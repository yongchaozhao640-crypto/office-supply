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0" windowHeight="10030"/>
  </bookViews>
  <sheets>
    <sheet name="主页 " sheetId="15" r:id="rId1"/>
    <sheet name="基础-办公用品信息" sheetId="4" r:id="rId2"/>
    <sheet name="基础-领用人及部门" sheetId="5" r:id="rId3"/>
    <sheet name="采购录入（明细）" sheetId="7" r:id="rId4"/>
    <sheet name="领用录入（明细）" sheetId="6" r:id="rId5"/>
    <sheet name="部门领取汇总" sheetId="14" r:id="rId6"/>
    <sheet name="个人领取明细" sheetId="13" r:id="rId7"/>
    <sheet name="领用汇总查询" sheetId="12" r:id="rId8"/>
    <sheet name="期初库存" sheetId="9" r:id="rId9"/>
    <sheet name="当前库存" sheetId="8" r:id="rId10"/>
    <sheet name="紧急采购明细" sheetId="10" r:id="rId11"/>
    <sheet name="采购数量和金额汇总查询" sheetId="11" r:id="rId12"/>
    <sheet name="事件计时" sheetId="16" r:id="rId13"/>
    <sheet name="帮助中心" sheetId="18" r:id="rId14"/>
    <sheet name="Sheet1" sheetId="17" state="hidden" r:id="rId15"/>
  </sheets>
  <externalReferences>
    <externalReference r:id="rId17"/>
    <externalReference r:id="rId18"/>
  </externalReferences>
  <definedNames>
    <definedName name="_xlnm._FilterDatabase" localSheetId="4" hidden="1">'领用录入（明细）'!$B$1:$N$1002</definedName>
    <definedName name="_xlnm._FilterDatabase" localSheetId="8" hidden="1">期初库存!$B$1:$H$186</definedName>
    <definedName name="a">[1]销售明细!$P$7:$P$5003</definedName>
    <definedName name="_xlnm._FilterDatabase" localSheetId="1" hidden="1">'基础-办公用品信息'!$B$2:$G$85</definedName>
    <definedName name="_xlnm.Print_Area" localSheetId="9">当前库存!$A$1:$N$168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<sst xmlns="http://schemas.openxmlformats.org/spreadsheetml/2006/main" count="1934" uniqueCount="419">
  <si>
    <t>今天是：</t>
  </si>
  <si>
    <t>当月采购数量：</t>
  </si>
  <si>
    <t>当月领取数量：</t>
  </si>
  <si>
    <t>NO:</t>
  </si>
  <si>
    <t>办公用品名称</t>
  </si>
  <si>
    <t>单位</t>
  </si>
  <si>
    <t>型号</t>
  </si>
  <si>
    <t>单价</t>
  </si>
  <si>
    <t>备注</t>
  </si>
  <si>
    <t>A3打印纸</t>
  </si>
  <si>
    <t>包</t>
  </si>
  <si>
    <t>A4打印纸</t>
  </si>
  <si>
    <t>A4装订封面纸</t>
  </si>
  <si>
    <t>A4复印纸蓝色</t>
  </si>
  <si>
    <t>A4复印纸红色</t>
  </si>
  <si>
    <t>A4白卡纸180克荷兰白卡</t>
  </si>
  <si>
    <t>定制会议本牛皮A4</t>
  </si>
  <si>
    <t>本</t>
  </si>
  <si>
    <t>定制会议本活页B5</t>
  </si>
  <si>
    <t>定制会议便签本牛皮书写夹板A4</t>
  </si>
  <si>
    <t>会议记录本皮面黑色</t>
  </si>
  <si>
    <t>office本32k</t>
  </si>
  <si>
    <t>软面抄100</t>
  </si>
  <si>
    <t>透明暗扣袋</t>
  </si>
  <si>
    <t>个</t>
  </si>
  <si>
    <t>挂快牢得力A4</t>
  </si>
  <si>
    <t>张</t>
  </si>
  <si>
    <t>资料册40页</t>
  </si>
  <si>
    <t>档案袋牛皮纸（小）</t>
  </si>
  <si>
    <t>只</t>
  </si>
  <si>
    <t>档案盒牛皮纸</t>
  </si>
  <si>
    <t>档案盒大塑料</t>
  </si>
  <si>
    <t>档案盒小塑料</t>
  </si>
  <si>
    <t xml:space="preserve">三角抽杆文件夹 </t>
  </si>
  <si>
    <t>塑料文件架</t>
  </si>
  <si>
    <t>文件夹，纸板夹</t>
  </si>
  <si>
    <t>文件夹，塑料皮</t>
  </si>
  <si>
    <t>网格拉链袋</t>
  </si>
  <si>
    <t>书写夹板A5</t>
  </si>
  <si>
    <t>铁书挡（小）</t>
  </si>
  <si>
    <t>铁书挡（大）</t>
  </si>
  <si>
    <t>水笔黑色</t>
  </si>
  <si>
    <t>支</t>
  </si>
  <si>
    <t>水笔红色</t>
  </si>
  <si>
    <t>按压水笔黑色</t>
  </si>
  <si>
    <t>笔芯</t>
  </si>
  <si>
    <t>台笔</t>
  </si>
  <si>
    <t>记号笔黑色</t>
  </si>
  <si>
    <t>记号笔红色</t>
  </si>
  <si>
    <t>扑克</t>
  </si>
  <si>
    <t>盒</t>
  </si>
  <si>
    <t>圆珠笔蓝色</t>
  </si>
  <si>
    <t>铅笔</t>
  </si>
  <si>
    <t>7元/盒</t>
  </si>
  <si>
    <t>卷笔机</t>
  </si>
  <si>
    <t>卷笔刀</t>
  </si>
  <si>
    <t>橡皮</t>
  </si>
  <si>
    <t>美工刀</t>
  </si>
  <si>
    <t>把</t>
  </si>
  <si>
    <t>剪刀</t>
  </si>
  <si>
    <t>起钉器</t>
  </si>
  <si>
    <t>订书机</t>
  </si>
  <si>
    <t>订书钉</t>
  </si>
  <si>
    <t>回形针</t>
  </si>
  <si>
    <t>计算器</t>
  </si>
  <si>
    <t>笔筒圆形</t>
  </si>
  <si>
    <t>笔筒方形</t>
  </si>
  <si>
    <t>液体胶水</t>
  </si>
  <si>
    <t>固体胶水</t>
  </si>
  <si>
    <t>三棱尺</t>
  </si>
  <si>
    <t>透明直尺40cm</t>
  </si>
  <si>
    <t>卷尺10m</t>
  </si>
  <si>
    <t>卷尺5m</t>
  </si>
  <si>
    <t>卷尺2m</t>
  </si>
  <si>
    <t>电池南孚5号</t>
  </si>
  <si>
    <t>节</t>
  </si>
  <si>
    <t>电池双鹿7号</t>
  </si>
  <si>
    <t>电池南孚23A</t>
  </si>
  <si>
    <t>电池南孚27A</t>
  </si>
  <si>
    <t>彩色长尾票夹5851</t>
  </si>
  <si>
    <t>彩色长尾票5852</t>
  </si>
  <si>
    <t>彩色长尾票夹5854</t>
  </si>
  <si>
    <t>彩色长尾票夹5855</t>
  </si>
  <si>
    <t>彩色长尾票夹5856</t>
  </si>
  <si>
    <t>插座1.8m</t>
  </si>
  <si>
    <t>插座3m</t>
  </si>
  <si>
    <t>无线插头</t>
  </si>
  <si>
    <t>印台红色</t>
  </si>
  <si>
    <t>印台蓝色</t>
  </si>
  <si>
    <t>透明胶带小卷</t>
  </si>
  <si>
    <t>卷</t>
  </si>
  <si>
    <t>封箱胶带</t>
  </si>
  <si>
    <t>筒</t>
  </si>
  <si>
    <t>双面胶带宽</t>
  </si>
  <si>
    <t>11卷/筒</t>
  </si>
  <si>
    <t>泡沫胶带</t>
  </si>
  <si>
    <t>便利贴76*76mm</t>
  </si>
  <si>
    <t>自粘性标签（大）</t>
  </si>
  <si>
    <t>便利贴四色76*19mm</t>
  </si>
  <si>
    <t>便利贴76*51mm</t>
  </si>
  <si>
    <t>自粘性标签（小）</t>
  </si>
  <si>
    <t>用款申请单</t>
  </si>
  <si>
    <t>收据三联</t>
  </si>
  <si>
    <t>入库单两联</t>
  </si>
  <si>
    <t>出库单三联</t>
  </si>
  <si>
    <t>单据凭证</t>
  </si>
  <si>
    <t>罚款单</t>
  </si>
  <si>
    <t>定制信笺本A5</t>
  </si>
  <si>
    <t>定制信笺本A4</t>
  </si>
  <si>
    <t>工作牌</t>
  </si>
  <si>
    <t>透明口罩</t>
  </si>
  <si>
    <t>蓝色口罩</t>
  </si>
  <si>
    <t>一次性纸杯50个/筒</t>
  </si>
  <si>
    <t>黑色口罩</t>
  </si>
  <si>
    <t>有线鼠标</t>
  </si>
  <si>
    <t>键盘</t>
  </si>
  <si>
    <t>无线接收器水星</t>
  </si>
  <si>
    <t>无线接收器TP-Link</t>
  </si>
  <si>
    <t>红外体温计倍尔康</t>
  </si>
  <si>
    <t>硬盘绿联2.5英寸</t>
  </si>
  <si>
    <t>PPT翻页笔诺为</t>
  </si>
  <si>
    <t>光盘700MB，CD-R 52X</t>
  </si>
  <si>
    <t>光盘4.7GB 120mm</t>
  </si>
  <si>
    <t>光盘壳</t>
  </si>
  <si>
    <t>台裙夹</t>
  </si>
  <si>
    <t>果盘</t>
  </si>
  <si>
    <t>电蚊器</t>
  </si>
  <si>
    <t>电蚊液</t>
  </si>
  <si>
    <t>瓶</t>
  </si>
  <si>
    <t>会议杯有盖</t>
  </si>
  <si>
    <t>卷纸</t>
  </si>
  <si>
    <t>提</t>
  </si>
  <si>
    <t>抽纸盒</t>
  </si>
  <si>
    <t>抽纸巾</t>
  </si>
  <si>
    <t>网线3米</t>
  </si>
  <si>
    <t>条</t>
  </si>
  <si>
    <t>网线2米</t>
  </si>
  <si>
    <t>网线1.5米</t>
  </si>
  <si>
    <t>老鼠板</t>
  </si>
  <si>
    <t>板刷</t>
  </si>
  <si>
    <t>话梅糖</t>
  </si>
  <si>
    <t>打包扣</t>
  </si>
  <si>
    <t>斤</t>
  </si>
  <si>
    <t>手推车</t>
  </si>
  <si>
    <t>辆</t>
  </si>
  <si>
    <t>修改液</t>
  </si>
  <si>
    <t>龙虎人丹</t>
  </si>
  <si>
    <t xml:space="preserve">无线鼠标 </t>
  </si>
  <si>
    <t>插座5m</t>
  </si>
  <si>
    <t>南孚4粒装简卡5号4粒/个</t>
  </si>
  <si>
    <t>南孚4粒装挂卡5号4粒/个</t>
  </si>
  <si>
    <t>南孚2粒装5号2粒/个</t>
  </si>
  <si>
    <t>激光笔技术部</t>
  </si>
  <si>
    <t>奥克斯除湿机铂悦府</t>
  </si>
  <si>
    <t>台</t>
  </si>
  <si>
    <t>地毯胶</t>
  </si>
  <si>
    <t>报销单</t>
  </si>
  <si>
    <t>差旅报销单</t>
  </si>
  <si>
    <t>刀笔</t>
  </si>
  <si>
    <t>方形单色印台得力红色</t>
  </si>
  <si>
    <t>笔记本</t>
  </si>
  <si>
    <t>84消毒液</t>
  </si>
  <si>
    <t>桶</t>
  </si>
  <si>
    <t>洗洁精</t>
  </si>
  <si>
    <t>垃圾袋</t>
  </si>
  <si>
    <t>白手套</t>
  </si>
  <si>
    <t>打</t>
  </si>
  <si>
    <t>喷洒消毒液</t>
  </si>
  <si>
    <t>消毒液L3</t>
  </si>
  <si>
    <t>500消毒液</t>
  </si>
  <si>
    <t>拖把</t>
  </si>
  <si>
    <t>玻璃刮刀</t>
  </si>
  <si>
    <t>玻璃水</t>
  </si>
  <si>
    <t>毛巾</t>
  </si>
  <si>
    <t>钉钉打卡机</t>
  </si>
  <si>
    <t>酒精消毒水</t>
  </si>
  <si>
    <t>马桶刷</t>
  </si>
  <si>
    <t>洗手液</t>
  </si>
  <si>
    <t>手套</t>
  </si>
  <si>
    <t>双</t>
  </si>
  <si>
    <t>安全帽</t>
  </si>
  <si>
    <t>顶</t>
  </si>
  <si>
    <t>扫把</t>
  </si>
  <si>
    <t>交换机</t>
  </si>
  <si>
    <t>狗粮</t>
  </si>
  <si>
    <t>尘推杆</t>
  </si>
  <si>
    <t>根</t>
  </si>
  <si>
    <t>橡胶手套</t>
  </si>
  <si>
    <t>透明胶带大卷</t>
  </si>
  <si>
    <t>垃圾袋大</t>
  </si>
  <si>
    <t>垃圾袋小</t>
  </si>
  <si>
    <t>次氯酸消毒液</t>
  </si>
  <si>
    <t>喷壶</t>
  </si>
  <si>
    <t>无线网卡</t>
  </si>
  <si>
    <t>院子灯泡</t>
  </si>
  <si>
    <t>洗衣粉</t>
  </si>
  <si>
    <t>海绵</t>
  </si>
  <si>
    <t>304不锈钢餐盘（带盖）</t>
  </si>
  <si>
    <t>304不锈钢餐盘）</t>
  </si>
  <si>
    <t>调料罐</t>
  </si>
  <si>
    <t>调料罐盖</t>
  </si>
  <si>
    <t>304不锈钢油缸</t>
  </si>
  <si>
    <t>304不锈钢大漏勺</t>
  </si>
  <si>
    <t>304不锈钢沥油格</t>
  </si>
  <si>
    <t>6两钢板汤勺</t>
  </si>
  <si>
    <t>锅盖</t>
  </si>
  <si>
    <t>菜刀</t>
  </si>
  <si>
    <t>高压锅排气阀</t>
  </si>
  <si>
    <t>砍骨刀</t>
  </si>
  <si>
    <t>高档汤勺</t>
  </si>
  <si>
    <t>擀面杖</t>
  </si>
  <si>
    <t>大号不锈钢网格篮</t>
  </si>
  <si>
    <t>中号不锈钢网格篮</t>
  </si>
  <si>
    <t>304不锈钢份数盒</t>
  </si>
  <si>
    <t>304不锈钢份数盒盖</t>
  </si>
  <si>
    <t>格来德烧水壶</t>
  </si>
  <si>
    <t>304欧式保温壶</t>
  </si>
  <si>
    <t>高压锅橡皮圈</t>
  </si>
  <si>
    <t>不锈钢方形冲孔盘</t>
  </si>
  <si>
    <t>白色塑料切菜板</t>
  </si>
  <si>
    <t>不锈钢打水桶</t>
  </si>
  <si>
    <t>白色圆桶</t>
  </si>
  <si>
    <t>地面刮水器</t>
  </si>
  <si>
    <t>洗地刷</t>
  </si>
  <si>
    <t>吸水拖把</t>
  </si>
  <si>
    <t>40平拖把</t>
  </si>
  <si>
    <t>15拖把</t>
  </si>
  <si>
    <t>整理箱</t>
  </si>
  <si>
    <t>沥水圆箩</t>
  </si>
  <si>
    <t>去油王</t>
  </si>
  <si>
    <t>片碱</t>
  </si>
  <si>
    <t>清洁精喷雾</t>
  </si>
  <si>
    <t>白色陶瓷小汤勺</t>
  </si>
  <si>
    <t>长手套</t>
  </si>
  <si>
    <t>厨房不锈钢架、铁板烧铁板</t>
  </si>
  <si>
    <t>高压水枪</t>
  </si>
  <si>
    <t>塑料水管</t>
  </si>
  <si>
    <t>5公斤塑料带盖桶</t>
  </si>
  <si>
    <t>洗衣刷</t>
  </si>
  <si>
    <t>四层不锈钢梯</t>
  </si>
  <si>
    <t>好吸水拖把</t>
  </si>
  <si>
    <t>多功能拖把桶</t>
  </si>
  <si>
    <t>塑料凳</t>
  </si>
  <si>
    <t>挂式纸盒</t>
  </si>
  <si>
    <t>挂式纸盒挂钩</t>
  </si>
  <si>
    <t>纳米海绵</t>
  </si>
  <si>
    <t>304不锈钢饭勺</t>
  </si>
  <si>
    <t>抹布</t>
  </si>
  <si>
    <t>久丽洗碗布</t>
  </si>
  <si>
    <t>三角拖把</t>
  </si>
  <si>
    <t>钢丝棉</t>
  </si>
  <si>
    <t xml:space="preserve">个 </t>
  </si>
  <si>
    <t>线拖把</t>
  </si>
  <si>
    <t>线手套</t>
  </si>
  <si>
    <t>扫把套装</t>
  </si>
  <si>
    <t>除胶剂</t>
  </si>
  <si>
    <t>海绵胶</t>
  </si>
  <si>
    <t>资料册60页</t>
  </si>
  <si>
    <t xml:space="preserve">领用人信息-设置  </t>
  </si>
  <si>
    <t>姓名</t>
  </si>
  <si>
    <t>所属部门</t>
  </si>
  <si>
    <t>杨红艳</t>
  </si>
  <si>
    <t>综合办</t>
  </si>
  <si>
    <t>余慧娟</t>
  </si>
  <si>
    <t xml:space="preserve">部门信息-设置  </t>
  </si>
  <si>
    <t>蔡迎亚</t>
  </si>
  <si>
    <t>部门</t>
  </si>
  <si>
    <t>文丽梅</t>
  </si>
  <si>
    <t>杨  迁</t>
  </si>
  <si>
    <t>财务部</t>
  </si>
  <si>
    <t>杨  雪</t>
  </si>
  <si>
    <t>开发部</t>
  </si>
  <si>
    <t>刘海山</t>
  </si>
  <si>
    <t>招采部</t>
  </si>
  <si>
    <t>蔡宏斌</t>
  </si>
  <si>
    <t>技术部</t>
  </si>
  <si>
    <t>吴小转</t>
  </si>
  <si>
    <t>成本部</t>
  </si>
  <si>
    <t>范小红</t>
  </si>
  <si>
    <t>销售部</t>
  </si>
  <si>
    <t>郦  静</t>
  </si>
  <si>
    <t>工程部</t>
  </si>
  <si>
    <t>陈  奔</t>
  </si>
  <si>
    <t>中盛广场物业</t>
  </si>
  <si>
    <t>许轩铭</t>
  </si>
  <si>
    <t>boss</t>
  </si>
  <si>
    <t>陶怡然</t>
  </si>
  <si>
    <t>四楼会议室</t>
  </si>
  <si>
    <t>陈圣明</t>
  </si>
  <si>
    <t>看门</t>
  </si>
  <si>
    <t>马丽萍</t>
  </si>
  <si>
    <t>王  瑾</t>
  </si>
  <si>
    <t>蒋  黎</t>
  </si>
  <si>
    <t>毛秀玲</t>
  </si>
  <si>
    <t>王志明</t>
  </si>
  <si>
    <t>王  彪</t>
  </si>
  <si>
    <t>王晓奇</t>
  </si>
  <si>
    <t>於文琪</t>
  </si>
  <si>
    <t>卢  萍</t>
  </si>
  <si>
    <t>陈楚楚</t>
  </si>
  <si>
    <t>陈灵星</t>
  </si>
  <si>
    <t>沈金辉</t>
  </si>
  <si>
    <t>卢邵洁</t>
  </si>
  <si>
    <t>罗  侃</t>
  </si>
  <si>
    <t>李欠官</t>
  </si>
  <si>
    <t>黄  婷</t>
  </si>
  <si>
    <t>丁小青</t>
  </si>
  <si>
    <t>周芝鹏</t>
  </si>
  <si>
    <t>谢哲金</t>
  </si>
  <si>
    <t>刘  强</t>
  </si>
  <si>
    <t>陈  军</t>
  </si>
  <si>
    <t>潘迦轩</t>
  </si>
  <si>
    <t>何小敏</t>
  </si>
  <si>
    <t>何如宋</t>
  </si>
  <si>
    <t>郑  辉</t>
  </si>
  <si>
    <t>金  锋</t>
  </si>
  <si>
    <t>王美萍</t>
  </si>
  <si>
    <t>金也莉</t>
  </si>
  <si>
    <t>陈丹丹</t>
  </si>
  <si>
    <t>余光耀</t>
  </si>
  <si>
    <t>郝  丹</t>
  </si>
  <si>
    <t>陈春仙</t>
  </si>
  <si>
    <t>陆  军</t>
  </si>
  <si>
    <t>黄帅文</t>
  </si>
  <si>
    <t>卢良毅</t>
  </si>
  <si>
    <t>朱金浩</t>
  </si>
  <si>
    <t>林晋宏</t>
  </si>
  <si>
    <t>孔  晓</t>
  </si>
  <si>
    <t>徐吉祥</t>
  </si>
  <si>
    <t>王海浪</t>
  </si>
  <si>
    <t>王  荧</t>
  </si>
  <si>
    <t>干淑薇</t>
  </si>
  <si>
    <t>张莉红</t>
  </si>
  <si>
    <t>曹家平</t>
  </si>
  <si>
    <t>唐姐</t>
  </si>
  <si>
    <t>毛总</t>
  </si>
  <si>
    <t>陈璐</t>
  </si>
  <si>
    <t>会议室</t>
  </si>
  <si>
    <t>卢良焕</t>
  </si>
  <si>
    <t>金华鼎</t>
  </si>
  <si>
    <t>会所</t>
  </si>
  <si>
    <t>梁金兵</t>
  </si>
  <si>
    <t>阮哲慧</t>
  </si>
  <si>
    <t>悦江府</t>
  </si>
  <si>
    <t>周昌盈</t>
  </si>
  <si>
    <t>徐玲</t>
  </si>
  <si>
    <t>程梦亚</t>
  </si>
  <si>
    <t>蒋云飞</t>
  </si>
  <si>
    <t>采购录入（明细）</t>
  </si>
  <si>
    <t>采购数量</t>
  </si>
  <si>
    <t>采购金额</t>
  </si>
  <si>
    <t>日期</t>
  </si>
  <si>
    <t>采购人</t>
  </si>
  <si>
    <t>数量</t>
  </si>
  <si>
    <t>金额</t>
  </si>
  <si>
    <t>辅助年</t>
  </si>
  <si>
    <t>辅助月</t>
  </si>
  <si>
    <t>箱</t>
  </si>
  <si>
    <t>粒</t>
  </si>
  <si>
    <t>领用录入（明细）</t>
  </si>
  <si>
    <t>领用数量</t>
  </si>
  <si>
    <t>领用金额</t>
  </si>
  <si>
    <t>领用人</t>
  </si>
  <si>
    <t>活页本芯18K</t>
  </si>
  <si>
    <t>医用口罩</t>
  </si>
  <si>
    <t>大桶</t>
  </si>
  <si>
    <t>七楼</t>
  </si>
  <si>
    <t>小毛</t>
  </si>
  <si>
    <t>悦江府入职</t>
  </si>
  <si>
    <t>毛6楼</t>
  </si>
  <si>
    <t>入职</t>
  </si>
  <si>
    <t>一楼</t>
  </si>
  <si>
    <t>丁总</t>
  </si>
  <si>
    <t>前台</t>
  </si>
  <si>
    <t>车</t>
  </si>
  <si>
    <t>部门领取汇总</t>
  </si>
  <si>
    <t>领取数量</t>
  </si>
  <si>
    <t>领取金额</t>
  </si>
  <si>
    <t>指定查询的领取部门：</t>
  </si>
  <si>
    <t>输入领取的起止日期：</t>
  </si>
  <si>
    <t>至</t>
  </si>
  <si>
    <t>辅助列</t>
  </si>
  <si>
    <t>个人领取明细</t>
  </si>
  <si>
    <t>指定查询的领取人：</t>
  </si>
  <si>
    <t>领用汇总查询</t>
  </si>
  <si>
    <t xml:space="preserve">输入查询的起止日期：   </t>
  </si>
  <si>
    <t>领用单价</t>
  </si>
  <si>
    <t>期初库存（设置）</t>
  </si>
  <si>
    <t>期初数量</t>
  </si>
  <si>
    <t>当前库存数量</t>
  </si>
  <si>
    <t>当前库存金额</t>
  </si>
  <si>
    <t>当前库存</t>
  </si>
  <si>
    <t>安全库存（设置）</t>
  </si>
  <si>
    <t>是否采购</t>
  </si>
  <si>
    <t>采购数量和金额 汇总查询</t>
  </si>
  <si>
    <t>各方面计时/倒计时</t>
  </si>
  <si>
    <t>公司成立时间</t>
  </si>
  <si>
    <t>XXX事件进度</t>
  </si>
  <si>
    <t>XXX项目进度</t>
  </si>
  <si>
    <t>至今天数</t>
  </si>
  <si>
    <t>成立时间</t>
  </si>
  <si>
    <t>周数</t>
  </si>
  <si>
    <t>启动时间</t>
  </si>
  <si>
    <t>月数</t>
  </si>
  <si>
    <t>年数</t>
  </si>
  <si>
    <t>倒计时</t>
  </si>
  <si>
    <t>昆明旅游</t>
  </si>
  <si>
    <t>旅游时间</t>
  </si>
  <si>
    <t>开始时间</t>
  </si>
  <si>
    <t>使用步骤/方法</t>
  </si>
  <si>
    <t>1、使用前把基础数据内的数据按照需求更正；如果修改表格请先在：[审阅]-[撤销保护工作表]。</t>
  </si>
  <si>
    <t>2、注意本表格有公式的地方不要删除，如果删除从上方或下方单元格下拉或上拉来添加公式。</t>
  </si>
  <si>
    <t>3、（复杂公式可以找其他人帮忙）如果你熟悉excel可自行调整自己的风格。</t>
  </si>
  <si>
    <t>常用操作</t>
  </si>
  <si>
    <t>1.采购和领用：中的数据清空，有公式的地方勿清除。</t>
  </si>
  <si>
    <t>2.库存情况：把期初库存数据填进去，当前库存中的安全库存填写进去。</t>
  </si>
  <si>
    <t>3.查询：可按照日期查询采购和领用汇总数据、个人明细、部门汇总的数据。</t>
  </si>
  <si>
    <t>4.事件-计时器 页面可填入选计时和倒计时的重要事件及日期</t>
  </si>
  <si>
    <t>自动生成当前紧急采购明细清单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</si>
</sst>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"/>
    <numFmt numFmtId="177" formatCode="0_ "/>
    <numFmt numFmtId="178" formatCode="0.0_ "/>
    <numFmt numFmtId="179" formatCode="0_);[Red]\(0\)"/>
    <numFmt numFmtId="180" formatCode="yyyy/m/d;@"/>
    <numFmt numFmtId="181" formatCode="&quot;￥&quot;#,##0.00_);[Red]\(&quot;￥&quot;#,##0.00\)"/>
    <numFmt numFmtId="182" formatCode="0.00_ "/>
    <numFmt numFmtId="183" formatCode="0&quot;件&quot;"/>
  </numFmts>
  <fonts count="78">
    <font>
      <sz val="11"/>
      <color theme="1"/>
      <name val="宋体"/>
      <charset val="134"/>
      <scheme val="minor"/>
    </font>
    <font>
      <b/>
      <i/>
      <u/>
      <sz val="22"/>
      <color theme="0"/>
      <name val="宋体"/>
      <charset val="134"/>
      <scheme val="minor"/>
    </font>
    <font>
      <b/>
      <i/>
      <sz val="20"/>
      <color theme="8" tint="0.599993896298105"/>
      <name val="微软雅黑"/>
      <charset val="134"/>
    </font>
    <font>
      <b/>
      <sz val="12"/>
      <color theme="4"/>
      <name val="微软雅黑"/>
      <charset val="134"/>
    </font>
    <font>
      <sz val="11"/>
      <color theme="1" tint="0.349986266670736"/>
      <name val="宋体"/>
      <charset val="134"/>
      <scheme val="minor"/>
    </font>
    <font>
      <sz val="11"/>
      <color theme="1" tint="0.349986266670736"/>
      <name val="微软雅黑"/>
      <charset val="134"/>
    </font>
    <font>
      <sz val="11"/>
      <color theme="1"/>
      <name val="微软雅黑"/>
      <charset val="134"/>
    </font>
    <font>
      <sz val="20"/>
      <color theme="1"/>
      <name val="Microsoft YaHei"/>
      <charset val="134"/>
    </font>
    <font>
      <sz val="20"/>
      <color theme="1"/>
      <name val="宋体"/>
      <charset val="134"/>
      <scheme val="minor"/>
    </font>
    <font>
      <b/>
      <sz val="24"/>
      <color theme="0"/>
      <name val="Microsoft YaHei"/>
      <charset val="134"/>
    </font>
    <font>
      <sz val="20"/>
      <color theme="0"/>
      <name val="Microsoft YaHei"/>
      <charset val="134"/>
    </font>
    <font>
      <b/>
      <sz val="28"/>
      <color theme="1"/>
      <name val="Microsoft YaHei"/>
      <charset val="134"/>
    </font>
    <font>
      <b/>
      <sz val="18"/>
      <color theme="0"/>
      <name val="Microsoft YaHei"/>
      <charset val="134"/>
    </font>
    <font>
      <sz val="16"/>
      <name val="Microsoft YaHei"/>
      <charset val="134"/>
    </font>
    <font>
      <sz val="16"/>
      <color theme="0"/>
      <name val="Microsoft YaHei"/>
      <charset val="134"/>
    </font>
    <font>
      <b/>
      <sz val="12"/>
      <color theme="0"/>
      <name val="Microsoft YaHei"/>
      <charset val="134"/>
    </font>
    <font>
      <b/>
      <sz val="12"/>
      <color rgb="FFFFC000"/>
      <name val="Microsoft YaHei"/>
      <charset val="134"/>
    </font>
    <font>
      <sz val="18"/>
      <color theme="1"/>
      <name val="Microsoft YaHei"/>
      <charset val="134"/>
    </font>
    <font>
      <sz val="18"/>
      <color theme="0"/>
      <name val="Microsoft YaHei"/>
      <charset val="134"/>
    </font>
    <font>
      <b/>
      <u/>
      <sz val="14"/>
      <color theme="0"/>
      <name val="Microsoft YaHei"/>
      <charset val="134"/>
    </font>
    <font>
      <sz val="18"/>
      <name val="Microsoft YaHei"/>
      <charset val="134"/>
    </font>
    <font>
      <b/>
      <u/>
      <sz val="16"/>
      <color theme="0"/>
      <name val="Microsoft YaHei"/>
      <charset val="134"/>
    </font>
    <font>
      <sz val="12"/>
      <color theme="0"/>
      <name val="Microsoft YaHei"/>
      <charset val="134"/>
    </font>
    <font>
      <sz val="12"/>
      <color rgb="FFFFC000"/>
      <name val="Microsoft YaHei"/>
      <charset val="134"/>
    </font>
    <font>
      <sz val="12"/>
      <name val="Microsoft YaHei"/>
      <charset val="134"/>
    </font>
    <font>
      <sz val="28"/>
      <color theme="1"/>
      <name val="Microsoft YaHei"/>
      <charset val="134"/>
    </font>
    <font>
      <b/>
      <sz val="28"/>
      <color theme="0"/>
      <name val="Microsoft YaHei"/>
      <charset val="134"/>
    </font>
    <font>
      <b/>
      <sz val="14"/>
      <color theme="0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FF00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Microsoft YaHei"/>
      <charset val="134"/>
    </font>
    <font>
      <sz val="10"/>
      <color theme="1"/>
      <name val="Microsoft YaHei"/>
      <charset val="134"/>
    </font>
    <font>
      <b/>
      <sz val="10"/>
      <color theme="1"/>
      <name val="宋体"/>
      <charset val="134"/>
      <scheme val="minor"/>
    </font>
    <font>
      <b/>
      <sz val="14"/>
      <color theme="0"/>
      <name val="宋体"/>
      <charset val="134"/>
      <scheme val="major"/>
    </font>
    <font>
      <sz val="11"/>
      <name val="Microsoft YaHei"/>
      <charset val="134"/>
    </font>
    <font>
      <sz val="10"/>
      <name val="Microsoft YaHei"/>
      <charset val="134"/>
    </font>
    <font>
      <b/>
      <sz val="11"/>
      <color theme="0"/>
      <name val="微软雅黑"/>
      <charset val="134"/>
    </font>
    <font>
      <b/>
      <sz val="11"/>
      <name val="微软雅黑"/>
      <charset val="134"/>
    </font>
    <font>
      <sz val="14"/>
      <color theme="1"/>
      <name val="Microsoft YaHei"/>
      <charset val="134"/>
    </font>
    <font>
      <sz val="1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微软雅黑"/>
      <charset val="134"/>
    </font>
    <font>
      <b/>
      <sz val="14"/>
      <color theme="0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b/>
      <sz val="20"/>
      <color theme="1"/>
      <name val="宋体"/>
      <charset val="134"/>
      <scheme val="minor"/>
    </font>
    <font>
      <b/>
      <sz val="48"/>
      <name val="Microsoft YaHei"/>
      <charset val="134"/>
    </font>
    <font>
      <b/>
      <sz val="36"/>
      <name val="Microsoft YaHei"/>
      <charset val="134"/>
    </font>
    <font>
      <b/>
      <sz val="36"/>
      <color theme="0"/>
      <name val="Microsoft YaHei"/>
      <charset val="134"/>
    </font>
    <font>
      <sz val="22"/>
      <name val="Microsoft YaHei"/>
      <charset val="134"/>
    </font>
    <font>
      <sz val="24"/>
      <name val="Microsoft YaHei"/>
      <charset val="134"/>
    </font>
    <font>
      <sz val="22"/>
      <color theme="1"/>
      <name val="Microsoft YaHei"/>
      <charset val="134"/>
    </font>
    <font>
      <b/>
      <sz val="20"/>
      <color theme="1"/>
      <name val="Microsoft YaHei"/>
      <charset val="134"/>
    </font>
    <font>
      <b/>
      <sz val="14"/>
      <color theme="1"/>
      <name val="Microsoft YaHei"/>
      <charset val="134"/>
    </font>
    <font>
      <b/>
      <sz val="24"/>
      <color theme="1"/>
      <name val="Microsoft YaHei"/>
      <charset val="134"/>
    </font>
    <font>
      <sz val="24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/>
      <right/>
      <top/>
      <bottom style="thin">
        <color theme="6"/>
      </bottom>
      <diagonal/>
    </border>
    <border>
      <left style="medium">
        <color theme="0"/>
      </left>
      <right/>
      <top/>
      <bottom/>
      <diagonal/>
    </border>
    <border>
      <left style="double">
        <color theme="0"/>
      </left>
      <right/>
      <top style="double">
        <color theme="0"/>
      </top>
      <bottom style="double">
        <color theme="0"/>
      </bottom>
      <diagonal/>
    </border>
    <border>
      <left/>
      <right style="double">
        <color theme="0"/>
      </right>
      <top style="double">
        <color theme="0"/>
      </top>
      <bottom style="double">
        <color theme="0"/>
      </bottom>
      <diagonal/>
    </border>
    <border>
      <left style="thin">
        <color rgb="FF00CC00"/>
      </left>
      <right style="thin">
        <color rgb="FF00CC00"/>
      </right>
      <top style="thin">
        <color rgb="FF00CC00"/>
      </top>
      <bottom style="thin">
        <color rgb="FF00CC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CC00"/>
      </left>
      <right/>
      <top style="thin">
        <color rgb="FF00CC00"/>
      </top>
      <bottom style="thin">
        <color rgb="FF00CC00"/>
      </bottom>
      <diagonal/>
    </border>
    <border>
      <left/>
      <right/>
      <top style="thin">
        <color rgb="FF00CC00"/>
      </top>
      <bottom style="thin">
        <color rgb="FF00CC00"/>
      </bottom>
      <diagonal/>
    </border>
    <border>
      <left/>
      <right style="thin">
        <color rgb="FF00CC00"/>
      </right>
      <top style="thin">
        <color rgb="FF00CC00"/>
      </top>
      <bottom style="thin">
        <color rgb="FF00CC00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/>
      <diagonal/>
    </border>
    <border>
      <left/>
      <right/>
      <top style="medium">
        <color theme="0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/>
      <bottom/>
      <diagonal/>
    </border>
    <border>
      <left/>
      <right/>
      <top style="double">
        <color theme="0"/>
      </top>
      <bottom style="double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0" fillId="10" borderId="29" applyNumberFormat="0" applyFon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30" applyNumberFormat="0" applyFill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11" borderId="32" applyNumberFormat="0" applyAlignment="0" applyProtection="0">
      <alignment vertical="center"/>
    </xf>
    <xf numFmtId="0" fontId="68" fillId="12" borderId="33" applyNumberFormat="0" applyAlignment="0" applyProtection="0">
      <alignment vertical="center"/>
    </xf>
    <xf numFmtId="0" fontId="69" fillId="12" borderId="32" applyNumberFormat="0" applyAlignment="0" applyProtection="0">
      <alignment vertical="center"/>
    </xf>
    <xf numFmtId="0" fontId="70" fillId="13" borderId="34" applyNumberFormat="0" applyAlignment="0" applyProtection="0">
      <alignment vertical="center"/>
    </xf>
    <xf numFmtId="0" fontId="71" fillId="0" borderId="35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7" fillId="17" borderId="0" applyNumberFormat="0" applyBorder="0" applyAlignment="0" applyProtection="0">
      <alignment vertical="center"/>
    </xf>
    <xf numFmtId="0" fontId="77" fillId="18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7" fillId="21" borderId="0" applyNumberFormat="0" applyBorder="0" applyAlignment="0" applyProtection="0">
      <alignment vertical="center"/>
    </xf>
    <xf numFmtId="0" fontId="77" fillId="22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7" fillId="25" borderId="0" applyNumberFormat="0" applyBorder="0" applyAlignment="0" applyProtection="0">
      <alignment vertical="center"/>
    </xf>
    <xf numFmtId="0" fontId="77" fillId="26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7" fillId="33" borderId="0" applyNumberFormat="0" applyBorder="0" applyAlignment="0" applyProtection="0">
      <alignment vertical="center"/>
    </xf>
    <xf numFmtId="0" fontId="77" fillId="34" borderId="0" applyNumberFormat="0" applyBorder="0" applyAlignment="0" applyProtection="0">
      <alignment vertical="center"/>
    </xf>
    <xf numFmtId="0" fontId="76" fillId="35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7" fillId="36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</cellStyleXfs>
  <cellXfs count="19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3" borderId="0" xfId="0" applyFill="1" applyProtection="1">
      <alignment vertical="center"/>
      <protection locked="0"/>
    </xf>
    <xf numFmtId="0" fontId="0" fillId="3" borderId="0" xfId="0" applyFill="1">
      <alignment vertical="center"/>
    </xf>
    <xf numFmtId="176" fontId="2" fillId="0" borderId="0" xfId="0" applyNumberFormat="1" applyFont="1" applyFill="1" applyAlignment="1" applyProtection="1">
      <alignment horizontal="right" vertical="center" indent="1"/>
    </xf>
    <xf numFmtId="0" fontId="3" fillId="0" borderId="0" xfId="0" applyFont="1" applyFill="1" applyAlignment="1" applyProtection="1">
      <alignment horizontal="left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7" fillId="2" borderId="0" xfId="0" applyNumberFormat="1" applyFont="1" applyFill="1" applyAlignment="1">
      <alignment horizontal="left" vertical="center"/>
    </xf>
    <xf numFmtId="0" fontId="7" fillId="2" borderId="0" xfId="0" applyNumberFormat="1" applyFont="1" applyFill="1" applyBorder="1" applyAlignment="1">
      <alignment horizontal="left" vertical="center"/>
    </xf>
    <xf numFmtId="0" fontId="8" fillId="2" borderId="0" xfId="0" applyNumberFormat="1" applyFont="1" applyFill="1" applyAlignment="1">
      <alignment horizontal="left" vertical="center"/>
    </xf>
    <xf numFmtId="0" fontId="9" fillId="2" borderId="0" xfId="0" applyNumberFormat="1" applyFont="1" applyFill="1" applyAlignment="1">
      <alignment horizontal="center" vertical="center"/>
    </xf>
    <xf numFmtId="0" fontId="10" fillId="2" borderId="0" xfId="0" applyNumberFormat="1" applyFont="1" applyFill="1" applyAlignment="1">
      <alignment horizontal="left" vertical="center"/>
    </xf>
    <xf numFmtId="0" fontId="11" fillId="2" borderId="1" xfId="0" applyNumberFormat="1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vertical="center"/>
    </xf>
    <xf numFmtId="0" fontId="14" fillId="2" borderId="0" xfId="0" applyFont="1" applyFill="1" applyBorder="1" applyAlignment="1">
      <alignment vertical="center"/>
    </xf>
    <xf numFmtId="0" fontId="11" fillId="2" borderId="2" xfId="0" applyNumberFormat="1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  <xf numFmtId="177" fontId="16" fillId="2" borderId="4" xfId="0" applyNumberFormat="1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5" fillId="2" borderId="0" xfId="0" applyFont="1" applyFill="1" applyBorder="1" applyAlignment="1">
      <alignment horizontal="center" vertical="center"/>
    </xf>
    <xf numFmtId="178" fontId="16" fillId="2" borderId="0" xfId="0" applyNumberFormat="1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vertical="center"/>
    </xf>
    <xf numFmtId="0" fontId="19" fillId="2" borderId="0" xfId="0" applyFont="1" applyFill="1" applyBorder="1" applyAlignment="1">
      <alignment horizontal="center" vertical="center"/>
    </xf>
    <xf numFmtId="178" fontId="16" fillId="2" borderId="4" xfId="0" applyNumberFormat="1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vertical="center"/>
    </xf>
    <xf numFmtId="14" fontId="21" fillId="2" borderId="0" xfId="0" applyNumberFormat="1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vertical="center"/>
    </xf>
    <xf numFmtId="178" fontId="23" fillId="2" borderId="0" xfId="0" applyNumberFormat="1" applyFont="1" applyFill="1" applyBorder="1" applyAlignment="1">
      <alignment vertical="center"/>
    </xf>
    <xf numFmtId="0" fontId="11" fillId="2" borderId="5" xfId="0" applyNumberFormat="1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vertical="center"/>
    </xf>
    <xf numFmtId="0" fontId="22" fillId="2" borderId="6" xfId="0" applyFont="1" applyFill="1" applyBorder="1" applyAlignment="1">
      <alignment vertical="center"/>
    </xf>
    <xf numFmtId="0" fontId="25" fillId="2" borderId="0" xfId="0" applyNumberFormat="1" applyFont="1" applyFill="1" applyAlignment="1">
      <alignment horizontal="left" vertical="center"/>
    </xf>
    <xf numFmtId="0" fontId="17" fillId="2" borderId="0" xfId="0" applyNumberFormat="1" applyFont="1" applyFill="1" applyAlignment="1">
      <alignment horizontal="left" vertical="center"/>
    </xf>
    <xf numFmtId="0" fontId="26" fillId="2" borderId="1" xfId="0" applyNumberFormat="1" applyFont="1" applyFill="1" applyBorder="1" applyAlignment="1">
      <alignment horizontal="center" vertical="center" wrapText="1"/>
    </xf>
    <xf numFmtId="0" fontId="26" fillId="2" borderId="2" xfId="0" applyNumberFormat="1" applyFont="1" applyFill="1" applyBorder="1" applyAlignment="1">
      <alignment horizontal="center" vertical="center" wrapText="1"/>
    </xf>
    <xf numFmtId="0" fontId="26" fillId="2" borderId="5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0" fontId="0" fillId="0" borderId="0" xfId="0" applyFill="1" applyProtection="1">
      <alignment vertical="center"/>
    </xf>
    <xf numFmtId="0" fontId="0" fillId="0" borderId="0" xfId="0" applyFont="1" applyFill="1" applyAlignment="1" applyProtection="1">
      <alignment vertical="center"/>
    </xf>
    <xf numFmtId="0" fontId="0" fillId="0" borderId="0" xfId="0" applyFont="1" applyFill="1" applyAlignment="1" applyProtection="1">
      <alignment horizontal="center" vertical="center"/>
    </xf>
    <xf numFmtId="0" fontId="0" fillId="0" borderId="0" xfId="0" applyNumberFormat="1" applyFont="1" applyFill="1" applyAlignment="1" applyProtection="1">
      <alignment horizontal="center" vertical="center"/>
    </xf>
    <xf numFmtId="0" fontId="0" fillId="0" borderId="0" xfId="0" applyProtection="1">
      <alignment vertical="center"/>
    </xf>
    <xf numFmtId="179" fontId="27" fillId="0" borderId="0" xfId="0" applyNumberFormat="1" applyFont="1" applyFill="1" applyAlignment="1" applyProtection="1">
      <alignment horizontal="center" vertical="center"/>
    </xf>
    <xf numFmtId="179" fontId="27" fillId="2" borderId="0" xfId="0" applyNumberFormat="1" applyFont="1" applyFill="1" applyAlignment="1" applyProtection="1">
      <alignment horizontal="center" vertical="center"/>
    </xf>
    <xf numFmtId="0" fontId="27" fillId="2" borderId="0" xfId="0" applyFont="1" applyFill="1" applyAlignment="1" applyProtection="1">
      <alignment horizontal="center"/>
    </xf>
    <xf numFmtId="0" fontId="27" fillId="0" borderId="0" xfId="0" applyNumberFormat="1" applyFont="1" applyFill="1" applyAlignment="1" applyProtection="1">
      <alignment horizontal="center" vertical="center"/>
    </xf>
    <xf numFmtId="0" fontId="28" fillId="0" borderId="0" xfId="0" applyFont="1" applyFill="1" applyAlignment="1" applyProtection="1">
      <alignment vertical="center"/>
    </xf>
    <xf numFmtId="180" fontId="29" fillId="4" borderId="7" xfId="0" applyNumberFormat="1" applyFont="1" applyFill="1" applyBorder="1" applyAlignment="1" applyProtection="1">
      <alignment horizontal="right" vertical="center"/>
      <protection locked="0"/>
    </xf>
    <xf numFmtId="180" fontId="29" fillId="4" borderId="0" xfId="0" applyNumberFormat="1" applyFont="1" applyFill="1" applyAlignment="1" applyProtection="1">
      <alignment horizontal="right" vertical="center"/>
      <protection locked="0"/>
    </xf>
    <xf numFmtId="180" fontId="30" fillId="0" borderId="0" xfId="0" applyNumberFormat="1" applyFont="1" applyFill="1" applyBorder="1" applyAlignment="1" applyProtection="1">
      <alignment vertical="center"/>
      <protection locked="0"/>
    </xf>
    <xf numFmtId="14" fontId="30" fillId="5" borderId="8" xfId="0" applyNumberFormat="1" applyFont="1" applyFill="1" applyBorder="1" applyAlignment="1" applyProtection="1">
      <alignment horizontal="center" vertical="center"/>
      <protection locked="0"/>
    </xf>
    <xf numFmtId="0" fontId="31" fillId="6" borderId="0" xfId="0" applyFont="1" applyFill="1" applyAlignment="1" applyProtection="1">
      <alignment horizontal="center" vertical="center"/>
      <protection locked="0"/>
    </xf>
    <xf numFmtId="14" fontId="30" fillId="5" borderId="9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 applyProtection="1">
      <alignment horizontal="center" vertical="center"/>
    </xf>
    <xf numFmtId="0" fontId="33" fillId="0" borderId="10" xfId="0" applyNumberFormat="1" applyFont="1" applyFill="1" applyBorder="1" applyAlignment="1" applyProtection="1">
      <alignment horizontal="center" vertical="center"/>
    </xf>
    <xf numFmtId="0" fontId="34" fillId="0" borderId="10" xfId="0" applyNumberFormat="1" applyFont="1" applyFill="1" applyBorder="1" applyAlignment="1" applyProtection="1">
      <alignment horizontal="center" vertical="center"/>
    </xf>
    <xf numFmtId="181" fontId="34" fillId="0" borderId="10" xfId="0" applyNumberFormat="1" applyFont="1" applyFill="1" applyBorder="1" applyAlignment="1" applyProtection="1">
      <alignment horizontal="center" vertical="center"/>
    </xf>
    <xf numFmtId="0" fontId="30" fillId="0" borderId="0" xfId="0" applyFont="1" applyFill="1" applyAlignment="1" applyProtection="1">
      <alignment horizontal="center" vertical="center"/>
    </xf>
    <xf numFmtId="0" fontId="32" fillId="0" borderId="0" xfId="0" applyFont="1" applyFill="1" applyAlignment="1" applyProtection="1">
      <alignment horizontal="center"/>
    </xf>
    <xf numFmtId="0" fontId="27" fillId="2" borderId="0" xfId="0" applyNumberFormat="1" applyFont="1" applyFill="1" applyAlignment="1" applyProtection="1">
      <alignment horizontal="center" vertical="center"/>
    </xf>
    <xf numFmtId="0" fontId="32" fillId="0" borderId="0" xfId="0" applyFont="1" applyAlignment="1" applyProtection="1">
      <alignment horizontal="center" vertical="center"/>
    </xf>
    <xf numFmtId="0" fontId="30" fillId="0" borderId="11" xfId="0" applyNumberFormat="1" applyFont="1" applyFill="1" applyBorder="1" applyAlignment="1" applyProtection="1">
      <alignment horizontal="center" vertical="center"/>
    </xf>
    <xf numFmtId="0" fontId="30" fillId="0" borderId="0" xfId="0" applyNumberFormat="1" applyFont="1" applyFill="1" applyBorder="1" applyAlignment="1" applyProtection="1">
      <alignment horizontal="center" vertical="center"/>
    </xf>
    <xf numFmtId="0" fontId="35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Alignment="1" applyProtection="1">
      <alignment horizontal="center" vertical="center"/>
      <protection locked="0"/>
    </xf>
    <xf numFmtId="179" fontId="36" fillId="2" borderId="10" xfId="0" applyNumberFormat="1" applyFont="1" applyFill="1" applyBorder="1" applyAlignment="1" applyProtection="1">
      <alignment horizontal="center" vertical="center"/>
    </xf>
    <xf numFmtId="0" fontId="36" fillId="2" borderId="10" xfId="0" applyNumberFormat="1" applyFont="1" applyFill="1" applyBorder="1" applyAlignment="1" applyProtection="1">
      <alignment horizontal="center" vertical="center"/>
    </xf>
    <xf numFmtId="0" fontId="36" fillId="2" borderId="10" xfId="0" applyNumberFormat="1" applyFont="1" applyFill="1" applyBorder="1" applyAlignment="1" applyProtection="1">
      <alignment horizontal="center" vertical="center"/>
      <protection locked="0"/>
    </xf>
    <xf numFmtId="0" fontId="36" fillId="2" borderId="0" xfId="0" applyFont="1" applyFill="1" applyAlignment="1" applyProtection="1">
      <alignment horizontal="center"/>
    </xf>
    <xf numFmtId="0" fontId="37" fillId="0" borderId="10" xfId="0" applyNumberFormat="1" applyFont="1" applyFill="1" applyBorder="1" applyAlignment="1" applyProtection="1">
      <alignment horizontal="center" vertical="center"/>
    </xf>
    <xf numFmtId="0" fontId="37" fillId="0" borderId="10" xfId="0" applyNumberFormat="1" applyFont="1" applyFill="1" applyBorder="1" applyAlignment="1" applyProtection="1">
      <alignment horizontal="center" vertical="center"/>
      <protection locked="0"/>
    </xf>
    <xf numFmtId="0" fontId="28" fillId="0" borderId="0" xfId="0" applyFont="1" applyAlignment="1" applyProtection="1">
      <alignment horizontal="center" vertical="center"/>
    </xf>
    <xf numFmtId="0" fontId="38" fillId="0" borderId="10" xfId="0" applyNumberFormat="1" applyFont="1" applyFill="1" applyBorder="1" applyAlignment="1" applyProtection="1">
      <alignment horizontal="center" vertical="center"/>
    </xf>
    <xf numFmtId="0" fontId="38" fillId="0" borderId="10" xfId="0" applyNumberFormat="1" applyFont="1" applyFill="1" applyBorder="1" applyAlignment="1" applyProtection="1">
      <alignment horizontal="center" vertical="center"/>
      <protection locked="0"/>
    </xf>
    <xf numFmtId="181" fontId="38" fillId="0" borderId="10" xfId="0" applyNumberFormat="1" applyFont="1" applyFill="1" applyBorder="1" applyAlignment="1" applyProtection="1">
      <alignment horizontal="center" vertical="center"/>
    </xf>
    <xf numFmtId="0" fontId="0" fillId="0" borderId="0" xfId="0" applyFont="1" applyFill="1" applyAlignment="1" applyProtection="1">
      <alignment horizontal="center" vertical="center"/>
      <protection locked="0"/>
    </xf>
    <xf numFmtId="179" fontId="36" fillId="2" borderId="12" xfId="0" applyNumberFormat="1" applyFont="1" applyFill="1" applyBorder="1" applyAlignment="1" applyProtection="1">
      <alignment horizontal="center" vertical="center"/>
      <protection locked="0"/>
    </xf>
    <xf numFmtId="179" fontId="36" fillId="2" borderId="13" xfId="0" applyNumberFormat="1" applyFont="1" applyFill="1" applyBorder="1" applyAlignment="1" applyProtection="1">
      <alignment horizontal="center" vertical="center"/>
    </xf>
    <xf numFmtId="179" fontId="36" fillId="2" borderId="13" xfId="0" applyNumberFormat="1" applyFont="1" applyFill="1" applyBorder="1" applyAlignment="1" applyProtection="1">
      <alignment horizontal="center" vertical="center"/>
      <protection locked="0"/>
    </xf>
    <xf numFmtId="179" fontId="36" fillId="2" borderId="14" xfId="0" applyNumberFormat="1" applyFont="1" applyFill="1" applyBorder="1" applyAlignment="1" applyProtection="1">
      <alignment horizontal="center" vertical="center"/>
    </xf>
    <xf numFmtId="0" fontId="29" fillId="2" borderId="0" xfId="0" applyFont="1" applyFill="1" applyAlignment="1" applyProtection="1">
      <alignment horizontal="center" vertical="center"/>
    </xf>
    <xf numFmtId="0" fontId="33" fillId="0" borderId="10" xfId="0" applyNumberFormat="1" applyFont="1" applyFill="1" applyBorder="1" applyAlignment="1" applyProtection="1">
      <alignment horizontal="center" vertical="center"/>
      <protection locked="0"/>
    </xf>
    <xf numFmtId="0" fontId="34" fillId="0" borderId="10" xfId="0" applyNumberFormat="1" applyFont="1" applyFill="1" applyBorder="1" applyAlignment="1" applyProtection="1">
      <alignment horizontal="center" vertical="center"/>
      <protection locked="0"/>
    </xf>
    <xf numFmtId="0" fontId="39" fillId="2" borderId="0" xfId="0" applyFont="1" applyFill="1" applyAlignment="1" applyProtection="1">
      <alignment horizontal="center"/>
    </xf>
    <xf numFmtId="179" fontId="39" fillId="0" borderId="0" xfId="0" applyNumberFormat="1" applyFont="1" applyFill="1" applyAlignment="1" applyProtection="1">
      <alignment horizontal="center" vertical="center"/>
    </xf>
    <xf numFmtId="0" fontId="6" fillId="0" borderId="0" xfId="0" applyFont="1" applyFill="1" applyAlignment="1" applyProtection="1">
      <alignment vertical="center"/>
    </xf>
    <xf numFmtId="180" fontId="29" fillId="4" borderId="7" xfId="0" applyNumberFormat="1" applyFont="1" applyFill="1" applyBorder="1" applyAlignment="1" applyProtection="1">
      <alignment horizontal="right" vertical="center"/>
    </xf>
    <xf numFmtId="180" fontId="29" fillId="4" borderId="0" xfId="0" applyNumberFormat="1" applyFont="1" applyFill="1" applyAlignment="1" applyProtection="1">
      <alignment horizontal="right" vertical="center"/>
    </xf>
    <xf numFmtId="180" fontId="30" fillId="0" borderId="0" xfId="0" applyNumberFormat="1" applyFont="1" applyFill="1" applyBorder="1" applyAlignment="1" applyProtection="1">
      <alignment vertical="center"/>
    </xf>
    <xf numFmtId="14" fontId="30" fillId="5" borderId="15" xfId="0" applyNumberFormat="1" applyFont="1" applyFill="1" applyBorder="1" applyAlignment="1" applyProtection="1">
      <alignment horizontal="center" vertical="center"/>
      <protection locked="0"/>
    </xf>
    <xf numFmtId="0" fontId="31" fillId="6" borderId="0" xfId="0" applyFont="1" applyFill="1" applyBorder="1" applyAlignment="1" applyProtection="1">
      <alignment horizontal="center" vertical="center"/>
    </xf>
    <xf numFmtId="14" fontId="30" fillId="0" borderId="15" xfId="0" applyNumberFormat="1" applyFont="1" applyFill="1" applyBorder="1" applyAlignment="1" applyProtection="1">
      <alignment horizontal="center" vertical="center"/>
      <protection locked="0"/>
    </xf>
    <xf numFmtId="179" fontId="40" fillId="0" borderId="0" xfId="0" applyNumberFormat="1" applyFont="1" applyFill="1" applyAlignment="1" applyProtection="1">
      <alignment horizontal="center" vertical="top"/>
    </xf>
    <xf numFmtId="0" fontId="33" fillId="0" borderId="10" xfId="0" applyNumberFormat="1" applyFont="1" applyFill="1" applyBorder="1" applyAlignment="1" applyProtection="1">
      <alignment vertical="center"/>
    </xf>
    <xf numFmtId="0" fontId="34" fillId="0" borderId="10" xfId="0" applyNumberFormat="1" applyFont="1" applyFill="1" applyBorder="1" applyAlignment="1" applyProtection="1">
      <alignment vertical="center"/>
    </xf>
    <xf numFmtId="0" fontId="30" fillId="0" borderId="0" xfId="0" applyFont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0" fontId="0" fillId="7" borderId="0" xfId="0" applyFont="1" applyFill="1" applyAlignment="1" applyProtection="1">
      <alignment horizontal="center" vertical="center"/>
    </xf>
    <xf numFmtId="0" fontId="0" fillId="7" borderId="0" xfId="0" applyFill="1" applyAlignment="1" applyProtection="1">
      <alignment horizontal="center" vertical="center"/>
    </xf>
    <xf numFmtId="0" fontId="27" fillId="2" borderId="0" xfId="0" applyFont="1" applyFill="1" applyAlignment="1" applyProtection="1">
      <alignment horizontal="center" vertical="center"/>
    </xf>
    <xf numFmtId="180" fontId="29" fillId="4" borderId="7" xfId="0" applyNumberFormat="1" applyFont="1" applyFill="1" applyBorder="1" applyAlignment="1" applyProtection="1">
      <alignment horizontal="center" vertical="center"/>
      <protection locked="0"/>
    </xf>
    <xf numFmtId="180" fontId="29" fillId="4" borderId="0" xfId="0" applyNumberFormat="1" applyFont="1" applyFill="1" applyAlignment="1" applyProtection="1">
      <alignment horizontal="center" vertical="center"/>
      <protection locked="0"/>
    </xf>
    <xf numFmtId="0" fontId="0" fillId="0" borderId="0" xfId="0" applyFill="1" applyProtection="1">
      <alignment vertical="center"/>
      <protection locked="0"/>
    </xf>
    <xf numFmtId="0" fontId="31" fillId="6" borderId="0" xfId="0" applyFont="1" applyFill="1" applyBorder="1" applyAlignment="1" applyProtection="1">
      <alignment horizontal="center" vertical="center"/>
      <protection locked="0"/>
    </xf>
    <xf numFmtId="0" fontId="0" fillId="0" borderId="0" xfId="0" applyFill="1" applyAlignment="1" applyProtection="1">
      <alignment horizontal="center" vertical="center"/>
    </xf>
    <xf numFmtId="179" fontId="41" fillId="6" borderId="12" xfId="0" applyNumberFormat="1" applyFont="1" applyFill="1" applyBorder="1" applyAlignment="1" applyProtection="1">
      <alignment horizontal="center" vertical="center"/>
    </xf>
    <xf numFmtId="179" fontId="41" fillId="6" borderId="13" xfId="0" applyNumberFormat="1" applyFont="1" applyFill="1" applyBorder="1" applyAlignment="1" applyProtection="1">
      <alignment horizontal="center" vertical="center"/>
    </xf>
    <xf numFmtId="179" fontId="41" fillId="6" borderId="14" xfId="0" applyNumberFormat="1" applyFont="1" applyFill="1" applyBorder="1" applyAlignment="1" applyProtection="1">
      <alignment horizontal="center" vertical="center"/>
    </xf>
    <xf numFmtId="0" fontId="33" fillId="8" borderId="10" xfId="0" applyNumberFormat="1" applyFont="1" applyFill="1" applyBorder="1" applyAlignment="1" applyProtection="1">
      <alignment horizontal="center" vertical="center"/>
    </xf>
    <xf numFmtId="180" fontId="34" fillId="0" borderId="10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 applyProtection="1">
      <alignment horizontal="center" vertical="center"/>
    </xf>
    <xf numFmtId="14" fontId="30" fillId="4" borderId="15" xfId="0" applyNumberFormat="1" applyFont="1" applyFill="1" applyBorder="1" applyAlignment="1" applyProtection="1">
      <alignment horizontal="center" vertical="center"/>
      <protection locked="0"/>
    </xf>
    <xf numFmtId="14" fontId="30" fillId="7" borderId="15" xfId="0" applyNumberFormat="1" applyFont="1" applyFill="1" applyBorder="1" applyAlignment="1" applyProtection="1">
      <alignment horizontal="center" vertical="center"/>
    </xf>
    <xf numFmtId="179" fontId="41" fillId="0" borderId="12" xfId="0" applyNumberFormat="1" applyFont="1" applyFill="1" applyBorder="1" applyAlignment="1" applyProtection="1">
      <alignment horizontal="center" vertical="center"/>
    </xf>
    <xf numFmtId="179" fontId="41" fillId="0" borderId="13" xfId="0" applyNumberFormat="1" applyFont="1" applyFill="1" applyBorder="1" applyAlignment="1" applyProtection="1">
      <alignment horizontal="center" vertical="center"/>
    </xf>
    <xf numFmtId="179" fontId="41" fillId="0" borderId="14" xfId="0" applyNumberFormat="1" applyFont="1" applyFill="1" applyBorder="1" applyAlignment="1" applyProtection="1">
      <alignment horizontal="center" vertical="center"/>
    </xf>
    <xf numFmtId="0" fontId="42" fillId="0" borderId="0" xfId="0" applyFont="1" applyFill="1" applyAlignment="1" applyProtection="1">
      <alignment vertical="center"/>
    </xf>
    <xf numFmtId="179" fontId="36" fillId="9" borderId="10" xfId="0" applyNumberFormat="1" applyFont="1" applyFill="1" applyBorder="1" applyAlignment="1" applyProtection="1">
      <alignment horizontal="center" vertical="center"/>
      <protection locked="0"/>
    </xf>
    <xf numFmtId="179" fontId="36" fillId="9" borderId="10" xfId="0" applyNumberFormat="1" applyFont="1" applyFill="1" applyBorder="1" applyAlignment="1" applyProtection="1">
      <alignment horizontal="center" vertical="center"/>
    </xf>
    <xf numFmtId="0" fontId="43" fillId="2" borderId="0" xfId="0" applyFont="1" applyFill="1" applyProtection="1">
      <alignment vertical="center"/>
    </xf>
    <xf numFmtId="14" fontId="34" fillId="0" borderId="10" xfId="0" applyNumberFormat="1" applyFont="1" applyFill="1" applyBorder="1" applyAlignment="1" applyProtection="1">
      <alignment horizontal="center" vertical="center"/>
      <protection locked="0"/>
    </xf>
    <xf numFmtId="181" fontId="34" fillId="0" borderId="10" xfId="0" applyNumberFormat="1" applyFont="1" applyFill="1" applyBorder="1" applyAlignment="1" applyProtection="1">
      <alignment horizontal="center" vertical="center"/>
      <protection locked="0"/>
    </xf>
    <xf numFmtId="49" fontId="44" fillId="0" borderId="10" xfId="0" applyNumberFormat="1" applyFont="1" applyFill="1" applyBorder="1" applyAlignment="1">
      <alignment horizontal="center" vertical="center" wrapText="1"/>
    </xf>
    <xf numFmtId="58" fontId="34" fillId="0" borderId="10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ont="1" applyFill="1" applyAlignment="1">
      <alignment horizontal="center" vertical="center"/>
    </xf>
    <xf numFmtId="0" fontId="0" fillId="0" borderId="0" xfId="0" applyNumberFormat="1" applyFont="1" applyFill="1" applyAlignment="1">
      <alignment horizontal="center" vertical="center"/>
    </xf>
    <xf numFmtId="181" fontId="0" fillId="0" borderId="0" xfId="0" applyNumberFormat="1" applyFont="1" applyFill="1" applyAlignment="1">
      <alignment horizontal="center" vertical="center"/>
    </xf>
    <xf numFmtId="0" fontId="43" fillId="2" borderId="0" xfId="0" applyFont="1" applyFill="1">
      <alignment vertical="center"/>
    </xf>
    <xf numFmtId="181" fontId="33" fillId="0" borderId="1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Fill="1" applyProtection="1">
      <alignment vertical="center"/>
    </xf>
    <xf numFmtId="0" fontId="6" fillId="0" borderId="0" xfId="0" applyFont="1" applyFill="1" applyAlignment="1" applyProtection="1">
      <alignment horizontal="center" vertical="center"/>
    </xf>
    <xf numFmtId="179" fontId="45" fillId="9" borderId="10" xfId="0" applyNumberFormat="1" applyFont="1" applyFill="1" applyBorder="1" applyAlignment="1" applyProtection="1">
      <alignment horizontal="center" vertical="center"/>
    </xf>
    <xf numFmtId="0" fontId="6" fillId="0" borderId="16" xfId="0" applyFont="1" applyFill="1" applyBorder="1" applyAlignment="1" applyProtection="1">
      <alignment vertical="center"/>
    </xf>
    <xf numFmtId="0" fontId="6" fillId="0" borderId="17" xfId="0" applyFont="1" applyFill="1" applyBorder="1" applyAlignment="1" applyProtection="1">
      <alignment vertical="center"/>
    </xf>
    <xf numFmtId="0" fontId="6" fillId="0" borderId="10" xfId="0" applyNumberFormat="1" applyFont="1" applyFill="1" applyBorder="1" applyAlignment="1" applyProtection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/>
      <protection locked="0"/>
    </xf>
    <xf numFmtId="0" fontId="6" fillId="0" borderId="18" xfId="0" applyFont="1" applyFill="1" applyBorder="1" applyAlignment="1" applyProtection="1">
      <alignment vertical="center"/>
    </xf>
    <xf numFmtId="0" fontId="6" fillId="0" borderId="19" xfId="0" applyFont="1" applyFill="1" applyBorder="1" applyAlignment="1" applyProtection="1">
      <alignment vertical="center"/>
    </xf>
    <xf numFmtId="0" fontId="46" fillId="0" borderId="10" xfId="0" applyNumberFormat="1" applyFont="1" applyFill="1" applyBorder="1" applyAlignment="1" applyProtection="1">
      <alignment horizontal="center" vertical="center"/>
      <protection locked="0"/>
    </xf>
    <xf numFmtId="0" fontId="44" fillId="7" borderId="10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 applyProtection="1">
      <alignment vertical="center"/>
    </xf>
    <xf numFmtId="0" fontId="6" fillId="0" borderId="0" xfId="0" applyNumberFormat="1" applyFont="1" applyFill="1" applyAlignment="1" applyProtection="1">
      <alignment horizontal="center" vertical="center"/>
    </xf>
    <xf numFmtId="181" fontId="6" fillId="0" borderId="0" xfId="0" applyNumberFormat="1" applyFont="1" applyFill="1" applyAlignment="1" applyProtection="1">
      <alignment horizontal="center" vertical="center"/>
    </xf>
    <xf numFmtId="0" fontId="6" fillId="0" borderId="0" xfId="0" applyFont="1" applyAlignment="1" applyProtection="1">
      <alignment horizontal="center" vertical="center"/>
    </xf>
    <xf numFmtId="179" fontId="39" fillId="9" borderId="21" xfId="0" applyNumberFormat="1" applyFont="1" applyFill="1" applyBorder="1" applyAlignment="1" applyProtection="1">
      <alignment horizontal="center" vertical="center"/>
    </xf>
    <xf numFmtId="0" fontId="39" fillId="9" borderId="21" xfId="0" applyNumberFormat="1" applyFont="1" applyFill="1" applyBorder="1" applyAlignment="1" applyProtection="1">
      <alignment horizontal="center" vertical="center"/>
    </xf>
    <xf numFmtId="181" fontId="39" fillId="9" borderId="21" xfId="0" applyNumberFormat="1" applyFont="1" applyFill="1" applyBorder="1" applyAlignment="1" applyProtection="1">
      <alignment horizontal="center" vertical="center"/>
    </xf>
    <xf numFmtId="0" fontId="44" fillId="0" borderId="22" xfId="0" applyNumberFormat="1" applyFont="1" applyFill="1" applyBorder="1" applyAlignment="1" applyProtection="1">
      <alignment horizontal="center" vertical="center"/>
    </xf>
    <xf numFmtId="181" fontId="44" fillId="0" borderId="22" xfId="0" applyNumberFormat="1" applyFont="1" applyFill="1" applyBorder="1" applyAlignment="1" applyProtection="1">
      <alignment horizontal="center" vertical="center"/>
    </xf>
    <xf numFmtId="0" fontId="44" fillId="0" borderId="17" xfId="0" applyNumberFormat="1" applyFont="1" applyFill="1" applyBorder="1" applyAlignment="1" applyProtection="1">
      <alignment horizontal="center" vertical="center"/>
    </xf>
    <xf numFmtId="0" fontId="46" fillId="0" borderId="17" xfId="0" applyNumberFormat="1" applyFont="1" applyFill="1" applyBorder="1" applyAlignment="1">
      <alignment horizontal="center" vertical="center"/>
    </xf>
    <xf numFmtId="0" fontId="46" fillId="0" borderId="17" xfId="0" applyFont="1" applyFill="1" applyBorder="1" applyAlignment="1">
      <alignment horizontal="center" vertical="center"/>
    </xf>
    <xf numFmtId="0" fontId="44" fillId="0" borderId="17" xfId="0" applyNumberFormat="1" applyFont="1" applyFill="1" applyBorder="1" applyAlignment="1" applyProtection="1">
      <alignment horizontal="center" vertical="center"/>
      <protection locked="0"/>
    </xf>
    <xf numFmtId="181" fontId="44" fillId="0" borderId="17" xfId="0" applyNumberFormat="1" applyFont="1" applyFill="1" applyBorder="1" applyAlignment="1" applyProtection="1">
      <alignment horizontal="center" vertical="center"/>
      <protection locked="0"/>
    </xf>
    <xf numFmtId="181" fontId="44" fillId="0" borderId="17" xfId="0" applyNumberFormat="1" applyFont="1" applyFill="1" applyBorder="1" applyAlignment="1">
      <alignment horizontal="center" vertical="center"/>
    </xf>
    <xf numFmtId="0" fontId="47" fillId="0" borderId="17" xfId="0" applyFont="1" applyFill="1" applyBorder="1" applyAlignment="1">
      <alignment horizontal="center" vertical="center"/>
    </xf>
    <xf numFmtId="181" fontId="47" fillId="0" borderId="17" xfId="0" applyNumberFormat="1" applyFont="1" applyFill="1" applyBorder="1" applyAlignment="1">
      <alignment horizontal="center" vertical="center"/>
    </xf>
    <xf numFmtId="181" fontId="6" fillId="0" borderId="17" xfId="0" applyNumberFormat="1" applyFont="1" applyFill="1" applyBorder="1" applyAlignment="1">
      <alignment horizontal="center" vertical="center"/>
    </xf>
    <xf numFmtId="182" fontId="44" fillId="0" borderId="17" xfId="0" applyNumberFormat="1" applyFont="1" applyFill="1" applyBorder="1" applyAlignment="1">
      <alignment horizontal="center" vertical="center"/>
    </xf>
    <xf numFmtId="0" fontId="6" fillId="0" borderId="17" xfId="0" applyNumberFormat="1" applyFont="1" applyFill="1" applyBorder="1" applyAlignment="1" applyProtection="1">
      <alignment horizontal="center" vertical="center"/>
    </xf>
    <xf numFmtId="181" fontId="6" fillId="0" borderId="17" xfId="0" applyNumberFormat="1" applyFont="1" applyFill="1" applyBorder="1" applyAlignment="1" applyProtection="1">
      <alignment horizontal="center" vertical="center"/>
    </xf>
    <xf numFmtId="0" fontId="6" fillId="0" borderId="17" xfId="0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48" fillId="2" borderId="0" xfId="0" applyNumberFormat="1" applyFont="1" applyFill="1" applyAlignment="1">
      <alignment horizontal="center" vertical="center"/>
    </xf>
    <xf numFmtId="0" fontId="49" fillId="0" borderId="23" xfId="0" applyNumberFormat="1" applyFont="1" applyFill="1" applyBorder="1" applyAlignment="1">
      <alignment horizontal="center" vertical="center"/>
    </xf>
    <xf numFmtId="0" fontId="50" fillId="0" borderId="23" xfId="0" applyNumberFormat="1" applyFont="1" applyFill="1" applyBorder="1" applyAlignment="1">
      <alignment horizontal="center" vertical="center"/>
    </xf>
    <xf numFmtId="0" fontId="51" fillId="0" borderId="24" xfId="0" applyNumberFormat="1" applyFont="1" applyFill="1" applyBorder="1" applyAlignment="1">
      <alignment vertical="center"/>
    </xf>
    <xf numFmtId="14" fontId="52" fillId="0" borderId="24" xfId="0" applyNumberFormat="1" applyFont="1" applyFill="1" applyBorder="1" applyAlignment="1">
      <alignment horizontal="right" vertical="center"/>
    </xf>
    <xf numFmtId="14" fontId="52" fillId="0" borderId="24" xfId="0" applyNumberFormat="1" applyFont="1" applyFill="1" applyBorder="1" applyAlignment="1">
      <alignment horizontal="center" vertical="center"/>
    </xf>
    <xf numFmtId="0" fontId="52" fillId="0" borderId="24" xfId="0" applyNumberFormat="1" applyFont="1" applyFill="1" applyBorder="1" applyAlignment="1">
      <alignment vertical="center"/>
    </xf>
    <xf numFmtId="0" fontId="53" fillId="0" borderId="24" xfId="0" applyNumberFormat="1" applyFont="1" applyFill="1" applyBorder="1" applyAlignment="1">
      <alignment vertical="center"/>
    </xf>
    <xf numFmtId="0" fontId="9" fillId="0" borderId="25" xfId="0" applyNumberFormat="1" applyFont="1" applyFill="1" applyBorder="1" applyAlignment="1">
      <alignment vertical="center"/>
    </xf>
    <xf numFmtId="0" fontId="48" fillId="2" borderId="0" xfId="0" applyNumberFormat="1" applyFont="1" applyFill="1" applyAlignment="1">
      <alignment vertical="center"/>
    </xf>
    <xf numFmtId="0" fontId="33" fillId="0" borderId="0" xfId="0" applyNumberFormat="1" applyFont="1" applyFill="1" applyAlignment="1">
      <alignment horizontal="center" vertical="center"/>
    </xf>
    <xf numFmtId="0" fontId="33" fillId="0" borderId="0" xfId="0" applyNumberFormat="1" applyFont="1" applyFill="1" applyAlignment="1">
      <alignment vertical="center"/>
    </xf>
    <xf numFmtId="0" fontId="33" fillId="0" borderId="26" xfId="0" applyNumberFormat="1" applyFont="1" applyFill="1" applyBorder="1" applyAlignment="1">
      <alignment vertical="center"/>
    </xf>
    <xf numFmtId="0" fontId="54" fillId="0" borderId="0" xfId="0" applyNumberFormat="1" applyFont="1" applyFill="1" applyAlignment="1">
      <alignment vertical="center"/>
    </xf>
    <xf numFmtId="0" fontId="55" fillId="0" borderId="0" xfId="0" applyNumberFormat="1" applyFont="1" applyFill="1" applyAlignment="1">
      <alignment horizontal="center" vertical="center"/>
    </xf>
    <xf numFmtId="0" fontId="56" fillId="0" borderId="0" xfId="0" applyNumberFormat="1" applyFont="1" applyFill="1" applyAlignment="1">
      <alignment horizontal="center" vertical="center"/>
    </xf>
    <xf numFmtId="180" fontId="52" fillId="0" borderId="8" xfId="0" applyNumberFormat="1" applyFont="1" applyFill="1" applyBorder="1" applyAlignment="1">
      <alignment horizontal="right" vertical="center"/>
    </xf>
    <xf numFmtId="180" fontId="52" fillId="0" borderId="27" xfId="0" applyNumberFormat="1" applyFont="1" applyFill="1" applyBorder="1" applyAlignment="1">
      <alignment horizontal="right" vertical="center"/>
    </xf>
    <xf numFmtId="183" fontId="52" fillId="0" borderId="27" xfId="0" applyNumberFormat="1" applyFont="1" applyFill="1" applyBorder="1" applyAlignment="1">
      <alignment horizontal="center" vertical="center"/>
    </xf>
    <xf numFmtId="183" fontId="52" fillId="0" borderId="9" xfId="0" applyNumberFormat="1" applyFont="1" applyFill="1" applyBorder="1" applyAlignment="1">
      <alignment horizontal="center" vertical="center"/>
    </xf>
    <xf numFmtId="0" fontId="57" fillId="0" borderId="0" xfId="0" applyNumberFormat="1" applyFont="1" applyFill="1" applyAlignment="1">
      <alignment horizontal="left" vertical="center"/>
    </xf>
    <xf numFmtId="0" fontId="58" fillId="0" borderId="0" xfId="0" applyNumberFormat="1" applyFont="1" applyFill="1" applyAlignment="1">
      <alignment horizontal="left" vertical="center"/>
    </xf>
    <xf numFmtId="0" fontId="33" fillId="0" borderId="28" xfId="0" applyNumberFormat="1" applyFont="1" applyFill="1" applyBorder="1" applyAlignment="1">
      <alignment horizontal="center" vertical="center"/>
    </xf>
    <xf numFmtId="0" fontId="17" fillId="0" borderId="28" xfId="0" applyNumberFormat="1" applyFont="1" applyFill="1" applyBorder="1" applyAlignment="1">
      <alignment vertical="center"/>
    </xf>
    <xf numFmtId="0" fontId="0" fillId="2" borderId="23" xfId="0" applyNumberFormat="1" applyFont="1" applyFill="1" applyBorder="1" applyAlignment="1">
      <alignment vertical="center"/>
    </xf>
    <xf numFmtId="0" fontId="0" fillId="2" borderId="0" xfId="0" applyNumberFormat="1" applyFont="1" applyFill="1" applyAlignment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ill>
        <patternFill patternType="solid">
          <bgColor rgb="FFFF9900"/>
        </patternFill>
      </fill>
    </dxf>
    <dxf>
      <font>
        <b val="1"/>
        <i val="0"/>
        <color theme="1"/>
      </font>
      <fill>
        <patternFill patternType="solid">
          <bgColor rgb="FFA9D08E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1"/>
        <i val="0"/>
        <color theme="0"/>
      </font>
      <fill>
        <patternFill patternType="solid">
          <bgColor rgb="FF00CC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1"/>
        <i val="0"/>
        <color theme="0"/>
      </font>
      <fill>
        <patternFill patternType="solid">
          <bgColor rgb="FF00CC00"/>
        </patternFill>
      </fill>
    </dxf>
    <dxf>
      <font>
        <color rgb="FFA9D08E"/>
      </font>
    </dxf>
    <dxf>
      <font>
        <color theme="0"/>
      </font>
    </dxf>
    <dxf>
      <font>
        <b val="1"/>
        <i val="0"/>
        <color rgb="FFFFC000"/>
      </font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0000CC00"/>
      <color rgb="00A9D08E"/>
      <color rgb="00F79646"/>
      <color rgb="00656A5C"/>
      <color rgb="007DB0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externalLink" Target="externalLinks/externalLink2.xml"/><Relationship Id="rId17" Type="http://schemas.openxmlformats.org/officeDocument/2006/relationships/externalLink" Target="externalLinks/externalLink1.xml"/><Relationship Id="rId16" Type="http://schemas.openxmlformats.org/officeDocument/2006/relationships/customXml" Target="../customXml/item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hyperlink" Target="#&#32039;&#24613;&#37319;&#36141;&#26126;&#32454;!A1"/><Relationship Id="rId8" Type="http://schemas.openxmlformats.org/officeDocument/2006/relationships/hyperlink" Target="#'&#37319;&#36141;&#24405;&#20837;&#65288;&#26126;&#32454;&#65289;'!A1"/><Relationship Id="rId7" Type="http://schemas.openxmlformats.org/officeDocument/2006/relationships/hyperlink" Target="#'&#39046;&#29992;&#24405;&#20837;&#65288;&#26126;&#32454;&#65289;'!A1"/><Relationship Id="rId6" Type="http://schemas.openxmlformats.org/officeDocument/2006/relationships/hyperlink" Target="#'&#22522;&#30784;-&#39046;&#29992;&#20154;&#21450;&#37096;&#38376;'!A1"/><Relationship Id="rId5" Type="http://schemas.openxmlformats.org/officeDocument/2006/relationships/hyperlink" Target="#'&#20027;&#39029; '!C41"/><Relationship Id="rId4" Type="http://schemas.openxmlformats.org/officeDocument/2006/relationships/image" Target="../media/image2.wmf"/><Relationship Id="rId3" Type="http://schemas.openxmlformats.org/officeDocument/2006/relationships/hyperlink" Target="#&#20027;&#39029;!A37"/><Relationship Id="rId2" Type="http://schemas.openxmlformats.org/officeDocument/2006/relationships/image" Target="../media/image1.wmf"/><Relationship Id="rId17" Type="http://schemas.openxmlformats.org/officeDocument/2006/relationships/hyperlink" Target="#&#24110;&#21161;&#20013;&#24515;!A1"/><Relationship Id="rId16" Type="http://schemas.openxmlformats.org/officeDocument/2006/relationships/hyperlink" Target="#&#37096;&#38376;&#39046;&#21462;&#27719;&#24635;!A1"/><Relationship Id="rId15" Type="http://schemas.openxmlformats.org/officeDocument/2006/relationships/hyperlink" Target="#&#39046;&#29992;&#27719;&#24635;&#26597;&#35810;!A1"/><Relationship Id="rId14" Type="http://schemas.openxmlformats.org/officeDocument/2006/relationships/hyperlink" Target="#&#20010;&#20154;&#39046;&#21462;&#26126;&#32454;!A1"/><Relationship Id="rId13" Type="http://schemas.openxmlformats.org/officeDocument/2006/relationships/hyperlink" Target="#'&#22522;&#30784;-&#21150;&#20844;&#29992;&#21697;&#20449;&#24687;'!A1"/><Relationship Id="rId12" Type="http://schemas.openxmlformats.org/officeDocument/2006/relationships/hyperlink" Target="#&#37319;&#36141;&#25968;&#37327;&#21644;&#37329;&#39069;&#27719;&#24635;&#26597;&#35810;!A1"/><Relationship Id="rId11" Type="http://schemas.openxmlformats.org/officeDocument/2006/relationships/hyperlink" Target="#&#24403;&#21069;&#24211;&#23384;!A1"/><Relationship Id="rId10" Type="http://schemas.openxmlformats.org/officeDocument/2006/relationships/hyperlink" Target="#&#26399;&#21021;&#24211;&#23384;!A1"/><Relationship Id="rId1" Type="http://schemas.openxmlformats.org/officeDocument/2006/relationships/hyperlink" Target="#&#20107;&#20214;&#35745;&#26102;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&#20027;&#39029; 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&#20027;&#39029; 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&#20027;&#39029; 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&#20027;&#39029; 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&#20027;&#39029; 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&#20027;&#39029; '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'&#20027;&#39029; '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&#20027;&#39029; '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'&#20027;&#39029; '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'&#20027;&#39029; '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&#20027;&#39029; '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&#20027;&#39029; '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'&#20027;&#39029; '!A1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845820</xdr:colOff>
      <xdr:row>2</xdr:row>
      <xdr:rowOff>270510</xdr:rowOff>
    </xdr:from>
    <xdr:to>
      <xdr:col>20</xdr:col>
      <xdr:colOff>149860</xdr:colOff>
      <xdr:row>15</xdr:row>
      <xdr:rowOff>332740</xdr:rowOff>
    </xdr:to>
    <xdr:sp>
      <xdr:nvSpPr>
        <xdr:cNvPr id="73" name="矩形 72"/>
        <xdr:cNvSpPr/>
      </xdr:nvSpPr>
      <xdr:spPr>
        <a:xfrm>
          <a:off x="11052175" y="1720850"/>
          <a:ext cx="2586990" cy="6007735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effectLst>
          <a:outerShdw blurRad="40000" dist="23000" dir="5400000" rotWithShape="0">
            <a:srgbClr val="000000">
              <a:alpha val="35000"/>
            </a:srgbClr>
          </a:outerShdw>
          <a:softEdge rad="3175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393700</xdr:colOff>
      <xdr:row>2</xdr:row>
      <xdr:rowOff>294640</xdr:rowOff>
    </xdr:from>
    <xdr:to>
      <xdr:col>6</xdr:col>
      <xdr:colOff>279400</xdr:colOff>
      <xdr:row>15</xdr:row>
      <xdr:rowOff>308610</xdr:rowOff>
    </xdr:to>
    <xdr:sp>
      <xdr:nvSpPr>
        <xdr:cNvPr id="74" name="矩形 73"/>
        <xdr:cNvSpPr/>
      </xdr:nvSpPr>
      <xdr:spPr>
        <a:xfrm>
          <a:off x="862330" y="1744980"/>
          <a:ext cx="2629535" cy="5959475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effectLst>
          <a:outerShdw blurRad="40000" dist="23000" dir="5400000" rotWithShape="0">
            <a:srgbClr val="000000">
              <a:alpha val="35000"/>
            </a:srgbClr>
          </a:outerShdw>
          <a:softEdge rad="3175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561975</xdr:colOff>
      <xdr:row>2</xdr:row>
      <xdr:rowOff>293370</xdr:rowOff>
    </xdr:from>
    <xdr:to>
      <xdr:col>17</xdr:col>
      <xdr:colOff>9525</xdr:colOff>
      <xdr:row>15</xdr:row>
      <xdr:rowOff>327025</xdr:rowOff>
    </xdr:to>
    <xdr:sp>
      <xdr:nvSpPr>
        <xdr:cNvPr id="72" name="矩形 71"/>
        <xdr:cNvSpPr/>
      </xdr:nvSpPr>
      <xdr:spPr>
        <a:xfrm>
          <a:off x="7625715" y="1743710"/>
          <a:ext cx="2590165" cy="597916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effectLst>
          <a:outerShdw blurRad="40000" dist="23000" dir="5400000" rotWithShape="0">
            <a:srgbClr val="000000">
              <a:alpha val="35000"/>
            </a:srgbClr>
          </a:outerShdw>
          <a:softEdge rad="3175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590550</xdr:colOff>
      <xdr:row>16</xdr:row>
      <xdr:rowOff>226060</xdr:rowOff>
    </xdr:from>
    <xdr:to>
      <xdr:col>16</xdr:col>
      <xdr:colOff>590550</xdr:colOff>
      <xdr:row>17</xdr:row>
      <xdr:rowOff>5080</xdr:rowOff>
    </xdr:to>
    <xdr:pic>
      <xdr:nvPicPr>
        <xdr:cNvPr id="2" name="图片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206355" y="8117205"/>
          <a:ext cx="0" cy="324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16</xdr:col>
      <xdr:colOff>590550</xdr:colOff>
      <xdr:row>18</xdr:row>
      <xdr:rowOff>305435</xdr:rowOff>
    </xdr:from>
    <xdr:to>
      <xdr:col>16</xdr:col>
      <xdr:colOff>590550</xdr:colOff>
      <xdr:row>21</xdr:row>
      <xdr:rowOff>318770</xdr:rowOff>
    </xdr:to>
    <xdr:pic>
      <xdr:nvPicPr>
        <xdr:cNvPr id="3" name="图片 2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206355" y="9237345"/>
          <a:ext cx="0" cy="139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422275</xdr:colOff>
      <xdr:row>17</xdr:row>
      <xdr:rowOff>110490</xdr:rowOff>
    </xdr:from>
    <xdr:to>
      <xdr:col>5</xdr:col>
      <xdr:colOff>20320</xdr:colOff>
      <xdr:row>18</xdr:row>
      <xdr:rowOff>226060</xdr:rowOff>
    </xdr:to>
    <xdr:sp>
      <xdr:nvSpPr>
        <xdr:cNvPr id="4" name="喇叭">
          <a:hlinkClick xmlns:r="http://schemas.openxmlformats.org/officeDocument/2006/relationships" r:id="rId5"/>
        </xdr:cNvPr>
        <xdr:cNvSpPr/>
      </xdr:nvSpPr>
      <xdr:spPr>
        <a:xfrm>
          <a:off x="2008505" y="8547100"/>
          <a:ext cx="735330" cy="610870"/>
        </a:xfrm>
        <a:custGeom>
          <a:avLst/>
          <a:gdLst>
            <a:gd name="T0" fmla="*/ 2147483646 w 534"/>
            <a:gd name="T1" fmla="*/ 2147483646 h 354"/>
            <a:gd name="T2" fmla="*/ 2147483646 w 534"/>
            <a:gd name="T3" fmla="*/ 2147483646 h 354"/>
            <a:gd name="T4" fmla="*/ 2147483646 w 534"/>
            <a:gd name="T5" fmla="*/ 0 h 354"/>
            <a:gd name="T6" fmla="*/ 2147483646 w 534"/>
            <a:gd name="T7" fmla="*/ 2147483646 h 354"/>
            <a:gd name="T8" fmla="*/ 2147483646 w 534"/>
            <a:gd name="T9" fmla="*/ 2147483646 h 354"/>
            <a:gd name="T10" fmla="*/ 2147483646 w 534"/>
            <a:gd name="T11" fmla="*/ 2147483646 h 354"/>
            <a:gd name="T12" fmla="*/ 2147483646 w 534"/>
            <a:gd name="T13" fmla="*/ 2147483646 h 354"/>
            <a:gd name="T14" fmla="*/ 2147483646 w 534"/>
            <a:gd name="T15" fmla="*/ 2147483646 h 354"/>
            <a:gd name="T16" fmla="*/ 2147483646 w 534"/>
            <a:gd name="T17" fmla="*/ 2147483646 h 354"/>
            <a:gd name="T18" fmla="*/ 2147483646 w 534"/>
            <a:gd name="T19" fmla="*/ 2147483646 h 354"/>
            <a:gd name="T20" fmla="*/ 0 w 534"/>
            <a:gd name="T21" fmla="*/ 2147483646 h 354"/>
            <a:gd name="T22" fmla="*/ 0 w 534"/>
            <a:gd name="T23" fmla="*/ 2147483646 h 354"/>
            <a:gd name="T24" fmla="*/ 2147483646 w 534"/>
            <a:gd name="T25" fmla="*/ 2147483646 h 354"/>
            <a:gd name="T26" fmla="*/ 2147483646 w 534"/>
            <a:gd name="T27" fmla="*/ 2147483646 h 354"/>
            <a:gd name="T28" fmla="*/ 2147483646 w 534"/>
            <a:gd name="T29" fmla="*/ 2147483646 h 354"/>
            <a:gd name="T30" fmla="*/ 2147483646 w 534"/>
            <a:gd name="T31" fmla="*/ 2147483646 h 354"/>
            <a:gd name="T32" fmla="*/ 2147483646 w 534"/>
            <a:gd name="T33" fmla="*/ 2147483646 h 354"/>
            <a:gd name="T34" fmla="*/ 2147483646 w 534"/>
            <a:gd name="T35" fmla="*/ 2147483646 h 354"/>
            <a:gd name="T36" fmla="*/ 2147483646 w 534"/>
            <a:gd name="T37" fmla="*/ 2147483646 h 354"/>
            <a:gd name="T38" fmla="*/ 2147483646 w 534"/>
            <a:gd name="T39" fmla="*/ 2147483646 h 354"/>
            <a:gd name="T40" fmla="*/ 2147483646 w 534"/>
            <a:gd name="T41" fmla="*/ 2147483646 h 354"/>
            <a:gd name="T42" fmla="*/ 2147483646 w 534"/>
            <a:gd name="T43" fmla="*/ 2147483646 h 354"/>
            <a:gd name="T44" fmla="*/ 2147483646 w 534"/>
            <a:gd name="T45" fmla="*/ 2147483646 h 354"/>
            <a:gd name="T46" fmla="*/ 2147483646 w 534"/>
            <a:gd name="T47" fmla="*/ 2147483646 h 354"/>
            <a:gd name="T48" fmla="*/ 2147483646 w 534"/>
            <a:gd name="T49" fmla="*/ 2147483646 h 354"/>
            <a:gd name="T50" fmla="*/ 2147483646 w 534"/>
            <a:gd name="T51" fmla="*/ 2147483646 h 354"/>
            <a:gd name="T52" fmla="*/ 2147483646 w 534"/>
            <a:gd name="T53" fmla="*/ 2147483646 h 354"/>
            <a:gd name="T54" fmla="*/ 2147483646 w 534"/>
            <a:gd name="T55" fmla="*/ 2147483646 h 354"/>
            <a:gd name="T56" fmla="*/ 2147483646 w 534"/>
            <a:gd name="T57" fmla="*/ 2147483646 h 354"/>
            <a:gd name="T58" fmla="*/ 2147483646 w 534"/>
            <a:gd name="T59" fmla="*/ 2147483646 h 354"/>
            <a:gd name="T60" fmla="*/ 2147483646 w 534"/>
            <a:gd name="T61" fmla="*/ 2147483646 h 354"/>
            <a:gd name="T62" fmla="*/ 0 60000 65536"/>
            <a:gd name="T63" fmla="*/ 0 60000 65536"/>
            <a:gd name="T64" fmla="*/ 0 60000 65536"/>
            <a:gd name="T65" fmla="*/ 0 60000 65536"/>
            <a:gd name="T66" fmla="*/ 0 60000 65536"/>
            <a:gd name="T67" fmla="*/ 0 60000 65536"/>
            <a:gd name="T68" fmla="*/ 0 60000 65536"/>
            <a:gd name="T69" fmla="*/ 0 60000 65536"/>
            <a:gd name="T70" fmla="*/ 0 60000 65536"/>
            <a:gd name="T71" fmla="*/ 0 60000 65536"/>
            <a:gd name="T72" fmla="*/ 0 60000 65536"/>
            <a:gd name="T73" fmla="*/ 0 60000 65536"/>
            <a:gd name="T74" fmla="*/ 0 60000 65536"/>
            <a:gd name="T75" fmla="*/ 0 60000 65536"/>
            <a:gd name="T76" fmla="*/ 0 60000 65536"/>
            <a:gd name="T77" fmla="*/ 0 60000 65536"/>
            <a:gd name="T78" fmla="*/ 0 60000 65536"/>
            <a:gd name="T79" fmla="*/ 0 60000 65536"/>
            <a:gd name="T80" fmla="*/ 0 60000 65536"/>
            <a:gd name="T81" fmla="*/ 0 60000 65536"/>
            <a:gd name="T82" fmla="*/ 0 60000 65536"/>
            <a:gd name="T83" fmla="*/ 0 60000 65536"/>
            <a:gd name="T84" fmla="*/ 0 60000 65536"/>
            <a:gd name="T85" fmla="*/ 0 60000 65536"/>
            <a:gd name="T86" fmla="*/ 0 60000 65536"/>
            <a:gd name="T87" fmla="*/ 0 60000 65536"/>
            <a:gd name="T88" fmla="*/ 0 60000 65536"/>
            <a:gd name="T89" fmla="*/ 0 60000 65536"/>
            <a:gd name="T90" fmla="*/ 0 60000 65536"/>
            <a:gd name="T91" fmla="*/ 0 60000 65536"/>
            <a:gd name="T92" fmla="*/ 0 60000 65536"/>
          </a:gdLst>
          <a:ahLst/>
          <a:cxnLst>
            <a:cxn ang="T62">
              <a:pos x="T0" y="T1"/>
            </a:cxn>
            <a:cxn ang="T63">
              <a:pos x="T2" y="T3"/>
            </a:cxn>
            <a:cxn ang="T64">
              <a:pos x="T4" y="T5"/>
            </a:cxn>
            <a:cxn ang="T65">
              <a:pos x="T6" y="T7"/>
            </a:cxn>
            <a:cxn ang="T66">
              <a:pos x="T8" y="T9"/>
            </a:cxn>
            <a:cxn ang="T67">
              <a:pos x="T10" y="T11"/>
            </a:cxn>
            <a:cxn ang="T68">
              <a:pos x="T12" y="T13"/>
            </a:cxn>
            <a:cxn ang="T69">
              <a:pos x="T14" y="T15"/>
            </a:cxn>
            <a:cxn ang="T70">
              <a:pos x="T16" y="T17"/>
            </a:cxn>
            <a:cxn ang="T71">
              <a:pos x="T18" y="T19"/>
            </a:cxn>
            <a:cxn ang="T72">
              <a:pos x="T20" y="T21"/>
            </a:cxn>
            <a:cxn ang="T73">
              <a:pos x="T22" y="T23"/>
            </a:cxn>
            <a:cxn ang="T74">
              <a:pos x="T24" y="T25"/>
            </a:cxn>
            <a:cxn ang="T75">
              <a:pos x="T26" y="T27"/>
            </a:cxn>
            <a:cxn ang="T76">
              <a:pos x="T28" y="T29"/>
            </a:cxn>
            <a:cxn ang="T77">
              <a:pos x="T30" y="T31"/>
            </a:cxn>
            <a:cxn ang="T78">
              <a:pos x="T32" y="T33"/>
            </a:cxn>
            <a:cxn ang="T79">
              <a:pos x="T34" y="T35"/>
            </a:cxn>
            <a:cxn ang="T80">
              <a:pos x="T36" y="T37"/>
            </a:cxn>
            <a:cxn ang="T81">
              <a:pos x="T38" y="T39"/>
            </a:cxn>
            <a:cxn ang="T82">
              <a:pos x="T40" y="T41"/>
            </a:cxn>
            <a:cxn ang="T83">
              <a:pos x="T42" y="T43"/>
            </a:cxn>
            <a:cxn ang="T84">
              <a:pos x="T44" y="T45"/>
            </a:cxn>
            <a:cxn ang="T85">
              <a:pos x="T46" y="T47"/>
            </a:cxn>
            <a:cxn ang="T86">
              <a:pos x="T48" y="T49"/>
            </a:cxn>
            <a:cxn ang="T87">
              <a:pos x="T50" y="T51"/>
            </a:cxn>
            <a:cxn ang="T88">
              <a:pos x="T52" y="T53"/>
            </a:cxn>
            <a:cxn ang="T89">
              <a:pos x="T54" y="T55"/>
            </a:cxn>
            <a:cxn ang="T90">
              <a:pos x="T56" y="T57"/>
            </a:cxn>
            <a:cxn ang="T91">
              <a:pos x="T58" y="T59"/>
            </a:cxn>
            <a:cxn ang="T92">
              <a:pos x="T60" y="T61"/>
            </a:cxn>
          </a:cxnLst>
          <a:rect l="0" t="0" r="r" b="b"/>
          <a:pathLst>
            <a:path w="534" h="354">
              <a:moveTo>
                <a:pt x="140" y="105"/>
              </a:moveTo>
              <a:lnTo>
                <a:pt x="190" y="85"/>
              </a:lnTo>
              <a:lnTo>
                <a:pt x="394" y="0"/>
              </a:lnTo>
              <a:lnTo>
                <a:pt x="394" y="165"/>
              </a:lnTo>
              <a:lnTo>
                <a:pt x="394" y="329"/>
              </a:lnTo>
              <a:lnTo>
                <a:pt x="190" y="245"/>
              </a:lnTo>
              <a:lnTo>
                <a:pt x="140" y="230"/>
              </a:lnTo>
              <a:lnTo>
                <a:pt x="175" y="354"/>
              </a:lnTo>
              <a:lnTo>
                <a:pt x="75" y="354"/>
              </a:lnTo>
              <a:lnTo>
                <a:pt x="45" y="225"/>
              </a:lnTo>
              <a:lnTo>
                <a:pt x="0" y="225"/>
              </a:lnTo>
              <a:lnTo>
                <a:pt x="0" y="105"/>
              </a:lnTo>
              <a:lnTo>
                <a:pt x="140" y="105"/>
              </a:lnTo>
              <a:close/>
              <a:moveTo>
                <a:pt x="444" y="230"/>
              </a:moveTo>
              <a:lnTo>
                <a:pt x="524" y="255"/>
              </a:lnTo>
              <a:lnTo>
                <a:pt x="509" y="284"/>
              </a:lnTo>
              <a:lnTo>
                <a:pt x="434" y="259"/>
              </a:lnTo>
              <a:lnTo>
                <a:pt x="444" y="230"/>
              </a:lnTo>
              <a:close/>
              <a:moveTo>
                <a:pt x="439" y="70"/>
              </a:moveTo>
              <a:lnTo>
                <a:pt x="514" y="45"/>
              </a:lnTo>
              <a:lnTo>
                <a:pt x="524" y="75"/>
              </a:lnTo>
              <a:lnTo>
                <a:pt x="449" y="105"/>
              </a:lnTo>
              <a:lnTo>
                <a:pt x="439" y="70"/>
              </a:lnTo>
              <a:close/>
              <a:moveTo>
                <a:pt x="454" y="150"/>
              </a:moveTo>
              <a:lnTo>
                <a:pt x="534" y="150"/>
              </a:lnTo>
              <a:lnTo>
                <a:pt x="534" y="185"/>
              </a:lnTo>
              <a:lnTo>
                <a:pt x="454" y="185"/>
              </a:lnTo>
              <a:lnTo>
                <a:pt x="454" y="150"/>
              </a:lnTo>
              <a:close/>
            </a:path>
          </a:pathLst>
        </a:cu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anchor="ctr" anchorCtr="1">
          <a:noAutofit/>
        </a:bodyPr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charset="0"/>
              <a:ea typeface="宋体" panose="02010600030101010101" pitchFamily="7" charset="-122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charset="0"/>
              <a:ea typeface="宋体" panose="02010600030101010101" pitchFamily="7" charset="-122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charset="0"/>
              <a:ea typeface="宋体" panose="02010600030101010101" pitchFamily="7" charset="-122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charset="0"/>
              <a:ea typeface="宋体" panose="02010600030101010101" pitchFamily="7" charset="-122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charset="0"/>
              <a:ea typeface="宋体" panose="02010600030101010101" pitchFamily="7" charset="-122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charset="0"/>
              <a:ea typeface="宋体" panose="02010600030101010101" pitchFamily="7" charset="-122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charset="0"/>
              <a:ea typeface="宋体" panose="02010600030101010101" pitchFamily="7" charset="-122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charset="0"/>
              <a:ea typeface="宋体" panose="02010600030101010101" pitchFamily="7" charset="-122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charset="0"/>
              <a:ea typeface="宋体" panose="02010600030101010101" pitchFamily="7" charset="-122"/>
              <a:cs typeface="+mn-cs"/>
            </a:defRPr>
          </a:lvl9pPr>
        </a:lstStyle>
        <a:p>
          <a:pPr algn="l">
            <a:spcBef>
              <a:spcPts val="0"/>
            </a:spcBef>
          </a:pPr>
          <a:endParaRPr lang="zh-CN" altLang="en-US" sz="1100"/>
        </a:p>
      </xdr:txBody>
    </xdr:sp>
    <xdr:clientData/>
  </xdr:twoCellAnchor>
  <xdr:twoCellAnchor>
    <xdr:from>
      <xdr:col>7</xdr:col>
      <xdr:colOff>427355</xdr:colOff>
      <xdr:row>17</xdr:row>
      <xdr:rowOff>151765</xdr:rowOff>
    </xdr:from>
    <xdr:to>
      <xdr:col>8</xdr:col>
      <xdr:colOff>191770</xdr:colOff>
      <xdr:row>18</xdr:row>
      <xdr:rowOff>290830</xdr:rowOff>
    </xdr:to>
    <xdr:sp>
      <xdr:nvSpPr>
        <xdr:cNvPr id="22" name="沙漏">
          <a:hlinkClick xmlns:r="http://schemas.openxmlformats.org/officeDocument/2006/relationships" r:id="rId1"/>
        </xdr:cNvPr>
        <xdr:cNvSpPr/>
      </xdr:nvSpPr>
      <xdr:spPr>
        <a:xfrm>
          <a:off x="4128770" y="8588375"/>
          <a:ext cx="552450" cy="634365"/>
        </a:xfrm>
        <a:custGeom>
          <a:avLst/>
          <a:gdLst>
            <a:gd name="T0" fmla="*/ 901841 w 1357313"/>
            <a:gd name="T1" fmla="*/ 1418297 h 2041525"/>
            <a:gd name="T2" fmla="*/ 952713 w 1357313"/>
            <a:gd name="T3" fmla="*/ 1537310 h 2041525"/>
            <a:gd name="T4" fmla="*/ 324238 w 1357313"/>
            <a:gd name="T5" fmla="*/ 1501582 h 2041525"/>
            <a:gd name="T6" fmla="*/ 380048 w 1357313"/>
            <a:gd name="T7" fmla="*/ 1395135 h 2041525"/>
            <a:gd name="T8" fmla="*/ 837417 w 1357313"/>
            <a:gd name="T9" fmla="*/ 530566 h 2041525"/>
            <a:gd name="T10" fmla="*/ 669920 w 1357313"/>
            <a:gd name="T11" fmla="*/ 686107 h 2041525"/>
            <a:gd name="T12" fmla="*/ 595424 w 1357313"/>
            <a:gd name="T13" fmla="*/ 686107 h 2041525"/>
            <a:gd name="T14" fmla="*/ 427927 w 1357313"/>
            <a:gd name="T15" fmla="*/ 530566 h 2041525"/>
            <a:gd name="T16" fmla="*/ 206486 w 1357313"/>
            <a:gd name="T17" fmla="*/ 405798 h 2041525"/>
            <a:gd name="T18" fmla="*/ 269716 w 1357313"/>
            <a:gd name="T19" fmla="*/ 553495 h 2041525"/>
            <a:gd name="T20" fmla="*/ 416183 w 1357313"/>
            <a:gd name="T21" fmla="*/ 730090 h 2041525"/>
            <a:gd name="T22" fmla="*/ 523871 w 1357313"/>
            <a:gd name="T23" fmla="*/ 839505 h 2041525"/>
            <a:gd name="T24" fmla="*/ 549065 w 1357313"/>
            <a:gd name="T25" fmla="*/ 957810 h 2041525"/>
            <a:gd name="T26" fmla="*/ 521401 w 1357313"/>
            <a:gd name="T27" fmla="*/ 1070930 h 2041525"/>
            <a:gd name="T28" fmla="*/ 406056 w 1357313"/>
            <a:gd name="T29" fmla="*/ 1185778 h 2041525"/>
            <a:gd name="T30" fmla="*/ 263047 w 1357313"/>
            <a:gd name="T31" fmla="*/ 1361879 h 2041525"/>
            <a:gd name="T32" fmla="*/ 205745 w 1357313"/>
            <a:gd name="T33" fmla="*/ 1502167 h 2041525"/>
            <a:gd name="T34" fmla="*/ 1072195 w 1357313"/>
            <a:gd name="T35" fmla="*/ 1557244 h 2041525"/>
            <a:gd name="T36" fmla="*/ 1021808 w 1357313"/>
            <a:gd name="T37" fmla="*/ 1393740 h 2041525"/>
            <a:gd name="T38" fmla="*/ 889667 w 1357313"/>
            <a:gd name="T39" fmla="*/ 1217639 h 2041525"/>
            <a:gd name="T40" fmla="*/ 755797 w 1357313"/>
            <a:gd name="T41" fmla="*/ 1087231 h 2041525"/>
            <a:gd name="T42" fmla="*/ 719983 w 1357313"/>
            <a:gd name="T43" fmla="*/ 986954 h 2041525"/>
            <a:gd name="T44" fmla="*/ 728381 w 1357313"/>
            <a:gd name="T45" fmla="*/ 880504 h 2041525"/>
            <a:gd name="T46" fmla="*/ 790870 w 1357313"/>
            <a:gd name="T47" fmla="*/ 784920 h 2041525"/>
            <a:gd name="T48" fmla="*/ 959566 w 1357313"/>
            <a:gd name="T49" fmla="*/ 605115 h 2041525"/>
            <a:gd name="T50" fmla="*/ 1046261 w 1357313"/>
            <a:gd name="T51" fmla="*/ 456677 h 2041525"/>
            <a:gd name="T52" fmla="*/ 1090473 w 1357313"/>
            <a:gd name="T53" fmla="*/ 209197 h 2041525"/>
            <a:gd name="T54" fmla="*/ 1216685 w 1357313"/>
            <a:gd name="T55" fmla="*/ 15314 h 2041525"/>
            <a:gd name="T56" fmla="*/ 1260650 w 1357313"/>
            <a:gd name="T57" fmla="*/ 68662 h 2041525"/>
            <a:gd name="T58" fmla="*/ 1261391 w 1357313"/>
            <a:gd name="T59" fmla="*/ 138313 h 2041525"/>
            <a:gd name="T60" fmla="*/ 1222613 w 1357313"/>
            <a:gd name="T61" fmla="*/ 189932 h 2041525"/>
            <a:gd name="T62" fmla="*/ 1165311 w 1357313"/>
            <a:gd name="T63" fmla="*/ 293419 h 2041525"/>
            <a:gd name="T64" fmla="*/ 1116654 w 1357313"/>
            <a:gd name="T65" fmla="*/ 524844 h 2041525"/>
            <a:gd name="T66" fmla="*/ 1012670 w 1357313"/>
            <a:gd name="T67" fmla="*/ 704403 h 2041525"/>
            <a:gd name="T68" fmla="*/ 829154 w 1357313"/>
            <a:gd name="T69" fmla="*/ 889890 h 2041525"/>
            <a:gd name="T70" fmla="*/ 817052 w 1357313"/>
            <a:gd name="T71" fmla="*/ 962009 h 2041525"/>
            <a:gd name="T72" fmla="*/ 905969 w 1357313"/>
            <a:gd name="T73" fmla="*/ 1085008 h 2041525"/>
            <a:gd name="T74" fmla="*/ 1048237 w 1357313"/>
            <a:gd name="T75" fmla="*/ 1249500 h 2041525"/>
            <a:gd name="T76" fmla="*/ 1134190 w 1357313"/>
            <a:gd name="T77" fmla="*/ 1433011 h 2041525"/>
            <a:gd name="T78" fmla="*/ 1183588 w 1357313"/>
            <a:gd name="T79" fmla="*/ 1698520 h 2041525"/>
            <a:gd name="T80" fmla="*/ 1240149 w 1357313"/>
            <a:gd name="T81" fmla="*/ 1730629 h 2041525"/>
            <a:gd name="T82" fmla="*/ 1266331 w 1357313"/>
            <a:gd name="T83" fmla="*/ 1790399 h 2041525"/>
            <a:gd name="T84" fmla="*/ 1249041 w 1357313"/>
            <a:gd name="T85" fmla="*/ 1858814 h 2041525"/>
            <a:gd name="T86" fmla="*/ 1193468 w 1357313"/>
            <a:gd name="T87" fmla="*/ 1900307 h 2041525"/>
            <a:gd name="T88" fmla="*/ 68664 w 1357313"/>
            <a:gd name="T89" fmla="*/ 1898578 h 2041525"/>
            <a:gd name="T90" fmla="*/ 15067 w 1357313"/>
            <a:gd name="T91" fmla="*/ 1854615 h 2041525"/>
            <a:gd name="T92" fmla="*/ 988 w 1357313"/>
            <a:gd name="T93" fmla="*/ 1785459 h 2041525"/>
            <a:gd name="T94" fmla="*/ 30133 w 1357313"/>
            <a:gd name="T95" fmla="*/ 1727170 h 2041525"/>
            <a:gd name="T96" fmla="*/ 87929 w 1357313"/>
            <a:gd name="T97" fmla="*/ 1697533 h 2041525"/>
            <a:gd name="T98" fmla="*/ 132882 w 1357313"/>
            <a:gd name="T99" fmla="*/ 1433011 h 2041525"/>
            <a:gd name="T100" fmla="*/ 218836 w 1357313"/>
            <a:gd name="T101" fmla="*/ 1249500 h 2041525"/>
            <a:gd name="T102" fmla="*/ 361103 w 1357313"/>
            <a:gd name="T103" fmla="*/ 1085008 h 2041525"/>
            <a:gd name="T104" fmla="*/ 449773 w 1357313"/>
            <a:gd name="T105" fmla="*/ 964726 h 2041525"/>
            <a:gd name="T106" fmla="*/ 437671 w 1357313"/>
            <a:gd name="T107" fmla="*/ 889890 h 2041525"/>
            <a:gd name="T108" fmla="*/ 254402 w 1357313"/>
            <a:gd name="T109" fmla="*/ 704403 h 2041525"/>
            <a:gd name="T110" fmla="*/ 150419 w 1357313"/>
            <a:gd name="T111" fmla="*/ 524844 h 2041525"/>
            <a:gd name="T112" fmla="*/ 99291 w 1357313"/>
            <a:gd name="T113" fmla="*/ 272672 h 2041525"/>
            <a:gd name="T114" fmla="*/ 40507 w 1357313"/>
            <a:gd name="T115" fmla="*/ 186969 h 2041525"/>
            <a:gd name="T116" fmla="*/ 4199 w 1357313"/>
            <a:gd name="T117" fmla="*/ 133866 h 2041525"/>
            <a:gd name="T118" fmla="*/ 8151 w 1357313"/>
            <a:gd name="T119" fmla="*/ 63970 h 2041525"/>
            <a:gd name="T120" fmla="*/ 54585 w 1357313"/>
            <a:gd name="T121" fmla="*/ 12596 h 2041525"/>
            <a:gd name="T122" fmla="*/ 0 60000 65536"/>
            <a:gd name="T123" fmla="*/ 0 60000 65536"/>
            <a:gd name="T124" fmla="*/ 0 60000 65536"/>
            <a:gd name="T125" fmla="*/ 0 60000 65536"/>
            <a:gd name="T126" fmla="*/ 0 60000 65536"/>
            <a:gd name="T127" fmla="*/ 0 60000 65536"/>
            <a:gd name="T128" fmla="*/ 0 60000 65536"/>
            <a:gd name="T129" fmla="*/ 0 60000 65536"/>
            <a:gd name="T130" fmla="*/ 0 60000 65536"/>
            <a:gd name="T131" fmla="*/ 0 60000 65536"/>
            <a:gd name="T132" fmla="*/ 0 60000 65536"/>
            <a:gd name="T133" fmla="*/ 0 60000 65536"/>
            <a:gd name="T134" fmla="*/ 0 60000 65536"/>
            <a:gd name="T135" fmla="*/ 0 60000 65536"/>
            <a:gd name="T136" fmla="*/ 0 60000 65536"/>
            <a:gd name="T137" fmla="*/ 0 60000 65536"/>
            <a:gd name="T138" fmla="*/ 0 60000 65536"/>
            <a:gd name="T139" fmla="*/ 0 60000 65536"/>
            <a:gd name="T140" fmla="*/ 0 60000 65536"/>
            <a:gd name="T141" fmla="*/ 0 60000 65536"/>
            <a:gd name="T142" fmla="*/ 0 60000 65536"/>
            <a:gd name="T143" fmla="*/ 0 60000 65536"/>
            <a:gd name="T144" fmla="*/ 0 60000 65536"/>
            <a:gd name="T145" fmla="*/ 0 60000 65536"/>
            <a:gd name="T146" fmla="*/ 0 60000 65536"/>
            <a:gd name="T147" fmla="*/ 0 60000 65536"/>
            <a:gd name="T148" fmla="*/ 0 60000 65536"/>
            <a:gd name="T149" fmla="*/ 0 60000 65536"/>
            <a:gd name="T150" fmla="*/ 0 60000 65536"/>
            <a:gd name="T151" fmla="*/ 0 60000 65536"/>
            <a:gd name="T152" fmla="*/ 0 60000 65536"/>
            <a:gd name="T153" fmla="*/ 0 60000 65536"/>
            <a:gd name="T154" fmla="*/ 0 60000 65536"/>
            <a:gd name="T155" fmla="*/ 0 60000 65536"/>
            <a:gd name="T156" fmla="*/ 0 60000 65536"/>
            <a:gd name="T157" fmla="*/ 0 60000 65536"/>
            <a:gd name="T158" fmla="*/ 0 60000 65536"/>
            <a:gd name="T159" fmla="*/ 0 60000 65536"/>
            <a:gd name="T160" fmla="*/ 0 60000 65536"/>
            <a:gd name="T161" fmla="*/ 0 60000 65536"/>
            <a:gd name="T162" fmla="*/ 0 60000 65536"/>
            <a:gd name="T163" fmla="*/ 0 60000 65536"/>
            <a:gd name="T164" fmla="*/ 0 60000 65536"/>
            <a:gd name="T165" fmla="*/ 0 60000 65536"/>
            <a:gd name="T166" fmla="*/ 0 60000 65536"/>
            <a:gd name="T167" fmla="*/ 0 60000 65536"/>
            <a:gd name="T168" fmla="*/ 0 60000 65536"/>
            <a:gd name="T169" fmla="*/ 0 60000 65536"/>
            <a:gd name="T170" fmla="*/ 0 60000 65536"/>
            <a:gd name="T171" fmla="*/ 0 60000 65536"/>
            <a:gd name="T172" fmla="*/ 0 60000 65536"/>
            <a:gd name="T173" fmla="*/ 0 60000 65536"/>
            <a:gd name="T174" fmla="*/ 0 60000 65536"/>
            <a:gd name="T175" fmla="*/ 0 60000 65536"/>
            <a:gd name="T176" fmla="*/ 0 60000 65536"/>
            <a:gd name="T177" fmla="*/ 0 60000 65536"/>
            <a:gd name="T178" fmla="*/ 0 60000 65536"/>
            <a:gd name="T179" fmla="*/ 0 60000 65536"/>
            <a:gd name="T180" fmla="*/ 0 60000 65536"/>
            <a:gd name="T181" fmla="*/ 0 60000 65536"/>
            <a:gd name="T182" fmla="*/ 0 60000 65536"/>
          </a:gdLst>
          <a:ahLst/>
          <a:cxnLst>
            <a:cxn ang="T122">
              <a:pos x="T0" y="T1"/>
            </a:cxn>
            <a:cxn ang="T123">
              <a:pos x="T2" y="T3"/>
            </a:cxn>
            <a:cxn ang="T124">
              <a:pos x="T4" y="T5"/>
            </a:cxn>
            <a:cxn ang="T125">
              <a:pos x="T6" y="T7"/>
            </a:cxn>
            <a:cxn ang="T126">
              <a:pos x="T8" y="T9"/>
            </a:cxn>
            <a:cxn ang="T127">
              <a:pos x="T10" y="T11"/>
            </a:cxn>
            <a:cxn ang="T128">
              <a:pos x="T12" y="T13"/>
            </a:cxn>
            <a:cxn ang="T129">
              <a:pos x="T14" y="T15"/>
            </a:cxn>
            <a:cxn ang="T130">
              <a:pos x="T16" y="T17"/>
            </a:cxn>
            <a:cxn ang="T131">
              <a:pos x="T18" y="T19"/>
            </a:cxn>
            <a:cxn ang="T132">
              <a:pos x="T20" y="T21"/>
            </a:cxn>
            <a:cxn ang="T133">
              <a:pos x="T22" y="T23"/>
            </a:cxn>
            <a:cxn ang="T134">
              <a:pos x="T24" y="T25"/>
            </a:cxn>
            <a:cxn ang="T135">
              <a:pos x="T26" y="T27"/>
            </a:cxn>
            <a:cxn ang="T136">
              <a:pos x="T28" y="T29"/>
            </a:cxn>
            <a:cxn ang="T137">
              <a:pos x="T30" y="T31"/>
            </a:cxn>
            <a:cxn ang="T138">
              <a:pos x="T32" y="T33"/>
            </a:cxn>
            <a:cxn ang="T139">
              <a:pos x="T34" y="T35"/>
            </a:cxn>
            <a:cxn ang="T140">
              <a:pos x="T36" y="T37"/>
            </a:cxn>
            <a:cxn ang="T141">
              <a:pos x="T38" y="T39"/>
            </a:cxn>
            <a:cxn ang="T142">
              <a:pos x="T40" y="T41"/>
            </a:cxn>
            <a:cxn ang="T143">
              <a:pos x="T42" y="T43"/>
            </a:cxn>
            <a:cxn ang="T144">
              <a:pos x="T44" y="T45"/>
            </a:cxn>
            <a:cxn ang="T145">
              <a:pos x="T46" y="T47"/>
            </a:cxn>
            <a:cxn ang="T146">
              <a:pos x="T48" y="T49"/>
            </a:cxn>
            <a:cxn ang="T147">
              <a:pos x="T50" y="T51"/>
            </a:cxn>
            <a:cxn ang="T148">
              <a:pos x="T52" y="T53"/>
            </a:cxn>
            <a:cxn ang="T149">
              <a:pos x="T54" y="T55"/>
            </a:cxn>
            <a:cxn ang="T150">
              <a:pos x="T56" y="T57"/>
            </a:cxn>
            <a:cxn ang="T151">
              <a:pos x="T58" y="T59"/>
            </a:cxn>
            <a:cxn ang="T152">
              <a:pos x="T60" y="T61"/>
            </a:cxn>
            <a:cxn ang="T153">
              <a:pos x="T62" y="T63"/>
            </a:cxn>
            <a:cxn ang="T154">
              <a:pos x="T64" y="T65"/>
            </a:cxn>
            <a:cxn ang="T155">
              <a:pos x="T66" y="T67"/>
            </a:cxn>
            <a:cxn ang="T156">
              <a:pos x="T68" y="T69"/>
            </a:cxn>
            <a:cxn ang="T157">
              <a:pos x="T70" y="T71"/>
            </a:cxn>
            <a:cxn ang="T158">
              <a:pos x="T72" y="T73"/>
            </a:cxn>
            <a:cxn ang="T159">
              <a:pos x="T74" y="T75"/>
            </a:cxn>
            <a:cxn ang="T160">
              <a:pos x="T76" y="T77"/>
            </a:cxn>
            <a:cxn ang="T161">
              <a:pos x="T78" y="T79"/>
            </a:cxn>
            <a:cxn ang="T162">
              <a:pos x="T80" y="T81"/>
            </a:cxn>
            <a:cxn ang="T163">
              <a:pos x="T82" y="T83"/>
            </a:cxn>
            <a:cxn ang="T164">
              <a:pos x="T84" y="T85"/>
            </a:cxn>
            <a:cxn ang="T165">
              <a:pos x="T86" y="T87"/>
            </a:cxn>
            <a:cxn ang="T166">
              <a:pos x="T88" y="T89"/>
            </a:cxn>
            <a:cxn ang="T167">
              <a:pos x="T90" y="T91"/>
            </a:cxn>
            <a:cxn ang="T168">
              <a:pos x="T92" y="T93"/>
            </a:cxn>
            <a:cxn ang="T169">
              <a:pos x="T94" y="T95"/>
            </a:cxn>
            <a:cxn ang="T170">
              <a:pos x="T96" y="T97"/>
            </a:cxn>
            <a:cxn ang="T171">
              <a:pos x="T98" y="T99"/>
            </a:cxn>
            <a:cxn ang="T172">
              <a:pos x="T100" y="T101"/>
            </a:cxn>
            <a:cxn ang="T173">
              <a:pos x="T102" y="T103"/>
            </a:cxn>
            <a:cxn ang="T174">
              <a:pos x="T104" y="T105"/>
            </a:cxn>
            <a:cxn ang="T175">
              <a:pos x="T106" y="T107"/>
            </a:cxn>
            <a:cxn ang="T176">
              <a:pos x="T108" y="T109"/>
            </a:cxn>
            <a:cxn ang="T177">
              <a:pos x="T110" y="T111"/>
            </a:cxn>
            <a:cxn ang="T178">
              <a:pos x="T112" y="T113"/>
            </a:cxn>
            <a:cxn ang="T179">
              <a:pos x="T114" y="T115"/>
            </a:cxn>
            <a:cxn ang="T180">
              <a:pos x="T116" y="T117"/>
            </a:cxn>
            <a:cxn ang="T181">
              <a:pos x="T118" y="T119"/>
            </a:cxn>
            <a:cxn ang="T182">
              <a:pos x="T120" y="T121"/>
            </a:cxn>
          </a:cxnLst>
          <a:rect l="0" t="0" r="r" b="b"/>
          <a:pathLst>
            <a:path w="1357313" h="2041525">
              <a:moveTo>
                <a:pt x="550334" y="1339850"/>
              </a:moveTo>
              <a:lnTo>
                <a:pt x="806980" y="1339850"/>
              </a:lnTo>
              <a:lnTo>
                <a:pt x="827353" y="1358335"/>
              </a:lnTo>
              <a:lnTo>
                <a:pt x="846138" y="1376291"/>
              </a:lnTo>
              <a:lnTo>
                <a:pt x="864130" y="1393983"/>
              </a:lnTo>
              <a:lnTo>
                <a:pt x="880799" y="1411676"/>
              </a:lnTo>
              <a:lnTo>
                <a:pt x="896674" y="1428840"/>
              </a:lnTo>
              <a:lnTo>
                <a:pt x="911490" y="1445476"/>
              </a:lnTo>
              <a:lnTo>
                <a:pt x="925249" y="1462376"/>
              </a:lnTo>
              <a:lnTo>
                <a:pt x="938213" y="1479012"/>
              </a:lnTo>
              <a:lnTo>
                <a:pt x="950120" y="1495120"/>
              </a:lnTo>
              <a:lnTo>
                <a:pt x="955940" y="1503570"/>
              </a:lnTo>
              <a:lnTo>
                <a:pt x="961232" y="1511756"/>
              </a:lnTo>
              <a:lnTo>
                <a:pt x="966259" y="1519942"/>
              </a:lnTo>
              <a:lnTo>
                <a:pt x="971286" y="1527863"/>
              </a:lnTo>
              <a:lnTo>
                <a:pt x="976049" y="1535785"/>
              </a:lnTo>
              <a:lnTo>
                <a:pt x="980547" y="1543971"/>
              </a:lnTo>
              <a:lnTo>
                <a:pt x="985045" y="1552157"/>
              </a:lnTo>
              <a:lnTo>
                <a:pt x="989278" y="1560343"/>
              </a:lnTo>
              <a:lnTo>
                <a:pt x="993247" y="1568265"/>
              </a:lnTo>
              <a:lnTo>
                <a:pt x="996951" y="1576451"/>
              </a:lnTo>
              <a:lnTo>
                <a:pt x="1000391" y="1584637"/>
              </a:lnTo>
              <a:lnTo>
                <a:pt x="1003830" y="1592823"/>
              </a:lnTo>
              <a:lnTo>
                <a:pt x="1007005" y="1601273"/>
              </a:lnTo>
              <a:lnTo>
                <a:pt x="1010180" y="1609195"/>
              </a:lnTo>
              <a:lnTo>
                <a:pt x="1013355" y="1620286"/>
              </a:lnTo>
              <a:lnTo>
                <a:pt x="1017059" y="1632697"/>
              </a:lnTo>
              <a:lnTo>
                <a:pt x="1020764" y="1647484"/>
              </a:lnTo>
              <a:lnTo>
                <a:pt x="1024203" y="1663592"/>
              </a:lnTo>
              <a:lnTo>
                <a:pt x="1027643" y="1681284"/>
              </a:lnTo>
              <a:lnTo>
                <a:pt x="1031347" y="1700297"/>
              </a:lnTo>
              <a:lnTo>
                <a:pt x="1034786" y="1721158"/>
              </a:lnTo>
              <a:lnTo>
                <a:pt x="1038226" y="1743075"/>
              </a:lnTo>
              <a:lnTo>
                <a:pt x="319088" y="1743075"/>
              </a:lnTo>
              <a:lnTo>
                <a:pt x="322528" y="1721158"/>
              </a:lnTo>
              <a:lnTo>
                <a:pt x="325967" y="1700297"/>
              </a:lnTo>
              <a:lnTo>
                <a:pt x="329407" y="1681284"/>
              </a:lnTo>
              <a:lnTo>
                <a:pt x="332846" y="1663592"/>
              </a:lnTo>
              <a:lnTo>
                <a:pt x="336551" y="1647484"/>
              </a:lnTo>
              <a:lnTo>
                <a:pt x="339990" y="1632697"/>
              </a:lnTo>
              <a:lnTo>
                <a:pt x="343694" y="1620286"/>
              </a:lnTo>
              <a:lnTo>
                <a:pt x="347398" y="1609195"/>
              </a:lnTo>
              <a:lnTo>
                <a:pt x="350309" y="1601273"/>
              </a:lnTo>
              <a:lnTo>
                <a:pt x="353484" y="1592823"/>
              </a:lnTo>
              <a:lnTo>
                <a:pt x="356923" y="1584637"/>
              </a:lnTo>
              <a:lnTo>
                <a:pt x="360363" y="1576451"/>
              </a:lnTo>
              <a:lnTo>
                <a:pt x="364067" y="1568265"/>
              </a:lnTo>
              <a:lnTo>
                <a:pt x="368036" y="1560343"/>
              </a:lnTo>
              <a:lnTo>
                <a:pt x="372269" y="1552157"/>
              </a:lnTo>
              <a:lnTo>
                <a:pt x="376503" y="1543971"/>
              </a:lnTo>
              <a:lnTo>
                <a:pt x="381265" y="1535785"/>
              </a:lnTo>
              <a:lnTo>
                <a:pt x="386028" y="1527863"/>
              </a:lnTo>
              <a:lnTo>
                <a:pt x="390790" y="1519942"/>
              </a:lnTo>
              <a:lnTo>
                <a:pt x="396082" y="1511756"/>
              </a:lnTo>
              <a:lnTo>
                <a:pt x="401373" y="1503570"/>
              </a:lnTo>
              <a:lnTo>
                <a:pt x="407194" y="1495120"/>
              </a:lnTo>
              <a:lnTo>
                <a:pt x="419101" y="1479012"/>
              </a:lnTo>
              <a:lnTo>
                <a:pt x="432065" y="1462376"/>
              </a:lnTo>
              <a:lnTo>
                <a:pt x="445824" y="1445476"/>
              </a:lnTo>
              <a:lnTo>
                <a:pt x="460640" y="1428840"/>
              </a:lnTo>
              <a:lnTo>
                <a:pt x="476515" y="1411676"/>
              </a:lnTo>
              <a:lnTo>
                <a:pt x="493184" y="1393983"/>
              </a:lnTo>
              <a:lnTo>
                <a:pt x="511176" y="1376291"/>
              </a:lnTo>
              <a:lnTo>
                <a:pt x="530226" y="1358335"/>
              </a:lnTo>
              <a:lnTo>
                <a:pt x="550334" y="1339850"/>
              </a:lnTo>
              <a:close/>
              <a:moveTo>
                <a:pt x="430213" y="534988"/>
              </a:moveTo>
              <a:lnTo>
                <a:pt x="925513" y="534988"/>
              </a:lnTo>
              <a:lnTo>
                <a:pt x="916527" y="545836"/>
              </a:lnTo>
              <a:lnTo>
                <a:pt x="907012" y="557478"/>
              </a:lnTo>
              <a:lnTo>
                <a:pt x="897233" y="568590"/>
              </a:lnTo>
              <a:lnTo>
                <a:pt x="886925" y="580232"/>
              </a:lnTo>
              <a:lnTo>
                <a:pt x="876089" y="591609"/>
              </a:lnTo>
              <a:lnTo>
                <a:pt x="864988" y="603515"/>
              </a:lnTo>
              <a:lnTo>
                <a:pt x="853095" y="615422"/>
              </a:lnTo>
              <a:lnTo>
                <a:pt x="840937" y="627328"/>
              </a:lnTo>
              <a:lnTo>
                <a:pt x="828250" y="639499"/>
              </a:lnTo>
              <a:lnTo>
                <a:pt x="815035" y="651934"/>
              </a:lnTo>
              <a:lnTo>
                <a:pt x="801292" y="664105"/>
              </a:lnTo>
              <a:lnTo>
                <a:pt x="787019" y="677069"/>
              </a:lnTo>
              <a:lnTo>
                <a:pt x="772218" y="690034"/>
              </a:lnTo>
              <a:lnTo>
                <a:pt x="756625" y="702999"/>
              </a:lnTo>
              <a:lnTo>
                <a:pt x="740767" y="716492"/>
              </a:lnTo>
              <a:lnTo>
                <a:pt x="724116" y="729986"/>
              </a:lnTo>
              <a:lnTo>
                <a:pt x="717772" y="735278"/>
              </a:lnTo>
              <a:lnTo>
                <a:pt x="711429" y="740834"/>
              </a:lnTo>
              <a:lnTo>
                <a:pt x="705350" y="746655"/>
              </a:lnTo>
              <a:lnTo>
                <a:pt x="699536" y="753005"/>
              </a:lnTo>
              <a:lnTo>
                <a:pt x="693985" y="759090"/>
              </a:lnTo>
              <a:lnTo>
                <a:pt x="688171" y="765969"/>
              </a:lnTo>
              <a:lnTo>
                <a:pt x="682885" y="772584"/>
              </a:lnTo>
              <a:lnTo>
                <a:pt x="677863" y="779463"/>
              </a:lnTo>
              <a:lnTo>
                <a:pt x="672841" y="772584"/>
              </a:lnTo>
              <a:lnTo>
                <a:pt x="667555" y="765969"/>
              </a:lnTo>
              <a:lnTo>
                <a:pt x="662005" y="759090"/>
              </a:lnTo>
              <a:lnTo>
                <a:pt x="656190" y="753005"/>
              </a:lnTo>
              <a:lnTo>
                <a:pt x="650376" y="746655"/>
              </a:lnTo>
              <a:lnTo>
                <a:pt x="644297" y="740834"/>
              </a:lnTo>
              <a:lnTo>
                <a:pt x="637954" y="735278"/>
              </a:lnTo>
              <a:lnTo>
                <a:pt x="631610" y="729986"/>
              </a:lnTo>
              <a:lnTo>
                <a:pt x="614959" y="716492"/>
              </a:lnTo>
              <a:lnTo>
                <a:pt x="599101" y="702999"/>
              </a:lnTo>
              <a:lnTo>
                <a:pt x="583508" y="690034"/>
              </a:lnTo>
              <a:lnTo>
                <a:pt x="568707" y="677069"/>
              </a:lnTo>
              <a:lnTo>
                <a:pt x="554434" y="664105"/>
              </a:lnTo>
              <a:lnTo>
                <a:pt x="540691" y="651934"/>
              </a:lnTo>
              <a:lnTo>
                <a:pt x="527476" y="639499"/>
              </a:lnTo>
              <a:lnTo>
                <a:pt x="514789" y="627328"/>
              </a:lnTo>
              <a:lnTo>
                <a:pt x="502631" y="615422"/>
              </a:lnTo>
              <a:lnTo>
                <a:pt x="490738" y="603515"/>
              </a:lnTo>
              <a:lnTo>
                <a:pt x="479637" y="591609"/>
              </a:lnTo>
              <a:lnTo>
                <a:pt x="468801" y="580232"/>
              </a:lnTo>
              <a:lnTo>
                <a:pt x="458493" y="568590"/>
              </a:lnTo>
              <a:lnTo>
                <a:pt x="448714" y="557478"/>
              </a:lnTo>
              <a:lnTo>
                <a:pt x="439199" y="545836"/>
              </a:lnTo>
              <a:lnTo>
                <a:pt x="430213" y="534988"/>
              </a:lnTo>
              <a:close/>
              <a:moveTo>
                <a:pt x="188949" y="224189"/>
              </a:moveTo>
              <a:lnTo>
                <a:pt x="193448" y="263892"/>
              </a:lnTo>
              <a:lnTo>
                <a:pt x="195830" y="284803"/>
              </a:lnTo>
              <a:lnTo>
                <a:pt x="198741" y="306507"/>
              </a:lnTo>
              <a:lnTo>
                <a:pt x="201917" y="328741"/>
              </a:lnTo>
              <a:lnTo>
                <a:pt x="204828" y="350710"/>
              </a:lnTo>
              <a:lnTo>
                <a:pt x="208532" y="372678"/>
              </a:lnTo>
              <a:lnTo>
                <a:pt x="212502" y="394118"/>
              </a:lnTo>
              <a:lnTo>
                <a:pt x="215413" y="408146"/>
              </a:lnTo>
              <a:lnTo>
                <a:pt x="218059" y="421645"/>
              </a:lnTo>
              <a:lnTo>
                <a:pt x="221235" y="434880"/>
              </a:lnTo>
              <a:lnTo>
                <a:pt x="224410" y="447585"/>
              </a:lnTo>
              <a:lnTo>
                <a:pt x="227321" y="459496"/>
              </a:lnTo>
              <a:lnTo>
                <a:pt x="230497" y="470348"/>
              </a:lnTo>
              <a:lnTo>
                <a:pt x="233673" y="480406"/>
              </a:lnTo>
              <a:lnTo>
                <a:pt x="236584" y="489405"/>
              </a:lnTo>
              <a:lnTo>
                <a:pt x="241082" y="501316"/>
              </a:lnTo>
              <a:lnTo>
                <a:pt x="246111" y="513227"/>
              </a:lnTo>
              <a:lnTo>
                <a:pt x="251403" y="524873"/>
              </a:lnTo>
              <a:lnTo>
                <a:pt x="256961" y="536784"/>
              </a:lnTo>
              <a:lnTo>
                <a:pt x="262783" y="547901"/>
              </a:lnTo>
              <a:lnTo>
                <a:pt x="268605" y="559547"/>
              </a:lnTo>
              <a:lnTo>
                <a:pt x="275220" y="570664"/>
              </a:lnTo>
              <a:lnTo>
                <a:pt x="281836" y="581781"/>
              </a:lnTo>
              <a:lnTo>
                <a:pt x="288981" y="593162"/>
              </a:lnTo>
              <a:lnTo>
                <a:pt x="296127" y="604014"/>
              </a:lnTo>
              <a:lnTo>
                <a:pt x="304066" y="615396"/>
              </a:lnTo>
              <a:lnTo>
                <a:pt x="312005" y="626248"/>
              </a:lnTo>
              <a:lnTo>
                <a:pt x="320473" y="637365"/>
              </a:lnTo>
              <a:lnTo>
                <a:pt x="329206" y="648482"/>
              </a:lnTo>
              <a:lnTo>
                <a:pt x="338468" y="659334"/>
              </a:lnTo>
              <a:lnTo>
                <a:pt x="347730" y="670450"/>
              </a:lnTo>
              <a:lnTo>
                <a:pt x="366784" y="692419"/>
              </a:lnTo>
              <a:lnTo>
                <a:pt x="385309" y="714388"/>
              </a:lnTo>
              <a:lnTo>
                <a:pt x="404362" y="736887"/>
              </a:lnTo>
              <a:lnTo>
                <a:pt x="414154" y="748268"/>
              </a:lnTo>
              <a:lnTo>
                <a:pt x="424210" y="759385"/>
              </a:lnTo>
              <a:lnTo>
                <a:pt x="435060" y="771031"/>
              </a:lnTo>
              <a:lnTo>
                <a:pt x="445910" y="782413"/>
              </a:lnTo>
              <a:lnTo>
                <a:pt x="457554" y="794059"/>
              </a:lnTo>
              <a:lnTo>
                <a:pt x="469463" y="805440"/>
              </a:lnTo>
              <a:lnTo>
                <a:pt x="482165" y="817351"/>
              </a:lnTo>
              <a:lnTo>
                <a:pt x="495661" y="829262"/>
              </a:lnTo>
              <a:lnTo>
                <a:pt x="509952" y="841173"/>
              </a:lnTo>
              <a:lnTo>
                <a:pt x="525036" y="853349"/>
              </a:lnTo>
              <a:lnTo>
                <a:pt x="531916" y="858907"/>
              </a:lnTo>
              <a:lnTo>
                <a:pt x="537738" y="864730"/>
              </a:lnTo>
              <a:lnTo>
                <a:pt x="543031" y="870818"/>
              </a:lnTo>
              <a:lnTo>
                <a:pt x="547530" y="876376"/>
              </a:lnTo>
              <a:lnTo>
                <a:pt x="551764" y="882199"/>
              </a:lnTo>
              <a:lnTo>
                <a:pt x="555204" y="888023"/>
              </a:lnTo>
              <a:lnTo>
                <a:pt x="558644" y="893846"/>
              </a:lnTo>
              <a:lnTo>
                <a:pt x="561291" y="899669"/>
              </a:lnTo>
              <a:lnTo>
                <a:pt x="564202" y="905227"/>
              </a:lnTo>
              <a:lnTo>
                <a:pt x="566848" y="911315"/>
              </a:lnTo>
              <a:lnTo>
                <a:pt x="568965" y="916873"/>
              </a:lnTo>
              <a:lnTo>
                <a:pt x="570818" y="922696"/>
              </a:lnTo>
              <a:lnTo>
                <a:pt x="574523" y="934607"/>
              </a:lnTo>
              <a:lnTo>
                <a:pt x="577698" y="946518"/>
              </a:lnTo>
              <a:lnTo>
                <a:pt x="582462" y="966370"/>
              </a:lnTo>
              <a:lnTo>
                <a:pt x="584314" y="973781"/>
              </a:lnTo>
              <a:lnTo>
                <a:pt x="585902" y="980927"/>
              </a:lnTo>
              <a:lnTo>
                <a:pt x="587225" y="988074"/>
              </a:lnTo>
              <a:lnTo>
                <a:pt x="587754" y="996015"/>
              </a:lnTo>
              <a:lnTo>
                <a:pt x="588284" y="1005808"/>
              </a:lnTo>
              <a:lnTo>
                <a:pt x="588548" y="1017719"/>
              </a:lnTo>
              <a:lnTo>
                <a:pt x="588284" y="1026453"/>
              </a:lnTo>
              <a:lnTo>
                <a:pt x="588019" y="1033600"/>
              </a:lnTo>
              <a:lnTo>
                <a:pt x="587754" y="1039423"/>
              </a:lnTo>
              <a:lnTo>
                <a:pt x="587225" y="1044717"/>
              </a:lnTo>
              <a:lnTo>
                <a:pt x="585373" y="1055304"/>
              </a:lnTo>
              <a:lnTo>
                <a:pt x="582726" y="1070391"/>
              </a:lnTo>
              <a:lnTo>
                <a:pt x="581138" y="1079655"/>
              </a:lnTo>
              <a:lnTo>
                <a:pt x="579021" y="1088919"/>
              </a:lnTo>
              <a:lnTo>
                <a:pt x="576904" y="1097919"/>
              </a:lnTo>
              <a:lnTo>
                <a:pt x="574523" y="1106918"/>
              </a:lnTo>
              <a:lnTo>
                <a:pt x="571876" y="1115917"/>
              </a:lnTo>
              <a:lnTo>
                <a:pt x="568701" y="1124652"/>
              </a:lnTo>
              <a:lnTo>
                <a:pt x="565260" y="1133387"/>
              </a:lnTo>
              <a:lnTo>
                <a:pt x="561291" y="1142121"/>
              </a:lnTo>
              <a:lnTo>
                <a:pt x="558644" y="1147680"/>
              </a:lnTo>
              <a:lnTo>
                <a:pt x="555204" y="1153768"/>
              </a:lnTo>
              <a:lnTo>
                <a:pt x="551764" y="1159326"/>
              </a:lnTo>
              <a:lnTo>
                <a:pt x="547530" y="1165149"/>
              </a:lnTo>
              <a:lnTo>
                <a:pt x="543031" y="1170972"/>
              </a:lnTo>
              <a:lnTo>
                <a:pt x="538003" y="1176795"/>
              </a:lnTo>
              <a:lnTo>
                <a:pt x="532181" y="1182618"/>
              </a:lnTo>
              <a:lnTo>
                <a:pt x="525300" y="1188177"/>
              </a:lnTo>
              <a:lnTo>
                <a:pt x="510216" y="1200352"/>
              </a:lnTo>
              <a:lnTo>
                <a:pt x="495926" y="1212263"/>
              </a:lnTo>
              <a:lnTo>
                <a:pt x="482430" y="1224174"/>
              </a:lnTo>
              <a:lnTo>
                <a:pt x="469463" y="1236085"/>
              </a:lnTo>
              <a:lnTo>
                <a:pt x="457554" y="1247466"/>
              </a:lnTo>
              <a:lnTo>
                <a:pt x="445910" y="1259377"/>
              </a:lnTo>
              <a:lnTo>
                <a:pt x="435060" y="1270759"/>
              </a:lnTo>
              <a:lnTo>
                <a:pt x="424210" y="1282140"/>
              </a:lnTo>
              <a:lnTo>
                <a:pt x="414154" y="1293257"/>
              </a:lnTo>
              <a:lnTo>
                <a:pt x="404362" y="1304903"/>
              </a:lnTo>
              <a:lnTo>
                <a:pt x="385309" y="1326872"/>
              </a:lnTo>
              <a:lnTo>
                <a:pt x="366784" y="1349106"/>
              </a:lnTo>
              <a:lnTo>
                <a:pt x="347730" y="1371340"/>
              </a:lnTo>
              <a:lnTo>
                <a:pt x="338468" y="1382456"/>
              </a:lnTo>
              <a:lnTo>
                <a:pt x="329206" y="1393309"/>
              </a:lnTo>
              <a:lnTo>
                <a:pt x="320473" y="1404161"/>
              </a:lnTo>
              <a:lnTo>
                <a:pt x="312005" y="1415278"/>
              </a:lnTo>
              <a:lnTo>
                <a:pt x="304066" y="1426394"/>
              </a:lnTo>
              <a:lnTo>
                <a:pt x="296127" y="1437511"/>
              </a:lnTo>
              <a:lnTo>
                <a:pt x="288981" y="1448628"/>
              </a:lnTo>
              <a:lnTo>
                <a:pt x="281836" y="1459480"/>
              </a:lnTo>
              <a:lnTo>
                <a:pt x="275220" y="1470862"/>
              </a:lnTo>
              <a:lnTo>
                <a:pt x="268605" y="1482243"/>
              </a:lnTo>
              <a:lnTo>
                <a:pt x="262783" y="1493625"/>
              </a:lnTo>
              <a:lnTo>
                <a:pt x="256961" y="1505006"/>
              </a:lnTo>
              <a:lnTo>
                <a:pt x="251403" y="1516652"/>
              </a:lnTo>
              <a:lnTo>
                <a:pt x="246111" y="1528563"/>
              </a:lnTo>
              <a:lnTo>
                <a:pt x="241082" y="1540209"/>
              </a:lnTo>
              <a:lnTo>
                <a:pt x="236584" y="1552385"/>
              </a:lnTo>
              <a:lnTo>
                <a:pt x="233937" y="1560326"/>
              </a:lnTo>
              <a:lnTo>
                <a:pt x="231026" y="1568796"/>
              </a:lnTo>
              <a:lnTo>
                <a:pt x="228115" y="1578060"/>
              </a:lnTo>
              <a:lnTo>
                <a:pt x="225734" y="1588382"/>
              </a:lnTo>
              <a:lnTo>
                <a:pt x="222823" y="1598705"/>
              </a:lnTo>
              <a:lnTo>
                <a:pt x="220441" y="1609822"/>
              </a:lnTo>
              <a:lnTo>
                <a:pt x="215413" y="1633114"/>
              </a:lnTo>
              <a:lnTo>
                <a:pt x="210649" y="1658260"/>
              </a:lnTo>
              <a:lnTo>
                <a:pt x="206415" y="1683934"/>
              </a:lnTo>
              <a:lnTo>
                <a:pt x="202181" y="1709609"/>
              </a:lnTo>
              <a:lnTo>
                <a:pt x="198741" y="1735548"/>
              </a:lnTo>
              <a:lnTo>
                <a:pt x="193448" y="1778162"/>
              </a:lnTo>
              <a:lnTo>
                <a:pt x="188949" y="1817336"/>
              </a:lnTo>
              <a:lnTo>
                <a:pt x="1168364" y="1817336"/>
              </a:lnTo>
              <a:lnTo>
                <a:pt x="1164130" y="1777898"/>
              </a:lnTo>
              <a:lnTo>
                <a:pt x="1161748" y="1756987"/>
              </a:lnTo>
              <a:lnTo>
                <a:pt x="1158837" y="1735019"/>
              </a:lnTo>
              <a:lnTo>
                <a:pt x="1155661" y="1713050"/>
              </a:lnTo>
              <a:lnTo>
                <a:pt x="1152486" y="1690816"/>
              </a:lnTo>
              <a:lnTo>
                <a:pt x="1148781" y="1668847"/>
              </a:lnTo>
              <a:lnTo>
                <a:pt x="1144811" y="1647672"/>
              </a:lnTo>
              <a:lnTo>
                <a:pt x="1142165" y="1633644"/>
              </a:lnTo>
              <a:lnTo>
                <a:pt x="1139518" y="1619880"/>
              </a:lnTo>
              <a:lnTo>
                <a:pt x="1136343" y="1606910"/>
              </a:lnTo>
              <a:lnTo>
                <a:pt x="1133167" y="1594205"/>
              </a:lnTo>
              <a:lnTo>
                <a:pt x="1130256" y="1582295"/>
              </a:lnTo>
              <a:lnTo>
                <a:pt x="1127080" y="1571442"/>
              </a:lnTo>
              <a:lnTo>
                <a:pt x="1123905" y="1561384"/>
              </a:lnTo>
              <a:lnTo>
                <a:pt x="1120994" y="1552385"/>
              </a:lnTo>
              <a:lnTo>
                <a:pt x="1116230" y="1540209"/>
              </a:lnTo>
              <a:lnTo>
                <a:pt x="1111467" y="1528563"/>
              </a:lnTo>
              <a:lnTo>
                <a:pt x="1106174" y="1516652"/>
              </a:lnTo>
              <a:lnTo>
                <a:pt x="1100617" y="1505006"/>
              </a:lnTo>
              <a:lnTo>
                <a:pt x="1094795" y="1493625"/>
              </a:lnTo>
              <a:lnTo>
                <a:pt x="1088708" y="1482243"/>
              </a:lnTo>
              <a:lnTo>
                <a:pt x="1082357" y="1470862"/>
              </a:lnTo>
              <a:lnTo>
                <a:pt x="1075741" y="1459480"/>
              </a:lnTo>
              <a:lnTo>
                <a:pt x="1068596" y="1448628"/>
              </a:lnTo>
              <a:lnTo>
                <a:pt x="1061186" y="1437511"/>
              </a:lnTo>
              <a:lnTo>
                <a:pt x="1053512" y="1426394"/>
              </a:lnTo>
              <a:lnTo>
                <a:pt x="1045308" y="1415278"/>
              </a:lnTo>
              <a:lnTo>
                <a:pt x="1037105" y="1404161"/>
              </a:lnTo>
              <a:lnTo>
                <a:pt x="1028107" y="1393309"/>
              </a:lnTo>
              <a:lnTo>
                <a:pt x="1019374" y="1382456"/>
              </a:lnTo>
              <a:lnTo>
                <a:pt x="1009847" y="1371340"/>
              </a:lnTo>
              <a:lnTo>
                <a:pt x="990794" y="1349106"/>
              </a:lnTo>
              <a:lnTo>
                <a:pt x="972269" y="1326872"/>
              </a:lnTo>
              <a:lnTo>
                <a:pt x="953215" y="1304903"/>
              </a:lnTo>
              <a:lnTo>
                <a:pt x="943424" y="1293257"/>
              </a:lnTo>
              <a:lnTo>
                <a:pt x="933368" y="1282140"/>
              </a:lnTo>
              <a:lnTo>
                <a:pt x="922518" y="1270759"/>
              </a:lnTo>
              <a:lnTo>
                <a:pt x="911668" y="1259377"/>
              </a:lnTo>
              <a:lnTo>
                <a:pt x="900024" y="1247731"/>
              </a:lnTo>
              <a:lnTo>
                <a:pt x="888115" y="1236085"/>
              </a:lnTo>
              <a:lnTo>
                <a:pt x="875148" y="1224174"/>
              </a:lnTo>
              <a:lnTo>
                <a:pt x="861652" y="1212263"/>
              </a:lnTo>
              <a:lnTo>
                <a:pt x="847361" y="1200352"/>
              </a:lnTo>
              <a:lnTo>
                <a:pt x="832277" y="1188177"/>
              </a:lnTo>
              <a:lnTo>
                <a:pt x="825397" y="1182618"/>
              </a:lnTo>
              <a:lnTo>
                <a:pt x="819575" y="1176795"/>
              </a:lnTo>
              <a:lnTo>
                <a:pt x="814547" y="1170972"/>
              </a:lnTo>
              <a:lnTo>
                <a:pt x="809783" y="1165149"/>
              </a:lnTo>
              <a:lnTo>
                <a:pt x="805814" y="1159326"/>
              </a:lnTo>
              <a:lnTo>
                <a:pt x="802109" y="1153768"/>
              </a:lnTo>
              <a:lnTo>
                <a:pt x="798933" y="1147680"/>
              </a:lnTo>
              <a:lnTo>
                <a:pt x="796287" y="1142121"/>
              </a:lnTo>
              <a:lnTo>
                <a:pt x="793376" y="1136563"/>
              </a:lnTo>
              <a:lnTo>
                <a:pt x="790994" y="1130740"/>
              </a:lnTo>
              <a:lnTo>
                <a:pt x="788612" y="1124652"/>
              </a:lnTo>
              <a:lnTo>
                <a:pt x="786760" y="1119094"/>
              </a:lnTo>
              <a:lnTo>
                <a:pt x="784643" y="1113271"/>
              </a:lnTo>
              <a:lnTo>
                <a:pt x="783055" y="1107183"/>
              </a:lnTo>
              <a:lnTo>
                <a:pt x="779879" y="1095272"/>
              </a:lnTo>
              <a:lnTo>
                <a:pt x="774851" y="1074362"/>
              </a:lnTo>
              <a:lnTo>
                <a:pt x="773264" y="1065627"/>
              </a:lnTo>
              <a:lnTo>
                <a:pt x="771411" y="1057686"/>
              </a:lnTo>
              <a:lnTo>
                <a:pt x="770353" y="1049216"/>
              </a:lnTo>
              <a:lnTo>
                <a:pt x="769559" y="1040217"/>
              </a:lnTo>
              <a:lnTo>
                <a:pt x="769294" y="1029630"/>
              </a:lnTo>
              <a:lnTo>
                <a:pt x="769029" y="1017719"/>
              </a:lnTo>
              <a:lnTo>
                <a:pt x="769029" y="1009249"/>
              </a:lnTo>
              <a:lnTo>
                <a:pt x="769294" y="1002896"/>
              </a:lnTo>
              <a:lnTo>
                <a:pt x="769823" y="998132"/>
              </a:lnTo>
              <a:lnTo>
                <a:pt x="770353" y="993897"/>
              </a:lnTo>
              <a:lnTo>
                <a:pt x="772470" y="985427"/>
              </a:lnTo>
              <a:lnTo>
                <a:pt x="773528" y="979075"/>
              </a:lnTo>
              <a:lnTo>
                <a:pt x="774851" y="971399"/>
              </a:lnTo>
              <a:lnTo>
                <a:pt x="776439" y="961870"/>
              </a:lnTo>
              <a:lnTo>
                <a:pt x="778556" y="952606"/>
              </a:lnTo>
              <a:lnTo>
                <a:pt x="780409" y="943607"/>
              </a:lnTo>
              <a:lnTo>
                <a:pt x="783055" y="934607"/>
              </a:lnTo>
              <a:lnTo>
                <a:pt x="785437" y="925608"/>
              </a:lnTo>
              <a:lnTo>
                <a:pt x="788612" y="916873"/>
              </a:lnTo>
              <a:lnTo>
                <a:pt x="792317" y="908139"/>
              </a:lnTo>
              <a:lnTo>
                <a:pt x="796287" y="899669"/>
              </a:lnTo>
              <a:lnTo>
                <a:pt x="798933" y="893846"/>
              </a:lnTo>
              <a:lnTo>
                <a:pt x="802109" y="888023"/>
              </a:lnTo>
              <a:lnTo>
                <a:pt x="805814" y="882199"/>
              </a:lnTo>
              <a:lnTo>
                <a:pt x="809783" y="876376"/>
              </a:lnTo>
              <a:lnTo>
                <a:pt x="814547" y="870818"/>
              </a:lnTo>
              <a:lnTo>
                <a:pt x="819575" y="864730"/>
              </a:lnTo>
              <a:lnTo>
                <a:pt x="825397" y="858907"/>
              </a:lnTo>
              <a:lnTo>
                <a:pt x="832277" y="853349"/>
              </a:lnTo>
              <a:lnTo>
                <a:pt x="847361" y="841173"/>
              </a:lnTo>
              <a:lnTo>
                <a:pt x="861652" y="829262"/>
              </a:lnTo>
              <a:lnTo>
                <a:pt x="875148" y="817351"/>
              </a:lnTo>
              <a:lnTo>
                <a:pt x="888115" y="805440"/>
              </a:lnTo>
              <a:lnTo>
                <a:pt x="900024" y="794059"/>
              </a:lnTo>
              <a:lnTo>
                <a:pt x="911668" y="782413"/>
              </a:lnTo>
              <a:lnTo>
                <a:pt x="922518" y="771031"/>
              </a:lnTo>
              <a:lnTo>
                <a:pt x="933368" y="759385"/>
              </a:lnTo>
              <a:lnTo>
                <a:pt x="943424" y="748268"/>
              </a:lnTo>
              <a:lnTo>
                <a:pt x="953215" y="736887"/>
              </a:lnTo>
              <a:lnTo>
                <a:pt x="972269" y="714388"/>
              </a:lnTo>
              <a:lnTo>
                <a:pt x="990794" y="692419"/>
              </a:lnTo>
              <a:lnTo>
                <a:pt x="1009847" y="670450"/>
              </a:lnTo>
              <a:lnTo>
                <a:pt x="1019374" y="659334"/>
              </a:lnTo>
              <a:lnTo>
                <a:pt x="1028107" y="648482"/>
              </a:lnTo>
              <a:lnTo>
                <a:pt x="1037105" y="637365"/>
              </a:lnTo>
              <a:lnTo>
                <a:pt x="1045308" y="626248"/>
              </a:lnTo>
              <a:lnTo>
                <a:pt x="1053512" y="615396"/>
              </a:lnTo>
              <a:lnTo>
                <a:pt x="1061186" y="604014"/>
              </a:lnTo>
              <a:lnTo>
                <a:pt x="1068596" y="593162"/>
              </a:lnTo>
              <a:lnTo>
                <a:pt x="1075741" y="581781"/>
              </a:lnTo>
              <a:lnTo>
                <a:pt x="1082357" y="570664"/>
              </a:lnTo>
              <a:lnTo>
                <a:pt x="1088708" y="559547"/>
              </a:lnTo>
              <a:lnTo>
                <a:pt x="1094795" y="547901"/>
              </a:lnTo>
              <a:lnTo>
                <a:pt x="1100617" y="536784"/>
              </a:lnTo>
              <a:lnTo>
                <a:pt x="1106174" y="524873"/>
              </a:lnTo>
              <a:lnTo>
                <a:pt x="1111467" y="513227"/>
              </a:lnTo>
              <a:lnTo>
                <a:pt x="1116230" y="501316"/>
              </a:lnTo>
              <a:lnTo>
                <a:pt x="1120994" y="489405"/>
              </a:lnTo>
              <a:lnTo>
                <a:pt x="1123640" y="481729"/>
              </a:lnTo>
              <a:lnTo>
                <a:pt x="1126287" y="472995"/>
              </a:lnTo>
              <a:lnTo>
                <a:pt x="1129198" y="463466"/>
              </a:lnTo>
              <a:lnTo>
                <a:pt x="1131844" y="453408"/>
              </a:lnTo>
              <a:lnTo>
                <a:pt x="1134490" y="442820"/>
              </a:lnTo>
              <a:lnTo>
                <a:pt x="1137137" y="431968"/>
              </a:lnTo>
              <a:lnTo>
                <a:pt x="1142165" y="408146"/>
              </a:lnTo>
              <a:lnTo>
                <a:pt x="1146664" y="383531"/>
              </a:lnTo>
              <a:lnTo>
                <a:pt x="1151162" y="357591"/>
              </a:lnTo>
              <a:lnTo>
                <a:pt x="1155132" y="331917"/>
              </a:lnTo>
              <a:lnTo>
                <a:pt x="1158837" y="305978"/>
              </a:lnTo>
              <a:lnTo>
                <a:pt x="1161748" y="284273"/>
              </a:lnTo>
              <a:lnTo>
                <a:pt x="1164130" y="263628"/>
              </a:lnTo>
              <a:lnTo>
                <a:pt x="1168364" y="224189"/>
              </a:lnTo>
              <a:lnTo>
                <a:pt x="188949" y="224189"/>
              </a:lnTo>
              <a:close/>
              <a:moveTo>
                <a:pt x="111941" y="0"/>
              </a:moveTo>
              <a:lnTo>
                <a:pt x="1245372" y="0"/>
              </a:lnTo>
              <a:lnTo>
                <a:pt x="1251194" y="265"/>
              </a:lnTo>
              <a:lnTo>
                <a:pt x="1257016" y="530"/>
              </a:lnTo>
              <a:lnTo>
                <a:pt x="1262574" y="1324"/>
              </a:lnTo>
              <a:lnTo>
                <a:pt x="1268131" y="2382"/>
              </a:lnTo>
              <a:lnTo>
                <a:pt x="1273424" y="3706"/>
              </a:lnTo>
              <a:lnTo>
                <a:pt x="1278716" y="5029"/>
              </a:lnTo>
              <a:lnTo>
                <a:pt x="1284009" y="6882"/>
              </a:lnTo>
              <a:lnTo>
                <a:pt x="1289302" y="9000"/>
              </a:lnTo>
              <a:lnTo>
                <a:pt x="1294065" y="11382"/>
              </a:lnTo>
              <a:lnTo>
                <a:pt x="1299093" y="13499"/>
              </a:lnTo>
              <a:lnTo>
                <a:pt x="1303592" y="16411"/>
              </a:lnTo>
              <a:lnTo>
                <a:pt x="1308091" y="19058"/>
              </a:lnTo>
              <a:lnTo>
                <a:pt x="1312590" y="22499"/>
              </a:lnTo>
              <a:lnTo>
                <a:pt x="1316824" y="25675"/>
              </a:lnTo>
              <a:lnTo>
                <a:pt x="1321058" y="29380"/>
              </a:lnTo>
              <a:lnTo>
                <a:pt x="1324498" y="32821"/>
              </a:lnTo>
              <a:lnTo>
                <a:pt x="1328468" y="36792"/>
              </a:lnTo>
              <a:lnTo>
                <a:pt x="1331908" y="41027"/>
              </a:lnTo>
              <a:lnTo>
                <a:pt x="1335348" y="45262"/>
              </a:lnTo>
              <a:lnTo>
                <a:pt x="1338259" y="49497"/>
              </a:lnTo>
              <a:lnTo>
                <a:pt x="1341435" y="53996"/>
              </a:lnTo>
              <a:lnTo>
                <a:pt x="1344081" y="58761"/>
              </a:lnTo>
              <a:lnTo>
                <a:pt x="1346463" y="63525"/>
              </a:lnTo>
              <a:lnTo>
                <a:pt x="1348845" y="68554"/>
              </a:lnTo>
              <a:lnTo>
                <a:pt x="1350697" y="73583"/>
              </a:lnTo>
              <a:lnTo>
                <a:pt x="1352285" y="78877"/>
              </a:lnTo>
              <a:lnTo>
                <a:pt x="1354137" y="84435"/>
              </a:lnTo>
              <a:lnTo>
                <a:pt x="1355196" y="89729"/>
              </a:lnTo>
              <a:lnTo>
                <a:pt x="1356254" y="95287"/>
              </a:lnTo>
              <a:lnTo>
                <a:pt x="1356784" y="100846"/>
              </a:lnTo>
              <a:lnTo>
                <a:pt x="1357313" y="106404"/>
              </a:lnTo>
              <a:lnTo>
                <a:pt x="1357313" y="112227"/>
              </a:lnTo>
              <a:lnTo>
                <a:pt x="1357313" y="117786"/>
              </a:lnTo>
              <a:lnTo>
                <a:pt x="1356784" y="122815"/>
              </a:lnTo>
              <a:lnTo>
                <a:pt x="1356254" y="128108"/>
              </a:lnTo>
              <a:lnTo>
                <a:pt x="1355460" y="133137"/>
              </a:lnTo>
              <a:lnTo>
                <a:pt x="1354402" y="138166"/>
              </a:lnTo>
              <a:lnTo>
                <a:pt x="1353344" y="143460"/>
              </a:lnTo>
              <a:lnTo>
                <a:pt x="1351491" y="148225"/>
              </a:lnTo>
              <a:lnTo>
                <a:pt x="1349903" y="152989"/>
              </a:lnTo>
              <a:lnTo>
                <a:pt x="1347786" y="157753"/>
              </a:lnTo>
              <a:lnTo>
                <a:pt x="1345669" y="162253"/>
              </a:lnTo>
              <a:lnTo>
                <a:pt x="1343287" y="166753"/>
              </a:lnTo>
              <a:lnTo>
                <a:pt x="1340906" y="170988"/>
              </a:lnTo>
              <a:lnTo>
                <a:pt x="1337995" y="174958"/>
              </a:lnTo>
              <a:lnTo>
                <a:pt x="1335084" y="179193"/>
              </a:lnTo>
              <a:lnTo>
                <a:pt x="1331908" y="183163"/>
              </a:lnTo>
              <a:lnTo>
                <a:pt x="1328732" y="186869"/>
              </a:lnTo>
              <a:lnTo>
                <a:pt x="1325028" y="190574"/>
              </a:lnTo>
              <a:lnTo>
                <a:pt x="1321852" y="194015"/>
              </a:lnTo>
              <a:lnTo>
                <a:pt x="1317882" y="197191"/>
              </a:lnTo>
              <a:lnTo>
                <a:pt x="1313913" y="200368"/>
              </a:lnTo>
              <a:lnTo>
                <a:pt x="1309943" y="203544"/>
              </a:lnTo>
              <a:lnTo>
                <a:pt x="1305709" y="206191"/>
              </a:lnTo>
              <a:lnTo>
                <a:pt x="1301475" y="208838"/>
              </a:lnTo>
              <a:lnTo>
                <a:pt x="1296976" y="211220"/>
              </a:lnTo>
              <a:lnTo>
                <a:pt x="1292477" y="213602"/>
              </a:lnTo>
              <a:lnTo>
                <a:pt x="1287714" y="215455"/>
              </a:lnTo>
              <a:lnTo>
                <a:pt x="1282950" y="217308"/>
              </a:lnTo>
              <a:lnTo>
                <a:pt x="1278187" y="218896"/>
              </a:lnTo>
              <a:lnTo>
                <a:pt x="1273159" y="220219"/>
              </a:lnTo>
              <a:lnTo>
                <a:pt x="1268131" y="221543"/>
              </a:lnTo>
              <a:lnTo>
                <a:pt x="1263103" y="222337"/>
              </a:lnTo>
              <a:lnTo>
                <a:pt x="1258075" y="223131"/>
              </a:lnTo>
              <a:lnTo>
                <a:pt x="1253841" y="266275"/>
              </a:lnTo>
              <a:lnTo>
                <a:pt x="1251194" y="290096"/>
              </a:lnTo>
              <a:lnTo>
                <a:pt x="1248548" y="314447"/>
              </a:lnTo>
              <a:lnTo>
                <a:pt x="1245372" y="340122"/>
              </a:lnTo>
              <a:lnTo>
                <a:pt x="1241932" y="365532"/>
              </a:lnTo>
              <a:lnTo>
                <a:pt x="1237963" y="391471"/>
              </a:lnTo>
              <a:lnTo>
                <a:pt x="1234258" y="416881"/>
              </a:lnTo>
              <a:lnTo>
                <a:pt x="1231347" y="432762"/>
              </a:lnTo>
              <a:lnTo>
                <a:pt x="1228436" y="447849"/>
              </a:lnTo>
              <a:lnTo>
                <a:pt x="1225525" y="462936"/>
              </a:lnTo>
              <a:lnTo>
                <a:pt x="1222349" y="477759"/>
              </a:lnTo>
              <a:lnTo>
                <a:pt x="1218644" y="492052"/>
              </a:lnTo>
              <a:lnTo>
                <a:pt x="1215204" y="506080"/>
              </a:lnTo>
              <a:lnTo>
                <a:pt x="1211499" y="519579"/>
              </a:lnTo>
              <a:lnTo>
                <a:pt x="1207265" y="532814"/>
              </a:lnTo>
              <a:lnTo>
                <a:pt x="1202237" y="547636"/>
              </a:lnTo>
              <a:lnTo>
                <a:pt x="1196415" y="562458"/>
              </a:lnTo>
              <a:lnTo>
                <a:pt x="1190593" y="577016"/>
              </a:lnTo>
              <a:lnTo>
                <a:pt x="1184506" y="591839"/>
              </a:lnTo>
              <a:lnTo>
                <a:pt x="1177890" y="606132"/>
              </a:lnTo>
              <a:lnTo>
                <a:pt x="1171010" y="620160"/>
              </a:lnTo>
              <a:lnTo>
                <a:pt x="1163865" y="634188"/>
              </a:lnTo>
              <a:lnTo>
                <a:pt x="1156455" y="648217"/>
              </a:lnTo>
              <a:lnTo>
                <a:pt x="1148516" y="661981"/>
              </a:lnTo>
              <a:lnTo>
                <a:pt x="1140312" y="675480"/>
              </a:lnTo>
              <a:lnTo>
                <a:pt x="1131844" y="689243"/>
              </a:lnTo>
              <a:lnTo>
                <a:pt x="1123111" y="702478"/>
              </a:lnTo>
              <a:lnTo>
                <a:pt x="1113849" y="715712"/>
              </a:lnTo>
              <a:lnTo>
                <a:pt x="1104586" y="728946"/>
              </a:lnTo>
              <a:lnTo>
                <a:pt x="1094795" y="742180"/>
              </a:lnTo>
              <a:lnTo>
                <a:pt x="1085004" y="754885"/>
              </a:lnTo>
              <a:lnTo>
                <a:pt x="1074947" y="767590"/>
              </a:lnTo>
              <a:lnTo>
                <a:pt x="1064097" y="780031"/>
              </a:lnTo>
              <a:lnTo>
                <a:pt x="1053512" y="792736"/>
              </a:lnTo>
              <a:lnTo>
                <a:pt x="1042662" y="804911"/>
              </a:lnTo>
              <a:lnTo>
                <a:pt x="1031283" y="817351"/>
              </a:lnTo>
              <a:lnTo>
                <a:pt x="1019903" y="829792"/>
              </a:lnTo>
              <a:lnTo>
                <a:pt x="1007995" y="841967"/>
              </a:lnTo>
              <a:lnTo>
                <a:pt x="995557" y="854407"/>
              </a:lnTo>
              <a:lnTo>
                <a:pt x="983384" y="866848"/>
              </a:lnTo>
              <a:lnTo>
                <a:pt x="970681" y="879288"/>
              </a:lnTo>
              <a:lnTo>
                <a:pt x="957714" y="891463"/>
              </a:lnTo>
              <a:lnTo>
                <a:pt x="944218" y="903904"/>
              </a:lnTo>
              <a:lnTo>
                <a:pt x="916960" y="928520"/>
              </a:lnTo>
              <a:lnTo>
                <a:pt x="888380" y="953665"/>
              </a:lnTo>
              <a:lnTo>
                <a:pt x="888115" y="954459"/>
              </a:lnTo>
              <a:lnTo>
                <a:pt x="886792" y="957900"/>
              </a:lnTo>
              <a:lnTo>
                <a:pt x="885204" y="962664"/>
              </a:lnTo>
              <a:lnTo>
                <a:pt x="883616" y="968487"/>
              </a:lnTo>
              <a:lnTo>
                <a:pt x="881764" y="975369"/>
              </a:lnTo>
              <a:lnTo>
                <a:pt x="880441" y="981457"/>
              </a:lnTo>
              <a:lnTo>
                <a:pt x="879118" y="986221"/>
              </a:lnTo>
              <a:lnTo>
                <a:pt x="876736" y="993632"/>
              </a:lnTo>
              <a:lnTo>
                <a:pt x="876207" y="997338"/>
              </a:lnTo>
              <a:lnTo>
                <a:pt x="875677" y="1002102"/>
              </a:lnTo>
              <a:lnTo>
                <a:pt x="875148" y="1008984"/>
              </a:lnTo>
              <a:lnTo>
                <a:pt x="875148" y="1017719"/>
              </a:lnTo>
              <a:lnTo>
                <a:pt x="875148" y="1025130"/>
              </a:lnTo>
              <a:lnTo>
                <a:pt x="875413" y="1030953"/>
              </a:lnTo>
              <a:lnTo>
                <a:pt x="875942" y="1035453"/>
              </a:lnTo>
              <a:lnTo>
                <a:pt x="876471" y="1038894"/>
              </a:lnTo>
              <a:lnTo>
                <a:pt x="878059" y="1046305"/>
              </a:lnTo>
              <a:lnTo>
                <a:pt x="879118" y="1051069"/>
              </a:lnTo>
              <a:lnTo>
                <a:pt x="880176" y="1056892"/>
              </a:lnTo>
              <a:lnTo>
                <a:pt x="880970" y="1062715"/>
              </a:lnTo>
              <a:lnTo>
                <a:pt x="882293" y="1068009"/>
              </a:lnTo>
              <a:lnTo>
                <a:pt x="884675" y="1077009"/>
              </a:lnTo>
              <a:lnTo>
                <a:pt x="887057" y="1083890"/>
              </a:lnTo>
              <a:lnTo>
                <a:pt x="888644" y="1088125"/>
              </a:lnTo>
              <a:lnTo>
                <a:pt x="916960" y="1113271"/>
              </a:lnTo>
              <a:lnTo>
                <a:pt x="944482" y="1137886"/>
              </a:lnTo>
              <a:lnTo>
                <a:pt x="957714" y="1150327"/>
              </a:lnTo>
              <a:lnTo>
                <a:pt x="970681" y="1162767"/>
              </a:lnTo>
              <a:lnTo>
                <a:pt x="983384" y="1174942"/>
              </a:lnTo>
              <a:lnTo>
                <a:pt x="995557" y="1187118"/>
              </a:lnTo>
              <a:lnTo>
                <a:pt x="1007995" y="1199558"/>
              </a:lnTo>
              <a:lnTo>
                <a:pt x="1019903" y="1211734"/>
              </a:lnTo>
              <a:lnTo>
                <a:pt x="1031283" y="1224174"/>
              </a:lnTo>
              <a:lnTo>
                <a:pt x="1042662" y="1236614"/>
              </a:lnTo>
              <a:lnTo>
                <a:pt x="1053512" y="1249055"/>
              </a:lnTo>
              <a:lnTo>
                <a:pt x="1064097" y="1261495"/>
              </a:lnTo>
              <a:lnTo>
                <a:pt x="1074947" y="1274200"/>
              </a:lnTo>
              <a:lnTo>
                <a:pt x="1085004" y="1286905"/>
              </a:lnTo>
              <a:lnTo>
                <a:pt x="1094795" y="1299874"/>
              </a:lnTo>
              <a:lnTo>
                <a:pt x="1104586" y="1312844"/>
              </a:lnTo>
              <a:lnTo>
                <a:pt x="1113849" y="1325814"/>
              </a:lnTo>
              <a:lnTo>
                <a:pt x="1123111" y="1339048"/>
              </a:lnTo>
              <a:lnTo>
                <a:pt x="1131844" y="1352547"/>
              </a:lnTo>
              <a:lnTo>
                <a:pt x="1140312" y="1366046"/>
              </a:lnTo>
              <a:lnTo>
                <a:pt x="1148516" y="1379810"/>
              </a:lnTo>
              <a:lnTo>
                <a:pt x="1156455" y="1393309"/>
              </a:lnTo>
              <a:lnTo>
                <a:pt x="1163865" y="1407337"/>
              </a:lnTo>
              <a:lnTo>
                <a:pt x="1171010" y="1421365"/>
              </a:lnTo>
              <a:lnTo>
                <a:pt x="1177890" y="1435394"/>
              </a:lnTo>
              <a:lnTo>
                <a:pt x="1184506" y="1449951"/>
              </a:lnTo>
              <a:lnTo>
                <a:pt x="1190593" y="1464509"/>
              </a:lnTo>
              <a:lnTo>
                <a:pt x="1196415" y="1479332"/>
              </a:lnTo>
              <a:lnTo>
                <a:pt x="1202237" y="1493889"/>
              </a:lnTo>
              <a:lnTo>
                <a:pt x="1207265" y="1508976"/>
              </a:lnTo>
              <a:lnTo>
                <a:pt x="1211499" y="1521946"/>
              </a:lnTo>
              <a:lnTo>
                <a:pt x="1215204" y="1535710"/>
              </a:lnTo>
              <a:lnTo>
                <a:pt x="1218644" y="1549473"/>
              </a:lnTo>
              <a:lnTo>
                <a:pt x="1222349" y="1563767"/>
              </a:lnTo>
              <a:lnTo>
                <a:pt x="1225525" y="1578854"/>
              </a:lnTo>
              <a:lnTo>
                <a:pt x="1228436" y="1593676"/>
              </a:lnTo>
              <a:lnTo>
                <a:pt x="1231347" y="1609028"/>
              </a:lnTo>
              <a:lnTo>
                <a:pt x="1234258" y="1624909"/>
              </a:lnTo>
              <a:lnTo>
                <a:pt x="1239286" y="1656407"/>
              </a:lnTo>
              <a:lnTo>
                <a:pt x="1243785" y="1687640"/>
              </a:lnTo>
              <a:lnTo>
                <a:pt x="1247490" y="1719137"/>
              </a:lnTo>
              <a:lnTo>
                <a:pt x="1250930" y="1749576"/>
              </a:lnTo>
              <a:lnTo>
                <a:pt x="1254899" y="1785838"/>
              </a:lnTo>
              <a:lnTo>
                <a:pt x="1258075" y="1818659"/>
              </a:lnTo>
              <a:lnTo>
                <a:pt x="1263103" y="1819189"/>
              </a:lnTo>
              <a:lnTo>
                <a:pt x="1268131" y="1820247"/>
              </a:lnTo>
              <a:lnTo>
                <a:pt x="1273159" y="1821571"/>
              </a:lnTo>
              <a:lnTo>
                <a:pt x="1278187" y="1822894"/>
              </a:lnTo>
              <a:lnTo>
                <a:pt x="1282950" y="1824218"/>
              </a:lnTo>
              <a:lnTo>
                <a:pt x="1287714" y="1826335"/>
              </a:lnTo>
              <a:lnTo>
                <a:pt x="1292477" y="1828188"/>
              </a:lnTo>
              <a:lnTo>
                <a:pt x="1296976" y="1830570"/>
              </a:lnTo>
              <a:lnTo>
                <a:pt x="1301475" y="1832688"/>
              </a:lnTo>
              <a:lnTo>
                <a:pt x="1305709" y="1835599"/>
              </a:lnTo>
              <a:lnTo>
                <a:pt x="1309943" y="1838246"/>
              </a:lnTo>
              <a:lnTo>
                <a:pt x="1313913" y="1841158"/>
              </a:lnTo>
              <a:lnTo>
                <a:pt x="1317882" y="1844334"/>
              </a:lnTo>
              <a:lnTo>
                <a:pt x="1321852" y="1847510"/>
              </a:lnTo>
              <a:lnTo>
                <a:pt x="1325028" y="1850951"/>
              </a:lnTo>
              <a:lnTo>
                <a:pt x="1328732" y="1854657"/>
              </a:lnTo>
              <a:lnTo>
                <a:pt x="1331908" y="1858627"/>
              </a:lnTo>
              <a:lnTo>
                <a:pt x="1335084" y="1862597"/>
              </a:lnTo>
              <a:lnTo>
                <a:pt x="1337995" y="1866568"/>
              </a:lnTo>
              <a:lnTo>
                <a:pt x="1340906" y="1870538"/>
              </a:lnTo>
              <a:lnTo>
                <a:pt x="1343287" y="1874773"/>
              </a:lnTo>
              <a:lnTo>
                <a:pt x="1345669" y="1879273"/>
              </a:lnTo>
              <a:lnTo>
                <a:pt x="1347786" y="1883772"/>
              </a:lnTo>
              <a:lnTo>
                <a:pt x="1349903" y="1888537"/>
              </a:lnTo>
              <a:lnTo>
                <a:pt x="1351491" y="1893301"/>
              </a:lnTo>
              <a:lnTo>
                <a:pt x="1353344" y="1898065"/>
              </a:lnTo>
              <a:lnTo>
                <a:pt x="1354402" y="1903359"/>
              </a:lnTo>
              <a:lnTo>
                <a:pt x="1355460" y="1908388"/>
              </a:lnTo>
              <a:lnTo>
                <a:pt x="1356254" y="1913417"/>
              </a:lnTo>
              <a:lnTo>
                <a:pt x="1356784" y="1918711"/>
              </a:lnTo>
              <a:lnTo>
                <a:pt x="1357313" y="1924004"/>
              </a:lnTo>
              <a:lnTo>
                <a:pt x="1357313" y="1929298"/>
              </a:lnTo>
              <a:lnTo>
                <a:pt x="1357313" y="1934857"/>
              </a:lnTo>
              <a:lnTo>
                <a:pt x="1356784" y="1940944"/>
              </a:lnTo>
              <a:lnTo>
                <a:pt x="1356254" y="1946503"/>
              </a:lnTo>
              <a:lnTo>
                <a:pt x="1355196" y="1951797"/>
              </a:lnTo>
              <a:lnTo>
                <a:pt x="1354137" y="1957355"/>
              </a:lnTo>
              <a:lnTo>
                <a:pt x="1352285" y="1962913"/>
              </a:lnTo>
              <a:lnTo>
                <a:pt x="1350697" y="1967942"/>
              </a:lnTo>
              <a:lnTo>
                <a:pt x="1348845" y="1972971"/>
              </a:lnTo>
              <a:lnTo>
                <a:pt x="1346463" y="1978000"/>
              </a:lnTo>
              <a:lnTo>
                <a:pt x="1344081" y="1982765"/>
              </a:lnTo>
              <a:lnTo>
                <a:pt x="1341435" y="1987529"/>
              </a:lnTo>
              <a:lnTo>
                <a:pt x="1338259" y="1992029"/>
              </a:lnTo>
              <a:lnTo>
                <a:pt x="1335348" y="1996529"/>
              </a:lnTo>
              <a:lnTo>
                <a:pt x="1331908" y="2000764"/>
              </a:lnTo>
              <a:lnTo>
                <a:pt x="1328468" y="2004734"/>
              </a:lnTo>
              <a:lnTo>
                <a:pt x="1324498" y="2008704"/>
              </a:lnTo>
              <a:lnTo>
                <a:pt x="1321058" y="2012410"/>
              </a:lnTo>
              <a:lnTo>
                <a:pt x="1316824" y="2015851"/>
              </a:lnTo>
              <a:lnTo>
                <a:pt x="1312590" y="2019292"/>
              </a:lnTo>
              <a:lnTo>
                <a:pt x="1308091" y="2022468"/>
              </a:lnTo>
              <a:lnTo>
                <a:pt x="1303592" y="2025115"/>
              </a:lnTo>
              <a:lnTo>
                <a:pt x="1299093" y="2028026"/>
              </a:lnTo>
              <a:lnTo>
                <a:pt x="1294065" y="2030408"/>
              </a:lnTo>
              <a:lnTo>
                <a:pt x="1289302" y="2032791"/>
              </a:lnTo>
              <a:lnTo>
                <a:pt x="1284009" y="2034643"/>
              </a:lnTo>
              <a:lnTo>
                <a:pt x="1278716" y="2036496"/>
              </a:lnTo>
              <a:lnTo>
                <a:pt x="1273424" y="2038084"/>
              </a:lnTo>
              <a:lnTo>
                <a:pt x="1268131" y="2039143"/>
              </a:lnTo>
              <a:lnTo>
                <a:pt x="1262574" y="2040466"/>
              </a:lnTo>
              <a:lnTo>
                <a:pt x="1257016" y="2040996"/>
              </a:lnTo>
              <a:lnTo>
                <a:pt x="1251194" y="2041525"/>
              </a:lnTo>
              <a:lnTo>
                <a:pt x="1245372" y="2041525"/>
              </a:lnTo>
              <a:lnTo>
                <a:pt x="111941" y="2041525"/>
              </a:lnTo>
              <a:lnTo>
                <a:pt x="106119" y="2041525"/>
              </a:lnTo>
              <a:lnTo>
                <a:pt x="100561" y="2040996"/>
              </a:lnTo>
              <a:lnTo>
                <a:pt x="94739" y="2040466"/>
              </a:lnTo>
              <a:lnTo>
                <a:pt x="89447" y="2039143"/>
              </a:lnTo>
              <a:lnTo>
                <a:pt x="83889" y="2038084"/>
              </a:lnTo>
              <a:lnTo>
                <a:pt x="78861" y="2036496"/>
              </a:lnTo>
              <a:lnTo>
                <a:pt x="73569" y="2034643"/>
              </a:lnTo>
              <a:lnTo>
                <a:pt x="68540" y="2032791"/>
              </a:lnTo>
              <a:lnTo>
                <a:pt x="63248" y="2030408"/>
              </a:lnTo>
              <a:lnTo>
                <a:pt x="58484" y="2028026"/>
              </a:lnTo>
              <a:lnTo>
                <a:pt x="53721" y="2025115"/>
              </a:lnTo>
              <a:lnTo>
                <a:pt x="49222" y="2022468"/>
              </a:lnTo>
              <a:lnTo>
                <a:pt x="44988" y="2019292"/>
              </a:lnTo>
              <a:lnTo>
                <a:pt x="40754" y="2015851"/>
              </a:lnTo>
              <a:lnTo>
                <a:pt x="36784" y="2012410"/>
              </a:lnTo>
              <a:lnTo>
                <a:pt x="32815" y="2008704"/>
              </a:lnTo>
              <a:lnTo>
                <a:pt x="29110" y="2004734"/>
              </a:lnTo>
              <a:lnTo>
                <a:pt x="25405" y="2000764"/>
              </a:lnTo>
              <a:lnTo>
                <a:pt x="22229" y="1996529"/>
              </a:lnTo>
              <a:lnTo>
                <a:pt x="19054" y="1992029"/>
              </a:lnTo>
              <a:lnTo>
                <a:pt x="16143" y="1987529"/>
              </a:lnTo>
              <a:lnTo>
                <a:pt x="13232" y="1982765"/>
              </a:lnTo>
              <a:lnTo>
                <a:pt x="11115" y="1978000"/>
              </a:lnTo>
              <a:lnTo>
                <a:pt x="8733" y="1972971"/>
              </a:lnTo>
              <a:lnTo>
                <a:pt x="6881" y="1967942"/>
              </a:lnTo>
              <a:lnTo>
                <a:pt x="5028" y="1962913"/>
              </a:lnTo>
              <a:lnTo>
                <a:pt x="3440" y="1957355"/>
              </a:lnTo>
              <a:lnTo>
                <a:pt x="2117" y="1951797"/>
              </a:lnTo>
              <a:lnTo>
                <a:pt x="1323" y="1946503"/>
              </a:lnTo>
              <a:lnTo>
                <a:pt x="529" y="1940944"/>
              </a:lnTo>
              <a:lnTo>
                <a:pt x="265" y="1934857"/>
              </a:lnTo>
              <a:lnTo>
                <a:pt x="0" y="1929298"/>
              </a:lnTo>
              <a:lnTo>
                <a:pt x="265" y="1924004"/>
              </a:lnTo>
              <a:lnTo>
                <a:pt x="529" y="1918711"/>
              </a:lnTo>
              <a:lnTo>
                <a:pt x="1059" y="1913417"/>
              </a:lnTo>
              <a:lnTo>
                <a:pt x="1852" y="1908388"/>
              </a:lnTo>
              <a:lnTo>
                <a:pt x="2911" y="1903359"/>
              </a:lnTo>
              <a:lnTo>
                <a:pt x="4499" y="1898065"/>
              </a:lnTo>
              <a:lnTo>
                <a:pt x="5822" y="1893301"/>
              </a:lnTo>
              <a:lnTo>
                <a:pt x="7674" y="1888537"/>
              </a:lnTo>
              <a:lnTo>
                <a:pt x="9791" y="1883772"/>
              </a:lnTo>
              <a:lnTo>
                <a:pt x="11644" y="1879273"/>
              </a:lnTo>
              <a:lnTo>
                <a:pt x="14290" y="1874773"/>
              </a:lnTo>
              <a:lnTo>
                <a:pt x="16672" y="1870538"/>
              </a:lnTo>
              <a:lnTo>
                <a:pt x="19583" y="1866568"/>
              </a:lnTo>
              <a:lnTo>
                <a:pt x="22229" y="1862597"/>
              </a:lnTo>
              <a:lnTo>
                <a:pt x="25405" y="1858627"/>
              </a:lnTo>
              <a:lnTo>
                <a:pt x="28845" y="1854657"/>
              </a:lnTo>
              <a:lnTo>
                <a:pt x="32285" y="1850951"/>
              </a:lnTo>
              <a:lnTo>
                <a:pt x="35726" y="1847510"/>
              </a:lnTo>
              <a:lnTo>
                <a:pt x="39431" y="1844334"/>
              </a:lnTo>
              <a:lnTo>
                <a:pt x="43400" y="1841158"/>
              </a:lnTo>
              <a:lnTo>
                <a:pt x="47634" y="1838246"/>
              </a:lnTo>
              <a:lnTo>
                <a:pt x="51604" y="1835599"/>
              </a:lnTo>
              <a:lnTo>
                <a:pt x="56103" y="1832688"/>
              </a:lnTo>
              <a:lnTo>
                <a:pt x="60601" y="1830570"/>
              </a:lnTo>
              <a:lnTo>
                <a:pt x="65100" y="1828188"/>
              </a:lnTo>
              <a:lnTo>
                <a:pt x="69599" y="1826335"/>
              </a:lnTo>
              <a:lnTo>
                <a:pt x="74362" y="1824218"/>
              </a:lnTo>
              <a:lnTo>
                <a:pt x="79391" y="1822894"/>
              </a:lnTo>
              <a:lnTo>
                <a:pt x="84154" y="1821571"/>
              </a:lnTo>
              <a:lnTo>
                <a:pt x="89182" y="1820247"/>
              </a:lnTo>
              <a:lnTo>
                <a:pt x="94210" y="1819189"/>
              </a:lnTo>
              <a:lnTo>
                <a:pt x="99503" y="1818659"/>
              </a:lnTo>
              <a:lnTo>
                <a:pt x="103737" y="1775516"/>
              </a:lnTo>
              <a:lnTo>
                <a:pt x="106383" y="1751694"/>
              </a:lnTo>
              <a:lnTo>
                <a:pt x="108765" y="1727078"/>
              </a:lnTo>
              <a:lnTo>
                <a:pt x="112205" y="1701668"/>
              </a:lnTo>
              <a:lnTo>
                <a:pt x="115646" y="1675993"/>
              </a:lnTo>
              <a:lnTo>
                <a:pt x="119615" y="1650319"/>
              </a:lnTo>
              <a:lnTo>
                <a:pt x="123585" y="1624909"/>
              </a:lnTo>
              <a:lnTo>
                <a:pt x="126231" y="1609028"/>
              </a:lnTo>
              <a:lnTo>
                <a:pt x="129142" y="1593676"/>
              </a:lnTo>
              <a:lnTo>
                <a:pt x="132053" y="1578854"/>
              </a:lnTo>
              <a:lnTo>
                <a:pt x="135228" y="1563767"/>
              </a:lnTo>
              <a:lnTo>
                <a:pt x="138669" y="1549473"/>
              </a:lnTo>
              <a:lnTo>
                <a:pt x="142374" y="1535710"/>
              </a:lnTo>
              <a:lnTo>
                <a:pt x="146343" y="1521946"/>
              </a:lnTo>
              <a:lnTo>
                <a:pt x="150313" y="1508976"/>
              </a:lnTo>
              <a:lnTo>
                <a:pt x="155605" y="1493889"/>
              </a:lnTo>
              <a:lnTo>
                <a:pt x="161163" y="1479332"/>
              </a:lnTo>
              <a:lnTo>
                <a:pt x="166985" y="1464509"/>
              </a:lnTo>
              <a:lnTo>
                <a:pt x="173071" y="1449951"/>
              </a:lnTo>
              <a:lnTo>
                <a:pt x="179687" y="1435394"/>
              </a:lnTo>
              <a:lnTo>
                <a:pt x="186568" y="1421365"/>
              </a:lnTo>
              <a:lnTo>
                <a:pt x="193713" y="1407337"/>
              </a:lnTo>
              <a:lnTo>
                <a:pt x="201387" y="1393309"/>
              </a:lnTo>
              <a:lnTo>
                <a:pt x="209062" y="1379810"/>
              </a:lnTo>
              <a:lnTo>
                <a:pt x="217265" y="1366046"/>
              </a:lnTo>
              <a:lnTo>
                <a:pt x="225734" y="1352547"/>
              </a:lnTo>
              <a:lnTo>
                <a:pt x="234467" y="1339048"/>
              </a:lnTo>
              <a:lnTo>
                <a:pt x="243729" y="1325814"/>
              </a:lnTo>
              <a:lnTo>
                <a:pt x="252991" y="1312844"/>
              </a:lnTo>
              <a:lnTo>
                <a:pt x="262783" y="1299874"/>
              </a:lnTo>
              <a:lnTo>
                <a:pt x="272574" y="1286905"/>
              </a:lnTo>
              <a:lnTo>
                <a:pt x="282630" y="1274200"/>
              </a:lnTo>
              <a:lnTo>
                <a:pt x="293216" y="1261495"/>
              </a:lnTo>
              <a:lnTo>
                <a:pt x="304066" y="1249055"/>
              </a:lnTo>
              <a:lnTo>
                <a:pt x="314916" y="1236614"/>
              </a:lnTo>
              <a:lnTo>
                <a:pt x="326295" y="1224174"/>
              </a:lnTo>
              <a:lnTo>
                <a:pt x="337674" y="1211734"/>
              </a:lnTo>
              <a:lnTo>
                <a:pt x="349583" y="1199558"/>
              </a:lnTo>
              <a:lnTo>
                <a:pt x="361756" y="1187118"/>
              </a:lnTo>
              <a:lnTo>
                <a:pt x="374194" y="1174678"/>
              </a:lnTo>
              <a:lnTo>
                <a:pt x="386896" y="1162767"/>
              </a:lnTo>
              <a:lnTo>
                <a:pt x="399864" y="1150327"/>
              </a:lnTo>
              <a:lnTo>
                <a:pt x="413095" y="1137886"/>
              </a:lnTo>
              <a:lnTo>
                <a:pt x="440617" y="1113271"/>
              </a:lnTo>
              <a:lnTo>
                <a:pt x="468933" y="1088125"/>
              </a:lnTo>
              <a:lnTo>
                <a:pt x="469198" y="1087331"/>
              </a:lnTo>
              <a:lnTo>
                <a:pt x="470786" y="1083890"/>
              </a:lnTo>
              <a:lnTo>
                <a:pt x="472374" y="1079126"/>
              </a:lnTo>
              <a:lnTo>
                <a:pt x="473961" y="1073303"/>
              </a:lnTo>
              <a:lnTo>
                <a:pt x="475814" y="1066156"/>
              </a:lnTo>
              <a:lnTo>
                <a:pt x="478460" y="1054510"/>
              </a:lnTo>
              <a:lnTo>
                <a:pt x="479519" y="1049746"/>
              </a:lnTo>
              <a:lnTo>
                <a:pt x="480577" y="1044982"/>
              </a:lnTo>
              <a:lnTo>
                <a:pt x="481371" y="1039952"/>
              </a:lnTo>
              <a:lnTo>
                <a:pt x="481900" y="1033865"/>
              </a:lnTo>
              <a:lnTo>
                <a:pt x="482165" y="1026718"/>
              </a:lnTo>
              <a:lnTo>
                <a:pt x="482430" y="1017719"/>
              </a:lnTo>
              <a:lnTo>
                <a:pt x="482430" y="1010308"/>
              </a:lnTo>
              <a:lnTo>
                <a:pt x="482165" y="1005279"/>
              </a:lnTo>
              <a:lnTo>
                <a:pt x="481636" y="1001838"/>
              </a:lnTo>
              <a:lnTo>
                <a:pt x="481106" y="999455"/>
              </a:lnTo>
              <a:lnTo>
                <a:pt x="479254" y="994426"/>
              </a:lnTo>
              <a:lnTo>
                <a:pt x="478460" y="990456"/>
              </a:lnTo>
              <a:lnTo>
                <a:pt x="477402" y="984633"/>
              </a:lnTo>
              <a:lnTo>
                <a:pt x="476343" y="978810"/>
              </a:lnTo>
              <a:lnTo>
                <a:pt x="475549" y="973516"/>
              </a:lnTo>
              <a:lnTo>
                <a:pt x="472903" y="964517"/>
              </a:lnTo>
              <a:lnTo>
                <a:pt x="470786" y="957900"/>
              </a:lnTo>
              <a:lnTo>
                <a:pt x="468933" y="953665"/>
              </a:lnTo>
              <a:lnTo>
                <a:pt x="440617" y="928520"/>
              </a:lnTo>
              <a:lnTo>
                <a:pt x="413095" y="903904"/>
              </a:lnTo>
              <a:lnTo>
                <a:pt x="399864" y="891463"/>
              </a:lnTo>
              <a:lnTo>
                <a:pt x="386896" y="879288"/>
              </a:lnTo>
              <a:lnTo>
                <a:pt x="374194" y="866848"/>
              </a:lnTo>
              <a:lnTo>
                <a:pt x="361756" y="854407"/>
              </a:lnTo>
              <a:lnTo>
                <a:pt x="349583" y="841967"/>
              </a:lnTo>
              <a:lnTo>
                <a:pt x="337674" y="829792"/>
              </a:lnTo>
              <a:lnTo>
                <a:pt x="326295" y="817351"/>
              </a:lnTo>
              <a:lnTo>
                <a:pt x="314916" y="804911"/>
              </a:lnTo>
              <a:lnTo>
                <a:pt x="304066" y="792736"/>
              </a:lnTo>
              <a:lnTo>
                <a:pt x="293216" y="780031"/>
              </a:lnTo>
              <a:lnTo>
                <a:pt x="282630" y="767590"/>
              </a:lnTo>
              <a:lnTo>
                <a:pt x="272574" y="754885"/>
              </a:lnTo>
              <a:lnTo>
                <a:pt x="262783" y="742180"/>
              </a:lnTo>
              <a:lnTo>
                <a:pt x="252991" y="728946"/>
              </a:lnTo>
              <a:lnTo>
                <a:pt x="243729" y="715712"/>
              </a:lnTo>
              <a:lnTo>
                <a:pt x="234467" y="702478"/>
              </a:lnTo>
              <a:lnTo>
                <a:pt x="225734" y="689243"/>
              </a:lnTo>
              <a:lnTo>
                <a:pt x="217265" y="675480"/>
              </a:lnTo>
              <a:lnTo>
                <a:pt x="209062" y="661981"/>
              </a:lnTo>
              <a:lnTo>
                <a:pt x="201387" y="648217"/>
              </a:lnTo>
              <a:lnTo>
                <a:pt x="193713" y="634188"/>
              </a:lnTo>
              <a:lnTo>
                <a:pt x="186568" y="620160"/>
              </a:lnTo>
              <a:lnTo>
                <a:pt x="179687" y="606132"/>
              </a:lnTo>
              <a:lnTo>
                <a:pt x="173071" y="591839"/>
              </a:lnTo>
              <a:lnTo>
                <a:pt x="166985" y="577016"/>
              </a:lnTo>
              <a:lnTo>
                <a:pt x="161163" y="562458"/>
              </a:lnTo>
              <a:lnTo>
                <a:pt x="155605" y="547636"/>
              </a:lnTo>
              <a:lnTo>
                <a:pt x="150313" y="532814"/>
              </a:lnTo>
              <a:lnTo>
                <a:pt x="146343" y="519579"/>
              </a:lnTo>
              <a:lnTo>
                <a:pt x="142374" y="506080"/>
              </a:lnTo>
              <a:lnTo>
                <a:pt x="138669" y="492052"/>
              </a:lnTo>
              <a:lnTo>
                <a:pt x="135228" y="477759"/>
              </a:lnTo>
              <a:lnTo>
                <a:pt x="132053" y="462936"/>
              </a:lnTo>
              <a:lnTo>
                <a:pt x="129142" y="447849"/>
              </a:lnTo>
              <a:lnTo>
                <a:pt x="126231" y="432762"/>
              </a:lnTo>
              <a:lnTo>
                <a:pt x="123585" y="416881"/>
              </a:lnTo>
              <a:lnTo>
                <a:pt x="118292" y="385648"/>
              </a:lnTo>
              <a:lnTo>
                <a:pt x="113793" y="353886"/>
              </a:lnTo>
              <a:lnTo>
                <a:pt x="110088" y="322653"/>
              </a:lnTo>
              <a:lnTo>
                <a:pt x="106383" y="292214"/>
              </a:lnTo>
              <a:lnTo>
                <a:pt x="102678" y="255952"/>
              </a:lnTo>
              <a:lnTo>
                <a:pt x="99503" y="223131"/>
              </a:lnTo>
              <a:lnTo>
                <a:pt x="94210" y="222337"/>
              </a:lnTo>
              <a:lnTo>
                <a:pt x="89182" y="221543"/>
              </a:lnTo>
              <a:lnTo>
                <a:pt x="84154" y="220219"/>
              </a:lnTo>
              <a:lnTo>
                <a:pt x="79391" y="218896"/>
              </a:lnTo>
              <a:lnTo>
                <a:pt x="74362" y="217308"/>
              </a:lnTo>
              <a:lnTo>
                <a:pt x="69599" y="215455"/>
              </a:lnTo>
              <a:lnTo>
                <a:pt x="65100" y="213602"/>
              </a:lnTo>
              <a:lnTo>
                <a:pt x="60601" y="211220"/>
              </a:lnTo>
              <a:lnTo>
                <a:pt x="56103" y="208838"/>
              </a:lnTo>
              <a:lnTo>
                <a:pt x="51604" y="206191"/>
              </a:lnTo>
              <a:lnTo>
                <a:pt x="47634" y="203544"/>
              </a:lnTo>
              <a:lnTo>
                <a:pt x="43400" y="200368"/>
              </a:lnTo>
              <a:lnTo>
                <a:pt x="39431" y="197191"/>
              </a:lnTo>
              <a:lnTo>
                <a:pt x="35726" y="194280"/>
              </a:lnTo>
              <a:lnTo>
                <a:pt x="32285" y="190574"/>
              </a:lnTo>
              <a:lnTo>
                <a:pt x="28845" y="186869"/>
              </a:lnTo>
              <a:lnTo>
                <a:pt x="25405" y="183163"/>
              </a:lnTo>
              <a:lnTo>
                <a:pt x="22229" y="179193"/>
              </a:lnTo>
              <a:lnTo>
                <a:pt x="19583" y="174958"/>
              </a:lnTo>
              <a:lnTo>
                <a:pt x="16672" y="171252"/>
              </a:lnTo>
              <a:lnTo>
                <a:pt x="14290" y="166753"/>
              </a:lnTo>
              <a:lnTo>
                <a:pt x="11644" y="162253"/>
              </a:lnTo>
              <a:lnTo>
                <a:pt x="9791" y="157753"/>
              </a:lnTo>
              <a:lnTo>
                <a:pt x="7674" y="152989"/>
              </a:lnTo>
              <a:lnTo>
                <a:pt x="5822" y="148225"/>
              </a:lnTo>
              <a:lnTo>
                <a:pt x="4499" y="143460"/>
              </a:lnTo>
              <a:lnTo>
                <a:pt x="2911" y="138166"/>
              </a:lnTo>
              <a:lnTo>
                <a:pt x="1852" y="133137"/>
              </a:lnTo>
              <a:lnTo>
                <a:pt x="1059" y="128108"/>
              </a:lnTo>
              <a:lnTo>
                <a:pt x="529" y="122815"/>
              </a:lnTo>
              <a:lnTo>
                <a:pt x="265" y="117786"/>
              </a:lnTo>
              <a:lnTo>
                <a:pt x="0" y="112227"/>
              </a:lnTo>
              <a:lnTo>
                <a:pt x="265" y="106404"/>
              </a:lnTo>
              <a:lnTo>
                <a:pt x="529" y="100846"/>
              </a:lnTo>
              <a:lnTo>
                <a:pt x="1323" y="95287"/>
              </a:lnTo>
              <a:lnTo>
                <a:pt x="2117" y="89729"/>
              </a:lnTo>
              <a:lnTo>
                <a:pt x="3440" y="84435"/>
              </a:lnTo>
              <a:lnTo>
                <a:pt x="5028" y="78877"/>
              </a:lnTo>
              <a:lnTo>
                <a:pt x="6881" y="73583"/>
              </a:lnTo>
              <a:lnTo>
                <a:pt x="8733" y="68554"/>
              </a:lnTo>
              <a:lnTo>
                <a:pt x="11115" y="63525"/>
              </a:lnTo>
              <a:lnTo>
                <a:pt x="13232" y="58761"/>
              </a:lnTo>
              <a:lnTo>
                <a:pt x="16143" y="53996"/>
              </a:lnTo>
              <a:lnTo>
                <a:pt x="19054" y="49497"/>
              </a:lnTo>
              <a:lnTo>
                <a:pt x="22229" y="45262"/>
              </a:lnTo>
              <a:lnTo>
                <a:pt x="25405" y="41027"/>
              </a:lnTo>
              <a:lnTo>
                <a:pt x="29110" y="36792"/>
              </a:lnTo>
              <a:lnTo>
                <a:pt x="32815" y="32821"/>
              </a:lnTo>
              <a:lnTo>
                <a:pt x="36784" y="29380"/>
              </a:lnTo>
              <a:lnTo>
                <a:pt x="40754" y="25675"/>
              </a:lnTo>
              <a:lnTo>
                <a:pt x="44988" y="22499"/>
              </a:lnTo>
              <a:lnTo>
                <a:pt x="49222" y="19058"/>
              </a:lnTo>
              <a:lnTo>
                <a:pt x="53721" y="16411"/>
              </a:lnTo>
              <a:lnTo>
                <a:pt x="58484" y="13499"/>
              </a:lnTo>
              <a:lnTo>
                <a:pt x="63248" y="11382"/>
              </a:lnTo>
              <a:lnTo>
                <a:pt x="68540" y="9000"/>
              </a:lnTo>
              <a:lnTo>
                <a:pt x="73569" y="6882"/>
              </a:lnTo>
              <a:lnTo>
                <a:pt x="78861" y="5029"/>
              </a:lnTo>
              <a:lnTo>
                <a:pt x="83889" y="3706"/>
              </a:lnTo>
              <a:lnTo>
                <a:pt x="89447" y="2382"/>
              </a:lnTo>
              <a:lnTo>
                <a:pt x="94739" y="1324"/>
              </a:lnTo>
              <a:lnTo>
                <a:pt x="100561" y="530"/>
              </a:lnTo>
              <a:lnTo>
                <a:pt x="106119" y="265"/>
              </a:lnTo>
              <a:lnTo>
                <a:pt x="111941" y="0"/>
              </a:lnTo>
              <a:close/>
            </a:path>
          </a:pathLst>
        </a:cu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anchor="ctr" anchorCtr="1">
          <a:noAutofit/>
        </a:bodyPr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charset="0"/>
              <a:ea typeface="宋体" panose="02010600030101010101" pitchFamily="7" charset="-122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charset="0"/>
              <a:ea typeface="宋体" panose="02010600030101010101" pitchFamily="7" charset="-122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charset="0"/>
              <a:ea typeface="宋体" panose="02010600030101010101" pitchFamily="7" charset="-122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charset="0"/>
              <a:ea typeface="宋体" panose="02010600030101010101" pitchFamily="7" charset="-122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charset="0"/>
              <a:ea typeface="宋体" panose="02010600030101010101" pitchFamily="7" charset="-122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charset="0"/>
              <a:ea typeface="宋体" panose="02010600030101010101" pitchFamily="7" charset="-122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charset="0"/>
              <a:ea typeface="宋体" panose="02010600030101010101" pitchFamily="7" charset="-122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charset="0"/>
              <a:ea typeface="宋体" panose="02010600030101010101" pitchFamily="7" charset="-122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charset="0"/>
              <a:ea typeface="宋体" panose="02010600030101010101" pitchFamily="7" charset="-122"/>
              <a:cs typeface="+mn-cs"/>
            </a:defRPr>
          </a:lvl9pPr>
        </a:lstStyle>
        <a:p>
          <a:pPr algn="l">
            <a:spcBef>
              <a:spcPts val="0"/>
            </a:spcBef>
          </a:pPr>
          <a:endParaRPr lang="zh-CN" altLang="en-US" sz="1100"/>
        </a:p>
      </xdr:txBody>
    </xdr:sp>
    <xdr:clientData/>
  </xdr:twoCellAnchor>
  <xdr:twoCellAnchor>
    <xdr:from>
      <xdr:col>7</xdr:col>
      <xdr:colOff>441325</xdr:colOff>
      <xdr:row>2</xdr:row>
      <xdr:rowOff>291465</xdr:rowOff>
    </xdr:from>
    <xdr:to>
      <xdr:col>11</xdr:col>
      <xdr:colOff>374650</xdr:colOff>
      <xdr:row>15</xdr:row>
      <xdr:rowOff>363220</xdr:rowOff>
    </xdr:to>
    <xdr:sp>
      <xdr:nvSpPr>
        <xdr:cNvPr id="42" name="矩形 41"/>
        <xdr:cNvSpPr/>
      </xdr:nvSpPr>
      <xdr:spPr>
        <a:xfrm>
          <a:off x="4142740" y="1741805"/>
          <a:ext cx="2637155" cy="601726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effectLst>
          <a:outerShdw blurRad="40000" dist="23000" dir="5400000" rotWithShape="0">
            <a:srgbClr val="000000">
              <a:alpha val="35000"/>
            </a:srgbClr>
          </a:outerShdw>
          <a:softEdge rad="3175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254635</xdr:colOff>
      <xdr:row>7</xdr:row>
      <xdr:rowOff>126365</xdr:rowOff>
    </xdr:from>
    <xdr:to>
      <xdr:col>5</xdr:col>
      <xdr:colOff>151765</xdr:colOff>
      <xdr:row>9</xdr:row>
      <xdr:rowOff>40640</xdr:rowOff>
    </xdr:to>
    <xdr:sp>
      <xdr:nvSpPr>
        <xdr:cNvPr id="12" name=" 18"/>
        <xdr:cNvSpPr/>
      </xdr:nvSpPr>
      <xdr:spPr>
        <a:xfrm>
          <a:off x="1212215" y="4220845"/>
          <a:ext cx="1663065" cy="676275"/>
        </a:xfrm>
        <a:prstGeom prst="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anchor="ctr"/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zh-CN" altLang="en-US" sz="2000" b="1">
              <a:solidFill>
                <a:schemeClr val="bg1"/>
              </a:solidFill>
            </a:rPr>
            <a:t>办公用品信息</a:t>
          </a:r>
          <a:endParaRPr lang="zh-CN" altLang="en-US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143291</xdr:colOff>
      <xdr:row>11</xdr:row>
      <xdr:rowOff>173990</xdr:rowOff>
    </xdr:from>
    <xdr:to>
      <xdr:col>6</xdr:col>
      <xdr:colOff>133350</xdr:colOff>
      <xdr:row>13</xdr:row>
      <xdr:rowOff>64190</xdr:rowOff>
    </xdr:to>
    <xdr:sp>
      <xdr:nvSpPr>
        <xdr:cNvPr id="16" name=" 18">
          <a:hlinkClick xmlns:r="http://schemas.openxmlformats.org/officeDocument/2006/relationships" r:id="rId6"/>
        </xdr:cNvPr>
        <xdr:cNvSpPr/>
      </xdr:nvSpPr>
      <xdr:spPr>
        <a:xfrm>
          <a:off x="1100455" y="5842635"/>
          <a:ext cx="2245360" cy="576580"/>
        </a:xfrm>
        <a:prstGeom prst="roundRect">
          <a:avLst/>
        </a:prstGeom>
        <a:effectLst>
          <a:reflection blurRad="6350" stA="52000" endA="300" endPos="35000" dir="5400000" sy="-100000" algn="bl" rotWithShape="0"/>
        </a:effectLst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anchor="ctr"/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zh-CN" altLang="en-US" sz="2400" b="1">
              <a:solidFill>
                <a:schemeClr val="bg1"/>
              </a:solidFill>
            </a:rPr>
            <a:t>领用人及部门</a:t>
          </a:r>
          <a:endParaRPr lang="zh-CN" alt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156528</xdr:colOff>
      <xdr:row>2</xdr:row>
      <xdr:rowOff>612457</xdr:rowOff>
    </xdr:from>
    <xdr:to>
      <xdr:col>5</xdr:col>
      <xdr:colOff>362903</xdr:colOff>
      <xdr:row>3</xdr:row>
      <xdr:rowOff>181243</xdr:rowOff>
    </xdr:to>
    <xdr:sp>
      <xdr:nvSpPr>
        <xdr:cNvPr id="24" name=" 18"/>
        <xdr:cNvSpPr/>
      </xdr:nvSpPr>
      <xdr:spPr>
        <a:xfrm>
          <a:off x="1113790" y="2062480"/>
          <a:ext cx="1972310" cy="624205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anchor="ctr"/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zh-CN" altLang="en-US" sz="24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基础数据</a:t>
          </a:r>
          <a:endParaRPr lang="zh-CN" altLang="en-US" sz="24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810260</xdr:colOff>
      <xdr:row>2</xdr:row>
      <xdr:rowOff>612457</xdr:rowOff>
    </xdr:from>
    <xdr:to>
      <xdr:col>11</xdr:col>
      <xdr:colOff>5715</xdr:colOff>
      <xdr:row>3</xdr:row>
      <xdr:rowOff>181243</xdr:rowOff>
    </xdr:to>
    <xdr:sp>
      <xdr:nvSpPr>
        <xdr:cNvPr id="25" name=" 18"/>
        <xdr:cNvSpPr/>
      </xdr:nvSpPr>
      <xdr:spPr>
        <a:xfrm>
          <a:off x="4489450" y="2062480"/>
          <a:ext cx="1921510" cy="624205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vert="horz" wrap="square" numCol="1" spcCol="0" rtlCol="0" fromWordArt="0" anchor="ctr" anchorCtr="0" forceAA="0" compatLnSpc="1"/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zh-CN" altLang="en-US" sz="2400" b="1">
              <a:solidFill>
                <a:schemeClr val="bg1"/>
              </a:solidFill>
            </a:rPr>
            <a:t>采购和领用</a:t>
          </a:r>
          <a:endParaRPr lang="zh-CN" alt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112395</xdr:colOff>
      <xdr:row>13</xdr:row>
      <xdr:rowOff>335280</xdr:rowOff>
    </xdr:from>
    <xdr:to>
      <xdr:col>10</xdr:col>
      <xdr:colOff>379730</xdr:colOff>
      <xdr:row>14</xdr:row>
      <xdr:rowOff>415980</xdr:rowOff>
    </xdr:to>
    <xdr:sp>
      <xdr:nvSpPr>
        <xdr:cNvPr id="28" name=" 18">
          <a:hlinkClick xmlns:r="http://schemas.openxmlformats.org/officeDocument/2006/relationships" r:id="rId7"/>
        </xdr:cNvPr>
        <xdr:cNvSpPr/>
      </xdr:nvSpPr>
      <xdr:spPr>
        <a:xfrm>
          <a:off x="4601845" y="6690360"/>
          <a:ext cx="1694180" cy="575945"/>
        </a:xfrm>
        <a:prstGeom prst="roundRect">
          <a:avLst/>
        </a:prstGeom>
        <a:effectLst>
          <a:reflection blurRad="6350" stA="52000" endA="300" endPos="35000" dir="5400000" sy="-100000" algn="bl" rotWithShape="0"/>
        </a:effectLst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anchor="ctr"/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zh-CN" altLang="en-US" sz="2400" b="1">
              <a:solidFill>
                <a:schemeClr val="bg1"/>
              </a:solidFill>
            </a:rPr>
            <a:t>领用明细</a:t>
          </a:r>
          <a:endParaRPr lang="zh-CN" alt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112395</xdr:colOff>
      <xdr:row>10</xdr:row>
      <xdr:rowOff>417195</xdr:rowOff>
    </xdr:from>
    <xdr:to>
      <xdr:col>10</xdr:col>
      <xdr:colOff>379730</xdr:colOff>
      <xdr:row>12</xdr:row>
      <xdr:rowOff>116895</xdr:rowOff>
    </xdr:to>
    <xdr:sp>
      <xdr:nvSpPr>
        <xdr:cNvPr id="29" name=" 18">
          <a:hlinkClick xmlns:r="http://schemas.openxmlformats.org/officeDocument/2006/relationships" r:id="rId8"/>
        </xdr:cNvPr>
        <xdr:cNvSpPr/>
      </xdr:nvSpPr>
      <xdr:spPr>
        <a:xfrm>
          <a:off x="4601845" y="5654675"/>
          <a:ext cx="1694180" cy="561975"/>
        </a:xfrm>
        <a:prstGeom prst="roundRect">
          <a:avLst/>
        </a:prstGeom>
        <a:effectLst>
          <a:reflection blurRad="6350" stA="52000" endA="300" endPos="35000" dir="5400000" sy="-100000" algn="bl" rotWithShape="0"/>
        </a:effectLst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anchor="ctr"/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zh-CN" altLang="en-US" sz="2400" b="1">
              <a:solidFill>
                <a:schemeClr val="bg1"/>
              </a:solidFill>
            </a:rPr>
            <a:t>采购明细</a:t>
          </a:r>
          <a:endParaRPr lang="zh-CN" alt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112395</xdr:colOff>
      <xdr:row>8</xdr:row>
      <xdr:rowOff>45085</xdr:rowOff>
    </xdr:from>
    <xdr:to>
      <xdr:col>10</xdr:col>
      <xdr:colOff>379730</xdr:colOff>
      <xdr:row>9</xdr:row>
      <xdr:rowOff>278185</xdr:rowOff>
    </xdr:to>
    <xdr:sp>
      <xdr:nvSpPr>
        <xdr:cNvPr id="30" name=" 18">
          <a:hlinkClick xmlns:r="http://schemas.openxmlformats.org/officeDocument/2006/relationships" r:id="rId7"/>
        </xdr:cNvPr>
        <xdr:cNvSpPr/>
      </xdr:nvSpPr>
      <xdr:spPr>
        <a:xfrm>
          <a:off x="4601845" y="4520565"/>
          <a:ext cx="1694180" cy="614045"/>
        </a:xfrm>
        <a:prstGeom prst="roundRect">
          <a:avLst/>
        </a:prstGeom>
        <a:effectLst>
          <a:reflection blurRad="6350" stA="52000" endA="300" endPos="35000" dir="5400000" sy="-100000" algn="bl" rotWithShape="0"/>
        </a:effectLst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overflow" horzOverflow="overflow" vert="horz" wrap="square" numCol="1" spcCol="0" rtlCol="0" fromWordArt="0" anchor="ctr" anchorCtr="0" forceAA="0" compatLnSpc="1">
          <a:noAutofit/>
        </a:bodyPr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zh-CN" altLang="en-US" sz="2400" b="1">
              <a:solidFill>
                <a:schemeClr val="bg1"/>
              </a:solidFill>
            </a:rPr>
            <a:t>领用录入</a:t>
          </a:r>
          <a:endParaRPr lang="zh-CN" alt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111760</xdr:colOff>
      <xdr:row>5</xdr:row>
      <xdr:rowOff>20320</xdr:rowOff>
    </xdr:from>
    <xdr:to>
      <xdr:col>10</xdr:col>
      <xdr:colOff>380365</xdr:colOff>
      <xdr:row>6</xdr:row>
      <xdr:rowOff>253420</xdr:rowOff>
    </xdr:to>
    <xdr:sp>
      <xdr:nvSpPr>
        <xdr:cNvPr id="31" name=" 18">
          <a:hlinkClick xmlns:r="http://schemas.openxmlformats.org/officeDocument/2006/relationships" r:id="rId8"/>
        </xdr:cNvPr>
        <xdr:cNvSpPr/>
      </xdr:nvSpPr>
      <xdr:spPr>
        <a:xfrm>
          <a:off x="4601210" y="3352800"/>
          <a:ext cx="1695450" cy="614045"/>
        </a:xfrm>
        <a:prstGeom prst="roundRect">
          <a:avLst/>
        </a:prstGeom>
        <a:effectLst>
          <a:reflection blurRad="6350" stA="52000" endA="300" endPos="35000" dir="5400000" sy="-100000" algn="bl" rotWithShape="0"/>
        </a:effectLst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anchor="ctr"/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zh-CN" altLang="en-US" sz="2400" b="1">
              <a:solidFill>
                <a:schemeClr val="bg1"/>
              </a:solidFill>
            </a:rPr>
            <a:t>采购录入</a:t>
          </a:r>
          <a:endParaRPr lang="zh-CN" alt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929958</xdr:colOff>
      <xdr:row>2</xdr:row>
      <xdr:rowOff>612457</xdr:rowOff>
    </xdr:from>
    <xdr:to>
      <xdr:col>16</xdr:col>
      <xdr:colOff>232093</xdr:colOff>
      <xdr:row>3</xdr:row>
      <xdr:rowOff>181243</xdr:rowOff>
    </xdr:to>
    <xdr:sp>
      <xdr:nvSpPr>
        <xdr:cNvPr id="26" name=" 18"/>
        <xdr:cNvSpPr/>
      </xdr:nvSpPr>
      <xdr:spPr>
        <a:xfrm>
          <a:off x="7993380" y="2062480"/>
          <a:ext cx="1906270" cy="624205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vert="horz" wrap="square" numCol="1" spcCol="0" rtlCol="0" fromWordArt="0" anchor="ctr" anchorCtr="0" forceAA="0" compatLnSpc="1">
          <a:noAutofit/>
        </a:bodyPr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zh-CN" altLang="en-US" sz="2400" b="1">
              <a:solidFill>
                <a:schemeClr val="bg1"/>
              </a:solidFill>
            </a:rPr>
            <a:t>库存情况</a:t>
          </a:r>
          <a:endParaRPr lang="zh-CN" alt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685800</xdr:colOff>
      <xdr:row>12</xdr:row>
      <xdr:rowOff>85725</xdr:rowOff>
    </xdr:from>
    <xdr:to>
      <xdr:col>16</xdr:col>
      <xdr:colOff>457200</xdr:colOff>
      <xdr:row>13</xdr:row>
      <xdr:rowOff>414075</xdr:rowOff>
    </xdr:to>
    <xdr:sp>
      <xdr:nvSpPr>
        <xdr:cNvPr id="35" name=" 18">
          <a:hlinkClick xmlns:r="http://schemas.openxmlformats.org/officeDocument/2006/relationships" r:id="rId9"/>
        </xdr:cNvPr>
        <xdr:cNvSpPr/>
      </xdr:nvSpPr>
      <xdr:spPr>
        <a:xfrm>
          <a:off x="7749540" y="6185535"/>
          <a:ext cx="2375535" cy="583565"/>
        </a:xfrm>
        <a:prstGeom prst="roundRect">
          <a:avLst/>
        </a:prstGeom>
        <a:effectLst>
          <a:reflection blurRad="6350" stA="52000" endA="300" endPos="35000" dir="5400000" sy="-100000" algn="bl" rotWithShape="0"/>
        </a:effectLst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anchor="ctr"/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zh-CN" altLang="en-US" sz="2400" b="1">
              <a:solidFill>
                <a:schemeClr val="bg1"/>
              </a:solidFill>
            </a:rPr>
            <a:t>紧急采购明细</a:t>
          </a:r>
          <a:endParaRPr lang="zh-CN" alt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1089660</xdr:colOff>
      <xdr:row>6</xdr:row>
      <xdr:rowOff>43180</xdr:rowOff>
    </xdr:from>
    <xdr:to>
      <xdr:col>16</xdr:col>
      <xdr:colOff>72390</xdr:colOff>
      <xdr:row>7</xdr:row>
      <xdr:rowOff>276280</xdr:rowOff>
    </xdr:to>
    <xdr:sp>
      <xdr:nvSpPr>
        <xdr:cNvPr id="36" name=" 18">
          <a:hlinkClick xmlns:r="http://schemas.openxmlformats.org/officeDocument/2006/relationships" r:id="rId10"/>
        </xdr:cNvPr>
        <xdr:cNvSpPr/>
      </xdr:nvSpPr>
      <xdr:spPr>
        <a:xfrm>
          <a:off x="8153400" y="3756660"/>
          <a:ext cx="1586865" cy="614045"/>
        </a:xfrm>
        <a:prstGeom prst="roundRect">
          <a:avLst/>
        </a:prstGeom>
        <a:effectLst>
          <a:reflection blurRad="6350" stA="52000" endA="300" endPos="35000" dir="5400000" sy="-100000" algn="bl" rotWithShape="0"/>
        </a:effectLst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anchor="ctr"/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zh-CN" altLang="en-US" sz="2400" b="1">
              <a:solidFill>
                <a:schemeClr val="bg1"/>
              </a:solidFill>
            </a:rPr>
            <a:t>期初库存</a:t>
          </a:r>
          <a:endParaRPr lang="zh-CN" alt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1089660</xdr:colOff>
      <xdr:row>9</xdr:row>
      <xdr:rowOff>151130</xdr:rowOff>
    </xdr:from>
    <xdr:to>
      <xdr:col>16</xdr:col>
      <xdr:colOff>72390</xdr:colOff>
      <xdr:row>10</xdr:row>
      <xdr:rowOff>384230</xdr:rowOff>
    </xdr:to>
    <xdr:sp>
      <xdr:nvSpPr>
        <xdr:cNvPr id="37" name=" 18">
          <a:hlinkClick xmlns:r="http://schemas.openxmlformats.org/officeDocument/2006/relationships" r:id="rId11"/>
        </xdr:cNvPr>
        <xdr:cNvSpPr/>
      </xdr:nvSpPr>
      <xdr:spPr>
        <a:xfrm>
          <a:off x="8153400" y="5007610"/>
          <a:ext cx="1586865" cy="614045"/>
        </a:xfrm>
        <a:prstGeom prst="roundRect">
          <a:avLst/>
        </a:prstGeom>
        <a:effectLst>
          <a:reflection blurRad="6350" stA="52000" endA="300" endPos="35000" dir="5400000" sy="-100000" algn="bl" rotWithShape="0"/>
        </a:effectLst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anchor="ctr"/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zh-CN" altLang="en-US" sz="2400" b="1">
              <a:solidFill>
                <a:schemeClr val="bg1"/>
              </a:solidFill>
            </a:rPr>
            <a:t>当前库存</a:t>
          </a:r>
          <a:endParaRPr lang="zh-CN" alt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1096233</xdr:colOff>
      <xdr:row>5</xdr:row>
      <xdr:rowOff>41910</xdr:rowOff>
    </xdr:from>
    <xdr:to>
      <xdr:col>20</xdr:col>
      <xdr:colOff>38100</xdr:colOff>
      <xdr:row>6</xdr:row>
      <xdr:rowOff>275010</xdr:rowOff>
    </xdr:to>
    <xdr:sp>
      <xdr:nvSpPr>
        <xdr:cNvPr id="34" name=" 18">
          <a:hlinkClick xmlns:r="http://schemas.openxmlformats.org/officeDocument/2006/relationships" r:id="rId12"/>
        </xdr:cNvPr>
        <xdr:cNvSpPr/>
      </xdr:nvSpPr>
      <xdr:spPr>
        <a:xfrm>
          <a:off x="11302365" y="3374390"/>
          <a:ext cx="2225040" cy="614045"/>
        </a:xfrm>
        <a:prstGeom prst="roundRect">
          <a:avLst/>
        </a:prstGeom>
        <a:effectLst>
          <a:reflection blurRad="6350" stA="52000" endA="300" endPos="35000" dir="5400000" sy="-100000" algn="bl" rotWithShape="0"/>
        </a:effectLst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anchor="ctr"/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zh-CN" altLang="en-US" sz="2400" b="1">
              <a:solidFill>
                <a:schemeClr val="bg1"/>
              </a:solidFill>
            </a:rPr>
            <a:t>采购数量金额</a:t>
          </a:r>
          <a:endParaRPr lang="zh-CN" alt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142875</xdr:colOff>
      <xdr:row>7</xdr:row>
      <xdr:rowOff>126365</xdr:rowOff>
    </xdr:from>
    <xdr:to>
      <xdr:col>6</xdr:col>
      <xdr:colOff>76200</xdr:colOff>
      <xdr:row>9</xdr:row>
      <xdr:rowOff>16565</xdr:rowOff>
    </xdr:to>
    <xdr:sp>
      <xdr:nvSpPr>
        <xdr:cNvPr id="78" name=" 18">
          <a:hlinkClick xmlns:r="http://schemas.openxmlformats.org/officeDocument/2006/relationships" r:id="rId13"/>
        </xdr:cNvPr>
        <xdr:cNvSpPr/>
      </xdr:nvSpPr>
      <xdr:spPr>
        <a:xfrm>
          <a:off x="1100455" y="4220845"/>
          <a:ext cx="2188210" cy="652145"/>
        </a:xfrm>
        <a:prstGeom prst="roundRect">
          <a:avLst/>
        </a:prstGeom>
        <a:effectLst>
          <a:reflection blurRad="6350" stA="52000" endA="300" endPos="35000" dir="5400000" sy="-100000" algn="bl" rotWithShape="0"/>
        </a:effectLst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anchor="ctr"/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zh-CN" altLang="en-US" sz="2400" b="1">
              <a:solidFill>
                <a:schemeClr val="bg1"/>
              </a:solidFill>
            </a:rPr>
            <a:t>办公用品信息</a:t>
          </a:r>
          <a:endParaRPr lang="zh-CN" alt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1096233</xdr:colOff>
      <xdr:row>10</xdr:row>
      <xdr:rowOff>413385</xdr:rowOff>
    </xdr:from>
    <xdr:to>
      <xdr:col>20</xdr:col>
      <xdr:colOff>38100</xdr:colOff>
      <xdr:row>12</xdr:row>
      <xdr:rowOff>113085</xdr:rowOff>
    </xdr:to>
    <xdr:sp>
      <xdr:nvSpPr>
        <xdr:cNvPr id="80" name=" 18">
          <a:hlinkClick xmlns:r="http://schemas.openxmlformats.org/officeDocument/2006/relationships" r:id="rId14"/>
        </xdr:cNvPr>
        <xdr:cNvSpPr/>
      </xdr:nvSpPr>
      <xdr:spPr>
        <a:xfrm>
          <a:off x="11302365" y="5650865"/>
          <a:ext cx="2225040" cy="561975"/>
        </a:xfrm>
        <a:prstGeom prst="roundRect">
          <a:avLst/>
        </a:prstGeom>
        <a:effectLst>
          <a:reflection blurRad="6350" stA="52000" endA="300" endPos="35000" dir="5400000" sy="-100000" algn="bl" rotWithShape="0"/>
        </a:effectLst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anchor="ctr"/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zh-CN" altLang="en-US" sz="2400" b="1">
              <a:solidFill>
                <a:schemeClr val="bg1"/>
              </a:solidFill>
            </a:rPr>
            <a:t>个人领取明细</a:t>
          </a:r>
          <a:endParaRPr lang="zh-CN" alt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1096233</xdr:colOff>
      <xdr:row>8</xdr:row>
      <xdr:rowOff>62865</xdr:rowOff>
    </xdr:from>
    <xdr:to>
      <xdr:col>20</xdr:col>
      <xdr:colOff>57150</xdr:colOff>
      <xdr:row>9</xdr:row>
      <xdr:rowOff>295965</xdr:rowOff>
    </xdr:to>
    <xdr:sp>
      <xdr:nvSpPr>
        <xdr:cNvPr id="81" name=" 18">
          <a:hlinkClick xmlns:r="http://schemas.openxmlformats.org/officeDocument/2006/relationships" r:id="rId15"/>
        </xdr:cNvPr>
        <xdr:cNvSpPr/>
      </xdr:nvSpPr>
      <xdr:spPr>
        <a:xfrm>
          <a:off x="11302365" y="4538345"/>
          <a:ext cx="2244090" cy="614045"/>
        </a:xfrm>
        <a:prstGeom prst="roundRect">
          <a:avLst/>
        </a:prstGeom>
        <a:effectLst>
          <a:reflection blurRad="6350" stA="52000" endA="300" endPos="35000" dir="5400000" sy="-100000" algn="bl" rotWithShape="0"/>
        </a:effectLst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anchor="ctr"/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zh-CN" altLang="en-US" sz="2400" b="1">
              <a:solidFill>
                <a:schemeClr val="bg1"/>
              </a:solidFill>
            </a:rPr>
            <a:t>领用汇总查询</a:t>
          </a:r>
          <a:endParaRPr lang="zh-CN" alt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1096233</xdr:colOff>
      <xdr:row>13</xdr:row>
      <xdr:rowOff>332740</xdr:rowOff>
    </xdr:from>
    <xdr:to>
      <xdr:col>20</xdr:col>
      <xdr:colOff>76200</xdr:colOff>
      <xdr:row>14</xdr:row>
      <xdr:rowOff>413440</xdr:rowOff>
    </xdr:to>
    <xdr:sp>
      <xdr:nvSpPr>
        <xdr:cNvPr id="83" name=" 18">
          <a:hlinkClick xmlns:r="http://schemas.openxmlformats.org/officeDocument/2006/relationships" r:id="rId16"/>
        </xdr:cNvPr>
        <xdr:cNvSpPr/>
      </xdr:nvSpPr>
      <xdr:spPr>
        <a:xfrm>
          <a:off x="11302365" y="6687820"/>
          <a:ext cx="2263140" cy="575945"/>
        </a:xfrm>
        <a:prstGeom prst="roundRect">
          <a:avLst/>
        </a:prstGeom>
        <a:effectLst>
          <a:reflection blurRad="6350" stA="52000" endA="300" endPos="35000" dir="5400000" sy="-100000" algn="bl" rotWithShape="0"/>
        </a:effectLst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anchor="ctr"/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zh-CN" altLang="en-US" sz="2400" b="1">
              <a:solidFill>
                <a:schemeClr val="bg1"/>
              </a:solidFill>
            </a:rPr>
            <a:t>部门领取汇总</a:t>
          </a:r>
          <a:endParaRPr lang="zh-CN" alt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1211100</xdr:colOff>
      <xdr:row>2</xdr:row>
      <xdr:rowOff>612457</xdr:rowOff>
    </xdr:from>
    <xdr:to>
      <xdr:col>19</xdr:col>
      <xdr:colOff>1025045</xdr:colOff>
      <xdr:row>3</xdr:row>
      <xdr:rowOff>181243</xdr:rowOff>
    </xdr:to>
    <xdr:sp>
      <xdr:nvSpPr>
        <xdr:cNvPr id="84" name=" 18"/>
        <xdr:cNvSpPr/>
      </xdr:nvSpPr>
      <xdr:spPr>
        <a:xfrm>
          <a:off x="11353800" y="2062480"/>
          <a:ext cx="2012950" cy="624205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vert="horz" wrap="square" numCol="1" spcCol="0" rtlCol="0" fromWordArt="0" anchor="ctr" anchorCtr="0" forceAA="0" compatLnSpc="1">
          <a:noAutofit/>
        </a:bodyPr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zh-CN" altLang="en-US" sz="2400" b="1">
              <a:solidFill>
                <a:schemeClr val="bg1"/>
              </a:solidFill>
            </a:rPr>
            <a:t>查询</a:t>
          </a:r>
          <a:endParaRPr lang="zh-CN" alt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257175</xdr:colOff>
      <xdr:row>1</xdr:row>
      <xdr:rowOff>295275</xdr:rowOff>
    </xdr:from>
    <xdr:to>
      <xdr:col>14</xdr:col>
      <xdr:colOff>161290</xdr:colOff>
      <xdr:row>2</xdr:row>
      <xdr:rowOff>104775</xdr:rowOff>
    </xdr:to>
    <xdr:sp>
      <xdr:nvSpPr>
        <xdr:cNvPr id="13" name="文本框 12"/>
        <xdr:cNvSpPr txBox="1"/>
      </xdr:nvSpPr>
      <xdr:spPr>
        <a:xfrm>
          <a:off x="2980690" y="628650"/>
          <a:ext cx="5870575" cy="9264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  <a:scene3d>
            <a:camera prst="orthographicFront"/>
            <a:lightRig rig="threePt" dir="t"/>
          </a:scene3d>
        </a:bodyPr>
        <a:lstStyle/>
        <a:p>
          <a:pPr algn="l"/>
          <a:r>
            <a:rPr lang="zh-CN" altLang="en-US" sz="3600" b="1">
              <a:ln>
                <a:noFill/>
              </a:ln>
              <a:latin typeface="微软雅黑" panose="020B0503020204020204" charset="-122"/>
              <a:ea typeface="微软雅黑" panose="020B0503020204020204" charset="-122"/>
              <a:sym typeface="+mn-ea"/>
            </a:rPr>
            <a:t>办公用品采购与领用管理系统</a:t>
          </a:r>
          <a:endParaRPr lang="zh-CN" altLang="en-US" sz="360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619125</xdr:colOff>
      <xdr:row>18</xdr:row>
      <xdr:rowOff>421640</xdr:rowOff>
    </xdr:from>
    <xdr:to>
      <xdr:col>5</xdr:col>
      <xdr:colOff>523875</xdr:colOff>
      <xdr:row>19</xdr:row>
      <xdr:rowOff>409575</xdr:rowOff>
    </xdr:to>
    <xdr:sp>
      <xdr:nvSpPr>
        <xdr:cNvPr id="14" name=" 14">
          <a:hlinkClick xmlns:r="http://schemas.openxmlformats.org/officeDocument/2006/relationships" r:id="rId17"/>
        </xdr:cNvPr>
        <xdr:cNvSpPr/>
      </xdr:nvSpPr>
      <xdr:spPr>
        <a:xfrm>
          <a:off x="1576705" y="9353550"/>
          <a:ext cx="1635760" cy="533400"/>
        </a:xfrm>
        <a:prstGeom prst="roundRect">
          <a:avLst>
            <a:gd name="adj" fmla="val 50000"/>
          </a:avLst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anchor="ctr"/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zh-CN" altLang="en-US" sz="1800">
              <a:solidFill>
                <a:srgbClr val="FFFFFF"/>
              </a:solidFill>
              <a:latin typeface="微软雅黑" panose="020B0503020204020204" charset="-122"/>
              <a:ea typeface="微软雅黑" panose="020B0503020204020204" charset="-122"/>
            </a:rPr>
            <a:t>使用说明</a:t>
          </a:r>
          <a:endParaRPr lang="zh-CN" altLang="en-US" sz="1800">
            <a:solidFill>
              <a:srgbClr val="FFFFFF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403225</xdr:colOff>
      <xdr:row>18</xdr:row>
      <xdr:rowOff>421640</xdr:rowOff>
    </xdr:from>
    <xdr:to>
      <xdr:col>8</xdr:col>
      <xdr:colOff>841375</xdr:colOff>
      <xdr:row>19</xdr:row>
      <xdr:rowOff>409575</xdr:rowOff>
    </xdr:to>
    <xdr:sp>
      <xdr:nvSpPr>
        <xdr:cNvPr id="15" name=" 14">
          <a:hlinkClick xmlns:r="http://schemas.openxmlformats.org/officeDocument/2006/relationships" r:id="rId1"/>
        </xdr:cNvPr>
        <xdr:cNvSpPr/>
      </xdr:nvSpPr>
      <xdr:spPr>
        <a:xfrm>
          <a:off x="3615690" y="9353550"/>
          <a:ext cx="1715135" cy="533400"/>
        </a:xfrm>
        <a:prstGeom prst="roundRect">
          <a:avLst>
            <a:gd name="adj" fmla="val 50000"/>
          </a:avLst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anchor="ctr"/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zh-CN" altLang="en-US" sz="1800">
              <a:solidFill>
                <a:srgbClr val="FFFFFF"/>
              </a:solidFill>
              <a:latin typeface="微软雅黑" panose="020B0503020204020204" charset="-122"/>
              <a:ea typeface="微软雅黑" panose="020B0503020204020204" charset="-122"/>
            </a:rPr>
            <a:t>倒计时</a:t>
          </a:r>
          <a:endParaRPr lang="zh-CN" altLang="en-US" sz="1800">
            <a:solidFill>
              <a:srgbClr val="FFFFFF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123825</xdr:colOff>
      <xdr:row>1</xdr:row>
      <xdr:rowOff>0</xdr:rowOff>
    </xdr:from>
    <xdr:to>
      <xdr:col>8</xdr:col>
      <xdr:colOff>266700</xdr:colOff>
      <xdr:row>1</xdr:row>
      <xdr:rowOff>290195</xdr:rowOff>
    </xdr:to>
    <xdr:sp>
      <xdr:nvSpPr>
        <xdr:cNvPr id="3" name="矩形 2">
          <a:hlinkClick xmlns:r="http://schemas.openxmlformats.org/officeDocument/2006/relationships" r:id="rId1"/>
        </xdr:cNvPr>
        <xdr:cNvSpPr/>
      </xdr:nvSpPr>
      <xdr:spPr>
        <a:xfrm>
          <a:off x="7625715" y="114300"/>
          <a:ext cx="771525" cy="290195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b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 b="1">
              <a:solidFill>
                <a:schemeClr val="bg1"/>
              </a:solidFill>
            </a:rPr>
            <a:t>返回</a:t>
          </a:r>
          <a:r>
            <a:rPr lang="zh-CN" altLang="en-US" sz="1000" b="1">
              <a:ln w="10160">
                <a:solidFill>
                  <a:schemeClr val="accent5"/>
                </a:solidFill>
                <a:prstDash val="solid"/>
              </a:ln>
              <a:solidFill>
                <a:schemeClr val="bg1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FillTx/>
            </a:rPr>
            <a:t>主页</a:t>
          </a:r>
          <a:endParaRPr lang="zh-CN" altLang="en-US" sz="1000" b="1">
            <a:ln w="10160">
              <a:solidFill>
                <a:schemeClr val="accent5"/>
              </a:solidFill>
              <a:prstDash val="solid"/>
            </a:ln>
            <a:solidFill>
              <a:schemeClr val="bg1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uFillTx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200025</xdr:colOff>
      <xdr:row>1</xdr:row>
      <xdr:rowOff>64135</xdr:rowOff>
    </xdr:from>
    <xdr:to>
      <xdr:col>7</xdr:col>
      <xdr:colOff>196215</xdr:colOff>
      <xdr:row>2</xdr:row>
      <xdr:rowOff>49530</xdr:rowOff>
    </xdr:to>
    <xdr:sp>
      <xdr:nvSpPr>
        <xdr:cNvPr id="2" name="矩形 1">
          <a:hlinkClick xmlns:r="http://schemas.openxmlformats.org/officeDocument/2006/relationships" r:id="rId1"/>
        </xdr:cNvPr>
        <xdr:cNvSpPr/>
      </xdr:nvSpPr>
      <xdr:spPr>
        <a:xfrm>
          <a:off x="4748530" y="178435"/>
          <a:ext cx="715010" cy="290195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b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 b="1">
              <a:solidFill>
                <a:schemeClr val="bg1"/>
              </a:solidFill>
            </a:rPr>
            <a:t>返回</a:t>
          </a:r>
          <a:r>
            <a:rPr lang="zh-CN" altLang="en-US" sz="1000" b="1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主页</a:t>
          </a:r>
          <a:endParaRPr lang="zh-CN" altLang="en-US" sz="1000" b="1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438150</xdr:colOff>
      <xdr:row>0</xdr:row>
      <xdr:rowOff>95885</xdr:rowOff>
    </xdr:from>
    <xdr:to>
      <xdr:col>12</xdr:col>
      <xdr:colOff>175559</xdr:colOff>
      <xdr:row>1</xdr:row>
      <xdr:rowOff>271780</xdr:rowOff>
    </xdr:to>
    <xdr:sp>
      <xdr:nvSpPr>
        <xdr:cNvPr id="2" name="矩形 1">
          <a:hlinkClick xmlns:r="http://schemas.openxmlformats.org/officeDocument/2006/relationships" r:id="rId1"/>
        </xdr:cNvPr>
        <xdr:cNvSpPr/>
      </xdr:nvSpPr>
      <xdr:spPr>
        <a:xfrm>
          <a:off x="6692265" y="95885"/>
          <a:ext cx="713740" cy="290195"/>
        </a:xfrm>
        <a:prstGeom prst="rect">
          <a:avLst/>
        </a:prstGeom>
        <a:solidFill>
          <a:srgbClr val="FFC000"/>
        </a:solidFill>
        <a:effectLst>
          <a:glow rad="63500">
            <a:schemeClr val="accent6">
              <a:satMod val="175000"/>
              <a:alpha val="40000"/>
            </a:schemeClr>
          </a:glow>
          <a:outerShdw blurRad="40000" dist="20000" dir="5400000" rotWithShape="0">
            <a:srgbClr val="000000">
              <a:alpha val="38000"/>
            </a:srgbClr>
          </a:outerShdw>
          <a:softEdge rad="31750"/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b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 b="1">
              <a:solidFill>
                <a:srgbClr val="002060"/>
              </a:solidFill>
            </a:rPr>
            <a:t>返回主页</a:t>
          </a:r>
          <a:endParaRPr lang="zh-CN" altLang="en-US" sz="1000" b="1">
            <a:solidFill>
              <a:srgbClr val="00206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219</xdr:colOff>
      <xdr:row>0</xdr:row>
      <xdr:rowOff>99213</xdr:rowOff>
    </xdr:from>
    <xdr:to>
      <xdr:col>13</xdr:col>
      <xdr:colOff>177362</xdr:colOff>
      <xdr:row>1</xdr:row>
      <xdr:rowOff>275108</xdr:rowOff>
    </xdr:to>
    <xdr:sp>
      <xdr:nvSpPr>
        <xdr:cNvPr id="3" name="矩形 2">
          <a:hlinkClick xmlns:r="http://schemas.openxmlformats.org/officeDocument/2006/relationships" r:id="rId1"/>
        </xdr:cNvPr>
        <xdr:cNvSpPr/>
      </xdr:nvSpPr>
      <xdr:spPr>
        <a:xfrm>
          <a:off x="7205980" y="99060"/>
          <a:ext cx="715645" cy="290195"/>
        </a:xfrm>
        <a:prstGeom prst="rect">
          <a:avLst/>
        </a:prstGeom>
        <a:solidFill>
          <a:srgbClr val="FFC000"/>
        </a:solidFill>
        <a:effectLst>
          <a:glow rad="63500">
            <a:schemeClr val="accent6">
              <a:satMod val="175000"/>
              <a:alpha val="40000"/>
            </a:schemeClr>
          </a:glow>
          <a:outerShdw blurRad="40000" dist="20000" dir="5400000" rotWithShape="0">
            <a:srgbClr val="000000">
              <a:alpha val="38000"/>
            </a:srgbClr>
          </a:outerShdw>
          <a:softEdge rad="31750"/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b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 b="1">
              <a:solidFill>
                <a:srgbClr val="002060"/>
              </a:solidFill>
            </a:rPr>
            <a:t>返回主页</a:t>
          </a:r>
          <a:endParaRPr lang="zh-CN" altLang="en-US" sz="1000" b="1">
            <a:solidFill>
              <a:srgbClr val="002060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133350</xdr:colOff>
      <xdr:row>0</xdr:row>
      <xdr:rowOff>104775</xdr:rowOff>
    </xdr:from>
    <xdr:to>
      <xdr:col>10</xdr:col>
      <xdr:colOff>1206500</xdr:colOff>
      <xdr:row>1</xdr:row>
      <xdr:rowOff>280670</xdr:rowOff>
    </xdr:to>
    <xdr:sp>
      <xdr:nvSpPr>
        <xdr:cNvPr id="2" name="矩形 1">
          <a:hlinkClick xmlns:r="http://schemas.openxmlformats.org/officeDocument/2006/relationships" r:id="rId1"/>
        </xdr:cNvPr>
        <xdr:cNvSpPr/>
      </xdr:nvSpPr>
      <xdr:spPr>
        <a:xfrm>
          <a:off x="6601460" y="104775"/>
          <a:ext cx="1073150" cy="290195"/>
        </a:xfrm>
        <a:prstGeom prst="rect">
          <a:avLst/>
        </a:prstGeom>
        <a:solidFill>
          <a:srgbClr val="FFC000"/>
        </a:solidFill>
        <a:effectLst>
          <a:glow rad="63500">
            <a:schemeClr val="accent6">
              <a:satMod val="175000"/>
              <a:alpha val="40000"/>
            </a:schemeClr>
          </a:glow>
          <a:outerShdw blurRad="40000" dist="20000" dir="5400000" rotWithShape="0">
            <a:srgbClr val="000000">
              <a:alpha val="38000"/>
            </a:srgbClr>
          </a:outerShdw>
          <a:softEdge rad="31750"/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b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 b="1">
              <a:solidFill>
                <a:srgbClr val="002060"/>
              </a:solidFill>
            </a:rPr>
            <a:t>返回主页</a:t>
          </a:r>
          <a:endParaRPr lang="zh-CN" altLang="en-US" sz="1000" b="1">
            <a:solidFill>
              <a:srgbClr val="00206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361950</xdr:colOff>
      <xdr:row>0</xdr:row>
      <xdr:rowOff>238760</xdr:rowOff>
    </xdr:from>
    <xdr:to>
      <xdr:col>12</xdr:col>
      <xdr:colOff>996950</xdr:colOff>
      <xdr:row>1</xdr:row>
      <xdr:rowOff>274955</xdr:rowOff>
    </xdr:to>
    <xdr:sp>
      <xdr:nvSpPr>
        <xdr:cNvPr id="3" name="矩形 2">
          <a:hlinkClick xmlns:r="http://schemas.openxmlformats.org/officeDocument/2006/relationships" r:id="rId1"/>
        </xdr:cNvPr>
        <xdr:cNvSpPr/>
      </xdr:nvSpPr>
      <xdr:spPr>
        <a:xfrm>
          <a:off x="8524240" y="238760"/>
          <a:ext cx="635000" cy="291465"/>
        </a:xfrm>
        <a:prstGeom prst="rect">
          <a:avLst/>
        </a:prstGeom>
        <a:solidFill>
          <a:srgbClr val="FFC000"/>
        </a:solidFill>
        <a:effectLst>
          <a:glow rad="63500">
            <a:schemeClr val="accent6">
              <a:satMod val="175000"/>
              <a:alpha val="40000"/>
            </a:schemeClr>
          </a:glow>
          <a:outerShdw blurRad="40000" dist="20000" dir="5400000" rotWithShape="0">
            <a:srgbClr val="000000">
              <a:alpha val="38000"/>
            </a:srgbClr>
          </a:outerShdw>
          <a:softEdge rad="31750"/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b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 b="1">
              <a:solidFill>
                <a:srgbClr val="002060"/>
              </a:solidFill>
            </a:rPr>
            <a:t>返回主页</a:t>
          </a:r>
          <a:endParaRPr lang="zh-CN" altLang="en-US" sz="1000" b="1">
            <a:solidFill>
              <a:srgbClr val="002060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295275</xdr:colOff>
      <xdr:row>1</xdr:row>
      <xdr:rowOff>190500</xdr:rowOff>
    </xdr:from>
    <xdr:to>
      <xdr:col>7</xdr:col>
      <xdr:colOff>1063625</xdr:colOff>
      <xdr:row>3</xdr:row>
      <xdr:rowOff>61595</xdr:rowOff>
    </xdr:to>
    <xdr:sp>
      <xdr:nvSpPr>
        <xdr:cNvPr id="2" name="矩形 1">
          <a:hlinkClick xmlns:r="http://schemas.openxmlformats.org/officeDocument/2006/relationships" r:id="rId1"/>
        </xdr:cNvPr>
        <xdr:cNvSpPr/>
      </xdr:nvSpPr>
      <xdr:spPr>
        <a:xfrm>
          <a:off x="6710045" y="304800"/>
          <a:ext cx="768350" cy="290195"/>
        </a:xfrm>
        <a:prstGeom prst="rect">
          <a:avLst/>
        </a:prstGeom>
        <a:solidFill>
          <a:srgbClr val="FFC000"/>
        </a:solidFill>
        <a:effectLst>
          <a:glow rad="63500">
            <a:schemeClr val="accent6">
              <a:satMod val="175000"/>
              <a:alpha val="40000"/>
            </a:schemeClr>
          </a:glow>
          <a:outerShdw blurRad="40000" dist="20000" dir="5400000" rotWithShape="0">
            <a:srgbClr val="000000">
              <a:alpha val="38000"/>
            </a:srgbClr>
          </a:outerShdw>
          <a:softEdge rad="31750"/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b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 b="1">
              <a:solidFill>
                <a:srgbClr val="002060"/>
              </a:solidFill>
            </a:rPr>
            <a:t>返回主页</a:t>
          </a:r>
          <a:endParaRPr lang="zh-CN" altLang="en-US" sz="1000" b="1">
            <a:solidFill>
              <a:srgbClr val="002060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200025</xdr:colOff>
      <xdr:row>1</xdr:row>
      <xdr:rowOff>0</xdr:rowOff>
    </xdr:from>
    <xdr:to>
      <xdr:col>9</xdr:col>
      <xdr:colOff>447675</xdr:colOff>
      <xdr:row>1</xdr:row>
      <xdr:rowOff>290195</xdr:rowOff>
    </xdr:to>
    <xdr:sp>
      <xdr:nvSpPr>
        <xdr:cNvPr id="2" name="矩形 1">
          <a:hlinkClick xmlns:r="http://schemas.openxmlformats.org/officeDocument/2006/relationships" r:id="rId1"/>
        </xdr:cNvPr>
        <xdr:cNvSpPr/>
      </xdr:nvSpPr>
      <xdr:spPr>
        <a:xfrm>
          <a:off x="9025890" y="114300"/>
          <a:ext cx="876300" cy="290195"/>
        </a:xfrm>
        <a:prstGeom prst="rect">
          <a:avLst/>
        </a:prstGeom>
        <a:solidFill>
          <a:srgbClr val="FFC000"/>
        </a:solidFill>
        <a:effectLst>
          <a:glow rad="63500">
            <a:schemeClr val="accent6">
              <a:satMod val="175000"/>
              <a:alpha val="40000"/>
            </a:schemeClr>
          </a:glow>
          <a:outerShdw blurRad="40000" dist="20000" dir="5400000" rotWithShape="0">
            <a:srgbClr val="000000">
              <a:alpha val="38000"/>
            </a:srgbClr>
          </a:outerShdw>
          <a:softEdge rad="31750"/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b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 b="1">
              <a:solidFill>
                <a:srgbClr val="002060"/>
              </a:solidFill>
            </a:rPr>
            <a:t>返回主页</a:t>
          </a:r>
          <a:endParaRPr lang="zh-CN" altLang="en-US" sz="1000" b="1">
            <a:solidFill>
              <a:srgbClr val="002060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152400</xdr:colOff>
      <xdr:row>1</xdr:row>
      <xdr:rowOff>42332</xdr:rowOff>
    </xdr:from>
    <xdr:to>
      <xdr:col>11</xdr:col>
      <xdr:colOff>314325</xdr:colOff>
      <xdr:row>2</xdr:row>
      <xdr:rowOff>25611</xdr:rowOff>
    </xdr:to>
    <xdr:sp>
      <xdr:nvSpPr>
        <xdr:cNvPr id="2" name="矩形 1">
          <a:hlinkClick xmlns:r="http://schemas.openxmlformats.org/officeDocument/2006/relationships" r:id="rId1"/>
        </xdr:cNvPr>
        <xdr:cNvSpPr/>
      </xdr:nvSpPr>
      <xdr:spPr>
        <a:xfrm>
          <a:off x="7680960" y="156210"/>
          <a:ext cx="790575" cy="288290"/>
        </a:xfrm>
        <a:prstGeom prst="rect">
          <a:avLst/>
        </a:prstGeom>
        <a:solidFill>
          <a:srgbClr val="FFC000"/>
        </a:solidFill>
        <a:effectLst>
          <a:glow rad="63500">
            <a:schemeClr val="accent6">
              <a:satMod val="175000"/>
              <a:alpha val="40000"/>
            </a:schemeClr>
          </a:glow>
          <a:outerShdw blurRad="40000" dist="20000" dir="5400000" rotWithShape="0">
            <a:srgbClr val="000000">
              <a:alpha val="38000"/>
            </a:srgbClr>
          </a:outerShdw>
          <a:softEdge rad="31750"/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b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 b="1">
              <a:solidFill>
                <a:srgbClr val="002060"/>
              </a:solidFill>
            </a:rPr>
            <a:t>返回主页</a:t>
          </a:r>
          <a:endParaRPr lang="zh-CN" altLang="en-US" sz="1000" b="1">
            <a:solidFill>
              <a:srgbClr val="002060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485775</xdr:colOff>
      <xdr:row>1</xdr:row>
      <xdr:rowOff>10160</xdr:rowOff>
    </xdr:from>
    <xdr:to>
      <xdr:col>7</xdr:col>
      <xdr:colOff>1111250</xdr:colOff>
      <xdr:row>1</xdr:row>
      <xdr:rowOff>300355</xdr:rowOff>
    </xdr:to>
    <xdr:sp>
      <xdr:nvSpPr>
        <xdr:cNvPr id="3" name="矩形 2">
          <a:hlinkClick xmlns:r="http://schemas.openxmlformats.org/officeDocument/2006/relationships" r:id="rId1"/>
        </xdr:cNvPr>
        <xdr:cNvSpPr/>
      </xdr:nvSpPr>
      <xdr:spPr>
        <a:xfrm>
          <a:off x="6002655" y="288925"/>
          <a:ext cx="625475" cy="290195"/>
        </a:xfrm>
        <a:prstGeom prst="rect">
          <a:avLst/>
        </a:prstGeom>
        <a:solidFill>
          <a:srgbClr val="FFC000"/>
        </a:solidFill>
        <a:effectLst>
          <a:glow rad="63500">
            <a:schemeClr val="accent6">
              <a:satMod val="175000"/>
              <a:alpha val="40000"/>
            </a:schemeClr>
          </a:glow>
          <a:outerShdw blurRad="40000" dist="20000" dir="5400000" rotWithShape="0">
            <a:srgbClr val="000000">
              <a:alpha val="38000"/>
            </a:srgbClr>
          </a:outerShdw>
          <a:softEdge rad="31750"/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b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 b="1">
              <a:solidFill>
                <a:srgbClr val="002060"/>
              </a:solidFill>
            </a:rPr>
            <a:t>返回主页</a:t>
          </a:r>
          <a:endParaRPr lang="zh-CN" altLang="en-US" sz="1000" b="1">
            <a:solidFill>
              <a:srgbClr val="002060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85725</xdr:colOff>
      <xdr:row>1</xdr:row>
      <xdr:rowOff>9525</xdr:rowOff>
    </xdr:from>
    <xdr:to>
      <xdr:col>8</xdr:col>
      <xdr:colOff>854075</xdr:colOff>
      <xdr:row>1</xdr:row>
      <xdr:rowOff>299720</xdr:rowOff>
    </xdr:to>
    <xdr:sp>
      <xdr:nvSpPr>
        <xdr:cNvPr id="2" name="矩形 1">
          <a:hlinkClick xmlns:r="http://schemas.openxmlformats.org/officeDocument/2006/relationships" r:id="rId1"/>
        </xdr:cNvPr>
        <xdr:cNvSpPr/>
      </xdr:nvSpPr>
      <xdr:spPr>
        <a:xfrm>
          <a:off x="7747635" y="123825"/>
          <a:ext cx="768350" cy="290195"/>
        </a:xfrm>
        <a:prstGeom prst="rect">
          <a:avLst/>
        </a:prstGeom>
        <a:solidFill>
          <a:srgbClr val="FFC000"/>
        </a:solidFill>
        <a:effectLst>
          <a:glow rad="63500">
            <a:schemeClr val="accent6">
              <a:satMod val="175000"/>
              <a:alpha val="40000"/>
            </a:schemeClr>
          </a:glow>
          <a:outerShdw blurRad="40000" dist="20000" dir="5400000" rotWithShape="0">
            <a:srgbClr val="000000">
              <a:alpha val="38000"/>
            </a:srgbClr>
          </a:outerShdw>
          <a:softEdge rad="31750"/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b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 b="1">
              <a:solidFill>
                <a:srgbClr val="002060"/>
              </a:solidFill>
            </a:rPr>
            <a:t>返回主页</a:t>
          </a:r>
          <a:endParaRPr lang="zh-CN" altLang="en-US" sz="1000" b="1">
            <a:solidFill>
              <a:srgbClr val="002060"/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20</xdr:col>
      <xdr:colOff>80645</xdr:colOff>
      <xdr:row>0</xdr:row>
      <xdr:rowOff>403225</xdr:rowOff>
    </xdr:from>
    <xdr:to>
      <xdr:col>21</xdr:col>
      <xdr:colOff>752475</xdr:colOff>
      <xdr:row>2</xdr:row>
      <xdr:rowOff>302260</xdr:rowOff>
    </xdr:to>
    <xdr:sp>
      <xdr:nvSpPr>
        <xdr:cNvPr id="2" name="矩形 1">
          <a:hlinkClick xmlns:r="http://schemas.openxmlformats.org/officeDocument/2006/relationships" r:id="rId1"/>
        </xdr:cNvPr>
        <xdr:cNvSpPr/>
      </xdr:nvSpPr>
      <xdr:spPr>
        <a:xfrm>
          <a:off x="13829665" y="403225"/>
          <a:ext cx="1016635" cy="655955"/>
        </a:xfrm>
        <a:prstGeom prst="rect">
          <a:avLst/>
        </a:prstGeom>
        <a:solidFill>
          <a:srgbClr val="FFC000"/>
        </a:solidFill>
        <a:effectLst>
          <a:glow rad="63500">
            <a:schemeClr val="accent6">
              <a:satMod val="175000"/>
              <a:alpha val="40000"/>
            </a:schemeClr>
          </a:glow>
          <a:outerShdw blurRad="40000" dist="20000" dir="5400000" rotWithShape="0">
            <a:srgbClr val="000000">
              <a:alpha val="38000"/>
            </a:srgbClr>
          </a:outerShdw>
          <a:softEdge rad="31750"/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>
              <a:solidFill>
                <a:srgbClr val="002060"/>
              </a:solidFill>
            </a:rPr>
            <a:t>返回主页</a:t>
          </a:r>
          <a:endParaRPr lang="zh-CN" altLang="en-US" sz="1600" b="1">
            <a:solidFill>
              <a:srgbClr val="002060"/>
            </a:solidFill>
          </a:endParaRPr>
        </a:p>
      </xdr:txBody>
    </xdr:sp>
    <xdr:clientData/>
  </xdr:twoCellAnchor>
  <xdr:twoCellAnchor>
    <xdr:from>
      <xdr:col>1</xdr:col>
      <xdr:colOff>279400</xdr:colOff>
      <xdr:row>3</xdr:row>
      <xdr:rowOff>549275</xdr:rowOff>
    </xdr:from>
    <xdr:to>
      <xdr:col>3</xdr:col>
      <xdr:colOff>60325</xdr:colOff>
      <xdr:row>12</xdr:row>
      <xdr:rowOff>342900</xdr:rowOff>
    </xdr:to>
    <xdr:sp>
      <xdr:nvSpPr>
        <xdr:cNvPr id="4" name="文本框 3"/>
        <xdr:cNvSpPr txBox="1"/>
      </xdr:nvSpPr>
      <xdr:spPr>
        <a:xfrm>
          <a:off x="548640" y="1655445"/>
          <a:ext cx="798830" cy="320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 anchorCtr="0"/>
        <a:lstStyle/>
        <a:p>
          <a:pPr algn="ctr"/>
          <a:r>
            <a:rPr lang="zh-CN" altLang="en-US" sz="4800"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计时</a:t>
          </a:r>
          <a:endParaRPr lang="zh-CN" altLang="en-US" sz="4800"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twoCellAnchor>
  <xdr:twoCellAnchor>
    <xdr:from>
      <xdr:col>1</xdr:col>
      <xdr:colOff>282575</xdr:colOff>
      <xdr:row>16</xdr:row>
      <xdr:rowOff>288925</xdr:rowOff>
    </xdr:from>
    <xdr:to>
      <xdr:col>3</xdr:col>
      <xdr:colOff>63500</xdr:colOff>
      <xdr:row>25</xdr:row>
      <xdr:rowOff>330200</xdr:rowOff>
    </xdr:to>
    <xdr:sp>
      <xdr:nvSpPr>
        <xdr:cNvPr id="5" name="文本框 4"/>
        <xdr:cNvSpPr txBox="1"/>
      </xdr:nvSpPr>
      <xdr:spPr>
        <a:xfrm>
          <a:off x="551815" y="5818505"/>
          <a:ext cx="798830" cy="3203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4800"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倒计时</a:t>
          </a:r>
          <a:endParaRPr lang="zh-CN" altLang="en-US" sz="4800"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523875</xdr:colOff>
      <xdr:row>0</xdr:row>
      <xdr:rowOff>76200</xdr:rowOff>
    </xdr:from>
    <xdr:to>
      <xdr:col>10</xdr:col>
      <xdr:colOff>48260</xdr:colOff>
      <xdr:row>0</xdr:row>
      <xdr:rowOff>323850</xdr:rowOff>
    </xdr:to>
    <xdr:sp>
      <xdr:nvSpPr>
        <xdr:cNvPr id="2" name=" 2">
          <a:hlinkClick xmlns:r="http://schemas.openxmlformats.org/officeDocument/2006/relationships" r:id="rId1"/>
        </xdr:cNvPr>
        <xdr:cNvSpPr/>
      </xdr:nvSpPr>
      <xdr:spPr>
        <a:xfrm>
          <a:off x="5572760" y="76200"/>
          <a:ext cx="781685" cy="247650"/>
        </a:xfrm>
        <a:prstGeom prst="roundRect">
          <a:avLst>
            <a:gd name="adj" fmla="val 50000"/>
          </a:avLst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zh-CN" altLang="en-US">
              <a:solidFill>
                <a:srgbClr val="FFFFFF"/>
              </a:solidFill>
            </a:rPr>
            <a:t>返回首页</a:t>
          </a:r>
          <a:endParaRPr lang="zh-CN" altLang="en-US">
            <a:solidFill>
              <a:srgbClr val="FFFFFF"/>
            </a:solidFill>
          </a:endParaRPr>
        </a:p>
      </xdr:txBody>
    </xdr:sp>
    <xdr:clientData/>
  </xdr:twoCellAnchor>
  <xdr:twoCellAnchor>
    <xdr:from>
      <xdr:col>0</xdr:col>
      <xdr:colOff>19050</xdr:colOff>
      <xdr:row>0</xdr:row>
      <xdr:rowOff>85725</xdr:rowOff>
    </xdr:from>
    <xdr:to>
      <xdr:col>2</xdr:col>
      <xdr:colOff>133350</xdr:colOff>
      <xdr:row>1</xdr:row>
      <xdr:rowOff>0</xdr:rowOff>
    </xdr:to>
    <xdr:sp>
      <xdr:nvSpPr>
        <xdr:cNvPr id="33" name=" 33"/>
        <xdr:cNvSpPr/>
      </xdr:nvSpPr>
      <xdr:spPr>
        <a:xfrm>
          <a:off x="19050" y="85725"/>
          <a:ext cx="1391285" cy="295275"/>
        </a:xfrm>
        <a:prstGeom prst="roundRect">
          <a:avLst>
            <a:gd name="adj" fmla="val 50000"/>
          </a:avLst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anchor="ctr"/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zh-CN" altLang="en-US">
              <a:solidFill>
                <a:srgbClr val="FFFFFF"/>
              </a:solidFill>
            </a:rPr>
            <a:t>使用帮助</a:t>
          </a:r>
          <a:endParaRPr lang="zh-CN" altLang="en-US">
            <a:solidFill>
              <a:srgbClr val="FFFFFF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Administrator\AppData\Local\Kingsoft\WPS%20Cloud%20Files\userdata\qing\filecache\account_193457462\13F8A2AE5D1041F3A800EA93D29B0C71\&#38144;&#21806;&#31649;&#29702;&#31995;&#32479;&#34920;&#2668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2522;&#30784;-G98&#21150;&#20844;&#29992;&#21697;&#20449;&#24687;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主页"/>
      <sheetName val="基础数据-部门类"/>
      <sheetName val="基础数据-产品类"/>
      <sheetName val="销售员信息"/>
      <sheetName val="销售明细"/>
      <sheetName val="个人销售查询-工号"/>
      <sheetName val="个人销售查询-姓名"/>
      <sheetName val="部门销售结构图"/>
      <sheetName val="事件计时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基础-G98办公用品信息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82"/>
  <sheetViews>
    <sheetView showGridLines="0" tabSelected="1" zoomScale="50" zoomScaleNormal="50" topLeftCell="B1" workbookViewId="0">
      <selection activeCell="A1" sqref="A1"/>
    </sheetView>
  </sheetViews>
  <sheetFormatPr defaultColWidth="0" defaultRowHeight="14"/>
  <cols>
    <col min="1" max="1" width="0" style="9" hidden="1"/>
    <col min="2" max="2" width="6.70909090909091" style="9" customWidth="1"/>
    <col min="3" max="3" width="7" style="9" customWidth="1"/>
    <col min="4" max="4" width="9" style="9"/>
    <col min="5" max="5" width="16.2818181818182" style="9" customWidth="1"/>
    <col min="6" max="7" width="7" style="9" customWidth="1"/>
    <col min="8" max="8" width="11.2818181818182" style="9" customWidth="1"/>
    <col min="9" max="9" width="13.4272727272727" style="9" customWidth="1"/>
    <col min="10" max="11" width="7" style="9" customWidth="1"/>
    <col min="12" max="12" width="9.42727272727273" style="9"/>
    <col min="13" max="13" width="16.2818181818182" style="9" customWidth="1"/>
    <col min="14" max="16" width="7" style="9" customWidth="1"/>
    <col min="17" max="17" width="7.70909090909091" style="9" customWidth="1"/>
    <col min="18" max="18" width="16.4272727272727" style="9" customWidth="1"/>
    <col min="19" max="19" width="14.1454545454545" style="9" customWidth="1"/>
    <col min="20" max="20" width="16.4272727272727" style="9" customWidth="1"/>
    <col min="21" max="21" width="2.85454545454545" style="9" customWidth="1"/>
    <col min="22" max="22" width="9" style="9"/>
    <col min="23" max="23" width="6.42727272727273" style="9" customWidth="1"/>
    <col min="24" max="24" width="9" style="9" hidden="1" customWidth="1"/>
    <col min="25" max="16375" width="9" style="9" hidden="1"/>
    <col min="16376" max="16384" width="0" style="9" hidden="1"/>
  </cols>
  <sheetData>
    <row r="1" ht="26.25" spans="2:23"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</row>
    <row r="2" ht="87.95" customHeight="1" spans="2:23">
      <c r="B2" s="170"/>
      <c r="C2" s="171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3"/>
      <c r="O2" s="174" t="s">
        <v>0</v>
      </c>
      <c r="P2" s="174"/>
      <c r="Q2" s="174"/>
      <c r="R2" s="175">
        <f ca="1">TODAY()</f>
        <v>46151</v>
      </c>
      <c r="S2" s="175"/>
      <c r="T2" s="176" t="str">
        <f ca="1">TEXT(WEEKDAY(R2,1),"aaaa")</f>
        <v>星期六</v>
      </c>
      <c r="U2" s="177"/>
      <c r="V2" s="178"/>
      <c r="W2" s="179"/>
    </row>
    <row r="3" ht="83.1" customHeight="1" spans="2:23">
      <c r="B3" s="17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1"/>
      <c r="P3" s="181"/>
      <c r="Q3" s="181"/>
      <c r="R3" s="181"/>
      <c r="S3" s="181"/>
      <c r="T3" s="181"/>
      <c r="U3" s="181"/>
      <c r="V3" s="182"/>
      <c r="W3" s="179"/>
    </row>
    <row r="4" ht="35.1" customHeight="1" spans="2:23">
      <c r="B4" s="17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3"/>
      <c r="P4" s="183"/>
      <c r="Q4" s="183"/>
      <c r="R4" s="183"/>
      <c r="S4" s="183"/>
      <c r="T4" s="183"/>
      <c r="U4" s="183"/>
      <c r="V4" s="182"/>
      <c r="W4" s="179"/>
    </row>
    <row r="5" ht="30" spans="2:23">
      <c r="B5" s="17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1"/>
      <c r="P5" s="181"/>
      <c r="Q5" s="183"/>
      <c r="R5" s="183"/>
      <c r="S5" s="183"/>
      <c r="T5" s="183"/>
      <c r="U5" s="183"/>
      <c r="V5" s="182"/>
      <c r="W5" s="170"/>
    </row>
    <row r="6" ht="30" spans="2:23">
      <c r="B6" s="17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3"/>
      <c r="P6" s="183"/>
      <c r="Q6" s="183"/>
      <c r="R6" s="183"/>
      <c r="S6" s="183"/>
      <c r="T6" s="183"/>
      <c r="U6" s="183"/>
      <c r="V6" s="182"/>
      <c r="W6" s="170"/>
    </row>
    <row r="7" ht="30" spans="2:23">
      <c r="B7" s="17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1"/>
      <c r="P7" s="181"/>
      <c r="Q7" s="183"/>
      <c r="R7" s="183"/>
      <c r="S7" s="183"/>
      <c r="T7" s="183"/>
      <c r="U7" s="183"/>
      <c r="V7" s="182"/>
      <c r="W7" s="170"/>
    </row>
    <row r="8" ht="30" spans="2:23">
      <c r="B8" s="170"/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4"/>
      <c r="P8" s="183"/>
      <c r="Q8" s="183"/>
      <c r="R8" s="183"/>
      <c r="S8" s="183"/>
      <c r="T8" s="183"/>
      <c r="U8" s="183"/>
      <c r="V8" s="182"/>
      <c r="W8" s="170"/>
    </row>
    <row r="9" ht="30" spans="2:23">
      <c r="B9" s="17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4"/>
      <c r="P9" s="183"/>
      <c r="Q9" s="183"/>
      <c r="R9" s="183"/>
      <c r="S9" s="183"/>
      <c r="T9" s="183"/>
      <c r="U9" s="183"/>
      <c r="V9" s="182"/>
      <c r="W9" s="170"/>
    </row>
    <row r="10" ht="30" spans="2:23">
      <c r="B10" s="17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4"/>
      <c r="P10" s="183"/>
      <c r="Q10" s="183"/>
      <c r="R10" s="183"/>
      <c r="S10" s="183"/>
      <c r="T10" s="183"/>
      <c r="U10" s="183"/>
      <c r="V10" s="182"/>
      <c r="W10" s="170"/>
    </row>
    <row r="11" ht="33.95" customHeight="1" spans="2:23">
      <c r="B11" s="170"/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4"/>
      <c r="P11" s="183"/>
      <c r="Q11" s="183"/>
      <c r="R11" s="183"/>
      <c r="S11" s="183"/>
      <c r="T11" s="183"/>
      <c r="U11" s="183"/>
      <c r="V11" s="182"/>
      <c r="W11" s="170"/>
    </row>
    <row r="12" ht="33.95" customHeight="1" spans="2:23">
      <c r="B12" s="17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4"/>
      <c r="P12" s="183"/>
      <c r="Q12" s="183"/>
      <c r="R12" s="183"/>
      <c r="S12" s="183"/>
      <c r="T12" s="183"/>
      <c r="U12" s="183"/>
      <c r="V12" s="182"/>
      <c r="W12" s="170"/>
    </row>
    <row r="13" ht="20.1" customHeight="1" spans="2:23">
      <c r="B13" s="17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4"/>
      <c r="P13" s="183"/>
      <c r="Q13" s="183"/>
      <c r="R13" s="183"/>
      <c r="S13" s="183"/>
      <c r="T13" s="183"/>
      <c r="U13" s="183"/>
      <c r="V13" s="182"/>
      <c r="W13" s="170"/>
    </row>
    <row r="14" ht="39" customHeight="1" spans="2:23">
      <c r="B14" s="17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4"/>
      <c r="P14" s="183"/>
      <c r="Q14" s="183"/>
      <c r="R14" s="183"/>
      <c r="S14" s="183"/>
      <c r="T14" s="183"/>
      <c r="U14" s="185"/>
      <c r="V14" s="182"/>
      <c r="W14" s="170"/>
    </row>
    <row r="15" ht="42.95" customHeight="1" spans="2:23">
      <c r="B15" s="17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4"/>
      <c r="P15" s="183"/>
      <c r="Q15" s="183"/>
      <c r="R15" s="183"/>
      <c r="S15" s="183"/>
      <c r="T15" s="183"/>
      <c r="U15" s="185"/>
      <c r="V15" s="182"/>
      <c r="W15" s="170"/>
    </row>
    <row r="16" ht="39" customHeight="1" spans="2:23">
      <c r="B16" s="170"/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84"/>
      <c r="P16" s="183"/>
      <c r="Q16" s="183"/>
      <c r="R16" s="183"/>
      <c r="S16" s="183"/>
      <c r="T16" s="183"/>
      <c r="U16" s="185"/>
      <c r="V16" s="182"/>
      <c r="W16" s="170"/>
    </row>
    <row r="17" ht="42.95" customHeight="1" spans="1:23">
      <c r="B17" s="170"/>
      <c r="C17" s="180"/>
      <c r="D17" s="180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4"/>
      <c r="P17" s="183"/>
      <c r="Q17" s="183"/>
      <c r="R17" s="183"/>
      <c r="S17" s="183"/>
      <c r="T17" s="183"/>
      <c r="U17" s="184"/>
      <c r="V17" s="182"/>
      <c r="W17" s="170"/>
    </row>
    <row r="18" ht="39" customHeight="1" spans="1:23">
      <c r="B18" s="170"/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4"/>
      <c r="P18" s="183"/>
      <c r="Q18" s="183"/>
      <c r="R18" s="183"/>
      <c r="S18" s="183"/>
      <c r="T18" s="183"/>
      <c r="U18" s="184"/>
      <c r="V18" s="182"/>
      <c r="W18" s="170"/>
    </row>
    <row r="19" ht="42.95" customHeight="1" spans="1:23">
      <c r="B19" s="17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4"/>
      <c r="P19" s="186" t="s">
        <v>1</v>
      </c>
      <c r="Q19" s="187"/>
      <c r="R19" s="187"/>
      <c r="S19" s="188">
        <f ca="1">SUMIFS('采购录入（明细）'!I:I,'采购录入（明细）'!L:L,YEAR(TODAY()),'采购录入（明细）'!M:M,MONTH(TODAY()))</f>
        <v>0</v>
      </c>
      <c r="T19" s="188"/>
      <c r="U19" s="189"/>
      <c r="V19" s="182"/>
      <c r="W19" s="170"/>
    </row>
    <row r="20" ht="39" customHeight="1" spans="1:23">
      <c r="B20" s="170"/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4"/>
      <c r="P20" s="186" t="s">
        <v>2</v>
      </c>
      <c r="Q20" s="187"/>
      <c r="R20" s="187"/>
      <c r="S20" s="188">
        <f ca="1">SUMIFS('领用录入（明细）'!I:I,'领用录入（明细）'!M:M,YEAR(TODAY()),'领用录入（明细）'!N:N,MONTH(TODAY()))</f>
        <v>0</v>
      </c>
      <c r="T20" s="188"/>
      <c r="U20" s="189"/>
      <c r="V20" s="182"/>
      <c r="W20" s="170"/>
    </row>
    <row r="21" ht="27" customHeight="1" spans="1:23">
      <c r="B21" s="170"/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90"/>
      <c r="P21" s="190"/>
      <c r="Q21" s="190"/>
      <c r="R21" s="190"/>
      <c r="S21" s="191"/>
      <c r="T21" s="191"/>
      <c r="U21" s="191"/>
      <c r="V21" s="182"/>
      <c r="W21" s="170"/>
    </row>
    <row r="22" ht="27" customHeight="1" spans="1:23">
      <c r="B22" s="170"/>
      <c r="C22" s="192"/>
      <c r="D22" s="192"/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3"/>
      <c r="P22" s="193"/>
      <c r="Q22" s="193"/>
      <c r="R22" s="193"/>
      <c r="S22" s="193"/>
      <c r="T22" s="193"/>
      <c r="U22" s="193"/>
      <c r="V22" s="182"/>
      <c r="W22" s="170"/>
    </row>
    <row r="23" s="169" customFormat="1" ht="25.5" spans="1:23">
      <c r="A23" s="9"/>
      <c r="B23" s="170"/>
      <c r="O23" s="170"/>
      <c r="P23" s="170"/>
      <c r="Q23" s="170"/>
      <c r="R23" s="170"/>
      <c r="S23" s="170"/>
      <c r="T23" s="170"/>
      <c r="U23" s="170"/>
      <c r="V23" s="194"/>
      <c r="W23" s="170"/>
    </row>
    <row r="24" s="169" customFormat="1" ht="25.5" spans="1:23">
      <c r="A24" s="9"/>
      <c r="B24" s="170"/>
      <c r="O24" s="170"/>
      <c r="P24" s="170"/>
      <c r="Q24" s="170"/>
      <c r="R24" s="170"/>
      <c r="S24" s="170"/>
      <c r="T24" s="170"/>
      <c r="U24" s="170"/>
      <c r="V24" s="195"/>
      <c r="W24" s="170"/>
    </row>
    <row r="25" s="169" customFormat="1" ht="25.5" spans="1:23">
      <c r="A25" s="9"/>
      <c r="B25" s="170"/>
      <c r="O25" s="170"/>
      <c r="P25" s="170"/>
      <c r="Q25" s="170"/>
      <c r="R25" s="170"/>
      <c r="S25" s="170"/>
      <c r="T25" s="170"/>
      <c r="U25" s="170"/>
      <c r="V25" s="195"/>
      <c r="W25" s="170"/>
    </row>
    <row r="26" s="169" customFormat="1" spans="1:23">
      <c r="A26" s="9"/>
    </row>
    <row r="27" s="169" customFormat="1" spans="1:23">
      <c r="A27" s="9"/>
    </row>
    <row r="28" s="9" customFormat="1" spans="1:23">
      <c r="B28" s="169"/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  <c r="S28" s="169"/>
      <c r="T28" s="169"/>
      <c r="U28" s="169"/>
      <c r="V28" s="169"/>
      <c r="W28" s="169"/>
    </row>
    <row r="29" s="9" customFormat="1" spans="1:23">
      <c r="B29" s="169"/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69"/>
      <c r="O29" s="169"/>
      <c r="P29" s="169"/>
      <c r="Q29" s="169"/>
      <c r="R29" s="169"/>
      <c r="S29" s="169"/>
      <c r="T29" s="169"/>
      <c r="U29" s="169"/>
      <c r="V29" s="169"/>
      <c r="W29" s="169"/>
    </row>
    <row r="30" s="9" customFormat="1" spans="1:23">
      <c r="B30" s="169"/>
      <c r="C30" s="169"/>
      <c r="D30" s="169"/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</row>
    <row r="31" s="9" customFormat="1" spans="1:23">
      <c r="B31" s="169"/>
      <c r="C31" s="169"/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</row>
    <row r="32" s="9" customFormat="1" spans="1:23">
      <c r="B32" s="169"/>
      <c r="C32" s="169"/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169"/>
      <c r="S32" s="169"/>
      <c r="T32" s="169"/>
      <c r="U32" s="169"/>
      <c r="V32" s="169"/>
      <c r="W32" s="169"/>
    </row>
    <row r="33" s="9" customFormat="1" spans="2:23">
      <c r="B33" s="169"/>
      <c r="C33" s="169"/>
      <c r="D33" s="169"/>
      <c r="E33" s="169"/>
      <c r="F33" s="169"/>
      <c r="G33" s="169"/>
      <c r="H33" s="169"/>
      <c r="I33" s="169"/>
      <c r="J33" s="169"/>
      <c r="K33" s="169"/>
      <c r="L33" s="169"/>
      <c r="M33" s="169"/>
      <c r="N33" s="169"/>
      <c r="O33" s="169"/>
      <c r="P33" s="169"/>
      <c r="Q33" s="169"/>
      <c r="R33" s="169"/>
      <c r="S33" s="169"/>
      <c r="T33" s="169"/>
      <c r="U33" s="169"/>
      <c r="V33" s="169"/>
      <c r="W33" s="169"/>
    </row>
    <row r="34" s="9" customFormat="1" spans="2:23">
      <c r="B34" s="169"/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</row>
    <row r="35" s="9" customFormat="1" spans="2:23">
      <c r="B35" s="169"/>
      <c r="C35" s="169"/>
      <c r="D35" s="169"/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</row>
    <row r="36" s="9" customFormat="1" spans="2:23">
      <c r="B36" s="169"/>
      <c r="C36" s="169"/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</row>
    <row r="37" s="9" customFormat="1" spans="2:23">
      <c r="B37" s="169"/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</row>
    <row r="38" s="9" customFormat="1" spans="2:23"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  <c r="S38" s="169"/>
      <c r="T38" s="169"/>
      <c r="U38" s="169"/>
      <c r="V38" s="169"/>
      <c r="W38" s="169"/>
    </row>
    <row r="39" s="9" customFormat="1" spans="2:23">
      <c r="B39" s="169"/>
      <c r="C39" s="169"/>
      <c r="D39" s="169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69"/>
      <c r="Q39" s="169"/>
      <c r="R39" s="169"/>
      <c r="S39" s="169"/>
      <c r="T39" s="169"/>
      <c r="U39" s="169"/>
      <c r="V39" s="169"/>
      <c r="W39" s="169"/>
    </row>
    <row r="40" s="9" customFormat="1" spans="2:23">
      <c r="B40" s="169"/>
      <c r="C40" s="169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  <c r="S40" s="169"/>
      <c r="T40" s="169"/>
      <c r="U40" s="169"/>
      <c r="V40" s="169"/>
      <c r="W40" s="169"/>
    </row>
    <row r="41" s="9" customFormat="1" spans="2:23">
      <c r="B41" s="169"/>
      <c r="C41" s="169"/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  <c r="S41" s="169"/>
      <c r="T41" s="169"/>
      <c r="U41" s="169"/>
      <c r="V41" s="169"/>
      <c r="W41" s="169"/>
    </row>
    <row r="42" s="9" customFormat="1" spans="2:23">
      <c r="B42" s="169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  <c r="S42" s="169"/>
      <c r="T42" s="169"/>
      <c r="U42" s="169"/>
      <c r="V42" s="169"/>
      <c r="W42" s="169"/>
    </row>
    <row r="43" s="9" customFormat="1" spans="2:23">
      <c r="B43" s="169"/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69"/>
      <c r="W43" s="169"/>
    </row>
    <row r="44" s="9" customFormat="1" spans="2:23">
      <c r="B44" s="169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</row>
    <row r="82" s="9" customFormat="1" spans="16:16">
      <c r="P82" s="196"/>
    </row>
  </sheetData>
  <sheetProtection sheet="1" objects="1"/>
  <mergeCells count="8">
    <mergeCell ref="C2:M2"/>
    <mergeCell ref="O2:Q2"/>
    <mergeCell ref="R2:S2"/>
    <mergeCell ref="P19:R19"/>
    <mergeCell ref="S19:U19"/>
    <mergeCell ref="P20:R20"/>
    <mergeCell ref="S20:U20"/>
    <mergeCell ref="C3:N22"/>
  </mergeCells>
  <pageMargins left="0.699305555555556" right="0.699305555555556" top="0.75" bottom="0.75" header="0.3" footer="0.3"/>
  <pageSetup paperSize="9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221"/>
  <sheetViews>
    <sheetView showGridLines="0" workbookViewId="0">
      <pane ySplit="3" topLeftCell="A230" activePane="bottomLeft" state="frozen"/>
      <selection/>
      <selection pane="bottomLeft" activeCell="A1" sqref="A1"/>
    </sheetView>
  </sheetViews>
  <sheetFormatPr defaultColWidth="9" defaultRowHeight="18.95" customHeight="1" outlineLevelCol="6"/>
  <cols>
    <col min="1" max="1" width="1.56363636363636" style="136" customWidth="1"/>
    <col min="2" max="2" width="9.14545454545454" style="136" customWidth="1"/>
    <col min="3" max="3" width="33.2727272727273" style="148" customWidth="1"/>
    <col min="4" max="4" width="14.4272727272727" style="136" customWidth="1"/>
    <col min="5" max="5" width="16.2818181818182" style="148" customWidth="1"/>
    <col min="6" max="6" width="16.2818181818182" style="149" customWidth="1"/>
    <col min="7" max="7" width="16.4272727272727" style="136" customWidth="1"/>
    <col min="8" max="10" width="9" style="136"/>
    <col min="11" max="16384" width="9" style="150"/>
  </cols>
  <sheetData>
    <row r="1" ht="9" customHeight="1"/>
    <row r="2" ht="24" customHeight="1" spans="2:7">
      <c r="B2" s="151" t="str">
        <f>"办公用品信息-设定（"&amp;COUNTA(C4:C34)&amp;"类用品）"</f>
        <v>办公用品信息-设定（31类用品）</v>
      </c>
      <c r="C2" s="152"/>
      <c r="D2" s="151"/>
      <c r="E2" s="152"/>
      <c r="F2" s="153"/>
      <c r="G2" s="151"/>
    </row>
    <row r="3" customHeight="1" spans="2:7">
      <c r="B3" s="154" t="s">
        <v>3</v>
      </c>
      <c r="C3" s="154" t="s">
        <v>4</v>
      </c>
      <c r="D3" s="154" t="s">
        <v>5</v>
      </c>
      <c r="E3" s="154" t="s">
        <v>6</v>
      </c>
      <c r="F3" s="155" t="s">
        <v>7</v>
      </c>
      <c r="G3" s="154" t="s">
        <v>8</v>
      </c>
    </row>
    <row r="4" customHeight="1" spans="2:7">
      <c r="B4" s="156">
        <v>1</v>
      </c>
      <c r="C4" s="157" t="s">
        <v>9</v>
      </c>
      <c r="D4" s="158" t="s">
        <v>10</v>
      </c>
      <c r="E4" s="159"/>
      <c r="F4" s="160">
        <v>175</v>
      </c>
      <c r="G4" s="160"/>
    </row>
    <row r="5" customHeight="1" spans="2:7">
      <c r="B5" s="156">
        <v>2</v>
      </c>
      <c r="C5" s="157" t="s">
        <v>11</v>
      </c>
      <c r="D5" s="158" t="s">
        <v>10</v>
      </c>
      <c r="E5" s="159"/>
      <c r="F5" s="161">
        <v>175</v>
      </c>
      <c r="G5" s="160"/>
    </row>
    <row r="6" customHeight="1" spans="2:7">
      <c r="B6" s="156">
        <v>3</v>
      </c>
      <c r="C6" s="157" t="s">
        <v>12</v>
      </c>
      <c r="D6" s="158" t="s">
        <v>10</v>
      </c>
      <c r="E6" s="159"/>
      <c r="F6" s="160">
        <v>18</v>
      </c>
      <c r="G6" s="162"/>
    </row>
    <row r="7" customHeight="1" spans="2:7">
      <c r="B7" s="156">
        <v>4</v>
      </c>
      <c r="C7" s="157" t="s">
        <v>13</v>
      </c>
      <c r="D7" s="158" t="s">
        <v>10</v>
      </c>
      <c r="E7" s="159"/>
      <c r="F7" s="161"/>
      <c r="G7" s="160"/>
    </row>
    <row r="8" customHeight="1" spans="2:7">
      <c r="B8" s="156">
        <v>5</v>
      </c>
      <c r="C8" s="157" t="s">
        <v>14</v>
      </c>
      <c r="D8" s="158" t="s">
        <v>10</v>
      </c>
      <c r="E8" s="159"/>
      <c r="F8" s="161"/>
      <c r="G8" s="160"/>
    </row>
    <row r="9" customHeight="1" spans="2:7">
      <c r="B9" s="156">
        <v>6</v>
      </c>
      <c r="C9" s="157" t="s">
        <v>15</v>
      </c>
      <c r="D9" s="158" t="s">
        <v>10</v>
      </c>
      <c r="E9" s="159"/>
      <c r="F9" s="161"/>
      <c r="G9" s="160"/>
    </row>
    <row r="10" customHeight="1" spans="2:7">
      <c r="B10" s="156">
        <v>7</v>
      </c>
      <c r="C10" s="157" t="s">
        <v>16</v>
      </c>
      <c r="D10" s="158" t="s">
        <v>17</v>
      </c>
      <c r="E10" s="159"/>
      <c r="F10" s="161"/>
      <c r="G10" s="160"/>
    </row>
    <row r="11" customHeight="1" spans="2:7">
      <c r="B11" s="156">
        <v>8</v>
      </c>
      <c r="C11" s="157" t="s">
        <v>18</v>
      </c>
      <c r="D11" s="158" t="s">
        <v>17</v>
      </c>
      <c r="E11" s="159"/>
      <c r="F11" s="161"/>
      <c r="G11" s="160"/>
    </row>
    <row r="12" customHeight="1" spans="2:7">
      <c r="B12" s="156">
        <v>9</v>
      </c>
      <c r="C12" s="157" t="s">
        <v>19</v>
      </c>
      <c r="D12" s="158" t="s">
        <v>17</v>
      </c>
      <c r="E12" s="159"/>
      <c r="F12" s="161"/>
      <c r="G12" s="160"/>
    </row>
    <row r="13" customHeight="1" spans="2:7">
      <c r="B13" s="156">
        <v>10</v>
      </c>
      <c r="C13" s="157" t="s">
        <v>20</v>
      </c>
      <c r="D13" s="158" t="s">
        <v>17</v>
      </c>
      <c r="E13" s="159"/>
      <c r="F13" s="161">
        <v>7.5</v>
      </c>
      <c r="G13" s="159"/>
    </row>
    <row r="14" customHeight="1" spans="2:7">
      <c r="B14" s="156">
        <v>11</v>
      </c>
      <c r="C14" s="157" t="s">
        <v>21</v>
      </c>
      <c r="D14" s="158" t="s">
        <v>17</v>
      </c>
      <c r="E14" s="159"/>
      <c r="F14" s="161"/>
      <c r="G14" s="159"/>
    </row>
    <row r="15" customHeight="1" spans="2:7">
      <c r="B15" s="156">
        <v>12</v>
      </c>
      <c r="C15" s="157" t="s">
        <v>22</v>
      </c>
      <c r="D15" s="158" t="s">
        <v>17</v>
      </c>
      <c r="E15" s="159"/>
      <c r="F15" s="161">
        <v>1.5</v>
      </c>
      <c r="G15" s="159"/>
    </row>
    <row r="16" customHeight="1" spans="2:7">
      <c r="B16" s="156">
        <v>13</v>
      </c>
      <c r="C16" s="157" t="s">
        <v>23</v>
      </c>
      <c r="D16" s="158" t="s">
        <v>24</v>
      </c>
      <c r="E16" s="159"/>
      <c r="F16" s="161"/>
      <c r="G16" s="159"/>
    </row>
    <row r="17" customHeight="1" spans="2:7">
      <c r="B17" s="156">
        <v>14</v>
      </c>
      <c r="C17" s="157" t="s">
        <v>25</v>
      </c>
      <c r="D17" s="158" t="s">
        <v>26</v>
      </c>
      <c r="E17" s="159"/>
      <c r="F17" s="161"/>
      <c r="G17" s="159"/>
    </row>
    <row r="18" customHeight="1" spans="2:7">
      <c r="B18" s="156">
        <v>15</v>
      </c>
      <c r="C18" s="157" t="s">
        <v>27</v>
      </c>
      <c r="D18" s="158" t="s">
        <v>17</v>
      </c>
      <c r="E18" s="159"/>
      <c r="F18" s="161">
        <v>6.5</v>
      </c>
      <c r="G18" s="159"/>
    </row>
    <row r="19" customHeight="1" spans="2:7">
      <c r="B19" s="156">
        <v>16</v>
      </c>
      <c r="C19" s="157" t="s">
        <v>28</v>
      </c>
      <c r="D19" s="158" t="s">
        <v>29</v>
      </c>
      <c r="E19" s="159"/>
      <c r="F19" s="161"/>
      <c r="G19" s="159"/>
    </row>
    <row r="20" customHeight="1" spans="2:7">
      <c r="B20" s="156">
        <v>17</v>
      </c>
      <c r="C20" s="157" t="s">
        <v>30</v>
      </c>
      <c r="D20" s="158" t="s">
        <v>29</v>
      </c>
      <c r="E20" s="159"/>
      <c r="F20" s="161"/>
      <c r="G20" s="159"/>
    </row>
    <row r="21" customHeight="1" spans="2:7">
      <c r="B21" s="156">
        <v>18</v>
      </c>
      <c r="C21" s="157" t="s">
        <v>31</v>
      </c>
      <c r="D21" s="158" t="s">
        <v>29</v>
      </c>
      <c r="E21" s="159"/>
      <c r="F21" s="161"/>
      <c r="G21" s="159"/>
    </row>
    <row r="22" customHeight="1" spans="2:7">
      <c r="B22" s="156">
        <v>19</v>
      </c>
      <c r="C22" s="157" t="s">
        <v>32</v>
      </c>
      <c r="D22" s="158" t="s">
        <v>29</v>
      </c>
      <c r="E22" s="159"/>
      <c r="F22" s="161"/>
      <c r="G22" s="159"/>
    </row>
    <row r="23" customHeight="1" spans="2:7">
      <c r="B23" s="156">
        <v>20</v>
      </c>
      <c r="C23" s="157" t="s">
        <v>33</v>
      </c>
      <c r="D23" s="158" t="s">
        <v>17</v>
      </c>
      <c r="E23" s="159"/>
      <c r="F23" s="161">
        <v>0.55</v>
      </c>
      <c r="G23" s="159"/>
    </row>
    <row r="24" customHeight="1" spans="2:7">
      <c r="B24" s="156">
        <v>21</v>
      </c>
      <c r="C24" s="157" t="s">
        <v>34</v>
      </c>
      <c r="D24" s="158" t="s">
        <v>29</v>
      </c>
      <c r="E24" s="159"/>
      <c r="F24" s="163">
        <v>18</v>
      </c>
      <c r="G24" s="162"/>
    </row>
    <row r="25" customHeight="1" spans="2:7">
      <c r="B25" s="156">
        <v>22</v>
      </c>
      <c r="C25" s="157" t="s">
        <v>35</v>
      </c>
      <c r="D25" s="158" t="s">
        <v>17</v>
      </c>
      <c r="E25" s="159"/>
      <c r="F25" s="161">
        <v>5</v>
      </c>
      <c r="G25" s="159"/>
    </row>
    <row r="26" customHeight="1" spans="2:7">
      <c r="B26" s="156">
        <v>23</v>
      </c>
      <c r="C26" s="157" t="s">
        <v>36</v>
      </c>
      <c r="D26" s="158" t="s">
        <v>17</v>
      </c>
      <c r="E26" s="159"/>
      <c r="F26" s="161">
        <v>6.5</v>
      </c>
      <c r="G26" s="159"/>
    </row>
    <row r="27" customHeight="1" spans="2:7">
      <c r="B27" s="156">
        <v>24</v>
      </c>
      <c r="C27" s="157" t="s">
        <v>37</v>
      </c>
      <c r="D27" s="158" t="s">
        <v>29</v>
      </c>
      <c r="E27" s="159"/>
      <c r="F27" s="161"/>
      <c r="G27" s="159"/>
    </row>
    <row r="28" customHeight="1" spans="2:7">
      <c r="B28" s="156">
        <v>25</v>
      </c>
      <c r="C28" s="157" t="s">
        <v>38</v>
      </c>
      <c r="D28" s="158" t="s">
        <v>29</v>
      </c>
      <c r="E28" s="159"/>
      <c r="F28" s="161"/>
      <c r="G28" s="159"/>
    </row>
    <row r="29" customHeight="1" spans="2:7">
      <c r="B29" s="156">
        <v>26</v>
      </c>
      <c r="C29" s="157" t="s">
        <v>39</v>
      </c>
      <c r="D29" s="158" t="s">
        <v>29</v>
      </c>
      <c r="E29" s="159"/>
      <c r="F29" s="161"/>
      <c r="G29" s="159"/>
    </row>
    <row r="30" customHeight="1" spans="2:7">
      <c r="B30" s="156">
        <v>27</v>
      </c>
      <c r="C30" s="157" t="s">
        <v>40</v>
      </c>
      <c r="D30" s="158" t="s">
        <v>29</v>
      </c>
      <c r="E30" s="159"/>
      <c r="F30" s="161"/>
      <c r="G30" s="159"/>
    </row>
    <row r="31" customHeight="1" spans="2:7">
      <c r="B31" s="156">
        <v>28</v>
      </c>
      <c r="C31" s="157" t="s">
        <v>41</v>
      </c>
      <c r="D31" s="158" t="s">
        <v>42</v>
      </c>
      <c r="E31" s="159"/>
      <c r="F31" s="161">
        <v>1.3</v>
      </c>
      <c r="G31" s="159"/>
    </row>
    <row r="32" customHeight="1" spans="2:7">
      <c r="B32" s="156">
        <v>29</v>
      </c>
      <c r="C32" s="157" t="s">
        <v>43</v>
      </c>
      <c r="D32" s="158" t="s">
        <v>42</v>
      </c>
      <c r="E32" s="159"/>
      <c r="F32" s="161">
        <v>1.3</v>
      </c>
      <c r="G32" s="159"/>
    </row>
    <row r="33" customHeight="1" spans="2:7">
      <c r="B33" s="156">
        <v>30</v>
      </c>
      <c r="C33" s="157" t="s">
        <v>44</v>
      </c>
      <c r="D33" s="158" t="s">
        <v>42</v>
      </c>
      <c r="E33" s="159"/>
      <c r="F33" s="161">
        <v>2</v>
      </c>
      <c r="G33" s="159"/>
    </row>
    <row r="34" customHeight="1" spans="2:7">
      <c r="B34" s="156">
        <v>31</v>
      </c>
      <c r="C34" s="157" t="s">
        <v>45</v>
      </c>
      <c r="D34" s="158" t="s">
        <v>42</v>
      </c>
      <c r="E34" s="159"/>
      <c r="F34" s="161"/>
      <c r="G34" s="159"/>
    </row>
    <row r="35" customHeight="1" spans="2:7">
      <c r="B35" s="156">
        <v>32</v>
      </c>
      <c r="C35" s="157" t="s">
        <v>46</v>
      </c>
      <c r="D35" s="158" t="s">
        <v>42</v>
      </c>
      <c r="E35" s="159"/>
      <c r="F35" s="161"/>
      <c r="G35" s="159"/>
    </row>
    <row r="36" customHeight="1" spans="2:7">
      <c r="B36" s="156">
        <v>33</v>
      </c>
      <c r="C36" s="157" t="s">
        <v>47</v>
      </c>
      <c r="D36" s="158" t="s">
        <v>42</v>
      </c>
      <c r="E36" s="159"/>
      <c r="F36" s="161">
        <v>0.5</v>
      </c>
      <c r="G36" s="159"/>
    </row>
    <row r="37" customHeight="1" spans="2:7">
      <c r="B37" s="156">
        <v>34</v>
      </c>
      <c r="C37" s="157" t="s">
        <v>48</v>
      </c>
      <c r="D37" s="158" t="s">
        <v>42</v>
      </c>
      <c r="E37" s="159"/>
      <c r="F37" s="160">
        <v>0.5</v>
      </c>
      <c r="G37" s="159"/>
    </row>
    <row r="38" customHeight="1" spans="2:7">
      <c r="B38" s="156">
        <v>35</v>
      </c>
      <c r="C38" s="157" t="s">
        <v>49</v>
      </c>
      <c r="D38" s="158" t="s">
        <v>50</v>
      </c>
      <c r="E38" s="159"/>
      <c r="F38" s="160">
        <v>1.4</v>
      </c>
      <c r="G38" s="159"/>
    </row>
    <row r="39" customHeight="1" spans="2:7">
      <c r="B39" s="156">
        <v>36</v>
      </c>
      <c r="C39" s="157" t="s">
        <v>51</v>
      </c>
      <c r="D39" s="158" t="s">
        <v>42</v>
      </c>
      <c r="E39" s="159"/>
      <c r="F39" s="160"/>
      <c r="G39" s="159"/>
    </row>
    <row r="40" customHeight="1" spans="2:7">
      <c r="B40" s="156">
        <v>37</v>
      </c>
      <c r="C40" s="157" t="s">
        <v>52</v>
      </c>
      <c r="D40" s="158" t="s">
        <v>42</v>
      </c>
      <c r="E40" s="159"/>
      <c r="F40" s="161" t="s">
        <v>53</v>
      </c>
      <c r="G40" s="159"/>
    </row>
    <row r="41" customHeight="1" spans="2:7">
      <c r="B41" s="156">
        <v>38</v>
      </c>
      <c r="C41" s="157" t="s">
        <v>54</v>
      </c>
      <c r="D41" s="158" t="s">
        <v>24</v>
      </c>
      <c r="E41" s="159"/>
      <c r="F41" s="164">
        <v>16</v>
      </c>
      <c r="G41" s="159"/>
    </row>
    <row r="42" customHeight="1" spans="2:7">
      <c r="B42" s="156">
        <v>39</v>
      </c>
      <c r="C42" s="157" t="s">
        <v>55</v>
      </c>
      <c r="D42" s="158" t="s">
        <v>24</v>
      </c>
      <c r="E42" s="159"/>
      <c r="F42" s="161">
        <v>0.8</v>
      </c>
      <c r="G42" s="159"/>
    </row>
    <row r="43" customHeight="1" spans="2:7">
      <c r="B43" s="156">
        <v>40</v>
      </c>
      <c r="C43" s="157" t="s">
        <v>56</v>
      </c>
      <c r="D43" s="158" t="s">
        <v>24</v>
      </c>
      <c r="E43" s="159"/>
      <c r="F43" s="161"/>
      <c r="G43" s="159"/>
    </row>
    <row r="44" customHeight="1" spans="2:7">
      <c r="B44" s="156">
        <v>41</v>
      </c>
      <c r="C44" s="157" t="s">
        <v>57</v>
      </c>
      <c r="D44" s="158" t="s">
        <v>58</v>
      </c>
      <c r="E44" s="159"/>
      <c r="F44" s="161"/>
      <c r="G44" s="159"/>
    </row>
    <row r="45" customHeight="1" spans="2:7">
      <c r="B45" s="156">
        <v>42</v>
      </c>
      <c r="C45" s="157" t="s">
        <v>59</v>
      </c>
      <c r="D45" s="158" t="s">
        <v>58</v>
      </c>
      <c r="E45" s="159"/>
      <c r="F45" s="161">
        <v>3.5</v>
      </c>
      <c r="G45" s="159"/>
    </row>
    <row r="46" customHeight="1" spans="2:7">
      <c r="B46" s="156">
        <v>43</v>
      </c>
      <c r="C46" s="157" t="s">
        <v>60</v>
      </c>
      <c r="D46" s="158" t="s">
        <v>24</v>
      </c>
      <c r="E46" s="159"/>
      <c r="F46" s="161">
        <v>2</v>
      </c>
      <c r="G46" s="159"/>
    </row>
    <row r="47" customHeight="1" spans="2:7">
      <c r="B47" s="156">
        <v>44</v>
      </c>
      <c r="C47" s="157" t="s">
        <v>61</v>
      </c>
      <c r="D47" s="158" t="s">
        <v>24</v>
      </c>
      <c r="E47" s="159"/>
      <c r="F47" s="161">
        <v>7</v>
      </c>
      <c r="G47" s="159"/>
    </row>
    <row r="48" customHeight="1" spans="2:7">
      <c r="B48" s="156">
        <v>45</v>
      </c>
      <c r="C48" s="157" t="s">
        <v>62</v>
      </c>
      <c r="D48" s="158" t="s">
        <v>50</v>
      </c>
      <c r="E48" s="159"/>
      <c r="F48" s="161">
        <v>0.7</v>
      </c>
      <c r="G48" s="159"/>
    </row>
    <row r="49" customHeight="1" spans="2:7">
      <c r="B49" s="156">
        <v>46</v>
      </c>
      <c r="C49" s="157" t="s">
        <v>63</v>
      </c>
      <c r="D49" s="158" t="s">
        <v>50</v>
      </c>
      <c r="E49" s="159"/>
      <c r="F49" s="161">
        <v>0.7</v>
      </c>
      <c r="G49" s="159"/>
    </row>
    <row r="50" customHeight="1" spans="2:7">
      <c r="B50" s="156">
        <v>47</v>
      </c>
      <c r="C50" s="157" t="s">
        <v>64</v>
      </c>
      <c r="D50" s="158" t="s">
        <v>24</v>
      </c>
      <c r="E50" s="159"/>
      <c r="F50" s="161">
        <v>13</v>
      </c>
      <c r="G50" s="159"/>
    </row>
    <row r="51" customHeight="1" spans="2:7">
      <c r="B51" s="156">
        <v>48</v>
      </c>
      <c r="C51" s="157" t="s">
        <v>65</v>
      </c>
      <c r="D51" s="158" t="s">
        <v>24</v>
      </c>
      <c r="E51" s="159"/>
      <c r="F51" s="161">
        <v>4</v>
      </c>
      <c r="G51" s="159"/>
    </row>
    <row r="52" customHeight="1" spans="2:7">
      <c r="B52" s="156">
        <v>49</v>
      </c>
      <c r="C52" s="157" t="s">
        <v>66</v>
      </c>
      <c r="D52" s="158" t="s">
        <v>24</v>
      </c>
      <c r="E52" s="159"/>
      <c r="F52" s="161">
        <v>4</v>
      </c>
      <c r="G52" s="159"/>
    </row>
    <row r="53" customHeight="1" spans="2:7">
      <c r="B53" s="156">
        <v>50</v>
      </c>
      <c r="C53" s="157" t="s">
        <v>67</v>
      </c>
      <c r="D53" s="158" t="s">
        <v>42</v>
      </c>
      <c r="E53" s="159"/>
      <c r="F53" s="161">
        <v>1</v>
      </c>
      <c r="G53" s="159"/>
    </row>
    <row r="54" customHeight="1" spans="2:7">
      <c r="B54" s="156">
        <v>51</v>
      </c>
      <c r="C54" s="157" t="s">
        <v>68</v>
      </c>
      <c r="D54" s="158" t="s">
        <v>42</v>
      </c>
      <c r="E54" s="159"/>
      <c r="F54" s="161">
        <v>1</v>
      </c>
      <c r="G54" s="159"/>
    </row>
    <row r="55" customHeight="1" spans="2:7">
      <c r="B55" s="156">
        <v>52</v>
      </c>
      <c r="C55" s="157" t="s">
        <v>69</v>
      </c>
      <c r="D55" s="158" t="s">
        <v>58</v>
      </c>
      <c r="E55" s="159"/>
      <c r="F55" s="161"/>
      <c r="G55" s="159"/>
    </row>
    <row r="56" customHeight="1" spans="2:7">
      <c r="B56" s="156">
        <v>53</v>
      </c>
      <c r="C56" s="157" t="s">
        <v>70</v>
      </c>
      <c r="D56" s="158" t="s">
        <v>58</v>
      </c>
      <c r="E56" s="159"/>
      <c r="F56" s="161"/>
      <c r="G56" s="159"/>
    </row>
    <row r="57" customHeight="1" spans="2:7">
      <c r="B57" s="156">
        <v>54</v>
      </c>
      <c r="C57" s="157" t="s">
        <v>71</v>
      </c>
      <c r="D57" s="158" t="s">
        <v>24</v>
      </c>
      <c r="E57" s="159"/>
      <c r="F57" s="161"/>
      <c r="G57" s="159"/>
    </row>
    <row r="58" customHeight="1" spans="2:7">
      <c r="B58" s="156">
        <v>55</v>
      </c>
      <c r="C58" s="157" t="s">
        <v>72</v>
      </c>
      <c r="D58" s="158" t="s">
        <v>24</v>
      </c>
      <c r="E58" s="159"/>
      <c r="F58" s="161">
        <v>9</v>
      </c>
      <c r="G58" s="159"/>
    </row>
    <row r="59" customHeight="1" spans="2:7">
      <c r="B59" s="156">
        <v>56</v>
      </c>
      <c r="C59" s="157" t="s">
        <v>73</v>
      </c>
      <c r="D59" s="158" t="s">
        <v>24</v>
      </c>
      <c r="E59" s="159"/>
      <c r="F59" s="161"/>
      <c r="G59" s="159"/>
    </row>
    <row r="60" customHeight="1" spans="2:7">
      <c r="B60" s="156">
        <v>57</v>
      </c>
      <c r="C60" s="157" t="s">
        <v>74</v>
      </c>
      <c r="D60" s="158" t="s">
        <v>75</v>
      </c>
      <c r="E60" s="159"/>
      <c r="F60" s="161">
        <v>2.1</v>
      </c>
      <c r="G60" s="159"/>
    </row>
    <row r="61" customHeight="1" spans="2:7">
      <c r="B61" s="156">
        <v>58</v>
      </c>
      <c r="C61" s="157" t="s">
        <v>76</v>
      </c>
      <c r="D61" s="158" t="s">
        <v>75</v>
      </c>
      <c r="E61" s="159"/>
      <c r="F61" s="161"/>
      <c r="G61" s="159"/>
    </row>
    <row r="62" customHeight="1" spans="2:7">
      <c r="B62" s="156">
        <v>59</v>
      </c>
      <c r="C62" s="157" t="s">
        <v>77</v>
      </c>
      <c r="D62" s="158" t="s">
        <v>75</v>
      </c>
      <c r="E62" s="165"/>
      <c r="F62" s="160"/>
      <c r="G62" s="159"/>
    </row>
    <row r="63" customHeight="1" spans="2:7">
      <c r="B63" s="156">
        <v>60</v>
      </c>
      <c r="C63" s="157" t="s">
        <v>78</v>
      </c>
      <c r="D63" s="158" t="s">
        <v>75</v>
      </c>
      <c r="E63" s="165"/>
      <c r="F63" s="160"/>
      <c r="G63" s="159"/>
    </row>
    <row r="64" customHeight="1" spans="2:7">
      <c r="B64" s="156">
        <v>61</v>
      </c>
      <c r="C64" s="157" t="s">
        <v>79</v>
      </c>
      <c r="D64" s="158" t="s">
        <v>50</v>
      </c>
      <c r="E64" s="165"/>
      <c r="F64" s="160">
        <v>11</v>
      </c>
      <c r="G64" s="159"/>
    </row>
    <row r="65" customHeight="1" spans="2:7">
      <c r="B65" s="156">
        <v>62</v>
      </c>
      <c r="C65" s="157" t="s">
        <v>80</v>
      </c>
      <c r="D65" s="158" t="s">
        <v>50</v>
      </c>
      <c r="E65" s="165"/>
      <c r="F65" s="160">
        <v>15</v>
      </c>
      <c r="G65" s="159"/>
    </row>
    <row r="66" customHeight="1" spans="2:7">
      <c r="B66" s="156">
        <v>63</v>
      </c>
      <c r="C66" s="157" t="s">
        <v>81</v>
      </c>
      <c r="D66" s="158" t="s">
        <v>50</v>
      </c>
      <c r="E66" s="165"/>
      <c r="F66" s="160">
        <v>13</v>
      </c>
      <c r="G66" s="159"/>
    </row>
    <row r="67" customHeight="1" spans="2:7">
      <c r="B67" s="156">
        <v>64</v>
      </c>
      <c r="C67" s="157" t="s">
        <v>82</v>
      </c>
      <c r="D67" s="158" t="s">
        <v>50</v>
      </c>
      <c r="E67" s="165"/>
      <c r="F67" s="160">
        <v>7</v>
      </c>
      <c r="G67" s="159"/>
    </row>
    <row r="68" customHeight="1" spans="2:7">
      <c r="B68" s="156">
        <v>65</v>
      </c>
      <c r="C68" s="157" t="s">
        <v>83</v>
      </c>
      <c r="D68" s="158" t="s">
        <v>50</v>
      </c>
      <c r="E68" s="165"/>
      <c r="F68" s="160">
        <v>8</v>
      </c>
      <c r="G68" s="159"/>
    </row>
    <row r="69" customHeight="1" spans="2:7">
      <c r="B69" s="156">
        <v>66</v>
      </c>
      <c r="C69" s="157" t="s">
        <v>84</v>
      </c>
      <c r="D69" s="158" t="s">
        <v>24</v>
      </c>
      <c r="E69" s="165"/>
      <c r="F69" s="160">
        <v>26</v>
      </c>
      <c r="G69" s="159"/>
    </row>
    <row r="70" customHeight="1" spans="2:7">
      <c r="B70" s="156">
        <v>67</v>
      </c>
      <c r="C70" s="157" t="s">
        <v>85</v>
      </c>
      <c r="D70" s="158" t="s">
        <v>24</v>
      </c>
      <c r="E70" s="165"/>
      <c r="F70" s="160">
        <v>59</v>
      </c>
      <c r="G70" s="159"/>
    </row>
    <row r="71" customHeight="1" spans="2:7">
      <c r="B71" s="156">
        <v>68</v>
      </c>
      <c r="C71" s="157" t="s">
        <v>86</v>
      </c>
      <c r="D71" s="158" t="s">
        <v>24</v>
      </c>
      <c r="E71" s="165"/>
      <c r="F71" s="160"/>
      <c r="G71" s="159"/>
    </row>
    <row r="72" customHeight="1" spans="2:7">
      <c r="B72" s="156">
        <v>69</v>
      </c>
      <c r="C72" s="157" t="s">
        <v>87</v>
      </c>
      <c r="D72" s="158" t="s">
        <v>29</v>
      </c>
      <c r="E72" s="165"/>
      <c r="F72" s="160"/>
      <c r="G72" s="159"/>
    </row>
    <row r="73" customHeight="1" spans="2:7">
      <c r="B73" s="156">
        <v>70</v>
      </c>
      <c r="C73" s="157" t="s">
        <v>88</v>
      </c>
      <c r="D73" s="158" t="s">
        <v>29</v>
      </c>
      <c r="E73" s="165"/>
      <c r="F73" s="160"/>
      <c r="G73" s="159"/>
    </row>
    <row r="74" customHeight="1" spans="2:7">
      <c r="B74" s="156">
        <v>71</v>
      </c>
      <c r="C74" s="157" t="s">
        <v>89</v>
      </c>
      <c r="D74" s="158" t="s">
        <v>90</v>
      </c>
      <c r="E74" s="165"/>
      <c r="F74" s="160">
        <v>5</v>
      </c>
      <c r="G74" s="159"/>
    </row>
    <row r="75" customHeight="1" spans="2:7">
      <c r="B75" s="156">
        <v>72</v>
      </c>
      <c r="C75" s="157" t="s">
        <v>91</v>
      </c>
      <c r="D75" s="158" t="s">
        <v>92</v>
      </c>
      <c r="E75" s="165"/>
      <c r="F75" s="160">
        <v>7</v>
      </c>
      <c r="G75" s="159"/>
    </row>
    <row r="76" customHeight="1" spans="2:7">
      <c r="B76" s="156">
        <v>73</v>
      </c>
      <c r="C76" s="157" t="s">
        <v>93</v>
      </c>
      <c r="D76" s="158" t="s">
        <v>90</v>
      </c>
      <c r="E76" s="165"/>
      <c r="F76" s="160">
        <v>20</v>
      </c>
      <c r="G76" s="159" t="s">
        <v>94</v>
      </c>
    </row>
    <row r="77" customHeight="1" spans="2:7">
      <c r="B77" s="156">
        <v>74</v>
      </c>
      <c r="C77" s="157" t="s">
        <v>95</v>
      </c>
      <c r="D77" s="158" t="s">
        <v>90</v>
      </c>
      <c r="E77" s="165"/>
      <c r="F77" s="160"/>
      <c r="G77" s="159"/>
    </row>
    <row r="78" customHeight="1" spans="2:7">
      <c r="B78" s="156">
        <v>75</v>
      </c>
      <c r="C78" s="157" t="s">
        <v>96</v>
      </c>
      <c r="D78" s="158" t="s">
        <v>10</v>
      </c>
      <c r="E78" s="165"/>
      <c r="F78" s="160">
        <v>2</v>
      </c>
      <c r="G78" s="159"/>
    </row>
    <row r="79" customHeight="1" spans="2:7">
      <c r="B79" s="156">
        <v>76</v>
      </c>
      <c r="C79" s="157" t="s">
        <v>97</v>
      </c>
      <c r="D79" s="158" t="s">
        <v>17</v>
      </c>
      <c r="E79" s="165"/>
      <c r="F79" s="160"/>
      <c r="G79" s="159"/>
    </row>
    <row r="80" customHeight="1" spans="2:7">
      <c r="B80" s="156">
        <v>77</v>
      </c>
      <c r="C80" s="157" t="s">
        <v>98</v>
      </c>
      <c r="D80" s="158" t="s">
        <v>10</v>
      </c>
      <c r="E80" s="165"/>
      <c r="F80" s="160"/>
      <c r="G80" s="159"/>
    </row>
    <row r="81" customHeight="1" spans="2:7">
      <c r="B81" s="156">
        <v>78</v>
      </c>
      <c r="C81" s="157" t="s">
        <v>99</v>
      </c>
      <c r="D81" s="158" t="s">
        <v>10</v>
      </c>
      <c r="E81" s="165"/>
      <c r="F81" s="160"/>
      <c r="G81" s="159"/>
    </row>
    <row r="82" customHeight="1" spans="2:7">
      <c r="B82" s="156">
        <v>79</v>
      </c>
      <c r="C82" s="157" t="s">
        <v>100</v>
      </c>
      <c r="D82" s="158" t="s">
        <v>10</v>
      </c>
      <c r="E82" s="165"/>
      <c r="F82" s="160"/>
      <c r="G82" s="159"/>
    </row>
    <row r="83" customHeight="1" spans="2:7">
      <c r="B83" s="156">
        <v>80</v>
      </c>
      <c r="C83" s="157" t="s">
        <v>101</v>
      </c>
      <c r="D83" s="158" t="s">
        <v>17</v>
      </c>
      <c r="E83" s="165"/>
      <c r="F83" s="160"/>
      <c r="G83" s="159"/>
    </row>
    <row r="84" customHeight="1" spans="2:7">
      <c r="B84" s="156">
        <v>81</v>
      </c>
      <c r="C84" s="157" t="s">
        <v>102</v>
      </c>
      <c r="D84" s="158" t="s">
        <v>17</v>
      </c>
      <c r="E84" s="165"/>
      <c r="F84" s="160">
        <v>1.5</v>
      </c>
      <c r="G84" s="159"/>
    </row>
    <row r="85" customHeight="1" spans="2:7">
      <c r="B85" s="156">
        <v>82</v>
      </c>
      <c r="C85" s="157" t="s">
        <v>103</v>
      </c>
      <c r="D85" s="158" t="s">
        <v>17</v>
      </c>
      <c r="E85" s="159"/>
      <c r="F85" s="160"/>
      <c r="G85" s="159"/>
    </row>
    <row r="86" customHeight="1" spans="2:7">
      <c r="B86" s="156">
        <v>83</v>
      </c>
      <c r="C86" s="157" t="s">
        <v>104</v>
      </c>
      <c r="D86" s="158" t="s">
        <v>17</v>
      </c>
      <c r="E86" s="166"/>
      <c r="F86" s="167"/>
      <c r="G86" s="168"/>
    </row>
    <row r="87" customHeight="1" spans="2:7">
      <c r="B87" s="156">
        <v>84</v>
      </c>
      <c r="C87" s="157" t="s">
        <v>105</v>
      </c>
      <c r="D87" s="158" t="s">
        <v>17</v>
      </c>
      <c r="E87" s="166"/>
      <c r="F87" s="167"/>
      <c r="G87" s="168"/>
    </row>
    <row r="88" customHeight="1" spans="2:7">
      <c r="B88" s="156">
        <v>85</v>
      </c>
      <c r="C88" s="157" t="s">
        <v>106</v>
      </c>
      <c r="D88" s="158" t="s">
        <v>17</v>
      </c>
      <c r="E88" s="166"/>
      <c r="F88" s="167"/>
      <c r="G88" s="168"/>
    </row>
    <row r="89" customHeight="1" spans="2:7">
      <c r="B89" s="156">
        <v>86</v>
      </c>
      <c r="C89" s="157" t="s">
        <v>107</v>
      </c>
      <c r="D89" s="158" t="s">
        <v>17</v>
      </c>
      <c r="E89" s="166"/>
      <c r="F89" s="167"/>
      <c r="G89" s="168"/>
    </row>
    <row r="90" customHeight="1" spans="2:7">
      <c r="B90" s="156">
        <v>87</v>
      </c>
      <c r="C90" s="157" t="s">
        <v>108</v>
      </c>
      <c r="D90" s="158" t="s">
        <v>17</v>
      </c>
      <c r="E90" s="166"/>
      <c r="F90" s="167"/>
      <c r="G90" s="168"/>
    </row>
    <row r="91" customHeight="1" spans="2:7">
      <c r="B91" s="156">
        <v>88</v>
      </c>
      <c r="C91" s="157" t="s">
        <v>109</v>
      </c>
      <c r="D91" s="158" t="s">
        <v>24</v>
      </c>
      <c r="E91" s="166"/>
      <c r="F91" s="167"/>
      <c r="G91" s="168"/>
    </row>
    <row r="92" customHeight="1" spans="2:7">
      <c r="B92" s="156">
        <v>89</v>
      </c>
      <c r="C92" s="157" t="s">
        <v>110</v>
      </c>
      <c r="D92" s="158" t="s">
        <v>24</v>
      </c>
      <c r="E92" s="166"/>
      <c r="F92" s="167"/>
      <c r="G92" s="168"/>
    </row>
    <row r="93" customHeight="1" spans="2:7">
      <c r="B93" s="156">
        <v>90</v>
      </c>
      <c r="C93" s="157" t="s">
        <v>111</v>
      </c>
      <c r="D93" s="158" t="s">
        <v>10</v>
      </c>
      <c r="E93" s="166"/>
      <c r="F93" s="167">
        <v>0.3</v>
      </c>
      <c r="G93" s="168"/>
    </row>
    <row r="94" customHeight="1" spans="2:7">
      <c r="B94" s="156">
        <v>91</v>
      </c>
      <c r="C94" s="157" t="s">
        <v>112</v>
      </c>
      <c r="D94" s="158" t="s">
        <v>92</v>
      </c>
      <c r="E94" s="166"/>
      <c r="F94" s="167">
        <v>0.2</v>
      </c>
      <c r="G94" s="168"/>
    </row>
    <row r="95" customHeight="1" spans="2:7">
      <c r="B95" s="156">
        <v>92</v>
      </c>
      <c r="C95" s="157" t="s">
        <v>113</v>
      </c>
      <c r="D95" s="158" t="s">
        <v>50</v>
      </c>
      <c r="E95" s="166"/>
      <c r="F95" s="167"/>
      <c r="G95" s="168"/>
    </row>
    <row r="96" customHeight="1" spans="2:7">
      <c r="B96" s="156">
        <v>93</v>
      </c>
      <c r="C96" s="157" t="s">
        <v>114</v>
      </c>
      <c r="D96" s="158" t="s">
        <v>24</v>
      </c>
      <c r="E96" s="166"/>
      <c r="F96" s="167">
        <v>30</v>
      </c>
      <c r="G96" s="168"/>
    </row>
    <row r="97" customHeight="1" spans="2:7">
      <c r="B97" s="156">
        <v>94</v>
      </c>
      <c r="C97" s="157" t="s">
        <v>115</v>
      </c>
      <c r="D97" s="158" t="s">
        <v>24</v>
      </c>
      <c r="E97" s="166"/>
      <c r="F97" s="167"/>
      <c r="G97" s="168"/>
    </row>
    <row r="98" customHeight="1" spans="2:7">
      <c r="B98" s="156">
        <v>95</v>
      </c>
      <c r="C98" s="157" t="s">
        <v>116</v>
      </c>
      <c r="D98" s="158" t="s">
        <v>24</v>
      </c>
      <c r="E98" s="166"/>
      <c r="F98" s="167"/>
      <c r="G98" s="168"/>
    </row>
    <row r="99" customHeight="1" spans="2:7">
      <c r="B99" s="156">
        <v>96</v>
      </c>
      <c r="C99" s="157" t="s">
        <v>117</v>
      </c>
      <c r="D99" s="158" t="s">
        <v>24</v>
      </c>
      <c r="E99" s="166"/>
      <c r="F99" s="167"/>
      <c r="G99" s="168"/>
    </row>
    <row r="100" customHeight="1" spans="2:7">
      <c r="B100" s="156">
        <v>97</v>
      </c>
      <c r="C100" s="157" t="s">
        <v>118</v>
      </c>
      <c r="D100" s="158" t="s">
        <v>24</v>
      </c>
      <c r="E100" s="166"/>
      <c r="F100" s="167"/>
      <c r="G100" s="168"/>
    </row>
    <row r="101" customHeight="1" spans="2:7">
      <c r="B101" s="156">
        <v>98</v>
      </c>
      <c r="C101" s="157" t="s">
        <v>119</v>
      </c>
      <c r="D101" s="158" t="s">
        <v>24</v>
      </c>
      <c r="E101" s="166"/>
      <c r="F101" s="167"/>
      <c r="G101" s="168"/>
    </row>
    <row r="102" customHeight="1" spans="2:7">
      <c r="B102" s="156">
        <v>99</v>
      </c>
      <c r="C102" s="157" t="s">
        <v>120</v>
      </c>
      <c r="D102" s="158" t="s">
        <v>42</v>
      </c>
      <c r="E102" s="166"/>
      <c r="F102" s="167"/>
      <c r="G102" s="168"/>
    </row>
    <row r="103" customHeight="1" spans="2:7">
      <c r="B103" s="156">
        <v>100</v>
      </c>
      <c r="C103" s="157" t="s">
        <v>121</v>
      </c>
      <c r="D103" s="158" t="s">
        <v>24</v>
      </c>
      <c r="E103" s="166"/>
      <c r="F103" s="167"/>
      <c r="G103" s="168"/>
    </row>
    <row r="104" customHeight="1" spans="2:7">
      <c r="B104" s="156">
        <v>101</v>
      </c>
      <c r="C104" s="157" t="s">
        <v>122</v>
      </c>
      <c r="D104" s="158" t="s">
        <v>24</v>
      </c>
      <c r="E104" s="166"/>
      <c r="F104" s="167"/>
      <c r="G104" s="168"/>
    </row>
    <row r="105" customHeight="1" spans="2:7">
      <c r="B105" s="156">
        <v>102</v>
      </c>
      <c r="C105" s="157" t="s">
        <v>123</v>
      </c>
      <c r="D105" s="158" t="s">
        <v>24</v>
      </c>
      <c r="E105" s="166"/>
      <c r="F105" s="167"/>
      <c r="G105" s="168"/>
    </row>
    <row r="106" customHeight="1" spans="2:7">
      <c r="B106" s="156">
        <v>103</v>
      </c>
      <c r="C106" s="157" t="s">
        <v>124</v>
      </c>
      <c r="D106" s="158" t="s">
        <v>24</v>
      </c>
      <c r="E106" s="166"/>
      <c r="F106" s="167">
        <v>0.85</v>
      </c>
      <c r="G106" s="168"/>
    </row>
    <row r="107" customHeight="1" spans="2:7">
      <c r="B107" s="156">
        <v>104</v>
      </c>
      <c r="C107" s="157" t="s">
        <v>125</v>
      </c>
      <c r="D107" s="158" t="s">
        <v>24</v>
      </c>
      <c r="E107" s="166"/>
      <c r="F107" s="167"/>
      <c r="G107" s="168"/>
    </row>
    <row r="108" customHeight="1" spans="2:7">
      <c r="B108" s="156">
        <v>105</v>
      </c>
      <c r="C108" s="157" t="s">
        <v>126</v>
      </c>
      <c r="D108" s="158" t="s">
        <v>24</v>
      </c>
      <c r="E108" s="166"/>
      <c r="F108" s="167"/>
      <c r="G108" s="168"/>
    </row>
    <row r="109" customHeight="1" spans="2:7">
      <c r="B109" s="156">
        <v>106</v>
      </c>
      <c r="C109" s="157" t="s">
        <v>127</v>
      </c>
      <c r="D109" s="158" t="s">
        <v>128</v>
      </c>
      <c r="E109" s="166"/>
      <c r="F109" s="167"/>
      <c r="G109" s="168"/>
    </row>
    <row r="110" customHeight="1" spans="2:7">
      <c r="B110" s="156">
        <v>107</v>
      </c>
      <c r="C110" s="157" t="s">
        <v>129</v>
      </c>
      <c r="D110" s="158" t="s">
        <v>24</v>
      </c>
      <c r="E110" s="166"/>
      <c r="F110" s="167"/>
      <c r="G110" s="168"/>
    </row>
    <row r="111" customHeight="1" spans="2:7">
      <c r="B111" s="156">
        <v>108</v>
      </c>
      <c r="C111" s="157" t="s">
        <v>130</v>
      </c>
      <c r="D111" s="158" t="s">
        <v>131</v>
      </c>
      <c r="E111" s="166"/>
      <c r="F111" s="167">
        <v>11.5</v>
      </c>
      <c r="G111" s="168"/>
    </row>
    <row r="112" customHeight="1" spans="2:7">
      <c r="B112" s="156">
        <v>109</v>
      </c>
      <c r="C112" s="157" t="s">
        <v>132</v>
      </c>
      <c r="D112" s="158" t="s">
        <v>50</v>
      </c>
      <c r="E112" s="166"/>
      <c r="F112" s="167">
        <v>5.3</v>
      </c>
      <c r="G112" s="168"/>
    </row>
    <row r="113" customHeight="1" spans="2:7">
      <c r="B113" s="156">
        <v>110</v>
      </c>
      <c r="C113" s="157" t="s">
        <v>133</v>
      </c>
      <c r="D113" s="158" t="s">
        <v>10</v>
      </c>
      <c r="E113" s="166"/>
      <c r="F113" s="167">
        <v>2.5</v>
      </c>
      <c r="G113" s="168"/>
    </row>
    <row r="114" customHeight="1" spans="2:7">
      <c r="B114" s="156">
        <v>111</v>
      </c>
      <c r="C114" s="157" t="s">
        <v>134</v>
      </c>
      <c r="D114" s="158" t="s">
        <v>135</v>
      </c>
      <c r="E114" s="166"/>
      <c r="F114" s="167"/>
      <c r="G114" s="168"/>
    </row>
    <row r="115" customHeight="1" spans="2:7">
      <c r="B115" s="156">
        <v>112</v>
      </c>
      <c r="C115" s="157" t="s">
        <v>136</v>
      </c>
      <c r="D115" s="158" t="s">
        <v>135</v>
      </c>
      <c r="E115" s="166"/>
      <c r="F115" s="167"/>
      <c r="G115" s="168"/>
    </row>
    <row r="116" customHeight="1" spans="2:7">
      <c r="B116" s="156">
        <v>113</v>
      </c>
      <c r="C116" s="157" t="s">
        <v>137</v>
      </c>
      <c r="D116" s="158" t="s">
        <v>135</v>
      </c>
      <c r="E116" s="166"/>
      <c r="F116" s="167"/>
      <c r="G116" s="168"/>
    </row>
    <row r="117" customHeight="1" spans="2:7">
      <c r="B117" s="156">
        <v>114</v>
      </c>
      <c r="C117" s="157" t="s">
        <v>138</v>
      </c>
      <c r="D117" s="158" t="s">
        <v>24</v>
      </c>
      <c r="E117" s="166"/>
      <c r="F117" s="167">
        <v>2.5</v>
      </c>
      <c r="G117" s="168"/>
    </row>
    <row r="118" customHeight="1" spans="2:7">
      <c r="B118" s="156">
        <v>115</v>
      </c>
      <c r="C118" s="157" t="s">
        <v>139</v>
      </c>
      <c r="D118" s="158" t="s">
        <v>24</v>
      </c>
      <c r="E118" s="166"/>
      <c r="F118" s="167">
        <v>2</v>
      </c>
      <c r="G118" s="168"/>
    </row>
    <row r="119" customHeight="1" spans="2:7">
      <c r="B119" s="156">
        <v>116</v>
      </c>
      <c r="C119" s="157" t="s">
        <v>140</v>
      </c>
      <c r="D119" s="158" t="s">
        <v>10</v>
      </c>
      <c r="E119" s="166"/>
      <c r="F119" s="167">
        <v>5.9</v>
      </c>
      <c r="G119" s="168"/>
    </row>
    <row r="120" customHeight="1" spans="2:7">
      <c r="B120" s="156">
        <v>117</v>
      </c>
      <c r="C120" s="157" t="s">
        <v>141</v>
      </c>
      <c r="D120" s="158" t="s">
        <v>142</v>
      </c>
      <c r="E120" s="166"/>
      <c r="F120" s="167">
        <v>3.3</v>
      </c>
      <c r="G120" s="168"/>
    </row>
    <row r="121" customHeight="1" spans="2:7">
      <c r="B121" s="156">
        <v>118</v>
      </c>
      <c r="C121" s="157" t="s">
        <v>143</v>
      </c>
      <c r="D121" s="158" t="s">
        <v>144</v>
      </c>
      <c r="E121" s="166"/>
      <c r="F121" s="167">
        <v>280</v>
      </c>
      <c r="G121" s="168"/>
    </row>
    <row r="122" customHeight="1" spans="2:7">
      <c r="B122" s="156">
        <v>119</v>
      </c>
      <c r="C122" s="157" t="s">
        <v>145</v>
      </c>
      <c r="D122" s="158" t="s">
        <v>24</v>
      </c>
      <c r="E122" s="166"/>
      <c r="F122" s="167">
        <v>3.5</v>
      </c>
      <c r="G122" s="168"/>
    </row>
    <row r="123" customHeight="1" spans="2:7">
      <c r="B123" s="156">
        <v>120</v>
      </c>
      <c r="C123" s="157" t="s">
        <v>146</v>
      </c>
      <c r="D123" s="158" t="s">
        <v>128</v>
      </c>
      <c r="E123" s="166"/>
      <c r="F123" s="167">
        <v>10</v>
      </c>
      <c r="G123" s="168"/>
    </row>
    <row r="124" customHeight="1" spans="2:7">
      <c r="B124" s="156">
        <v>121</v>
      </c>
      <c r="C124" s="157" t="s">
        <v>147</v>
      </c>
      <c r="D124" s="158" t="s">
        <v>24</v>
      </c>
      <c r="E124" s="166"/>
      <c r="F124" s="167">
        <v>75</v>
      </c>
      <c r="G124" s="168"/>
    </row>
    <row r="125" customHeight="1" spans="2:7">
      <c r="B125" s="156">
        <v>122</v>
      </c>
      <c r="C125" s="157" t="s">
        <v>148</v>
      </c>
      <c r="D125" s="158" t="s">
        <v>24</v>
      </c>
      <c r="E125" s="166"/>
      <c r="F125" s="167">
        <v>56</v>
      </c>
      <c r="G125" s="168"/>
    </row>
    <row r="126" customHeight="1" spans="2:7">
      <c r="B126" s="156">
        <v>123</v>
      </c>
      <c r="C126" s="157" t="s">
        <v>149</v>
      </c>
      <c r="D126" s="158" t="s">
        <v>24</v>
      </c>
      <c r="E126" s="166"/>
      <c r="F126" s="167">
        <v>11.8</v>
      </c>
      <c r="G126" s="168"/>
    </row>
    <row r="127" customHeight="1" spans="2:7">
      <c r="B127" s="156">
        <v>124</v>
      </c>
      <c r="C127" s="157" t="s">
        <v>150</v>
      </c>
      <c r="D127" s="158" t="s">
        <v>24</v>
      </c>
      <c r="E127" s="166"/>
      <c r="F127" s="167">
        <v>9.9</v>
      </c>
      <c r="G127" s="168"/>
    </row>
    <row r="128" customHeight="1" spans="2:7">
      <c r="B128" s="156">
        <v>125</v>
      </c>
      <c r="C128" s="157" t="s">
        <v>151</v>
      </c>
      <c r="D128" s="158" t="s">
        <v>24</v>
      </c>
      <c r="E128" s="166"/>
      <c r="F128" s="167">
        <v>5.7</v>
      </c>
      <c r="G128" s="168"/>
    </row>
    <row r="129" customHeight="1" spans="2:7">
      <c r="B129" s="156">
        <v>126</v>
      </c>
      <c r="C129" s="157" t="s">
        <v>152</v>
      </c>
      <c r="D129" s="158" t="s">
        <v>42</v>
      </c>
      <c r="E129" s="166"/>
      <c r="F129" s="167">
        <v>23.5</v>
      </c>
      <c r="G129" s="168"/>
    </row>
    <row r="130" customHeight="1" spans="2:7">
      <c r="B130" s="156">
        <v>127</v>
      </c>
      <c r="C130" s="157" t="s">
        <v>153</v>
      </c>
      <c r="D130" s="158" t="s">
        <v>154</v>
      </c>
      <c r="E130" s="166"/>
      <c r="F130" s="167">
        <v>549</v>
      </c>
      <c r="G130" s="168"/>
    </row>
    <row r="131" customHeight="1" spans="2:7">
      <c r="B131" s="156">
        <v>128</v>
      </c>
      <c r="C131" s="157" t="s">
        <v>155</v>
      </c>
      <c r="D131" s="158" t="s">
        <v>24</v>
      </c>
      <c r="E131" s="166"/>
      <c r="F131" s="167"/>
      <c r="G131" s="168"/>
    </row>
    <row r="132" customHeight="1" spans="2:7">
      <c r="B132" s="156">
        <v>129</v>
      </c>
      <c r="C132" s="157" t="s">
        <v>156</v>
      </c>
      <c r="D132" s="158" t="s">
        <v>17</v>
      </c>
      <c r="E132" s="166"/>
      <c r="F132" s="167">
        <v>1.2</v>
      </c>
      <c r="G132" s="168"/>
    </row>
    <row r="133" customHeight="1" spans="2:7">
      <c r="B133" s="156">
        <v>130</v>
      </c>
      <c r="C133" s="157" t="s">
        <v>157</v>
      </c>
      <c r="D133" s="158" t="s">
        <v>17</v>
      </c>
      <c r="E133" s="166"/>
      <c r="F133" s="167">
        <v>1.5</v>
      </c>
      <c r="G133" s="168"/>
    </row>
    <row r="134" customHeight="1" spans="2:7">
      <c r="B134" s="156">
        <v>131</v>
      </c>
      <c r="C134" s="157" t="s">
        <v>158</v>
      </c>
      <c r="D134" s="158" t="s">
        <v>42</v>
      </c>
      <c r="E134" s="166"/>
      <c r="F134" s="167">
        <v>0.32</v>
      </c>
      <c r="G134" s="168"/>
    </row>
    <row r="135" customHeight="1" spans="2:7">
      <c r="B135" s="156">
        <v>132</v>
      </c>
      <c r="C135" s="157" t="s">
        <v>159</v>
      </c>
      <c r="D135" s="158" t="s">
        <v>24</v>
      </c>
      <c r="E135" s="166"/>
      <c r="F135" s="167">
        <v>9</v>
      </c>
      <c r="G135" s="168"/>
    </row>
    <row r="136" customHeight="1" spans="2:7">
      <c r="B136" s="156">
        <v>133</v>
      </c>
      <c r="C136" s="157" t="s">
        <v>46</v>
      </c>
      <c r="D136" s="158" t="s">
        <v>24</v>
      </c>
      <c r="E136" s="166"/>
      <c r="F136" s="167"/>
      <c r="G136" s="166"/>
    </row>
    <row r="137" customHeight="1" spans="2:7">
      <c r="B137" s="156">
        <v>134</v>
      </c>
      <c r="C137" s="157" t="s">
        <v>101</v>
      </c>
      <c r="D137" s="158" t="s">
        <v>24</v>
      </c>
      <c r="E137" s="166"/>
      <c r="F137" s="167"/>
      <c r="G137" s="166"/>
    </row>
    <row r="138" customHeight="1" spans="2:7">
      <c r="B138" s="156">
        <v>135</v>
      </c>
      <c r="C138" s="157" t="s">
        <v>160</v>
      </c>
      <c r="D138" s="158" t="s">
        <v>24</v>
      </c>
      <c r="E138" s="166"/>
      <c r="F138" s="167"/>
      <c r="G138" s="166"/>
    </row>
    <row r="139" customHeight="1" spans="2:7">
      <c r="B139" s="156">
        <v>136</v>
      </c>
      <c r="C139" s="157" t="s">
        <v>115</v>
      </c>
      <c r="D139" s="158" t="s">
        <v>24</v>
      </c>
      <c r="E139" s="166"/>
      <c r="F139" s="167"/>
      <c r="G139" s="166"/>
    </row>
    <row r="140" customHeight="1" spans="2:7">
      <c r="B140" s="156">
        <v>137</v>
      </c>
      <c r="C140" s="157" t="s">
        <v>161</v>
      </c>
      <c r="D140" s="158" t="s">
        <v>162</v>
      </c>
      <c r="E140" s="166"/>
      <c r="F140" s="167"/>
      <c r="G140" s="166"/>
    </row>
    <row r="141" customHeight="1" spans="2:7">
      <c r="B141" s="156">
        <v>138</v>
      </c>
      <c r="C141" s="157" t="s">
        <v>163</v>
      </c>
      <c r="D141" s="158" t="s">
        <v>162</v>
      </c>
      <c r="E141" s="166"/>
      <c r="F141" s="167"/>
      <c r="G141" s="166"/>
    </row>
    <row r="142" customHeight="1" spans="2:7">
      <c r="B142" s="156">
        <v>139</v>
      </c>
      <c r="C142" s="157" t="s">
        <v>164</v>
      </c>
      <c r="D142" s="158" t="s">
        <v>90</v>
      </c>
      <c r="E142" s="166"/>
      <c r="F142" s="167"/>
      <c r="G142" s="166"/>
    </row>
    <row r="143" customHeight="1" spans="2:7">
      <c r="B143" s="156">
        <v>140</v>
      </c>
      <c r="C143" s="157" t="s">
        <v>165</v>
      </c>
      <c r="D143" s="158" t="s">
        <v>166</v>
      </c>
      <c r="E143" s="166"/>
      <c r="F143" s="167"/>
      <c r="G143" s="166"/>
    </row>
    <row r="144" customHeight="1" spans="2:7">
      <c r="B144" s="156">
        <v>141</v>
      </c>
      <c r="C144" s="157" t="s">
        <v>167</v>
      </c>
      <c r="D144" s="158" t="s">
        <v>128</v>
      </c>
      <c r="E144" s="166"/>
      <c r="F144" s="167"/>
      <c r="G144" s="166"/>
    </row>
    <row r="145" customHeight="1" spans="2:7">
      <c r="B145" s="156">
        <v>142</v>
      </c>
      <c r="C145" s="157" t="s">
        <v>168</v>
      </c>
      <c r="D145" s="158" t="s">
        <v>128</v>
      </c>
      <c r="E145" s="166"/>
      <c r="F145" s="167"/>
      <c r="G145" s="166"/>
    </row>
    <row r="146" customHeight="1" spans="2:7">
      <c r="B146" s="156">
        <v>143</v>
      </c>
      <c r="C146" s="157" t="s">
        <v>169</v>
      </c>
      <c r="D146" s="158" t="s">
        <v>128</v>
      </c>
      <c r="E146" s="166"/>
      <c r="F146" s="167"/>
      <c r="G146" s="166"/>
    </row>
    <row r="147" customHeight="1" spans="2:7">
      <c r="B147" s="156">
        <v>145</v>
      </c>
      <c r="C147" s="157" t="s">
        <v>170</v>
      </c>
      <c r="D147" s="158" t="s">
        <v>24</v>
      </c>
      <c r="E147" s="166"/>
      <c r="F147" s="167"/>
      <c r="G147" s="166"/>
    </row>
    <row r="148" customHeight="1" spans="2:7">
      <c r="B148" s="156">
        <v>146</v>
      </c>
      <c r="C148" s="157" t="s">
        <v>171</v>
      </c>
      <c r="D148" s="158" t="s">
        <v>24</v>
      </c>
      <c r="E148" s="166"/>
      <c r="F148" s="167"/>
      <c r="G148" s="166"/>
    </row>
    <row r="149" customHeight="1" spans="2:7">
      <c r="B149" s="156">
        <v>147</v>
      </c>
      <c r="C149" s="157" t="s">
        <v>172</v>
      </c>
      <c r="D149" s="158" t="s">
        <v>128</v>
      </c>
      <c r="E149" s="166"/>
      <c r="F149" s="167"/>
      <c r="G149" s="166"/>
    </row>
    <row r="150" customHeight="1" spans="2:7">
      <c r="B150" s="156">
        <v>148</v>
      </c>
      <c r="C150" s="157" t="s">
        <v>173</v>
      </c>
      <c r="D150" s="158" t="s">
        <v>135</v>
      </c>
      <c r="E150" s="166"/>
      <c r="F150" s="167"/>
      <c r="G150" s="166"/>
    </row>
    <row r="151" customHeight="1" spans="2:7">
      <c r="B151" s="156">
        <v>149</v>
      </c>
      <c r="C151" s="157" t="s">
        <v>174</v>
      </c>
      <c r="D151" s="158" t="s">
        <v>24</v>
      </c>
      <c r="E151" s="166"/>
      <c r="F151" s="167"/>
      <c r="G151" s="166"/>
    </row>
    <row r="152" customHeight="1" spans="2:7">
      <c r="B152" s="156">
        <v>150</v>
      </c>
      <c r="C152" s="157" t="s">
        <v>175</v>
      </c>
      <c r="D152" s="158" t="s">
        <v>128</v>
      </c>
      <c r="E152" s="166"/>
      <c r="F152" s="167"/>
      <c r="G152" s="166"/>
    </row>
    <row r="153" customHeight="1" spans="2:7">
      <c r="B153" s="156">
        <v>151</v>
      </c>
      <c r="C153" s="157" t="s">
        <v>176</v>
      </c>
      <c r="D153" s="158" t="s">
        <v>24</v>
      </c>
      <c r="E153" s="166"/>
      <c r="F153" s="167"/>
      <c r="G153" s="166"/>
    </row>
    <row r="154" customHeight="1" spans="2:7">
      <c r="B154" s="156">
        <v>152</v>
      </c>
      <c r="C154" s="157" t="s">
        <v>177</v>
      </c>
      <c r="D154" s="158" t="s">
        <v>128</v>
      </c>
      <c r="E154" s="166"/>
      <c r="F154" s="167"/>
      <c r="G154" s="166"/>
    </row>
    <row r="155" customHeight="1" spans="2:7">
      <c r="B155" s="156">
        <v>153</v>
      </c>
      <c r="C155" s="157" t="s">
        <v>156</v>
      </c>
      <c r="D155" s="158" t="s">
        <v>17</v>
      </c>
      <c r="E155" s="166"/>
      <c r="F155" s="167"/>
      <c r="G155" s="166"/>
    </row>
    <row r="156" customHeight="1" spans="2:7">
      <c r="B156" s="156">
        <v>154</v>
      </c>
      <c r="C156" s="157" t="s">
        <v>178</v>
      </c>
      <c r="D156" s="158" t="s">
        <v>179</v>
      </c>
      <c r="E156" s="166"/>
      <c r="F156" s="167"/>
      <c r="G156" s="166"/>
    </row>
    <row r="157" customHeight="1" spans="2:7">
      <c r="B157" s="156">
        <v>155</v>
      </c>
      <c r="C157" s="157" t="s">
        <v>180</v>
      </c>
      <c r="D157" s="158" t="s">
        <v>181</v>
      </c>
      <c r="E157" s="166"/>
      <c r="F157" s="167"/>
      <c r="G157" s="166"/>
    </row>
    <row r="158" customHeight="1" spans="2:7">
      <c r="B158" s="156">
        <v>156</v>
      </c>
      <c r="C158" s="157" t="s">
        <v>182</v>
      </c>
      <c r="D158" s="158" t="s">
        <v>58</v>
      </c>
      <c r="E158" s="166"/>
      <c r="F158" s="167"/>
      <c r="G158" s="166"/>
    </row>
    <row r="159" customHeight="1" spans="2:7">
      <c r="B159" s="156">
        <v>157</v>
      </c>
      <c r="C159" s="157" t="s">
        <v>183</v>
      </c>
      <c r="D159" s="158" t="s">
        <v>24</v>
      </c>
      <c r="E159" s="166"/>
      <c r="F159" s="167"/>
      <c r="G159" s="166"/>
    </row>
    <row r="160" customHeight="1" spans="2:7">
      <c r="B160" s="156">
        <v>158</v>
      </c>
      <c r="C160" s="157" t="s">
        <v>184</v>
      </c>
      <c r="D160" s="158" t="s">
        <v>10</v>
      </c>
      <c r="E160" s="166"/>
      <c r="F160" s="167"/>
      <c r="G160" s="166"/>
    </row>
    <row r="161" customHeight="1" spans="2:7">
      <c r="B161" s="156">
        <v>159</v>
      </c>
      <c r="C161" s="157" t="s">
        <v>185</v>
      </c>
      <c r="D161" s="158" t="s">
        <v>186</v>
      </c>
      <c r="E161" s="166"/>
      <c r="F161" s="167"/>
      <c r="G161" s="166"/>
    </row>
    <row r="162" customHeight="1" spans="2:7">
      <c r="B162" s="156">
        <v>160</v>
      </c>
      <c r="C162" s="157" t="s">
        <v>187</v>
      </c>
      <c r="D162" s="158" t="s">
        <v>179</v>
      </c>
      <c r="E162" s="166"/>
      <c r="F162" s="167"/>
      <c r="G162" s="166"/>
    </row>
    <row r="163" customHeight="1" spans="2:7">
      <c r="B163" s="156">
        <v>161</v>
      </c>
      <c r="C163" s="157" t="s">
        <v>188</v>
      </c>
      <c r="D163" s="158" t="s">
        <v>90</v>
      </c>
      <c r="E163" s="166"/>
      <c r="F163" s="167"/>
      <c r="G163" s="166"/>
    </row>
    <row r="164" customHeight="1" spans="2:7">
      <c r="B164" s="156">
        <v>162</v>
      </c>
      <c r="C164" s="157" t="s">
        <v>189</v>
      </c>
      <c r="D164" s="158" t="s">
        <v>90</v>
      </c>
      <c r="E164" s="166"/>
      <c r="F164" s="167"/>
      <c r="G164" s="166"/>
    </row>
    <row r="165" customHeight="1" spans="2:7">
      <c r="B165" s="156">
        <v>163</v>
      </c>
      <c r="C165" s="157" t="s">
        <v>190</v>
      </c>
      <c r="D165" s="158" t="s">
        <v>90</v>
      </c>
      <c r="E165" s="166"/>
      <c r="F165" s="167"/>
      <c r="G165" s="166"/>
    </row>
    <row r="166" customHeight="1" spans="2:7">
      <c r="B166" s="156">
        <v>164</v>
      </c>
      <c r="C166" s="157" t="s">
        <v>191</v>
      </c>
      <c r="D166" s="158" t="s">
        <v>128</v>
      </c>
      <c r="E166" s="166"/>
      <c r="F166" s="167"/>
      <c r="G166" s="166"/>
    </row>
    <row r="167" customHeight="1" spans="2:7">
      <c r="B167" s="156">
        <v>165</v>
      </c>
      <c r="C167" s="157" t="s">
        <v>192</v>
      </c>
      <c r="D167" s="158" t="s">
        <v>24</v>
      </c>
      <c r="E167" s="166"/>
      <c r="F167" s="167"/>
      <c r="G167" s="166"/>
    </row>
    <row r="168" customHeight="1" spans="2:7">
      <c r="B168" s="156">
        <v>166</v>
      </c>
      <c r="C168" s="157" t="s">
        <v>176</v>
      </c>
      <c r="D168" s="158" t="s">
        <v>24</v>
      </c>
      <c r="E168" s="166"/>
      <c r="F168" s="167"/>
      <c r="G168" s="166"/>
    </row>
    <row r="169" customHeight="1" spans="2:7">
      <c r="B169" s="156">
        <v>167</v>
      </c>
      <c r="C169" s="157" t="s">
        <v>193</v>
      </c>
      <c r="D169" s="158" t="s">
        <v>24</v>
      </c>
      <c r="E169" s="166"/>
      <c r="F169" s="167"/>
      <c r="G169" s="166"/>
    </row>
    <row r="170" customHeight="1" spans="2:7">
      <c r="B170" s="156">
        <v>168</v>
      </c>
      <c r="C170" s="157" t="s">
        <v>194</v>
      </c>
      <c r="D170" s="158" t="s">
        <v>24</v>
      </c>
      <c r="E170" s="166"/>
      <c r="F170" s="167">
        <v>15</v>
      </c>
      <c r="G170" s="166"/>
    </row>
    <row r="171" customHeight="1" spans="2:7">
      <c r="B171" s="156">
        <v>169</v>
      </c>
      <c r="C171" s="157" t="s">
        <v>195</v>
      </c>
      <c r="D171" s="158" t="s">
        <v>10</v>
      </c>
      <c r="E171" s="166"/>
      <c r="F171" s="167"/>
      <c r="G171" s="166"/>
    </row>
    <row r="172" customHeight="1" spans="2:7">
      <c r="B172" s="156">
        <v>170</v>
      </c>
      <c r="C172" s="157" t="s">
        <v>196</v>
      </c>
      <c r="D172" s="158" t="s">
        <v>24</v>
      </c>
      <c r="E172" s="166"/>
      <c r="F172" s="167"/>
      <c r="G172" s="166"/>
    </row>
    <row r="173" customHeight="1" spans="2:7">
      <c r="B173" s="156">
        <v>171</v>
      </c>
      <c r="C173" s="157" t="s">
        <v>197</v>
      </c>
      <c r="D173" s="158" t="s">
        <v>24</v>
      </c>
      <c r="E173" s="166"/>
      <c r="F173" s="167"/>
      <c r="G173" s="166"/>
    </row>
    <row r="174" customHeight="1" spans="2:7">
      <c r="B174" s="156">
        <v>172</v>
      </c>
      <c r="C174" s="157" t="s">
        <v>198</v>
      </c>
      <c r="D174" s="158" t="s">
        <v>24</v>
      </c>
      <c r="E174" s="166"/>
      <c r="F174" s="167"/>
      <c r="G174" s="166"/>
    </row>
    <row r="175" customHeight="1" spans="2:7">
      <c r="B175" s="156">
        <v>173</v>
      </c>
      <c r="C175" s="157" t="s">
        <v>199</v>
      </c>
      <c r="D175" s="158" t="s">
        <v>24</v>
      </c>
      <c r="E175" s="166"/>
      <c r="F175" s="167"/>
      <c r="G175" s="166"/>
    </row>
    <row r="176" customHeight="1" spans="2:7">
      <c r="B176" s="156">
        <v>174</v>
      </c>
      <c r="C176" s="157" t="s">
        <v>200</v>
      </c>
      <c r="D176" s="158" t="s">
        <v>24</v>
      </c>
      <c r="E176" s="166"/>
      <c r="F176" s="167"/>
      <c r="G176" s="166"/>
    </row>
    <row r="177" customHeight="1" spans="2:7">
      <c r="B177" s="156">
        <v>175</v>
      </c>
      <c r="C177" s="157" t="s">
        <v>201</v>
      </c>
      <c r="D177" s="158" t="s">
        <v>24</v>
      </c>
      <c r="E177" s="166"/>
      <c r="F177" s="167"/>
      <c r="G177" s="166"/>
    </row>
    <row r="178" customHeight="1" spans="2:7">
      <c r="B178" s="156">
        <v>176</v>
      </c>
      <c r="C178" s="157" t="s">
        <v>202</v>
      </c>
      <c r="D178" s="158" t="s">
        <v>24</v>
      </c>
      <c r="E178" s="166"/>
      <c r="F178" s="167"/>
      <c r="G178" s="166"/>
    </row>
    <row r="179" customHeight="1" spans="2:7">
      <c r="B179" s="156">
        <v>177</v>
      </c>
      <c r="C179" s="157" t="s">
        <v>203</v>
      </c>
      <c r="D179" s="158" t="s">
        <v>24</v>
      </c>
      <c r="E179" s="166"/>
      <c r="F179" s="167"/>
      <c r="G179" s="166"/>
    </row>
    <row r="180" customHeight="1" spans="2:7">
      <c r="B180" s="156">
        <v>178</v>
      </c>
      <c r="C180" s="157" t="s">
        <v>204</v>
      </c>
      <c r="D180" s="158" t="s">
        <v>24</v>
      </c>
      <c r="E180" s="166"/>
      <c r="F180" s="167"/>
      <c r="G180" s="166"/>
    </row>
    <row r="181" customHeight="1" spans="2:7">
      <c r="B181" s="156">
        <v>179</v>
      </c>
      <c r="C181" s="157" t="s">
        <v>205</v>
      </c>
      <c r="D181" s="158" t="s">
        <v>24</v>
      </c>
      <c r="E181" s="166"/>
      <c r="F181" s="167"/>
      <c r="G181" s="166"/>
    </row>
    <row r="182" customHeight="1" spans="2:7">
      <c r="B182" s="156">
        <v>180</v>
      </c>
      <c r="C182" s="157" t="s">
        <v>205</v>
      </c>
      <c r="D182" s="158" t="s">
        <v>24</v>
      </c>
      <c r="E182" s="166"/>
      <c r="F182" s="167"/>
      <c r="G182" s="166"/>
    </row>
    <row r="183" customHeight="1" spans="2:7">
      <c r="B183" s="156">
        <v>181</v>
      </c>
      <c r="C183" s="157" t="s">
        <v>59</v>
      </c>
      <c r="D183" s="158" t="s">
        <v>24</v>
      </c>
      <c r="E183" s="166"/>
      <c r="F183" s="167"/>
      <c r="G183" s="166"/>
    </row>
    <row r="184" customHeight="1" spans="2:7">
      <c r="B184" s="156">
        <v>182</v>
      </c>
      <c r="C184" s="157" t="s">
        <v>206</v>
      </c>
      <c r="D184" s="158" t="s">
        <v>24</v>
      </c>
      <c r="E184" s="166"/>
      <c r="F184" s="167"/>
      <c r="G184" s="166"/>
    </row>
    <row r="185" customHeight="1" spans="2:7">
      <c r="B185" s="156">
        <v>183</v>
      </c>
      <c r="C185" s="157" t="s">
        <v>207</v>
      </c>
      <c r="D185" s="158" t="s">
        <v>24</v>
      </c>
      <c r="E185" s="166"/>
      <c r="F185" s="167"/>
      <c r="G185" s="168"/>
    </row>
    <row r="186" customHeight="1" spans="2:7">
      <c r="B186" s="156">
        <v>184</v>
      </c>
      <c r="C186" s="157" t="s">
        <v>208</v>
      </c>
      <c r="D186" s="158" t="s">
        <v>24</v>
      </c>
      <c r="E186" s="166"/>
      <c r="F186" s="167"/>
      <c r="G186" s="168"/>
    </row>
    <row r="187" customHeight="1" spans="2:7">
      <c r="B187" s="156">
        <v>185</v>
      </c>
      <c r="C187" s="157" t="s">
        <v>209</v>
      </c>
      <c r="D187" s="158" t="s">
        <v>24</v>
      </c>
      <c r="E187" s="166"/>
      <c r="F187" s="167"/>
      <c r="G187" s="168"/>
    </row>
    <row r="188" customHeight="1" spans="2:7">
      <c r="B188" s="156">
        <v>186</v>
      </c>
      <c r="C188" s="157" t="s">
        <v>210</v>
      </c>
      <c r="D188" s="158" t="s">
        <v>24</v>
      </c>
      <c r="E188" s="166"/>
      <c r="F188" s="167"/>
      <c r="G188" s="168"/>
    </row>
    <row r="189" customHeight="1" spans="2:7">
      <c r="B189" s="156">
        <v>187</v>
      </c>
      <c r="C189" s="157" t="s">
        <v>211</v>
      </c>
      <c r="D189" s="158" t="s">
        <v>24</v>
      </c>
      <c r="E189" s="166"/>
      <c r="F189" s="167"/>
      <c r="G189" s="168"/>
    </row>
    <row r="190" customHeight="1" spans="2:7">
      <c r="B190" s="156">
        <v>188</v>
      </c>
      <c r="C190" s="157" t="s">
        <v>212</v>
      </c>
      <c r="D190" s="158" t="s">
        <v>24</v>
      </c>
      <c r="E190" s="166"/>
      <c r="F190" s="167"/>
      <c r="G190" s="168"/>
    </row>
    <row r="191" customHeight="1" spans="2:7">
      <c r="B191" s="156">
        <v>189</v>
      </c>
      <c r="C191" s="157" t="s">
        <v>213</v>
      </c>
      <c r="D191" s="158" t="s">
        <v>24</v>
      </c>
      <c r="E191" s="166"/>
      <c r="F191" s="167"/>
      <c r="G191" s="168"/>
    </row>
    <row r="192" customHeight="1" spans="2:7">
      <c r="B192" s="156">
        <v>190</v>
      </c>
      <c r="C192" s="157" t="s">
        <v>214</v>
      </c>
      <c r="D192" s="158" t="s">
        <v>24</v>
      </c>
      <c r="E192" s="166"/>
      <c r="F192" s="167"/>
      <c r="G192" s="168"/>
    </row>
    <row r="193" customHeight="1" spans="2:7">
      <c r="B193" s="156">
        <v>191</v>
      </c>
      <c r="C193" s="157" t="s">
        <v>215</v>
      </c>
      <c r="D193" s="158" t="s">
        <v>24</v>
      </c>
      <c r="E193" s="166"/>
      <c r="F193" s="167"/>
      <c r="G193" s="168"/>
    </row>
    <row r="194" customHeight="1" spans="2:7">
      <c r="B194" s="156">
        <v>192</v>
      </c>
      <c r="C194" s="157" t="s">
        <v>216</v>
      </c>
      <c r="D194" s="158" t="s">
        <v>24</v>
      </c>
      <c r="E194" s="166"/>
      <c r="F194" s="167"/>
      <c r="G194" s="168"/>
    </row>
    <row r="195" customHeight="1" spans="2:7">
      <c r="B195" s="156">
        <v>193</v>
      </c>
      <c r="C195" s="157" t="s">
        <v>217</v>
      </c>
      <c r="D195" s="158" t="s">
        <v>24</v>
      </c>
      <c r="E195" s="166"/>
      <c r="F195" s="167"/>
      <c r="G195" s="168"/>
    </row>
    <row r="196" customHeight="1" spans="2:7">
      <c r="B196" s="156">
        <v>194</v>
      </c>
      <c r="C196" s="157" t="s">
        <v>217</v>
      </c>
      <c r="D196" s="158" t="s">
        <v>24</v>
      </c>
      <c r="E196" s="166"/>
      <c r="F196" s="167"/>
      <c r="G196" s="168"/>
    </row>
    <row r="197" customHeight="1" spans="2:7">
      <c r="B197" s="156">
        <v>195</v>
      </c>
      <c r="C197" s="157" t="s">
        <v>207</v>
      </c>
      <c r="D197" s="158" t="s">
        <v>24</v>
      </c>
      <c r="E197" s="166"/>
      <c r="F197" s="167"/>
      <c r="G197" s="168"/>
    </row>
    <row r="198" customHeight="1" spans="2:7">
      <c r="B198" s="156">
        <v>196</v>
      </c>
      <c r="C198" s="157" t="s">
        <v>218</v>
      </c>
      <c r="D198" s="158" t="s">
        <v>24</v>
      </c>
      <c r="E198" s="166"/>
      <c r="F198" s="167"/>
      <c r="G198" s="168"/>
    </row>
    <row r="199" customHeight="1" spans="2:7">
      <c r="B199" s="156">
        <v>197</v>
      </c>
      <c r="C199" s="157" t="s">
        <v>219</v>
      </c>
      <c r="D199" s="158" t="s">
        <v>24</v>
      </c>
      <c r="E199" s="166"/>
      <c r="F199" s="167"/>
      <c r="G199" s="168"/>
    </row>
    <row r="200" customHeight="1" spans="2:7">
      <c r="B200" s="156">
        <v>198</v>
      </c>
      <c r="C200" s="157" t="s">
        <v>220</v>
      </c>
      <c r="D200" s="158" t="s">
        <v>24</v>
      </c>
      <c r="E200" s="166"/>
      <c r="F200" s="167"/>
      <c r="G200" s="168"/>
    </row>
    <row r="201" customHeight="1" spans="2:7">
      <c r="B201" s="156">
        <v>199</v>
      </c>
      <c r="C201" s="157" t="s">
        <v>221</v>
      </c>
      <c r="D201" s="158" t="s">
        <v>24</v>
      </c>
      <c r="E201" s="166"/>
      <c r="F201" s="167"/>
      <c r="G201" s="168"/>
    </row>
    <row r="202" customHeight="1" spans="2:7">
      <c r="B202" s="156">
        <v>200</v>
      </c>
      <c r="C202" s="157" t="s">
        <v>221</v>
      </c>
      <c r="D202" s="158" t="s">
        <v>24</v>
      </c>
      <c r="E202" s="166"/>
      <c r="F202" s="167"/>
      <c r="G202" s="168"/>
    </row>
    <row r="203" customHeight="1" spans="2:7">
      <c r="B203" s="156">
        <v>201</v>
      </c>
      <c r="C203" s="157" t="s">
        <v>222</v>
      </c>
      <c r="D203" s="158" t="s">
        <v>24</v>
      </c>
      <c r="E203" s="166"/>
      <c r="F203" s="167"/>
      <c r="G203" s="168"/>
    </row>
    <row r="204" customHeight="1" spans="2:7">
      <c r="B204" s="156">
        <v>202</v>
      </c>
      <c r="C204" s="157" t="s">
        <v>223</v>
      </c>
      <c r="D204" s="158" t="s">
        <v>24</v>
      </c>
      <c r="E204" s="166"/>
      <c r="F204" s="167"/>
      <c r="G204" s="168"/>
    </row>
    <row r="205" customHeight="1" spans="2:7">
      <c r="B205" s="156">
        <v>203</v>
      </c>
      <c r="C205" s="157" t="s">
        <v>224</v>
      </c>
      <c r="D205" s="158" t="s">
        <v>24</v>
      </c>
      <c r="E205" s="166"/>
      <c r="F205" s="167"/>
      <c r="G205" s="168"/>
    </row>
    <row r="206" customHeight="1" spans="2:7">
      <c r="B206" s="156">
        <v>204</v>
      </c>
      <c r="C206" s="157" t="s">
        <v>225</v>
      </c>
      <c r="D206" s="158" t="s">
        <v>24</v>
      </c>
      <c r="E206" s="166"/>
      <c r="F206" s="167"/>
      <c r="G206" s="168"/>
    </row>
    <row r="207" customHeight="1" spans="2:7">
      <c r="B207" s="156">
        <v>205</v>
      </c>
      <c r="C207" s="157" t="s">
        <v>226</v>
      </c>
      <c r="D207" s="158" t="s">
        <v>24</v>
      </c>
      <c r="E207" s="166"/>
      <c r="F207" s="167"/>
      <c r="G207" s="168"/>
    </row>
    <row r="208" customHeight="1" spans="2:7">
      <c r="B208" s="156">
        <v>206</v>
      </c>
      <c r="C208" s="157" t="s">
        <v>227</v>
      </c>
      <c r="D208" s="158" t="s">
        <v>24</v>
      </c>
      <c r="E208" s="166"/>
      <c r="F208" s="167"/>
      <c r="G208" s="168"/>
    </row>
    <row r="209" customHeight="1" spans="2:7">
      <c r="B209" s="156">
        <v>207</v>
      </c>
      <c r="C209" s="157" t="s">
        <v>227</v>
      </c>
      <c r="D209" s="158" t="s">
        <v>24</v>
      </c>
      <c r="E209" s="166"/>
      <c r="F209" s="167"/>
      <c r="G209" s="168"/>
    </row>
    <row r="210" customHeight="1" spans="2:7">
      <c r="B210" s="156">
        <v>208</v>
      </c>
      <c r="C210" s="157" t="s">
        <v>228</v>
      </c>
      <c r="D210" s="158" t="s">
        <v>24</v>
      </c>
      <c r="E210" s="166"/>
      <c r="F210" s="167"/>
      <c r="G210" s="168"/>
    </row>
    <row r="211" customHeight="1" spans="2:7">
      <c r="B211" s="156">
        <v>209</v>
      </c>
      <c r="C211" s="157" t="s">
        <v>229</v>
      </c>
      <c r="D211" s="158" t="s">
        <v>24</v>
      </c>
      <c r="E211" s="166"/>
      <c r="F211" s="167"/>
      <c r="G211" s="168"/>
    </row>
    <row r="212" customHeight="1" spans="2:7">
      <c r="B212" s="156">
        <v>210</v>
      </c>
      <c r="C212" s="157" t="s">
        <v>161</v>
      </c>
      <c r="D212" s="158" t="s">
        <v>24</v>
      </c>
      <c r="E212" s="166"/>
      <c r="F212" s="167"/>
      <c r="G212" s="168"/>
    </row>
    <row r="213" customHeight="1" spans="2:7">
      <c r="B213" s="156">
        <v>211</v>
      </c>
      <c r="C213" s="157" t="s">
        <v>230</v>
      </c>
      <c r="D213" s="158" t="s">
        <v>24</v>
      </c>
      <c r="E213" s="166"/>
      <c r="F213" s="167"/>
      <c r="G213" s="168"/>
    </row>
    <row r="214" customHeight="1" spans="2:7">
      <c r="B214" s="156">
        <v>212</v>
      </c>
      <c r="C214" s="157" t="s">
        <v>231</v>
      </c>
      <c r="D214" s="158" t="s">
        <v>24</v>
      </c>
      <c r="E214" s="166"/>
      <c r="F214" s="167"/>
      <c r="G214" s="168"/>
    </row>
    <row r="215" customHeight="1" spans="2:7">
      <c r="B215" s="156">
        <v>213</v>
      </c>
      <c r="C215" s="157" t="s">
        <v>232</v>
      </c>
      <c r="D215" s="158" t="s">
        <v>24</v>
      </c>
      <c r="E215" s="166"/>
      <c r="F215" s="167"/>
      <c r="G215" s="168"/>
    </row>
    <row r="216" customHeight="1" spans="2:7">
      <c r="B216" s="156">
        <v>214</v>
      </c>
      <c r="C216" s="157" t="s">
        <v>233</v>
      </c>
      <c r="D216" s="158" t="s">
        <v>24</v>
      </c>
      <c r="E216" s="166"/>
      <c r="F216" s="167"/>
      <c r="G216" s="168"/>
    </row>
    <row r="217" customHeight="1" spans="2:7">
      <c r="B217" s="156">
        <v>215</v>
      </c>
      <c r="C217" s="157" t="s">
        <v>221</v>
      </c>
      <c r="D217" s="158" t="s">
        <v>24</v>
      </c>
      <c r="E217" s="166"/>
      <c r="F217" s="167"/>
      <c r="G217" s="168"/>
    </row>
    <row r="218" customHeight="1" spans="2:7">
      <c r="B218" s="156">
        <v>216</v>
      </c>
      <c r="C218" s="157" t="s">
        <v>164</v>
      </c>
      <c r="D218" s="158" t="s">
        <v>24</v>
      </c>
      <c r="E218" s="166"/>
      <c r="F218" s="167"/>
      <c r="G218" s="168"/>
    </row>
    <row r="219" customHeight="1" spans="2:7">
      <c r="B219" s="156">
        <v>217</v>
      </c>
      <c r="C219" s="157" t="s">
        <v>234</v>
      </c>
      <c r="D219" s="158" t="s">
        <v>24</v>
      </c>
      <c r="E219" s="166"/>
      <c r="F219" s="167"/>
      <c r="G219" s="168"/>
    </row>
    <row r="220" customHeight="1" spans="2:7">
      <c r="B220" s="156">
        <v>218</v>
      </c>
      <c r="C220" s="157" t="s">
        <v>235</v>
      </c>
      <c r="D220" s="158" t="s">
        <v>24</v>
      </c>
      <c r="E220" s="166"/>
      <c r="F220" s="167"/>
      <c r="G220" s="168"/>
    </row>
    <row r="221" customHeight="1" spans="2:7">
      <c r="B221" s="156">
        <v>219</v>
      </c>
      <c r="C221" s="157" t="s">
        <v>236</v>
      </c>
      <c r="D221" s="158" t="s">
        <v>24</v>
      </c>
      <c r="E221" s="166"/>
      <c r="F221" s="167"/>
      <c r="G221" s="168"/>
    </row>
    <row r="222" customHeight="1" spans="2:7">
      <c r="B222" s="156">
        <v>220</v>
      </c>
      <c r="C222" s="157" t="s">
        <v>222</v>
      </c>
      <c r="D222" s="158" t="s">
        <v>24</v>
      </c>
      <c r="E222" s="166"/>
      <c r="F222" s="167"/>
      <c r="G222" s="168"/>
    </row>
    <row r="223" customHeight="1" spans="2:7">
      <c r="B223" s="156">
        <v>221</v>
      </c>
      <c r="C223" s="157" t="s">
        <v>237</v>
      </c>
      <c r="D223" s="158" t="s">
        <v>24</v>
      </c>
      <c r="E223" s="166"/>
      <c r="F223" s="167"/>
      <c r="G223" s="168"/>
    </row>
    <row r="224" customHeight="1" spans="2:7">
      <c r="B224" s="156">
        <v>222</v>
      </c>
      <c r="C224" s="157" t="s">
        <v>238</v>
      </c>
      <c r="D224" s="158" t="s">
        <v>24</v>
      </c>
      <c r="E224" s="166"/>
      <c r="F224" s="167"/>
      <c r="G224" s="168"/>
    </row>
    <row r="225" customHeight="1" spans="2:7">
      <c r="B225" s="156">
        <v>223</v>
      </c>
      <c r="C225" s="157" t="s">
        <v>239</v>
      </c>
      <c r="D225" s="158" t="s">
        <v>24</v>
      </c>
      <c r="E225" s="166"/>
      <c r="F225" s="167"/>
      <c r="G225" s="168"/>
    </row>
    <row r="226" customHeight="1" spans="2:7">
      <c r="B226" s="156">
        <v>224</v>
      </c>
      <c r="C226" s="157" t="s">
        <v>240</v>
      </c>
      <c r="D226" s="158" t="s">
        <v>24</v>
      </c>
      <c r="E226" s="166"/>
      <c r="F226" s="167"/>
      <c r="G226" s="168"/>
    </row>
    <row r="227" customHeight="1" spans="2:7">
      <c r="B227" s="156">
        <v>225</v>
      </c>
      <c r="C227" s="157" t="s">
        <v>241</v>
      </c>
      <c r="D227" s="158" t="s">
        <v>24</v>
      </c>
      <c r="E227" s="166"/>
      <c r="F227" s="167"/>
      <c r="G227" s="168"/>
    </row>
    <row r="228" customHeight="1" spans="2:7">
      <c r="B228" s="156">
        <v>226</v>
      </c>
      <c r="C228" s="157" t="s">
        <v>242</v>
      </c>
      <c r="D228" s="158" t="s">
        <v>24</v>
      </c>
      <c r="E228" s="166"/>
      <c r="F228" s="167"/>
      <c r="G228" s="168"/>
    </row>
    <row r="229" customHeight="1" spans="2:7">
      <c r="B229" s="156">
        <v>227</v>
      </c>
      <c r="C229" s="157" t="s">
        <v>240</v>
      </c>
      <c r="D229" s="158" t="s">
        <v>24</v>
      </c>
      <c r="E229" s="166"/>
      <c r="F229" s="167"/>
      <c r="G229" s="168"/>
    </row>
    <row r="230" customHeight="1" spans="2:7">
      <c r="B230" s="156">
        <v>228</v>
      </c>
      <c r="C230" s="157" t="s">
        <v>243</v>
      </c>
      <c r="D230" s="158" t="s">
        <v>154</v>
      </c>
      <c r="E230" s="166"/>
      <c r="F230" s="167"/>
      <c r="G230" s="168"/>
    </row>
    <row r="231" customHeight="1" spans="2:7">
      <c r="B231" s="156">
        <v>229</v>
      </c>
      <c r="C231" s="157" t="s">
        <v>244</v>
      </c>
      <c r="D231" s="158" t="s">
        <v>186</v>
      </c>
      <c r="E231" s="166"/>
      <c r="F231" s="167"/>
      <c r="G231" s="168"/>
    </row>
    <row r="232" customHeight="1" spans="2:7">
      <c r="B232" s="156">
        <v>230</v>
      </c>
      <c r="C232" s="157" t="s">
        <v>245</v>
      </c>
      <c r="D232" s="158" t="s">
        <v>24</v>
      </c>
      <c r="E232" s="166"/>
      <c r="F232" s="167"/>
      <c r="G232" s="168"/>
    </row>
    <row r="233" customHeight="1" spans="2:7">
      <c r="B233" s="156">
        <v>231</v>
      </c>
      <c r="C233" s="157" t="s">
        <v>246</v>
      </c>
      <c r="D233" s="158" t="s">
        <v>24</v>
      </c>
      <c r="E233" s="166"/>
      <c r="F233" s="167"/>
      <c r="G233" s="168"/>
    </row>
    <row r="234" customHeight="1" spans="2:7">
      <c r="B234" s="156">
        <v>232</v>
      </c>
      <c r="C234" s="157" t="s">
        <v>247</v>
      </c>
      <c r="D234" s="158" t="s">
        <v>128</v>
      </c>
      <c r="E234" s="166"/>
      <c r="F234" s="167"/>
      <c r="G234" s="168"/>
    </row>
    <row r="235" customHeight="1" spans="2:7">
      <c r="B235" s="156">
        <v>233</v>
      </c>
      <c r="C235" s="157" t="s">
        <v>248</v>
      </c>
      <c r="D235" s="158" t="s">
        <v>58</v>
      </c>
      <c r="E235" s="166"/>
      <c r="F235" s="167"/>
      <c r="G235" s="168"/>
    </row>
    <row r="236" customHeight="1" spans="2:7">
      <c r="B236" s="156">
        <v>234</v>
      </c>
      <c r="C236" s="157" t="s">
        <v>249</v>
      </c>
      <c r="D236" s="158" t="s">
        <v>58</v>
      </c>
      <c r="E236" s="166"/>
      <c r="F236" s="167"/>
      <c r="G236" s="168"/>
    </row>
    <row r="237" customHeight="1" spans="2:7">
      <c r="B237" s="156">
        <v>235</v>
      </c>
      <c r="C237" s="157" t="s">
        <v>250</v>
      </c>
      <c r="D237" s="158" t="s">
        <v>251</v>
      </c>
      <c r="E237" s="166"/>
      <c r="F237" s="167"/>
      <c r="G237" s="168"/>
    </row>
    <row r="238" customHeight="1" spans="2:7">
      <c r="B238" s="156">
        <v>236</v>
      </c>
      <c r="C238" s="157" t="s">
        <v>252</v>
      </c>
      <c r="D238" s="158" t="s">
        <v>24</v>
      </c>
      <c r="E238" s="166"/>
      <c r="F238" s="167"/>
      <c r="G238" s="168"/>
    </row>
    <row r="239" customHeight="1" spans="2:7">
      <c r="B239" s="156">
        <v>237</v>
      </c>
      <c r="C239" s="157" t="s">
        <v>253</v>
      </c>
      <c r="D239" s="158" t="s">
        <v>179</v>
      </c>
      <c r="E239" s="166"/>
      <c r="F239" s="167"/>
      <c r="G239" s="168"/>
    </row>
    <row r="240" customHeight="1" spans="2:7">
      <c r="B240" s="156">
        <v>238</v>
      </c>
      <c r="C240" s="157" t="s">
        <v>254</v>
      </c>
      <c r="D240" s="158" t="s">
        <v>24</v>
      </c>
      <c r="E240" s="166"/>
      <c r="F240" s="167"/>
      <c r="G240" s="168"/>
    </row>
    <row r="241" customHeight="1" spans="2:7">
      <c r="B241" s="168"/>
      <c r="C241" s="157" t="s">
        <v>255</v>
      </c>
      <c r="D241" s="158" t="s">
        <v>128</v>
      </c>
      <c r="E241" s="166"/>
      <c r="F241" s="167"/>
      <c r="G241" s="168"/>
    </row>
    <row r="242" customHeight="1" spans="2:7">
      <c r="B242" s="168"/>
      <c r="C242" s="166" t="s">
        <v>256</v>
      </c>
      <c r="D242" s="158" t="s">
        <v>90</v>
      </c>
      <c r="E242" s="166"/>
      <c r="F242" s="167"/>
      <c r="G242" s="168"/>
    </row>
    <row r="243" customHeight="1" spans="2:7">
      <c r="B243" s="168"/>
      <c r="C243" s="166" t="s">
        <v>257</v>
      </c>
      <c r="D243" s="158" t="s">
        <v>24</v>
      </c>
      <c r="E243" s="166"/>
      <c r="F243" s="167"/>
      <c r="G243" s="168"/>
    </row>
    <row r="244" customHeight="1" spans="2:7">
      <c r="B244" s="168"/>
      <c r="C244" s="166"/>
      <c r="D244" s="158"/>
      <c r="E244" s="166"/>
      <c r="F244" s="167"/>
      <c r="G244" s="168"/>
    </row>
    <row r="245" customHeight="1" spans="2:7">
      <c r="B245" s="168"/>
      <c r="C245" s="166"/>
      <c r="D245" s="158"/>
      <c r="E245" s="166"/>
      <c r="F245" s="167"/>
      <c r="G245" s="168"/>
    </row>
    <row r="246" customHeight="1" spans="2:7">
      <c r="B246" s="168"/>
      <c r="C246" s="166"/>
      <c r="D246" s="158"/>
      <c r="E246" s="166"/>
      <c r="F246" s="167"/>
      <c r="G246" s="168"/>
    </row>
    <row r="247" customHeight="1" spans="2:7">
      <c r="B247" s="168"/>
      <c r="C247" s="166"/>
      <c r="D247" s="158"/>
      <c r="E247" s="166"/>
      <c r="F247" s="167"/>
      <c r="G247" s="168"/>
    </row>
    <row r="248" customHeight="1" spans="2:7">
      <c r="B248" s="168"/>
      <c r="C248" s="166"/>
      <c r="D248" s="158"/>
      <c r="E248" s="166"/>
      <c r="F248" s="167"/>
      <c r="G248" s="168"/>
    </row>
    <row r="249" customHeight="1" spans="2:7">
      <c r="B249" s="168"/>
      <c r="C249" s="166"/>
      <c r="D249" s="158"/>
      <c r="E249" s="166"/>
      <c r="F249" s="167"/>
      <c r="G249" s="168"/>
    </row>
    <row r="250" customHeight="1" spans="2:7">
      <c r="B250" s="168"/>
      <c r="C250" s="166"/>
      <c r="D250" s="158"/>
      <c r="E250" s="166"/>
      <c r="F250" s="167"/>
      <c r="G250" s="168"/>
    </row>
    <row r="251" customHeight="1" spans="2:7">
      <c r="B251" s="168"/>
      <c r="C251" s="166"/>
      <c r="D251" s="158"/>
      <c r="E251" s="166"/>
      <c r="F251" s="167"/>
      <c r="G251" s="168"/>
    </row>
    <row r="252" customHeight="1" spans="2:7">
      <c r="B252" s="168"/>
      <c r="C252" s="166"/>
      <c r="D252" s="158"/>
      <c r="E252" s="166"/>
      <c r="F252" s="167"/>
      <c r="G252" s="168"/>
    </row>
    <row r="253" customHeight="1" spans="2:7">
      <c r="B253" s="168"/>
      <c r="C253" s="166"/>
      <c r="D253" s="158"/>
      <c r="E253" s="166"/>
      <c r="F253" s="167"/>
      <c r="G253" s="168"/>
    </row>
    <row r="254" customHeight="1" spans="2:7">
      <c r="B254" s="168"/>
      <c r="C254" s="166"/>
      <c r="D254" s="158"/>
      <c r="E254" s="166"/>
      <c r="F254" s="167"/>
      <c r="G254" s="168"/>
    </row>
    <row r="255" customHeight="1" spans="2:7">
      <c r="B255" s="168"/>
      <c r="C255" s="166"/>
      <c r="D255" s="158"/>
      <c r="E255" s="166"/>
      <c r="F255" s="167"/>
      <c r="G255" s="168"/>
    </row>
    <row r="256" customHeight="1" spans="2:7">
      <c r="B256" s="168"/>
      <c r="C256" s="166"/>
      <c r="D256" s="158"/>
      <c r="E256" s="166"/>
      <c r="F256" s="167"/>
      <c r="G256" s="168"/>
    </row>
    <row r="257" customHeight="1" spans="2:7">
      <c r="B257" s="168"/>
      <c r="C257" s="166"/>
      <c r="D257" s="158"/>
      <c r="E257" s="166"/>
      <c r="F257" s="167"/>
      <c r="G257" s="168"/>
    </row>
    <row r="258" customHeight="1" spans="2:7">
      <c r="B258" s="168"/>
      <c r="C258" s="166"/>
      <c r="D258" s="158"/>
      <c r="E258" s="166"/>
      <c r="F258" s="167"/>
      <c r="G258" s="168"/>
    </row>
    <row r="259" customHeight="1" spans="2:7">
      <c r="B259" s="168"/>
      <c r="C259" s="166"/>
      <c r="D259" s="158"/>
      <c r="E259" s="166"/>
      <c r="F259" s="167"/>
      <c r="G259" s="168"/>
    </row>
    <row r="260" customHeight="1" spans="2:7">
      <c r="B260" s="168"/>
      <c r="C260" s="166"/>
      <c r="D260" s="158"/>
      <c r="E260" s="166"/>
      <c r="F260" s="167"/>
      <c r="G260" s="168"/>
    </row>
    <row r="261" customHeight="1" spans="2:7">
      <c r="B261" s="168"/>
      <c r="C261" s="166"/>
      <c r="D261" s="158"/>
      <c r="E261" s="166"/>
      <c r="F261" s="167"/>
      <c r="G261" s="168"/>
    </row>
    <row r="262" customHeight="1" spans="2:7">
      <c r="B262" s="168"/>
      <c r="C262" s="166"/>
      <c r="D262" s="158"/>
      <c r="E262" s="166"/>
      <c r="F262" s="167"/>
      <c r="G262" s="168"/>
    </row>
    <row r="263" customHeight="1" spans="2:7">
      <c r="B263" s="168"/>
      <c r="C263" s="166"/>
      <c r="D263" s="158"/>
      <c r="E263" s="166"/>
      <c r="F263" s="167"/>
      <c r="G263" s="168"/>
    </row>
    <row r="264" customHeight="1" spans="2:7">
      <c r="B264" s="168"/>
      <c r="C264" s="166"/>
      <c r="D264" s="158"/>
      <c r="E264" s="166"/>
      <c r="F264" s="167"/>
      <c r="G264" s="168"/>
    </row>
    <row r="265" customHeight="1" spans="2:7">
      <c r="B265" s="168"/>
      <c r="C265" s="166"/>
      <c r="D265" s="158"/>
      <c r="E265" s="166"/>
      <c r="F265" s="167"/>
      <c r="G265" s="168"/>
    </row>
    <row r="266" customHeight="1" spans="2:7">
      <c r="B266" s="168"/>
      <c r="C266" s="166"/>
      <c r="D266" s="158"/>
      <c r="E266" s="166"/>
      <c r="F266" s="167"/>
      <c r="G266" s="168"/>
    </row>
    <row r="267" customHeight="1" spans="2:7">
      <c r="B267" s="168"/>
      <c r="C267" s="166"/>
      <c r="D267" s="158"/>
      <c r="E267" s="166"/>
      <c r="F267" s="167"/>
      <c r="G267" s="168"/>
    </row>
    <row r="268" customHeight="1" spans="2:7">
      <c r="B268" s="168"/>
      <c r="C268" s="166"/>
      <c r="D268" s="158"/>
      <c r="E268" s="166"/>
      <c r="F268" s="167"/>
      <c r="G268" s="168"/>
    </row>
    <row r="269" customHeight="1" spans="2:7">
      <c r="B269" s="168"/>
      <c r="C269" s="166"/>
      <c r="D269" s="168"/>
      <c r="E269" s="166"/>
      <c r="F269" s="167"/>
      <c r="G269" s="168"/>
    </row>
    <row r="270" customHeight="1" spans="2:7">
      <c r="B270" s="168"/>
      <c r="C270" s="166"/>
      <c r="D270" s="168"/>
      <c r="E270" s="166"/>
      <c r="F270" s="167"/>
      <c r="G270" s="168"/>
    </row>
    <row r="271" customHeight="1" spans="2:7">
      <c r="B271" s="168"/>
      <c r="C271" s="166"/>
      <c r="D271" s="168"/>
      <c r="E271" s="166"/>
      <c r="F271" s="167"/>
      <c r="G271" s="168"/>
    </row>
    <row r="272" customHeight="1" spans="2:7">
      <c r="B272" s="168"/>
      <c r="C272" s="166"/>
      <c r="D272" s="168"/>
      <c r="E272" s="166"/>
      <c r="F272" s="167"/>
      <c r="G272" s="168"/>
    </row>
    <row r="273" customHeight="1" spans="2:7">
      <c r="B273" s="168"/>
      <c r="C273" s="166"/>
      <c r="D273" s="168"/>
      <c r="E273" s="166"/>
      <c r="F273" s="167"/>
      <c r="G273" s="168"/>
    </row>
    <row r="274" customHeight="1" spans="2:7">
      <c r="B274" s="168"/>
      <c r="C274" s="166"/>
      <c r="D274" s="168"/>
      <c r="E274" s="166"/>
      <c r="F274" s="167"/>
      <c r="G274" s="168"/>
    </row>
    <row r="275" customHeight="1" spans="2:7">
      <c r="B275" s="168"/>
      <c r="C275" s="166"/>
      <c r="D275" s="168"/>
      <c r="E275" s="166"/>
      <c r="F275" s="167"/>
      <c r="G275" s="168"/>
    </row>
    <row r="276" customHeight="1" spans="2:7">
      <c r="B276" s="168"/>
      <c r="C276" s="166"/>
      <c r="D276" s="168"/>
      <c r="E276" s="166"/>
      <c r="F276" s="167"/>
      <c r="G276" s="168"/>
    </row>
    <row r="277" customHeight="1" spans="2:7">
      <c r="B277" s="168"/>
      <c r="C277" s="166"/>
      <c r="D277" s="168"/>
      <c r="E277" s="166"/>
      <c r="F277" s="167"/>
      <c r="G277" s="168"/>
    </row>
    <row r="278" customHeight="1" spans="2:7">
      <c r="B278" s="168"/>
      <c r="C278" s="166"/>
      <c r="D278" s="168"/>
      <c r="E278" s="166"/>
      <c r="F278" s="167"/>
      <c r="G278" s="168"/>
    </row>
    <row r="279" customHeight="1" spans="2:7">
      <c r="B279" s="168"/>
      <c r="C279" s="166"/>
      <c r="D279" s="168"/>
      <c r="E279" s="166"/>
      <c r="F279" s="167"/>
      <c r="G279" s="168"/>
    </row>
    <row r="280" customHeight="1" spans="2:7">
      <c r="B280" s="168"/>
      <c r="C280" s="166"/>
      <c r="D280" s="168"/>
      <c r="E280" s="166"/>
      <c r="F280" s="167"/>
      <c r="G280" s="168"/>
    </row>
    <row r="281" customHeight="1" spans="2:7">
      <c r="B281" s="168"/>
      <c r="C281" s="166"/>
      <c r="D281" s="168"/>
      <c r="E281" s="166"/>
      <c r="F281" s="167"/>
      <c r="G281" s="168"/>
    </row>
    <row r="282" customHeight="1" spans="2:7">
      <c r="B282" s="168"/>
      <c r="C282" s="166"/>
      <c r="D282" s="168"/>
      <c r="E282" s="166"/>
      <c r="F282" s="167"/>
      <c r="G282" s="168"/>
    </row>
    <row r="283" customHeight="1" spans="2:7">
      <c r="B283" s="168"/>
      <c r="C283" s="166"/>
      <c r="D283" s="168"/>
      <c r="E283" s="166"/>
      <c r="F283" s="167"/>
      <c r="G283" s="168"/>
    </row>
    <row r="284" customHeight="1" spans="2:7">
      <c r="B284" s="168"/>
      <c r="C284" s="166"/>
      <c r="D284" s="168"/>
      <c r="E284" s="166"/>
      <c r="F284" s="167"/>
      <c r="G284" s="168"/>
    </row>
    <row r="285" customHeight="1" spans="2:7">
      <c r="B285" s="168"/>
      <c r="C285" s="166"/>
      <c r="D285" s="168"/>
      <c r="E285" s="166"/>
      <c r="F285" s="167"/>
      <c r="G285" s="168"/>
    </row>
    <row r="286" customHeight="1" spans="2:7">
      <c r="B286" s="168"/>
      <c r="C286" s="166"/>
      <c r="D286" s="168"/>
      <c r="E286" s="166"/>
      <c r="F286" s="167"/>
      <c r="G286" s="168"/>
    </row>
    <row r="287" customHeight="1" spans="2:7">
      <c r="B287" s="168"/>
      <c r="C287" s="166"/>
      <c r="D287" s="168"/>
      <c r="E287" s="166"/>
      <c r="F287" s="167"/>
      <c r="G287" s="168"/>
    </row>
    <row r="288" customHeight="1" spans="2:7">
      <c r="B288" s="168"/>
      <c r="C288" s="166"/>
      <c r="D288" s="168"/>
      <c r="E288" s="166"/>
      <c r="F288" s="167"/>
      <c r="G288" s="168"/>
    </row>
    <row r="289" customHeight="1" spans="2:7">
      <c r="B289" s="168"/>
      <c r="C289" s="166"/>
      <c r="D289" s="168"/>
      <c r="E289" s="166"/>
      <c r="F289" s="167"/>
      <c r="G289" s="168"/>
    </row>
    <row r="290" customHeight="1" spans="2:7">
      <c r="B290" s="168"/>
      <c r="C290" s="166"/>
      <c r="D290" s="168"/>
      <c r="E290" s="166"/>
      <c r="F290" s="167"/>
      <c r="G290" s="168"/>
    </row>
    <row r="291" customHeight="1" spans="2:7">
      <c r="B291" s="168"/>
      <c r="C291" s="166"/>
      <c r="D291" s="168"/>
      <c r="E291" s="166"/>
      <c r="F291" s="167"/>
      <c r="G291" s="168"/>
    </row>
    <row r="292" customHeight="1" spans="2:7">
      <c r="B292" s="168"/>
      <c r="C292" s="166"/>
      <c r="D292" s="168"/>
      <c r="E292" s="166"/>
      <c r="F292" s="167"/>
      <c r="G292" s="168"/>
    </row>
    <row r="293" customHeight="1" spans="2:7">
      <c r="B293" s="168"/>
      <c r="C293" s="166"/>
      <c r="D293" s="168"/>
      <c r="E293" s="166"/>
      <c r="F293" s="167"/>
      <c r="G293" s="168"/>
    </row>
    <row r="294" customHeight="1" spans="2:7">
      <c r="B294" s="168"/>
      <c r="C294" s="166"/>
      <c r="D294" s="168"/>
      <c r="E294" s="166"/>
      <c r="F294" s="167"/>
      <c r="G294" s="168"/>
    </row>
    <row r="295" customHeight="1" spans="2:7">
      <c r="B295" s="168"/>
      <c r="C295" s="166"/>
      <c r="D295" s="168"/>
      <c r="E295" s="166"/>
      <c r="F295" s="167"/>
      <c r="G295" s="168"/>
    </row>
    <row r="296" customHeight="1" spans="2:7">
      <c r="B296" s="168"/>
      <c r="C296" s="166"/>
      <c r="D296" s="168"/>
      <c r="E296" s="166"/>
      <c r="F296" s="167"/>
      <c r="G296" s="168"/>
    </row>
    <row r="297" customHeight="1" spans="2:7">
      <c r="B297" s="168"/>
      <c r="C297" s="166"/>
      <c r="D297" s="168"/>
      <c r="E297" s="166"/>
      <c r="F297" s="167"/>
      <c r="G297" s="168"/>
    </row>
    <row r="298" customHeight="1" spans="2:7">
      <c r="B298" s="168"/>
      <c r="C298" s="166"/>
      <c r="D298" s="168"/>
      <c r="E298" s="166"/>
      <c r="F298" s="167"/>
      <c r="G298" s="168"/>
    </row>
    <row r="299" customHeight="1" spans="2:7">
      <c r="B299" s="168"/>
      <c r="C299" s="166"/>
      <c r="D299" s="168"/>
      <c r="E299" s="166"/>
      <c r="F299" s="167"/>
      <c r="G299" s="168"/>
    </row>
    <row r="300" customHeight="1" spans="2:7">
      <c r="B300" s="168"/>
      <c r="C300" s="166"/>
      <c r="D300" s="168"/>
      <c r="E300" s="166"/>
      <c r="F300" s="167"/>
      <c r="G300" s="168"/>
    </row>
    <row r="301" customHeight="1" spans="2:7">
      <c r="B301" s="168"/>
      <c r="C301" s="166"/>
      <c r="D301" s="168"/>
      <c r="E301" s="166"/>
      <c r="F301" s="167"/>
      <c r="G301" s="168"/>
    </row>
    <row r="302" customHeight="1" spans="2:7">
      <c r="B302" s="168"/>
      <c r="C302" s="166"/>
      <c r="D302" s="168"/>
      <c r="E302" s="166"/>
      <c r="F302" s="167"/>
      <c r="G302" s="168"/>
    </row>
    <row r="303" customHeight="1" spans="2:7">
      <c r="B303" s="168"/>
      <c r="C303" s="166"/>
      <c r="D303" s="168"/>
      <c r="E303" s="166"/>
      <c r="F303" s="167"/>
      <c r="G303" s="168"/>
    </row>
    <row r="304" customHeight="1" spans="2:7">
      <c r="B304" s="168"/>
      <c r="C304" s="166"/>
      <c r="D304" s="168"/>
      <c r="E304" s="166"/>
      <c r="F304" s="167"/>
      <c r="G304" s="168"/>
    </row>
    <row r="305" customHeight="1" spans="2:7">
      <c r="B305" s="168"/>
      <c r="C305" s="166"/>
      <c r="D305" s="168"/>
      <c r="E305" s="166"/>
      <c r="F305" s="167"/>
      <c r="G305" s="168"/>
    </row>
    <row r="306" customHeight="1" spans="2:7">
      <c r="B306" s="168"/>
      <c r="C306" s="166"/>
      <c r="D306" s="168"/>
      <c r="E306" s="166"/>
      <c r="F306" s="167"/>
      <c r="G306" s="168"/>
    </row>
    <row r="307" customHeight="1" spans="2:7">
      <c r="B307" s="168"/>
      <c r="C307" s="166"/>
      <c r="D307" s="168"/>
      <c r="E307" s="166"/>
      <c r="F307" s="167"/>
      <c r="G307" s="168"/>
    </row>
    <row r="308" customHeight="1" spans="2:7">
      <c r="B308" s="168"/>
      <c r="C308" s="166"/>
      <c r="D308" s="168"/>
      <c r="E308" s="166"/>
      <c r="F308" s="167"/>
      <c r="G308" s="168"/>
    </row>
    <row r="309" customHeight="1" spans="2:7">
      <c r="B309" s="168"/>
      <c r="C309" s="166"/>
      <c r="D309" s="168"/>
      <c r="E309" s="166"/>
      <c r="F309" s="167"/>
      <c r="G309" s="168"/>
    </row>
    <row r="310" customHeight="1" spans="2:7">
      <c r="B310" s="168"/>
      <c r="C310" s="166"/>
      <c r="D310" s="168"/>
      <c r="E310" s="166"/>
      <c r="F310" s="167"/>
      <c r="G310" s="168"/>
    </row>
    <row r="311" customHeight="1" spans="2:7">
      <c r="B311" s="168"/>
      <c r="C311" s="166"/>
      <c r="D311" s="168"/>
      <c r="E311" s="166"/>
      <c r="F311" s="167"/>
      <c r="G311" s="168"/>
    </row>
    <row r="312" customHeight="1" spans="2:7">
      <c r="B312" s="168"/>
      <c r="C312" s="166"/>
      <c r="D312" s="168"/>
      <c r="E312" s="166"/>
      <c r="F312" s="167"/>
      <c r="G312" s="168"/>
    </row>
    <row r="313" customHeight="1" spans="2:7">
      <c r="B313" s="168"/>
      <c r="C313" s="166"/>
      <c r="D313" s="168"/>
      <c r="E313" s="166"/>
      <c r="F313" s="167"/>
      <c r="G313" s="168"/>
    </row>
    <row r="314" customHeight="1" spans="2:7">
      <c r="B314" s="168"/>
      <c r="C314" s="166"/>
      <c r="D314" s="168"/>
      <c r="E314" s="166"/>
      <c r="F314" s="167"/>
      <c r="G314" s="168"/>
    </row>
    <row r="315" customHeight="1" spans="2:7">
      <c r="B315" s="168"/>
      <c r="C315" s="166"/>
      <c r="D315" s="168"/>
      <c r="E315" s="166"/>
      <c r="F315" s="167"/>
      <c r="G315" s="168"/>
    </row>
    <row r="316" customHeight="1" spans="2:7">
      <c r="B316" s="168"/>
      <c r="C316" s="166"/>
      <c r="D316" s="168"/>
      <c r="E316" s="166"/>
      <c r="F316" s="167"/>
      <c r="G316" s="168"/>
    </row>
    <row r="317" customHeight="1" spans="2:7">
      <c r="B317" s="168"/>
      <c r="C317" s="166"/>
      <c r="D317" s="168"/>
      <c r="E317" s="166"/>
      <c r="F317" s="167"/>
      <c r="G317" s="168"/>
    </row>
    <row r="318" customHeight="1" spans="2:7">
      <c r="B318" s="168"/>
      <c r="C318" s="166"/>
      <c r="D318" s="168"/>
      <c r="E318" s="166"/>
      <c r="F318" s="167"/>
      <c r="G318" s="168"/>
    </row>
    <row r="319" customHeight="1" spans="2:7">
      <c r="B319" s="168"/>
      <c r="C319" s="166"/>
      <c r="D319" s="168"/>
      <c r="E319" s="166"/>
      <c r="F319" s="167"/>
      <c r="G319" s="168"/>
    </row>
    <row r="320" customHeight="1" spans="2:7">
      <c r="B320" s="168"/>
      <c r="C320" s="166"/>
      <c r="D320" s="168"/>
      <c r="E320" s="166"/>
      <c r="F320" s="167"/>
      <c r="G320" s="168"/>
    </row>
    <row r="321" customHeight="1" spans="2:7">
      <c r="B321" s="168"/>
      <c r="C321" s="166"/>
      <c r="D321" s="168"/>
      <c r="E321" s="166"/>
      <c r="F321" s="167"/>
      <c r="G321" s="168"/>
    </row>
    <row r="322" customHeight="1" spans="2:7">
      <c r="B322" s="168"/>
      <c r="C322" s="166"/>
      <c r="D322" s="168"/>
      <c r="E322" s="166"/>
      <c r="F322" s="167"/>
      <c r="G322" s="168"/>
    </row>
    <row r="323" customHeight="1" spans="2:7">
      <c r="B323" s="168"/>
      <c r="C323" s="166"/>
      <c r="D323" s="168"/>
      <c r="E323" s="166"/>
      <c r="F323" s="167"/>
      <c r="G323" s="168"/>
    </row>
    <row r="324" customHeight="1" spans="2:7">
      <c r="B324" s="168"/>
      <c r="C324" s="166"/>
      <c r="D324" s="168"/>
      <c r="E324" s="166"/>
      <c r="F324" s="167"/>
      <c r="G324" s="168"/>
    </row>
    <row r="325" customHeight="1" spans="2:7">
      <c r="B325" s="168"/>
      <c r="C325" s="166"/>
      <c r="D325" s="168"/>
      <c r="E325" s="166"/>
      <c r="F325" s="167"/>
      <c r="G325" s="168"/>
    </row>
    <row r="326" customHeight="1" spans="2:7">
      <c r="B326" s="168"/>
      <c r="C326" s="166"/>
      <c r="D326" s="168"/>
      <c r="E326" s="166"/>
      <c r="F326" s="167"/>
      <c r="G326" s="168"/>
    </row>
    <row r="327" customHeight="1" spans="2:7">
      <c r="B327" s="168"/>
      <c r="C327" s="166"/>
      <c r="D327" s="168"/>
      <c r="E327" s="166"/>
      <c r="F327" s="167"/>
      <c r="G327" s="168"/>
    </row>
    <row r="328" customHeight="1" spans="2:7">
      <c r="B328" s="168"/>
      <c r="C328" s="166"/>
      <c r="D328" s="168"/>
      <c r="E328" s="166"/>
      <c r="F328" s="167"/>
      <c r="G328" s="168"/>
    </row>
    <row r="329" customHeight="1" spans="2:7">
      <c r="B329" s="168"/>
      <c r="C329" s="166"/>
      <c r="D329" s="168"/>
      <c r="E329" s="166"/>
      <c r="F329" s="167"/>
      <c r="G329" s="168"/>
    </row>
    <row r="330" customHeight="1" spans="2:7">
      <c r="B330" s="168"/>
      <c r="C330" s="166"/>
      <c r="D330" s="168"/>
      <c r="E330" s="166"/>
      <c r="F330" s="167"/>
      <c r="G330" s="168"/>
    </row>
    <row r="331" customHeight="1" spans="2:7">
      <c r="B331" s="168"/>
      <c r="C331" s="166"/>
      <c r="D331" s="168"/>
      <c r="E331" s="166"/>
      <c r="F331" s="167"/>
      <c r="G331" s="168"/>
    </row>
    <row r="332" customHeight="1" spans="2:7">
      <c r="B332" s="168"/>
      <c r="C332" s="166"/>
      <c r="D332" s="168"/>
      <c r="E332" s="166"/>
      <c r="F332" s="167"/>
      <c r="G332" s="168"/>
    </row>
    <row r="333" customHeight="1" spans="2:7">
      <c r="B333" s="168"/>
      <c r="C333" s="166"/>
      <c r="D333" s="168"/>
      <c r="E333" s="166"/>
      <c r="F333" s="167"/>
      <c r="G333" s="168"/>
    </row>
    <row r="334" customHeight="1" spans="2:7">
      <c r="B334" s="168"/>
      <c r="C334" s="166"/>
      <c r="D334" s="168"/>
      <c r="E334" s="166"/>
      <c r="F334" s="167"/>
      <c r="G334" s="168"/>
    </row>
    <row r="335" customHeight="1" spans="2:7">
      <c r="B335" s="168"/>
      <c r="C335" s="166"/>
      <c r="D335" s="168"/>
      <c r="E335" s="166"/>
      <c r="F335" s="167"/>
      <c r="G335" s="168"/>
    </row>
    <row r="336" customHeight="1" spans="2:7">
      <c r="B336" s="168"/>
      <c r="C336" s="166"/>
      <c r="D336" s="168"/>
      <c r="E336" s="166"/>
      <c r="F336" s="167"/>
      <c r="G336" s="168"/>
    </row>
    <row r="337" customHeight="1" spans="2:7">
      <c r="B337" s="168"/>
      <c r="C337" s="166"/>
      <c r="D337" s="168"/>
      <c r="E337" s="166"/>
      <c r="F337" s="167"/>
      <c r="G337" s="168"/>
    </row>
    <row r="338" customHeight="1" spans="2:7">
      <c r="B338" s="168"/>
      <c r="C338" s="166"/>
      <c r="D338" s="168"/>
      <c r="E338" s="166"/>
      <c r="F338" s="167"/>
      <c r="G338" s="168"/>
    </row>
    <row r="339" customHeight="1" spans="2:7">
      <c r="B339" s="168"/>
      <c r="C339" s="166"/>
      <c r="D339" s="168"/>
      <c r="E339" s="166"/>
      <c r="F339" s="167"/>
      <c r="G339" s="168"/>
    </row>
    <row r="340" customHeight="1" spans="2:7">
      <c r="B340" s="168"/>
      <c r="C340" s="166"/>
      <c r="D340" s="168"/>
      <c r="E340" s="166"/>
      <c r="F340" s="167"/>
      <c r="G340" s="168"/>
    </row>
    <row r="341" customHeight="1" spans="2:7">
      <c r="B341" s="168"/>
      <c r="C341" s="166"/>
      <c r="D341" s="168"/>
      <c r="E341" s="166"/>
      <c r="F341" s="167"/>
      <c r="G341" s="168"/>
    </row>
    <row r="342" customHeight="1" spans="2:7">
      <c r="B342" s="168"/>
      <c r="C342" s="166"/>
      <c r="D342" s="168"/>
      <c r="E342" s="166"/>
      <c r="F342" s="167"/>
      <c r="G342" s="168"/>
    </row>
    <row r="343" customHeight="1" spans="2:7">
      <c r="B343" s="168"/>
      <c r="C343" s="166"/>
      <c r="D343" s="168"/>
      <c r="E343" s="166"/>
      <c r="F343" s="167"/>
      <c r="G343" s="168"/>
    </row>
    <row r="344" customHeight="1" spans="2:7">
      <c r="B344" s="168"/>
      <c r="C344" s="166"/>
      <c r="D344" s="168"/>
      <c r="E344" s="166"/>
      <c r="F344" s="167"/>
      <c r="G344" s="168"/>
    </row>
    <row r="345" customHeight="1" spans="2:7">
      <c r="B345" s="168"/>
      <c r="C345" s="166"/>
      <c r="D345" s="168"/>
      <c r="E345" s="166"/>
      <c r="F345" s="167"/>
      <c r="G345" s="168"/>
    </row>
    <row r="346" customHeight="1" spans="2:7">
      <c r="B346" s="168"/>
      <c r="C346" s="166"/>
      <c r="D346" s="168"/>
      <c r="E346" s="166"/>
      <c r="F346" s="167"/>
      <c r="G346" s="168"/>
    </row>
    <row r="347" customHeight="1" spans="2:7">
      <c r="B347" s="168"/>
      <c r="C347" s="166"/>
      <c r="D347" s="168"/>
      <c r="E347" s="166"/>
      <c r="F347" s="167"/>
      <c r="G347" s="168"/>
    </row>
    <row r="348" customHeight="1" spans="2:7">
      <c r="B348" s="168"/>
      <c r="C348" s="166"/>
      <c r="D348" s="168"/>
      <c r="E348" s="166"/>
      <c r="F348" s="167"/>
      <c r="G348" s="168"/>
    </row>
    <row r="349" customHeight="1" spans="2:7">
      <c r="B349" s="168"/>
      <c r="C349" s="166"/>
      <c r="D349" s="168"/>
      <c r="E349" s="166"/>
      <c r="F349" s="167"/>
      <c r="G349" s="168"/>
    </row>
    <row r="350" customHeight="1" spans="2:7">
      <c r="B350" s="168"/>
      <c r="C350" s="166"/>
      <c r="D350" s="168"/>
      <c r="E350" s="166"/>
      <c r="F350" s="167"/>
      <c r="G350" s="168"/>
    </row>
    <row r="351" customHeight="1" spans="2:7">
      <c r="B351" s="168"/>
      <c r="C351" s="166"/>
      <c r="D351" s="168"/>
      <c r="E351" s="166"/>
      <c r="F351" s="167"/>
      <c r="G351" s="168"/>
    </row>
    <row r="352" customHeight="1" spans="2:7">
      <c r="B352" s="168"/>
      <c r="C352" s="166"/>
      <c r="D352" s="168"/>
      <c r="E352" s="166"/>
      <c r="F352" s="167"/>
      <c r="G352" s="168"/>
    </row>
    <row r="353" customHeight="1" spans="2:7">
      <c r="B353" s="168"/>
      <c r="C353" s="166"/>
      <c r="D353" s="168"/>
      <c r="E353" s="166"/>
      <c r="F353" s="167"/>
      <c r="G353" s="168"/>
    </row>
    <row r="354" customHeight="1" spans="2:7">
      <c r="B354" s="168"/>
      <c r="C354" s="166"/>
      <c r="D354" s="168"/>
      <c r="E354" s="166"/>
      <c r="F354" s="167"/>
      <c r="G354" s="168"/>
    </row>
    <row r="355" customHeight="1" spans="2:7">
      <c r="B355" s="168"/>
      <c r="C355" s="166"/>
      <c r="D355" s="168"/>
      <c r="E355" s="166"/>
      <c r="F355" s="167"/>
      <c r="G355" s="168"/>
    </row>
    <row r="356" customHeight="1" spans="2:7">
      <c r="B356" s="168"/>
      <c r="C356" s="166"/>
      <c r="D356" s="168"/>
      <c r="E356" s="166"/>
      <c r="F356" s="167"/>
      <c r="G356" s="168"/>
    </row>
    <row r="357" customHeight="1" spans="2:7">
      <c r="B357" s="168"/>
      <c r="C357" s="166"/>
      <c r="D357" s="168"/>
      <c r="E357" s="166"/>
      <c r="F357" s="167"/>
      <c r="G357" s="168"/>
    </row>
    <row r="358" customHeight="1" spans="2:7">
      <c r="B358" s="168"/>
      <c r="C358" s="166"/>
      <c r="D358" s="168"/>
      <c r="E358" s="166"/>
      <c r="F358" s="167"/>
      <c r="G358" s="168"/>
    </row>
    <row r="359" customHeight="1" spans="2:7">
      <c r="B359" s="168"/>
      <c r="C359" s="166"/>
      <c r="D359" s="168"/>
      <c r="E359" s="166"/>
      <c r="F359" s="167"/>
      <c r="G359" s="168"/>
    </row>
    <row r="360" customHeight="1" spans="2:7">
      <c r="B360" s="168"/>
      <c r="C360" s="166"/>
      <c r="D360" s="168"/>
      <c r="E360" s="166"/>
      <c r="F360" s="167"/>
      <c r="G360" s="168"/>
    </row>
    <row r="361" customHeight="1" spans="2:7">
      <c r="B361" s="168"/>
      <c r="C361" s="166"/>
      <c r="D361" s="168"/>
      <c r="E361" s="166"/>
      <c r="F361" s="167"/>
      <c r="G361" s="168"/>
    </row>
    <row r="362" customHeight="1" spans="2:7">
      <c r="B362" s="168"/>
      <c r="C362" s="166"/>
      <c r="D362" s="168"/>
      <c r="E362" s="166"/>
      <c r="F362" s="167"/>
      <c r="G362" s="168"/>
    </row>
    <row r="363" customHeight="1" spans="2:7">
      <c r="B363" s="168"/>
      <c r="C363" s="166"/>
      <c r="D363" s="168"/>
      <c r="E363" s="166"/>
      <c r="F363" s="167"/>
      <c r="G363" s="168"/>
    </row>
    <row r="364" customHeight="1" spans="2:7">
      <c r="B364" s="168"/>
      <c r="C364" s="166"/>
      <c r="D364" s="168"/>
      <c r="E364" s="166"/>
      <c r="F364" s="167"/>
      <c r="G364" s="168"/>
    </row>
    <row r="365" customHeight="1" spans="2:7">
      <c r="B365" s="168"/>
      <c r="C365" s="166"/>
      <c r="D365" s="168"/>
      <c r="E365" s="166"/>
      <c r="F365" s="167"/>
      <c r="G365" s="168"/>
    </row>
    <row r="366" customHeight="1" spans="2:7">
      <c r="B366" s="168"/>
      <c r="C366" s="166"/>
      <c r="D366" s="168"/>
      <c r="E366" s="166"/>
      <c r="F366" s="167"/>
      <c r="G366" s="168"/>
    </row>
    <row r="367" customHeight="1" spans="2:7">
      <c r="B367" s="168"/>
      <c r="C367" s="166"/>
      <c r="D367" s="168"/>
      <c r="E367" s="166"/>
      <c r="F367" s="167"/>
      <c r="G367" s="168"/>
    </row>
    <row r="368" customHeight="1" spans="2:7">
      <c r="B368" s="168"/>
      <c r="C368" s="166"/>
      <c r="D368" s="168"/>
      <c r="E368" s="166"/>
      <c r="F368" s="167"/>
      <c r="G368" s="168"/>
    </row>
    <row r="369" customHeight="1" spans="2:7">
      <c r="B369" s="168"/>
      <c r="C369" s="166"/>
      <c r="D369" s="168"/>
      <c r="E369" s="166"/>
      <c r="F369" s="167"/>
      <c r="G369" s="168"/>
    </row>
    <row r="370" customHeight="1" spans="2:7">
      <c r="B370" s="168"/>
      <c r="C370" s="166"/>
      <c r="D370" s="168"/>
      <c r="E370" s="166"/>
      <c r="F370" s="167"/>
      <c r="G370" s="168"/>
    </row>
    <row r="371" customHeight="1" spans="2:7">
      <c r="B371" s="168"/>
      <c r="C371" s="166"/>
      <c r="D371" s="168"/>
      <c r="E371" s="166"/>
      <c r="F371" s="167"/>
      <c r="G371" s="168"/>
    </row>
    <row r="372" customHeight="1" spans="2:7">
      <c r="B372" s="168"/>
      <c r="C372" s="166"/>
      <c r="D372" s="168"/>
      <c r="E372" s="166"/>
      <c r="F372" s="167"/>
      <c r="G372" s="168"/>
    </row>
    <row r="373" customHeight="1" spans="2:7">
      <c r="B373" s="168"/>
      <c r="C373" s="166"/>
      <c r="D373" s="168"/>
      <c r="E373" s="166"/>
      <c r="F373" s="167"/>
      <c r="G373" s="168"/>
    </row>
    <row r="374" customHeight="1" spans="2:7">
      <c r="B374" s="168"/>
      <c r="C374" s="166"/>
      <c r="D374" s="168"/>
      <c r="E374" s="166"/>
      <c r="F374" s="167"/>
      <c r="G374" s="168"/>
    </row>
    <row r="375" customHeight="1" spans="2:7">
      <c r="B375" s="168"/>
      <c r="C375" s="166"/>
      <c r="D375" s="168"/>
      <c r="E375" s="166"/>
      <c r="F375" s="167"/>
      <c r="G375" s="168"/>
    </row>
    <row r="376" customHeight="1" spans="2:7">
      <c r="B376" s="168"/>
      <c r="C376" s="166"/>
      <c r="D376" s="168"/>
      <c r="E376" s="166"/>
      <c r="F376" s="167"/>
      <c r="G376" s="168"/>
    </row>
    <row r="377" customHeight="1" spans="2:7">
      <c r="B377" s="168"/>
      <c r="C377" s="166"/>
      <c r="D377" s="168"/>
      <c r="E377" s="166"/>
      <c r="F377" s="167"/>
      <c r="G377" s="168"/>
    </row>
    <row r="378" customHeight="1" spans="2:7">
      <c r="B378" s="168"/>
      <c r="C378" s="166"/>
      <c r="D378" s="168"/>
      <c r="E378" s="166"/>
      <c r="F378" s="167"/>
      <c r="G378" s="168"/>
    </row>
    <row r="379" customHeight="1" spans="2:7">
      <c r="B379" s="168"/>
      <c r="C379" s="166"/>
      <c r="D379" s="168"/>
      <c r="E379" s="166"/>
      <c r="F379" s="167"/>
      <c r="G379" s="168"/>
    </row>
    <row r="380" customHeight="1" spans="2:7">
      <c r="B380" s="168"/>
      <c r="C380" s="166"/>
      <c r="D380" s="168"/>
      <c r="E380" s="166"/>
      <c r="F380" s="167"/>
      <c r="G380" s="168"/>
    </row>
    <row r="381" customHeight="1" spans="2:7">
      <c r="B381" s="168"/>
      <c r="C381" s="166"/>
      <c r="D381" s="168"/>
      <c r="E381" s="166"/>
      <c r="F381" s="167"/>
      <c r="G381" s="168"/>
    </row>
    <row r="382" customHeight="1" spans="2:7">
      <c r="B382" s="168"/>
      <c r="C382" s="166"/>
      <c r="D382" s="168"/>
      <c r="E382" s="166"/>
      <c r="F382" s="167"/>
      <c r="G382" s="168"/>
    </row>
    <row r="383" customHeight="1" spans="2:7">
      <c r="B383" s="168"/>
      <c r="C383" s="166"/>
      <c r="D383" s="168"/>
      <c r="E383" s="166"/>
      <c r="F383" s="167"/>
      <c r="G383" s="168"/>
    </row>
    <row r="384" customHeight="1" spans="2:7">
      <c r="B384" s="168"/>
      <c r="C384" s="166"/>
      <c r="D384" s="168"/>
      <c r="E384" s="166"/>
      <c r="F384" s="167"/>
      <c r="G384" s="168"/>
    </row>
    <row r="385" customHeight="1" spans="2:7">
      <c r="B385" s="168"/>
      <c r="C385" s="166"/>
      <c r="D385" s="168"/>
      <c r="E385" s="166"/>
      <c r="F385" s="167"/>
      <c r="G385" s="168"/>
    </row>
    <row r="386" customHeight="1" spans="2:7">
      <c r="B386" s="168"/>
      <c r="C386" s="166"/>
      <c r="D386" s="168"/>
      <c r="E386" s="166"/>
      <c r="F386" s="167"/>
      <c r="G386" s="168"/>
    </row>
    <row r="387" customHeight="1" spans="2:7">
      <c r="B387" s="168"/>
      <c r="C387" s="166"/>
      <c r="D387" s="168"/>
      <c r="E387" s="166"/>
      <c r="F387" s="167"/>
      <c r="G387" s="168"/>
    </row>
    <row r="388" customHeight="1" spans="2:7">
      <c r="B388" s="168"/>
      <c r="C388" s="166"/>
      <c r="D388" s="168"/>
      <c r="E388" s="166"/>
      <c r="F388" s="167"/>
      <c r="G388" s="168"/>
    </row>
    <row r="389" customHeight="1" spans="2:7">
      <c r="B389" s="168"/>
      <c r="C389" s="166"/>
      <c r="D389" s="168"/>
      <c r="E389" s="166"/>
      <c r="F389" s="167"/>
      <c r="G389" s="168"/>
    </row>
    <row r="390" customHeight="1" spans="2:7">
      <c r="B390" s="168"/>
      <c r="C390" s="166"/>
      <c r="D390" s="168"/>
      <c r="E390" s="166"/>
      <c r="F390" s="167"/>
      <c r="G390" s="168"/>
    </row>
    <row r="391" customHeight="1" spans="2:7">
      <c r="B391" s="168"/>
      <c r="C391" s="166"/>
      <c r="D391" s="168"/>
      <c r="E391" s="166"/>
      <c r="F391" s="167"/>
      <c r="G391" s="168"/>
    </row>
    <row r="392" customHeight="1" spans="2:7">
      <c r="B392" s="168"/>
      <c r="C392" s="166"/>
      <c r="D392" s="168"/>
      <c r="E392" s="166"/>
      <c r="F392" s="167"/>
      <c r="G392" s="168"/>
    </row>
    <row r="393" customHeight="1" spans="2:7">
      <c r="B393" s="168"/>
      <c r="C393" s="166"/>
      <c r="D393" s="168"/>
      <c r="E393" s="166"/>
      <c r="F393" s="167"/>
      <c r="G393" s="168"/>
    </row>
    <row r="394" customHeight="1" spans="2:7">
      <c r="B394" s="168"/>
      <c r="C394" s="166"/>
      <c r="D394" s="168"/>
      <c r="E394" s="166"/>
      <c r="F394" s="167"/>
      <c r="G394" s="168"/>
    </row>
    <row r="395" customHeight="1" spans="2:7">
      <c r="B395" s="168"/>
      <c r="C395" s="166"/>
      <c r="D395" s="168"/>
      <c r="E395" s="166"/>
      <c r="F395" s="167"/>
      <c r="G395" s="168"/>
    </row>
    <row r="396" customHeight="1" spans="2:7">
      <c r="B396" s="168"/>
      <c r="C396" s="166"/>
      <c r="D396" s="168"/>
      <c r="E396" s="166"/>
      <c r="F396" s="167"/>
      <c r="G396" s="168"/>
    </row>
    <row r="397" customHeight="1" spans="2:7">
      <c r="B397" s="168"/>
      <c r="C397" s="166"/>
      <c r="D397" s="168"/>
      <c r="E397" s="166"/>
      <c r="F397" s="167"/>
      <c r="G397" s="168"/>
    </row>
    <row r="398" customHeight="1" spans="2:7">
      <c r="B398" s="168"/>
      <c r="C398" s="166"/>
      <c r="D398" s="168"/>
      <c r="E398" s="166"/>
      <c r="F398" s="167"/>
      <c r="G398" s="168"/>
    </row>
    <row r="399" customHeight="1" spans="2:7">
      <c r="B399" s="168"/>
      <c r="C399" s="166"/>
      <c r="D399" s="168"/>
      <c r="E399" s="166"/>
      <c r="F399" s="167"/>
      <c r="G399" s="168"/>
    </row>
    <row r="400" customHeight="1" spans="2:7">
      <c r="B400" s="168"/>
      <c r="C400" s="166"/>
      <c r="D400" s="168"/>
      <c r="E400" s="166"/>
      <c r="F400" s="167"/>
      <c r="G400" s="168"/>
    </row>
    <row r="401" customHeight="1" spans="2:7">
      <c r="B401" s="168"/>
      <c r="C401" s="166"/>
      <c r="D401" s="168"/>
      <c r="E401" s="166"/>
      <c r="F401" s="167"/>
      <c r="G401" s="168"/>
    </row>
    <row r="402" customHeight="1" spans="2:7">
      <c r="B402" s="168"/>
      <c r="C402" s="166"/>
      <c r="D402" s="168"/>
      <c r="E402" s="166"/>
      <c r="F402" s="167"/>
      <c r="G402" s="168"/>
    </row>
    <row r="403" customHeight="1" spans="2:7">
      <c r="B403" s="168"/>
      <c r="C403" s="166"/>
      <c r="D403" s="168"/>
      <c r="E403" s="166"/>
      <c r="F403" s="167"/>
      <c r="G403" s="168"/>
    </row>
    <row r="404" customHeight="1" spans="2:7">
      <c r="B404" s="168"/>
      <c r="C404" s="166"/>
      <c r="D404" s="168"/>
      <c r="E404" s="166"/>
      <c r="F404" s="167"/>
      <c r="G404" s="168"/>
    </row>
    <row r="405" customHeight="1" spans="2:7">
      <c r="B405" s="168"/>
      <c r="C405" s="166"/>
      <c r="D405" s="168"/>
      <c r="E405" s="166"/>
      <c r="F405" s="167"/>
      <c r="G405" s="168"/>
    </row>
    <row r="406" customHeight="1" spans="2:7">
      <c r="B406" s="168"/>
      <c r="C406" s="166"/>
      <c r="D406" s="168"/>
      <c r="E406" s="166"/>
      <c r="F406" s="167"/>
      <c r="G406" s="168"/>
    </row>
    <row r="407" customHeight="1" spans="2:7">
      <c r="B407" s="168"/>
      <c r="C407" s="166"/>
      <c r="D407" s="168"/>
      <c r="E407" s="166"/>
      <c r="F407" s="167"/>
      <c r="G407" s="168"/>
    </row>
    <row r="408" customHeight="1" spans="2:7">
      <c r="B408" s="168"/>
      <c r="C408" s="166"/>
      <c r="D408" s="168"/>
      <c r="E408" s="166"/>
      <c r="F408" s="167"/>
      <c r="G408" s="168"/>
    </row>
    <row r="409" customHeight="1" spans="2:7">
      <c r="B409" s="168"/>
      <c r="C409" s="166"/>
      <c r="D409" s="168"/>
      <c r="E409" s="166"/>
      <c r="F409" s="167"/>
      <c r="G409" s="168"/>
    </row>
    <row r="410" customHeight="1" spans="2:7">
      <c r="B410" s="168"/>
      <c r="C410" s="166"/>
      <c r="D410" s="168"/>
      <c r="E410" s="166"/>
      <c r="F410" s="167"/>
      <c r="G410" s="168"/>
    </row>
    <row r="411" customHeight="1" spans="2:7">
      <c r="B411" s="168"/>
      <c r="C411" s="166"/>
      <c r="D411" s="168"/>
      <c r="E411" s="166"/>
      <c r="F411" s="167"/>
      <c r="G411" s="168"/>
    </row>
    <row r="412" customHeight="1" spans="2:7">
      <c r="B412" s="168"/>
      <c r="C412" s="166"/>
      <c r="D412" s="168"/>
      <c r="E412" s="166"/>
      <c r="F412" s="167"/>
      <c r="G412" s="168"/>
    </row>
    <row r="413" customHeight="1" spans="2:7">
      <c r="B413" s="168"/>
      <c r="C413" s="166"/>
      <c r="D413" s="168"/>
      <c r="E413" s="166"/>
      <c r="F413" s="167"/>
      <c r="G413" s="168"/>
    </row>
    <row r="414" customHeight="1" spans="2:7">
      <c r="B414" s="168"/>
      <c r="C414" s="166"/>
      <c r="D414" s="168"/>
      <c r="E414" s="166"/>
      <c r="F414" s="167"/>
      <c r="G414" s="168"/>
    </row>
    <row r="415" customHeight="1" spans="2:7">
      <c r="B415" s="168"/>
      <c r="C415" s="166"/>
      <c r="D415" s="168"/>
      <c r="E415" s="166"/>
      <c r="F415" s="167"/>
      <c r="G415" s="168"/>
    </row>
    <row r="416" customHeight="1" spans="2:7">
      <c r="B416" s="168"/>
      <c r="C416" s="166"/>
      <c r="D416" s="168"/>
      <c r="E416" s="166"/>
      <c r="F416" s="167"/>
      <c r="G416" s="168"/>
    </row>
    <row r="417" customHeight="1" spans="2:7">
      <c r="B417" s="168"/>
      <c r="C417" s="166"/>
      <c r="D417" s="168"/>
      <c r="E417" s="166"/>
      <c r="F417" s="167"/>
      <c r="G417" s="168"/>
    </row>
    <row r="418" customHeight="1" spans="2:7">
      <c r="B418" s="168"/>
      <c r="C418" s="166"/>
      <c r="D418" s="168"/>
      <c r="E418" s="166"/>
      <c r="F418" s="167"/>
      <c r="G418" s="168"/>
    </row>
    <row r="419" customHeight="1" spans="2:7">
      <c r="B419" s="168"/>
      <c r="C419" s="166"/>
      <c r="D419" s="168"/>
      <c r="E419" s="166"/>
      <c r="F419" s="167"/>
      <c r="G419" s="168"/>
    </row>
    <row r="420" customHeight="1" spans="2:7">
      <c r="B420" s="168"/>
      <c r="C420" s="166"/>
      <c r="D420" s="168"/>
      <c r="E420" s="166"/>
      <c r="F420" s="167"/>
      <c r="G420" s="168"/>
    </row>
    <row r="421" customHeight="1" spans="2:7">
      <c r="B421" s="168"/>
      <c r="C421" s="166"/>
      <c r="D421" s="168"/>
      <c r="E421" s="166"/>
      <c r="F421" s="167"/>
      <c r="G421" s="168"/>
    </row>
    <row r="422" customHeight="1" spans="2:7">
      <c r="B422" s="168"/>
      <c r="C422" s="166"/>
      <c r="D422" s="168"/>
      <c r="E422" s="166"/>
      <c r="F422" s="167"/>
      <c r="G422" s="168"/>
    </row>
    <row r="423" customHeight="1" spans="2:7">
      <c r="B423" s="168"/>
      <c r="C423" s="166"/>
      <c r="D423" s="168"/>
      <c r="E423" s="166"/>
      <c r="F423" s="167"/>
      <c r="G423" s="168"/>
    </row>
    <row r="424" customHeight="1" spans="2:7">
      <c r="B424" s="168"/>
      <c r="C424" s="166"/>
      <c r="D424" s="168"/>
      <c r="E424" s="166"/>
      <c r="F424" s="167"/>
      <c r="G424" s="168"/>
    </row>
    <row r="425" customHeight="1" spans="2:7">
      <c r="B425" s="168"/>
      <c r="C425" s="166"/>
      <c r="D425" s="168"/>
      <c r="E425" s="166"/>
      <c r="F425" s="167"/>
      <c r="G425" s="168"/>
    </row>
    <row r="426" customHeight="1" spans="2:7">
      <c r="B426" s="168"/>
      <c r="C426" s="166"/>
      <c r="D426" s="168"/>
      <c r="E426" s="166"/>
      <c r="F426" s="167"/>
      <c r="G426" s="168"/>
    </row>
    <row r="427" customHeight="1" spans="2:7">
      <c r="B427" s="168"/>
      <c r="C427" s="166"/>
      <c r="D427" s="168"/>
      <c r="E427" s="166"/>
      <c r="F427" s="167"/>
      <c r="G427" s="168"/>
    </row>
    <row r="428" customHeight="1" spans="2:7">
      <c r="B428" s="168"/>
      <c r="C428" s="166"/>
      <c r="D428" s="168"/>
      <c r="E428" s="166"/>
      <c r="F428" s="167"/>
      <c r="G428" s="168"/>
    </row>
    <row r="429" customHeight="1" spans="2:7">
      <c r="B429" s="168"/>
      <c r="C429" s="166"/>
      <c r="D429" s="168"/>
      <c r="E429" s="166"/>
      <c r="F429" s="167"/>
      <c r="G429" s="168"/>
    </row>
    <row r="430" customHeight="1" spans="2:7">
      <c r="B430" s="168"/>
      <c r="C430" s="166"/>
      <c r="D430" s="168"/>
      <c r="E430" s="166"/>
      <c r="F430" s="167"/>
      <c r="G430" s="168"/>
    </row>
    <row r="431" customHeight="1" spans="2:7">
      <c r="B431" s="168"/>
      <c r="C431" s="166"/>
      <c r="D431" s="168"/>
      <c r="E431" s="166"/>
      <c r="F431" s="167"/>
      <c r="G431" s="168"/>
    </row>
    <row r="432" customHeight="1" spans="2:7">
      <c r="B432" s="168"/>
      <c r="C432" s="166"/>
      <c r="D432" s="168"/>
      <c r="E432" s="166"/>
      <c r="F432" s="167"/>
      <c r="G432" s="168"/>
    </row>
    <row r="433" customHeight="1" spans="2:7">
      <c r="B433" s="168"/>
      <c r="C433" s="166"/>
      <c r="D433" s="168"/>
      <c r="E433" s="166"/>
      <c r="F433" s="167"/>
      <c r="G433" s="168"/>
    </row>
    <row r="434" customHeight="1" spans="2:7">
      <c r="B434" s="168"/>
      <c r="C434" s="166"/>
      <c r="D434" s="168"/>
      <c r="E434" s="166"/>
      <c r="F434" s="167"/>
      <c r="G434" s="168"/>
    </row>
    <row r="435" customHeight="1" spans="2:7">
      <c r="B435" s="168"/>
      <c r="C435" s="166"/>
      <c r="D435" s="168"/>
      <c r="E435" s="166"/>
      <c r="F435" s="167"/>
      <c r="G435" s="168"/>
    </row>
    <row r="436" customHeight="1" spans="2:7">
      <c r="B436" s="168"/>
      <c r="C436" s="166"/>
      <c r="D436" s="168"/>
      <c r="E436" s="166"/>
      <c r="F436" s="167"/>
      <c r="G436" s="168"/>
    </row>
    <row r="437" customHeight="1" spans="2:7">
      <c r="B437" s="168"/>
      <c r="C437" s="166"/>
      <c r="D437" s="168"/>
      <c r="E437" s="166"/>
      <c r="F437" s="167"/>
      <c r="G437" s="168"/>
    </row>
    <row r="438" customHeight="1" spans="2:7">
      <c r="B438" s="168"/>
      <c r="C438" s="166"/>
      <c r="D438" s="168"/>
      <c r="E438" s="166"/>
      <c r="F438" s="167"/>
      <c r="G438" s="168"/>
    </row>
    <row r="439" customHeight="1" spans="2:7">
      <c r="B439" s="168"/>
      <c r="C439" s="166"/>
      <c r="D439" s="168"/>
      <c r="E439" s="166"/>
      <c r="F439" s="167"/>
      <c r="G439" s="168"/>
    </row>
    <row r="440" customHeight="1" spans="2:7">
      <c r="B440" s="168"/>
      <c r="C440" s="166"/>
      <c r="D440" s="168"/>
      <c r="E440" s="166"/>
      <c r="F440" s="167"/>
      <c r="G440" s="168"/>
    </row>
    <row r="441" customHeight="1" spans="2:7">
      <c r="B441" s="168"/>
      <c r="C441" s="166"/>
      <c r="D441" s="168"/>
      <c r="E441" s="166"/>
      <c r="F441" s="167"/>
      <c r="G441" s="168"/>
    </row>
    <row r="442" customHeight="1" spans="2:7">
      <c r="B442" s="168"/>
      <c r="C442" s="166"/>
      <c r="D442" s="168"/>
      <c r="E442" s="166"/>
      <c r="F442" s="167"/>
      <c r="G442" s="168"/>
    </row>
    <row r="443" customHeight="1" spans="2:7">
      <c r="B443" s="168"/>
      <c r="C443" s="166"/>
      <c r="D443" s="168"/>
      <c r="E443" s="166"/>
      <c r="F443" s="167"/>
      <c r="G443" s="168"/>
    </row>
    <row r="444" customHeight="1" spans="2:7">
      <c r="B444" s="168"/>
      <c r="C444" s="166"/>
      <c r="D444" s="168"/>
      <c r="E444" s="166"/>
      <c r="F444" s="167"/>
      <c r="G444" s="168"/>
    </row>
    <row r="445" customHeight="1" spans="2:7">
      <c r="B445" s="168"/>
      <c r="C445" s="166"/>
      <c r="D445" s="168"/>
      <c r="E445" s="166"/>
      <c r="F445" s="167"/>
      <c r="G445" s="168"/>
    </row>
    <row r="446" customHeight="1" spans="2:7">
      <c r="B446" s="168"/>
      <c r="C446" s="166"/>
      <c r="D446" s="168"/>
      <c r="E446" s="166"/>
      <c r="F446" s="167"/>
      <c r="G446" s="168"/>
    </row>
    <row r="447" customHeight="1" spans="2:7">
      <c r="B447" s="168"/>
      <c r="C447" s="166"/>
      <c r="D447" s="168"/>
      <c r="E447" s="166"/>
      <c r="F447" s="167"/>
      <c r="G447" s="168"/>
    </row>
    <row r="448" customHeight="1" spans="2:7">
      <c r="B448" s="168"/>
      <c r="C448" s="166"/>
      <c r="D448" s="168"/>
      <c r="E448" s="166"/>
      <c r="F448" s="167"/>
      <c r="G448" s="168"/>
    </row>
    <row r="449" customHeight="1" spans="2:7">
      <c r="B449" s="168"/>
      <c r="C449" s="166"/>
      <c r="D449" s="168"/>
      <c r="E449" s="166"/>
      <c r="F449" s="167"/>
      <c r="G449" s="168"/>
    </row>
    <row r="450" customHeight="1" spans="2:7">
      <c r="B450" s="168"/>
      <c r="C450" s="166"/>
      <c r="D450" s="168"/>
      <c r="E450" s="166"/>
      <c r="F450" s="167"/>
      <c r="G450" s="168"/>
    </row>
    <row r="451" customHeight="1" spans="2:7">
      <c r="B451" s="168"/>
      <c r="C451" s="166"/>
      <c r="D451" s="168"/>
      <c r="E451" s="166"/>
      <c r="F451" s="167"/>
      <c r="G451" s="168"/>
    </row>
    <row r="452" customHeight="1" spans="2:7">
      <c r="B452" s="168"/>
      <c r="C452" s="166"/>
      <c r="D452" s="168"/>
      <c r="E452" s="166"/>
      <c r="F452" s="167"/>
      <c r="G452" s="168"/>
    </row>
    <row r="453" customHeight="1" spans="2:7">
      <c r="B453" s="168"/>
      <c r="C453" s="166"/>
      <c r="D453" s="168"/>
      <c r="E453" s="166"/>
      <c r="F453" s="167"/>
      <c r="G453" s="168"/>
    </row>
    <row r="454" customHeight="1" spans="2:7">
      <c r="B454" s="168"/>
      <c r="C454" s="166"/>
      <c r="D454" s="168"/>
      <c r="E454" s="166"/>
      <c r="F454" s="167"/>
      <c r="G454" s="168"/>
    </row>
    <row r="455" customHeight="1" spans="2:7">
      <c r="B455" s="168"/>
      <c r="C455" s="166"/>
      <c r="D455" s="168"/>
      <c r="E455" s="166"/>
      <c r="F455" s="167"/>
      <c r="G455" s="168"/>
    </row>
    <row r="456" customHeight="1" spans="2:7">
      <c r="B456" s="168"/>
      <c r="C456" s="166"/>
      <c r="D456" s="168"/>
      <c r="E456" s="166"/>
      <c r="F456" s="167"/>
      <c r="G456" s="168"/>
    </row>
    <row r="457" customHeight="1" spans="2:7">
      <c r="B457" s="168"/>
      <c r="C457" s="166"/>
      <c r="D457" s="168"/>
      <c r="E457" s="166"/>
      <c r="F457" s="167"/>
      <c r="G457" s="168"/>
    </row>
    <row r="458" customHeight="1" spans="2:7">
      <c r="B458" s="168"/>
      <c r="C458" s="166"/>
      <c r="D458" s="168"/>
      <c r="E458" s="166"/>
      <c r="F458" s="167"/>
      <c r="G458" s="168"/>
    </row>
    <row r="459" customHeight="1" spans="2:7">
      <c r="B459" s="168"/>
      <c r="C459" s="166"/>
      <c r="D459" s="168"/>
      <c r="E459" s="166"/>
      <c r="F459" s="167"/>
      <c r="G459" s="168"/>
    </row>
    <row r="460" customHeight="1" spans="2:7">
      <c r="B460" s="168"/>
      <c r="C460" s="166"/>
      <c r="D460" s="168"/>
      <c r="E460" s="166"/>
      <c r="F460" s="167"/>
      <c r="G460" s="168"/>
    </row>
    <row r="461" customHeight="1" spans="2:7">
      <c r="B461" s="168"/>
      <c r="C461" s="166"/>
      <c r="D461" s="168"/>
      <c r="E461" s="166"/>
      <c r="F461" s="167"/>
      <c r="G461" s="168"/>
    </row>
    <row r="462" customHeight="1" spans="2:7">
      <c r="B462" s="168"/>
      <c r="C462" s="166"/>
      <c r="D462" s="168"/>
      <c r="E462" s="166"/>
      <c r="F462" s="167"/>
      <c r="G462" s="168"/>
    </row>
    <row r="463" customHeight="1" spans="2:7">
      <c r="B463" s="168"/>
      <c r="C463" s="166"/>
      <c r="D463" s="168"/>
      <c r="E463" s="166"/>
      <c r="F463" s="167"/>
      <c r="G463" s="168"/>
    </row>
    <row r="464" customHeight="1" spans="2:7">
      <c r="B464" s="168"/>
      <c r="C464" s="166"/>
      <c r="D464" s="168"/>
      <c r="E464" s="166"/>
      <c r="F464" s="167"/>
      <c r="G464" s="168"/>
    </row>
    <row r="465" customHeight="1" spans="2:7">
      <c r="B465" s="168"/>
      <c r="C465" s="166"/>
      <c r="D465" s="168"/>
      <c r="E465" s="166"/>
      <c r="F465" s="167"/>
      <c r="G465" s="168"/>
    </row>
    <row r="466" customHeight="1" spans="2:7">
      <c r="B466" s="168"/>
      <c r="C466" s="166"/>
      <c r="D466" s="168"/>
      <c r="E466" s="166"/>
      <c r="F466" s="167"/>
      <c r="G466" s="168"/>
    </row>
    <row r="467" customHeight="1" spans="2:7">
      <c r="B467" s="168"/>
      <c r="C467" s="166"/>
      <c r="D467" s="168"/>
      <c r="E467" s="166"/>
      <c r="F467" s="167"/>
      <c r="G467" s="168"/>
    </row>
    <row r="468" customHeight="1" spans="2:7">
      <c r="B468" s="168"/>
      <c r="C468" s="166"/>
      <c r="D468" s="168"/>
      <c r="E468" s="166"/>
      <c r="F468" s="167"/>
      <c r="G468" s="168"/>
    </row>
    <row r="469" customHeight="1" spans="2:7">
      <c r="B469" s="168"/>
      <c r="C469" s="166"/>
      <c r="D469" s="168"/>
      <c r="E469" s="166"/>
      <c r="F469" s="167"/>
      <c r="G469" s="168"/>
    </row>
    <row r="470" customHeight="1" spans="2:7">
      <c r="B470" s="168"/>
      <c r="C470" s="166"/>
      <c r="D470" s="168"/>
      <c r="E470" s="166"/>
      <c r="F470" s="167"/>
      <c r="G470" s="168"/>
    </row>
    <row r="471" customHeight="1" spans="2:7">
      <c r="B471" s="168"/>
      <c r="C471" s="166"/>
      <c r="D471" s="168"/>
      <c r="E471" s="166"/>
      <c r="F471" s="167"/>
      <c r="G471" s="168"/>
    </row>
    <row r="472" customHeight="1" spans="2:7">
      <c r="B472" s="168"/>
      <c r="C472" s="166"/>
      <c r="D472" s="168"/>
      <c r="E472" s="166"/>
      <c r="F472" s="167"/>
      <c r="G472" s="168"/>
    </row>
    <row r="473" customHeight="1" spans="2:7">
      <c r="B473" s="168"/>
      <c r="C473" s="166"/>
      <c r="D473" s="168"/>
      <c r="E473" s="166"/>
      <c r="F473" s="167"/>
      <c r="G473" s="168"/>
    </row>
    <row r="474" customHeight="1" spans="2:7">
      <c r="B474" s="168"/>
      <c r="C474" s="166"/>
      <c r="D474" s="168"/>
      <c r="E474" s="166"/>
      <c r="F474" s="167"/>
      <c r="G474" s="168"/>
    </row>
    <row r="475" customHeight="1" spans="2:7">
      <c r="B475" s="168"/>
      <c r="C475" s="166"/>
      <c r="D475" s="168"/>
      <c r="E475" s="166"/>
      <c r="F475" s="167"/>
      <c r="G475" s="168"/>
    </row>
    <row r="476" customHeight="1" spans="2:7">
      <c r="B476" s="168"/>
      <c r="C476" s="166"/>
      <c r="D476" s="168"/>
      <c r="E476" s="166"/>
      <c r="F476" s="167"/>
      <c r="G476" s="168"/>
    </row>
    <row r="477" customHeight="1" spans="2:7">
      <c r="B477" s="168"/>
      <c r="C477" s="166"/>
      <c r="D477" s="168"/>
      <c r="E477" s="166"/>
      <c r="F477" s="167"/>
      <c r="G477" s="168"/>
    </row>
    <row r="478" customHeight="1" spans="2:7">
      <c r="B478" s="168"/>
      <c r="C478" s="166"/>
      <c r="D478" s="168"/>
      <c r="E478" s="166"/>
      <c r="F478" s="167"/>
      <c r="G478" s="168"/>
    </row>
    <row r="479" customHeight="1" spans="2:7">
      <c r="B479" s="168"/>
      <c r="C479" s="166"/>
      <c r="D479" s="168"/>
      <c r="E479" s="166"/>
      <c r="F479" s="167"/>
      <c r="G479" s="168"/>
    </row>
    <row r="480" customHeight="1" spans="2:7">
      <c r="B480" s="168"/>
      <c r="C480" s="166"/>
      <c r="D480" s="168"/>
      <c r="E480" s="166"/>
      <c r="F480" s="167"/>
      <c r="G480" s="168"/>
    </row>
    <row r="481" customHeight="1" spans="2:7">
      <c r="B481" s="168"/>
      <c r="C481" s="166"/>
      <c r="D481" s="168"/>
      <c r="E481" s="166"/>
      <c r="F481" s="167"/>
      <c r="G481" s="168"/>
    </row>
    <row r="482" customHeight="1" spans="2:7">
      <c r="B482" s="168"/>
      <c r="C482" s="166"/>
      <c r="D482" s="168"/>
      <c r="E482" s="166"/>
      <c r="F482" s="167"/>
      <c r="G482" s="168"/>
    </row>
    <row r="483" customHeight="1" spans="2:7">
      <c r="B483" s="168"/>
      <c r="C483" s="166"/>
      <c r="D483" s="168"/>
      <c r="E483" s="166"/>
      <c r="F483" s="167"/>
      <c r="G483" s="168"/>
    </row>
    <row r="484" customHeight="1" spans="2:7">
      <c r="B484" s="168"/>
      <c r="C484" s="166"/>
      <c r="D484" s="168"/>
      <c r="E484" s="166"/>
      <c r="F484" s="167"/>
      <c r="G484" s="168"/>
    </row>
    <row r="485" customHeight="1" spans="2:7">
      <c r="B485" s="168"/>
      <c r="C485" s="166"/>
      <c r="D485" s="168"/>
      <c r="E485" s="166"/>
      <c r="F485" s="167"/>
      <c r="G485" s="168"/>
    </row>
    <row r="486" customHeight="1" spans="2:7">
      <c r="B486" s="168"/>
      <c r="C486" s="166"/>
      <c r="D486" s="168"/>
      <c r="E486" s="166"/>
      <c r="F486" s="167"/>
      <c r="G486" s="168"/>
    </row>
    <row r="487" customHeight="1" spans="2:7">
      <c r="B487" s="168"/>
      <c r="C487" s="166"/>
      <c r="D487" s="168"/>
      <c r="E487" s="166"/>
      <c r="F487" s="167"/>
      <c r="G487" s="168"/>
    </row>
    <row r="488" customHeight="1" spans="2:7">
      <c r="B488" s="168"/>
      <c r="C488" s="166"/>
      <c r="D488" s="168"/>
      <c r="E488" s="166"/>
      <c r="F488" s="167"/>
      <c r="G488" s="168"/>
    </row>
    <row r="489" customHeight="1" spans="2:7">
      <c r="B489" s="168"/>
      <c r="C489" s="166"/>
      <c r="D489" s="168"/>
      <c r="E489" s="166"/>
      <c r="F489" s="167"/>
      <c r="G489" s="168"/>
    </row>
    <row r="490" customHeight="1" spans="2:7">
      <c r="B490" s="168"/>
      <c r="C490" s="166"/>
      <c r="D490" s="168"/>
      <c r="E490" s="166"/>
      <c r="F490" s="167"/>
      <c r="G490" s="168"/>
    </row>
    <row r="491" customHeight="1" spans="2:7">
      <c r="B491" s="168"/>
      <c r="C491" s="166"/>
      <c r="D491" s="168"/>
      <c r="E491" s="166"/>
      <c r="F491" s="167"/>
      <c r="G491" s="168"/>
    </row>
    <row r="492" customHeight="1" spans="2:7">
      <c r="B492" s="168"/>
      <c r="C492" s="166"/>
      <c r="D492" s="168"/>
      <c r="E492" s="166"/>
      <c r="F492" s="167"/>
      <c r="G492" s="168"/>
    </row>
    <row r="493" customHeight="1" spans="2:7">
      <c r="B493" s="168"/>
      <c r="C493" s="166"/>
      <c r="D493" s="168"/>
      <c r="E493" s="166"/>
      <c r="F493" s="167"/>
      <c r="G493" s="168"/>
    </row>
    <row r="494" customHeight="1" spans="2:7">
      <c r="B494" s="168"/>
      <c r="C494" s="166"/>
      <c r="D494" s="168"/>
      <c r="E494" s="166"/>
      <c r="F494" s="167"/>
      <c r="G494" s="168"/>
    </row>
    <row r="495" customHeight="1" spans="2:7">
      <c r="B495" s="168"/>
      <c r="C495" s="166"/>
      <c r="D495" s="168"/>
      <c r="E495" s="166"/>
      <c r="F495" s="167"/>
      <c r="G495" s="168"/>
    </row>
    <row r="496" customHeight="1" spans="2:7">
      <c r="B496" s="168"/>
      <c r="C496" s="166"/>
      <c r="D496" s="168"/>
      <c r="E496" s="166"/>
      <c r="F496" s="167"/>
      <c r="G496" s="168"/>
    </row>
    <row r="497" customHeight="1" spans="2:7">
      <c r="B497" s="168"/>
      <c r="C497" s="166"/>
      <c r="D497" s="168"/>
      <c r="E497" s="166"/>
      <c r="F497" s="167"/>
      <c r="G497" s="168"/>
    </row>
    <row r="498" customHeight="1" spans="2:7">
      <c r="B498" s="168"/>
      <c r="C498" s="166"/>
      <c r="D498" s="168"/>
      <c r="E498" s="166"/>
      <c r="F498" s="167"/>
      <c r="G498" s="168"/>
    </row>
    <row r="499" customHeight="1" spans="2:7">
      <c r="B499" s="168"/>
      <c r="C499" s="166"/>
      <c r="D499" s="168"/>
      <c r="E499" s="166"/>
      <c r="F499" s="167"/>
      <c r="G499" s="168"/>
    </row>
    <row r="500" customHeight="1" spans="2:7">
      <c r="B500" s="168"/>
      <c r="C500" s="166"/>
      <c r="D500" s="168"/>
      <c r="E500" s="166"/>
      <c r="F500" s="167"/>
      <c r="G500" s="168"/>
    </row>
    <row r="501" customHeight="1" spans="2:7">
      <c r="B501" s="168"/>
      <c r="C501" s="166"/>
      <c r="D501" s="168"/>
      <c r="E501" s="166"/>
      <c r="F501" s="167"/>
      <c r="G501" s="168"/>
    </row>
    <row r="502" customHeight="1" spans="2:7">
      <c r="B502" s="168"/>
      <c r="C502" s="166"/>
      <c r="D502" s="168"/>
      <c r="E502" s="166"/>
      <c r="F502" s="167"/>
      <c r="G502" s="168"/>
    </row>
    <row r="503" customHeight="1" spans="2:7">
      <c r="B503" s="168"/>
      <c r="C503" s="166"/>
      <c r="D503" s="168"/>
      <c r="E503" s="166"/>
      <c r="F503" s="167"/>
      <c r="G503" s="168"/>
    </row>
    <row r="504" customHeight="1" spans="2:7">
      <c r="B504" s="168"/>
      <c r="C504" s="166"/>
      <c r="D504" s="168"/>
      <c r="E504" s="166"/>
      <c r="F504" s="167"/>
      <c r="G504" s="168"/>
    </row>
    <row r="505" customHeight="1" spans="2:7">
      <c r="B505" s="168"/>
      <c r="C505" s="166"/>
      <c r="D505" s="168"/>
      <c r="E505" s="166"/>
      <c r="F505" s="167"/>
      <c r="G505" s="168"/>
    </row>
    <row r="506" customHeight="1" spans="2:7">
      <c r="B506" s="168"/>
      <c r="C506" s="166"/>
      <c r="D506" s="168"/>
      <c r="E506" s="166"/>
      <c r="F506" s="167"/>
      <c r="G506" s="168"/>
    </row>
    <row r="507" customHeight="1" spans="2:7">
      <c r="B507" s="168"/>
      <c r="C507" s="166"/>
      <c r="D507" s="168"/>
      <c r="E507" s="166"/>
      <c r="F507" s="167"/>
      <c r="G507" s="168"/>
    </row>
    <row r="508" customHeight="1" spans="2:7">
      <c r="B508" s="168"/>
      <c r="C508" s="166"/>
      <c r="D508" s="168"/>
      <c r="E508" s="166"/>
      <c r="F508" s="167"/>
      <c r="G508" s="168"/>
    </row>
    <row r="509" customHeight="1" spans="2:7">
      <c r="B509" s="168"/>
      <c r="C509" s="166"/>
      <c r="D509" s="168"/>
      <c r="E509" s="166"/>
      <c r="F509" s="167"/>
      <c r="G509" s="168"/>
    </row>
    <row r="510" customHeight="1" spans="2:7">
      <c r="B510" s="168"/>
      <c r="C510" s="166"/>
      <c r="D510" s="168"/>
      <c r="E510" s="166"/>
      <c r="F510" s="167"/>
      <c r="G510" s="168"/>
    </row>
    <row r="511" customHeight="1" spans="2:7">
      <c r="B511" s="168"/>
      <c r="C511" s="166"/>
      <c r="D511" s="168"/>
      <c r="E511" s="166"/>
      <c r="F511" s="167"/>
      <c r="G511" s="168"/>
    </row>
    <row r="512" customHeight="1" spans="2:7">
      <c r="B512" s="168"/>
      <c r="C512" s="166"/>
      <c r="D512" s="168"/>
      <c r="E512" s="166"/>
      <c r="F512" s="167"/>
      <c r="G512" s="168"/>
    </row>
    <row r="513" customHeight="1" spans="2:7">
      <c r="B513" s="168"/>
      <c r="C513" s="166"/>
      <c r="D513" s="168"/>
      <c r="E513" s="166"/>
      <c r="F513" s="167"/>
      <c r="G513" s="168"/>
    </row>
    <row r="514" customHeight="1" spans="2:7">
      <c r="B514" s="168"/>
      <c r="C514" s="166"/>
      <c r="D514" s="168"/>
      <c r="E514" s="166"/>
      <c r="F514" s="167"/>
      <c r="G514" s="168"/>
    </row>
    <row r="515" customHeight="1" spans="2:7">
      <c r="B515" s="168"/>
      <c r="C515" s="166"/>
      <c r="D515" s="168"/>
      <c r="E515" s="166"/>
      <c r="F515" s="167"/>
      <c r="G515" s="168"/>
    </row>
    <row r="516" customHeight="1" spans="2:7">
      <c r="B516" s="168"/>
      <c r="C516" s="166"/>
      <c r="D516" s="168"/>
      <c r="E516" s="166"/>
      <c r="F516" s="167"/>
      <c r="G516" s="168"/>
    </row>
    <row r="517" customHeight="1" spans="2:7">
      <c r="B517" s="168"/>
      <c r="C517" s="166"/>
      <c r="D517" s="168"/>
      <c r="E517" s="166"/>
      <c r="F517" s="167"/>
      <c r="G517" s="168"/>
    </row>
    <row r="518" customHeight="1" spans="2:7">
      <c r="B518" s="168"/>
      <c r="C518" s="166"/>
      <c r="D518" s="168"/>
      <c r="E518" s="166"/>
      <c r="F518" s="167"/>
      <c r="G518" s="168"/>
    </row>
    <row r="519" customHeight="1" spans="2:7">
      <c r="B519" s="168"/>
      <c r="C519" s="166"/>
      <c r="D519" s="168"/>
      <c r="E519" s="166"/>
      <c r="F519" s="167"/>
      <c r="G519" s="168"/>
    </row>
    <row r="520" customHeight="1" spans="2:7">
      <c r="B520" s="168"/>
      <c r="C520" s="166"/>
      <c r="D520" s="168"/>
      <c r="E520" s="166"/>
      <c r="F520" s="167"/>
      <c r="G520" s="168"/>
    </row>
    <row r="521" customHeight="1" spans="2:7">
      <c r="B521" s="168"/>
      <c r="C521" s="166"/>
      <c r="D521" s="168"/>
      <c r="E521" s="166"/>
      <c r="F521" s="167"/>
      <c r="G521" s="168"/>
    </row>
    <row r="522" customHeight="1" spans="2:7">
      <c r="B522" s="168"/>
      <c r="C522" s="166"/>
      <c r="D522" s="168"/>
      <c r="E522" s="166"/>
      <c r="F522" s="167"/>
      <c r="G522" s="168"/>
    </row>
    <row r="523" customHeight="1" spans="2:7">
      <c r="B523" s="168"/>
      <c r="C523" s="166"/>
      <c r="D523" s="168"/>
      <c r="E523" s="166"/>
      <c r="F523" s="167"/>
      <c r="G523" s="168"/>
    </row>
    <row r="524" customHeight="1" spans="2:7">
      <c r="B524" s="168"/>
      <c r="C524" s="166"/>
      <c r="D524" s="168"/>
      <c r="E524" s="166"/>
      <c r="F524" s="167"/>
      <c r="G524" s="168"/>
    </row>
    <row r="525" customHeight="1" spans="2:7">
      <c r="B525" s="168"/>
      <c r="C525" s="166"/>
      <c r="D525" s="168"/>
      <c r="E525" s="166"/>
      <c r="F525" s="167"/>
      <c r="G525" s="168"/>
    </row>
    <row r="526" customHeight="1" spans="2:7">
      <c r="B526" s="168"/>
      <c r="C526" s="166"/>
      <c r="D526" s="168"/>
      <c r="E526" s="166"/>
      <c r="F526" s="167"/>
      <c r="G526" s="168"/>
    </row>
    <row r="527" customHeight="1" spans="2:7">
      <c r="B527" s="168"/>
      <c r="C527" s="166"/>
      <c r="D527" s="168"/>
      <c r="E527" s="166"/>
      <c r="F527" s="167"/>
      <c r="G527" s="168"/>
    </row>
    <row r="528" customHeight="1" spans="2:7">
      <c r="B528" s="168"/>
      <c r="C528" s="166"/>
      <c r="D528" s="168"/>
      <c r="E528" s="166"/>
      <c r="F528" s="167"/>
      <c r="G528" s="168"/>
    </row>
    <row r="529" customHeight="1" spans="2:7">
      <c r="B529" s="168"/>
      <c r="C529" s="166"/>
      <c r="D529" s="168"/>
      <c r="E529" s="166"/>
      <c r="F529" s="167"/>
      <c r="G529" s="168"/>
    </row>
    <row r="530" customHeight="1" spans="2:7">
      <c r="B530" s="168"/>
      <c r="C530" s="166"/>
      <c r="D530" s="168"/>
      <c r="E530" s="166"/>
      <c r="F530" s="167"/>
      <c r="G530" s="168"/>
    </row>
    <row r="531" customHeight="1" spans="2:7">
      <c r="B531" s="168"/>
      <c r="C531" s="166"/>
      <c r="D531" s="168"/>
      <c r="E531" s="166"/>
      <c r="F531" s="167"/>
      <c r="G531" s="168"/>
    </row>
    <row r="532" customHeight="1" spans="2:7">
      <c r="B532" s="168"/>
      <c r="C532" s="166"/>
      <c r="D532" s="168"/>
      <c r="E532" s="166"/>
      <c r="F532" s="167"/>
      <c r="G532" s="168"/>
    </row>
    <row r="533" customHeight="1" spans="2:7">
      <c r="B533" s="168"/>
      <c r="C533" s="166"/>
      <c r="D533" s="168"/>
      <c r="E533" s="166"/>
      <c r="F533" s="167"/>
      <c r="G533" s="168"/>
    </row>
    <row r="534" customHeight="1" spans="2:7">
      <c r="B534" s="168"/>
      <c r="C534" s="166"/>
      <c r="D534" s="168"/>
      <c r="E534" s="166"/>
      <c r="F534" s="167"/>
      <c r="G534" s="168"/>
    </row>
    <row r="535" customHeight="1" spans="2:7">
      <c r="B535" s="168"/>
      <c r="C535" s="166"/>
      <c r="D535" s="168"/>
      <c r="E535" s="166"/>
      <c r="F535" s="167"/>
      <c r="G535" s="168"/>
    </row>
    <row r="536" customHeight="1" spans="2:7">
      <c r="B536" s="168"/>
      <c r="C536" s="166"/>
      <c r="D536" s="168"/>
      <c r="E536" s="166"/>
      <c r="F536" s="167"/>
      <c r="G536" s="168"/>
    </row>
    <row r="537" customHeight="1" spans="2:7">
      <c r="B537" s="168"/>
      <c r="C537" s="166"/>
      <c r="D537" s="168"/>
      <c r="E537" s="166"/>
      <c r="F537" s="167"/>
      <c r="G537" s="168"/>
    </row>
    <row r="538" customHeight="1" spans="2:7">
      <c r="B538" s="168"/>
      <c r="C538" s="166"/>
      <c r="D538" s="168"/>
      <c r="E538" s="166"/>
      <c r="F538" s="167"/>
      <c r="G538" s="168"/>
    </row>
    <row r="539" customHeight="1" spans="2:7">
      <c r="B539" s="168"/>
      <c r="C539" s="166"/>
      <c r="D539" s="168"/>
      <c r="E539" s="166"/>
      <c r="F539" s="167"/>
      <c r="G539" s="168"/>
    </row>
    <row r="540" customHeight="1" spans="2:7">
      <c r="B540" s="168"/>
      <c r="C540" s="166"/>
      <c r="D540" s="168"/>
      <c r="E540" s="166"/>
      <c r="F540" s="167"/>
      <c r="G540" s="168"/>
    </row>
    <row r="541" customHeight="1" spans="2:7">
      <c r="B541" s="168"/>
      <c r="C541" s="166"/>
      <c r="D541" s="168"/>
      <c r="E541" s="166"/>
      <c r="F541" s="167"/>
      <c r="G541" s="168"/>
    </row>
    <row r="542" customHeight="1" spans="2:7">
      <c r="B542" s="168"/>
      <c r="C542" s="166"/>
      <c r="D542" s="168"/>
      <c r="E542" s="166"/>
      <c r="F542" s="167"/>
      <c r="G542" s="168"/>
    </row>
    <row r="543" customHeight="1" spans="2:7">
      <c r="B543" s="168"/>
      <c r="C543" s="166"/>
      <c r="D543" s="168"/>
      <c r="E543" s="166"/>
      <c r="F543" s="167"/>
      <c r="G543" s="168"/>
    </row>
    <row r="544" customHeight="1" spans="2:7">
      <c r="B544" s="168"/>
      <c r="C544" s="166"/>
      <c r="D544" s="168"/>
      <c r="E544" s="166"/>
      <c r="F544" s="167"/>
      <c r="G544" s="168"/>
    </row>
    <row r="545" customHeight="1" spans="2:7">
      <c r="B545" s="168"/>
      <c r="C545" s="166"/>
      <c r="D545" s="168"/>
      <c r="E545" s="166"/>
      <c r="F545" s="167"/>
      <c r="G545" s="168"/>
    </row>
    <row r="546" customHeight="1" spans="2:7">
      <c r="B546" s="168"/>
      <c r="C546" s="166"/>
      <c r="D546" s="168"/>
      <c r="E546" s="166"/>
      <c r="F546" s="167"/>
      <c r="G546" s="168"/>
    </row>
    <row r="547" customHeight="1" spans="2:7">
      <c r="B547" s="168"/>
      <c r="C547" s="166"/>
      <c r="D547" s="168"/>
      <c r="E547" s="166"/>
      <c r="F547" s="167"/>
      <c r="G547" s="168"/>
    </row>
    <row r="548" customHeight="1" spans="2:7">
      <c r="B548" s="168"/>
      <c r="C548" s="166"/>
      <c r="D548" s="168"/>
      <c r="E548" s="166"/>
      <c r="F548" s="167"/>
      <c r="G548" s="168"/>
    </row>
    <row r="549" customHeight="1" spans="2:7">
      <c r="B549" s="168"/>
      <c r="C549" s="166"/>
      <c r="D549" s="168"/>
      <c r="E549" s="166"/>
      <c r="F549" s="167"/>
      <c r="G549" s="168"/>
    </row>
    <row r="550" customHeight="1" spans="2:7">
      <c r="B550" s="168"/>
      <c r="C550" s="166"/>
      <c r="D550" s="168"/>
      <c r="E550" s="166"/>
      <c r="F550" s="167"/>
      <c r="G550" s="168"/>
    </row>
    <row r="551" customHeight="1" spans="2:7">
      <c r="B551" s="168"/>
      <c r="C551" s="166"/>
      <c r="D551" s="168"/>
      <c r="E551" s="166"/>
      <c r="F551" s="167"/>
      <c r="G551" s="168"/>
    </row>
    <row r="552" customHeight="1" spans="2:7">
      <c r="B552" s="168"/>
      <c r="C552" s="166"/>
      <c r="D552" s="168"/>
      <c r="E552" s="166"/>
      <c r="F552" s="167"/>
      <c r="G552" s="168"/>
    </row>
    <row r="553" customHeight="1" spans="2:7">
      <c r="B553" s="168"/>
      <c r="C553" s="166"/>
      <c r="D553" s="168"/>
      <c r="E553" s="166"/>
      <c r="F553" s="167"/>
      <c r="G553" s="168"/>
    </row>
    <row r="554" customHeight="1" spans="2:7">
      <c r="B554" s="168"/>
      <c r="C554" s="166"/>
      <c r="D554" s="168"/>
      <c r="E554" s="166"/>
      <c r="F554" s="167"/>
      <c r="G554" s="168"/>
    </row>
    <row r="555" customHeight="1" spans="2:7">
      <c r="B555" s="168"/>
      <c r="C555" s="166"/>
      <c r="D555" s="168"/>
      <c r="E555" s="166"/>
      <c r="F555" s="167"/>
      <c r="G555" s="168"/>
    </row>
    <row r="556" customHeight="1" spans="2:7">
      <c r="B556" s="168"/>
      <c r="C556" s="166"/>
      <c r="D556" s="168"/>
      <c r="E556" s="166"/>
      <c r="F556" s="167"/>
      <c r="G556" s="168"/>
    </row>
    <row r="557" customHeight="1" spans="2:7">
      <c r="B557" s="168"/>
      <c r="C557" s="166"/>
      <c r="D557" s="168"/>
      <c r="E557" s="166"/>
      <c r="F557" s="167"/>
      <c r="G557" s="168"/>
    </row>
    <row r="558" customHeight="1" spans="2:7">
      <c r="B558" s="168"/>
      <c r="C558" s="166"/>
      <c r="D558" s="168"/>
      <c r="E558" s="166"/>
      <c r="F558" s="167"/>
      <c r="G558" s="168"/>
    </row>
    <row r="559" customHeight="1" spans="2:7">
      <c r="B559" s="168"/>
      <c r="C559" s="166"/>
      <c r="D559" s="168"/>
      <c r="E559" s="166"/>
      <c r="F559" s="167"/>
      <c r="G559" s="168"/>
    </row>
    <row r="560" customHeight="1" spans="2:7">
      <c r="B560" s="168"/>
      <c r="C560" s="166"/>
      <c r="D560" s="168"/>
      <c r="E560" s="166"/>
      <c r="F560" s="167"/>
      <c r="G560" s="168"/>
    </row>
    <row r="561" customHeight="1" spans="2:7">
      <c r="B561" s="168"/>
      <c r="C561" s="166"/>
      <c r="D561" s="168"/>
      <c r="E561" s="166"/>
      <c r="F561" s="167"/>
      <c r="G561" s="168"/>
    </row>
    <row r="562" customHeight="1" spans="2:7">
      <c r="B562" s="168"/>
      <c r="C562" s="166"/>
      <c r="D562" s="168"/>
      <c r="E562" s="166"/>
      <c r="F562" s="167"/>
      <c r="G562" s="168"/>
    </row>
    <row r="563" customHeight="1" spans="2:7">
      <c r="B563" s="168"/>
      <c r="C563" s="166"/>
      <c r="D563" s="168"/>
      <c r="E563" s="166"/>
      <c r="F563" s="167"/>
      <c r="G563" s="168"/>
    </row>
    <row r="564" customHeight="1" spans="2:7">
      <c r="B564" s="168"/>
      <c r="C564" s="166"/>
      <c r="D564" s="168"/>
      <c r="E564" s="166"/>
      <c r="F564" s="167"/>
      <c r="G564" s="168"/>
    </row>
    <row r="565" customHeight="1" spans="2:7">
      <c r="B565" s="168"/>
      <c r="C565" s="166"/>
      <c r="D565" s="168"/>
      <c r="E565" s="166"/>
      <c r="F565" s="167"/>
      <c r="G565" s="168"/>
    </row>
    <row r="566" customHeight="1" spans="2:7">
      <c r="B566" s="168"/>
      <c r="C566" s="166"/>
      <c r="D566" s="168"/>
      <c r="E566" s="166"/>
      <c r="F566" s="167"/>
      <c r="G566" s="168"/>
    </row>
    <row r="567" customHeight="1" spans="2:7">
      <c r="B567" s="168"/>
      <c r="C567" s="166"/>
      <c r="D567" s="168"/>
      <c r="E567" s="166"/>
      <c r="F567" s="167"/>
      <c r="G567" s="168"/>
    </row>
    <row r="568" customHeight="1" spans="2:7">
      <c r="B568" s="168"/>
      <c r="C568" s="166"/>
      <c r="D568" s="168"/>
      <c r="E568" s="166"/>
      <c r="F568" s="167"/>
      <c r="G568" s="168"/>
    </row>
    <row r="569" customHeight="1" spans="2:7">
      <c r="B569" s="168"/>
      <c r="C569" s="166"/>
      <c r="D569" s="168"/>
      <c r="E569" s="166"/>
      <c r="F569" s="167"/>
      <c r="G569" s="168"/>
    </row>
    <row r="570" customHeight="1" spans="2:7">
      <c r="B570" s="168"/>
      <c r="C570" s="166"/>
      <c r="D570" s="168"/>
      <c r="E570" s="166"/>
      <c r="F570" s="167"/>
      <c r="G570" s="168"/>
    </row>
    <row r="571" customHeight="1" spans="2:7">
      <c r="B571" s="168"/>
      <c r="C571" s="166"/>
      <c r="D571" s="168"/>
      <c r="E571" s="166"/>
      <c r="F571" s="167"/>
      <c r="G571" s="168"/>
    </row>
    <row r="572" customHeight="1" spans="2:7">
      <c r="B572" s="168"/>
      <c r="C572" s="166"/>
      <c r="D572" s="168"/>
      <c r="E572" s="166"/>
      <c r="F572" s="167"/>
      <c r="G572" s="168"/>
    </row>
    <row r="573" customHeight="1" spans="2:7">
      <c r="B573" s="168"/>
      <c r="C573" s="166"/>
      <c r="D573" s="168"/>
      <c r="E573" s="166"/>
      <c r="F573" s="167"/>
      <c r="G573" s="168"/>
    </row>
    <row r="574" customHeight="1" spans="2:7">
      <c r="B574" s="168"/>
      <c r="C574" s="166"/>
      <c r="D574" s="168"/>
      <c r="E574" s="166"/>
      <c r="F574" s="167"/>
      <c r="G574" s="168"/>
    </row>
    <row r="575" customHeight="1" spans="2:7">
      <c r="B575" s="168"/>
      <c r="C575" s="166"/>
      <c r="D575" s="168"/>
      <c r="E575" s="166"/>
      <c r="F575" s="167"/>
      <c r="G575" s="168"/>
    </row>
    <row r="576" customHeight="1" spans="2:7">
      <c r="B576" s="168"/>
      <c r="C576" s="166"/>
      <c r="D576" s="168"/>
      <c r="E576" s="166"/>
      <c r="F576" s="167"/>
      <c r="G576" s="168"/>
    </row>
    <row r="577" customHeight="1" spans="2:7">
      <c r="B577" s="168"/>
      <c r="C577" s="166"/>
      <c r="D577" s="168"/>
      <c r="E577" s="166"/>
      <c r="F577" s="167"/>
      <c r="G577" s="168"/>
    </row>
    <row r="578" customHeight="1" spans="2:7">
      <c r="B578" s="168"/>
      <c r="C578" s="166"/>
      <c r="D578" s="168"/>
      <c r="E578" s="166"/>
      <c r="F578" s="167"/>
      <c r="G578" s="168"/>
    </row>
    <row r="579" customHeight="1" spans="2:7">
      <c r="B579" s="168"/>
      <c r="C579" s="166"/>
      <c r="D579" s="168"/>
      <c r="E579" s="166"/>
      <c r="F579" s="167"/>
      <c r="G579" s="168"/>
    </row>
    <row r="580" customHeight="1" spans="2:7">
      <c r="B580" s="168"/>
      <c r="C580" s="166"/>
      <c r="D580" s="168"/>
      <c r="E580" s="166"/>
      <c r="F580" s="167"/>
      <c r="G580" s="168"/>
    </row>
    <row r="581" customHeight="1" spans="2:7">
      <c r="B581" s="168"/>
      <c r="C581" s="166"/>
      <c r="D581" s="168"/>
      <c r="E581" s="166"/>
      <c r="F581" s="167"/>
      <c r="G581" s="168"/>
    </row>
    <row r="582" customHeight="1" spans="2:7">
      <c r="B582" s="168"/>
      <c r="C582" s="166"/>
      <c r="D582" s="168"/>
      <c r="E582" s="166"/>
      <c r="F582" s="167"/>
      <c r="G582" s="168"/>
    </row>
    <row r="583" customHeight="1" spans="2:7">
      <c r="B583" s="168"/>
      <c r="C583" s="166"/>
      <c r="D583" s="168"/>
      <c r="E583" s="166"/>
      <c r="F583" s="167"/>
      <c r="G583" s="168"/>
    </row>
    <row r="584" customHeight="1" spans="2:7">
      <c r="B584" s="168"/>
      <c r="C584" s="166"/>
      <c r="D584" s="168"/>
      <c r="E584" s="166"/>
      <c r="F584" s="167"/>
      <c r="G584" s="168"/>
    </row>
    <row r="585" customHeight="1" spans="2:7">
      <c r="B585" s="168"/>
      <c r="C585" s="166"/>
      <c r="D585" s="168"/>
      <c r="E585" s="166"/>
      <c r="F585" s="167"/>
      <c r="G585" s="168"/>
    </row>
    <row r="586" customHeight="1" spans="2:7">
      <c r="B586" s="168"/>
      <c r="C586" s="166"/>
      <c r="D586" s="168"/>
      <c r="E586" s="166"/>
      <c r="F586" s="167"/>
      <c r="G586" s="168"/>
    </row>
    <row r="587" customHeight="1" spans="2:7">
      <c r="B587" s="168"/>
      <c r="C587" s="166"/>
      <c r="D587" s="168"/>
      <c r="E587" s="166"/>
      <c r="F587" s="167"/>
      <c r="G587" s="168"/>
    </row>
    <row r="588" customHeight="1" spans="2:7">
      <c r="B588" s="168"/>
      <c r="C588" s="166"/>
      <c r="D588" s="168"/>
      <c r="E588" s="166"/>
      <c r="F588" s="167"/>
      <c r="G588" s="168"/>
    </row>
    <row r="589" customHeight="1" spans="2:7">
      <c r="B589" s="168"/>
      <c r="C589" s="166"/>
      <c r="D589" s="168"/>
      <c r="E589" s="166"/>
      <c r="F589" s="167"/>
      <c r="G589" s="168"/>
    </row>
    <row r="590" customHeight="1" spans="2:7">
      <c r="B590" s="168"/>
      <c r="C590" s="166"/>
      <c r="D590" s="168"/>
      <c r="E590" s="166"/>
      <c r="F590" s="167"/>
      <c r="G590" s="168"/>
    </row>
    <row r="591" customHeight="1" spans="2:7">
      <c r="B591" s="168"/>
      <c r="C591" s="166"/>
      <c r="D591" s="168"/>
      <c r="E591" s="166"/>
      <c r="F591" s="167"/>
      <c r="G591" s="168"/>
    </row>
    <row r="592" customHeight="1" spans="2:7">
      <c r="B592" s="168"/>
      <c r="C592" s="166"/>
      <c r="D592" s="168"/>
      <c r="E592" s="166"/>
      <c r="F592" s="167"/>
      <c r="G592" s="168"/>
    </row>
    <row r="593" customHeight="1" spans="2:7">
      <c r="B593" s="168"/>
      <c r="C593" s="166"/>
      <c r="D593" s="168"/>
      <c r="E593" s="166"/>
      <c r="F593" s="167"/>
      <c r="G593" s="168"/>
    </row>
    <row r="594" customHeight="1" spans="2:7">
      <c r="B594" s="168"/>
      <c r="C594" s="166"/>
      <c r="D594" s="168"/>
      <c r="E594" s="166"/>
      <c r="F594" s="167"/>
      <c r="G594" s="168"/>
    </row>
    <row r="595" customHeight="1" spans="2:7">
      <c r="B595" s="168"/>
      <c r="C595" s="166"/>
      <c r="D595" s="168"/>
      <c r="E595" s="166"/>
      <c r="F595" s="167"/>
      <c r="G595" s="168"/>
    </row>
    <row r="596" customHeight="1" spans="2:7">
      <c r="B596" s="168"/>
      <c r="C596" s="166"/>
      <c r="D596" s="168"/>
      <c r="E596" s="166"/>
      <c r="F596" s="167"/>
      <c r="G596" s="168"/>
    </row>
    <row r="597" customHeight="1" spans="2:7">
      <c r="B597" s="168"/>
      <c r="C597" s="166"/>
      <c r="D597" s="168"/>
      <c r="E597" s="166"/>
      <c r="F597" s="167"/>
      <c r="G597" s="168"/>
    </row>
    <row r="598" customHeight="1" spans="2:7">
      <c r="B598" s="168"/>
      <c r="C598" s="166"/>
      <c r="D598" s="168"/>
      <c r="E598" s="166"/>
      <c r="F598" s="167"/>
      <c r="G598" s="168"/>
    </row>
    <row r="599" customHeight="1" spans="2:7">
      <c r="B599" s="168"/>
      <c r="C599" s="166"/>
      <c r="D599" s="168"/>
      <c r="E599" s="166"/>
      <c r="F599" s="167"/>
      <c r="G599" s="168"/>
    </row>
    <row r="600" customHeight="1" spans="2:7">
      <c r="B600" s="168"/>
      <c r="C600" s="166"/>
      <c r="D600" s="168"/>
      <c r="E600" s="166"/>
      <c r="F600" s="167"/>
      <c r="G600" s="168"/>
    </row>
    <row r="601" customHeight="1" spans="2:7">
      <c r="B601" s="168"/>
      <c r="C601" s="166"/>
      <c r="D601" s="168"/>
      <c r="E601" s="166"/>
      <c r="F601" s="167"/>
      <c r="G601" s="168"/>
    </row>
    <row r="602" customHeight="1" spans="2:7">
      <c r="B602" s="168"/>
      <c r="C602" s="166"/>
      <c r="D602" s="168"/>
      <c r="E602" s="166"/>
      <c r="F602" s="167"/>
      <c r="G602" s="168"/>
    </row>
    <row r="603" customHeight="1" spans="2:7">
      <c r="B603" s="168"/>
      <c r="C603" s="166"/>
      <c r="D603" s="168"/>
      <c r="E603" s="166"/>
      <c r="F603" s="167"/>
      <c r="G603" s="168"/>
    </row>
    <row r="604" customHeight="1" spans="2:7">
      <c r="B604" s="168"/>
      <c r="C604" s="166"/>
      <c r="D604" s="168"/>
      <c r="E604" s="166"/>
      <c r="F604" s="167"/>
      <c r="G604" s="168"/>
    </row>
    <row r="605" customHeight="1" spans="2:7">
      <c r="B605" s="168"/>
      <c r="C605" s="166"/>
      <c r="D605" s="168"/>
      <c r="E605" s="166"/>
      <c r="F605" s="167"/>
      <c r="G605" s="168"/>
    </row>
    <row r="606" customHeight="1" spans="2:7">
      <c r="B606" s="168"/>
      <c r="C606" s="166"/>
      <c r="D606" s="168"/>
      <c r="E606" s="166"/>
      <c r="F606" s="167"/>
      <c r="G606" s="168"/>
    </row>
    <row r="607" customHeight="1" spans="2:7">
      <c r="B607" s="168"/>
      <c r="C607" s="166"/>
      <c r="D607" s="168"/>
      <c r="E607" s="166"/>
      <c r="F607" s="167"/>
      <c r="G607" s="168"/>
    </row>
    <row r="608" customHeight="1" spans="2:7">
      <c r="B608" s="168"/>
      <c r="C608" s="166"/>
      <c r="D608" s="168"/>
      <c r="E608" s="166"/>
      <c r="F608" s="167"/>
      <c r="G608" s="168"/>
    </row>
    <row r="609" customHeight="1" spans="2:7">
      <c r="B609" s="168"/>
      <c r="C609" s="166"/>
      <c r="D609" s="168"/>
      <c r="E609" s="166"/>
      <c r="F609" s="167"/>
      <c r="G609" s="168"/>
    </row>
    <row r="610" customHeight="1" spans="2:7">
      <c r="B610" s="168"/>
      <c r="C610" s="166"/>
      <c r="D610" s="168"/>
      <c r="E610" s="166"/>
      <c r="F610" s="167"/>
      <c r="G610" s="168"/>
    </row>
    <row r="611" customHeight="1" spans="2:7">
      <c r="B611" s="168"/>
      <c r="C611" s="166"/>
      <c r="D611" s="168"/>
      <c r="E611" s="166"/>
      <c r="F611" s="167"/>
      <c r="G611" s="168"/>
    </row>
    <row r="612" customHeight="1" spans="2:7">
      <c r="B612" s="168"/>
      <c r="C612" s="166"/>
      <c r="D612" s="168"/>
      <c r="E612" s="166"/>
      <c r="F612" s="167"/>
      <c r="G612" s="168"/>
    </row>
    <row r="613" customHeight="1" spans="2:7">
      <c r="B613" s="168"/>
      <c r="C613" s="166"/>
      <c r="D613" s="168"/>
      <c r="E613" s="166"/>
      <c r="F613" s="167"/>
      <c r="G613" s="168"/>
    </row>
    <row r="614" customHeight="1" spans="2:7">
      <c r="B614" s="168"/>
      <c r="C614" s="166"/>
      <c r="D614" s="168"/>
      <c r="E614" s="166"/>
      <c r="F614" s="167"/>
      <c r="G614" s="168"/>
    </row>
    <row r="615" customHeight="1" spans="2:7">
      <c r="B615" s="168"/>
      <c r="C615" s="166"/>
      <c r="D615" s="168"/>
      <c r="E615" s="166"/>
      <c r="F615" s="167"/>
      <c r="G615" s="168"/>
    </row>
    <row r="616" customHeight="1" spans="2:7">
      <c r="B616" s="168"/>
      <c r="C616" s="166"/>
      <c r="D616" s="168"/>
      <c r="E616" s="166"/>
      <c r="F616" s="167"/>
      <c r="G616" s="168"/>
    </row>
    <row r="617" customHeight="1" spans="2:7">
      <c r="B617" s="168"/>
      <c r="C617" s="166"/>
      <c r="D617" s="168"/>
      <c r="E617" s="166"/>
      <c r="F617" s="167"/>
      <c r="G617" s="168"/>
    </row>
    <row r="618" customHeight="1" spans="2:7">
      <c r="B618" s="168"/>
      <c r="C618" s="166"/>
      <c r="D618" s="168"/>
      <c r="E618" s="166"/>
      <c r="F618" s="167"/>
      <c r="G618" s="168"/>
    </row>
    <row r="619" customHeight="1" spans="2:7">
      <c r="B619" s="168"/>
      <c r="C619" s="166"/>
      <c r="D619" s="168"/>
      <c r="E619" s="166"/>
      <c r="F619" s="167"/>
      <c r="G619" s="168"/>
    </row>
    <row r="620" customHeight="1" spans="2:7">
      <c r="B620" s="168"/>
      <c r="C620" s="166"/>
      <c r="D620" s="168"/>
      <c r="E620" s="166"/>
      <c r="F620" s="167"/>
      <c r="G620" s="168"/>
    </row>
    <row r="621" customHeight="1" spans="2:7">
      <c r="B621" s="168"/>
      <c r="C621" s="166"/>
      <c r="D621" s="168"/>
      <c r="E621" s="166"/>
      <c r="F621" s="167"/>
      <c r="G621" s="168"/>
    </row>
    <row r="622" customHeight="1" spans="2:7">
      <c r="B622" s="168"/>
      <c r="C622" s="166"/>
      <c r="D622" s="168"/>
      <c r="E622" s="166"/>
      <c r="F622" s="167"/>
      <c r="G622" s="168"/>
    </row>
    <row r="623" customHeight="1" spans="2:7">
      <c r="B623" s="168"/>
      <c r="C623" s="166"/>
      <c r="D623" s="168"/>
      <c r="E623" s="166"/>
      <c r="F623" s="167"/>
      <c r="G623" s="168"/>
    </row>
    <row r="624" customHeight="1" spans="2:7">
      <c r="B624" s="168"/>
      <c r="C624" s="166"/>
      <c r="D624" s="168"/>
      <c r="E624" s="166"/>
      <c r="F624" s="167"/>
      <c r="G624" s="168"/>
    </row>
    <row r="625" customHeight="1" spans="2:7">
      <c r="B625" s="168"/>
      <c r="C625" s="166"/>
      <c r="D625" s="168"/>
      <c r="E625" s="166"/>
      <c r="F625" s="167"/>
      <c r="G625" s="168"/>
    </row>
    <row r="626" customHeight="1" spans="2:7">
      <c r="B626" s="168"/>
      <c r="C626" s="166"/>
      <c r="D626" s="168"/>
      <c r="E626" s="166"/>
      <c r="F626" s="167"/>
      <c r="G626" s="168"/>
    </row>
    <row r="627" customHeight="1" spans="2:7">
      <c r="B627" s="168"/>
      <c r="C627" s="166"/>
      <c r="D627" s="168"/>
      <c r="E627" s="166"/>
      <c r="F627" s="167"/>
      <c r="G627" s="168"/>
    </row>
    <row r="628" customHeight="1" spans="2:7">
      <c r="B628" s="168"/>
      <c r="C628" s="166"/>
      <c r="D628" s="168"/>
      <c r="E628" s="166"/>
      <c r="F628" s="167"/>
      <c r="G628" s="168"/>
    </row>
    <row r="629" customHeight="1" spans="2:7">
      <c r="B629" s="168"/>
      <c r="C629" s="166"/>
      <c r="D629" s="168"/>
      <c r="E629" s="166"/>
      <c r="F629" s="167"/>
      <c r="G629" s="168"/>
    </row>
    <row r="630" customHeight="1" spans="2:7">
      <c r="B630" s="168"/>
      <c r="C630" s="166"/>
      <c r="D630" s="168"/>
      <c r="E630" s="166"/>
      <c r="F630" s="167"/>
      <c r="G630" s="168"/>
    </row>
    <row r="631" customHeight="1" spans="2:7">
      <c r="B631" s="168"/>
      <c r="C631" s="166"/>
      <c r="D631" s="168"/>
      <c r="E631" s="166"/>
      <c r="F631" s="167"/>
      <c r="G631" s="168"/>
    </row>
    <row r="632" customHeight="1" spans="2:7">
      <c r="B632" s="168"/>
      <c r="C632" s="166"/>
      <c r="D632" s="168"/>
      <c r="E632" s="166"/>
      <c r="F632" s="167"/>
      <c r="G632" s="168"/>
    </row>
    <row r="633" customHeight="1" spans="2:7">
      <c r="B633" s="168"/>
      <c r="C633" s="166"/>
      <c r="D633" s="168"/>
      <c r="E633" s="166"/>
      <c r="F633" s="167"/>
      <c r="G633" s="168"/>
    </row>
    <row r="634" customHeight="1" spans="2:7">
      <c r="B634" s="168"/>
      <c r="C634" s="166"/>
      <c r="D634" s="168"/>
      <c r="E634" s="166"/>
      <c r="F634" s="167"/>
      <c r="G634" s="168"/>
    </row>
    <row r="635" customHeight="1" spans="2:7">
      <c r="B635" s="168"/>
      <c r="C635" s="166"/>
      <c r="D635" s="168"/>
      <c r="E635" s="166"/>
      <c r="F635" s="167"/>
      <c r="G635" s="168"/>
    </row>
    <row r="636" customHeight="1" spans="2:7">
      <c r="B636" s="168"/>
      <c r="C636" s="166"/>
      <c r="D636" s="168"/>
      <c r="E636" s="166"/>
      <c r="F636" s="167"/>
      <c r="G636" s="168"/>
    </row>
    <row r="637" customHeight="1" spans="2:7">
      <c r="B637" s="168"/>
      <c r="C637" s="166"/>
      <c r="D637" s="168"/>
      <c r="E637" s="166"/>
      <c r="F637" s="167"/>
      <c r="G637" s="168"/>
    </row>
    <row r="638" customHeight="1" spans="2:7">
      <c r="B638" s="168"/>
      <c r="C638" s="166"/>
      <c r="D638" s="168"/>
      <c r="E638" s="166"/>
      <c r="F638" s="167"/>
      <c r="G638" s="168"/>
    </row>
    <row r="639" customHeight="1" spans="2:7">
      <c r="B639" s="168"/>
      <c r="C639" s="166"/>
      <c r="D639" s="168"/>
      <c r="E639" s="166"/>
      <c r="F639" s="167"/>
      <c r="G639" s="168"/>
    </row>
    <row r="640" customHeight="1" spans="2:7">
      <c r="B640" s="168"/>
      <c r="C640" s="166"/>
      <c r="D640" s="168"/>
      <c r="E640" s="166"/>
      <c r="F640" s="167"/>
      <c r="G640" s="168"/>
    </row>
    <row r="641" customHeight="1" spans="2:7">
      <c r="B641" s="168"/>
      <c r="C641" s="166"/>
      <c r="D641" s="168"/>
      <c r="E641" s="166"/>
      <c r="F641" s="167"/>
      <c r="G641" s="168"/>
    </row>
    <row r="642" customHeight="1" spans="2:7">
      <c r="B642" s="168"/>
      <c r="C642" s="166"/>
      <c r="D642" s="168"/>
      <c r="E642" s="166"/>
      <c r="F642" s="167"/>
      <c r="G642" s="168"/>
    </row>
    <row r="643" customHeight="1" spans="2:7">
      <c r="B643" s="168"/>
      <c r="C643" s="166"/>
      <c r="D643" s="168"/>
      <c r="E643" s="166"/>
      <c r="F643" s="167"/>
      <c r="G643" s="168"/>
    </row>
    <row r="644" customHeight="1" spans="2:7">
      <c r="B644" s="168"/>
      <c r="C644" s="166"/>
      <c r="D644" s="168"/>
      <c r="E644" s="166"/>
      <c r="F644" s="167"/>
      <c r="G644" s="168"/>
    </row>
    <row r="645" customHeight="1" spans="2:7">
      <c r="B645" s="168"/>
      <c r="C645" s="166"/>
      <c r="D645" s="168"/>
      <c r="E645" s="166"/>
      <c r="F645" s="167"/>
      <c r="G645" s="168"/>
    </row>
    <row r="646" customHeight="1" spans="2:7">
      <c r="B646" s="168"/>
      <c r="C646" s="166"/>
      <c r="D646" s="168"/>
      <c r="E646" s="166"/>
      <c r="F646" s="167"/>
      <c r="G646" s="168"/>
    </row>
    <row r="647" customHeight="1" spans="2:7">
      <c r="B647" s="168"/>
      <c r="C647" s="166"/>
      <c r="D647" s="168"/>
      <c r="E647" s="166"/>
      <c r="F647" s="167"/>
      <c r="G647" s="168"/>
    </row>
    <row r="648" customHeight="1" spans="2:7">
      <c r="B648" s="168"/>
      <c r="C648" s="166"/>
      <c r="D648" s="168"/>
      <c r="E648" s="166"/>
      <c r="F648" s="167"/>
      <c r="G648" s="168"/>
    </row>
    <row r="649" customHeight="1" spans="2:7">
      <c r="B649" s="168"/>
      <c r="C649" s="166"/>
      <c r="D649" s="168"/>
      <c r="E649" s="166"/>
      <c r="F649" s="167"/>
      <c r="G649" s="168"/>
    </row>
    <row r="650" customHeight="1" spans="2:7">
      <c r="B650" s="168"/>
      <c r="C650" s="166"/>
      <c r="D650" s="168"/>
      <c r="E650" s="166"/>
      <c r="F650" s="167"/>
      <c r="G650" s="168"/>
    </row>
    <row r="651" customHeight="1" spans="2:7">
      <c r="B651" s="168"/>
      <c r="C651" s="166"/>
      <c r="D651" s="168"/>
      <c r="E651" s="166"/>
      <c r="F651" s="167"/>
      <c r="G651" s="168"/>
    </row>
    <row r="652" customHeight="1" spans="2:7">
      <c r="B652" s="168"/>
      <c r="C652" s="166"/>
      <c r="D652" s="168"/>
      <c r="E652" s="166"/>
      <c r="F652" s="167"/>
      <c r="G652" s="168"/>
    </row>
    <row r="653" customHeight="1" spans="2:7">
      <c r="B653" s="168"/>
      <c r="C653" s="166"/>
      <c r="D653" s="168"/>
      <c r="E653" s="166"/>
      <c r="F653" s="167"/>
      <c r="G653" s="168"/>
    </row>
    <row r="654" customHeight="1" spans="2:7">
      <c r="B654" s="168"/>
      <c r="C654" s="166"/>
      <c r="D654" s="168"/>
      <c r="E654" s="166"/>
      <c r="F654" s="167"/>
      <c r="G654" s="168"/>
    </row>
    <row r="655" customHeight="1" spans="2:7">
      <c r="B655" s="168"/>
      <c r="C655" s="166"/>
      <c r="D655" s="168"/>
      <c r="E655" s="166"/>
      <c r="F655" s="167"/>
      <c r="G655" s="168"/>
    </row>
    <row r="656" customHeight="1" spans="2:7">
      <c r="B656" s="168"/>
      <c r="C656" s="166"/>
      <c r="D656" s="168"/>
      <c r="E656" s="166"/>
      <c r="F656" s="167"/>
      <c r="G656" s="168"/>
    </row>
    <row r="657" customHeight="1" spans="2:7">
      <c r="B657" s="168"/>
      <c r="C657" s="166"/>
      <c r="D657" s="168"/>
      <c r="E657" s="166"/>
      <c r="F657" s="167"/>
      <c r="G657" s="168"/>
    </row>
    <row r="658" customHeight="1" spans="2:7">
      <c r="B658" s="168"/>
      <c r="C658" s="166"/>
      <c r="D658" s="168"/>
      <c r="E658" s="166"/>
      <c r="F658" s="167"/>
      <c r="G658" s="168"/>
    </row>
    <row r="659" customHeight="1" spans="2:7">
      <c r="B659" s="168"/>
      <c r="C659" s="166"/>
      <c r="D659" s="168"/>
      <c r="E659" s="166"/>
      <c r="F659" s="167"/>
      <c r="G659" s="168"/>
    </row>
    <row r="660" customHeight="1" spans="2:7">
      <c r="B660" s="168"/>
      <c r="C660" s="166"/>
      <c r="D660" s="168"/>
      <c r="E660" s="166"/>
      <c r="F660" s="167"/>
      <c r="G660" s="168"/>
    </row>
    <row r="661" customHeight="1" spans="2:7">
      <c r="B661" s="168"/>
      <c r="C661" s="166"/>
      <c r="D661" s="168"/>
      <c r="E661" s="166"/>
      <c r="F661" s="167"/>
      <c r="G661" s="168"/>
    </row>
    <row r="662" customHeight="1" spans="2:7">
      <c r="B662" s="168"/>
      <c r="C662" s="166"/>
      <c r="D662" s="168"/>
      <c r="E662" s="166"/>
      <c r="F662" s="167"/>
      <c r="G662" s="168"/>
    </row>
    <row r="663" customHeight="1" spans="2:7">
      <c r="B663" s="168"/>
      <c r="C663" s="166"/>
      <c r="D663" s="168"/>
      <c r="E663" s="166"/>
      <c r="F663" s="167"/>
      <c r="G663" s="168"/>
    </row>
    <row r="664" customHeight="1" spans="2:7">
      <c r="B664" s="168"/>
      <c r="C664" s="166"/>
      <c r="D664" s="168"/>
      <c r="E664" s="166"/>
      <c r="F664" s="167"/>
      <c r="G664" s="168"/>
    </row>
    <row r="665" customHeight="1" spans="2:7">
      <c r="B665" s="168"/>
      <c r="C665" s="166"/>
      <c r="D665" s="168"/>
      <c r="E665" s="166"/>
      <c r="F665" s="167"/>
      <c r="G665" s="168"/>
    </row>
    <row r="666" customHeight="1" spans="2:7">
      <c r="B666" s="168"/>
      <c r="C666" s="166"/>
      <c r="D666" s="168"/>
      <c r="E666" s="166"/>
      <c r="F666" s="167"/>
      <c r="G666" s="168"/>
    </row>
    <row r="667" customHeight="1" spans="2:7">
      <c r="B667" s="168"/>
      <c r="C667" s="166"/>
      <c r="D667" s="168"/>
      <c r="E667" s="166"/>
      <c r="F667" s="167"/>
      <c r="G667" s="168"/>
    </row>
    <row r="668" customHeight="1" spans="2:7">
      <c r="B668" s="168"/>
      <c r="C668" s="166"/>
      <c r="D668" s="168"/>
      <c r="E668" s="166"/>
      <c r="F668" s="167"/>
      <c r="G668" s="168"/>
    </row>
    <row r="669" customHeight="1" spans="2:7">
      <c r="B669" s="168"/>
      <c r="C669" s="166"/>
      <c r="D669" s="168"/>
      <c r="E669" s="166"/>
      <c r="F669" s="167"/>
      <c r="G669" s="168"/>
    </row>
    <row r="670" customHeight="1" spans="2:7">
      <c r="B670" s="168"/>
      <c r="C670" s="166"/>
      <c r="D670" s="168"/>
      <c r="E670" s="166"/>
      <c r="F670" s="167"/>
      <c r="G670" s="168"/>
    </row>
    <row r="671" customHeight="1" spans="2:7">
      <c r="B671" s="168"/>
      <c r="C671" s="166"/>
      <c r="D671" s="168"/>
      <c r="E671" s="166"/>
      <c r="F671" s="167"/>
      <c r="G671" s="168"/>
    </row>
    <row r="672" customHeight="1" spans="2:7">
      <c r="B672" s="168"/>
      <c r="C672" s="166"/>
      <c r="D672" s="168"/>
      <c r="E672" s="166"/>
      <c r="F672" s="167"/>
      <c r="G672" s="168"/>
    </row>
    <row r="673" customHeight="1" spans="2:7">
      <c r="B673" s="168"/>
      <c r="C673" s="166"/>
      <c r="D673" s="168"/>
      <c r="E673" s="166"/>
      <c r="F673" s="167"/>
      <c r="G673" s="168"/>
    </row>
    <row r="674" customHeight="1" spans="2:7">
      <c r="B674" s="168"/>
      <c r="C674" s="166"/>
      <c r="D674" s="168"/>
      <c r="E674" s="166"/>
      <c r="F674" s="167"/>
      <c r="G674" s="168"/>
    </row>
    <row r="675" customHeight="1" spans="2:7">
      <c r="B675" s="168"/>
      <c r="C675" s="166"/>
      <c r="D675" s="168"/>
      <c r="E675" s="166"/>
      <c r="F675" s="167"/>
      <c r="G675" s="168"/>
    </row>
    <row r="676" customHeight="1" spans="2:7">
      <c r="B676" s="168"/>
      <c r="C676" s="166"/>
      <c r="D676" s="168"/>
      <c r="E676" s="166"/>
      <c r="F676" s="167"/>
      <c r="G676" s="168"/>
    </row>
    <row r="677" customHeight="1" spans="2:7">
      <c r="B677" s="168"/>
      <c r="C677" s="166"/>
      <c r="D677" s="168"/>
      <c r="E677" s="166"/>
      <c r="F677" s="167"/>
      <c r="G677" s="168"/>
    </row>
    <row r="678" customHeight="1" spans="2:7">
      <c r="B678" s="168"/>
      <c r="C678" s="166"/>
      <c r="D678" s="168"/>
      <c r="E678" s="166"/>
      <c r="F678" s="167"/>
      <c r="G678" s="168"/>
    </row>
    <row r="679" customHeight="1" spans="2:7">
      <c r="B679" s="168"/>
      <c r="C679" s="166"/>
      <c r="D679" s="168"/>
      <c r="E679" s="166"/>
      <c r="F679" s="167"/>
      <c r="G679" s="168"/>
    </row>
    <row r="680" customHeight="1" spans="2:7">
      <c r="B680" s="168"/>
      <c r="C680" s="166"/>
      <c r="D680" s="168"/>
      <c r="E680" s="166"/>
      <c r="F680" s="167"/>
      <c r="G680" s="168"/>
    </row>
    <row r="681" customHeight="1" spans="2:7">
      <c r="B681" s="168"/>
      <c r="C681" s="166"/>
      <c r="D681" s="168"/>
      <c r="E681" s="166"/>
      <c r="F681" s="167"/>
      <c r="G681" s="168"/>
    </row>
    <row r="682" customHeight="1" spans="2:7">
      <c r="B682" s="168"/>
      <c r="C682" s="166"/>
      <c r="D682" s="168"/>
      <c r="E682" s="166"/>
      <c r="F682" s="167"/>
      <c r="G682" s="168"/>
    </row>
    <row r="683" customHeight="1" spans="2:7">
      <c r="B683" s="168"/>
      <c r="C683" s="166"/>
      <c r="D683" s="168"/>
      <c r="E683" s="166"/>
      <c r="F683" s="167"/>
      <c r="G683" s="168"/>
    </row>
    <row r="684" customHeight="1" spans="2:7">
      <c r="B684" s="168"/>
      <c r="C684" s="166"/>
      <c r="D684" s="168"/>
      <c r="E684" s="166"/>
      <c r="F684" s="167"/>
      <c r="G684" s="168"/>
    </row>
    <row r="685" customHeight="1" spans="2:7">
      <c r="B685" s="168"/>
      <c r="C685" s="166"/>
      <c r="D685" s="168"/>
      <c r="E685" s="166"/>
      <c r="F685" s="167"/>
      <c r="G685" s="168"/>
    </row>
    <row r="686" customHeight="1" spans="2:7">
      <c r="B686" s="168"/>
      <c r="C686" s="166"/>
      <c r="D686" s="168"/>
      <c r="E686" s="166"/>
      <c r="F686" s="167"/>
      <c r="G686" s="168"/>
    </row>
    <row r="687" customHeight="1" spans="2:7">
      <c r="B687" s="168"/>
      <c r="C687" s="166"/>
      <c r="D687" s="168"/>
      <c r="E687" s="166"/>
      <c r="F687" s="167"/>
      <c r="G687" s="168"/>
    </row>
    <row r="688" customHeight="1" spans="2:7">
      <c r="B688" s="168"/>
      <c r="C688" s="166"/>
      <c r="D688" s="168"/>
      <c r="E688" s="166"/>
      <c r="F688" s="167"/>
      <c r="G688" s="168"/>
    </row>
    <row r="689" customHeight="1" spans="2:7">
      <c r="B689" s="168"/>
      <c r="C689" s="166"/>
      <c r="D689" s="168"/>
      <c r="E689" s="166"/>
      <c r="F689" s="167"/>
      <c r="G689" s="168"/>
    </row>
    <row r="690" customHeight="1" spans="2:7">
      <c r="B690" s="168"/>
      <c r="C690" s="166"/>
      <c r="D690" s="168"/>
      <c r="E690" s="166"/>
      <c r="F690" s="167"/>
      <c r="G690" s="168"/>
    </row>
    <row r="691" customHeight="1" spans="2:7">
      <c r="B691" s="168"/>
      <c r="C691" s="166"/>
      <c r="D691" s="168"/>
      <c r="E691" s="166"/>
      <c r="F691" s="167"/>
      <c r="G691" s="168"/>
    </row>
    <row r="692" customHeight="1" spans="2:7">
      <c r="B692" s="168"/>
      <c r="C692" s="166"/>
      <c r="D692" s="168"/>
      <c r="E692" s="166"/>
      <c r="F692" s="167"/>
      <c r="G692" s="168"/>
    </row>
    <row r="693" customHeight="1" spans="2:7">
      <c r="B693" s="168"/>
      <c r="C693" s="166"/>
      <c r="D693" s="168"/>
      <c r="E693" s="166"/>
      <c r="F693" s="167"/>
      <c r="G693" s="168"/>
    </row>
    <row r="694" customHeight="1" spans="2:7">
      <c r="B694" s="168"/>
      <c r="C694" s="166"/>
      <c r="D694" s="168"/>
      <c r="E694" s="166"/>
      <c r="F694" s="167"/>
      <c r="G694" s="168"/>
    </row>
    <row r="695" customHeight="1" spans="2:7">
      <c r="B695" s="168"/>
      <c r="C695" s="166"/>
      <c r="D695" s="168"/>
      <c r="E695" s="166"/>
      <c r="F695" s="167"/>
      <c r="G695" s="168"/>
    </row>
    <row r="696" customHeight="1" spans="2:7">
      <c r="B696" s="168"/>
      <c r="C696" s="166"/>
      <c r="D696" s="168"/>
      <c r="E696" s="166"/>
      <c r="F696" s="167"/>
      <c r="G696" s="168"/>
    </row>
    <row r="697" customHeight="1" spans="2:7">
      <c r="B697" s="168"/>
      <c r="C697" s="166"/>
      <c r="D697" s="168"/>
      <c r="E697" s="166"/>
      <c r="F697" s="167"/>
      <c r="G697" s="168"/>
    </row>
    <row r="698" customHeight="1" spans="2:7">
      <c r="B698" s="168"/>
      <c r="C698" s="166"/>
      <c r="D698" s="168"/>
      <c r="E698" s="166"/>
      <c r="F698" s="167"/>
      <c r="G698" s="168"/>
    </row>
    <row r="699" customHeight="1" spans="2:7">
      <c r="B699" s="168"/>
      <c r="C699" s="166"/>
      <c r="D699" s="168"/>
      <c r="E699" s="166"/>
      <c r="F699" s="167"/>
      <c r="G699" s="168"/>
    </row>
    <row r="700" customHeight="1" spans="2:7">
      <c r="B700" s="168"/>
      <c r="C700" s="166"/>
      <c r="D700" s="168"/>
      <c r="E700" s="166"/>
      <c r="F700" s="167"/>
      <c r="G700" s="168"/>
    </row>
    <row r="701" customHeight="1" spans="2:7">
      <c r="B701" s="168"/>
      <c r="C701" s="166"/>
      <c r="D701" s="168"/>
      <c r="E701" s="166"/>
      <c r="F701" s="167"/>
      <c r="G701" s="168"/>
    </row>
    <row r="702" customHeight="1" spans="2:7">
      <c r="B702" s="168"/>
      <c r="C702" s="166"/>
      <c r="D702" s="168"/>
      <c r="E702" s="166"/>
      <c r="F702" s="167"/>
      <c r="G702" s="168"/>
    </row>
    <row r="703" customHeight="1" spans="2:7">
      <c r="B703" s="168"/>
      <c r="C703" s="166"/>
      <c r="D703" s="168"/>
      <c r="E703" s="166"/>
      <c r="F703" s="167"/>
      <c r="G703" s="168"/>
    </row>
    <row r="704" customHeight="1" spans="2:7">
      <c r="B704" s="168"/>
      <c r="C704" s="166"/>
      <c r="D704" s="168"/>
      <c r="E704" s="166"/>
      <c r="F704" s="167"/>
      <c r="G704" s="168"/>
    </row>
    <row r="705" customHeight="1" spans="2:7">
      <c r="B705" s="168"/>
      <c r="C705" s="166"/>
      <c r="D705" s="168"/>
      <c r="E705" s="166"/>
      <c r="F705" s="167"/>
      <c r="G705" s="168"/>
    </row>
    <row r="706" customHeight="1" spans="2:7">
      <c r="B706" s="168"/>
      <c r="C706" s="166"/>
      <c r="D706" s="168"/>
      <c r="E706" s="166"/>
      <c r="F706" s="167"/>
      <c r="G706" s="168"/>
    </row>
    <row r="707" customHeight="1" spans="2:7">
      <c r="B707" s="168"/>
      <c r="C707" s="166"/>
      <c r="D707" s="168"/>
      <c r="E707" s="166"/>
      <c r="F707" s="167"/>
      <c r="G707" s="168"/>
    </row>
    <row r="708" customHeight="1" spans="2:7">
      <c r="B708" s="168"/>
      <c r="C708" s="166"/>
      <c r="D708" s="168"/>
      <c r="E708" s="166"/>
      <c r="F708" s="167"/>
      <c r="G708" s="168"/>
    </row>
    <row r="709" customHeight="1" spans="2:7">
      <c r="B709" s="168"/>
      <c r="C709" s="166"/>
      <c r="D709" s="168"/>
      <c r="E709" s="166"/>
      <c r="F709" s="167"/>
      <c r="G709" s="168"/>
    </row>
    <row r="710" customHeight="1" spans="2:7">
      <c r="B710" s="168"/>
      <c r="C710" s="166"/>
      <c r="D710" s="168"/>
      <c r="E710" s="166"/>
      <c r="F710" s="167"/>
      <c r="G710" s="168"/>
    </row>
    <row r="711" customHeight="1" spans="2:7">
      <c r="B711" s="168"/>
      <c r="C711" s="166"/>
      <c r="D711" s="168"/>
      <c r="E711" s="166"/>
      <c r="F711" s="167"/>
      <c r="G711" s="168"/>
    </row>
    <row r="712" customHeight="1" spans="2:7">
      <c r="B712" s="168"/>
      <c r="C712" s="166"/>
      <c r="D712" s="168"/>
      <c r="E712" s="166"/>
      <c r="F712" s="167"/>
      <c r="G712" s="168"/>
    </row>
    <row r="713" customHeight="1" spans="2:7">
      <c r="B713" s="168"/>
      <c r="C713" s="166"/>
      <c r="D713" s="168"/>
      <c r="E713" s="166"/>
      <c r="F713" s="167"/>
      <c r="G713" s="168"/>
    </row>
    <row r="714" customHeight="1" spans="2:7">
      <c r="B714" s="168"/>
      <c r="C714" s="166"/>
      <c r="D714" s="168"/>
      <c r="E714" s="166"/>
      <c r="F714" s="167"/>
      <c r="G714" s="168"/>
    </row>
    <row r="715" customHeight="1" spans="2:7">
      <c r="B715" s="168"/>
      <c r="C715" s="166"/>
      <c r="D715" s="168"/>
      <c r="E715" s="166"/>
      <c r="F715" s="167"/>
      <c r="G715" s="168"/>
    </row>
    <row r="716" customHeight="1" spans="2:7">
      <c r="B716" s="168"/>
      <c r="C716" s="166"/>
      <c r="D716" s="168"/>
      <c r="E716" s="166"/>
      <c r="F716" s="167"/>
      <c r="G716" s="168"/>
    </row>
    <row r="717" customHeight="1" spans="2:7">
      <c r="B717" s="168"/>
      <c r="C717" s="166"/>
      <c r="D717" s="168"/>
      <c r="E717" s="166"/>
      <c r="F717" s="167"/>
      <c r="G717" s="168"/>
    </row>
    <row r="718" customHeight="1" spans="2:7">
      <c r="B718" s="168"/>
      <c r="C718" s="166"/>
      <c r="D718" s="168"/>
      <c r="E718" s="166"/>
      <c r="F718" s="167"/>
      <c r="G718" s="168"/>
    </row>
    <row r="719" customHeight="1" spans="2:7">
      <c r="B719" s="168"/>
      <c r="C719" s="166"/>
      <c r="D719" s="168"/>
      <c r="E719" s="166"/>
      <c r="F719" s="167"/>
      <c r="G719" s="168"/>
    </row>
    <row r="720" customHeight="1" spans="2:7">
      <c r="B720" s="168"/>
      <c r="C720" s="166"/>
      <c r="D720" s="168"/>
      <c r="E720" s="166"/>
      <c r="F720" s="167"/>
      <c r="G720" s="168"/>
    </row>
    <row r="721" customHeight="1" spans="2:7">
      <c r="B721" s="168"/>
      <c r="C721" s="166"/>
      <c r="D721" s="168"/>
      <c r="E721" s="166"/>
      <c r="F721" s="167"/>
      <c r="G721" s="168"/>
    </row>
    <row r="722" customHeight="1" spans="2:7">
      <c r="B722" s="168"/>
      <c r="C722" s="166"/>
      <c r="D722" s="168"/>
      <c r="E722" s="166"/>
      <c r="F722" s="167"/>
      <c r="G722" s="168"/>
    </row>
    <row r="723" customHeight="1" spans="2:7">
      <c r="B723" s="168"/>
      <c r="C723" s="166"/>
      <c r="D723" s="168"/>
      <c r="E723" s="166"/>
      <c r="F723" s="167"/>
      <c r="G723" s="168"/>
    </row>
    <row r="724" customHeight="1" spans="2:7">
      <c r="B724" s="168"/>
      <c r="C724" s="166"/>
      <c r="D724" s="168"/>
      <c r="E724" s="166"/>
      <c r="F724" s="167"/>
      <c r="G724" s="168"/>
    </row>
    <row r="725" customHeight="1" spans="2:7">
      <c r="B725" s="168"/>
      <c r="C725" s="166"/>
      <c r="D725" s="168"/>
      <c r="E725" s="166"/>
      <c r="F725" s="167"/>
      <c r="G725" s="168"/>
    </row>
    <row r="726" customHeight="1" spans="2:7">
      <c r="B726" s="168"/>
      <c r="C726" s="166"/>
      <c r="D726" s="168"/>
      <c r="E726" s="166"/>
      <c r="F726" s="167"/>
      <c r="G726" s="168"/>
    </row>
    <row r="727" customHeight="1" spans="2:7">
      <c r="B727" s="168"/>
      <c r="C727" s="166"/>
      <c r="D727" s="168"/>
      <c r="E727" s="166"/>
      <c r="F727" s="167"/>
      <c r="G727" s="168"/>
    </row>
    <row r="728" customHeight="1" spans="2:7">
      <c r="B728" s="168"/>
      <c r="C728" s="166"/>
      <c r="D728" s="168"/>
      <c r="E728" s="166"/>
      <c r="F728" s="167"/>
      <c r="G728" s="168"/>
    </row>
    <row r="729" customHeight="1" spans="2:7">
      <c r="B729" s="168"/>
      <c r="C729" s="166"/>
      <c r="D729" s="168"/>
      <c r="E729" s="166"/>
      <c r="F729" s="167"/>
      <c r="G729" s="168"/>
    </row>
    <row r="730" customHeight="1" spans="2:7">
      <c r="B730" s="168"/>
      <c r="C730" s="166"/>
      <c r="D730" s="168"/>
      <c r="E730" s="166"/>
      <c r="F730" s="167"/>
      <c r="G730" s="168"/>
    </row>
    <row r="731" customHeight="1" spans="2:7">
      <c r="B731" s="168"/>
      <c r="C731" s="166"/>
      <c r="D731" s="168"/>
      <c r="E731" s="166"/>
      <c r="F731" s="167"/>
      <c r="G731" s="168"/>
    </row>
    <row r="732" customHeight="1" spans="2:7">
      <c r="B732" s="168"/>
      <c r="C732" s="166"/>
      <c r="D732" s="168"/>
      <c r="E732" s="166"/>
      <c r="F732" s="167"/>
      <c r="G732" s="168"/>
    </row>
    <row r="733" customHeight="1" spans="2:7">
      <c r="B733" s="168"/>
      <c r="C733" s="166"/>
      <c r="D733" s="168"/>
      <c r="E733" s="166"/>
      <c r="F733" s="167"/>
      <c r="G733" s="168"/>
    </row>
    <row r="734" customHeight="1" spans="2:7">
      <c r="B734" s="168"/>
      <c r="C734" s="166"/>
      <c r="D734" s="168"/>
      <c r="E734" s="166"/>
      <c r="F734" s="167"/>
      <c r="G734" s="168"/>
    </row>
    <row r="735" customHeight="1" spans="2:7">
      <c r="B735" s="168"/>
      <c r="C735" s="166"/>
      <c r="D735" s="168"/>
      <c r="E735" s="166"/>
      <c r="F735" s="167"/>
      <c r="G735" s="168"/>
    </row>
    <row r="736" customHeight="1" spans="2:7">
      <c r="B736" s="168"/>
      <c r="C736" s="166"/>
      <c r="D736" s="168"/>
      <c r="E736" s="166"/>
      <c r="F736" s="167"/>
      <c r="G736" s="168"/>
    </row>
    <row r="737" customHeight="1" spans="2:7">
      <c r="B737" s="168"/>
      <c r="C737" s="166"/>
      <c r="D737" s="168"/>
      <c r="E737" s="166"/>
      <c r="F737" s="167"/>
      <c r="G737" s="168"/>
    </row>
    <row r="738" customHeight="1" spans="2:7">
      <c r="B738" s="168"/>
      <c r="C738" s="166"/>
      <c r="D738" s="168"/>
      <c r="E738" s="166"/>
      <c r="F738" s="167"/>
      <c r="G738" s="168"/>
    </row>
    <row r="739" customHeight="1" spans="2:7">
      <c r="B739" s="168"/>
      <c r="C739" s="166"/>
      <c r="D739" s="168"/>
      <c r="E739" s="166"/>
      <c r="F739" s="167"/>
      <c r="G739" s="168"/>
    </row>
    <row r="740" customHeight="1" spans="2:7">
      <c r="B740" s="168"/>
      <c r="C740" s="166"/>
      <c r="D740" s="168"/>
      <c r="E740" s="166"/>
      <c r="F740" s="167"/>
      <c r="G740" s="168"/>
    </row>
    <row r="741" customHeight="1" spans="2:7">
      <c r="B741" s="168"/>
      <c r="C741" s="166"/>
      <c r="D741" s="168"/>
      <c r="E741" s="166"/>
      <c r="F741" s="167"/>
      <c r="G741" s="168"/>
    </row>
    <row r="742" customHeight="1" spans="2:7">
      <c r="B742" s="168"/>
      <c r="C742" s="166"/>
      <c r="D742" s="168"/>
      <c r="E742" s="166"/>
      <c r="F742" s="167"/>
      <c r="G742" s="168"/>
    </row>
    <row r="743" customHeight="1" spans="2:7">
      <c r="B743" s="168"/>
      <c r="C743" s="166"/>
      <c r="D743" s="168"/>
      <c r="E743" s="166"/>
      <c r="F743" s="167"/>
      <c r="G743" s="168"/>
    </row>
    <row r="744" customHeight="1" spans="2:7">
      <c r="B744" s="168"/>
      <c r="C744" s="166"/>
      <c r="D744" s="168"/>
      <c r="E744" s="166"/>
      <c r="F744" s="167"/>
      <c r="G744" s="168"/>
    </row>
    <row r="745" customHeight="1" spans="2:7">
      <c r="B745" s="168"/>
      <c r="C745" s="166"/>
      <c r="D745" s="168"/>
      <c r="E745" s="166"/>
      <c r="F745" s="167"/>
      <c r="G745" s="168"/>
    </row>
    <row r="746" customHeight="1" spans="2:7">
      <c r="B746" s="168"/>
      <c r="C746" s="166"/>
      <c r="D746" s="168"/>
      <c r="E746" s="166"/>
      <c r="F746" s="167"/>
      <c r="G746" s="168"/>
    </row>
    <row r="747" customHeight="1" spans="2:7">
      <c r="B747" s="168"/>
      <c r="C747" s="166"/>
      <c r="D747" s="168"/>
      <c r="E747" s="166"/>
      <c r="F747" s="167"/>
      <c r="G747" s="168"/>
    </row>
    <row r="748" customHeight="1" spans="2:7">
      <c r="B748" s="168"/>
      <c r="C748" s="166"/>
      <c r="D748" s="168"/>
      <c r="E748" s="166"/>
      <c r="F748" s="167"/>
      <c r="G748" s="168"/>
    </row>
    <row r="749" customHeight="1" spans="2:7">
      <c r="B749" s="168"/>
      <c r="C749" s="166"/>
      <c r="D749" s="168"/>
      <c r="E749" s="166"/>
      <c r="F749" s="167"/>
      <c r="G749" s="168"/>
    </row>
    <row r="750" customHeight="1" spans="2:7">
      <c r="B750" s="168"/>
      <c r="C750" s="166"/>
      <c r="D750" s="168"/>
      <c r="E750" s="166"/>
      <c r="F750" s="167"/>
      <c r="G750" s="168"/>
    </row>
    <row r="751" customHeight="1" spans="2:7">
      <c r="B751" s="168"/>
      <c r="C751" s="166"/>
      <c r="D751" s="168"/>
      <c r="E751" s="166"/>
      <c r="F751" s="167"/>
      <c r="G751" s="168"/>
    </row>
    <row r="752" customHeight="1" spans="2:7">
      <c r="B752" s="168"/>
      <c r="C752" s="166"/>
      <c r="D752" s="168"/>
      <c r="E752" s="166"/>
      <c r="F752" s="167"/>
      <c r="G752" s="168"/>
    </row>
    <row r="753" customHeight="1" spans="2:7">
      <c r="B753" s="168"/>
      <c r="C753" s="166"/>
      <c r="D753" s="168"/>
      <c r="E753" s="166"/>
      <c r="F753" s="167"/>
      <c r="G753" s="168"/>
    </row>
    <row r="754" customHeight="1" spans="2:7">
      <c r="B754" s="168"/>
      <c r="C754" s="166"/>
      <c r="D754" s="168"/>
      <c r="E754" s="166"/>
      <c r="F754" s="167"/>
      <c r="G754" s="168"/>
    </row>
    <row r="755" customHeight="1" spans="2:7">
      <c r="B755" s="168"/>
      <c r="C755" s="166"/>
      <c r="D755" s="168"/>
      <c r="E755" s="166"/>
      <c r="F755" s="167"/>
      <c r="G755" s="168"/>
    </row>
    <row r="756" customHeight="1" spans="2:7">
      <c r="B756" s="168"/>
      <c r="C756" s="166"/>
      <c r="D756" s="168"/>
      <c r="E756" s="166"/>
      <c r="F756" s="167"/>
      <c r="G756" s="168"/>
    </row>
    <row r="757" customHeight="1" spans="2:7">
      <c r="B757" s="168"/>
      <c r="C757" s="166"/>
      <c r="D757" s="168"/>
      <c r="E757" s="166"/>
      <c r="F757" s="167"/>
      <c r="G757" s="168"/>
    </row>
    <row r="758" customHeight="1" spans="2:7">
      <c r="B758" s="168"/>
      <c r="C758" s="166"/>
      <c r="D758" s="168"/>
      <c r="E758" s="166"/>
      <c r="F758" s="167"/>
      <c r="G758" s="168"/>
    </row>
    <row r="759" customHeight="1" spans="2:7">
      <c r="B759" s="168"/>
      <c r="C759" s="166"/>
      <c r="D759" s="168"/>
      <c r="E759" s="166"/>
      <c r="F759" s="167"/>
      <c r="G759" s="168"/>
    </row>
    <row r="760" customHeight="1" spans="2:7">
      <c r="B760" s="168"/>
      <c r="C760" s="166"/>
      <c r="D760" s="168"/>
      <c r="E760" s="166"/>
      <c r="F760" s="167"/>
      <c r="G760" s="168"/>
    </row>
    <row r="761" customHeight="1" spans="2:7">
      <c r="B761" s="168"/>
      <c r="C761" s="166"/>
      <c r="D761" s="168"/>
      <c r="E761" s="166"/>
      <c r="F761" s="167"/>
      <c r="G761" s="168"/>
    </row>
    <row r="762" customHeight="1" spans="2:7">
      <c r="B762" s="168"/>
      <c r="C762" s="166"/>
      <c r="D762" s="168"/>
      <c r="E762" s="166"/>
      <c r="F762" s="167"/>
      <c r="G762" s="168"/>
    </row>
    <row r="763" customHeight="1" spans="2:7">
      <c r="B763" s="168"/>
      <c r="C763" s="166"/>
      <c r="D763" s="168"/>
      <c r="E763" s="166"/>
      <c r="F763" s="167"/>
      <c r="G763" s="168"/>
    </row>
    <row r="764" customHeight="1" spans="2:7">
      <c r="B764" s="168"/>
      <c r="C764" s="166"/>
      <c r="D764" s="168"/>
      <c r="E764" s="166"/>
      <c r="F764" s="167"/>
      <c r="G764" s="168"/>
    </row>
    <row r="765" customHeight="1" spans="2:7">
      <c r="B765" s="168"/>
      <c r="C765" s="166"/>
      <c r="D765" s="168"/>
      <c r="E765" s="166"/>
      <c r="F765" s="167"/>
      <c r="G765" s="168"/>
    </row>
    <row r="766" customHeight="1" spans="2:7">
      <c r="B766" s="168"/>
      <c r="C766" s="166"/>
      <c r="D766" s="168"/>
      <c r="E766" s="166"/>
      <c r="F766" s="167"/>
      <c r="G766" s="168"/>
    </row>
    <row r="767" customHeight="1" spans="2:7">
      <c r="B767" s="168"/>
      <c r="C767" s="166"/>
      <c r="D767" s="168"/>
      <c r="E767" s="166"/>
      <c r="F767" s="167"/>
      <c r="G767" s="168"/>
    </row>
    <row r="768" customHeight="1" spans="2:7">
      <c r="B768" s="168"/>
      <c r="C768" s="166"/>
      <c r="D768" s="168"/>
      <c r="E768" s="166"/>
      <c r="F768" s="167"/>
      <c r="G768" s="168"/>
    </row>
    <row r="769" customHeight="1" spans="2:7">
      <c r="B769" s="168"/>
      <c r="C769" s="166"/>
      <c r="D769" s="168"/>
      <c r="E769" s="166"/>
      <c r="F769" s="167"/>
      <c r="G769" s="168"/>
    </row>
    <row r="770" customHeight="1" spans="2:7">
      <c r="B770" s="168"/>
      <c r="C770" s="166"/>
      <c r="D770" s="168"/>
      <c r="E770" s="166"/>
      <c r="F770" s="167"/>
      <c r="G770" s="168"/>
    </row>
    <row r="771" customHeight="1" spans="2:7">
      <c r="B771" s="168"/>
      <c r="C771" s="166"/>
      <c r="D771" s="168"/>
      <c r="E771" s="166"/>
      <c r="F771" s="167"/>
      <c r="G771" s="168"/>
    </row>
    <row r="772" customHeight="1" spans="2:7">
      <c r="B772" s="168"/>
      <c r="C772" s="166"/>
      <c r="D772" s="168"/>
      <c r="E772" s="166"/>
      <c r="F772" s="167"/>
      <c r="G772" s="168"/>
    </row>
    <row r="773" customHeight="1" spans="2:7">
      <c r="B773" s="168"/>
      <c r="C773" s="166"/>
      <c r="D773" s="168"/>
      <c r="E773" s="166"/>
      <c r="F773" s="167"/>
      <c r="G773" s="168"/>
    </row>
    <row r="774" customHeight="1" spans="2:7">
      <c r="B774" s="168"/>
      <c r="C774" s="166"/>
      <c r="D774" s="168"/>
      <c r="E774" s="166"/>
      <c r="F774" s="167"/>
      <c r="G774" s="168"/>
    </row>
    <row r="775" customHeight="1" spans="2:7">
      <c r="B775" s="168"/>
      <c r="C775" s="166"/>
      <c r="D775" s="168"/>
      <c r="E775" s="166"/>
      <c r="F775" s="167"/>
      <c r="G775" s="168"/>
    </row>
    <row r="776" customHeight="1" spans="2:7">
      <c r="B776" s="168"/>
      <c r="C776" s="166"/>
      <c r="D776" s="168"/>
      <c r="E776" s="166"/>
      <c r="F776" s="167"/>
      <c r="G776" s="168"/>
    </row>
    <row r="777" customHeight="1" spans="2:7">
      <c r="B777" s="168"/>
      <c r="C777" s="166"/>
      <c r="D777" s="168"/>
      <c r="E777" s="166"/>
      <c r="F777" s="167"/>
      <c r="G777" s="168"/>
    </row>
    <row r="778" customHeight="1" spans="2:7">
      <c r="B778" s="168"/>
      <c r="C778" s="166"/>
      <c r="D778" s="168"/>
      <c r="E778" s="166"/>
      <c r="F778" s="167"/>
      <c r="G778" s="168"/>
    </row>
    <row r="779" customHeight="1" spans="2:7">
      <c r="B779" s="168"/>
      <c r="C779" s="166"/>
      <c r="D779" s="168"/>
      <c r="E779" s="166"/>
      <c r="F779" s="167"/>
      <c r="G779" s="168"/>
    </row>
    <row r="780" customHeight="1" spans="2:7">
      <c r="B780" s="168"/>
      <c r="C780" s="166"/>
      <c r="D780" s="168"/>
      <c r="E780" s="166"/>
      <c r="F780" s="167"/>
      <c r="G780" s="168"/>
    </row>
    <row r="781" customHeight="1" spans="2:7">
      <c r="B781" s="168"/>
      <c r="C781" s="166"/>
      <c r="D781" s="168"/>
      <c r="E781" s="166"/>
      <c r="F781" s="167"/>
      <c r="G781" s="168"/>
    </row>
    <row r="782" customHeight="1" spans="2:7">
      <c r="B782" s="168"/>
      <c r="C782" s="166"/>
      <c r="D782" s="168"/>
      <c r="E782" s="166"/>
      <c r="F782" s="167"/>
      <c r="G782" s="168"/>
    </row>
    <row r="783" customHeight="1" spans="2:7">
      <c r="B783" s="168"/>
      <c r="C783" s="166"/>
      <c r="D783" s="168"/>
      <c r="E783" s="166"/>
      <c r="F783" s="167"/>
      <c r="G783" s="168"/>
    </row>
    <row r="784" customHeight="1" spans="2:7">
      <c r="B784" s="168"/>
      <c r="C784" s="166"/>
      <c r="D784" s="168"/>
      <c r="E784" s="166"/>
      <c r="F784" s="167"/>
      <c r="G784" s="168"/>
    </row>
    <row r="785" customHeight="1" spans="2:7">
      <c r="B785" s="168"/>
      <c r="C785" s="166"/>
      <c r="D785" s="168"/>
      <c r="E785" s="166"/>
      <c r="F785" s="167"/>
      <c r="G785" s="168"/>
    </row>
    <row r="786" customHeight="1" spans="2:7">
      <c r="B786" s="168"/>
      <c r="C786" s="166"/>
      <c r="D786" s="168"/>
      <c r="E786" s="166"/>
      <c r="F786" s="167"/>
      <c r="G786" s="168"/>
    </row>
    <row r="787" customHeight="1" spans="2:7">
      <c r="B787" s="168"/>
      <c r="C787" s="166"/>
      <c r="D787" s="168"/>
      <c r="E787" s="166"/>
      <c r="F787" s="167"/>
      <c r="G787" s="168"/>
    </row>
    <row r="788" customHeight="1" spans="2:7">
      <c r="B788" s="168"/>
      <c r="C788" s="166"/>
      <c r="D788" s="168"/>
      <c r="E788" s="166"/>
      <c r="F788" s="167"/>
      <c r="G788" s="168"/>
    </row>
    <row r="789" customHeight="1" spans="2:7">
      <c r="B789" s="168"/>
      <c r="C789" s="166"/>
      <c r="D789" s="168"/>
      <c r="E789" s="166"/>
      <c r="F789" s="167"/>
      <c r="G789" s="168"/>
    </row>
    <row r="790" customHeight="1" spans="2:7">
      <c r="B790" s="168"/>
      <c r="C790" s="166"/>
      <c r="D790" s="168"/>
      <c r="E790" s="166"/>
      <c r="F790" s="167"/>
      <c r="G790" s="168"/>
    </row>
    <row r="791" customHeight="1" spans="2:7">
      <c r="B791" s="168"/>
      <c r="C791" s="166"/>
      <c r="D791" s="168"/>
      <c r="E791" s="166"/>
      <c r="F791" s="167"/>
      <c r="G791" s="168"/>
    </row>
    <row r="792" customHeight="1" spans="2:7">
      <c r="B792" s="168"/>
      <c r="C792" s="166"/>
      <c r="D792" s="168"/>
      <c r="E792" s="166"/>
      <c r="F792" s="167"/>
      <c r="G792" s="168"/>
    </row>
    <row r="793" customHeight="1" spans="2:7">
      <c r="B793" s="168"/>
      <c r="C793" s="166"/>
      <c r="D793" s="168"/>
      <c r="E793" s="166"/>
      <c r="F793" s="167"/>
      <c r="G793" s="168"/>
    </row>
    <row r="794" customHeight="1" spans="2:7">
      <c r="B794" s="168"/>
      <c r="C794" s="166"/>
      <c r="D794" s="168"/>
      <c r="E794" s="166"/>
      <c r="F794" s="167"/>
      <c r="G794" s="168"/>
    </row>
    <row r="795" customHeight="1" spans="2:7">
      <c r="B795" s="168"/>
      <c r="C795" s="166"/>
      <c r="D795" s="168"/>
      <c r="E795" s="166"/>
      <c r="F795" s="167"/>
      <c r="G795" s="168"/>
    </row>
    <row r="796" customHeight="1" spans="2:7">
      <c r="B796" s="168"/>
      <c r="C796" s="166"/>
      <c r="D796" s="168"/>
      <c r="E796" s="166"/>
      <c r="F796" s="167"/>
      <c r="G796" s="168"/>
    </row>
    <row r="797" customHeight="1" spans="2:7">
      <c r="B797" s="168"/>
      <c r="C797" s="166"/>
      <c r="D797" s="168"/>
      <c r="E797" s="166"/>
      <c r="F797" s="167"/>
      <c r="G797" s="168"/>
    </row>
    <row r="798" customHeight="1" spans="2:7">
      <c r="B798" s="168"/>
      <c r="C798" s="166"/>
      <c r="D798" s="168"/>
      <c r="E798" s="166"/>
      <c r="F798" s="167"/>
      <c r="G798" s="168"/>
    </row>
    <row r="799" customHeight="1" spans="2:7">
      <c r="B799" s="168"/>
      <c r="C799" s="166"/>
      <c r="D799" s="168"/>
      <c r="E799" s="166"/>
      <c r="F799" s="167"/>
      <c r="G799" s="168"/>
    </row>
    <row r="800" customHeight="1" spans="2:7">
      <c r="B800" s="168"/>
      <c r="C800" s="166"/>
      <c r="D800" s="168"/>
      <c r="E800" s="166"/>
      <c r="F800" s="167"/>
      <c r="G800" s="168"/>
    </row>
    <row r="801" customHeight="1" spans="2:7">
      <c r="B801" s="168"/>
      <c r="C801" s="166"/>
      <c r="D801" s="168"/>
      <c r="E801" s="166"/>
      <c r="F801" s="167"/>
      <c r="G801" s="168"/>
    </row>
    <row r="802" customHeight="1" spans="2:7">
      <c r="B802" s="168"/>
      <c r="C802" s="166"/>
      <c r="D802" s="168"/>
      <c r="E802" s="166"/>
      <c r="F802" s="167"/>
      <c r="G802" s="168"/>
    </row>
    <row r="803" customHeight="1" spans="2:7">
      <c r="B803" s="168"/>
      <c r="C803" s="166"/>
      <c r="D803" s="168"/>
      <c r="E803" s="166"/>
      <c r="F803" s="167"/>
      <c r="G803" s="168"/>
    </row>
    <row r="804" customHeight="1" spans="2:7">
      <c r="B804" s="168"/>
      <c r="C804" s="166"/>
      <c r="D804" s="168"/>
      <c r="E804" s="166"/>
      <c r="F804" s="167"/>
      <c r="G804" s="168"/>
    </row>
    <row r="805" customHeight="1" spans="2:7">
      <c r="B805" s="168"/>
      <c r="C805" s="166"/>
      <c r="D805" s="168"/>
      <c r="E805" s="166"/>
      <c r="F805" s="167"/>
      <c r="G805" s="168"/>
    </row>
    <row r="806" customHeight="1" spans="2:7">
      <c r="B806" s="168"/>
      <c r="C806" s="166"/>
      <c r="D806" s="168"/>
      <c r="E806" s="166"/>
      <c r="F806" s="167"/>
      <c r="G806" s="168"/>
    </row>
    <row r="807" customHeight="1" spans="2:7">
      <c r="B807" s="168"/>
      <c r="C807" s="166"/>
      <c r="D807" s="168"/>
      <c r="E807" s="166"/>
      <c r="F807" s="167"/>
      <c r="G807" s="168"/>
    </row>
    <row r="808" customHeight="1" spans="2:7">
      <c r="B808" s="168"/>
      <c r="C808" s="166"/>
      <c r="D808" s="168"/>
      <c r="E808" s="166"/>
      <c r="F808" s="167"/>
      <c r="G808" s="168"/>
    </row>
    <row r="809" customHeight="1" spans="2:7">
      <c r="B809" s="168"/>
      <c r="C809" s="166"/>
      <c r="D809" s="168"/>
      <c r="E809" s="166"/>
      <c r="F809" s="167"/>
      <c r="G809" s="168"/>
    </row>
    <row r="810" customHeight="1" spans="2:7">
      <c r="B810" s="168"/>
      <c r="C810" s="166"/>
      <c r="D810" s="168"/>
      <c r="E810" s="166"/>
      <c r="F810" s="167"/>
      <c r="G810" s="168"/>
    </row>
    <row r="811" customHeight="1" spans="2:7">
      <c r="B811" s="168"/>
      <c r="C811" s="166"/>
      <c r="D811" s="168"/>
      <c r="E811" s="166"/>
      <c r="F811" s="167"/>
      <c r="G811" s="168"/>
    </row>
    <row r="812" customHeight="1" spans="2:7">
      <c r="B812" s="168"/>
      <c r="C812" s="166"/>
      <c r="D812" s="168"/>
      <c r="E812" s="166"/>
      <c r="F812" s="167"/>
      <c r="G812" s="168"/>
    </row>
    <row r="813" customHeight="1" spans="2:7">
      <c r="B813" s="168"/>
      <c r="C813" s="166"/>
      <c r="D813" s="168"/>
      <c r="E813" s="166"/>
      <c r="F813" s="167"/>
      <c r="G813" s="168"/>
    </row>
    <row r="814" customHeight="1" spans="2:7">
      <c r="B814" s="168"/>
      <c r="C814" s="166"/>
      <c r="D814" s="168"/>
      <c r="E814" s="166"/>
      <c r="F814" s="167"/>
      <c r="G814" s="168"/>
    </row>
    <row r="815" customHeight="1" spans="2:7">
      <c r="B815" s="168"/>
      <c r="C815" s="166"/>
      <c r="D815" s="168"/>
      <c r="E815" s="166"/>
      <c r="F815" s="167"/>
      <c r="G815" s="168"/>
    </row>
    <row r="816" customHeight="1" spans="2:7">
      <c r="B816" s="168"/>
      <c r="C816" s="166"/>
      <c r="D816" s="168"/>
      <c r="E816" s="166"/>
      <c r="F816" s="167"/>
      <c r="G816" s="168"/>
    </row>
    <row r="817" customHeight="1" spans="2:7">
      <c r="B817" s="168"/>
      <c r="C817" s="166"/>
      <c r="D817" s="168"/>
      <c r="E817" s="166"/>
      <c r="F817" s="167"/>
      <c r="G817" s="168"/>
    </row>
    <row r="818" customHeight="1" spans="2:7">
      <c r="B818" s="168"/>
      <c r="C818" s="166"/>
      <c r="D818" s="168"/>
      <c r="E818" s="166"/>
      <c r="F818" s="167"/>
      <c r="G818" s="168"/>
    </row>
    <row r="819" customHeight="1" spans="2:7">
      <c r="B819" s="168"/>
      <c r="C819" s="166"/>
      <c r="D819" s="168"/>
      <c r="E819" s="166"/>
      <c r="F819" s="167"/>
      <c r="G819" s="168"/>
    </row>
    <row r="820" customHeight="1" spans="2:7">
      <c r="B820" s="168"/>
      <c r="C820" s="166"/>
      <c r="D820" s="168"/>
      <c r="E820" s="166"/>
      <c r="F820" s="167"/>
      <c r="G820" s="168"/>
    </row>
    <row r="821" customHeight="1" spans="2:7">
      <c r="B821" s="168"/>
      <c r="C821" s="166"/>
      <c r="D821" s="168"/>
      <c r="E821" s="166"/>
      <c r="F821" s="167"/>
      <c r="G821" s="168"/>
    </row>
    <row r="822" customHeight="1" spans="2:7">
      <c r="B822" s="168"/>
      <c r="C822" s="166"/>
      <c r="D822" s="168"/>
      <c r="E822" s="166"/>
      <c r="F822" s="167"/>
      <c r="G822" s="168"/>
    </row>
    <row r="823" customHeight="1" spans="2:7">
      <c r="B823" s="168"/>
      <c r="C823" s="166"/>
      <c r="D823" s="168"/>
      <c r="E823" s="166"/>
      <c r="F823" s="167"/>
      <c r="G823" s="168"/>
    </row>
    <row r="824" customHeight="1" spans="2:7">
      <c r="B824" s="168"/>
      <c r="C824" s="166"/>
      <c r="D824" s="168"/>
      <c r="E824" s="166"/>
      <c r="F824" s="167"/>
      <c r="G824" s="168"/>
    </row>
    <row r="825" customHeight="1" spans="2:7">
      <c r="B825" s="168"/>
      <c r="C825" s="166"/>
      <c r="D825" s="168"/>
      <c r="E825" s="166"/>
      <c r="F825" s="167"/>
      <c r="G825" s="168"/>
    </row>
    <row r="826" customHeight="1" spans="2:7">
      <c r="B826" s="168"/>
      <c r="C826" s="166"/>
      <c r="D826" s="168"/>
      <c r="E826" s="166"/>
      <c r="F826" s="167"/>
      <c r="G826" s="168"/>
    </row>
    <row r="827" customHeight="1" spans="2:7">
      <c r="B827" s="168"/>
      <c r="C827" s="166"/>
      <c r="D827" s="168"/>
      <c r="E827" s="166"/>
      <c r="F827" s="167"/>
      <c r="G827" s="168"/>
    </row>
    <row r="828" customHeight="1" spans="2:7">
      <c r="B828" s="168"/>
      <c r="C828" s="166"/>
      <c r="D828" s="168"/>
      <c r="E828" s="166"/>
      <c r="F828" s="167"/>
      <c r="G828" s="168"/>
    </row>
    <row r="829" customHeight="1" spans="2:7">
      <c r="B829" s="168"/>
      <c r="C829" s="166"/>
      <c r="D829" s="168"/>
      <c r="E829" s="166"/>
      <c r="F829" s="167"/>
      <c r="G829" s="168"/>
    </row>
    <row r="830" customHeight="1" spans="2:7">
      <c r="B830" s="168"/>
      <c r="C830" s="166"/>
      <c r="D830" s="168"/>
      <c r="E830" s="166"/>
      <c r="F830" s="167"/>
      <c r="G830" s="168"/>
    </row>
    <row r="831" customHeight="1" spans="2:7">
      <c r="B831" s="168"/>
      <c r="C831" s="166"/>
      <c r="D831" s="168"/>
      <c r="E831" s="166"/>
      <c r="F831" s="167"/>
      <c r="G831" s="168"/>
    </row>
    <row r="832" customHeight="1" spans="2:7">
      <c r="B832" s="168"/>
      <c r="C832" s="166"/>
      <c r="D832" s="168"/>
      <c r="E832" s="166"/>
      <c r="F832" s="167"/>
      <c r="G832" s="168"/>
    </row>
    <row r="833" customHeight="1" spans="2:7">
      <c r="B833" s="168"/>
      <c r="C833" s="166"/>
      <c r="D833" s="168"/>
      <c r="E833" s="166"/>
      <c r="F833" s="167"/>
      <c r="G833" s="168"/>
    </row>
    <row r="834" customHeight="1" spans="2:7">
      <c r="B834" s="168"/>
      <c r="C834" s="166"/>
      <c r="D834" s="168"/>
      <c r="E834" s="166"/>
      <c r="F834" s="167"/>
      <c r="G834" s="168"/>
    </row>
    <row r="835" customHeight="1" spans="2:7">
      <c r="B835" s="168"/>
      <c r="C835" s="166"/>
      <c r="D835" s="168"/>
      <c r="E835" s="166"/>
      <c r="F835" s="167"/>
      <c r="G835" s="168"/>
    </row>
    <row r="836" customHeight="1" spans="2:7">
      <c r="B836" s="168"/>
      <c r="C836" s="166"/>
      <c r="D836" s="168"/>
      <c r="E836" s="166"/>
      <c r="F836" s="167"/>
      <c r="G836" s="168"/>
    </row>
    <row r="837" customHeight="1" spans="2:7">
      <c r="B837" s="168"/>
      <c r="C837" s="166"/>
      <c r="D837" s="168"/>
      <c r="E837" s="166"/>
      <c r="F837" s="167"/>
      <c r="G837" s="168"/>
    </row>
    <row r="838" customHeight="1" spans="2:7">
      <c r="B838" s="168"/>
      <c r="C838" s="166"/>
      <c r="D838" s="168"/>
      <c r="E838" s="166"/>
      <c r="F838" s="167"/>
      <c r="G838" s="168"/>
    </row>
    <row r="839" customHeight="1" spans="2:7">
      <c r="B839" s="168"/>
      <c r="C839" s="166"/>
      <c r="D839" s="168"/>
      <c r="E839" s="166"/>
      <c r="F839" s="167"/>
      <c r="G839" s="168"/>
    </row>
    <row r="840" customHeight="1" spans="2:7">
      <c r="B840" s="168"/>
      <c r="C840" s="166"/>
      <c r="D840" s="168"/>
      <c r="E840" s="166"/>
      <c r="F840" s="167"/>
      <c r="G840" s="168"/>
    </row>
    <row r="841" customHeight="1" spans="2:7">
      <c r="B841" s="168"/>
      <c r="C841" s="166"/>
      <c r="D841" s="168"/>
      <c r="E841" s="166"/>
      <c r="F841" s="167"/>
      <c r="G841" s="168"/>
    </row>
    <row r="842" customHeight="1" spans="2:7">
      <c r="B842" s="168"/>
      <c r="C842" s="166"/>
      <c r="D842" s="168"/>
      <c r="E842" s="166"/>
      <c r="F842" s="167"/>
      <c r="G842" s="168"/>
    </row>
    <row r="843" customHeight="1" spans="2:7">
      <c r="B843" s="168"/>
      <c r="C843" s="166"/>
      <c r="D843" s="168"/>
      <c r="E843" s="166"/>
      <c r="F843" s="167"/>
      <c r="G843" s="168"/>
    </row>
    <row r="844" customHeight="1" spans="2:7">
      <c r="B844" s="168"/>
      <c r="C844" s="166"/>
      <c r="D844" s="168"/>
      <c r="E844" s="166"/>
      <c r="F844" s="167"/>
      <c r="G844" s="168"/>
    </row>
    <row r="845" customHeight="1" spans="2:7">
      <c r="B845" s="168"/>
      <c r="C845" s="166"/>
      <c r="D845" s="168"/>
      <c r="E845" s="166"/>
      <c r="F845" s="167"/>
      <c r="G845" s="168"/>
    </row>
    <row r="846" customHeight="1" spans="2:7">
      <c r="B846" s="168"/>
      <c r="C846" s="166"/>
      <c r="D846" s="168"/>
      <c r="E846" s="166"/>
      <c r="F846" s="167"/>
      <c r="G846" s="168"/>
    </row>
    <row r="847" customHeight="1" spans="2:7">
      <c r="B847" s="168"/>
      <c r="C847" s="166"/>
      <c r="D847" s="168"/>
      <c r="E847" s="166"/>
      <c r="F847" s="167"/>
      <c r="G847" s="168"/>
    </row>
    <row r="848" customHeight="1" spans="2:7">
      <c r="B848" s="168"/>
      <c r="C848" s="166"/>
      <c r="D848" s="168"/>
      <c r="E848" s="166"/>
      <c r="F848" s="167"/>
      <c r="G848" s="168"/>
    </row>
    <row r="849" customHeight="1" spans="2:7">
      <c r="B849" s="168"/>
      <c r="C849" s="166"/>
      <c r="D849" s="168"/>
      <c r="E849" s="166"/>
      <c r="F849" s="167"/>
      <c r="G849" s="168"/>
    </row>
    <row r="850" customHeight="1" spans="2:7">
      <c r="B850" s="168"/>
      <c r="C850" s="166"/>
      <c r="D850" s="168"/>
      <c r="E850" s="166"/>
      <c r="F850" s="167"/>
      <c r="G850" s="168"/>
    </row>
    <row r="851" customHeight="1" spans="2:7">
      <c r="B851" s="168"/>
      <c r="C851" s="166"/>
      <c r="D851" s="168"/>
      <c r="E851" s="166"/>
      <c r="F851" s="167"/>
      <c r="G851" s="168"/>
    </row>
    <row r="852" customHeight="1" spans="2:7">
      <c r="B852" s="168"/>
      <c r="C852" s="166"/>
      <c r="D852" s="168"/>
      <c r="E852" s="166"/>
      <c r="F852" s="167"/>
      <c r="G852" s="168"/>
    </row>
    <row r="853" customHeight="1" spans="2:7">
      <c r="B853" s="168"/>
      <c r="C853" s="166"/>
      <c r="D853" s="168"/>
      <c r="E853" s="166"/>
      <c r="F853" s="167"/>
      <c r="G853" s="168"/>
    </row>
    <row r="854" customHeight="1" spans="2:7">
      <c r="B854" s="168"/>
      <c r="C854" s="166"/>
      <c r="D854" s="168"/>
      <c r="E854" s="166"/>
      <c r="F854" s="167"/>
      <c r="G854" s="168"/>
    </row>
    <row r="855" customHeight="1" spans="2:7">
      <c r="B855" s="168"/>
      <c r="C855" s="166"/>
      <c r="D855" s="168"/>
      <c r="E855" s="166"/>
      <c r="F855" s="167"/>
      <c r="G855" s="168"/>
    </row>
    <row r="856" customHeight="1" spans="2:7">
      <c r="B856" s="168"/>
      <c r="C856" s="166"/>
      <c r="D856" s="168"/>
      <c r="E856" s="166"/>
      <c r="F856" s="167"/>
      <c r="G856" s="168"/>
    </row>
    <row r="857" customHeight="1" spans="2:7">
      <c r="B857" s="168"/>
      <c r="C857" s="166"/>
      <c r="D857" s="168"/>
      <c r="E857" s="166"/>
      <c r="F857" s="167"/>
      <c r="G857" s="168"/>
    </row>
    <row r="858" customHeight="1" spans="2:7">
      <c r="B858" s="168"/>
      <c r="C858" s="166"/>
      <c r="D858" s="168"/>
      <c r="E858" s="166"/>
      <c r="F858" s="167"/>
      <c r="G858" s="168"/>
    </row>
    <row r="859" customHeight="1" spans="2:7">
      <c r="B859" s="168"/>
      <c r="C859" s="166"/>
      <c r="D859" s="168"/>
      <c r="E859" s="166"/>
      <c r="F859" s="167"/>
      <c r="G859" s="168"/>
    </row>
    <row r="860" customHeight="1" spans="2:7">
      <c r="B860" s="168"/>
      <c r="C860" s="166"/>
      <c r="D860" s="168"/>
      <c r="E860" s="166"/>
      <c r="F860" s="167"/>
      <c r="G860" s="168"/>
    </row>
    <row r="861" customHeight="1" spans="2:7">
      <c r="B861" s="168"/>
      <c r="C861" s="166"/>
      <c r="D861" s="168"/>
      <c r="E861" s="166"/>
      <c r="F861" s="167"/>
      <c r="G861" s="168"/>
    </row>
    <row r="862" customHeight="1" spans="2:7">
      <c r="B862" s="168"/>
      <c r="C862" s="166"/>
      <c r="D862" s="168"/>
      <c r="E862" s="166"/>
      <c r="F862" s="167"/>
      <c r="G862" s="168"/>
    </row>
    <row r="863" customHeight="1" spans="2:7">
      <c r="B863" s="168"/>
      <c r="C863" s="166"/>
      <c r="D863" s="168"/>
      <c r="E863" s="166"/>
      <c r="F863" s="167"/>
      <c r="G863" s="168"/>
    </row>
    <row r="864" customHeight="1" spans="2:7">
      <c r="B864" s="168"/>
      <c r="C864" s="166"/>
      <c r="D864" s="168"/>
      <c r="E864" s="166"/>
      <c r="F864" s="167"/>
      <c r="G864" s="168"/>
    </row>
    <row r="865" customHeight="1" spans="2:7">
      <c r="B865" s="168"/>
      <c r="C865" s="166"/>
      <c r="D865" s="168"/>
      <c r="E865" s="166"/>
      <c r="F865" s="167"/>
      <c r="G865" s="168"/>
    </row>
    <row r="866" customHeight="1" spans="2:7">
      <c r="B866" s="168"/>
      <c r="C866" s="166"/>
      <c r="D866" s="168"/>
      <c r="E866" s="166"/>
      <c r="F866" s="167"/>
      <c r="G866" s="168"/>
    </row>
    <row r="867" customHeight="1" spans="2:7">
      <c r="B867" s="168"/>
      <c r="C867" s="166"/>
      <c r="D867" s="168"/>
      <c r="E867" s="166"/>
      <c r="F867" s="167"/>
      <c r="G867" s="168"/>
    </row>
    <row r="868" customHeight="1" spans="2:7">
      <c r="B868" s="168"/>
      <c r="C868" s="166"/>
      <c r="D868" s="168"/>
      <c r="E868" s="166"/>
      <c r="F868" s="167"/>
      <c r="G868" s="168"/>
    </row>
    <row r="869" customHeight="1" spans="2:7">
      <c r="B869" s="168"/>
      <c r="C869" s="166"/>
      <c r="D869" s="168"/>
      <c r="E869" s="166"/>
      <c r="F869" s="167"/>
      <c r="G869" s="168"/>
    </row>
    <row r="870" customHeight="1" spans="2:7">
      <c r="B870" s="168"/>
      <c r="C870" s="166"/>
      <c r="D870" s="168"/>
      <c r="E870" s="166"/>
      <c r="F870" s="167"/>
      <c r="G870" s="168"/>
    </row>
    <row r="871" customHeight="1" spans="2:7">
      <c r="B871" s="168"/>
      <c r="C871" s="166"/>
      <c r="D871" s="168"/>
      <c r="E871" s="166"/>
      <c r="F871" s="167"/>
      <c r="G871" s="168"/>
    </row>
    <row r="872" customHeight="1" spans="2:7">
      <c r="B872" s="168"/>
      <c r="C872" s="166"/>
      <c r="D872" s="168"/>
      <c r="E872" s="166"/>
      <c r="F872" s="167"/>
      <c r="G872" s="168"/>
    </row>
    <row r="873" customHeight="1" spans="2:7">
      <c r="B873" s="168"/>
      <c r="C873" s="166"/>
      <c r="D873" s="168"/>
      <c r="E873" s="166"/>
      <c r="F873" s="167"/>
      <c r="G873" s="168"/>
    </row>
    <row r="874" customHeight="1" spans="2:7">
      <c r="B874" s="168"/>
      <c r="C874" s="166"/>
      <c r="D874" s="168"/>
      <c r="E874" s="166"/>
      <c r="F874" s="167"/>
      <c r="G874" s="168"/>
    </row>
    <row r="875" customHeight="1" spans="2:7">
      <c r="B875" s="168"/>
      <c r="C875" s="166"/>
      <c r="D875" s="168"/>
      <c r="E875" s="166"/>
      <c r="F875" s="167"/>
      <c r="G875" s="168"/>
    </row>
    <row r="876" customHeight="1" spans="2:7">
      <c r="B876" s="168"/>
      <c r="C876" s="166"/>
      <c r="D876" s="168"/>
      <c r="E876" s="166"/>
      <c r="F876" s="167"/>
      <c r="G876" s="168"/>
    </row>
    <row r="877" customHeight="1" spans="2:7">
      <c r="B877" s="168"/>
      <c r="C877" s="166"/>
      <c r="D877" s="168"/>
      <c r="E877" s="166"/>
      <c r="F877" s="167"/>
      <c r="G877" s="168"/>
    </row>
    <row r="878" customHeight="1" spans="2:7">
      <c r="B878" s="168"/>
      <c r="C878" s="166"/>
      <c r="D878" s="168"/>
      <c r="E878" s="166"/>
      <c r="F878" s="167"/>
      <c r="G878" s="168"/>
    </row>
    <row r="879" customHeight="1" spans="2:7">
      <c r="B879" s="168"/>
      <c r="C879" s="166"/>
      <c r="D879" s="168"/>
      <c r="E879" s="166"/>
      <c r="F879" s="167"/>
      <c r="G879" s="168"/>
    </row>
    <row r="880" customHeight="1" spans="2:7">
      <c r="B880" s="168"/>
      <c r="C880" s="166"/>
      <c r="D880" s="168"/>
      <c r="E880" s="166"/>
      <c r="F880" s="167"/>
      <c r="G880" s="168"/>
    </row>
    <row r="881" customHeight="1" spans="2:7">
      <c r="B881" s="168"/>
      <c r="C881" s="166"/>
      <c r="D881" s="168"/>
      <c r="E881" s="166"/>
      <c r="F881" s="167"/>
      <c r="G881" s="168"/>
    </row>
    <row r="882" customHeight="1" spans="2:7">
      <c r="B882" s="168"/>
      <c r="C882" s="166"/>
      <c r="D882" s="168"/>
      <c r="E882" s="166"/>
      <c r="F882" s="167"/>
      <c r="G882" s="168"/>
    </row>
    <row r="883" customHeight="1" spans="2:7">
      <c r="B883" s="168"/>
      <c r="C883" s="166"/>
      <c r="D883" s="168"/>
      <c r="E883" s="166"/>
      <c r="F883" s="167"/>
      <c r="G883" s="168"/>
    </row>
    <row r="884" customHeight="1" spans="2:7">
      <c r="B884" s="168"/>
      <c r="C884" s="166"/>
      <c r="D884" s="168"/>
      <c r="E884" s="166"/>
      <c r="F884" s="167"/>
      <c r="G884" s="168"/>
    </row>
    <row r="885" customHeight="1" spans="2:7">
      <c r="B885" s="168"/>
      <c r="C885" s="166"/>
      <c r="D885" s="168"/>
      <c r="E885" s="166"/>
      <c r="F885" s="167"/>
      <c r="G885" s="168"/>
    </row>
    <row r="886" customHeight="1" spans="2:7">
      <c r="B886" s="168"/>
      <c r="C886" s="166"/>
      <c r="D886" s="168"/>
      <c r="E886" s="166"/>
      <c r="F886" s="167"/>
      <c r="G886" s="168"/>
    </row>
    <row r="887" customHeight="1" spans="2:7">
      <c r="B887" s="168"/>
      <c r="C887" s="166"/>
      <c r="D887" s="168"/>
      <c r="E887" s="166"/>
      <c r="F887" s="167"/>
      <c r="G887" s="168"/>
    </row>
    <row r="888" customHeight="1" spans="2:7">
      <c r="B888" s="168"/>
      <c r="C888" s="166"/>
      <c r="D888" s="168"/>
      <c r="E888" s="166"/>
      <c r="F888" s="167"/>
      <c r="G888" s="168"/>
    </row>
    <row r="889" customHeight="1" spans="2:7">
      <c r="B889" s="168"/>
      <c r="C889" s="166"/>
      <c r="D889" s="168"/>
      <c r="E889" s="166"/>
      <c r="F889" s="167"/>
      <c r="G889" s="168"/>
    </row>
    <row r="890" customHeight="1" spans="2:7">
      <c r="B890" s="168"/>
      <c r="C890" s="166"/>
      <c r="D890" s="168"/>
      <c r="E890" s="166"/>
      <c r="F890" s="167"/>
      <c r="G890" s="168"/>
    </row>
    <row r="891" customHeight="1" spans="2:7">
      <c r="B891" s="168"/>
      <c r="C891" s="166"/>
      <c r="D891" s="168"/>
      <c r="E891" s="166"/>
      <c r="F891" s="167"/>
      <c r="G891" s="168"/>
    </row>
    <row r="892" customHeight="1" spans="2:7">
      <c r="B892" s="168"/>
      <c r="C892" s="166"/>
      <c r="D892" s="168"/>
      <c r="E892" s="166"/>
      <c r="F892" s="167"/>
      <c r="G892" s="168"/>
    </row>
    <row r="893" customHeight="1" spans="2:7">
      <c r="B893" s="168"/>
      <c r="C893" s="166"/>
      <c r="D893" s="168"/>
      <c r="E893" s="166"/>
      <c r="F893" s="167"/>
      <c r="G893" s="168"/>
    </row>
    <row r="894" customHeight="1" spans="2:7">
      <c r="B894" s="168"/>
      <c r="C894" s="166"/>
      <c r="D894" s="168"/>
      <c r="E894" s="166"/>
      <c r="F894" s="167"/>
      <c r="G894" s="168"/>
    </row>
    <row r="895" customHeight="1" spans="2:7">
      <c r="B895" s="168"/>
      <c r="C895" s="166"/>
      <c r="D895" s="168"/>
      <c r="E895" s="166"/>
      <c r="F895" s="167"/>
      <c r="G895" s="168"/>
    </row>
    <row r="896" customHeight="1" spans="2:7">
      <c r="B896" s="168"/>
      <c r="C896" s="166"/>
      <c r="D896" s="168"/>
      <c r="E896" s="166"/>
      <c r="F896" s="167"/>
      <c r="G896" s="168"/>
    </row>
    <row r="897" customHeight="1" spans="2:7">
      <c r="B897" s="168"/>
      <c r="C897" s="166"/>
      <c r="D897" s="168"/>
      <c r="E897" s="166"/>
      <c r="F897" s="167"/>
      <c r="G897" s="168"/>
    </row>
    <row r="898" customHeight="1" spans="2:7">
      <c r="B898" s="168"/>
      <c r="C898" s="166"/>
      <c r="D898" s="168"/>
      <c r="E898" s="166"/>
      <c r="F898" s="167"/>
      <c r="G898" s="168"/>
    </row>
    <row r="899" customHeight="1" spans="2:7">
      <c r="B899" s="168"/>
      <c r="C899" s="166"/>
      <c r="D899" s="168"/>
      <c r="E899" s="166"/>
      <c r="F899" s="167"/>
      <c r="G899" s="168"/>
    </row>
    <row r="900" customHeight="1" spans="2:7">
      <c r="B900" s="168"/>
      <c r="C900" s="166"/>
      <c r="D900" s="168"/>
      <c r="E900" s="166"/>
      <c r="F900" s="167"/>
      <c r="G900" s="168"/>
    </row>
    <row r="901" customHeight="1" spans="2:7">
      <c r="B901" s="168"/>
      <c r="C901" s="166"/>
      <c r="D901" s="168"/>
      <c r="E901" s="166"/>
      <c r="F901" s="167"/>
      <c r="G901" s="168"/>
    </row>
    <row r="902" customHeight="1" spans="2:7">
      <c r="B902" s="168"/>
      <c r="C902" s="166"/>
      <c r="D902" s="168"/>
      <c r="E902" s="166"/>
      <c r="F902" s="167"/>
      <c r="G902" s="168"/>
    </row>
    <row r="903" customHeight="1" spans="2:7">
      <c r="B903" s="168"/>
      <c r="C903" s="166"/>
      <c r="D903" s="168"/>
      <c r="E903" s="166"/>
      <c r="F903" s="167"/>
      <c r="G903" s="168"/>
    </row>
    <row r="904" customHeight="1" spans="2:7">
      <c r="B904" s="168"/>
      <c r="C904" s="166"/>
      <c r="D904" s="168"/>
      <c r="E904" s="166"/>
      <c r="F904" s="167"/>
      <c r="G904" s="168"/>
    </row>
    <row r="905" customHeight="1" spans="2:7">
      <c r="B905" s="168"/>
      <c r="C905" s="166"/>
      <c r="D905" s="168"/>
      <c r="E905" s="166"/>
      <c r="F905" s="167"/>
      <c r="G905" s="168"/>
    </row>
    <row r="906" customHeight="1" spans="2:7">
      <c r="B906" s="168"/>
      <c r="C906" s="166"/>
      <c r="D906" s="168"/>
      <c r="E906" s="166"/>
      <c r="F906" s="167"/>
      <c r="G906" s="168"/>
    </row>
    <row r="907" customHeight="1" spans="2:7">
      <c r="B907" s="168"/>
      <c r="C907" s="166"/>
      <c r="D907" s="168"/>
      <c r="E907" s="166"/>
      <c r="F907" s="167"/>
      <c r="G907" s="168"/>
    </row>
    <row r="908" customHeight="1" spans="2:7">
      <c r="B908" s="168"/>
      <c r="C908" s="166"/>
      <c r="D908" s="168"/>
      <c r="E908" s="166"/>
      <c r="F908" s="167"/>
      <c r="G908" s="168"/>
    </row>
    <row r="909" customHeight="1" spans="2:7">
      <c r="B909" s="168"/>
      <c r="C909" s="166"/>
      <c r="D909" s="168"/>
      <c r="E909" s="166"/>
      <c r="F909" s="167"/>
      <c r="G909" s="168"/>
    </row>
    <row r="910" customHeight="1" spans="2:7">
      <c r="B910" s="168"/>
      <c r="C910" s="166"/>
      <c r="D910" s="168"/>
      <c r="E910" s="166"/>
      <c r="F910" s="167"/>
      <c r="G910" s="168"/>
    </row>
    <row r="911" customHeight="1" spans="2:7">
      <c r="B911" s="168"/>
      <c r="C911" s="166"/>
      <c r="D911" s="168"/>
      <c r="E911" s="166"/>
      <c r="F911" s="167"/>
      <c r="G911" s="168"/>
    </row>
    <row r="912" customHeight="1" spans="2:7">
      <c r="B912" s="168"/>
      <c r="C912" s="166"/>
      <c r="D912" s="168"/>
      <c r="E912" s="166"/>
      <c r="F912" s="167"/>
      <c r="G912" s="168"/>
    </row>
    <row r="913" customHeight="1" spans="2:7">
      <c r="B913" s="168"/>
      <c r="C913" s="166"/>
      <c r="D913" s="168"/>
      <c r="E913" s="166"/>
      <c r="F913" s="167"/>
      <c r="G913" s="168"/>
    </row>
    <row r="914" customHeight="1" spans="2:7">
      <c r="B914" s="168"/>
      <c r="C914" s="166"/>
      <c r="D914" s="168"/>
      <c r="E914" s="166"/>
      <c r="F914" s="167"/>
      <c r="G914" s="168"/>
    </row>
    <row r="915" customHeight="1" spans="2:7">
      <c r="B915" s="168"/>
      <c r="C915" s="166"/>
      <c r="D915" s="168"/>
      <c r="E915" s="166"/>
      <c r="F915" s="167"/>
      <c r="G915" s="168"/>
    </row>
    <row r="916" customHeight="1" spans="2:7">
      <c r="B916" s="168"/>
      <c r="C916" s="166"/>
      <c r="D916" s="168"/>
      <c r="E916" s="166"/>
      <c r="F916" s="167"/>
      <c r="G916" s="168"/>
    </row>
    <row r="917" customHeight="1" spans="2:7">
      <c r="B917" s="168"/>
      <c r="C917" s="166"/>
      <c r="D917" s="168"/>
      <c r="E917" s="166"/>
      <c r="F917" s="167"/>
      <c r="G917" s="168"/>
    </row>
    <row r="918" customHeight="1" spans="2:7">
      <c r="B918" s="168"/>
      <c r="C918" s="166"/>
      <c r="D918" s="168"/>
      <c r="E918" s="166"/>
      <c r="F918" s="167"/>
      <c r="G918" s="168"/>
    </row>
    <row r="919" customHeight="1" spans="2:7">
      <c r="B919" s="168"/>
      <c r="C919" s="166"/>
      <c r="D919" s="168"/>
      <c r="E919" s="166"/>
      <c r="F919" s="167"/>
      <c r="G919" s="168"/>
    </row>
    <row r="920" customHeight="1" spans="2:7">
      <c r="B920" s="168"/>
      <c r="C920" s="166"/>
      <c r="D920" s="168"/>
      <c r="E920" s="166"/>
      <c r="F920" s="167"/>
      <c r="G920" s="168"/>
    </row>
    <row r="921" customHeight="1" spans="2:7">
      <c r="B921" s="168"/>
      <c r="C921" s="166"/>
      <c r="D921" s="168"/>
      <c r="E921" s="166"/>
      <c r="F921" s="167"/>
      <c r="G921" s="168"/>
    </row>
    <row r="922" customHeight="1" spans="2:7">
      <c r="B922" s="168"/>
      <c r="C922" s="166"/>
      <c r="D922" s="168"/>
      <c r="E922" s="166"/>
      <c r="F922" s="167"/>
      <c r="G922" s="168"/>
    </row>
    <row r="923" customHeight="1" spans="2:7">
      <c r="B923" s="168"/>
      <c r="C923" s="166"/>
      <c r="D923" s="168"/>
      <c r="E923" s="166"/>
      <c r="F923" s="167"/>
      <c r="G923" s="168"/>
    </row>
    <row r="924" customHeight="1" spans="2:7">
      <c r="B924" s="168"/>
      <c r="C924" s="166"/>
      <c r="D924" s="168"/>
      <c r="E924" s="166"/>
      <c r="F924" s="167"/>
      <c r="G924" s="168"/>
    </row>
    <row r="925" customHeight="1" spans="2:7">
      <c r="B925" s="168"/>
      <c r="C925" s="166"/>
      <c r="D925" s="168"/>
      <c r="E925" s="166"/>
      <c r="F925" s="167"/>
      <c r="G925" s="168"/>
    </row>
    <row r="926" customHeight="1" spans="2:7">
      <c r="B926" s="168"/>
      <c r="C926" s="166"/>
      <c r="D926" s="168"/>
      <c r="E926" s="166"/>
      <c r="F926" s="167"/>
      <c r="G926" s="168"/>
    </row>
    <row r="927" customHeight="1" spans="2:7">
      <c r="B927" s="168"/>
      <c r="C927" s="166"/>
      <c r="D927" s="168"/>
      <c r="E927" s="166"/>
      <c r="F927" s="167"/>
      <c r="G927" s="168"/>
    </row>
    <row r="928" customHeight="1" spans="2:7">
      <c r="B928" s="168"/>
      <c r="C928" s="166"/>
      <c r="D928" s="168"/>
      <c r="E928" s="166"/>
      <c r="F928" s="167"/>
      <c r="G928" s="168"/>
    </row>
    <row r="929" customHeight="1" spans="2:7">
      <c r="B929" s="168"/>
      <c r="C929" s="166"/>
      <c r="D929" s="168"/>
      <c r="E929" s="166"/>
      <c r="F929" s="167"/>
      <c r="G929" s="168"/>
    </row>
    <row r="930" customHeight="1" spans="2:7">
      <c r="B930" s="168"/>
      <c r="C930" s="166"/>
      <c r="D930" s="168"/>
      <c r="E930" s="166"/>
      <c r="F930" s="167"/>
      <c r="G930" s="168"/>
    </row>
    <row r="931" customHeight="1" spans="2:7">
      <c r="B931" s="168"/>
      <c r="C931" s="166"/>
      <c r="D931" s="168"/>
      <c r="E931" s="166"/>
      <c r="F931" s="167"/>
      <c r="G931" s="168"/>
    </row>
    <row r="932" customHeight="1" spans="2:7">
      <c r="B932" s="168"/>
      <c r="C932" s="166"/>
      <c r="D932" s="168"/>
      <c r="E932" s="166"/>
      <c r="F932" s="167"/>
      <c r="G932" s="168"/>
    </row>
    <row r="933" customHeight="1" spans="2:7">
      <c r="B933" s="168"/>
      <c r="C933" s="166"/>
      <c r="D933" s="168"/>
      <c r="E933" s="166"/>
      <c r="F933" s="167"/>
      <c r="G933" s="168"/>
    </row>
    <row r="934" customHeight="1" spans="2:7">
      <c r="B934" s="168"/>
      <c r="C934" s="166"/>
      <c r="D934" s="168"/>
      <c r="E934" s="166"/>
      <c r="F934" s="167"/>
      <c r="G934" s="168"/>
    </row>
    <row r="935" customHeight="1" spans="2:7">
      <c r="B935" s="168"/>
      <c r="C935" s="166"/>
      <c r="D935" s="168"/>
      <c r="E935" s="166"/>
      <c r="F935" s="167"/>
      <c r="G935" s="168"/>
    </row>
    <row r="936" customHeight="1" spans="2:7">
      <c r="B936" s="168"/>
      <c r="C936" s="166"/>
      <c r="D936" s="168"/>
      <c r="E936" s="166"/>
      <c r="F936" s="167"/>
      <c r="G936" s="168"/>
    </row>
    <row r="937" customHeight="1" spans="2:7">
      <c r="B937" s="168"/>
      <c r="C937" s="166"/>
      <c r="D937" s="168"/>
      <c r="E937" s="166"/>
      <c r="F937" s="167"/>
      <c r="G937" s="168"/>
    </row>
    <row r="938" customHeight="1" spans="2:7">
      <c r="B938" s="168"/>
      <c r="C938" s="166"/>
      <c r="D938" s="168"/>
      <c r="E938" s="166"/>
      <c r="F938" s="167"/>
      <c r="G938" s="168"/>
    </row>
    <row r="939" customHeight="1" spans="2:7">
      <c r="B939" s="168"/>
      <c r="C939" s="166"/>
      <c r="D939" s="168"/>
      <c r="E939" s="166"/>
      <c r="F939" s="167"/>
      <c r="G939" s="168"/>
    </row>
    <row r="940" customHeight="1" spans="2:7">
      <c r="B940" s="168"/>
      <c r="C940" s="166"/>
      <c r="D940" s="168"/>
      <c r="E940" s="166"/>
      <c r="F940" s="167"/>
      <c r="G940" s="168"/>
    </row>
    <row r="941" customHeight="1" spans="2:7">
      <c r="B941" s="168"/>
      <c r="C941" s="166"/>
      <c r="D941" s="168"/>
      <c r="E941" s="166"/>
      <c r="F941" s="167"/>
      <c r="G941" s="168"/>
    </row>
    <row r="942" customHeight="1" spans="2:7">
      <c r="B942" s="168"/>
      <c r="C942" s="166"/>
      <c r="D942" s="168"/>
      <c r="E942" s="166"/>
      <c r="F942" s="167"/>
      <c r="G942" s="168"/>
    </row>
    <row r="943" customHeight="1" spans="2:7">
      <c r="B943" s="168"/>
      <c r="C943" s="166"/>
      <c r="D943" s="168"/>
      <c r="E943" s="166"/>
      <c r="F943" s="167"/>
      <c r="G943" s="168"/>
    </row>
    <row r="944" customHeight="1" spans="2:7">
      <c r="B944" s="168"/>
      <c r="C944" s="166"/>
      <c r="D944" s="168"/>
      <c r="E944" s="166"/>
      <c r="F944" s="167"/>
      <c r="G944" s="168"/>
    </row>
    <row r="945" customHeight="1" spans="2:7">
      <c r="B945" s="168"/>
      <c r="C945" s="166"/>
      <c r="D945" s="168"/>
      <c r="E945" s="166"/>
      <c r="F945" s="167"/>
      <c r="G945" s="168"/>
    </row>
    <row r="946" customHeight="1" spans="2:7">
      <c r="B946" s="168"/>
      <c r="C946" s="166"/>
      <c r="D946" s="168"/>
      <c r="E946" s="166"/>
      <c r="F946" s="167"/>
      <c r="G946" s="168"/>
    </row>
    <row r="947" customHeight="1" spans="2:7">
      <c r="B947" s="168"/>
      <c r="C947" s="166"/>
      <c r="D947" s="168"/>
      <c r="E947" s="166"/>
      <c r="F947" s="167"/>
      <c r="G947" s="168"/>
    </row>
    <row r="948" customHeight="1" spans="2:7">
      <c r="B948" s="168"/>
      <c r="C948" s="166"/>
      <c r="D948" s="168"/>
      <c r="E948" s="166"/>
      <c r="F948" s="167"/>
      <c r="G948" s="168"/>
    </row>
    <row r="949" customHeight="1" spans="2:7">
      <c r="B949" s="168"/>
      <c r="C949" s="166"/>
      <c r="D949" s="168"/>
      <c r="E949" s="166"/>
      <c r="F949" s="167"/>
      <c r="G949" s="168"/>
    </row>
    <row r="950" customHeight="1" spans="2:7">
      <c r="B950" s="168"/>
      <c r="C950" s="166"/>
      <c r="D950" s="168"/>
      <c r="E950" s="166"/>
      <c r="F950" s="167"/>
      <c r="G950" s="168"/>
    </row>
    <row r="951" customHeight="1" spans="2:7">
      <c r="B951" s="168"/>
      <c r="C951" s="166"/>
      <c r="D951" s="168"/>
      <c r="E951" s="166"/>
      <c r="F951" s="167"/>
      <c r="G951" s="168"/>
    </row>
    <row r="952" customHeight="1" spans="2:7">
      <c r="B952" s="168"/>
      <c r="C952" s="166"/>
      <c r="D952" s="168"/>
      <c r="E952" s="166"/>
      <c r="F952" s="167"/>
      <c r="G952" s="168"/>
    </row>
    <row r="953" customHeight="1" spans="2:7">
      <c r="B953" s="168"/>
      <c r="C953" s="166"/>
      <c r="D953" s="168"/>
      <c r="E953" s="166"/>
      <c r="F953" s="167"/>
      <c r="G953" s="168"/>
    </row>
    <row r="954" customHeight="1" spans="2:7">
      <c r="B954" s="168"/>
      <c r="C954" s="166"/>
      <c r="D954" s="168"/>
      <c r="E954" s="166"/>
      <c r="F954" s="167"/>
      <c r="G954" s="168"/>
    </row>
    <row r="955" customHeight="1" spans="2:7">
      <c r="B955" s="168"/>
      <c r="C955" s="166"/>
      <c r="D955" s="168"/>
      <c r="E955" s="166"/>
      <c r="F955" s="167"/>
      <c r="G955" s="168"/>
    </row>
    <row r="956" customHeight="1" spans="2:7">
      <c r="B956" s="168"/>
      <c r="C956" s="166"/>
      <c r="D956" s="168"/>
      <c r="E956" s="166"/>
      <c r="F956" s="167"/>
      <c r="G956" s="168"/>
    </row>
    <row r="957" customHeight="1" spans="2:7">
      <c r="B957" s="168"/>
      <c r="C957" s="166"/>
      <c r="D957" s="168"/>
      <c r="E957" s="166"/>
      <c r="F957" s="167"/>
      <c r="G957" s="168"/>
    </row>
    <row r="958" customHeight="1" spans="2:7">
      <c r="B958" s="168"/>
      <c r="C958" s="166"/>
      <c r="D958" s="168"/>
      <c r="E958" s="166"/>
      <c r="F958" s="167"/>
      <c r="G958" s="168"/>
    </row>
    <row r="959" customHeight="1" spans="2:7">
      <c r="B959" s="168"/>
      <c r="C959" s="166"/>
      <c r="D959" s="168"/>
      <c r="E959" s="166"/>
      <c r="F959" s="167"/>
      <c r="G959" s="168"/>
    </row>
    <row r="960" customHeight="1" spans="2:7">
      <c r="B960" s="168"/>
      <c r="C960" s="166"/>
      <c r="D960" s="168"/>
      <c r="E960" s="166"/>
      <c r="F960" s="167"/>
      <c r="G960" s="168"/>
    </row>
    <row r="961" customHeight="1" spans="2:7">
      <c r="B961" s="168"/>
      <c r="C961" s="166"/>
      <c r="D961" s="168"/>
      <c r="E961" s="166"/>
      <c r="F961" s="167"/>
      <c r="G961" s="168"/>
    </row>
    <row r="962" customHeight="1" spans="2:7">
      <c r="B962" s="168"/>
      <c r="C962" s="166"/>
      <c r="D962" s="168"/>
      <c r="E962" s="166"/>
      <c r="F962" s="167"/>
      <c r="G962" s="168"/>
    </row>
    <row r="963" customHeight="1" spans="2:7">
      <c r="B963" s="168"/>
      <c r="C963" s="166"/>
      <c r="D963" s="168"/>
      <c r="E963" s="166"/>
      <c r="F963" s="167"/>
      <c r="G963" s="168"/>
    </row>
    <row r="964" customHeight="1" spans="2:7">
      <c r="B964" s="168"/>
      <c r="C964" s="166"/>
      <c r="D964" s="168"/>
      <c r="E964" s="166"/>
      <c r="F964" s="167"/>
      <c r="G964" s="168"/>
    </row>
    <row r="965" customHeight="1" spans="2:7">
      <c r="B965" s="168"/>
      <c r="C965" s="166"/>
      <c r="D965" s="168"/>
      <c r="E965" s="166"/>
      <c r="F965" s="167"/>
      <c r="G965" s="168"/>
    </row>
    <row r="966" customHeight="1" spans="2:7">
      <c r="B966" s="168"/>
      <c r="C966" s="166"/>
      <c r="D966" s="168"/>
      <c r="E966" s="166"/>
      <c r="F966" s="167"/>
      <c r="G966" s="168"/>
    </row>
    <row r="967" customHeight="1" spans="2:7">
      <c r="B967" s="168"/>
      <c r="C967" s="166"/>
      <c r="D967" s="168"/>
      <c r="E967" s="166"/>
      <c r="F967" s="167"/>
      <c r="G967" s="168"/>
    </row>
    <row r="968" customHeight="1" spans="2:7">
      <c r="B968" s="168"/>
      <c r="C968" s="166"/>
      <c r="D968" s="168"/>
      <c r="E968" s="166"/>
      <c r="F968" s="167"/>
      <c r="G968" s="168"/>
    </row>
    <row r="969" customHeight="1" spans="2:7">
      <c r="B969" s="168"/>
      <c r="C969" s="166"/>
      <c r="D969" s="168"/>
      <c r="E969" s="166"/>
      <c r="F969" s="167"/>
      <c r="G969" s="168"/>
    </row>
    <row r="970" customHeight="1" spans="2:7">
      <c r="B970" s="168"/>
      <c r="C970" s="166"/>
      <c r="D970" s="168"/>
      <c r="E970" s="166"/>
      <c r="F970" s="167"/>
      <c r="G970" s="168"/>
    </row>
    <row r="971" customHeight="1" spans="2:7">
      <c r="B971" s="168"/>
      <c r="C971" s="166"/>
      <c r="D971" s="168"/>
      <c r="E971" s="166"/>
      <c r="F971" s="167"/>
      <c r="G971" s="168"/>
    </row>
    <row r="972" customHeight="1" spans="2:7">
      <c r="B972" s="168"/>
      <c r="C972" s="166"/>
      <c r="D972" s="168"/>
      <c r="E972" s="166"/>
      <c r="F972" s="167"/>
      <c r="G972" s="168"/>
    </row>
    <row r="973" customHeight="1" spans="2:7">
      <c r="B973" s="168"/>
      <c r="C973" s="166"/>
      <c r="D973" s="168"/>
      <c r="E973" s="166"/>
      <c r="F973" s="167"/>
      <c r="G973" s="168"/>
    </row>
    <row r="974" customHeight="1" spans="2:7">
      <c r="B974" s="168"/>
      <c r="C974" s="166"/>
      <c r="D974" s="168"/>
      <c r="E974" s="166"/>
      <c r="F974" s="167"/>
      <c r="G974" s="168"/>
    </row>
    <row r="975" customHeight="1" spans="2:7">
      <c r="B975" s="168"/>
      <c r="C975" s="166"/>
      <c r="D975" s="168"/>
      <c r="E975" s="166"/>
      <c r="F975" s="167"/>
      <c r="G975" s="168"/>
    </row>
    <row r="976" customHeight="1" spans="2:7">
      <c r="B976" s="168"/>
      <c r="C976" s="166"/>
      <c r="D976" s="168"/>
      <c r="E976" s="166"/>
      <c r="F976" s="167"/>
      <c r="G976" s="168"/>
    </row>
    <row r="977" customHeight="1" spans="2:7">
      <c r="B977" s="168"/>
      <c r="C977" s="166"/>
      <c r="D977" s="168"/>
      <c r="E977" s="166"/>
      <c r="F977" s="167"/>
      <c r="G977" s="168"/>
    </row>
    <row r="978" customHeight="1" spans="2:7">
      <c r="B978" s="168"/>
      <c r="C978" s="166"/>
      <c r="D978" s="168"/>
      <c r="E978" s="166"/>
      <c r="F978" s="167"/>
      <c r="G978" s="168"/>
    </row>
    <row r="979" customHeight="1" spans="2:7">
      <c r="B979" s="168"/>
      <c r="C979" s="166"/>
      <c r="D979" s="168"/>
      <c r="E979" s="166"/>
      <c r="F979" s="167"/>
      <c r="G979" s="168"/>
    </row>
    <row r="980" customHeight="1" spans="2:7">
      <c r="B980" s="168"/>
      <c r="C980" s="166"/>
      <c r="D980" s="168"/>
      <c r="E980" s="166"/>
      <c r="F980" s="167"/>
      <c r="G980" s="168"/>
    </row>
    <row r="981" customHeight="1" spans="2:7">
      <c r="B981" s="168"/>
      <c r="C981" s="166"/>
      <c r="D981" s="168"/>
      <c r="E981" s="166"/>
      <c r="F981" s="167"/>
      <c r="G981" s="168"/>
    </row>
    <row r="982" customHeight="1" spans="2:7">
      <c r="B982" s="168"/>
      <c r="C982" s="166"/>
      <c r="D982" s="168"/>
      <c r="E982" s="166"/>
      <c r="F982" s="167"/>
      <c r="G982" s="168"/>
    </row>
    <row r="983" customHeight="1" spans="2:7">
      <c r="B983" s="168"/>
      <c r="C983" s="166"/>
      <c r="D983" s="168"/>
      <c r="E983" s="166"/>
      <c r="F983" s="167"/>
      <c r="G983" s="168"/>
    </row>
    <row r="984" customHeight="1" spans="2:7">
      <c r="B984" s="168"/>
      <c r="C984" s="166"/>
      <c r="D984" s="168"/>
      <c r="E984" s="166"/>
      <c r="F984" s="167"/>
      <c r="G984" s="168"/>
    </row>
    <row r="985" customHeight="1" spans="2:7">
      <c r="B985" s="168"/>
      <c r="C985" s="166"/>
      <c r="D985" s="168"/>
      <c r="E985" s="166"/>
      <c r="F985" s="167"/>
      <c r="G985" s="168"/>
    </row>
    <row r="986" customHeight="1" spans="2:7">
      <c r="B986" s="168"/>
      <c r="C986" s="166"/>
      <c r="D986" s="168"/>
      <c r="E986" s="166"/>
      <c r="F986" s="167"/>
      <c r="G986" s="168"/>
    </row>
    <row r="987" customHeight="1" spans="2:7">
      <c r="B987" s="168"/>
      <c r="C987" s="166"/>
      <c r="D987" s="168"/>
      <c r="E987" s="166"/>
      <c r="F987" s="167"/>
      <c r="G987" s="168"/>
    </row>
    <row r="988" customHeight="1" spans="2:7">
      <c r="B988" s="168"/>
      <c r="C988" s="166"/>
      <c r="D988" s="168"/>
      <c r="E988" s="166"/>
      <c r="F988" s="167"/>
      <c r="G988" s="168"/>
    </row>
    <row r="989" customHeight="1" spans="2:7">
      <c r="B989" s="168"/>
      <c r="C989" s="166"/>
      <c r="D989" s="168"/>
      <c r="E989" s="166"/>
      <c r="F989" s="167"/>
      <c r="G989" s="168"/>
    </row>
    <row r="990" customHeight="1" spans="2:7">
      <c r="B990" s="168"/>
      <c r="C990" s="166"/>
      <c r="D990" s="168"/>
      <c r="E990" s="166"/>
      <c r="F990" s="167"/>
      <c r="G990" s="168"/>
    </row>
    <row r="991" customHeight="1" spans="2:7">
      <c r="B991" s="168"/>
      <c r="C991" s="166"/>
      <c r="D991" s="168"/>
      <c r="E991" s="166"/>
      <c r="F991" s="167"/>
      <c r="G991" s="168"/>
    </row>
    <row r="992" customHeight="1" spans="2:7">
      <c r="B992" s="168"/>
      <c r="C992" s="166"/>
      <c r="D992" s="168"/>
      <c r="E992" s="166"/>
      <c r="F992" s="167"/>
      <c r="G992" s="168"/>
    </row>
    <row r="993" customHeight="1" spans="2:7">
      <c r="B993" s="168"/>
      <c r="C993" s="166"/>
      <c r="D993" s="168"/>
      <c r="E993" s="166"/>
      <c r="F993" s="167"/>
      <c r="G993" s="168"/>
    </row>
    <row r="994" customHeight="1" spans="2:7">
      <c r="B994" s="168"/>
      <c r="C994" s="166"/>
      <c r="D994" s="168"/>
      <c r="E994" s="166"/>
      <c r="F994" s="167"/>
      <c r="G994" s="168"/>
    </row>
    <row r="995" customHeight="1" spans="2:7">
      <c r="B995" s="168"/>
      <c r="C995" s="166"/>
      <c r="D995" s="168"/>
      <c r="E995" s="166"/>
      <c r="F995" s="167"/>
      <c r="G995" s="168"/>
    </row>
    <row r="996" customHeight="1" spans="2:7">
      <c r="B996" s="168"/>
      <c r="C996" s="166"/>
      <c r="D996" s="168"/>
      <c r="E996" s="166"/>
      <c r="F996" s="167"/>
      <c r="G996" s="168"/>
    </row>
    <row r="997" customHeight="1" spans="2:7">
      <c r="B997" s="168"/>
      <c r="C997" s="166"/>
      <c r="D997" s="168"/>
      <c r="E997" s="166"/>
      <c r="F997" s="167"/>
      <c r="G997" s="168"/>
    </row>
    <row r="998" customHeight="1" spans="2:7">
      <c r="B998" s="168"/>
      <c r="C998" s="166"/>
      <c r="D998" s="168"/>
      <c r="E998" s="166"/>
      <c r="F998" s="167"/>
      <c r="G998" s="168"/>
    </row>
    <row r="999" customHeight="1" spans="2:7">
      <c r="B999" s="168"/>
      <c r="C999" s="166"/>
      <c r="D999" s="168"/>
      <c r="E999" s="166"/>
      <c r="F999" s="167"/>
      <c r="G999" s="168"/>
    </row>
    <row r="1000" customHeight="1" spans="2:7">
      <c r="B1000" s="168"/>
      <c r="C1000" s="166"/>
      <c r="D1000" s="168"/>
      <c r="E1000" s="166"/>
      <c r="F1000" s="167"/>
      <c r="G1000" s="168"/>
    </row>
    <row r="1001" customHeight="1" spans="2:7">
      <c r="B1001" s="168"/>
      <c r="C1001" s="166"/>
      <c r="D1001" s="168"/>
      <c r="E1001" s="166"/>
      <c r="F1001" s="167"/>
      <c r="G1001" s="168"/>
    </row>
    <row r="1002" customHeight="1" spans="2:7">
      <c r="B1002" s="168"/>
      <c r="C1002" s="166"/>
      <c r="D1002" s="168"/>
      <c r="E1002" s="166"/>
      <c r="F1002" s="167"/>
      <c r="G1002" s="168"/>
    </row>
    <row r="1003" customHeight="1" spans="2:7">
      <c r="B1003" s="168"/>
      <c r="C1003" s="166"/>
      <c r="D1003" s="168"/>
      <c r="E1003" s="166"/>
      <c r="F1003" s="167"/>
      <c r="G1003" s="168"/>
    </row>
    <row r="1004" customHeight="1" spans="2:7">
      <c r="B1004" s="168"/>
      <c r="C1004" s="166"/>
      <c r="D1004" s="168"/>
      <c r="E1004" s="166"/>
      <c r="F1004" s="167"/>
      <c r="G1004" s="168"/>
    </row>
    <row r="1005" customHeight="1" spans="2:7">
      <c r="B1005" s="168"/>
      <c r="C1005" s="166"/>
      <c r="D1005" s="168"/>
      <c r="E1005" s="166"/>
      <c r="F1005" s="167"/>
      <c r="G1005" s="168"/>
    </row>
    <row r="1006" customHeight="1" spans="2:7">
      <c r="B1006" s="168"/>
      <c r="C1006" s="166"/>
      <c r="D1006" s="168"/>
      <c r="E1006" s="166"/>
      <c r="F1006" s="167"/>
      <c r="G1006" s="168"/>
    </row>
    <row r="1007" customHeight="1" spans="2:7">
      <c r="B1007" s="168"/>
      <c r="C1007" s="166"/>
      <c r="D1007" s="168"/>
      <c r="E1007" s="166"/>
      <c r="F1007" s="167"/>
      <c r="G1007" s="168"/>
    </row>
    <row r="1008" customHeight="1" spans="2:7">
      <c r="B1008" s="168"/>
      <c r="C1008" s="166"/>
      <c r="D1008" s="168"/>
      <c r="E1008" s="166"/>
      <c r="F1008" s="167"/>
      <c r="G1008" s="168"/>
    </row>
    <row r="1009" customHeight="1" spans="2:7">
      <c r="B1009" s="168"/>
      <c r="C1009" s="166"/>
      <c r="D1009" s="168"/>
      <c r="E1009" s="166"/>
      <c r="F1009" s="167"/>
      <c r="G1009" s="168"/>
    </row>
    <row r="1010" customHeight="1" spans="2:7">
      <c r="B1010" s="168"/>
      <c r="C1010" s="166"/>
      <c r="D1010" s="168"/>
      <c r="E1010" s="166"/>
      <c r="F1010" s="167"/>
      <c r="G1010" s="168"/>
    </row>
    <row r="1011" customHeight="1" spans="2:7">
      <c r="B1011" s="168"/>
      <c r="C1011" s="166"/>
      <c r="D1011" s="168"/>
      <c r="E1011" s="166"/>
      <c r="F1011" s="167"/>
      <c r="G1011" s="168"/>
    </row>
    <row r="1012" customHeight="1" spans="2:7">
      <c r="B1012" s="168"/>
      <c r="C1012" s="166"/>
      <c r="D1012" s="168"/>
      <c r="E1012" s="166"/>
      <c r="F1012" s="167"/>
      <c r="G1012" s="168"/>
    </row>
    <row r="1013" customHeight="1" spans="2:7">
      <c r="B1013" s="168"/>
      <c r="C1013" s="166"/>
      <c r="D1013" s="168"/>
      <c r="E1013" s="166"/>
      <c r="F1013" s="167"/>
      <c r="G1013" s="168"/>
    </row>
    <row r="1014" customHeight="1" spans="2:7">
      <c r="B1014" s="168"/>
      <c r="C1014" s="166"/>
      <c r="D1014" s="168"/>
      <c r="E1014" s="166"/>
      <c r="F1014" s="167"/>
      <c r="G1014" s="168"/>
    </row>
    <row r="1015" customHeight="1" spans="2:7">
      <c r="B1015" s="168"/>
      <c r="C1015" s="166"/>
      <c r="D1015" s="168"/>
      <c r="E1015" s="166"/>
      <c r="F1015" s="167"/>
      <c r="G1015" s="168"/>
    </row>
    <row r="1016" customHeight="1" spans="2:7">
      <c r="B1016" s="168"/>
      <c r="C1016" s="166"/>
      <c r="D1016" s="168"/>
      <c r="E1016" s="166"/>
      <c r="F1016" s="167"/>
      <c r="G1016" s="168"/>
    </row>
    <row r="1017" customHeight="1" spans="2:7">
      <c r="B1017" s="168"/>
      <c r="C1017" s="166"/>
      <c r="D1017" s="168"/>
      <c r="E1017" s="166"/>
      <c r="F1017" s="167"/>
      <c r="G1017" s="168"/>
    </row>
    <row r="1018" customHeight="1" spans="2:7">
      <c r="B1018" s="168"/>
      <c r="C1018" s="166"/>
      <c r="D1018" s="168"/>
      <c r="E1018" s="166"/>
      <c r="F1018" s="167"/>
      <c r="G1018" s="168"/>
    </row>
    <row r="1019" customHeight="1" spans="2:7">
      <c r="B1019" s="168"/>
      <c r="C1019" s="166"/>
      <c r="D1019" s="168"/>
      <c r="E1019" s="166"/>
      <c r="F1019" s="167"/>
      <c r="G1019" s="168"/>
    </row>
    <row r="1020" customHeight="1" spans="2:7">
      <c r="B1020" s="168"/>
      <c r="C1020" s="166"/>
      <c r="D1020" s="168"/>
      <c r="E1020" s="166"/>
      <c r="F1020" s="167"/>
      <c r="G1020" s="168"/>
    </row>
    <row r="1021" customHeight="1" spans="2:7">
      <c r="B1021" s="168"/>
      <c r="C1021" s="166"/>
      <c r="D1021" s="168"/>
      <c r="E1021" s="166"/>
      <c r="F1021" s="167"/>
      <c r="G1021" s="168"/>
    </row>
    <row r="1022" customHeight="1" spans="2:7">
      <c r="B1022" s="168"/>
      <c r="C1022" s="166"/>
      <c r="D1022" s="168"/>
      <c r="E1022" s="166"/>
      <c r="F1022" s="167"/>
      <c r="G1022" s="168"/>
    </row>
    <row r="1023" customHeight="1" spans="2:7">
      <c r="B1023" s="168"/>
      <c r="C1023" s="166"/>
      <c r="D1023" s="168"/>
      <c r="E1023" s="166"/>
      <c r="F1023" s="167"/>
      <c r="G1023" s="168"/>
    </row>
    <row r="1024" customHeight="1" spans="2:7">
      <c r="B1024" s="168"/>
      <c r="C1024" s="166"/>
      <c r="D1024" s="168"/>
      <c r="E1024" s="166"/>
      <c r="F1024" s="167"/>
      <c r="G1024" s="168"/>
    </row>
    <row r="1025" customHeight="1" spans="2:7">
      <c r="B1025" s="168"/>
      <c r="C1025" s="166"/>
      <c r="D1025" s="168"/>
      <c r="E1025" s="166"/>
      <c r="F1025" s="167"/>
      <c r="G1025" s="168"/>
    </row>
    <row r="1026" customHeight="1" spans="2:7">
      <c r="B1026" s="168"/>
      <c r="C1026" s="166"/>
      <c r="D1026" s="168"/>
      <c r="E1026" s="166"/>
      <c r="F1026" s="167"/>
      <c r="G1026" s="168"/>
    </row>
    <row r="1027" customHeight="1" spans="2:7">
      <c r="B1027" s="168"/>
      <c r="C1027" s="166"/>
      <c r="D1027" s="168"/>
      <c r="E1027" s="166"/>
      <c r="F1027" s="167"/>
      <c r="G1027" s="168"/>
    </row>
    <row r="1028" customHeight="1" spans="2:7">
      <c r="B1028" s="168"/>
      <c r="C1028" s="166"/>
      <c r="D1028" s="168"/>
      <c r="E1028" s="166"/>
      <c r="F1028" s="167"/>
      <c r="G1028" s="168"/>
    </row>
    <row r="1029" customHeight="1" spans="2:7">
      <c r="B1029" s="168"/>
      <c r="C1029" s="166"/>
      <c r="D1029" s="168"/>
      <c r="E1029" s="166"/>
      <c r="F1029" s="167"/>
      <c r="G1029" s="168"/>
    </row>
    <row r="1030" customHeight="1" spans="2:7">
      <c r="B1030" s="168"/>
      <c r="C1030" s="166"/>
      <c r="D1030" s="168"/>
      <c r="E1030" s="166"/>
      <c r="F1030" s="167"/>
      <c r="G1030" s="168"/>
    </row>
    <row r="1031" customHeight="1" spans="2:7">
      <c r="B1031" s="168"/>
      <c r="C1031" s="166"/>
      <c r="D1031" s="168"/>
      <c r="E1031" s="166"/>
      <c r="F1031" s="167"/>
      <c r="G1031" s="168"/>
    </row>
    <row r="1032" customHeight="1" spans="2:7">
      <c r="B1032" s="168"/>
      <c r="C1032" s="166"/>
      <c r="D1032" s="168"/>
      <c r="E1032" s="166"/>
      <c r="F1032" s="167"/>
      <c r="G1032" s="168"/>
    </row>
    <row r="1033" customHeight="1" spans="2:7">
      <c r="B1033" s="168"/>
      <c r="C1033" s="166"/>
      <c r="D1033" s="168"/>
      <c r="E1033" s="166"/>
      <c r="F1033" s="167"/>
      <c r="G1033" s="168"/>
    </row>
    <row r="1034" customHeight="1" spans="2:7">
      <c r="B1034" s="168"/>
      <c r="C1034" s="166"/>
      <c r="D1034" s="168"/>
      <c r="E1034" s="166"/>
      <c r="F1034" s="167"/>
      <c r="G1034" s="168"/>
    </row>
    <row r="1035" customHeight="1" spans="2:7">
      <c r="B1035" s="168"/>
      <c r="C1035" s="166"/>
      <c r="D1035" s="168"/>
      <c r="E1035" s="166"/>
      <c r="F1035" s="167"/>
      <c r="G1035" s="168"/>
    </row>
    <row r="1036" customHeight="1" spans="2:7">
      <c r="B1036" s="168"/>
      <c r="C1036" s="166"/>
      <c r="D1036" s="168"/>
      <c r="E1036" s="166"/>
      <c r="F1036" s="167"/>
      <c r="G1036" s="168"/>
    </row>
    <row r="1037" customHeight="1" spans="2:7">
      <c r="B1037" s="168"/>
      <c r="C1037" s="166"/>
      <c r="D1037" s="168"/>
      <c r="E1037" s="166"/>
      <c r="F1037" s="167"/>
      <c r="G1037" s="168"/>
    </row>
    <row r="1038" customHeight="1" spans="2:7">
      <c r="B1038" s="168"/>
      <c r="C1038" s="166"/>
      <c r="D1038" s="168"/>
      <c r="E1038" s="166"/>
      <c r="F1038" s="167"/>
      <c r="G1038" s="168"/>
    </row>
    <row r="1039" customHeight="1" spans="2:7">
      <c r="B1039" s="168"/>
      <c r="C1039" s="166"/>
      <c r="D1039" s="168"/>
      <c r="E1039" s="166"/>
      <c r="F1039" s="167"/>
      <c r="G1039" s="168"/>
    </row>
    <row r="1040" customHeight="1" spans="2:7">
      <c r="B1040" s="168"/>
      <c r="C1040" s="166"/>
      <c r="D1040" s="168"/>
      <c r="E1040" s="166"/>
      <c r="F1040" s="167"/>
      <c r="G1040" s="168"/>
    </row>
    <row r="1041" customHeight="1" spans="2:7">
      <c r="B1041" s="168"/>
      <c r="C1041" s="166"/>
      <c r="D1041" s="168"/>
      <c r="E1041" s="166"/>
      <c r="F1041" s="167"/>
      <c r="G1041" s="168"/>
    </row>
    <row r="1042" customHeight="1" spans="2:7">
      <c r="B1042" s="168"/>
      <c r="C1042" s="166"/>
      <c r="D1042" s="168"/>
      <c r="E1042" s="166"/>
      <c r="F1042" s="167"/>
      <c r="G1042" s="168"/>
    </row>
    <row r="1043" customHeight="1" spans="2:7">
      <c r="B1043" s="168"/>
      <c r="C1043" s="166"/>
      <c r="D1043" s="168"/>
      <c r="E1043" s="166"/>
      <c r="F1043" s="167"/>
      <c r="G1043" s="168"/>
    </row>
    <row r="1044" customHeight="1" spans="2:7">
      <c r="B1044" s="168"/>
      <c r="C1044" s="166"/>
      <c r="D1044" s="168"/>
      <c r="E1044" s="166"/>
      <c r="F1044" s="167"/>
      <c r="G1044" s="168"/>
    </row>
    <row r="1045" customHeight="1" spans="2:7">
      <c r="B1045" s="168"/>
      <c r="C1045" s="166"/>
      <c r="D1045" s="168"/>
      <c r="E1045" s="166"/>
      <c r="F1045" s="167"/>
      <c r="G1045" s="168"/>
    </row>
    <row r="1046" customHeight="1" spans="2:7">
      <c r="B1046" s="168"/>
      <c r="C1046" s="166"/>
      <c r="D1046" s="168"/>
      <c r="E1046" s="166"/>
      <c r="F1046" s="167"/>
      <c r="G1046" s="168"/>
    </row>
    <row r="1047" customHeight="1" spans="2:7">
      <c r="B1047" s="168"/>
      <c r="C1047" s="166"/>
      <c r="D1047" s="168"/>
      <c r="E1047" s="166"/>
      <c r="F1047" s="167"/>
      <c r="G1047" s="168"/>
    </row>
    <row r="1048" customHeight="1" spans="2:7">
      <c r="B1048" s="168"/>
      <c r="C1048" s="166"/>
      <c r="D1048" s="168"/>
      <c r="E1048" s="166"/>
      <c r="F1048" s="167"/>
      <c r="G1048" s="168"/>
    </row>
    <row r="1049" customHeight="1" spans="2:7">
      <c r="B1049" s="168"/>
      <c r="C1049" s="166"/>
      <c r="D1049" s="168"/>
      <c r="E1049" s="166"/>
      <c r="F1049" s="167"/>
      <c r="G1049" s="168"/>
    </row>
    <row r="1050" customHeight="1" spans="2:7">
      <c r="B1050" s="168"/>
      <c r="C1050" s="166"/>
      <c r="D1050" s="168"/>
      <c r="E1050" s="166"/>
      <c r="F1050" s="167"/>
      <c r="G1050" s="168"/>
    </row>
    <row r="1051" customHeight="1" spans="2:7">
      <c r="B1051" s="168"/>
      <c r="C1051" s="166"/>
      <c r="D1051" s="168"/>
      <c r="E1051" s="166"/>
      <c r="F1051" s="167"/>
      <c r="G1051" s="168"/>
    </row>
    <row r="1052" customHeight="1" spans="2:7">
      <c r="B1052" s="168"/>
      <c r="C1052" s="166"/>
      <c r="D1052" s="168"/>
      <c r="E1052" s="166"/>
      <c r="F1052" s="167"/>
      <c r="G1052" s="168"/>
    </row>
    <row r="1053" customHeight="1" spans="2:7">
      <c r="B1053" s="168"/>
      <c r="C1053" s="166"/>
      <c r="D1053" s="168"/>
      <c r="E1053" s="166"/>
      <c r="F1053" s="167"/>
      <c r="G1053" s="168"/>
    </row>
    <row r="1054" customHeight="1" spans="2:7">
      <c r="B1054" s="168"/>
      <c r="C1054" s="166"/>
      <c r="D1054" s="168"/>
      <c r="E1054" s="166"/>
      <c r="F1054" s="167"/>
      <c r="G1054" s="168"/>
    </row>
    <row r="1055" customHeight="1" spans="2:7">
      <c r="B1055" s="168"/>
      <c r="C1055" s="166"/>
      <c r="D1055" s="168"/>
      <c r="E1055" s="166"/>
      <c r="F1055" s="167"/>
      <c r="G1055" s="168"/>
    </row>
    <row r="1056" customHeight="1" spans="2:7">
      <c r="B1056" s="168"/>
      <c r="C1056" s="166"/>
      <c r="D1056" s="168"/>
      <c r="E1056" s="166"/>
      <c r="F1056" s="167"/>
      <c r="G1056" s="168"/>
    </row>
    <row r="1057" customHeight="1" spans="2:7">
      <c r="B1057" s="168"/>
      <c r="C1057" s="166"/>
      <c r="D1057" s="168"/>
      <c r="E1057" s="166"/>
      <c r="F1057" s="167"/>
      <c r="G1057" s="168"/>
    </row>
    <row r="1058" customHeight="1" spans="2:7">
      <c r="B1058" s="168"/>
      <c r="C1058" s="166"/>
      <c r="D1058" s="168"/>
      <c r="E1058" s="166"/>
      <c r="F1058" s="167"/>
      <c r="G1058" s="168"/>
    </row>
    <row r="1059" customHeight="1" spans="2:7">
      <c r="B1059" s="168"/>
      <c r="C1059" s="166"/>
      <c r="D1059" s="168"/>
      <c r="E1059" s="166"/>
      <c r="F1059" s="167"/>
      <c r="G1059" s="168"/>
    </row>
    <row r="1060" customHeight="1" spans="2:7">
      <c r="B1060" s="168"/>
      <c r="C1060" s="166"/>
      <c r="D1060" s="168"/>
      <c r="E1060" s="166"/>
      <c r="F1060" s="167"/>
      <c r="G1060" s="168"/>
    </row>
    <row r="1061" customHeight="1" spans="2:7">
      <c r="B1061" s="168"/>
      <c r="C1061" s="166"/>
      <c r="D1061" s="168"/>
      <c r="E1061" s="166"/>
      <c r="F1061" s="167"/>
      <c r="G1061" s="168"/>
    </row>
    <row r="1062" customHeight="1" spans="2:7">
      <c r="B1062" s="168"/>
      <c r="C1062" s="166"/>
      <c r="D1062" s="168"/>
      <c r="E1062" s="166"/>
      <c r="F1062" s="167"/>
      <c r="G1062" s="168"/>
    </row>
    <row r="1063" customHeight="1" spans="2:7">
      <c r="B1063" s="168"/>
      <c r="C1063" s="166"/>
      <c r="D1063" s="168"/>
      <c r="E1063" s="166"/>
      <c r="F1063" s="167"/>
      <c r="G1063" s="168"/>
    </row>
    <row r="1064" customHeight="1" spans="2:7">
      <c r="B1064" s="168"/>
      <c r="C1064" s="166"/>
      <c r="D1064" s="168"/>
      <c r="E1064" s="166"/>
      <c r="F1064" s="167"/>
      <c r="G1064" s="168"/>
    </row>
    <row r="1065" customHeight="1" spans="2:7">
      <c r="B1065" s="168"/>
      <c r="C1065" s="166"/>
      <c r="D1065" s="168"/>
      <c r="E1065" s="166"/>
      <c r="F1065" s="167"/>
      <c r="G1065" s="168"/>
    </row>
    <row r="1066" customHeight="1" spans="2:7">
      <c r="B1066" s="168"/>
      <c r="C1066" s="166"/>
      <c r="D1066" s="168"/>
      <c r="E1066" s="166"/>
      <c r="F1066" s="167"/>
      <c r="G1066" s="168"/>
    </row>
    <row r="1067" customHeight="1" spans="2:7">
      <c r="B1067" s="168"/>
      <c r="C1067" s="166"/>
      <c r="D1067" s="168"/>
      <c r="E1067" s="166"/>
      <c r="F1067" s="167"/>
      <c r="G1067" s="168"/>
    </row>
    <row r="1068" customHeight="1" spans="2:7">
      <c r="B1068" s="168"/>
      <c r="C1068" s="166"/>
      <c r="D1068" s="168"/>
      <c r="E1068" s="166"/>
      <c r="F1068" s="167"/>
      <c r="G1068" s="168"/>
    </row>
    <row r="1069" customHeight="1" spans="2:7">
      <c r="B1069" s="168"/>
      <c r="C1069" s="166"/>
      <c r="D1069" s="168"/>
      <c r="E1069" s="166"/>
      <c r="F1069" s="167"/>
      <c r="G1069" s="168"/>
    </row>
    <row r="1070" customHeight="1" spans="2:7">
      <c r="B1070" s="168"/>
      <c r="C1070" s="166"/>
      <c r="D1070" s="168"/>
      <c r="E1070" s="166"/>
      <c r="F1070" s="167"/>
      <c r="G1070" s="168"/>
    </row>
    <row r="1071" customHeight="1" spans="2:7">
      <c r="B1071" s="168"/>
      <c r="C1071" s="166"/>
      <c r="D1071" s="168"/>
      <c r="E1071" s="166"/>
      <c r="F1071" s="167"/>
      <c r="G1071" s="168"/>
    </row>
    <row r="1072" customHeight="1" spans="2:7">
      <c r="B1072" s="168"/>
      <c r="C1072" s="166"/>
      <c r="D1072" s="168"/>
      <c r="E1072" s="166"/>
      <c r="F1072" s="167"/>
      <c r="G1072" s="168"/>
    </row>
    <row r="1073" customHeight="1" spans="2:7">
      <c r="B1073" s="168"/>
      <c r="C1073" s="166"/>
      <c r="D1073" s="168"/>
      <c r="E1073" s="166"/>
      <c r="F1073" s="167"/>
      <c r="G1073" s="168"/>
    </row>
    <row r="1074" customHeight="1" spans="2:7">
      <c r="B1074" s="168"/>
      <c r="C1074" s="166"/>
      <c r="D1074" s="168"/>
      <c r="E1074" s="166"/>
      <c r="F1074" s="167"/>
      <c r="G1074" s="168"/>
    </row>
    <row r="1075" customHeight="1" spans="2:7">
      <c r="B1075" s="168"/>
      <c r="C1075" s="166"/>
      <c r="D1075" s="168"/>
      <c r="E1075" s="166"/>
      <c r="F1075" s="167"/>
      <c r="G1075" s="168"/>
    </row>
    <row r="1076" customHeight="1" spans="2:7">
      <c r="B1076" s="168"/>
      <c r="C1076" s="166"/>
      <c r="D1076" s="168"/>
      <c r="E1076" s="166"/>
      <c r="F1076" s="167"/>
      <c r="G1076" s="168"/>
    </row>
    <row r="1077" customHeight="1" spans="2:7">
      <c r="B1077" s="168"/>
      <c r="C1077" s="166"/>
      <c r="D1077" s="168"/>
      <c r="E1077" s="166"/>
      <c r="F1077" s="167"/>
      <c r="G1077" s="168"/>
    </row>
    <row r="1078" customHeight="1" spans="2:7">
      <c r="B1078" s="168"/>
      <c r="C1078" s="166"/>
      <c r="D1078" s="168"/>
      <c r="E1078" s="166"/>
      <c r="F1078" s="167"/>
      <c r="G1078" s="168"/>
    </row>
    <row r="1079" customHeight="1" spans="2:7">
      <c r="B1079" s="168"/>
      <c r="C1079" s="166"/>
      <c r="D1079" s="168"/>
      <c r="E1079" s="166"/>
      <c r="F1079" s="167"/>
      <c r="G1079" s="168"/>
    </row>
    <row r="1080" customHeight="1" spans="2:7">
      <c r="B1080" s="168"/>
      <c r="C1080" s="166"/>
      <c r="D1080" s="168"/>
      <c r="E1080" s="166"/>
      <c r="F1080" s="167"/>
      <c r="G1080" s="168"/>
    </row>
    <row r="1081" customHeight="1" spans="2:7">
      <c r="B1081" s="168"/>
      <c r="C1081" s="166"/>
      <c r="D1081" s="168"/>
      <c r="E1081" s="166"/>
      <c r="F1081" s="167"/>
      <c r="G1081" s="168"/>
    </row>
    <row r="1082" customHeight="1" spans="2:7">
      <c r="B1082" s="168"/>
      <c r="C1082" s="166"/>
      <c r="D1082" s="168"/>
      <c r="E1082" s="166"/>
      <c r="F1082" s="167"/>
      <c r="G1082" s="168"/>
    </row>
    <row r="1083" customHeight="1" spans="2:7">
      <c r="B1083" s="168"/>
      <c r="C1083" s="166"/>
      <c r="D1083" s="168"/>
      <c r="E1083" s="166"/>
      <c r="F1083" s="167"/>
      <c r="G1083" s="168"/>
    </row>
    <row r="1084" customHeight="1" spans="2:7">
      <c r="B1084" s="168"/>
      <c r="C1084" s="166"/>
      <c r="D1084" s="168"/>
      <c r="E1084" s="166"/>
      <c r="F1084" s="167"/>
      <c r="G1084" s="168"/>
    </row>
    <row r="1085" customHeight="1" spans="2:7">
      <c r="B1085" s="168"/>
      <c r="C1085" s="166"/>
      <c r="D1085" s="168"/>
      <c r="E1085" s="166"/>
      <c r="F1085" s="167"/>
      <c r="G1085" s="168"/>
    </row>
    <row r="1086" customHeight="1" spans="2:7">
      <c r="B1086" s="168"/>
      <c r="C1086" s="166"/>
      <c r="D1086" s="168"/>
      <c r="E1086" s="166"/>
      <c r="F1086" s="167"/>
      <c r="G1086" s="168"/>
    </row>
    <row r="1087" customHeight="1" spans="2:7">
      <c r="B1087" s="168"/>
      <c r="C1087" s="166"/>
      <c r="D1087" s="168"/>
      <c r="E1087" s="166"/>
      <c r="F1087" s="167"/>
      <c r="G1087" s="168"/>
    </row>
    <row r="1088" customHeight="1" spans="2:7">
      <c r="B1088" s="168"/>
      <c r="C1088" s="166"/>
      <c r="D1088" s="168"/>
      <c r="E1088" s="166"/>
      <c r="F1088" s="167"/>
      <c r="G1088" s="168"/>
    </row>
    <row r="1089" customHeight="1" spans="2:7">
      <c r="B1089" s="168"/>
      <c r="C1089" s="166"/>
      <c r="D1089" s="168"/>
      <c r="E1089" s="166"/>
      <c r="F1089" s="167"/>
      <c r="G1089" s="168"/>
    </row>
    <row r="1090" customHeight="1" spans="2:7">
      <c r="B1090" s="168"/>
      <c r="C1090" s="166"/>
      <c r="D1090" s="168"/>
      <c r="E1090" s="166"/>
      <c r="F1090" s="167"/>
      <c r="G1090" s="168"/>
    </row>
    <row r="1091" customHeight="1" spans="2:7">
      <c r="B1091" s="168"/>
      <c r="C1091" s="166"/>
      <c r="D1091" s="168"/>
      <c r="E1091" s="166"/>
      <c r="F1091" s="167"/>
      <c r="G1091" s="168"/>
    </row>
    <row r="1092" customHeight="1" spans="2:7">
      <c r="B1092" s="168"/>
      <c r="C1092" s="166"/>
      <c r="D1092" s="168"/>
      <c r="E1092" s="166"/>
      <c r="F1092" s="167"/>
      <c r="G1092" s="168"/>
    </row>
    <row r="1093" customHeight="1" spans="2:7">
      <c r="B1093" s="168"/>
      <c r="C1093" s="166"/>
      <c r="D1093" s="168"/>
      <c r="E1093" s="166"/>
      <c r="F1093" s="167"/>
      <c r="G1093" s="168"/>
    </row>
    <row r="1094" customHeight="1" spans="2:7">
      <c r="B1094" s="168"/>
      <c r="C1094" s="166"/>
      <c r="D1094" s="168"/>
      <c r="E1094" s="166"/>
      <c r="F1094" s="167"/>
      <c r="G1094" s="168"/>
    </row>
    <row r="1095" customHeight="1" spans="2:7">
      <c r="B1095" s="168"/>
      <c r="C1095" s="166"/>
      <c r="D1095" s="168"/>
      <c r="E1095" s="166"/>
      <c r="F1095" s="167"/>
      <c r="G1095" s="168"/>
    </row>
    <row r="1096" customHeight="1" spans="2:7">
      <c r="B1096" s="168"/>
      <c r="C1096" s="166"/>
      <c r="D1096" s="168"/>
      <c r="E1096" s="166"/>
      <c r="F1096" s="167"/>
      <c r="G1096" s="168"/>
    </row>
    <row r="1097" customHeight="1" spans="2:7">
      <c r="B1097" s="168"/>
      <c r="C1097" s="166"/>
      <c r="D1097" s="168"/>
      <c r="E1097" s="166"/>
      <c r="F1097" s="167"/>
      <c r="G1097" s="168"/>
    </row>
    <row r="1098" customHeight="1" spans="2:7">
      <c r="B1098" s="168"/>
      <c r="C1098" s="166"/>
      <c r="D1098" s="168"/>
      <c r="E1098" s="166"/>
      <c r="F1098" s="167"/>
      <c r="G1098" s="168"/>
    </row>
    <row r="1099" customHeight="1" spans="2:7">
      <c r="B1099" s="168"/>
      <c r="C1099" s="166"/>
      <c r="D1099" s="168"/>
      <c r="E1099" s="166"/>
      <c r="F1099" s="167"/>
      <c r="G1099" s="168"/>
    </row>
    <row r="1100" customHeight="1" spans="2:7">
      <c r="B1100" s="168"/>
      <c r="C1100" s="166"/>
      <c r="D1100" s="168"/>
      <c r="E1100" s="166"/>
      <c r="F1100" s="167"/>
      <c r="G1100" s="168"/>
    </row>
    <row r="1101" customHeight="1" spans="2:7">
      <c r="B1101" s="168"/>
      <c r="C1101" s="166"/>
      <c r="D1101" s="168"/>
      <c r="E1101" s="166"/>
      <c r="F1101" s="167"/>
      <c r="G1101" s="168"/>
    </row>
    <row r="1102" customHeight="1" spans="2:7">
      <c r="B1102" s="168"/>
      <c r="C1102" s="166"/>
      <c r="D1102" s="168"/>
      <c r="E1102" s="166"/>
      <c r="F1102" s="167"/>
      <c r="G1102" s="168"/>
    </row>
    <row r="1103" customHeight="1" spans="2:7">
      <c r="B1103" s="168"/>
      <c r="C1103" s="166"/>
      <c r="D1103" s="168"/>
      <c r="E1103" s="166"/>
      <c r="F1103" s="167"/>
      <c r="G1103" s="168"/>
    </row>
    <row r="1104" customHeight="1" spans="2:7">
      <c r="B1104" s="168"/>
      <c r="C1104" s="166"/>
      <c r="D1104" s="168"/>
      <c r="E1104" s="166"/>
      <c r="F1104" s="167"/>
      <c r="G1104" s="168"/>
    </row>
    <row r="1105" customHeight="1" spans="2:7">
      <c r="B1105" s="168"/>
      <c r="C1105" s="166"/>
      <c r="D1105" s="168"/>
      <c r="E1105" s="166"/>
      <c r="F1105" s="167"/>
      <c r="G1105" s="168"/>
    </row>
    <row r="1106" customHeight="1" spans="2:7">
      <c r="B1106" s="168"/>
      <c r="C1106" s="166"/>
      <c r="D1106" s="168"/>
      <c r="E1106" s="166"/>
      <c r="F1106" s="167"/>
      <c r="G1106" s="168"/>
    </row>
    <row r="1107" customHeight="1" spans="2:7">
      <c r="B1107" s="168"/>
      <c r="C1107" s="166"/>
      <c r="D1107" s="168"/>
      <c r="E1107" s="166"/>
      <c r="F1107" s="167"/>
      <c r="G1107" s="168"/>
    </row>
    <row r="1108" customHeight="1" spans="2:7">
      <c r="B1108" s="168"/>
      <c r="C1108" s="166"/>
      <c r="D1108" s="168"/>
      <c r="E1108" s="166"/>
      <c r="F1108" s="167"/>
      <c r="G1108" s="168"/>
    </row>
    <row r="1109" customHeight="1" spans="2:7">
      <c r="B1109" s="168"/>
      <c r="C1109" s="166"/>
      <c r="D1109" s="168"/>
      <c r="E1109" s="166"/>
      <c r="F1109" s="167"/>
      <c r="G1109" s="168"/>
    </row>
    <row r="1110" customHeight="1" spans="2:7">
      <c r="B1110" s="168"/>
      <c r="C1110" s="166"/>
      <c r="D1110" s="168"/>
      <c r="E1110" s="166"/>
      <c r="F1110" s="167"/>
      <c r="G1110" s="168"/>
    </row>
    <row r="1111" customHeight="1" spans="2:7">
      <c r="B1111" s="168"/>
      <c r="C1111" s="166"/>
      <c r="D1111" s="168"/>
      <c r="E1111" s="166"/>
      <c r="F1111" s="167"/>
      <c r="G1111" s="168"/>
    </row>
    <row r="1112" customHeight="1" spans="2:7">
      <c r="B1112" s="168"/>
      <c r="C1112" s="166"/>
      <c r="D1112" s="168"/>
      <c r="E1112" s="166"/>
      <c r="F1112" s="167"/>
      <c r="G1112" s="168"/>
    </row>
    <row r="1113" customHeight="1" spans="2:7">
      <c r="B1113" s="168"/>
      <c r="C1113" s="166"/>
      <c r="D1113" s="168"/>
      <c r="E1113" s="166"/>
      <c r="F1113" s="167"/>
      <c r="G1113" s="168"/>
    </row>
    <row r="1114" customHeight="1" spans="2:7">
      <c r="B1114" s="168"/>
      <c r="C1114" s="166"/>
      <c r="D1114" s="168"/>
      <c r="E1114" s="166"/>
      <c r="F1114" s="167"/>
      <c r="G1114" s="168"/>
    </row>
    <row r="1115" customHeight="1" spans="2:7">
      <c r="B1115" s="168"/>
      <c r="C1115" s="166"/>
      <c r="D1115" s="168"/>
      <c r="E1115" s="166"/>
      <c r="F1115" s="167"/>
      <c r="G1115" s="168"/>
    </row>
    <row r="1116" customHeight="1" spans="2:7">
      <c r="B1116" s="168"/>
      <c r="C1116" s="166"/>
      <c r="D1116" s="168"/>
      <c r="E1116" s="166"/>
      <c r="F1116" s="167"/>
      <c r="G1116" s="168"/>
    </row>
    <row r="1117" customHeight="1" spans="2:7">
      <c r="B1117" s="168"/>
      <c r="C1117" s="166"/>
      <c r="D1117" s="168"/>
      <c r="E1117" s="166"/>
      <c r="F1117" s="167"/>
      <c r="G1117" s="168"/>
    </row>
    <row r="1118" customHeight="1" spans="2:7">
      <c r="B1118" s="168"/>
      <c r="C1118" s="166"/>
      <c r="D1118" s="168"/>
      <c r="E1118" s="166"/>
      <c r="F1118" s="167"/>
      <c r="G1118" s="168"/>
    </row>
    <row r="1119" customHeight="1" spans="2:7">
      <c r="B1119" s="168"/>
      <c r="C1119" s="166"/>
      <c r="D1119" s="168"/>
      <c r="E1119" s="166"/>
      <c r="F1119" s="167"/>
      <c r="G1119" s="168"/>
    </row>
    <row r="1120" customHeight="1" spans="2:7">
      <c r="B1120" s="168"/>
      <c r="C1120" s="166"/>
      <c r="D1120" s="168"/>
      <c r="E1120" s="166"/>
      <c r="F1120" s="167"/>
      <c r="G1120" s="168"/>
    </row>
    <row r="1121" customHeight="1" spans="2:7">
      <c r="B1121" s="168"/>
      <c r="C1121" s="166"/>
      <c r="D1121" s="168"/>
      <c r="E1121" s="166"/>
      <c r="F1121" s="167"/>
      <c r="G1121" s="168"/>
    </row>
    <row r="1122" customHeight="1" spans="2:7">
      <c r="B1122" s="168"/>
      <c r="C1122" s="166"/>
      <c r="D1122" s="168"/>
      <c r="E1122" s="166"/>
      <c r="F1122" s="167"/>
      <c r="G1122" s="168"/>
    </row>
    <row r="1123" customHeight="1" spans="2:7">
      <c r="B1123" s="168"/>
      <c r="C1123" s="166"/>
      <c r="D1123" s="168"/>
      <c r="E1123" s="166"/>
      <c r="F1123" s="167"/>
      <c r="G1123" s="168"/>
    </row>
    <row r="1124" customHeight="1" spans="2:7">
      <c r="B1124" s="168"/>
      <c r="C1124" s="166"/>
      <c r="D1124" s="168"/>
      <c r="E1124" s="166"/>
      <c r="F1124" s="167"/>
      <c r="G1124" s="168"/>
    </row>
    <row r="1125" customHeight="1" spans="2:7">
      <c r="B1125" s="168"/>
      <c r="C1125" s="166"/>
      <c r="D1125" s="168"/>
      <c r="E1125" s="166"/>
      <c r="F1125" s="167"/>
      <c r="G1125" s="168"/>
    </row>
    <row r="1126" customHeight="1" spans="2:7">
      <c r="B1126" s="168"/>
      <c r="C1126" s="166"/>
      <c r="D1126" s="168"/>
      <c r="E1126" s="166"/>
      <c r="F1126" s="167"/>
      <c r="G1126" s="168"/>
    </row>
    <row r="1127" customHeight="1" spans="2:7">
      <c r="B1127" s="168"/>
      <c r="C1127" s="166"/>
      <c r="D1127" s="168"/>
      <c r="E1127" s="166"/>
      <c r="F1127" s="167"/>
      <c r="G1127" s="168"/>
    </row>
    <row r="1128" customHeight="1" spans="2:7">
      <c r="B1128" s="168"/>
      <c r="C1128" s="166"/>
      <c r="D1128" s="168"/>
      <c r="E1128" s="166"/>
      <c r="F1128" s="167"/>
      <c r="G1128" s="168"/>
    </row>
    <row r="1129" customHeight="1" spans="2:7">
      <c r="B1129" s="168"/>
      <c r="C1129" s="166"/>
      <c r="D1129" s="168"/>
      <c r="E1129" s="166"/>
      <c r="F1129" s="167"/>
      <c r="G1129" s="168"/>
    </row>
    <row r="1130" customHeight="1" spans="2:7">
      <c r="B1130" s="168"/>
      <c r="C1130" s="166"/>
      <c r="D1130" s="168"/>
      <c r="E1130" s="166"/>
      <c r="F1130" s="167"/>
      <c r="G1130" s="168"/>
    </row>
    <row r="1131" customHeight="1" spans="2:7">
      <c r="B1131" s="168"/>
      <c r="C1131" s="166"/>
      <c r="D1131" s="168"/>
      <c r="E1131" s="166"/>
      <c r="F1131" s="167"/>
      <c r="G1131" s="168"/>
    </row>
    <row r="1132" customHeight="1" spans="2:7">
      <c r="B1132" s="168"/>
      <c r="C1132" s="166"/>
      <c r="D1132" s="168"/>
      <c r="E1132" s="166"/>
      <c r="F1132" s="167"/>
      <c r="G1132" s="168"/>
    </row>
    <row r="1133" customHeight="1" spans="2:7">
      <c r="B1133" s="168"/>
      <c r="C1133" s="166"/>
      <c r="D1133" s="168"/>
      <c r="E1133" s="166"/>
      <c r="F1133" s="167"/>
      <c r="G1133" s="168"/>
    </row>
    <row r="1134" customHeight="1" spans="2:7">
      <c r="B1134" s="168"/>
      <c r="C1134" s="166"/>
      <c r="D1134" s="168"/>
      <c r="E1134" s="166"/>
      <c r="F1134" s="167"/>
      <c r="G1134" s="168"/>
    </row>
    <row r="1135" customHeight="1" spans="2:7">
      <c r="B1135" s="168"/>
      <c r="C1135" s="166"/>
      <c r="D1135" s="168"/>
      <c r="E1135" s="166"/>
      <c r="F1135" s="167"/>
      <c r="G1135" s="168"/>
    </row>
    <row r="1136" customHeight="1" spans="2:7">
      <c r="B1136" s="168"/>
      <c r="C1136" s="166"/>
      <c r="D1136" s="168"/>
      <c r="E1136" s="166"/>
      <c r="F1136" s="167"/>
      <c r="G1136" s="168"/>
    </row>
    <row r="1137" customHeight="1" spans="2:7">
      <c r="B1137" s="168"/>
      <c r="C1137" s="166"/>
      <c r="D1137" s="168"/>
      <c r="E1137" s="166"/>
      <c r="F1137" s="167"/>
      <c r="G1137" s="168"/>
    </row>
    <row r="1138" customHeight="1" spans="2:7">
      <c r="B1138" s="168"/>
      <c r="C1138" s="166"/>
      <c r="D1138" s="168"/>
      <c r="E1138" s="166"/>
      <c r="F1138" s="167"/>
      <c r="G1138" s="168"/>
    </row>
    <row r="1139" customHeight="1" spans="2:7">
      <c r="B1139" s="168"/>
      <c r="C1139" s="166"/>
      <c r="D1139" s="168"/>
      <c r="E1139" s="166"/>
      <c r="F1139" s="167"/>
      <c r="G1139" s="168"/>
    </row>
    <row r="1140" customHeight="1" spans="2:7">
      <c r="B1140" s="168"/>
      <c r="C1140" s="166"/>
      <c r="D1140" s="168"/>
      <c r="E1140" s="166"/>
      <c r="F1140" s="167"/>
      <c r="G1140" s="168"/>
    </row>
    <row r="1141" customHeight="1" spans="2:7">
      <c r="B1141" s="168"/>
      <c r="C1141" s="166"/>
      <c r="D1141" s="168"/>
      <c r="E1141" s="166"/>
      <c r="F1141" s="167"/>
      <c r="G1141" s="168"/>
    </row>
    <row r="1142" customHeight="1" spans="2:7">
      <c r="B1142" s="168"/>
      <c r="C1142" s="166"/>
      <c r="D1142" s="168"/>
      <c r="E1142" s="166"/>
      <c r="F1142" s="167"/>
      <c r="G1142" s="168"/>
    </row>
    <row r="1143" customHeight="1" spans="2:7">
      <c r="B1143" s="168"/>
      <c r="C1143" s="166"/>
      <c r="D1143" s="168"/>
      <c r="E1143" s="166"/>
      <c r="F1143" s="167"/>
      <c r="G1143" s="168"/>
    </row>
    <row r="1144" customHeight="1" spans="2:7">
      <c r="B1144" s="168"/>
      <c r="C1144" s="166"/>
      <c r="D1144" s="168"/>
      <c r="E1144" s="166"/>
      <c r="F1144" s="167"/>
      <c r="G1144" s="168"/>
    </row>
    <row r="1145" customHeight="1" spans="2:7">
      <c r="B1145" s="168"/>
      <c r="C1145" s="166"/>
      <c r="D1145" s="168"/>
      <c r="E1145" s="166"/>
      <c r="F1145" s="167"/>
      <c r="G1145" s="168"/>
    </row>
    <row r="1146" customHeight="1" spans="2:7">
      <c r="B1146" s="168"/>
      <c r="C1146" s="166"/>
      <c r="D1146" s="168"/>
      <c r="E1146" s="166"/>
      <c r="F1146" s="167"/>
      <c r="G1146" s="168"/>
    </row>
    <row r="1147" customHeight="1" spans="2:7">
      <c r="B1147" s="168"/>
      <c r="C1147" s="166"/>
      <c r="D1147" s="168"/>
      <c r="E1147" s="166"/>
      <c r="F1147" s="167"/>
      <c r="G1147" s="168"/>
    </row>
    <row r="1148" customHeight="1" spans="2:7">
      <c r="B1148" s="168"/>
      <c r="C1148" s="166"/>
      <c r="D1148" s="168"/>
      <c r="E1148" s="166"/>
      <c r="F1148" s="167"/>
      <c r="G1148" s="168"/>
    </row>
    <row r="1149" customHeight="1" spans="2:7">
      <c r="B1149" s="168"/>
      <c r="C1149" s="166"/>
      <c r="D1149" s="168"/>
      <c r="E1149" s="166"/>
      <c r="F1149" s="167"/>
      <c r="G1149" s="168"/>
    </row>
    <row r="1150" customHeight="1" spans="2:7">
      <c r="B1150" s="168"/>
      <c r="C1150" s="166"/>
      <c r="D1150" s="168"/>
      <c r="E1150" s="166"/>
      <c r="F1150" s="167"/>
      <c r="G1150" s="168"/>
    </row>
    <row r="1151" customHeight="1" spans="2:7">
      <c r="B1151" s="168"/>
      <c r="C1151" s="166"/>
      <c r="D1151" s="168"/>
      <c r="E1151" s="166"/>
      <c r="F1151" s="167"/>
      <c r="G1151" s="168"/>
    </row>
    <row r="1152" customHeight="1" spans="2:7">
      <c r="B1152" s="168"/>
      <c r="C1152" s="166"/>
      <c r="D1152" s="168"/>
      <c r="E1152" s="166"/>
      <c r="F1152" s="167"/>
      <c r="G1152" s="168"/>
    </row>
    <row r="1153" customHeight="1" spans="2:7">
      <c r="B1153" s="168"/>
      <c r="C1153" s="166"/>
      <c r="D1153" s="168"/>
      <c r="E1153" s="166"/>
      <c r="F1153" s="167"/>
      <c r="G1153" s="168"/>
    </row>
    <row r="1154" customHeight="1" spans="2:7">
      <c r="B1154" s="168"/>
      <c r="C1154" s="166"/>
      <c r="D1154" s="168"/>
      <c r="E1154" s="166"/>
      <c r="F1154" s="167"/>
      <c r="G1154" s="168"/>
    </row>
    <row r="1155" customHeight="1" spans="2:7">
      <c r="B1155" s="168"/>
      <c r="C1155" s="166"/>
      <c r="D1155" s="168"/>
      <c r="E1155" s="166"/>
      <c r="F1155" s="167"/>
      <c r="G1155" s="168"/>
    </row>
    <row r="1156" customHeight="1" spans="2:7">
      <c r="B1156" s="168"/>
      <c r="C1156" s="166"/>
      <c r="D1156" s="168"/>
      <c r="E1156" s="166"/>
      <c r="F1156" s="167"/>
      <c r="G1156" s="168"/>
    </row>
    <row r="1157" customHeight="1" spans="2:7">
      <c r="B1157" s="168"/>
      <c r="C1157" s="166"/>
      <c r="D1157" s="168"/>
      <c r="E1157" s="166"/>
      <c r="F1157" s="167"/>
      <c r="G1157" s="168"/>
    </row>
    <row r="1158" customHeight="1" spans="2:7">
      <c r="B1158" s="168"/>
      <c r="C1158" s="166"/>
      <c r="D1158" s="168"/>
      <c r="E1158" s="166"/>
      <c r="F1158" s="167"/>
      <c r="G1158" s="168"/>
    </row>
    <row r="1159" customHeight="1" spans="2:7">
      <c r="B1159" s="168"/>
      <c r="C1159" s="166"/>
      <c r="D1159" s="168"/>
      <c r="E1159" s="166"/>
      <c r="F1159" s="167"/>
      <c r="G1159" s="168"/>
    </row>
    <row r="1160" customHeight="1" spans="2:7">
      <c r="B1160" s="168"/>
      <c r="C1160" s="166"/>
      <c r="D1160" s="168"/>
      <c r="E1160" s="166"/>
      <c r="F1160" s="167"/>
      <c r="G1160" s="168"/>
    </row>
    <row r="1161" customHeight="1" spans="2:7">
      <c r="B1161" s="168"/>
      <c r="C1161" s="166"/>
      <c r="D1161" s="168"/>
      <c r="E1161" s="166"/>
      <c r="F1161" s="167"/>
      <c r="G1161" s="168"/>
    </row>
    <row r="1162" customHeight="1" spans="2:7">
      <c r="B1162" s="168"/>
      <c r="C1162" s="166"/>
      <c r="D1162" s="168"/>
      <c r="E1162" s="166"/>
      <c r="F1162" s="167"/>
      <c r="G1162" s="168"/>
    </row>
    <row r="1163" customHeight="1" spans="2:7">
      <c r="B1163" s="168"/>
      <c r="C1163" s="166"/>
      <c r="D1163" s="168"/>
      <c r="E1163" s="166"/>
      <c r="F1163" s="167"/>
      <c r="G1163" s="168"/>
    </row>
    <row r="1164" customHeight="1" spans="2:7">
      <c r="B1164" s="168"/>
      <c r="C1164" s="166"/>
      <c r="D1164" s="168"/>
      <c r="E1164" s="166"/>
      <c r="F1164" s="167"/>
      <c r="G1164" s="168"/>
    </row>
    <row r="1165" customHeight="1" spans="2:7">
      <c r="B1165" s="168"/>
      <c r="C1165" s="166"/>
      <c r="D1165" s="168"/>
      <c r="E1165" s="166"/>
      <c r="F1165" s="167"/>
      <c r="G1165" s="168"/>
    </row>
    <row r="1166" customHeight="1" spans="2:7">
      <c r="B1166" s="168"/>
      <c r="C1166" s="166"/>
      <c r="D1166" s="168"/>
      <c r="E1166" s="166"/>
      <c r="F1166" s="167"/>
      <c r="G1166" s="168"/>
    </row>
    <row r="1167" customHeight="1" spans="2:7">
      <c r="B1167" s="168"/>
      <c r="C1167" s="166"/>
      <c r="D1167" s="168"/>
      <c r="E1167" s="166"/>
      <c r="F1167" s="167"/>
      <c r="G1167" s="168"/>
    </row>
    <row r="1168" customHeight="1" spans="2:7">
      <c r="B1168" s="168"/>
      <c r="C1168" s="166"/>
      <c r="D1168" s="168"/>
      <c r="E1168" s="166"/>
      <c r="F1168" s="167"/>
      <c r="G1168" s="168"/>
    </row>
    <row r="1169" customHeight="1" spans="2:7">
      <c r="B1169" s="168"/>
      <c r="C1169" s="166"/>
      <c r="D1169" s="168"/>
      <c r="E1169" s="166"/>
      <c r="F1169" s="167"/>
      <c r="G1169" s="168"/>
    </row>
    <row r="1170" customHeight="1" spans="2:7">
      <c r="B1170" s="168"/>
      <c r="C1170" s="166"/>
      <c r="D1170" s="168"/>
      <c r="E1170" s="166"/>
      <c r="F1170" s="167"/>
      <c r="G1170" s="168"/>
    </row>
    <row r="1171" customHeight="1" spans="2:7">
      <c r="B1171" s="168"/>
      <c r="C1171" s="166"/>
      <c r="D1171" s="168"/>
      <c r="E1171" s="166"/>
      <c r="F1171" s="167"/>
      <c r="G1171" s="168"/>
    </row>
    <row r="1172" customHeight="1" spans="2:7">
      <c r="B1172" s="168"/>
      <c r="C1172" s="166"/>
      <c r="D1172" s="168"/>
      <c r="E1172" s="166"/>
      <c r="F1172" s="167"/>
      <c r="G1172" s="168"/>
    </row>
    <row r="1173" customHeight="1" spans="2:7">
      <c r="B1173" s="168"/>
      <c r="C1173" s="166"/>
      <c r="D1173" s="168"/>
      <c r="E1173" s="166"/>
      <c r="F1173" s="167"/>
      <c r="G1173" s="168"/>
    </row>
    <row r="1174" customHeight="1" spans="2:7">
      <c r="B1174" s="168"/>
      <c r="C1174" s="166"/>
      <c r="D1174" s="168"/>
      <c r="E1174" s="166"/>
      <c r="F1174" s="167"/>
      <c r="G1174" s="168"/>
    </row>
    <row r="1175" customHeight="1" spans="2:7">
      <c r="B1175" s="168"/>
      <c r="C1175" s="166"/>
      <c r="D1175" s="168"/>
      <c r="E1175" s="166"/>
      <c r="F1175" s="167"/>
      <c r="G1175" s="168"/>
    </row>
    <row r="1176" customHeight="1" spans="2:7">
      <c r="B1176" s="168"/>
      <c r="C1176" s="166"/>
      <c r="D1176" s="168"/>
      <c r="E1176" s="166"/>
      <c r="F1176" s="167"/>
      <c r="G1176" s="168"/>
    </row>
    <row r="1177" customHeight="1" spans="2:7">
      <c r="B1177" s="168"/>
      <c r="C1177" s="166"/>
      <c r="D1177" s="168"/>
      <c r="E1177" s="166"/>
      <c r="F1177" s="167"/>
      <c r="G1177" s="168"/>
    </row>
    <row r="1178" customHeight="1" spans="2:7">
      <c r="B1178" s="168"/>
      <c r="C1178" s="166"/>
      <c r="D1178" s="168"/>
      <c r="E1178" s="166"/>
      <c r="F1178" s="167"/>
      <c r="G1178" s="168"/>
    </row>
    <row r="1179" customHeight="1" spans="2:7">
      <c r="B1179" s="168"/>
      <c r="C1179" s="166"/>
      <c r="D1179" s="168"/>
      <c r="E1179" s="166"/>
      <c r="F1179" s="167"/>
      <c r="G1179" s="168"/>
    </row>
    <row r="1180" customHeight="1" spans="2:7">
      <c r="B1180" s="168"/>
      <c r="C1180" s="166"/>
      <c r="D1180" s="168"/>
      <c r="E1180" s="166"/>
      <c r="F1180" s="167"/>
      <c r="G1180" s="168"/>
    </row>
    <row r="1181" customHeight="1" spans="2:7">
      <c r="B1181" s="168"/>
      <c r="C1181" s="166"/>
      <c r="D1181" s="168"/>
      <c r="E1181" s="166"/>
      <c r="F1181" s="167"/>
      <c r="G1181" s="168"/>
    </row>
    <row r="1182" customHeight="1" spans="2:7">
      <c r="B1182" s="168"/>
      <c r="C1182" s="166"/>
      <c r="D1182" s="168"/>
      <c r="E1182" s="166"/>
      <c r="F1182" s="167"/>
      <c r="G1182" s="168"/>
    </row>
    <row r="1183" customHeight="1" spans="2:7">
      <c r="B1183" s="168"/>
      <c r="C1183" s="166"/>
      <c r="D1183" s="168"/>
      <c r="E1183" s="166"/>
      <c r="F1183" s="167"/>
      <c r="G1183" s="168"/>
    </row>
    <row r="1184" customHeight="1" spans="2:7">
      <c r="B1184" s="168"/>
      <c r="C1184" s="166"/>
      <c r="D1184" s="168"/>
      <c r="E1184" s="166"/>
      <c r="F1184" s="167"/>
      <c r="G1184" s="168"/>
    </row>
    <row r="1185" customHeight="1" spans="2:7">
      <c r="B1185" s="168"/>
      <c r="C1185" s="166"/>
      <c r="D1185" s="168"/>
      <c r="E1185" s="166"/>
      <c r="F1185" s="167"/>
      <c r="G1185" s="168"/>
    </row>
    <row r="1186" customHeight="1" spans="2:7">
      <c r="B1186" s="168"/>
      <c r="C1186" s="166"/>
      <c r="D1186" s="168"/>
      <c r="E1186" s="166"/>
      <c r="F1186" s="167"/>
      <c r="G1186" s="168"/>
    </row>
    <row r="1187" customHeight="1" spans="2:7">
      <c r="B1187" s="168"/>
      <c r="C1187" s="166"/>
      <c r="D1187" s="168"/>
      <c r="E1187" s="166"/>
      <c r="F1187" s="167"/>
      <c r="G1187" s="168"/>
    </row>
    <row r="1188" customHeight="1" spans="2:7">
      <c r="B1188" s="168"/>
      <c r="C1188" s="166"/>
      <c r="D1188" s="168"/>
      <c r="E1188" s="166"/>
      <c r="F1188" s="167"/>
      <c r="G1188" s="168"/>
    </row>
    <row r="1189" customHeight="1" spans="2:7">
      <c r="B1189" s="168"/>
      <c r="C1189" s="166"/>
      <c r="D1189" s="168"/>
      <c r="E1189" s="166"/>
      <c r="F1189" s="167"/>
      <c r="G1189" s="168"/>
    </row>
    <row r="1190" customHeight="1" spans="2:7">
      <c r="B1190" s="168"/>
      <c r="C1190" s="166"/>
      <c r="D1190" s="168"/>
      <c r="E1190" s="166"/>
      <c r="F1190" s="167"/>
      <c r="G1190" s="168"/>
    </row>
    <row r="1191" customHeight="1" spans="2:7">
      <c r="B1191" s="168"/>
      <c r="C1191" s="166"/>
      <c r="D1191" s="168"/>
      <c r="E1191" s="166"/>
      <c r="F1191" s="167"/>
      <c r="G1191" s="168"/>
    </row>
    <row r="1192" customHeight="1" spans="2:7">
      <c r="B1192" s="168"/>
      <c r="C1192" s="166"/>
      <c r="D1192" s="168"/>
      <c r="E1192" s="166"/>
      <c r="F1192" s="167"/>
      <c r="G1192" s="168"/>
    </row>
    <row r="1193" customHeight="1" spans="2:7">
      <c r="B1193" s="168"/>
      <c r="C1193" s="166"/>
      <c r="D1193" s="168"/>
      <c r="E1193" s="166"/>
      <c r="F1193" s="167"/>
      <c r="G1193" s="168"/>
    </row>
    <row r="1194" customHeight="1" spans="2:7">
      <c r="B1194" s="168"/>
      <c r="C1194" s="166"/>
      <c r="D1194" s="168"/>
      <c r="E1194" s="166"/>
      <c r="F1194" s="167"/>
      <c r="G1194" s="168"/>
    </row>
    <row r="1195" customHeight="1" spans="2:7">
      <c r="B1195" s="168"/>
      <c r="C1195" s="166"/>
      <c r="D1195" s="168"/>
      <c r="E1195" s="166"/>
      <c r="F1195" s="167"/>
      <c r="G1195" s="168"/>
    </row>
    <row r="1196" customHeight="1" spans="2:7">
      <c r="B1196" s="168"/>
      <c r="C1196" s="166"/>
      <c r="D1196" s="168"/>
      <c r="E1196" s="166"/>
      <c r="F1196" s="167"/>
      <c r="G1196" s="168"/>
    </row>
    <row r="1197" customHeight="1" spans="2:7">
      <c r="B1197" s="168"/>
      <c r="C1197" s="166"/>
      <c r="D1197" s="168"/>
      <c r="E1197" s="166"/>
      <c r="F1197" s="167"/>
      <c r="G1197" s="168"/>
    </row>
    <row r="1198" customHeight="1" spans="2:7">
      <c r="B1198" s="168"/>
      <c r="C1198" s="166"/>
      <c r="D1198" s="168"/>
      <c r="E1198" s="166"/>
      <c r="F1198" s="167"/>
      <c r="G1198" s="168"/>
    </row>
    <row r="1199" customHeight="1" spans="2:7">
      <c r="B1199" s="168"/>
      <c r="C1199" s="166"/>
      <c r="D1199" s="168"/>
      <c r="E1199" s="166"/>
      <c r="F1199" s="167"/>
      <c r="G1199" s="168"/>
    </row>
    <row r="1200" customHeight="1" spans="2:7">
      <c r="B1200" s="168"/>
      <c r="C1200" s="166"/>
      <c r="D1200" s="168"/>
      <c r="E1200" s="166"/>
      <c r="F1200" s="167"/>
      <c r="G1200" s="168"/>
    </row>
    <row r="1201" customHeight="1" spans="2:7">
      <c r="B1201" s="168"/>
      <c r="C1201" s="166"/>
      <c r="D1201" s="168"/>
      <c r="E1201" s="166"/>
      <c r="F1201" s="167"/>
      <c r="G1201" s="168"/>
    </row>
    <row r="1202" customHeight="1" spans="2:7">
      <c r="B1202" s="168"/>
      <c r="C1202" s="166"/>
      <c r="D1202" s="168"/>
      <c r="E1202" s="166"/>
      <c r="F1202" s="167"/>
      <c r="G1202" s="168"/>
    </row>
    <row r="1203" customHeight="1" spans="2:7">
      <c r="B1203" s="168"/>
      <c r="C1203" s="166"/>
      <c r="D1203" s="168"/>
      <c r="E1203" s="166"/>
      <c r="F1203" s="167"/>
      <c r="G1203" s="168"/>
    </row>
    <row r="1204" customHeight="1" spans="2:7">
      <c r="B1204" s="168"/>
      <c r="C1204" s="166"/>
      <c r="D1204" s="168"/>
      <c r="E1204" s="166"/>
      <c r="F1204" s="167"/>
      <c r="G1204" s="168"/>
    </row>
    <row r="1205" customHeight="1" spans="2:7">
      <c r="B1205" s="168"/>
      <c r="C1205" s="166"/>
      <c r="D1205" s="168"/>
      <c r="E1205" s="166"/>
      <c r="F1205" s="167"/>
      <c r="G1205" s="168"/>
    </row>
    <row r="1206" customHeight="1" spans="2:7">
      <c r="B1206" s="168"/>
      <c r="C1206" s="166"/>
      <c r="D1206" s="168"/>
      <c r="E1206" s="166"/>
      <c r="F1206" s="167"/>
      <c r="G1206" s="168"/>
    </row>
    <row r="1207" customHeight="1" spans="2:7">
      <c r="B1207" s="168"/>
      <c r="C1207" s="166"/>
      <c r="D1207" s="168"/>
      <c r="E1207" s="166"/>
      <c r="F1207" s="167"/>
      <c r="G1207" s="168"/>
    </row>
    <row r="1208" customHeight="1" spans="2:7">
      <c r="B1208" s="168"/>
      <c r="C1208" s="166"/>
      <c r="D1208" s="168"/>
      <c r="E1208" s="166"/>
      <c r="F1208" s="167"/>
      <c r="G1208" s="168"/>
    </row>
    <row r="1209" customHeight="1" spans="2:7">
      <c r="B1209" s="168"/>
      <c r="C1209" s="166"/>
      <c r="D1209" s="168"/>
      <c r="E1209" s="166"/>
      <c r="F1209" s="167"/>
      <c r="G1209" s="168"/>
    </row>
    <row r="1210" customHeight="1" spans="2:7">
      <c r="B1210" s="168"/>
      <c r="C1210" s="166"/>
      <c r="D1210" s="168"/>
      <c r="E1210" s="166"/>
      <c r="F1210" s="167"/>
      <c r="G1210" s="168"/>
    </row>
    <row r="1211" customHeight="1" spans="2:7">
      <c r="B1211" s="168"/>
      <c r="C1211" s="166"/>
      <c r="D1211" s="168"/>
      <c r="E1211" s="166"/>
      <c r="F1211" s="167"/>
      <c r="G1211" s="168"/>
    </row>
    <row r="1212" customHeight="1" spans="2:7">
      <c r="B1212" s="168"/>
      <c r="C1212" s="166"/>
      <c r="D1212" s="168"/>
      <c r="E1212" s="166"/>
      <c r="F1212" s="167"/>
      <c r="G1212" s="168"/>
    </row>
    <row r="1213" customHeight="1" spans="2:7">
      <c r="B1213" s="168"/>
      <c r="C1213" s="166"/>
      <c r="D1213" s="168"/>
      <c r="E1213" s="166"/>
      <c r="F1213" s="167"/>
      <c r="G1213" s="168"/>
    </row>
    <row r="1214" customHeight="1" spans="2:7">
      <c r="B1214" s="168"/>
      <c r="C1214" s="166"/>
      <c r="D1214" s="168"/>
      <c r="E1214" s="166"/>
      <c r="F1214" s="167"/>
      <c r="G1214" s="168"/>
    </row>
    <row r="1215" customHeight="1" spans="2:7">
      <c r="B1215" s="168"/>
      <c r="C1215" s="166"/>
      <c r="D1215" s="168"/>
      <c r="E1215" s="166"/>
      <c r="F1215" s="167"/>
      <c r="G1215" s="168"/>
    </row>
    <row r="1216" customHeight="1" spans="2:7">
      <c r="B1216" s="168"/>
      <c r="C1216" s="166"/>
      <c r="D1216" s="168"/>
      <c r="E1216" s="166"/>
      <c r="F1216" s="167"/>
      <c r="G1216" s="168"/>
    </row>
    <row r="1217" customHeight="1" spans="2:7">
      <c r="B1217" s="168"/>
      <c r="C1217" s="166"/>
      <c r="D1217" s="168"/>
      <c r="E1217" s="166"/>
      <c r="F1217" s="167"/>
      <c r="G1217" s="168"/>
    </row>
    <row r="1218" customHeight="1" spans="2:7">
      <c r="B1218" s="168"/>
      <c r="C1218" s="166"/>
      <c r="D1218" s="168"/>
      <c r="E1218" s="166"/>
      <c r="F1218" s="167"/>
      <c r="G1218" s="168"/>
    </row>
    <row r="1219" customHeight="1" spans="2:7">
      <c r="B1219" s="168"/>
      <c r="C1219" s="166"/>
      <c r="D1219" s="168"/>
      <c r="E1219" s="166"/>
      <c r="F1219" s="167"/>
      <c r="G1219" s="168"/>
    </row>
    <row r="1220" customHeight="1" spans="2:7">
      <c r="B1220" s="168"/>
      <c r="C1220" s="166"/>
      <c r="D1220" s="168"/>
      <c r="E1220" s="166"/>
      <c r="F1220" s="167"/>
      <c r="G1220" s="168"/>
    </row>
    <row r="1221" customHeight="1" spans="2:7">
      <c r="B1221" s="168"/>
      <c r="C1221" s="166"/>
      <c r="D1221" s="168"/>
      <c r="E1221" s="166"/>
      <c r="F1221" s="167"/>
      <c r="G1221" s="168"/>
    </row>
  </sheetData>
  <mergeCells count="1">
    <mergeCell ref="B2:G2"/>
  </mergeCells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303"/>
  <sheetViews>
    <sheetView showGridLines="0" workbookViewId="0">
      <pane ySplit="3" topLeftCell="A52" activePane="bottomLeft" state="frozen"/>
      <selection/>
      <selection pane="bottomLeft" activeCell="A1" sqref="A1"/>
    </sheetView>
  </sheetViews>
  <sheetFormatPr defaultColWidth="9" defaultRowHeight="18.95" customHeight="1"/>
  <cols>
    <col min="1" max="1" width="1.56363636363636" style="90" customWidth="1"/>
    <col min="2" max="2" width="9.14545454545454" style="90" customWidth="1"/>
    <col min="3" max="3" width="16.2818181818182" style="90" customWidth="1"/>
    <col min="4" max="4" width="16.4272727272727" style="90" customWidth="1"/>
    <col min="5" max="5" width="22" style="90" customWidth="1"/>
    <col min="6" max="6" width="2.56363636363636" style="90" customWidth="1"/>
    <col min="7" max="7" width="7.42727272727273" style="90" customWidth="1"/>
    <col min="8" max="8" width="12" style="90" customWidth="1"/>
    <col min="9" max="9" width="11.4272727272727" style="90" customWidth="1"/>
    <col min="10" max="10" width="9" style="90" customWidth="1"/>
    <col min="11" max="16384" width="9" style="135"/>
  </cols>
  <sheetData>
    <row r="1" ht="9" customHeight="1" spans="2:9">
      <c r="B1" s="136"/>
      <c r="C1" s="136"/>
      <c r="D1" s="136"/>
      <c r="E1" s="136"/>
    </row>
    <row r="2" ht="24" customHeight="1" spans="2:9">
      <c r="B2" s="137" t="s">
        <v>258</v>
      </c>
      <c r="C2" s="137"/>
      <c r="D2" s="137"/>
      <c r="E2" s="137"/>
      <c r="F2" s="138"/>
      <c r="G2" s="139"/>
      <c r="H2" s="139"/>
      <c r="I2" s="139"/>
    </row>
    <row r="3" customHeight="1" spans="2:9">
      <c r="B3" s="140" t="s">
        <v>3</v>
      </c>
      <c r="C3" s="140" t="s">
        <v>259</v>
      </c>
      <c r="D3" s="140" t="s">
        <v>260</v>
      </c>
      <c r="E3" s="140" t="s">
        <v>8</v>
      </c>
      <c r="F3" s="138"/>
      <c r="G3" s="139"/>
      <c r="H3" s="139"/>
      <c r="I3" s="139"/>
    </row>
    <row r="4" customHeight="1" spans="2:9">
      <c r="B4" s="140">
        <v>1</v>
      </c>
      <c r="C4" s="141" t="s">
        <v>261</v>
      </c>
      <c r="D4" s="142" t="s">
        <v>262</v>
      </c>
      <c r="E4" s="142"/>
      <c r="F4" s="138"/>
      <c r="G4" s="143"/>
      <c r="H4" s="143"/>
      <c r="I4" s="143"/>
    </row>
    <row r="5" customHeight="1" spans="2:9">
      <c r="B5" s="140">
        <v>2</v>
      </c>
      <c r="C5" s="127" t="s">
        <v>263</v>
      </c>
      <c r="D5" s="142" t="s">
        <v>262</v>
      </c>
      <c r="E5" s="142"/>
      <c r="F5" s="144"/>
      <c r="G5" s="137" t="s">
        <v>264</v>
      </c>
      <c r="H5" s="137"/>
      <c r="I5" s="137"/>
    </row>
    <row r="6" customHeight="1" spans="2:9">
      <c r="B6" s="140">
        <v>3</v>
      </c>
      <c r="C6" s="141" t="s">
        <v>265</v>
      </c>
      <c r="D6" s="142" t="s">
        <v>262</v>
      </c>
      <c r="E6" s="142"/>
      <c r="F6" s="144"/>
      <c r="G6" s="140" t="s">
        <v>3</v>
      </c>
      <c r="H6" s="140" t="s">
        <v>266</v>
      </c>
      <c r="I6" s="140" t="s">
        <v>8</v>
      </c>
    </row>
    <row r="7" customHeight="1" spans="2:9">
      <c r="B7" s="140">
        <v>4</v>
      </c>
      <c r="C7" s="141" t="s">
        <v>267</v>
      </c>
      <c r="D7" s="142" t="s">
        <v>262</v>
      </c>
      <c r="E7" s="142"/>
      <c r="F7" s="144"/>
      <c r="G7" s="140">
        <v>1</v>
      </c>
      <c r="H7" s="145" t="s">
        <v>262</v>
      </c>
      <c r="I7" s="145"/>
    </row>
    <row r="8" customHeight="1" spans="2:9">
      <c r="B8" s="140">
        <v>5</v>
      </c>
      <c r="C8" s="141" t="s">
        <v>268</v>
      </c>
      <c r="D8" s="142" t="s">
        <v>262</v>
      </c>
      <c r="E8" s="142"/>
      <c r="F8" s="144"/>
      <c r="G8" s="140">
        <v>2</v>
      </c>
      <c r="H8" s="145" t="s">
        <v>269</v>
      </c>
      <c r="I8" s="145"/>
    </row>
    <row r="9" customHeight="1" spans="2:9">
      <c r="B9" s="140">
        <v>6</v>
      </c>
      <c r="C9" s="141" t="s">
        <v>270</v>
      </c>
      <c r="D9" s="142" t="s">
        <v>262</v>
      </c>
      <c r="E9" s="142"/>
      <c r="F9" s="144"/>
      <c r="G9" s="140">
        <v>3</v>
      </c>
      <c r="H9" s="145" t="s">
        <v>271</v>
      </c>
      <c r="I9" s="145"/>
    </row>
    <row r="10" customHeight="1" spans="2:9">
      <c r="B10" s="140">
        <v>7</v>
      </c>
      <c r="C10" s="141" t="s">
        <v>272</v>
      </c>
      <c r="D10" s="142" t="s">
        <v>262</v>
      </c>
      <c r="E10" s="142"/>
      <c r="F10" s="144"/>
      <c r="G10" s="140">
        <v>4</v>
      </c>
      <c r="H10" s="145" t="s">
        <v>273</v>
      </c>
      <c r="I10" s="145"/>
    </row>
    <row r="11" customHeight="1" spans="2:9">
      <c r="B11" s="140">
        <v>8</v>
      </c>
      <c r="C11" s="141" t="s">
        <v>274</v>
      </c>
      <c r="D11" s="142" t="s">
        <v>262</v>
      </c>
      <c r="E11" s="142"/>
      <c r="F11" s="144"/>
      <c r="G11" s="140">
        <v>5</v>
      </c>
      <c r="H11" s="145" t="s">
        <v>275</v>
      </c>
      <c r="I11" s="145"/>
    </row>
    <row r="12" customHeight="1" spans="2:9">
      <c r="B12" s="140">
        <v>9</v>
      </c>
      <c r="C12" s="127" t="s">
        <v>276</v>
      </c>
      <c r="D12" s="142" t="s">
        <v>262</v>
      </c>
      <c r="E12" s="142"/>
      <c r="F12" s="144"/>
      <c r="G12" s="140">
        <v>6</v>
      </c>
      <c r="H12" s="145" t="s">
        <v>277</v>
      </c>
      <c r="I12" s="145"/>
    </row>
    <row r="13" customHeight="1" spans="2:9">
      <c r="B13" s="140">
        <v>10</v>
      </c>
      <c r="C13" s="142" t="s">
        <v>278</v>
      </c>
      <c r="D13" s="142" t="s">
        <v>262</v>
      </c>
      <c r="E13" s="142"/>
      <c r="F13" s="144"/>
      <c r="G13" s="140">
        <v>7</v>
      </c>
      <c r="H13" s="145" t="s">
        <v>279</v>
      </c>
      <c r="I13" s="145"/>
    </row>
    <row r="14" customHeight="1" spans="2:9">
      <c r="B14" s="140">
        <v>11</v>
      </c>
      <c r="C14" s="141" t="s">
        <v>280</v>
      </c>
      <c r="D14" s="142" t="s">
        <v>262</v>
      </c>
      <c r="E14" s="142"/>
      <c r="F14" s="144"/>
      <c r="G14" s="140">
        <v>8</v>
      </c>
      <c r="H14" s="145" t="s">
        <v>281</v>
      </c>
      <c r="I14" s="145"/>
    </row>
    <row r="15" customHeight="1" spans="2:9">
      <c r="B15" s="140">
        <v>12</v>
      </c>
      <c r="C15" s="141" t="s">
        <v>282</v>
      </c>
      <c r="D15" s="142" t="s">
        <v>262</v>
      </c>
      <c r="E15" s="142"/>
      <c r="F15" s="144"/>
      <c r="G15" s="140">
        <v>9</v>
      </c>
      <c r="H15" s="145" t="s">
        <v>283</v>
      </c>
      <c r="I15" s="145"/>
    </row>
    <row r="16" customHeight="1" spans="2:9">
      <c r="B16" s="140">
        <v>13</v>
      </c>
      <c r="C16" s="141" t="s">
        <v>284</v>
      </c>
      <c r="D16" s="142" t="s">
        <v>262</v>
      </c>
      <c r="E16" s="142"/>
      <c r="F16" s="144"/>
      <c r="G16" s="140">
        <v>10</v>
      </c>
      <c r="H16" s="145" t="s">
        <v>285</v>
      </c>
      <c r="I16" s="145"/>
    </row>
    <row r="17" customHeight="1" spans="2:9">
      <c r="B17" s="140">
        <v>14</v>
      </c>
      <c r="C17" s="141" t="s">
        <v>286</v>
      </c>
      <c r="D17" s="142" t="s">
        <v>262</v>
      </c>
      <c r="E17" s="142"/>
      <c r="F17" s="144"/>
      <c r="G17" s="140">
        <v>11</v>
      </c>
      <c r="H17" s="145" t="s">
        <v>287</v>
      </c>
      <c r="I17" s="145"/>
    </row>
    <row r="18" customHeight="1" spans="2:9">
      <c r="B18" s="140">
        <v>15</v>
      </c>
      <c r="C18" s="141" t="s">
        <v>288</v>
      </c>
      <c r="D18" s="142" t="s">
        <v>262</v>
      </c>
      <c r="E18" s="142"/>
      <c r="F18" s="144"/>
      <c r="G18" s="140">
        <v>12</v>
      </c>
      <c r="H18" s="145" t="s">
        <v>289</v>
      </c>
      <c r="I18" s="145"/>
    </row>
    <row r="19" customHeight="1" spans="2:9">
      <c r="B19" s="140">
        <v>16</v>
      </c>
      <c r="C19" s="141" t="s">
        <v>290</v>
      </c>
      <c r="D19" s="142" t="s">
        <v>262</v>
      </c>
      <c r="E19" s="142"/>
      <c r="F19" s="144"/>
      <c r="G19" s="140">
        <v>13</v>
      </c>
      <c r="H19" s="145"/>
      <c r="I19" s="145"/>
    </row>
    <row r="20" customHeight="1" spans="2:9">
      <c r="B20" s="140">
        <v>17</v>
      </c>
      <c r="C20" s="141" t="s">
        <v>291</v>
      </c>
      <c r="D20" s="142" t="s">
        <v>269</v>
      </c>
      <c r="E20" s="142"/>
      <c r="F20" s="144"/>
      <c r="G20" s="140">
        <v>14</v>
      </c>
      <c r="H20" s="145"/>
      <c r="I20" s="145"/>
    </row>
    <row r="21" customHeight="1" spans="2:9">
      <c r="B21" s="140">
        <v>18</v>
      </c>
      <c r="C21" s="141" t="s">
        <v>292</v>
      </c>
      <c r="D21" s="142" t="s">
        <v>269</v>
      </c>
      <c r="E21" s="142"/>
      <c r="F21" s="144"/>
      <c r="G21" s="140">
        <v>15</v>
      </c>
      <c r="H21" s="145"/>
      <c r="I21" s="145"/>
    </row>
    <row r="22" customHeight="1" spans="2:9">
      <c r="B22" s="140">
        <v>19</v>
      </c>
      <c r="C22" s="127" t="s">
        <v>293</v>
      </c>
      <c r="D22" s="142" t="s">
        <v>269</v>
      </c>
      <c r="E22" s="142"/>
      <c r="F22" s="144"/>
      <c r="G22" s="140">
        <v>16</v>
      </c>
      <c r="H22" s="145"/>
      <c r="I22" s="145"/>
    </row>
    <row r="23" customHeight="1" spans="2:9">
      <c r="B23" s="140">
        <v>20</v>
      </c>
      <c r="C23" s="127" t="s">
        <v>294</v>
      </c>
      <c r="D23" s="142" t="s">
        <v>269</v>
      </c>
      <c r="E23" s="142"/>
      <c r="F23" s="144"/>
      <c r="G23" s="140">
        <v>17</v>
      </c>
      <c r="H23" s="145"/>
      <c r="I23" s="145"/>
    </row>
    <row r="24" customHeight="1" spans="2:9">
      <c r="B24" s="140">
        <v>21</v>
      </c>
      <c r="C24" s="127" t="s">
        <v>295</v>
      </c>
      <c r="D24" s="142" t="s">
        <v>269</v>
      </c>
      <c r="E24" s="142"/>
      <c r="F24" s="144"/>
      <c r="G24" s="140">
        <v>18</v>
      </c>
      <c r="H24" s="145"/>
      <c r="I24" s="145"/>
    </row>
    <row r="25" customHeight="1" spans="2:9">
      <c r="B25" s="140">
        <v>22</v>
      </c>
      <c r="C25" s="127" t="s">
        <v>296</v>
      </c>
      <c r="D25" s="142" t="s">
        <v>269</v>
      </c>
      <c r="E25" s="142"/>
      <c r="F25" s="144"/>
      <c r="G25" s="140">
        <v>19</v>
      </c>
      <c r="H25" s="145"/>
      <c r="I25" s="145"/>
    </row>
    <row r="26" customHeight="1" spans="2:9">
      <c r="B26" s="140">
        <v>23</v>
      </c>
      <c r="C26" s="127" t="s">
        <v>297</v>
      </c>
      <c r="D26" s="142" t="s">
        <v>269</v>
      </c>
      <c r="E26" s="142"/>
      <c r="F26" s="144"/>
      <c r="G26" s="140">
        <v>20</v>
      </c>
      <c r="H26" s="145"/>
      <c r="I26" s="145"/>
    </row>
    <row r="27" customHeight="1" spans="2:9">
      <c r="B27" s="140">
        <v>24</v>
      </c>
      <c r="C27" s="127" t="s">
        <v>298</v>
      </c>
      <c r="D27" s="142" t="s">
        <v>269</v>
      </c>
      <c r="E27" s="142"/>
      <c r="F27" s="144"/>
      <c r="G27" s="140">
        <v>21</v>
      </c>
      <c r="H27" s="145"/>
      <c r="I27" s="145"/>
    </row>
    <row r="28" customHeight="1" spans="2:9">
      <c r="B28" s="140">
        <v>25</v>
      </c>
      <c r="C28" s="127" t="s">
        <v>299</v>
      </c>
      <c r="D28" s="142" t="s">
        <v>269</v>
      </c>
      <c r="E28" s="142"/>
      <c r="F28" s="144"/>
      <c r="G28" s="140">
        <v>22</v>
      </c>
      <c r="H28" s="145"/>
      <c r="I28" s="145"/>
    </row>
    <row r="29" customHeight="1" spans="2:9">
      <c r="B29" s="140">
        <v>26</v>
      </c>
      <c r="C29" s="127" t="s">
        <v>300</v>
      </c>
      <c r="D29" s="142" t="s">
        <v>269</v>
      </c>
      <c r="E29" s="142"/>
      <c r="F29" s="144"/>
      <c r="G29" s="140">
        <v>23</v>
      </c>
      <c r="H29" s="145"/>
      <c r="I29" s="145"/>
    </row>
    <row r="30" customHeight="1" spans="2:9">
      <c r="B30" s="140">
        <v>27</v>
      </c>
      <c r="C30" s="141" t="s">
        <v>301</v>
      </c>
      <c r="D30" s="142" t="s">
        <v>271</v>
      </c>
      <c r="E30" s="142"/>
      <c r="F30" s="144"/>
      <c r="G30" s="140">
        <v>24</v>
      </c>
      <c r="H30" s="145"/>
      <c r="I30" s="145"/>
    </row>
    <row r="31" customHeight="1" spans="2:9">
      <c r="B31" s="140">
        <v>28</v>
      </c>
      <c r="C31" s="141" t="s">
        <v>302</v>
      </c>
      <c r="D31" s="142" t="s">
        <v>271</v>
      </c>
      <c r="E31" s="142"/>
      <c r="F31" s="144"/>
      <c r="G31" s="140">
        <v>25</v>
      </c>
      <c r="H31" s="145"/>
      <c r="I31" s="145"/>
    </row>
    <row r="32" customHeight="1" spans="2:9">
      <c r="B32" s="140">
        <v>29</v>
      </c>
      <c r="C32" s="146" t="s">
        <v>303</v>
      </c>
      <c r="D32" s="142" t="s">
        <v>273</v>
      </c>
      <c r="E32" s="142"/>
      <c r="F32" s="144"/>
      <c r="G32" s="140">
        <v>26</v>
      </c>
      <c r="H32" s="145"/>
      <c r="I32" s="145"/>
    </row>
    <row r="33" customHeight="1" spans="2:9">
      <c r="B33" s="140">
        <v>30</v>
      </c>
      <c r="C33" s="146" t="s">
        <v>304</v>
      </c>
      <c r="D33" s="142" t="s">
        <v>273</v>
      </c>
      <c r="E33" s="142"/>
      <c r="F33" s="144"/>
      <c r="G33" s="140">
        <v>27</v>
      </c>
      <c r="H33" s="145"/>
      <c r="I33" s="145"/>
    </row>
    <row r="34" customHeight="1" spans="2:9">
      <c r="B34" s="140">
        <v>31</v>
      </c>
      <c r="C34" s="146" t="s">
        <v>305</v>
      </c>
      <c r="D34" s="142" t="s">
        <v>273</v>
      </c>
      <c r="E34" s="142"/>
      <c r="F34" s="144"/>
      <c r="G34" s="140">
        <v>28</v>
      </c>
      <c r="H34" s="145"/>
      <c r="I34" s="145"/>
    </row>
    <row r="35" customHeight="1" spans="2:9">
      <c r="B35" s="140">
        <v>32</v>
      </c>
      <c r="C35" s="146" t="s">
        <v>306</v>
      </c>
      <c r="D35" s="142" t="s">
        <v>275</v>
      </c>
      <c r="E35" s="142"/>
      <c r="F35" s="144"/>
      <c r="G35" s="140">
        <v>29</v>
      </c>
      <c r="H35" s="145"/>
      <c r="I35" s="145"/>
    </row>
    <row r="36" customHeight="1" spans="2:9">
      <c r="B36" s="140">
        <v>33</v>
      </c>
      <c r="C36" s="141" t="s">
        <v>307</v>
      </c>
      <c r="D36" s="142" t="s">
        <v>275</v>
      </c>
      <c r="E36" s="142"/>
      <c r="F36" s="144"/>
      <c r="G36" s="140">
        <v>30</v>
      </c>
      <c r="H36" s="145"/>
      <c r="I36" s="145"/>
    </row>
    <row r="37" customHeight="1" spans="2:9">
      <c r="B37" s="140">
        <v>34</v>
      </c>
      <c r="C37" s="141" t="s">
        <v>308</v>
      </c>
      <c r="D37" s="142" t="s">
        <v>275</v>
      </c>
      <c r="E37" s="142"/>
      <c r="F37" s="138"/>
      <c r="G37" s="147"/>
      <c r="H37" s="147"/>
      <c r="I37" s="147"/>
    </row>
    <row r="38" customHeight="1" spans="2:9">
      <c r="B38" s="140">
        <v>35</v>
      </c>
      <c r="C38" s="146" t="s">
        <v>309</v>
      </c>
      <c r="D38" s="142" t="s">
        <v>275</v>
      </c>
      <c r="E38" s="142"/>
      <c r="F38" s="138"/>
      <c r="G38" s="139"/>
      <c r="H38" s="139"/>
      <c r="I38" s="139"/>
    </row>
    <row r="39" customHeight="1" spans="2:9">
      <c r="B39" s="140">
        <v>36</v>
      </c>
      <c r="C39" s="146" t="s">
        <v>310</v>
      </c>
      <c r="D39" s="142" t="s">
        <v>275</v>
      </c>
      <c r="E39" s="142"/>
      <c r="F39" s="138"/>
      <c r="G39" s="139"/>
      <c r="H39" s="139"/>
      <c r="I39" s="139"/>
    </row>
    <row r="40" customHeight="1" spans="2:9">
      <c r="B40" s="140">
        <v>37</v>
      </c>
      <c r="C40" s="146" t="s">
        <v>311</v>
      </c>
      <c r="D40" s="142" t="s">
        <v>275</v>
      </c>
      <c r="E40" s="142"/>
      <c r="F40" s="138"/>
      <c r="G40" s="139"/>
      <c r="H40" s="139"/>
      <c r="I40" s="139"/>
    </row>
    <row r="41" customHeight="1" spans="2:9">
      <c r="B41" s="140">
        <v>38</v>
      </c>
      <c r="C41" s="146" t="s">
        <v>312</v>
      </c>
      <c r="D41" s="142" t="s">
        <v>275</v>
      </c>
      <c r="E41" s="142"/>
      <c r="F41" s="138"/>
      <c r="G41" s="139"/>
      <c r="H41" s="139"/>
      <c r="I41" s="139"/>
    </row>
    <row r="42" customHeight="1" spans="2:9">
      <c r="B42" s="140">
        <v>39</v>
      </c>
      <c r="C42" s="141" t="s">
        <v>313</v>
      </c>
      <c r="D42" s="142" t="s">
        <v>277</v>
      </c>
      <c r="E42" s="142"/>
      <c r="F42" s="138"/>
      <c r="G42" s="139"/>
      <c r="H42" s="139"/>
      <c r="I42" s="139"/>
    </row>
    <row r="43" customHeight="1" spans="2:9">
      <c r="B43" s="140">
        <v>40</v>
      </c>
      <c r="C43" s="141" t="s">
        <v>314</v>
      </c>
      <c r="D43" s="142" t="s">
        <v>277</v>
      </c>
      <c r="E43" s="142"/>
      <c r="F43" s="138"/>
      <c r="G43" s="139"/>
      <c r="H43" s="139"/>
      <c r="I43" s="139"/>
    </row>
    <row r="44" customHeight="1" spans="2:9">
      <c r="B44" s="140">
        <v>41</v>
      </c>
      <c r="C44" s="141" t="s">
        <v>315</v>
      </c>
      <c r="D44" s="142" t="s">
        <v>277</v>
      </c>
      <c r="E44" s="142"/>
      <c r="F44" s="138"/>
      <c r="G44" s="139"/>
      <c r="H44" s="139"/>
      <c r="I44" s="139"/>
    </row>
    <row r="45" customHeight="1" spans="2:9">
      <c r="B45" s="140">
        <v>42</v>
      </c>
      <c r="C45" s="141" t="s">
        <v>316</v>
      </c>
      <c r="D45" s="142" t="s">
        <v>277</v>
      </c>
      <c r="E45" s="142"/>
      <c r="F45" s="138"/>
      <c r="G45" s="139"/>
      <c r="H45" s="139"/>
      <c r="I45" s="139"/>
    </row>
    <row r="46" customHeight="1" spans="2:9">
      <c r="B46" s="140">
        <v>43</v>
      </c>
      <c r="C46" s="141" t="s">
        <v>317</v>
      </c>
      <c r="D46" s="142" t="s">
        <v>277</v>
      </c>
      <c r="E46" s="142"/>
      <c r="F46" s="138"/>
      <c r="G46" s="139"/>
      <c r="H46" s="139"/>
      <c r="I46" s="139"/>
    </row>
    <row r="47" customHeight="1" spans="2:9">
      <c r="B47" s="140">
        <v>44</v>
      </c>
      <c r="C47" s="141" t="s">
        <v>318</v>
      </c>
      <c r="D47" s="142" t="s">
        <v>277</v>
      </c>
      <c r="E47" s="142"/>
      <c r="F47" s="138"/>
      <c r="G47" s="139"/>
      <c r="H47" s="139"/>
      <c r="I47" s="139"/>
    </row>
    <row r="48" customHeight="1" spans="2:9">
      <c r="B48" s="140">
        <v>45</v>
      </c>
      <c r="C48" s="127" t="s">
        <v>319</v>
      </c>
      <c r="D48" s="142" t="s">
        <v>277</v>
      </c>
      <c r="E48" s="142"/>
      <c r="F48" s="138"/>
      <c r="G48" s="139"/>
      <c r="H48" s="139"/>
      <c r="I48" s="139"/>
    </row>
    <row r="49" customHeight="1" spans="2:9">
      <c r="B49" s="140">
        <v>46</v>
      </c>
      <c r="C49" s="127" t="s">
        <v>320</v>
      </c>
      <c r="D49" s="142" t="s">
        <v>279</v>
      </c>
      <c r="E49" s="142"/>
      <c r="F49" s="138"/>
      <c r="G49" s="139"/>
      <c r="H49" s="139"/>
      <c r="I49" s="139"/>
    </row>
    <row r="50" customHeight="1" spans="2:9">
      <c r="B50" s="140">
        <v>47</v>
      </c>
      <c r="C50" s="127" t="s">
        <v>268</v>
      </c>
      <c r="D50" s="142" t="s">
        <v>279</v>
      </c>
      <c r="E50" s="142"/>
      <c r="F50" s="138"/>
      <c r="G50" s="139"/>
      <c r="H50" s="139"/>
      <c r="I50" s="139"/>
    </row>
    <row r="51" customHeight="1" spans="2:9">
      <c r="B51" s="140">
        <v>48</v>
      </c>
      <c r="C51" s="127" t="s">
        <v>321</v>
      </c>
      <c r="D51" s="142" t="s">
        <v>279</v>
      </c>
      <c r="E51" s="142"/>
      <c r="F51" s="138"/>
      <c r="G51" s="139"/>
      <c r="H51" s="139"/>
      <c r="I51" s="139"/>
    </row>
    <row r="52" customHeight="1" spans="2:9">
      <c r="B52" s="140">
        <v>49</v>
      </c>
      <c r="C52" s="127" t="s">
        <v>322</v>
      </c>
      <c r="D52" s="142" t="s">
        <v>279</v>
      </c>
      <c r="E52" s="142"/>
      <c r="F52" s="138"/>
      <c r="G52" s="139"/>
      <c r="H52" s="139"/>
      <c r="I52" s="139"/>
    </row>
    <row r="53" customHeight="1" spans="2:9">
      <c r="B53" s="140">
        <v>50</v>
      </c>
      <c r="C53" s="127" t="s">
        <v>323</v>
      </c>
      <c r="D53" s="142" t="s">
        <v>279</v>
      </c>
      <c r="E53" s="142"/>
      <c r="F53" s="138"/>
      <c r="G53" s="139"/>
      <c r="H53" s="139"/>
      <c r="I53" s="139"/>
    </row>
    <row r="54" customHeight="1" spans="2:9">
      <c r="B54" s="140">
        <v>51</v>
      </c>
      <c r="C54" s="127" t="s">
        <v>324</v>
      </c>
      <c r="D54" s="142" t="s">
        <v>279</v>
      </c>
      <c r="E54" s="142"/>
      <c r="F54" s="138"/>
      <c r="G54" s="139"/>
      <c r="H54" s="139"/>
      <c r="I54" s="139"/>
    </row>
    <row r="55" customHeight="1" spans="2:9">
      <c r="B55" s="140">
        <v>52</v>
      </c>
      <c r="C55" s="127" t="s">
        <v>325</v>
      </c>
      <c r="D55" s="142" t="s">
        <v>279</v>
      </c>
      <c r="E55" s="142"/>
      <c r="F55" s="138"/>
      <c r="G55" s="139"/>
      <c r="H55" s="139"/>
      <c r="I55" s="139"/>
    </row>
    <row r="56" customHeight="1" spans="2:9">
      <c r="B56" s="140">
        <v>53</v>
      </c>
      <c r="C56" s="141" t="s">
        <v>326</v>
      </c>
      <c r="D56" s="142" t="s">
        <v>279</v>
      </c>
      <c r="E56" s="142"/>
      <c r="F56" s="138"/>
      <c r="G56" s="139"/>
      <c r="H56" s="139"/>
      <c r="I56" s="139"/>
    </row>
    <row r="57" customHeight="1" spans="2:9">
      <c r="B57" s="140">
        <v>54</v>
      </c>
      <c r="C57" s="141" t="s">
        <v>327</v>
      </c>
      <c r="D57" s="142" t="s">
        <v>279</v>
      </c>
      <c r="E57" s="142"/>
      <c r="F57" s="138"/>
      <c r="G57" s="139"/>
      <c r="H57" s="139"/>
      <c r="I57" s="139"/>
    </row>
    <row r="58" customHeight="1" spans="2:9">
      <c r="B58" s="140">
        <v>55</v>
      </c>
      <c r="C58" s="141" t="s">
        <v>328</v>
      </c>
      <c r="D58" s="142" t="s">
        <v>279</v>
      </c>
      <c r="E58" s="142"/>
      <c r="F58" s="138"/>
      <c r="G58" s="139"/>
      <c r="H58" s="139"/>
      <c r="I58" s="139"/>
    </row>
    <row r="59" customHeight="1" spans="2:9">
      <c r="B59" s="140">
        <v>56</v>
      </c>
      <c r="C59" s="141" t="s">
        <v>329</v>
      </c>
      <c r="D59" s="142" t="s">
        <v>279</v>
      </c>
      <c r="E59" s="142"/>
      <c r="F59" s="138"/>
      <c r="G59" s="139"/>
      <c r="H59" s="139"/>
      <c r="I59" s="139"/>
    </row>
    <row r="60" customHeight="1" spans="2:9">
      <c r="B60" s="140">
        <v>57</v>
      </c>
      <c r="C60" s="141" t="s">
        <v>330</v>
      </c>
      <c r="D60" s="142" t="s">
        <v>281</v>
      </c>
      <c r="E60" s="142"/>
      <c r="F60" s="138"/>
      <c r="G60" s="139"/>
      <c r="H60" s="139"/>
      <c r="I60" s="139"/>
    </row>
    <row r="61" customHeight="1" spans="2:9">
      <c r="B61" s="140">
        <v>58</v>
      </c>
      <c r="C61" s="127" t="s">
        <v>331</v>
      </c>
      <c r="D61" s="142" t="s">
        <v>281</v>
      </c>
      <c r="E61" s="142"/>
      <c r="F61" s="138"/>
      <c r="G61" s="139"/>
      <c r="H61" s="139"/>
      <c r="I61" s="139"/>
    </row>
    <row r="62" customHeight="1" spans="2:9">
      <c r="B62" s="140">
        <v>59</v>
      </c>
      <c r="C62" s="142" t="s">
        <v>332</v>
      </c>
      <c r="D62" s="142" t="s">
        <v>283</v>
      </c>
      <c r="E62" s="142"/>
      <c r="F62" s="138"/>
      <c r="G62" s="139"/>
      <c r="H62" s="139"/>
      <c r="I62" s="139"/>
    </row>
    <row r="63" customHeight="1" spans="2:9">
      <c r="B63" s="140">
        <v>60</v>
      </c>
      <c r="C63" s="145" t="s">
        <v>333</v>
      </c>
      <c r="D63" s="145" t="s">
        <v>262</v>
      </c>
      <c r="E63" s="145"/>
      <c r="F63" s="138"/>
      <c r="G63" s="139"/>
      <c r="H63" s="139"/>
      <c r="I63" s="139"/>
    </row>
    <row r="64" customHeight="1" spans="2:9">
      <c r="B64" s="140">
        <v>61</v>
      </c>
      <c r="C64" s="145" t="s">
        <v>334</v>
      </c>
      <c r="D64" s="145" t="s">
        <v>262</v>
      </c>
      <c r="E64" s="145"/>
      <c r="F64" s="138"/>
      <c r="G64" s="139"/>
      <c r="H64" s="139"/>
      <c r="I64" s="139"/>
    </row>
    <row r="65" customHeight="1" spans="2:9">
      <c r="B65" s="140">
        <v>62</v>
      </c>
      <c r="C65" s="145" t="s">
        <v>335</v>
      </c>
      <c r="D65" s="145" t="s">
        <v>285</v>
      </c>
      <c r="E65" s="145"/>
      <c r="F65" s="138"/>
      <c r="G65" s="139"/>
      <c r="H65" s="139"/>
      <c r="I65" s="139"/>
    </row>
    <row r="66" customHeight="1" spans="2:9">
      <c r="B66" s="140">
        <v>63</v>
      </c>
      <c r="C66" s="145" t="s">
        <v>336</v>
      </c>
      <c r="D66" s="145" t="s">
        <v>279</v>
      </c>
      <c r="E66" s="145"/>
      <c r="F66" s="138"/>
      <c r="G66" s="139"/>
      <c r="H66" s="139"/>
      <c r="I66" s="139"/>
    </row>
    <row r="67" customHeight="1" spans="2:9">
      <c r="B67" s="140">
        <v>64</v>
      </c>
      <c r="C67" s="145" t="s">
        <v>337</v>
      </c>
      <c r="D67" s="145" t="s">
        <v>287</v>
      </c>
      <c r="E67" s="145"/>
      <c r="F67" s="138"/>
      <c r="G67" s="139"/>
      <c r="H67" s="139"/>
      <c r="I67" s="139"/>
    </row>
    <row r="68" customHeight="1" spans="2:9">
      <c r="B68" s="140">
        <v>65</v>
      </c>
      <c r="C68" s="145" t="s">
        <v>338</v>
      </c>
      <c r="D68" s="145" t="s">
        <v>285</v>
      </c>
      <c r="E68" s="145"/>
      <c r="F68" s="138"/>
      <c r="G68" s="139"/>
      <c r="H68" s="139"/>
      <c r="I68" s="139"/>
    </row>
    <row r="69" customHeight="1" spans="2:9">
      <c r="B69" s="140">
        <v>66</v>
      </c>
      <c r="C69" s="145" t="s">
        <v>339</v>
      </c>
      <c r="D69" s="145" t="s">
        <v>275</v>
      </c>
      <c r="E69" s="145"/>
      <c r="F69" s="138"/>
      <c r="G69" s="139"/>
      <c r="H69" s="139"/>
      <c r="I69" s="139"/>
    </row>
    <row r="70" customHeight="1" spans="2:9">
      <c r="B70" s="140">
        <v>67</v>
      </c>
      <c r="C70" s="145" t="s">
        <v>340</v>
      </c>
      <c r="D70" s="145" t="s">
        <v>262</v>
      </c>
      <c r="E70" s="145"/>
      <c r="F70" s="138"/>
      <c r="G70" s="139"/>
      <c r="H70" s="139"/>
      <c r="I70" s="139"/>
    </row>
    <row r="71" customHeight="1" spans="2:9">
      <c r="B71" s="140">
        <v>68</v>
      </c>
      <c r="C71" s="145" t="s">
        <v>341</v>
      </c>
      <c r="D71" s="145" t="s">
        <v>281</v>
      </c>
      <c r="E71" s="145"/>
      <c r="F71" s="138"/>
      <c r="G71" s="139"/>
      <c r="H71" s="139"/>
      <c r="I71" s="139"/>
    </row>
    <row r="72" customHeight="1" spans="2:9">
      <c r="B72" s="140">
        <v>69</v>
      </c>
      <c r="C72" s="145" t="s">
        <v>342</v>
      </c>
      <c r="D72" s="145" t="s">
        <v>279</v>
      </c>
      <c r="E72" s="145" t="s">
        <v>343</v>
      </c>
      <c r="F72" s="138"/>
      <c r="G72" s="139"/>
      <c r="H72" s="139"/>
      <c r="I72" s="139"/>
    </row>
    <row r="73" customHeight="1" spans="2:9">
      <c r="B73" s="140">
        <v>70</v>
      </c>
      <c r="C73" s="145" t="s">
        <v>344</v>
      </c>
      <c r="D73" s="145" t="s">
        <v>289</v>
      </c>
      <c r="E73" s="145"/>
      <c r="F73" s="138"/>
      <c r="G73" s="139"/>
      <c r="H73" s="139"/>
      <c r="I73" s="139"/>
    </row>
    <row r="74" customHeight="1" spans="2:9">
      <c r="B74" s="140">
        <v>71</v>
      </c>
      <c r="C74" s="145" t="s">
        <v>345</v>
      </c>
      <c r="D74" s="145" t="s">
        <v>279</v>
      </c>
      <c r="E74" s="145"/>
      <c r="F74" s="138"/>
      <c r="G74" s="139"/>
      <c r="H74" s="139"/>
      <c r="I74" s="139"/>
    </row>
    <row r="75" customHeight="1" spans="2:9">
      <c r="B75" s="140">
        <v>72</v>
      </c>
      <c r="C75" s="145" t="s">
        <v>346</v>
      </c>
      <c r="D75" s="145" t="s">
        <v>262</v>
      </c>
      <c r="E75" s="145"/>
      <c r="F75" s="138"/>
      <c r="G75" s="139"/>
      <c r="H75" s="139"/>
      <c r="I75" s="139"/>
    </row>
    <row r="76" customHeight="1" spans="2:9">
      <c r="B76" s="140">
        <v>73</v>
      </c>
      <c r="C76" s="145" t="s">
        <v>347</v>
      </c>
      <c r="D76" s="145" t="s">
        <v>283</v>
      </c>
      <c r="E76" s="145"/>
      <c r="F76" s="138"/>
      <c r="G76" s="139"/>
      <c r="H76" s="139"/>
      <c r="I76" s="139"/>
    </row>
    <row r="77" customHeight="1" spans="2:9">
      <c r="B77" s="140">
        <v>74</v>
      </c>
      <c r="C77" s="145"/>
      <c r="D77" s="145"/>
      <c r="E77" s="145"/>
      <c r="F77" s="138"/>
      <c r="G77" s="139"/>
      <c r="H77" s="139"/>
      <c r="I77" s="139"/>
    </row>
    <row r="78" customHeight="1" spans="2:9">
      <c r="B78" s="140">
        <v>75</v>
      </c>
      <c r="C78" s="145"/>
      <c r="D78" s="145"/>
      <c r="E78" s="145"/>
      <c r="F78" s="138"/>
      <c r="G78" s="139"/>
      <c r="H78" s="139"/>
      <c r="I78" s="139"/>
    </row>
    <row r="79" customHeight="1" spans="2:9">
      <c r="B79" s="140">
        <v>76</v>
      </c>
      <c r="C79" s="145"/>
      <c r="D79" s="145"/>
      <c r="E79" s="145"/>
      <c r="F79" s="138"/>
      <c r="G79" s="139"/>
      <c r="H79" s="139"/>
      <c r="I79" s="139"/>
    </row>
    <row r="80" customHeight="1" spans="2:9">
      <c r="B80" s="140">
        <v>77</v>
      </c>
      <c r="C80" s="145"/>
      <c r="D80" s="145"/>
      <c r="E80" s="145"/>
      <c r="F80" s="138"/>
      <c r="G80" s="139"/>
      <c r="H80" s="139"/>
      <c r="I80" s="139"/>
    </row>
    <row r="81" customHeight="1" spans="2:9">
      <c r="B81" s="140">
        <v>78</v>
      </c>
      <c r="C81" s="145"/>
      <c r="D81" s="145"/>
      <c r="E81" s="145"/>
      <c r="F81" s="138"/>
      <c r="G81" s="139"/>
      <c r="H81" s="139"/>
      <c r="I81" s="139"/>
    </row>
    <row r="82" customHeight="1" spans="2:9">
      <c r="B82" s="140">
        <v>79</v>
      </c>
      <c r="C82" s="145"/>
      <c r="D82" s="145"/>
      <c r="E82" s="145"/>
      <c r="F82" s="138"/>
      <c r="G82" s="139"/>
      <c r="H82" s="139"/>
      <c r="I82" s="139"/>
    </row>
    <row r="83" customHeight="1" spans="2:9">
      <c r="B83" s="140">
        <v>80</v>
      </c>
      <c r="C83" s="145"/>
      <c r="D83" s="145"/>
      <c r="E83" s="145"/>
      <c r="F83" s="138"/>
      <c r="G83" s="139"/>
      <c r="H83" s="139"/>
      <c r="I83" s="139"/>
    </row>
    <row r="84" customHeight="1" spans="2:9">
      <c r="B84" s="140">
        <v>81</v>
      </c>
      <c r="C84" s="145"/>
      <c r="D84" s="145"/>
      <c r="E84" s="145"/>
      <c r="F84" s="138"/>
      <c r="G84" s="139"/>
      <c r="H84" s="139"/>
      <c r="I84" s="139"/>
    </row>
    <row r="85" customHeight="1" spans="2:9">
      <c r="B85" s="140">
        <v>82</v>
      </c>
      <c r="C85" s="145"/>
      <c r="D85" s="145"/>
      <c r="E85" s="145"/>
      <c r="F85" s="138"/>
      <c r="G85" s="139"/>
      <c r="H85" s="139"/>
      <c r="I85" s="139"/>
    </row>
    <row r="86" customHeight="1" spans="2:9">
      <c r="B86" s="140">
        <v>83</v>
      </c>
      <c r="C86" s="145"/>
      <c r="D86" s="145"/>
      <c r="E86" s="145"/>
      <c r="F86" s="138"/>
      <c r="G86" s="139"/>
      <c r="H86" s="139"/>
      <c r="I86" s="139"/>
    </row>
    <row r="87" customHeight="1" spans="2:9">
      <c r="B87" s="140">
        <v>84</v>
      </c>
      <c r="C87" s="145"/>
      <c r="D87" s="145"/>
      <c r="E87" s="145"/>
      <c r="F87" s="138"/>
      <c r="G87" s="139"/>
      <c r="H87" s="139"/>
      <c r="I87" s="139"/>
    </row>
    <row r="88" customHeight="1" spans="2:9">
      <c r="B88" s="140">
        <v>85</v>
      </c>
      <c r="C88" s="145"/>
      <c r="D88" s="145"/>
      <c r="E88" s="145"/>
      <c r="F88" s="138"/>
      <c r="G88" s="139"/>
      <c r="H88" s="139"/>
      <c r="I88" s="139"/>
    </row>
    <row r="89" customHeight="1" spans="2:9">
      <c r="B89" s="140">
        <v>86</v>
      </c>
      <c r="C89" s="145"/>
      <c r="D89" s="145"/>
      <c r="E89" s="145"/>
      <c r="F89" s="138"/>
      <c r="G89" s="139"/>
      <c r="H89" s="139"/>
      <c r="I89" s="139"/>
    </row>
    <row r="90" customHeight="1" spans="2:9">
      <c r="B90" s="140">
        <v>87</v>
      </c>
      <c r="C90" s="145"/>
      <c r="D90" s="145"/>
      <c r="E90" s="145"/>
      <c r="F90" s="138"/>
      <c r="G90" s="139"/>
      <c r="H90" s="139"/>
      <c r="I90" s="139"/>
    </row>
    <row r="91" customHeight="1" spans="2:9">
      <c r="B91" s="140">
        <v>88</v>
      </c>
      <c r="C91" s="145"/>
      <c r="D91" s="145"/>
      <c r="E91" s="145"/>
      <c r="F91" s="138"/>
      <c r="G91" s="139"/>
      <c r="H91" s="139"/>
      <c r="I91" s="139"/>
    </row>
    <row r="92" customHeight="1" spans="2:9">
      <c r="B92" s="140">
        <v>89</v>
      </c>
      <c r="C92" s="145"/>
      <c r="D92" s="145"/>
      <c r="E92" s="145"/>
      <c r="F92" s="138"/>
      <c r="G92" s="139"/>
      <c r="H92" s="139"/>
      <c r="I92" s="139"/>
    </row>
    <row r="93" customHeight="1" spans="2:9">
      <c r="B93" s="140">
        <v>90</v>
      </c>
      <c r="C93" s="145"/>
      <c r="D93" s="145"/>
      <c r="E93" s="145"/>
      <c r="F93" s="138"/>
      <c r="G93" s="139"/>
      <c r="H93" s="139"/>
      <c r="I93" s="139"/>
    </row>
    <row r="94" customHeight="1" spans="2:9">
      <c r="B94" s="140">
        <v>91</v>
      </c>
      <c r="C94" s="145"/>
      <c r="D94" s="145"/>
      <c r="E94" s="145"/>
      <c r="F94" s="138"/>
      <c r="G94" s="139"/>
      <c r="H94" s="139"/>
      <c r="I94" s="139"/>
    </row>
    <row r="95" customHeight="1" spans="2:9">
      <c r="B95" s="140">
        <v>92</v>
      </c>
      <c r="C95" s="145"/>
      <c r="D95" s="145"/>
      <c r="E95" s="145"/>
      <c r="F95" s="138"/>
      <c r="G95" s="139"/>
      <c r="H95" s="139"/>
      <c r="I95" s="139"/>
    </row>
    <row r="96" customHeight="1" spans="2:9">
      <c r="B96" s="140">
        <v>93</v>
      </c>
      <c r="C96" s="145"/>
      <c r="D96" s="145"/>
      <c r="E96" s="145"/>
      <c r="F96" s="138"/>
      <c r="G96" s="139"/>
      <c r="H96" s="139"/>
      <c r="I96" s="139"/>
    </row>
    <row r="97" customHeight="1" spans="2:9">
      <c r="B97" s="140">
        <v>94</v>
      </c>
      <c r="C97" s="145"/>
      <c r="D97" s="145"/>
      <c r="E97" s="145"/>
      <c r="F97" s="138"/>
      <c r="G97" s="139"/>
      <c r="H97" s="139"/>
      <c r="I97" s="139"/>
    </row>
    <row r="98" customHeight="1" spans="2:9">
      <c r="B98" s="140">
        <v>95</v>
      </c>
      <c r="C98" s="145"/>
      <c r="D98" s="145"/>
      <c r="E98" s="145"/>
      <c r="F98" s="138"/>
      <c r="G98" s="139"/>
      <c r="H98" s="139"/>
      <c r="I98" s="139"/>
    </row>
    <row r="99" customHeight="1" spans="2:9">
      <c r="B99" s="140">
        <v>96</v>
      </c>
      <c r="C99" s="145"/>
      <c r="D99" s="145"/>
      <c r="E99" s="145"/>
      <c r="F99" s="138"/>
      <c r="G99" s="139"/>
      <c r="H99" s="139"/>
      <c r="I99" s="139"/>
    </row>
    <row r="100" customHeight="1" spans="2:9">
      <c r="B100" s="140">
        <v>97</v>
      </c>
      <c r="C100" s="145"/>
      <c r="D100" s="145"/>
      <c r="E100" s="145"/>
      <c r="F100" s="138"/>
      <c r="G100" s="139"/>
      <c r="H100" s="139"/>
      <c r="I100" s="139"/>
    </row>
    <row r="101" customHeight="1" spans="2:9">
      <c r="B101" s="140">
        <v>98</v>
      </c>
      <c r="C101" s="145"/>
      <c r="D101" s="145"/>
      <c r="E101" s="145"/>
      <c r="F101" s="138"/>
      <c r="G101" s="139"/>
      <c r="H101" s="139"/>
      <c r="I101" s="139"/>
    </row>
    <row r="102" customHeight="1" spans="2:9">
      <c r="B102" s="140">
        <v>99</v>
      </c>
      <c r="C102" s="145"/>
      <c r="D102" s="145"/>
      <c r="E102" s="145"/>
      <c r="F102" s="138"/>
      <c r="G102" s="139"/>
      <c r="H102" s="139"/>
      <c r="I102" s="139"/>
    </row>
    <row r="103" customHeight="1" spans="2:9">
      <c r="B103" s="140">
        <v>100</v>
      </c>
      <c r="C103" s="145"/>
      <c r="D103" s="145"/>
      <c r="E103" s="145"/>
      <c r="F103" s="138"/>
      <c r="G103" s="139"/>
      <c r="H103" s="139"/>
      <c r="I103" s="139"/>
    </row>
    <row r="104" customHeight="1" spans="2:9">
      <c r="B104" s="140">
        <v>101</v>
      </c>
      <c r="C104" s="145"/>
      <c r="D104" s="145"/>
      <c r="E104" s="145"/>
      <c r="F104" s="138"/>
      <c r="G104" s="139"/>
      <c r="H104" s="139"/>
      <c r="I104" s="139"/>
    </row>
    <row r="105" customHeight="1" spans="2:9">
      <c r="B105" s="140">
        <v>102</v>
      </c>
      <c r="C105" s="145"/>
      <c r="D105" s="145"/>
      <c r="E105" s="145"/>
      <c r="F105" s="138"/>
      <c r="G105" s="139"/>
      <c r="H105" s="139"/>
      <c r="I105" s="139"/>
    </row>
    <row r="106" customHeight="1" spans="2:9">
      <c r="B106" s="140">
        <v>103</v>
      </c>
      <c r="C106" s="145"/>
      <c r="D106" s="145"/>
      <c r="E106" s="145"/>
      <c r="F106" s="138"/>
      <c r="G106" s="139"/>
      <c r="H106" s="139"/>
      <c r="I106" s="139"/>
    </row>
    <row r="107" customHeight="1" spans="2:9">
      <c r="B107" s="140">
        <v>104</v>
      </c>
      <c r="C107" s="145"/>
      <c r="D107" s="145"/>
      <c r="E107" s="145"/>
      <c r="F107" s="138"/>
      <c r="G107" s="139"/>
      <c r="H107" s="139"/>
      <c r="I107" s="139"/>
    </row>
    <row r="108" customHeight="1" spans="2:9">
      <c r="B108" s="140">
        <v>105</v>
      </c>
      <c r="C108" s="145"/>
      <c r="D108" s="145"/>
      <c r="E108" s="145"/>
      <c r="F108" s="138"/>
      <c r="G108" s="139"/>
      <c r="H108" s="139"/>
      <c r="I108" s="139"/>
    </row>
    <row r="109" customHeight="1" spans="2:9">
      <c r="B109" s="140">
        <v>106</v>
      </c>
      <c r="C109" s="145"/>
      <c r="D109" s="145"/>
      <c r="E109" s="145"/>
      <c r="F109" s="138"/>
      <c r="G109" s="139"/>
      <c r="H109" s="139"/>
      <c r="I109" s="139"/>
    </row>
    <row r="110" customHeight="1" spans="2:9">
      <c r="B110" s="140">
        <v>107</v>
      </c>
      <c r="C110" s="145"/>
      <c r="D110" s="145"/>
      <c r="E110" s="145"/>
      <c r="F110" s="138"/>
      <c r="G110" s="139"/>
      <c r="H110" s="139"/>
      <c r="I110" s="139"/>
    </row>
    <row r="111" customHeight="1" spans="2:9">
      <c r="B111" s="140">
        <v>108</v>
      </c>
      <c r="C111" s="145"/>
      <c r="D111" s="145"/>
      <c r="E111" s="145"/>
      <c r="F111" s="138"/>
      <c r="G111" s="139"/>
      <c r="H111" s="139"/>
      <c r="I111" s="139"/>
    </row>
    <row r="112" customHeight="1" spans="2:9">
      <c r="B112" s="140">
        <v>109</v>
      </c>
      <c r="C112" s="145"/>
      <c r="D112" s="145"/>
      <c r="E112" s="145"/>
      <c r="F112" s="138"/>
      <c r="G112" s="139"/>
      <c r="H112" s="139"/>
      <c r="I112" s="139"/>
    </row>
    <row r="113" customHeight="1" spans="2:9">
      <c r="B113" s="140">
        <v>110</v>
      </c>
      <c r="C113" s="145"/>
      <c r="D113" s="145"/>
      <c r="E113" s="145"/>
      <c r="F113" s="138"/>
      <c r="G113" s="139"/>
      <c r="H113" s="139"/>
      <c r="I113" s="139"/>
    </row>
    <row r="114" customHeight="1" spans="2:9">
      <c r="B114" s="140">
        <v>111</v>
      </c>
      <c r="C114" s="145"/>
      <c r="D114" s="145"/>
      <c r="E114" s="145"/>
      <c r="F114" s="138"/>
      <c r="G114" s="139"/>
      <c r="H114" s="139"/>
      <c r="I114" s="139"/>
    </row>
    <row r="115" customHeight="1" spans="2:9">
      <c r="B115" s="140">
        <v>112</v>
      </c>
      <c r="C115" s="145"/>
      <c r="D115" s="145"/>
      <c r="E115" s="145"/>
      <c r="F115" s="138"/>
      <c r="G115" s="139"/>
      <c r="H115" s="139"/>
      <c r="I115" s="139"/>
    </row>
    <row r="116" customHeight="1" spans="2:9">
      <c r="B116" s="140">
        <v>113</v>
      </c>
      <c r="C116" s="145"/>
      <c r="D116" s="145"/>
      <c r="E116" s="145"/>
      <c r="F116" s="138"/>
      <c r="G116" s="139"/>
      <c r="H116" s="139"/>
      <c r="I116" s="139"/>
    </row>
    <row r="117" customHeight="1" spans="2:9">
      <c r="B117" s="140">
        <v>114</v>
      </c>
      <c r="C117" s="145"/>
      <c r="D117" s="145"/>
      <c r="E117" s="145"/>
      <c r="F117" s="138"/>
      <c r="G117" s="139"/>
      <c r="H117" s="139"/>
      <c r="I117" s="139"/>
    </row>
    <row r="118" customHeight="1" spans="2:9">
      <c r="B118" s="140">
        <v>115</v>
      </c>
      <c r="C118" s="145"/>
      <c r="D118" s="145"/>
      <c r="E118" s="145"/>
      <c r="F118" s="138"/>
      <c r="G118" s="139"/>
      <c r="H118" s="139"/>
      <c r="I118" s="139"/>
    </row>
    <row r="119" customHeight="1" spans="2:9">
      <c r="B119" s="140">
        <v>116</v>
      </c>
      <c r="C119" s="145"/>
      <c r="D119" s="145"/>
      <c r="E119" s="145"/>
      <c r="F119" s="138"/>
      <c r="G119" s="139"/>
      <c r="H119" s="139"/>
      <c r="I119" s="139"/>
    </row>
    <row r="120" customHeight="1" spans="2:9">
      <c r="B120" s="140">
        <v>117</v>
      </c>
      <c r="C120" s="145"/>
      <c r="D120" s="145"/>
      <c r="E120" s="145"/>
      <c r="F120" s="138"/>
      <c r="G120" s="139"/>
      <c r="H120" s="139"/>
      <c r="I120" s="139"/>
    </row>
    <row r="121" customHeight="1" spans="2:9">
      <c r="B121" s="140">
        <v>118</v>
      </c>
      <c r="C121" s="145"/>
      <c r="D121" s="145"/>
      <c r="E121" s="145"/>
      <c r="F121" s="138"/>
      <c r="G121" s="139"/>
      <c r="H121" s="139"/>
      <c r="I121" s="139"/>
    </row>
    <row r="122" customHeight="1" spans="2:9">
      <c r="B122" s="140">
        <v>119</v>
      </c>
      <c r="C122" s="145"/>
      <c r="D122" s="145"/>
      <c r="E122" s="145"/>
      <c r="F122" s="138"/>
      <c r="G122" s="139"/>
      <c r="H122" s="139"/>
      <c r="I122" s="139"/>
    </row>
    <row r="123" customHeight="1" spans="2:9">
      <c r="B123" s="140">
        <v>120</v>
      </c>
      <c r="C123" s="145"/>
      <c r="D123" s="145"/>
      <c r="E123" s="145"/>
      <c r="F123" s="138"/>
      <c r="G123" s="139"/>
      <c r="H123" s="139"/>
      <c r="I123" s="139"/>
    </row>
    <row r="124" customHeight="1" spans="2:9">
      <c r="B124" s="140">
        <v>121</v>
      </c>
      <c r="C124" s="145"/>
      <c r="D124" s="145"/>
      <c r="E124" s="145"/>
      <c r="F124" s="138"/>
      <c r="G124" s="139"/>
      <c r="H124" s="139"/>
      <c r="I124" s="139"/>
    </row>
    <row r="125" customHeight="1" spans="2:9">
      <c r="B125" s="140">
        <v>122</v>
      </c>
      <c r="C125" s="145"/>
      <c r="D125" s="145"/>
      <c r="E125" s="145"/>
      <c r="F125" s="138"/>
      <c r="G125" s="139"/>
      <c r="H125" s="139"/>
      <c r="I125" s="139"/>
    </row>
    <row r="126" customHeight="1" spans="2:9">
      <c r="B126" s="140">
        <v>123</v>
      </c>
      <c r="C126" s="145"/>
      <c r="D126" s="145"/>
      <c r="E126" s="145"/>
      <c r="F126" s="138"/>
      <c r="G126" s="139"/>
      <c r="H126" s="139"/>
      <c r="I126" s="139"/>
    </row>
    <row r="127" customHeight="1" spans="2:9">
      <c r="B127" s="140">
        <v>124</v>
      </c>
      <c r="C127" s="145"/>
      <c r="D127" s="145"/>
      <c r="E127" s="145"/>
      <c r="F127" s="138"/>
      <c r="G127" s="139"/>
      <c r="H127" s="139"/>
      <c r="I127" s="139"/>
    </row>
    <row r="128" customHeight="1" spans="2:9">
      <c r="B128" s="140">
        <v>125</v>
      </c>
      <c r="C128" s="145"/>
      <c r="D128" s="145"/>
      <c r="E128" s="145"/>
      <c r="F128" s="138"/>
      <c r="G128" s="139"/>
      <c r="H128" s="139"/>
      <c r="I128" s="139"/>
    </row>
    <row r="129" customHeight="1" spans="2:9">
      <c r="B129" s="140">
        <v>126</v>
      </c>
      <c r="C129" s="145"/>
      <c r="D129" s="145"/>
      <c r="E129" s="145"/>
      <c r="F129" s="138"/>
      <c r="G129" s="139"/>
      <c r="H129" s="139"/>
      <c r="I129" s="139"/>
    </row>
    <row r="130" customHeight="1" spans="2:9">
      <c r="B130" s="140">
        <v>127</v>
      </c>
      <c r="C130" s="145"/>
      <c r="D130" s="145"/>
      <c r="E130" s="145"/>
      <c r="F130" s="138"/>
      <c r="G130" s="139"/>
      <c r="H130" s="139"/>
      <c r="I130" s="139"/>
    </row>
    <row r="131" customHeight="1" spans="2:9">
      <c r="B131" s="140">
        <v>128</v>
      </c>
      <c r="C131" s="145"/>
      <c r="D131" s="145"/>
      <c r="E131" s="145"/>
      <c r="F131" s="138"/>
      <c r="G131" s="139"/>
      <c r="H131" s="139"/>
      <c r="I131" s="139"/>
    </row>
    <row r="132" customHeight="1" spans="2:9">
      <c r="B132" s="140">
        <v>129</v>
      </c>
      <c r="C132" s="145"/>
      <c r="D132" s="145"/>
      <c r="E132" s="145"/>
      <c r="F132" s="138"/>
      <c r="G132" s="139"/>
      <c r="H132" s="139"/>
      <c r="I132" s="139"/>
    </row>
    <row r="133" customHeight="1" spans="2:9">
      <c r="B133" s="140">
        <v>130</v>
      </c>
      <c r="C133" s="145"/>
      <c r="D133" s="145"/>
      <c r="E133" s="145"/>
      <c r="F133" s="138"/>
      <c r="G133" s="139"/>
      <c r="H133" s="139"/>
      <c r="I133" s="139"/>
    </row>
    <row r="134" customHeight="1" spans="2:9">
      <c r="B134" s="140">
        <v>131</v>
      </c>
      <c r="C134" s="145"/>
      <c r="D134" s="145"/>
      <c r="E134" s="145"/>
      <c r="F134" s="138"/>
      <c r="G134" s="139"/>
      <c r="H134" s="139"/>
      <c r="I134" s="139"/>
    </row>
    <row r="135" customHeight="1" spans="2:9">
      <c r="B135" s="140">
        <v>132</v>
      </c>
      <c r="C135" s="145"/>
      <c r="D135" s="145"/>
      <c r="E135" s="145"/>
      <c r="F135" s="138"/>
      <c r="G135" s="139"/>
      <c r="H135" s="139"/>
      <c r="I135" s="139"/>
    </row>
    <row r="136" customHeight="1" spans="2:9">
      <c r="B136" s="140">
        <v>133</v>
      </c>
      <c r="C136" s="145"/>
      <c r="D136" s="145"/>
      <c r="E136" s="145"/>
      <c r="F136" s="138"/>
      <c r="G136" s="139"/>
      <c r="H136" s="139"/>
      <c r="I136" s="139"/>
    </row>
    <row r="137" customHeight="1" spans="2:9">
      <c r="B137" s="140">
        <v>134</v>
      </c>
      <c r="C137" s="145"/>
      <c r="D137" s="145"/>
      <c r="E137" s="145"/>
      <c r="F137" s="138"/>
      <c r="G137" s="139"/>
      <c r="H137" s="139"/>
      <c r="I137" s="139"/>
    </row>
    <row r="138" customHeight="1" spans="2:9">
      <c r="B138" s="140">
        <v>135</v>
      </c>
      <c r="C138" s="145"/>
      <c r="D138" s="145"/>
      <c r="E138" s="145"/>
      <c r="F138" s="138"/>
      <c r="G138" s="139"/>
      <c r="H138" s="139"/>
      <c r="I138" s="139"/>
    </row>
    <row r="139" customHeight="1" spans="2:9">
      <c r="B139" s="140">
        <v>136</v>
      </c>
      <c r="C139" s="145"/>
      <c r="D139" s="145"/>
      <c r="E139" s="145"/>
      <c r="F139" s="138"/>
      <c r="G139" s="139"/>
      <c r="H139" s="139"/>
      <c r="I139" s="139"/>
    </row>
    <row r="140" customHeight="1" spans="2:9">
      <c r="B140" s="140">
        <v>137</v>
      </c>
      <c r="C140" s="145"/>
      <c r="D140" s="145"/>
      <c r="E140" s="145"/>
      <c r="F140" s="138"/>
      <c r="G140" s="139"/>
      <c r="H140" s="139"/>
      <c r="I140" s="139"/>
    </row>
    <row r="141" customHeight="1" spans="2:9">
      <c r="B141" s="140">
        <v>138</v>
      </c>
      <c r="C141" s="145"/>
      <c r="D141" s="145"/>
      <c r="E141" s="145"/>
      <c r="F141" s="138"/>
      <c r="G141" s="139"/>
      <c r="H141" s="139"/>
      <c r="I141" s="139"/>
    </row>
    <row r="142" customHeight="1" spans="2:9">
      <c r="B142" s="140">
        <v>139</v>
      </c>
      <c r="C142" s="145"/>
      <c r="D142" s="145"/>
      <c r="E142" s="145"/>
      <c r="F142" s="138"/>
      <c r="G142" s="139"/>
      <c r="H142" s="139"/>
      <c r="I142" s="139"/>
    </row>
    <row r="143" customHeight="1" spans="2:9">
      <c r="B143" s="140">
        <v>140</v>
      </c>
      <c r="C143" s="145"/>
      <c r="D143" s="145"/>
      <c r="E143" s="145"/>
      <c r="F143" s="138"/>
      <c r="G143" s="139"/>
      <c r="H143" s="139"/>
      <c r="I143" s="139"/>
    </row>
    <row r="144" customHeight="1" spans="2:9">
      <c r="B144" s="140">
        <v>141</v>
      </c>
      <c r="C144" s="145"/>
      <c r="D144" s="145"/>
      <c r="E144" s="145"/>
      <c r="F144" s="138"/>
      <c r="G144" s="139"/>
      <c r="H144" s="139"/>
      <c r="I144" s="139"/>
    </row>
    <row r="145" customHeight="1" spans="2:9">
      <c r="B145" s="140">
        <v>142</v>
      </c>
      <c r="C145" s="145"/>
      <c r="D145" s="145"/>
      <c r="E145" s="145"/>
      <c r="F145" s="138"/>
      <c r="G145" s="139"/>
      <c r="H145" s="139"/>
      <c r="I145" s="139"/>
    </row>
    <row r="146" customHeight="1" spans="2:9">
      <c r="B146" s="140">
        <v>143</v>
      </c>
      <c r="C146" s="145"/>
      <c r="D146" s="145"/>
      <c r="E146" s="145"/>
      <c r="F146" s="138"/>
      <c r="G146" s="139"/>
      <c r="H146" s="139"/>
      <c r="I146" s="139"/>
    </row>
    <row r="147" customHeight="1" spans="2:9">
      <c r="B147" s="140">
        <v>144</v>
      </c>
      <c r="C147" s="145"/>
      <c r="D147" s="145"/>
      <c r="E147" s="145"/>
      <c r="F147" s="138"/>
      <c r="G147" s="139"/>
      <c r="H147" s="139"/>
      <c r="I147" s="139"/>
    </row>
    <row r="148" customHeight="1" spans="2:9">
      <c r="B148" s="140">
        <v>145</v>
      </c>
      <c r="C148" s="145"/>
      <c r="D148" s="145"/>
      <c r="E148" s="145"/>
      <c r="F148" s="138"/>
      <c r="G148" s="139"/>
      <c r="H148" s="139"/>
      <c r="I148" s="139"/>
    </row>
    <row r="149" customHeight="1" spans="2:9">
      <c r="B149" s="140">
        <v>146</v>
      </c>
      <c r="C149" s="145"/>
      <c r="D149" s="145"/>
      <c r="E149" s="145"/>
      <c r="F149" s="138"/>
      <c r="G149" s="139"/>
      <c r="H149" s="139"/>
      <c r="I149" s="139"/>
    </row>
    <row r="150" customHeight="1" spans="2:9">
      <c r="B150" s="140">
        <v>147</v>
      </c>
      <c r="C150" s="145"/>
      <c r="D150" s="145"/>
      <c r="E150" s="145"/>
      <c r="F150" s="138"/>
      <c r="G150" s="139"/>
      <c r="H150" s="139"/>
      <c r="I150" s="139"/>
    </row>
    <row r="151" customHeight="1" spans="2:9">
      <c r="B151" s="140">
        <v>148</v>
      </c>
      <c r="C151" s="145"/>
      <c r="D151" s="145"/>
      <c r="E151" s="145"/>
      <c r="F151" s="138"/>
      <c r="G151" s="139"/>
      <c r="H151" s="139"/>
      <c r="I151" s="139"/>
    </row>
    <row r="152" customHeight="1" spans="2:9">
      <c r="B152" s="140">
        <v>149</v>
      </c>
      <c r="C152" s="145"/>
      <c r="D152" s="145"/>
      <c r="E152" s="145"/>
      <c r="F152" s="138"/>
      <c r="G152" s="139"/>
      <c r="H152" s="139"/>
      <c r="I152" s="139"/>
    </row>
    <row r="153" customHeight="1" spans="2:9">
      <c r="B153" s="140">
        <v>150</v>
      </c>
      <c r="C153" s="145"/>
      <c r="D153" s="145"/>
      <c r="E153" s="145"/>
      <c r="F153" s="138"/>
      <c r="G153" s="139"/>
      <c r="H153" s="139"/>
      <c r="I153" s="139"/>
    </row>
    <row r="154" customHeight="1" spans="2:9">
      <c r="B154" s="140">
        <v>151</v>
      </c>
      <c r="C154" s="145"/>
      <c r="D154" s="145"/>
      <c r="E154" s="145"/>
      <c r="F154" s="138"/>
      <c r="G154" s="139"/>
      <c r="H154" s="139"/>
      <c r="I154" s="139"/>
    </row>
    <row r="155" customHeight="1" spans="2:9">
      <c r="B155" s="140">
        <v>152</v>
      </c>
      <c r="C155" s="145"/>
      <c r="D155" s="145"/>
      <c r="E155" s="145"/>
      <c r="F155" s="138"/>
      <c r="G155" s="139"/>
      <c r="H155" s="139"/>
      <c r="I155" s="139"/>
    </row>
    <row r="156" customHeight="1" spans="2:9">
      <c r="B156" s="140">
        <v>153</v>
      </c>
      <c r="C156" s="145"/>
      <c r="D156" s="145"/>
      <c r="E156" s="145"/>
      <c r="F156" s="138"/>
      <c r="G156" s="139"/>
      <c r="H156" s="139"/>
      <c r="I156" s="139"/>
    </row>
    <row r="157" customHeight="1" spans="2:9">
      <c r="B157" s="140">
        <v>154</v>
      </c>
      <c r="C157" s="145"/>
      <c r="D157" s="145"/>
      <c r="E157" s="145"/>
      <c r="F157" s="138"/>
      <c r="G157" s="139"/>
      <c r="H157" s="139"/>
      <c r="I157" s="139"/>
    </row>
    <row r="158" customHeight="1" spans="2:9">
      <c r="B158" s="140">
        <v>155</v>
      </c>
      <c r="C158" s="145"/>
      <c r="D158" s="145"/>
      <c r="E158" s="145"/>
      <c r="F158" s="138"/>
      <c r="G158" s="139"/>
      <c r="H158" s="139"/>
      <c r="I158" s="139"/>
    </row>
    <row r="159" customHeight="1" spans="2:9">
      <c r="B159" s="140">
        <v>156</v>
      </c>
      <c r="C159" s="145"/>
      <c r="D159" s="145"/>
      <c r="E159" s="145"/>
      <c r="F159" s="138"/>
      <c r="G159" s="139"/>
      <c r="H159" s="139"/>
      <c r="I159" s="139"/>
    </row>
    <row r="160" customHeight="1" spans="2:9">
      <c r="B160" s="140">
        <v>157</v>
      </c>
      <c r="C160" s="145"/>
      <c r="D160" s="145"/>
      <c r="E160" s="145"/>
      <c r="F160" s="138"/>
      <c r="G160" s="139"/>
      <c r="H160" s="139"/>
      <c r="I160" s="139"/>
    </row>
    <row r="161" customHeight="1" spans="2:9">
      <c r="B161" s="140">
        <v>158</v>
      </c>
      <c r="C161" s="145"/>
      <c r="D161" s="145"/>
      <c r="E161" s="145"/>
      <c r="F161" s="138"/>
      <c r="G161" s="139"/>
      <c r="H161" s="139"/>
      <c r="I161" s="139"/>
    </row>
    <row r="162" customHeight="1" spans="2:9">
      <c r="B162" s="140">
        <v>159</v>
      </c>
      <c r="C162" s="145"/>
      <c r="D162" s="145"/>
      <c r="E162" s="145"/>
      <c r="F162" s="138"/>
      <c r="G162" s="139"/>
      <c r="H162" s="139"/>
      <c r="I162" s="139"/>
    </row>
    <row r="163" customHeight="1" spans="2:9">
      <c r="B163" s="140">
        <v>160</v>
      </c>
      <c r="C163" s="145"/>
      <c r="D163" s="145"/>
      <c r="E163" s="145"/>
      <c r="F163" s="138"/>
      <c r="G163" s="139"/>
      <c r="H163" s="139"/>
      <c r="I163" s="139"/>
    </row>
    <row r="164" customHeight="1" spans="2:9">
      <c r="B164" s="140">
        <v>161</v>
      </c>
      <c r="C164" s="145"/>
      <c r="D164" s="145"/>
      <c r="E164" s="145"/>
      <c r="F164" s="138"/>
      <c r="G164" s="139"/>
      <c r="H164" s="139"/>
      <c r="I164" s="139"/>
    </row>
    <row r="165" customHeight="1" spans="2:9">
      <c r="B165" s="140">
        <v>162</v>
      </c>
      <c r="C165" s="145"/>
      <c r="D165" s="145"/>
      <c r="E165" s="145"/>
      <c r="F165" s="138"/>
      <c r="G165" s="139"/>
      <c r="H165" s="139"/>
      <c r="I165" s="139"/>
    </row>
    <row r="166" customHeight="1" spans="2:9">
      <c r="B166" s="140">
        <v>163</v>
      </c>
      <c r="C166" s="145"/>
      <c r="D166" s="145"/>
      <c r="E166" s="145"/>
      <c r="F166" s="138"/>
      <c r="G166" s="139"/>
      <c r="H166" s="139"/>
      <c r="I166" s="139"/>
    </row>
    <row r="167" customHeight="1" spans="2:9">
      <c r="B167" s="140">
        <v>164</v>
      </c>
      <c r="C167" s="145"/>
      <c r="D167" s="145"/>
      <c r="E167" s="145"/>
      <c r="F167" s="138"/>
      <c r="G167" s="139"/>
      <c r="H167" s="139"/>
      <c r="I167" s="139"/>
    </row>
    <row r="168" customHeight="1" spans="2:9">
      <c r="B168" s="140">
        <v>165</v>
      </c>
      <c r="C168" s="145"/>
      <c r="D168" s="145"/>
      <c r="E168" s="145"/>
      <c r="F168" s="138"/>
      <c r="G168" s="139"/>
      <c r="H168" s="139"/>
      <c r="I168" s="139"/>
    </row>
    <row r="169" customHeight="1" spans="2:9">
      <c r="B169" s="140">
        <v>166</v>
      </c>
      <c r="C169" s="145"/>
      <c r="D169" s="145"/>
      <c r="E169" s="145"/>
      <c r="F169" s="138"/>
      <c r="G169" s="139"/>
      <c r="H169" s="139"/>
      <c r="I169" s="139"/>
    </row>
    <row r="170" customHeight="1" spans="2:9">
      <c r="B170" s="140">
        <v>167</v>
      </c>
      <c r="C170" s="145"/>
      <c r="D170" s="145"/>
      <c r="E170" s="145"/>
      <c r="F170" s="138"/>
      <c r="G170" s="139"/>
      <c r="H170" s="139"/>
      <c r="I170" s="139"/>
    </row>
    <row r="171" customHeight="1" spans="2:9">
      <c r="B171" s="140">
        <v>168</v>
      </c>
      <c r="C171" s="145"/>
      <c r="D171" s="145"/>
      <c r="E171" s="145"/>
      <c r="F171" s="138"/>
      <c r="G171" s="139"/>
      <c r="H171" s="139"/>
      <c r="I171" s="139"/>
    </row>
    <row r="172" customHeight="1" spans="2:9">
      <c r="B172" s="140">
        <v>169</v>
      </c>
      <c r="C172" s="145"/>
      <c r="D172" s="145"/>
      <c r="E172" s="145"/>
      <c r="F172" s="138"/>
      <c r="G172" s="139"/>
      <c r="H172" s="139"/>
      <c r="I172" s="139"/>
    </row>
    <row r="173" customHeight="1" spans="2:9">
      <c r="B173" s="140">
        <v>170</v>
      </c>
      <c r="C173" s="145"/>
      <c r="D173" s="145"/>
      <c r="E173" s="145"/>
      <c r="F173" s="138"/>
      <c r="G173" s="139"/>
      <c r="H173" s="139"/>
      <c r="I173" s="139"/>
    </row>
    <row r="174" customHeight="1" spans="2:9">
      <c r="B174" s="140">
        <v>171</v>
      </c>
      <c r="C174" s="145"/>
      <c r="D174" s="145"/>
      <c r="E174" s="145"/>
      <c r="F174" s="138"/>
      <c r="G174" s="139"/>
      <c r="H174" s="139"/>
      <c r="I174" s="139"/>
    </row>
    <row r="175" customHeight="1" spans="2:9">
      <c r="B175" s="140">
        <v>172</v>
      </c>
      <c r="C175" s="145"/>
      <c r="D175" s="145"/>
      <c r="E175" s="145"/>
      <c r="F175" s="138"/>
      <c r="G175" s="139"/>
      <c r="H175" s="139"/>
      <c r="I175" s="139"/>
    </row>
    <row r="176" customHeight="1" spans="2:9">
      <c r="B176" s="140">
        <v>173</v>
      </c>
      <c r="C176" s="145"/>
      <c r="D176" s="145"/>
      <c r="E176" s="145"/>
      <c r="F176" s="138"/>
      <c r="G176" s="139"/>
      <c r="H176" s="139"/>
      <c r="I176" s="139"/>
    </row>
    <row r="177" customHeight="1" spans="2:9">
      <c r="B177" s="140">
        <v>174</v>
      </c>
      <c r="C177" s="145"/>
      <c r="D177" s="145"/>
      <c r="E177" s="145"/>
      <c r="F177" s="138"/>
      <c r="G177" s="139"/>
      <c r="H177" s="139"/>
      <c r="I177" s="139"/>
    </row>
    <row r="178" customHeight="1" spans="2:9">
      <c r="B178" s="140">
        <v>175</v>
      </c>
      <c r="C178" s="145"/>
      <c r="D178" s="145"/>
      <c r="E178" s="145"/>
      <c r="F178" s="138"/>
      <c r="G178" s="139"/>
      <c r="H178" s="139"/>
      <c r="I178" s="139"/>
    </row>
    <row r="179" customHeight="1" spans="2:9">
      <c r="B179" s="140">
        <v>176</v>
      </c>
      <c r="C179" s="145"/>
      <c r="D179" s="145"/>
      <c r="E179" s="145"/>
      <c r="F179" s="138"/>
      <c r="G179" s="139"/>
      <c r="H179" s="139"/>
      <c r="I179" s="139"/>
    </row>
    <row r="180" customHeight="1" spans="2:9">
      <c r="B180" s="140">
        <v>177</v>
      </c>
      <c r="C180" s="145"/>
      <c r="D180" s="145"/>
      <c r="E180" s="145"/>
      <c r="F180" s="138"/>
      <c r="G180" s="139"/>
      <c r="H180" s="139"/>
      <c r="I180" s="139"/>
    </row>
    <row r="181" customHeight="1" spans="2:9">
      <c r="B181" s="140">
        <v>178</v>
      </c>
      <c r="C181" s="145"/>
      <c r="D181" s="145"/>
      <c r="E181" s="145"/>
      <c r="F181" s="138"/>
      <c r="G181" s="139"/>
      <c r="H181" s="139"/>
      <c r="I181" s="139"/>
    </row>
    <row r="182" customHeight="1" spans="2:9">
      <c r="B182" s="140">
        <v>179</v>
      </c>
      <c r="C182" s="145"/>
      <c r="D182" s="145"/>
      <c r="E182" s="145"/>
      <c r="F182" s="138"/>
      <c r="G182" s="139"/>
      <c r="H182" s="139"/>
      <c r="I182" s="139"/>
    </row>
    <row r="183" customHeight="1" spans="2:9">
      <c r="B183" s="140">
        <v>180</v>
      </c>
      <c r="C183" s="145"/>
      <c r="D183" s="145"/>
      <c r="E183" s="145"/>
      <c r="F183" s="138"/>
      <c r="G183" s="139"/>
      <c r="H183" s="139"/>
      <c r="I183" s="139"/>
    </row>
    <row r="184" customHeight="1" spans="2:9">
      <c r="B184" s="140">
        <v>181</v>
      </c>
      <c r="C184" s="145"/>
      <c r="D184" s="145"/>
      <c r="E184" s="145"/>
      <c r="F184" s="138"/>
      <c r="G184" s="139"/>
      <c r="H184" s="139"/>
      <c r="I184" s="139"/>
    </row>
    <row r="185" customHeight="1" spans="2:9">
      <c r="B185" s="140">
        <v>182</v>
      </c>
      <c r="C185" s="145"/>
      <c r="D185" s="145"/>
      <c r="E185" s="145"/>
      <c r="F185" s="138"/>
      <c r="G185" s="139"/>
      <c r="H185" s="139"/>
      <c r="I185" s="139"/>
    </row>
    <row r="186" customHeight="1" spans="2:9">
      <c r="B186" s="140">
        <v>183</v>
      </c>
      <c r="C186" s="145"/>
      <c r="D186" s="145"/>
      <c r="E186" s="145"/>
      <c r="F186" s="138"/>
      <c r="G186" s="139"/>
      <c r="H186" s="139"/>
      <c r="I186" s="139"/>
    </row>
    <row r="187" customHeight="1" spans="2:9">
      <c r="B187" s="140">
        <v>184</v>
      </c>
      <c r="C187" s="145"/>
      <c r="D187" s="145"/>
      <c r="E187" s="145"/>
      <c r="F187" s="138"/>
      <c r="G187" s="139"/>
      <c r="H187" s="139"/>
      <c r="I187" s="139"/>
    </row>
    <row r="188" customHeight="1" spans="2:9">
      <c r="B188" s="140">
        <v>185</v>
      </c>
      <c r="C188" s="145"/>
      <c r="D188" s="145"/>
      <c r="E188" s="145"/>
      <c r="F188" s="138"/>
      <c r="G188" s="139"/>
      <c r="H188" s="139"/>
      <c r="I188" s="139"/>
    </row>
    <row r="189" customHeight="1" spans="2:9">
      <c r="B189" s="140">
        <v>186</v>
      </c>
      <c r="C189" s="145"/>
      <c r="D189" s="145"/>
      <c r="E189" s="145"/>
      <c r="F189" s="138"/>
      <c r="G189" s="139"/>
      <c r="H189" s="139"/>
      <c r="I189" s="139"/>
    </row>
    <row r="190" customHeight="1" spans="2:9">
      <c r="B190" s="140">
        <v>187</v>
      </c>
      <c r="C190" s="145"/>
      <c r="D190" s="145"/>
      <c r="E190" s="145"/>
      <c r="F190" s="138"/>
      <c r="G190" s="139"/>
      <c r="H190" s="139"/>
      <c r="I190" s="139"/>
    </row>
    <row r="191" customHeight="1" spans="2:9">
      <c r="B191" s="140">
        <v>188</v>
      </c>
      <c r="C191" s="145"/>
      <c r="D191" s="145"/>
      <c r="E191" s="145"/>
      <c r="F191" s="138"/>
      <c r="G191" s="139"/>
      <c r="H191" s="139"/>
      <c r="I191" s="139"/>
    </row>
    <row r="192" customHeight="1" spans="2:9">
      <c r="B192" s="140">
        <v>189</v>
      </c>
      <c r="C192" s="145"/>
      <c r="D192" s="145"/>
      <c r="E192" s="145"/>
      <c r="F192" s="138"/>
      <c r="G192" s="139"/>
      <c r="H192" s="139"/>
      <c r="I192" s="139"/>
    </row>
    <row r="193" customHeight="1" spans="2:9">
      <c r="B193" s="140">
        <v>190</v>
      </c>
      <c r="C193" s="145"/>
      <c r="D193" s="145"/>
      <c r="E193" s="145"/>
      <c r="F193" s="138"/>
      <c r="G193" s="139"/>
      <c r="H193" s="139"/>
      <c r="I193" s="139"/>
    </row>
    <row r="194" customHeight="1" spans="2:9">
      <c r="B194" s="140">
        <v>191</v>
      </c>
      <c r="C194" s="145"/>
      <c r="D194" s="145"/>
      <c r="E194" s="145"/>
      <c r="F194" s="138"/>
      <c r="G194" s="139"/>
      <c r="H194" s="139"/>
      <c r="I194" s="139"/>
    </row>
    <row r="195" customHeight="1" spans="2:9">
      <c r="B195" s="140">
        <v>192</v>
      </c>
      <c r="C195" s="145"/>
      <c r="D195" s="145"/>
      <c r="E195" s="145"/>
      <c r="F195" s="138"/>
      <c r="G195" s="139"/>
      <c r="H195" s="139"/>
      <c r="I195" s="139"/>
    </row>
    <row r="196" customHeight="1" spans="2:9">
      <c r="B196" s="140">
        <v>193</v>
      </c>
      <c r="C196" s="145"/>
      <c r="D196" s="145"/>
      <c r="E196" s="145"/>
      <c r="F196" s="138"/>
      <c r="G196" s="139"/>
      <c r="H196" s="139"/>
      <c r="I196" s="139"/>
    </row>
    <row r="197" customHeight="1" spans="2:9">
      <c r="B197" s="140">
        <v>194</v>
      </c>
      <c r="C197" s="145"/>
      <c r="D197" s="145"/>
      <c r="E197" s="145"/>
      <c r="F197" s="138"/>
      <c r="G197" s="139"/>
      <c r="H197" s="139"/>
      <c r="I197" s="139"/>
    </row>
    <row r="198" customHeight="1" spans="2:9">
      <c r="B198" s="140">
        <v>195</v>
      </c>
      <c r="C198" s="145"/>
      <c r="D198" s="145"/>
      <c r="E198" s="145"/>
      <c r="F198" s="138"/>
      <c r="G198" s="139"/>
      <c r="H198" s="139"/>
      <c r="I198" s="139"/>
    </row>
    <row r="199" customHeight="1" spans="2:9">
      <c r="B199" s="140">
        <v>196</v>
      </c>
      <c r="C199" s="145"/>
      <c r="D199" s="145"/>
      <c r="E199" s="145"/>
      <c r="F199" s="138"/>
      <c r="G199" s="139"/>
      <c r="H199" s="139"/>
      <c r="I199" s="139"/>
    </row>
    <row r="200" customHeight="1" spans="2:9">
      <c r="B200" s="140">
        <v>197</v>
      </c>
      <c r="C200" s="145"/>
      <c r="D200" s="145"/>
      <c r="E200" s="145"/>
      <c r="F200" s="138"/>
      <c r="G200" s="139"/>
      <c r="H200" s="139"/>
      <c r="I200" s="139"/>
    </row>
    <row r="201" customHeight="1" spans="2:9">
      <c r="B201" s="140">
        <v>198</v>
      </c>
      <c r="C201" s="145"/>
      <c r="D201" s="145"/>
      <c r="E201" s="145"/>
      <c r="F201" s="138"/>
      <c r="G201" s="139"/>
      <c r="H201" s="139"/>
      <c r="I201" s="139"/>
    </row>
    <row r="202" customHeight="1" spans="2:9">
      <c r="B202" s="140">
        <v>199</v>
      </c>
      <c r="C202" s="145"/>
      <c r="D202" s="145"/>
      <c r="E202" s="145"/>
      <c r="F202" s="138"/>
      <c r="G202" s="139"/>
      <c r="H202" s="139"/>
      <c r="I202" s="139"/>
    </row>
    <row r="203" customHeight="1" spans="2:9">
      <c r="B203" s="140">
        <v>200</v>
      </c>
      <c r="C203" s="145"/>
      <c r="D203" s="145"/>
      <c r="E203" s="145"/>
      <c r="F203" s="138"/>
      <c r="G203" s="139"/>
      <c r="H203" s="139"/>
      <c r="I203" s="139"/>
    </row>
    <row r="204" customHeight="1" spans="2:9">
      <c r="B204" s="140">
        <v>201</v>
      </c>
      <c r="C204" s="145"/>
      <c r="D204" s="145"/>
      <c r="E204" s="145"/>
      <c r="F204" s="138"/>
      <c r="G204" s="139"/>
      <c r="H204" s="139"/>
      <c r="I204" s="139"/>
    </row>
    <row r="205" customHeight="1" spans="2:9">
      <c r="B205" s="140">
        <v>202</v>
      </c>
      <c r="C205" s="145"/>
      <c r="D205" s="145"/>
      <c r="E205" s="145"/>
      <c r="F205" s="138"/>
      <c r="G205" s="139"/>
      <c r="H205" s="139"/>
      <c r="I205" s="139"/>
    </row>
    <row r="206" customHeight="1" spans="2:9">
      <c r="B206" s="140">
        <v>203</v>
      </c>
      <c r="C206" s="145"/>
      <c r="D206" s="145"/>
      <c r="E206" s="145"/>
      <c r="F206" s="138"/>
      <c r="G206" s="139"/>
      <c r="H206" s="139"/>
      <c r="I206" s="139"/>
    </row>
    <row r="207" customHeight="1" spans="2:9">
      <c r="B207" s="140">
        <v>204</v>
      </c>
      <c r="C207" s="145"/>
      <c r="D207" s="145"/>
      <c r="E207" s="145"/>
      <c r="F207" s="138"/>
      <c r="G207" s="139"/>
      <c r="H207" s="139"/>
      <c r="I207" s="139"/>
    </row>
    <row r="208" customHeight="1" spans="2:9">
      <c r="B208" s="140">
        <v>205</v>
      </c>
      <c r="C208" s="145"/>
      <c r="D208" s="145"/>
      <c r="E208" s="145"/>
      <c r="F208" s="138"/>
      <c r="G208" s="139"/>
      <c r="H208" s="139"/>
      <c r="I208" s="139"/>
    </row>
    <row r="209" customHeight="1" spans="2:9">
      <c r="B209" s="140">
        <v>206</v>
      </c>
      <c r="C209" s="145"/>
      <c r="D209" s="145"/>
      <c r="E209" s="145"/>
      <c r="F209" s="138"/>
      <c r="G209" s="139"/>
      <c r="H209" s="139"/>
      <c r="I209" s="139"/>
    </row>
    <row r="210" customHeight="1" spans="2:9">
      <c r="B210" s="140">
        <v>207</v>
      </c>
      <c r="C210" s="145"/>
      <c r="D210" s="145"/>
      <c r="E210" s="145"/>
      <c r="F210" s="138"/>
      <c r="G210" s="139"/>
      <c r="H210" s="139"/>
      <c r="I210" s="139"/>
    </row>
    <row r="211" customHeight="1" spans="2:9">
      <c r="B211" s="140">
        <v>208</v>
      </c>
      <c r="C211" s="145"/>
      <c r="D211" s="145"/>
      <c r="E211" s="145"/>
      <c r="F211" s="138"/>
      <c r="G211" s="139"/>
      <c r="H211" s="139"/>
      <c r="I211" s="139"/>
    </row>
    <row r="212" customHeight="1" spans="2:9">
      <c r="B212" s="140">
        <v>209</v>
      </c>
      <c r="C212" s="145"/>
      <c r="D212" s="145"/>
      <c r="E212" s="145"/>
      <c r="F212" s="138"/>
      <c r="G212" s="139"/>
      <c r="H212" s="139"/>
      <c r="I212" s="139"/>
    </row>
    <row r="213" customHeight="1" spans="2:9">
      <c r="B213" s="140">
        <v>210</v>
      </c>
      <c r="C213" s="145"/>
      <c r="D213" s="145"/>
      <c r="E213" s="145"/>
      <c r="F213" s="138"/>
      <c r="G213" s="139"/>
      <c r="H213" s="139"/>
      <c r="I213" s="139"/>
    </row>
    <row r="214" customHeight="1" spans="2:9">
      <c r="B214" s="140">
        <v>211</v>
      </c>
      <c r="C214" s="145"/>
      <c r="D214" s="145"/>
      <c r="E214" s="145"/>
      <c r="F214" s="138"/>
      <c r="G214" s="139"/>
      <c r="H214" s="139"/>
      <c r="I214" s="139"/>
    </row>
    <row r="215" customHeight="1" spans="2:9">
      <c r="B215" s="140">
        <v>212</v>
      </c>
      <c r="C215" s="145"/>
      <c r="D215" s="145"/>
      <c r="E215" s="145"/>
      <c r="F215" s="138"/>
      <c r="G215" s="139"/>
      <c r="H215" s="139"/>
      <c r="I215" s="139"/>
    </row>
    <row r="216" customHeight="1" spans="2:9">
      <c r="B216" s="140">
        <v>213</v>
      </c>
      <c r="C216" s="145"/>
      <c r="D216" s="145"/>
      <c r="E216" s="145"/>
      <c r="F216" s="138"/>
      <c r="G216" s="139"/>
      <c r="H216" s="139"/>
      <c r="I216" s="139"/>
    </row>
    <row r="217" customHeight="1" spans="2:9">
      <c r="B217" s="140">
        <v>214</v>
      </c>
      <c r="C217" s="145"/>
      <c r="D217" s="145"/>
      <c r="E217" s="145"/>
      <c r="F217" s="138"/>
      <c r="G217" s="139"/>
      <c r="H217" s="139"/>
      <c r="I217" s="139"/>
    </row>
    <row r="218" customHeight="1" spans="2:9">
      <c r="B218" s="140">
        <v>215</v>
      </c>
      <c r="C218" s="145"/>
      <c r="D218" s="145"/>
      <c r="E218" s="145"/>
      <c r="F218" s="138"/>
      <c r="G218" s="139"/>
      <c r="H218" s="139"/>
      <c r="I218" s="139"/>
    </row>
    <row r="219" customHeight="1" spans="2:9">
      <c r="B219" s="140">
        <v>216</v>
      </c>
      <c r="C219" s="145"/>
      <c r="D219" s="145"/>
      <c r="E219" s="145"/>
      <c r="F219" s="138"/>
      <c r="G219" s="139"/>
      <c r="H219" s="139"/>
      <c r="I219" s="139"/>
    </row>
    <row r="220" customHeight="1" spans="2:9">
      <c r="B220" s="140">
        <v>217</v>
      </c>
      <c r="C220" s="145"/>
      <c r="D220" s="145"/>
      <c r="E220" s="145"/>
      <c r="F220" s="138"/>
      <c r="G220" s="139"/>
      <c r="H220" s="139"/>
      <c r="I220" s="139"/>
    </row>
    <row r="221" customHeight="1" spans="2:9">
      <c r="B221" s="140">
        <v>218</v>
      </c>
      <c r="C221" s="145"/>
      <c r="D221" s="145"/>
      <c r="E221" s="145"/>
      <c r="F221" s="138"/>
      <c r="G221" s="139"/>
      <c r="H221" s="139"/>
      <c r="I221" s="139"/>
    </row>
    <row r="222" customHeight="1" spans="2:9">
      <c r="B222" s="140">
        <v>219</v>
      </c>
      <c r="C222" s="145"/>
      <c r="D222" s="145"/>
      <c r="E222" s="145"/>
      <c r="F222" s="138"/>
      <c r="G222" s="139"/>
      <c r="H222" s="139"/>
      <c r="I222" s="139"/>
    </row>
    <row r="223" customHeight="1" spans="2:9">
      <c r="B223" s="140">
        <v>220</v>
      </c>
      <c r="C223" s="145"/>
      <c r="D223" s="145"/>
      <c r="E223" s="145"/>
      <c r="F223" s="138"/>
      <c r="G223" s="139"/>
      <c r="H223" s="139"/>
      <c r="I223" s="139"/>
    </row>
    <row r="224" customHeight="1" spans="2:9">
      <c r="B224" s="140">
        <v>221</v>
      </c>
      <c r="C224" s="145"/>
      <c r="D224" s="145"/>
      <c r="E224" s="145"/>
      <c r="F224" s="138"/>
      <c r="G224" s="139"/>
      <c r="H224" s="139"/>
      <c r="I224" s="139"/>
    </row>
    <row r="225" customHeight="1" spans="2:9">
      <c r="B225" s="140">
        <v>222</v>
      </c>
      <c r="C225" s="145"/>
      <c r="D225" s="145"/>
      <c r="E225" s="145"/>
      <c r="F225" s="138"/>
      <c r="G225" s="139"/>
      <c r="H225" s="139"/>
      <c r="I225" s="139"/>
    </row>
    <row r="226" customHeight="1" spans="2:9">
      <c r="B226" s="140">
        <v>223</v>
      </c>
      <c r="C226" s="145"/>
      <c r="D226" s="145"/>
      <c r="E226" s="145"/>
      <c r="F226" s="138"/>
      <c r="G226" s="139"/>
      <c r="H226" s="139"/>
      <c r="I226" s="139"/>
    </row>
    <row r="227" customHeight="1" spans="2:9">
      <c r="B227" s="140">
        <v>224</v>
      </c>
      <c r="C227" s="145"/>
      <c r="D227" s="145"/>
      <c r="E227" s="145"/>
      <c r="F227" s="138"/>
      <c r="G227" s="139"/>
      <c r="H227" s="139"/>
      <c r="I227" s="139"/>
    </row>
    <row r="228" customHeight="1" spans="2:9">
      <c r="B228" s="140">
        <v>225</v>
      </c>
      <c r="C228" s="145"/>
      <c r="D228" s="145"/>
      <c r="E228" s="145"/>
      <c r="F228" s="138"/>
      <c r="G228" s="139"/>
      <c r="H228" s="139"/>
      <c r="I228" s="139"/>
    </row>
    <row r="229" customHeight="1" spans="2:9">
      <c r="B229" s="140">
        <v>226</v>
      </c>
      <c r="C229" s="145"/>
      <c r="D229" s="145"/>
      <c r="E229" s="145"/>
      <c r="F229" s="138"/>
      <c r="G229" s="139"/>
      <c r="H229" s="139"/>
      <c r="I229" s="139"/>
    </row>
    <row r="230" customHeight="1" spans="2:9">
      <c r="B230" s="140">
        <v>227</v>
      </c>
      <c r="C230" s="145"/>
      <c r="D230" s="145"/>
      <c r="E230" s="145"/>
      <c r="F230" s="138"/>
      <c r="G230" s="139"/>
      <c r="H230" s="139"/>
      <c r="I230" s="139"/>
    </row>
    <row r="231" customHeight="1" spans="2:9">
      <c r="B231" s="140">
        <v>228</v>
      </c>
      <c r="C231" s="145"/>
      <c r="D231" s="145"/>
      <c r="E231" s="145"/>
      <c r="F231" s="138"/>
      <c r="G231" s="139"/>
      <c r="H231" s="139"/>
      <c r="I231" s="139"/>
    </row>
    <row r="232" customHeight="1" spans="2:9">
      <c r="B232" s="140">
        <v>229</v>
      </c>
      <c r="C232" s="145"/>
      <c r="D232" s="145"/>
      <c r="E232" s="145"/>
      <c r="F232" s="138"/>
      <c r="G232" s="139"/>
      <c r="H232" s="139"/>
      <c r="I232" s="139"/>
    </row>
    <row r="233" customHeight="1" spans="2:9">
      <c r="B233" s="140">
        <v>230</v>
      </c>
      <c r="C233" s="145"/>
      <c r="D233" s="145"/>
      <c r="E233" s="145"/>
      <c r="F233" s="138"/>
      <c r="G233" s="139"/>
      <c r="H233" s="139"/>
      <c r="I233" s="139"/>
    </row>
    <row r="234" customHeight="1" spans="2:9">
      <c r="B234" s="140">
        <v>231</v>
      </c>
      <c r="C234" s="145"/>
      <c r="D234" s="145"/>
      <c r="E234" s="145"/>
      <c r="F234" s="138"/>
      <c r="G234" s="139"/>
      <c r="H234" s="139"/>
      <c r="I234" s="139"/>
    </row>
    <row r="235" customHeight="1" spans="2:9">
      <c r="B235" s="140">
        <v>232</v>
      </c>
      <c r="C235" s="145"/>
      <c r="D235" s="145"/>
      <c r="E235" s="145"/>
      <c r="F235" s="138"/>
      <c r="G235" s="139"/>
      <c r="H235" s="139"/>
      <c r="I235" s="139"/>
    </row>
    <row r="236" customHeight="1" spans="2:9">
      <c r="B236" s="140">
        <v>233</v>
      </c>
      <c r="C236" s="145"/>
      <c r="D236" s="145"/>
      <c r="E236" s="145"/>
      <c r="F236" s="138"/>
      <c r="G236" s="139"/>
      <c r="H236" s="139"/>
      <c r="I236" s="139"/>
    </row>
    <row r="237" customHeight="1" spans="2:9">
      <c r="B237" s="140">
        <v>234</v>
      </c>
      <c r="C237" s="145"/>
      <c r="D237" s="145"/>
      <c r="E237" s="145"/>
      <c r="F237" s="138"/>
      <c r="G237" s="139"/>
      <c r="H237" s="139"/>
      <c r="I237" s="139"/>
    </row>
    <row r="238" customHeight="1" spans="2:9">
      <c r="B238" s="140">
        <v>235</v>
      </c>
      <c r="C238" s="145"/>
      <c r="D238" s="145"/>
      <c r="E238" s="145"/>
      <c r="F238" s="138"/>
      <c r="G238" s="139"/>
      <c r="H238" s="139"/>
      <c r="I238" s="139"/>
    </row>
    <row r="239" customHeight="1" spans="2:9">
      <c r="B239" s="140">
        <v>236</v>
      </c>
      <c r="C239" s="145"/>
      <c r="D239" s="145"/>
      <c r="E239" s="145"/>
      <c r="F239" s="138"/>
      <c r="G239" s="139"/>
      <c r="H239" s="139"/>
      <c r="I239" s="139"/>
    </row>
    <row r="240" customHeight="1" spans="2:9">
      <c r="B240" s="140">
        <v>237</v>
      </c>
      <c r="C240" s="145"/>
      <c r="D240" s="145"/>
      <c r="E240" s="145"/>
      <c r="F240" s="138"/>
      <c r="G240" s="139"/>
      <c r="H240" s="139"/>
      <c r="I240" s="139"/>
    </row>
    <row r="241" customHeight="1" spans="2:9">
      <c r="B241" s="140">
        <v>238</v>
      </c>
      <c r="C241" s="145"/>
      <c r="D241" s="145"/>
      <c r="E241" s="145"/>
      <c r="F241" s="138"/>
      <c r="G241" s="139"/>
      <c r="H241" s="139"/>
      <c r="I241" s="139"/>
    </row>
    <row r="242" customHeight="1" spans="2:9">
      <c r="B242" s="140">
        <v>239</v>
      </c>
      <c r="C242" s="145"/>
      <c r="D242" s="145"/>
      <c r="E242" s="145"/>
      <c r="F242" s="138"/>
      <c r="G242" s="139"/>
      <c r="H242" s="139"/>
      <c r="I242" s="139"/>
    </row>
    <row r="243" customHeight="1" spans="2:9">
      <c r="B243" s="140">
        <v>240</v>
      </c>
      <c r="C243" s="145"/>
      <c r="D243" s="145"/>
      <c r="E243" s="145"/>
      <c r="F243" s="138"/>
      <c r="G243" s="139"/>
      <c r="H243" s="139"/>
      <c r="I243" s="139"/>
    </row>
    <row r="244" customHeight="1" spans="2:9">
      <c r="B244" s="140">
        <v>241</v>
      </c>
      <c r="C244" s="145"/>
      <c r="D244" s="145"/>
      <c r="E244" s="145"/>
      <c r="F244" s="138"/>
      <c r="G244" s="139"/>
      <c r="H244" s="139"/>
      <c r="I244" s="139"/>
    </row>
    <row r="245" customHeight="1" spans="2:9">
      <c r="B245" s="140">
        <v>242</v>
      </c>
      <c r="C245" s="145"/>
      <c r="D245" s="145"/>
      <c r="E245" s="145"/>
      <c r="F245" s="138"/>
      <c r="G245" s="139"/>
      <c r="H245" s="139"/>
      <c r="I245" s="139"/>
    </row>
    <row r="246" customHeight="1" spans="2:9">
      <c r="B246" s="140">
        <v>243</v>
      </c>
      <c r="C246" s="145"/>
      <c r="D246" s="145"/>
      <c r="E246" s="145"/>
      <c r="F246" s="138"/>
      <c r="G246" s="139"/>
      <c r="H246" s="139"/>
      <c r="I246" s="139"/>
    </row>
    <row r="247" customHeight="1" spans="2:9">
      <c r="B247" s="140">
        <v>244</v>
      </c>
      <c r="C247" s="145"/>
      <c r="D247" s="145"/>
      <c r="E247" s="145"/>
      <c r="F247" s="138"/>
      <c r="G247" s="139"/>
      <c r="H247" s="139"/>
      <c r="I247" s="139"/>
    </row>
    <row r="248" customHeight="1" spans="2:9">
      <c r="B248" s="140">
        <v>245</v>
      </c>
      <c r="C248" s="145"/>
      <c r="D248" s="145"/>
      <c r="E248" s="145"/>
      <c r="F248" s="138"/>
      <c r="G248" s="139"/>
      <c r="H248" s="139"/>
      <c r="I248" s="139"/>
    </row>
    <row r="249" customHeight="1" spans="2:9">
      <c r="B249" s="140">
        <v>246</v>
      </c>
      <c r="C249" s="145"/>
      <c r="D249" s="145"/>
      <c r="E249" s="145"/>
      <c r="F249" s="138"/>
      <c r="G249" s="139"/>
      <c r="H249" s="139"/>
      <c r="I249" s="139"/>
    </row>
    <row r="250" customHeight="1" spans="2:9">
      <c r="B250" s="140">
        <v>247</v>
      </c>
      <c r="C250" s="145"/>
      <c r="D250" s="145"/>
      <c r="E250" s="145"/>
      <c r="F250" s="138"/>
      <c r="G250" s="139"/>
      <c r="H250" s="139"/>
      <c r="I250" s="139"/>
    </row>
    <row r="251" customHeight="1" spans="2:9">
      <c r="B251" s="140">
        <v>248</v>
      </c>
      <c r="C251" s="145"/>
      <c r="D251" s="145"/>
      <c r="E251" s="145"/>
      <c r="F251" s="138"/>
      <c r="G251" s="139"/>
      <c r="H251" s="139"/>
      <c r="I251" s="139"/>
    </row>
    <row r="252" customHeight="1" spans="2:9">
      <c r="B252" s="140">
        <v>249</v>
      </c>
      <c r="C252" s="145"/>
      <c r="D252" s="145"/>
      <c r="E252" s="145"/>
      <c r="F252" s="138"/>
      <c r="G252" s="139"/>
      <c r="H252" s="139"/>
      <c r="I252" s="139"/>
    </row>
    <row r="253" customHeight="1" spans="2:9">
      <c r="B253" s="140">
        <v>250</v>
      </c>
      <c r="C253" s="145"/>
      <c r="D253" s="145"/>
      <c r="E253" s="145"/>
      <c r="F253" s="138"/>
      <c r="G253" s="139"/>
      <c r="H253" s="139"/>
      <c r="I253" s="139"/>
    </row>
    <row r="254" customHeight="1" spans="2:9">
      <c r="B254" s="140">
        <v>251</v>
      </c>
      <c r="C254" s="145"/>
      <c r="D254" s="145"/>
      <c r="E254" s="145"/>
      <c r="F254" s="138"/>
      <c r="G254" s="139"/>
      <c r="H254" s="139"/>
      <c r="I254" s="139"/>
    </row>
    <row r="255" customHeight="1" spans="2:9">
      <c r="B255" s="140">
        <v>252</v>
      </c>
      <c r="C255" s="145"/>
      <c r="D255" s="145"/>
      <c r="E255" s="145"/>
      <c r="F255" s="138"/>
      <c r="G255" s="139"/>
      <c r="H255" s="139"/>
      <c r="I255" s="139"/>
    </row>
    <row r="256" customHeight="1" spans="2:9">
      <c r="B256" s="140">
        <v>253</v>
      </c>
      <c r="C256" s="145"/>
      <c r="D256" s="145"/>
      <c r="E256" s="145"/>
      <c r="F256" s="138"/>
      <c r="G256" s="139"/>
      <c r="H256" s="139"/>
      <c r="I256" s="139"/>
    </row>
    <row r="257" customHeight="1" spans="2:9">
      <c r="B257" s="140">
        <v>254</v>
      </c>
      <c r="C257" s="145"/>
      <c r="D257" s="145"/>
      <c r="E257" s="145"/>
      <c r="F257" s="138"/>
      <c r="G257" s="139"/>
      <c r="H257" s="139"/>
      <c r="I257" s="139"/>
    </row>
    <row r="258" customHeight="1" spans="2:9">
      <c r="B258" s="140">
        <v>255</v>
      </c>
      <c r="C258" s="145"/>
      <c r="D258" s="145"/>
      <c r="E258" s="145"/>
      <c r="F258" s="138"/>
      <c r="G258" s="139"/>
      <c r="H258" s="139"/>
      <c r="I258" s="139"/>
    </row>
    <row r="259" customHeight="1" spans="2:9">
      <c r="B259" s="140">
        <v>256</v>
      </c>
      <c r="C259" s="145"/>
      <c r="D259" s="145"/>
      <c r="E259" s="145"/>
      <c r="F259" s="138"/>
      <c r="G259" s="139"/>
      <c r="H259" s="139"/>
      <c r="I259" s="139"/>
    </row>
    <row r="260" customHeight="1" spans="2:9">
      <c r="B260" s="140">
        <v>257</v>
      </c>
      <c r="C260" s="145"/>
      <c r="D260" s="145"/>
      <c r="E260" s="145"/>
      <c r="F260" s="138"/>
      <c r="G260" s="139"/>
      <c r="H260" s="139"/>
      <c r="I260" s="139"/>
    </row>
    <row r="261" customHeight="1" spans="2:9">
      <c r="B261" s="140">
        <v>258</v>
      </c>
      <c r="C261" s="145"/>
      <c r="D261" s="145"/>
      <c r="E261" s="145"/>
      <c r="F261" s="138"/>
      <c r="G261" s="139"/>
      <c r="H261" s="139"/>
      <c r="I261" s="139"/>
    </row>
    <row r="262" customHeight="1" spans="2:9">
      <c r="B262" s="140">
        <v>259</v>
      </c>
      <c r="C262" s="145"/>
      <c r="D262" s="145"/>
      <c r="E262" s="145"/>
      <c r="F262" s="138"/>
      <c r="G262" s="139"/>
      <c r="H262" s="139"/>
      <c r="I262" s="139"/>
    </row>
    <row r="263" customHeight="1" spans="2:9">
      <c r="B263" s="140">
        <v>260</v>
      </c>
      <c r="C263" s="145"/>
      <c r="D263" s="145"/>
      <c r="E263" s="145"/>
      <c r="F263" s="138"/>
      <c r="G263" s="139"/>
      <c r="H263" s="139"/>
      <c r="I263" s="139"/>
    </row>
    <row r="264" customHeight="1" spans="2:9">
      <c r="B264" s="140">
        <v>261</v>
      </c>
      <c r="C264" s="145"/>
      <c r="D264" s="145"/>
      <c r="E264" s="145"/>
      <c r="F264" s="138"/>
      <c r="G264" s="139"/>
      <c r="H264" s="139"/>
      <c r="I264" s="139"/>
    </row>
    <row r="265" customHeight="1" spans="2:9">
      <c r="B265" s="140">
        <v>262</v>
      </c>
      <c r="C265" s="145"/>
      <c r="D265" s="145"/>
      <c r="E265" s="145"/>
      <c r="F265" s="138"/>
      <c r="G265" s="139"/>
      <c r="H265" s="139"/>
      <c r="I265" s="139"/>
    </row>
    <row r="266" customHeight="1" spans="2:9">
      <c r="B266" s="140">
        <v>263</v>
      </c>
      <c r="C266" s="145"/>
      <c r="D266" s="145"/>
      <c r="E266" s="145"/>
      <c r="F266" s="138"/>
      <c r="G266" s="139"/>
      <c r="H266" s="139"/>
      <c r="I266" s="139"/>
    </row>
    <row r="267" customHeight="1" spans="2:9">
      <c r="B267" s="140">
        <v>264</v>
      </c>
      <c r="C267" s="145"/>
      <c r="D267" s="145"/>
      <c r="E267" s="145"/>
      <c r="F267" s="138"/>
      <c r="G267" s="139"/>
      <c r="H267" s="139"/>
      <c r="I267" s="139"/>
    </row>
    <row r="268" customHeight="1" spans="2:9">
      <c r="B268" s="140">
        <v>265</v>
      </c>
      <c r="C268" s="145"/>
      <c r="D268" s="145"/>
      <c r="E268" s="145"/>
      <c r="F268" s="138"/>
      <c r="G268" s="139"/>
      <c r="H268" s="139"/>
      <c r="I268" s="139"/>
    </row>
    <row r="269" customHeight="1" spans="2:9">
      <c r="B269" s="140">
        <v>266</v>
      </c>
      <c r="C269" s="145"/>
      <c r="D269" s="145"/>
      <c r="E269" s="145"/>
      <c r="F269" s="138"/>
      <c r="G269" s="139"/>
      <c r="H269" s="139"/>
      <c r="I269" s="139"/>
    </row>
    <row r="270" customHeight="1" spans="2:9">
      <c r="B270" s="140">
        <v>267</v>
      </c>
      <c r="C270" s="145"/>
      <c r="D270" s="145"/>
      <c r="E270" s="145"/>
      <c r="F270" s="138"/>
      <c r="G270" s="139"/>
      <c r="H270" s="139"/>
      <c r="I270" s="139"/>
    </row>
    <row r="271" customHeight="1" spans="2:9">
      <c r="B271" s="140">
        <v>268</v>
      </c>
      <c r="C271" s="145"/>
      <c r="D271" s="145"/>
      <c r="E271" s="145"/>
      <c r="F271" s="138"/>
      <c r="G271" s="139"/>
      <c r="H271" s="139"/>
      <c r="I271" s="139"/>
    </row>
    <row r="272" customHeight="1" spans="2:9">
      <c r="B272" s="140">
        <v>269</v>
      </c>
      <c r="C272" s="145"/>
      <c r="D272" s="145"/>
      <c r="E272" s="145"/>
      <c r="F272" s="138"/>
      <c r="G272" s="139"/>
      <c r="H272" s="139"/>
      <c r="I272" s="139"/>
    </row>
    <row r="273" customHeight="1" spans="2:9">
      <c r="B273" s="140">
        <v>270</v>
      </c>
      <c r="C273" s="145"/>
      <c r="D273" s="145"/>
      <c r="E273" s="145"/>
      <c r="F273" s="138"/>
      <c r="G273" s="139"/>
      <c r="H273" s="139"/>
      <c r="I273" s="139"/>
    </row>
    <row r="274" customHeight="1" spans="2:9">
      <c r="B274" s="140">
        <v>271</v>
      </c>
      <c r="C274" s="145"/>
      <c r="D274" s="145"/>
      <c r="E274" s="145"/>
      <c r="F274" s="138"/>
      <c r="G274" s="139"/>
      <c r="H274" s="139"/>
      <c r="I274" s="139"/>
    </row>
    <row r="275" customHeight="1" spans="2:9">
      <c r="B275" s="140">
        <v>272</v>
      </c>
      <c r="C275" s="145"/>
      <c r="D275" s="145"/>
      <c r="E275" s="145"/>
      <c r="F275" s="138"/>
      <c r="G275" s="139"/>
      <c r="H275" s="139"/>
      <c r="I275" s="139"/>
    </row>
    <row r="276" customHeight="1" spans="2:9">
      <c r="B276" s="140">
        <v>273</v>
      </c>
      <c r="C276" s="145"/>
      <c r="D276" s="145"/>
      <c r="E276" s="145"/>
      <c r="F276" s="138"/>
      <c r="G276" s="139"/>
      <c r="H276" s="139"/>
      <c r="I276" s="139"/>
    </row>
    <row r="277" customHeight="1" spans="2:9">
      <c r="B277" s="140">
        <v>274</v>
      </c>
      <c r="C277" s="145"/>
      <c r="D277" s="145"/>
      <c r="E277" s="145"/>
      <c r="F277" s="138"/>
      <c r="G277" s="139"/>
      <c r="H277" s="139"/>
      <c r="I277" s="139"/>
    </row>
    <row r="278" customHeight="1" spans="2:9">
      <c r="B278" s="140">
        <v>275</v>
      </c>
      <c r="C278" s="145"/>
      <c r="D278" s="145"/>
      <c r="E278" s="145"/>
      <c r="F278" s="138"/>
      <c r="G278" s="139"/>
      <c r="H278" s="139"/>
      <c r="I278" s="139"/>
    </row>
    <row r="279" customHeight="1" spans="2:9">
      <c r="B279" s="140">
        <v>276</v>
      </c>
      <c r="C279" s="145"/>
      <c r="D279" s="145"/>
      <c r="E279" s="145"/>
      <c r="F279" s="138"/>
      <c r="G279" s="139"/>
      <c r="H279" s="139"/>
      <c r="I279" s="139"/>
    </row>
    <row r="280" customHeight="1" spans="2:9">
      <c r="B280" s="140">
        <v>277</v>
      </c>
      <c r="C280" s="145"/>
      <c r="D280" s="145"/>
      <c r="E280" s="145"/>
      <c r="F280" s="138"/>
      <c r="G280" s="139"/>
      <c r="H280" s="139"/>
      <c r="I280" s="139"/>
    </row>
    <row r="281" customHeight="1" spans="2:9">
      <c r="B281" s="140">
        <v>278</v>
      </c>
      <c r="C281" s="145"/>
      <c r="D281" s="145"/>
      <c r="E281" s="145"/>
      <c r="F281" s="138"/>
      <c r="G281" s="139"/>
      <c r="H281" s="139"/>
      <c r="I281" s="139"/>
    </row>
    <row r="282" customHeight="1" spans="2:9">
      <c r="B282" s="140">
        <v>279</v>
      </c>
      <c r="C282" s="145"/>
      <c r="D282" s="145"/>
      <c r="E282" s="145"/>
      <c r="F282" s="138"/>
      <c r="G282" s="139"/>
      <c r="H282" s="139"/>
      <c r="I282" s="139"/>
    </row>
    <row r="283" customHeight="1" spans="2:9">
      <c r="B283" s="140">
        <v>280</v>
      </c>
      <c r="C283" s="145"/>
      <c r="D283" s="145"/>
      <c r="E283" s="145"/>
      <c r="F283" s="138"/>
      <c r="G283" s="139"/>
      <c r="H283" s="139"/>
      <c r="I283" s="139"/>
    </row>
    <row r="284" customHeight="1" spans="2:9">
      <c r="B284" s="140">
        <v>281</v>
      </c>
      <c r="C284" s="145"/>
      <c r="D284" s="145"/>
      <c r="E284" s="145"/>
      <c r="F284" s="138"/>
      <c r="G284" s="139"/>
      <c r="H284" s="139"/>
      <c r="I284" s="139"/>
    </row>
    <row r="285" customHeight="1" spans="2:9">
      <c r="B285" s="140">
        <v>282</v>
      </c>
      <c r="C285" s="145"/>
      <c r="D285" s="145"/>
      <c r="E285" s="145"/>
      <c r="F285" s="138"/>
      <c r="G285" s="139"/>
      <c r="H285" s="139"/>
      <c r="I285" s="139"/>
    </row>
    <row r="286" customHeight="1" spans="2:9">
      <c r="B286" s="140">
        <v>283</v>
      </c>
      <c r="C286" s="145"/>
      <c r="D286" s="145"/>
      <c r="E286" s="145"/>
      <c r="F286" s="138"/>
      <c r="G286" s="139"/>
      <c r="H286" s="139"/>
      <c r="I286" s="139"/>
    </row>
    <row r="287" customHeight="1" spans="2:9">
      <c r="B287" s="140">
        <v>284</v>
      </c>
      <c r="C287" s="145"/>
      <c r="D287" s="145"/>
      <c r="E287" s="145"/>
      <c r="F287" s="138"/>
      <c r="G287" s="139"/>
      <c r="H287" s="139"/>
      <c r="I287" s="139"/>
    </row>
    <row r="288" customHeight="1" spans="2:9">
      <c r="B288" s="140">
        <v>285</v>
      </c>
      <c r="C288" s="145"/>
      <c r="D288" s="145"/>
      <c r="E288" s="145"/>
      <c r="F288" s="138"/>
      <c r="G288" s="139"/>
      <c r="H288" s="139"/>
      <c r="I288" s="139"/>
    </row>
    <row r="289" customHeight="1" spans="2:9">
      <c r="B289" s="140">
        <v>286</v>
      </c>
      <c r="C289" s="145"/>
      <c r="D289" s="145"/>
      <c r="E289" s="145"/>
      <c r="F289" s="138"/>
      <c r="G289" s="139"/>
      <c r="H289" s="139"/>
      <c r="I289" s="139"/>
    </row>
    <row r="290" customHeight="1" spans="2:9">
      <c r="B290" s="140">
        <v>287</v>
      </c>
      <c r="C290" s="145"/>
      <c r="D290" s="145"/>
      <c r="E290" s="145"/>
      <c r="F290" s="138"/>
      <c r="G290" s="139"/>
      <c r="H290" s="139"/>
      <c r="I290" s="139"/>
    </row>
    <row r="291" customHeight="1" spans="2:9">
      <c r="B291" s="140">
        <v>288</v>
      </c>
      <c r="C291" s="145"/>
      <c r="D291" s="145"/>
      <c r="E291" s="145"/>
      <c r="F291" s="138"/>
      <c r="G291" s="139"/>
      <c r="H291" s="139"/>
      <c r="I291" s="139"/>
    </row>
    <row r="292" customHeight="1" spans="2:9">
      <c r="B292" s="140">
        <v>289</v>
      </c>
      <c r="C292" s="145"/>
      <c r="D292" s="145"/>
      <c r="E292" s="145"/>
      <c r="F292" s="138"/>
      <c r="G292" s="139"/>
      <c r="H292" s="139"/>
      <c r="I292" s="139"/>
    </row>
    <row r="293" customHeight="1" spans="2:9">
      <c r="B293" s="140">
        <v>290</v>
      </c>
      <c r="C293" s="145"/>
      <c r="D293" s="145"/>
      <c r="E293" s="145"/>
      <c r="F293" s="138"/>
      <c r="G293" s="139"/>
      <c r="H293" s="139"/>
      <c r="I293" s="139"/>
    </row>
    <row r="294" customHeight="1" spans="2:9">
      <c r="B294" s="140">
        <v>291</v>
      </c>
      <c r="C294" s="145"/>
      <c r="D294" s="145"/>
      <c r="E294" s="145"/>
      <c r="F294" s="138"/>
      <c r="G294" s="139"/>
      <c r="H294" s="139"/>
      <c r="I294" s="139"/>
    </row>
    <row r="295" customHeight="1" spans="2:9">
      <c r="B295" s="140">
        <v>292</v>
      </c>
      <c r="C295" s="145"/>
      <c r="D295" s="145"/>
      <c r="E295" s="145"/>
      <c r="F295" s="138"/>
      <c r="G295" s="139"/>
      <c r="H295" s="139"/>
      <c r="I295" s="139"/>
    </row>
    <row r="296" customHeight="1" spans="2:9">
      <c r="B296" s="140">
        <v>293</v>
      </c>
      <c r="C296" s="145"/>
      <c r="D296" s="145"/>
      <c r="E296" s="145"/>
      <c r="F296" s="138"/>
      <c r="G296" s="139"/>
      <c r="H296" s="139"/>
      <c r="I296" s="139"/>
    </row>
    <row r="297" customHeight="1" spans="2:9">
      <c r="B297" s="140">
        <v>294</v>
      </c>
      <c r="C297" s="145"/>
      <c r="D297" s="145"/>
      <c r="E297" s="145"/>
      <c r="F297" s="138"/>
      <c r="G297" s="139"/>
      <c r="H297" s="139"/>
      <c r="I297" s="139"/>
    </row>
    <row r="298" customHeight="1" spans="2:9">
      <c r="B298" s="140">
        <v>295</v>
      </c>
      <c r="C298" s="145"/>
      <c r="D298" s="145"/>
      <c r="E298" s="145"/>
      <c r="F298" s="138"/>
      <c r="G298" s="139"/>
      <c r="H298" s="139"/>
      <c r="I298" s="139"/>
    </row>
    <row r="299" customHeight="1" spans="2:9">
      <c r="B299" s="140">
        <v>296</v>
      </c>
      <c r="C299" s="145"/>
      <c r="D299" s="145"/>
      <c r="E299" s="145"/>
      <c r="F299" s="138"/>
      <c r="G299" s="139"/>
      <c r="H299" s="139"/>
      <c r="I299" s="139"/>
    </row>
    <row r="300" customHeight="1" spans="2:9">
      <c r="B300" s="140">
        <v>297</v>
      </c>
      <c r="C300" s="145"/>
      <c r="D300" s="145"/>
      <c r="E300" s="145"/>
      <c r="F300" s="138"/>
      <c r="G300" s="139"/>
      <c r="H300" s="139"/>
      <c r="I300" s="139"/>
    </row>
    <row r="301" customHeight="1" spans="2:9">
      <c r="B301" s="140">
        <v>298</v>
      </c>
      <c r="C301" s="145"/>
      <c r="D301" s="145"/>
      <c r="E301" s="145"/>
      <c r="F301" s="138"/>
      <c r="G301" s="139"/>
      <c r="H301" s="139"/>
      <c r="I301" s="139"/>
    </row>
    <row r="302" customHeight="1" spans="2:9">
      <c r="B302" s="140">
        <v>299</v>
      </c>
      <c r="C302" s="145"/>
      <c r="D302" s="145"/>
      <c r="E302" s="145"/>
      <c r="F302" s="138"/>
      <c r="G302" s="139"/>
      <c r="H302" s="139"/>
      <c r="I302" s="139"/>
    </row>
    <row r="303" customHeight="1" spans="2:9">
      <c r="B303" s="140">
        <v>300</v>
      </c>
      <c r="C303" s="145"/>
      <c r="D303" s="145"/>
      <c r="E303" s="145"/>
      <c r="F303" s="138"/>
      <c r="G303" s="139"/>
      <c r="H303" s="139"/>
      <c r="I303" s="139"/>
    </row>
  </sheetData>
  <mergeCells count="2">
    <mergeCell ref="B2:E2"/>
    <mergeCell ref="G5:I5"/>
  </mergeCells>
  <conditionalFormatting sqref="H7:H16">
    <cfRule type="duplicateValues" dxfId="0" priority="1"/>
  </conditionalFormatting>
  <dataValidations count="3">
    <dataValidation type="custom" allowBlank="1" showErrorMessage="1" errorTitle="拒绝重复输入" error="当前输入的内容，与本区域的其他单元格内容重复。" sqref="C13 C62:C303" errorStyle="warning">
      <formula1>COUNTIF($C$4:$C$303,C13)&lt;2</formula1>
    </dataValidation>
    <dataValidation type="list" allowBlank="1" showInputMessage="1" showErrorMessage="1" sqref="D62">
      <formula1>$D$62:$D$72</formula1>
    </dataValidation>
    <dataValidation type="list" allowBlank="1" showInputMessage="1" showErrorMessage="1" sqref="D4:D61 D63:D303">
      <formula1>$H$7:$H$36</formula1>
    </dataValidation>
  </dataValidations>
  <pageMargins left="0.699305555555556" right="0.699305555555556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990"/>
  <sheetViews>
    <sheetView showGridLines="0" workbookViewId="0">
      <pane ySplit="3" topLeftCell="A143" activePane="bottomLeft" state="frozen"/>
      <selection/>
      <selection pane="bottomLeft" activeCell="A1" sqref="A1"/>
    </sheetView>
  </sheetViews>
  <sheetFormatPr defaultColWidth="9" defaultRowHeight="18.95" customHeight="1"/>
  <cols>
    <col min="1" max="1" width="1.56363636363636" style="9" customWidth="1"/>
    <col min="2" max="2" width="6.28181818181818" style="129" customWidth="1"/>
    <col min="3" max="3" width="11.8545454545455" style="129" customWidth="1"/>
    <col min="4" max="4" width="7.70909090909091" style="129" customWidth="1"/>
    <col min="5" max="5" width="23" style="129" customWidth="1"/>
    <col min="6" max="6" width="5.70909090909091" style="130" customWidth="1"/>
    <col min="7" max="7" width="7.85454545454545" style="129" customWidth="1"/>
    <col min="8" max="8" width="9.56363636363636" style="131" customWidth="1"/>
    <col min="9" max="9" width="5.70909090909091" style="130" customWidth="1"/>
    <col min="10" max="10" width="10.8545454545455" style="131" customWidth="1"/>
    <col min="11" max="11" width="5.70909090909091" style="129" customWidth="1"/>
    <col min="12" max="12" width="7.70909090909091" style="9" customWidth="1"/>
    <col min="13" max="13" width="7.70909090909091" customWidth="1"/>
    <col min="14" max="14" width="3.5" customWidth="1"/>
  </cols>
  <sheetData>
    <row r="1" ht="9" customHeight="1"/>
    <row r="2" ht="24" customHeight="1" spans="2:16">
      <c r="B2" s="123" t="s">
        <v>348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O2" s="132" t="s">
        <v>349</v>
      </c>
      <c r="P2" s="132" t="s">
        <v>350</v>
      </c>
    </row>
    <row r="3" customHeight="1" spans="2:16">
      <c r="B3" s="59" t="s">
        <v>3</v>
      </c>
      <c r="C3" s="59" t="s">
        <v>351</v>
      </c>
      <c r="D3" s="59" t="s">
        <v>352</v>
      </c>
      <c r="E3" s="59" t="s">
        <v>4</v>
      </c>
      <c r="F3" s="59" t="s">
        <v>5</v>
      </c>
      <c r="G3" s="59" t="s">
        <v>6</v>
      </c>
      <c r="H3" s="133" t="s">
        <v>7</v>
      </c>
      <c r="I3" s="59" t="s">
        <v>353</v>
      </c>
      <c r="J3" s="133" t="s">
        <v>354</v>
      </c>
      <c r="K3" s="59" t="s">
        <v>8</v>
      </c>
      <c r="L3" s="59" t="s">
        <v>355</v>
      </c>
      <c r="M3" s="59" t="s">
        <v>356</v>
      </c>
      <c r="O3" s="134">
        <f>SUM(I:I)</f>
        <v>3307.3</v>
      </c>
      <c r="P3" s="134">
        <f>SUM(J:J)</f>
        <v>31752.9</v>
      </c>
    </row>
    <row r="4" customHeight="1" spans="2:16">
      <c r="B4" s="59">
        <v>1</v>
      </c>
      <c r="C4" s="125">
        <v>44862</v>
      </c>
      <c r="D4" s="87" t="s">
        <v>288</v>
      </c>
      <c r="E4" s="87" t="s">
        <v>130</v>
      </c>
      <c r="F4" s="60" t="str">
        <f>IFERROR(VLOOKUP($E4,'基础-办公用品信息'!$C:$E,2,FALSE),"-")</f>
        <v>提</v>
      </c>
      <c r="G4" s="60">
        <f>IFERROR(VLOOKUP($E4,'基础-办公用品信息'!$C:$E,3,FALSE),"-")</f>
        <v>0</v>
      </c>
      <c r="H4" s="126">
        <f>IFERROR(VLOOKUP($E4,'基础-办公用品信息'!$C:$F,4,FALSE),"-")</f>
        <v>11.5</v>
      </c>
      <c r="I4" s="87">
        <v>12</v>
      </c>
      <c r="J4" s="61">
        <f t="shared" ref="J4:J12" si="0">IF(AND(H4&lt;&gt;"",I4&lt;&gt;""),H4*I4,"-")</f>
        <v>138</v>
      </c>
      <c r="K4" s="126"/>
      <c r="L4" s="60">
        <f t="shared" ref="L4:L12" si="1">YEAR(C4)</f>
        <v>2022</v>
      </c>
      <c r="M4" s="60">
        <f t="shared" ref="M4:M12" si="2">MONTH(C4)</f>
        <v>10</v>
      </c>
    </row>
    <row r="5" customHeight="1" spans="2:16">
      <c r="B5" s="59">
        <v>2</v>
      </c>
      <c r="C5" s="125">
        <v>44862</v>
      </c>
      <c r="D5" s="87" t="s">
        <v>288</v>
      </c>
      <c r="E5" s="87" t="s">
        <v>132</v>
      </c>
      <c r="F5" s="60" t="str">
        <f>IFERROR(VLOOKUP($E5,'基础-办公用品信息'!$C:$E,2,FALSE),"-")</f>
        <v>盒</v>
      </c>
      <c r="G5" s="60">
        <f>IFERROR(VLOOKUP($E5,'基础-办公用品信息'!$C:$E,3,FALSE),"-")</f>
        <v>0</v>
      </c>
      <c r="H5" s="126">
        <f>IFERROR(VLOOKUP($E5,'基础-办公用品信息'!$C:$F,4,FALSE),"-")</f>
        <v>5.3</v>
      </c>
      <c r="I5" s="87">
        <v>72</v>
      </c>
      <c r="J5" s="61">
        <f t="shared" si="0"/>
        <v>381.6</v>
      </c>
      <c r="K5" s="126"/>
      <c r="L5" s="60">
        <f t="shared" si="1"/>
        <v>2022</v>
      </c>
      <c r="M5" s="60">
        <f t="shared" si="2"/>
        <v>10</v>
      </c>
    </row>
    <row r="6" customHeight="1" spans="2:16">
      <c r="B6" s="59">
        <v>3</v>
      </c>
      <c r="C6" s="125">
        <v>44866</v>
      </c>
      <c r="D6" s="87" t="s">
        <v>270</v>
      </c>
      <c r="E6" s="87" t="s">
        <v>163</v>
      </c>
      <c r="F6" s="60" t="s">
        <v>128</v>
      </c>
      <c r="G6" s="60"/>
      <c r="H6" s="126">
        <v>22</v>
      </c>
      <c r="I6" s="87">
        <v>5</v>
      </c>
      <c r="J6" s="61">
        <f t="shared" si="0"/>
        <v>110</v>
      </c>
      <c r="K6" s="126"/>
      <c r="L6" s="60">
        <f t="shared" si="1"/>
        <v>2022</v>
      </c>
      <c r="M6" s="60">
        <f t="shared" si="2"/>
        <v>11</v>
      </c>
    </row>
    <row r="7" customHeight="1" spans="2:16">
      <c r="B7" s="59">
        <v>4</v>
      </c>
      <c r="C7" s="125">
        <v>44866</v>
      </c>
      <c r="D7" s="87" t="s">
        <v>270</v>
      </c>
      <c r="E7" s="87" t="s">
        <v>164</v>
      </c>
      <c r="F7" s="60" t="s">
        <v>90</v>
      </c>
      <c r="G7" s="60"/>
      <c r="H7" s="126">
        <v>1.9</v>
      </c>
      <c r="I7" s="87">
        <v>10</v>
      </c>
      <c r="J7" s="61">
        <f t="shared" si="0"/>
        <v>19</v>
      </c>
      <c r="K7" s="126"/>
      <c r="L7" s="60">
        <f t="shared" si="1"/>
        <v>2022</v>
      </c>
      <c r="M7" s="60">
        <f t="shared" si="2"/>
        <v>11</v>
      </c>
    </row>
    <row r="8" customHeight="1" spans="2:16">
      <c r="B8" s="59">
        <v>5</v>
      </c>
      <c r="C8" s="125">
        <v>44866</v>
      </c>
      <c r="D8" s="87" t="s">
        <v>270</v>
      </c>
      <c r="E8" s="87" t="s">
        <v>168</v>
      </c>
      <c r="F8" s="60" t="s">
        <v>357</v>
      </c>
      <c r="G8" s="60"/>
      <c r="H8" s="126">
        <v>15</v>
      </c>
      <c r="I8" s="87">
        <v>15</v>
      </c>
      <c r="J8" s="61">
        <f t="shared" si="0"/>
        <v>225</v>
      </c>
      <c r="K8" s="126"/>
      <c r="L8" s="60">
        <f t="shared" si="1"/>
        <v>2022</v>
      </c>
      <c r="M8" s="60">
        <f t="shared" si="2"/>
        <v>11</v>
      </c>
    </row>
    <row r="9" customHeight="1" spans="2:16">
      <c r="B9" s="59">
        <v>6</v>
      </c>
      <c r="C9" s="125">
        <v>44866</v>
      </c>
      <c r="D9" s="87" t="s">
        <v>270</v>
      </c>
      <c r="E9" s="87" t="s">
        <v>167</v>
      </c>
      <c r="F9" s="60" t="s">
        <v>128</v>
      </c>
      <c r="G9" s="60"/>
      <c r="H9" s="126">
        <v>9</v>
      </c>
      <c r="I9" s="87">
        <v>9</v>
      </c>
      <c r="J9" s="61">
        <f t="shared" si="0"/>
        <v>81</v>
      </c>
      <c r="K9" s="126"/>
      <c r="L9" s="60">
        <f t="shared" si="1"/>
        <v>2022</v>
      </c>
      <c r="M9" s="60">
        <f t="shared" si="2"/>
        <v>11</v>
      </c>
    </row>
    <row r="10" customHeight="1" spans="2:16">
      <c r="B10" s="59">
        <v>7</v>
      </c>
      <c r="C10" s="125">
        <v>44866</v>
      </c>
      <c r="D10" s="87" t="s">
        <v>270</v>
      </c>
      <c r="E10" s="87" t="s">
        <v>165</v>
      </c>
      <c r="F10" s="60" t="s">
        <v>166</v>
      </c>
      <c r="G10" s="60"/>
      <c r="H10" s="126">
        <v>9</v>
      </c>
      <c r="I10" s="87">
        <v>9</v>
      </c>
      <c r="J10" s="61">
        <f t="shared" si="0"/>
        <v>81</v>
      </c>
      <c r="K10" s="126"/>
      <c r="L10" s="60">
        <f t="shared" si="1"/>
        <v>2022</v>
      </c>
      <c r="M10" s="60">
        <f t="shared" si="2"/>
        <v>11</v>
      </c>
    </row>
    <row r="11" customHeight="1" spans="2:16">
      <c r="B11" s="59">
        <v>8</v>
      </c>
      <c r="C11" s="125">
        <v>44866</v>
      </c>
      <c r="D11" s="87" t="s">
        <v>270</v>
      </c>
      <c r="E11" s="87" t="s">
        <v>176</v>
      </c>
      <c r="F11" s="60" t="s">
        <v>24</v>
      </c>
      <c r="G11" s="60"/>
      <c r="H11" s="126">
        <v>8</v>
      </c>
      <c r="I11" s="87">
        <v>2</v>
      </c>
      <c r="J11" s="61">
        <f t="shared" si="0"/>
        <v>16</v>
      </c>
      <c r="K11" s="126"/>
      <c r="L11" s="60">
        <f t="shared" si="1"/>
        <v>2022</v>
      </c>
      <c r="M11" s="60">
        <f t="shared" si="2"/>
        <v>11</v>
      </c>
    </row>
    <row r="12" customHeight="1" spans="2:16">
      <c r="B12" s="59">
        <v>9</v>
      </c>
      <c r="C12" s="125">
        <v>44866</v>
      </c>
      <c r="D12" s="87" t="s">
        <v>270</v>
      </c>
      <c r="E12" s="87" t="s">
        <v>169</v>
      </c>
      <c r="F12" s="60" t="s">
        <v>128</v>
      </c>
      <c r="G12" s="60"/>
      <c r="H12" s="126">
        <v>2.5</v>
      </c>
      <c r="I12" s="87">
        <v>2</v>
      </c>
      <c r="J12" s="61">
        <f t="shared" si="0"/>
        <v>5</v>
      </c>
      <c r="K12" s="126"/>
      <c r="L12" s="60">
        <f t="shared" si="1"/>
        <v>2022</v>
      </c>
      <c r="M12" s="60">
        <f t="shared" si="2"/>
        <v>11</v>
      </c>
    </row>
    <row r="13" customHeight="1" spans="2:16">
      <c r="B13" s="59">
        <v>10</v>
      </c>
      <c r="C13" s="125">
        <v>44881</v>
      </c>
      <c r="D13" s="87" t="s">
        <v>286</v>
      </c>
      <c r="E13" s="87" t="s">
        <v>103</v>
      </c>
      <c r="F13" s="60" t="s">
        <v>17</v>
      </c>
      <c r="G13" s="60"/>
      <c r="H13" s="126">
        <v>0.6</v>
      </c>
      <c r="I13" s="87">
        <v>100</v>
      </c>
      <c r="J13" s="61">
        <f t="shared" ref="J13:J54" si="3">IF(AND(H13&lt;&gt;"",I13&lt;&gt;""),H13*I13,"-")</f>
        <v>60</v>
      </c>
      <c r="K13" s="87"/>
      <c r="L13" s="60">
        <f t="shared" ref="L13:L54" si="4">YEAR(C13)</f>
        <v>2022</v>
      </c>
      <c r="M13" s="60">
        <f t="shared" ref="M13:M54" si="5">MONTH(C13)</f>
        <v>11</v>
      </c>
    </row>
    <row r="14" customHeight="1" spans="2:16">
      <c r="B14" s="59">
        <v>11</v>
      </c>
      <c r="C14" s="125">
        <v>44881</v>
      </c>
      <c r="D14" s="87" t="s">
        <v>286</v>
      </c>
      <c r="E14" s="87" t="s">
        <v>54</v>
      </c>
      <c r="F14" s="60" t="s">
        <v>24</v>
      </c>
      <c r="G14" s="60"/>
      <c r="H14" s="126">
        <v>20</v>
      </c>
      <c r="I14" s="87">
        <v>5</v>
      </c>
      <c r="J14" s="61">
        <f t="shared" si="3"/>
        <v>100</v>
      </c>
      <c r="K14" s="87"/>
      <c r="L14" s="60">
        <f t="shared" si="4"/>
        <v>2022</v>
      </c>
      <c r="M14" s="60">
        <f t="shared" si="5"/>
        <v>11</v>
      </c>
    </row>
    <row r="15" customHeight="1" spans="2:16">
      <c r="B15" s="59">
        <v>12</v>
      </c>
      <c r="C15" s="125">
        <v>44881</v>
      </c>
      <c r="D15" s="87" t="s">
        <v>286</v>
      </c>
      <c r="E15" s="87" t="s">
        <v>70</v>
      </c>
      <c r="F15" s="60" t="s">
        <v>58</v>
      </c>
      <c r="G15" s="60"/>
      <c r="H15" s="126">
        <v>2</v>
      </c>
      <c r="I15" s="87">
        <v>10</v>
      </c>
      <c r="J15" s="61">
        <f t="shared" si="3"/>
        <v>20</v>
      </c>
      <c r="K15" s="87"/>
      <c r="L15" s="60">
        <f t="shared" si="4"/>
        <v>2022</v>
      </c>
      <c r="M15" s="60">
        <f t="shared" si="5"/>
        <v>11</v>
      </c>
    </row>
    <row r="16" customHeight="1" spans="2:16">
      <c r="B16" s="59">
        <v>13</v>
      </c>
      <c r="C16" s="125">
        <v>44881</v>
      </c>
      <c r="D16" s="87" t="s">
        <v>286</v>
      </c>
      <c r="E16" s="87" t="s">
        <v>78</v>
      </c>
      <c r="F16" s="60" t="s">
        <v>358</v>
      </c>
      <c r="G16" s="60"/>
      <c r="H16" s="126">
        <v>2.6</v>
      </c>
      <c r="I16" s="87">
        <v>50</v>
      </c>
      <c r="J16" s="61">
        <f t="shared" si="3"/>
        <v>130</v>
      </c>
      <c r="K16" s="87"/>
      <c r="L16" s="60">
        <f t="shared" si="4"/>
        <v>2022</v>
      </c>
      <c r="M16" s="60">
        <f t="shared" si="5"/>
        <v>11</v>
      </c>
    </row>
    <row r="17" customHeight="1" spans="2:13">
      <c r="B17" s="59">
        <v>14</v>
      </c>
      <c r="C17" s="125">
        <v>44881</v>
      </c>
      <c r="D17" s="87" t="s">
        <v>286</v>
      </c>
      <c r="E17" s="87" t="s">
        <v>74</v>
      </c>
      <c r="F17" s="60" t="s">
        <v>358</v>
      </c>
      <c r="G17" s="60"/>
      <c r="H17" s="126">
        <v>2.2</v>
      </c>
      <c r="I17" s="87">
        <v>60</v>
      </c>
      <c r="J17" s="61">
        <f t="shared" ref="J17:J43" si="6">IF(AND(H17&lt;&gt;"",I17&lt;&gt;""),H17*I17,"-")</f>
        <v>132</v>
      </c>
      <c r="K17" s="87"/>
      <c r="L17" s="60">
        <f t="shared" si="4"/>
        <v>2022</v>
      </c>
      <c r="M17" s="60">
        <f t="shared" si="5"/>
        <v>11</v>
      </c>
    </row>
    <row r="18" customHeight="1" spans="2:13">
      <c r="B18" s="59">
        <v>15</v>
      </c>
      <c r="C18" s="125">
        <v>44881</v>
      </c>
      <c r="D18" s="87" t="s">
        <v>286</v>
      </c>
      <c r="E18" s="87" t="s">
        <v>79</v>
      </c>
      <c r="F18" s="60" t="s">
        <v>50</v>
      </c>
      <c r="G18" s="60"/>
      <c r="H18" s="126">
        <v>11</v>
      </c>
      <c r="I18" s="87">
        <v>5</v>
      </c>
      <c r="J18" s="61">
        <f t="shared" si="6"/>
        <v>55</v>
      </c>
      <c r="K18" s="87"/>
      <c r="L18" s="60">
        <f t="shared" si="4"/>
        <v>2022</v>
      </c>
      <c r="M18" s="60">
        <f t="shared" si="5"/>
        <v>11</v>
      </c>
    </row>
    <row r="19" customHeight="1" spans="2:13">
      <c r="B19" s="59">
        <v>16</v>
      </c>
      <c r="C19" s="125">
        <v>44881</v>
      </c>
      <c r="D19" s="87" t="s">
        <v>286</v>
      </c>
      <c r="E19" s="87" t="s">
        <v>80</v>
      </c>
      <c r="F19" s="60" t="s">
        <v>50</v>
      </c>
      <c r="G19" s="60"/>
      <c r="H19" s="126">
        <v>13</v>
      </c>
      <c r="I19" s="87">
        <v>5</v>
      </c>
      <c r="J19" s="61">
        <f t="shared" si="6"/>
        <v>65</v>
      </c>
      <c r="K19" s="87"/>
      <c r="L19" s="60">
        <f t="shared" si="4"/>
        <v>2022</v>
      </c>
      <c r="M19" s="60">
        <f t="shared" si="5"/>
        <v>11</v>
      </c>
    </row>
    <row r="20" customHeight="1" spans="2:13">
      <c r="B20" s="59">
        <v>17</v>
      </c>
      <c r="C20" s="125">
        <v>44881</v>
      </c>
      <c r="D20" s="87" t="s">
        <v>286</v>
      </c>
      <c r="E20" s="87" t="s">
        <v>81</v>
      </c>
      <c r="F20" s="60" t="s">
        <v>50</v>
      </c>
      <c r="G20" s="60"/>
      <c r="H20" s="126">
        <v>13</v>
      </c>
      <c r="I20" s="87">
        <v>5</v>
      </c>
      <c r="J20" s="61">
        <f t="shared" si="6"/>
        <v>65</v>
      </c>
      <c r="K20" s="87"/>
      <c r="L20" s="60">
        <f t="shared" si="4"/>
        <v>2022</v>
      </c>
      <c r="M20" s="60">
        <f t="shared" si="5"/>
        <v>11</v>
      </c>
    </row>
    <row r="21" customHeight="1" spans="2:13">
      <c r="B21" s="59">
        <v>18</v>
      </c>
      <c r="C21" s="125">
        <v>44881</v>
      </c>
      <c r="D21" s="87" t="s">
        <v>286</v>
      </c>
      <c r="E21" s="87" t="s">
        <v>82</v>
      </c>
      <c r="F21" s="60" t="s">
        <v>50</v>
      </c>
      <c r="G21" s="60"/>
      <c r="H21" s="126">
        <v>7</v>
      </c>
      <c r="I21" s="87">
        <v>5</v>
      </c>
      <c r="J21" s="61">
        <f t="shared" si="6"/>
        <v>35</v>
      </c>
      <c r="K21" s="87"/>
      <c r="L21" s="60">
        <f t="shared" si="4"/>
        <v>2022</v>
      </c>
      <c r="M21" s="60">
        <f t="shared" si="5"/>
        <v>11</v>
      </c>
    </row>
    <row r="22" customHeight="1" spans="2:13">
      <c r="B22" s="59">
        <v>19</v>
      </c>
      <c r="C22" s="125">
        <v>44881</v>
      </c>
      <c r="D22" s="87" t="s">
        <v>286</v>
      </c>
      <c r="E22" s="87" t="s">
        <v>87</v>
      </c>
      <c r="F22" s="60" t="s">
        <v>24</v>
      </c>
      <c r="G22" s="60"/>
      <c r="H22" s="126">
        <v>5.5</v>
      </c>
      <c r="I22" s="87">
        <v>5</v>
      </c>
      <c r="J22" s="61">
        <f t="shared" si="6"/>
        <v>27.5</v>
      </c>
      <c r="K22" s="87"/>
      <c r="L22" s="60">
        <f t="shared" si="4"/>
        <v>2022</v>
      </c>
      <c r="M22" s="60">
        <f t="shared" si="5"/>
        <v>11</v>
      </c>
    </row>
    <row r="23" customHeight="1" spans="2:13">
      <c r="B23" s="59">
        <v>20</v>
      </c>
      <c r="C23" s="125">
        <v>44881</v>
      </c>
      <c r="D23" s="87" t="s">
        <v>286</v>
      </c>
      <c r="E23" s="87" t="s">
        <v>113</v>
      </c>
      <c r="F23" s="60" t="s">
        <v>24</v>
      </c>
      <c r="G23" s="60"/>
      <c r="H23" s="126">
        <v>0.25</v>
      </c>
      <c r="I23" s="87">
        <v>50</v>
      </c>
      <c r="J23" s="61">
        <f t="shared" si="6"/>
        <v>12.5</v>
      </c>
      <c r="K23" s="87"/>
      <c r="L23" s="60">
        <f t="shared" si="4"/>
        <v>2022</v>
      </c>
      <c r="M23" s="60">
        <f t="shared" si="5"/>
        <v>11</v>
      </c>
    </row>
    <row r="24" customHeight="1" spans="2:13">
      <c r="B24" s="59">
        <v>21</v>
      </c>
      <c r="C24" s="125">
        <v>44881</v>
      </c>
      <c r="D24" s="87" t="s">
        <v>286</v>
      </c>
      <c r="E24" s="87" t="s">
        <v>148</v>
      </c>
      <c r="F24" s="60" t="s">
        <v>24</v>
      </c>
      <c r="G24" s="60"/>
      <c r="H24" s="126">
        <v>50</v>
      </c>
      <c r="I24" s="87">
        <v>2</v>
      </c>
      <c r="J24" s="61">
        <f t="shared" si="6"/>
        <v>100</v>
      </c>
      <c r="K24" s="87"/>
      <c r="L24" s="60">
        <f t="shared" si="4"/>
        <v>2022</v>
      </c>
      <c r="M24" s="60">
        <f t="shared" si="5"/>
        <v>11</v>
      </c>
    </row>
    <row r="25" customHeight="1" spans="2:13">
      <c r="B25" s="59">
        <v>22</v>
      </c>
      <c r="C25" s="125">
        <v>44881</v>
      </c>
      <c r="D25" s="87" t="s">
        <v>286</v>
      </c>
      <c r="E25" s="87" t="s">
        <v>96</v>
      </c>
      <c r="F25" s="60" t="s">
        <v>17</v>
      </c>
      <c r="G25" s="60"/>
      <c r="H25" s="126">
        <v>2</v>
      </c>
      <c r="I25" s="87">
        <v>10</v>
      </c>
      <c r="J25" s="61">
        <f t="shared" si="6"/>
        <v>20</v>
      </c>
      <c r="K25" s="87"/>
      <c r="L25" s="60">
        <f t="shared" si="4"/>
        <v>2022</v>
      </c>
      <c r="M25" s="60">
        <f t="shared" si="5"/>
        <v>11</v>
      </c>
    </row>
    <row r="26" customHeight="1" spans="2:13">
      <c r="B26" s="59">
        <v>23</v>
      </c>
      <c r="C26" s="125">
        <v>44881</v>
      </c>
      <c r="D26" s="87" t="s">
        <v>286</v>
      </c>
      <c r="E26" s="87" t="s">
        <v>156</v>
      </c>
      <c r="F26" s="60" t="s">
        <v>17</v>
      </c>
      <c r="G26" s="60"/>
      <c r="H26" s="126">
        <v>1.2</v>
      </c>
      <c r="I26" s="87">
        <v>100</v>
      </c>
      <c r="J26" s="61">
        <f t="shared" si="6"/>
        <v>120</v>
      </c>
      <c r="K26" s="87"/>
      <c r="L26" s="60">
        <f t="shared" si="4"/>
        <v>2022</v>
      </c>
      <c r="M26" s="60">
        <f t="shared" si="5"/>
        <v>11</v>
      </c>
    </row>
    <row r="27" customHeight="1" spans="2:13">
      <c r="B27" s="59">
        <v>24</v>
      </c>
      <c r="C27" s="125">
        <v>44881</v>
      </c>
      <c r="D27" s="87" t="s">
        <v>286</v>
      </c>
      <c r="E27" s="87" t="s">
        <v>11</v>
      </c>
      <c r="F27" s="60" t="s">
        <v>10</v>
      </c>
      <c r="G27" s="60"/>
      <c r="H27" s="126">
        <v>21.5</v>
      </c>
      <c r="I27" s="87">
        <v>64</v>
      </c>
      <c r="J27" s="61">
        <f t="shared" si="6"/>
        <v>1376</v>
      </c>
      <c r="K27" s="87"/>
      <c r="L27" s="60">
        <f t="shared" si="4"/>
        <v>2022</v>
      </c>
      <c r="M27" s="60">
        <f t="shared" si="5"/>
        <v>11</v>
      </c>
    </row>
    <row r="28" customHeight="1" spans="2:13">
      <c r="B28" s="59">
        <v>25</v>
      </c>
      <c r="C28" s="125">
        <v>44881</v>
      </c>
      <c r="D28" s="87" t="s">
        <v>286</v>
      </c>
      <c r="E28" s="87" t="s">
        <v>41</v>
      </c>
      <c r="F28" s="60" t="s">
        <v>42</v>
      </c>
      <c r="G28" s="60"/>
      <c r="H28" s="126">
        <v>1.3</v>
      </c>
      <c r="I28" s="87">
        <v>288</v>
      </c>
      <c r="J28" s="61">
        <f t="shared" si="6"/>
        <v>374.4</v>
      </c>
      <c r="K28" s="87"/>
      <c r="L28" s="60">
        <f t="shared" si="4"/>
        <v>2022</v>
      </c>
      <c r="M28" s="60">
        <f t="shared" si="5"/>
        <v>11</v>
      </c>
    </row>
    <row r="29" customHeight="1" spans="2:13">
      <c r="B29" s="59">
        <v>26</v>
      </c>
      <c r="C29" s="125">
        <v>44881</v>
      </c>
      <c r="D29" s="87" t="s">
        <v>286</v>
      </c>
      <c r="E29" s="87" t="s">
        <v>74</v>
      </c>
      <c r="F29" s="60" t="s">
        <v>358</v>
      </c>
      <c r="G29" s="60"/>
      <c r="H29" s="126">
        <v>2.2</v>
      </c>
      <c r="I29" s="87">
        <v>30</v>
      </c>
      <c r="J29" s="61">
        <f t="shared" si="6"/>
        <v>66</v>
      </c>
      <c r="K29" s="87"/>
      <c r="L29" s="60">
        <f t="shared" si="4"/>
        <v>2022</v>
      </c>
      <c r="M29" s="60">
        <f t="shared" si="5"/>
        <v>11</v>
      </c>
    </row>
    <row r="30" customHeight="1" spans="2:13">
      <c r="B30" s="59">
        <v>27</v>
      </c>
      <c r="C30" s="125">
        <v>44881</v>
      </c>
      <c r="D30" s="87" t="s">
        <v>286</v>
      </c>
      <c r="E30" s="87" t="s">
        <v>59</v>
      </c>
      <c r="F30" s="60" t="s">
        <v>58</v>
      </c>
      <c r="G30" s="60"/>
      <c r="H30" s="126">
        <v>3.5</v>
      </c>
      <c r="I30" s="87">
        <v>12</v>
      </c>
      <c r="J30" s="61">
        <f t="shared" si="6"/>
        <v>42</v>
      </c>
      <c r="K30" s="87"/>
      <c r="L30" s="60">
        <f t="shared" si="4"/>
        <v>2022</v>
      </c>
      <c r="M30" s="60">
        <f t="shared" si="5"/>
        <v>11</v>
      </c>
    </row>
    <row r="31" customHeight="1" spans="2:13">
      <c r="B31" s="59">
        <v>28</v>
      </c>
      <c r="C31" s="125">
        <v>44881</v>
      </c>
      <c r="D31" s="87" t="s">
        <v>286</v>
      </c>
      <c r="E31" s="87" t="s">
        <v>33</v>
      </c>
      <c r="F31" s="60" t="s">
        <v>24</v>
      </c>
      <c r="G31" s="60"/>
      <c r="H31" s="126">
        <v>0.55</v>
      </c>
      <c r="I31" s="87">
        <v>100</v>
      </c>
      <c r="J31" s="61">
        <f t="shared" si="6"/>
        <v>55</v>
      </c>
      <c r="K31" s="87"/>
      <c r="L31" s="60">
        <f t="shared" si="4"/>
        <v>2022</v>
      </c>
      <c r="M31" s="60">
        <f t="shared" si="5"/>
        <v>11</v>
      </c>
    </row>
    <row r="32" customHeight="1" spans="2:13">
      <c r="B32" s="59">
        <v>29</v>
      </c>
      <c r="C32" s="125">
        <v>44881</v>
      </c>
      <c r="D32" s="87" t="s">
        <v>286</v>
      </c>
      <c r="E32" s="87" t="s">
        <v>37</v>
      </c>
      <c r="F32" s="60" t="s">
        <v>135</v>
      </c>
      <c r="G32" s="60"/>
      <c r="H32" s="126">
        <v>1.5</v>
      </c>
      <c r="I32" s="87">
        <v>20</v>
      </c>
      <c r="J32" s="61">
        <f t="shared" si="6"/>
        <v>30</v>
      </c>
      <c r="K32" s="87"/>
      <c r="L32" s="60">
        <f t="shared" si="4"/>
        <v>2022</v>
      </c>
      <c r="M32" s="60">
        <f t="shared" si="5"/>
        <v>11</v>
      </c>
    </row>
    <row r="33" customHeight="1" spans="2:13">
      <c r="B33" s="59">
        <v>30</v>
      </c>
      <c r="C33" s="125">
        <v>44881</v>
      </c>
      <c r="D33" s="87" t="s">
        <v>286</v>
      </c>
      <c r="E33" s="87" t="s">
        <v>20</v>
      </c>
      <c r="F33" s="60" t="s">
        <v>17</v>
      </c>
      <c r="G33" s="60"/>
      <c r="H33" s="126">
        <v>7.5</v>
      </c>
      <c r="I33" s="87">
        <v>20</v>
      </c>
      <c r="J33" s="61">
        <f t="shared" si="6"/>
        <v>150</v>
      </c>
      <c r="K33" s="87"/>
      <c r="L33" s="60">
        <f t="shared" si="4"/>
        <v>2022</v>
      </c>
      <c r="M33" s="60">
        <f t="shared" si="5"/>
        <v>11</v>
      </c>
    </row>
    <row r="34" customHeight="1" spans="2:13">
      <c r="B34" s="59">
        <v>31</v>
      </c>
      <c r="C34" s="125">
        <v>44881</v>
      </c>
      <c r="D34" s="87" t="s">
        <v>286</v>
      </c>
      <c r="E34" s="87" t="s">
        <v>80</v>
      </c>
      <c r="F34" s="60" t="s">
        <v>50</v>
      </c>
      <c r="G34" s="60"/>
      <c r="H34" s="126">
        <v>10</v>
      </c>
      <c r="I34" s="87">
        <v>10</v>
      </c>
      <c r="J34" s="61">
        <f t="shared" si="6"/>
        <v>100</v>
      </c>
      <c r="K34" s="87"/>
      <c r="L34" s="60">
        <f t="shared" si="4"/>
        <v>2022</v>
      </c>
      <c r="M34" s="60">
        <f t="shared" si="5"/>
        <v>11</v>
      </c>
    </row>
    <row r="35" customHeight="1" spans="2:13">
      <c r="B35" s="59">
        <v>32</v>
      </c>
      <c r="C35" s="125">
        <v>44881</v>
      </c>
      <c r="D35" s="87" t="s">
        <v>286</v>
      </c>
      <c r="E35" s="87" t="s">
        <v>81</v>
      </c>
      <c r="F35" s="60" t="s">
        <v>50</v>
      </c>
      <c r="G35" s="60"/>
      <c r="H35" s="126">
        <v>13</v>
      </c>
      <c r="I35" s="87">
        <v>5</v>
      </c>
      <c r="J35" s="61">
        <f t="shared" si="6"/>
        <v>65</v>
      </c>
      <c r="K35" s="87"/>
      <c r="L35" s="60">
        <f t="shared" si="4"/>
        <v>2022</v>
      </c>
      <c r="M35" s="60">
        <f t="shared" si="5"/>
        <v>11</v>
      </c>
    </row>
    <row r="36" customHeight="1" spans="2:13">
      <c r="B36" s="59">
        <v>33</v>
      </c>
      <c r="C36" s="125">
        <v>44881</v>
      </c>
      <c r="D36" s="87" t="s">
        <v>286</v>
      </c>
      <c r="E36" s="87" t="s">
        <v>76</v>
      </c>
      <c r="F36" s="60" t="s">
        <v>358</v>
      </c>
      <c r="G36" s="60"/>
      <c r="H36" s="126">
        <v>2.2</v>
      </c>
      <c r="I36" s="87">
        <v>30</v>
      </c>
      <c r="J36" s="61">
        <f t="shared" si="6"/>
        <v>66</v>
      </c>
      <c r="K36" s="87"/>
      <c r="L36" s="60">
        <f t="shared" si="4"/>
        <v>2022</v>
      </c>
      <c r="M36" s="60">
        <f t="shared" si="5"/>
        <v>11</v>
      </c>
    </row>
    <row r="37" customHeight="1" spans="2:13">
      <c r="B37" s="59">
        <v>34</v>
      </c>
      <c r="C37" s="125">
        <v>44881</v>
      </c>
      <c r="D37" s="87" t="s">
        <v>286</v>
      </c>
      <c r="E37" s="87" t="s">
        <v>111</v>
      </c>
      <c r="F37" s="60" t="s">
        <v>10</v>
      </c>
      <c r="G37" s="60"/>
      <c r="H37" s="126">
        <v>1.999</v>
      </c>
      <c r="I37" s="87">
        <v>100</v>
      </c>
      <c r="J37" s="61">
        <f t="shared" si="6"/>
        <v>199.9</v>
      </c>
      <c r="K37" s="87"/>
      <c r="L37" s="60">
        <f t="shared" si="4"/>
        <v>2022</v>
      </c>
      <c r="M37" s="60">
        <f t="shared" si="5"/>
        <v>11</v>
      </c>
    </row>
    <row r="38" customHeight="1" spans="2:13">
      <c r="B38" s="59">
        <v>35</v>
      </c>
      <c r="C38" s="125">
        <v>44886</v>
      </c>
      <c r="D38" s="87" t="s">
        <v>270</v>
      </c>
      <c r="E38" s="87" t="s">
        <v>180</v>
      </c>
      <c r="F38" s="60" t="s">
        <v>181</v>
      </c>
      <c r="G38" s="60"/>
      <c r="H38" s="126"/>
      <c r="I38" s="87">
        <v>50</v>
      </c>
      <c r="J38" s="61" t="str">
        <f t="shared" si="6"/>
        <v>-</v>
      </c>
      <c r="K38" s="87"/>
      <c r="L38" s="60">
        <f t="shared" si="4"/>
        <v>2022</v>
      </c>
      <c r="M38" s="60">
        <f t="shared" si="5"/>
        <v>11</v>
      </c>
    </row>
    <row r="39" customHeight="1" spans="2:13">
      <c r="B39" s="59">
        <v>36</v>
      </c>
      <c r="C39" s="125">
        <v>44889</v>
      </c>
      <c r="D39" s="87" t="s">
        <v>286</v>
      </c>
      <c r="E39" s="87" t="s">
        <v>130</v>
      </c>
      <c r="F39" s="60" t="s">
        <v>131</v>
      </c>
      <c r="G39" s="60"/>
      <c r="H39" s="126">
        <v>37.5</v>
      </c>
      <c r="I39" s="87">
        <v>40</v>
      </c>
      <c r="J39" s="61">
        <f t="shared" si="6"/>
        <v>1500</v>
      </c>
      <c r="K39" s="87"/>
      <c r="L39" s="60">
        <f t="shared" si="4"/>
        <v>2022</v>
      </c>
      <c r="M39" s="60">
        <f t="shared" si="5"/>
        <v>11</v>
      </c>
    </row>
    <row r="40" customHeight="1" spans="2:13">
      <c r="B40" s="59">
        <v>37</v>
      </c>
      <c r="C40" s="125">
        <v>44893</v>
      </c>
      <c r="D40" s="87" t="s">
        <v>263</v>
      </c>
      <c r="E40" s="87" t="s">
        <v>183</v>
      </c>
      <c r="F40" s="60" t="str">
        <f>IFERROR(VLOOKUP($E40,'基础-办公用品信息'!$C:$E,2,FALSE),"-")</f>
        <v>个</v>
      </c>
      <c r="G40" s="60"/>
      <c r="H40" s="126">
        <v>65</v>
      </c>
      <c r="I40" s="87">
        <v>1</v>
      </c>
      <c r="J40" s="61">
        <f t="shared" si="6"/>
        <v>65</v>
      </c>
      <c r="K40" s="87"/>
      <c r="L40" s="60">
        <f t="shared" si="4"/>
        <v>2022</v>
      </c>
      <c r="M40" s="60">
        <f t="shared" si="5"/>
        <v>11</v>
      </c>
    </row>
    <row r="41" customHeight="1" spans="2:13">
      <c r="B41" s="59">
        <v>38</v>
      </c>
      <c r="C41" s="125">
        <v>44893</v>
      </c>
      <c r="D41" s="87" t="s">
        <v>268</v>
      </c>
      <c r="E41" s="87" t="s">
        <v>185</v>
      </c>
      <c r="F41" s="60" t="str">
        <f>IFERROR(VLOOKUP($E41,'基础-办公用品信息'!$C:$E,2,FALSE),"-")</f>
        <v>根</v>
      </c>
      <c r="G41" s="60"/>
      <c r="H41" s="126">
        <v>8</v>
      </c>
      <c r="I41" s="87">
        <v>10</v>
      </c>
      <c r="J41" s="61">
        <f t="shared" si="6"/>
        <v>80</v>
      </c>
      <c r="K41" s="87"/>
      <c r="L41" s="60">
        <f t="shared" si="4"/>
        <v>2022</v>
      </c>
      <c r="M41" s="60">
        <f t="shared" si="5"/>
        <v>11</v>
      </c>
    </row>
    <row r="42" customHeight="1" spans="2:13">
      <c r="B42" s="59">
        <v>39</v>
      </c>
      <c r="C42" s="125">
        <v>44894</v>
      </c>
      <c r="D42" s="87" t="s">
        <v>268</v>
      </c>
      <c r="E42" s="87" t="s">
        <v>184</v>
      </c>
      <c r="F42" s="60" t="str">
        <f>IFERROR(VLOOKUP($E42,'基础-办公用品信息'!$C:$E,2,FALSE),"-")</f>
        <v>包</v>
      </c>
      <c r="G42" s="60"/>
      <c r="H42" s="126">
        <v>170</v>
      </c>
      <c r="I42" s="87">
        <v>1</v>
      </c>
      <c r="J42" s="61">
        <f t="shared" si="6"/>
        <v>170</v>
      </c>
      <c r="K42" s="87"/>
      <c r="L42" s="60">
        <f t="shared" si="4"/>
        <v>2022</v>
      </c>
      <c r="M42" s="60">
        <f t="shared" si="5"/>
        <v>11</v>
      </c>
    </row>
    <row r="43" customHeight="1" spans="2:13">
      <c r="B43" s="59">
        <v>40</v>
      </c>
      <c r="C43" s="125">
        <v>44902</v>
      </c>
      <c r="D43" s="87" t="s">
        <v>268</v>
      </c>
      <c r="E43" s="87" t="s">
        <v>189</v>
      </c>
      <c r="F43" s="60" t="str">
        <f>IFERROR(VLOOKUP($E43,'基础-办公用品信息'!$C:$E,2,FALSE),"-")</f>
        <v>卷</v>
      </c>
      <c r="G43" s="60"/>
      <c r="H43" s="126"/>
      <c r="I43" s="87">
        <v>100</v>
      </c>
      <c r="J43" s="61" t="str">
        <f t="shared" si="6"/>
        <v>-</v>
      </c>
      <c r="K43" s="87"/>
      <c r="L43" s="60">
        <f t="shared" si="4"/>
        <v>2022</v>
      </c>
      <c r="M43" s="60">
        <f t="shared" si="5"/>
        <v>12</v>
      </c>
    </row>
    <row r="44" customHeight="1" spans="2:13">
      <c r="B44" s="59">
        <v>41</v>
      </c>
      <c r="C44" s="125">
        <v>44902</v>
      </c>
      <c r="D44" s="87" t="s">
        <v>268</v>
      </c>
      <c r="E44" s="87" t="s">
        <v>190</v>
      </c>
      <c r="F44" s="60" t="str">
        <f>IFERROR(VLOOKUP($E44,'基础-办公用品信息'!$C:$E,2,FALSE),"-")</f>
        <v>卷</v>
      </c>
      <c r="G44" s="60"/>
      <c r="H44" s="126"/>
      <c r="I44" s="87">
        <v>100</v>
      </c>
      <c r="J44" s="61" t="str">
        <f t="shared" si="3"/>
        <v>-</v>
      </c>
      <c r="K44" s="87"/>
      <c r="L44" s="60">
        <f t="shared" si="4"/>
        <v>2022</v>
      </c>
      <c r="M44" s="60">
        <f t="shared" si="5"/>
        <v>12</v>
      </c>
    </row>
    <row r="45" customHeight="1" spans="2:13">
      <c r="B45" s="59">
        <v>42</v>
      </c>
      <c r="C45" s="125">
        <v>44902</v>
      </c>
      <c r="D45" s="87" t="s">
        <v>268</v>
      </c>
      <c r="E45" s="87" t="s">
        <v>187</v>
      </c>
      <c r="F45" s="60" t="str">
        <f>IFERROR(VLOOKUP($E45,'基础-办公用品信息'!$C:$E,2,FALSE),"-")</f>
        <v>双</v>
      </c>
      <c r="G45" s="60">
        <f>IFERROR(VLOOKUP($E45,'基础-办公用品信息'!$C:$E,3,FALSE),"-")</f>
        <v>0</v>
      </c>
      <c r="H45" s="126">
        <v>14</v>
      </c>
      <c r="I45" s="87">
        <v>3</v>
      </c>
      <c r="J45" s="61">
        <f t="shared" si="3"/>
        <v>42</v>
      </c>
      <c r="K45" s="87"/>
      <c r="L45" s="60">
        <f t="shared" si="4"/>
        <v>2022</v>
      </c>
      <c r="M45" s="60">
        <f t="shared" si="5"/>
        <v>12</v>
      </c>
    </row>
    <row r="46" customHeight="1" spans="2:13">
      <c r="B46" s="59">
        <v>43</v>
      </c>
      <c r="C46" s="125">
        <v>44909</v>
      </c>
      <c r="D46" s="87" t="s">
        <v>263</v>
      </c>
      <c r="E46" s="87" t="s">
        <v>155</v>
      </c>
      <c r="F46" s="60" t="str">
        <f>IFERROR(VLOOKUP($E46,'基础-办公用品信息'!$C:$E,2,FALSE),"-")</f>
        <v>个</v>
      </c>
      <c r="G46" s="60">
        <f>IFERROR(VLOOKUP($E46,'基础-办公用品信息'!$C:$E,3,FALSE),"-")</f>
        <v>0</v>
      </c>
      <c r="H46" s="126">
        <v>5</v>
      </c>
      <c r="I46" s="87">
        <v>3</v>
      </c>
      <c r="J46" s="61">
        <f t="shared" si="3"/>
        <v>15</v>
      </c>
      <c r="K46" s="87"/>
      <c r="L46" s="60">
        <f t="shared" si="4"/>
        <v>2022</v>
      </c>
      <c r="M46" s="60">
        <f t="shared" si="5"/>
        <v>12</v>
      </c>
    </row>
    <row r="47" customHeight="1" spans="2:13">
      <c r="B47" s="59">
        <v>44</v>
      </c>
      <c r="C47" s="125">
        <v>44910</v>
      </c>
      <c r="D47" s="87" t="s">
        <v>286</v>
      </c>
      <c r="E47" s="87" t="s">
        <v>85</v>
      </c>
      <c r="F47" s="60" t="str">
        <f>IFERROR(VLOOKUP($E47,'基础-办公用品信息'!$C:$E,2,FALSE),"-")</f>
        <v>个</v>
      </c>
      <c r="G47" s="60">
        <f>IFERROR(VLOOKUP($E47,'基础-办公用品信息'!$C:$E,3,FALSE),"-")</f>
        <v>0</v>
      </c>
      <c r="H47" s="126">
        <f>IFERROR(VLOOKUP($E47,'基础-办公用品信息'!$C:$F,4,FALSE),"-")</f>
        <v>59</v>
      </c>
      <c r="I47" s="87">
        <v>2</v>
      </c>
      <c r="J47" s="61">
        <f t="shared" si="3"/>
        <v>118</v>
      </c>
      <c r="K47" s="87"/>
      <c r="L47" s="60">
        <f t="shared" si="4"/>
        <v>2022</v>
      </c>
      <c r="M47" s="60">
        <f t="shared" si="5"/>
        <v>12</v>
      </c>
    </row>
    <row r="48" customHeight="1" spans="2:13">
      <c r="B48" s="59">
        <v>45</v>
      </c>
      <c r="C48" s="125">
        <v>44911</v>
      </c>
      <c r="D48" s="87" t="s">
        <v>286</v>
      </c>
      <c r="E48" s="87" t="s">
        <v>76</v>
      </c>
      <c r="F48" s="60" t="str">
        <f>IFERROR(VLOOKUP($E48,'基础-办公用品信息'!$C:$E,2,FALSE),"-")</f>
        <v>节</v>
      </c>
      <c r="G48" s="60">
        <f>IFERROR(VLOOKUP($E48,'基础-办公用品信息'!$C:$E,3,FALSE),"-")</f>
        <v>0</v>
      </c>
      <c r="H48" s="126">
        <f>IFERROR(VLOOKUP($E48,'基础-办公用品信息'!$C:$F,4,FALSE),"-")</f>
        <v>0</v>
      </c>
      <c r="I48" s="87">
        <v>120</v>
      </c>
      <c r="J48" s="61">
        <f t="shared" si="3"/>
        <v>0</v>
      </c>
      <c r="K48" s="87"/>
      <c r="L48" s="60">
        <f t="shared" si="4"/>
        <v>2022</v>
      </c>
      <c r="M48" s="60">
        <f t="shared" si="5"/>
        <v>12</v>
      </c>
    </row>
    <row r="49" customHeight="1" spans="2:13">
      <c r="B49" s="59">
        <v>46</v>
      </c>
      <c r="C49" s="125">
        <v>44924</v>
      </c>
      <c r="D49" s="87" t="s">
        <v>268</v>
      </c>
      <c r="E49" s="87" t="s">
        <v>175</v>
      </c>
      <c r="F49" s="60" t="str">
        <f>IFERROR(VLOOKUP($E49,'基础-办公用品信息'!$C:$E,2,FALSE),"-")</f>
        <v>瓶</v>
      </c>
      <c r="G49" s="60">
        <f>IFERROR(VLOOKUP($E49,'基础-办公用品信息'!$C:$E,3,FALSE),"-")</f>
        <v>0</v>
      </c>
      <c r="H49" s="126">
        <f>IFERROR(VLOOKUP($E49,'基础-办公用品信息'!$C:$F,4,FALSE),"-")</f>
        <v>0</v>
      </c>
      <c r="I49" s="87">
        <v>10</v>
      </c>
      <c r="J49" s="61">
        <f t="shared" si="3"/>
        <v>0</v>
      </c>
      <c r="K49" s="87"/>
      <c r="L49" s="60">
        <f t="shared" si="4"/>
        <v>2022</v>
      </c>
      <c r="M49" s="60">
        <f t="shared" si="5"/>
        <v>12</v>
      </c>
    </row>
    <row r="50" customHeight="1" spans="2:13">
      <c r="B50" s="59">
        <v>47</v>
      </c>
      <c r="C50" s="125">
        <v>44924</v>
      </c>
      <c r="D50" s="87" t="s">
        <v>268</v>
      </c>
      <c r="E50" s="87" t="s">
        <v>191</v>
      </c>
      <c r="F50" s="60" t="str">
        <f>IFERROR(VLOOKUP($E50,'基础-办公用品信息'!$C:$E,2,FALSE),"-")</f>
        <v>瓶</v>
      </c>
      <c r="G50" s="60">
        <f>IFERROR(VLOOKUP($E50,'基础-办公用品信息'!$C:$E,3,FALSE),"-")</f>
        <v>0</v>
      </c>
      <c r="H50" s="126">
        <f>IFERROR(VLOOKUP($E50,'基础-办公用品信息'!$C:$F,4,FALSE),"-")</f>
        <v>0</v>
      </c>
      <c r="I50" s="87">
        <v>12</v>
      </c>
      <c r="J50" s="61">
        <f t="shared" si="3"/>
        <v>0</v>
      </c>
      <c r="K50" s="87"/>
      <c r="L50" s="60">
        <f t="shared" si="4"/>
        <v>2022</v>
      </c>
      <c r="M50" s="60">
        <f t="shared" si="5"/>
        <v>12</v>
      </c>
    </row>
    <row r="51" customHeight="1" spans="2:13">
      <c r="B51" s="59">
        <v>48</v>
      </c>
      <c r="C51" s="128">
        <v>44928</v>
      </c>
      <c r="D51" s="87" t="s">
        <v>268</v>
      </c>
      <c r="E51" s="87" t="s">
        <v>192</v>
      </c>
      <c r="F51" s="60" t="str">
        <f>IFERROR(VLOOKUP($E51,'基础-办公用品信息'!$C:$E,2,FALSE),"-")</f>
        <v>个</v>
      </c>
      <c r="G51" s="60">
        <f>IFERROR(VLOOKUP($E51,'基础-办公用品信息'!$C:$E,3,FALSE),"-")</f>
        <v>0</v>
      </c>
      <c r="H51" s="126">
        <f>IFERROR(VLOOKUP($E51,'基础-办公用品信息'!$C:$F,4,FALSE),"-")</f>
        <v>0</v>
      </c>
      <c r="I51" s="87">
        <v>3</v>
      </c>
      <c r="J51" s="61">
        <f t="shared" si="3"/>
        <v>0</v>
      </c>
      <c r="K51" s="87"/>
      <c r="L51" s="60">
        <f t="shared" si="4"/>
        <v>2023</v>
      </c>
      <c r="M51" s="60">
        <f t="shared" si="5"/>
        <v>1</v>
      </c>
    </row>
    <row r="52" customHeight="1" spans="2:13">
      <c r="B52" s="59">
        <v>49</v>
      </c>
      <c r="C52" s="128">
        <v>44928</v>
      </c>
      <c r="D52" s="87"/>
      <c r="E52" s="87" t="s">
        <v>9</v>
      </c>
      <c r="F52" s="60" t="str">
        <f>IFERROR(VLOOKUP($E52,'基础-办公用品信息'!$C:$E,2,FALSE),"-")</f>
        <v>包</v>
      </c>
      <c r="G52" s="60">
        <f>IFERROR(VLOOKUP($E52,'基础-办公用品信息'!$C:$E,3,FALSE),"-")</f>
        <v>0</v>
      </c>
      <c r="H52" s="126">
        <f>IFERROR(VLOOKUP($E52,'基础-办公用品信息'!$C:$F,4,FALSE),"-")</f>
        <v>175</v>
      </c>
      <c r="I52" s="87">
        <v>1</v>
      </c>
      <c r="J52" s="61">
        <f t="shared" si="3"/>
        <v>175</v>
      </c>
      <c r="K52" s="87"/>
      <c r="L52" s="60">
        <f t="shared" si="4"/>
        <v>2023</v>
      </c>
      <c r="M52" s="60">
        <f t="shared" si="5"/>
        <v>1</v>
      </c>
    </row>
    <row r="53" customHeight="1" spans="2:13">
      <c r="B53" s="59">
        <v>50</v>
      </c>
      <c r="C53" s="128">
        <v>44932</v>
      </c>
      <c r="D53" s="87" t="s">
        <v>263</v>
      </c>
      <c r="E53" s="87" t="s">
        <v>176</v>
      </c>
      <c r="F53" s="60" t="str">
        <f>IFERROR(VLOOKUP($E53,'基础-办公用品信息'!$C:$E,2,FALSE),"-")</f>
        <v>个</v>
      </c>
      <c r="G53" s="60">
        <f>IFERROR(VLOOKUP($E53,'基础-办公用品信息'!$C:$E,3,FALSE),"-")</f>
        <v>0</v>
      </c>
      <c r="H53" s="126">
        <f>IFERROR(VLOOKUP($E53,'基础-办公用品信息'!$C:$F,4,FALSE),"-")</f>
        <v>0</v>
      </c>
      <c r="I53" s="87">
        <v>5</v>
      </c>
      <c r="J53" s="61">
        <f t="shared" si="3"/>
        <v>0</v>
      </c>
      <c r="K53" s="87"/>
      <c r="L53" s="60">
        <f t="shared" si="4"/>
        <v>2023</v>
      </c>
      <c r="M53" s="60">
        <f t="shared" si="5"/>
        <v>1</v>
      </c>
    </row>
    <row r="54" customHeight="1" spans="2:13">
      <c r="B54" s="59">
        <v>51</v>
      </c>
      <c r="C54" s="128">
        <v>44935</v>
      </c>
      <c r="D54" s="87" t="s">
        <v>286</v>
      </c>
      <c r="E54" s="87" t="s">
        <v>114</v>
      </c>
      <c r="F54" s="60" t="str">
        <f>IFERROR(VLOOKUP($E54,'基础-办公用品信息'!$C:$E,2,FALSE),"-")</f>
        <v>个</v>
      </c>
      <c r="G54" s="60">
        <f>IFERROR(VLOOKUP($E54,'基础-办公用品信息'!$C:$E,3,FALSE),"-")</f>
        <v>0</v>
      </c>
      <c r="H54" s="126">
        <f>IFERROR(VLOOKUP($E54,'基础-办公用品信息'!$C:$F,4,FALSE),"-")</f>
        <v>30</v>
      </c>
      <c r="I54" s="87">
        <v>5</v>
      </c>
      <c r="J54" s="61">
        <f t="shared" si="3"/>
        <v>150</v>
      </c>
      <c r="K54" s="87"/>
      <c r="L54" s="60">
        <f t="shared" si="4"/>
        <v>2023</v>
      </c>
      <c r="M54" s="60">
        <f t="shared" si="5"/>
        <v>1</v>
      </c>
    </row>
    <row r="55" customHeight="1" spans="2:13">
      <c r="B55" s="59">
        <v>52</v>
      </c>
      <c r="C55" s="128">
        <v>44935</v>
      </c>
      <c r="D55" s="87" t="s">
        <v>286</v>
      </c>
      <c r="E55" s="87" t="s">
        <v>147</v>
      </c>
      <c r="F55" s="60" t="str">
        <f>IFERROR(VLOOKUP($E55,'基础-办公用品信息'!$C:$E,2,FALSE),"-")</f>
        <v>个</v>
      </c>
      <c r="G55" s="60">
        <f>IFERROR(VLOOKUP($E55,'基础-办公用品信息'!$C:$E,3,FALSE),"-")</f>
        <v>0</v>
      </c>
      <c r="H55" s="126">
        <f>IFERROR(VLOOKUP($E55,'基础-办公用品信息'!$C:$F,4,FALSE),"-")</f>
        <v>75</v>
      </c>
      <c r="I55" s="87">
        <v>5</v>
      </c>
      <c r="J55" s="61">
        <f t="shared" ref="J55:J118" si="7">IF(AND(H55&lt;&gt;"",I55&lt;&gt;""),H55*I55,"-")</f>
        <v>375</v>
      </c>
      <c r="K55" s="87"/>
      <c r="L55" s="60">
        <f t="shared" ref="L55:L118" si="8">YEAR(C55)</f>
        <v>2023</v>
      </c>
      <c r="M55" s="60">
        <f t="shared" ref="M55:M118" si="9">MONTH(C55)</f>
        <v>1</v>
      </c>
    </row>
    <row r="56" customHeight="1" spans="2:13">
      <c r="B56" s="59">
        <v>53</v>
      </c>
      <c r="C56" s="128">
        <v>44935</v>
      </c>
      <c r="D56" s="87" t="s">
        <v>286</v>
      </c>
      <c r="E56" s="87" t="s">
        <v>115</v>
      </c>
      <c r="F56" s="60" t="str">
        <f>IFERROR(VLOOKUP($E56,'基础-办公用品信息'!$C:$E,2,FALSE),"-")</f>
        <v>个</v>
      </c>
      <c r="G56" s="60">
        <f>IFERROR(VLOOKUP($E56,'基础-办公用品信息'!$C:$E,3,FALSE),"-")</f>
        <v>0</v>
      </c>
      <c r="H56" s="126">
        <f>IFERROR(VLOOKUP($E56,'基础-办公用品信息'!$C:$F,4,FALSE),"-")</f>
        <v>0</v>
      </c>
      <c r="I56" s="87">
        <v>3</v>
      </c>
      <c r="J56" s="61">
        <f t="shared" si="7"/>
        <v>0</v>
      </c>
      <c r="K56" s="87"/>
      <c r="L56" s="60">
        <f t="shared" si="8"/>
        <v>2023</v>
      </c>
      <c r="M56" s="60">
        <f t="shared" si="9"/>
        <v>1</v>
      </c>
    </row>
    <row r="57" customHeight="1" spans="2:13">
      <c r="B57" s="59">
        <v>54</v>
      </c>
      <c r="C57" s="128">
        <v>44935</v>
      </c>
      <c r="D57" s="87" t="s">
        <v>286</v>
      </c>
      <c r="E57" s="87" t="s">
        <v>193</v>
      </c>
      <c r="F57" s="60" t="str">
        <f>IFERROR(VLOOKUP($E57,'基础-办公用品信息'!$C:$E,2,FALSE),"-")</f>
        <v>个</v>
      </c>
      <c r="G57" s="60">
        <f>IFERROR(VLOOKUP($E57,'基础-办公用品信息'!$C:$E,3,FALSE),"-")</f>
        <v>0</v>
      </c>
      <c r="H57" s="126">
        <f>IFERROR(VLOOKUP($E57,'基础-办公用品信息'!$C:$F,4,FALSE),"-")</f>
        <v>0</v>
      </c>
      <c r="I57" s="87">
        <v>3</v>
      </c>
      <c r="J57" s="61">
        <f t="shared" si="7"/>
        <v>0</v>
      </c>
      <c r="K57" s="87"/>
      <c r="L57" s="60">
        <f t="shared" si="8"/>
        <v>2023</v>
      </c>
      <c r="M57" s="60">
        <f t="shared" si="9"/>
        <v>1</v>
      </c>
    </row>
    <row r="58" customHeight="1" spans="2:13">
      <c r="B58" s="59">
        <v>55</v>
      </c>
      <c r="C58" s="128">
        <v>44942</v>
      </c>
      <c r="D58" s="87" t="s">
        <v>268</v>
      </c>
      <c r="E58" s="87" t="s">
        <v>187</v>
      </c>
      <c r="F58" s="60" t="str">
        <f>IFERROR(VLOOKUP($E58,'基础-办公用品信息'!$C:$E,2,FALSE),"-")</f>
        <v>双</v>
      </c>
      <c r="G58" s="60">
        <f>IFERROR(VLOOKUP($E58,'基础-办公用品信息'!$C:$E,3,FALSE),"-")</f>
        <v>0</v>
      </c>
      <c r="H58" s="126">
        <f>IFERROR(VLOOKUP($E58,'基础-办公用品信息'!$C:$F,4,FALSE),"-")</f>
        <v>0</v>
      </c>
      <c r="I58" s="87">
        <v>3</v>
      </c>
      <c r="J58" s="61">
        <f t="shared" si="7"/>
        <v>0</v>
      </c>
      <c r="K58" s="87"/>
      <c r="L58" s="60">
        <f t="shared" si="8"/>
        <v>2023</v>
      </c>
      <c r="M58" s="60">
        <f t="shared" si="9"/>
        <v>1</v>
      </c>
    </row>
    <row r="59" customHeight="1" spans="2:13">
      <c r="B59" s="59">
        <v>56</v>
      </c>
      <c r="C59" s="128">
        <v>44942</v>
      </c>
      <c r="D59" s="87" t="s">
        <v>268</v>
      </c>
      <c r="E59" s="87" t="s">
        <v>194</v>
      </c>
      <c r="F59" s="60" t="str">
        <f>IFERROR(VLOOKUP($E59,'基础-办公用品信息'!$C:$E,2,FALSE),"-")</f>
        <v>个</v>
      </c>
      <c r="G59" s="60">
        <f>IFERROR(VLOOKUP($E59,'基础-办公用品信息'!$C:$E,3,FALSE),"-")</f>
        <v>0</v>
      </c>
      <c r="H59" s="126">
        <f>IFERROR(VLOOKUP($E59,'基础-办公用品信息'!$C:$F,4,FALSE),"-")</f>
        <v>15</v>
      </c>
      <c r="I59" s="87">
        <v>2</v>
      </c>
      <c r="J59" s="61">
        <f t="shared" si="7"/>
        <v>30</v>
      </c>
      <c r="K59" s="87"/>
      <c r="L59" s="60">
        <f t="shared" si="8"/>
        <v>2023</v>
      </c>
      <c r="M59" s="60">
        <f t="shared" si="9"/>
        <v>1</v>
      </c>
    </row>
    <row r="60" customHeight="1" spans="2:13">
      <c r="B60" s="59">
        <v>57</v>
      </c>
      <c r="C60" s="128">
        <v>44943</v>
      </c>
      <c r="D60" s="87" t="s">
        <v>263</v>
      </c>
      <c r="E60" s="87" t="s">
        <v>187</v>
      </c>
      <c r="F60" s="60" t="str">
        <f>IFERROR(VLOOKUP($E60,'基础-办公用品信息'!$C:$E,2,FALSE),"-")</f>
        <v>双</v>
      </c>
      <c r="G60" s="60">
        <f>IFERROR(VLOOKUP($E60,'基础-办公用品信息'!$C:$E,3,FALSE),"-")</f>
        <v>0</v>
      </c>
      <c r="H60" s="126">
        <f>IFERROR(VLOOKUP($E60,'基础-办公用品信息'!$C:$F,4,FALSE),"-")</f>
        <v>0</v>
      </c>
      <c r="I60" s="87">
        <v>5</v>
      </c>
      <c r="J60" s="61">
        <f t="shared" si="7"/>
        <v>0</v>
      </c>
      <c r="K60" s="87"/>
      <c r="L60" s="60">
        <f t="shared" si="8"/>
        <v>2023</v>
      </c>
      <c r="M60" s="60">
        <f t="shared" si="9"/>
        <v>1</v>
      </c>
    </row>
    <row r="61" customHeight="1" spans="2:13">
      <c r="B61" s="59">
        <v>58</v>
      </c>
      <c r="C61" s="128">
        <v>44959</v>
      </c>
      <c r="D61" s="87" t="s">
        <v>286</v>
      </c>
      <c r="E61" s="87" t="s">
        <v>111</v>
      </c>
      <c r="F61" s="60" t="str">
        <f>IFERROR(VLOOKUP($E61,'基础-办公用品信息'!$C:$E,2,FALSE),"-")</f>
        <v>包</v>
      </c>
      <c r="G61" s="60">
        <f>IFERROR(VLOOKUP($E61,'基础-办公用品信息'!$C:$E,3,FALSE),"-")</f>
        <v>0</v>
      </c>
      <c r="H61" s="126">
        <f>IFERROR(VLOOKUP($E61,'基础-办公用品信息'!$C:$F,4,FALSE),"-")</f>
        <v>0.3</v>
      </c>
      <c r="I61" s="87">
        <v>200</v>
      </c>
      <c r="J61" s="61">
        <f t="shared" si="7"/>
        <v>60</v>
      </c>
      <c r="K61" s="87"/>
      <c r="L61" s="60">
        <f t="shared" si="8"/>
        <v>2023</v>
      </c>
      <c r="M61" s="60">
        <f t="shared" si="9"/>
        <v>2</v>
      </c>
    </row>
    <row r="62" customHeight="1" spans="2:13">
      <c r="B62" s="59">
        <v>59</v>
      </c>
      <c r="C62" s="128">
        <v>44963</v>
      </c>
      <c r="D62" s="87" t="s">
        <v>263</v>
      </c>
      <c r="E62" s="87" t="s">
        <v>173</v>
      </c>
      <c r="F62" s="60" t="str">
        <f>IFERROR(VLOOKUP($E62,'基础-办公用品信息'!$C:$E,2,FALSE),"-")</f>
        <v>条</v>
      </c>
      <c r="G62" s="60">
        <f>IFERROR(VLOOKUP($E62,'基础-办公用品信息'!$C:$E,3,FALSE),"-")</f>
        <v>0</v>
      </c>
      <c r="H62" s="126">
        <f>IFERROR(VLOOKUP($E62,'基础-办公用品信息'!$C:$F,4,FALSE),"-")</f>
        <v>0</v>
      </c>
      <c r="I62" s="87">
        <v>22</v>
      </c>
      <c r="J62" s="61">
        <f t="shared" si="7"/>
        <v>0</v>
      </c>
      <c r="K62" s="87"/>
      <c r="L62" s="60">
        <f t="shared" si="8"/>
        <v>2023</v>
      </c>
      <c r="M62" s="60">
        <f t="shared" si="9"/>
        <v>2</v>
      </c>
    </row>
    <row r="63" customHeight="1" spans="2:13">
      <c r="B63" s="59">
        <v>60</v>
      </c>
      <c r="C63" s="128">
        <v>44963</v>
      </c>
      <c r="D63" s="87" t="s">
        <v>288</v>
      </c>
      <c r="E63" s="87" t="s">
        <v>161</v>
      </c>
      <c r="F63" s="60" t="str">
        <f>IFERROR(VLOOKUP($E63,'基础-办公用品信息'!$C:$E,2,FALSE),"-")</f>
        <v>桶</v>
      </c>
      <c r="G63" s="60">
        <f>IFERROR(VLOOKUP($E63,'基础-办公用品信息'!$C:$E,3,FALSE),"-")</f>
        <v>0</v>
      </c>
      <c r="H63" s="126">
        <f>IFERROR(VLOOKUP($E63,'基础-办公用品信息'!$C:$F,4,FALSE),"-")</f>
        <v>0</v>
      </c>
      <c r="I63" s="87">
        <v>4</v>
      </c>
      <c r="J63" s="61">
        <f t="shared" si="7"/>
        <v>0</v>
      </c>
      <c r="K63" s="87"/>
      <c r="L63" s="60">
        <f t="shared" si="8"/>
        <v>2023</v>
      </c>
      <c r="M63" s="60">
        <f t="shared" si="9"/>
        <v>2</v>
      </c>
    </row>
    <row r="64" customHeight="1" spans="2:13">
      <c r="B64" s="59">
        <v>61</v>
      </c>
      <c r="C64" s="128">
        <v>44963</v>
      </c>
      <c r="D64" s="87" t="s">
        <v>288</v>
      </c>
      <c r="E64" s="87" t="s">
        <v>195</v>
      </c>
      <c r="F64" s="60" t="str">
        <f>IFERROR(VLOOKUP($E64,'基础-办公用品信息'!$C:$E,2,FALSE),"-")</f>
        <v>包</v>
      </c>
      <c r="G64" s="60">
        <f>IFERROR(VLOOKUP($E64,'基础-办公用品信息'!$C:$E,3,FALSE),"-")</f>
        <v>0</v>
      </c>
      <c r="H64" s="126">
        <f>IFERROR(VLOOKUP($E64,'基础-办公用品信息'!$C:$F,4,FALSE),"-")</f>
        <v>0</v>
      </c>
      <c r="I64" s="87">
        <v>12</v>
      </c>
      <c r="J64" s="61">
        <f t="shared" si="7"/>
        <v>0</v>
      </c>
      <c r="K64" s="87"/>
      <c r="L64" s="60">
        <f t="shared" si="8"/>
        <v>2023</v>
      </c>
      <c r="M64" s="60">
        <f t="shared" si="9"/>
        <v>2</v>
      </c>
    </row>
    <row r="65" customHeight="1" spans="2:13">
      <c r="B65" s="59">
        <v>62</v>
      </c>
      <c r="C65" s="128">
        <v>44963</v>
      </c>
      <c r="D65" s="87" t="s">
        <v>286</v>
      </c>
      <c r="E65" s="87" t="s">
        <v>11</v>
      </c>
      <c r="F65" s="60" t="str">
        <f>IFERROR(VLOOKUP($E65,'基础-办公用品信息'!$C:$E,2,FALSE),"-")</f>
        <v>包</v>
      </c>
      <c r="G65" s="60">
        <f>IFERROR(VLOOKUP($E65,'基础-办公用品信息'!$C:$E,3,FALSE),"-")</f>
        <v>0</v>
      </c>
      <c r="H65" s="126">
        <f>IFERROR(VLOOKUP($E65,'基础-办公用品信息'!$C:$F,4,FALSE),"-")</f>
        <v>175</v>
      </c>
      <c r="I65" s="87">
        <v>80</v>
      </c>
      <c r="J65" s="61">
        <f t="shared" si="7"/>
        <v>14000</v>
      </c>
      <c r="K65" s="87"/>
      <c r="L65" s="60">
        <f t="shared" si="8"/>
        <v>2023</v>
      </c>
      <c r="M65" s="60">
        <f t="shared" si="9"/>
        <v>2</v>
      </c>
    </row>
    <row r="66" customHeight="1" spans="2:13">
      <c r="B66" s="59">
        <v>63</v>
      </c>
      <c r="C66" s="128">
        <v>44966</v>
      </c>
      <c r="D66" s="87" t="s">
        <v>263</v>
      </c>
      <c r="E66" s="87" t="s">
        <v>148</v>
      </c>
      <c r="F66" s="60" t="str">
        <f>IFERROR(VLOOKUP($E66,'基础-办公用品信息'!$C:$E,2,FALSE),"-")</f>
        <v>个</v>
      </c>
      <c r="G66" s="60">
        <f>IFERROR(VLOOKUP($E66,'基础-办公用品信息'!$C:$E,3,FALSE),"-")</f>
        <v>0</v>
      </c>
      <c r="H66" s="126">
        <f>IFERROR(VLOOKUP($E66,'基础-办公用品信息'!$C:$F,4,FALSE),"-")</f>
        <v>56</v>
      </c>
      <c r="I66" s="87">
        <v>2</v>
      </c>
      <c r="J66" s="61">
        <f t="shared" si="7"/>
        <v>112</v>
      </c>
      <c r="K66" s="87"/>
      <c r="L66" s="60">
        <f t="shared" si="8"/>
        <v>2023</v>
      </c>
      <c r="M66" s="60">
        <f t="shared" si="9"/>
        <v>2</v>
      </c>
    </row>
    <row r="67" customHeight="1" spans="2:13">
      <c r="B67" s="59">
        <v>64</v>
      </c>
      <c r="C67" s="128">
        <v>44966</v>
      </c>
      <c r="D67" s="87" t="s">
        <v>263</v>
      </c>
      <c r="E67" s="87" t="s">
        <v>85</v>
      </c>
      <c r="F67" s="60" t="str">
        <f>IFERROR(VLOOKUP($E67,'基础-办公用品信息'!$C:$E,2,FALSE),"-")</f>
        <v>个</v>
      </c>
      <c r="G67" s="60">
        <f>IFERROR(VLOOKUP($E67,'基础-办公用品信息'!$C:$E,3,FALSE),"-")</f>
        <v>0</v>
      </c>
      <c r="H67" s="126">
        <f>IFERROR(VLOOKUP($E67,'基础-办公用品信息'!$C:$F,4,FALSE),"-")</f>
        <v>59</v>
      </c>
      <c r="I67" s="87">
        <v>2</v>
      </c>
      <c r="J67" s="61">
        <f t="shared" si="7"/>
        <v>118</v>
      </c>
      <c r="K67" s="87"/>
      <c r="L67" s="60">
        <f t="shared" si="8"/>
        <v>2023</v>
      </c>
      <c r="M67" s="60">
        <f t="shared" si="9"/>
        <v>2</v>
      </c>
    </row>
    <row r="68" customHeight="1" spans="2:13">
      <c r="B68" s="59">
        <v>65</v>
      </c>
      <c r="C68" s="128">
        <v>44966</v>
      </c>
      <c r="D68" s="87" t="s">
        <v>286</v>
      </c>
      <c r="E68" s="87" t="s">
        <v>74</v>
      </c>
      <c r="F68" s="60" t="str">
        <f>IFERROR(VLOOKUP($E68,'基础-办公用品信息'!$C:$E,2,FALSE),"-")</f>
        <v>节</v>
      </c>
      <c r="G68" s="60">
        <f>IFERROR(VLOOKUP($E68,'基础-办公用品信息'!$C:$E,3,FALSE),"-")</f>
        <v>0</v>
      </c>
      <c r="H68" s="126">
        <f>IFERROR(VLOOKUP($E68,'基础-办公用品信息'!$C:$F,4,FALSE),"-")</f>
        <v>2.1</v>
      </c>
      <c r="I68" s="87">
        <v>120</v>
      </c>
      <c r="J68" s="61">
        <f t="shared" si="7"/>
        <v>252</v>
      </c>
      <c r="K68" s="87"/>
      <c r="L68" s="60">
        <f t="shared" si="8"/>
        <v>2023</v>
      </c>
      <c r="M68" s="60">
        <f t="shared" si="9"/>
        <v>2</v>
      </c>
    </row>
    <row r="69" customHeight="1" spans="2:13">
      <c r="B69" s="59">
        <v>66</v>
      </c>
      <c r="C69" s="128">
        <v>44966</v>
      </c>
      <c r="D69" s="87" t="s">
        <v>286</v>
      </c>
      <c r="E69" s="87" t="s">
        <v>20</v>
      </c>
      <c r="F69" s="60" t="str">
        <f>IFERROR(VLOOKUP($E69,'基础-办公用品信息'!$C:$E,2,FALSE),"-")</f>
        <v>本</v>
      </c>
      <c r="G69" s="60">
        <f>IFERROR(VLOOKUP($E69,'基础-办公用品信息'!$C:$E,3,FALSE),"-")</f>
        <v>0</v>
      </c>
      <c r="H69" s="126">
        <f>IFERROR(VLOOKUP($E69,'基础-办公用品信息'!$C:$F,4,FALSE),"-")</f>
        <v>7.5</v>
      </c>
      <c r="I69" s="87">
        <v>20</v>
      </c>
      <c r="J69" s="61">
        <f t="shared" si="7"/>
        <v>150</v>
      </c>
      <c r="K69" s="87"/>
      <c r="L69" s="60">
        <f t="shared" si="8"/>
        <v>2023</v>
      </c>
      <c r="M69" s="60">
        <f t="shared" si="9"/>
        <v>2</v>
      </c>
    </row>
    <row r="70" customHeight="1" spans="2:13">
      <c r="B70" s="59">
        <v>67</v>
      </c>
      <c r="C70" s="128">
        <v>44966</v>
      </c>
      <c r="D70" s="87" t="s">
        <v>286</v>
      </c>
      <c r="E70" s="87" t="s">
        <v>173</v>
      </c>
      <c r="F70" s="60" t="str">
        <f>IFERROR(VLOOKUP($E70,'基础-办公用品信息'!$C:$E,2,FALSE),"-")</f>
        <v>条</v>
      </c>
      <c r="G70" s="60">
        <f>IFERROR(VLOOKUP($E70,'基础-办公用品信息'!$C:$E,3,FALSE),"-")</f>
        <v>0</v>
      </c>
      <c r="H70" s="126">
        <f>IFERROR(VLOOKUP($E70,'基础-办公用品信息'!$C:$F,4,FALSE),"-")</f>
        <v>0</v>
      </c>
      <c r="I70" s="87">
        <v>20</v>
      </c>
      <c r="J70" s="61">
        <f t="shared" si="7"/>
        <v>0</v>
      </c>
      <c r="K70" s="87"/>
      <c r="L70" s="60">
        <f t="shared" si="8"/>
        <v>2023</v>
      </c>
      <c r="M70" s="60">
        <f t="shared" si="9"/>
        <v>2</v>
      </c>
    </row>
    <row r="71" customHeight="1" spans="2:13">
      <c r="B71" s="59">
        <v>68</v>
      </c>
      <c r="C71" s="128">
        <v>44966</v>
      </c>
      <c r="D71" s="87" t="s">
        <v>286</v>
      </c>
      <c r="E71" s="87" t="s">
        <v>59</v>
      </c>
      <c r="F71" s="60" t="str">
        <f>IFERROR(VLOOKUP($E71,'基础-办公用品信息'!$C:$E,2,FALSE),"-")</f>
        <v>把</v>
      </c>
      <c r="G71" s="60">
        <f>IFERROR(VLOOKUP($E71,'基础-办公用品信息'!$C:$E,3,FALSE),"-")</f>
        <v>0</v>
      </c>
      <c r="H71" s="126">
        <f>IFERROR(VLOOKUP($E71,'基础-办公用品信息'!$C:$F,4,FALSE),"-")</f>
        <v>3.5</v>
      </c>
      <c r="I71" s="87">
        <v>12</v>
      </c>
      <c r="J71" s="61">
        <f t="shared" si="7"/>
        <v>42</v>
      </c>
      <c r="K71" s="87"/>
      <c r="L71" s="60">
        <f t="shared" si="8"/>
        <v>2023</v>
      </c>
      <c r="M71" s="60">
        <f t="shared" si="9"/>
        <v>2</v>
      </c>
    </row>
    <row r="72" customHeight="1" spans="2:13">
      <c r="B72" s="59">
        <v>69</v>
      </c>
      <c r="C72" s="128">
        <v>44966</v>
      </c>
      <c r="D72" s="87" t="s">
        <v>286</v>
      </c>
      <c r="E72" s="87" t="s">
        <v>57</v>
      </c>
      <c r="F72" s="60" t="str">
        <f>IFERROR(VLOOKUP($E72,'基础-办公用品信息'!$C:$E,2,FALSE),"-")</f>
        <v>把</v>
      </c>
      <c r="G72" s="60">
        <f>IFERROR(VLOOKUP($E72,'基础-办公用品信息'!$C:$E,3,FALSE),"-")</f>
        <v>0</v>
      </c>
      <c r="H72" s="126">
        <f>IFERROR(VLOOKUP($E72,'基础-办公用品信息'!$C:$F,4,FALSE),"-")</f>
        <v>0</v>
      </c>
      <c r="I72" s="87">
        <v>5</v>
      </c>
      <c r="J72" s="61">
        <f t="shared" si="7"/>
        <v>0</v>
      </c>
      <c r="K72" s="87"/>
      <c r="L72" s="60">
        <f t="shared" si="8"/>
        <v>2023</v>
      </c>
      <c r="M72" s="60">
        <f t="shared" si="9"/>
        <v>2</v>
      </c>
    </row>
    <row r="73" customHeight="1" spans="2:13">
      <c r="B73" s="59">
        <v>70</v>
      </c>
      <c r="C73" s="128">
        <v>44966</v>
      </c>
      <c r="D73" s="87" t="s">
        <v>286</v>
      </c>
      <c r="E73" s="87" t="s">
        <v>79</v>
      </c>
      <c r="F73" s="60" t="str">
        <f>IFERROR(VLOOKUP($E73,'基础-办公用品信息'!$C:$E,2,FALSE),"-")</f>
        <v>盒</v>
      </c>
      <c r="G73" s="60">
        <f>IFERROR(VLOOKUP($E73,'基础-办公用品信息'!$C:$E,3,FALSE),"-")</f>
        <v>0</v>
      </c>
      <c r="H73" s="126">
        <f>IFERROR(VLOOKUP($E73,'基础-办公用品信息'!$C:$F,4,FALSE),"-")</f>
        <v>11</v>
      </c>
      <c r="I73" s="87">
        <v>10</v>
      </c>
      <c r="J73" s="61">
        <f t="shared" si="7"/>
        <v>110</v>
      </c>
      <c r="K73" s="87"/>
      <c r="L73" s="60">
        <f t="shared" si="8"/>
        <v>2023</v>
      </c>
      <c r="M73" s="60">
        <f t="shared" si="9"/>
        <v>2</v>
      </c>
    </row>
    <row r="74" customHeight="1" spans="2:13">
      <c r="B74" s="59">
        <v>71</v>
      </c>
      <c r="C74" s="128">
        <v>44966</v>
      </c>
      <c r="D74" s="87" t="s">
        <v>286</v>
      </c>
      <c r="E74" s="87" t="s">
        <v>82</v>
      </c>
      <c r="F74" s="60" t="str">
        <f>IFERROR(VLOOKUP($E74,'基础-办公用品信息'!$C:$E,2,FALSE),"-")</f>
        <v>盒</v>
      </c>
      <c r="G74" s="60">
        <f>IFERROR(VLOOKUP($E74,'基础-办公用品信息'!$C:$E,3,FALSE),"-")</f>
        <v>0</v>
      </c>
      <c r="H74" s="126">
        <f>IFERROR(VLOOKUP($E74,'基础-办公用品信息'!$C:$F,4,FALSE),"-")</f>
        <v>7</v>
      </c>
      <c r="I74" s="87">
        <v>10</v>
      </c>
      <c r="J74" s="61">
        <f t="shared" si="7"/>
        <v>70</v>
      </c>
      <c r="K74" s="87"/>
      <c r="L74" s="60">
        <f t="shared" si="8"/>
        <v>2023</v>
      </c>
      <c r="M74" s="60">
        <f t="shared" si="9"/>
        <v>2</v>
      </c>
    </row>
    <row r="75" customHeight="1" spans="2:13">
      <c r="B75" s="59">
        <v>72</v>
      </c>
      <c r="C75" s="128">
        <v>44966</v>
      </c>
      <c r="D75" s="87" t="s">
        <v>286</v>
      </c>
      <c r="E75" s="87" t="s">
        <v>83</v>
      </c>
      <c r="F75" s="60" t="str">
        <f>IFERROR(VLOOKUP($E75,'基础-办公用品信息'!$C:$E,2,FALSE),"-")</f>
        <v>盒</v>
      </c>
      <c r="G75" s="60">
        <f>IFERROR(VLOOKUP($E75,'基础-办公用品信息'!$C:$E,3,FALSE),"-")</f>
        <v>0</v>
      </c>
      <c r="H75" s="126">
        <f>IFERROR(VLOOKUP($E75,'基础-办公用品信息'!$C:$F,4,FALSE),"-")</f>
        <v>8</v>
      </c>
      <c r="I75" s="87">
        <v>10</v>
      </c>
      <c r="J75" s="61">
        <f t="shared" si="7"/>
        <v>80</v>
      </c>
      <c r="K75" s="87"/>
      <c r="L75" s="60">
        <f t="shared" si="8"/>
        <v>2023</v>
      </c>
      <c r="M75" s="60">
        <f t="shared" si="9"/>
        <v>2</v>
      </c>
    </row>
    <row r="76" customHeight="1" spans="2:13">
      <c r="B76" s="59">
        <v>73</v>
      </c>
      <c r="C76" s="128">
        <v>44967</v>
      </c>
      <c r="D76" s="87" t="s">
        <v>263</v>
      </c>
      <c r="E76" s="87" t="s">
        <v>196</v>
      </c>
      <c r="F76" s="60" t="str">
        <f>IFERROR(VLOOKUP($E76,'基础-办公用品信息'!$C:$E,2,FALSE),"-")</f>
        <v>个</v>
      </c>
      <c r="G76" s="60">
        <f>IFERROR(VLOOKUP($E76,'基础-办公用品信息'!$C:$E,3,FALSE),"-")</f>
        <v>0</v>
      </c>
      <c r="H76" s="126">
        <f>IFERROR(VLOOKUP($E76,'基础-办公用品信息'!$C:$F,4,FALSE),"-")</f>
        <v>0</v>
      </c>
      <c r="I76" s="87">
        <v>80</v>
      </c>
      <c r="J76" s="61">
        <f t="shared" si="7"/>
        <v>0</v>
      </c>
      <c r="K76" s="87"/>
      <c r="L76" s="60">
        <f t="shared" si="8"/>
        <v>2023</v>
      </c>
      <c r="M76" s="60">
        <f t="shared" si="9"/>
        <v>2</v>
      </c>
    </row>
    <row r="77" customHeight="1" spans="2:13">
      <c r="B77" s="59">
        <v>74</v>
      </c>
      <c r="C77" s="128">
        <v>44968</v>
      </c>
      <c r="D77" s="87" t="s">
        <v>263</v>
      </c>
      <c r="E77" s="87" t="s">
        <v>221</v>
      </c>
      <c r="F77" s="60" t="str">
        <f>IFERROR(VLOOKUP($E77,'基础-办公用品信息'!$C:$E,2,FALSE),"-")</f>
        <v>个</v>
      </c>
      <c r="G77" s="60">
        <f>IFERROR(VLOOKUP($E77,'基础-办公用品信息'!$C:$E,3,FALSE),"-")</f>
        <v>0</v>
      </c>
      <c r="H77" s="126">
        <v>45</v>
      </c>
      <c r="I77" s="87">
        <v>1</v>
      </c>
      <c r="J77" s="61">
        <f t="shared" si="7"/>
        <v>45</v>
      </c>
      <c r="K77" s="87"/>
      <c r="L77" s="60">
        <f t="shared" si="8"/>
        <v>2023</v>
      </c>
      <c r="M77" s="60">
        <f t="shared" si="9"/>
        <v>2</v>
      </c>
    </row>
    <row r="78" customHeight="1" spans="2:13">
      <c r="B78" s="59">
        <v>75</v>
      </c>
      <c r="C78" s="128">
        <v>44968</v>
      </c>
      <c r="D78" s="87" t="s">
        <v>263</v>
      </c>
      <c r="E78" s="87" t="s">
        <v>164</v>
      </c>
      <c r="F78" s="60" t="str">
        <f>IFERROR(VLOOKUP($E78,'基础-办公用品信息'!$C:$E,2,FALSE),"-")</f>
        <v>卷</v>
      </c>
      <c r="G78" s="60">
        <f>IFERROR(VLOOKUP($E78,'基础-办公用品信息'!$C:$E,3,FALSE),"-")</f>
        <v>0</v>
      </c>
      <c r="H78" s="126">
        <v>2.5</v>
      </c>
      <c r="I78" s="87">
        <v>10</v>
      </c>
      <c r="J78" s="61">
        <f t="shared" si="7"/>
        <v>25</v>
      </c>
      <c r="K78" s="87"/>
      <c r="L78" s="60">
        <f t="shared" si="8"/>
        <v>2023</v>
      </c>
      <c r="M78" s="60">
        <f t="shared" si="9"/>
        <v>2</v>
      </c>
    </row>
    <row r="79" customHeight="1" spans="2:13">
      <c r="B79" s="59">
        <v>76</v>
      </c>
      <c r="C79" s="128">
        <v>44968</v>
      </c>
      <c r="D79" s="87" t="s">
        <v>263</v>
      </c>
      <c r="E79" s="87" t="s">
        <v>234</v>
      </c>
      <c r="F79" s="60" t="str">
        <f>IFERROR(VLOOKUP($E79,'基础-办公用品信息'!$C:$E,2,FALSE),"-")</f>
        <v>个</v>
      </c>
      <c r="G79" s="60">
        <f>IFERROR(VLOOKUP($E79,'基础-办公用品信息'!$C:$E,3,FALSE),"-")</f>
        <v>0</v>
      </c>
      <c r="H79" s="126">
        <v>250</v>
      </c>
      <c r="I79" s="87">
        <v>2</v>
      </c>
      <c r="J79" s="61">
        <f t="shared" si="7"/>
        <v>500</v>
      </c>
      <c r="K79" s="87"/>
      <c r="L79" s="60">
        <f t="shared" si="8"/>
        <v>2023</v>
      </c>
      <c r="M79" s="60">
        <f t="shared" si="9"/>
        <v>2</v>
      </c>
    </row>
    <row r="80" customHeight="1" spans="2:13">
      <c r="B80" s="59">
        <v>77</v>
      </c>
      <c r="C80" s="128">
        <v>44968</v>
      </c>
      <c r="D80" s="87" t="s">
        <v>263</v>
      </c>
      <c r="E80" s="87" t="s">
        <v>235</v>
      </c>
      <c r="F80" s="60" t="str">
        <f>IFERROR(VLOOKUP($E80,'基础-办公用品信息'!$C:$E,2,FALSE),"-")</f>
        <v>个</v>
      </c>
      <c r="G80" s="60">
        <f>IFERROR(VLOOKUP($E80,'基础-办公用品信息'!$C:$E,3,FALSE),"-")</f>
        <v>0</v>
      </c>
      <c r="H80" s="126">
        <v>25</v>
      </c>
      <c r="I80" s="87">
        <v>1</v>
      </c>
      <c r="J80" s="61">
        <f t="shared" si="7"/>
        <v>25</v>
      </c>
      <c r="K80" s="87"/>
      <c r="L80" s="60">
        <f t="shared" si="8"/>
        <v>2023</v>
      </c>
      <c r="M80" s="60">
        <f t="shared" si="9"/>
        <v>2</v>
      </c>
    </row>
    <row r="81" customHeight="1" spans="2:13">
      <c r="B81" s="59">
        <v>78</v>
      </c>
      <c r="C81" s="128">
        <v>44968</v>
      </c>
      <c r="D81" s="87" t="s">
        <v>263</v>
      </c>
      <c r="E81" s="87" t="s">
        <v>236</v>
      </c>
      <c r="F81" s="60" t="str">
        <f>IFERROR(VLOOKUP($E81,'基础-办公用品信息'!$C:$E,2,FALSE),"-")</f>
        <v>个</v>
      </c>
      <c r="G81" s="60">
        <f>IFERROR(VLOOKUP($E81,'基础-办公用品信息'!$C:$E,3,FALSE),"-")</f>
        <v>0</v>
      </c>
      <c r="H81" s="126">
        <v>2.5</v>
      </c>
      <c r="I81" s="87">
        <v>10</v>
      </c>
      <c r="J81" s="61">
        <f t="shared" si="7"/>
        <v>25</v>
      </c>
      <c r="K81" s="87"/>
      <c r="L81" s="60">
        <f t="shared" si="8"/>
        <v>2023</v>
      </c>
      <c r="M81" s="60">
        <f t="shared" si="9"/>
        <v>2</v>
      </c>
    </row>
    <row r="82" customHeight="1" spans="2:13">
      <c r="B82" s="59">
        <v>79</v>
      </c>
      <c r="C82" s="128">
        <v>44968</v>
      </c>
      <c r="D82" s="87" t="s">
        <v>263</v>
      </c>
      <c r="E82" s="87" t="s">
        <v>222</v>
      </c>
      <c r="F82" s="60" t="str">
        <f>IFERROR(VLOOKUP($E82,'基础-办公用品信息'!$C:$E,2,FALSE),"-")</f>
        <v>个</v>
      </c>
      <c r="G82" s="60">
        <f>IFERROR(VLOOKUP($E82,'基础-办公用品信息'!$C:$E,3,FALSE),"-")</f>
        <v>0</v>
      </c>
      <c r="H82" s="126">
        <v>28</v>
      </c>
      <c r="I82" s="87">
        <v>2</v>
      </c>
      <c r="J82" s="61">
        <f t="shared" si="7"/>
        <v>56</v>
      </c>
      <c r="K82" s="87"/>
      <c r="L82" s="60">
        <f t="shared" si="8"/>
        <v>2023</v>
      </c>
      <c r="M82" s="60">
        <f t="shared" si="9"/>
        <v>2</v>
      </c>
    </row>
    <row r="83" customHeight="1" spans="2:13">
      <c r="B83" s="59">
        <v>80</v>
      </c>
      <c r="C83" s="128">
        <v>44968</v>
      </c>
      <c r="D83" s="87" t="s">
        <v>263</v>
      </c>
      <c r="E83" s="87" t="s">
        <v>237</v>
      </c>
      <c r="F83" s="60" t="str">
        <f>IFERROR(VLOOKUP($E83,'基础-办公用品信息'!$C:$E,2,FALSE),"-")</f>
        <v>个</v>
      </c>
      <c r="G83" s="60">
        <f>IFERROR(VLOOKUP($E83,'基础-办公用品信息'!$C:$E,3,FALSE),"-")</f>
        <v>0</v>
      </c>
      <c r="H83" s="126">
        <v>20</v>
      </c>
      <c r="I83" s="87">
        <v>3</v>
      </c>
      <c r="J83" s="61">
        <f t="shared" si="7"/>
        <v>60</v>
      </c>
      <c r="K83" s="87"/>
      <c r="L83" s="60">
        <f t="shared" si="8"/>
        <v>2023</v>
      </c>
      <c r="M83" s="60">
        <f t="shared" si="9"/>
        <v>2</v>
      </c>
    </row>
    <row r="84" customHeight="1" spans="2:13">
      <c r="B84" s="59">
        <v>81</v>
      </c>
      <c r="C84" s="128">
        <v>44968</v>
      </c>
      <c r="D84" s="87" t="s">
        <v>263</v>
      </c>
      <c r="E84" s="87" t="s">
        <v>238</v>
      </c>
      <c r="F84" s="60" t="str">
        <f>IFERROR(VLOOKUP($E84,'基础-办公用品信息'!$C:$E,2,FALSE),"-")</f>
        <v>个</v>
      </c>
      <c r="G84" s="60">
        <f>IFERROR(VLOOKUP($E84,'基础-办公用品信息'!$C:$E,3,FALSE),"-")</f>
        <v>0</v>
      </c>
      <c r="H84" s="126">
        <v>3</v>
      </c>
      <c r="I84" s="87">
        <v>5</v>
      </c>
      <c r="J84" s="61">
        <f t="shared" si="7"/>
        <v>15</v>
      </c>
      <c r="K84" s="87"/>
      <c r="L84" s="60">
        <f t="shared" si="8"/>
        <v>2023</v>
      </c>
      <c r="M84" s="60">
        <f t="shared" si="9"/>
        <v>2</v>
      </c>
    </row>
    <row r="85" customHeight="1" spans="2:13">
      <c r="B85" s="59">
        <v>82</v>
      </c>
      <c r="C85" s="128">
        <v>44968</v>
      </c>
      <c r="D85" s="87" t="s">
        <v>263</v>
      </c>
      <c r="E85" s="87" t="s">
        <v>239</v>
      </c>
      <c r="F85" s="60" t="str">
        <f>IFERROR(VLOOKUP($E85,'基础-办公用品信息'!$C:$E,2,FALSE),"-")</f>
        <v>个</v>
      </c>
      <c r="G85" s="60">
        <f>IFERROR(VLOOKUP($E85,'基础-办公用品信息'!$C:$E,3,FALSE),"-")</f>
        <v>0</v>
      </c>
      <c r="H85" s="126">
        <v>120</v>
      </c>
      <c r="I85" s="87">
        <v>1</v>
      </c>
      <c r="J85" s="61">
        <f t="shared" si="7"/>
        <v>120</v>
      </c>
      <c r="K85" s="87"/>
      <c r="L85" s="60">
        <f t="shared" si="8"/>
        <v>2023</v>
      </c>
      <c r="M85" s="60">
        <f t="shared" si="9"/>
        <v>2</v>
      </c>
    </row>
    <row r="86" customHeight="1" spans="2:13">
      <c r="B86" s="59">
        <v>83</v>
      </c>
      <c r="C86" s="128">
        <v>44968</v>
      </c>
      <c r="D86" s="87" t="s">
        <v>263</v>
      </c>
      <c r="E86" s="87" t="s">
        <v>240</v>
      </c>
      <c r="F86" s="60" t="str">
        <f>IFERROR(VLOOKUP($E86,'基础-办公用品信息'!$C:$E,2,FALSE),"-")</f>
        <v>个</v>
      </c>
      <c r="G86" s="60">
        <f>IFERROR(VLOOKUP($E86,'基础-办公用品信息'!$C:$E,3,FALSE),"-")</f>
        <v>0</v>
      </c>
      <c r="H86" s="126">
        <v>30</v>
      </c>
      <c r="I86" s="87">
        <v>1</v>
      </c>
      <c r="J86" s="61">
        <f t="shared" si="7"/>
        <v>30</v>
      </c>
      <c r="K86" s="87"/>
      <c r="L86" s="60">
        <f t="shared" si="8"/>
        <v>2023</v>
      </c>
      <c r="M86" s="60">
        <f t="shared" si="9"/>
        <v>2</v>
      </c>
    </row>
    <row r="87" customHeight="1" spans="2:13">
      <c r="B87" s="59">
        <v>84</v>
      </c>
      <c r="C87" s="128">
        <v>44968</v>
      </c>
      <c r="D87" s="87" t="s">
        <v>263</v>
      </c>
      <c r="E87" s="87" t="s">
        <v>241</v>
      </c>
      <c r="F87" s="60" t="str">
        <f>IFERROR(VLOOKUP($E87,'基础-办公用品信息'!$C:$E,2,FALSE),"-")</f>
        <v>个</v>
      </c>
      <c r="G87" s="60">
        <f>IFERROR(VLOOKUP($E87,'基础-办公用品信息'!$C:$E,3,FALSE),"-")</f>
        <v>0</v>
      </c>
      <c r="H87" s="126">
        <v>65</v>
      </c>
      <c r="I87" s="87">
        <v>1</v>
      </c>
      <c r="J87" s="61">
        <f t="shared" si="7"/>
        <v>65</v>
      </c>
      <c r="K87" s="87"/>
      <c r="L87" s="60">
        <f t="shared" si="8"/>
        <v>2023</v>
      </c>
      <c r="M87" s="60">
        <f t="shared" si="9"/>
        <v>2</v>
      </c>
    </row>
    <row r="88" customHeight="1" spans="2:13">
      <c r="B88" s="59">
        <v>85</v>
      </c>
      <c r="C88" s="128">
        <v>44968</v>
      </c>
      <c r="D88" s="87" t="s">
        <v>263</v>
      </c>
      <c r="E88" s="87" t="s">
        <v>242</v>
      </c>
      <c r="F88" s="60" t="str">
        <f>IFERROR(VLOOKUP($E88,'基础-办公用品信息'!$C:$E,2,FALSE),"-")</f>
        <v>个</v>
      </c>
      <c r="G88" s="60">
        <f>IFERROR(VLOOKUP($E88,'基础-办公用品信息'!$C:$E,3,FALSE),"-")</f>
        <v>0</v>
      </c>
      <c r="H88" s="126">
        <v>20</v>
      </c>
      <c r="I88" s="87">
        <v>6</v>
      </c>
      <c r="J88" s="61">
        <f t="shared" si="7"/>
        <v>120</v>
      </c>
      <c r="K88" s="87"/>
      <c r="L88" s="60">
        <f t="shared" si="8"/>
        <v>2023</v>
      </c>
      <c r="M88" s="60">
        <f t="shared" si="9"/>
        <v>2</v>
      </c>
    </row>
    <row r="89" customHeight="1" spans="2:13">
      <c r="B89" s="59">
        <v>86</v>
      </c>
      <c r="C89" s="128">
        <v>44968</v>
      </c>
      <c r="D89" s="87" t="s">
        <v>263</v>
      </c>
      <c r="E89" s="87" t="s">
        <v>240</v>
      </c>
      <c r="F89" s="60" t="str">
        <f>IFERROR(VLOOKUP($E89,'基础-办公用品信息'!$C:$E,2,FALSE),"-")</f>
        <v>个</v>
      </c>
      <c r="G89" s="60">
        <f>IFERROR(VLOOKUP($E89,'基础-办公用品信息'!$C:$E,3,FALSE),"-")</f>
        <v>0</v>
      </c>
      <c r="H89" s="126">
        <v>30</v>
      </c>
      <c r="I89" s="87">
        <v>4</v>
      </c>
      <c r="J89" s="61">
        <f t="shared" si="7"/>
        <v>120</v>
      </c>
      <c r="K89" s="87"/>
      <c r="L89" s="60">
        <f t="shared" si="8"/>
        <v>2023</v>
      </c>
      <c r="M89" s="60">
        <f t="shared" si="9"/>
        <v>2</v>
      </c>
    </row>
    <row r="90" customHeight="1" spans="2:13">
      <c r="B90" s="59">
        <v>87</v>
      </c>
      <c r="C90" s="128">
        <v>44968</v>
      </c>
      <c r="D90" s="87" t="s">
        <v>263</v>
      </c>
      <c r="E90" s="87" t="s">
        <v>197</v>
      </c>
      <c r="F90" s="60" t="str">
        <f>IFERROR(VLOOKUP($E90,'基础-办公用品信息'!$C:$E,2,FALSE),"-")</f>
        <v>个</v>
      </c>
      <c r="G90" s="60">
        <f>IFERROR(VLOOKUP($E90,'基础-办公用品信息'!$C:$E,3,FALSE),"-")</f>
        <v>0</v>
      </c>
      <c r="H90" s="126">
        <v>20</v>
      </c>
      <c r="I90" s="87">
        <v>5</v>
      </c>
      <c r="J90" s="61">
        <f t="shared" si="7"/>
        <v>100</v>
      </c>
      <c r="K90" s="87"/>
      <c r="L90" s="60">
        <f t="shared" si="8"/>
        <v>2023</v>
      </c>
      <c r="M90" s="60">
        <f t="shared" si="9"/>
        <v>2</v>
      </c>
    </row>
    <row r="91" customHeight="1" spans="2:13">
      <c r="B91" s="59">
        <v>88</v>
      </c>
      <c r="C91" s="128">
        <v>44968</v>
      </c>
      <c r="D91" s="87" t="s">
        <v>263</v>
      </c>
      <c r="E91" s="87" t="s">
        <v>198</v>
      </c>
      <c r="F91" s="60" t="str">
        <f>IFERROR(VLOOKUP($E91,'基础-办公用品信息'!$C:$E,2,FALSE),"-")</f>
        <v>个</v>
      </c>
      <c r="G91" s="60">
        <f>IFERROR(VLOOKUP($E91,'基础-办公用品信息'!$C:$E,3,FALSE),"-")</f>
        <v>0</v>
      </c>
      <c r="H91" s="126">
        <v>16</v>
      </c>
      <c r="I91" s="87">
        <v>60</v>
      </c>
      <c r="J91" s="61">
        <f t="shared" si="7"/>
        <v>960</v>
      </c>
      <c r="K91" s="87"/>
      <c r="L91" s="60">
        <f t="shared" si="8"/>
        <v>2023</v>
      </c>
      <c r="M91" s="60">
        <f t="shared" si="9"/>
        <v>2</v>
      </c>
    </row>
    <row r="92" customHeight="1" spans="2:13">
      <c r="B92" s="59">
        <v>89</v>
      </c>
      <c r="C92" s="128">
        <v>44968</v>
      </c>
      <c r="D92" s="87" t="s">
        <v>263</v>
      </c>
      <c r="E92" s="87" t="s">
        <v>199</v>
      </c>
      <c r="F92" s="60" t="str">
        <f>IFERROR(VLOOKUP($E92,'基础-办公用品信息'!$C:$E,2,FALSE),"-")</f>
        <v>个</v>
      </c>
      <c r="G92" s="60">
        <f>IFERROR(VLOOKUP($E92,'基础-办公用品信息'!$C:$E,3,FALSE),"-")</f>
        <v>0</v>
      </c>
      <c r="H92" s="126">
        <v>8</v>
      </c>
      <c r="I92" s="87">
        <v>5</v>
      </c>
      <c r="J92" s="61">
        <f t="shared" si="7"/>
        <v>40</v>
      </c>
      <c r="K92" s="87"/>
      <c r="L92" s="60">
        <f t="shared" si="8"/>
        <v>2023</v>
      </c>
      <c r="M92" s="60">
        <f t="shared" si="9"/>
        <v>2</v>
      </c>
    </row>
    <row r="93" customHeight="1" spans="2:13">
      <c r="B93" s="59">
        <v>90</v>
      </c>
      <c r="C93" s="128">
        <v>44968</v>
      </c>
      <c r="D93" s="87" t="s">
        <v>263</v>
      </c>
      <c r="E93" s="87" t="s">
        <v>200</v>
      </c>
      <c r="F93" s="60" t="str">
        <f>IFERROR(VLOOKUP($E93,'基础-办公用品信息'!$C:$E,2,FALSE),"-")</f>
        <v>个</v>
      </c>
      <c r="G93" s="60">
        <f>IFERROR(VLOOKUP($E93,'基础-办公用品信息'!$C:$E,3,FALSE),"-")</f>
        <v>0</v>
      </c>
      <c r="H93" s="126">
        <v>4</v>
      </c>
      <c r="I93" s="87">
        <v>5</v>
      </c>
      <c r="J93" s="61">
        <f t="shared" si="7"/>
        <v>20</v>
      </c>
      <c r="K93" s="87"/>
      <c r="L93" s="60">
        <f t="shared" si="8"/>
        <v>2023</v>
      </c>
      <c r="M93" s="60">
        <f t="shared" si="9"/>
        <v>2</v>
      </c>
    </row>
    <row r="94" customHeight="1" spans="2:13">
      <c r="B94" s="59">
        <v>91</v>
      </c>
      <c r="C94" s="128">
        <v>44968</v>
      </c>
      <c r="D94" s="87" t="s">
        <v>263</v>
      </c>
      <c r="E94" s="87" t="s">
        <v>201</v>
      </c>
      <c r="F94" s="60" t="str">
        <f>IFERROR(VLOOKUP($E94,'基础-办公用品信息'!$C:$E,2,FALSE),"-")</f>
        <v>个</v>
      </c>
      <c r="G94" s="60">
        <f>IFERROR(VLOOKUP($E94,'基础-办公用品信息'!$C:$E,3,FALSE),"-")</f>
        <v>0</v>
      </c>
      <c r="H94" s="126">
        <v>42</v>
      </c>
      <c r="I94" s="87">
        <v>2</v>
      </c>
      <c r="J94" s="61">
        <f t="shared" si="7"/>
        <v>84</v>
      </c>
      <c r="K94" s="87"/>
      <c r="L94" s="60">
        <f t="shared" si="8"/>
        <v>2023</v>
      </c>
      <c r="M94" s="60">
        <f t="shared" si="9"/>
        <v>2</v>
      </c>
    </row>
    <row r="95" customHeight="1" spans="2:13">
      <c r="B95" s="59">
        <v>92</v>
      </c>
      <c r="C95" s="128">
        <v>44968</v>
      </c>
      <c r="D95" s="87" t="s">
        <v>263</v>
      </c>
      <c r="E95" s="87" t="s">
        <v>202</v>
      </c>
      <c r="F95" s="60" t="str">
        <f>IFERROR(VLOOKUP($E95,'基础-办公用品信息'!$C:$E,2,FALSE),"-")</f>
        <v>个</v>
      </c>
      <c r="G95" s="60">
        <f>IFERROR(VLOOKUP($E95,'基础-办公用品信息'!$C:$E,3,FALSE),"-")</f>
        <v>0</v>
      </c>
      <c r="H95" s="126">
        <v>45</v>
      </c>
      <c r="I95" s="87">
        <v>1</v>
      </c>
      <c r="J95" s="61">
        <f t="shared" si="7"/>
        <v>45</v>
      </c>
      <c r="K95" s="87"/>
      <c r="L95" s="60">
        <f t="shared" si="8"/>
        <v>2023</v>
      </c>
      <c r="M95" s="60">
        <f t="shared" si="9"/>
        <v>2</v>
      </c>
    </row>
    <row r="96" customHeight="1" spans="2:13">
      <c r="B96" s="59">
        <v>93</v>
      </c>
      <c r="C96" s="128">
        <v>44968</v>
      </c>
      <c r="D96" s="87" t="s">
        <v>263</v>
      </c>
      <c r="E96" s="87" t="s">
        <v>203</v>
      </c>
      <c r="F96" s="60" t="str">
        <f>IFERROR(VLOOKUP($E96,'基础-办公用品信息'!$C:$E,2,FALSE),"-")</f>
        <v>个</v>
      </c>
      <c r="G96" s="60">
        <f>IFERROR(VLOOKUP($E96,'基础-办公用品信息'!$C:$E,3,FALSE),"-")</f>
        <v>0</v>
      </c>
      <c r="H96" s="126">
        <v>15</v>
      </c>
      <c r="I96" s="87">
        <v>1</v>
      </c>
      <c r="J96" s="61">
        <f t="shared" si="7"/>
        <v>15</v>
      </c>
      <c r="K96" s="87"/>
      <c r="L96" s="60">
        <f t="shared" si="8"/>
        <v>2023</v>
      </c>
      <c r="M96" s="60">
        <f t="shared" si="9"/>
        <v>2</v>
      </c>
    </row>
    <row r="97" customHeight="1" spans="2:13">
      <c r="B97" s="59">
        <v>94</v>
      </c>
      <c r="C97" s="128">
        <v>44968</v>
      </c>
      <c r="D97" s="87" t="s">
        <v>263</v>
      </c>
      <c r="E97" s="87" t="s">
        <v>204</v>
      </c>
      <c r="F97" s="60" t="str">
        <f>IFERROR(VLOOKUP($E97,'基础-办公用品信息'!$C:$E,2,FALSE),"-")</f>
        <v>个</v>
      </c>
      <c r="G97" s="60">
        <f>IFERROR(VLOOKUP($E97,'基础-办公用品信息'!$C:$E,3,FALSE),"-")</f>
        <v>0</v>
      </c>
      <c r="H97" s="126">
        <v>18</v>
      </c>
      <c r="I97" s="87">
        <v>2</v>
      </c>
      <c r="J97" s="61">
        <f t="shared" si="7"/>
        <v>36</v>
      </c>
      <c r="K97" s="87"/>
      <c r="L97" s="60">
        <f t="shared" si="8"/>
        <v>2023</v>
      </c>
      <c r="M97" s="60">
        <f t="shared" si="9"/>
        <v>2</v>
      </c>
    </row>
    <row r="98" customHeight="1" spans="2:13">
      <c r="B98" s="59">
        <v>95</v>
      </c>
      <c r="C98" s="128">
        <v>44968</v>
      </c>
      <c r="D98" s="87" t="s">
        <v>263</v>
      </c>
      <c r="E98" s="87" t="s">
        <v>205</v>
      </c>
      <c r="F98" s="60" t="str">
        <f>IFERROR(VLOOKUP($E98,'基础-办公用品信息'!$C:$E,2,FALSE),"-")</f>
        <v>个</v>
      </c>
      <c r="G98" s="60">
        <f>IFERROR(VLOOKUP($E98,'基础-办公用品信息'!$C:$E,3,FALSE),"-")</f>
        <v>0</v>
      </c>
      <c r="H98" s="126">
        <v>20</v>
      </c>
      <c r="I98" s="87">
        <v>1</v>
      </c>
      <c r="J98" s="61">
        <f t="shared" si="7"/>
        <v>20</v>
      </c>
      <c r="K98" s="87"/>
      <c r="L98" s="60">
        <f t="shared" si="8"/>
        <v>2023</v>
      </c>
      <c r="M98" s="60">
        <f t="shared" si="9"/>
        <v>2</v>
      </c>
    </row>
    <row r="99" customHeight="1" spans="2:13">
      <c r="B99" s="59">
        <v>96</v>
      </c>
      <c r="C99" s="128">
        <v>44968</v>
      </c>
      <c r="D99" s="87" t="s">
        <v>263</v>
      </c>
      <c r="E99" s="87" t="s">
        <v>205</v>
      </c>
      <c r="F99" s="60" t="str">
        <f>IFERROR(VLOOKUP($E99,'基础-办公用品信息'!$C:$E,2,FALSE),"-")</f>
        <v>个</v>
      </c>
      <c r="G99" s="60">
        <f>IFERROR(VLOOKUP($E99,'基础-办公用品信息'!$C:$E,3,FALSE),"-")</f>
        <v>0</v>
      </c>
      <c r="H99" s="126">
        <v>35</v>
      </c>
      <c r="I99" s="87">
        <v>1</v>
      </c>
      <c r="J99" s="61">
        <f t="shared" si="7"/>
        <v>35</v>
      </c>
      <c r="K99" s="87"/>
      <c r="L99" s="60">
        <f t="shared" si="8"/>
        <v>2023</v>
      </c>
      <c r="M99" s="60">
        <f t="shared" si="9"/>
        <v>2</v>
      </c>
    </row>
    <row r="100" customHeight="1" spans="2:13">
      <c r="B100" s="59">
        <v>97</v>
      </c>
      <c r="C100" s="128">
        <v>44968</v>
      </c>
      <c r="D100" s="87" t="s">
        <v>263</v>
      </c>
      <c r="E100" s="87" t="s">
        <v>59</v>
      </c>
      <c r="F100" s="60" t="str">
        <f>IFERROR(VLOOKUP($E100,'基础-办公用品信息'!$C:$E,2,FALSE),"-")</f>
        <v>把</v>
      </c>
      <c r="G100" s="60">
        <f>IFERROR(VLOOKUP($E100,'基础-办公用品信息'!$C:$E,3,FALSE),"-")</f>
        <v>0</v>
      </c>
      <c r="H100" s="126">
        <v>6</v>
      </c>
      <c r="I100" s="87">
        <v>5</v>
      </c>
      <c r="J100" s="61">
        <f t="shared" si="7"/>
        <v>30</v>
      </c>
      <c r="K100" s="87"/>
      <c r="L100" s="60">
        <f t="shared" si="8"/>
        <v>2023</v>
      </c>
      <c r="M100" s="60">
        <f t="shared" si="9"/>
        <v>2</v>
      </c>
    </row>
    <row r="101" customHeight="1" spans="2:13">
      <c r="B101" s="59">
        <v>98</v>
      </c>
      <c r="C101" s="128">
        <v>44968</v>
      </c>
      <c r="D101" s="87" t="s">
        <v>263</v>
      </c>
      <c r="E101" s="87" t="s">
        <v>206</v>
      </c>
      <c r="F101" s="60" t="str">
        <f>IFERROR(VLOOKUP($E101,'基础-办公用品信息'!$C:$E,2,FALSE),"-")</f>
        <v>个</v>
      </c>
      <c r="G101" s="60">
        <f>IFERROR(VLOOKUP($E101,'基础-办公用品信息'!$C:$E,3,FALSE),"-")</f>
        <v>0</v>
      </c>
      <c r="H101" s="126">
        <v>38</v>
      </c>
      <c r="I101" s="87">
        <v>2</v>
      </c>
      <c r="J101" s="61">
        <f t="shared" si="7"/>
        <v>76</v>
      </c>
      <c r="K101" s="87"/>
      <c r="L101" s="60">
        <f t="shared" si="8"/>
        <v>2023</v>
      </c>
      <c r="M101" s="60">
        <f t="shared" si="9"/>
        <v>2</v>
      </c>
    </row>
    <row r="102" customHeight="1" spans="2:13">
      <c r="B102" s="59">
        <v>99</v>
      </c>
      <c r="C102" s="128">
        <v>44968</v>
      </c>
      <c r="D102" s="87" t="s">
        <v>263</v>
      </c>
      <c r="E102" s="87" t="s">
        <v>207</v>
      </c>
      <c r="F102" s="60" t="str">
        <f>IFERROR(VLOOKUP($E102,'基础-办公用品信息'!$C:$E,2,FALSE),"-")</f>
        <v>个</v>
      </c>
      <c r="G102" s="60">
        <f>IFERROR(VLOOKUP($E102,'基础-办公用品信息'!$C:$E,3,FALSE),"-")</f>
        <v>0</v>
      </c>
      <c r="H102" s="126">
        <v>5</v>
      </c>
      <c r="I102" s="87">
        <v>5</v>
      </c>
      <c r="J102" s="61">
        <f t="shared" si="7"/>
        <v>25</v>
      </c>
      <c r="K102" s="87"/>
      <c r="L102" s="60">
        <f t="shared" si="8"/>
        <v>2023</v>
      </c>
      <c r="M102" s="60">
        <f t="shared" si="9"/>
        <v>2</v>
      </c>
    </row>
    <row r="103" customHeight="1" spans="2:13">
      <c r="B103" s="59">
        <v>100</v>
      </c>
      <c r="C103" s="128">
        <v>44968</v>
      </c>
      <c r="D103" s="87" t="s">
        <v>263</v>
      </c>
      <c r="E103" s="87" t="s">
        <v>208</v>
      </c>
      <c r="F103" s="60" t="str">
        <f>IFERROR(VLOOKUP($E103,'基础-办公用品信息'!$C:$E,2,FALSE),"-")</f>
        <v>个</v>
      </c>
      <c r="G103" s="60">
        <f>IFERROR(VLOOKUP($E103,'基础-办公用品信息'!$C:$E,3,FALSE),"-")</f>
        <v>0</v>
      </c>
      <c r="H103" s="126">
        <v>30</v>
      </c>
      <c r="I103" s="87">
        <v>1</v>
      </c>
      <c r="J103" s="61">
        <f t="shared" si="7"/>
        <v>30</v>
      </c>
      <c r="K103" s="87"/>
      <c r="L103" s="60">
        <f t="shared" si="8"/>
        <v>2023</v>
      </c>
      <c r="M103" s="60">
        <f t="shared" si="9"/>
        <v>2</v>
      </c>
    </row>
    <row r="104" customHeight="1" spans="2:13">
      <c r="B104" s="59">
        <v>101</v>
      </c>
      <c r="C104" s="128">
        <v>44968</v>
      </c>
      <c r="D104" s="87" t="s">
        <v>263</v>
      </c>
      <c r="E104" s="87" t="s">
        <v>209</v>
      </c>
      <c r="F104" s="60" t="str">
        <f>IFERROR(VLOOKUP($E104,'基础-办公用品信息'!$C:$E,2,FALSE),"-")</f>
        <v>个</v>
      </c>
      <c r="G104" s="60">
        <f>IFERROR(VLOOKUP($E104,'基础-办公用品信息'!$C:$E,3,FALSE),"-")</f>
        <v>0</v>
      </c>
      <c r="H104" s="126">
        <v>25</v>
      </c>
      <c r="I104" s="87">
        <v>2</v>
      </c>
      <c r="J104" s="61">
        <f t="shared" si="7"/>
        <v>50</v>
      </c>
      <c r="K104" s="87"/>
      <c r="L104" s="60">
        <f t="shared" si="8"/>
        <v>2023</v>
      </c>
      <c r="M104" s="60">
        <f t="shared" si="9"/>
        <v>2</v>
      </c>
    </row>
    <row r="105" customHeight="1" spans="2:13">
      <c r="B105" s="59">
        <v>102</v>
      </c>
      <c r="C105" s="128">
        <v>44968</v>
      </c>
      <c r="D105" s="87" t="s">
        <v>263</v>
      </c>
      <c r="E105" s="87" t="s">
        <v>210</v>
      </c>
      <c r="F105" s="60" t="str">
        <f>IFERROR(VLOOKUP($E105,'基础-办公用品信息'!$C:$E,2,FALSE),"-")</f>
        <v>个</v>
      </c>
      <c r="G105" s="60">
        <f>IFERROR(VLOOKUP($E105,'基础-办公用品信息'!$C:$E,3,FALSE),"-")</f>
        <v>0</v>
      </c>
      <c r="H105" s="126">
        <v>5</v>
      </c>
      <c r="I105" s="87">
        <v>1</v>
      </c>
      <c r="J105" s="61">
        <f t="shared" si="7"/>
        <v>5</v>
      </c>
      <c r="K105" s="87"/>
      <c r="L105" s="60">
        <f t="shared" si="8"/>
        <v>2023</v>
      </c>
      <c r="M105" s="60">
        <f t="shared" si="9"/>
        <v>2</v>
      </c>
    </row>
    <row r="106" customHeight="1" spans="2:13">
      <c r="B106" s="59">
        <v>103</v>
      </c>
      <c r="C106" s="128">
        <v>44968</v>
      </c>
      <c r="D106" s="87" t="s">
        <v>263</v>
      </c>
      <c r="E106" s="87" t="s">
        <v>211</v>
      </c>
      <c r="F106" s="60" t="str">
        <f>IFERROR(VLOOKUP($E106,'基础-办公用品信息'!$C:$E,2,FALSE),"-")</f>
        <v>个</v>
      </c>
      <c r="G106" s="60">
        <f>IFERROR(VLOOKUP($E106,'基础-办公用品信息'!$C:$E,3,FALSE),"-")</f>
        <v>0</v>
      </c>
      <c r="H106" s="126">
        <v>15</v>
      </c>
      <c r="I106" s="87">
        <v>1</v>
      </c>
      <c r="J106" s="61">
        <f t="shared" si="7"/>
        <v>15</v>
      </c>
      <c r="K106" s="87"/>
      <c r="L106" s="60">
        <f t="shared" si="8"/>
        <v>2023</v>
      </c>
      <c r="M106" s="60">
        <f t="shared" si="9"/>
        <v>2</v>
      </c>
    </row>
    <row r="107" customHeight="1" spans="2:13">
      <c r="B107" s="59">
        <v>104</v>
      </c>
      <c r="C107" s="128">
        <v>44968</v>
      </c>
      <c r="D107" s="87" t="s">
        <v>263</v>
      </c>
      <c r="E107" s="87" t="s">
        <v>212</v>
      </c>
      <c r="F107" s="60" t="str">
        <f>IFERROR(VLOOKUP($E107,'基础-办公用品信息'!$C:$E,2,FALSE),"-")</f>
        <v>个</v>
      </c>
      <c r="G107" s="60">
        <f>IFERROR(VLOOKUP($E107,'基础-办公用品信息'!$C:$E,3,FALSE),"-")</f>
        <v>0</v>
      </c>
      <c r="H107" s="126">
        <v>12</v>
      </c>
      <c r="I107" s="87">
        <v>1</v>
      </c>
      <c r="J107" s="61">
        <f t="shared" si="7"/>
        <v>12</v>
      </c>
      <c r="K107" s="87"/>
      <c r="L107" s="60">
        <f t="shared" si="8"/>
        <v>2023</v>
      </c>
      <c r="M107" s="60">
        <f t="shared" si="9"/>
        <v>2</v>
      </c>
    </row>
    <row r="108" customHeight="1" spans="2:13">
      <c r="B108" s="59">
        <v>105</v>
      </c>
      <c r="C108" s="128">
        <v>44968</v>
      </c>
      <c r="D108" s="87" t="s">
        <v>263</v>
      </c>
      <c r="E108" s="87" t="s">
        <v>213</v>
      </c>
      <c r="F108" s="60" t="str">
        <f>IFERROR(VLOOKUP($E108,'基础-办公用品信息'!$C:$E,2,FALSE),"-")</f>
        <v>个</v>
      </c>
      <c r="G108" s="60">
        <f>IFERROR(VLOOKUP($E108,'基础-办公用品信息'!$C:$E,3,FALSE),"-")</f>
        <v>0</v>
      </c>
      <c r="H108" s="126">
        <v>65</v>
      </c>
      <c r="I108" s="87">
        <v>5</v>
      </c>
      <c r="J108" s="61">
        <f t="shared" si="7"/>
        <v>325</v>
      </c>
      <c r="K108" s="87"/>
      <c r="L108" s="60">
        <f t="shared" si="8"/>
        <v>2023</v>
      </c>
      <c r="M108" s="60">
        <f t="shared" si="9"/>
        <v>2</v>
      </c>
    </row>
    <row r="109" customHeight="1" spans="2:13">
      <c r="B109" s="59">
        <v>106</v>
      </c>
      <c r="C109" s="128">
        <v>44968</v>
      </c>
      <c r="D109" s="87" t="s">
        <v>263</v>
      </c>
      <c r="E109" s="87" t="s">
        <v>214</v>
      </c>
      <c r="F109" s="60" t="str">
        <f>IFERROR(VLOOKUP($E109,'基础-办公用品信息'!$C:$E,2,FALSE),"-")</f>
        <v>个</v>
      </c>
      <c r="G109" s="60">
        <f>IFERROR(VLOOKUP($E109,'基础-办公用品信息'!$C:$E,3,FALSE),"-")</f>
        <v>0</v>
      </c>
      <c r="H109" s="126">
        <v>18</v>
      </c>
      <c r="I109" s="87">
        <v>5</v>
      </c>
      <c r="J109" s="61">
        <f t="shared" si="7"/>
        <v>90</v>
      </c>
      <c r="K109" s="87"/>
      <c r="L109" s="60">
        <f t="shared" si="8"/>
        <v>2023</v>
      </c>
      <c r="M109" s="60">
        <f t="shared" si="9"/>
        <v>2</v>
      </c>
    </row>
    <row r="110" customHeight="1" spans="2:13">
      <c r="B110" s="59">
        <v>107</v>
      </c>
      <c r="C110" s="128">
        <v>44968</v>
      </c>
      <c r="D110" s="87" t="s">
        <v>263</v>
      </c>
      <c r="E110" s="87" t="s">
        <v>215</v>
      </c>
      <c r="F110" s="60" t="str">
        <f>IFERROR(VLOOKUP($E110,'基础-办公用品信息'!$C:$E,2,FALSE),"-")</f>
        <v>个</v>
      </c>
      <c r="G110" s="60">
        <f>IFERROR(VLOOKUP($E110,'基础-办公用品信息'!$C:$E,3,FALSE),"-")</f>
        <v>0</v>
      </c>
      <c r="H110" s="126">
        <v>115</v>
      </c>
      <c r="I110" s="87">
        <v>3</v>
      </c>
      <c r="J110" s="61">
        <f t="shared" si="7"/>
        <v>345</v>
      </c>
      <c r="K110" s="87"/>
      <c r="L110" s="60">
        <f t="shared" si="8"/>
        <v>2023</v>
      </c>
      <c r="M110" s="60">
        <f t="shared" si="9"/>
        <v>2</v>
      </c>
    </row>
    <row r="111" customHeight="1" spans="2:13">
      <c r="B111" s="59">
        <v>108</v>
      </c>
      <c r="C111" s="128">
        <v>44968</v>
      </c>
      <c r="D111" s="87" t="s">
        <v>263</v>
      </c>
      <c r="E111" s="87" t="s">
        <v>216</v>
      </c>
      <c r="F111" s="60" t="str">
        <f>IFERROR(VLOOKUP($E111,'基础-办公用品信息'!$C:$E,2,FALSE),"-")</f>
        <v>个</v>
      </c>
      <c r="G111" s="60">
        <f>IFERROR(VLOOKUP($E111,'基础-办公用品信息'!$C:$E,3,FALSE),"-")</f>
        <v>0</v>
      </c>
      <c r="H111" s="126">
        <v>55</v>
      </c>
      <c r="I111" s="87">
        <v>6</v>
      </c>
      <c r="J111" s="61">
        <f t="shared" si="7"/>
        <v>330</v>
      </c>
      <c r="K111" s="87"/>
      <c r="L111" s="60">
        <f t="shared" si="8"/>
        <v>2023</v>
      </c>
      <c r="M111" s="60">
        <f t="shared" si="9"/>
        <v>2</v>
      </c>
    </row>
    <row r="112" customHeight="1" spans="2:13">
      <c r="B112" s="59">
        <v>109</v>
      </c>
      <c r="C112" s="128">
        <v>44968</v>
      </c>
      <c r="D112" s="87" t="s">
        <v>263</v>
      </c>
      <c r="E112" s="87" t="s">
        <v>217</v>
      </c>
      <c r="F112" s="60" t="str">
        <f>IFERROR(VLOOKUP($E112,'基础-办公用品信息'!$C:$E,2,FALSE),"-")</f>
        <v>个</v>
      </c>
      <c r="G112" s="60">
        <f>IFERROR(VLOOKUP($E112,'基础-办公用品信息'!$C:$E,3,FALSE),"-")</f>
        <v>0</v>
      </c>
      <c r="H112" s="126">
        <v>8</v>
      </c>
      <c r="I112" s="87">
        <v>2</v>
      </c>
      <c r="J112" s="61">
        <f t="shared" si="7"/>
        <v>16</v>
      </c>
      <c r="K112" s="87"/>
      <c r="L112" s="60">
        <f t="shared" si="8"/>
        <v>2023</v>
      </c>
      <c r="M112" s="60">
        <f t="shared" si="9"/>
        <v>2</v>
      </c>
    </row>
    <row r="113" customHeight="1" spans="2:13">
      <c r="B113" s="59">
        <v>110</v>
      </c>
      <c r="C113" s="128">
        <v>44968</v>
      </c>
      <c r="D113" s="87" t="s">
        <v>263</v>
      </c>
      <c r="E113" s="87" t="s">
        <v>217</v>
      </c>
      <c r="F113" s="60" t="str">
        <f>IFERROR(VLOOKUP($E113,'基础-办公用品信息'!$C:$E,2,FALSE),"-")</f>
        <v>个</v>
      </c>
      <c r="G113" s="60">
        <f>IFERROR(VLOOKUP($E113,'基础-办公用品信息'!$C:$E,3,FALSE),"-")</f>
        <v>0</v>
      </c>
      <c r="H113" s="126">
        <v>10</v>
      </c>
      <c r="I113" s="87">
        <v>2</v>
      </c>
      <c r="J113" s="61">
        <f t="shared" si="7"/>
        <v>20</v>
      </c>
      <c r="K113" s="87"/>
      <c r="L113" s="60">
        <f t="shared" si="8"/>
        <v>2023</v>
      </c>
      <c r="M113" s="60">
        <f t="shared" si="9"/>
        <v>2</v>
      </c>
    </row>
    <row r="114" customHeight="1" spans="2:13">
      <c r="B114" s="59">
        <v>111</v>
      </c>
      <c r="C114" s="128">
        <v>44968</v>
      </c>
      <c r="D114" s="87" t="s">
        <v>263</v>
      </c>
      <c r="E114" s="87" t="s">
        <v>207</v>
      </c>
      <c r="F114" s="60" t="str">
        <f>IFERROR(VLOOKUP($E114,'基础-办公用品信息'!$C:$E,2,FALSE),"-")</f>
        <v>个</v>
      </c>
      <c r="G114" s="60">
        <f>IFERROR(VLOOKUP($E114,'基础-办公用品信息'!$C:$E,3,FALSE),"-")</f>
        <v>0</v>
      </c>
      <c r="H114" s="126">
        <v>3</v>
      </c>
      <c r="I114" s="87">
        <v>5</v>
      </c>
      <c r="J114" s="61">
        <f t="shared" si="7"/>
        <v>15</v>
      </c>
      <c r="K114" s="87"/>
      <c r="L114" s="60">
        <f t="shared" si="8"/>
        <v>2023</v>
      </c>
      <c r="M114" s="60">
        <f t="shared" si="9"/>
        <v>2</v>
      </c>
    </row>
    <row r="115" customHeight="1" spans="2:13">
      <c r="B115" s="59">
        <v>112</v>
      </c>
      <c r="C115" s="128">
        <v>44968</v>
      </c>
      <c r="D115" s="87" t="s">
        <v>263</v>
      </c>
      <c r="E115" s="87" t="s">
        <v>218</v>
      </c>
      <c r="F115" s="60" t="str">
        <f>IFERROR(VLOOKUP($E115,'基础-办公用品信息'!$C:$E,2,FALSE),"-")</f>
        <v>个</v>
      </c>
      <c r="G115" s="60">
        <f>IFERROR(VLOOKUP($E115,'基础-办公用品信息'!$C:$E,3,FALSE),"-")</f>
        <v>0</v>
      </c>
      <c r="H115" s="126">
        <v>15</v>
      </c>
      <c r="I115" s="87">
        <v>1</v>
      </c>
      <c r="J115" s="61">
        <f t="shared" si="7"/>
        <v>15</v>
      </c>
      <c r="K115" s="87"/>
      <c r="L115" s="60">
        <f t="shared" si="8"/>
        <v>2023</v>
      </c>
      <c r="M115" s="60">
        <f t="shared" si="9"/>
        <v>2</v>
      </c>
    </row>
    <row r="116" customHeight="1" spans="2:13">
      <c r="B116" s="59">
        <v>113</v>
      </c>
      <c r="C116" s="128">
        <v>44968</v>
      </c>
      <c r="D116" s="87" t="s">
        <v>263</v>
      </c>
      <c r="E116" s="87" t="s">
        <v>219</v>
      </c>
      <c r="F116" s="60" t="str">
        <f>IFERROR(VLOOKUP($E116,'基础-办公用品信息'!$C:$E,2,FALSE),"-")</f>
        <v>个</v>
      </c>
      <c r="G116" s="60">
        <f>IFERROR(VLOOKUP($E116,'基础-办公用品信息'!$C:$E,3,FALSE),"-")</f>
        <v>0</v>
      </c>
      <c r="H116" s="126">
        <v>120</v>
      </c>
      <c r="I116" s="87">
        <v>1</v>
      </c>
      <c r="J116" s="61">
        <f t="shared" si="7"/>
        <v>120</v>
      </c>
      <c r="K116" s="87"/>
      <c r="L116" s="60">
        <f t="shared" si="8"/>
        <v>2023</v>
      </c>
      <c r="M116" s="60">
        <f t="shared" si="9"/>
        <v>2</v>
      </c>
    </row>
    <row r="117" customHeight="1" spans="2:13">
      <c r="B117" s="59">
        <v>114</v>
      </c>
      <c r="C117" s="128">
        <v>44968</v>
      </c>
      <c r="D117" s="87" t="s">
        <v>263</v>
      </c>
      <c r="E117" s="87" t="s">
        <v>220</v>
      </c>
      <c r="F117" s="60" t="str">
        <f>IFERROR(VLOOKUP($E117,'基础-办公用品信息'!$C:$E,2,FALSE),"-")</f>
        <v>个</v>
      </c>
      <c r="G117" s="60">
        <f>IFERROR(VLOOKUP($E117,'基础-办公用品信息'!$C:$E,3,FALSE),"-")</f>
        <v>0</v>
      </c>
      <c r="H117" s="126">
        <v>25</v>
      </c>
      <c r="I117" s="87">
        <v>1</v>
      </c>
      <c r="J117" s="61">
        <f t="shared" si="7"/>
        <v>25</v>
      </c>
      <c r="K117" s="87"/>
      <c r="L117" s="60">
        <f t="shared" si="8"/>
        <v>2023</v>
      </c>
      <c r="M117" s="60">
        <f t="shared" si="9"/>
        <v>2</v>
      </c>
    </row>
    <row r="118" customHeight="1" spans="2:13">
      <c r="B118" s="59">
        <v>115</v>
      </c>
      <c r="C118" s="128">
        <v>44968</v>
      </c>
      <c r="D118" s="87" t="s">
        <v>263</v>
      </c>
      <c r="E118" s="87" t="s">
        <v>221</v>
      </c>
      <c r="F118" s="60" t="str">
        <f>IFERROR(VLOOKUP($E118,'基础-办公用品信息'!$C:$E,2,FALSE),"-")</f>
        <v>个</v>
      </c>
      <c r="G118" s="60">
        <f>IFERROR(VLOOKUP($E118,'基础-办公用品信息'!$C:$E,3,FALSE),"-")</f>
        <v>0</v>
      </c>
      <c r="H118" s="126">
        <v>45</v>
      </c>
      <c r="I118" s="87">
        <v>1</v>
      </c>
      <c r="J118" s="61">
        <f t="shared" si="7"/>
        <v>45</v>
      </c>
      <c r="K118" s="87"/>
      <c r="L118" s="60">
        <f t="shared" si="8"/>
        <v>2023</v>
      </c>
      <c r="M118" s="60">
        <f t="shared" si="9"/>
        <v>2</v>
      </c>
    </row>
    <row r="119" customHeight="1" spans="2:13">
      <c r="B119" s="59">
        <v>116</v>
      </c>
      <c r="C119" s="128">
        <v>44968</v>
      </c>
      <c r="D119" s="87" t="s">
        <v>263</v>
      </c>
      <c r="E119" s="87" t="s">
        <v>221</v>
      </c>
      <c r="F119" s="60" t="str">
        <f>IFERROR(VLOOKUP($E119,'基础-办公用品信息'!$C:$E,2,FALSE),"-")</f>
        <v>个</v>
      </c>
      <c r="G119" s="60">
        <f>IFERROR(VLOOKUP($E119,'基础-办公用品信息'!$C:$E,3,FALSE),"-")</f>
        <v>0</v>
      </c>
      <c r="H119" s="126">
        <v>35</v>
      </c>
      <c r="I119" s="87">
        <v>3</v>
      </c>
      <c r="J119" s="61">
        <f t="shared" ref="J119:J182" si="10">IF(AND(H119&lt;&gt;"",I119&lt;&gt;""),H119*I119,"-")</f>
        <v>105</v>
      </c>
      <c r="K119" s="87"/>
      <c r="L119" s="60">
        <f t="shared" ref="L119:L182" si="11">YEAR(C119)</f>
        <v>2023</v>
      </c>
      <c r="M119" s="60">
        <f t="shared" ref="M119:M182" si="12">MONTH(C119)</f>
        <v>2</v>
      </c>
    </row>
    <row r="120" customHeight="1" spans="2:13">
      <c r="B120" s="59">
        <v>117</v>
      </c>
      <c r="C120" s="128">
        <v>44968</v>
      </c>
      <c r="D120" s="87" t="s">
        <v>263</v>
      </c>
      <c r="E120" s="87" t="s">
        <v>222</v>
      </c>
      <c r="F120" s="60" t="str">
        <f>IFERROR(VLOOKUP($E120,'基础-办公用品信息'!$C:$E,2,FALSE),"-")</f>
        <v>个</v>
      </c>
      <c r="G120" s="60">
        <f>IFERROR(VLOOKUP($E120,'基础-办公用品信息'!$C:$E,3,FALSE),"-")</f>
        <v>0</v>
      </c>
      <c r="H120" s="126">
        <v>28</v>
      </c>
      <c r="I120" s="87">
        <v>2</v>
      </c>
      <c r="J120" s="61">
        <f t="shared" si="10"/>
        <v>56</v>
      </c>
      <c r="K120" s="87"/>
      <c r="L120" s="60">
        <f t="shared" si="11"/>
        <v>2023</v>
      </c>
      <c r="M120" s="60">
        <f t="shared" si="12"/>
        <v>2</v>
      </c>
    </row>
    <row r="121" customHeight="1" spans="2:13">
      <c r="B121" s="59">
        <v>118</v>
      </c>
      <c r="C121" s="128">
        <v>44968</v>
      </c>
      <c r="D121" s="87" t="s">
        <v>263</v>
      </c>
      <c r="E121" s="87" t="s">
        <v>223</v>
      </c>
      <c r="F121" s="60" t="str">
        <f>IFERROR(VLOOKUP($E121,'基础-办公用品信息'!$C:$E,2,FALSE),"-")</f>
        <v>个</v>
      </c>
      <c r="G121" s="60">
        <f>IFERROR(VLOOKUP($E121,'基础-办公用品信息'!$C:$E,3,FALSE),"-")</f>
        <v>0</v>
      </c>
      <c r="H121" s="126">
        <v>8</v>
      </c>
      <c r="I121" s="87">
        <v>2</v>
      </c>
      <c r="J121" s="61">
        <f t="shared" si="10"/>
        <v>16</v>
      </c>
      <c r="K121" s="87"/>
      <c r="L121" s="60">
        <f t="shared" si="11"/>
        <v>2023</v>
      </c>
      <c r="M121" s="60">
        <f t="shared" si="12"/>
        <v>2</v>
      </c>
    </row>
    <row r="122" customHeight="1" spans="2:13">
      <c r="B122" s="59">
        <v>119</v>
      </c>
      <c r="C122" s="128">
        <v>44968</v>
      </c>
      <c r="D122" s="87" t="s">
        <v>263</v>
      </c>
      <c r="E122" s="87" t="s">
        <v>224</v>
      </c>
      <c r="F122" s="60" t="str">
        <f>IFERROR(VLOOKUP($E122,'基础-办公用品信息'!$C:$E,2,FALSE),"-")</f>
        <v>个</v>
      </c>
      <c r="G122" s="60">
        <f>IFERROR(VLOOKUP($E122,'基础-办公用品信息'!$C:$E,3,FALSE),"-")</f>
        <v>0</v>
      </c>
      <c r="H122" s="126">
        <v>22</v>
      </c>
      <c r="I122" s="87">
        <v>1</v>
      </c>
      <c r="J122" s="61">
        <f t="shared" si="10"/>
        <v>22</v>
      </c>
      <c r="K122" s="87"/>
      <c r="L122" s="60">
        <f t="shared" si="11"/>
        <v>2023</v>
      </c>
      <c r="M122" s="60">
        <f t="shared" si="12"/>
        <v>2</v>
      </c>
    </row>
    <row r="123" customHeight="1" spans="2:13">
      <c r="B123" s="59">
        <v>120</v>
      </c>
      <c r="C123" s="128">
        <v>44968</v>
      </c>
      <c r="D123" s="87" t="s">
        <v>263</v>
      </c>
      <c r="E123" s="87" t="s">
        <v>225</v>
      </c>
      <c r="F123" s="60" t="str">
        <f>IFERROR(VLOOKUP($E123,'基础-办公用品信息'!$C:$E,2,FALSE),"-")</f>
        <v>个</v>
      </c>
      <c r="G123" s="60">
        <f>IFERROR(VLOOKUP($E123,'基础-办公用品信息'!$C:$E,3,FALSE),"-")</f>
        <v>0</v>
      </c>
      <c r="H123" s="126">
        <v>22</v>
      </c>
      <c r="I123" s="87">
        <v>1</v>
      </c>
      <c r="J123" s="61">
        <f t="shared" si="10"/>
        <v>22</v>
      </c>
      <c r="K123" s="87"/>
      <c r="L123" s="60">
        <f t="shared" si="11"/>
        <v>2023</v>
      </c>
      <c r="M123" s="60">
        <f t="shared" si="12"/>
        <v>2</v>
      </c>
    </row>
    <row r="124" customHeight="1" spans="2:13">
      <c r="B124" s="59">
        <v>121</v>
      </c>
      <c r="C124" s="128">
        <v>44968</v>
      </c>
      <c r="D124" s="87" t="s">
        <v>263</v>
      </c>
      <c r="E124" s="87" t="s">
        <v>226</v>
      </c>
      <c r="F124" s="60" t="str">
        <f>IFERROR(VLOOKUP($E124,'基础-办公用品信息'!$C:$E,2,FALSE),"-")</f>
        <v>个</v>
      </c>
      <c r="G124" s="60">
        <f>IFERROR(VLOOKUP($E124,'基础-办公用品信息'!$C:$E,3,FALSE),"-")</f>
        <v>0</v>
      </c>
      <c r="H124" s="126">
        <v>8</v>
      </c>
      <c r="I124" s="87">
        <v>1</v>
      </c>
      <c r="J124" s="61">
        <f t="shared" si="10"/>
        <v>8</v>
      </c>
      <c r="K124" s="87"/>
      <c r="L124" s="60">
        <f t="shared" si="11"/>
        <v>2023</v>
      </c>
      <c r="M124" s="60">
        <f t="shared" si="12"/>
        <v>2</v>
      </c>
    </row>
    <row r="125" customHeight="1" spans="2:13">
      <c r="B125" s="59">
        <v>122</v>
      </c>
      <c r="C125" s="128">
        <v>44968</v>
      </c>
      <c r="D125" s="87" t="s">
        <v>263</v>
      </c>
      <c r="E125" s="87" t="s">
        <v>227</v>
      </c>
      <c r="F125" s="60" t="str">
        <f>IFERROR(VLOOKUP($E125,'基础-办公用品信息'!$C:$E,2,FALSE),"-")</f>
        <v>个</v>
      </c>
      <c r="G125" s="60">
        <f>IFERROR(VLOOKUP($E125,'基础-办公用品信息'!$C:$E,3,FALSE),"-")</f>
        <v>0</v>
      </c>
      <c r="H125" s="126">
        <v>55</v>
      </c>
      <c r="I125" s="87">
        <v>1</v>
      </c>
      <c r="J125" s="61">
        <f t="shared" si="10"/>
        <v>55</v>
      </c>
      <c r="K125" s="87"/>
      <c r="L125" s="60">
        <f t="shared" si="11"/>
        <v>2023</v>
      </c>
      <c r="M125" s="60">
        <f t="shared" si="12"/>
        <v>2</v>
      </c>
    </row>
    <row r="126" customHeight="1" spans="2:13">
      <c r="B126" s="59">
        <v>123</v>
      </c>
      <c r="C126" s="128">
        <v>44968</v>
      </c>
      <c r="D126" s="87" t="s">
        <v>263</v>
      </c>
      <c r="E126" s="87" t="s">
        <v>227</v>
      </c>
      <c r="F126" s="60" t="str">
        <f>IFERROR(VLOOKUP($E126,'基础-办公用品信息'!$C:$E,2,FALSE),"-")</f>
        <v>个</v>
      </c>
      <c r="G126" s="60">
        <f>IFERROR(VLOOKUP($E126,'基础-办公用品信息'!$C:$E,3,FALSE),"-")</f>
        <v>0</v>
      </c>
      <c r="H126" s="126">
        <v>45</v>
      </c>
      <c r="I126" s="87">
        <v>1</v>
      </c>
      <c r="J126" s="61">
        <f t="shared" si="10"/>
        <v>45</v>
      </c>
      <c r="K126" s="87"/>
      <c r="L126" s="60">
        <f t="shared" si="11"/>
        <v>2023</v>
      </c>
      <c r="M126" s="60">
        <f t="shared" si="12"/>
        <v>2</v>
      </c>
    </row>
    <row r="127" customHeight="1" spans="2:13">
      <c r="B127" s="59">
        <v>124</v>
      </c>
      <c r="C127" s="128">
        <v>44968</v>
      </c>
      <c r="D127" s="87" t="s">
        <v>263</v>
      </c>
      <c r="E127" s="87" t="s">
        <v>228</v>
      </c>
      <c r="F127" s="60" t="str">
        <f>IFERROR(VLOOKUP($E127,'基础-办公用品信息'!$C:$E,2,FALSE),"-")</f>
        <v>个</v>
      </c>
      <c r="G127" s="60">
        <f>IFERROR(VLOOKUP($E127,'基础-办公用品信息'!$C:$E,3,FALSE),"-")</f>
        <v>0</v>
      </c>
      <c r="H127" s="126">
        <v>13</v>
      </c>
      <c r="I127" s="87">
        <v>1</v>
      </c>
      <c r="J127" s="61">
        <f t="shared" si="10"/>
        <v>13</v>
      </c>
      <c r="K127" s="87"/>
      <c r="L127" s="60">
        <f t="shared" si="11"/>
        <v>2023</v>
      </c>
      <c r="M127" s="60">
        <f t="shared" si="12"/>
        <v>2</v>
      </c>
    </row>
    <row r="128" customHeight="1" spans="2:13">
      <c r="B128" s="59">
        <v>125</v>
      </c>
      <c r="C128" s="128">
        <v>44968</v>
      </c>
      <c r="D128" s="87" t="s">
        <v>263</v>
      </c>
      <c r="E128" s="87" t="s">
        <v>229</v>
      </c>
      <c r="F128" s="60" t="str">
        <f>IFERROR(VLOOKUP($E128,'基础-办公用品信息'!$C:$E,2,FALSE),"-")</f>
        <v>个</v>
      </c>
      <c r="G128" s="60">
        <f>IFERROR(VLOOKUP($E128,'基础-办公用品信息'!$C:$E,3,FALSE),"-")</f>
        <v>0</v>
      </c>
      <c r="H128" s="126">
        <v>13</v>
      </c>
      <c r="I128" s="87">
        <v>3.3</v>
      </c>
      <c r="J128" s="61">
        <f t="shared" si="10"/>
        <v>42.9</v>
      </c>
      <c r="K128" s="87"/>
      <c r="L128" s="60">
        <f t="shared" si="11"/>
        <v>2023</v>
      </c>
      <c r="M128" s="60">
        <f t="shared" si="12"/>
        <v>2</v>
      </c>
    </row>
    <row r="129" customHeight="1" spans="2:13">
      <c r="B129" s="59">
        <v>126</v>
      </c>
      <c r="C129" s="128">
        <v>44968</v>
      </c>
      <c r="D129" s="87" t="s">
        <v>263</v>
      </c>
      <c r="E129" s="87" t="s">
        <v>161</v>
      </c>
      <c r="F129" s="60" t="str">
        <f>IFERROR(VLOOKUP($E129,'基础-办公用品信息'!$C:$E,2,FALSE),"-")</f>
        <v>桶</v>
      </c>
      <c r="G129" s="60">
        <f>IFERROR(VLOOKUP($E129,'基础-办公用品信息'!$C:$E,3,FALSE),"-")</f>
        <v>0</v>
      </c>
      <c r="H129" s="126">
        <v>80</v>
      </c>
      <c r="I129" s="87">
        <v>1</v>
      </c>
      <c r="J129" s="61">
        <f t="shared" si="10"/>
        <v>80</v>
      </c>
      <c r="K129" s="87"/>
      <c r="L129" s="60">
        <f t="shared" si="11"/>
        <v>2023</v>
      </c>
      <c r="M129" s="60">
        <f t="shared" si="12"/>
        <v>2</v>
      </c>
    </row>
    <row r="130" customHeight="1" spans="2:13">
      <c r="B130" s="59">
        <v>127</v>
      </c>
      <c r="C130" s="128">
        <v>44968</v>
      </c>
      <c r="D130" s="87" t="s">
        <v>263</v>
      </c>
      <c r="E130" s="87" t="s">
        <v>230</v>
      </c>
      <c r="F130" s="60" t="str">
        <f>IFERROR(VLOOKUP($E130,'基础-办公用品信息'!$C:$E,2,FALSE),"-")</f>
        <v>个</v>
      </c>
      <c r="G130" s="60">
        <f>IFERROR(VLOOKUP($E130,'基础-办公用品信息'!$C:$E,3,FALSE),"-")</f>
        <v>0</v>
      </c>
      <c r="H130" s="126">
        <v>6</v>
      </c>
      <c r="I130" s="87">
        <v>10</v>
      </c>
      <c r="J130" s="61">
        <f t="shared" si="10"/>
        <v>60</v>
      </c>
      <c r="K130" s="87"/>
      <c r="L130" s="60">
        <f t="shared" si="11"/>
        <v>2023</v>
      </c>
      <c r="M130" s="60">
        <f t="shared" si="12"/>
        <v>2</v>
      </c>
    </row>
    <row r="131" customHeight="1" spans="2:13">
      <c r="B131" s="59">
        <v>128</v>
      </c>
      <c r="C131" s="128">
        <v>44968</v>
      </c>
      <c r="D131" s="87" t="s">
        <v>263</v>
      </c>
      <c r="E131" s="87" t="s">
        <v>231</v>
      </c>
      <c r="F131" s="60" t="str">
        <f>IFERROR(VLOOKUP($E131,'基础-办公用品信息'!$C:$E,2,FALSE),"-")</f>
        <v>个</v>
      </c>
      <c r="G131" s="60">
        <f>IFERROR(VLOOKUP($E131,'基础-办公用品信息'!$C:$E,3,FALSE),"-")</f>
        <v>0</v>
      </c>
      <c r="H131" s="126">
        <v>10</v>
      </c>
      <c r="I131" s="87">
        <v>1</v>
      </c>
      <c r="J131" s="61">
        <f t="shared" si="10"/>
        <v>10</v>
      </c>
      <c r="K131" s="87"/>
      <c r="L131" s="60">
        <f t="shared" si="11"/>
        <v>2023</v>
      </c>
      <c r="M131" s="60">
        <f t="shared" si="12"/>
        <v>2</v>
      </c>
    </row>
    <row r="132" customHeight="1" spans="2:13">
      <c r="B132" s="59">
        <v>129</v>
      </c>
      <c r="C132" s="128">
        <v>44968</v>
      </c>
      <c r="D132" s="87" t="s">
        <v>263</v>
      </c>
      <c r="E132" s="87" t="s">
        <v>232</v>
      </c>
      <c r="F132" s="60" t="str">
        <f>IFERROR(VLOOKUP($E132,'基础-办公用品信息'!$C:$E,2,FALSE),"-")</f>
        <v>个</v>
      </c>
      <c r="G132" s="60">
        <f>IFERROR(VLOOKUP($E132,'基础-办公用品信息'!$C:$E,3,FALSE),"-")</f>
        <v>0</v>
      </c>
      <c r="H132" s="126">
        <v>0.65</v>
      </c>
      <c r="I132" s="87">
        <v>30</v>
      </c>
      <c r="J132" s="61">
        <f t="shared" si="10"/>
        <v>19.5</v>
      </c>
      <c r="K132" s="87"/>
      <c r="L132" s="60">
        <f t="shared" si="11"/>
        <v>2023</v>
      </c>
      <c r="M132" s="60">
        <f t="shared" si="12"/>
        <v>2</v>
      </c>
    </row>
    <row r="133" customHeight="1" spans="2:13">
      <c r="B133" s="59">
        <v>130</v>
      </c>
      <c r="C133" s="128">
        <v>44968</v>
      </c>
      <c r="D133" s="87" t="s">
        <v>263</v>
      </c>
      <c r="E133" s="87" t="s">
        <v>233</v>
      </c>
      <c r="F133" s="60" t="str">
        <f>IFERROR(VLOOKUP($E133,'基础-办公用品信息'!$C:$E,2,FALSE),"-")</f>
        <v>个</v>
      </c>
      <c r="G133" s="60">
        <f>IFERROR(VLOOKUP($E133,'基础-办公用品信息'!$C:$E,3,FALSE),"-")</f>
        <v>0</v>
      </c>
      <c r="H133" s="126">
        <v>16</v>
      </c>
      <c r="I133" s="87">
        <v>10</v>
      </c>
      <c r="J133" s="61">
        <f t="shared" si="10"/>
        <v>160</v>
      </c>
      <c r="K133" s="87"/>
      <c r="L133" s="60">
        <f t="shared" si="11"/>
        <v>2023</v>
      </c>
      <c r="M133" s="60">
        <f t="shared" si="12"/>
        <v>2</v>
      </c>
    </row>
    <row r="134" customHeight="1" spans="2:13">
      <c r="B134" s="59">
        <v>131</v>
      </c>
      <c r="C134" s="128">
        <v>44977</v>
      </c>
      <c r="D134" s="87" t="s">
        <v>263</v>
      </c>
      <c r="E134" s="87" t="s">
        <v>243</v>
      </c>
      <c r="F134" s="60" t="str">
        <f>IFERROR(VLOOKUP($E134,'基础-办公用品信息'!$C:$E,2,FALSE),"-")</f>
        <v>台</v>
      </c>
      <c r="G134" s="60">
        <f>IFERROR(VLOOKUP($E134,'基础-办公用品信息'!$C:$E,3,FALSE),"-")</f>
        <v>0</v>
      </c>
      <c r="H134" s="126">
        <f>IFERROR(VLOOKUP($E134,'基础-办公用品信息'!$C:$F,4,FALSE),"-")</f>
        <v>0</v>
      </c>
      <c r="I134" s="87">
        <v>1</v>
      </c>
      <c r="J134" s="61">
        <f t="shared" si="10"/>
        <v>0</v>
      </c>
      <c r="K134" s="87"/>
      <c r="L134" s="60">
        <f t="shared" si="11"/>
        <v>2023</v>
      </c>
      <c r="M134" s="60">
        <f t="shared" si="12"/>
        <v>2</v>
      </c>
    </row>
    <row r="135" customHeight="1" spans="2:13">
      <c r="B135" s="59">
        <v>132</v>
      </c>
      <c r="C135" s="128">
        <v>44977</v>
      </c>
      <c r="D135" s="87" t="s">
        <v>263</v>
      </c>
      <c r="E135" s="87" t="s">
        <v>244</v>
      </c>
      <c r="F135" s="60" t="str">
        <f>IFERROR(VLOOKUP($E135,'基础-办公用品信息'!$C:$E,2,FALSE),"-")</f>
        <v>根</v>
      </c>
      <c r="G135" s="60">
        <f>IFERROR(VLOOKUP($E135,'基础-办公用品信息'!$C:$E,3,FALSE),"-")</f>
        <v>0</v>
      </c>
      <c r="H135" s="126">
        <f>IFERROR(VLOOKUP($E135,'基础-办公用品信息'!$C:$F,4,FALSE),"-")</f>
        <v>0</v>
      </c>
      <c r="I135" s="87">
        <v>1</v>
      </c>
      <c r="J135" s="61">
        <f t="shared" si="10"/>
        <v>0</v>
      </c>
      <c r="K135" s="87"/>
      <c r="L135" s="60">
        <f t="shared" si="11"/>
        <v>2023</v>
      </c>
      <c r="M135" s="60">
        <f t="shared" si="12"/>
        <v>2</v>
      </c>
    </row>
    <row r="136" customHeight="1" spans="2:13">
      <c r="B136" s="59">
        <v>133</v>
      </c>
      <c r="C136" s="128">
        <v>44977</v>
      </c>
      <c r="D136" s="87" t="s">
        <v>263</v>
      </c>
      <c r="E136" s="87" t="s">
        <v>245</v>
      </c>
      <c r="F136" s="60" t="str">
        <f>IFERROR(VLOOKUP($E136,'基础-办公用品信息'!$C:$E,2,FALSE),"-")</f>
        <v>个</v>
      </c>
      <c r="G136" s="60">
        <f>IFERROR(VLOOKUP($E136,'基础-办公用品信息'!$C:$E,3,FALSE),"-")</f>
        <v>0</v>
      </c>
      <c r="H136" s="126">
        <f>IFERROR(VLOOKUP($E136,'基础-办公用品信息'!$C:$F,4,FALSE),"-")</f>
        <v>0</v>
      </c>
      <c r="I136" s="87">
        <v>1</v>
      </c>
      <c r="J136" s="61">
        <f t="shared" si="10"/>
        <v>0</v>
      </c>
      <c r="K136" s="87"/>
      <c r="L136" s="60">
        <f t="shared" si="11"/>
        <v>2023</v>
      </c>
      <c r="M136" s="60">
        <f t="shared" si="12"/>
        <v>2</v>
      </c>
    </row>
    <row r="137" customHeight="1" spans="2:13">
      <c r="B137" s="59">
        <v>134</v>
      </c>
      <c r="C137" s="128">
        <v>44977</v>
      </c>
      <c r="D137" s="87" t="s">
        <v>263</v>
      </c>
      <c r="E137" s="87" t="s">
        <v>246</v>
      </c>
      <c r="F137" s="60" t="str">
        <f>IFERROR(VLOOKUP($E137,'基础-办公用品信息'!$C:$E,2,FALSE),"-")</f>
        <v>个</v>
      </c>
      <c r="G137" s="60">
        <f>IFERROR(VLOOKUP($E137,'基础-办公用品信息'!$C:$E,3,FALSE),"-")</f>
        <v>0</v>
      </c>
      <c r="H137" s="126">
        <f>IFERROR(VLOOKUP($E137,'基础-办公用品信息'!$C:$F,4,FALSE),"-")</f>
        <v>0</v>
      </c>
      <c r="I137" s="87">
        <v>1</v>
      </c>
      <c r="J137" s="61">
        <f t="shared" si="10"/>
        <v>0</v>
      </c>
      <c r="K137" s="87"/>
      <c r="L137" s="60">
        <f t="shared" si="11"/>
        <v>2023</v>
      </c>
      <c r="M137" s="60">
        <f t="shared" si="12"/>
        <v>2</v>
      </c>
    </row>
    <row r="138" customHeight="1" spans="2:13">
      <c r="B138" s="59">
        <v>135</v>
      </c>
      <c r="C138" s="128">
        <v>44977</v>
      </c>
      <c r="D138" s="87" t="s">
        <v>263</v>
      </c>
      <c r="E138" s="87" t="s">
        <v>247</v>
      </c>
      <c r="F138" s="60" t="str">
        <f>IFERROR(VLOOKUP($E138,'基础-办公用品信息'!$C:$E,2,FALSE),"-")</f>
        <v>瓶</v>
      </c>
      <c r="G138" s="60">
        <f>IFERROR(VLOOKUP($E138,'基础-办公用品信息'!$C:$E,3,FALSE),"-")</f>
        <v>0</v>
      </c>
      <c r="H138" s="126">
        <f>IFERROR(VLOOKUP($E138,'基础-办公用品信息'!$C:$F,4,FALSE),"-")</f>
        <v>0</v>
      </c>
      <c r="I138" s="87">
        <v>1</v>
      </c>
      <c r="J138" s="61">
        <f t="shared" si="10"/>
        <v>0</v>
      </c>
      <c r="K138" s="87"/>
      <c r="L138" s="60">
        <f t="shared" si="11"/>
        <v>2023</v>
      </c>
      <c r="M138" s="60">
        <f t="shared" si="12"/>
        <v>2</v>
      </c>
    </row>
    <row r="139" customHeight="1" spans="2:13">
      <c r="B139" s="59">
        <v>136</v>
      </c>
      <c r="C139" s="128">
        <v>44977</v>
      </c>
      <c r="D139" s="87" t="s">
        <v>263</v>
      </c>
      <c r="E139" s="87" t="s">
        <v>248</v>
      </c>
      <c r="F139" s="60" t="str">
        <f>IFERROR(VLOOKUP($E139,'基础-办公用品信息'!$C:$E,2,FALSE),"-")</f>
        <v>把</v>
      </c>
      <c r="G139" s="60">
        <f>IFERROR(VLOOKUP($E139,'基础-办公用品信息'!$C:$E,3,FALSE),"-")</f>
        <v>0</v>
      </c>
      <c r="H139" s="126">
        <f>IFERROR(VLOOKUP($E139,'基础-办公用品信息'!$C:$F,4,FALSE),"-")</f>
        <v>0</v>
      </c>
      <c r="I139" s="87">
        <v>1</v>
      </c>
      <c r="J139" s="61">
        <f t="shared" si="10"/>
        <v>0</v>
      </c>
      <c r="K139" s="87"/>
      <c r="L139" s="60">
        <f t="shared" si="11"/>
        <v>2023</v>
      </c>
      <c r="M139" s="60">
        <f t="shared" si="12"/>
        <v>2</v>
      </c>
    </row>
    <row r="140" customHeight="1" spans="2:13">
      <c r="B140" s="59">
        <v>137</v>
      </c>
      <c r="C140" s="128">
        <v>44977</v>
      </c>
      <c r="D140" s="87" t="s">
        <v>263</v>
      </c>
      <c r="E140" s="87" t="s">
        <v>249</v>
      </c>
      <c r="F140" s="60" t="str">
        <f>IFERROR(VLOOKUP($E140,'基础-办公用品信息'!$C:$E,2,FALSE),"-")</f>
        <v>把</v>
      </c>
      <c r="G140" s="60">
        <f>IFERROR(VLOOKUP($E140,'基础-办公用品信息'!$C:$E,3,FALSE),"-")</f>
        <v>0</v>
      </c>
      <c r="H140" s="126">
        <f>IFERROR(VLOOKUP($E140,'基础-办公用品信息'!$C:$F,4,FALSE),"-")</f>
        <v>0</v>
      </c>
      <c r="I140" s="87">
        <v>1</v>
      </c>
      <c r="J140" s="61">
        <f t="shared" si="10"/>
        <v>0</v>
      </c>
      <c r="K140" s="87"/>
      <c r="L140" s="60">
        <f t="shared" si="11"/>
        <v>2023</v>
      </c>
      <c r="M140" s="60">
        <f t="shared" si="12"/>
        <v>2</v>
      </c>
    </row>
    <row r="141" customHeight="1" spans="2:13">
      <c r="B141" s="59">
        <v>138</v>
      </c>
      <c r="C141" s="128">
        <v>44978</v>
      </c>
      <c r="D141" s="87" t="s">
        <v>263</v>
      </c>
      <c r="E141" s="87" t="s">
        <v>190</v>
      </c>
      <c r="F141" s="60" t="str">
        <f>IFERROR(VLOOKUP($E141,'基础-办公用品信息'!$C:$E,2,FALSE),"-")</f>
        <v>卷</v>
      </c>
      <c r="G141" s="60">
        <f>IFERROR(VLOOKUP($E141,'基础-办公用品信息'!$C:$E,3,FALSE),"-")</f>
        <v>0</v>
      </c>
      <c r="H141" s="126">
        <f>IFERROR(VLOOKUP($E141,'基础-办公用品信息'!$C:$F,4,FALSE),"-")</f>
        <v>0</v>
      </c>
      <c r="I141" s="87">
        <v>200</v>
      </c>
      <c r="J141" s="61">
        <f t="shared" si="10"/>
        <v>0</v>
      </c>
      <c r="K141" s="87"/>
      <c r="L141" s="60">
        <f t="shared" si="11"/>
        <v>2023</v>
      </c>
      <c r="M141" s="60">
        <f t="shared" si="12"/>
        <v>2</v>
      </c>
    </row>
    <row r="142" customHeight="1" spans="2:13">
      <c r="B142" s="59">
        <v>139</v>
      </c>
      <c r="C142" s="128">
        <v>44978</v>
      </c>
      <c r="D142" s="87" t="s">
        <v>263</v>
      </c>
      <c r="E142" s="87" t="s">
        <v>253</v>
      </c>
      <c r="F142" s="60" t="str">
        <f>IFERROR(VLOOKUP($E142,'基础-办公用品信息'!$C:$E,2,FALSE),"-")</f>
        <v>双</v>
      </c>
      <c r="G142" s="60">
        <f>IFERROR(VLOOKUP($E142,'基础-办公用品信息'!$C:$E,3,FALSE),"-")</f>
        <v>0</v>
      </c>
      <c r="H142" s="126">
        <f>IFERROR(VLOOKUP($E142,'基础-办公用品信息'!$C:$F,4,FALSE),"-")</f>
        <v>0</v>
      </c>
      <c r="I142" s="87">
        <v>36</v>
      </c>
      <c r="J142" s="61">
        <f t="shared" si="10"/>
        <v>0</v>
      </c>
      <c r="K142" s="87"/>
      <c r="L142" s="60">
        <f t="shared" si="11"/>
        <v>2023</v>
      </c>
      <c r="M142" s="60">
        <f t="shared" si="12"/>
        <v>2</v>
      </c>
    </row>
    <row r="143" customHeight="1" spans="2:13">
      <c r="B143" s="59">
        <v>140</v>
      </c>
      <c r="C143" s="128">
        <v>44978</v>
      </c>
      <c r="D143" s="87" t="s">
        <v>263</v>
      </c>
      <c r="E143" s="87" t="s">
        <v>254</v>
      </c>
      <c r="F143" s="60" t="str">
        <f>IFERROR(VLOOKUP($E143,'基础-办公用品信息'!$C:$E,2,FALSE),"-")</f>
        <v>个</v>
      </c>
      <c r="G143" s="60">
        <f>IFERROR(VLOOKUP($E143,'基础-办公用品信息'!$C:$E,3,FALSE),"-")</f>
        <v>0</v>
      </c>
      <c r="H143" s="126">
        <f>IFERROR(VLOOKUP($E143,'基础-办公用品信息'!$C:$F,4,FALSE),"-")</f>
        <v>0</v>
      </c>
      <c r="I143" s="87">
        <v>2</v>
      </c>
      <c r="J143" s="61">
        <f t="shared" si="10"/>
        <v>0</v>
      </c>
      <c r="K143" s="87"/>
      <c r="L143" s="60">
        <f t="shared" si="11"/>
        <v>2023</v>
      </c>
      <c r="M143" s="60">
        <f t="shared" si="12"/>
        <v>2</v>
      </c>
    </row>
    <row r="144" customHeight="1" spans="2:13">
      <c r="B144" s="59">
        <v>141</v>
      </c>
      <c r="C144" s="128">
        <v>44978</v>
      </c>
      <c r="D144" s="87" t="s">
        <v>263</v>
      </c>
      <c r="E144" s="87" t="s">
        <v>252</v>
      </c>
      <c r="F144" s="60" t="str">
        <f>IFERROR(VLOOKUP($E144,'基础-办公用品信息'!$C:$E,2,FALSE),"-")</f>
        <v>个</v>
      </c>
      <c r="G144" s="60">
        <f>IFERROR(VLOOKUP($E144,'基础-办公用品信息'!$C:$E,3,FALSE),"-")</f>
        <v>0</v>
      </c>
      <c r="H144" s="126">
        <f>IFERROR(VLOOKUP($E144,'基础-办公用品信息'!$C:$F,4,FALSE),"-")</f>
        <v>0</v>
      </c>
      <c r="I144" s="87">
        <v>2</v>
      </c>
      <c r="J144" s="61">
        <f t="shared" si="10"/>
        <v>0</v>
      </c>
      <c r="K144" s="87"/>
      <c r="L144" s="60">
        <f t="shared" si="11"/>
        <v>2023</v>
      </c>
      <c r="M144" s="60">
        <f t="shared" si="12"/>
        <v>2</v>
      </c>
    </row>
    <row r="145" customHeight="1" spans="2:13">
      <c r="B145" s="59">
        <v>142</v>
      </c>
      <c r="C145" s="128">
        <v>44978</v>
      </c>
      <c r="D145" s="87" t="s">
        <v>263</v>
      </c>
      <c r="E145" s="87" t="s">
        <v>250</v>
      </c>
      <c r="F145" s="60" t="str">
        <f>IFERROR(VLOOKUP($E145,'基础-办公用品信息'!$C:$E,2,FALSE),"-")</f>
        <v>个 </v>
      </c>
      <c r="G145" s="60">
        <f>IFERROR(VLOOKUP($E145,'基础-办公用品信息'!$C:$E,3,FALSE),"-")</f>
        <v>0</v>
      </c>
      <c r="H145" s="126">
        <f>IFERROR(VLOOKUP($E145,'基础-办公用品信息'!$C:$F,4,FALSE),"-")</f>
        <v>0</v>
      </c>
      <c r="I145" s="87">
        <v>100</v>
      </c>
      <c r="J145" s="61">
        <f t="shared" si="10"/>
        <v>0</v>
      </c>
      <c r="K145" s="87"/>
      <c r="L145" s="60">
        <f t="shared" si="11"/>
        <v>2023</v>
      </c>
      <c r="M145" s="60">
        <f t="shared" si="12"/>
        <v>2</v>
      </c>
    </row>
    <row r="146" customHeight="1" spans="2:13">
      <c r="B146" s="59">
        <v>143</v>
      </c>
      <c r="C146" s="128">
        <v>44978</v>
      </c>
      <c r="D146" s="87" t="s">
        <v>263</v>
      </c>
      <c r="E146" s="87" t="s">
        <v>255</v>
      </c>
      <c r="F146" s="60" t="str">
        <f>IFERROR(VLOOKUP($E146,'基础-办公用品信息'!$C:$E,2,FALSE),"-")</f>
        <v>瓶</v>
      </c>
      <c r="G146" s="60">
        <f>IFERROR(VLOOKUP($E146,'基础-办公用品信息'!$C:$E,3,FALSE),"-")</f>
        <v>0</v>
      </c>
      <c r="H146" s="126">
        <f>IFERROR(VLOOKUP($E146,'基础-办公用品信息'!$C:$F,4,FALSE),"-")</f>
        <v>0</v>
      </c>
      <c r="I146" s="87">
        <v>5</v>
      </c>
      <c r="J146" s="61">
        <f t="shared" si="10"/>
        <v>0</v>
      </c>
      <c r="K146" s="87"/>
      <c r="L146" s="60">
        <f t="shared" si="11"/>
        <v>2023</v>
      </c>
      <c r="M146" s="60">
        <f t="shared" si="12"/>
        <v>2</v>
      </c>
    </row>
    <row r="147" customHeight="1" spans="2:13">
      <c r="B147" s="59">
        <v>144</v>
      </c>
      <c r="C147" s="128">
        <v>44978</v>
      </c>
      <c r="D147" s="87" t="s">
        <v>263</v>
      </c>
      <c r="E147" s="87" t="s">
        <v>165</v>
      </c>
      <c r="F147" s="60" t="str">
        <f>IFERROR(VLOOKUP($E147,'基础-办公用品信息'!$C:$E,2,FALSE),"-")</f>
        <v>打</v>
      </c>
      <c r="G147" s="60">
        <f>IFERROR(VLOOKUP($E147,'基础-办公用品信息'!$C:$E,3,FALSE),"-")</f>
        <v>0</v>
      </c>
      <c r="H147" s="126">
        <f>IFERROR(VLOOKUP($E147,'基础-办公用品信息'!$C:$F,4,FALSE),"-")</f>
        <v>0</v>
      </c>
      <c r="I147" s="87">
        <v>1</v>
      </c>
      <c r="J147" s="61">
        <f t="shared" si="10"/>
        <v>0</v>
      </c>
      <c r="K147" s="87"/>
      <c r="L147" s="60">
        <f t="shared" si="11"/>
        <v>2023</v>
      </c>
      <c r="M147" s="60">
        <f t="shared" si="12"/>
        <v>2</v>
      </c>
    </row>
    <row r="148" customHeight="1" spans="2:13">
      <c r="B148" s="59">
        <v>145</v>
      </c>
      <c r="C148" s="128">
        <v>44979</v>
      </c>
      <c r="D148" s="87" t="s">
        <v>263</v>
      </c>
      <c r="E148" s="87" t="s">
        <v>35</v>
      </c>
      <c r="F148" s="60" t="str">
        <f>IFERROR(VLOOKUP($E148,'基础-办公用品信息'!$C:$E,2,FALSE),"-")</f>
        <v>本</v>
      </c>
      <c r="G148" s="60">
        <f>IFERROR(VLOOKUP($E148,'基础-办公用品信息'!$C:$E,3,FALSE),"-")</f>
        <v>0</v>
      </c>
      <c r="H148" s="126">
        <f>IFERROR(VLOOKUP($E148,'基础-办公用品信息'!$C:$F,4,FALSE),"-")</f>
        <v>5</v>
      </c>
      <c r="I148" s="87">
        <v>24</v>
      </c>
      <c r="J148" s="61">
        <f t="shared" si="10"/>
        <v>120</v>
      </c>
      <c r="K148" s="87"/>
      <c r="L148" s="60">
        <f t="shared" si="11"/>
        <v>2023</v>
      </c>
      <c r="M148" s="60">
        <f t="shared" si="12"/>
        <v>2</v>
      </c>
    </row>
    <row r="149" customHeight="1" spans="2:13">
      <c r="B149" s="59">
        <v>146</v>
      </c>
      <c r="C149" s="128">
        <v>44979</v>
      </c>
      <c r="D149" s="87" t="s">
        <v>263</v>
      </c>
      <c r="E149" s="87" t="s">
        <v>20</v>
      </c>
      <c r="F149" s="60" t="str">
        <f>IFERROR(VLOOKUP($E149,'基础-办公用品信息'!$C:$E,2,FALSE),"-")</f>
        <v>本</v>
      </c>
      <c r="G149" s="60">
        <f>IFERROR(VLOOKUP($E149,'基础-办公用品信息'!$C:$E,3,FALSE),"-")</f>
        <v>0</v>
      </c>
      <c r="H149" s="126">
        <f>IFERROR(VLOOKUP($E149,'基础-办公用品信息'!$C:$F,4,FALSE),"-")</f>
        <v>7.5</v>
      </c>
      <c r="I149" s="87">
        <v>20</v>
      </c>
      <c r="J149" s="61">
        <f t="shared" si="10"/>
        <v>150</v>
      </c>
      <c r="K149" s="87"/>
      <c r="L149" s="60">
        <f t="shared" si="11"/>
        <v>2023</v>
      </c>
      <c r="M149" s="60">
        <f t="shared" si="12"/>
        <v>2</v>
      </c>
    </row>
    <row r="150" customHeight="1" spans="2:13">
      <c r="B150" s="59">
        <v>147</v>
      </c>
      <c r="C150" s="128">
        <v>44979</v>
      </c>
      <c r="D150" s="87" t="s">
        <v>263</v>
      </c>
      <c r="E150" s="87" t="s">
        <v>133</v>
      </c>
      <c r="F150" s="60" t="str">
        <f>IFERROR(VLOOKUP($E150,'基础-办公用品信息'!$C:$E,2,FALSE),"-")</f>
        <v>包</v>
      </c>
      <c r="G150" s="60">
        <f>IFERROR(VLOOKUP($E150,'基础-办公用品信息'!$C:$E,3,FALSE),"-")</f>
        <v>0</v>
      </c>
      <c r="H150" s="126">
        <f>IFERROR(VLOOKUP($E150,'基础-办公用品信息'!$C:$F,4,FALSE),"-")</f>
        <v>2.5</v>
      </c>
      <c r="I150" s="87">
        <v>200</v>
      </c>
      <c r="J150" s="61">
        <f t="shared" si="10"/>
        <v>500</v>
      </c>
      <c r="K150" s="87"/>
      <c r="L150" s="60">
        <f t="shared" si="11"/>
        <v>2023</v>
      </c>
      <c r="M150" s="60">
        <f t="shared" si="12"/>
        <v>2</v>
      </c>
    </row>
    <row r="151" customHeight="1" spans="2:13">
      <c r="B151" s="59">
        <v>148</v>
      </c>
      <c r="C151" s="128">
        <v>44979</v>
      </c>
      <c r="D151" s="87" t="s">
        <v>263</v>
      </c>
      <c r="E151" s="87" t="s">
        <v>132</v>
      </c>
      <c r="F151" s="60" t="str">
        <f>IFERROR(VLOOKUP($E151,'基础-办公用品信息'!$C:$E,2,FALSE),"-")</f>
        <v>盒</v>
      </c>
      <c r="G151" s="60">
        <f>IFERROR(VLOOKUP($E151,'基础-办公用品信息'!$C:$E,3,FALSE),"-")</f>
        <v>0</v>
      </c>
      <c r="H151" s="126">
        <f>IFERROR(VLOOKUP($E151,'基础-办公用品信息'!$C:$F,4,FALSE),"-")</f>
        <v>5.3</v>
      </c>
      <c r="I151" s="87">
        <v>72</v>
      </c>
      <c r="J151" s="61">
        <f t="shared" si="10"/>
        <v>381.6</v>
      </c>
      <c r="K151" s="87"/>
      <c r="L151" s="60">
        <f t="shared" si="11"/>
        <v>2023</v>
      </c>
      <c r="M151" s="60">
        <f t="shared" si="12"/>
        <v>2</v>
      </c>
    </row>
    <row r="152" customHeight="1" spans="2:13">
      <c r="B152" s="59">
        <v>149</v>
      </c>
      <c r="C152" s="128">
        <v>44979</v>
      </c>
      <c r="D152" s="87" t="s">
        <v>286</v>
      </c>
      <c r="E152" s="87" t="s">
        <v>9</v>
      </c>
      <c r="F152" s="60" t="str">
        <f>IFERROR(VLOOKUP($E152,'基础-办公用品信息'!$C:$E,2,FALSE),"-")</f>
        <v>包</v>
      </c>
      <c r="G152" s="60">
        <f>IFERROR(VLOOKUP($E152,'基础-办公用品信息'!$C:$E,3,FALSE),"-")</f>
        <v>0</v>
      </c>
      <c r="H152" s="126">
        <f>IFERROR(VLOOKUP($E152,'基础-办公用品信息'!$C:$F,4,FALSE),"-")</f>
        <v>175</v>
      </c>
      <c r="I152" s="87">
        <v>20</v>
      </c>
      <c r="J152" s="61">
        <f t="shared" si="10"/>
        <v>3500</v>
      </c>
      <c r="K152" s="87"/>
      <c r="L152" s="60">
        <f t="shared" si="11"/>
        <v>2023</v>
      </c>
      <c r="M152" s="60">
        <f t="shared" si="12"/>
        <v>2</v>
      </c>
    </row>
    <row r="153" customHeight="1" spans="2:13">
      <c r="B153" s="59">
        <v>150</v>
      </c>
      <c r="C153" s="128">
        <v>44979</v>
      </c>
      <c r="D153" s="87" t="s">
        <v>286</v>
      </c>
      <c r="E153" s="87" t="s">
        <v>98</v>
      </c>
      <c r="F153" s="60" t="str">
        <f>IFERROR(VLOOKUP($E153,'基础-办公用品信息'!$C:$E,2,FALSE),"-")</f>
        <v>包</v>
      </c>
      <c r="G153" s="60">
        <f>IFERROR(VLOOKUP($E153,'基础-办公用品信息'!$C:$E,3,FALSE),"-")</f>
        <v>0</v>
      </c>
      <c r="H153" s="126">
        <f>IFERROR(VLOOKUP($E153,'基础-办公用品信息'!$C:$F,4,FALSE),"-")</f>
        <v>0</v>
      </c>
      <c r="I153" s="87">
        <v>20</v>
      </c>
      <c r="J153" s="61">
        <f t="shared" si="10"/>
        <v>0</v>
      </c>
      <c r="K153" s="87"/>
      <c r="L153" s="60">
        <f t="shared" si="11"/>
        <v>2023</v>
      </c>
      <c r="M153" s="60">
        <f t="shared" si="12"/>
        <v>2</v>
      </c>
    </row>
    <row r="154" customHeight="1" spans="2:13">
      <c r="B154" s="59">
        <v>151</v>
      </c>
      <c r="C154" s="128">
        <v>44979</v>
      </c>
      <c r="D154" s="87" t="s">
        <v>286</v>
      </c>
      <c r="E154" s="87" t="s">
        <v>188</v>
      </c>
      <c r="F154" s="60" t="str">
        <f>IFERROR(VLOOKUP($E154,'基础-办公用品信息'!$C:$E,2,FALSE),"-")</f>
        <v>卷</v>
      </c>
      <c r="G154" s="60">
        <f>IFERROR(VLOOKUP($E154,'基础-办公用品信息'!$C:$E,3,FALSE),"-")</f>
        <v>0</v>
      </c>
      <c r="H154" s="126">
        <f>IFERROR(VLOOKUP($E154,'基础-办公用品信息'!$C:$F,4,FALSE),"-")</f>
        <v>0</v>
      </c>
      <c r="I154" s="87">
        <v>6</v>
      </c>
      <c r="J154" s="61">
        <f t="shared" si="10"/>
        <v>0</v>
      </c>
      <c r="K154" s="87"/>
      <c r="L154" s="60">
        <f t="shared" si="11"/>
        <v>2023</v>
      </c>
      <c r="M154" s="60">
        <f t="shared" si="12"/>
        <v>2</v>
      </c>
    </row>
    <row r="155" customHeight="1" spans="2:13">
      <c r="B155" s="59">
        <v>152</v>
      </c>
      <c r="C155" s="128">
        <v>44979</v>
      </c>
      <c r="D155" s="87" t="s">
        <v>286</v>
      </c>
      <c r="E155" s="87" t="s">
        <v>257</v>
      </c>
      <c r="F155" s="60" t="str">
        <f>IFERROR(VLOOKUP($E155,'基础-办公用品信息'!$C:$E,2,FALSE),"-")</f>
        <v>个</v>
      </c>
      <c r="G155" s="60">
        <f>IFERROR(VLOOKUP($E155,'基础-办公用品信息'!$C:$E,3,FALSE),"-")</f>
        <v>0</v>
      </c>
      <c r="H155" s="126">
        <f>IFERROR(VLOOKUP($E155,'基础-办公用品信息'!$C:$F,4,FALSE),"-")</f>
        <v>0</v>
      </c>
      <c r="I155" s="87">
        <v>20</v>
      </c>
      <c r="J155" s="61">
        <f t="shared" si="10"/>
        <v>0</v>
      </c>
      <c r="K155" s="87"/>
      <c r="L155" s="60">
        <f t="shared" si="11"/>
        <v>2023</v>
      </c>
      <c r="M155" s="60">
        <f t="shared" si="12"/>
        <v>2</v>
      </c>
    </row>
    <row r="156" customHeight="1" spans="2:13">
      <c r="B156" s="59">
        <v>153</v>
      </c>
      <c r="C156" s="128">
        <v>44979</v>
      </c>
      <c r="D156" s="87" t="s">
        <v>286</v>
      </c>
      <c r="E156" s="87" t="s">
        <v>256</v>
      </c>
      <c r="F156" s="60" t="str">
        <f>IFERROR(VLOOKUP($E156,'基础-办公用品信息'!$C:$E,2,FALSE),"-")</f>
        <v>卷</v>
      </c>
      <c r="G156" s="60">
        <f>IFERROR(VLOOKUP($E156,'基础-办公用品信息'!$C:$E,3,FALSE),"-")</f>
        <v>0</v>
      </c>
      <c r="H156" s="126">
        <f>IFERROR(VLOOKUP($E156,'基础-办公用品信息'!$C:$F,4,FALSE),"-")</f>
        <v>0</v>
      </c>
      <c r="I156" s="87">
        <v>1</v>
      </c>
      <c r="J156" s="61">
        <f t="shared" si="10"/>
        <v>0</v>
      </c>
      <c r="K156" s="87"/>
      <c r="L156" s="60">
        <f t="shared" si="11"/>
        <v>2023</v>
      </c>
      <c r="M156" s="60">
        <f t="shared" si="12"/>
        <v>2</v>
      </c>
    </row>
    <row r="157" customHeight="1" spans="2:13">
      <c r="B157" s="59">
        <v>154</v>
      </c>
      <c r="C157" s="128">
        <v>44979</v>
      </c>
      <c r="D157" s="87" t="s">
        <v>286</v>
      </c>
      <c r="E157" s="87"/>
      <c r="F157" s="60" t="str">
        <f>IFERROR(VLOOKUP($E157,'基础-办公用品信息'!$C:$E,2,FALSE),"-")</f>
        <v>-</v>
      </c>
      <c r="G157" s="60" t="str">
        <f>IFERROR(VLOOKUP($E157,'基础-办公用品信息'!$C:$E,3,FALSE),"-")</f>
        <v>-</v>
      </c>
      <c r="H157" s="126" t="str">
        <f>IFERROR(VLOOKUP($E157,'基础-办公用品信息'!$C:$F,4,FALSE),"-")</f>
        <v>-</v>
      </c>
      <c r="I157" s="87"/>
      <c r="J157" s="61" t="str">
        <f t="shared" si="10"/>
        <v>-</v>
      </c>
      <c r="K157" s="87"/>
      <c r="L157" s="60">
        <f t="shared" si="11"/>
        <v>2023</v>
      </c>
      <c r="M157" s="60">
        <f t="shared" si="12"/>
        <v>2</v>
      </c>
    </row>
    <row r="158" customHeight="1" spans="2:13">
      <c r="B158" s="59">
        <v>155</v>
      </c>
      <c r="C158" s="128">
        <v>44979</v>
      </c>
      <c r="D158" s="87" t="s">
        <v>286</v>
      </c>
      <c r="E158" s="87"/>
      <c r="F158" s="60" t="str">
        <f>IFERROR(VLOOKUP($E158,'基础-办公用品信息'!$C:$E,2,FALSE),"-")</f>
        <v>-</v>
      </c>
      <c r="G158" s="60" t="str">
        <f>IFERROR(VLOOKUP($E158,'基础-办公用品信息'!$C:$E,3,FALSE),"-")</f>
        <v>-</v>
      </c>
      <c r="H158" s="126" t="str">
        <f>IFERROR(VLOOKUP($E158,'基础-办公用品信息'!$C:$F,4,FALSE),"-")</f>
        <v>-</v>
      </c>
      <c r="I158" s="87"/>
      <c r="J158" s="61" t="str">
        <f t="shared" si="10"/>
        <v>-</v>
      </c>
      <c r="K158" s="87"/>
      <c r="L158" s="60">
        <f t="shared" si="11"/>
        <v>2023</v>
      </c>
      <c r="M158" s="60">
        <f t="shared" si="12"/>
        <v>2</v>
      </c>
    </row>
    <row r="159" customHeight="1" spans="2:13">
      <c r="B159" s="59">
        <v>156</v>
      </c>
      <c r="C159" s="87"/>
      <c r="D159" s="87"/>
      <c r="E159" s="87"/>
      <c r="F159" s="60" t="str">
        <f>IFERROR(VLOOKUP($E159,'基础-办公用品信息'!$C:$E,2,FALSE),"-")</f>
        <v>-</v>
      </c>
      <c r="G159" s="60" t="str">
        <f>IFERROR(VLOOKUP($E159,'基础-办公用品信息'!$C:$E,3,FALSE),"-")</f>
        <v>-</v>
      </c>
      <c r="H159" s="126" t="str">
        <f>IFERROR(VLOOKUP($E159,'基础-办公用品信息'!$C:$F,4,FALSE),"-")</f>
        <v>-</v>
      </c>
      <c r="I159" s="87"/>
      <c r="J159" s="61" t="str">
        <f t="shared" si="10"/>
        <v>-</v>
      </c>
      <c r="K159" s="87"/>
      <c r="L159" s="60">
        <f t="shared" si="11"/>
        <v>1900</v>
      </c>
      <c r="M159" s="60">
        <f t="shared" si="12"/>
        <v>1</v>
      </c>
    </row>
    <row r="160" customHeight="1" spans="2:13">
      <c r="B160" s="59">
        <v>157</v>
      </c>
      <c r="C160" s="87"/>
      <c r="D160" s="87"/>
      <c r="E160" s="87"/>
      <c r="F160" s="60" t="str">
        <f>IFERROR(VLOOKUP($E160,'基础-办公用品信息'!$C:$E,2,FALSE),"-")</f>
        <v>-</v>
      </c>
      <c r="G160" s="60" t="str">
        <f>IFERROR(VLOOKUP($E160,'基础-办公用品信息'!$C:$E,3,FALSE),"-")</f>
        <v>-</v>
      </c>
      <c r="H160" s="126" t="str">
        <f>IFERROR(VLOOKUP($E160,'基础-办公用品信息'!$C:$F,4,FALSE),"-")</f>
        <v>-</v>
      </c>
      <c r="I160" s="87"/>
      <c r="J160" s="61" t="str">
        <f t="shared" si="10"/>
        <v>-</v>
      </c>
      <c r="K160" s="87"/>
      <c r="L160" s="60">
        <f t="shared" si="11"/>
        <v>1900</v>
      </c>
      <c r="M160" s="60">
        <f t="shared" si="12"/>
        <v>1</v>
      </c>
    </row>
    <row r="161" customHeight="1" spans="2:13">
      <c r="B161" s="59">
        <v>158</v>
      </c>
      <c r="C161" s="87"/>
      <c r="D161" s="87"/>
      <c r="E161" s="87"/>
      <c r="F161" s="60" t="str">
        <f>IFERROR(VLOOKUP($E161,'基础-办公用品信息'!$C:$E,2,FALSE),"-")</f>
        <v>-</v>
      </c>
      <c r="G161" s="60" t="str">
        <f>IFERROR(VLOOKUP($E161,'基础-办公用品信息'!$C:$E,3,FALSE),"-")</f>
        <v>-</v>
      </c>
      <c r="H161" s="126" t="str">
        <f>IFERROR(VLOOKUP($E161,'基础-办公用品信息'!$C:$F,4,FALSE),"-")</f>
        <v>-</v>
      </c>
      <c r="I161" s="87"/>
      <c r="J161" s="61" t="str">
        <f t="shared" si="10"/>
        <v>-</v>
      </c>
      <c r="K161" s="87"/>
      <c r="L161" s="60">
        <f t="shared" si="11"/>
        <v>1900</v>
      </c>
      <c r="M161" s="60">
        <f t="shared" si="12"/>
        <v>1</v>
      </c>
    </row>
    <row r="162" customHeight="1" spans="2:13">
      <c r="B162" s="59">
        <v>159</v>
      </c>
      <c r="C162" s="87"/>
      <c r="D162" s="87"/>
      <c r="E162" s="87"/>
      <c r="F162" s="60" t="str">
        <f>IFERROR(VLOOKUP($E162,'基础-办公用品信息'!$C:$E,2,FALSE),"-")</f>
        <v>-</v>
      </c>
      <c r="G162" s="60" t="str">
        <f>IFERROR(VLOOKUP($E162,'基础-办公用品信息'!$C:$E,3,FALSE),"-")</f>
        <v>-</v>
      </c>
      <c r="H162" s="126" t="str">
        <f>IFERROR(VLOOKUP($E162,'基础-办公用品信息'!$C:$F,4,FALSE),"-")</f>
        <v>-</v>
      </c>
      <c r="I162" s="87"/>
      <c r="J162" s="61" t="str">
        <f t="shared" si="10"/>
        <v>-</v>
      </c>
      <c r="K162" s="87"/>
      <c r="L162" s="60">
        <f t="shared" si="11"/>
        <v>1900</v>
      </c>
      <c r="M162" s="60">
        <f t="shared" si="12"/>
        <v>1</v>
      </c>
    </row>
    <row r="163" customHeight="1" spans="2:13">
      <c r="B163" s="59">
        <v>160</v>
      </c>
      <c r="C163" s="87"/>
      <c r="D163" s="87"/>
      <c r="E163" s="87"/>
      <c r="F163" s="60" t="str">
        <f>IFERROR(VLOOKUP($E163,'基础-办公用品信息'!$C:$E,2,FALSE),"-")</f>
        <v>-</v>
      </c>
      <c r="G163" s="60" t="str">
        <f>IFERROR(VLOOKUP($E163,'基础-办公用品信息'!$C:$E,3,FALSE),"-")</f>
        <v>-</v>
      </c>
      <c r="H163" s="126" t="str">
        <f>IFERROR(VLOOKUP($E163,'基础-办公用品信息'!$C:$F,4,FALSE),"-")</f>
        <v>-</v>
      </c>
      <c r="I163" s="87"/>
      <c r="J163" s="61" t="str">
        <f t="shared" si="10"/>
        <v>-</v>
      </c>
      <c r="K163" s="87"/>
      <c r="L163" s="60">
        <f t="shared" si="11"/>
        <v>1900</v>
      </c>
      <c r="M163" s="60">
        <f t="shared" si="12"/>
        <v>1</v>
      </c>
    </row>
    <row r="164" customHeight="1" spans="2:13">
      <c r="B164" s="59">
        <v>161</v>
      </c>
      <c r="C164" s="87"/>
      <c r="D164" s="87"/>
      <c r="E164" s="87"/>
      <c r="F164" s="60" t="str">
        <f>IFERROR(VLOOKUP($E164,'基础-办公用品信息'!$C:$E,2,FALSE),"-")</f>
        <v>-</v>
      </c>
      <c r="G164" s="60" t="str">
        <f>IFERROR(VLOOKUP($E164,'基础-办公用品信息'!$C:$E,3,FALSE),"-")</f>
        <v>-</v>
      </c>
      <c r="H164" s="126" t="str">
        <f>IFERROR(VLOOKUP($E164,'基础-办公用品信息'!$C:$F,4,FALSE),"-")</f>
        <v>-</v>
      </c>
      <c r="I164" s="87"/>
      <c r="J164" s="61" t="str">
        <f t="shared" si="10"/>
        <v>-</v>
      </c>
      <c r="K164" s="87"/>
      <c r="L164" s="60">
        <f t="shared" si="11"/>
        <v>1900</v>
      </c>
      <c r="M164" s="60">
        <f t="shared" si="12"/>
        <v>1</v>
      </c>
    </row>
    <row r="165" customHeight="1" spans="2:13">
      <c r="B165" s="59">
        <v>162</v>
      </c>
      <c r="C165" s="87"/>
      <c r="D165" s="87"/>
      <c r="E165" s="87"/>
      <c r="F165" s="60" t="str">
        <f>IFERROR(VLOOKUP($E165,'基础-办公用品信息'!$C:$E,2,FALSE),"-")</f>
        <v>-</v>
      </c>
      <c r="G165" s="60" t="str">
        <f>IFERROR(VLOOKUP($E165,'基础-办公用品信息'!$C:$E,3,FALSE),"-")</f>
        <v>-</v>
      </c>
      <c r="H165" s="126" t="str">
        <f>IFERROR(VLOOKUP($E165,'基础-办公用品信息'!$C:$F,4,FALSE),"-")</f>
        <v>-</v>
      </c>
      <c r="I165" s="87"/>
      <c r="J165" s="61" t="str">
        <f t="shared" si="10"/>
        <v>-</v>
      </c>
      <c r="K165" s="87"/>
      <c r="L165" s="60">
        <f t="shared" si="11"/>
        <v>1900</v>
      </c>
      <c r="M165" s="60">
        <f t="shared" si="12"/>
        <v>1</v>
      </c>
    </row>
    <row r="166" customHeight="1" spans="2:13">
      <c r="B166" s="59">
        <v>163</v>
      </c>
      <c r="C166" s="87"/>
      <c r="D166" s="87"/>
      <c r="E166" s="87"/>
      <c r="F166" s="60" t="str">
        <f>IFERROR(VLOOKUP($E166,'基础-办公用品信息'!$C:$E,2,FALSE),"-")</f>
        <v>-</v>
      </c>
      <c r="G166" s="60" t="str">
        <f>IFERROR(VLOOKUP($E166,'基础-办公用品信息'!$C:$E,3,FALSE),"-")</f>
        <v>-</v>
      </c>
      <c r="H166" s="126" t="str">
        <f>IFERROR(VLOOKUP($E166,'基础-办公用品信息'!$C:$F,4,FALSE),"-")</f>
        <v>-</v>
      </c>
      <c r="I166" s="87"/>
      <c r="J166" s="61" t="str">
        <f t="shared" si="10"/>
        <v>-</v>
      </c>
      <c r="K166" s="87"/>
      <c r="L166" s="60">
        <f t="shared" si="11"/>
        <v>1900</v>
      </c>
      <c r="M166" s="60">
        <f t="shared" si="12"/>
        <v>1</v>
      </c>
    </row>
    <row r="167" customHeight="1" spans="2:13">
      <c r="B167" s="59">
        <v>164</v>
      </c>
      <c r="C167" s="87"/>
      <c r="D167" s="87"/>
      <c r="E167" s="87"/>
      <c r="F167" s="60" t="str">
        <f>IFERROR(VLOOKUP($E167,'基础-办公用品信息'!$C:$E,2,FALSE),"-")</f>
        <v>-</v>
      </c>
      <c r="G167" s="60" t="str">
        <f>IFERROR(VLOOKUP($E167,'基础-办公用品信息'!$C:$E,3,FALSE),"-")</f>
        <v>-</v>
      </c>
      <c r="H167" s="126" t="str">
        <f>IFERROR(VLOOKUP($E167,'基础-办公用品信息'!$C:$F,4,FALSE),"-")</f>
        <v>-</v>
      </c>
      <c r="I167" s="87"/>
      <c r="J167" s="61" t="str">
        <f t="shared" si="10"/>
        <v>-</v>
      </c>
      <c r="K167" s="87"/>
      <c r="L167" s="60">
        <f t="shared" si="11"/>
        <v>1900</v>
      </c>
      <c r="M167" s="60">
        <f t="shared" si="12"/>
        <v>1</v>
      </c>
    </row>
    <row r="168" customHeight="1" spans="2:13">
      <c r="B168" s="59">
        <v>165</v>
      </c>
      <c r="C168" s="87"/>
      <c r="D168" s="87"/>
      <c r="E168" s="87"/>
      <c r="F168" s="60" t="str">
        <f>IFERROR(VLOOKUP($E168,'基础-办公用品信息'!$C:$E,2,FALSE),"-")</f>
        <v>-</v>
      </c>
      <c r="G168" s="60" t="str">
        <f>IFERROR(VLOOKUP($E168,'基础-办公用品信息'!$C:$E,3,FALSE),"-")</f>
        <v>-</v>
      </c>
      <c r="H168" s="126" t="str">
        <f>IFERROR(VLOOKUP($E168,'基础-办公用品信息'!$C:$F,4,FALSE),"-")</f>
        <v>-</v>
      </c>
      <c r="I168" s="87"/>
      <c r="J168" s="61" t="str">
        <f t="shared" si="10"/>
        <v>-</v>
      </c>
      <c r="K168" s="87"/>
      <c r="L168" s="60">
        <f t="shared" si="11"/>
        <v>1900</v>
      </c>
      <c r="M168" s="60">
        <f t="shared" si="12"/>
        <v>1</v>
      </c>
    </row>
    <row r="169" customHeight="1" spans="2:13">
      <c r="B169" s="59">
        <v>166</v>
      </c>
      <c r="C169" s="87"/>
      <c r="D169" s="87"/>
      <c r="E169" s="87"/>
      <c r="F169" s="60" t="str">
        <f>IFERROR(VLOOKUP($E169,'基础-办公用品信息'!$C:$E,2,FALSE),"-")</f>
        <v>-</v>
      </c>
      <c r="G169" s="60" t="str">
        <f>IFERROR(VLOOKUP($E169,'基础-办公用品信息'!$C:$E,3,FALSE),"-")</f>
        <v>-</v>
      </c>
      <c r="H169" s="126" t="str">
        <f>IFERROR(VLOOKUP($E169,'基础-办公用品信息'!$C:$F,4,FALSE),"-")</f>
        <v>-</v>
      </c>
      <c r="I169" s="87"/>
      <c r="J169" s="61" t="str">
        <f t="shared" si="10"/>
        <v>-</v>
      </c>
      <c r="K169" s="87"/>
      <c r="L169" s="60">
        <f t="shared" si="11"/>
        <v>1900</v>
      </c>
      <c r="M169" s="60">
        <f t="shared" si="12"/>
        <v>1</v>
      </c>
    </row>
    <row r="170" customHeight="1" spans="2:13">
      <c r="B170" s="59">
        <v>167</v>
      </c>
      <c r="C170" s="87"/>
      <c r="D170" s="87"/>
      <c r="E170" s="87"/>
      <c r="F170" s="60" t="str">
        <f>IFERROR(VLOOKUP($E170,'基础-办公用品信息'!$C:$E,2,FALSE),"-")</f>
        <v>-</v>
      </c>
      <c r="G170" s="60" t="str">
        <f>IFERROR(VLOOKUP($E170,'基础-办公用品信息'!$C:$E,3,FALSE),"-")</f>
        <v>-</v>
      </c>
      <c r="H170" s="126" t="str">
        <f>IFERROR(VLOOKUP($E170,'基础-办公用品信息'!$C:$F,4,FALSE),"-")</f>
        <v>-</v>
      </c>
      <c r="I170" s="87"/>
      <c r="J170" s="61" t="str">
        <f t="shared" si="10"/>
        <v>-</v>
      </c>
      <c r="K170" s="87"/>
      <c r="L170" s="60">
        <f t="shared" si="11"/>
        <v>1900</v>
      </c>
      <c r="M170" s="60">
        <f t="shared" si="12"/>
        <v>1</v>
      </c>
    </row>
    <row r="171" customHeight="1" spans="2:13">
      <c r="B171" s="59">
        <v>168</v>
      </c>
      <c r="C171" s="87"/>
      <c r="D171" s="87"/>
      <c r="E171" s="87"/>
      <c r="F171" s="60" t="str">
        <f>IFERROR(VLOOKUP($E171,'基础-办公用品信息'!$C:$E,2,FALSE),"-")</f>
        <v>-</v>
      </c>
      <c r="G171" s="60" t="str">
        <f>IFERROR(VLOOKUP($E171,'基础-办公用品信息'!$C:$E,3,FALSE),"-")</f>
        <v>-</v>
      </c>
      <c r="H171" s="126" t="str">
        <f>IFERROR(VLOOKUP($E171,'基础-办公用品信息'!$C:$F,4,FALSE),"-")</f>
        <v>-</v>
      </c>
      <c r="I171" s="87"/>
      <c r="J171" s="61" t="str">
        <f t="shared" si="10"/>
        <v>-</v>
      </c>
      <c r="K171" s="87"/>
      <c r="L171" s="60">
        <f t="shared" si="11"/>
        <v>1900</v>
      </c>
      <c r="M171" s="60">
        <f t="shared" si="12"/>
        <v>1</v>
      </c>
    </row>
    <row r="172" customHeight="1" spans="2:13">
      <c r="B172" s="59">
        <v>169</v>
      </c>
      <c r="C172" s="87"/>
      <c r="D172" s="87"/>
      <c r="E172" s="87"/>
      <c r="F172" s="60" t="str">
        <f>IFERROR(VLOOKUP($E172,'基础-办公用品信息'!$C:$E,2,FALSE),"-")</f>
        <v>-</v>
      </c>
      <c r="G172" s="60" t="str">
        <f>IFERROR(VLOOKUP($E172,'基础-办公用品信息'!$C:$E,3,FALSE),"-")</f>
        <v>-</v>
      </c>
      <c r="H172" s="126" t="str">
        <f>IFERROR(VLOOKUP($E172,'基础-办公用品信息'!$C:$F,4,FALSE),"-")</f>
        <v>-</v>
      </c>
      <c r="I172" s="87"/>
      <c r="J172" s="61" t="str">
        <f t="shared" si="10"/>
        <v>-</v>
      </c>
      <c r="K172" s="87"/>
      <c r="L172" s="60">
        <f t="shared" si="11"/>
        <v>1900</v>
      </c>
      <c r="M172" s="60">
        <f t="shared" si="12"/>
        <v>1</v>
      </c>
    </row>
    <row r="173" customHeight="1" spans="2:13">
      <c r="B173" s="59">
        <v>170</v>
      </c>
      <c r="C173" s="87"/>
      <c r="D173" s="87"/>
      <c r="E173" s="87"/>
      <c r="F173" s="60" t="str">
        <f>IFERROR(VLOOKUP($E173,'基础-办公用品信息'!$C:$E,2,FALSE),"-")</f>
        <v>-</v>
      </c>
      <c r="G173" s="60" t="str">
        <f>IFERROR(VLOOKUP($E173,'基础-办公用品信息'!$C:$E,3,FALSE),"-")</f>
        <v>-</v>
      </c>
      <c r="H173" s="126" t="str">
        <f>IFERROR(VLOOKUP($E173,'基础-办公用品信息'!$C:$F,4,FALSE),"-")</f>
        <v>-</v>
      </c>
      <c r="I173" s="87"/>
      <c r="J173" s="61" t="str">
        <f t="shared" si="10"/>
        <v>-</v>
      </c>
      <c r="K173" s="87"/>
      <c r="L173" s="60">
        <f t="shared" si="11"/>
        <v>1900</v>
      </c>
      <c r="M173" s="60">
        <f t="shared" si="12"/>
        <v>1</v>
      </c>
    </row>
    <row r="174" customHeight="1" spans="2:13">
      <c r="B174" s="59">
        <v>171</v>
      </c>
      <c r="C174" s="87"/>
      <c r="D174" s="87"/>
      <c r="E174" s="87"/>
      <c r="F174" s="60" t="str">
        <f>IFERROR(VLOOKUP($E174,'基础-办公用品信息'!$C:$E,2,FALSE),"-")</f>
        <v>-</v>
      </c>
      <c r="G174" s="60" t="str">
        <f>IFERROR(VLOOKUP($E174,'基础-办公用品信息'!$C:$E,3,FALSE),"-")</f>
        <v>-</v>
      </c>
      <c r="H174" s="126" t="str">
        <f>IFERROR(VLOOKUP($E174,'基础-办公用品信息'!$C:$F,4,FALSE),"-")</f>
        <v>-</v>
      </c>
      <c r="I174" s="87"/>
      <c r="J174" s="61" t="str">
        <f t="shared" si="10"/>
        <v>-</v>
      </c>
      <c r="K174" s="87"/>
      <c r="L174" s="60">
        <f t="shared" si="11"/>
        <v>1900</v>
      </c>
      <c r="M174" s="60">
        <f t="shared" si="12"/>
        <v>1</v>
      </c>
    </row>
    <row r="175" customHeight="1" spans="2:13">
      <c r="B175" s="59">
        <v>172</v>
      </c>
      <c r="C175" s="87"/>
      <c r="D175" s="87"/>
      <c r="E175" s="87"/>
      <c r="F175" s="60" t="str">
        <f>IFERROR(VLOOKUP($E175,'基础-办公用品信息'!$C:$E,2,FALSE),"-")</f>
        <v>-</v>
      </c>
      <c r="G175" s="60" t="str">
        <f>IFERROR(VLOOKUP($E175,'基础-办公用品信息'!$C:$E,3,FALSE),"-")</f>
        <v>-</v>
      </c>
      <c r="H175" s="126" t="str">
        <f>IFERROR(VLOOKUP($E175,'基础-办公用品信息'!$C:$F,4,FALSE),"-")</f>
        <v>-</v>
      </c>
      <c r="I175" s="87"/>
      <c r="J175" s="61" t="str">
        <f t="shared" si="10"/>
        <v>-</v>
      </c>
      <c r="K175" s="87"/>
      <c r="L175" s="60">
        <f t="shared" si="11"/>
        <v>1900</v>
      </c>
      <c r="M175" s="60">
        <f t="shared" si="12"/>
        <v>1</v>
      </c>
    </row>
    <row r="176" customHeight="1" spans="2:13">
      <c r="B176" s="59">
        <v>173</v>
      </c>
      <c r="C176" s="87"/>
      <c r="D176" s="87"/>
      <c r="E176" s="87"/>
      <c r="F176" s="60" t="str">
        <f>IFERROR(VLOOKUP($E176,'基础-办公用品信息'!$C:$E,2,FALSE),"-")</f>
        <v>-</v>
      </c>
      <c r="G176" s="60" t="str">
        <f>IFERROR(VLOOKUP($E176,'基础-办公用品信息'!$C:$E,3,FALSE),"-")</f>
        <v>-</v>
      </c>
      <c r="H176" s="126" t="str">
        <f>IFERROR(VLOOKUP($E176,'基础-办公用品信息'!$C:$F,4,FALSE),"-")</f>
        <v>-</v>
      </c>
      <c r="I176" s="87"/>
      <c r="J176" s="61" t="str">
        <f t="shared" si="10"/>
        <v>-</v>
      </c>
      <c r="K176" s="87"/>
      <c r="L176" s="60">
        <f t="shared" si="11"/>
        <v>1900</v>
      </c>
      <c r="M176" s="60">
        <f t="shared" si="12"/>
        <v>1</v>
      </c>
    </row>
    <row r="177" customHeight="1" spans="2:13">
      <c r="B177" s="59">
        <v>174</v>
      </c>
      <c r="C177" s="87"/>
      <c r="D177" s="87"/>
      <c r="E177" s="87"/>
      <c r="F177" s="60" t="str">
        <f>IFERROR(VLOOKUP($E177,'基础-办公用品信息'!$C:$E,2,FALSE),"-")</f>
        <v>-</v>
      </c>
      <c r="G177" s="60" t="str">
        <f>IFERROR(VLOOKUP($E177,'基础-办公用品信息'!$C:$E,3,FALSE),"-")</f>
        <v>-</v>
      </c>
      <c r="H177" s="126" t="str">
        <f>IFERROR(VLOOKUP($E177,'基础-办公用品信息'!$C:$F,4,FALSE),"-")</f>
        <v>-</v>
      </c>
      <c r="I177" s="87"/>
      <c r="J177" s="61" t="str">
        <f t="shared" si="10"/>
        <v>-</v>
      </c>
      <c r="K177" s="87"/>
      <c r="L177" s="60">
        <f t="shared" si="11"/>
        <v>1900</v>
      </c>
      <c r="M177" s="60">
        <f t="shared" si="12"/>
        <v>1</v>
      </c>
    </row>
    <row r="178" customHeight="1" spans="2:13">
      <c r="B178" s="59">
        <v>175</v>
      </c>
      <c r="C178" s="87"/>
      <c r="D178" s="87"/>
      <c r="E178" s="87"/>
      <c r="F178" s="60" t="str">
        <f>IFERROR(VLOOKUP($E178,'基础-办公用品信息'!$C:$E,2,FALSE),"-")</f>
        <v>-</v>
      </c>
      <c r="G178" s="60" t="str">
        <f>IFERROR(VLOOKUP($E178,'基础-办公用品信息'!$C:$E,3,FALSE),"-")</f>
        <v>-</v>
      </c>
      <c r="H178" s="126" t="str">
        <f>IFERROR(VLOOKUP($E178,'基础-办公用品信息'!$C:$F,4,FALSE),"-")</f>
        <v>-</v>
      </c>
      <c r="I178" s="87"/>
      <c r="J178" s="61" t="str">
        <f t="shared" si="10"/>
        <v>-</v>
      </c>
      <c r="K178" s="87"/>
      <c r="L178" s="60">
        <f t="shared" si="11"/>
        <v>1900</v>
      </c>
      <c r="M178" s="60">
        <f t="shared" si="12"/>
        <v>1</v>
      </c>
    </row>
    <row r="179" customHeight="1" spans="2:13">
      <c r="B179" s="59">
        <v>176</v>
      </c>
      <c r="C179" s="87"/>
      <c r="D179" s="87"/>
      <c r="E179" s="87"/>
      <c r="F179" s="60" t="str">
        <f>IFERROR(VLOOKUP($E179,'基础-办公用品信息'!$C:$E,2,FALSE),"-")</f>
        <v>-</v>
      </c>
      <c r="G179" s="60" t="str">
        <f>IFERROR(VLOOKUP($E179,'基础-办公用品信息'!$C:$E,3,FALSE),"-")</f>
        <v>-</v>
      </c>
      <c r="H179" s="126" t="str">
        <f>IFERROR(VLOOKUP($E179,'基础-办公用品信息'!$C:$F,4,FALSE),"-")</f>
        <v>-</v>
      </c>
      <c r="I179" s="87"/>
      <c r="J179" s="61" t="str">
        <f t="shared" si="10"/>
        <v>-</v>
      </c>
      <c r="K179" s="87"/>
      <c r="L179" s="60">
        <f t="shared" si="11"/>
        <v>1900</v>
      </c>
      <c r="M179" s="60">
        <f t="shared" si="12"/>
        <v>1</v>
      </c>
    </row>
    <row r="180" customHeight="1" spans="2:13">
      <c r="B180" s="59">
        <v>177</v>
      </c>
      <c r="C180" s="87"/>
      <c r="D180" s="87"/>
      <c r="E180" s="87"/>
      <c r="F180" s="60" t="str">
        <f>IFERROR(VLOOKUP($E180,'基础-办公用品信息'!$C:$E,2,FALSE),"-")</f>
        <v>-</v>
      </c>
      <c r="G180" s="60" t="str">
        <f>IFERROR(VLOOKUP($E180,'基础-办公用品信息'!$C:$E,3,FALSE),"-")</f>
        <v>-</v>
      </c>
      <c r="H180" s="126" t="str">
        <f>IFERROR(VLOOKUP($E180,'基础-办公用品信息'!$C:$F,4,FALSE),"-")</f>
        <v>-</v>
      </c>
      <c r="I180" s="87"/>
      <c r="J180" s="61" t="str">
        <f t="shared" si="10"/>
        <v>-</v>
      </c>
      <c r="K180" s="87"/>
      <c r="L180" s="60">
        <f t="shared" si="11"/>
        <v>1900</v>
      </c>
      <c r="M180" s="60">
        <f t="shared" si="12"/>
        <v>1</v>
      </c>
    </row>
    <row r="181" customHeight="1" spans="2:13">
      <c r="B181" s="59">
        <v>178</v>
      </c>
      <c r="C181" s="87"/>
      <c r="D181" s="87"/>
      <c r="E181" s="87"/>
      <c r="F181" s="60" t="str">
        <f>IFERROR(VLOOKUP($E181,'基础-办公用品信息'!$C:$E,2,FALSE),"-")</f>
        <v>-</v>
      </c>
      <c r="G181" s="60" t="str">
        <f>IFERROR(VLOOKUP($E181,'基础-办公用品信息'!$C:$E,3,FALSE),"-")</f>
        <v>-</v>
      </c>
      <c r="H181" s="126" t="str">
        <f>IFERROR(VLOOKUP($E181,'基础-办公用品信息'!$C:$F,4,FALSE),"-")</f>
        <v>-</v>
      </c>
      <c r="I181" s="87"/>
      <c r="J181" s="61" t="str">
        <f t="shared" si="10"/>
        <v>-</v>
      </c>
      <c r="K181" s="87"/>
      <c r="L181" s="60">
        <f t="shared" si="11"/>
        <v>1900</v>
      </c>
      <c r="M181" s="60">
        <f t="shared" si="12"/>
        <v>1</v>
      </c>
    </row>
    <row r="182" customHeight="1" spans="2:13">
      <c r="B182" s="59">
        <v>179</v>
      </c>
      <c r="C182" s="87"/>
      <c r="D182" s="87"/>
      <c r="E182" s="87"/>
      <c r="F182" s="60" t="str">
        <f>IFERROR(VLOOKUP($E182,'基础-办公用品信息'!$C:$E,2,FALSE),"-")</f>
        <v>-</v>
      </c>
      <c r="G182" s="60" t="str">
        <f>IFERROR(VLOOKUP($E182,'基础-办公用品信息'!$C:$E,3,FALSE),"-")</f>
        <v>-</v>
      </c>
      <c r="H182" s="126" t="str">
        <f>IFERROR(VLOOKUP($E182,'基础-办公用品信息'!$C:$F,4,FALSE),"-")</f>
        <v>-</v>
      </c>
      <c r="I182" s="87"/>
      <c r="J182" s="61" t="str">
        <f t="shared" si="10"/>
        <v>-</v>
      </c>
      <c r="K182" s="87"/>
      <c r="L182" s="60">
        <f t="shared" si="11"/>
        <v>1900</v>
      </c>
      <c r="M182" s="60">
        <f t="shared" si="12"/>
        <v>1</v>
      </c>
    </row>
    <row r="183" customHeight="1" spans="2:13">
      <c r="B183" s="59">
        <v>180</v>
      </c>
      <c r="C183" s="87"/>
      <c r="D183" s="87"/>
      <c r="E183" s="87"/>
      <c r="F183" s="60" t="str">
        <f>IFERROR(VLOOKUP($E183,'基础-办公用品信息'!$C:$E,2,FALSE),"-")</f>
        <v>-</v>
      </c>
      <c r="G183" s="60" t="str">
        <f>IFERROR(VLOOKUP($E183,'基础-办公用品信息'!$C:$E,3,FALSE),"-")</f>
        <v>-</v>
      </c>
      <c r="H183" s="126" t="str">
        <f>IFERROR(VLOOKUP($E183,'基础-办公用品信息'!$C:$F,4,FALSE),"-")</f>
        <v>-</v>
      </c>
      <c r="I183" s="87"/>
      <c r="J183" s="61" t="str">
        <f t="shared" ref="J183:J246" si="13">IF(AND(H183&lt;&gt;"",I183&lt;&gt;""),H183*I183,"-")</f>
        <v>-</v>
      </c>
      <c r="K183" s="87"/>
      <c r="L183" s="60">
        <f t="shared" ref="L183:L246" si="14">YEAR(C183)</f>
        <v>1900</v>
      </c>
      <c r="M183" s="60">
        <f t="shared" ref="M183:M246" si="15">MONTH(C183)</f>
        <v>1</v>
      </c>
    </row>
    <row r="184" customHeight="1" spans="2:13">
      <c r="B184" s="59">
        <v>181</v>
      </c>
      <c r="C184" s="87"/>
      <c r="D184" s="87"/>
      <c r="E184" s="87"/>
      <c r="F184" s="60" t="str">
        <f>IFERROR(VLOOKUP($E184,'基础-办公用品信息'!$C:$E,2,FALSE),"-")</f>
        <v>-</v>
      </c>
      <c r="G184" s="60" t="str">
        <f>IFERROR(VLOOKUP($E184,'基础-办公用品信息'!$C:$E,3,FALSE),"-")</f>
        <v>-</v>
      </c>
      <c r="H184" s="126" t="str">
        <f>IFERROR(VLOOKUP($E184,'基础-办公用品信息'!$C:$F,4,FALSE),"-")</f>
        <v>-</v>
      </c>
      <c r="I184" s="87"/>
      <c r="J184" s="61" t="str">
        <f t="shared" si="13"/>
        <v>-</v>
      </c>
      <c r="K184" s="87"/>
      <c r="L184" s="60">
        <f t="shared" si="14"/>
        <v>1900</v>
      </c>
      <c r="M184" s="60">
        <f t="shared" si="15"/>
        <v>1</v>
      </c>
    </row>
    <row r="185" customHeight="1" spans="2:13">
      <c r="B185" s="59">
        <v>182</v>
      </c>
      <c r="C185" s="87"/>
      <c r="D185" s="87"/>
      <c r="E185" s="87"/>
      <c r="F185" s="60" t="str">
        <f>IFERROR(VLOOKUP($E185,'基础-办公用品信息'!$C:$E,2,FALSE),"-")</f>
        <v>-</v>
      </c>
      <c r="G185" s="60" t="str">
        <f>IFERROR(VLOOKUP($E185,'基础-办公用品信息'!$C:$E,3,FALSE),"-")</f>
        <v>-</v>
      </c>
      <c r="H185" s="126" t="str">
        <f>IFERROR(VLOOKUP($E185,'基础-办公用品信息'!$C:$F,4,FALSE),"-")</f>
        <v>-</v>
      </c>
      <c r="I185" s="87"/>
      <c r="J185" s="61" t="str">
        <f t="shared" si="13"/>
        <v>-</v>
      </c>
      <c r="K185" s="87"/>
      <c r="L185" s="60">
        <f t="shared" si="14"/>
        <v>1900</v>
      </c>
      <c r="M185" s="60">
        <f t="shared" si="15"/>
        <v>1</v>
      </c>
    </row>
    <row r="186" customHeight="1" spans="2:13">
      <c r="B186" s="59">
        <v>183</v>
      </c>
      <c r="C186" s="87"/>
      <c r="D186" s="87"/>
      <c r="E186" s="87"/>
      <c r="F186" s="60" t="str">
        <f>IFERROR(VLOOKUP($E186,'基础-办公用品信息'!$C:$E,2,FALSE),"-")</f>
        <v>-</v>
      </c>
      <c r="G186" s="60" t="str">
        <f>IFERROR(VLOOKUP($E186,'基础-办公用品信息'!$C:$E,3,FALSE),"-")</f>
        <v>-</v>
      </c>
      <c r="H186" s="126" t="str">
        <f>IFERROR(VLOOKUP($E186,'基础-办公用品信息'!$C:$F,4,FALSE),"-")</f>
        <v>-</v>
      </c>
      <c r="I186" s="87"/>
      <c r="J186" s="61" t="str">
        <f t="shared" si="13"/>
        <v>-</v>
      </c>
      <c r="K186" s="87"/>
      <c r="L186" s="60">
        <f t="shared" si="14"/>
        <v>1900</v>
      </c>
      <c r="M186" s="60">
        <f t="shared" si="15"/>
        <v>1</v>
      </c>
    </row>
    <row r="187" customHeight="1" spans="2:13">
      <c r="B187" s="59">
        <v>184</v>
      </c>
      <c r="C187" s="87"/>
      <c r="D187" s="87"/>
      <c r="E187" s="87"/>
      <c r="F187" s="60" t="str">
        <f>IFERROR(VLOOKUP($E187,'基础-办公用品信息'!$C:$E,2,FALSE),"-")</f>
        <v>-</v>
      </c>
      <c r="G187" s="60" t="str">
        <f>IFERROR(VLOOKUP($E187,'基础-办公用品信息'!$C:$E,3,FALSE),"-")</f>
        <v>-</v>
      </c>
      <c r="H187" s="126" t="str">
        <f>IFERROR(VLOOKUP($E187,'基础-办公用品信息'!$C:$F,4,FALSE),"-")</f>
        <v>-</v>
      </c>
      <c r="I187" s="87"/>
      <c r="J187" s="61" t="str">
        <f t="shared" si="13"/>
        <v>-</v>
      </c>
      <c r="K187" s="87"/>
      <c r="L187" s="60">
        <f t="shared" si="14"/>
        <v>1900</v>
      </c>
      <c r="M187" s="60">
        <f t="shared" si="15"/>
        <v>1</v>
      </c>
    </row>
    <row r="188" customHeight="1" spans="2:13">
      <c r="B188" s="59">
        <v>185</v>
      </c>
      <c r="C188" s="87"/>
      <c r="D188" s="87"/>
      <c r="E188" s="87"/>
      <c r="F188" s="60" t="str">
        <f>IFERROR(VLOOKUP($E188,'基础-办公用品信息'!$C:$E,2,FALSE),"-")</f>
        <v>-</v>
      </c>
      <c r="G188" s="60" t="str">
        <f>IFERROR(VLOOKUP($E188,'基础-办公用品信息'!$C:$E,3,FALSE),"-")</f>
        <v>-</v>
      </c>
      <c r="H188" s="126" t="str">
        <f>IFERROR(VLOOKUP($E188,'基础-办公用品信息'!$C:$F,4,FALSE),"-")</f>
        <v>-</v>
      </c>
      <c r="I188" s="87"/>
      <c r="J188" s="61" t="str">
        <f t="shared" si="13"/>
        <v>-</v>
      </c>
      <c r="K188" s="87"/>
      <c r="L188" s="60">
        <f t="shared" si="14"/>
        <v>1900</v>
      </c>
      <c r="M188" s="60">
        <f t="shared" si="15"/>
        <v>1</v>
      </c>
    </row>
    <row r="189" customHeight="1" spans="2:13">
      <c r="B189" s="59">
        <v>186</v>
      </c>
      <c r="C189" s="87"/>
      <c r="D189" s="87"/>
      <c r="E189" s="87"/>
      <c r="F189" s="60" t="str">
        <f>IFERROR(VLOOKUP($E189,'基础-办公用品信息'!$C:$E,2,FALSE),"-")</f>
        <v>-</v>
      </c>
      <c r="G189" s="60" t="str">
        <f>IFERROR(VLOOKUP($E189,'基础-办公用品信息'!$C:$E,3,FALSE),"-")</f>
        <v>-</v>
      </c>
      <c r="H189" s="126" t="str">
        <f>IFERROR(VLOOKUP($E189,'基础-办公用品信息'!$C:$F,4,FALSE),"-")</f>
        <v>-</v>
      </c>
      <c r="I189" s="87"/>
      <c r="J189" s="61" t="str">
        <f t="shared" si="13"/>
        <v>-</v>
      </c>
      <c r="K189" s="87"/>
      <c r="L189" s="60">
        <f t="shared" si="14"/>
        <v>1900</v>
      </c>
      <c r="M189" s="60">
        <f t="shared" si="15"/>
        <v>1</v>
      </c>
    </row>
    <row r="190" customHeight="1" spans="2:13">
      <c r="B190" s="59">
        <v>187</v>
      </c>
      <c r="C190" s="87"/>
      <c r="D190" s="87"/>
      <c r="E190" s="87"/>
      <c r="F190" s="60" t="str">
        <f>IFERROR(VLOOKUP($E190,'基础-办公用品信息'!$C:$E,2,FALSE),"-")</f>
        <v>-</v>
      </c>
      <c r="G190" s="60" t="str">
        <f>IFERROR(VLOOKUP($E190,'基础-办公用品信息'!$C:$E,3,FALSE),"-")</f>
        <v>-</v>
      </c>
      <c r="H190" s="126" t="str">
        <f>IFERROR(VLOOKUP($E190,'基础-办公用品信息'!$C:$F,4,FALSE),"-")</f>
        <v>-</v>
      </c>
      <c r="I190" s="87"/>
      <c r="J190" s="61" t="str">
        <f t="shared" si="13"/>
        <v>-</v>
      </c>
      <c r="K190" s="87"/>
      <c r="L190" s="60">
        <f t="shared" si="14"/>
        <v>1900</v>
      </c>
      <c r="M190" s="60">
        <f t="shared" si="15"/>
        <v>1</v>
      </c>
    </row>
    <row r="191" customHeight="1" spans="2:13">
      <c r="B191" s="59">
        <v>188</v>
      </c>
      <c r="C191" s="87"/>
      <c r="D191" s="87"/>
      <c r="E191" s="87"/>
      <c r="F191" s="60" t="str">
        <f>IFERROR(VLOOKUP($E191,'基础-办公用品信息'!$C:$E,2,FALSE),"-")</f>
        <v>-</v>
      </c>
      <c r="G191" s="60" t="str">
        <f>IFERROR(VLOOKUP($E191,'基础-办公用品信息'!$C:$E,3,FALSE),"-")</f>
        <v>-</v>
      </c>
      <c r="H191" s="126" t="str">
        <f>IFERROR(VLOOKUP($E191,'基础-办公用品信息'!$C:$F,4,FALSE),"-")</f>
        <v>-</v>
      </c>
      <c r="I191" s="87"/>
      <c r="J191" s="61" t="str">
        <f t="shared" si="13"/>
        <v>-</v>
      </c>
      <c r="K191" s="87"/>
      <c r="L191" s="60">
        <f t="shared" si="14"/>
        <v>1900</v>
      </c>
      <c r="M191" s="60">
        <f t="shared" si="15"/>
        <v>1</v>
      </c>
    </row>
    <row r="192" customHeight="1" spans="2:13">
      <c r="B192" s="59">
        <v>189</v>
      </c>
      <c r="C192" s="87"/>
      <c r="D192" s="87"/>
      <c r="E192" s="87"/>
      <c r="F192" s="60" t="str">
        <f>IFERROR(VLOOKUP($E192,'基础-办公用品信息'!$C:$E,2,FALSE),"-")</f>
        <v>-</v>
      </c>
      <c r="G192" s="60" t="str">
        <f>IFERROR(VLOOKUP($E192,'基础-办公用品信息'!$C:$E,3,FALSE),"-")</f>
        <v>-</v>
      </c>
      <c r="H192" s="126" t="str">
        <f>IFERROR(VLOOKUP($E192,'基础-办公用品信息'!$C:$F,4,FALSE),"-")</f>
        <v>-</v>
      </c>
      <c r="I192" s="87"/>
      <c r="J192" s="61" t="str">
        <f t="shared" si="13"/>
        <v>-</v>
      </c>
      <c r="K192" s="87"/>
      <c r="L192" s="60">
        <f t="shared" si="14"/>
        <v>1900</v>
      </c>
      <c r="M192" s="60">
        <f t="shared" si="15"/>
        <v>1</v>
      </c>
    </row>
    <row r="193" customHeight="1" spans="2:13">
      <c r="B193" s="59">
        <v>190</v>
      </c>
      <c r="C193" s="87"/>
      <c r="D193" s="87"/>
      <c r="E193" s="87"/>
      <c r="F193" s="60" t="str">
        <f>IFERROR(VLOOKUP($E193,'基础-办公用品信息'!$C:$E,2,FALSE),"-")</f>
        <v>-</v>
      </c>
      <c r="G193" s="60" t="str">
        <f>IFERROR(VLOOKUP($E193,'基础-办公用品信息'!$C:$E,3,FALSE),"-")</f>
        <v>-</v>
      </c>
      <c r="H193" s="126" t="str">
        <f>IFERROR(VLOOKUP($E193,'基础-办公用品信息'!$C:$F,4,FALSE),"-")</f>
        <v>-</v>
      </c>
      <c r="I193" s="87"/>
      <c r="J193" s="61" t="str">
        <f t="shared" si="13"/>
        <v>-</v>
      </c>
      <c r="K193" s="87"/>
      <c r="L193" s="60">
        <f t="shared" si="14"/>
        <v>1900</v>
      </c>
      <c r="M193" s="60">
        <f t="shared" si="15"/>
        <v>1</v>
      </c>
    </row>
    <row r="194" customHeight="1" spans="2:13">
      <c r="B194" s="59">
        <v>191</v>
      </c>
      <c r="C194" s="87"/>
      <c r="D194" s="87"/>
      <c r="E194" s="87"/>
      <c r="F194" s="60" t="str">
        <f>IFERROR(VLOOKUP($E194,'基础-办公用品信息'!$C:$E,2,FALSE),"-")</f>
        <v>-</v>
      </c>
      <c r="G194" s="60" t="str">
        <f>IFERROR(VLOOKUP($E194,'基础-办公用品信息'!$C:$E,3,FALSE),"-")</f>
        <v>-</v>
      </c>
      <c r="H194" s="126" t="str">
        <f>IFERROR(VLOOKUP($E194,'基础-办公用品信息'!$C:$F,4,FALSE),"-")</f>
        <v>-</v>
      </c>
      <c r="I194" s="87"/>
      <c r="J194" s="61" t="str">
        <f t="shared" si="13"/>
        <v>-</v>
      </c>
      <c r="K194" s="87"/>
      <c r="L194" s="60">
        <f t="shared" si="14"/>
        <v>1900</v>
      </c>
      <c r="M194" s="60">
        <f t="shared" si="15"/>
        <v>1</v>
      </c>
    </row>
    <row r="195" customHeight="1" spans="2:13">
      <c r="B195" s="59">
        <v>192</v>
      </c>
      <c r="C195" s="87"/>
      <c r="D195" s="87"/>
      <c r="E195" s="87"/>
      <c r="F195" s="60" t="str">
        <f>IFERROR(VLOOKUP($E195,'基础-办公用品信息'!$C:$E,2,FALSE),"-")</f>
        <v>-</v>
      </c>
      <c r="G195" s="60" t="str">
        <f>IFERROR(VLOOKUP($E195,'基础-办公用品信息'!$C:$E,3,FALSE),"-")</f>
        <v>-</v>
      </c>
      <c r="H195" s="126" t="str">
        <f>IFERROR(VLOOKUP($E195,'基础-办公用品信息'!$C:$F,4,FALSE),"-")</f>
        <v>-</v>
      </c>
      <c r="I195" s="87"/>
      <c r="J195" s="61" t="str">
        <f t="shared" si="13"/>
        <v>-</v>
      </c>
      <c r="K195" s="87"/>
      <c r="L195" s="60">
        <f t="shared" si="14"/>
        <v>1900</v>
      </c>
      <c r="M195" s="60">
        <f t="shared" si="15"/>
        <v>1</v>
      </c>
    </row>
    <row r="196" customHeight="1" spans="2:13">
      <c r="B196" s="59">
        <v>193</v>
      </c>
      <c r="C196" s="87"/>
      <c r="D196" s="87"/>
      <c r="E196" s="87"/>
      <c r="F196" s="60" t="str">
        <f>IFERROR(VLOOKUP($E196,'基础-办公用品信息'!$C:$E,2,FALSE),"-")</f>
        <v>-</v>
      </c>
      <c r="G196" s="60" t="str">
        <f>IFERROR(VLOOKUP($E196,'基础-办公用品信息'!$C:$E,3,FALSE),"-")</f>
        <v>-</v>
      </c>
      <c r="H196" s="126" t="str">
        <f>IFERROR(VLOOKUP($E196,'基础-办公用品信息'!$C:$F,4,FALSE),"-")</f>
        <v>-</v>
      </c>
      <c r="I196" s="87"/>
      <c r="J196" s="61" t="str">
        <f t="shared" si="13"/>
        <v>-</v>
      </c>
      <c r="K196" s="87"/>
      <c r="L196" s="60">
        <f t="shared" si="14"/>
        <v>1900</v>
      </c>
      <c r="M196" s="60">
        <f t="shared" si="15"/>
        <v>1</v>
      </c>
    </row>
    <row r="197" customHeight="1" spans="2:13">
      <c r="B197" s="59">
        <v>194</v>
      </c>
      <c r="C197" s="87"/>
      <c r="D197" s="87"/>
      <c r="E197" s="87"/>
      <c r="F197" s="60" t="str">
        <f>IFERROR(VLOOKUP($E197,'基础-办公用品信息'!$C:$E,2,FALSE),"-")</f>
        <v>-</v>
      </c>
      <c r="G197" s="60" t="str">
        <f>IFERROR(VLOOKUP($E197,'基础-办公用品信息'!$C:$E,3,FALSE),"-")</f>
        <v>-</v>
      </c>
      <c r="H197" s="126" t="str">
        <f>IFERROR(VLOOKUP($E197,'基础-办公用品信息'!$C:$F,4,FALSE),"-")</f>
        <v>-</v>
      </c>
      <c r="I197" s="87"/>
      <c r="J197" s="61" t="str">
        <f t="shared" si="13"/>
        <v>-</v>
      </c>
      <c r="K197" s="87"/>
      <c r="L197" s="60">
        <f t="shared" si="14"/>
        <v>1900</v>
      </c>
      <c r="M197" s="60">
        <f t="shared" si="15"/>
        <v>1</v>
      </c>
    </row>
    <row r="198" customHeight="1" spans="2:13">
      <c r="B198" s="59">
        <v>195</v>
      </c>
      <c r="C198" s="87"/>
      <c r="D198" s="87"/>
      <c r="E198" s="87"/>
      <c r="F198" s="60" t="str">
        <f>IFERROR(VLOOKUP($E198,'基础-办公用品信息'!$C:$E,2,FALSE),"-")</f>
        <v>-</v>
      </c>
      <c r="G198" s="60" t="str">
        <f>IFERROR(VLOOKUP($E198,'基础-办公用品信息'!$C:$E,3,FALSE),"-")</f>
        <v>-</v>
      </c>
      <c r="H198" s="126" t="str">
        <f>IFERROR(VLOOKUP($E198,'基础-办公用品信息'!$C:$F,4,FALSE),"-")</f>
        <v>-</v>
      </c>
      <c r="I198" s="87"/>
      <c r="J198" s="61" t="str">
        <f t="shared" si="13"/>
        <v>-</v>
      </c>
      <c r="K198" s="87"/>
      <c r="L198" s="60">
        <f t="shared" si="14"/>
        <v>1900</v>
      </c>
      <c r="M198" s="60">
        <f t="shared" si="15"/>
        <v>1</v>
      </c>
    </row>
    <row r="199" customHeight="1" spans="2:13">
      <c r="B199" s="59">
        <v>196</v>
      </c>
      <c r="C199" s="87"/>
      <c r="D199" s="87"/>
      <c r="E199" s="87"/>
      <c r="F199" s="60" t="str">
        <f>IFERROR(VLOOKUP($E199,'基础-办公用品信息'!$C:$E,2,FALSE),"-")</f>
        <v>-</v>
      </c>
      <c r="G199" s="60" t="str">
        <f>IFERROR(VLOOKUP($E199,'基础-办公用品信息'!$C:$E,3,FALSE),"-")</f>
        <v>-</v>
      </c>
      <c r="H199" s="126" t="str">
        <f>IFERROR(VLOOKUP($E199,'基础-办公用品信息'!$C:$F,4,FALSE),"-")</f>
        <v>-</v>
      </c>
      <c r="I199" s="87"/>
      <c r="J199" s="61" t="str">
        <f t="shared" si="13"/>
        <v>-</v>
      </c>
      <c r="K199" s="87"/>
      <c r="L199" s="60">
        <f t="shared" si="14"/>
        <v>1900</v>
      </c>
      <c r="M199" s="60">
        <f t="shared" si="15"/>
        <v>1</v>
      </c>
    </row>
    <row r="200" customHeight="1" spans="2:13">
      <c r="B200" s="59">
        <v>197</v>
      </c>
      <c r="C200" s="87"/>
      <c r="D200" s="87"/>
      <c r="E200" s="87"/>
      <c r="F200" s="60" t="str">
        <f>IFERROR(VLOOKUP($E200,'基础-办公用品信息'!$C:$E,2,FALSE),"-")</f>
        <v>-</v>
      </c>
      <c r="G200" s="60" t="str">
        <f>IFERROR(VLOOKUP($E200,'基础-办公用品信息'!$C:$E,3,FALSE),"-")</f>
        <v>-</v>
      </c>
      <c r="H200" s="126" t="str">
        <f>IFERROR(VLOOKUP($E200,'基础-办公用品信息'!$C:$F,4,FALSE),"-")</f>
        <v>-</v>
      </c>
      <c r="I200" s="87"/>
      <c r="J200" s="61" t="str">
        <f t="shared" si="13"/>
        <v>-</v>
      </c>
      <c r="K200" s="87"/>
      <c r="L200" s="60">
        <f t="shared" si="14"/>
        <v>1900</v>
      </c>
      <c r="M200" s="60">
        <f t="shared" si="15"/>
        <v>1</v>
      </c>
    </row>
    <row r="201" customHeight="1" spans="2:13">
      <c r="B201" s="59">
        <v>198</v>
      </c>
      <c r="C201" s="87"/>
      <c r="D201" s="87"/>
      <c r="E201" s="87"/>
      <c r="F201" s="60" t="str">
        <f>IFERROR(VLOOKUP($E201,'基础-办公用品信息'!$C:$E,2,FALSE),"-")</f>
        <v>-</v>
      </c>
      <c r="G201" s="60" t="str">
        <f>IFERROR(VLOOKUP($E201,'基础-办公用品信息'!$C:$E,3,FALSE),"-")</f>
        <v>-</v>
      </c>
      <c r="H201" s="126" t="str">
        <f>IFERROR(VLOOKUP($E201,'基础-办公用品信息'!$C:$F,4,FALSE),"-")</f>
        <v>-</v>
      </c>
      <c r="I201" s="87"/>
      <c r="J201" s="61" t="str">
        <f t="shared" si="13"/>
        <v>-</v>
      </c>
      <c r="K201" s="87"/>
      <c r="L201" s="60">
        <f t="shared" si="14"/>
        <v>1900</v>
      </c>
      <c r="M201" s="60">
        <f t="shared" si="15"/>
        <v>1</v>
      </c>
    </row>
    <row r="202" customHeight="1" spans="2:13">
      <c r="B202" s="59">
        <v>199</v>
      </c>
      <c r="C202" s="87"/>
      <c r="D202" s="87"/>
      <c r="E202" s="87"/>
      <c r="F202" s="60" t="str">
        <f>IFERROR(VLOOKUP($E202,'基础-办公用品信息'!$C:$E,2,FALSE),"-")</f>
        <v>-</v>
      </c>
      <c r="G202" s="60" t="str">
        <f>IFERROR(VLOOKUP($E202,'基础-办公用品信息'!$C:$E,3,FALSE),"-")</f>
        <v>-</v>
      </c>
      <c r="H202" s="126" t="str">
        <f>IFERROR(VLOOKUP($E202,'基础-办公用品信息'!$C:$F,4,FALSE),"-")</f>
        <v>-</v>
      </c>
      <c r="I202" s="87"/>
      <c r="J202" s="61" t="str">
        <f t="shared" si="13"/>
        <v>-</v>
      </c>
      <c r="K202" s="87"/>
      <c r="L202" s="60">
        <f t="shared" si="14"/>
        <v>1900</v>
      </c>
      <c r="M202" s="60">
        <f t="shared" si="15"/>
        <v>1</v>
      </c>
    </row>
    <row r="203" customHeight="1" spans="2:13">
      <c r="B203" s="59">
        <v>200</v>
      </c>
      <c r="C203" s="87"/>
      <c r="D203" s="87"/>
      <c r="E203" s="87"/>
      <c r="F203" s="60" t="str">
        <f>IFERROR(VLOOKUP($E203,'基础-办公用品信息'!$C:$E,2,FALSE),"-")</f>
        <v>-</v>
      </c>
      <c r="G203" s="60" t="str">
        <f>IFERROR(VLOOKUP($E203,'基础-办公用品信息'!$C:$E,3,FALSE),"-")</f>
        <v>-</v>
      </c>
      <c r="H203" s="126" t="str">
        <f>IFERROR(VLOOKUP($E203,'基础-办公用品信息'!$C:$F,4,FALSE),"-")</f>
        <v>-</v>
      </c>
      <c r="I203" s="87"/>
      <c r="J203" s="61" t="str">
        <f t="shared" si="13"/>
        <v>-</v>
      </c>
      <c r="K203" s="87"/>
      <c r="L203" s="60">
        <f t="shared" si="14"/>
        <v>1900</v>
      </c>
      <c r="M203" s="60">
        <f t="shared" si="15"/>
        <v>1</v>
      </c>
    </row>
    <row r="204" customHeight="1" spans="2:13">
      <c r="B204" s="59">
        <v>201</v>
      </c>
      <c r="C204" s="87"/>
      <c r="D204" s="87"/>
      <c r="E204" s="87"/>
      <c r="F204" s="60" t="str">
        <f>IFERROR(VLOOKUP($E204,'基础-办公用品信息'!$C:$E,2,FALSE),"-")</f>
        <v>-</v>
      </c>
      <c r="G204" s="60" t="str">
        <f>IFERROR(VLOOKUP($E204,'基础-办公用品信息'!$C:$E,3,FALSE),"-")</f>
        <v>-</v>
      </c>
      <c r="H204" s="126" t="str">
        <f>IFERROR(VLOOKUP($E204,'基础-办公用品信息'!$C:$F,4,FALSE),"-")</f>
        <v>-</v>
      </c>
      <c r="I204" s="87"/>
      <c r="J204" s="61" t="str">
        <f t="shared" si="13"/>
        <v>-</v>
      </c>
      <c r="K204" s="87"/>
      <c r="L204" s="60">
        <f t="shared" si="14"/>
        <v>1900</v>
      </c>
      <c r="M204" s="60">
        <f t="shared" si="15"/>
        <v>1</v>
      </c>
    </row>
    <row r="205" customHeight="1" spans="2:13">
      <c r="B205" s="59">
        <v>202</v>
      </c>
      <c r="C205" s="87"/>
      <c r="D205" s="87"/>
      <c r="E205" s="87"/>
      <c r="F205" s="60" t="str">
        <f>IFERROR(VLOOKUP($E205,'基础-办公用品信息'!$C:$E,2,FALSE),"-")</f>
        <v>-</v>
      </c>
      <c r="G205" s="60" t="str">
        <f>IFERROR(VLOOKUP($E205,'基础-办公用品信息'!$C:$E,3,FALSE),"-")</f>
        <v>-</v>
      </c>
      <c r="H205" s="126" t="str">
        <f>IFERROR(VLOOKUP($E205,'基础-办公用品信息'!$C:$F,4,FALSE),"-")</f>
        <v>-</v>
      </c>
      <c r="I205" s="87"/>
      <c r="J205" s="61" t="str">
        <f t="shared" si="13"/>
        <v>-</v>
      </c>
      <c r="K205" s="87"/>
      <c r="L205" s="60">
        <f t="shared" si="14"/>
        <v>1900</v>
      </c>
      <c r="M205" s="60">
        <f t="shared" si="15"/>
        <v>1</v>
      </c>
    </row>
    <row r="206" customHeight="1" spans="2:13">
      <c r="B206" s="59">
        <v>203</v>
      </c>
      <c r="C206" s="87"/>
      <c r="D206" s="87"/>
      <c r="E206" s="87"/>
      <c r="F206" s="60" t="str">
        <f>IFERROR(VLOOKUP($E206,'基础-办公用品信息'!$C:$E,2,FALSE),"-")</f>
        <v>-</v>
      </c>
      <c r="G206" s="60" t="str">
        <f>IFERROR(VLOOKUP($E206,'基础-办公用品信息'!$C:$E,3,FALSE),"-")</f>
        <v>-</v>
      </c>
      <c r="H206" s="126" t="str">
        <f>IFERROR(VLOOKUP($E206,'基础-办公用品信息'!$C:$F,4,FALSE),"-")</f>
        <v>-</v>
      </c>
      <c r="I206" s="87"/>
      <c r="J206" s="61" t="str">
        <f t="shared" si="13"/>
        <v>-</v>
      </c>
      <c r="K206" s="87"/>
      <c r="L206" s="60">
        <f t="shared" si="14"/>
        <v>1900</v>
      </c>
      <c r="M206" s="60">
        <f t="shared" si="15"/>
        <v>1</v>
      </c>
    </row>
    <row r="207" customHeight="1" spans="2:13">
      <c r="B207" s="59">
        <v>204</v>
      </c>
      <c r="C207" s="87"/>
      <c r="D207" s="87"/>
      <c r="E207" s="87"/>
      <c r="F207" s="60" t="str">
        <f>IFERROR(VLOOKUP($E207,'基础-办公用品信息'!$C:$E,2,FALSE),"-")</f>
        <v>-</v>
      </c>
      <c r="G207" s="60" t="str">
        <f>IFERROR(VLOOKUP($E207,'基础-办公用品信息'!$C:$E,3,FALSE),"-")</f>
        <v>-</v>
      </c>
      <c r="H207" s="126" t="str">
        <f>IFERROR(VLOOKUP($E207,'基础-办公用品信息'!$C:$F,4,FALSE),"-")</f>
        <v>-</v>
      </c>
      <c r="I207" s="87"/>
      <c r="J207" s="61" t="str">
        <f t="shared" si="13"/>
        <v>-</v>
      </c>
      <c r="K207" s="87"/>
      <c r="L207" s="60">
        <f t="shared" si="14"/>
        <v>1900</v>
      </c>
      <c r="M207" s="60">
        <f t="shared" si="15"/>
        <v>1</v>
      </c>
    </row>
    <row r="208" customHeight="1" spans="2:13">
      <c r="B208" s="59">
        <v>205</v>
      </c>
      <c r="C208" s="87"/>
      <c r="D208" s="87"/>
      <c r="E208" s="87"/>
      <c r="F208" s="60" t="str">
        <f>IFERROR(VLOOKUP($E208,'基础-办公用品信息'!$C:$E,2,FALSE),"-")</f>
        <v>-</v>
      </c>
      <c r="G208" s="60" t="str">
        <f>IFERROR(VLOOKUP($E208,'基础-办公用品信息'!$C:$E,3,FALSE),"-")</f>
        <v>-</v>
      </c>
      <c r="H208" s="126" t="str">
        <f>IFERROR(VLOOKUP($E208,'基础-办公用品信息'!$C:$F,4,FALSE),"-")</f>
        <v>-</v>
      </c>
      <c r="I208" s="87"/>
      <c r="J208" s="61" t="str">
        <f t="shared" si="13"/>
        <v>-</v>
      </c>
      <c r="K208" s="87"/>
      <c r="L208" s="60">
        <f t="shared" si="14"/>
        <v>1900</v>
      </c>
      <c r="M208" s="60">
        <f t="shared" si="15"/>
        <v>1</v>
      </c>
    </row>
    <row r="209" customHeight="1" spans="2:13">
      <c r="B209" s="59">
        <v>206</v>
      </c>
      <c r="C209" s="87"/>
      <c r="D209" s="87"/>
      <c r="E209" s="87"/>
      <c r="F209" s="60" t="str">
        <f>IFERROR(VLOOKUP($E209,'基础-办公用品信息'!$C:$E,2,FALSE),"-")</f>
        <v>-</v>
      </c>
      <c r="G209" s="60" t="str">
        <f>IFERROR(VLOOKUP($E209,'基础-办公用品信息'!$C:$E,3,FALSE),"-")</f>
        <v>-</v>
      </c>
      <c r="H209" s="126" t="str">
        <f>IFERROR(VLOOKUP($E209,'基础-办公用品信息'!$C:$F,4,FALSE),"-")</f>
        <v>-</v>
      </c>
      <c r="I209" s="87"/>
      <c r="J209" s="61" t="str">
        <f t="shared" si="13"/>
        <v>-</v>
      </c>
      <c r="K209" s="87"/>
      <c r="L209" s="60">
        <f t="shared" si="14"/>
        <v>1900</v>
      </c>
      <c r="M209" s="60">
        <f t="shared" si="15"/>
        <v>1</v>
      </c>
    </row>
    <row r="210" customHeight="1" spans="2:13">
      <c r="B210" s="59">
        <v>207</v>
      </c>
      <c r="C210" s="87"/>
      <c r="D210" s="87"/>
      <c r="E210" s="87"/>
      <c r="F210" s="60" t="str">
        <f>IFERROR(VLOOKUP($E210,'基础-办公用品信息'!$C:$E,2,FALSE),"-")</f>
        <v>-</v>
      </c>
      <c r="G210" s="60" t="str">
        <f>IFERROR(VLOOKUP($E210,'基础-办公用品信息'!$C:$E,3,FALSE),"-")</f>
        <v>-</v>
      </c>
      <c r="H210" s="126" t="str">
        <f>IFERROR(VLOOKUP($E210,'基础-办公用品信息'!$C:$F,4,FALSE),"-")</f>
        <v>-</v>
      </c>
      <c r="I210" s="87"/>
      <c r="J210" s="61" t="str">
        <f t="shared" si="13"/>
        <v>-</v>
      </c>
      <c r="K210" s="87"/>
      <c r="L210" s="60">
        <f t="shared" si="14"/>
        <v>1900</v>
      </c>
      <c r="M210" s="60">
        <f t="shared" si="15"/>
        <v>1</v>
      </c>
    </row>
    <row r="211" customHeight="1" spans="2:13">
      <c r="B211" s="59">
        <v>208</v>
      </c>
      <c r="C211" s="87"/>
      <c r="D211" s="87"/>
      <c r="E211" s="87"/>
      <c r="F211" s="60" t="str">
        <f>IFERROR(VLOOKUP($E211,'基础-办公用品信息'!$C:$E,2,FALSE),"-")</f>
        <v>-</v>
      </c>
      <c r="G211" s="60" t="str">
        <f>IFERROR(VLOOKUP($E211,'基础-办公用品信息'!$C:$E,3,FALSE),"-")</f>
        <v>-</v>
      </c>
      <c r="H211" s="126" t="str">
        <f>IFERROR(VLOOKUP($E211,'基础-办公用品信息'!$C:$F,4,FALSE),"-")</f>
        <v>-</v>
      </c>
      <c r="I211" s="87"/>
      <c r="J211" s="61" t="str">
        <f t="shared" si="13"/>
        <v>-</v>
      </c>
      <c r="K211" s="87"/>
      <c r="L211" s="60">
        <f t="shared" si="14"/>
        <v>1900</v>
      </c>
      <c r="M211" s="60">
        <f t="shared" si="15"/>
        <v>1</v>
      </c>
    </row>
    <row r="212" customHeight="1" spans="2:13">
      <c r="B212" s="59">
        <v>209</v>
      </c>
      <c r="C212" s="87"/>
      <c r="D212" s="87"/>
      <c r="E212" s="87"/>
      <c r="F212" s="60" t="str">
        <f>IFERROR(VLOOKUP($E212,'基础-办公用品信息'!$C:$E,2,FALSE),"-")</f>
        <v>-</v>
      </c>
      <c r="G212" s="60" t="str">
        <f>IFERROR(VLOOKUP($E212,'基础-办公用品信息'!$C:$E,3,FALSE),"-")</f>
        <v>-</v>
      </c>
      <c r="H212" s="126" t="str">
        <f>IFERROR(VLOOKUP($E212,'基础-办公用品信息'!$C:$F,4,FALSE),"-")</f>
        <v>-</v>
      </c>
      <c r="I212" s="87"/>
      <c r="J212" s="61" t="str">
        <f t="shared" si="13"/>
        <v>-</v>
      </c>
      <c r="K212" s="87"/>
      <c r="L212" s="60">
        <f t="shared" si="14"/>
        <v>1900</v>
      </c>
      <c r="M212" s="60">
        <f t="shared" si="15"/>
        <v>1</v>
      </c>
    </row>
    <row r="213" customHeight="1" spans="2:13">
      <c r="B213" s="59">
        <v>210</v>
      </c>
      <c r="C213" s="87"/>
      <c r="D213" s="87"/>
      <c r="E213" s="87"/>
      <c r="F213" s="60" t="str">
        <f>IFERROR(VLOOKUP($E213,'基础-办公用品信息'!$C:$E,2,FALSE),"-")</f>
        <v>-</v>
      </c>
      <c r="G213" s="60" t="str">
        <f>IFERROR(VLOOKUP($E213,'基础-办公用品信息'!$C:$E,3,FALSE),"-")</f>
        <v>-</v>
      </c>
      <c r="H213" s="126" t="str">
        <f>IFERROR(VLOOKUP($E213,'基础-办公用品信息'!$C:$F,4,FALSE),"-")</f>
        <v>-</v>
      </c>
      <c r="I213" s="87"/>
      <c r="J213" s="61" t="str">
        <f t="shared" si="13"/>
        <v>-</v>
      </c>
      <c r="K213" s="87"/>
      <c r="L213" s="60">
        <f t="shared" si="14"/>
        <v>1900</v>
      </c>
      <c r="M213" s="60">
        <f t="shared" si="15"/>
        <v>1</v>
      </c>
    </row>
    <row r="214" customHeight="1" spans="2:13">
      <c r="B214" s="59">
        <v>211</v>
      </c>
      <c r="C214" s="87"/>
      <c r="D214" s="87"/>
      <c r="E214" s="87"/>
      <c r="F214" s="60" t="str">
        <f>IFERROR(VLOOKUP($E214,'基础-办公用品信息'!$C:$E,2,FALSE),"-")</f>
        <v>-</v>
      </c>
      <c r="G214" s="60" t="str">
        <f>IFERROR(VLOOKUP($E214,'基础-办公用品信息'!$C:$E,3,FALSE),"-")</f>
        <v>-</v>
      </c>
      <c r="H214" s="126" t="str">
        <f>IFERROR(VLOOKUP($E214,'基础-办公用品信息'!$C:$F,4,FALSE),"-")</f>
        <v>-</v>
      </c>
      <c r="I214" s="87"/>
      <c r="J214" s="61" t="str">
        <f t="shared" si="13"/>
        <v>-</v>
      </c>
      <c r="K214" s="87"/>
      <c r="L214" s="60">
        <f t="shared" si="14"/>
        <v>1900</v>
      </c>
      <c r="M214" s="60">
        <f t="shared" si="15"/>
        <v>1</v>
      </c>
    </row>
    <row r="215" customHeight="1" spans="2:13">
      <c r="B215" s="59">
        <v>212</v>
      </c>
      <c r="C215" s="87"/>
      <c r="D215" s="87"/>
      <c r="E215" s="87"/>
      <c r="F215" s="60" t="str">
        <f>IFERROR(VLOOKUP($E215,'基础-办公用品信息'!$C:$E,2,FALSE),"-")</f>
        <v>-</v>
      </c>
      <c r="G215" s="60" t="str">
        <f>IFERROR(VLOOKUP($E215,'基础-办公用品信息'!$C:$E,3,FALSE),"-")</f>
        <v>-</v>
      </c>
      <c r="H215" s="126" t="str">
        <f>IFERROR(VLOOKUP($E215,'基础-办公用品信息'!$C:$F,4,FALSE),"-")</f>
        <v>-</v>
      </c>
      <c r="I215" s="87"/>
      <c r="J215" s="61" t="str">
        <f t="shared" si="13"/>
        <v>-</v>
      </c>
      <c r="K215" s="87"/>
      <c r="L215" s="60">
        <f t="shared" si="14"/>
        <v>1900</v>
      </c>
      <c r="M215" s="60">
        <f t="shared" si="15"/>
        <v>1</v>
      </c>
    </row>
    <row r="216" customHeight="1" spans="2:13">
      <c r="B216" s="59">
        <v>213</v>
      </c>
      <c r="C216" s="87"/>
      <c r="D216" s="87"/>
      <c r="E216" s="87"/>
      <c r="F216" s="60" t="str">
        <f>IFERROR(VLOOKUP($E216,'基础-办公用品信息'!$C:$E,2,FALSE),"-")</f>
        <v>-</v>
      </c>
      <c r="G216" s="60" t="str">
        <f>IFERROR(VLOOKUP($E216,'基础-办公用品信息'!$C:$E,3,FALSE),"-")</f>
        <v>-</v>
      </c>
      <c r="H216" s="126" t="str">
        <f>IFERROR(VLOOKUP($E216,'基础-办公用品信息'!$C:$F,4,FALSE),"-")</f>
        <v>-</v>
      </c>
      <c r="I216" s="87"/>
      <c r="J216" s="61" t="str">
        <f t="shared" si="13"/>
        <v>-</v>
      </c>
      <c r="K216" s="87"/>
      <c r="L216" s="60">
        <f t="shared" si="14"/>
        <v>1900</v>
      </c>
      <c r="M216" s="60">
        <f t="shared" si="15"/>
        <v>1</v>
      </c>
    </row>
    <row r="217" customHeight="1" spans="2:13">
      <c r="B217" s="59">
        <v>214</v>
      </c>
      <c r="C217" s="87"/>
      <c r="D217" s="87"/>
      <c r="E217" s="87"/>
      <c r="F217" s="60" t="str">
        <f>IFERROR(VLOOKUP($E217,'基础-办公用品信息'!$C:$E,2,FALSE),"-")</f>
        <v>-</v>
      </c>
      <c r="G217" s="60" t="str">
        <f>IFERROR(VLOOKUP($E217,'基础-办公用品信息'!$C:$E,3,FALSE),"-")</f>
        <v>-</v>
      </c>
      <c r="H217" s="126" t="str">
        <f>IFERROR(VLOOKUP($E217,'基础-办公用品信息'!$C:$F,4,FALSE),"-")</f>
        <v>-</v>
      </c>
      <c r="I217" s="87"/>
      <c r="J217" s="61" t="str">
        <f t="shared" si="13"/>
        <v>-</v>
      </c>
      <c r="K217" s="87"/>
      <c r="L217" s="60">
        <f t="shared" si="14"/>
        <v>1900</v>
      </c>
      <c r="M217" s="60">
        <f t="shared" si="15"/>
        <v>1</v>
      </c>
    </row>
    <row r="218" customHeight="1" spans="2:13">
      <c r="B218" s="59">
        <v>215</v>
      </c>
      <c r="C218" s="87"/>
      <c r="D218" s="87"/>
      <c r="E218" s="87"/>
      <c r="F218" s="60" t="str">
        <f>IFERROR(VLOOKUP($E218,'基础-办公用品信息'!$C:$E,2,FALSE),"-")</f>
        <v>-</v>
      </c>
      <c r="G218" s="60" t="str">
        <f>IFERROR(VLOOKUP($E218,'基础-办公用品信息'!$C:$E,3,FALSE),"-")</f>
        <v>-</v>
      </c>
      <c r="H218" s="126" t="str">
        <f>IFERROR(VLOOKUP($E218,'基础-办公用品信息'!$C:$F,4,FALSE),"-")</f>
        <v>-</v>
      </c>
      <c r="I218" s="87"/>
      <c r="J218" s="61" t="str">
        <f t="shared" si="13"/>
        <v>-</v>
      </c>
      <c r="K218" s="87"/>
      <c r="L218" s="60">
        <f t="shared" si="14"/>
        <v>1900</v>
      </c>
      <c r="M218" s="60">
        <f t="shared" si="15"/>
        <v>1</v>
      </c>
    </row>
    <row r="219" customHeight="1" spans="2:13">
      <c r="B219" s="59">
        <v>216</v>
      </c>
      <c r="C219" s="87"/>
      <c r="D219" s="87"/>
      <c r="E219" s="87"/>
      <c r="F219" s="60" t="str">
        <f>IFERROR(VLOOKUP($E219,'基础-办公用品信息'!$C:$E,2,FALSE),"-")</f>
        <v>-</v>
      </c>
      <c r="G219" s="60" t="str">
        <f>IFERROR(VLOOKUP($E219,'基础-办公用品信息'!$C:$E,3,FALSE),"-")</f>
        <v>-</v>
      </c>
      <c r="H219" s="126" t="str">
        <f>IFERROR(VLOOKUP($E219,'基础-办公用品信息'!$C:$F,4,FALSE),"-")</f>
        <v>-</v>
      </c>
      <c r="I219" s="87"/>
      <c r="J219" s="61" t="str">
        <f t="shared" si="13"/>
        <v>-</v>
      </c>
      <c r="K219" s="87"/>
      <c r="L219" s="60">
        <f t="shared" si="14"/>
        <v>1900</v>
      </c>
      <c r="M219" s="60">
        <f t="shared" si="15"/>
        <v>1</v>
      </c>
    </row>
    <row r="220" customHeight="1" spans="2:13">
      <c r="B220" s="59">
        <v>217</v>
      </c>
      <c r="C220" s="87"/>
      <c r="D220" s="87"/>
      <c r="E220" s="87"/>
      <c r="F220" s="60" t="str">
        <f>IFERROR(VLOOKUP($E220,'基础-办公用品信息'!$C:$E,2,FALSE),"-")</f>
        <v>-</v>
      </c>
      <c r="G220" s="60" t="str">
        <f>IFERROR(VLOOKUP($E220,'基础-办公用品信息'!$C:$E,3,FALSE),"-")</f>
        <v>-</v>
      </c>
      <c r="H220" s="126" t="str">
        <f>IFERROR(VLOOKUP($E220,'基础-办公用品信息'!$C:$F,4,FALSE),"-")</f>
        <v>-</v>
      </c>
      <c r="I220" s="87"/>
      <c r="J220" s="61" t="str">
        <f t="shared" si="13"/>
        <v>-</v>
      </c>
      <c r="K220" s="87"/>
      <c r="L220" s="60">
        <f t="shared" si="14"/>
        <v>1900</v>
      </c>
      <c r="M220" s="60">
        <f t="shared" si="15"/>
        <v>1</v>
      </c>
    </row>
    <row r="221" customHeight="1" spans="2:13">
      <c r="B221" s="59">
        <v>218</v>
      </c>
      <c r="C221" s="87"/>
      <c r="D221" s="87"/>
      <c r="E221" s="87"/>
      <c r="F221" s="60" t="str">
        <f>IFERROR(VLOOKUP($E221,'基础-办公用品信息'!$C:$E,2,FALSE),"-")</f>
        <v>-</v>
      </c>
      <c r="G221" s="60" t="str">
        <f>IFERROR(VLOOKUP($E221,'基础-办公用品信息'!$C:$E,3,FALSE),"-")</f>
        <v>-</v>
      </c>
      <c r="H221" s="126" t="str">
        <f>IFERROR(VLOOKUP($E221,'基础-办公用品信息'!$C:$F,4,FALSE),"-")</f>
        <v>-</v>
      </c>
      <c r="I221" s="87"/>
      <c r="J221" s="61" t="str">
        <f t="shared" si="13"/>
        <v>-</v>
      </c>
      <c r="K221" s="87"/>
      <c r="L221" s="60">
        <f t="shared" si="14"/>
        <v>1900</v>
      </c>
      <c r="M221" s="60">
        <f t="shared" si="15"/>
        <v>1</v>
      </c>
    </row>
    <row r="222" customHeight="1" spans="2:13">
      <c r="B222" s="59">
        <v>219</v>
      </c>
      <c r="C222" s="87"/>
      <c r="D222" s="87"/>
      <c r="E222" s="87"/>
      <c r="F222" s="60" t="str">
        <f>IFERROR(VLOOKUP($E222,'基础-办公用品信息'!$C:$E,2,FALSE),"-")</f>
        <v>-</v>
      </c>
      <c r="G222" s="60" t="str">
        <f>IFERROR(VLOOKUP($E222,'基础-办公用品信息'!$C:$E,3,FALSE),"-")</f>
        <v>-</v>
      </c>
      <c r="H222" s="126" t="str">
        <f>IFERROR(VLOOKUP($E222,'基础-办公用品信息'!$C:$F,4,FALSE),"-")</f>
        <v>-</v>
      </c>
      <c r="I222" s="87"/>
      <c r="J222" s="61" t="str">
        <f t="shared" si="13"/>
        <v>-</v>
      </c>
      <c r="K222" s="87"/>
      <c r="L222" s="60">
        <f t="shared" si="14"/>
        <v>1900</v>
      </c>
      <c r="M222" s="60">
        <f t="shared" si="15"/>
        <v>1</v>
      </c>
    </row>
    <row r="223" customHeight="1" spans="2:13">
      <c r="B223" s="59">
        <v>220</v>
      </c>
      <c r="C223" s="87"/>
      <c r="D223" s="87"/>
      <c r="E223" s="87"/>
      <c r="F223" s="60" t="str">
        <f>IFERROR(VLOOKUP($E223,'基础-办公用品信息'!$C:$E,2,FALSE),"-")</f>
        <v>-</v>
      </c>
      <c r="G223" s="60" t="str">
        <f>IFERROR(VLOOKUP($E223,'基础-办公用品信息'!$C:$E,3,FALSE),"-")</f>
        <v>-</v>
      </c>
      <c r="H223" s="126" t="str">
        <f>IFERROR(VLOOKUP($E223,'基础-办公用品信息'!$C:$F,4,FALSE),"-")</f>
        <v>-</v>
      </c>
      <c r="I223" s="87"/>
      <c r="J223" s="61" t="str">
        <f t="shared" si="13"/>
        <v>-</v>
      </c>
      <c r="K223" s="87"/>
      <c r="L223" s="60">
        <f t="shared" si="14"/>
        <v>1900</v>
      </c>
      <c r="M223" s="60">
        <f t="shared" si="15"/>
        <v>1</v>
      </c>
    </row>
    <row r="224" customHeight="1" spans="2:13">
      <c r="B224" s="59">
        <v>221</v>
      </c>
      <c r="C224" s="87"/>
      <c r="D224" s="87"/>
      <c r="E224" s="87"/>
      <c r="F224" s="60" t="str">
        <f>IFERROR(VLOOKUP($E224,'基础-办公用品信息'!$C:$E,2,FALSE),"-")</f>
        <v>-</v>
      </c>
      <c r="G224" s="60" t="str">
        <f>IFERROR(VLOOKUP($E224,'基础-办公用品信息'!$C:$E,3,FALSE),"-")</f>
        <v>-</v>
      </c>
      <c r="H224" s="126" t="str">
        <f>IFERROR(VLOOKUP($E224,'基础-办公用品信息'!$C:$F,4,FALSE),"-")</f>
        <v>-</v>
      </c>
      <c r="I224" s="87"/>
      <c r="J224" s="61" t="str">
        <f t="shared" si="13"/>
        <v>-</v>
      </c>
      <c r="K224" s="87"/>
      <c r="L224" s="60">
        <f t="shared" si="14"/>
        <v>1900</v>
      </c>
      <c r="M224" s="60">
        <f t="shared" si="15"/>
        <v>1</v>
      </c>
    </row>
    <row r="225" customHeight="1" spans="2:13">
      <c r="B225" s="59">
        <v>222</v>
      </c>
      <c r="C225" s="87"/>
      <c r="D225" s="87"/>
      <c r="E225" s="87"/>
      <c r="F225" s="60" t="str">
        <f>IFERROR(VLOOKUP($E225,'基础-办公用品信息'!$C:$E,2,FALSE),"-")</f>
        <v>-</v>
      </c>
      <c r="G225" s="60" t="str">
        <f>IFERROR(VLOOKUP($E225,'基础-办公用品信息'!$C:$E,3,FALSE),"-")</f>
        <v>-</v>
      </c>
      <c r="H225" s="126" t="str">
        <f>IFERROR(VLOOKUP($E225,'基础-办公用品信息'!$C:$F,4,FALSE),"-")</f>
        <v>-</v>
      </c>
      <c r="I225" s="87"/>
      <c r="J225" s="61" t="str">
        <f t="shared" si="13"/>
        <v>-</v>
      </c>
      <c r="K225" s="87"/>
      <c r="L225" s="60">
        <f t="shared" si="14"/>
        <v>1900</v>
      </c>
      <c r="M225" s="60">
        <f t="shared" si="15"/>
        <v>1</v>
      </c>
    </row>
    <row r="226" customHeight="1" spans="2:13">
      <c r="B226" s="59">
        <v>223</v>
      </c>
      <c r="C226" s="87"/>
      <c r="D226" s="87"/>
      <c r="E226" s="87"/>
      <c r="F226" s="60" t="str">
        <f>IFERROR(VLOOKUP($E226,'基础-办公用品信息'!$C:$E,2,FALSE),"-")</f>
        <v>-</v>
      </c>
      <c r="G226" s="60" t="str">
        <f>IFERROR(VLOOKUP($E226,'基础-办公用品信息'!$C:$E,3,FALSE),"-")</f>
        <v>-</v>
      </c>
      <c r="H226" s="126" t="str">
        <f>IFERROR(VLOOKUP($E226,'基础-办公用品信息'!$C:$F,4,FALSE),"-")</f>
        <v>-</v>
      </c>
      <c r="I226" s="87"/>
      <c r="J226" s="61" t="str">
        <f t="shared" si="13"/>
        <v>-</v>
      </c>
      <c r="K226" s="87"/>
      <c r="L226" s="60">
        <f t="shared" si="14"/>
        <v>1900</v>
      </c>
      <c r="M226" s="60">
        <f t="shared" si="15"/>
        <v>1</v>
      </c>
    </row>
    <row r="227" customHeight="1" spans="2:13">
      <c r="B227" s="59">
        <v>224</v>
      </c>
      <c r="C227" s="87"/>
      <c r="D227" s="87"/>
      <c r="E227" s="87"/>
      <c r="F227" s="60" t="str">
        <f>IFERROR(VLOOKUP($E227,'基础-办公用品信息'!$C:$E,2,FALSE),"-")</f>
        <v>-</v>
      </c>
      <c r="G227" s="60" t="str">
        <f>IFERROR(VLOOKUP($E227,'基础-办公用品信息'!$C:$E,3,FALSE),"-")</f>
        <v>-</v>
      </c>
      <c r="H227" s="126" t="str">
        <f>IFERROR(VLOOKUP($E227,'基础-办公用品信息'!$C:$F,4,FALSE),"-")</f>
        <v>-</v>
      </c>
      <c r="I227" s="87"/>
      <c r="J227" s="61" t="str">
        <f t="shared" si="13"/>
        <v>-</v>
      </c>
      <c r="K227" s="87"/>
      <c r="L227" s="60">
        <f t="shared" si="14"/>
        <v>1900</v>
      </c>
      <c r="M227" s="60">
        <f t="shared" si="15"/>
        <v>1</v>
      </c>
    </row>
    <row r="228" customHeight="1" spans="2:13">
      <c r="B228" s="59">
        <v>225</v>
      </c>
      <c r="C228" s="87"/>
      <c r="D228" s="87"/>
      <c r="E228" s="87"/>
      <c r="F228" s="60" t="str">
        <f>IFERROR(VLOOKUP($E228,'基础-办公用品信息'!$C:$E,2,FALSE),"-")</f>
        <v>-</v>
      </c>
      <c r="G228" s="60" t="str">
        <f>IFERROR(VLOOKUP($E228,'基础-办公用品信息'!$C:$E,3,FALSE),"-")</f>
        <v>-</v>
      </c>
      <c r="H228" s="126" t="str">
        <f>IFERROR(VLOOKUP($E228,'基础-办公用品信息'!$C:$F,4,FALSE),"-")</f>
        <v>-</v>
      </c>
      <c r="I228" s="87"/>
      <c r="J228" s="61" t="str">
        <f t="shared" si="13"/>
        <v>-</v>
      </c>
      <c r="K228" s="87"/>
      <c r="L228" s="60">
        <f t="shared" si="14"/>
        <v>1900</v>
      </c>
      <c r="M228" s="60">
        <f t="shared" si="15"/>
        <v>1</v>
      </c>
    </row>
    <row r="229" customHeight="1" spans="2:13">
      <c r="B229" s="59">
        <v>226</v>
      </c>
      <c r="C229" s="87"/>
      <c r="D229" s="87"/>
      <c r="E229" s="87"/>
      <c r="F229" s="60" t="str">
        <f>IFERROR(VLOOKUP($E229,'基础-办公用品信息'!$C:$E,2,FALSE),"-")</f>
        <v>-</v>
      </c>
      <c r="G229" s="60" t="str">
        <f>IFERROR(VLOOKUP($E229,'基础-办公用品信息'!$C:$E,3,FALSE),"-")</f>
        <v>-</v>
      </c>
      <c r="H229" s="126" t="str">
        <f>IFERROR(VLOOKUP($E229,'基础-办公用品信息'!$C:$F,4,FALSE),"-")</f>
        <v>-</v>
      </c>
      <c r="I229" s="87"/>
      <c r="J229" s="61" t="str">
        <f t="shared" si="13"/>
        <v>-</v>
      </c>
      <c r="K229" s="87"/>
      <c r="L229" s="60">
        <f t="shared" si="14"/>
        <v>1900</v>
      </c>
      <c r="M229" s="60">
        <f t="shared" si="15"/>
        <v>1</v>
      </c>
    </row>
    <row r="230" customHeight="1" spans="2:13">
      <c r="B230" s="59">
        <v>227</v>
      </c>
      <c r="C230" s="87"/>
      <c r="D230" s="87"/>
      <c r="E230" s="87"/>
      <c r="F230" s="60" t="str">
        <f>IFERROR(VLOOKUP($E230,'基础-办公用品信息'!$C:$E,2,FALSE),"-")</f>
        <v>-</v>
      </c>
      <c r="G230" s="60" t="str">
        <f>IFERROR(VLOOKUP($E230,'基础-办公用品信息'!$C:$E,3,FALSE),"-")</f>
        <v>-</v>
      </c>
      <c r="H230" s="126" t="str">
        <f>IFERROR(VLOOKUP($E230,'基础-办公用品信息'!$C:$F,4,FALSE),"-")</f>
        <v>-</v>
      </c>
      <c r="I230" s="87"/>
      <c r="J230" s="61" t="str">
        <f t="shared" si="13"/>
        <v>-</v>
      </c>
      <c r="K230" s="87"/>
      <c r="L230" s="60">
        <f t="shared" si="14"/>
        <v>1900</v>
      </c>
      <c r="M230" s="60">
        <f t="shared" si="15"/>
        <v>1</v>
      </c>
    </row>
    <row r="231" customHeight="1" spans="2:13">
      <c r="B231" s="59">
        <v>228</v>
      </c>
      <c r="C231" s="87"/>
      <c r="D231" s="87"/>
      <c r="E231" s="87"/>
      <c r="F231" s="60" t="str">
        <f>IFERROR(VLOOKUP($E231,'基础-办公用品信息'!$C:$E,2,FALSE),"-")</f>
        <v>-</v>
      </c>
      <c r="G231" s="60" t="str">
        <f>IFERROR(VLOOKUP($E231,'基础-办公用品信息'!$C:$E,3,FALSE),"-")</f>
        <v>-</v>
      </c>
      <c r="H231" s="126" t="str">
        <f>IFERROR(VLOOKUP($E231,'基础-办公用品信息'!$C:$F,4,FALSE),"-")</f>
        <v>-</v>
      </c>
      <c r="I231" s="87"/>
      <c r="J231" s="61" t="str">
        <f t="shared" si="13"/>
        <v>-</v>
      </c>
      <c r="K231" s="87"/>
      <c r="L231" s="60">
        <f t="shared" si="14"/>
        <v>1900</v>
      </c>
      <c r="M231" s="60">
        <f t="shared" si="15"/>
        <v>1</v>
      </c>
    </row>
    <row r="232" customHeight="1" spans="2:13">
      <c r="B232" s="59">
        <v>229</v>
      </c>
      <c r="C232" s="87"/>
      <c r="D232" s="87"/>
      <c r="E232" s="87"/>
      <c r="F232" s="60" t="str">
        <f>IFERROR(VLOOKUP($E232,'基础-办公用品信息'!$C:$E,2,FALSE),"-")</f>
        <v>-</v>
      </c>
      <c r="G232" s="60" t="str">
        <f>IFERROR(VLOOKUP($E232,'基础-办公用品信息'!$C:$E,3,FALSE),"-")</f>
        <v>-</v>
      </c>
      <c r="H232" s="126" t="str">
        <f>IFERROR(VLOOKUP($E232,'基础-办公用品信息'!$C:$F,4,FALSE),"-")</f>
        <v>-</v>
      </c>
      <c r="I232" s="87"/>
      <c r="J232" s="61" t="str">
        <f t="shared" si="13"/>
        <v>-</v>
      </c>
      <c r="K232" s="87"/>
      <c r="L232" s="60">
        <f t="shared" si="14"/>
        <v>1900</v>
      </c>
      <c r="M232" s="60">
        <f t="shared" si="15"/>
        <v>1</v>
      </c>
    </row>
    <row r="233" customHeight="1" spans="2:13">
      <c r="B233" s="59">
        <v>230</v>
      </c>
      <c r="C233" s="87"/>
      <c r="D233" s="87"/>
      <c r="E233" s="87"/>
      <c r="F233" s="60" t="str">
        <f>IFERROR(VLOOKUP($E233,'基础-办公用品信息'!$C:$E,2,FALSE),"-")</f>
        <v>-</v>
      </c>
      <c r="G233" s="60" t="str">
        <f>IFERROR(VLOOKUP($E233,'基础-办公用品信息'!$C:$E,3,FALSE),"-")</f>
        <v>-</v>
      </c>
      <c r="H233" s="126" t="str">
        <f>IFERROR(VLOOKUP($E233,'基础-办公用品信息'!$C:$F,4,FALSE),"-")</f>
        <v>-</v>
      </c>
      <c r="I233" s="87"/>
      <c r="J233" s="61" t="str">
        <f t="shared" si="13"/>
        <v>-</v>
      </c>
      <c r="K233" s="87"/>
      <c r="L233" s="60">
        <f t="shared" si="14"/>
        <v>1900</v>
      </c>
      <c r="M233" s="60">
        <f t="shared" si="15"/>
        <v>1</v>
      </c>
    </row>
    <row r="234" customHeight="1" spans="2:13">
      <c r="B234" s="59">
        <v>231</v>
      </c>
      <c r="C234" s="87"/>
      <c r="D234" s="87"/>
      <c r="E234" s="87"/>
      <c r="F234" s="60" t="str">
        <f>IFERROR(VLOOKUP($E234,'基础-办公用品信息'!$C:$E,2,FALSE),"-")</f>
        <v>-</v>
      </c>
      <c r="G234" s="60" t="str">
        <f>IFERROR(VLOOKUP($E234,'基础-办公用品信息'!$C:$E,3,FALSE),"-")</f>
        <v>-</v>
      </c>
      <c r="H234" s="126" t="str">
        <f>IFERROR(VLOOKUP($E234,'基础-办公用品信息'!$C:$F,4,FALSE),"-")</f>
        <v>-</v>
      </c>
      <c r="I234" s="87"/>
      <c r="J234" s="61" t="str">
        <f t="shared" si="13"/>
        <v>-</v>
      </c>
      <c r="K234" s="87"/>
      <c r="L234" s="60">
        <f t="shared" si="14"/>
        <v>1900</v>
      </c>
      <c r="M234" s="60">
        <f t="shared" si="15"/>
        <v>1</v>
      </c>
    </row>
    <row r="235" customHeight="1" spans="2:13">
      <c r="B235" s="59">
        <v>232</v>
      </c>
      <c r="C235" s="87"/>
      <c r="D235" s="87"/>
      <c r="E235" s="87"/>
      <c r="F235" s="60" t="str">
        <f>IFERROR(VLOOKUP($E235,'基础-办公用品信息'!$C:$E,2,FALSE),"-")</f>
        <v>-</v>
      </c>
      <c r="G235" s="60" t="str">
        <f>IFERROR(VLOOKUP($E235,'基础-办公用品信息'!$C:$E,3,FALSE),"-")</f>
        <v>-</v>
      </c>
      <c r="H235" s="126" t="str">
        <f>IFERROR(VLOOKUP($E235,'基础-办公用品信息'!$C:$F,4,FALSE),"-")</f>
        <v>-</v>
      </c>
      <c r="I235" s="87"/>
      <c r="J235" s="61" t="str">
        <f t="shared" si="13"/>
        <v>-</v>
      </c>
      <c r="K235" s="87"/>
      <c r="L235" s="60">
        <f t="shared" si="14"/>
        <v>1900</v>
      </c>
      <c r="M235" s="60">
        <f t="shared" si="15"/>
        <v>1</v>
      </c>
    </row>
    <row r="236" customHeight="1" spans="2:13">
      <c r="B236" s="59">
        <v>233</v>
      </c>
      <c r="C236" s="87"/>
      <c r="D236" s="87"/>
      <c r="E236" s="87"/>
      <c r="F236" s="60" t="str">
        <f>IFERROR(VLOOKUP($E236,'基础-办公用品信息'!$C:$E,2,FALSE),"-")</f>
        <v>-</v>
      </c>
      <c r="G236" s="60" t="str">
        <f>IFERROR(VLOOKUP($E236,'基础-办公用品信息'!$C:$E,3,FALSE),"-")</f>
        <v>-</v>
      </c>
      <c r="H236" s="126" t="str">
        <f>IFERROR(VLOOKUP($E236,'基础-办公用品信息'!$C:$F,4,FALSE),"-")</f>
        <v>-</v>
      </c>
      <c r="I236" s="87"/>
      <c r="J236" s="61" t="str">
        <f t="shared" si="13"/>
        <v>-</v>
      </c>
      <c r="K236" s="87"/>
      <c r="L236" s="60">
        <f t="shared" si="14"/>
        <v>1900</v>
      </c>
      <c r="M236" s="60">
        <f t="shared" si="15"/>
        <v>1</v>
      </c>
    </row>
    <row r="237" customHeight="1" spans="2:13">
      <c r="B237" s="59">
        <v>234</v>
      </c>
      <c r="C237" s="87"/>
      <c r="D237" s="87"/>
      <c r="E237" s="87"/>
      <c r="F237" s="60" t="str">
        <f>IFERROR(VLOOKUP($E237,'基础-办公用品信息'!$C:$E,2,FALSE),"-")</f>
        <v>-</v>
      </c>
      <c r="G237" s="60" t="str">
        <f>IFERROR(VLOOKUP($E237,'基础-办公用品信息'!$C:$E,3,FALSE),"-")</f>
        <v>-</v>
      </c>
      <c r="H237" s="126" t="str">
        <f>IFERROR(VLOOKUP($E237,'基础-办公用品信息'!$C:$F,4,FALSE),"-")</f>
        <v>-</v>
      </c>
      <c r="I237" s="87"/>
      <c r="J237" s="61" t="str">
        <f t="shared" si="13"/>
        <v>-</v>
      </c>
      <c r="K237" s="87"/>
      <c r="L237" s="60">
        <f t="shared" si="14"/>
        <v>1900</v>
      </c>
      <c r="M237" s="60">
        <f t="shared" si="15"/>
        <v>1</v>
      </c>
    </row>
    <row r="238" customHeight="1" spans="2:13">
      <c r="B238" s="59">
        <v>235</v>
      </c>
      <c r="C238" s="87"/>
      <c r="D238" s="87"/>
      <c r="E238" s="87"/>
      <c r="F238" s="60" t="str">
        <f>IFERROR(VLOOKUP($E238,'基础-办公用品信息'!$C:$E,2,FALSE),"-")</f>
        <v>-</v>
      </c>
      <c r="G238" s="60" t="str">
        <f>IFERROR(VLOOKUP($E238,'基础-办公用品信息'!$C:$E,3,FALSE),"-")</f>
        <v>-</v>
      </c>
      <c r="H238" s="126" t="str">
        <f>IFERROR(VLOOKUP($E238,'基础-办公用品信息'!$C:$F,4,FALSE),"-")</f>
        <v>-</v>
      </c>
      <c r="I238" s="87"/>
      <c r="J238" s="61" t="str">
        <f t="shared" si="13"/>
        <v>-</v>
      </c>
      <c r="K238" s="87"/>
      <c r="L238" s="60">
        <f t="shared" si="14"/>
        <v>1900</v>
      </c>
      <c r="M238" s="60">
        <f t="shared" si="15"/>
        <v>1</v>
      </c>
    </row>
    <row r="239" customHeight="1" spans="2:13">
      <c r="B239" s="59">
        <v>236</v>
      </c>
      <c r="C239" s="87"/>
      <c r="D239" s="87"/>
      <c r="E239" s="87"/>
      <c r="F239" s="60" t="str">
        <f>IFERROR(VLOOKUP($E239,'基础-办公用品信息'!$C:$E,2,FALSE),"-")</f>
        <v>-</v>
      </c>
      <c r="G239" s="60" t="str">
        <f>IFERROR(VLOOKUP($E239,'基础-办公用品信息'!$C:$E,3,FALSE),"-")</f>
        <v>-</v>
      </c>
      <c r="H239" s="126" t="str">
        <f>IFERROR(VLOOKUP($E239,'基础-办公用品信息'!$C:$F,4,FALSE),"-")</f>
        <v>-</v>
      </c>
      <c r="I239" s="87"/>
      <c r="J239" s="61" t="str">
        <f t="shared" si="13"/>
        <v>-</v>
      </c>
      <c r="K239" s="87"/>
      <c r="L239" s="60">
        <f t="shared" si="14"/>
        <v>1900</v>
      </c>
      <c r="M239" s="60">
        <f t="shared" si="15"/>
        <v>1</v>
      </c>
    </row>
    <row r="240" customHeight="1" spans="2:13">
      <c r="B240" s="59">
        <v>237</v>
      </c>
      <c r="C240" s="87"/>
      <c r="D240" s="87"/>
      <c r="E240" s="87"/>
      <c r="F240" s="60" t="str">
        <f>IFERROR(VLOOKUP($E240,'基础-办公用品信息'!$C:$E,2,FALSE),"-")</f>
        <v>-</v>
      </c>
      <c r="G240" s="60" t="str">
        <f>IFERROR(VLOOKUP($E240,'基础-办公用品信息'!$C:$E,3,FALSE),"-")</f>
        <v>-</v>
      </c>
      <c r="H240" s="126" t="str">
        <f>IFERROR(VLOOKUP($E240,'基础-办公用品信息'!$C:$F,4,FALSE),"-")</f>
        <v>-</v>
      </c>
      <c r="I240" s="87"/>
      <c r="J240" s="61" t="str">
        <f t="shared" si="13"/>
        <v>-</v>
      </c>
      <c r="K240" s="87"/>
      <c r="L240" s="60">
        <f t="shared" si="14"/>
        <v>1900</v>
      </c>
      <c r="M240" s="60">
        <f t="shared" si="15"/>
        <v>1</v>
      </c>
    </row>
    <row r="241" customHeight="1" spans="2:13">
      <c r="B241" s="59">
        <v>238</v>
      </c>
      <c r="C241" s="87"/>
      <c r="D241" s="87"/>
      <c r="E241" s="87"/>
      <c r="F241" s="60" t="str">
        <f>IFERROR(VLOOKUP($E241,'基础-办公用品信息'!$C:$E,2,FALSE),"-")</f>
        <v>-</v>
      </c>
      <c r="G241" s="60" t="str">
        <f>IFERROR(VLOOKUP($E241,'基础-办公用品信息'!$C:$E,3,FALSE),"-")</f>
        <v>-</v>
      </c>
      <c r="H241" s="126" t="str">
        <f>IFERROR(VLOOKUP($E241,'基础-办公用品信息'!$C:$F,4,FALSE),"-")</f>
        <v>-</v>
      </c>
      <c r="I241" s="87"/>
      <c r="J241" s="61" t="str">
        <f t="shared" si="13"/>
        <v>-</v>
      </c>
      <c r="K241" s="87"/>
      <c r="L241" s="60">
        <f t="shared" si="14"/>
        <v>1900</v>
      </c>
      <c r="M241" s="60">
        <f t="shared" si="15"/>
        <v>1</v>
      </c>
    </row>
    <row r="242" customHeight="1" spans="2:13">
      <c r="B242" s="59">
        <v>239</v>
      </c>
      <c r="C242" s="87"/>
      <c r="D242" s="87"/>
      <c r="E242" s="87"/>
      <c r="F242" s="60" t="str">
        <f>IFERROR(VLOOKUP($E242,'基础-办公用品信息'!$C:$E,2,FALSE),"-")</f>
        <v>-</v>
      </c>
      <c r="G242" s="60" t="str">
        <f>IFERROR(VLOOKUP($E242,'基础-办公用品信息'!$C:$E,3,FALSE),"-")</f>
        <v>-</v>
      </c>
      <c r="H242" s="126" t="str">
        <f>IFERROR(VLOOKUP($E242,'基础-办公用品信息'!$C:$F,4,FALSE),"-")</f>
        <v>-</v>
      </c>
      <c r="I242" s="87"/>
      <c r="J242" s="61" t="str">
        <f t="shared" si="13"/>
        <v>-</v>
      </c>
      <c r="K242" s="87"/>
      <c r="L242" s="60">
        <f t="shared" si="14"/>
        <v>1900</v>
      </c>
      <c r="M242" s="60">
        <f t="shared" si="15"/>
        <v>1</v>
      </c>
    </row>
    <row r="243" customHeight="1" spans="2:13">
      <c r="B243" s="59">
        <v>240</v>
      </c>
      <c r="C243" s="87"/>
      <c r="D243" s="87"/>
      <c r="E243" s="87"/>
      <c r="F243" s="60" t="str">
        <f>IFERROR(VLOOKUP($E243,'基础-办公用品信息'!$C:$E,2,FALSE),"-")</f>
        <v>-</v>
      </c>
      <c r="G243" s="60" t="str">
        <f>IFERROR(VLOOKUP($E243,'基础-办公用品信息'!$C:$E,3,FALSE),"-")</f>
        <v>-</v>
      </c>
      <c r="H243" s="126" t="str">
        <f>IFERROR(VLOOKUP($E243,'基础-办公用品信息'!$C:$F,4,FALSE),"-")</f>
        <v>-</v>
      </c>
      <c r="I243" s="87"/>
      <c r="J243" s="61" t="str">
        <f t="shared" si="13"/>
        <v>-</v>
      </c>
      <c r="K243" s="87"/>
      <c r="L243" s="60">
        <f t="shared" si="14"/>
        <v>1900</v>
      </c>
      <c r="M243" s="60">
        <f t="shared" si="15"/>
        <v>1</v>
      </c>
    </row>
    <row r="244" customHeight="1" spans="2:13">
      <c r="B244" s="59">
        <v>241</v>
      </c>
      <c r="C244" s="87"/>
      <c r="D244" s="87"/>
      <c r="E244" s="87"/>
      <c r="F244" s="60" t="str">
        <f>IFERROR(VLOOKUP($E244,'基础-办公用品信息'!$C:$E,2,FALSE),"-")</f>
        <v>-</v>
      </c>
      <c r="G244" s="60" t="str">
        <f>IFERROR(VLOOKUP($E244,'基础-办公用品信息'!$C:$E,3,FALSE),"-")</f>
        <v>-</v>
      </c>
      <c r="H244" s="126" t="str">
        <f>IFERROR(VLOOKUP($E244,'基础-办公用品信息'!$C:$F,4,FALSE),"-")</f>
        <v>-</v>
      </c>
      <c r="I244" s="87"/>
      <c r="J244" s="61" t="str">
        <f t="shared" si="13"/>
        <v>-</v>
      </c>
      <c r="K244" s="87"/>
      <c r="L244" s="60">
        <f t="shared" si="14"/>
        <v>1900</v>
      </c>
      <c r="M244" s="60">
        <f t="shared" si="15"/>
        <v>1</v>
      </c>
    </row>
    <row r="245" customHeight="1" spans="2:13">
      <c r="B245" s="59">
        <v>242</v>
      </c>
      <c r="C245" s="87"/>
      <c r="D245" s="87"/>
      <c r="E245" s="87"/>
      <c r="F245" s="60" t="str">
        <f>IFERROR(VLOOKUP($E245,'基础-办公用品信息'!$C:$E,2,FALSE),"-")</f>
        <v>-</v>
      </c>
      <c r="G245" s="60" t="str">
        <f>IFERROR(VLOOKUP($E245,'基础-办公用品信息'!$C:$E,3,FALSE),"-")</f>
        <v>-</v>
      </c>
      <c r="H245" s="126" t="str">
        <f>IFERROR(VLOOKUP($E245,'基础-办公用品信息'!$C:$F,4,FALSE),"-")</f>
        <v>-</v>
      </c>
      <c r="I245" s="87"/>
      <c r="J245" s="61" t="str">
        <f t="shared" si="13"/>
        <v>-</v>
      </c>
      <c r="K245" s="87"/>
      <c r="L245" s="60">
        <f t="shared" si="14"/>
        <v>1900</v>
      </c>
      <c r="M245" s="60">
        <f t="shared" si="15"/>
        <v>1</v>
      </c>
    </row>
    <row r="246" customHeight="1" spans="2:13">
      <c r="B246" s="59">
        <v>243</v>
      </c>
      <c r="C246" s="87"/>
      <c r="D246" s="87"/>
      <c r="E246" s="87"/>
      <c r="F246" s="60" t="str">
        <f>IFERROR(VLOOKUP($E246,'基础-办公用品信息'!$C:$E,2,FALSE),"-")</f>
        <v>-</v>
      </c>
      <c r="G246" s="60" t="str">
        <f>IFERROR(VLOOKUP($E246,'基础-办公用品信息'!$C:$E,3,FALSE),"-")</f>
        <v>-</v>
      </c>
      <c r="H246" s="126" t="str">
        <f>IFERROR(VLOOKUP($E246,'基础-办公用品信息'!$C:$F,4,FALSE),"-")</f>
        <v>-</v>
      </c>
      <c r="I246" s="87"/>
      <c r="J246" s="61" t="str">
        <f t="shared" si="13"/>
        <v>-</v>
      </c>
      <c r="K246" s="87"/>
      <c r="L246" s="60">
        <f t="shared" si="14"/>
        <v>1900</v>
      </c>
      <c r="M246" s="60">
        <f t="shared" si="15"/>
        <v>1</v>
      </c>
    </row>
    <row r="247" customHeight="1" spans="2:13">
      <c r="B247" s="59">
        <v>244</v>
      </c>
      <c r="C247" s="87"/>
      <c r="D247" s="87"/>
      <c r="E247" s="87"/>
      <c r="F247" s="60" t="str">
        <f>IFERROR(VLOOKUP($E247,'基础-办公用品信息'!$C:$E,2,FALSE),"-")</f>
        <v>-</v>
      </c>
      <c r="G247" s="60" t="str">
        <f>IFERROR(VLOOKUP($E247,'基础-办公用品信息'!$C:$E,3,FALSE),"-")</f>
        <v>-</v>
      </c>
      <c r="H247" s="126" t="str">
        <f>IFERROR(VLOOKUP($E247,'基础-办公用品信息'!$C:$F,4,FALSE),"-")</f>
        <v>-</v>
      </c>
      <c r="I247" s="87"/>
      <c r="J247" s="61" t="str">
        <f t="shared" ref="J247:J310" si="16">IF(AND(H247&lt;&gt;"",I247&lt;&gt;""),H247*I247,"-")</f>
        <v>-</v>
      </c>
      <c r="K247" s="87"/>
      <c r="L247" s="60">
        <f t="shared" ref="L247:L310" si="17">YEAR(C247)</f>
        <v>1900</v>
      </c>
      <c r="M247" s="60">
        <f t="shared" ref="M247:M310" si="18">MONTH(C247)</f>
        <v>1</v>
      </c>
    </row>
    <row r="248" customHeight="1" spans="2:13">
      <c r="B248" s="59">
        <v>245</v>
      </c>
      <c r="C248" s="87"/>
      <c r="D248" s="87"/>
      <c r="E248" s="87"/>
      <c r="F248" s="60" t="str">
        <f>IFERROR(VLOOKUP($E248,'基础-办公用品信息'!$C:$E,2,FALSE),"-")</f>
        <v>-</v>
      </c>
      <c r="G248" s="60" t="str">
        <f>IFERROR(VLOOKUP($E248,'基础-办公用品信息'!$C:$E,3,FALSE),"-")</f>
        <v>-</v>
      </c>
      <c r="H248" s="126" t="str">
        <f>IFERROR(VLOOKUP($E248,'基础-办公用品信息'!$C:$F,4,FALSE),"-")</f>
        <v>-</v>
      </c>
      <c r="I248" s="87"/>
      <c r="J248" s="61" t="str">
        <f t="shared" si="16"/>
        <v>-</v>
      </c>
      <c r="K248" s="87"/>
      <c r="L248" s="60">
        <f t="shared" si="17"/>
        <v>1900</v>
      </c>
      <c r="M248" s="60">
        <f t="shared" si="18"/>
        <v>1</v>
      </c>
    </row>
    <row r="249" customHeight="1" spans="2:13">
      <c r="B249" s="59">
        <v>246</v>
      </c>
      <c r="C249" s="87"/>
      <c r="D249" s="87"/>
      <c r="E249" s="87"/>
      <c r="F249" s="60" t="str">
        <f>IFERROR(VLOOKUP($E249,'基础-办公用品信息'!$C:$E,2,FALSE),"-")</f>
        <v>-</v>
      </c>
      <c r="G249" s="60" t="str">
        <f>IFERROR(VLOOKUP($E249,'基础-办公用品信息'!$C:$E,3,FALSE),"-")</f>
        <v>-</v>
      </c>
      <c r="H249" s="126" t="str">
        <f>IFERROR(VLOOKUP($E249,'基础-办公用品信息'!$C:$F,4,FALSE),"-")</f>
        <v>-</v>
      </c>
      <c r="I249" s="87"/>
      <c r="J249" s="61" t="str">
        <f t="shared" si="16"/>
        <v>-</v>
      </c>
      <c r="K249" s="87"/>
      <c r="L249" s="60">
        <f t="shared" si="17"/>
        <v>1900</v>
      </c>
      <c r="M249" s="60">
        <f t="shared" si="18"/>
        <v>1</v>
      </c>
    </row>
    <row r="250" customHeight="1" spans="2:13">
      <c r="B250" s="59">
        <v>247</v>
      </c>
      <c r="C250" s="87"/>
      <c r="D250" s="87"/>
      <c r="E250" s="87"/>
      <c r="F250" s="60" t="str">
        <f>IFERROR(VLOOKUP($E250,'基础-办公用品信息'!$C:$E,2,FALSE),"-")</f>
        <v>-</v>
      </c>
      <c r="G250" s="60" t="str">
        <f>IFERROR(VLOOKUP($E250,'基础-办公用品信息'!$C:$E,3,FALSE),"-")</f>
        <v>-</v>
      </c>
      <c r="H250" s="126" t="str">
        <f>IFERROR(VLOOKUP($E250,'基础-办公用品信息'!$C:$F,4,FALSE),"-")</f>
        <v>-</v>
      </c>
      <c r="I250" s="87"/>
      <c r="J250" s="61" t="str">
        <f t="shared" si="16"/>
        <v>-</v>
      </c>
      <c r="K250" s="87"/>
      <c r="L250" s="60">
        <f t="shared" si="17"/>
        <v>1900</v>
      </c>
      <c r="M250" s="60">
        <f t="shared" si="18"/>
        <v>1</v>
      </c>
    </row>
    <row r="251" customHeight="1" spans="2:13">
      <c r="B251" s="59">
        <v>248</v>
      </c>
      <c r="C251" s="87"/>
      <c r="D251" s="87"/>
      <c r="E251" s="87"/>
      <c r="F251" s="60" t="str">
        <f>IFERROR(VLOOKUP($E251,'基础-办公用品信息'!$C:$E,2,FALSE),"-")</f>
        <v>-</v>
      </c>
      <c r="G251" s="60" t="str">
        <f>IFERROR(VLOOKUP($E251,'基础-办公用品信息'!$C:$E,3,FALSE),"-")</f>
        <v>-</v>
      </c>
      <c r="H251" s="126" t="str">
        <f>IFERROR(VLOOKUP($E251,'基础-办公用品信息'!$C:$F,4,FALSE),"-")</f>
        <v>-</v>
      </c>
      <c r="I251" s="87"/>
      <c r="J251" s="61" t="str">
        <f t="shared" si="16"/>
        <v>-</v>
      </c>
      <c r="K251" s="87"/>
      <c r="L251" s="60">
        <f t="shared" si="17"/>
        <v>1900</v>
      </c>
      <c r="M251" s="60">
        <f t="shared" si="18"/>
        <v>1</v>
      </c>
    </row>
    <row r="252" customHeight="1" spans="2:13">
      <c r="B252" s="59">
        <v>249</v>
      </c>
      <c r="C252" s="87"/>
      <c r="D252" s="87"/>
      <c r="E252" s="87"/>
      <c r="F252" s="60" t="str">
        <f>IFERROR(VLOOKUP($E252,'基础-办公用品信息'!$C:$E,2,FALSE),"-")</f>
        <v>-</v>
      </c>
      <c r="G252" s="60" t="str">
        <f>IFERROR(VLOOKUP($E252,'基础-办公用品信息'!$C:$E,3,FALSE),"-")</f>
        <v>-</v>
      </c>
      <c r="H252" s="126" t="str">
        <f>IFERROR(VLOOKUP($E252,'基础-办公用品信息'!$C:$F,4,FALSE),"-")</f>
        <v>-</v>
      </c>
      <c r="I252" s="87"/>
      <c r="J252" s="61" t="str">
        <f t="shared" si="16"/>
        <v>-</v>
      </c>
      <c r="K252" s="87"/>
      <c r="L252" s="60">
        <f t="shared" si="17"/>
        <v>1900</v>
      </c>
      <c r="M252" s="60">
        <f t="shared" si="18"/>
        <v>1</v>
      </c>
    </row>
    <row r="253" customHeight="1" spans="2:13">
      <c r="B253" s="59">
        <v>250</v>
      </c>
      <c r="C253" s="87"/>
      <c r="D253" s="87"/>
      <c r="E253" s="87"/>
      <c r="F253" s="60" t="str">
        <f>IFERROR(VLOOKUP($E253,'基础-办公用品信息'!$C:$E,2,FALSE),"-")</f>
        <v>-</v>
      </c>
      <c r="G253" s="60" t="str">
        <f>IFERROR(VLOOKUP($E253,'基础-办公用品信息'!$C:$E,3,FALSE),"-")</f>
        <v>-</v>
      </c>
      <c r="H253" s="126" t="str">
        <f>IFERROR(VLOOKUP($E253,'基础-办公用品信息'!$C:$F,4,FALSE),"-")</f>
        <v>-</v>
      </c>
      <c r="I253" s="87"/>
      <c r="J253" s="61" t="str">
        <f t="shared" si="16"/>
        <v>-</v>
      </c>
      <c r="K253" s="87"/>
      <c r="L253" s="60">
        <f t="shared" si="17"/>
        <v>1900</v>
      </c>
      <c r="M253" s="60">
        <f t="shared" si="18"/>
        <v>1</v>
      </c>
    </row>
    <row r="254" customHeight="1" spans="2:13">
      <c r="B254" s="59">
        <v>251</v>
      </c>
      <c r="C254" s="87"/>
      <c r="D254" s="87"/>
      <c r="E254" s="87"/>
      <c r="F254" s="60" t="str">
        <f>IFERROR(VLOOKUP($E254,'基础-办公用品信息'!$C:$E,2,FALSE),"-")</f>
        <v>-</v>
      </c>
      <c r="G254" s="60" t="str">
        <f>IFERROR(VLOOKUP($E254,'基础-办公用品信息'!$C:$E,3,FALSE),"-")</f>
        <v>-</v>
      </c>
      <c r="H254" s="126" t="str">
        <f>IFERROR(VLOOKUP($E254,'基础-办公用品信息'!$C:$F,4,FALSE),"-")</f>
        <v>-</v>
      </c>
      <c r="I254" s="87"/>
      <c r="J254" s="61" t="str">
        <f t="shared" si="16"/>
        <v>-</v>
      </c>
      <c r="K254" s="87"/>
      <c r="L254" s="60">
        <f t="shared" si="17"/>
        <v>1900</v>
      </c>
      <c r="M254" s="60">
        <f t="shared" si="18"/>
        <v>1</v>
      </c>
    </row>
    <row r="255" customHeight="1" spans="2:13">
      <c r="B255" s="59">
        <v>252</v>
      </c>
      <c r="C255" s="87"/>
      <c r="D255" s="87"/>
      <c r="E255" s="87"/>
      <c r="F255" s="60" t="str">
        <f>IFERROR(VLOOKUP($E255,'基础-办公用品信息'!$C:$E,2,FALSE),"-")</f>
        <v>-</v>
      </c>
      <c r="G255" s="60" t="str">
        <f>IFERROR(VLOOKUP($E255,'基础-办公用品信息'!$C:$E,3,FALSE),"-")</f>
        <v>-</v>
      </c>
      <c r="H255" s="126" t="str">
        <f>IFERROR(VLOOKUP($E255,'基础-办公用品信息'!$C:$F,4,FALSE),"-")</f>
        <v>-</v>
      </c>
      <c r="I255" s="87"/>
      <c r="J255" s="61" t="str">
        <f t="shared" si="16"/>
        <v>-</v>
      </c>
      <c r="K255" s="87"/>
      <c r="L255" s="60">
        <f t="shared" si="17"/>
        <v>1900</v>
      </c>
      <c r="M255" s="60">
        <f t="shared" si="18"/>
        <v>1</v>
      </c>
    </row>
    <row r="256" customHeight="1" spans="2:13">
      <c r="B256" s="59">
        <v>253</v>
      </c>
      <c r="C256" s="87"/>
      <c r="D256" s="87"/>
      <c r="E256" s="87"/>
      <c r="F256" s="60" t="str">
        <f>IFERROR(VLOOKUP($E256,'基础-办公用品信息'!$C:$E,2,FALSE),"-")</f>
        <v>-</v>
      </c>
      <c r="G256" s="60" t="str">
        <f>IFERROR(VLOOKUP($E256,'基础-办公用品信息'!$C:$E,3,FALSE),"-")</f>
        <v>-</v>
      </c>
      <c r="H256" s="126" t="str">
        <f>IFERROR(VLOOKUP($E256,'基础-办公用品信息'!$C:$F,4,FALSE),"-")</f>
        <v>-</v>
      </c>
      <c r="I256" s="87"/>
      <c r="J256" s="61" t="str">
        <f t="shared" si="16"/>
        <v>-</v>
      </c>
      <c r="K256" s="87"/>
      <c r="L256" s="60">
        <f t="shared" si="17"/>
        <v>1900</v>
      </c>
      <c r="M256" s="60">
        <f t="shared" si="18"/>
        <v>1</v>
      </c>
    </row>
    <row r="257" customHeight="1" spans="2:13">
      <c r="B257" s="59">
        <v>254</v>
      </c>
      <c r="C257" s="87"/>
      <c r="D257" s="87"/>
      <c r="E257" s="87"/>
      <c r="F257" s="60" t="str">
        <f>IFERROR(VLOOKUP($E257,'基础-办公用品信息'!$C:$E,2,FALSE),"-")</f>
        <v>-</v>
      </c>
      <c r="G257" s="60" t="str">
        <f>IFERROR(VLOOKUP($E257,'基础-办公用品信息'!$C:$E,3,FALSE),"-")</f>
        <v>-</v>
      </c>
      <c r="H257" s="126" t="str">
        <f>IFERROR(VLOOKUP($E257,'基础-办公用品信息'!$C:$F,4,FALSE),"-")</f>
        <v>-</v>
      </c>
      <c r="I257" s="87"/>
      <c r="J257" s="61" t="str">
        <f t="shared" si="16"/>
        <v>-</v>
      </c>
      <c r="K257" s="87"/>
      <c r="L257" s="60">
        <f t="shared" si="17"/>
        <v>1900</v>
      </c>
      <c r="M257" s="60">
        <f t="shared" si="18"/>
        <v>1</v>
      </c>
    </row>
    <row r="258" customHeight="1" spans="2:13">
      <c r="B258" s="59">
        <v>255</v>
      </c>
      <c r="C258" s="87"/>
      <c r="D258" s="87"/>
      <c r="E258" s="87"/>
      <c r="F258" s="60" t="str">
        <f>IFERROR(VLOOKUP($E258,'基础-办公用品信息'!$C:$E,2,FALSE),"-")</f>
        <v>-</v>
      </c>
      <c r="G258" s="60" t="str">
        <f>IFERROR(VLOOKUP($E258,'基础-办公用品信息'!$C:$E,3,FALSE),"-")</f>
        <v>-</v>
      </c>
      <c r="H258" s="126" t="str">
        <f>IFERROR(VLOOKUP($E258,'基础-办公用品信息'!$C:$F,4,FALSE),"-")</f>
        <v>-</v>
      </c>
      <c r="I258" s="87"/>
      <c r="J258" s="61" t="str">
        <f t="shared" si="16"/>
        <v>-</v>
      </c>
      <c r="K258" s="87"/>
      <c r="L258" s="60">
        <f t="shared" si="17"/>
        <v>1900</v>
      </c>
      <c r="M258" s="60">
        <f t="shared" si="18"/>
        <v>1</v>
      </c>
    </row>
    <row r="259" customHeight="1" spans="2:13">
      <c r="B259" s="59">
        <v>256</v>
      </c>
      <c r="C259" s="87"/>
      <c r="D259" s="87"/>
      <c r="E259" s="87"/>
      <c r="F259" s="60" t="str">
        <f>IFERROR(VLOOKUP($E259,'基础-办公用品信息'!$C:$E,2,FALSE),"-")</f>
        <v>-</v>
      </c>
      <c r="G259" s="60" t="str">
        <f>IFERROR(VLOOKUP($E259,'基础-办公用品信息'!$C:$E,3,FALSE),"-")</f>
        <v>-</v>
      </c>
      <c r="H259" s="126" t="str">
        <f>IFERROR(VLOOKUP($E259,'基础-办公用品信息'!$C:$F,4,FALSE),"-")</f>
        <v>-</v>
      </c>
      <c r="I259" s="87"/>
      <c r="J259" s="61" t="str">
        <f t="shared" si="16"/>
        <v>-</v>
      </c>
      <c r="K259" s="87"/>
      <c r="L259" s="60">
        <f t="shared" si="17"/>
        <v>1900</v>
      </c>
      <c r="M259" s="60">
        <f t="shared" si="18"/>
        <v>1</v>
      </c>
    </row>
    <row r="260" customHeight="1" spans="2:13">
      <c r="B260" s="59">
        <v>257</v>
      </c>
      <c r="C260" s="87"/>
      <c r="D260" s="87"/>
      <c r="E260" s="87"/>
      <c r="F260" s="60" t="str">
        <f>IFERROR(VLOOKUP($E260,'基础-办公用品信息'!$C:$E,2,FALSE),"-")</f>
        <v>-</v>
      </c>
      <c r="G260" s="60" t="str">
        <f>IFERROR(VLOOKUP($E260,'基础-办公用品信息'!$C:$E,3,FALSE),"-")</f>
        <v>-</v>
      </c>
      <c r="H260" s="126" t="str">
        <f>IFERROR(VLOOKUP($E260,'基础-办公用品信息'!$C:$F,4,FALSE),"-")</f>
        <v>-</v>
      </c>
      <c r="I260" s="87"/>
      <c r="J260" s="61" t="str">
        <f t="shared" si="16"/>
        <v>-</v>
      </c>
      <c r="K260" s="87"/>
      <c r="L260" s="60">
        <f t="shared" si="17"/>
        <v>1900</v>
      </c>
      <c r="M260" s="60">
        <f t="shared" si="18"/>
        <v>1</v>
      </c>
    </row>
    <row r="261" customHeight="1" spans="2:13">
      <c r="B261" s="59">
        <v>258</v>
      </c>
      <c r="C261" s="87"/>
      <c r="D261" s="87"/>
      <c r="E261" s="87"/>
      <c r="F261" s="60" t="str">
        <f>IFERROR(VLOOKUP($E261,'基础-办公用品信息'!$C:$E,2,FALSE),"-")</f>
        <v>-</v>
      </c>
      <c r="G261" s="60" t="str">
        <f>IFERROR(VLOOKUP($E261,'基础-办公用品信息'!$C:$E,3,FALSE),"-")</f>
        <v>-</v>
      </c>
      <c r="H261" s="126" t="str">
        <f>IFERROR(VLOOKUP($E261,'基础-办公用品信息'!$C:$F,4,FALSE),"-")</f>
        <v>-</v>
      </c>
      <c r="I261" s="87"/>
      <c r="J261" s="61" t="str">
        <f t="shared" si="16"/>
        <v>-</v>
      </c>
      <c r="K261" s="87"/>
      <c r="L261" s="60">
        <f t="shared" si="17"/>
        <v>1900</v>
      </c>
      <c r="M261" s="60">
        <f t="shared" si="18"/>
        <v>1</v>
      </c>
    </row>
    <row r="262" customHeight="1" spans="2:13">
      <c r="B262" s="59">
        <v>259</v>
      </c>
      <c r="C262" s="87"/>
      <c r="D262" s="87"/>
      <c r="E262" s="87"/>
      <c r="F262" s="60" t="str">
        <f>IFERROR(VLOOKUP($E262,'基础-办公用品信息'!$C:$E,2,FALSE),"-")</f>
        <v>-</v>
      </c>
      <c r="G262" s="60" t="str">
        <f>IFERROR(VLOOKUP($E262,'基础-办公用品信息'!$C:$E,3,FALSE),"-")</f>
        <v>-</v>
      </c>
      <c r="H262" s="126" t="str">
        <f>IFERROR(VLOOKUP($E262,'基础-办公用品信息'!$C:$F,4,FALSE),"-")</f>
        <v>-</v>
      </c>
      <c r="I262" s="87"/>
      <c r="J262" s="61" t="str">
        <f t="shared" si="16"/>
        <v>-</v>
      </c>
      <c r="K262" s="87"/>
      <c r="L262" s="60">
        <f t="shared" si="17"/>
        <v>1900</v>
      </c>
      <c r="M262" s="60">
        <f t="shared" si="18"/>
        <v>1</v>
      </c>
    </row>
    <row r="263" customHeight="1" spans="2:13">
      <c r="B263" s="59">
        <v>260</v>
      </c>
      <c r="C263" s="87"/>
      <c r="D263" s="87"/>
      <c r="E263" s="87"/>
      <c r="F263" s="60" t="str">
        <f>IFERROR(VLOOKUP($E263,'基础-办公用品信息'!$C:$E,2,FALSE),"-")</f>
        <v>-</v>
      </c>
      <c r="G263" s="60" t="str">
        <f>IFERROR(VLOOKUP($E263,'基础-办公用品信息'!$C:$E,3,FALSE),"-")</f>
        <v>-</v>
      </c>
      <c r="H263" s="126" t="str">
        <f>IFERROR(VLOOKUP($E263,'基础-办公用品信息'!$C:$F,4,FALSE),"-")</f>
        <v>-</v>
      </c>
      <c r="I263" s="87"/>
      <c r="J263" s="61" t="str">
        <f t="shared" si="16"/>
        <v>-</v>
      </c>
      <c r="K263" s="87"/>
      <c r="L263" s="60">
        <f t="shared" si="17"/>
        <v>1900</v>
      </c>
      <c r="M263" s="60">
        <f t="shared" si="18"/>
        <v>1</v>
      </c>
    </row>
    <row r="264" customHeight="1" spans="2:13">
      <c r="B264" s="59">
        <v>261</v>
      </c>
      <c r="C264" s="87"/>
      <c r="D264" s="87"/>
      <c r="E264" s="87"/>
      <c r="F264" s="60" t="str">
        <f>IFERROR(VLOOKUP($E264,'基础-办公用品信息'!$C:$E,2,FALSE),"-")</f>
        <v>-</v>
      </c>
      <c r="G264" s="60" t="str">
        <f>IFERROR(VLOOKUP($E264,'基础-办公用品信息'!$C:$E,3,FALSE),"-")</f>
        <v>-</v>
      </c>
      <c r="H264" s="126" t="str">
        <f>IFERROR(VLOOKUP($E264,'基础-办公用品信息'!$C:$F,4,FALSE),"-")</f>
        <v>-</v>
      </c>
      <c r="I264" s="87"/>
      <c r="J264" s="61" t="str">
        <f t="shared" si="16"/>
        <v>-</v>
      </c>
      <c r="K264" s="87"/>
      <c r="L264" s="60">
        <f t="shared" si="17"/>
        <v>1900</v>
      </c>
      <c r="M264" s="60">
        <f t="shared" si="18"/>
        <v>1</v>
      </c>
    </row>
    <row r="265" customHeight="1" spans="2:13">
      <c r="B265" s="59">
        <v>262</v>
      </c>
      <c r="C265" s="87"/>
      <c r="D265" s="87"/>
      <c r="E265" s="87"/>
      <c r="F265" s="60" t="str">
        <f>IFERROR(VLOOKUP($E265,'基础-办公用品信息'!$C:$E,2,FALSE),"-")</f>
        <v>-</v>
      </c>
      <c r="G265" s="60" t="str">
        <f>IFERROR(VLOOKUP($E265,'基础-办公用品信息'!$C:$E,3,FALSE),"-")</f>
        <v>-</v>
      </c>
      <c r="H265" s="126" t="str">
        <f>IFERROR(VLOOKUP($E265,'基础-办公用品信息'!$C:$F,4,FALSE),"-")</f>
        <v>-</v>
      </c>
      <c r="I265" s="87"/>
      <c r="J265" s="61" t="str">
        <f t="shared" si="16"/>
        <v>-</v>
      </c>
      <c r="K265" s="87"/>
      <c r="L265" s="60">
        <f t="shared" si="17"/>
        <v>1900</v>
      </c>
      <c r="M265" s="60">
        <f t="shared" si="18"/>
        <v>1</v>
      </c>
    </row>
    <row r="266" customHeight="1" spans="2:13">
      <c r="B266" s="59">
        <v>263</v>
      </c>
      <c r="C266" s="87"/>
      <c r="D266" s="87"/>
      <c r="E266" s="87"/>
      <c r="F266" s="60" t="str">
        <f>IFERROR(VLOOKUP($E266,'基础-办公用品信息'!$C:$E,2,FALSE),"-")</f>
        <v>-</v>
      </c>
      <c r="G266" s="60" t="str">
        <f>IFERROR(VLOOKUP($E266,'基础-办公用品信息'!$C:$E,3,FALSE),"-")</f>
        <v>-</v>
      </c>
      <c r="H266" s="126" t="str">
        <f>IFERROR(VLOOKUP($E266,'基础-办公用品信息'!$C:$F,4,FALSE),"-")</f>
        <v>-</v>
      </c>
      <c r="I266" s="87"/>
      <c r="J266" s="61" t="str">
        <f t="shared" si="16"/>
        <v>-</v>
      </c>
      <c r="K266" s="87"/>
      <c r="L266" s="60">
        <f t="shared" si="17"/>
        <v>1900</v>
      </c>
      <c r="M266" s="60">
        <f t="shared" si="18"/>
        <v>1</v>
      </c>
    </row>
    <row r="267" customHeight="1" spans="2:13">
      <c r="B267" s="59">
        <v>264</v>
      </c>
      <c r="C267" s="87"/>
      <c r="D267" s="87"/>
      <c r="E267" s="87"/>
      <c r="F267" s="60" t="str">
        <f>IFERROR(VLOOKUP($E267,'基础-办公用品信息'!$C:$E,2,FALSE),"-")</f>
        <v>-</v>
      </c>
      <c r="G267" s="60" t="str">
        <f>IFERROR(VLOOKUP($E267,'基础-办公用品信息'!$C:$E,3,FALSE),"-")</f>
        <v>-</v>
      </c>
      <c r="H267" s="126" t="str">
        <f>IFERROR(VLOOKUP($E267,'基础-办公用品信息'!$C:$F,4,FALSE),"-")</f>
        <v>-</v>
      </c>
      <c r="I267" s="87"/>
      <c r="J267" s="61" t="str">
        <f t="shared" si="16"/>
        <v>-</v>
      </c>
      <c r="K267" s="87"/>
      <c r="L267" s="60">
        <f t="shared" si="17"/>
        <v>1900</v>
      </c>
      <c r="M267" s="60">
        <f t="shared" si="18"/>
        <v>1</v>
      </c>
    </row>
    <row r="268" customHeight="1" spans="2:13">
      <c r="B268" s="59">
        <v>265</v>
      </c>
      <c r="C268" s="87"/>
      <c r="D268" s="87"/>
      <c r="E268" s="87"/>
      <c r="F268" s="60" t="str">
        <f>IFERROR(VLOOKUP($E268,'基础-办公用品信息'!$C:$E,2,FALSE),"-")</f>
        <v>-</v>
      </c>
      <c r="G268" s="60" t="str">
        <f>IFERROR(VLOOKUP($E268,'基础-办公用品信息'!$C:$E,3,FALSE),"-")</f>
        <v>-</v>
      </c>
      <c r="H268" s="126" t="str">
        <f>IFERROR(VLOOKUP($E268,'基础-办公用品信息'!$C:$F,4,FALSE),"-")</f>
        <v>-</v>
      </c>
      <c r="I268" s="87"/>
      <c r="J268" s="61" t="str">
        <f t="shared" si="16"/>
        <v>-</v>
      </c>
      <c r="K268" s="87"/>
      <c r="L268" s="60">
        <f t="shared" si="17"/>
        <v>1900</v>
      </c>
      <c r="M268" s="60">
        <f t="shared" si="18"/>
        <v>1</v>
      </c>
    </row>
    <row r="269" customHeight="1" spans="2:13">
      <c r="B269" s="59">
        <v>266</v>
      </c>
      <c r="C269" s="87"/>
      <c r="D269" s="87"/>
      <c r="E269" s="87"/>
      <c r="F269" s="60" t="str">
        <f>IFERROR(VLOOKUP($E269,'基础-办公用品信息'!$C:$E,2,FALSE),"-")</f>
        <v>-</v>
      </c>
      <c r="G269" s="60" t="str">
        <f>IFERROR(VLOOKUP($E269,'基础-办公用品信息'!$C:$E,3,FALSE),"-")</f>
        <v>-</v>
      </c>
      <c r="H269" s="126" t="str">
        <f>IFERROR(VLOOKUP($E269,'基础-办公用品信息'!$C:$F,4,FALSE),"-")</f>
        <v>-</v>
      </c>
      <c r="I269" s="87"/>
      <c r="J269" s="61" t="str">
        <f t="shared" si="16"/>
        <v>-</v>
      </c>
      <c r="K269" s="87"/>
      <c r="L269" s="60">
        <f t="shared" si="17"/>
        <v>1900</v>
      </c>
      <c r="M269" s="60">
        <f t="shared" si="18"/>
        <v>1</v>
      </c>
    </row>
    <row r="270" customHeight="1" spans="2:13">
      <c r="B270" s="59">
        <v>267</v>
      </c>
      <c r="C270" s="87"/>
      <c r="D270" s="87"/>
      <c r="E270" s="87"/>
      <c r="F270" s="60" t="str">
        <f>IFERROR(VLOOKUP($E270,'基础-办公用品信息'!$C:$E,2,FALSE),"-")</f>
        <v>-</v>
      </c>
      <c r="G270" s="60" t="str">
        <f>IFERROR(VLOOKUP($E270,'基础-办公用品信息'!$C:$E,3,FALSE),"-")</f>
        <v>-</v>
      </c>
      <c r="H270" s="126" t="str">
        <f>IFERROR(VLOOKUP($E270,'基础-办公用品信息'!$C:$F,4,FALSE),"-")</f>
        <v>-</v>
      </c>
      <c r="I270" s="87"/>
      <c r="J270" s="61" t="str">
        <f t="shared" si="16"/>
        <v>-</v>
      </c>
      <c r="K270" s="87"/>
      <c r="L270" s="60">
        <f t="shared" si="17"/>
        <v>1900</v>
      </c>
      <c r="M270" s="60">
        <f t="shared" si="18"/>
        <v>1</v>
      </c>
    </row>
    <row r="271" customHeight="1" spans="2:13">
      <c r="B271" s="59">
        <v>268</v>
      </c>
      <c r="C271" s="87"/>
      <c r="D271" s="87"/>
      <c r="E271" s="87"/>
      <c r="F271" s="60" t="str">
        <f>IFERROR(VLOOKUP($E271,'基础-办公用品信息'!$C:$E,2,FALSE),"-")</f>
        <v>-</v>
      </c>
      <c r="G271" s="60" t="str">
        <f>IFERROR(VLOOKUP($E271,'基础-办公用品信息'!$C:$E,3,FALSE),"-")</f>
        <v>-</v>
      </c>
      <c r="H271" s="126" t="str">
        <f>IFERROR(VLOOKUP($E271,'基础-办公用品信息'!$C:$F,4,FALSE),"-")</f>
        <v>-</v>
      </c>
      <c r="I271" s="87"/>
      <c r="J271" s="61" t="str">
        <f t="shared" si="16"/>
        <v>-</v>
      </c>
      <c r="K271" s="87"/>
      <c r="L271" s="60">
        <f t="shared" si="17"/>
        <v>1900</v>
      </c>
      <c r="M271" s="60">
        <f t="shared" si="18"/>
        <v>1</v>
      </c>
    </row>
    <row r="272" customHeight="1" spans="2:13">
      <c r="B272" s="59">
        <v>269</v>
      </c>
      <c r="C272" s="87"/>
      <c r="D272" s="87"/>
      <c r="E272" s="87"/>
      <c r="F272" s="60" t="str">
        <f>IFERROR(VLOOKUP($E272,'基础-办公用品信息'!$C:$E,2,FALSE),"-")</f>
        <v>-</v>
      </c>
      <c r="G272" s="60" t="str">
        <f>IFERROR(VLOOKUP($E272,'基础-办公用品信息'!$C:$E,3,FALSE),"-")</f>
        <v>-</v>
      </c>
      <c r="H272" s="126" t="str">
        <f>IFERROR(VLOOKUP($E272,'基础-办公用品信息'!$C:$F,4,FALSE),"-")</f>
        <v>-</v>
      </c>
      <c r="I272" s="87"/>
      <c r="J272" s="61" t="str">
        <f t="shared" si="16"/>
        <v>-</v>
      </c>
      <c r="K272" s="87"/>
      <c r="L272" s="60">
        <f t="shared" si="17"/>
        <v>1900</v>
      </c>
      <c r="M272" s="60">
        <f t="shared" si="18"/>
        <v>1</v>
      </c>
    </row>
    <row r="273" customHeight="1" spans="2:13">
      <c r="B273" s="59">
        <v>270</v>
      </c>
      <c r="C273" s="87"/>
      <c r="D273" s="87"/>
      <c r="E273" s="87"/>
      <c r="F273" s="60" t="str">
        <f>IFERROR(VLOOKUP($E273,'基础-办公用品信息'!$C:$E,2,FALSE),"-")</f>
        <v>-</v>
      </c>
      <c r="G273" s="60" t="str">
        <f>IFERROR(VLOOKUP($E273,'基础-办公用品信息'!$C:$E,3,FALSE),"-")</f>
        <v>-</v>
      </c>
      <c r="H273" s="126" t="str">
        <f>IFERROR(VLOOKUP($E273,'基础-办公用品信息'!$C:$F,4,FALSE),"-")</f>
        <v>-</v>
      </c>
      <c r="I273" s="87"/>
      <c r="J273" s="61" t="str">
        <f t="shared" si="16"/>
        <v>-</v>
      </c>
      <c r="K273" s="87"/>
      <c r="L273" s="60">
        <f t="shared" si="17"/>
        <v>1900</v>
      </c>
      <c r="M273" s="60">
        <f t="shared" si="18"/>
        <v>1</v>
      </c>
    </row>
    <row r="274" customHeight="1" spans="2:13">
      <c r="B274" s="59">
        <v>271</v>
      </c>
      <c r="C274" s="87"/>
      <c r="D274" s="87"/>
      <c r="E274" s="87"/>
      <c r="F274" s="60" t="str">
        <f>IFERROR(VLOOKUP($E274,'基础-办公用品信息'!$C:$E,2,FALSE),"-")</f>
        <v>-</v>
      </c>
      <c r="G274" s="60" t="str">
        <f>IFERROR(VLOOKUP($E274,'基础-办公用品信息'!$C:$E,3,FALSE),"-")</f>
        <v>-</v>
      </c>
      <c r="H274" s="126" t="str">
        <f>IFERROR(VLOOKUP($E274,'基础-办公用品信息'!$C:$F,4,FALSE),"-")</f>
        <v>-</v>
      </c>
      <c r="I274" s="87"/>
      <c r="J274" s="61" t="str">
        <f t="shared" si="16"/>
        <v>-</v>
      </c>
      <c r="K274" s="87"/>
      <c r="L274" s="60">
        <f t="shared" si="17"/>
        <v>1900</v>
      </c>
      <c r="M274" s="60">
        <f t="shared" si="18"/>
        <v>1</v>
      </c>
    </row>
    <row r="275" customHeight="1" spans="2:13">
      <c r="B275" s="59">
        <v>272</v>
      </c>
      <c r="C275" s="87"/>
      <c r="D275" s="87"/>
      <c r="E275" s="87"/>
      <c r="F275" s="60" t="str">
        <f>IFERROR(VLOOKUP($E275,'基础-办公用品信息'!$C:$E,2,FALSE),"-")</f>
        <v>-</v>
      </c>
      <c r="G275" s="60" t="str">
        <f>IFERROR(VLOOKUP($E275,'基础-办公用品信息'!$C:$E,3,FALSE),"-")</f>
        <v>-</v>
      </c>
      <c r="H275" s="126" t="str">
        <f>IFERROR(VLOOKUP($E275,'基础-办公用品信息'!$C:$F,4,FALSE),"-")</f>
        <v>-</v>
      </c>
      <c r="I275" s="87"/>
      <c r="J275" s="61" t="str">
        <f t="shared" si="16"/>
        <v>-</v>
      </c>
      <c r="K275" s="87"/>
      <c r="L275" s="60">
        <f t="shared" si="17"/>
        <v>1900</v>
      </c>
      <c r="M275" s="60">
        <f t="shared" si="18"/>
        <v>1</v>
      </c>
    </row>
    <row r="276" customHeight="1" spans="2:13">
      <c r="B276" s="59">
        <v>273</v>
      </c>
      <c r="C276" s="87"/>
      <c r="D276" s="87"/>
      <c r="E276" s="87"/>
      <c r="F276" s="60" t="str">
        <f>IFERROR(VLOOKUP($E276,'基础-办公用品信息'!$C:$E,2,FALSE),"-")</f>
        <v>-</v>
      </c>
      <c r="G276" s="60" t="str">
        <f>IFERROR(VLOOKUP($E276,'基础-办公用品信息'!$C:$E,3,FALSE),"-")</f>
        <v>-</v>
      </c>
      <c r="H276" s="126" t="str">
        <f>IFERROR(VLOOKUP($E276,'基础-办公用品信息'!$C:$F,4,FALSE),"-")</f>
        <v>-</v>
      </c>
      <c r="I276" s="87"/>
      <c r="J276" s="61" t="str">
        <f t="shared" si="16"/>
        <v>-</v>
      </c>
      <c r="K276" s="87"/>
      <c r="L276" s="60">
        <f t="shared" si="17"/>
        <v>1900</v>
      </c>
      <c r="M276" s="60">
        <f t="shared" si="18"/>
        <v>1</v>
      </c>
    </row>
    <row r="277" customHeight="1" spans="2:13">
      <c r="B277" s="59">
        <v>274</v>
      </c>
      <c r="C277" s="87"/>
      <c r="D277" s="87"/>
      <c r="E277" s="87"/>
      <c r="F277" s="60" t="str">
        <f>IFERROR(VLOOKUP($E277,'基础-办公用品信息'!$C:$E,2,FALSE),"-")</f>
        <v>-</v>
      </c>
      <c r="G277" s="60" t="str">
        <f>IFERROR(VLOOKUP($E277,'基础-办公用品信息'!$C:$E,3,FALSE),"-")</f>
        <v>-</v>
      </c>
      <c r="H277" s="126" t="str">
        <f>IFERROR(VLOOKUP($E277,'基础-办公用品信息'!$C:$F,4,FALSE),"-")</f>
        <v>-</v>
      </c>
      <c r="I277" s="87"/>
      <c r="J277" s="61" t="str">
        <f t="shared" si="16"/>
        <v>-</v>
      </c>
      <c r="K277" s="87"/>
      <c r="L277" s="60">
        <f t="shared" si="17"/>
        <v>1900</v>
      </c>
      <c r="M277" s="60">
        <f t="shared" si="18"/>
        <v>1</v>
      </c>
    </row>
    <row r="278" customHeight="1" spans="2:13">
      <c r="B278" s="59">
        <v>275</v>
      </c>
      <c r="C278" s="87"/>
      <c r="D278" s="87"/>
      <c r="E278" s="87"/>
      <c r="F278" s="60" t="str">
        <f>IFERROR(VLOOKUP($E278,'基础-办公用品信息'!$C:$E,2,FALSE),"-")</f>
        <v>-</v>
      </c>
      <c r="G278" s="60" t="str">
        <f>IFERROR(VLOOKUP($E278,'基础-办公用品信息'!$C:$E,3,FALSE),"-")</f>
        <v>-</v>
      </c>
      <c r="H278" s="126" t="str">
        <f>IFERROR(VLOOKUP($E278,'基础-办公用品信息'!$C:$F,4,FALSE),"-")</f>
        <v>-</v>
      </c>
      <c r="I278" s="87"/>
      <c r="J278" s="61" t="str">
        <f t="shared" si="16"/>
        <v>-</v>
      </c>
      <c r="K278" s="87"/>
      <c r="L278" s="60">
        <f t="shared" si="17"/>
        <v>1900</v>
      </c>
      <c r="M278" s="60">
        <f t="shared" si="18"/>
        <v>1</v>
      </c>
    </row>
    <row r="279" customHeight="1" spans="2:13">
      <c r="B279" s="59">
        <v>276</v>
      </c>
      <c r="C279" s="87"/>
      <c r="D279" s="87"/>
      <c r="E279" s="87"/>
      <c r="F279" s="60" t="str">
        <f>IFERROR(VLOOKUP($E279,'基础-办公用品信息'!$C:$E,2,FALSE),"-")</f>
        <v>-</v>
      </c>
      <c r="G279" s="60" t="str">
        <f>IFERROR(VLOOKUP($E279,'基础-办公用品信息'!$C:$E,3,FALSE),"-")</f>
        <v>-</v>
      </c>
      <c r="H279" s="126" t="str">
        <f>IFERROR(VLOOKUP($E279,'基础-办公用品信息'!$C:$F,4,FALSE),"-")</f>
        <v>-</v>
      </c>
      <c r="I279" s="87"/>
      <c r="J279" s="61" t="str">
        <f t="shared" si="16"/>
        <v>-</v>
      </c>
      <c r="K279" s="87"/>
      <c r="L279" s="60">
        <f t="shared" si="17"/>
        <v>1900</v>
      </c>
      <c r="M279" s="60">
        <f t="shared" si="18"/>
        <v>1</v>
      </c>
    </row>
    <row r="280" customHeight="1" spans="2:13">
      <c r="B280" s="59">
        <v>277</v>
      </c>
      <c r="C280" s="87"/>
      <c r="D280" s="87"/>
      <c r="E280" s="87"/>
      <c r="F280" s="60" t="str">
        <f>IFERROR(VLOOKUP($E280,'基础-办公用品信息'!$C:$E,2,FALSE),"-")</f>
        <v>-</v>
      </c>
      <c r="G280" s="60" t="str">
        <f>IFERROR(VLOOKUP($E280,'基础-办公用品信息'!$C:$E,3,FALSE),"-")</f>
        <v>-</v>
      </c>
      <c r="H280" s="126" t="str">
        <f>IFERROR(VLOOKUP($E280,'基础-办公用品信息'!$C:$F,4,FALSE),"-")</f>
        <v>-</v>
      </c>
      <c r="I280" s="87"/>
      <c r="J280" s="61" t="str">
        <f t="shared" si="16"/>
        <v>-</v>
      </c>
      <c r="K280" s="87"/>
      <c r="L280" s="60">
        <f t="shared" si="17"/>
        <v>1900</v>
      </c>
      <c r="M280" s="60">
        <f t="shared" si="18"/>
        <v>1</v>
      </c>
    </row>
    <row r="281" customHeight="1" spans="2:13">
      <c r="B281" s="59">
        <v>278</v>
      </c>
      <c r="C281" s="87"/>
      <c r="D281" s="87"/>
      <c r="E281" s="87"/>
      <c r="F281" s="60" t="str">
        <f>IFERROR(VLOOKUP($E281,'基础-办公用品信息'!$C:$E,2,FALSE),"-")</f>
        <v>-</v>
      </c>
      <c r="G281" s="60" t="str">
        <f>IFERROR(VLOOKUP($E281,'基础-办公用品信息'!$C:$E,3,FALSE),"-")</f>
        <v>-</v>
      </c>
      <c r="H281" s="126" t="str">
        <f>IFERROR(VLOOKUP($E281,'基础-办公用品信息'!$C:$F,4,FALSE),"-")</f>
        <v>-</v>
      </c>
      <c r="I281" s="87"/>
      <c r="J281" s="61" t="str">
        <f t="shared" si="16"/>
        <v>-</v>
      </c>
      <c r="K281" s="87"/>
      <c r="L281" s="60">
        <f t="shared" si="17"/>
        <v>1900</v>
      </c>
      <c r="M281" s="60">
        <f t="shared" si="18"/>
        <v>1</v>
      </c>
    </row>
    <row r="282" customHeight="1" spans="2:13">
      <c r="B282" s="59">
        <v>279</v>
      </c>
      <c r="C282" s="87"/>
      <c r="D282" s="87"/>
      <c r="E282" s="87"/>
      <c r="F282" s="60" t="str">
        <f>IFERROR(VLOOKUP($E282,'基础-办公用品信息'!$C:$E,2,FALSE),"-")</f>
        <v>-</v>
      </c>
      <c r="G282" s="60" t="str">
        <f>IFERROR(VLOOKUP($E282,'基础-办公用品信息'!$C:$E,3,FALSE),"-")</f>
        <v>-</v>
      </c>
      <c r="H282" s="126" t="str">
        <f>IFERROR(VLOOKUP($E282,'基础-办公用品信息'!$C:$F,4,FALSE),"-")</f>
        <v>-</v>
      </c>
      <c r="I282" s="87"/>
      <c r="J282" s="61" t="str">
        <f t="shared" si="16"/>
        <v>-</v>
      </c>
      <c r="K282" s="87"/>
      <c r="L282" s="60">
        <f t="shared" si="17"/>
        <v>1900</v>
      </c>
      <c r="M282" s="60">
        <f t="shared" si="18"/>
        <v>1</v>
      </c>
    </row>
    <row r="283" customHeight="1" spans="2:13">
      <c r="B283" s="59">
        <v>280</v>
      </c>
      <c r="C283" s="87"/>
      <c r="D283" s="87"/>
      <c r="E283" s="87"/>
      <c r="F283" s="60" t="str">
        <f>IFERROR(VLOOKUP($E283,'基础-办公用品信息'!$C:$E,2,FALSE),"-")</f>
        <v>-</v>
      </c>
      <c r="G283" s="60" t="str">
        <f>IFERROR(VLOOKUP($E283,'基础-办公用品信息'!$C:$E,3,FALSE),"-")</f>
        <v>-</v>
      </c>
      <c r="H283" s="126" t="str">
        <f>IFERROR(VLOOKUP($E283,'基础-办公用品信息'!$C:$F,4,FALSE),"-")</f>
        <v>-</v>
      </c>
      <c r="I283" s="87"/>
      <c r="J283" s="61" t="str">
        <f t="shared" si="16"/>
        <v>-</v>
      </c>
      <c r="K283" s="87"/>
      <c r="L283" s="60">
        <f t="shared" si="17"/>
        <v>1900</v>
      </c>
      <c r="M283" s="60">
        <f t="shared" si="18"/>
        <v>1</v>
      </c>
    </row>
    <row r="284" customHeight="1" spans="2:13">
      <c r="B284" s="59">
        <v>281</v>
      </c>
      <c r="C284" s="87"/>
      <c r="D284" s="87"/>
      <c r="E284" s="87"/>
      <c r="F284" s="60" t="str">
        <f>IFERROR(VLOOKUP($E284,'基础-办公用品信息'!$C:$E,2,FALSE),"-")</f>
        <v>-</v>
      </c>
      <c r="G284" s="60" t="str">
        <f>IFERROR(VLOOKUP($E284,'基础-办公用品信息'!$C:$E,3,FALSE),"-")</f>
        <v>-</v>
      </c>
      <c r="H284" s="126" t="str">
        <f>IFERROR(VLOOKUP($E284,'基础-办公用品信息'!$C:$F,4,FALSE),"-")</f>
        <v>-</v>
      </c>
      <c r="I284" s="87"/>
      <c r="J284" s="61" t="str">
        <f t="shared" si="16"/>
        <v>-</v>
      </c>
      <c r="K284" s="87"/>
      <c r="L284" s="60">
        <f t="shared" si="17"/>
        <v>1900</v>
      </c>
      <c r="M284" s="60">
        <f t="shared" si="18"/>
        <v>1</v>
      </c>
    </row>
    <row r="285" customHeight="1" spans="2:13">
      <c r="B285" s="59">
        <v>282</v>
      </c>
      <c r="C285" s="87"/>
      <c r="D285" s="87"/>
      <c r="E285" s="87"/>
      <c r="F285" s="60" t="str">
        <f>IFERROR(VLOOKUP($E285,'基础-办公用品信息'!$C:$E,2,FALSE),"-")</f>
        <v>-</v>
      </c>
      <c r="G285" s="60" t="str">
        <f>IFERROR(VLOOKUP($E285,'基础-办公用品信息'!$C:$E,3,FALSE),"-")</f>
        <v>-</v>
      </c>
      <c r="H285" s="126" t="str">
        <f>IFERROR(VLOOKUP($E285,'基础-办公用品信息'!$C:$F,4,FALSE),"-")</f>
        <v>-</v>
      </c>
      <c r="I285" s="87"/>
      <c r="J285" s="61" t="str">
        <f t="shared" si="16"/>
        <v>-</v>
      </c>
      <c r="K285" s="87"/>
      <c r="L285" s="60">
        <f t="shared" si="17"/>
        <v>1900</v>
      </c>
      <c r="M285" s="60">
        <f t="shared" si="18"/>
        <v>1</v>
      </c>
    </row>
    <row r="286" customHeight="1" spans="2:13">
      <c r="B286" s="59">
        <v>283</v>
      </c>
      <c r="C286" s="87"/>
      <c r="D286" s="87"/>
      <c r="E286" s="87"/>
      <c r="F286" s="60" t="str">
        <f>IFERROR(VLOOKUP($E286,'基础-办公用品信息'!$C:$E,2,FALSE),"-")</f>
        <v>-</v>
      </c>
      <c r="G286" s="60" t="str">
        <f>IFERROR(VLOOKUP($E286,'基础-办公用品信息'!$C:$E,3,FALSE),"-")</f>
        <v>-</v>
      </c>
      <c r="H286" s="126" t="str">
        <f>IFERROR(VLOOKUP($E286,'基础-办公用品信息'!$C:$F,4,FALSE),"-")</f>
        <v>-</v>
      </c>
      <c r="I286" s="87"/>
      <c r="J286" s="61" t="str">
        <f t="shared" si="16"/>
        <v>-</v>
      </c>
      <c r="K286" s="87"/>
      <c r="L286" s="60">
        <f t="shared" si="17"/>
        <v>1900</v>
      </c>
      <c r="M286" s="60">
        <f t="shared" si="18"/>
        <v>1</v>
      </c>
    </row>
    <row r="287" customHeight="1" spans="2:13">
      <c r="B287" s="59">
        <v>284</v>
      </c>
      <c r="C287" s="87"/>
      <c r="D287" s="87"/>
      <c r="E287" s="87"/>
      <c r="F287" s="60" t="str">
        <f>IFERROR(VLOOKUP($E287,'基础-办公用品信息'!$C:$E,2,FALSE),"-")</f>
        <v>-</v>
      </c>
      <c r="G287" s="60" t="str">
        <f>IFERROR(VLOOKUP($E287,'基础-办公用品信息'!$C:$E,3,FALSE),"-")</f>
        <v>-</v>
      </c>
      <c r="H287" s="126" t="str">
        <f>IFERROR(VLOOKUP($E287,'基础-办公用品信息'!$C:$F,4,FALSE),"-")</f>
        <v>-</v>
      </c>
      <c r="I287" s="87"/>
      <c r="J287" s="61" t="str">
        <f t="shared" si="16"/>
        <v>-</v>
      </c>
      <c r="K287" s="87"/>
      <c r="L287" s="60">
        <f t="shared" si="17"/>
        <v>1900</v>
      </c>
      <c r="M287" s="60">
        <f t="shared" si="18"/>
        <v>1</v>
      </c>
    </row>
    <row r="288" customHeight="1" spans="2:13">
      <c r="B288" s="59">
        <v>285</v>
      </c>
      <c r="C288" s="87"/>
      <c r="D288" s="87"/>
      <c r="E288" s="87"/>
      <c r="F288" s="60" t="str">
        <f>IFERROR(VLOOKUP($E288,'基础-办公用品信息'!$C:$E,2,FALSE),"-")</f>
        <v>-</v>
      </c>
      <c r="G288" s="60" t="str">
        <f>IFERROR(VLOOKUP($E288,'基础-办公用品信息'!$C:$E,3,FALSE),"-")</f>
        <v>-</v>
      </c>
      <c r="H288" s="126" t="str">
        <f>IFERROR(VLOOKUP($E288,'基础-办公用品信息'!$C:$F,4,FALSE),"-")</f>
        <v>-</v>
      </c>
      <c r="I288" s="87"/>
      <c r="J288" s="61" t="str">
        <f t="shared" si="16"/>
        <v>-</v>
      </c>
      <c r="K288" s="87"/>
      <c r="L288" s="60">
        <f t="shared" si="17"/>
        <v>1900</v>
      </c>
      <c r="M288" s="60">
        <f t="shared" si="18"/>
        <v>1</v>
      </c>
    </row>
    <row r="289" customHeight="1" spans="2:13">
      <c r="B289" s="59">
        <v>286</v>
      </c>
      <c r="C289" s="87"/>
      <c r="D289" s="87"/>
      <c r="E289" s="87"/>
      <c r="F289" s="60" t="str">
        <f>IFERROR(VLOOKUP($E289,'基础-办公用品信息'!$C:$E,2,FALSE),"-")</f>
        <v>-</v>
      </c>
      <c r="G289" s="60" t="str">
        <f>IFERROR(VLOOKUP($E289,'基础-办公用品信息'!$C:$E,3,FALSE),"-")</f>
        <v>-</v>
      </c>
      <c r="H289" s="126" t="str">
        <f>IFERROR(VLOOKUP($E289,'基础-办公用品信息'!$C:$F,4,FALSE),"-")</f>
        <v>-</v>
      </c>
      <c r="I289" s="87"/>
      <c r="J289" s="61" t="str">
        <f t="shared" si="16"/>
        <v>-</v>
      </c>
      <c r="K289" s="87"/>
      <c r="L289" s="60">
        <f t="shared" si="17"/>
        <v>1900</v>
      </c>
      <c r="M289" s="60">
        <f t="shared" si="18"/>
        <v>1</v>
      </c>
    </row>
    <row r="290" customHeight="1" spans="2:13">
      <c r="B290" s="59">
        <v>287</v>
      </c>
      <c r="C290" s="87"/>
      <c r="D290" s="87"/>
      <c r="E290" s="87"/>
      <c r="F290" s="60" t="str">
        <f>IFERROR(VLOOKUP($E290,'基础-办公用品信息'!$C:$E,2,FALSE),"-")</f>
        <v>-</v>
      </c>
      <c r="G290" s="60" t="str">
        <f>IFERROR(VLOOKUP($E290,'基础-办公用品信息'!$C:$E,3,FALSE),"-")</f>
        <v>-</v>
      </c>
      <c r="H290" s="126" t="str">
        <f>IFERROR(VLOOKUP($E290,'基础-办公用品信息'!$C:$F,4,FALSE),"-")</f>
        <v>-</v>
      </c>
      <c r="I290" s="87"/>
      <c r="J290" s="61" t="str">
        <f t="shared" si="16"/>
        <v>-</v>
      </c>
      <c r="K290" s="87"/>
      <c r="L290" s="60">
        <f t="shared" si="17"/>
        <v>1900</v>
      </c>
      <c r="M290" s="60">
        <f t="shared" si="18"/>
        <v>1</v>
      </c>
    </row>
    <row r="291" customHeight="1" spans="2:13">
      <c r="B291" s="59">
        <v>288</v>
      </c>
      <c r="C291" s="87"/>
      <c r="D291" s="87"/>
      <c r="E291" s="87"/>
      <c r="F291" s="60" t="str">
        <f>IFERROR(VLOOKUP($E291,'基础-办公用品信息'!$C:$E,2,FALSE),"-")</f>
        <v>-</v>
      </c>
      <c r="G291" s="60" t="str">
        <f>IFERROR(VLOOKUP($E291,'基础-办公用品信息'!$C:$E,3,FALSE),"-")</f>
        <v>-</v>
      </c>
      <c r="H291" s="126" t="str">
        <f>IFERROR(VLOOKUP($E291,'基础-办公用品信息'!$C:$F,4,FALSE),"-")</f>
        <v>-</v>
      </c>
      <c r="I291" s="87"/>
      <c r="J291" s="61" t="str">
        <f t="shared" si="16"/>
        <v>-</v>
      </c>
      <c r="K291" s="87"/>
      <c r="L291" s="60">
        <f t="shared" si="17"/>
        <v>1900</v>
      </c>
      <c r="M291" s="60">
        <f t="shared" si="18"/>
        <v>1</v>
      </c>
    </row>
    <row r="292" customHeight="1" spans="2:13">
      <c r="B292" s="59">
        <v>289</v>
      </c>
      <c r="C292" s="87"/>
      <c r="D292" s="87"/>
      <c r="E292" s="87"/>
      <c r="F292" s="60" t="str">
        <f>IFERROR(VLOOKUP($E292,'基础-办公用品信息'!$C:$E,2,FALSE),"-")</f>
        <v>-</v>
      </c>
      <c r="G292" s="60" t="str">
        <f>IFERROR(VLOOKUP($E292,'基础-办公用品信息'!$C:$E,3,FALSE),"-")</f>
        <v>-</v>
      </c>
      <c r="H292" s="126" t="str">
        <f>IFERROR(VLOOKUP($E292,'基础-办公用品信息'!$C:$F,4,FALSE),"-")</f>
        <v>-</v>
      </c>
      <c r="I292" s="87"/>
      <c r="J292" s="61" t="str">
        <f t="shared" si="16"/>
        <v>-</v>
      </c>
      <c r="K292" s="87"/>
      <c r="L292" s="60">
        <f t="shared" si="17"/>
        <v>1900</v>
      </c>
      <c r="M292" s="60">
        <f t="shared" si="18"/>
        <v>1</v>
      </c>
    </row>
    <row r="293" customHeight="1" spans="2:13">
      <c r="B293" s="59">
        <v>290</v>
      </c>
      <c r="C293" s="87"/>
      <c r="D293" s="87"/>
      <c r="E293" s="87"/>
      <c r="F293" s="60" t="str">
        <f>IFERROR(VLOOKUP($E293,'基础-办公用品信息'!$C:$E,2,FALSE),"-")</f>
        <v>-</v>
      </c>
      <c r="G293" s="60" t="str">
        <f>IFERROR(VLOOKUP($E293,'基础-办公用品信息'!$C:$E,3,FALSE),"-")</f>
        <v>-</v>
      </c>
      <c r="H293" s="126" t="str">
        <f>IFERROR(VLOOKUP($E293,'基础-办公用品信息'!$C:$F,4,FALSE),"-")</f>
        <v>-</v>
      </c>
      <c r="I293" s="87"/>
      <c r="J293" s="61" t="str">
        <f t="shared" si="16"/>
        <v>-</v>
      </c>
      <c r="K293" s="87"/>
      <c r="L293" s="60">
        <f t="shared" si="17"/>
        <v>1900</v>
      </c>
      <c r="M293" s="60">
        <f t="shared" si="18"/>
        <v>1</v>
      </c>
    </row>
    <row r="294" customHeight="1" spans="2:13">
      <c r="B294" s="59">
        <v>291</v>
      </c>
      <c r="C294" s="87"/>
      <c r="D294" s="87"/>
      <c r="E294" s="87"/>
      <c r="F294" s="60" t="str">
        <f>IFERROR(VLOOKUP($E294,'基础-办公用品信息'!$C:$E,2,FALSE),"-")</f>
        <v>-</v>
      </c>
      <c r="G294" s="60" t="str">
        <f>IFERROR(VLOOKUP($E294,'基础-办公用品信息'!$C:$E,3,FALSE),"-")</f>
        <v>-</v>
      </c>
      <c r="H294" s="126" t="str">
        <f>IFERROR(VLOOKUP($E294,'基础-办公用品信息'!$C:$F,4,FALSE),"-")</f>
        <v>-</v>
      </c>
      <c r="I294" s="87"/>
      <c r="J294" s="61" t="str">
        <f t="shared" si="16"/>
        <v>-</v>
      </c>
      <c r="K294" s="87"/>
      <c r="L294" s="60">
        <f t="shared" si="17"/>
        <v>1900</v>
      </c>
      <c r="M294" s="60">
        <f t="shared" si="18"/>
        <v>1</v>
      </c>
    </row>
    <row r="295" customHeight="1" spans="2:13">
      <c r="B295" s="59">
        <v>292</v>
      </c>
      <c r="C295" s="87"/>
      <c r="D295" s="87"/>
      <c r="E295" s="87"/>
      <c r="F295" s="60" t="str">
        <f>IFERROR(VLOOKUP($E295,'基础-办公用品信息'!$C:$E,2,FALSE),"-")</f>
        <v>-</v>
      </c>
      <c r="G295" s="60" t="str">
        <f>IFERROR(VLOOKUP($E295,'基础-办公用品信息'!$C:$E,3,FALSE),"-")</f>
        <v>-</v>
      </c>
      <c r="H295" s="126" t="str">
        <f>IFERROR(VLOOKUP($E295,'基础-办公用品信息'!$C:$F,4,FALSE),"-")</f>
        <v>-</v>
      </c>
      <c r="I295" s="87"/>
      <c r="J295" s="61" t="str">
        <f t="shared" si="16"/>
        <v>-</v>
      </c>
      <c r="K295" s="87"/>
      <c r="L295" s="60">
        <f t="shared" si="17"/>
        <v>1900</v>
      </c>
      <c r="M295" s="60">
        <f t="shared" si="18"/>
        <v>1</v>
      </c>
    </row>
    <row r="296" customHeight="1" spans="2:13">
      <c r="B296" s="59">
        <v>293</v>
      </c>
      <c r="C296" s="87"/>
      <c r="D296" s="87"/>
      <c r="E296" s="87"/>
      <c r="F296" s="60" t="str">
        <f>IFERROR(VLOOKUP($E296,'基础-办公用品信息'!$C:$E,2,FALSE),"-")</f>
        <v>-</v>
      </c>
      <c r="G296" s="60" t="str">
        <f>IFERROR(VLOOKUP($E296,'基础-办公用品信息'!$C:$E,3,FALSE),"-")</f>
        <v>-</v>
      </c>
      <c r="H296" s="126" t="str">
        <f>IFERROR(VLOOKUP($E296,'基础-办公用品信息'!$C:$F,4,FALSE),"-")</f>
        <v>-</v>
      </c>
      <c r="I296" s="87"/>
      <c r="J296" s="61" t="str">
        <f t="shared" si="16"/>
        <v>-</v>
      </c>
      <c r="K296" s="87"/>
      <c r="L296" s="60">
        <f t="shared" si="17"/>
        <v>1900</v>
      </c>
      <c r="M296" s="60">
        <f t="shared" si="18"/>
        <v>1</v>
      </c>
    </row>
    <row r="297" customHeight="1" spans="2:13">
      <c r="B297" s="59">
        <v>294</v>
      </c>
      <c r="C297" s="87"/>
      <c r="D297" s="87"/>
      <c r="E297" s="87"/>
      <c r="F297" s="60" t="str">
        <f>IFERROR(VLOOKUP($E297,'基础-办公用品信息'!$C:$E,2,FALSE),"-")</f>
        <v>-</v>
      </c>
      <c r="G297" s="60" t="str">
        <f>IFERROR(VLOOKUP($E297,'基础-办公用品信息'!$C:$E,3,FALSE),"-")</f>
        <v>-</v>
      </c>
      <c r="H297" s="126" t="str">
        <f>IFERROR(VLOOKUP($E297,'基础-办公用品信息'!$C:$F,4,FALSE),"-")</f>
        <v>-</v>
      </c>
      <c r="I297" s="87"/>
      <c r="J297" s="61" t="str">
        <f t="shared" si="16"/>
        <v>-</v>
      </c>
      <c r="K297" s="87"/>
      <c r="L297" s="60">
        <f t="shared" si="17"/>
        <v>1900</v>
      </c>
      <c r="M297" s="60">
        <f t="shared" si="18"/>
        <v>1</v>
      </c>
    </row>
    <row r="298" customHeight="1" spans="2:13">
      <c r="B298" s="59">
        <v>295</v>
      </c>
      <c r="C298" s="87"/>
      <c r="D298" s="87"/>
      <c r="E298" s="87"/>
      <c r="F298" s="60" t="str">
        <f>IFERROR(VLOOKUP($E298,'基础-办公用品信息'!$C:$E,2,FALSE),"-")</f>
        <v>-</v>
      </c>
      <c r="G298" s="60" t="str">
        <f>IFERROR(VLOOKUP($E298,'基础-办公用品信息'!$C:$E,3,FALSE),"-")</f>
        <v>-</v>
      </c>
      <c r="H298" s="126" t="str">
        <f>IFERROR(VLOOKUP($E298,'基础-办公用品信息'!$C:$F,4,FALSE),"-")</f>
        <v>-</v>
      </c>
      <c r="I298" s="87"/>
      <c r="J298" s="61" t="str">
        <f t="shared" si="16"/>
        <v>-</v>
      </c>
      <c r="K298" s="87"/>
      <c r="L298" s="60">
        <f t="shared" si="17"/>
        <v>1900</v>
      </c>
      <c r="M298" s="60">
        <f t="shared" si="18"/>
        <v>1</v>
      </c>
    </row>
    <row r="299" customHeight="1" spans="2:13">
      <c r="B299" s="59">
        <v>296</v>
      </c>
      <c r="C299" s="87"/>
      <c r="D299" s="87"/>
      <c r="E299" s="87"/>
      <c r="F299" s="60" t="str">
        <f>IFERROR(VLOOKUP($E299,'基础-办公用品信息'!$C:$E,2,FALSE),"-")</f>
        <v>-</v>
      </c>
      <c r="G299" s="60" t="str">
        <f>IFERROR(VLOOKUP($E299,'基础-办公用品信息'!$C:$E,3,FALSE),"-")</f>
        <v>-</v>
      </c>
      <c r="H299" s="126" t="str">
        <f>IFERROR(VLOOKUP($E299,'基础-办公用品信息'!$C:$F,4,FALSE),"-")</f>
        <v>-</v>
      </c>
      <c r="I299" s="87"/>
      <c r="J299" s="61" t="str">
        <f t="shared" si="16"/>
        <v>-</v>
      </c>
      <c r="K299" s="87"/>
      <c r="L299" s="60">
        <f t="shared" si="17"/>
        <v>1900</v>
      </c>
      <c r="M299" s="60">
        <f t="shared" si="18"/>
        <v>1</v>
      </c>
    </row>
    <row r="300" customHeight="1" spans="2:13">
      <c r="B300" s="59">
        <v>297</v>
      </c>
      <c r="C300" s="87"/>
      <c r="D300" s="87"/>
      <c r="E300" s="87"/>
      <c r="F300" s="60" t="str">
        <f>IFERROR(VLOOKUP($E300,'基础-办公用品信息'!$C:$E,2,FALSE),"-")</f>
        <v>-</v>
      </c>
      <c r="G300" s="60" t="str">
        <f>IFERROR(VLOOKUP($E300,'基础-办公用品信息'!$C:$E,3,FALSE),"-")</f>
        <v>-</v>
      </c>
      <c r="H300" s="126" t="str">
        <f>IFERROR(VLOOKUP($E300,'基础-办公用品信息'!$C:$F,4,FALSE),"-")</f>
        <v>-</v>
      </c>
      <c r="I300" s="87"/>
      <c r="J300" s="61" t="str">
        <f t="shared" si="16"/>
        <v>-</v>
      </c>
      <c r="K300" s="87"/>
      <c r="L300" s="60">
        <f t="shared" si="17"/>
        <v>1900</v>
      </c>
      <c r="M300" s="60">
        <f t="shared" si="18"/>
        <v>1</v>
      </c>
    </row>
    <row r="301" customHeight="1" spans="2:13">
      <c r="B301" s="59">
        <v>298</v>
      </c>
      <c r="C301" s="87"/>
      <c r="D301" s="87"/>
      <c r="E301" s="87"/>
      <c r="F301" s="60" t="str">
        <f>IFERROR(VLOOKUP($E301,'基础-办公用品信息'!$C:$E,2,FALSE),"-")</f>
        <v>-</v>
      </c>
      <c r="G301" s="60" t="str">
        <f>IFERROR(VLOOKUP($E301,'基础-办公用品信息'!$C:$E,3,FALSE),"-")</f>
        <v>-</v>
      </c>
      <c r="H301" s="126" t="str">
        <f>IFERROR(VLOOKUP($E301,'基础-办公用品信息'!$C:$F,4,FALSE),"-")</f>
        <v>-</v>
      </c>
      <c r="I301" s="87"/>
      <c r="J301" s="61" t="str">
        <f t="shared" si="16"/>
        <v>-</v>
      </c>
      <c r="K301" s="87"/>
      <c r="L301" s="60">
        <f t="shared" si="17"/>
        <v>1900</v>
      </c>
      <c r="M301" s="60">
        <f t="shared" si="18"/>
        <v>1</v>
      </c>
    </row>
    <row r="302" customHeight="1" spans="2:13">
      <c r="B302" s="59">
        <v>299</v>
      </c>
      <c r="C302" s="87"/>
      <c r="D302" s="87"/>
      <c r="E302" s="87"/>
      <c r="F302" s="60" t="str">
        <f>IFERROR(VLOOKUP($E302,'基础-办公用品信息'!$C:$E,2,FALSE),"-")</f>
        <v>-</v>
      </c>
      <c r="G302" s="60" t="str">
        <f>IFERROR(VLOOKUP($E302,'基础-办公用品信息'!$C:$E,3,FALSE),"-")</f>
        <v>-</v>
      </c>
      <c r="H302" s="126" t="str">
        <f>IFERROR(VLOOKUP($E302,'基础-办公用品信息'!$C:$F,4,FALSE),"-")</f>
        <v>-</v>
      </c>
      <c r="I302" s="87"/>
      <c r="J302" s="61" t="str">
        <f t="shared" si="16"/>
        <v>-</v>
      </c>
      <c r="K302" s="87"/>
      <c r="L302" s="60">
        <f t="shared" si="17"/>
        <v>1900</v>
      </c>
      <c r="M302" s="60">
        <f t="shared" si="18"/>
        <v>1</v>
      </c>
    </row>
    <row r="303" customHeight="1" spans="2:13">
      <c r="B303" s="59">
        <v>300</v>
      </c>
      <c r="C303" s="87"/>
      <c r="D303" s="87"/>
      <c r="E303" s="87"/>
      <c r="F303" s="60" t="str">
        <f>IFERROR(VLOOKUP($E303,'基础-办公用品信息'!$C:$E,2,FALSE),"-")</f>
        <v>-</v>
      </c>
      <c r="G303" s="60" t="str">
        <f>IFERROR(VLOOKUP($E303,'基础-办公用品信息'!$C:$E,3,FALSE),"-")</f>
        <v>-</v>
      </c>
      <c r="H303" s="126" t="str">
        <f>IFERROR(VLOOKUP($E303,'基础-办公用品信息'!$C:$F,4,FALSE),"-")</f>
        <v>-</v>
      </c>
      <c r="I303" s="87"/>
      <c r="J303" s="61" t="str">
        <f t="shared" si="16"/>
        <v>-</v>
      </c>
      <c r="K303" s="87"/>
      <c r="L303" s="60">
        <f t="shared" si="17"/>
        <v>1900</v>
      </c>
      <c r="M303" s="60">
        <f t="shared" si="18"/>
        <v>1</v>
      </c>
    </row>
    <row r="304" customHeight="1" spans="2:13">
      <c r="B304" s="59">
        <v>301</v>
      </c>
      <c r="C304" s="87"/>
      <c r="D304" s="87"/>
      <c r="E304" s="87"/>
      <c r="F304" s="60" t="str">
        <f>IFERROR(VLOOKUP($E304,'基础-办公用品信息'!$C:$E,2,FALSE),"-")</f>
        <v>-</v>
      </c>
      <c r="G304" s="60" t="str">
        <f>IFERROR(VLOOKUP($E304,'基础-办公用品信息'!$C:$E,3,FALSE),"-")</f>
        <v>-</v>
      </c>
      <c r="H304" s="126" t="str">
        <f>IFERROR(VLOOKUP($E304,'基础-办公用品信息'!$C:$F,4,FALSE),"-")</f>
        <v>-</v>
      </c>
      <c r="I304" s="87"/>
      <c r="J304" s="61" t="str">
        <f t="shared" si="16"/>
        <v>-</v>
      </c>
      <c r="K304" s="87"/>
      <c r="L304" s="60">
        <f t="shared" si="17"/>
        <v>1900</v>
      </c>
      <c r="M304" s="60">
        <f t="shared" si="18"/>
        <v>1</v>
      </c>
    </row>
    <row r="305" customHeight="1" spans="2:13">
      <c r="B305" s="59">
        <v>302</v>
      </c>
      <c r="C305" s="87"/>
      <c r="D305" s="87"/>
      <c r="E305" s="87"/>
      <c r="F305" s="60" t="str">
        <f>IFERROR(VLOOKUP($E305,'基础-办公用品信息'!$C:$E,2,FALSE),"-")</f>
        <v>-</v>
      </c>
      <c r="G305" s="60" t="str">
        <f>IFERROR(VLOOKUP($E305,'基础-办公用品信息'!$C:$E,3,FALSE),"-")</f>
        <v>-</v>
      </c>
      <c r="H305" s="126" t="str">
        <f>IFERROR(VLOOKUP($E305,'基础-办公用品信息'!$C:$F,4,FALSE),"-")</f>
        <v>-</v>
      </c>
      <c r="I305" s="87"/>
      <c r="J305" s="61" t="str">
        <f t="shared" si="16"/>
        <v>-</v>
      </c>
      <c r="K305" s="87"/>
      <c r="L305" s="60">
        <f t="shared" si="17"/>
        <v>1900</v>
      </c>
      <c r="M305" s="60">
        <f t="shared" si="18"/>
        <v>1</v>
      </c>
    </row>
    <row r="306" customHeight="1" spans="2:13">
      <c r="B306" s="59">
        <v>303</v>
      </c>
      <c r="C306" s="87"/>
      <c r="D306" s="87"/>
      <c r="E306" s="87"/>
      <c r="F306" s="60" t="str">
        <f>IFERROR(VLOOKUP($E306,'基础-办公用品信息'!$C:$E,2,FALSE),"-")</f>
        <v>-</v>
      </c>
      <c r="G306" s="60" t="str">
        <f>IFERROR(VLOOKUP($E306,'基础-办公用品信息'!$C:$E,3,FALSE),"-")</f>
        <v>-</v>
      </c>
      <c r="H306" s="126" t="str">
        <f>IFERROR(VLOOKUP($E306,'基础-办公用品信息'!$C:$F,4,FALSE),"-")</f>
        <v>-</v>
      </c>
      <c r="I306" s="87"/>
      <c r="J306" s="61" t="str">
        <f t="shared" si="16"/>
        <v>-</v>
      </c>
      <c r="K306" s="87"/>
      <c r="L306" s="60">
        <f t="shared" si="17"/>
        <v>1900</v>
      </c>
      <c r="M306" s="60">
        <f t="shared" si="18"/>
        <v>1</v>
      </c>
    </row>
    <row r="307" customHeight="1" spans="2:13">
      <c r="B307" s="59">
        <v>304</v>
      </c>
      <c r="C307" s="87"/>
      <c r="D307" s="87"/>
      <c r="E307" s="87"/>
      <c r="F307" s="60" t="str">
        <f>IFERROR(VLOOKUP($E307,'基础-办公用品信息'!$C:$E,2,FALSE),"-")</f>
        <v>-</v>
      </c>
      <c r="G307" s="60" t="str">
        <f>IFERROR(VLOOKUP($E307,'基础-办公用品信息'!$C:$E,3,FALSE),"-")</f>
        <v>-</v>
      </c>
      <c r="H307" s="126" t="str">
        <f>IFERROR(VLOOKUP($E307,'基础-办公用品信息'!$C:$F,4,FALSE),"-")</f>
        <v>-</v>
      </c>
      <c r="I307" s="87"/>
      <c r="J307" s="61" t="str">
        <f t="shared" si="16"/>
        <v>-</v>
      </c>
      <c r="K307" s="87"/>
      <c r="L307" s="60">
        <f t="shared" si="17"/>
        <v>1900</v>
      </c>
      <c r="M307" s="60">
        <f t="shared" si="18"/>
        <v>1</v>
      </c>
    </row>
    <row r="308" customHeight="1" spans="2:13">
      <c r="B308" s="59">
        <v>305</v>
      </c>
      <c r="C308" s="87"/>
      <c r="D308" s="87"/>
      <c r="E308" s="87"/>
      <c r="F308" s="60" t="str">
        <f>IFERROR(VLOOKUP($E308,'基础-办公用品信息'!$C:$E,2,FALSE),"-")</f>
        <v>-</v>
      </c>
      <c r="G308" s="60" t="str">
        <f>IFERROR(VLOOKUP($E308,'基础-办公用品信息'!$C:$E,3,FALSE),"-")</f>
        <v>-</v>
      </c>
      <c r="H308" s="126" t="str">
        <f>IFERROR(VLOOKUP($E308,'基础-办公用品信息'!$C:$F,4,FALSE),"-")</f>
        <v>-</v>
      </c>
      <c r="I308" s="87"/>
      <c r="J308" s="61" t="str">
        <f t="shared" si="16"/>
        <v>-</v>
      </c>
      <c r="K308" s="87"/>
      <c r="L308" s="60">
        <f t="shared" si="17"/>
        <v>1900</v>
      </c>
      <c r="M308" s="60">
        <f t="shared" si="18"/>
        <v>1</v>
      </c>
    </row>
    <row r="309" customHeight="1" spans="2:13">
      <c r="B309" s="59">
        <v>306</v>
      </c>
      <c r="C309" s="87"/>
      <c r="D309" s="87"/>
      <c r="E309" s="87"/>
      <c r="F309" s="60" t="str">
        <f>IFERROR(VLOOKUP($E309,'基础-办公用品信息'!$C:$E,2,FALSE),"-")</f>
        <v>-</v>
      </c>
      <c r="G309" s="60" t="str">
        <f>IFERROR(VLOOKUP($E309,'基础-办公用品信息'!$C:$E,3,FALSE),"-")</f>
        <v>-</v>
      </c>
      <c r="H309" s="126" t="str">
        <f>IFERROR(VLOOKUP($E309,'基础-办公用品信息'!$C:$F,4,FALSE),"-")</f>
        <v>-</v>
      </c>
      <c r="I309" s="87"/>
      <c r="J309" s="61" t="str">
        <f t="shared" si="16"/>
        <v>-</v>
      </c>
      <c r="K309" s="87"/>
      <c r="L309" s="60">
        <f t="shared" si="17"/>
        <v>1900</v>
      </c>
      <c r="M309" s="60">
        <f t="shared" si="18"/>
        <v>1</v>
      </c>
    </row>
    <row r="310" customHeight="1" spans="2:13">
      <c r="B310" s="59">
        <v>307</v>
      </c>
      <c r="C310" s="87"/>
      <c r="D310" s="87"/>
      <c r="E310" s="87"/>
      <c r="F310" s="60" t="str">
        <f>IFERROR(VLOOKUP($E310,'基础-办公用品信息'!$C:$E,2,FALSE),"-")</f>
        <v>-</v>
      </c>
      <c r="G310" s="60" t="str">
        <f>IFERROR(VLOOKUP($E310,'基础-办公用品信息'!$C:$E,3,FALSE),"-")</f>
        <v>-</v>
      </c>
      <c r="H310" s="126" t="str">
        <f>IFERROR(VLOOKUP($E310,'基础-办公用品信息'!$C:$F,4,FALSE),"-")</f>
        <v>-</v>
      </c>
      <c r="I310" s="87"/>
      <c r="J310" s="61" t="str">
        <f t="shared" si="16"/>
        <v>-</v>
      </c>
      <c r="K310" s="87"/>
      <c r="L310" s="60">
        <f t="shared" si="17"/>
        <v>1900</v>
      </c>
      <c r="M310" s="60">
        <f t="shared" si="18"/>
        <v>1</v>
      </c>
    </row>
    <row r="311" customHeight="1" spans="2:13">
      <c r="B311" s="59">
        <v>308</v>
      </c>
      <c r="C311" s="87"/>
      <c r="D311" s="87"/>
      <c r="E311" s="87"/>
      <c r="F311" s="60" t="str">
        <f>IFERROR(VLOOKUP($E311,'基础-办公用品信息'!$C:$E,2,FALSE),"-")</f>
        <v>-</v>
      </c>
      <c r="G311" s="60" t="str">
        <f>IFERROR(VLOOKUP($E311,'基础-办公用品信息'!$C:$E,3,FALSE),"-")</f>
        <v>-</v>
      </c>
      <c r="H311" s="126" t="str">
        <f>IFERROR(VLOOKUP($E311,'基础-办公用品信息'!$C:$F,4,FALSE),"-")</f>
        <v>-</v>
      </c>
      <c r="I311" s="87"/>
      <c r="J311" s="61" t="str">
        <f t="shared" ref="J311:J374" si="19">IF(AND(H311&lt;&gt;"",I311&lt;&gt;""),H311*I311,"-")</f>
        <v>-</v>
      </c>
      <c r="K311" s="87"/>
      <c r="L311" s="60">
        <f t="shared" ref="L311:L374" si="20">YEAR(C311)</f>
        <v>1900</v>
      </c>
      <c r="M311" s="60">
        <f t="shared" ref="M311:M374" si="21">MONTH(C311)</f>
        <v>1</v>
      </c>
    </row>
    <row r="312" customHeight="1" spans="2:13">
      <c r="B312" s="59">
        <v>309</v>
      </c>
      <c r="C312" s="87"/>
      <c r="D312" s="87"/>
      <c r="E312" s="87"/>
      <c r="F312" s="60" t="str">
        <f>IFERROR(VLOOKUP($E312,'基础-办公用品信息'!$C:$E,2,FALSE),"-")</f>
        <v>-</v>
      </c>
      <c r="G312" s="60" t="str">
        <f>IFERROR(VLOOKUP($E312,'基础-办公用品信息'!$C:$E,3,FALSE),"-")</f>
        <v>-</v>
      </c>
      <c r="H312" s="126" t="str">
        <f>IFERROR(VLOOKUP($E312,'基础-办公用品信息'!$C:$F,4,FALSE),"-")</f>
        <v>-</v>
      </c>
      <c r="I312" s="87"/>
      <c r="J312" s="61" t="str">
        <f t="shared" si="19"/>
        <v>-</v>
      </c>
      <c r="K312" s="87"/>
      <c r="L312" s="60">
        <f t="shared" si="20"/>
        <v>1900</v>
      </c>
      <c r="M312" s="60">
        <f t="shared" si="21"/>
        <v>1</v>
      </c>
    </row>
    <row r="313" customHeight="1" spans="2:13">
      <c r="B313" s="59">
        <v>310</v>
      </c>
      <c r="C313" s="87"/>
      <c r="D313" s="87"/>
      <c r="E313" s="87"/>
      <c r="F313" s="60" t="str">
        <f>IFERROR(VLOOKUP($E313,'基础-办公用品信息'!$C:$E,2,FALSE),"-")</f>
        <v>-</v>
      </c>
      <c r="G313" s="60" t="str">
        <f>IFERROR(VLOOKUP($E313,'基础-办公用品信息'!$C:$E,3,FALSE),"-")</f>
        <v>-</v>
      </c>
      <c r="H313" s="126" t="str">
        <f>IFERROR(VLOOKUP($E313,'基础-办公用品信息'!$C:$F,4,FALSE),"-")</f>
        <v>-</v>
      </c>
      <c r="I313" s="87"/>
      <c r="J313" s="61" t="str">
        <f t="shared" si="19"/>
        <v>-</v>
      </c>
      <c r="K313" s="87"/>
      <c r="L313" s="60">
        <f t="shared" si="20"/>
        <v>1900</v>
      </c>
      <c r="M313" s="60">
        <f t="shared" si="21"/>
        <v>1</v>
      </c>
    </row>
    <row r="314" customHeight="1" spans="2:13">
      <c r="B314" s="59">
        <v>311</v>
      </c>
      <c r="C314" s="87"/>
      <c r="D314" s="87"/>
      <c r="E314" s="87"/>
      <c r="F314" s="60" t="str">
        <f>IFERROR(VLOOKUP($E314,'基础-办公用品信息'!$C:$E,2,FALSE),"-")</f>
        <v>-</v>
      </c>
      <c r="G314" s="60" t="str">
        <f>IFERROR(VLOOKUP($E314,'基础-办公用品信息'!$C:$E,3,FALSE),"-")</f>
        <v>-</v>
      </c>
      <c r="H314" s="126" t="str">
        <f>IFERROR(VLOOKUP($E314,'基础-办公用品信息'!$C:$F,4,FALSE),"-")</f>
        <v>-</v>
      </c>
      <c r="I314" s="87"/>
      <c r="J314" s="61" t="str">
        <f t="shared" si="19"/>
        <v>-</v>
      </c>
      <c r="K314" s="87"/>
      <c r="L314" s="60">
        <f t="shared" si="20"/>
        <v>1900</v>
      </c>
      <c r="M314" s="60">
        <f t="shared" si="21"/>
        <v>1</v>
      </c>
    </row>
    <row r="315" customHeight="1" spans="2:13">
      <c r="B315" s="59">
        <v>312</v>
      </c>
      <c r="C315" s="87"/>
      <c r="D315" s="87"/>
      <c r="E315" s="87"/>
      <c r="F315" s="60" t="str">
        <f>IFERROR(VLOOKUP($E315,'基础-办公用品信息'!$C:$E,2,FALSE),"-")</f>
        <v>-</v>
      </c>
      <c r="G315" s="60" t="str">
        <f>IFERROR(VLOOKUP($E315,'基础-办公用品信息'!$C:$E,3,FALSE),"-")</f>
        <v>-</v>
      </c>
      <c r="H315" s="126" t="str">
        <f>IFERROR(VLOOKUP($E315,'基础-办公用品信息'!$C:$F,4,FALSE),"-")</f>
        <v>-</v>
      </c>
      <c r="I315" s="87"/>
      <c r="J315" s="61" t="str">
        <f t="shared" si="19"/>
        <v>-</v>
      </c>
      <c r="K315" s="87"/>
      <c r="L315" s="60">
        <f t="shared" si="20"/>
        <v>1900</v>
      </c>
      <c r="M315" s="60">
        <f t="shared" si="21"/>
        <v>1</v>
      </c>
    </row>
    <row r="316" customHeight="1" spans="2:13">
      <c r="B316" s="59">
        <v>313</v>
      </c>
      <c r="C316" s="87"/>
      <c r="D316" s="87"/>
      <c r="E316" s="87"/>
      <c r="F316" s="60" t="str">
        <f>IFERROR(VLOOKUP($E316,'基础-办公用品信息'!$C:$E,2,FALSE),"-")</f>
        <v>-</v>
      </c>
      <c r="G316" s="60" t="str">
        <f>IFERROR(VLOOKUP($E316,'基础-办公用品信息'!$C:$E,3,FALSE),"-")</f>
        <v>-</v>
      </c>
      <c r="H316" s="126" t="str">
        <f>IFERROR(VLOOKUP($E316,'基础-办公用品信息'!$C:$F,4,FALSE),"-")</f>
        <v>-</v>
      </c>
      <c r="I316" s="87"/>
      <c r="J316" s="61" t="str">
        <f t="shared" si="19"/>
        <v>-</v>
      </c>
      <c r="K316" s="87"/>
      <c r="L316" s="60">
        <f t="shared" si="20"/>
        <v>1900</v>
      </c>
      <c r="M316" s="60">
        <f t="shared" si="21"/>
        <v>1</v>
      </c>
    </row>
    <row r="317" customHeight="1" spans="2:13">
      <c r="B317" s="59">
        <v>314</v>
      </c>
      <c r="C317" s="87"/>
      <c r="D317" s="87"/>
      <c r="E317" s="87"/>
      <c r="F317" s="60" t="str">
        <f>IFERROR(VLOOKUP($E317,'基础-办公用品信息'!$C:$E,2,FALSE),"-")</f>
        <v>-</v>
      </c>
      <c r="G317" s="60" t="str">
        <f>IFERROR(VLOOKUP($E317,'基础-办公用品信息'!$C:$E,3,FALSE),"-")</f>
        <v>-</v>
      </c>
      <c r="H317" s="126" t="str">
        <f>IFERROR(VLOOKUP($E317,'基础-办公用品信息'!$C:$F,4,FALSE),"-")</f>
        <v>-</v>
      </c>
      <c r="I317" s="87"/>
      <c r="J317" s="61" t="str">
        <f t="shared" si="19"/>
        <v>-</v>
      </c>
      <c r="K317" s="87"/>
      <c r="L317" s="60">
        <f t="shared" si="20"/>
        <v>1900</v>
      </c>
      <c r="M317" s="60">
        <f t="shared" si="21"/>
        <v>1</v>
      </c>
    </row>
    <row r="318" customHeight="1" spans="2:13">
      <c r="B318" s="59">
        <v>315</v>
      </c>
      <c r="C318" s="87"/>
      <c r="D318" s="87"/>
      <c r="E318" s="87"/>
      <c r="F318" s="60" t="str">
        <f>IFERROR(VLOOKUP($E318,'基础-办公用品信息'!$C:$E,2,FALSE),"-")</f>
        <v>-</v>
      </c>
      <c r="G318" s="60" t="str">
        <f>IFERROR(VLOOKUP($E318,'基础-办公用品信息'!$C:$E,3,FALSE),"-")</f>
        <v>-</v>
      </c>
      <c r="H318" s="126" t="str">
        <f>IFERROR(VLOOKUP($E318,'基础-办公用品信息'!$C:$F,4,FALSE),"-")</f>
        <v>-</v>
      </c>
      <c r="I318" s="87"/>
      <c r="J318" s="61" t="str">
        <f t="shared" si="19"/>
        <v>-</v>
      </c>
      <c r="K318" s="87"/>
      <c r="L318" s="60">
        <f t="shared" si="20"/>
        <v>1900</v>
      </c>
      <c r="M318" s="60">
        <f t="shared" si="21"/>
        <v>1</v>
      </c>
    </row>
    <row r="319" customHeight="1" spans="2:13">
      <c r="B319" s="59">
        <v>316</v>
      </c>
      <c r="C319" s="87"/>
      <c r="D319" s="87"/>
      <c r="E319" s="87"/>
      <c r="F319" s="60" t="str">
        <f>IFERROR(VLOOKUP($E319,'基础-办公用品信息'!$C:$E,2,FALSE),"-")</f>
        <v>-</v>
      </c>
      <c r="G319" s="60" t="str">
        <f>IFERROR(VLOOKUP($E319,'基础-办公用品信息'!$C:$E,3,FALSE),"-")</f>
        <v>-</v>
      </c>
      <c r="H319" s="126" t="str">
        <f>IFERROR(VLOOKUP($E319,'基础-办公用品信息'!$C:$F,4,FALSE),"-")</f>
        <v>-</v>
      </c>
      <c r="I319" s="87"/>
      <c r="J319" s="61" t="str">
        <f t="shared" si="19"/>
        <v>-</v>
      </c>
      <c r="K319" s="87"/>
      <c r="L319" s="60">
        <f t="shared" si="20"/>
        <v>1900</v>
      </c>
      <c r="M319" s="60">
        <f t="shared" si="21"/>
        <v>1</v>
      </c>
    </row>
    <row r="320" customHeight="1" spans="2:13">
      <c r="B320" s="59">
        <v>317</v>
      </c>
      <c r="C320" s="87"/>
      <c r="D320" s="87"/>
      <c r="E320" s="87"/>
      <c r="F320" s="60" t="str">
        <f>IFERROR(VLOOKUP($E320,'基础-办公用品信息'!$C:$E,2,FALSE),"-")</f>
        <v>-</v>
      </c>
      <c r="G320" s="60" t="str">
        <f>IFERROR(VLOOKUP($E320,'基础-办公用品信息'!$C:$E,3,FALSE),"-")</f>
        <v>-</v>
      </c>
      <c r="H320" s="126" t="str">
        <f>IFERROR(VLOOKUP($E320,'基础-办公用品信息'!$C:$F,4,FALSE),"-")</f>
        <v>-</v>
      </c>
      <c r="I320" s="87"/>
      <c r="J320" s="61" t="str">
        <f t="shared" si="19"/>
        <v>-</v>
      </c>
      <c r="K320" s="87"/>
      <c r="L320" s="60">
        <f t="shared" si="20"/>
        <v>1900</v>
      </c>
      <c r="M320" s="60">
        <f t="shared" si="21"/>
        <v>1</v>
      </c>
    </row>
    <row r="321" customHeight="1" spans="2:13">
      <c r="B321" s="59">
        <v>318</v>
      </c>
      <c r="C321" s="87"/>
      <c r="D321" s="87"/>
      <c r="E321" s="87"/>
      <c r="F321" s="60" t="str">
        <f>IFERROR(VLOOKUP($E321,'基础-办公用品信息'!$C:$E,2,FALSE),"-")</f>
        <v>-</v>
      </c>
      <c r="G321" s="60" t="str">
        <f>IFERROR(VLOOKUP($E321,'基础-办公用品信息'!$C:$E,3,FALSE),"-")</f>
        <v>-</v>
      </c>
      <c r="H321" s="126" t="str">
        <f>IFERROR(VLOOKUP($E321,'基础-办公用品信息'!$C:$F,4,FALSE),"-")</f>
        <v>-</v>
      </c>
      <c r="I321" s="87"/>
      <c r="J321" s="61" t="str">
        <f t="shared" si="19"/>
        <v>-</v>
      </c>
      <c r="K321" s="87"/>
      <c r="L321" s="60">
        <f t="shared" si="20"/>
        <v>1900</v>
      </c>
      <c r="M321" s="60">
        <f t="shared" si="21"/>
        <v>1</v>
      </c>
    </row>
    <row r="322" customHeight="1" spans="2:13">
      <c r="B322" s="59">
        <v>319</v>
      </c>
      <c r="C322" s="87"/>
      <c r="D322" s="87"/>
      <c r="E322" s="87"/>
      <c r="F322" s="60" t="str">
        <f>IFERROR(VLOOKUP($E322,'基础-办公用品信息'!$C:$E,2,FALSE),"-")</f>
        <v>-</v>
      </c>
      <c r="G322" s="60" t="str">
        <f>IFERROR(VLOOKUP($E322,'基础-办公用品信息'!$C:$E,3,FALSE),"-")</f>
        <v>-</v>
      </c>
      <c r="H322" s="126" t="str">
        <f>IFERROR(VLOOKUP($E322,'基础-办公用品信息'!$C:$F,4,FALSE),"-")</f>
        <v>-</v>
      </c>
      <c r="I322" s="87"/>
      <c r="J322" s="61" t="str">
        <f t="shared" si="19"/>
        <v>-</v>
      </c>
      <c r="K322" s="87"/>
      <c r="L322" s="60">
        <f t="shared" si="20"/>
        <v>1900</v>
      </c>
      <c r="M322" s="60">
        <f t="shared" si="21"/>
        <v>1</v>
      </c>
    </row>
    <row r="323" customHeight="1" spans="2:13">
      <c r="B323" s="59">
        <v>320</v>
      </c>
      <c r="C323" s="87"/>
      <c r="D323" s="87"/>
      <c r="E323" s="87"/>
      <c r="F323" s="60" t="str">
        <f>IFERROR(VLOOKUP($E323,'基础-办公用品信息'!$C:$E,2,FALSE),"-")</f>
        <v>-</v>
      </c>
      <c r="G323" s="60" t="str">
        <f>IFERROR(VLOOKUP($E323,'基础-办公用品信息'!$C:$E,3,FALSE),"-")</f>
        <v>-</v>
      </c>
      <c r="H323" s="126" t="str">
        <f>IFERROR(VLOOKUP($E323,'基础-办公用品信息'!$C:$F,4,FALSE),"-")</f>
        <v>-</v>
      </c>
      <c r="I323" s="87"/>
      <c r="J323" s="61" t="str">
        <f t="shared" si="19"/>
        <v>-</v>
      </c>
      <c r="K323" s="87"/>
      <c r="L323" s="60">
        <f t="shared" si="20"/>
        <v>1900</v>
      </c>
      <c r="M323" s="60">
        <f t="shared" si="21"/>
        <v>1</v>
      </c>
    </row>
    <row r="324" customHeight="1" spans="2:13">
      <c r="B324" s="59">
        <v>321</v>
      </c>
      <c r="C324" s="87"/>
      <c r="D324" s="87"/>
      <c r="E324" s="87"/>
      <c r="F324" s="60" t="str">
        <f>IFERROR(VLOOKUP($E324,'基础-办公用品信息'!$C:$E,2,FALSE),"-")</f>
        <v>-</v>
      </c>
      <c r="G324" s="60" t="str">
        <f>IFERROR(VLOOKUP($E324,'基础-办公用品信息'!$C:$E,3,FALSE),"-")</f>
        <v>-</v>
      </c>
      <c r="H324" s="126" t="str">
        <f>IFERROR(VLOOKUP($E324,'基础-办公用品信息'!$C:$F,4,FALSE),"-")</f>
        <v>-</v>
      </c>
      <c r="I324" s="87"/>
      <c r="J324" s="61" t="str">
        <f t="shared" si="19"/>
        <v>-</v>
      </c>
      <c r="K324" s="87"/>
      <c r="L324" s="60">
        <f t="shared" si="20"/>
        <v>1900</v>
      </c>
      <c r="M324" s="60">
        <f t="shared" si="21"/>
        <v>1</v>
      </c>
    </row>
    <row r="325" customHeight="1" spans="2:13">
      <c r="B325" s="59">
        <v>322</v>
      </c>
      <c r="C325" s="87"/>
      <c r="D325" s="87"/>
      <c r="E325" s="87"/>
      <c r="F325" s="60" t="str">
        <f>IFERROR(VLOOKUP($E325,'基础-办公用品信息'!$C:$E,2,FALSE),"-")</f>
        <v>-</v>
      </c>
      <c r="G325" s="60" t="str">
        <f>IFERROR(VLOOKUP($E325,'基础-办公用品信息'!$C:$E,3,FALSE),"-")</f>
        <v>-</v>
      </c>
      <c r="H325" s="126" t="str">
        <f>IFERROR(VLOOKUP($E325,'基础-办公用品信息'!$C:$F,4,FALSE),"-")</f>
        <v>-</v>
      </c>
      <c r="I325" s="87"/>
      <c r="J325" s="61" t="str">
        <f t="shared" si="19"/>
        <v>-</v>
      </c>
      <c r="K325" s="87"/>
      <c r="L325" s="60">
        <f t="shared" si="20"/>
        <v>1900</v>
      </c>
      <c r="M325" s="60">
        <f t="shared" si="21"/>
        <v>1</v>
      </c>
    </row>
    <row r="326" customHeight="1" spans="2:13">
      <c r="B326" s="59">
        <v>323</v>
      </c>
      <c r="C326" s="87"/>
      <c r="D326" s="87"/>
      <c r="E326" s="87"/>
      <c r="F326" s="60" t="str">
        <f>IFERROR(VLOOKUP($E326,'基础-办公用品信息'!$C:$E,2,FALSE),"-")</f>
        <v>-</v>
      </c>
      <c r="G326" s="60" t="str">
        <f>IFERROR(VLOOKUP($E326,'基础-办公用品信息'!$C:$E,3,FALSE),"-")</f>
        <v>-</v>
      </c>
      <c r="H326" s="126" t="str">
        <f>IFERROR(VLOOKUP($E326,'基础-办公用品信息'!$C:$F,4,FALSE),"-")</f>
        <v>-</v>
      </c>
      <c r="I326" s="87"/>
      <c r="J326" s="61" t="str">
        <f t="shared" si="19"/>
        <v>-</v>
      </c>
      <c r="K326" s="87"/>
      <c r="L326" s="60">
        <f t="shared" si="20"/>
        <v>1900</v>
      </c>
      <c r="M326" s="60">
        <f t="shared" si="21"/>
        <v>1</v>
      </c>
    </row>
    <row r="327" customHeight="1" spans="2:13">
      <c r="B327" s="59">
        <v>324</v>
      </c>
      <c r="C327" s="87"/>
      <c r="D327" s="87"/>
      <c r="E327" s="87"/>
      <c r="F327" s="60" t="str">
        <f>IFERROR(VLOOKUP($E327,'基础-办公用品信息'!$C:$E,2,FALSE),"-")</f>
        <v>-</v>
      </c>
      <c r="G327" s="60" t="str">
        <f>IFERROR(VLOOKUP($E327,'基础-办公用品信息'!$C:$E,3,FALSE),"-")</f>
        <v>-</v>
      </c>
      <c r="H327" s="126" t="str">
        <f>IFERROR(VLOOKUP($E327,'基础-办公用品信息'!$C:$F,4,FALSE),"-")</f>
        <v>-</v>
      </c>
      <c r="I327" s="87"/>
      <c r="J327" s="61" t="str">
        <f t="shared" si="19"/>
        <v>-</v>
      </c>
      <c r="K327" s="87"/>
      <c r="L327" s="60">
        <f t="shared" si="20"/>
        <v>1900</v>
      </c>
      <c r="M327" s="60">
        <f t="shared" si="21"/>
        <v>1</v>
      </c>
    </row>
    <row r="328" customHeight="1" spans="2:13">
      <c r="B328" s="59">
        <v>325</v>
      </c>
      <c r="C328" s="87"/>
      <c r="D328" s="87"/>
      <c r="E328" s="87"/>
      <c r="F328" s="60" t="str">
        <f>IFERROR(VLOOKUP($E328,'基础-办公用品信息'!$C:$E,2,FALSE),"-")</f>
        <v>-</v>
      </c>
      <c r="G328" s="60" t="str">
        <f>IFERROR(VLOOKUP($E328,'基础-办公用品信息'!$C:$E,3,FALSE),"-")</f>
        <v>-</v>
      </c>
      <c r="H328" s="126" t="str">
        <f>IFERROR(VLOOKUP($E328,'基础-办公用品信息'!$C:$F,4,FALSE),"-")</f>
        <v>-</v>
      </c>
      <c r="I328" s="87"/>
      <c r="J328" s="61" t="str">
        <f t="shared" si="19"/>
        <v>-</v>
      </c>
      <c r="K328" s="87"/>
      <c r="L328" s="60">
        <f t="shared" si="20"/>
        <v>1900</v>
      </c>
      <c r="M328" s="60">
        <f t="shared" si="21"/>
        <v>1</v>
      </c>
    </row>
    <row r="329" customHeight="1" spans="2:13">
      <c r="B329" s="59">
        <v>326</v>
      </c>
      <c r="C329" s="87"/>
      <c r="D329" s="87"/>
      <c r="E329" s="87"/>
      <c r="F329" s="60" t="str">
        <f>IFERROR(VLOOKUP($E329,'基础-办公用品信息'!$C:$E,2,FALSE),"-")</f>
        <v>-</v>
      </c>
      <c r="G329" s="60" t="str">
        <f>IFERROR(VLOOKUP($E329,'基础-办公用品信息'!$C:$E,3,FALSE),"-")</f>
        <v>-</v>
      </c>
      <c r="H329" s="126" t="str">
        <f>IFERROR(VLOOKUP($E329,'基础-办公用品信息'!$C:$F,4,FALSE),"-")</f>
        <v>-</v>
      </c>
      <c r="I329" s="87"/>
      <c r="J329" s="61" t="str">
        <f t="shared" si="19"/>
        <v>-</v>
      </c>
      <c r="K329" s="87"/>
      <c r="L329" s="60">
        <f t="shared" si="20"/>
        <v>1900</v>
      </c>
      <c r="M329" s="60">
        <f t="shared" si="21"/>
        <v>1</v>
      </c>
    </row>
    <row r="330" customHeight="1" spans="2:13">
      <c r="B330" s="59">
        <v>327</v>
      </c>
      <c r="C330" s="87"/>
      <c r="D330" s="87"/>
      <c r="E330" s="87"/>
      <c r="F330" s="60" t="str">
        <f>IFERROR(VLOOKUP($E330,'基础-办公用品信息'!$C:$E,2,FALSE),"-")</f>
        <v>-</v>
      </c>
      <c r="G330" s="60" t="str">
        <f>IFERROR(VLOOKUP($E330,'基础-办公用品信息'!$C:$E,3,FALSE),"-")</f>
        <v>-</v>
      </c>
      <c r="H330" s="126" t="str">
        <f>IFERROR(VLOOKUP($E330,'基础-办公用品信息'!$C:$F,4,FALSE),"-")</f>
        <v>-</v>
      </c>
      <c r="I330" s="87"/>
      <c r="J330" s="61" t="str">
        <f t="shared" si="19"/>
        <v>-</v>
      </c>
      <c r="K330" s="87"/>
      <c r="L330" s="60">
        <f t="shared" si="20"/>
        <v>1900</v>
      </c>
      <c r="M330" s="60">
        <f t="shared" si="21"/>
        <v>1</v>
      </c>
    </row>
    <row r="331" customHeight="1" spans="2:13">
      <c r="B331" s="59">
        <v>328</v>
      </c>
      <c r="C331" s="87"/>
      <c r="D331" s="87"/>
      <c r="E331" s="87"/>
      <c r="F331" s="60" t="str">
        <f>IFERROR(VLOOKUP($E331,'基础-办公用品信息'!$C:$E,2,FALSE),"-")</f>
        <v>-</v>
      </c>
      <c r="G331" s="60" t="str">
        <f>IFERROR(VLOOKUP($E331,'基础-办公用品信息'!$C:$E,3,FALSE),"-")</f>
        <v>-</v>
      </c>
      <c r="H331" s="126" t="str">
        <f>IFERROR(VLOOKUP($E331,'基础-办公用品信息'!$C:$F,4,FALSE),"-")</f>
        <v>-</v>
      </c>
      <c r="I331" s="87"/>
      <c r="J331" s="61" t="str">
        <f t="shared" si="19"/>
        <v>-</v>
      </c>
      <c r="K331" s="87"/>
      <c r="L331" s="60">
        <f t="shared" si="20"/>
        <v>1900</v>
      </c>
      <c r="M331" s="60">
        <f t="shared" si="21"/>
        <v>1</v>
      </c>
    </row>
    <row r="332" customHeight="1" spans="2:13">
      <c r="B332" s="59">
        <v>329</v>
      </c>
      <c r="C332" s="87"/>
      <c r="D332" s="87"/>
      <c r="E332" s="87"/>
      <c r="F332" s="60" t="str">
        <f>IFERROR(VLOOKUP($E332,'基础-办公用品信息'!$C:$E,2,FALSE),"-")</f>
        <v>-</v>
      </c>
      <c r="G332" s="60" t="str">
        <f>IFERROR(VLOOKUP($E332,'基础-办公用品信息'!$C:$E,3,FALSE),"-")</f>
        <v>-</v>
      </c>
      <c r="H332" s="126" t="str">
        <f>IFERROR(VLOOKUP($E332,'基础-办公用品信息'!$C:$F,4,FALSE),"-")</f>
        <v>-</v>
      </c>
      <c r="I332" s="87"/>
      <c r="J332" s="61" t="str">
        <f t="shared" si="19"/>
        <v>-</v>
      </c>
      <c r="K332" s="87"/>
      <c r="L332" s="60">
        <f t="shared" si="20"/>
        <v>1900</v>
      </c>
      <c r="M332" s="60">
        <f t="shared" si="21"/>
        <v>1</v>
      </c>
    </row>
    <row r="333" customHeight="1" spans="2:13">
      <c r="B333" s="59">
        <v>330</v>
      </c>
      <c r="C333" s="87"/>
      <c r="D333" s="87"/>
      <c r="E333" s="87"/>
      <c r="F333" s="60" t="str">
        <f>IFERROR(VLOOKUP($E333,'基础-办公用品信息'!$C:$E,2,FALSE),"-")</f>
        <v>-</v>
      </c>
      <c r="G333" s="60" t="str">
        <f>IFERROR(VLOOKUP($E333,'基础-办公用品信息'!$C:$E,3,FALSE),"-")</f>
        <v>-</v>
      </c>
      <c r="H333" s="126" t="str">
        <f>IFERROR(VLOOKUP($E333,'基础-办公用品信息'!$C:$F,4,FALSE),"-")</f>
        <v>-</v>
      </c>
      <c r="I333" s="87"/>
      <c r="J333" s="61" t="str">
        <f t="shared" si="19"/>
        <v>-</v>
      </c>
      <c r="K333" s="87"/>
      <c r="L333" s="60">
        <f t="shared" si="20"/>
        <v>1900</v>
      </c>
      <c r="M333" s="60">
        <f t="shared" si="21"/>
        <v>1</v>
      </c>
    </row>
    <row r="334" customHeight="1" spans="2:13">
      <c r="B334" s="59">
        <v>331</v>
      </c>
      <c r="C334" s="87"/>
      <c r="D334" s="87"/>
      <c r="E334" s="87"/>
      <c r="F334" s="60" t="str">
        <f>IFERROR(VLOOKUP($E334,'基础-办公用品信息'!$C:$E,2,FALSE),"-")</f>
        <v>-</v>
      </c>
      <c r="G334" s="60" t="str">
        <f>IFERROR(VLOOKUP($E334,'基础-办公用品信息'!$C:$E,3,FALSE),"-")</f>
        <v>-</v>
      </c>
      <c r="H334" s="126" t="str">
        <f>IFERROR(VLOOKUP($E334,'基础-办公用品信息'!$C:$F,4,FALSE),"-")</f>
        <v>-</v>
      </c>
      <c r="I334" s="87"/>
      <c r="J334" s="61" t="str">
        <f t="shared" si="19"/>
        <v>-</v>
      </c>
      <c r="K334" s="87"/>
      <c r="L334" s="60">
        <f t="shared" si="20"/>
        <v>1900</v>
      </c>
      <c r="M334" s="60">
        <f t="shared" si="21"/>
        <v>1</v>
      </c>
    </row>
    <row r="335" customHeight="1" spans="2:13">
      <c r="B335" s="59">
        <v>332</v>
      </c>
      <c r="C335" s="87"/>
      <c r="D335" s="87"/>
      <c r="E335" s="87"/>
      <c r="F335" s="60" t="str">
        <f>IFERROR(VLOOKUP($E335,'基础-办公用品信息'!$C:$E,2,FALSE),"-")</f>
        <v>-</v>
      </c>
      <c r="G335" s="60" t="str">
        <f>IFERROR(VLOOKUP($E335,'基础-办公用品信息'!$C:$E,3,FALSE),"-")</f>
        <v>-</v>
      </c>
      <c r="H335" s="126" t="str">
        <f>IFERROR(VLOOKUP($E335,'基础-办公用品信息'!$C:$F,4,FALSE),"-")</f>
        <v>-</v>
      </c>
      <c r="I335" s="87"/>
      <c r="J335" s="61" t="str">
        <f t="shared" si="19"/>
        <v>-</v>
      </c>
      <c r="K335" s="87"/>
      <c r="L335" s="60">
        <f t="shared" si="20"/>
        <v>1900</v>
      </c>
      <c r="M335" s="60">
        <f t="shared" si="21"/>
        <v>1</v>
      </c>
    </row>
    <row r="336" customHeight="1" spans="2:13">
      <c r="B336" s="59">
        <v>333</v>
      </c>
      <c r="C336" s="87"/>
      <c r="D336" s="87"/>
      <c r="E336" s="87"/>
      <c r="F336" s="60" t="str">
        <f>IFERROR(VLOOKUP($E336,'基础-办公用品信息'!$C:$E,2,FALSE),"-")</f>
        <v>-</v>
      </c>
      <c r="G336" s="60" t="str">
        <f>IFERROR(VLOOKUP($E336,'基础-办公用品信息'!$C:$E,3,FALSE),"-")</f>
        <v>-</v>
      </c>
      <c r="H336" s="126" t="str">
        <f>IFERROR(VLOOKUP($E336,'基础-办公用品信息'!$C:$F,4,FALSE),"-")</f>
        <v>-</v>
      </c>
      <c r="I336" s="87"/>
      <c r="J336" s="61" t="str">
        <f t="shared" si="19"/>
        <v>-</v>
      </c>
      <c r="K336" s="87"/>
      <c r="L336" s="60">
        <f t="shared" si="20"/>
        <v>1900</v>
      </c>
      <c r="M336" s="60">
        <f t="shared" si="21"/>
        <v>1</v>
      </c>
    </row>
    <row r="337" customHeight="1" spans="2:13">
      <c r="B337" s="59">
        <v>334</v>
      </c>
      <c r="C337" s="87"/>
      <c r="D337" s="87"/>
      <c r="E337" s="87"/>
      <c r="F337" s="60" t="str">
        <f>IFERROR(VLOOKUP($E337,'基础-办公用品信息'!$C:$E,2,FALSE),"-")</f>
        <v>-</v>
      </c>
      <c r="G337" s="60" t="str">
        <f>IFERROR(VLOOKUP($E337,'基础-办公用品信息'!$C:$E,3,FALSE),"-")</f>
        <v>-</v>
      </c>
      <c r="H337" s="126" t="str">
        <f>IFERROR(VLOOKUP($E337,'基础-办公用品信息'!$C:$F,4,FALSE),"-")</f>
        <v>-</v>
      </c>
      <c r="I337" s="87"/>
      <c r="J337" s="61" t="str">
        <f t="shared" si="19"/>
        <v>-</v>
      </c>
      <c r="K337" s="87"/>
      <c r="L337" s="60">
        <f t="shared" si="20"/>
        <v>1900</v>
      </c>
      <c r="M337" s="60">
        <f t="shared" si="21"/>
        <v>1</v>
      </c>
    </row>
    <row r="338" customHeight="1" spans="2:13">
      <c r="B338" s="59">
        <v>335</v>
      </c>
      <c r="C338" s="87"/>
      <c r="D338" s="87"/>
      <c r="E338" s="87"/>
      <c r="F338" s="60" t="str">
        <f>IFERROR(VLOOKUP($E338,'基础-办公用品信息'!$C:$E,2,FALSE),"-")</f>
        <v>-</v>
      </c>
      <c r="G338" s="60" t="str">
        <f>IFERROR(VLOOKUP($E338,'基础-办公用品信息'!$C:$E,3,FALSE),"-")</f>
        <v>-</v>
      </c>
      <c r="H338" s="126" t="str">
        <f>IFERROR(VLOOKUP($E338,'基础-办公用品信息'!$C:$F,4,FALSE),"-")</f>
        <v>-</v>
      </c>
      <c r="I338" s="87"/>
      <c r="J338" s="61" t="str">
        <f t="shared" si="19"/>
        <v>-</v>
      </c>
      <c r="K338" s="87"/>
      <c r="L338" s="60">
        <f t="shared" si="20"/>
        <v>1900</v>
      </c>
      <c r="M338" s="60">
        <f t="shared" si="21"/>
        <v>1</v>
      </c>
    </row>
    <row r="339" customHeight="1" spans="2:13">
      <c r="B339" s="59">
        <v>336</v>
      </c>
      <c r="C339" s="87"/>
      <c r="D339" s="87"/>
      <c r="E339" s="87"/>
      <c r="F339" s="60" t="str">
        <f>IFERROR(VLOOKUP($E339,'基础-办公用品信息'!$C:$E,2,FALSE),"-")</f>
        <v>-</v>
      </c>
      <c r="G339" s="60" t="str">
        <f>IFERROR(VLOOKUP($E339,'基础-办公用品信息'!$C:$E,3,FALSE),"-")</f>
        <v>-</v>
      </c>
      <c r="H339" s="126" t="str">
        <f>IFERROR(VLOOKUP($E339,'基础-办公用品信息'!$C:$F,4,FALSE),"-")</f>
        <v>-</v>
      </c>
      <c r="I339" s="87"/>
      <c r="J339" s="61" t="str">
        <f t="shared" si="19"/>
        <v>-</v>
      </c>
      <c r="K339" s="87"/>
      <c r="L339" s="60">
        <f t="shared" si="20"/>
        <v>1900</v>
      </c>
      <c r="M339" s="60">
        <f t="shared" si="21"/>
        <v>1</v>
      </c>
    </row>
    <row r="340" customHeight="1" spans="2:13">
      <c r="B340" s="59">
        <v>337</v>
      </c>
      <c r="C340" s="87"/>
      <c r="D340" s="87"/>
      <c r="E340" s="87"/>
      <c r="F340" s="60" t="str">
        <f>IFERROR(VLOOKUP($E340,'基础-办公用品信息'!$C:$E,2,FALSE),"-")</f>
        <v>-</v>
      </c>
      <c r="G340" s="60" t="str">
        <f>IFERROR(VLOOKUP($E340,'基础-办公用品信息'!$C:$E,3,FALSE),"-")</f>
        <v>-</v>
      </c>
      <c r="H340" s="126" t="str">
        <f>IFERROR(VLOOKUP($E340,'基础-办公用品信息'!$C:$F,4,FALSE),"-")</f>
        <v>-</v>
      </c>
      <c r="I340" s="87"/>
      <c r="J340" s="61" t="str">
        <f t="shared" si="19"/>
        <v>-</v>
      </c>
      <c r="K340" s="87"/>
      <c r="L340" s="60">
        <f t="shared" si="20"/>
        <v>1900</v>
      </c>
      <c r="M340" s="60">
        <f t="shared" si="21"/>
        <v>1</v>
      </c>
    </row>
    <row r="341" customHeight="1" spans="2:13">
      <c r="B341" s="59">
        <v>338</v>
      </c>
      <c r="C341" s="87"/>
      <c r="D341" s="87"/>
      <c r="E341" s="87"/>
      <c r="F341" s="60" t="str">
        <f>IFERROR(VLOOKUP($E341,'基础-办公用品信息'!$C:$E,2,FALSE),"-")</f>
        <v>-</v>
      </c>
      <c r="G341" s="60" t="str">
        <f>IFERROR(VLOOKUP($E341,'基础-办公用品信息'!$C:$E,3,FALSE),"-")</f>
        <v>-</v>
      </c>
      <c r="H341" s="126" t="str">
        <f>IFERROR(VLOOKUP($E341,'基础-办公用品信息'!$C:$F,4,FALSE),"-")</f>
        <v>-</v>
      </c>
      <c r="I341" s="87"/>
      <c r="J341" s="61" t="str">
        <f t="shared" si="19"/>
        <v>-</v>
      </c>
      <c r="K341" s="87"/>
      <c r="L341" s="60">
        <f t="shared" si="20"/>
        <v>1900</v>
      </c>
      <c r="M341" s="60">
        <f t="shared" si="21"/>
        <v>1</v>
      </c>
    </row>
    <row r="342" customHeight="1" spans="2:13">
      <c r="B342" s="59">
        <v>339</v>
      </c>
      <c r="C342" s="87"/>
      <c r="D342" s="87"/>
      <c r="E342" s="87"/>
      <c r="F342" s="60" t="str">
        <f>IFERROR(VLOOKUP($E342,'基础-办公用品信息'!$C:$E,2,FALSE),"-")</f>
        <v>-</v>
      </c>
      <c r="G342" s="60" t="str">
        <f>IFERROR(VLOOKUP($E342,'基础-办公用品信息'!$C:$E,3,FALSE),"-")</f>
        <v>-</v>
      </c>
      <c r="H342" s="126" t="str">
        <f>IFERROR(VLOOKUP($E342,'基础-办公用品信息'!$C:$F,4,FALSE),"-")</f>
        <v>-</v>
      </c>
      <c r="I342" s="87"/>
      <c r="J342" s="61" t="str">
        <f t="shared" si="19"/>
        <v>-</v>
      </c>
      <c r="K342" s="87"/>
      <c r="L342" s="60">
        <f t="shared" si="20"/>
        <v>1900</v>
      </c>
      <c r="M342" s="60">
        <f t="shared" si="21"/>
        <v>1</v>
      </c>
    </row>
    <row r="343" customHeight="1" spans="2:13">
      <c r="B343" s="59">
        <v>340</v>
      </c>
      <c r="C343" s="87"/>
      <c r="D343" s="87"/>
      <c r="E343" s="87"/>
      <c r="F343" s="60" t="str">
        <f>IFERROR(VLOOKUP($E343,'基础-办公用品信息'!$C:$E,2,FALSE),"-")</f>
        <v>-</v>
      </c>
      <c r="G343" s="60" t="str">
        <f>IFERROR(VLOOKUP($E343,'基础-办公用品信息'!$C:$E,3,FALSE),"-")</f>
        <v>-</v>
      </c>
      <c r="H343" s="126" t="str">
        <f>IFERROR(VLOOKUP($E343,'基础-办公用品信息'!$C:$F,4,FALSE),"-")</f>
        <v>-</v>
      </c>
      <c r="I343" s="87"/>
      <c r="J343" s="61" t="str">
        <f t="shared" si="19"/>
        <v>-</v>
      </c>
      <c r="K343" s="87"/>
      <c r="L343" s="60">
        <f t="shared" si="20"/>
        <v>1900</v>
      </c>
      <c r="M343" s="60">
        <f t="shared" si="21"/>
        <v>1</v>
      </c>
    </row>
    <row r="344" customHeight="1" spans="2:13">
      <c r="B344" s="59">
        <v>341</v>
      </c>
      <c r="C344" s="87"/>
      <c r="D344" s="87"/>
      <c r="E344" s="87"/>
      <c r="F344" s="60" t="str">
        <f>IFERROR(VLOOKUP($E344,'基础-办公用品信息'!$C:$E,2,FALSE),"-")</f>
        <v>-</v>
      </c>
      <c r="G344" s="60" t="str">
        <f>IFERROR(VLOOKUP($E344,'基础-办公用品信息'!$C:$E,3,FALSE),"-")</f>
        <v>-</v>
      </c>
      <c r="H344" s="126" t="str">
        <f>IFERROR(VLOOKUP($E344,'基础-办公用品信息'!$C:$F,4,FALSE),"-")</f>
        <v>-</v>
      </c>
      <c r="I344" s="87"/>
      <c r="J344" s="61" t="str">
        <f t="shared" si="19"/>
        <v>-</v>
      </c>
      <c r="K344" s="87"/>
      <c r="L344" s="60">
        <f t="shared" si="20"/>
        <v>1900</v>
      </c>
      <c r="M344" s="60">
        <f t="shared" si="21"/>
        <v>1</v>
      </c>
    </row>
    <row r="345" customHeight="1" spans="2:13">
      <c r="B345" s="59">
        <v>342</v>
      </c>
      <c r="C345" s="87"/>
      <c r="D345" s="87"/>
      <c r="E345" s="87"/>
      <c r="F345" s="60" t="str">
        <f>IFERROR(VLOOKUP($E345,'基础-办公用品信息'!$C:$E,2,FALSE),"-")</f>
        <v>-</v>
      </c>
      <c r="G345" s="60" t="str">
        <f>IFERROR(VLOOKUP($E345,'基础-办公用品信息'!$C:$E,3,FALSE),"-")</f>
        <v>-</v>
      </c>
      <c r="H345" s="126" t="str">
        <f>IFERROR(VLOOKUP($E345,'基础-办公用品信息'!$C:$F,4,FALSE),"-")</f>
        <v>-</v>
      </c>
      <c r="I345" s="87"/>
      <c r="J345" s="61" t="str">
        <f t="shared" si="19"/>
        <v>-</v>
      </c>
      <c r="K345" s="87"/>
      <c r="L345" s="60">
        <f t="shared" si="20"/>
        <v>1900</v>
      </c>
      <c r="M345" s="60">
        <f t="shared" si="21"/>
        <v>1</v>
      </c>
    </row>
    <row r="346" customHeight="1" spans="2:13">
      <c r="B346" s="59">
        <v>343</v>
      </c>
      <c r="C346" s="87"/>
      <c r="D346" s="87"/>
      <c r="E346" s="87"/>
      <c r="F346" s="60" t="str">
        <f>IFERROR(VLOOKUP($E346,'基础-办公用品信息'!$C:$E,2,FALSE),"-")</f>
        <v>-</v>
      </c>
      <c r="G346" s="60" t="str">
        <f>IFERROR(VLOOKUP($E346,'基础-办公用品信息'!$C:$E,3,FALSE),"-")</f>
        <v>-</v>
      </c>
      <c r="H346" s="126" t="str">
        <f>IFERROR(VLOOKUP($E346,'基础-办公用品信息'!$C:$F,4,FALSE),"-")</f>
        <v>-</v>
      </c>
      <c r="I346" s="87"/>
      <c r="J346" s="61" t="str">
        <f t="shared" si="19"/>
        <v>-</v>
      </c>
      <c r="K346" s="87"/>
      <c r="L346" s="60">
        <f t="shared" si="20"/>
        <v>1900</v>
      </c>
      <c r="M346" s="60">
        <f t="shared" si="21"/>
        <v>1</v>
      </c>
    </row>
    <row r="347" customHeight="1" spans="2:13">
      <c r="B347" s="59">
        <v>344</v>
      </c>
      <c r="C347" s="87"/>
      <c r="D347" s="87"/>
      <c r="E347" s="87"/>
      <c r="F347" s="60" t="str">
        <f>IFERROR(VLOOKUP($E347,'基础-办公用品信息'!$C:$E,2,FALSE),"-")</f>
        <v>-</v>
      </c>
      <c r="G347" s="60" t="str">
        <f>IFERROR(VLOOKUP($E347,'基础-办公用品信息'!$C:$E,3,FALSE),"-")</f>
        <v>-</v>
      </c>
      <c r="H347" s="126" t="str">
        <f>IFERROR(VLOOKUP($E347,'基础-办公用品信息'!$C:$F,4,FALSE),"-")</f>
        <v>-</v>
      </c>
      <c r="I347" s="87"/>
      <c r="J347" s="61" t="str">
        <f t="shared" si="19"/>
        <v>-</v>
      </c>
      <c r="K347" s="87"/>
      <c r="L347" s="60">
        <f t="shared" si="20"/>
        <v>1900</v>
      </c>
      <c r="M347" s="60">
        <f t="shared" si="21"/>
        <v>1</v>
      </c>
    </row>
    <row r="348" customHeight="1" spans="2:13">
      <c r="B348" s="59">
        <v>345</v>
      </c>
      <c r="C348" s="87"/>
      <c r="D348" s="87"/>
      <c r="E348" s="87"/>
      <c r="F348" s="60" t="str">
        <f>IFERROR(VLOOKUP($E348,'基础-办公用品信息'!$C:$E,2,FALSE),"-")</f>
        <v>-</v>
      </c>
      <c r="G348" s="60" t="str">
        <f>IFERROR(VLOOKUP($E348,'基础-办公用品信息'!$C:$E,3,FALSE),"-")</f>
        <v>-</v>
      </c>
      <c r="H348" s="126" t="str">
        <f>IFERROR(VLOOKUP($E348,'基础-办公用品信息'!$C:$F,4,FALSE),"-")</f>
        <v>-</v>
      </c>
      <c r="I348" s="87"/>
      <c r="J348" s="61" t="str">
        <f t="shared" si="19"/>
        <v>-</v>
      </c>
      <c r="K348" s="87"/>
      <c r="L348" s="60">
        <f t="shared" si="20"/>
        <v>1900</v>
      </c>
      <c r="M348" s="60">
        <f t="shared" si="21"/>
        <v>1</v>
      </c>
    </row>
    <row r="349" customHeight="1" spans="2:13">
      <c r="B349" s="59">
        <v>346</v>
      </c>
      <c r="C349" s="87"/>
      <c r="D349" s="87"/>
      <c r="E349" s="87"/>
      <c r="F349" s="60" t="str">
        <f>IFERROR(VLOOKUP($E349,'基础-办公用品信息'!$C:$E,2,FALSE),"-")</f>
        <v>-</v>
      </c>
      <c r="G349" s="60" t="str">
        <f>IFERROR(VLOOKUP($E349,'基础-办公用品信息'!$C:$E,3,FALSE),"-")</f>
        <v>-</v>
      </c>
      <c r="H349" s="126" t="str">
        <f>IFERROR(VLOOKUP($E349,'基础-办公用品信息'!$C:$F,4,FALSE),"-")</f>
        <v>-</v>
      </c>
      <c r="I349" s="87"/>
      <c r="J349" s="61" t="str">
        <f t="shared" si="19"/>
        <v>-</v>
      </c>
      <c r="K349" s="87"/>
      <c r="L349" s="60">
        <f t="shared" si="20"/>
        <v>1900</v>
      </c>
      <c r="M349" s="60">
        <f t="shared" si="21"/>
        <v>1</v>
      </c>
    </row>
    <row r="350" customHeight="1" spans="2:13">
      <c r="B350" s="59">
        <v>347</v>
      </c>
      <c r="C350" s="87"/>
      <c r="D350" s="87"/>
      <c r="E350" s="87"/>
      <c r="F350" s="60" t="str">
        <f>IFERROR(VLOOKUP($E350,'基础-办公用品信息'!$C:$E,2,FALSE),"-")</f>
        <v>-</v>
      </c>
      <c r="G350" s="60" t="str">
        <f>IFERROR(VLOOKUP($E350,'基础-办公用品信息'!$C:$E,3,FALSE),"-")</f>
        <v>-</v>
      </c>
      <c r="H350" s="126" t="str">
        <f>IFERROR(VLOOKUP($E350,'基础-办公用品信息'!$C:$F,4,FALSE),"-")</f>
        <v>-</v>
      </c>
      <c r="I350" s="87"/>
      <c r="J350" s="61" t="str">
        <f t="shared" si="19"/>
        <v>-</v>
      </c>
      <c r="K350" s="87"/>
      <c r="L350" s="60">
        <f t="shared" si="20"/>
        <v>1900</v>
      </c>
      <c r="M350" s="60">
        <f t="shared" si="21"/>
        <v>1</v>
      </c>
    </row>
    <row r="351" customHeight="1" spans="2:13">
      <c r="B351" s="59">
        <v>348</v>
      </c>
      <c r="C351" s="87"/>
      <c r="D351" s="87"/>
      <c r="E351" s="87"/>
      <c r="F351" s="60" t="str">
        <f>IFERROR(VLOOKUP($E351,'基础-办公用品信息'!$C:$E,2,FALSE),"-")</f>
        <v>-</v>
      </c>
      <c r="G351" s="60" t="str">
        <f>IFERROR(VLOOKUP($E351,'基础-办公用品信息'!$C:$E,3,FALSE),"-")</f>
        <v>-</v>
      </c>
      <c r="H351" s="126" t="str">
        <f>IFERROR(VLOOKUP($E351,'基础-办公用品信息'!$C:$F,4,FALSE),"-")</f>
        <v>-</v>
      </c>
      <c r="I351" s="87"/>
      <c r="J351" s="61" t="str">
        <f t="shared" si="19"/>
        <v>-</v>
      </c>
      <c r="K351" s="87"/>
      <c r="L351" s="60">
        <f t="shared" si="20"/>
        <v>1900</v>
      </c>
      <c r="M351" s="60">
        <f t="shared" si="21"/>
        <v>1</v>
      </c>
    </row>
    <row r="352" customHeight="1" spans="2:13">
      <c r="B352" s="59">
        <v>349</v>
      </c>
      <c r="C352" s="87"/>
      <c r="D352" s="87"/>
      <c r="E352" s="87"/>
      <c r="F352" s="60" t="str">
        <f>IFERROR(VLOOKUP($E352,'基础-办公用品信息'!$C:$E,2,FALSE),"-")</f>
        <v>-</v>
      </c>
      <c r="G352" s="60" t="str">
        <f>IFERROR(VLOOKUP($E352,'基础-办公用品信息'!$C:$E,3,FALSE),"-")</f>
        <v>-</v>
      </c>
      <c r="H352" s="126" t="str">
        <f>IFERROR(VLOOKUP($E352,'基础-办公用品信息'!$C:$F,4,FALSE),"-")</f>
        <v>-</v>
      </c>
      <c r="I352" s="87"/>
      <c r="J352" s="61" t="str">
        <f t="shared" si="19"/>
        <v>-</v>
      </c>
      <c r="K352" s="87"/>
      <c r="L352" s="60">
        <f t="shared" si="20"/>
        <v>1900</v>
      </c>
      <c r="M352" s="60">
        <f t="shared" si="21"/>
        <v>1</v>
      </c>
    </row>
    <row r="353" customHeight="1" spans="2:13">
      <c r="B353" s="59">
        <v>350</v>
      </c>
      <c r="C353" s="87"/>
      <c r="D353" s="87"/>
      <c r="E353" s="87"/>
      <c r="F353" s="60" t="str">
        <f>IFERROR(VLOOKUP($E353,'基础-办公用品信息'!$C:$E,2,FALSE),"-")</f>
        <v>-</v>
      </c>
      <c r="G353" s="60" t="str">
        <f>IFERROR(VLOOKUP($E353,'基础-办公用品信息'!$C:$E,3,FALSE),"-")</f>
        <v>-</v>
      </c>
      <c r="H353" s="126" t="str">
        <f>IFERROR(VLOOKUP($E353,'基础-办公用品信息'!$C:$F,4,FALSE),"-")</f>
        <v>-</v>
      </c>
      <c r="I353" s="87"/>
      <c r="J353" s="61" t="str">
        <f t="shared" si="19"/>
        <v>-</v>
      </c>
      <c r="K353" s="87"/>
      <c r="L353" s="60">
        <f t="shared" si="20"/>
        <v>1900</v>
      </c>
      <c r="M353" s="60">
        <f t="shared" si="21"/>
        <v>1</v>
      </c>
    </row>
    <row r="354" customHeight="1" spans="2:13">
      <c r="B354" s="59">
        <v>351</v>
      </c>
      <c r="C354" s="87"/>
      <c r="D354" s="87"/>
      <c r="E354" s="87"/>
      <c r="F354" s="60" t="str">
        <f>IFERROR(VLOOKUP($E354,'基础-办公用品信息'!$C:$E,2,FALSE),"-")</f>
        <v>-</v>
      </c>
      <c r="G354" s="60" t="str">
        <f>IFERROR(VLOOKUP($E354,'基础-办公用品信息'!$C:$E,3,FALSE),"-")</f>
        <v>-</v>
      </c>
      <c r="H354" s="126" t="str">
        <f>IFERROR(VLOOKUP($E354,'基础-办公用品信息'!$C:$F,4,FALSE),"-")</f>
        <v>-</v>
      </c>
      <c r="I354" s="87"/>
      <c r="J354" s="61" t="str">
        <f t="shared" si="19"/>
        <v>-</v>
      </c>
      <c r="K354" s="87"/>
      <c r="L354" s="60">
        <f t="shared" si="20"/>
        <v>1900</v>
      </c>
      <c r="M354" s="60">
        <f t="shared" si="21"/>
        <v>1</v>
      </c>
    </row>
    <row r="355" customHeight="1" spans="2:13">
      <c r="B355" s="59">
        <v>352</v>
      </c>
      <c r="C355" s="87"/>
      <c r="D355" s="87"/>
      <c r="E355" s="87"/>
      <c r="F355" s="60" t="str">
        <f>IFERROR(VLOOKUP($E355,'基础-办公用品信息'!$C:$E,2,FALSE),"-")</f>
        <v>-</v>
      </c>
      <c r="G355" s="60" t="str">
        <f>IFERROR(VLOOKUP($E355,'基础-办公用品信息'!$C:$E,3,FALSE),"-")</f>
        <v>-</v>
      </c>
      <c r="H355" s="126" t="str">
        <f>IFERROR(VLOOKUP($E355,'基础-办公用品信息'!$C:$F,4,FALSE),"-")</f>
        <v>-</v>
      </c>
      <c r="I355" s="87"/>
      <c r="J355" s="61" t="str">
        <f t="shared" si="19"/>
        <v>-</v>
      </c>
      <c r="K355" s="87"/>
      <c r="L355" s="60">
        <f t="shared" si="20"/>
        <v>1900</v>
      </c>
      <c r="M355" s="60">
        <f t="shared" si="21"/>
        <v>1</v>
      </c>
    </row>
    <row r="356" customHeight="1" spans="2:13">
      <c r="B356" s="59">
        <v>353</v>
      </c>
      <c r="C356" s="87"/>
      <c r="D356" s="87"/>
      <c r="E356" s="87"/>
      <c r="F356" s="60" t="str">
        <f>IFERROR(VLOOKUP($E356,'基础-办公用品信息'!$C:$E,2,FALSE),"-")</f>
        <v>-</v>
      </c>
      <c r="G356" s="60" t="str">
        <f>IFERROR(VLOOKUP($E356,'基础-办公用品信息'!$C:$E,3,FALSE),"-")</f>
        <v>-</v>
      </c>
      <c r="H356" s="126" t="str">
        <f>IFERROR(VLOOKUP($E356,'基础-办公用品信息'!$C:$F,4,FALSE),"-")</f>
        <v>-</v>
      </c>
      <c r="I356" s="87"/>
      <c r="J356" s="61" t="str">
        <f t="shared" si="19"/>
        <v>-</v>
      </c>
      <c r="K356" s="87"/>
      <c r="L356" s="60">
        <f t="shared" si="20"/>
        <v>1900</v>
      </c>
      <c r="M356" s="60">
        <f t="shared" si="21"/>
        <v>1</v>
      </c>
    </row>
    <row r="357" customHeight="1" spans="2:13">
      <c r="B357" s="59">
        <v>354</v>
      </c>
      <c r="C357" s="87"/>
      <c r="D357" s="87"/>
      <c r="E357" s="87"/>
      <c r="F357" s="60" t="str">
        <f>IFERROR(VLOOKUP($E357,'基础-办公用品信息'!$C:$E,2,FALSE),"-")</f>
        <v>-</v>
      </c>
      <c r="G357" s="60" t="str">
        <f>IFERROR(VLOOKUP($E357,'基础-办公用品信息'!$C:$E,3,FALSE),"-")</f>
        <v>-</v>
      </c>
      <c r="H357" s="126" t="str">
        <f>IFERROR(VLOOKUP($E357,'基础-办公用品信息'!$C:$F,4,FALSE),"-")</f>
        <v>-</v>
      </c>
      <c r="I357" s="87"/>
      <c r="J357" s="61" t="str">
        <f t="shared" si="19"/>
        <v>-</v>
      </c>
      <c r="K357" s="87"/>
      <c r="L357" s="60">
        <f t="shared" si="20"/>
        <v>1900</v>
      </c>
      <c r="M357" s="60">
        <f t="shared" si="21"/>
        <v>1</v>
      </c>
    </row>
    <row r="358" customHeight="1" spans="2:13">
      <c r="B358" s="59">
        <v>355</v>
      </c>
      <c r="C358" s="87"/>
      <c r="D358" s="87"/>
      <c r="E358" s="87"/>
      <c r="F358" s="60" t="str">
        <f>IFERROR(VLOOKUP($E358,'基础-办公用品信息'!$C:$E,2,FALSE),"-")</f>
        <v>-</v>
      </c>
      <c r="G358" s="60" t="str">
        <f>IFERROR(VLOOKUP($E358,'基础-办公用品信息'!$C:$E,3,FALSE),"-")</f>
        <v>-</v>
      </c>
      <c r="H358" s="126" t="str">
        <f>IFERROR(VLOOKUP($E358,'基础-办公用品信息'!$C:$F,4,FALSE),"-")</f>
        <v>-</v>
      </c>
      <c r="I358" s="87"/>
      <c r="J358" s="61" t="str">
        <f t="shared" si="19"/>
        <v>-</v>
      </c>
      <c r="K358" s="87"/>
      <c r="L358" s="60">
        <f t="shared" si="20"/>
        <v>1900</v>
      </c>
      <c r="M358" s="60">
        <f t="shared" si="21"/>
        <v>1</v>
      </c>
    </row>
    <row r="359" customHeight="1" spans="2:13">
      <c r="B359" s="59">
        <v>356</v>
      </c>
      <c r="C359" s="87"/>
      <c r="D359" s="87"/>
      <c r="E359" s="87"/>
      <c r="F359" s="60" t="str">
        <f>IFERROR(VLOOKUP($E359,'基础-办公用品信息'!$C:$E,2,FALSE),"-")</f>
        <v>-</v>
      </c>
      <c r="G359" s="60" t="str">
        <f>IFERROR(VLOOKUP($E359,'基础-办公用品信息'!$C:$E,3,FALSE),"-")</f>
        <v>-</v>
      </c>
      <c r="H359" s="126" t="str">
        <f>IFERROR(VLOOKUP($E359,'基础-办公用品信息'!$C:$F,4,FALSE),"-")</f>
        <v>-</v>
      </c>
      <c r="I359" s="87"/>
      <c r="J359" s="61" t="str">
        <f t="shared" si="19"/>
        <v>-</v>
      </c>
      <c r="K359" s="87"/>
      <c r="L359" s="60">
        <f t="shared" si="20"/>
        <v>1900</v>
      </c>
      <c r="M359" s="60">
        <f t="shared" si="21"/>
        <v>1</v>
      </c>
    </row>
    <row r="360" customHeight="1" spans="2:13">
      <c r="B360" s="59">
        <v>357</v>
      </c>
      <c r="C360" s="87"/>
      <c r="D360" s="87"/>
      <c r="E360" s="87"/>
      <c r="F360" s="60" t="str">
        <f>IFERROR(VLOOKUP($E360,'基础-办公用品信息'!$C:$E,2,FALSE),"-")</f>
        <v>-</v>
      </c>
      <c r="G360" s="60" t="str">
        <f>IFERROR(VLOOKUP($E360,'基础-办公用品信息'!$C:$E,3,FALSE),"-")</f>
        <v>-</v>
      </c>
      <c r="H360" s="126" t="str">
        <f>IFERROR(VLOOKUP($E360,'基础-办公用品信息'!$C:$F,4,FALSE),"-")</f>
        <v>-</v>
      </c>
      <c r="I360" s="87"/>
      <c r="J360" s="61" t="str">
        <f t="shared" si="19"/>
        <v>-</v>
      </c>
      <c r="K360" s="87"/>
      <c r="L360" s="60">
        <f t="shared" si="20"/>
        <v>1900</v>
      </c>
      <c r="M360" s="60">
        <f t="shared" si="21"/>
        <v>1</v>
      </c>
    </row>
    <row r="361" customHeight="1" spans="2:13">
      <c r="B361" s="59">
        <v>358</v>
      </c>
      <c r="C361" s="87"/>
      <c r="D361" s="87"/>
      <c r="E361" s="87"/>
      <c r="F361" s="60" t="str">
        <f>IFERROR(VLOOKUP($E361,'基础-办公用品信息'!$C:$E,2,FALSE),"-")</f>
        <v>-</v>
      </c>
      <c r="G361" s="60" t="str">
        <f>IFERROR(VLOOKUP($E361,'基础-办公用品信息'!$C:$E,3,FALSE),"-")</f>
        <v>-</v>
      </c>
      <c r="H361" s="126" t="str">
        <f>IFERROR(VLOOKUP($E361,'基础-办公用品信息'!$C:$F,4,FALSE),"-")</f>
        <v>-</v>
      </c>
      <c r="I361" s="87"/>
      <c r="J361" s="61" t="str">
        <f t="shared" si="19"/>
        <v>-</v>
      </c>
      <c r="K361" s="87"/>
      <c r="L361" s="60">
        <f t="shared" si="20"/>
        <v>1900</v>
      </c>
      <c r="M361" s="60">
        <f t="shared" si="21"/>
        <v>1</v>
      </c>
    </row>
    <row r="362" customHeight="1" spans="2:13">
      <c r="B362" s="59">
        <v>359</v>
      </c>
      <c r="C362" s="87"/>
      <c r="D362" s="87"/>
      <c r="E362" s="87"/>
      <c r="F362" s="60" t="str">
        <f>IFERROR(VLOOKUP($E362,'基础-办公用品信息'!$C:$E,2,FALSE),"-")</f>
        <v>-</v>
      </c>
      <c r="G362" s="60" t="str">
        <f>IFERROR(VLOOKUP($E362,'基础-办公用品信息'!$C:$E,3,FALSE),"-")</f>
        <v>-</v>
      </c>
      <c r="H362" s="126" t="str">
        <f>IFERROR(VLOOKUP($E362,'基础-办公用品信息'!$C:$F,4,FALSE),"-")</f>
        <v>-</v>
      </c>
      <c r="I362" s="87"/>
      <c r="J362" s="61" t="str">
        <f t="shared" si="19"/>
        <v>-</v>
      </c>
      <c r="K362" s="87"/>
      <c r="L362" s="60">
        <f t="shared" si="20"/>
        <v>1900</v>
      </c>
      <c r="M362" s="60">
        <f t="shared" si="21"/>
        <v>1</v>
      </c>
    </row>
    <row r="363" customHeight="1" spans="2:13">
      <c r="B363" s="59">
        <v>360</v>
      </c>
      <c r="C363" s="87"/>
      <c r="D363" s="87"/>
      <c r="E363" s="87"/>
      <c r="F363" s="60" t="str">
        <f>IFERROR(VLOOKUP($E363,'基础-办公用品信息'!$C:$E,2,FALSE),"-")</f>
        <v>-</v>
      </c>
      <c r="G363" s="60" t="str">
        <f>IFERROR(VLOOKUP($E363,'基础-办公用品信息'!$C:$E,3,FALSE),"-")</f>
        <v>-</v>
      </c>
      <c r="H363" s="126" t="str">
        <f>IFERROR(VLOOKUP($E363,'基础-办公用品信息'!$C:$F,4,FALSE),"-")</f>
        <v>-</v>
      </c>
      <c r="I363" s="87"/>
      <c r="J363" s="61" t="str">
        <f t="shared" si="19"/>
        <v>-</v>
      </c>
      <c r="K363" s="87"/>
      <c r="L363" s="60">
        <f t="shared" si="20"/>
        <v>1900</v>
      </c>
      <c r="M363" s="60">
        <f t="shared" si="21"/>
        <v>1</v>
      </c>
    </row>
    <row r="364" customHeight="1" spans="2:13">
      <c r="B364" s="59">
        <v>361</v>
      </c>
      <c r="C364" s="87"/>
      <c r="D364" s="87"/>
      <c r="E364" s="87"/>
      <c r="F364" s="60" t="str">
        <f>IFERROR(VLOOKUP($E364,'基础-办公用品信息'!$C:$E,2,FALSE),"-")</f>
        <v>-</v>
      </c>
      <c r="G364" s="60" t="str">
        <f>IFERROR(VLOOKUP($E364,'基础-办公用品信息'!$C:$E,3,FALSE),"-")</f>
        <v>-</v>
      </c>
      <c r="H364" s="126" t="str">
        <f>IFERROR(VLOOKUP($E364,'基础-办公用品信息'!$C:$F,4,FALSE),"-")</f>
        <v>-</v>
      </c>
      <c r="I364" s="87"/>
      <c r="J364" s="61" t="str">
        <f t="shared" si="19"/>
        <v>-</v>
      </c>
      <c r="K364" s="87"/>
      <c r="L364" s="60">
        <f t="shared" si="20"/>
        <v>1900</v>
      </c>
      <c r="M364" s="60">
        <f t="shared" si="21"/>
        <v>1</v>
      </c>
    </row>
    <row r="365" customHeight="1" spans="2:13">
      <c r="B365" s="59">
        <v>362</v>
      </c>
      <c r="C365" s="87"/>
      <c r="D365" s="87"/>
      <c r="E365" s="87"/>
      <c r="F365" s="60" t="str">
        <f>IFERROR(VLOOKUP($E365,'基础-办公用品信息'!$C:$E,2,FALSE),"-")</f>
        <v>-</v>
      </c>
      <c r="G365" s="60" t="str">
        <f>IFERROR(VLOOKUP($E365,'基础-办公用品信息'!$C:$E,3,FALSE),"-")</f>
        <v>-</v>
      </c>
      <c r="H365" s="126" t="str">
        <f>IFERROR(VLOOKUP($E365,'基础-办公用品信息'!$C:$F,4,FALSE),"-")</f>
        <v>-</v>
      </c>
      <c r="I365" s="87"/>
      <c r="J365" s="61" t="str">
        <f t="shared" si="19"/>
        <v>-</v>
      </c>
      <c r="K365" s="87"/>
      <c r="L365" s="60">
        <f t="shared" si="20"/>
        <v>1900</v>
      </c>
      <c r="M365" s="60">
        <f t="shared" si="21"/>
        <v>1</v>
      </c>
    </row>
    <row r="366" customHeight="1" spans="2:13">
      <c r="B366" s="59">
        <v>363</v>
      </c>
      <c r="C366" s="87"/>
      <c r="D366" s="87"/>
      <c r="E366" s="87"/>
      <c r="F366" s="60" t="str">
        <f>IFERROR(VLOOKUP($E366,'基础-办公用品信息'!$C:$E,2,FALSE),"-")</f>
        <v>-</v>
      </c>
      <c r="G366" s="60" t="str">
        <f>IFERROR(VLOOKUP($E366,'基础-办公用品信息'!$C:$E,3,FALSE),"-")</f>
        <v>-</v>
      </c>
      <c r="H366" s="126" t="str">
        <f>IFERROR(VLOOKUP($E366,'基础-办公用品信息'!$C:$F,4,FALSE),"-")</f>
        <v>-</v>
      </c>
      <c r="I366" s="87"/>
      <c r="J366" s="61" t="str">
        <f t="shared" si="19"/>
        <v>-</v>
      </c>
      <c r="K366" s="87"/>
      <c r="L366" s="60">
        <f t="shared" si="20"/>
        <v>1900</v>
      </c>
      <c r="M366" s="60">
        <f t="shared" si="21"/>
        <v>1</v>
      </c>
    </row>
    <row r="367" customHeight="1" spans="2:13">
      <c r="B367" s="59">
        <v>364</v>
      </c>
      <c r="C367" s="87"/>
      <c r="D367" s="87"/>
      <c r="E367" s="87"/>
      <c r="F367" s="60" t="str">
        <f>IFERROR(VLOOKUP($E367,'基础-办公用品信息'!$C:$E,2,FALSE),"-")</f>
        <v>-</v>
      </c>
      <c r="G367" s="60" t="str">
        <f>IFERROR(VLOOKUP($E367,'基础-办公用品信息'!$C:$E,3,FALSE),"-")</f>
        <v>-</v>
      </c>
      <c r="H367" s="126" t="str">
        <f>IFERROR(VLOOKUP($E367,'基础-办公用品信息'!$C:$F,4,FALSE),"-")</f>
        <v>-</v>
      </c>
      <c r="I367" s="87"/>
      <c r="J367" s="61" t="str">
        <f t="shared" si="19"/>
        <v>-</v>
      </c>
      <c r="K367" s="87"/>
      <c r="L367" s="60">
        <f t="shared" si="20"/>
        <v>1900</v>
      </c>
      <c r="M367" s="60">
        <f t="shared" si="21"/>
        <v>1</v>
      </c>
    </row>
    <row r="368" customHeight="1" spans="2:13">
      <c r="B368" s="59">
        <v>365</v>
      </c>
      <c r="C368" s="87"/>
      <c r="D368" s="87"/>
      <c r="E368" s="87"/>
      <c r="F368" s="60" t="str">
        <f>IFERROR(VLOOKUP($E368,'基础-办公用品信息'!$C:$E,2,FALSE),"-")</f>
        <v>-</v>
      </c>
      <c r="G368" s="60" t="str">
        <f>IFERROR(VLOOKUP($E368,'基础-办公用品信息'!$C:$E,3,FALSE),"-")</f>
        <v>-</v>
      </c>
      <c r="H368" s="126" t="str">
        <f>IFERROR(VLOOKUP($E368,'基础-办公用品信息'!$C:$F,4,FALSE),"-")</f>
        <v>-</v>
      </c>
      <c r="I368" s="87"/>
      <c r="J368" s="61" t="str">
        <f t="shared" si="19"/>
        <v>-</v>
      </c>
      <c r="K368" s="87"/>
      <c r="L368" s="60">
        <f t="shared" si="20"/>
        <v>1900</v>
      </c>
      <c r="M368" s="60">
        <f t="shared" si="21"/>
        <v>1</v>
      </c>
    </row>
    <row r="369" customHeight="1" spans="2:13">
      <c r="B369" s="59">
        <v>366</v>
      </c>
      <c r="C369" s="87"/>
      <c r="D369" s="87"/>
      <c r="E369" s="87"/>
      <c r="F369" s="60" t="str">
        <f>IFERROR(VLOOKUP($E369,'基础-办公用品信息'!$C:$E,2,FALSE),"-")</f>
        <v>-</v>
      </c>
      <c r="G369" s="60" t="str">
        <f>IFERROR(VLOOKUP($E369,'基础-办公用品信息'!$C:$E,3,FALSE),"-")</f>
        <v>-</v>
      </c>
      <c r="H369" s="126" t="str">
        <f>IFERROR(VLOOKUP($E369,'基础-办公用品信息'!$C:$F,4,FALSE),"-")</f>
        <v>-</v>
      </c>
      <c r="I369" s="87"/>
      <c r="J369" s="61" t="str">
        <f t="shared" si="19"/>
        <v>-</v>
      </c>
      <c r="K369" s="87"/>
      <c r="L369" s="60">
        <f t="shared" si="20"/>
        <v>1900</v>
      </c>
      <c r="M369" s="60">
        <f t="shared" si="21"/>
        <v>1</v>
      </c>
    </row>
    <row r="370" customHeight="1" spans="2:13">
      <c r="B370" s="59">
        <v>367</v>
      </c>
      <c r="C370" s="87"/>
      <c r="D370" s="87"/>
      <c r="E370" s="87"/>
      <c r="F370" s="60" t="str">
        <f>IFERROR(VLOOKUP($E370,'基础-办公用品信息'!$C:$E,2,FALSE),"-")</f>
        <v>-</v>
      </c>
      <c r="G370" s="60" t="str">
        <f>IFERROR(VLOOKUP($E370,'基础-办公用品信息'!$C:$E,3,FALSE),"-")</f>
        <v>-</v>
      </c>
      <c r="H370" s="126" t="str">
        <f>IFERROR(VLOOKUP($E370,'基础-办公用品信息'!$C:$F,4,FALSE),"-")</f>
        <v>-</v>
      </c>
      <c r="I370" s="87"/>
      <c r="J370" s="61" t="str">
        <f t="shared" si="19"/>
        <v>-</v>
      </c>
      <c r="K370" s="87"/>
      <c r="L370" s="60">
        <f t="shared" si="20"/>
        <v>1900</v>
      </c>
      <c r="M370" s="60">
        <f t="shared" si="21"/>
        <v>1</v>
      </c>
    </row>
    <row r="371" customHeight="1" spans="2:13">
      <c r="B371" s="59">
        <v>368</v>
      </c>
      <c r="C371" s="87"/>
      <c r="D371" s="87"/>
      <c r="E371" s="87"/>
      <c r="F371" s="60" t="str">
        <f>IFERROR(VLOOKUP($E371,'基础-办公用品信息'!$C:$E,2,FALSE),"-")</f>
        <v>-</v>
      </c>
      <c r="G371" s="60" t="str">
        <f>IFERROR(VLOOKUP($E371,'基础-办公用品信息'!$C:$E,3,FALSE),"-")</f>
        <v>-</v>
      </c>
      <c r="H371" s="126" t="str">
        <f>IFERROR(VLOOKUP($E371,'基础-办公用品信息'!$C:$F,4,FALSE),"-")</f>
        <v>-</v>
      </c>
      <c r="I371" s="87"/>
      <c r="J371" s="61" t="str">
        <f t="shared" si="19"/>
        <v>-</v>
      </c>
      <c r="K371" s="87"/>
      <c r="L371" s="60">
        <f t="shared" si="20"/>
        <v>1900</v>
      </c>
      <c r="M371" s="60">
        <f t="shared" si="21"/>
        <v>1</v>
      </c>
    </row>
    <row r="372" customHeight="1" spans="2:13">
      <c r="B372" s="59">
        <v>369</v>
      </c>
      <c r="C372" s="87"/>
      <c r="D372" s="87"/>
      <c r="E372" s="87"/>
      <c r="F372" s="60" t="str">
        <f>IFERROR(VLOOKUP($E372,'基础-办公用品信息'!$C:$E,2,FALSE),"-")</f>
        <v>-</v>
      </c>
      <c r="G372" s="60" t="str">
        <f>IFERROR(VLOOKUP($E372,'基础-办公用品信息'!$C:$E,3,FALSE),"-")</f>
        <v>-</v>
      </c>
      <c r="H372" s="126" t="str">
        <f>IFERROR(VLOOKUP($E372,'基础-办公用品信息'!$C:$F,4,FALSE),"-")</f>
        <v>-</v>
      </c>
      <c r="I372" s="87"/>
      <c r="J372" s="61" t="str">
        <f t="shared" si="19"/>
        <v>-</v>
      </c>
      <c r="K372" s="87"/>
      <c r="L372" s="60">
        <f t="shared" si="20"/>
        <v>1900</v>
      </c>
      <c r="M372" s="60">
        <f t="shared" si="21"/>
        <v>1</v>
      </c>
    </row>
    <row r="373" customHeight="1" spans="2:13">
      <c r="B373" s="59">
        <v>370</v>
      </c>
      <c r="C373" s="87"/>
      <c r="D373" s="87"/>
      <c r="E373" s="87"/>
      <c r="F373" s="60" t="str">
        <f>IFERROR(VLOOKUP($E373,'基础-办公用品信息'!$C:$E,2,FALSE),"-")</f>
        <v>-</v>
      </c>
      <c r="G373" s="60" t="str">
        <f>IFERROR(VLOOKUP($E373,'基础-办公用品信息'!$C:$E,3,FALSE),"-")</f>
        <v>-</v>
      </c>
      <c r="H373" s="126" t="str">
        <f>IFERROR(VLOOKUP($E373,'基础-办公用品信息'!$C:$F,4,FALSE),"-")</f>
        <v>-</v>
      </c>
      <c r="I373" s="87"/>
      <c r="J373" s="61" t="str">
        <f t="shared" si="19"/>
        <v>-</v>
      </c>
      <c r="K373" s="87"/>
      <c r="L373" s="60">
        <f t="shared" si="20"/>
        <v>1900</v>
      </c>
      <c r="M373" s="60">
        <f t="shared" si="21"/>
        <v>1</v>
      </c>
    </row>
    <row r="374" customHeight="1" spans="2:13">
      <c r="B374" s="59">
        <v>371</v>
      </c>
      <c r="C374" s="87"/>
      <c r="D374" s="87"/>
      <c r="E374" s="87"/>
      <c r="F374" s="60" t="str">
        <f>IFERROR(VLOOKUP($E374,'基础-办公用品信息'!$C:$E,2,FALSE),"-")</f>
        <v>-</v>
      </c>
      <c r="G374" s="60" t="str">
        <f>IFERROR(VLOOKUP($E374,'基础-办公用品信息'!$C:$E,3,FALSE),"-")</f>
        <v>-</v>
      </c>
      <c r="H374" s="126" t="str">
        <f>IFERROR(VLOOKUP($E374,'基础-办公用品信息'!$C:$F,4,FALSE),"-")</f>
        <v>-</v>
      </c>
      <c r="I374" s="87"/>
      <c r="J374" s="61" t="str">
        <f t="shared" si="19"/>
        <v>-</v>
      </c>
      <c r="K374" s="87"/>
      <c r="L374" s="60">
        <f t="shared" si="20"/>
        <v>1900</v>
      </c>
      <c r="M374" s="60">
        <f t="shared" si="21"/>
        <v>1</v>
      </c>
    </row>
    <row r="375" customHeight="1" spans="2:13">
      <c r="B375" s="59">
        <v>372</v>
      </c>
      <c r="C375" s="87"/>
      <c r="D375" s="87"/>
      <c r="E375" s="87"/>
      <c r="F375" s="60" t="str">
        <f>IFERROR(VLOOKUP($E375,'基础-办公用品信息'!$C:$E,2,FALSE),"-")</f>
        <v>-</v>
      </c>
      <c r="G375" s="60" t="str">
        <f>IFERROR(VLOOKUP($E375,'基础-办公用品信息'!$C:$E,3,FALSE),"-")</f>
        <v>-</v>
      </c>
      <c r="H375" s="126" t="str">
        <f>IFERROR(VLOOKUP($E375,'基础-办公用品信息'!$C:$F,4,FALSE),"-")</f>
        <v>-</v>
      </c>
      <c r="I375" s="87"/>
      <c r="J375" s="61" t="str">
        <f t="shared" ref="J375:J438" si="22">IF(AND(H375&lt;&gt;"",I375&lt;&gt;""),H375*I375,"-")</f>
        <v>-</v>
      </c>
      <c r="K375" s="87"/>
      <c r="L375" s="60">
        <f t="shared" ref="L375:L438" si="23">YEAR(C375)</f>
        <v>1900</v>
      </c>
      <c r="M375" s="60">
        <f t="shared" ref="M375:M438" si="24">MONTH(C375)</f>
        <v>1</v>
      </c>
    </row>
    <row r="376" customHeight="1" spans="2:13">
      <c r="B376" s="59">
        <v>373</v>
      </c>
      <c r="C376" s="87"/>
      <c r="D376" s="87"/>
      <c r="E376" s="87"/>
      <c r="F376" s="60" t="str">
        <f>IFERROR(VLOOKUP($E376,'基础-办公用品信息'!$C:$E,2,FALSE),"-")</f>
        <v>-</v>
      </c>
      <c r="G376" s="60" t="str">
        <f>IFERROR(VLOOKUP($E376,'基础-办公用品信息'!$C:$E,3,FALSE),"-")</f>
        <v>-</v>
      </c>
      <c r="H376" s="126" t="str">
        <f>IFERROR(VLOOKUP($E376,'基础-办公用品信息'!$C:$F,4,FALSE),"-")</f>
        <v>-</v>
      </c>
      <c r="I376" s="87"/>
      <c r="J376" s="61" t="str">
        <f t="shared" si="22"/>
        <v>-</v>
      </c>
      <c r="K376" s="87"/>
      <c r="L376" s="60">
        <f t="shared" si="23"/>
        <v>1900</v>
      </c>
      <c r="M376" s="60">
        <f t="shared" si="24"/>
        <v>1</v>
      </c>
    </row>
    <row r="377" customHeight="1" spans="2:13">
      <c r="B377" s="59">
        <v>374</v>
      </c>
      <c r="C377" s="87"/>
      <c r="D377" s="87"/>
      <c r="E377" s="87"/>
      <c r="F377" s="60" t="str">
        <f>IFERROR(VLOOKUP($E377,'基础-办公用品信息'!$C:$E,2,FALSE),"-")</f>
        <v>-</v>
      </c>
      <c r="G377" s="60" t="str">
        <f>IFERROR(VLOOKUP($E377,'基础-办公用品信息'!$C:$E,3,FALSE),"-")</f>
        <v>-</v>
      </c>
      <c r="H377" s="126" t="str">
        <f>IFERROR(VLOOKUP($E377,'基础-办公用品信息'!$C:$F,4,FALSE),"-")</f>
        <v>-</v>
      </c>
      <c r="I377" s="87"/>
      <c r="J377" s="61" t="str">
        <f t="shared" si="22"/>
        <v>-</v>
      </c>
      <c r="K377" s="87"/>
      <c r="L377" s="60">
        <f t="shared" si="23"/>
        <v>1900</v>
      </c>
      <c r="M377" s="60">
        <f t="shared" si="24"/>
        <v>1</v>
      </c>
    </row>
    <row r="378" customHeight="1" spans="2:13">
      <c r="B378" s="59">
        <v>375</v>
      </c>
      <c r="C378" s="87"/>
      <c r="D378" s="87"/>
      <c r="E378" s="87"/>
      <c r="F378" s="60" t="str">
        <f>IFERROR(VLOOKUP($E378,'基础-办公用品信息'!$C:$E,2,FALSE),"-")</f>
        <v>-</v>
      </c>
      <c r="G378" s="60" t="str">
        <f>IFERROR(VLOOKUP($E378,'基础-办公用品信息'!$C:$E,3,FALSE),"-")</f>
        <v>-</v>
      </c>
      <c r="H378" s="126" t="str">
        <f>IFERROR(VLOOKUP($E378,'基础-办公用品信息'!$C:$F,4,FALSE),"-")</f>
        <v>-</v>
      </c>
      <c r="I378" s="87"/>
      <c r="J378" s="61" t="str">
        <f t="shared" si="22"/>
        <v>-</v>
      </c>
      <c r="K378" s="87"/>
      <c r="L378" s="60">
        <f t="shared" si="23"/>
        <v>1900</v>
      </c>
      <c r="M378" s="60">
        <f t="shared" si="24"/>
        <v>1</v>
      </c>
    </row>
    <row r="379" customHeight="1" spans="2:13">
      <c r="B379" s="59">
        <v>376</v>
      </c>
      <c r="C379" s="87"/>
      <c r="D379" s="87"/>
      <c r="E379" s="87"/>
      <c r="F379" s="60" t="str">
        <f>IFERROR(VLOOKUP($E379,'基础-办公用品信息'!$C:$E,2,FALSE),"-")</f>
        <v>-</v>
      </c>
      <c r="G379" s="60" t="str">
        <f>IFERROR(VLOOKUP($E379,'基础-办公用品信息'!$C:$E,3,FALSE),"-")</f>
        <v>-</v>
      </c>
      <c r="H379" s="126" t="str">
        <f>IFERROR(VLOOKUP($E379,'基础-办公用品信息'!$C:$F,4,FALSE),"-")</f>
        <v>-</v>
      </c>
      <c r="I379" s="87"/>
      <c r="J379" s="61" t="str">
        <f t="shared" si="22"/>
        <v>-</v>
      </c>
      <c r="K379" s="87"/>
      <c r="L379" s="60">
        <f t="shared" si="23"/>
        <v>1900</v>
      </c>
      <c r="M379" s="60">
        <f t="shared" si="24"/>
        <v>1</v>
      </c>
    </row>
    <row r="380" customHeight="1" spans="2:13">
      <c r="B380" s="59">
        <v>377</v>
      </c>
      <c r="C380" s="87"/>
      <c r="D380" s="87"/>
      <c r="E380" s="87"/>
      <c r="F380" s="60" t="str">
        <f>IFERROR(VLOOKUP($E380,'基础-办公用品信息'!$C:$E,2,FALSE),"-")</f>
        <v>-</v>
      </c>
      <c r="G380" s="60" t="str">
        <f>IFERROR(VLOOKUP($E380,'基础-办公用品信息'!$C:$E,3,FALSE),"-")</f>
        <v>-</v>
      </c>
      <c r="H380" s="126" t="str">
        <f>IFERROR(VLOOKUP($E380,'基础-办公用品信息'!$C:$F,4,FALSE),"-")</f>
        <v>-</v>
      </c>
      <c r="I380" s="87"/>
      <c r="J380" s="61" t="str">
        <f t="shared" si="22"/>
        <v>-</v>
      </c>
      <c r="K380" s="87"/>
      <c r="L380" s="60">
        <f t="shared" si="23"/>
        <v>1900</v>
      </c>
      <c r="M380" s="60">
        <f t="shared" si="24"/>
        <v>1</v>
      </c>
    </row>
    <row r="381" customHeight="1" spans="2:13">
      <c r="B381" s="59">
        <v>378</v>
      </c>
      <c r="C381" s="87"/>
      <c r="D381" s="87"/>
      <c r="E381" s="87"/>
      <c r="F381" s="60" t="str">
        <f>IFERROR(VLOOKUP($E381,'基础-办公用品信息'!$C:$E,2,FALSE),"-")</f>
        <v>-</v>
      </c>
      <c r="G381" s="60" t="str">
        <f>IFERROR(VLOOKUP($E381,'基础-办公用品信息'!$C:$E,3,FALSE),"-")</f>
        <v>-</v>
      </c>
      <c r="H381" s="126" t="str">
        <f>IFERROR(VLOOKUP($E381,'基础-办公用品信息'!$C:$F,4,FALSE),"-")</f>
        <v>-</v>
      </c>
      <c r="I381" s="87"/>
      <c r="J381" s="61" t="str">
        <f t="shared" si="22"/>
        <v>-</v>
      </c>
      <c r="K381" s="87"/>
      <c r="L381" s="60">
        <f t="shared" si="23"/>
        <v>1900</v>
      </c>
      <c r="M381" s="60">
        <f t="shared" si="24"/>
        <v>1</v>
      </c>
    </row>
    <row r="382" customHeight="1" spans="2:13">
      <c r="B382" s="59">
        <v>379</v>
      </c>
      <c r="C382" s="87"/>
      <c r="D382" s="87"/>
      <c r="E382" s="87"/>
      <c r="F382" s="60" t="str">
        <f>IFERROR(VLOOKUP($E382,'基础-办公用品信息'!$C:$E,2,FALSE),"-")</f>
        <v>-</v>
      </c>
      <c r="G382" s="60" t="str">
        <f>IFERROR(VLOOKUP($E382,'基础-办公用品信息'!$C:$E,3,FALSE),"-")</f>
        <v>-</v>
      </c>
      <c r="H382" s="126" t="str">
        <f>IFERROR(VLOOKUP($E382,'基础-办公用品信息'!$C:$F,4,FALSE),"-")</f>
        <v>-</v>
      </c>
      <c r="I382" s="87"/>
      <c r="J382" s="61" t="str">
        <f t="shared" si="22"/>
        <v>-</v>
      </c>
      <c r="K382" s="87"/>
      <c r="L382" s="60">
        <f t="shared" si="23"/>
        <v>1900</v>
      </c>
      <c r="M382" s="60">
        <f t="shared" si="24"/>
        <v>1</v>
      </c>
    </row>
    <row r="383" customHeight="1" spans="2:13">
      <c r="B383" s="59">
        <v>380</v>
      </c>
      <c r="C383" s="87"/>
      <c r="D383" s="87"/>
      <c r="E383" s="87"/>
      <c r="F383" s="60" t="str">
        <f>IFERROR(VLOOKUP($E383,'基础-办公用品信息'!$C:$E,2,FALSE),"-")</f>
        <v>-</v>
      </c>
      <c r="G383" s="60" t="str">
        <f>IFERROR(VLOOKUP($E383,'基础-办公用品信息'!$C:$E,3,FALSE),"-")</f>
        <v>-</v>
      </c>
      <c r="H383" s="126" t="str">
        <f>IFERROR(VLOOKUP($E383,'基础-办公用品信息'!$C:$F,4,FALSE),"-")</f>
        <v>-</v>
      </c>
      <c r="I383" s="87"/>
      <c r="J383" s="61" t="str">
        <f t="shared" si="22"/>
        <v>-</v>
      </c>
      <c r="K383" s="87"/>
      <c r="L383" s="60">
        <f t="shared" si="23"/>
        <v>1900</v>
      </c>
      <c r="M383" s="60">
        <f t="shared" si="24"/>
        <v>1</v>
      </c>
    </row>
    <row r="384" customHeight="1" spans="2:13">
      <c r="B384" s="59">
        <v>381</v>
      </c>
      <c r="C384" s="87"/>
      <c r="D384" s="87"/>
      <c r="E384" s="87"/>
      <c r="F384" s="60" t="str">
        <f>IFERROR(VLOOKUP($E384,'基础-办公用品信息'!$C:$E,2,FALSE),"-")</f>
        <v>-</v>
      </c>
      <c r="G384" s="60" t="str">
        <f>IFERROR(VLOOKUP($E384,'基础-办公用品信息'!$C:$E,3,FALSE),"-")</f>
        <v>-</v>
      </c>
      <c r="H384" s="126" t="str">
        <f>IFERROR(VLOOKUP($E384,'基础-办公用品信息'!$C:$F,4,FALSE),"-")</f>
        <v>-</v>
      </c>
      <c r="I384" s="87"/>
      <c r="J384" s="61" t="str">
        <f t="shared" si="22"/>
        <v>-</v>
      </c>
      <c r="K384" s="87"/>
      <c r="L384" s="60">
        <f t="shared" si="23"/>
        <v>1900</v>
      </c>
      <c r="M384" s="60">
        <f t="shared" si="24"/>
        <v>1</v>
      </c>
    </row>
    <row r="385" customHeight="1" spans="2:13">
      <c r="B385" s="59">
        <v>382</v>
      </c>
      <c r="C385" s="87"/>
      <c r="D385" s="87"/>
      <c r="E385" s="87"/>
      <c r="F385" s="60" t="str">
        <f>IFERROR(VLOOKUP($E385,'基础-办公用品信息'!$C:$E,2,FALSE),"-")</f>
        <v>-</v>
      </c>
      <c r="G385" s="60" t="str">
        <f>IFERROR(VLOOKUP($E385,'基础-办公用品信息'!$C:$E,3,FALSE),"-")</f>
        <v>-</v>
      </c>
      <c r="H385" s="126" t="str">
        <f>IFERROR(VLOOKUP($E385,'基础-办公用品信息'!$C:$F,4,FALSE),"-")</f>
        <v>-</v>
      </c>
      <c r="I385" s="87"/>
      <c r="J385" s="61" t="str">
        <f t="shared" si="22"/>
        <v>-</v>
      </c>
      <c r="K385" s="87"/>
      <c r="L385" s="60">
        <f t="shared" si="23"/>
        <v>1900</v>
      </c>
      <c r="M385" s="60">
        <f t="shared" si="24"/>
        <v>1</v>
      </c>
    </row>
    <row r="386" customHeight="1" spans="2:13">
      <c r="B386" s="59">
        <v>383</v>
      </c>
      <c r="C386" s="87"/>
      <c r="D386" s="87"/>
      <c r="E386" s="87"/>
      <c r="F386" s="60" t="str">
        <f>IFERROR(VLOOKUP($E386,'基础-办公用品信息'!$C:$E,2,FALSE),"-")</f>
        <v>-</v>
      </c>
      <c r="G386" s="60" t="str">
        <f>IFERROR(VLOOKUP($E386,'基础-办公用品信息'!$C:$E,3,FALSE),"-")</f>
        <v>-</v>
      </c>
      <c r="H386" s="126" t="str">
        <f>IFERROR(VLOOKUP($E386,'基础-办公用品信息'!$C:$F,4,FALSE),"-")</f>
        <v>-</v>
      </c>
      <c r="I386" s="87"/>
      <c r="J386" s="61" t="str">
        <f t="shared" si="22"/>
        <v>-</v>
      </c>
      <c r="K386" s="87"/>
      <c r="L386" s="60">
        <f t="shared" si="23"/>
        <v>1900</v>
      </c>
      <c r="M386" s="60">
        <f t="shared" si="24"/>
        <v>1</v>
      </c>
    </row>
    <row r="387" customHeight="1" spans="2:13">
      <c r="B387" s="59">
        <v>384</v>
      </c>
      <c r="C387" s="87"/>
      <c r="D387" s="87"/>
      <c r="E387" s="87"/>
      <c r="F387" s="60" t="str">
        <f>IFERROR(VLOOKUP($E387,'基础-办公用品信息'!$C:$E,2,FALSE),"-")</f>
        <v>-</v>
      </c>
      <c r="G387" s="60" t="str">
        <f>IFERROR(VLOOKUP($E387,'基础-办公用品信息'!$C:$E,3,FALSE),"-")</f>
        <v>-</v>
      </c>
      <c r="H387" s="126" t="str">
        <f>IFERROR(VLOOKUP($E387,'基础-办公用品信息'!$C:$F,4,FALSE),"-")</f>
        <v>-</v>
      </c>
      <c r="I387" s="87"/>
      <c r="J387" s="61" t="str">
        <f t="shared" si="22"/>
        <v>-</v>
      </c>
      <c r="K387" s="87"/>
      <c r="L387" s="60">
        <f t="shared" si="23"/>
        <v>1900</v>
      </c>
      <c r="M387" s="60">
        <f t="shared" si="24"/>
        <v>1</v>
      </c>
    </row>
    <row r="388" customHeight="1" spans="2:13">
      <c r="B388" s="59">
        <v>385</v>
      </c>
      <c r="C388" s="87"/>
      <c r="D388" s="87"/>
      <c r="E388" s="87"/>
      <c r="F388" s="60" t="str">
        <f>IFERROR(VLOOKUP($E388,'基础-办公用品信息'!$C:$E,2,FALSE),"-")</f>
        <v>-</v>
      </c>
      <c r="G388" s="60" t="str">
        <f>IFERROR(VLOOKUP($E388,'基础-办公用品信息'!$C:$E,3,FALSE),"-")</f>
        <v>-</v>
      </c>
      <c r="H388" s="126" t="str">
        <f>IFERROR(VLOOKUP($E388,'基础-办公用品信息'!$C:$F,4,FALSE),"-")</f>
        <v>-</v>
      </c>
      <c r="I388" s="87"/>
      <c r="J388" s="61" t="str">
        <f t="shared" si="22"/>
        <v>-</v>
      </c>
      <c r="K388" s="87"/>
      <c r="L388" s="60">
        <f t="shared" si="23"/>
        <v>1900</v>
      </c>
      <c r="M388" s="60">
        <f t="shared" si="24"/>
        <v>1</v>
      </c>
    </row>
    <row r="389" customHeight="1" spans="2:13">
      <c r="B389" s="59">
        <v>386</v>
      </c>
      <c r="C389" s="87"/>
      <c r="D389" s="87"/>
      <c r="E389" s="87"/>
      <c r="F389" s="60" t="str">
        <f>IFERROR(VLOOKUP($E389,'基础-办公用品信息'!$C:$E,2,FALSE),"-")</f>
        <v>-</v>
      </c>
      <c r="G389" s="60" t="str">
        <f>IFERROR(VLOOKUP($E389,'基础-办公用品信息'!$C:$E,3,FALSE),"-")</f>
        <v>-</v>
      </c>
      <c r="H389" s="126" t="str">
        <f>IFERROR(VLOOKUP($E389,'基础-办公用品信息'!$C:$F,4,FALSE),"-")</f>
        <v>-</v>
      </c>
      <c r="I389" s="87"/>
      <c r="J389" s="61" t="str">
        <f t="shared" si="22"/>
        <v>-</v>
      </c>
      <c r="K389" s="87"/>
      <c r="L389" s="60">
        <f t="shared" si="23"/>
        <v>1900</v>
      </c>
      <c r="M389" s="60">
        <f t="shared" si="24"/>
        <v>1</v>
      </c>
    </row>
    <row r="390" customHeight="1" spans="2:13">
      <c r="B390" s="59">
        <v>387</v>
      </c>
      <c r="C390" s="87"/>
      <c r="D390" s="87"/>
      <c r="E390" s="87"/>
      <c r="F390" s="60" t="str">
        <f>IFERROR(VLOOKUP($E390,'基础-办公用品信息'!$C:$E,2,FALSE),"-")</f>
        <v>-</v>
      </c>
      <c r="G390" s="60" t="str">
        <f>IFERROR(VLOOKUP($E390,'基础-办公用品信息'!$C:$E,3,FALSE),"-")</f>
        <v>-</v>
      </c>
      <c r="H390" s="126" t="str">
        <f>IFERROR(VLOOKUP($E390,'基础-办公用品信息'!$C:$F,4,FALSE),"-")</f>
        <v>-</v>
      </c>
      <c r="I390" s="87"/>
      <c r="J390" s="61" t="str">
        <f t="shared" si="22"/>
        <v>-</v>
      </c>
      <c r="K390" s="87"/>
      <c r="L390" s="60">
        <f t="shared" si="23"/>
        <v>1900</v>
      </c>
      <c r="M390" s="60">
        <f t="shared" si="24"/>
        <v>1</v>
      </c>
    </row>
    <row r="391" customHeight="1" spans="2:13">
      <c r="B391" s="59">
        <v>388</v>
      </c>
      <c r="C391" s="87"/>
      <c r="D391" s="87"/>
      <c r="E391" s="87"/>
      <c r="F391" s="60" t="str">
        <f>IFERROR(VLOOKUP($E391,'基础-办公用品信息'!$C:$E,2,FALSE),"-")</f>
        <v>-</v>
      </c>
      <c r="G391" s="60" t="str">
        <f>IFERROR(VLOOKUP($E391,'基础-办公用品信息'!$C:$E,3,FALSE),"-")</f>
        <v>-</v>
      </c>
      <c r="H391" s="126" t="str">
        <f>IFERROR(VLOOKUP($E391,'基础-办公用品信息'!$C:$F,4,FALSE),"-")</f>
        <v>-</v>
      </c>
      <c r="I391" s="87"/>
      <c r="J391" s="61" t="str">
        <f t="shared" si="22"/>
        <v>-</v>
      </c>
      <c r="K391" s="87"/>
      <c r="L391" s="60">
        <f t="shared" si="23"/>
        <v>1900</v>
      </c>
      <c r="M391" s="60">
        <f t="shared" si="24"/>
        <v>1</v>
      </c>
    </row>
    <row r="392" customHeight="1" spans="2:13">
      <c r="B392" s="59">
        <v>389</v>
      </c>
      <c r="C392" s="87"/>
      <c r="D392" s="87"/>
      <c r="E392" s="87"/>
      <c r="F392" s="60" t="str">
        <f>IFERROR(VLOOKUP($E392,'基础-办公用品信息'!$C:$E,2,FALSE),"-")</f>
        <v>-</v>
      </c>
      <c r="G392" s="60" t="str">
        <f>IFERROR(VLOOKUP($E392,'基础-办公用品信息'!$C:$E,3,FALSE),"-")</f>
        <v>-</v>
      </c>
      <c r="H392" s="126" t="str">
        <f>IFERROR(VLOOKUP($E392,'基础-办公用品信息'!$C:$F,4,FALSE),"-")</f>
        <v>-</v>
      </c>
      <c r="I392" s="87"/>
      <c r="J392" s="61" t="str">
        <f t="shared" si="22"/>
        <v>-</v>
      </c>
      <c r="K392" s="87"/>
      <c r="L392" s="60">
        <f t="shared" si="23"/>
        <v>1900</v>
      </c>
      <c r="M392" s="60">
        <f t="shared" si="24"/>
        <v>1</v>
      </c>
    </row>
    <row r="393" customHeight="1" spans="2:13">
      <c r="B393" s="59">
        <v>390</v>
      </c>
      <c r="C393" s="87"/>
      <c r="D393" s="87"/>
      <c r="E393" s="87"/>
      <c r="F393" s="60" t="str">
        <f>IFERROR(VLOOKUP($E393,'基础-办公用品信息'!$C:$E,2,FALSE),"-")</f>
        <v>-</v>
      </c>
      <c r="G393" s="60" t="str">
        <f>IFERROR(VLOOKUP($E393,'基础-办公用品信息'!$C:$E,3,FALSE),"-")</f>
        <v>-</v>
      </c>
      <c r="H393" s="126" t="str">
        <f>IFERROR(VLOOKUP($E393,'基础-办公用品信息'!$C:$F,4,FALSE),"-")</f>
        <v>-</v>
      </c>
      <c r="I393" s="87"/>
      <c r="J393" s="61" t="str">
        <f t="shared" si="22"/>
        <v>-</v>
      </c>
      <c r="K393" s="87"/>
      <c r="L393" s="60">
        <f t="shared" si="23"/>
        <v>1900</v>
      </c>
      <c r="M393" s="60">
        <f t="shared" si="24"/>
        <v>1</v>
      </c>
    </row>
    <row r="394" customHeight="1" spans="2:13">
      <c r="B394" s="59">
        <v>391</v>
      </c>
      <c r="C394" s="87"/>
      <c r="D394" s="87"/>
      <c r="E394" s="87"/>
      <c r="F394" s="60" t="str">
        <f>IFERROR(VLOOKUP($E394,'基础-办公用品信息'!$C:$E,2,FALSE),"-")</f>
        <v>-</v>
      </c>
      <c r="G394" s="60" t="str">
        <f>IFERROR(VLOOKUP($E394,'基础-办公用品信息'!$C:$E,3,FALSE),"-")</f>
        <v>-</v>
      </c>
      <c r="H394" s="126" t="str">
        <f>IFERROR(VLOOKUP($E394,'基础-办公用品信息'!$C:$F,4,FALSE),"-")</f>
        <v>-</v>
      </c>
      <c r="I394" s="87"/>
      <c r="J394" s="61" t="str">
        <f t="shared" si="22"/>
        <v>-</v>
      </c>
      <c r="K394" s="87"/>
      <c r="L394" s="60">
        <f t="shared" si="23"/>
        <v>1900</v>
      </c>
      <c r="M394" s="60">
        <f t="shared" si="24"/>
        <v>1</v>
      </c>
    </row>
    <row r="395" customHeight="1" spans="2:13">
      <c r="B395" s="59">
        <v>392</v>
      </c>
      <c r="C395" s="87"/>
      <c r="D395" s="87"/>
      <c r="E395" s="87"/>
      <c r="F395" s="60" t="str">
        <f>IFERROR(VLOOKUP($E395,'基础-办公用品信息'!$C:$E,2,FALSE),"-")</f>
        <v>-</v>
      </c>
      <c r="G395" s="60" t="str">
        <f>IFERROR(VLOOKUP($E395,'基础-办公用品信息'!$C:$E,3,FALSE),"-")</f>
        <v>-</v>
      </c>
      <c r="H395" s="126" t="str">
        <f>IFERROR(VLOOKUP($E395,'基础-办公用品信息'!$C:$F,4,FALSE),"-")</f>
        <v>-</v>
      </c>
      <c r="I395" s="87"/>
      <c r="J395" s="61" t="str">
        <f t="shared" si="22"/>
        <v>-</v>
      </c>
      <c r="K395" s="87"/>
      <c r="L395" s="60">
        <f t="shared" si="23"/>
        <v>1900</v>
      </c>
      <c r="M395" s="60">
        <f t="shared" si="24"/>
        <v>1</v>
      </c>
    </row>
    <row r="396" customHeight="1" spans="2:13">
      <c r="B396" s="59">
        <v>393</v>
      </c>
      <c r="C396" s="87"/>
      <c r="D396" s="87"/>
      <c r="E396" s="87"/>
      <c r="F396" s="60" t="str">
        <f>IFERROR(VLOOKUP($E396,'基础-办公用品信息'!$C:$E,2,FALSE),"-")</f>
        <v>-</v>
      </c>
      <c r="G396" s="60" t="str">
        <f>IFERROR(VLOOKUP($E396,'基础-办公用品信息'!$C:$E,3,FALSE),"-")</f>
        <v>-</v>
      </c>
      <c r="H396" s="126" t="str">
        <f>IFERROR(VLOOKUP($E396,'基础-办公用品信息'!$C:$F,4,FALSE),"-")</f>
        <v>-</v>
      </c>
      <c r="I396" s="87"/>
      <c r="J396" s="61" t="str">
        <f t="shared" si="22"/>
        <v>-</v>
      </c>
      <c r="K396" s="87"/>
      <c r="L396" s="60">
        <f t="shared" si="23"/>
        <v>1900</v>
      </c>
      <c r="M396" s="60">
        <f t="shared" si="24"/>
        <v>1</v>
      </c>
    </row>
    <row r="397" customHeight="1" spans="2:13">
      <c r="B397" s="59">
        <v>394</v>
      </c>
      <c r="C397" s="87"/>
      <c r="D397" s="87"/>
      <c r="E397" s="87"/>
      <c r="F397" s="60" t="str">
        <f>IFERROR(VLOOKUP($E397,'基础-办公用品信息'!$C:$E,2,FALSE),"-")</f>
        <v>-</v>
      </c>
      <c r="G397" s="60" t="str">
        <f>IFERROR(VLOOKUP($E397,'基础-办公用品信息'!$C:$E,3,FALSE),"-")</f>
        <v>-</v>
      </c>
      <c r="H397" s="126" t="str">
        <f>IFERROR(VLOOKUP($E397,'基础-办公用品信息'!$C:$F,4,FALSE),"-")</f>
        <v>-</v>
      </c>
      <c r="I397" s="87"/>
      <c r="J397" s="61" t="str">
        <f t="shared" si="22"/>
        <v>-</v>
      </c>
      <c r="K397" s="87"/>
      <c r="L397" s="60">
        <f t="shared" si="23"/>
        <v>1900</v>
      </c>
      <c r="M397" s="60">
        <f t="shared" si="24"/>
        <v>1</v>
      </c>
    </row>
    <row r="398" customHeight="1" spans="2:13">
      <c r="B398" s="59">
        <v>395</v>
      </c>
      <c r="C398" s="87"/>
      <c r="D398" s="87"/>
      <c r="E398" s="87"/>
      <c r="F398" s="60" t="str">
        <f>IFERROR(VLOOKUP($E398,'基础-办公用品信息'!$C:$E,2,FALSE),"-")</f>
        <v>-</v>
      </c>
      <c r="G398" s="60" t="str">
        <f>IFERROR(VLOOKUP($E398,'基础-办公用品信息'!$C:$E,3,FALSE),"-")</f>
        <v>-</v>
      </c>
      <c r="H398" s="126" t="str">
        <f>IFERROR(VLOOKUP($E398,'基础-办公用品信息'!$C:$F,4,FALSE),"-")</f>
        <v>-</v>
      </c>
      <c r="I398" s="87"/>
      <c r="J398" s="61" t="str">
        <f t="shared" si="22"/>
        <v>-</v>
      </c>
      <c r="K398" s="87"/>
      <c r="L398" s="60">
        <f t="shared" si="23"/>
        <v>1900</v>
      </c>
      <c r="M398" s="60">
        <f t="shared" si="24"/>
        <v>1</v>
      </c>
    </row>
    <row r="399" customHeight="1" spans="2:13">
      <c r="B399" s="59">
        <v>396</v>
      </c>
      <c r="C399" s="87"/>
      <c r="D399" s="87"/>
      <c r="E399" s="87"/>
      <c r="F399" s="60" t="str">
        <f>IFERROR(VLOOKUP($E399,'基础-办公用品信息'!$C:$E,2,FALSE),"-")</f>
        <v>-</v>
      </c>
      <c r="G399" s="60" t="str">
        <f>IFERROR(VLOOKUP($E399,'基础-办公用品信息'!$C:$E,3,FALSE),"-")</f>
        <v>-</v>
      </c>
      <c r="H399" s="126" t="str">
        <f>IFERROR(VLOOKUP($E399,'基础-办公用品信息'!$C:$F,4,FALSE),"-")</f>
        <v>-</v>
      </c>
      <c r="I399" s="87"/>
      <c r="J399" s="61" t="str">
        <f t="shared" si="22"/>
        <v>-</v>
      </c>
      <c r="K399" s="87"/>
      <c r="L399" s="60">
        <f t="shared" si="23"/>
        <v>1900</v>
      </c>
      <c r="M399" s="60">
        <f t="shared" si="24"/>
        <v>1</v>
      </c>
    </row>
    <row r="400" customHeight="1" spans="2:13">
      <c r="B400" s="59">
        <v>397</v>
      </c>
      <c r="C400" s="87"/>
      <c r="D400" s="87"/>
      <c r="E400" s="87"/>
      <c r="F400" s="60" t="str">
        <f>IFERROR(VLOOKUP($E400,'基础-办公用品信息'!$C:$E,2,FALSE),"-")</f>
        <v>-</v>
      </c>
      <c r="G400" s="60" t="str">
        <f>IFERROR(VLOOKUP($E400,'基础-办公用品信息'!$C:$E,3,FALSE),"-")</f>
        <v>-</v>
      </c>
      <c r="H400" s="126" t="str">
        <f>IFERROR(VLOOKUP($E400,'基础-办公用品信息'!$C:$F,4,FALSE),"-")</f>
        <v>-</v>
      </c>
      <c r="I400" s="87"/>
      <c r="J400" s="61" t="str">
        <f t="shared" si="22"/>
        <v>-</v>
      </c>
      <c r="K400" s="87"/>
      <c r="L400" s="60">
        <f t="shared" si="23"/>
        <v>1900</v>
      </c>
      <c r="M400" s="60">
        <f t="shared" si="24"/>
        <v>1</v>
      </c>
    </row>
    <row r="401" customHeight="1" spans="2:13">
      <c r="B401" s="59">
        <v>398</v>
      </c>
      <c r="C401" s="87"/>
      <c r="D401" s="87"/>
      <c r="E401" s="87"/>
      <c r="F401" s="60" t="str">
        <f>IFERROR(VLOOKUP($E401,'基础-办公用品信息'!$C:$E,2,FALSE),"-")</f>
        <v>-</v>
      </c>
      <c r="G401" s="60" t="str">
        <f>IFERROR(VLOOKUP($E401,'基础-办公用品信息'!$C:$E,3,FALSE),"-")</f>
        <v>-</v>
      </c>
      <c r="H401" s="126" t="str">
        <f>IFERROR(VLOOKUP($E401,'基础-办公用品信息'!$C:$F,4,FALSE),"-")</f>
        <v>-</v>
      </c>
      <c r="I401" s="87"/>
      <c r="J401" s="61" t="str">
        <f t="shared" si="22"/>
        <v>-</v>
      </c>
      <c r="K401" s="87"/>
      <c r="L401" s="60">
        <f t="shared" si="23"/>
        <v>1900</v>
      </c>
      <c r="M401" s="60">
        <f t="shared" si="24"/>
        <v>1</v>
      </c>
    </row>
    <row r="402" customHeight="1" spans="2:13">
      <c r="B402" s="59">
        <v>399</v>
      </c>
      <c r="C402" s="87"/>
      <c r="D402" s="87"/>
      <c r="E402" s="87"/>
      <c r="F402" s="60" t="str">
        <f>IFERROR(VLOOKUP($E402,'基础-办公用品信息'!$C:$E,2,FALSE),"-")</f>
        <v>-</v>
      </c>
      <c r="G402" s="60" t="str">
        <f>IFERROR(VLOOKUP($E402,'基础-办公用品信息'!$C:$E,3,FALSE),"-")</f>
        <v>-</v>
      </c>
      <c r="H402" s="126" t="str">
        <f>IFERROR(VLOOKUP($E402,'基础-办公用品信息'!$C:$F,4,FALSE),"-")</f>
        <v>-</v>
      </c>
      <c r="I402" s="87"/>
      <c r="J402" s="61" t="str">
        <f t="shared" si="22"/>
        <v>-</v>
      </c>
      <c r="K402" s="87"/>
      <c r="L402" s="60">
        <f t="shared" si="23"/>
        <v>1900</v>
      </c>
      <c r="M402" s="60">
        <f t="shared" si="24"/>
        <v>1</v>
      </c>
    </row>
    <row r="403" customHeight="1" spans="2:13">
      <c r="B403" s="59">
        <v>400</v>
      </c>
      <c r="C403" s="87"/>
      <c r="D403" s="87"/>
      <c r="E403" s="87"/>
      <c r="F403" s="60" t="str">
        <f>IFERROR(VLOOKUP($E403,'基础-办公用品信息'!$C:$E,2,FALSE),"-")</f>
        <v>-</v>
      </c>
      <c r="G403" s="60" t="str">
        <f>IFERROR(VLOOKUP($E403,'基础-办公用品信息'!$C:$E,3,FALSE),"-")</f>
        <v>-</v>
      </c>
      <c r="H403" s="126" t="str">
        <f>IFERROR(VLOOKUP($E403,'基础-办公用品信息'!$C:$F,4,FALSE),"-")</f>
        <v>-</v>
      </c>
      <c r="I403" s="87"/>
      <c r="J403" s="61" t="str">
        <f t="shared" si="22"/>
        <v>-</v>
      </c>
      <c r="K403" s="87"/>
      <c r="L403" s="60">
        <f t="shared" si="23"/>
        <v>1900</v>
      </c>
      <c r="M403" s="60">
        <f t="shared" si="24"/>
        <v>1</v>
      </c>
    </row>
    <row r="404" customHeight="1" spans="2:13">
      <c r="B404" s="59">
        <v>401</v>
      </c>
      <c r="C404" s="87"/>
      <c r="D404" s="87"/>
      <c r="E404" s="87"/>
      <c r="F404" s="60" t="str">
        <f>IFERROR(VLOOKUP($E404,'基础-办公用品信息'!$C:$E,2,FALSE),"-")</f>
        <v>-</v>
      </c>
      <c r="G404" s="60" t="str">
        <f>IFERROR(VLOOKUP($E404,'基础-办公用品信息'!$C:$E,3,FALSE),"-")</f>
        <v>-</v>
      </c>
      <c r="H404" s="126" t="str">
        <f>IFERROR(VLOOKUP($E404,'基础-办公用品信息'!$C:$F,4,FALSE),"-")</f>
        <v>-</v>
      </c>
      <c r="I404" s="87"/>
      <c r="J404" s="61" t="str">
        <f t="shared" si="22"/>
        <v>-</v>
      </c>
      <c r="K404" s="87"/>
      <c r="L404" s="60">
        <f t="shared" si="23"/>
        <v>1900</v>
      </c>
      <c r="M404" s="60">
        <f t="shared" si="24"/>
        <v>1</v>
      </c>
    </row>
    <row r="405" customHeight="1" spans="2:13">
      <c r="B405" s="59">
        <v>402</v>
      </c>
      <c r="C405" s="87"/>
      <c r="D405" s="87"/>
      <c r="E405" s="87"/>
      <c r="F405" s="60" t="str">
        <f>IFERROR(VLOOKUP($E405,'基础-办公用品信息'!$C:$E,2,FALSE),"-")</f>
        <v>-</v>
      </c>
      <c r="G405" s="60" t="str">
        <f>IFERROR(VLOOKUP($E405,'基础-办公用品信息'!$C:$E,3,FALSE),"-")</f>
        <v>-</v>
      </c>
      <c r="H405" s="126" t="str">
        <f>IFERROR(VLOOKUP($E405,'基础-办公用品信息'!$C:$F,4,FALSE),"-")</f>
        <v>-</v>
      </c>
      <c r="I405" s="87"/>
      <c r="J405" s="61" t="str">
        <f t="shared" si="22"/>
        <v>-</v>
      </c>
      <c r="K405" s="87"/>
      <c r="L405" s="60">
        <f t="shared" si="23"/>
        <v>1900</v>
      </c>
      <c r="M405" s="60">
        <f t="shared" si="24"/>
        <v>1</v>
      </c>
    </row>
    <row r="406" customHeight="1" spans="2:13">
      <c r="B406" s="59">
        <v>403</v>
      </c>
      <c r="C406" s="87"/>
      <c r="D406" s="87"/>
      <c r="E406" s="87"/>
      <c r="F406" s="60" t="str">
        <f>IFERROR(VLOOKUP($E406,'基础-办公用品信息'!$C:$E,2,FALSE),"-")</f>
        <v>-</v>
      </c>
      <c r="G406" s="60" t="str">
        <f>IFERROR(VLOOKUP($E406,'基础-办公用品信息'!$C:$E,3,FALSE),"-")</f>
        <v>-</v>
      </c>
      <c r="H406" s="126" t="str">
        <f>IFERROR(VLOOKUP($E406,'基础-办公用品信息'!$C:$F,4,FALSE),"-")</f>
        <v>-</v>
      </c>
      <c r="I406" s="87"/>
      <c r="J406" s="61" t="str">
        <f t="shared" si="22"/>
        <v>-</v>
      </c>
      <c r="K406" s="87"/>
      <c r="L406" s="60">
        <f t="shared" si="23"/>
        <v>1900</v>
      </c>
      <c r="M406" s="60">
        <f t="shared" si="24"/>
        <v>1</v>
      </c>
    </row>
    <row r="407" customHeight="1" spans="2:13">
      <c r="B407" s="59">
        <v>404</v>
      </c>
      <c r="C407" s="87"/>
      <c r="D407" s="87"/>
      <c r="E407" s="87"/>
      <c r="F407" s="60" t="str">
        <f>IFERROR(VLOOKUP($E407,'基础-办公用品信息'!$C:$E,2,FALSE),"-")</f>
        <v>-</v>
      </c>
      <c r="G407" s="60" t="str">
        <f>IFERROR(VLOOKUP($E407,'基础-办公用品信息'!$C:$E,3,FALSE),"-")</f>
        <v>-</v>
      </c>
      <c r="H407" s="126" t="str">
        <f>IFERROR(VLOOKUP($E407,'基础-办公用品信息'!$C:$F,4,FALSE),"-")</f>
        <v>-</v>
      </c>
      <c r="I407" s="87"/>
      <c r="J407" s="61" t="str">
        <f t="shared" si="22"/>
        <v>-</v>
      </c>
      <c r="K407" s="87"/>
      <c r="L407" s="60">
        <f t="shared" si="23"/>
        <v>1900</v>
      </c>
      <c r="M407" s="60">
        <f t="shared" si="24"/>
        <v>1</v>
      </c>
    </row>
    <row r="408" customHeight="1" spans="2:13">
      <c r="B408" s="59">
        <v>405</v>
      </c>
      <c r="C408" s="87"/>
      <c r="D408" s="87"/>
      <c r="E408" s="87"/>
      <c r="F408" s="60" t="str">
        <f>IFERROR(VLOOKUP($E408,'基础-办公用品信息'!$C:$E,2,FALSE),"-")</f>
        <v>-</v>
      </c>
      <c r="G408" s="60" t="str">
        <f>IFERROR(VLOOKUP($E408,'基础-办公用品信息'!$C:$E,3,FALSE),"-")</f>
        <v>-</v>
      </c>
      <c r="H408" s="126" t="str">
        <f>IFERROR(VLOOKUP($E408,'基础-办公用品信息'!$C:$F,4,FALSE),"-")</f>
        <v>-</v>
      </c>
      <c r="I408" s="87"/>
      <c r="J408" s="61" t="str">
        <f t="shared" si="22"/>
        <v>-</v>
      </c>
      <c r="K408" s="87"/>
      <c r="L408" s="60">
        <f t="shared" si="23"/>
        <v>1900</v>
      </c>
      <c r="M408" s="60">
        <f t="shared" si="24"/>
        <v>1</v>
      </c>
    </row>
    <row r="409" customHeight="1" spans="2:13">
      <c r="B409" s="59">
        <v>406</v>
      </c>
      <c r="C409" s="87"/>
      <c r="D409" s="87"/>
      <c r="E409" s="87"/>
      <c r="F409" s="60" t="str">
        <f>IFERROR(VLOOKUP($E409,'基础-办公用品信息'!$C:$E,2,FALSE),"-")</f>
        <v>-</v>
      </c>
      <c r="G409" s="60" t="str">
        <f>IFERROR(VLOOKUP($E409,'基础-办公用品信息'!$C:$E,3,FALSE),"-")</f>
        <v>-</v>
      </c>
      <c r="H409" s="126" t="str">
        <f>IFERROR(VLOOKUP($E409,'基础-办公用品信息'!$C:$F,4,FALSE),"-")</f>
        <v>-</v>
      </c>
      <c r="I409" s="87"/>
      <c r="J409" s="61" t="str">
        <f t="shared" si="22"/>
        <v>-</v>
      </c>
      <c r="K409" s="87"/>
      <c r="L409" s="60">
        <f t="shared" si="23"/>
        <v>1900</v>
      </c>
      <c r="M409" s="60">
        <f t="shared" si="24"/>
        <v>1</v>
      </c>
    </row>
    <row r="410" customHeight="1" spans="2:13">
      <c r="B410" s="59">
        <v>407</v>
      </c>
      <c r="C410" s="87"/>
      <c r="D410" s="87"/>
      <c r="E410" s="87"/>
      <c r="F410" s="60" t="str">
        <f>IFERROR(VLOOKUP($E410,'基础-办公用品信息'!$C:$E,2,FALSE),"-")</f>
        <v>-</v>
      </c>
      <c r="G410" s="60" t="str">
        <f>IFERROR(VLOOKUP($E410,'基础-办公用品信息'!$C:$E,3,FALSE),"-")</f>
        <v>-</v>
      </c>
      <c r="H410" s="126" t="str">
        <f>IFERROR(VLOOKUP($E410,'基础-办公用品信息'!$C:$F,4,FALSE),"-")</f>
        <v>-</v>
      </c>
      <c r="I410" s="87"/>
      <c r="J410" s="61" t="str">
        <f t="shared" si="22"/>
        <v>-</v>
      </c>
      <c r="K410" s="87"/>
      <c r="L410" s="60">
        <f t="shared" si="23"/>
        <v>1900</v>
      </c>
      <c r="M410" s="60">
        <f t="shared" si="24"/>
        <v>1</v>
      </c>
    </row>
    <row r="411" customHeight="1" spans="2:13">
      <c r="B411" s="59">
        <v>408</v>
      </c>
      <c r="C411" s="87"/>
      <c r="D411" s="87"/>
      <c r="E411" s="87"/>
      <c r="F411" s="60" t="str">
        <f>IFERROR(VLOOKUP($E411,'基础-办公用品信息'!$C:$E,2,FALSE),"-")</f>
        <v>-</v>
      </c>
      <c r="G411" s="60" t="str">
        <f>IFERROR(VLOOKUP($E411,'基础-办公用品信息'!$C:$E,3,FALSE),"-")</f>
        <v>-</v>
      </c>
      <c r="H411" s="126" t="str">
        <f>IFERROR(VLOOKUP($E411,'基础-办公用品信息'!$C:$F,4,FALSE),"-")</f>
        <v>-</v>
      </c>
      <c r="I411" s="87"/>
      <c r="J411" s="61" t="str">
        <f t="shared" si="22"/>
        <v>-</v>
      </c>
      <c r="K411" s="87"/>
      <c r="L411" s="60">
        <f t="shared" si="23"/>
        <v>1900</v>
      </c>
      <c r="M411" s="60">
        <f t="shared" si="24"/>
        <v>1</v>
      </c>
    </row>
    <row r="412" customHeight="1" spans="2:13">
      <c r="B412" s="59">
        <v>409</v>
      </c>
      <c r="C412" s="87"/>
      <c r="D412" s="87"/>
      <c r="E412" s="87"/>
      <c r="F412" s="60" t="str">
        <f>IFERROR(VLOOKUP($E412,'基础-办公用品信息'!$C:$E,2,FALSE),"-")</f>
        <v>-</v>
      </c>
      <c r="G412" s="60" t="str">
        <f>IFERROR(VLOOKUP($E412,'基础-办公用品信息'!$C:$E,3,FALSE),"-")</f>
        <v>-</v>
      </c>
      <c r="H412" s="126" t="str">
        <f>IFERROR(VLOOKUP($E412,'基础-办公用品信息'!$C:$F,4,FALSE),"-")</f>
        <v>-</v>
      </c>
      <c r="I412" s="87"/>
      <c r="J412" s="61" t="str">
        <f t="shared" si="22"/>
        <v>-</v>
      </c>
      <c r="K412" s="87"/>
      <c r="L412" s="60">
        <f t="shared" si="23"/>
        <v>1900</v>
      </c>
      <c r="M412" s="60">
        <f t="shared" si="24"/>
        <v>1</v>
      </c>
    </row>
    <row r="413" customHeight="1" spans="2:13">
      <c r="B413" s="59">
        <v>410</v>
      </c>
      <c r="C413" s="87"/>
      <c r="D413" s="87"/>
      <c r="E413" s="87"/>
      <c r="F413" s="60" t="str">
        <f>IFERROR(VLOOKUP($E413,'基础-办公用品信息'!$C:$E,2,FALSE),"-")</f>
        <v>-</v>
      </c>
      <c r="G413" s="60" t="str">
        <f>IFERROR(VLOOKUP($E413,'基础-办公用品信息'!$C:$E,3,FALSE),"-")</f>
        <v>-</v>
      </c>
      <c r="H413" s="126" t="str">
        <f>IFERROR(VLOOKUP($E413,'基础-办公用品信息'!$C:$F,4,FALSE),"-")</f>
        <v>-</v>
      </c>
      <c r="I413" s="87"/>
      <c r="J413" s="61" t="str">
        <f t="shared" si="22"/>
        <v>-</v>
      </c>
      <c r="K413" s="87"/>
      <c r="L413" s="60">
        <f t="shared" si="23"/>
        <v>1900</v>
      </c>
      <c r="M413" s="60">
        <f t="shared" si="24"/>
        <v>1</v>
      </c>
    </row>
    <row r="414" customHeight="1" spans="2:13">
      <c r="B414" s="59">
        <v>411</v>
      </c>
      <c r="C414" s="87"/>
      <c r="D414" s="87"/>
      <c r="E414" s="87"/>
      <c r="F414" s="60" t="str">
        <f>IFERROR(VLOOKUP($E414,'基础-办公用品信息'!$C:$E,2,FALSE),"-")</f>
        <v>-</v>
      </c>
      <c r="G414" s="60" t="str">
        <f>IFERROR(VLOOKUP($E414,'基础-办公用品信息'!$C:$E,3,FALSE),"-")</f>
        <v>-</v>
      </c>
      <c r="H414" s="126" t="str">
        <f>IFERROR(VLOOKUP($E414,'基础-办公用品信息'!$C:$F,4,FALSE),"-")</f>
        <v>-</v>
      </c>
      <c r="I414" s="87"/>
      <c r="J414" s="61" t="str">
        <f t="shared" si="22"/>
        <v>-</v>
      </c>
      <c r="K414" s="87"/>
      <c r="L414" s="60">
        <f t="shared" si="23"/>
        <v>1900</v>
      </c>
      <c r="M414" s="60">
        <f t="shared" si="24"/>
        <v>1</v>
      </c>
    </row>
    <row r="415" customHeight="1" spans="2:13">
      <c r="B415" s="59">
        <v>412</v>
      </c>
      <c r="C415" s="87"/>
      <c r="D415" s="87"/>
      <c r="E415" s="87"/>
      <c r="F415" s="60" t="str">
        <f>IFERROR(VLOOKUP($E415,'基础-办公用品信息'!$C:$E,2,FALSE),"-")</f>
        <v>-</v>
      </c>
      <c r="G415" s="60" t="str">
        <f>IFERROR(VLOOKUP($E415,'基础-办公用品信息'!$C:$E,3,FALSE),"-")</f>
        <v>-</v>
      </c>
      <c r="H415" s="126" t="str">
        <f>IFERROR(VLOOKUP($E415,'基础-办公用品信息'!$C:$F,4,FALSE),"-")</f>
        <v>-</v>
      </c>
      <c r="I415" s="87"/>
      <c r="J415" s="61" t="str">
        <f t="shared" si="22"/>
        <v>-</v>
      </c>
      <c r="K415" s="87"/>
      <c r="L415" s="60">
        <f t="shared" si="23"/>
        <v>1900</v>
      </c>
      <c r="M415" s="60">
        <f t="shared" si="24"/>
        <v>1</v>
      </c>
    </row>
    <row r="416" customHeight="1" spans="2:13">
      <c r="B416" s="59">
        <v>413</v>
      </c>
      <c r="C416" s="87"/>
      <c r="D416" s="87"/>
      <c r="E416" s="87"/>
      <c r="F416" s="60" t="str">
        <f>IFERROR(VLOOKUP($E416,'基础-办公用品信息'!$C:$E,2,FALSE),"-")</f>
        <v>-</v>
      </c>
      <c r="G416" s="60" t="str">
        <f>IFERROR(VLOOKUP($E416,'基础-办公用品信息'!$C:$E,3,FALSE),"-")</f>
        <v>-</v>
      </c>
      <c r="H416" s="126" t="str">
        <f>IFERROR(VLOOKUP($E416,'基础-办公用品信息'!$C:$F,4,FALSE),"-")</f>
        <v>-</v>
      </c>
      <c r="I416" s="87"/>
      <c r="J416" s="61" t="str">
        <f t="shared" si="22"/>
        <v>-</v>
      </c>
      <c r="K416" s="87"/>
      <c r="L416" s="60">
        <f t="shared" si="23"/>
        <v>1900</v>
      </c>
      <c r="M416" s="60">
        <f t="shared" si="24"/>
        <v>1</v>
      </c>
    </row>
    <row r="417" customHeight="1" spans="2:13">
      <c r="B417" s="59">
        <v>414</v>
      </c>
      <c r="C417" s="87"/>
      <c r="D417" s="87"/>
      <c r="E417" s="87"/>
      <c r="F417" s="60" t="str">
        <f>IFERROR(VLOOKUP($E417,'基础-办公用品信息'!$C:$E,2,FALSE),"-")</f>
        <v>-</v>
      </c>
      <c r="G417" s="60" t="str">
        <f>IFERROR(VLOOKUP($E417,'基础-办公用品信息'!$C:$E,3,FALSE),"-")</f>
        <v>-</v>
      </c>
      <c r="H417" s="126" t="str">
        <f>IFERROR(VLOOKUP($E417,'基础-办公用品信息'!$C:$F,4,FALSE),"-")</f>
        <v>-</v>
      </c>
      <c r="I417" s="87"/>
      <c r="J417" s="61" t="str">
        <f t="shared" si="22"/>
        <v>-</v>
      </c>
      <c r="K417" s="87"/>
      <c r="L417" s="60">
        <f t="shared" si="23"/>
        <v>1900</v>
      </c>
      <c r="M417" s="60">
        <f t="shared" si="24"/>
        <v>1</v>
      </c>
    </row>
    <row r="418" customHeight="1" spans="2:13">
      <c r="B418" s="59">
        <v>415</v>
      </c>
      <c r="C418" s="87"/>
      <c r="D418" s="87"/>
      <c r="E418" s="87"/>
      <c r="F418" s="60" t="str">
        <f>IFERROR(VLOOKUP($E418,'基础-办公用品信息'!$C:$E,2,FALSE),"-")</f>
        <v>-</v>
      </c>
      <c r="G418" s="60" t="str">
        <f>IFERROR(VLOOKUP($E418,'基础-办公用品信息'!$C:$E,3,FALSE),"-")</f>
        <v>-</v>
      </c>
      <c r="H418" s="126" t="str">
        <f>IFERROR(VLOOKUP($E418,'基础-办公用品信息'!$C:$F,4,FALSE),"-")</f>
        <v>-</v>
      </c>
      <c r="I418" s="87"/>
      <c r="J418" s="61" t="str">
        <f t="shared" si="22"/>
        <v>-</v>
      </c>
      <c r="K418" s="87"/>
      <c r="L418" s="60">
        <f t="shared" si="23"/>
        <v>1900</v>
      </c>
      <c r="M418" s="60">
        <f t="shared" si="24"/>
        <v>1</v>
      </c>
    </row>
    <row r="419" customHeight="1" spans="2:13">
      <c r="B419" s="59">
        <v>416</v>
      </c>
      <c r="C419" s="87"/>
      <c r="D419" s="87"/>
      <c r="E419" s="87"/>
      <c r="F419" s="60" t="str">
        <f>IFERROR(VLOOKUP($E419,'基础-办公用品信息'!$C:$E,2,FALSE),"-")</f>
        <v>-</v>
      </c>
      <c r="G419" s="60" t="str">
        <f>IFERROR(VLOOKUP($E419,'基础-办公用品信息'!$C:$E,3,FALSE),"-")</f>
        <v>-</v>
      </c>
      <c r="H419" s="126" t="str">
        <f>IFERROR(VLOOKUP($E419,'基础-办公用品信息'!$C:$F,4,FALSE),"-")</f>
        <v>-</v>
      </c>
      <c r="I419" s="87"/>
      <c r="J419" s="61" t="str">
        <f t="shared" si="22"/>
        <v>-</v>
      </c>
      <c r="K419" s="87"/>
      <c r="L419" s="60">
        <f t="shared" si="23"/>
        <v>1900</v>
      </c>
      <c r="M419" s="60">
        <f t="shared" si="24"/>
        <v>1</v>
      </c>
    </row>
    <row r="420" customHeight="1" spans="2:13">
      <c r="B420" s="59">
        <v>417</v>
      </c>
      <c r="C420" s="87"/>
      <c r="D420" s="87"/>
      <c r="E420" s="87"/>
      <c r="F420" s="60" t="str">
        <f>IFERROR(VLOOKUP($E420,'基础-办公用品信息'!$C:$E,2,FALSE),"-")</f>
        <v>-</v>
      </c>
      <c r="G420" s="60" t="str">
        <f>IFERROR(VLOOKUP($E420,'基础-办公用品信息'!$C:$E,3,FALSE),"-")</f>
        <v>-</v>
      </c>
      <c r="H420" s="126" t="str">
        <f>IFERROR(VLOOKUP($E420,'基础-办公用品信息'!$C:$F,4,FALSE),"-")</f>
        <v>-</v>
      </c>
      <c r="I420" s="87"/>
      <c r="J420" s="61" t="str">
        <f t="shared" si="22"/>
        <v>-</v>
      </c>
      <c r="K420" s="87"/>
      <c r="L420" s="60">
        <f t="shared" si="23"/>
        <v>1900</v>
      </c>
      <c r="M420" s="60">
        <f t="shared" si="24"/>
        <v>1</v>
      </c>
    </row>
    <row r="421" customHeight="1" spans="2:13">
      <c r="B421" s="59">
        <v>418</v>
      </c>
      <c r="C421" s="87"/>
      <c r="D421" s="87"/>
      <c r="E421" s="87"/>
      <c r="F421" s="60" t="str">
        <f>IFERROR(VLOOKUP($E421,'基础-办公用品信息'!$C:$E,2,FALSE),"-")</f>
        <v>-</v>
      </c>
      <c r="G421" s="60" t="str">
        <f>IFERROR(VLOOKUP($E421,'基础-办公用品信息'!$C:$E,3,FALSE),"-")</f>
        <v>-</v>
      </c>
      <c r="H421" s="126" t="str">
        <f>IFERROR(VLOOKUP($E421,'基础-办公用品信息'!$C:$F,4,FALSE),"-")</f>
        <v>-</v>
      </c>
      <c r="I421" s="87"/>
      <c r="J421" s="61" t="str">
        <f t="shared" si="22"/>
        <v>-</v>
      </c>
      <c r="K421" s="87"/>
      <c r="L421" s="60">
        <f t="shared" si="23"/>
        <v>1900</v>
      </c>
      <c r="M421" s="60">
        <f t="shared" si="24"/>
        <v>1</v>
      </c>
    </row>
    <row r="422" customHeight="1" spans="2:13">
      <c r="B422" s="59">
        <v>419</v>
      </c>
      <c r="C422" s="87"/>
      <c r="D422" s="87"/>
      <c r="E422" s="87"/>
      <c r="F422" s="60" t="str">
        <f>IFERROR(VLOOKUP($E422,'基础-办公用品信息'!$C:$E,2,FALSE),"-")</f>
        <v>-</v>
      </c>
      <c r="G422" s="60" t="str">
        <f>IFERROR(VLOOKUP($E422,'基础-办公用品信息'!$C:$E,3,FALSE),"-")</f>
        <v>-</v>
      </c>
      <c r="H422" s="126" t="str">
        <f>IFERROR(VLOOKUP($E422,'基础-办公用品信息'!$C:$F,4,FALSE),"-")</f>
        <v>-</v>
      </c>
      <c r="I422" s="87"/>
      <c r="J422" s="61" t="str">
        <f t="shared" si="22"/>
        <v>-</v>
      </c>
      <c r="K422" s="87"/>
      <c r="L422" s="60">
        <f t="shared" si="23"/>
        <v>1900</v>
      </c>
      <c r="M422" s="60">
        <f t="shared" si="24"/>
        <v>1</v>
      </c>
    </row>
    <row r="423" customHeight="1" spans="2:13">
      <c r="B423" s="59">
        <v>420</v>
      </c>
      <c r="C423" s="87"/>
      <c r="D423" s="87"/>
      <c r="E423" s="87"/>
      <c r="F423" s="60" t="str">
        <f>IFERROR(VLOOKUP($E423,'基础-办公用品信息'!$C:$E,2,FALSE),"-")</f>
        <v>-</v>
      </c>
      <c r="G423" s="60" t="str">
        <f>IFERROR(VLOOKUP($E423,'基础-办公用品信息'!$C:$E,3,FALSE),"-")</f>
        <v>-</v>
      </c>
      <c r="H423" s="126" t="str">
        <f>IFERROR(VLOOKUP($E423,'基础-办公用品信息'!$C:$F,4,FALSE),"-")</f>
        <v>-</v>
      </c>
      <c r="I423" s="87"/>
      <c r="J423" s="61" t="str">
        <f t="shared" si="22"/>
        <v>-</v>
      </c>
      <c r="K423" s="87"/>
      <c r="L423" s="60">
        <f t="shared" si="23"/>
        <v>1900</v>
      </c>
      <c r="M423" s="60">
        <f t="shared" si="24"/>
        <v>1</v>
      </c>
    </row>
    <row r="424" customHeight="1" spans="2:13">
      <c r="B424" s="59">
        <v>421</v>
      </c>
      <c r="C424" s="87"/>
      <c r="D424" s="87"/>
      <c r="E424" s="87"/>
      <c r="F424" s="60" t="str">
        <f>IFERROR(VLOOKUP($E424,'基础-办公用品信息'!$C:$E,2,FALSE),"-")</f>
        <v>-</v>
      </c>
      <c r="G424" s="60" t="str">
        <f>IFERROR(VLOOKUP($E424,'基础-办公用品信息'!$C:$E,3,FALSE),"-")</f>
        <v>-</v>
      </c>
      <c r="H424" s="126" t="str">
        <f>IFERROR(VLOOKUP($E424,'基础-办公用品信息'!$C:$F,4,FALSE),"-")</f>
        <v>-</v>
      </c>
      <c r="I424" s="87"/>
      <c r="J424" s="61" t="str">
        <f t="shared" si="22"/>
        <v>-</v>
      </c>
      <c r="K424" s="87"/>
      <c r="L424" s="60">
        <f t="shared" si="23"/>
        <v>1900</v>
      </c>
      <c r="M424" s="60">
        <f t="shared" si="24"/>
        <v>1</v>
      </c>
    </row>
    <row r="425" customHeight="1" spans="2:13">
      <c r="B425" s="59">
        <v>422</v>
      </c>
      <c r="C425" s="87"/>
      <c r="D425" s="87"/>
      <c r="E425" s="87"/>
      <c r="F425" s="60" t="str">
        <f>IFERROR(VLOOKUP($E425,'基础-办公用品信息'!$C:$E,2,FALSE),"-")</f>
        <v>-</v>
      </c>
      <c r="G425" s="60" t="str">
        <f>IFERROR(VLOOKUP($E425,'基础-办公用品信息'!$C:$E,3,FALSE),"-")</f>
        <v>-</v>
      </c>
      <c r="H425" s="126" t="str">
        <f>IFERROR(VLOOKUP($E425,'基础-办公用品信息'!$C:$F,4,FALSE),"-")</f>
        <v>-</v>
      </c>
      <c r="I425" s="87"/>
      <c r="J425" s="61" t="str">
        <f t="shared" si="22"/>
        <v>-</v>
      </c>
      <c r="K425" s="87"/>
      <c r="L425" s="60">
        <f t="shared" si="23"/>
        <v>1900</v>
      </c>
      <c r="M425" s="60">
        <f t="shared" si="24"/>
        <v>1</v>
      </c>
    </row>
    <row r="426" customHeight="1" spans="2:13">
      <c r="B426" s="59">
        <v>423</v>
      </c>
      <c r="C426" s="87"/>
      <c r="D426" s="87"/>
      <c r="E426" s="87"/>
      <c r="F426" s="60" t="str">
        <f>IFERROR(VLOOKUP($E426,'基础-办公用品信息'!$C:$E,2,FALSE),"-")</f>
        <v>-</v>
      </c>
      <c r="G426" s="60" t="str">
        <f>IFERROR(VLOOKUP($E426,'基础-办公用品信息'!$C:$E,3,FALSE),"-")</f>
        <v>-</v>
      </c>
      <c r="H426" s="126" t="str">
        <f>IFERROR(VLOOKUP($E426,'基础-办公用品信息'!$C:$F,4,FALSE),"-")</f>
        <v>-</v>
      </c>
      <c r="I426" s="87"/>
      <c r="J426" s="61" t="str">
        <f t="shared" si="22"/>
        <v>-</v>
      </c>
      <c r="K426" s="87"/>
      <c r="L426" s="60">
        <f t="shared" si="23"/>
        <v>1900</v>
      </c>
      <c r="M426" s="60">
        <f t="shared" si="24"/>
        <v>1</v>
      </c>
    </row>
    <row r="427" customHeight="1" spans="2:13">
      <c r="B427" s="59">
        <v>424</v>
      </c>
      <c r="C427" s="87"/>
      <c r="D427" s="87"/>
      <c r="E427" s="87"/>
      <c r="F427" s="60" t="str">
        <f>IFERROR(VLOOKUP($E427,'基础-办公用品信息'!$C:$E,2,FALSE),"-")</f>
        <v>-</v>
      </c>
      <c r="G427" s="60" t="str">
        <f>IFERROR(VLOOKUP($E427,'基础-办公用品信息'!$C:$E,3,FALSE),"-")</f>
        <v>-</v>
      </c>
      <c r="H427" s="126" t="str">
        <f>IFERROR(VLOOKUP($E427,'基础-办公用品信息'!$C:$F,4,FALSE),"-")</f>
        <v>-</v>
      </c>
      <c r="I427" s="87"/>
      <c r="J427" s="61" t="str">
        <f t="shared" si="22"/>
        <v>-</v>
      </c>
      <c r="K427" s="87"/>
      <c r="L427" s="60">
        <f t="shared" si="23"/>
        <v>1900</v>
      </c>
      <c r="M427" s="60">
        <f t="shared" si="24"/>
        <v>1</v>
      </c>
    </row>
    <row r="428" customHeight="1" spans="2:13">
      <c r="B428" s="59">
        <v>425</v>
      </c>
      <c r="C428" s="87"/>
      <c r="D428" s="87"/>
      <c r="E428" s="87"/>
      <c r="F428" s="60" t="str">
        <f>IFERROR(VLOOKUP($E428,'基础-办公用品信息'!$C:$E,2,FALSE),"-")</f>
        <v>-</v>
      </c>
      <c r="G428" s="60" t="str">
        <f>IFERROR(VLOOKUP($E428,'基础-办公用品信息'!$C:$E,3,FALSE),"-")</f>
        <v>-</v>
      </c>
      <c r="H428" s="126" t="str">
        <f>IFERROR(VLOOKUP($E428,'基础-办公用品信息'!$C:$F,4,FALSE),"-")</f>
        <v>-</v>
      </c>
      <c r="I428" s="87"/>
      <c r="J428" s="61" t="str">
        <f t="shared" si="22"/>
        <v>-</v>
      </c>
      <c r="K428" s="87"/>
      <c r="L428" s="60">
        <f t="shared" si="23"/>
        <v>1900</v>
      </c>
      <c r="M428" s="60">
        <f t="shared" si="24"/>
        <v>1</v>
      </c>
    </row>
    <row r="429" customHeight="1" spans="2:13">
      <c r="B429" s="59">
        <v>426</v>
      </c>
      <c r="C429" s="87"/>
      <c r="D429" s="87"/>
      <c r="E429" s="87"/>
      <c r="F429" s="60" t="str">
        <f>IFERROR(VLOOKUP($E429,'基础-办公用品信息'!$C:$E,2,FALSE),"-")</f>
        <v>-</v>
      </c>
      <c r="G429" s="60" t="str">
        <f>IFERROR(VLOOKUP($E429,'基础-办公用品信息'!$C:$E,3,FALSE),"-")</f>
        <v>-</v>
      </c>
      <c r="H429" s="126" t="str">
        <f>IFERROR(VLOOKUP($E429,'基础-办公用品信息'!$C:$F,4,FALSE),"-")</f>
        <v>-</v>
      </c>
      <c r="I429" s="87"/>
      <c r="J429" s="61" t="str">
        <f t="shared" si="22"/>
        <v>-</v>
      </c>
      <c r="K429" s="87"/>
      <c r="L429" s="60">
        <f t="shared" si="23"/>
        <v>1900</v>
      </c>
      <c r="M429" s="60">
        <f t="shared" si="24"/>
        <v>1</v>
      </c>
    </row>
    <row r="430" customHeight="1" spans="2:13">
      <c r="B430" s="59">
        <v>427</v>
      </c>
      <c r="C430" s="87"/>
      <c r="D430" s="87"/>
      <c r="E430" s="87"/>
      <c r="F430" s="60" t="str">
        <f>IFERROR(VLOOKUP($E430,'基础-办公用品信息'!$C:$E,2,FALSE),"-")</f>
        <v>-</v>
      </c>
      <c r="G430" s="60" t="str">
        <f>IFERROR(VLOOKUP($E430,'基础-办公用品信息'!$C:$E,3,FALSE),"-")</f>
        <v>-</v>
      </c>
      <c r="H430" s="126" t="str">
        <f>IFERROR(VLOOKUP($E430,'基础-办公用品信息'!$C:$F,4,FALSE),"-")</f>
        <v>-</v>
      </c>
      <c r="I430" s="87"/>
      <c r="J430" s="61" t="str">
        <f t="shared" si="22"/>
        <v>-</v>
      </c>
      <c r="K430" s="87"/>
      <c r="L430" s="60">
        <f t="shared" si="23"/>
        <v>1900</v>
      </c>
      <c r="M430" s="60">
        <f t="shared" si="24"/>
        <v>1</v>
      </c>
    </row>
    <row r="431" customHeight="1" spans="2:13">
      <c r="B431" s="59">
        <v>428</v>
      </c>
      <c r="C431" s="87"/>
      <c r="D431" s="87"/>
      <c r="E431" s="87"/>
      <c r="F431" s="60" t="str">
        <f>IFERROR(VLOOKUP($E431,'基础-办公用品信息'!$C:$E,2,FALSE),"-")</f>
        <v>-</v>
      </c>
      <c r="G431" s="60" t="str">
        <f>IFERROR(VLOOKUP($E431,'基础-办公用品信息'!$C:$E,3,FALSE),"-")</f>
        <v>-</v>
      </c>
      <c r="H431" s="126" t="str">
        <f>IFERROR(VLOOKUP($E431,'基础-办公用品信息'!$C:$F,4,FALSE),"-")</f>
        <v>-</v>
      </c>
      <c r="I431" s="87"/>
      <c r="J431" s="61" t="str">
        <f t="shared" si="22"/>
        <v>-</v>
      </c>
      <c r="K431" s="87"/>
      <c r="L431" s="60">
        <f t="shared" si="23"/>
        <v>1900</v>
      </c>
      <c r="M431" s="60">
        <f t="shared" si="24"/>
        <v>1</v>
      </c>
    </row>
    <row r="432" customHeight="1" spans="2:13">
      <c r="B432" s="59">
        <v>429</v>
      </c>
      <c r="C432" s="87"/>
      <c r="D432" s="87"/>
      <c r="E432" s="87"/>
      <c r="F432" s="60" t="str">
        <f>IFERROR(VLOOKUP($E432,'基础-办公用品信息'!$C:$E,2,FALSE),"-")</f>
        <v>-</v>
      </c>
      <c r="G432" s="60" t="str">
        <f>IFERROR(VLOOKUP($E432,'基础-办公用品信息'!$C:$E,3,FALSE),"-")</f>
        <v>-</v>
      </c>
      <c r="H432" s="126" t="str">
        <f>IFERROR(VLOOKUP($E432,'基础-办公用品信息'!$C:$F,4,FALSE),"-")</f>
        <v>-</v>
      </c>
      <c r="I432" s="87"/>
      <c r="J432" s="61" t="str">
        <f t="shared" si="22"/>
        <v>-</v>
      </c>
      <c r="K432" s="87"/>
      <c r="L432" s="60">
        <f t="shared" si="23"/>
        <v>1900</v>
      </c>
      <c r="M432" s="60">
        <f t="shared" si="24"/>
        <v>1</v>
      </c>
    </row>
    <row r="433" customHeight="1" spans="2:13">
      <c r="B433" s="59">
        <v>430</v>
      </c>
      <c r="C433" s="87"/>
      <c r="D433" s="87"/>
      <c r="E433" s="87"/>
      <c r="F433" s="60" t="str">
        <f>IFERROR(VLOOKUP($E433,'基础-办公用品信息'!$C:$E,2,FALSE),"-")</f>
        <v>-</v>
      </c>
      <c r="G433" s="60" t="str">
        <f>IFERROR(VLOOKUP($E433,'基础-办公用品信息'!$C:$E,3,FALSE),"-")</f>
        <v>-</v>
      </c>
      <c r="H433" s="126" t="str">
        <f>IFERROR(VLOOKUP($E433,'基础-办公用品信息'!$C:$F,4,FALSE),"-")</f>
        <v>-</v>
      </c>
      <c r="I433" s="87"/>
      <c r="J433" s="61" t="str">
        <f t="shared" si="22"/>
        <v>-</v>
      </c>
      <c r="K433" s="87"/>
      <c r="L433" s="60">
        <f t="shared" si="23"/>
        <v>1900</v>
      </c>
      <c r="M433" s="60">
        <f t="shared" si="24"/>
        <v>1</v>
      </c>
    </row>
    <row r="434" customHeight="1" spans="2:13">
      <c r="B434" s="59">
        <v>431</v>
      </c>
      <c r="C434" s="87"/>
      <c r="D434" s="87"/>
      <c r="E434" s="87"/>
      <c r="F434" s="60" t="str">
        <f>IFERROR(VLOOKUP($E434,'基础-办公用品信息'!$C:$E,2,FALSE),"-")</f>
        <v>-</v>
      </c>
      <c r="G434" s="60" t="str">
        <f>IFERROR(VLOOKUP($E434,'基础-办公用品信息'!$C:$E,3,FALSE),"-")</f>
        <v>-</v>
      </c>
      <c r="H434" s="126" t="str">
        <f>IFERROR(VLOOKUP($E434,'基础-办公用品信息'!$C:$F,4,FALSE),"-")</f>
        <v>-</v>
      </c>
      <c r="I434" s="87"/>
      <c r="J434" s="61" t="str">
        <f t="shared" si="22"/>
        <v>-</v>
      </c>
      <c r="K434" s="87"/>
      <c r="L434" s="60">
        <f t="shared" si="23"/>
        <v>1900</v>
      </c>
      <c r="M434" s="60">
        <f t="shared" si="24"/>
        <v>1</v>
      </c>
    </row>
    <row r="435" customHeight="1" spans="2:13">
      <c r="B435" s="59">
        <v>432</v>
      </c>
      <c r="C435" s="87"/>
      <c r="D435" s="87"/>
      <c r="E435" s="87"/>
      <c r="F435" s="60" t="str">
        <f>IFERROR(VLOOKUP($E435,'基础-办公用品信息'!$C:$E,2,FALSE),"-")</f>
        <v>-</v>
      </c>
      <c r="G435" s="60" t="str">
        <f>IFERROR(VLOOKUP($E435,'基础-办公用品信息'!$C:$E,3,FALSE),"-")</f>
        <v>-</v>
      </c>
      <c r="H435" s="126" t="str">
        <f>IFERROR(VLOOKUP($E435,'基础-办公用品信息'!$C:$F,4,FALSE),"-")</f>
        <v>-</v>
      </c>
      <c r="I435" s="87"/>
      <c r="J435" s="61" t="str">
        <f t="shared" si="22"/>
        <v>-</v>
      </c>
      <c r="K435" s="87"/>
      <c r="L435" s="60">
        <f t="shared" si="23"/>
        <v>1900</v>
      </c>
      <c r="M435" s="60">
        <f t="shared" si="24"/>
        <v>1</v>
      </c>
    </row>
    <row r="436" customHeight="1" spans="2:13">
      <c r="B436" s="59">
        <v>433</v>
      </c>
      <c r="C436" s="87"/>
      <c r="D436" s="87"/>
      <c r="E436" s="87"/>
      <c r="F436" s="60" t="str">
        <f>IFERROR(VLOOKUP($E436,'基础-办公用品信息'!$C:$E,2,FALSE),"-")</f>
        <v>-</v>
      </c>
      <c r="G436" s="60" t="str">
        <f>IFERROR(VLOOKUP($E436,'基础-办公用品信息'!$C:$E,3,FALSE),"-")</f>
        <v>-</v>
      </c>
      <c r="H436" s="126" t="str">
        <f>IFERROR(VLOOKUP($E436,'基础-办公用品信息'!$C:$F,4,FALSE),"-")</f>
        <v>-</v>
      </c>
      <c r="I436" s="87"/>
      <c r="J436" s="61" t="str">
        <f t="shared" si="22"/>
        <v>-</v>
      </c>
      <c r="K436" s="87"/>
      <c r="L436" s="60">
        <f t="shared" si="23"/>
        <v>1900</v>
      </c>
      <c r="M436" s="60">
        <f t="shared" si="24"/>
        <v>1</v>
      </c>
    </row>
    <row r="437" customHeight="1" spans="2:13">
      <c r="B437" s="59">
        <v>434</v>
      </c>
      <c r="C437" s="87"/>
      <c r="D437" s="87"/>
      <c r="E437" s="87"/>
      <c r="F437" s="60" t="str">
        <f>IFERROR(VLOOKUP($E437,'基础-办公用品信息'!$C:$E,2,FALSE),"-")</f>
        <v>-</v>
      </c>
      <c r="G437" s="60" t="str">
        <f>IFERROR(VLOOKUP($E437,'基础-办公用品信息'!$C:$E,3,FALSE),"-")</f>
        <v>-</v>
      </c>
      <c r="H437" s="126" t="str">
        <f>IFERROR(VLOOKUP($E437,'基础-办公用品信息'!$C:$F,4,FALSE),"-")</f>
        <v>-</v>
      </c>
      <c r="I437" s="87"/>
      <c r="J437" s="61" t="str">
        <f t="shared" si="22"/>
        <v>-</v>
      </c>
      <c r="K437" s="87"/>
      <c r="L437" s="60">
        <f t="shared" si="23"/>
        <v>1900</v>
      </c>
      <c r="M437" s="60">
        <f t="shared" si="24"/>
        <v>1</v>
      </c>
    </row>
    <row r="438" customHeight="1" spans="2:13">
      <c r="B438" s="59">
        <v>435</v>
      </c>
      <c r="C438" s="87"/>
      <c r="D438" s="87"/>
      <c r="E438" s="87"/>
      <c r="F438" s="60" t="str">
        <f>IFERROR(VLOOKUP($E438,'基础-办公用品信息'!$C:$E,2,FALSE),"-")</f>
        <v>-</v>
      </c>
      <c r="G438" s="60" t="str">
        <f>IFERROR(VLOOKUP($E438,'基础-办公用品信息'!$C:$E,3,FALSE),"-")</f>
        <v>-</v>
      </c>
      <c r="H438" s="126" t="str">
        <f>IFERROR(VLOOKUP($E438,'基础-办公用品信息'!$C:$F,4,FALSE),"-")</f>
        <v>-</v>
      </c>
      <c r="I438" s="87"/>
      <c r="J438" s="61" t="str">
        <f t="shared" si="22"/>
        <v>-</v>
      </c>
      <c r="K438" s="87"/>
      <c r="L438" s="60">
        <f t="shared" si="23"/>
        <v>1900</v>
      </c>
      <c r="M438" s="60">
        <f t="shared" si="24"/>
        <v>1</v>
      </c>
    </row>
    <row r="439" customHeight="1" spans="2:13">
      <c r="B439" s="59">
        <v>436</v>
      </c>
      <c r="C439" s="87"/>
      <c r="D439" s="87"/>
      <c r="E439" s="87"/>
      <c r="F439" s="60" t="str">
        <f>IFERROR(VLOOKUP($E439,'基础-办公用品信息'!$C:$E,2,FALSE),"-")</f>
        <v>-</v>
      </c>
      <c r="G439" s="60" t="str">
        <f>IFERROR(VLOOKUP($E439,'基础-办公用品信息'!$C:$E,3,FALSE),"-")</f>
        <v>-</v>
      </c>
      <c r="H439" s="126" t="str">
        <f>IFERROR(VLOOKUP($E439,'基础-办公用品信息'!$C:$F,4,FALSE),"-")</f>
        <v>-</v>
      </c>
      <c r="I439" s="87"/>
      <c r="J439" s="61" t="str">
        <f t="shared" ref="J439:J502" si="25">IF(AND(H439&lt;&gt;"",I439&lt;&gt;""),H439*I439,"-")</f>
        <v>-</v>
      </c>
      <c r="K439" s="87"/>
      <c r="L439" s="60">
        <f t="shared" ref="L439:L502" si="26">YEAR(C439)</f>
        <v>1900</v>
      </c>
      <c r="M439" s="60">
        <f t="shared" ref="M439:M502" si="27">MONTH(C439)</f>
        <v>1</v>
      </c>
    </row>
    <row r="440" customHeight="1" spans="2:13">
      <c r="B440" s="59">
        <v>437</v>
      </c>
      <c r="C440" s="87"/>
      <c r="D440" s="87"/>
      <c r="E440" s="87"/>
      <c r="F440" s="60" t="str">
        <f>IFERROR(VLOOKUP($E440,'基础-办公用品信息'!$C:$E,2,FALSE),"-")</f>
        <v>-</v>
      </c>
      <c r="G440" s="60" t="str">
        <f>IFERROR(VLOOKUP($E440,'基础-办公用品信息'!$C:$E,3,FALSE),"-")</f>
        <v>-</v>
      </c>
      <c r="H440" s="126" t="str">
        <f>IFERROR(VLOOKUP($E440,'基础-办公用品信息'!$C:$F,4,FALSE),"-")</f>
        <v>-</v>
      </c>
      <c r="I440" s="87"/>
      <c r="J440" s="61" t="str">
        <f t="shared" si="25"/>
        <v>-</v>
      </c>
      <c r="K440" s="87"/>
      <c r="L440" s="60">
        <f t="shared" si="26"/>
        <v>1900</v>
      </c>
      <c r="M440" s="60">
        <f t="shared" si="27"/>
        <v>1</v>
      </c>
    </row>
    <row r="441" customHeight="1" spans="2:13">
      <c r="B441" s="59">
        <v>438</v>
      </c>
      <c r="C441" s="87"/>
      <c r="D441" s="87"/>
      <c r="E441" s="87"/>
      <c r="F441" s="60" t="str">
        <f>IFERROR(VLOOKUP($E441,'基础-办公用品信息'!$C:$E,2,FALSE),"-")</f>
        <v>-</v>
      </c>
      <c r="G441" s="60" t="str">
        <f>IFERROR(VLOOKUP($E441,'基础-办公用品信息'!$C:$E,3,FALSE),"-")</f>
        <v>-</v>
      </c>
      <c r="H441" s="126" t="str">
        <f>IFERROR(VLOOKUP($E441,'基础-办公用品信息'!$C:$F,4,FALSE),"-")</f>
        <v>-</v>
      </c>
      <c r="I441" s="87"/>
      <c r="J441" s="61" t="str">
        <f t="shared" si="25"/>
        <v>-</v>
      </c>
      <c r="K441" s="87"/>
      <c r="L441" s="60">
        <f t="shared" si="26"/>
        <v>1900</v>
      </c>
      <c r="M441" s="60">
        <f t="shared" si="27"/>
        <v>1</v>
      </c>
    </row>
    <row r="442" customHeight="1" spans="2:13">
      <c r="B442" s="59">
        <v>439</v>
      </c>
      <c r="C442" s="87"/>
      <c r="D442" s="87"/>
      <c r="E442" s="87"/>
      <c r="F442" s="60" t="str">
        <f>IFERROR(VLOOKUP($E442,'基础-办公用品信息'!$C:$E,2,FALSE),"-")</f>
        <v>-</v>
      </c>
      <c r="G442" s="60" t="str">
        <f>IFERROR(VLOOKUP($E442,'基础-办公用品信息'!$C:$E,3,FALSE),"-")</f>
        <v>-</v>
      </c>
      <c r="H442" s="126" t="str">
        <f>IFERROR(VLOOKUP($E442,'基础-办公用品信息'!$C:$F,4,FALSE),"-")</f>
        <v>-</v>
      </c>
      <c r="I442" s="87"/>
      <c r="J442" s="61" t="str">
        <f t="shared" si="25"/>
        <v>-</v>
      </c>
      <c r="K442" s="87"/>
      <c r="L442" s="60">
        <f t="shared" si="26"/>
        <v>1900</v>
      </c>
      <c r="M442" s="60">
        <f t="shared" si="27"/>
        <v>1</v>
      </c>
    </row>
    <row r="443" customHeight="1" spans="2:13">
      <c r="B443" s="59">
        <v>440</v>
      </c>
      <c r="C443" s="87"/>
      <c r="D443" s="87"/>
      <c r="E443" s="87"/>
      <c r="F443" s="60" t="str">
        <f>IFERROR(VLOOKUP($E443,'基础-办公用品信息'!$C:$E,2,FALSE),"-")</f>
        <v>-</v>
      </c>
      <c r="G443" s="60" t="str">
        <f>IFERROR(VLOOKUP($E443,'基础-办公用品信息'!$C:$E,3,FALSE),"-")</f>
        <v>-</v>
      </c>
      <c r="H443" s="126" t="str">
        <f>IFERROR(VLOOKUP($E443,'基础-办公用品信息'!$C:$F,4,FALSE),"-")</f>
        <v>-</v>
      </c>
      <c r="I443" s="87"/>
      <c r="J443" s="61" t="str">
        <f t="shared" si="25"/>
        <v>-</v>
      </c>
      <c r="K443" s="87"/>
      <c r="L443" s="60">
        <f t="shared" si="26"/>
        <v>1900</v>
      </c>
      <c r="M443" s="60">
        <f t="shared" si="27"/>
        <v>1</v>
      </c>
    </row>
    <row r="444" customHeight="1" spans="2:13">
      <c r="B444" s="59">
        <v>441</v>
      </c>
      <c r="C444" s="87"/>
      <c r="D444" s="87"/>
      <c r="E444" s="87"/>
      <c r="F444" s="60" t="str">
        <f>IFERROR(VLOOKUP($E444,'基础-办公用品信息'!$C:$E,2,FALSE),"-")</f>
        <v>-</v>
      </c>
      <c r="G444" s="60" t="str">
        <f>IFERROR(VLOOKUP($E444,'基础-办公用品信息'!$C:$E,3,FALSE),"-")</f>
        <v>-</v>
      </c>
      <c r="H444" s="126" t="str">
        <f>IFERROR(VLOOKUP($E444,'基础-办公用品信息'!$C:$F,4,FALSE),"-")</f>
        <v>-</v>
      </c>
      <c r="I444" s="87"/>
      <c r="J444" s="61" t="str">
        <f t="shared" si="25"/>
        <v>-</v>
      </c>
      <c r="K444" s="87"/>
      <c r="L444" s="60">
        <f t="shared" si="26"/>
        <v>1900</v>
      </c>
      <c r="M444" s="60">
        <f t="shared" si="27"/>
        <v>1</v>
      </c>
    </row>
    <row r="445" customHeight="1" spans="2:13">
      <c r="B445" s="59">
        <v>442</v>
      </c>
      <c r="C445" s="87"/>
      <c r="D445" s="87"/>
      <c r="E445" s="87"/>
      <c r="F445" s="60" t="str">
        <f>IFERROR(VLOOKUP($E445,'基础-办公用品信息'!$C:$E,2,FALSE),"-")</f>
        <v>-</v>
      </c>
      <c r="G445" s="60" t="str">
        <f>IFERROR(VLOOKUP($E445,'基础-办公用品信息'!$C:$E,3,FALSE),"-")</f>
        <v>-</v>
      </c>
      <c r="H445" s="126" t="str">
        <f>IFERROR(VLOOKUP($E445,'基础-办公用品信息'!$C:$F,4,FALSE),"-")</f>
        <v>-</v>
      </c>
      <c r="I445" s="87"/>
      <c r="J445" s="61" t="str">
        <f t="shared" si="25"/>
        <v>-</v>
      </c>
      <c r="K445" s="87"/>
      <c r="L445" s="60">
        <f t="shared" si="26"/>
        <v>1900</v>
      </c>
      <c r="M445" s="60">
        <f t="shared" si="27"/>
        <v>1</v>
      </c>
    </row>
    <row r="446" customHeight="1" spans="2:13">
      <c r="B446" s="59">
        <v>443</v>
      </c>
      <c r="C446" s="87"/>
      <c r="D446" s="87"/>
      <c r="E446" s="87"/>
      <c r="F446" s="60" t="str">
        <f>IFERROR(VLOOKUP($E446,'基础-办公用品信息'!$C:$E,2,FALSE),"-")</f>
        <v>-</v>
      </c>
      <c r="G446" s="60" t="str">
        <f>IFERROR(VLOOKUP($E446,'基础-办公用品信息'!$C:$E,3,FALSE),"-")</f>
        <v>-</v>
      </c>
      <c r="H446" s="126" t="str">
        <f>IFERROR(VLOOKUP($E446,'基础-办公用品信息'!$C:$F,4,FALSE),"-")</f>
        <v>-</v>
      </c>
      <c r="I446" s="87"/>
      <c r="J446" s="61" t="str">
        <f t="shared" si="25"/>
        <v>-</v>
      </c>
      <c r="K446" s="87"/>
      <c r="L446" s="60">
        <f t="shared" si="26"/>
        <v>1900</v>
      </c>
      <c r="M446" s="60">
        <f t="shared" si="27"/>
        <v>1</v>
      </c>
    </row>
    <row r="447" customHeight="1" spans="2:13">
      <c r="B447" s="59">
        <v>444</v>
      </c>
      <c r="C447" s="87"/>
      <c r="D447" s="87"/>
      <c r="E447" s="87"/>
      <c r="F447" s="60" t="str">
        <f>IFERROR(VLOOKUP($E447,'基础-办公用品信息'!$C:$E,2,FALSE),"-")</f>
        <v>-</v>
      </c>
      <c r="G447" s="60" t="str">
        <f>IFERROR(VLOOKUP($E447,'基础-办公用品信息'!$C:$E,3,FALSE),"-")</f>
        <v>-</v>
      </c>
      <c r="H447" s="126" t="str">
        <f>IFERROR(VLOOKUP($E447,'基础-办公用品信息'!$C:$F,4,FALSE),"-")</f>
        <v>-</v>
      </c>
      <c r="I447" s="87"/>
      <c r="J447" s="61" t="str">
        <f t="shared" si="25"/>
        <v>-</v>
      </c>
      <c r="K447" s="87"/>
      <c r="L447" s="60">
        <f t="shared" si="26"/>
        <v>1900</v>
      </c>
      <c r="M447" s="60">
        <f t="shared" si="27"/>
        <v>1</v>
      </c>
    </row>
    <row r="448" customHeight="1" spans="2:13">
      <c r="B448" s="59">
        <v>445</v>
      </c>
      <c r="C448" s="87"/>
      <c r="D448" s="87"/>
      <c r="E448" s="87"/>
      <c r="F448" s="60" t="str">
        <f>IFERROR(VLOOKUP($E448,'基础-办公用品信息'!$C:$E,2,FALSE),"-")</f>
        <v>-</v>
      </c>
      <c r="G448" s="60" t="str">
        <f>IFERROR(VLOOKUP($E448,'基础-办公用品信息'!$C:$E,3,FALSE),"-")</f>
        <v>-</v>
      </c>
      <c r="H448" s="126" t="str">
        <f>IFERROR(VLOOKUP($E448,'基础-办公用品信息'!$C:$F,4,FALSE),"-")</f>
        <v>-</v>
      </c>
      <c r="I448" s="87"/>
      <c r="J448" s="61" t="str">
        <f t="shared" si="25"/>
        <v>-</v>
      </c>
      <c r="K448" s="87"/>
      <c r="L448" s="60">
        <f t="shared" si="26"/>
        <v>1900</v>
      </c>
      <c r="M448" s="60">
        <f t="shared" si="27"/>
        <v>1</v>
      </c>
    </row>
    <row r="449" customHeight="1" spans="2:13">
      <c r="B449" s="59">
        <v>446</v>
      </c>
      <c r="C449" s="87"/>
      <c r="D449" s="87"/>
      <c r="E449" s="87"/>
      <c r="F449" s="60" t="str">
        <f>IFERROR(VLOOKUP($E449,'基础-办公用品信息'!$C:$E,2,FALSE),"-")</f>
        <v>-</v>
      </c>
      <c r="G449" s="60" t="str">
        <f>IFERROR(VLOOKUP($E449,'基础-办公用品信息'!$C:$E,3,FALSE),"-")</f>
        <v>-</v>
      </c>
      <c r="H449" s="126" t="str">
        <f>IFERROR(VLOOKUP($E449,'基础-办公用品信息'!$C:$F,4,FALSE),"-")</f>
        <v>-</v>
      </c>
      <c r="I449" s="87"/>
      <c r="J449" s="61" t="str">
        <f t="shared" si="25"/>
        <v>-</v>
      </c>
      <c r="K449" s="87"/>
      <c r="L449" s="60">
        <f t="shared" si="26"/>
        <v>1900</v>
      </c>
      <c r="M449" s="60">
        <f t="shared" si="27"/>
        <v>1</v>
      </c>
    </row>
    <row r="450" customHeight="1" spans="2:13">
      <c r="B450" s="59">
        <v>447</v>
      </c>
      <c r="C450" s="87"/>
      <c r="D450" s="87"/>
      <c r="E450" s="87"/>
      <c r="F450" s="60" t="str">
        <f>IFERROR(VLOOKUP($E450,'基础-办公用品信息'!$C:$E,2,FALSE),"-")</f>
        <v>-</v>
      </c>
      <c r="G450" s="60" t="str">
        <f>IFERROR(VLOOKUP($E450,'基础-办公用品信息'!$C:$E,3,FALSE),"-")</f>
        <v>-</v>
      </c>
      <c r="H450" s="126" t="str">
        <f>IFERROR(VLOOKUP($E450,'基础-办公用品信息'!$C:$F,4,FALSE),"-")</f>
        <v>-</v>
      </c>
      <c r="I450" s="87"/>
      <c r="J450" s="61" t="str">
        <f t="shared" si="25"/>
        <v>-</v>
      </c>
      <c r="K450" s="87"/>
      <c r="L450" s="60">
        <f t="shared" si="26"/>
        <v>1900</v>
      </c>
      <c r="M450" s="60">
        <f t="shared" si="27"/>
        <v>1</v>
      </c>
    </row>
    <row r="451" customHeight="1" spans="2:13">
      <c r="B451" s="59">
        <v>448</v>
      </c>
      <c r="C451" s="87"/>
      <c r="D451" s="87"/>
      <c r="E451" s="87"/>
      <c r="F451" s="60" t="str">
        <f>IFERROR(VLOOKUP($E451,'基础-办公用品信息'!$C:$E,2,FALSE),"-")</f>
        <v>-</v>
      </c>
      <c r="G451" s="60" t="str">
        <f>IFERROR(VLOOKUP($E451,'基础-办公用品信息'!$C:$E,3,FALSE),"-")</f>
        <v>-</v>
      </c>
      <c r="H451" s="126" t="str">
        <f>IFERROR(VLOOKUP($E451,'基础-办公用品信息'!$C:$F,4,FALSE),"-")</f>
        <v>-</v>
      </c>
      <c r="I451" s="87"/>
      <c r="J451" s="61" t="str">
        <f t="shared" si="25"/>
        <v>-</v>
      </c>
      <c r="K451" s="87"/>
      <c r="L451" s="60">
        <f t="shared" si="26"/>
        <v>1900</v>
      </c>
      <c r="M451" s="60">
        <f t="shared" si="27"/>
        <v>1</v>
      </c>
    </row>
    <row r="452" customHeight="1" spans="2:13">
      <c r="B452" s="59">
        <v>449</v>
      </c>
      <c r="C452" s="87"/>
      <c r="D452" s="87"/>
      <c r="E452" s="87"/>
      <c r="F452" s="60" t="str">
        <f>IFERROR(VLOOKUP($E452,'基础-办公用品信息'!$C:$E,2,FALSE),"-")</f>
        <v>-</v>
      </c>
      <c r="G452" s="60" t="str">
        <f>IFERROR(VLOOKUP($E452,'基础-办公用品信息'!$C:$E,3,FALSE),"-")</f>
        <v>-</v>
      </c>
      <c r="H452" s="126" t="str">
        <f>IFERROR(VLOOKUP($E452,'基础-办公用品信息'!$C:$F,4,FALSE),"-")</f>
        <v>-</v>
      </c>
      <c r="I452" s="87"/>
      <c r="J452" s="61" t="str">
        <f t="shared" si="25"/>
        <v>-</v>
      </c>
      <c r="K452" s="87"/>
      <c r="L452" s="60">
        <f t="shared" si="26"/>
        <v>1900</v>
      </c>
      <c r="M452" s="60">
        <f t="shared" si="27"/>
        <v>1</v>
      </c>
    </row>
    <row r="453" customHeight="1" spans="2:13">
      <c r="B453" s="59">
        <v>450</v>
      </c>
      <c r="C453" s="87"/>
      <c r="D453" s="87"/>
      <c r="E453" s="87"/>
      <c r="F453" s="60" t="str">
        <f>IFERROR(VLOOKUP($E453,'基础-办公用品信息'!$C:$E,2,FALSE),"-")</f>
        <v>-</v>
      </c>
      <c r="G453" s="60" t="str">
        <f>IFERROR(VLOOKUP($E453,'基础-办公用品信息'!$C:$E,3,FALSE),"-")</f>
        <v>-</v>
      </c>
      <c r="H453" s="126" t="str">
        <f>IFERROR(VLOOKUP($E453,'基础-办公用品信息'!$C:$F,4,FALSE),"-")</f>
        <v>-</v>
      </c>
      <c r="I453" s="87"/>
      <c r="J453" s="61" t="str">
        <f t="shared" si="25"/>
        <v>-</v>
      </c>
      <c r="K453" s="87"/>
      <c r="L453" s="60">
        <f t="shared" si="26"/>
        <v>1900</v>
      </c>
      <c r="M453" s="60">
        <f t="shared" si="27"/>
        <v>1</v>
      </c>
    </row>
    <row r="454" customHeight="1" spans="2:13">
      <c r="B454" s="59">
        <v>451</v>
      </c>
      <c r="C454" s="87"/>
      <c r="D454" s="87"/>
      <c r="E454" s="87"/>
      <c r="F454" s="60" t="str">
        <f>IFERROR(VLOOKUP($E454,'基础-办公用品信息'!$C:$E,2,FALSE),"-")</f>
        <v>-</v>
      </c>
      <c r="G454" s="60" t="str">
        <f>IFERROR(VLOOKUP($E454,'基础-办公用品信息'!$C:$E,3,FALSE),"-")</f>
        <v>-</v>
      </c>
      <c r="H454" s="126" t="str">
        <f>IFERROR(VLOOKUP($E454,'基础-办公用品信息'!$C:$F,4,FALSE),"-")</f>
        <v>-</v>
      </c>
      <c r="I454" s="87"/>
      <c r="J454" s="61" t="str">
        <f t="shared" si="25"/>
        <v>-</v>
      </c>
      <c r="K454" s="87"/>
      <c r="L454" s="60">
        <f t="shared" si="26"/>
        <v>1900</v>
      </c>
      <c r="M454" s="60">
        <f t="shared" si="27"/>
        <v>1</v>
      </c>
    </row>
    <row r="455" customHeight="1" spans="2:13">
      <c r="B455" s="59">
        <v>452</v>
      </c>
      <c r="C455" s="87"/>
      <c r="D455" s="87"/>
      <c r="E455" s="87"/>
      <c r="F455" s="60" t="str">
        <f>IFERROR(VLOOKUP($E455,'基础-办公用品信息'!$C:$E,2,FALSE),"-")</f>
        <v>-</v>
      </c>
      <c r="G455" s="60" t="str">
        <f>IFERROR(VLOOKUP($E455,'基础-办公用品信息'!$C:$E,3,FALSE),"-")</f>
        <v>-</v>
      </c>
      <c r="H455" s="126" t="str">
        <f>IFERROR(VLOOKUP($E455,'基础-办公用品信息'!$C:$F,4,FALSE),"-")</f>
        <v>-</v>
      </c>
      <c r="I455" s="87"/>
      <c r="J455" s="61" t="str">
        <f t="shared" si="25"/>
        <v>-</v>
      </c>
      <c r="K455" s="87"/>
      <c r="L455" s="60">
        <f t="shared" si="26"/>
        <v>1900</v>
      </c>
      <c r="M455" s="60">
        <f t="shared" si="27"/>
        <v>1</v>
      </c>
    </row>
    <row r="456" customHeight="1" spans="2:13">
      <c r="B456" s="59">
        <v>453</v>
      </c>
      <c r="C456" s="87"/>
      <c r="D456" s="87"/>
      <c r="E456" s="87"/>
      <c r="F456" s="60" t="str">
        <f>IFERROR(VLOOKUP($E456,'基础-办公用品信息'!$C:$E,2,FALSE),"-")</f>
        <v>-</v>
      </c>
      <c r="G456" s="60" t="str">
        <f>IFERROR(VLOOKUP($E456,'基础-办公用品信息'!$C:$E,3,FALSE),"-")</f>
        <v>-</v>
      </c>
      <c r="H456" s="126" t="str">
        <f>IFERROR(VLOOKUP($E456,'基础-办公用品信息'!$C:$F,4,FALSE),"-")</f>
        <v>-</v>
      </c>
      <c r="I456" s="87"/>
      <c r="J456" s="61" t="str">
        <f t="shared" si="25"/>
        <v>-</v>
      </c>
      <c r="K456" s="87"/>
      <c r="L456" s="60">
        <f t="shared" si="26"/>
        <v>1900</v>
      </c>
      <c r="M456" s="60">
        <f t="shared" si="27"/>
        <v>1</v>
      </c>
    </row>
    <row r="457" customHeight="1" spans="2:13">
      <c r="B457" s="59">
        <v>454</v>
      </c>
      <c r="C457" s="87"/>
      <c r="D457" s="87"/>
      <c r="E457" s="87"/>
      <c r="F457" s="60" t="str">
        <f>IFERROR(VLOOKUP($E457,'基础-办公用品信息'!$C:$E,2,FALSE),"-")</f>
        <v>-</v>
      </c>
      <c r="G457" s="60" t="str">
        <f>IFERROR(VLOOKUP($E457,'基础-办公用品信息'!$C:$E,3,FALSE),"-")</f>
        <v>-</v>
      </c>
      <c r="H457" s="126" t="str">
        <f>IFERROR(VLOOKUP($E457,'基础-办公用品信息'!$C:$F,4,FALSE),"-")</f>
        <v>-</v>
      </c>
      <c r="I457" s="87"/>
      <c r="J457" s="61" t="str">
        <f t="shared" si="25"/>
        <v>-</v>
      </c>
      <c r="K457" s="87"/>
      <c r="L457" s="60">
        <f t="shared" si="26"/>
        <v>1900</v>
      </c>
      <c r="M457" s="60">
        <f t="shared" si="27"/>
        <v>1</v>
      </c>
    </row>
    <row r="458" customHeight="1" spans="2:13">
      <c r="B458" s="59">
        <v>455</v>
      </c>
      <c r="C458" s="87"/>
      <c r="D458" s="87"/>
      <c r="E458" s="87"/>
      <c r="F458" s="60" t="str">
        <f>IFERROR(VLOOKUP($E458,'基础-办公用品信息'!$C:$E,2,FALSE),"-")</f>
        <v>-</v>
      </c>
      <c r="G458" s="60" t="str">
        <f>IFERROR(VLOOKUP($E458,'基础-办公用品信息'!$C:$E,3,FALSE),"-")</f>
        <v>-</v>
      </c>
      <c r="H458" s="126" t="str">
        <f>IFERROR(VLOOKUP($E458,'基础-办公用品信息'!$C:$F,4,FALSE),"-")</f>
        <v>-</v>
      </c>
      <c r="I458" s="87"/>
      <c r="J458" s="61" t="str">
        <f t="shared" si="25"/>
        <v>-</v>
      </c>
      <c r="K458" s="87"/>
      <c r="L458" s="60">
        <f t="shared" si="26"/>
        <v>1900</v>
      </c>
      <c r="M458" s="60">
        <f t="shared" si="27"/>
        <v>1</v>
      </c>
    </row>
    <row r="459" customHeight="1" spans="2:13">
      <c r="B459" s="59">
        <v>456</v>
      </c>
      <c r="C459" s="87"/>
      <c r="D459" s="87"/>
      <c r="E459" s="87"/>
      <c r="F459" s="60" t="str">
        <f>IFERROR(VLOOKUP($E459,'基础-办公用品信息'!$C:$E,2,FALSE),"-")</f>
        <v>-</v>
      </c>
      <c r="G459" s="60" t="str">
        <f>IFERROR(VLOOKUP($E459,'基础-办公用品信息'!$C:$E,3,FALSE),"-")</f>
        <v>-</v>
      </c>
      <c r="H459" s="126" t="str">
        <f>IFERROR(VLOOKUP($E459,'基础-办公用品信息'!$C:$F,4,FALSE),"-")</f>
        <v>-</v>
      </c>
      <c r="I459" s="87"/>
      <c r="J459" s="61" t="str">
        <f t="shared" si="25"/>
        <v>-</v>
      </c>
      <c r="K459" s="87"/>
      <c r="L459" s="60">
        <f t="shared" si="26"/>
        <v>1900</v>
      </c>
      <c r="M459" s="60">
        <f t="shared" si="27"/>
        <v>1</v>
      </c>
    </row>
    <row r="460" customHeight="1" spans="2:13">
      <c r="B460" s="59">
        <v>457</v>
      </c>
      <c r="C460" s="87"/>
      <c r="D460" s="87"/>
      <c r="E460" s="87"/>
      <c r="F460" s="60" t="str">
        <f>IFERROR(VLOOKUP($E460,'基础-办公用品信息'!$C:$E,2,FALSE),"-")</f>
        <v>-</v>
      </c>
      <c r="G460" s="60" t="str">
        <f>IFERROR(VLOOKUP($E460,'基础-办公用品信息'!$C:$E,3,FALSE),"-")</f>
        <v>-</v>
      </c>
      <c r="H460" s="126" t="str">
        <f>IFERROR(VLOOKUP($E460,'基础-办公用品信息'!$C:$F,4,FALSE),"-")</f>
        <v>-</v>
      </c>
      <c r="I460" s="87"/>
      <c r="J460" s="61" t="str">
        <f t="shared" si="25"/>
        <v>-</v>
      </c>
      <c r="K460" s="87"/>
      <c r="L460" s="60">
        <f t="shared" si="26"/>
        <v>1900</v>
      </c>
      <c r="M460" s="60">
        <f t="shared" si="27"/>
        <v>1</v>
      </c>
    </row>
    <row r="461" customHeight="1" spans="2:13">
      <c r="B461" s="59">
        <v>458</v>
      </c>
      <c r="C461" s="87"/>
      <c r="D461" s="87"/>
      <c r="E461" s="87"/>
      <c r="F461" s="60" t="str">
        <f>IFERROR(VLOOKUP($E461,'基础-办公用品信息'!$C:$E,2,FALSE),"-")</f>
        <v>-</v>
      </c>
      <c r="G461" s="60" t="str">
        <f>IFERROR(VLOOKUP($E461,'基础-办公用品信息'!$C:$E,3,FALSE),"-")</f>
        <v>-</v>
      </c>
      <c r="H461" s="126" t="str">
        <f>IFERROR(VLOOKUP($E461,'基础-办公用品信息'!$C:$F,4,FALSE),"-")</f>
        <v>-</v>
      </c>
      <c r="I461" s="87"/>
      <c r="J461" s="61" t="str">
        <f t="shared" si="25"/>
        <v>-</v>
      </c>
      <c r="K461" s="87"/>
      <c r="L461" s="60">
        <f t="shared" si="26"/>
        <v>1900</v>
      </c>
      <c r="M461" s="60">
        <f t="shared" si="27"/>
        <v>1</v>
      </c>
    </row>
    <row r="462" customHeight="1" spans="2:13">
      <c r="B462" s="59">
        <v>459</v>
      </c>
      <c r="C462" s="87"/>
      <c r="D462" s="87"/>
      <c r="E462" s="87"/>
      <c r="F462" s="60" t="str">
        <f>IFERROR(VLOOKUP($E462,'基础-办公用品信息'!$C:$E,2,FALSE),"-")</f>
        <v>-</v>
      </c>
      <c r="G462" s="60" t="str">
        <f>IFERROR(VLOOKUP($E462,'基础-办公用品信息'!$C:$E,3,FALSE),"-")</f>
        <v>-</v>
      </c>
      <c r="H462" s="126" t="str">
        <f>IFERROR(VLOOKUP($E462,'基础-办公用品信息'!$C:$F,4,FALSE),"-")</f>
        <v>-</v>
      </c>
      <c r="I462" s="87"/>
      <c r="J462" s="61" t="str">
        <f t="shared" si="25"/>
        <v>-</v>
      </c>
      <c r="K462" s="87"/>
      <c r="L462" s="60">
        <f t="shared" si="26"/>
        <v>1900</v>
      </c>
      <c r="M462" s="60">
        <f t="shared" si="27"/>
        <v>1</v>
      </c>
    </row>
    <row r="463" customHeight="1" spans="2:13">
      <c r="B463" s="59">
        <v>460</v>
      </c>
      <c r="C463" s="87"/>
      <c r="D463" s="87"/>
      <c r="E463" s="87"/>
      <c r="F463" s="60" t="str">
        <f>IFERROR(VLOOKUP($E463,'基础-办公用品信息'!$C:$E,2,FALSE),"-")</f>
        <v>-</v>
      </c>
      <c r="G463" s="60" t="str">
        <f>IFERROR(VLOOKUP($E463,'基础-办公用品信息'!$C:$E,3,FALSE),"-")</f>
        <v>-</v>
      </c>
      <c r="H463" s="126" t="str">
        <f>IFERROR(VLOOKUP($E463,'基础-办公用品信息'!$C:$F,4,FALSE),"-")</f>
        <v>-</v>
      </c>
      <c r="I463" s="87"/>
      <c r="J463" s="61" t="str">
        <f t="shared" si="25"/>
        <v>-</v>
      </c>
      <c r="K463" s="87"/>
      <c r="L463" s="60">
        <f t="shared" si="26"/>
        <v>1900</v>
      </c>
      <c r="M463" s="60">
        <f t="shared" si="27"/>
        <v>1</v>
      </c>
    </row>
    <row r="464" customHeight="1" spans="2:13">
      <c r="B464" s="59">
        <v>461</v>
      </c>
      <c r="C464" s="87"/>
      <c r="D464" s="87"/>
      <c r="E464" s="87"/>
      <c r="F464" s="60" t="str">
        <f>IFERROR(VLOOKUP($E464,'基础-办公用品信息'!$C:$E,2,FALSE),"-")</f>
        <v>-</v>
      </c>
      <c r="G464" s="60" t="str">
        <f>IFERROR(VLOOKUP($E464,'基础-办公用品信息'!$C:$E,3,FALSE),"-")</f>
        <v>-</v>
      </c>
      <c r="H464" s="126" t="str">
        <f>IFERROR(VLOOKUP($E464,'基础-办公用品信息'!$C:$F,4,FALSE),"-")</f>
        <v>-</v>
      </c>
      <c r="I464" s="87"/>
      <c r="J464" s="61" t="str">
        <f t="shared" si="25"/>
        <v>-</v>
      </c>
      <c r="K464" s="87"/>
      <c r="L464" s="60">
        <f t="shared" si="26"/>
        <v>1900</v>
      </c>
      <c r="M464" s="60">
        <f t="shared" si="27"/>
        <v>1</v>
      </c>
    </row>
    <row r="465" customHeight="1" spans="2:13">
      <c r="B465" s="59">
        <v>462</v>
      </c>
      <c r="C465" s="87"/>
      <c r="D465" s="87"/>
      <c r="E465" s="87"/>
      <c r="F465" s="60" t="str">
        <f>IFERROR(VLOOKUP($E465,'基础-办公用品信息'!$C:$E,2,FALSE),"-")</f>
        <v>-</v>
      </c>
      <c r="G465" s="60" t="str">
        <f>IFERROR(VLOOKUP($E465,'基础-办公用品信息'!$C:$E,3,FALSE),"-")</f>
        <v>-</v>
      </c>
      <c r="H465" s="126" t="str">
        <f>IFERROR(VLOOKUP($E465,'基础-办公用品信息'!$C:$F,4,FALSE),"-")</f>
        <v>-</v>
      </c>
      <c r="I465" s="87"/>
      <c r="J465" s="61" t="str">
        <f t="shared" si="25"/>
        <v>-</v>
      </c>
      <c r="K465" s="87"/>
      <c r="L465" s="60">
        <f t="shared" si="26"/>
        <v>1900</v>
      </c>
      <c r="M465" s="60">
        <f t="shared" si="27"/>
        <v>1</v>
      </c>
    </row>
    <row r="466" customHeight="1" spans="2:13">
      <c r="B466" s="59">
        <v>463</v>
      </c>
      <c r="C466" s="87"/>
      <c r="D466" s="87"/>
      <c r="E466" s="87"/>
      <c r="F466" s="60" t="str">
        <f>IFERROR(VLOOKUP($E466,'基础-办公用品信息'!$C:$E,2,FALSE),"-")</f>
        <v>-</v>
      </c>
      <c r="G466" s="60" t="str">
        <f>IFERROR(VLOOKUP($E466,'基础-办公用品信息'!$C:$E,3,FALSE),"-")</f>
        <v>-</v>
      </c>
      <c r="H466" s="126" t="str">
        <f>IFERROR(VLOOKUP($E466,'基础-办公用品信息'!$C:$F,4,FALSE),"-")</f>
        <v>-</v>
      </c>
      <c r="I466" s="87"/>
      <c r="J466" s="61" t="str">
        <f t="shared" si="25"/>
        <v>-</v>
      </c>
      <c r="K466" s="87"/>
      <c r="L466" s="60">
        <f t="shared" si="26"/>
        <v>1900</v>
      </c>
      <c r="M466" s="60">
        <f t="shared" si="27"/>
        <v>1</v>
      </c>
    </row>
    <row r="467" customHeight="1" spans="2:13">
      <c r="B467" s="59">
        <v>464</v>
      </c>
      <c r="C467" s="87"/>
      <c r="D467" s="87"/>
      <c r="E467" s="87"/>
      <c r="F467" s="60" t="str">
        <f>IFERROR(VLOOKUP($E467,'基础-办公用品信息'!$C:$E,2,FALSE),"-")</f>
        <v>-</v>
      </c>
      <c r="G467" s="60" t="str">
        <f>IFERROR(VLOOKUP($E467,'基础-办公用品信息'!$C:$E,3,FALSE),"-")</f>
        <v>-</v>
      </c>
      <c r="H467" s="126" t="str">
        <f>IFERROR(VLOOKUP($E467,'基础-办公用品信息'!$C:$F,4,FALSE),"-")</f>
        <v>-</v>
      </c>
      <c r="I467" s="87"/>
      <c r="J467" s="61" t="str">
        <f t="shared" si="25"/>
        <v>-</v>
      </c>
      <c r="K467" s="87"/>
      <c r="L467" s="60">
        <f t="shared" si="26"/>
        <v>1900</v>
      </c>
      <c r="M467" s="60">
        <f t="shared" si="27"/>
        <v>1</v>
      </c>
    </row>
    <row r="468" customHeight="1" spans="2:13">
      <c r="B468" s="59">
        <v>465</v>
      </c>
      <c r="C468" s="87"/>
      <c r="D468" s="87"/>
      <c r="E468" s="87"/>
      <c r="F468" s="60" t="str">
        <f>IFERROR(VLOOKUP($E468,'基础-办公用品信息'!$C:$E,2,FALSE),"-")</f>
        <v>-</v>
      </c>
      <c r="G468" s="60" t="str">
        <f>IFERROR(VLOOKUP($E468,'基础-办公用品信息'!$C:$E,3,FALSE),"-")</f>
        <v>-</v>
      </c>
      <c r="H468" s="126" t="str">
        <f>IFERROR(VLOOKUP($E468,'基础-办公用品信息'!$C:$F,4,FALSE),"-")</f>
        <v>-</v>
      </c>
      <c r="I468" s="87"/>
      <c r="J468" s="61" t="str">
        <f t="shared" si="25"/>
        <v>-</v>
      </c>
      <c r="K468" s="87"/>
      <c r="L468" s="60">
        <f t="shared" si="26"/>
        <v>1900</v>
      </c>
      <c r="M468" s="60">
        <f t="shared" si="27"/>
        <v>1</v>
      </c>
    </row>
    <row r="469" customHeight="1" spans="2:13">
      <c r="B469" s="59">
        <v>466</v>
      </c>
      <c r="C469" s="87"/>
      <c r="D469" s="87"/>
      <c r="E469" s="87"/>
      <c r="F469" s="60" t="str">
        <f>IFERROR(VLOOKUP($E469,'基础-办公用品信息'!$C:$E,2,FALSE),"-")</f>
        <v>-</v>
      </c>
      <c r="G469" s="60" t="str">
        <f>IFERROR(VLOOKUP($E469,'基础-办公用品信息'!$C:$E,3,FALSE),"-")</f>
        <v>-</v>
      </c>
      <c r="H469" s="126" t="str">
        <f>IFERROR(VLOOKUP($E469,'基础-办公用品信息'!$C:$F,4,FALSE),"-")</f>
        <v>-</v>
      </c>
      <c r="I469" s="87"/>
      <c r="J469" s="61" t="str">
        <f t="shared" si="25"/>
        <v>-</v>
      </c>
      <c r="K469" s="87"/>
      <c r="L469" s="60">
        <f t="shared" si="26"/>
        <v>1900</v>
      </c>
      <c r="M469" s="60">
        <f t="shared" si="27"/>
        <v>1</v>
      </c>
    </row>
    <row r="470" customHeight="1" spans="2:13">
      <c r="B470" s="59">
        <v>467</v>
      </c>
      <c r="C470" s="87"/>
      <c r="D470" s="87"/>
      <c r="E470" s="87"/>
      <c r="F470" s="60" t="str">
        <f>IFERROR(VLOOKUP($E470,'基础-办公用品信息'!$C:$E,2,FALSE),"-")</f>
        <v>-</v>
      </c>
      <c r="G470" s="60" t="str">
        <f>IFERROR(VLOOKUP($E470,'基础-办公用品信息'!$C:$E,3,FALSE),"-")</f>
        <v>-</v>
      </c>
      <c r="H470" s="126" t="str">
        <f>IFERROR(VLOOKUP($E470,'基础-办公用品信息'!$C:$F,4,FALSE),"-")</f>
        <v>-</v>
      </c>
      <c r="I470" s="87"/>
      <c r="J470" s="61" t="str">
        <f t="shared" si="25"/>
        <v>-</v>
      </c>
      <c r="K470" s="87"/>
      <c r="L470" s="60">
        <f t="shared" si="26"/>
        <v>1900</v>
      </c>
      <c r="M470" s="60">
        <f t="shared" si="27"/>
        <v>1</v>
      </c>
    </row>
    <row r="471" customHeight="1" spans="2:13">
      <c r="B471" s="59">
        <v>468</v>
      </c>
      <c r="C471" s="87"/>
      <c r="D471" s="87"/>
      <c r="E471" s="87"/>
      <c r="F471" s="60" t="str">
        <f>IFERROR(VLOOKUP($E471,'基础-办公用品信息'!$C:$E,2,FALSE),"-")</f>
        <v>-</v>
      </c>
      <c r="G471" s="60" t="str">
        <f>IFERROR(VLOOKUP($E471,'基础-办公用品信息'!$C:$E,3,FALSE),"-")</f>
        <v>-</v>
      </c>
      <c r="H471" s="126" t="str">
        <f>IFERROR(VLOOKUP($E471,'基础-办公用品信息'!$C:$F,4,FALSE),"-")</f>
        <v>-</v>
      </c>
      <c r="I471" s="87"/>
      <c r="J471" s="61" t="str">
        <f t="shared" si="25"/>
        <v>-</v>
      </c>
      <c r="K471" s="87"/>
      <c r="L471" s="60">
        <f t="shared" si="26"/>
        <v>1900</v>
      </c>
      <c r="M471" s="60">
        <f t="shared" si="27"/>
        <v>1</v>
      </c>
    </row>
    <row r="472" customHeight="1" spans="2:13">
      <c r="B472" s="59">
        <v>469</v>
      </c>
      <c r="C472" s="87"/>
      <c r="D472" s="87"/>
      <c r="E472" s="87"/>
      <c r="F472" s="60" t="str">
        <f>IFERROR(VLOOKUP($E472,'基础-办公用品信息'!$C:$E,2,FALSE),"-")</f>
        <v>-</v>
      </c>
      <c r="G472" s="60" t="str">
        <f>IFERROR(VLOOKUP($E472,'基础-办公用品信息'!$C:$E,3,FALSE),"-")</f>
        <v>-</v>
      </c>
      <c r="H472" s="126" t="str">
        <f>IFERROR(VLOOKUP($E472,'基础-办公用品信息'!$C:$F,4,FALSE),"-")</f>
        <v>-</v>
      </c>
      <c r="I472" s="87"/>
      <c r="J472" s="61" t="str">
        <f t="shared" si="25"/>
        <v>-</v>
      </c>
      <c r="K472" s="87"/>
      <c r="L472" s="60">
        <f t="shared" si="26"/>
        <v>1900</v>
      </c>
      <c r="M472" s="60">
        <f t="shared" si="27"/>
        <v>1</v>
      </c>
    </row>
    <row r="473" customHeight="1" spans="2:13">
      <c r="B473" s="59">
        <v>470</v>
      </c>
      <c r="C473" s="87"/>
      <c r="D473" s="87"/>
      <c r="E473" s="87"/>
      <c r="F473" s="60" t="str">
        <f>IFERROR(VLOOKUP($E473,'基础-办公用品信息'!$C:$E,2,FALSE),"-")</f>
        <v>-</v>
      </c>
      <c r="G473" s="60" t="str">
        <f>IFERROR(VLOOKUP($E473,'基础-办公用品信息'!$C:$E,3,FALSE),"-")</f>
        <v>-</v>
      </c>
      <c r="H473" s="126" t="str">
        <f>IFERROR(VLOOKUP($E473,'基础-办公用品信息'!$C:$F,4,FALSE),"-")</f>
        <v>-</v>
      </c>
      <c r="I473" s="87"/>
      <c r="J473" s="61" t="str">
        <f t="shared" si="25"/>
        <v>-</v>
      </c>
      <c r="K473" s="87"/>
      <c r="L473" s="60">
        <f t="shared" si="26"/>
        <v>1900</v>
      </c>
      <c r="M473" s="60">
        <f t="shared" si="27"/>
        <v>1</v>
      </c>
    </row>
    <row r="474" customHeight="1" spans="2:13">
      <c r="B474" s="59">
        <v>471</v>
      </c>
      <c r="C474" s="87"/>
      <c r="D474" s="87"/>
      <c r="E474" s="87"/>
      <c r="F474" s="60" t="str">
        <f>IFERROR(VLOOKUP($E474,'基础-办公用品信息'!$C:$E,2,FALSE),"-")</f>
        <v>-</v>
      </c>
      <c r="G474" s="60" t="str">
        <f>IFERROR(VLOOKUP($E474,'基础-办公用品信息'!$C:$E,3,FALSE),"-")</f>
        <v>-</v>
      </c>
      <c r="H474" s="126" t="str">
        <f>IFERROR(VLOOKUP($E474,'基础-办公用品信息'!$C:$F,4,FALSE),"-")</f>
        <v>-</v>
      </c>
      <c r="I474" s="87"/>
      <c r="J474" s="61" t="str">
        <f t="shared" si="25"/>
        <v>-</v>
      </c>
      <c r="K474" s="87"/>
      <c r="L474" s="60">
        <f t="shared" si="26"/>
        <v>1900</v>
      </c>
      <c r="M474" s="60">
        <f t="shared" si="27"/>
        <v>1</v>
      </c>
    </row>
    <row r="475" customHeight="1" spans="2:13">
      <c r="B475" s="59">
        <v>472</v>
      </c>
      <c r="C475" s="87"/>
      <c r="D475" s="87"/>
      <c r="E475" s="87"/>
      <c r="F475" s="60" t="str">
        <f>IFERROR(VLOOKUP($E475,'基础-办公用品信息'!$C:$E,2,FALSE),"-")</f>
        <v>-</v>
      </c>
      <c r="G475" s="60" t="str">
        <f>IFERROR(VLOOKUP($E475,'基础-办公用品信息'!$C:$E,3,FALSE),"-")</f>
        <v>-</v>
      </c>
      <c r="H475" s="126" t="str">
        <f>IFERROR(VLOOKUP($E475,'基础-办公用品信息'!$C:$F,4,FALSE),"-")</f>
        <v>-</v>
      </c>
      <c r="I475" s="87"/>
      <c r="J475" s="61" t="str">
        <f t="shared" si="25"/>
        <v>-</v>
      </c>
      <c r="K475" s="87"/>
      <c r="L475" s="60">
        <f t="shared" si="26"/>
        <v>1900</v>
      </c>
      <c r="M475" s="60">
        <f t="shared" si="27"/>
        <v>1</v>
      </c>
    </row>
    <row r="476" customHeight="1" spans="2:13">
      <c r="B476" s="59">
        <v>473</v>
      </c>
      <c r="C476" s="87"/>
      <c r="D476" s="87"/>
      <c r="E476" s="87"/>
      <c r="F476" s="60" t="str">
        <f>IFERROR(VLOOKUP($E476,'基础-办公用品信息'!$C:$E,2,FALSE),"-")</f>
        <v>-</v>
      </c>
      <c r="G476" s="60" t="str">
        <f>IFERROR(VLOOKUP($E476,'基础-办公用品信息'!$C:$E,3,FALSE),"-")</f>
        <v>-</v>
      </c>
      <c r="H476" s="126" t="str">
        <f>IFERROR(VLOOKUP($E476,'基础-办公用品信息'!$C:$F,4,FALSE),"-")</f>
        <v>-</v>
      </c>
      <c r="I476" s="87"/>
      <c r="J476" s="61" t="str">
        <f t="shared" si="25"/>
        <v>-</v>
      </c>
      <c r="K476" s="87"/>
      <c r="L476" s="60">
        <f t="shared" si="26"/>
        <v>1900</v>
      </c>
      <c r="M476" s="60">
        <f t="shared" si="27"/>
        <v>1</v>
      </c>
    </row>
    <row r="477" customHeight="1" spans="2:13">
      <c r="B477" s="59">
        <v>474</v>
      </c>
      <c r="C477" s="87"/>
      <c r="D477" s="87"/>
      <c r="E477" s="87"/>
      <c r="F477" s="60" t="str">
        <f>IFERROR(VLOOKUP($E477,'基础-办公用品信息'!$C:$E,2,FALSE),"-")</f>
        <v>-</v>
      </c>
      <c r="G477" s="60" t="str">
        <f>IFERROR(VLOOKUP($E477,'基础-办公用品信息'!$C:$E,3,FALSE),"-")</f>
        <v>-</v>
      </c>
      <c r="H477" s="126" t="str">
        <f>IFERROR(VLOOKUP($E477,'基础-办公用品信息'!$C:$F,4,FALSE),"-")</f>
        <v>-</v>
      </c>
      <c r="I477" s="87"/>
      <c r="J477" s="61" t="str">
        <f t="shared" si="25"/>
        <v>-</v>
      </c>
      <c r="K477" s="87"/>
      <c r="L477" s="60">
        <f t="shared" si="26"/>
        <v>1900</v>
      </c>
      <c r="M477" s="60">
        <f t="shared" si="27"/>
        <v>1</v>
      </c>
    </row>
    <row r="478" customHeight="1" spans="2:13">
      <c r="B478" s="59">
        <v>475</v>
      </c>
      <c r="C478" s="87"/>
      <c r="D478" s="87"/>
      <c r="E478" s="87"/>
      <c r="F478" s="60" t="str">
        <f>IFERROR(VLOOKUP($E478,'基础-办公用品信息'!$C:$E,2,FALSE),"-")</f>
        <v>-</v>
      </c>
      <c r="G478" s="60" t="str">
        <f>IFERROR(VLOOKUP($E478,'基础-办公用品信息'!$C:$E,3,FALSE),"-")</f>
        <v>-</v>
      </c>
      <c r="H478" s="126" t="str">
        <f>IFERROR(VLOOKUP($E478,'基础-办公用品信息'!$C:$F,4,FALSE),"-")</f>
        <v>-</v>
      </c>
      <c r="I478" s="87"/>
      <c r="J478" s="61" t="str">
        <f t="shared" si="25"/>
        <v>-</v>
      </c>
      <c r="K478" s="87"/>
      <c r="L478" s="60">
        <f t="shared" si="26"/>
        <v>1900</v>
      </c>
      <c r="M478" s="60">
        <f t="shared" si="27"/>
        <v>1</v>
      </c>
    </row>
    <row r="479" customHeight="1" spans="2:13">
      <c r="B479" s="59">
        <v>476</v>
      </c>
      <c r="C479" s="87"/>
      <c r="D479" s="87"/>
      <c r="E479" s="87"/>
      <c r="F479" s="60" t="str">
        <f>IFERROR(VLOOKUP($E479,'基础-办公用品信息'!$C:$E,2,FALSE),"-")</f>
        <v>-</v>
      </c>
      <c r="G479" s="60" t="str">
        <f>IFERROR(VLOOKUP($E479,'基础-办公用品信息'!$C:$E,3,FALSE),"-")</f>
        <v>-</v>
      </c>
      <c r="H479" s="126" t="str">
        <f>IFERROR(VLOOKUP($E479,'基础-办公用品信息'!$C:$F,4,FALSE),"-")</f>
        <v>-</v>
      </c>
      <c r="I479" s="87"/>
      <c r="J479" s="61" t="str">
        <f t="shared" si="25"/>
        <v>-</v>
      </c>
      <c r="K479" s="87"/>
      <c r="L479" s="60">
        <f t="shared" si="26"/>
        <v>1900</v>
      </c>
      <c r="M479" s="60">
        <f t="shared" si="27"/>
        <v>1</v>
      </c>
    </row>
    <row r="480" customHeight="1" spans="2:13">
      <c r="B480" s="59">
        <v>477</v>
      </c>
      <c r="C480" s="87"/>
      <c r="D480" s="87"/>
      <c r="E480" s="87"/>
      <c r="F480" s="60" t="str">
        <f>IFERROR(VLOOKUP($E480,'基础-办公用品信息'!$C:$E,2,FALSE),"-")</f>
        <v>-</v>
      </c>
      <c r="G480" s="60" t="str">
        <f>IFERROR(VLOOKUP($E480,'基础-办公用品信息'!$C:$E,3,FALSE),"-")</f>
        <v>-</v>
      </c>
      <c r="H480" s="126" t="str">
        <f>IFERROR(VLOOKUP($E480,'基础-办公用品信息'!$C:$F,4,FALSE),"-")</f>
        <v>-</v>
      </c>
      <c r="I480" s="87"/>
      <c r="J480" s="61" t="str">
        <f t="shared" si="25"/>
        <v>-</v>
      </c>
      <c r="K480" s="87"/>
      <c r="L480" s="60">
        <f t="shared" si="26"/>
        <v>1900</v>
      </c>
      <c r="M480" s="60">
        <f t="shared" si="27"/>
        <v>1</v>
      </c>
    </row>
    <row r="481" customHeight="1" spans="2:13">
      <c r="B481" s="59">
        <v>478</v>
      </c>
      <c r="C481" s="87"/>
      <c r="D481" s="87"/>
      <c r="E481" s="87"/>
      <c r="F481" s="60" t="str">
        <f>IFERROR(VLOOKUP($E481,'基础-办公用品信息'!$C:$E,2,FALSE),"-")</f>
        <v>-</v>
      </c>
      <c r="G481" s="60" t="str">
        <f>IFERROR(VLOOKUP($E481,'基础-办公用品信息'!$C:$E,3,FALSE),"-")</f>
        <v>-</v>
      </c>
      <c r="H481" s="126" t="str">
        <f>IFERROR(VLOOKUP($E481,'基础-办公用品信息'!$C:$F,4,FALSE),"-")</f>
        <v>-</v>
      </c>
      <c r="I481" s="87"/>
      <c r="J481" s="61" t="str">
        <f t="shared" si="25"/>
        <v>-</v>
      </c>
      <c r="K481" s="87"/>
      <c r="L481" s="60">
        <f t="shared" si="26"/>
        <v>1900</v>
      </c>
      <c r="M481" s="60">
        <f t="shared" si="27"/>
        <v>1</v>
      </c>
    </row>
    <row r="482" customHeight="1" spans="2:13">
      <c r="B482" s="59">
        <v>479</v>
      </c>
      <c r="C482" s="87"/>
      <c r="D482" s="87"/>
      <c r="E482" s="87"/>
      <c r="F482" s="60" t="str">
        <f>IFERROR(VLOOKUP($E482,'基础-办公用品信息'!$C:$E,2,FALSE),"-")</f>
        <v>-</v>
      </c>
      <c r="G482" s="60" t="str">
        <f>IFERROR(VLOOKUP($E482,'基础-办公用品信息'!$C:$E,3,FALSE),"-")</f>
        <v>-</v>
      </c>
      <c r="H482" s="126" t="str">
        <f>IFERROR(VLOOKUP($E482,'基础-办公用品信息'!$C:$F,4,FALSE),"-")</f>
        <v>-</v>
      </c>
      <c r="I482" s="87"/>
      <c r="J482" s="61" t="str">
        <f t="shared" si="25"/>
        <v>-</v>
      </c>
      <c r="K482" s="87"/>
      <c r="L482" s="60">
        <f t="shared" si="26"/>
        <v>1900</v>
      </c>
      <c r="M482" s="60">
        <f t="shared" si="27"/>
        <v>1</v>
      </c>
    </row>
    <row r="483" customHeight="1" spans="2:13">
      <c r="B483" s="59">
        <v>480</v>
      </c>
      <c r="C483" s="87"/>
      <c r="D483" s="87"/>
      <c r="E483" s="87"/>
      <c r="F483" s="60" t="str">
        <f>IFERROR(VLOOKUP($E483,'基础-办公用品信息'!$C:$E,2,FALSE),"-")</f>
        <v>-</v>
      </c>
      <c r="G483" s="60" t="str">
        <f>IFERROR(VLOOKUP($E483,'基础-办公用品信息'!$C:$E,3,FALSE),"-")</f>
        <v>-</v>
      </c>
      <c r="H483" s="126" t="str">
        <f>IFERROR(VLOOKUP($E483,'基础-办公用品信息'!$C:$F,4,FALSE),"-")</f>
        <v>-</v>
      </c>
      <c r="I483" s="87"/>
      <c r="J483" s="61" t="str">
        <f t="shared" si="25"/>
        <v>-</v>
      </c>
      <c r="K483" s="87"/>
      <c r="L483" s="60">
        <f t="shared" si="26"/>
        <v>1900</v>
      </c>
      <c r="M483" s="60">
        <f t="shared" si="27"/>
        <v>1</v>
      </c>
    </row>
    <row r="484" customHeight="1" spans="2:13">
      <c r="B484" s="59">
        <v>481</v>
      </c>
      <c r="C484" s="87"/>
      <c r="D484" s="87"/>
      <c r="E484" s="87"/>
      <c r="F484" s="60" t="str">
        <f>IFERROR(VLOOKUP($E484,'基础-办公用品信息'!$C:$E,2,FALSE),"-")</f>
        <v>-</v>
      </c>
      <c r="G484" s="60" t="str">
        <f>IFERROR(VLOOKUP($E484,'基础-办公用品信息'!$C:$E,3,FALSE),"-")</f>
        <v>-</v>
      </c>
      <c r="H484" s="126" t="str">
        <f>IFERROR(VLOOKUP($E484,'基础-办公用品信息'!$C:$F,4,FALSE),"-")</f>
        <v>-</v>
      </c>
      <c r="I484" s="87"/>
      <c r="J484" s="61" t="str">
        <f t="shared" si="25"/>
        <v>-</v>
      </c>
      <c r="K484" s="87"/>
      <c r="L484" s="60">
        <f t="shared" si="26"/>
        <v>1900</v>
      </c>
      <c r="M484" s="60">
        <f t="shared" si="27"/>
        <v>1</v>
      </c>
    </row>
    <row r="485" customHeight="1" spans="2:13">
      <c r="B485" s="59">
        <v>482</v>
      </c>
      <c r="C485" s="87"/>
      <c r="D485" s="87"/>
      <c r="E485" s="87"/>
      <c r="F485" s="60" t="str">
        <f>IFERROR(VLOOKUP($E485,'基础-办公用品信息'!$C:$E,2,FALSE),"-")</f>
        <v>-</v>
      </c>
      <c r="G485" s="60" t="str">
        <f>IFERROR(VLOOKUP($E485,'基础-办公用品信息'!$C:$E,3,FALSE),"-")</f>
        <v>-</v>
      </c>
      <c r="H485" s="126" t="str">
        <f>IFERROR(VLOOKUP($E485,'基础-办公用品信息'!$C:$F,4,FALSE),"-")</f>
        <v>-</v>
      </c>
      <c r="I485" s="87"/>
      <c r="J485" s="61" t="str">
        <f t="shared" si="25"/>
        <v>-</v>
      </c>
      <c r="K485" s="87"/>
      <c r="L485" s="60">
        <f t="shared" si="26"/>
        <v>1900</v>
      </c>
      <c r="M485" s="60">
        <f t="shared" si="27"/>
        <v>1</v>
      </c>
    </row>
    <row r="486" customHeight="1" spans="2:13">
      <c r="B486" s="59">
        <v>483</v>
      </c>
      <c r="C486" s="87"/>
      <c r="D486" s="87"/>
      <c r="E486" s="87"/>
      <c r="F486" s="60" t="str">
        <f>IFERROR(VLOOKUP($E486,'基础-办公用品信息'!$C:$E,2,FALSE),"-")</f>
        <v>-</v>
      </c>
      <c r="G486" s="60" t="str">
        <f>IFERROR(VLOOKUP($E486,'基础-办公用品信息'!$C:$E,3,FALSE),"-")</f>
        <v>-</v>
      </c>
      <c r="H486" s="126" t="str">
        <f>IFERROR(VLOOKUP($E486,'基础-办公用品信息'!$C:$F,4,FALSE),"-")</f>
        <v>-</v>
      </c>
      <c r="I486" s="87"/>
      <c r="J486" s="61" t="str">
        <f t="shared" si="25"/>
        <v>-</v>
      </c>
      <c r="K486" s="87"/>
      <c r="L486" s="60">
        <f t="shared" si="26"/>
        <v>1900</v>
      </c>
      <c r="M486" s="60">
        <f t="shared" si="27"/>
        <v>1</v>
      </c>
    </row>
    <row r="487" customHeight="1" spans="2:13">
      <c r="B487" s="59">
        <v>484</v>
      </c>
      <c r="C487" s="87"/>
      <c r="D487" s="87"/>
      <c r="E487" s="87"/>
      <c r="F487" s="60" t="str">
        <f>IFERROR(VLOOKUP($E487,'基础-办公用品信息'!$C:$E,2,FALSE),"-")</f>
        <v>-</v>
      </c>
      <c r="G487" s="60" t="str">
        <f>IFERROR(VLOOKUP($E487,'基础-办公用品信息'!$C:$E,3,FALSE),"-")</f>
        <v>-</v>
      </c>
      <c r="H487" s="126" t="str">
        <f>IFERROR(VLOOKUP($E487,'基础-办公用品信息'!$C:$F,4,FALSE),"-")</f>
        <v>-</v>
      </c>
      <c r="I487" s="87"/>
      <c r="J487" s="61" t="str">
        <f t="shared" si="25"/>
        <v>-</v>
      </c>
      <c r="K487" s="87"/>
      <c r="L487" s="60">
        <f t="shared" si="26"/>
        <v>1900</v>
      </c>
      <c r="M487" s="60">
        <f t="shared" si="27"/>
        <v>1</v>
      </c>
    </row>
    <row r="488" customHeight="1" spans="2:13">
      <c r="B488" s="59">
        <v>485</v>
      </c>
      <c r="C488" s="87"/>
      <c r="D488" s="87"/>
      <c r="E488" s="87"/>
      <c r="F488" s="60" t="str">
        <f>IFERROR(VLOOKUP($E488,'基础-办公用品信息'!$C:$E,2,FALSE),"-")</f>
        <v>-</v>
      </c>
      <c r="G488" s="60" t="str">
        <f>IFERROR(VLOOKUP($E488,'基础-办公用品信息'!$C:$E,3,FALSE),"-")</f>
        <v>-</v>
      </c>
      <c r="H488" s="126" t="str">
        <f>IFERROR(VLOOKUP($E488,'基础-办公用品信息'!$C:$F,4,FALSE),"-")</f>
        <v>-</v>
      </c>
      <c r="I488" s="87"/>
      <c r="J488" s="61" t="str">
        <f t="shared" si="25"/>
        <v>-</v>
      </c>
      <c r="K488" s="87"/>
      <c r="L488" s="60">
        <f t="shared" si="26"/>
        <v>1900</v>
      </c>
      <c r="M488" s="60">
        <f t="shared" si="27"/>
        <v>1</v>
      </c>
    </row>
    <row r="489" customHeight="1" spans="2:13">
      <c r="B489" s="59">
        <v>486</v>
      </c>
      <c r="C489" s="87"/>
      <c r="D489" s="87"/>
      <c r="E489" s="87"/>
      <c r="F489" s="60" t="str">
        <f>IFERROR(VLOOKUP($E489,'基础-办公用品信息'!$C:$E,2,FALSE),"-")</f>
        <v>-</v>
      </c>
      <c r="G489" s="60" t="str">
        <f>IFERROR(VLOOKUP($E489,'基础-办公用品信息'!$C:$E,3,FALSE),"-")</f>
        <v>-</v>
      </c>
      <c r="H489" s="126" t="str">
        <f>IFERROR(VLOOKUP($E489,'基础-办公用品信息'!$C:$F,4,FALSE),"-")</f>
        <v>-</v>
      </c>
      <c r="I489" s="87"/>
      <c r="J489" s="61" t="str">
        <f t="shared" si="25"/>
        <v>-</v>
      </c>
      <c r="K489" s="87"/>
      <c r="L489" s="60">
        <f t="shared" si="26"/>
        <v>1900</v>
      </c>
      <c r="M489" s="60">
        <f t="shared" si="27"/>
        <v>1</v>
      </c>
    </row>
    <row r="490" customHeight="1" spans="2:13">
      <c r="B490" s="59">
        <v>487</v>
      </c>
      <c r="C490" s="87"/>
      <c r="D490" s="87"/>
      <c r="E490" s="87"/>
      <c r="F490" s="60" t="str">
        <f>IFERROR(VLOOKUP($E490,'基础-办公用品信息'!$C:$E,2,FALSE),"-")</f>
        <v>-</v>
      </c>
      <c r="G490" s="60" t="str">
        <f>IFERROR(VLOOKUP($E490,'基础-办公用品信息'!$C:$E,3,FALSE),"-")</f>
        <v>-</v>
      </c>
      <c r="H490" s="126" t="str">
        <f>IFERROR(VLOOKUP($E490,'基础-办公用品信息'!$C:$F,4,FALSE),"-")</f>
        <v>-</v>
      </c>
      <c r="I490" s="87"/>
      <c r="J490" s="61" t="str">
        <f t="shared" si="25"/>
        <v>-</v>
      </c>
      <c r="K490" s="87"/>
      <c r="L490" s="60">
        <f t="shared" si="26"/>
        <v>1900</v>
      </c>
      <c r="M490" s="60">
        <f t="shared" si="27"/>
        <v>1</v>
      </c>
    </row>
    <row r="491" customHeight="1" spans="2:13">
      <c r="B491" s="59">
        <v>488</v>
      </c>
      <c r="C491" s="87"/>
      <c r="D491" s="87"/>
      <c r="E491" s="87"/>
      <c r="F491" s="60" t="str">
        <f>IFERROR(VLOOKUP($E491,'基础-办公用品信息'!$C:$E,2,FALSE),"-")</f>
        <v>-</v>
      </c>
      <c r="G491" s="60" t="str">
        <f>IFERROR(VLOOKUP($E491,'基础-办公用品信息'!$C:$E,3,FALSE),"-")</f>
        <v>-</v>
      </c>
      <c r="H491" s="126" t="str">
        <f>IFERROR(VLOOKUP($E491,'基础-办公用品信息'!$C:$F,4,FALSE),"-")</f>
        <v>-</v>
      </c>
      <c r="I491" s="87"/>
      <c r="J491" s="61" t="str">
        <f t="shared" si="25"/>
        <v>-</v>
      </c>
      <c r="K491" s="87"/>
      <c r="L491" s="60">
        <f t="shared" si="26"/>
        <v>1900</v>
      </c>
      <c r="M491" s="60">
        <f t="shared" si="27"/>
        <v>1</v>
      </c>
    </row>
    <row r="492" customHeight="1" spans="2:13">
      <c r="B492" s="59">
        <v>489</v>
      </c>
      <c r="C492" s="87"/>
      <c r="D492" s="87"/>
      <c r="E492" s="87"/>
      <c r="F492" s="60" t="str">
        <f>IFERROR(VLOOKUP($E492,'基础-办公用品信息'!$C:$E,2,FALSE),"-")</f>
        <v>-</v>
      </c>
      <c r="G492" s="60" t="str">
        <f>IFERROR(VLOOKUP($E492,'基础-办公用品信息'!$C:$E,3,FALSE),"-")</f>
        <v>-</v>
      </c>
      <c r="H492" s="126" t="str">
        <f>IFERROR(VLOOKUP($E492,'基础-办公用品信息'!$C:$F,4,FALSE),"-")</f>
        <v>-</v>
      </c>
      <c r="I492" s="87"/>
      <c r="J492" s="61" t="str">
        <f t="shared" si="25"/>
        <v>-</v>
      </c>
      <c r="K492" s="87"/>
      <c r="L492" s="60">
        <f t="shared" si="26"/>
        <v>1900</v>
      </c>
      <c r="M492" s="60">
        <f t="shared" si="27"/>
        <v>1</v>
      </c>
    </row>
    <row r="493" customHeight="1" spans="2:13">
      <c r="B493" s="59">
        <v>490</v>
      </c>
      <c r="C493" s="87"/>
      <c r="D493" s="87"/>
      <c r="E493" s="87"/>
      <c r="F493" s="60" t="str">
        <f>IFERROR(VLOOKUP($E493,'基础-办公用品信息'!$C:$E,2,FALSE),"-")</f>
        <v>-</v>
      </c>
      <c r="G493" s="60" t="str">
        <f>IFERROR(VLOOKUP($E493,'基础-办公用品信息'!$C:$E,3,FALSE),"-")</f>
        <v>-</v>
      </c>
      <c r="H493" s="126" t="str">
        <f>IFERROR(VLOOKUP($E493,'基础-办公用品信息'!$C:$F,4,FALSE),"-")</f>
        <v>-</v>
      </c>
      <c r="I493" s="87"/>
      <c r="J493" s="61" t="str">
        <f t="shared" si="25"/>
        <v>-</v>
      </c>
      <c r="K493" s="87"/>
      <c r="L493" s="60">
        <f t="shared" si="26"/>
        <v>1900</v>
      </c>
      <c r="M493" s="60">
        <f t="shared" si="27"/>
        <v>1</v>
      </c>
    </row>
    <row r="494" customHeight="1" spans="2:13">
      <c r="B494" s="59">
        <v>491</v>
      </c>
      <c r="C494" s="87"/>
      <c r="D494" s="87"/>
      <c r="E494" s="87"/>
      <c r="F494" s="60" t="str">
        <f>IFERROR(VLOOKUP($E494,'基础-办公用品信息'!$C:$E,2,FALSE),"-")</f>
        <v>-</v>
      </c>
      <c r="G494" s="60" t="str">
        <f>IFERROR(VLOOKUP($E494,'基础-办公用品信息'!$C:$E,3,FALSE),"-")</f>
        <v>-</v>
      </c>
      <c r="H494" s="126" t="str">
        <f>IFERROR(VLOOKUP($E494,'基础-办公用品信息'!$C:$F,4,FALSE),"-")</f>
        <v>-</v>
      </c>
      <c r="I494" s="87"/>
      <c r="J494" s="61" t="str">
        <f t="shared" si="25"/>
        <v>-</v>
      </c>
      <c r="K494" s="87"/>
      <c r="L494" s="60">
        <f t="shared" si="26"/>
        <v>1900</v>
      </c>
      <c r="M494" s="60">
        <f t="shared" si="27"/>
        <v>1</v>
      </c>
    </row>
    <row r="495" customHeight="1" spans="2:13">
      <c r="B495" s="59">
        <v>492</v>
      </c>
      <c r="C495" s="87"/>
      <c r="D495" s="87"/>
      <c r="E495" s="87"/>
      <c r="F495" s="60" t="str">
        <f>IFERROR(VLOOKUP($E495,'基础-办公用品信息'!$C:$E,2,FALSE),"-")</f>
        <v>-</v>
      </c>
      <c r="G495" s="60" t="str">
        <f>IFERROR(VLOOKUP($E495,'基础-办公用品信息'!$C:$E,3,FALSE),"-")</f>
        <v>-</v>
      </c>
      <c r="H495" s="126" t="str">
        <f>IFERROR(VLOOKUP($E495,'基础-办公用品信息'!$C:$F,4,FALSE),"-")</f>
        <v>-</v>
      </c>
      <c r="I495" s="87"/>
      <c r="J495" s="61" t="str">
        <f t="shared" si="25"/>
        <v>-</v>
      </c>
      <c r="K495" s="87"/>
      <c r="L495" s="60">
        <f t="shared" si="26"/>
        <v>1900</v>
      </c>
      <c r="M495" s="60">
        <f t="shared" si="27"/>
        <v>1</v>
      </c>
    </row>
    <row r="496" customHeight="1" spans="2:13">
      <c r="B496" s="59">
        <v>493</v>
      </c>
      <c r="C496" s="87"/>
      <c r="D496" s="87"/>
      <c r="E496" s="87"/>
      <c r="F496" s="60" t="str">
        <f>IFERROR(VLOOKUP($E496,'基础-办公用品信息'!$C:$E,2,FALSE),"-")</f>
        <v>-</v>
      </c>
      <c r="G496" s="60" t="str">
        <f>IFERROR(VLOOKUP($E496,'基础-办公用品信息'!$C:$E,3,FALSE),"-")</f>
        <v>-</v>
      </c>
      <c r="H496" s="126" t="str">
        <f>IFERROR(VLOOKUP($E496,'基础-办公用品信息'!$C:$F,4,FALSE),"-")</f>
        <v>-</v>
      </c>
      <c r="I496" s="87"/>
      <c r="J496" s="61" t="str">
        <f t="shared" si="25"/>
        <v>-</v>
      </c>
      <c r="K496" s="87"/>
      <c r="L496" s="60">
        <f t="shared" si="26"/>
        <v>1900</v>
      </c>
      <c r="M496" s="60">
        <f t="shared" si="27"/>
        <v>1</v>
      </c>
    </row>
    <row r="497" customHeight="1" spans="2:13">
      <c r="B497" s="59">
        <v>494</v>
      </c>
      <c r="C497" s="87"/>
      <c r="D497" s="87"/>
      <c r="E497" s="87"/>
      <c r="F497" s="60" t="str">
        <f>IFERROR(VLOOKUP($E497,'基础-办公用品信息'!$C:$E,2,FALSE),"-")</f>
        <v>-</v>
      </c>
      <c r="G497" s="60" t="str">
        <f>IFERROR(VLOOKUP($E497,'基础-办公用品信息'!$C:$E,3,FALSE),"-")</f>
        <v>-</v>
      </c>
      <c r="H497" s="126" t="str">
        <f>IFERROR(VLOOKUP($E497,'基础-办公用品信息'!$C:$F,4,FALSE),"-")</f>
        <v>-</v>
      </c>
      <c r="I497" s="87"/>
      <c r="J497" s="61" t="str">
        <f t="shared" si="25"/>
        <v>-</v>
      </c>
      <c r="K497" s="87"/>
      <c r="L497" s="60">
        <f t="shared" si="26"/>
        <v>1900</v>
      </c>
      <c r="M497" s="60">
        <f t="shared" si="27"/>
        <v>1</v>
      </c>
    </row>
    <row r="498" customHeight="1" spans="2:13">
      <c r="B498" s="59">
        <v>495</v>
      </c>
      <c r="C498" s="87"/>
      <c r="D498" s="87"/>
      <c r="E498" s="87"/>
      <c r="F498" s="60" t="str">
        <f>IFERROR(VLOOKUP($E498,'基础-办公用品信息'!$C:$E,2,FALSE),"-")</f>
        <v>-</v>
      </c>
      <c r="G498" s="60" t="str">
        <f>IFERROR(VLOOKUP($E498,'基础-办公用品信息'!$C:$E,3,FALSE),"-")</f>
        <v>-</v>
      </c>
      <c r="H498" s="126" t="str">
        <f>IFERROR(VLOOKUP($E498,'基础-办公用品信息'!$C:$F,4,FALSE),"-")</f>
        <v>-</v>
      </c>
      <c r="I498" s="87"/>
      <c r="J498" s="61" t="str">
        <f t="shared" si="25"/>
        <v>-</v>
      </c>
      <c r="K498" s="87"/>
      <c r="L498" s="60">
        <f t="shared" si="26"/>
        <v>1900</v>
      </c>
      <c r="M498" s="60">
        <f t="shared" si="27"/>
        <v>1</v>
      </c>
    </row>
    <row r="499" customHeight="1" spans="2:13">
      <c r="B499" s="59">
        <v>496</v>
      </c>
      <c r="C499" s="87"/>
      <c r="D499" s="87"/>
      <c r="E499" s="87"/>
      <c r="F499" s="60" t="str">
        <f>IFERROR(VLOOKUP($E499,'基础-办公用品信息'!$C:$E,2,FALSE),"-")</f>
        <v>-</v>
      </c>
      <c r="G499" s="60" t="str">
        <f>IFERROR(VLOOKUP($E499,'基础-办公用品信息'!$C:$E,3,FALSE),"-")</f>
        <v>-</v>
      </c>
      <c r="H499" s="126" t="str">
        <f>IFERROR(VLOOKUP($E499,'基础-办公用品信息'!$C:$F,4,FALSE),"-")</f>
        <v>-</v>
      </c>
      <c r="I499" s="87"/>
      <c r="J499" s="61" t="str">
        <f t="shared" si="25"/>
        <v>-</v>
      </c>
      <c r="K499" s="87"/>
      <c r="L499" s="60">
        <f t="shared" si="26"/>
        <v>1900</v>
      </c>
      <c r="M499" s="60">
        <f t="shared" si="27"/>
        <v>1</v>
      </c>
    </row>
    <row r="500" customHeight="1" spans="2:13">
      <c r="B500" s="59">
        <v>497</v>
      </c>
      <c r="C500" s="87"/>
      <c r="D500" s="87"/>
      <c r="E500" s="87"/>
      <c r="F500" s="60" t="str">
        <f>IFERROR(VLOOKUP($E500,'基础-办公用品信息'!$C:$E,2,FALSE),"-")</f>
        <v>-</v>
      </c>
      <c r="G500" s="60" t="str">
        <f>IFERROR(VLOOKUP($E500,'基础-办公用品信息'!$C:$E,3,FALSE),"-")</f>
        <v>-</v>
      </c>
      <c r="H500" s="126" t="str">
        <f>IFERROR(VLOOKUP($E500,'基础-办公用品信息'!$C:$F,4,FALSE),"-")</f>
        <v>-</v>
      </c>
      <c r="I500" s="87"/>
      <c r="J500" s="61" t="str">
        <f t="shared" si="25"/>
        <v>-</v>
      </c>
      <c r="K500" s="87"/>
      <c r="L500" s="60">
        <f t="shared" si="26"/>
        <v>1900</v>
      </c>
      <c r="M500" s="60">
        <f t="shared" si="27"/>
        <v>1</v>
      </c>
    </row>
    <row r="501" customHeight="1" spans="2:13">
      <c r="B501" s="59">
        <v>498</v>
      </c>
      <c r="C501" s="87"/>
      <c r="D501" s="87"/>
      <c r="E501" s="87"/>
      <c r="F501" s="60" t="str">
        <f>IFERROR(VLOOKUP($E501,'基础-办公用品信息'!$C:$E,2,FALSE),"-")</f>
        <v>-</v>
      </c>
      <c r="G501" s="60" t="str">
        <f>IFERROR(VLOOKUP($E501,'基础-办公用品信息'!$C:$E,3,FALSE),"-")</f>
        <v>-</v>
      </c>
      <c r="H501" s="126" t="str">
        <f>IFERROR(VLOOKUP($E501,'基础-办公用品信息'!$C:$F,4,FALSE),"-")</f>
        <v>-</v>
      </c>
      <c r="I501" s="87"/>
      <c r="J501" s="61" t="str">
        <f t="shared" si="25"/>
        <v>-</v>
      </c>
      <c r="K501" s="87"/>
      <c r="L501" s="60">
        <f t="shared" si="26"/>
        <v>1900</v>
      </c>
      <c r="M501" s="60">
        <f t="shared" si="27"/>
        <v>1</v>
      </c>
    </row>
    <row r="502" customHeight="1" spans="2:13">
      <c r="B502" s="59">
        <v>499</v>
      </c>
      <c r="C502" s="87"/>
      <c r="D502" s="87"/>
      <c r="E502" s="87"/>
      <c r="F502" s="60" t="str">
        <f>IFERROR(VLOOKUP($E502,'基础-办公用品信息'!$C:$E,2,FALSE),"-")</f>
        <v>-</v>
      </c>
      <c r="G502" s="60" t="str">
        <f>IFERROR(VLOOKUP($E502,'基础-办公用品信息'!$C:$E,3,FALSE),"-")</f>
        <v>-</v>
      </c>
      <c r="H502" s="126" t="str">
        <f>IFERROR(VLOOKUP($E502,'基础-办公用品信息'!$C:$F,4,FALSE),"-")</f>
        <v>-</v>
      </c>
      <c r="I502" s="87"/>
      <c r="J502" s="61" t="str">
        <f t="shared" si="25"/>
        <v>-</v>
      </c>
      <c r="K502" s="87"/>
      <c r="L502" s="60">
        <f t="shared" si="26"/>
        <v>1900</v>
      </c>
      <c r="M502" s="60">
        <f t="shared" si="27"/>
        <v>1</v>
      </c>
    </row>
    <row r="503" customHeight="1" spans="2:13">
      <c r="B503" s="59">
        <v>500</v>
      </c>
      <c r="C503" s="87"/>
      <c r="D503" s="87"/>
      <c r="E503" s="87"/>
      <c r="F503" s="60" t="str">
        <f>IFERROR(VLOOKUP($E503,'基础-办公用品信息'!$C:$E,2,FALSE),"-")</f>
        <v>-</v>
      </c>
      <c r="G503" s="60" t="str">
        <f>IFERROR(VLOOKUP($E503,'基础-办公用品信息'!$C:$E,3,FALSE),"-")</f>
        <v>-</v>
      </c>
      <c r="H503" s="126" t="str">
        <f>IFERROR(VLOOKUP($E503,'基础-办公用品信息'!$C:$F,4,FALSE),"-")</f>
        <v>-</v>
      </c>
      <c r="I503" s="87"/>
      <c r="J503" s="61" t="str">
        <f t="shared" ref="J503:J566" si="28">IF(AND(H503&lt;&gt;"",I503&lt;&gt;""),H503*I503,"-")</f>
        <v>-</v>
      </c>
      <c r="K503" s="87"/>
      <c r="L503" s="60">
        <f t="shared" ref="L503:L566" si="29">YEAR(C503)</f>
        <v>1900</v>
      </c>
      <c r="M503" s="60">
        <f t="shared" ref="M503:M566" si="30">MONTH(C503)</f>
        <v>1</v>
      </c>
    </row>
    <row r="504" customHeight="1" spans="2:13">
      <c r="B504" s="59">
        <v>501</v>
      </c>
      <c r="C504" s="87"/>
      <c r="D504" s="87"/>
      <c r="E504" s="87"/>
      <c r="F504" s="60" t="str">
        <f>IFERROR(VLOOKUP($E504,'基础-办公用品信息'!$C:$E,2,FALSE),"-")</f>
        <v>-</v>
      </c>
      <c r="G504" s="60" t="str">
        <f>IFERROR(VLOOKUP($E504,'基础-办公用品信息'!$C:$E,3,FALSE),"-")</f>
        <v>-</v>
      </c>
      <c r="H504" s="126" t="str">
        <f>IFERROR(VLOOKUP($E504,'基础-办公用品信息'!$C:$F,4,FALSE),"-")</f>
        <v>-</v>
      </c>
      <c r="I504" s="87"/>
      <c r="J504" s="61" t="str">
        <f t="shared" si="28"/>
        <v>-</v>
      </c>
      <c r="K504" s="87"/>
      <c r="L504" s="60">
        <f t="shared" si="29"/>
        <v>1900</v>
      </c>
      <c r="M504" s="60">
        <f t="shared" si="30"/>
        <v>1</v>
      </c>
    </row>
    <row r="505" customHeight="1" spans="2:13">
      <c r="B505" s="59">
        <v>502</v>
      </c>
      <c r="C505" s="87"/>
      <c r="D505" s="87"/>
      <c r="E505" s="87"/>
      <c r="F505" s="60" t="str">
        <f>IFERROR(VLOOKUP($E505,'基础-办公用品信息'!$C:$E,2,FALSE),"-")</f>
        <v>-</v>
      </c>
      <c r="G505" s="60" t="str">
        <f>IFERROR(VLOOKUP($E505,'基础-办公用品信息'!$C:$E,3,FALSE),"-")</f>
        <v>-</v>
      </c>
      <c r="H505" s="126" t="str">
        <f>IFERROR(VLOOKUP($E505,'基础-办公用品信息'!$C:$F,4,FALSE),"-")</f>
        <v>-</v>
      </c>
      <c r="I505" s="87"/>
      <c r="J505" s="61" t="str">
        <f t="shared" si="28"/>
        <v>-</v>
      </c>
      <c r="K505" s="87"/>
      <c r="L505" s="60">
        <f t="shared" si="29"/>
        <v>1900</v>
      </c>
      <c r="M505" s="60">
        <f t="shared" si="30"/>
        <v>1</v>
      </c>
    </row>
    <row r="506" customHeight="1" spans="2:13">
      <c r="B506" s="59">
        <v>503</v>
      </c>
      <c r="C506" s="87"/>
      <c r="D506" s="87"/>
      <c r="E506" s="87"/>
      <c r="F506" s="60" t="str">
        <f>IFERROR(VLOOKUP($E506,'基础-办公用品信息'!$C:$E,2,FALSE),"-")</f>
        <v>-</v>
      </c>
      <c r="G506" s="60" t="str">
        <f>IFERROR(VLOOKUP($E506,'基础-办公用品信息'!$C:$E,3,FALSE),"-")</f>
        <v>-</v>
      </c>
      <c r="H506" s="126" t="str">
        <f>IFERROR(VLOOKUP($E506,'基础-办公用品信息'!$C:$F,4,FALSE),"-")</f>
        <v>-</v>
      </c>
      <c r="I506" s="87"/>
      <c r="J506" s="61" t="str">
        <f t="shared" si="28"/>
        <v>-</v>
      </c>
      <c r="K506" s="87"/>
      <c r="L506" s="60">
        <f t="shared" si="29"/>
        <v>1900</v>
      </c>
      <c r="M506" s="60">
        <f t="shared" si="30"/>
        <v>1</v>
      </c>
    </row>
    <row r="507" customHeight="1" spans="2:13">
      <c r="B507" s="59">
        <v>504</v>
      </c>
      <c r="C507" s="87"/>
      <c r="D507" s="87"/>
      <c r="E507" s="87"/>
      <c r="F507" s="60" t="str">
        <f>IFERROR(VLOOKUP($E507,'基础-办公用品信息'!$C:$E,2,FALSE),"-")</f>
        <v>-</v>
      </c>
      <c r="G507" s="60" t="str">
        <f>IFERROR(VLOOKUP($E507,'基础-办公用品信息'!$C:$E,3,FALSE),"-")</f>
        <v>-</v>
      </c>
      <c r="H507" s="126" t="str">
        <f>IFERROR(VLOOKUP($E507,'基础-办公用品信息'!$C:$F,4,FALSE),"-")</f>
        <v>-</v>
      </c>
      <c r="I507" s="87"/>
      <c r="J507" s="61" t="str">
        <f t="shared" si="28"/>
        <v>-</v>
      </c>
      <c r="K507" s="87"/>
      <c r="L507" s="60">
        <f t="shared" si="29"/>
        <v>1900</v>
      </c>
      <c r="M507" s="60">
        <f t="shared" si="30"/>
        <v>1</v>
      </c>
    </row>
    <row r="508" customHeight="1" spans="2:13">
      <c r="B508" s="59">
        <v>505</v>
      </c>
      <c r="C508" s="87"/>
      <c r="D508" s="87"/>
      <c r="E508" s="87"/>
      <c r="F508" s="60" t="str">
        <f>IFERROR(VLOOKUP($E508,'基础-办公用品信息'!$C:$E,2,FALSE),"-")</f>
        <v>-</v>
      </c>
      <c r="G508" s="60" t="str">
        <f>IFERROR(VLOOKUP($E508,'基础-办公用品信息'!$C:$E,3,FALSE),"-")</f>
        <v>-</v>
      </c>
      <c r="H508" s="126" t="str">
        <f>IFERROR(VLOOKUP($E508,'基础-办公用品信息'!$C:$F,4,FALSE),"-")</f>
        <v>-</v>
      </c>
      <c r="I508" s="87"/>
      <c r="J508" s="61" t="str">
        <f t="shared" si="28"/>
        <v>-</v>
      </c>
      <c r="K508" s="87"/>
      <c r="L508" s="60">
        <f t="shared" si="29"/>
        <v>1900</v>
      </c>
      <c r="M508" s="60">
        <f t="shared" si="30"/>
        <v>1</v>
      </c>
    </row>
    <row r="509" customHeight="1" spans="2:13">
      <c r="B509" s="59">
        <v>506</v>
      </c>
      <c r="C509" s="87"/>
      <c r="D509" s="87"/>
      <c r="E509" s="87"/>
      <c r="F509" s="60" t="str">
        <f>IFERROR(VLOOKUP($E509,'基础-办公用品信息'!$C:$E,2,FALSE),"-")</f>
        <v>-</v>
      </c>
      <c r="G509" s="60" t="str">
        <f>IFERROR(VLOOKUP($E509,'基础-办公用品信息'!$C:$E,3,FALSE),"-")</f>
        <v>-</v>
      </c>
      <c r="H509" s="126" t="str">
        <f>IFERROR(VLOOKUP($E509,'基础-办公用品信息'!$C:$F,4,FALSE),"-")</f>
        <v>-</v>
      </c>
      <c r="I509" s="87"/>
      <c r="J509" s="61" t="str">
        <f t="shared" si="28"/>
        <v>-</v>
      </c>
      <c r="K509" s="87"/>
      <c r="L509" s="60">
        <f t="shared" si="29"/>
        <v>1900</v>
      </c>
      <c r="M509" s="60">
        <f t="shared" si="30"/>
        <v>1</v>
      </c>
    </row>
    <row r="510" customHeight="1" spans="2:13">
      <c r="B510" s="59">
        <v>507</v>
      </c>
      <c r="C510" s="87"/>
      <c r="D510" s="87"/>
      <c r="E510" s="87"/>
      <c r="F510" s="60" t="str">
        <f>IFERROR(VLOOKUP($E510,'基础-办公用品信息'!$C:$E,2,FALSE),"-")</f>
        <v>-</v>
      </c>
      <c r="G510" s="60" t="str">
        <f>IFERROR(VLOOKUP($E510,'基础-办公用品信息'!$C:$E,3,FALSE),"-")</f>
        <v>-</v>
      </c>
      <c r="H510" s="126" t="str">
        <f>IFERROR(VLOOKUP($E510,'基础-办公用品信息'!$C:$F,4,FALSE),"-")</f>
        <v>-</v>
      </c>
      <c r="I510" s="87"/>
      <c r="J510" s="61" t="str">
        <f t="shared" si="28"/>
        <v>-</v>
      </c>
      <c r="K510" s="87"/>
      <c r="L510" s="60">
        <f t="shared" si="29"/>
        <v>1900</v>
      </c>
      <c r="M510" s="60">
        <f t="shared" si="30"/>
        <v>1</v>
      </c>
    </row>
    <row r="511" customHeight="1" spans="2:13">
      <c r="B511" s="59">
        <v>508</v>
      </c>
      <c r="C511" s="87"/>
      <c r="D511" s="87"/>
      <c r="E511" s="87"/>
      <c r="F511" s="60" t="str">
        <f>IFERROR(VLOOKUP($E511,'基础-办公用品信息'!$C:$E,2,FALSE),"-")</f>
        <v>-</v>
      </c>
      <c r="G511" s="60" t="str">
        <f>IFERROR(VLOOKUP($E511,'基础-办公用品信息'!$C:$E,3,FALSE),"-")</f>
        <v>-</v>
      </c>
      <c r="H511" s="126" t="str">
        <f>IFERROR(VLOOKUP($E511,'基础-办公用品信息'!$C:$F,4,FALSE),"-")</f>
        <v>-</v>
      </c>
      <c r="I511" s="87"/>
      <c r="J511" s="61" t="str">
        <f t="shared" si="28"/>
        <v>-</v>
      </c>
      <c r="K511" s="87"/>
      <c r="L511" s="60">
        <f t="shared" si="29"/>
        <v>1900</v>
      </c>
      <c r="M511" s="60">
        <f t="shared" si="30"/>
        <v>1</v>
      </c>
    </row>
    <row r="512" customHeight="1" spans="2:13">
      <c r="B512" s="59">
        <v>509</v>
      </c>
      <c r="C512" s="87"/>
      <c r="D512" s="87"/>
      <c r="E512" s="87"/>
      <c r="F512" s="60" t="str">
        <f>IFERROR(VLOOKUP($E512,'基础-办公用品信息'!$C:$E,2,FALSE),"-")</f>
        <v>-</v>
      </c>
      <c r="G512" s="60" t="str">
        <f>IFERROR(VLOOKUP($E512,'基础-办公用品信息'!$C:$E,3,FALSE),"-")</f>
        <v>-</v>
      </c>
      <c r="H512" s="126" t="str">
        <f>IFERROR(VLOOKUP($E512,'基础-办公用品信息'!$C:$F,4,FALSE),"-")</f>
        <v>-</v>
      </c>
      <c r="I512" s="87"/>
      <c r="J512" s="61" t="str">
        <f t="shared" si="28"/>
        <v>-</v>
      </c>
      <c r="K512" s="87"/>
      <c r="L512" s="60">
        <f t="shared" si="29"/>
        <v>1900</v>
      </c>
      <c r="M512" s="60">
        <f t="shared" si="30"/>
        <v>1</v>
      </c>
    </row>
    <row r="513" customHeight="1" spans="2:13">
      <c r="B513" s="59">
        <v>510</v>
      </c>
      <c r="C513" s="87"/>
      <c r="D513" s="87"/>
      <c r="E513" s="87"/>
      <c r="F513" s="60" t="str">
        <f>IFERROR(VLOOKUP($E513,'基础-办公用品信息'!$C:$E,2,FALSE),"-")</f>
        <v>-</v>
      </c>
      <c r="G513" s="60" t="str">
        <f>IFERROR(VLOOKUP($E513,'基础-办公用品信息'!$C:$E,3,FALSE),"-")</f>
        <v>-</v>
      </c>
      <c r="H513" s="126" t="str">
        <f>IFERROR(VLOOKUP($E513,'基础-办公用品信息'!$C:$F,4,FALSE),"-")</f>
        <v>-</v>
      </c>
      <c r="I513" s="87"/>
      <c r="J513" s="61" t="str">
        <f t="shared" si="28"/>
        <v>-</v>
      </c>
      <c r="K513" s="87"/>
      <c r="L513" s="60">
        <f t="shared" si="29"/>
        <v>1900</v>
      </c>
      <c r="M513" s="60">
        <f t="shared" si="30"/>
        <v>1</v>
      </c>
    </row>
    <row r="514" customHeight="1" spans="2:13">
      <c r="B514" s="59">
        <v>511</v>
      </c>
      <c r="C514" s="87"/>
      <c r="D514" s="87"/>
      <c r="E514" s="87"/>
      <c r="F514" s="60" t="str">
        <f>IFERROR(VLOOKUP($E514,'基础-办公用品信息'!$C:$E,2,FALSE),"-")</f>
        <v>-</v>
      </c>
      <c r="G514" s="60" t="str">
        <f>IFERROR(VLOOKUP($E514,'基础-办公用品信息'!$C:$E,3,FALSE),"-")</f>
        <v>-</v>
      </c>
      <c r="H514" s="126" t="str">
        <f>IFERROR(VLOOKUP($E514,'基础-办公用品信息'!$C:$F,4,FALSE),"-")</f>
        <v>-</v>
      </c>
      <c r="I514" s="87"/>
      <c r="J514" s="61" t="str">
        <f t="shared" si="28"/>
        <v>-</v>
      </c>
      <c r="K514" s="87"/>
      <c r="L514" s="60">
        <f t="shared" si="29"/>
        <v>1900</v>
      </c>
      <c r="M514" s="60">
        <f t="shared" si="30"/>
        <v>1</v>
      </c>
    </row>
    <row r="515" customHeight="1" spans="2:13">
      <c r="B515" s="59">
        <v>512</v>
      </c>
      <c r="C515" s="87"/>
      <c r="D515" s="87"/>
      <c r="E515" s="87"/>
      <c r="F515" s="60" t="str">
        <f>IFERROR(VLOOKUP($E515,'基础-办公用品信息'!$C:$E,2,FALSE),"-")</f>
        <v>-</v>
      </c>
      <c r="G515" s="60" t="str">
        <f>IFERROR(VLOOKUP($E515,'基础-办公用品信息'!$C:$E,3,FALSE),"-")</f>
        <v>-</v>
      </c>
      <c r="H515" s="126" t="str">
        <f>IFERROR(VLOOKUP($E515,'基础-办公用品信息'!$C:$F,4,FALSE),"-")</f>
        <v>-</v>
      </c>
      <c r="I515" s="87"/>
      <c r="J515" s="61" t="str">
        <f t="shared" si="28"/>
        <v>-</v>
      </c>
      <c r="K515" s="87"/>
      <c r="L515" s="60">
        <f t="shared" si="29"/>
        <v>1900</v>
      </c>
      <c r="M515" s="60">
        <f t="shared" si="30"/>
        <v>1</v>
      </c>
    </row>
    <row r="516" customHeight="1" spans="2:13">
      <c r="B516" s="59">
        <v>513</v>
      </c>
      <c r="C516" s="87"/>
      <c r="D516" s="87"/>
      <c r="E516" s="87"/>
      <c r="F516" s="60" t="str">
        <f>IFERROR(VLOOKUP($E516,'基础-办公用品信息'!$C:$E,2,FALSE),"-")</f>
        <v>-</v>
      </c>
      <c r="G516" s="60" t="str">
        <f>IFERROR(VLOOKUP($E516,'基础-办公用品信息'!$C:$E,3,FALSE),"-")</f>
        <v>-</v>
      </c>
      <c r="H516" s="126" t="str">
        <f>IFERROR(VLOOKUP($E516,'基础-办公用品信息'!$C:$F,4,FALSE),"-")</f>
        <v>-</v>
      </c>
      <c r="I516" s="87"/>
      <c r="J516" s="61" t="str">
        <f t="shared" si="28"/>
        <v>-</v>
      </c>
      <c r="K516" s="87"/>
      <c r="L516" s="60">
        <f t="shared" si="29"/>
        <v>1900</v>
      </c>
      <c r="M516" s="60">
        <f t="shared" si="30"/>
        <v>1</v>
      </c>
    </row>
    <row r="517" customHeight="1" spans="2:13">
      <c r="B517" s="59">
        <v>514</v>
      </c>
      <c r="C517" s="87"/>
      <c r="D517" s="87"/>
      <c r="E517" s="87"/>
      <c r="F517" s="60" t="str">
        <f>IFERROR(VLOOKUP($E517,'基础-办公用品信息'!$C:$E,2,FALSE),"-")</f>
        <v>-</v>
      </c>
      <c r="G517" s="60" t="str">
        <f>IFERROR(VLOOKUP($E517,'基础-办公用品信息'!$C:$E,3,FALSE),"-")</f>
        <v>-</v>
      </c>
      <c r="H517" s="126" t="str">
        <f>IFERROR(VLOOKUP($E517,'基础-办公用品信息'!$C:$F,4,FALSE),"-")</f>
        <v>-</v>
      </c>
      <c r="I517" s="87"/>
      <c r="J517" s="61" t="str">
        <f t="shared" si="28"/>
        <v>-</v>
      </c>
      <c r="K517" s="87"/>
      <c r="L517" s="60">
        <f t="shared" si="29"/>
        <v>1900</v>
      </c>
      <c r="M517" s="60">
        <f t="shared" si="30"/>
        <v>1</v>
      </c>
    </row>
    <row r="518" customHeight="1" spans="2:13">
      <c r="B518" s="59">
        <v>515</v>
      </c>
      <c r="C518" s="87"/>
      <c r="D518" s="87"/>
      <c r="E518" s="87"/>
      <c r="F518" s="60" t="str">
        <f>IFERROR(VLOOKUP($E518,'基础-办公用品信息'!$C:$E,2,FALSE),"-")</f>
        <v>-</v>
      </c>
      <c r="G518" s="60" t="str">
        <f>IFERROR(VLOOKUP($E518,'基础-办公用品信息'!$C:$E,3,FALSE),"-")</f>
        <v>-</v>
      </c>
      <c r="H518" s="126" t="str">
        <f>IFERROR(VLOOKUP($E518,'基础-办公用品信息'!$C:$F,4,FALSE),"-")</f>
        <v>-</v>
      </c>
      <c r="I518" s="87"/>
      <c r="J518" s="61" t="str">
        <f t="shared" si="28"/>
        <v>-</v>
      </c>
      <c r="K518" s="87"/>
      <c r="L518" s="60">
        <f t="shared" si="29"/>
        <v>1900</v>
      </c>
      <c r="M518" s="60">
        <f t="shared" si="30"/>
        <v>1</v>
      </c>
    </row>
    <row r="519" customHeight="1" spans="2:13">
      <c r="B519" s="59">
        <v>516</v>
      </c>
      <c r="C519" s="87"/>
      <c r="D519" s="87"/>
      <c r="E519" s="87"/>
      <c r="F519" s="60" t="str">
        <f>IFERROR(VLOOKUP($E519,'基础-办公用品信息'!$C:$E,2,FALSE),"-")</f>
        <v>-</v>
      </c>
      <c r="G519" s="60" t="str">
        <f>IFERROR(VLOOKUP($E519,'基础-办公用品信息'!$C:$E,3,FALSE),"-")</f>
        <v>-</v>
      </c>
      <c r="H519" s="126" t="str">
        <f>IFERROR(VLOOKUP($E519,'基础-办公用品信息'!$C:$F,4,FALSE),"-")</f>
        <v>-</v>
      </c>
      <c r="I519" s="87"/>
      <c r="J519" s="61" t="str">
        <f t="shared" si="28"/>
        <v>-</v>
      </c>
      <c r="K519" s="87"/>
      <c r="L519" s="60">
        <f t="shared" si="29"/>
        <v>1900</v>
      </c>
      <c r="M519" s="60">
        <f t="shared" si="30"/>
        <v>1</v>
      </c>
    </row>
    <row r="520" customHeight="1" spans="2:13">
      <c r="B520" s="59">
        <v>517</v>
      </c>
      <c r="C520" s="87"/>
      <c r="D520" s="87"/>
      <c r="E520" s="87"/>
      <c r="F520" s="60" t="str">
        <f>IFERROR(VLOOKUP($E520,'基础-办公用品信息'!$C:$E,2,FALSE),"-")</f>
        <v>-</v>
      </c>
      <c r="G520" s="60" t="str">
        <f>IFERROR(VLOOKUP($E520,'基础-办公用品信息'!$C:$E,3,FALSE),"-")</f>
        <v>-</v>
      </c>
      <c r="H520" s="126" t="str">
        <f>IFERROR(VLOOKUP($E520,'基础-办公用品信息'!$C:$F,4,FALSE),"-")</f>
        <v>-</v>
      </c>
      <c r="I520" s="87"/>
      <c r="J520" s="61" t="str">
        <f t="shared" si="28"/>
        <v>-</v>
      </c>
      <c r="K520" s="87"/>
      <c r="L520" s="60">
        <f t="shared" si="29"/>
        <v>1900</v>
      </c>
      <c r="M520" s="60">
        <f t="shared" si="30"/>
        <v>1</v>
      </c>
    </row>
    <row r="521" customHeight="1" spans="2:13">
      <c r="B521" s="59">
        <v>518</v>
      </c>
      <c r="C521" s="87"/>
      <c r="D521" s="87"/>
      <c r="E521" s="87"/>
      <c r="F521" s="60" t="str">
        <f>IFERROR(VLOOKUP($E521,'基础-办公用品信息'!$C:$E,2,FALSE),"-")</f>
        <v>-</v>
      </c>
      <c r="G521" s="60" t="str">
        <f>IFERROR(VLOOKUP($E521,'基础-办公用品信息'!$C:$E,3,FALSE),"-")</f>
        <v>-</v>
      </c>
      <c r="H521" s="126" t="str">
        <f>IFERROR(VLOOKUP($E521,'基础-办公用品信息'!$C:$F,4,FALSE),"-")</f>
        <v>-</v>
      </c>
      <c r="I521" s="87"/>
      <c r="J521" s="61" t="str">
        <f t="shared" si="28"/>
        <v>-</v>
      </c>
      <c r="K521" s="87"/>
      <c r="L521" s="60">
        <f t="shared" si="29"/>
        <v>1900</v>
      </c>
      <c r="M521" s="60">
        <f t="shared" si="30"/>
        <v>1</v>
      </c>
    </row>
    <row r="522" customHeight="1" spans="2:13">
      <c r="B522" s="59">
        <v>519</v>
      </c>
      <c r="C522" s="87"/>
      <c r="D522" s="87"/>
      <c r="E522" s="87"/>
      <c r="F522" s="60" t="str">
        <f>IFERROR(VLOOKUP($E522,'基础-办公用品信息'!$C:$E,2,FALSE),"-")</f>
        <v>-</v>
      </c>
      <c r="G522" s="60" t="str">
        <f>IFERROR(VLOOKUP($E522,'基础-办公用品信息'!$C:$E,3,FALSE),"-")</f>
        <v>-</v>
      </c>
      <c r="H522" s="126" t="str">
        <f>IFERROR(VLOOKUP($E522,'基础-办公用品信息'!$C:$F,4,FALSE),"-")</f>
        <v>-</v>
      </c>
      <c r="I522" s="87"/>
      <c r="J522" s="61" t="str">
        <f t="shared" si="28"/>
        <v>-</v>
      </c>
      <c r="K522" s="87"/>
      <c r="L522" s="60">
        <f t="shared" si="29"/>
        <v>1900</v>
      </c>
      <c r="M522" s="60">
        <f t="shared" si="30"/>
        <v>1</v>
      </c>
    </row>
    <row r="523" customHeight="1" spans="2:13">
      <c r="B523" s="59">
        <v>520</v>
      </c>
      <c r="C523" s="87"/>
      <c r="D523" s="87"/>
      <c r="E523" s="87"/>
      <c r="F523" s="60" t="str">
        <f>IFERROR(VLOOKUP($E523,'基础-办公用品信息'!$C:$E,2,FALSE),"-")</f>
        <v>-</v>
      </c>
      <c r="G523" s="60" t="str">
        <f>IFERROR(VLOOKUP($E523,'基础-办公用品信息'!$C:$E,3,FALSE),"-")</f>
        <v>-</v>
      </c>
      <c r="H523" s="126" t="str">
        <f>IFERROR(VLOOKUP($E523,'基础-办公用品信息'!$C:$F,4,FALSE),"-")</f>
        <v>-</v>
      </c>
      <c r="I523" s="87"/>
      <c r="J523" s="61" t="str">
        <f t="shared" si="28"/>
        <v>-</v>
      </c>
      <c r="K523" s="87"/>
      <c r="L523" s="60">
        <f t="shared" si="29"/>
        <v>1900</v>
      </c>
      <c r="M523" s="60">
        <f t="shared" si="30"/>
        <v>1</v>
      </c>
    </row>
    <row r="524" customHeight="1" spans="2:13">
      <c r="B524" s="59">
        <v>521</v>
      </c>
      <c r="C524" s="87"/>
      <c r="D524" s="87"/>
      <c r="E524" s="87"/>
      <c r="F524" s="60" t="str">
        <f>IFERROR(VLOOKUP($E524,'基础-办公用品信息'!$C:$E,2,FALSE),"-")</f>
        <v>-</v>
      </c>
      <c r="G524" s="60" t="str">
        <f>IFERROR(VLOOKUP($E524,'基础-办公用品信息'!$C:$E,3,FALSE),"-")</f>
        <v>-</v>
      </c>
      <c r="H524" s="126" t="str">
        <f>IFERROR(VLOOKUP($E524,'基础-办公用品信息'!$C:$F,4,FALSE),"-")</f>
        <v>-</v>
      </c>
      <c r="I524" s="87"/>
      <c r="J524" s="61" t="str">
        <f t="shared" si="28"/>
        <v>-</v>
      </c>
      <c r="K524" s="87"/>
      <c r="L524" s="60">
        <f t="shared" si="29"/>
        <v>1900</v>
      </c>
      <c r="M524" s="60">
        <f t="shared" si="30"/>
        <v>1</v>
      </c>
    </row>
    <row r="525" customHeight="1" spans="2:13">
      <c r="B525" s="59">
        <v>522</v>
      </c>
      <c r="C525" s="87"/>
      <c r="D525" s="87"/>
      <c r="E525" s="87"/>
      <c r="F525" s="60" t="str">
        <f>IFERROR(VLOOKUP($E525,'基础-办公用品信息'!$C:$E,2,FALSE),"-")</f>
        <v>-</v>
      </c>
      <c r="G525" s="60" t="str">
        <f>IFERROR(VLOOKUP($E525,'基础-办公用品信息'!$C:$E,3,FALSE),"-")</f>
        <v>-</v>
      </c>
      <c r="H525" s="126" t="str">
        <f>IFERROR(VLOOKUP($E525,'基础-办公用品信息'!$C:$F,4,FALSE),"-")</f>
        <v>-</v>
      </c>
      <c r="I525" s="87"/>
      <c r="J525" s="61" t="str">
        <f t="shared" si="28"/>
        <v>-</v>
      </c>
      <c r="K525" s="87"/>
      <c r="L525" s="60">
        <f t="shared" si="29"/>
        <v>1900</v>
      </c>
      <c r="M525" s="60">
        <f t="shared" si="30"/>
        <v>1</v>
      </c>
    </row>
    <row r="526" customHeight="1" spans="2:13">
      <c r="B526" s="59">
        <v>523</v>
      </c>
      <c r="C526" s="87"/>
      <c r="D526" s="87"/>
      <c r="E526" s="87"/>
      <c r="F526" s="60" t="str">
        <f>IFERROR(VLOOKUP($E526,'基础-办公用品信息'!$C:$E,2,FALSE),"-")</f>
        <v>-</v>
      </c>
      <c r="G526" s="60" t="str">
        <f>IFERROR(VLOOKUP($E526,'基础-办公用品信息'!$C:$E,3,FALSE),"-")</f>
        <v>-</v>
      </c>
      <c r="H526" s="126" t="str">
        <f>IFERROR(VLOOKUP($E526,'基础-办公用品信息'!$C:$F,4,FALSE),"-")</f>
        <v>-</v>
      </c>
      <c r="I526" s="87"/>
      <c r="J526" s="61" t="str">
        <f t="shared" si="28"/>
        <v>-</v>
      </c>
      <c r="K526" s="87"/>
      <c r="L526" s="60">
        <f t="shared" si="29"/>
        <v>1900</v>
      </c>
      <c r="M526" s="60">
        <f t="shared" si="30"/>
        <v>1</v>
      </c>
    </row>
    <row r="527" customHeight="1" spans="2:13">
      <c r="B527" s="59">
        <v>524</v>
      </c>
      <c r="C527" s="87"/>
      <c r="D527" s="87"/>
      <c r="E527" s="87"/>
      <c r="F527" s="60" t="str">
        <f>IFERROR(VLOOKUP($E527,'基础-办公用品信息'!$C:$E,2,FALSE),"-")</f>
        <v>-</v>
      </c>
      <c r="G527" s="60" t="str">
        <f>IFERROR(VLOOKUP($E527,'基础-办公用品信息'!$C:$E,3,FALSE),"-")</f>
        <v>-</v>
      </c>
      <c r="H527" s="126" t="str">
        <f>IFERROR(VLOOKUP($E527,'基础-办公用品信息'!$C:$F,4,FALSE),"-")</f>
        <v>-</v>
      </c>
      <c r="I527" s="87"/>
      <c r="J527" s="61" t="str">
        <f t="shared" si="28"/>
        <v>-</v>
      </c>
      <c r="K527" s="87"/>
      <c r="L527" s="60">
        <f t="shared" si="29"/>
        <v>1900</v>
      </c>
      <c r="M527" s="60">
        <f t="shared" si="30"/>
        <v>1</v>
      </c>
    </row>
    <row r="528" customHeight="1" spans="2:13">
      <c r="B528" s="59">
        <v>525</v>
      </c>
      <c r="C528" s="87"/>
      <c r="D528" s="87"/>
      <c r="E528" s="87"/>
      <c r="F528" s="60" t="str">
        <f>IFERROR(VLOOKUP($E528,'基础-办公用品信息'!$C:$E,2,FALSE),"-")</f>
        <v>-</v>
      </c>
      <c r="G528" s="60" t="str">
        <f>IFERROR(VLOOKUP($E528,'基础-办公用品信息'!$C:$E,3,FALSE),"-")</f>
        <v>-</v>
      </c>
      <c r="H528" s="126" t="str">
        <f>IFERROR(VLOOKUP($E528,'基础-办公用品信息'!$C:$F,4,FALSE),"-")</f>
        <v>-</v>
      </c>
      <c r="I528" s="87"/>
      <c r="J528" s="61" t="str">
        <f t="shared" si="28"/>
        <v>-</v>
      </c>
      <c r="K528" s="87"/>
      <c r="L528" s="60">
        <f t="shared" si="29"/>
        <v>1900</v>
      </c>
      <c r="M528" s="60">
        <f t="shared" si="30"/>
        <v>1</v>
      </c>
    </row>
    <row r="529" customHeight="1" spans="2:13">
      <c r="B529" s="59">
        <v>526</v>
      </c>
      <c r="C529" s="87"/>
      <c r="D529" s="87"/>
      <c r="E529" s="87"/>
      <c r="F529" s="60" t="str">
        <f>IFERROR(VLOOKUP($E529,'基础-办公用品信息'!$C:$E,2,FALSE),"-")</f>
        <v>-</v>
      </c>
      <c r="G529" s="60" t="str">
        <f>IFERROR(VLOOKUP($E529,'基础-办公用品信息'!$C:$E,3,FALSE),"-")</f>
        <v>-</v>
      </c>
      <c r="H529" s="126" t="str">
        <f>IFERROR(VLOOKUP($E529,'基础-办公用品信息'!$C:$F,4,FALSE),"-")</f>
        <v>-</v>
      </c>
      <c r="I529" s="87"/>
      <c r="J529" s="61" t="str">
        <f t="shared" si="28"/>
        <v>-</v>
      </c>
      <c r="K529" s="87"/>
      <c r="L529" s="60">
        <f t="shared" si="29"/>
        <v>1900</v>
      </c>
      <c r="M529" s="60">
        <f t="shared" si="30"/>
        <v>1</v>
      </c>
    </row>
    <row r="530" customHeight="1" spans="2:13">
      <c r="B530" s="59">
        <v>527</v>
      </c>
      <c r="C530" s="87"/>
      <c r="D530" s="87"/>
      <c r="E530" s="87"/>
      <c r="F530" s="60" t="str">
        <f>IFERROR(VLOOKUP($E530,'基础-办公用品信息'!$C:$E,2,FALSE),"-")</f>
        <v>-</v>
      </c>
      <c r="G530" s="60" t="str">
        <f>IFERROR(VLOOKUP($E530,'基础-办公用品信息'!$C:$E,3,FALSE),"-")</f>
        <v>-</v>
      </c>
      <c r="H530" s="126" t="str">
        <f>IFERROR(VLOOKUP($E530,'基础-办公用品信息'!$C:$F,4,FALSE),"-")</f>
        <v>-</v>
      </c>
      <c r="I530" s="87"/>
      <c r="J530" s="61" t="str">
        <f t="shared" si="28"/>
        <v>-</v>
      </c>
      <c r="K530" s="87"/>
      <c r="L530" s="60">
        <f t="shared" si="29"/>
        <v>1900</v>
      </c>
      <c r="M530" s="60">
        <f t="shared" si="30"/>
        <v>1</v>
      </c>
    </row>
    <row r="531" customHeight="1" spans="2:13">
      <c r="B531" s="59">
        <v>528</v>
      </c>
      <c r="C531" s="87"/>
      <c r="D531" s="87"/>
      <c r="E531" s="87"/>
      <c r="F531" s="60" t="str">
        <f>IFERROR(VLOOKUP($E531,'基础-办公用品信息'!$C:$E,2,FALSE),"-")</f>
        <v>-</v>
      </c>
      <c r="G531" s="60" t="str">
        <f>IFERROR(VLOOKUP($E531,'基础-办公用品信息'!$C:$E,3,FALSE),"-")</f>
        <v>-</v>
      </c>
      <c r="H531" s="126" t="str">
        <f>IFERROR(VLOOKUP($E531,'基础-办公用品信息'!$C:$F,4,FALSE),"-")</f>
        <v>-</v>
      </c>
      <c r="I531" s="87"/>
      <c r="J531" s="61" t="str">
        <f t="shared" si="28"/>
        <v>-</v>
      </c>
      <c r="K531" s="87"/>
      <c r="L531" s="60">
        <f t="shared" si="29"/>
        <v>1900</v>
      </c>
      <c r="M531" s="60">
        <f t="shared" si="30"/>
        <v>1</v>
      </c>
    </row>
    <row r="532" customHeight="1" spans="2:13">
      <c r="B532" s="59">
        <v>529</v>
      </c>
      <c r="C532" s="87"/>
      <c r="D532" s="87"/>
      <c r="E532" s="87"/>
      <c r="F532" s="60" t="str">
        <f>IFERROR(VLOOKUP($E532,'基础-办公用品信息'!$C:$E,2,FALSE),"-")</f>
        <v>-</v>
      </c>
      <c r="G532" s="60" t="str">
        <f>IFERROR(VLOOKUP($E532,'基础-办公用品信息'!$C:$E,3,FALSE),"-")</f>
        <v>-</v>
      </c>
      <c r="H532" s="126" t="str">
        <f>IFERROR(VLOOKUP($E532,'基础-办公用品信息'!$C:$F,4,FALSE),"-")</f>
        <v>-</v>
      </c>
      <c r="I532" s="87"/>
      <c r="J532" s="61" t="str">
        <f t="shared" si="28"/>
        <v>-</v>
      </c>
      <c r="K532" s="87"/>
      <c r="L532" s="60">
        <f t="shared" si="29"/>
        <v>1900</v>
      </c>
      <c r="M532" s="60">
        <f t="shared" si="30"/>
        <v>1</v>
      </c>
    </row>
    <row r="533" customHeight="1" spans="2:13">
      <c r="B533" s="59">
        <v>530</v>
      </c>
      <c r="C533" s="87"/>
      <c r="D533" s="87"/>
      <c r="E533" s="87"/>
      <c r="F533" s="60" t="str">
        <f>IFERROR(VLOOKUP($E533,'基础-办公用品信息'!$C:$E,2,FALSE),"-")</f>
        <v>-</v>
      </c>
      <c r="G533" s="60" t="str">
        <f>IFERROR(VLOOKUP($E533,'基础-办公用品信息'!$C:$E,3,FALSE),"-")</f>
        <v>-</v>
      </c>
      <c r="H533" s="126" t="str">
        <f>IFERROR(VLOOKUP($E533,'基础-办公用品信息'!$C:$F,4,FALSE),"-")</f>
        <v>-</v>
      </c>
      <c r="I533" s="87"/>
      <c r="J533" s="61" t="str">
        <f t="shared" si="28"/>
        <v>-</v>
      </c>
      <c r="K533" s="87"/>
      <c r="L533" s="60">
        <f t="shared" si="29"/>
        <v>1900</v>
      </c>
      <c r="M533" s="60">
        <f t="shared" si="30"/>
        <v>1</v>
      </c>
    </row>
    <row r="534" customHeight="1" spans="2:13">
      <c r="B534" s="59">
        <v>531</v>
      </c>
      <c r="C534" s="87"/>
      <c r="D534" s="87"/>
      <c r="E534" s="87"/>
      <c r="F534" s="60" t="str">
        <f>IFERROR(VLOOKUP($E534,'基础-办公用品信息'!$C:$E,2,FALSE),"-")</f>
        <v>-</v>
      </c>
      <c r="G534" s="60" t="str">
        <f>IFERROR(VLOOKUP($E534,'基础-办公用品信息'!$C:$E,3,FALSE),"-")</f>
        <v>-</v>
      </c>
      <c r="H534" s="126" t="str">
        <f>IFERROR(VLOOKUP($E534,'基础-办公用品信息'!$C:$F,4,FALSE),"-")</f>
        <v>-</v>
      </c>
      <c r="I534" s="87"/>
      <c r="J534" s="61" t="str">
        <f t="shared" si="28"/>
        <v>-</v>
      </c>
      <c r="K534" s="87"/>
      <c r="L534" s="60">
        <f t="shared" si="29"/>
        <v>1900</v>
      </c>
      <c r="M534" s="60">
        <f t="shared" si="30"/>
        <v>1</v>
      </c>
    </row>
    <row r="535" customHeight="1" spans="2:13">
      <c r="B535" s="59">
        <v>532</v>
      </c>
      <c r="C535" s="87"/>
      <c r="D535" s="87"/>
      <c r="E535" s="87"/>
      <c r="F535" s="60" t="str">
        <f>IFERROR(VLOOKUP($E535,'基础-办公用品信息'!$C:$E,2,FALSE),"-")</f>
        <v>-</v>
      </c>
      <c r="G535" s="60" t="str">
        <f>IFERROR(VLOOKUP($E535,'基础-办公用品信息'!$C:$E,3,FALSE),"-")</f>
        <v>-</v>
      </c>
      <c r="H535" s="126" t="str">
        <f>IFERROR(VLOOKUP($E535,'基础-办公用品信息'!$C:$F,4,FALSE),"-")</f>
        <v>-</v>
      </c>
      <c r="I535" s="87"/>
      <c r="J535" s="61" t="str">
        <f t="shared" si="28"/>
        <v>-</v>
      </c>
      <c r="K535" s="87"/>
      <c r="L535" s="60">
        <f t="shared" si="29"/>
        <v>1900</v>
      </c>
      <c r="M535" s="60">
        <f t="shared" si="30"/>
        <v>1</v>
      </c>
    </row>
    <row r="536" customHeight="1" spans="2:13">
      <c r="B536" s="59">
        <v>533</v>
      </c>
      <c r="C536" s="87"/>
      <c r="D536" s="87"/>
      <c r="E536" s="87"/>
      <c r="F536" s="60" t="str">
        <f>IFERROR(VLOOKUP($E536,'基础-办公用品信息'!$C:$E,2,FALSE),"-")</f>
        <v>-</v>
      </c>
      <c r="G536" s="60" t="str">
        <f>IFERROR(VLOOKUP($E536,'基础-办公用品信息'!$C:$E,3,FALSE),"-")</f>
        <v>-</v>
      </c>
      <c r="H536" s="126" t="str">
        <f>IFERROR(VLOOKUP($E536,'基础-办公用品信息'!$C:$F,4,FALSE),"-")</f>
        <v>-</v>
      </c>
      <c r="I536" s="87"/>
      <c r="J536" s="61" t="str">
        <f t="shared" si="28"/>
        <v>-</v>
      </c>
      <c r="K536" s="87"/>
      <c r="L536" s="60">
        <f t="shared" si="29"/>
        <v>1900</v>
      </c>
      <c r="M536" s="60">
        <f t="shared" si="30"/>
        <v>1</v>
      </c>
    </row>
    <row r="537" customHeight="1" spans="2:13">
      <c r="B537" s="59">
        <v>534</v>
      </c>
      <c r="C537" s="87"/>
      <c r="D537" s="87"/>
      <c r="E537" s="87"/>
      <c r="F537" s="60" t="str">
        <f>IFERROR(VLOOKUP($E537,'基础-办公用品信息'!$C:$E,2,FALSE),"-")</f>
        <v>-</v>
      </c>
      <c r="G537" s="60" t="str">
        <f>IFERROR(VLOOKUP($E537,'基础-办公用品信息'!$C:$E,3,FALSE),"-")</f>
        <v>-</v>
      </c>
      <c r="H537" s="126" t="str">
        <f>IFERROR(VLOOKUP($E537,'基础-办公用品信息'!$C:$F,4,FALSE),"-")</f>
        <v>-</v>
      </c>
      <c r="I537" s="87"/>
      <c r="J537" s="61" t="str">
        <f t="shared" si="28"/>
        <v>-</v>
      </c>
      <c r="K537" s="87"/>
      <c r="L537" s="60">
        <f t="shared" si="29"/>
        <v>1900</v>
      </c>
      <c r="M537" s="60">
        <f t="shared" si="30"/>
        <v>1</v>
      </c>
    </row>
    <row r="538" customHeight="1" spans="2:13">
      <c r="B538" s="59">
        <v>535</v>
      </c>
      <c r="C538" s="87"/>
      <c r="D538" s="87"/>
      <c r="E538" s="87"/>
      <c r="F538" s="60" t="str">
        <f>IFERROR(VLOOKUP($E538,'基础-办公用品信息'!$C:$E,2,FALSE),"-")</f>
        <v>-</v>
      </c>
      <c r="G538" s="60" t="str">
        <f>IFERROR(VLOOKUP($E538,'基础-办公用品信息'!$C:$E,3,FALSE),"-")</f>
        <v>-</v>
      </c>
      <c r="H538" s="126" t="str">
        <f>IFERROR(VLOOKUP($E538,'基础-办公用品信息'!$C:$F,4,FALSE),"-")</f>
        <v>-</v>
      </c>
      <c r="I538" s="87"/>
      <c r="J538" s="61" t="str">
        <f t="shared" si="28"/>
        <v>-</v>
      </c>
      <c r="K538" s="87"/>
      <c r="L538" s="60">
        <f t="shared" si="29"/>
        <v>1900</v>
      </c>
      <c r="M538" s="60">
        <f t="shared" si="30"/>
        <v>1</v>
      </c>
    </row>
    <row r="539" customHeight="1" spans="2:13">
      <c r="B539" s="59">
        <v>536</v>
      </c>
      <c r="C539" s="87"/>
      <c r="D539" s="87"/>
      <c r="E539" s="87"/>
      <c r="F539" s="60" t="str">
        <f>IFERROR(VLOOKUP($E539,'基础-办公用品信息'!$C:$E,2,FALSE),"-")</f>
        <v>-</v>
      </c>
      <c r="G539" s="60" t="str">
        <f>IFERROR(VLOOKUP($E539,'基础-办公用品信息'!$C:$E,3,FALSE),"-")</f>
        <v>-</v>
      </c>
      <c r="H539" s="126" t="str">
        <f>IFERROR(VLOOKUP($E539,'基础-办公用品信息'!$C:$F,4,FALSE),"-")</f>
        <v>-</v>
      </c>
      <c r="I539" s="87"/>
      <c r="J539" s="61" t="str">
        <f t="shared" si="28"/>
        <v>-</v>
      </c>
      <c r="K539" s="87"/>
      <c r="L539" s="60">
        <f t="shared" si="29"/>
        <v>1900</v>
      </c>
      <c r="M539" s="60">
        <f t="shared" si="30"/>
        <v>1</v>
      </c>
    </row>
    <row r="540" customHeight="1" spans="2:13">
      <c r="B540" s="59">
        <v>537</v>
      </c>
      <c r="C540" s="87"/>
      <c r="D540" s="87"/>
      <c r="E540" s="87"/>
      <c r="F540" s="60" t="str">
        <f>IFERROR(VLOOKUP($E540,'基础-办公用品信息'!$C:$E,2,FALSE),"-")</f>
        <v>-</v>
      </c>
      <c r="G540" s="60" t="str">
        <f>IFERROR(VLOOKUP($E540,'基础-办公用品信息'!$C:$E,3,FALSE),"-")</f>
        <v>-</v>
      </c>
      <c r="H540" s="126" t="str">
        <f>IFERROR(VLOOKUP($E540,'基础-办公用品信息'!$C:$F,4,FALSE),"-")</f>
        <v>-</v>
      </c>
      <c r="I540" s="87"/>
      <c r="J540" s="61" t="str">
        <f t="shared" si="28"/>
        <v>-</v>
      </c>
      <c r="K540" s="87"/>
      <c r="L540" s="60">
        <f t="shared" si="29"/>
        <v>1900</v>
      </c>
      <c r="M540" s="60">
        <f t="shared" si="30"/>
        <v>1</v>
      </c>
    </row>
    <row r="541" customHeight="1" spans="2:13">
      <c r="B541" s="59">
        <v>538</v>
      </c>
      <c r="C541" s="87"/>
      <c r="D541" s="87"/>
      <c r="E541" s="87"/>
      <c r="F541" s="60" t="str">
        <f>IFERROR(VLOOKUP($E541,'基础-办公用品信息'!$C:$E,2,FALSE),"-")</f>
        <v>-</v>
      </c>
      <c r="G541" s="60" t="str">
        <f>IFERROR(VLOOKUP($E541,'基础-办公用品信息'!$C:$E,3,FALSE),"-")</f>
        <v>-</v>
      </c>
      <c r="H541" s="126" t="str">
        <f>IFERROR(VLOOKUP($E541,'基础-办公用品信息'!$C:$F,4,FALSE),"-")</f>
        <v>-</v>
      </c>
      <c r="I541" s="87"/>
      <c r="J541" s="61" t="str">
        <f t="shared" si="28"/>
        <v>-</v>
      </c>
      <c r="K541" s="87"/>
      <c r="L541" s="60">
        <f t="shared" si="29"/>
        <v>1900</v>
      </c>
      <c r="M541" s="60">
        <f t="shared" si="30"/>
        <v>1</v>
      </c>
    </row>
    <row r="542" customHeight="1" spans="2:13">
      <c r="B542" s="59">
        <v>539</v>
      </c>
      <c r="C542" s="87"/>
      <c r="D542" s="87"/>
      <c r="E542" s="87"/>
      <c r="F542" s="60" t="str">
        <f>IFERROR(VLOOKUP($E542,'基础-办公用品信息'!$C:$E,2,FALSE),"-")</f>
        <v>-</v>
      </c>
      <c r="G542" s="60" t="str">
        <f>IFERROR(VLOOKUP($E542,'基础-办公用品信息'!$C:$E,3,FALSE),"-")</f>
        <v>-</v>
      </c>
      <c r="H542" s="126" t="str">
        <f>IFERROR(VLOOKUP($E542,'基础-办公用品信息'!$C:$F,4,FALSE),"-")</f>
        <v>-</v>
      </c>
      <c r="I542" s="87"/>
      <c r="J542" s="61" t="str">
        <f t="shared" si="28"/>
        <v>-</v>
      </c>
      <c r="K542" s="87"/>
      <c r="L542" s="60">
        <f t="shared" si="29"/>
        <v>1900</v>
      </c>
      <c r="M542" s="60">
        <f t="shared" si="30"/>
        <v>1</v>
      </c>
    </row>
    <row r="543" customHeight="1" spans="2:13">
      <c r="B543" s="59">
        <v>540</v>
      </c>
      <c r="C543" s="87"/>
      <c r="D543" s="87"/>
      <c r="E543" s="87"/>
      <c r="F543" s="60" t="str">
        <f>IFERROR(VLOOKUP($E543,'基础-办公用品信息'!$C:$E,2,FALSE),"-")</f>
        <v>-</v>
      </c>
      <c r="G543" s="60" t="str">
        <f>IFERROR(VLOOKUP($E543,'基础-办公用品信息'!$C:$E,3,FALSE),"-")</f>
        <v>-</v>
      </c>
      <c r="H543" s="126" t="str">
        <f>IFERROR(VLOOKUP($E543,'基础-办公用品信息'!$C:$F,4,FALSE),"-")</f>
        <v>-</v>
      </c>
      <c r="I543" s="87"/>
      <c r="J543" s="61" t="str">
        <f t="shared" si="28"/>
        <v>-</v>
      </c>
      <c r="K543" s="87"/>
      <c r="L543" s="60">
        <f t="shared" si="29"/>
        <v>1900</v>
      </c>
      <c r="M543" s="60">
        <f t="shared" si="30"/>
        <v>1</v>
      </c>
    </row>
    <row r="544" customHeight="1" spans="2:13">
      <c r="B544" s="59">
        <v>541</v>
      </c>
      <c r="C544" s="87"/>
      <c r="D544" s="87"/>
      <c r="E544" s="87"/>
      <c r="F544" s="60" t="str">
        <f>IFERROR(VLOOKUP($E544,'基础-办公用品信息'!$C:$E,2,FALSE),"-")</f>
        <v>-</v>
      </c>
      <c r="G544" s="60" t="str">
        <f>IFERROR(VLOOKUP($E544,'基础-办公用品信息'!$C:$E,3,FALSE),"-")</f>
        <v>-</v>
      </c>
      <c r="H544" s="126" t="str">
        <f>IFERROR(VLOOKUP($E544,'基础-办公用品信息'!$C:$F,4,FALSE),"-")</f>
        <v>-</v>
      </c>
      <c r="I544" s="87"/>
      <c r="J544" s="61" t="str">
        <f t="shared" si="28"/>
        <v>-</v>
      </c>
      <c r="K544" s="87"/>
      <c r="L544" s="60">
        <f t="shared" si="29"/>
        <v>1900</v>
      </c>
      <c r="M544" s="60">
        <f t="shared" si="30"/>
        <v>1</v>
      </c>
    </row>
    <row r="545" customHeight="1" spans="2:13">
      <c r="B545" s="59">
        <v>542</v>
      </c>
      <c r="C545" s="87"/>
      <c r="D545" s="87"/>
      <c r="E545" s="87"/>
      <c r="F545" s="60" t="str">
        <f>IFERROR(VLOOKUP($E545,'基础-办公用品信息'!$C:$E,2,FALSE),"-")</f>
        <v>-</v>
      </c>
      <c r="G545" s="60" t="str">
        <f>IFERROR(VLOOKUP($E545,'基础-办公用品信息'!$C:$E,3,FALSE),"-")</f>
        <v>-</v>
      </c>
      <c r="H545" s="126" t="str">
        <f>IFERROR(VLOOKUP($E545,'基础-办公用品信息'!$C:$F,4,FALSE),"-")</f>
        <v>-</v>
      </c>
      <c r="I545" s="87"/>
      <c r="J545" s="61" t="str">
        <f t="shared" si="28"/>
        <v>-</v>
      </c>
      <c r="K545" s="87"/>
      <c r="L545" s="60">
        <f t="shared" si="29"/>
        <v>1900</v>
      </c>
      <c r="M545" s="60">
        <f t="shared" si="30"/>
        <v>1</v>
      </c>
    </row>
    <row r="546" customHeight="1" spans="2:13">
      <c r="B546" s="59">
        <v>543</v>
      </c>
      <c r="C546" s="87"/>
      <c r="D546" s="87"/>
      <c r="E546" s="87"/>
      <c r="F546" s="60" t="str">
        <f>IFERROR(VLOOKUP($E546,'基础-办公用品信息'!$C:$E,2,FALSE),"-")</f>
        <v>-</v>
      </c>
      <c r="G546" s="60" t="str">
        <f>IFERROR(VLOOKUP($E546,'基础-办公用品信息'!$C:$E,3,FALSE),"-")</f>
        <v>-</v>
      </c>
      <c r="H546" s="126" t="str">
        <f>IFERROR(VLOOKUP($E546,'基础-办公用品信息'!$C:$F,4,FALSE),"-")</f>
        <v>-</v>
      </c>
      <c r="I546" s="87"/>
      <c r="J546" s="61" t="str">
        <f t="shared" si="28"/>
        <v>-</v>
      </c>
      <c r="K546" s="87"/>
      <c r="L546" s="60">
        <f t="shared" si="29"/>
        <v>1900</v>
      </c>
      <c r="M546" s="60">
        <f t="shared" si="30"/>
        <v>1</v>
      </c>
    </row>
    <row r="547" customHeight="1" spans="2:13">
      <c r="B547" s="59">
        <v>544</v>
      </c>
      <c r="C547" s="87"/>
      <c r="D547" s="87"/>
      <c r="E547" s="87"/>
      <c r="F547" s="60" t="str">
        <f>IFERROR(VLOOKUP($E547,'基础-办公用品信息'!$C:$E,2,FALSE),"-")</f>
        <v>-</v>
      </c>
      <c r="G547" s="60" t="str">
        <f>IFERROR(VLOOKUP($E547,'基础-办公用品信息'!$C:$E,3,FALSE),"-")</f>
        <v>-</v>
      </c>
      <c r="H547" s="126" t="str">
        <f>IFERROR(VLOOKUP($E547,'基础-办公用品信息'!$C:$F,4,FALSE),"-")</f>
        <v>-</v>
      </c>
      <c r="I547" s="87"/>
      <c r="J547" s="61" t="str">
        <f t="shared" si="28"/>
        <v>-</v>
      </c>
      <c r="K547" s="87"/>
      <c r="L547" s="60">
        <f t="shared" si="29"/>
        <v>1900</v>
      </c>
      <c r="M547" s="60">
        <f t="shared" si="30"/>
        <v>1</v>
      </c>
    </row>
    <row r="548" customHeight="1" spans="2:13">
      <c r="B548" s="59">
        <v>545</v>
      </c>
      <c r="C548" s="87"/>
      <c r="D548" s="87"/>
      <c r="E548" s="87"/>
      <c r="F548" s="60" t="str">
        <f>IFERROR(VLOOKUP($E548,'基础-办公用品信息'!$C:$E,2,FALSE),"-")</f>
        <v>-</v>
      </c>
      <c r="G548" s="60" t="str">
        <f>IFERROR(VLOOKUP($E548,'基础-办公用品信息'!$C:$E,3,FALSE),"-")</f>
        <v>-</v>
      </c>
      <c r="H548" s="126" t="str">
        <f>IFERROR(VLOOKUP($E548,'基础-办公用品信息'!$C:$F,4,FALSE),"-")</f>
        <v>-</v>
      </c>
      <c r="I548" s="87"/>
      <c r="J548" s="61" t="str">
        <f t="shared" si="28"/>
        <v>-</v>
      </c>
      <c r="K548" s="87"/>
      <c r="L548" s="60">
        <f t="shared" si="29"/>
        <v>1900</v>
      </c>
      <c r="M548" s="60">
        <f t="shared" si="30"/>
        <v>1</v>
      </c>
    </row>
    <row r="549" customHeight="1" spans="2:13">
      <c r="B549" s="59">
        <v>546</v>
      </c>
      <c r="C549" s="87"/>
      <c r="D549" s="87"/>
      <c r="E549" s="87"/>
      <c r="F549" s="60" t="str">
        <f>IFERROR(VLOOKUP($E549,'基础-办公用品信息'!$C:$E,2,FALSE),"-")</f>
        <v>-</v>
      </c>
      <c r="G549" s="60" t="str">
        <f>IFERROR(VLOOKUP($E549,'基础-办公用品信息'!$C:$E,3,FALSE),"-")</f>
        <v>-</v>
      </c>
      <c r="H549" s="126" t="str">
        <f>IFERROR(VLOOKUP($E549,'基础-办公用品信息'!$C:$F,4,FALSE),"-")</f>
        <v>-</v>
      </c>
      <c r="I549" s="87"/>
      <c r="J549" s="61" t="str">
        <f t="shared" si="28"/>
        <v>-</v>
      </c>
      <c r="K549" s="87"/>
      <c r="L549" s="60">
        <f t="shared" si="29"/>
        <v>1900</v>
      </c>
      <c r="M549" s="60">
        <f t="shared" si="30"/>
        <v>1</v>
      </c>
    </row>
    <row r="550" customHeight="1" spans="2:13">
      <c r="B550" s="59">
        <v>547</v>
      </c>
      <c r="C550" s="87"/>
      <c r="D550" s="87"/>
      <c r="E550" s="87"/>
      <c r="F550" s="60" t="str">
        <f>IFERROR(VLOOKUP($E550,'基础-办公用品信息'!$C:$E,2,FALSE),"-")</f>
        <v>-</v>
      </c>
      <c r="G550" s="60" t="str">
        <f>IFERROR(VLOOKUP($E550,'基础-办公用品信息'!$C:$E,3,FALSE),"-")</f>
        <v>-</v>
      </c>
      <c r="H550" s="126" t="str">
        <f>IFERROR(VLOOKUP($E550,'基础-办公用品信息'!$C:$F,4,FALSE),"-")</f>
        <v>-</v>
      </c>
      <c r="I550" s="87"/>
      <c r="J550" s="61" t="str">
        <f t="shared" si="28"/>
        <v>-</v>
      </c>
      <c r="K550" s="87"/>
      <c r="L550" s="60">
        <f t="shared" si="29"/>
        <v>1900</v>
      </c>
      <c r="M550" s="60">
        <f t="shared" si="30"/>
        <v>1</v>
      </c>
    </row>
    <row r="551" customHeight="1" spans="2:13">
      <c r="B551" s="59">
        <v>548</v>
      </c>
      <c r="C551" s="87"/>
      <c r="D551" s="87"/>
      <c r="E551" s="87"/>
      <c r="F551" s="60" t="str">
        <f>IFERROR(VLOOKUP($E551,'基础-办公用品信息'!$C:$E,2,FALSE),"-")</f>
        <v>-</v>
      </c>
      <c r="G551" s="60" t="str">
        <f>IFERROR(VLOOKUP($E551,'基础-办公用品信息'!$C:$E,3,FALSE),"-")</f>
        <v>-</v>
      </c>
      <c r="H551" s="126" t="str">
        <f>IFERROR(VLOOKUP($E551,'基础-办公用品信息'!$C:$F,4,FALSE),"-")</f>
        <v>-</v>
      </c>
      <c r="I551" s="87"/>
      <c r="J551" s="61" t="str">
        <f t="shared" si="28"/>
        <v>-</v>
      </c>
      <c r="K551" s="87"/>
      <c r="L551" s="60">
        <f t="shared" si="29"/>
        <v>1900</v>
      </c>
      <c r="M551" s="60">
        <f t="shared" si="30"/>
        <v>1</v>
      </c>
    </row>
    <row r="552" customHeight="1" spans="2:13">
      <c r="B552" s="59">
        <v>549</v>
      </c>
      <c r="C552" s="87"/>
      <c r="D552" s="87"/>
      <c r="E552" s="87"/>
      <c r="F552" s="60" t="str">
        <f>IFERROR(VLOOKUP($E552,'基础-办公用品信息'!$C:$E,2,FALSE),"-")</f>
        <v>-</v>
      </c>
      <c r="G552" s="60" t="str">
        <f>IFERROR(VLOOKUP($E552,'基础-办公用品信息'!$C:$E,3,FALSE),"-")</f>
        <v>-</v>
      </c>
      <c r="H552" s="126" t="str">
        <f>IFERROR(VLOOKUP($E552,'基础-办公用品信息'!$C:$F,4,FALSE),"-")</f>
        <v>-</v>
      </c>
      <c r="I552" s="87"/>
      <c r="J552" s="61" t="str">
        <f t="shared" si="28"/>
        <v>-</v>
      </c>
      <c r="K552" s="87"/>
      <c r="L552" s="60">
        <f t="shared" si="29"/>
        <v>1900</v>
      </c>
      <c r="M552" s="60">
        <f t="shared" si="30"/>
        <v>1</v>
      </c>
    </row>
    <row r="553" customHeight="1" spans="2:13">
      <c r="B553" s="59">
        <v>550</v>
      </c>
      <c r="C553" s="87"/>
      <c r="D553" s="87"/>
      <c r="E553" s="87"/>
      <c r="F553" s="60" t="str">
        <f>IFERROR(VLOOKUP($E553,'基础-办公用品信息'!$C:$E,2,FALSE),"-")</f>
        <v>-</v>
      </c>
      <c r="G553" s="60" t="str">
        <f>IFERROR(VLOOKUP($E553,'基础-办公用品信息'!$C:$E,3,FALSE),"-")</f>
        <v>-</v>
      </c>
      <c r="H553" s="126" t="str">
        <f>IFERROR(VLOOKUP($E553,'基础-办公用品信息'!$C:$F,4,FALSE),"-")</f>
        <v>-</v>
      </c>
      <c r="I553" s="87"/>
      <c r="J553" s="61" t="str">
        <f t="shared" si="28"/>
        <v>-</v>
      </c>
      <c r="K553" s="87"/>
      <c r="L553" s="60">
        <f t="shared" si="29"/>
        <v>1900</v>
      </c>
      <c r="M553" s="60">
        <f t="shared" si="30"/>
        <v>1</v>
      </c>
    </row>
    <row r="554" customHeight="1" spans="2:13">
      <c r="B554" s="59">
        <v>551</v>
      </c>
      <c r="C554" s="87"/>
      <c r="D554" s="87"/>
      <c r="E554" s="87"/>
      <c r="F554" s="60" t="str">
        <f>IFERROR(VLOOKUP($E554,'基础-办公用品信息'!$C:$E,2,FALSE),"-")</f>
        <v>-</v>
      </c>
      <c r="G554" s="60" t="str">
        <f>IFERROR(VLOOKUP($E554,'基础-办公用品信息'!$C:$E,3,FALSE),"-")</f>
        <v>-</v>
      </c>
      <c r="H554" s="126" t="str">
        <f>IFERROR(VLOOKUP($E554,'基础-办公用品信息'!$C:$F,4,FALSE),"-")</f>
        <v>-</v>
      </c>
      <c r="I554" s="87"/>
      <c r="J554" s="61" t="str">
        <f t="shared" si="28"/>
        <v>-</v>
      </c>
      <c r="K554" s="87"/>
      <c r="L554" s="60">
        <f t="shared" si="29"/>
        <v>1900</v>
      </c>
      <c r="M554" s="60">
        <f t="shared" si="30"/>
        <v>1</v>
      </c>
    </row>
    <row r="555" customHeight="1" spans="2:13">
      <c r="B555" s="59">
        <v>552</v>
      </c>
      <c r="C555" s="87"/>
      <c r="D555" s="87"/>
      <c r="E555" s="87"/>
      <c r="F555" s="60" t="str">
        <f>IFERROR(VLOOKUP($E555,'基础-办公用品信息'!$C:$E,2,FALSE),"-")</f>
        <v>-</v>
      </c>
      <c r="G555" s="60" t="str">
        <f>IFERROR(VLOOKUP($E555,'基础-办公用品信息'!$C:$E,3,FALSE),"-")</f>
        <v>-</v>
      </c>
      <c r="H555" s="126" t="str">
        <f>IFERROR(VLOOKUP($E555,'基础-办公用品信息'!$C:$F,4,FALSE),"-")</f>
        <v>-</v>
      </c>
      <c r="I555" s="87"/>
      <c r="J555" s="61" t="str">
        <f t="shared" si="28"/>
        <v>-</v>
      </c>
      <c r="K555" s="87"/>
      <c r="L555" s="60">
        <f t="shared" si="29"/>
        <v>1900</v>
      </c>
      <c r="M555" s="60">
        <f t="shared" si="30"/>
        <v>1</v>
      </c>
    </row>
    <row r="556" customHeight="1" spans="2:13">
      <c r="B556" s="59">
        <v>553</v>
      </c>
      <c r="C556" s="87"/>
      <c r="D556" s="87"/>
      <c r="E556" s="87"/>
      <c r="F556" s="60" t="str">
        <f>IFERROR(VLOOKUP($E556,'基础-办公用品信息'!$C:$E,2,FALSE),"-")</f>
        <v>-</v>
      </c>
      <c r="G556" s="60" t="str">
        <f>IFERROR(VLOOKUP($E556,'基础-办公用品信息'!$C:$E,3,FALSE),"-")</f>
        <v>-</v>
      </c>
      <c r="H556" s="126" t="str">
        <f>IFERROR(VLOOKUP($E556,'基础-办公用品信息'!$C:$F,4,FALSE),"-")</f>
        <v>-</v>
      </c>
      <c r="I556" s="87"/>
      <c r="J556" s="61" t="str">
        <f t="shared" si="28"/>
        <v>-</v>
      </c>
      <c r="K556" s="87"/>
      <c r="L556" s="60">
        <f t="shared" si="29"/>
        <v>1900</v>
      </c>
      <c r="M556" s="60">
        <f t="shared" si="30"/>
        <v>1</v>
      </c>
    </row>
    <row r="557" customHeight="1" spans="2:13">
      <c r="B557" s="59">
        <v>554</v>
      </c>
      <c r="C557" s="87"/>
      <c r="D557" s="87"/>
      <c r="E557" s="87"/>
      <c r="F557" s="60" t="str">
        <f>IFERROR(VLOOKUP($E557,'基础-办公用品信息'!$C:$E,2,FALSE),"-")</f>
        <v>-</v>
      </c>
      <c r="G557" s="60" t="str">
        <f>IFERROR(VLOOKUP($E557,'基础-办公用品信息'!$C:$E,3,FALSE),"-")</f>
        <v>-</v>
      </c>
      <c r="H557" s="126" t="str">
        <f>IFERROR(VLOOKUP($E557,'基础-办公用品信息'!$C:$F,4,FALSE),"-")</f>
        <v>-</v>
      </c>
      <c r="I557" s="87"/>
      <c r="J557" s="61" t="str">
        <f t="shared" si="28"/>
        <v>-</v>
      </c>
      <c r="K557" s="87"/>
      <c r="L557" s="60">
        <f t="shared" si="29"/>
        <v>1900</v>
      </c>
      <c r="M557" s="60">
        <f t="shared" si="30"/>
        <v>1</v>
      </c>
    </row>
    <row r="558" customHeight="1" spans="2:13">
      <c r="B558" s="59">
        <v>555</v>
      </c>
      <c r="C558" s="87"/>
      <c r="D558" s="87"/>
      <c r="E558" s="87"/>
      <c r="F558" s="60" t="str">
        <f>IFERROR(VLOOKUP($E558,'基础-办公用品信息'!$C:$E,2,FALSE),"-")</f>
        <v>-</v>
      </c>
      <c r="G558" s="60" t="str">
        <f>IFERROR(VLOOKUP($E558,'基础-办公用品信息'!$C:$E,3,FALSE),"-")</f>
        <v>-</v>
      </c>
      <c r="H558" s="126" t="str">
        <f>IFERROR(VLOOKUP($E558,'基础-办公用品信息'!$C:$F,4,FALSE),"-")</f>
        <v>-</v>
      </c>
      <c r="I558" s="87"/>
      <c r="J558" s="61" t="str">
        <f t="shared" si="28"/>
        <v>-</v>
      </c>
      <c r="K558" s="87"/>
      <c r="L558" s="60">
        <f t="shared" si="29"/>
        <v>1900</v>
      </c>
      <c r="M558" s="60">
        <f t="shared" si="30"/>
        <v>1</v>
      </c>
    </row>
    <row r="559" customHeight="1" spans="2:13">
      <c r="B559" s="59">
        <v>556</v>
      </c>
      <c r="C559" s="87"/>
      <c r="D559" s="87"/>
      <c r="E559" s="87"/>
      <c r="F559" s="60" t="str">
        <f>IFERROR(VLOOKUP($E559,'基础-办公用品信息'!$C:$E,2,FALSE),"-")</f>
        <v>-</v>
      </c>
      <c r="G559" s="60" t="str">
        <f>IFERROR(VLOOKUP($E559,'基础-办公用品信息'!$C:$E,3,FALSE),"-")</f>
        <v>-</v>
      </c>
      <c r="H559" s="126" t="str">
        <f>IFERROR(VLOOKUP($E559,'基础-办公用品信息'!$C:$F,4,FALSE),"-")</f>
        <v>-</v>
      </c>
      <c r="I559" s="87"/>
      <c r="J559" s="61" t="str">
        <f t="shared" si="28"/>
        <v>-</v>
      </c>
      <c r="K559" s="87"/>
      <c r="L559" s="60">
        <f t="shared" si="29"/>
        <v>1900</v>
      </c>
      <c r="M559" s="60">
        <f t="shared" si="30"/>
        <v>1</v>
      </c>
    </row>
    <row r="560" customHeight="1" spans="2:13">
      <c r="B560" s="59">
        <v>557</v>
      </c>
      <c r="C560" s="87"/>
      <c r="D560" s="87"/>
      <c r="E560" s="87"/>
      <c r="F560" s="60" t="str">
        <f>IFERROR(VLOOKUP($E560,'基础-办公用品信息'!$C:$E,2,FALSE),"-")</f>
        <v>-</v>
      </c>
      <c r="G560" s="60" t="str">
        <f>IFERROR(VLOOKUP($E560,'基础-办公用品信息'!$C:$E,3,FALSE),"-")</f>
        <v>-</v>
      </c>
      <c r="H560" s="126" t="str">
        <f>IFERROR(VLOOKUP($E560,'基础-办公用品信息'!$C:$F,4,FALSE),"-")</f>
        <v>-</v>
      </c>
      <c r="I560" s="87"/>
      <c r="J560" s="61" t="str">
        <f t="shared" si="28"/>
        <v>-</v>
      </c>
      <c r="K560" s="87"/>
      <c r="L560" s="60">
        <f t="shared" si="29"/>
        <v>1900</v>
      </c>
      <c r="M560" s="60">
        <f t="shared" si="30"/>
        <v>1</v>
      </c>
    </row>
    <row r="561" customHeight="1" spans="2:13">
      <c r="B561" s="59">
        <v>558</v>
      </c>
      <c r="C561" s="87"/>
      <c r="D561" s="87"/>
      <c r="E561" s="87"/>
      <c r="F561" s="60" t="str">
        <f>IFERROR(VLOOKUP($E561,'基础-办公用品信息'!$C:$E,2,FALSE),"-")</f>
        <v>-</v>
      </c>
      <c r="G561" s="60" t="str">
        <f>IFERROR(VLOOKUP($E561,'基础-办公用品信息'!$C:$E,3,FALSE),"-")</f>
        <v>-</v>
      </c>
      <c r="H561" s="126" t="str">
        <f>IFERROR(VLOOKUP($E561,'基础-办公用品信息'!$C:$F,4,FALSE),"-")</f>
        <v>-</v>
      </c>
      <c r="I561" s="87"/>
      <c r="J561" s="61" t="str">
        <f t="shared" si="28"/>
        <v>-</v>
      </c>
      <c r="K561" s="87"/>
      <c r="L561" s="60">
        <f t="shared" si="29"/>
        <v>1900</v>
      </c>
      <c r="M561" s="60">
        <f t="shared" si="30"/>
        <v>1</v>
      </c>
    </row>
    <row r="562" customHeight="1" spans="2:13">
      <c r="B562" s="59">
        <v>559</v>
      </c>
      <c r="C562" s="87"/>
      <c r="D562" s="87"/>
      <c r="E562" s="87"/>
      <c r="F562" s="60" t="str">
        <f>IFERROR(VLOOKUP($E562,'基础-办公用品信息'!$C:$E,2,FALSE),"-")</f>
        <v>-</v>
      </c>
      <c r="G562" s="60" t="str">
        <f>IFERROR(VLOOKUP($E562,'基础-办公用品信息'!$C:$E,3,FALSE),"-")</f>
        <v>-</v>
      </c>
      <c r="H562" s="126" t="str">
        <f>IFERROR(VLOOKUP($E562,'基础-办公用品信息'!$C:$F,4,FALSE),"-")</f>
        <v>-</v>
      </c>
      <c r="I562" s="87"/>
      <c r="J562" s="61" t="str">
        <f t="shared" si="28"/>
        <v>-</v>
      </c>
      <c r="K562" s="87"/>
      <c r="L562" s="60">
        <f t="shared" si="29"/>
        <v>1900</v>
      </c>
      <c r="M562" s="60">
        <f t="shared" si="30"/>
        <v>1</v>
      </c>
    </row>
    <row r="563" customHeight="1" spans="2:13">
      <c r="B563" s="59">
        <v>560</v>
      </c>
      <c r="C563" s="87"/>
      <c r="D563" s="87"/>
      <c r="E563" s="87"/>
      <c r="F563" s="60" t="str">
        <f>IFERROR(VLOOKUP($E563,'基础-办公用品信息'!$C:$E,2,FALSE),"-")</f>
        <v>-</v>
      </c>
      <c r="G563" s="60" t="str">
        <f>IFERROR(VLOOKUP($E563,'基础-办公用品信息'!$C:$E,3,FALSE),"-")</f>
        <v>-</v>
      </c>
      <c r="H563" s="126" t="str">
        <f>IFERROR(VLOOKUP($E563,'基础-办公用品信息'!$C:$F,4,FALSE),"-")</f>
        <v>-</v>
      </c>
      <c r="I563" s="87"/>
      <c r="J563" s="61" t="str">
        <f t="shared" si="28"/>
        <v>-</v>
      </c>
      <c r="K563" s="87"/>
      <c r="L563" s="60">
        <f t="shared" si="29"/>
        <v>1900</v>
      </c>
      <c r="M563" s="60">
        <f t="shared" si="30"/>
        <v>1</v>
      </c>
    </row>
    <row r="564" customHeight="1" spans="2:13">
      <c r="B564" s="59">
        <v>561</v>
      </c>
      <c r="C564" s="87"/>
      <c r="D564" s="87"/>
      <c r="E564" s="87"/>
      <c r="F564" s="60" t="str">
        <f>IFERROR(VLOOKUP($E564,'基础-办公用品信息'!$C:$E,2,FALSE),"-")</f>
        <v>-</v>
      </c>
      <c r="G564" s="60" t="str">
        <f>IFERROR(VLOOKUP($E564,'基础-办公用品信息'!$C:$E,3,FALSE),"-")</f>
        <v>-</v>
      </c>
      <c r="H564" s="126" t="str">
        <f>IFERROR(VLOOKUP($E564,'基础-办公用品信息'!$C:$F,4,FALSE),"-")</f>
        <v>-</v>
      </c>
      <c r="I564" s="87"/>
      <c r="J564" s="61" t="str">
        <f t="shared" si="28"/>
        <v>-</v>
      </c>
      <c r="K564" s="87"/>
      <c r="L564" s="60">
        <f t="shared" si="29"/>
        <v>1900</v>
      </c>
      <c r="M564" s="60">
        <f t="shared" si="30"/>
        <v>1</v>
      </c>
    </row>
    <row r="565" customHeight="1" spans="2:13">
      <c r="B565" s="59">
        <v>562</v>
      </c>
      <c r="C565" s="87"/>
      <c r="D565" s="87"/>
      <c r="E565" s="87"/>
      <c r="F565" s="60" t="str">
        <f>IFERROR(VLOOKUP($E565,'基础-办公用品信息'!$C:$E,2,FALSE),"-")</f>
        <v>-</v>
      </c>
      <c r="G565" s="60" t="str">
        <f>IFERROR(VLOOKUP($E565,'基础-办公用品信息'!$C:$E,3,FALSE),"-")</f>
        <v>-</v>
      </c>
      <c r="H565" s="126" t="str">
        <f>IFERROR(VLOOKUP($E565,'基础-办公用品信息'!$C:$F,4,FALSE),"-")</f>
        <v>-</v>
      </c>
      <c r="I565" s="87"/>
      <c r="J565" s="61" t="str">
        <f t="shared" si="28"/>
        <v>-</v>
      </c>
      <c r="K565" s="87"/>
      <c r="L565" s="60">
        <f t="shared" si="29"/>
        <v>1900</v>
      </c>
      <c r="M565" s="60">
        <f t="shared" si="30"/>
        <v>1</v>
      </c>
    </row>
    <row r="566" customHeight="1" spans="2:13">
      <c r="B566" s="59">
        <v>563</v>
      </c>
      <c r="C566" s="87"/>
      <c r="D566" s="87"/>
      <c r="E566" s="87"/>
      <c r="F566" s="60" t="str">
        <f>IFERROR(VLOOKUP($E566,'基础-办公用品信息'!$C:$E,2,FALSE),"-")</f>
        <v>-</v>
      </c>
      <c r="G566" s="60" t="str">
        <f>IFERROR(VLOOKUP($E566,'基础-办公用品信息'!$C:$E,3,FALSE),"-")</f>
        <v>-</v>
      </c>
      <c r="H566" s="126" t="str">
        <f>IFERROR(VLOOKUP($E566,'基础-办公用品信息'!$C:$F,4,FALSE),"-")</f>
        <v>-</v>
      </c>
      <c r="I566" s="87"/>
      <c r="J566" s="61" t="str">
        <f t="shared" si="28"/>
        <v>-</v>
      </c>
      <c r="K566" s="87"/>
      <c r="L566" s="60">
        <f t="shared" si="29"/>
        <v>1900</v>
      </c>
      <c r="M566" s="60">
        <f t="shared" si="30"/>
        <v>1</v>
      </c>
    </row>
    <row r="567" customHeight="1" spans="2:13">
      <c r="B567" s="59">
        <v>564</v>
      </c>
      <c r="C567" s="87"/>
      <c r="D567" s="87"/>
      <c r="E567" s="87"/>
      <c r="F567" s="60" t="str">
        <f>IFERROR(VLOOKUP($E567,'基础-办公用品信息'!$C:$E,2,FALSE),"-")</f>
        <v>-</v>
      </c>
      <c r="G567" s="60" t="str">
        <f>IFERROR(VLOOKUP($E567,'基础-办公用品信息'!$C:$E,3,FALSE),"-")</f>
        <v>-</v>
      </c>
      <c r="H567" s="126" t="str">
        <f>IFERROR(VLOOKUP($E567,'基础-办公用品信息'!$C:$F,4,FALSE),"-")</f>
        <v>-</v>
      </c>
      <c r="I567" s="87"/>
      <c r="J567" s="61" t="str">
        <f t="shared" ref="J567:J630" si="31">IF(AND(H567&lt;&gt;"",I567&lt;&gt;""),H567*I567,"-")</f>
        <v>-</v>
      </c>
      <c r="K567" s="87"/>
      <c r="L567" s="60">
        <f t="shared" ref="L567:L630" si="32">YEAR(C567)</f>
        <v>1900</v>
      </c>
      <c r="M567" s="60">
        <f t="shared" ref="M567:M630" si="33">MONTH(C567)</f>
        <v>1</v>
      </c>
    </row>
    <row r="568" customHeight="1" spans="2:13">
      <c r="B568" s="59">
        <v>565</v>
      </c>
      <c r="C568" s="87"/>
      <c r="D568" s="87"/>
      <c r="E568" s="87"/>
      <c r="F568" s="60" t="str">
        <f>IFERROR(VLOOKUP($E568,'基础-办公用品信息'!$C:$E,2,FALSE),"-")</f>
        <v>-</v>
      </c>
      <c r="G568" s="60" t="str">
        <f>IFERROR(VLOOKUP($E568,'基础-办公用品信息'!$C:$E,3,FALSE),"-")</f>
        <v>-</v>
      </c>
      <c r="H568" s="126" t="str">
        <f>IFERROR(VLOOKUP($E568,'基础-办公用品信息'!$C:$F,4,FALSE),"-")</f>
        <v>-</v>
      </c>
      <c r="I568" s="87"/>
      <c r="J568" s="61" t="str">
        <f t="shared" si="31"/>
        <v>-</v>
      </c>
      <c r="K568" s="87"/>
      <c r="L568" s="60">
        <f t="shared" si="32"/>
        <v>1900</v>
      </c>
      <c r="M568" s="60">
        <f t="shared" si="33"/>
        <v>1</v>
      </c>
    </row>
    <row r="569" customHeight="1" spans="2:13">
      <c r="B569" s="59">
        <v>566</v>
      </c>
      <c r="C569" s="87"/>
      <c r="D569" s="87"/>
      <c r="E569" s="87"/>
      <c r="F569" s="60" t="str">
        <f>IFERROR(VLOOKUP($E569,'基础-办公用品信息'!$C:$E,2,FALSE),"-")</f>
        <v>-</v>
      </c>
      <c r="G569" s="60" t="str">
        <f>IFERROR(VLOOKUP($E569,'基础-办公用品信息'!$C:$E,3,FALSE),"-")</f>
        <v>-</v>
      </c>
      <c r="H569" s="126" t="str">
        <f>IFERROR(VLOOKUP($E569,'基础-办公用品信息'!$C:$F,4,FALSE),"-")</f>
        <v>-</v>
      </c>
      <c r="I569" s="87"/>
      <c r="J569" s="61" t="str">
        <f t="shared" si="31"/>
        <v>-</v>
      </c>
      <c r="K569" s="87"/>
      <c r="L569" s="60">
        <f t="shared" si="32"/>
        <v>1900</v>
      </c>
      <c r="M569" s="60">
        <f t="shared" si="33"/>
        <v>1</v>
      </c>
    </row>
    <row r="570" customHeight="1" spans="2:13">
      <c r="B570" s="59">
        <v>567</v>
      </c>
      <c r="C570" s="87"/>
      <c r="D570" s="87"/>
      <c r="E570" s="87"/>
      <c r="F570" s="60" t="str">
        <f>IFERROR(VLOOKUP($E570,'基础-办公用品信息'!$C:$E,2,FALSE),"-")</f>
        <v>-</v>
      </c>
      <c r="G570" s="60" t="str">
        <f>IFERROR(VLOOKUP($E570,'基础-办公用品信息'!$C:$E,3,FALSE),"-")</f>
        <v>-</v>
      </c>
      <c r="H570" s="126" t="str">
        <f>IFERROR(VLOOKUP($E570,'基础-办公用品信息'!$C:$F,4,FALSE),"-")</f>
        <v>-</v>
      </c>
      <c r="I570" s="87"/>
      <c r="J570" s="61" t="str">
        <f t="shared" si="31"/>
        <v>-</v>
      </c>
      <c r="K570" s="87"/>
      <c r="L570" s="60">
        <f t="shared" si="32"/>
        <v>1900</v>
      </c>
      <c r="M570" s="60">
        <f t="shared" si="33"/>
        <v>1</v>
      </c>
    </row>
    <row r="571" customHeight="1" spans="2:13">
      <c r="B571" s="59">
        <v>568</v>
      </c>
      <c r="C571" s="87"/>
      <c r="D571" s="87"/>
      <c r="E571" s="87"/>
      <c r="F571" s="60" t="str">
        <f>IFERROR(VLOOKUP($E571,'基础-办公用品信息'!$C:$E,2,FALSE),"-")</f>
        <v>-</v>
      </c>
      <c r="G571" s="60" t="str">
        <f>IFERROR(VLOOKUP($E571,'基础-办公用品信息'!$C:$E,3,FALSE),"-")</f>
        <v>-</v>
      </c>
      <c r="H571" s="126" t="str">
        <f>IFERROR(VLOOKUP($E571,'基础-办公用品信息'!$C:$F,4,FALSE),"-")</f>
        <v>-</v>
      </c>
      <c r="I571" s="87"/>
      <c r="J571" s="61" t="str">
        <f t="shared" si="31"/>
        <v>-</v>
      </c>
      <c r="K571" s="87"/>
      <c r="L571" s="60">
        <f t="shared" si="32"/>
        <v>1900</v>
      </c>
      <c r="M571" s="60">
        <f t="shared" si="33"/>
        <v>1</v>
      </c>
    </row>
    <row r="572" customHeight="1" spans="2:13">
      <c r="B572" s="59">
        <v>569</v>
      </c>
      <c r="C572" s="87"/>
      <c r="D572" s="87"/>
      <c r="E572" s="87"/>
      <c r="F572" s="60" t="str">
        <f>IFERROR(VLOOKUP($E572,'基础-办公用品信息'!$C:$E,2,FALSE),"-")</f>
        <v>-</v>
      </c>
      <c r="G572" s="60" t="str">
        <f>IFERROR(VLOOKUP($E572,'基础-办公用品信息'!$C:$E,3,FALSE),"-")</f>
        <v>-</v>
      </c>
      <c r="H572" s="126" t="str">
        <f>IFERROR(VLOOKUP($E572,'基础-办公用品信息'!$C:$F,4,FALSE),"-")</f>
        <v>-</v>
      </c>
      <c r="I572" s="87"/>
      <c r="J572" s="61" t="str">
        <f t="shared" si="31"/>
        <v>-</v>
      </c>
      <c r="K572" s="87"/>
      <c r="L572" s="60">
        <f t="shared" si="32"/>
        <v>1900</v>
      </c>
      <c r="M572" s="60">
        <f t="shared" si="33"/>
        <v>1</v>
      </c>
    </row>
    <row r="573" customHeight="1" spans="2:13">
      <c r="B573" s="59">
        <v>570</v>
      </c>
      <c r="C573" s="87"/>
      <c r="D573" s="87"/>
      <c r="E573" s="87"/>
      <c r="F573" s="60" t="str">
        <f>IFERROR(VLOOKUP($E573,'基础-办公用品信息'!$C:$E,2,FALSE),"-")</f>
        <v>-</v>
      </c>
      <c r="G573" s="60" t="str">
        <f>IFERROR(VLOOKUP($E573,'基础-办公用品信息'!$C:$E,3,FALSE),"-")</f>
        <v>-</v>
      </c>
      <c r="H573" s="126" t="str">
        <f>IFERROR(VLOOKUP($E573,'基础-办公用品信息'!$C:$F,4,FALSE),"-")</f>
        <v>-</v>
      </c>
      <c r="I573" s="87"/>
      <c r="J573" s="61" t="str">
        <f t="shared" si="31"/>
        <v>-</v>
      </c>
      <c r="K573" s="87"/>
      <c r="L573" s="60">
        <f t="shared" si="32"/>
        <v>1900</v>
      </c>
      <c r="M573" s="60">
        <f t="shared" si="33"/>
        <v>1</v>
      </c>
    </row>
    <row r="574" customHeight="1" spans="2:13">
      <c r="B574" s="59">
        <v>571</v>
      </c>
      <c r="C574" s="87"/>
      <c r="D574" s="87"/>
      <c r="E574" s="87"/>
      <c r="F574" s="60" t="str">
        <f>IFERROR(VLOOKUP($E574,'基础-办公用品信息'!$C:$E,2,FALSE),"-")</f>
        <v>-</v>
      </c>
      <c r="G574" s="60" t="str">
        <f>IFERROR(VLOOKUP($E574,'基础-办公用品信息'!$C:$E,3,FALSE),"-")</f>
        <v>-</v>
      </c>
      <c r="H574" s="126" t="str">
        <f>IFERROR(VLOOKUP($E574,'基础-办公用品信息'!$C:$F,4,FALSE),"-")</f>
        <v>-</v>
      </c>
      <c r="I574" s="87"/>
      <c r="J574" s="61" t="str">
        <f t="shared" si="31"/>
        <v>-</v>
      </c>
      <c r="K574" s="87"/>
      <c r="L574" s="60">
        <f t="shared" si="32"/>
        <v>1900</v>
      </c>
      <c r="M574" s="60">
        <f t="shared" si="33"/>
        <v>1</v>
      </c>
    </row>
    <row r="575" customHeight="1" spans="2:13">
      <c r="B575" s="59">
        <v>572</v>
      </c>
      <c r="C575" s="87"/>
      <c r="D575" s="87"/>
      <c r="E575" s="87"/>
      <c r="F575" s="60" t="str">
        <f>IFERROR(VLOOKUP($E575,'基础-办公用品信息'!$C:$E,2,FALSE),"-")</f>
        <v>-</v>
      </c>
      <c r="G575" s="60" t="str">
        <f>IFERROR(VLOOKUP($E575,'基础-办公用品信息'!$C:$E,3,FALSE),"-")</f>
        <v>-</v>
      </c>
      <c r="H575" s="126" t="str">
        <f>IFERROR(VLOOKUP($E575,'基础-办公用品信息'!$C:$F,4,FALSE),"-")</f>
        <v>-</v>
      </c>
      <c r="I575" s="87"/>
      <c r="J575" s="61" t="str">
        <f t="shared" si="31"/>
        <v>-</v>
      </c>
      <c r="K575" s="87"/>
      <c r="L575" s="60">
        <f t="shared" si="32"/>
        <v>1900</v>
      </c>
      <c r="M575" s="60">
        <f t="shared" si="33"/>
        <v>1</v>
      </c>
    </row>
    <row r="576" customHeight="1" spans="2:13">
      <c r="B576" s="59">
        <v>573</v>
      </c>
      <c r="C576" s="87"/>
      <c r="D576" s="87"/>
      <c r="E576" s="87"/>
      <c r="F576" s="60" t="str">
        <f>IFERROR(VLOOKUP($E576,'基础-办公用品信息'!$C:$E,2,FALSE),"-")</f>
        <v>-</v>
      </c>
      <c r="G576" s="60" t="str">
        <f>IFERROR(VLOOKUP($E576,'基础-办公用品信息'!$C:$E,3,FALSE),"-")</f>
        <v>-</v>
      </c>
      <c r="H576" s="126" t="str">
        <f>IFERROR(VLOOKUP($E576,'基础-办公用品信息'!$C:$F,4,FALSE),"-")</f>
        <v>-</v>
      </c>
      <c r="I576" s="87"/>
      <c r="J576" s="61" t="str">
        <f t="shared" si="31"/>
        <v>-</v>
      </c>
      <c r="K576" s="87"/>
      <c r="L576" s="60">
        <f t="shared" si="32"/>
        <v>1900</v>
      </c>
      <c r="M576" s="60">
        <f t="shared" si="33"/>
        <v>1</v>
      </c>
    </row>
    <row r="577" customHeight="1" spans="2:13">
      <c r="B577" s="59">
        <v>574</v>
      </c>
      <c r="C577" s="87"/>
      <c r="D577" s="87"/>
      <c r="E577" s="87"/>
      <c r="F577" s="60" t="str">
        <f>IFERROR(VLOOKUP($E577,'基础-办公用品信息'!$C:$E,2,FALSE),"-")</f>
        <v>-</v>
      </c>
      <c r="G577" s="60" t="str">
        <f>IFERROR(VLOOKUP($E577,'基础-办公用品信息'!$C:$E,3,FALSE),"-")</f>
        <v>-</v>
      </c>
      <c r="H577" s="126" t="str">
        <f>IFERROR(VLOOKUP($E577,'基础-办公用品信息'!$C:$F,4,FALSE),"-")</f>
        <v>-</v>
      </c>
      <c r="I577" s="87"/>
      <c r="J577" s="61" t="str">
        <f t="shared" si="31"/>
        <v>-</v>
      </c>
      <c r="K577" s="87"/>
      <c r="L577" s="60">
        <f t="shared" si="32"/>
        <v>1900</v>
      </c>
      <c r="M577" s="60">
        <f t="shared" si="33"/>
        <v>1</v>
      </c>
    </row>
    <row r="578" customHeight="1" spans="2:13">
      <c r="B578" s="59">
        <v>575</v>
      </c>
      <c r="C578" s="87"/>
      <c r="D578" s="87"/>
      <c r="E578" s="87"/>
      <c r="F578" s="60" t="str">
        <f>IFERROR(VLOOKUP($E578,'基础-办公用品信息'!$C:$E,2,FALSE),"-")</f>
        <v>-</v>
      </c>
      <c r="G578" s="60" t="str">
        <f>IFERROR(VLOOKUP($E578,'基础-办公用品信息'!$C:$E,3,FALSE),"-")</f>
        <v>-</v>
      </c>
      <c r="H578" s="126" t="str">
        <f>IFERROR(VLOOKUP($E578,'基础-办公用品信息'!$C:$F,4,FALSE),"-")</f>
        <v>-</v>
      </c>
      <c r="I578" s="87"/>
      <c r="J578" s="61" t="str">
        <f t="shared" si="31"/>
        <v>-</v>
      </c>
      <c r="K578" s="87"/>
      <c r="L578" s="60">
        <f t="shared" si="32"/>
        <v>1900</v>
      </c>
      <c r="M578" s="60">
        <f t="shared" si="33"/>
        <v>1</v>
      </c>
    </row>
    <row r="579" customHeight="1" spans="2:13">
      <c r="B579" s="59">
        <v>576</v>
      </c>
      <c r="C579" s="87"/>
      <c r="D579" s="87"/>
      <c r="E579" s="87"/>
      <c r="F579" s="60" t="str">
        <f>IFERROR(VLOOKUP($E579,'基础-办公用品信息'!$C:$E,2,FALSE),"-")</f>
        <v>-</v>
      </c>
      <c r="G579" s="60" t="str">
        <f>IFERROR(VLOOKUP($E579,'基础-办公用品信息'!$C:$E,3,FALSE),"-")</f>
        <v>-</v>
      </c>
      <c r="H579" s="126" t="str">
        <f>IFERROR(VLOOKUP($E579,'基础-办公用品信息'!$C:$F,4,FALSE),"-")</f>
        <v>-</v>
      </c>
      <c r="I579" s="87"/>
      <c r="J579" s="61" t="str">
        <f t="shared" si="31"/>
        <v>-</v>
      </c>
      <c r="K579" s="87"/>
      <c r="L579" s="60">
        <f t="shared" si="32"/>
        <v>1900</v>
      </c>
      <c r="M579" s="60">
        <f t="shared" si="33"/>
        <v>1</v>
      </c>
    </row>
    <row r="580" customHeight="1" spans="2:13">
      <c r="B580" s="59">
        <v>577</v>
      </c>
      <c r="C580" s="87"/>
      <c r="D580" s="87"/>
      <c r="E580" s="87"/>
      <c r="F580" s="60" t="str">
        <f>IFERROR(VLOOKUP($E580,'基础-办公用品信息'!$C:$E,2,FALSE),"-")</f>
        <v>-</v>
      </c>
      <c r="G580" s="60" t="str">
        <f>IFERROR(VLOOKUP($E580,'基础-办公用品信息'!$C:$E,3,FALSE),"-")</f>
        <v>-</v>
      </c>
      <c r="H580" s="126" t="str">
        <f>IFERROR(VLOOKUP($E580,'基础-办公用品信息'!$C:$F,4,FALSE),"-")</f>
        <v>-</v>
      </c>
      <c r="I580" s="87"/>
      <c r="J580" s="61" t="str">
        <f t="shared" si="31"/>
        <v>-</v>
      </c>
      <c r="K580" s="87"/>
      <c r="L580" s="60">
        <f t="shared" si="32"/>
        <v>1900</v>
      </c>
      <c r="M580" s="60">
        <f t="shared" si="33"/>
        <v>1</v>
      </c>
    </row>
    <row r="581" customHeight="1" spans="2:13">
      <c r="B581" s="59">
        <v>578</v>
      </c>
      <c r="C581" s="87"/>
      <c r="D581" s="87"/>
      <c r="E581" s="87"/>
      <c r="F581" s="60" t="str">
        <f>IFERROR(VLOOKUP($E581,'基础-办公用品信息'!$C:$E,2,FALSE),"-")</f>
        <v>-</v>
      </c>
      <c r="G581" s="60" t="str">
        <f>IFERROR(VLOOKUP($E581,'基础-办公用品信息'!$C:$E,3,FALSE),"-")</f>
        <v>-</v>
      </c>
      <c r="H581" s="126" t="str">
        <f>IFERROR(VLOOKUP($E581,'基础-办公用品信息'!$C:$F,4,FALSE),"-")</f>
        <v>-</v>
      </c>
      <c r="I581" s="87"/>
      <c r="J581" s="61" t="str">
        <f t="shared" si="31"/>
        <v>-</v>
      </c>
      <c r="K581" s="87"/>
      <c r="L581" s="60">
        <f t="shared" si="32"/>
        <v>1900</v>
      </c>
      <c r="M581" s="60">
        <f t="shared" si="33"/>
        <v>1</v>
      </c>
    </row>
    <row r="582" customHeight="1" spans="2:13">
      <c r="B582" s="59">
        <v>579</v>
      </c>
      <c r="C582" s="87"/>
      <c r="D582" s="87"/>
      <c r="E582" s="87"/>
      <c r="F582" s="60" t="str">
        <f>IFERROR(VLOOKUP($E582,'基础-办公用品信息'!$C:$E,2,FALSE),"-")</f>
        <v>-</v>
      </c>
      <c r="G582" s="60" t="str">
        <f>IFERROR(VLOOKUP($E582,'基础-办公用品信息'!$C:$E,3,FALSE),"-")</f>
        <v>-</v>
      </c>
      <c r="H582" s="126" t="str">
        <f>IFERROR(VLOOKUP($E582,'基础-办公用品信息'!$C:$F,4,FALSE),"-")</f>
        <v>-</v>
      </c>
      <c r="I582" s="87"/>
      <c r="J582" s="61" t="str">
        <f t="shared" si="31"/>
        <v>-</v>
      </c>
      <c r="K582" s="87"/>
      <c r="L582" s="60">
        <f t="shared" si="32"/>
        <v>1900</v>
      </c>
      <c r="M582" s="60">
        <f t="shared" si="33"/>
        <v>1</v>
      </c>
    </row>
    <row r="583" customHeight="1" spans="2:13">
      <c r="B583" s="59">
        <v>580</v>
      </c>
      <c r="C583" s="87"/>
      <c r="D583" s="87"/>
      <c r="E583" s="87"/>
      <c r="F583" s="60" t="str">
        <f>IFERROR(VLOOKUP($E583,'基础-办公用品信息'!$C:$E,2,FALSE),"-")</f>
        <v>-</v>
      </c>
      <c r="G583" s="60" t="str">
        <f>IFERROR(VLOOKUP($E583,'基础-办公用品信息'!$C:$E,3,FALSE),"-")</f>
        <v>-</v>
      </c>
      <c r="H583" s="126" t="str">
        <f>IFERROR(VLOOKUP($E583,'基础-办公用品信息'!$C:$F,4,FALSE),"-")</f>
        <v>-</v>
      </c>
      <c r="I583" s="87"/>
      <c r="J583" s="61" t="str">
        <f t="shared" si="31"/>
        <v>-</v>
      </c>
      <c r="K583" s="87"/>
      <c r="L583" s="60">
        <f t="shared" si="32"/>
        <v>1900</v>
      </c>
      <c r="M583" s="60">
        <f t="shared" si="33"/>
        <v>1</v>
      </c>
    </row>
    <row r="584" customHeight="1" spans="2:13">
      <c r="B584" s="59">
        <v>581</v>
      </c>
      <c r="C584" s="87"/>
      <c r="D584" s="87"/>
      <c r="E584" s="87"/>
      <c r="F584" s="60" t="str">
        <f>IFERROR(VLOOKUP($E584,'基础-办公用品信息'!$C:$E,2,FALSE),"-")</f>
        <v>-</v>
      </c>
      <c r="G584" s="60" t="str">
        <f>IFERROR(VLOOKUP($E584,'基础-办公用品信息'!$C:$E,3,FALSE),"-")</f>
        <v>-</v>
      </c>
      <c r="H584" s="126" t="str">
        <f>IFERROR(VLOOKUP($E584,'基础-办公用品信息'!$C:$F,4,FALSE),"-")</f>
        <v>-</v>
      </c>
      <c r="I584" s="87"/>
      <c r="J584" s="61" t="str">
        <f t="shared" si="31"/>
        <v>-</v>
      </c>
      <c r="K584" s="87"/>
      <c r="L584" s="60">
        <f t="shared" si="32"/>
        <v>1900</v>
      </c>
      <c r="M584" s="60">
        <f t="shared" si="33"/>
        <v>1</v>
      </c>
    </row>
    <row r="585" customHeight="1" spans="2:13">
      <c r="B585" s="59">
        <v>582</v>
      </c>
      <c r="C585" s="87"/>
      <c r="D585" s="87"/>
      <c r="E585" s="87"/>
      <c r="F585" s="60" t="str">
        <f>IFERROR(VLOOKUP($E585,'基础-办公用品信息'!$C:$E,2,FALSE),"-")</f>
        <v>-</v>
      </c>
      <c r="G585" s="60" t="str">
        <f>IFERROR(VLOOKUP($E585,'基础-办公用品信息'!$C:$E,3,FALSE),"-")</f>
        <v>-</v>
      </c>
      <c r="H585" s="126" t="str">
        <f>IFERROR(VLOOKUP($E585,'基础-办公用品信息'!$C:$F,4,FALSE),"-")</f>
        <v>-</v>
      </c>
      <c r="I585" s="87"/>
      <c r="J585" s="61" t="str">
        <f t="shared" si="31"/>
        <v>-</v>
      </c>
      <c r="K585" s="87"/>
      <c r="L585" s="60">
        <f t="shared" si="32"/>
        <v>1900</v>
      </c>
      <c r="M585" s="60">
        <f t="shared" si="33"/>
        <v>1</v>
      </c>
    </row>
    <row r="586" customHeight="1" spans="2:13">
      <c r="B586" s="59">
        <v>583</v>
      </c>
      <c r="C586" s="87"/>
      <c r="D586" s="87"/>
      <c r="E586" s="87"/>
      <c r="F586" s="60" t="str">
        <f>IFERROR(VLOOKUP($E586,'基础-办公用品信息'!$C:$E,2,FALSE),"-")</f>
        <v>-</v>
      </c>
      <c r="G586" s="60" t="str">
        <f>IFERROR(VLOOKUP($E586,'基础-办公用品信息'!$C:$E,3,FALSE),"-")</f>
        <v>-</v>
      </c>
      <c r="H586" s="126" t="str">
        <f>IFERROR(VLOOKUP($E586,'基础-办公用品信息'!$C:$F,4,FALSE),"-")</f>
        <v>-</v>
      </c>
      <c r="I586" s="87"/>
      <c r="J586" s="61" t="str">
        <f t="shared" si="31"/>
        <v>-</v>
      </c>
      <c r="K586" s="87"/>
      <c r="L586" s="60">
        <f t="shared" si="32"/>
        <v>1900</v>
      </c>
      <c r="M586" s="60">
        <f t="shared" si="33"/>
        <v>1</v>
      </c>
    </row>
    <row r="587" customHeight="1" spans="2:13">
      <c r="B587" s="59">
        <v>584</v>
      </c>
      <c r="C587" s="87"/>
      <c r="D587" s="87"/>
      <c r="E587" s="87"/>
      <c r="F587" s="60" t="str">
        <f>IFERROR(VLOOKUP($E587,'基础-办公用品信息'!$C:$E,2,FALSE),"-")</f>
        <v>-</v>
      </c>
      <c r="G587" s="60" t="str">
        <f>IFERROR(VLOOKUP($E587,'基础-办公用品信息'!$C:$E,3,FALSE),"-")</f>
        <v>-</v>
      </c>
      <c r="H587" s="126" t="str">
        <f>IFERROR(VLOOKUP($E587,'基础-办公用品信息'!$C:$F,4,FALSE),"-")</f>
        <v>-</v>
      </c>
      <c r="I587" s="87"/>
      <c r="J587" s="61" t="str">
        <f t="shared" si="31"/>
        <v>-</v>
      </c>
      <c r="K587" s="87"/>
      <c r="L587" s="60">
        <f t="shared" si="32"/>
        <v>1900</v>
      </c>
      <c r="M587" s="60">
        <f t="shared" si="33"/>
        <v>1</v>
      </c>
    </row>
    <row r="588" customHeight="1" spans="2:13">
      <c r="B588" s="59">
        <v>585</v>
      </c>
      <c r="C588" s="87"/>
      <c r="D588" s="87"/>
      <c r="E588" s="87"/>
      <c r="F588" s="60" t="str">
        <f>IFERROR(VLOOKUP($E588,'基础-办公用品信息'!$C:$E,2,FALSE),"-")</f>
        <v>-</v>
      </c>
      <c r="G588" s="60" t="str">
        <f>IFERROR(VLOOKUP($E588,'基础-办公用品信息'!$C:$E,3,FALSE),"-")</f>
        <v>-</v>
      </c>
      <c r="H588" s="126" t="str">
        <f>IFERROR(VLOOKUP($E588,'基础-办公用品信息'!$C:$F,4,FALSE),"-")</f>
        <v>-</v>
      </c>
      <c r="I588" s="87"/>
      <c r="J588" s="61" t="str">
        <f t="shared" si="31"/>
        <v>-</v>
      </c>
      <c r="K588" s="87"/>
      <c r="L588" s="60">
        <f t="shared" si="32"/>
        <v>1900</v>
      </c>
      <c r="M588" s="60">
        <f t="shared" si="33"/>
        <v>1</v>
      </c>
    </row>
    <row r="589" customHeight="1" spans="2:13">
      <c r="B589" s="59">
        <v>586</v>
      </c>
      <c r="C589" s="87"/>
      <c r="D589" s="87"/>
      <c r="E589" s="87"/>
      <c r="F589" s="60" t="str">
        <f>IFERROR(VLOOKUP($E589,'基础-办公用品信息'!$C:$E,2,FALSE),"-")</f>
        <v>-</v>
      </c>
      <c r="G589" s="60" t="str">
        <f>IFERROR(VLOOKUP($E589,'基础-办公用品信息'!$C:$E,3,FALSE),"-")</f>
        <v>-</v>
      </c>
      <c r="H589" s="126" t="str">
        <f>IFERROR(VLOOKUP($E589,'基础-办公用品信息'!$C:$F,4,FALSE),"-")</f>
        <v>-</v>
      </c>
      <c r="I589" s="87"/>
      <c r="J589" s="61" t="str">
        <f t="shared" si="31"/>
        <v>-</v>
      </c>
      <c r="K589" s="87"/>
      <c r="L589" s="60">
        <f t="shared" si="32"/>
        <v>1900</v>
      </c>
      <c r="M589" s="60">
        <f t="shared" si="33"/>
        <v>1</v>
      </c>
    </row>
    <row r="590" customHeight="1" spans="2:13">
      <c r="B590" s="59">
        <v>587</v>
      </c>
      <c r="C590" s="87"/>
      <c r="D590" s="87"/>
      <c r="E590" s="87"/>
      <c r="F590" s="60" t="str">
        <f>IFERROR(VLOOKUP($E590,'基础-办公用品信息'!$C:$E,2,FALSE),"-")</f>
        <v>-</v>
      </c>
      <c r="G590" s="60" t="str">
        <f>IFERROR(VLOOKUP($E590,'基础-办公用品信息'!$C:$E,3,FALSE),"-")</f>
        <v>-</v>
      </c>
      <c r="H590" s="126" t="str">
        <f>IFERROR(VLOOKUP($E590,'基础-办公用品信息'!$C:$F,4,FALSE),"-")</f>
        <v>-</v>
      </c>
      <c r="I590" s="87"/>
      <c r="J590" s="61" t="str">
        <f t="shared" si="31"/>
        <v>-</v>
      </c>
      <c r="K590" s="87"/>
      <c r="L590" s="60">
        <f t="shared" si="32"/>
        <v>1900</v>
      </c>
      <c r="M590" s="60">
        <f t="shared" si="33"/>
        <v>1</v>
      </c>
    </row>
    <row r="591" customHeight="1" spans="2:13">
      <c r="B591" s="59">
        <v>588</v>
      </c>
      <c r="C591" s="87"/>
      <c r="D591" s="87"/>
      <c r="E591" s="87"/>
      <c r="F591" s="60" t="str">
        <f>IFERROR(VLOOKUP($E591,'基础-办公用品信息'!$C:$E,2,FALSE),"-")</f>
        <v>-</v>
      </c>
      <c r="G591" s="60" t="str">
        <f>IFERROR(VLOOKUP($E591,'基础-办公用品信息'!$C:$E,3,FALSE),"-")</f>
        <v>-</v>
      </c>
      <c r="H591" s="126" t="str">
        <f>IFERROR(VLOOKUP($E591,'基础-办公用品信息'!$C:$F,4,FALSE),"-")</f>
        <v>-</v>
      </c>
      <c r="I591" s="87"/>
      <c r="J591" s="61" t="str">
        <f t="shared" si="31"/>
        <v>-</v>
      </c>
      <c r="K591" s="87"/>
      <c r="L591" s="60">
        <f t="shared" si="32"/>
        <v>1900</v>
      </c>
      <c r="M591" s="60">
        <f t="shared" si="33"/>
        <v>1</v>
      </c>
    </row>
    <row r="592" customHeight="1" spans="2:13">
      <c r="B592" s="59">
        <v>589</v>
      </c>
      <c r="C592" s="87"/>
      <c r="D592" s="87"/>
      <c r="E592" s="87"/>
      <c r="F592" s="60" t="str">
        <f>IFERROR(VLOOKUP($E592,'基础-办公用品信息'!$C:$E,2,FALSE),"-")</f>
        <v>-</v>
      </c>
      <c r="G592" s="60" t="str">
        <f>IFERROR(VLOOKUP($E592,'基础-办公用品信息'!$C:$E,3,FALSE),"-")</f>
        <v>-</v>
      </c>
      <c r="H592" s="126" t="str">
        <f>IFERROR(VLOOKUP($E592,'基础-办公用品信息'!$C:$F,4,FALSE),"-")</f>
        <v>-</v>
      </c>
      <c r="I592" s="87"/>
      <c r="J592" s="61" t="str">
        <f t="shared" si="31"/>
        <v>-</v>
      </c>
      <c r="K592" s="87"/>
      <c r="L592" s="60">
        <f t="shared" si="32"/>
        <v>1900</v>
      </c>
      <c r="M592" s="60">
        <f t="shared" si="33"/>
        <v>1</v>
      </c>
    </row>
    <row r="593" customHeight="1" spans="2:13">
      <c r="B593" s="59">
        <v>590</v>
      </c>
      <c r="C593" s="87"/>
      <c r="D593" s="87"/>
      <c r="E593" s="87"/>
      <c r="F593" s="60" t="str">
        <f>IFERROR(VLOOKUP($E593,'基础-办公用品信息'!$C:$E,2,FALSE),"-")</f>
        <v>-</v>
      </c>
      <c r="G593" s="60" t="str">
        <f>IFERROR(VLOOKUP($E593,'基础-办公用品信息'!$C:$E,3,FALSE),"-")</f>
        <v>-</v>
      </c>
      <c r="H593" s="126" t="str">
        <f>IFERROR(VLOOKUP($E593,'基础-办公用品信息'!$C:$F,4,FALSE),"-")</f>
        <v>-</v>
      </c>
      <c r="I593" s="87"/>
      <c r="J593" s="61" t="str">
        <f t="shared" si="31"/>
        <v>-</v>
      </c>
      <c r="K593" s="87"/>
      <c r="L593" s="60">
        <f t="shared" si="32"/>
        <v>1900</v>
      </c>
      <c r="M593" s="60">
        <f t="shared" si="33"/>
        <v>1</v>
      </c>
    </row>
    <row r="594" customHeight="1" spans="2:13">
      <c r="B594" s="59">
        <v>591</v>
      </c>
      <c r="C594" s="87"/>
      <c r="D594" s="87"/>
      <c r="E594" s="87"/>
      <c r="F594" s="60" t="str">
        <f>IFERROR(VLOOKUP($E594,'基础-办公用品信息'!$C:$E,2,FALSE),"-")</f>
        <v>-</v>
      </c>
      <c r="G594" s="60" t="str">
        <f>IFERROR(VLOOKUP($E594,'基础-办公用品信息'!$C:$E,3,FALSE),"-")</f>
        <v>-</v>
      </c>
      <c r="H594" s="126" t="str">
        <f>IFERROR(VLOOKUP($E594,'基础-办公用品信息'!$C:$F,4,FALSE),"-")</f>
        <v>-</v>
      </c>
      <c r="I594" s="87"/>
      <c r="J594" s="61" t="str">
        <f t="shared" si="31"/>
        <v>-</v>
      </c>
      <c r="K594" s="87"/>
      <c r="L594" s="60">
        <f t="shared" si="32"/>
        <v>1900</v>
      </c>
      <c r="M594" s="60">
        <f t="shared" si="33"/>
        <v>1</v>
      </c>
    </row>
    <row r="595" customHeight="1" spans="2:13">
      <c r="B595" s="59">
        <v>592</v>
      </c>
      <c r="C595" s="87"/>
      <c r="D595" s="87"/>
      <c r="E595" s="87"/>
      <c r="F595" s="60" t="str">
        <f>IFERROR(VLOOKUP($E595,'基础-办公用品信息'!$C:$E,2,FALSE),"-")</f>
        <v>-</v>
      </c>
      <c r="G595" s="60" t="str">
        <f>IFERROR(VLOOKUP($E595,'基础-办公用品信息'!$C:$E,3,FALSE),"-")</f>
        <v>-</v>
      </c>
      <c r="H595" s="126" t="str">
        <f>IFERROR(VLOOKUP($E595,'基础-办公用品信息'!$C:$F,4,FALSE),"-")</f>
        <v>-</v>
      </c>
      <c r="I595" s="87"/>
      <c r="J595" s="61" t="str">
        <f t="shared" si="31"/>
        <v>-</v>
      </c>
      <c r="K595" s="87"/>
      <c r="L595" s="60">
        <f t="shared" si="32"/>
        <v>1900</v>
      </c>
      <c r="M595" s="60">
        <f t="shared" si="33"/>
        <v>1</v>
      </c>
    </row>
    <row r="596" customHeight="1" spans="2:13">
      <c r="B596" s="59">
        <v>593</v>
      </c>
      <c r="C596" s="87"/>
      <c r="D596" s="87"/>
      <c r="E596" s="87"/>
      <c r="F596" s="60" t="str">
        <f>IFERROR(VLOOKUP($E596,'基础-办公用品信息'!$C:$E,2,FALSE),"-")</f>
        <v>-</v>
      </c>
      <c r="G596" s="60" t="str">
        <f>IFERROR(VLOOKUP($E596,'基础-办公用品信息'!$C:$E,3,FALSE),"-")</f>
        <v>-</v>
      </c>
      <c r="H596" s="126" t="str">
        <f>IFERROR(VLOOKUP($E596,'基础-办公用品信息'!$C:$F,4,FALSE),"-")</f>
        <v>-</v>
      </c>
      <c r="I596" s="87"/>
      <c r="J596" s="61" t="str">
        <f t="shared" si="31"/>
        <v>-</v>
      </c>
      <c r="K596" s="87"/>
      <c r="L596" s="60">
        <f t="shared" si="32"/>
        <v>1900</v>
      </c>
      <c r="M596" s="60">
        <f t="shared" si="33"/>
        <v>1</v>
      </c>
    </row>
    <row r="597" customHeight="1" spans="2:13">
      <c r="B597" s="59">
        <v>594</v>
      </c>
      <c r="C597" s="87"/>
      <c r="D597" s="87"/>
      <c r="E597" s="87"/>
      <c r="F597" s="60" t="str">
        <f>IFERROR(VLOOKUP($E597,'基础-办公用品信息'!$C:$E,2,FALSE),"-")</f>
        <v>-</v>
      </c>
      <c r="G597" s="60" t="str">
        <f>IFERROR(VLOOKUP($E597,'基础-办公用品信息'!$C:$E,3,FALSE),"-")</f>
        <v>-</v>
      </c>
      <c r="H597" s="126" t="str">
        <f>IFERROR(VLOOKUP($E597,'基础-办公用品信息'!$C:$F,4,FALSE),"-")</f>
        <v>-</v>
      </c>
      <c r="I597" s="87"/>
      <c r="J597" s="61" t="str">
        <f t="shared" si="31"/>
        <v>-</v>
      </c>
      <c r="K597" s="87"/>
      <c r="L597" s="60">
        <f t="shared" si="32"/>
        <v>1900</v>
      </c>
      <c r="M597" s="60">
        <f t="shared" si="33"/>
        <v>1</v>
      </c>
    </row>
    <row r="598" customHeight="1" spans="2:13">
      <c r="B598" s="59">
        <v>595</v>
      </c>
      <c r="C598" s="87"/>
      <c r="D598" s="87"/>
      <c r="E598" s="87"/>
      <c r="F598" s="60" t="str">
        <f>IFERROR(VLOOKUP($E598,'基础-办公用品信息'!$C:$E,2,FALSE),"-")</f>
        <v>-</v>
      </c>
      <c r="G598" s="60" t="str">
        <f>IFERROR(VLOOKUP($E598,'基础-办公用品信息'!$C:$E,3,FALSE),"-")</f>
        <v>-</v>
      </c>
      <c r="H598" s="126" t="str">
        <f>IFERROR(VLOOKUP($E598,'基础-办公用品信息'!$C:$F,4,FALSE),"-")</f>
        <v>-</v>
      </c>
      <c r="I598" s="87"/>
      <c r="J598" s="61" t="str">
        <f t="shared" si="31"/>
        <v>-</v>
      </c>
      <c r="K598" s="87"/>
      <c r="L598" s="60">
        <f t="shared" si="32"/>
        <v>1900</v>
      </c>
      <c r="M598" s="60">
        <f t="shared" si="33"/>
        <v>1</v>
      </c>
    </row>
    <row r="599" customHeight="1" spans="2:13">
      <c r="B599" s="59">
        <v>596</v>
      </c>
      <c r="C599" s="87"/>
      <c r="D599" s="87"/>
      <c r="E599" s="87"/>
      <c r="F599" s="60" t="str">
        <f>IFERROR(VLOOKUP($E599,'基础-办公用品信息'!$C:$E,2,FALSE),"-")</f>
        <v>-</v>
      </c>
      <c r="G599" s="60" t="str">
        <f>IFERROR(VLOOKUP($E599,'基础-办公用品信息'!$C:$E,3,FALSE),"-")</f>
        <v>-</v>
      </c>
      <c r="H599" s="126" t="str">
        <f>IFERROR(VLOOKUP($E599,'基础-办公用品信息'!$C:$F,4,FALSE),"-")</f>
        <v>-</v>
      </c>
      <c r="I599" s="87"/>
      <c r="J599" s="61" t="str">
        <f t="shared" si="31"/>
        <v>-</v>
      </c>
      <c r="K599" s="87"/>
      <c r="L599" s="60">
        <f t="shared" si="32"/>
        <v>1900</v>
      </c>
      <c r="M599" s="60">
        <f t="shared" si="33"/>
        <v>1</v>
      </c>
    </row>
    <row r="600" customHeight="1" spans="2:13">
      <c r="B600" s="59">
        <v>597</v>
      </c>
      <c r="C600" s="87"/>
      <c r="D600" s="87"/>
      <c r="E600" s="87"/>
      <c r="F600" s="60" t="str">
        <f>IFERROR(VLOOKUP($E600,'基础-办公用品信息'!$C:$E,2,FALSE),"-")</f>
        <v>-</v>
      </c>
      <c r="G600" s="60" t="str">
        <f>IFERROR(VLOOKUP($E600,'基础-办公用品信息'!$C:$E,3,FALSE),"-")</f>
        <v>-</v>
      </c>
      <c r="H600" s="126" t="str">
        <f>IFERROR(VLOOKUP($E600,'基础-办公用品信息'!$C:$F,4,FALSE),"-")</f>
        <v>-</v>
      </c>
      <c r="I600" s="87"/>
      <c r="J600" s="61" t="str">
        <f t="shared" si="31"/>
        <v>-</v>
      </c>
      <c r="K600" s="87"/>
      <c r="L600" s="60">
        <f t="shared" si="32"/>
        <v>1900</v>
      </c>
      <c r="M600" s="60">
        <f t="shared" si="33"/>
        <v>1</v>
      </c>
    </row>
    <row r="601" customHeight="1" spans="2:13">
      <c r="B601" s="59">
        <v>598</v>
      </c>
      <c r="C601" s="87"/>
      <c r="D601" s="87"/>
      <c r="E601" s="87"/>
      <c r="F601" s="60" t="str">
        <f>IFERROR(VLOOKUP($E601,'基础-办公用品信息'!$C:$E,2,FALSE),"-")</f>
        <v>-</v>
      </c>
      <c r="G601" s="60" t="str">
        <f>IFERROR(VLOOKUP($E601,'基础-办公用品信息'!$C:$E,3,FALSE),"-")</f>
        <v>-</v>
      </c>
      <c r="H601" s="126" t="str">
        <f>IFERROR(VLOOKUP($E601,'基础-办公用品信息'!$C:$F,4,FALSE),"-")</f>
        <v>-</v>
      </c>
      <c r="I601" s="87"/>
      <c r="J601" s="61" t="str">
        <f t="shared" si="31"/>
        <v>-</v>
      </c>
      <c r="K601" s="87"/>
      <c r="L601" s="60">
        <f t="shared" si="32"/>
        <v>1900</v>
      </c>
      <c r="M601" s="60">
        <f t="shared" si="33"/>
        <v>1</v>
      </c>
    </row>
    <row r="602" customHeight="1" spans="2:13">
      <c r="B602" s="59">
        <v>599</v>
      </c>
      <c r="C602" s="87"/>
      <c r="D602" s="87"/>
      <c r="E602" s="87"/>
      <c r="F602" s="60" t="str">
        <f>IFERROR(VLOOKUP($E602,'基础-办公用品信息'!$C:$E,2,FALSE),"-")</f>
        <v>-</v>
      </c>
      <c r="G602" s="60" t="str">
        <f>IFERROR(VLOOKUP($E602,'基础-办公用品信息'!$C:$E,3,FALSE),"-")</f>
        <v>-</v>
      </c>
      <c r="H602" s="126" t="str">
        <f>IFERROR(VLOOKUP($E602,'基础-办公用品信息'!$C:$F,4,FALSE),"-")</f>
        <v>-</v>
      </c>
      <c r="I602" s="87"/>
      <c r="J602" s="61" t="str">
        <f t="shared" si="31"/>
        <v>-</v>
      </c>
      <c r="K602" s="87"/>
      <c r="L602" s="60">
        <f t="shared" si="32"/>
        <v>1900</v>
      </c>
      <c r="M602" s="60">
        <f t="shared" si="33"/>
        <v>1</v>
      </c>
    </row>
    <row r="603" customHeight="1" spans="2:13">
      <c r="B603" s="59">
        <v>600</v>
      </c>
      <c r="C603" s="87"/>
      <c r="D603" s="87"/>
      <c r="E603" s="87"/>
      <c r="F603" s="60" t="str">
        <f>IFERROR(VLOOKUP($E603,'基础-办公用品信息'!$C:$E,2,FALSE),"-")</f>
        <v>-</v>
      </c>
      <c r="G603" s="60" t="str">
        <f>IFERROR(VLOOKUP($E603,'基础-办公用品信息'!$C:$E,3,FALSE),"-")</f>
        <v>-</v>
      </c>
      <c r="H603" s="126" t="str">
        <f>IFERROR(VLOOKUP($E603,'基础-办公用品信息'!$C:$F,4,FALSE),"-")</f>
        <v>-</v>
      </c>
      <c r="I603" s="87"/>
      <c r="J603" s="61" t="str">
        <f t="shared" si="31"/>
        <v>-</v>
      </c>
      <c r="K603" s="87"/>
      <c r="L603" s="60">
        <f t="shared" si="32"/>
        <v>1900</v>
      </c>
      <c r="M603" s="60">
        <f t="shared" si="33"/>
        <v>1</v>
      </c>
    </row>
    <row r="604" customHeight="1" spans="2:13">
      <c r="B604" s="59">
        <v>601</v>
      </c>
      <c r="C604" s="87"/>
      <c r="D604" s="87"/>
      <c r="E604" s="87"/>
      <c r="F604" s="60" t="str">
        <f>IFERROR(VLOOKUP($E604,'基础-办公用品信息'!$C:$E,2,FALSE),"-")</f>
        <v>-</v>
      </c>
      <c r="G604" s="60" t="str">
        <f>IFERROR(VLOOKUP($E604,'基础-办公用品信息'!$C:$E,3,FALSE),"-")</f>
        <v>-</v>
      </c>
      <c r="H604" s="126" t="str">
        <f>IFERROR(VLOOKUP($E604,'基础-办公用品信息'!$C:$F,4,FALSE),"-")</f>
        <v>-</v>
      </c>
      <c r="I604" s="87"/>
      <c r="J604" s="61" t="str">
        <f t="shared" si="31"/>
        <v>-</v>
      </c>
      <c r="K604" s="87"/>
      <c r="L604" s="60">
        <f t="shared" si="32"/>
        <v>1900</v>
      </c>
      <c r="M604" s="60">
        <f t="shared" si="33"/>
        <v>1</v>
      </c>
    </row>
    <row r="605" customHeight="1" spans="2:13">
      <c r="B605" s="59">
        <v>602</v>
      </c>
      <c r="C605" s="87"/>
      <c r="D605" s="87"/>
      <c r="E605" s="87"/>
      <c r="F605" s="60" t="str">
        <f>IFERROR(VLOOKUP($E605,'基础-办公用品信息'!$C:$E,2,FALSE),"-")</f>
        <v>-</v>
      </c>
      <c r="G605" s="60" t="str">
        <f>IFERROR(VLOOKUP($E605,'基础-办公用品信息'!$C:$E,3,FALSE),"-")</f>
        <v>-</v>
      </c>
      <c r="H605" s="126" t="str">
        <f>IFERROR(VLOOKUP($E605,'基础-办公用品信息'!$C:$F,4,FALSE),"-")</f>
        <v>-</v>
      </c>
      <c r="I605" s="87"/>
      <c r="J605" s="61" t="str">
        <f t="shared" si="31"/>
        <v>-</v>
      </c>
      <c r="K605" s="87"/>
      <c r="L605" s="60">
        <f t="shared" si="32"/>
        <v>1900</v>
      </c>
      <c r="M605" s="60">
        <f t="shared" si="33"/>
        <v>1</v>
      </c>
    </row>
    <row r="606" customHeight="1" spans="2:13">
      <c r="B606" s="59">
        <v>603</v>
      </c>
      <c r="C606" s="87"/>
      <c r="D606" s="87"/>
      <c r="E606" s="87"/>
      <c r="F606" s="60" t="str">
        <f>IFERROR(VLOOKUP($E606,'基础-办公用品信息'!$C:$E,2,FALSE),"-")</f>
        <v>-</v>
      </c>
      <c r="G606" s="60" t="str">
        <f>IFERROR(VLOOKUP($E606,'基础-办公用品信息'!$C:$E,3,FALSE),"-")</f>
        <v>-</v>
      </c>
      <c r="H606" s="126" t="str">
        <f>IFERROR(VLOOKUP($E606,'基础-办公用品信息'!$C:$F,4,FALSE),"-")</f>
        <v>-</v>
      </c>
      <c r="I606" s="87"/>
      <c r="J606" s="61" t="str">
        <f t="shared" si="31"/>
        <v>-</v>
      </c>
      <c r="K606" s="87"/>
      <c r="L606" s="60">
        <f t="shared" si="32"/>
        <v>1900</v>
      </c>
      <c r="M606" s="60">
        <f t="shared" si="33"/>
        <v>1</v>
      </c>
    </row>
    <row r="607" customHeight="1" spans="2:13">
      <c r="B607" s="59">
        <v>604</v>
      </c>
      <c r="C607" s="87"/>
      <c r="D607" s="87"/>
      <c r="E607" s="87"/>
      <c r="F607" s="60" t="str">
        <f>IFERROR(VLOOKUP($E607,'基础-办公用品信息'!$C:$E,2,FALSE),"-")</f>
        <v>-</v>
      </c>
      <c r="G607" s="60" t="str">
        <f>IFERROR(VLOOKUP($E607,'基础-办公用品信息'!$C:$E,3,FALSE),"-")</f>
        <v>-</v>
      </c>
      <c r="H607" s="126" t="str">
        <f>IFERROR(VLOOKUP($E607,'基础-办公用品信息'!$C:$F,4,FALSE),"-")</f>
        <v>-</v>
      </c>
      <c r="I607" s="87"/>
      <c r="J607" s="61" t="str">
        <f t="shared" si="31"/>
        <v>-</v>
      </c>
      <c r="K607" s="87"/>
      <c r="L607" s="60">
        <f t="shared" si="32"/>
        <v>1900</v>
      </c>
      <c r="M607" s="60">
        <f t="shared" si="33"/>
        <v>1</v>
      </c>
    </row>
    <row r="608" customHeight="1" spans="2:13">
      <c r="B608" s="59">
        <v>605</v>
      </c>
      <c r="C608" s="87"/>
      <c r="D608" s="87"/>
      <c r="E608" s="87"/>
      <c r="F608" s="60" t="str">
        <f>IFERROR(VLOOKUP($E608,'基础-办公用品信息'!$C:$E,2,FALSE),"-")</f>
        <v>-</v>
      </c>
      <c r="G608" s="60" t="str">
        <f>IFERROR(VLOOKUP($E608,'基础-办公用品信息'!$C:$E,3,FALSE),"-")</f>
        <v>-</v>
      </c>
      <c r="H608" s="126" t="str">
        <f>IFERROR(VLOOKUP($E608,'基础-办公用品信息'!$C:$F,4,FALSE),"-")</f>
        <v>-</v>
      </c>
      <c r="I608" s="87"/>
      <c r="J608" s="61" t="str">
        <f t="shared" si="31"/>
        <v>-</v>
      </c>
      <c r="K608" s="87"/>
      <c r="L608" s="60">
        <f t="shared" si="32"/>
        <v>1900</v>
      </c>
      <c r="M608" s="60">
        <f t="shared" si="33"/>
        <v>1</v>
      </c>
    </row>
    <row r="609" customHeight="1" spans="2:13">
      <c r="B609" s="59">
        <v>606</v>
      </c>
      <c r="C609" s="87"/>
      <c r="D609" s="87"/>
      <c r="E609" s="87"/>
      <c r="F609" s="60" t="str">
        <f>IFERROR(VLOOKUP($E609,'基础-办公用品信息'!$C:$E,2,FALSE),"-")</f>
        <v>-</v>
      </c>
      <c r="G609" s="60" t="str">
        <f>IFERROR(VLOOKUP($E609,'基础-办公用品信息'!$C:$E,3,FALSE),"-")</f>
        <v>-</v>
      </c>
      <c r="H609" s="126" t="str">
        <f>IFERROR(VLOOKUP($E609,'基础-办公用品信息'!$C:$F,4,FALSE),"-")</f>
        <v>-</v>
      </c>
      <c r="I609" s="87"/>
      <c r="J609" s="61" t="str">
        <f t="shared" si="31"/>
        <v>-</v>
      </c>
      <c r="K609" s="87"/>
      <c r="L609" s="60">
        <f t="shared" si="32"/>
        <v>1900</v>
      </c>
      <c r="M609" s="60">
        <f t="shared" si="33"/>
        <v>1</v>
      </c>
    </row>
    <row r="610" customHeight="1" spans="2:13">
      <c r="B610" s="59">
        <v>607</v>
      </c>
      <c r="C610" s="87"/>
      <c r="D610" s="87"/>
      <c r="E610" s="87"/>
      <c r="F610" s="60" t="str">
        <f>IFERROR(VLOOKUP($E610,'基础-办公用品信息'!$C:$E,2,FALSE),"-")</f>
        <v>-</v>
      </c>
      <c r="G610" s="60" t="str">
        <f>IFERROR(VLOOKUP($E610,'基础-办公用品信息'!$C:$E,3,FALSE),"-")</f>
        <v>-</v>
      </c>
      <c r="H610" s="126" t="str">
        <f>IFERROR(VLOOKUP($E610,'基础-办公用品信息'!$C:$F,4,FALSE),"-")</f>
        <v>-</v>
      </c>
      <c r="I610" s="87"/>
      <c r="J610" s="61" t="str">
        <f t="shared" si="31"/>
        <v>-</v>
      </c>
      <c r="K610" s="87"/>
      <c r="L610" s="60">
        <f t="shared" si="32"/>
        <v>1900</v>
      </c>
      <c r="M610" s="60">
        <f t="shared" si="33"/>
        <v>1</v>
      </c>
    </row>
    <row r="611" customHeight="1" spans="2:13">
      <c r="B611" s="59">
        <v>608</v>
      </c>
      <c r="C611" s="87"/>
      <c r="D611" s="87"/>
      <c r="E611" s="87"/>
      <c r="F611" s="60" t="str">
        <f>IFERROR(VLOOKUP($E611,'基础-办公用品信息'!$C:$E,2,FALSE),"-")</f>
        <v>-</v>
      </c>
      <c r="G611" s="60" t="str">
        <f>IFERROR(VLOOKUP($E611,'基础-办公用品信息'!$C:$E,3,FALSE),"-")</f>
        <v>-</v>
      </c>
      <c r="H611" s="126" t="str">
        <f>IFERROR(VLOOKUP($E611,'基础-办公用品信息'!$C:$F,4,FALSE),"-")</f>
        <v>-</v>
      </c>
      <c r="I611" s="87"/>
      <c r="J611" s="61" t="str">
        <f t="shared" si="31"/>
        <v>-</v>
      </c>
      <c r="K611" s="87"/>
      <c r="L611" s="60">
        <f t="shared" si="32"/>
        <v>1900</v>
      </c>
      <c r="M611" s="60">
        <f t="shared" si="33"/>
        <v>1</v>
      </c>
    </row>
    <row r="612" customHeight="1" spans="2:13">
      <c r="B612" s="59">
        <v>609</v>
      </c>
      <c r="C612" s="87"/>
      <c r="D612" s="87"/>
      <c r="E612" s="87"/>
      <c r="F612" s="60" t="str">
        <f>IFERROR(VLOOKUP($E612,'基础-办公用品信息'!$C:$E,2,FALSE),"-")</f>
        <v>-</v>
      </c>
      <c r="G612" s="60" t="str">
        <f>IFERROR(VLOOKUP($E612,'基础-办公用品信息'!$C:$E,3,FALSE),"-")</f>
        <v>-</v>
      </c>
      <c r="H612" s="126" t="str">
        <f>IFERROR(VLOOKUP($E612,'基础-办公用品信息'!$C:$F,4,FALSE),"-")</f>
        <v>-</v>
      </c>
      <c r="I612" s="87"/>
      <c r="J612" s="61" t="str">
        <f t="shared" si="31"/>
        <v>-</v>
      </c>
      <c r="K612" s="87"/>
      <c r="L612" s="60">
        <f t="shared" si="32"/>
        <v>1900</v>
      </c>
      <c r="M612" s="60">
        <f t="shared" si="33"/>
        <v>1</v>
      </c>
    </row>
    <row r="613" customHeight="1" spans="2:13">
      <c r="B613" s="59">
        <v>610</v>
      </c>
      <c r="C613" s="87"/>
      <c r="D613" s="87"/>
      <c r="E613" s="87"/>
      <c r="F613" s="60" t="str">
        <f>IFERROR(VLOOKUP($E613,'基础-办公用品信息'!$C:$E,2,FALSE),"-")</f>
        <v>-</v>
      </c>
      <c r="G613" s="60" t="str">
        <f>IFERROR(VLOOKUP($E613,'基础-办公用品信息'!$C:$E,3,FALSE),"-")</f>
        <v>-</v>
      </c>
      <c r="H613" s="126" t="str">
        <f>IFERROR(VLOOKUP($E613,'基础-办公用品信息'!$C:$F,4,FALSE),"-")</f>
        <v>-</v>
      </c>
      <c r="I613" s="87"/>
      <c r="J613" s="61" t="str">
        <f t="shared" si="31"/>
        <v>-</v>
      </c>
      <c r="K613" s="87"/>
      <c r="L613" s="60">
        <f t="shared" si="32"/>
        <v>1900</v>
      </c>
      <c r="M613" s="60">
        <f t="shared" si="33"/>
        <v>1</v>
      </c>
    </row>
    <row r="614" customHeight="1" spans="2:13">
      <c r="B614" s="59">
        <v>611</v>
      </c>
      <c r="C614" s="87"/>
      <c r="D614" s="87"/>
      <c r="E614" s="87"/>
      <c r="F614" s="60" t="str">
        <f>IFERROR(VLOOKUP($E614,'基础-办公用品信息'!$C:$E,2,FALSE),"-")</f>
        <v>-</v>
      </c>
      <c r="G614" s="60" t="str">
        <f>IFERROR(VLOOKUP($E614,'基础-办公用品信息'!$C:$E,3,FALSE),"-")</f>
        <v>-</v>
      </c>
      <c r="H614" s="126" t="str">
        <f>IFERROR(VLOOKUP($E614,'基础-办公用品信息'!$C:$F,4,FALSE),"-")</f>
        <v>-</v>
      </c>
      <c r="I614" s="87"/>
      <c r="J614" s="61" t="str">
        <f t="shared" si="31"/>
        <v>-</v>
      </c>
      <c r="K614" s="87"/>
      <c r="L614" s="60">
        <f t="shared" si="32"/>
        <v>1900</v>
      </c>
      <c r="M614" s="60">
        <f t="shared" si="33"/>
        <v>1</v>
      </c>
    </row>
    <row r="615" customHeight="1" spans="2:13">
      <c r="B615" s="59">
        <v>612</v>
      </c>
      <c r="C615" s="87"/>
      <c r="D615" s="87"/>
      <c r="E615" s="87"/>
      <c r="F615" s="60" t="str">
        <f>IFERROR(VLOOKUP($E615,'基础-办公用品信息'!$C:$E,2,FALSE),"-")</f>
        <v>-</v>
      </c>
      <c r="G615" s="60" t="str">
        <f>IFERROR(VLOOKUP($E615,'基础-办公用品信息'!$C:$E,3,FALSE),"-")</f>
        <v>-</v>
      </c>
      <c r="H615" s="126" t="str">
        <f>IFERROR(VLOOKUP($E615,'基础-办公用品信息'!$C:$F,4,FALSE),"-")</f>
        <v>-</v>
      </c>
      <c r="I615" s="87"/>
      <c r="J615" s="61" t="str">
        <f t="shared" si="31"/>
        <v>-</v>
      </c>
      <c r="K615" s="87"/>
      <c r="L615" s="60">
        <f t="shared" si="32"/>
        <v>1900</v>
      </c>
      <c r="M615" s="60">
        <f t="shared" si="33"/>
        <v>1</v>
      </c>
    </row>
    <row r="616" customHeight="1" spans="2:13">
      <c r="B616" s="59">
        <v>613</v>
      </c>
      <c r="C616" s="87"/>
      <c r="D616" s="87"/>
      <c r="E616" s="87"/>
      <c r="F616" s="60" t="str">
        <f>IFERROR(VLOOKUP($E616,'基础-办公用品信息'!$C:$E,2,FALSE),"-")</f>
        <v>-</v>
      </c>
      <c r="G616" s="60" t="str">
        <f>IFERROR(VLOOKUP($E616,'基础-办公用品信息'!$C:$E,3,FALSE),"-")</f>
        <v>-</v>
      </c>
      <c r="H616" s="126" t="str">
        <f>IFERROR(VLOOKUP($E616,'基础-办公用品信息'!$C:$F,4,FALSE),"-")</f>
        <v>-</v>
      </c>
      <c r="I616" s="87"/>
      <c r="J616" s="61" t="str">
        <f t="shared" si="31"/>
        <v>-</v>
      </c>
      <c r="K616" s="87"/>
      <c r="L616" s="60">
        <f t="shared" si="32"/>
        <v>1900</v>
      </c>
      <c r="M616" s="60">
        <f t="shared" si="33"/>
        <v>1</v>
      </c>
    </row>
    <row r="617" customHeight="1" spans="2:13">
      <c r="B617" s="59">
        <v>614</v>
      </c>
      <c r="C617" s="87"/>
      <c r="D617" s="87"/>
      <c r="E617" s="87"/>
      <c r="F617" s="60" t="str">
        <f>IFERROR(VLOOKUP($E617,'基础-办公用品信息'!$C:$E,2,FALSE),"-")</f>
        <v>-</v>
      </c>
      <c r="G617" s="60" t="str">
        <f>IFERROR(VLOOKUP($E617,'基础-办公用品信息'!$C:$E,3,FALSE),"-")</f>
        <v>-</v>
      </c>
      <c r="H617" s="126" t="str">
        <f>IFERROR(VLOOKUP($E617,'基础-办公用品信息'!$C:$F,4,FALSE),"-")</f>
        <v>-</v>
      </c>
      <c r="I617" s="87"/>
      <c r="J617" s="61" t="str">
        <f t="shared" si="31"/>
        <v>-</v>
      </c>
      <c r="K617" s="87"/>
      <c r="L617" s="60">
        <f t="shared" si="32"/>
        <v>1900</v>
      </c>
      <c r="M617" s="60">
        <f t="shared" si="33"/>
        <v>1</v>
      </c>
    </row>
    <row r="618" customHeight="1" spans="2:13">
      <c r="B618" s="59">
        <v>615</v>
      </c>
      <c r="C618" s="87"/>
      <c r="D618" s="87"/>
      <c r="E618" s="87"/>
      <c r="F618" s="60" t="str">
        <f>IFERROR(VLOOKUP($E618,'基础-办公用品信息'!$C:$E,2,FALSE),"-")</f>
        <v>-</v>
      </c>
      <c r="G618" s="60" t="str">
        <f>IFERROR(VLOOKUP($E618,'基础-办公用品信息'!$C:$E,3,FALSE),"-")</f>
        <v>-</v>
      </c>
      <c r="H618" s="126" t="str">
        <f>IFERROR(VLOOKUP($E618,'基础-办公用品信息'!$C:$F,4,FALSE),"-")</f>
        <v>-</v>
      </c>
      <c r="I618" s="87"/>
      <c r="J618" s="61" t="str">
        <f t="shared" si="31"/>
        <v>-</v>
      </c>
      <c r="K618" s="87"/>
      <c r="L618" s="60">
        <f t="shared" si="32"/>
        <v>1900</v>
      </c>
      <c r="M618" s="60">
        <f t="shared" si="33"/>
        <v>1</v>
      </c>
    </row>
    <row r="619" customHeight="1" spans="2:13">
      <c r="B619" s="59">
        <v>616</v>
      </c>
      <c r="C619" s="87"/>
      <c r="D619" s="87"/>
      <c r="E619" s="87"/>
      <c r="F619" s="60" t="str">
        <f>IFERROR(VLOOKUP($E619,'基础-办公用品信息'!$C:$E,2,FALSE),"-")</f>
        <v>-</v>
      </c>
      <c r="G619" s="60" t="str">
        <f>IFERROR(VLOOKUP($E619,'基础-办公用品信息'!$C:$E,3,FALSE),"-")</f>
        <v>-</v>
      </c>
      <c r="H619" s="126" t="str">
        <f>IFERROR(VLOOKUP($E619,'基础-办公用品信息'!$C:$F,4,FALSE),"-")</f>
        <v>-</v>
      </c>
      <c r="I619" s="87"/>
      <c r="J619" s="61" t="str">
        <f t="shared" si="31"/>
        <v>-</v>
      </c>
      <c r="K619" s="87"/>
      <c r="L619" s="60">
        <f t="shared" si="32"/>
        <v>1900</v>
      </c>
      <c r="M619" s="60">
        <f t="shared" si="33"/>
        <v>1</v>
      </c>
    </row>
    <row r="620" customHeight="1" spans="2:13">
      <c r="B620" s="59">
        <v>617</v>
      </c>
      <c r="C620" s="87"/>
      <c r="D620" s="87"/>
      <c r="E620" s="87"/>
      <c r="F620" s="60" t="str">
        <f>IFERROR(VLOOKUP($E620,'基础-办公用品信息'!$C:$E,2,FALSE),"-")</f>
        <v>-</v>
      </c>
      <c r="G620" s="60" t="str">
        <f>IFERROR(VLOOKUP($E620,'基础-办公用品信息'!$C:$E,3,FALSE),"-")</f>
        <v>-</v>
      </c>
      <c r="H620" s="126" t="str">
        <f>IFERROR(VLOOKUP($E620,'基础-办公用品信息'!$C:$F,4,FALSE),"-")</f>
        <v>-</v>
      </c>
      <c r="I620" s="87"/>
      <c r="J620" s="61" t="str">
        <f t="shared" si="31"/>
        <v>-</v>
      </c>
      <c r="K620" s="87"/>
      <c r="L620" s="60">
        <f t="shared" si="32"/>
        <v>1900</v>
      </c>
      <c r="M620" s="60">
        <f t="shared" si="33"/>
        <v>1</v>
      </c>
    </row>
    <row r="621" customHeight="1" spans="2:13">
      <c r="B621" s="59">
        <v>618</v>
      </c>
      <c r="C621" s="87"/>
      <c r="D621" s="87"/>
      <c r="E621" s="87"/>
      <c r="F621" s="60" t="str">
        <f>IFERROR(VLOOKUP($E621,'基础-办公用品信息'!$C:$E,2,FALSE),"-")</f>
        <v>-</v>
      </c>
      <c r="G621" s="60" t="str">
        <f>IFERROR(VLOOKUP($E621,'基础-办公用品信息'!$C:$E,3,FALSE),"-")</f>
        <v>-</v>
      </c>
      <c r="H621" s="126" t="str">
        <f>IFERROR(VLOOKUP($E621,'基础-办公用品信息'!$C:$F,4,FALSE),"-")</f>
        <v>-</v>
      </c>
      <c r="I621" s="87"/>
      <c r="J621" s="61" t="str">
        <f t="shared" si="31"/>
        <v>-</v>
      </c>
      <c r="K621" s="87"/>
      <c r="L621" s="60">
        <f t="shared" si="32"/>
        <v>1900</v>
      </c>
      <c r="M621" s="60">
        <f t="shared" si="33"/>
        <v>1</v>
      </c>
    </row>
    <row r="622" customHeight="1" spans="2:13">
      <c r="B622" s="59">
        <v>619</v>
      </c>
      <c r="C622" s="87"/>
      <c r="D622" s="87"/>
      <c r="E622" s="87"/>
      <c r="F622" s="60" t="str">
        <f>IFERROR(VLOOKUP($E622,'基础-办公用品信息'!$C:$E,2,FALSE),"-")</f>
        <v>-</v>
      </c>
      <c r="G622" s="60" t="str">
        <f>IFERROR(VLOOKUP($E622,'基础-办公用品信息'!$C:$E,3,FALSE),"-")</f>
        <v>-</v>
      </c>
      <c r="H622" s="126" t="str">
        <f>IFERROR(VLOOKUP($E622,'基础-办公用品信息'!$C:$F,4,FALSE),"-")</f>
        <v>-</v>
      </c>
      <c r="I622" s="87"/>
      <c r="J622" s="61" t="str">
        <f t="shared" si="31"/>
        <v>-</v>
      </c>
      <c r="K622" s="87"/>
      <c r="L622" s="60">
        <f t="shared" si="32"/>
        <v>1900</v>
      </c>
      <c r="M622" s="60">
        <f t="shared" si="33"/>
        <v>1</v>
      </c>
    </row>
    <row r="623" customHeight="1" spans="2:13">
      <c r="B623" s="59">
        <v>620</v>
      </c>
      <c r="C623" s="87"/>
      <c r="D623" s="87"/>
      <c r="E623" s="87"/>
      <c r="F623" s="60" t="str">
        <f>IFERROR(VLOOKUP($E623,'基础-办公用品信息'!$C:$E,2,FALSE),"-")</f>
        <v>-</v>
      </c>
      <c r="G623" s="60" t="str">
        <f>IFERROR(VLOOKUP($E623,'基础-办公用品信息'!$C:$E,3,FALSE),"-")</f>
        <v>-</v>
      </c>
      <c r="H623" s="126" t="str">
        <f>IFERROR(VLOOKUP($E623,'基础-办公用品信息'!$C:$F,4,FALSE),"-")</f>
        <v>-</v>
      </c>
      <c r="I623" s="87"/>
      <c r="J623" s="61" t="str">
        <f t="shared" si="31"/>
        <v>-</v>
      </c>
      <c r="K623" s="87"/>
      <c r="L623" s="60">
        <f t="shared" si="32"/>
        <v>1900</v>
      </c>
      <c r="M623" s="60">
        <f t="shared" si="33"/>
        <v>1</v>
      </c>
    </row>
    <row r="624" customHeight="1" spans="2:13">
      <c r="B624" s="59">
        <v>621</v>
      </c>
      <c r="C624" s="87"/>
      <c r="D624" s="87"/>
      <c r="E624" s="87"/>
      <c r="F624" s="60" t="str">
        <f>IFERROR(VLOOKUP($E624,'基础-办公用品信息'!$C:$E,2,FALSE),"-")</f>
        <v>-</v>
      </c>
      <c r="G624" s="60" t="str">
        <f>IFERROR(VLOOKUP($E624,'基础-办公用品信息'!$C:$E,3,FALSE),"-")</f>
        <v>-</v>
      </c>
      <c r="H624" s="126" t="str">
        <f>IFERROR(VLOOKUP($E624,'基础-办公用品信息'!$C:$F,4,FALSE),"-")</f>
        <v>-</v>
      </c>
      <c r="I624" s="87"/>
      <c r="J624" s="61" t="str">
        <f t="shared" si="31"/>
        <v>-</v>
      </c>
      <c r="K624" s="87"/>
      <c r="L624" s="60">
        <f t="shared" si="32"/>
        <v>1900</v>
      </c>
      <c r="M624" s="60">
        <f t="shared" si="33"/>
        <v>1</v>
      </c>
    </row>
    <row r="625" customHeight="1" spans="2:13">
      <c r="B625" s="59">
        <v>622</v>
      </c>
      <c r="C625" s="87"/>
      <c r="D625" s="87"/>
      <c r="E625" s="87"/>
      <c r="F625" s="60" t="str">
        <f>IFERROR(VLOOKUP($E625,'基础-办公用品信息'!$C:$E,2,FALSE),"-")</f>
        <v>-</v>
      </c>
      <c r="G625" s="60" t="str">
        <f>IFERROR(VLOOKUP($E625,'基础-办公用品信息'!$C:$E,3,FALSE),"-")</f>
        <v>-</v>
      </c>
      <c r="H625" s="126" t="str">
        <f>IFERROR(VLOOKUP($E625,'基础-办公用品信息'!$C:$F,4,FALSE),"-")</f>
        <v>-</v>
      </c>
      <c r="I625" s="87"/>
      <c r="J625" s="61" t="str">
        <f t="shared" si="31"/>
        <v>-</v>
      </c>
      <c r="K625" s="87"/>
      <c r="L625" s="60">
        <f t="shared" si="32"/>
        <v>1900</v>
      </c>
      <c r="M625" s="60">
        <f t="shared" si="33"/>
        <v>1</v>
      </c>
    </row>
    <row r="626" customHeight="1" spans="2:13">
      <c r="B626" s="59">
        <v>623</v>
      </c>
      <c r="C626" s="87"/>
      <c r="D626" s="87"/>
      <c r="E626" s="87"/>
      <c r="F626" s="60" t="str">
        <f>IFERROR(VLOOKUP($E626,'基础-办公用品信息'!$C:$E,2,FALSE),"-")</f>
        <v>-</v>
      </c>
      <c r="G626" s="60" t="str">
        <f>IFERROR(VLOOKUP($E626,'基础-办公用品信息'!$C:$E,3,FALSE),"-")</f>
        <v>-</v>
      </c>
      <c r="H626" s="126" t="str">
        <f>IFERROR(VLOOKUP($E626,'基础-办公用品信息'!$C:$F,4,FALSE),"-")</f>
        <v>-</v>
      </c>
      <c r="I626" s="87"/>
      <c r="J626" s="61" t="str">
        <f t="shared" si="31"/>
        <v>-</v>
      </c>
      <c r="K626" s="87"/>
      <c r="L626" s="60">
        <f t="shared" si="32"/>
        <v>1900</v>
      </c>
      <c r="M626" s="60">
        <f t="shared" si="33"/>
        <v>1</v>
      </c>
    </row>
    <row r="627" customHeight="1" spans="2:13">
      <c r="B627" s="59">
        <v>624</v>
      </c>
      <c r="C627" s="87"/>
      <c r="D627" s="87"/>
      <c r="E627" s="87"/>
      <c r="F627" s="60" t="str">
        <f>IFERROR(VLOOKUP($E627,'基础-办公用品信息'!$C:$E,2,FALSE),"-")</f>
        <v>-</v>
      </c>
      <c r="G627" s="60" t="str">
        <f>IFERROR(VLOOKUP($E627,'基础-办公用品信息'!$C:$E,3,FALSE),"-")</f>
        <v>-</v>
      </c>
      <c r="H627" s="126" t="str">
        <f>IFERROR(VLOOKUP($E627,'基础-办公用品信息'!$C:$F,4,FALSE),"-")</f>
        <v>-</v>
      </c>
      <c r="I627" s="87"/>
      <c r="J627" s="61" t="str">
        <f t="shared" si="31"/>
        <v>-</v>
      </c>
      <c r="K627" s="87"/>
      <c r="L627" s="60">
        <f t="shared" si="32"/>
        <v>1900</v>
      </c>
      <c r="M627" s="60">
        <f t="shared" si="33"/>
        <v>1</v>
      </c>
    </row>
    <row r="628" customHeight="1" spans="2:13">
      <c r="B628" s="59">
        <v>625</v>
      </c>
      <c r="C628" s="87"/>
      <c r="D628" s="87"/>
      <c r="E628" s="87"/>
      <c r="F628" s="60" t="str">
        <f>IFERROR(VLOOKUP($E628,'基础-办公用品信息'!$C:$E,2,FALSE),"-")</f>
        <v>-</v>
      </c>
      <c r="G628" s="60" t="str">
        <f>IFERROR(VLOOKUP($E628,'基础-办公用品信息'!$C:$E,3,FALSE),"-")</f>
        <v>-</v>
      </c>
      <c r="H628" s="126" t="str">
        <f>IFERROR(VLOOKUP($E628,'基础-办公用品信息'!$C:$F,4,FALSE),"-")</f>
        <v>-</v>
      </c>
      <c r="I628" s="87"/>
      <c r="J628" s="61" t="str">
        <f t="shared" si="31"/>
        <v>-</v>
      </c>
      <c r="K628" s="87"/>
      <c r="L628" s="60">
        <f t="shared" si="32"/>
        <v>1900</v>
      </c>
      <c r="M628" s="60">
        <f t="shared" si="33"/>
        <v>1</v>
      </c>
    </row>
    <row r="629" customHeight="1" spans="2:13">
      <c r="B629" s="59">
        <v>626</v>
      </c>
      <c r="C629" s="87"/>
      <c r="D629" s="87"/>
      <c r="E629" s="87"/>
      <c r="F629" s="60" t="str">
        <f>IFERROR(VLOOKUP($E629,'基础-办公用品信息'!$C:$E,2,FALSE),"-")</f>
        <v>-</v>
      </c>
      <c r="G629" s="60" t="str">
        <f>IFERROR(VLOOKUP($E629,'基础-办公用品信息'!$C:$E,3,FALSE),"-")</f>
        <v>-</v>
      </c>
      <c r="H629" s="126" t="str">
        <f>IFERROR(VLOOKUP($E629,'基础-办公用品信息'!$C:$F,4,FALSE),"-")</f>
        <v>-</v>
      </c>
      <c r="I629" s="87"/>
      <c r="J629" s="61" t="str">
        <f t="shared" si="31"/>
        <v>-</v>
      </c>
      <c r="K629" s="87"/>
      <c r="L629" s="60">
        <f t="shared" si="32"/>
        <v>1900</v>
      </c>
      <c r="M629" s="60">
        <f t="shared" si="33"/>
        <v>1</v>
      </c>
    </row>
    <row r="630" customHeight="1" spans="2:13">
      <c r="B630" s="59">
        <v>627</v>
      </c>
      <c r="C630" s="87"/>
      <c r="D630" s="87"/>
      <c r="E630" s="87"/>
      <c r="F630" s="60" t="str">
        <f>IFERROR(VLOOKUP($E630,'基础-办公用品信息'!$C:$E,2,FALSE),"-")</f>
        <v>-</v>
      </c>
      <c r="G630" s="60" t="str">
        <f>IFERROR(VLOOKUP($E630,'基础-办公用品信息'!$C:$E,3,FALSE),"-")</f>
        <v>-</v>
      </c>
      <c r="H630" s="126" t="str">
        <f>IFERROR(VLOOKUP($E630,'基础-办公用品信息'!$C:$F,4,FALSE),"-")</f>
        <v>-</v>
      </c>
      <c r="I630" s="87"/>
      <c r="J630" s="61" t="str">
        <f t="shared" si="31"/>
        <v>-</v>
      </c>
      <c r="K630" s="87"/>
      <c r="L630" s="60">
        <f t="shared" si="32"/>
        <v>1900</v>
      </c>
      <c r="M630" s="60">
        <f t="shared" si="33"/>
        <v>1</v>
      </c>
    </row>
    <row r="631" customHeight="1" spans="2:13">
      <c r="B631" s="59">
        <v>628</v>
      </c>
      <c r="C631" s="87"/>
      <c r="D631" s="87"/>
      <c r="E631" s="87"/>
      <c r="F631" s="60" t="str">
        <f>IFERROR(VLOOKUP($E631,'基础-办公用品信息'!$C:$E,2,FALSE),"-")</f>
        <v>-</v>
      </c>
      <c r="G631" s="60" t="str">
        <f>IFERROR(VLOOKUP($E631,'基础-办公用品信息'!$C:$E,3,FALSE),"-")</f>
        <v>-</v>
      </c>
      <c r="H631" s="126" t="str">
        <f>IFERROR(VLOOKUP($E631,'基础-办公用品信息'!$C:$F,4,FALSE),"-")</f>
        <v>-</v>
      </c>
      <c r="I631" s="87"/>
      <c r="J631" s="61" t="str">
        <f t="shared" ref="J631:J694" si="34">IF(AND(H631&lt;&gt;"",I631&lt;&gt;""),H631*I631,"-")</f>
        <v>-</v>
      </c>
      <c r="K631" s="87"/>
      <c r="L631" s="60">
        <f t="shared" ref="L631:L694" si="35">YEAR(C631)</f>
        <v>1900</v>
      </c>
      <c r="M631" s="60">
        <f t="shared" ref="M631:M694" si="36">MONTH(C631)</f>
        <v>1</v>
      </c>
    </row>
    <row r="632" customHeight="1" spans="2:13">
      <c r="B632" s="59">
        <v>629</v>
      </c>
      <c r="C632" s="87"/>
      <c r="D632" s="87"/>
      <c r="E632" s="87"/>
      <c r="F632" s="60" t="str">
        <f>IFERROR(VLOOKUP($E632,'基础-办公用品信息'!$C:$E,2,FALSE),"-")</f>
        <v>-</v>
      </c>
      <c r="G632" s="60" t="str">
        <f>IFERROR(VLOOKUP($E632,'基础-办公用品信息'!$C:$E,3,FALSE),"-")</f>
        <v>-</v>
      </c>
      <c r="H632" s="126" t="str">
        <f>IFERROR(VLOOKUP($E632,'基础-办公用品信息'!$C:$F,4,FALSE),"-")</f>
        <v>-</v>
      </c>
      <c r="I632" s="87"/>
      <c r="J632" s="61" t="str">
        <f t="shared" si="34"/>
        <v>-</v>
      </c>
      <c r="K632" s="87"/>
      <c r="L632" s="60">
        <f t="shared" si="35"/>
        <v>1900</v>
      </c>
      <c r="M632" s="60">
        <f t="shared" si="36"/>
        <v>1</v>
      </c>
    </row>
    <row r="633" customHeight="1" spans="2:13">
      <c r="B633" s="59">
        <v>630</v>
      </c>
      <c r="C633" s="87"/>
      <c r="D633" s="87"/>
      <c r="E633" s="87"/>
      <c r="F633" s="60" t="str">
        <f>IFERROR(VLOOKUP($E633,'基础-办公用品信息'!$C:$E,2,FALSE),"-")</f>
        <v>-</v>
      </c>
      <c r="G633" s="60" t="str">
        <f>IFERROR(VLOOKUP($E633,'基础-办公用品信息'!$C:$E,3,FALSE),"-")</f>
        <v>-</v>
      </c>
      <c r="H633" s="126" t="str">
        <f>IFERROR(VLOOKUP($E633,'基础-办公用品信息'!$C:$F,4,FALSE),"-")</f>
        <v>-</v>
      </c>
      <c r="I633" s="87"/>
      <c r="J633" s="61" t="str">
        <f t="shared" si="34"/>
        <v>-</v>
      </c>
      <c r="K633" s="87"/>
      <c r="L633" s="60">
        <f t="shared" si="35"/>
        <v>1900</v>
      </c>
      <c r="M633" s="60">
        <f t="shared" si="36"/>
        <v>1</v>
      </c>
    </row>
    <row r="634" customHeight="1" spans="2:13">
      <c r="B634" s="59">
        <v>631</v>
      </c>
      <c r="C634" s="87"/>
      <c r="D634" s="87"/>
      <c r="E634" s="87"/>
      <c r="F634" s="60" t="str">
        <f>IFERROR(VLOOKUP($E634,'基础-办公用品信息'!$C:$E,2,FALSE),"-")</f>
        <v>-</v>
      </c>
      <c r="G634" s="60" t="str">
        <f>IFERROR(VLOOKUP($E634,'基础-办公用品信息'!$C:$E,3,FALSE),"-")</f>
        <v>-</v>
      </c>
      <c r="H634" s="126" t="str">
        <f>IFERROR(VLOOKUP($E634,'基础-办公用品信息'!$C:$F,4,FALSE),"-")</f>
        <v>-</v>
      </c>
      <c r="I634" s="87"/>
      <c r="J634" s="61" t="str">
        <f t="shared" si="34"/>
        <v>-</v>
      </c>
      <c r="K634" s="87"/>
      <c r="L634" s="60">
        <f t="shared" si="35"/>
        <v>1900</v>
      </c>
      <c r="M634" s="60">
        <f t="shared" si="36"/>
        <v>1</v>
      </c>
    </row>
    <row r="635" customHeight="1" spans="2:13">
      <c r="B635" s="59">
        <v>632</v>
      </c>
      <c r="C635" s="87"/>
      <c r="D635" s="87"/>
      <c r="E635" s="87"/>
      <c r="F635" s="60" t="str">
        <f>IFERROR(VLOOKUP($E635,'基础-办公用品信息'!$C:$E,2,FALSE),"-")</f>
        <v>-</v>
      </c>
      <c r="G635" s="60" t="str">
        <f>IFERROR(VLOOKUP($E635,'基础-办公用品信息'!$C:$E,3,FALSE),"-")</f>
        <v>-</v>
      </c>
      <c r="H635" s="126" t="str">
        <f>IFERROR(VLOOKUP($E635,'基础-办公用品信息'!$C:$F,4,FALSE),"-")</f>
        <v>-</v>
      </c>
      <c r="I635" s="87"/>
      <c r="J635" s="61" t="str">
        <f t="shared" si="34"/>
        <v>-</v>
      </c>
      <c r="K635" s="87"/>
      <c r="L635" s="60">
        <f t="shared" si="35"/>
        <v>1900</v>
      </c>
      <c r="M635" s="60">
        <f t="shared" si="36"/>
        <v>1</v>
      </c>
    </row>
    <row r="636" customHeight="1" spans="2:13">
      <c r="B636" s="59">
        <v>633</v>
      </c>
      <c r="C636" s="87"/>
      <c r="D636" s="87"/>
      <c r="E636" s="87"/>
      <c r="F636" s="60" t="str">
        <f>IFERROR(VLOOKUP($E636,'基础-办公用品信息'!$C:$E,2,FALSE),"-")</f>
        <v>-</v>
      </c>
      <c r="G636" s="60" t="str">
        <f>IFERROR(VLOOKUP($E636,'基础-办公用品信息'!$C:$E,3,FALSE),"-")</f>
        <v>-</v>
      </c>
      <c r="H636" s="126" t="str">
        <f>IFERROR(VLOOKUP($E636,'基础-办公用品信息'!$C:$F,4,FALSE),"-")</f>
        <v>-</v>
      </c>
      <c r="I636" s="87"/>
      <c r="J636" s="61" t="str">
        <f t="shared" si="34"/>
        <v>-</v>
      </c>
      <c r="K636" s="87"/>
      <c r="L636" s="60">
        <f t="shared" si="35"/>
        <v>1900</v>
      </c>
      <c r="M636" s="60">
        <f t="shared" si="36"/>
        <v>1</v>
      </c>
    </row>
    <row r="637" customHeight="1" spans="2:13">
      <c r="B637" s="59">
        <v>634</v>
      </c>
      <c r="C637" s="87"/>
      <c r="D637" s="87"/>
      <c r="E637" s="87"/>
      <c r="F637" s="60" t="str">
        <f>IFERROR(VLOOKUP($E637,'基础-办公用品信息'!$C:$E,2,FALSE),"-")</f>
        <v>-</v>
      </c>
      <c r="G637" s="60" t="str">
        <f>IFERROR(VLOOKUP($E637,'基础-办公用品信息'!$C:$E,3,FALSE),"-")</f>
        <v>-</v>
      </c>
      <c r="H637" s="126" t="str">
        <f>IFERROR(VLOOKUP($E637,'基础-办公用品信息'!$C:$F,4,FALSE),"-")</f>
        <v>-</v>
      </c>
      <c r="I637" s="87"/>
      <c r="J637" s="61" t="str">
        <f t="shared" si="34"/>
        <v>-</v>
      </c>
      <c r="K637" s="87"/>
      <c r="L637" s="60">
        <f t="shared" si="35"/>
        <v>1900</v>
      </c>
      <c r="M637" s="60">
        <f t="shared" si="36"/>
        <v>1</v>
      </c>
    </row>
    <row r="638" customHeight="1" spans="2:13">
      <c r="B638" s="59">
        <v>635</v>
      </c>
      <c r="C638" s="87"/>
      <c r="D638" s="87"/>
      <c r="E638" s="87"/>
      <c r="F638" s="60" t="str">
        <f>IFERROR(VLOOKUP($E638,'基础-办公用品信息'!$C:$E,2,FALSE),"-")</f>
        <v>-</v>
      </c>
      <c r="G638" s="60" t="str">
        <f>IFERROR(VLOOKUP($E638,'基础-办公用品信息'!$C:$E,3,FALSE),"-")</f>
        <v>-</v>
      </c>
      <c r="H638" s="126" t="str">
        <f>IFERROR(VLOOKUP($E638,'基础-办公用品信息'!$C:$F,4,FALSE),"-")</f>
        <v>-</v>
      </c>
      <c r="I638" s="87"/>
      <c r="J638" s="61" t="str">
        <f t="shared" si="34"/>
        <v>-</v>
      </c>
      <c r="K638" s="87"/>
      <c r="L638" s="60">
        <f t="shared" si="35"/>
        <v>1900</v>
      </c>
      <c r="M638" s="60">
        <f t="shared" si="36"/>
        <v>1</v>
      </c>
    </row>
    <row r="639" customHeight="1" spans="2:13">
      <c r="B639" s="59">
        <v>636</v>
      </c>
      <c r="C639" s="87"/>
      <c r="D639" s="87"/>
      <c r="E639" s="87"/>
      <c r="F639" s="60" t="str">
        <f>IFERROR(VLOOKUP($E639,'基础-办公用品信息'!$C:$E,2,FALSE),"-")</f>
        <v>-</v>
      </c>
      <c r="G639" s="60" t="str">
        <f>IFERROR(VLOOKUP($E639,'基础-办公用品信息'!$C:$E,3,FALSE),"-")</f>
        <v>-</v>
      </c>
      <c r="H639" s="126" t="str">
        <f>IFERROR(VLOOKUP($E639,'基础-办公用品信息'!$C:$F,4,FALSE),"-")</f>
        <v>-</v>
      </c>
      <c r="I639" s="87"/>
      <c r="J639" s="61" t="str">
        <f t="shared" si="34"/>
        <v>-</v>
      </c>
      <c r="K639" s="87"/>
      <c r="L639" s="60">
        <f t="shared" si="35"/>
        <v>1900</v>
      </c>
      <c r="M639" s="60">
        <f t="shared" si="36"/>
        <v>1</v>
      </c>
    </row>
    <row r="640" customHeight="1" spans="2:13">
      <c r="B640" s="59">
        <v>637</v>
      </c>
      <c r="C640" s="87"/>
      <c r="D640" s="87"/>
      <c r="E640" s="87"/>
      <c r="F640" s="60" t="str">
        <f>IFERROR(VLOOKUP($E640,'基础-办公用品信息'!$C:$E,2,FALSE),"-")</f>
        <v>-</v>
      </c>
      <c r="G640" s="60" t="str">
        <f>IFERROR(VLOOKUP($E640,'基础-办公用品信息'!$C:$E,3,FALSE),"-")</f>
        <v>-</v>
      </c>
      <c r="H640" s="126" t="str">
        <f>IFERROR(VLOOKUP($E640,'基础-办公用品信息'!$C:$F,4,FALSE),"-")</f>
        <v>-</v>
      </c>
      <c r="I640" s="87"/>
      <c r="J640" s="61" t="str">
        <f t="shared" si="34"/>
        <v>-</v>
      </c>
      <c r="K640" s="87"/>
      <c r="L640" s="60">
        <f t="shared" si="35"/>
        <v>1900</v>
      </c>
      <c r="M640" s="60">
        <f t="shared" si="36"/>
        <v>1</v>
      </c>
    </row>
    <row r="641" customHeight="1" spans="2:13">
      <c r="B641" s="59">
        <v>638</v>
      </c>
      <c r="C641" s="87"/>
      <c r="D641" s="87"/>
      <c r="E641" s="87"/>
      <c r="F641" s="60" t="str">
        <f>IFERROR(VLOOKUP($E641,'基础-办公用品信息'!$C:$E,2,FALSE),"-")</f>
        <v>-</v>
      </c>
      <c r="G641" s="60" t="str">
        <f>IFERROR(VLOOKUP($E641,'基础-办公用品信息'!$C:$E,3,FALSE),"-")</f>
        <v>-</v>
      </c>
      <c r="H641" s="126" t="str">
        <f>IFERROR(VLOOKUP($E641,'基础-办公用品信息'!$C:$F,4,FALSE),"-")</f>
        <v>-</v>
      </c>
      <c r="I641" s="87"/>
      <c r="J641" s="61" t="str">
        <f t="shared" si="34"/>
        <v>-</v>
      </c>
      <c r="K641" s="87"/>
      <c r="L641" s="60">
        <f t="shared" si="35"/>
        <v>1900</v>
      </c>
      <c r="M641" s="60">
        <f t="shared" si="36"/>
        <v>1</v>
      </c>
    </row>
    <row r="642" customHeight="1" spans="2:13">
      <c r="B642" s="59">
        <v>639</v>
      </c>
      <c r="C642" s="87"/>
      <c r="D642" s="87"/>
      <c r="E642" s="87"/>
      <c r="F642" s="60" t="str">
        <f>IFERROR(VLOOKUP($E642,'基础-办公用品信息'!$C:$E,2,FALSE),"-")</f>
        <v>-</v>
      </c>
      <c r="G642" s="60" t="str">
        <f>IFERROR(VLOOKUP($E642,'基础-办公用品信息'!$C:$E,3,FALSE),"-")</f>
        <v>-</v>
      </c>
      <c r="H642" s="126" t="str">
        <f>IFERROR(VLOOKUP($E642,'基础-办公用品信息'!$C:$F,4,FALSE),"-")</f>
        <v>-</v>
      </c>
      <c r="I642" s="87"/>
      <c r="J642" s="61" t="str">
        <f t="shared" si="34"/>
        <v>-</v>
      </c>
      <c r="K642" s="87"/>
      <c r="L642" s="60">
        <f t="shared" si="35"/>
        <v>1900</v>
      </c>
      <c r="M642" s="60">
        <f t="shared" si="36"/>
        <v>1</v>
      </c>
    </row>
    <row r="643" customHeight="1" spans="2:13">
      <c r="B643" s="59">
        <v>640</v>
      </c>
      <c r="C643" s="87"/>
      <c r="D643" s="87"/>
      <c r="E643" s="87"/>
      <c r="F643" s="60" t="str">
        <f>IFERROR(VLOOKUP($E643,'基础-办公用品信息'!$C:$E,2,FALSE),"-")</f>
        <v>-</v>
      </c>
      <c r="G643" s="60" t="str">
        <f>IFERROR(VLOOKUP($E643,'基础-办公用品信息'!$C:$E,3,FALSE),"-")</f>
        <v>-</v>
      </c>
      <c r="H643" s="126" t="str">
        <f>IFERROR(VLOOKUP($E643,'基础-办公用品信息'!$C:$F,4,FALSE),"-")</f>
        <v>-</v>
      </c>
      <c r="I643" s="87"/>
      <c r="J643" s="61" t="str">
        <f t="shared" si="34"/>
        <v>-</v>
      </c>
      <c r="K643" s="87"/>
      <c r="L643" s="60">
        <f t="shared" si="35"/>
        <v>1900</v>
      </c>
      <c r="M643" s="60">
        <f t="shared" si="36"/>
        <v>1</v>
      </c>
    </row>
    <row r="644" customHeight="1" spans="2:13">
      <c r="B644" s="59">
        <v>641</v>
      </c>
      <c r="C644" s="87"/>
      <c r="D644" s="87"/>
      <c r="E644" s="87"/>
      <c r="F644" s="60" t="str">
        <f>IFERROR(VLOOKUP($E644,'基础-办公用品信息'!$C:$E,2,FALSE),"-")</f>
        <v>-</v>
      </c>
      <c r="G644" s="60" t="str">
        <f>IFERROR(VLOOKUP($E644,'基础-办公用品信息'!$C:$E,3,FALSE),"-")</f>
        <v>-</v>
      </c>
      <c r="H644" s="126" t="str">
        <f>IFERROR(VLOOKUP($E644,'基础-办公用品信息'!$C:$F,4,FALSE),"-")</f>
        <v>-</v>
      </c>
      <c r="I644" s="87"/>
      <c r="J644" s="61" t="str">
        <f t="shared" si="34"/>
        <v>-</v>
      </c>
      <c r="K644" s="87"/>
      <c r="L644" s="60">
        <f t="shared" si="35"/>
        <v>1900</v>
      </c>
      <c r="M644" s="60">
        <f t="shared" si="36"/>
        <v>1</v>
      </c>
    </row>
    <row r="645" customHeight="1" spans="2:13">
      <c r="B645" s="59">
        <v>642</v>
      </c>
      <c r="C645" s="87"/>
      <c r="D645" s="87"/>
      <c r="E645" s="87"/>
      <c r="F645" s="60" t="str">
        <f>IFERROR(VLOOKUP($E645,'基础-办公用品信息'!$C:$E,2,FALSE),"-")</f>
        <v>-</v>
      </c>
      <c r="G645" s="60" t="str">
        <f>IFERROR(VLOOKUP($E645,'基础-办公用品信息'!$C:$E,3,FALSE),"-")</f>
        <v>-</v>
      </c>
      <c r="H645" s="126" t="str">
        <f>IFERROR(VLOOKUP($E645,'基础-办公用品信息'!$C:$F,4,FALSE),"-")</f>
        <v>-</v>
      </c>
      <c r="I645" s="87"/>
      <c r="J645" s="61" t="str">
        <f t="shared" si="34"/>
        <v>-</v>
      </c>
      <c r="K645" s="87"/>
      <c r="L645" s="60">
        <f t="shared" si="35"/>
        <v>1900</v>
      </c>
      <c r="M645" s="60">
        <f t="shared" si="36"/>
        <v>1</v>
      </c>
    </row>
    <row r="646" customHeight="1" spans="2:13">
      <c r="B646" s="59">
        <v>643</v>
      </c>
      <c r="C646" s="87"/>
      <c r="D646" s="87"/>
      <c r="E646" s="87"/>
      <c r="F646" s="60" t="str">
        <f>IFERROR(VLOOKUP($E646,'基础-办公用品信息'!$C:$E,2,FALSE),"-")</f>
        <v>-</v>
      </c>
      <c r="G646" s="60" t="str">
        <f>IFERROR(VLOOKUP($E646,'基础-办公用品信息'!$C:$E,3,FALSE),"-")</f>
        <v>-</v>
      </c>
      <c r="H646" s="126" t="str">
        <f>IFERROR(VLOOKUP($E646,'基础-办公用品信息'!$C:$F,4,FALSE),"-")</f>
        <v>-</v>
      </c>
      <c r="I646" s="87"/>
      <c r="J646" s="61" t="str">
        <f t="shared" si="34"/>
        <v>-</v>
      </c>
      <c r="K646" s="87"/>
      <c r="L646" s="60">
        <f t="shared" si="35"/>
        <v>1900</v>
      </c>
      <c r="M646" s="60">
        <f t="shared" si="36"/>
        <v>1</v>
      </c>
    </row>
    <row r="647" customHeight="1" spans="2:13">
      <c r="B647" s="59">
        <v>644</v>
      </c>
      <c r="C647" s="87"/>
      <c r="D647" s="87"/>
      <c r="E647" s="87"/>
      <c r="F647" s="60" t="str">
        <f>IFERROR(VLOOKUP($E647,'基础-办公用品信息'!$C:$E,2,FALSE),"-")</f>
        <v>-</v>
      </c>
      <c r="G647" s="60" t="str">
        <f>IFERROR(VLOOKUP($E647,'基础-办公用品信息'!$C:$E,3,FALSE),"-")</f>
        <v>-</v>
      </c>
      <c r="H647" s="126" t="str">
        <f>IFERROR(VLOOKUP($E647,'基础-办公用品信息'!$C:$F,4,FALSE),"-")</f>
        <v>-</v>
      </c>
      <c r="I647" s="87"/>
      <c r="J647" s="61" t="str">
        <f t="shared" si="34"/>
        <v>-</v>
      </c>
      <c r="K647" s="87"/>
      <c r="L647" s="60">
        <f t="shared" si="35"/>
        <v>1900</v>
      </c>
      <c r="M647" s="60">
        <f t="shared" si="36"/>
        <v>1</v>
      </c>
    </row>
    <row r="648" customHeight="1" spans="2:13">
      <c r="B648" s="59">
        <v>645</v>
      </c>
      <c r="C648" s="87"/>
      <c r="D648" s="87"/>
      <c r="E648" s="87"/>
      <c r="F648" s="60" t="str">
        <f>IFERROR(VLOOKUP($E648,'基础-办公用品信息'!$C:$E,2,FALSE),"-")</f>
        <v>-</v>
      </c>
      <c r="G648" s="60" t="str">
        <f>IFERROR(VLOOKUP($E648,'基础-办公用品信息'!$C:$E,3,FALSE),"-")</f>
        <v>-</v>
      </c>
      <c r="H648" s="126" t="str">
        <f>IFERROR(VLOOKUP($E648,'基础-办公用品信息'!$C:$F,4,FALSE),"-")</f>
        <v>-</v>
      </c>
      <c r="I648" s="87"/>
      <c r="J648" s="61" t="str">
        <f t="shared" si="34"/>
        <v>-</v>
      </c>
      <c r="K648" s="87"/>
      <c r="L648" s="60">
        <f t="shared" si="35"/>
        <v>1900</v>
      </c>
      <c r="M648" s="60">
        <f t="shared" si="36"/>
        <v>1</v>
      </c>
    </row>
    <row r="649" customHeight="1" spans="2:13">
      <c r="B649" s="59">
        <v>646</v>
      </c>
      <c r="C649" s="87"/>
      <c r="D649" s="87"/>
      <c r="E649" s="87"/>
      <c r="F649" s="60" t="str">
        <f>IFERROR(VLOOKUP($E649,'基础-办公用品信息'!$C:$E,2,FALSE),"-")</f>
        <v>-</v>
      </c>
      <c r="G649" s="60" t="str">
        <f>IFERROR(VLOOKUP($E649,'基础-办公用品信息'!$C:$E,3,FALSE),"-")</f>
        <v>-</v>
      </c>
      <c r="H649" s="126" t="str">
        <f>IFERROR(VLOOKUP($E649,'基础-办公用品信息'!$C:$F,4,FALSE),"-")</f>
        <v>-</v>
      </c>
      <c r="I649" s="87"/>
      <c r="J649" s="61" t="str">
        <f t="shared" si="34"/>
        <v>-</v>
      </c>
      <c r="K649" s="87"/>
      <c r="L649" s="60">
        <f t="shared" si="35"/>
        <v>1900</v>
      </c>
      <c r="M649" s="60">
        <f t="shared" si="36"/>
        <v>1</v>
      </c>
    </row>
    <row r="650" customHeight="1" spans="2:13">
      <c r="B650" s="59">
        <v>647</v>
      </c>
      <c r="C650" s="87"/>
      <c r="D650" s="87"/>
      <c r="E650" s="87"/>
      <c r="F650" s="60" t="str">
        <f>IFERROR(VLOOKUP($E650,'基础-办公用品信息'!$C:$E,2,FALSE),"-")</f>
        <v>-</v>
      </c>
      <c r="G650" s="60" t="str">
        <f>IFERROR(VLOOKUP($E650,'基础-办公用品信息'!$C:$E,3,FALSE),"-")</f>
        <v>-</v>
      </c>
      <c r="H650" s="126" t="str">
        <f>IFERROR(VLOOKUP($E650,'基础-办公用品信息'!$C:$F,4,FALSE),"-")</f>
        <v>-</v>
      </c>
      <c r="I650" s="87"/>
      <c r="J650" s="61" t="str">
        <f t="shared" si="34"/>
        <v>-</v>
      </c>
      <c r="K650" s="87"/>
      <c r="L650" s="60">
        <f t="shared" si="35"/>
        <v>1900</v>
      </c>
      <c r="M650" s="60">
        <f t="shared" si="36"/>
        <v>1</v>
      </c>
    </row>
    <row r="651" customHeight="1" spans="2:13">
      <c r="B651" s="59">
        <v>648</v>
      </c>
      <c r="C651" s="87"/>
      <c r="D651" s="87"/>
      <c r="E651" s="87"/>
      <c r="F651" s="60" t="str">
        <f>IFERROR(VLOOKUP($E651,'基础-办公用品信息'!$C:$E,2,FALSE),"-")</f>
        <v>-</v>
      </c>
      <c r="G651" s="60" t="str">
        <f>IFERROR(VLOOKUP($E651,'基础-办公用品信息'!$C:$E,3,FALSE),"-")</f>
        <v>-</v>
      </c>
      <c r="H651" s="126" t="str">
        <f>IFERROR(VLOOKUP($E651,'基础-办公用品信息'!$C:$F,4,FALSE),"-")</f>
        <v>-</v>
      </c>
      <c r="I651" s="87"/>
      <c r="J651" s="61" t="str">
        <f t="shared" si="34"/>
        <v>-</v>
      </c>
      <c r="K651" s="87"/>
      <c r="L651" s="60">
        <f t="shared" si="35"/>
        <v>1900</v>
      </c>
      <c r="M651" s="60">
        <f t="shared" si="36"/>
        <v>1</v>
      </c>
    </row>
    <row r="652" customHeight="1" spans="2:13">
      <c r="B652" s="59">
        <v>649</v>
      </c>
      <c r="C652" s="87"/>
      <c r="D652" s="87"/>
      <c r="E652" s="87"/>
      <c r="F652" s="60" t="str">
        <f>IFERROR(VLOOKUP($E652,'基础-办公用品信息'!$C:$E,2,FALSE),"-")</f>
        <v>-</v>
      </c>
      <c r="G652" s="60" t="str">
        <f>IFERROR(VLOOKUP($E652,'基础-办公用品信息'!$C:$E,3,FALSE),"-")</f>
        <v>-</v>
      </c>
      <c r="H652" s="126" t="str">
        <f>IFERROR(VLOOKUP($E652,'基础-办公用品信息'!$C:$F,4,FALSE),"-")</f>
        <v>-</v>
      </c>
      <c r="I652" s="87"/>
      <c r="J652" s="61" t="str">
        <f t="shared" si="34"/>
        <v>-</v>
      </c>
      <c r="K652" s="87"/>
      <c r="L652" s="60">
        <f t="shared" si="35"/>
        <v>1900</v>
      </c>
      <c r="M652" s="60">
        <f t="shared" si="36"/>
        <v>1</v>
      </c>
    </row>
    <row r="653" customHeight="1" spans="2:13">
      <c r="B653" s="59">
        <v>650</v>
      </c>
      <c r="C653" s="87"/>
      <c r="D653" s="87"/>
      <c r="E653" s="87"/>
      <c r="F653" s="60" t="str">
        <f>IFERROR(VLOOKUP($E653,'基础-办公用品信息'!$C:$E,2,FALSE),"-")</f>
        <v>-</v>
      </c>
      <c r="G653" s="60" t="str">
        <f>IFERROR(VLOOKUP($E653,'基础-办公用品信息'!$C:$E,3,FALSE),"-")</f>
        <v>-</v>
      </c>
      <c r="H653" s="126" t="str">
        <f>IFERROR(VLOOKUP($E653,'基础-办公用品信息'!$C:$F,4,FALSE),"-")</f>
        <v>-</v>
      </c>
      <c r="I653" s="87"/>
      <c r="J653" s="61" t="str">
        <f t="shared" si="34"/>
        <v>-</v>
      </c>
      <c r="K653" s="87"/>
      <c r="L653" s="60">
        <f t="shared" si="35"/>
        <v>1900</v>
      </c>
      <c r="M653" s="60">
        <f t="shared" si="36"/>
        <v>1</v>
      </c>
    </row>
    <row r="654" customHeight="1" spans="2:13">
      <c r="B654" s="59">
        <v>651</v>
      </c>
      <c r="C654" s="87"/>
      <c r="D654" s="87"/>
      <c r="E654" s="87"/>
      <c r="F654" s="60" t="str">
        <f>IFERROR(VLOOKUP($E654,'基础-办公用品信息'!$C:$E,2,FALSE),"-")</f>
        <v>-</v>
      </c>
      <c r="G654" s="60" t="str">
        <f>IFERROR(VLOOKUP($E654,'基础-办公用品信息'!$C:$E,3,FALSE),"-")</f>
        <v>-</v>
      </c>
      <c r="H654" s="126" t="str">
        <f>IFERROR(VLOOKUP($E654,'基础-办公用品信息'!$C:$F,4,FALSE),"-")</f>
        <v>-</v>
      </c>
      <c r="I654" s="87"/>
      <c r="J654" s="61" t="str">
        <f t="shared" si="34"/>
        <v>-</v>
      </c>
      <c r="K654" s="87"/>
      <c r="L654" s="60">
        <f t="shared" si="35"/>
        <v>1900</v>
      </c>
      <c r="M654" s="60">
        <f t="shared" si="36"/>
        <v>1</v>
      </c>
    </row>
    <row r="655" customHeight="1" spans="2:13">
      <c r="B655" s="59">
        <v>652</v>
      </c>
      <c r="C655" s="87"/>
      <c r="D655" s="87"/>
      <c r="E655" s="87"/>
      <c r="F655" s="60" t="str">
        <f>IFERROR(VLOOKUP($E655,'基础-办公用品信息'!$C:$E,2,FALSE),"-")</f>
        <v>-</v>
      </c>
      <c r="G655" s="60" t="str">
        <f>IFERROR(VLOOKUP($E655,'基础-办公用品信息'!$C:$E,3,FALSE),"-")</f>
        <v>-</v>
      </c>
      <c r="H655" s="126" t="str">
        <f>IFERROR(VLOOKUP($E655,'基础-办公用品信息'!$C:$F,4,FALSE),"-")</f>
        <v>-</v>
      </c>
      <c r="I655" s="87"/>
      <c r="J655" s="61" t="str">
        <f t="shared" si="34"/>
        <v>-</v>
      </c>
      <c r="K655" s="87"/>
      <c r="L655" s="60">
        <f t="shared" si="35"/>
        <v>1900</v>
      </c>
      <c r="M655" s="60">
        <f t="shared" si="36"/>
        <v>1</v>
      </c>
    </row>
    <row r="656" customHeight="1" spans="2:13">
      <c r="B656" s="59">
        <v>653</v>
      </c>
      <c r="C656" s="87"/>
      <c r="D656" s="87"/>
      <c r="E656" s="87"/>
      <c r="F656" s="60" t="str">
        <f>IFERROR(VLOOKUP($E656,'基础-办公用品信息'!$C:$E,2,FALSE),"-")</f>
        <v>-</v>
      </c>
      <c r="G656" s="60" t="str">
        <f>IFERROR(VLOOKUP($E656,'基础-办公用品信息'!$C:$E,3,FALSE),"-")</f>
        <v>-</v>
      </c>
      <c r="H656" s="126" t="str">
        <f>IFERROR(VLOOKUP($E656,'基础-办公用品信息'!$C:$F,4,FALSE),"-")</f>
        <v>-</v>
      </c>
      <c r="I656" s="87"/>
      <c r="J656" s="61" t="str">
        <f t="shared" si="34"/>
        <v>-</v>
      </c>
      <c r="K656" s="87"/>
      <c r="L656" s="60">
        <f t="shared" si="35"/>
        <v>1900</v>
      </c>
      <c r="M656" s="60">
        <f t="shared" si="36"/>
        <v>1</v>
      </c>
    </row>
    <row r="657" customHeight="1" spans="2:13">
      <c r="B657" s="59">
        <v>654</v>
      </c>
      <c r="C657" s="87"/>
      <c r="D657" s="87"/>
      <c r="E657" s="87"/>
      <c r="F657" s="60" t="str">
        <f>IFERROR(VLOOKUP($E657,'基础-办公用品信息'!$C:$E,2,FALSE),"-")</f>
        <v>-</v>
      </c>
      <c r="G657" s="60" t="str">
        <f>IFERROR(VLOOKUP($E657,'基础-办公用品信息'!$C:$E,3,FALSE),"-")</f>
        <v>-</v>
      </c>
      <c r="H657" s="126" t="str">
        <f>IFERROR(VLOOKUP($E657,'基础-办公用品信息'!$C:$F,4,FALSE),"-")</f>
        <v>-</v>
      </c>
      <c r="I657" s="87"/>
      <c r="J657" s="61" t="str">
        <f t="shared" si="34"/>
        <v>-</v>
      </c>
      <c r="K657" s="87"/>
      <c r="L657" s="60">
        <f t="shared" si="35"/>
        <v>1900</v>
      </c>
      <c r="M657" s="60">
        <f t="shared" si="36"/>
        <v>1</v>
      </c>
    </row>
    <row r="658" customHeight="1" spans="2:13">
      <c r="B658" s="59">
        <v>655</v>
      </c>
      <c r="C658" s="87"/>
      <c r="D658" s="87"/>
      <c r="E658" s="87"/>
      <c r="F658" s="60" t="str">
        <f>IFERROR(VLOOKUP($E658,'基础-办公用品信息'!$C:$E,2,FALSE),"-")</f>
        <v>-</v>
      </c>
      <c r="G658" s="60" t="str">
        <f>IFERROR(VLOOKUP($E658,'基础-办公用品信息'!$C:$E,3,FALSE),"-")</f>
        <v>-</v>
      </c>
      <c r="H658" s="126" t="str">
        <f>IFERROR(VLOOKUP($E658,'基础-办公用品信息'!$C:$F,4,FALSE),"-")</f>
        <v>-</v>
      </c>
      <c r="I658" s="87"/>
      <c r="J658" s="61" t="str">
        <f t="shared" si="34"/>
        <v>-</v>
      </c>
      <c r="K658" s="87"/>
      <c r="L658" s="60">
        <f t="shared" si="35"/>
        <v>1900</v>
      </c>
      <c r="M658" s="60">
        <f t="shared" si="36"/>
        <v>1</v>
      </c>
    </row>
    <row r="659" customHeight="1" spans="2:13">
      <c r="B659" s="59">
        <v>656</v>
      </c>
      <c r="C659" s="87"/>
      <c r="D659" s="87"/>
      <c r="E659" s="87"/>
      <c r="F659" s="60" t="str">
        <f>IFERROR(VLOOKUP($E659,'基础-办公用品信息'!$C:$E,2,FALSE),"-")</f>
        <v>-</v>
      </c>
      <c r="G659" s="60" t="str">
        <f>IFERROR(VLOOKUP($E659,'基础-办公用品信息'!$C:$E,3,FALSE),"-")</f>
        <v>-</v>
      </c>
      <c r="H659" s="126" t="str">
        <f>IFERROR(VLOOKUP($E659,'基础-办公用品信息'!$C:$F,4,FALSE),"-")</f>
        <v>-</v>
      </c>
      <c r="I659" s="87"/>
      <c r="J659" s="61" t="str">
        <f t="shared" si="34"/>
        <v>-</v>
      </c>
      <c r="K659" s="87"/>
      <c r="L659" s="60">
        <f t="shared" si="35"/>
        <v>1900</v>
      </c>
      <c r="M659" s="60">
        <f t="shared" si="36"/>
        <v>1</v>
      </c>
    </row>
    <row r="660" customHeight="1" spans="2:13">
      <c r="B660" s="59">
        <v>657</v>
      </c>
      <c r="C660" s="87"/>
      <c r="D660" s="87"/>
      <c r="E660" s="87"/>
      <c r="F660" s="60" t="str">
        <f>IFERROR(VLOOKUP($E660,'基础-办公用品信息'!$C:$E,2,FALSE),"-")</f>
        <v>-</v>
      </c>
      <c r="G660" s="60" t="str">
        <f>IFERROR(VLOOKUP($E660,'基础-办公用品信息'!$C:$E,3,FALSE),"-")</f>
        <v>-</v>
      </c>
      <c r="H660" s="126" t="str">
        <f>IFERROR(VLOOKUP($E660,'基础-办公用品信息'!$C:$F,4,FALSE),"-")</f>
        <v>-</v>
      </c>
      <c r="I660" s="87"/>
      <c r="J660" s="61" t="str">
        <f t="shared" si="34"/>
        <v>-</v>
      </c>
      <c r="K660" s="87"/>
      <c r="L660" s="60">
        <f t="shared" si="35"/>
        <v>1900</v>
      </c>
      <c r="M660" s="60">
        <f t="shared" si="36"/>
        <v>1</v>
      </c>
    </row>
    <row r="661" customHeight="1" spans="2:13">
      <c r="B661" s="59">
        <v>658</v>
      </c>
      <c r="C661" s="87"/>
      <c r="D661" s="87"/>
      <c r="E661" s="87"/>
      <c r="F661" s="60" t="str">
        <f>IFERROR(VLOOKUP($E661,'基础-办公用品信息'!$C:$E,2,FALSE),"-")</f>
        <v>-</v>
      </c>
      <c r="G661" s="60" t="str">
        <f>IFERROR(VLOOKUP($E661,'基础-办公用品信息'!$C:$E,3,FALSE),"-")</f>
        <v>-</v>
      </c>
      <c r="H661" s="126" t="str">
        <f>IFERROR(VLOOKUP($E661,'基础-办公用品信息'!$C:$F,4,FALSE),"-")</f>
        <v>-</v>
      </c>
      <c r="I661" s="87"/>
      <c r="J661" s="61" t="str">
        <f t="shared" si="34"/>
        <v>-</v>
      </c>
      <c r="K661" s="87"/>
      <c r="L661" s="60">
        <f t="shared" si="35"/>
        <v>1900</v>
      </c>
      <c r="M661" s="60">
        <f t="shared" si="36"/>
        <v>1</v>
      </c>
    </row>
    <row r="662" customHeight="1" spans="2:13">
      <c r="B662" s="59">
        <v>659</v>
      </c>
      <c r="C662" s="87"/>
      <c r="D662" s="87"/>
      <c r="E662" s="87"/>
      <c r="F662" s="60" t="str">
        <f>IFERROR(VLOOKUP($E662,'基础-办公用品信息'!$C:$E,2,FALSE),"-")</f>
        <v>-</v>
      </c>
      <c r="G662" s="60" t="str">
        <f>IFERROR(VLOOKUP($E662,'基础-办公用品信息'!$C:$E,3,FALSE),"-")</f>
        <v>-</v>
      </c>
      <c r="H662" s="126" t="str">
        <f>IFERROR(VLOOKUP($E662,'基础-办公用品信息'!$C:$F,4,FALSE),"-")</f>
        <v>-</v>
      </c>
      <c r="I662" s="87"/>
      <c r="J662" s="61" t="str">
        <f t="shared" si="34"/>
        <v>-</v>
      </c>
      <c r="K662" s="87"/>
      <c r="L662" s="60">
        <f t="shared" si="35"/>
        <v>1900</v>
      </c>
      <c r="M662" s="60">
        <f t="shared" si="36"/>
        <v>1</v>
      </c>
    </row>
    <row r="663" customHeight="1" spans="2:13">
      <c r="B663" s="59">
        <v>660</v>
      </c>
      <c r="C663" s="87"/>
      <c r="D663" s="87"/>
      <c r="E663" s="87"/>
      <c r="F663" s="60" t="str">
        <f>IFERROR(VLOOKUP($E663,'基础-办公用品信息'!$C:$E,2,FALSE),"-")</f>
        <v>-</v>
      </c>
      <c r="G663" s="60" t="str">
        <f>IFERROR(VLOOKUP($E663,'基础-办公用品信息'!$C:$E,3,FALSE),"-")</f>
        <v>-</v>
      </c>
      <c r="H663" s="126" t="str">
        <f>IFERROR(VLOOKUP($E663,'基础-办公用品信息'!$C:$F,4,FALSE),"-")</f>
        <v>-</v>
      </c>
      <c r="I663" s="87"/>
      <c r="J663" s="61" t="str">
        <f t="shared" si="34"/>
        <v>-</v>
      </c>
      <c r="K663" s="87"/>
      <c r="L663" s="60">
        <f t="shared" si="35"/>
        <v>1900</v>
      </c>
      <c r="M663" s="60">
        <f t="shared" si="36"/>
        <v>1</v>
      </c>
    </row>
    <row r="664" customHeight="1" spans="2:13">
      <c r="B664" s="59">
        <v>661</v>
      </c>
      <c r="C664" s="87"/>
      <c r="D664" s="87"/>
      <c r="E664" s="87"/>
      <c r="F664" s="60" t="str">
        <f>IFERROR(VLOOKUP($E664,'基础-办公用品信息'!$C:$E,2,FALSE),"-")</f>
        <v>-</v>
      </c>
      <c r="G664" s="60" t="str">
        <f>IFERROR(VLOOKUP($E664,'基础-办公用品信息'!$C:$E,3,FALSE),"-")</f>
        <v>-</v>
      </c>
      <c r="H664" s="126" t="str">
        <f>IFERROR(VLOOKUP($E664,'基础-办公用品信息'!$C:$F,4,FALSE),"-")</f>
        <v>-</v>
      </c>
      <c r="I664" s="87"/>
      <c r="J664" s="61" t="str">
        <f t="shared" si="34"/>
        <v>-</v>
      </c>
      <c r="K664" s="87"/>
      <c r="L664" s="60">
        <f t="shared" si="35"/>
        <v>1900</v>
      </c>
      <c r="M664" s="60">
        <f t="shared" si="36"/>
        <v>1</v>
      </c>
    </row>
    <row r="665" customHeight="1" spans="2:13">
      <c r="B665" s="59">
        <v>662</v>
      </c>
      <c r="C665" s="87"/>
      <c r="D665" s="87"/>
      <c r="E665" s="87"/>
      <c r="F665" s="60" t="str">
        <f>IFERROR(VLOOKUP($E665,'基础-办公用品信息'!$C:$E,2,FALSE),"-")</f>
        <v>-</v>
      </c>
      <c r="G665" s="60" t="str">
        <f>IFERROR(VLOOKUP($E665,'基础-办公用品信息'!$C:$E,3,FALSE),"-")</f>
        <v>-</v>
      </c>
      <c r="H665" s="126" t="str">
        <f>IFERROR(VLOOKUP($E665,'基础-办公用品信息'!$C:$F,4,FALSE),"-")</f>
        <v>-</v>
      </c>
      <c r="I665" s="87"/>
      <c r="J665" s="61" t="str">
        <f t="shared" si="34"/>
        <v>-</v>
      </c>
      <c r="K665" s="87"/>
      <c r="L665" s="60">
        <f t="shared" si="35"/>
        <v>1900</v>
      </c>
      <c r="M665" s="60">
        <f t="shared" si="36"/>
        <v>1</v>
      </c>
    </row>
    <row r="666" customHeight="1" spans="2:13">
      <c r="B666" s="59">
        <v>663</v>
      </c>
      <c r="C666" s="87"/>
      <c r="D666" s="87"/>
      <c r="E666" s="87"/>
      <c r="F666" s="60" t="str">
        <f>IFERROR(VLOOKUP($E666,'基础-办公用品信息'!$C:$E,2,FALSE),"-")</f>
        <v>-</v>
      </c>
      <c r="G666" s="60" t="str">
        <f>IFERROR(VLOOKUP($E666,'基础-办公用品信息'!$C:$E,3,FALSE),"-")</f>
        <v>-</v>
      </c>
      <c r="H666" s="126" t="str">
        <f>IFERROR(VLOOKUP($E666,'基础-办公用品信息'!$C:$F,4,FALSE),"-")</f>
        <v>-</v>
      </c>
      <c r="I666" s="87"/>
      <c r="J666" s="61" t="str">
        <f t="shared" si="34"/>
        <v>-</v>
      </c>
      <c r="K666" s="87"/>
      <c r="L666" s="60">
        <f t="shared" si="35"/>
        <v>1900</v>
      </c>
      <c r="M666" s="60">
        <f t="shared" si="36"/>
        <v>1</v>
      </c>
    </row>
    <row r="667" customHeight="1" spans="2:13">
      <c r="B667" s="59">
        <v>664</v>
      </c>
      <c r="C667" s="87"/>
      <c r="D667" s="87"/>
      <c r="E667" s="87"/>
      <c r="F667" s="60" t="str">
        <f>IFERROR(VLOOKUP($E667,'基础-办公用品信息'!$C:$E,2,FALSE),"-")</f>
        <v>-</v>
      </c>
      <c r="G667" s="60" t="str">
        <f>IFERROR(VLOOKUP($E667,'基础-办公用品信息'!$C:$E,3,FALSE),"-")</f>
        <v>-</v>
      </c>
      <c r="H667" s="126" t="str">
        <f>IFERROR(VLOOKUP($E667,'基础-办公用品信息'!$C:$F,4,FALSE),"-")</f>
        <v>-</v>
      </c>
      <c r="I667" s="87"/>
      <c r="J667" s="61" t="str">
        <f t="shared" si="34"/>
        <v>-</v>
      </c>
      <c r="K667" s="87"/>
      <c r="L667" s="60">
        <f t="shared" si="35"/>
        <v>1900</v>
      </c>
      <c r="M667" s="60">
        <f t="shared" si="36"/>
        <v>1</v>
      </c>
    </row>
    <row r="668" customHeight="1" spans="2:13">
      <c r="B668" s="59">
        <v>665</v>
      </c>
      <c r="C668" s="87"/>
      <c r="D668" s="87"/>
      <c r="E668" s="87"/>
      <c r="F668" s="60" t="str">
        <f>IFERROR(VLOOKUP($E668,'基础-办公用品信息'!$C:$E,2,FALSE),"-")</f>
        <v>-</v>
      </c>
      <c r="G668" s="60" t="str">
        <f>IFERROR(VLOOKUP($E668,'基础-办公用品信息'!$C:$E,3,FALSE),"-")</f>
        <v>-</v>
      </c>
      <c r="H668" s="126" t="str">
        <f>IFERROR(VLOOKUP($E668,'基础-办公用品信息'!$C:$F,4,FALSE),"-")</f>
        <v>-</v>
      </c>
      <c r="I668" s="87"/>
      <c r="J668" s="61" t="str">
        <f t="shared" si="34"/>
        <v>-</v>
      </c>
      <c r="K668" s="87"/>
      <c r="L668" s="60">
        <f t="shared" si="35"/>
        <v>1900</v>
      </c>
      <c r="M668" s="60">
        <f t="shared" si="36"/>
        <v>1</v>
      </c>
    </row>
    <row r="669" customHeight="1" spans="2:13">
      <c r="B669" s="59">
        <v>666</v>
      </c>
      <c r="C669" s="87"/>
      <c r="D669" s="87"/>
      <c r="E669" s="87"/>
      <c r="F669" s="60" t="str">
        <f>IFERROR(VLOOKUP($E669,'基础-办公用品信息'!$C:$E,2,FALSE),"-")</f>
        <v>-</v>
      </c>
      <c r="G669" s="60" t="str">
        <f>IFERROR(VLOOKUP($E669,'基础-办公用品信息'!$C:$E,3,FALSE),"-")</f>
        <v>-</v>
      </c>
      <c r="H669" s="126" t="str">
        <f>IFERROR(VLOOKUP($E669,'基础-办公用品信息'!$C:$F,4,FALSE),"-")</f>
        <v>-</v>
      </c>
      <c r="I669" s="87"/>
      <c r="J669" s="61" t="str">
        <f t="shared" si="34"/>
        <v>-</v>
      </c>
      <c r="K669" s="87"/>
      <c r="L669" s="60">
        <f t="shared" si="35"/>
        <v>1900</v>
      </c>
      <c r="M669" s="60">
        <f t="shared" si="36"/>
        <v>1</v>
      </c>
    </row>
    <row r="670" customHeight="1" spans="2:13">
      <c r="B670" s="59">
        <v>667</v>
      </c>
      <c r="C670" s="87"/>
      <c r="D670" s="87"/>
      <c r="E670" s="87"/>
      <c r="F670" s="60" t="str">
        <f>IFERROR(VLOOKUP($E670,'基础-办公用品信息'!$C:$E,2,FALSE),"-")</f>
        <v>-</v>
      </c>
      <c r="G670" s="60" t="str">
        <f>IFERROR(VLOOKUP($E670,'基础-办公用品信息'!$C:$E,3,FALSE),"-")</f>
        <v>-</v>
      </c>
      <c r="H670" s="126" t="str">
        <f>IFERROR(VLOOKUP($E670,'基础-办公用品信息'!$C:$F,4,FALSE),"-")</f>
        <v>-</v>
      </c>
      <c r="I670" s="87"/>
      <c r="J670" s="61" t="str">
        <f t="shared" si="34"/>
        <v>-</v>
      </c>
      <c r="K670" s="87"/>
      <c r="L670" s="60">
        <f t="shared" si="35"/>
        <v>1900</v>
      </c>
      <c r="M670" s="60">
        <f t="shared" si="36"/>
        <v>1</v>
      </c>
    </row>
    <row r="671" customHeight="1" spans="2:13">
      <c r="B671" s="59">
        <v>668</v>
      </c>
      <c r="C671" s="87"/>
      <c r="D671" s="87"/>
      <c r="E671" s="87"/>
      <c r="F671" s="60" t="str">
        <f>IFERROR(VLOOKUP($E671,'基础-办公用品信息'!$C:$E,2,FALSE),"-")</f>
        <v>-</v>
      </c>
      <c r="G671" s="60" t="str">
        <f>IFERROR(VLOOKUP($E671,'基础-办公用品信息'!$C:$E,3,FALSE),"-")</f>
        <v>-</v>
      </c>
      <c r="H671" s="126" t="str">
        <f>IFERROR(VLOOKUP($E671,'基础-办公用品信息'!$C:$F,4,FALSE),"-")</f>
        <v>-</v>
      </c>
      <c r="I671" s="87"/>
      <c r="J671" s="61" t="str">
        <f t="shared" si="34"/>
        <v>-</v>
      </c>
      <c r="K671" s="87"/>
      <c r="L671" s="60">
        <f t="shared" si="35"/>
        <v>1900</v>
      </c>
      <c r="M671" s="60">
        <f t="shared" si="36"/>
        <v>1</v>
      </c>
    </row>
    <row r="672" customHeight="1" spans="2:13">
      <c r="B672" s="59">
        <v>669</v>
      </c>
      <c r="C672" s="87"/>
      <c r="D672" s="87"/>
      <c r="E672" s="87"/>
      <c r="F672" s="60" t="str">
        <f>IFERROR(VLOOKUP($E672,'基础-办公用品信息'!$C:$E,2,FALSE),"-")</f>
        <v>-</v>
      </c>
      <c r="G672" s="60" t="str">
        <f>IFERROR(VLOOKUP($E672,'基础-办公用品信息'!$C:$E,3,FALSE),"-")</f>
        <v>-</v>
      </c>
      <c r="H672" s="126" t="str">
        <f>IFERROR(VLOOKUP($E672,'基础-办公用品信息'!$C:$F,4,FALSE),"-")</f>
        <v>-</v>
      </c>
      <c r="I672" s="87"/>
      <c r="J672" s="61" t="str">
        <f t="shared" si="34"/>
        <v>-</v>
      </c>
      <c r="K672" s="87"/>
      <c r="L672" s="60">
        <f t="shared" si="35"/>
        <v>1900</v>
      </c>
      <c r="M672" s="60">
        <f t="shared" si="36"/>
        <v>1</v>
      </c>
    </row>
    <row r="673" customHeight="1" spans="2:13">
      <c r="B673" s="59">
        <v>670</v>
      </c>
      <c r="C673" s="87"/>
      <c r="D673" s="87"/>
      <c r="E673" s="87"/>
      <c r="F673" s="60" t="str">
        <f>IFERROR(VLOOKUP($E673,'基础-办公用品信息'!$C:$E,2,FALSE),"-")</f>
        <v>-</v>
      </c>
      <c r="G673" s="60" t="str">
        <f>IFERROR(VLOOKUP($E673,'基础-办公用品信息'!$C:$E,3,FALSE),"-")</f>
        <v>-</v>
      </c>
      <c r="H673" s="126" t="str">
        <f>IFERROR(VLOOKUP($E673,'基础-办公用品信息'!$C:$F,4,FALSE),"-")</f>
        <v>-</v>
      </c>
      <c r="I673" s="87"/>
      <c r="J673" s="61" t="str">
        <f t="shared" si="34"/>
        <v>-</v>
      </c>
      <c r="K673" s="87"/>
      <c r="L673" s="60">
        <f t="shared" si="35"/>
        <v>1900</v>
      </c>
      <c r="M673" s="60">
        <f t="shared" si="36"/>
        <v>1</v>
      </c>
    </row>
    <row r="674" customHeight="1" spans="2:13">
      <c r="B674" s="59">
        <v>671</v>
      </c>
      <c r="C674" s="87"/>
      <c r="D674" s="87"/>
      <c r="E674" s="87"/>
      <c r="F674" s="60" t="str">
        <f>IFERROR(VLOOKUP($E674,'基础-办公用品信息'!$C:$E,2,FALSE),"-")</f>
        <v>-</v>
      </c>
      <c r="G674" s="60" t="str">
        <f>IFERROR(VLOOKUP($E674,'基础-办公用品信息'!$C:$E,3,FALSE),"-")</f>
        <v>-</v>
      </c>
      <c r="H674" s="126" t="str">
        <f>IFERROR(VLOOKUP($E674,'基础-办公用品信息'!$C:$F,4,FALSE),"-")</f>
        <v>-</v>
      </c>
      <c r="I674" s="87"/>
      <c r="J674" s="61" t="str">
        <f t="shared" si="34"/>
        <v>-</v>
      </c>
      <c r="K674" s="87"/>
      <c r="L674" s="60">
        <f t="shared" si="35"/>
        <v>1900</v>
      </c>
      <c r="M674" s="60">
        <f t="shared" si="36"/>
        <v>1</v>
      </c>
    </row>
    <row r="675" customHeight="1" spans="2:13">
      <c r="B675" s="59">
        <v>672</v>
      </c>
      <c r="C675" s="87"/>
      <c r="D675" s="87"/>
      <c r="E675" s="87"/>
      <c r="F675" s="60" t="str">
        <f>IFERROR(VLOOKUP($E675,'基础-办公用品信息'!$C:$E,2,FALSE),"-")</f>
        <v>-</v>
      </c>
      <c r="G675" s="60" t="str">
        <f>IFERROR(VLOOKUP($E675,'基础-办公用品信息'!$C:$E,3,FALSE),"-")</f>
        <v>-</v>
      </c>
      <c r="H675" s="126" t="str">
        <f>IFERROR(VLOOKUP($E675,'基础-办公用品信息'!$C:$F,4,FALSE),"-")</f>
        <v>-</v>
      </c>
      <c r="I675" s="87"/>
      <c r="J675" s="61" t="str">
        <f t="shared" si="34"/>
        <v>-</v>
      </c>
      <c r="K675" s="87"/>
      <c r="L675" s="60">
        <f t="shared" si="35"/>
        <v>1900</v>
      </c>
      <c r="M675" s="60">
        <f t="shared" si="36"/>
        <v>1</v>
      </c>
    </row>
    <row r="676" customHeight="1" spans="2:13">
      <c r="B676" s="59">
        <v>673</v>
      </c>
      <c r="C676" s="87"/>
      <c r="D676" s="87"/>
      <c r="E676" s="87"/>
      <c r="F676" s="60" t="str">
        <f>IFERROR(VLOOKUP($E676,'基础-办公用品信息'!$C:$E,2,FALSE),"-")</f>
        <v>-</v>
      </c>
      <c r="G676" s="60" t="str">
        <f>IFERROR(VLOOKUP($E676,'基础-办公用品信息'!$C:$E,3,FALSE),"-")</f>
        <v>-</v>
      </c>
      <c r="H676" s="126" t="str">
        <f>IFERROR(VLOOKUP($E676,'基础-办公用品信息'!$C:$F,4,FALSE),"-")</f>
        <v>-</v>
      </c>
      <c r="I676" s="87"/>
      <c r="J676" s="61" t="str">
        <f t="shared" si="34"/>
        <v>-</v>
      </c>
      <c r="K676" s="87"/>
      <c r="L676" s="60">
        <f t="shared" si="35"/>
        <v>1900</v>
      </c>
      <c r="M676" s="60">
        <f t="shared" si="36"/>
        <v>1</v>
      </c>
    </row>
    <row r="677" customHeight="1" spans="2:13">
      <c r="B677" s="59">
        <v>674</v>
      </c>
      <c r="C677" s="87"/>
      <c r="D677" s="87"/>
      <c r="E677" s="87"/>
      <c r="F677" s="60" t="str">
        <f>IFERROR(VLOOKUP($E677,'基础-办公用品信息'!$C:$E,2,FALSE),"-")</f>
        <v>-</v>
      </c>
      <c r="G677" s="60" t="str">
        <f>IFERROR(VLOOKUP($E677,'基础-办公用品信息'!$C:$E,3,FALSE),"-")</f>
        <v>-</v>
      </c>
      <c r="H677" s="126" t="str">
        <f>IFERROR(VLOOKUP($E677,'基础-办公用品信息'!$C:$F,4,FALSE),"-")</f>
        <v>-</v>
      </c>
      <c r="I677" s="87"/>
      <c r="J677" s="61" t="str">
        <f t="shared" si="34"/>
        <v>-</v>
      </c>
      <c r="K677" s="87"/>
      <c r="L677" s="60">
        <f t="shared" si="35"/>
        <v>1900</v>
      </c>
      <c r="M677" s="60">
        <f t="shared" si="36"/>
        <v>1</v>
      </c>
    </row>
    <row r="678" customHeight="1" spans="2:13">
      <c r="B678" s="59">
        <v>675</v>
      </c>
      <c r="C678" s="87"/>
      <c r="D678" s="87"/>
      <c r="E678" s="87"/>
      <c r="F678" s="60" t="str">
        <f>IFERROR(VLOOKUP($E678,'基础-办公用品信息'!$C:$E,2,FALSE),"-")</f>
        <v>-</v>
      </c>
      <c r="G678" s="60" t="str">
        <f>IFERROR(VLOOKUP($E678,'基础-办公用品信息'!$C:$E,3,FALSE),"-")</f>
        <v>-</v>
      </c>
      <c r="H678" s="126" t="str">
        <f>IFERROR(VLOOKUP($E678,'基础-办公用品信息'!$C:$F,4,FALSE),"-")</f>
        <v>-</v>
      </c>
      <c r="I678" s="87"/>
      <c r="J678" s="61" t="str">
        <f t="shared" si="34"/>
        <v>-</v>
      </c>
      <c r="K678" s="87"/>
      <c r="L678" s="60">
        <f t="shared" si="35"/>
        <v>1900</v>
      </c>
      <c r="M678" s="60">
        <f t="shared" si="36"/>
        <v>1</v>
      </c>
    </row>
    <row r="679" customHeight="1" spans="2:13">
      <c r="B679" s="59">
        <v>676</v>
      </c>
      <c r="C679" s="87"/>
      <c r="D679" s="87"/>
      <c r="E679" s="87"/>
      <c r="F679" s="60" t="str">
        <f>IFERROR(VLOOKUP($E679,'基础-办公用品信息'!$C:$E,2,FALSE),"-")</f>
        <v>-</v>
      </c>
      <c r="G679" s="60" t="str">
        <f>IFERROR(VLOOKUP($E679,'基础-办公用品信息'!$C:$E,3,FALSE),"-")</f>
        <v>-</v>
      </c>
      <c r="H679" s="126" t="str">
        <f>IFERROR(VLOOKUP($E679,'基础-办公用品信息'!$C:$F,4,FALSE),"-")</f>
        <v>-</v>
      </c>
      <c r="I679" s="87"/>
      <c r="J679" s="61" t="str">
        <f t="shared" si="34"/>
        <v>-</v>
      </c>
      <c r="K679" s="87"/>
      <c r="L679" s="60">
        <f t="shared" si="35"/>
        <v>1900</v>
      </c>
      <c r="M679" s="60">
        <f t="shared" si="36"/>
        <v>1</v>
      </c>
    </row>
    <row r="680" customHeight="1" spans="2:13">
      <c r="B680" s="59">
        <v>677</v>
      </c>
      <c r="C680" s="87"/>
      <c r="D680" s="87"/>
      <c r="E680" s="87"/>
      <c r="F680" s="60" t="str">
        <f>IFERROR(VLOOKUP($E680,'基础-办公用品信息'!$C:$E,2,FALSE),"-")</f>
        <v>-</v>
      </c>
      <c r="G680" s="60" t="str">
        <f>IFERROR(VLOOKUP($E680,'基础-办公用品信息'!$C:$E,3,FALSE),"-")</f>
        <v>-</v>
      </c>
      <c r="H680" s="126" t="str">
        <f>IFERROR(VLOOKUP($E680,'基础-办公用品信息'!$C:$F,4,FALSE),"-")</f>
        <v>-</v>
      </c>
      <c r="I680" s="87"/>
      <c r="J680" s="61" t="str">
        <f t="shared" si="34"/>
        <v>-</v>
      </c>
      <c r="K680" s="87"/>
      <c r="L680" s="60">
        <f t="shared" si="35"/>
        <v>1900</v>
      </c>
      <c r="M680" s="60">
        <f t="shared" si="36"/>
        <v>1</v>
      </c>
    </row>
    <row r="681" customHeight="1" spans="2:13">
      <c r="B681" s="59">
        <v>678</v>
      </c>
      <c r="C681" s="87"/>
      <c r="D681" s="87"/>
      <c r="E681" s="87"/>
      <c r="F681" s="60" t="str">
        <f>IFERROR(VLOOKUP($E681,'基础-办公用品信息'!$C:$E,2,FALSE),"-")</f>
        <v>-</v>
      </c>
      <c r="G681" s="60" t="str">
        <f>IFERROR(VLOOKUP($E681,'基础-办公用品信息'!$C:$E,3,FALSE),"-")</f>
        <v>-</v>
      </c>
      <c r="H681" s="126" t="str">
        <f>IFERROR(VLOOKUP($E681,'基础-办公用品信息'!$C:$F,4,FALSE),"-")</f>
        <v>-</v>
      </c>
      <c r="I681" s="87"/>
      <c r="J681" s="61" t="str">
        <f t="shared" si="34"/>
        <v>-</v>
      </c>
      <c r="K681" s="87"/>
      <c r="L681" s="60">
        <f t="shared" si="35"/>
        <v>1900</v>
      </c>
      <c r="M681" s="60">
        <f t="shared" si="36"/>
        <v>1</v>
      </c>
    </row>
    <row r="682" customHeight="1" spans="2:13">
      <c r="B682" s="59">
        <v>679</v>
      </c>
      <c r="C682" s="87"/>
      <c r="D682" s="87"/>
      <c r="E682" s="87"/>
      <c r="F682" s="60" t="str">
        <f>IFERROR(VLOOKUP($E682,'基础-办公用品信息'!$C:$E,2,FALSE),"-")</f>
        <v>-</v>
      </c>
      <c r="G682" s="60" t="str">
        <f>IFERROR(VLOOKUP($E682,'基础-办公用品信息'!$C:$E,3,FALSE),"-")</f>
        <v>-</v>
      </c>
      <c r="H682" s="126" t="str">
        <f>IFERROR(VLOOKUP($E682,'基础-办公用品信息'!$C:$F,4,FALSE),"-")</f>
        <v>-</v>
      </c>
      <c r="I682" s="87"/>
      <c r="J682" s="61" t="str">
        <f t="shared" si="34"/>
        <v>-</v>
      </c>
      <c r="K682" s="87"/>
      <c r="L682" s="60">
        <f t="shared" si="35"/>
        <v>1900</v>
      </c>
      <c r="M682" s="60">
        <f t="shared" si="36"/>
        <v>1</v>
      </c>
    </row>
    <row r="683" customHeight="1" spans="2:13">
      <c r="B683" s="59">
        <v>680</v>
      </c>
      <c r="C683" s="87"/>
      <c r="D683" s="87"/>
      <c r="E683" s="87"/>
      <c r="F683" s="60" t="str">
        <f>IFERROR(VLOOKUP($E683,'基础-办公用品信息'!$C:$E,2,FALSE),"-")</f>
        <v>-</v>
      </c>
      <c r="G683" s="60" t="str">
        <f>IFERROR(VLOOKUP($E683,'基础-办公用品信息'!$C:$E,3,FALSE),"-")</f>
        <v>-</v>
      </c>
      <c r="H683" s="126" t="str">
        <f>IFERROR(VLOOKUP($E683,'基础-办公用品信息'!$C:$F,4,FALSE),"-")</f>
        <v>-</v>
      </c>
      <c r="I683" s="87"/>
      <c r="J683" s="61" t="str">
        <f t="shared" si="34"/>
        <v>-</v>
      </c>
      <c r="K683" s="87"/>
      <c r="L683" s="60">
        <f t="shared" si="35"/>
        <v>1900</v>
      </c>
      <c r="M683" s="60">
        <f t="shared" si="36"/>
        <v>1</v>
      </c>
    </row>
    <row r="684" customHeight="1" spans="2:13">
      <c r="B684" s="59">
        <v>681</v>
      </c>
      <c r="C684" s="87"/>
      <c r="D684" s="87"/>
      <c r="E684" s="87"/>
      <c r="F684" s="60" t="str">
        <f>IFERROR(VLOOKUP($E684,'基础-办公用品信息'!$C:$E,2,FALSE),"-")</f>
        <v>-</v>
      </c>
      <c r="G684" s="60" t="str">
        <f>IFERROR(VLOOKUP($E684,'基础-办公用品信息'!$C:$E,3,FALSE),"-")</f>
        <v>-</v>
      </c>
      <c r="H684" s="126" t="str">
        <f>IFERROR(VLOOKUP($E684,'基础-办公用品信息'!$C:$F,4,FALSE),"-")</f>
        <v>-</v>
      </c>
      <c r="I684" s="87"/>
      <c r="J684" s="61" t="str">
        <f t="shared" si="34"/>
        <v>-</v>
      </c>
      <c r="K684" s="87"/>
      <c r="L684" s="60">
        <f t="shared" si="35"/>
        <v>1900</v>
      </c>
      <c r="M684" s="60">
        <f t="shared" si="36"/>
        <v>1</v>
      </c>
    </row>
    <row r="685" customHeight="1" spans="2:13">
      <c r="B685" s="59">
        <v>682</v>
      </c>
      <c r="C685" s="87"/>
      <c r="D685" s="87"/>
      <c r="E685" s="87"/>
      <c r="F685" s="60" t="str">
        <f>IFERROR(VLOOKUP($E685,'基础-办公用品信息'!$C:$E,2,FALSE),"-")</f>
        <v>-</v>
      </c>
      <c r="G685" s="60" t="str">
        <f>IFERROR(VLOOKUP($E685,'基础-办公用品信息'!$C:$E,3,FALSE),"-")</f>
        <v>-</v>
      </c>
      <c r="H685" s="126" t="str">
        <f>IFERROR(VLOOKUP($E685,'基础-办公用品信息'!$C:$F,4,FALSE),"-")</f>
        <v>-</v>
      </c>
      <c r="I685" s="87"/>
      <c r="J685" s="61" t="str">
        <f t="shared" si="34"/>
        <v>-</v>
      </c>
      <c r="K685" s="87"/>
      <c r="L685" s="60">
        <f t="shared" si="35"/>
        <v>1900</v>
      </c>
      <c r="M685" s="60">
        <f t="shared" si="36"/>
        <v>1</v>
      </c>
    </row>
    <row r="686" customHeight="1" spans="2:13">
      <c r="B686" s="59">
        <v>683</v>
      </c>
      <c r="C686" s="87"/>
      <c r="D686" s="87"/>
      <c r="E686" s="87"/>
      <c r="F686" s="60" t="str">
        <f>IFERROR(VLOOKUP($E686,'基础-办公用品信息'!$C:$E,2,FALSE),"-")</f>
        <v>-</v>
      </c>
      <c r="G686" s="60" t="str">
        <f>IFERROR(VLOOKUP($E686,'基础-办公用品信息'!$C:$E,3,FALSE),"-")</f>
        <v>-</v>
      </c>
      <c r="H686" s="126" t="str">
        <f>IFERROR(VLOOKUP($E686,'基础-办公用品信息'!$C:$F,4,FALSE),"-")</f>
        <v>-</v>
      </c>
      <c r="I686" s="87"/>
      <c r="J686" s="61" t="str">
        <f t="shared" si="34"/>
        <v>-</v>
      </c>
      <c r="K686" s="87"/>
      <c r="L686" s="60">
        <f t="shared" si="35"/>
        <v>1900</v>
      </c>
      <c r="M686" s="60">
        <f t="shared" si="36"/>
        <v>1</v>
      </c>
    </row>
    <row r="687" customHeight="1" spans="2:13">
      <c r="B687" s="59">
        <v>684</v>
      </c>
      <c r="C687" s="87"/>
      <c r="D687" s="87"/>
      <c r="E687" s="87"/>
      <c r="F687" s="60" t="str">
        <f>IFERROR(VLOOKUP($E687,'基础-办公用品信息'!$C:$E,2,FALSE),"-")</f>
        <v>-</v>
      </c>
      <c r="G687" s="60" t="str">
        <f>IFERROR(VLOOKUP($E687,'基础-办公用品信息'!$C:$E,3,FALSE),"-")</f>
        <v>-</v>
      </c>
      <c r="H687" s="126" t="str">
        <f>IFERROR(VLOOKUP($E687,'基础-办公用品信息'!$C:$F,4,FALSE),"-")</f>
        <v>-</v>
      </c>
      <c r="I687" s="87"/>
      <c r="J687" s="61" t="str">
        <f t="shared" si="34"/>
        <v>-</v>
      </c>
      <c r="K687" s="87"/>
      <c r="L687" s="60">
        <f t="shared" si="35"/>
        <v>1900</v>
      </c>
      <c r="M687" s="60">
        <f t="shared" si="36"/>
        <v>1</v>
      </c>
    </row>
    <row r="688" customHeight="1" spans="2:13">
      <c r="B688" s="59">
        <v>685</v>
      </c>
      <c r="C688" s="87"/>
      <c r="D688" s="87"/>
      <c r="E688" s="87"/>
      <c r="F688" s="60" t="str">
        <f>IFERROR(VLOOKUP($E688,'基础-办公用品信息'!$C:$E,2,FALSE),"-")</f>
        <v>-</v>
      </c>
      <c r="G688" s="60" t="str">
        <f>IFERROR(VLOOKUP($E688,'基础-办公用品信息'!$C:$E,3,FALSE),"-")</f>
        <v>-</v>
      </c>
      <c r="H688" s="126" t="str">
        <f>IFERROR(VLOOKUP($E688,'基础-办公用品信息'!$C:$F,4,FALSE),"-")</f>
        <v>-</v>
      </c>
      <c r="I688" s="87"/>
      <c r="J688" s="61" t="str">
        <f t="shared" si="34"/>
        <v>-</v>
      </c>
      <c r="K688" s="87"/>
      <c r="L688" s="60">
        <f t="shared" si="35"/>
        <v>1900</v>
      </c>
      <c r="M688" s="60">
        <f t="shared" si="36"/>
        <v>1</v>
      </c>
    </row>
    <row r="689" customHeight="1" spans="2:13">
      <c r="B689" s="59">
        <v>686</v>
      </c>
      <c r="C689" s="87"/>
      <c r="D689" s="87"/>
      <c r="E689" s="87"/>
      <c r="F689" s="60" t="str">
        <f>IFERROR(VLOOKUP($E689,'基础-办公用品信息'!$C:$E,2,FALSE),"-")</f>
        <v>-</v>
      </c>
      <c r="G689" s="60" t="str">
        <f>IFERROR(VLOOKUP($E689,'基础-办公用品信息'!$C:$E,3,FALSE),"-")</f>
        <v>-</v>
      </c>
      <c r="H689" s="126" t="str">
        <f>IFERROR(VLOOKUP($E689,'基础-办公用品信息'!$C:$F,4,FALSE),"-")</f>
        <v>-</v>
      </c>
      <c r="I689" s="87"/>
      <c r="J689" s="61" t="str">
        <f t="shared" si="34"/>
        <v>-</v>
      </c>
      <c r="K689" s="87"/>
      <c r="L689" s="60">
        <f t="shared" si="35"/>
        <v>1900</v>
      </c>
      <c r="M689" s="60">
        <f t="shared" si="36"/>
        <v>1</v>
      </c>
    </row>
    <row r="690" customHeight="1" spans="2:13">
      <c r="B690" s="59">
        <v>687</v>
      </c>
      <c r="C690" s="87"/>
      <c r="D690" s="87"/>
      <c r="E690" s="87"/>
      <c r="F690" s="60" t="str">
        <f>IFERROR(VLOOKUP($E690,'基础-办公用品信息'!$C:$E,2,FALSE),"-")</f>
        <v>-</v>
      </c>
      <c r="G690" s="60" t="str">
        <f>IFERROR(VLOOKUP($E690,'基础-办公用品信息'!$C:$E,3,FALSE),"-")</f>
        <v>-</v>
      </c>
      <c r="H690" s="126" t="str">
        <f>IFERROR(VLOOKUP($E690,'基础-办公用品信息'!$C:$F,4,FALSE),"-")</f>
        <v>-</v>
      </c>
      <c r="I690" s="87"/>
      <c r="J690" s="61" t="str">
        <f t="shared" si="34"/>
        <v>-</v>
      </c>
      <c r="K690" s="87"/>
      <c r="L690" s="60">
        <f t="shared" si="35"/>
        <v>1900</v>
      </c>
      <c r="M690" s="60">
        <f t="shared" si="36"/>
        <v>1</v>
      </c>
    </row>
    <row r="691" customHeight="1" spans="2:13">
      <c r="B691" s="59">
        <v>688</v>
      </c>
      <c r="C691" s="87"/>
      <c r="D691" s="87"/>
      <c r="E691" s="87"/>
      <c r="F691" s="60" t="str">
        <f>IFERROR(VLOOKUP($E691,'基础-办公用品信息'!$C:$E,2,FALSE),"-")</f>
        <v>-</v>
      </c>
      <c r="G691" s="60" t="str">
        <f>IFERROR(VLOOKUP($E691,'基础-办公用品信息'!$C:$E,3,FALSE),"-")</f>
        <v>-</v>
      </c>
      <c r="H691" s="126" t="str">
        <f>IFERROR(VLOOKUP($E691,'基础-办公用品信息'!$C:$F,4,FALSE),"-")</f>
        <v>-</v>
      </c>
      <c r="I691" s="87"/>
      <c r="J691" s="61" t="str">
        <f t="shared" si="34"/>
        <v>-</v>
      </c>
      <c r="K691" s="87"/>
      <c r="L691" s="60">
        <f t="shared" si="35"/>
        <v>1900</v>
      </c>
      <c r="M691" s="60">
        <f t="shared" si="36"/>
        <v>1</v>
      </c>
    </row>
    <row r="692" customHeight="1" spans="2:13">
      <c r="B692" s="59">
        <v>689</v>
      </c>
      <c r="C692" s="87"/>
      <c r="D692" s="87"/>
      <c r="E692" s="87"/>
      <c r="F692" s="60" t="str">
        <f>IFERROR(VLOOKUP($E692,'基础-办公用品信息'!$C:$E,2,FALSE),"-")</f>
        <v>-</v>
      </c>
      <c r="G692" s="60" t="str">
        <f>IFERROR(VLOOKUP($E692,'基础-办公用品信息'!$C:$E,3,FALSE),"-")</f>
        <v>-</v>
      </c>
      <c r="H692" s="126" t="str">
        <f>IFERROR(VLOOKUP($E692,'基础-办公用品信息'!$C:$F,4,FALSE),"-")</f>
        <v>-</v>
      </c>
      <c r="I692" s="87"/>
      <c r="J692" s="61" t="str">
        <f t="shared" si="34"/>
        <v>-</v>
      </c>
      <c r="K692" s="87"/>
      <c r="L692" s="60">
        <f t="shared" si="35"/>
        <v>1900</v>
      </c>
      <c r="M692" s="60">
        <f t="shared" si="36"/>
        <v>1</v>
      </c>
    </row>
    <row r="693" customHeight="1" spans="2:13">
      <c r="B693" s="59">
        <v>690</v>
      </c>
      <c r="C693" s="87"/>
      <c r="D693" s="87"/>
      <c r="E693" s="87"/>
      <c r="F693" s="60" t="str">
        <f>IFERROR(VLOOKUP($E693,'基础-办公用品信息'!$C:$E,2,FALSE),"-")</f>
        <v>-</v>
      </c>
      <c r="G693" s="60" t="str">
        <f>IFERROR(VLOOKUP($E693,'基础-办公用品信息'!$C:$E,3,FALSE),"-")</f>
        <v>-</v>
      </c>
      <c r="H693" s="126" t="str">
        <f>IFERROR(VLOOKUP($E693,'基础-办公用品信息'!$C:$F,4,FALSE),"-")</f>
        <v>-</v>
      </c>
      <c r="I693" s="87"/>
      <c r="J693" s="61" t="str">
        <f t="shared" si="34"/>
        <v>-</v>
      </c>
      <c r="K693" s="87"/>
      <c r="L693" s="60">
        <f t="shared" si="35"/>
        <v>1900</v>
      </c>
      <c r="M693" s="60">
        <f t="shared" si="36"/>
        <v>1</v>
      </c>
    </row>
    <row r="694" customHeight="1" spans="2:13">
      <c r="B694" s="59">
        <v>691</v>
      </c>
      <c r="C694" s="87"/>
      <c r="D694" s="87"/>
      <c r="E694" s="87"/>
      <c r="F694" s="60" t="str">
        <f>IFERROR(VLOOKUP($E694,'基础-办公用品信息'!$C:$E,2,FALSE),"-")</f>
        <v>-</v>
      </c>
      <c r="G694" s="60" t="str">
        <f>IFERROR(VLOOKUP($E694,'基础-办公用品信息'!$C:$E,3,FALSE),"-")</f>
        <v>-</v>
      </c>
      <c r="H694" s="126" t="str">
        <f>IFERROR(VLOOKUP($E694,'基础-办公用品信息'!$C:$F,4,FALSE),"-")</f>
        <v>-</v>
      </c>
      <c r="I694" s="87"/>
      <c r="J694" s="61" t="str">
        <f t="shared" si="34"/>
        <v>-</v>
      </c>
      <c r="K694" s="87"/>
      <c r="L694" s="60">
        <f t="shared" si="35"/>
        <v>1900</v>
      </c>
      <c r="M694" s="60">
        <f t="shared" si="36"/>
        <v>1</v>
      </c>
    </row>
    <row r="695" customHeight="1" spans="2:13">
      <c r="B695" s="59">
        <v>692</v>
      </c>
      <c r="C695" s="87"/>
      <c r="D695" s="87"/>
      <c r="E695" s="87"/>
      <c r="F695" s="60" t="str">
        <f>IFERROR(VLOOKUP($E695,'基础-办公用品信息'!$C:$E,2,FALSE),"-")</f>
        <v>-</v>
      </c>
      <c r="G695" s="60" t="str">
        <f>IFERROR(VLOOKUP($E695,'基础-办公用品信息'!$C:$E,3,FALSE),"-")</f>
        <v>-</v>
      </c>
      <c r="H695" s="126" t="str">
        <f>IFERROR(VLOOKUP($E695,'基础-办公用品信息'!$C:$F,4,FALSE),"-")</f>
        <v>-</v>
      </c>
      <c r="I695" s="87"/>
      <c r="J695" s="61" t="str">
        <f t="shared" ref="J695:J758" si="37">IF(AND(H695&lt;&gt;"",I695&lt;&gt;""),H695*I695,"-")</f>
        <v>-</v>
      </c>
      <c r="K695" s="87"/>
      <c r="L695" s="60">
        <f t="shared" ref="L695:L758" si="38">YEAR(C695)</f>
        <v>1900</v>
      </c>
      <c r="M695" s="60">
        <f t="shared" ref="M695:M758" si="39">MONTH(C695)</f>
        <v>1</v>
      </c>
    </row>
    <row r="696" customHeight="1" spans="2:13">
      <c r="B696" s="59">
        <v>693</v>
      </c>
      <c r="C696" s="87"/>
      <c r="D696" s="87"/>
      <c r="E696" s="87"/>
      <c r="F696" s="60" t="str">
        <f>IFERROR(VLOOKUP($E696,'基础-办公用品信息'!$C:$E,2,FALSE),"-")</f>
        <v>-</v>
      </c>
      <c r="G696" s="60" t="str">
        <f>IFERROR(VLOOKUP($E696,'基础-办公用品信息'!$C:$E,3,FALSE),"-")</f>
        <v>-</v>
      </c>
      <c r="H696" s="126" t="str">
        <f>IFERROR(VLOOKUP($E696,'基础-办公用品信息'!$C:$F,4,FALSE),"-")</f>
        <v>-</v>
      </c>
      <c r="I696" s="87"/>
      <c r="J696" s="61" t="str">
        <f t="shared" si="37"/>
        <v>-</v>
      </c>
      <c r="K696" s="87"/>
      <c r="L696" s="60">
        <f t="shared" si="38"/>
        <v>1900</v>
      </c>
      <c r="M696" s="60">
        <f t="shared" si="39"/>
        <v>1</v>
      </c>
    </row>
    <row r="697" customHeight="1" spans="2:13">
      <c r="B697" s="59">
        <v>694</v>
      </c>
      <c r="C697" s="87"/>
      <c r="D697" s="87"/>
      <c r="E697" s="87"/>
      <c r="F697" s="60" t="str">
        <f>IFERROR(VLOOKUP($E697,'基础-办公用品信息'!$C:$E,2,FALSE),"-")</f>
        <v>-</v>
      </c>
      <c r="G697" s="60" t="str">
        <f>IFERROR(VLOOKUP($E697,'基础-办公用品信息'!$C:$E,3,FALSE),"-")</f>
        <v>-</v>
      </c>
      <c r="H697" s="126" t="str">
        <f>IFERROR(VLOOKUP($E697,'基础-办公用品信息'!$C:$F,4,FALSE),"-")</f>
        <v>-</v>
      </c>
      <c r="I697" s="87"/>
      <c r="J697" s="61" t="str">
        <f t="shared" si="37"/>
        <v>-</v>
      </c>
      <c r="K697" s="87"/>
      <c r="L697" s="60">
        <f t="shared" si="38"/>
        <v>1900</v>
      </c>
      <c r="M697" s="60">
        <f t="shared" si="39"/>
        <v>1</v>
      </c>
    </row>
    <row r="698" customHeight="1" spans="2:13">
      <c r="B698" s="59">
        <v>695</v>
      </c>
      <c r="C698" s="87"/>
      <c r="D698" s="87"/>
      <c r="E698" s="87"/>
      <c r="F698" s="60" t="str">
        <f>IFERROR(VLOOKUP($E698,'基础-办公用品信息'!$C:$E,2,FALSE),"-")</f>
        <v>-</v>
      </c>
      <c r="G698" s="60" t="str">
        <f>IFERROR(VLOOKUP($E698,'基础-办公用品信息'!$C:$E,3,FALSE),"-")</f>
        <v>-</v>
      </c>
      <c r="H698" s="126" t="str">
        <f>IFERROR(VLOOKUP($E698,'基础-办公用品信息'!$C:$F,4,FALSE),"-")</f>
        <v>-</v>
      </c>
      <c r="I698" s="87"/>
      <c r="J698" s="61" t="str">
        <f t="shared" si="37"/>
        <v>-</v>
      </c>
      <c r="K698" s="87"/>
      <c r="L698" s="60">
        <f t="shared" si="38"/>
        <v>1900</v>
      </c>
      <c r="M698" s="60">
        <f t="shared" si="39"/>
        <v>1</v>
      </c>
    </row>
    <row r="699" customHeight="1" spans="2:13">
      <c r="B699" s="59">
        <v>696</v>
      </c>
      <c r="C699" s="87"/>
      <c r="D699" s="87"/>
      <c r="E699" s="87"/>
      <c r="F699" s="60" t="str">
        <f>IFERROR(VLOOKUP($E699,'基础-办公用品信息'!$C:$E,2,FALSE),"-")</f>
        <v>-</v>
      </c>
      <c r="G699" s="60" t="str">
        <f>IFERROR(VLOOKUP($E699,'基础-办公用品信息'!$C:$E,3,FALSE),"-")</f>
        <v>-</v>
      </c>
      <c r="H699" s="126" t="str">
        <f>IFERROR(VLOOKUP($E699,'基础-办公用品信息'!$C:$F,4,FALSE),"-")</f>
        <v>-</v>
      </c>
      <c r="I699" s="87"/>
      <c r="J699" s="61" t="str">
        <f t="shared" si="37"/>
        <v>-</v>
      </c>
      <c r="K699" s="87"/>
      <c r="L699" s="60">
        <f t="shared" si="38"/>
        <v>1900</v>
      </c>
      <c r="M699" s="60">
        <f t="shared" si="39"/>
        <v>1</v>
      </c>
    </row>
    <row r="700" customHeight="1" spans="2:13">
      <c r="B700" s="59">
        <v>697</v>
      </c>
      <c r="C700" s="87"/>
      <c r="D700" s="87"/>
      <c r="E700" s="87"/>
      <c r="F700" s="60" t="str">
        <f>IFERROR(VLOOKUP($E700,'基础-办公用品信息'!$C:$E,2,FALSE),"-")</f>
        <v>-</v>
      </c>
      <c r="G700" s="60" t="str">
        <f>IFERROR(VLOOKUP($E700,'基础-办公用品信息'!$C:$E,3,FALSE),"-")</f>
        <v>-</v>
      </c>
      <c r="H700" s="126" t="str">
        <f>IFERROR(VLOOKUP($E700,'基础-办公用品信息'!$C:$F,4,FALSE),"-")</f>
        <v>-</v>
      </c>
      <c r="I700" s="87"/>
      <c r="J700" s="61" t="str">
        <f t="shared" si="37"/>
        <v>-</v>
      </c>
      <c r="K700" s="87"/>
      <c r="L700" s="60">
        <f t="shared" si="38"/>
        <v>1900</v>
      </c>
      <c r="M700" s="60">
        <f t="shared" si="39"/>
        <v>1</v>
      </c>
    </row>
    <row r="701" customHeight="1" spans="2:13">
      <c r="B701" s="59">
        <v>698</v>
      </c>
      <c r="C701" s="87"/>
      <c r="D701" s="87"/>
      <c r="E701" s="87"/>
      <c r="F701" s="60" t="str">
        <f>IFERROR(VLOOKUP($E701,'基础-办公用品信息'!$C:$E,2,FALSE),"-")</f>
        <v>-</v>
      </c>
      <c r="G701" s="60" t="str">
        <f>IFERROR(VLOOKUP($E701,'基础-办公用品信息'!$C:$E,3,FALSE),"-")</f>
        <v>-</v>
      </c>
      <c r="H701" s="126" t="str">
        <f>IFERROR(VLOOKUP($E701,'基础-办公用品信息'!$C:$F,4,FALSE),"-")</f>
        <v>-</v>
      </c>
      <c r="I701" s="87"/>
      <c r="J701" s="61" t="str">
        <f t="shared" si="37"/>
        <v>-</v>
      </c>
      <c r="K701" s="87"/>
      <c r="L701" s="60">
        <f t="shared" si="38"/>
        <v>1900</v>
      </c>
      <c r="M701" s="60">
        <f t="shared" si="39"/>
        <v>1</v>
      </c>
    </row>
    <row r="702" customHeight="1" spans="2:13">
      <c r="B702" s="59">
        <v>699</v>
      </c>
      <c r="C702" s="87"/>
      <c r="D702" s="87"/>
      <c r="E702" s="87"/>
      <c r="F702" s="60" t="str">
        <f>IFERROR(VLOOKUP($E702,'基础-办公用品信息'!$C:$E,2,FALSE),"-")</f>
        <v>-</v>
      </c>
      <c r="G702" s="60" t="str">
        <f>IFERROR(VLOOKUP($E702,'基础-办公用品信息'!$C:$E,3,FALSE),"-")</f>
        <v>-</v>
      </c>
      <c r="H702" s="126" t="str">
        <f>IFERROR(VLOOKUP($E702,'基础-办公用品信息'!$C:$F,4,FALSE),"-")</f>
        <v>-</v>
      </c>
      <c r="I702" s="87"/>
      <c r="J702" s="61" t="str">
        <f t="shared" si="37"/>
        <v>-</v>
      </c>
      <c r="K702" s="87"/>
      <c r="L702" s="60">
        <f t="shared" si="38"/>
        <v>1900</v>
      </c>
      <c r="M702" s="60">
        <f t="shared" si="39"/>
        <v>1</v>
      </c>
    </row>
    <row r="703" customHeight="1" spans="2:13">
      <c r="B703" s="59">
        <v>700</v>
      </c>
      <c r="C703" s="87"/>
      <c r="D703" s="87"/>
      <c r="E703" s="87"/>
      <c r="F703" s="60" t="str">
        <f>IFERROR(VLOOKUP($E703,'基础-办公用品信息'!$C:$E,2,FALSE),"-")</f>
        <v>-</v>
      </c>
      <c r="G703" s="60" t="str">
        <f>IFERROR(VLOOKUP($E703,'基础-办公用品信息'!$C:$E,3,FALSE),"-")</f>
        <v>-</v>
      </c>
      <c r="H703" s="126" t="str">
        <f>IFERROR(VLOOKUP($E703,'基础-办公用品信息'!$C:$F,4,FALSE),"-")</f>
        <v>-</v>
      </c>
      <c r="I703" s="87"/>
      <c r="J703" s="61" t="str">
        <f t="shared" si="37"/>
        <v>-</v>
      </c>
      <c r="K703" s="87"/>
      <c r="L703" s="60">
        <f t="shared" si="38"/>
        <v>1900</v>
      </c>
      <c r="M703" s="60">
        <f t="shared" si="39"/>
        <v>1</v>
      </c>
    </row>
    <row r="704" customHeight="1" spans="2:13">
      <c r="B704" s="59">
        <v>701</v>
      </c>
      <c r="C704" s="87"/>
      <c r="D704" s="87"/>
      <c r="E704" s="87"/>
      <c r="F704" s="60" t="str">
        <f>IFERROR(VLOOKUP($E704,'基础-办公用品信息'!$C:$E,2,FALSE),"-")</f>
        <v>-</v>
      </c>
      <c r="G704" s="60" t="str">
        <f>IFERROR(VLOOKUP($E704,'基础-办公用品信息'!$C:$E,3,FALSE),"-")</f>
        <v>-</v>
      </c>
      <c r="H704" s="126" t="str">
        <f>IFERROR(VLOOKUP($E704,'基础-办公用品信息'!$C:$F,4,FALSE),"-")</f>
        <v>-</v>
      </c>
      <c r="I704" s="87"/>
      <c r="J704" s="61" t="str">
        <f t="shared" si="37"/>
        <v>-</v>
      </c>
      <c r="K704" s="87"/>
      <c r="L704" s="60">
        <f t="shared" si="38"/>
        <v>1900</v>
      </c>
      <c r="M704" s="60">
        <f t="shared" si="39"/>
        <v>1</v>
      </c>
    </row>
    <row r="705" customHeight="1" spans="2:13">
      <c r="B705" s="59">
        <v>702</v>
      </c>
      <c r="C705" s="87"/>
      <c r="D705" s="87"/>
      <c r="E705" s="87"/>
      <c r="F705" s="60" t="str">
        <f>IFERROR(VLOOKUP($E705,'基础-办公用品信息'!$C:$E,2,FALSE),"-")</f>
        <v>-</v>
      </c>
      <c r="G705" s="60" t="str">
        <f>IFERROR(VLOOKUP($E705,'基础-办公用品信息'!$C:$E,3,FALSE),"-")</f>
        <v>-</v>
      </c>
      <c r="H705" s="126" t="str">
        <f>IFERROR(VLOOKUP($E705,'基础-办公用品信息'!$C:$F,4,FALSE),"-")</f>
        <v>-</v>
      </c>
      <c r="I705" s="87"/>
      <c r="J705" s="61" t="str">
        <f t="shared" si="37"/>
        <v>-</v>
      </c>
      <c r="K705" s="87"/>
      <c r="L705" s="60">
        <f t="shared" si="38"/>
        <v>1900</v>
      </c>
      <c r="M705" s="60">
        <f t="shared" si="39"/>
        <v>1</v>
      </c>
    </row>
    <row r="706" customHeight="1" spans="2:13">
      <c r="B706" s="59">
        <v>703</v>
      </c>
      <c r="C706" s="87"/>
      <c r="D706" s="87"/>
      <c r="E706" s="87"/>
      <c r="F706" s="60" t="str">
        <f>IFERROR(VLOOKUP($E706,'基础-办公用品信息'!$C:$E,2,FALSE),"-")</f>
        <v>-</v>
      </c>
      <c r="G706" s="60" t="str">
        <f>IFERROR(VLOOKUP($E706,'基础-办公用品信息'!$C:$E,3,FALSE),"-")</f>
        <v>-</v>
      </c>
      <c r="H706" s="126" t="str">
        <f>IFERROR(VLOOKUP($E706,'基础-办公用品信息'!$C:$F,4,FALSE),"-")</f>
        <v>-</v>
      </c>
      <c r="I706" s="87"/>
      <c r="J706" s="61" t="str">
        <f t="shared" si="37"/>
        <v>-</v>
      </c>
      <c r="K706" s="87"/>
      <c r="L706" s="60">
        <f t="shared" si="38"/>
        <v>1900</v>
      </c>
      <c r="M706" s="60">
        <f t="shared" si="39"/>
        <v>1</v>
      </c>
    </row>
    <row r="707" customHeight="1" spans="2:13">
      <c r="B707" s="59">
        <v>704</v>
      </c>
      <c r="C707" s="87"/>
      <c r="D707" s="87"/>
      <c r="E707" s="87"/>
      <c r="F707" s="60" t="str">
        <f>IFERROR(VLOOKUP($E707,'基础-办公用品信息'!$C:$E,2,FALSE),"-")</f>
        <v>-</v>
      </c>
      <c r="G707" s="60" t="str">
        <f>IFERROR(VLOOKUP($E707,'基础-办公用品信息'!$C:$E,3,FALSE),"-")</f>
        <v>-</v>
      </c>
      <c r="H707" s="126" t="str">
        <f>IFERROR(VLOOKUP($E707,'基础-办公用品信息'!$C:$F,4,FALSE),"-")</f>
        <v>-</v>
      </c>
      <c r="I707" s="87"/>
      <c r="J707" s="61" t="str">
        <f t="shared" si="37"/>
        <v>-</v>
      </c>
      <c r="K707" s="87"/>
      <c r="L707" s="60">
        <f t="shared" si="38"/>
        <v>1900</v>
      </c>
      <c r="M707" s="60">
        <f t="shared" si="39"/>
        <v>1</v>
      </c>
    </row>
    <row r="708" customHeight="1" spans="2:13">
      <c r="B708" s="59">
        <v>705</v>
      </c>
      <c r="C708" s="87"/>
      <c r="D708" s="87"/>
      <c r="E708" s="87"/>
      <c r="F708" s="60" t="str">
        <f>IFERROR(VLOOKUP($E708,'基础-办公用品信息'!$C:$E,2,FALSE),"-")</f>
        <v>-</v>
      </c>
      <c r="G708" s="60" t="str">
        <f>IFERROR(VLOOKUP($E708,'基础-办公用品信息'!$C:$E,3,FALSE),"-")</f>
        <v>-</v>
      </c>
      <c r="H708" s="126" t="str">
        <f>IFERROR(VLOOKUP($E708,'基础-办公用品信息'!$C:$F,4,FALSE),"-")</f>
        <v>-</v>
      </c>
      <c r="I708" s="87"/>
      <c r="J708" s="61" t="str">
        <f t="shared" si="37"/>
        <v>-</v>
      </c>
      <c r="K708" s="87"/>
      <c r="L708" s="60">
        <f t="shared" si="38"/>
        <v>1900</v>
      </c>
      <c r="M708" s="60">
        <f t="shared" si="39"/>
        <v>1</v>
      </c>
    </row>
    <row r="709" customHeight="1" spans="2:13">
      <c r="B709" s="59">
        <v>706</v>
      </c>
      <c r="C709" s="87"/>
      <c r="D709" s="87"/>
      <c r="E709" s="87"/>
      <c r="F709" s="60" t="str">
        <f>IFERROR(VLOOKUP($E709,'基础-办公用品信息'!$C:$E,2,FALSE),"-")</f>
        <v>-</v>
      </c>
      <c r="G709" s="60" t="str">
        <f>IFERROR(VLOOKUP($E709,'基础-办公用品信息'!$C:$E,3,FALSE),"-")</f>
        <v>-</v>
      </c>
      <c r="H709" s="126" t="str">
        <f>IFERROR(VLOOKUP($E709,'基础-办公用品信息'!$C:$F,4,FALSE),"-")</f>
        <v>-</v>
      </c>
      <c r="I709" s="87"/>
      <c r="J709" s="61" t="str">
        <f t="shared" si="37"/>
        <v>-</v>
      </c>
      <c r="K709" s="87"/>
      <c r="L709" s="60">
        <f t="shared" si="38"/>
        <v>1900</v>
      </c>
      <c r="M709" s="60">
        <f t="shared" si="39"/>
        <v>1</v>
      </c>
    </row>
    <row r="710" customHeight="1" spans="2:13">
      <c r="B710" s="59">
        <v>707</v>
      </c>
      <c r="C710" s="87"/>
      <c r="D710" s="87"/>
      <c r="E710" s="87"/>
      <c r="F710" s="60" t="str">
        <f>IFERROR(VLOOKUP($E710,'基础-办公用品信息'!$C:$E,2,FALSE),"-")</f>
        <v>-</v>
      </c>
      <c r="G710" s="60" t="str">
        <f>IFERROR(VLOOKUP($E710,'基础-办公用品信息'!$C:$E,3,FALSE),"-")</f>
        <v>-</v>
      </c>
      <c r="H710" s="126" t="str">
        <f>IFERROR(VLOOKUP($E710,'基础-办公用品信息'!$C:$F,4,FALSE),"-")</f>
        <v>-</v>
      </c>
      <c r="I710" s="87"/>
      <c r="J710" s="61" t="str">
        <f t="shared" si="37"/>
        <v>-</v>
      </c>
      <c r="K710" s="87"/>
      <c r="L710" s="60">
        <f t="shared" si="38"/>
        <v>1900</v>
      </c>
      <c r="M710" s="60">
        <f t="shared" si="39"/>
        <v>1</v>
      </c>
    </row>
    <row r="711" customHeight="1" spans="2:13">
      <c r="B711" s="59">
        <v>708</v>
      </c>
      <c r="C711" s="87"/>
      <c r="D711" s="87"/>
      <c r="E711" s="87"/>
      <c r="F711" s="60" t="str">
        <f>IFERROR(VLOOKUP($E711,'基础-办公用品信息'!$C:$E,2,FALSE),"-")</f>
        <v>-</v>
      </c>
      <c r="G711" s="60" t="str">
        <f>IFERROR(VLOOKUP($E711,'基础-办公用品信息'!$C:$E,3,FALSE),"-")</f>
        <v>-</v>
      </c>
      <c r="H711" s="126" t="str">
        <f>IFERROR(VLOOKUP($E711,'基础-办公用品信息'!$C:$F,4,FALSE),"-")</f>
        <v>-</v>
      </c>
      <c r="I711" s="87"/>
      <c r="J711" s="61" t="str">
        <f t="shared" si="37"/>
        <v>-</v>
      </c>
      <c r="K711" s="87"/>
      <c r="L711" s="60">
        <f t="shared" si="38"/>
        <v>1900</v>
      </c>
      <c r="M711" s="60">
        <f t="shared" si="39"/>
        <v>1</v>
      </c>
    </row>
    <row r="712" customHeight="1" spans="2:13">
      <c r="B712" s="59">
        <v>709</v>
      </c>
      <c r="C712" s="87"/>
      <c r="D712" s="87"/>
      <c r="E712" s="87"/>
      <c r="F712" s="60" t="str">
        <f>IFERROR(VLOOKUP($E712,'基础-办公用品信息'!$C:$E,2,FALSE),"-")</f>
        <v>-</v>
      </c>
      <c r="G712" s="60" t="str">
        <f>IFERROR(VLOOKUP($E712,'基础-办公用品信息'!$C:$E,3,FALSE),"-")</f>
        <v>-</v>
      </c>
      <c r="H712" s="126" t="str">
        <f>IFERROR(VLOOKUP($E712,'基础-办公用品信息'!$C:$F,4,FALSE),"-")</f>
        <v>-</v>
      </c>
      <c r="I712" s="87"/>
      <c r="J712" s="61" t="str">
        <f t="shared" si="37"/>
        <v>-</v>
      </c>
      <c r="K712" s="87"/>
      <c r="L712" s="60">
        <f t="shared" si="38"/>
        <v>1900</v>
      </c>
      <c r="M712" s="60">
        <f t="shared" si="39"/>
        <v>1</v>
      </c>
    </row>
    <row r="713" customHeight="1" spans="2:13">
      <c r="B713" s="59">
        <v>710</v>
      </c>
      <c r="C713" s="87"/>
      <c r="D713" s="87"/>
      <c r="E713" s="87"/>
      <c r="F713" s="60" t="str">
        <f>IFERROR(VLOOKUP($E713,'基础-办公用品信息'!$C:$E,2,FALSE),"-")</f>
        <v>-</v>
      </c>
      <c r="G713" s="60" t="str">
        <f>IFERROR(VLOOKUP($E713,'基础-办公用品信息'!$C:$E,3,FALSE),"-")</f>
        <v>-</v>
      </c>
      <c r="H713" s="126" t="str">
        <f>IFERROR(VLOOKUP($E713,'基础-办公用品信息'!$C:$F,4,FALSE),"-")</f>
        <v>-</v>
      </c>
      <c r="I713" s="87"/>
      <c r="J713" s="61" t="str">
        <f t="shared" si="37"/>
        <v>-</v>
      </c>
      <c r="K713" s="87"/>
      <c r="L713" s="60">
        <f t="shared" si="38"/>
        <v>1900</v>
      </c>
      <c r="M713" s="60">
        <f t="shared" si="39"/>
        <v>1</v>
      </c>
    </row>
    <row r="714" customHeight="1" spans="2:13">
      <c r="B714" s="59">
        <v>711</v>
      </c>
      <c r="C714" s="87"/>
      <c r="D714" s="87"/>
      <c r="E714" s="87"/>
      <c r="F714" s="60" t="str">
        <f>IFERROR(VLOOKUP($E714,'基础-办公用品信息'!$C:$E,2,FALSE),"-")</f>
        <v>-</v>
      </c>
      <c r="G714" s="60" t="str">
        <f>IFERROR(VLOOKUP($E714,'基础-办公用品信息'!$C:$E,3,FALSE),"-")</f>
        <v>-</v>
      </c>
      <c r="H714" s="126" t="str">
        <f>IFERROR(VLOOKUP($E714,'基础-办公用品信息'!$C:$F,4,FALSE),"-")</f>
        <v>-</v>
      </c>
      <c r="I714" s="87"/>
      <c r="J714" s="61" t="str">
        <f t="shared" si="37"/>
        <v>-</v>
      </c>
      <c r="K714" s="87"/>
      <c r="L714" s="60">
        <f t="shared" si="38"/>
        <v>1900</v>
      </c>
      <c r="M714" s="60">
        <f t="shared" si="39"/>
        <v>1</v>
      </c>
    </row>
    <row r="715" customHeight="1" spans="2:13">
      <c r="B715" s="59">
        <v>712</v>
      </c>
      <c r="C715" s="87"/>
      <c r="D715" s="87"/>
      <c r="E715" s="87"/>
      <c r="F715" s="60" t="str">
        <f>IFERROR(VLOOKUP($E715,'基础-办公用品信息'!$C:$E,2,FALSE),"-")</f>
        <v>-</v>
      </c>
      <c r="G715" s="60" t="str">
        <f>IFERROR(VLOOKUP($E715,'基础-办公用品信息'!$C:$E,3,FALSE),"-")</f>
        <v>-</v>
      </c>
      <c r="H715" s="126" t="str">
        <f>IFERROR(VLOOKUP($E715,'基础-办公用品信息'!$C:$F,4,FALSE),"-")</f>
        <v>-</v>
      </c>
      <c r="I715" s="87"/>
      <c r="J715" s="61" t="str">
        <f t="shared" si="37"/>
        <v>-</v>
      </c>
      <c r="K715" s="87"/>
      <c r="L715" s="60">
        <f t="shared" si="38"/>
        <v>1900</v>
      </c>
      <c r="M715" s="60">
        <f t="shared" si="39"/>
        <v>1</v>
      </c>
    </row>
    <row r="716" customHeight="1" spans="2:13">
      <c r="B716" s="59">
        <v>713</v>
      </c>
      <c r="C716" s="87"/>
      <c r="D716" s="87"/>
      <c r="E716" s="87"/>
      <c r="F716" s="60" t="str">
        <f>IFERROR(VLOOKUP($E716,'基础-办公用品信息'!$C:$E,2,FALSE),"-")</f>
        <v>-</v>
      </c>
      <c r="G716" s="60" t="str">
        <f>IFERROR(VLOOKUP($E716,'基础-办公用品信息'!$C:$E,3,FALSE),"-")</f>
        <v>-</v>
      </c>
      <c r="H716" s="126" t="str">
        <f>IFERROR(VLOOKUP($E716,'基础-办公用品信息'!$C:$F,4,FALSE),"-")</f>
        <v>-</v>
      </c>
      <c r="I716" s="87"/>
      <c r="J716" s="61" t="str">
        <f t="shared" si="37"/>
        <v>-</v>
      </c>
      <c r="K716" s="87"/>
      <c r="L716" s="60">
        <f t="shared" si="38"/>
        <v>1900</v>
      </c>
      <c r="M716" s="60">
        <f t="shared" si="39"/>
        <v>1</v>
      </c>
    </row>
    <row r="717" customHeight="1" spans="2:13">
      <c r="B717" s="59">
        <v>714</v>
      </c>
      <c r="C717" s="87"/>
      <c r="D717" s="87"/>
      <c r="E717" s="87"/>
      <c r="F717" s="60" t="str">
        <f>IFERROR(VLOOKUP($E717,'基础-办公用品信息'!$C:$E,2,FALSE),"-")</f>
        <v>-</v>
      </c>
      <c r="G717" s="60" t="str">
        <f>IFERROR(VLOOKUP($E717,'基础-办公用品信息'!$C:$E,3,FALSE),"-")</f>
        <v>-</v>
      </c>
      <c r="H717" s="126" t="str">
        <f>IFERROR(VLOOKUP($E717,'基础-办公用品信息'!$C:$F,4,FALSE),"-")</f>
        <v>-</v>
      </c>
      <c r="I717" s="87"/>
      <c r="J717" s="61" t="str">
        <f t="shared" si="37"/>
        <v>-</v>
      </c>
      <c r="K717" s="87"/>
      <c r="L717" s="60">
        <f t="shared" si="38"/>
        <v>1900</v>
      </c>
      <c r="M717" s="60">
        <f t="shared" si="39"/>
        <v>1</v>
      </c>
    </row>
    <row r="718" customHeight="1" spans="2:13">
      <c r="B718" s="59">
        <v>715</v>
      </c>
      <c r="C718" s="87"/>
      <c r="D718" s="87"/>
      <c r="E718" s="87"/>
      <c r="F718" s="60" t="str">
        <f>IFERROR(VLOOKUP($E718,'基础-办公用品信息'!$C:$E,2,FALSE),"-")</f>
        <v>-</v>
      </c>
      <c r="G718" s="60" t="str">
        <f>IFERROR(VLOOKUP($E718,'基础-办公用品信息'!$C:$E,3,FALSE),"-")</f>
        <v>-</v>
      </c>
      <c r="H718" s="126" t="str">
        <f>IFERROR(VLOOKUP($E718,'基础-办公用品信息'!$C:$F,4,FALSE),"-")</f>
        <v>-</v>
      </c>
      <c r="I718" s="87"/>
      <c r="J718" s="61" t="str">
        <f t="shared" si="37"/>
        <v>-</v>
      </c>
      <c r="K718" s="87"/>
      <c r="L718" s="60">
        <f t="shared" si="38"/>
        <v>1900</v>
      </c>
      <c r="M718" s="60">
        <f t="shared" si="39"/>
        <v>1</v>
      </c>
    </row>
    <row r="719" customHeight="1" spans="2:13">
      <c r="B719" s="59">
        <v>716</v>
      </c>
      <c r="C719" s="87"/>
      <c r="D719" s="87"/>
      <c r="E719" s="87"/>
      <c r="F719" s="60" t="str">
        <f>IFERROR(VLOOKUP($E719,'基础-办公用品信息'!$C:$E,2,FALSE),"-")</f>
        <v>-</v>
      </c>
      <c r="G719" s="60" t="str">
        <f>IFERROR(VLOOKUP($E719,'基础-办公用品信息'!$C:$E,3,FALSE),"-")</f>
        <v>-</v>
      </c>
      <c r="H719" s="126" t="str">
        <f>IFERROR(VLOOKUP($E719,'基础-办公用品信息'!$C:$F,4,FALSE),"-")</f>
        <v>-</v>
      </c>
      <c r="I719" s="87"/>
      <c r="J719" s="61" t="str">
        <f t="shared" si="37"/>
        <v>-</v>
      </c>
      <c r="K719" s="87"/>
      <c r="L719" s="60">
        <f t="shared" si="38"/>
        <v>1900</v>
      </c>
      <c r="M719" s="60">
        <f t="shared" si="39"/>
        <v>1</v>
      </c>
    </row>
    <row r="720" customHeight="1" spans="2:13">
      <c r="B720" s="59">
        <v>717</v>
      </c>
      <c r="C720" s="87"/>
      <c r="D720" s="87"/>
      <c r="E720" s="87"/>
      <c r="F720" s="60" t="str">
        <f>IFERROR(VLOOKUP($E720,'基础-办公用品信息'!$C:$E,2,FALSE),"-")</f>
        <v>-</v>
      </c>
      <c r="G720" s="60" t="str">
        <f>IFERROR(VLOOKUP($E720,'基础-办公用品信息'!$C:$E,3,FALSE),"-")</f>
        <v>-</v>
      </c>
      <c r="H720" s="126" t="str">
        <f>IFERROR(VLOOKUP($E720,'基础-办公用品信息'!$C:$F,4,FALSE),"-")</f>
        <v>-</v>
      </c>
      <c r="I720" s="87"/>
      <c r="J720" s="61" t="str">
        <f t="shared" si="37"/>
        <v>-</v>
      </c>
      <c r="K720" s="87"/>
      <c r="L720" s="60">
        <f t="shared" si="38"/>
        <v>1900</v>
      </c>
      <c r="M720" s="60">
        <f t="shared" si="39"/>
        <v>1</v>
      </c>
    </row>
    <row r="721" customHeight="1" spans="2:13">
      <c r="B721" s="59">
        <v>718</v>
      </c>
      <c r="C721" s="87"/>
      <c r="D721" s="87"/>
      <c r="E721" s="87"/>
      <c r="F721" s="60" t="str">
        <f>IFERROR(VLOOKUP($E721,'基础-办公用品信息'!$C:$E,2,FALSE),"-")</f>
        <v>-</v>
      </c>
      <c r="G721" s="60" t="str">
        <f>IFERROR(VLOOKUP($E721,'基础-办公用品信息'!$C:$E,3,FALSE),"-")</f>
        <v>-</v>
      </c>
      <c r="H721" s="126" t="str">
        <f>IFERROR(VLOOKUP($E721,'基础-办公用品信息'!$C:$F,4,FALSE),"-")</f>
        <v>-</v>
      </c>
      <c r="I721" s="87"/>
      <c r="J721" s="61" t="str">
        <f t="shared" si="37"/>
        <v>-</v>
      </c>
      <c r="K721" s="87"/>
      <c r="L721" s="60">
        <f t="shared" si="38"/>
        <v>1900</v>
      </c>
      <c r="M721" s="60">
        <f t="shared" si="39"/>
        <v>1</v>
      </c>
    </row>
    <row r="722" customHeight="1" spans="2:13">
      <c r="B722" s="59">
        <v>719</v>
      </c>
      <c r="C722" s="87"/>
      <c r="D722" s="87"/>
      <c r="E722" s="87"/>
      <c r="F722" s="60" t="str">
        <f>IFERROR(VLOOKUP($E722,'基础-办公用品信息'!$C:$E,2,FALSE),"-")</f>
        <v>-</v>
      </c>
      <c r="G722" s="60" t="str">
        <f>IFERROR(VLOOKUP($E722,'基础-办公用品信息'!$C:$E,3,FALSE),"-")</f>
        <v>-</v>
      </c>
      <c r="H722" s="126" t="str">
        <f>IFERROR(VLOOKUP($E722,'基础-办公用品信息'!$C:$F,4,FALSE),"-")</f>
        <v>-</v>
      </c>
      <c r="I722" s="87"/>
      <c r="J722" s="61" t="str">
        <f t="shared" si="37"/>
        <v>-</v>
      </c>
      <c r="K722" s="87"/>
      <c r="L722" s="60">
        <f t="shared" si="38"/>
        <v>1900</v>
      </c>
      <c r="M722" s="60">
        <f t="shared" si="39"/>
        <v>1</v>
      </c>
    </row>
    <row r="723" customHeight="1" spans="2:13">
      <c r="B723" s="59">
        <v>720</v>
      </c>
      <c r="C723" s="87"/>
      <c r="D723" s="87"/>
      <c r="E723" s="87"/>
      <c r="F723" s="60" t="str">
        <f>IFERROR(VLOOKUP($E723,'基础-办公用品信息'!$C:$E,2,FALSE),"-")</f>
        <v>-</v>
      </c>
      <c r="G723" s="60" t="str">
        <f>IFERROR(VLOOKUP($E723,'基础-办公用品信息'!$C:$E,3,FALSE),"-")</f>
        <v>-</v>
      </c>
      <c r="H723" s="126" t="str">
        <f>IFERROR(VLOOKUP($E723,'基础-办公用品信息'!$C:$F,4,FALSE),"-")</f>
        <v>-</v>
      </c>
      <c r="I723" s="87"/>
      <c r="J723" s="61" t="str">
        <f t="shared" si="37"/>
        <v>-</v>
      </c>
      <c r="K723" s="87"/>
      <c r="L723" s="60">
        <f t="shared" si="38"/>
        <v>1900</v>
      </c>
      <c r="M723" s="60">
        <f t="shared" si="39"/>
        <v>1</v>
      </c>
    </row>
    <row r="724" customHeight="1" spans="2:13">
      <c r="B724" s="59">
        <v>721</v>
      </c>
      <c r="C724" s="87"/>
      <c r="D724" s="87"/>
      <c r="E724" s="87"/>
      <c r="F724" s="60" t="str">
        <f>IFERROR(VLOOKUP($E724,'基础-办公用品信息'!$C:$E,2,FALSE),"-")</f>
        <v>-</v>
      </c>
      <c r="G724" s="60" t="str">
        <f>IFERROR(VLOOKUP($E724,'基础-办公用品信息'!$C:$E,3,FALSE),"-")</f>
        <v>-</v>
      </c>
      <c r="H724" s="126" t="str">
        <f>IFERROR(VLOOKUP($E724,'基础-办公用品信息'!$C:$F,4,FALSE),"-")</f>
        <v>-</v>
      </c>
      <c r="I724" s="87"/>
      <c r="J724" s="61" t="str">
        <f t="shared" si="37"/>
        <v>-</v>
      </c>
      <c r="K724" s="87"/>
      <c r="L724" s="60">
        <f t="shared" si="38"/>
        <v>1900</v>
      </c>
      <c r="M724" s="60">
        <f t="shared" si="39"/>
        <v>1</v>
      </c>
    </row>
    <row r="725" customHeight="1" spans="2:13">
      <c r="B725" s="59">
        <v>722</v>
      </c>
      <c r="C725" s="87"/>
      <c r="D725" s="87"/>
      <c r="E725" s="87"/>
      <c r="F725" s="60" t="str">
        <f>IFERROR(VLOOKUP($E725,'基础-办公用品信息'!$C:$E,2,FALSE),"-")</f>
        <v>-</v>
      </c>
      <c r="G725" s="60" t="str">
        <f>IFERROR(VLOOKUP($E725,'基础-办公用品信息'!$C:$E,3,FALSE),"-")</f>
        <v>-</v>
      </c>
      <c r="H725" s="126" t="str">
        <f>IFERROR(VLOOKUP($E725,'基础-办公用品信息'!$C:$F,4,FALSE),"-")</f>
        <v>-</v>
      </c>
      <c r="I725" s="87"/>
      <c r="J725" s="61" t="str">
        <f t="shared" si="37"/>
        <v>-</v>
      </c>
      <c r="K725" s="87"/>
      <c r="L725" s="60">
        <f t="shared" si="38"/>
        <v>1900</v>
      </c>
      <c r="M725" s="60">
        <f t="shared" si="39"/>
        <v>1</v>
      </c>
    </row>
    <row r="726" customHeight="1" spans="2:13">
      <c r="B726" s="59">
        <v>723</v>
      </c>
      <c r="C726" s="87"/>
      <c r="D726" s="87"/>
      <c r="E726" s="87"/>
      <c r="F726" s="60" t="str">
        <f>IFERROR(VLOOKUP($E726,'基础-办公用品信息'!$C:$E,2,FALSE),"-")</f>
        <v>-</v>
      </c>
      <c r="G726" s="60" t="str">
        <f>IFERROR(VLOOKUP($E726,'基础-办公用品信息'!$C:$E,3,FALSE),"-")</f>
        <v>-</v>
      </c>
      <c r="H726" s="126" t="str">
        <f>IFERROR(VLOOKUP($E726,'基础-办公用品信息'!$C:$F,4,FALSE),"-")</f>
        <v>-</v>
      </c>
      <c r="I726" s="87"/>
      <c r="J726" s="61" t="str">
        <f t="shared" si="37"/>
        <v>-</v>
      </c>
      <c r="K726" s="87"/>
      <c r="L726" s="60">
        <f t="shared" si="38"/>
        <v>1900</v>
      </c>
      <c r="M726" s="60">
        <f t="shared" si="39"/>
        <v>1</v>
      </c>
    </row>
    <row r="727" customHeight="1" spans="2:13">
      <c r="B727" s="59">
        <v>724</v>
      </c>
      <c r="C727" s="87"/>
      <c r="D727" s="87"/>
      <c r="E727" s="87"/>
      <c r="F727" s="60" t="str">
        <f>IFERROR(VLOOKUP($E727,'基础-办公用品信息'!$C:$E,2,FALSE),"-")</f>
        <v>-</v>
      </c>
      <c r="G727" s="60" t="str">
        <f>IFERROR(VLOOKUP($E727,'基础-办公用品信息'!$C:$E,3,FALSE),"-")</f>
        <v>-</v>
      </c>
      <c r="H727" s="126" t="str">
        <f>IFERROR(VLOOKUP($E727,'基础-办公用品信息'!$C:$F,4,FALSE),"-")</f>
        <v>-</v>
      </c>
      <c r="I727" s="87"/>
      <c r="J727" s="61" t="str">
        <f t="shared" si="37"/>
        <v>-</v>
      </c>
      <c r="K727" s="87"/>
      <c r="L727" s="60">
        <f t="shared" si="38"/>
        <v>1900</v>
      </c>
      <c r="M727" s="60">
        <f t="shared" si="39"/>
        <v>1</v>
      </c>
    </row>
    <row r="728" customHeight="1" spans="2:13">
      <c r="B728" s="59">
        <v>725</v>
      </c>
      <c r="C728" s="87"/>
      <c r="D728" s="87"/>
      <c r="E728" s="87"/>
      <c r="F728" s="60" t="str">
        <f>IFERROR(VLOOKUP($E728,'基础-办公用品信息'!$C:$E,2,FALSE),"-")</f>
        <v>-</v>
      </c>
      <c r="G728" s="60" t="str">
        <f>IFERROR(VLOOKUP($E728,'基础-办公用品信息'!$C:$E,3,FALSE),"-")</f>
        <v>-</v>
      </c>
      <c r="H728" s="126" t="str">
        <f>IFERROR(VLOOKUP($E728,'基础-办公用品信息'!$C:$F,4,FALSE),"-")</f>
        <v>-</v>
      </c>
      <c r="I728" s="87"/>
      <c r="J728" s="61" t="str">
        <f t="shared" si="37"/>
        <v>-</v>
      </c>
      <c r="K728" s="87"/>
      <c r="L728" s="60">
        <f t="shared" si="38"/>
        <v>1900</v>
      </c>
      <c r="M728" s="60">
        <f t="shared" si="39"/>
        <v>1</v>
      </c>
    </row>
    <row r="729" customHeight="1" spans="2:13">
      <c r="B729" s="59">
        <v>726</v>
      </c>
      <c r="C729" s="87"/>
      <c r="D729" s="87"/>
      <c r="E729" s="87"/>
      <c r="F729" s="60" t="str">
        <f>IFERROR(VLOOKUP($E729,'基础-办公用品信息'!$C:$E,2,FALSE),"-")</f>
        <v>-</v>
      </c>
      <c r="G729" s="60" t="str">
        <f>IFERROR(VLOOKUP($E729,'基础-办公用品信息'!$C:$E,3,FALSE),"-")</f>
        <v>-</v>
      </c>
      <c r="H729" s="126" t="str">
        <f>IFERROR(VLOOKUP($E729,'基础-办公用品信息'!$C:$F,4,FALSE),"-")</f>
        <v>-</v>
      </c>
      <c r="I729" s="87"/>
      <c r="J729" s="61" t="str">
        <f t="shared" si="37"/>
        <v>-</v>
      </c>
      <c r="K729" s="87"/>
      <c r="L729" s="60">
        <f t="shared" si="38"/>
        <v>1900</v>
      </c>
      <c r="M729" s="60">
        <f t="shared" si="39"/>
        <v>1</v>
      </c>
    </row>
    <row r="730" customHeight="1" spans="2:13">
      <c r="B730" s="59">
        <v>727</v>
      </c>
      <c r="C730" s="87"/>
      <c r="D730" s="87"/>
      <c r="E730" s="87"/>
      <c r="F730" s="60" t="str">
        <f>IFERROR(VLOOKUP($E730,'基础-办公用品信息'!$C:$E,2,FALSE),"-")</f>
        <v>-</v>
      </c>
      <c r="G730" s="60" t="str">
        <f>IFERROR(VLOOKUP($E730,'基础-办公用品信息'!$C:$E,3,FALSE),"-")</f>
        <v>-</v>
      </c>
      <c r="H730" s="126" t="str">
        <f>IFERROR(VLOOKUP($E730,'基础-办公用品信息'!$C:$F,4,FALSE),"-")</f>
        <v>-</v>
      </c>
      <c r="I730" s="87"/>
      <c r="J730" s="61" t="str">
        <f t="shared" si="37"/>
        <v>-</v>
      </c>
      <c r="K730" s="87"/>
      <c r="L730" s="60">
        <f t="shared" si="38"/>
        <v>1900</v>
      </c>
      <c r="M730" s="60">
        <f t="shared" si="39"/>
        <v>1</v>
      </c>
    </row>
    <row r="731" customHeight="1" spans="2:13">
      <c r="B731" s="59">
        <v>728</v>
      </c>
      <c r="C731" s="87"/>
      <c r="D731" s="87"/>
      <c r="E731" s="87"/>
      <c r="F731" s="60" t="str">
        <f>IFERROR(VLOOKUP($E731,'基础-办公用品信息'!$C:$E,2,FALSE),"-")</f>
        <v>-</v>
      </c>
      <c r="G731" s="60" t="str">
        <f>IFERROR(VLOOKUP($E731,'基础-办公用品信息'!$C:$E,3,FALSE),"-")</f>
        <v>-</v>
      </c>
      <c r="H731" s="126" t="str">
        <f>IFERROR(VLOOKUP($E731,'基础-办公用品信息'!$C:$F,4,FALSE),"-")</f>
        <v>-</v>
      </c>
      <c r="I731" s="87"/>
      <c r="J731" s="61" t="str">
        <f t="shared" si="37"/>
        <v>-</v>
      </c>
      <c r="K731" s="87"/>
      <c r="L731" s="60">
        <f t="shared" si="38"/>
        <v>1900</v>
      </c>
      <c r="M731" s="60">
        <f t="shared" si="39"/>
        <v>1</v>
      </c>
    </row>
    <row r="732" customHeight="1" spans="2:13">
      <c r="B732" s="59">
        <v>729</v>
      </c>
      <c r="C732" s="87"/>
      <c r="D732" s="87"/>
      <c r="E732" s="87"/>
      <c r="F732" s="60" t="str">
        <f>IFERROR(VLOOKUP($E732,'基础-办公用品信息'!$C:$E,2,FALSE),"-")</f>
        <v>-</v>
      </c>
      <c r="G732" s="60" t="str">
        <f>IFERROR(VLOOKUP($E732,'基础-办公用品信息'!$C:$E,3,FALSE),"-")</f>
        <v>-</v>
      </c>
      <c r="H732" s="126" t="str">
        <f>IFERROR(VLOOKUP($E732,'基础-办公用品信息'!$C:$F,4,FALSE),"-")</f>
        <v>-</v>
      </c>
      <c r="I732" s="87"/>
      <c r="J732" s="61" t="str">
        <f t="shared" si="37"/>
        <v>-</v>
      </c>
      <c r="K732" s="87"/>
      <c r="L732" s="60">
        <f t="shared" si="38"/>
        <v>1900</v>
      </c>
      <c r="M732" s="60">
        <f t="shared" si="39"/>
        <v>1</v>
      </c>
    </row>
    <row r="733" customHeight="1" spans="2:13">
      <c r="B733" s="59">
        <v>730</v>
      </c>
      <c r="C733" s="87"/>
      <c r="D733" s="87"/>
      <c r="E733" s="87"/>
      <c r="F733" s="60" t="str">
        <f>IFERROR(VLOOKUP($E733,'基础-办公用品信息'!$C:$E,2,FALSE),"-")</f>
        <v>-</v>
      </c>
      <c r="G733" s="60" t="str">
        <f>IFERROR(VLOOKUP($E733,'基础-办公用品信息'!$C:$E,3,FALSE),"-")</f>
        <v>-</v>
      </c>
      <c r="H733" s="126" t="str">
        <f>IFERROR(VLOOKUP($E733,'基础-办公用品信息'!$C:$F,4,FALSE),"-")</f>
        <v>-</v>
      </c>
      <c r="I733" s="87"/>
      <c r="J733" s="61" t="str">
        <f t="shared" si="37"/>
        <v>-</v>
      </c>
      <c r="K733" s="87"/>
      <c r="L733" s="60">
        <f t="shared" si="38"/>
        <v>1900</v>
      </c>
      <c r="M733" s="60">
        <f t="shared" si="39"/>
        <v>1</v>
      </c>
    </row>
    <row r="734" customHeight="1" spans="2:13">
      <c r="B734" s="59">
        <v>731</v>
      </c>
      <c r="C734" s="87"/>
      <c r="D734" s="87"/>
      <c r="E734" s="87"/>
      <c r="F734" s="60" t="str">
        <f>IFERROR(VLOOKUP($E734,'基础-办公用品信息'!$C:$E,2,FALSE),"-")</f>
        <v>-</v>
      </c>
      <c r="G734" s="60" t="str">
        <f>IFERROR(VLOOKUP($E734,'基础-办公用品信息'!$C:$E,3,FALSE),"-")</f>
        <v>-</v>
      </c>
      <c r="H734" s="126" t="str">
        <f>IFERROR(VLOOKUP($E734,'基础-办公用品信息'!$C:$F,4,FALSE),"-")</f>
        <v>-</v>
      </c>
      <c r="I734" s="87"/>
      <c r="J734" s="61" t="str">
        <f t="shared" si="37"/>
        <v>-</v>
      </c>
      <c r="K734" s="87"/>
      <c r="L734" s="60">
        <f t="shared" si="38"/>
        <v>1900</v>
      </c>
      <c r="M734" s="60">
        <f t="shared" si="39"/>
        <v>1</v>
      </c>
    </row>
    <row r="735" customHeight="1" spans="2:13">
      <c r="B735" s="59">
        <v>732</v>
      </c>
      <c r="C735" s="87"/>
      <c r="D735" s="87"/>
      <c r="E735" s="87"/>
      <c r="F735" s="60" t="str">
        <f>IFERROR(VLOOKUP($E735,'基础-办公用品信息'!$C:$E,2,FALSE),"-")</f>
        <v>-</v>
      </c>
      <c r="G735" s="60" t="str">
        <f>IFERROR(VLOOKUP($E735,'基础-办公用品信息'!$C:$E,3,FALSE),"-")</f>
        <v>-</v>
      </c>
      <c r="H735" s="126" t="str">
        <f>IFERROR(VLOOKUP($E735,'基础-办公用品信息'!$C:$F,4,FALSE),"-")</f>
        <v>-</v>
      </c>
      <c r="I735" s="87"/>
      <c r="J735" s="61" t="str">
        <f t="shared" si="37"/>
        <v>-</v>
      </c>
      <c r="K735" s="87"/>
      <c r="L735" s="60">
        <f t="shared" si="38"/>
        <v>1900</v>
      </c>
      <c r="M735" s="60">
        <f t="shared" si="39"/>
        <v>1</v>
      </c>
    </row>
    <row r="736" customHeight="1" spans="2:13">
      <c r="B736" s="59">
        <v>733</v>
      </c>
      <c r="C736" s="87"/>
      <c r="D736" s="87"/>
      <c r="E736" s="87"/>
      <c r="F736" s="60" t="str">
        <f>IFERROR(VLOOKUP($E736,'基础-办公用品信息'!$C:$E,2,FALSE),"-")</f>
        <v>-</v>
      </c>
      <c r="G736" s="60" t="str">
        <f>IFERROR(VLOOKUP($E736,'基础-办公用品信息'!$C:$E,3,FALSE),"-")</f>
        <v>-</v>
      </c>
      <c r="H736" s="126" t="str">
        <f>IFERROR(VLOOKUP($E736,'基础-办公用品信息'!$C:$F,4,FALSE),"-")</f>
        <v>-</v>
      </c>
      <c r="I736" s="87"/>
      <c r="J736" s="61" t="str">
        <f t="shared" si="37"/>
        <v>-</v>
      </c>
      <c r="K736" s="87"/>
      <c r="L736" s="60">
        <f t="shared" si="38"/>
        <v>1900</v>
      </c>
      <c r="M736" s="60">
        <f t="shared" si="39"/>
        <v>1</v>
      </c>
    </row>
    <row r="737" customHeight="1" spans="2:13">
      <c r="B737" s="59">
        <v>734</v>
      </c>
      <c r="C737" s="87"/>
      <c r="D737" s="87"/>
      <c r="E737" s="87"/>
      <c r="F737" s="60" t="str">
        <f>IFERROR(VLOOKUP($E737,'基础-办公用品信息'!$C:$E,2,FALSE),"-")</f>
        <v>-</v>
      </c>
      <c r="G737" s="60" t="str">
        <f>IFERROR(VLOOKUP($E737,'基础-办公用品信息'!$C:$E,3,FALSE),"-")</f>
        <v>-</v>
      </c>
      <c r="H737" s="126" t="str">
        <f>IFERROR(VLOOKUP($E737,'基础-办公用品信息'!$C:$F,4,FALSE),"-")</f>
        <v>-</v>
      </c>
      <c r="I737" s="87"/>
      <c r="J737" s="61" t="str">
        <f t="shared" si="37"/>
        <v>-</v>
      </c>
      <c r="K737" s="87"/>
      <c r="L737" s="60">
        <f t="shared" si="38"/>
        <v>1900</v>
      </c>
      <c r="M737" s="60">
        <f t="shared" si="39"/>
        <v>1</v>
      </c>
    </row>
    <row r="738" customHeight="1" spans="2:13">
      <c r="B738" s="59">
        <v>735</v>
      </c>
      <c r="C738" s="87"/>
      <c r="D738" s="87"/>
      <c r="E738" s="87"/>
      <c r="F738" s="60" t="str">
        <f>IFERROR(VLOOKUP($E738,'基础-办公用品信息'!$C:$E,2,FALSE),"-")</f>
        <v>-</v>
      </c>
      <c r="G738" s="60" t="str">
        <f>IFERROR(VLOOKUP($E738,'基础-办公用品信息'!$C:$E,3,FALSE),"-")</f>
        <v>-</v>
      </c>
      <c r="H738" s="126" t="str">
        <f>IFERROR(VLOOKUP($E738,'基础-办公用品信息'!$C:$F,4,FALSE),"-")</f>
        <v>-</v>
      </c>
      <c r="I738" s="87"/>
      <c r="J738" s="61" t="str">
        <f t="shared" si="37"/>
        <v>-</v>
      </c>
      <c r="K738" s="87"/>
      <c r="L738" s="60">
        <f t="shared" si="38"/>
        <v>1900</v>
      </c>
      <c r="M738" s="60">
        <f t="shared" si="39"/>
        <v>1</v>
      </c>
    </row>
    <row r="739" customHeight="1" spans="2:13">
      <c r="B739" s="59">
        <v>736</v>
      </c>
      <c r="C739" s="87"/>
      <c r="D739" s="87"/>
      <c r="E739" s="87"/>
      <c r="F739" s="60" t="str">
        <f>IFERROR(VLOOKUP($E739,'基础-办公用品信息'!$C:$E,2,FALSE),"-")</f>
        <v>-</v>
      </c>
      <c r="G739" s="60" t="str">
        <f>IFERROR(VLOOKUP($E739,'基础-办公用品信息'!$C:$E,3,FALSE),"-")</f>
        <v>-</v>
      </c>
      <c r="H739" s="126" t="str">
        <f>IFERROR(VLOOKUP($E739,'基础-办公用品信息'!$C:$F,4,FALSE),"-")</f>
        <v>-</v>
      </c>
      <c r="I739" s="87"/>
      <c r="J739" s="61" t="str">
        <f t="shared" si="37"/>
        <v>-</v>
      </c>
      <c r="K739" s="87"/>
      <c r="L739" s="60">
        <f t="shared" si="38"/>
        <v>1900</v>
      </c>
      <c r="M739" s="60">
        <f t="shared" si="39"/>
        <v>1</v>
      </c>
    </row>
    <row r="740" customHeight="1" spans="2:13">
      <c r="B740" s="59">
        <v>737</v>
      </c>
      <c r="C740" s="87"/>
      <c r="D740" s="87"/>
      <c r="E740" s="87"/>
      <c r="F740" s="60" t="str">
        <f>IFERROR(VLOOKUP($E740,'基础-办公用品信息'!$C:$E,2,FALSE),"-")</f>
        <v>-</v>
      </c>
      <c r="G740" s="60" t="str">
        <f>IFERROR(VLOOKUP($E740,'基础-办公用品信息'!$C:$E,3,FALSE),"-")</f>
        <v>-</v>
      </c>
      <c r="H740" s="126" t="str">
        <f>IFERROR(VLOOKUP($E740,'基础-办公用品信息'!$C:$F,4,FALSE),"-")</f>
        <v>-</v>
      </c>
      <c r="I740" s="87"/>
      <c r="J740" s="61" t="str">
        <f t="shared" si="37"/>
        <v>-</v>
      </c>
      <c r="K740" s="87"/>
      <c r="L740" s="60">
        <f t="shared" si="38"/>
        <v>1900</v>
      </c>
      <c r="M740" s="60">
        <f t="shared" si="39"/>
        <v>1</v>
      </c>
    </row>
    <row r="741" customHeight="1" spans="2:13">
      <c r="B741" s="59">
        <v>738</v>
      </c>
      <c r="C741" s="87"/>
      <c r="D741" s="87"/>
      <c r="E741" s="87"/>
      <c r="F741" s="60" t="str">
        <f>IFERROR(VLOOKUP($E741,'基础-办公用品信息'!$C:$E,2,FALSE),"-")</f>
        <v>-</v>
      </c>
      <c r="G741" s="60" t="str">
        <f>IFERROR(VLOOKUP($E741,'基础-办公用品信息'!$C:$E,3,FALSE),"-")</f>
        <v>-</v>
      </c>
      <c r="H741" s="126" t="str">
        <f>IFERROR(VLOOKUP($E741,'基础-办公用品信息'!$C:$F,4,FALSE),"-")</f>
        <v>-</v>
      </c>
      <c r="I741" s="87"/>
      <c r="J741" s="61" t="str">
        <f t="shared" si="37"/>
        <v>-</v>
      </c>
      <c r="K741" s="87"/>
      <c r="L741" s="60">
        <f t="shared" si="38"/>
        <v>1900</v>
      </c>
      <c r="M741" s="60">
        <f t="shared" si="39"/>
        <v>1</v>
      </c>
    </row>
    <row r="742" customHeight="1" spans="2:13">
      <c r="B742" s="59">
        <v>739</v>
      </c>
      <c r="C742" s="87"/>
      <c r="D742" s="87"/>
      <c r="E742" s="87"/>
      <c r="F742" s="60" t="str">
        <f>IFERROR(VLOOKUP($E742,'基础-办公用品信息'!$C:$E,2,FALSE),"-")</f>
        <v>-</v>
      </c>
      <c r="G742" s="60" t="str">
        <f>IFERROR(VLOOKUP($E742,'基础-办公用品信息'!$C:$E,3,FALSE),"-")</f>
        <v>-</v>
      </c>
      <c r="H742" s="126" t="str">
        <f>IFERROR(VLOOKUP($E742,'基础-办公用品信息'!$C:$F,4,FALSE),"-")</f>
        <v>-</v>
      </c>
      <c r="I742" s="87"/>
      <c r="J742" s="61" t="str">
        <f t="shared" si="37"/>
        <v>-</v>
      </c>
      <c r="K742" s="87"/>
      <c r="L742" s="60">
        <f t="shared" si="38"/>
        <v>1900</v>
      </c>
      <c r="M742" s="60">
        <f t="shared" si="39"/>
        <v>1</v>
      </c>
    </row>
    <row r="743" customHeight="1" spans="2:13">
      <c r="B743" s="59">
        <v>740</v>
      </c>
      <c r="C743" s="87"/>
      <c r="D743" s="87"/>
      <c r="E743" s="87"/>
      <c r="F743" s="60" t="str">
        <f>IFERROR(VLOOKUP($E743,'基础-办公用品信息'!$C:$E,2,FALSE),"-")</f>
        <v>-</v>
      </c>
      <c r="G743" s="60" t="str">
        <f>IFERROR(VLOOKUP($E743,'基础-办公用品信息'!$C:$E,3,FALSE),"-")</f>
        <v>-</v>
      </c>
      <c r="H743" s="126" t="str">
        <f>IFERROR(VLOOKUP($E743,'基础-办公用品信息'!$C:$F,4,FALSE),"-")</f>
        <v>-</v>
      </c>
      <c r="I743" s="87"/>
      <c r="J743" s="61" t="str">
        <f t="shared" si="37"/>
        <v>-</v>
      </c>
      <c r="K743" s="87"/>
      <c r="L743" s="60">
        <f t="shared" si="38"/>
        <v>1900</v>
      </c>
      <c r="M743" s="60">
        <f t="shared" si="39"/>
        <v>1</v>
      </c>
    </row>
    <row r="744" customHeight="1" spans="2:13">
      <c r="B744" s="59">
        <v>741</v>
      </c>
      <c r="C744" s="87"/>
      <c r="D744" s="87"/>
      <c r="E744" s="87"/>
      <c r="F744" s="60" t="str">
        <f>IFERROR(VLOOKUP($E744,'基础-办公用品信息'!$C:$E,2,FALSE),"-")</f>
        <v>-</v>
      </c>
      <c r="G744" s="60" t="str">
        <f>IFERROR(VLOOKUP($E744,'基础-办公用品信息'!$C:$E,3,FALSE),"-")</f>
        <v>-</v>
      </c>
      <c r="H744" s="126" t="str">
        <f>IFERROR(VLOOKUP($E744,'基础-办公用品信息'!$C:$F,4,FALSE),"-")</f>
        <v>-</v>
      </c>
      <c r="I744" s="87"/>
      <c r="J744" s="61" t="str">
        <f t="shared" si="37"/>
        <v>-</v>
      </c>
      <c r="K744" s="87"/>
      <c r="L744" s="60">
        <f t="shared" si="38"/>
        <v>1900</v>
      </c>
      <c r="M744" s="60">
        <f t="shared" si="39"/>
        <v>1</v>
      </c>
    </row>
    <row r="745" customHeight="1" spans="2:13">
      <c r="B745" s="59">
        <v>742</v>
      </c>
      <c r="C745" s="87"/>
      <c r="D745" s="87"/>
      <c r="E745" s="87"/>
      <c r="F745" s="60" t="str">
        <f>IFERROR(VLOOKUP($E745,'基础-办公用品信息'!$C:$E,2,FALSE),"-")</f>
        <v>-</v>
      </c>
      <c r="G745" s="60" t="str">
        <f>IFERROR(VLOOKUP($E745,'基础-办公用品信息'!$C:$E,3,FALSE),"-")</f>
        <v>-</v>
      </c>
      <c r="H745" s="126" t="str">
        <f>IFERROR(VLOOKUP($E745,'基础-办公用品信息'!$C:$F,4,FALSE),"-")</f>
        <v>-</v>
      </c>
      <c r="I745" s="87"/>
      <c r="J745" s="61" t="str">
        <f t="shared" si="37"/>
        <v>-</v>
      </c>
      <c r="K745" s="87"/>
      <c r="L745" s="60">
        <f t="shared" si="38"/>
        <v>1900</v>
      </c>
      <c r="M745" s="60">
        <f t="shared" si="39"/>
        <v>1</v>
      </c>
    </row>
    <row r="746" customHeight="1" spans="2:13">
      <c r="B746" s="59">
        <v>743</v>
      </c>
      <c r="C746" s="87"/>
      <c r="D746" s="87"/>
      <c r="E746" s="87"/>
      <c r="F746" s="60" t="str">
        <f>IFERROR(VLOOKUP($E746,'基础-办公用品信息'!$C:$E,2,FALSE),"-")</f>
        <v>-</v>
      </c>
      <c r="G746" s="60" t="str">
        <f>IFERROR(VLOOKUP($E746,'基础-办公用品信息'!$C:$E,3,FALSE),"-")</f>
        <v>-</v>
      </c>
      <c r="H746" s="126" t="str">
        <f>IFERROR(VLOOKUP($E746,'基础-办公用品信息'!$C:$F,4,FALSE),"-")</f>
        <v>-</v>
      </c>
      <c r="I746" s="87"/>
      <c r="J746" s="61" t="str">
        <f t="shared" si="37"/>
        <v>-</v>
      </c>
      <c r="K746" s="87"/>
      <c r="L746" s="60">
        <f t="shared" si="38"/>
        <v>1900</v>
      </c>
      <c r="M746" s="60">
        <f t="shared" si="39"/>
        <v>1</v>
      </c>
    </row>
    <row r="747" customHeight="1" spans="2:13">
      <c r="B747" s="59">
        <v>744</v>
      </c>
      <c r="C747" s="87"/>
      <c r="D747" s="87"/>
      <c r="E747" s="87"/>
      <c r="F747" s="60" t="str">
        <f>IFERROR(VLOOKUP($E747,'基础-办公用品信息'!$C:$E,2,FALSE),"-")</f>
        <v>-</v>
      </c>
      <c r="G747" s="60" t="str">
        <f>IFERROR(VLOOKUP($E747,'基础-办公用品信息'!$C:$E,3,FALSE),"-")</f>
        <v>-</v>
      </c>
      <c r="H747" s="126" t="str">
        <f>IFERROR(VLOOKUP($E747,'基础-办公用品信息'!$C:$F,4,FALSE),"-")</f>
        <v>-</v>
      </c>
      <c r="I747" s="87"/>
      <c r="J747" s="61" t="str">
        <f t="shared" si="37"/>
        <v>-</v>
      </c>
      <c r="K747" s="87"/>
      <c r="L747" s="60">
        <f t="shared" si="38"/>
        <v>1900</v>
      </c>
      <c r="M747" s="60">
        <f t="shared" si="39"/>
        <v>1</v>
      </c>
    </row>
    <row r="748" customHeight="1" spans="2:13">
      <c r="B748" s="59">
        <v>745</v>
      </c>
      <c r="C748" s="87"/>
      <c r="D748" s="87"/>
      <c r="E748" s="87"/>
      <c r="F748" s="60" t="str">
        <f>IFERROR(VLOOKUP($E748,'基础-办公用品信息'!$C:$E,2,FALSE),"-")</f>
        <v>-</v>
      </c>
      <c r="G748" s="60" t="str">
        <f>IFERROR(VLOOKUP($E748,'基础-办公用品信息'!$C:$E,3,FALSE),"-")</f>
        <v>-</v>
      </c>
      <c r="H748" s="126" t="str">
        <f>IFERROR(VLOOKUP($E748,'基础-办公用品信息'!$C:$F,4,FALSE),"-")</f>
        <v>-</v>
      </c>
      <c r="I748" s="87"/>
      <c r="J748" s="61" t="str">
        <f t="shared" si="37"/>
        <v>-</v>
      </c>
      <c r="K748" s="87"/>
      <c r="L748" s="60">
        <f t="shared" si="38"/>
        <v>1900</v>
      </c>
      <c r="M748" s="60">
        <f t="shared" si="39"/>
        <v>1</v>
      </c>
    </row>
    <row r="749" customHeight="1" spans="2:13">
      <c r="B749" s="59">
        <v>746</v>
      </c>
      <c r="C749" s="87"/>
      <c r="D749" s="87"/>
      <c r="E749" s="87"/>
      <c r="F749" s="60" t="str">
        <f>IFERROR(VLOOKUP($E749,'基础-办公用品信息'!$C:$E,2,FALSE),"-")</f>
        <v>-</v>
      </c>
      <c r="G749" s="60" t="str">
        <f>IFERROR(VLOOKUP($E749,'基础-办公用品信息'!$C:$E,3,FALSE),"-")</f>
        <v>-</v>
      </c>
      <c r="H749" s="126" t="str">
        <f>IFERROR(VLOOKUP($E749,'基础-办公用品信息'!$C:$F,4,FALSE),"-")</f>
        <v>-</v>
      </c>
      <c r="I749" s="87"/>
      <c r="J749" s="61" t="str">
        <f t="shared" si="37"/>
        <v>-</v>
      </c>
      <c r="K749" s="87"/>
      <c r="L749" s="60">
        <f t="shared" si="38"/>
        <v>1900</v>
      </c>
      <c r="M749" s="60">
        <f t="shared" si="39"/>
        <v>1</v>
      </c>
    </row>
    <row r="750" customHeight="1" spans="2:13">
      <c r="B750" s="59">
        <v>747</v>
      </c>
      <c r="C750" s="87"/>
      <c r="D750" s="87"/>
      <c r="E750" s="87"/>
      <c r="F750" s="60" t="str">
        <f>IFERROR(VLOOKUP($E750,'基础-办公用品信息'!$C:$E,2,FALSE),"-")</f>
        <v>-</v>
      </c>
      <c r="G750" s="60" t="str">
        <f>IFERROR(VLOOKUP($E750,'基础-办公用品信息'!$C:$E,3,FALSE),"-")</f>
        <v>-</v>
      </c>
      <c r="H750" s="126" t="str">
        <f>IFERROR(VLOOKUP($E750,'基础-办公用品信息'!$C:$F,4,FALSE),"-")</f>
        <v>-</v>
      </c>
      <c r="I750" s="87"/>
      <c r="J750" s="61" t="str">
        <f t="shared" si="37"/>
        <v>-</v>
      </c>
      <c r="K750" s="87"/>
      <c r="L750" s="60">
        <f t="shared" si="38"/>
        <v>1900</v>
      </c>
      <c r="M750" s="60">
        <f t="shared" si="39"/>
        <v>1</v>
      </c>
    </row>
    <row r="751" customHeight="1" spans="2:13">
      <c r="B751" s="59">
        <v>748</v>
      </c>
      <c r="C751" s="87"/>
      <c r="D751" s="87"/>
      <c r="E751" s="87"/>
      <c r="F751" s="60" t="str">
        <f>IFERROR(VLOOKUP($E751,'基础-办公用品信息'!$C:$E,2,FALSE),"-")</f>
        <v>-</v>
      </c>
      <c r="G751" s="60" t="str">
        <f>IFERROR(VLOOKUP($E751,'基础-办公用品信息'!$C:$E,3,FALSE),"-")</f>
        <v>-</v>
      </c>
      <c r="H751" s="126" t="str">
        <f>IFERROR(VLOOKUP($E751,'基础-办公用品信息'!$C:$F,4,FALSE),"-")</f>
        <v>-</v>
      </c>
      <c r="I751" s="87"/>
      <c r="J751" s="61" t="str">
        <f t="shared" si="37"/>
        <v>-</v>
      </c>
      <c r="K751" s="87"/>
      <c r="L751" s="60">
        <f t="shared" si="38"/>
        <v>1900</v>
      </c>
      <c r="M751" s="60">
        <f t="shared" si="39"/>
        <v>1</v>
      </c>
    </row>
    <row r="752" customHeight="1" spans="2:13">
      <c r="B752" s="59">
        <v>749</v>
      </c>
      <c r="C752" s="87"/>
      <c r="D752" s="87"/>
      <c r="E752" s="87"/>
      <c r="F752" s="60" t="str">
        <f>IFERROR(VLOOKUP($E752,'基础-办公用品信息'!$C:$E,2,FALSE),"-")</f>
        <v>-</v>
      </c>
      <c r="G752" s="60" t="str">
        <f>IFERROR(VLOOKUP($E752,'基础-办公用品信息'!$C:$E,3,FALSE),"-")</f>
        <v>-</v>
      </c>
      <c r="H752" s="126" t="str">
        <f>IFERROR(VLOOKUP($E752,'基础-办公用品信息'!$C:$F,4,FALSE),"-")</f>
        <v>-</v>
      </c>
      <c r="I752" s="87"/>
      <c r="J752" s="61" t="str">
        <f t="shared" si="37"/>
        <v>-</v>
      </c>
      <c r="K752" s="87"/>
      <c r="L752" s="60">
        <f t="shared" si="38"/>
        <v>1900</v>
      </c>
      <c r="M752" s="60">
        <f t="shared" si="39"/>
        <v>1</v>
      </c>
    </row>
    <row r="753" customHeight="1" spans="2:13">
      <c r="B753" s="59">
        <v>750</v>
      </c>
      <c r="C753" s="87"/>
      <c r="D753" s="87"/>
      <c r="E753" s="87"/>
      <c r="F753" s="60" t="str">
        <f>IFERROR(VLOOKUP($E753,'基础-办公用品信息'!$C:$E,2,FALSE),"-")</f>
        <v>-</v>
      </c>
      <c r="G753" s="60" t="str">
        <f>IFERROR(VLOOKUP($E753,'基础-办公用品信息'!$C:$E,3,FALSE),"-")</f>
        <v>-</v>
      </c>
      <c r="H753" s="126" t="str">
        <f>IFERROR(VLOOKUP($E753,'基础-办公用品信息'!$C:$F,4,FALSE),"-")</f>
        <v>-</v>
      </c>
      <c r="I753" s="87"/>
      <c r="J753" s="61" t="str">
        <f t="shared" si="37"/>
        <v>-</v>
      </c>
      <c r="K753" s="87"/>
      <c r="L753" s="60">
        <f t="shared" si="38"/>
        <v>1900</v>
      </c>
      <c r="M753" s="60">
        <f t="shared" si="39"/>
        <v>1</v>
      </c>
    </row>
    <row r="754" customHeight="1" spans="2:13">
      <c r="B754" s="59">
        <v>751</v>
      </c>
      <c r="C754" s="87"/>
      <c r="D754" s="87"/>
      <c r="E754" s="87"/>
      <c r="F754" s="60" t="str">
        <f>IFERROR(VLOOKUP($E754,'基础-办公用品信息'!$C:$E,2,FALSE),"-")</f>
        <v>-</v>
      </c>
      <c r="G754" s="60" t="str">
        <f>IFERROR(VLOOKUP($E754,'基础-办公用品信息'!$C:$E,3,FALSE),"-")</f>
        <v>-</v>
      </c>
      <c r="H754" s="126" t="str">
        <f>IFERROR(VLOOKUP($E754,'基础-办公用品信息'!$C:$F,4,FALSE),"-")</f>
        <v>-</v>
      </c>
      <c r="I754" s="87"/>
      <c r="J754" s="61" t="str">
        <f t="shared" si="37"/>
        <v>-</v>
      </c>
      <c r="K754" s="87"/>
      <c r="L754" s="60">
        <f t="shared" si="38"/>
        <v>1900</v>
      </c>
      <c r="M754" s="60">
        <f t="shared" si="39"/>
        <v>1</v>
      </c>
    </row>
    <row r="755" customHeight="1" spans="2:13">
      <c r="B755" s="59">
        <v>752</v>
      </c>
      <c r="C755" s="87"/>
      <c r="D755" s="87"/>
      <c r="E755" s="87"/>
      <c r="F755" s="60" t="str">
        <f>IFERROR(VLOOKUP($E755,'基础-办公用品信息'!$C:$E,2,FALSE),"-")</f>
        <v>-</v>
      </c>
      <c r="G755" s="60" t="str">
        <f>IFERROR(VLOOKUP($E755,'基础-办公用品信息'!$C:$E,3,FALSE),"-")</f>
        <v>-</v>
      </c>
      <c r="H755" s="126" t="str">
        <f>IFERROR(VLOOKUP($E755,'基础-办公用品信息'!$C:$F,4,FALSE),"-")</f>
        <v>-</v>
      </c>
      <c r="I755" s="87"/>
      <c r="J755" s="61" t="str">
        <f t="shared" si="37"/>
        <v>-</v>
      </c>
      <c r="K755" s="87"/>
      <c r="L755" s="60">
        <f t="shared" si="38"/>
        <v>1900</v>
      </c>
      <c r="M755" s="60">
        <f t="shared" si="39"/>
        <v>1</v>
      </c>
    </row>
    <row r="756" customHeight="1" spans="2:13">
      <c r="B756" s="59">
        <v>753</v>
      </c>
      <c r="C756" s="87"/>
      <c r="D756" s="87"/>
      <c r="E756" s="87"/>
      <c r="F756" s="60" t="str">
        <f>IFERROR(VLOOKUP($E756,'基础-办公用品信息'!$C:$E,2,FALSE),"-")</f>
        <v>-</v>
      </c>
      <c r="G756" s="60" t="str">
        <f>IFERROR(VLOOKUP($E756,'基础-办公用品信息'!$C:$E,3,FALSE),"-")</f>
        <v>-</v>
      </c>
      <c r="H756" s="126" t="str">
        <f>IFERROR(VLOOKUP($E756,'基础-办公用品信息'!$C:$F,4,FALSE),"-")</f>
        <v>-</v>
      </c>
      <c r="I756" s="87"/>
      <c r="J756" s="61" t="str">
        <f t="shared" si="37"/>
        <v>-</v>
      </c>
      <c r="K756" s="87"/>
      <c r="L756" s="60">
        <f t="shared" si="38"/>
        <v>1900</v>
      </c>
      <c r="M756" s="60">
        <f t="shared" si="39"/>
        <v>1</v>
      </c>
    </row>
    <row r="757" customHeight="1" spans="2:13">
      <c r="B757" s="59">
        <v>754</v>
      </c>
      <c r="C757" s="87"/>
      <c r="D757" s="87"/>
      <c r="E757" s="87"/>
      <c r="F757" s="60" t="str">
        <f>IFERROR(VLOOKUP($E757,'基础-办公用品信息'!$C:$E,2,FALSE),"-")</f>
        <v>-</v>
      </c>
      <c r="G757" s="60" t="str">
        <f>IFERROR(VLOOKUP($E757,'基础-办公用品信息'!$C:$E,3,FALSE),"-")</f>
        <v>-</v>
      </c>
      <c r="H757" s="126" t="str">
        <f>IFERROR(VLOOKUP($E757,'基础-办公用品信息'!$C:$F,4,FALSE),"-")</f>
        <v>-</v>
      </c>
      <c r="I757" s="87"/>
      <c r="J757" s="61" t="str">
        <f t="shared" si="37"/>
        <v>-</v>
      </c>
      <c r="K757" s="87"/>
      <c r="L757" s="60">
        <f t="shared" si="38"/>
        <v>1900</v>
      </c>
      <c r="M757" s="60">
        <f t="shared" si="39"/>
        <v>1</v>
      </c>
    </row>
    <row r="758" customHeight="1" spans="2:13">
      <c r="B758" s="59">
        <v>755</v>
      </c>
      <c r="C758" s="87"/>
      <c r="D758" s="87"/>
      <c r="E758" s="87"/>
      <c r="F758" s="60" t="str">
        <f>IFERROR(VLOOKUP($E758,'基础-办公用品信息'!$C:$E,2,FALSE),"-")</f>
        <v>-</v>
      </c>
      <c r="G758" s="60" t="str">
        <f>IFERROR(VLOOKUP($E758,'基础-办公用品信息'!$C:$E,3,FALSE),"-")</f>
        <v>-</v>
      </c>
      <c r="H758" s="126" t="str">
        <f>IFERROR(VLOOKUP($E758,'基础-办公用品信息'!$C:$F,4,FALSE),"-")</f>
        <v>-</v>
      </c>
      <c r="I758" s="87"/>
      <c r="J758" s="61" t="str">
        <f t="shared" si="37"/>
        <v>-</v>
      </c>
      <c r="K758" s="87"/>
      <c r="L758" s="60">
        <f t="shared" si="38"/>
        <v>1900</v>
      </c>
      <c r="M758" s="60">
        <f t="shared" si="39"/>
        <v>1</v>
      </c>
    </row>
    <row r="759" customHeight="1" spans="2:13">
      <c r="B759" s="59">
        <v>756</v>
      </c>
      <c r="C759" s="87"/>
      <c r="D759" s="87"/>
      <c r="E759" s="87"/>
      <c r="F759" s="60" t="str">
        <f>IFERROR(VLOOKUP($E759,'基础-办公用品信息'!$C:$E,2,FALSE),"-")</f>
        <v>-</v>
      </c>
      <c r="G759" s="60" t="str">
        <f>IFERROR(VLOOKUP($E759,'基础-办公用品信息'!$C:$E,3,FALSE),"-")</f>
        <v>-</v>
      </c>
      <c r="H759" s="126" t="str">
        <f>IFERROR(VLOOKUP($E759,'基础-办公用品信息'!$C:$F,4,FALSE),"-")</f>
        <v>-</v>
      </c>
      <c r="I759" s="87"/>
      <c r="J759" s="61" t="str">
        <f t="shared" ref="J759:J822" si="40">IF(AND(H759&lt;&gt;"",I759&lt;&gt;""),H759*I759,"-")</f>
        <v>-</v>
      </c>
      <c r="K759" s="87"/>
      <c r="L759" s="60">
        <f t="shared" ref="L759:L822" si="41">YEAR(C759)</f>
        <v>1900</v>
      </c>
      <c r="M759" s="60">
        <f t="shared" ref="M759:M822" si="42">MONTH(C759)</f>
        <v>1</v>
      </c>
    </row>
    <row r="760" customHeight="1" spans="2:13">
      <c r="B760" s="59">
        <v>757</v>
      </c>
      <c r="C760" s="87"/>
      <c r="D760" s="87"/>
      <c r="E760" s="87"/>
      <c r="F760" s="60" t="str">
        <f>IFERROR(VLOOKUP($E760,'基础-办公用品信息'!$C:$E,2,FALSE),"-")</f>
        <v>-</v>
      </c>
      <c r="G760" s="60" t="str">
        <f>IFERROR(VLOOKUP($E760,'基础-办公用品信息'!$C:$E,3,FALSE),"-")</f>
        <v>-</v>
      </c>
      <c r="H760" s="126" t="str">
        <f>IFERROR(VLOOKUP($E760,'基础-办公用品信息'!$C:$F,4,FALSE),"-")</f>
        <v>-</v>
      </c>
      <c r="I760" s="87"/>
      <c r="J760" s="61" t="str">
        <f t="shared" si="40"/>
        <v>-</v>
      </c>
      <c r="K760" s="87"/>
      <c r="L760" s="60">
        <f t="shared" si="41"/>
        <v>1900</v>
      </c>
      <c r="M760" s="60">
        <f t="shared" si="42"/>
        <v>1</v>
      </c>
    </row>
    <row r="761" customHeight="1" spans="2:13">
      <c r="B761" s="59">
        <v>758</v>
      </c>
      <c r="C761" s="87"/>
      <c r="D761" s="87"/>
      <c r="E761" s="87"/>
      <c r="F761" s="60" t="str">
        <f>IFERROR(VLOOKUP($E761,'基础-办公用品信息'!$C:$E,2,FALSE),"-")</f>
        <v>-</v>
      </c>
      <c r="G761" s="60" t="str">
        <f>IFERROR(VLOOKUP($E761,'基础-办公用品信息'!$C:$E,3,FALSE),"-")</f>
        <v>-</v>
      </c>
      <c r="H761" s="126" t="str">
        <f>IFERROR(VLOOKUP($E761,'基础-办公用品信息'!$C:$F,4,FALSE),"-")</f>
        <v>-</v>
      </c>
      <c r="I761" s="87"/>
      <c r="J761" s="61" t="str">
        <f t="shared" si="40"/>
        <v>-</v>
      </c>
      <c r="K761" s="87"/>
      <c r="L761" s="60">
        <f t="shared" si="41"/>
        <v>1900</v>
      </c>
      <c r="M761" s="60">
        <f t="shared" si="42"/>
        <v>1</v>
      </c>
    </row>
    <row r="762" customHeight="1" spans="2:13">
      <c r="B762" s="59">
        <v>759</v>
      </c>
      <c r="C762" s="87"/>
      <c r="D762" s="87"/>
      <c r="E762" s="87"/>
      <c r="F762" s="60" t="str">
        <f>IFERROR(VLOOKUP($E762,'基础-办公用品信息'!$C:$E,2,FALSE),"-")</f>
        <v>-</v>
      </c>
      <c r="G762" s="60" t="str">
        <f>IFERROR(VLOOKUP($E762,'基础-办公用品信息'!$C:$E,3,FALSE),"-")</f>
        <v>-</v>
      </c>
      <c r="H762" s="126" t="str">
        <f>IFERROR(VLOOKUP($E762,'基础-办公用品信息'!$C:$F,4,FALSE),"-")</f>
        <v>-</v>
      </c>
      <c r="I762" s="87"/>
      <c r="J762" s="61" t="str">
        <f t="shared" si="40"/>
        <v>-</v>
      </c>
      <c r="K762" s="87"/>
      <c r="L762" s="60">
        <f t="shared" si="41"/>
        <v>1900</v>
      </c>
      <c r="M762" s="60">
        <f t="shared" si="42"/>
        <v>1</v>
      </c>
    </row>
    <row r="763" customHeight="1" spans="2:13">
      <c r="B763" s="59">
        <v>760</v>
      </c>
      <c r="C763" s="87"/>
      <c r="D763" s="87"/>
      <c r="E763" s="87"/>
      <c r="F763" s="60" t="str">
        <f>IFERROR(VLOOKUP($E763,'基础-办公用品信息'!$C:$E,2,FALSE),"-")</f>
        <v>-</v>
      </c>
      <c r="G763" s="60" t="str">
        <f>IFERROR(VLOOKUP($E763,'基础-办公用品信息'!$C:$E,3,FALSE),"-")</f>
        <v>-</v>
      </c>
      <c r="H763" s="126" t="str">
        <f>IFERROR(VLOOKUP($E763,'基础-办公用品信息'!$C:$F,4,FALSE),"-")</f>
        <v>-</v>
      </c>
      <c r="I763" s="87"/>
      <c r="J763" s="61" t="str">
        <f t="shared" si="40"/>
        <v>-</v>
      </c>
      <c r="K763" s="87"/>
      <c r="L763" s="60">
        <f t="shared" si="41"/>
        <v>1900</v>
      </c>
      <c r="M763" s="60">
        <f t="shared" si="42"/>
        <v>1</v>
      </c>
    </row>
    <row r="764" customHeight="1" spans="2:13">
      <c r="B764" s="59">
        <v>761</v>
      </c>
      <c r="C764" s="87"/>
      <c r="D764" s="87"/>
      <c r="E764" s="87"/>
      <c r="F764" s="60" t="str">
        <f>IFERROR(VLOOKUP($E764,'基础-办公用品信息'!$C:$E,2,FALSE),"-")</f>
        <v>-</v>
      </c>
      <c r="G764" s="60" t="str">
        <f>IFERROR(VLOOKUP($E764,'基础-办公用品信息'!$C:$E,3,FALSE),"-")</f>
        <v>-</v>
      </c>
      <c r="H764" s="126" t="str">
        <f>IFERROR(VLOOKUP($E764,'基础-办公用品信息'!$C:$F,4,FALSE),"-")</f>
        <v>-</v>
      </c>
      <c r="I764" s="87"/>
      <c r="J764" s="61" t="str">
        <f t="shared" si="40"/>
        <v>-</v>
      </c>
      <c r="K764" s="87"/>
      <c r="L764" s="60">
        <f t="shared" si="41"/>
        <v>1900</v>
      </c>
      <c r="M764" s="60">
        <f t="shared" si="42"/>
        <v>1</v>
      </c>
    </row>
    <row r="765" customHeight="1" spans="2:13">
      <c r="B765" s="59">
        <v>762</v>
      </c>
      <c r="C765" s="87"/>
      <c r="D765" s="87"/>
      <c r="E765" s="87"/>
      <c r="F765" s="60" t="str">
        <f>IFERROR(VLOOKUP($E765,'基础-办公用品信息'!$C:$E,2,FALSE),"-")</f>
        <v>-</v>
      </c>
      <c r="G765" s="60" t="str">
        <f>IFERROR(VLOOKUP($E765,'基础-办公用品信息'!$C:$E,3,FALSE),"-")</f>
        <v>-</v>
      </c>
      <c r="H765" s="126" t="str">
        <f>IFERROR(VLOOKUP($E765,'基础-办公用品信息'!$C:$F,4,FALSE),"-")</f>
        <v>-</v>
      </c>
      <c r="I765" s="87"/>
      <c r="J765" s="61" t="str">
        <f t="shared" si="40"/>
        <v>-</v>
      </c>
      <c r="K765" s="87"/>
      <c r="L765" s="60">
        <f t="shared" si="41"/>
        <v>1900</v>
      </c>
      <c r="M765" s="60">
        <f t="shared" si="42"/>
        <v>1</v>
      </c>
    </row>
    <row r="766" customHeight="1" spans="2:13">
      <c r="B766" s="59">
        <v>763</v>
      </c>
      <c r="C766" s="87"/>
      <c r="D766" s="87"/>
      <c r="E766" s="87"/>
      <c r="F766" s="60" t="str">
        <f>IFERROR(VLOOKUP($E766,'基础-办公用品信息'!$C:$E,2,FALSE),"-")</f>
        <v>-</v>
      </c>
      <c r="G766" s="60" t="str">
        <f>IFERROR(VLOOKUP($E766,'基础-办公用品信息'!$C:$E,3,FALSE),"-")</f>
        <v>-</v>
      </c>
      <c r="H766" s="126" t="str">
        <f>IFERROR(VLOOKUP($E766,'基础-办公用品信息'!$C:$F,4,FALSE),"-")</f>
        <v>-</v>
      </c>
      <c r="I766" s="87"/>
      <c r="J766" s="61" t="str">
        <f t="shared" si="40"/>
        <v>-</v>
      </c>
      <c r="K766" s="87"/>
      <c r="L766" s="60">
        <f t="shared" si="41"/>
        <v>1900</v>
      </c>
      <c r="M766" s="60">
        <f t="shared" si="42"/>
        <v>1</v>
      </c>
    </row>
    <row r="767" customHeight="1" spans="2:13">
      <c r="B767" s="59">
        <v>764</v>
      </c>
      <c r="C767" s="87"/>
      <c r="D767" s="87"/>
      <c r="E767" s="87"/>
      <c r="F767" s="60" t="str">
        <f>IFERROR(VLOOKUP($E767,'基础-办公用品信息'!$C:$E,2,FALSE),"-")</f>
        <v>-</v>
      </c>
      <c r="G767" s="60" t="str">
        <f>IFERROR(VLOOKUP($E767,'基础-办公用品信息'!$C:$E,3,FALSE),"-")</f>
        <v>-</v>
      </c>
      <c r="H767" s="126" t="str">
        <f>IFERROR(VLOOKUP($E767,'基础-办公用品信息'!$C:$F,4,FALSE),"-")</f>
        <v>-</v>
      </c>
      <c r="I767" s="87"/>
      <c r="J767" s="61" t="str">
        <f t="shared" si="40"/>
        <v>-</v>
      </c>
      <c r="K767" s="87"/>
      <c r="L767" s="60">
        <f t="shared" si="41"/>
        <v>1900</v>
      </c>
      <c r="M767" s="60">
        <f t="shared" si="42"/>
        <v>1</v>
      </c>
    </row>
    <row r="768" customHeight="1" spans="2:13">
      <c r="B768" s="59">
        <v>765</v>
      </c>
      <c r="C768" s="87"/>
      <c r="D768" s="87"/>
      <c r="E768" s="87"/>
      <c r="F768" s="60" t="str">
        <f>IFERROR(VLOOKUP($E768,'基础-办公用品信息'!$C:$E,2,FALSE),"-")</f>
        <v>-</v>
      </c>
      <c r="G768" s="60" t="str">
        <f>IFERROR(VLOOKUP($E768,'基础-办公用品信息'!$C:$E,3,FALSE),"-")</f>
        <v>-</v>
      </c>
      <c r="H768" s="126" t="str">
        <f>IFERROR(VLOOKUP($E768,'基础-办公用品信息'!$C:$F,4,FALSE),"-")</f>
        <v>-</v>
      </c>
      <c r="I768" s="87"/>
      <c r="J768" s="61" t="str">
        <f t="shared" si="40"/>
        <v>-</v>
      </c>
      <c r="K768" s="87"/>
      <c r="L768" s="60">
        <f t="shared" si="41"/>
        <v>1900</v>
      </c>
      <c r="M768" s="60">
        <f t="shared" si="42"/>
        <v>1</v>
      </c>
    </row>
    <row r="769" customHeight="1" spans="2:13">
      <c r="B769" s="59">
        <v>766</v>
      </c>
      <c r="C769" s="87"/>
      <c r="D769" s="87"/>
      <c r="E769" s="87"/>
      <c r="F769" s="60" t="str">
        <f>IFERROR(VLOOKUP($E769,'基础-办公用品信息'!$C:$E,2,FALSE),"-")</f>
        <v>-</v>
      </c>
      <c r="G769" s="60" t="str">
        <f>IFERROR(VLOOKUP($E769,'基础-办公用品信息'!$C:$E,3,FALSE),"-")</f>
        <v>-</v>
      </c>
      <c r="H769" s="126" t="str">
        <f>IFERROR(VLOOKUP($E769,'基础-办公用品信息'!$C:$F,4,FALSE),"-")</f>
        <v>-</v>
      </c>
      <c r="I769" s="87"/>
      <c r="J769" s="61" t="str">
        <f t="shared" si="40"/>
        <v>-</v>
      </c>
      <c r="K769" s="87"/>
      <c r="L769" s="60">
        <f t="shared" si="41"/>
        <v>1900</v>
      </c>
      <c r="M769" s="60">
        <f t="shared" si="42"/>
        <v>1</v>
      </c>
    </row>
    <row r="770" customHeight="1" spans="2:13">
      <c r="B770" s="59">
        <v>767</v>
      </c>
      <c r="C770" s="87"/>
      <c r="D770" s="87"/>
      <c r="E770" s="87"/>
      <c r="F770" s="60" t="str">
        <f>IFERROR(VLOOKUP($E770,'基础-办公用品信息'!$C:$E,2,FALSE),"-")</f>
        <v>-</v>
      </c>
      <c r="G770" s="60" t="str">
        <f>IFERROR(VLOOKUP($E770,'基础-办公用品信息'!$C:$E,3,FALSE),"-")</f>
        <v>-</v>
      </c>
      <c r="H770" s="126" t="str">
        <f>IFERROR(VLOOKUP($E770,'基础-办公用品信息'!$C:$F,4,FALSE),"-")</f>
        <v>-</v>
      </c>
      <c r="I770" s="87"/>
      <c r="J770" s="61" t="str">
        <f t="shared" si="40"/>
        <v>-</v>
      </c>
      <c r="K770" s="87"/>
      <c r="L770" s="60">
        <f t="shared" si="41"/>
        <v>1900</v>
      </c>
      <c r="M770" s="60">
        <f t="shared" si="42"/>
        <v>1</v>
      </c>
    </row>
    <row r="771" customHeight="1" spans="2:13">
      <c r="B771" s="59">
        <v>768</v>
      </c>
      <c r="C771" s="87"/>
      <c r="D771" s="87"/>
      <c r="E771" s="87"/>
      <c r="F771" s="60" t="str">
        <f>IFERROR(VLOOKUP($E771,'基础-办公用品信息'!$C:$E,2,FALSE),"-")</f>
        <v>-</v>
      </c>
      <c r="G771" s="60" t="str">
        <f>IFERROR(VLOOKUP($E771,'基础-办公用品信息'!$C:$E,3,FALSE),"-")</f>
        <v>-</v>
      </c>
      <c r="H771" s="126" t="str">
        <f>IFERROR(VLOOKUP($E771,'基础-办公用品信息'!$C:$F,4,FALSE),"-")</f>
        <v>-</v>
      </c>
      <c r="I771" s="87"/>
      <c r="J771" s="61" t="str">
        <f t="shared" si="40"/>
        <v>-</v>
      </c>
      <c r="K771" s="87"/>
      <c r="L771" s="60">
        <f t="shared" si="41"/>
        <v>1900</v>
      </c>
      <c r="M771" s="60">
        <f t="shared" si="42"/>
        <v>1</v>
      </c>
    </row>
    <row r="772" customHeight="1" spans="2:13">
      <c r="B772" s="59">
        <v>769</v>
      </c>
      <c r="C772" s="87"/>
      <c r="D772" s="87"/>
      <c r="E772" s="87"/>
      <c r="F772" s="60" t="str">
        <f>IFERROR(VLOOKUP($E772,'基础-办公用品信息'!$C:$E,2,FALSE),"-")</f>
        <v>-</v>
      </c>
      <c r="G772" s="60" t="str">
        <f>IFERROR(VLOOKUP($E772,'基础-办公用品信息'!$C:$E,3,FALSE),"-")</f>
        <v>-</v>
      </c>
      <c r="H772" s="126" t="str">
        <f>IFERROR(VLOOKUP($E772,'基础-办公用品信息'!$C:$F,4,FALSE),"-")</f>
        <v>-</v>
      </c>
      <c r="I772" s="87"/>
      <c r="J772" s="61" t="str">
        <f t="shared" si="40"/>
        <v>-</v>
      </c>
      <c r="K772" s="87"/>
      <c r="L772" s="60">
        <f t="shared" si="41"/>
        <v>1900</v>
      </c>
      <c r="M772" s="60">
        <f t="shared" si="42"/>
        <v>1</v>
      </c>
    </row>
    <row r="773" customHeight="1" spans="2:13">
      <c r="B773" s="59">
        <v>770</v>
      </c>
      <c r="C773" s="87"/>
      <c r="D773" s="87"/>
      <c r="E773" s="87"/>
      <c r="F773" s="60" t="str">
        <f>IFERROR(VLOOKUP($E773,'基础-办公用品信息'!$C:$E,2,FALSE),"-")</f>
        <v>-</v>
      </c>
      <c r="G773" s="60" t="str">
        <f>IFERROR(VLOOKUP($E773,'基础-办公用品信息'!$C:$E,3,FALSE),"-")</f>
        <v>-</v>
      </c>
      <c r="H773" s="126" t="str">
        <f>IFERROR(VLOOKUP($E773,'基础-办公用品信息'!$C:$F,4,FALSE),"-")</f>
        <v>-</v>
      </c>
      <c r="I773" s="87"/>
      <c r="J773" s="61" t="str">
        <f t="shared" si="40"/>
        <v>-</v>
      </c>
      <c r="K773" s="87"/>
      <c r="L773" s="60">
        <f t="shared" si="41"/>
        <v>1900</v>
      </c>
      <c r="M773" s="60">
        <f t="shared" si="42"/>
        <v>1</v>
      </c>
    </row>
    <row r="774" customHeight="1" spans="2:13">
      <c r="B774" s="59">
        <v>771</v>
      </c>
      <c r="C774" s="87"/>
      <c r="D774" s="87"/>
      <c r="E774" s="87"/>
      <c r="F774" s="60" t="str">
        <f>IFERROR(VLOOKUP($E774,'基础-办公用品信息'!$C:$E,2,FALSE),"-")</f>
        <v>-</v>
      </c>
      <c r="G774" s="60" t="str">
        <f>IFERROR(VLOOKUP($E774,'基础-办公用品信息'!$C:$E,3,FALSE),"-")</f>
        <v>-</v>
      </c>
      <c r="H774" s="126" t="str">
        <f>IFERROR(VLOOKUP($E774,'基础-办公用品信息'!$C:$F,4,FALSE),"-")</f>
        <v>-</v>
      </c>
      <c r="I774" s="87"/>
      <c r="J774" s="61" t="str">
        <f t="shared" si="40"/>
        <v>-</v>
      </c>
      <c r="K774" s="87"/>
      <c r="L774" s="60">
        <f t="shared" si="41"/>
        <v>1900</v>
      </c>
      <c r="M774" s="60">
        <f t="shared" si="42"/>
        <v>1</v>
      </c>
    </row>
    <row r="775" customHeight="1" spans="2:13">
      <c r="B775" s="59">
        <v>772</v>
      </c>
      <c r="C775" s="87"/>
      <c r="D775" s="87"/>
      <c r="E775" s="87"/>
      <c r="F775" s="60" t="str">
        <f>IFERROR(VLOOKUP($E775,'基础-办公用品信息'!$C:$E,2,FALSE),"-")</f>
        <v>-</v>
      </c>
      <c r="G775" s="60" t="str">
        <f>IFERROR(VLOOKUP($E775,'基础-办公用品信息'!$C:$E,3,FALSE),"-")</f>
        <v>-</v>
      </c>
      <c r="H775" s="126" t="str">
        <f>IFERROR(VLOOKUP($E775,'基础-办公用品信息'!$C:$F,4,FALSE),"-")</f>
        <v>-</v>
      </c>
      <c r="I775" s="87"/>
      <c r="J775" s="61" t="str">
        <f t="shared" si="40"/>
        <v>-</v>
      </c>
      <c r="K775" s="87"/>
      <c r="L775" s="60">
        <f t="shared" si="41"/>
        <v>1900</v>
      </c>
      <c r="M775" s="60">
        <f t="shared" si="42"/>
        <v>1</v>
      </c>
    </row>
    <row r="776" customHeight="1" spans="2:13">
      <c r="B776" s="59">
        <v>773</v>
      </c>
      <c r="C776" s="87"/>
      <c r="D776" s="87"/>
      <c r="E776" s="87"/>
      <c r="F776" s="60" t="str">
        <f>IFERROR(VLOOKUP($E776,'基础-办公用品信息'!$C:$E,2,FALSE),"-")</f>
        <v>-</v>
      </c>
      <c r="G776" s="60" t="str">
        <f>IFERROR(VLOOKUP($E776,'基础-办公用品信息'!$C:$E,3,FALSE),"-")</f>
        <v>-</v>
      </c>
      <c r="H776" s="126" t="str">
        <f>IFERROR(VLOOKUP($E776,'基础-办公用品信息'!$C:$F,4,FALSE),"-")</f>
        <v>-</v>
      </c>
      <c r="I776" s="87"/>
      <c r="J776" s="61" t="str">
        <f t="shared" si="40"/>
        <v>-</v>
      </c>
      <c r="K776" s="87"/>
      <c r="L776" s="60">
        <f t="shared" si="41"/>
        <v>1900</v>
      </c>
      <c r="M776" s="60">
        <f t="shared" si="42"/>
        <v>1</v>
      </c>
    </row>
    <row r="777" customHeight="1" spans="2:13">
      <c r="B777" s="59">
        <v>774</v>
      </c>
      <c r="C777" s="87"/>
      <c r="D777" s="87"/>
      <c r="E777" s="87"/>
      <c r="F777" s="60" t="str">
        <f>IFERROR(VLOOKUP($E777,'基础-办公用品信息'!$C:$E,2,FALSE),"-")</f>
        <v>-</v>
      </c>
      <c r="G777" s="60" t="str">
        <f>IFERROR(VLOOKUP($E777,'基础-办公用品信息'!$C:$E,3,FALSE),"-")</f>
        <v>-</v>
      </c>
      <c r="H777" s="126" t="str">
        <f>IFERROR(VLOOKUP($E777,'基础-办公用品信息'!$C:$F,4,FALSE),"-")</f>
        <v>-</v>
      </c>
      <c r="I777" s="87"/>
      <c r="J777" s="61" t="str">
        <f t="shared" si="40"/>
        <v>-</v>
      </c>
      <c r="K777" s="87"/>
      <c r="L777" s="60">
        <f t="shared" si="41"/>
        <v>1900</v>
      </c>
      <c r="M777" s="60">
        <f t="shared" si="42"/>
        <v>1</v>
      </c>
    </row>
    <row r="778" customHeight="1" spans="2:13">
      <c r="B778" s="59">
        <v>775</v>
      </c>
      <c r="C778" s="87"/>
      <c r="D778" s="87"/>
      <c r="E778" s="87"/>
      <c r="F778" s="60" t="str">
        <f>IFERROR(VLOOKUP($E778,'基础-办公用品信息'!$C:$E,2,FALSE),"-")</f>
        <v>-</v>
      </c>
      <c r="G778" s="60" t="str">
        <f>IFERROR(VLOOKUP($E778,'基础-办公用品信息'!$C:$E,3,FALSE),"-")</f>
        <v>-</v>
      </c>
      <c r="H778" s="126" t="str">
        <f>IFERROR(VLOOKUP($E778,'基础-办公用品信息'!$C:$F,4,FALSE),"-")</f>
        <v>-</v>
      </c>
      <c r="I778" s="87"/>
      <c r="J778" s="61" t="str">
        <f t="shared" si="40"/>
        <v>-</v>
      </c>
      <c r="K778" s="87"/>
      <c r="L778" s="60">
        <f t="shared" si="41"/>
        <v>1900</v>
      </c>
      <c r="M778" s="60">
        <f t="shared" si="42"/>
        <v>1</v>
      </c>
    </row>
    <row r="779" customHeight="1" spans="2:13">
      <c r="B779" s="59">
        <v>776</v>
      </c>
      <c r="C779" s="87"/>
      <c r="D779" s="87"/>
      <c r="E779" s="87"/>
      <c r="F779" s="60" t="str">
        <f>IFERROR(VLOOKUP($E779,'基础-办公用品信息'!$C:$E,2,FALSE),"-")</f>
        <v>-</v>
      </c>
      <c r="G779" s="60" t="str">
        <f>IFERROR(VLOOKUP($E779,'基础-办公用品信息'!$C:$E,3,FALSE),"-")</f>
        <v>-</v>
      </c>
      <c r="H779" s="126" t="str">
        <f>IFERROR(VLOOKUP($E779,'基础-办公用品信息'!$C:$F,4,FALSE),"-")</f>
        <v>-</v>
      </c>
      <c r="I779" s="87"/>
      <c r="J779" s="61" t="str">
        <f t="shared" si="40"/>
        <v>-</v>
      </c>
      <c r="K779" s="87"/>
      <c r="L779" s="60">
        <f t="shared" si="41"/>
        <v>1900</v>
      </c>
      <c r="M779" s="60">
        <f t="shared" si="42"/>
        <v>1</v>
      </c>
    </row>
    <row r="780" customHeight="1" spans="2:13">
      <c r="B780" s="59">
        <v>777</v>
      </c>
      <c r="C780" s="87"/>
      <c r="D780" s="87"/>
      <c r="E780" s="87"/>
      <c r="F780" s="60" t="str">
        <f>IFERROR(VLOOKUP($E780,'基础-办公用品信息'!$C:$E,2,FALSE),"-")</f>
        <v>-</v>
      </c>
      <c r="G780" s="60" t="str">
        <f>IFERROR(VLOOKUP($E780,'基础-办公用品信息'!$C:$E,3,FALSE),"-")</f>
        <v>-</v>
      </c>
      <c r="H780" s="126" t="str">
        <f>IFERROR(VLOOKUP($E780,'基础-办公用品信息'!$C:$F,4,FALSE),"-")</f>
        <v>-</v>
      </c>
      <c r="I780" s="87"/>
      <c r="J780" s="61" t="str">
        <f t="shared" si="40"/>
        <v>-</v>
      </c>
      <c r="K780" s="87"/>
      <c r="L780" s="60">
        <f t="shared" si="41"/>
        <v>1900</v>
      </c>
      <c r="M780" s="60">
        <f t="shared" si="42"/>
        <v>1</v>
      </c>
    </row>
    <row r="781" customHeight="1" spans="2:13">
      <c r="B781" s="59">
        <v>778</v>
      </c>
      <c r="C781" s="87"/>
      <c r="D781" s="87"/>
      <c r="E781" s="87"/>
      <c r="F781" s="60" t="str">
        <f>IFERROR(VLOOKUP($E781,'基础-办公用品信息'!$C:$E,2,FALSE),"-")</f>
        <v>-</v>
      </c>
      <c r="G781" s="60" t="str">
        <f>IFERROR(VLOOKUP($E781,'基础-办公用品信息'!$C:$E,3,FALSE),"-")</f>
        <v>-</v>
      </c>
      <c r="H781" s="126" t="str">
        <f>IFERROR(VLOOKUP($E781,'基础-办公用品信息'!$C:$F,4,FALSE),"-")</f>
        <v>-</v>
      </c>
      <c r="I781" s="87"/>
      <c r="J781" s="61" t="str">
        <f t="shared" si="40"/>
        <v>-</v>
      </c>
      <c r="K781" s="87"/>
      <c r="L781" s="60">
        <f t="shared" si="41"/>
        <v>1900</v>
      </c>
      <c r="M781" s="60">
        <f t="shared" si="42"/>
        <v>1</v>
      </c>
    </row>
    <row r="782" customHeight="1" spans="2:13">
      <c r="B782" s="59">
        <v>779</v>
      </c>
      <c r="C782" s="87"/>
      <c r="D782" s="87"/>
      <c r="E782" s="87"/>
      <c r="F782" s="60" t="str">
        <f>IFERROR(VLOOKUP($E782,'基础-办公用品信息'!$C:$E,2,FALSE),"-")</f>
        <v>-</v>
      </c>
      <c r="G782" s="60" t="str">
        <f>IFERROR(VLOOKUP($E782,'基础-办公用品信息'!$C:$E,3,FALSE),"-")</f>
        <v>-</v>
      </c>
      <c r="H782" s="126" t="str">
        <f>IFERROR(VLOOKUP($E782,'基础-办公用品信息'!$C:$F,4,FALSE),"-")</f>
        <v>-</v>
      </c>
      <c r="I782" s="87"/>
      <c r="J782" s="61" t="str">
        <f t="shared" si="40"/>
        <v>-</v>
      </c>
      <c r="K782" s="87"/>
      <c r="L782" s="60">
        <f t="shared" si="41"/>
        <v>1900</v>
      </c>
      <c r="M782" s="60">
        <f t="shared" si="42"/>
        <v>1</v>
      </c>
    </row>
    <row r="783" customHeight="1" spans="2:13">
      <c r="B783" s="59">
        <v>780</v>
      </c>
      <c r="C783" s="87"/>
      <c r="D783" s="87"/>
      <c r="E783" s="87"/>
      <c r="F783" s="60" t="str">
        <f>IFERROR(VLOOKUP($E783,'基础-办公用品信息'!$C:$E,2,FALSE),"-")</f>
        <v>-</v>
      </c>
      <c r="G783" s="60" t="str">
        <f>IFERROR(VLOOKUP($E783,'基础-办公用品信息'!$C:$E,3,FALSE),"-")</f>
        <v>-</v>
      </c>
      <c r="H783" s="126" t="str">
        <f>IFERROR(VLOOKUP($E783,'基础-办公用品信息'!$C:$F,4,FALSE),"-")</f>
        <v>-</v>
      </c>
      <c r="I783" s="87"/>
      <c r="J783" s="61" t="str">
        <f t="shared" si="40"/>
        <v>-</v>
      </c>
      <c r="K783" s="87"/>
      <c r="L783" s="60">
        <f t="shared" si="41"/>
        <v>1900</v>
      </c>
      <c r="M783" s="60">
        <f t="shared" si="42"/>
        <v>1</v>
      </c>
    </row>
    <row r="784" customHeight="1" spans="2:13">
      <c r="B784" s="59">
        <v>781</v>
      </c>
      <c r="C784" s="87"/>
      <c r="D784" s="87"/>
      <c r="E784" s="87"/>
      <c r="F784" s="60" t="str">
        <f>IFERROR(VLOOKUP($E784,'基础-办公用品信息'!$C:$E,2,FALSE),"-")</f>
        <v>-</v>
      </c>
      <c r="G784" s="60" t="str">
        <f>IFERROR(VLOOKUP($E784,'基础-办公用品信息'!$C:$E,3,FALSE),"-")</f>
        <v>-</v>
      </c>
      <c r="H784" s="126" t="str">
        <f>IFERROR(VLOOKUP($E784,'基础-办公用品信息'!$C:$F,4,FALSE),"-")</f>
        <v>-</v>
      </c>
      <c r="I784" s="87"/>
      <c r="J784" s="61" t="str">
        <f t="shared" si="40"/>
        <v>-</v>
      </c>
      <c r="K784" s="87"/>
      <c r="L784" s="60">
        <f t="shared" si="41"/>
        <v>1900</v>
      </c>
      <c r="M784" s="60">
        <f t="shared" si="42"/>
        <v>1</v>
      </c>
    </row>
    <row r="785" customHeight="1" spans="2:13">
      <c r="B785" s="59">
        <v>782</v>
      </c>
      <c r="C785" s="87"/>
      <c r="D785" s="87"/>
      <c r="E785" s="87"/>
      <c r="F785" s="60" t="str">
        <f>IFERROR(VLOOKUP($E785,'基础-办公用品信息'!$C:$E,2,FALSE),"-")</f>
        <v>-</v>
      </c>
      <c r="G785" s="60" t="str">
        <f>IFERROR(VLOOKUP($E785,'基础-办公用品信息'!$C:$E,3,FALSE),"-")</f>
        <v>-</v>
      </c>
      <c r="H785" s="126" t="str">
        <f>IFERROR(VLOOKUP($E785,'基础-办公用品信息'!$C:$F,4,FALSE),"-")</f>
        <v>-</v>
      </c>
      <c r="I785" s="87"/>
      <c r="J785" s="61" t="str">
        <f t="shared" si="40"/>
        <v>-</v>
      </c>
      <c r="K785" s="87"/>
      <c r="L785" s="60">
        <f t="shared" si="41"/>
        <v>1900</v>
      </c>
      <c r="M785" s="60">
        <f t="shared" si="42"/>
        <v>1</v>
      </c>
    </row>
    <row r="786" customHeight="1" spans="2:13">
      <c r="B786" s="59">
        <v>783</v>
      </c>
      <c r="C786" s="87"/>
      <c r="D786" s="87"/>
      <c r="E786" s="87"/>
      <c r="F786" s="60" t="str">
        <f>IFERROR(VLOOKUP($E786,'基础-办公用品信息'!$C:$E,2,FALSE),"-")</f>
        <v>-</v>
      </c>
      <c r="G786" s="60" t="str">
        <f>IFERROR(VLOOKUP($E786,'基础-办公用品信息'!$C:$E,3,FALSE),"-")</f>
        <v>-</v>
      </c>
      <c r="H786" s="126" t="str">
        <f>IFERROR(VLOOKUP($E786,'基础-办公用品信息'!$C:$F,4,FALSE),"-")</f>
        <v>-</v>
      </c>
      <c r="I786" s="87"/>
      <c r="J786" s="61" t="str">
        <f t="shared" si="40"/>
        <v>-</v>
      </c>
      <c r="K786" s="87"/>
      <c r="L786" s="60">
        <f t="shared" si="41"/>
        <v>1900</v>
      </c>
      <c r="M786" s="60">
        <f t="shared" si="42"/>
        <v>1</v>
      </c>
    </row>
    <row r="787" customHeight="1" spans="2:13">
      <c r="B787" s="59">
        <v>784</v>
      </c>
      <c r="C787" s="87"/>
      <c r="D787" s="87"/>
      <c r="E787" s="87"/>
      <c r="F787" s="60" t="str">
        <f>IFERROR(VLOOKUP($E787,'基础-办公用品信息'!$C:$E,2,FALSE),"-")</f>
        <v>-</v>
      </c>
      <c r="G787" s="60" t="str">
        <f>IFERROR(VLOOKUP($E787,'基础-办公用品信息'!$C:$E,3,FALSE),"-")</f>
        <v>-</v>
      </c>
      <c r="H787" s="126" t="str">
        <f>IFERROR(VLOOKUP($E787,'基础-办公用品信息'!$C:$F,4,FALSE),"-")</f>
        <v>-</v>
      </c>
      <c r="I787" s="87"/>
      <c r="J787" s="61" t="str">
        <f t="shared" si="40"/>
        <v>-</v>
      </c>
      <c r="K787" s="87"/>
      <c r="L787" s="60">
        <f t="shared" si="41"/>
        <v>1900</v>
      </c>
      <c r="M787" s="60">
        <f t="shared" si="42"/>
        <v>1</v>
      </c>
    </row>
    <row r="788" customHeight="1" spans="2:13">
      <c r="B788" s="59">
        <v>785</v>
      </c>
      <c r="C788" s="87"/>
      <c r="D788" s="87"/>
      <c r="E788" s="87"/>
      <c r="F788" s="60" t="str">
        <f>IFERROR(VLOOKUP($E788,'基础-办公用品信息'!$C:$E,2,FALSE),"-")</f>
        <v>-</v>
      </c>
      <c r="G788" s="60" t="str">
        <f>IFERROR(VLOOKUP($E788,'基础-办公用品信息'!$C:$E,3,FALSE),"-")</f>
        <v>-</v>
      </c>
      <c r="H788" s="126" t="str">
        <f>IFERROR(VLOOKUP($E788,'基础-办公用品信息'!$C:$F,4,FALSE),"-")</f>
        <v>-</v>
      </c>
      <c r="I788" s="87"/>
      <c r="J788" s="61" t="str">
        <f t="shared" si="40"/>
        <v>-</v>
      </c>
      <c r="K788" s="87"/>
      <c r="L788" s="60">
        <f t="shared" si="41"/>
        <v>1900</v>
      </c>
      <c r="M788" s="60">
        <f t="shared" si="42"/>
        <v>1</v>
      </c>
    </row>
    <row r="789" customHeight="1" spans="2:13">
      <c r="B789" s="59">
        <v>786</v>
      </c>
      <c r="C789" s="87"/>
      <c r="D789" s="87"/>
      <c r="E789" s="87"/>
      <c r="F789" s="60" t="str">
        <f>IFERROR(VLOOKUP($E789,'基础-办公用品信息'!$C:$E,2,FALSE),"-")</f>
        <v>-</v>
      </c>
      <c r="G789" s="60" t="str">
        <f>IFERROR(VLOOKUP($E789,'基础-办公用品信息'!$C:$E,3,FALSE),"-")</f>
        <v>-</v>
      </c>
      <c r="H789" s="126" t="str">
        <f>IFERROR(VLOOKUP($E789,'基础-办公用品信息'!$C:$F,4,FALSE),"-")</f>
        <v>-</v>
      </c>
      <c r="I789" s="87"/>
      <c r="J789" s="61" t="str">
        <f t="shared" si="40"/>
        <v>-</v>
      </c>
      <c r="K789" s="87"/>
      <c r="L789" s="60">
        <f t="shared" si="41"/>
        <v>1900</v>
      </c>
      <c r="M789" s="60">
        <f t="shared" si="42"/>
        <v>1</v>
      </c>
    </row>
    <row r="790" customHeight="1" spans="2:13">
      <c r="B790" s="59">
        <v>787</v>
      </c>
      <c r="C790" s="87"/>
      <c r="D790" s="87"/>
      <c r="E790" s="87"/>
      <c r="F790" s="60" t="str">
        <f>IFERROR(VLOOKUP($E790,'基础-办公用品信息'!$C:$E,2,FALSE),"-")</f>
        <v>-</v>
      </c>
      <c r="G790" s="60" t="str">
        <f>IFERROR(VLOOKUP($E790,'基础-办公用品信息'!$C:$E,3,FALSE),"-")</f>
        <v>-</v>
      </c>
      <c r="H790" s="126" t="str">
        <f>IFERROR(VLOOKUP($E790,'基础-办公用品信息'!$C:$F,4,FALSE),"-")</f>
        <v>-</v>
      </c>
      <c r="I790" s="87"/>
      <c r="J790" s="61" t="str">
        <f t="shared" si="40"/>
        <v>-</v>
      </c>
      <c r="K790" s="87"/>
      <c r="L790" s="60">
        <f t="shared" si="41"/>
        <v>1900</v>
      </c>
      <c r="M790" s="60">
        <f t="shared" si="42"/>
        <v>1</v>
      </c>
    </row>
    <row r="791" customHeight="1" spans="2:13">
      <c r="B791" s="59">
        <v>788</v>
      </c>
      <c r="C791" s="87"/>
      <c r="D791" s="87"/>
      <c r="E791" s="87"/>
      <c r="F791" s="60" t="str">
        <f>IFERROR(VLOOKUP($E791,'基础-办公用品信息'!$C:$E,2,FALSE),"-")</f>
        <v>-</v>
      </c>
      <c r="G791" s="60" t="str">
        <f>IFERROR(VLOOKUP($E791,'基础-办公用品信息'!$C:$E,3,FALSE),"-")</f>
        <v>-</v>
      </c>
      <c r="H791" s="126" t="str">
        <f>IFERROR(VLOOKUP($E791,'基础-办公用品信息'!$C:$F,4,FALSE),"-")</f>
        <v>-</v>
      </c>
      <c r="I791" s="87"/>
      <c r="J791" s="61" t="str">
        <f t="shared" si="40"/>
        <v>-</v>
      </c>
      <c r="K791" s="87"/>
      <c r="L791" s="60">
        <f t="shared" si="41"/>
        <v>1900</v>
      </c>
      <c r="M791" s="60">
        <f t="shared" si="42"/>
        <v>1</v>
      </c>
    </row>
    <row r="792" customHeight="1" spans="2:13">
      <c r="B792" s="59">
        <v>789</v>
      </c>
      <c r="C792" s="87"/>
      <c r="D792" s="87"/>
      <c r="E792" s="87"/>
      <c r="F792" s="60" t="str">
        <f>IFERROR(VLOOKUP($E792,'基础-办公用品信息'!$C:$E,2,FALSE),"-")</f>
        <v>-</v>
      </c>
      <c r="G792" s="60" t="str">
        <f>IFERROR(VLOOKUP($E792,'基础-办公用品信息'!$C:$E,3,FALSE),"-")</f>
        <v>-</v>
      </c>
      <c r="H792" s="126" t="str">
        <f>IFERROR(VLOOKUP($E792,'基础-办公用品信息'!$C:$F,4,FALSE),"-")</f>
        <v>-</v>
      </c>
      <c r="I792" s="87"/>
      <c r="J792" s="61" t="str">
        <f t="shared" si="40"/>
        <v>-</v>
      </c>
      <c r="K792" s="87"/>
      <c r="L792" s="60">
        <f t="shared" si="41"/>
        <v>1900</v>
      </c>
      <c r="M792" s="60">
        <f t="shared" si="42"/>
        <v>1</v>
      </c>
    </row>
    <row r="793" customHeight="1" spans="2:13">
      <c r="B793" s="59">
        <v>790</v>
      </c>
      <c r="C793" s="87"/>
      <c r="D793" s="87"/>
      <c r="E793" s="87"/>
      <c r="F793" s="60" t="str">
        <f>IFERROR(VLOOKUP($E793,'基础-办公用品信息'!$C:$E,2,FALSE),"-")</f>
        <v>-</v>
      </c>
      <c r="G793" s="60" t="str">
        <f>IFERROR(VLOOKUP($E793,'基础-办公用品信息'!$C:$E,3,FALSE),"-")</f>
        <v>-</v>
      </c>
      <c r="H793" s="126" t="str">
        <f>IFERROR(VLOOKUP($E793,'基础-办公用品信息'!$C:$F,4,FALSE),"-")</f>
        <v>-</v>
      </c>
      <c r="I793" s="87"/>
      <c r="J793" s="61" t="str">
        <f t="shared" si="40"/>
        <v>-</v>
      </c>
      <c r="K793" s="87"/>
      <c r="L793" s="60">
        <f t="shared" si="41"/>
        <v>1900</v>
      </c>
      <c r="M793" s="60">
        <f t="shared" si="42"/>
        <v>1</v>
      </c>
    </row>
    <row r="794" customHeight="1" spans="2:13">
      <c r="B794" s="59">
        <v>791</v>
      </c>
      <c r="C794" s="87"/>
      <c r="D794" s="87"/>
      <c r="E794" s="87"/>
      <c r="F794" s="60" t="str">
        <f>IFERROR(VLOOKUP($E794,'基础-办公用品信息'!$C:$E,2,FALSE),"-")</f>
        <v>-</v>
      </c>
      <c r="G794" s="60" t="str">
        <f>IFERROR(VLOOKUP($E794,'基础-办公用品信息'!$C:$E,3,FALSE),"-")</f>
        <v>-</v>
      </c>
      <c r="H794" s="126" t="str">
        <f>IFERROR(VLOOKUP($E794,'基础-办公用品信息'!$C:$F,4,FALSE),"-")</f>
        <v>-</v>
      </c>
      <c r="I794" s="87"/>
      <c r="J794" s="61" t="str">
        <f t="shared" si="40"/>
        <v>-</v>
      </c>
      <c r="K794" s="87"/>
      <c r="L794" s="60">
        <f t="shared" si="41"/>
        <v>1900</v>
      </c>
      <c r="M794" s="60">
        <f t="shared" si="42"/>
        <v>1</v>
      </c>
    </row>
    <row r="795" customHeight="1" spans="2:13">
      <c r="B795" s="59">
        <v>792</v>
      </c>
      <c r="C795" s="87"/>
      <c r="D795" s="87"/>
      <c r="E795" s="87"/>
      <c r="F795" s="60" t="str">
        <f>IFERROR(VLOOKUP($E795,'基础-办公用品信息'!$C:$E,2,FALSE),"-")</f>
        <v>-</v>
      </c>
      <c r="G795" s="60" t="str">
        <f>IFERROR(VLOOKUP($E795,'基础-办公用品信息'!$C:$E,3,FALSE),"-")</f>
        <v>-</v>
      </c>
      <c r="H795" s="126" t="str">
        <f>IFERROR(VLOOKUP($E795,'基础-办公用品信息'!$C:$F,4,FALSE),"-")</f>
        <v>-</v>
      </c>
      <c r="I795" s="87"/>
      <c r="J795" s="61" t="str">
        <f t="shared" si="40"/>
        <v>-</v>
      </c>
      <c r="K795" s="87"/>
      <c r="L795" s="60">
        <f t="shared" si="41"/>
        <v>1900</v>
      </c>
      <c r="M795" s="60">
        <f t="shared" si="42"/>
        <v>1</v>
      </c>
    </row>
    <row r="796" customHeight="1" spans="2:13">
      <c r="B796" s="59">
        <v>793</v>
      </c>
      <c r="C796" s="87"/>
      <c r="D796" s="87"/>
      <c r="E796" s="87"/>
      <c r="F796" s="60" t="str">
        <f>IFERROR(VLOOKUP($E796,'基础-办公用品信息'!$C:$E,2,FALSE),"-")</f>
        <v>-</v>
      </c>
      <c r="G796" s="60" t="str">
        <f>IFERROR(VLOOKUP($E796,'基础-办公用品信息'!$C:$E,3,FALSE),"-")</f>
        <v>-</v>
      </c>
      <c r="H796" s="126" t="str">
        <f>IFERROR(VLOOKUP($E796,'基础-办公用品信息'!$C:$F,4,FALSE),"-")</f>
        <v>-</v>
      </c>
      <c r="I796" s="87"/>
      <c r="J796" s="61" t="str">
        <f t="shared" si="40"/>
        <v>-</v>
      </c>
      <c r="K796" s="87"/>
      <c r="L796" s="60">
        <f t="shared" si="41"/>
        <v>1900</v>
      </c>
      <c r="M796" s="60">
        <f t="shared" si="42"/>
        <v>1</v>
      </c>
    </row>
    <row r="797" customHeight="1" spans="2:13">
      <c r="B797" s="59">
        <v>794</v>
      </c>
      <c r="C797" s="87"/>
      <c r="D797" s="87"/>
      <c r="E797" s="87"/>
      <c r="F797" s="60" t="str">
        <f>IFERROR(VLOOKUP($E797,'基础-办公用品信息'!$C:$E,2,FALSE),"-")</f>
        <v>-</v>
      </c>
      <c r="G797" s="60" t="str">
        <f>IFERROR(VLOOKUP($E797,'基础-办公用品信息'!$C:$E,3,FALSE),"-")</f>
        <v>-</v>
      </c>
      <c r="H797" s="126" t="str">
        <f>IFERROR(VLOOKUP($E797,'基础-办公用品信息'!$C:$F,4,FALSE),"-")</f>
        <v>-</v>
      </c>
      <c r="I797" s="87"/>
      <c r="J797" s="61" t="str">
        <f t="shared" si="40"/>
        <v>-</v>
      </c>
      <c r="K797" s="87"/>
      <c r="L797" s="60">
        <f t="shared" si="41"/>
        <v>1900</v>
      </c>
      <c r="M797" s="60">
        <f t="shared" si="42"/>
        <v>1</v>
      </c>
    </row>
    <row r="798" customHeight="1" spans="2:13">
      <c r="B798" s="59">
        <v>795</v>
      </c>
      <c r="C798" s="87"/>
      <c r="D798" s="87"/>
      <c r="E798" s="87"/>
      <c r="F798" s="60" t="str">
        <f>IFERROR(VLOOKUP($E798,'基础-办公用品信息'!$C:$E,2,FALSE),"-")</f>
        <v>-</v>
      </c>
      <c r="G798" s="60" t="str">
        <f>IFERROR(VLOOKUP($E798,'基础-办公用品信息'!$C:$E,3,FALSE),"-")</f>
        <v>-</v>
      </c>
      <c r="H798" s="126" t="str">
        <f>IFERROR(VLOOKUP($E798,'基础-办公用品信息'!$C:$F,4,FALSE),"-")</f>
        <v>-</v>
      </c>
      <c r="I798" s="87"/>
      <c r="J798" s="61" t="str">
        <f t="shared" si="40"/>
        <v>-</v>
      </c>
      <c r="K798" s="87"/>
      <c r="L798" s="60">
        <f t="shared" si="41"/>
        <v>1900</v>
      </c>
      <c r="M798" s="60">
        <f t="shared" si="42"/>
        <v>1</v>
      </c>
    </row>
    <row r="799" customHeight="1" spans="2:13">
      <c r="B799" s="59">
        <v>796</v>
      </c>
      <c r="C799" s="87"/>
      <c r="D799" s="87"/>
      <c r="E799" s="87"/>
      <c r="F799" s="60" t="str">
        <f>IFERROR(VLOOKUP($E799,'基础-办公用品信息'!$C:$E,2,FALSE),"-")</f>
        <v>-</v>
      </c>
      <c r="G799" s="60" t="str">
        <f>IFERROR(VLOOKUP($E799,'基础-办公用品信息'!$C:$E,3,FALSE),"-")</f>
        <v>-</v>
      </c>
      <c r="H799" s="126" t="str">
        <f>IFERROR(VLOOKUP($E799,'基础-办公用品信息'!$C:$F,4,FALSE),"-")</f>
        <v>-</v>
      </c>
      <c r="I799" s="87"/>
      <c r="J799" s="61" t="str">
        <f t="shared" si="40"/>
        <v>-</v>
      </c>
      <c r="K799" s="87"/>
      <c r="L799" s="60">
        <f t="shared" si="41"/>
        <v>1900</v>
      </c>
      <c r="M799" s="60">
        <f t="shared" si="42"/>
        <v>1</v>
      </c>
    </row>
    <row r="800" customHeight="1" spans="2:13">
      <c r="B800" s="59">
        <v>797</v>
      </c>
      <c r="C800" s="87"/>
      <c r="D800" s="87"/>
      <c r="E800" s="87"/>
      <c r="F800" s="60" t="str">
        <f>IFERROR(VLOOKUP($E800,'基础-办公用品信息'!$C:$E,2,FALSE),"-")</f>
        <v>-</v>
      </c>
      <c r="G800" s="60" t="str">
        <f>IFERROR(VLOOKUP($E800,'基础-办公用品信息'!$C:$E,3,FALSE),"-")</f>
        <v>-</v>
      </c>
      <c r="H800" s="126" t="str">
        <f>IFERROR(VLOOKUP($E800,'基础-办公用品信息'!$C:$F,4,FALSE),"-")</f>
        <v>-</v>
      </c>
      <c r="I800" s="87"/>
      <c r="J800" s="61" t="str">
        <f t="shared" si="40"/>
        <v>-</v>
      </c>
      <c r="K800" s="87"/>
      <c r="L800" s="60">
        <f t="shared" si="41"/>
        <v>1900</v>
      </c>
      <c r="M800" s="60">
        <f t="shared" si="42"/>
        <v>1</v>
      </c>
    </row>
    <row r="801" customHeight="1" spans="2:13">
      <c r="B801" s="59">
        <v>798</v>
      </c>
      <c r="C801" s="87"/>
      <c r="D801" s="87"/>
      <c r="E801" s="87"/>
      <c r="F801" s="60" t="str">
        <f>IFERROR(VLOOKUP($E801,'基础-办公用品信息'!$C:$E,2,FALSE),"-")</f>
        <v>-</v>
      </c>
      <c r="G801" s="60" t="str">
        <f>IFERROR(VLOOKUP($E801,'基础-办公用品信息'!$C:$E,3,FALSE),"-")</f>
        <v>-</v>
      </c>
      <c r="H801" s="126" t="str">
        <f>IFERROR(VLOOKUP($E801,'基础-办公用品信息'!$C:$F,4,FALSE),"-")</f>
        <v>-</v>
      </c>
      <c r="I801" s="87"/>
      <c r="J801" s="61" t="str">
        <f t="shared" si="40"/>
        <v>-</v>
      </c>
      <c r="K801" s="87"/>
      <c r="L801" s="60">
        <f t="shared" si="41"/>
        <v>1900</v>
      </c>
      <c r="M801" s="60">
        <f t="shared" si="42"/>
        <v>1</v>
      </c>
    </row>
    <row r="802" customHeight="1" spans="2:13">
      <c r="B802" s="59">
        <v>799</v>
      </c>
      <c r="C802" s="87"/>
      <c r="D802" s="87"/>
      <c r="E802" s="87"/>
      <c r="F802" s="60" t="str">
        <f>IFERROR(VLOOKUP($E802,'基础-办公用品信息'!$C:$E,2,FALSE),"-")</f>
        <v>-</v>
      </c>
      <c r="G802" s="60" t="str">
        <f>IFERROR(VLOOKUP($E802,'基础-办公用品信息'!$C:$E,3,FALSE),"-")</f>
        <v>-</v>
      </c>
      <c r="H802" s="126" t="str">
        <f>IFERROR(VLOOKUP($E802,'基础-办公用品信息'!$C:$F,4,FALSE),"-")</f>
        <v>-</v>
      </c>
      <c r="I802" s="87"/>
      <c r="J802" s="61" t="str">
        <f t="shared" si="40"/>
        <v>-</v>
      </c>
      <c r="K802" s="87"/>
      <c r="L802" s="60">
        <f t="shared" si="41"/>
        <v>1900</v>
      </c>
      <c r="M802" s="60">
        <f t="shared" si="42"/>
        <v>1</v>
      </c>
    </row>
    <row r="803" customHeight="1" spans="2:13">
      <c r="B803" s="59">
        <v>800</v>
      </c>
      <c r="C803" s="87"/>
      <c r="D803" s="87"/>
      <c r="E803" s="87"/>
      <c r="F803" s="60" t="str">
        <f>IFERROR(VLOOKUP($E803,'基础-办公用品信息'!$C:$E,2,FALSE),"-")</f>
        <v>-</v>
      </c>
      <c r="G803" s="60" t="str">
        <f>IFERROR(VLOOKUP($E803,'基础-办公用品信息'!$C:$E,3,FALSE),"-")</f>
        <v>-</v>
      </c>
      <c r="H803" s="126" t="str">
        <f>IFERROR(VLOOKUP($E803,'基础-办公用品信息'!$C:$F,4,FALSE),"-")</f>
        <v>-</v>
      </c>
      <c r="I803" s="87"/>
      <c r="J803" s="61" t="str">
        <f t="shared" si="40"/>
        <v>-</v>
      </c>
      <c r="K803" s="87"/>
      <c r="L803" s="60">
        <f t="shared" si="41"/>
        <v>1900</v>
      </c>
      <c r="M803" s="60">
        <f t="shared" si="42"/>
        <v>1</v>
      </c>
    </row>
    <row r="804" customHeight="1" spans="2:13">
      <c r="B804" s="59">
        <v>801</v>
      </c>
      <c r="C804" s="87"/>
      <c r="D804" s="87"/>
      <c r="E804" s="87"/>
      <c r="F804" s="60" t="str">
        <f>IFERROR(VLOOKUP($E804,'基础-办公用品信息'!$C:$E,2,FALSE),"-")</f>
        <v>-</v>
      </c>
      <c r="G804" s="60" t="str">
        <f>IFERROR(VLOOKUP($E804,'基础-办公用品信息'!$C:$E,3,FALSE),"-")</f>
        <v>-</v>
      </c>
      <c r="H804" s="126" t="str">
        <f>IFERROR(VLOOKUP($E804,'基础-办公用品信息'!$C:$F,4,FALSE),"-")</f>
        <v>-</v>
      </c>
      <c r="I804" s="87"/>
      <c r="J804" s="61" t="str">
        <f t="shared" si="40"/>
        <v>-</v>
      </c>
      <c r="K804" s="87"/>
      <c r="L804" s="60">
        <f t="shared" si="41"/>
        <v>1900</v>
      </c>
      <c r="M804" s="60">
        <f t="shared" si="42"/>
        <v>1</v>
      </c>
    </row>
    <row r="805" customHeight="1" spans="2:13">
      <c r="B805" s="59">
        <v>802</v>
      </c>
      <c r="C805" s="87"/>
      <c r="D805" s="87"/>
      <c r="E805" s="87"/>
      <c r="F805" s="60" t="str">
        <f>IFERROR(VLOOKUP($E805,'基础-办公用品信息'!$C:$E,2,FALSE),"-")</f>
        <v>-</v>
      </c>
      <c r="G805" s="60" t="str">
        <f>IFERROR(VLOOKUP($E805,'基础-办公用品信息'!$C:$E,3,FALSE),"-")</f>
        <v>-</v>
      </c>
      <c r="H805" s="126" t="str">
        <f>IFERROR(VLOOKUP($E805,'基础-办公用品信息'!$C:$F,4,FALSE),"-")</f>
        <v>-</v>
      </c>
      <c r="I805" s="87"/>
      <c r="J805" s="61" t="str">
        <f t="shared" si="40"/>
        <v>-</v>
      </c>
      <c r="K805" s="87"/>
      <c r="L805" s="60">
        <f t="shared" si="41"/>
        <v>1900</v>
      </c>
      <c r="M805" s="60">
        <f t="shared" si="42"/>
        <v>1</v>
      </c>
    </row>
    <row r="806" customHeight="1" spans="2:13">
      <c r="B806" s="59">
        <v>803</v>
      </c>
      <c r="C806" s="87"/>
      <c r="D806" s="87"/>
      <c r="E806" s="87"/>
      <c r="F806" s="60" t="str">
        <f>IFERROR(VLOOKUP($E806,'基础-办公用品信息'!$C:$E,2,FALSE),"-")</f>
        <v>-</v>
      </c>
      <c r="G806" s="60" t="str">
        <f>IFERROR(VLOOKUP($E806,'基础-办公用品信息'!$C:$E,3,FALSE),"-")</f>
        <v>-</v>
      </c>
      <c r="H806" s="126" t="str">
        <f>IFERROR(VLOOKUP($E806,'基础-办公用品信息'!$C:$F,4,FALSE),"-")</f>
        <v>-</v>
      </c>
      <c r="I806" s="87"/>
      <c r="J806" s="61" t="str">
        <f t="shared" si="40"/>
        <v>-</v>
      </c>
      <c r="K806" s="87"/>
      <c r="L806" s="60">
        <f t="shared" si="41"/>
        <v>1900</v>
      </c>
      <c r="M806" s="60">
        <f t="shared" si="42"/>
        <v>1</v>
      </c>
    </row>
    <row r="807" customHeight="1" spans="2:13">
      <c r="B807" s="59">
        <v>804</v>
      </c>
      <c r="C807" s="87"/>
      <c r="D807" s="87"/>
      <c r="E807" s="87"/>
      <c r="F807" s="60" t="str">
        <f>IFERROR(VLOOKUP($E807,'基础-办公用品信息'!$C:$E,2,FALSE),"-")</f>
        <v>-</v>
      </c>
      <c r="G807" s="60" t="str">
        <f>IFERROR(VLOOKUP($E807,'基础-办公用品信息'!$C:$E,3,FALSE),"-")</f>
        <v>-</v>
      </c>
      <c r="H807" s="126" t="str">
        <f>IFERROR(VLOOKUP($E807,'基础-办公用品信息'!$C:$F,4,FALSE),"-")</f>
        <v>-</v>
      </c>
      <c r="I807" s="87"/>
      <c r="J807" s="61" t="str">
        <f t="shared" si="40"/>
        <v>-</v>
      </c>
      <c r="K807" s="87"/>
      <c r="L807" s="60">
        <f t="shared" si="41"/>
        <v>1900</v>
      </c>
      <c r="M807" s="60">
        <f t="shared" si="42"/>
        <v>1</v>
      </c>
    </row>
    <row r="808" customHeight="1" spans="2:13">
      <c r="B808" s="59">
        <v>805</v>
      </c>
      <c r="C808" s="87"/>
      <c r="D808" s="87"/>
      <c r="E808" s="87"/>
      <c r="F808" s="60" t="str">
        <f>IFERROR(VLOOKUP($E808,'基础-办公用品信息'!$C:$E,2,FALSE),"-")</f>
        <v>-</v>
      </c>
      <c r="G808" s="60" t="str">
        <f>IFERROR(VLOOKUP($E808,'基础-办公用品信息'!$C:$E,3,FALSE),"-")</f>
        <v>-</v>
      </c>
      <c r="H808" s="126" t="str">
        <f>IFERROR(VLOOKUP($E808,'基础-办公用品信息'!$C:$F,4,FALSE),"-")</f>
        <v>-</v>
      </c>
      <c r="I808" s="87"/>
      <c r="J808" s="61" t="str">
        <f t="shared" si="40"/>
        <v>-</v>
      </c>
      <c r="K808" s="87"/>
      <c r="L808" s="60">
        <f t="shared" si="41"/>
        <v>1900</v>
      </c>
      <c r="M808" s="60">
        <f t="shared" si="42"/>
        <v>1</v>
      </c>
    </row>
    <row r="809" customHeight="1" spans="2:13">
      <c r="B809" s="59">
        <v>806</v>
      </c>
      <c r="C809" s="87"/>
      <c r="D809" s="87"/>
      <c r="E809" s="87"/>
      <c r="F809" s="60" t="str">
        <f>IFERROR(VLOOKUP($E809,'基础-办公用品信息'!$C:$E,2,FALSE),"-")</f>
        <v>-</v>
      </c>
      <c r="G809" s="60" t="str">
        <f>IFERROR(VLOOKUP($E809,'基础-办公用品信息'!$C:$E,3,FALSE),"-")</f>
        <v>-</v>
      </c>
      <c r="H809" s="126" t="str">
        <f>IFERROR(VLOOKUP($E809,'基础-办公用品信息'!$C:$F,4,FALSE),"-")</f>
        <v>-</v>
      </c>
      <c r="I809" s="87"/>
      <c r="J809" s="61" t="str">
        <f t="shared" si="40"/>
        <v>-</v>
      </c>
      <c r="K809" s="87"/>
      <c r="L809" s="60">
        <f t="shared" si="41"/>
        <v>1900</v>
      </c>
      <c r="M809" s="60">
        <f t="shared" si="42"/>
        <v>1</v>
      </c>
    </row>
    <row r="810" customHeight="1" spans="2:13">
      <c r="B810" s="59">
        <v>807</v>
      </c>
      <c r="C810" s="87"/>
      <c r="D810" s="87"/>
      <c r="E810" s="87"/>
      <c r="F810" s="60" t="str">
        <f>IFERROR(VLOOKUP($E810,'基础-办公用品信息'!$C:$E,2,FALSE),"-")</f>
        <v>-</v>
      </c>
      <c r="G810" s="60" t="str">
        <f>IFERROR(VLOOKUP($E810,'基础-办公用品信息'!$C:$E,3,FALSE),"-")</f>
        <v>-</v>
      </c>
      <c r="H810" s="126" t="str">
        <f>IFERROR(VLOOKUP($E810,'基础-办公用品信息'!$C:$F,4,FALSE),"-")</f>
        <v>-</v>
      </c>
      <c r="I810" s="87"/>
      <c r="J810" s="61" t="str">
        <f t="shared" si="40"/>
        <v>-</v>
      </c>
      <c r="K810" s="87"/>
      <c r="L810" s="60">
        <f t="shared" si="41"/>
        <v>1900</v>
      </c>
      <c r="M810" s="60">
        <f t="shared" si="42"/>
        <v>1</v>
      </c>
    </row>
    <row r="811" customHeight="1" spans="2:13">
      <c r="B811" s="59">
        <v>808</v>
      </c>
      <c r="C811" s="87"/>
      <c r="D811" s="87"/>
      <c r="E811" s="87"/>
      <c r="F811" s="60" t="str">
        <f>IFERROR(VLOOKUP($E811,'基础-办公用品信息'!$C:$E,2,FALSE),"-")</f>
        <v>-</v>
      </c>
      <c r="G811" s="60" t="str">
        <f>IFERROR(VLOOKUP($E811,'基础-办公用品信息'!$C:$E,3,FALSE),"-")</f>
        <v>-</v>
      </c>
      <c r="H811" s="126" t="str">
        <f>IFERROR(VLOOKUP($E811,'基础-办公用品信息'!$C:$F,4,FALSE),"-")</f>
        <v>-</v>
      </c>
      <c r="I811" s="87"/>
      <c r="J811" s="61" t="str">
        <f t="shared" si="40"/>
        <v>-</v>
      </c>
      <c r="K811" s="87"/>
      <c r="L811" s="60">
        <f t="shared" si="41"/>
        <v>1900</v>
      </c>
      <c r="M811" s="60">
        <f t="shared" si="42"/>
        <v>1</v>
      </c>
    </row>
    <row r="812" customHeight="1" spans="2:13">
      <c r="B812" s="59">
        <v>809</v>
      </c>
      <c r="C812" s="87"/>
      <c r="D812" s="87"/>
      <c r="E812" s="87"/>
      <c r="F812" s="60" t="str">
        <f>IFERROR(VLOOKUP($E812,'基础-办公用品信息'!$C:$E,2,FALSE),"-")</f>
        <v>-</v>
      </c>
      <c r="G812" s="60" t="str">
        <f>IFERROR(VLOOKUP($E812,'基础-办公用品信息'!$C:$E,3,FALSE),"-")</f>
        <v>-</v>
      </c>
      <c r="H812" s="126" t="str">
        <f>IFERROR(VLOOKUP($E812,'基础-办公用品信息'!$C:$F,4,FALSE),"-")</f>
        <v>-</v>
      </c>
      <c r="I812" s="87"/>
      <c r="J812" s="61" t="str">
        <f t="shared" si="40"/>
        <v>-</v>
      </c>
      <c r="K812" s="87"/>
      <c r="L812" s="60">
        <f t="shared" si="41"/>
        <v>1900</v>
      </c>
      <c r="M812" s="60">
        <f t="shared" si="42"/>
        <v>1</v>
      </c>
    </row>
    <row r="813" customHeight="1" spans="2:13">
      <c r="B813" s="59">
        <v>810</v>
      </c>
      <c r="C813" s="87"/>
      <c r="D813" s="87"/>
      <c r="E813" s="87"/>
      <c r="F813" s="60" t="str">
        <f>IFERROR(VLOOKUP($E813,'基础-办公用品信息'!$C:$E,2,FALSE),"-")</f>
        <v>-</v>
      </c>
      <c r="G813" s="60" t="str">
        <f>IFERROR(VLOOKUP($E813,'基础-办公用品信息'!$C:$E,3,FALSE),"-")</f>
        <v>-</v>
      </c>
      <c r="H813" s="126" t="str">
        <f>IFERROR(VLOOKUP($E813,'基础-办公用品信息'!$C:$F,4,FALSE),"-")</f>
        <v>-</v>
      </c>
      <c r="I813" s="87"/>
      <c r="J813" s="61" t="str">
        <f t="shared" si="40"/>
        <v>-</v>
      </c>
      <c r="K813" s="87"/>
      <c r="L813" s="60">
        <f t="shared" si="41"/>
        <v>1900</v>
      </c>
      <c r="M813" s="60">
        <f t="shared" si="42"/>
        <v>1</v>
      </c>
    </row>
    <row r="814" customHeight="1" spans="2:13">
      <c r="B814" s="59">
        <v>811</v>
      </c>
      <c r="C814" s="87"/>
      <c r="D814" s="87"/>
      <c r="E814" s="87"/>
      <c r="F814" s="60" t="str">
        <f>IFERROR(VLOOKUP($E814,'基础-办公用品信息'!$C:$E,2,FALSE),"-")</f>
        <v>-</v>
      </c>
      <c r="G814" s="60" t="str">
        <f>IFERROR(VLOOKUP($E814,'基础-办公用品信息'!$C:$E,3,FALSE),"-")</f>
        <v>-</v>
      </c>
      <c r="H814" s="126" t="str">
        <f>IFERROR(VLOOKUP($E814,'基础-办公用品信息'!$C:$F,4,FALSE),"-")</f>
        <v>-</v>
      </c>
      <c r="I814" s="87"/>
      <c r="J814" s="61" t="str">
        <f t="shared" si="40"/>
        <v>-</v>
      </c>
      <c r="K814" s="87"/>
      <c r="L814" s="60">
        <f t="shared" si="41"/>
        <v>1900</v>
      </c>
      <c r="M814" s="60">
        <f t="shared" si="42"/>
        <v>1</v>
      </c>
    </row>
    <row r="815" customHeight="1" spans="2:13">
      <c r="B815" s="59">
        <v>812</v>
      </c>
      <c r="C815" s="87"/>
      <c r="D815" s="87"/>
      <c r="E815" s="87"/>
      <c r="F815" s="60" t="str">
        <f>IFERROR(VLOOKUP($E815,'基础-办公用品信息'!$C:$E,2,FALSE),"-")</f>
        <v>-</v>
      </c>
      <c r="G815" s="60" t="str">
        <f>IFERROR(VLOOKUP($E815,'基础-办公用品信息'!$C:$E,3,FALSE),"-")</f>
        <v>-</v>
      </c>
      <c r="H815" s="126" t="str">
        <f>IFERROR(VLOOKUP($E815,'基础-办公用品信息'!$C:$F,4,FALSE),"-")</f>
        <v>-</v>
      </c>
      <c r="I815" s="87"/>
      <c r="J815" s="61" t="str">
        <f t="shared" si="40"/>
        <v>-</v>
      </c>
      <c r="K815" s="87"/>
      <c r="L815" s="60">
        <f t="shared" si="41"/>
        <v>1900</v>
      </c>
      <c r="M815" s="60">
        <f t="shared" si="42"/>
        <v>1</v>
      </c>
    </row>
    <row r="816" customHeight="1" spans="2:13">
      <c r="B816" s="59">
        <v>813</v>
      </c>
      <c r="C816" s="87"/>
      <c r="D816" s="87"/>
      <c r="E816" s="87"/>
      <c r="F816" s="60" t="str">
        <f>IFERROR(VLOOKUP($E816,'基础-办公用品信息'!$C:$E,2,FALSE),"-")</f>
        <v>-</v>
      </c>
      <c r="G816" s="60" t="str">
        <f>IFERROR(VLOOKUP($E816,'基础-办公用品信息'!$C:$E,3,FALSE),"-")</f>
        <v>-</v>
      </c>
      <c r="H816" s="126" t="str">
        <f>IFERROR(VLOOKUP($E816,'基础-办公用品信息'!$C:$F,4,FALSE),"-")</f>
        <v>-</v>
      </c>
      <c r="I816" s="87"/>
      <c r="J816" s="61" t="str">
        <f t="shared" si="40"/>
        <v>-</v>
      </c>
      <c r="K816" s="87"/>
      <c r="L816" s="60">
        <f t="shared" si="41"/>
        <v>1900</v>
      </c>
      <c r="M816" s="60">
        <f t="shared" si="42"/>
        <v>1</v>
      </c>
    </row>
    <row r="817" customHeight="1" spans="2:13">
      <c r="B817" s="59">
        <v>814</v>
      </c>
      <c r="C817" s="87"/>
      <c r="D817" s="87"/>
      <c r="E817" s="87"/>
      <c r="F817" s="60" t="str">
        <f>IFERROR(VLOOKUP($E817,'基础-办公用品信息'!$C:$E,2,FALSE),"-")</f>
        <v>-</v>
      </c>
      <c r="G817" s="60" t="str">
        <f>IFERROR(VLOOKUP($E817,'基础-办公用品信息'!$C:$E,3,FALSE),"-")</f>
        <v>-</v>
      </c>
      <c r="H817" s="126" t="str">
        <f>IFERROR(VLOOKUP($E817,'基础-办公用品信息'!$C:$F,4,FALSE),"-")</f>
        <v>-</v>
      </c>
      <c r="I817" s="87"/>
      <c r="J817" s="61" t="str">
        <f t="shared" si="40"/>
        <v>-</v>
      </c>
      <c r="K817" s="87"/>
      <c r="L817" s="60">
        <f t="shared" si="41"/>
        <v>1900</v>
      </c>
      <c r="M817" s="60">
        <f t="shared" si="42"/>
        <v>1</v>
      </c>
    </row>
    <row r="818" customHeight="1" spans="2:13">
      <c r="B818" s="59">
        <v>815</v>
      </c>
      <c r="C818" s="87"/>
      <c r="D818" s="87"/>
      <c r="E818" s="87"/>
      <c r="F818" s="60" t="str">
        <f>IFERROR(VLOOKUP($E818,'基础-办公用品信息'!$C:$E,2,FALSE),"-")</f>
        <v>-</v>
      </c>
      <c r="G818" s="60" t="str">
        <f>IFERROR(VLOOKUP($E818,'基础-办公用品信息'!$C:$E,3,FALSE),"-")</f>
        <v>-</v>
      </c>
      <c r="H818" s="126" t="str">
        <f>IFERROR(VLOOKUP($E818,'基础-办公用品信息'!$C:$F,4,FALSE),"-")</f>
        <v>-</v>
      </c>
      <c r="I818" s="87"/>
      <c r="J818" s="61" t="str">
        <f t="shared" si="40"/>
        <v>-</v>
      </c>
      <c r="K818" s="87"/>
      <c r="L818" s="60">
        <f t="shared" si="41"/>
        <v>1900</v>
      </c>
      <c r="M818" s="60">
        <f t="shared" si="42"/>
        <v>1</v>
      </c>
    </row>
    <row r="819" customHeight="1" spans="2:13">
      <c r="B819" s="59">
        <v>816</v>
      </c>
      <c r="C819" s="87"/>
      <c r="D819" s="87"/>
      <c r="E819" s="87"/>
      <c r="F819" s="60" t="str">
        <f>IFERROR(VLOOKUP($E819,'基础-办公用品信息'!$C:$E,2,FALSE),"-")</f>
        <v>-</v>
      </c>
      <c r="G819" s="60" t="str">
        <f>IFERROR(VLOOKUP($E819,'基础-办公用品信息'!$C:$E,3,FALSE),"-")</f>
        <v>-</v>
      </c>
      <c r="H819" s="126" t="str">
        <f>IFERROR(VLOOKUP($E819,'基础-办公用品信息'!$C:$F,4,FALSE),"-")</f>
        <v>-</v>
      </c>
      <c r="I819" s="87"/>
      <c r="J819" s="61" t="str">
        <f t="shared" si="40"/>
        <v>-</v>
      </c>
      <c r="K819" s="87"/>
      <c r="L819" s="60">
        <f t="shared" si="41"/>
        <v>1900</v>
      </c>
      <c r="M819" s="60">
        <f t="shared" si="42"/>
        <v>1</v>
      </c>
    </row>
    <row r="820" customHeight="1" spans="2:13">
      <c r="B820" s="59">
        <v>817</v>
      </c>
      <c r="C820" s="87"/>
      <c r="D820" s="87"/>
      <c r="E820" s="87"/>
      <c r="F820" s="60" t="str">
        <f>IFERROR(VLOOKUP($E820,'基础-办公用品信息'!$C:$E,2,FALSE),"-")</f>
        <v>-</v>
      </c>
      <c r="G820" s="60" t="str">
        <f>IFERROR(VLOOKUP($E820,'基础-办公用品信息'!$C:$E,3,FALSE),"-")</f>
        <v>-</v>
      </c>
      <c r="H820" s="126" t="str">
        <f>IFERROR(VLOOKUP($E820,'基础-办公用品信息'!$C:$F,4,FALSE),"-")</f>
        <v>-</v>
      </c>
      <c r="I820" s="87"/>
      <c r="J820" s="61" t="str">
        <f t="shared" si="40"/>
        <v>-</v>
      </c>
      <c r="K820" s="87"/>
      <c r="L820" s="60">
        <f t="shared" si="41"/>
        <v>1900</v>
      </c>
      <c r="M820" s="60">
        <f t="shared" si="42"/>
        <v>1</v>
      </c>
    </row>
    <row r="821" customHeight="1" spans="2:13">
      <c r="B821" s="59">
        <v>818</v>
      </c>
      <c r="C821" s="87"/>
      <c r="D821" s="87"/>
      <c r="E821" s="87"/>
      <c r="F821" s="60" t="str">
        <f>IFERROR(VLOOKUP($E821,'基础-办公用品信息'!$C:$E,2,FALSE),"-")</f>
        <v>-</v>
      </c>
      <c r="G821" s="60" t="str">
        <f>IFERROR(VLOOKUP($E821,'基础-办公用品信息'!$C:$E,3,FALSE),"-")</f>
        <v>-</v>
      </c>
      <c r="H821" s="126" t="str">
        <f>IFERROR(VLOOKUP($E821,'基础-办公用品信息'!$C:$F,4,FALSE),"-")</f>
        <v>-</v>
      </c>
      <c r="I821" s="87"/>
      <c r="J821" s="61" t="str">
        <f t="shared" si="40"/>
        <v>-</v>
      </c>
      <c r="K821" s="87"/>
      <c r="L821" s="60">
        <f t="shared" si="41"/>
        <v>1900</v>
      </c>
      <c r="M821" s="60">
        <f t="shared" si="42"/>
        <v>1</v>
      </c>
    </row>
    <row r="822" customHeight="1" spans="2:13">
      <c r="B822" s="59">
        <v>819</v>
      </c>
      <c r="C822" s="87"/>
      <c r="D822" s="87"/>
      <c r="E822" s="87"/>
      <c r="F822" s="60" t="str">
        <f>IFERROR(VLOOKUP($E822,'基础-办公用品信息'!$C:$E,2,FALSE),"-")</f>
        <v>-</v>
      </c>
      <c r="G822" s="60" t="str">
        <f>IFERROR(VLOOKUP($E822,'基础-办公用品信息'!$C:$E,3,FALSE),"-")</f>
        <v>-</v>
      </c>
      <c r="H822" s="126" t="str">
        <f>IFERROR(VLOOKUP($E822,'基础-办公用品信息'!$C:$F,4,FALSE),"-")</f>
        <v>-</v>
      </c>
      <c r="I822" s="87"/>
      <c r="J822" s="61" t="str">
        <f t="shared" si="40"/>
        <v>-</v>
      </c>
      <c r="K822" s="87"/>
      <c r="L822" s="60">
        <f t="shared" si="41"/>
        <v>1900</v>
      </c>
      <c r="M822" s="60">
        <f t="shared" si="42"/>
        <v>1</v>
      </c>
    </row>
    <row r="823" customHeight="1" spans="2:13">
      <c r="B823" s="59">
        <v>820</v>
      </c>
      <c r="C823" s="87"/>
      <c r="D823" s="87"/>
      <c r="E823" s="87"/>
      <c r="F823" s="60" t="str">
        <f>IFERROR(VLOOKUP($E823,'基础-办公用品信息'!$C:$E,2,FALSE),"-")</f>
        <v>-</v>
      </c>
      <c r="G823" s="60" t="str">
        <f>IFERROR(VLOOKUP($E823,'基础-办公用品信息'!$C:$E,3,FALSE),"-")</f>
        <v>-</v>
      </c>
      <c r="H823" s="126" t="str">
        <f>IFERROR(VLOOKUP($E823,'基础-办公用品信息'!$C:$F,4,FALSE),"-")</f>
        <v>-</v>
      </c>
      <c r="I823" s="87"/>
      <c r="J823" s="61" t="str">
        <f t="shared" ref="J823:J886" si="43">IF(AND(H823&lt;&gt;"",I823&lt;&gt;""),H823*I823,"-")</f>
        <v>-</v>
      </c>
      <c r="K823" s="87"/>
      <c r="L823" s="60">
        <f t="shared" ref="L823:L886" si="44">YEAR(C823)</f>
        <v>1900</v>
      </c>
      <c r="M823" s="60">
        <f t="shared" ref="M823:M886" si="45">MONTH(C823)</f>
        <v>1</v>
      </c>
    </row>
    <row r="824" customHeight="1" spans="2:13">
      <c r="B824" s="59">
        <v>821</v>
      </c>
      <c r="C824" s="87"/>
      <c r="D824" s="87"/>
      <c r="E824" s="87"/>
      <c r="F824" s="60" t="str">
        <f>IFERROR(VLOOKUP($E824,'基础-办公用品信息'!$C:$E,2,FALSE),"-")</f>
        <v>-</v>
      </c>
      <c r="G824" s="60" t="str">
        <f>IFERROR(VLOOKUP($E824,'基础-办公用品信息'!$C:$E,3,FALSE),"-")</f>
        <v>-</v>
      </c>
      <c r="H824" s="126" t="str">
        <f>IFERROR(VLOOKUP($E824,'基础-办公用品信息'!$C:$F,4,FALSE),"-")</f>
        <v>-</v>
      </c>
      <c r="I824" s="87"/>
      <c r="J824" s="61" t="str">
        <f t="shared" si="43"/>
        <v>-</v>
      </c>
      <c r="K824" s="87"/>
      <c r="L824" s="60">
        <f t="shared" si="44"/>
        <v>1900</v>
      </c>
      <c r="M824" s="60">
        <f t="shared" si="45"/>
        <v>1</v>
      </c>
    </row>
    <row r="825" customHeight="1" spans="2:13">
      <c r="B825" s="59">
        <v>822</v>
      </c>
      <c r="C825" s="87"/>
      <c r="D825" s="87"/>
      <c r="E825" s="87"/>
      <c r="F825" s="60" t="str">
        <f>IFERROR(VLOOKUP($E825,'基础-办公用品信息'!$C:$E,2,FALSE),"-")</f>
        <v>-</v>
      </c>
      <c r="G825" s="60" t="str">
        <f>IFERROR(VLOOKUP($E825,'基础-办公用品信息'!$C:$E,3,FALSE),"-")</f>
        <v>-</v>
      </c>
      <c r="H825" s="126" t="str">
        <f>IFERROR(VLOOKUP($E825,'基础-办公用品信息'!$C:$F,4,FALSE),"-")</f>
        <v>-</v>
      </c>
      <c r="I825" s="87"/>
      <c r="J825" s="61" t="str">
        <f t="shared" si="43"/>
        <v>-</v>
      </c>
      <c r="K825" s="87"/>
      <c r="L825" s="60">
        <f t="shared" si="44"/>
        <v>1900</v>
      </c>
      <c r="M825" s="60">
        <f t="shared" si="45"/>
        <v>1</v>
      </c>
    </row>
    <row r="826" customHeight="1" spans="2:13">
      <c r="B826" s="59">
        <v>823</v>
      </c>
      <c r="C826" s="87"/>
      <c r="D826" s="87"/>
      <c r="E826" s="87"/>
      <c r="F826" s="60" t="str">
        <f>IFERROR(VLOOKUP($E826,'基础-办公用品信息'!$C:$E,2,FALSE),"-")</f>
        <v>-</v>
      </c>
      <c r="G826" s="60" t="str">
        <f>IFERROR(VLOOKUP($E826,'基础-办公用品信息'!$C:$E,3,FALSE),"-")</f>
        <v>-</v>
      </c>
      <c r="H826" s="126" t="str">
        <f>IFERROR(VLOOKUP($E826,'基础-办公用品信息'!$C:$F,4,FALSE),"-")</f>
        <v>-</v>
      </c>
      <c r="I826" s="87"/>
      <c r="J826" s="61" t="str">
        <f t="shared" si="43"/>
        <v>-</v>
      </c>
      <c r="K826" s="87"/>
      <c r="L826" s="60">
        <f t="shared" si="44"/>
        <v>1900</v>
      </c>
      <c r="M826" s="60">
        <f t="shared" si="45"/>
        <v>1</v>
      </c>
    </row>
    <row r="827" customHeight="1" spans="2:13">
      <c r="B827" s="59">
        <v>824</v>
      </c>
      <c r="C827" s="87"/>
      <c r="D827" s="87"/>
      <c r="E827" s="87"/>
      <c r="F827" s="60" t="str">
        <f>IFERROR(VLOOKUP($E827,'基础-办公用品信息'!$C:$E,2,FALSE),"-")</f>
        <v>-</v>
      </c>
      <c r="G827" s="60" t="str">
        <f>IFERROR(VLOOKUP($E827,'基础-办公用品信息'!$C:$E,3,FALSE),"-")</f>
        <v>-</v>
      </c>
      <c r="H827" s="126" t="str">
        <f>IFERROR(VLOOKUP($E827,'基础-办公用品信息'!$C:$F,4,FALSE),"-")</f>
        <v>-</v>
      </c>
      <c r="I827" s="87"/>
      <c r="J827" s="61" t="str">
        <f t="shared" si="43"/>
        <v>-</v>
      </c>
      <c r="K827" s="87"/>
      <c r="L827" s="60">
        <f t="shared" si="44"/>
        <v>1900</v>
      </c>
      <c r="M827" s="60">
        <f t="shared" si="45"/>
        <v>1</v>
      </c>
    </row>
    <row r="828" customHeight="1" spans="2:13">
      <c r="B828" s="59">
        <v>825</v>
      </c>
      <c r="C828" s="87"/>
      <c r="D828" s="87"/>
      <c r="E828" s="87"/>
      <c r="F828" s="60" t="str">
        <f>IFERROR(VLOOKUP($E828,'基础-办公用品信息'!$C:$E,2,FALSE),"-")</f>
        <v>-</v>
      </c>
      <c r="G828" s="60" t="str">
        <f>IFERROR(VLOOKUP($E828,'基础-办公用品信息'!$C:$E,3,FALSE),"-")</f>
        <v>-</v>
      </c>
      <c r="H828" s="126" t="str">
        <f>IFERROR(VLOOKUP($E828,'基础-办公用品信息'!$C:$F,4,FALSE),"-")</f>
        <v>-</v>
      </c>
      <c r="I828" s="87"/>
      <c r="J828" s="61" t="str">
        <f t="shared" si="43"/>
        <v>-</v>
      </c>
      <c r="K828" s="87"/>
      <c r="L828" s="60">
        <f t="shared" si="44"/>
        <v>1900</v>
      </c>
      <c r="M828" s="60">
        <f t="shared" si="45"/>
        <v>1</v>
      </c>
    </row>
    <row r="829" customHeight="1" spans="2:13">
      <c r="B829" s="59">
        <v>826</v>
      </c>
      <c r="C829" s="87"/>
      <c r="D829" s="87"/>
      <c r="E829" s="87"/>
      <c r="F829" s="60" t="str">
        <f>IFERROR(VLOOKUP($E829,'基础-办公用品信息'!$C:$E,2,FALSE),"-")</f>
        <v>-</v>
      </c>
      <c r="G829" s="60" t="str">
        <f>IFERROR(VLOOKUP($E829,'基础-办公用品信息'!$C:$E,3,FALSE),"-")</f>
        <v>-</v>
      </c>
      <c r="H829" s="126" t="str">
        <f>IFERROR(VLOOKUP($E829,'基础-办公用品信息'!$C:$F,4,FALSE),"-")</f>
        <v>-</v>
      </c>
      <c r="I829" s="87"/>
      <c r="J829" s="61" t="str">
        <f t="shared" si="43"/>
        <v>-</v>
      </c>
      <c r="K829" s="87"/>
      <c r="L829" s="60">
        <f t="shared" si="44"/>
        <v>1900</v>
      </c>
      <c r="M829" s="60">
        <f t="shared" si="45"/>
        <v>1</v>
      </c>
    </row>
    <row r="830" customHeight="1" spans="2:13">
      <c r="B830" s="59">
        <v>827</v>
      </c>
      <c r="C830" s="87"/>
      <c r="D830" s="87"/>
      <c r="E830" s="87"/>
      <c r="F830" s="60" t="str">
        <f>IFERROR(VLOOKUP($E830,'基础-办公用品信息'!$C:$E,2,FALSE),"-")</f>
        <v>-</v>
      </c>
      <c r="G830" s="60" t="str">
        <f>IFERROR(VLOOKUP($E830,'基础-办公用品信息'!$C:$E,3,FALSE),"-")</f>
        <v>-</v>
      </c>
      <c r="H830" s="126" t="str">
        <f>IFERROR(VLOOKUP($E830,'基础-办公用品信息'!$C:$F,4,FALSE),"-")</f>
        <v>-</v>
      </c>
      <c r="I830" s="87"/>
      <c r="J830" s="61" t="str">
        <f t="shared" si="43"/>
        <v>-</v>
      </c>
      <c r="K830" s="87"/>
      <c r="L830" s="60">
        <f t="shared" si="44"/>
        <v>1900</v>
      </c>
      <c r="M830" s="60">
        <f t="shared" si="45"/>
        <v>1</v>
      </c>
    </row>
    <row r="831" customHeight="1" spans="2:13">
      <c r="B831" s="59">
        <v>828</v>
      </c>
      <c r="C831" s="87"/>
      <c r="D831" s="87"/>
      <c r="E831" s="87"/>
      <c r="F831" s="60" t="str">
        <f>IFERROR(VLOOKUP($E831,'基础-办公用品信息'!$C:$E,2,FALSE),"-")</f>
        <v>-</v>
      </c>
      <c r="G831" s="60" t="str">
        <f>IFERROR(VLOOKUP($E831,'基础-办公用品信息'!$C:$E,3,FALSE),"-")</f>
        <v>-</v>
      </c>
      <c r="H831" s="126" t="str">
        <f>IFERROR(VLOOKUP($E831,'基础-办公用品信息'!$C:$F,4,FALSE),"-")</f>
        <v>-</v>
      </c>
      <c r="I831" s="87"/>
      <c r="J831" s="61" t="str">
        <f t="shared" si="43"/>
        <v>-</v>
      </c>
      <c r="K831" s="87"/>
      <c r="L831" s="60">
        <f t="shared" si="44"/>
        <v>1900</v>
      </c>
      <c r="M831" s="60">
        <f t="shared" si="45"/>
        <v>1</v>
      </c>
    </row>
    <row r="832" customHeight="1" spans="2:13">
      <c r="B832" s="59">
        <v>829</v>
      </c>
      <c r="C832" s="87"/>
      <c r="D832" s="87"/>
      <c r="E832" s="87"/>
      <c r="F832" s="60" t="str">
        <f>IFERROR(VLOOKUP($E832,'基础-办公用品信息'!$C:$E,2,FALSE),"-")</f>
        <v>-</v>
      </c>
      <c r="G832" s="60" t="str">
        <f>IFERROR(VLOOKUP($E832,'基础-办公用品信息'!$C:$E,3,FALSE),"-")</f>
        <v>-</v>
      </c>
      <c r="H832" s="126" t="str">
        <f>IFERROR(VLOOKUP($E832,'基础-办公用品信息'!$C:$F,4,FALSE),"-")</f>
        <v>-</v>
      </c>
      <c r="I832" s="87"/>
      <c r="J832" s="61" t="str">
        <f t="shared" si="43"/>
        <v>-</v>
      </c>
      <c r="K832" s="87"/>
      <c r="L832" s="60">
        <f t="shared" si="44"/>
        <v>1900</v>
      </c>
      <c r="M832" s="60">
        <f t="shared" si="45"/>
        <v>1</v>
      </c>
    </row>
    <row r="833" customHeight="1" spans="2:13">
      <c r="B833" s="59">
        <v>830</v>
      </c>
      <c r="C833" s="87"/>
      <c r="D833" s="87"/>
      <c r="E833" s="87"/>
      <c r="F833" s="60" t="str">
        <f>IFERROR(VLOOKUP($E833,'基础-办公用品信息'!$C:$E,2,FALSE),"-")</f>
        <v>-</v>
      </c>
      <c r="G833" s="60" t="str">
        <f>IFERROR(VLOOKUP($E833,'基础-办公用品信息'!$C:$E,3,FALSE),"-")</f>
        <v>-</v>
      </c>
      <c r="H833" s="126" t="str">
        <f>IFERROR(VLOOKUP($E833,'基础-办公用品信息'!$C:$F,4,FALSE),"-")</f>
        <v>-</v>
      </c>
      <c r="I833" s="87"/>
      <c r="J833" s="61" t="str">
        <f t="shared" si="43"/>
        <v>-</v>
      </c>
      <c r="K833" s="87"/>
      <c r="L833" s="60">
        <f t="shared" si="44"/>
        <v>1900</v>
      </c>
      <c r="M833" s="60">
        <f t="shared" si="45"/>
        <v>1</v>
      </c>
    </row>
    <row r="834" customHeight="1" spans="2:13">
      <c r="B834" s="59">
        <v>831</v>
      </c>
      <c r="C834" s="87"/>
      <c r="D834" s="87"/>
      <c r="E834" s="87"/>
      <c r="F834" s="60" t="str">
        <f>IFERROR(VLOOKUP($E834,'基础-办公用品信息'!$C:$E,2,FALSE),"-")</f>
        <v>-</v>
      </c>
      <c r="G834" s="60" t="str">
        <f>IFERROR(VLOOKUP($E834,'基础-办公用品信息'!$C:$E,3,FALSE),"-")</f>
        <v>-</v>
      </c>
      <c r="H834" s="126" t="str">
        <f>IFERROR(VLOOKUP($E834,'基础-办公用品信息'!$C:$F,4,FALSE),"-")</f>
        <v>-</v>
      </c>
      <c r="I834" s="87"/>
      <c r="J834" s="61" t="str">
        <f t="shared" si="43"/>
        <v>-</v>
      </c>
      <c r="K834" s="87"/>
      <c r="L834" s="60">
        <f t="shared" si="44"/>
        <v>1900</v>
      </c>
      <c r="M834" s="60">
        <f t="shared" si="45"/>
        <v>1</v>
      </c>
    </row>
    <row r="835" customHeight="1" spans="2:13">
      <c r="B835" s="59">
        <v>832</v>
      </c>
      <c r="C835" s="87"/>
      <c r="D835" s="87"/>
      <c r="E835" s="87"/>
      <c r="F835" s="60" t="str">
        <f>IFERROR(VLOOKUP($E835,'基础-办公用品信息'!$C:$E,2,FALSE),"-")</f>
        <v>-</v>
      </c>
      <c r="G835" s="60" t="str">
        <f>IFERROR(VLOOKUP($E835,'基础-办公用品信息'!$C:$E,3,FALSE),"-")</f>
        <v>-</v>
      </c>
      <c r="H835" s="126" t="str">
        <f>IFERROR(VLOOKUP($E835,'基础-办公用品信息'!$C:$F,4,FALSE),"-")</f>
        <v>-</v>
      </c>
      <c r="I835" s="87"/>
      <c r="J835" s="61" t="str">
        <f t="shared" si="43"/>
        <v>-</v>
      </c>
      <c r="K835" s="87"/>
      <c r="L835" s="60">
        <f t="shared" si="44"/>
        <v>1900</v>
      </c>
      <c r="M835" s="60">
        <f t="shared" si="45"/>
        <v>1</v>
      </c>
    </row>
    <row r="836" customHeight="1" spans="2:13">
      <c r="B836" s="59">
        <v>833</v>
      </c>
      <c r="C836" s="87"/>
      <c r="D836" s="87"/>
      <c r="E836" s="87"/>
      <c r="F836" s="60" t="str">
        <f>IFERROR(VLOOKUP($E836,'基础-办公用品信息'!$C:$E,2,FALSE),"-")</f>
        <v>-</v>
      </c>
      <c r="G836" s="60" t="str">
        <f>IFERROR(VLOOKUP($E836,'基础-办公用品信息'!$C:$E,3,FALSE),"-")</f>
        <v>-</v>
      </c>
      <c r="H836" s="126" t="str">
        <f>IFERROR(VLOOKUP($E836,'基础-办公用品信息'!$C:$F,4,FALSE),"-")</f>
        <v>-</v>
      </c>
      <c r="I836" s="87"/>
      <c r="J836" s="61" t="str">
        <f t="shared" si="43"/>
        <v>-</v>
      </c>
      <c r="K836" s="87"/>
      <c r="L836" s="60">
        <f t="shared" si="44"/>
        <v>1900</v>
      </c>
      <c r="M836" s="60">
        <f t="shared" si="45"/>
        <v>1</v>
      </c>
    </row>
    <row r="837" customHeight="1" spans="2:13">
      <c r="B837" s="59">
        <v>834</v>
      </c>
      <c r="C837" s="87"/>
      <c r="D837" s="87"/>
      <c r="E837" s="87"/>
      <c r="F837" s="60" t="str">
        <f>IFERROR(VLOOKUP($E837,'基础-办公用品信息'!$C:$E,2,FALSE),"-")</f>
        <v>-</v>
      </c>
      <c r="G837" s="60" t="str">
        <f>IFERROR(VLOOKUP($E837,'基础-办公用品信息'!$C:$E,3,FALSE),"-")</f>
        <v>-</v>
      </c>
      <c r="H837" s="126" t="str">
        <f>IFERROR(VLOOKUP($E837,'基础-办公用品信息'!$C:$F,4,FALSE),"-")</f>
        <v>-</v>
      </c>
      <c r="I837" s="87"/>
      <c r="J837" s="61" t="str">
        <f t="shared" si="43"/>
        <v>-</v>
      </c>
      <c r="K837" s="87"/>
      <c r="L837" s="60">
        <f t="shared" si="44"/>
        <v>1900</v>
      </c>
      <c r="M837" s="60">
        <f t="shared" si="45"/>
        <v>1</v>
      </c>
    </row>
    <row r="838" customHeight="1" spans="2:13">
      <c r="B838" s="59">
        <v>835</v>
      </c>
      <c r="C838" s="87"/>
      <c r="D838" s="87"/>
      <c r="E838" s="87"/>
      <c r="F838" s="60" t="str">
        <f>IFERROR(VLOOKUP($E838,'基础-办公用品信息'!$C:$E,2,FALSE),"-")</f>
        <v>-</v>
      </c>
      <c r="G838" s="60" t="str">
        <f>IFERROR(VLOOKUP($E838,'基础-办公用品信息'!$C:$E,3,FALSE),"-")</f>
        <v>-</v>
      </c>
      <c r="H838" s="126" t="str">
        <f>IFERROR(VLOOKUP($E838,'基础-办公用品信息'!$C:$F,4,FALSE),"-")</f>
        <v>-</v>
      </c>
      <c r="I838" s="87"/>
      <c r="J838" s="61" t="str">
        <f t="shared" si="43"/>
        <v>-</v>
      </c>
      <c r="K838" s="87"/>
      <c r="L838" s="60">
        <f t="shared" si="44"/>
        <v>1900</v>
      </c>
      <c r="M838" s="60">
        <f t="shared" si="45"/>
        <v>1</v>
      </c>
    </row>
    <row r="839" customHeight="1" spans="2:13">
      <c r="B839" s="59">
        <v>836</v>
      </c>
      <c r="C839" s="87"/>
      <c r="D839" s="87"/>
      <c r="E839" s="87"/>
      <c r="F839" s="60" t="str">
        <f>IFERROR(VLOOKUP($E839,'基础-办公用品信息'!$C:$E,2,FALSE),"-")</f>
        <v>-</v>
      </c>
      <c r="G839" s="60" t="str">
        <f>IFERROR(VLOOKUP($E839,'基础-办公用品信息'!$C:$E,3,FALSE),"-")</f>
        <v>-</v>
      </c>
      <c r="H839" s="126" t="str">
        <f>IFERROR(VLOOKUP($E839,'基础-办公用品信息'!$C:$F,4,FALSE),"-")</f>
        <v>-</v>
      </c>
      <c r="I839" s="87"/>
      <c r="J839" s="61" t="str">
        <f t="shared" si="43"/>
        <v>-</v>
      </c>
      <c r="K839" s="87"/>
      <c r="L839" s="60">
        <f t="shared" si="44"/>
        <v>1900</v>
      </c>
      <c r="M839" s="60">
        <f t="shared" si="45"/>
        <v>1</v>
      </c>
    </row>
    <row r="840" customHeight="1" spans="2:13">
      <c r="B840" s="59">
        <v>837</v>
      </c>
      <c r="C840" s="87"/>
      <c r="D840" s="87"/>
      <c r="E840" s="87"/>
      <c r="F840" s="60" t="str">
        <f>IFERROR(VLOOKUP($E840,'基础-办公用品信息'!$C:$E,2,FALSE),"-")</f>
        <v>-</v>
      </c>
      <c r="G840" s="60" t="str">
        <f>IFERROR(VLOOKUP($E840,'基础-办公用品信息'!$C:$E,3,FALSE),"-")</f>
        <v>-</v>
      </c>
      <c r="H840" s="126" t="str">
        <f>IFERROR(VLOOKUP($E840,'基础-办公用品信息'!$C:$F,4,FALSE),"-")</f>
        <v>-</v>
      </c>
      <c r="I840" s="87"/>
      <c r="J840" s="61" t="str">
        <f t="shared" si="43"/>
        <v>-</v>
      </c>
      <c r="K840" s="87"/>
      <c r="L840" s="60">
        <f t="shared" si="44"/>
        <v>1900</v>
      </c>
      <c r="M840" s="60">
        <f t="shared" si="45"/>
        <v>1</v>
      </c>
    </row>
    <row r="841" customHeight="1" spans="2:13">
      <c r="B841" s="59">
        <v>838</v>
      </c>
      <c r="C841" s="87"/>
      <c r="D841" s="87"/>
      <c r="E841" s="87"/>
      <c r="F841" s="60" t="str">
        <f>IFERROR(VLOOKUP($E841,'基础-办公用品信息'!$C:$E,2,FALSE),"-")</f>
        <v>-</v>
      </c>
      <c r="G841" s="60" t="str">
        <f>IFERROR(VLOOKUP($E841,'基础-办公用品信息'!$C:$E,3,FALSE),"-")</f>
        <v>-</v>
      </c>
      <c r="H841" s="126" t="str">
        <f>IFERROR(VLOOKUP($E841,'基础-办公用品信息'!$C:$F,4,FALSE),"-")</f>
        <v>-</v>
      </c>
      <c r="I841" s="87"/>
      <c r="J841" s="61" t="str">
        <f t="shared" si="43"/>
        <v>-</v>
      </c>
      <c r="K841" s="87"/>
      <c r="L841" s="60">
        <f t="shared" si="44"/>
        <v>1900</v>
      </c>
      <c r="M841" s="60">
        <f t="shared" si="45"/>
        <v>1</v>
      </c>
    </row>
    <row r="842" customHeight="1" spans="2:13">
      <c r="B842" s="59">
        <v>839</v>
      </c>
      <c r="C842" s="87"/>
      <c r="D842" s="87"/>
      <c r="E842" s="87"/>
      <c r="F842" s="60" t="str">
        <f>IFERROR(VLOOKUP($E842,'基础-办公用品信息'!$C:$E,2,FALSE),"-")</f>
        <v>-</v>
      </c>
      <c r="G842" s="60" t="str">
        <f>IFERROR(VLOOKUP($E842,'基础-办公用品信息'!$C:$E,3,FALSE),"-")</f>
        <v>-</v>
      </c>
      <c r="H842" s="126" t="str">
        <f>IFERROR(VLOOKUP($E842,'基础-办公用品信息'!$C:$F,4,FALSE),"-")</f>
        <v>-</v>
      </c>
      <c r="I842" s="87"/>
      <c r="J842" s="61" t="str">
        <f t="shared" si="43"/>
        <v>-</v>
      </c>
      <c r="K842" s="87"/>
      <c r="L842" s="60">
        <f t="shared" si="44"/>
        <v>1900</v>
      </c>
      <c r="M842" s="60">
        <f t="shared" si="45"/>
        <v>1</v>
      </c>
    </row>
    <row r="843" customHeight="1" spans="2:13">
      <c r="B843" s="59">
        <v>840</v>
      </c>
      <c r="C843" s="87"/>
      <c r="D843" s="87"/>
      <c r="E843" s="87"/>
      <c r="F843" s="60" t="str">
        <f>IFERROR(VLOOKUP($E843,'基础-办公用品信息'!$C:$E,2,FALSE),"-")</f>
        <v>-</v>
      </c>
      <c r="G843" s="60" t="str">
        <f>IFERROR(VLOOKUP($E843,'基础-办公用品信息'!$C:$E,3,FALSE),"-")</f>
        <v>-</v>
      </c>
      <c r="H843" s="126" t="str">
        <f>IFERROR(VLOOKUP($E843,'基础-办公用品信息'!$C:$F,4,FALSE),"-")</f>
        <v>-</v>
      </c>
      <c r="I843" s="87"/>
      <c r="J843" s="61" t="str">
        <f t="shared" si="43"/>
        <v>-</v>
      </c>
      <c r="K843" s="87"/>
      <c r="L843" s="60">
        <f t="shared" si="44"/>
        <v>1900</v>
      </c>
      <c r="M843" s="60">
        <f t="shared" si="45"/>
        <v>1</v>
      </c>
    </row>
    <row r="844" customHeight="1" spans="2:13">
      <c r="B844" s="59">
        <v>841</v>
      </c>
      <c r="C844" s="87"/>
      <c r="D844" s="87"/>
      <c r="E844" s="87"/>
      <c r="F844" s="60" t="str">
        <f>IFERROR(VLOOKUP($E844,'基础-办公用品信息'!$C:$E,2,FALSE),"-")</f>
        <v>-</v>
      </c>
      <c r="G844" s="60" t="str">
        <f>IFERROR(VLOOKUP($E844,'基础-办公用品信息'!$C:$E,3,FALSE),"-")</f>
        <v>-</v>
      </c>
      <c r="H844" s="126" t="str">
        <f>IFERROR(VLOOKUP($E844,'基础-办公用品信息'!$C:$F,4,FALSE),"-")</f>
        <v>-</v>
      </c>
      <c r="I844" s="87"/>
      <c r="J844" s="61" t="str">
        <f t="shared" si="43"/>
        <v>-</v>
      </c>
      <c r="K844" s="87"/>
      <c r="L844" s="60">
        <f t="shared" si="44"/>
        <v>1900</v>
      </c>
      <c r="M844" s="60">
        <f t="shared" si="45"/>
        <v>1</v>
      </c>
    </row>
    <row r="845" customHeight="1" spans="2:13">
      <c r="B845" s="59">
        <v>842</v>
      </c>
      <c r="C845" s="87"/>
      <c r="D845" s="87"/>
      <c r="E845" s="87"/>
      <c r="F845" s="60" t="str">
        <f>IFERROR(VLOOKUP($E845,'基础-办公用品信息'!$C:$E,2,FALSE),"-")</f>
        <v>-</v>
      </c>
      <c r="G845" s="60" t="str">
        <f>IFERROR(VLOOKUP($E845,'基础-办公用品信息'!$C:$E,3,FALSE),"-")</f>
        <v>-</v>
      </c>
      <c r="H845" s="126" t="str">
        <f>IFERROR(VLOOKUP($E845,'基础-办公用品信息'!$C:$F,4,FALSE),"-")</f>
        <v>-</v>
      </c>
      <c r="I845" s="87"/>
      <c r="J845" s="61" t="str">
        <f t="shared" si="43"/>
        <v>-</v>
      </c>
      <c r="K845" s="87"/>
      <c r="L845" s="60">
        <f t="shared" si="44"/>
        <v>1900</v>
      </c>
      <c r="M845" s="60">
        <f t="shared" si="45"/>
        <v>1</v>
      </c>
    </row>
    <row r="846" customHeight="1" spans="2:13">
      <c r="B846" s="59">
        <v>843</v>
      </c>
      <c r="C846" s="87"/>
      <c r="D846" s="87"/>
      <c r="E846" s="87"/>
      <c r="F846" s="60" t="str">
        <f>IFERROR(VLOOKUP($E846,'基础-办公用品信息'!$C:$E,2,FALSE),"-")</f>
        <v>-</v>
      </c>
      <c r="G846" s="60" t="str">
        <f>IFERROR(VLOOKUP($E846,'基础-办公用品信息'!$C:$E,3,FALSE),"-")</f>
        <v>-</v>
      </c>
      <c r="H846" s="126" t="str">
        <f>IFERROR(VLOOKUP($E846,'基础-办公用品信息'!$C:$F,4,FALSE),"-")</f>
        <v>-</v>
      </c>
      <c r="I846" s="87"/>
      <c r="J846" s="61" t="str">
        <f t="shared" si="43"/>
        <v>-</v>
      </c>
      <c r="K846" s="87"/>
      <c r="L846" s="60">
        <f t="shared" si="44"/>
        <v>1900</v>
      </c>
      <c r="M846" s="60">
        <f t="shared" si="45"/>
        <v>1</v>
      </c>
    </row>
    <row r="847" customHeight="1" spans="2:13">
      <c r="B847" s="59">
        <v>844</v>
      </c>
      <c r="C847" s="87"/>
      <c r="D847" s="87"/>
      <c r="E847" s="87"/>
      <c r="F847" s="60" t="str">
        <f>IFERROR(VLOOKUP($E847,'基础-办公用品信息'!$C:$E,2,FALSE),"-")</f>
        <v>-</v>
      </c>
      <c r="G847" s="60" t="str">
        <f>IFERROR(VLOOKUP($E847,'基础-办公用品信息'!$C:$E,3,FALSE),"-")</f>
        <v>-</v>
      </c>
      <c r="H847" s="126" t="str">
        <f>IFERROR(VLOOKUP($E847,'基础-办公用品信息'!$C:$F,4,FALSE),"-")</f>
        <v>-</v>
      </c>
      <c r="I847" s="87"/>
      <c r="J847" s="61" t="str">
        <f t="shared" si="43"/>
        <v>-</v>
      </c>
      <c r="K847" s="87"/>
      <c r="L847" s="60">
        <f t="shared" si="44"/>
        <v>1900</v>
      </c>
      <c r="M847" s="60">
        <f t="shared" si="45"/>
        <v>1</v>
      </c>
    </row>
    <row r="848" customHeight="1" spans="2:13">
      <c r="B848" s="59">
        <v>845</v>
      </c>
      <c r="C848" s="87"/>
      <c r="D848" s="87"/>
      <c r="E848" s="87"/>
      <c r="F848" s="60" t="str">
        <f>IFERROR(VLOOKUP($E848,'基础-办公用品信息'!$C:$E,2,FALSE),"-")</f>
        <v>-</v>
      </c>
      <c r="G848" s="60" t="str">
        <f>IFERROR(VLOOKUP($E848,'基础-办公用品信息'!$C:$E,3,FALSE),"-")</f>
        <v>-</v>
      </c>
      <c r="H848" s="126" t="str">
        <f>IFERROR(VLOOKUP($E848,'基础-办公用品信息'!$C:$F,4,FALSE),"-")</f>
        <v>-</v>
      </c>
      <c r="I848" s="87"/>
      <c r="J848" s="61" t="str">
        <f t="shared" si="43"/>
        <v>-</v>
      </c>
      <c r="K848" s="87"/>
      <c r="L848" s="60">
        <f t="shared" si="44"/>
        <v>1900</v>
      </c>
      <c r="M848" s="60">
        <f t="shared" si="45"/>
        <v>1</v>
      </c>
    </row>
    <row r="849" customHeight="1" spans="2:13">
      <c r="B849" s="59">
        <v>846</v>
      </c>
      <c r="C849" s="87"/>
      <c r="D849" s="87"/>
      <c r="E849" s="87"/>
      <c r="F849" s="60" t="str">
        <f>IFERROR(VLOOKUP($E849,'基础-办公用品信息'!$C:$E,2,FALSE),"-")</f>
        <v>-</v>
      </c>
      <c r="G849" s="60" t="str">
        <f>IFERROR(VLOOKUP($E849,'基础-办公用品信息'!$C:$E,3,FALSE),"-")</f>
        <v>-</v>
      </c>
      <c r="H849" s="126" t="str">
        <f>IFERROR(VLOOKUP($E849,'基础-办公用品信息'!$C:$F,4,FALSE),"-")</f>
        <v>-</v>
      </c>
      <c r="I849" s="87"/>
      <c r="J849" s="61" t="str">
        <f t="shared" si="43"/>
        <v>-</v>
      </c>
      <c r="K849" s="87"/>
      <c r="L849" s="60">
        <f t="shared" si="44"/>
        <v>1900</v>
      </c>
      <c r="M849" s="60">
        <f t="shared" si="45"/>
        <v>1</v>
      </c>
    </row>
    <row r="850" customHeight="1" spans="2:13">
      <c r="B850" s="59">
        <v>847</v>
      </c>
      <c r="C850" s="87"/>
      <c r="D850" s="87"/>
      <c r="E850" s="87"/>
      <c r="F850" s="60" t="str">
        <f>IFERROR(VLOOKUP($E850,'基础-办公用品信息'!$C:$E,2,FALSE),"-")</f>
        <v>-</v>
      </c>
      <c r="G850" s="60" t="str">
        <f>IFERROR(VLOOKUP($E850,'基础-办公用品信息'!$C:$E,3,FALSE),"-")</f>
        <v>-</v>
      </c>
      <c r="H850" s="126" t="str">
        <f>IFERROR(VLOOKUP($E850,'基础-办公用品信息'!$C:$F,4,FALSE),"-")</f>
        <v>-</v>
      </c>
      <c r="I850" s="87"/>
      <c r="J850" s="61" t="str">
        <f t="shared" si="43"/>
        <v>-</v>
      </c>
      <c r="K850" s="87"/>
      <c r="L850" s="60">
        <f t="shared" si="44"/>
        <v>1900</v>
      </c>
      <c r="M850" s="60">
        <f t="shared" si="45"/>
        <v>1</v>
      </c>
    </row>
    <row r="851" customHeight="1" spans="2:13">
      <c r="B851" s="59">
        <v>848</v>
      </c>
      <c r="C851" s="87"/>
      <c r="D851" s="87"/>
      <c r="E851" s="87"/>
      <c r="F851" s="60" t="str">
        <f>IFERROR(VLOOKUP($E851,'基础-办公用品信息'!$C:$E,2,FALSE),"-")</f>
        <v>-</v>
      </c>
      <c r="G851" s="60" t="str">
        <f>IFERROR(VLOOKUP($E851,'基础-办公用品信息'!$C:$E,3,FALSE),"-")</f>
        <v>-</v>
      </c>
      <c r="H851" s="126" t="str">
        <f>IFERROR(VLOOKUP($E851,'基础-办公用品信息'!$C:$F,4,FALSE),"-")</f>
        <v>-</v>
      </c>
      <c r="I851" s="87"/>
      <c r="J851" s="61" t="str">
        <f t="shared" si="43"/>
        <v>-</v>
      </c>
      <c r="K851" s="87"/>
      <c r="L851" s="60">
        <f t="shared" si="44"/>
        <v>1900</v>
      </c>
      <c r="M851" s="60">
        <f t="shared" si="45"/>
        <v>1</v>
      </c>
    </row>
    <row r="852" customHeight="1" spans="2:13">
      <c r="B852" s="59">
        <v>849</v>
      </c>
      <c r="C852" s="87"/>
      <c r="D852" s="87"/>
      <c r="E852" s="87"/>
      <c r="F852" s="60" t="str">
        <f>IFERROR(VLOOKUP($E852,'基础-办公用品信息'!$C:$E,2,FALSE),"-")</f>
        <v>-</v>
      </c>
      <c r="G852" s="60" t="str">
        <f>IFERROR(VLOOKUP($E852,'基础-办公用品信息'!$C:$E,3,FALSE),"-")</f>
        <v>-</v>
      </c>
      <c r="H852" s="126" t="str">
        <f>IFERROR(VLOOKUP($E852,'基础-办公用品信息'!$C:$F,4,FALSE),"-")</f>
        <v>-</v>
      </c>
      <c r="I852" s="87"/>
      <c r="J852" s="61" t="str">
        <f t="shared" si="43"/>
        <v>-</v>
      </c>
      <c r="K852" s="87"/>
      <c r="L852" s="60">
        <f t="shared" si="44"/>
        <v>1900</v>
      </c>
      <c r="M852" s="60">
        <f t="shared" si="45"/>
        <v>1</v>
      </c>
    </row>
    <row r="853" customHeight="1" spans="2:13">
      <c r="B853" s="59">
        <v>850</v>
      </c>
      <c r="C853" s="87"/>
      <c r="D853" s="87"/>
      <c r="E853" s="87"/>
      <c r="F853" s="60" t="str">
        <f>IFERROR(VLOOKUP($E853,'基础-办公用品信息'!$C:$E,2,FALSE),"-")</f>
        <v>-</v>
      </c>
      <c r="G853" s="60" t="str">
        <f>IFERROR(VLOOKUP($E853,'基础-办公用品信息'!$C:$E,3,FALSE),"-")</f>
        <v>-</v>
      </c>
      <c r="H853" s="126" t="str">
        <f>IFERROR(VLOOKUP($E853,'基础-办公用品信息'!$C:$F,4,FALSE),"-")</f>
        <v>-</v>
      </c>
      <c r="I853" s="87"/>
      <c r="J853" s="61" t="str">
        <f t="shared" si="43"/>
        <v>-</v>
      </c>
      <c r="K853" s="87"/>
      <c r="L853" s="60">
        <f t="shared" si="44"/>
        <v>1900</v>
      </c>
      <c r="M853" s="60">
        <f t="shared" si="45"/>
        <v>1</v>
      </c>
    </row>
    <row r="854" customHeight="1" spans="2:13">
      <c r="B854" s="59">
        <v>851</v>
      </c>
      <c r="C854" s="87"/>
      <c r="D854" s="87"/>
      <c r="E854" s="87"/>
      <c r="F854" s="60" t="str">
        <f>IFERROR(VLOOKUP($E854,'基础-办公用品信息'!$C:$E,2,FALSE),"-")</f>
        <v>-</v>
      </c>
      <c r="G854" s="60" t="str">
        <f>IFERROR(VLOOKUP($E854,'基础-办公用品信息'!$C:$E,3,FALSE),"-")</f>
        <v>-</v>
      </c>
      <c r="H854" s="126" t="str">
        <f>IFERROR(VLOOKUP($E854,'基础-办公用品信息'!$C:$F,4,FALSE),"-")</f>
        <v>-</v>
      </c>
      <c r="I854" s="87"/>
      <c r="J854" s="61" t="str">
        <f t="shared" si="43"/>
        <v>-</v>
      </c>
      <c r="K854" s="87"/>
      <c r="L854" s="60">
        <f t="shared" si="44"/>
        <v>1900</v>
      </c>
      <c r="M854" s="60">
        <f t="shared" si="45"/>
        <v>1</v>
      </c>
    </row>
    <row r="855" customHeight="1" spans="2:13">
      <c r="B855" s="59">
        <v>852</v>
      </c>
      <c r="C855" s="87"/>
      <c r="D855" s="87"/>
      <c r="E855" s="87"/>
      <c r="F855" s="60" t="str">
        <f>IFERROR(VLOOKUP($E855,'基础-办公用品信息'!$C:$E,2,FALSE),"-")</f>
        <v>-</v>
      </c>
      <c r="G855" s="60" t="str">
        <f>IFERROR(VLOOKUP($E855,'基础-办公用品信息'!$C:$E,3,FALSE),"-")</f>
        <v>-</v>
      </c>
      <c r="H855" s="126" t="str">
        <f>IFERROR(VLOOKUP($E855,'基础-办公用品信息'!$C:$F,4,FALSE),"-")</f>
        <v>-</v>
      </c>
      <c r="I855" s="87"/>
      <c r="J855" s="61" t="str">
        <f t="shared" si="43"/>
        <v>-</v>
      </c>
      <c r="K855" s="87"/>
      <c r="L855" s="60">
        <f t="shared" si="44"/>
        <v>1900</v>
      </c>
      <c r="M855" s="60">
        <f t="shared" si="45"/>
        <v>1</v>
      </c>
    </row>
    <row r="856" customHeight="1" spans="2:13">
      <c r="B856" s="59">
        <v>853</v>
      </c>
      <c r="C856" s="87"/>
      <c r="D856" s="87"/>
      <c r="E856" s="87"/>
      <c r="F856" s="60" t="str">
        <f>IFERROR(VLOOKUP($E856,'基础-办公用品信息'!$C:$E,2,FALSE),"-")</f>
        <v>-</v>
      </c>
      <c r="G856" s="60" t="str">
        <f>IFERROR(VLOOKUP($E856,'基础-办公用品信息'!$C:$E,3,FALSE),"-")</f>
        <v>-</v>
      </c>
      <c r="H856" s="126" t="str">
        <f>IFERROR(VLOOKUP($E856,'基础-办公用品信息'!$C:$F,4,FALSE),"-")</f>
        <v>-</v>
      </c>
      <c r="I856" s="87"/>
      <c r="J856" s="61" t="str">
        <f t="shared" si="43"/>
        <v>-</v>
      </c>
      <c r="K856" s="87"/>
      <c r="L856" s="60">
        <f t="shared" si="44"/>
        <v>1900</v>
      </c>
      <c r="M856" s="60">
        <f t="shared" si="45"/>
        <v>1</v>
      </c>
    </row>
    <row r="857" customHeight="1" spans="2:13">
      <c r="B857" s="59">
        <v>854</v>
      </c>
      <c r="C857" s="87"/>
      <c r="D857" s="87"/>
      <c r="E857" s="87"/>
      <c r="F857" s="60" t="str">
        <f>IFERROR(VLOOKUP($E857,'基础-办公用品信息'!$C:$E,2,FALSE),"-")</f>
        <v>-</v>
      </c>
      <c r="G857" s="60" t="str">
        <f>IFERROR(VLOOKUP($E857,'基础-办公用品信息'!$C:$E,3,FALSE),"-")</f>
        <v>-</v>
      </c>
      <c r="H857" s="126" t="str">
        <f>IFERROR(VLOOKUP($E857,'基础-办公用品信息'!$C:$F,4,FALSE),"-")</f>
        <v>-</v>
      </c>
      <c r="I857" s="87"/>
      <c r="J857" s="61" t="str">
        <f t="shared" si="43"/>
        <v>-</v>
      </c>
      <c r="K857" s="87"/>
      <c r="L857" s="60">
        <f t="shared" si="44"/>
        <v>1900</v>
      </c>
      <c r="M857" s="60">
        <f t="shared" si="45"/>
        <v>1</v>
      </c>
    </row>
    <row r="858" customHeight="1" spans="2:13">
      <c r="B858" s="59">
        <v>855</v>
      </c>
      <c r="C858" s="87"/>
      <c r="D858" s="87"/>
      <c r="E858" s="87"/>
      <c r="F858" s="60" t="str">
        <f>IFERROR(VLOOKUP($E858,'基础-办公用品信息'!$C:$E,2,FALSE),"-")</f>
        <v>-</v>
      </c>
      <c r="G858" s="60" t="str">
        <f>IFERROR(VLOOKUP($E858,'基础-办公用品信息'!$C:$E,3,FALSE),"-")</f>
        <v>-</v>
      </c>
      <c r="H858" s="126" t="str">
        <f>IFERROR(VLOOKUP($E858,'基础-办公用品信息'!$C:$F,4,FALSE),"-")</f>
        <v>-</v>
      </c>
      <c r="I858" s="87"/>
      <c r="J858" s="61" t="str">
        <f t="shared" si="43"/>
        <v>-</v>
      </c>
      <c r="K858" s="87"/>
      <c r="L858" s="60">
        <f t="shared" si="44"/>
        <v>1900</v>
      </c>
      <c r="M858" s="60">
        <f t="shared" si="45"/>
        <v>1</v>
      </c>
    </row>
    <row r="859" customHeight="1" spans="2:13">
      <c r="B859" s="59">
        <v>856</v>
      </c>
      <c r="C859" s="87"/>
      <c r="D859" s="87"/>
      <c r="E859" s="87"/>
      <c r="F859" s="60" t="str">
        <f>IFERROR(VLOOKUP($E859,'基础-办公用品信息'!$C:$E,2,FALSE),"-")</f>
        <v>-</v>
      </c>
      <c r="G859" s="60" t="str">
        <f>IFERROR(VLOOKUP($E859,'基础-办公用品信息'!$C:$E,3,FALSE),"-")</f>
        <v>-</v>
      </c>
      <c r="H859" s="126" t="str">
        <f>IFERROR(VLOOKUP($E859,'基础-办公用品信息'!$C:$F,4,FALSE),"-")</f>
        <v>-</v>
      </c>
      <c r="I859" s="87"/>
      <c r="J859" s="61" t="str">
        <f t="shared" si="43"/>
        <v>-</v>
      </c>
      <c r="K859" s="87"/>
      <c r="L859" s="60">
        <f t="shared" si="44"/>
        <v>1900</v>
      </c>
      <c r="M859" s="60">
        <f t="shared" si="45"/>
        <v>1</v>
      </c>
    </row>
    <row r="860" customHeight="1" spans="2:13">
      <c r="B860" s="59">
        <v>857</v>
      </c>
      <c r="C860" s="87"/>
      <c r="D860" s="87"/>
      <c r="E860" s="87"/>
      <c r="F860" s="60" t="str">
        <f>IFERROR(VLOOKUP($E860,'基础-办公用品信息'!$C:$E,2,FALSE),"-")</f>
        <v>-</v>
      </c>
      <c r="G860" s="60" t="str">
        <f>IFERROR(VLOOKUP($E860,'基础-办公用品信息'!$C:$E,3,FALSE),"-")</f>
        <v>-</v>
      </c>
      <c r="H860" s="126" t="str">
        <f>IFERROR(VLOOKUP($E860,'基础-办公用品信息'!$C:$F,4,FALSE),"-")</f>
        <v>-</v>
      </c>
      <c r="I860" s="87"/>
      <c r="J860" s="61" t="str">
        <f t="shared" si="43"/>
        <v>-</v>
      </c>
      <c r="K860" s="87"/>
      <c r="L860" s="60">
        <f t="shared" si="44"/>
        <v>1900</v>
      </c>
      <c r="M860" s="60">
        <f t="shared" si="45"/>
        <v>1</v>
      </c>
    </row>
    <row r="861" customHeight="1" spans="2:13">
      <c r="B861" s="59">
        <v>858</v>
      </c>
      <c r="C861" s="87"/>
      <c r="D861" s="87"/>
      <c r="E861" s="87"/>
      <c r="F861" s="60" t="str">
        <f>IFERROR(VLOOKUP($E861,'基础-办公用品信息'!$C:$E,2,FALSE),"-")</f>
        <v>-</v>
      </c>
      <c r="G861" s="60" t="str">
        <f>IFERROR(VLOOKUP($E861,'基础-办公用品信息'!$C:$E,3,FALSE),"-")</f>
        <v>-</v>
      </c>
      <c r="H861" s="126" t="str">
        <f>IFERROR(VLOOKUP($E861,'基础-办公用品信息'!$C:$F,4,FALSE),"-")</f>
        <v>-</v>
      </c>
      <c r="I861" s="87"/>
      <c r="J861" s="61" t="str">
        <f t="shared" si="43"/>
        <v>-</v>
      </c>
      <c r="K861" s="87"/>
      <c r="L861" s="60">
        <f t="shared" si="44"/>
        <v>1900</v>
      </c>
      <c r="M861" s="60">
        <f t="shared" si="45"/>
        <v>1</v>
      </c>
    </row>
    <row r="862" customHeight="1" spans="2:13">
      <c r="B862" s="59">
        <v>859</v>
      </c>
      <c r="C862" s="87"/>
      <c r="D862" s="87"/>
      <c r="E862" s="87"/>
      <c r="F862" s="60" t="str">
        <f>IFERROR(VLOOKUP($E862,'基础-办公用品信息'!$C:$E,2,FALSE),"-")</f>
        <v>-</v>
      </c>
      <c r="G862" s="60" t="str">
        <f>IFERROR(VLOOKUP($E862,'基础-办公用品信息'!$C:$E,3,FALSE),"-")</f>
        <v>-</v>
      </c>
      <c r="H862" s="126" t="str">
        <f>IFERROR(VLOOKUP($E862,'基础-办公用品信息'!$C:$F,4,FALSE),"-")</f>
        <v>-</v>
      </c>
      <c r="I862" s="87"/>
      <c r="J862" s="61" t="str">
        <f t="shared" si="43"/>
        <v>-</v>
      </c>
      <c r="K862" s="87"/>
      <c r="L862" s="60">
        <f t="shared" si="44"/>
        <v>1900</v>
      </c>
      <c r="M862" s="60">
        <f t="shared" si="45"/>
        <v>1</v>
      </c>
    </row>
    <row r="863" customHeight="1" spans="2:13">
      <c r="B863" s="59">
        <v>860</v>
      </c>
      <c r="C863" s="87"/>
      <c r="D863" s="87"/>
      <c r="E863" s="87"/>
      <c r="F863" s="60" t="str">
        <f>IFERROR(VLOOKUP($E863,'基础-办公用品信息'!$C:$E,2,FALSE),"-")</f>
        <v>-</v>
      </c>
      <c r="G863" s="60" t="str">
        <f>IFERROR(VLOOKUP($E863,'基础-办公用品信息'!$C:$E,3,FALSE),"-")</f>
        <v>-</v>
      </c>
      <c r="H863" s="126" t="str">
        <f>IFERROR(VLOOKUP($E863,'基础-办公用品信息'!$C:$F,4,FALSE),"-")</f>
        <v>-</v>
      </c>
      <c r="I863" s="87"/>
      <c r="J863" s="61" t="str">
        <f t="shared" si="43"/>
        <v>-</v>
      </c>
      <c r="K863" s="87"/>
      <c r="L863" s="60">
        <f t="shared" si="44"/>
        <v>1900</v>
      </c>
      <c r="M863" s="60">
        <f t="shared" si="45"/>
        <v>1</v>
      </c>
    </row>
    <row r="864" customHeight="1" spans="2:13">
      <c r="B864" s="59">
        <v>861</v>
      </c>
      <c r="C864" s="87"/>
      <c r="D864" s="87"/>
      <c r="E864" s="87"/>
      <c r="F864" s="60" t="str">
        <f>IFERROR(VLOOKUP($E864,'基础-办公用品信息'!$C:$E,2,FALSE),"-")</f>
        <v>-</v>
      </c>
      <c r="G864" s="60" t="str">
        <f>IFERROR(VLOOKUP($E864,'基础-办公用品信息'!$C:$E,3,FALSE),"-")</f>
        <v>-</v>
      </c>
      <c r="H864" s="126" t="str">
        <f>IFERROR(VLOOKUP($E864,'基础-办公用品信息'!$C:$F,4,FALSE),"-")</f>
        <v>-</v>
      </c>
      <c r="I864" s="87"/>
      <c r="J864" s="61" t="str">
        <f t="shared" si="43"/>
        <v>-</v>
      </c>
      <c r="K864" s="87"/>
      <c r="L864" s="60">
        <f t="shared" si="44"/>
        <v>1900</v>
      </c>
      <c r="M864" s="60">
        <f t="shared" si="45"/>
        <v>1</v>
      </c>
    </row>
    <row r="865" customHeight="1" spans="2:13">
      <c r="B865" s="59">
        <v>862</v>
      </c>
      <c r="C865" s="87"/>
      <c r="D865" s="87"/>
      <c r="E865" s="87"/>
      <c r="F865" s="60" t="str">
        <f>IFERROR(VLOOKUP($E865,'基础-办公用品信息'!$C:$E,2,FALSE),"-")</f>
        <v>-</v>
      </c>
      <c r="G865" s="60" t="str">
        <f>IFERROR(VLOOKUP($E865,'基础-办公用品信息'!$C:$E,3,FALSE),"-")</f>
        <v>-</v>
      </c>
      <c r="H865" s="126" t="str">
        <f>IFERROR(VLOOKUP($E865,'基础-办公用品信息'!$C:$F,4,FALSE),"-")</f>
        <v>-</v>
      </c>
      <c r="I865" s="87"/>
      <c r="J865" s="61" t="str">
        <f t="shared" si="43"/>
        <v>-</v>
      </c>
      <c r="K865" s="87"/>
      <c r="L865" s="60">
        <f t="shared" si="44"/>
        <v>1900</v>
      </c>
      <c r="M865" s="60">
        <f t="shared" si="45"/>
        <v>1</v>
      </c>
    </row>
    <row r="866" customHeight="1" spans="2:13">
      <c r="B866" s="59">
        <v>863</v>
      </c>
      <c r="C866" s="87"/>
      <c r="D866" s="87"/>
      <c r="E866" s="87"/>
      <c r="F866" s="60" t="str">
        <f>IFERROR(VLOOKUP($E866,'基础-办公用品信息'!$C:$E,2,FALSE),"-")</f>
        <v>-</v>
      </c>
      <c r="G866" s="60" t="str">
        <f>IFERROR(VLOOKUP($E866,'基础-办公用品信息'!$C:$E,3,FALSE),"-")</f>
        <v>-</v>
      </c>
      <c r="H866" s="126" t="str">
        <f>IFERROR(VLOOKUP($E866,'基础-办公用品信息'!$C:$F,4,FALSE),"-")</f>
        <v>-</v>
      </c>
      <c r="I866" s="87"/>
      <c r="J866" s="61" t="str">
        <f t="shared" si="43"/>
        <v>-</v>
      </c>
      <c r="K866" s="87"/>
      <c r="L866" s="60">
        <f t="shared" si="44"/>
        <v>1900</v>
      </c>
      <c r="M866" s="60">
        <f t="shared" si="45"/>
        <v>1</v>
      </c>
    </row>
    <row r="867" customHeight="1" spans="2:13">
      <c r="B867" s="59">
        <v>864</v>
      </c>
      <c r="C867" s="87"/>
      <c r="D867" s="87"/>
      <c r="E867" s="87"/>
      <c r="F867" s="60" t="str">
        <f>IFERROR(VLOOKUP($E867,'基础-办公用品信息'!$C:$E,2,FALSE),"-")</f>
        <v>-</v>
      </c>
      <c r="G867" s="60" t="str">
        <f>IFERROR(VLOOKUP($E867,'基础-办公用品信息'!$C:$E,3,FALSE),"-")</f>
        <v>-</v>
      </c>
      <c r="H867" s="126" t="str">
        <f>IFERROR(VLOOKUP($E867,'基础-办公用品信息'!$C:$F,4,FALSE),"-")</f>
        <v>-</v>
      </c>
      <c r="I867" s="87"/>
      <c r="J867" s="61" t="str">
        <f t="shared" si="43"/>
        <v>-</v>
      </c>
      <c r="K867" s="87"/>
      <c r="L867" s="60">
        <f t="shared" si="44"/>
        <v>1900</v>
      </c>
      <c r="M867" s="60">
        <f t="shared" si="45"/>
        <v>1</v>
      </c>
    </row>
    <row r="868" customHeight="1" spans="2:13">
      <c r="B868" s="59">
        <v>865</v>
      </c>
      <c r="C868" s="87"/>
      <c r="D868" s="87"/>
      <c r="E868" s="87"/>
      <c r="F868" s="60" t="str">
        <f>IFERROR(VLOOKUP($E868,'基础-办公用品信息'!$C:$E,2,FALSE),"-")</f>
        <v>-</v>
      </c>
      <c r="G868" s="60" t="str">
        <f>IFERROR(VLOOKUP($E868,'基础-办公用品信息'!$C:$E,3,FALSE),"-")</f>
        <v>-</v>
      </c>
      <c r="H868" s="126" t="str">
        <f>IFERROR(VLOOKUP($E868,'基础-办公用品信息'!$C:$F,4,FALSE),"-")</f>
        <v>-</v>
      </c>
      <c r="I868" s="87"/>
      <c r="J868" s="61" t="str">
        <f t="shared" si="43"/>
        <v>-</v>
      </c>
      <c r="K868" s="87"/>
      <c r="L868" s="60">
        <f t="shared" si="44"/>
        <v>1900</v>
      </c>
      <c r="M868" s="60">
        <f t="shared" si="45"/>
        <v>1</v>
      </c>
    </row>
    <row r="869" customHeight="1" spans="2:13">
      <c r="B869" s="59">
        <v>866</v>
      </c>
      <c r="C869" s="87"/>
      <c r="D869" s="87"/>
      <c r="E869" s="87"/>
      <c r="F869" s="60" t="str">
        <f>IFERROR(VLOOKUP($E869,'基础-办公用品信息'!$C:$E,2,FALSE),"-")</f>
        <v>-</v>
      </c>
      <c r="G869" s="60" t="str">
        <f>IFERROR(VLOOKUP($E869,'基础-办公用品信息'!$C:$E,3,FALSE),"-")</f>
        <v>-</v>
      </c>
      <c r="H869" s="126" t="str">
        <f>IFERROR(VLOOKUP($E869,'基础-办公用品信息'!$C:$F,4,FALSE),"-")</f>
        <v>-</v>
      </c>
      <c r="I869" s="87"/>
      <c r="J869" s="61" t="str">
        <f t="shared" si="43"/>
        <v>-</v>
      </c>
      <c r="K869" s="87"/>
      <c r="L869" s="60">
        <f t="shared" si="44"/>
        <v>1900</v>
      </c>
      <c r="M869" s="60">
        <f t="shared" si="45"/>
        <v>1</v>
      </c>
    </row>
    <row r="870" customHeight="1" spans="2:13">
      <c r="B870" s="59">
        <v>867</v>
      </c>
      <c r="C870" s="87"/>
      <c r="D870" s="87"/>
      <c r="E870" s="87"/>
      <c r="F870" s="60" t="str">
        <f>IFERROR(VLOOKUP($E870,'基础-办公用品信息'!$C:$E,2,FALSE),"-")</f>
        <v>-</v>
      </c>
      <c r="G870" s="60" t="str">
        <f>IFERROR(VLOOKUP($E870,'基础-办公用品信息'!$C:$E,3,FALSE),"-")</f>
        <v>-</v>
      </c>
      <c r="H870" s="126" t="str">
        <f>IFERROR(VLOOKUP($E870,'基础-办公用品信息'!$C:$F,4,FALSE),"-")</f>
        <v>-</v>
      </c>
      <c r="I870" s="87"/>
      <c r="J870" s="61" t="str">
        <f t="shared" si="43"/>
        <v>-</v>
      </c>
      <c r="K870" s="87"/>
      <c r="L870" s="60">
        <f t="shared" si="44"/>
        <v>1900</v>
      </c>
      <c r="M870" s="60">
        <f t="shared" si="45"/>
        <v>1</v>
      </c>
    </row>
    <row r="871" customHeight="1" spans="2:13">
      <c r="B871" s="59">
        <v>868</v>
      </c>
      <c r="C871" s="87"/>
      <c r="D871" s="87"/>
      <c r="E871" s="87"/>
      <c r="F871" s="60" t="str">
        <f>IFERROR(VLOOKUP($E871,'基础-办公用品信息'!$C:$E,2,FALSE),"-")</f>
        <v>-</v>
      </c>
      <c r="G871" s="60" t="str">
        <f>IFERROR(VLOOKUP($E871,'基础-办公用品信息'!$C:$E,3,FALSE),"-")</f>
        <v>-</v>
      </c>
      <c r="H871" s="126" t="str">
        <f>IFERROR(VLOOKUP($E871,'基础-办公用品信息'!$C:$F,4,FALSE),"-")</f>
        <v>-</v>
      </c>
      <c r="I871" s="87"/>
      <c r="J871" s="61" t="str">
        <f t="shared" si="43"/>
        <v>-</v>
      </c>
      <c r="K871" s="87"/>
      <c r="L871" s="60">
        <f t="shared" si="44"/>
        <v>1900</v>
      </c>
      <c r="M871" s="60">
        <f t="shared" si="45"/>
        <v>1</v>
      </c>
    </row>
    <row r="872" customHeight="1" spans="2:13">
      <c r="B872" s="59">
        <v>869</v>
      </c>
      <c r="C872" s="87"/>
      <c r="D872" s="87"/>
      <c r="E872" s="87"/>
      <c r="F872" s="60" t="str">
        <f>IFERROR(VLOOKUP($E872,'基础-办公用品信息'!$C:$E,2,FALSE),"-")</f>
        <v>-</v>
      </c>
      <c r="G872" s="60" t="str">
        <f>IFERROR(VLOOKUP($E872,'基础-办公用品信息'!$C:$E,3,FALSE),"-")</f>
        <v>-</v>
      </c>
      <c r="H872" s="126" t="str">
        <f>IFERROR(VLOOKUP($E872,'基础-办公用品信息'!$C:$F,4,FALSE),"-")</f>
        <v>-</v>
      </c>
      <c r="I872" s="87"/>
      <c r="J872" s="61" t="str">
        <f t="shared" si="43"/>
        <v>-</v>
      </c>
      <c r="K872" s="87"/>
      <c r="L872" s="60">
        <f t="shared" si="44"/>
        <v>1900</v>
      </c>
      <c r="M872" s="60">
        <f t="shared" si="45"/>
        <v>1</v>
      </c>
    </row>
    <row r="873" customHeight="1" spans="2:13">
      <c r="B873" s="59">
        <v>870</v>
      </c>
      <c r="C873" s="87"/>
      <c r="D873" s="87"/>
      <c r="E873" s="87"/>
      <c r="F873" s="60" t="str">
        <f>IFERROR(VLOOKUP($E873,'基础-办公用品信息'!$C:$E,2,FALSE),"-")</f>
        <v>-</v>
      </c>
      <c r="G873" s="60" t="str">
        <f>IFERROR(VLOOKUP($E873,'基础-办公用品信息'!$C:$E,3,FALSE),"-")</f>
        <v>-</v>
      </c>
      <c r="H873" s="126" t="str">
        <f>IFERROR(VLOOKUP($E873,'基础-办公用品信息'!$C:$F,4,FALSE),"-")</f>
        <v>-</v>
      </c>
      <c r="I873" s="87"/>
      <c r="J873" s="61" t="str">
        <f t="shared" si="43"/>
        <v>-</v>
      </c>
      <c r="K873" s="87"/>
      <c r="L873" s="60">
        <f t="shared" si="44"/>
        <v>1900</v>
      </c>
      <c r="M873" s="60">
        <f t="shared" si="45"/>
        <v>1</v>
      </c>
    </row>
    <row r="874" customHeight="1" spans="2:13">
      <c r="B874" s="59">
        <v>871</v>
      </c>
      <c r="C874" s="87"/>
      <c r="D874" s="87"/>
      <c r="E874" s="87"/>
      <c r="F874" s="60" t="str">
        <f>IFERROR(VLOOKUP($E874,'基础-办公用品信息'!$C:$E,2,FALSE),"-")</f>
        <v>-</v>
      </c>
      <c r="G874" s="60" t="str">
        <f>IFERROR(VLOOKUP($E874,'基础-办公用品信息'!$C:$E,3,FALSE),"-")</f>
        <v>-</v>
      </c>
      <c r="H874" s="126" t="str">
        <f>IFERROR(VLOOKUP($E874,'基础-办公用品信息'!$C:$F,4,FALSE),"-")</f>
        <v>-</v>
      </c>
      <c r="I874" s="87"/>
      <c r="J874" s="61" t="str">
        <f t="shared" si="43"/>
        <v>-</v>
      </c>
      <c r="K874" s="87"/>
      <c r="L874" s="60">
        <f t="shared" si="44"/>
        <v>1900</v>
      </c>
      <c r="M874" s="60">
        <f t="shared" si="45"/>
        <v>1</v>
      </c>
    </row>
    <row r="875" customHeight="1" spans="2:13">
      <c r="B875" s="59">
        <v>872</v>
      </c>
      <c r="C875" s="87"/>
      <c r="D875" s="87"/>
      <c r="E875" s="87"/>
      <c r="F875" s="60" t="str">
        <f>IFERROR(VLOOKUP($E875,'基础-办公用品信息'!$C:$E,2,FALSE),"-")</f>
        <v>-</v>
      </c>
      <c r="G875" s="60" t="str">
        <f>IFERROR(VLOOKUP($E875,'基础-办公用品信息'!$C:$E,3,FALSE),"-")</f>
        <v>-</v>
      </c>
      <c r="H875" s="126" t="str">
        <f>IFERROR(VLOOKUP($E875,'基础-办公用品信息'!$C:$F,4,FALSE),"-")</f>
        <v>-</v>
      </c>
      <c r="I875" s="87"/>
      <c r="J875" s="61" t="str">
        <f t="shared" si="43"/>
        <v>-</v>
      </c>
      <c r="K875" s="87"/>
      <c r="L875" s="60">
        <f t="shared" si="44"/>
        <v>1900</v>
      </c>
      <c r="M875" s="60">
        <f t="shared" si="45"/>
        <v>1</v>
      </c>
    </row>
    <row r="876" customHeight="1" spans="2:13">
      <c r="B876" s="59">
        <v>873</v>
      </c>
      <c r="C876" s="87"/>
      <c r="D876" s="87"/>
      <c r="E876" s="87"/>
      <c r="F876" s="60" t="str">
        <f>IFERROR(VLOOKUP($E876,'基础-办公用品信息'!$C:$E,2,FALSE),"-")</f>
        <v>-</v>
      </c>
      <c r="G876" s="60" t="str">
        <f>IFERROR(VLOOKUP($E876,'基础-办公用品信息'!$C:$E,3,FALSE),"-")</f>
        <v>-</v>
      </c>
      <c r="H876" s="126" t="str">
        <f>IFERROR(VLOOKUP($E876,'基础-办公用品信息'!$C:$F,4,FALSE),"-")</f>
        <v>-</v>
      </c>
      <c r="I876" s="87"/>
      <c r="J876" s="61" t="str">
        <f t="shared" si="43"/>
        <v>-</v>
      </c>
      <c r="K876" s="87"/>
      <c r="L876" s="60">
        <f t="shared" si="44"/>
        <v>1900</v>
      </c>
      <c r="M876" s="60">
        <f t="shared" si="45"/>
        <v>1</v>
      </c>
    </row>
    <row r="877" customHeight="1" spans="2:13">
      <c r="B877" s="59">
        <v>874</v>
      </c>
      <c r="C877" s="87"/>
      <c r="D877" s="87"/>
      <c r="E877" s="87"/>
      <c r="F877" s="60" t="str">
        <f>IFERROR(VLOOKUP($E877,'基础-办公用品信息'!$C:$E,2,FALSE),"-")</f>
        <v>-</v>
      </c>
      <c r="G877" s="60" t="str">
        <f>IFERROR(VLOOKUP($E877,'基础-办公用品信息'!$C:$E,3,FALSE),"-")</f>
        <v>-</v>
      </c>
      <c r="H877" s="126" t="str">
        <f>IFERROR(VLOOKUP($E877,'基础-办公用品信息'!$C:$F,4,FALSE),"-")</f>
        <v>-</v>
      </c>
      <c r="I877" s="87"/>
      <c r="J877" s="61" t="str">
        <f t="shared" si="43"/>
        <v>-</v>
      </c>
      <c r="K877" s="87"/>
      <c r="L877" s="60">
        <f t="shared" si="44"/>
        <v>1900</v>
      </c>
      <c r="M877" s="60">
        <f t="shared" si="45"/>
        <v>1</v>
      </c>
    </row>
    <row r="878" customHeight="1" spans="2:13">
      <c r="B878" s="59">
        <v>875</v>
      </c>
      <c r="C878" s="87"/>
      <c r="D878" s="87"/>
      <c r="E878" s="87"/>
      <c r="F878" s="60" t="str">
        <f>IFERROR(VLOOKUP($E878,'基础-办公用品信息'!$C:$E,2,FALSE),"-")</f>
        <v>-</v>
      </c>
      <c r="G878" s="60" t="str">
        <f>IFERROR(VLOOKUP($E878,'基础-办公用品信息'!$C:$E,3,FALSE),"-")</f>
        <v>-</v>
      </c>
      <c r="H878" s="126" t="str">
        <f>IFERROR(VLOOKUP($E878,'基础-办公用品信息'!$C:$F,4,FALSE),"-")</f>
        <v>-</v>
      </c>
      <c r="I878" s="87"/>
      <c r="J878" s="61" t="str">
        <f t="shared" si="43"/>
        <v>-</v>
      </c>
      <c r="K878" s="87"/>
      <c r="L878" s="60">
        <f t="shared" si="44"/>
        <v>1900</v>
      </c>
      <c r="M878" s="60">
        <f t="shared" si="45"/>
        <v>1</v>
      </c>
    </row>
    <row r="879" customHeight="1" spans="2:13">
      <c r="B879" s="59">
        <v>876</v>
      </c>
      <c r="C879" s="87"/>
      <c r="D879" s="87"/>
      <c r="E879" s="87"/>
      <c r="F879" s="60" t="str">
        <f>IFERROR(VLOOKUP($E879,'基础-办公用品信息'!$C:$E,2,FALSE),"-")</f>
        <v>-</v>
      </c>
      <c r="G879" s="60" t="str">
        <f>IFERROR(VLOOKUP($E879,'基础-办公用品信息'!$C:$E,3,FALSE),"-")</f>
        <v>-</v>
      </c>
      <c r="H879" s="126" t="str">
        <f>IFERROR(VLOOKUP($E879,'基础-办公用品信息'!$C:$F,4,FALSE),"-")</f>
        <v>-</v>
      </c>
      <c r="I879" s="87"/>
      <c r="J879" s="61" t="str">
        <f t="shared" si="43"/>
        <v>-</v>
      </c>
      <c r="K879" s="87"/>
      <c r="L879" s="60">
        <f t="shared" si="44"/>
        <v>1900</v>
      </c>
      <c r="M879" s="60">
        <f t="shared" si="45"/>
        <v>1</v>
      </c>
    </row>
    <row r="880" customHeight="1" spans="2:13">
      <c r="B880" s="59">
        <v>877</v>
      </c>
      <c r="C880" s="87"/>
      <c r="D880" s="87"/>
      <c r="E880" s="87"/>
      <c r="F880" s="60" t="str">
        <f>IFERROR(VLOOKUP($E880,'基础-办公用品信息'!$C:$E,2,FALSE),"-")</f>
        <v>-</v>
      </c>
      <c r="G880" s="60" t="str">
        <f>IFERROR(VLOOKUP($E880,'基础-办公用品信息'!$C:$E,3,FALSE),"-")</f>
        <v>-</v>
      </c>
      <c r="H880" s="126" t="str">
        <f>IFERROR(VLOOKUP($E880,'基础-办公用品信息'!$C:$F,4,FALSE),"-")</f>
        <v>-</v>
      </c>
      <c r="I880" s="87"/>
      <c r="J880" s="61" t="str">
        <f t="shared" si="43"/>
        <v>-</v>
      </c>
      <c r="K880" s="87"/>
      <c r="L880" s="60">
        <f t="shared" si="44"/>
        <v>1900</v>
      </c>
      <c r="M880" s="60">
        <f t="shared" si="45"/>
        <v>1</v>
      </c>
    </row>
    <row r="881" customHeight="1" spans="2:13">
      <c r="B881" s="59">
        <v>878</v>
      </c>
      <c r="C881" s="87"/>
      <c r="D881" s="87"/>
      <c r="E881" s="87"/>
      <c r="F881" s="60" t="str">
        <f>IFERROR(VLOOKUP($E881,'基础-办公用品信息'!$C:$E,2,FALSE),"-")</f>
        <v>-</v>
      </c>
      <c r="G881" s="60" t="str">
        <f>IFERROR(VLOOKUP($E881,'基础-办公用品信息'!$C:$E,3,FALSE),"-")</f>
        <v>-</v>
      </c>
      <c r="H881" s="126" t="str">
        <f>IFERROR(VLOOKUP($E881,'基础-办公用品信息'!$C:$F,4,FALSE),"-")</f>
        <v>-</v>
      </c>
      <c r="I881" s="87"/>
      <c r="J881" s="61" t="str">
        <f t="shared" si="43"/>
        <v>-</v>
      </c>
      <c r="K881" s="87"/>
      <c r="L881" s="60">
        <f t="shared" si="44"/>
        <v>1900</v>
      </c>
      <c r="M881" s="60">
        <f t="shared" si="45"/>
        <v>1</v>
      </c>
    </row>
    <row r="882" customHeight="1" spans="2:13">
      <c r="B882" s="59">
        <v>879</v>
      </c>
      <c r="C882" s="87"/>
      <c r="D882" s="87"/>
      <c r="E882" s="87"/>
      <c r="F882" s="60" t="str">
        <f>IFERROR(VLOOKUP($E882,'基础-办公用品信息'!$C:$E,2,FALSE),"-")</f>
        <v>-</v>
      </c>
      <c r="G882" s="60" t="str">
        <f>IFERROR(VLOOKUP($E882,'基础-办公用品信息'!$C:$E,3,FALSE),"-")</f>
        <v>-</v>
      </c>
      <c r="H882" s="126" t="str">
        <f>IFERROR(VLOOKUP($E882,'基础-办公用品信息'!$C:$F,4,FALSE),"-")</f>
        <v>-</v>
      </c>
      <c r="I882" s="87"/>
      <c r="J882" s="61" t="str">
        <f t="shared" si="43"/>
        <v>-</v>
      </c>
      <c r="K882" s="87"/>
      <c r="L882" s="60">
        <f t="shared" si="44"/>
        <v>1900</v>
      </c>
      <c r="M882" s="60">
        <f t="shared" si="45"/>
        <v>1</v>
      </c>
    </row>
    <row r="883" customHeight="1" spans="2:13">
      <c r="B883" s="59">
        <v>880</v>
      </c>
      <c r="C883" s="87"/>
      <c r="D883" s="87"/>
      <c r="E883" s="87"/>
      <c r="F883" s="60" t="str">
        <f>IFERROR(VLOOKUP($E883,'基础-办公用品信息'!$C:$E,2,FALSE),"-")</f>
        <v>-</v>
      </c>
      <c r="G883" s="60" t="str">
        <f>IFERROR(VLOOKUP($E883,'基础-办公用品信息'!$C:$E,3,FALSE),"-")</f>
        <v>-</v>
      </c>
      <c r="H883" s="126" t="str">
        <f>IFERROR(VLOOKUP($E883,'基础-办公用品信息'!$C:$F,4,FALSE),"-")</f>
        <v>-</v>
      </c>
      <c r="I883" s="87"/>
      <c r="J883" s="61" t="str">
        <f t="shared" si="43"/>
        <v>-</v>
      </c>
      <c r="K883" s="87"/>
      <c r="L883" s="60">
        <f t="shared" si="44"/>
        <v>1900</v>
      </c>
      <c r="M883" s="60">
        <f t="shared" si="45"/>
        <v>1</v>
      </c>
    </row>
    <row r="884" customHeight="1" spans="2:13">
      <c r="B884" s="59">
        <v>881</v>
      </c>
      <c r="C884" s="87"/>
      <c r="D884" s="87"/>
      <c r="E884" s="87"/>
      <c r="F884" s="60" t="str">
        <f>IFERROR(VLOOKUP($E884,'基础-办公用品信息'!$C:$E,2,FALSE),"-")</f>
        <v>-</v>
      </c>
      <c r="G884" s="60" t="str">
        <f>IFERROR(VLOOKUP($E884,'基础-办公用品信息'!$C:$E,3,FALSE),"-")</f>
        <v>-</v>
      </c>
      <c r="H884" s="126" t="str">
        <f>IFERROR(VLOOKUP($E884,'基础-办公用品信息'!$C:$F,4,FALSE),"-")</f>
        <v>-</v>
      </c>
      <c r="I884" s="87"/>
      <c r="J884" s="61" t="str">
        <f t="shared" si="43"/>
        <v>-</v>
      </c>
      <c r="K884" s="87"/>
      <c r="L884" s="60">
        <f t="shared" si="44"/>
        <v>1900</v>
      </c>
      <c r="M884" s="60">
        <f t="shared" si="45"/>
        <v>1</v>
      </c>
    </row>
    <row r="885" customHeight="1" spans="2:13">
      <c r="B885" s="59">
        <v>882</v>
      </c>
      <c r="C885" s="87"/>
      <c r="D885" s="87"/>
      <c r="E885" s="87"/>
      <c r="F885" s="60" t="str">
        <f>IFERROR(VLOOKUP($E885,'基础-办公用品信息'!$C:$E,2,FALSE),"-")</f>
        <v>-</v>
      </c>
      <c r="G885" s="60" t="str">
        <f>IFERROR(VLOOKUP($E885,'基础-办公用品信息'!$C:$E,3,FALSE),"-")</f>
        <v>-</v>
      </c>
      <c r="H885" s="126" t="str">
        <f>IFERROR(VLOOKUP($E885,'基础-办公用品信息'!$C:$F,4,FALSE),"-")</f>
        <v>-</v>
      </c>
      <c r="I885" s="87"/>
      <c r="J885" s="61" t="str">
        <f t="shared" si="43"/>
        <v>-</v>
      </c>
      <c r="K885" s="87"/>
      <c r="L885" s="60">
        <f t="shared" si="44"/>
        <v>1900</v>
      </c>
      <c r="M885" s="60">
        <f t="shared" si="45"/>
        <v>1</v>
      </c>
    </row>
    <row r="886" customHeight="1" spans="2:13">
      <c r="B886" s="59">
        <v>883</v>
      </c>
      <c r="C886" s="87"/>
      <c r="D886" s="87"/>
      <c r="E886" s="87"/>
      <c r="F886" s="60" t="str">
        <f>IFERROR(VLOOKUP($E886,'基础-办公用品信息'!$C:$E,2,FALSE),"-")</f>
        <v>-</v>
      </c>
      <c r="G886" s="60" t="str">
        <f>IFERROR(VLOOKUP($E886,'基础-办公用品信息'!$C:$E,3,FALSE),"-")</f>
        <v>-</v>
      </c>
      <c r="H886" s="126" t="str">
        <f>IFERROR(VLOOKUP($E886,'基础-办公用品信息'!$C:$F,4,FALSE),"-")</f>
        <v>-</v>
      </c>
      <c r="I886" s="87"/>
      <c r="J886" s="61" t="str">
        <f t="shared" si="43"/>
        <v>-</v>
      </c>
      <c r="K886" s="87"/>
      <c r="L886" s="60">
        <f t="shared" si="44"/>
        <v>1900</v>
      </c>
      <c r="M886" s="60">
        <f t="shared" si="45"/>
        <v>1</v>
      </c>
    </row>
    <row r="887" customHeight="1" spans="2:13">
      <c r="B887" s="59">
        <v>884</v>
      </c>
      <c r="C887" s="87"/>
      <c r="D887" s="87"/>
      <c r="E887" s="87"/>
      <c r="F887" s="60" t="str">
        <f>IFERROR(VLOOKUP($E887,'基础-办公用品信息'!$C:$E,2,FALSE),"-")</f>
        <v>-</v>
      </c>
      <c r="G887" s="60" t="str">
        <f>IFERROR(VLOOKUP($E887,'基础-办公用品信息'!$C:$E,3,FALSE),"-")</f>
        <v>-</v>
      </c>
      <c r="H887" s="126" t="str">
        <f>IFERROR(VLOOKUP($E887,'基础-办公用品信息'!$C:$F,4,FALSE),"-")</f>
        <v>-</v>
      </c>
      <c r="I887" s="87"/>
      <c r="J887" s="61" t="str">
        <f t="shared" ref="J887:J950" si="46">IF(AND(H887&lt;&gt;"",I887&lt;&gt;""),H887*I887,"-")</f>
        <v>-</v>
      </c>
      <c r="K887" s="87"/>
      <c r="L887" s="60">
        <f t="shared" ref="L887:L950" si="47">YEAR(C887)</f>
        <v>1900</v>
      </c>
      <c r="M887" s="60">
        <f t="shared" ref="M887:M950" si="48">MONTH(C887)</f>
        <v>1</v>
      </c>
    </row>
    <row r="888" customHeight="1" spans="2:13">
      <c r="B888" s="59">
        <v>885</v>
      </c>
      <c r="C888" s="87"/>
      <c r="D888" s="87"/>
      <c r="E888" s="87"/>
      <c r="F888" s="60" t="str">
        <f>IFERROR(VLOOKUP($E888,'基础-办公用品信息'!$C:$E,2,FALSE),"-")</f>
        <v>-</v>
      </c>
      <c r="G888" s="60" t="str">
        <f>IFERROR(VLOOKUP($E888,'基础-办公用品信息'!$C:$E,3,FALSE),"-")</f>
        <v>-</v>
      </c>
      <c r="H888" s="126" t="str">
        <f>IFERROR(VLOOKUP($E888,'基础-办公用品信息'!$C:$F,4,FALSE),"-")</f>
        <v>-</v>
      </c>
      <c r="I888" s="87"/>
      <c r="J888" s="61" t="str">
        <f t="shared" si="46"/>
        <v>-</v>
      </c>
      <c r="K888" s="87"/>
      <c r="L888" s="60">
        <f t="shared" si="47"/>
        <v>1900</v>
      </c>
      <c r="M888" s="60">
        <f t="shared" si="48"/>
        <v>1</v>
      </c>
    </row>
    <row r="889" customHeight="1" spans="2:13">
      <c r="B889" s="59">
        <v>886</v>
      </c>
      <c r="C889" s="87"/>
      <c r="D889" s="87"/>
      <c r="E889" s="87"/>
      <c r="F889" s="60" t="str">
        <f>IFERROR(VLOOKUP($E889,'基础-办公用品信息'!$C:$E,2,FALSE),"-")</f>
        <v>-</v>
      </c>
      <c r="G889" s="60" t="str">
        <f>IFERROR(VLOOKUP($E889,'基础-办公用品信息'!$C:$E,3,FALSE),"-")</f>
        <v>-</v>
      </c>
      <c r="H889" s="126" t="str">
        <f>IFERROR(VLOOKUP($E889,'基础-办公用品信息'!$C:$F,4,FALSE),"-")</f>
        <v>-</v>
      </c>
      <c r="I889" s="87"/>
      <c r="J889" s="61" t="str">
        <f t="shared" si="46"/>
        <v>-</v>
      </c>
      <c r="K889" s="87"/>
      <c r="L889" s="60">
        <f t="shared" si="47"/>
        <v>1900</v>
      </c>
      <c r="M889" s="60">
        <f t="shared" si="48"/>
        <v>1</v>
      </c>
    </row>
    <row r="890" customHeight="1" spans="2:13">
      <c r="B890" s="59">
        <v>887</v>
      </c>
      <c r="C890" s="87"/>
      <c r="D890" s="87"/>
      <c r="E890" s="87"/>
      <c r="F890" s="60" t="str">
        <f>IFERROR(VLOOKUP($E890,'基础-办公用品信息'!$C:$E,2,FALSE),"-")</f>
        <v>-</v>
      </c>
      <c r="G890" s="60" t="str">
        <f>IFERROR(VLOOKUP($E890,'基础-办公用品信息'!$C:$E,3,FALSE),"-")</f>
        <v>-</v>
      </c>
      <c r="H890" s="126" t="str">
        <f>IFERROR(VLOOKUP($E890,'基础-办公用品信息'!$C:$F,4,FALSE),"-")</f>
        <v>-</v>
      </c>
      <c r="I890" s="87"/>
      <c r="J890" s="61" t="str">
        <f t="shared" si="46"/>
        <v>-</v>
      </c>
      <c r="K890" s="87"/>
      <c r="L890" s="60">
        <f t="shared" si="47"/>
        <v>1900</v>
      </c>
      <c r="M890" s="60">
        <f t="shared" si="48"/>
        <v>1</v>
      </c>
    </row>
    <row r="891" customHeight="1" spans="2:13">
      <c r="B891" s="59">
        <v>888</v>
      </c>
      <c r="C891" s="87"/>
      <c r="D891" s="87"/>
      <c r="E891" s="87"/>
      <c r="F891" s="60" t="str">
        <f>IFERROR(VLOOKUP($E891,'基础-办公用品信息'!$C:$E,2,FALSE),"-")</f>
        <v>-</v>
      </c>
      <c r="G891" s="60" t="str">
        <f>IFERROR(VLOOKUP($E891,'基础-办公用品信息'!$C:$E,3,FALSE),"-")</f>
        <v>-</v>
      </c>
      <c r="H891" s="126" t="str">
        <f>IFERROR(VLOOKUP($E891,'基础-办公用品信息'!$C:$F,4,FALSE),"-")</f>
        <v>-</v>
      </c>
      <c r="I891" s="87"/>
      <c r="J891" s="61" t="str">
        <f t="shared" si="46"/>
        <v>-</v>
      </c>
      <c r="K891" s="87"/>
      <c r="L891" s="60">
        <f t="shared" si="47"/>
        <v>1900</v>
      </c>
      <c r="M891" s="60">
        <f t="shared" si="48"/>
        <v>1</v>
      </c>
    </row>
    <row r="892" customHeight="1" spans="2:13">
      <c r="B892" s="59">
        <v>889</v>
      </c>
      <c r="C892" s="87"/>
      <c r="D892" s="87"/>
      <c r="E892" s="87"/>
      <c r="F892" s="60" t="str">
        <f>IFERROR(VLOOKUP($E892,'基础-办公用品信息'!$C:$E,2,FALSE),"-")</f>
        <v>-</v>
      </c>
      <c r="G892" s="60" t="str">
        <f>IFERROR(VLOOKUP($E892,'基础-办公用品信息'!$C:$E,3,FALSE),"-")</f>
        <v>-</v>
      </c>
      <c r="H892" s="126" t="str">
        <f>IFERROR(VLOOKUP($E892,'基础-办公用品信息'!$C:$F,4,FALSE),"-")</f>
        <v>-</v>
      </c>
      <c r="I892" s="87"/>
      <c r="J892" s="61" t="str">
        <f t="shared" si="46"/>
        <v>-</v>
      </c>
      <c r="K892" s="87"/>
      <c r="L892" s="60">
        <f t="shared" si="47"/>
        <v>1900</v>
      </c>
      <c r="M892" s="60">
        <f t="shared" si="48"/>
        <v>1</v>
      </c>
    </row>
    <row r="893" customHeight="1" spans="2:13">
      <c r="B893" s="59">
        <v>890</v>
      </c>
      <c r="C893" s="87"/>
      <c r="D893" s="87"/>
      <c r="E893" s="87"/>
      <c r="F893" s="60" t="str">
        <f>IFERROR(VLOOKUP($E893,'基础-办公用品信息'!$C:$E,2,FALSE),"-")</f>
        <v>-</v>
      </c>
      <c r="G893" s="60" t="str">
        <f>IFERROR(VLOOKUP($E893,'基础-办公用品信息'!$C:$E,3,FALSE),"-")</f>
        <v>-</v>
      </c>
      <c r="H893" s="126" t="str">
        <f>IFERROR(VLOOKUP($E893,'基础-办公用品信息'!$C:$F,4,FALSE),"-")</f>
        <v>-</v>
      </c>
      <c r="I893" s="87"/>
      <c r="J893" s="61" t="str">
        <f t="shared" si="46"/>
        <v>-</v>
      </c>
      <c r="K893" s="87"/>
      <c r="L893" s="60">
        <f t="shared" si="47"/>
        <v>1900</v>
      </c>
      <c r="M893" s="60">
        <f t="shared" si="48"/>
        <v>1</v>
      </c>
    </row>
    <row r="894" customHeight="1" spans="2:13">
      <c r="B894" s="59">
        <v>891</v>
      </c>
      <c r="C894" s="87"/>
      <c r="D894" s="87"/>
      <c r="E894" s="87"/>
      <c r="F894" s="60" t="str">
        <f>IFERROR(VLOOKUP($E894,'基础-办公用品信息'!$C:$E,2,FALSE),"-")</f>
        <v>-</v>
      </c>
      <c r="G894" s="60" t="str">
        <f>IFERROR(VLOOKUP($E894,'基础-办公用品信息'!$C:$E,3,FALSE),"-")</f>
        <v>-</v>
      </c>
      <c r="H894" s="126" t="str">
        <f>IFERROR(VLOOKUP($E894,'基础-办公用品信息'!$C:$F,4,FALSE),"-")</f>
        <v>-</v>
      </c>
      <c r="I894" s="87"/>
      <c r="J894" s="61" t="str">
        <f t="shared" si="46"/>
        <v>-</v>
      </c>
      <c r="K894" s="87"/>
      <c r="L894" s="60">
        <f t="shared" si="47"/>
        <v>1900</v>
      </c>
      <c r="M894" s="60">
        <f t="shared" si="48"/>
        <v>1</v>
      </c>
    </row>
    <row r="895" customHeight="1" spans="2:13">
      <c r="B895" s="59">
        <v>892</v>
      </c>
      <c r="C895" s="87"/>
      <c r="D895" s="87"/>
      <c r="E895" s="87"/>
      <c r="F895" s="60" t="str">
        <f>IFERROR(VLOOKUP($E895,'基础-办公用品信息'!$C:$E,2,FALSE),"-")</f>
        <v>-</v>
      </c>
      <c r="G895" s="60" t="str">
        <f>IFERROR(VLOOKUP($E895,'基础-办公用品信息'!$C:$E,3,FALSE),"-")</f>
        <v>-</v>
      </c>
      <c r="H895" s="126" t="str">
        <f>IFERROR(VLOOKUP($E895,'基础-办公用品信息'!$C:$F,4,FALSE),"-")</f>
        <v>-</v>
      </c>
      <c r="I895" s="87"/>
      <c r="J895" s="61" t="str">
        <f t="shared" si="46"/>
        <v>-</v>
      </c>
      <c r="K895" s="87"/>
      <c r="L895" s="60">
        <f t="shared" si="47"/>
        <v>1900</v>
      </c>
      <c r="M895" s="60">
        <f t="shared" si="48"/>
        <v>1</v>
      </c>
    </row>
    <row r="896" customHeight="1" spans="2:13">
      <c r="B896" s="59">
        <v>893</v>
      </c>
      <c r="C896" s="87"/>
      <c r="D896" s="87"/>
      <c r="E896" s="87"/>
      <c r="F896" s="60" t="str">
        <f>IFERROR(VLOOKUP($E896,'基础-办公用品信息'!$C:$E,2,FALSE),"-")</f>
        <v>-</v>
      </c>
      <c r="G896" s="60" t="str">
        <f>IFERROR(VLOOKUP($E896,'基础-办公用品信息'!$C:$E,3,FALSE),"-")</f>
        <v>-</v>
      </c>
      <c r="H896" s="126" t="str">
        <f>IFERROR(VLOOKUP($E896,'基础-办公用品信息'!$C:$F,4,FALSE),"-")</f>
        <v>-</v>
      </c>
      <c r="I896" s="87"/>
      <c r="J896" s="61" t="str">
        <f t="shared" si="46"/>
        <v>-</v>
      </c>
      <c r="K896" s="87"/>
      <c r="L896" s="60">
        <f t="shared" si="47"/>
        <v>1900</v>
      </c>
      <c r="M896" s="60">
        <f t="shared" si="48"/>
        <v>1</v>
      </c>
    </row>
    <row r="897" customHeight="1" spans="2:13">
      <c r="B897" s="59">
        <v>894</v>
      </c>
      <c r="C897" s="87"/>
      <c r="D897" s="87"/>
      <c r="E897" s="87"/>
      <c r="F897" s="60" t="str">
        <f>IFERROR(VLOOKUP($E897,'基础-办公用品信息'!$C:$E,2,FALSE),"-")</f>
        <v>-</v>
      </c>
      <c r="G897" s="60" t="str">
        <f>IFERROR(VLOOKUP($E897,'基础-办公用品信息'!$C:$E,3,FALSE),"-")</f>
        <v>-</v>
      </c>
      <c r="H897" s="126" t="str">
        <f>IFERROR(VLOOKUP($E897,'基础-办公用品信息'!$C:$F,4,FALSE),"-")</f>
        <v>-</v>
      </c>
      <c r="I897" s="87"/>
      <c r="J897" s="61" t="str">
        <f t="shared" si="46"/>
        <v>-</v>
      </c>
      <c r="K897" s="87"/>
      <c r="L897" s="60">
        <f t="shared" si="47"/>
        <v>1900</v>
      </c>
      <c r="M897" s="60">
        <f t="shared" si="48"/>
        <v>1</v>
      </c>
    </row>
    <row r="898" customHeight="1" spans="2:13">
      <c r="B898" s="59">
        <v>895</v>
      </c>
      <c r="C898" s="87"/>
      <c r="D898" s="87"/>
      <c r="E898" s="87"/>
      <c r="F898" s="60" t="str">
        <f>IFERROR(VLOOKUP($E898,'基础-办公用品信息'!$C:$E,2,FALSE),"-")</f>
        <v>-</v>
      </c>
      <c r="G898" s="60" t="str">
        <f>IFERROR(VLOOKUP($E898,'基础-办公用品信息'!$C:$E,3,FALSE),"-")</f>
        <v>-</v>
      </c>
      <c r="H898" s="126" t="str">
        <f>IFERROR(VLOOKUP($E898,'基础-办公用品信息'!$C:$F,4,FALSE),"-")</f>
        <v>-</v>
      </c>
      <c r="I898" s="87"/>
      <c r="J898" s="61" t="str">
        <f t="shared" si="46"/>
        <v>-</v>
      </c>
      <c r="K898" s="87"/>
      <c r="L898" s="60">
        <f t="shared" si="47"/>
        <v>1900</v>
      </c>
      <c r="M898" s="60">
        <f t="shared" si="48"/>
        <v>1</v>
      </c>
    </row>
    <row r="899" customHeight="1" spans="2:13">
      <c r="B899" s="59">
        <v>896</v>
      </c>
      <c r="C899" s="87"/>
      <c r="D899" s="87"/>
      <c r="E899" s="87"/>
      <c r="F899" s="60" t="str">
        <f>IFERROR(VLOOKUP($E899,'基础-办公用品信息'!$C:$E,2,FALSE),"-")</f>
        <v>-</v>
      </c>
      <c r="G899" s="60" t="str">
        <f>IFERROR(VLOOKUP($E899,'基础-办公用品信息'!$C:$E,3,FALSE),"-")</f>
        <v>-</v>
      </c>
      <c r="H899" s="126" t="str">
        <f>IFERROR(VLOOKUP($E899,'基础-办公用品信息'!$C:$F,4,FALSE),"-")</f>
        <v>-</v>
      </c>
      <c r="I899" s="87"/>
      <c r="J899" s="61" t="str">
        <f t="shared" si="46"/>
        <v>-</v>
      </c>
      <c r="K899" s="87"/>
      <c r="L899" s="60">
        <f t="shared" si="47"/>
        <v>1900</v>
      </c>
      <c r="M899" s="60">
        <f t="shared" si="48"/>
        <v>1</v>
      </c>
    </row>
    <row r="900" customHeight="1" spans="2:13">
      <c r="B900" s="59">
        <v>897</v>
      </c>
      <c r="C900" s="87"/>
      <c r="D900" s="87"/>
      <c r="E900" s="87"/>
      <c r="F900" s="60" t="str">
        <f>IFERROR(VLOOKUP($E900,'基础-办公用品信息'!$C:$E,2,FALSE),"-")</f>
        <v>-</v>
      </c>
      <c r="G900" s="60" t="str">
        <f>IFERROR(VLOOKUP($E900,'基础-办公用品信息'!$C:$E,3,FALSE),"-")</f>
        <v>-</v>
      </c>
      <c r="H900" s="126" t="str">
        <f>IFERROR(VLOOKUP($E900,'基础-办公用品信息'!$C:$F,4,FALSE),"-")</f>
        <v>-</v>
      </c>
      <c r="I900" s="87"/>
      <c r="J900" s="61" t="str">
        <f t="shared" si="46"/>
        <v>-</v>
      </c>
      <c r="K900" s="87"/>
      <c r="L900" s="60">
        <f t="shared" si="47"/>
        <v>1900</v>
      </c>
      <c r="M900" s="60">
        <f t="shared" si="48"/>
        <v>1</v>
      </c>
    </row>
    <row r="901" customHeight="1" spans="2:13">
      <c r="B901" s="59">
        <v>898</v>
      </c>
      <c r="C901" s="87"/>
      <c r="D901" s="87"/>
      <c r="E901" s="87"/>
      <c r="F901" s="60" t="str">
        <f>IFERROR(VLOOKUP($E901,'基础-办公用品信息'!$C:$E,2,FALSE),"-")</f>
        <v>-</v>
      </c>
      <c r="G901" s="60" t="str">
        <f>IFERROR(VLOOKUP($E901,'基础-办公用品信息'!$C:$E,3,FALSE),"-")</f>
        <v>-</v>
      </c>
      <c r="H901" s="126" t="str">
        <f>IFERROR(VLOOKUP($E901,'基础-办公用品信息'!$C:$F,4,FALSE),"-")</f>
        <v>-</v>
      </c>
      <c r="I901" s="87"/>
      <c r="J901" s="61" t="str">
        <f t="shared" si="46"/>
        <v>-</v>
      </c>
      <c r="K901" s="87"/>
      <c r="L901" s="60">
        <f t="shared" si="47"/>
        <v>1900</v>
      </c>
      <c r="M901" s="60">
        <f t="shared" si="48"/>
        <v>1</v>
      </c>
    </row>
    <row r="902" customHeight="1" spans="2:13">
      <c r="B902" s="59">
        <v>899</v>
      </c>
      <c r="C902" s="87"/>
      <c r="D902" s="87"/>
      <c r="E902" s="87"/>
      <c r="F902" s="60" t="str">
        <f>IFERROR(VLOOKUP($E902,'基础-办公用品信息'!$C:$E,2,FALSE),"-")</f>
        <v>-</v>
      </c>
      <c r="G902" s="60" t="str">
        <f>IFERROR(VLOOKUP($E902,'基础-办公用品信息'!$C:$E,3,FALSE),"-")</f>
        <v>-</v>
      </c>
      <c r="H902" s="126" t="str">
        <f>IFERROR(VLOOKUP($E902,'基础-办公用品信息'!$C:$F,4,FALSE),"-")</f>
        <v>-</v>
      </c>
      <c r="I902" s="87"/>
      <c r="J902" s="61" t="str">
        <f t="shared" si="46"/>
        <v>-</v>
      </c>
      <c r="K902" s="87"/>
      <c r="L902" s="60">
        <f t="shared" si="47"/>
        <v>1900</v>
      </c>
      <c r="M902" s="60">
        <f t="shared" si="48"/>
        <v>1</v>
      </c>
    </row>
    <row r="903" customHeight="1" spans="2:13">
      <c r="B903" s="59">
        <v>900</v>
      </c>
      <c r="C903" s="87"/>
      <c r="D903" s="87"/>
      <c r="E903" s="87"/>
      <c r="F903" s="60" t="str">
        <f>IFERROR(VLOOKUP($E903,'基础-办公用品信息'!$C:$E,2,FALSE),"-")</f>
        <v>-</v>
      </c>
      <c r="G903" s="60" t="str">
        <f>IFERROR(VLOOKUP($E903,'基础-办公用品信息'!$C:$E,3,FALSE),"-")</f>
        <v>-</v>
      </c>
      <c r="H903" s="126" t="str">
        <f>IFERROR(VLOOKUP($E903,'基础-办公用品信息'!$C:$F,4,FALSE),"-")</f>
        <v>-</v>
      </c>
      <c r="I903" s="87"/>
      <c r="J903" s="61" t="str">
        <f t="shared" si="46"/>
        <v>-</v>
      </c>
      <c r="K903" s="87"/>
      <c r="L903" s="60">
        <f t="shared" si="47"/>
        <v>1900</v>
      </c>
      <c r="M903" s="60">
        <f t="shared" si="48"/>
        <v>1</v>
      </c>
    </row>
    <row r="904" customHeight="1" spans="2:13">
      <c r="B904" s="59">
        <v>901</v>
      </c>
      <c r="C904" s="87"/>
      <c r="D904" s="87"/>
      <c r="E904" s="87"/>
      <c r="F904" s="60" t="str">
        <f>IFERROR(VLOOKUP($E904,'基础-办公用品信息'!$C:$E,2,FALSE),"-")</f>
        <v>-</v>
      </c>
      <c r="G904" s="60" t="str">
        <f>IFERROR(VLOOKUP($E904,'基础-办公用品信息'!$C:$E,3,FALSE),"-")</f>
        <v>-</v>
      </c>
      <c r="H904" s="126" t="str">
        <f>IFERROR(VLOOKUP($E904,'基础-办公用品信息'!$C:$F,4,FALSE),"-")</f>
        <v>-</v>
      </c>
      <c r="I904" s="87"/>
      <c r="J904" s="61" t="str">
        <f t="shared" si="46"/>
        <v>-</v>
      </c>
      <c r="K904" s="87"/>
      <c r="L904" s="60">
        <f t="shared" si="47"/>
        <v>1900</v>
      </c>
      <c r="M904" s="60">
        <f t="shared" si="48"/>
        <v>1</v>
      </c>
    </row>
    <row r="905" customHeight="1" spans="2:13">
      <c r="B905" s="59">
        <v>902</v>
      </c>
      <c r="C905" s="87"/>
      <c r="D905" s="87"/>
      <c r="E905" s="87"/>
      <c r="F905" s="60" t="str">
        <f>IFERROR(VLOOKUP($E905,'基础-办公用品信息'!$C:$E,2,FALSE),"-")</f>
        <v>-</v>
      </c>
      <c r="G905" s="60" t="str">
        <f>IFERROR(VLOOKUP($E905,'基础-办公用品信息'!$C:$E,3,FALSE),"-")</f>
        <v>-</v>
      </c>
      <c r="H905" s="126" t="str">
        <f>IFERROR(VLOOKUP($E905,'基础-办公用品信息'!$C:$F,4,FALSE),"-")</f>
        <v>-</v>
      </c>
      <c r="I905" s="87"/>
      <c r="J905" s="61" t="str">
        <f t="shared" si="46"/>
        <v>-</v>
      </c>
      <c r="K905" s="87"/>
      <c r="L905" s="60">
        <f t="shared" si="47"/>
        <v>1900</v>
      </c>
      <c r="M905" s="60">
        <f t="shared" si="48"/>
        <v>1</v>
      </c>
    </row>
    <row r="906" customHeight="1" spans="2:13">
      <c r="B906" s="59">
        <v>903</v>
      </c>
      <c r="C906" s="87"/>
      <c r="D906" s="87"/>
      <c r="E906" s="87"/>
      <c r="F906" s="60" t="str">
        <f>IFERROR(VLOOKUP($E906,'基础-办公用品信息'!$C:$E,2,FALSE),"-")</f>
        <v>-</v>
      </c>
      <c r="G906" s="60" t="str">
        <f>IFERROR(VLOOKUP($E906,'基础-办公用品信息'!$C:$E,3,FALSE),"-")</f>
        <v>-</v>
      </c>
      <c r="H906" s="126" t="str">
        <f>IFERROR(VLOOKUP($E906,'基础-办公用品信息'!$C:$F,4,FALSE),"-")</f>
        <v>-</v>
      </c>
      <c r="I906" s="87"/>
      <c r="J906" s="61" t="str">
        <f t="shared" si="46"/>
        <v>-</v>
      </c>
      <c r="K906" s="87"/>
      <c r="L906" s="60">
        <f t="shared" si="47"/>
        <v>1900</v>
      </c>
      <c r="M906" s="60">
        <f t="shared" si="48"/>
        <v>1</v>
      </c>
    </row>
    <row r="907" customHeight="1" spans="2:13">
      <c r="B907" s="59">
        <v>904</v>
      </c>
      <c r="C907" s="87"/>
      <c r="D907" s="87"/>
      <c r="E907" s="87"/>
      <c r="F907" s="60" t="str">
        <f>IFERROR(VLOOKUP($E907,'基础-办公用品信息'!$C:$E,2,FALSE),"-")</f>
        <v>-</v>
      </c>
      <c r="G907" s="60" t="str">
        <f>IFERROR(VLOOKUP($E907,'基础-办公用品信息'!$C:$E,3,FALSE),"-")</f>
        <v>-</v>
      </c>
      <c r="H907" s="126" t="str">
        <f>IFERROR(VLOOKUP($E907,'基础-办公用品信息'!$C:$F,4,FALSE),"-")</f>
        <v>-</v>
      </c>
      <c r="I907" s="87"/>
      <c r="J907" s="61" t="str">
        <f t="shared" si="46"/>
        <v>-</v>
      </c>
      <c r="K907" s="87"/>
      <c r="L907" s="60">
        <f t="shared" si="47"/>
        <v>1900</v>
      </c>
      <c r="M907" s="60">
        <f t="shared" si="48"/>
        <v>1</v>
      </c>
    </row>
    <row r="908" customHeight="1" spans="2:13">
      <c r="B908" s="59">
        <v>905</v>
      </c>
      <c r="C908" s="87"/>
      <c r="D908" s="87"/>
      <c r="E908" s="87"/>
      <c r="F908" s="60" t="str">
        <f>IFERROR(VLOOKUP($E908,'基础-办公用品信息'!$C:$E,2,FALSE),"-")</f>
        <v>-</v>
      </c>
      <c r="G908" s="60" t="str">
        <f>IFERROR(VLOOKUP($E908,'基础-办公用品信息'!$C:$E,3,FALSE),"-")</f>
        <v>-</v>
      </c>
      <c r="H908" s="126" t="str">
        <f>IFERROR(VLOOKUP($E908,'基础-办公用品信息'!$C:$F,4,FALSE),"-")</f>
        <v>-</v>
      </c>
      <c r="I908" s="87"/>
      <c r="J908" s="61" t="str">
        <f t="shared" si="46"/>
        <v>-</v>
      </c>
      <c r="K908" s="87"/>
      <c r="L908" s="60">
        <f t="shared" si="47"/>
        <v>1900</v>
      </c>
      <c r="M908" s="60">
        <f t="shared" si="48"/>
        <v>1</v>
      </c>
    </row>
    <row r="909" customHeight="1" spans="2:13">
      <c r="B909" s="59">
        <v>906</v>
      </c>
      <c r="C909" s="87"/>
      <c r="D909" s="87"/>
      <c r="E909" s="87"/>
      <c r="F909" s="60" t="str">
        <f>IFERROR(VLOOKUP($E909,'基础-办公用品信息'!$C:$E,2,FALSE),"-")</f>
        <v>-</v>
      </c>
      <c r="G909" s="60" t="str">
        <f>IFERROR(VLOOKUP($E909,'基础-办公用品信息'!$C:$E,3,FALSE),"-")</f>
        <v>-</v>
      </c>
      <c r="H909" s="126" t="str">
        <f>IFERROR(VLOOKUP($E909,'基础-办公用品信息'!$C:$F,4,FALSE),"-")</f>
        <v>-</v>
      </c>
      <c r="I909" s="87"/>
      <c r="J909" s="61" t="str">
        <f t="shared" si="46"/>
        <v>-</v>
      </c>
      <c r="K909" s="87"/>
      <c r="L909" s="60">
        <f t="shared" si="47"/>
        <v>1900</v>
      </c>
      <c r="M909" s="60">
        <f t="shared" si="48"/>
        <v>1</v>
      </c>
    </row>
    <row r="910" customHeight="1" spans="2:13">
      <c r="B910" s="59">
        <v>907</v>
      </c>
      <c r="C910" s="87"/>
      <c r="D910" s="87"/>
      <c r="E910" s="87"/>
      <c r="F910" s="60" t="str">
        <f>IFERROR(VLOOKUP($E910,'基础-办公用品信息'!$C:$E,2,FALSE),"-")</f>
        <v>-</v>
      </c>
      <c r="G910" s="60" t="str">
        <f>IFERROR(VLOOKUP($E910,'基础-办公用品信息'!$C:$E,3,FALSE),"-")</f>
        <v>-</v>
      </c>
      <c r="H910" s="126" t="str">
        <f>IFERROR(VLOOKUP($E910,'基础-办公用品信息'!$C:$F,4,FALSE),"-")</f>
        <v>-</v>
      </c>
      <c r="I910" s="87"/>
      <c r="J910" s="61" t="str">
        <f t="shared" si="46"/>
        <v>-</v>
      </c>
      <c r="K910" s="87"/>
      <c r="L910" s="60">
        <f t="shared" si="47"/>
        <v>1900</v>
      </c>
      <c r="M910" s="60">
        <f t="shared" si="48"/>
        <v>1</v>
      </c>
    </row>
    <row r="911" customHeight="1" spans="2:13">
      <c r="B911" s="59">
        <v>908</v>
      </c>
      <c r="C911" s="87"/>
      <c r="D911" s="87"/>
      <c r="E911" s="87"/>
      <c r="F911" s="60" t="str">
        <f>IFERROR(VLOOKUP($E911,'基础-办公用品信息'!$C:$E,2,FALSE),"-")</f>
        <v>-</v>
      </c>
      <c r="G911" s="60" t="str">
        <f>IFERROR(VLOOKUP($E911,'基础-办公用品信息'!$C:$E,3,FALSE),"-")</f>
        <v>-</v>
      </c>
      <c r="H911" s="126" t="str">
        <f>IFERROR(VLOOKUP($E911,'基础-办公用品信息'!$C:$F,4,FALSE),"-")</f>
        <v>-</v>
      </c>
      <c r="I911" s="87"/>
      <c r="J911" s="61" t="str">
        <f t="shared" si="46"/>
        <v>-</v>
      </c>
      <c r="K911" s="87"/>
      <c r="L911" s="60">
        <f t="shared" si="47"/>
        <v>1900</v>
      </c>
      <c r="M911" s="60">
        <f t="shared" si="48"/>
        <v>1</v>
      </c>
    </row>
    <row r="912" customHeight="1" spans="2:13">
      <c r="B912" s="59">
        <v>909</v>
      </c>
      <c r="C912" s="87"/>
      <c r="D912" s="87"/>
      <c r="E912" s="87"/>
      <c r="F912" s="60" t="str">
        <f>IFERROR(VLOOKUP($E912,'基础-办公用品信息'!$C:$E,2,FALSE),"-")</f>
        <v>-</v>
      </c>
      <c r="G912" s="60" t="str">
        <f>IFERROR(VLOOKUP($E912,'基础-办公用品信息'!$C:$E,3,FALSE),"-")</f>
        <v>-</v>
      </c>
      <c r="H912" s="126" t="str">
        <f>IFERROR(VLOOKUP($E912,'基础-办公用品信息'!$C:$F,4,FALSE),"-")</f>
        <v>-</v>
      </c>
      <c r="I912" s="87"/>
      <c r="J912" s="61" t="str">
        <f t="shared" si="46"/>
        <v>-</v>
      </c>
      <c r="K912" s="87"/>
      <c r="L912" s="60">
        <f t="shared" si="47"/>
        <v>1900</v>
      </c>
      <c r="M912" s="60">
        <f t="shared" si="48"/>
        <v>1</v>
      </c>
    </row>
    <row r="913" customHeight="1" spans="2:13">
      <c r="B913" s="59">
        <v>910</v>
      </c>
      <c r="C913" s="87"/>
      <c r="D913" s="87"/>
      <c r="E913" s="87"/>
      <c r="F913" s="60" t="str">
        <f>IFERROR(VLOOKUP($E913,'基础-办公用品信息'!$C:$E,2,FALSE),"-")</f>
        <v>-</v>
      </c>
      <c r="G913" s="60" t="str">
        <f>IFERROR(VLOOKUP($E913,'基础-办公用品信息'!$C:$E,3,FALSE),"-")</f>
        <v>-</v>
      </c>
      <c r="H913" s="126" t="str">
        <f>IFERROR(VLOOKUP($E913,'基础-办公用品信息'!$C:$F,4,FALSE),"-")</f>
        <v>-</v>
      </c>
      <c r="I913" s="87"/>
      <c r="J913" s="61" t="str">
        <f t="shared" si="46"/>
        <v>-</v>
      </c>
      <c r="K913" s="87"/>
      <c r="L913" s="60">
        <f t="shared" si="47"/>
        <v>1900</v>
      </c>
      <c r="M913" s="60">
        <f t="shared" si="48"/>
        <v>1</v>
      </c>
    </row>
    <row r="914" customHeight="1" spans="2:13">
      <c r="B914" s="59">
        <v>911</v>
      </c>
      <c r="C914" s="87"/>
      <c r="D914" s="87"/>
      <c r="E914" s="87"/>
      <c r="F914" s="60" t="str">
        <f>IFERROR(VLOOKUP($E914,'基础-办公用品信息'!$C:$E,2,FALSE),"-")</f>
        <v>-</v>
      </c>
      <c r="G914" s="60" t="str">
        <f>IFERROR(VLOOKUP($E914,'基础-办公用品信息'!$C:$E,3,FALSE),"-")</f>
        <v>-</v>
      </c>
      <c r="H914" s="126" t="str">
        <f>IFERROR(VLOOKUP($E914,'基础-办公用品信息'!$C:$F,4,FALSE),"-")</f>
        <v>-</v>
      </c>
      <c r="I914" s="87"/>
      <c r="J914" s="61" t="str">
        <f t="shared" si="46"/>
        <v>-</v>
      </c>
      <c r="K914" s="87"/>
      <c r="L914" s="60">
        <f t="shared" si="47"/>
        <v>1900</v>
      </c>
      <c r="M914" s="60">
        <f t="shared" si="48"/>
        <v>1</v>
      </c>
    </row>
    <row r="915" customHeight="1" spans="2:13">
      <c r="B915" s="59">
        <v>912</v>
      </c>
      <c r="C915" s="87"/>
      <c r="D915" s="87"/>
      <c r="E915" s="87"/>
      <c r="F915" s="60" t="str">
        <f>IFERROR(VLOOKUP($E915,'基础-办公用品信息'!$C:$E,2,FALSE),"-")</f>
        <v>-</v>
      </c>
      <c r="G915" s="60" t="str">
        <f>IFERROR(VLOOKUP($E915,'基础-办公用品信息'!$C:$E,3,FALSE),"-")</f>
        <v>-</v>
      </c>
      <c r="H915" s="126" t="str">
        <f>IFERROR(VLOOKUP($E915,'基础-办公用品信息'!$C:$F,4,FALSE),"-")</f>
        <v>-</v>
      </c>
      <c r="I915" s="87"/>
      <c r="J915" s="61" t="str">
        <f t="shared" si="46"/>
        <v>-</v>
      </c>
      <c r="K915" s="87"/>
      <c r="L915" s="60">
        <f t="shared" si="47"/>
        <v>1900</v>
      </c>
      <c r="M915" s="60">
        <f t="shared" si="48"/>
        <v>1</v>
      </c>
    </row>
    <row r="916" customHeight="1" spans="2:13">
      <c r="B916" s="59">
        <v>913</v>
      </c>
      <c r="C916" s="87"/>
      <c r="D916" s="87"/>
      <c r="E916" s="87"/>
      <c r="F916" s="60" t="str">
        <f>IFERROR(VLOOKUP($E916,'基础-办公用品信息'!$C:$E,2,FALSE),"-")</f>
        <v>-</v>
      </c>
      <c r="G916" s="60" t="str">
        <f>IFERROR(VLOOKUP($E916,'基础-办公用品信息'!$C:$E,3,FALSE),"-")</f>
        <v>-</v>
      </c>
      <c r="H916" s="126" t="str">
        <f>IFERROR(VLOOKUP($E916,'基础-办公用品信息'!$C:$F,4,FALSE),"-")</f>
        <v>-</v>
      </c>
      <c r="I916" s="87"/>
      <c r="J916" s="61" t="str">
        <f t="shared" si="46"/>
        <v>-</v>
      </c>
      <c r="K916" s="87"/>
      <c r="L916" s="60">
        <f t="shared" si="47"/>
        <v>1900</v>
      </c>
      <c r="M916" s="60">
        <f t="shared" si="48"/>
        <v>1</v>
      </c>
    </row>
    <row r="917" customHeight="1" spans="2:13">
      <c r="B917" s="59">
        <v>914</v>
      </c>
      <c r="C917" s="87"/>
      <c r="D917" s="87"/>
      <c r="E917" s="87"/>
      <c r="F917" s="60" t="str">
        <f>IFERROR(VLOOKUP($E917,'基础-办公用品信息'!$C:$E,2,FALSE),"-")</f>
        <v>-</v>
      </c>
      <c r="G917" s="60" t="str">
        <f>IFERROR(VLOOKUP($E917,'基础-办公用品信息'!$C:$E,3,FALSE),"-")</f>
        <v>-</v>
      </c>
      <c r="H917" s="126" t="str">
        <f>IFERROR(VLOOKUP($E917,'基础-办公用品信息'!$C:$F,4,FALSE),"-")</f>
        <v>-</v>
      </c>
      <c r="I917" s="87"/>
      <c r="J917" s="61" t="str">
        <f t="shared" si="46"/>
        <v>-</v>
      </c>
      <c r="K917" s="87"/>
      <c r="L917" s="60">
        <f t="shared" si="47"/>
        <v>1900</v>
      </c>
      <c r="M917" s="60">
        <f t="shared" si="48"/>
        <v>1</v>
      </c>
    </row>
    <row r="918" customHeight="1" spans="2:13">
      <c r="B918" s="59">
        <v>915</v>
      </c>
      <c r="C918" s="87"/>
      <c r="D918" s="87"/>
      <c r="E918" s="87"/>
      <c r="F918" s="60" t="str">
        <f>IFERROR(VLOOKUP($E918,'基础-办公用品信息'!$C:$E,2,FALSE),"-")</f>
        <v>-</v>
      </c>
      <c r="G918" s="60" t="str">
        <f>IFERROR(VLOOKUP($E918,'基础-办公用品信息'!$C:$E,3,FALSE),"-")</f>
        <v>-</v>
      </c>
      <c r="H918" s="126" t="str">
        <f>IFERROR(VLOOKUP($E918,'基础-办公用品信息'!$C:$F,4,FALSE),"-")</f>
        <v>-</v>
      </c>
      <c r="I918" s="87"/>
      <c r="J918" s="61" t="str">
        <f t="shared" si="46"/>
        <v>-</v>
      </c>
      <c r="K918" s="87"/>
      <c r="L918" s="60">
        <f t="shared" si="47"/>
        <v>1900</v>
      </c>
      <c r="M918" s="60">
        <f t="shared" si="48"/>
        <v>1</v>
      </c>
    </row>
    <row r="919" customHeight="1" spans="2:13">
      <c r="B919" s="59">
        <v>916</v>
      </c>
      <c r="C919" s="87"/>
      <c r="D919" s="87"/>
      <c r="E919" s="87"/>
      <c r="F919" s="60" t="str">
        <f>IFERROR(VLOOKUP($E919,'基础-办公用品信息'!$C:$E,2,FALSE),"-")</f>
        <v>-</v>
      </c>
      <c r="G919" s="60" t="str">
        <f>IFERROR(VLOOKUP($E919,'基础-办公用品信息'!$C:$E,3,FALSE),"-")</f>
        <v>-</v>
      </c>
      <c r="H919" s="126" t="str">
        <f>IFERROR(VLOOKUP($E919,'基础-办公用品信息'!$C:$F,4,FALSE),"-")</f>
        <v>-</v>
      </c>
      <c r="I919" s="87"/>
      <c r="J919" s="61" t="str">
        <f t="shared" si="46"/>
        <v>-</v>
      </c>
      <c r="K919" s="87"/>
      <c r="L919" s="60">
        <f t="shared" si="47"/>
        <v>1900</v>
      </c>
      <c r="M919" s="60">
        <f t="shared" si="48"/>
        <v>1</v>
      </c>
    </row>
    <row r="920" customHeight="1" spans="2:13">
      <c r="B920" s="59">
        <v>917</v>
      </c>
      <c r="C920" s="87"/>
      <c r="D920" s="87"/>
      <c r="E920" s="87"/>
      <c r="F920" s="60" t="str">
        <f>IFERROR(VLOOKUP($E920,'基础-办公用品信息'!$C:$E,2,FALSE),"-")</f>
        <v>-</v>
      </c>
      <c r="G920" s="60" t="str">
        <f>IFERROR(VLOOKUP($E920,'基础-办公用品信息'!$C:$E,3,FALSE),"-")</f>
        <v>-</v>
      </c>
      <c r="H920" s="126" t="str">
        <f>IFERROR(VLOOKUP($E920,'基础-办公用品信息'!$C:$F,4,FALSE),"-")</f>
        <v>-</v>
      </c>
      <c r="I920" s="87"/>
      <c r="J920" s="61" t="str">
        <f t="shared" si="46"/>
        <v>-</v>
      </c>
      <c r="K920" s="87"/>
      <c r="L920" s="60">
        <f t="shared" si="47"/>
        <v>1900</v>
      </c>
      <c r="M920" s="60">
        <f t="shared" si="48"/>
        <v>1</v>
      </c>
    </row>
    <row r="921" customHeight="1" spans="2:13">
      <c r="B921" s="59">
        <v>918</v>
      </c>
      <c r="C921" s="87"/>
      <c r="D921" s="87"/>
      <c r="E921" s="87"/>
      <c r="F921" s="60" t="str">
        <f>IFERROR(VLOOKUP($E921,'基础-办公用品信息'!$C:$E,2,FALSE),"-")</f>
        <v>-</v>
      </c>
      <c r="G921" s="60" t="str">
        <f>IFERROR(VLOOKUP($E921,'基础-办公用品信息'!$C:$E,3,FALSE),"-")</f>
        <v>-</v>
      </c>
      <c r="H921" s="126" t="str">
        <f>IFERROR(VLOOKUP($E921,'基础-办公用品信息'!$C:$F,4,FALSE),"-")</f>
        <v>-</v>
      </c>
      <c r="I921" s="87"/>
      <c r="J921" s="61" t="str">
        <f t="shared" si="46"/>
        <v>-</v>
      </c>
      <c r="K921" s="87"/>
      <c r="L921" s="60">
        <f t="shared" si="47"/>
        <v>1900</v>
      </c>
      <c r="M921" s="60">
        <f t="shared" si="48"/>
        <v>1</v>
      </c>
    </row>
    <row r="922" customHeight="1" spans="2:13">
      <c r="B922" s="59">
        <v>919</v>
      </c>
      <c r="C922" s="87"/>
      <c r="D922" s="87"/>
      <c r="E922" s="87"/>
      <c r="F922" s="60" t="str">
        <f>IFERROR(VLOOKUP($E922,'基础-办公用品信息'!$C:$E,2,FALSE),"-")</f>
        <v>-</v>
      </c>
      <c r="G922" s="60" t="str">
        <f>IFERROR(VLOOKUP($E922,'基础-办公用品信息'!$C:$E,3,FALSE),"-")</f>
        <v>-</v>
      </c>
      <c r="H922" s="126" t="str">
        <f>IFERROR(VLOOKUP($E922,'基础-办公用品信息'!$C:$F,4,FALSE),"-")</f>
        <v>-</v>
      </c>
      <c r="I922" s="87"/>
      <c r="J922" s="61" t="str">
        <f t="shared" si="46"/>
        <v>-</v>
      </c>
      <c r="K922" s="87"/>
      <c r="L922" s="60">
        <f t="shared" si="47"/>
        <v>1900</v>
      </c>
      <c r="M922" s="60">
        <f t="shared" si="48"/>
        <v>1</v>
      </c>
    </row>
    <row r="923" customHeight="1" spans="2:13">
      <c r="B923" s="59">
        <v>920</v>
      </c>
      <c r="C923" s="87"/>
      <c r="D923" s="87"/>
      <c r="E923" s="87"/>
      <c r="F923" s="60" t="str">
        <f>IFERROR(VLOOKUP($E923,'基础-办公用品信息'!$C:$E,2,FALSE),"-")</f>
        <v>-</v>
      </c>
      <c r="G923" s="60" t="str">
        <f>IFERROR(VLOOKUP($E923,'基础-办公用品信息'!$C:$E,3,FALSE),"-")</f>
        <v>-</v>
      </c>
      <c r="H923" s="126" t="str">
        <f>IFERROR(VLOOKUP($E923,'基础-办公用品信息'!$C:$F,4,FALSE),"-")</f>
        <v>-</v>
      </c>
      <c r="I923" s="87"/>
      <c r="J923" s="61" t="str">
        <f t="shared" si="46"/>
        <v>-</v>
      </c>
      <c r="K923" s="87"/>
      <c r="L923" s="60">
        <f t="shared" si="47"/>
        <v>1900</v>
      </c>
      <c r="M923" s="60">
        <f t="shared" si="48"/>
        <v>1</v>
      </c>
    </row>
    <row r="924" customHeight="1" spans="2:13">
      <c r="B924" s="59">
        <v>921</v>
      </c>
      <c r="C924" s="87"/>
      <c r="D924" s="87"/>
      <c r="E924" s="87"/>
      <c r="F924" s="60" t="str">
        <f>IFERROR(VLOOKUP($E924,'基础-办公用品信息'!$C:$E,2,FALSE),"-")</f>
        <v>-</v>
      </c>
      <c r="G924" s="60" t="str">
        <f>IFERROR(VLOOKUP($E924,'基础-办公用品信息'!$C:$E,3,FALSE),"-")</f>
        <v>-</v>
      </c>
      <c r="H924" s="126" t="str">
        <f>IFERROR(VLOOKUP($E924,'基础-办公用品信息'!$C:$F,4,FALSE),"-")</f>
        <v>-</v>
      </c>
      <c r="I924" s="87"/>
      <c r="J924" s="61" t="str">
        <f t="shared" si="46"/>
        <v>-</v>
      </c>
      <c r="K924" s="87"/>
      <c r="L924" s="60">
        <f t="shared" si="47"/>
        <v>1900</v>
      </c>
      <c r="M924" s="60">
        <f t="shared" si="48"/>
        <v>1</v>
      </c>
    </row>
    <row r="925" customHeight="1" spans="2:13">
      <c r="B925" s="59">
        <v>922</v>
      </c>
      <c r="C925" s="87"/>
      <c r="D925" s="87"/>
      <c r="E925" s="87"/>
      <c r="F925" s="60" t="str">
        <f>IFERROR(VLOOKUP($E925,'基础-办公用品信息'!$C:$E,2,FALSE),"-")</f>
        <v>-</v>
      </c>
      <c r="G925" s="60" t="str">
        <f>IFERROR(VLOOKUP($E925,'基础-办公用品信息'!$C:$E,3,FALSE),"-")</f>
        <v>-</v>
      </c>
      <c r="H925" s="126" t="str">
        <f>IFERROR(VLOOKUP($E925,'基础-办公用品信息'!$C:$F,4,FALSE),"-")</f>
        <v>-</v>
      </c>
      <c r="I925" s="87"/>
      <c r="J925" s="61" t="str">
        <f t="shared" si="46"/>
        <v>-</v>
      </c>
      <c r="K925" s="87"/>
      <c r="L925" s="60">
        <f t="shared" si="47"/>
        <v>1900</v>
      </c>
      <c r="M925" s="60">
        <f t="shared" si="48"/>
        <v>1</v>
      </c>
    </row>
    <row r="926" customHeight="1" spans="2:13">
      <c r="B926" s="59">
        <v>923</v>
      </c>
      <c r="C926" s="87"/>
      <c r="D926" s="87"/>
      <c r="E926" s="87"/>
      <c r="F926" s="60" t="str">
        <f>IFERROR(VLOOKUP($E926,'基础-办公用品信息'!$C:$E,2,FALSE),"-")</f>
        <v>-</v>
      </c>
      <c r="G926" s="60" t="str">
        <f>IFERROR(VLOOKUP($E926,'基础-办公用品信息'!$C:$E,3,FALSE),"-")</f>
        <v>-</v>
      </c>
      <c r="H926" s="126" t="str">
        <f>IFERROR(VLOOKUP($E926,'基础-办公用品信息'!$C:$F,4,FALSE),"-")</f>
        <v>-</v>
      </c>
      <c r="I926" s="87"/>
      <c r="J926" s="61" t="str">
        <f t="shared" si="46"/>
        <v>-</v>
      </c>
      <c r="K926" s="87"/>
      <c r="L926" s="60">
        <f t="shared" si="47"/>
        <v>1900</v>
      </c>
      <c r="M926" s="60">
        <f t="shared" si="48"/>
        <v>1</v>
      </c>
    </row>
    <row r="927" customHeight="1" spans="2:13">
      <c r="B927" s="59">
        <v>924</v>
      </c>
      <c r="C927" s="87"/>
      <c r="D927" s="87"/>
      <c r="E927" s="87"/>
      <c r="F927" s="60" t="str">
        <f>IFERROR(VLOOKUP($E927,'基础-办公用品信息'!$C:$E,2,FALSE),"-")</f>
        <v>-</v>
      </c>
      <c r="G927" s="60" t="str">
        <f>IFERROR(VLOOKUP($E927,'基础-办公用品信息'!$C:$E,3,FALSE),"-")</f>
        <v>-</v>
      </c>
      <c r="H927" s="126" t="str">
        <f>IFERROR(VLOOKUP($E927,'基础-办公用品信息'!$C:$F,4,FALSE),"-")</f>
        <v>-</v>
      </c>
      <c r="I927" s="87"/>
      <c r="J927" s="61" t="str">
        <f t="shared" si="46"/>
        <v>-</v>
      </c>
      <c r="K927" s="87"/>
      <c r="L927" s="60">
        <f t="shared" si="47"/>
        <v>1900</v>
      </c>
      <c r="M927" s="60">
        <f t="shared" si="48"/>
        <v>1</v>
      </c>
    </row>
    <row r="928" customHeight="1" spans="2:13">
      <c r="B928" s="59">
        <v>925</v>
      </c>
      <c r="C928" s="87"/>
      <c r="D928" s="87"/>
      <c r="E928" s="87"/>
      <c r="F928" s="60" t="str">
        <f>IFERROR(VLOOKUP($E928,'基础-办公用品信息'!$C:$E,2,FALSE),"-")</f>
        <v>-</v>
      </c>
      <c r="G928" s="60" t="str">
        <f>IFERROR(VLOOKUP($E928,'基础-办公用品信息'!$C:$E,3,FALSE),"-")</f>
        <v>-</v>
      </c>
      <c r="H928" s="126" t="str">
        <f>IFERROR(VLOOKUP($E928,'基础-办公用品信息'!$C:$F,4,FALSE),"-")</f>
        <v>-</v>
      </c>
      <c r="I928" s="87"/>
      <c r="J928" s="61" t="str">
        <f t="shared" si="46"/>
        <v>-</v>
      </c>
      <c r="K928" s="87"/>
      <c r="L928" s="60">
        <f t="shared" si="47"/>
        <v>1900</v>
      </c>
      <c r="M928" s="60">
        <f t="shared" si="48"/>
        <v>1</v>
      </c>
    </row>
    <row r="929" customHeight="1" spans="2:13">
      <c r="B929" s="59">
        <v>926</v>
      </c>
      <c r="C929" s="87"/>
      <c r="D929" s="87"/>
      <c r="E929" s="87"/>
      <c r="F929" s="60" t="str">
        <f>IFERROR(VLOOKUP($E929,'基础-办公用品信息'!$C:$E,2,FALSE),"-")</f>
        <v>-</v>
      </c>
      <c r="G929" s="60" t="str">
        <f>IFERROR(VLOOKUP($E929,'基础-办公用品信息'!$C:$E,3,FALSE),"-")</f>
        <v>-</v>
      </c>
      <c r="H929" s="126" t="str">
        <f>IFERROR(VLOOKUP($E929,'基础-办公用品信息'!$C:$F,4,FALSE),"-")</f>
        <v>-</v>
      </c>
      <c r="I929" s="87"/>
      <c r="J929" s="61" t="str">
        <f t="shared" si="46"/>
        <v>-</v>
      </c>
      <c r="K929" s="87"/>
      <c r="L929" s="60">
        <f t="shared" si="47"/>
        <v>1900</v>
      </c>
      <c r="M929" s="60">
        <f t="shared" si="48"/>
        <v>1</v>
      </c>
    </row>
    <row r="930" customHeight="1" spans="2:13">
      <c r="B930" s="59">
        <v>927</v>
      </c>
      <c r="C930" s="87"/>
      <c r="D930" s="87"/>
      <c r="E930" s="87"/>
      <c r="F930" s="60" t="str">
        <f>IFERROR(VLOOKUP($E930,'基础-办公用品信息'!$C:$E,2,FALSE),"-")</f>
        <v>-</v>
      </c>
      <c r="G930" s="60" t="str">
        <f>IFERROR(VLOOKUP($E930,'基础-办公用品信息'!$C:$E,3,FALSE),"-")</f>
        <v>-</v>
      </c>
      <c r="H930" s="126" t="str">
        <f>IFERROR(VLOOKUP($E930,'基础-办公用品信息'!$C:$F,4,FALSE),"-")</f>
        <v>-</v>
      </c>
      <c r="I930" s="87"/>
      <c r="J930" s="61" t="str">
        <f t="shared" si="46"/>
        <v>-</v>
      </c>
      <c r="K930" s="87"/>
      <c r="L930" s="60">
        <f t="shared" si="47"/>
        <v>1900</v>
      </c>
      <c r="M930" s="60">
        <f t="shared" si="48"/>
        <v>1</v>
      </c>
    </row>
    <row r="931" customHeight="1" spans="2:13">
      <c r="B931" s="59">
        <v>928</v>
      </c>
      <c r="C931" s="87"/>
      <c r="D931" s="87"/>
      <c r="E931" s="87"/>
      <c r="F931" s="60" t="str">
        <f>IFERROR(VLOOKUP($E931,'基础-办公用品信息'!$C:$E,2,FALSE),"-")</f>
        <v>-</v>
      </c>
      <c r="G931" s="60" t="str">
        <f>IFERROR(VLOOKUP($E931,'基础-办公用品信息'!$C:$E,3,FALSE),"-")</f>
        <v>-</v>
      </c>
      <c r="H931" s="126" t="str">
        <f>IFERROR(VLOOKUP($E931,'基础-办公用品信息'!$C:$F,4,FALSE),"-")</f>
        <v>-</v>
      </c>
      <c r="I931" s="87"/>
      <c r="J931" s="61" t="str">
        <f t="shared" si="46"/>
        <v>-</v>
      </c>
      <c r="K931" s="87"/>
      <c r="L931" s="60">
        <f t="shared" si="47"/>
        <v>1900</v>
      </c>
      <c r="M931" s="60">
        <f t="shared" si="48"/>
        <v>1</v>
      </c>
    </row>
    <row r="932" customHeight="1" spans="2:13">
      <c r="B932" s="59">
        <v>929</v>
      </c>
      <c r="C932" s="87"/>
      <c r="D932" s="87"/>
      <c r="E932" s="87"/>
      <c r="F932" s="60" t="str">
        <f>IFERROR(VLOOKUP($E932,'基础-办公用品信息'!$C:$E,2,FALSE),"-")</f>
        <v>-</v>
      </c>
      <c r="G932" s="60" t="str">
        <f>IFERROR(VLOOKUP($E932,'基础-办公用品信息'!$C:$E,3,FALSE),"-")</f>
        <v>-</v>
      </c>
      <c r="H932" s="126" t="str">
        <f>IFERROR(VLOOKUP($E932,'基础-办公用品信息'!$C:$F,4,FALSE),"-")</f>
        <v>-</v>
      </c>
      <c r="I932" s="87"/>
      <c r="J932" s="61" t="str">
        <f t="shared" si="46"/>
        <v>-</v>
      </c>
      <c r="K932" s="87"/>
      <c r="L932" s="60">
        <f t="shared" si="47"/>
        <v>1900</v>
      </c>
      <c r="M932" s="60">
        <f t="shared" si="48"/>
        <v>1</v>
      </c>
    </row>
    <row r="933" customHeight="1" spans="2:13">
      <c r="B933" s="59">
        <v>930</v>
      </c>
      <c r="C933" s="87"/>
      <c r="D933" s="87"/>
      <c r="E933" s="87"/>
      <c r="F933" s="60" t="str">
        <f>IFERROR(VLOOKUP($E933,'基础-办公用品信息'!$C:$E,2,FALSE),"-")</f>
        <v>-</v>
      </c>
      <c r="G933" s="60" t="str">
        <f>IFERROR(VLOOKUP($E933,'基础-办公用品信息'!$C:$E,3,FALSE),"-")</f>
        <v>-</v>
      </c>
      <c r="H933" s="126" t="str">
        <f>IFERROR(VLOOKUP($E933,'基础-办公用品信息'!$C:$F,4,FALSE),"-")</f>
        <v>-</v>
      </c>
      <c r="I933" s="87"/>
      <c r="J933" s="61" t="str">
        <f t="shared" si="46"/>
        <v>-</v>
      </c>
      <c r="K933" s="87"/>
      <c r="L933" s="60">
        <f t="shared" si="47"/>
        <v>1900</v>
      </c>
      <c r="M933" s="60">
        <f t="shared" si="48"/>
        <v>1</v>
      </c>
    </row>
    <row r="934" customHeight="1" spans="2:13">
      <c r="B934" s="59">
        <v>931</v>
      </c>
      <c r="C934" s="87"/>
      <c r="D934" s="87"/>
      <c r="E934" s="87"/>
      <c r="F934" s="60" t="str">
        <f>IFERROR(VLOOKUP($E934,'基础-办公用品信息'!$C:$E,2,FALSE),"-")</f>
        <v>-</v>
      </c>
      <c r="G934" s="60" t="str">
        <f>IFERROR(VLOOKUP($E934,'基础-办公用品信息'!$C:$E,3,FALSE),"-")</f>
        <v>-</v>
      </c>
      <c r="H934" s="126" t="str">
        <f>IFERROR(VLOOKUP($E934,'基础-办公用品信息'!$C:$F,4,FALSE),"-")</f>
        <v>-</v>
      </c>
      <c r="I934" s="87"/>
      <c r="J934" s="61" t="str">
        <f t="shared" si="46"/>
        <v>-</v>
      </c>
      <c r="K934" s="87"/>
      <c r="L934" s="60">
        <f t="shared" si="47"/>
        <v>1900</v>
      </c>
      <c r="M934" s="60">
        <f t="shared" si="48"/>
        <v>1</v>
      </c>
    </row>
    <row r="935" customHeight="1" spans="2:13">
      <c r="B935" s="59">
        <v>932</v>
      </c>
      <c r="C935" s="87"/>
      <c r="D935" s="87"/>
      <c r="E935" s="87"/>
      <c r="F935" s="60" t="str">
        <f>IFERROR(VLOOKUP($E935,'基础-办公用品信息'!$C:$E,2,FALSE),"-")</f>
        <v>-</v>
      </c>
      <c r="G935" s="60" t="str">
        <f>IFERROR(VLOOKUP($E935,'基础-办公用品信息'!$C:$E,3,FALSE),"-")</f>
        <v>-</v>
      </c>
      <c r="H935" s="126" t="str">
        <f>IFERROR(VLOOKUP($E935,'基础-办公用品信息'!$C:$F,4,FALSE),"-")</f>
        <v>-</v>
      </c>
      <c r="I935" s="87"/>
      <c r="J935" s="61" t="str">
        <f t="shared" si="46"/>
        <v>-</v>
      </c>
      <c r="K935" s="87"/>
      <c r="L935" s="60">
        <f t="shared" si="47"/>
        <v>1900</v>
      </c>
      <c r="M935" s="60">
        <f t="shared" si="48"/>
        <v>1</v>
      </c>
    </row>
    <row r="936" customHeight="1" spans="2:13">
      <c r="B936" s="59">
        <v>933</v>
      </c>
      <c r="C936" s="87"/>
      <c r="D936" s="87"/>
      <c r="E936" s="87"/>
      <c r="F936" s="60" t="str">
        <f>IFERROR(VLOOKUP($E936,'基础-办公用品信息'!$C:$E,2,FALSE),"-")</f>
        <v>-</v>
      </c>
      <c r="G936" s="60" t="str">
        <f>IFERROR(VLOOKUP($E936,'基础-办公用品信息'!$C:$E,3,FALSE),"-")</f>
        <v>-</v>
      </c>
      <c r="H936" s="126" t="str">
        <f>IFERROR(VLOOKUP($E936,'基础-办公用品信息'!$C:$F,4,FALSE),"-")</f>
        <v>-</v>
      </c>
      <c r="I936" s="87"/>
      <c r="J936" s="61" t="str">
        <f t="shared" si="46"/>
        <v>-</v>
      </c>
      <c r="K936" s="87"/>
      <c r="L936" s="60">
        <f t="shared" si="47"/>
        <v>1900</v>
      </c>
      <c r="M936" s="60">
        <f t="shared" si="48"/>
        <v>1</v>
      </c>
    </row>
    <row r="937" customHeight="1" spans="2:13">
      <c r="B937" s="59">
        <v>934</v>
      </c>
      <c r="C937" s="87"/>
      <c r="D937" s="87"/>
      <c r="E937" s="87"/>
      <c r="F937" s="60" t="str">
        <f>IFERROR(VLOOKUP($E937,'基础-办公用品信息'!$C:$E,2,FALSE),"-")</f>
        <v>-</v>
      </c>
      <c r="G937" s="60" t="str">
        <f>IFERROR(VLOOKUP($E937,'基础-办公用品信息'!$C:$E,3,FALSE),"-")</f>
        <v>-</v>
      </c>
      <c r="H937" s="126" t="str">
        <f>IFERROR(VLOOKUP($E937,'基础-办公用品信息'!$C:$F,4,FALSE),"-")</f>
        <v>-</v>
      </c>
      <c r="I937" s="87"/>
      <c r="J937" s="61" t="str">
        <f t="shared" si="46"/>
        <v>-</v>
      </c>
      <c r="K937" s="87"/>
      <c r="L937" s="60">
        <f t="shared" si="47"/>
        <v>1900</v>
      </c>
      <c r="M937" s="60">
        <f t="shared" si="48"/>
        <v>1</v>
      </c>
    </row>
    <row r="938" customHeight="1" spans="2:13">
      <c r="B938" s="59">
        <v>935</v>
      </c>
      <c r="C938" s="87"/>
      <c r="D938" s="87"/>
      <c r="E938" s="87"/>
      <c r="F938" s="60" t="str">
        <f>IFERROR(VLOOKUP($E938,'基础-办公用品信息'!$C:$E,2,FALSE),"-")</f>
        <v>-</v>
      </c>
      <c r="G938" s="60" t="str">
        <f>IFERROR(VLOOKUP($E938,'基础-办公用品信息'!$C:$E,3,FALSE),"-")</f>
        <v>-</v>
      </c>
      <c r="H938" s="126" t="str">
        <f>IFERROR(VLOOKUP($E938,'基础-办公用品信息'!$C:$F,4,FALSE),"-")</f>
        <v>-</v>
      </c>
      <c r="I938" s="87"/>
      <c r="J938" s="61" t="str">
        <f t="shared" si="46"/>
        <v>-</v>
      </c>
      <c r="K938" s="87"/>
      <c r="L938" s="60">
        <f t="shared" si="47"/>
        <v>1900</v>
      </c>
      <c r="M938" s="60">
        <f t="shared" si="48"/>
        <v>1</v>
      </c>
    </row>
    <row r="939" customHeight="1" spans="2:13">
      <c r="B939" s="59">
        <v>936</v>
      </c>
      <c r="C939" s="87"/>
      <c r="D939" s="87"/>
      <c r="E939" s="87"/>
      <c r="F939" s="60" t="str">
        <f>IFERROR(VLOOKUP($E939,'基础-办公用品信息'!$C:$E,2,FALSE),"-")</f>
        <v>-</v>
      </c>
      <c r="G939" s="60" t="str">
        <f>IFERROR(VLOOKUP($E939,'基础-办公用品信息'!$C:$E,3,FALSE),"-")</f>
        <v>-</v>
      </c>
      <c r="H939" s="126" t="str">
        <f>IFERROR(VLOOKUP($E939,'基础-办公用品信息'!$C:$F,4,FALSE),"-")</f>
        <v>-</v>
      </c>
      <c r="I939" s="87"/>
      <c r="J939" s="61" t="str">
        <f t="shared" si="46"/>
        <v>-</v>
      </c>
      <c r="K939" s="87"/>
      <c r="L939" s="60">
        <f t="shared" si="47"/>
        <v>1900</v>
      </c>
      <c r="M939" s="60">
        <f t="shared" si="48"/>
        <v>1</v>
      </c>
    </row>
    <row r="940" customHeight="1" spans="2:13">
      <c r="B940" s="59">
        <v>937</v>
      </c>
      <c r="C940" s="87"/>
      <c r="D940" s="87"/>
      <c r="E940" s="87"/>
      <c r="F940" s="60" t="str">
        <f>IFERROR(VLOOKUP($E940,'基础-办公用品信息'!$C:$E,2,FALSE),"-")</f>
        <v>-</v>
      </c>
      <c r="G940" s="60" t="str">
        <f>IFERROR(VLOOKUP($E940,'基础-办公用品信息'!$C:$E,3,FALSE),"-")</f>
        <v>-</v>
      </c>
      <c r="H940" s="126" t="str">
        <f>IFERROR(VLOOKUP($E940,'基础-办公用品信息'!$C:$F,4,FALSE),"-")</f>
        <v>-</v>
      </c>
      <c r="I940" s="87"/>
      <c r="J940" s="61" t="str">
        <f t="shared" si="46"/>
        <v>-</v>
      </c>
      <c r="K940" s="87"/>
      <c r="L940" s="60">
        <f t="shared" si="47"/>
        <v>1900</v>
      </c>
      <c r="M940" s="60">
        <f t="shared" si="48"/>
        <v>1</v>
      </c>
    </row>
    <row r="941" customHeight="1" spans="2:13">
      <c r="B941" s="59">
        <v>938</v>
      </c>
      <c r="C941" s="87"/>
      <c r="D941" s="87"/>
      <c r="E941" s="87"/>
      <c r="F941" s="60" t="str">
        <f>IFERROR(VLOOKUP($E941,'基础-办公用品信息'!$C:$E,2,FALSE),"-")</f>
        <v>-</v>
      </c>
      <c r="G941" s="60" t="str">
        <f>IFERROR(VLOOKUP($E941,'基础-办公用品信息'!$C:$E,3,FALSE),"-")</f>
        <v>-</v>
      </c>
      <c r="H941" s="126" t="str">
        <f>IFERROR(VLOOKUP($E941,'基础-办公用品信息'!$C:$F,4,FALSE),"-")</f>
        <v>-</v>
      </c>
      <c r="I941" s="87"/>
      <c r="J941" s="61" t="str">
        <f t="shared" si="46"/>
        <v>-</v>
      </c>
      <c r="K941" s="87"/>
      <c r="L941" s="60">
        <f t="shared" si="47"/>
        <v>1900</v>
      </c>
      <c r="M941" s="60">
        <f t="shared" si="48"/>
        <v>1</v>
      </c>
    </row>
    <row r="942" customHeight="1" spans="2:13">
      <c r="B942" s="59">
        <v>939</v>
      </c>
      <c r="C942" s="87"/>
      <c r="D942" s="87"/>
      <c r="E942" s="87"/>
      <c r="F942" s="60" t="str">
        <f>IFERROR(VLOOKUP($E942,'基础-办公用品信息'!$C:$E,2,FALSE),"-")</f>
        <v>-</v>
      </c>
      <c r="G942" s="60" t="str">
        <f>IFERROR(VLOOKUP($E942,'基础-办公用品信息'!$C:$E,3,FALSE),"-")</f>
        <v>-</v>
      </c>
      <c r="H942" s="126" t="str">
        <f>IFERROR(VLOOKUP($E942,'基础-办公用品信息'!$C:$F,4,FALSE),"-")</f>
        <v>-</v>
      </c>
      <c r="I942" s="87"/>
      <c r="J942" s="61" t="str">
        <f t="shared" si="46"/>
        <v>-</v>
      </c>
      <c r="K942" s="87"/>
      <c r="L942" s="60">
        <f t="shared" si="47"/>
        <v>1900</v>
      </c>
      <c r="M942" s="60">
        <f t="shared" si="48"/>
        <v>1</v>
      </c>
    </row>
    <row r="943" customHeight="1" spans="2:13">
      <c r="B943" s="59">
        <v>940</v>
      </c>
      <c r="C943" s="87"/>
      <c r="D943" s="87"/>
      <c r="E943" s="87"/>
      <c r="F943" s="60" t="str">
        <f>IFERROR(VLOOKUP($E943,'基础-办公用品信息'!$C:$E,2,FALSE),"-")</f>
        <v>-</v>
      </c>
      <c r="G943" s="60" t="str">
        <f>IFERROR(VLOOKUP($E943,'基础-办公用品信息'!$C:$E,3,FALSE),"-")</f>
        <v>-</v>
      </c>
      <c r="H943" s="126" t="str">
        <f>IFERROR(VLOOKUP($E943,'基础-办公用品信息'!$C:$F,4,FALSE),"-")</f>
        <v>-</v>
      </c>
      <c r="I943" s="87"/>
      <c r="J943" s="61" t="str">
        <f t="shared" si="46"/>
        <v>-</v>
      </c>
      <c r="K943" s="87"/>
      <c r="L943" s="60">
        <f t="shared" si="47"/>
        <v>1900</v>
      </c>
      <c r="M943" s="60">
        <f t="shared" si="48"/>
        <v>1</v>
      </c>
    </row>
    <row r="944" customHeight="1" spans="2:13">
      <c r="B944" s="59">
        <v>941</v>
      </c>
      <c r="C944" s="87"/>
      <c r="D944" s="87"/>
      <c r="E944" s="87"/>
      <c r="F944" s="60" t="str">
        <f>IFERROR(VLOOKUP($E944,'基础-办公用品信息'!$C:$E,2,FALSE),"-")</f>
        <v>-</v>
      </c>
      <c r="G944" s="60" t="str">
        <f>IFERROR(VLOOKUP($E944,'基础-办公用品信息'!$C:$E,3,FALSE),"-")</f>
        <v>-</v>
      </c>
      <c r="H944" s="126" t="str">
        <f>IFERROR(VLOOKUP($E944,'基础-办公用品信息'!$C:$F,4,FALSE),"-")</f>
        <v>-</v>
      </c>
      <c r="I944" s="87"/>
      <c r="J944" s="61" t="str">
        <f t="shared" si="46"/>
        <v>-</v>
      </c>
      <c r="K944" s="87"/>
      <c r="L944" s="60">
        <f t="shared" si="47"/>
        <v>1900</v>
      </c>
      <c r="M944" s="60">
        <f t="shared" si="48"/>
        <v>1</v>
      </c>
    </row>
    <row r="945" customHeight="1" spans="2:13">
      <c r="B945" s="59">
        <v>942</v>
      </c>
      <c r="C945" s="87"/>
      <c r="D945" s="87"/>
      <c r="E945" s="87"/>
      <c r="F945" s="60" t="str">
        <f>IFERROR(VLOOKUP($E945,'基础-办公用品信息'!$C:$E,2,FALSE),"-")</f>
        <v>-</v>
      </c>
      <c r="G945" s="60" t="str">
        <f>IFERROR(VLOOKUP($E945,'基础-办公用品信息'!$C:$E,3,FALSE),"-")</f>
        <v>-</v>
      </c>
      <c r="H945" s="126" t="str">
        <f>IFERROR(VLOOKUP($E945,'基础-办公用品信息'!$C:$F,4,FALSE),"-")</f>
        <v>-</v>
      </c>
      <c r="I945" s="87"/>
      <c r="J945" s="61" t="str">
        <f t="shared" si="46"/>
        <v>-</v>
      </c>
      <c r="K945" s="87"/>
      <c r="L945" s="60">
        <f t="shared" si="47"/>
        <v>1900</v>
      </c>
      <c r="M945" s="60">
        <f t="shared" si="48"/>
        <v>1</v>
      </c>
    </row>
    <row r="946" customHeight="1" spans="2:13">
      <c r="B946" s="59">
        <v>943</v>
      </c>
      <c r="C946" s="87"/>
      <c r="D946" s="87"/>
      <c r="E946" s="87"/>
      <c r="F946" s="60" t="str">
        <f>IFERROR(VLOOKUP($E946,'基础-办公用品信息'!$C:$E,2,FALSE),"-")</f>
        <v>-</v>
      </c>
      <c r="G946" s="60" t="str">
        <f>IFERROR(VLOOKUP($E946,'基础-办公用品信息'!$C:$E,3,FALSE),"-")</f>
        <v>-</v>
      </c>
      <c r="H946" s="126" t="str">
        <f>IFERROR(VLOOKUP($E946,'基础-办公用品信息'!$C:$F,4,FALSE),"-")</f>
        <v>-</v>
      </c>
      <c r="I946" s="87"/>
      <c r="J946" s="61" t="str">
        <f t="shared" si="46"/>
        <v>-</v>
      </c>
      <c r="K946" s="87"/>
      <c r="L946" s="60">
        <f t="shared" si="47"/>
        <v>1900</v>
      </c>
      <c r="M946" s="60">
        <f t="shared" si="48"/>
        <v>1</v>
      </c>
    </row>
    <row r="947" customHeight="1" spans="2:13">
      <c r="B947" s="59">
        <v>944</v>
      </c>
      <c r="C947" s="87"/>
      <c r="D947" s="87"/>
      <c r="E947" s="87"/>
      <c r="F947" s="60" t="str">
        <f>IFERROR(VLOOKUP($E947,'基础-办公用品信息'!$C:$E,2,FALSE),"-")</f>
        <v>-</v>
      </c>
      <c r="G947" s="60" t="str">
        <f>IFERROR(VLOOKUP($E947,'基础-办公用品信息'!$C:$E,3,FALSE),"-")</f>
        <v>-</v>
      </c>
      <c r="H947" s="126" t="str">
        <f>IFERROR(VLOOKUP($E947,'基础-办公用品信息'!$C:$F,4,FALSE),"-")</f>
        <v>-</v>
      </c>
      <c r="I947" s="87"/>
      <c r="J947" s="61" t="str">
        <f t="shared" si="46"/>
        <v>-</v>
      </c>
      <c r="K947" s="87"/>
      <c r="L947" s="60">
        <f t="shared" si="47"/>
        <v>1900</v>
      </c>
      <c r="M947" s="60">
        <f t="shared" si="48"/>
        <v>1</v>
      </c>
    </row>
    <row r="948" customHeight="1" spans="2:13">
      <c r="B948" s="59">
        <v>945</v>
      </c>
      <c r="C948" s="87"/>
      <c r="D948" s="87"/>
      <c r="E948" s="87"/>
      <c r="F948" s="60" t="str">
        <f>IFERROR(VLOOKUP($E948,'基础-办公用品信息'!$C:$E,2,FALSE),"-")</f>
        <v>-</v>
      </c>
      <c r="G948" s="60" t="str">
        <f>IFERROR(VLOOKUP($E948,'基础-办公用品信息'!$C:$E,3,FALSE),"-")</f>
        <v>-</v>
      </c>
      <c r="H948" s="126" t="str">
        <f>IFERROR(VLOOKUP($E948,'基础-办公用品信息'!$C:$F,4,FALSE),"-")</f>
        <v>-</v>
      </c>
      <c r="I948" s="87"/>
      <c r="J948" s="61" t="str">
        <f t="shared" si="46"/>
        <v>-</v>
      </c>
      <c r="K948" s="87"/>
      <c r="L948" s="60">
        <f t="shared" si="47"/>
        <v>1900</v>
      </c>
      <c r="M948" s="60">
        <f t="shared" si="48"/>
        <v>1</v>
      </c>
    </row>
    <row r="949" customHeight="1" spans="2:13">
      <c r="B949" s="59">
        <v>946</v>
      </c>
      <c r="C949" s="87"/>
      <c r="D949" s="87"/>
      <c r="E949" s="87"/>
      <c r="F949" s="60" t="str">
        <f>IFERROR(VLOOKUP($E949,'基础-办公用品信息'!$C:$E,2,FALSE),"-")</f>
        <v>-</v>
      </c>
      <c r="G949" s="60" t="str">
        <f>IFERROR(VLOOKUP($E949,'基础-办公用品信息'!$C:$E,3,FALSE),"-")</f>
        <v>-</v>
      </c>
      <c r="H949" s="126" t="str">
        <f>IFERROR(VLOOKUP($E949,'基础-办公用品信息'!$C:$F,4,FALSE),"-")</f>
        <v>-</v>
      </c>
      <c r="I949" s="87"/>
      <c r="J949" s="61" t="str">
        <f t="shared" si="46"/>
        <v>-</v>
      </c>
      <c r="K949" s="87"/>
      <c r="L949" s="60">
        <f t="shared" si="47"/>
        <v>1900</v>
      </c>
      <c r="M949" s="60">
        <f t="shared" si="48"/>
        <v>1</v>
      </c>
    </row>
    <row r="950" customHeight="1" spans="2:13">
      <c r="B950" s="59">
        <v>947</v>
      </c>
      <c r="C950" s="87"/>
      <c r="D950" s="87"/>
      <c r="E950" s="87"/>
      <c r="F950" s="60" t="str">
        <f>IFERROR(VLOOKUP($E950,'基础-办公用品信息'!$C:$E,2,FALSE),"-")</f>
        <v>-</v>
      </c>
      <c r="G950" s="60" t="str">
        <f>IFERROR(VLOOKUP($E950,'基础-办公用品信息'!$C:$E,3,FALSE),"-")</f>
        <v>-</v>
      </c>
      <c r="H950" s="126" t="str">
        <f>IFERROR(VLOOKUP($E950,'基础-办公用品信息'!$C:$F,4,FALSE),"-")</f>
        <v>-</v>
      </c>
      <c r="I950" s="87"/>
      <c r="J950" s="61" t="str">
        <f t="shared" si="46"/>
        <v>-</v>
      </c>
      <c r="K950" s="87"/>
      <c r="L950" s="60">
        <f t="shared" si="47"/>
        <v>1900</v>
      </c>
      <c r="M950" s="60">
        <f t="shared" si="48"/>
        <v>1</v>
      </c>
    </row>
    <row r="951" customHeight="1" spans="2:13">
      <c r="B951" s="59">
        <v>948</v>
      </c>
      <c r="C951" s="87"/>
      <c r="D951" s="87"/>
      <c r="E951" s="87"/>
      <c r="F951" s="60" t="str">
        <f>IFERROR(VLOOKUP($E951,'基础-办公用品信息'!$C:$E,2,FALSE),"-")</f>
        <v>-</v>
      </c>
      <c r="G951" s="60" t="str">
        <f>IFERROR(VLOOKUP($E951,'基础-办公用品信息'!$C:$E,3,FALSE),"-")</f>
        <v>-</v>
      </c>
      <c r="H951" s="126" t="str">
        <f>IFERROR(VLOOKUP($E951,'基础-办公用品信息'!$C:$F,4,FALSE),"-")</f>
        <v>-</v>
      </c>
      <c r="I951" s="87"/>
      <c r="J951" s="61" t="str">
        <f t="shared" ref="J951:J989" si="49">IF(AND(H951&lt;&gt;"",I951&lt;&gt;""),H951*I951,"-")</f>
        <v>-</v>
      </c>
      <c r="K951" s="87"/>
      <c r="L951" s="60">
        <f t="shared" ref="L951:L989" si="50">YEAR(C951)</f>
        <v>1900</v>
      </c>
      <c r="M951" s="60">
        <f t="shared" ref="M951:M989" si="51">MONTH(C951)</f>
        <v>1</v>
      </c>
    </row>
    <row r="952" customHeight="1" spans="2:13">
      <c r="B952" s="59">
        <v>949</v>
      </c>
      <c r="C952" s="87"/>
      <c r="D952" s="87"/>
      <c r="E952" s="87"/>
      <c r="F952" s="60" t="str">
        <f>IFERROR(VLOOKUP($E952,'基础-办公用品信息'!$C:$E,2,FALSE),"-")</f>
        <v>-</v>
      </c>
      <c r="G952" s="60" t="str">
        <f>IFERROR(VLOOKUP($E952,'基础-办公用品信息'!$C:$E,3,FALSE),"-")</f>
        <v>-</v>
      </c>
      <c r="H952" s="126" t="str">
        <f>IFERROR(VLOOKUP($E952,'基础-办公用品信息'!$C:$F,4,FALSE),"-")</f>
        <v>-</v>
      </c>
      <c r="I952" s="87"/>
      <c r="J952" s="61" t="str">
        <f t="shared" si="49"/>
        <v>-</v>
      </c>
      <c r="K952" s="87"/>
      <c r="L952" s="60">
        <f t="shared" si="50"/>
        <v>1900</v>
      </c>
      <c r="M952" s="60">
        <f t="shared" si="51"/>
        <v>1</v>
      </c>
    </row>
    <row r="953" customHeight="1" spans="2:13">
      <c r="B953" s="59">
        <v>950</v>
      </c>
      <c r="C953" s="87"/>
      <c r="D953" s="87"/>
      <c r="E953" s="87"/>
      <c r="F953" s="60" t="str">
        <f>IFERROR(VLOOKUP($E953,'基础-办公用品信息'!$C:$E,2,FALSE),"-")</f>
        <v>-</v>
      </c>
      <c r="G953" s="60" t="str">
        <f>IFERROR(VLOOKUP($E953,'基础-办公用品信息'!$C:$E,3,FALSE),"-")</f>
        <v>-</v>
      </c>
      <c r="H953" s="126" t="str">
        <f>IFERROR(VLOOKUP($E953,'基础-办公用品信息'!$C:$F,4,FALSE),"-")</f>
        <v>-</v>
      </c>
      <c r="I953" s="87"/>
      <c r="J953" s="61" t="str">
        <f t="shared" si="49"/>
        <v>-</v>
      </c>
      <c r="K953" s="87"/>
      <c r="L953" s="60">
        <f t="shared" si="50"/>
        <v>1900</v>
      </c>
      <c r="M953" s="60">
        <f t="shared" si="51"/>
        <v>1</v>
      </c>
    </row>
    <row r="954" customHeight="1" spans="2:13">
      <c r="B954" s="59">
        <v>951</v>
      </c>
      <c r="C954" s="87"/>
      <c r="D954" s="87"/>
      <c r="E954" s="87"/>
      <c r="F954" s="60" t="str">
        <f>IFERROR(VLOOKUP($E954,'基础-办公用品信息'!$C:$E,2,FALSE),"-")</f>
        <v>-</v>
      </c>
      <c r="G954" s="60" t="str">
        <f>IFERROR(VLOOKUP($E954,'基础-办公用品信息'!$C:$E,3,FALSE),"-")</f>
        <v>-</v>
      </c>
      <c r="H954" s="126" t="str">
        <f>IFERROR(VLOOKUP($E954,'基础-办公用品信息'!$C:$F,4,FALSE),"-")</f>
        <v>-</v>
      </c>
      <c r="I954" s="87"/>
      <c r="J954" s="61" t="str">
        <f t="shared" si="49"/>
        <v>-</v>
      </c>
      <c r="K954" s="87"/>
      <c r="L954" s="60">
        <f t="shared" si="50"/>
        <v>1900</v>
      </c>
      <c r="M954" s="60">
        <f t="shared" si="51"/>
        <v>1</v>
      </c>
    </row>
    <row r="955" customHeight="1" spans="2:13">
      <c r="B955" s="59">
        <v>952</v>
      </c>
      <c r="C955" s="87"/>
      <c r="D955" s="87"/>
      <c r="E955" s="87"/>
      <c r="F955" s="60" t="str">
        <f>IFERROR(VLOOKUP($E955,'基础-办公用品信息'!$C:$E,2,FALSE),"-")</f>
        <v>-</v>
      </c>
      <c r="G955" s="60" t="str">
        <f>IFERROR(VLOOKUP($E955,'基础-办公用品信息'!$C:$E,3,FALSE),"-")</f>
        <v>-</v>
      </c>
      <c r="H955" s="126" t="str">
        <f>IFERROR(VLOOKUP($E955,'基础-办公用品信息'!$C:$F,4,FALSE),"-")</f>
        <v>-</v>
      </c>
      <c r="I955" s="87"/>
      <c r="J955" s="61" t="str">
        <f t="shared" si="49"/>
        <v>-</v>
      </c>
      <c r="K955" s="87"/>
      <c r="L955" s="60">
        <f t="shared" si="50"/>
        <v>1900</v>
      </c>
      <c r="M955" s="60">
        <f t="shared" si="51"/>
        <v>1</v>
      </c>
    </row>
    <row r="956" customHeight="1" spans="2:13">
      <c r="B956" s="59">
        <v>953</v>
      </c>
      <c r="C956" s="87"/>
      <c r="D956" s="87"/>
      <c r="E956" s="87"/>
      <c r="F956" s="60" t="str">
        <f>IFERROR(VLOOKUP($E956,'基础-办公用品信息'!$C:$E,2,FALSE),"-")</f>
        <v>-</v>
      </c>
      <c r="G956" s="60" t="str">
        <f>IFERROR(VLOOKUP($E956,'基础-办公用品信息'!$C:$E,3,FALSE),"-")</f>
        <v>-</v>
      </c>
      <c r="H956" s="126" t="str">
        <f>IFERROR(VLOOKUP($E956,'基础-办公用品信息'!$C:$F,4,FALSE),"-")</f>
        <v>-</v>
      </c>
      <c r="I956" s="87"/>
      <c r="J956" s="61" t="str">
        <f t="shared" si="49"/>
        <v>-</v>
      </c>
      <c r="K956" s="87"/>
      <c r="L956" s="60">
        <f t="shared" si="50"/>
        <v>1900</v>
      </c>
      <c r="M956" s="60">
        <f t="shared" si="51"/>
        <v>1</v>
      </c>
    </row>
    <row r="957" customHeight="1" spans="2:13">
      <c r="B957" s="59">
        <v>954</v>
      </c>
      <c r="C957" s="87"/>
      <c r="D957" s="87"/>
      <c r="E957" s="87"/>
      <c r="F957" s="60" t="str">
        <f>IFERROR(VLOOKUP($E957,'基础-办公用品信息'!$C:$E,2,FALSE),"-")</f>
        <v>-</v>
      </c>
      <c r="G957" s="60" t="str">
        <f>IFERROR(VLOOKUP($E957,'基础-办公用品信息'!$C:$E,3,FALSE),"-")</f>
        <v>-</v>
      </c>
      <c r="H957" s="126" t="str">
        <f>IFERROR(VLOOKUP($E957,'基础-办公用品信息'!$C:$F,4,FALSE),"-")</f>
        <v>-</v>
      </c>
      <c r="I957" s="87"/>
      <c r="J957" s="61" t="str">
        <f t="shared" si="49"/>
        <v>-</v>
      </c>
      <c r="K957" s="87"/>
      <c r="L957" s="60">
        <f t="shared" si="50"/>
        <v>1900</v>
      </c>
      <c r="M957" s="60">
        <f t="shared" si="51"/>
        <v>1</v>
      </c>
    </row>
    <row r="958" customHeight="1" spans="2:13">
      <c r="B958" s="59">
        <v>955</v>
      </c>
      <c r="C958" s="87"/>
      <c r="D958" s="87"/>
      <c r="E958" s="87"/>
      <c r="F958" s="60" t="str">
        <f>IFERROR(VLOOKUP($E958,'基础-办公用品信息'!$C:$E,2,FALSE),"-")</f>
        <v>-</v>
      </c>
      <c r="G958" s="60" t="str">
        <f>IFERROR(VLOOKUP($E958,'基础-办公用品信息'!$C:$E,3,FALSE),"-")</f>
        <v>-</v>
      </c>
      <c r="H958" s="126" t="str">
        <f>IFERROR(VLOOKUP($E958,'基础-办公用品信息'!$C:$F,4,FALSE),"-")</f>
        <v>-</v>
      </c>
      <c r="I958" s="87"/>
      <c r="J958" s="61" t="str">
        <f t="shared" si="49"/>
        <v>-</v>
      </c>
      <c r="K958" s="87"/>
      <c r="L958" s="60">
        <f t="shared" si="50"/>
        <v>1900</v>
      </c>
      <c r="M958" s="60">
        <f t="shared" si="51"/>
        <v>1</v>
      </c>
    </row>
    <row r="959" customHeight="1" spans="2:13">
      <c r="B959" s="59">
        <v>956</v>
      </c>
      <c r="C959" s="87"/>
      <c r="D959" s="87"/>
      <c r="E959" s="87"/>
      <c r="F959" s="60" t="str">
        <f>IFERROR(VLOOKUP($E959,'基础-办公用品信息'!$C:$E,2,FALSE),"-")</f>
        <v>-</v>
      </c>
      <c r="G959" s="60" t="str">
        <f>IFERROR(VLOOKUP($E959,'基础-办公用品信息'!$C:$E,3,FALSE),"-")</f>
        <v>-</v>
      </c>
      <c r="H959" s="126" t="str">
        <f>IFERROR(VLOOKUP($E959,'基础-办公用品信息'!$C:$F,4,FALSE),"-")</f>
        <v>-</v>
      </c>
      <c r="I959" s="87"/>
      <c r="J959" s="61" t="str">
        <f t="shared" si="49"/>
        <v>-</v>
      </c>
      <c r="K959" s="87"/>
      <c r="L959" s="60">
        <f t="shared" si="50"/>
        <v>1900</v>
      </c>
      <c r="M959" s="60">
        <f t="shared" si="51"/>
        <v>1</v>
      </c>
    </row>
    <row r="960" customHeight="1" spans="2:13">
      <c r="B960" s="59">
        <v>957</v>
      </c>
      <c r="C960" s="87"/>
      <c r="D960" s="87"/>
      <c r="E960" s="87"/>
      <c r="F960" s="60" t="str">
        <f>IFERROR(VLOOKUP($E960,'基础-办公用品信息'!$C:$E,2,FALSE),"-")</f>
        <v>-</v>
      </c>
      <c r="G960" s="60" t="str">
        <f>IFERROR(VLOOKUP($E960,'基础-办公用品信息'!$C:$E,3,FALSE),"-")</f>
        <v>-</v>
      </c>
      <c r="H960" s="126" t="str">
        <f>IFERROR(VLOOKUP($E960,'基础-办公用品信息'!$C:$F,4,FALSE),"-")</f>
        <v>-</v>
      </c>
      <c r="I960" s="87"/>
      <c r="J960" s="61" t="str">
        <f t="shared" si="49"/>
        <v>-</v>
      </c>
      <c r="K960" s="87"/>
      <c r="L960" s="60">
        <f t="shared" si="50"/>
        <v>1900</v>
      </c>
      <c r="M960" s="60">
        <f t="shared" si="51"/>
        <v>1</v>
      </c>
    </row>
    <row r="961" customHeight="1" spans="2:13">
      <c r="B961" s="59">
        <v>958</v>
      </c>
      <c r="C961" s="87"/>
      <c r="D961" s="87"/>
      <c r="E961" s="87"/>
      <c r="F961" s="60" t="str">
        <f>IFERROR(VLOOKUP($E961,'基础-办公用品信息'!$C:$E,2,FALSE),"-")</f>
        <v>-</v>
      </c>
      <c r="G961" s="60" t="str">
        <f>IFERROR(VLOOKUP($E961,'基础-办公用品信息'!$C:$E,3,FALSE),"-")</f>
        <v>-</v>
      </c>
      <c r="H961" s="126" t="str">
        <f>IFERROR(VLOOKUP($E961,'基础-办公用品信息'!$C:$F,4,FALSE),"-")</f>
        <v>-</v>
      </c>
      <c r="I961" s="87"/>
      <c r="J961" s="61" t="str">
        <f t="shared" si="49"/>
        <v>-</v>
      </c>
      <c r="K961" s="87"/>
      <c r="L961" s="60">
        <f t="shared" si="50"/>
        <v>1900</v>
      </c>
      <c r="M961" s="60">
        <f t="shared" si="51"/>
        <v>1</v>
      </c>
    </row>
    <row r="962" customHeight="1" spans="2:13">
      <c r="B962" s="59">
        <v>959</v>
      </c>
      <c r="C962" s="87"/>
      <c r="D962" s="87"/>
      <c r="E962" s="87"/>
      <c r="F962" s="60" t="str">
        <f>IFERROR(VLOOKUP($E962,'基础-办公用品信息'!$C:$E,2,FALSE),"-")</f>
        <v>-</v>
      </c>
      <c r="G962" s="60" t="str">
        <f>IFERROR(VLOOKUP($E962,'基础-办公用品信息'!$C:$E,3,FALSE),"-")</f>
        <v>-</v>
      </c>
      <c r="H962" s="126" t="str">
        <f>IFERROR(VLOOKUP($E962,'基础-办公用品信息'!$C:$F,4,FALSE),"-")</f>
        <v>-</v>
      </c>
      <c r="I962" s="87"/>
      <c r="J962" s="61" t="str">
        <f t="shared" si="49"/>
        <v>-</v>
      </c>
      <c r="K962" s="87"/>
      <c r="L962" s="60">
        <f t="shared" si="50"/>
        <v>1900</v>
      </c>
      <c r="M962" s="60">
        <f t="shared" si="51"/>
        <v>1</v>
      </c>
    </row>
    <row r="963" customHeight="1" spans="2:13">
      <c r="B963" s="59">
        <v>960</v>
      </c>
      <c r="C963" s="87"/>
      <c r="D963" s="87"/>
      <c r="E963" s="87"/>
      <c r="F963" s="60" t="str">
        <f>IFERROR(VLOOKUP($E963,'基础-办公用品信息'!$C:$E,2,FALSE),"-")</f>
        <v>-</v>
      </c>
      <c r="G963" s="60" t="str">
        <f>IFERROR(VLOOKUP($E963,'基础-办公用品信息'!$C:$E,3,FALSE),"-")</f>
        <v>-</v>
      </c>
      <c r="H963" s="126" t="str">
        <f>IFERROR(VLOOKUP($E963,'基础-办公用品信息'!$C:$F,4,FALSE),"-")</f>
        <v>-</v>
      </c>
      <c r="I963" s="87"/>
      <c r="J963" s="61" t="str">
        <f t="shared" si="49"/>
        <v>-</v>
      </c>
      <c r="K963" s="87"/>
      <c r="L963" s="60">
        <f t="shared" si="50"/>
        <v>1900</v>
      </c>
      <c r="M963" s="60">
        <f t="shared" si="51"/>
        <v>1</v>
      </c>
    </row>
    <row r="964" customHeight="1" spans="2:13">
      <c r="B964" s="59">
        <v>961</v>
      </c>
      <c r="C964" s="87"/>
      <c r="D964" s="87"/>
      <c r="E964" s="87"/>
      <c r="F964" s="60" t="str">
        <f>IFERROR(VLOOKUP($E964,'基础-办公用品信息'!$C:$E,2,FALSE),"-")</f>
        <v>-</v>
      </c>
      <c r="G964" s="60" t="str">
        <f>IFERROR(VLOOKUP($E964,'基础-办公用品信息'!$C:$E,3,FALSE),"-")</f>
        <v>-</v>
      </c>
      <c r="H964" s="126" t="str">
        <f>IFERROR(VLOOKUP($E964,'基础-办公用品信息'!$C:$F,4,FALSE),"-")</f>
        <v>-</v>
      </c>
      <c r="I964" s="87"/>
      <c r="J964" s="61" t="str">
        <f t="shared" si="49"/>
        <v>-</v>
      </c>
      <c r="K964" s="87"/>
      <c r="L964" s="60">
        <f t="shared" si="50"/>
        <v>1900</v>
      </c>
      <c r="M964" s="60">
        <f t="shared" si="51"/>
        <v>1</v>
      </c>
    </row>
    <row r="965" customHeight="1" spans="2:13">
      <c r="B965" s="59">
        <v>962</v>
      </c>
      <c r="C965" s="87"/>
      <c r="D965" s="87"/>
      <c r="E965" s="87"/>
      <c r="F965" s="60" t="str">
        <f>IFERROR(VLOOKUP($E965,'基础-办公用品信息'!$C:$E,2,FALSE),"-")</f>
        <v>-</v>
      </c>
      <c r="G965" s="60" t="str">
        <f>IFERROR(VLOOKUP($E965,'基础-办公用品信息'!$C:$E,3,FALSE),"-")</f>
        <v>-</v>
      </c>
      <c r="H965" s="126" t="str">
        <f>IFERROR(VLOOKUP($E965,'基础-办公用品信息'!$C:$F,4,FALSE),"-")</f>
        <v>-</v>
      </c>
      <c r="I965" s="87"/>
      <c r="J965" s="61" t="str">
        <f t="shared" si="49"/>
        <v>-</v>
      </c>
      <c r="K965" s="87"/>
      <c r="L965" s="60">
        <f t="shared" si="50"/>
        <v>1900</v>
      </c>
      <c r="M965" s="60">
        <f t="shared" si="51"/>
        <v>1</v>
      </c>
    </row>
    <row r="966" customHeight="1" spans="2:13">
      <c r="B966" s="59">
        <v>963</v>
      </c>
      <c r="C966" s="87"/>
      <c r="D966" s="87"/>
      <c r="E966" s="87"/>
      <c r="F966" s="60" t="str">
        <f>IFERROR(VLOOKUP($E966,'基础-办公用品信息'!$C:$E,2,FALSE),"-")</f>
        <v>-</v>
      </c>
      <c r="G966" s="60" t="str">
        <f>IFERROR(VLOOKUP($E966,'基础-办公用品信息'!$C:$E,3,FALSE),"-")</f>
        <v>-</v>
      </c>
      <c r="H966" s="126" t="str">
        <f>IFERROR(VLOOKUP($E966,'基础-办公用品信息'!$C:$F,4,FALSE),"-")</f>
        <v>-</v>
      </c>
      <c r="I966" s="87"/>
      <c r="J966" s="61" t="str">
        <f t="shared" si="49"/>
        <v>-</v>
      </c>
      <c r="K966" s="87"/>
      <c r="L966" s="60">
        <f t="shared" si="50"/>
        <v>1900</v>
      </c>
      <c r="M966" s="60">
        <f t="shared" si="51"/>
        <v>1</v>
      </c>
    </row>
    <row r="967" customHeight="1" spans="2:13">
      <c r="B967" s="59">
        <v>964</v>
      </c>
      <c r="C967" s="87"/>
      <c r="D967" s="87"/>
      <c r="E967" s="87"/>
      <c r="F967" s="60" t="str">
        <f>IFERROR(VLOOKUP($E967,'基础-办公用品信息'!$C:$E,2,FALSE),"-")</f>
        <v>-</v>
      </c>
      <c r="G967" s="60" t="str">
        <f>IFERROR(VLOOKUP($E967,'基础-办公用品信息'!$C:$E,3,FALSE),"-")</f>
        <v>-</v>
      </c>
      <c r="H967" s="126" t="str">
        <f>IFERROR(VLOOKUP($E967,'基础-办公用品信息'!$C:$F,4,FALSE),"-")</f>
        <v>-</v>
      </c>
      <c r="I967" s="87"/>
      <c r="J967" s="61" t="str">
        <f t="shared" si="49"/>
        <v>-</v>
      </c>
      <c r="K967" s="87"/>
      <c r="L967" s="60">
        <f t="shared" si="50"/>
        <v>1900</v>
      </c>
      <c r="M967" s="60">
        <f t="shared" si="51"/>
        <v>1</v>
      </c>
    </row>
    <row r="968" customHeight="1" spans="2:13">
      <c r="B968" s="59">
        <v>965</v>
      </c>
      <c r="C968" s="87"/>
      <c r="D968" s="87"/>
      <c r="E968" s="87"/>
      <c r="F968" s="60" t="str">
        <f>IFERROR(VLOOKUP($E968,'基础-办公用品信息'!$C:$E,2,FALSE),"-")</f>
        <v>-</v>
      </c>
      <c r="G968" s="60" t="str">
        <f>IFERROR(VLOOKUP($E968,'基础-办公用品信息'!$C:$E,3,FALSE),"-")</f>
        <v>-</v>
      </c>
      <c r="H968" s="126" t="str">
        <f>IFERROR(VLOOKUP($E968,'基础-办公用品信息'!$C:$F,4,FALSE),"-")</f>
        <v>-</v>
      </c>
      <c r="I968" s="87"/>
      <c r="J968" s="61" t="str">
        <f t="shared" si="49"/>
        <v>-</v>
      </c>
      <c r="K968" s="87"/>
      <c r="L968" s="60">
        <f t="shared" si="50"/>
        <v>1900</v>
      </c>
      <c r="M968" s="60">
        <f t="shared" si="51"/>
        <v>1</v>
      </c>
    </row>
    <row r="969" customHeight="1" spans="2:13">
      <c r="B969" s="59">
        <v>966</v>
      </c>
      <c r="C969" s="87"/>
      <c r="D969" s="87"/>
      <c r="E969" s="87"/>
      <c r="F969" s="60" t="str">
        <f>IFERROR(VLOOKUP($E969,'基础-办公用品信息'!$C:$E,2,FALSE),"-")</f>
        <v>-</v>
      </c>
      <c r="G969" s="60" t="str">
        <f>IFERROR(VLOOKUP($E969,'基础-办公用品信息'!$C:$E,3,FALSE),"-")</f>
        <v>-</v>
      </c>
      <c r="H969" s="126" t="str">
        <f>IFERROR(VLOOKUP($E969,'基础-办公用品信息'!$C:$F,4,FALSE),"-")</f>
        <v>-</v>
      </c>
      <c r="I969" s="87"/>
      <c r="J969" s="61" t="str">
        <f t="shared" si="49"/>
        <v>-</v>
      </c>
      <c r="K969" s="87"/>
      <c r="L969" s="60">
        <f t="shared" si="50"/>
        <v>1900</v>
      </c>
      <c r="M969" s="60">
        <f t="shared" si="51"/>
        <v>1</v>
      </c>
    </row>
    <row r="970" customHeight="1" spans="2:13">
      <c r="B970" s="59">
        <v>967</v>
      </c>
      <c r="C970" s="87"/>
      <c r="D970" s="87"/>
      <c r="E970" s="87"/>
      <c r="F970" s="60" t="str">
        <f>IFERROR(VLOOKUP($E970,'基础-办公用品信息'!$C:$E,2,FALSE),"-")</f>
        <v>-</v>
      </c>
      <c r="G970" s="60" t="str">
        <f>IFERROR(VLOOKUP($E970,'基础-办公用品信息'!$C:$E,3,FALSE),"-")</f>
        <v>-</v>
      </c>
      <c r="H970" s="126" t="str">
        <f>IFERROR(VLOOKUP($E970,'基础-办公用品信息'!$C:$F,4,FALSE),"-")</f>
        <v>-</v>
      </c>
      <c r="I970" s="87"/>
      <c r="J970" s="61" t="str">
        <f t="shared" si="49"/>
        <v>-</v>
      </c>
      <c r="K970" s="87"/>
      <c r="L970" s="60">
        <f t="shared" si="50"/>
        <v>1900</v>
      </c>
      <c r="M970" s="60">
        <f t="shared" si="51"/>
        <v>1</v>
      </c>
    </row>
    <row r="971" customHeight="1" spans="2:13">
      <c r="B971" s="59">
        <v>968</v>
      </c>
      <c r="C971" s="87"/>
      <c r="D971" s="87"/>
      <c r="E971" s="87"/>
      <c r="F971" s="60" t="str">
        <f>IFERROR(VLOOKUP($E971,'基础-办公用品信息'!$C:$E,2,FALSE),"-")</f>
        <v>-</v>
      </c>
      <c r="G971" s="60" t="str">
        <f>IFERROR(VLOOKUP($E971,'基础-办公用品信息'!$C:$E,3,FALSE),"-")</f>
        <v>-</v>
      </c>
      <c r="H971" s="126" t="str">
        <f>IFERROR(VLOOKUP($E971,'基础-办公用品信息'!$C:$F,4,FALSE),"-")</f>
        <v>-</v>
      </c>
      <c r="I971" s="87"/>
      <c r="J971" s="61" t="str">
        <f t="shared" si="49"/>
        <v>-</v>
      </c>
      <c r="K971" s="87"/>
      <c r="L971" s="60">
        <f t="shared" si="50"/>
        <v>1900</v>
      </c>
      <c r="M971" s="60">
        <f t="shared" si="51"/>
        <v>1</v>
      </c>
    </row>
    <row r="972" customHeight="1" spans="2:13">
      <c r="B972" s="59">
        <v>969</v>
      </c>
      <c r="C972" s="87"/>
      <c r="D972" s="87"/>
      <c r="E972" s="87"/>
      <c r="F972" s="60" t="str">
        <f>IFERROR(VLOOKUP($E972,'基础-办公用品信息'!$C:$E,2,FALSE),"-")</f>
        <v>-</v>
      </c>
      <c r="G972" s="60" t="str">
        <f>IFERROR(VLOOKUP($E972,'基础-办公用品信息'!$C:$E,3,FALSE),"-")</f>
        <v>-</v>
      </c>
      <c r="H972" s="126" t="str">
        <f>IFERROR(VLOOKUP($E972,'基础-办公用品信息'!$C:$F,4,FALSE),"-")</f>
        <v>-</v>
      </c>
      <c r="I972" s="87"/>
      <c r="J972" s="61" t="str">
        <f t="shared" si="49"/>
        <v>-</v>
      </c>
      <c r="K972" s="87"/>
      <c r="L972" s="60">
        <f t="shared" si="50"/>
        <v>1900</v>
      </c>
      <c r="M972" s="60">
        <f t="shared" si="51"/>
        <v>1</v>
      </c>
    </row>
    <row r="973" customHeight="1" spans="2:13">
      <c r="B973" s="59">
        <v>970</v>
      </c>
      <c r="C973" s="87"/>
      <c r="D973" s="87"/>
      <c r="E973" s="87"/>
      <c r="F973" s="60" t="str">
        <f>IFERROR(VLOOKUP($E973,'基础-办公用品信息'!$C:$E,2,FALSE),"-")</f>
        <v>-</v>
      </c>
      <c r="G973" s="60" t="str">
        <f>IFERROR(VLOOKUP($E973,'基础-办公用品信息'!$C:$E,3,FALSE),"-")</f>
        <v>-</v>
      </c>
      <c r="H973" s="126" t="str">
        <f>IFERROR(VLOOKUP($E973,'基础-办公用品信息'!$C:$F,4,FALSE),"-")</f>
        <v>-</v>
      </c>
      <c r="I973" s="87"/>
      <c r="J973" s="61" t="str">
        <f t="shared" si="49"/>
        <v>-</v>
      </c>
      <c r="K973" s="87"/>
      <c r="L973" s="60">
        <f t="shared" si="50"/>
        <v>1900</v>
      </c>
      <c r="M973" s="60">
        <f t="shared" si="51"/>
        <v>1</v>
      </c>
    </row>
    <row r="974" customHeight="1" spans="2:13">
      <c r="B974" s="59">
        <v>971</v>
      </c>
      <c r="C974" s="87"/>
      <c r="D974" s="87"/>
      <c r="E974" s="87"/>
      <c r="F974" s="60" t="str">
        <f>IFERROR(VLOOKUP($E974,'基础-办公用品信息'!$C:$E,2,FALSE),"-")</f>
        <v>-</v>
      </c>
      <c r="G974" s="60" t="str">
        <f>IFERROR(VLOOKUP($E974,'基础-办公用品信息'!$C:$E,3,FALSE),"-")</f>
        <v>-</v>
      </c>
      <c r="H974" s="126" t="str">
        <f>IFERROR(VLOOKUP($E974,'基础-办公用品信息'!$C:$F,4,FALSE),"-")</f>
        <v>-</v>
      </c>
      <c r="I974" s="87"/>
      <c r="J974" s="61" t="str">
        <f t="shared" si="49"/>
        <v>-</v>
      </c>
      <c r="K974" s="87"/>
      <c r="L974" s="60">
        <f t="shared" si="50"/>
        <v>1900</v>
      </c>
      <c r="M974" s="60">
        <f t="shared" si="51"/>
        <v>1</v>
      </c>
    </row>
    <row r="975" customHeight="1" spans="2:13">
      <c r="B975" s="59">
        <v>972</v>
      </c>
      <c r="C975" s="87"/>
      <c r="D975" s="87"/>
      <c r="E975" s="87"/>
      <c r="F975" s="60" t="str">
        <f>IFERROR(VLOOKUP($E975,'基础-办公用品信息'!$C:$E,2,FALSE),"-")</f>
        <v>-</v>
      </c>
      <c r="G975" s="60" t="str">
        <f>IFERROR(VLOOKUP($E975,'基础-办公用品信息'!$C:$E,3,FALSE),"-")</f>
        <v>-</v>
      </c>
      <c r="H975" s="126" t="str">
        <f>IFERROR(VLOOKUP($E975,'基础-办公用品信息'!$C:$F,4,FALSE),"-")</f>
        <v>-</v>
      </c>
      <c r="I975" s="87"/>
      <c r="J975" s="61" t="str">
        <f t="shared" si="49"/>
        <v>-</v>
      </c>
      <c r="K975" s="87"/>
      <c r="L975" s="60">
        <f t="shared" si="50"/>
        <v>1900</v>
      </c>
      <c r="M975" s="60">
        <f t="shared" si="51"/>
        <v>1</v>
      </c>
    </row>
    <row r="976" customHeight="1" spans="2:13">
      <c r="B976" s="59">
        <v>973</v>
      </c>
      <c r="C976" s="87"/>
      <c r="D976" s="87"/>
      <c r="E976" s="87"/>
      <c r="F976" s="60" t="str">
        <f>IFERROR(VLOOKUP($E976,'基础-办公用品信息'!$C:$E,2,FALSE),"-")</f>
        <v>-</v>
      </c>
      <c r="G976" s="60" t="str">
        <f>IFERROR(VLOOKUP($E976,'基础-办公用品信息'!$C:$E,3,FALSE),"-")</f>
        <v>-</v>
      </c>
      <c r="H976" s="126" t="str">
        <f>IFERROR(VLOOKUP($E976,'基础-办公用品信息'!$C:$F,4,FALSE),"-")</f>
        <v>-</v>
      </c>
      <c r="I976" s="87"/>
      <c r="J976" s="61" t="str">
        <f t="shared" si="49"/>
        <v>-</v>
      </c>
      <c r="K976" s="87"/>
      <c r="L976" s="60">
        <f t="shared" si="50"/>
        <v>1900</v>
      </c>
      <c r="M976" s="60">
        <f t="shared" si="51"/>
        <v>1</v>
      </c>
    </row>
    <row r="977" customHeight="1" spans="2:13">
      <c r="B977" s="59">
        <v>974</v>
      </c>
      <c r="C977" s="87"/>
      <c r="D977" s="87"/>
      <c r="E977" s="87"/>
      <c r="F977" s="60" t="str">
        <f>IFERROR(VLOOKUP($E977,'基础-办公用品信息'!$C:$E,2,FALSE),"-")</f>
        <v>-</v>
      </c>
      <c r="G977" s="60" t="str">
        <f>IFERROR(VLOOKUP($E977,'基础-办公用品信息'!$C:$E,3,FALSE),"-")</f>
        <v>-</v>
      </c>
      <c r="H977" s="126" t="str">
        <f>IFERROR(VLOOKUP($E977,'基础-办公用品信息'!$C:$F,4,FALSE),"-")</f>
        <v>-</v>
      </c>
      <c r="I977" s="87"/>
      <c r="J977" s="61" t="str">
        <f t="shared" si="49"/>
        <v>-</v>
      </c>
      <c r="K977" s="87"/>
      <c r="L977" s="60">
        <f t="shared" si="50"/>
        <v>1900</v>
      </c>
      <c r="M977" s="60">
        <f t="shared" si="51"/>
        <v>1</v>
      </c>
    </row>
    <row r="978" customHeight="1" spans="2:13">
      <c r="B978" s="59">
        <v>975</v>
      </c>
      <c r="C978" s="87"/>
      <c r="D978" s="87"/>
      <c r="E978" s="87"/>
      <c r="F978" s="60" t="str">
        <f>IFERROR(VLOOKUP($E978,'基础-办公用品信息'!$C:$E,2,FALSE),"-")</f>
        <v>-</v>
      </c>
      <c r="G978" s="60" t="str">
        <f>IFERROR(VLOOKUP($E978,'基础-办公用品信息'!$C:$E,3,FALSE),"-")</f>
        <v>-</v>
      </c>
      <c r="H978" s="126" t="str">
        <f>IFERROR(VLOOKUP($E978,'基础-办公用品信息'!$C:$F,4,FALSE),"-")</f>
        <v>-</v>
      </c>
      <c r="I978" s="87"/>
      <c r="J978" s="61" t="str">
        <f t="shared" si="49"/>
        <v>-</v>
      </c>
      <c r="K978" s="87"/>
      <c r="L978" s="60">
        <f t="shared" si="50"/>
        <v>1900</v>
      </c>
      <c r="M978" s="60">
        <f t="shared" si="51"/>
        <v>1</v>
      </c>
    </row>
    <row r="979" customHeight="1" spans="2:13">
      <c r="B979" s="59">
        <v>976</v>
      </c>
      <c r="C979" s="87"/>
      <c r="D979" s="87"/>
      <c r="E979" s="87"/>
      <c r="F979" s="60" t="str">
        <f>IFERROR(VLOOKUP($E979,'基础-办公用品信息'!$C:$E,2,FALSE),"-")</f>
        <v>-</v>
      </c>
      <c r="G979" s="60" t="str">
        <f>IFERROR(VLOOKUP($E979,'基础-办公用品信息'!$C:$E,3,FALSE),"-")</f>
        <v>-</v>
      </c>
      <c r="H979" s="126" t="str">
        <f>IFERROR(VLOOKUP($E979,'基础-办公用品信息'!$C:$F,4,FALSE),"-")</f>
        <v>-</v>
      </c>
      <c r="I979" s="87"/>
      <c r="J979" s="61" t="str">
        <f t="shared" si="49"/>
        <v>-</v>
      </c>
      <c r="K979" s="87"/>
      <c r="L979" s="60">
        <f t="shared" si="50"/>
        <v>1900</v>
      </c>
      <c r="M979" s="60">
        <f t="shared" si="51"/>
        <v>1</v>
      </c>
    </row>
    <row r="980" customHeight="1" spans="2:13">
      <c r="B980" s="59">
        <v>977</v>
      </c>
      <c r="C980" s="87"/>
      <c r="D980" s="87"/>
      <c r="E980" s="87"/>
      <c r="F980" s="60" t="str">
        <f>IFERROR(VLOOKUP($E980,'基础-办公用品信息'!$C:$E,2,FALSE),"-")</f>
        <v>-</v>
      </c>
      <c r="G980" s="60" t="str">
        <f>IFERROR(VLOOKUP($E980,'基础-办公用品信息'!$C:$E,3,FALSE),"-")</f>
        <v>-</v>
      </c>
      <c r="H980" s="126" t="str">
        <f>IFERROR(VLOOKUP($E980,'基础-办公用品信息'!$C:$F,4,FALSE),"-")</f>
        <v>-</v>
      </c>
      <c r="I980" s="87"/>
      <c r="J980" s="61" t="str">
        <f t="shared" si="49"/>
        <v>-</v>
      </c>
      <c r="K980" s="87"/>
      <c r="L980" s="60">
        <f t="shared" si="50"/>
        <v>1900</v>
      </c>
      <c r="M980" s="60">
        <f t="shared" si="51"/>
        <v>1</v>
      </c>
    </row>
    <row r="981" customHeight="1" spans="2:13">
      <c r="B981" s="59">
        <v>978</v>
      </c>
      <c r="C981" s="87"/>
      <c r="D981" s="87"/>
      <c r="E981" s="87"/>
      <c r="F981" s="60" t="str">
        <f>IFERROR(VLOOKUP($E981,'基础-办公用品信息'!$C:$E,2,FALSE),"-")</f>
        <v>-</v>
      </c>
      <c r="G981" s="60" t="str">
        <f>IFERROR(VLOOKUP($E981,'基础-办公用品信息'!$C:$E,3,FALSE),"-")</f>
        <v>-</v>
      </c>
      <c r="H981" s="126" t="str">
        <f>IFERROR(VLOOKUP($E981,'基础-办公用品信息'!$C:$F,4,FALSE),"-")</f>
        <v>-</v>
      </c>
      <c r="I981" s="87"/>
      <c r="J981" s="61" t="str">
        <f t="shared" si="49"/>
        <v>-</v>
      </c>
      <c r="K981" s="87"/>
      <c r="L981" s="60">
        <f t="shared" si="50"/>
        <v>1900</v>
      </c>
      <c r="M981" s="60">
        <f t="shared" si="51"/>
        <v>1</v>
      </c>
    </row>
    <row r="982" customHeight="1" spans="2:13">
      <c r="B982" s="59">
        <v>979</v>
      </c>
      <c r="C982" s="87"/>
      <c r="D982" s="87"/>
      <c r="E982" s="87"/>
      <c r="F982" s="60" t="str">
        <f>IFERROR(VLOOKUP($E982,'基础-办公用品信息'!$C:$E,2,FALSE),"-")</f>
        <v>-</v>
      </c>
      <c r="G982" s="60" t="str">
        <f>IFERROR(VLOOKUP($E982,'基础-办公用品信息'!$C:$E,3,FALSE),"-")</f>
        <v>-</v>
      </c>
      <c r="H982" s="126" t="str">
        <f>IFERROR(VLOOKUP($E982,'基础-办公用品信息'!$C:$F,4,FALSE),"-")</f>
        <v>-</v>
      </c>
      <c r="I982" s="87"/>
      <c r="J982" s="61" t="str">
        <f t="shared" si="49"/>
        <v>-</v>
      </c>
      <c r="K982" s="87"/>
      <c r="L982" s="60">
        <f t="shared" si="50"/>
        <v>1900</v>
      </c>
      <c r="M982" s="60">
        <f t="shared" si="51"/>
        <v>1</v>
      </c>
    </row>
    <row r="983" customHeight="1" spans="2:13">
      <c r="B983" s="59">
        <v>980</v>
      </c>
      <c r="C983" s="87"/>
      <c r="D983" s="87"/>
      <c r="E983" s="87"/>
      <c r="F983" s="60" t="str">
        <f>IFERROR(VLOOKUP($E983,'基础-办公用品信息'!$C:$E,2,FALSE),"-")</f>
        <v>-</v>
      </c>
      <c r="G983" s="60" t="str">
        <f>IFERROR(VLOOKUP($E983,'基础-办公用品信息'!$C:$E,3,FALSE),"-")</f>
        <v>-</v>
      </c>
      <c r="H983" s="126" t="str">
        <f>IFERROR(VLOOKUP($E983,'基础-办公用品信息'!$C:$F,4,FALSE),"-")</f>
        <v>-</v>
      </c>
      <c r="I983" s="87"/>
      <c r="J983" s="61" t="str">
        <f t="shared" si="49"/>
        <v>-</v>
      </c>
      <c r="K983" s="87"/>
      <c r="L983" s="60">
        <f t="shared" si="50"/>
        <v>1900</v>
      </c>
      <c r="M983" s="60">
        <f t="shared" si="51"/>
        <v>1</v>
      </c>
    </row>
    <row r="984" customHeight="1" spans="2:13">
      <c r="B984" s="59">
        <v>981</v>
      </c>
      <c r="C984" s="87"/>
      <c r="D984" s="87"/>
      <c r="E984" s="87"/>
      <c r="F984" s="60" t="str">
        <f>IFERROR(VLOOKUP($E984,'基础-办公用品信息'!$C:$E,2,FALSE),"-")</f>
        <v>-</v>
      </c>
      <c r="G984" s="60" t="str">
        <f>IFERROR(VLOOKUP($E984,'基础-办公用品信息'!$C:$E,3,FALSE),"-")</f>
        <v>-</v>
      </c>
      <c r="H984" s="126" t="str">
        <f>IFERROR(VLOOKUP($E984,'基础-办公用品信息'!$C:$F,4,FALSE),"-")</f>
        <v>-</v>
      </c>
      <c r="I984" s="87"/>
      <c r="J984" s="61" t="str">
        <f t="shared" si="49"/>
        <v>-</v>
      </c>
      <c r="K984" s="87"/>
      <c r="L984" s="60">
        <f t="shared" si="50"/>
        <v>1900</v>
      </c>
      <c r="M984" s="60">
        <f t="shared" si="51"/>
        <v>1</v>
      </c>
    </row>
    <row r="985" customHeight="1" spans="2:13">
      <c r="B985" s="59">
        <v>982</v>
      </c>
      <c r="C985" s="87"/>
      <c r="D985" s="87"/>
      <c r="E985" s="87"/>
      <c r="F985" s="60" t="str">
        <f>IFERROR(VLOOKUP($E985,'基础-办公用品信息'!$C:$E,2,FALSE),"-")</f>
        <v>-</v>
      </c>
      <c r="G985" s="60" t="str">
        <f>IFERROR(VLOOKUP($E985,'基础-办公用品信息'!$C:$E,3,FALSE),"-")</f>
        <v>-</v>
      </c>
      <c r="H985" s="126" t="str">
        <f>IFERROR(VLOOKUP($E985,'基础-办公用品信息'!$C:$F,4,FALSE),"-")</f>
        <v>-</v>
      </c>
      <c r="I985" s="87"/>
      <c r="J985" s="61" t="str">
        <f t="shared" si="49"/>
        <v>-</v>
      </c>
      <c r="K985" s="87"/>
      <c r="L985" s="60">
        <f t="shared" si="50"/>
        <v>1900</v>
      </c>
      <c r="M985" s="60">
        <f t="shared" si="51"/>
        <v>1</v>
      </c>
    </row>
    <row r="986" customHeight="1" spans="2:13">
      <c r="B986" s="59">
        <v>983</v>
      </c>
      <c r="C986" s="87"/>
      <c r="D986" s="87"/>
      <c r="E986" s="87"/>
      <c r="F986" s="60" t="str">
        <f>IFERROR(VLOOKUP($E986,'基础-办公用品信息'!$C:$E,2,FALSE),"-")</f>
        <v>-</v>
      </c>
      <c r="G986" s="60" t="str">
        <f>IFERROR(VLOOKUP($E986,'基础-办公用品信息'!$C:$E,3,FALSE),"-")</f>
        <v>-</v>
      </c>
      <c r="H986" s="126" t="str">
        <f>IFERROR(VLOOKUP($E986,'基础-办公用品信息'!$C:$F,4,FALSE),"-")</f>
        <v>-</v>
      </c>
      <c r="I986" s="87"/>
      <c r="J986" s="61" t="str">
        <f t="shared" si="49"/>
        <v>-</v>
      </c>
      <c r="K986" s="87"/>
      <c r="L986" s="60">
        <f t="shared" si="50"/>
        <v>1900</v>
      </c>
      <c r="M986" s="60">
        <f t="shared" si="51"/>
        <v>1</v>
      </c>
    </row>
    <row r="987" customHeight="1" spans="2:13">
      <c r="B987" s="59">
        <v>984</v>
      </c>
      <c r="C987" s="87"/>
      <c r="D987" s="87"/>
      <c r="E987" s="87"/>
      <c r="F987" s="60" t="str">
        <f>IFERROR(VLOOKUP($E987,'基础-办公用品信息'!$C:$E,2,FALSE),"-")</f>
        <v>-</v>
      </c>
      <c r="G987" s="60" t="str">
        <f>IFERROR(VLOOKUP($E987,'基础-办公用品信息'!$C:$E,3,FALSE),"-")</f>
        <v>-</v>
      </c>
      <c r="H987" s="126" t="str">
        <f>IFERROR(VLOOKUP($E987,'基础-办公用品信息'!$C:$F,4,FALSE),"-")</f>
        <v>-</v>
      </c>
      <c r="I987" s="87"/>
      <c r="J987" s="61" t="str">
        <f t="shared" si="49"/>
        <v>-</v>
      </c>
      <c r="K987" s="87"/>
      <c r="L987" s="60">
        <f t="shared" si="50"/>
        <v>1900</v>
      </c>
      <c r="M987" s="60">
        <f t="shared" si="51"/>
        <v>1</v>
      </c>
    </row>
    <row r="988" customHeight="1" spans="2:13">
      <c r="B988" s="59">
        <v>985</v>
      </c>
      <c r="C988" s="87"/>
      <c r="D988" s="87"/>
      <c r="E988" s="87"/>
      <c r="F988" s="60" t="str">
        <f>IFERROR(VLOOKUP($E988,'基础-办公用品信息'!$C:$E,2,FALSE),"-")</f>
        <v>-</v>
      </c>
      <c r="G988" s="60" t="str">
        <f>IFERROR(VLOOKUP($E988,'基础-办公用品信息'!$C:$E,3,FALSE),"-")</f>
        <v>-</v>
      </c>
      <c r="H988" s="126" t="str">
        <f>IFERROR(VLOOKUP($E988,'基础-办公用品信息'!$C:$F,4,FALSE),"-")</f>
        <v>-</v>
      </c>
      <c r="I988" s="87"/>
      <c r="J988" s="61" t="str">
        <f t="shared" si="49"/>
        <v>-</v>
      </c>
      <c r="K988" s="87"/>
      <c r="L988" s="60">
        <f t="shared" si="50"/>
        <v>1900</v>
      </c>
      <c r="M988" s="60">
        <f t="shared" si="51"/>
        <v>1</v>
      </c>
    </row>
    <row r="989" customHeight="1" spans="2:13">
      <c r="B989" s="59">
        <v>986</v>
      </c>
      <c r="C989" s="87"/>
      <c r="D989" s="87"/>
      <c r="E989" s="87"/>
      <c r="F989" s="60" t="str">
        <f>IFERROR(VLOOKUP($E989,'基础-办公用品信息'!$C:$E,2,FALSE),"-")</f>
        <v>-</v>
      </c>
      <c r="G989" s="60" t="str">
        <f>IFERROR(VLOOKUP($E989,'基础-办公用品信息'!$C:$E,3,FALSE),"-")</f>
        <v>-</v>
      </c>
      <c r="H989" s="126" t="str">
        <f>IFERROR(VLOOKUP($E989,'基础-办公用品信息'!$C:$F,4,FALSE),"-")</f>
        <v>-</v>
      </c>
      <c r="I989" s="87"/>
      <c r="J989" s="61" t="str">
        <f t="shared" si="49"/>
        <v>-</v>
      </c>
      <c r="K989" s="87"/>
      <c r="L989" s="60">
        <f t="shared" si="50"/>
        <v>1900</v>
      </c>
      <c r="M989" s="60">
        <f t="shared" si="51"/>
        <v>1</v>
      </c>
    </row>
    <row r="990" customHeight="1" spans="2:13">
      <c r="B990" s="59">
        <v>987</v>
      </c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</row>
  </sheetData>
  <mergeCells count="1">
    <mergeCell ref="B2:M2"/>
  </mergeCells>
  <dataValidations count="4">
    <dataValidation type="list" allowBlank="1" showInputMessage="1" showErrorMessage="1" sqref="D4:D989">
      <formula1>'基础-领用人及部门'!$C$4:$C$303</formula1>
    </dataValidation>
    <dataValidation type="list" allowBlank="1" showInputMessage="1" showErrorMessage="1" sqref="E4:E19 E23:E100">
      <formula1>'基础-办公用品信息'!$C$4:$C$499</formula1>
    </dataValidation>
    <dataValidation type="list" allowBlank="1" showInputMessage="1" showErrorMessage="1" sqref="E20:E22 E101:E133 E194:E989">
      <formula1>'基础-办公用品信息'!$C$4:$C$85</formula1>
    </dataValidation>
    <dataValidation type="list" allowBlank="1" showInputMessage="1" showErrorMessage="1" sqref="E141:E193">
      <formula1>'基础-办公用品信息'!$C$4:$C$850</formula1>
    </dataValidation>
  </dataValidations>
  <pageMargins left="0.699305555555556" right="0.699305555555556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1002"/>
  <sheetViews>
    <sheetView showGridLines="0" zoomScale="130" zoomScaleNormal="130" workbookViewId="0">
      <pane ySplit="3" topLeftCell="A367" activePane="bottomLeft" state="frozen"/>
      <selection/>
      <selection pane="bottomLeft" activeCell="A1" sqref="A1"/>
    </sheetView>
  </sheetViews>
  <sheetFormatPr defaultColWidth="9" defaultRowHeight="18.95" customHeight="1"/>
  <cols>
    <col min="1" max="1" width="1.56363636363636" style="121" customWidth="1"/>
    <col min="2" max="2" width="6.28181818181818" style="80" customWidth="1"/>
    <col min="3" max="3" width="12.8181818181818" style="80" customWidth="1"/>
    <col min="4" max="4" width="9.14545454545454" style="80" customWidth="1"/>
    <col min="5" max="5" width="12.8181818181818" style="44" customWidth="1"/>
    <col min="6" max="6" width="18.7090909090909" style="80" customWidth="1"/>
    <col min="7" max="7" width="6.56363636363636" style="45" customWidth="1"/>
    <col min="8" max="8" width="9.70909090909091" style="44" customWidth="1"/>
    <col min="9" max="11" width="5.70909090909091" style="45" customWidth="1"/>
    <col min="12" max="12" width="8.42727272727273" style="80" customWidth="1"/>
    <col min="13" max="13" width="7.70909090909091" style="43" customWidth="1"/>
    <col min="14" max="14" width="7.70909090909091" style="46" customWidth="1"/>
    <col min="15" max="15" width="4.62727272727273" style="46" customWidth="1"/>
    <col min="16" max="16384" width="9" style="46"/>
  </cols>
  <sheetData>
    <row r="1" ht="9" customHeight="1"/>
    <row r="2" ht="24" customHeight="1" spans="2:17">
      <c r="B2" s="122" t="s">
        <v>359</v>
      </c>
      <c r="C2" s="122"/>
      <c r="D2" s="122"/>
      <c r="E2" s="123"/>
      <c r="F2" s="122"/>
      <c r="G2" s="123"/>
      <c r="H2" s="123"/>
      <c r="I2" s="123"/>
      <c r="J2" s="123"/>
      <c r="K2" s="123"/>
      <c r="L2" s="122"/>
      <c r="M2" s="123"/>
      <c r="N2" s="123"/>
      <c r="P2" s="124" t="s">
        <v>360</v>
      </c>
      <c r="Q2" s="124" t="s">
        <v>361</v>
      </c>
    </row>
    <row r="3" customHeight="1" spans="2:17">
      <c r="B3" s="86" t="s">
        <v>3</v>
      </c>
      <c r="C3" s="86" t="s">
        <v>351</v>
      </c>
      <c r="D3" s="86" t="s">
        <v>362</v>
      </c>
      <c r="E3" s="59" t="s">
        <v>260</v>
      </c>
      <c r="F3" s="86" t="s">
        <v>4</v>
      </c>
      <c r="G3" s="59" t="s">
        <v>5</v>
      </c>
      <c r="H3" s="59" t="s">
        <v>6</v>
      </c>
      <c r="I3" s="59" t="s">
        <v>353</v>
      </c>
      <c r="J3" s="59" t="s">
        <v>7</v>
      </c>
      <c r="K3" s="59" t="s">
        <v>354</v>
      </c>
      <c r="L3" s="86" t="s">
        <v>8</v>
      </c>
      <c r="M3" s="59" t="s">
        <v>355</v>
      </c>
      <c r="N3" s="59" t="s">
        <v>356</v>
      </c>
      <c r="P3" s="101">
        <f>SUM(I4:I4998)</f>
        <v>2182.3</v>
      </c>
      <c r="Q3" s="101">
        <f>SUM(K4:K4998)</f>
        <v>27625.27</v>
      </c>
    </row>
    <row r="4" customHeight="1" spans="2:17">
      <c r="B4" s="86">
        <v>1</v>
      </c>
      <c r="C4" s="125">
        <v>44845</v>
      </c>
      <c r="D4" s="87" t="s">
        <v>311</v>
      </c>
      <c r="E4" s="87" t="str">
        <f>IFERROR(VLOOKUP(D4,'基础-领用人及部门'!$C:$D,2,FALSE),"-")</f>
        <v>技术部</v>
      </c>
      <c r="F4" s="87" t="s">
        <v>20</v>
      </c>
      <c r="G4" s="60" t="str">
        <f>IFERROR(VLOOKUP($F4,'基础-办公用品信息'!$C:$E,2,FALSE),"-")</f>
        <v>本</v>
      </c>
      <c r="H4" s="60">
        <f>IFERROR(VLOOKUP($F4,'基础-办公用品信息'!$C:$E,3,FALSE),"-")</f>
        <v>0</v>
      </c>
      <c r="I4" s="60">
        <v>1</v>
      </c>
      <c r="J4" s="60">
        <f>IFERROR(VLOOKUP($F4,'基础-办公用品信息'!$C:$F,4,FALSE),"-")</f>
        <v>7.5</v>
      </c>
      <c r="K4" s="60">
        <f>IFERROR(I4*J4,"")</f>
        <v>7.5</v>
      </c>
      <c r="L4" s="126"/>
      <c r="M4" s="60">
        <f>YEAR(C4)</f>
        <v>2022</v>
      </c>
      <c r="N4" s="60">
        <f>MONTH(C4)</f>
        <v>10</v>
      </c>
    </row>
    <row r="5" customHeight="1" spans="2:17">
      <c r="B5" s="86">
        <v>2</v>
      </c>
      <c r="C5" s="125">
        <v>44845</v>
      </c>
      <c r="D5" s="87" t="s">
        <v>288</v>
      </c>
      <c r="E5" s="87" t="str">
        <f>IFERROR(VLOOKUP(D5,'基础-领用人及部门'!$C:$D,2,FALSE),"-")</f>
        <v>综合办</v>
      </c>
      <c r="F5" s="87" t="s">
        <v>78</v>
      </c>
      <c r="G5" s="60" t="str">
        <f>IFERROR(VLOOKUP($F5,'基础-办公用品信息'!$C:$E,2,FALSE),"-")</f>
        <v>节</v>
      </c>
      <c r="H5" s="60">
        <f>IFERROR(VLOOKUP($F5,'基础-办公用品信息'!$C:$E,3,FALSE),"-")</f>
        <v>0</v>
      </c>
      <c r="I5" s="60">
        <v>1</v>
      </c>
      <c r="J5" s="60">
        <f>IFERROR(VLOOKUP($F5,'基础-办公用品信息'!$C:$F,4,FALSE),"-")</f>
        <v>0</v>
      </c>
      <c r="K5" s="60">
        <f t="shared" ref="K5:K68" si="0">IFERROR(I5*J5,"")</f>
        <v>0</v>
      </c>
      <c r="L5" s="126"/>
      <c r="M5" s="60">
        <f t="shared" ref="M5:M68" si="1">YEAR(C5)</f>
        <v>2022</v>
      </c>
      <c r="N5" s="60">
        <f t="shared" ref="N5:N68" si="2">MONTH(C5)</f>
        <v>10</v>
      </c>
    </row>
    <row r="6" customHeight="1" spans="2:17">
      <c r="B6" s="86">
        <v>3</v>
      </c>
      <c r="C6" s="125">
        <v>44847</v>
      </c>
      <c r="D6" s="87" t="s">
        <v>311</v>
      </c>
      <c r="E6" s="60" t="str">
        <f>IFERROR(VLOOKUP(D6,'基础-领用人及部门'!$C:$D,2,FALSE),"-")</f>
        <v>技术部</v>
      </c>
      <c r="F6" s="87" t="s">
        <v>123</v>
      </c>
      <c r="G6" s="60" t="str">
        <f>IFERROR(VLOOKUP($F6,'基础-办公用品信息'!$C:$E,2,FALSE),"-")</f>
        <v>个</v>
      </c>
      <c r="H6" s="60">
        <f>IFERROR(VLOOKUP($F6,'基础-办公用品信息'!$C:$E,3,FALSE),"-")</f>
        <v>0</v>
      </c>
      <c r="I6" s="60">
        <v>12</v>
      </c>
      <c r="J6" s="60">
        <f>IFERROR(VLOOKUP($F6,'基础-办公用品信息'!$C:$F,4,FALSE),"-")</f>
        <v>0</v>
      </c>
      <c r="K6" s="60">
        <f t="shared" si="0"/>
        <v>0</v>
      </c>
      <c r="L6" s="126"/>
      <c r="M6" s="60">
        <f t="shared" si="1"/>
        <v>2022</v>
      </c>
      <c r="N6" s="60">
        <f t="shared" si="2"/>
        <v>10</v>
      </c>
    </row>
    <row r="7" customHeight="1" spans="2:17">
      <c r="B7" s="86">
        <v>4</v>
      </c>
      <c r="C7" s="125">
        <v>44847</v>
      </c>
      <c r="D7" s="87" t="s">
        <v>274</v>
      </c>
      <c r="E7" s="60" t="str">
        <f>IFERROR(VLOOKUP(D7,'基础-领用人及部门'!$C:$D,2,FALSE),"-")</f>
        <v>综合办</v>
      </c>
      <c r="F7" s="87" t="s">
        <v>37</v>
      </c>
      <c r="G7" s="60" t="str">
        <f>IFERROR(VLOOKUP($F7,'基础-办公用品信息'!$C:$E,2,FALSE),"-")</f>
        <v>只</v>
      </c>
      <c r="H7" s="60">
        <f>IFERROR(VLOOKUP($F7,'基础-办公用品信息'!$C:$E,3,FALSE),"-")</f>
        <v>0</v>
      </c>
      <c r="I7" s="60">
        <v>2</v>
      </c>
      <c r="J7" s="60">
        <f>IFERROR(VLOOKUP($F7,'基础-办公用品信息'!$C:$F,4,FALSE),"-")</f>
        <v>0</v>
      </c>
      <c r="K7" s="60">
        <f t="shared" si="0"/>
        <v>0</v>
      </c>
      <c r="L7" s="126"/>
      <c r="M7" s="60">
        <f t="shared" si="1"/>
        <v>2022</v>
      </c>
      <c r="N7" s="60">
        <f t="shared" si="2"/>
        <v>10</v>
      </c>
    </row>
    <row r="8" customHeight="1" spans="2:17">
      <c r="B8" s="86">
        <v>5</v>
      </c>
      <c r="C8" s="125">
        <v>44847</v>
      </c>
      <c r="D8" s="87" t="s">
        <v>274</v>
      </c>
      <c r="E8" s="60" t="str">
        <f>IFERROR(VLOOKUP(D8,'基础-领用人及部门'!$C:$D,2,FALSE),"-")</f>
        <v>综合办</v>
      </c>
      <c r="F8" s="87" t="s">
        <v>363</v>
      </c>
      <c r="G8" s="60" t="str">
        <f>IFERROR(VLOOKUP($F8,'基础-办公用品信息'!$C:$E,2,FALSE),"-")</f>
        <v>-</v>
      </c>
      <c r="H8" s="60" t="str">
        <f>IFERROR(VLOOKUP($F8,'基础-办公用品信息'!$C:$E,3,FALSE),"-")</f>
        <v>-</v>
      </c>
      <c r="I8" s="60">
        <v>1</v>
      </c>
      <c r="J8" s="60" t="str">
        <f>IFERROR(VLOOKUP($F8,'基础-办公用品信息'!$C:$F,4,FALSE),"-")</f>
        <v>-</v>
      </c>
      <c r="K8" s="60" t="str">
        <f t="shared" si="0"/>
        <v/>
      </c>
      <c r="L8" s="126"/>
      <c r="M8" s="60">
        <f t="shared" si="1"/>
        <v>2022</v>
      </c>
      <c r="N8" s="60">
        <f t="shared" si="2"/>
        <v>10</v>
      </c>
    </row>
    <row r="9" customHeight="1" spans="2:17">
      <c r="B9" s="86">
        <v>6</v>
      </c>
      <c r="C9" s="125">
        <v>44847</v>
      </c>
      <c r="D9" s="87" t="s">
        <v>274</v>
      </c>
      <c r="E9" s="60" t="str">
        <f>IFERROR(VLOOKUP(D9,'基础-领用人及部门'!$C:$D,2,FALSE),"-")</f>
        <v>综合办</v>
      </c>
      <c r="F9" s="87" t="s">
        <v>364</v>
      </c>
      <c r="G9" s="60" t="str">
        <f>IFERROR(VLOOKUP($F9,'基础-办公用品信息'!$C:$E,2,FALSE),"-")</f>
        <v>-</v>
      </c>
      <c r="H9" s="60" t="str">
        <f>IFERROR(VLOOKUP($F9,'基础-办公用品信息'!$C:$E,3,FALSE),"-")</f>
        <v>-</v>
      </c>
      <c r="I9" s="60">
        <v>1</v>
      </c>
      <c r="J9" s="60" t="str">
        <f>IFERROR(VLOOKUP($F9,'基础-办公用品信息'!$C:$F,4,FALSE),"-")</f>
        <v>-</v>
      </c>
      <c r="K9" s="60" t="str">
        <f t="shared" si="0"/>
        <v/>
      </c>
      <c r="L9" s="126"/>
      <c r="M9" s="60">
        <f t="shared" si="1"/>
        <v>2022</v>
      </c>
      <c r="N9" s="60">
        <f t="shared" si="2"/>
        <v>10</v>
      </c>
    </row>
    <row r="10" customHeight="1" spans="2:17">
      <c r="B10" s="86">
        <v>7</v>
      </c>
      <c r="C10" s="125">
        <v>44848</v>
      </c>
      <c r="D10" s="87" t="s">
        <v>332</v>
      </c>
      <c r="E10" s="60" t="str">
        <f>IFERROR(VLOOKUP(D10,'基础-领用人及部门'!$C:$D,2,FALSE),"-")</f>
        <v>中盛广场物业</v>
      </c>
      <c r="F10" s="87" t="s">
        <v>45</v>
      </c>
      <c r="G10" s="60" t="str">
        <f>IFERROR(VLOOKUP($F10,'基础-办公用品信息'!$C:$E,2,FALSE),"-")</f>
        <v>支</v>
      </c>
      <c r="H10" s="60">
        <f>IFERROR(VLOOKUP($F10,'基础-办公用品信息'!$C:$E,3,FALSE),"-")</f>
        <v>0</v>
      </c>
      <c r="I10" s="60">
        <v>12</v>
      </c>
      <c r="J10" s="60">
        <f>IFERROR(VLOOKUP($F10,'基础-办公用品信息'!$C:$F,4,FALSE),"-")</f>
        <v>0</v>
      </c>
      <c r="K10" s="60">
        <f t="shared" si="0"/>
        <v>0</v>
      </c>
      <c r="L10" s="126"/>
      <c r="M10" s="60">
        <f t="shared" si="1"/>
        <v>2022</v>
      </c>
      <c r="N10" s="60">
        <f t="shared" si="2"/>
        <v>10</v>
      </c>
    </row>
    <row r="11" customHeight="1" spans="2:17">
      <c r="B11" s="86">
        <v>8</v>
      </c>
      <c r="C11" s="125">
        <v>44848</v>
      </c>
      <c r="D11" s="87" t="s">
        <v>332</v>
      </c>
      <c r="E11" s="60" t="str">
        <f>IFERROR(VLOOKUP(D11,'基础-领用人及部门'!$C:$D,2,FALSE),"-")</f>
        <v>中盛广场物业</v>
      </c>
      <c r="F11" s="87" t="s">
        <v>103</v>
      </c>
      <c r="G11" s="60" t="str">
        <f>IFERROR(VLOOKUP($F11,'基础-办公用品信息'!$C:$E,2,FALSE),"-")</f>
        <v>本</v>
      </c>
      <c r="H11" s="60">
        <f>IFERROR(VLOOKUP($F11,'基础-办公用品信息'!$C:$E,3,FALSE),"-")</f>
        <v>0</v>
      </c>
      <c r="I11" s="60">
        <v>4</v>
      </c>
      <c r="J11" s="60">
        <f>IFERROR(VLOOKUP($F11,'基础-办公用品信息'!$C:$F,4,FALSE),"-")</f>
        <v>0</v>
      </c>
      <c r="K11" s="60">
        <f t="shared" si="0"/>
        <v>0</v>
      </c>
      <c r="L11" s="126"/>
      <c r="M11" s="60">
        <f t="shared" si="1"/>
        <v>2022</v>
      </c>
      <c r="N11" s="60">
        <f t="shared" si="2"/>
        <v>10</v>
      </c>
    </row>
    <row r="12" customHeight="1" spans="2:17">
      <c r="B12" s="86">
        <v>9</v>
      </c>
      <c r="C12" s="125">
        <v>44848</v>
      </c>
      <c r="D12" s="87" t="s">
        <v>332</v>
      </c>
      <c r="E12" s="60" t="str">
        <f>IFERROR(VLOOKUP(D12,'基础-领用人及部门'!$C:$D,2,FALSE),"-")</f>
        <v>中盛广场物业</v>
      </c>
      <c r="F12" s="87" t="s">
        <v>41</v>
      </c>
      <c r="G12" s="60" t="str">
        <f>IFERROR(VLOOKUP($F12,'基础-办公用品信息'!$C:$E,2,FALSE),"-")</f>
        <v>支</v>
      </c>
      <c r="H12" s="60">
        <f>IFERROR(VLOOKUP($F12,'基础-办公用品信息'!$C:$E,3,FALSE),"-")</f>
        <v>0</v>
      </c>
      <c r="I12" s="60">
        <v>24</v>
      </c>
      <c r="J12" s="60">
        <f>IFERROR(VLOOKUP($F12,'基础-办公用品信息'!$C:$F,4,FALSE),"-")</f>
        <v>1.3</v>
      </c>
      <c r="K12" s="60">
        <f t="shared" si="0"/>
        <v>31.2</v>
      </c>
      <c r="L12" s="126"/>
      <c r="M12" s="60">
        <f t="shared" si="1"/>
        <v>2022</v>
      </c>
      <c r="N12" s="60">
        <f t="shared" si="2"/>
        <v>10</v>
      </c>
    </row>
    <row r="13" customHeight="1" spans="2:17">
      <c r="B13" s="86">
        <v>10</v>
      </c>
      <c r="C13" s="125">
        <v>44848</v>
      </c>
      <c r="D13" s="87" t="s">
        <v>332</v>
      </c>
      <c r="E13" s="60" t="str">
        <f>IFERROR(VLOOKUP(D13,'基础-领用人及部门'!$C:$D,2,FALSE),"-")</f>
        <v>中盛广场物业</v>
      </c>
      <c r="F13" s="87" t="s">
        <v>59</v>
      </c>
      <c r="G13" s="60" t="str">
        <f>IFERROR(VLOOKUP($F13,'基础-办公用品信息'!$C:$E,2,FALSE),"-")</f>
        <v>把</v>
      </c>
      <c r="H13" s="60">
        <f>IFERROR(VLOOKUP($F13,'基础-办公用品信息'!$C:$E,3,FALSE),"-")</f>
        <v>0</v>
      </c>
      <c r="I13" s="60">
        <v>1</v>
      </c>
      <c r="J13" s="60">
        <f>IFERROR(VLOOKUP($F13,'基础-办公用品信息'!$C:$F,4,FALSE),"-")</f>
        <v>3.5</v>
      </c>
      <c r="K13" s="60">
        <f t="shared" si="0"/>
        <v>3.5</v>
      </c>
      <c r="L13" s="87"/>
      <c r="M13" s="60">
        <f t="shared" si="1"/>
        <v>2022</v>
      </c>
      <c r="N13" s="60">
        <f t="shared" si="2"/>
        <v>10</v>
      </c>
    </row>
    <row r="14" customHeight="1" spans="2:17">
      <c r="B14" s="86">
        <v>11</v>
      </c>
      <c r="C14" s="125">
        <v>44848</v>
      </c>
      <c r="D14" s="87" t="s">
        <v>332</v>
      </c>
      <c r="E14" s="60" t="str">
        <f>IFERROR(VLOOKUP(D14,'基础-领用人及部门'!$C:$D,2,FALSE),"-")</f>
        <v>中盛广场物业</v>
      </c>
      <c r="F14" s="87" t="s">
        <v>156</v>
      </c>
      <c r="G14" s="60" t="str">
        <f>IFERROR(VLOOKUP($F14,'基础-办公用品信息'!$C:$E,2,FALSE),"-")</f>
        <v>本</v>
      </c>
      <c r="H14" s="60">
        <f>IFERROR(VLOOKUP($F14,'基础-办公用品信息'!$C:$E,3,FALSE),"-")</f>
        <v>0</v>
      </c>
      <c r="I14" s="60">
        <v>6</v>
      </c>
      <c r="J14" s="60">
        <f>IFERROR(VLOOKUP($F14,'基础-办公用品信息'!$C:$F,4,FALSE),"-")</f>
        <v>1.2</v>
      </c>
      <c r="K14" s="60">
        <f t="shared" si="0"/>
        <v>7.2</v>
      </c>
      <c r="L14" s="87"/>
      <c r="M14" s="60">
        <f t="shared" si="1"/>
        <v>2022</v>
      </c>
      <c r="N14" s="60">
        <f t="shared" si="2"/>
        <v>10</v>
      </c>
    </row>
    <row r="15" customHeight="1" spans="2:17">
      <c r="B15" s="86">
        <v>12</v>
      </c>
      <c r="C15" s="125">
        <v>44858</v>
      </c>
      <c r="D15" s="87" t="s">
        <v>319</v>
      </c>
      <c r="E15" s="60" t="str">
        <f>IFERROR(VLOOKUP(D15,'基础-领用人及部门'!$C:$D,2,FALSE),"-")</f>
        <v>成本部</v>
      </c>
      <c r="F15" s="87" t="s">
        <v>9</v>
      </c>
      <c r="G15" s="60" t="str">
        <f>IFERROR(VLOOKUP($F15,'基础-办公用品信息'!$C:$E,2,FALSE),"-")</f>
        <v>包</v>
      </c>
      <c r="H15" s="60">
        <f>IFERROR(VLOOKUP($F15,'基础-办公用品信息'!$C:$E,3,FALSE),"-")</f>
        <v>0</v>
      </c>
      <c r="I15" s="60">
        <v>4</v>
      </c>
      <c r="J15" s="60">
        <f>IFERROR(VLOOKUP($F15,'基础-办公用品信息'!$C:$F,4,FALSE),"-")</f>
        <v>175</v>
      </c>
      <c r="K15" s="60">
        <f t="shared" si="0"/>
        <v>700</v>
      </c>
      <c r="L15" s="87"/>
      <c r="M15" s="60">
        <f t="shared" si="1"/>
        <v>2022</v>
      </c>
      <c r="N15" s="60">
        <f t="shared" si="2"/>
        <v>10</v>
      </c>
    </row>
    <row r="16" customHeight="1" spans="2:17">
      <c r="B16" s="86">
        <v>13</v>
      </c>
      <c r="C16" s="125">
        <v>44858</v>
      </c>
      <c r="D16" s="87" t="s">
        <v>319</v>
      </c>
      <c r="E16" s="60" t="str">
        <f>IFERROR(VLOOKUP(D16,'基础-领用人及部门'!$C:$D,2,FALSE),"-")</f>
        <v>成本部</v>
      </c>
      <c r="F16" s="87" t="s">
        <v>11</v>
      </c>
      <c r="G16" s="60" t="str">
        <f>IFERROR(VLOOKUP($F16,'基础-办公用品信息'!$C:$E,2,FALSE),"-")</f>
        <v>包</v>
      </c>
      <c r="H16" s="60">
        <f>IFERROR(VLOOKUP($F16,'基础-办公用品信息'!$C:$E,3,FALSE),"-")</f>
        <v>0</v>
      </c>
      <c r="I16" s="60">
        <v>8</v>
      </c>
      <c r="J16" s="60">
        <f>IFERROR(VLOOKUP($F16,'基础-办公用品信息'!$C:$F,4,FALSE),"-")</f>
        <v>175</v>
      </c>
      <c r="K16" s="60">
        <f t="shared" si="0"/>
        <v>1400</v>
      </c>
      <c r="L16" s="87"/>
      <c r="M16" s="60">
        <f t="shared" si="1"/>
        <v>2022</v>
      </c>
      <c r="N16" s="60">
        <f t="shared" si="2"/>
        <v>10</v>
      </c>
    </row>
    <row r="17" customHeight="1" spans="2:14">
      <c r="B17" s="86">
        <v>14</v>
      </c>
      <c r="C17" s="125">
        <v>44858</v>
      </c>
      <c r="D17" s="87" t="s">
        <v>263</v>
      </c>
      <c r="E17" s="60" t="str">
        <f>IFERROR(VLOOKUP(D17,'基础-领用人及部门'!$C:$D,2,FALSE),"-")</f>
        <v>综合办</v>
      </c>
      <c r="F17" s="87" t="s">
        <v>111</v>
      </c>
      <c r="G17" s="60" t="str">
        <f>IFERROR(VLOOKUP($F17,'基础-办公用品信息'!$C:$E,2,FALSE),"-")</f>
        <v>包</v>
      </c>
      <c r="H17" s="60">
        <f>IFERROR(VLOOKUP($F17,'基础-办公用品信息'!$C:$E,3,FALSE),"-")</f>
        <v>0</v>
      </c>
      <c r="I17" s="60">
        <v>5</v>
      </c>
      <c r="J17" s="60">
        <f>IFERROR(VLOOKUP($F17,'基础-办公用品信息'!$C:$F,4,FALSE),"-")</f>
        <v>0.3</v>
      </c>
      <c r="K17" s="60">
        <f t="shared" si="0"/>
        <v>1.5</v>
      </c>
      <c r="L17" s="87"/>
      <c r="M17" s="60">
        <f t="shared" si="1"/>
        <v>2022</v>
      </c>
      <c r="N17" s="60">
        <f t="shared" si="2"/>
        <v>10</v>
      </c>
    </row>
    <row r="18" customHeight="1" spans="2:14">
      <c r="B18" s="86">
        <v>15</v>
      </c>
      <c r="C18" s="125">
        <v>44858</v>
      </c>
      <c r="D18" s="87" t="s">
        <v>263</v>
      </c>
      <c r="E18" s="60" t="str">
        <f>IFERROR(VLOOKUP(D18,'基础-领用人及部门'!$C:$D,2,FALSE),"-")</f>
        <v>综合办</v>
      </c>
      <c r="F18" s="87" t="s">
        <v>91</v>
      </c>
      <c r="G18" s="60" t="str">
        <f>IFERROR(VLOOKUP($F18,'基础-办公用品信息'!$C:$E,2,FALSE),"-")</f>
        <v>筒</v>
      </c>
      <c r="H18" s="60">
        <f>IFERROR(VLOOKUP($F18,'基础-办公用品信息'!$C:$E,3,FALSE),"-")</f>
        <v>0</v>
      </c>
      <c r="I18" s="60">
        <v>1</v>
      </c>
      <c r="J18" s="60">
        <f>IFERROR(VLOOKUP($F18,'基础-办公用品信息'!$C:$F,4,FALSE),"-")</f>
        <v>7</v>
      </c>
      <c r="K18" s="60">
        <f t="shared" si="0"/>
        <v>7</v>
      </c>
      <c r="L18" s="87"/>
      <c r="M18" s="60">
        <f t="shared" si="1"/>
        <v>2022</v>
      </c>
      <c r="N18" s="60">
        <f t="shared" si="2"/>
        <v>10</v>
      </c>
    </row>
    <row r="19" customHeight="1" spans="2:14">
      <c r="B19" s="86">
        <v>16</v>
      </c>
      <c r="C19" s="125">
        <v>44858</v>
      </c>
      <c r="D19" s="87" t="s">
        <v>263</v>
      </c>
      <c r="E19" s="60" t="str">
        <f>IFERROR(VLOOKUP(D19,'基础-领用人及部门'!$C:$D,2,FALSE),"-")</f>
        <v>综合办</v>
      </c>
      <c r="F19" s="87" t="s">
        <v>155</v>
      </c>
      <c r="G19" s="60" t="str">
        <f>IFERROR(VLOOKUP($F19,'基础-办公用品信息'!$C:$E,2,FALSE),"-")</f>
        <v>个</v>
      </c>
      <c r="H19" s="60">
        <f>IFERROR(VLOOKUP($F19,'基础-办公用品信息'!$C:$E,3,FALSE),"-")</f>
        <v>0</v>
      </c>
      <c r="I19" s="60">
        <v>1</v>
      </c>
      <c r="J19" s="60">
        <f>IFERROR(VLOOKUP($F19,'基础-办公用品信息'!$C:$F,4,FALSE),"-")</f>
        <v>0</v>
      </c>
      <c r="K19" s="60">
        <f t="shared" si="0"/>
        <v>0</v>
      </c>
      <c r="L19" s="87"/>
      <c r="M19" s="60">
        <f t="shared" si="1"/>
        <v>2022</v>
      </c>
      <c r="N19" s="60">
        <f t="shared" si="2"/>
        <v>10</v>
      </c>
    </row>
    <row r="20" customHeight="1" spans="2:14">
      <c r="B20" s="86">
        <v>17</v>
      </c>
      <c r="C20" s="125">
        <v>44858</v>
      </c>
      <c r="D20" s="87" t="s">
        <v>288</v>
      </c>
      <c r="E20" s="60" t="str">
        <f>IFERROR(VLOOKUP(D20,'基础-领用人及部门'!$C:$D,2,FALSE),"-")</f>
        <v>综合办</v>
      </c>
      <c r="F20" s="87" t="s">
        <v>83</v>
      </c>
      <c r="G20" s="60" t="str">
        <f>IFERROR(VLOOKUP($F20,'基础-办公用品信息'!$C:$E,2,FALSE),"-")</f>
        <v>盒</v>
      </c>
      <c r="H20" s="60">
        <f>IFERROR(VLOOKUP($F20,'基础-办公用品信息'!$C:$E,3,FALSE),"-")</f>
        <v>0</v>
      </c>
      <c r="I20" s="60">
        <v>1</v>
      </c>
      <c r="J20" s="60">
        <f>IFERROR(VLOOKUP($F20,'基础-办公用品信息'!$C:$F,4,FALSE),"-")</f>
        <v>8</v>
      </c>
      <c r="K20" s="60">
        <f t="shared" si="0"/>
        <v>8</v>
      </c>
      <c r="L20" s="87"/>
      <c r="M20" s="60">
        <f t="shared" si="1"/>
        <v>2022</v>
      </c>
      <c r="N20" s="60">
        <f t="shared" si="2"/>
        <v>10</v>
      </c>
    </row>
    <row r="21" customHeight="1" spans="2:14">
      <c r="B21" s="86">
        <v>18</v>
      </c>
      <c r="C21" s="125">
        <v>44858</v>
      </c>
      <c r="D21" s="87" t="s">
        <v>288</v>
      </c>
      <c r="E21" s="60" t="str">
        <f>IFERROR(VLOOKUP(D21,'基础-领用人及部门'!$C:$D,2,FALSE),"-")</f>
        <v>综合办</v>
      </c>
      <c r="F21" s="87" t="s">
        <v>158</v>
      </c>
      <c r="G21" s="60" t="str">
        <f>IFERROR(VLOOKUP($F21,'基础-办公用品信息'!$C:$E,2,FALSE),"-")</f>
        <v>支</v>
      </c>
      <c r="H21" s="60">
        <f>IFERROR(VLOOKUP($F21,'基础-办公用品信息'!$C:$E,3,FALSE),"-")</f>
        <v>0</v>
      </c>
      <c r="I21" s="60">
        <v>1</v>
      </c>
      <c r="J21" s="60">
        <f>IFERROR(VLOOKUP($F21,'基础-办公用品信息'!$C:$F,4,FALSE),"-")</f>
        <v>0.32</v>
      </c>
      <c r="K21" s="60">
        <f t="shared" si="0"/>
        <v>0.32</v>
      </c>
      <c r="L21" s="87"/>
      <c r="M21" s="60">
        <f t="shared" si="1"/>
        <v>2022</v>
      </c>
      <c r="N21" s="60">
        <f t="shared" si="2"/>
        <v>10</v>
      </c>
    </row>
    <row r="22" customHeight="1" spans="2:14">
      <c r="B22" s="86">
        <v>19</v>
      </c>
      <c r="C22" s="125">
        <v>44858</v>
      </c>
      <c r="D22" s="87" t="s">
        <v>288</v>
      </c>
      <c r="E22" s="60" t="str">
        <f>IFERROR(VLOOKUP(D22,'基础-领用人及部门'!$C:$D,2,FALSE),"-")</f>
        <v>综合办</v>
      </c>
      <c r="F22" s="87" t="s">
        <v>63</v>
      </c>
      <c r="G22" s="60" t="str">
        <f>IFERROR(VLOOKUP($F22,'基础-办公用品信息'!$C:$E,2,FALSE),"-")</f>
        <v>盒</v>
      </c>
      <c r="H22" s="60">
        <f>IFERROR(VLOOKUP($F22,'基础-办公用品信息'!$C:$E,3,FALSE),"-")</f>
        <v>0</v>
      </c>
      <c r="I22" s="60">
        <v>1</v>
      </c>
      <c r="J22" s="60">
        <f>IFERROR(VLOOKUP($F22,'基础-办公用品信息'!$C:$F,4,FALSE),"-")</f>
        <v>0.7</v>
      </c>
      <c r="K22" s="60">
        <f t="shared" si="0"/>
        <v>0.7</v>
      </c>
      <c r="L22" s="87"/>
      <c r="M22" s="60">
        <f t="shared" si="1"/>
        <v>2022</v>
      </c>
      <c r="N22" s="60">
        <f t="shared" si="2"/>
        <v>10</v>
      </c>
    </row>
    <row r="23" customHeight="1" spans="2:14">
      <c r="B23" s="86">
        <v>20</v>
      </c>
      <c r="C23" s="125">
        <v>44860</v>
      </c>
      <c r="D23" s="87" t="s">
        <v>267</v>
      </c>
      <c r="E23" s="60" t="str">
        <f>IFERROR(VLOOKUP(D23,'基础-领用人及部门'!$C:$D,2,FALSE),"-")</f>
        <v>综合办</v>
      </c>
      <c r="F23" s="87" t="s">
        <v>25</v>
      </c>
      <c r="G23" s="60" t="str">
        <f>IFERROR(VLOOKUP($F23,'基础-办公用品信息'!$C:$E,2,FALSE),"-")</f>
        <v>张</v>
      </c>
      <c r="H23" s="60">
        <f>IFERROR(VLOOKUP($F23,'基础-办公用品信息'!$C:$E,3,FALSE),"-")</f>
        <v>0</v>
      </c>
      <c r="I23" s="60">
        <v>34</v>
      </c>
      <c r="J23" s="60">
        <f>IFERROR(VLOOKUP($F23,'基础-办公用品信息'!$C:$F,4,FALSE),"-")</f>
        <v>0</v>
      </c>
      <c r="K23" s="60">
        <f t="shared" si="0"/>
        <v>0</v>
      </c>
      <c r="L23" s="87"/>
      <c r="M23" s="60">
        <f t="shared" si="1"/>
        <v>2022</v>
      </c>
      <c r="N23" s="60">
        <f t="shared" si="2"/>
        <v>10</v>
      </c>
    </row>
    <row r="24" customHeight="1" spans="2:14">
      <c r="B24" s="86">
        <v>21</v>
      </c>
      <c r="C24" s="125">
        <v>44860</v>
      </c>
      <c r="D24" s="87" t="s">
        <v>265</v>
      </c>
      <c r="E24" s="60" t="str">
        <f>IFERROR(VLOOKUP(D24,'基础-领用人及部门'!$C:$D,2,FALSE),"-")</f>
        <v>综合办</v>
      </c>
      <c r="F24" s="87" t="s">
        <v>46</v>
      </c>
      <c r="G24" s="60" t="str">
        <f>IFERROR(VLOOKUP($F24,'基础-办公用品信息'!$C:$E,2,FALSE),"-")</f>
        <v>支</v>
      </c>
      <c r="H24" s="60">
        <f>IFERROR(VLOOKUP($F24,'基础-办公用品信息'!$C:$E,3,FALSE),"-")</f>
        <v>0</v>
      </c>
      <c r="I24" s="60">
        <v>1</v>
      </c>
      <c r="J24" s="60">
        <f>IFERROR(VLOOKUP($F24,'基础-办公用品信息'!$C:$F,4,FALSE),"-")</f>
        <v>0</v>
      </c>
      <c r="K24" s="60">
        <f t="shared" si="0"/>
        <v>0</v>
      </c>
      <c r="L24" s="87"/>
      <c r="M24" s="60">
        <f t="shared" si="1"/>
        <v>2022</v>
      </c>
      <c r="N24" s="60">
        <f t="shared" si="2"/>
        <v>10</v>
      </c>
    </row>
    <row r="25" customHeight="1" spans="2:14">
      <c r="B25" s="86">
        <v>22</v>
      </c>
      <c r="C25" s="125">
        <v>44861</v>
      </c>
      <c r="D25" s="87" t="s">
        <v>331</v>
      </c>
      <c r="E25" s="60" t="str">
        <f>IFERROR(VLOOKUP(D25,'基础-领用人及部门'!$C:$D,2,FALSE),"-")</f>
        <v>工程部</v>
      </c>
      <c r="F25" s="87" t="s">
        <v>111</v>
      </c>
      <c r="G25" s="60" t="str">
        <f>IFERROR(VLOOKUP($F25,'基础-办公用品信息'!$C:$E,2,FALSE),"-")</f>
        <v>包</v>
      </c>
      <c r="H25" s="60">
        <f>IFERROR(VLOOKUP($F25,'基础-办公用品信息'!$C:$E,3,FALSE),"-")</f>
        <v>0</v>
      </c>
      <c r="I25" s="60">
        <v>100</v>
      </c>
      <c r="J25" s="60">
        <f>IFERROR(VLOOKUP($F25,'基础-办公用品信息'!$C:$F,4,FALSE),"-")</f>
        <v>0.3</v>
      </c>
      <c r="K25" s="60">
        <f t="shared" si="0"/>
        <v>30</v>
      </c>
      <c r="L25" s="87"/>
      <c r="M25" s="60">
        <f t="shared" si="1"/>
        <v>2022</v>
      </c>
      <c r="N25" s="60">
        <f t="shared" si="2"/>
        <v>10</v>
      </c>
    </row>
    <row r="26" customHeight="1" spans="2:14">
      <c r="B26" s="86">
        <v>23</v>
      </c>
      <c r="C26" s="125">
        <v>44861</v>
      </c>
      <c r="D26" s="87" t="s">
        <v>331</v>
      </c>
      <c r="E26" s="60" t="str">
        <f>IFERROR(VLOOKUP(D26,'基础-领用人及部门'!$C:$D,2,FALSE),"-")</f>
        <v>工程部</v>
      </c>
      <c r="F26" s="87" t="s">
        <v>41</v>
      </c>
      <c r="G26" s="60" t="str">
        <f>IFERROR(VLOOKUP($F26,'基础-办公用品信息'!$C:$E,2,FALSE),"-")</f>
        <v>支</v>
      </c>
      <c r="H26" s="60">
        <f>IFERROR(VLOOKUP($F26,'基础-办公用品信息'!$C:$E,3,FALSE),"-")</f>
        <v>0</v>
      </c>
      <c r="I26" s="60">
        <v>12</v>
      </c>
      <c r="J26" s="60">
        <f>IFERROR(VLOOKUP($F26,'基础-办公用品信息'!$C:$F,4,FALSE),"-")</f>
        <v>1.3</v>
      </c>
      <c r="K26" s="60">
        <f t="shared" si="0"/>
        <v>15.6</v>
      </c>
      <c r="L26" s="87"/>
      <c r="M26" s="60">
        <f t="shared" si="1"/>
        <v>2022</v>
      </c>
      <c r="N26" s="60">
        <f t="shared" si="2"/>
        <v>10</v>
      </c>
    </row>
    <row r="27" customHeight="1" spans="2:14">
      <c r="B27" s="86">
        <v>24</v>
      </c>
      <c r="C27" s="125">
        <v>44861</v>
      </c>
      <c r="D27" s="87" t="s">
        <v>319</v>
      </c>
      <c r="E27" s="60" t="str">
        <f>IFERROR(VLOOKUP(D27,'基础-领用人及部门'!$C:$D,2,FALSE),"-")</f>
        <v>成本部</v>
      </c>
      <c r="F27" s="87" t="s">
        <v>111</v>
      </c>
      <c r="G27" s="60" t="str">
        <f>IFERROR(VLOOKUP($F27,'基础-办公用品信息'!$C:$E,2,FALSE),"-")</f>
        <v>包</v>
      </c>
      <c r="H27" s="60">
        <f>IFERROR(VLOOKUP($F27,'基础-办公用品信息'!$C:$E,3,FALSE),"-")</f>
        <v>0</v>
      </c>
      <c r="I27" s="60">
        <v>150</v>
      </c>
      <c r="J27" s="60">
        <f>IFERROR(VLOOKUP($F27,'基础-办公用品信息'!$C:$F,4,FALSE),"-")</f>
        <v>0.3</v>
      </c>
      <c r="K27" s="60">
        <f t="shared" si="0"/>
        <v>45</v>
      </c>
      <c r="L27" s="87"/>
      <c r="M27" s="60">
        <f t="shared" si="1"/>
        <v>2022</v>
      </c>
      <c r="N27" s="60">
        <f t="shared" si="2"/>
        <v>10</v>
      </c>
    </row>
    <row r="28" customHeight="1" spans="2:14">
      <c r="B28" s="86">
        <v>25</v>
      </c>
      <c r="C28" s="125">
        <v>44861</v>
      </c>
      <c r="D28" s="87" t="s">
        <v>333</v>
      </c>
      <c r="E28" s="60" t="str">
        <f>IFERROR(VLOOKUP(D28,'基础-领用人及部门'!$C:$D,2,FALSE),"-")</f>
        <v>综合办</v>
      </c>
      <c r="F28" s="87" t="s">
        <v>130</v>
      </c>
      <c r="G28" s="60" t="str">
        <f>IFERROR(VLOOKUP($F28,'基础-办公用品信息'!$C:$E,2,FALSE),"-")</f>
        <v>提</v>
      </c>
      <c r="H28" s="60">
        <f>IFERROR(VLOOKUP($F28,'基础-办公用品信息'!$C:$E,3,FALSE),"-")</f>
        <v>0</v>
      </c>
      <c r="I28" s="60">
        <v>5</v>
      </c>
      <c r="J28" s="60">
        <f>IFERROR(VLOOKUP($F28,'基础-办公用品信息'!$C:$F,4,FALSE),"-")</f>
        <v>11.5</v>
      </c>
      <c r="K28" s="60">
        <f t="shared" si="0"/>
        <v>57.5</v>
      </c>
      <c r="L28" s="87"/>
      <c r="M28" s="60">
        <f t="shared" si="1"/>
        <v>2022</v>
      </c>
      <c r="N28" s="60">
        <f t="shared" si="2"/>
        <v>10</v>
      </c>
    </row>
    <row r="29" customHeight="1" spans="2:14">
      <c r="B29" s="86">
        <v>26</v>
      </c>
      <c r="C29" s="125">
        <v>44865</v>
      </c>
      <c r="D29" s="87" t="s">
        <v>334</v>
      </c>
      <c r="E29" s="60" t="str">
        <f>IFERROR(VLOOKUP(D29,'基础-领用人及部门'!$C:$D,2,FALSE),"-")</f>
        <v>综合办</v>
      </c>
      <c r="F29" s="87" t="s">
        <v>130</v>
      </c>
      <c r="G29" s="60" t="str">
        <f>IFERROR(VLOOKUP($F29,'基础-办公用品信息'!$C:$E,2,FALSE),"-")</f>
        <v>提</v>
      </c>
      <c r="H29" s="60">
        <f>IFERROR(VLOOKUP($F29,'基础-办公用品信息'!$C:$E,3,FALSE),"-")</f>
        <v>0</v>
      </c>
      <c r="I29" s="60">
        <v>2</v>
      </c>
      <c r="J29" s="60">
        <f>IFERROR(VLOOKUP($F29,'基础-办公用品信息'!$C:$F,4,FALSE),"-")</f>
        <v>11.5</v>
      </c>
      <c r="K29" s="60">
        <f t="shared" si="0"/>
        <v>23</v>
      </c>
      <c r="L29" s="87"/>
      <c r="M29" s="60">
        <f t="shared" si="1"/>
        <v>2022</v>
      </c>
      <c r="N29" s="60">
        <f t="shared" si="2"/>
        <v>10</v>
      </c>
    </row>
    <row r="30" customHeight="1" spans="2:14">
      <c r="B30" s="86">
        <v>27</v>
      </c>
      <c r="C30" s="125">
        <v>44865</v>
      </c>
      <c r="D30" s="87" t="s">
        <v>334</v>
      </c>
      <c r="E30" s="60" t="str">
        <f>IFERROR(VLOOKUP(D30,'基础-领用人及部门'!$C:$D,2,FALSE),"-")</f>
        <v>综合办</v>
      </c>
      <c r="F30" s="87" t="s">
        <v>132</v>
      </c>
      <c r="G30" s="60" t="str">
        <f>IFERROR(VLOOKUP($F30,'基础-办公用品信息'!$C:$E,2,FALSE),"-")</f>
        <v>盒</v>
      </c>
      <c r="H30" s="60">
        <f>IFERROR(VLOOKUP($F30,'基础-办公用品信息'!$C:$E,3,FALSE),"-")</f>
        <v>0</v>
      </c>
      <c r="I30" s="60">
        <v>18</v>
      </c>
      <c r="J30" s="60">
        <f>IFERROR(VLOOKUP($F30,'基础-办公用品信息'!$C:$F,4,FALSE),"-")</f>
        <v>5.3</v>
      </c>
      <c r="K30" s="60">
        <f t="shared" si="0"/>
        <v>95.4</v>
      </c>
      <c r="L30" s="87"/>
      <c r="M30" s="60">
        <f t="shared" si="1"/>
        <v>2022</v>
      </c>
      <c r="N30" s="60">
        <f t="shared" si="2"/>
        <v>10</v>
      </c>
    </row>
    <row r="31" customHeight="1" spans="2:14">
      <c r="B31" s="86">
        <v>28</v>
      </c>
      <c r="C31" s="125">
        <v>44865</v>
      </c>
      <c r="D31" s="87" t="s">
        <v>334</v>
      </c>
      <c r="E31" s="60" t="str">
        <f>IFERROR(VLOOKUP(D31,'基础-领用人及部门'!$C:$D,2,FALSE),"-")</f>
        <v>综合办</v>
      </c>
      <c r="F31" s="87" t="s">
        <v>133</v>
      </c>
      <c r="G31" s="60" t="str">
        <f>IFERROR(VLOOKUP($F31,'基础-办公用品信息'!$C:$E,2,FALSE),"-")</f>
        <v>包</v>
      </c>
      <c r="H31" s="60">
        <f>IFERROR(VLOOKUP($F31,'基础-办公用品信息'!$C:$E,3,FALSE),"-")</f>
        <v>0</v>
      </c>
      <c r="I31" s="60">
        <v>19</v>
      </c>
      <c r="J31" s="60">
        <f>IFERROR(VLOOKUP($F31,'基础-办公用品信息'!$C:$F,4,FALSE),"-")</f>
        <v>2.5</v>
      </c>
      <c r="K31" s="60">
        <f t="shared" si="0"/>
        <v>47.5</v>
      </c>
      <c r="L31" s="87"/>
      <c r="M31" s="60">
        <f t="shared" si="1"/>
        <v>2022</v>
      </c>
      <c r="N31" s="60">
        <f t="shared" si="2"/>
        <v>10</v>
      </c>
    </row>
    <row r="32" customHeight="1" spans="2:14">
      <c r="B32" s="86">
        <v>29</v>
      </c>
      <c r="C32" s="125">
        <v>44866</v>
      </c>
      <c r="D32" s="87" t="s">
        <v>270</v>
      </c>
      <c r="E32" s="60" t="str">
        <f>IFERROR(VLOOKUP(D32,'基础-领用人及部门'!$C:$D,2,FALSE),"-")</f>
        <v>综合办</v>
      </c>
      <c r="F32" s="87" t="s">
        <v>11</v>
      </c>
      <c r="G32" s="60" t="str">
        <f>IFERROR(VLOOKUP($F32,'基础-办公用品信息'!$C:$E,2,FALSE),"-")</f>
        <v>包</v>
      </c>
      <c r="H32" s="60">
        <f>IFERROR(VLOOKUP($F32,'基础-办公用品信息'!$C:$E,3,FALSE),"-")</f>
        <v>0</v>
      </c>
      <c r="I32" s="60">
        <v>8</v>
      </c>
      <c r="J32" s="60">
        <f>IFERROR(VLOOKUP($F32,'基础-办公用品信息'!$C:$F,4,FALSE),"-")</f>
        <v>175</v>
      </c>
      <c r="K32" s="60">
        <f t="shared" si="0"/>
        <v>1400</v>
      </c>
      <c r="L32" s="87"/>
      <c r="M32" s="60">
        <f t="shared" si="1"/>
        <v>2022</v>
      </c>
      <c r="N32" s="60">
        <f t="shared" si="2"/>
        <v>11</v>
      </c>
    </row>
    <row r="33" customHeight="1" spans="2:14">
      <c r="B33" s="86">
        <v>30</v>
      </c>
      <c r="C33" s="125">
        <v>44865</v>
      </c>
      <c r="D33" s="87" t="s">
        <v>335</v>
      </c>
      <c r="E33" s="60" t="s">
        <v>285</v>
      </c>
      <c r="F33" s="87" t="s">
        <v>148</v>
      </c>
      <c r="G33" s="60" t="str">
        <f>IFERROR(VLOOKUP($F33,'基础-办公用品信息'!$C:$E,2,FALSE),"-")</f>
        <v>个</v>
      </c>
      <c r="H33" s="60">
        <f>IFERROR(VLOOKUP($F33,'基础-办公用品信息'!$C:$E,3,FALSE),"-")</f>
        <v>0</v>
      </c>
      <c r="I33" s="60">
        <v>1</v>
      </c>
      <c r="J33" s="60">
        <f>IFERROR(VLOOKUP($F33,'基础-办公用品信息'!$C:$F,4,FALSE),"-")</f>
        <v>56</v>
      </c>
      <c r="K33" s="60">
        <f t="shared" si="0"/>
        <v>56</v>
      </c>
      <c r="L33" s="87"/>
      <c r="M33" s="60">
        <f t="shared" si="1"/>
        <v>2022</v>
      </c>
      <c r="N33" s="60">
        <f t="shared" si="2"/>
        <v>10</v>
      </c>
    </row>
    <row r="34" customHeight="1" spans="2:14">
      <c r="B34" s="86">
        <v>31</v>
      </c>
      <c r="C34" s="125">
        <v>44865</v>
      </c>
      <c r="D34" s="87" t="s">
        <v>335</v>
      </c>
      <c r="E34" s="60" t="s">
        <v>285</v>
      </c>
      <c r="F34" s="87" t="s">
        <v>84</v>
      </c>
      <c r="G34" s="60" t="str">
        <f>IFERROR(VLOOKUP($F34,'基础-办公用品信息'!$C:$E,2,FALSE),"-")</f>
        <v>个</v>
      </c>
      <c r="H34" s="60">
        <f>IFERROR(VLOOKUP($F34,'基础-办公用品信息'!$C:$E,3,FALSE),"-")</f>
        <v>0</v>
      </c>
      <c r="I34" s="60">
        <v>1</v>
      </c>
      <c r="J34" s="60">
        <f>IFERROR(VLOOKUP($F34,'基础-办公用品信息'!$C:$F,4,FALSE),"-")</f>
        <v>26</v>
      </c>
      <c r="K34" s="60">
        <f t="shared" si="0"/>
        <v>26</v>
      </c>
      <c r="L34" s="87"/>
      <c r="M34" s="60">
        <f t="shared" si="1"/>
        <v>2022</v>
      </c>
      <c r="N34" s="60">
        <f t="shared" si="2"/>
        <v>10</v>
      </c>
    </row>
    <row r="35" customHeight="1" spans="2:14">
      <c r="B35" s="86">
        <v>32</v>
      </c>
      <c r="C35" s="125">
        <v>44866</v>
      </c>
      <c r="D35" s="87" t="s">
        <v>282</v>
      </c>
      <c r="E35" s="60" t="str">
        <f>IFERROR(VLOOKUP(D35,'基础-领用人及部门'!$C:$D,2,FALSE),"-")</f>
        <v>综合办</v>
      </c>
      <c r="F35" s="87" t="s">
        <v>21</v>
      </c>
      <c r="G35" s="60" t="str">
        <f>IFERROR(VLOOKUP($F35,'基础-办公用品信息'!$C:$E,2,FALSE),"-")</f>
        <v>本</v>
      </c>
      <c r="H35" s="60">
        <f>IFERROR(VLOOKUP($F35,'基础-办公用品信息'!$C:$E,3,FALSE),"-")</f>
        <v>0</v>
      </c>
      <c r="I35" s="60">
        <v>5</v>
      </c>
      <c r="J35" s="60">
        <f>IFERROR(VLOOKUP($F35,'基础-办公用品信息'!$C:$F,4,FALSE),"-")</f>
        <v>0</v>
      </c>
      <c r="K35" s="60">
        <f t="shared" si="0"/>
        <v>0</v>
      </c>
      <c r="L35" s="87"/>
      <c r="M35" s="60">
        <f t="shared" si="1"/>
        <v>2022</v>
      </c>
      <c r="N35" s="60">
        <f t="shared" si="2"/>
        <v>11</v>
      </c>
    </row>
    <row r="36" customHeight="1" spans="2:14">
      <c r="B36" s="86">
        <v>33</v>
      </c>
      <c r="C36" s="125">
        <v>44866</v>
      </c>
      <c r="D36" s="87" t="s">
        <v>336</v>
      </c>
      <c r="E36" s="60" t="str">
        <f>IFERROR(VLOOKUP(D36,'基础-领用人及部门'!$C:$D,2,FALSE),"-")</f>
        <v>销售部</v>
      </c>
      <c r="F36" s="87" t="s">
        <v>41</v>
      </c>
      <c r="G36" s="60" t="str">
        <f>IFERROR(VLOOKUP($F36,'基础-办公用品信息'!$C:$E,2,FALSE),"-")</f>
        <v>支</v>
      </c>
      <c r="H36" s="60">
        <f>IFERROR(VLOOKUP($F36,'基础-办公用品信息'!$C:$E,3,FALSE),"-")</f>
        <v>0</v>
      </c>
      <c r="I36" s="60">
        <v>36</v>
      </c>
      <c r="J36" s="60">
        <f>IFERROR(VLOOKUP($F36,'基础-办公用品信息'!$C:$F,4,FALSE),"-")</f>
        <v>1.3</v>
      </c>
      <c r="K36" s="60">
        <f t="shared" si="0"/>
        <v>46.8</v>
      </c>
      <c r="L36" s="87"/>
      <c r="M36" s="60">
        <f t="shared" si="1"/>
        <v>2022</v>
      </c>
      <c r="N36" s="60">
        <f t="shared" si="2"/>
        <v>11</v>
      </c>
    </row>
    <row r="37" customHeight="1" spans="2:14">
      <c r="B37" s="86">
        <v>34</v>
      </c>
      <c r="C37" s="125">
        <v>44866</v>
      </c>
      <c r="D37" s="87" t="s">
        <v>336</v>
      </c>
      <c r="E37" s="60" t="str">
        <f>IFERROR(VLOOKUP(D37,'基础-领用人及部门'!$C:$D,2,FALSE),"-")</f>
        <v>销售部</v>
      </c>
      <c r="F37" s="87" t="s">
        <v>164</v>
      </c>
      <c r="G37" s="60" t="str">
        <f>IFERROR(VLOOKUP($F37,'基础-办公用品信息'!$C:$E,2,FALSE),"-")</f>
        <v>卷</v>
      </c>
      <c r="H37" s="60">
        <f>IFERROR(VLOOKUP($F37,'基础-办公用品信息'!$C:$E,3,FALSE),"-")</f>
        <v>0</v>
      </c>
      <c r="I37" s="60">
        <v>12</v>
      </c>
      <c r="J37" s="60">
        <f>IFERROR(VLOOKUP($F37,'基础-办公用品信息'!$C:$F,4,FALSE),"-")</f>
        <v>0</v>
      </c>
      <c r="K37" s="60">
        <f t="shared" si="0"/>
        <v>0</v>
      </c>
      <c r="L37" s="87"/>
      <c r="M37" s="60">
        <f t="shared" si="1"/>
        <v>2022</v>
      </c>
      <c r="N37" s="60">
        <f t="shared" si="2"/>
        <v>11</v>
      </c>
    </row>
    <row r="38" customHeight="1" spans="2:14">
      <c r="B38" s="86">
        <v>35</v>
      </c>
      <c r="C38" s="125">
        <v>44866</v>
      </c>
      <c r="D38" s="87" t="s">
        <v>336</v>
      </c>
      <c r="E38" s="60" t="str">
        <f>IFERROR(VLOOKUP(D38,'基础-领用人及部门'!$C:$D,2,FALSE),"-")</f>
        <v>销售部</v>
      </c>
      <c r="F38" s="87" t="s">
        <v>171</v>
      </c>
      <c r="G38" s="60" t="str">
        <f>IFERROR(VLOOKUP($F38,'基础-办公用品信息'!$C:$E,2,FALSE),"-")</f>
        <v>个</v>
      </c>
      <c r="H38" s="60">
        <f>IFERROR(VLOOKUP($F38,'基础-办公用品信息'!$C:$E,3,FALSE),"-")</f>
        <v>0</v>
      </c>
      <c r="I38" s="60">
        <v>1</v>
      </c>
      <c r="J38" s="60">
        <f>IFERROR(VLOOKUP($F38,'基础-办公用品信息'!$C:$F,4,FALSE),"-")</f>
        <v>0</v>
      </c>
      <c r="K38" s="60">
        <f t="shared" si="0"/>
        <v>0</v>
      </c>
      <c r="L38" s="87"/>
      <c r="M38" s="60">
        <f t="shared" si="1"/>
        <v>2022</v>
      </c>
      <c r="N38" s="60">
        <f t="shared" si="2"/>
        <v>11</v>
      </c>
    </row>
    <row r="39" customHeight="1" spans="2:14">
      <c r="B39" s="86">
        <v>36</v>
      </c>
      <c r="C39" s="125">
        <v>44866</v>
      </c>
      <c r="D39" s="87" t="s">
        <v>336</v>
      </c>
      <c r="E39" s="60" t="str">
        <f>IFERROR(VLOOKUP(D39,'基础-领用人及部门'!$C:$D,2,FALSE),"-")</f>
        <v>销售部</v>
      </c>
      <c r="F39" s="87" t="s">
        <v>170</v>
      </c>
      <c r="G39" s="60" t="str">
        <f>IFERROR(VLOOKUP($F39,'基础-办公用品信息'!$C:$E,2,FALSE),"-")</f>
        <v>个</v>
      </c>
      <c r="H39" s="60">
        <f>IFERROR(VLOOKUP($F39,'基础-办公用品信息'!$C:$E,3,FALSE),"-")</f>
        <v>0</v>
      </c>
      <c r="I39" s="60">
        <v>1</v>
      </c>
      <c r="J39" s="60">
        <f>IFERROR(VLOOKUP($F39,'基础-办公用品信息'!$C:$F,4,FALSE),"-")</f>
        <v>0</v>
      </c>
      <c r="K39" s="60">
        <f t="shared" si="0"/>
        <v>0</v>
      </c>
      <c r="L39" s="87"/>
      <c r="M39" s="60">
        <f t="shared" si="1"/>
        <v>2022</v>
      </c>
      <c r="N39" s="60">
        <f t="shared" si="2"/>
        <v>11</v>
      </c>
    </row>
    <row r="40" customHeight="1" spans="2:14">
      <c r="B40" s="86">
        <v>37</v>
      </c>
      <c r="C40" s="125">
        <v>44866</v>
      </c>
      <c r="D40" s="87" t="s">
        <v>336</v>
      </c>
      <c r="E40" s="60" t="str">
        <f>IFERROR(VLOOKUP(D40,'基础-领用人及部门'!$C:$D,2,FALSE),"-")</f>
        <v>销售部</v>
      </c>
      <c r="F40" s="87" t="s">
        <v>172</v>
      </c>
      <c r="G40" s="60" t="str">
        <f>IFERROR(VLOOKUP($F40,'基础-办公用品信息'!$C:$E,2,FALSE),"-")</f>
        <v>瓶</v>
      </c>
      <c r="H40" s="60">
        <f>IFERROR(VLOOKUP($F40,'基础-办公用品信息'!$C:$E,3,FALSE),"-")</f>
        <v>0</v>
      </c>
      <c r="I40" s="60">
        <v>1</v>
      </c>
      <c r="J40" s="60">
        <f>IFERROR(VLOOKUP($F40,'基础-办公用品信息'!$C:$F,4,FALSE),"-")</f>
        <v>0</v>
      </c>
      <c r="K40" s="60">
        <f t="shared" si="0"/>
        <v>0</v>
      </c>
      <c r="L40" s="87"/>
      <c r="M40" s="60">
        <f t="shared" si="1"/>
        <v>2022</v>
      </c>
      <c r="N40" s="60">
        <f t="shared" si="2"/>
        <v>11</v>
      </c>
    </row>
    <row r="41" customHeight="1" spans="2:14">
      <c r="B41" s="86">
        <v>38</v>
      </c>
      <c r="C41" s="125">
        <v>44866</v>
      </c>
      <c r="D41" s="87" t="s">
        <v>337</v>
      </c>
      <c r="E41" s="60" t="str">
        <f>IFERROR(VLOOKUP(D41,'基础-领用人及部门'!$C:$D,2,FALSE),"-")</f>
        <v>四楼会议室</v>
      </c>
      <c r="F41" s="87" t="s">
        <v>132</v>
      </c>
      <c r="G41" s="60" t="str">
        <f>IFERROR(VLOOKUP($F41,'基础-办公用品信息'!$C:$E,2,FALSE),"-")</f>
        <v>盒</v>
      </c>
      <c r="H41" s="60">
        <f>IFERROR(VLOOKUP($F41,'基础-办公用品信息'!$C:$E,3,FALSE),"-")</f>
        <v>0</v>
      </c>
      <c r="I41" s="60">
        <v>3</v>
      </c>
      <c r="J41" s="60">
        <f>IFERROR(VLOOKUP($F41,'基础-办公用品信息'!$C:$F,4,FALSE),"-")</f>
        <v>5.3</v>
      </c>
      <c r="K41" s="60">
        <f t="shared" si="0"/>
        <v>15.9</v>
      </c>
      <c r="L41" s="87"/>
      <c r="M41" s="60">
        <f t="shared" si="1"/>
        <v>2022</v>
      </c>
      <c r="N41" s="60">
        <f t="shared" si="2"/>
        <v>11</v>
      </c>
    </row>
    <row r="42" customHeight="1" spans="2:14">
      <c r="B42" s="86">
        <v>39</v>
      </c>
      <c r="C42" s="125">
        <v>44866</v>
      </c>
      <c r="D42" s="87" t="s">
        <v>336</v>
      </c>
      <c r="E42" s="60" t="str">
        <f>IFERROR(VLOOKUP(D42,'基础-领用人及部门'!$C:$D,2,FALSE),"-")</f>
        <v>销售部</v>
      </c>
      <c r="F42" s="87" t="s">
        <v>173</v>
      </c>
      <c r="G42" s="60" t="str">
        <f>IFERROR(VLOOKUP($F42,'基础-办公用品信息'!$C:$E,2,FALSE),"-")</f>
        <v>条</v>
      </c>
      <c r="H42" s="60">
        <f>IFERROR(VLOOKUP($F42,'基础-办公用品信息'!$C:$E,3,FALSE),"-")</f>
        <v>0</v>
      </c>
      <c r="I42" s="60">
        <v>2</v>
      </c>
      <c r="J42" s="60">
        <f>IFERROR(VLOOKUP($F42,'基础-办公用品信息'!$C:$F,4,FALSE),"-")</f>
        <v>0</v>
      </c>
      <c r="K42" s="60">
        <f t="shared" si="0"/>
        <v>0</v>
      </c>
      <c r="L42" s="87"/>
      <c r="M42" s="60">
        <f t="shared" si="1"/>
        <v>2022</v>
      </c>
      <c r="N42" s="60">
        <f t="shared" si="2"/>
        <v>11</v>
      </c>
    </row>
    <row r="43" customHeight="1" spans="2:14">
      <c r="B43" s="86">
        <v>40</v>
      </c>
      <c r="C43" s="125">
        <v>44866</v>
      </c>
      <c r="D43" s="87" t="s">
        <v>336</v>
      </c>
      <c r="E43" s="60" t="str">
        <f>IFERROR(VLOOKUP(D43,'基础-领用人及部门'!$C:$D,2,FALSE),"-")</f>
        <v>销售部</v>
      </c>
      <c r="F43" s="87" t="s">
        <v>174</v>
      </c>
      <c r="G43" s="60" t="str">
        <f>IFERROR(VLOOKUP($F43,'基础-办公用品信息'!$C:$E,2,FALSE),"-")</f>
        <v>个</v>
      </c>
      <c r="H43" s="60">
        <f>IFERROR(VLOOKUP($F43,'基础-办公用品信息'!$C:$E,3,FALSE),"-")</f>
        <v>0</v>
      </c>
      <c r="I43" s="60">
        <v>1</v>
      </c>
      <c r="J43" s="60">
        <f>IFERROR(VLOOKUP($F43,'基础-办公用品信息'!$C:$F,4,FALSE),"-")</f>
        <v>0</v>
      </c>
      <c r="K43" s="60">
        <f t="shared" si="0"/>
        <v>0</v>
      </c>
      <c r="L43" s="87"/>
      <c r="M43" s="60">
        <f t="shared" si="1"/>
        <v>2022</v>
      </c>
      <c r="N43" s="60">
        <f t="shared" si="2"/>
        <v>11</v>
      </c>
    </row>
    <row r="44" customHeight="1" spans="2:14">
      <c r="B44" s="86">
        <v>41</v>
      </c>
      <c r="C44" s="125">
        <v>44866</v>
      </c>
      <c r="D44" s="87" t="s">
        <v>336</v>
      </c>
      <c r="E44" s="60" t="str">
        <f>IFERROR(VLOOKUP(D44,'基础-领用人及部门'!$C:$D,2,FALSE),"-")</f>
        <v>销售部</v>
      </c>
      <c r="F44" s="87" t="s">
        <v>175</v>
      </c>
      <c r="G44" s="60" t="str">
        <f>IFERROR(VLOOKUP($F44,'基础-办公用品信息'!$C:$E,2,FALSE),"-")</f>
        <v>瓶</v>
      </c>
      <c r="H44" s="60">
        <f>IFERROR(VLOOKUP($F44,'基础-办公用品信息'!$C:$E,3,FALSE),"-")</f>
        <v>0</v>
      </c>
      <c r="I44" s="60">
        <v>2</v>
      </c>
      <c r="J44" s="60">
        <f>IFERROR(VLOOKUP($F44,'基础-办公用品信息'!$C:$F,4,FALSE),"-")</f>
        <v>0</v>
      </c>
      <c r="K44" s="60">
        <f t="shared" si="0"/>
        <v>0</v>
      </c>
      <c r="L44" s="87"/>
      <c r="M44" s="60">
        <f t="shared" si="1"/>
        <v>2022</v>
      </c>
      <c r="N44" s="60">
        <f t="shared" si="2"/>
        <v>11</v>
      </c>
    </row>
    <row r="45" customHeight="1" spans="2:14">
      <c r="B45" s="86">
        <v>42</v>
      </c>
      <c r="C45" s="125">
        <v>44868</v>
      </c>
      <c r="D45" s="87" t="s">
        <v>333</v>
      </c>
      <c r="E45" s="60" t="str">
        <f>IFERROR(VLOOKUP(D45,'基础-领用人及部门'!$C:$D,2,FALSE),"-")</f>
        <v>综合办</v>
      </c>
      <c r="F45" s="87" t="s">
        <v>176</v>
      </c>
      <c r="G45" s="60" t="str">
        <f>IFERROR(VLOOKUP($F45,'基础-办公用品信息'!$C:$E,2,FALSE),"-")</f>
        <v>个</v>
      </c>
      <c r="H45" s="60">
        <f>IFERROR(VLOOKUP($F45,'基础-办公用品信息'!$C:$E,3,FALSE),"-")</f>
        <v>0</v>
      </c>
      <c r="I45" s="60">
        <v>2</v>
      </c>
      <c r="J45" s="60">
        <f>IFERROR(VLOOKUP($F45,'基础-办公用品信息'!$C:$F,4,FALSE),"-")</f>
        <v>0</v>
      </c>
      <c r="K45" s="60">
        <f t="shared" si="0"/>
        <v>0</v>
      </c>
      <c r="L45" s="87"/>
      <c r="M45" s="60">
        <f t="shared" si="1"/>
        <v>2022</v>
      </c>
      <c r="N45" s="60">
        <f t="shared" si="2"/>
        <v>11</v>
      </c>
    </row>
    <row r="46" customHeight="1" spans="2:14">
      <c r="B46" s="86">
        <v>43</v>
      </c>
      <c r="C46" s="125">
        <v>44868</v>
      </c>
      <c r="D46" s="87" t="s">
        <v>333</v>
      </c>
      <c r="E46" s="60" t="str">
        <f>IFERROR(VLOOKUP(D46,'基础-领用人及部门'!$C:$D,2,FALSE),"-")</f>
        <v>综合办</v>
      </c>
      <c r="F46" s="87" t="s">
        <v>164</v>
      </c>
      <c r="G46" s="60" t="str">
        <f>IFERROR(VLOOKUP($F46,'基础-办公用品信息'!$C:$E,2,FALSE),"-")</f>
        <v>卷</v>
      </c>
      <c r="H46" s="60">
        <f>IFERROR(VLOOKUP($F46,'基础-办公用品信息'!$C:$E,3,FALSE),"-")</f>
        <v>0</v>
      </c>
      <c r="I46" s="60">
        <v>15</v>
      </c>
      <c r="J46" s="60">
        <f>IFERROR(VLOOKUP($F46,'基础-办公用品信息'!$C:$F,4,FALSE),"-")</f>
        <v>0</v>
      </c>
      <c r="K46" s="60">
        <f t="shared" si="0"/>
        <v>0</v>
      </c>
      <c r="L46" s="87"/>
      <c r="M46" s="60">
        <f t="shared" si="1"/>
        <v>2022</v>
      </c>
      <c r="N46" s="60">
        <f t="shared" si="2"/>
        <v>11</v>
      </c>
    </row>
    <row r="47" customHeight="1" spans="2:14">
      <c r="B47" s="86">
        <v>44</v>
      </c>
      <c r="C47" s="125">
        <v>44868</v>
      </c>
      <c r="D47" s="87" t="s">
        <v>286</v>
      </c>
      <c r="E47" s="60" t="str">
        <f>IFERROR(VLOOKUP(D47,'基础-领用人及部门'!$C:$D,2,FALSE),"-")</f>
        <v>综合办</v>
      </c>
      <c r="F47" s="87" t="s">
        <v>111</v>
      </c>
      <c r="G47" s="60" t="str">
        <f>IFERROR(VLOOKUP($F47,'基础-办公用品信息'!$C:$E,2,FALSE),"-")</f>
        <v>包</v>
      </c>
      <c r="H47" s="60">
        <f>IFERROR(VLOOKUP($F47,'基础-办公用品信息'!$C:$E,3,FALSE),"-")</f>
        <v>0</v>
      </c>
      <c r="I47" s="60">
        <v>10</v>
      </c>
      <c r="J47" s="60">
        <f>IFERROR(VLOOKUP($F47,'基础-办公用品信息'!$C:$F,4,FALSE),"-")</f>
        <v>0.3</v>
      </c>
      <c r="K47" s="60">
        <f t="shared" si="0"/>
        <v>3</v>
      </c>
      <c r="L47" s="87"/>
      <c r="M47" s="60">
        <f t="shared" si="1"/>
        <v>2022</v>
      </c>
      <c r="N47" s="60">
        <f t="shared" si="2"/>
        <v>11</v>
      </c>
    </row>
    <row r="48" customHeight="1" spans="2:14">
      <c r="B48" s="86">
        <v>45</v>
      </c>
      <c r="C48" s="125">
        <v>44868</v>
      </c>
      <c r="D48" s="87" t="s">
        <v>286</v>
      </c>
      <c r="E48" s="60" t="str">
        <f>IFERROR(VLOOKUP(D48,'基础-领用人及部门'!$C:$D,2,FALSE),"-")</f>
        <v>综合办</v>
      </c>
      <c r="F48" s="87" t="s">
        <v>11</v>
      </c>
      <c r="G48" s="60" t="str">
        <f>IFERROR(VLOOKUP($F48,'基础-办公用品信息'!$C:$E,2,FALSE),"-")</f>
        <v>包</v>
      </c>
      <c r="H48" s="60">
        <f>IFERROR(VLOOKUP($F48,'基础-办公用品信息'!$C:$E,3,FALSE),"-")</f>
        <v>0</v>
      </c>
      <c r="I48" s="60">
        <v>4</v>
      </c>
      <c r="J48" s="60">
        <f>IFERROR(VLOOKUP($F48,'基础-办公用品信息'!$C:$F,4,FALSE),"-")</f>
        <v>175</v>
      </c>
      <c r="K48" s="60">
        <f t="shared" si="0"/>
        <v>700</v>
      </c>
      <c r="L48" s="87"/>
      <c r="M48" s="60">
        <f t="shared" si="1"/>
        <v>2022</v>
      </c>
      <c r="N48" s="60">
        <f t="shared" si="2"/>
        <v>11</v>
      </c>
    </row>
    <row r="49" customHeight="1" spans="2:14">
      <c r="B49" s="86">
        <v>46</v>
      </c>
      <c r="C49" s="125">
        <v>44872</v>
      </c>
      <c r="D49" s="87" t="s">
        <v>295</v>
      </c>
      <c r="E49" s="60" t="str">
        <f>IFERROR(VLOOKUP(D49,'基础-领用人及部门'!$C:$D,2,FALSE),"-")</f>
        <v>财务部</v>
      </c>
      <c r="F49" s="87" t="s">
        <v>115</v>
      </c>
      <c r="G49" s="60" t="str">
        <f>IFERROR(VLOOKUP($F49,'基础-办公用品信息'!$C:$E,2,FALSE),"-")</f>
        <v>个</v>
      </c>
      <c r="H49" s="60">
        <f>IFERROR(VLOOKUP($F49,'基础-办公用品信息'!$C:$E,3,FALSE),"-")</f>
        <v>0</v>
      </c>
      <c r="I49" s="60">
        <v>1</v>
      </c>
      <c r="J49" s="60">
        <f>IFERROR(VLOOKUP($F49,'基础-办公用品信息'!$C:$F,4,FALSE),"-")</f>
        <v>0</v>
      </c>
      <c r="K49" s="60">
        <f t="shared" si="0"/>
        <v>0</v>
      </c>
      <c r="L49" s="87"/>
      <c r="M49" s="60">
        <f t="shared" si="1"/>
        <v>2022</v>
      </c>
      <c r="N49" s="60">
        <f t="shared" si="2"/>
        <v>11</v>
      </c>
    </row>
    <row r="50" customHeight="1" spans="2:14">
      <c r="B50" s="86">
        <v>47</v>
      </c>
      <c r="C50" s="125">
        <v>44872</v>
      </c>
      <c r="D50" s="87" t="s">
        <v>294</v>
      </c>
      <c r="E50" s="60" t="str">
        <f>IFERROR(VLOOKUP(D50,'基础-领用人及部门'!$C:$D,2,FALSE),"-")</f>
        <v>财务部</v>
      </c>
      <c r="F50" s="87" t="s">
        <v>115</v>
      </c>
      <c r="G50" s="60" t="str">
        <f>IFERROR(VLOOKUP($F50,'基础-办公用品信息'!$C:$E,2,FALSE),"-")</f>
        <v>个</v>
      </c>
      <c r="H50" s="60">
        <f>IFERROR(VLOOKUP($F50,'基础-办公用品信息'!$C:$E,3,FALSE),"-")</f>
        <v>0</v>
      </c>
      <c r="I50" s="60">
        <v>1</v>
      </c>
      <c r="J50" s="60">
        <f>IFERROR(VLOOKUP($F50,'基础-办公用品信息'!$C:$F,4,FALSE),"-")</f>
        <v>0</v>
      </c>
      <c r="K50" s="60">
        <f t="shared" si="0"/>
        <v>0</v>
      </c>
      <c r="L50" s="87"/>
      <c r="M50" s="60">
        <f t="shared" si="1"/>
        <v>2022</v>
      </c>
      <c r="N50" s="60">
        <f t="shared" si="2"/>
        <v>11</v>
      </c>
    </row>
    <row r="51" customHeight="1" spans="2:14">
      <c r="B51" s="86">
        <v>48</v>
      </c>
      <c r="C51" s="125">
        <v>44872</v>
      </c>
      <c r="D51" s="87" t="s">
        <v>270</v>
      </c>
      <c r="E51" s="60" t="str">
        <f>IFERROR(VLOOKUP(D51,'基础-领用人及部门'!$C:$D,2,FALSE),"-")</f>
        <v>综合办</v>
      </c>
      <c r="F51" s="87" t="s">
        <v>103</v>
      </c>
      <c r="G51" s="60" t="str">
        <f>IFERROR(VLOOKUP($F51,'基础-办公用品信息'!$C:$E,2,FALSE),"-")</f>
        <v>本</v>
      </c>
      <c r="H51" s="60">
        <f>IFERROR(VLOOKUP($F51,'基础-办公用品信息'!$C:$E,3,FALSE),"-")</f>
        <v>0</v>
      </c>
      <c r="I51" s="60">
        <v>5</v>
      </c>
      <c r="J51" s="60">
        <f>IFERROR(VLOOKUP($F51,'基础-办公用品信息'!$C:$F,4,FALSE),"-")</f>
        <v>0</v>
      </c>
      <c r="K51" s="60">
        <f t="shared" si="0"/>
        <v>0</v>
      </c>
      <c r="L51" s="87"/>
      <c r="M51" s="60">
        <f t="shared" si="1"/>
        <v>2022</v>
      </c>
      <c r="N51" s="60">
        <f t="shared" si="2"/>
        <v>11</v>
      </c>
    </row>
    <row r="52" customHeight="1" spans="2:14">
      <c r="B52" s="86">
        <v>49</v>
      </c>
      <c r="C52" s="125">
        <v>44872</v>
      </c>
      <c r="D52" s="87" t="s">
        <v>333</v>
      </c>
      <c r="E52" s="60" t="str">
        <f>IFERROR(VLOOKUP(D52,'基础-领用人及部门'!$C:$D,2,FALSE),"-")</f>
        <v>综合办</v>
      </c>
      <c r="F52" s="87" t="s">
        <v>130</v>
      </c>
      <c r="G52" s="60" t="str">
        <f>IFERROR(VLOOKUP($F52,'基础-办公用品信息'!$C:$E,2,FALSE),"-")</f>
        <v>提</v>
      </c>
      <c r="H52" s="60">
        <f>IFERROR(VLOOKUP($F52,'基础-办公用品信息'!$C:$E,3,FALSE),"-")</f>
        <v>0</v>
      </c>
      <c r="I52" s="60">
        <v>4</v>
      </c>
      <c r="J52" s="60">
        <f>IFERROR(VLOOKUP($F52,'基础-办公用品信息'!$C:$F,4,FALSE),"-")</f>
        <v>11.5</v>
      </c>
      <c r="K52" s="60">
        <f t="shared" si="0"/>
        <v>46</v>
      </c>
      <c r="L52" s="87"/>
      <c r="M52" s="60">
        <f t="shared" si="1"/>
        <v>2022</v>
      </c>
      <c r="N52" s="60">
        <f t="shared" si="2"/>
        <v>11</v>
      </c>
    </row>
    <row r="53" customHeight="1" spans="2:14">
      <c r="B53" s="86">
        <v>50</v>
      </c>
      <c r="C53" s="125">
        <v>44879</v>
      </c>
      <c r="D53" s="87" t="s">
        <v>310</v>
      </c>
      <c r="E53" s="60" t="str">
        <f>IFERROR(VLOOKUP(D53,'基础-领用人及部门'!$C:$D,2,FALSE),"-")</f>
        <v>技术部</v>
      </c>
      <c r="F53" s="87" t="s">
        <v>82</v>
      </c>
      <c r="G53" s="60" t="str">
        <f>IFERROR(VLOOKUP($F53,'基础-办公用品信息'!$C:$E,2,FALSE),"-")</f>
        <v>盒</v>
      </c>
      <c r="H53" s="60">
        <f>IFERROR(VLOOKUP($F53,'基础-办公用品信息'!$C:$E,3,FALSE),"-")</f>
        <v>0</v>
      </c>
      <c r="I53" s="60">
        <v>1</v>
      </c>
      <c r="J53" s="60">
        <f>IFERROR(VLOOKUP($F53,'基础-办公用品信息'!$C:$F,4,FALSE),"-")</f>
        <v>7</v>
      </c>
      <c r="K53" s="60">
        <f t="shared" si="0"/>
        <v>7</v>
      </c>
      <c r="L53" s="87"/>
      <c r="M53" s="60">
        <f t="shared" si="1"/>
        <v>2022</v>
      </c>
      <c r="N53" s="60">
        <f t="shared" si="2"/>
        <v>11</v>
      </c>
    </row>
    <row r="54" customHeight="1" spans="2:14">
      <c r="B54" s="86">
        <v>51</v>
      </c>
      <c r="C54" s="125">
        <v>44879</v>
      </c>
      <c r="D54" s="87" t="s">
        <v>310</v>
      </c>
      <c r="E54" s="60" t="str">
        <f>IFERROR(VLOOKUP(D54,'基础-领用人及部门'!$C:$D,2,FALSE),"-")</f>
        <v>技术部</v>
      </c>
      <c r="F54" s="87" t="s">
        <v>20</v>
      </c>
      <c r="G54" s="60" t="str">
        <f>IFERROR(VLOOKUP($F54,'基础-办公用品信息'!$C:$E,2,FALSE),"-")</f>
        <v>本</v>
      </c>
      <c r="H54" s="60">
        <f>IFERROR(VLOOKUP($F54,'基础-办公用品信息'!$C:$E,3,FALSE),"-")</f>
        <v>0</v>
      </c>
      <c r="I54" s="60">
        <v>1</v>
      </c>
      <c r="J54" s="60">
        <f>IFERROR(VLOOKUP($F54,'基础-办公用品信息'!$C:$F,4,FALSE),"-")</f>
        <v>7.5</v>
      </c>
      <c r="K54" s="60">
        <f t="shared" si="0"/>
        <v>7.5</v>
      </c>
      <c r="L54" s="87"/>
      <c r="M54" s="60">
        <f t="shared" si="1"/>
        <v>2022</v>
      </c>
      <c r="N54" s="60">
        <f t="shared" si="2"/>
        <v>11</v>
      </c>
    </row>
    <row r="55" customHeight="1" spans="2:14">
      <c r="B55" s="86">
        <v>52</v>
      </c>
      <c r="C55" s="125">
        <v>44879</v>
      </c>
      <c r="D55" s="87" t="s">
        <v>302</v>
      </c>
      <c r="E55" s="60" t="str">
        <f>IFERROR(VLOOKUP(D55,'基础-领用人及部门'!$C:$D,2,FALSE),"-")</f>
        <v>开发部</v>
      </c>
      <c r="F55" s="87" t="s">
        <v>111</v>
      </c>
      <c r="G55" s="60" t="str">
        <f>IFERROR(VLOOKUP($F55,'基础-办公用品信息'!$C:$E,2,FALSE),"-")</f>
        <v>包</v>
      </c>
      <c r="H55" s="60">
        <f>IFERROR(VLOOKUP($F55,'基础-办公用品信息'!$C:$E,3,FALSE),"-")</f>
        <v>0</v>
      </c>
      <c r="I55" s="60">
        <v>9</v>
      </c>
      <c r="J55" s="60">
        <f>IFERROR(VLOOKUP($F55,'基础-办公用品信息'!$C:$F,4,FALSE),"-")</f>
        <v>0.3</v>
      </c>
      <c r="K55" s="60">
        <f t="shared" si="0"/>
        <v>2.7</v>
      </c>
      <c r="L55" s="87"/>
      <c r="M55" s="60">
        <f t="shared" si="1"/>
        <v>2022</v>
      </c>
      <c r="N55" s="60">
        <f t="shared" si="2"/>
        <v>11</v>
      </c>
    </row>
    <row r="56" customHeight="1" spans="2:14">
      <c r="B56" s="86">
        <v>53</v>
      </c>
      <c r="C56" s="125">
        <v>44881</v>
      </c>
      <c r="D56" s="87" t="s">
        <v>272</v>
      </c>
      <c r="E56" s="60" t="str">
        <f>IFERROR(VLOOKUP(D56,'基础-领用人及部门'!$C:$D,2,FALSE),"-")</f>
        <v>综合办</v>
      </c>
      <c r="F56" s="87" t="s">
        <v>33</v>
      </c>
      <c r="G56" s="60" t="str">
        <f>IFERROR(VLOOKUP($F56,'基础-办公用品信息'!$C:$E,2,FALSE),"-")</f>
        <v>本</v>
      </c>
      <c r="H56" s="60">
        <f>IFERROR(VLOOKUP($F56,'基础-办公用品信息'!$C:$E,3,FALSE),"-")</f>
        <v>0</v>
      </c>
      <c r="I56" s="60">
        <v>33</v>
      </c>
      <c r="J56" s="60">
        <f>IFERROR(VLOOKUP($F56,'基础-办公用品信息'!$C:$F,4,FALSE),"-")</f>
        <v>0.55</v>
      </c>
      <c r="K56" s="60">
        <f t="shared" si="0"/>
        <v>18.15</v>
      </c>
      <c r="L56" s="87"/>
      <c r="M56" s="60">
        <f t="shared" si="1"/>
        <v>2022</v>
      </c>
      <c r="N56" s="60">
        <f t="shared" si="2"/>
        <v>11</v>
      </c>
    </row>
    <row r="57" customHeight="1" spans="2:14">
      <c r="B57" s="86">
        <v>54</v>
      </c>
      <c r="C57" s="125">
        <v>44881</v>
      </c>
      <c r="D57" s="87" t="s">
        <v>319</v>
      </c>
      <c r="E57" s="60" t="str">
        <f>IFERROR(VLOOKUP(D57,'基础-领用人及部门'!$C:$D,2,FALSE),"-")</f>
        <v>成本部</v>
      </c>
      <c r="F57" s="87" t="s">
        <v>11</v>
      </c>
      <c r="G57" s="60" t="str">
        <f>IFERROR(VLOOKUP($F57,'基础-办公用品信息'!$C:$E,2,FALSE),"-")</f>
        <v>包</v>
      </c>
      <c r="H57" s="60">
        <f>IFERROR(VLOOKUP($F57,'基础-办公用品信息'!$C:$E,3,FALSE),"-")</f>
        <v>0</v>
      </c>
      <c r="I57" s="60">
        <v>8</v>
      </c>
      <c r="J57" s="60">
        <f>IFERROR(VLOOKUP($F57,'基础-办公用品信息'!$C:$F,4,FALSE),"-")</f>
        <v>175</v>
      </c>
      <c r="K57" s="60">
        <f t="shared" si="0"/>
        <v>1400</v>
      </c>
      <c r="L57" s="87"/>
      <c r="M57" s="60">
        <f t="shared" si="1"/>
        <v>2022</v>
      </c>
      <c r="N57" s="60">
        <f t="shared" si="2"/>
        <v>11</v>
      </c>
    </row>
    <row r="58" customHeight="1" spans="2:14">
      <c r="B58" s="86">
        <v>55</v>
      </c>
      <c r="C58" s="125">
        <v>44881</v>
      </c>
      <c r="D58" s="87" t="s">
        <v>319</v>
      </c>
      <c r="E58" s="60" t="str">
        <f>IFERROR(VLOOKUP(D58,'基础-领用人及部门'!$C:$D,2,FALSE),"-")</f>
        <v>成本部</v>
      </c>
      <c r="F58" s="87" t="s">
        <v>41</v>
      </c>
      <c r="G58" s="60" t="str">
        <f>IFERROR(VLOOKUP($F58,'基础-办公用品信息'!$C:$E,2,FALSE),"-")</f>
        <v>支</v>
      </c>
      <c r="H58" s="60">
        <f>IFERROR(VLOOKUP($F58,'基础-办公用品信息'!$C:$E,3,FALSE),"-")</f>
        <v>0</v>
      </c>
      <c r="I58" s="60">
        <v>12</v>
      </c>
      <c r="J58" s="60">
        <f>IFERROR(VLOOKUP($F58,'基础-办公用品信息'!$C:$F,4,FALSE),"-")</f>
        <v>1.3</v>
      </c>
      <c r="K58" s="60">
        <f t="shared" si="0"/>
        <v>15.6</v>
      </c>
      <c r="L58" s="87"/>
      <c r="M58" s="60">
        <f t="shared" si="1"/>
        <v>2022</v>
      </c>
      <c r="N58" s="60">
        <f t="shared" si="2"/>
        <v>11</v>
      </c>
    </row>
    <row r="59" customHeight="1" spans="2:14">
      <c r="B59" s="86">
        <v>56</v>
      </c>
      <c r="C59" s="125">
        <v>44881</v>
      </c>
      <c r="D59" s="87" t="s">
        <v>319</v>
      </c>
      <c r="E59" s="60" t="str">
        <f>IFERROR(VLOOKUP(D59,'基础-领用人及部门'!$C:$D,2,FALSE),"-")</f>
        <v>成本部</v>
      </c>
      <c r="F59" s="87" t="s">
        <v>62</v>
      </c>
      <c r="G59" s="60" t="str">
        <f>IFERROR(VLOOKUP($F59,'基础-办公用品信息'!$C:$E,2,FALSE),"-")</f>
        <v>盒</v>
      </c>
      <c r="H59" s="60">
        <f>IFERROR(VLOOKUP($F59,'基础-办公用品信息'!$C:$E,3,FALSE),"-")</f>
        <v>0</v>
      </c>
      <c r="I59" s="60">
        <v>2</v>
      </c>
      <c r="J59" s="60">
        <f>IFERROR(VLOOKUP($F59,'基础-办公用品信息'!$C:$F,4,FALSE),"-")</f>
        <v>0.7</v>
      </c>
      <c r="K59" s="60">
        <f t="shared" si="0"/>
        <v>1.4</v>
      </c>
      <c r="L59" s="87"/>
      <c r="M59" s="60">
        <f t="shared" si="1"/>
        <v>2022</v>
      </c>
      <c r="N59" s="60">
        <f t="shared" si="2"/>
        <v>11</v>
      </c>
    </row>
    <row r="60" customHeight="1" spans="2:14">
      <c r="B60" s="86">
        <v>57</v>
      </c>
      <c r="C60" s="125">
        <v>44881</v>
      </c>
      <c r="D60" s="87" t="s">
        <v>319</v>
      </c>
      <c r="E60" s="60" t="str">
        <f>IFERROR(VLOOKUP(D60,'基础-领用人及部门'!$C:$D,2,FALSE),"-")</f>
        <v>成本部</v>
      </c>
      <c r="F60" s="87" t="s">
        <v>63</v>
      </c>
      <c r="G60" s="60" t="str">
        <f>IFERROR(VLOOKUP($F60,'基础-办公用品信息'!$C:$E,2,FALSE),"-")</f>
        <v>盒</v>
      </c>
      <c r="H60" s="60">
        <f>IFERROR(VLOOKUP($F60,'基础-办公用品信息'!$C:$E,3,FALSE),"-")</f>
        <v>0</v>
      </c>
      <c r="I60" s="60">
        <v>4</v>
      </c>
      <c r="J60" s="60">
        <f>IFERROR(VLOOKUP($F60,'基础-办公用品信息'!$C:$F,4,FALSE),"-")</f>
        <v>0.7</v>
      </c>
      <c r="K60" s="60">
        <f t="shared" si="0"/>
        <v>2.8</v>
      </c>
      <c r="L60" s="87"/>
      <c r="M60" s="60">
        <f t="shared" si="1"/>
        <v>2022</v>
      </c>
      <c r="N60" s="60">
        <f t="shared" si="2"/>
        <v>11</v>
      </c>
    </row>
    <row r="61" customHeight="1" spans="2:14">
      <c r="B61" s="86">
        <v>58</v>
      </c>
      <c r="C61" s="125">
        <v>44881</v>
      </c>
      <c r="D61" s="87" t="s">
        <v>265</v>
      </c>
      <c r="E61" s="60" t="str">
        <f>IFERROR(VLOOKUP(D61,'基础-领用人及部门'!$C:$D,2,FALSE),"-")</f>
        <v>综合办</v>
      </c>
      <c r="F61" s="87" t="s">
        <v>20</v>
      </c>
      <c r="G61" s="60" t="str">
        <f>IFERROR(VLOOKUP($F61,'基础-办公用品信息'!$C:$E,2,FALSE),"-")</f>
        <v>本</v>
      </c>
      <c r="H61" s="60">
        <f>IFERROR(VLOOKUP($F61,'基础-办公用品信息'!$C:$E,3,FALSE),"-")</f>
        <v>0</v>
      </c>
      <c r="I61" s="60">
        <v>2</v>
      </c>
      <c r="J61" s="60">
        <f>IFERROR(VLOOKUP($F61,'基础-办公用品信息'!$C:$F,4,FALSE),"-")</f>
        <v>7.5</v>
      </c>
      <c r="K61" s="60">
        <f t="shared" si="0"/>
        <v>15</v>
      </c>
      <c r="L61" s="87"/>
      <c r="M61" s="60">
        <f t="shared" si="1"/>
        <v>2022</v>
      </c>
      <c r="N61" s="60">
        <f t="shared" si="2"/>
        <v>11</v>
      </c>
    </row>
    <row r="62" customHeight="1" spans="2:14">
      <c r="B62" s="86">
        <v>59</v>
      </c>
      <c r="C62" s="125">
        <v>44881</v>
      </c>
      <c r="D62" s="87" t="s">
        <v>286</v>
      </c>
      <c r="E62" s="60" t="str">
        <f>IFERROR(VLOOKUP(D62,'基础-领用人及部门'!$C:$D,2,FALSE),"-")</f>
        <v>综合办</v>
      </c>
      <c r="F62" s="87" t="s">
        <v>11</v>
      </c>
      <c r="G62" s="60" t="str">
        <f>IFERROR(VLOOKUP($F62,'基础-办公用品信息'!$C:$E,2,FALSE),"-")</f>
        <v>包</v>
      </c>
      <c r="H62" s="60">
        <f>IFERROR(VLOOKUP($F62,'基础-办公用品信息'!$C:$E,3,FALSE),"-")</f>
        <v>0</v>
      </c>
      <c r="I62" s="60">
        <v>8</v>
      </c>
      <c r="J62" s="60">
        <f>IFERROR(VLOOKUP($F62,'基础-办公用品信息'!$C:$F,4,FALSE),"-")</f>
        <v>175</v>
      </c>
      <c r="K62" s="60">
        <f t="shared" si="0"/>
        <v>1400</v>
      </c>
      <c r="L62" s="87"/>
      <c r="M62" s="60">
        <f t="shared" si="1"/>
        <v>2022</v>
      </c>
      <c r="N62" s="60">
        <f t="shared" si="2"/>
        <v>11</v>
      </c>
    </row>
    <row r="63" customHeight="1" spans="2:14">
      <c r="B63" s="86">
        <v>60</v>
      </c>
      <c r="C63" s="125">
        <v>44881</v>
      </c>
      <c r="D63" s="87" t="s">
        <v>286</v>
      </c>
      <c r="E63" s="60" t="str">
        <f>IFERROR(VLOOKUP(D63,'基础-领用人及部门'!$C:$D,2,FALSE),"-")</f>
        <v>综合办</v>
      </c>
      <c r="F63" s="87" t="s">
        <v>111</v>
      </c>
      <c r="G63" s="60" t="str">
        <f>IFERROR(VLOOKUP($F63,'基础-办公用品信息'!$C:$E,2,FALSE),"-")</f>
        <v>包</v>
      </c>
      <c r="H63" s="60">
        <f>IFERROR(VLOOKUP($F63,'基础-办公用品信息'!$C:$E,3,FALSE),"-")</f>
        <v>0</v>
      </c>
      <c r="I63" s="60">
        <v>10</v>
      </c>
      <c r="J63" s="60">
        <f>IFERROR(VLOOKUP($F63,'基础-办公用品信息'!$C:$F,4,FALSE),"-")</f>
        <v>0.3</v>
      </c>
      <c r="K63" s="60">
        <f t="shared" si="0"/>
        <v>3</v>
      </c>
      <c r="L63" s="87"/>
      <c r="M63" s="60">
        <f t="shared" si="1"/>
        <v>2022</v>
      </c>
      <c r="N63" s="60">
        <f t="shared" si="2"/>
        <v>11</v>
      </c>
    </row>
    <row r="64" customHeight="1" spans="2:14">
      <c r="B64" s="86">
        <v>61</v>
      </c>
      <c r="C64" s="125">
        <v>44881</v>
      </c>
      <c r="D64" s="87" t="s">
        <v>286</v>
      </c>
      <c r="E64" s="60" t="str">
        <f>IFERROR(VLOOKUP(D64,'基础-领用人及部门'!$C:$D,2,FALSE),"-")</f>
        <v>综合办</v>
      </c>
      <c r="F64" s="87" t="s">
        <v>96</v>
      </c>
      <c r="G64" s="60" t="str">
        <f>IFERROR(VLOOKUP($F64,'基础-办公用品信息'!$C:$E,2,FALSE),"-")</f>
        <v>包</v>
      </c>
      <c r="H64" s="60">
        <f>IFERROR(VLOOKUP($F64,'基础-办公用品信息'!$C:$E,3,FALSE),"-")</f>
        <v>0</v>
      </c>
      <c r="I64" s="60">
        <v>1</v>
      </c>
      <c r="J64" s="60">
        <f>IFERROR(VLOOKUP($F64,'基础-办公用品信息'!$C:$F,4,FALSE),"-")</f>
        <v>2</v>
      </c>
      <c r="K64" s="60">
        <f t="shared" si="0"/>
        <v>2</v>
      </c>
      <c r="L64" s="87"/>
      <c r="M64" s="60">
        <f t="shared" si="1"/>
        <v>2022</v>
      </c>
      <c r="N64" s="60">
        <f t="shared" si="2"/>
        <v>11</v>
      </c>
    </row>
    <row r="65" customHeight="1" spans="2:14">
      <c r="B65" s="86">
        <v>62</v>
      </c>
      <c r="C65" s="125">
        <v>44881</v>
      </c>
      <c r="D65" s="87" t="s">
        <v>286</v>
      </c>
      <c r="E65" s="60" t="str">
        <f>IFERROR(VLOOKUP(D65,'基础-领用人及部门'!$C:$D,2,FALSE),"-")</f>
        <v>综合办</v>
      </c>
      <c r="F65" s="87" t="s">
        <v>41</v>
      </c>
      <c r="G65" s="60" t="str">
        <f>IFERROR(VLOOKUP($F65,'基础-办公用品信息'!$C:$E,2,FALSE),"-")</f>
        <v>支</v>
      </c>
      <c r="H65" s="60">
        <f>IFERROR(VLOOKUP($F65,'基础-办公用品信息'!$C:$E,3,FALSE),"-")</f>
        <v>0</v>
      </c>
      <c r="I65" s="60">
        <v>12</v>
      </c>
      <c r="J65" s="60">
        <f>IFERROR(VLOOKUP($F65,'基础-办公用品信息'!$C:$F,4,FALSE),"-")</f>
        <v>1.3</v>
      </c>
      <c r="K65" s="60">
        <f t="shared" si="0"/>
        <v>15.6</v>
      </c>
      <c r="L65" s="87"/>
      <c r="M65" s="60">
        <f t="shared" si="1"/>
        <v>2022</v>
      </c>
      <c r="N65" s="60">
        <f t="shared" si="2"/>
        <v>11</v>
      </c>
    </row>
    <row r="66" customHeight="1" spans="2:14">
      <c r="B66" s="86">
        <v>63</v>
      </c>
      <c r="C66" s="125">
        <v>44881</v>
      </c>
      <c r="D66" s="87" t="s">
        <v>286</v>
      </c>
      <c r="E66" s="60" t="str">
        <f>IFERROR(VLOOKUP(D66,'基础-领用人及部门'!$C:$D,2,FALSE),"-")</f>
        <v>综合办</v>
      </c>
      <c r="F66" s="87" t="s">
        <v>103</v>
      </c>
      <c r="G66" s="60" t="str">
        <f>IFERROR(VLOOKUP($F66,'基础-办公用品信息'!$C:$E,2,FALSE),"-")</f>
        <v>本</v>
      </c>
      <c r="H66" s="60">
        <f>IFERROR(VLOOKUP($F66,'基础-办公用品信息'!$C:$E,3,FALSE),"-")</f>
        <v>0</v>
      </c>
      <c r="I66" s="60">
        <v>1</v>
      </c>
      <c r="J66" s="60">
        <f>IFERROR(VLOOKUP($F66,'基础-办公用品信息'!$C:$F,4,FALSE),"-")</f>
        <v>0</v>
      </c>
      <c r="K66" s="60">
        <f t="shared" si="0"/>
        <v>0</v>
      </c>
      <c r="L66" s="87"/>
      <c r="M66" s="60">
        <f t="shared" si="1"/>
        <v>2022</v>
      </c>
      <c r="N66" s="60">
        <f t="shared" si="2"/>
        <v>11</v>
      </c>
    </row>
    <row r="67" customHeight="1" spans="2:14">
      <c r="B67" s="86">
        <v>64</v>
      </c>
      <c r="C67" s="125">
        <v>44881</v>
      </c>
      <c r="D67" s="87" t="s">
        <v>286</v>
      </c>
      <c r="E67" s="60" t="str">
        <f>IFERROR(VLOOKUP(D67,'基础-领用人及部门'!$C:$D,2,FALSE),"-")</f>
        <v>综合办</v>
      </c>
      <c r="F67" s="87" t="s">
        <v>63</v>
      </c>
      <c r="G67" s="60" t="str">
        <f>IFERROR(VLOOKUP($F67,'基础-办公用品信息'!$C:$E,2,FALSE),"-")</f>
        <v>盒</v>
      </c>
      <c r="H67" s="60">
        <f>IFERROR(VLOOKUP($F67,'基础-办公用品信息'!$C:$E,3,FALSE),"-")</f>
        <v>0</v>
      </c>
      <c r="I67" s="60">
        <v>2</v>
      </c>
      <c r="J67" s="60">
        <f>IFERROR(VLOOKUP($F67,'基础-办公用品信息'!$C:$F,4,FALSE),"-")</f>
        <v>0.7</v>
      </c>
      <c r="K67" s="60">
        <f t="shared" si="0"/>
        <v>1.4</v>
      </c>
      <c r="L67" s="87"/>
      <c r="M67" s="60">
        <f t="shared" si="1"/>
        <v>2022</v>
      </c>
      <c r="N67" s="60">
        <f t="shared" si="2"/>
        <v>11</v>
      </c>
    </row>
    <row r="68" customHeight="1" spans="2:14">
      <c r="B68" s="86">
        <v>65</v>
      </c>
      <c r="C68" s="125">
        <v>44881</v>
      </c>
      <c r="D68" s="87" t="s">
        <v>286</v>
      </c>
      <c r="E68" s="60" t="str">
        <f>IFERROR(VLOOKUP(D68,'基础-领用人及部门'!$C:$D,2,FALSE),"-")</f>
        <v>综合办</v>
      </c>
      <c r="F68" s="87" t="s">
        <v>81</v>
      </c>
      <c r="G68" s="60" t="str">
        <f>IFERROR(VLOOKUP($F68,'基础-办公用品信息'!$C:$E,2,FALSE),"-")</f>
        <v>盒</v>
      </c>
      <c r="H68" s="60">
        <f>IFERROR(VLOOKUP($F68,'基础-办公用品信息'!$C:$E,3,FALSE),"-")</f>
        <v>0</v>
      </c>
      <c r="I68" s="60">
        <v>1</v>
      </c>
      <c r="J68" s="60">
        <f>IFERROR(VLOOKUP($F68,'基础-办公用品信息'!$C:$F,4,FALSE),"-")</f>
        <v>13</v>
      </c>
      <c r="K68" s="60">
        <f t="shared" si="0"/>
        <v>13</v>
      </c>
      <c r="L68" s="87"/>
      <c r="M68" s="60">
        <f t="shared" si="1"/>
        <v>2022</v>
      </c>
      <c r="N68" s="60">
        <f t="shared" si="2"/>
        <v>11</v>
      </c>
    </row>
    <row r="69" customHeight="1" spans="2:14">
      <c r="B69" s="86">
        <v>66</v>
      </c>
      <c r="C69" s="125">
        <v>44153</v>
      </c>
      <c r="D69" s="87" t="s">
        <v>265</v>
      </c>
      <c r="E69" s="60" t="str">
        <f>IFERROR(VLOOKUP(D69,'基础-领用人及部门'!$C:$D,2,FALSE),"-")</f>
        <v>综合办</v>
      </c>
      <c r="F69" s="87" t="s">
        <v>74</v>
      </c>
      <c r="G69" s="60" t="str">
        <f>IFERROR(VLOOKUP($F69,'基础-办公用品信息'!$C:$E,2,FALSE),"-")</f>
        <v>节</v>
      </c>
      <c r="H69" s="60">
        <f>IFERROR(VLOOKUP($F69,'基础-办公用品信息'!$C:$E,3,FALSE),"-")</f>
        <v>0</v>
      </c>
      <c r="I69" s="60">
        <v>15</v>
      </c>
      <c r="J69" s="60">
        <f>IFERROR(VLOOKUP($F69,'基础-办公用品信息'!$C:$F,4,FALSE),"-")</f>
        <v>2.1</v>
      </c>
      <c r="K69" s="60">
        <f t="shared" ref="K69:K132" si="3">IFERROR(I69*J69,"")</f>
        <v>31.5</v>
      </c>
      <c r="L69" s="87"/>
      <c r="M69" s="60">
        <f t="shared" ref="M69:M132" si="4">YEAR(C69)</f>
        <v>2020</v>
      </c>
      <c r="N69" s="60">
        <f t="shared" ref="N69:N132" si="5">MONTH(C69)</f>
        <v>11</v>
      </c>
    </row>
    <row r="70" customHeight="1" spans="2:14">
      <c r="B70" s="86">
        <v>67</v>
      </c>
      <c r="C70" s="125">
        <v>44153</v>
      </c>
      <c r="D70" s="87" t="s">
        <v>308</v>
      </c>
      <c r="E70" s="60" t="str">
        <f>IFERROR(VLOOKUP(D70,'基础-领用人及部门'!$C:$D,2,FALSE),"-")</f>
        <v>技术部</v>
      </c>
      <c r="F70" s="87" t="s">
        <v>178</v>
      </c>
      <c r="G70" s="60" t="str">
        <f>IFERROR(VLOOKUP($F70,'基础-办公用品信息'!$C:$E,2,FALSE),"-")</f>
        <v>双</v>
      </c>
      <c r="H70" s="60">
        <f>IFERROR(VLOOKUP($F70,'基础-办公用品信息'!$C:$E,3,FALSE),"-")</f>
        <v>0</v>
      </c>
      <c r="I70" s="60">
        <v>4</v>
      </c>
      <c r="J70" s="60">
        <f>IFERROR(VLOOKUP($F70,'基础-办公用品信息'!$C:$F,4,FALSE),"-")</f>
        <v>0</v>
      </c>
      <c r="K70" s="60">
        <f t="shared" si="3"/>
        <v>0</v>
      </c>
      <c r="L70" s="87"/>
      <c r="M70" s="60">
        <f t="shared" si="4"/>
        <v>2020</v>
      </c>
      <c r="N70" s="60">
        <f t="shared" si="5"/>
        <v>11</v>
      </c>
    </row>
    <row r="71" customHeight="1" spans="2:14">
      <c r="B71" s="86">
        <v>68</v>
      </c>
      <c r="C71" s="125">
        <v>44886</v>
      </c>
      <c r="D71" s="87" t="s">
        <v>270</v>
      </c>
      <c r="E71" s="60" t="str">
        <f>IFERROR(VLOOKUP(D71,'基础-领用人及部门'!$C:$D,2,FALSE),"-")</f>
        <v>综合办</v>
      </c>
      <c r="F71" s="87" t="s">
        <v>74</v>
      </c>
      <c r="G71" s="60" t="str">
        <f>IFERROR(VLOOKUP($F71,'基础-办公用品信息'!$C:$E,2,FALSE),"-")</f>
        <v>节</v>
      </c>
      <c r="H71" s="60">
        <f>IFERROR(VLOOKUP($F71,'基础-办公用品信息'!$C:$E,3,FALSE),"-")</f>
        <v>0</v>
      </c>
      <c r="I71" s="60">
        <v>15</v>
      </c>
      <c r="J71" s="60">
        <f>IFERROR(VLOOKUP($F71,'基础-办公用品信息'!$C:$F,4,FALSE),"-")</f>
        <v>2.1</v>
      </c>
      <c r="K71" s="60">
        <f t="shared" si="3"/>
        <v>31.5</v>
      </c>
      <c r="L71" s="87"/>
      <c r="M71" s="60">
        <f t="shared" si="4"/>
        <v>2022</v>
      </c>
      <c r="N71" s="60">
        <f t="shared" si="5"/>
        <v>11</v>
      </c>
    </row>
    <row r="72" customHeight="1" spans="2:14">
      <c r="B72" s="86">
        <v>69</v>
      </c>
      <c r="C72" s="125">
        <v>44886</v>
      </c>
      <c r="D72" s="87" t="s">
        <v>312</v>
      </c>
      <c r="E72" s="60" t="str">
        <f>IFERROR(VLOOKUP(D72,'基础-领用人及部门'!$C:$D,2,FALSE),"-")</f>
        <v>技术部</v>
      </c>
      <c r="F72" s="87" t="s">
        <v>180</v>
      </c>
      <c r="G72" s="60" t="str">
        <f>IFERROR(VLOOKUP($F72,'基础-办公用品信息'!$C:$E,2,FALSE),"-")</f>
        <v>顶</v>
      </c>
      <c r="H72" s="60">
        <f>IFERROR(VLOOKUP($F72,'基础-办公用品信息'!$C:$E,3,FALSE),"-")</f>
        <v>0</v>
      </c>
      <c r="I72" s="60">
        <v>1</v>
      </c>
      <c r="J72" s="60">
        <f>IFERROR(VLOOKUP($F72,'基础-办公用品信息'!$C:$F,4,FALSE),"-")</f>
        <v>0</v>
      </c>
      <c r="K72" s="60">
        <f t="shared" si="3"/>
        <v>0</v>
      </c>
      <c r="L72" s="87"/>
      <c r="M72" s="60">
        <f t="shared" si="4"/>
        <v>2022</v>
      </c>
      <c r="N72" s="60">
        <f t="shared" si="5"/>
        <v>11</v>
      </c>
    </row>
    <row r="73" customHeight="1" spans="2:14">
      <c r="B73" s="86">
        <v>70</v>
      </c>
      <c r="C73" s="125">
        <v>44886</v>
      </c>
      <c r="D73" s="87" t="s">
        <v>312</v>
      </c>
      <c r="E73" s="60" t="str">
        <f>IFERROR(VLOOKUP(D73,'基础-领用人及部门'!$C:$D,2,FALSE),"-")</f>
        <v>技术部</v>
      </c>
      <c r="F73" s="87" t="s">
        <v>93</v>
      </c>
      <c r="G73" s="60" t="str">
        <f>IFERROR(VLOOKUP($F73,'基础-办公用品信息'!$C:$E,2,FALSE),"-")</f>
        <v>卷</v>
      </c>
      <c r="H73" s="60">
        <f>IFERROR(VLOOKUP($F73,'基础-办公用品信息'!$C:$E,3,FALSE),"-")</f>
        <v>0</v>
      </c>
      <c r="I73" s="60">
        <v>1</v>
      </c>
      <c r="J73" s="60">
        <f>IFERROR(VLOOKUP($F73,'基础-办公用品信息'!$C:$F,4,FALSE),"-")</f>
        <v>20</v>
      </c>
      <c r="K73" s="60">
        <f t="shared" si="3"/>
        <v>20</v>
      </c>
      <c r="L73" s="87"/>
      <c r="M73" s="60">
        <f t="shared" si="4"/>
        <v>2022</v>
      </c>
      <c r="N73" s="60">
        <f t="shared" si="5"/>
        <v>11</v>
      </c>
    </row>
    <row r="74" customHeight="1" spans="2:14">
      <c r="B74" s="86">
        <v>71</v>
      </c>
      <c r="C74" s="125">
        <v>44886</v>
      </c>
      <c r="D74" s="87" t="s">
        <v>304</v>
      </c>
      <c r="E74" s="60" t="str">
        <f>IFERROR(VLOOKUP(D74,'基础-领用人及部门'!$C:$D,2,FALSE),"-")</f>
        <v>招采部</v>
      </c>
      <c r="F74" s="87" t="s">
        <v>20</v>
      </c>
      <c r="G74" s="60" t="str">
        <f>IFERROR(VLOOKUP($F74,'基础-办公用品信息'!$C:$E,2,FALSE),"-")</f>
        <v>本</v>
      </c>
      <c r="H74" s="60">
        <f>IFERROR(VLOOKUP($F74,'基础-办公用品信息'!$C:$E,3,FALSE),"-")</f>
        <v>0</v>
      </c>
      <c r="I74" s="60">
        <v>1</v>
      </c>
      <c r="J74" s="60">
        <f>IFERROR(VLOOKUP($F74,'基础-办公用品信息'!$C:$F,4,FALSE),"-")</f>
        <v>7.5</v>
      </c>
      <c r="K74" s="60">
        <f t="shared" si="3"/>
        <v>7.5</v>
      </c>
      <c r="L74" s="87"/>
      <c r="M74" s="60">
        <f t="shared" si="4"/>
        <v>2022</v>
      </c>
      <c r="N74" s="60">
        <f t="shared" si="5"/>
        <v>11</v>
      </c>
    </row>
    <row r="75" customHeight="1" spans="2:14">
      <c r="B75" s="86">
        <v>72</v>
      </c>
      <c r="C75" s="125">
        <v>44886</v>
      </c>
      <c r="D75" s="87" t="s">
        <v>319</v>
      </c>
      <c r="E75" s="60" t="str">
        <f>IFERROR(VLOOKUP(D75,'基础-领用人及部门'!$C:$D,2,FALSE),"-")</f>
        <v>成本部</v>
      </c>
      <c r="F75" s="87" t="s">
        <v>74</v>
      </c>
      <c r="G75" s="60" t="str">
        <f>IFERROR(VLOOKUP($F75,'基础-办公用品信息'!$C:$E,2,FALSE),"-")</f>
        <v>节</v>
      </c>
      <c r="H75" s="60">
        <f>IFERROR(VLOOKUP($F75,'基础-办公用品信息'!$C:$E,3,FALSE),"-")</f>
        <v>0</v>
      </c>
      <c r="I75" s="60">
        <v>2</v>
      </c>
      <c r="J75" s="60">
        <f>IFERROR(VLOOKUP($F75,'基础-办公用品信息'!$C:$F,4,FALSE),"-")</f>
        <v>2.1</v>
      </c>
      <c r="K75" s="60">
        <f t="shared" si="3"/>
        <v>4.2</v>
      </c>
      <c r="L75" s="87"/>
      <c r="M75" s="60">
        <f t="shared" si="4"/>
        <v>2022</v>
      </c>
      <c r="N75" s="60">
        <f t="shared" si="5"/>
        <v>11</v>
      </c>
    </row>
    <row r="76" customHeight="1" spans="2:14">
      <c r="B76" s="86">
        <v>73</v>
      </c>
      <c r="C76" s="125">
        <v>44887</v>
      </c>
      <c r="D76" s="87" t="s">
        <v>336</v>
      </c>
      <c r="E76" s="60" t="str">
        <f>IFERROR(VLOOKUP(D76,'基础-领用人及部门'!$C:$D,2,FALSE),"-")</f>
        <v>销售部</v>
      </c>
      <c r="F76" s="87" t="s">
        <v>163</v>
      </c>
      <c r="G76" s="60" t="str">
        <f>IFERROR(VLOOKUP($F76,'基础-办公用品信息'!$C:$E,2,FALSE),"-")</f>
        <v>桶</v>
      </c>
      <c r="H76" s="60">
        <f>IFERROR(VLOOKUP($F76,'基础-办公用品信息'!$C:$E,3,FALSE),"-")</f>
        <v>0</v>
      </c>
      <c r="I76" s="60">
        <v>1</v>
      </c>
      <c r="J76" s="60">
        <f>IFERROR(VLOOKUP($F76,'基础-办公用品信息'!$C:$F,4,FALSE),"-")</f>
        <v>0</v>
      </c>
      <c r="K76" s="60">
        <f t="shared" si="3"/>
        <v>0</v>
      </c>
      <c r="L76" s="87"/>
      <c r="M76" s="60">
        <f t="shared" si="4"/>
        <v>2022</v>
      </c>
      <c r="N76" s="60">
        <f t="shared" si="5"/>
        <v>11</v>
      </c>
    </row>
    <row r="77" customHeight="1" spans="2:14">
      <c r="B77" s="86">
        <v>74</v>
      </c>
      <c r="C77" s="125">
        <v>44887</v>
      </c>
      <c r="D77" s="87" t="s">
        <v>336</v>
      </c>
      <c r="E77" s="60" t="str">
        <f>IFERROR(VLOOKUP(D77,'基础-领用人及部门'!$C:$D,2,FALSE),"-")</f>
        <v>销售部</v>
      </c>
      <c r="F77" s="87" t="s">
        <v>20</v>
      </c>
      <c r="G77" s="60" t="str">
        <f>IFERROR(VLOOKUP($F77,'基础-办公用品信息'!$C:$E,2,FALSE),"-")</f>
        <v>本</v>
      </c>
      <c r="H77" s="60">
        <f>IFERROR(VLOOKUP($F77,'基础-办公用品信息'!$C:$E,3,FALSE),"-")</f>
        <v>0</v>
      </c>
      <c r="I77" s="60">
        <v>5</v>
      </c>
      <c r="J77" s="60">
        <f>IFERROR(VLOOKUP($F77,'基础-办公用品信息'!$C:$F,4,FALSE),"-")</f>
        <v>7.5</v>
      </c>
      <c r="K77" s="60">
        <f t="shared" si="3"/>
        <v>37.5</v>
      </c>
      <c r="L77" s="87"/>
      <c r="M77" s="60">
        <f t="shared" si="4"/>
        <v>2022</v>
      </c>
      <c r="N77" s="60">
        <f t="shared" si="5"/>
        <v>11</v>
      </c>
    </row>
    <row r="78" customHeight="1" spans="2:14">
      <c r="B78" s="86">
        <v>75</v>
      </c>
      <c r="C78" s="125">
        <v>44887</v>
      </c>
      <c r="D78" s="87" t="s">
        <v>336</v>
      </c>
      <c r="E78" s="60" t="str">
        <f>IFERROR(VLOOKUP(D78,'基础-领用人及部门'!$C:$D,2,FALSE),"-")</f>
        <v>销售部</v>
      </c>
      <c r="F78" s="87" t="s">
        <v>182</v>
      </c>
      <c r="G78" s="60" t="str">
        <f>IFERROR(VLOOKUP($F78,'基础-办公用品信息'!$C:$E,2,FALSE),"-")</f>
        <v>把</v>
      </c>
      <c r="H78" s="60">
        <f>IFERROR(VLOOKUP($F78,'基础-办公用品信息'!$C:$E,3,FALSE),"-")</f>
        <v>0</v>
      </c>
      <c r="I78" s="60">
        <v>1</v>
      </c>
      <c r="J78" s="60">
        <f>IFERROR(VLOOKUP($F78,'基础-办公用品信息'!$C:$F,4,FALSE),"-")</f>
        <v>0</v>
      </c>
      <c r="K78" s="60">
        <f t="shared" si="3"/>
        <v>0</v>
      </c>
      <c r="L78" s="87"/>
      <c r="M78" s="60">
        <f t="shared" si="4"/>
        <v>2022</v>
      </c>
      <c r="N78" s="60">
        <f t="shared" si="5"/>
        <v>11</v>
      </c>
    </row>
    <row r="79" customHeight="1" spans="2:14">
      <c r="B79" s="86">
        <v>76</v>
      </c>
      <c r="C79" s="125">
        <v>44887</v>
      </c>
      <c r="D79" s="87" t="s">
        <v>333</v>
      </c>
      <c r="E79" s="60" t="str">
        <f>IFERROR(VLOOKUP(D79,'基础-领用人及部门'!$C:$D,2,FALSE),"-")</f>
        <v>综合办</v>
      </c>
      <c r="F79" s="87" t="s">
        <v>130</v>
      </c>
      <c r="G79" s="60" t="str">
        <f>IFERROR(VLOOKUP($F79,'基础-办公用品信息'!$C:$E,2,FALSE),"-")</f>
        <v>提</v>
      </c>
      <c r="H79" s="60">
        <f>IFERROR(VLOOKUP($F79,'基础-办公用品信息'!$C:$E,3,FALSE),"-")</f>
        <v>0</v>
      </c>
      <c r="I79" s="60">
        <v>1</v>
      </c>
      <c r="J79" s="60">
        <f>IFERROR(VLOOKUP($F79,'基础-办公用品信息'!$C:$F,4,FALSE),"-")</f>
        <v>11.5</v>
      </c>
      <c r="K79" s="60">
        <f t="shared" si="3"/>
        <v>11.5</v>
      </c>
      <c r="L79" s="87"/>
      <c r="M79" s="60">
        <f t="shared" si="4"/>
        <v>2022</v>
      </c>
      <c r="N79" s="60">
        <f t="shared" si="5"/>
        <v>11</v>
      </c>
    </row>
    <row r="80" customHeight="1" spans="2:14">
      <c r="B80" s="86">
        <v>77</v>
      </c>
      <c r="C80" s="125">
        <v>44887</v>
      </c>
      <c r="D80" s="87" t="s">
        <v>331</v>
      </c>
      <c r="E80" s="60" t="str">
        <f>IFERROR(VLOOKUP(D80,'基础-领用人及部门'!$C:$D,2,FALSE),"-")</f>
        <v>工程部</v>
      </c>
      <c r="F80" s="87" t="s">
        <v>11</v>
      </c>
      <c r="G80" s="60" t="str">
        <f>IFERROR(VLOOKUP($F80,'基础-办公用品信息'!$C:$E,2,FALSE),"-")</f>
        <v>包</v>
      </c>
      <c r="H80" s="60">
        <f>IFERROR(VLOOKUP($F80,'基础-办公用品信息'!$C:$E,3,FALSE),"-")</f>
        <v>0</v>
      </c>
      <c r="I80" s="60">
        <v>8</v>
      </c>
      <c r="J80" s="60">
        <f>IFERROR(VLOOKUP($F80,'基础-办公用品信息'!$C:$F,4,FALSE),"-")</f>
        <v>175</v>
      </c>
      <c r="K80" s="60">
        <f t="shared" si="3"/>
        <v>1400</v>
      </c>
      <c r="L80" s="87"/>
      <c r="M80" s="60">
        <f t="shared" si="4"/>
        <v>2022</v>
      </c>
      <c r="N80" s="60">
        <f t="shared" si="5"/>
        <v>11</v>
      </c>
    </row>
    <row r="81" customHeight="1" spans="2:14">
      <c r="B81" s="86">
        <v>78</v>
      </c>
      <c r="C81" s="125">
        <v>44888</v>
      </c>
      <c r="D81" s="87" t="s">
        <v>338</v>
      </c>
      <c r="E81" s="60" t="str">
        <f>IFERROR(VLOOKUP(D81,'基础-领用人及部门'!$C:$D,2,FALSE),"-")</f>
        <v>boss</v>
      </c>
      <c r="F81" s="87" t="s">
        <v>20</v>
      </c>
      <c r="G81" s="60" t="str">
        <f>IFERROR(VLOOKUP($F81,'基础-办公用品信息'!$C:$E,2,FALSE),"-")</f>
        <v>本</v>
      </c>
      <c r="H81" s="60">
        <f>IFERROR(VLOOKUP($F81,'基础-办公用品信息'!$C:$E,3,FALSE),"-")</f>
        <v>0</v>
      </c>
      <c r="I81" s="60">
        <v>1</v>
      </c>
      <c r="J81" s="60">
        <f>IFERROR(VLOOKUP($F81,'基础-办公用品信息'!$C:$F,4,FALSE),"-")</f>
        <v>7.5</v>
      </c>
      <c r="K81" s="60">
        <f t="shared" si="3"/>
        <v>7.5</v>
      </c>
      <c r="L81" s="87"/>
      <c r="M81" s="60">
        <f t="shared" si="4"/>
        <v>2022</v>
      </c>
      <c r="N81" s="60">
        <f t="shared" si="5"/>
        <v>11</v>
      </c>
    </row>
    <row r="82" customHeight="1" spans="2:14">
      <c r="B82" s="86">
        <v>79</v>
      </c>
      <c r="C82" s="125">
        <v>44889</v>
      </c>
      <c r="D82" s="87" t="s">
        <v>334</v>
      </c>
      <c r="E82" s="60" t="str">
        <f>IFERROR(VLOOKUP(D82,'基础-领用人及部门'!$C:$D,2,FALSE),"-")</f>
        <v>综合办</v>
      </c>
      <c r="F82" s="87" t="s">
        <v>133</v>
      </c>
      <c r="G82" s="60" t="str">
        <f>IFERROR(VLOOKUP($F82,'基础-办公用品信息'!$C:$E,2,FALSE),"-")</f>
        <v>包</v>
      </c>
      <c r="H82" s="60">
        <f>IFERROR(VLOOKUP($F82,'基础-办公用品信息'!$C:$E,3,FALSE),"-")</f>
        <v>0</v>
      </c>
      <c r="I82" s="60">
        <v>10</v>
      </c>
      <c r="J82" s="60">
        <f>IFERROR(VLOOKUP($F82,'基础-办公用品信息'!$C:$F,4,FALSE),"-")</f>
        <v>2.5</v>
      </c>
      <c r="K82" s="60">
        <f t="shared" si="3"/>
        <v>25</v>
      </c>
      <c r="L82" s="87"/>
      <c r="M82" s="60">
        <f t="shared" si="4"/>
        <v>2022</v>
      </c>
      <c r="N82" s="60">
        <f t="shared" si="5"/>
        <v>11</v>
      </c>
    </row>
    <row r="83" customHeight="1" spans="2:14">
      <c r="B83" s="86">
        <v>80</v>
      </c>
      <c r="C83" s="125">
        <v>44889</v>
      </c>
      <c r="D83" s="87" t="s">
        <v>333</v>
      </c>
      <c r="E83" s="60" t="str">
        <f>IFERROR(VLOOKUP(D83,'基础-领用人及部门'!$C:$D,2,FALSE),"-")</f>
        <v>综合办</v>
      </c>
      <c r="F83" s="87" t="s">
        <v>164</v>
      </c>
      <c r="G83" s="60" t="str">
        <f>IFERROR(VLOOKUP($F83,'基础-办公用品信息'!$C:$E,2,FALSE),"-")</f>
        <v>卷</v>
      </c>
      <c r="H83" s="60">
        <f>IFERROR(VLOOKUP($F83,'基础-办公用品信息'!$C:$E,3,FALSE),"-")</f>
        <v>0</v>
      </c>
      <c r="I83" s="60">
        <v>26</v>
      </c>
      <c r="J83" s="60">
        <f>IFERROR(VLOOKUP($F83,'基础-办公用品信息'!$C:$F,4,FALSE),"-")</f>
        <v>0</v>
      </c>
      <c r="K83" s="60">
        <f t="shared" si="3"/>
        <v>0</v>
      </c>
      <c r="L83" s="87"/>
      <c r="M83" s="60">
        <f t="shared" si="4"/>
        <v>2022</v>
      </c>
      <c r="N83" s="60">
        <f t="shared" si="5"/>
        <v>11</v>
      </c>
    </row>
    <row r="84" customHeight="1" spans="2:14">
      <c r="B84" s="86">
        <v>81</v>
      </c>
      <c r="C84" s="125">
        <v>44890</v>
      </c>
      <c r="D84" s="87" t="s">
        <v>296</v>
      </c>
      <c r="E84" s="60" t="str">
        <f>IFERROR(VLOOKUP(D84,'基础-领用人及部门'!$C:$D,2,FALSE),"-")</f>
        <v>财务部</v>
      </c>
      <c r="F84" s="87" t="s">
        <v>11</v>
      </c>
      <c r="G84" s="60" t="str">
        <f>IFERROR(VLOOKUP($F84,'基础-办公用品信息'!$C:$E,2,FALSE),"-")</f>
        <v>包</v>
      </c>
      <c r="H84" s="60">
        <f>IFERROR(VLOOKUP($F84,'基础-办公用品信息'!$C:$E,3,FALSE),"-")</f>
        <v>0</v>
      </c>
      <c r="I84" s="60">
        <v>8</v>
      </c>
      <c r="J84" s="60">
        <f>IFERROR(VLOOKUP($F84,'基础-办公用品信息'!$C:$F,4,FALSE),"-")</f>
        <v>175</v>
      </c>
      <c r="K84" s="60">
        <f t="shared" si="3"/>
        <v>1400</v>
      </c>
      <c r="L84" s="87"/>
      <c r="M84" s="60">
        <f t="shared" si="4"/>
        <v>2022</v>
      </c>
      <c r="N84" s="60">
        <f t="shared" si="5"/>
        <v>11</v>
      </c>
    </row>
    <row r="85" customHeight="1" spans="2:14">
      <c r="B85" s="86">
        <v>82</v>
      </c>
      <c r="C85" s="125">
        <v>44893</v>
      </c>
      <c r="D85" s="87" t="s">
        <v>265</v>
      </c>
      <c r="E85" s="60" t="str">
        <f>IFERROR(VLOOKUP(D85,'基础-领用人及部门'!$C:$D,2,FALSE),"-")</f>
        <v>综合办</v>
      </c>
      <c r="F85" s="87" t="s">
        <v>132</v>
      </c>
      <c r="G85" s="60" t="str">
        <f>IFERROR(VLOOKUP($F85,'基础-办公用品信息'!$C:$E,2,FALSE),"-")</f>
        <v>盒</v>
      </c>
      <c r="H85" s="60">
        <f>IFERROR(VLOOKUP($F85,'基础-办公用品信息'!$C:$E,3,FALSE),"-")</f>
        <v>0</v>
      </c>
      <c r="I85" s="60">
        <v>3</v>
      </c>
      <c r="J85" s="60">
        <f>IFERROR(VLOOKUP($F85,'基础-办公用品信息'!$C:$F,4,FALSE),"-")</f>
        <v>5.3</v>
      </c>
      <c r="K85" s="60">
        <f t="shared" si="3"/>
        <v>15.9</v>
      </c>
      <c r="L85" s="87"/>
      <c r="M85" s="60">
        <f t="shared" si="4"/>
        <v>2022</v>
      </c>
      <c r="N85" s="60">
        <f t="shared" si="5"/>
        <v>11</v>
      </c>
    </row>
    <row r="86" customHeight="1" spans="2:14">
      <c r="B86" s="86">
        <v>83</v>
      </c>
      <c r="C86" s="125">
        <v>44893</v>
      </c>
      <c r="D86" s="87" t="s">
        <v>265</v>
      </c>
      <c r="E86" s="60" t="str">
        <f>IFERROR(VLOOKUP(D86,'基础-领用人及部门'!$C:$D,2,FALSE),"-")</f>
        <v>综合办</v>
      </c>
      <c r="F86" s="87" t="s">
        <v>113</v>
      </c>
      <c r="G86" s="60" t="str">
        <f>IFERROR(VLOOKUP($F86,'基础-办公用品信息'!$C:$E,2,FALSE),"-")</f>
        <v>盒</v>
      </c>
      <c r="H86" s="60">
        <f>IFERROR(VLOOKUP($F86,'基础-办公用品信息'!$C:$E,3,FALSE),"-")</f>
        <v>0</v>
      </c>
      <c r="I86" s="60">
        <v>1</v>
      </c>
      <c r="J86" s="60">
        <f>IFERROR(VLOOKUP($F86,'基础-办公用品信息'!$C:$F,4,FALSE),"-")</f>
        <v>0</v>
      </c>
      <c r="K86" s="60">
        <f t="shared" si="3"/>
        <v>0</v>
      </c>
      <c r="L86" s="87"/>
      <c r="M86" s="60">
        <f t="shared" si="4"/>
        <v>2022</v>
      </c>
      <c r="N86" s="60">
        <f t="shared" si="5"/>
        <v>11</v>
      </c>
    </row>
    <row r="87" customHeight="1" spans="2:14">
      <c r="B87" s="86">
        <v>84</v>
      </c>
      <c r="C87" s="125">
        <v>44893</v>
      </c>
      <c r="D87" s="87" t="s">
        <v>339</v>
      </c>
      <c r="E87" s="60" t="str">
        <f>IFERROR(VLOOKUP(D87,'基础-领用人及部门'!$C:$D,2,FALSE),"-")</f>
        <v>技术部</v>
      </c>
      <c r="F87" s="87" t="s">
        <v>85</v>
      </c>
      <c r="G87" s="60" t="str">
        <f>IFERROR(VLOOKUP($F87,'基础-办公用品信息'!$C:$E,2,FALSE),"-")</f>
        <v>个</v>
      </c>
      <c r="H87" s="60">
        <f>IFERROR(VLOOKUP($F87,'基础-办公用品信息'!$C:$E,3,FALSE),"-")</f>
        <v>0</v>
      </c>
      <c r="I87" s="60">
        <v>1</v>
      </c>
      <c r="J87" s="60">
        <f>IFERROR(VLOOKUP($F87,'基础-办公用品信息'!$C:$F,4,FALSE),"-")</f>
        <v>59</v>
      </c>
      <c r="K87" s="60">
        <f t="shared" si="3"/>
        <v>59</v>
      </c>
      <c r="L87" s="87"/>
      <c r="M87" s="60">
        <f t="shared" si="4"/>
        <v>2022</v>
      </c>
      <c r="N87" s="60">
        <f t="shared" si="5"/>
        <v>11</v>
      </c>
    </row>
    <row r="88" customHeight="1" spans="2:14">
      <c r="B88" s="86">
        <v>85</v>
      </c>
      <c r="C88" s="125">
        <v>44893</v>
      </c>
      <c r="D88" s="87" t="s">
        <v>265</v>
      </c>
      <c r="E88" s="60" t="str">
        <f>IFERROR(VLOOKUP(D88,'基础-领用人及部门'!$C:$D,2,FALSE),"-")</f>
        <v>综合办</v>
      </c>
      <c r="F88" s="87" t="s">
        <v>127</v>
      </c>
      <c r="G88" s="60" t="str">
        <f>IFERROR(VLOOKUP($F88,'基础-办公用品信息'!$C:$E,2,FALSE),"-")</f>
        <v>瓶</v>
      </c>
      <c r="H88" s="60">
        <f>IFERROR(VLOOKUP($F88,'基础-办公用品信息'!$C:$E,3,FALSE),"-")</f>
        <v>0</v>
      </c>
      <c r="I88" s="60">
        <v>2</v>
      </c>
      <c r="J88" s="60">
        <f>IFERROR(VLOOKUP($F88,'基础-办公用品信息'!$C:$F,4,FALSE),"-")</f>
        <v>0</v>
      </c>
      <c r="K88" s="60">
        <f t="shared" si="3"/>
        <v>0</v>
      </c>
      <c r="L88" s="87"/>
      <c r="M88" s="60">
        <f t="shared" si="4"/>
        <v>2022</v>
      </c>
      <c r="N88" s="60">
        <f t="shared" si="5"/>
        <v>11</v>
      </c>
    </row>
    <row r="89" customHeight="1" spans="2:14">
      <c r="B89" s="86">
        <v>86</v>
      </c>
      <c r="C89" s="125">
        <v>44893</v>
      </c>
      <c r="D89" s="87" t="s">
        <v>295</v>
      </c>
      <c r="E89" s="60" t="str">
        <f>IFERROR(VLOOKUP(D89,'基础-领用人及部门'!$C:$D,2,FALSE),"-")</f>
        <v>财务部</v>
      </c>
      <c r="F89" s="87" t="s">
        <v>81</v>
      </c>
      <c r="G89" s="60" t="str">
        <f>IFERROR(VLOOKUP($F89,'基础-办公用品信息'!$C:$E,2,FALSE),"-")</f>
        <v>盒</v>
      </c>
      <c r="H89" s="60">
        <f>IFERROR(VLOOKUP($F89,'基础-办公用品信息'!$C:$E,3,FALSE),"-")</f>
        <v>0</v>
      </c>
      <c r="I89" s="60">
        <v>1</v>
      </c>
      <c r="J89" s="60">
        <f>IFERROR(VLOOKUP($F89,'基础-办公用品信息'!$C:$F,4,FALSE),"-")</f>
        <v>13</v>
      </c>
      <c r="K89" s="60">
        <f t="shared" si="3"/>
        <v>13</v>
      </c>
      <c r="L89" s="87"/>
      <c r="M89" s="60">
        <f t="shared" si="4"/>
        <v>2022</v>
      </c>
      <c r="N89" s="60">
        <f t="shared" si="5"/>
        <v>11</v>
      </c>
    </row>
    <row r="90" customHeight="1" spans="2:14">
      <c r="B90" s="86">
        <v>87</v>
      </c>
      <c r="C90" s="125">
        <v>44893</v>
      </c>
      <c r="D90" s="87" t="s">
        <v>295</v>
      </c>
      <c r="E90" s="60" t="str">
        <f>IFERROR(VLOOKUP(D90,'基础-领用人及部门'!$C:$D,2,FALSE),"-")</f>
        <v>财务部</v>
      </c>
      <c r="F90" s="87" t="s">
        <v>62</v>
      </c>
      <c r="G90" s="60" t="str">
        <f>IFERROR(VLOOKUP($F90,'基础-办公用品信息'!$C:$E,2,FALSE),"-")</f>
        <v>盒</v>
      </c>
      <c r="H90" s="60">
        <f>IFERROR(VLOOKUP($F90,'基础-办公用品信息'!$C:$E,3,FALSE),"-")</f>
        <v>0</v>
      </c>
      <c r="I90" s="60">
        <v>1</v>
      </c>
      <c r="J90" s="60">
        <f>IFERROR(VLOOKUP($F90,'基础-办公用品信息'!$C:$F,4,FALSE),"-")</f>
        <v>0.7</v>
      </c>
      <c r="K90" s="60">
        <f t="shared" si="3"/>
        <v>0.7</v>
      </c>
      <c r="L90" s="87"/>
      <c r="M90" s="60">
        <f t="shared" si="4"/>
        <v>2022</v>
      </c>
      <c r="N90" s="60">
        <f t="shared" si="5"/>
        <v>11</v>
      </c>
    </row>
    <row r="91" customHeight="1" spans="2:14">
      <c r="B91" s="86">
        <v>88</v>
      </c>
      <c r="C91" s="125">
        <v>44893</v>
      </c>
      <c r="D91" s="87" t="s">
        <v>295</v>
      </c>
      <c r="E91" s="60" t="str">
        <f>IFERROR(VLOOKUP(D91,'基础-领用人及部门'!$C:$D,2,FALSE),"-")</f>
        <v>财务部</v>
      </c>
      <c r="F91" s="87" t="s">
        <v>41</v>
      </c>
      <c r="G91" s="60" t="str">
        <f>IFERROR(VLOOKUP($F91,'基础-办公用品信息'!$C:$E,2,FALSE),"-")</f>
        <v>支</v>
      </c>
      <c r="H91" s="60">
        <f>IFERROR(VLOOKUP($F91,'基础-办公用品信息'!$C:$E,3,FALSE),"-")</f>
        <v>0</v>
      </c>
      <c r="I91" s="60">
        <v>12</v>
      </c>
      <c r="J91" s="60">
        <f>IFERROR(VLOOKUP($F91,'基础-办公用品信息'!$C:$F,4,FALSE),"-")</f>
        <v>1.3</v>
      </c>
      <c r="K91" s="60">
        <f t="shared" si="3"/>
        <v>15.6</v>
      </c>
      <c r="L91" s="87"/>
      <c r="M91" s="60">
        <f t="shared" si="4"/>
        <v>2022</v>
      </c>
      <c r="N91" s="60">
        <f t="shared" si="5"/>
        <v>11</v>
      </c>
    </row>
    <row r="92" customHeight="1" spans="2:14">
      <c r="B92" s="86">
        <v>89</v>
      </c>
      <c r="C92" s="125">
        <v>44893</v>
      </c>
      <c r="D92" s="87" t="s">
        <v>295</v>
      </c>
      <c r="E92" s="60" t="str">
        <f>IFERROR(VLOOKUP(D92,'基础-领用人及部门'!$C:$D,2,FALSE),"-")</f>
        <v>财务部</v>
      </c>
      <c r="F92" s="87" t="s">
        <v>20</v>
      </c>
      <c r="G92" s="60" t="str">
        <f>IFERROR(VLOOKUP($F92,'基础-办公用品信息'!$C:$E,2,FALSE),"-")</f>
        <v>本</v>
      </c>
      <c r="H92" s="60">
        <f>IFERROR(VLOOKUP($F92,'基础-办公用品信息'!$C:$E,3,FALSE),"-")</f>
        <v>0</v>
      </c>
      <c r="I92" s="60">
        <v>1</v>
      </c>
      <c r="J92" s="60">
        <f>IFERROR(VLOOKUP($F92,'基础-办公用品信息'!$C:$F,4,FALSE),"-")</f>
        <v>7.5</v>
      </c>
      <c r="K92" s="60">
        <f t="shared" si="3"/>
        <v>7.5</v>
      </c>
      <c r="L92" s="87"/>
      <c r="M92" s="60">
        <f t="shared" si="4"/>
        <v>2022</v>
      </c>
      <c r="N92" s="60">
        <f t="shared" si="5"/>
        <v>11</v>
      </c>
    </row>
    <row r="93" customHeight="1" spans="2:14">
      <c r="B93" s="86">
        <v>90</v>
      </c>
      <c r="C93" s="125">
        <v>44893</v>
      </c>
      <c r="D93" s="87" t="s">
        <v>295</v>
      </c>
      <c r="E93" s="60" t="str">
        <f>IFERROR(VLOOKUP(D93,'基础-领用人及部门'!$C:$D,2,FALSE),"-")</f>
        <v>财务部</v>
      </c>
      <c r="F93" s="87" t="s">
        <v>52</v>
      </c>
      <c r="G93" s="60" t="str">
        <f>IFERROR(VLOOKUP($F93,'基础-办公用品信息'!$C:$E,2,FALSE),"-")</f>
        <v>支</v>
      </c>
      <c r="H93" s="60">
        <f>IFERROR(VLOOKUP($F93,'基础-办公用品信息'!$C:$E,3,FALSE),"-")</f>
        <v>0</v>
      </c>
      <c r="I93" s="60">
        <v>3</v>
      </c>
      <c r="J93" s="60" t="str">
        <f>IFERROR(VLOOKUP($F93,'基础-办公用品信息'!$C:$F,4,FALSE),"-")</f>
        <v>7元/盒</v>
      </c>
      <c r="K93" s="60" t="str">
        <f t="shared" si="3"/>
        <v/>
      </c>
      <c r="L93" s="87"/>
      <c r="M93" s="60">
        <f t="shared" si="4"/>
        <v>2022</v>
      </c>
      <c r="N93" s="60">
        <f t="shared" si="5"/>
        <v>11</v>
      </c>
    </row>
    <row r="94" customHeight="1" spans="2:14">
      <c r="B94" s="86">
        <v>91</v>
      </c>
      <c r="C94" s="125">
        <v>44893</v>
      </c>
      <c r="D94" s="87" t="s">
        <v>295</v>
      </c>
      <c r="E94" s="60" t="str">
        <f>IFERROR(VLOOKUP(D94,'基础-领用人及部门'!$C:$D,2,FALSE),"-")</f>
        <v>财务部</v>
      </c>
      <c r="F94" s="87" t="s">
        <v>56</v>
      </c>
      <c r="G94" s="60" t="str">
        <f>IFERROR(VLOOKUP($F94,'基础-办公用品信息'!$C:$E,2,FALSE),"-")</f>
        <v>个</v>
      </c>
      <c r="H94" s="60">
        <f>IFERROR(VLOOKUP($F94,'基础-办公用品信息'!$C:$E,3,FALSE),"-")</f>
        <v>0</v>
      </c>
      <c r="I94" s="60">
        <v>1</v>
      </c>
      <c r="J94" s="60">
        <f>IFERROR(VLOOKUP($F94,'基础-办公用品信息'!$C:$F,4,FALSE),"-")</f>
        <v>0</v>
      </c>
      <c r="K94" s="60">
        <f t="shared" si="3"/>
        <v>0</v>
      </c>
      <c r="L94" s="87"/>
      <c r="M94" s="60">
        <f t="shared" si="4"/>
        <v>2022</v>
      </c>
      <c r="N94" s="60">
        <f t="shared" si="5"/>
        <v>11</v>
      </c>
    </row>
    <row r="95" customHeight="1" spans="2:14">
      <c r="B95" s="86">
        <v>92</v>
      </c>
      <c r="C95" s="125">
        <v>44893</v>
      </c>
      <c r="D95" s="87" t="s">
        <v>295</v>
      </c>
      <c r="E95" s="60" t="str">
        <f>IFERROR(VLOOKUP(D95,'基础-领用人及部门'!$C:$D,2,FALSE),"-")</f>
        <v>财务部</v>
      </c>
      <c r="F95" s="87" t="s">
        <v>68</v>
      </c>
      <c r="G95" s="60" t="str">
        <f>IFERROR(VLOOKUP($F95,'基础-办公用品信息'!$C:$E,2,FALSE),"-")</f>
        <v>支</v>
      </c>
      <c r="H95" s="60">
        <f>IFERROR(VLOOKUP($F95,'基础-办公用品信息'!$C:$E,3,FALSE),"-")</f>
        <v>0</v>
      </c>
      <c r="I95" s="60">
        <v>4</v>
      </c>
      <c r="J95" s="60">
        <v>5</v>
      </c>
      <c r="K95" s="60">
        <f t="shared" si="3"/>
        <v>20</v>
      </c>
      <c r="L95" s="87"/>
      <c r="M95" s="60">
        <f>YEAR(C96)</f>
        <v>2022</v>
      </c>
      <c r="N95" s="60">
        <f>MONTH(C96)</f>
        <v>11</v>
      </c>
    </row>
    <row r="96" customHeight="1" spans="2:14">
      <c r="B96" s="86">
        <v>93</v>
      </c>
      <c r="C96" s="125">
        <v>44893</v>
      </c>
      <c r="D96" s="87" t="s">
        <v>339</v>
      </c>
      <c r="E96" s="60" t="str">
        <f>IFERROR(VLOOKUP(D96,'基础-领用人及部门'!$C:$D,2,FALSE),"-")</f>
        <v>技术部</v>
      </c>
      <c r="F96" s="87" t="s">
        <v>183</v>
      </c>
      <c r="G96" s="60" t="str">
        <f>IFERROR(VLOOKUP($F96,'基础-办公用品信息'!$C:$E,2,FALSE),"-")</f>
        <v>个</v>
      </c>
      <c r="H96" s="60">
        <f>IFERROR(VLOOKUP($F96,'基础-办公用品信息'!$C:$E,3,FALSE),"-")</f>
        <v>0</v>
      </c>
      <c r="I96" s="60">
        <v>1</v>
      </c>
      <c r="J96" s="60" t="str">
        <f>IFERROR(VLOOKUP($F96,'[2]基础-G98办公用品信息'!$C:$F,4,FALSE),"-")</f>
        <v>-</v>
      </c>
      <c r="K96" s="60" t="str">
        <f t="shared" si="3"/>
        <v/>
      </c>
      <c r="L96" s="87"/>
      <c r="M96" s="60">
        <f>YEAR(C97)</f>
        <v>2022</v>
      </c>
      <c r="N96" s="60">
        <f>MONTH(C97)</f>
        <v>11</v>
      </c>
    </row>
    <row r="97" customHeight="1" spans="2:14">
      <c r="B97" s="86">
        <v>94</v>
      </c>
      <c r="C97" s="125">
        <v>44893</v>
      </c>
      <c r="D97" s="87" t="s">
        <v>286</v>
      </c>
      <c r="E97" s="60" t="str">
        <f>IFERROR(VLOOKUP(D97,'基础-领用人及部门'!$C:$D,2,FALSE),"-")</f>
        <v>综合办</v>
      </c>
      <c r="F97" s="87" t="s">
        <v>103</v>
      </c>
      <c r="G97" s="60" t="str">
        <f>IFERROR(VLOOKUP($F97,'基础-办公用品信息'!$C:$E,2,FALSE),"-")</f>
        <v>本</v>
      </c>
      <c r="H97" s="60">
        <f>IFERROR(VLOOKUP($F97,'基础-办公用品信息'!$C:$E,3,FALSE),"-")</f>
        <v>0</v>
      </c>
      <c r="I97" s="60">
        <v>1</v>
      </c>
      <c r="J97" s="60">
        <f>IFERROR(VLOOKUP($F97,'基础-办公用品信息'!$C:$F,4,FALSE),"-")</f>
        <v>0</v>
      </c>
      <c r="K97" s="60">
        <f t="shared" si="3"/>
        <v>0</v>
      </c>
      <c r="L97" s="87"/>
      <c r="M97" s="60" t="e">
        <f>YEAR(#REF!)</f>
        <v>#REF!</v>
      </c>
      <c r="N97" s="60" t="e">
        <f>MONTH(#REF!)</f>
        <v>#REF!</v>
      </c>
    </row>
    <row r="98" customHeight="1" spans="2:14">
      <c r="B98" s="86">
        <v>95</v>
      </c>
      <c r="C98" s="125">
        <v>44893</v>
      </c>
      <c r="D98" s="87" t="s">
        <v>333</v>
      </c>
      <c r="E98" s="60" t="str">
        <f>IFERROR(VLOOKUP(D98,'基础-领用人及部门'!$C:$D,2,FALSE),"-")</f>
        <v>综合办</v>
      </c>
      <c r="F98" s="87" t="s">
        <v>185</v>
      </c>
      <c r="G98" s="60" t="str">
        <f>IFERROR(VLOOKUP($F98,'基础-办公用品信息'!$C:$E,2,FALSE),"-")</f>
        <v>根</v>
      </c>
      <c r="H98" s="60">
        <f>IFERROR(VLOOKUP($F98,'基础-办公用品信息'!$C:$E,3,FALSE),"-")</f>
        <v>0</v>
      </c>
      <c r="I98" s="60">
        <v>1</v>
      </c>
      <c r="J98" s="60">
        <f>IFERROR(VLOOKUP($F98,'基础-办公用品信息'!$C:$F,4,FALSE),"-")</f>
        <v>0</v>
      </c>
      <c r="K98" s="60">
        <f t="shared" si="3"/>
        <v>0</v>
      </c>
      <c r="L98" s="87"/>
      <c r="M98" s="60">
        <f t="shared" si="4"/>
        <v>2022</v>
      </c>
      <c r="N98" s="60">
        <f t="shared" si="5"/>
        <v>11</v>
      </c>
    </row>
    <row r="99" customHeight="1" spans="2:14">
      <c r="B99" s="86">
        <v>96</v>
      </c>
      <c r="C99" s="125">
        <v>44894</v>
      </c>
      <c r="D99" s="87" t="s">
        <v>267</v>
      </c>
      <c r="E99" s="60" t="str">
        <f>IFERROR(VLOOKUP(D99,'基础-领用人及部门'!$C:$D,2,FALSE),"-")</f>
        <v>综合办</v>
      </c>
      <c r="F99" s="87" t="s">
        <v>68</v>
      </c>
      <c r="G99" s="60" t="str">
        <f>IFERROR(VLOOKUP($F99,'基础-办公用品信息'!$C:$E,2,FALSE),"-")</f>
        <v>支</v>
      </c>
      <c r="H99" s="60">
        <f>IFERROR(VLOOKUP($F99,'基础-办公用品信息'!$C:$E,3,FALSE),"-")</f>
        <v>0</v>
      </c>
      <c r="I99" s="60">
        <v>2</v>
      </c>
      <c r="J99" s="60">
        <f>IFERROR(VLOOKUP($F99,'基础-办公用品信息'!$C:$F,4,FALSE),"-")</f>
        <v>1</v>
      </c>
      <c r="K99" s="60">
        <f t="shared" si="3"/>
        <v>2</v>
      </c>
      <c r="L99" s="87"/>
      <c r="M99" s="60">
        <f t="shared" si="4"/>
        <v>2022</v>
      </c>
      <c r="N99" s="60">
        <f t="shared" si="5"/>
        <v>11</v>
      </c>
    </row>
    <row r="100" customHeight="1" spans="2:14">
      <c r="B100" s="86">
        <v>97</v>
      </c>
      <c r="C100" s="125">
        <v>44894</v>
      </c>
      <c r="D100" s="87" t="s">
        <v>286</v>
      </c>
      <c r="E100" s="60" t="str">
        <f>IFERROR(VLOOKUP(D100,'基础-领用人及部门'!$C:$D,2,FALSE),"-")</f>
        <v>综合办</v>
      </c>
      <c r="F100" s="87" t="s">
        <v>68</v>
      </c>
      <c r="G100" s="60" t="str">
        <f>IFERROR(VLOOKUP($F100,'基础-办公用品信息'!$C:$E,2,FALSE),"-")</f>
        <v>支</v>
      </c>
      <c r="H100" s="60">
        <f>IFERROR(VLOOKUP($F100,'基础-办公用品信息'!$C:$E,3,FALSE),"-")</f>
        <v>0</v>
      </c>
      <c r="I100" s="60">
        <v>1</v>
      </c>
      <c r="J100" s="60">
        <f>IFERROR(VLOOKUP($F100,'基础-办公用品信息'!$C:$F,4,FALSE),"-")</f>
        <v>1</v>
      </c>
      <c r="K100" s="60">
        <f t="shared" si="3"/>
        <v>1</v>
      </c>
      <c r="L100" s="87"/>
      <c r="M100" s="60">
        <f t="shared" si="4"/>
        <v>2022</v>
      </c>
      <c r="N100" s="60">
        <f t="shared" si="5"/>
        <v>11</v>
      </c>
    </row>
    <row r="101" customHeight="1" spans="2:14">
      <c r="B101" s="86">
        <v>98</v>
      </c>
      <c r="C101" s="125">
        <v>44894</v>
      </c>
      <c r="D101" s="87" t="s">
        <v>286</v>
      </c>
      <c r="E101" s="60" t="str">
        <f>IFERROR(VLOOKUP(D101,'基础-领用人及部门'!$C:$D,2,FALSE),"-")</f>
        <v>综合办</v>
      </c>
      <c r="F101" s="87" t="s">
        <v>59</v>
      </c>
      <c r="G101" s="60" t="str">
        <f>IFERROR(VLOOKUP($F101,'基础-办公用品信息'!$C:$E,2,FALSE),"-")</f>
        <v>把</v>
      </c>
      <c r="H101" s="60">
        <f>IFERROR(VLOOKUP($F101,'基础-办公用品信息'!$C:$E,3,FALSE),"-")</f>
        <v>0</v>
      </c>
      <c r="I101" s="60">
        <v>1</v>
      </c>
      <c r="J101" s="60">
        <f>IFERROR(VLOOKUP($F101,'基础-办公用品信息'!$C:$F,4,FALSE),"-")</f>
        <v>3.5</v>
      </c>
      <c r="K101" s="60">
        <f t="shared" si="3"/>
        <v>3.5</v>
      </c>
      <c r="L101" s="87"/>
      <c r="M101" s="60">
        <f t="shared" si="4"/>
        <v>2022</v>
      </c>
      <c r="N101" s="60">
        <f t="shared" si="5"/>
        <v>11</v>
      </c>
    </row>
    <row r="102" customHeight="1" spans="2:14">
      <c r="B102" s="86">
        <v>99</v>
      </c>
      <c r="C102" s="125">
        <v>44894</v>
      </c>
      <c r="D102" s="87" t="s">
        <v>286</v>
      </c>
      <c r="E102" s="60" t="str">
        <f>IFERROR(VLOOKUP(D102,'基础-领用人及部门'!$C:$D,2,FALSE),"-")</f>
        <v>综合办</v>
      </c>
      <c r="F102" s="87" t="s">
        <v>11</v>
      </c>
      <c r="G102" s="60" t="str">
        <f>IFERROR(VLOOKUP($F102,'基础-办公用品信息'!$C:$E,2,FALSE),"-")</f>
        <v>包</v>
      </c>
      <c r="H102" s="60">
        <f>IFERROR(VLOOKUP($F102,'基础-办公用品信息'!$C:$E,3,FALSE),"-")</f>
        <v>0</v>
      </c>
      <c r="I102" s="60">
        <v>4</v>
      </c>
      <c r="J102" s="60">
        <f>IFERROR(VLOOKUP($F102,'基础-办公用品信息'!$C:$F,4,FALSE),"-")</f>
        <v>175</v>
      </c>
      <c r="K102" s="60">
        <f t="shared" si="3"/>
        <v>700</v>
      </c>
      <c r="L102" s="87"/>
      <c r="M102" s="60">
        <f t="shared" si="4"/>
        <v>2022</v>
      </c>
      <c r="N102" s="60">
        <f t="shared" si="5"/>
        <v>11</v>
      </c>
    </row>
    <row r="103" customHeight="1" spans="2:14">
      <c r="B103" s="86">
        <v>100</v>
      </c>
      <c r="C103" s="125">
        <v>44895</v>
      </c>
      <c r="D103" s="87" t="s">
        <v>263</v>
      </c>
      <c r="E103" s="60" t="str">
        <f>IFERROR(VLOOKUP(D103,'基础-领用人及部门'!$C:$D,2,FALSE),"-")</f>
        <v>综合办</v>
      </c>
      <c r="F103" s="87" t="s">
        <v>76</v>
      </c>
      <c r="G103" s="60" t="str">
        <f>IFERROR(VLOOKUP($F103,'基础-办公用品信息'!$C:$E,2,FALSE),"-")</f>
        <v>节</v>
      </c>
      <c r="H103" s="60">
        <f>IFERROR(VLOOKUP($F103,'基础-办公用品信息'!$C:$E,3,FALSE),"-")</f>
        <v>0</v>
      </c>
      <c r="I103" s="60">
        <v>3</v>
      </c>
      <c r="J103" s="60">
        <f>IFERROR(VLOOKUP($F103,'基础-办公用品信息'!$C:$F,4,FALSE),"-")</f>
        <v>0</v>
      </c>
      <c r="K103" s="60">
        <f t="shared" si="3"/>
        <v>0</v>
      </c>
      <c r="L103" s="87"/>
      <c r="M103" s="60">
        <f t="shared" si="4"/>
        <v>2022</v>
      </c>
      <c r="N103" s="60">
        <f t="shared" si="5"/>
        <v>11</v>
      </c>
    </row>
    <row r="104" customHeight="1" spans="2:14">
      <c r="B104" s="86">
        <v>101</v>
      </c>
      <c r="C104" s="125">
        <v>44896</v>
      </c>
      <c r="D104" s="87" t="s">
        <v>286</v>
      </c>
      <c r="E104" s="60" t="str">
        <f>IFERROR(VLOOKUP(D104,'基础-领用人及部门'!$C:$D,2,FALSE),"-")</f>
        <v>综合办</v>
      </c>
      <c r="F104" s="87" t="s">
        <v>173</v>
      </c>
      <c r="G104" s="60" t="str">
        <f>IFERROR(VLOOKUP($F104,'基础-办公用品信息'!$C:$E,2,FALSE),"-")</f>
        <v>条</v>
      </c>
      <c r="H104" s="60">
        <f>IFERROR(VLOOKUP($F104,'基础-办公用品信息'!$C:$E,3,FALSE),"-")</f>
        <v>0</v>
      </c>
      <c r="I104" s="60">
        <v>2</v>
      </c>
      <c r="J104" s="60">
        <f>IFERROR(VLOOKUP($F104,'基础-办公用品信息'!$C:$F,4,FALSE),"-")</f>
        <v>0</v>
      </c>
      <c r="K104" s="60">
        <f t="shared" si="3"/>
        <v>0</v>
      </c>
      <c r="L104" s="87"/>
      <c r="M104" s="60">
        <f t="shared" si="4"/>
        <v>2022</v>
      </c>
      <c r="N104" s="60">
        <f t="shared" si="5"/>
        <v>12</v>
      </c>
    </row>
    <row r="105" customHeight="1" spans="2:14">
      <c r="B105" s="86">
        <v>102</v>
      </c>
      <c r="C105" s="125">
        <v>44896</v>
      </c>
      <c r="D105" s="87" t="s">
        <v>286</v>
      </c>
      <c r="E105" s="60" t="str">
        <f>IFERROR(VLOOKUP(D105,'基础-领用人及部门'!$C:$D,2,FALSE),"-")</f>
        <v>综合办</v>
      </c>
      <c r="F105" s="87" t="s">
        <v>133</v>
      </c>
      <c r="G105" s="60" t="str">
        <f>IFERROR(VLOOKUP($F105,'基础-办公用品信息'!$C:$E,2,FALSE),"-")</f>
        <v>包</v>
      </c>
      <c r="H105" s="60">
        <f>IFERROR(VLOOKUP($F105,'基础-办公用品信息'!$C:$E,3,FALSE),"-")</f>
        <v>0</v>
      </c>
      <c r="I105" s="60">
        <v>10</v>
      </c>
      <c r="J105" s="60">
        <f>IFERROR(VLOOKUP($F105,'基础-办公用品信息'!$C:$F,4,FALSE),"-")</f>
        <v>2.5</v>
      </c>
      <c r="K105" s="60">
        <f t="shared" si="3"/>
        <v>25</v>
      </c>
      <c r="L105" s="87"/>
      <c r="M105" s="60">
        <f t="shared" si="4"/>
        <v>2022</v>
      </c>
      <c r="N105" s="60">
        <f t="shared" si="5"/>
        <v>12</v>
      </c>
    </row>
    <row r="106" customHeight="1" spans="2:14">
      <c r="B106" s="86">
        <v>103</v>
      </c>
      <c r="C106" s="125">
        <v>44896</v>
      </c>
      <c r="D106" s="87" t="s">
        <v>333</v>
      </c>
      <c r="E106" s="60" t="str">
        <f>IFERROR(VLOOKUP(D106,'基础-领用人及部门'!$C:$D,2,FALSE),"-")</f>
        <v>综合办</v>
      </c>
      <c r="F106" s="87" t="s">
        <v>187</v>
      </c>
      <c r="G106" s="60" t="str">
        <f>IFERROR(VLOOKUP($F106,'基础-办公用品信息'!$C:$E,2,FALSE),"-")</f>
        <v>双</v>
      </c>
      <c r="H106" s="60">
        <f>IFERROR(VLOOKUP($F106,'基础-办公用品信息'!$C:$E,3,FALSE),"-")</f>
        <v>0</v>
      </c>
      <c r="I106" s="60">
        <v>1</v>
      </c>
      <c r="J106" s="60">
        <f>IFERROR(VLOOKUP($F106,'基础-办公用品信息'!$C:$F,4,FALSE),"-")</f>
        <v>0</v>
      </c>
      <c r="K106" s="60">
        <f t="shared" si="3"/>
        <v>0</v>
      </c>
      <c r="L106" s="87"/>
      <c r="M106" s="60">
        <f t="shared" si="4"/>
        <v>2022</v>
      </c>
      <c r="N106" s="60">
        <f t="shared" si="5"/>
        <v>12</v>
      </c>
    </row>
    <row r="107" customHeight="1" spans="2:14">
      <c r="B107" s="86">
        <v>104</v>
      </c>
      <c r="C107" s="125">
        <v>44897</v>
      </c>
      <c r="D107" s="87" t="s">
        <v>310</v>
      </c>
      <c r="E107" s="60" t="str">
        <f>IFERROR(VLOOKUP(D107,'基础-领用人及部门'!$C:$D,2,FALSE),"-")</f>
        <v>技术部</v>
      </c>
      <c r="F107" s="87" t="s">
        <v>74</v>
      </c>
      <c r="G107" s="60" t="str">
        <f>IFERROR(VLOOKUP($F107,'基础-办公用品信息'!$C:$E,2,FALSE),"-")</f>
        <v>节</v>
      </c>
      <c r="H107" s="60">
        <f>IFERROR(VLOOKUP($F107,'基础-办公用品信息'!$C:$E,3,FALSE),"-")</f>
        <v>0</v>
      </c>
      <c r="I107" s="60">
        <v>2</v>
      </c>
      <c r="J107" s="60">
        <f>IFERROR(VLOOKUP($F107,'基础-办公用品信息'!$C:$F,4,FALSE),"-")</f>
        <v>2.1</v>
      </c>
      <c r="K107" s="60">
        <f t="shared" si="3"/>
        <v>4.2</v>
      </c>
      <c r="L107" s="87"/>
      <c r="M107" s="60">
        <f t="shared" si="4"/>
        <v>2022</v>
      </c>
      <c r="N107" s="60">
        <f t="shared" si="5"/>
        <v>12</v>
      </c>
    </row>
    <row r="108" customHeight="1" spans="2:14">
      <c r="B108" s="86">
        <v>105</v>
      </c>
      <c r="C108" s="125">
        <v>44897</v>
      </c>
      <c r="D108" s="87" t="s">
        <v>319</v>
      </c>
      <c r="E108" s="60" t="str">
        <f>IFERROR(VLOOKUP(D108,'基础-领用人及部门'!$C:$D,2,FALSE),"-")</f>
        <v>成本部</v>
      </c>
      <c r="F108" s="87" t="s">
        <v>111</v>
      </c>
      <c r="G108" s="60" t="str">
        <f>IFERROR(VLOOKUP($F108,'基础-办公用品信息'!$C:$E,2,FALSE),"-")</f>
        <v>包</v>
      </c>
      <c r="H108" s="60">
        <f>IFERROR(VLOOKUP($F108,'基础-办公用品信息'!$C:$E,3,FALSE),"-")</f>
        <v>0</v>
      </c>
      <c r="I108" s="60">
        <v>10</v>
      </c>
      <c r="J108" s="60">
        <f>IFERROR(VLOOKUP($F108,'基础-办公用品信息'!$C:$F,4,FALSE),"-")</f>
        <v>0.3</v>
      </c>
      <c r="K108" s="60">
        <f t="shared" si="3"/>
        <v>3</v>
      </c>
      <c r="L108" s="87"/>
      <c r="M108" s="60">
        <f t="shared" si="4"/>
        <v>2022</v>
      </c>
      <c r="N108" s="60">
        <f t="shared" si="5"/>
        <v>12</v>
      </c>
    </row>
    <row r="109" customHeight="1" spans="2:14">
      <c r="B109" s="86">
        <v>106</v>
      </c>
      <c r="C109" s="125">
        <v>44897</v>
      </c>
      <c r="D109" s="87" t="s">
        <v>270</v>
      </c>
      <c r="E109" s="60" t="str">
        <f>IFERROR(VLOOKUP(D109,'基础-领用人及部门'!$C:$D,2,FALSE),"-")</f>
        <v>综合办</v>
      </c>
      <c r="F109" s="87" t="s">
        <v>11</v>
      </c>
      <c r="G109" s="60" t="str">
        <f>IFERROR(VLOOKUP($F109,'基础-办公用品信息'!$C:$E,2,FALSE),"-")</f>
        <v>包</v>
      </c>
      <c r="H109" s="60">
        <f>IFERROR(VLOOKUP($F109,'基础-办公用品信息'!$C:$E,3,FALSE),"-")</f>
        <v>0</v>
      </c>
      <c r="I109" s="60">
        <v>8</v>
      </c>
      <c r="J109" s="60">
        <f>IFERROR(VLOOKUP($F109,'基础-办公用品信息'!$C:$F,4,FALSE),"-")</f>
        <v>175</v>
      </c>
      <c r="K109" s="60">
        <f t="shared" si="3"/>
        <v>1400</v>
      </c>
      <c r="L109" s="87"/>
      <c r="M109" s="60">
        <f t="shared" si="4"/>
        <v>2022</v>
      </c>
      <c r="N109" s="60">
        <f t="shared" si="5"/>
        <v>12</v>
      </c>
    </row>
    <row r="110" customHeight="1" spans="2:14">
      <c r="B110" s="86">
        <v>107</v>
      </c>
      <c r="C110" s="125">
        <v>44897</v>
      </c>
      <c r="D110" s="87" t="s">
        <v>270</v>
      </c>
      <c r="E110" s="60" t="str">
        <f>IFERROR(VLOOKUP(D110,'基础-领用人及部门'!$C:$D,2,FALSE),"-")</f>
        <v>综合办</v>
      </c>
      <c r="F110" s="87" t="s">
        <v>111</v>
      </c>
      <c r="G110" s="60" t="str">
        <f>IFERROR(VLOOKUP($F110,'基础-办公用品信息'!$C:$E,2,FALSE),"-")</f>
        <v>包</v>
      </c>
      <c r="H110" s="60">
        <f>IFERROR(VLOOKUP($F110,'基础-办公用品信息'!$C:$E,3,FALSE),"-")</f>
        <v>0</v>
      </c>
      <c r="I110" s="60">
        <v>10</v>
      </c>
      <c r="J110" s="60">
        <f>IFERROR(VLOOKUP($F110,'基础-办公用品信息'!$C:$F,4,FALSE),"-")</f>
        <v>0.3</v>
      </c>
      <c r="K110" s="60">
        <f t="shared" si="3"/>
        <v>3</v>
      </c>
      <c r="L110" s="87"/>
      <c r="M110" s="60">
        <f t="shared" si="4"/>
        <v>2022</v>
      </c>
      <c r="N110" s="60">
        <f t="shared" si="5"/>
        <v>12</v>
      </c>
    </row>
    <row r="111" customHeight="1" spans="2:14">
      <c r="B111" s="86">
        <v>108</v>
      </c>
      <c r="C111" s="125">
        <v>44897</v>
      </c>
      <c r="D111" s="87" t="s">
        <v>268</v>
      </c>
      <c r="E111" s="60" t="str">
        <f>IFERROR(VLOOKUP(D111,'基础-领用人及部门'!$C:$D,2,FALSE),"-")</f>
        <v>综合办</v>
      </c>
      <c r="F111" s="87" t="s">
        <v>188</v>
      </c>
      <c r="G111" s="60" t="str">
        <f>IFERROR(VLOOKUP($F111,'基础-办公用品信息'!$C:$E,2,FALSE),"-")</f>
        <v>卷</v>
      </c>
      <c r="H111" s="60">
        <f>IFERROR(VLOOKUP($F111,'基础-办公用品信息'!$C:$E,3,FALSE),"-")</f>
        <v>0</v>
      </c>
      <c r="I111" s="60">
        <v>1</v>
      </c>
      <c r="J111" s="60">
        <f>IFERROR(VLOOKUP($F111,'基础-办公用品信息'!$C:$F,4,FALSE),"-")</f>
        <v>0</v>
      </c>
      <c r="K111" s="60">
        <f t="shared" si="3"/>
        <v>0</v>
      </c>
      <c r="L111" s="87"/>
      <c r="M111" s="60">
        <f t="shared" si="4"/>
        <v>2022</v>
      </c>
      <c r="N111" s="60">
        <f t="shared" si="5"/>
        <v>12</v>
      </c>
    </row>
    <row r="112" customHeight="1" spans="2:14">
      <c r="B112" s="86">
        <v>109</v>
      </c>
      <c r="C112" s="125">
        <v>44900</v>
      </c>
      <c r="D112" s="87" t="s">
        <v>339</v>
      </c>
      <c r="E112" s="60" t="str">
        <f>IFERROR(VLOOKUP(D112,'基础-领用人及部门'!$C:$D,2,FALSE),"-")</f>
        <v>技术部</v>
      </c>
      <c r="F112" s="87" t="s">
        <v>180</v>
      </c>
      <c r="G112" s="60" t="str">
        <f>IFERROR(VLOOKUP($F112,'基础-办公用品信息'!$C:$E,2,FALSE),"-")</f>
        <v>顶</v>
      </c>
      <c r="H112" s="60">
        <f>IFERROR(VLOOKUP($F112,'基础-办公用品信息'!$C:$E,3,FALSE),"-")</f>
        <v>0</v>
      </c>
      <c r="I112" s="60">
        <v>1</v>
      </c>
      <c r="J112" s="60">
        <f>IFERROR(VLOOKUP($F112,'基础-办公用品信息'!$C:$F,4,FALSE),"-")</f>
        <v>0</v>
      </c>
      <c r="K112" s="60">
        <f t="shared" si="3"/>
        <v>0</v>
      </c>
      <c r="L112" s="87"/>
      <c r="M112" s="60">
        <f t="shared" si="4"/>
        <v>2022</v>
      </c>
      <c r="N112" s="60">
        <f t="shared" si="5"/>
        <v>12</v>
      </c>
    </row>
    <row r="113" customHeight="1" spans="2:14">
      <c r="B113" s="86">
        <v>110</v>
      </c>
      <c r="C113" s="125">
        <v>44900</v>
      </c>
      <c r="D113" s="87" t="s">
        <v>280</v>
      </c>
      <c r="E113" s="60" t="str">
        <f>IFERROR(VLOOKUP(D113,'基础-领用人及部门'!$C:$D,2,FALSE),"-")</f>
        <v>综合办</v>
      </c>
      <c r="F113" s="87" t="s">
        <v>187</v>
      </c>
      <c r="G113" s="60" t="str">
        <f>IFERROR(VLOOKUP($F113,'基础-办公用品信息'!$C:$E,2,FALSE),"-")</f>
        <v>双</v>
      </c>
      <c r="H113" s="60">
        <f>IFERROR(VLOOKUP($F113,'基础-办公用品信息'!$C:$E,3,FALSE),"-")</f>
        <v>0</v>
      </c>
      <c r="I113" s="60">
        <v>1</v>
      </c>
      <c r="J113" s="60">
        <f>IFERROR(VLOOKUP($F113,'基础-办公用品信息'!$C:$F,4,FALSE),"-")</f>
        <v>0</v>
      </c>
      <c r="K113" s="60">
        <f t="shared" si="3"/>
        <v>0</v>
      </c>
      <c r="L113" s="87"/>
      <c r="M113" s="60">
        <f t="shared" si="4"/>
        <v>2022</v>
      </c>
      <c r="N113" s="60">
        <f t="shared" si="5"/>
        <v>12</v>
      </c>
    </row>
    <row r="114" customHeight="1" spans="2:14">
      <c r="B114" s="86">
        <v>111</v>
      </c>
      <c r="C114" s="125">
        <v>44901</v>
      </c>
      <c r="D114" s="87" t="s">
        <v>268</v>
      </c>
      <c r="E114" s="60" t="str">
        <f>IFERROR(VLOOKUP(D114,'基础-领用人及部门'!$C:$D,2,FALSE),"-")</f>
        <v>综合办</v>
      </c>
      <c r="F114" s="87" t="s">
        <v>111</v>
      </c>
      <c r="G114" s="60" t="str">
        <f>IFERROR(VLOOKUP($F114,'基础-办公用品信息'!$C:$E,2,FALSE),"-")</f>
        <v>包</v>
      </c>
      <c r="H114" s="60">
        <f>IFERROR(VLOOKUP($F114,'基础-办公用品信息'!$C:$E,3,FALSE),"-")</f>
        <v>0</v>
      </c>
      <c r="I114" s="60">
        <v>2</v>
      </c>
      <c r="J114" s="60">
        <f>IFERROR(VLOOKUP($F114,'基础-办公用品信息'!$C:$F,4,FALSE),"-")</f>
        <v>0.3</v>
      </c>
      <c r="K114" s="60">
        <f t="shared" si="3"/>
        <v>0.6</v>
      </c>
      <c r="L114" s="87"/>
      <c r="M114" s="60">
        <f t="shared" si="4"/>
        <v>2022</v>
      </c>
      <c r="N114" s="60">
        <f t="shared" si="5"/>
        <v>12</v>
      </c>
    </row>
    <row r="115" customHeight="1" spans="2:14">
      <c r="B115" s="86">
        <v>112</v>
      </c>
      <c r="C115" s="125">
        <v>44901</v>
      </c>
      <c r="D115" s="87" t="s">
        <v>333</v>
      </c>
      <c r="E115" s="60" t="str">
        <f>IFERROR(VLOOKUP(D115,'基础-领用人及部门'!$C:$D,2,FALSE),"-")</f>
        <v>综合办</v>
      </c>
      <c r="F115" s="87" t="s">
        <v>190</v>
      </c>
      <c r="G115" s="60" t="str">
        <f>IFERROR(VLOOKUP($F115,'基础-办公用品信息'!$C:$E,2,FALSE),"-")</f>
        <v>卷</v>
      </c>
      <c r="H115" s="60">
        <f>IFERROR(VLOOKUP($F115,'基础-办公用品信息'!$C:$E,3,FALSE),"-")</f>
        <v>0</v>
      </c>
      <c r="I115" s="60">
        <v>20</v>
      </c>
      <c r="J115" s="60">
        <f>IFERROR(VLOOKUP($F115,'基础-办公用品信息'!$C:$F,4,FALSE),"-")</f>
        <v>0</v>
      </c>
      <c r="K115" s="60">
        <f t="shared" si="3"/>
        <v>0</v>
      </c>
      <c r="L115" s="87"/>
      <c r="M115" s="60">
        <f t="shared" si="4"/>
        <v>2022</v>
      </c>
      <c r="N115" s="60">
        <f t="shared" si="5"/>
        <v>12</v>
      </c>
    </row>
    <row r="116" customHeight="1" spans="2:14">
      <c r="B116" s="86">
        <v>113</v>
      </c>
      <c r="C116" s="125">
        <v>44901</v>
      </c>
      <c r="D116" s="87" t="s">
        <v>288</v>
      </c>
      <c r="E116" s="60" t="str">
        <f>IFERROR(VLOOKUP(D116,'基础-领用人及部门'!$C:$D,2,FALSE),"-")</f>
        <v>综合办</v>
      </c>
      <c r="F116" s="87" t="s">
        <v>67</v>
      </c>
      <c r="G116" s="60" t="str">
        <f>IFERROR(VLOOKUP($F116,'基础-办公用品信息'!$C:$E,2,FALSE),"-")</f>
        <v>支</v>
      </c>
      <c r="H116" s="60">
        <f>IFERROR(VLOOKUP($F116,'基础-办公用品信息'!$C:$E,3,FALSE),"-")</f>
        <v>0</v>
      </c>
      <c r="I116" s="60">
        <v>1</v>
      </c>
      <c r="J116" s="60">
        <f>IFERROR(VLOOKUP($F116,'基础-办公用品信息'!$C:$F,4,FALSE),"-")</f>
        <v>1</v>
      </c>
      <c r="K116" s="60">
        <f t="shared" si="3"/>
        <v>1</v>
      </c>
      <c r="L116" s="87"/>
      <c r="M116" s="60">
        <f t="shared" si="4"/>
        <v>2022</v>
      </c>
      <c r="N116" s="60">
        <f t="shared" si="5"/>
        <v>12</v>
      </c>
    </row>
    <row r="117" customHeight="1" spans="2:14">
      <c r="B117" s="86">
        <v>114</v>
      </c>
      <c r="C117" s="125">
        <v>44902</v>
      </c>
      <c r="D117" s="87" t="s">
        <v>305</v>
      </c>
      <c r="E117" s="60" t="str">
        <f>IFERROR(VLOOKUP(D117,'基础-领用人及部门'!$C:$D,2,FALSE),"-")</f>
        <v>招采部</v>
      </c>
      <c r="F117" s="87" t="s">
        <v>30</v>
      </c>
      <c r="G117" s="60" t="str">
        <f>IFERROR(VLOOKUP($F117,'基础-办公用品信息'!$C:$E,2,FALSE),"-")</f>
        <v>只</v>
      </c>
      <c r="H117" s="60">
        <f>IFERROR(VLOOKUP($F117,'基础-办公用品信息'!$C:$E,3,FALSE),"-")</f>
        <v>0</v>
      </c>
      <c r="I117" s="60">
        <v>20</v>
      </c>
      <c r="J117" s="60">
        <f>IFERROR(VLOOKUP($F117,'基础-办公用品信息'!$C:$F,4,FALSE),"-")</f>
        <v>0</v>
      </c>
      <c r="K117" s="60">
        <f t="shared" si="3"/>
        <v>0</v>
      </c>
      <c r="L117" s="87"/>
      <c r="M117" s="60">
        <f t="shared" si="4"/>
        <v>2022</v>
      </c>
      <c r="N117" s="60">
        <f t="shared" si="5"/>
        <v>12</v>
      </c>
    </row>
    <row r="118" customHeight="1" spans="2:14">
      <c r="B118" s="86">
        <v>115</v>
      </c>
      <c r="C118" s="125">
        <v>44902</v>
      </c>
      <c r="D118" s="87" t="s">
        <v>300</v>
      </c>
      <c r="E118" s="60" t="str">
        <f>IFERROR(VLOOKUP(D118,'基础-领用人及部门'!$C:$D,2,FALSE),"-")</f>
        <v>财务部</v>
      </c>
      <c r="F118" s="87" t="s">
        <v>63</v>
      </c>
      <c r="G118" s="60" t="str">
        <f>IFERROR(VLOOKUP($F118,'基础-办公用品信息'!$C:$E,2,FALSE),"-")</f>
        <v>盒</v>
      </c>
      <c r="H118" s="60">
        <f>IFERROR(VLOOKUP($F118,'基础-办公用品信息'!$C:$E,3,FALSE),"-")</f>
        <v>0</v>
      </c>
      <c r="I118" s="60">
        <v>2</v>
      </c>
      <c r="J118" s="60">
        <f>IFERROR(VLOOKUP($F118,'基础-办公用品信息'!$C:$F,4,FALSE),"-")</f>
        <v>0.7</v>
      </c>
      <c r="K118" s="60">
        <f t="shared" si="3"/>
        <v>1.4</v>
      </c>
      <c r="L118" s="87"/>
      <c r="M118" s="60">
        <f t="shared" si="4"/>
        <v>2022</v>
      </c>
      <c r="N118" s="60">
        <f t="shared" si="5"/>
        <v>12</v>
      </c>
    </row>
    <row r="119" customHeight="1" spans="2:14">
      <c r="B119" s="86">
        <v>116</v>
      </c>
      <c r="C119" s="125">
        <v>44902</v>
      </c>
      <c r="D119" s="87" t="s">
        <v>300</v>
      </c>
      <c r="E119" s="60" t="str">
        <f>IFERROR(VLOOKUP(D119,'基础-领用人及部门'!$C:$D,2,FALSE),"-")</f>
        <v>财务部</v>
      </c>
      <c r="F119" s="87" t="s">
        <v>79</v>
      </c>
      <c r="G119" s="60" t="str">
        <f>IFERROR(VLOOKUP($F119,'基础-办公用品信息'!$C:$E,2,FALSE),"-")</f>
        <v>盒</v>
      </c>
      <c r="H119" s="60">
        <f>IFERROR(VLOOKUP($F119,'基础-办公用品信息'!$C:$E,3,FALSE),"-")</f>
        <v>0</v>
      </c>
      <c r="I119" s="60">
        <v>2</v>
      </c>
      <c r="J119" s="60">
        <f>IFERROR(VLOOKUP($F119,'基础-办公用品信息'!$C:$F,4,FALSE),"-")</f>
        <v>11</v>
      </c>
      <c r="K119" s="60">
        <f t="shared" si="3"/>
        <v>22</v>
      </c>
      <c r="L119" s="87"/>
      <c r="M119" s="60">
        <f t="shared" si="4"/>
        <v>2022</v>
      </c>
      <c r="N119" s="60">
        <f t="shared" si="5"/>
        <v>12</v>
      </c>
    </row>
    <row r="120" customHeight="1" spans="2:14">
      <c r="B120" s="86">
        <v>117</v>
      </c>
      <c r="C120" s="125">
        <v>44902</v>
      </c>
      <c r="D120" s="87" t="s">
        <v>300</v>
      </c>
      <c r="E120" s="60" t="str">
        <f>IFERROR(VLOOKUP(D120,'基础-领用人及部门'!$C:$D,2,FALSE),"-")</f>
        <v>财务部</v>
      </c>
      <c r="F120" s="87" t="s">
        <v>98</v>
      </c>
      <c r="G120" s="60" t="str">
        <f>IFERROR(VLOOKUP($F120,'基础-办公用品信息'!$C:$E,2,FALSE),"-")</f>
        <v>包</v>
      </c>
      <c r="H120" s="60">
        <f>IFERROR(VLOOKUP($F120,'基础-办公用品信息'!$C:$E,3,FALSE),"-")</f>
        <v>0</v>
      </c>
      <c r="I120" s="60">
        <v>1</v>
      </c>
      <c r="J120" s="60">
        <f>IFERROR(VLOOKUP($F120,'基础-办公用品信息'!$C:$F,4,FALSE),"-")</f>
        <v>0</v>
      </c>
      <c r="K120" s="60">
        <f t="shared" si="3"/>
        <v>0</v>
      </c>
      <c r="L120" s="87"/>
      <c r="M120" s="60">
        <f t="shared" si="4"/>
        <v>2022</v>
      </c>
      <c r="N120" s="60">
        <f t="shared" si="5"/>
        <v>12</v>
      </c>
    </row>
    <row r="121" customHeight="1" spans="2:14">
      <c r="B121" s="86">
        <v>118</v>
      </c>
      <c r="C121" s="125">
        <v>44902</v>
      </c>
      <c r="D121" s="87" t="s">
        <v>278</v>
      </c>
      <c r="E121" s="60" t="str">
        <f>IFERROR(VLOOKUP(D121,'基础-领用人及部门'!$C:$D,2,FALSE),"-")</f>
        <v>综合办</v>
      </c>
      <c r="F121" s="87" t="s">
        <v>187</v>
      </c>
      <c r="G121" s="60" t="str">
        <f>IFERROR(VLOOKUP($F121,'基础-办公用品信息'!$C:$E,2,FALSE),"-")</f>
        <v>双</v>
      </c>
      <c r="H121" s="60">
        <f>IFERROR(VLOOKUP($F121,'基础-办公用品信息'!$C:$E,3,FALSE),"-")</f>
        <v>0</v>
      </c>
      <c r="I121" s="60">
        <v>1</v>
      </c>
      <c r="J121" s="60">
        <f>IFERROR(VLOOKUP($F121,'基础-办公用品信息'!$C:$F,4,FALSE),"-")</f>
        <v>0</v>
      </c>
      <c r="K121" s="60">
        <f t="shared" si="3"/>
        <v>0</v>
      </c>
      <c r="L121" s="87"/>
      <c r="M121" s="60">
        <f t="shared" si="4"/>
        <v>2022</v>
      </c>
      <c r="N121" s="60">
        <f t="shared" si="5"/>
        <v>12</v>
      </c>
    </row>
    <row r="122" customHeight="1" spans="2:14">
      <c r="B122" s="86">
        <v>119</v>
      </c>
      <c r="C122" s="125">
        <v>44902</v>
      </c>
      <c r="D122" s="87" t="s">
        <v>268</v>
      </c>
      <c r="E122" s="60" t="str">
        <f>IFERROR(VLOOKUP(D122,'基础-领用人及部门'!$C:$D,2,FALSE),"-")</f>
        <v>综合办</v>
      </c>
      <c r="F122" s="87" t="s">
        <v>30</v>
      </c>
      <c r="G122" s="60" t="str">
        <f>IFERROR(VLOOKUP($F122,'基础-办公用品信息'!$C:$E,2,FALSE),"-")</f>
        <v>只</v>
      </c>
      <c r="H122" s="60">
        <f>IFERROR(VLOOKUP($F122,'基础-办公用品信息'!$C:$E,3,FALSE),"-")</f>
        <v>0</v>
      </c>
      <c r="I122" s="60">
        <v>20</v>
      </c>
      <c r="J122" s="60">
        <f>IFERROR(VLOOKUP($F122,'基础-办公用品信息'!$C:$F,4,FALSE),"-")</f>
        <v>0</v>
      </c>
      <c r="K122" s="60">
        <f t="shared" si="3"/>
        <v>0</v>
      </c>
      <c r="L122" s="87"/>
      <c r="M122" s="60">
        <f t="shared" si="4"/>
        <v>2022</v>
      </c>
      <c r="N122" s="60">
        <f t="shared" si="5"/>
        <v>12</v>
      </c>
    </row>
    <row r="123" customHeight="1" spans="2:14">
      <c r="B123" s="86">
        <v>120</v>
      </c>
      <c r="C123" s="125">
        <v>44907</v>
      </c>
      <c r="D123" s="87" t="s">
        <v>272</v>
      </c>
      <c r="E123" s="60" t="str">
        <f>IFERROR(VLOOKUP(D123,'基础-领用人及部门'!$C:$D,2,FALSE),"-")</f>
        <v>综合办</v>
      </c>
      <c r="F123" s="87" t="s">
        <v>74</v>
      </c>
      <c r="G123" s="60" t="str">
        <f>IFERROR(VLOOKUP($F123,'基础-办公用品信息'!$C:$E,2,FALSE),"-")</f>
        <v>节</v>
      </c>
      <c r="H123" s="60">
        <f>IFERROR(VLOOKUP($F123,'基础-办公用品信息'!$C:$E,3,FALSE),"-")</f>
        <v>0</v>
      </c>
      <c r="I123" s="60">
        <v>2</v>
      </c>
      <c r="J123" s="60">
        <f>IFERROR(VLOOKUP($F123,'基础-办公用品信息'!$C:$F,4,FALSE),"-")</f>
        <v>2.1</v>
      </c>
      <c r="K123" s="60">
        <f t="shared" si="3"/>
        <v>4.2</v>
      </c>
      <c r="L123" s="87"/>
      <c r="M123" s="60">
        <f t="shared" si="4"/>
        <v>2022</v>
      </c>
      <c r="N123" s="60">
        <f t="shared" si="5"/>
        <v>12</v>
      </c>
    </row>
    <row r="124" customHeight="1" spans="2:14">
      <c r="B124" s="86">
        <v>121</v>
      </c>
      <c r="C124" s="125">
        <v>44907</v>
      </c>
      <c r="D124" s="87" t="s">
        <v>331</v>
      </c>
      <c r="E124" s="60" t="str">
        <f>IFERROR(VLOOKUP(D124,'基础-领用人及部门'!$C:$D,2,FALSE),"-")</f>
        <v>工程部</v>
      </c>
      <c r="F124" s="87" t="s">
        <v>41</v>
      </c>
      <c r="G124" s="60" t="str">
        <f>IFERROR(VLOOKUP($F124,'基础-办公用品信息'!$C:$E,2,FALSE),"-")</f>
        <v>支</v>
      </c>
      <c r="H124" s="60">
        <f>IFERROR(VLOOKUP($F124,'基础-办公用品信息'!$C:$E,3,FALSE),"-")</f>
        <v>0</v>
      </c>
      <c r="I124" s="60">
        <v>12</v>
      </c>
      <c r="J124" s="60">
        <f>IFERROR(VLOOKUP($F124,'基础-办公用品信息'!$C:$F,4,FALSE),"-")</f>
        <v>1.3</v>
      </c>
      <c r="K124" s="60">
        <f t="shared" si="3"/>
        <v>15.6</v>
      </c>
      <c r="L124" s="87"/>
      <c r="M124" s="60">
        <f t="shared" si="4"/>
        <v>2022</v>
      </c>
      <c r="N124" s="60">
        <f t="shared" si="5"/>
        <v>12</v>
      </c>
    </row>
    <row r="125" customHeight="1" spans="2:14">
      <c r="B125" s="86">
        <v>122</v>
      </c>
      <c r="C125" s="125">
        <v>44907</v>
      </c>
      <c r="D125" s="87" t="s">
        <v>330</v>
      </c>
      <c r="E125" s="60" t="str">
        <f>IFERROR(VLOOKUP(D125,'基础-领用人及部门'!$C:$D,2,FALSE),"-")</f>
        <v>工程部</v>
      </c>
      <c r="F125" s="87" t="s">
        <v>156</v>
      </c>
      <c r="G125" s="60" t="str">
        <f>IFERROR(VLOOKUP($F125,'基础-办公用品信息'!$C:$E,2,FALSE),"-")</f>
        <v>本</v>
      </c>
      <c r="H125" s="60">
        <f>IFERROR(VLOOKUP($F125,'基础-办公用品信息'!$C:$E,3,FALSE),"-")</f>
        <v>0</v>
      </c>
      <c r="I125" s="60">
        <v>2</v>
      </c>
      <c r="J125" s="60">
        <f>IFERROR(VLOOKUP($F125,'基础-办公用品信息'!$C:$F,4,FALSE),"-")</f>
        <v>1.2</v>
      </c>
      <c r="K125" s="60">
        <f t="shared" si="3"/>
        <v>2.4</v>
      </c>
      <c r="L125" s="87"/>
      <c r="M125" s="60">
        <f t="shared" si="4"/>
        <v>2022</v>
      </c>
      <c r="N125" s="60">
        <f t="shared" si="5"/>
        <v>12</v>
      </c>
    </row>
    <row r="126" customHeight="1" spans="2:14">
      <c r="B126" s="86">
        <v>123</v>
      </c>
      <c r="C126" s="125">
        <v>44907</v>
      </c>
      <c r="D126" s="87" t="s">
        <v>330</v>
      </c>
      <c r="E126" s="60" t="str">
        <f>IFERROR(VLOOKUP(D126,'基础-领用人及部门'!$C:$D,2,FALSE),"-")</f>
        <v>工程部</v>
      </c>
      <c r="F126" s="87" t="s">
        <v>101</v>
      </c>
      <c r="G126" s="60" t="str">
        <f>IFERROR(VLOOKUP($F126,'基础-办公用品信息'!$C:$E,2,FALSE),"-")</f>
        <v>本</v>
      </c>
      <c r="H126" s="60">
        <f>IFERROR(VLOOKUP($F126,'基础-办公用品信息'!$C:$E,3,FALSE),"-")</f>
        <v>0</v>
      </c>
      <c r="I126" s="60">
        <v>2</v>
      </c>
      <c r="J126" s="60">
        <f>IFERROR(VLOOKUP($F126,'基础-办公用品信息'!$C:$F,4,FALSE),"-")</f>
        <v>0</v>
      </c>
      <c r="K126" s="60">
        <f t="shared" si="3"/>
        <v>0</v>
      </c>
      <c r="L126" s="87"/>
      <c r="M126" s="60">
        <f t="shared" si="4"/>
        <v>2022</v>
      </c>
      <c r="N126" s="60">
        <f t="shared" si="5"/>
        <v>12</v>
      </c>
    </row>
    <row r="127" customHeight="1" spans="2:14">
      <c r="B127" s="86">
        <v>124</v>
      </c>
      <c r="C127" s="125">
        <v>44907</v>
      </c>
      <c r="D127" s="87" t="s">
        <v>286</v>
      </c>
      <c r="E127" s="60" t="str">
        <f>IFERROR(VLOOKUP(D127,'基础-领用人及部门'!$C:$D,2,FALSE),"-")</f>
        <v>综合办</v>
      </c>
      <c r="F127" s="87" t="s">
        <v>111</v>
      </c>
      <c r="G127" s="60" t="str">
        <f>IFERROR(VLOOKUP($F127,'基础-办公用品信息'!$C:$E,2,FALSE),"-")</f>
        <v>包</v>
      </c>
      <c r="H127" s="60">
        <f>IFERROR(VLOOKUP($F127,'基础-办公用品信息'!$C:$E,3,FALSE),"-")</f>
        <v>0</v>
      </c>
      <c r="I127" s="60">
        <v>15</v>
      </c>
      <c r="J127" s="60">
        <f>IFERROR(VLOOKUP($F127,'基础-办公用品信息'!$C:$F,4,FALSE),"-")</f>
        <v>0.3</v>
      </c>
      <c r="K127" s="60">
        <f t="shared" si="3"/>
        <v>4.5</v>
      </c>
      <c r="L127" s="87"/>
      <c r="M127" s="60">
        <f t="shared" si="4"/>
        <v>2022</v>
      </c>
      <c r="N127" s="60">
        <f t="shared" si="5"/>
        <v>12</v>
      </c>
    </row>
    <row r="128" customHeight="1" spans="2:14">
      <c r="B128" s="86">
        <v>125</v>
      </c>
      <c r="C128" s="125">
        <v>44907</v>
      </c>
      <c r="D128" s="87" t="s">
        <v>306</v>
      </c>
      <c r="E128" s="60" t="str">
        <f>IFERROR(VLOOKUP(D128,'基础-领用人及部门'!$C:$D,2,FALSE),"-")</f>
        <v>技术部</v>
      </c>
      <c r="F128" s="87" t="s">
        <v>133</v>
      </c>
      <c r="G128" s="60" t="str">
        <f>IFERROR(VLOOKUP($F128,'基础-办公用品信息'!$C:$E,2,FALSE),"-")</f>
        <v>包</v>
      </c>
      <c r="H128" s="60">
        <f>IFERROR(VLOOKUP($F128,'基础-办公用品信息'!$C:$E,3,FALSE),"-")</f>
        <v>0</v>
      </c>
      <c r="I128" s="60">
        <v>1</v>
      </c>
      <c r="J128" s="60">
        <f>IFERROR(VLOOKUP($F128,'基础-办公用品信息'!$C:$F,4,FALSE),"-")</f>
        <v>2.5</v>
      </c>
      <c r="K128" s="60">
        <f t="shared" si="3"/>
        <v>2.5</v>
      </c>
      <c r="L128" s="87"/>
      <c r="M128" s="60">
        <f t="shared" si="4"/>
        <v>2022</v>
      </c>
      <c r="N128" s="60">
        <f t="shared" si="5"/>
        <v>12</v>
      </c>
    </row>
    <row r="129" customHeight="1" spans="2:14">
      <c r="B129" s="86">
        <v>126</v>
      </c>
      <c r="C129" s="125">
        <v>44907</v>
      </c>
      <c r="D129" s="87" t="s">
        <v>292</v>
      </c>
      <c r="E129" s="60" t="str">
        <f>IFERROR(VLOOKUP(D129,'基础-领用人及部门'!$C:$D,2,FALSE),"-")</f>
        <v>财务部</v>
      </c>
      <c r="F129" s="87" t="s">
        <v>84</v>
      </c>
      <c r="G129" s="60" t="str">
        <f>IFERROR(VLOOKUP($F129,'基础-办公用品信息'!$C:$E,2,FALSE),"-")</f>
        <v>个</v>
      </c>
      <c r="H129" s="60">
        <f>IFERROR(VLOOKUP($F129,'基础-办公用品信息'!$C:$E,3,FALSE),"-")</f>
        <v>0</v>
      </c>
      <c r="I129" s="60">
        <v>1</v>
      </c>
      <c r="J129" s="60"/>
      <c r="K129" s="60">
        <f t="shared" si="3"/>
        <v>0</v>
      </c>
      <c r="L129" s="87"/>
      <c r="M129" s="60">
        <f t="shared" si="4"/>
        <v>2022</v>
      </c>
      <c r="N129" s="60">
        <f t="shared" si="5"/>
        <v>12</v>
      </c>
    </row>
    <row r="130" customHeight="1" spans="2:14">
      <c r="B130" s="86">
        <v>127</v>
      </c>
      <c r="C130" s="125">
        <v>44907</v>
      </c>
      <c r="D130" s="87" t="s">
        <v>315</v>
      </c>
      <c r="E130" s="60" t="str">
        <f>IFERROR(VLOOKUP(D130,'基础-领用人及部门'!$C:$D,2,FALSE),"-")</f>
        <v>成本部</v>
      </c>
      <c r="F130" s="87" t="s">
        <v>20</v>
      </c>
      <c r="G130" s="60" t="str">
        <f>IFERROR(VLOOKUP($F130,'基础-办公用品信息'!$C:$E,2,FALSE),"-")</f>
        <v>本</v>
      </c>
      <c r="H130" s="60">
        <f>IFERROR(VLOOKUP($F130,'基础-办公用品信息'!$C:$E,3,FALSE),"-")</f>
        <v>0</v>
      </c>
      <c r="I130" s="60">
        <v>1</v>
      </c>
      <c r="J130" s="60">
        <f>IFERROR(VLOOKUP($F130,'基础-办公用品信息'!$C:$F,4,FALSE),"-")</f>
        <v>7.5</v>
      </c>
      <c r="K130" s="60">
        <f t="shared" si="3"/>
        <v>7.5</v>
      </c>
      <c r="L130" s="87"/>
      <c r="M130" s="60">
        <f t="shared" si="4"/>
        <v>2022</v>
      </c>
      <c r="N130" s="60">
        <f t="shared" si="5"/>
        <v>12</v>
      </c>
    </row>
    <row r="131" customHeight="1" spans="2:14">
      <c r="B131" s="86">
        <v>128</v>
      </c>
      <c r="C131" s="125">
        <v>44907</v>
      </c>
      <c r="D131" s="87" t="s">
        <v>333</v>
      </c>
      <c r="E131" s="60" t="str">
        <f>IFERROR(VLOOKUP(D131,'基础-领用人及部门'!$C:$D,2,FALSE),"-")</f>
        <v>综合办</v>
      </c>
      <c r="F131" s="87" t="s">
        <v>170</v>
      </c>
      <c r="G131" s="60" t="str">
        <f>IFERROR(VLOOKUP($F131,'基础-办公用品信息'!$C:$E,2,FALSE),"-")</f>
        <v>个</v>
      </c>
      <c r="H131" s="60">
        <f>IFERROR(VLOOKUP($F131,'基础-办公用品信息'!$C:$E,3,FALSE),"-")</f>
        <v>0</v>
      </c>
      <c r="I131" s="60">
        <v>1</v>
      </c>
      <c r="J131" s="60">
        <f>IFERROR(VLOOKUP($F131,'基础-办公用品信息'!$C:$F,4,FALSE),"-")</f>
        <v>0</v>
      </c>
      <c r="K131" s="60">
        <f t="shared" si="3"/>
        <v>0</v>
      </c>
      <c r="L131" s="87"/>
      <c r="M131" s="60">
        <f t="shared" si="4"/>
        <v>2022</v>
      </c>
      <c r="N131" s="60">
        <f t="shared" si="5"/>
        <v>12</v>
      </c>
    </row>
    <row r="132" customHeight="1" spans="2:14">
      <c r="B132" s="86">
        <v>129</v>
      </c>
      <c r="C132" s="125">
        <v>44908</v>
      </c>
      <c r="D132" s="87" t="s">
        <v>331</v>
      </c>
      <c r="E132" s="60" t="str">
        <f>IFERROR(VLOOKUP(D132,'基础-领用人及部门'!$C:$D,2,FALSE),"-")</f>
        <v>工程部</v>
      </c>
      <c r="F132" s="87" t="s">
        <v>11</v>
      </c>
      <c r="G132" s="60" t="str">
        <f>IFERROR(VLOOKUP($F132,'基础-办公用品信息'!$C:$E,2,FALSE),"-")</f>
        <v>包</v>
      </c>
      <c r="H132" s="60">
        <f>IFERROR(VLOOKUP($F132,'基础-办公用品信息'!$C:$E,3,FALSE),"-")</f>
        <v>0</v>
      </c>
      <c r="I132" s="60">
        <v>8</v>
      </c>
      <c r="J132" s="60">
        <f>IFERROR(VLOOKUP($F132,'基础-办公用品信息'!$C:$F,4,FALSE),"-")</f>
        <v>175</v>
      </c>
      <c r="K132" s="60">
        <f t="shared" si="3"/>
        <v>1400</v>
      </c>
      <c r="L132" s="87"/>
      <c r="M132" s="60">
        <f t="shared" si="4"/>
        <v>2022</v>
      </c>
      <c r="N132" s="60">
        <f t="shared" si="5"/>
        <v>12</v>
      </c>
    </row>
    <row r="133" customHeight="1" spans="2:14">
      <c r="B133" s="86">
        <v>130</v>
      </c>
      <c r="C133" s="125">
        <v>44910</v>
      </c>
      <c r="D133" s="87" t="s">
        <v>288</v>
      </c>
      <c r="E133" s="60" t="str">
        <f>IFERROR(VLOOKUP(D133,'基础-领用人及部门'!$C:$D,2,FALSE),"-")</f>
        <v>综合办</v>
      </c>
      <c r="F133" s="87" t="s">
        <v>187</v>
      </c>
      <c r="G133" s="60" t="str">
        <f>IFERROR(VLOOKUP($F133,'基础-办公用品信息'!$C:$E,2,FALSE),"-")</f>
        <v>双</v>
      </c>
      <c r="H133" s="60">
        <f>IFERROR(VLOOKUP($F133,'基础-办公用品信息'!$C:$E,3,FALSE),"-")</f>
        <v>0</v>
      </c>
      <c r="I133" s="60">
        <v>1</v>
      </c>
      <c r="J133" s="60">
        <f>IFERROR(VLOOKUP($F133,'基础-办公用品信息'!$C:$F,4,FALSE),"-")</f>
        <v>0</v>
      </c>
      <c r="K133" s="60">
        <f t="shared" ref="K133:K196" si="6">IFERROR(I133*J133,"")</f>
        <v>0</v>
      </c>
      <c r="L133" s="87"/>
      <c r="M133" s="60">
        <f t="shared" ref="M133:M196" si="7">YEAR(C133)</f>
        <v>2022</v>
      </c>
      <c r="N133" s="60">
        <f t="shared" ref="N133:N196" si="8">MONTH(C133)</f>
        <v>12</v>
      </c>
    </row>
    <row r="134" customHeight="1" spans="2:14">
      <c r="B134" s="86">
        <v>131</v>
      </c>
      <c r="C134" s="125">
        <v>44909</v>
      </c>
      <c r="D134" s="87" t="s">
        <v>263</v>
      </c>
      <c r="E134" s="60" t="str">
        <f>IFERROR(VLOOKUP(D134,'基础-领用人及部门'!$C:$D,2,FALSE),"-")</f>
        <v>综合办</v>
      </c>
      <c r="F134" s="87" t="s">
        <v>74</v>
      </c>
      <c r="G134" s="60" t="str">
        <f>IFERROR(VLOOKUP($F134,'基础-办公用品信息'!$C:$E,2,FALSE),"-")</f>
        <v>节</v>
      </c>
      <c r="H134" s="60">
        <f>IFERROR(VLOOKUP($F134,'基础-办公用品信息'!$C:$E,3,FALSE),"-")</f>
        <v>0</v>
      </c>
      <c r="I134" s="60">
        <v>10</v>
      </c>
      <c r="J134" s="60">
        <f>IFERROR(VLOOKUP($F134,'基础-办公用品信息'!$C:$F,4,FALSE),"-")</f>
        <v>2.1</v>
      </c>
      <c r="K134" s="60">
        <f t="shared" si="6"/>
        <v>21</v>
      </c>
      <c r="L134" s="87"/>
      <c r="M134" s="60">
        <f t="shared" si="7"/>
        <v>2022</v>
      </c>
      <c r="N134" s="60">
        <f t="shared" si="8"/>
        <v>12</v>
      </c>
    </row>
    <row r="135" customHeight="1" spans="2:14">
      <c r="B135" s="86">
        <v>132</v>
      </c>
      <c r="C135" s="125">
        <v>44909</v>
      </c>
      <c r="D135" s="87" t="s">
        <v>340</v>
      </c>
      <c r="E135" s="60" t="str">
        <f>IFERROR(VLOOKUP(D135,'基础-领用人及部门'!$C:$D,2,FALSE),"-")</f>
        <v>综合办</v>
      </c>
      <c r="F135" s="87" t="s">
        <v>76</v>
      </c>
      <c r="G135" s="60" t="str">
        <f>IFERROR(VLOOKUP($F135,'基础-办公用品信息'!$C:$E,2,FALSE),"-")</f>
        <v>节</v>
      </c>
      <c r="H135" s="60">
        <f>IFERROR(VLOOKUP($F135,'基础-办公用品信息'!$C:$E,3,FALSE),"-")</f>
        <v>0</v>
      </c>
      <c r="I135" s="60">
        <v>30</v>
      </c>
      <c r="J135" s="60">
        <f>IFERROR(VLOOKUP($F135,'基础-办公用品信息'!$C:$F,4,FALSE),"-")</f>
        <v>0</v>
      </c>
      <c r="K135" s="60">
        <f t="shared" si="6"/>
        <v>0</v>
      </c>
      <c r="L135" s="87"/>
      <c r="M135" s="60">
        <f t="shared" si="7"/>
        <v>2022</v>
      </c>
      <c r="N135" s="60">
        <f t="shared" si="8"/>
        <v>12</v>
      </c>
    </row>
    <row r="136" customHeight="1" spans="2:14">
      <c r="B136" s="86">
        <v>133</v>
      </c>
      <c r="C136" s="125">
        <v>44910</v>
      </c>
      <c r="D136" s="87" t="s">
        <v>333</v>
      </c>
      <c r="E136" s="60" t="str">
        <f>IFERROR(VLOOKUP(D136,'基础-领用人及部门'!$C:$D,2,FALSE),"-")</f>
        <v>综合办</v>
      </c>
      <c r="F136" s="87" t="s">
        <v>190</v>
      </c>
      <c r="G136" s="60" t="str">
        <f>IFERROR(VLOOKUP($F136,'基础-办公用品信息'!$C:$E,2,FALSE),"-")</f>
        <v>卷</v>
      </c>
      <c r="H136" s="60">
        <f>IFERROR(VLOOKUP($F136,'基础-办公用品信息'!$C:$E,3,FALSE),"-")</f>
        <v>0</v>
      </c>
      <c r="I136" s="60">
        <v>20</v>
      </c>
      <c r="J136" s="60">
        <f>IFERROR(VLOOKUP($F136,'基础-办公用品信息'!$C:$F,4,FALSE),"-")</f>
        <v>0</v>
      </c>
      <c r="K136" s="60">
        <f t="shared" si="6"/>
        <v>0</v>
      </c>
      <c r="L136" s="87"/>
      <c r="M136" s="60">
        <f t="shared" si="7"/>
        <v>2022</v>
      </c>
      <c r="N136" s="60">
        <f t="shared" si="8"/>
        <v>12</v>
      </c>
    </row>
    <row r="137" customHeight="1" spans="2:14">
      <c r="B137" s="86">
        <v>134</v>
      </c>
      <c r="C137" s="125">
        <v>44910</v>
      </c>
      <c r="D137" s="87" t="s">
        <v>333</v>
      </c>
      <c r="E137" s="60" t="str">
        <f>IFERROR(VLOOKUP(D137,'基础-领用人及部门'!$C:$D,2,FALSE),"-")</f>
        <v>综合办</v>
      </c>
      <c r="F137" s="87" t="s">
        <v>132</v>
      </c>
      <c r="G137" s="60" t="str">
        <f>IFERROR(VLOOKUP($F137,'基础-办公用品信息'!$C:$E,2,FALSE),"-")</f>
        <v>盒</v>
      </c>
      <c r="H137" s="60">
        <f>IFERROR(VLOOKUP($F137,'基础-办公用品信息'!$C:$E,3,FALSE),"-")</f>
        <v>0</v>
      </c>
      <c r="I137" s="60">
        <v>3</v>
      </c>
      <c r="J137" s="60">
        <f>IFERROR(VLOOKUP($F137,'基础-办公用品信息'!$C:$F,4,FALSE),"-")</f>
        <v>5.3</v>
      </c>
      <c r="K137" s="60">
        <f t="shared" si="6"/>
        <v>15.9</v>
      </c>
      <c r="L137" s="87"/>
      <c r="M137" s="60">
        <f t="shared" si="7"/>
        <v>2022</v>
      </c>
      <c r="N137" s="60">
        <f t="shared" si="8"/>
        <v>12</v>
      </c>
    </row>
    <row r="138" customHeight="1" spans="2:14">
      <c r="B138" s="86">
        <v>135</v>
      </c>
      <c r="C138" s="125">
        <v>44910</v>
      </c>
      <c r="D138" s="87" t="s">
        <v>333</v>
      </c>
      <c r="E138" s="60" t="str">
        <f>IFERROR(VLOOKUP(D138,'基础-领用人及部门'!$C:$D,2,FALSE),"-")</f>
        <v>综合办</v>
      </c>
      <c r="F138" s="87" t="s">
        <v>130</v>
      </c>
      <c r="G138" s="60" t="str">
        <f>IFERROR(VLOOKUP($F138,'基础-办公用品信息'!$C:$E,2,FALSE),"-")</f>
        <v>提</v>
      </c>
      <c r="H138" s="60">
        <f>IFERROR(VLOOKUP($F138,'基础-办公用品信息'!$C:$E,3,FALSE),"-")</f>
        <v>0</v>
      </c>
      <c r="I138" s="60">
        <v>6</v>
      </c>
      <c r="J138" s="60">
        <f>IFERROR(VLOOKUP($F138,'基础-办公用品信息'!$C:$F,4,FALSE),"-")</f>
        <v>11.5</v>
      </c>
      <c r="K138" s="60">
        <f t="shared" si="6"/>
        <v>69</v>
      </c>
      <c r="L138" s="87"/>
      <c r="M138" s="60">
        <f t="shared" si="7"/>
        <v>2022</v>
      </c>
      <c r="N138" s="60">
        <f t="shared" si="8"/>
        <v>12</v>
      </c>
    </row>
    <row r="139" customHeight="1" spans="2:14">
      <c r="B139" s="86">
        <v>136</v>
      </c>
      <c r="C139" s="125">
        <v>44921</v>
      </c>
      <c r="D139" s="87" t="s">
        <v>286</v>
      </c>
      <c r="E139" s="60" t="str">
        <f>IFERROR(VLOOKUP(D139,'基础-领用人及部门'!$C:$D,2,FALSE),"-")</f>
        <v>综合办</v>
      </c>
      <c r="F139" s="87" t="s">
        <v>111</v>
      </c>
      <c r="G139" s="60" t="str">
        <f>IFERROR(VLOOKUP($F139,'基础-办公用品信息'!$C:$E,2,FALSE),"-")</f>
        <v>包</v>
      </c>
      <c r="H139" s="60">
        <f>IFERROR(VLOOKUP($F139,'基础-办公用品信息'!$C:$E,3,FALSE),"-")</f>
        <v>0</v>
      </c>
      <c r="I139" s="60">
        <v>18</v>
      </c>
      <c r="J139" s="60">
        <f>IFERROR(VLOOKUP($F139,'基础-办公用品信息'!$C:$F,4,FALSE),"-")</f>
        <v>0.3</v>
      </c>
      <c r="K139" s="60">
        <f t="shared" si="6"/>
        <v>5.4</v>
      </c>
      <c r="L139" s="87"/>
      <c r="M139" s="60">
        <f t="shared" si="7"/>
        <v>2022</v>
      </c>
      <c r="N139" s="60">
        <f t="shared" si="8"/>
        <v>12</v>
      </c>
    </row>
    <row r="140" customHeight="1" spans="2:14">
      <c r="B140" s="86">
        <v>137</v>
      </c>
      <c r="C140" s="125">
        <v>44921</v>
      </c>
      <c r="D140" s="127" t="s">
        <v>300</v>
      </c>
      <c r="E140" s="60" t="str">
        <f>IFERROR(VLOOKUP(D140,'基础-领用人及部门'!$C:$D,2,FALSE),"-")</f>
        <v>财务部</v>
      </c>
      <c r="F140" s="87" t="s">
        <v>102</v>
      </c>
      <c r="G140" s="60" t="str">
        <f>IFERROR(VLOOKUP($F140,'基础-办公用品信息'!$C:$E,2,FALSE),"-")</f>
        <v>本</v>
      </c>
      <c r="H140" s="60">
        <f>IFERROR(VLOOKUP($F140,'基础-办公用品信息'!$C:$E,3,FALSE),"-")</f>
        <v>0</v>
      </c>
      <c r="I140" s="60">
        <v>35</v>
      </c>
      <c r="J140" s="60">
        <f>IFERROR(VLOOKUP($F140,'基础-办公用品信息'!$C:$F,4,FALSE),"-")</f>
        <v>1.5</v>
      </c>
      <c r="K140" s="60">
        <f t="shared" si="6"/>
        <v>52.5</v>
      </c>
      <c r="L140" s="87"/>
      <c r="M140" s="60">
        <f t="shared" si="7"/>
        <v>2022</v>
      </c>
      <c r="N140" s="60">
        <f t="shared" si="8"/>
        <v>12</v>
      </c>
    </row>
    <row r="141" customHeight="1" spans="2:14">
      <c r="B141" s="86">
        <v>138</v>
      </c>
      <c r="C141" s="125">
        <v>44921</v>
      </c>
      <c r="D141" s="87" t="s">
        <v>295</v>
      </c>
      <c r="E141" s="60" t="str">
        <f>IFERROR(VLOOKUP(D141,'基础-领用人及部门'!$C:$D,2,FALSE),"-")</f>
        <v>财务部</v>
      </c>
      <c r="F141" s="87" t="s">
        <v>11</v>
      </c>
      <c r="G141" s="60" t="str">
        <f>IFERROR(VLOOKUP($F141,'基础-办公用品信息'!$C:$E,2,FALSE),"-")</f>
        <v>包</v>
      </c>
      <c r="H141" s="60">
        <f>IFERROR(VLOOKUP($F141,'基础-办公用品信息'!$C:$E,3,FALSE),"-")</f>
        <v>0</v>
      </c>
      <c r="I141" s="60">
        <v>8</v>
      </c>
      <c r="J141" s="60">
        <f>IFERROR(VLOOKUP($F141,'基础-办公用品信息'!$C:$F,4,FALSE),"-")</f>
        <v>175</v>
      </c>
      <c r="K141" s="60">
        <f t="shared" si="6"/>
        <v>1400</v>
      </c>
      <c r="L141" s="87"/>
      <c r="M141" s="60">
        <f t="shared" si="7"/>
        <v>2022</v>
      </c>
      <c r="N141" s="60">
        <f t="shared" si="8"/>
        <v>12</v>
      </c>
    </row>
    <row r="142" customHeight="1" spans="2:14">
      <c r="B142" s="86">
        <v>139</v>
      </c>
      <c r="C142" s="125">
        <v>44921</v>
      </c>
      <c r="D142" s="87" t="s">
        <v>286</v>
      </c>
      <c r="E142" s="60" t="str">
        <f>IFERROR(VLOOKUP(D142,'基础-领用人及部门'!$C:$D,2,FALSE),"-")</f>
        <v>综合办</v>
      </c>
      <c r="F142" s="87" t="s">
        <v>11</v>
      </c>
      <c r="G142" s="60" t="str">
        <f>IFERROR(VLOOKUP($F142,'基础-办公用品信息'!$C:$E,2,FALSE),"-")</f>
        <v>包</v>
      </c>
      <c r="H142" s="60">
        <f>IFERROR(VLOOKUP($F142,'基础-办公用品信息'!$C:$E,3,FALSE),"-")</f>
        <v>0</v>
      </c>
      <c r="I142" s="60">
        <v>4</v>
      </c>
      <c r="J142" s="60">
        <f>IFERROR(VLOOKUP($F142,'基础-办公用品信息'!$C:$F,4,FALSE),"-")</f>
        <v>175</v>
      </c>
      <c r="K142" s="60">
        <f t="shared" si="6"/>
        <v>700</v>
      </c>
      <c r="L142" s="87"/>
      <c r="M142" s="60">
        <f t="shared" si="7"/>
        <v>2022</v>
      </c>
      <c r="N142" s="60">
        <f t="shared" si="8"/>
        <v>12</v>
      </c>
    </row>
    <row r="143" customHeight="1" spans="2:14">
      <c r="B143" s="86">
        <v>140</v>
      </c>
      <c r="C143" s="125">
        <v>44921</v>
      </c>
      <c r="D143" s="87" t="s">
        <v>286</v>
      </c>
      <c r="E143" s="60" t="str">
        <f>IFERROR(VLOOKUP(D143,'基础-领用人及部门'!$C:$D,2,FALSE),"-")</f>
        <v>综合办</v>
      </c>
      <c r="F143" s="87" t="s">
        <v>74</v>
      </c>
      <c r="G143" s="60" t="str">
        <f>IFERROR(VLOOKUP($F143,'基础-办公用品信息'!$C:$E,2,FALSE),"-")</f>
        <v>节</v>
      </c>
      <c r="H143" s="60">
        <f>IFERROR(VLOOKUP($F143,'基础-办公用品信息'!$C:$E,3,FALSE),"-")</f>
        <v>0</v>
      </c>
      <c r="I143" s="60">
        <v>4</v>
      </c>
      <c r="J143" s="60">
        <f>IFERROR(VLOOKUP($F143,'基础-办公用品信息'!$C:$F,4,FALSE),"-")</f>
        <v>2.1</v>
      </c>
      <c r="K143" s="60">
        <f t="shared" si="6"/>
        <v>8.4</v>
      </c>
      <c r="L143" s="87"/>
      <c r="M143" s="60">
        <f t="shared" si="7"/>
        <v>2022</v>
      </c>
      <c r="N143" s="60">
        <f t="shared" si="8"/>
        <v>12</v>
      </c>
    </row>
    <row r="144" customHeight="1" spans="2:14">
      <c r="B144" s="86">
        <v>141</v>
      </c>
      <c r="C144" s="125">
        <v>44921</v>
      </c>
      <c r="D144" s="87" t="s">
        <v>333</v>
      </c>
      <c r="E144" s="60" t="str">
        <f>IFERROR(VLOOKUP(D144,'基础-领用人及部门'!$C:$D,2,FALSE),"-")</f>
        <v>综合办</v>
      </c>
      <c r="F144" s="87" t="s">
        <v>173</v>
      </c>
      <c r="G144" s="60" t="str">
        <f>IFERROR(VLOOKUP($F144,'基础-办公用品信息'!$C:$E,2,FALSE),"-")</f>
        <v>条</v>
      </c>
      <c r="H144" s="60">
        <f>IFERROR(VLOOKUP($F144,'基础-办公用品信息'!$C:$E,3,FALSE),"-")</f>
        <v>0</v>
      </c>
      <c r="I144" s="60">
        <v>3</v>
      </c>
      <c r="J144" s="60">
        <f>IFERROR(VLOOKUP($F144,'基础-办公用品信息'!$C:$F,4,FALSE),"-")</f>
        <v>0</v>
      </c>
      <c r="K144" s="60">
        <f t="shared" si="6"/>
        <v>0</v>
      </c>
      <c r="L144" s="87"/>
      <c r="M144" s="60">
        <f t="shared" si="7"/>
        <v>2022</v>
      </c>
      <c r="N144" s="60">
        <f t="shared" si="8"/>
        <v>12</v>
      </c>
    </row>
    <row r="145" customHeight="1" spans="2:14">
      <c r="B145" s="86">
        <v>142</v>
      </c>
      <c r="C145" s="125">
        <v>44921</v>
      </c>
      <c r="D145" s="87" t="s">
        <v>333</v>
      </c>
      <c r="E145" s="60" t="str">
        <f>IFERROR(VLOOKUP(D145,'基础-领用人及部门'!$C:$D,2,FALSE),"-")</f>
        <v>综合办</v>
      </c>
      <c r="F145" s="87" t="s">
        <v>171</v>
      </c>
      <c r="G145" s="60" t="str">
        <f>IFERROR(VLOOKUP($F145,'基础-办公用品信息'!$C:$E,2,FALSE),"-")</f>
        <v>个</v>
      </c>
      <c r="H145" s="60">
        <f>IFERROR(VLOOKUP($F145,'基础-办公用品信息'!$C:$E,3,FALSE),"-")</f>
        <v>0</v>
      </c>
      <c r="I145" s="60">
        <v>2</v>
      </c>
      <c r="J145" s="60">
        <f>IFERROR(VLOOKUP($F145,'基础-办公用品信息'!$C:$F,4,FALSE),"-")</f>
        <v>0</v>
      </c>
      <c r="K145" s="60">
        <f t="shared" si="6"/>
        <v>0</v>
      </c>
      <c r="L145" s="87"/>
      <c r="M145" s="60">
        <f t="shared" si="7"/>
        <v>2022</v>
      </c>
      <c r="N145" s="60">
        <f t="shared" si="8"/>
        <v>12</v>
      </c>
    </row>
    <row r="146" customHeight="1" spans="2:14">
      <c r="B146" s="86">
        <v>143</v>
      </c>
      <c r="C146" s="125">
        <v>44921</v>
      </c>
      <c r="D146" s="87" t="s">
        <v>286</v>
      </c>
      <c r="E146" s="60" t="str">
        <f>IFERROR(VLOOKUP(D146,'基础-领用人及部门'!$C:$D,2,FALSE),"-")</f>
        <v>综合办</v>
      </c>
      <c r="F146" s="87" t="s">
        <v>112</v>
      </c>
      <c r="G146" s="60" t="str">
        <f>IFERROR(VLOOKUP($F146,'基础-办公用品信息'!$C:$E,2,FALSE),"-")</f>
        <v>筒</v>
      </c>
      <c r="H146" s="60">
        <f>IFERROR(VLOOKUP($F146,'基础-办公用品信息'!$C:$E,3,FALSE),"-")</f>
        <v>0</v>
      </c>
      <c r="I146" s="60">
        <v>3</v>
      </c>
      <c r="J146" s="60">
        <f>IFERROR(VLOOKUP($F146,'基础-办公用品信息'!$C:$F,4,FALSE),"-")</f>
        <v>0.2</v>
      </c>
      <c r="K146" s="60">
        <f t="shared" si="6"/>
        <v>0.6</v>
      </c>
      <c r="L146" s="87"/>
      <c r="M146" s="60">
        <f t="shared" si="7"/>
        <v>2022</v>
      </c>
      <c r="N146" s="60">
        <f t="shared" si="8"/>
        <v>12</v>
      </c>
    </row>
    <row r="147" customHeight="1" spans="2:14">
      <c r="B147" s="86">
        <v>144</v>
      </c>
      <c r="C147" s="125">
        <v>44922</v>
      </c>
      <c r="D147" s="87" t="s">
        <v>335</v>
      </c>
      <c r="E147" s="60" t="str">
        <f>IFERROR(VLOOKUP(D147,'基础-领用人及部门'!$C:$D,2,FALSE),"-")</f>
        <v>boss</v>
      </c>
      <c r="F147" s="87" t="s">
        <v>74</v>
      </c>
      <c r="G147" s="60" t="str">
        <f>IFERROR(VLOOKUP($F147,'基础-办公用品信息'!$C:$E,2,FALSE),"-")</f>
        <v>节</v>
      </c>
      <c r="H147" s="60">
        <f>IFERROR(VLOOKUP($F147,'基础-办公用品信息'!$C:$E,3,FALSE),"-")</f>
        <v>0</v>
      </c>
      <c r="I147" s="60">
        <v>8</v>
      </c>
      <c r="J147" s="60">
        <f>IFERROR(VLOOKUP($F147,'基础-办公用品信息'!$C:$F,4,FALSE),"-")</f>
        <v>2.1</v>
      </c>
      <c r="K147" s="60">
        <f t="shared" si="6"/>
        <v>16.8</v>
      </c>
      <c r="L147" s="87"/>
      <c r="M147" s="60">
        <f t="shared" si="7"/>
        <v>2022</v>
      </c>
      <c r="N147" s="60">
        <f t="shared" si="8"/>
        <v>12</v>
      </c>
    </row>
    <row r="148" customHeight="1" spans="2:14">
      <c r="B148" s="86">
        <v>145</v>
      </c>
      <c r="C148" s="125">
        <v>44922</v>
      </c>
      <c r="D148" s="87" t="s">
        <v>341</v>
      </c>
      <c r="E148" s="60" t="str">
        <f>IFERROR(VLOOKUP(D148,'基础-领用人及部门'!$C:$D,2,FALSE),"-")</f>
        <v>工程部</v>
      </c>
      <c r="F148" s="87" t="s">
        <v>111</v>
      </c>
      <c r="G148" s="60" t="str">
        <f>IFERROR(VLOOKUP($F148,'基础-办公用品信息'!$C:$E,2,FALSE),"-")</f>
        <v>包</v>
      </c>
      <c r="H148" s="60">
        <f>IFERROR(VLOOKUP($F148,'基础-办公用品信息'!$C:$E,3,FALSE),"-")</f>
        <v>0</v>
      </c>
      <c r="I148" s="60">
        <v>8</v>
      </c>
      <c r="J148" s="60">
        <f>IFERROR(VLOOKUP($F148,'基础-办公用品信息'!$C:$F,4,FALSE),"-")</f>
        <v>0.3</v>
      </c>
      <c r="K148" s="60">
        <f t="shared" si="6"/>
        <v>2.4</v>
      </c>
      <c r="L148" s="87"/>
      <c r="M148" s="60">
        <f t="shared" si="7"/>
        <v>2022</v>
      </c>
      <c r="N148" s="60">
        <f t="shared" si="8"/>
        <v>12</v>
      </c>
    </row>
    <row r="149" customHeight="1" spans="2:14">
      <c r="B149" s="86">
        <v>146</v>
      </c>
      <c r="C149" s="125">
        <v>44922</v>
      </c>
      <c r="D149" s="87" t="s">
        <v>270</v>
      </c>
      <c r="E149" s="60" t="str">
        <f>IFERROR(VLOOKUP(D149,'基础-领用人及部门'!$C:$D,2,FALSE),"-")</f>
        <v>综合办</v>
      </c>
      <c r="F149" s="87" t="s">
        <v>111</v>
      </c>
      <c r="G149" s="60" t="str">
        <f>IFERROR(VLOOKUP($F149,'基础-办公用品信息'!$C:$E,2,FALSE),"-")</f>
        <v>包</v>
      </c>
      <c r="H149" s="60">
        <f>IFERROR(VLOOKUP($F149,'基础-办公用品信息'!$C:$E,3,FALSE),"-")</f>
        <v>0</v>
      </c>
      <c r="I149" s="60">
        <v>8</v>
      </c>
      <c r="J149" s="60">
        <f>IFERROR(VLOOKUP($F149,'基础-办公用品信息'!$C:$F,4,FALSE),"-")</f>
        <v>0.3</v>
      </c>
      <c r="K149" s="60">
        <f t="shared" si="6"/>
        <v>2.4</v>
      </c>
      <c r="L149" s="87"/>
      <c r="M149" s="60">
        <f t="shared" si="7"/>
        <v>2022</v>
      </c>
      <c r="N149" s="60">
        <f t="shared" si="8"/>
        <v>12</v>
      </c>
    </row>
    <row r="150" customHeight="1" spans="2:14">
      <c r="B150" s="86">
        <v>147</v>
      </c>
      <c r="C150" s="125">
        <v>44922</v>
      </c>
      <c r="D150" s="87" t="s">
        <v>263</v>
      </c>
      <c r="E150" s="60" t="str">
        <f>IFERROR(VLOOKUP(D150,'基础-领用人及部门'!$C:$D,2,FALSE),"-")</f>
        <v>综合办</v>
      </c>
      <c r="F150" s="87" t="s">
        <v>156</v>
      </c>
      <c r="G150" s="60" t="str">
        <f>IFERROR(VLOOKUP($F150,'基础-办公用品信息'!$C:$E,2,FALSE),"-")</f>
        <v>本</v>
      </c>
      <c r="H150" s="60">
        <f>IFERROR(VLOOKUP($F150,'基础-办公用品信息'!$C:$E,3,FALSE),"-")</f>
        <v>0</v>
      </c>
      <c r="I150" s="60">
        <v>3</v>
      </c>
      <c r="J150" s="60">
        <f>IFERROR(VLOOKUP($F150,'基础-办公用品信息'!$C:$F,4,FALSE),"-")</f>
        <v>1.2</v>
      </c>
      <c r="K150" s="60">
        <f t="shared" si="6"/>
        <v>3.6</v>
      </c>
      <c r="L150" s="87"/>
      <c r="M150" s="60">
        <f t="shared" si="7"/>
        <v>2022</v>
      </c>
      <c r="N150" s="60">
        <f t="shared" si="8"/>
        <v>12</v>
      </c>
    </row>
    <row r="151" customHeight="1" spans="2:14">
      <c r="B151" s="86">
        <v>148</v>
      </c>
      <c r="C151" s="125">
        <v>44922</v>
      </c>
      <c r="D151" s="87" t="s">
        <v>263</v>
      </c>
      <c r="E151" s="60" t="str">
        <f>IFERROR(VLOOKUP(D151,'基础-领用人及部门'!$C:$D,2,FALSE),"-")</f>
        <v>综合办</v>
      </c>
      <c r="F151" s="87" t="s">
        <v>101</v>
      </c>
      <c r="G151" s="60" t="str">
        <f>IFERROR(VLOOKUP($F151,'基础-办公用品信息'!$C:$E,2,FALSE),"-")</f>
        <v>本</v>
      </c>
      <c r="H151" s="60">
        <f>IFERROR(VLOOKUP($F151,'基础-办公用品信息'!$C:$E,3,FALSE),"-")</f>
        <v>0</v>
      </c>
      <c r="I151" s="60">
        <v>1</v>
      </c>
      <c r="J151" s="60">
        <f>IFERROR(VLOOKUP($F151,'基础-办公用品信息'!$C:$F,4,FALSE),"-")</f>
        <v>0</v>
      </c>
      <c r="K151" s="60">
        <f t="shared" si="6"/>
        <v>0</v>
      </c>
      <c r="L151" s="87"/>
      <c r="M151" s="60">
        <f t="shared" si="7"/>
        <v>2022</v>
      </c>
      <c r="N151" s="60">
        <f t="shared" si="8"/>
        <v>12</v>
      </c>
    </row>
    <row r="152" customHeight="1" spans="2:14">
      <c r="B152" s="86">
        <v>149</v>
      </c>
      <c r="C152" s="125">
        <v>44922</v>
      </c>
      <c r="D152" s="87" t="s">
        <v>263</v>
      </c>
      <c r="E152" s="60" t="str">
        <f>IFERROR(VLOOKUP(D152,'基础-领用人及部门'!$C:$D,2,FALSE),"-")</f>
        <v>综合办</v>
      </c>
      <c r="F152" s="87" t="s">
        <v>43</v>
      </c>
      <c r="G152" s="60" t="str">
        <f>IFERROR(VLOOKUP($F152,'基础-办公用品信息'!$C:$E,2,FALSE),"-")</f>
        <v>支</v>
      </c>
      <c r="H152" s="60">
        <f>IFERROR(VLOOKUP($F152,'基础-办公用品信息'!$C:$E,3,FALSE),"-")</f>
        <v>0</v>
      </c>
      <c r="I152" s="60">
        <v>2</v>
      </c>
      <c r="J152" s="60">
        <f>IFERROR(VLOOKUP($F152,'基础-办公用品信息'!$C:$F,4,FALSE),"-")</f>
        <v>1.3</v>
      </c>
      <c r="K152" s="60">
        <f t="shared" si="6"/>
        <v>2.6</v>
      </c>
      <c r="L152" s="87"/>
      <c r="M152" s="60">
        <f t="shared" si="7"/>
        <v>2022</v>
      </c>
      <c r="N152" s="60">
        <f t="shared" si="8"/>
        <v>12</v>
      </c>
    </row>
    <row r="153" customHeight="1" spans="2:14">
      <c r="B153" s="86">
        <v>150</v>
      </c>
      <c r="C153" s="125">
        <v>44923</v>
      </c>
      <c r="D153" s="87" t="s">
        <v>308</v>
      </c>
      <c r="E153" s="60" t="str">
        <f>IFERROR(VLOOKUP(D153,'基础-领用人及部门'!$C:$D,2,FALSE),"-")</f>
        <v>技术部</v>
      </c>
      <c r="F153" s="87" t="s">
        <v>180</v>
      </c>
      <c r="G153" s="60" t="str">
        <f>IFERROR(VLOOKUP($F153,'基础-办公用品信息'!$C:$E,2,FALSE),"-")</f>
        <v>顶</v>
      </c>
      <c r="H153" s="60">
        <f>IFERROR(VLOOKUP($F153,'基础-办公用品信息'!$C:$E,3,FALSE),"-")</f>
        <v>0</v>
      </c>
      <c r="I153" s="60">
        <v>1</v>
      </c>
      <c r="J153" s="60">
        <f>IFERROR(VLOOKUP($F153,'基础-办公用品信息'!$C:$F,4,FALSE),"-")</f>
        <v>0</v>
      </c>
      <c r="K153" s="60">
        <f t="shared" si="6"/>
        <v>0</v>
      </c>
      <c r="L153" s="87"/>
      <c r="M153" s="60">
        <f t="shared" si="7"/>
        <v>2022</v>
      </c>
      <c r="N153" s="60">
        <f t="shared" si="8"/>
        <v>12</v>
      </c>
    </row>
    <row r="154" customHeight="1" spans="2:14">
      <c r="B154" s="86">
        <v>151</v>
      </c>
      <c r="C154" s="125">
        <v>44923</v>
      </c>
      <c r="D154" s="87" t="s">
        <v>316</v>
      </c>
      <c r="E154" s="60" t="str">
        <f>IFERROR(VLOOKUP(D154,'基础-领用人及部门'!$C:$D,2,FALSE),"-")</f>
        <v>成本部</v>
      </c>
      <c r="F154" s="87" t="s">
        <v>111</v>
      </c>
      <c r="G154" s="60" t="str">
        <f>IFERROR(VLOOKUP($F154,'基础-办公用品信息'!$C:$E,2,FALSE),"-")</f>
        <v>包</v>
      </c>
      <c r="H154" s="60">
        <f>IFERROR(VLOOKUP($F154,'基础-办公用品信息'!$C:$E,3,FALSE),"-")</f>
        <v>0</v>
      </c>
      <c r="I154" s="60">
        <v>10</v>
      </c>
      <c r="J154" s="60">
        <f>IFERROR(VLOOKUP($F154,'基础-办公用品信息'!$C:$F,4,FALSE),"-")</f>
        <v>0.3</v>
      </c>
      <c r="K154" s="60">
        <f t="shared" si="6"/>
        <v>3</v>
      </c>
      <c r="L154" s="87"/>
      <c r="M154" s="60">
        <f t="shared" si="7"/>
        <v>2022</v>
      </c>
      <c r="N154" s="60">
        <f t="shared" si="8"/>
        <v>12</v>
      </c>
    </row>
    <row r="155" customHeight="1" spans="2:14">
      <c r="B155" s="86">
        <v>152</v>
      </c>
      <c r="C155" s="125">
        <v>44923</v>
      </c>
      <c r="D155" s="87" t="s">
        <v>286</v>
      </c>
      <c r="E155" s="60" t="str">
        <f>IFERROR(VLOOKUP(D155,'基础-领用人及部门'!$C:$D,2,FALSE),"-")</f>
        <v>综合办</v>
      </c>
      <c r="F155" s="87" t="s">
        <v>161</v>
      </c>
      <c r="G155" s="60" t="str">
        <f>IFERROR(VLOOKUP($F155,'基础-办公用品信息'!$C:$E,2,FALSE),"-")</f>
        <v>桶</v>
      </c>
      <c r="H155" s="60">
        <f>IFERROR(VLOOKUP($F155,'基础-办公用品信息'!$C:$E,3,FALSE),"-")</f>
        <v>0</v>
      </c>
      <c r="I155" s="60">
        <v>2</v>
      </c>
      <c r="J155" s="60">
        <f>IFERROR(VLOOKUP($F155,'基础-办公用品信息'!$C:$F,4,FALSE),"-")</f>
        <v>0</v>
      </c>
      <c r="K155" s="60">
        <f t="shared" si="6"/>
        <v>0</v>
      </c>
      <c r="L155" s="87"/>
      <c r="M155" s="60">
        <f t="shared" si="7"/>
        <v>2022</v>
      </c>
      <c r="N155" s="60">
        <f t="shared" si="8"/>
        <v>12</v>
      </c>
    </row>
    <row r="156" customHeight="1" spans="2:14">
      <c r="B156" s="86">
        <v>153</v>
      </c>
      <c r="C156" s="125">
        <v>44924</v>
      </c>
      <c r="D156" s="87" t="s">
        <v>286</v>
      </c>
      <c r="E156" s="60" t="str">
        <f>IFERROR(VLOOKUP(D156,'基础-领用人及部门'!$C:$D,2,FALSE),"-")</f>
        <v>综合办</v>
      </c>
      <c r="F156" s="87" t="s">
        <v>191</v>
      </c>
      <c r="G156" s="60" t="str">
        <f>IFERROR(VLOOKUP($F156,'基础-办公用品信息'!$C:$E,2,FALSE),"-")</f>
        <v>瓶</v>
      </c>
      <c r="H156" s="60">
        <f>IFERROR(VLOOKUP($F156,'基础-办公用品信息'!$C:$E,3,FALSE),"-")</f>
        <v>0</v>
      </c>
      <c r="I156" s="60">
        <v>12</v>
      </c>
      <c r="J156" s="60">
        <f>IFERROR(VLOOKUP($F156,'基础-办公用品信息'!$C:$F,4,FALSE),"-")</f>
        <v>0</v>
      </c>
      <c r="K156" s="60">
        <f t="shared" si="6"/>
        <v>0</v>
      </c>
      <c r="L156" s="87"/>
      <c r="M156" s="60">
        <f t="shared" si="7"/>
        <v>2022</v>
      </c>
      <c r="N156" s="60">
        <f t="shared" si="8"/>
        <v>12</v>
      </c>
    </row>
    <row r="157" customHeight="1" spans="2:14">
      <c r="B157" s="86">
        <v>154</v>
      </c>
      <c r="C157" s="125">
        <v>44924</v>
      </c>
      <c r="D157" s="87" t="s">
        <v>331</v>
      </c>
      <c r="E157" s="60" t="str">
        <f>IFERROR(VLOOKUP(D157,'基础-领用人及部门'!$C:$D,2,FALSE),"-")</f>
        <v>工程部</v>
      </c>
      <c r="F157" s="87" t="s">
        <v>111</v>
      </c>
      <c r="G157" s="60" t="str">
        <f>IFERROR(VLOOKUP($F157,'基础-办公用品信息'!$C:$E,2,FALSE),"-")</f>
        <v>包</v>
      </c>
      <c r="H157" s="60">
        <f>IFERROR(VLOOKUP($F157,'基础-办公用品信息'!$C:$E,3,FALSE),"-")</f>
        <v>0</v>
      </c>
      <c r="I157" s="60">
        <v>10</v>
      </c>
      <c r="J157" s="60">
        <f>IFERROR(VLOOKUP($F157,'基础-办公用品信息'!$C:$F,4,FALSE),"-")</f>
        <v>0.3</v>
      </c>
      <c r="K157" s="60">
        <f t="shared" si="6"/>
        <v>3</v>
      </c>
      <c r="L157" s="87"/>
      <c r="M157" s="60">
        <f t="shared" si="7"/>
        <v>2022</v>
      </c>
      <c r="N157" s="60">
        <f t="shared" si="8"/>
        <v>12</v>
      </c>
    </row>
    <row r="158" customHeight="1" spans="2:14">
      <c r="B158" s="86">
        <v>155</v>
      </c>
      <c r="C158" s="125">
        <v>44925</v>
      </c>
      <c r="D158" s="87" t="s">
        <v>335</v>
      </c>
      <c r="E158" s="60" t="str">
        <f>IFERROR(VLOOKUP(D158,'基础-领用人及部门'!$C:$D,2,FALSE),"-")</f>
        <v>boss</v>
      </c>
      <c r="F158" s="87" t="s">
        <v>74</v>
      </c>
      <c r="G158" s="60" t="str">
        <f>IFERROR(VLOOKUP($F158,'基础-办公用品信息'!$C:$E,2,FALSE),"-")</f>
        <v>节</v>
      </c>
      <c r="H158" s="60">
        <f>IFERROR(VLOOKUP($F158,'基础-办公用品信息'!$C:$E,3,FALSE),"-")</f>
        <v>0</v>
      </c>
      <c r="I158" s="60">
        <v>6</v>
      </c>
      <c r="J158" s="60">
        <f>IFERROR(VLOOKUP($F158,'基础-办公用品信息'!$C:$F,4,FALSE),"-")</f>
        <v>2.1</v>
      </c>
      <c r="K158" s="60">
        <f t="shared" si="6"/>
        <v>12.6</v>
      </c>
      <c r="L158" s="87"/>
      <c r="M158" s="60">
        <f t="shared" si="7"/>
        <v>2022</v>
      </c>
      <c r="N158" s="60">
        <f t="shared" si="8"/>
        <v>12</v>
      </c>
    </row>
    <row r="159" customHeight="1" spans="2:14">
      <c r="B159" s="86">
        <v>156</v>
      </c>
      <c r="C159" s="125">
        <v>44925</v>
      </c>
      <c r="D159" s="87" t="s">
        <v>335</v>
      </c>
      <c r="E159" s="60" t="str">
        <f>IFERROR(VLOOKUP(D159,'基础-领用人及部门'!$C:$D,2,FALSE),"-")</f>
        <v>boss</v>
      </c>
      <c r="F159" s="87" t="s">
        <v>133</v>
      </c>
      <c r="G159" s="60" t="str">
        <f>IFERROR(VLOOKUP($F159,'基础-办公用品信息'!$C:$E,2,FALSE),"-")</f>
        <v>包</v>
      </c>
      <c r="H159" s="60">
        <f>IFERROR(VLOOKUP($F159,'基础-办公用品信息'!$C:$E,3,FALSE),"-")</f>
        <v>0</v>
      </c>
      <c r="I159" s="60">
        <v>3</v>
      </c>
      <c r="J159" s="60">
        <f>IFERROR(VLOOKUP($F159,'基础-办公用品信息'!$C:$F,4,FALSE),"-")</f>
        <v>2.5</v>
      </c>
      <c r="K159" s="60">
        <f t="shared" si="6"/>
        <v>7.5</v>
      </c>
      <c r="L159" s="87"/>
      <c r="M159" s="60">
        <f t="shared" si="7"/>
        <v>2022</v>
      </c>
      <c r="N159" s="60">
        <f t="shared" si="8"/>
        <v>12</v>
      </c>
    </row>
    <row r="160" customHeight="1" spans="2:14">
      <c r="B160" s="86">
        <v>157</v>
      </c>
      <c r="C160" s="125">
        <v>44925</v>
      </c>
      <c r="D160" s="87" t="s">
        <v>335</v>
      </c>
      <c r="E160" s="60" t="str">
        <f>IFERROR(VLOOKUP(D160,'基础-领用人及部门'!$C:$D,2,FALSE),"-")</f>
        <v>boss</v>
      </c>
      <c r="F160" s="87" t="s">
        <v>177</v>
      </c>
      <c r="G160" s="60" t="str">
        <f>IFERROR(VLOOKUP($F160,'基础-办公用品信息'!$C:$E,2,FALSE),"-")</f>
        <v>瓶</v>
      </c>
      <c r="H160" s="60">
        <f>IFERROR(VLOOKUP($F160,'基础-办公用品信息'!$C:$E,3,FALSE),"-")</f>
        <v>0</v>
      </c>
      <c r="I160" s="60">
        <v>1</v>
      </c>
      <c r="J160" s="60">
        <f>IFERROR(VLOOKUP($F160,'基础-办公用品信息'!$C:$F,4,FALSE),"-")</f>
        <v>0</v>
      </c>
      <c r="K160" s="60">
        <f t="shared" si="6"/>
        <v>0</v>
      </c>
      <c r="L160" s="87" t="s">
        <v>365</v>
      </c>
      <c r="M160" s="60">
        <f t="shared" si="7"/>
        <v>2022</v>
      </c>
      <c r="N160" s="60">
        <f t="shared" si="8"/>
        <v>12</v>
      </c>
    </row>
    <row r="161" customHeight="1" spans="2:14">
      <c r="B161" s="86">
        <v>158</v>
      </c>
      <c r="C161" s="128">
        <v>44927</v>
      </c>
      <c r="D161" s="87" t="s">
        <v>333</v>
      </c>
      <c r="E161" s="60" t="str">
        <f>IFERROR(VLOOKUP(D161,'基础-领用人及部门'!$C:$D,2,FALSE),"-")</f>
        <v>综合办</v>
      </c>
      <c r="F161" s="87" t="s">
        <v>189</v>
      </c>
      <c r="G161" s="60" t="str">
        <f>IFERROR(VLOOKUP($F161,'基础-办公用品信息'!$C:$E,2,FALSE),"-")</f>
        <v>卷</v>
      </c>
      <c r="H161" s="60">
        <f>IFERROR(VLOOKUP($F161,'基础-办公用品信息'!$C:$E,3,FALSE),"-")</f>
        <v>0</v>
      </c>
      <c r="I161" s="60">
        <v>5</v>
      </c>
      <c r="J161" s="60">
        <f>IFERROR(VLOOKUP($F161,'基础-办公用品信息'!$C:$F,4,FALSE),"-")</f>
        <v>0</v>
      </c>
      <c r="K161" s="60">
        <f t="shared" si="6"/>
        <v>0</v>
      </c>
      <c r="L161" s="87"/>
      <c r="M161" s="60">
        <f t="shared" si="7"/>
        <v>2023</v>
      </c>
      <c r="N161" s="60">
        <f t="shared" si="8"/>
        <v>1</v>
      </c>
    </row>
    <row r="162" customHeight="1" spans="2:14">
      <c r="B162" s="86">
        <v>159</v>
      </c>
      <c r="C162" s="128">
        <v>44927</v>
      </c>
      <c r="D162" s="87" t="s">
        <v>333</v>
      </c>
      <c r="E162" s="60" t="str">
        <f>IFERROR(VLOOKUP(D162,'基础-领用人及部门'!$C:$D,2,FALSE),"-")</f>
        <v>综合办</v>
      </c>
      <c r="F162" s="87" t="s">
        <v>190</v>
      </c>
      <c r="G162" s="60" t="str">
        <f>IFERROR(VLOOKUP($F162,'基础-办公用品信息'!$C:$E,2,FALSE),"-")</f>
        <v>卷</v>
      </c>
      <c r="H162" s="60">
        <f>IFERROR(VLOOKUP($F162,'基础-办公用品信息'!$C:$E,3,FALSE),"-")</f>
        <v>0</v>
      </c>
      <c r="I162" s="60">
        <v>10</v>
      </c>
      <c r="J162" s="60">
        <f>IFERROR(VLOOKUP($F162,'基础-办公用品信息'!$C:$F,4,FALSE),"-")</f>
        <v>0</v>
      </c>
      <c r="K162" s="60">
        <f t="shared" si="6"/>
        <v>0</v>
      </c>
      <c r="L162" s="87"/>
      <c r="M162" s="60">
        <f t="shared" si="7"/>
        <v>2023</v>
      </c>
      <c r="N162" s="60">
        <f t="shared" si="8"/>
        <v>1</v>
      </c>
    </row>
    <row r="163" customHeight="1" spans="2:14">
      <c r="B163" s="86">
        <v>160</v>
      </c>
      <c r="C163" s="128">
        <v>44927</v>
      </c>
      <c r="D163" s="87" t="s">
        <v>333</v>
      </c>
      <c r="E163" s="60" t="str">
        <f>IFERROR(VLOOKUP(D163,'基础-领用人及部门'!$C:$D,2,FALSE),"-")</f>
        <v>综合办</v>
      </c>
      <c r="F163" s="87" t="s">
        <v>170</v>
      </c>
      <c r="G163" s="60" t="str">
        <f>IFERROR(VLOOKUP($F163,'基础-办公用品信息'!$C:$E,2,FALSE),"-")</f>
        <v>个</v>
      </c>
      <c r="H163" s="60">
        <f>IFERROR(VLOOKUP($F163,'基础-办公用品信息'!$C:$E,3,FALSE),"-")</f>
        <v>0</v>
      </c>
      <c r="I163" s="60">
        <v>2</v>
      </c>
      <c r="J163" s="60">
        <f>IFERROR(VLOOKUP($F163,'基础-办公用品信息'!$C:$F,4,FALSE),"-")</f>
        <v>0</v>
      </c>
      <c r="K163" s="60">
        <f t="shared" si="6"/>
        <v>0</v>
      </c>
      <c r="L163" s="87"/>
      <c r="M163" s="60">
        <f t="shared" si="7"/>
        <v>2023</v>
      </c>
      <c r="N163" s="60">
        <f t="shared" si="8"/>
        <v>1</v>
      </c>
    </row>
    <row r="164" customHeight="1" spans="2:14">
      <c r="B164" s="86">
        <v>161</v>
      </c>
      <c r="C164" s="128">
        <v>44928</v>
      </c>
      <c r="D164" s="87" t="s">
        <v>333</v>
      </c>
      <c r="E164" s="60" t="str">
        <f>IFERROR(VLOOKUP(D164,'基础-领用人及部门'!$C:$D,2,FALSE),"-")</f>
        <v>综合办</v>
      </c>
      <c r="F164" s="87" t="s">
        <v>130</v>
      </c>
      <c r="G164" s="60" t="str">
        <f>IFERROR(VLOOKUP($F164,'基础-办公用品信息'!$C:$E,2,FALSE),"-")</f>
        <v>提</v>
      </c>
      <c r="H164" s="60">
        <f>IFERROR(VLOOKUP($F164,'基础-办公用品信息'!$C:$E,3,FALSE),"-")</f>
        <v>0</v>
      </c>
      <c r="I164" s="60">
        <v>3</v>
      </c>
      <c r="J164" s="60">
        <f>IFERROR(VLOOKUP($F164,'基础-办公用品信息'!$C:$F,4,FALSE),"-")</f>
        <v>11.5</v>
      </c>
      <c r="K164" s="60">
        <f t="shared" si="6"/>
        <v>34.5</v>
      </c>
      <c r="L164" s="87"/>
      <c r="M164" s="60">
        <f t="shared" si="7"/>
        <v>2023</v>
      </c>
      <c r="N164" s="60">
        <f t="shared" si="8"/>
        <v>1</v>
      </c>
    </row>
    <row r="165" customHeight="1" spans="2:14">
      <c r="B165" s="86">
        <v>162</v>
      </c>
      <c r="C165" s="128">
        <v>44928</v>
      </c>
      <c r="D165" s="87" t="s">
        <v>270</v>
      </c>
      <c r="E165" s="60" t="str">
        <f>IFERROR(VLOOKUP(D165,'基础-领用人及部门'!$C:$D,2,FALSE),"-")</f>
        <v>综合办</v>
      </c>
      <c r="F165" s="87" t="s">
        <v>132</v>
      </c>
      <c r="G165" s="60" t="str">
        <f>IFERROR(VLOOKUP($F165,'基础-办公用品信息'!$C:$E,2,FALSE),"-")</f>
        <v>盒</v>
      </c>
      <c r="H165" s="60">
        <f>IFERROR(VLOOKUP($F165,'基础-办公用品信息'!$C:$E,3,FALSE),"-")</f>
        <v>0</v>
      </c>
      <c r="I165" s="60">
        <v>3</v>
      </c>
      <c r="J165" s="60">
        <f>IFERROR(VLOOKUP($F165,'基础-办公用品信息'!$C:$F,4,FALSE),"-")</f>
        <v>5.3</v>
      </c>
      <c r="K165" s="60">
        <f t="shared" si="6"/>
        <v>15.9</v>
      </c>
      <c r="L165" s="87"/>
      <c r="M165" s="60">
        <f t="shared" si="7"/>
        <v>2023</v>
      </c>
      <c r="N165" s="60">
        <f t="shared" si="8"/>
        <v>1</v>
      </c>
    </row>
    <row r="166" customHeight="1" spans="2:14">
      <c r="B166" s="86">
        <v>163</v>
      </c>
      <c r="C166" s="128">
        <v>44928</v>
      </c>
      <c r="D166" s="87" t="s">
        <v>270</v>
      </c>
      <c r="E166" s="60" t="str">
        <f>IFERROR(VLOOKUP(D166,'基础-领用人及部门'!$C:$D,2,FALSE),"-")</f>
        <v>综合办</v>
      </c>
      <c r="F166" s="87" t="s">
        <v>44</v>
      </c>
      <c r="G166" s="60" t="str">
        <f>IFERROR(VLOOKUP($F166,'基础-办公用品信息'!$C:$E,2,FALSE),"-")</f>
        <v>支</v>
      </c>
      <c r="H166" s="60">
        <f>IFERROR(VLOOKUP($F166,'基础-办公用品信息'!$C:$E,3,FALSE),"-")</f>
        <v>0</v>
      </c>
      <c r="I166" s="60">
        <v>2</v>
      </c>
      <c r="J166" s="60">
        <f>IFERROR(VLOOKUP($F166,'基础-办公用品信息'!$C:$F,4,FALSE),"-")</f>
        <v>2</v>
      </c>
      <c r="K166" s="60">
        <f t="shared" si="6"/>
        <v>4</v>
      </c>
      <c r="L166" s="87"/>
      <c r="M166" s="60">
        <f t="shared" si="7"/>
        <v>2023</v>
      </c>
      <c r="N166" s="60">
        <f t="shared" si="8"/>
        <v>1</v>
      </c>
    </row>
    <row r="167" customHeight="1" spans="2:14">
      <c r="B167" s="86">
        <v>164</v>
      </c>
      <c r="C167" s="128">
        <v>44928</v>
      </c>
      <c r="D167" s="87" t="s">
        <v>270</v>
      </c>
      <c r="E167" s="60" t="str">
        <f>IFERROR(VLOOKUP(D167,'基础-领用人及部门'!$C:$D,2,FALSE),"-")</f>
        <v>综合办</v>
      </c>
      <c r="F167" s="87" t="s">
        <v>11</v>
      </c>
      <c r="G167" s="60" t="str">
        <f>IFERROR(VLOOKUP($F167,'基础-办公用品信息'!$C:$E,2,FALSE),"-")</f>
        <v>包</v>
      </c>
      <c r="H167" s="60">
        <f>IFERROR(VLOOKUP($F167,'基础-办公用品信息'!$C:$E,3,FALSE),"-")</f>
        <v>0</v>
      </c>
      <c r="I167" s="60">
        <v>1</v>
      </c>
      <c r="J167" s="60">
        <f>IFERROR(VLOOKUP($F167,'基础-办公用品信息'!$C:$F,4,FALSE),"-")</f>
        <v>175</v>
      </c>
      <c r="K167" s="60">
        <f t="shared" si="6"/>
        <v>175</v>
      </c>
      <c r="L167" s="87"/>
      <c r="M167" s="60">
        <f t="shared" si="7"/>
        <v>2023</v>
      </c>
      <c r="N167" s="60">
        <f t="shared" si="8"/>
        <v>1</v>
      </c>
    </row>
    <row r="168" customHeight="1" spans="2:14">
      <c r="B168" s="86">
        <v>165</v>
      </c>
      <c r="C168" s="128">
        <v>44928</v>
      </c>
      <c r="D168" s="87" t="s">
        <v>286</v>
      </c>
      <c r="E168" s="60" t="str">
        <f>IFERROR(VLOOKUP(D168,'基础-领用人及部门'!$C:$D,2,FALSE),"-")</f>
        <v>综合办</v>
      </c>
      <c r="F168" s="87" t="s">
        <v>41</v>
      </c>
      <c r="G168" s="60" t="str">
        <f>IFERROR(VLOOKUP($F168,'基础-办公用品信息'!$C:$E,2,FALSE),"-")</f>
        <v>支</v>
      </c>
      <c r="H168" s="60">
        <f>IFERROR(VLOOKUP($F168,'基础-办公用品信息'!$C:$E,3,FALSE),"-")</f>
        <v>0</v>
      </c>
      <c r="I168" s="60">
        <v>29</v>
      </c>
      <c r="J168" s="60">
        <f>IFERROR(VLOOKUP($F168,'基础-办公用品信息'!$C:$F,4,FALSE),"-")</f>
        <v>1.3</v>
      </c>
      <c r="K168" s="60">
        <f t="shared" si="6"/>
        <v>37.7</v>
      </c>
      <c r="L168" s="87"/>
      <c r="M168" s="60">
        <f t="shared" si="7"/>
        <v>2023</v>
      </c>
      <c r="N168" s="60">
        <f t="shared" si="8"/>
        <v>1</v>
      </c>
    </row>
    <row r="169" customHeight="1" spans="2:14">
      <c r="B169" s="86">
        <v>166</v>
      </c>
      <c r="C169" s="128">
        <v>44928</v>
      </c>
      <c r="D169" s="87" t="s">
        <v>286</v>
      </c>
      <c r="E169" s="60" t="str">
        <f>IFERROR(VLOOKUP(D169,'基础-领用人及部门'!$C:$D,2,FALSE),"-")</f>
        <v>综合办</v>
      </c>
      <c r="F169" s="87" t="s">
        <v>74</v>
      </c>
      <c r="G169" s="60" t="str">
        <f>IFERROR(VLOOKUP($F169,'基础-办公用品信息'!$C:$E,2,FALSE),"-")</f>
        <v>节</v>
      </c>
      <c r="H169" s="60">
        <f>IFERROR(VLOOKUP($F169,'基础-办公用品信息'!$C:$E,3,FALSE),"-")</f>
        <v>0</v>
      </c>
      <c r="I169" s="60">
        <v>7</v>
      </c>
      <c r="J169" s="60">
        <f>IFERROR(VLOOKUP($F169,'基础-办公用品信息'!$C:$F,4,FALSE),"-")</f>
        <v>2.1</v>
      </c>
      <c r="K169" s="60">
        <f t="shared" si="6"/>
        <v>14.7</v>
      </c>
      <c r="L169" s="87"/>
      <c r="M169" s="60">
        <f t="shared" si="7"/>
        <v>2023</v>
      </c>
      <c r="N169" s="60">
        <f t="shared" si="8"/>
        <v>1</v>
      </c>
    </row>
    <row r="170" customHeight="1" spans="2:14">
      <c r="B170" s="86">
        <v>167</v>
      </c>
      <c r="C170" s="128">
        <v>44928</v>
      </c>
      <c r="D170" s="87" t="s">
        <v>333</v>
      </c>
      <c r="E170" s="60" t="str">
        <f>IFERROR(VLOOKUP(D170,'基础-领用人及部门'!$C:$D,2,FALSE),"-")</f>
        <v>综合办</v>
      </c>
      <c r="F170" s="87" t="s">
        <v>173</v>
      </c>
      <c r="G170" s="60" t="str">
        <f>IFERROR(VLOOKUP($F170,'基础-办公用品信息'!$C:$E,2,FALSE),"-")</f>
        <v>条</v>
      </c>
      <c r="H170" s="60">
        <f>IFERROR(VLOOKUP($F170,'基础-办公用品信息'!$C:$E,3,FALSE),"-")</f>
        <v>0</v>
      </c>
      <c r="I170" s="60">
        <v>4</v>
      </c>
      <c r="J170" s="60">
        <f>IFERROR(VLOOKUP($F170,'基础-办公用品信息'!$C:$F,4,FALSE),"-")</f>
        <v>0</v>
      </c>
      <c r="K170" s="60">
        <f t="shared" si="6"/>
        <v>0</v>
      </c>
      <c r="L170" s="87"/>
      <c r="M170" s="60">
        <f t="shared" si="7"/>
        <v>2023</v>
      </c>
      <c r="N170" s="60">
        <f t="shared" si="8"/>
        <v>1</v>
      </c>
    </row>
    <row r="171" customHeight="1" spans="2:14">
      <c r="B171" s="86">
        <v>168</v>
      </c>
      <c r="C171" s="128">
        <v>44928</v>
      </c>
      <c r="D171" s="87" t="s">
        <v>331</v>
      </c>
      <c r="E171" s="60" t="str">
        <f>IFERROR(VLOOKUP(D171,'基础-领用人及部门'!$C:$D,2,FALSE),"-")</f>
        <v>工程部</v>
      </c>
      <c r="F171" s="87" t="s">
        <v>41</v>
      </c>
      <c r="G171" s="60" t="str">
        <f>IFERROR(VLOOKUP($F171,'基础-办公用品信息'!$C:$E,2,FALSE),"-")</f>
        <v>支</v>
      </c>
      <c r="H171" s="60">
        <f>IFERROR(VLOOKUP($F171,'基础-办公用品信息'!$C:$E,3,FALSE),"-")</f>
        <v>0</v>
      </c>
      <c r="I171" s="60">
        <v>12</v>
      </c>
      <c r="J171" s="60">
        <f>IFERROR(VLOOKUP($F171,'基础-办公用品信息'!$C:$F,4,FALSE),"-")</f>
        <v>1.3</v>
      </c>
      <c r="K171" s="60">
        <f t="shared" si="6"/>
        <v>15.6</v>
      </c>
      <c r="L171" s="87"/>
      <c r="M171" s="60">
        <f t="shared" si="7"/>
        <v>2023</v>
      </c>
      <c r="N171" s="60">
        <f t="shared" si="8"/>
        <v>1</v>
      </c>
    </row>
    <row r="172" customHeight="1" spans="2:14">
      <c r="B172" s="86">
        <v>169</v>
      </c>
      <c r="C172" s="128">
        <v>44929</v>
      </c>
      <c r="D172" s="87" t="s">
        <v>342</v>
      </c>
      <c r="E172" s="60" t="str">
        <f>IFERROR(VLOOKUP(D172,'基础-领用人及部门'!$C:$D,2,FALSE),"-")</f>
        <v>销售部</v>
      </c>
      <c r="F172" s="87" t="s">
        <v>111</v>
      </c>
      <c r="G172" s="60" t="str">
        <f>IFERROR(VLOOKUP($F172,'基础-办公用品信息'!$C:$E,2,FALSE),"-")</f>
        <v>包</v>
      </c>
      <c r="H172" s="60">
        <f>IFERROR(VLOOKUP($F172,'基础-办公用品信息'!$C:$E,3,FALSE),"-")</f>
        <v>0</v>
      </c>
      <c r="I172" s="60">
        <v>50</v>
      </c>
      <c r="J172" s="60">
        <f>IFERROR(VLOOKUP($F172,'基础-办公用品信息'!$C:$F,4,FALSE),"-")</f>
        <v>0.3</v>
      </c>
      <c r="K172" s="60">
        <f t="shared" si="6"/>
        <v>15</v>
      </c>
      <c r="L172" s="87"/>
      <c r="M172" s="60">
        <f t="shared" si="7"/>
        <v>2023</v>
      </c>
      <c r="N172" s="60">
        <f t="shared" si="8"/>
        <v>1</v>
      </c>
    </row>
    <row r="173" customHeight="1" spans="2:14">
      <c r="B173" s="86">
        <v>170</v>
      </c>
      <c r="C173" s="128">
        <v>44929</v>
      </c>
      <c r="D173" s="87" t="s">
        <v>319</v>
      </c>
      <c r="E173" s="60" t="str">
        <f>IFERROR(VLOOKUP(D173,'基础-领用人及部门'!$C:$D,2,FALSE),"-")</f>
        <v>成本部</v>
      </c>
      <c r="F173" s="87" t="s">
        <v>101</v>
      </c>
      <c r="G173" s="60" t="str">
        <f>IFERROR(VLOOKUP($F173,'基础-办公用品信息'!$C:$E,2,FALSE),"-")</f>
        <v>本</v>
      </c>
      <c r="H173" s="60">
        <f>IFERROR(VLOOKUP($F173,'基础-办公用品信息'!$C:$E,3,FALSE),"-")</f>
        <v>0</v>
      </c>
      <c r="I173" s="60">
        <v>3</v>
      </c>
      <c r="J173" s="60">
        <f>IFERROR(VLOOKUP($F173,'基础-办公用品信息'!$C:$F,4,FALSE),"-")</f>
        <v>0</v>
      </c>
      <c r="K173" s="60">
        <f t="shared" si="6"/>
        <v>0</v>
      </c>
      <c r="L173" s="87"/>
      <c r="M173" s="60">
        <f t="shared" si="7"/>
        <v>2023</v>
      </c>
      <c r="N173" s="60">
        <f t="shared" si="8"/>
        <v>1</v>
      </c>
    </row>
    <row r="174" customHeight="1" spans="2:14">
      <c r="B174" s="86">
        <v>171</v>
      </c>
      <c r="C174" s="128">
        <v>44930</v>
      </c>
      <c r="D174" s="87" t="s">
        <v>333</v>
      </c>
      <c r="E174" s="60" t="str">
        <f>IFERROR(VLOOKUP(D174,'基础-领用人及部门'!$C:$D,2,FALSE),"-")</f>
        <v>综合办</v>
      </c>
      <c r="F174" s="87" t="s">
        <v>190</v>
      </c>
      <c r="G174" s="60" t="str">
        <f>IFERROR(VLOOKUP($F174,'基础-办公用品信息'!$C:$E,2,FALSE),"-")</f>
        <v>卷</v>
      </c>
      <c r="H174" s="60">
        <f>IFERROR(VLOOKUP($F174,'基础-办公用品信息'!$C:$E,3,FALSE),"-")</f>
        <v>0</v>
      </c>
      <c r="I174" s="60">
        <v>10</v>
      </c>
      <c r="J174" s="60">
        <f>IFERROR(VLOOKUP($F174,'基础-办公用品信息'!$C:$F,4,FALSE),"-")</f>
        <v>0</v>
      </c>
      <c r="K174" s="60">
        <f t="shared" si="6"/>
        <v>0</v>
      </c>
      <c r="L174" s="87"/>
      <c r="M174" s="60">
        <f t="shared" si="7"/>
        <v>2023</v>
      </c>
      <c r="N174" s="60">
        <f t="shared" si="8"/>
        <v>1</v>
      </c>
    </row>
    <row r="175" customHeight="1" spans="2:14">
      <c r="B175" s="86">
        <v>172</v>
      </c>
      <c r="C175" s="128">
        <v>44930</v>
      </c>
      <c r="D175" s="87" t="s">
        <v>286</v>
      </c>
      <c r="E175" s="60" t="str">
        <f>IFERROR(VLOOKUP(D175,'基础-领用人及部门'!$C:$D,2,FALSE),"-")</f>
        <v>综合办</v>
      </c>
      <c r="F175" s="87" t="s">
        <v>111</v>
      </c>
      <c r="G175" s="60" t="str">
        <f>IFERROR(VLOOKUP($F175,'基础-办公用品信息'!$C:$E,2,FALSE),"-")</f>
        <v>包</v>
      </c>
      <c r="H175" s="60">
        <f>IFERROR(VLOOKUP($F175,'基础-办公用品信息'!$C:$E,3,FALSE),"-")</f>
        <v>0</v>
      </c>
      <c r="I175" s="60">
        <v>5</v>
      </c>
      <c r="J175" s="60">
        <f>IFERROR(VLOOKUP($F175,'基础-办公用品信息'!$C:$F,4,FALSE),"-")</f>
        <v>0.3</v>
      </c>
      <c r="K175" s="60">
        <f t="shared" si="6"/>
        <v>1.5</v>
      </c>
      <c r="L175" s="87"/>
      <c r="M175" s="60">
        <f t="shared" si="7"/>
        <v>2023</v>
      </c>
      <c r="N175" s="60">
        <f t="shared" si="8"/>
        <v>1</v>
      </c>
    </row>
    <row r="176" customHeight="1" spans="2:14">
      <c r="B176" s="86">
        <v>173</v>
      </c>
      <c r="C176" s="128">
        <v>44930</v>
      </c>
      <c r="D176" s="87" t="s">
        <v>308</v>
      </c>
      <c r="E176" s="60" t="str">
        <f>IFERROR(VLOOKUP(D176,'基础-领用人及部门'!$C:$D,2,FALSE),"-")</f>
        <v>技术部</v>
      </c>
      <c r="F176" s="87" t="s">
        <v>165</v>
      </c>
      <c r="G176" s="60" t="str">
        <f>IFERROR(VLOOKUP($F176,'基础-办公用品信息'!$C:$E,2,FALSE),"-")</f>
        <v>打</v>
      </c>
      <c r="H176" s="60">
        <f>IFERROR(VLOOKUP($F176,'基础-办公用品信息'!$C:$E,3,FALSE),"-")</f>
        <v>0</v>
      </c>
      <c r="I176" s="60">
        <v>2</v>
      </c>
      <c r="J176" s="60">
        <f>IFERROR(VLOOKUP($F176,'基础-办公用品信息'!$C:$F,4,FALSE),"-")</f>
        <v>0</v>
      </c>
      <c r="K176" s="60">
        <f t="shared" si="6"/>
        <v>0</v>
      </c>
      <c r="L176" s="87"/>
      <c r="M176" s="60">
        <f t="shared" si="7"/>
        <v>2023</v>
      </c>
      <c r="N176" s="60">
        <f t="shared" si="8"/>
        <v>1</v>
      </c>
    </row>
    <row r="177" customHeight="1" spans="2:14">
      <c r="B177" s="86">
        <v>174</v>
      </c>
      <c r="C177" s="128">
        <v>44930</v>
      </c>
      <c r="D177" s="87" t="s">
        <v>263</v>
      </c>
      <c r="E177" s="60" t="str">
        <f>IFERROR(VLOOKUP(D177,'基础-领用人及部门'!$C:$D,2,FALSE),"-")</f>
        <v>综合办</v>
      </c>
      <c r="F177" s="87" t="s">
        <v>114</v>
      </c>
      <c r="G177" s="60" t="str">
        <f>IFERROR(VLOOKUP($F177,'基础-办公用品信息'!$C:$E,2,FALSE),"-")</f>
        <v>个</v>
      </c>
      <c r="H177" s="60">
        <f>IFERROR(VLOOKUP($F177,'基础-办公用品信息'!$C:$E,3,FALSE),"-")</f>
        <v>0</v>
      </c>
      <c r="I177" s="60">
        <v>1</v>
      </c>
      <c r="J177" s="60">
        <f>IFERROR(VLOOKUP($F177,'基础-办公用品信息'!$C:$F,4,FALSE),"-")</f>
        <v>30</v>
      </c>
      <c r="K177" s="60">
        <f t="shared" si="6"/>
        <v>30</v>
      </c>
      <c r="L177" s="87"/>
      <c r="M177" s="60">
        <f t="shared" si="7"/>
        <v>2023</v>
      </c>
      <c r="N177" s="60">
        <f t="shared" si="8"/>
        <v>1</v>
      </c>
    </row>
    <row r="178" customHeight="1" spans="2:14">
      <c r="B178" s="86">
        <v>175</v>
      </c>
      <c r="C178" s="128">
        <v>44930</v>
      </c>
      <c r="D178" s="87" t="s">
        <v>330</v>
      </c>
      <c r="E178" s="60" t="str">
        <f>IFERROR(VLOOKUP(D178,'基础-领用人及部门'!$C:$D,2,FALSE),"-")</f>
        <v>工程部</v>
      </c>
      <c r="F178" s="87" t="s">
        <v>104</v>
      </c>
      <c r="G178" s="60" t="str">
        <f>IFERROR(VLOOKUP($F178,'基础-办公用品信息'!$C:$E,2,FALSE),"-")</f>
        <v>本</v>
      </c>
      <c r="H178" s="60">
        <f>IFERROR(VLOOKUP($F178,'基础-办公用品信息'!$C:$E,3,FALSE),"-")</f>
        <v>0</v>
      </c>
      <c r="I178" s="60">
        <v>3</v>
      </c>
      <c r="J178" s="60">
        <f>IFERROR(VLOOKUP($F178,'基础-办公用品信息'!$C:$F,4,FALSE),"-")</f>
        <v>0</v>
      </c>
      <c r="K178" s="60">
        <f t="shared" si="6"/>
        <v>0</v>
      </c>
      <c r="L178" s="87"/>
      <c r="M178" s="60">
        <f t="shared" si="7"/>
        <v>2023</v>
      </c>
      <c r="N178" s="60">
        <f t="shared" si="8"/>
        <v>1</v>
      </c>
    </row>
    <row r="179" customHeight="1" spans="2:14">
      <c r="B179" s="86">
        <v>176</v>
      </c>
      <c r="C179" s="128">
        <v>44930</v>
      </c>
      <c r="D179" s="87" t="s">
        <v>330</v>
      </c>
      <c r="E179" s="60" t="str">
        <f>IFERROR(VLOOKUP(D179,'基础-领用人及部门'!$C:$D,2,FALSE),"-")</f>
        <v>工程部</v>
      </c>
      <c r="F179" s="87" t="s">
        <v>103</v>
      </c>
      <c r="G179" s="60" t="str">
        <f>IFERROR(VLOOKUP($F179,'基础-办公用品信息'!$C:$E,2,FALSE),"-")</f>
        <v>本</v>
      </c>
      <c r="H179" s="60">
        <f>IFERROR(VLOOKUP($F179,'基础-办公用品信息'!$C:$E,3,FALSE),"-")</f>
        <v>0</v>
      </c>
      <c r="I179" s="60">
        <v>3</v>
      </c>
      <c r="J179" s="60">
        <f>IFERROR(VLOOKUP($F179,'基础-办公用品信息'!$C:$F,4,FALSE),"-")</f>
        <v>0</v>
      </c>
      <c r="K179" s="60">
        <f t="shared" si="6"/>
        <v>0</v>
      </c>
      <c r="L179" s="87"/>
      <c r="M179" s="60">
        <f t="shared" si="7"/>
        <v>2023</v>
      </c>
      <c r="N179" s="60">
        <f t="shared" si="8"/>
        <v>1</v>
      </c>
    </row>
    <row r="180" customHeight="1" spans="2:14">
      <c r="B180" s="86">
        <v>177</v>
      </c>
      <c r="C180" s="128">
        <v>44931</v>
      </c>
      <c r="D180" s="87" t="s">
        <v>270</v>
      </c>
      <c r="E180" s="60" t="str">
        <f>IFERROR(VLOOKUP(D180,'基础-领用人及部门'!$C:$D,2,FALSE),"-")</f>
        <v>综合办</v>
      </c>
      <c r="F180" s="87" t="s">
        <v>41</v>
      </c>
      <c r="G180" s="60" t="str">
        <f>IFERROR(VLOOKUP($F180,'基础-办公用品信息'!$C:$E,2,FALSE),"-")</f>
        <v>支</v>
      </c>
      <c r="H180" s="60">
        <f>IFERROR(VLOOKUP($F180,'基础-办公用品信息'!$C:$E,3,FALSE),"-")</f>
        <v>0</v>
      </c>
      <c r="I180" s="60">
        <v>7</v>
      </c>
      <c r="J180" s="60">
        <f>IFERROR(VLOOKUP($F180,'基础-办公用品信息'!$C:$F,4,FALSE),"-")</f>
        <v>1.3</v>
      </c>
      <c r="K180" s="60">
        <f t="shared" si="6"/>
        <v>9.1</v>
      </c>
      <c r="L180" s="87"/>
      <c r="M180" s="60">
        <f t="shared" si="7"/>
        <v>2023</v>
      </c>
      <c r="N180" s="60">
        <f t="shared" si="8"/>
        <v>1</v>
      </c>
    </row>
    <row r="181" customHeight="1" spans="2:14">
      <c r="B181" s="86">
        <v>178</v>
      </c>
      <c r="C181" s="128">
        <v>44931</v>
      </c>
      <c r="D181" s="87" t="s">
        <v>282</v>
      </c>
      <c r="E181" s="60" t="str">
        <f>IFERROR(VLOOKUP(D181,'基础-领用人及部门'!$C:$D,2,FALSE),"-")</f>
        <v>综合办</v>
      </c>
      <c r="F181" s="87" t="s">
        <v>111</v>
      </c>
      <c r="G181" s="60" t="str">
        <f>IFERROR(VLOOKUP($F181,'基础-办公用品信息'!$C:$E,2,FALSE),"-")</f>
        <v>包</v>
      </c>
      <c r="H181" s="60">
        <f>IFERROR(VLOOKUP($F181,'基础-办公用品信息'!$C:$E,3,FALSE),"-")</f>
        <v>0</v>
      </c>
      <c r="I181" s="60">
        <v>5</v>
      </c>
      <c r="J181" s="60">
        <f>IFERROR(VLOOKUP($F181,'基础-办公用品信息'!$C:$F,4,FALSE),"-")</f>
        <v>0.3</v>
      </c>
      <c r="K181" s="60">
        <f t="shared" si="6"/>
        <v>1.5</v>
      </c>
      <c r="L181" s="87"/>
      <c r="M181" s="60">
        <f t="shared" si="7"/>
        <v>2023</v>
      </c>
      <c r="N181" s="60">
        <f t="shared" si="8"/>
        <v>1</v>
      </c>
    </row>
    <row r="182" customHeight="1" spans="2:14">
      <c r="B182" s="86">
        <v>179</v>
      </c>
      <c r="C182" s="128">
        <v>44931</v>
      </c>
      <c r="D182" s="87" t="s">
        <v>265</v>
      </c>
      <c r="E182" s="60" t="str">
        <f>IFERROR(VLOOKUP(D182,'基础-领用人及部门'!$C:$D,2,FALSE),"-")</f>
        <v>综合办</v>
      </c>
      <c r="F182" s="87" t="s">
        <v>133</v>
      </c>
      <c r="G182" s="60" t="str">
        <f>IFERROR(VLOOKUP($F182,'基础-办公用品信息'!$C:$E,2,FALSE),"-")</f>
        <v>包</v>
      </c>
      <c r="H182" s="60">
        <f>IFERROR(VLOOKUP($F182,'基础-办公用品信息'!$C:$E,3,FALSE),"-")</f>
        <v>0</v>
      </c>
      <c r="I182" s="60">
        <v>9</v>
      </c>
      <c r="J182" s="60">
        <f>IFERROR(VLOOKUP($F182,'基础-办公用品信息'!$C:$F,4,FALSE),"-")</f>
        <v>2.5</v>
      </c>
      <c r="K182" s="60">
        <f t="shared" si="6"/>
        <v>22.5</v>
      </c>
      <c r="L182" s="87"/>
      <c r="M182" s="60">
        <f t="shared" si="7"/>
        <v>2023</v>
      </c>
      <c r="N182" s="60">
        <f t="shared" si="8"/>
        <v>1</v>
      </c>
    </row>
    <row r="183" customHeight="1" spans="2:14">
      <c r="B183" s="86">
        <v>180</v>
      </c>
      <c r="C183" s="128">
        <v>44931</v>
      </c>
      <c r="D183" s="87" t="s">
        <v>331</v>
      </c>
      <c r="E183" s="60" t="str">
        <f>IFERROR(VLOOKUP(D183,'基础-领用人及部门'!$C:$D,2,FALSE),"-")</f>
        <v>工程部</v>
      </c>
      <c r="F183" s="87" t="s">
        <v>180</v>
      </c>
      <c r="G183" s="60" t="str">
        <f>IFERROR(VLOOKUP($F183,'基础-办公用品信息'!$C:$E,2,FALSE),"-")</f>
        <v>顶</v>
      </c>
      <c r="H183" s="60">
        <f>IFERROR(VLOOKUP($F183,'基础-办公用品信息'!$C:$E,3,FALSE),"-")</f>
        <v>0</v>
      </c>
      <c r="I183" s="60">
        <v>5</v>
      </c>
      <c r="J183" s="60">
        <f>IFERROR(VLOOKUP($F183,'基础-办公用品信息'!$C:$F,4,FALSE),"-")</f>
        <v>0</v>
      </c>
      <c r="K183" s="60">
        <f t="shared" si="6"/>
        <v>0</v>
      </c>
      <c r="L183" s="87"/>
      <c r="M183" s="60">
        <f t="shared" si="7"/>
        <v>2023</v>
      </c>
      <c r="N183" s="60">
        <f t="shared" si="8"/>
        <v>1</v>
      </c>
    </row>
    <row r="184" customHeight="1" spans="2:14">
      <c r="B184" s="86">
        <v>181</v>
      </c>
      <c r="C184" s="128">
        <v>44931</v>
      </c>
      <c r="D184" s="87" t="s">
        <v>331</v>
      </c>
      <c r="E184" s="60" t="str">
        <f>IFERROR(VLOOKUP(D184,'基础-领用人及部门'!$C:$D,2,FALSE),"-")</f>
        <v>工程部</v>
      </c>
      <c r="F184" s="87" t="s">
        <v>112</v>
      </c>
      <c r="G184" s="60" t="str">
        <f>IFERROR(VLOOKUP($F184,'基础-办公用品信息'!$C:$E,2,FALSE),"-")</f>
        <v>筒</v>
      </c>
      <c r="H184" s="60">
        <f>IFERROR(VLOOKUP($F184,'基础-办公用品信息'!$C:$E,3,FALSE),"-")</f>
        <v>0</v>
      </c>
      <c r="I184" s="60">
        <v>6</v>
      </c>
      <c r="J184" s="60">
        <f>IFERROR(VLOOKUP($F184,'基础-办公用品信息'!$C:$F,4,FALSE),"-")</f>
        <v>0.2</v>
      </c>
      <c r="K184" s="60">
        <f t="shared" si="6"/>
        <v>1.2</v>
      </c>
      <c r="L184" s="87"/>
      <c r="M184" s="60">
        <f t="shared" si="7"/>
        <v>2023</v>
      </c>
      <c r="N184" s="60">
        <f t="shared" si="8"/>
        <v>1</v>
      </c>
    </row>
    <row r="185" customHeight="1" spans="2:14">
      <c r="B185" s="86">
        <v>182</v>
      </c>
      <c r="C185" s="128">
        <v>44932</v>
      </c>
      <c r="D185" s="87" t="s">
        <v>278</v>
      </c>
      <c r="E185" s="60" t="str">
        <f>IFERROR(VLOOKUP(D185,'基础-领用人及部门'!$C:$D,2,FALSE),"-")</f>
        <v>综合办</v>
      </c>
      <c r="F185" s="87" t="s">
        <v>187</v>
      </c>
      <c r="G185" s="60" t="str">
        <f>IFERROR(VLOOKUP($F185,'基础-办公用品信息'!$C:$E,2,FALSE),"-")</f>
        <v>双</v>
      </c>
      <c r="H185" s="60">
        <f>IFERROR(VLOOKUP($F185,'基础-办公用品信息'!$C:$E,3,FALSE),"-")</f>
        <v>0</v>
      </c>
      <c r="I185" s="60">
        <v>3</v>
      </c>
      <c r="J185" s="60">
        <f>IFERROR(VLOOKUP($F185,'基础-办公用品信息'!$C:$F,4,FALSE),"-")</f>
        <v>0</v>
      </c>
      <c r="K185" s="60">
        <f t="shared" si="6"/>
        <v>0</v>
      </c>
      <c r="L185" s="87"/>
      <c r="M185" s="60">
        <f t="shared" si="7"/>
        <v>2023</v>
      </c>
      <c r="N185" s="60">
        <f t="shared" si="8"/>
        <v>1</v>
      </c>
    </row>
    <row r="186" customHeight="1" spans="2:14">
      <c r="B186" s="86">
        <v>183</v>
      </c>
      <c r="C186" s="128">
        <v>44932</v>
      </c>
      <c r="D186" s="87" t="s">
        <v>278</v>
      </c>
      <c r="E186" s="60" t="str">
        <f>IFERROR(VLOOKUP(D186,'基础-领用人及部门'!$C:$D,2,FALSE),"-")</f>
        <v>综合办</v>
      </c>
      <c r="F186" s="87" t="s">
        <v>173</v>
      </c>
      <c r="G186" s="60" t="str">
        <f>IFERROR(VLOOKUP($F186,'基础-办公用品信息'!$C:$E,2,FALSE),"-")</f>
        <v>条</v>
      </c>
      <c r="H186" s="60">
        <f>IFERROR(VLOOKUP($F186,'基础-办公用品信息'!$C:$E,3,FALSE),"-")</f>
        <v>0</v>
      </c>
      <c r="I186" s="60">
        <v>3</v>
      </c>
      <c r="J186" s="60">
        <f>IFERROR(VLOOKUP($F186,'基础-办公用品信息'!$C:$F,4,FALSE),"-")</f>
        <v>0</v>
      </c>
      <c r="K186" s="60">
        <f t="shared" si="6"/>
        <v>0</v>
      </c>
      <c r="L186" s="87"/>
      <c r="M186" s="60">
        <f t="shared" si="7"/>
        <v>2023</v>
      </c>
      <c r="N186" s="60">
        <f t="shared" si="8"/>
        <v>1</v>
      </c>
    </row>
    <row r="187" customHeight="1" spans="2:14">
      <c r="B187" s="86">
        <v>184</v>
      </c>
      <c r="C187" s="128">
        <v>44932</v>
      </c>
      <c r="D187" s="87" t="s">
        <v>333</v>
      </c>
      <c r="E187" s="60" t="str">
        <f>IFERROR(VLOOKUP(D187,'基础-领用人及部门'!$C:$D,2,FALSE),"-")</f>
        <v>综合办</v>
      </c>
      <c r="F187" s="87" t="s">
        <v>173</v>
      </c>
      <c r="G187" s="60" t="str">
        <f>IFERROR(VLOOKUP($F187,'基础-办公用品信息'!$C:$E,2,FALSE),"-")</f>
        <v>条</v>
      </c>
      <c r="H187" s="60">
        <f>IFERROR(VLOOKUP($F187,'基础-办公用品信息'!$C:$E,3,FALSE),"-")</f>
        <v>0</v>
      </c>
      <c r="I187" s="60">
        <v>2</v>
      </c>
      <c r="J187" s="60">
        <f>IFERROR(VLOOKUP($F187,'基础-办公用品信息'!$C:$F,4,FALSE),"-")</f>
        <v>0</v>
      </c>
      <c r="K187" s="60">
        <f t="shared" si="6"/>
        <v>0</v>
      </c>
      <c r="L187" s="87"/>
      <c r="M187" s="60">
        <f t="shared" si="7"/>
        <v>2023</v>
      </c>
      <c r="N187" s="60">
        <f t="shared" si="8"/>
        <v>1</v>
      </c>
    </row>
    <row r="188" customHeight="1" spans="2:14">
      <c r="B188" s="86">
        <v>185</v>
      </c>
      <c r="C188" s="128">
        <v>44932</v>
      </c>
      <c r="D188" s="87" t="s">
        <v>333</v>
      </c>
      <c r="E188" s="60" t="str">
        <f>IFERROR(VLOOKUP(D188,'基础-领用人及部门'!$C:$D,2,FALSE),"-")</f>
        <v>综合办</v>
      </c>
      <c r="F188" s="87" t="s">
        <v>176</v>
      </c>
      <c r="G188" s="60" t="str">
        <f>IFERROR(VLOOKUP($F188,'基础-办公用品信息'!$C:$E,2,FALSE),"-")</f>
        <v>个</v>
      </c>
      <c r="H188" s="60">
        <f>IFERROR(VLOOKUP($F188,'基础-办公用品信息'!$C:$E,3,FALSE),"-")</f>
        <v>0</v>
      </c>
      <c r="I188" s="60">
        <v>3</v>
      </c>
      <c r="J188" s="60">
        <f>IFERROR(VLOOKUP($F188,'基础-办公用品信息'!$C:$F,4,FALSE),"-")</f>
        <v>0</v>
      </c>
      <c r="K188" s="60">
        <f t="shared" si="6"/>
        <v>0</v>
      </c>
      <c r="L188" s="87"/>
      <c r="M188" s="60">
        <f t="shared" si="7"/>
        <v>2023</v>
      </c>
      <c r="N188" s="60">
        <f t="shared" si="8"/>
        <v>1</v>
      </c>
    </row>
    <row r="189" customHeight="1" spans="2:14">
      <c r="B189" s="86">
        <v>186</v>
      </c>
      <c r="C189" s="128">
        <v>44932</v>
      </c>
      <c r="D189" s="87" t="s">
        <v>333</v>
      </c>
      <c r="E189" s="60" t="str">
        <f>IFERROR(VLOOKUP(D189,'基础-领用人及部门'!$C:$D,2,FALSE),"-")</f>
        <v>综合办</v>
      </c>
      <c r="F189" s="87" t="s">
        <v>130</v>
      </c>
      <c r="G189" s="60" t="str">
        <f>IFERROR(VLOOKUP($F189,'基础-办公用品信息'!$C:$E,2,FALSE),"-")</f>
        <v>提</v>
      </c>
      <c r="H189" s="60">
        <f>IFERROR(VLOOKUP($F189,'基础-办公用品信息'!$C:$E,3,FALSE),"-")</f>
        <v>0</v>
      </c>
      <c r="I189" s="60">
        <v>1</v>
      </c>
      <c r="J189" s="60">
        <f>IFERROR(VLOOKUP($F189,'基础-办公用品信息'!$C:$F,4,FALSE),"-")</f>
        <v>11.5</v>
      </c>
      <c r="K189" s="60">
        <f t="shared" si="6"/>
        <v>11.5</v>
      </c>
      <c r="L189" s="87"/>
      <c r="M189" s="60">
        <f t="shared" si="7"/>
        <v>2023</v>
      </c>
      <c r="N189" s="60">
        <f t="shared" si="8"/>
        <v>1</v>
      </c>
    </row>
    <row r="190" customHeight="1" spans="2:14">
      <c r="B190" s="86">
        <v>187</v>
      </c>
      <c r="C190" s="128">
        <v>44935</v>
      </c>
      <c r="D190" s="87" t="s">
        <v>270</v>
      </c>
      <c r="E190" s="60" t="str">
        <f>IFERROR(VLOOKUP(D190,'基础-领用人及部门'!$C:$D,2,FALSE),"-")</f>
        <v>综合办</v>
      </c>
      <c r="F190" s="87" t="s">
        <v>84</v>
      </c>
      <c r="G190" s="60" t="str">
        <f>IFERROR(VLOOKUP($F190,'基础-办公用品信息'!$C:$E,2,FALSE),"-")</f>
        <v>个</v>
      </c>
      <c r="H190" s="60">
        <f>IFERROR(VLOOKUP($F190,'基础-办公用品信息'!$C:$E,3,FALSE),"-")</f>
        <v>0</v>
      </c>
      <c r="I190" s="60">
        <v>1</v>
      </c>
      <c r="J190" s="60">
        <f>IFERROR(VLOOKUP($F190,'基础-办公用品信息'!$C:$F,4,FALSE),"-")</f>
        <v>26</v>
      </c>
      <c r="K190" s="60">
        <f t="shared" si="6"/>
        <v>26</v>
      </c>
      <c r="L190" s="87"/>
      <c r="M190" s="60">
        <f t="shared" si="7"/>
        <v>2023</v>
      </c>
      <c r="N190" s="60">
        <f t="shared" si="8"/>
        <v>1</v>
      </c>
    </row>
    <row r="191" customHeight="1" spans="2:14">
      <c r="B191" s="86">
        <v>188</v>
      </c>
      <c r="C191" s="128">
        <v>44935</v>
      </c>
      <c r="D191" s="87" t="s">
        <v>265</v>
      </c>
      <c r="E191" s="60" t="str">
        <f>IFERROR(VLOOKUP(D191,'基础-领用人及部门'!$C:$D,2,FALSE),"-")</f>
        <v>综合办</v>
      </c>
      <c r="F191" s="87" t="s">
        <v>177</v>
      </c>
      <c r="G191" s="60" t="str">
        <f>IFERROR(VLOOKUP($F191,'基础-办公用品信息'!$C:$E,2,FALSE),"-")</f>
        <v>瓶</v>
      </c>
      <c r="H191" s="60">
        <f>IFERROR(VLOOKUP($F191,'基础-办公用品信息'!$C:$E,3,FALSE),"-")</f>
        <v>0</v>
      </c>
      <c r="I191" s="60">
        <v>1</v>
      </c>
      <c r="J191" s="60">
        <f>IFERROR(VLOOKUP($F191,'基础-办公用品信息'!$C:$F,4,FALSE),"-")</f>
        <v>0</v>
      </c>
      <c r="K191" s="60">
        <f t="shared" si="6"/>
        <v>0</v>
      </c>
      <c r="L191" s="87"/>
      <c r="M191" s="60">
        <f t="shared" si="7"/>
        <v>2023</v>
      </c>
      <c r="N191" s="60">
        <f t="shared" si="8"/>
        <v>1</v>
      </c>
    </row>
    <row r="192" customHeight="1" spans="2:14">
      <c r="B192" s="86">
        <v>189</v>
      </c>
      <c r="C192" s="128">
        <v>44935</v>
      </c>
      <c r="D192" s="87" t="s">
        <v>286</v>
      </c>
      <c r="E192" s="60" t="str">
        <f>IFERROR(VLOOKUP(D192,'基础-领用人及部门'!$C:$D,2,FALSE),"-")</f>
        <v>综合办</v>
      </c>
      <c r="F192" s="87" t="s">
        <v>59</v>
      </c>
      <c r="G192" s="60" t="str">
        <f>IFERROR(VLOOKUP($F192,'基础-办公用品信息'!$C:$E,2,FALSE),"-")</f>
        <v>把</v>
      </c>
      <c r="H192" s="60">
        <f>IFERROR(VLOOKUP($F192,'基础-办公用品信息'!$C:$E,3,FALSE),"-")</f>
        <v>0</v>
      </c>
      <c r="I192" s="60">
        <v>1</v>
      </c>
      <c r="J192" s="60">
        <f>IFERROR(VLOOKUP($F192,'基础-办公用品信息'!$C:$F,4,FALSE),"-")</f>
        <v>3.5</v>
      </c>
      <c r="K192" s="60">
        <f t="shared" si="6"/>
        <v>3.5</v>
      </c>
      <c r="L192" s="87"/>
      <c r="M192" s="60">
        <f t="shared" si="7"/>
        <v>2023</v>
      </c>
      <c r="N192" s="60">
        <f t="shared" si="8"/>
        <v>1</v>
      </c>
    </row>
    <row r="193" customHeight="1" spans="2:14">
      <c r="B193" s="86">
        <v>190</v>
      </c>
      <c r="C193" s="128">
        <v>44935</v>
      </c>
      <c r="D193" s="87" t="s">
        <v>286</v>
      </c>
      <c r="E193" s="60" t="str">
        <f>IFERROR(VLOOKUP(D193,'基础-领用人及部门'!$C:$D,2,FALSE),"-")</f>
        <v>综合办</v>
      </c>
      <c r="F193" s="87" t="s">
        <v>41</v>
      </c>
      <c r="G193" s="60" t="str">
        <f>IFERROR(VLOOKUP($F193,'基础-办公用品信息'!$C:$E,2,FALSE),"-")</f>
        <v>支</v>
      </c>
      <c r="H193" s="60">
        <f>IFERROR(VLOOKUP($F193,'基础-办公用品信息'!$C:$E,3,FALSE),"-")</f>
        <v>0</v>
      </c>
      <c r="I193" s="60">
        <v>12</v>
      </c>
      <c r="J193" s="60">
        <f>IFERROR(VLOOKUP($F193,'基础-办公用品信息'!$C:$F,4,FALSE),"-")</f>
        <v>1.3</v>
      </c>
      <c r="K193" s="60">
        <f t="shared" si="6"/>
        <v>15.6</v>
      </c>
      <c r="L193" s="87"/>
      <c r="M193" s="60">
        <f t="shared" si="7"/>
        <v>2023</v>
      </c>
      <c r="N193" s="60">
        <f t="shared" si="8"/>
        <v>1</v>
      </c>
    </row>
    <row r="194" customHeight="1" spans="2:14">
      <c r="B194" s="86">
        <v>191</v>
      </c>
      <c r="C194" s="128">
        <v>44935</v>
      </c>
      <c r="D194" s="87" t="s">
        <v>270</v>
      </c>
      <c r="E194" s="60" t="str">
        <f>IFERROR(VLOOKUP(D194,'基础-领用人及部门'!$C:$D,2,FALSE),"-")</f>
        <v>综合办</v>
      </c>
      <c r="F194" s="87" t="s">
        <v>80</v>
      </c>
      <c r="G194" s="60" t="str">
        <f>IFERROR(VLOOKUP($F194,'基础-办公用品信息'!$C:$E,2,FALSE),"-")</f>
        <v>盒</v>
      </c>
      <c r="H194" s="60">
        <f>IFERROR(VLOOKUP($F194,'基础-办公用品信息'!$C:$E,3,FALSE),"-")</f>
        <v>0</v>
      </c>
      <c r="I194" s="60">
        <v>1</v>
      </c>
      <c r="J194" s="60">
        <f>IFERROR(VLOOKUP($F194,'基础-办公用品信息'!$C:$F,4,FALSE),"-")</f>
        <v>15</v>
      </c>
      <c r="K194" s="60">
        <f t="shared" si="6"/>
        <v>15</v>
      </c>
      <c r="L194" s="87"/>
      <c r="M194" s="60">
        <f t="shared" si="7"/>
        <v>2023</v>
      </c>
      <c r="N194" s="60">
        <f t="shared" si="8"/>
        <v>1</v>
      </c>
    </row>
    <row r="195" customHeight="1" spans="2:14">
      <c r="B195" s="86">
        <v>192</v>
      </c>
      <c r="C195" s="128">
        <v>44935</v>
      </c>
      <c r="D195" s="87" t="s">
        <v>321</v>
      </c>
      <c r="E195" s="60" t="str">
        <f>IFERROR(VLOOKUP(D195,'基础-领用人及部门'!$C:$D,2,FALSE),"-")</f>
        <v>销售部</v>
      </c>
      <c r="F195" s="87" t="s">
        <v>193</v>
      </c>
      <c r="G195" s="60" t="str">
        <f>IFERROR(VLOOKUP($F195,'基础-办公用品信息'!$C:$E,2,FALSE),"-")</f>
        <v>个</v>
      </c>
      <c r="H195" s="60">
        <f>IFERROR(VLOOKUP($F195,'基础-办公用品信息'!$C:$E,3,FALSE),"-")</f>
        <v>0</v>
      </c>
      <c r="I195" s="60">
        <v>1</v>
      </c>
      <c r="J195" s="60">
        <f>IFERROR(VLOOKUP($F195,'基础-办公用品信息'!$C:$F,4,FALSE),"-")</f>
        <v>0</v>
      </c>
      <c r="K195" s="60">
        <f t="shared" si="6"/>
        <v>0</v>
      </c>
      <c r="L195" s="87"/>
      <c r="M195" s="60">
        <f t="shared" si="7"/>
        <v>2023</v>
      </c>
      <c r="N195" s="60">
        <f t="shared" si="8"/>
        <v>1</v>
      </c>
    </row>
    <row r="196" customHeight="1" spans="2:14">
      <c r="B196" s="86">
        <v>193</v>
      </c>
      <c r="C196" s="128">
        <v>44935</v>
      </c>
      <c r="D196" s="87" t="s">
        <v>312</v>
      </c>
      <c r="E196" s="60" t="str">
        <f>IFERROR(VLOOKUP(D196,'基础-领用人及部门'!$C:$D,2,FALSE),"-")</f>
        <v>技术部</v>
      </c>
      <c r="F196" s="87" t="s">
        <v>96</v>
      </c>
      <c r="G196" s="60" t="str">
        <f>IFERROR(VLOOKUP($F196,'基础-办公用品信息'!$C:$E,2,FALSE),"-")</f>
        <v>包</v>
      </c>
      <c r="H196" s="60">
        <f>IFERROR(VLOOKUP($F196,'基础-办公用品信息'!$C:$E,3,FALSE),"-")</f>
        <v>0</v>
      </c>
      <c r="I196" s="60">
        <v>9</v>
      </c>
      <c r="J196" s="60">
        <f>IFERROR(VLOOKUP($F196,'基础-办公用品信息'!$C:$F,4,FALSE),"-")</f>
        <v>2</v>
      </c>
      <c r="K196" s="60">
        <f t="shared" si="6"/>
        <v>18</v>
      </c>
      <c r="L196" s="87"/>
      <c r="M196" s="60">
        <f t="shared" si="7"/>
        <v>2023</v>
      </c>
      <c r="N196" s="60">
        <f t="shared" si="8"/>
        <v>1</v>
      </c>
    </row>
    <row r="197" customHeight="1" spans="2:14">
      <c r="B197" s="86">
        <v>194</v>
      </c>
      <c r="C197" s="128">
        <v>44939</v>
      </c>
      <c r="D197" s="87" t="s">
        <v>333</v>
      </c>
      <c r="E197" s="60" t="str">
        <f>IFERROR(VLOOKUP(D197,'基础-领用人及部门'!$C:$D,2,FALSE),"-")</f>
        <v>综合办</v>
      </c>
      <c r="F197" s="87" t="s">
        <v>190</v>
      </c>
      <c r="G197" s="60" t="str">
        <f>IFERROR(VLOOKUP($F197,'基础-办公用品信息'!$C:$E,2,FALSE),"-")</f>
        <v>卷</v>
      </c>
      <c r="H197" s="60">
        <f>IFERROR(VLOOKUP($F197,'基础-办公用品信息'!$C:$E,3,FALSE),"-")</f>
        <v>0</v>
      </c>
      <c r="I197" s="60">
        <v>10</v>
      </c>
      <c r="J197" s="60">
        <f>IFERROR(VLOOKUP($F197,'基础-办公用品信息'!$C:$F,4,FALSE),"-")</f>
        <v>0</v>
      </c>
      <c r="K197" s="60">
        <f t="shared" ref="K197:K260" si="9">IFERROR(I197*J197,"")</f>
        <v>0</v>
      </c>
      <c r="L197" s="87"/>
      <c r="M197" s="60">
        <f t="shared" ref="M197:M260" si="10">YEAR(C197)</f>
        <v>2023</v>
      </c>
      <c r="N197" s="60">
        <f t="shared" ref="N197:N260" si="11">MONTH(C197)</f>
        <v>1</v>
      </c>
    </row>
    <row r="198" customHeight="1" spans="2:14">
      <c r="B198" s="86">
        <v>195</v>
      </c>
      <c r="C198" s="128">
        <v>44939</v>
      </c>
      <c r="D198" s="87" t="s">
        <v>333</v>
      </c>
      <c r="E198" s="60" t="str">
        <f>IFERROR(VLOOKUP(D198,'基础-领用人及部门'!$C:$D,2,FALSE),"-")</f>
        <v>综合办</v>
      </c>
      <c r="F198" s="87" t="s">
        <v>189</v>
      </c>
      <c r="G198" s="60" t="str">
        <f>IFERROR(VLOOKUP($F198,'基础-办公用品信息'!$C:$E,2,FALSE),"-")</f>
        <v>卷</v>
      </c>
      <c r="H198" s="60">
        <f>IFERROR(VLOOKUP($F198,'基础-办公用品信息'!$C:$E,3,FALSE),"-")</f>
        <v>0</v>
      </c>
      <c r="I198" s="60">
        <v>1</v>
      </c>
      <c r="J198" s="60">
        <f>IFERROR(VLOOKUP($F198,'基础-办公用品信息'!$C:$F,4,FALSE),"-")</f>
        <v>0</v>
      </c>
      <c r="K198" s="60">
        <f t="shared" si="9"/>
        <v>0</v>
      </c>
      <c r="L198" s="87"/>
      <c r="M198" s="60">
        <f t="shared" si="10"/>
        <v>2023</v>
      </c>
      <c r="N198" s="60">
        <f t="shared" si="11"/>
        <v>1</v>
      </c>
    </row>
    <row r="199" customHeight="1" spans="2:14">
      <c r="B199" s="86">
        <v>196</v>
      </c>
      <c r="C199" s="128">
        <v>44940</v>
      </c>
      <c r="D199" s="87" t="s">
        <v>333</v>
      </c>
      <c r="E199" s="60" t="str">
        <f>IFERROR(VLOOKUP(D199,'基础-领用人及部门'!$C:$D,2,FALSE),"-")</f>
        <v>综合办</v>
      </c>
      <c r="F199" s="87" t="s">
        <v>130</v>
      </c>
      <c r="G199" s="60" t="str">
        <f>IFERROR(VLOOKUP($F199,'基础-办公用品信息'!$C:$E,2,FALSE),"-")</f>
        <v>提</v>
      </c>
      <c r="H199" s="60">
        <f>IFERROR(VLOOKUP($F199,'基础-办公用品信息'!$C:$E,3,FALSE),"-")</f>
        <v>0</v>
      </c>
      <c r="I199" s="60">
        <v>1</v>
      </c>
      <c r="J199" s="60">
        <f>IFERROR(VLOOKUP($F199,'基础-办公用品信息'!$C:$F,4,FALSE),"-")</f>
        <v>11.5</v>
      </c>
      <c r="K199" s="60">
        <f t="shared" si="9"/>
        <v>11.5</v>
      </c>
      <c r="L199" s="87"/>
      <c r="M199" s="60">
        <f t="shared" si="10"/>
        <v>2023</v>
      </c>
      <c r="N199" s="60">
        <f t="shared" si="11"/>
        <v>1</v>
      </c>
    </row>
    <row r="200" customHeight="1" spans="2:14">
      <c r="B200" s="86">
        <v>197</v>
      </c>
      <c r="C200" s="128">
        <v>44940</v>
      </c>
      <c r="D200" s="87" t="s">
        <v>333</v>
      </c>
      <c r="E200" s="60" t="str">
        <f>IFERROR(VLOOKUP(D200,'基础-领用人及部门'!$C:$D,2,FALSE),"-")</f>
        <v>综合办</v>
      </c>
      <c r="F200" s="87" t="s">
        <v>133</v>
      </c>
      <c r="G200" s="60" t="str">
        <f>IFERROR(VLOOKUP($F200,'基础-办公用品信息'!$C:$E,2,FALSE),"-")</f>
        <v>包</v>
      </c>
      <c r="H200" s="60">
        <f>IFERROR(VLOOKUP($F200,'基础-办公用品信息'!$C:$E,3,FALSE),"-")</f>
        <v>0</v>
      </c>
      <c r="I200" s="60">
        <v>6</v>
      </c>
      <c r="J200" s="60">
        <f>IFERROR(VLOOKUP($F200,'基础-办公用品信息'!$C:$F,4,FALSE),"-")</f>
        <v>2.5</v>
      </c>
      <c r="K200" s="60">
        <f t="shared" si="9"/>
        <v>15</v>
      </c>
      <c r="L200" s="87"/>
      <c r="M200" s="60">
        <f t="shared" si="10"/>
        <v>2023</v>
      </c>
      <c r="N200" s="60">
        <f t="shared" si="11"/>
        <v>1</v>
      </c>
    </row>
    <row r="201" customHeight="1" spans="2:14">
      <c r="B201" s="86">
        <v>198</v>
      </c>
      <c r="C201" s="128">
        <v>44941</v>
      </c>
      <c r="D201" s="87" t="s">
        <v>272</v>
      </c>
      <c r="E201" s="60" t="str">
        <f>IFERROR(VLOOKUP(D201,'基础-领用人及部门'!$C:$D,2,FALSE),"-")</f>
        <v>综合办</v>
      </c>
      <c r="F201" s="87" t="s">
        <v>180</v>
      </c>
      <c r="G201" s="60" t="str">
        <f>IFERROR(VLOOKUP($F201,'基础-办公用品信息'!$C:$E,2,FALSE),"-")</f>
        <v>顶</v>
      </c>
      <c r="H201" s="60">
        <f>IFERROR(VLOOKUP($F201,'基础-办公用品信息'!$C:$E,3,FALSE),"-")</f>
        <v>0</v>
      </c>
      <c r="I201" s="60">
        <v>2</v>
      </c>
      <c r="J201" s="60">
        <f>IFERROR(VLOOKUP($F201,'基础-办公用品信息'!$C:$F,4,FALSE),"-")</f>
        <v>0</v>
      </c>
      <c r="K201" s="60">
        <f t="shared" si="9"/>
        <v>0</v>
      </c>
      <c r="L201" s="87"/>
      <c r="M201" s="60">
        <f t="shared" si="10"/>
        <v>2023</v>
      </c>
      <c r="N201" s="60">
        <f t="shared" si="11"/>
        <v>1</v>
      </c>
    </row>
    <row r="202" customHeight="1" spans="2:14">
      <c r="B202" s="86">
        <v>199</v>
      </c>
      <c r="C202" s="128">
        <v>44941</v>
      </c>
      <c r="D202" s="87" t="s">
        <v>286</v>
      </c>
      <c r="E202" s="60" t="str">
        <f>IFERROR(VLOOKUP(D202,'基础-领用人及部门'!$C:$D,2,FALSE),"-")</f>
        <v>综合办</v>
      </c>
      <c r="F202" s="87" t="s">
        <v>11</v>
      </c>
      <c r="G202" s="60" t="str">
        <f>IFERROR(VLOOKUP($F202,'基础-办公用品信息'!$C:$E,2,FALSE),"-")</f>
        <v>包</v>
      </c>
      <c r="H202" s="60">
        <f>IFERROR(VLOOKUP($F202,'基础-办公用品信息'!$C:$E,3,FALSE),"-")</f>
        <v>0</v>
      </c>
      <c r="I202" s="60">
        <v>2</v>
      </c>
      <c r="J202" s="60">
        <f>IFERROR(VLOOKUP($F202,'基础-办公用品信息'!$C:$F,4,FALSE),"-")</f>
        <v>175</v>
      </c>
      <c r="K202" s="60">
        <f t="shared" si="9"/>
        <v>350</v>
      </c>
      <c r="L202" s="87"/>
      <c r="M202" s="60">
        <f t="shared" si="10"/>
        <v>2023</v>
      </c>
      <c r="N202" s="60">
        <f t="shared" si="11"/>
        <v>1</v>
      </c>
    </row>
    <row r="203" customHeight="1" spans="2:14">
      <c r="B203" s="86">
        <v>200</v>
      </c>
      <c r="C203" s="128">
        <v>44941</v>
      </c>
      <c r="D203" s="87" t="s">
        <v>267</v>
      </c>
      <c r="E203" s="60" t="str">
        <f>IFERROR(VLOOKUP(D203,'基础-领用人及部门'!$C:$D,2,FALSE),"-")</f>
        <v>综合办</v>
      </c>
      <c r="F203" s="87" t="s">
        <v>11</v>
      </c>
      <c r="G203" s="60" t="str">
        <f>IFERROR(VLOOKUP($F203,'基础-办公用品信息'!$C:$E,2,FALSE),"-")</f>
        <v>包</v>
      </c>
      <c r="H203" s="60">
        <f>IFERROR(VLOOKUP($F203,'基础-办公用品信息'!$C:$E,3,FALSE),"-")</f>
        <v>0</v>
      </c>
      <c r="I203" s="60">
        <v>3</v>
      </c>
      <c r="J203" s="60">
        <f>IFERROR(VLOOKUP($F203,'基础-办公用品信息'!$C:$F,4,FALSE),"-")</f>
        <v>175</v>
      </c>
      <c r="K203" s="60">
        <f t="shared" si="9"/>
        <v>525</v>
      </c>
      <c r="L203" s="87"/>
      <c r="M203" s="60">
        <f t="shared" si="10"/>
        <v>2023</v>
      </c>
      <c r="N203" s="60">
        <f t="shared" si="11"/>
        <v>1</v>
      </c>
    </row>
    <row r="204" customHeight="1" spans="2:14">
      <c r="B204" s="86">
        <v>201</v>
      </c>
      <c r="C204" s="128">
        <v>44942</v>
      </c>
      <c r="D204" s="87" t="s">
        <v>268</v>
      </c>
      <c r="E204" s="60" t="str">
        <f>IFERROR(VLOOKUP(D204,'基础-领用人及部门'!$C:$D,2,FALSE),"-")</f>
        <v>综合办</v>
      </c>
      <c r="F204" s="87" t="s">
        <v>41</v>
      </c>
      <c r="G204" s="60" t="str">
        <f>IFERROR(VLOOKUP($F204,'基础-办公用品信息'!$C:$E,2,FALSE),"-")</f>
        <v>支</v>
      </c>
      <c r="H204" s="60">
        <f>IFERROR(VLOOKUP($F204,'基础-办公用品信息'!$C:$E,3,FALSE),"-")</f>
        <v>0</v>
      </c>
      <c r="I204" s="60">
        <v>4</v>
      </c>
      <c r="J204" s="60">
        <f>IFERROR(VLOOKUP($F204,'基础-办公用品信息'!$C:$F,4,FALSE),"-")</f>
        <v>1.3</v>
      </c>
      <c r="K204" s="60">
        <f t="shared" si="9"/>
        <v>5.2</v>
      </c>
      <c r="L204" s="87"/>
      <c r="M204" s="60">
        <f t="shared" si="10"/>
        <v>2023</v>
      </c>
      <c r="N204" s="60">
        <f t="shared" si="11"/>
        <v>1</v>
      </c>
    </row>
    <row r="205" customHeight="1" spans="2:14">
      <c r="B205" s="86">
        <v>202</v>
      </c>
      <c r="C205" s="128">
        <v>44943</v>
      </c>
      <c r="D205" s="87" t="s">
        <v>344</v>
      </c>
      <c r="E205" s="60" t="str">
        <f>IFERROR(VLOOKUP(D205,'基础-领用人及部门'!$C:$D,2,FALSE),"-")</f>
        <v>看门</v>
      </c>
      <c r="F205" s="87" t="s">
        <v>187</v>
      </c>
      <c r="G205" s="60" t="str">
        <f>IFERROR(VLOOKUP($F205,'基础-办公用品信息'!$C:$E,2,FALSE),"-")</f>
        <v>双</v>
      </c>
      <c r="H205" s="60">
        <f>IFERROR(VLOOKUP($F205,'基础-办公用品信息'!$C:$E,3,FALSE),"-")</f>
        <v>0</v>
      </c>
      <c r="I205" s="60">
        <v>1</v>
      </c>
      <c r="J205" s="60">
        <f>IFERROR(VLOOKUP($F205,'基础-办公用品信息'!$C:$F,4,FALSE),"-")</f>
        <v>0</v>
      </c>
      <c r="K205" s="60">
        <f t="shared" si="9"/>
        <v>0</v>
      </c>
      <c r="L205" s="87"/>
      <c r="M205" s="60">
        <f t="shared" si="10"/>
        <v>2023</v>
      </c>
      <c r="N205" s="60">
        <f t="shared" si="11"/>
        <v>1</v>
      </c>
    </row>
    <row r="206" customHeight="1" spans="2:14">
      <c r="B206" s="86">
        <v>203</v>
      </c>
      <c r="C206" s="128">
        <v>44943</v>
      </c>
      <c r="D206" s="87" t="s">
        <v>345</v>
      </c>
      <c r="E206" s="60" t="str">
        <f>IFERROR(VLOOKUP(D206,'基础-领用人及部门'!$C:$D,2,FALSE),"-")</f>
        <v>销售部</v>
      </c>
      <c r="F206" s="87" t="s">
        <v>180</v>
      </c>
      <c r="G206" s="60" t="str">
        <f>IFERROR(VLOOKUP($F206,'基础-办公用品信息'!$C:$E,2,FALSE),"-")</f>
        <v>顶</v>
      </c>
      <c r="H206" s="60">
        <f>IFERROR(VLOOKUP($F206,'基础-办公用品信息'!$C:$E,3,FALSE),"-")</f>
        <v>0</v>
      </c>
      <c r="I206" s="60">
        <v>20</v>
      </c>
      <c r="J206" s="60">
        <f>IFERROR(VLOOKUP($F206,'基础-办公用品信息'!$C:$F,4,FALSE),"-")</f>
        <v>0</v>
      </c>
      <c r="K206" s="60">
        <f t="shared" si="9"/>
        <v>0</v>
      </c>
      <c r="L206" s="87"/>
      <c r="M206" s="60">
        <f t="shared" si="10"/>
        <v>2023</v>
      </c>
      <c r="N206" s="60">
        <f t="shared" si="11"/>
        <v>1</v>
      </c>
    </row>
    <row r="207" customHeight="1" spans="2:14">
      <c r="B207" s="86">
        <v>204</v>
      </c>
      <c r="C207" s="128">
        <v>44944</v>
      </c>
      <c r="D207" s="87" t="s">
        <v>267</v>
      </c>
      <c r="E207" s="60" t="str">
        <f>IFERROR(VLOOKUP(D207,'基础-领用人及部门'!$C:$D,2,FALSE),"-")</f>
        <v>综合办</v>
      </c>
      <c r="F207" s="87" t="s">
        <v>173</v>
      </c>
      <c r="G207" s="60" t="str">
        <f>IFERROR(VLOOKUP($F207,'基础-办公用品信息'!$C:$E,2,FALSE),"-")</f>
        <v>条</v>
      </c>
      <c r="H207" s="60">
        <f>IFERROR(VLOOKUP($F207,'基础-办公用品信息'!$C:$E,3,FALSE),"-")</f>
        <v>0</v>
      </c>
      <c r="I207" s="60">
        <v>1</v>
      </c>
      <c r="J207" s="60">
        <f>IFERROR(VLOOKUP($F207,'基础-办公用品信息'!$C:$F,4,FALSE),"-")</f>
        <v>0</v>
      </c>
      <c r="K207" s="60">
        <f t="shared" si="9"/>
        <v>0</v>
      </c>
      <c r="L207" s="87"/>
      <c r="M207" s="60">
        <f t="shared" si="10"/>
        <v>2023</v>
      </c>
      <c r="N207" s="60">
        <f t="shared" si="11"/>
        <v>1</v>
      </c>
    </row>
    <row r="208" customHeight="1" spans="2:14">
      <c r="B208" s="86">
        <v>205</v>
      </c>
      <c r="C208" s="128">
        <v>44945</v>
      </c>
      <c r="D208" s="87" t="s">
        <v>333</v>
      </c>
      <c r="E208" s="60" t="str">
        <f>IFERROR(VLOOKUP(D208,'基础-领用人及部门'!$C:$D,2,FALSE),"-")</f>
        <v>综合办</v>
      </c>
      <c r="F208" s="87" t="s">
        <v>189</v>
      </c>
      <c r="G208" s="60" t="str">
        <f>IFERROR(VLOOKUP($F208,'基础-办公用品信息'!$C:$E,2,FALSE),"-")</f>
        <v>卷</v>
      </c>
      <c r="H208" s="60">
        <f>IFERROR(VLOOKUP($F208,'基础-办公用品信息'!$C:$E,3,FALSE),"-")</f>
        <v>0</v>
      </c>
      <c r="I208" s="60">
        <v>5</v>
      </c>
      <c r="J208" s="60">
        <f>IFERROR(VLOOKUP($F208,'基础-办公用品信息'!$C:$F,4,FALSE),"-")</f>
        <v>0</v>
      </c>
      <c r="K208" s="60">
        <f t="shared" si="9"/>
        <v>0</v>
      </c>
      <c r="L208" s="87"/>
      <c r="M208" s="60">
        <f t="shared" si="10"/>
        <v>2023</v>
      </c>
      <c r="N208" s="60">
        <f t="shared" si="11"/>
        <v>1</v>
      </c>
    </row>
    <row r="209" customHeight="1" spans="2:14">
      <c r="B209" s="86">
        <v>206</v>
      </c>
      <c r="C209" s="128">
        <v>44945</v>
      </c>
      <c r="D209" s="87" t="s">
        <v>333</v>
      </c>
      <c r="E209" s="60" t="str">
        <f>IFERROR(VLOOKUP(D209,'基础-领用人及部门'!$C:$D,2,FALSE),"-")</f>
        <v>综合办</v>
      </c>
      <c r="F209" s="87" t="s">
        <v>190</v>
      </c>
      <c r="G209" s="60" t="str">
        <f>IFERROR(VLOOKUP($F209,'基础-办公用品信息'!$C:$E,2,FALSE),"-")</f>
        <v>卷</v>
      </c>
      <c r="H209" s="60">
        <f>IFERROR(VLOOKUP($F209,'基础-办公用品信息'!$C:$E,3,FALSE),"-")</f>
        <v>0</v>
      </c>
      <c r="I209" s="60">
        <v>10</v>
      </c>
      <c r="J209" s="60">
        <f>IFERROR(VLOOKUP($F209,'基础-办公用品信息'!$C:$F,4,FALSE),"-")</f>
        <v>0</v>
      </c>
      <c r="K209" s="60">
        <f t="shared" si="9"/>
        <v>0</v>
      </c>
      <c r="L209" s="87"/>
      <c r="M209" s="60">
        <f t="shared" si="10"/>
        <v>2023</v>
      </c>
      <c r="N209" s="60">
        <f t="shared" si="11"/>
        <v>1</v>
      </c>
    </row>
    <row r="210" customHeight="1" spans="2:14">
      <c r="B210" s="86">
        <v>207</v>
      </c>
      <c r="C210" s="128">
        <v>44955</v>
      </c>
      <c r="D210" s="87" t="s">
        <v>278</v>
      </c>
      <c r="E210" s="60" t="str">
        <f>IFERROR(VLOOKUP(D210,'基础-领用人及部门'!$C:$D,2,FALSE),"-")</f>
        <v>综合办</v>
      </c>
      <c r="F210" s="87" t="s">
        <v>84</v>
      </c>
      <c r="G210" s="60" t="str">
        <f>IFERROR(VLOOKUP($F210,'基础-办公用品信息'!$C:$E,2,FALSE),"-")</f>
        <v>个</v>
      </c>
      <c r="H210" s="60">
        <f>IFERROR(VLOOKUP($F210,'基础-办公用品信息'!$C:$E,3,FALSE),"-")</f>
        <v>0</v>
      </c>
      <c r="I210" s="60">
        <v>1</v>
      </c>
      <c r="J210" s="60">
        <f>IFERROR(VLOOKUP($F210,'基础-办公用品信息'!$C:$F,4,FALSE),"-")</f>
        <v>26</v>
      </c>
      <c r="K210" s="60">
        <f t="shared" si="9"/>
        <v>26</v>
      </c>
      <c r="L210" s="87"/>
      <c r="M210" s="60">
        <f t="shared" si="10"/>
        <v>2023</v>
      </c>
      <c r="N210" s="60">
        <f t="shared" si="11"/>
        <v>1</v>
      </c>
    </row>
    <row r="211" customHeight="1" spans="2:14">
      <c r="B211" s="86">
        <v>208</v>
      </c>
      <c r="C211" s="128">
        <v>44955</v>
      </c>
      <c r="D211" s="87" t="s">
        <v>278</v>
      </c>
      <c r="E211" s="60" t="str">
        <f>IFERROR(VLOOKUP(D211,'基础-领用人及部门'!$C:$D,2,FALSE),"-")</f>
        <v>综合办</v>
      </c>
      <c r="F211" s="87" t="s">
        <v>59</v>
      </c>
      <c r="G211" s="60" t="str">
        <f>IFERROR(VLOOKUP($F211,'基础-办公用品信息'!$C:$E,2,FALSE),"-")</f>
        <v>把</v>
      </c>
      <c r="H211" s="60">
        <f>IFERROR(VLOOKUP($F211,'基础-办公用品信息'!$C:$E,3,FALSE),"-")</f>
        <v>0</v>
      </c>
      <c r="I211" s="60">
        <v>1</v>
      </c>
      <c r="J211" s="60">
        <f>IFERROR(VLOOKUP($F211,'基础-办公用品信息'!$C:$F,4,FALSE),"-")</f>
        <v>3.5</v>
      </c>
      <c r="K211" s="60">
        <f t="shared" si="9"/>
        <v>3.5</v>
      </c>
      <c r="L211" s="87"/>
      <c r="M211" s="60">
        <f t="shared" si="10"/>
        <v>2023</v>
      </c>
      <c r="N211" s="60">
        <f t="shared" si="11"/>
        <v>1</v>
      </c>
    </row>
    <row r="212" customHeight="1" spans="2:14">
      <c r="B212" s="86">
        <v>209</v>
      </c>
      <c r="C212" s="128">
        <v>44955</v>
      </c>
      <c r="D212" s="87" t="s">
        <v>300</v>
      </c>
      <c r="E212" s="60" t="str">
        <f>IFERROR(VLOOKUP(D212,'基础-领用人及部门'!$C:$D,2,FALSE),"-")</f>
        <v>财务部</v>
      </c>
      <c r="F212" s="87" t="s">
        <v>115</v>
      </c>
      <c r="G212" s="60" t="str">
        <f>IFERROR(VLOOKUP($F212,'基础-办公用品信息'!$C:$E,2,FALSE),"-")</f>
        <v>个</v>
      </c>
      <c r="H212" s="60">
        <f>IFERROR(VLOOKUP($F212,'基础-办公用品信息'!$C:$E,3,FALSE),"-")</f>
        <v>0</v>
      </c>
      <c r="I212" s="60">
        <v>1</v>
      </c>
      <c r="J212" s="60">
        <f>IFERROR(VLOOKUP($F212,'基础-办公用品信息'!$C:$F,4,FALSE),"-")</f>
        <v>0</v>
      </c>
      <c r="K212" s="60">
        <f t="shared" si="9"/>
        <v>0</v>
      </c>
      <c r="L212" s="87"/>
      <c r="M212" s="60">
        <f t="shared" si="10"/>
        <v>2023</v>
      </c>
      <c r="N212" s="60">
        <f t="shared" si="11"/>
        <v>1</v>
      </c>
    </row>
    <row r="213" customHeight="1" spans="2:14">
      <c r="B213" s="86">
        <v>210</v>
      </c>
      <c r="C213" s="128">
        <v>44955</v>
      </c>
      <c r="D213" s="87" t="s">
        <v>270</v>
      </c>
      <c r="E213" s="60" t="str">
        <f>IFERROR(VLOOKUP(D213,'基础-领用人及部门'!$C:$D,2,FALSE),"-")</f>
        <v>综合办</v>
      </c>
      <c r="F213" s="87" t="s">
        <v>72</v>
      </c>
      <c r="G213" s="60" t="str">
        <f>IFERROR(VLOOKUP($F213,'基础-办公用品信息'!$C:$E,2,FALSE),"-")</f>
        <v>个</v>
      </c>
      <c r="H213" s="60">
        <f>IFERROR(VLOOKUP($F213,'基础-办公用品信息'!$C:$E,3,FALSE),"-")</f>
        <v>0</v>
      </c>
      <c r="I213" s="60">
        <v>1</v>
      </c>
      <c r="J213" s="60">
        <f>IFERROR(VLOOKUP($F213,'基础-办公用品信息'!$C:$F,4,FALSE),"-")</f>
        <v>9</v>
      </c>
      <c r="K213" s="60">
        <f t="shared" si="9"/>
        <v>9</v>
      </c>
      <c r="L213" s="87" t="s">
        <v>366</v>
      </c>
      <c r="M213" s="60">
        <f t="shared" si="10"/>
        <v>2023</v>
      </c>
      <c r="N213" s="60">
        <f t="shared" si="11"/>
        <v>1</v>
      </c>
    </row>
    <row r="214" customHeight="1" spans="2:14">
      <c r="B214" s="86">
        <v>211</v>
      </c>
      <c r="C214" s="128">
        <v>44956</v>
      </c>
      <c r="D214" s="87" t="s">
        <v>268</v>
      </c>
      <c r="E214" s="60" t="str">
        <f>IFERROR(VLOOKUP(D214,'基础-领用人及部门'!$C:$D,2,FALSE),"-")</f>
        <v>综合办</v>
      </c>
      <c r="F214" s="87" t="s">
        <v>23</v>
      </c>
      <c r="G214" s="60" t="str">
        <f>IFERROR(VLOOKUP($F214,'基础-办公用品信息'!$C:$E,2,FALSE),"-")</f>
        <v>个</v>
      </c>
      <c r="H214" s="60">
        <f>IFERROR(VLOOKUP($F214,'基础-办公用品信息'!$C:$E,3,FALSE),"-")</f>
        <v>0</v>
      </c>
      <c r="I214" s="60">
        <v>10</v>
      </c>
      <c r="J214" s="60">
        <f>IFERROR(VLOOKUP($F214,'基础-办公用品信息'!$C:$F,4,FALSE),"-")</f>
        <v>0</v>
      </c>
      <c r="K214" s="60">
        <f t="shared" si="9"/>
        <v>0</v>
      </c>
      <c r="L214" s="87" t="s">
        <v>367</v>
      </c>
      <c r="M214" s="60">
        <f t="shared" si="10"/>
        <v>2023</v>
      </c>
      <c r="N214" s="60">
        <f t="shared" si="11"/>
        <v>1</v>
      </c>
    </row>
    <row r="215" customHeight="1" spans="2:14">
      <c r="B215" s="86">
        <v>212</v>
      </c>
      <c r="C215" s="128">
        <v>44956</v>
      </c>
      <c r="D215" s="87" t="s">
        <v>282</v>
      </c>
      <c r="E215" s="60" t="str">
        <f>IFERROR(VLOOKUP(D215,'基础-领用人及部门'!$C:$D,2,FALSE),"-")</f>
        <v>综合办</v>
      </c>
      <c r="F215" s="87" t="s">
        <v>187</v>
      </c>
      <c r="G215" s="60" t="str">
        <f>IFERROR(VLOOKUP($F215,'基础-办公用品信息'!$C:$E,2,FALSE),"-")</f>
        <v>双</v>
      </c>
      <c r="H215" s="60">
        <f>IFERROR(VLOOKUP($F215,'基础-办公用品信息'!$C:$E,3,FALSE),"-")</f>
        <v>0</v>
      </c>
      <c r="I215" s="60">
        <v>1</v>
      </c>
      <c r="J215" s="60">
        <f>IFERROR(VLOOKUP($F215,'基础-办公用品信息'!$C:$F,4,FALSE),"-")</f>
        <v>0</v>
      </c>
      <c r="K215" s="60">
        <f t="shared" si="9"/>
        <v>0</v>
      </c>
      <c r="L215" s="87"/>
      <c r="M215" s="60">
        <f t="shared" si="10"/>
        <v>2023</v>
      </c>
      <c r="N215" s="60">
        <f t="shared" si="11"/>
        <v>1</v>
      </c>
    </row>
    <row r="216" customHeight="1" spans="2:14">
      <c r="B216" s="86">
        <v>213</v>
      </c>
      <c r="C216" s="128">
        <v>44956</v>
      </c>
      <c r="D216" s="87" t="s">
        <v>282</v>
      </c>
      <c r="E216" s="60" t="str">
        <f>IFERROR(VLOOKUP(D216,'基础-领用人及部门'!$C:$D,2,FALSE),"-")</f>
        <v>综合办</v>
      </c>
      <c r="F216" s="87" t="s">
        <v>20</v>
      </c>
      <c r="G216" s="60" t="str">
        <f>IFERROR(VLOOKUP($F216,'基础-办公用品信息'!$C:$E,2,FALSE),"-")</f>
        <v>本</v>
      </c>
      <c r="H216" s="60">
        <f>IFERROR(VLOOKUP($F216,'基础-办公用品信息'!$C:$E,3,FALSE),"-")</f>
        <v>0</v>
      </c>
      <c r="I216" s="60">
        <v>2</v>
      </c>
      <c r="J216" s="60">
        <f>IFERROR(VLOOKUP($F216,'基础-办公用品信息'!$C:$F,4,FALSE),"-")</f>
        <v>7.5</v>
      </c>
      <c r="K216" s="60">
        <f t="shared" si="9"/>
        <v>15</v>
      </c>
      <c r="L216" s="87"/>
      <c r="M216" s="60">
        <f t="shared" si="10"/>
        <v>2023</v>
      </c>
      <c r="N216" s="60">
        <f t="shared" si="11"/>
        <v>1</v>
      </c>
    </row>
    <row r="217" customHeight="1" spans="2:14">
      <c r="B217" s="86">
        <v>214</v>
      </c>
      <c r="C217" s="128">
        <v>44956</v>
      </c>
      <c r="D217" s="87" t="s">
        <v>282</v>
      </c>
      <c r="E217" s="60" t="str">
        <f>IFERROR(VLOOKUP(D217,'基础-领用人及部门'!$C:$D,2,FALSE),"-")</f>
        <v>综合办</v>
      </c>
      <c r="F217" s="87" t="s">
        <v>182</v>
      </c>
      <c r="G217" s="60" t="str">
        <f>IFERROR(VLOOKUP($F217,'基础-办公用品信息'!$C:$E,2,FALSE),"-")</f>
        <v>把</v>
      </c>
      <c r="H217" s="60">
        <f>IFERROR(VLOOKUP($F217,'基础-办公用品信息'!$C:$E,3,FALSE),"-")</f>
        <v>0</v>
      </c>
      <c r="I217" s="60">
        <v>1</v>
      </c>
      <c r="J217" s="60">
        <f>IFERROR(VLOOKUP($F217,'基础-办公用品信息'!$C:$F,4,FALSE),"-")</f>
        <v>0</v>
      </c>
      <c r="K217" s="60">
        <f t="shared" si="9"/>
        <v>0</v>
      </c>
      <c r="L217" s="87"/>
      <c r="M217" s="60">
        <f t="shared" si="10"/>
        <v>2023</v>
      </c>
      <c r="N217" s="60">
        <f t="shared" si="11"/>
        <v>1</v>
      </c>
    </row>
    <row r="218" customHeight="1" spans="2:14">
      <c r="B218" s="86">
        <v>215</v>
      </c>
      <c r="C218" s="128">
        <v>44958</v>
      </c>
      <c r="D218" s="87" t="s">
        <v>333</v>
      </c>
      <c r="E218" s="60" t="str">
        <f>IFERROR(VLOOKUP(D218,'基础-领用人及部门'!$C:$D,2,FALSE),"-")</f>
        <v>综合办</v>
      </c>
      <c r="F218" s="87" t="s">
        <v>132</v>
      </c>
      <c r="G218" s="60" t="str">
        <f>IFERROR(VLOOKUP($F218,'基础-办公用品信息'!$C:$E,2,FALSE),"-")</f>
        <v>盒</v>
      </c>
      <c r="H218" s="60">
        <f>IFERROR(VLOOKUP($F218,'基础-办公用品信息'!$C:$E,3,FALSE),"-")</f>
        <v>0</v>
      </c>
      <c r="I218" s="60">
        <v>12</v>
      </c>
      <c r="J218" s="60">
        <f>IFERROR(VLOOKUP($F218,'基础-办公用品信息'!$C:$F,4,FALSE),"-")</f>
        <v>5.3</v>
      </c>
      <c r="K218" s="60">
        <f t="shared" si="9"/>
        <v>63.6</v>
      </c>
      <c r="L218" s="87"/>
      <c r="M218" s="60">
        <f t="shared" si="10"/>
        <v>2023</v>
      </c>
      <c r="N218" s="60">
        <f t="shared" si="11"/>
        <v>2</v>
      </c>
    </row>
    <row r="219" customHeight="1" spans="2:14">
      <c r="B219" s="86">
        <v>216</v>
      </c>
      <c r="C219" s="128">
        <v>44958</v>
      </c>
      <c r="D219" s="87" t="s">
        <v>333</v>
      </c>
      <c r="E219" s="60" t="str">
        <f>IFERROR(VLOOKUP(D219,'基础-领用人及部门'!$C:$D,2,FALSE),"-")</f>
        <v>综合办</v>
      </c>
      <c r="F219" s="87" t="s">
        <v>190</v>
      </c>
      <c r="G219" s="60" t="str">
        <f>IFERROR(VLOOKUP($F219,'基础-办公用品信息'!$C:$E,2,FALSE),"-")</f>
        <v>卷</v>
      </c>
      <c r="H219" s="60">
        <f>IFERROR(VLOOKUP($F219,'基础-办公用品信息'!$C:$E,3,FALSE),"-")</f>
        <v>0</v>
      </c>
      <c r="I219" s="60">
        <v>10</v>
      </c>
      <c r="J219" s="60">
        <f>IFERROR(VLOOKUP($F219,'基础-办公用品信息'!$C:$F,4,FALSE),"-")</f>
        <v>0</v>
      </c>
      <c r="K219" s="60">
        <f t="shared" si="9"/>
        <v>0</v>
      </c>
      <c r="L219" s="87"/>
      <c r="M219" s="60">
        <f t="shared" si="10"/>
        <v>2023</v>
      </c>
      <c r="N219" s="60">
        <f t="shared" si="11"/>
        <v>2</v>
      </c>
    </row>
    <row r="220" customHeight="1" spans="2:14">
      <c r="B220" s="86">
        <v>217</v>
      </c>
      <c r="C220" s="128">
        <v>44958</v>
      </c>
      <c r="D220" s="87" t="s">
        <v>333</v>
      </c>
      <c r="E220" s="60" t="str">
        <f>IFERROR(VLOOKUP(D220,'基础-领用人及部门'!$C:$D,2,FALSE),"-")</f>
        <v>综合办</v>
      </c>
      <c r="F220" s="87" t="s">
        <v>189</v>
      </c>
      <c r="G220" s="60" t="str">
        <f>IFERROR(VLOOKUP($F220,'基础-办公用品信息'!$C:$E,2,FALSE),"-")</f>
        <v>卷</v>
      </c>
      <c r="H220" s="60">
        <f>IFERROR(VLOOKUP($F220,'基础-办公用品信息'!$C:$E,3,FALSE),"-")</f>
        <v>0</v>
      </c>
      <c r="I220" s="60">
        <v>6</v>
      </c>
      <c r="J220" s="60">
        <f>IFERROR(VLOOKUP($F220,'基础-办公用品信息'!$C:$F,4,FALSE),"-")</f>
        <v>0</v>
      </c>
      <c r="K220" s="60">
        <f t="shared" si="9"/>
        <v>0</v>
      </c>
      <c r="L220" s="87"/>
      <c r="M220" s="60">
        <f t="shared" si="10"/>
        <v>2023</v>
      </c>
      <c r="N220" s="60">
        <f t="shared" si="11"/>
        <v>2</v>
      </c>
    </row>
    <row r="221" customHeight="1" spans="2:14">
      <c r="B221" s="86">
        <v>218</v>
      </c>
      <c r="C221" s="128">
        <v>44959</v>
      </c>
      <c r="D221" s="87" t="s">
        <v>272</v>
      </c>
      <c r="E221" s="60" t="str">
        <f>IFERROR(VLOOKUP(D221,'基础-领用人及部门'!$C:$D,2,FALSE),"-")</f>
        <v>综合办</v>
      </c>
      <c r="F221" s="87" t="s">
        <v>31</v>
      </c>
      <c r="G221" s="60" t="str">
        <f>IFERROR(VLOOKUP($F221,'基础-办公用品信息'!$C:$E,2,FALSE),"-")</f>
        <v>只</v>
      </c>
      <c r="H221" s="60">
        <f>IFERROR(VLOOKUP($F221,'基础-办公用品信息'!$C:$E,3,FALSE),"-")</f>
        <v>0</v>
      </c>
      <c r="I221" s="60">
        <v>2</v>
      </c>
      <c r="J221" s="60">
        <f>IFERROR(VLOOKUP($F221,'基础-办公用品信息'!$C:$F,4,FALSE),"-")</f>
        <v>0</v>
      </c>
      <c r="K221" s="60">
        <f t="shared" si="9"/>
        <v>0</v>
      </c>
      <c r="L221" s="87"/>
      <c r="M221" s="60">
        <f t="shared" si="10"/>
        <v>2023</v>
      </c>
      <c r="N221" s="60">
        <f t="shared" si="11"/>
        <v>2</v>
      </c>
    </row>
    <row r="222" customHeight="1" spans="2:14">
      <c r="B222" s="86">
        <v>219</v>
      </c>
      <c r="C222" s="128">
        <v>44959</v>
      </c>
      <c r="D222" s="87" t="s">
        <v>286</v>
      </c>
      <c r="E222" s="60" t="str">
        <f>IFERROR(VLOOKUP(D222,'基础-领用人及部门'!$C:$D,2,FALSE),"-")</f>
        <v>综合办</v>
      </c>
      <c r="F222" s="87" t="s">
        <v>41</v>
      </c>
      <c r="G222" s="60" t="str">
        <f>IFERROR(VLOOKUP($F222,'基础-办公用品信息'!$C:$E,2,FALSE),"-")</f>
        <v>支</v>
      </c>
      <c r="H222" s="60">
        <f>IFERROR(VLOOKUP($F222,'基础-办公用品信息'!$C:$E,3,FALSE),"-")</f>
        <v>0</v>
      </c>
      <c r="I222" s="60">
        <v>12</v>
      </c>
      <c r="J222" s="60">
        <f>IFERROR(VLOOKUP($F222,'基础-办公用品信息'!$C:$F,4,FALSE),"-")</f>
        <v>1.3</v>
      </c>
      <c r="K222" s="60">
        <f t="shared" si="9"/>
        <v>15.6</v>
      </c>
      <c r="L222" s="87"/>
      <c r="M222" s="60">
        <f t="shared" si="10"/>
        <v>2023</v>
      </c>
      <c r="N222" s="60">
        <f t="shared" si="11"/>
        <v>2</v>
      </c>
    </row>
    <row r="223" customHeight="1" spans="2:14">
      <c r="B223" s="86">
        <v>220</v>
      </c>
      <c r="C223" s="128">
        <v>44959</v>
      </c>
      <c r="D223" s="87" t="s">
        <v>300</v>
      </c>
      <c r="E223" s="60" t="str">
        <f>IFERROR(VLOOKUP(D223,'基础-领用人及部门'!$C:$D,2,FALSE),"-")</f>
        <v>财务部</v>
      </c>
      <c r="F223" s="87" t="s">
        <v>80</v>
      </c>
      <c r="G223" s="60" t="str">
        <f>IFERROR(VLOOKUP($F223,'基础-办公用品信息'!$C:$E,2,FALSE),"-")</f>
        <v>盒</v>
      </c>
      <c r="H223" s="60">
        <f>IFERROR(VLOOKUP($F223,'基础-办公用品信息'!$C:$E,3,FALSE),"-")</f>
        <v>0</v>
      </c>
      <c r="I223" s="60">
        <v>2</v>
      </c>
      <c r="J223" s="60">
        <f>IFERROR(VLOOKUP($F223,'基础-办公用品信息'!$C:$F,4,FALSE),"-")</f>
        <v>15</v>
      </c>
      <c r="K223" s="60">
        <f t="shared" si="9"/>
        <v>30</v>
      </c>
      <c r="L223" s="87"/>
      <c r="M223" s="60">
        <f t="shared" si="10"/>
        <v>2023</v>
      </c>
      <c r="N223" s="60">
        <f t="shared" si="11"/>
        <v>2</v>
      </c>
    </row>
    <row r="224" customHeight="1" spans="2:14">
      <c r="B224" s="86">
        <v>221</v>
      </c>
      <c r="C224" s="128">
        <v>44959</v>
      </c>
      <c r="D224" s="87" t="s">
        <v>300</v>
      </c>
      <c r="E224" s="60" t="str">
        <f>IFERROR(VLOOKUP(D224,'基础-领用人及部门'!$C:$D,2,FALSE),"-")</f>
        <v>财务部</v>
      </c>
      <c r="F224" s="87" t="s">
        <v>79</v>
      </c>
      <c r="G224" s="60" t="str">
        <f>IFERROR(VLOOKUP($F224,'基础-办公用品信息'!$C:$E,2,FALSE),"-")</f>
        <v>盒</v>
      </c>
      <c r="H224" s="60">
        <f>IFERROR(VLOOKUP($F224,'基础-办公用品信息'!$C:$E,3,FALSE),"-")</f>
        <v>0</v>
      </c>
      <c r="I224" s="60">
        <v>2</v>
      </c>
      <c r="J224" s="60">
        <f>IFERROR(VLOOKUP($F224,'基础-办公用品信息'!$C:$F,4,FALSE),"-")</f>
        <v>11</v>
      </c>
      <c r="K224" s="60">
        <f t="shared" si="9"/>
        <v>22</v>
      </c>
      <c r="L224" s="87"/>
      <c r="M224" s="60">
        <f t="shared" si="10"/>
        <v>2023</v>
      </c>
      <c r="N224" s="60">
        <f t="shared" si="11"/>
        <v>2</v>
      </c>
    </row>
    <row r="225" customHeight="1" spans="2:14">
      <c r="B225" s="86">
        <v>222</v>
      </c>
      <c r="C225" s="128">
        <v>44959</v>
      </c>
      <c r="D225" s="87" t="s">
        <v>300</v>
      </c>
      <c r="E225" s="60" t="str">
        <f>IFERROR(VLOOKUP(D225,'基础-领用人及部门'!$C:$D,2,FALSE),"-")</f>
        <v>财务部</v>
      </c>
      <c r="F225" s="87" t="s">
        <v>63</v>
      </c>
      <c r="G225" s="60" t="str">
        <f>IFERROR(VLOOKUP($F225,'基础-办公用品信息'!$C:$E,2,FALSE),"-")</f>
        <v>盒</v>
      </c>
      <c r="H225" s="60">
        <f>IFERROR(VLOOKUP($F225,'基础-办公用品信息'!$C:$E,3,FALSE),"-")</f>
        <v>0</v>
      </c>
      <c r="I225" s="60">
        <v>1</v>
      </c>
      <c r="J225" s="60">
        <f>IFERROR(VLOOKUP($F225,'基础-办公用品信息'!$C:$F,4,FALSE),"-")</f>
        <v>0.7</v>
      </c>
      <c r="K225" s="60">
        <f t="shared" si="9"/>
        <v>0.7</v>
      </c>
      <c r="L225" s="87"/>
      <c r="M225" s="60">
        <f t="shared" si="10"/>
        <v>2023</v>
      </c>
      <c r="N225" s="60">
        <f t="shared" si="11"/>
        <v>2</v>
      </c>
    </row>
    <row r="226" customHeight="1" spans="2:14">
      <c r="B226" s="86">
        <v>223</v>
      </c>
      <c r="C226" s="128">
        <v>44959</v>
      </c>
      <c r="D226" s="87" t="s">
        <v>286</v>
      </c>
      <c r="E226" s="60" t="str">
        <f>IFERROR(VLOOKUP(D226,'基础-领用人及部门'!$C:$D,2,FALSE),"-")</f>
        <v>综合办</v>
      </c>
      <c r="F226" s="87" t="s">
        <v>59</v>
      </c>
      <c r="G226" s="60" t="str">
        <f>IFERROR(VLOOKUP($F226,'基础-办公用品信息'!$C:$E,2,FALSE),"-")</f>
        <v>把</v>
      </c>
      <c r="H226" s="60">
        <f>IFERROR(VLOOKUP($F226,'基础-办公用品信息'!$C:$E,3,FALSE),"-")</f>
        <v>0</v>
      </c>
      <c r="I226" s="60">
        <v>1</v>
      </c>
      <c r="J226" s="60">
        <f>IFERROR(VLOOKUP($F226,'基础-办公用品信息'!$C:$F,4,FALSE),"-")</f>
        <v>3.5</v>
      </c>
      <c r="K226" s="60">
        <f t="shared" si="9"/>
        <v>3.5</v>
      </c>
      <c r="L226" s="87"/>
      <c r="M226" s="60">
        <f t="shared" si="10"/>
        <v>2023</v>
      </c>
      <c r="N226" s="60">
        <f t="shared" si="11"/>
        <v>2</v>
      </c>
    </row>
    <row r="227" customHeight="1" spans="2:14">
      <c r="B227" s="86">
        <v>224</v>
      </c>
      <c r="C227" s="128">
        <v>44959</v>
      </c>
      <c r="D227" s="87" t="s">
        <v>280</v>
      </c>
      <c r="E227" s="60" t="str">
        <f>IFERROR(VLOOKUP(D227,'基础-领用人及部门'!$C:$D,2,FALSE),"-")</f>
        <v>综合办</v>
      </c>
      <c r="F227" s="87" t="s">
        <v>111</v>
      </c>
      <c r="G227" s="60" t="str">
        <f>IFERROR(VLOOKUP($F227,'基础-办公用品信息'!$C:$E,2,FALSE),"-")</f>
        <v>包</v>
      </c>
      <c r="H227" s="60">
        <f>IFERROR(VLOOKUP($F227,'基础-办公用品信息'!$C:$E,3,FALSE),"-")</f>
        <v>0</v>
      </c>
      <c r="I227" s="60">
        <v>2</v>
      </c>
      <c r="J227" s="60">
        <f>IFERROR(VLOOKUP($F227,'基础-办公用品信息'!$C:$F,4,FALSE),"-")</f>
        <v>0.3</v>
      </c>
      <c r="K227" s="60">
        <f t="shared" si="9"/>
        <v>0.6</v>
      </c>
      <c r="L227" s="87"/>
      <c r="M227" s="60">
        <f t="shared" si="10"/>
        <v>2023</v>
      </c>
      <c r="N227" s="60">
        <f t="shared" si="11"/>
        <v>2</v>
      </c>
    </row>
    <row r="228" customHeight="1" spans="2:14">
      <c r="B228" s="86">
        <v>225</v>
      </c>
      <c r="C228" s="128">
        <v>44959</v>
      </c>
      <c r="D228" s="87" t="s">
        <v>333</v>
      </c>
      <c r="E228" s="60" t="str">
        <f>IFERROR(VLOOKUP(D228,'基础-领用人及部门'!$C:$D,2,FALSE),"-")</f>
        <v>综合办</v>
      </c>
      <c r="F228" s="87" t="s">
        <v>132</v>
      </c>
      <c r="G228" s="60" t="str">
        <f>IFERROR(VLOOKUP($F228,'基础-办公用品信息'!$C:$E,2,FALSE),"-")</f>
        <v>盒</v>
      </c>
      <c r="H228" s="60">
        <f>IFERROR(VLOOKUP($F228,'基础-办公用品信息'!$C:$E,3,FALSE),"-")</f>
        <v>0</v>
      </c>
      <c r="I228" s="60">
        <v>1</v>
      </c>
      <c r="J228" s="60">
        <f>IFERROR(VLOOKUP($F228,'基础-办公用品信息'!$C:$F,4,FALSE),"-")</f>
        <v>5.3</v>
      </c>
      <c r="K228" s="60">
        <f t="shared" si="9"/>
        <v>5.3</v>
      </c>
      <c r="L228" s="87"/>
      <c r="M228" s="60">
        <f t="shared" si="10"/>
        <v>2023</v>
      </c>
      <c r="N228" s="60">
        <f t="shared" si="11"/>
        <v>2</v>
      </c>
    </row>
    <row r="229" customHeight="1" spans="2:14">
      <c r="B229" s="86">
        <v>226</v>
      </c>
      <c r="C229" s="128">
        <v>44959</v>
      </c>
      <c r="D229" s="87" t="s">
        <v>263</v>
      </c>
      <c r="E229" s="60" t="str">
        <f>IFERROR(VLOOKUP(D229,'基础-领用人及部门'!$C:$D,2,FALSE),"-")</f>
        <v>综合办</v>
      </c>
      <c r="F229" s="87" t="s">
        <v>132</v>
      </c>
      <c r="G229" s="60" t="str">
        <f>IFERROR(VLOOKUP($F229,'基础-办公用品信息'!$C:$E,2,FALSE),"-")</f>
        <v>盒</v>
      </c>
      <c r="H229" s="60">
        <f>IFERROR(VLOOKUP($F229,'基础-办公用品信息'!$C:$E,3,FALSE),"-")</f>
        <v>0</v>
      </c>
      <c r="I229" s="60">
        <v>4</v>
      </c>
      <c r="J229" s="60">
        <f>IFERROR(VLOOKUP($F229,'基础-办公用品信息'!$C:$F,4,FALSE),"-")</f>
        <v>5.3</v>
      </c>
      <c r="K229" s="60">
        <f t="shared" si="9"/>
        <v>21.2</v>
      </c>
      <c r="L229" s="87"/>
      <c r="M229" s="60">
        <f t="shared" si="10"/>
        <v>2023</v>
      </c>
      <c r="N229" s="60">
        <f t="shared" si="11"/>
        <v>2</v>
      </c>
    </row>
    <row r="230" customHeight="1" spans="2:14">
      <c r="B230" s="86">
        <v>227</v>
      </c>
      <c r="C230" s="128">
        <v>44960</v>
      </c>
      <c r="D230" s="87" t="s">
        <v>286</v>
      </c>
      <c r="E230" s="60" t="str">
        <f>IFERROR(VLOOKUP(D230,'基础-领用人及部门'!$C:$D,2,FALSE),"-")</f>
        <v>综合办</v>
      </c>
      <c r="F230" s="87" t="s">
        <v>59</v>
      </c>
      <c r="G230" s="60" t="str">
        <f>IFERROR(VLOOKUP($F230,'基础-办公用品信息'!$C:$E,2,FALSE),"-")</f>
        <v>把</v>
      </c>
      <c r="H230" s="60">
        <f>IFERROR(VLOOKUP($F230,'基础-办公用品信息'!$C:$E,3,FALSE),"-")</f>
        <v>0</v>
      </c>
      <c r="I230" s="60">
        <v>1</v>
      </c>
      <c r="J230" s="60">
        <f>IFERROR(VLOOKUP($F230,'基础-办公用品信息'!$C:$F,4,FALSE),"-")</f>
        <v>3.5</v>
      </c>
      <c r="K230" s="60">
        <f t="shared" si="9"/>
        <v>3.5</v>
      </c>
      <c r="L230" s="87"/>
      <c r="M230" s="60">
        <f t="shared" si="10"/>
        <v>2023</v>
      </c>
      <c r="N230" s="60">
        <f t="shared" si="11"/>
        <v>2</v>
      </c>
    </row>
    <row r="231" customHeight="1" spans="2:14">
      <c r="B231" s="86">
        <v>228</v>
      </c>
      <c r="C231" s="128">
        <v>44960</v>
      </c>
      <c r="D231" s="87" t="s">
        <v>286</v>
      </c>
      <c r="E231" s="60" t="str">
        <f>IFERROR(VLOOKUP(D231,'基础-领用人及部门'!$C:$D,2,FALSE),"-")</f>
        <v>综合办</v>
      </c>
      <c r="F231" s="87" t="s">
        <v>11</v>
      </c>
      <c r="G231" s="60" t="str">
        <f>IFERROR(VLOOKUP($F231,'基础-办公用品信息'!$C:$E,2,FALSE),"-")</f>
        <v>包</v>
      </c>
      <c r="H231" s="60">
        <f>IFERROR(VLOOKUP($F231,'基础-办公用品信息'!$C:$E,3,FALSE),"-")</f>
        <v>0</v>
      </c>
      <c r="I231" s="60">
        <v>3</v>
      </c>
      <c r="J231" s="60">
        <f>IFERROR(VLOOKUP($F231,'基础-办公用品信息'!$C:$F,4,FALSE),"-")</f>
        <v>175</v>
      </c>
      <c r="K231" s="60">
        <f t="shared" si="9"/>
        <v>525</v>
      </c>
      <c r="L231" s="87"/>
      <c r="M231" s="60">
        <f t="shared" si="10"/>
        <v>2023</v>
      </c>
      <c r="N231" s="60">
        <f t="shared" si="11"/>
        <v>2</v>
      </c>
    </row>
    <row r="232" customHeight="1" spans="2:14">
      <c r="B232" s="86">
        <v>229</v>
      </c>
      <c r="C232" s="128">
        <v>44960</v>
      </c>
      <c r="D232" s="87" t="s">
        <v>286</v>
      </c>
      <c r="E232" s="60" t="str">
        <f>IFERROR(VLOOKUP(D232,'基础-领用人及部门'!$C:$D,2,FALSE),"-")</f>
        <v>综合办</v>
      </c>
      <c r="F232" s="87" t="s">
        <v>96</v>
      </c>
      <c r="G232" s="60" t="str">
        <f>IFERROR(VLOOKUP($F232,'基础-办公用品信息'!$C:$E,2,FALSE),"-")</f>
        <v>包</v>
      </c>
      <c r="H232" s="60">
        <f>IFERROR(VLOOKUP($F232,'基础-办公用品信息'!$C:$E,3,FALSE),"-")</f>
        <v>0</v>
      </c>
      <c r="I232" s="60">
        <v>2</v>
      </c>
      <c r="J232" s="60">
        <f>IFERROR(VLOOKUP($F232,'基础-办公用品信息'!$C:$F,4,FALSE),"-")</f>
        <v>2</v>
      </c>
      <c r="K232" s="60">
        <f t="shared" si="9"/>
        <v>4</v>
      </c>
      <c r="L232" s="87"/>
      <c r="M232" s="60">
        <f t="shared" si="10"/>
        <v>2023</v>
      </c>
      <c r="N232" s="60">
        <f t="shared" si="11"/>
        <v>2</v>
      </c>
    </row>
    <row r="233" customHeight="1" spans="2:14">
      <c r="B233" s="86">
        <v>230</v>
      </c>
      <c r="C233" s="128">
        <v>44963</v>
      </c>
      <c r="D233" s="87" t="s">
        <v>278</v>
      </c>
      <c r="E233" s="60" t="str">
        <f>IFERROR(VLOOKUP(D233,'基础-领用人及部门'!$C:$D,2,FALSE),"-")</f>
        <v>综合办</v>
      </c>
      <c r="F233" s="87" t="s">
        <v>173</v>
      </c>
      <c r="G233" s="60" t="str">
        <f>IFERROR(VLOOKUP($F233,'基础-办公用品信息'!$C:$E,2,FALSE),"-")</f>
        <v>条</v>
      </c>
      <c r="H233" s="60">
        <f>IFERROR(VLOOKUP($F233,'基础-办公用品信息'!$C:$E,3,FALSE),"-")</f>
        <v>0</v>
      </c>
      <c r="I233" s="60">
        <v>6</v>
      </c>
      <c r="J233" s="60">
        <f>IFERROR(VLOOKUP($F233,'基础-办公用品信息'!$C:$F,4,FALSE),"-")</f>
        <v>0</v>
      </c>
      <c r="K233" s="60">
        <f t="shared" si="9"/>
        <v>0</v>
      </c>
      <c r="L233" s="87"/>
      <c r="M233" s="60">
        <f t="shared" si="10"/>
        <v>2023</v>
      </c>
      <c r="N233" s="60">
        <f t="shared" si="11"/>
        <v>2</v>
      </c>
    </row>
    <row r="234" customHeight="1" spans="2:14">
      <c r="B234" s="86">
        <v>231</v>
      </c>
      <c r="C234" s="128">
        <v>44963</v>
      </c>
      <c r="D234" s="87" t="s">
        <v>288</v>
      </c>
      <c r="E234" s="60" t="str">
        <f>IFERROR(VLOOKUP(D234,'基础-领用人及部门'!$C:$D,2,FALSE),"-")</f>
        <v>综合办</v>
      </c>
      <c r="F234" s="87" t="s">
        <v>47</v>
      </c>
      <c r="G234" s="60" t="str">
        <f>IFERROR(VLOOKUP($F234,'基础-办公用品信息'!$C:$E,2,FALSE),"-")</f>
        <v>支</v>
      </c>
      <c r="H234" s="60">
        <f>IFERROR(VLOOKUP($F234,'基础-办公用品信息'!$C:$E,3,FALSE),"-")</f>
        <v>0</v>
      </c>
      <c r="I234" s="60">
        <v>1</v>
      </c>
      <c r="J234" s="60">
        <f>IFERROR(VLOOKUP($F234,'基础-办公用品信息'!$C:$F,4,FALSE),"-")</f>
        <v>0.5</v>
      </c>
      <c r="K234" s="60">
        <f t="shared" si="9"/>
        <v>0.5</v>
      </c>
      <c r="L234" s="87"/>
      <c r="M234" s="60">
        <f t="shared" si="10"/>
        <v>2023</v>
      </c>
      <c r="N234" s="60">
        <f t="shared" si="11"/>
        <v>2</v>
      </c>
    </row>
    <row r="235" customHeight="1" spans="2:14">
      <c r="B235" s="86">
        <v>232</v>
      </c>
      <c r="C235" s="128">
        <v>44963</v>
      </c>
      <c r="D235" s="87" t="s">
        <v>295</v>
      </c>
      <c r="E235" s="60" t="str">
        <f>IFERROR(VLOOKUP(D235,'基础-领用人及部门'!$C:$D,2,FALSE),"-")</f>
        <v>财务部</v>
      </c>
      <c r="F235" s="87" t="s">
        <v>85</v>
      </c>
      <c r="G235" s="60" t="str">
        <f>IFERROR(VLOOKUP($F235,'基础-办公用品信息'!$C:$E,2,FALSE),"-")</f>
        <v>个</v>
      </c>
      <c r="H235" s="60">
        <f>IFERROR(VLOOKUP($F235,'基础-办公用品信息'!$C:$E,3,FALSE),"-")</f>
        <v>0</v>
      </c>
      <c r="I235" s="60">
        <v>1</v>
      </c>
      <c r="J235" s="60">
        <f>IFERROR(VLOOKUP($F235,'基础-办公用品信息'!$C:$F,4,FALSE),"-")</f>
        <v>59</v>
      </c>
      <c r="K235" s="60">
        <f t="shared" si="9"/>
        <v>59</v>
      </c>
      <c r="L235" s="87"/>
      <c r="M235" s="60">
        <f t="shared" si="10"/>
        <v>2023</v>
      </c>
      <c r="N235" s="60">
        <f t="shared" si="11"/>
        <v>2</v>
      </c>
    </row>
    <row r="236" customHeight="1" spans="2:14">
      <c r="B236" s="86">
        <v>233</v>
      </c>
      <c r="C236" s="128">
        <v>44964</v>
      </c>
      <c r="D236" s="87" t="s">
        <v>286</v>
      </c>
      <c r="E236" s="60" t="str">
        <f>IFERROR(VLOOKUP(D236,'基础-领用人及部门'!$C:$D,2,FALSE),"-")</f>
        <v>综合办</v>
      </c>
      <c r="F236" s="87" t="s">
        <v>41</v>
      </c>
      <c r="G236" s="60" t="str">
        <f>IFERROR(VLOOKUP($F236,'基础-办公用品信息'!$C:$E,2,FALSE),"-")</f>
        <v>支</v>
      </c>
      <c r="H236" s="60">
        <f>IFERROR(VLOOKUP($F236,'基础-办公用品信息'!$C:$E,3,FALSE),"-")</f>
        <v>0</v>
      </c>
      <c r="I236" s="60">
        <v>4</v>
      </c>
      <c r="J236" s="60">
        <f>IFERROR(VLOOKUP($F236,'基础-办公用品信息'!$C:$F,4,FALSE),"-")</f>
        <v>1.3</v>
      </c>
      <c r="K236" s="60">
        <f t="shared" si="9"/>
        <v>5.2</v>
      </c>
      <c r="L236" s="87" t="s">
        <v>368</v>
      </c>
      <c r="M236" s="60">
        <f t="shared" si="10"/>
        <v>2023</v>
      </c>
      <c r="N236" s="60">
        <f t="shared" si="11"/>
        <v>2</v>
      </c>
    </row>
    <row r="237" customHeight="1" spans="2:14">
      <c r="B237" s="86">
        <v>234</v>
      </c>
      <c r="C237" s="128">
        <v>44964</v>
      </c>
      <c r="D237" s="87" t="s">
        <v>286</v>
      </c>
      <c r="E237" s="60" t="str">
        <f>IFERROR(VLOOKUP(D237,'基础-领用人及部门'!$C:$D,2,FALSE),"-")</f>
        <v>综合办</v>
      </c>
      <c r="F237" s="87" t="s">
        <v>20</v>
      </c>
      <c r="G237" s="60" t="str">
        <f>IFERROR(VLOOKUP($F237,'基础-办公用品信息'!$C:$E,2,FALSE),"-")</f>
        <v>本</v>
      </c>
      <c r="H237" s="60">
        <f>IFERROR(VLOOKUP($F237,'基础-办公用品信息'!$C:$E,3,FALSE),"-")</f>
        <v>0</v>
      </c>
      <c r="I237" s="60">
        <v>4</v>
      </c>
      <c r="J237" s="60">
        <f>IFERROR(VLOOKUP($F237,'基础-办公用品信息'!$C:$F,4,FALSE),"-")</f>
        <v>7.5</v>
      </c>
      <c r="K237" s="60">
        <f t="shared" si="9"/>
        <v>30</v>
      </c>
      <c r="L237" s="87" t="s">
        <v>368</v>
      </c>
      <c r="M237" s="60">
        <f t="shared" si="10"/>
        <v>2023</v>
      </c>
      <c r="N237" s="60">
        <f t="shared" si="11"/>
        <v>2</v>
      </c>
    </row>
    <row r="238" customHeight="1" spans="2:14">
      <c r="B238" s="86">
        <v>235</v>
      </c>
      <c r="C238" s="128">
        <v>44964</v>
      </c>
      <c r="D238" s="87" t="s">
        <v>265</v>
      </c>
      <c r="E238" s="60" t="str">
        <f>IFERROR(VLOOKUP(D238,'基础-领用人及部门'!$C:$D,2,FALSE),"-")</f>
        <v>综合办</v>
      </c>
      <c r="F238" s="87" t="s">
        <v>41</v>
      </c>
      <c r="G238" s="60" t="str">
        <f>IFERROR(VLOOKUP($F238,'基础-办公用品信息'!$C:$E,2,FALSE),"-")</f>
        <v>支</v>
      </c>
      <c r="H238" s="60">
        <f>IFERROR(VLOOKUP($F238,'基础-办公用品信息'!$C:$E,3,FALSE),"-")</f>
        <v>0</v>
      </c>
      <c r="I238" s="60">
        <v>12</v>
      </c>
      <c r="J238" s="60">
        <f>IFERROR(VLOOKUP($F238,'基础-办公用品信息'!$C:$F,4,FALSE),"-")</f>
        <v>1.3</v>
      </c>
      <c r="K238" s="60">
        <f t="shared" si="9"/>
        <v>15.6</v>
      </c>
      <c r="L238" s="87"/>
      <c r="M238" s="60">
        <f t="shared" si="10"/>
        <v>2023</v>
      </c>
      <c r="N238" s="60">
        <f t="shared" si="11"/>
        <v>2</v>
      </c>
    </row>
    <row r="239" customHeight="1" spans="2:14">
      <c r="B239" s="86">
        <v>236</v>
      </c>
      <c r="C239" s="128">
        <v>44964</v>
      </c>
      <c r="D239" s="87" t="s">
        <v>265</v>
      </c>
      <c r="E239" s="60" t="str">
        <f>IFERROR(VLOOKUP(D239,'基础-领用人及部门'!$C:$D,2,FALSE),"-")</f>
        <v>综合办</v>
      </c>
      <c r="F239" s="87" t="s">
        <v>19</v>
      </c>
      <c r="G239" s="60" t="str">
        <f>IFERROR(VLOOKUP($F239,'基础-办公用品信息'!$C:$E,2,FALSE),"-")</f>
        <v>本</v>
      </c>
      <c r="H239" s="60">
        <f>IFERROR(VLOOKUP($F239,'基础-办公用品信息'!$C:$E,3,FALSE),"-")</f>
        <v>0</v>
      </c>
      <c r="I239" s="60">
        <v>6</v>
      </c>
      <c r="J239" s="60">
        <f>IFERROR(VLOOKUP($F239,'基础-办公用品信息'!$C:$F,4,FALSE),"-")</f>
        <v>0</v>
      </c>
      <c r="K239" s="60">
        <f t="shared" si="9"/>
        <v>0</v>
      </c>
      <c r="L239" s="87"/>
      <c r="M239" s="60">
        <f t="shared" si="10"/>
        <v>2023</v>
      </c>
      <c r="N239" s="60">
        <f t="shared" si="11"/>
        <v>2</v>
      </c>
    </row>
    <row r="240" customHeight="1" spans="2:14">
      <c r="B240" s="86">
        <v>237</v>
      </c>
      <c r="C240" s="128">
        <v>44964</v>
      </c>
      <c r="D240" s="87" t="s">
        <v>278</v>
      </c>
      <c r="E240" s="60" t="str">
        <f>IFERROR(VLOOKUP(D240,'基础-领用人及部门'!$C:$D,2,FALSE),"-")</f>
        <v>综合办</v>
      </c>
      <c r="F240" s="87" t="s">
        <v>195</v>
      </c>
      <c r="G240" s="60" t="str">
        <f>IFERROR(VLOOKUP($F240,'基础-办公用品信息'!$C:$E,2,FALSE),"-")</f>
        <v>包</v>
      </c>
      <c r="H240" s="60">
        <f>IFERROR(VLOOKUP($F240,'基础-办公用品信息'!$C:$E,3,FALSE),"-")</f>
        <v>0</v>
      </c>
      <c r="I240" s="60">
        <v>1</v>
      </c>
      <c r="J240" s="60">
        <f>IFERROR(VLOOKUP($F240,'基础-办公用品信息'!$C:$F,4,FALSE),"-")</f>
        <v>0</v>
      </c>
      <c r="K240" s="60">
        <f t="shared" si="9"/>
        <v>0</v>
      </c>
      <c r="L240" s="87"/>
      <c r="M240" s="60">
        <f t="shared" si="10"/>
        <v>2023</v>
      </c>
      <c r="N240" s="60">
        <f t="shared" si="11"/>
        <v>2</v>
      </c>
    </row>
    <row r="241" customHeight="1" spans="2:14">
      <c r="B241" s="86">
        <v>238</v>
      </c>
      <c r="C241" s="128">
        <v>44964</v>
      </c>
      <c r="D241" s="87" t="s">
        <v>333</v>
      </c>
      <c r="E241" s="60" t="str">
        <f>IFERROR(VLOOKUP(D241,'基础-领用人及部门'!$C:$D,2,FALSE),"-")</f>
        <v>综合办</v>
      </c>
      <c r="F241" s="87" t="s">
        <v>189</v>
      </c>
      <c r="G241" s="60" t="str">
        <f>IFERROR(VLOOKUP($F241,'基础-办公用品信息'!$C:$E,2,FALSE),"-")</f>
        <v>卷</v>
      </c>
      <c r="H241" s="60">
        <f>IFERROR(VLOOKUP($F241,'基础-办公用品信息'!$C:$E,3,FALSE),"-")</f>
        <v>0</v>
      </c>
      <c r="I241" s="60">
        <v>10</v>
      </c>
      <c r="J241" s="60">
        <f>IFERROR(VLOOKUP($F241,'基础-办公用品信息'!$C:$F,4,FALSE),"-")</f>
        <v>0</v>
      </c>
      <c r="K241" s="60">
        <f t="shared" si="9"/>
        <v>0</v>
      </c>
      <c r="L241" s="87"/>
      <c r="M241" s="60">
        <f t="shared" si="10"/>
        <v>2023</v>
      </c>
      <c r="N241" s="60">
        <f t="shared" si="11"/>
        <v>2</v>
      </c>
    </row>
    <row r="242" customHeight="1" spans="2:14">
      <c r="B242" s="86">
        <v>239</v>
      </c>
      <c r="C242" s="128">
        <v>44964</v>
      </c>
      <c r="D242" s="87" t="s">
        <v>333</v>
      </c>
      <c r="E242" s="60" t="str">
        <f>IFERROR(VLOOKUP(D242,'基础-领用人及部门'!$C:$D,2,FALSE),"-")</f>
        <v>综合办</v>
      </c>
      <c r="F242" s="87" t="s">
        <v>190</v>
      </c>
      <c r="G242" s="60" t="str">
        <f>IFERROR(VLOOKUP($F242,'基础-办公用品信息'!$C:$E,2,FALSE),"-")</f>
        <v>卷</v>
      </c>
      <c r="H242" s="60">
        <f>IFERROR(VLOOKUP($F242,'基础-办公用品信息'!$C:$E,3,FALSE),"-")</f>
        <v>0</v>
      </c>
      <c r="I242" s="60">
        <v>20</v>
      </c>
      <c r="J242" s="60">
        <f>IFERROR(VLOOKUP($F242,'基础-办公用品信息'!$C:$F,4,FALSE),"-")</f>
        <v>0</v>
      </c>
      <c r="K242" s="60">
        <f t="shared" si="9"/>
        <v>0</v>
      </c>
      <c r="L242" s="87"/>
      <c r="M242" s="60">
        <f t="shared" si="10"/>
        <v>2023</v>
      </c>
      <c r="N242" s="60">
        <f t="shared" si="11"/>
        <v>2</v>
      </c>
    </row>
    <row r="243" customHeight="1" spans="2:14">
      <c r="B243" s="86">
        <v>240</v>
      </c>
      <c r="C243" s="128">
        <v>44964</v>
      </c>
      <c r="D243" s="87" t="s">
        <v>333</v>
      </c>
      <c r="E243" s="60" t="str">
        <f>IFERROR(VLOOKUP(D243,'基础-领用人及部门'!$C:$D,2,FALSE),"-")</f>
        <v>综合办</v>
      </c>
      <c r="F243" s="87" t="s">
        <v>130</v>
      </c>
      <c r="G243" s="60" t="str">
        <f>IFERROR(VLOOKUP($F243,'基础-办公用品信息'!$C:$E,2,FALSE),"-")</f>
        <v>提</v>
      </c>
      <c r="H243" s="60">
        <f>IFERROR(VLOOKUP($F243,'基础-办公用品信息'!$C:$E,3,FALSE),"-")</f>
        <v>0</v>
      </c>
      <c r="I243" s="60">
        <v>5</v>
      </c>
      <c r="J243" s="60">
        <f>IFERROR(VLOOKUP($F243,'基础-办公用品信息'!$C:$F,4,FALSE),"-")</f>
        <v>11.5</v>
      </c>
      <c r="K243" s="60">
        <f t="shared" si="9"/>
        <v>57.5</v>
      </c>
      <c r="L243" s="87"/>
      <c r="M243" s="60">
        <f t="shared" si="10"/>
        <v>2023</v>
      </c>
      <c r="N243" s="60">
        <f t="shared" si="11"/>
        <v>2</v>
      </c>
    </row>
    <row r="244" customHeight="1" spans="2:14">
      <c r="B244" s="86">
        <v>241</v>
      </c>
      <c r="C244" s="128">
        <v>44964</v>
      </c>
      <c r="D244" s="87" t="s">
        <v>317</v>
      </c>
      <c r="E244" s="60" t="str">
        <f>IFERROR(VLOOKUP(D244,'基础-领用人及部门'!$C:$D,2,FALSE),"-")</f>
        <v>成本部</v>
      </c>
      <c r="F244" s="87" t="s">
        <v>16</v>
      </c>
      <c r="G244" s="60" t="str">
        <f>IFERROR(VLOOKUP($F244,'基础-办公用品信息'!$C:$E,2,FALSE),"-")</f>
        <v>本</v>
      </c>
      <c r="H244" s="60">
        <f>IFERROR(VLOOKUP($F244,'基础-办公用品信息'!$C:$E,3,FALSE),"-")</f>
        <v>0</v>
      </c>
      <c r="I244" s="60">
        <v>1</v>
      </c>
      <c r="J244" s="60">
        <f>IFERROR(VLOOKUP($F244,'基础-办公用品信息'!$C:$F,4,FALSE),"-")</f>
        <v>0</v>
      </c>
      <c r="K244" s="60">
        <f t="shared" si="9"/>
        <v>0</v>
      </c>
      <c r="L244" s="87"/>
      <c r="M244" s="60">
        <f t="shared" si="10"/>
        <v>2023</v>
      </c>
      <c r="N244" s="60">
        <f t="shared" si="11"/>
        <v>2</v>
      </c>
    </row>
    <row r="245" customHeight="1" spans="2:14">
      <c r="B245" s="86">
        <v>242</v>
      </c>
      <c r="C245" s="128">
        <v>44964</v>
      </c>
      <c r="D245" s="87" t="s">
        <v>270</v>
      </c>
      <c r="E245" s="60" t="str">
        <f>IFERROR(VLOOKUP(D245,'基础-领用人及部门'!$C:$D,2,FALSE),"-")</f>
        <v>综合办</v>
      </c>
      <c r="F245" s="87" t="s">
        <v>9</v>
      </c>
      <c r="G245" s="60" t="str">
        <f>IFERROR(VLOOKUP($F245,'基础-办公用品信息'!$C:$E,2,FALSE),"-")</f>
        <v>包</v>
      </c>
      <c r="H245" s="60">
        <f>IFERROR(VLOOKUP($F245,'基础-办公用品信息'!$C:$E,3,FALSE),"-")</f>
        <v>0</v>
      </c>
      <c r="I245" s="60">
        <v>2</v>
      </c>
      <c r="J245" s="60">
        <f>IFERROR(VLOOKUP($F245,'基础-办公用品信息'!$C:$F,4,FALSE),"-")</f>
        <v>175</v>
      </c>
      <c r="K245" s="60">
        <f t="shared" si="9"/>
        <v>350</v>
      </c>
      <c r="L245" s="87"/>
      <c r="M245" s="60">
        <f t="shared" si="10"/>
        <v>2023</v>
      </c>
      <c r="N245" s="60">
        <f t="shared" si="11"/>
        <v>2</v>
      </c>
    </row>
    <row r="246" customHeight="1" spans="2:14">
      <c r="B246" s="86">
        <v>243</v>
      </c>
      <c r="C246" s="128">
        <v>44964</v>
      </c>
      <c r="D246" s="87" t="s">
        <v>270</v>
      </c>
      <c r="E246" s="60" t="str">
        <f>IFERROR(VLOOKUP(D246,'基础-领用人及部门'!$C:$D,2,FALSE),"-")</f>
        <v>综合办</v>
      </c>
      <c r="F246" s="87" t="s">
        <v>11</v>
      </c>
      <c r="G246" s="60" t="str">
        <f>IFERROR(VLOOKUP($F246,'基础-办公用品信息'!$C:$E,2,FALSE),"-")</f>
        <v>包</v>
      </c>
      <c r="H246" s="60">
        <f>IFERROR(VLOOKUP($F246,'基础-办公用品信息'!$C:$E,3,FALSE),"-")</f>
        <v>0</v>
      </c>
      <c r="I246" s="60">
        <v>8</v>
      </c>
      <c r="J246" s="60">
        <f>IFERROR(VLOOKUP($F246,'基础-办公用品信息'!$C:$F,4,FALSE),"-")</f>
        <v>175</v>
      </c>
      <c r="K246" s="60">
        <f t="shared" si="9"/>
        <v>1400</v>
      </c>
      <c r="L246" s="87"/>
      <c r="M246" s="60">
        <f t="shared" si="10"/>
        <v>2023</v>
      </c>
      <c r="N246" s="60">
        <f t="shared" si="11"/>
        <v>2</v>
      </c>
    </row>
    <row r="247" customHeight="1" spans="2:14">
      <c r="B247" s="86">
        <v>244</v>
      </c>
      <c r="C247" s="128">
        <v>44964</v>
      </c>
      <c r="D247" s="87" t="s">
        <v>319</v>
      </c>
      <c r="E247" s="60" t="str">
        <f>IFERROR(VLOOKUP(D247,'基础-领用人及部门'!$C:$D,2,FALSE),"-")</f>
        <v>成本部</v>
      </c>
      <c r="F247" s="87" t="s">
        <v>11</v>
      </c>
      <c r="G247" s="60" t="str">
        <f>IFERROR(VLOOKUP($F247,'基础-办公用品信息'!$C:$E,2,FALSE),"-")</f>
        <v>包</v>
      </c>
      <c r="H247" s="60">
        <f>IFERROR(VLOOKUP($F247,'基础-办公用品信息'!$C:$E,3,FALSE),"-")</f>
        <v>0</v>
      </c>
      <c r="I247" s="60">
        <v>8</v>
      </c>
      <c r="J247" s="60">
        <f>IFERROR(VLOOKUP($F247,'基础-办公用品信息'!$C:$F,4,FALSE),"-")</f>
        <v>175</v>
      </c>
      <c r="K247" s="60">
        <f t="shared" si="9"/>
        <v>1400</v>
      </c>
      <c r="L247" s="87"/>
      <c r="M247" s="60">
        <f t="shared" si="10"/>
        <v>2023</v>
      </c>
      <c r="N247" s="60">
        <f t="shared" si="11"/>
        <v>2</v>
      </c>
    </row>
    <row r="248" customHeight="1" spans="2:14">
      <c r="B248" s="86">
        <v>245</v>
      </c>
      <c r="C248" s="128">
        <v>44964</v>
      </c>
      <c r="D248" s="87" t="s">
        <v>319</v>
      </c>
      <c r="E248" s="60" t="str">
        <f>IFERROR(VLOOKUP(D248,'基础-领用人及部门'!$C:$D,2,FALSE),"-")</f>
        <v>成本部</v>
      </c>
      <c r="F248" s="87" t="s">
        <v>79</v>
      </c>
      <c r="G248" s="60" t="str">
        <f>IFERROR(VLOOKUP($F248,'基础-办公用品信息'!$C:$E,2,FALSE),"-")</f>
        <v>盒</v>
      </c>
      <c r="H248" s="60">
        <f>IFERROR(VLOOKUP($F248,'基础-办公用品信息'!$C:$E,3,FALSE),"-")</f>
        <v>0</v>
      </c>
      <c r="I248" s="60">
        <v>1</v>
      </c>
      <c r="J248" s="60">
        <f>IFERROR(VLOOKUP($F248,'基础-办公用品信息'!$C:$F,4,FALSE),"-")</f>
        <v>11</v>
      </c>
      <c r="K248" s="60">
        <f t="shared" si="9"/>
        <v>11</v>
      </c>
      <c r="L248" s="87"/>
      <c r="M248" s="60">
        <f t="shared" si="10"/>
        <v>2023</v>
      </c>
      <c r="N248" s="60">
        <f t="shared" si="11"/>
        <v>2</v>
      </c>
    </row>
    <row r="249" customHeight="1" spans="2:14">
      <c r="B249" s="86">
        <v>246</v>
      </c>
      <c r="C249" s="128">
        <v>44964</v>
      </c>
      <c r="D249" s="87" t="s">
        <v>319</v>
      </c>
      <c r="E249" s="60" t="str">
        <f>IFERROR(VLOOKUP(D249,'基础-领用人及部门'!$C:$D,2,FALSE),"-")</f>
        <v>成本部</v>
      </c>
      <c r="F249" s="87" t="s">
        <v>80</v>
      </c>
      <c r="G249" s="60" t="str">
        <f>IFERROR(VLOOKUP($F249,'基础-办公用品信息'!$C:$E,2,FALSE),"-")</f>
        <v>盒</v>
      </c>
      <c r="H249" s="60">
        <f>IFERROR(VLOOKUP($F249,'基础-办公用品信息'!$C:$E,3,FALSE),"-")</f>
        <v>0</v>
      </c>
      <c r="I249" s="60">
        <v>1</v>
      </c>
      <c r="J249" s="60">
        <f>IFERROR(VLOOKUP($F249,'基础-办公用品信息'!$C:$F,4,FALSE),"-")</f>
        <v>15</v>
      </c>
      <c r="K249" s="60">
        <f t="shared" si="9"/>
        <v>15</v>
      </c>
      <c r="L249" s="87"/>
      <c r="M249" s="60">
        <f t="shared" si="10"/>
        <v>2023</v>
      </c>
      <c r="N249" s="60">
        <f t="shared" si="11"/>
        <v>2</v>
      </c>
    </row>
    <row r="250" customHeight="1" spans="2:14">
      <c r="B250" s="86">
        <v>247</v>
      </c>
      <c r="C250" s="128">
        <v>44964</v>
      </c>
      <c r="D250" s="87" t="s">
        <v>331</v>
      </c>
      <c r="E250" s="60" t="str">
        <f>IFERROR(VLOOKUP(D250,'基础-领用人及部门'!$C:$D,2,FALSE),"-")</f>
        <v>工程部</v>
      </c>
      <c r="F250" s="87" t="s">
        <v>9</v>
      </c>
      <c r="G250" s="60" t="str">
        <f>IFERROR(VLOOKUP($F250,'基础-办公用品信息'!$C:$E,2,FALSE),"-")</f>
        <v>包</v>
      </c>
      <c r="H250" s="60">
        <f>IFERROR(VLOOKUP($F250,'基础-办公用品信息'!$C:$E,3,FALSE),"-")</f>
        <v>0</v>
      </c>
      <c r="I250" s="60">
        <v>4</v>
      </c>
      <c r="J250" s="60">
        <f>IFERROR(VLOOKUP($F250,'基础-办公用品信息'!$C:$F,4,FALSE),"-")</f>
        <v>175</v>
      </c>
      <c r="K250" s="60">
        <f t="shared" si="9"/>
        <v>700</v>
      </c>
      <c r="L250" s="87"/>
      <c r="M250" s="60">
        <f t="shared" si="10"/>
        <v>2023</v>
      </c>
      <c r="N250" s="60">
        <f t="shared" si="11"/>
        <v>2</v>
      </c>
    </row>
    <row r="251" customHeight="1" spans="2:14">
      <c r="B251" s="86">
        <v>248</v>
      </c>
      <c r="C251" s="128">
        <v>44964</v>
      </c>
      <c r="D251" s="87" t="s">
        <v>331</v>
      </c>
      <c r="E251" s="60" t="str">
        <f>IFERROR(VLOOKUP(D251,'基础-领用人及部门'!$C:$D,2,FALSE),"-")</f>
        <v>工程部</v>
      </c>
      <c r="F251" s="87" t="s">
        <v>83</v>
      </c>
      <c r="G251" s="60" t="str">
        <f>IFERROR(VLOOKUP($F251,'基础-办公用品信息'!$C:$E,2,FALSE),"-")</f>
        <v>盒</v>
      </c>
      <c r="H251" s="60">
        <f>IFERROR(VLOOKUP($F251,'基础-办公用品信息'!$C:$E,3,FALSE),"-")</f>
        <v>0</v>
      </c>
      <c r="I251" s="60">
        <v>2</v>
      </c>
      <c r="J251" s="60">
        <f>IFERROR(VLOOKUP($F251,'基础-办公用品信息'!$C:$F,4,FALSE),"-")</f>
        <v>8</v>
      </c>
      <c r="K251" s="60">
        <f t="shared" si="9"/>
        <v>16</v>
      </c>
      <c r="L251" s="87"/>
      <c r="M251" s="60">
        <f t="shared" si="10"/>
        <v>2023</v>
      </c>
      <c r="N251" s="60">
        <f t="shared" si="11"/>
        <v>2</v>
      </c>
    </row>
    <row r="252" customHeight="1" spans="2:14">
      <c r="B252" s="86">
        <v>249</v>
      </c>
      <c r="C252" s="128">
        <v>44964</v>
      </c>
      <c r="D252" s="87" t="s">
        <v>331</v>
      </c>
      <c r="E252" s="60" t="str">
        <f>IFERROR(VLOOKUP(D252,'基础-领用人及部门'!$C:$D,2,FALSE),"-")</f>
        <v>工程部</v>
      </c>
      <c r="F252" s="87" t="s">
        <v>82</v>
      </c>
      <c r="G252" s="60" t="str">
        <f>IFERROR(VLOOKUP($F252,'基础-办公用品信息'!$C:$E,2,FALSE),"-")</f>
        <v>盒</v>
      </c>
      <c r="H252" s="60">
        <f>IFERROR(VLOOKUP($F252,'基础-办公用品信息'!$C:$E,3,FALSE),"-")</f>
        <v>0</v>
      </c>
      <c r="I252" s="60">
        <v>2</v>
      </c>
      <c r="J252" s="60">
        <f>IFERROR(VLOOKUP($F252,'基础-办公用品信息'!$C:$F,4,FALSE),"-")</f>
        <v>7</v>
      </c>
      <c r="K252" s="60">
        <f t="shared" si="9"/>
        <v>14</v>
      </c>
      <c r="L252" s="87"/>
      <c r="M252" s="60">
        <f t="shared" si="10"/>
        <v>2023</v>
      </c>
      <c r="N252" s="60">
        <f t="shared" si="11"/>
        <v>2</v>
      </c>
    </row>
    <row r="253" customHeight="1" spans="2:14">
      <c r="B253" s="86">
        <v>250</v>
      </c>
      <c r="C253" s="128">
        <v>44964</v>
      </c>
      <c r="D253" s="87" t="s">
        <v>334</v>
      </c>
      <c r="E253" s="60" t="str">
        <f>IFERROR(VLOOKUP(D253,'基础-领用人及部门'!$C:$D,2,FALSE),"-")</f>
        <v>综合办</v>
      </c>
      <c r="F253" s="87" t="s">
        <v>195</v>
      </c>
      <c r="G253" s="60" t="str">
        <f>IFERROR(VLOOKUP($F253,'基础-办公用品信息'!$C:$E,2,FALSE),"-")</f>
        <v>包</v>
      </c>
      <c r="H253" s="60">
        <f>IFERROR(VLOOKUP($F253,'基础-办公用品信息'!$C:$E,3,FALSE),"-")</f>
        <v>0</v>
      </c>
      <c r="I253" s="60">
        <v>4</v>
      </c>
      <c r="J253" s="60">
        <f>IFERROR(VLOOKUP($F253,'基础-办公用品信息'!$C:$F,4,FALSE),"-")</f>
        <v>0</v>
      </c>
      <c r="K253" s="60">
        <f t="shared" si="9"/>
        <v>0</v>
      </c>
      <c r="L253" s="87"/>
      <c r="M253" s="60">
        <f t="shared" si="10"/>
        <v>2023</v>
      </c>
      <c r="N253" s="60">
        <f t="shared" si="11"/>
        <v>2</v>
      </c>
    </row>
    <row r="254" customHeight="1" spans="2:14">
      <c r="B254" s="86">
        <v>251</v>
      </c>
      <c r="C254" s="128">
        <v>44964</v>
      </c>
      <c r="D254" s="87" t="s">
        <v>334</v>
      </c>
      <c r="E254" s="60" t="str">
        <f>IFERROR(VLOOKUP(D254,'基础-领用人及部门'!$C:$D,2,FALSE),"-")</f>
        <v>综合办</v>
      </c>
      <c r="F254" s="87" t="s">
        <v>161</v>
      </c>
      <c r="G254" s="60" t="str">
        <f>IFERROR(VLOOKUP($F254,'基础-办公用品信息'!$C:$E,2,FALSE),"-")</f>
        <v>桶</v>
      </c>
      <c r="H254" s="60">
        <f>IFERROR(VLOOKUP($F254,'基础-办公用品信息'!$C:$E,3,FALSE),"-")</f>
        <v>0</v>
      </c>
      <c r="I254" s="60">
        <v>3</v>
      </c>
      <c r="J254" s="60">
        <f>IFERROR(VLOOKUP($F254,'基础-办公用品信息'!$C:$F,4,FALSE),"-")</f>
        <v>0</v>
      </c>
      <c r="K254" s="60">
        <f t="shared" si="9"/>
        <v>0</v>
      </c>
      <c r="L254" s="87"/>
      <c r="M254" s="60">
        <f t="shared" si="10"/>
        <v>2023</v>
      </c>
      <c r="N254" s="60">
        <f t="shared" si="11"/>
        <v>2</v>
      </c>
    </row>
    <row r="255" customHeight="1" spans="2:14">
      <c r="B255" s="86">
        <v>252</v>
      </c>
      <c r="C255" s="128">
        <v>44964</v>
      </c>
      <c r="D255" s="87" t="s">
        <v>334</v>
      </c>
      <c r="E255" s="60" t="str">
        <f>IFERROR(VLOOKUP(D255,'基础-领用人及部门'!$C:$D,2,FALSE),"-")</f>
        <v>综合办</v>
      </c>
      <c r="F255" s="87" t="s">
        <v>187</v>
      </c>
      <c r="G255" s="60" t="str">
        <f>IFERROR(VLOOKUP($F255,'基础-办公用品信息'!$C:$E,2,FALSE),"-")</f>
        <v>双</v>
      </c>
      <c r="H255" s="60">
        <f>IFERROR(VLOOKUP($F255,'基础-办公用品信息'!$C:$E,3,FALSE),"-")</f>
        <v>0</v>
      </c>
      <c r="I255" s="60">
        <v>2</v>
      </c>
      <c r="J255" s="60">
        <f>IFERROR(VLOOKUP($F255,'基础-办公用品信息'!$C:$F,4,FALSE),"-")</f>
        <v>0</v>
      </c>
      <c r="K255" s="60">
        <f t="shared" si="9"/>
        <v>0</v>
      </c>
      <c r="L255" s="87"/>
      <c r="M255" s="60">
        <f t="shared" si="10"/>
        <v>2023</v>
      </c>
      <c r="N255" s="60">
        <f t="shared" si="11"/>
        <v>2</v>
      </c>
    </row>
    <row r="256" customHeight="1" spans="2:14">
      <c r="B256" s="86">
        <v>253</v>
      </c>
      <c r="C256" s="128">
        <v>44964</v>
      </c>
      <c r="D256" s="87" t="s">
        <v>334</v>
      </c>
      <c r="E256" s="60" t="str">
        <f>IFERROR(VLOOKUP(D256,'基础-领用人及部门'!$C:$D,2,FALSE),"-")</f>
        <v>综合办</v>
      </c>
      <c r="F256" s="87" t="s">
        <v>192</v>
      </c>
      <c r="G256" s="60" t="str">
        <f>IFERROR(VLOOKUP($F256,'基础-办公用品信息'!$C:$E,2,FALSE),"-")</f>
        <v>个</v>
      </c>
      <c r="H256" s="60">
        <f>IFERROR(VLOOKUP($F256,'基础-办公用品信息'!$C:$E,3,FALSE),"-")</f>
        <v>0</v>
      </c>
      <c r="I256" s="60">
        <v>2</v>
      </c>
      <c r="J256" s="60">
        <f>IFERROR(VLOOKUP($F256,'基础-办公用品信息'!$C:$F,4,FALSE),"-")</f>
        <v>0</v>
      </c>
      <c r="K256" s="60">
        <f t="shared" si="9"/>
        <v>0</v>
      </c>
      <c r="L256" s="87"/>
      <c r="M256" s="60">
        <f t="shared" si="10"/>
        <v>2023</v>
      </c>
      <c r="N256" s="60">
        <f t="shared" si="11"/>
        <v>2</v>
      </c>
    </row>
    <row r="257" customHeight="1" spans="2:14">
      <c r="B257" s="86">
        <v>254</v>
      </c>
      <c r="C257" s="128">
        <v>44964</v>
      </c>
      <c r="D257" s="87" t="s">
        <v>334</v>
      </c>
      <c r="E257" s="60" t="str">
        <f>IFERROR(VLOOKUP(D257,'基础-领用人及部门'!$C:$D,2,FALSE),"-")</f>
        <v>综合办</v>
      </c>
      <c r="F257" s="87" t="s">
        <v>132</v>
      </c>
      <c r="G257" s="60" t="str">
        <f>IFERROR(VLOOKUP($F257,'基础-办公用品信息'!$C:$E,2,FALSE),"-")</f>
        <v>盒</v>
      </c>
      <c r="H257" s="60">
        <f>IFERROR(VLOOKUP($F257,'基础-办公用品信息'!$C:$E,3,FALSE),"-")</f>
        <v>0</v>
      </c>
      <c r="I257" s="60">
        <v>10</v>
      </c>
      <c r="J257" s="60">
        <f>IFERROR(VLOOKUP($F257,'基础-办公用品信息'!$C:$F,4,FALSE),"-")</f>
        <v>5.3</v>
      </c>
      <c r="K257" s="60">
        <f t="shared" si="9"/>
        <v>53</v>
      </c>
      <c r="L257" s="87"/>
      <c r="M257" s="60">
        <f t="shared" si="10"/>
        <v>2023</v>
      </c>
      <c r="N257" s="60">
        <f t="shared" si="11"/>
        <v>2</v>
      </c>
    </row>
    <row r="258" customHeight="1" spans="2:14">
      <c r="B258" s="86">
        <v>255</v>
      </c>
      <c r="C258" s="128">
        <v>44965</v>
      </c>
      <c r="D258" s="87" t="s">
        <v>270</v>
      </c>
      <c r="E258" s="60" t="s">
        <v>262</v>
      </c>
      <c r="F258" s="87" t="s">
        <v>76</v>
      </c>
      <c r="G258" s="60" t="str">
        <f>IFERROR(VLOOKUP($F258,'基础-办公用品信息'!$C:$E,2,FALSE),"-")</f>
        <v>节</v>
      </c>
      <c r="H258" s="60">
        <f>IFERROR(VLOOKUP($F258,'基础-办公用品信息'!$C:$E,3,FALSE),"-")</f>
        <v>0</v>
      </c>
      <c r="I258" s="60">
        <v>4</v>
      </c>
      <c r="J258" s="60">
        <f>IFERROR(VLOOKUP($F258,'基础-办公用品信息'!$C:$F,4,FALSE),"-")</f>
        <v>0</v>
      </c>
      <c r="K258" s="60">
        <f t="shared" si="9"/>
        <v>0</v>
      </c>
      <c r="L258" s="87"/>
      <c r="M258" s="60">
        <f t="shared" si="10"/>
        <v>2023</v>
      </c>
      <c r="N258" s="60">
        <f t="shared" si="11"/>
        <v>2</v>
      </c>
    </row>
    <row r="259" customHeight="1" spans="2:14">
      <c r="B259" s="86">
        <v>256</v>
      </c>
      <c r="C259" s="128">
        <v>44966</v>
      </c>
      <c r="D259" s="87" t="s">
        <v>270</v>
      </c>
      <c r="E259" s="60" t="s">
        <v>262</v>
      </c>
      <c r="F259" s="87" t="s">
        <v>74</v>
      </c>
      <c r="G259" s="60" t="str">
        <f>IFERROR(VLOOKUP($F259,'基础-办公用品信息'!$C:$E,2,FALSE),"-")</f>
        <v>节</v>
      </c>
      <c r="H259" s="60">
        <f>IFERROR(VLOOKUP($F259,'基础-办公用品信息'!$C:$E,3,FALSE),"-")</f>
        <v>0</v>
      </c>
      <c r="I259" s="60">
        <v>3</v>
      </c>
      <c r="J259" s="60">
        <f>IFERROR(VLOOKUP($F259,'基础-办公用品信息'!$C:$F,4,FALSE),"-")</f>
        <v>2.1</v>
      </c>
      <c r="K259" s="60">
        <f t="shared" si="9"/>
        <v>6.3</v>
      </c>
      <c r="L259" s="87"/>
      <c r="M259" s="60">
        <f t="shared" si="10"/>
        <v>2023</v>
      </c>
      <c r="N259" s="60">
        <f t="shared" si="11"/>
        <v>2</v>
      </c>
    </row>
    <row r="260" customHeight="1" spans="2:14">
      <c r="B260" s="86">
        <v>257</v>
      </c>
      <c r="C260" s="128">
        <v>44966</v>
      </c>
      <c r="D260" s="87" t="s">
        <v>270</v>
      </c>
      <c r="E260" s="60" t="s">
        <v>262</v>
      </c>
      <c r="F260" s="87" t="s">
        <v>148</v>
      </c>
      <c r="G260" s="60" t="str">
        <f>IFERROR(VLOOKUP($F260,'基础-办公用品信息'!$C:$E,2,FALSE),"-")</f>
        <v>个</v>
      </c>
      <c r="H260" s="60">
        <f>IFERROR(VLOOKUP($F260,'基础-办公用品信息'!$C:$E,3,FALSE),"-")</f>
        <v>0</v>
      </c>
      <c r="I260" s="60">
        <v>1</v>
      </c>
      <c r="J260" s="60">
        <f>IFERROR(VLOOKUP($F260,'基础-办公用品信息'!$C:$F,4,FALSE),"-")</f>
        <v>56</v>
      </c>
      <c r="K260" s="60">
        <f t="shared" si="9"/>
        <v>56</v>
      </c>
      <c r="L260" s="87" t="s">
        <v>369</v>
      </c>
      <c r="M260" s="60">
        <f t="shared" si="10"/>
        <v>2023</v>
      </c>
      <c r="N260" s="60">
        <f t="shared" si="11"/>
        <v>2</v>
      </c>
    </row>
    <row r="261" customHeight="1" spans="2:14">
      <c r="B261" s="86">
        <v>258</v>
      </c>
      <c r="C261" s="128">
        <v>44966</v>
      </c>
      <c r="D261" s="87" t="s">
        <v>286</v>
      </c>
      <c r="E261" s="60" t="str">
        <f>IFERROR(VLOOKUP(D261,'基础-领用人及部门'!$C:$D,2,FALSE),"-")</f>
        <v>综合办</v>
      </c>
      <c r="F261" s="87" t="s">
        <v>96</v>
      </c>
      <c r="G261" s="60" t="str">
        <f>IFERROR(VLOOKUP($F261,'基础-办公用品信息'!$C:$E,2,FALSE),"-")</f>
        <v>包</v>
      </c>
      <c r="H261" s="60">
        <f>IFERROR(VLOOKUP($F261,'基础-办公用品信息'!$C:$E,3,FALSE),"-")</f>
        <v>0</v>
      </c>
      <c r="I261" s="60">
        <v>2</v>
      </c>
      <c r="J261" s="60">
        <f>IFERROR(VLOOKUP($F261,'基础-办公用品信息'!$C:$F,4,FALSE),"-")</f>
        <v>2</v>
      </c>
      <c r="K261" s="60">
        <f t="shared" ref="K261:K324" si="12">IFERROR(I261*J261,"")</f>
        <v>4</v>
      </c>
      <c r="L261" s="87"/>
      <c r="M261" s="60">
        <f t="shared" ref="M261:M324" si="13">YEAR(C261)</f>
        <v>2023</v>
      </c>
      <c r="N261" s="60">
        <f t="shared" ref="N261:N324" si="14">MONTH(C261)</f>
        <v>2</v>
      </c>
    </row>
    <row r="262" customHeight="1" spans="2:14">
      <c r="B262" s="86">
        <v>259</v>
      </c>
      <c r="C262" s="128">
        <v>44966</v>
      </c>
      <c r="D262" s="87" t="s">
        <v>286</v>
      </c>
      <c r="E262" s="60" t="str">
        <f>IFERROR(VLOOKUP(D262,'基础-领用人及部门'!$C:$D,2,FALSE),"-")</f>
        <v>综合办</v>
      </c>
      <c r="F262" s="87" t="s">
        <v>43</v>
      </c>
      <c r="G262" s="60" t="str">
        <f>IFERROR(VLOOKUP($F262,'基础-办公用品信息'!$C:$E,2,FALSE),"-")</f>
        <v>支</v>
      </c>
      <c r="H262" s="60">
        <f>IFERROR(VLOOKUP($F262,'基础-办公用品信息'!$C:$E,3,FALSE),"-")</f>
        <v>0</v>
      </c>
      <c r="I262" s="60">
        <v>1</v>
      </c>
      <c r="J262" s="60">
        <f>IFERROR(VLOOKUP($F262,'基础-办公用品信息'!$C:$F,4,FALSE),"-")</f>
        <v>1.3</v>
      </c>
      <c r="K262" s="60">
        <f t="shared" si="12"/>
        <v>1.3</v>
      </c>
      <c r="L262" s="87"/>
      <c r="M262" s="60">
        <f t="shared" si="13"/>
        <v>2023</v>
      </c>
      <c r="N262" s="60">
        <f t="shared" si="14"/>
        <v>2</v>
      </c>
    </row>
    <row r="263" customHeight="1" spans="2:14">
      <c r="B263" s="86">
        <v>260</v>
      </c>
      <c r="C263" s="128">
        <v>44966</v>
      </c>
      <c r="D263" s="87" t="s">
        <v>286</v>
      </c>
      <c r="E263" s="60" t="str">
        <f>IFERROR(VLOOKUP(D263,'基础-领用人及部门'!$C:$D,2,FALSE),"-")</f>
        <v>综合办</v>
      </c>
      <c r="F263" s="87" t="s">
        <v>47</v>
      </c>
      <c r="G263" s="60" t="str">
        <f>IFERROR(VLOOKUP($F263,'基础-办公用品信息'!$C:$E,2,FALSE),"-")</f>
        <v>支</v>
      </c>
      <c r="H263" s="60">
        <f>IFERROR(VLOOKUP($F263,'基础-办公用品信息'!$C:$E,3,FALSE),"-")</f>
        <v>0</v>
      </c>
      <c r="I263" s="60">
        <v>1</v>
      </c>
      <c r="J263" s="60">
        <f>IFERROR(VLOOKUP($F263,'基础-办公用品信息'!$C:$F,4,FALSE),"-")</f>
        <v>0.5</v>
      </c>
      <c r="K263" s="60">
        <f t="shared" si="12"/>
        <v>0.5</v>
      </c>
      <c r="L263" s="87"/>
      <c r="M263" s="60">
        <f t="shared" si="13"/>
        <v>2023</v>
      </c>
      <c r="N263" s="60">
        <f t="shared" si="14"/>
        <v>2</v>
      </c>
    </row>
    <row r="264" customHeight="1" spans="2:14">
      <c r="B264" s="86">
        <v>261</v>
      </c>
      <c r="C264" s="128">
        <v>44966</v>
      </c>
      <c r="D264" s="87" t="s">
        <v>333</v>
      </c>
      <c r="E264" s="60" t="str">
        <f>IFERROR(VLOOKUP(D264,'基础-领用人及部门'!$C:$D,2,FALSE),"-")</f>
        <v>综合办</v>
      </c>
      <c r="F264" s="87" t="s">
        <v>190</v>
      </c>
      <c r="G264" s="60" t="str">
        <f>IFERROR(VLOOKUP($F264,'基础-办公用品信息'!$C:$E,2,FALSE),"-")</f>
        <v>卷</v>
      </c>
      <c r="H264" s="60">
        <f>IFERROR(VLOOKUP($F264,'基础-办公用品信息'!$C:$E,3,FALSE),"-")</f>
        <v>0</v>
      </c>
      <c r="I264" s="60">
        <v>1</v>
      </c>
      <c r="J264" s="60">
        <f>IFERROR(VLOOKUP($F264,'基础-办公用品信息'!$C:$F,4,FALSE),"-")</f>
        <v>0</v>
      </c>
      <c r="K264" s="60">
        <f t="shared" si="12"/>
        <v>0</v>
      </c>
      <c r="L264" s="87"/>
      <c r="M264" s="60">
        <f t="shared" si="13"/>
        <v>2023</v>
      </c>
      <c r="N264" s="60">
        <f t="shared" si="14"/>
        <v>2</v>
      </c>
    </row>
    <row r="265" customHeight="1" spans="2:14">
      <c r="B265" s="86">
        <v>262</v>
      </c>
      <c r="C265" s="128">
        <v>44966</v>
      </c>
      <c r="D265" s="87" t="s">
        <v>333</v>
      </c>
      <c r="E265" s="60" t="str">
        <f>IFERROR(VLOOKUP(D265,'基础-领用人及部门'!$C:$D,2,FALSE),"-")</f>
        <v>综合办</v>
      </c>
      <c r="F265" s="87" t="s">
        <v>170</v>
      </c>
      <c r="G265" s="60" t="str">
        <f>IFERROR(VLOOKUP($F265,'基础-办公用品信息'!$C:$E,2,FALSE),"-")</f>
        <v>个</v>
      </c>
      <c r="H265" s="60">
        <f>IFERROR(VLOOKUP($F265,'基础-办公用品信息'!$C:$E,3,FALSE),"-")</f>
        <v>0</v>
      </c>
      <c r="I265" s="60">
        <v>1</v>
      </c>
      <c r="J265" s="60">
        <f>IFERROR(VLOOKUP($F265,'基础-办公用品信息'!$C:$F,4,FALSE),"-")</f>
        <v>0</v>
      </c>
      <c r="K265" s="60">
        <f t="shared" si="12"/>
        <v>0</v>
      </c>
      <c r="L265" s="87"/>
      <c r="M265" s="60">
        <f t="shared" si="13"/>
        <v>2023</v>
      </c>
      <c r="N265" s="60">
        <f t="shared" si="14"/>
        <v>2</v>
      </c>
    </row>
    <row r="266" customHeight="1" spans="2:14">
      <c r="B266" s="86">
        <v>263</v>
      </c>
      <c r="C266" s="128">
        <v>44966</v>
      </c>
      <c r="D266" s="87" t="s">
        <v>286</v>
      </c>
      <c r="E266" s="60" t="str">
        <f>IFERROR(VLOOKUP(D266,'基础-领用人及部门'!$C:$D,2,FALSE),"-")</f>
        <v>综合办</v>
      </c>
      <c r="F266" s="87" t="s">
        <v>20</v>
      </c>
      <c r="G266" s="60" t="str">
        <f>IFERROR(VLOOKUP($F266,'基础-办公用品信息'!$C:$E,2,FALSE),"-")</f>
        <v>本</v>
      </c>
      <c r="H266" s="60">
        <f>IFERROR(VLOOKUP($F266,'基础-办公用品信息'!$C:$E,3,FALSE),"-")</f>
        <v>0</v>
      </c>
      <c r="I266" s="60">
        <v>10</v>
      </c>
      <c r="J266" s="60">
        <f>IFERROR(VLOOKUP($F266,'基础-办公用品信息'!$C:$F,4,FALSE),"-")</f>
        <v>7.5</v>
      </c>
      <c r="K266" s="60">
        <f t="shared" si="12"/>
        <v>75</v>
      </c>
      <c r="L266" s="87" t="s">
        <v>370</v>
      </c>
      <c r="M266" s="60">
        <f t="shared" si="13"/>
        <v>2023</v>
      </c>
      <c r="N266" s="60">
        <f t="shared" si="14"/>
        <v>2</v>
      </c>
    </row>
    <row r="267" customHeight="1" spans="2:14">
      <c r="B267" s="86">
        <v>264</v>
      </c>
      <c r="C267" s="128">
        <v>44967</v>
      </c>
      <c r="D267" s="87" t="s">
        <v>288</v>
      </c>
      <c r="E267" s="60" t="str">
        <f>IFERROR(VLOOKUP(D267,'基础-领用人及部门'!$C:$D,2,FALSE),"-")</f>
        <v>综合办</v>
      </c>
      <c r="F267" s="87" t="s">
        <v>84</v>
      </c>
      <c r="G267" s="60" t="str">
        <f>IFERROR(VLOOKUP($F267,'基础-办公用品信息'!$C:$E,2,FALSE),"-")</f>
        <v>个</v>
      </c>
      <c r="H267" s="60">
        <f>IFERROR(VLOOKUP($F267,'基础-办公用品信息'!$C:$E,3,FALSE),"-")</f>
        <v>0</v>
      </c>
      <c r="I267" s="60">
        <v>1</v>
      </c>
      <c r="J267" s="60">
        <f>IFERROR(VLOOKUP($F267,'基础-办公用品信息'!$C:$F,4,FALSE),"-")</f>
        <v>26</v>
      </c>
      <c r="K267" s="60">
        <f t="shared" si="12"/>
        <v>26</v>
      </c>
      <c r="L267" s="87"/>
      <c r="M267" s="60">
        <f t="shared" si="13"/>
        <v>2023</v>
      </c>
      <c r="N267" s="60">
        <f t="shared" si="14"/>
        <v>2</v>
      </c>
    </row>
    <row r="268" customHeight="1" spans="2:14">
      <c r="B268" s="86">
        <v>265</v>
      </c>
      <c r="C268" s="128">
        <v>44967</v>
      </c>
      <c r="D268" s="87" t="s">
        <v>278</v>
      </c>
      <c r="E268" s="60" t="str">
        <f>IFERROR(VLOOKUP(D268,'基础-领用人及部门'!$C:$D,2,FALSE),"-")</f>
        <v>综合办</v>
      </c>
      <c r="F268" s="87" t="s">
        <v>197</v>
      </c>
      <c r="G268" s="60" t="str">
        <f>IFERROR(VLOOKUP($F268,'基础-办公用品信息'!$C:$E,2,FALSE),"-")</f>
        <v>个</v>
      </c>
      <c r="H268" s="60">
        <f>IFERROR(VLOOKUP($F268,'基础-办公用品信息'!$C:$E,3,FALSE),"-")</f>
        <v>0</v>
      </c>
      <c r="I268" s="60">
        <v>5</v>
      </c>
      <c r="J268" s="60">
        <f>IFERROR(VLOOKUP($F268,'基础-办公用品信息'!$C:$F,4,FALSE),"-")</f>
        <v>0</v>
      </c>
      <c r="K268" s="60">
        <f t="shared" si="12"/>
        <v>0</v>
      </c>
      <c r="L268" s="87"/>
      <c r="M268" s="60">
        <f t="shared" si="13"/>
        <v>2023</v>
      </c>
      <c r="N268" s="60">
        <f t="shared" si="14"/>
        <v>2</v>
      </c>
    </row>
    <row r="269" customHeight="1" spans="2:14">
      <c r="B269" s="86">
        <v>266</v>
      </c>
      <c r="C269" s="128">
        <v>44967</v>
      </c>
      <c r="D269" s="87" t="s">
        <v>278</v>
      </c>
      <c r="E269" s="60" t="str">
        <f>IFERROR(VLOOKUP(D269,'基础-领用人及部门'!$C:$D,2,FALSE),"-")</f>
        <v>综合办</v>
      </c>
      <c r="F269" s="87" t="s">
        <v>198</v>
      </c>
      <c r="G269" s="60" t="str">
        <f>IFERROR(VLOOKUP($F269,'基础-办公用品信息'!$C:$E,2,FALSE),"-")</f>
        <v>个</v>
      </c>
      <c r="H269" s="60">
        <f>IFERROR(VLOOKUP($F269,'基础-办公用品信息'!$C:$E,3,FALSE),"-")</f>
        <v>0</v>
      </c>
      <c r="I269" s="60">
        <v>60</v>
      </c>
      <c r="J269" s="60">
        <f>IFERROR(VLOOKUP($F269,'基础-办公用品信息'!$C:$F,4,FALSE),"-")</f>
        <v>0</v>
      </c>
      <c r="K269" s="60">
        <f t="shared" si="12"/>
        <v>0</v>
      </c>
      <c r="L269" s="87"/>
      <c r="M269" s="60">
        <f t="shared" si="13"/>
        <v>2023</v>
      </c>
      <c r="N269" s="60">
        <f t="shared" si="14"/>
        <v>2</v>
      </c>
    </row>
    <row r="270" customHeight="1" spans="2:14">
      <c r="B270" s="86">
        <v>267</v>
      </c>
      <c r="C270" s="128">
        <v>44967</v>
      </c>
      <c r="D270" s="87" t="s">
        <v>278</v>
      </c>
      <c r="E270" s="60" t="str">
        <f>IFERROR(VLOOKUP(D270,'基础-领用人及部门'!$C:$D,2,FALSE),"-")</f>
        <v>综合办</v>
      </c>
      <c r="F270" s="87" t="s">
        <v>199</v>
      </c>
      <c r="G270" s="60" t="str">
        <f>IFERROR(VLOOKUP($F270,'基础-办公用品信息'!$C:$E,2,FALSE),"-")</f>
        <v>个</v>
      </c>
      <c r="H270" s="60">
        <f>IFERROR(VLOOKUP($F270,'基础-办公用品信息'!$C:$E,3,FALSE),"-")</f>
        <v>0</v>
      </c>
      <c r="I270" s="60">
        <v>5</v>
      </c>
      <c r="J270" s="60">
        <f>IFERROR(VLOOKUP($F270,'基础-办公用品信息'!$C:$F,4,FALSE),"-")</f>
        <v>0</v>
      </c>
      <c r="K270" s="60">
        <f t="shared" si="12"/>
        <v>0</v>
      </c>
      <c r="L270" s="87"/>
      <c r="M270" s="60">
        <f t="shared" si="13"/>
        <v>2023</v>
      </c>
      <c r="N270" s="60">
        <f t="shared" si="14"/>
        <v>2</v>
      </c>
    </row>
    <row r="271" customHeight="1" spans="2:14">
      <c r="B271" s="86">
        <v>268</v>
      </c>
      <c r="C271" s="128">
        <v>44967</v>
      </c>
      <c r="D271" s="87" t="s">
        <v>278</v>
      </c>
      <c r="E271" s="60" t="str">
        <f>IFERROR(VLOOKUP(D271,'基础-领用人及部门'!$C:$D,2,FALSE),"-")</f>
        <v>综合办</v>
      </c>
      <c r="F271" s="87" t="s">
        <v>200</v>
      </c>
      <c r="G271" s="60" t="str">
        <f>IFERROR(VLOOKUP($F271,'基础-办公用品信息'!$C:$E,2,FALSE),"-")</f>
        <v>个</v>
      </c>
      <c r="H271" s="60">
        <f>IFERROR(VLOOKUP($F271,'基础-办公用品信息'!$C:$E,3,FALSE),"-")</f>
        <v>0</v>
      </c>
      <c r="I271" s="60">
        <v>5</v>
      </c>
      <c r="J271" s="60">
        <f>IFERROR(VLOOKUP($F271,'基础-办公用品信息'!$C:$F,4,FALSE),"-")</f>
        <v>0</v>
      </c>
      <c r="K271" s="60">
        <f t="shared" si="12"/>
        <v>0</v>
      </c>
      <c r="L271" s="87"/>
      <c r="M271" s="60">
        <f t="shared" si="13"/>
        <v>2023</v>
      </c>
      <c r="N271" s="60">
        <f t="shared" si="14"/>
        <v>2</v>
      </c>
    </row>
    <row r="272" customHeight="1" spans="2:14">
      <c r="B272" s="86">
        <v>269</v>
      </c>
      <c r="C272" s="128">
        <v>44967</v>
      </c>
      <c r="D272" s="87" t="s">
        <v>278</v>
      </c>
      <c r="E272" s="60" t="str">
        <f>IFERROR(VLOOKUP(D272,'基础-领用人及部门'!$C:$D,2,FALSE),"-")</f>
        <v>综合办</v>
      </c>
      <c r="F272" s="87" t="s">
        <v>201</v>
      </c>
      <c r="G272" s="60" t="str">
        <f>IFERROR(VLOOKUP($F272,'基础-办公用品信息'!$C:$E,2,FALSE),"-")</f>
        <v>个</v>
      </c>
      <c r="H272" s="60">
        <f>IFERROR(VLOOKUP($F272,'基础-办公用品信息'!$C:$E,3,FALSE),"-")</f>
        <v>0</v>
      </c>
      <c r="I272" s="60">
        <v>2</v>
      </c>
      <c r="J272" s="60">
        <f>IFERROR(VLOOKUP($F272,'基础-办公用品信息'!$C:$F,4,FALSE),"-")</f>
        <v>0</v>
      </c>
      <c r="K272" s="60">
        <f t="shared" si="12"/>
        <v>0</v>
      </c>
      <c r="L272" s="87"/>
      <c r="M272" s="60">
        <f t="shared" si="13"/>
        <v>2023</v>
      </c>
      <c r="N272" s="60">
        <f t="shared" si="14"/>
        <v>2</v>
      </c>
    </row>
    <row r="273" customHeight="1" spans="2:14">
      <c r="B273" s="86">
        <v>270</v>
      </c>
      <c r="C273" s="128">
        <v>44967</v>
      </c>
      <c r="D273" s="87" t="s">
        <v>278</v>
      </c>
      <c r="E273" s="60" t="str">
        <f>IFERROR(VLOOKUP(D273,'基础-领用人及部门'!$C:$D,2,FALSE),"-")</f>
        <v>综合办</v>
      </c>
      <c r="F273" s="87" t="s">
        <v>202</v>
      </c>
      <c r="G273" s="60" t="str">
        <f>IFERROR(VLOOKUP($F273,'基础-办公用品信息'!$C:$E,2,FALSE),"-")</f>
        <v>个</v>
      </c>
      <c r="H273" s="60">
        <f>IFERROR(VLOOKUP($F273,'基础-办公用品信息'!$C:$E,3,FALSE),"-")</f>
        <v>0</v>
      </c>
      <c r="I273" s="60">
        <v>1</v>
      </c>
      <c r="J273" s="60">
        <f>IFERROR(VLOOKUP($F273,'基础-办公用品信息'!$C:$F,4,FALSE),"-")</f>
        <v>0</v>
      </c>
      <c r="K273" s="60">
        <f t="shared" si="12"/>
        <v>0</v>
      </c>
      <c r="L273" s="87"/>
      <c r="M273" s="60">
        <f t="shared" si="13"/>
        <v>2023</v>
      </c>
      <c r="N273" s="60">
        <f t="shared" si="14"/>
        <v>2</v>
      </c>
    </row>
    <row r="274" customHeight="1" spans="2:14">
      <c r="B274" s="86">
        <v>271</v>
      </c>
      <c r="C274" s="128">
        <v>44967</v>
      </c>
      <c r="D274" s="87" t="s">
        <v>278</v>
      </c>
      <c r="E274" s="60" t="str">
        <f>IFERROR(VLOOKUP(D274,'基础-领用人及部门'!$C:$D,2,FALSE),"-")</f>
        <v>综合办</v>
      </c>
      <c r="F274" s="87" t="s">
        <v>203</v>
      </c>
      <c r="G274" s="60" t="str">
        <f>IFERROR(VLOOKUP($F274,'基础-办公用品信息'!$C:$E,2,FALSE),"-")</f>
        <v>个</v>
      </c>
      <c r="H274" s="60">
        <f>IFERROR(VLOOKUP($F274,'基础-办公用品信息'!$C:$E,3,FALSE),"-")</f>
        <v>0</v>
      </c>
      <c r="I274" s="60">
        <v>1</v>
      </c>
      <c r="J274" s="60">
        <f>IFERROR(VLOOKUP($F274,'基础-办公用品信息'!$C:$F,4,FALSE),"-")</f>
        <v>0</v>
      </c>
      <c r="K274" s="60">
        <f t="shared" si="12"/>
        <v>0</v>
      </c>
      <c r="L274" s="87"/>
      <c r="M274" s="60">
        <f t="shared" si="13"/>
        <v>2023</v>
      </c>
      <c r="N274" s="60">
        <f t="shared" si="14"/>
        <v>2</v>
      </c>
    </row>
    <row r="275" customHeight="1" spans="2:14">
      <c r="B275" s="86">
        <v>272</v>
      </c>
      <c r="C275" s="128">
        <v>44967</v>
      </c>
      <c r="D275" s="87" t="s">
        <v>278</v>
      </c>
      <c r="E275" s="60" t="str">
        <f>IFERROR(VLOOKUP(D275,'基础-领用人及部门'!$C:$D,2,FALSE),"-")</f>
        <v>综合办</v>
      </c>
      <c r="F275" s="87" t="s">
        <v>204</v>
      </c>
      <c r="G275" s="60" t="str">
        <f>IFERROR(VLOOKUP($F275,'基础-办公用品信息'!$C:$E,2,FALSE),"-")</f>
        <v>个</v>
      </c>
      <c r="H275" s="60">
        <f>IFERROR(VLOOKUP($F275,'基础-办公用品信息'!$C:$E,3,FALSE),"-")</f>
        <v>0</v>
      </c>
      <c r="I275" s="60">
        <v>2</v>
      </c>
      <c r="J275" s="60">
        <f>IFERROR(VLOOKUP($F275,'基础-办公用品信息'!$C:$F,4,FALSE),"-")</f>
        <v>0</v>
      </c>
      <c r="K275" s="60">
        <f t="shared" si="12"/>
        <v>0</v>
      </c>
      <c r="L275" s="87"/>
      <c r="M275" s="60">
        <f t="shared" si="13"/>
        <v>2023</v>
      </c>
      <c r="N275" s="60">
        <f t="shared" si="14"/>
        <v>2</v>
      </c>
    </row>
    <row r="276" customHeight="1" spans="2:14">
      <c r="B276" s="86">
        <v>273</v>
      </c>
      <c r="C276" s="128">
        <v>44967</v>
      </c>
      <c r="D276" s="87" t="s">
        <v>278</v>
      </c>
      <c r="E276" s="60" t="str">
        <f>IFERROR(VLOOKUP(D276,'基础-领用人及部门'!$C:$D,2,FALSE),"-")</f>
        <v>综合办</v>
      </c>
      <c r="F276" s="87" t="s">
        <v>205</v>
      </c>
      <c r="G276" s="60" t="str">
        <f>IFERROR(VLOOKUP($F276,'基础-办公用品信息'!$C:$E,2,FALSE),"-")</f>
        <v>个</v>
      </c>
      <c r="H276" s="60">
        <f>IFERROR(VLOOKUP($F276,'基础-办公用品信息'!$C:$E,3,FALSE),"-")</f>
        <v>0</v>
      </c>
      <c r="I276" s="60">
        <v>1</v>
      </c>
      <c r="J276" s="60">
        <f>IFERROR(VLOOKUP($F276,'基础-办公用品信息'!$C:$F,4,FALSE),"-")</f>
        <v>0</v>
      </c>
      <c r="K276" s="60">
        <f t="shared" si="12"/>
        <v>0</v>
      </c>
      <c r="L276" s="87"/>
      <c r="M276" s="60">
        <f t="shared" si="13"/>
        <v>2023</v>
      </c>
      <c r="N276" s="60">
        <f t="shared" si="14"/>
        <v>2</v>
      </c>
    </row>
    <row r="277" customHeight="1" spans="2:14">
      <c r="B277" s="86">
        <v>274</v>
      </c>
      <c r="C277" s="128">
        <v>44967</v>
      </c>
      <c r="D277" s="87" t="s">
        <v>278</v>
      </c>
      <c r="E277" s="60" t="str">
        <f>IFERROR(VLOOKUP(D277,'基础-领用人及部门'!$C:$D,2,FALSE),"-")</f>
        <v>综合办</v>
      </c>
      <c r="F277" s="87" t="s">
        <v>205</v>
      </c>
      <c r="G277" s="60" t="str">
        <f>IFERROR(VLOOKUP($F277,'基础-办公用品信息'!$C:$E,2,FALSE),"-")</f>
        <v>个</v>
      </c>
      <c r="H277" s="60">
        <f>IFERROR(VLOOKUP($F277,'基础-办公用品信息'!$C:$E,3,FALSE),"-")</f>
        <v>0</v>
      </c>
      <c r="I277" s="60">
        <v>1</v>
      </c>
      <c r="J277" s="60">
        <f>IFERROR(VLOOKUP($F277,'基础-办公用品信息'!$C:$F,4,FALSE),"-")</f>
        <v>0</v>
      </c>
      <c r="K277" s="60">
        <f t="shared" si="12"/>
        <v>0</v>
      </c>
      <c r="L277" s="87"/>
      <c r="M277" s="60">
        <f t="shared" si="13"/>
        <v>2023</v>
      </c>
      <c r="N277" s="60">
        <f t="shared" si="14"/>
        <v>2</v>
      </c>
    </row>
    <row r="278" customHeight="1" spans="2:14">
      <c r="B278" s="86">
        <v>275</v>
      </c>
      <c r="C278" s="128">
        <v>44967</v>
      </c>
      <c r="D278" s="87" t="s">
        <v>278</v>
      </c>
      <c r="E278" s="60" t="str">
        <f>IFERROR(VLOOKUP(D278,'基础-领用人及部门'!$C:$D,2,FALSE),"-")</f>
        <v>综合办</v>
      </c>
      <c r="F278" s="87" t="s">
        <v>59</v>
      </c>
      <c r="G278" s="60" t="str">
        <f>IFERROR(VLOOKUP($F278,'基础-办公用品信息'!$C:$E,2,FALSE),"-")</f>
        <v>把</v>
      </c>
      <c r="H278" s="60">
        <f>IFERROR(VLOOKUP($F278,'基础-办公用品信息'!$C:$E,3,FALSE),"-")</f>
        <v>0</v>
      </c>
      <c r="I278" s="60">
        <v>5</v>
      </c>
      <c r="J278" s="60">
        <f>IFERROR(VLOOKUP($F278,'基础-办公用品信息'!$C:$F,4,FALSE),"-")</f>
        <v>3.5</v>
      </c>
      <c r="K278" s="60">
        <f t="shared" si="12"/>
        <v>17.5</v>
      </c>
      <c r="L278" s="87"/>
      <c r="M278" s="60">
        <f t="shared" si="13"/>
        <v>2023</v>
      </c>
      <c r="N278" s="60">
        <f t="shared" si="14"/>
        <v>2</v>
      </c>
    </row>
    <row r="279" customHeight="1" spans="2:14">
      <c r="B279" s="86">
        <v>276</v>
      </c>
      <c r="C279" s="128">
        <v>44967</v>
      </c>
      <c r="D279" s="87" t="s">
        <v>278</v>
      </c>
      <c r="E279" s="60" t="str">
        <f>IFERROR(VLOOKUP(D279,'基础-领用人及部门'!$C:$D,2,FALSE),"-")</f>
        <v>综合办</v>
      </c>
      <c r="F279" s="87" t="s">
        <v>206</v>
      </c>
      <c r="G279" s="60" t="str">
        <f>IFERROR(VLOOKUP($F279,'基础-办公用品信息'!$C:$E,2,FALSE),"-")</f>
        <v>个</v>
      </c>
      <c r="H279" s="60">
        <f>IFERROR(VLOOKUP($F279,'基础-办公用品信息'!$C:$E,3,FALSE),"-")</f>
        <v>0</v>
      </c>
      <c r="I279" s="60">
        <v>2</v>
      </c>
      <c r="J279" s="60">
        <f>IFERROR(VLOOKUP($F279,'基础-办公用品信息'!$C:$F,4,FALSE),"-")</f>
        <v>0</v>
      </c>
      <c r="K279" s="60">
        <f t="shared" si="12"/>
        <v>0</v>
      </c>
      <c r="L279" s="87"/>
      <c r="M279" s="60">
        <f t="shared" si="13"/>
        <v>2023</v>
      </c>
      <c r="N279" s="60">
        <f t="shared" si="14"/>
        <v>2</v>
      </c>
    </row>
    <row r="280" customHeight="1" spans="2:14">
      <c r="B280" s="86">
        <v>277</v>
      </c>
      <c r="C280" s="128">
        <v>44967</v>
      </c>
      <c r="D280" s="87" t="s">
        <v>278</v>
      </c>
      <c r="E280" s="60" t="str">
        <f>IFERROR(VLOOKUP(D280,'基础-领用人及部门'!$C:$D,2,FALSE),"-")</f>
        <v>综合办</v>
      </c>
      <c r="F280" s="87" t="s">
        <v>207</v>
      </c>
      <c r="G280" s="60" t="str">
        <f>IFERROR(VLOOKUP($F280,'基础-办公用品信息'!$C:$E,2,FALSE),"-")</f>
        <v>个</v>
      </c>
      <c r="H280" s="60">
        <f>IFERROR(VLOOKUP($F280,'基础-办公用品信息'!$C:$E,3,FALSE),"-")</f>
        <v>0</v>
      </c>
      <c r="I280" s="60">
        <v>5</v>
      </c>
      <c r="J280" s="60">
        <f>IFERROR(VLOOKUP($F280,'基础-办公用品信息'!$C:$F,4,FALSE),"-")</f>
        <v>0</v>
      </c>
      <c r="K280" s="60">
        <f t="shared" si="12"/>
        <v>0</v>
      </c>
      <c r="L280" s="87"/>
      <c r="M280" s="60">
        <f t="shared" si="13"/>
        <v>2023</v>
      </c>
      <c r="N280" s="60">
        <f t="shared" si="14"/>
        <v>2</v>
      </c>
    </row>
    <row r="281" customHeight="1" spans="2:14">
      <c r="B281" s="86">
        <v>278</v>
      </c>
      <c r="C281" s="128">
        <v>44967</v>
      </c>
      <c r="D281" s="87" t="s">
        <v>278</v>
      </c>
      <c r="E281" s="60" t="str">
        <f>IFERROR(VLOOKUP(D281,'基础-领用人及部门'!$C:$D,2,FALSE),"-")</f>
        <v>综合办</v>
      </c>
      <c r="F281" s="87" t="s">
        <v>208</v>
      </c>
      <c r="G281" s="60" t="str">
        <f>IFERROR(VLOOKUP($F281,'基础-办公用品信息'!$C:$E,2,FALSE),"-")</f>
        <v>个</v>
      </c>
      <c r="H281" s="60">
        <f>IFERROR(VLOOKUP($F281,'基础-办公用品信息'!$C:$E,3,FALSE),"-")</f>
        <v>0</v>
      </c>
      <c r="I281" s="60">
        <v>1</v>
      </c>
      <c r="J281" s="60">
        <f>IFERROR(VLOOKUP($F281,'基础-办公用品信息'!$C:$F,4,FALSE),"-")</f>
        <v>0</v>
      </c>
      <c r="K281" s="60">
        <f t="shared" si="12"/>
        <v>0</v>
      </c>
      <c r="L281" s="87"/>
      <c r="M281" s="60">
        <f t="shared" si="13"/>
        <v>2023</v>
      </c>
      <c r="N281" s="60">
        <f t="shared" si="14"/>
        <v>2</v>
      </c>
    </row>
    <row r="282" customHeight="1" spans="2:14">
      <c r="B282" s="86">
        <v>279</v>
      </c>
      <c r="C282" s="128">
        <v>44967</v>
      </c>
      <c r="D282" s="87" t="s">
        <v>278</v>
      </c>
      <c r="E282" s="60" t="str">
        <f>IFERROR(VLOOKUP(D282,'基础-领用人及部门'!$C:$D,2,FALSE),"-")</f>
        <v>综合办</v>
      </c>
      <c r="F282" s="87" t="s">
        <v>209</v>
      </c>
      <c r="G282" s="60" t="str">
        <f>IFERROR(VLOOKUP($F282,'基础-办公用品信息'!$C:$E,2,FALSE),"-")</f>
        <v>个</v>
      </c>
      <c r="H282" s="60">
        <f>IFERROR(VLOOKUP($F282,'基础-办公用品信息'!$C:$E,3,FALSE),"-")</f>
        <v>0</v>
      </c>
      <c r="I282" s="60">
        <v>2</v>
      </c>
      <c r="J282" s="60">
        <f>IFERROR(VLOOKUP($F282,'基础-办公用品信息'!$C:$F,4,FALSE),"-")</f>
        <v>0</v>
      </c>
      <c r="K282" s="60">
        <f t="shared" si="12"/>
        <v>0</v>
      </c>
      <c r="L282" s="87"/>
      <c r="M282" s="60">
        <f t="shared" si="13"/>
        <v>2023</v>
      </c>
      <c r="N282" s="60">
        <f t="shared" si="14"/>
        <v>2</v>
      </c>
    </row>
    <row r="283" customHeight="1" spans="2:14">
      <c r="B283" s="86">
        <v>280</v>
      </c>
      <c r="C283" s="128">
        <v>44967</v>
      </c>
      <c r="D283" s="87" t="s">
        <v>278</v>
      </c>
      <c r="E283" s="60" t="str">
        <f>IFERROR(VLOOKUP(D283,'基础-领用人及部门'!$C:$D,2,FALSE),"-")</f>
        <v>综合办</v>
      </c>
      <c r="F283" s="87" t="s">
        <v>210</v>
      </c>
      <c r="G283" s="60" t="str">
        <f>IFERROR(VLOOKUP($F283,'基础-办公用品信息'!$C:$E,2,FALSE),"-")</f>
        <v>个</v>
      </c>
      <c r="H283" s="60">
        <f>IFERROR(VLOOKUP($F283,'基础-办公用品信息'!$C:$E,3,FALSE),"-")</f>
        <v>0</v>
      </c>
      <c r="I283" s="60">
        <v>1</v>
      </c>
      <c r="J283" s="60">
        <f>IFERROR(VLOOKUP($F283,'基础-办公用品信息'!$C:$F,4,FALSE),"-")</f>
        <v>0</v>
      </c>
      <c r="K283" s="60">
        <f t="shared" si="12"/>
        <v>0</v>
      </c>
      <c r="L283" s="87"/>
      <c r="M283" s="60">
        <f t="shared" si="13"/>
        <v>2023</v>
      </c>
      <c r="N283" s="60">
        <f t="shared" si="14"/>
        <v>2</v>
      </c>
    </row>
    <row r="284" customHeight="1" spans="2:14">
      <c r="B284" s="86">
        <v>281</v>
      </c>
      <c r="C284" s="128">
        <v>44967</v>
      </c>
      <c r="D284" s="87" t="s">
        <v>278</v>
      </c>
      <c r="E284" s="60" t="str">
        <f>IFERROR(VLOOKUP(D284,'基础-领用人及部门'!$C:$D,2,FALSE),"-")</f>
        <v>综合办</v>
      </c>
      <c r="F284" s="87" t="s">
        <v>211</v>
      </c>
      <c r="G284" s="60" t="str">
        <f>IFERROR(VLOOKUP($F284,'基础-办公用品信息'!$C:$E,2,FALSE),"-")</f>
        <v>个</v>
      </c>
      <c r="H284" s="60">
        <f>IFERROR(VLOOKUP($F284,'基础-办公用品信息'!$C:$E,3,FALSE),"-")</f>
        <v>0</v>
      </c>
      <c r="I284" s="60">
        <v>1</v>
      </c>
      <c r="J284" s="60">
        <f>IFERROR(VLOOKUP($F284,'基础-办公用品信息'!$C:$F,4,FALSE),"-")</f>
        <v>0</v>
      </c>
      <c r="K284" s="60">
        <f t="shared" si="12"/>
        <v>0</v>
      </c>
      <c r="L284" s="87"/>
      <c r="M284" s="60">
        <f t="shared" si="13"/>
        <v>2023</v>
      </c>
      <c r="N284" s="60">
        <f t="shared" si="14"/>
        <v>2</v>
      </c>
    </row>
    <row r="285" customHeight="1" spans="2:14">
      <c r="B285" s="86">
        <v>282</v>
      </c>
      <c r="C285" s="128">
        <v>44967</v>
      </c>
      <c r="D285" s="87" t="s">
        <v>278</v>
      </c>
      <c r="E285" s="60" t="str">
        <f>IFERROR(VLOOKUP(D285,'基础-领用人及部门'!$C:$D,2,FALSE),"-")</f>
        <v>综合办</v>
      </c>
      <c r="F285" s="87" t="s">
        <v>212</v>
      </c>
      <c r="G285" s="60" t="str">
        <f>IFERROR(VLOOKUP($F285,'基础-办公用品信息'!$C:$E,2,FALSE),"-")</f>
        <v>个</v>
      </c>
      <c r="H285" s="60">
        <f>IFERROR(VLOOKUP($F285,'基础-办公用品信息'!$C:$E,3,FALSE),"-")</f>
        <v>0</v>
      </c>
      <c r="I285" s="60">
        <v>1</v>
      </c>
      <c r="J285" s="60">
        <f>IFERROR(VLOOKUP($F285,'基础-办公用品信息'!$C:$F,4,FALSE),"-")</f>
        <v>0</v>
      </c>
      <c r="K285" s="60">
        <f t="shared" si="12"/>
        <v>0</v>
      </c>
      <c r="L285" s="87"/>
      <c r="M285" s="60">
        <f t="shared" si="13"/>
        <v>2023</v>
      </c>
      <c r="N285" s="60">
        <f t="shared" si="14"/>
        <v>2</v>
      </c>
    </row>
    <row r="286" customHeight="1" spans="2:14">
      <c r="B286" s="86">
        <v>283</v>
      </c>
      <c r="C286" s="128">
        <v>44967</v>
      </c>
      <c r="D286" s="87" t="s">
        <v>278</v>
      </c>
      <c r="E286" s="60" t="str">
        <f>IFERROR(VLOOKUP(D286,'基础-领用人及部门'!$C:$D,2,FALSE),"-")</f>
        <v>综合办</v>
      </c>
      <c r="F286" s="87" t="s">
        <v>213</v>
      </c>
      <c r="G286" s="60" t="str">
        <f>IFERROR(VLOOKUP($F286,'基础-办公用品信息'!$C:$E,2,FALSE),"-")</f>
        <v>个</v>
      </c>
      <c r="H286" s="60">
        <f>IFERROR(VLOOKUP($F286,'基础-办公用品信息'!$C:$E,3,FALSE),"-")</f>
        <v>0</v>
      </c>
      <c r="I286" s="60">
        <v>5</v>
      </c>
      <c r="J286" s="60">
        <f>IFERROR(VLOOKUP($F286,'基础-办公用品信息'!$C:$F,4,FALSE),"-")</f>
        <v>0</v>
      </c>
      <c r="K286" s="60">
        <f t="shared" si="12"/>
        <v>0</v>
      </c>
      <c r="L286" s="87"/>
      <c r="M286" s="60">
        <f t="shared" si="13"/>
        <v>2023</v>
      </c>
      <c r="N286" s="60">
        <f t="shared" si="14"/>
        <v>2</v>
      </c>
    </row>
    <row r="287" customHeight="1" spans="2:14">
      <c r="B287" s="86">
        <v>284</v>
      </c>
      <c r="C287" s="128">
        <v>44967</v>
      </c>
      <c r="D287" s="87" t="s">
        <v>278</v>
      </c>
      <c r="E287" s="60" t="str">
        <f>IFERROR(VLOOKUP(D287,'基础-领用人及部门'!$C:$D,2,FALSE),"-")</f>
        <v>综合办</v>
      </c>
      <c r="F287" s="87" t="s">
        <v>214</v>
      </c>
      <c r="G287" s="60" t="str">
        <f>IFERROR(VLOOKUP($F287,'基础-办公用品信息'!$C:$E,2,FALSE),"-")</f>
        <v>个</v>
      </c>
      <c r="H287" s="60">
        <f>IFERROR(VLOOKUP($F287,'基础-办公用品信息'!$C:$E,3,FALSE),"-")</f>
        <v>0</v>
      </c>
      <c r="I287" s="60">
        <v>5</v>
      </c>
      <c r="J287" s="60">
        <f>IFERROR(VLOOKUP($F287,'基础-办公用品信息'!$C:$F,4,FALSE),"-")</f>
        <v>0</v>
      </c>
      <c r="K287" s="60">
        <f t="shared" si="12"/>
        <v>0</v>
      </c>
      <c r="L287" s="87"/>
      <c r="M287" s="60">
        <f t="shared" si="13"/>
        <v>2023</v>
      </c>
      <c r="N287" s="60">
        <f t="shared" si="14"/>
        <v>2</v>
      </c>
    </row>
    <row r="288" customHeight="1" spans="2:14">
      <c r="B288" s="86">
        <v>285</v>
      </c>
      <c r="C288" s="128">
        <v>44967</v>
      </c>
      <c r="D288" s="87" t="s">
        <v>278</v>
      </c>
      <c r="E288" s="60" t="str">
        <f>IFERROR(VLOOKUP(D288,'基础-领用人及部门'!$C:$D,2,FALSE),"-")</f>
        <v>综合办</v>
      </c>
      <c r="F288" s="87" t="s">
        <v>215</v>
      </c>
      <c r="G288" s="60" t="str">
        <f>IFERROR(VLOOKUP($F288,'基础-办公用品信息'!$C:$E,2,FALSE),"-")</f>
        <v>个</v>
      </c>
      <c r="H288" s="60">
        <f>IFERROR(VLOOKUP($F288,'基础-办公用品信息'!$C:$E,3,FALSE),"-")</f>
        <v>0</v>
      </c>
      <c r="I288" s="60">
        <v>3</v>
      </c>
      <c r="J288" s="60">
        <f>IFERROR(VLOOKUP($F288,'基础-办公用品信息'!$C:$F,4,FALSE),"-")</f>
        <v>0</v>
      </c>
      <c r="K288" s="60">
        <f t="shared" si="12"/>
        <v>0</v>
      </c>
      <c r="L288" s="87"/>
      <c r="M288" s="60">
        <f t="shared" si="13"/>
        <v>2023</v>
      </c>
      <c r="N288" s="60">
        <f t="shared" si="14"/>
        <v>2</v>
      </c>
    </row>
    <row r="289" customHeight="1" spans="2:14">
      <c r="B289" s="86">
        <v>286</v>
      </c>
      <c r="C289" s="128">
        <v>44967</v>
      </c>
      <c r="D289" s="87" t="s">
        <v>278</v>
      </c>
      <c r="E289" s="60" t="str">
        <f>IFERROR(VLOOKUP(D289,'基础-领用人及部门'!$C:$D,2,FALSE),"-")</f>
        <v>综合办</v>
      </c>
      <c r="F289" s="87" t="s">
        <v>216</v>
      </c>
      <c r="G289" s="60" t="str">
        <f>IFERROR(VLOOKUP($F289,'基础-办公用品信息'!$C:$E,2,FALSE),"-")</f>
        <v>个</v>
      </c>
      <c r="H289" s="60">
        <f>IFERROR(VLOOKUP($F289,'基础-办公用品信息'!$C:$E,3,FALSE),"-")</f>
        <v>0</v>
      </c>
      <c r="I289" s="60">
        <v>6</v>
      </c>
      <c r="J289" s="60">
        <f>IFERROR(VLOOKUP($F289,'基础-办公用品信息'!$C:$F,4,FALSE),"-")</f>
        <v>0</v>
      </c>
      <c r="K289" s="60">
        <f t="shared" si="12"/>
        <v>0</v>
      </c>
      <c r="L289" s="87"/>
      <c r="M289" s="60">
        <f t="shared" si="13"/>
        <v>2023</v>
      </c>
      <c r="N289" s="60">
        <f t="shared" si="14"/>
        <v>2</v>
      </c>
    </row>
    <row r="290" customHeight="1" spans="2:14">
      <c r="B290" s="86">
        <v>287</v>
      </c>
      <c r="C290" s="128">
        <v>44967</v>
      </c>
      <c r="D290" s="87" t="s">
        <v>278</v>
      </c>
      <c r="E290" s="60" t="str">
        <f>IFERROR(VLOOKUP(D290,'基础-领用人及部门'!$C:$D,2,FALSE),"-")</f>
        <v>综合办</v>
      </c>
      <c r="F290" s="87" t="s">
        <v>217</v>
      </c>
      <c r="G290" s="60" t="str">
        <f>IFERROR(VLOOKUP($F290,'基础-办公用品信息'!$C:$E,2,FALSE),"-")</f>
        <v>个</v>
      </c>
      <c r="H290" s="60">
        <f>IFERROR(VLOOKUP($F290,'基础-办公用品信息'!$C:$E,3,FALSE),"-")</f>
        <v>0</v>
      </c>
      <c r="I290" s="60">
        <v>2</v>
      </c>
      <c r="J290" s="60">
        <f>IFERROR(VLOOKUP($F290,'基础-办公用品信息'!$C:$F,4,FALSE),"-")</f>
        <v>0</v>
      </c>
      <c r="K290" s="60">
        <f t="shared" si="12"/>
        <v>0</v>
      </c>
      <c r="L290" s="87"/>
      <c r="M290" s="60">
        <f t="shared" si="13"/>
        <v>2023</v>
      </c>
      <c r="N290" s="60">
        <f t="shared" si="14"/>
        <v>2</v>
      </c>
    </row>
    <row r="291" customHeight="1" spans="2:14">
      <c r="B291" s="86">
        <v>288</v>
      </c>
      <c r="C291" s="128">
        <v>44967</v>
      </c>
      <c r="D291" s="87" t="s">
        <v>278</v>
      </c>
      <c r="E291" s="60" t="str">
        <f>IFERROR(VLOOKUP(D291,'基础-领用人及部门'!$C:$D,2,FALSE),"-")</f>
        <v>综合办</v>
      </c>
      <c r="F291" s="87" t="s">
        <v>217</v>
      </c>
      <c r="G291" s="60" t="str">
        <f>IFERROR(VLOOKUP($F291,'基础-办公用品信息'!$C:$E,2,FALSE),"-")</f>
        <v>个</v>
      </c>
      <c r="H291" s="60">
        <f>IFERROR(VLOOKUP($F291,'基础-办公用品信息'!$C:$E,3,FALSE),"-")</f>
        <v>0</v>
      </c>
      <c r="I291" s="60">
        <v>2</v>
      </c>
      <c r="J291" s="60">
        <f>IFERROR(VLOOKUP($F291,'基础-办公用品信息'!$C:$F,4,FALSE),"-")</f>
        <v>0</v>
      </c>
      <c r="K291" s="60">
        <f t="shared" si="12"/>
        <v>0</v>
      </c>
      <c r="L291" s="87"/>
      <c r="M291" s="60">
        <f t="shared" si="13"/>
        <v>2023</v>
      </c>
      <c r="N291" s="60">
        <f t="shared" si="14"/>
        <v>2</v>
      </c>
    </row>
    <row r="292" customHeight="1" spans="2:14">
      <c r="B292" s="86">
        <v>289</v>
      </c>
      <c r="C292" s="128">
        <v>44967</v>
      </c>
      <c r="D292" s="87" t="s">
        <v>278</v>
      </c>
      <c r="E292" s="60" t="str">
        <f>IFERROR(VLOOKUP(D292,'基础-领用人及部门'!$C:$D,2,FALSE),"-")</f>
        <v>综合办</v>
      </c>
      <c r="F292" s="87" t="s">
        <v>207</v>
      </c>
      <c r="G292" s="60" t="str">
        <f>IFERROR(VLOOKUP($F292,'基础-办公用品信息'!$C:$E,2,FALSE),"-")</f>
        <v>个</v>
      </c>
      <c r="H292" s="60">
        <f>IFERROR(VLOOKUP($F292,'基础-办公用品信息'!$C:$E,3,FALSE),"-")</f>
        <v>0</v>
      </c>
      <c r="I292" s="60">
        <v>5</v>
      </c>
      <c r="J292" s="60">
        <f>IFERROR(VLOOKUP($F292,'基础-办公用品信息'!$C:$F,4,FALSE),"-")</f>
        <v>0</v>
      </c>
      <c r="K292" s="60">
        <f t="shared" si="12"/>
        <v>0</v>
      </c>
      <c r="L292" s="87"/>
      <c r="M292" s="60">
        <f t="shared" si="13"/>
        <v>2023</v>
      </c>
      <c r="N292" s="60">
        <f t="shared" si="14"/>
        <v>2</v>
      </c>
    </row>
    <row r="293" customHeight="1" spans="2:14">
      <c r="B293" s="86">
        <v>290</v>
      </c>
      <c r="C293" s="128">
        <v>44967</v>
      </c>
      <c r="D293" s="87" t="s">
        <v>278</v>
      </c>
      <c r="E293" s="60" t="str">
        <f>IFERROR(VLOOKUP(D293,'基础-领用人及部门'!$C:$D,2,FALSE),"-")</f>
        <v>综合办</v>
      </c>
      <c r="F293" s="87" t="s">
        <v>218</v>
      </c>
      <c r="G293" s="60" t="str">
        <f>IFERROR(VLOOKUP($F293,'基础-办公用品信息'!$C:$E,2,FALSE),"-")</f>
        <v>个</v>
      </c>
      <c r="H293" s="60">
        <f>IFERROR(VLOOKUP($F293,'基础-办公用品信息'!$C:$E,3,FALSE),"-")</f>
        <v>0</v>
      </c>
      <c r="I293" s="60">
        <v>1</v>
      </c>
      <c r="J293" s="60">
        <f>IFERROR(VLOOKUP($F293,'基础-办公用品信息'!$C:$F,4,FALSE),"-")</f>
        <v>0</v>
      </c>
      <c r="K293" s="60">
        <f t="shared" si="12"/>
        <v>0</v>
      </c>
      <c r="L293" s="87"/>
      <c r="M293" s="60">
        <f t="shared" si="13"/>
        <v>2023</v>
      </c>
      <c r="N293" s="60">
        <f t="shared" si="14"/>
        <v>2</v>
      </c>
    </row>
    <row r="294" customHeight="1" spans="2:14">
      <c r="B294" s="86">
        <v>291</v>
      </c>
      <c r="C294" s="128">
        <v>44967</v>
      </c>
      <c r="D294" s="87" t="s">
        <v>278</v>
      </c>
      <c r="E294" s="60" t="str">
        <f>IFERROR(VLOOKUP(D294,'基础-领用人及部门'!$C:$D,2,FALSE),"-")</f>
        <v>综合办</v>
      </c>
      <c r="F294" s="87" t="s">
        <v>219</v>
      </c>
      <c r="G294" s="60" t="str">
        <f>IFERROR(VLOOKUP($F294,'基础-办公用品信息'!$C:$E,2,FALSE),"-")</f>
        <v>个</v>
      </c>
      <c r="H294" s="60">
        <f>IFERROR(VLOOKUP($F294,'基础-办公用品信息'!$C:$E,3,FALSE),"-")</f>
        <v>0</v>
      </c>
      <c r="I294" s="60">
        <v>1</v>
      </c>
      <c r="J294" s="60">
        <f>IFERROR(VLOOKUP($F294,'基础-办公用品信息'!$C:$F,4,FALSE),"-")</f>
        <v>0</v>
      </c>
      <c r="K294" s="60">
        <f t="shared" si="12"/>
        <v>0</v>
      </c>
      <c r="L294" s="87"/>
      <c r="M294" s="60">
        <f t="shared" si="13"/>
        <v>2023</v>
      </c>
      <c r="N294" s="60">
        <f t="shared" si="14"/>
        <v>2</v>
      </c>
    </row>
    <row r="295" customHeight="1" spans="2:14">
      <c r="B295" s="86">
        <v>292</v>
      </c>
      <c r="C295" s="128">
        <v>44967</v>
      </c>
      <c r="D295" s="87" t="s">
        <v>278</v>
      </c>
      <c r="E295" s="60" t="str">
        <f>IFERROR(VLOOKUP(D295,'基础-领用人及部门'!$C:$D,2,FALSE),"-")</f>
        <v>综合办</v>
      </c>
      <c r="F295" s="87" t="s">
        <v>220</v>
      </c>
      <c r="G295" s="60" t="str">
        <f>IFERROR(VLOOKUP($F295,'基础-办公用品信息'!$C:$E,2,FALSE),"-")</f>
        <v>个</v>
      </c>
      <c r="H295" s="60">
        <f>IFERROR(VLOOKUP($F295,'基础-办公用品信息'!$C:$E,3,FALSE),"-")</f>
        <v>0</v>
      </c>
      <c r="I295" s="60">
        <v>1</v>
      </c>
      <c r="J295" s="60">
        <f>IFERROR(VLOOKUP($F295,'基础-办公用品信息'!$C:$F,4,FALSE),"-")</f>
        <v>0</v>
      </c>
      <c r="K295" s="60">
        <f t="shared" si="12"/>
        <v>0</v>
      </c>
      <c r="L295" s="87"/>
      <c r="M295" s="60">
        <f t="shared" si="13"/>
        <v>2023</v>
      </c>
      <c r="N295" s="60">
        <f t="shared" si="14"/>
        <v>2</v>
      </c>
    </row>
    <row r="296" customHeight="1" spans="2:14">
      <c r="B296" s="86">
        <v>293</v>
      </c>
      <c r="C296" s="128">
        <v>44967</v>
      </c>
      <c r="D296" s="87" t="s">
        <v>278</v>
      </c>
      <c r="E296" s="60" t="str">
        <f>IFERROR(VLOOKUP(D296,'基础-领用人及部门'!$C:$D,2,FALSE),"-")</f>
        <v>综合办</v>
      </c>
      <c r="F296" s="87" t="s">
        <v>221</v>
      </c>
      <c r="G296" s="60" t="str">
        <f>IFERROR(VLOOKUP($F296,'基础-办公用品信息'!$C:$E,2,FALSE),"-")</f>
        <v>个</v>
      </c>
      <c r="H296" s="60">
        <f>IFERROR(VLOOKUP($F296,'基础-办公用品信息'!$C:$E,3,FALSE),"-")</f>
        <v>0</v>
      </c>
      <c r="I296" s="60">
        <v>1</v>
      </c>
      <c r="J296" s="60">
        <f>IFERROR(VLOOKUP($F296,'基础-办公用品信息'!$C:$F,4,FALSE),"-")</f>
        <v>0</v>
      </c>
      <c r="K296" s="60">
        <f t="shared" si="12"/>
        <v>0</v>
      </c>
      <c r="L296" s="87"/>
      <c r="M296" s="60">
        <f t="shared" si="13"/>
        <v>2023</v>
      </c>
      <c r="N296" s="60">
        <f t="shared" si="14"/>
        <v>2</v>
      </c>
    </row>
    <row r="297" customHeight="1" spans="2:14">
      <c r="B297" s="86">
        <v>294</v>
      </c>
      <c r="C297" s="128">
        <v>44967</v>
      </c>
      <c r="D297" s="87" t="s">
        <v>278</v>
      </c>
      <c r="E297" s="60" t="str">
        <f>IFERROR(VLOOKUP(D297,'基础-领用人及部门'!$C:$D,2,FALSE),"-")</f>
        <v>综合办</v>
      </c>
      <c r="F297" s="87" t="s">
        <v>221</v>
      </c>
      <c r="G297" s="60" t="str">
        <f>IFERROR(VLOOKUP($F297,'基础-办公用品信息'!$C:$E,2,FALSE),"-")</f>
        <v>个</v>
      </c>
      <c r="H297" s="60">
        <f>IFERROR(VLOOKUP($F297,'基础-办公用品信息'!$C:$E,3,FALSE),"-")</f>
        <v>0</v>
      </c>
      <c r="I297" s="60">
        <v>3</v>
      </c>
      <c r="J297" s="60">
        <f>IFERROR(VLOOKUP($F297,'基础-办公用品信息'!$C:$F,4,FALSE),"-")</f>
        <v>0</v>
      </c>
      <c r="K297" s="60">
        <f t="shared" si="12"/>
        <v>0</v>
      </c>
      <c r="L297" s="87"/>
      <c r="M297" s="60">
        <f t="shared" si="13"/>
        <v>2023</v>
      </c>
      <c r="N297" s="60">
        <f t="shared" si="14"/>
        <v>2</v>
      </c>
    </row>
    <row r="298" customHeight="1" spans="2:14">
      <c r="B298" s="86">
        <v>295</v>
      </c>
      <c r="C298" s="128">
        <v>44967</v>
      </c>
      <c r="D298" s="87" t="s">
        <v>278</v>
      </c>
      <c r="E298" s="60" t="str">
        <f>IFERROR(VLOOKUP(D298,'基础-领用人及部门'!$C:$D,2,FALSE),"-")</f>
        <v>综合办</v>
      </c>
      <c r="F298" s="87" t="s">
        <v>222</v>
      </c>
      <c r="G298" s="60" t="str">
        <f>IFERROR(VLOOKUP($F298,'基础-办公用品信息'!$C:$E,2,FALSE),"-")</f>
        <v>个</v>
      </c>
      <c r="H298" s="60">
        <f>IFERROR(VLOOKUP($F298,'基础-办公用品信息'!$C:$E,3,FALSE),"-")</f>
        <v>0</v>
      </c>
      <c r="I298" s="60">
        <v>2</v>
      </c>
      <c r="J298" s="60">
        <f>IFERROR(VLOOKUP($F298,'基础-办公用品信息'!$C:$F,4,FALSE),"-")</f>
        <v>0</v>
      </c>
      <c r="K298" s="60">
        <f t="shared" si="12"/>
        <v>0</v>
      </c>
      <c r="L298" s="87"/>
      <c r="M298" s="60">
        <f t="shared" si="13"/>
        <v>2023</v>
      </c>
      <c r="N298" s="60">
        <f t="shared" si="14"/>
        <v>2</v>
      </c>
    </row>
    <row r="299" customHeight="1" spans="2:14">
      <c r="B299" s="86">
        <v>296</v>
      </c>
      <c r="C299" s="128">
        <v>44967</v>
      </c>
      <c r="D299" s="87" t="s">
        <v>278</v>
      </c>
      <c r="E299" s="60" t="str">
        <f>IFERROR(VLOOKUP(D299,'基础-领用人及部门'!$C:$D,2,FALSE),"-")</f>
        <v>综合办</v>
      </c>
      <c r="F299" s="87" t="s">
        <v>223</v>
      </c>
      <c r="G299" s="60" t="str">
        <f>IFERROR(VLOOKUP($F299,'基础-办公用品信息'!$C:$E,2,FALSE),"-")</f>
        <v>个</v>
      </c>
      <c r="H299" s="60">
        <f>IFERROR(VLOOKUP($F299,'基础-办公用品信息'!$C:$E,3,FALSE),"-")</f>
        <v>0</v>
      </c>
      <c r="I299" s="60">
        <v>2</v>
      </c>
      <c r="J299" s="60">
        <f>IFERROR(VLOOKUP($F299,'基础-办公用品信息'!$C:$F,4,FALSE),"-")</f>
        <v>0</v>
      </c>
      <c r="K299" s="60">
        <f t="shared" si="12"/>
        <v>0</v>
      </c>
      <c r="L299" s="87"/>
      <c r="M299" s="60">
        <f t="shared" si="13"/>
        <v>2023</v>
      </c>
      <c r="N299" s="60">
        <f t="shared" si="14"/>
        <v>2</v>
      </c>
    </row>
    <row r="300" customHeight="1" spans="2:14">
      <c r="B300" s="86">
        <v>297</v>
      </c>
      <c r="C300" s="128">
        <v>44967</v>
      </c>
      <c r="D300" s="87" t="s">
        <v>278</v>
      </c>
      <c r="E300" s="60" t="str">
        <f>IFERROR(VLOOKUP(D300,'基础-领用人及部门'!$C:$D,2,FALSE),"-")</f>
        <v>综合办</v>
      </c>
      <c r="F300" s="87" t="s">
        <v>224</v>
      </c>
      <c r="G300" s="60" t="str">
        <f>IFERROR(VLOOKUP($F300,'基础-办公用品信息'!$C:$E,2,FALSE),"-")</f>
        <v>个</v>
      </c>
      <c r="H300" s="60">
        <f>IFERROR(VLOOKUP($F300,'基础-办公用品信息'!$C:$E,3,FALSE),"-")</f>
        <v>0</v>
      </c>
      <c r="I300" s="60">
        <v>1</v>
      </c>
      <c r="J300" s="60">
        <f>IFERROR(VLOOKUP($F300,'基础-办公用品信息'!$C:$F,4,FALSE),"-")</f>
        <v>0</v>
      </c>
      <c r="K300" s="60">
        <f t="shared" si="12"/>
        <v>0</v>
      </c>
      <c r="L300" s="87"/>
      <c r="M300" s="60">
        <f t="shared" si="13"/>
        <v>2023</v>
      </c>
      <c r="N300" s="60">
        <f t="shared" si="14"/>
        <v>2</v>
      </c>
    </row>
    <row r="301" customHeight="1" spans="2:14">
      <c r="B301" s="86">
        <v>298</v>
      </c>
      <c r="C301" s="128">
        <v>44967</v>
      </c>
      <c r="D301" s="87" t="s">
        <v>278</v>
      </c>
      <c r="E301" s="60" t="str">
        <f>IFERROR(VLOOKUP(D301,'基础-领用人及部门'!$C:$D,2,FALSE),"-")</f>
        <v>综合办</v>
      </c>
      <c r="F301" s="87" t="s">
        <v>225</v>
      </c>
      <c r="G301" s="60" t="str">
        <f>IFERROR(VLOOKUP($F301,'基础-办公用品信息'!$C:$E,2,FALSE),"-")</f>
        <v>个</v>
      </c>
      <c r="H301" s="60">
        <f>IFERROR(VLOOKUP($F301,'基础-办公用品信息'!$C:$E,3,FALSE),"-")</f>
        <v>0</v>
      </c>
      <c r="I301" s="60">
        <v>1</v>
      </c>
      <c r="J301" s="60">
        <f>IFERROR(VLOOKUP($F301,'基础-办公用品信息'!$C:$F,4,FALSE),"-")</f>
        <v>0</v>
      </c>
      <c r="K301" s="60">
        <f t="shared" si="12"/>
        <v>0</v>
      </c>
      <c r="L301" s="87"/>
      <c r="M301" s="60">
        <f t="shared" si="13"/>
        <v>2023</v>
      </c>
      <c r="N301" s="60">
        <f t="shared" si="14"/>
        <v>2</v>
      </c>
    </row>
    <row r="302" customHeight="1" spans="2:14">
      <c r="B302" s="86">
        <v>299</v>
      </c>
      <c r="C302" s="128">
        <v>44967</v>
      </c>
      <c r="D302" s="87" t="s">
        <v>278</v>
      </c>
      <c r="E302" s="60" t="str">
        <f>IFERROR(VLOOKUP(D302,'基础-领用人及部门'!$C:$D,2,FALSE),"-")</f>
        <v>综合办</v>
      </c>
      <c r="F302" s="87" t="s">
        <v>226</v>
      </c>
      <c r="G302" s="60" t="str">
        <f>IFERROR(VLOOKUP($F302,'基础-办公用品信息'!$C:$E,2,FALSE),"-")</f>
        <v>个</v>
      </c>
      <c r="H302" s="60">
        <f>IFERROR(VLOOKUP($F302,'基础-办公用品信息'!$C:$E,3,FALSE),"-")</f>
        <v>0</v>
      </c>
      <c r="I302" s="60">
        <v>1</v>
      </c>
      <c r="J302" s="60">
        <f>IFERROR(VLOOKUP($F302,'基础-办公用品信息'!$C:$F,4,FALSE),"-")</f>
        <v>0</v>
      </c>
      <c r="K302" s="60">
        <f t="shared" si="12"/>
        <v>0</v>
      </c>
      <c r="L302" s="87"/>
      <c r="M302" s="60">
        <f t="shared" si="13"/>
        <v>2023</v>
      </c>
      <c r="N302" s="60">
        <f t="shared" si="14"/>
        <v>2</v>
      </c>
    </row>
    <row r="303" customHeight="1" spans="2:14">
      <c r="B303" s="86">
        <v>300</v>
      </c>
      <c r="C303" s="128">
        <v>44967</v>
      </c>
      <c r="D303" s="87" t="s">
        <v>278</v>
      </c>
      <c r="E303" s="60" t="str">
        <f>IFERROR(VLOOKUP(D303,'基础-领用人及部门'!$C:$D,2,FALSE),"-")</f>
        <v>综合办</v>
      </c>
      <c r="F303" s="87" t="s">
        <v>227</v>
      </c>
      <c r="G303" s="60" t="str">
        <f>IFERROR(VLOOKUP($F303,'基础-办公用品信息'!$C:$E,2,FALSE),"-")</f>
        <v>个</v>
      </c>
      <c r="H303" s="60">
        <f>IFERROR(VLOOKUP($F303,'基础-办公用品信息'!$C:$E,3,FALSE),"-")</f>
        <v>0</v>
      </c>
      <c r="I303" s="60">
        <v>1</v>
      </c>
      <c r="J303" s="60">
        <f>IFERROR(VLOOKUP($F303,'基础-办公用品信息'!$C:$F,4,FALSE),"-")</f>
        <v>0</v>
      </c>
      <c r="K303" s="60">
        <f t="shared" si="12"/>
        <v>0</v>
      </c>
      <c r="L303" s="87"/>
      <c r="M303" s="60">
        <f t="shared" si="13"/>
        <v>2023</v>
      </c>
      <c r="N303" s="60">
        <f t="shared" si="14"/>
        <v>2</v>
      </c>
    </row>
    <row r="304" customHeight="1" spans="2:14">
      <c r="B304" s="86">
        <v>301</v>
      </c>
      <c r="C304" s="128">
        <v>44967</v>
      </c>
      <c r="D304" s="87" t="s">
        <v>278</v>
      </c>
      <c r="E304" s="60" t="str">
        <f>IFERROR(VLOOKUP(D304,'基础-领用人及部门'!$C:$D,2,FALSE),"-")</f>
        <v>综合办</v>
      </c>
      <c r="F304" s="87" t="s">
        <v>227</v>
      </c>
      <c r="G304" s="60" t="str">
        <f>IFERROR(VLOOKUP($F304,'基础-办公用品信息'!$C:$E,2,FALSE),"-")</f>
        <v>个</v>
      </c>
      <c r="H304" s="60">
        <f>IFERROR(VLOOKUP($F304,'基础-办公用品信息'!$C:$E,3,FALSE),"-")</f>
        <v>0</v>
      </c>
      <c r="I304" s="60">
        <v>1</v>
      </c>
      <c r="J304" s="60">
        <f>IFERROR(VLOOKUP($F304,'基础-办公用品信息'!$C:$F,4,FALSE),"-")</f>
        <v>0</v>
      </c>
      <c r="K304" s="60">
        <f t="shared" si="12"/>
        <v>0</v>
      </c>
      <c r="L304" s="87"/>
      <c r="M304" s="60">
        <f t="shared" si="13"/>
        <v>2023</v>
      </c>
      <c r="N304" s="60">
        <f t="shared" si="14"/>
        <v>2</v>
      </c>
    </row>
    <row r="305" customHeight="1" spans="2:14">
      <c r="B305" s="86">
        <v>302</v>
      </c>
      <c r="C305" s="128">
        <v>44967</v>
      </c>
      <c r="D305" s="87" t="s">
        <v>278</v>
      </c>
      <c r="E305" s="60" t="str">
        <f>IFERROR(VLOOKUP(D305,'基础-领用人及部门'!$C:$D,2,FALSE),"-")</f>
        <v>综合办</v>
      </c>
      <c r="F305" s="87" t="s">
        <v>228</v>
      </c>
      <c r="G305" s="60" t="str">
        <f>IFERROR(VLOOKUP($F305,'基础-办公用品信息'!$C:$E,2,FALSE),"-")</f>
        <v>个</v>
      </c>
      <c r="H305" s="60">
        <f>IFERROR(VLOOKUP($F305,'基础-办公用品信息'!$C:$E,3,FALSE),"-")</f>
        <v>0</v>
      </c>
      <c r="I305" s="60">
        <v>1</v>
      </c>
      <c r="J305" s="60">
        <f>IFERROR(VLOOKUP($F305,'基础-办公用品信息'!$C:$F,4,FALSE),"-")</f>
        <v>0</v>
      </c>
      <c r="K305" s="60">
        <f t="shared" si="12"/>
        <v>0</v>
      </c>
      <c r="L305" s="87"/>
      <c r="M305" s="60">
        <f t="shared" si="13"/>
        <v>2023</v>
      </c>
      <c r="N305" s="60">
        <f t="shared" si="14"/>
        <v>2</v>
      </c>
    </row>
    <row r="306" customHeight="1" spans="2:14">
      <c r="B306" s="86">
        <v>303</v>
      </c>
      <c r="C306" s="128">
        <v>44967</v>
      </c>
      <c r="D306" s="87" t="s">
        <v>278</v>
      </c>
      <c r="E306" s="60" t="str">
        <f>IFERROR(VLOOKUP(D306,'基础-领用人及部门'!$C:$D,2,FALSE),"-")</f>
        <v>综合办</v>
      </c>
      <c r="F306" s="87" t="s">
        <v>229</v>
      </c>
      <c r="G306" s="60" t="str">
        <f>IFERROR(VLOOKUP($F306,'基础-办公用品信息'!$C:$E,2,FALSE),"-")</f>
        <v>个</v>
      </c>
      <c r="H306" s="60">
        <f>IFERROR(VLOOKUP($F306,'基础-办公用品信息'!$C:$E,3,FALSE),"-")</f>
        <v>0</v>
      </c>
      <c r="I306" s="60">
        <v>3.3</v>
      </c>
      <c r="J306" s="60">
        <f>IFERROR(VLOOKUP($F306,'基础-办公用品信息'!$C:$F,4,FALSE),"-")</f>
        <v>0</v>
      </c>
      <c r="K306" s="60">
        <f t="shared" si="12"/>
        <v>0</v>
      </c>
      <c r="L306" s="87"/>
      <c r="M306" s="60">
        <f t="shared" si="13"/>
        <v>2023</v>
      </c>
      <c r="N306" s="60">
        <f t="shared" si="14"/>
        <v>2</v>
      </c>
    </row>
    <row r="307" customHeight="1" spans="2:14">
      <c r="B307" s="86">
        <v>304</v>
      </c>
      <c r="C307" s="128">
        <v>44967</v>
      </c>
      <c r="D307" s="87" t="s">
        <v>278</v>
      </c>
      <c r="E307" s="60" t="str">
        <f>IFERROR(VLOOKUP(D307,'基础-领用人及部门'!$C:$D,2,FALSE),"-")</f>
        <v>综合办</v>
      </c>
      <c r="F307" s="87" t="s">
        <v>161</v>
      </c>
      <c r="G307" s="60" t="str">
        <f>IFERROR(VLOOKUP($F307,'基础-办公用品信息'!$C:$E,2,FALSE),"-")</f>
        <v>桶</v>
      </c>
      <c r="H307" s="60">
        <f>IFERROR(VLOOKUP($F307,'基础-办公用品信息'!$C:$E,3,FALSE),"-")</f>
        <v>0</v>
      </c>
      <c r="I307" s="60">
        <v>1</v>
      </c>
      <c r="J307" s="60">
        <f>IFERROR(VLOOKUP($F307,'基础-办公用品信息'!$C:$F,4,FALSE),"-")</f>
        <v>0</v>
      </c>
      <c r="K307" s="60">
        <f t="shared" si="12"/>
        <v>0</v>
      </c>
      <c r="L307" s="87"/>
      <c r="M307" s="60">
        <f t="shared" si="13"/>
        <v>2023</v>
      </c>
      <c r="N307" s="60">
        <f t="shared" si="14"/>
        <v>2</v>
      </c>
    </row>
    <row r="308" customHeight="1" spans="2:14">
      <c r="B308" s="86">
        <v>305</v>
      </c>
      <c r="C308" s="128">
        <v>44967</v>
      </c>
      <c r="D308" s="87" t="s">
        <v>278</v>
      </c>
      <c r="E308" s="60" t="str">
        <f>IFERROR(VLOOKUP(D308,'基础-领用人及部门'!$C:$D,2,FALSE),"-")</f>
        <v>综合办</v>
      </c>
      <c r="F308" s="87" t="s">
        <v>230</v>
      </c>
      <c r="G308" s="60" t="str">
        <f>IFERROR(VLOOKUP($F308,'基础-办公用品信息'!$C:$E,2,FALSE),"-")</f>
        <v>个</v>
      </c>
      <c r="H308" s="60">
        <f>IFERROR(VLOOKUP($F308,'基础-办公用品信息'!$C:$E,3,FALSE),"-")</f>
        <v>0</v>
      </c>
      <c r="I308" s="60">
        <v>10</v>
      </c>
      <c r="J308" s="60">
        <f>IFERROR(VLOOKUP($F308,'基础-办公用品信息'!$C:$F,4,FALSE),"-")</f>
        <v>0</v>
      </c>
      <c r="K308" s="60">
        <f t="shared" si="12"/>
        <v>0</v>
      </c>
      <c r="L308" s="87"/>
      <c r="M308" s="60">
        <f t="shared" si="13"/>
        <v>2023</v>
      </c>
      <c r="N308" s="60">
        <f t="shared" si="14"/>
        <v>2</v>
      </c>
    </row>
    <row r="309" customHeight="1" spans="2:14">
      <c r="B309" s="86">
        <v>306</v>
      </c>
      <c r="C309" s="128">
        <v>44967</v>
      </c>
      <c r="D309" s="87" t="s">
        <v>278</v>
      </c>
      <c r="E309" s="60" t="str">
        <f>IFERROR(VLOOKUP(D309,'基础-领用人及部门'!$C:$D,2,FALSE),"-")</f>
        <v>综合办</v>
      </c>
      <c r="F309" s="87" t="s">
        <v>231</v>
      </c>
      <c r="G309" s="60" t="str">
        <f>IFERROR(VLOOKUP($F309,'基础-办公用品信息'!$C:$E,2,FALSE),"-")</f>
        <v>个</v>
      </c>
      <c r="H309" s="60">
        <f>IFERROR(VLOOKUP($F309,'基础-办公用品信息'!$C:$E,3,FALSE),"-")</f>
        <v>0</v>
      </c>
      <c r="I309" s="60">
        <v>1</v>
      </c>
      <c r="J309" s="60">
        <f>IFERROR(VLOOKUP($F309,'基础-办公用品信息'!$C:$F,4,FALSE),"-")</f>
        <v>0</v>
      </c>
      <c r="K309" s="60">
        <f t="shared" si="12"/>
        <v>0</v>
      </c>
      <c r="L309" s="87"/>
      <c r="M309" s="60">
        <f t="shared" si="13"/>
        <v>2023</v>
      </c>
      <c r="N309" s="60">
        <f t="shared" si="14"/>
        <v>2</v>
      </c>
    </row>
    <row r="310" customHeight="1" spans="2:14">
      <c r="B310" s="86">
        <v>307</v>
      </c>
      <c r="C310" s="128">
        <v>44967</v>
      </c>
      <c r="D310" s="87" t="s">
        <v>278</v>
      </c>
      <c r="E310" s="60" t="str">
        <f>IFERROR(VLOOKUP(D310,'基础-领用人及部门'!$C:$D,2,FALSE),"-")</f>
        <v>综合办</v>
      </c>
      <c r="F310" s="87" t="s">
        <v>232</v>
      </c>
      <c r="G310" s="60" t="str">
        <f>IFERROR(VLOOKUP($F310,'基础-办公用品信息'!$C:$E,2,FALSE),"-")</f>
        <v>个</v>
      </c>
      <c r="H310" s="60">
        <f>IFERROR(VLOOKUP($F310,'基础-办公用品信息'!$C:$E,3,FALSE),"-")</f>
        <v>0</v>
      </c>
      <c r="I310" s="60">
        <v>30</v>
      </c>
      <c r="J310" s="60">
        <f>IFERROR(VLOOKUP($F310,'基础-办公用品信息'!$C:$F,4,FALSE),"-")</f>
        <v>0</v>
      </c>
      <c r="K310" s="60">
        <f t="shared" si="12"/>
        <v>0</v>
      </c>
      <c r="L310" s="87"/>
      <c r="M310" s="60">
        <f t="shared" si="13"/>
        <v>2023</v>
      </c>
      <c r="N310" s="60">
        <f t="shared" si="14"/>
        <v>2</v>
      </c>
    </row>
    <row r="311" customHeight="1" spans="2:14">
      <c r="B311" s="86">
        <v>308</v>
      </c>
      <c r="C311" s="128">
        <v>44967</v>
      </c>
      <c r="D311" s="87" t="s">
        <v>278</v>
      </c>
      <c r="E311" s="60" t="str">
        <f>IFERROR(VLOOKUP(D311,'基础-领用人及部门'!$C:$D,2,FALSE),"-")</f>
        <v>综合办</v>
      </c>
      <c r="F311" s="87" t="s">
        <v>233</v>
      </c>
      <c r="G311" s="60" t="str">
        <f>IFERROR(VLOOKUP($F311,'基础-办公用品信息'!$C:$E,2,FALSE),"-")</f>
        <v>个</v>
      </c>
      <c r="H311" s="60">
        <f>IFERROR(VLOOKUP($F311,'基础-办公用品信息'!$C:$E,3,FALSE),"-")</f>
        <v>0</v>
      </c>
      <c r="I311" s="60">
        <v>10</v>
      </c>
      <c r="J311" s="60">
        <f>IFERROR(VLOOKUP($F311,'基础-办公用品信息'!$C:$F,4,FALSE),"-")</f>
        <v>0</v>
      </c>
      <c r="K311" s="60">
        <f t="shared" si="12"/>
        <v>0</v>
      </c>
      <c r="L311" s="87"/>
      <c r="M311" s="60">
        <f t="shared" si="13"/>
        <v>2023</v>
      </c>
      <c r="N311" s="60">
        <f t="shared" si="14"/>
        <v>2</v>
      </c>
    </row>
    <row r="312" customHeight="1" spans="2:14">
      <c r="B312" s="86">
        <v>309</v>
      </c>
      <c r="C312" s="128">
        <v>44967</v>
      </c>
      <c r="D312" s="87" t="s">
        <v>278</v>
      </c>
      <c r="E312" s="60" t="str">
        <f>IFERROR(VLOOKUP(D312,'基础-领用人及部门'!$C:$D,2,FALSE),"-")</f>
        <v>综合办</v>
      </c>
      <c r="F312" s="87" t="s">
        <v>221</v>
      </c>
      <c r="G312" s="60" t="str">
        <f>IFERROR(VLOOKUP($F312,'基础-办公用品信息'!$C:$E,2,FALSE),"-")</f>
        <v>个</v>
      </c>
      <c r="H312" s="60">
        <f>IFERROR(VLOOKUP($F312,'基础-办公用品信息'!$C:$E,3,FALSE),"-")</f>
        <v>0</v>
      </c>
      <c r="I312" s="60">
        <v>1</v>
      </c>
      <c r="J312" s="60">
        <f>IFERROR(VLOOKUP($F312,'基础-办公用品信息'!$C:$F,4,FALSE),"-")</f>
        <v>0</v>
      </c>
      <c r="K312" s="60">
        <f t="shared" si="12"/>
        <v>0</v>
      </c>
      <c r="L312" s="87"/>
      <c r="M312" s="60">
        <f t="shared" si="13"/>
        <v>2023</v>
      </c>
      <c r="N312" s="60">
        <f t="shared" si="14"/>
        <v>2</v>
      </c>
    </row>
    <row r="313" customHeight="1" spans="2:14">
      <c r="B313" s="86">
        <v>310</v>
      </c>
      <c r="C313" s="128">
        <v>44967</v>
      </c>
      <c r="D313" s="87" t="s">
        <v>278</v>
      </c>
      <c r="E313" s="60" t="str">
        <f>IFERROR(VLOOKUP(D313,'基础-领用人及部门'!$C:$D,2,FALSE),"-")</f>
        <v>综合办</v>
      </c>
      <c r="F313" s="87" t="s">
        <v>164</v>
      </c>
      <c r="G313" s="60" t="str">
        <f>IFERROR(VLOOKUP($F313,'基础-办公用品信息'!$C:$E,2,FALSE),"-")</f>
        <v>卷</v>
      </c>
      <c r="H313" s="60">
        <f>IFERROR(VLOOKUP($F313,'基础-办公用品信息'!$C:$E,3,FALSE),"-")</f>
        <v>0</v>
      </c>
      <c r="I313" s="60">
        <v>10</v>
      </c>
      <c r="J313" s="60">
        <f>IFERROR(VLOOKUP($F313,'基础-办公用品信息'!$C:$F,4,FALSE),"-")</f>
        <v>0</v>
      </c>
      <c r="K313" s="60">
        <f t="shared" si="12"/>
        <v>0</v>
      </c>
      <c r="L313" s="87"/>
      <c r="M313" s="60">
        <f t="shared" si="13"/>
        <v>2023</v>
      </c>
      <c r="N313" s="60">
        <f t="shared" si="14"/>
        <v>2</v>
      </c>
    </row>
    <row r="314" customHeight="1" spans="2:14">
      <c r="B314" s="86">
        <v>311</v>
      </c>
      <c r="C314" s="128">
        <v>44967</v>
      </c>
      <c r="D314" s="87" t="s">
        <v>278</v>
      </c>
      <c r="E314" s="60" t="str">
        <f>IFERROR(VLOOKUP(D314,'基础-领用人及部门'!$C:$D,2,FALSE),"-")</f>
        <v>综合办</v>
      </c>
      <c r="F314" s="87" t="s">
        <v>234</v>
      </c>
      <c r="G314" s="60" t="str">
        <f>IFERROR(VLOOKUP($F314,'基础-办公用品信息'!$C:$E,2,FALSE),"-")</f>
        <v>个</v>
      </c>
      <c r="H314" s="60">
        <f>IFERROR(VLOOKUP($F314,'基础-办公用品信息'!$C:$E,3,FALSE),"-")</f>
        <v>0</v>
      </c>
      <c r="I314" s="60">
        <v>2</v>
      </c>
      <c r="J314" s="60">
        <f>IFERROR(VLOOKUP($F314,'基础-办公用品信息'!$C:$F,4,FALSE),"-")</f>
        <v>0</v>
      </c>
      <c r="K314" s="60">
        <f t="shared" si="12"/>
        <v>0</v>
      </c>
      <c r="L314" s="87"/>
      <c r="M314" s="60">
        <f t="shared" si="13"/>
        <v>2023</v>
      </c>
      <c r="N314" s="60">
        <f t="shared" si="14"/>
        <v>2</v>
      </c>
    </row>
    <row r="315" customHeight="1" spans="2:14">
      <c r="B315" s="86">
        <v>312</v>
      </c>
      <c r="C315" s="128">
        <v>44967</v>
      </c>
      <c r="D315" s="87" t="s">
        <v>278</v>
      </c>
      <c r="E315" s="60" t="str">
        <f>IFERROR(VLOOKUP(D315,'基础-领用人及部门'!$C:$D,2,FALSE),"-")</f>
        <v>综合办</v>
      </c>
      <c r="F315" s="87" t="s">
        <v>235</v>
      </c>
      <c r="G315" s="60" t="str">
        <f>IFERROR(VLOOKUP($F315,'基础-办公用品信息'!$C:$E,2,FALSE),"-")</f>
        <v>个</v>
      </c>
      <c r="H315" s="60">
        <f>IFERROR(VLOOKUP($F315,'基础-办公用品信息'!$C:$E,3,FALSE),"-")</f>
        <v>0</v>
      </c>
      <c r="I315" s="60">
        <v>1</v>
      </c>
      <c r="J315" s="60">
        <f>IFERROR(VLOOKUP($F315,'基础-办公用品信息'!$C:$F,4,FALSE),"-")</f>
        <v>0</v>
      </c>
      <c r="K315" s="60">
        <f t="shared" si="12"/>
        <v>0</v>
      </c>
      <c r="L315" s="87"/>
      <c r="M315" s="60">
        <f t="shared" si="13"/>
        <v>2023</v>
      </c>
      <c r="N315" s="60">
        <f t="shared" si="14"/>
        <v>2</v>
      </c>
    </row>
    <row r="316" customHeight="1" spans="2:14">
      <c r="B316" s="86">
        <v>313</v>
      </c>
      <c r="C316" s="128">
        <v>44967</v>
      </c>
      <c r="D316" s="87" t="s">
        <v>278</v>
      </c>
      <c r="E316" s="60" t="str">
        <f>IFERROR(VLOOKUP(D316,'基础-领用人及部门'!$C:$D,2,FALSE),"-")</f>
        <v>综合办</v>
      </c>
      <c r="F316" s="87" t="s">
        <v>236</v>
      </c>
      <c r="G316" s="60" t="str">
        <f>IFERROR(VLOOKUP($F316,'基础-办公用品信息'!$C:$E,2,FALSE),"-")</f>
        <v>个</v>
      </c>
      <c r="H316" s="60">
        <f>IFERROR(VLOOKUP($F316,'基础-办公用品信息'!$C:$E,3,FALSE),"-")</f>
        <v>0</v>
      </c>
      <c r="I316" s="60">
        <v>10</v>
      </c>
      <c r="J316" s="60">
        <f>IFERROR(VLOOKUP($F316,'基础-办公用品信息'!$C:$F,4,FALSE),"-")</f>
        <v>0</v>
      </c>
      <c r="K316" s="60">
        <f t="shared" si="12"/>
        <v>0</v>
      </c>
      <c r="L316" s="87"/>
      <c r="M316" s="60">
        <f t="shared" si="13"/>
        <v>2023</v>
      </c>
      <c r="N316" s="60">
        <f t="shared" si="14"/>
        <v>2</v>
      </c>
    </row>
    <row r="317" customHeight="1" spans="2:14">
      <c r="B317" s="86">
        <v>315</v>
      </c>
      <c r="C317" s="128">
        <v>44967</v>
      </c>
      <c r="D317" s="87" t="s">
        <v>278</v>
      </c>
      <c r="E317" s="60" t="str">
        <f>IFERROR(VLOOKUP(D317,'基础-领用人及部门'!$C:$D,2,FALSE),"-")</f>
        <v>综合办</v>
      </c>
      <c r="F317" s="87" t="s">
        <v>237</v>
      </c>
      <c r="G317" s="60" t="str">
        <f>IFERROR(VLOOKUP($F317,'基础-办公用品信息'!$C:$E,2,FALSE),"-")</f>
        <v>个</v>
      </c>
      <c r="H317" s="60">
        <f>IFERROR(VLOOKUP($F317,'基础-办公用品信息'!$C:$E,3,FALSE),"-")</f>
        <v>0</v>
      </c>
      <c r="I317" s="60">
        <v>3</v>
      </c>
      <c r="J317" s="60">
        <f>IFERROR(VLOOKUP($F317,'基础-办公用品信息'!$C:$F,4,FALSE),"-")</f>
        <v>0</v>
      </c>
      <c r="K317" s="60">
        <f t="shared" si="12"/>
        <v>0</v>
      </c>
      <c r="L317" s="87"/>
      <c r="M317" s="60">
        <f t="shared" si="13"/>
        <v>2023</v>
      </c>
      <c r="N317" s="60">
        <f t="shared" si="14"/>
        <v>2</v>
      </c>
    </row>
    <row r="318" customHeight="1" spans="2:14">
      <c r="B318" s="86">
        <v>316</v>
      </c>
      <c r="C318" s="128">
        <v>44967</v>
      </c>
      <c r="D318" s="87" t="s">
        <v>278</v>
      </c>
      <c r="E318" s="60" t="str">
        <f>IFERROR(VLOOKUP(D318,'基础-领用人及部门'!$C:$D,2,FALSE),"-")</f>
        <v>综合办</v>
      </c>
      <c r="F318" s="87" t="s">
        <v>238</v>
      </c>
      <c r="G318" s="60" t="str">
        <f>IFERROR(VLOOKUP($F318,'基础-办公用品信息'!$C:$E,2,FALSE),"-")</f>
        <v>个</v>
      </c>
      <c r="H318" s="60">
        <f>IFERROR(VLOOKUP($F318,'基础-办公用品信息'!$C:$E,3,FALSE),"-")</f>
        <v>0</v>
      </c>
      <c r="I318" s="60">
        <v>5</v>
      </c>
      <c r="J318" s="60">
        <f>IFERROR(VLOOKUP($F318,'基础-办公用品信息'!$C:$F,4,FALSE),"-")</f>
        <v>0</v>
      </c>
      <c r="K318" s="60">
        <f t="shared" si="12"/>
        <v>0</v>
      </c>
      <c r="L318" s="87"/>
      <c r="M318" s="60">
        <f t="shared" si="13"/>
        <v>2023</v>
      </c>
      <c r="N318" s="60">
        <f t="shared" si="14"/>
        <v>2</v>
      </c>
    </row>
    <row r="319" customHeight="1" spans="2:14">
      <c r="B319" s="86">
        <v>317</v>
      </c>
      <c r="C319" s="128">
        <v>44967</v>
      </c>
      <c r="D319" s="87" t="s">
        <v>278</v>
      </c>
      <c r="E319" s="60" t="str">
        <f>IFERROR(VLOOKUP(D319,'基础-领用人及部门'!$C:$D,2,FALSE),"-")</f>
        <v>综合办</v>
      </c>
      <c r="F319" s="87" t="s">
        <v>239</v>
      </c>
      <c r="G319" s="60" t="str">
        <f>IFERROR(VLOOKUP($F319,'基础-办公用品信息'!$C:$E,2,FALSE),"-")</f>
        <v>个</v>
      </c>
      <c r="H319" s="60">
        <f>IFERROR(VLOOKUP($F319,'基础-办公用品信息'!$C:$E,3,FALSE),"-")</f>
        <v>0</v>
      </c>
      <c r="I319" s="60">
        <v>1</v>
      </c>
      <c r="J319" s="60">
        <f>IFERROR(VLOOKUP($F319,'基础-办公用品信息'!$C:$F,4,FALSE),"-")</f>
        <v>0</v>
      </c>
      <c r="K319" s="60">
        <f t="shared" si="12"/>
        <v>0</v>
      </c>
      <c r="L319" s="87"/>
      <c r="M319" s="60">
        <f t="shared" si="13"/>
        <v>2023</v>
      </c>
      <c r="N319" s="60">
        <f t="shared" si="14"/>
        <v>2</v>
      </c>
    </row>
    <row r="320" customHeight="1" spans="2:14">
      <c r="B320" s="86">
        <v>318</v>
      </c>
      <c r="C320" s="128">
        <v>44967</v>
      </c>
      <c r="D320" s="87" t="s">
        <v>278</v>
      </c>
      <c r="E320" s="60" t="str">
        <f>IFERROR(VLOOKUP(D320,'基础-领用人及部门'!$C:$D,2,FALSE),"-")</f>
        <v>综合办</v>
      </c>
      <c r="F320" s="87" t="s">
        <v>240</v>
      </c>
      <c r="G320" s="60" t="str">
        <f>IFERROR(VLOOKUP($F320,'基础-办公用品信息'!$C:$E,2,FALSE),"-")</f>
        <v>个</v>
      </c>
      <c r="H320" s="60">
        <f>IFERROR(VLOOKUP($F320,'基础-办公用品信息'!$C:$E,3,FALSE),"-")</f>
        <v>0</v>
      </c>
      <c r="I320" s="60">
        <v>1</v>
      </c>
      <c r="J320" s="60">
        <f>IFERROR(VLOOKUP($F320,'基础-办公用品信息'!$C:$F,4,FALSE),"-")</f>
        <v>0</v>
      </c>
      <c r="K320" s="60">
        <f t="shared" si="12"/>
        <v>0</v>
      </c>
      <c r="L320" s="87"/>
      <c r="M320" s="60">
        <f t="shared" si="13"/>
        <v>2023</v>
      </c>
      <c r="N320" s="60">
        <f t="shared" si="14"/>
        <v>2</v>
      </c>
    </row>
    <row r="321" customHeight="1" spans="2:14">
      <c r="B321" s="86">
        <v>319</v>
      </c>
      <c r="C321" s="128">
        <v>44967</v>
      </c>
      <c r="D321" s="87" t="s">
        <v>278</v>
      </c>
      <c r="E321" s="60" t="str">
        <f>IFERROR(VLOOKUP(D321,'基础-领用人及部门'!$C:$D,2,FALSE),"-")</f>
        <v>综合办</v>
      </c>
      <c r="F321" s="87" t="s">
        <v>241</v>
      </c>
      <c r="G321" s="60" t="str">
        <f>IFERROR(VLOOKUP($F321,'基础-办公用品信息'!$C:$E,2,FALSE),"-")</f>
        <v>个</v>
      </c>
      <c r="H321" s="60">
        <f>IFERROR(VLOOKUP($F321,'基础-办公用品信息'!$C:$E,3,FALSE),"-")</f>
        <v>0</v>
      </c>
      <c r="I321" s="60">
        <v>1</v>
      </c>
      <c r="J321" s="60">
        <f>IFERROR(VLOOKUP($F321,'基础-办公用品信息'!$C:$F,4,FALSE),"-")</f>
        <v>0</v>
      </c>
      <c r="K321" s="60">
        <f t="shared" si="12"/>
        <v>0</v>
      </c>
      <c r="L321" s="87"/>
      <c r="M321" s="60">
        <f t="shared" si="13"/>
        <v>2023</v>
      </c>
      <c r="N321" s="60">
        <f t="shared" si="14"/>
        <v>2</v>
      </c>
    </row>
    <row r="322" customHeight="1" spans="2:14">
      <c r="B322" s="86">
        <v>320</v>
      </c>
      <c r="C322" s="128">
        <v>44967</v>
      </c>
      <c r="D322" s="87" t="s">
        <v>278</v>
      </c>
      <c r="E322" s="60" t="str">
        <f>IFERROR(VLOOKUP(D322,'基础-领用人及部门'!$C:$D,2,FALSE),"-")</f>
        <v>综合办</v>
      </c>
      <c r="F322" s="87" t="s">
        <v>242</v>
      </c>
      <c r="G322" s="60" t="str">
        <f>IFERROR(VLOOKUP($F322,'基础-办公用品信息'!$C:$E,2,FALSE),"-")</f>
        <v>个</v>
      </c>
      <c r="H322" s="60">
        <f>IFERROR(VLOOKUP($F322,'基础-办公用品信息'!$C:$E,3,FALSE),"-")</f>
        <v>0</v>
      </c>
      <c r="I322" s="60">
        <v>6</v>
      </c>
      <c r="J322" s="60">
        <f>IFERROR(VLOOKUP($F322,'基础-办公用品信息'!$C:$F,4,FALSE),"-")</f>
        <v>0</v>
      </c>
      <c r="K322" s="60">
        <f t="shared" si="12"/>
        <v>0</v>
      </c>
      <c r="L322" s="87"/>
      <c r="M322" s="60">
        <f t="shared" si="13"/>
        <v>2023</v>
      </c>
      <c r="N322" s="60">
        <f t="shared" si="14"/>
        <v>2</v>
      </c>
    </row>
    <row r="323" customHeight="1" spans="2:14">
      <c r="B323" s="86">
        <v>321</v>
      </c>
      <c r="C323" s="128">
        <v>44968</v>
      </c>
      <c r="D323" s="87" t="s">
        <v>278</v>
      </c>
      <c r="E323" s="60" t="str">
        <f>IFERROR(VLOOKUP(D323,'基础-领用人及部门'!$C:$D,2,FALSE),"-")</f>
        <v>综合办</v>
      </c>
      <c r="F323" s="87" t="s">
        <v>196</v>
      </c>
      <c r="G323" s="60" t="str">
        <f>IFERROR(VLOOKUP($F323,'基础-办公用品信息'!$C:$E,2,FALSE),"-")</f>
        <v>个</v>
      </c>
      <c r="H323" s="60">
        <f>IFERROR(VLOOKUP($F323,'基础-办公用品信息'!$C:$E,3,FALSE),"-")</f>
        <v>0</v>
      </c>
      <c r="I323" s="60">
        <v>8</v>
      </c>
      <c r="J323" s="60">
        <f>IFERROR(VLOOKUP($F323,'基础-办公用品信息'!$C:$F,4,FALSE),"-")</f>
        <v>0</v>
      </c>
      <c r="K323" s="60">
        <f t="shared" ref="K323:K386" si="15">IFERROR(I323*J323,"")</f>
        <v>0</v>
      </c>
      <c r="L323" s="87"/>
      <c r="M323" s="60">
        <f t="shared" ref="M323:M386" si="16">YEAR(C323)</f>
        <v>2023</v>
      </c>
      <c r="N323" s="60">
        <f t="shared" ref="N323:N386" si="17">MONTH(C323)</f>
        <v>2</v>
      </c>
    </row>
    <row r="324" customHeight="1" spans="2:14">
      <c r="B324" s="86">
        <v>322</v>
      </c>
      <c r="C324" s="128">
        <v>44970</v>
      </c>
      <c r="D324" s="87" t="s">
        <v>294</v>
      </c>
      <c r="E324" s="60" t="str">
        <f>IFERROR(VLOOKUP(D324,'基础-领用人及部门'!$C:$D,2,FALSE),"-")</f>
        <v>财务部</v>
      </c>
      <c r="F324" s="87" t="s">
        <v>76</v>
      </c>
      <c r="G324" s="60" t="str">
        <f>IFERROR(VLOOKUP($F324,'基础-办公用品信息'!$C:$E,2,FALSE),"-")</f>
        <v>节</v>
      </c>
      <c r="H324" s="60">
        <f>IFERROR(VLOOKUP($F324,'基础-办公用品信息'!$C:$E,3,FALSE),"-")</f>
        <v>0</v>
      </c>
      <c r="I324" s="60">
        <v>8</v>
      </c>
      <c r="J324" s="60">
        <f>IFERROR(VLOOKUP($F324,'基础-办公用品信息'!$C:$F,4,FALSE),"-")</f>
        <v>0</v>
      </c>
      <c r="K324" s="60">
        <f t="shared" si="15"/>
        <v>0</v>
      </c>
      <c r="L324" s="87"/>
      <c r="M324" s="60">
        <f t="shared" si="16"/>
        <v>2023</v>
      </c>
      <c r="N324" s="60">
        <f t="shared" si="17"/>
        <v>2</v>
      </c>
    </row>
    <row r="325" customHeight="1" spans="2:14">
      <c r="B325" s="86">
        <v>323</v>
      </c>
      <c r="C325" s="128">
        <v>44970</v>
      </c>
      <c r="D325" s="87" t="s">
        <v>272</v>
      </c>
      <c r="E325" s="60" t="str">
        <f>IFERROR(VLOOKUP(D325,'基础-领用人及部门'!$C:$D,2,FALSE),"-")</f>
        <v>综合办</v>
      </c>
      <c r="F325" s="87" t="s">
        <v>33</v>
      </c>
      <c r="G325" s="60" t="str">
        <f>IFERROR(VLOOKUP($F325,'基础-办公用品信息'!$C:$E,2,FALSE),"-")</f>
        <v>本</v>
      </c>
      <c r="H325" s="60">
        <f>IFERROR(VLOOKUP($F325,'基础-办公用品信息'!$C:$E,3,FALSE),"-")</f>
        <v>0</v>
      </c>
      <c r="I325" s="60">
        <v>20</v>
      </c>
      <c r="J325" s="60">
        <f>IFERROR(VLOOKUP($F325,'基础-办公用品信息'!$C:$F,4,FALSE),"-")</f>
        <v>0.55</v>
      </c>
      <c r="K325" s="60">
        <f t="shared" si="15"/>
        <v>11</v>
      </c>
      <c r="L325" s="87"/>
      <c r="M325" s="60">
        <f t="shared" si="16"/>
        <v>2023</v>
      </c>
      <c r="N325" s="60">
        <f t="shared" si="17"/>
        <v>2</v>
      </c>
    </row>
    <row r="326" customHeight="1" spans="2:14">
      <c r="B326" s="86">
        <v>324</v>
      </c>
      <c r="C326" s="128">
        <v>44970</v>
      </c>
      <c r="D326" s="87" t="s">
        <v>286</v>
      </c>
      <c r="E326" s="60" t="str">
        <f>IFERROR(VLOOKUP(D326,'基础-领用人及部门'!$C:$D,2,FALSE),"-")</f>
        <v>综合办</v>
      </c>
      <c r="F326" s="87" t="s">
        <v>57</v>
      </c>
      <c r="G326" s="60" t="str">
        <f>IFERROR(VLOOKUP($F326,'基础-办公用品信息'!$C:$E,2,FALSE),"-")</f>
        <v>把</v>
      </c>
      <c r="H326" s="60">
        <f>IFERROR(VLOOKUP($F326,'基础-办公用品信息'!$C:$E,3,FALSE),"-")</f>
        <v>0</v>
      </c>
      <c r="I326" s="60">
        <v>1</v>
      </c>
      <c r="J326" s="60">
        <f>IFERROR(VLOOKUP($F326,'基础-办公用品信息'!$C:$F,4,FALSE),"-")</f>
        <v>0</v>
      </c>
      <c r="K326" s="60">
        <f t="shared" si="15"/>
        <v>0</v>
      </c>
      <c r="L326" s="87"/>
      <c r="M326" s="60">
        <f t="shared" si="16"/>
        <v>2023</v>
      </c>
      <c r="N326" s="60">
        <f t="shared" si="17"/>
        <v>2</v>
      </c>
    </row>
    <row r="327" customHeight="1" spans="2:14">
      <c r="B327" s="86">
        <v>325</v>
      </c>
      <c r="C327" s="128">
        <v>44970</v>
      </c>
      <c r="D327" s="87" t="s">
        <v>286</v>
      </c>
      <c r="E327" s="60" t="str">
        <f>IFERROR(VLOOKUP(D327,'基础-领用人及部门'!$C:$D,2,FALSE),"-")</f>
        <v>综合办</v>
      </c>
      <c r="F327" s="87" t="s">
        <v>59</v>
      </c>
      <c r="G327" s="60" t="str">
        <f>IFERROR(VLOOKUP($F327,'基础-办公用品信息'!$C:$E,2,FALSE),"-")</f>
        <v>把</v>
      </c>
      <c r="H327" s="60">
        <f>IFERROR(VLOOKUP($F327,'基础-办公用品信息'!$C:$E,3,FALSE),"-")</f>
        <v>0</v>
      </c>
      <c r="I327" s="60">
        <v>1</v>
      </c>
      <c r="J327" s="60">
        <f>IFERROR(VLOOKUP($F327,'基础-办公用品信息'!$C:$F,4,FALSE),"-")</f>
        <v>3.5</v>
      </c>
      <c r="K327" s="60">
        <f t="shared" si="15"/>
        <v>3.5</v>
      </c>
      <c r="L327" s="87"/>
      <c r="M327" s="60">
        <f t="shared" si="16"/>
        <v>2023</v>
      </c>
      <c r="N327" s="60">
        <f t="shared" si="17"/>
        <v>2</v>
      </c>
    </row>
    <row r="328" customHeight="1" spans="2:14">
      <c r="B328" s="86">
        <v>326</v>
      </c>
      <c r="C328" s="128">
        <v>44970</v>
      </c>
      <c r="D328" s="87" t="s">
        <v>286</v>
      </c>
      <c r="E328" s="60" t="str">
        <f>IFERROR(VLOOKUP(D328,'基础-领用人及部门'!$C:$D,2,FALSE),"-")</f>
        <v>综合办</v>
      </c>
      <c r="F328" s="87" t="s">
        <v>41</v>
      </c>
      <c r="G328" s="60" t="str">
        <f>IFERROR(VLOOKUP($F328,'基础-办公用品信息'!$C:$E,2,FALSE),"-")</f>
        <v>支</v>
      </c>
      <c r="H328" s="60">
        <f>IFERROR(VLOOKUP($F328,'基础-办公用品信息'!$C:$E,3,FALSE),"-")</f>
        <v>0</v>
      </c>
      <c r="I328" s="60">
        <v>12</v>
      </c>
      <c r="J328" s="60">
        <f>IFERROR(VLOOKUP($F328,'基础-办公用品信息'!$C:$F,4,FALSE),"-")</f>
        <v>1.3</v>
      </c>
      <c r="K328" s="60">
        <f t="shared" si="15"/>
        <v>15.6</v>
      </c>
      <c r="L328" s="87"/>
      <c r="M328" s="60">
        <f t="shared" si="16"/>
        <v>2023</v>
      </c>
      <c r="N328" s="60">
        <f t="shared" si="17"/>
        <v>2</v>
      </c>
    </row>
    <row r="329" customHeight="1" spans="2:14">
      <c r="B329" s="86">
        <v>327</v>
      </c>
      <c r="C329" s="128">
        <v>44972</v>
      </c>
      <c r="D329" s="87" t="s">
        <v>286</v>
      </c>
      <c r="E329" s="60" t="str">
        <f>IFERROR(VLOOKUP(D329,'基础-领用人及部门'!$C:$D,2,FALSE),"-")</f>
        <v>综合办</v>
      </c>
      <c r="F329" s="87" t="s">
        <v>41</v>
      </c>
      <c r="G329" s="60" t="str">
        <f>IFERROR(VLOOKUP($F329,'基础-办公用品信息'!$C:$E,2,FALSE),"-")</f>
        <v>支</v>
      </c>
      <c r="H329" s="60">
        <f>IFERROR(VLOOKUP($F329,'基础-办公用品信息'!$C:$E,3,FALSE),"-")</f>
        <v>0</v>
      </c>
      <c r="I329" s="60">
        <v>12</v>
      </c>
      <c r="J329" s="60">
        <f>IFERROR(VLOOKUP($F329,'基础-办公用品信息'!$C:$F,4,FALSE),"-")</f>
        <v>1.3</v>
      </c>
      <c r="K329" s="60">
        <f t="shared" si="15"/>
        <v>15.6</v>
      </c>
      <c r="L329" s="87" t="s">
        <v>370</v>
      </c>
      <c r="M329" s="60">
        <f t="shared" si="16"/>
        <v>2023</v>
      </c>
      <c r="N329" s="60">
        <f t="shared" si="17"/>
        <v>2</v>
      </c>
    </row>
    <row r="330" customHeight="1" spans="2:14">
      <c r="B330" s="86">
        <v>328</v>
      </c>
      <c r="C330" s="128">
        <v>44972</v>
      </c>
      <c r="D330" s="87" t="s">
        <v>286</v>
      </c>
      <c r="E330" s="60" t="str">
        <f>IFERROR(VLOOKUP(D330,'基础-领用人及部门'!$C:$D,2,FALSE),"-")</f>
        <v>综合办</v>
      </c>
      <c r="F330" s="87" t="s">
        <v>111</v>
      </c>
      <c r="G330" s="60" t="str">
        <f>IFERROR(VLOOKUP($F330,'基础-办公用品信息'!$C:$E,2,FALSE),"-")</f>
        <v>包</v>
      </c>
      <c r="H330" s="60">
        <f>IFERROR(VLOOKUP($F330,'基础-办公用品信息'!$C:$E,3,FALSE),"-")</f>
        <v>0</v>
      </c>
      <c r="I330" s="60">
        <v>5</v>
      </c>
      <c r="J330" s="60">
        <f>IFERROR(VLOOKUP($F330,'基础-办公用品信息'!$C:$F,4,FALSE),"-")</f>
        <v>0.3</v>
      </c>
      <c r="K330" s="60">
        <f t="shared" si="15"/>
        <v>1.5</v>
      </c>
      <c r="L330" s="87"/>
      <c r="M330" s="60">
        <f t="shared" si="16"/>
        <v>2023</v>
      </c>
      <c r="N330" s="60">
        <f t="shared" si="17"/>
        <v>2</v>
      </c>
    </row>
    <row r="331" customHeight="1" spans="2:14">
      <c r="B331" s="86">
        <v>329</v>
      </c>
      <c r="C331" s="128">
        <v>44972</v>
      </c>
      <c r="D331" s="87" t="s">
        <v>286</v>
      </c>
      <c r="E331" s="60" t="str">
        <f>IFERROR(VLOOKUP(D331,'基础-领用人及部门'!$C:$D,2,FALSE),"-")</f>
        <v>综合办</v>
      </c>
      <c r="F331" s="87" t="s">
        <v>66</v>
      </c>
      <c r="G331" s="60" t="str">
        <f>IFERROR(VLOOKUP($F331,'基础-办公用品信息'!$C:$E,2,FALSE),"-")</f>
        <v>个</v>
      </c>
      <c r="H331" s="60">
        <f>IFERROR(VLOOKUP($F331,'基础-办公用品信息'!$C:$E,3,FALSE),"-")</f>
        <v>0</v>
      </c>
      <c r="I331" s="60">
        <v>1</v>
      </c>
      <c r="J331" s="60">
        <f>IFERROR(VLOOKUP($F331,'基础-办公用品信息'!$C:$F,4,FALSE),"-")</f>
        <v>4</v>
      </c>
      <c r="K331" s="60">
        <f t="shared" si="15"/>
        <v>4</v>
      </c>
      <c r="L331" s="87" t="s">
        <v>337</v>
      </c>
      <c r="M331" s="60">
        <f t="shared" si="16"/>
        <v>2023</v>
      </c>
      <c r="N331" s="60">
        <f t="shared" si="17"/>
        <v>2</v>
      </c>
    </row>
    <row r="332" customHeight="1" spans="2:14">
      <c r="B332" s="86">
        <v>330</v>
      </c>
      <c r="C332" s="128">
        <v>44972</v>
      </c>
      <c r="D332" s="87" t="s">
        <v>286</v>
      </c>
      <c r="E332" s="60" t="str">
        <f>IFERROR(VLOOKUP(D332,'基础-领用人及部门'!$C:$D,2,FALSE),"-")</f>
        <v>综合办</v>
      </c>
      <c r="F332" s="87" t="s">
        <v>112</v>
      </c>
      <c r="G332" s="60" t="str">
        <f>IFERROR(VLOOKUP($F332,'基础-办公用品信息'!$C:$E,2,FALSE),"-")</f>
        <v>筒</v>
      </c>
      <c r="H332" s="60">
        <f>IFERROR(VLOOKUP($F332,'基础-办公用品信息'!$C:$E,3,FALSE),"-")</f>
        <v>0</v>
      </c>
      <c r="I332" s="60">
        <v>2</v>
      </c>
      <c r="J332" s="60">
        <f>IFERROR(VLOOKUP($F332,'基础-办公用品信息'!$C:$F,4,FALSE),"-")</f>
        <v>0.2</v>
      </c>
      <c r="K332" s="60">
        <f t="shared" si="15"/>
        <v>0.4</v>
      </c>
      <c r="L332" s="87" t="s">
        <v>371</v>
      </c>
      <c r="M332" s="60">
        <f t="shared" si="16"/>
        <v>2023</v>
      </c>
      <c r="N332" s="60">
        <f t="shared" si="17"/>
        <v>2</v>
      </c>
    </row>
    <row r="333" customHeight="1" spans="2:14">
      <c r="B333" s="86">
        <v>331</v>
      </c>
      <c r="C333" s="128">
        <v>44972</v>
      </c>
      <c r="D333" s="87" t="s">
        <v>347</v>
      </c>
      <c r="E333" s="60" t="str">
        <f>IFERROR(VLOOKUP(D333,'基础-领用人及部门'!$C:$D,2,FALSE),"-")</f>
        <v>中盛广场物业</v>
      </c>
      <c r="F333" s="87" t="s">
        <v>11</v>
      </c>
      <c r="G333" s="60" t="str">
        <f>IFERROR(VLOOKUP($F333,'基础-办公用品信息'!$C:$E,2,FALSE),"-")</f>
        <v>包</v>
      </c>
      <c r="H333" s="60">
        <f>IFERROR(VLOOKUP($F333,'基础-办公用品信息'!$C:$E,3,FALSE),"-")</f>
        <v>0</v>
      </c>
      <c r="I333" s="60">
        <v>4</v>
      </c>
      <c r="J333" s="60">
        <f>IFERROR(VLOOKUP($F333,'基础-办公用品信息'!$C:$F,4,FALSE),"-")</f>
        <v>175</v>
      </c>
      <c r="K333" s="60">
        <f t="shared" si="15"/>
        <v>700</v>
      </c>
      <c r="L333" s="87"/>
      <c r="M333" s="60">
        <f t="shared" si="16"/>
        <v>2023</v>
      </c>
      <c r="N333" s="60">
        <f t="shared" si="17"/>
        <v>2</v>
      </c>
    </row>
    <row r="334" customHeight="1" spans="2:14">
      <c r="B334" s="86">
        <v>332</v>
      </c>
      <c r="C334" s="128">
        <v>44972</v>
      </c>
      <c r="D334" s="87" t="s">
        <v>286</v>
      </c>
      <c r="E334" s="60" t="str">
        <f>IFERROR(VLOOKUP(D334,'基础-领用人及部门'!$C:$D,2,FALSE),"-")</f>
        <v>综合办</v>
      </c>
      <c r="F334" s="87" t="s">
        <v>11</v>
      </c>
      <c r="G334" s="60" t="str">
        <f>IFERROR(VLOOKUP($F334,'基础-办公用品信息'!$C:$E,2,FALSE),"-")</f>
        <v>包</v>
      </c>
      <c r="H334" s="60">
        <f>IFERROR(VLOOKUP($F334,'基础-办公用品信息'!$C:$E,3,FALSE),"-")</f>
        <v>0</v>
      </c>
      <c r="I334" s="60">
        <v>4</v>
      </c>
      <c r="J334" s="60">
        <f>IFERROR(VLOOKUP($F334,'基础-办公用品信息'!$C:$F,4,FALSE),"-")</f>
        <v>175</v>
      </c>
      <c r="K334" s="60">
        <f t="shared" si="15"/>
        <v>700</v>
      </c>
      <c r="L334" s="87"/>
      <c r="M334" s="60">
        <f t="shared" si="16"/>
        <v>2023</v>
      </c>
      <c r="N334" s="60">
        <f t="shared" si="17"/>
        <v>2</v>
      </c>
    </row>
    <row r="335" customHeight="1" spans="2:14">
      <c r="B335" s="86">
        <v>333</v>
      </c>
      <c r="C335" s="128">
        <v>44972</v>
      </c>
      <c r="D335" s="87" t="s">
        <v>272</v>
      </c>
      <c r="E335" s="60" t="str">
        <f>IFERROR(VLOOKUP(D335,'基础-领用人及部门'!$C:$D,2,FALSE),"-")</f>
        <v>综合办</v>
      </c>
      <c r="F335" s="87" t="s">
        <v>73</v>
      </c>
      <c r="G335" s="60" t="str">
        <f>IFERROR(VLOOKUP($F335,'基础-办公用品信息'!$C:$E,2,FALSE),"-")</f>
        <v>个</v>
      </c>
      <c r="H335" s="60">
        <f>IFERROR(VLOOKUP($F335,'基础-办公用品信息'!$C:$E,3,FALSE),"-")</f>
        <v>0</v>
      </c>
      <c r="I335" s="60">
        <v>1</v>
      </c>
      <c r="J335" s="60">
        <f>IFERROR(VLOOKUP($F335,'基础-办公用品信息'!$C:$F,4,FALSE),"-")</f>
        <v>0</v>
      </c>
      <c r="K335" s="60">
        <f t="shared" si="15"/>
        <v>0</v>
      </c>
      <c r="L335" s="87"/>
      <c r="M335" s="60">
        <f t="shared" si="16"/>
        <v>2023</v>
      </c>
      <c r="N335" s="60">
        <f t="shared" si="17"/>
        <v>2</v>
      </c>
    </row>
    <row r="336" customHeight="1" spans="2:14">
      <c r="B336" s="86">
        <v>334</v>
      </c>
      <c r="C336" s="128">
        <v>44973</v>
      </c>
      <c r="D336" s="87" t="s">
        <v>286</v>
      </c>
      <c r="E336" s="60" t="str">
        <f>IFERROR(VLOOKUP(D336,'基础-领用人及部门'!$C:$D,2,FALSE),"-")</f>
        <v>综合办</v>
      </c>
      <c r="F336" s="87" t="s">
        <v>103</v>
      </c>
      <c r="G336" s="60" t="str">
        <f>IFERROR(VLOOKUP($F336,'基础-办公用品信息'!$C:$E,2,FALSE),"-")</f>
        <v>本</v>
      </c>
      <c r="H336" s="60">
        <f>IFERROR(VLOOKUP($F336,'基础-办公用品信息'!$C:$E,3,FALSE),"-")</f>
        <v>0</v>
      </c>
      <c r="I336" s="60">
        <v>2</v>
      </c>
      <c r="J336" s="60">
        <f>IFERROR(VLOOKUP($F336,'基础-办公用品信息'!$C:$F,4,FALSE),"-")</f>
        <v>0</v>
      </c>
      <c r="K336" s="60">
        <f t="shared" si="15"/>
        <v>0</v>
      </c>
      <c r="L336" s="87"/>
      <c r="M336" s="60">
        <f t="shared" si="16"/>
        <v>2023</v>
      </c>
      <c r="N336" s="60">
        <f t="shared" si="17"/>
        <v>2</v>
      </c>
    </row>
    <row r="337" customHeight="1" spans="2:14">
      <c r="B337" s="86">
        <v>335</v>
      </c>
      <c r="C337" s="128">
        <v>44973</v>
      </c>
      <c r="D337" s="87" t="s">
        <v>280</v>
      </c>
      <c r="E337" s="60" t="str">
        <f>IFERROR(VLOOKUP(D337,'基础-领用人及部门'!$C:$D,2,FALSE),"-")</f>
        <v>综合办</v>
      </c>
      <c r="F337" s="87" t="s">
        <v>157</v>
      </c>
      <c r="G337" s="60" t="str">
        <f>IFERROR(VLOOKUP($F337,'基础-办公用品信息'!$C:$E,2,FALSE),"-")</f>
        <v>本</v>
      </c>
      <c r="H337" s="60">
        <f>IFERROR(VLOOKUP($F337,'基础-办公用品信息'!$C:$E,3,FALSE),"-")</f>
        <v>0</v>
      </c>
      <c r="I337" s="60">
        <v>7</v>
      </c>
      <c r="J337" s="60">
        <f>IFERROR(VLOOKUP($F337,'基础-办公用品信息'!$C:$F,4,FALSE),"-")</f>
        <v>1.5</v>
      </c>
      <c r="K337" s="60">
        <f t="shared" si="15"/>
        <v>10.5</v>
      </c>
      <c r="L337" s="87"/>
      <c r="M337" s="60">
        <f t="shared" si="16"/>
        <v>2023</v>
      </c>
      <c r="N337" s="60">
        <f t="shared" si="17"/>
        <v>2</v>
      </c>
    </row>
    <row r="338" customHeight="1" spans="2:14">
      <c r="B338" s="86">
        <v>336</v>
      </c>
      <c r="C338" s="128">
        <v>44973</v>
      </c>
      <c r="D338" s="87" t="s">
        <v>280</v>
      </c>
      <c r="E338" s="60" t="str">
        <f>IFERROR(VLOOKUP(D338,'基础-领用人及部门'!$C:$D,2,FALSE),"-")</f>
        <v>综合办</v>
      </c>
      <c r="F338" s="87" t="s">
        <v>111</v>
      </c>
      <c r="G338" s="60" t="str">
        <f>IFERROR(VLOOKUP($F338,'基础-办公用品信息'!$C:$E,2,FALSE),"-")</f>
        <v>包</v>
      </c>
      <c r="H338" s="60">
        <f>IFERROR(VLOOKUP($F338,'基础-办公用品信息'!$C:$E,3,FALSE),"-")</f>
        <v>0</v>
      </c>
      <c r="I338" s="60">
        <v>5</v>
      </c>
      <c r="J338" s="60">
        <f>IFERROR(VLOOKUP($F338,'基础-办公用品信息'!$C:$F,4,FALSE),"-")</f>
        <v>0.3</v>
      </c>
      <c r="K338" s="60">
        <f t="shared" si="15"/>
        <v>1.5</v>
      </c>
      <c r="L338" s="87"/>
      <c r="M338" s="60">
        <f t="shared" si="16"/>
        <v>2023</v>
      </c>
      <c r="N338" s="60">
        <f t="shared" si="17"/>
        <v>2</v>
      </c>
    </row>
    <row r="339" customHeight="1" spans="2:14">
      <c r="B339" s="86">
        <v>337</v>
      </c>
      <c r="C339" s="128">
        <v>44977</v>
      </c>
      <c r="D339" s="87" t="s">
        <v>321</v>
      </c>
      <c r="E339" s="60" t="str">
        <f>IFERROR(VLOOKUP(D339,'基础-领用人及部门'!$C:$D,2,FALSE),"-")</f>
        <v>销售部</v>
      </c>
      <c r="F339" s="87" t="s">
        <v>76</v>
      </c>
      <c r="G339" s="60" t="str">
        <f>IFERROR(VLOOKUP($F339,'基础-办公用品信息'!$C:$E,2,FALSE),"-")</f>
        <v>节</v>
      </c>
      <c r="H339" s="60">
        <f>IFERROR(VLOOKUP($F339,'基础-办公用品信息'!$C:$E,3,FALSE),"-")</f>
        <v>0</v>
      </c>
      <c r="I339" s="60">
        <v>8</v>
      </c>
      <c r="J339" s="60">
        <f>IFERROR(VLOOKUP($F339,'基础-办公用品信息'!$C:$F,4,FALSE),"-")</f>
        <v>0</v>
      </c>
      <c r="K339" s="60">
        <f t="shared" si="15"/>
        <v>0</v>
      </c>
      <c r="L339" s="87" t="s">
        <v>372</v>
      </c>
      <c r="M339" s="60">
        <f t="shared" si="16"/>
        <v>2023</v>
      </c>
      <c r="N339" s="60">
        <f t="shared" si="17"/>
        <v>2</v>
      </c>
    </row>
    <row r="340" customHeight="1" spans="2:14">
      <c r="B340" s="86">
        <v>338</v>
      </c>
      <c r="C340" s="128">
        <v>44977</v>
      </c>
      <c r="D340" s="87" t="s">
        <v>336</v>
      </c>
      <c r="E340" s="60" t="str">
        <f>IFERROR(VLOOKUP(D340,'基础-领用人及部门'!$C:$D,2,FALSE),"-")</f>
        <v>销售部</v>
      </c>
      <c r="F340" s="87" t="s">
        <v>171</v>
      </c>
      <c r="G340" s="60" t="str">
        <f>IFERROR(VLOOKUP($F340,'基础-办公用品信息'!$C:$E,2,FALSE),"-")</f>
        <v>个</v>
      </c>
      <c r="H340" s="60">
        <f>IFERROR(VLOOKUP($F340,'基础-办公用品信息'!$C:$E,3,FALSE),"-")</f>
        <v>0</v>
      </c>
      <c r="I340" s="60">
        <v>1</v>
      </c>
      <c r="J340" s="60">
        <f>IFERROR(VLOOKUP($F340,'基础-办公用品信息'!$C:$F,4,FALSE),"-")</f>
        <v>0</v>
      </c>
      <c r="K340" s="60">
        <f t="shared" si="15"/>
        <v>0</v>
      </c>
      <c r="L340" s="87"/>
      <c r="M340" s="60">
        <f t="shared" si="16"/>
        <v>2023</v>
      </c>
      <c r="N340" s="60">
        <f t="shared" si="17"/>
        <v>2</v>
      </c>
    </row>
    <row r="341" customHeight="1" spans="2:14">
      <c r="B341" s="86">
        <v>339</v>
      </c>
      <c r="C341" s="128">
        <v>44977</v>
      </c>
      <c r="D341" s="87" t="s">
        <v>288</v>
      </c>
      <c r="E341" s="60" t="str">
        <f>IFERROR(VLOOKUP(D341,'基础-领用人及部门'!$C:$D,2,FALSE),"-")</f>
        <v>综合办</v>
      </c>
      <c r="F341" s="87" t="s">
        <v>83</v>
      </c>
      <c r="G341" s="60" t="str">
        <f>IFERROR(VLOOKUP($F341,'基础-办公用品信息'!$C:$E,2,FALSE),"-")</f>
        <v>盒</v>
      </c>
      <c r="H341" s="60">
        <f>IFERROR(VLOOKUP($F341,'基础-办公用品信息'!$C:$E,3,FALSE),"-")</f>
        <v>0</v>
      </c>
      <c r="I341" s="60">
        <v>1</v>
      </c>
      <c r="J341" s="60">
        <f>IFERROR(VLOOKUP($F341,'基础-办公用品信息'!$C:$F,4,FALSE),"-")</f>
        <v>8</v>
      </c>
      <c r="K341" s="60">
        <f t="shared" si="15"/>
        <v>8</v>
      </c>
      <c r="L341" s="87"/>
      <c r="M341" s="60">
        <f t="shared" si="16"/>
        <v>2023</v>
      </c>
      <c r="N341" s="60">
        <f t="shared" si="17"/>
        <v>2</v>
      </c>
    </row>
    <row r="342" customHeight="1" spans="2:14">
      <c r="B342" s="86">
        <v>340</v>
      </c>
      <c r="C342" s="128">
        <v>44977</v>
      </c>
      <c r="D342" s="87" t="s">
        <v>263</v>
      </c>
      <c r="E342" s="60" t="str">
        <f>IFERROR(VLOOKUP(D342,'基础-领用人及部门'!$C:$D,2,FALSE),"-")</f>
        <v>综合办</v>
      </c>
      <c r="F342" s="87" t="s">
        <v>243</v>
      </c>
      <c r="G342" s="60" t="str">
        <f>IFERROR(VLOOKUP($F342,'基础-办公用品信息'!$C:$E,2,FALSE),"-")</f>
        <v>台</v>
      </c>
      <c r="H342" s="60">
        <f>IFERROR(VLOOKUP($F342,'基础-办公用品信息'!$C:$E,3,FALSE),"-")</f>
        <v>0</v>
      </c>
      <c r="I342" s="60">
        <v>1</v>
      </c>
      <c r="J342" s="60">
        <f>IFERROR(VLOOKUP($F342,'基础-办公用品信息'!$C:$F,4,FALSE),"-")</f>
        <v>0</v>
      </c>
      <c r="K342" s="60">
        <f t="shared" si="15"/>
        <v>0</v>
      </c>
      <c r="L342" s="87"/>
      <c r="M342" s="60">
        <f t="shared" si="16"/>
        <v>2023</v>
      </c>
      <c r="N342" s="60">
        <f t="shared" si="17"/>
        <v>2</v>
      </c>
    </row>
    <row r="343" customHeight="1" spans="2:14">
      <c r="B343" s="86">
        <v>341</v>
      </c>
      <c r="C343" s="128">
        <v>44977</v>
      </c>
      <c r="D343" s="87" t="s">
        <v>263</v>
      </c>
      <c r="E343" s="60" t="str">
        <f>IFERROR(VLOOKUP(D343,'基础-领用人及部门'!$C:$D,2,FALSE),"-")</f>
        <v>综合办</v>
      </c>
      <c r="F343" s="87" t="s">
        <v>244</v>
      </c>
      <c r="G343" s="60" t="str">
        <f>IFERROR(VLOOKUP($F343,'基础-办公用品信息'!$C:$E,2,FALSE),"-")</f>
        <v>根</v>
      </c>
      <c r="H343" s="60">
        <f>IFERROR(VLOOKUP($F343,'基础-办公用品信息'!$C:$E,3,FALSE),"-")</f>
        <v>0</v>
      </c>
      <c r="I343" s="60">
        <v>1</v>
      </c>
      <c r="J343" s="60">
        <f>IFERROR(VLOOKUP($F343,'基础-办公用品信息'!$C:$F,4,FALSE),"-")</f>
        <v>0</v>
      </c>
      <c r="K343" s="60">
        <f t="shared" si="15"/>
        <v>0</v>
      </c>
      <c r="L343" s="87"/>
      <c r="M343" s="60">
        <f t="shared" si="16"/>
        <v>2023</v>
      </c>
      <c r="N343" s="60">
        <f t="shared" si="17"/>
        <v>2</v>
      </c>
    </row>
    <row r="344" customHeight="1" spans="2:14">
      <c r="B344" s="86">
        <v>342</v>
      </c>
      <c r="C344" s="128">
        <v>44977</v>
      </c>
      <c r="D344" s="87" t="s">
        <v>263</v>
      </c>
      <c r="E344" s="60" t="str">
        <f>IFERROR(VLOOKUP(D344,'基础-领用人及部门'!$C:$D,2,FALSE),"-")</f>
        <v>综合办</v>
      </c>
      <c r="F344" s="87" t="s">
        <v>245</v>
      </c>
      <c r="G344" s="60" t="str">
        <f>IFERROR(VLOOKUP($F344,'基础-办公用品信息'!$C:$E,2,FALSE),"-")</f>
        <v>个</v>
      </c>
      <c r="H344" s="60">
        <f>IFERROR(VLOOKUP($F344,'基础-办公用品信息'!$C:$E,3,FALSE),"-")</f>
        <v>0</v>
      </c>
      <c r="I344" s="60">
        <v>1</v>
      </c>
      <c r="J344" s="60">
        <f>IFERROR(VLOOKUP($F344,'基础-办公用品信息'!$C:$F,4,FALSE),"-")</f>
        <v>0</v>
      </c>
      <c r="K344" s="60">
        <f t="shared" si="15"/>
        <v>0</v>
      </c>
      <c r="L344" s="87"/>
      <c r="M344" s="60">
        <f t="shared" si="16"/>
        <v>2023</v>
      </c>
      <c r="N344" s="60">
        <f t="shared" si="17"/>
        <v>2</v>
      </c>
    </row>
    <row r="345" customHeight="1" spans="2:14">
      <c r="B345" s="86">
        <v>343</v>
      </c>
      <c r="C345" s="128">
        <v>44977</v>
      </c>
      <c r="D345" s="87" t="s">
        <v>263</v>
      </c>
      <c r="E345" s="60" t="str">
        <f>IFERROR(VLOOKUP(D345,'基础-领用人及部门'!$C:$D,2,FALSE),"-")</f>
        <v>综合办</v>
      </c>
      <c r="F345" s="87" t="s">
        <v>246</v>
      </c>
      <c r="G345" s="60" t="str">
        <f>IFERROR(VLOOKUP($F345,'基础-办公用品信息'!$C:$E,2,FALSE),"-")</f>
        <v>个</v>
      </c>
      <c r="H345" s="60">
        <f>IFERROR(VLOOKUP($F345,'基础-办公用品信息'!$C:$E,3,FALSE),"-")</f>
        <v>0</v>
      </c>
      <c r="I345" s="60">
        <v>1</v>
      </c>
      <c r="J345" s="60">
        <f>IFERROR(VLOOKUP($F345,'基础-办公用品信息'!$C:$F,4,FALSE),"-")</f>
        <v>0</v>
      </c>
      <c r="K345" s="60">
        <f t="shared" si="15"/>
        <v>0</v>
      </c>
      <c r="L345" s="87"/>
      <c r="M345" s="60">
        <f t="shared" si="16"/>
        <v>2023</v>
      </c>
      <c r="N345" s="60">
        <f t="shared" si="17"/>
        <v>2</v>
      </c>
    </row>
    <row r="346" customHeight="1" spans="2:14">
      <c r="B346" s="86">
        <v>344</v>
      </c>
      <c r="C346" s="128">
        <v>44977</v>
      </c>
      <c r="D346" s="87" t="s">
        <v>263</v>
      </c>
      <c r="E346" s="60" t="str">
        <f>IFERROR(VLOOKUP(D346,'基础-领用人及部门'!$C:$D,2,FALSE),"-")</f>
        <v>综合办</v>
      </c>
      <c r="F346" s="87" t="s">
        <v>247</v>
      </c>
      <c r="G346" s="60" t="str">
        <f>IFERROR(VLOOKUP($F346,'基础-办公用品信息'!$C:$E,2,FALSE),"-")</f>
        <v>瓶</v>
      </c>
      <c r="H346" s="60">
        <f>IFERROR(VLOOKUP($F346,'基础-办公用品信息'!$C:$E,3,FALSE),"-")</f>
        <v>0</v>
      </c>
      <c r="I346" s="60">
        <v>1</v>
      </c>
      <c r="J346" s="60">
        <f>IFERROR(VLOOKUP($F346,'基础-办公用品信息'!$C:$F,4,FALSE),"-")</f>
        <v>0</v>
      </c>
      <c r="K346" s="60">
        <f t="shared" si="15"/>
        <v>0</v>
      </c>
      <c r="L346" s="87"/>
      <c r="M346" s="60">
        <f t="shared" si="16"/>
        <v>2023</v>
      </c>
      <c r="N346" s="60">
        <f t="shared" si="17"/>
        <v>2</v>
      </c>
    </row>
    <row r="347" customHeight="1" spans="2:14">
      <c r="B347" s="86">
        <v>345</v>
      </c>
      <c r="C347" s="128">
        <v>44977</v>
      </c>
      <c r="D347" s="87" t="s">
        <v>263</v>
      </c>
      <c r="E347" s="60" t="str">
        <f>IFERROR(VLOOKUP(D347,'基础-领用人及部门'!$C:$D,2,FALSE),"-")</f>
        <v>综合办</v>
      </c>
      <c r="F347" s="87" t="s">
        <v>248</v>
      </c>
      <c r="G347" s="60" t="str">
        <f>IFERROR(VLOOKUP($F347,'基础-办公用品信息'!$C:$E,2,FALSE),"-")</f>
        <v>把</v>
      </c>
      <c r="H347" s="60">
        <f>IFERROR(VLOOKUP($F347,'基础-办公用品信息'!$C:$E,3,FALSE),"-")</f>
        <v>0</v>
      </c>
      <c r="I347" s="60">
        <v>1</v>
      </c>
      <c r="J347" s="60">
        <f>IFERROR(VLOOKUP($F347,'基础-办公用品信息'!$C:$F,4,FALSE),"-")</f>
        <v>0</v>
      </c>
      <c r="K347" s="60">
        <f t="shared" si="15"/>
        <v>0</v>
      </c>
      <c r="L347" s="87"/>
      <c r="M347" s="60">
        <f t="shared" si="16"/>
        <v>2023</v>
      </c>
      <c r="N347" s="60">
        <f t="shared" si="17"/>
        <v>2</v>
      </c>
    </row>
    <row r="348" customHeight="1" spans="2:14">
      <c r="B348" s="86">
        <v>346</v>
      </c>
      <c r="C348" s="128">
        <v>44977</v>
      </c>
      <c r="D348" s="87" t="s">
        <v>263</v>
      </c>
      <c r="E348" s="60" t="str">
        <f>IFERROR(VLOOKUP(D348,'基础-领用人及部门'!$C:$D,2,FALSE),"-")</f>
        <v>综合办</v>
      </c>
      <c r="F348" s="87" t="s">
        <v>249</v>
      </c>
      <c r="G348" s="60" t="str">
        <f>IFERROR(VLOOKUP($F348,'基础-办公用品信息'!$C:$E,2,FALSE),"-")</f>
        <v>把</v>
      </c>
      <c r="H348" s="60">
        <f>IFERROR(VLOOKUP($F348,'基础-办公用品信息'!$C:$E,3,FALSE),"-")</f>
        <v>0</v>
      </c>
      <c r="I348" s="60">
        <v>1</v>
      </c>
      <c r="J348" s="60">
        <f>IFERROR(VLOOKUP($F348,'基础-办公用品信息'!$C:$F,4,FALSE),"-")</f>
        <v>0</v>
      </c>
      <c r="K348" s="60">
        <f t="shared" si="15"/>
        <v>0</v>
      </c>
      <c r="L348" s="87"/>
      <c r="M348" s="60">
        <f t="shared" si="16"/>
        <v>2023</v>
      </c>
      <c r="N348" s="60">
        <f t="shared" si="17"/>
        <v>2</v>
      </c>
    </row>
    <row r="349" customHeight="1" spans="2:14">
      <c r="B349" s="86">
        <v>347</v>
      </c>
      <c r="C349" s="128">
        <v>44978</v>
      </c>
      <c r="D349" s="87" t="s">
        <v>295</v>
      </c>
      <c r="E349" s="60" t="str">
        <f>IFERROR(VLOOKUP(D349,'基础-领用人及部门'!$C:$D,2,FALSE),"-")</f>
        <v>财务部</v>
      </c>
      <c r="F349" s="87" t="s">
        <v>11</v>
      </c>
      <c r="G349" s="60" t="str">
        <f>IFERROR(VLOOKUP($F349,'基础-办公用品信息'!$C:$E,2,FALSE),"-")</f>
        <v>包</v>
      </c>
      <c r="H349" s="60">
        <f>IFERROR(VLOOKUP($F349,'基础-办公用品信息'!$C:$E,3,FALSE),"-")</f>
        <v>0</v>
      </c>
      <c r="I349" s="60">
        <v>16</v>
      </c>
      <c r="J349" s="60">
        <f>IFERROR(VLOOKUP($F349,'基础-办公用品信息'!$C:$F,4,FALSE),"-")</f>
        <v>175</v>
      </c>
      <c r="K349" s="60">
        <f t="shared" si="15"/>
        <v>2800</v>
      </c>
      <c r="L349" s="87"/>
      <c r="M349" s="60">
        <f t="shared" si="16"/>
        <v>2023</v>
      </c>
      <c r="N349" s="60">
        <f t="shared" si="17"/>
        <v>2</v>
      </c>
    </row>
    <row r="350" customHeight="1" spans="2:14">
      <c r="B350" s="86">
        <v>348</v>
      </c>
      <c r="C350" s="128">
        <v>44978</v>
      </c>
      <c r="D350" s="87" t="s">
        <v>286</v>
      </c>
      <c r="E350" s="60" t="str">
        <f>IFERROR(VLOOKUP(D350,'基础-领用人及部门'!$C:$D,2,FALSE),"-")</f>
        <v>综合办</v>
      </c>
      <c r="F350" s="87" t="s">
        <v>41</v>
      </c>
      <c r="G350" s="60" t="str">
        <f>IFERROR(VLOOKUP($F350,'基础-办公用品信息'!$C:$E,2,FALSE),"-")</f>
        <v>支</v>
      </c>
      <c r="H350" s="60">
        <f>IFERROR(VLOOKUP($F350,'基础-办公用品信息'!$C:$E,3,FALSE),"-")</f>
        <v>0</v>
      </c>
      <c r="I350" s="60">
        <v>10</v>
      </c>
      <c r="J350" s="60">
        <f>IFERROR(VLOOKUP($F350,'基础-办公用品信息'!$C:$F,4,FALSE),"-")</f>
        <v>1.3</v>
      </c>
      <c r="K350" s="60">
        <f t="shared" si="15"/>
        <v>13</v>
      </c>
      <c r="L350" s="87" t="s">
        <v>373</v>
      </c>
      <c r="M350" s="60">
        <f t="shared" si="16"/>
        <v>2023</v>
      </c>
      <c r="N350" s="60">
        <f t="shared" si="17"/>
        <v>2</v>
      </c>
    </row>
    <row r="351" customHeight="1" spans="2:14">
      <c r="B351" s="86">
        <v>349</v>
      </c>
      <c r="C351" s="128">
        <v>44978</v>
      </c>
      <c r="D351" s="87" t="s">
        <v>333</v>
      </c>
      <c r="E351" s="60" t="str">
        <f>IFERROR(VLOOKUP(D351,'基础-领用人及部门'!$C:$D,2,FALSE),"-")</f>
        <v>综合办</v>
      </c>
      <c r="F351" s="87" t="s">
        <v>255</v>
      </c>
      <c r="G351" s="60" t="str">
        <f>IFERROR(VLOOKUP($F351,'基础-办公用品信息'!$C:$E,2,FALSE),"-")</f>
        <v>瓶</v>
      </c>
      <c r="H351" s="60">
        <f>IFERROR(VLOOKUP($F351,'基础-办公用品信息'!$C:$E,3,FALSE),"-")</f>
        <v>0</v>
      </c>
      <c r="I351" s="60">
        <v>1</v>
      </c>
      <c r="J351" s="60">
        <f>IFERROR(VLOOKUP($F351,'基础-办公用品信息'!$C:$F,4,FALSE),"-")</f>
        <v>0</v>
      </c>
      <c r="K351" s="60">
        <f t="shared" si="15"/>
        <v>0</v>
      </c>
      <c r="L351" s="87"/>
      <c r="M351" s="60">
        <f t="shared" si="16"/>
        <v>2023</v>
      </c>
      <c r="N351" s="60">
        <f t="shared" si="17"/>
        <v>2</v>
      </c>
    </row>
    <row r="352" customHeight="1" spans="2:14">
      <c r="B352" s="86">
        <v>350</v>
      </c>
      <c r="C352" s="128">
        <v>44978</v>
      </c>
      <c r="D352" s="87" t="s">
        <v>333</v>
      </c>
      <c r="E352" s="60" t="str">
        <f>IFERROR(VLOOKUP(D352,'基础-领用人及部门'!$C:$D,2,FALSE),"-")</f>
        <v>综合办</v>
      </c>
      <c r="F352" s="87" t="s">
        <v>165</v>
      </c>
      <c r="G352" s="60" t="str">
        <f>IFERROR(VLOOKUP($F352,'基础-办公用品信息'!$C:$E,2,FALSE),"-")</f>
        <v>打</v>
      </c>
      <c r="H352" s="60">
        <f>IFERROR(VLOOKUP($F352,'基础-办公用品信息'!$C:$E,3,FALSE),"-")</f>
        <v>0</v>
      </c>
      <c r="I352" s="60">
        <v>1</v>
      </c>
      <c r="J352" s="60">
        <f>IFERROR(VLOOKUP($F352,'基础-办公用品信息'!$C:$F,4,FALSE),"-")</f>
        <v>0</v>
      </c>
      <c r="K352" s="60">
        <f t="shared" si="15"/>
        <v>0</v>
      </c>
      <c r="L352" s="87"/>
      <c r="M352" s="60">
        <f t="shared" si="16"/>
        <v>2023</v>
      </c>
      <c r="N352" s="60">
        <f t="shared" si="17"/>
        <v>2</v>
      </c>
    </row>
    <row r="353" customHeight="1" spans="2:14">
      <c r="B353" s="86">
        <v>351</v>
      </c>
      <c r="C353" s="128">
        <v>44978</v>
      </c>
      <c r="D353" s="87" t="s">
        <v>333</v>
      </c>
      <c r="E353" s="60" t="str">
        <f>IFERROR(VLOOKUP(D353,'基础-领用人及部门'!$C:$D,2,FALSE),"-")</f>
        <v>综合办</v>
      </c>
      <c r="F353" s="87" t="s">
        <v>250</v>
      </c>
      <c r="G353" s="60" t="str">
        <f>IFERROR(VLOOKUP($F353,'基础-办公用品信息'!$C:$E,2,FALSE),"-")</f>
        <v>个 </v>
      </c>
      <c r="H353" s="60">
        <f>IFERROR(VLOOKUP($F353,'基础-办公用品信息'!$C:$E,3,FALSE),"-")</f>
        <v>0</v>
      </c>
      <c r="I353" s="60">
        <v>20</v>
      </c>
      <c r="J353" s="60">
        <f>IFERROR(VLOOKUP($F353,'基础-办公用品信息'!$C:$F,4,FALSE),"-")</f>
        <v>0</v>
      </c>
      <c r="K353" s="60">
        <f t="shared" si="15"/>
        <v>0</v>
      </c>
      <c r="L353" s="87"/>
      <c r="M353" s="60">
        <f t="shared" si="16"/>
        <v>2023</v>
      </c>
      <c r="N353" s="60">
        <f t="shared" si="17"/>
        <v>2</v>
      </c>
    </row>
    <row r="354" customHeight="1" spans="2:14">
      <c r="B354" s="86">
        <v>352</v>
      </c>
      <c r="C354" s="128">
        <v>44979</v>
      </c>
      <c r="D354" s="87" t="s">
        <v>334</v>
      </c>
      <c r="E354" s="60" t="str">
        <f>IFERROR(VLOOKUP(D354,'基础-领用人及部门'!$C:$D,2,FALSE),"-")</f>
        <v>综合办</v>
      </c>
      <c r="F354" s="87" t="s">
        <v>190</v>
      </c>
      <c r="G354" s="60" t="str">
        <f>IFERROR(VLOOKUP($F354,'基础-办公用品信息'!$C:$E,2,FALSE),"-")</f>
        <v>卷</v>
      </c>
      <c r="H354" s="60">
        <f>IFERROR(VLOOKUP($F354,'基础-办公用品信息'!$C:$E,3,FALSE),"-")</f>
        <v>0</v>
      </c>
      <c r="I354" s="60">
        <v>30</v>
      </c>
      <c r="J354" s="60">
        <f>IFERROR(VLOOKUP($F354,'基础-办公用品信息'!$C:$F,4,FALSE),"-")</f>
        <v>0</v>
      </c>
      <c r="K354" s="60">
        <f t="shared" si="15"/>
        <v>0</v>
      </c>
      <c r="L354" s="87"/>
      <c r="M354" s="60">
        <f t="shared" si="16"/>
        <v>2023</v>
      </c>
      <c r="N354" s="60">
        <f t="shared" si="17"/>
        <v>2</v>
      </c>
    </row>
    <row r="355" customHeight="1" spans="2:14">
      <c r="B355" s="86">
        <v>353</v>
      </c>
      <c r="C355" s="128">
        <v>44979</v>
      </c>
      <c r="D355" s="87" t="s">
        <v>334</v>
      </c>
      <c r="E355" s="60" t="str">
        <f>IFERROR(VLOOKUP(D355,'基础-领用人及部门'!$C:$D,2,FALSE),"-")</f>
        <v>综合办</v>
      </c>
      <c r="F355" s="87" t="s">
        <v>224</v>
      </c>
      <c r="G355" s="60" t="str">
        <f>IFERROR(VLOOKUP($F355,'基础-办公用品信息'!$C:$E,2,FALSE),"-")</f>
        <v>个</v>
      </c>
      <c r="H355" s="60">
        <f>IFERROR(VLOOKUP($F355,'基础-办公用品信息'!$C:$E,3,FALSE),"-")</f>
        <v>0</v>
      </c>
      <c r="I355" s="60">
        <v>2</v>
      </c>
      <c r="J355" s="60">
        <f>IFERROR(VLOOKUP($F355,'基础-办公用品信息'!$C:$F,4,FALSE),"-")</f>
        <v>0</v>
      </c>
      <c r="K355" s="60">
        <f t="shared" si="15"/>
        <v>0</v>
      </c>
      <c r="L355" s="87"/>
      <c r="M355" s="60">
        <f t="shared" si="16"/>
        <v>2023</v>
      </c>
      <c r="N355" s="60">
        <f t="shared" si="17"/>
        <v>2</v>
      </c>
    </row>
    <row r="356" customHeight="1" spans="2:14">
      <c r="B356" s="86">
        <v>354</v>
      </c>
      <c r="C356" s="128">
        <v>44979</v>
      </c>
      <c r="D356" s="87" t="s">
        <v>286</v>
      </c>
      <c r="E356" s="60" t="str">
        <f>IFERROR(VLOOKUP(D356,'基础-领用人及部门'!$C:$D,2,FALSE),"-")</f>
        <v>综合办</v>
      </c>
      <c r="F356" s="87" t="s">
        <v>112</v>
      </c>
      <c r="G356" s="60" t="str">
        <f>IFERROR(VLOOKUP($F356,'基础-办公用品信息'!$C:$E,2,FALSE),"-")</f>
        <v>筒</v>
      </c>
      <c r="H356" s="60">
        <f>IFERROR(VLOOKUP($F356,'基础-办公用品信息'!$C:$E,3,FALSE),"-")</f>
        <v>0</v>
      </c>
      <c r="I356" s="60">
        <v>2</v>
      </c>
      <c r="J356" s="60">
        <f>IFERROR(VLOOKUP($F356,'基础-办公用品信息'!$C:$F,4,FALSE),"-")</f>
        <v>0.2</v>
      </c>
      <c r="K356" s="60">
        <f t="shared" si="15"/>
        <v>0.4</v>
      </c>
      <c r="L356" s="87"/>
      <c r="M356" s="60">
        <f t="shared" si="16"/>
        <v>2023</v>
      </c>
      <c r="N356" s="60">
        <f t="shared" si="17"/>
        <v>2</v>
      </c>
    </row>
    <row r="357" customHeight="1" spans="2:14">
      <c r="B357" s="86">
        <v>355</v>
      </c>
      <c r="C357" s="128">
        <v>44979</v>
      </c>
      <c r="D357" s="87" t="s">
        <v>286</v>
      </c>
      <c r="E357" s="60" t="str">
        <f>IFERROR(VLOOKUP(D357,'基础-领用人及部门'!$C:$D,2,FALSE),"-")</f>
        <v>综合办</v>
      </c>
      <c r="F357" s="87" t="s">
        <v>111</v>
      </c>
      <c r="G357" s="60" t="str">
        <f>IFERROR(VLOOKUP($F357,'基础-办公用品信息'!$C:$E,2,FALSE),"-")</f>
        <v>包</v>
      </c>
      <c r="H357" s="60">
        <f>IFERROR(VLOOKUP($F357,'基础-办公用品信息'!$C:$E,3,FALSE),"-")</f>
        <v>0</v>
      </c>
      <c r="I357" s="60">
        <v>3</v>
      </c>
      <c r="J357" s="60">
        <f>IFERROR(VLOOKUP($F357,'基础-办公用品信息'!$C:$F,4,FALSE),"-")</f>
        <v>0.3</v>
      </c>
      <c r="K357" s="60">
        <f t="shared" si="15"/>
        <v>0.9</v>
      </c>
      <c r="L357" s="87"/>
      <c r="M357" s="60">
        <f t="shared" si="16"/>
        <v>2023</v>
      </c>
      <c r="N357" s="60">
        <f t="shared" si="17"/>
        <v>2</v>
      </c>
    </row>
    <row r="358" customHeight="1" spans="2:14">
      <c r="B358" s="86">
        <v>356</v>
      </c>
      <c r="C358" s="128">
        <v>44981</v>
      </c>
      <c r="D358" s="87" t="s">
        <v>331</v>
      </c>
      <c r="E358" s="60" t="str">
        <f>IFERROR(VLOOKUP(D358,'基础-领用人及部门'!$C:$D,2,FALSE),"-")</f>
        <v>工程部</v>
      </c>
      <c r="F358" s="87" t="s">
        <v>44</v>
      </c>
      <c r="G358" s="60" t="str">
        <f>IFERROR(VLOOKUP($F358,'基础-办公用品信息'!$C:$E,2,FALSE),"-")</f>
        <v>支</v>
      </c>
      <c r="H358" s="60">
        <f>IFERROR(VLOOKUP($F358,'基础-办公用品信息'!$C:$E,3,FALSE),"-")</f>
        <v>0</v>
      </c>
      <c r="I358" s="60">
        <v>2</v>
      </c>
      <c r="J358" s="60">
        <f>IFERROR(VLOOKUP($F358,'基础-办公用品信息'!$C:$F,4,FALSE),"-")</f>
        <v>2</v>
      </c>
      <c r="K358" s="60">
        <f t="shared" si="15"/>
        <v>4</v>
      </c>
      <c r="L358" s="87"/>
      <c r="M358" s="60">
        <f t="shared" si="16"/>
        <v>2023</v>
      </c>
      <c r="N358" s="60">
        <f t="shared" si="17"/>
        <v>2</v>
      </c>
    </row>
    <row r="359" customHeight="1" spans="2:14">
      <c r="B359" s="86">
        <v>357</v>
      </c>
      <c r="C359" s="128">
        <v>44981</v>
      </c>
      <c r="D359" s="87" t="s">
        <v>346</v>
      </c>
      <c r="E359" s="60" t="str">
        <f>IFERROR(VLOOKUP(D359,'基础-领用人及部门'!$C:$D,2,FALSE),"-")</f>
        <v>综合办</v>
      </c>
      <c r="F359" s="87" t="s">
        <v>100</v>
      </c>
      <c r="G359" s="60" t="str">
        <f>IFERROR(VLOOKUP($F359,'基础-办公用品信息'!$C:$E,2,FALSE),"-")</f>
        <v>包</v>
      </c>
      <c r="H359" s="60">
        <f>IFERROR(VLOOKUP($F359,'基础-办公用品信息'!$C:$E,3,FALSE),"-")</f>
        <v>0</v>
      </c>
      <c r="I359" s="60">
        <v>1</v>
      </c>
      <c r="J359" s="60">
        <f>IFERROR(VLOOKUP($F359,'基础-办公用品信息'!$C:$F,4,FALSE),"-")</f>
        <v>0</v>
      </c>
      <c r="K359" s="60">
        <f t="shared" si="15"/>
        <v>0</v>
      </c>
      <c r="L359" s="87"/>
      <c r="M359" s="60">
        <f t="shared" si="16"/>
        <v>2023</v>
      </c>
      <c r="N359" s="60">
        <f t="shared" si="17"/>
        <v>2</v>
      </c>
    </row>
    <row r="360" customHeight="1" spans="2:14">
      <c r="B360" s="86">
        <v>358</v>
      </c>
      <c r="C360" s="128">
        <v>44981</v>
      </c>
      <c r="D360" s="87" t="s">
        <v>346</v>
      </c>
      <c r="E360" s="60" t="str">
        <f>IFERROR(VLOOKUP(D360,'基础-领用人及部门'!$C:$D,2,FALSE),"-")</f>
        <v>综合办</v>
      </c>
      <c r="F360" s="87" t="s">
        <v>96</v>
      </c>
      <c r="G360" s="60" t="str">
        <f>IFERROR(VLOOKUP($F360,'基础-办公用品信息'!$C:$E,2,FALSE),"-")</f>
        <v>包</v>
      </c>
      <c r="H360" s="60">
        <f>IFERROR(VLOOKUP($F360,'基础-办公用品信息'!$C:$E,3,FALSE),"-")</f>
        <v>0</v>
      </c>
      <c r="I360" s="60">
        <v>1</v>
      </c>
      <c r="J360" s="60">
        <f>IFERROR(VLOOKUP($F360,'基础-办公用品信息'!$C:$F,4,FALSE),"-")</f>
        <v>2</v>
      </c>
      <c r="K360" s="60">
        <f t="shared" si="15"/>
        <v>2</v>
      </c>
      <c r="L360" s="87"/>
      <c r="M360" s="60">
        <f t="shared" si="16"/>
        <v>2023</v>
      </c>
      <c r="N360" s="60">
        <f t="shared" si="17"/>
        <v>2</v>
      </c>
    </row>
    <row r="361" customHeight="1" spans="2:14">
      <c r="B361" s="86">
        <v>359</v>
      </c>
      <c r="C361" s="128">
        <v>44981</v>
      </c>
      <c r="D361" s="87" t="s">
        <v>346</v>
      </c>
      <c r="E361" s="60" t="str">
        <f>IFERROR(VLOOKUP(D361,'基础-领用人及部门'!$C:$D,2,FALSE),"-")</f>
        <v>综合办</v>
      </c>
      <c r="F361" s="87" t="s">
        <v>98</v>
      </c>
      <c r="G361" s="60" t="str">
        <f>IFERROR(VLOOKUP($F361,'基础-办公用品信息'!$C:$E,2,FALSE),"-")</f>
        <v>包</v>
      </c>
      <c r="H361" s="60">
        <f>IFERROR(VLOOKUP($F361,'基础-办公用品信息'!$C:$E,3,FALSE),"-")</f>
        <v>0</v>
      </c>
      <c r="I361" s="60">
        <v>1</v>
      </c>
      <c r="J361" s="60">
        <f>IFERROR(VLOOKUP($F361,'基础-办公用品信息'!$C:$F,4,FALSE),"-")</f>
        <v>0</v>
      </c>
      <c r="K361" s="60">
        <f t="shared" si="15"/>
        <v>0</v>
      </c>
      <c r="L361" s="87"/>
      <c r="M361" s="60">
        <f t="shared" si="16"/>
        <v>2023</v>
      </c>
      <c r="N361" s="60">
        <f t="shared" si="17"/>
        <v>2</v>
      </c>
    </row>
    <row r="362" customHeight="1" spans="2:14">
      <c r="B362" s="86">
        <v>360</v>
      </c>
      <c r="C362" s="128">
        <v>44981</v>
      </c>
      <c r="D362" s="87" t="s">
        <v>346</v>
      </c>
      <c r="E362" s="60" t="str">
        <f>IFERROR(VLOOKUP(D362,'基础-领用人及部门'!$C:$D,2,FALSE),"-")</f>
        <v>综合办</v>
      </c>
      <c r="F362" s="87" t="s">
        <v>65</v>
      </c>
      <c r="G362" s="60" t="str">
        <f>IFERROR(VLOOKUP($F362,'基础-办公用品信息'!$C:$E,2,FALSE),"-")</f>
        <v>个</v>
      </c>
      <c r="H362" s="60">
        <f>IFERROR(VLOOKUP($F362,'基础-办公用品信息'!$C:$E,3,FALSE),"-")</f>
        <v>0</v>
      </c>
      <c r="I362" s="60">
        <v>1</v>
      </c>
      <c r="J362" s="60">
        <f>IFERROR(VLOOKUP($F362,'基础-办公用品信息'!$C:$F,4,FALSE),"-")</f>
        <v>4</v>
      </c>
      <c r="K362" s="60">
        <f t="shared" si="15"/>
        <v>4</v>
      </c>
      <c r="L362" s="87"/>
      <c r="M362" s="60">
        <f t="shared" si="16"/>
        <v>2023</v>
      </c>
      <c r="N362" s="60">
        <f t="shared" si="17"/>
        <v>2</v>
      </c>
    </row>
    <row r="363" customHeight="1" spans="2:14">
      <c r="B363" s="86">
        <v>361</v>
      </c>
      <c r="C363" s="128">
        <v>44981</v>
      </c>
      <c r="D363" s="87" t="s">
        <v>346</v>
      </c>
      <c r="E363" s="60" t="str">
        <f>IFERROR(VLOOKUP(D363,'基础-领用人及部门'!$C:$D,2,FALSE),"-")</f>
        <v>综合办</v>
      </c>
      <c r="F363" s="87" t="s">
        <v>59</v>
      </c>
      <c r="G363" s="60" t="str">
        <f>IFERROR(VLOOKUP($F363,'基础-办公用品信息'!$C:$E,2,FALSE),"-")</f>
        <v>把</v>
      </c>
      <c r="H363" s="60">
        <f>IFERROR(VLOOKUP($F363,'基础-办公用品信息'!$C:$E,3,FALSE),"-")</f>
        <v>0</v>
      </c>
      <c r="I363" s="60">
        <v>1</v>
      </c>
      <c r="J363" s="60">
        <f>IFERROR(VLOOKUP($F363,'基础-办公用品信息'!$C:$F,4,FALSE),"-")</f>
        <v>3.5</v>
      </c>
      <c r="K363" s="60">
        <f t="shared" si="15"/>
        <v>3.5</v>
      </c>
      <c r="L363" s="87"/>
      <c r="M363" s="60">
        <f t="shared" si="16"/>
        <v>2023</v>
      </c>
      <c r="N363" s="60">
        <f t="shared" si="17"/>
        <v>2</v>
      </c>
    </row>
    <row r="364" customHeight="1" spans="2:14">
      <c r="B364" s="86">
        <v>362</v>
      </c>
      <c r="C364" s="128">
        <v>44981</v>
      </c>
      <c r="D364" s="87" t="s">
        <v>346</v>
      </c>
      <c r="E364" s="60" t="str">
        <f>IFERROR(VLOOKUP(D364,'基础-领用人及部门'!$C:$D,2,FALSE),"-")</f>
        <v>综合办</v>
      </c>
      <c r="F364" s="87" t="s">
        <v>41</v>
      </c>
      <c r="G364" s="60" t="str">
        <f>IFERROR(VLOOKUP($F364,'基础-办公用品信息'!$C:$E,2,FALSE),"-")</f>
        <v>支</v>
      </c>
      <c r="H364" s="60">
        <f>IFERROR(VLOOKUP($F364,'基础-办公用品信息'!$C:$E,3,FALSE),"-")</f>
        <v>0</v>
      </c>
      <c r="I364" s="60">
        <v>2</v>
      </c>
      <c r="J364" s="60">
        <f>IFERROR(VLOOKUP($F364,'基础-办公用品信息'!$C:$F,4,FALSE),"-")</f>
        <v>1.3</v>
      </c>
      <c r="K364" s="60">
        <f t="shared" si="15"/>
        <v>2.6</v>
      </c>
      <c r="L364" s="87"/>
      <c r="M364" s="60">
        <f t="shared" si="16"/>
        <v>2023</v>
      </c>
      <c r="N364" s="60">
        <f t="shared" si="17"/>
        <v>2</v>
      </c>
    </row>
    <row r="365" customHeight="1" spans="2:14">
      <c r="B365" s="86">
        <v>363</v>
      </c>
      <c r="C365" s="128">
        <v>44982</v>
      </c>
      <c r="D365" s="87" t="s">
        <v>331</v>
      </c>
      <c r="E365" s="60" t="str">
        <f>IFERROR(VLOOKUP(D365,'基础-领用人及部门'!$C:$D,2,FALSE),"-")</f>
        <v>工程部</v>
      </c>
      <c r="F365" s="87" t="s">
        <v>35</v>
      </c>
      <c r="G365" s="60" t="str">
        <f>IFERROR(VLOOKUP($F365,'基础-办公用品信息'!$C:$E,2,FALSE),"-")</f>
        <v>本</v>
      </c>
      <c r="H365" s="60">
        <f>IFERROR(VLOOKUP($F365,'基础-办公用品信息'!$C:$E,3,FALSE),"-")</f>
        <v>0</v>
      </c>
      <c r="I365" s="60">
        <v>8</v>
      </c>
      <c r="J365" s="60">
        <f>IFERROR(VLOOKUP($F365,'基础-办公用品信息'!$C:$F,4,FALSE),"-")</f>
        <v>5</v>
      </c>
      <c r="K365" s="60">
        <f t="shared" si="15"/>
        <v>40</v>
      </c>
      <c r="L365" s="87"/>
      <c r="M365" s="60">
        <f t="shared" si="16"/>
        <v>2023</v>
      </c>
      <c r="N365" s="60">
        <f t="shared" si="17"/>
        <v>2</v>
      </c>
    </row>
    <row r="366" customHeight="1" spans="2:14">
      <c r="B366" s="86">
        <v>364</v>
      </c>
      <c r="C366" s="128">
        <v>44982</v>
      </c>
      <c r="D366" s="87" t="s">
        <v>321</v>
      </c>
      <c r="E366" s="60" t="str">
        <f>IFERROR(VLOOKUP(D366,'基础-领用人及部门'!$C:$D,2,FALSE),"-")</f>
        <v>销售部</v>
      </c>
      <c r="F366" s="87" t="s">
        <v>41</v>
      </c>
      <c r="G366" s="60" t="str">
        <f>IFERROR(VLOOKUP($F366,'基础-办公用品信息'!$C:$E,2,FALSE),"-")</f>
        <v>支</v>
      </c>
      <c r="H366" s="60">
        <f>IFERROR(VLOOKUP($F366,'基础-办公用品信息'!$C:$E,3,FALSE),"-")</f>
        <v>0</v>
      </c>
      <c r="I366" s="60">
        <v>2</v>
      </c>
      <c r="J366" s="60">
        <f>IFERROR(VLOOKUP($F366,'基础-办公用品信息'!$C:$F,4,FALSE),"-")</f>
        <v>1.3</v>
      </c>
      <c r="K366" s="60">
        <f t="shared" si="15"/>
        <v>2.6</v>
      </c>
      <c r="L366" s="87"/>
      <c r="M366" s="60">
        <f t="shared" si="16"/>
        <v>2023</v>
      </c>
      <c r="N366" s="60">
        <f t="shared" si="17"/>
        <v>2</v>
      </c>
    </row>
    <row r="367" customHeight="1" spans="2:14">
      <c r="B367" s="86">
        <v>365</v>
      </c>
      <c r="C367" s="128">
        <v>44983</v>
      </c>
      <c r="D367" s="87" t="s">
        <v>333</v>
      </c>
      <c r="E367" s="60" t="str">
        <f>IFERROR(VLOOKUP(D367,'基础-领用人及部门'!$C:$D,2,FALSE),"-")</f>
        <v>综合办</v>
      </c>
      <c r="F367" s="87" t="s">
        <v>130</v>
      </c>
      <c r="G367" s="60" t="str">
        <f>IFERROR(VLOOKUP($F367,'基础-办公用品信息'!$C:$E,2,FALSE),"-")</f>
        <v>提</v>
      </c>
      <c r="H367" s="60">
        <f>IFERROR(VLOOKUP($F367,'基础-办公用品信息'!$C:$E,3,FALSE),"-")</f>
        <v>0</v>
      </c>
      <c r="I367" s="60">
        <v>4</v>
      </c>
      <c r="J367" s="60">
        <f>IFERROR(VLOOKUP($F367,'基础-办公用品信息'!$C:$F,4,FALSE),"-")</f>
        <v>11.5</v>
      </c>
      <c r="K367" s="60">
        <f t="shared" si="15"/>
        <v>46</v>
      </c>
      <c r="L367" s="87"/>
      <c r="M367" s="60">
        <f t="shared" si="16"/>
        <v>2023</v>
      </c>
      <c r="N367" s="60">
        <f t="shared" si="17"/>
        <v>2</v>
      </c>
    </row>
    <row r="368" customHeight="1" spans="2:14">
      <c r="B368" s="86">
        <v>366</v>
      </c>
      <c r="C368" s="128">
        <v>44984</v>
      </c>
      <c r="D368" s="87" t="s">
        <v>344</v>
      </c>
      <c r="E368" s="60" t="str">
        <f>IFERROR(VLOOKUP(D368,'基础-领用人及部门'!$C:$D,2,FALSE),"-")</f>
        <v>看门</v>
      </c>
      <c r="F368" s="87" t="s">
        <v>130</v>
      </c>
      <c r="G368" s="60" t="str">
        <f>IFERROR(VLOOKUP($F368,'基础-办公用品信息'!$C:$E,2,FALSE),"-")</f>
        <v>提</v>
      </c>
      <c r="H368" s="60">
        <f>IFERROR(VLOOKUP($F368,'基础-办公用品信息'!$C:$E,3,FALSE),"-")</f>
        <v>0</v>
      </c>
      <c r="I368" s="60">
        <v>1</v>
      </c>
      <c r="J368" s="60">
        <f>IFERROR(VLOOKUP($F368,'基础-办公用品信息'!$C:$F,4,FALSE),"-")</f>
        <v>11.5</v>
      </c>
      <c r="K368" s="60">
        <f t="shared" si="15"/>
        <v>11.5</v>
      </c>
      <c r="L368" s="87"/>
      <c r="M368" s="60">
        <f t="shared" si="16"/>
        <v>2023</v>
      </c>
      <c r="N368" s="60">
        <f t="shared" si="17"/>
        <v>2</v>
      </c>
    </row>
    <row r="369" customHeight="1" spans="2:14">
      <c r="B369" s="86">
        <v>367</v>
      </c>
      <c r="C369" s="128">
        <v>44984</v>
      </c>
      <c r="D369" s="87" t="s">
        <v>284</v>
      </c>
      <c r="E369" s="60" t="str">
        <f>IFERROR(VLOOKUP(D369,'基础-领用人及部门'!$C:$D,2,FALSE),"-")</f>
        <v>综合办</v>
      </c>
      <c r="F369" s="87" t="s">
        <v>133</v>
      </c>
      <c r="G369" s="60" t="str">
        <f>IFERROR(VLOOKUP($F369,'基础-办公用品信息'!$C:$E,2,FALSE),"-")</f>
        <v>包</v>
      </c>
      <c r="H369" s="60">
        <f>IFERROR(VLOOKUP($F369,'基础-办公用品信息'!$C:$E,3,FALSE),"-")</f>
        <v>0</v>
      </c>
      <c r="I369" s="60">
        <v>1</v>
      </c>
      <c r="J369" s="60">
        <f>IFERROR(VLOOKUP($F369,'基础-办公用品信息'!$C:$F,4,FALSE),"-")</f>
        <v>2.5</v>
      </c>
      <c r="K369" s="60">
        <f t="shared" si="15"/>
        <v>2.5</v>
      </c>
      <c r="L369" s="87"/>
      <c r="M369" s="60">
        <f t="shared" si="16"/>
        <v>2023</v>
      </c>
      <c r="N369" s="60">
        <f t="shared" si="17"/>
        <v>2</v>
      </c>
    </row>
    <row r="370" customHeight="1" spans="2:14">
      <c r="B370" s="86">
        <v>368</v>
      </c>
      <c r="C370" s="128">
        <v>44984</v>
      </c>
      <c r="D370" s="87" t="s">
        <v>282</v>
      </c>
      <c r="E370" s="60" t="str">
        <f>IFERROR(VLOOKUP(D370,'基础-领用人及部门'!$C:$D,2,FALSE),"-")</f>
        <v>综合办</v>
      </c>
      <c r="F370" s="87" t="s">
        <v>133</v>
      </c>
      <c r="G370" s="60" t="str">
        <f>IFERROR(VLOOKUP($F370,'基础-办公用品信息'!$C:$E,2,FALSE),"-")</f>
        <v>包</v>
      </c>
      <c r="H370" s="60">
        <f>IFERROR(VLOOKUP($F370,'基础-办公用品信息'!$C:$E,3,FALSE),"-")</f>
        <v>0</v>
      </c>
      <c r="I370" s="60">
        <v>10</v>
      </c>
      <c r="J370" s="60">
        <f>IFERROR(VLOOKUP($F370,'基础-办公用品信息'!$C:$F,4,FALSE),"-")</f>
        <v>2.5</v>
      </c>
      <c r="K370" s="60">
        <f t="shared" si="15"/>
        <v>25</v>
      </c>
      <c r="L370" s="87" t="s">
        <v>374</v>
      </c>
      <c r="M370" s="60">
        <f t="shared" si="16"/>
        <v>2023</v>
      </c>
      <c r="N370" s="60">
        <f t="shared" si="17"/>
        <v>2</v>
      </c>
    </row>
    <row r="371" customHeight="1" spans="2:14">
      <c r="B371" s="86">
        <v>369</v>
      </c>
      <c r="C371" s="128">
        <v>44984</v>
      </c>
      <c r="D371" s="87" t="s">
        <v>288</v>
      </c>
      <c r="E371" s="60" t="str">
        <f>IFERROR(VLOOKUP(D371,'基础-领用人及部门'!$C:$D,2,FALSE),"-")</f>
        <v>综合办</v>
      </c>
      <c r="F371" s="87" t="s">
        <v>101</v>
      </c>
      <c r="G371" s="60" t="str">
        <f>IFERROR(VLOOKUP($F371,'基础-办公用品信息'!$C:$E,2,FALSE),"-")</f>
        <v>本</v>
      </c>
      <c r="H371" s="60">
        <f>IFERROR(VLOOKUP($F371,'基础-办公用品信息'!$C:$E,3,FALSE),"-")</f>
        <v>0</v>
      </c>
      <c r="I371" s="60">
        <v>1</v>
      </c>
      <c r="J371" s="60">
        <f>IFERROR(VLOOKUP($F371,'基础-办公用品信息'!$C:$F,4,FALSE),"-")</f>
        <v>0</v>
      </c>
      <c r="K371" s="60">
        <f t="shared" si="15"/>
        <v>0</v>
      </c>
      <c r="L371" s="87"/>
      <c r="M371" s="60">
        <f t="shared" si="16"/>
        <v>2023</v>
      </c>
      <c r="N371" s="60">
        <f t="shared" si="17"/>
        <v>2</v>
      </c>
    </row>
    <row r="372" customHeight="1" spans="2:14">
      <c r="B372" s="86">
        <v>370</v>
      </c>
      <c r="C372" s="128">
        <v>44984</v>
      </c>
      <c r="D372" s="87" t="s">
        <v>286</v>
      </c>
      <c r="E372" s="60" t="str">
        <f>IFERROR(VLOOKUP(D372,'基础-领用人及部门'!$C:$D,2,FALSE),"-")</f>
        <v>综合办</v>
      </c>
      <c r="F372" s="87" t="s">
        <v>68</v>
      </c>
      <c r="G372" s="60" t="str">
        <f>IFERROR(VLOOKUP($F372,'基础-办公用品信息'!$C:$E,2,FALSE),"-")</f>
        <v>支</v>
      </c>
      <c r="H372" s="60">
        <f>IFERROR(VLOOKUP($F372,'基础-办公用品信息'!$C:$E,3,FALSE),"-")</f>
        <v>0</v>
      </c>
      <c r="I372" s="60">
        <v>1</v>
      </c>
      <c r="J372" s="60">
        <f>IFERROR(VLOOKUP($F372,'基础-办公用品信息'!$C:$F,4,FALSE),"-")</f>
        <v>1</v>
      </c>
      <c r="K372" s="60">
        <f t="shared" si="15"/>
        <v>1</v>
      </c>
      <c r="L372" s="87" t="s">
        <v>337</v>
      </c>
      <c r="M372" s="60">
        <f t="shared" si="16"/>
        <v>2023</v>
      </c>
      <c r="N372" s="60">
        <f t="shared" si="17"/>
        <v>2</v>
      </c>
    </row>
    <row r="373" customHeight="1" spans="2:14">
      <c r="B373" s="86">
        <v>371</v>
      </c>
      <c r="C373" s="128">
        <v>44984</v>
      </c>
      <c r="D373" s="87" t="s">
        <v>288</v>
      </c>
      <c r="E373" s="60" t="str">
        <f>IFERROR(VLOOKUP(D373,'基础-领用人及部门'!$C:$D,2,FALSE),"-")</f>
        <v>综合办</v>
      </c>
      <c r="F373" s="87" t="s">
        <v>93</v>
      </c>
      <c r="G373" s="60" t="str">
        <f>IFERROR(VLOOKUP($F373,'基础-办公用品信息'!$C:$E,2,FALSE),"-")</f>
        <v>卷</v>
      </c>
      <c r="H373" s="60">
        <f>IFERROR(VLOOKUP($F373,'基础-办公用品信息'!$C:$E,3,FALSE),"-")</f>
        <v>0</v>
      </c>
      <c r="I373" s="60">
        <v>1</v>
      </c>
      <c r="J373" s="60">
        <f>IFERROR(VLOOKUP($F373,'基础-办公用品信息'!$C:$F,4,FALSE),"-")</f>
        <v>20</v>
      </c>
      <c r="K373" s="60">
        <f t="shared" si="15"/>
        <v>20</v>
      </c>
      <c r="L373" s="87"/>
      <c r="M373" s="60">
        <f t="shared" si="16"/>
        <v>2023</v>
      </c>
      <c r="N373" s="60">
        <f t="shared" si="17"/>
        <v>2</v>
      </c>
    </row>
    <row r="374" customHeight="1" spans="2:14">
      <c r="B374" s="86">
        <v>372</v>
      </c>
      <c r="C374" s="128">
        <v>44984</v>
      </c>
      <c r="D374" s="87" t="s">
        <v>286</v>
      </c>
      <c r="E374" s="60" t="str">
        <f>IFERROR(VLOOKUP(D374,'基础-领用人及部门'!$C:$D,2,FALSE),"-")</f>
        <v>综合办</v>
      </c>
      <c r="F374" s="87" t="s">
        <v>52</v>
      </c>
      <c r="G374" s="60" t="str">
        <f>IFERROR(VLOOKUP($F374,'基础-办公用品信息'!$C:$E,2,FALSE),"-")</f>
        <v>支</v>
      </c>
      <c r="H374" s="60">
        <f>IFERROR(VLOOKUP($F374,'基础-办公用品信息'!$C:$E,3,FALSE),"-")</f>
        <v>0</v>
      </c>
      <c r="I374" s="60">
        <v>1</v>
      </c>
      <c r="J374" s="60" t="str">
        <f>IFERROR(VLOOKUP($F374,'基础-办公用品信息'!$C:$F,4,FALSE),"-")</f>
        <v>7元/盒</v>
      </c>
      <c r="K374" s="60" t="str">
        <f t="shared" si="15"/>
        <v/>
      </c>
      <c r="L374" s="87" t="s">
        <v>337</v>
      </c>
      <c r="M374" s="60">
        <f t="shared" si="16"/>
        <v>2023</v>
      </c>
      <c r="N374" s="60">
        <f t="shared" si="17"/>
        <v>2</v>
      </c>
    </row>
    <row r="375" customHeight="1" spans="2:14">
      <c r="B375" s="86">
        <v>373</v>
      </c>
      <c r="C375" s="128">
        <v>44985</v>
      </c>
      <c r="D375" s="87" t="s">
        <v>265</v>
      </c>
      <c r="E375" s="60" t="str">
        <f>IFERROR(VLOOKUP(D375,'基础-领用人及部门'!$C:$D,2,FALSE),"-")</f>
        <v>综合办</v>
      </c>
      <c r="F375" s="87" t="s">
        <v>27</v>
      </c>
      <c r="G375" s="60" t="str">
        <f>IFERROR(VLOOKUP($F375,'基础-办公用品信息'!$C:$E,2,FALSE),"-")</f>
        <v>本</v>
      </c>
      <c r="H375" s="60">
        <f>IFERROR(VLOOKUP($F375,'基础-办公用品信息'!$C:$E,3,FALSE),"-")</f>
        <v>0</v>
      </c>
      <c r="I375" s="60">
        <v>2</v>
      </c>
      <c r="J375" s="60">
        <f>IFERROR(VLOOKUP($F375,'基础-办公用品信息'!$C:$F,4,FALSE),"-")</f>
        <v>6.5</v>
      </c>
      <c r="K375" s="60">
        <f t="shared" si="15"/>
        <v>13</v>
      </c>
      <c r="L375" s="87"/>
      <c r="M375" s="60">
        <f t="shared" si="16"/>
        <v>2023</v>
      </c>
      <c r="N375" s="60">
        <f t="shared" si="17"/>
        <v>2</v>
      </c>
    </row>
    <row r="376" customHeight="1" spans="2:14">
      <c r="B376" s="86">
        <v>374</v>
      </c>
      <c r="C376" s="128">
        <v>44985</v>
      </c>
      <c r="D376" s="87" t="s">
        <v>272</v>
      </c>
      <c r="E376" s="60" t="str">
        <f>IFERROR(VLOOKUP(D376,'基础-领用人及部门'!$C:$D,2,FALSE),"-")</f>
        <v>综合办</v>
      </c>
      <c r="F376" s="87" t="s">
        <v>20</v>
      </c>
      <c r="G376" s="60" t="str">
        <f>IFERROR(VLOOKUP($F376,'基础-办公用品信息'!$C:$E,2,FALSE),"-")</f>
        <v>本</v>
      </c>
      <c r="H376" s="60">
        <f>IFERROR(VLOOKUP($F376,'基础-办公用品信息'!$C:$E,3,FALSE),"-")</f>
        <v>0</v>
      </c>
      <c r="I376" s="60">
        <v>1</v>
      </c>
      <c r="J376" s="60">
        <f>IFERROR(VLOOKUP($F376,'基础-办公用品信息'!$C:$F,4,FALSE),"-")</f>
        <v>7.5</v>
      </c>
      <c r="K376" s="60">
        <f t="shared" si="15"/>
        <v>7.5</v>
      </c>
      <c r="L376" s="87"/>
      <c r="M376" s="60">
        <f t="shared" si="16"/>
        <v>2023</v>
      </c>
      <c r="N376" s="60">
        <f t="shared" si="17"/>
        <v>2</v>
      </c>
    </row>
    <row r="377" customHeight="1" spans="2:14">
      <c r="B377" s="86">
        <v>375</v>
      </c>
      <c r="C377" s="128">
        <v>44985</v>
      </c>
      <c r="D377" s="87" t="s">
        <v>265</v>
      </c>
      <c r="E377" s="60" t="str">
        <f>IFERROR(VLOOKUP(D377,'基础-领用人及部门'!$C:$D,2,FALSE),"-")</f>
        <v>综合办</v>
      </c>
      <c r="F377" s="87" t="s">
        <v>257</v>
      </c>
      <c r="G377" s="60" t="str">
        <f>IFERROR(VLOOKUP($F377,'基础-办公用品信息'!$C:$E,2,FALSE),"-")</f>
        <v>个</v>
      </c>
      <c r="H377" s="60">
        <f>IFERROR(VLOOKUP($F377,'基础-办公用品信息'!$C:$E,3,FALSE),"-")</f>
        <v>0</v>
      </c>
      <c r="I377" s="60">
        <v>11</v>
      </c>
      <c r="J377" s="60">
        <f>IFERROR(VLOOKUP($F377,'基础-办公用品信息'!$C:$F,4,FALSE),"-")</f>
        <v>0</v>
      </c>
      <c r="K377" s="60">
        <f t="shared" si="15"/>
        <v>0</v>
      </c>
      <c r="L377" s="87"/>
      <c r="M377" s="60">
        <f t="shared" si="16"/>
        <v>2023</v>
      </c>
      <c r="N377" s="60">
        <f t="shared" si="17"/>
        <v>2</v>
      </c>
    </row>
    <row r="378" customHeight="1" spans="2:14">
      <c r="B378" s="86">
        <v>376</v>
      </c>
      <c r="C378" s="87"/>
      <c r="D378" s="87"/>
      <c r="E378" s="60" t="str">
        <f>IFERROR(VLOOKUP(D378,'基础-领用人及部门'!$C:$D,2,FALSE),"-")</f>
        <v>-</v>
      </c>
      <c r="F378" s="87"/>
      <c r="G378" s="60" t="str">
        <f>IFERROR(VLOOKUP($F378,'基础-办公用品信息'!$C:$E,2,FALSE),"-")</f>
        <v>-</v>
      </c>
      <c r="H378" s="60" t="str">
        <f>IFERROR(VLOOKUP($F378,'基础-办公用品信息'!$C:$E,3,FALSE),"-")</f>
        <v>-</v>
      </c>
      <c r="I378" s="60"/>
      <c r="J378" s="60" t="str">
        <f>IFERROR(VLOOKUP($F378,'基础-办公用品信息'!$C:$F,4,FALSE),"-")</f>
        <v>-</v>
      </c>
      <c r="K378" s="60" t="str">
        <f t="shared" si="15"/>
        <v/>
      </c>
      <c r="L378" s="87"/>
      <c r="M378" s="60">
        <f t="shared" si="16"/>
        <v>1900</v>
      </c>
      <c r="N378" s="60">
        <f t="shared" si="17"/>
        <v>1</v>
      </c>
    </row>
    <row r="379" customHeight="1" spans="2:14">
      <c r="B379" s="86">
        <v>377</v>
      </c>
      <c r="C379" s="87"/>
      <c r="D379" s="87"/>
      <c r="E379" s="60" t="str">
        <f>IFERROR(VLOOKUP(D379,'基础-领用人及部门'!$C:$D,2,FALSE),"-")</f>
        <v>-</v>
      </c>
      <c r="F379" s="87"/>
      <c r="G379" s="60" t="str">
        <f>IFERROR(VLOOKUP($F379,'基础-办公用品信息'!$C:$E,2,FALSE),"-")</f>
        <v>-</v>
      </c>
      <c r="H379" s="60" t="str">
        <f>IFERROR(VLOOKUP($F379,'基础-办公用品信息'!$C:$E,3,FALSE),"-")</f>
        <v>-</v>
      </c>
      <c r="I379" s="60"/>
      <c r="J379" s="60" t="str">
        <f>IFERROR(VLOOKUP($F379,'基础-办公用品信息'!$C:$F,4,FALSE),"-")</f>
        <v>-</v>
      </c>
      <c r="K379" s="60" t="str">
        <f t="shared" si="15"/>
        <v/>
      </c>
      <c r="L379" s="87"/>
      <c r="M379" s="60">
        <f t="shared" si="16"/>
        <v>1900</v>
      </c>
      <c r="N379" s="60">
        <f t="shared" si="17"/>
        <v>1</v>
      </c>
    </row>
    <row r="380" customHeight="1" spans="2:14">
      <c r="B380" s="86">
        <v>378</v>
      </c>
      <c r="C380" s="87"/>
      <c r="D380" s="87"/>
      <c r="E380" s="60" t="str">
        <f>IFERROR(VLOOKUP(D380,'基础-领用人及部门'!$C:$D,2,FALSE),"-")</f>
        <v>-</v>
      </c>
      <c r="F380" s="87"/>
      <c r="G380" s="60" t="str">
        <f>IFERROR(VLOOKUP($F380,'基础-办公用品信息'!$C:$E,2,FALSE),"-")</f>
        <v>-</v>
      </c>
      <c r="H380" s="60" t="str">
        <f>IFERROR(VLOOKUP($F380,'基础-办公用品信息'!$C:$E,3,FALSE),"-")</f>
        <v>-</v>
      </c>
      <c r="I380" s="60"/>
      <c r="J380" s="60" t="str">
        <f>IFERROR(VLOOKUP($F380,'基础-办公用品信息'!$C:$F,4,FALSE),"-")</f>
        <v>-</v>
      </c>
      <c r="K380" s="60" t="str">
        <f t="shared" si="15"/>
        <v/>
      </c>
      <c r="L380" s="87"/>
      <c r="M380" s="60">
        <f t="shared" si="16"/>
        <v>1900</v>
      </c>
      <c r="N380" s="60">
        <f t="shared" si="17"/>
        <v>1</v>
      </c>
    </row>
    <row r="381" customHeight="1" spans="2:14">
      <c r="B381" s="86">
        <v>379</v>
      </c>
      <c r="C381" s="87"/>
      <c r="D381" s="87"/>
      <c r="E381" s="60" t="str">
        <f>IFERROR(VLOOKUP(D381,'基础-领用人及部门'!$C:$D,2,FALSE),"-")</f>
        <v>-</v>
      </c>
      <c r="F381" s="87"/>
      <c r="G381" s="60" t="str">
        <f>IFERROR(VLOOKUP($F381,'基础-办公用品信息'!$C:$E,2,FALSE),"-")</f>
        <v>-</v>
      </c>
      <c r="H381" s="60" t="str">
        <f>IFERROR(VLOOKUP($F381,'基础-办公用品信息'!$C:$E,3,FALSE),"-")</f>
        <v>-</v>
      </c>
      <c r="I381" s="60"/>
      <c r="J381" s="60" t="str">
        <f>IFERROR(VLOOKUP($F381,'基础-办公用品信息'!$C:$F,4,FALSE),"-")</f>
        <v>-</v>
      </c>
      <c r="K381" s="60" t="str">
        <f t="shared" si="15"/>
        <v/>
      </c>
      <c r="L381" s="87"/>
      <c r="M381" s="60">
        <f t="shared" si="16"/>
        <v>1900</v>
      </c>
      <c r="N381" s="60">
        <f t="shared" si="17"/>
        <v>1</v>
      </c>
    </row>
    <row r="382" customHeight="1" spans="2:14">
      <c r="B382" s="86">
        <v>380</v>
      </c>
      <c r="C382" s="87"/>
      <c r="D382" s="87"/>
      <c r="E382" s="60" t="str">
        <f>IFERROR(VLOOKUP(D382,'基础-领用人及部门'!$C:$D,2,FALSE),"-")</f>
        <v>-</v>
      </c>
      <c r="F382" s="87"/>
      <c r="G382" s="60" t="str">
        <f>IFERROR(VLOOKUP($F382,'基础-办公用品信息'!$C:$E,2,FALSE),"-")</f>
        <v>-</v>
      </c>
      <c r="H382" s="60" t="str">
        <f>IFERROR(VLOOKUP($F382,'基础-办公用品信息'!$C:$E,3,FALSE),"-")</f>
        <v>-</v>
      </c>
      <c r="I382" s="60"/>
      <c r="J382" s="60" t="str">
        <f>IFERROR(VLOOKUP($F382,'基础-办公用品信息'!$C:$F,4,FALSE),"-")</f>
        <v>-</v>
      </c>
      <c r="K382" s="60" t="str">
        <f t="shared" si="15"/>
        <v/>
      </c>
      <c r="L382" s="87"/>
      <c r="M382" s="60">
        <f t="shared" si="16"/>
        <v>1900</v>
      </c>
      <c r="N382" s="60">
        <f t="shared" si="17"/>
        <v>1</v>
      </c>
    </row>
    <row r="383" customHeight="1" spans="2:14">
      <c r="B383" s="86">
        <v>381</v>
      </c>
      <c r="C383" s="87"/>
      <c r="D383" s="87"/>
      <c r="E383" s="60" t="str">
        <f>IFERROR(VLOOKUP(D383,'基础-领用人及部门'!$C:$D,2,FALSE),"-")</f>
        <v>-</v>
      </c>
      <c r="F383" s="87"/>
      <c r="G383" s="60" t="str">
        <f>IFERROR(VLOOKUP($F383,'基础-办公用品信息'!$C:$E,2,FALSE),"-")</f>
        <v>-</v>
      </c>
      <c r="H383" s="60" t="str">
        <f>IFERROR(VLOOKUP($F383,'基础-办公用品信息'!$C:$E,3,FALSE),"-")</f>
        <v>-</v>
      </c>
      <c r="I383" s="60"/>
      <c r="J383" s="60" t="str">
        <f>IFERROR(VLOOKUP($F383,'基础-办公用品信息'!$C:$F,4,FALSE),"-")</f>
        <v>-</v>
      </c>
      <c r="K383" s="60" t="str">
        <f t="shared" si="15"/>
        <v/>
      </c>
      <c r="L383" s="87"/>
      <c r="M383" s="60">
        <f t="shared" si="16"/>
        <v>1900</v>
      </c>
      <c r="N383" s="60">
        <f t="shared" si="17"/>
        <v>1</v>
      </c>
    </row>
    <row r="384" customHeight="1" spans="2:14">
      <c r="B384" s="86">
        <v>382</v>
      </c>
      <c r="C384" s="87"/>
      <c r="D384" s="87"/>
      <c r="E384" s="60" t="str">
        <f>IFERROR(VLOOKUP(D384,'基础-领用人及部门'!$C:$D,2,FALSE),"-")</f>
        <v>-</v>
      </c>
      <c r="F384" s="87"/>
      <c r="G384" s="60" t="str">
        <f>IFERROR(VLOOKUP($F384,'基础-办公用品信息'!$C:$E,2,FALSE),"-")</f>
        <v>-</v>
      </c>
      <c r="H384" s="60" t="str">
        <f>IFERROR(VLOOKUP($F384,'基础-办公用品信息'!$C:$E,3,FALSE),"-")</f>
        <v>-</v>
      </c>
      <c r="I384" s="60"/>
      <c r="J384" s="60" t="str">
        <f>IFERROR(VLOOKUP($F384,'基础-办公用品信息'!$C:$F,4,FALSE),"-")</f>
        <v>-</v>
      </c>
      <c r="K384" s="60" t="str">
        <f t="shared" si="15"/>
        <v/>
      </c>
      <c r="L384" s="87"/>
      <c r="M384" s="60">
        <f t="shared" si="16"/>
        <v>1900</v>
      </c>
      <c r="N384" s="60">
        <f t="shared" si="17"/>
        <v>1</v>
      </c>
    </row>
    <row r="385" customHeight="1" spans="2:14">
      <c r="B385" s="86">
        <v>383</v>
      </c>
      <c r="C385" s="87"/>
      <c r="D385" s="87"/>
      <c r="E385" s="60" t="str">
        <f>IFERROR(VLOOKUP(D385,'基础-领用人及部门'!$C:$D,2,FALSE),"-")</f>
        <v>-</v>
      </c>
      <c r="F385" s="87"/>
      <c r="G385" s="60" t="str">
        <f>IFERROR(VLOOKUP($F385,'基础-办公用品信息'!$C:$E,2,FALSE),"-")</f>
        <v>-</v>
      </c>
      <c r="H385" s="60" t="str">
        <f>IFERROR(VLOOKUP($F385,'基础-办公用品信息'!$C:$E,3,FALSE),"-")</f>
        <v>-</v>
      </c>
      <c r="I385" s="60"/>
      <c r="J385" s="60" t="str">
        <f>IFERROR(VLOOKUP($F385,'基础-办公用品信息'!$C:$F,4,FALSE),"-")</f>
        <v>-</v>
      </c>
      <c r="K385" s="60" t="str">
        <f t="shared" si="15"/>
        <v/>
      </c>
      <c r="L385" s="87"/>
      <c r="M385" s="60">
        <f t="shared" si="16"/>
        <v>1900</v>
      </c>
      <c r="N385" s="60">
        <f t="shared" si="17"/>
        <v>1</v>
      </c>
    </row>
    <row r="386" customHeight="1" spans="2:14">
      <c r="B386" s="86">
        <v>384</v>
      </c>
      <c r="C386" s="87"/>
      <c r="D386" s="87"/>
      <c r="E386" s="60" t="str">
        <f>IFERROR(VLOOKUP(D386,'基础-领用人及部门'!$C:$D,2,FALSE),"-")</f>
        <v>-</v>
      </c>
      <c r="F386" s="87"/>
      <c r="G386" s="60" t="str">
        <f>IFERROR(VLOOKUP($F386,'基础-办公用品信息'!$C:$E,2,FALSE),"-")</f>
        <v>-</v>
      </c>
      <c r="H386" s="60" t="str">
        <f>IFERROR(VLOOKUP($F386,'基础-办公用品信息'!$C:$E,3,FALSE),"-")</f>
        <v>-</v>
      </c>
      <c r="I386" s="60"/>
      <c r="J386" s="60" t="str">
        <f>IFERROR(VLOOKUP($F386,'基础-办公用品信息'!$C:$F,4,FALSE),"-")</f>
        <v>-</v>
      </c>
      <c r="K386" s="60" t="str">
        <f t="shared" si="15"/>
        <v/>
      </c>
      <c r="L386" s="87"/>
      <c r="M386" s="60">
        <f t="shared" si="16"/>
        <v>1900</v>
      </c>
      <c r="N386" s="60">
        <f t="shared" si="17"/>
        <v>1</v>
      </c>
    </row>
    <row r="387" customHeight="1" spans="2:14">
      <c r="B387" s="86">
        <v>385</v>
      </c>
      <c r="C387" s="87"/>
      <c r="D387" s="87"/>
      <c r="E387" s="60" t="str">
        <f>IFERROR(VLOOKUP(D387,'基础-领用人及部门'!$C:$D,2,FALSE),"-")</f>
        <v>-</v>
      </c>
      <c r="F387" s="87"/>
      <c r="G387" s="60" t="str">
        <f>IFERROR(VLOOKUP($F387,'基础-办公用品信息'!$C:$E,2,FALSE),"-")</f>
        <v>-</v>
      </c>
      <c r="H387" s="60" t="str">
        <f>IFERROR(VLOOKUP($F387,'基础-办公用品信息'!$C:$E,3,FALSE),"-")</f>
        <v>-</v>
      </c>
      <c r="I387" s="60"/>
      <c r="J387" s="60" t="str">
        <f>IFERROR(VLOOKUP($F387,'基础-办公用品信息'!$C:$F,4,FALSE),"-")</f>
        <v>-</v>
      </c>
      <c r="K387" s="60" t="str">
        <f t="shared" ref="K387:K450" si="18">IFERROR(I387*J387,"")</f>
        <v/>
      </c>
      <c r="L387" s="87"/>
      <c r="M387" s="60">
        <f t="shared" ref="M387:M450" si="19">YEAR(C387)</f>
        <v>1900</v>
      </c>
      <c r="N387" s="60">
        <f t="shared" ref="N387:N450" si="20">MONTH(C387)</f>
        <v>1</v>
      </c>
    </row>
    <row r="388" customHeight="1" spans="2:14">
      <c r="B388" s="86">
        <v>386</v>
      </c>
      <c r="C388" s="87"/>
      <c r="D388" s="87"/>
      <c r="E388" s="60" t="str">
        <f>IFERROR(VLOOKUP(D388,'基础-领用人及部门'!$C:$D,2,FALSE),"-")</f>
        <v>-</v>
      </c>
      <c r="F388" s="87"/>
      <c r="G388" s="60" t="str">
        <f>IFERROR(VLOOKUP($F388,'基础-办公用品信息'!$C:$E,2,FALSE),"-")</f>
        <v>-</v>
      </c>
      <c r="H388" s="60" t="str">
        <f>IFERROR(VLOOKUP($F388,'基础-办公用品信息'!$C:$E,3,FALSE),"-")</f>
        <v>-</v>
      </c>
      <c r="I388" s="60"/>
      <c r="J388" s="60" t="str">
        <f>IFERROR(VLOOKUP($F388,'基础-办公用品信息'!$C:$F,4,FALSE),"-")</f>
        <v>-</v>
      </c>
      <c r="K388" s="60" t="str">
        <f t="shared" si="18"/>
        <v/>
      </c>
      <c r="L388" s="87"/>
      <c r="M388" s="60">
        <f t="shared" si="19"/>
        <v>1900</v>
      </c>
      <c r="N388" s="60">
        <f t="shared" si="20"/>
        <v>1</v>
      </c>
    </row>
    <row r="389" customHeight="1" spans="2:14">
      <c r="B389" s="86">
        <v>387</v>
      </c>
      <c r="C389" s="87"/>
      <c r="D389" s="87"/>
      <c r="E389" s="60" t="str">
        <f>IFERROR(VLOOKUP(D389,'基础-领用人及部门'!$C:$D,2,FALSE),"-")</f>
        <v>-</v>
      </c>
      <c r="F389" s="87"/>
      <c r="G389" s="60" t="str">
        <f>IFERROR(VLOOKUP($F389,'基础-办公用品信息'!$C:$E,2,FALSE),"-")</f>
        <v>-</v>
      </c>
      <c r="H389" s="60" t="str">
        <f>IFERROR(VLOOKUP($F389,'基础-办公用品信息'!$C:$E,3,FALSE),"-")</f>
        <v>-</v>
      </c>
      <c r="I389" s="60"/>
      <c r="J389" s="60" t="str">
        <f>IFERROR(VLOOKUP($F389,'基础-办公用品信息'!$C:$F,4,FALSE),"-")</f>
        <v>-</v>
      </c>
      <c r="K389" s="60" t="str">
        <f t="shared" si="18"/>
        <v/>
      </c>
      <c r="L389" s="87"/>
      <c r="M389" s="60">
        <f t="shared" si="19"/>
        <v>1900</v>
      </c>
      <c r="N389" s="60">
        <f t="shared" si="20"/>
        <v>1</v>
      </c>
    </row>
    <row r="390" customHeight="1" spans="2:14">
      <c r="B390" s="86">
        <v>388</v>
      </c>
      <c r="C390" s="87"/>
      <c r="D390" s="87"/>
      <c r="E390" s="60" t="str">
        <f>IFERROR(VLOOKUP(D390,'基础-领用人及部门'!$C:$D,2,FALSE),"-")</f>
        <v>-</v>
      </c>
      <c r="F390" s="87"/>
      <c r="G390" s="60" t="str">
        <f>IFERROR(VLOOKUP($F390,'基础-办公用品信息'!$C:$E,2,FALSE),"-")</f>
        <v>-</v>
      </c>
      <c r="H390" s="60" t="str">
        <f>IFERROR(VLOOKUP($F390,'基础-办公用品信息'!$C:$E,3,FALSE),"-")</f>
        <v>-</v>
      </c>
      <c r="I390" s="60"/>
      <c r="J390" s="60" t="str">
        <f>IFERROR(VLOOKUP($F390,'基础-办公用品信息'!$C:$F,4,FALSE),"-")</f>
        <v>-</v>
      </c>
      <c r="K390" s="60" t="str">
        <f t="shared" si="18"/>
        <v/>
      </c>
      <c r="L390" s="87"/>
      <c r="M390" s="60">
        <f t="shared" si="19"/>
        <v>1900</v>
      </c>
      <c r="N390" s="60">
        <f t="shared" si="20"/>
        <v>1</v>
      </c>
    </row>
    <row r="391" customHeight="1" spans="2:14">
      <c r="B391" s="86">
        <v>389</v>
      </c>
      <c r="C391" s="87"/>
      <c r="D391" s="87"/>
      <c r="E391" s="60" t="str">
        <f>IFERROR(VLOOKUP(D391,'基础-领用人及部门'!$C:$D,2,FALSE),"-")</f>
        <v>-</v>
      </c>
      <c r="F391" s="87"/>
      <c r="G391" s="60" t="str">
        <f>IFERROR(VLOOKUP($F391,'基础-办公用品信息'!$C:$E,2,FALSE),"-")</f>
        <v>-</v>
      </c>
      <c r="H391" s="60" t="str">
        <f>IFERROR(VLOOKUP($F391,'基础-办公用品信息'!$C:$E,3,FALSE),"-")</f>
        <v>-</v>
      </c>
      <c r="I391" s="60"/>
      <c r="J391" s="60" t="str">
        <f>IFERROR(VLOOKUP($F391,'基础-办公用品信息'!$C:$F,4,FALSE),"-")</f>
        <v>-</v>
      </c>
      <c r="K391" s="60" t="str">
        <f t="shared" si="18"/>
        <v/>
      </c>
      <c r="L391" s="87"/>
      <c r="M391" s="60">
        <f t="shared" si="19"/>
        <v>1900</v>
      </c>
      <c r="N391" s="60">
        <f t="shared" si="20"/>
        <v>1</v>
      </c>
    </row>
    <row r="392" customHeight="1" spans="2:14">
      <c r="B392" s="86">
        <v>390</v>
      </c>
      <c r="C392" s="87"/>
      <c r="D392" s="87"/>
      <c r="E392" s="60" t="str">
        <f>IFERROR(VLOOKUP(D392,'基础-领用人及部门'!$C:$D,2,FALSE),"-")</f>
        <v>-</v>
      </c>
      <c r="F392" s="87"/>
      <c r="G392" s="60" t="str">
        <f>IFERROR(VLOOKUP($F392,'基础-办公用品信息'!$C:$E,2,FALSE),"-")</f>
        <v>-</v>
      </c>
      <c r="H392" s="60" t="str">
        <f>IFERROR(VLOOKUP($F392,'基础-办公用品信息'!$C:$E,3,FALSE),"-")</f>
        <v>-</v>
      </c>
      <c r="I392" s="60"/>
      <c r="J392" s="60" t="str">
        <f>IFERROR(VLOOKUP($F392,'基础-办公用品信息'!$C:$F,4,FALSE),"-")</f>
        <v>-</v>
      </c>
      <c r="K392" s="60" t="str">
        <f t="shared" si="18"/>
        <v/>
      </c>
      <c r="L392" s="87"/>
      <c r="M392" s="60">
        <f t="shared" si="19"/>
        <v>1900</v>
      </c>
      <c r="N392" s="60">
        <f t="shared" si="20"/>
        <v>1</v>
      </c>
    </row>
    <row r="393" customHeight="1" spans="2:14">
      <c r="B393" s="86">
        <v>391</v>
      </c>
      <c r="C393" s="87"/>
      <c r="D393" s="87"/>
      <c r="E393" s="60" t="str">
        <f>IFERROR(VLOOKUP(D393,'基础-领用人及部门'!$C:$D,2,FALSE),"-")</f>
        <v>-</v>
      </c>
      <c r="F393" s="87"/>
      <c r="G393" s="60" t="str">
        <f>IFERROR(VLOOKUP($F393,'基础-办公用品信息'!$C:$E,2,FALSE),"-")</f>
        <v>-</v>
      </c>
      <c r="H393" s="60" t="str">
        <f>IFERROR(VLOOKUP($F393,'基础-办公用品信息'!$C:$E,3,FALSE),"-")</f>
        <v>-</v>
      </c>
      <c r="I393" s="60"/>
      <c r="J393" s="60" t="str">
        <f>IFERROR(VLOOKUP($F393,'基础-办公用品信息'!$C:$F,4,FALSE),"-")</f>
        <v>-</v>
      </c>
      <c r="K393" s="60" t="str">
        <f t="shared" si="18"/>
        <v/>
      </c>
      <c r="L393" s="87"/>
      <c r="M393" s="60">
        <f t="shared" si="19"/>
        <v>1900</v>
      </c>
      <c r="N393" s="60">
        <f t="shared" si="20"/>
        <v>1</v>
      </c>
    </row>
    <row r="394" customHeight="1" spans="2:14">
      <c r="B394" s="86">
        <v>392</v>
      </c>
      <c r="C394" s="87"/>
      <c r="D394" s="87"/>
      <c r="E394" s="60" t="str">
        <f>IFERROR(VLOOKUP(D394,'基础-领用人及部门'!$C:$D,2,FALSE),"-")</f>
        <v>-</v>
      </c>
      <c r="F394" s="87"/>
      <c r="G394" s="60" t="str">
        <f>IFERROR(VLOOKUP($F394,'基础-办公用品信息'!$C:$E,2,FALSE),"-")</f>
        <v>-</v>
      </c>
      <c r="H394" s="60" t="str">
        <f>IFERROR(VLOOKUP($F394,'基础-办公用品信息'!$C:$E,3,FALSE),"-")</f>
        <v>-</v>
      </c>
      <c r="I394" s="60"/>
      <c r="J394" s="60" t="str">
        <f>IFERROR(VLOOKUP($F394,'基础-办公用品信息'!$C:$F,4,FALSE),"-")</f>
        <v>-</v>
      </c>
      <c r="K394" s="60" t="str">
        <f t="shared" si="18"/>
        <v/>
      </c>
      <c r="L394" s="87"/>
      <c r="M394" s="60">
        <f t="shared" si="19"/>
        <v>1900</v>
      </c>
      <c r="N394" s="60">
        <f t="shared" si="20"/>
        <v>1</v>
      </c>
    </row>
    <row r="395" customHeight="1" spans="2:14">
      <c r="B395" s="86">
        <v>393</v>
      </c>
      <c r="C395" s="87"/>
      <c r="D395" s="87"/>
      <c r="E395" s="60" t="str">
        <f>IFERROR(VLOOKUP(D395,'基础-领用人及部门'!$C:$D,2,FALSE),"-")</f>
        <v>-</v>
      </c>
      <c r="F395" s="87"/>
      <c r="G395" s="60" t="str">
        <f>IFERROR(VLOOKUP($F395,'基础-办公用品信息'!$C:$E,2,FALSE),"-")</f>
        <v>-</v>
      </c>
      <c r="H395" s="60" t="str">
        <f>IFERROR(VLOOKUP($F395,'基础-办公用品信息'!$C:$E,3,FALSE),"-")</f>
        <v>-</v>
      </c>
      <c r="I395" s="60"/>
      <c r="J395" s="60" t="str">
        <f>IFERROR(VLOOKUP($F395,'基础-办公用品信息'!$C:$F,4,FALSE),"-")</f>
        <v>-</v>
      </c>
      <c r="K395" s="60" t="str">
        <f t="shared" si="18"/>
        <v/>
      </c>
      <c r="L395" s="87"/>
      <c r="M395" s="60">
        <f t="shared" si="19"/>
        <v>1900</v>
      </c>
      <c r="N395" s="60">
        <f t="shared" si="20"/>
        <v>1</v>
      </c>
    </row>
    <row r="396" customHeight="1" spans="2:14">
      <c r="B396" s="86">
        <v>394</v>
      </c>
      <c r="C396" s="87"/>
      <c r="D396" s="87"/>
      <c r="E396" s="60" t="str">
        <f>IFERROR(VLOOKUP(D396,'基础-领用人及部门'!$C:$D,2,FALSE),"-")</f>
        <v>-</v>
      </c>
      <c r="F396" s="87"/>
      <c r="G396" s="60" t="str">
        <f>IFERROR(VLOOKUP($F396,'基础-办公用品信息'!$C:$E,2,FALSE),"-")</f>
        <v>-</v>
      </c>
      <c r="H396" s="60" t="str">
        <f>IFERROR(VLOOKUP($F396,'基础-办公用品信息'!$C:$E,3,FALSE),"-")</f>
        <v>-</v>
      </c>
      <c r="I396" s="60"/>
      <c r="J396" s="60" t="str">
        <f>IFERROR(VLOOKUP($F396,'基础-办公用品信息'!$C:$F,4,FALSE),"-")</f>
        <v>-</v>
      </c>
      <c r="K396" s="60" t="str">
        <f t="shared" si="18"/>
        <v/>
      </c>
      <c r="L396" s="87"/>
      <c r="M396" s="60">
        <f t="shared" si="19"/>
        <v>1900</v>
      </c>
      <c r="N396" s="60">
        <f t="shared" si="20"/>
        <v>1</v>
      </c>
    </row>
    <row r="397" customHeight="1" spans="2:14">
      <c r="B397" s="86">
        <v>395</v>
      </c>
      <c r="C397" s="87"/>
      <c r="D397" s="87"/>
      <c r="E397" s="60" t="str">
        <f>IFERROR(VLOOKUP(D397,'基础-领用人及部门'!$C:$D,2,FALSE),"-")</f>
        <v>-</v>
      </c>
      <c r="F397" s="87"/>
      <c r="G397" s="60" t="str">
        <f>IFERROR(VLOOKUP($F397,'基础-办公用品信息'!$C:$E,2,FALSE),"-")</f>
        <v>-</v>
      </c>
      <c r="H397" s="60" t="str">
        <f>IFERROR(VLOOKUP($F397,'基础-办公用品信息'!$C:$E,3,FALSE),"-")</f>
        <v>-</v>
      </c>
      <c r="I397" s="60"/>
      <c r="J397" s="60" t="str">
        <f>IFERROR(VLOOKUP($F397,'基础-办公用品信息'!$C:$F,4,FALSE),"-")</f>
        <v>-</v>
      </c>
      <c r="K397" s="60" t="str">
        <f t="shared" si="18"/>
        <v/>
      </c>
      <c r="L397" s="87"/>
      <c r="M397" s="60">
        <f t="shared" si="19"/>
        <v>1900</v>
      </c>
      <c r="N397" s="60">
        <f t="shared" si="20"/>
        <v>1</v>
      </c>
    </row>
    <row r="398" customHeight="1" spans="2:14">
      <c r="B398" s="86">
        <v>396</v>
      </c>
      <c r="C398" s="87"/>
      <c r="D398" s="87"/>
      <c r="E398" s="60" t="str">
        <f>IFERROR(VLOOKUP(D398,'基础-领用人及部门'!$C:$D,2,FALSE),"-")</f>
        <v>-</v>
      </c>
      <c r="F398" s="87"/>
      <c r="G398" s="60" t="str">
        <f>IFERROR(VLOOKUP($F398,'基础-办公用品信息'!$C:$E,2,FALSE),"-")</f>
        <v>-</v>
      </c>
      <c r="H398" s="60" t="str">
        <f>IFERROR(VLOOKUP($F398,'基础-办公用品信息'!$C:$E,3,FALSE),"-")</f>
        <v>-</v>
      </c>
      <c r="I398" s="60"/>
      <c r="J398" s="60" t="str">
        <f>IFERROR(VLOOKUP($F398,'基础-办公用品信息'!$C:$F,4,FALSE),"-")</f>
        <v>-</v>
      </c>
      <c r="K398" s="60" t="str">
        <f t="shared" si="18"/>
        <v/>
      </c>
      <c r="L398" s="87"/>
      <c r="M398" s="60">
        <f t="shared" si="19"/>
        <v>1900</v>
      </c>
      <c r="N398" s="60">
        <f t="shared" si="20"/>
        <v>1</v>
      </c>
    </row>
    <row r="399" customHeight="1" spans="2:14">
      <c r="B399" s="86">
        <v>397</v>
      </c>
      <c r="C399" s="87"/>
      <c r="D399" s="87"/>
      <c r="E399" s="60" t="str">
        <f>IFERROR(VLOOKUP(D399,'基础-领用人及部门'!$C:$D,2,FALSE),"-")</f>
        <v>-</v>
      </c>
      <c r="F399" s="87"/>
      <c r="G399" s="60" t="str">
        <f>IFERROR(VLOOKUP($F399,'基础-办公用品信息'!$C:$E,2,FALSE),"-")</f>
        <v>-</v>
      </c>
      <c r="H399" s="60" t="str">
        <f>IFERROR(VLOOKUP($F399,'基础-办公用品信息'!$C:$E,3,FALSE),"-")</f>
        <v>-</v>
      </c>
      <c r="I399" s="60"/>
      <c r="J399" s="60" t="str">
        <f>IFERROR(VLOOKUP($F399,'基础-办公用品信息'!$C:$F,4,FALSE),"-")</f>
        <v>-</v>
      </c>
      <c r="K399" s="60" t="str">
        <f t="shared" si="18"/>
        <v/>
      </c>
      <c r="L399" s="87"/>
      <c r="M399" s="60">
        <f t="shared" si="19"/>
        <v>1900</v>
      </c>
      <c r="N399" s="60">
        <f t="shared" si="20"/>
        <v>1</v>
      </c>
    </row>
    <row r="400" customHeight="1" spans="2:14">
      <c r="B400" s="86">
        <v>398</v>
      </c>
      <c r="C400" s="87"/>
      <c r="D400" s="87"/>
      <c r="E400" s="60" t="str">
        <f>IFERROR(VLOOKUP(D400,'基础-领用人及部门'!$C:$D,2,FALSE),"-")</f>
        <v>-</v>
      </c>
      <c r="F400" s="87"/>
      <c r="G400" s="60" t="str">
        <f>IFERROR(VLOOKUP($F400,'基础-办公用品信息'!$C:$E,2,FALSE),"-")</f>
        <v>-</v>
      </c>
      <c r="H400" s="60" t="str">
        <f>IFERROR(VLOOKUP($F400,'基础-办公用品信息'!$C:$E,3,FALSE),"-")</f>
        <v>-</v>
      </c>
      <c r="I400" s="60"/>
      <c r="J400" s="60" t="str">
        <f>IFERROR(VLOOKUP($F400,'基础-办公用品信息'!$C:$F,4,FALSE),"-")</f>
        <v>-</v>
      </c>
      <c r="K400" s="60" t="str">
        <f t="shared" si="18"/>
        <v/>
      </c>
      <c r="L400" s="87"/>
      <c r="M400" s="60">
        <f t="shared" si="19"/>
        <v>1900</v>
      </c>
      <c r="N400" s="60">
        <f t="shared" si="20"/>
        <v>1</v>
      </c>
    </row>
    <row r="401" customHeight="1" spans="2:14">
      <c r="B401" s="86">
        <v>399</v>
      </c>
      <c r="C401" s="87"/>
      <c r="D401" s="87"/>
      <c r="E401" s="60" t="str">
        <f>IFERROR(VLOOKUP(D401,'基础-领用人及部门'!$C:$D,2,FALSE),"-")</f>
        <v>-</v>
      </c>
      <c r="F401" s="87"/>
      <c r="G401" s="60" t="str">
        <f>IFERROR(VLOOKUP($F401,'基础-办公用品信息'!$C:$E,2,FALSE),"-")</f>
        <v>-</v>
      </c>
      <c r="H401" s="60" t="str">
        <f>IFERROR(VLOOKUP($F401,'基础-办公用品信息'!$C:$E,3,FALSE),"-")</f>
        <v>-</v>
      </c>
      <c r="I401" s="60"/>
      <c r="J401" s="60" t="str">
        <f>IFERROR(VLOOKUP($F401,'基础-办公用品信息'!$C:$F,4,FALSE),"-")</f>
        <v>-</v>
      </c>
      <c r="K401" s="60" t="str">
        <f t="shared" si="18"/>
        <v/>
      </c>
      <c r="L401" s="87"/>
      <c r="M401" s="60">
        <f t="shared" si="19"/>
        <v>1900</v>
      </c>
      <c r="N401" s="60">
        <f t="shared" si="20"/>
        <v>1</v>
      </c>
    </row>
    <row r="402" customHeight="1" spans="2:14">
      <c r="B402" s="86">
        <v>400</v>
      </c>
      <c r="C402" s="87"/>
      <c r="D402" s="87"/>
      <c r="E402" s="60" t="str">
        <f>IFERROR(VLOOKUP(D402,'基础-领用人及部门'!$C:$D,2,FALSE),"-")</f>
        <v>-</v>
      </c>
      <c r="F402" s="87"/>
      <c r="G402" s="60" t="str">
        <f>IFERROR(VLOOKUP($F402,'基础-办公用品信息'!$C:$E,2,FALSE),"-")</f>
        <v>-</v>
      </c>
      <c r="H402" s="60" t="str">
        <f>IFERROR(VLOOKUP($F402,'基础-办公用品信息'!$C:$E,3,FALSE),"-")</f>
        <v>-</v>
      </c>
      <c r="I402" s="60"/>
      <c r="J402" s="60" t="str">
        <f>IFERROR(VLOOKUP($F402,'基础-办公用品信息'!$C:$F,4,FALSE),"-")</f>
        <v>-</v>
      </c>
      <c r="K402" s="60" t="str">
        <f t="shared" si="18"/>
        <v/>
      </c>
      <c r="L402" s="87"/>
      <c r="M402" s="60">
        <f t="shared" si="19"/>
        <v>1900</v>
      </c>
      <c r="N402" s="60">
        <f t="shared" si="20"/>
        <v>1</v>
      </c>
    </row>
    <row r="403" customHeight="1" spans="2:14">
      <c r="B403" s="86">
        <v>401</v>
      </c>
      <c r="C403" s="87"/>
      <c r="D403" s="87"/>
      <c r="E403" s="60" t="str">
        <f>IFERROR(VLOOKUP(D403,'基础-领用人及部门'!$C:$D,2,FALSE),"-")</f>
        <v>-</v>
      </c>
      <c r="F403" s="87"/>
      <c r="G403" s="60" t="str">
        <f>IFERROR(VLOOKUP($F403,'基础-办公用品信息'!$C:$E,2,FALSE),"-")</f>
        <v>-</v>
      </c>
      <c r="H403" s="60" t="str">
        <f>IFERROR(VLOOKUP($F403,'基础-办公用品信息'!$C:$E,3,FALSE),"-")</f>
        <v>-</v>
      </c>
      <c r="I403" s="60"/>
      <c r="J403" s="60" t="str">
        <f>IFERROR(VLOOKUP($F403,'基础-办公用品信息'!$C:$F,4,FALSE),"-")</f>
        <v>-</v>
      </c>
      <c r="K403" s="60" t="str">
        <f t="shared" si="18"/>
        <v/>
      </c>
      <c r="L403" s="87"/>
      <c r="M403" s="60">
        <f t="shared" si="19"/>
        <v>1900</v>
      </c>
      <c r="N403" s="60">
        <f t="shared" si="20"/>
        <v>1</v>
      </c>
    </row>
    <row r="404" customHeight="1" spans="2:14">
      <c r="B404" s="86">
        <v>402</v>
      </c>
      <c r="C404" s="87"/>
      <c r="D404" s="87"/>
      <c r="E404" s="60" t="str">
        <f>IFERROR(VLOOKUP(D404,'基础-领用人及部门'!$C:$D,2,FALSE),"-")</f>
        <v>-</v>
      </c>
      <c r="F404" s="87"/>
      <c r="G404" s="60" t="str">
        <f>IFERROR(VLOOKUP($F404,'基础-办公用品信息'!$C:$E,2,FALSE),"-")</f>
        <v>-</v>
      </c>
      <c r="H404" s="60" t="str">
        <f>IFERROR(VLOOKUP($F404,'基础-办公用品信息'!$C:$E,3,FALSE),"-")</f>
        <v>-</v>
      </c>
      <c r="I404" s="60"/>
      <c r="J404" s="60" t="str">
        <f>IFERROR(VLOOKUP($F404,'基础-办公用品信息'!$C:$F,4,FALSE),"-")</f>
        <v>-</v>
      </c>
      <c r="K404" s="60" t="str">
        <f t="shared" si="18"/>
        <v/>
      </c>
      <c r="L404" s="87"/>
      <c r="M404" s="60">
        <f t="shared" si="19"/>
        <v>1900</v>
      </c>
      <c r="N404" s="60">
        <f t="shared" si="20"/>
        <v>1</v>
      </c>
    </row>
    <row r="405" customHeight="1" spans="2:14">
      <c r="B405" s="86">
        <v>403</v>
      </c>
      <c r="C405" s="87"/>
      <c r="D405" s="87"/>
      <c r="E405" s="60" t="str">
        <f>IFERROR(VLOOKUP(D405,'基础-领用人及部门'!$C:$D,2,FALSE),"-")</f>
        <v>-</v>
      </c>
      <c r="F405" s="87"/>
      <c r="G405" s="60" t="str">
        <f>IFERROR(VLOOKUP($F405,'基础-办公用品信息'!$C:$E,2,FALSE),"-")</f>
        <v>-</v>
      </c>
      <c r="H405" s="60" t="str">
        <f>IFERROR(VLOOKUP($F405,'基础-办公用品信息'!$C:$E,3,FALSE),"-")</f>
        <v>-</v>
      </c>
      <c r="I405" s="60"/>
      <c r="J405" s="60" t="str">
        <f>IFERROR(VLOOKUP($F405,'基础-办公用品信息'!$C:$F,4,FALSE),"-")</f>
        <v>-</v>
      </c>
      <c r="K405" s="60" t="str">
        <f t="shared" si="18"/>
        <v/>
      </c>
      <c r="L405" s="87"/>
      <c r="M405" s="60">
        <f t="shared" si="19"/>
        <v>1900</v>
      </c>
      <c r="N405" s="60">
        <f t="shared" si="20"/>
        <v>1</v>
      </c>
    </row>
    <row r="406" customHeight="1" spans="2:14">
      <c r="B406" s="86">
        <v>404</v>
      </c>
      <c r="C406" s="87"/>
      <c r="D406" s="87"/>
      <c r="E406" s="60" t="str">
        <f>IFERROR(VLOOKUP(D406,'基础-领用人及部门'!$C:$D,2,FALSE),"-")</f>
        <v>-</v>
      </c>
      <c r="F406" s="87"/>
      <c r="G406" s="60" t="str">
        <f>IFERROR(VLOOKUP($F406,'基础-办公用品信息'!$C:$E,2,FALSE),"-")</f>
        <v>-</v>
      </c>
      <c r="H406" s="60" t="str">
        <f>IFERROR(VLOOKUP($F406,'基础-办公用品信息'!$C:$E,3,FALSE),"-")</f>
        <v>-</v>
      </c>
      <c r="I406" s="60"/>
      <c r="J406" s="60" t="str">
        <f>IFERROR(VLOOKUP($F406,'基础-办公用品信息'!$C:$F,4,FALSE),"-")</f>
        <v>-</v>
      </c>
      <c r="K406" s="60" t="str">
        <f t="shared" si="18"/>
        <v/>
      </c>
      <c r="L406" s="87"/>
      <c r="M406" s="60">
        <f t="shared" si="19"/>
        <v>1900</v>
      </c>
      <c r="N406" s="60">
        <f t="shared" si="20"/>
        <v>1</v>
      </c>
    </row>
    <row r="407" customHeight="1" spans="2:14">
      <c r="B407" s="86">
        <v>405</v>
      </c>
      <c r="C407" s="87"/>
      <c r="D407" s="87"/>
      <c r="E407" s="60" t="str">
        <f>IFERROR(VLOOKUP(D407,'基础-领用人及部门'!$C:$D,2,FALSE),"-")</f>
        <v>-</v>
      </c>
      <c r="F407" s="87"/>
      <c r="G407" s="60" t="str">
        <f>IFERROR(VLOOKUP($F407,'基础-办公用品信息'!$C:$E,2,FALSE),"-")</f>
        <v>-</v>
      </c>
      <c r="H407" s="60" t="str">
        <f>IFERROR(VLOOKUP($F407,'基础-办公用品信息'!$C:$E,3,FALSE),"-")</f>
        <v>-</v>
      </c>
      <c r="I407" s="60"/>
      <c r="J407" s="60" t="str">
        <f>IFERROR(VLOOKUP($F407,'基础-办公用品信息'!$C:$F,4,FALSE),"-")</f>
        <v>-</v>
      </c>
      <c r="K407" s="60" t="str">
        <f t="shared" si="18"/>
        <v/>
      </c>
      <c r="L407" s="87"/>
      <c r="M407" s="60">
        <f t="shared" si="19"/>
        <v>1900</v>
      </c>
      <c r="N407" s="60">
        <f t="shared" si="20"/>
        <v>1</v>
      </c>
    </row>
    <row r="408" customHeight="1" spans="2:14">
      <c r="B408" s="86">
        <v>406</v>
      </c>
      <c r="C408" s="87"/>
      <c r="D408" s="87"/>
      <c r="E408" s="60" t="str">
        <f>IFERROR(VLOOKUP(D408,'基础-领用人及部门'!$C:$D,2,FALSE),"-")</f>
        <v>-</v>
      </c>
      <c r="F408" s="87"/>
      <c r="G408" s="60" t="str">
        <f>IFERROR(VLOOKUP($F408,'基础-办公用品信息'!$C:$E,2,FALSE),"-")</f>
        <v>-</v>
      </c>
      <c r="H408" s="60" t="str">
        <f>IFERROR(VLOOKUP($F408,'基础-办公用品信息'!$C:$E,3,FALSE),"-")</f>
        <v>-</v>
      </c>
      <c r="I408" s="60"/>
      <c r="J408" s="60" t="str">
        <f>IFERROR(VLOOKUP($F408,'基础-办公用品信息'!$C:$F,4,FALSE),"-")</f>
        <v>-</v>
      </c>
      <c r="K408" s="60" t="str">
        <f t="shared" si="18"/>
        <v/>
      </c>
      <c r="L408" s="87"/>
      <c r="M408" s="60">
        <f t="shared" si="19"/>
        <v>1900</v>
      </c>
      <c r="N408" s="60">
        <f t="shared" si="20"/>
        <v>1</v>
      </c>
    </row>
    <row r="409" customHeight="1" spans="2:14">
      <c r="B409" s="86">
        <v>407</v>
      </c>
      <c r="C409" s="87"/>
      <c r="D409" s="87"/>
      <c r="E409" s="60" t="str">
        <f>IFERROR(VLOOKUP(D409,'基础-领用人及部门'!$C:$D,2,FALSE),"-")</f>
        <v>-</v>
      </c>
      <c r="F409" s="87"/>
      <c r="G409" s="60" t="str">
        <f>IFERROR(VLOOKUP($F409,'基础-办公用品信息'!$C:$E,2,FALSE),"-")</f>
        <v>-</v>
      </c>
      <c r="H409" s="60" t="str">
        <f>IFERROR(VLOOKUP($F409,'基础-办公用品信息'!$C:$E,3,FALSE),"-")</f>
        <v>-</v>
      </c>
      <c r="I409" s="60"/>
      <c r="J409" s="60" t="str">
        <f>IFERROR(VLOOKUP($F409,'基础-办公用品信息'!$C:$F,4,FALSE),"-")</f>
        <v>-</v>
      </c>
      <c r="K409" s="60" t="str">
        <f t="shared" si="18"/>
        <v/>
      </c>
      <c r="L409" s="87"/>
      <c r="M409" s="60">
        <f t="shared" si="19"/>
        <v>1900</v>
      </c>
      <c r="N409" s="60">
        <f t="shared" si="20"/>
        <v>1</v>
      </c>
    </row>
    <row r="410" customHeight="1" spans="2:14">
      <c r="B410" s="86">
        <v>408</v>
      </c>
      <c r="C410" s="87"/>
      <c r="D410" s="87"/>
      <c r="E410" s="60" t="str">
        <f>IFERROR(VLOOKUP(D410,'基础-领用人及部门'!$C:$D,2,FALSE),"-")</f>
        <v>-</v>
      </c>
      <c r="F410" s="87"/>
      <c r="G410" s="60" t="str">
        <f>IFERROR(VLOOKUP($F410,'基础-办公用品信息'!$C:$E,2,FALSE),"-")</f>
        <v>-</v>
      </c>
      <c r="H410" s="60" t="str">
        <f>IFERROR(VLOOKUP($F410,'基础-办公用品信息'!$C:$E,3,FALSE),"-")</f>
        <v>-</v>
      </c>
      <c r="I410" s="60"/>
      <c r="J410" s="60" t="str">
        <f>IFERROR(VLOOKUP($F410,'基础-办公用品信息'!$C:$F,4,FALSE),"-")</f>
        <v>-</v>
      </c>
      <c r="K410" s="60" t="str">
        <f t="shared" si="18"/>
        <v/>
      </c>
      <c r="L410" s="87"/>
      <c r="M410" s="60">
        <f t="shared" si="19"/>
        <v>1900</v>
      </c>
      <c r="N410" s="60">
        <f t="shared" si="20"/>
        <v>1</v>
      </c>
    </row>
    <row r="411" customHeight="1" spans="2:14">
      <c r="B411" s="86">
        <v>409</v>
      </c>
      <c r="C411" s="87"/>
      <c r="D411" s="87"/>
      <c r="E411" s="60" t="str">
        <f>IFERROR(VLOOKUP(D411,'基础-领用人及部门'!$C:$D,2,FALSE),"-")</f>
        <v>-</v>
      </c>
      <c r="F411" s="87"/>
      <c r="G411" s="60" t="str">
        <f>IFERROR(VLOOKUP($F411,'基础-办公用品信息'!$C:$E,2,FALSE),"-")</f>
        <v>-</v>
      </c>
      <c r="H411" s="60" t="str">
        <f>IFERROR(VLOOKUP($F411,'基础-办公用品信息'!$C:$E,3,FALSE),"-")</f>
        <v>-</v>
      </c>
      <c r="I411" s="60"/>
      <c r="J411" s="60" t="str">
        <f>IFERROR(VLOOKUP($F411,'基础-办公用品信息'!$C:$F,4,FALSE),"-")</f>
        <v>-</v>
      </c>
      <c r="K411" s="60" t="str">
        <f t="shared" si="18"/>
        <v/>
      </c>
      <c r="L411" s="87"/>
      <c r="M411" s="60">
        <f t="shared" si="19"/>
        <v>1900</v>
      </c>
      <c r="N411" s="60">
        <f t="shared" si="20"/>
        <v>1</v>
      </c>
    </row>
    <row r="412" customHeight="1" spans="2:14">
      <c r="B412" s="86">
        <v>410</v>
      </c>
      <c r="C412" s="87"/>
      <c r="D412" s="87"/>
      <c r="E412" s="60" t="str">
        <f>IFERROR(VLOOKUP(D412,'基础-领用人及部门'!$C:$D,2,FALSE),"-")</f>
        <v>-</v>
      </c>
      <c r="F412" s="87"/>
      <c r="G412" s="60" t="str">
        <f>IFERROR(VLOOKUP($F412,'基础-办公用品信息'!$C:$E,2,FALSE),"-")</f>
        <v>-</v>
      </c>
      <c r="H412" s="60" t="str">
        <f>IFERROR(VLOOKUP($F412,'基础-办公用品信息'!$C:$E,3,FALSE),"-")</f>
        <v>-</v>
      </c>
      <c r="I412" s="60"/>
      <c r="J412" s="60" t="str">
        <f>IFERROR(VLOOKUP($F412,'基础-办公用品信息'!$C:$F,4,FALSE),"-")</f>
        <v>-</v>
      </c>
      <c r="K412" s="60" t="str">
        <f t="shared" si="18"/>
        <v/>
      </c>
      <c r="L412" s="87"/>
      <c r="M412" s="60">
        <f t="shared" si="19"/>
        <v>1900</v>
      </c>
      <c r="N412" s="60">
        <f t="shared" si="20"/>
        <v>1</v>
      </c>
    </row>
    <row r="413" customHeight="1" spans="2:14">
      <c r="B413" s="86">
        <v>411</v>
      </c>
      <c r="C413" s="87"/>
      <c r="D413" s="87"/>
      <c r="E413" s="60" t="str">
        <f>IFERROR(VLOOKUP(D413,'基础-领用人及部门'!$C:$D,2,FALSE),"-")</f>
        <v>-</v>
      </c>
      <c r="F413" s="87"/>
      <c r="G413" s="60" t="str">
        <f>IFERROR(VLOOKUP($F413,'基础-办公用品信息'!$C:$E,2,FALSE),"-")</f>
        <v>-</v>
      </c>
      <c r="H413" s="60" t="str">
        <f>IFERROR(VLOOKUP($F413,'基础-办公用品信息'!$C:$E,3,FALSE),"-")</f>
        <v>-</v>
      </c>
      <c r="I413" s="60"/>
      <c r="J413" s="60" t="str">
        <f>IFERROR(VLOOKUP($F413,'基础-办公用品信息'!$C:$F,4,FALSE),"-")</f>
        <v>-</v>
      </c>
      <c r="K413" s="60" t="str">
        <f t="shared" si="18"/>
        <v/>
      </c>
      <c r="L413" s="87"/>
      <c r="M413" s="60">
        <f t="shared" si="19"/>
        <v>1900</v>
      </c>
      <c r="N413" s="60">
        <f t="shared" si="20"/>
        <v>1</v>
      </c>
    </row>
    <row r="414" customHeight="1" spans="2:14">
      <c r="B414" s="86">
        <v>412</v>
      </c>
      <c r="C414" s="87"/>
      <c r="D414" s="87"/>
      <c r="E414" s="60" t="str">
        <f>IFERROR(VLOOKUP(D414,'基础-领用人及部门'!$C:$D,2,FALSE),"-")</f>
        <v>-</v>
      </c>
      <c r="F414" s="87"/>
      <c r="G414" s="60" t="str">
        <f>IFERROR(VLOOKUP($F414,'基础-办公用品信息'!$C:$E,2,FALSE),"-")</f>
        <v>-</v>
      </c>
      <c r="H414" s="60" t="str">
        <f>IFERROR(VLOOKUP($F414,'基础-办公用品信息'!$C:$E,3,FALSE),"-")</f>
        <v>-</v>
      </c>
      <c r="I414" s="60"/>
      <c r="J414" s="60" t="str">
        <f>IFERROR(VLOOKUP($F414,'基础-办公用品信息'!$C:$F,4,FALSE),"-")</f>
        <v>-</v>
      </c>
      <c r="K414" s="60" t="str">
        <f t="shared" si="18"/>
        <v/>
      </c>
      <c r="L414" s="87"/>
      <c r="M414" s="60">
        <f t="shared" si="19"/>
        <v>1900</v>
      </c>
      <c r="N414" s="60">
        <f t="shared" si="20"/>
        <v>1</v>
      </c>
    </row>
    <row r="415" customHeight="1" spans="2:14">
      <c r="B415" s="86">
        <v>413</v>
      </c>
      <c r="C415" s="87"/>
      <c r="D415" s="87"/>
      <c r="E415" s="60" t="str">
        <f>IFERROR(VLOOKUP(D415,'基础-领用人及部门'!$C:$D,2,FALSE),"-")</f>
        <v>-</v>
      </c>
      <c r="F415" s="87"/>
      <c r="G415" s="60" t="str">
        <f>IFERROR(VLOOKUP($F415,'基础-办公用品信息'!$C:$E,2,FALSE),"-")</f>
        <v>-</v>
      </c>
      <c r="H415" s="60" t="str">
        <f>IFERROR(VLOOKUP($F415,'基础-办公用品信息'!$C:$E,3,FALSE),"-")</f>
        <v>-</v>
      </c>
      <c r="I415" s="60"/>
      <c r="J415" s="60" t="str">
        <f>IFERROR(VLOOKUP($F415,'基础-办公用品信息'!$C:$F,4,FALSE),"-")</f>
        <v>-</v>
      </c>
      <c r="K415" s="60" t="str">
        <f t="shared" si="18"/>
        <v/>
      </c>
      <c r="L415" s="87"/>
      <c r="M415" s="60">
        <f t="shared" si="19"/>
        <v>1900</v>
      </c>
      <c r="N415" s="60">
        <f t="shared" si="20"/>
        <v>1</v>
      </c>
    </row>
    <row r="416" customHeight="1" spans="2:14">
      <c r="B416" s="86">
        <v>414</v>
      </c>
      <c r="C416" s="87"/>
      <c r="D416" s="87"/>
      <c r="E416" s="60" t="str">
        <f>IFERROR(VLOOKUP(D416,'基础-领用人及部门'!$C:$D,2,FALSE),"-")</f>
        <v>-</v>
      </c>
      <c r="F416" s="87"/>
      <c r="G416" s="60" t="str">
        <f>IFERROR(VLOOKUP($F416,'基础-办公用品信息'!$C:$E,2,FALSE),"-")</f>
        <v>-</v>
      </c>
      <c r="H416" s="60" t="str">
        <f>IFERROR(VLOOKUP($F416,'基础-办公用品信息'!$C:$E,3,FALSE),"-")</f>
        <v>-</v>
      </c>
      <c r="I416" s="60"/>
      <c r="J416" s="60" t="str">
        <f>IFERROR(VLOOKUP($F416,'基础-办公用品信息'!$C:$F,4,FALSE),"-")</f>
        <v>-</v>
      </c>
      <c r="K416" s="60" t="str">
        <f t="shared" si="18"/>
        <v/>
      </c>
      <c r="L416" s="87"/>
      <c r="M416" s="60">
        <f t="shared" si="19"/>
        <v>1900</v>
      </c>
      <c r="N416" s="60">
        <f t="shared" si="20"/>
        <v>1</v>
      </c>
    </row>
    <row r="417" customHeight="1" spans="2:14">
      <c r="B417" s="86">
        <v>415</v>
      </c>
      <c r="C417" s="87"/>
      <c r="D417" s="87"/>
      <c r="E417" s="60" t="str">
        <f>IFERROR(VLOOKUP(D417,'基础-领用人及部门'!$C:$D,2,FALSE),"-")</f>
        <v>-</v>
      </c>
      <c r="F417" s="87"/>
      <c r="G417" s="60" t="str">
        <f>IFERROR(VLOOKUP($F417,'基础-办公用品信息'!$C:$E,2,FALSE),"-")</f>
        <v>-</v>
      </c>
      <c r="H417" s="60" t="str">
        <f>IFERROR(VLOOKUP($F417,'基础-办公用品信息'!$C:$E,3,FALSE),"-")</f>
        <v>-</v>
      </c>
      <c r="I417" s="60"/>
      <c r="J417" s="60" t="str">
        <f>IFERROR(VLOOKUP($F417,'基础-办公用品信息'!$C:$F,4,FALSE),"-")</f>
        <v>-</v>
      </c>
      <c r="K417" s="60" t="str">
        <f t="shared" si="18"/>
        <v/>
      </c>
      <c r="L417" s="87"/>
      <c r="M417" s="60">
        <f t="shared" si="19"/>
        <v>1900</v>
      </c>
      <c r="N417" s="60">
        <f t="shared" si="20"/>
        <v>1</v>
      </c>
    </row>
    <row r="418" customHeight="1" spans="2:14">
      <c r="B418" s="86">
        <v>416</v>
      </c>
      <c r="C418" s="87"/>
      <c r="D418" s="87"/>
      <c r="E418" s="60" t="str">
        <f>IFERROR(VLOOKUP(D418,'基础-领用人及部门'!$C:$D,2,FALSE),"-")</f>
        <v>-</v>
      </c>
      <c r="F418" s="87"/>
      <c r="G418" s="60" t="str">
        <f>IFERROR(VLOOKUP($F418,'基础-办公用品信息'!$C:$E,2,FALSE),"-")</f>
        <v>-</v>
      </c>
      <c r="H418" s="60" t="str">
        <f>IFERROR(VLOOKUP($F418,'基础-办公用品信息'!$C:$E,3,FALSE),"-")</f>
        <v>-</v>
      </c>
      <c r="I418" s="60"/>
      <c r="J418" s="60" t="str">
        <f>IFERROR(VLOOKUP($F418,'基础-办公用品信息'!$C:$F,4,FALSE),"-")</f>
        <v>-</v>
      </c>
      <c r="K418" s="60" t="str">
        <f t="shared" si="18"/>
        <v/>
      </c>
      <c r="L418" s="87"/>
      <c r="M418" s="60">
        <f t="shared" si="19"/>
        <v>1900</v>
      </c>
      <c r="N418" s="60">
        <f t="shared" si="20"/>
        <v>1</v>
      </c>
    </row>
    <row r="419" customHeight="1" spans="2:14">
      <c r="B419" s="86">
        <v>417</v>
      </c>
      <c r="C419" s="87"/>
      <c r="D419" s="87"/>
      <c r="E419" s="60" t="str">
        <f>IFERROR(VLOOKUP(D419,'基础-领用人及部门'!$C:$D,2,FALSE),"-")</f>
        <v>-</v>
      </c>
      <c r="F419" s="87"/>
      <c r="G419" s="60" t="str">
        <f>IFERROR(VLOOKUP($F419,'基础-办公用品信息'!$C:$E,2,FALSE),"-")</f>
        <v>-</v>
      </c>
      <c r="H419" s="60" t="str">
        <f>IFERROR(VLOOKUP($F419,'基础-办公用品信息'!$C:$E,3,FALSE),"-")</f>
        <v>-</v>
      </c>
      <c r="I419" s="60"/>
      <c r="J419" s="60" t="str">
        <f>IFERROR(VLOOKUP($F419,'基础-办公用品信息'!$C:$F,4,FALSE),"-")</f>
        <v>-</v>
      </c>
      <c r="K419" s="60" t="str">
        <f t="shared" si="18"/>
        <v/>
      </c>
      <c r="L419" s="87"/>
      <c r="M419" s="60">
        <f t="shared" si="19"/>
        <v>1900</v>
      </c>
      <c r="N419" s="60">
        <f t="shared" si="20"/>
        <v>1</v>
      </c>
    </row>
    <row r="420" customHeight="1" spans="2:14">
      <c r="B420" s="86">
        <v>418</v>
      </c>
      <c r="C420" s="87"/>
      <c r="D420" s="87"/>
      <c r="E420" s="60" t="str">
        <f>IFERROR(VLOOKUP(D420,'基础-领用人及部门'!$C:$D,2,FALSE),"-")</f>
        <v>-</v>
      </c>
      <c r="F420" s="87"/>
      <c r="G420" s="60" t="str">
        <f>IFERROR(VLOOKUP($F420,'基础-办公用品信息'!$C:$E,2,FALSE),"-")</f>
        <v>-</v>
      </c>
      <c r="H420" s="60" t="str">
        <f>IFERROR(VLOOKUP($F420,'基础-办公用品信息'!$C:$E,3,FALSE),"-")</f>
        <v>-</v>
      </c>
      <c r="I420" s="60"/>
      <c r="J420" s="60" t="str">
        <f>IFERROR(VLOOKUP($F420,'基础-办公用品信息'!$C:$F,4,FALSE),"-")</f>
        <v>-</v>
      </c>
      <c r="K420" s="60" t="str">
        <f t="shared" si="18"/>
        <v/>
      </c>
      <c r="L420" s="87"/>
      <c r="M420" s="60">
        <f t="shared" si="19"/>
        <v>1900</v>
      </c>
      <c r="N420" s="60">
        <f t="shared" si="20"/>
        <v>1</v>
      </c>
    </row>
    <row r="421" customHeight="1" spans="2:14">
      <c r="B421" s="86">
        <v>419</v>
      </c>
      <c r="C421" s="87"/>
      <c r="D421" s="87"/>
      <c r="E421" s="60" t="str">
        <f>IFERROR(VLOOKUP(D421,'基础-领用人及部门'!$C:$D,2,FALSE),"-")</f>
        <v>-</v>
      </c>
      <c r="F421" s="87"/>
      <c r="G421" s="60" t="str">
        <f>IFERROR(VLOOKUP($F421,'基础-办公用品信息'!$C:$E,2,FALSE),"-")</f>
        <v>-</v>
      </c>
      <c r="H421" s="60" t="str">
        <f>IFERROR(VLOOKUP($F421,'基础-办公用品信息'!$C:$E,3,FALSE),"-")</f>
        <v>-</v>
      </c>
      <c r="I421" s="60"/>
      <c r="J421" s="60" t="str">
        <f>IFERROR(VLOOKUP($F421,'基础-办公用品信息'!$C:$F,4,FALSE),"-")</f>
        <v>-</v>
      </c>
      <c r="K421" s="60" t="str">
        <f t="shared" si="18"/>
        <v/>
      </c>
      <c r="L421" s="87"/>
      <c r="M421" s="60">
        <f t="shared" si="19"/>
        <v>1900</v>
      </c>
      <c r="N421" s="60">
        <f t="shared" si="20"/>
        <v>1</v>
      </c>
    </row>
    <row r="422" customHeight="1" spans="2:14">
      <c r="B422" s="86">
        <v>420</v>
      </c>
      <c r="C422" s="87"/>
      <c r="D422" s="87"/>
      <c r="E422" s="60" t="str">
        <f>IFERROR(VLOOKUP(D422,'基础-领用人及部门'!$C:$D,2,FALSE),"-")</f>
        <v>-</v>
      </c>
      <c r="F422" s="87"/>
      <c r="G422" s="60" t="str">
        <f>IFERROR(VLOOKUP($F422,'基础-办公用品信息'!$C:$E,2,FALSE),"-")</f>
        <v>-</v>
      </c>
      <c r="H422" s="60" t="str">
        <f>IFERROR(VLOOKUP($F422,'基础-办公用品信息'!$C:$E,3,FALSE),"-")</f>
        <v>-</v>
      </c>
      <c r="I422" s="60"/>
      <c r="J422" s="60" t="str">
        <f>IFERROR(VLOOKUP($F422,'基础-办公用品信息'!$C:$F,4,FALSE),"-")</f>
        <v>-</v>
      </c>
      <c r="K422" s="60" t="str">
        <f t="shared" si="18"/>
        <v/>
      </c>
      <c r="L422" s="87"/>
      <c r="M422" s="60">
        <f t="shared" si="19"/>
        <v>1900</v>
      </c>
      <c r="N422" s="60">
        <f t="shared" si="20"/>
        <v>1</v>
      </c>
    </row>
    <row r="423" customHeight="1" spans="2:14">
      <c r="B423" s="86">
        <v>421</v>
      </c>
      <c r="C423" s="87"/>
      <c r="D423" s="87"/>
      <c r="E423" s="60" t="str">
        <f>IFERROR(VLOOKUP(D423,'基础-领用人及部门'!$C:$D,2,FALSE),"-")</f>
        <v>-</v>
      </c>
      <c r="F423" s="87"/>
      <c r="G423" s="60" t="str">
        <f>IFERROR(VLOOKUP($F423,'基础-办公用品信息'!$C:$E,2,FALSE),"-")</f>
        <v>-</v>
      </c>
      <c r="H423" s="60" t="str">
        <f>IFERROR(VLOOKUP($F423,'基础-办公用品信息'!$C:$E,3,FALSE),"-")</f>
        <v>-</v>
      </c>
      <c r="I423" s="60"/>
      <c r="J423" s="60" t="str">
        <f>IFERROR(VLOOKUP($F423,'基础-办公用品信息'!$C:$F,4,FALSE),"-")</f>
        <v>-</v>
      </c>
      <c r="K423" s="60" t="str">
        <f t="shared" si="18"/>
        <v/>
      </c>
      <c r="L423" s="87"/>
      <c r="M423" s="60">
        <f t="shared" si="19"/>
        <v>1900</v>
      </c>
      <c r="N423" s="60">
        <f t="shared" si="20"/>
        <v>1</v>
      </c>
    </row>
    <row r="424" customHeight="1" spans="2:14">
      <c r="B424" s="86">
        <v>422</v>
      </c>
      <c r="C424" s="87"/>
      <c r="D424" s="87"/>
      <c r="E424" s="60" t="str">
        <f>IFERROR(VLOOKUP(D424,'基础-领用人及部门'!$C:$D,2,FALSE),"-")</f>
        <v>-</v>
      </c>
      <c r="F424" s="87"/>
      <c r="G424" s="60" t="str">
        <f>IFERROR(VLOOKUP($F424,'基础-办公用品信息'!$C:$E,2,FALSE),"-")</f>
        <v>-</v>
      </c>
      <c r="H424" s="60" t="str">
        <f>IFERROR(VLOOKUP($F424,'基础-办公用品信息'!$C:$E,3,FALSE),"-")</f>
        <v>-</v>
      </c>
      <c r="I424" s="60"/>
      <c r="J424" s="60" t="str">
        <f>IFERROR(VLOOKUP($F424,'基础-办公用品信息'!$C:$F,4,FALSE),"-")</f>
        <v>-</v>
      </c>
      <c r="K424" s="60" t="str">
        <f t="shared" si="18"/>
        <v/>
      </c>
      <c r="L424" s="87"/>
      <c r="M424" s="60">
        <f t="shared" si="19"/>
        <v>1900</v>
      </c>
      <c r="N424" s="60">
        <f t="shared" si="20"/>
        <v>1</v>
      </c>
    </row>
    <row r="425" customHeight="1" spans="2:14">
      <c r="B425" s="86">
        <v>423</v>
      </c>
      <c r="C425" s="87"/>
      <c r="D425" s="87"/>
      <c r="E425" s="60" t="str">
        <f>IFERROR(VLOOKUP(D425,'基础-领用人及部门'!$C:$D,2,FALSE),"-")</f>
        <v>-</v>
      </c>
      <c r="F425" s="87"/>
      <c r="G425" s="60" t="str">
        <f>IFERROR(VLOOKUP($F425,'基础-办公用品信息'!$C:$E,2,FALSE),"-")</f>
        <v>-</v>
      </c>
      <c r="H425" s="60" t="str">
        <f>IFERROR(VLOOKUP($F425,'基础-办公用品信息'!$C:$E,3,FALSE),"-")</f>
        <v>-</v>
      </c>
      <c r="I425" s="60"/>
      <c r="J425" s="60" t="str">
        <f>IFERROR(VLOOKUP($F425,'基础-办公用品信息'!$C:$F,4,FALSE),"-")</f>
        <v>-</v>
      </c>
      <c r="K425" s="60" t="str">
        <f t="shared" si="18"/>
        <v/>
      </c>
      <c r="L425" s="87"/>
      <c r="M425" s="60">
        <f t="shared" si="19"/>
        <v>1900</v>
      </c>
      <c r="N425" s="60">
        <f t="shared" si="20"/>
        <v>1</v>
      </c>
    </row>
    <row r="426" customHeight="1" spans="2:14">
      <c r="B426" s="86">
        <v>424</v>
      </c>
      <c r="C426" s="87"/>
      <c r="D426" s="87"/>
      <c r="E426" s="60" t="str">
        <f>IFERROR(VLOOKUP(D426,'基础-领用人及部门'!$C:$D,2,FALSE),"-")</f>
        <v>-</v>
      </c>
      <c r="F426" s="87"/>
      <c r="G426" s="60" t="str">
        <f>IFERROR(VLOOKUP($F426,'基础-办公用品信息'!$C:$E,2,FALSE),"-")</f>
        <v>-</v>
      </c>
      <c r="H426" s="60" t="str">
        <f>IFERROR(VLOOKUP($F426,'基础-办公用品信息'!$C:$E,3,FALSE),"-")</f>
        <v>-</v>
      </c>
      <c r="I426" s="60"/>
      <c r="J426" s="60" t="str">
        <f>IFERROR(VLOOKUP($F426,'基础-办公用品信息'!$C:$F,4,FALSE),"-")</f>
        <v>-</v>
      </c>
      <c r="K426" s="60" t="str">
        <f t="shared" si="18"/>
        <v/>
      </c>
      <c r="L426" s="87"/>
      <c r="M426" s="60">
        <f t="shared" si="19"/>
        <v>1900</v>
      </c>
      <c r="N426" s="60">
        <f t="shared" si="20"/>
        <v>1</v>
      </c>
    </row>
    <row r="427" customHeight="1" spans="2:14">
      <c r="B427" s="86">
        <v>425</v>
      </c>
      <c r="C427" s="87"/>
      <c r="D427" s="87"/>
      <c r="E427" s="60" t="str">
        <f>IFERROR(VLOOKUP(D427,'基础-领用人及部门'!$C:$D,2,FALSE),"-")</f>
        <v>-</v>
      </c>
      <c r="F427" s="87"/>
      <c r="G427" s="60" t="str">
        <f>IFERROR(VLOOKUP($F427,'基础-办公用品信息'!$C:$E,2,FALSE),"-")</f>
        <v>-</v>
      </c>
      <c r="H427" s="60" t="str">
        <f>IFERROR(VLOOKUP($F427,'基础-办公用品信息'!$C:$E,3,FALSE),"-")</f>
        <v>-</v>
      </c>
      <c r="I427" s="60"/>
      <c r="J427" s="60" t="str">
        <f>IFERROR(VLOOKUP($F427,'基础-办公用品信息'!$C:$F,4,FALSE),"-")</f>
        <v>-</v>
      </c>
      <c r="K427" s="60" t="str">
        <f t="shared" si="18"/>
        <v/>
      </c>
      <c r="L427" s="87"/>
      <c r="M427" s="60">
        <f t="shared" si="19"/>
        <v>1900</v>
      </c>
      <c r="N427" s="60">
        <f t="shared" si="20"/>
        <v>1</v>
      </c>
    </row>
    <row r="428" customHeight="1" spans="2:14">
      <c r="B428" s="86">
        <v>426</v>
      </c>
      <c r="C428" s="87"/>
      <c r="D428" s="87"/>
      <c r="E428" s="60" t="str">
        <f>IFERROR(VLOOKUP(D428,'基础-领用人及部门'!$C:$D,2,FALSE),"-")</f>
        <v>-</v>
      </c>
      <c r="F428" s="87"/>
      <c r="G428" s="60" t="str">
        <f>IFERROR(VLOOKUP($F428,'基础-办公用品信息'!$C:$E,2,FALSE),"-")</f>
        <v>-</v>
      </c>
      <c r="H428" s="60" t="str">
        <f>IFERROR(VLOOKUP($F428,'基础-办公用品信息'!$C:$E,3,FALSE),"-")</f>
        <v>-</v>
      </c>
      <c r="I428" s="60"/>
      <c r="J428" s="60" t="str">
        <f>IFERROR(VLOOKUP($F428,'基础-办公用品信息'!$C:$F,4,FALSE),"-")</f>
        <v>-</v>
      </c>
      <c r="K428" s="60" t="str">
        <f t="shared" si="18"/>
        <v/>
      </c>
      <c r="L428" s="87"/>
      <c r="M428" s="60">
        <f t="shared" si="19"/>
        <v>1900</v>
      </c>
      <c r="N428" s="60">
        <f t="shared" si="20"/>
        <v>1</v>
      </c>
    </row>
    <row r="429" customHeight="1" spans="2:14">
      <c r="B429" s="86">
        <v>427</v>
      </c>
      <c r="C429" s="87"/>
      <c r="D429" s="87"/>
      <c r="E429" s="60" t="str">
        <f>IFERROR(VLOOKUP(D429,'基础-领用人及部门'!$C:$D,2,FALSE),"-")</f>
        <v>-</v>
      </c>
      <c r="F429" s="87"/>
      <c r="G429" s="60" t="str">
        <f>IFERROR(VLOOKUP($F429,'基础-办公用品信息'!$C:$E,2,FALSE),"-")</f>
        <v>-</v>
      </c>
      <c r="H429" s="60" t="str">
        <f>IFERROR(VLOOKUP($F429,'基础-办公用品信息'!$C:$E,3,FALSE),"-")</f>
        <v>-</v>
      </c>
      <c r="I429" s="60"/>
      <c r="J429" s="60" t="str">
        <f>IFERROR(VLOOKUP($F429,'基础-办公用品信息'!$C:$F,4,FALSE),"-")</f>
        <v>-</v>
      </c>
      <c r="K429" s="60" t="str">
        <f t="shared" si="18"/>
        <v/>
      </c>
      <c r="L429" s="87"/>
      <c r="M429" s="60">
        <f t="shared" si="19"/>
        <v>1900</v>
      </c>
      <c r="N429" s="60">
        <f t="shared" si="20"/>
        <v>1</v>
      </c>
    </row>
    <row r="430" customHeight="1" spans="2:14">
      <c r="B430" s="86">
        <v>428</v>
      </c>
      <c r="C430" s="87"/>
      <c r="D430" s="87"/>
      <c r="E430" s="60" t="str">
        <f>IFERROR(VLOOKUP(D430,'基础-领用人及部门'!$C:$D,2,FALSE),"-")</f>
        <v>-</v>
      </c>
      <c r="F430" s="87"/>
      <c r="G430" s="60" t="str">
        <f>IFERROR(VLOOKUP($F430,'基础-办公用品信息'!$C:$E,2,FALSE),"-")</f>
        <v>-</v>
      </c>
      <c r="H430" s="60" t="str">
        <f>IFERROR(VLOOKUP($F430,'基础-办公用品信息'!$C:$E,3,FALSE),"-")</f>
        <v>-</v>
      </c>
      <c r="I430" s="60"/>
      <c r="J430" s="60" t="str">
        <f>IFERROR(VLOOKUP($F430,'基础-办公用品信息'!$C:$F,4,FALSE),"-")</f>
        <v>-</v>
      </c>
      <c r="K430" s="60" t="str">
        <f t="shared" si="18"/>
        <v/>
      </c>
      <c r="L430" s="87"/>
      <c r="M430" s="60">
        <f t="shared" si="19"/>
        <v>1900</v>
      </c>
      <c r="N430" s="60">
        <f t="shared" si="20"/>
        <v>1</v>
      </c>
    </row>
    <row r="431" customHeight="1" spans="2:14">
      <c r="B431" s="86">
        <v>429</v>
      </c>
      <c r="C431" s="87"/>
      <c r="D431" s="87"/>
      <c r="E431" s="60" t="str">
        <f>IFERROR(VLOOKUP(D431,'基础-领用人及部门'!$C:$D,2,FALSE),"-")</f>
        <v>-</v>
      </c>
      <c r="F431" s="87"/>
      <c r="G431" s="60" t="str">
        <f>IFERROR(VLOOKUP($F431,'基础-办公用品信息'!$C:$E,2,FALSE),"-")</f>
        <v>-</v>
      </c>
      <c r="H431" s="60" t="str">
        <f>IFERROR(VLOOKUP($F431,'基础-办公用品信息'!$C:$E,3,FALSE),"-")</f>
        <v>-</v>
      </c>
      <c r="I431" s="60"/>
      <c r="J431" s="60" t="str">
        <f>IFERROR(VLOOKUP($F431,'基础-办公用品信息'!$C:$F,4,FALSE),"-")</f>
        <v>-</v>
      </c>
      <c r="K431" s="60" t="str">
        <f t="shared" si="18"/>
        <v/>
      </c>
      <c r="L431" s="87"/>
      <c r="M431" s="60">
        <f t="shared" si="19"/>
        <v>1900</v>
      </c>
      <c r="N431" s="60">
        <f t="shared" si="20"/>
        <v>1</v>
      </c>
    </row>
    <row r="432" customHeight="1" spans="2:14">
      <c r="B432" s="86">
        <v>430</v>
      </c>
      <c r="C432" s="87"/>
      <c r="D432" s="87"/>
      <c r="E432" s="60" t="str">
        <f>IFERROR(VLOOKUP(D432,'基础-领用人及部门'!$C:$D,2,FALSE),"-")</f>
        <v>-</v>
      </c>
      <c r="F432" s="87"/>
      <c r="G432" s="60" t="str">
        <f>IFERROR(VLOOKUP($F432,'基础-办公用品信息'!$C:$E,2,FALSE),"-")</f>
        <v>-</v>
      </c>
      <c r="H432" s="60" t="str">
        <f>IFERROR(VLOOKUP($F432,'基础-办公用品信息'!$C:$E,3,FALSE),"-")</f>
        <v>-</v>
      </c>
      <c r="I432" s="60"/>
      <c r="J432" s="60" t="str">
        <f>IFERROR(VLOOKUP($F432,'基础-办公用品信息'!$C:$F,4,FALSE),"-")</f>
        <v>-</v>
      </c>
      <c r="K432" s="60" t="str">
        <f t="shared" si="18"/>
        <v/>
      </c>
      <c r="L432" s="87"/>
      <c r="M432" s="60">
        <f t="shared" si="19"/>
        <v>1900</v>
      </c>
      <c r="N432" s="60">
        <f t="shared" si="20"/>
        <v>1</v>
      </c>
    </row>
    <row r="433" customHeight="1" spans="2:14">
      <c r="B433" s="86">
        <v>431</v>
      </c>
      <c r="C433" s="87"/>
      <c r="D433" s="87"/>
      <c r="E433" s="60" t="str">
        <f>IFERROR(VLOOKUP(D433,'基础-领用人及部门'!$C:$D,2,FALSE),"-")</f>
        <v>-</v>
      </c>
      <c r="F433" s="87"/>
      <c r="G433" s="60" t="str">
        <f>IFERROR(VLOOKUP($F433,'基础-办公用品信息'!$C:$E,2,FALSE),"-")</f>
        <v>-</v>
      </c>
      <c r="H433" s="60" t="str">
        <f>IFERROR(VLOOKUP($F433,'基础-办公用品信息'!$C:$E,3,FALSE),"-")</f>
        <v>-</v>
      </c>
      <c r="I433" s="60"/>
      <c r="J433" s="60" t="str">
        <f>IFERROR(VLOOKUP($F433,'基础-办公用品信息'!$C:$F,4,FALSE),"-")</f>
        <v>-</v>
      </c>
      <c r="K433" s="60" t="str">
        <f t="shared" si="18"/>
        <v/>
      </c>
      <c r="L433" s="87"/>
      <c r="M433" s="60">
        <f t="shared" si="19"/>
        <v>1900</v>
      </c>
      <c r="N433" s="60">
        <f t="shared" si="20"/>
        <v>1</v>
      </c>
    </row>
    <row r="434" customHeight="1" spans="2:14">
      <c r="B434" s="86">
        <v>432</v>
      </c>
      <c r="C434" s="87"/>
      <c r="D434" s="87"/>
      <c r="E434" s="60" t="str">
        <f>IFERROR(VLOOKUP(D434,'基础-领用人及部门'!$C:$D,2,FALSE),"-")</f>
        <v>-</v>
      </c>
      <c r="F434" s="87"/>
      <c r="G434" s="60" t="str">
        <f>IFERROR(VLOOKUP($F434,'基础-办公用品信息'!$C:$E,2,FALSE),"-")</f>
        <v>-</v>
      </c>
      <c r="H434" s="60" t="str">
        <f>IFERROR(VLOOKUP($F434,'基础-办公用品信息'!$C:$E,3,FALSE),"-")</f>
        <v>-</v>
      </c>
      <c r="I434" s="60"/>
      <c r="J434" s="60" t="str">
        <f>IFERROR(VLOOKUP($F434,'基础-办公用品信息'!$C:$F,4,FALSE),"-")</f>
        <v>-</v>
      </c>
      <c r="K434" s="60" t="str">
        <f t="shared" si="18"/>
        <v/>
      </c>
      <c r="L434" s="87"/>
      <c r="M434" s="60">
        <f t="shared" si="19"/>
        <v>1900</v>
      </c>
      <c r="N434" s="60">
        <f t="shared" si="20"/>
        <v>1</v>
      </c>
    </row>
    <row r="435" customHeight="1" spans="2:14">
      <c r="B435" s="86">
        <v>433</v>
      </c>
      <c r="C435" s="87"/>
      <c r="D435" s="87"/>
      <c r="E435" s="60" t="str">
        <f>IFERROR(VLOOKUP(D435,'基础-领用人及部门'!$C:$D,2,FALSE),"-")</f>
        <v>-</v>
      </c>
      <c r="F435" s="87"/>
      <c r="G435" s="60" t="str">
        <f>IFERROR(VLOOKUP($F435,'基础-办公用品信息'!$C:$E,2,FALSE),"-")</f>
        <v>-</v>
      </c>
      <c r="H435" s="60" t="str">
        <f>IFERROR(VLOOKUP($F435,'基础-办公用品信息'!$C:$E,3,FALSE),"-")</f>
        <v>-</v>
      </c>
      <c r="I435" s="60"/>
      <c r="J435" s="60" t="str">
        <f>IFERROR(VLOOKUP($F435,'基础-办公用品信息'!$C:$F,4,FALSE),"-")</f>
        <v>-</v>
      </c>
      <c r="K435" s="60" t="str">
        <f t="shared" si="18"/>
        <v/>
      </c>
      <c r="L435" s="87"/>
      <c r="M435" s="60">
        <f t="shared" si="19"/>
        <v>1900</v>
      </c>
      <c r="N435" s="60">
        <f t="shared" si="20"/>
        <v>1</v>
      </c>
    </row>
    <row r="436" customHeight="1" spans="2:14">
      <c r="B436" s="86">
        <v>434</v>
      </c>
      <c r="C436" s="87"/>
      <c r="D436" s="87"/>
      <c r="E436" s="60" t="str">
        <f>IFERROR(VLOOKUP(D436,'基础-领用人及部门'!$C:$D,2,FALSE),"-")</f>
        <v>-</v>
      </c>
      <c r="F436" s="87"/>
      <c r="G436" s="60" t="str">
        <f>IFERROR(VLOOKUP($F436,'基础-办公用品信息'!$C:$E,2,FALSE),"-")</f>
        <v>-</v>
      </c>
      <c r="H436" s="60" t="str">
        <f>IFERROR(VLOOKUP($F436,'基础-办公用品信息'!$C:$E,3,FALSE),"-")</f>
        <v>-</v>
      </c>
      <c r="I436" s="60"/>
      <c r="J436" s="60" t="str">
        <f>IFERROR(VLOOKUP($F436,'基础-办公用品信息'!$C:$F,4,FALSE),"-")</f>
        <v>-</v>
      </c>
      <c r="K436" s="60" t="str">
        <f t="shared" si="18"/>
        <v/>
      </c>
      <c r="L436" s="87"/>
      <c r="M436" s="60">
        <f t="shared" si="19"/>
        <v>1900</v>
      </c>
      <c r="N436" s="60">
        <f t="shared" si="20"/>
        <v>1</v>
      </c>
    </row>
    <row r="437" customHeight="1" spans="2:14">
      <c r="B437" s="86">
        <v>435</v>
      </c>
      <c r="C437" s="87"/>
      <c r="D437" s="87"/>
      <c r="E437" s="60" t="str">
        <f>IFERROR(VLOOKUP(D437,'基础-领用人及部门'!$C:$D,2,FALSE),"-")</f>
        <v>-</v>
      </c>
      <c r="F437" s="87"/>
      <c r="G437" s="60" t="str">
        <f>IFERROR(VLOOKUP($F437,'基础-办公用品信息'!$C:$E,2,FALSE),"-")</f>
        <v>-</v>
      </c>
      <c r="H437" s="60" t="str">
        <f>IFERROR(VLOOKUP($F437,'基础-办公用品信息'!$C:$E,3,FALSE),"-")</f>
        <v>-</v>
      </c>
      <c r="I437" s="60"/>
      <c r="J437" s="60" t="str">
        <f>IFERROR(VLOOKUP($F437,'基础-办公用品信息'!$C:$F,4,FALSE),"-")</f>
        <v>-</v>
      </c>
      <c r="K437" s="60" t="str">
        <f t="shared" si="18"/>
        <v/>
      </c>
      <c r="L437" s="87"/>
      <c r="M437" s="60">
        <f t="shared" si="19"/>
        <v>1900</v>
      </c>
      <c r="N437" s="60">
        <f t="shared" si="20"/>
        <v>1</v>
      </c>
    </row>
    <row r="438" customHeight="1" spans="2:14">
      <c r="B438" s="86">
        <v>436</v>
      </c>
      <c r="C438" s="87"/>
      <c r="D438" s="87"/>
      <c r="E438" s="60" t="str">
        <f>IFERROR(VLOOKUP(D438,'基础-领用人及部门'!$C:$D,2,FALSE),"-")</f>
        <v>-</v>
      </c>
      <c r="F438" s="87"/>
      <c r="G438" s="60" t="str">
        <f>IFERROR(VLOOKUP($F438,'基础-办公用品信息'!$C:$E,2,FALSE),"-")</f>
        <v>-</v>
      </c>
      <c r="H438" s="60" t="str">
        <f>IFERROR(VLOOKUP($F438,'基础-办公用品信息'!$C:$E,3,FALSE),"-")</f>
        <v>-</v>
      </c>
      <c r="I438" s="60"/>
      <c r="J438" s="60" t="str">
        <f>IFERROR(VLOOKUP($F438,'基础-办公用品信息'!$C:$F,4,FALSE),"-")</f>
        <v>-</v>
      </c>
      <c r="K438" s="60" t="str">
        <f t="shared" si="18"/>
        <v/>
      </c>
      <c r="L438" s="87"/>
      <c r="M438" s="60">
        <f t="shared" si="19"/>
        <v>1900</v>
      </c>
      <c r="N438" s="60">
        <f t="shared" si="20"/>
        <v>1</v>
      </c>
    </row>
    <row r="439" customHeight="1" spans="2:14">
      <c r="B439" s="86">
        <v>437</v>
      </c>
      <c r="C439" s="87"/>
      <c r="D439" s="87"/>
      <c r="E439" s="60" t="str">
        <f>IFERROR(VLOOKUP(D439,'基础-领用人及部门'!$C:$D,2,FALSE),"-")</f>
        <v>-</v>
      </c>
      <c r="F439" s="87"/>
      <c r="G439" s="60" t="str">
        <f>IFERROR(VLOOKUP($F439,'基础-办公用品信息'!$C:$E,2,FALSE),"-")</f>
        <v>-</v>
      </c>
      <c r="H439" s="60" t="str">
        <f>IFERROR(VLOOKUP($F439,'基础-办公用品信息'!$C:$E,3,FALSE),"-")</f>
        <v>-</v>
      </c>
      <c r="I439" s="60"/>
      <c r="J439" s="60" t="str">
        <f>IFERROR(VLOOKUP($F439,'基础-办公用品信息'!$C:$F,4,FALSE),"-")</f>
        <v>-</v>
      </c>
      <c r="K439" s="60" t="str">
        <f t="shared" si="18"/>
        <v/>
      </c>
      <c r="L439" s="87"/>
      <c r="M439" s="60">
        <f t="shared" si="19"/>
        <v>1900</v>
      </c>
      <c r="N439" s="60">
        <f t="shared" si="20"/>
        <v>1</v>
      </c>
    </row>
    <row r="440" customHeight="1" spans="2:14">
      <c r="B440" s="86">
        <v>438</v>
      </c>
      <c r="C440" s="87"/>
      <c r="D440" s="87"/>
      <c r="E440" s="60" t="str">
        <f>IFERROR(VLOOKUP(D440,'基础-领用人及部门'!$C:$D,2,FALSE),"-")</f>
        <v>-</v>
      </c>
      <c r="F440" s="87"/>
      <c r="G440" s="60" t="str">
        <f>IFERROR(VLOOKUP($F440,'基础-办公用品信息'!$C:$E,2,FALSE),"-")</f>
        <v>-</v>
      </c>
      <c r="H440" s="60" t="str">
        <f>IFERROR(VLOOKUP($F440,'基础-办公用品信息'!$C:$E,3,FALSE),"-")</f>
        <v>-</v>
      </c>
      <c r="I440" s="60"/>
      <c r="J440" s="60" t="str">
        <f>IFERROR(VLOOKUP($F440,'基础-办公用品信息'!$C:$F,4,FALSE),"-")</f>
        <v>-</v>
      </c>
      <c r="K440" s="60" t="str">
        <f t="shared" si="18"/>
        <v/>
      </c>
      <c r="L440" s="87"/>
      <c r="M440" s="60">
        <f t="shared" si="19"/>
        <v>1900</v>
      </c>
      <c r="N440" s="60">
        <f t="shared" si="20"/>
        <v>1</v>
      </c>
    </row>
    <row r="441" customHeight="1" spans="2:14">
      <c r="B441" s="86">
        <v>439</v>
      </c>
      <c r="C441" s="87"/>
      <c r="D441" s="87"/>
      <c r="E441" s="60" t="str">
        <f>IFERROR(VLOOKUP(D441,'基础-领用人及部门'!$C:$D,2,FALSE),"-")</f>
        <v>-</v>
      </c>
      <c r="F441" s="87"/>
      <c r="G441" s="60" t="str">
        <f>IFERROR(VLOOKUP($F441,'基础-办公用品信息'!$C:$E,2,FALSE),"-")</f>
        <v>-</v>
      </c>
      <c r="H441" s="60" t="str">
        <f>IFERROR(VLOOKUP($F441,'基础-办公用品信息'!$C:$E,3,FALSE),"-")</f>
        <v>-</v>
      </c>
      <c r="I441" s="60"/>
      <c r="J441" s="60" t="str">
        <f>IFERROR(VLOOKUP($F441,'基础-办公用品信息'!$C:$F,4,FALSE),"-")</f>
        <v>-</v>
      </c>
      <c r="K441" s="60" t="str">
        <f t="shared" si="18"/>
        <v/>
      </c>
      <c r="L441" s="87"/>
      <c r="M441" s="60">
        <f t="shared" si="19"/>
        <v>1900</v>
      </c>
      <c r="N441" s="60">
        <f t="shared" si="20"/>
        <v>1</v>
      </c>
    </row>
    <row r="442" customHeight="1" spans="2:14">
      <c r="B442" s="86">
        <v>440</v>
      </c>
      <c r="C442" s="87"/>
      <c r="D442" s="87"/>
      <c r="E442" s="60" t="str">
        <f>IFERROR(VLOOKUP(D442,'基础-领用人及部门'!$C:$D,2,FALSE),"-")</f>
        <v>-</v>
      </c>
      <c r="F442" s="87"/>
      <c r="G442" s="60" t="str">
        <f>IFERROR(VLOOKUP($F442,'基础-办公用品信息'!$C:$E,2,FALSE),"-")</f>
        <v>-</v>
      </c>
      <c r="H442" s="60" t="str">
        <f>IFERROR(VLOOKUP($F442,'基础-办公用品信息'!$C:$E,3,FALSE),"-")</f>
        <v>-</v>
      </c>
      <c r="I442" s="60"/>
      <c r="J442" s="60" t="str">
        <f>IFERROR(VLOOKUP($F442,'基础-办公用品信息'!$C:$F,4,FALSE),"-")</f>
        <v>-</v>
      </c>
      <c r="K442" s="60" t="str">
        <f t="shared" si="18"/>
        <v/>
      </c>
      <c r="L442" s="87"/>
      <c r="M442" s="60">
        <f t="shared" si="19"/>
        <v>1900</v>
      </c>
      <c r="N442" s="60">
        <f t="shared" si="20"/>
        <v>1</v>
      </c>
    </row>
    <row r="443" customHeight="1" spans="2:14">
      <c r="B443" s="86">
        <v>441</v>
      </c>
      <c r="C443" s="87"/>
      <c r="D443" s="87"/>
      <c r="E443" s="60" t="str">
        <f>IFERROR(VLOOKUP(D443,'基础-领用人及部门'!$C:$D,2,FALSE),"-")</f>
        <v>-</v>
      </c>
      <c r="F443" s="87"/>
      <c r="G443" s="60" t="str">
        <f>IFERROR(VLOOKUP($F443,'基础-办公用品信息'!$C:$E,2,FALSE),"-")</f>
        <v>-</v>
      </c>
      <c r="H443" s="60" t="str">
        <f>IFERROR(VLOOKUP($F443,'基础-办公用品信息'!$C:$E,3,FALSE),"-")</f>
        <v>-</v>
      </c>
      <c r="I443" s="60"/>
      <c r="J443" s="60" t="str">
        <f>IFERROR(VLOOKUP($F443,'基础-办公用品信息'!$C:$F,4,FALSE),"-")</f>
        <v>-</v>
      </c>
      <c r="K443" s="60" t="str">
        <f t="shared" si="18"/>
        <v/>
      </c>
      <c r="L443" s="87"/>
      <c r="M443" s="60">
        <f t="shared" si="19"/>
        <v>1900</v>
      </c>
      <c r="N443" s="60">
        <f t="shared" si="20"/>
        <v>1</v>
      </c>
    </row>
    <row r="444" customHeight="1" spans="2:14">
      <c r="B444" s="86">
        <v>442</v>
      </c>
      <c r="C444" s="87"/>
      <c r="D444" s="87"/>
      <c r="E444" s="60" t="str">
        <f>IFERROR(VLOOKUP(D444,'基础-领用人及部门'!$C:$D,2,FALSE),"-")</f>
        <v>-</v>
      </c>
      <c r="F444" s="87"/>
      <c r="G444" s="60" t="str">
        <f>IFERROR(VLOOKUP($F444,'基础-办公用品信息'!$C:$E,2,FALSE),"-")</f>
        <v>-</v>
      </c>
      <c r="H444" s="60" t="str">
        <f>IFERROR(VLOOKUP($F444,'基础-办公用品信息'!$C:$E,3,FALSE),"-")</f>
        <v>-</v>
      </c>
      <c r="I444" s="60"/>
      <c r="J444" s="60" t="str">
        <f>IFERROR(VLOOKUP($F444,'基础-办公用品信息'!$C:$F,4,FALSE),"-")</f>
        <v>-</v>
      </c>
      <c r="K444" s="60" t="str">
        <f t="shared" si="18"/>
        <v/>
      </c>
      <c r="L444" s="87"/>
      <c r="M444" s="60">
        <f t="shared" si="19"/>
        <v>1900</v>
      </c>
      <c r="N444" s="60">
        <f t="shared" si="20"/>
        <v>1</v>
      </c>
    </row>
    <row r="445" customHeight="1" spans="2:14">
      <c r="B445" s="86">
        <v>443</v>
      </c>
      <c r="C445" s="87"/>
      <c r="D445" s="87"/>
      <c r="E445" s="60" t="str">
        <f>IFERROR(VLOOKUP(D445,'基础-领用人及部门'!$C:$D,2,FALSE),"-")</f>
        <v>-</v>
      </c>
      <c r="F445" s="87"/>
      <c r="G445" s="60" t="str">
        <f>IFERROR(VLOOKUP($F445,'基础-办公用品信息'!$C:$E,2,FALSE),"-")</f>
        <v>-</v>
      </c>
      <c r="H445" s="60" t="str">
        <f>IFERROR(VLOOKUP($F445,'基础-办公用品信息'!$C:$E,3,FALSE),"-")</f>
        <v>-</v>
      </c>
      <c r="I445" s="60"/>
      <c r="J445" s="60" t="str">
        <f>IFERROR(VLOOKUP($F445,'基础-办公用品信息'!$C:$F,4,FALSE),"-")</f>
        <v>-</v>
      </c>
      <c r="K445" s="60" t="str">
        <f t="shared" si="18"/>
        <v/>
      </c>
      <c r="L445" s="87"/>
      <c r="M445" s="60">
        <f t="shared" si="19"/>
        <v>1900</v>
      </c>
      <c r="N445" s="60">
        <f t="shared" si="20"/>
        <v>1</v>
      </c>
    </row>
    <row r="446" customHeight="1" spans="2:14">
      <c r="B446" s="86">
        <v>444</v>
      </c>
      <c r="C446" s="87"/>
      <c r="D446" s="87"/>
      <c r="E446" s="60" t="str">
        <f>IFERROR(VLOOKUP(D446,'基础-领用人及部门'!$C:$D,2,FALSE),"-")</f>
        <v>-</v>
      </c>
      <c r="F446" s="87"/>
      <c r="G446" s="60" t="str">
        <f>IFERROR(VLOOKUP($F446,'基础-办公用品信息'!$C:$E,2,FALSE),"-")</f>
        <v>-</v>
      </c>
      <c r="H446" s="60" t="str">
        <f>IFERROR(VLOOKUP($F446,'基础-办公用品信息'!$C:$E,3,FALSE),"-")</f>
        <v>-</v>
      </c>
      <c r="I446" s="60"/>
      <c r="J446" s="60" t="str">
        <f>IFERROR(VLOOKUP($F446,'基础-办公用品信息'!$C:$F,4,FALSE),"-")</f>
        <v>-</v>
      </c>
      <c r="K446" s="60" t="str">
        <f t="shared" si="18"/>
        <v/>
      </c>
      <c r="L446" s="87"/>
      <c r="M446" s="60">
        <f t="shared" si="19"/>
        <v>1900</v>
      </c>
      <c r="N446" s="60">
        <f t="shared" si="20"/>
        <v>1</v>
      </c>
    </row>
    <row r="447" customHeight="1" spans="2:14">
      <c r="B447" s="86">
        <v>445</v>
      </c>
      <c r="C447" s="87"/>
      <c r="D447" s="87"/>
      <c r="E447" s="60" t="str">
        <f>IFERROR(VLOOKUP(D447,'基础-领用人及部门'!$C:$D,2,FALSE),"-")</f>
        <v>-</v>
      </c>
      <c r="F447" s="87"/>
      <c r="G447" s="60" t="str">
        <f>IFERROR(VLOOKUP($F447,'基础-办公用品信息'!$C:$E,2,FALSE),"-")</f>
        <v>-</v>
      </c>
      <c r="H447" s="60" t="str">
        <f>IFERROR(VLOOKUP($F447,'基础-办公用品信息'!$C:$E,3,FALSE),"-")</f>
        <v>-</v>
      </c>
      <c r="I447" s="60"/>
      <c r="J447" s="60" t="str">
        <f>IFERROR(VLOOKUP($F447,'基础-办公用品信息'!$C:$F,4,FALSE),"-")</f>
        <v>-</v>
      </c>
      <c r="K447" s="60" t="str">
        <f t="shared" si="18"/>
        <v/>
      </c>
      <c r="L447" s="87"/>
      <c r="M447" s="60">
        <f t="shared" si="19"/>
        <v>1900</v>
      </c>
      <c r="N447" s="60">
        <f t="shared" si="20"/>
        <v>1</v>
      </c>
    </row>
    <row r="448" customHeight="1" spans="2:14">
      <c r="B448" s="86">
        <v>446</v>
      </c>
      <c r="C448" s="87"/>
      <c r="D448" s="87"/>
      <c r="E448" s="60" t="str">
        <f>IFERROR(VLOOKUP(D448,'基础-领用人及部门'!$C:$D,2,FALSE),"-")</f>
        <v>-</v>
      </c>
      <c r="F448" s="87"/>
      <c r="G448" s="60" t="str">
        <f>IFERROR(VLOOKUP($F448,'基础-办公用品信息'!$C:$E,2,FALSE),"-")</f>
        <v>-</v>
      </c>
      <c r="H448" s="60" t="str">
        <f>IFERROR(VLOOKUP($F448,'基础-办公用品信息'!$C:$E,3,FALSE),"-")</f>
        <v>-</v>
      </c>
      <c r="I448" s="60"/>
      <c r="J448" s="60" t="str">
        <f>IFERROR(VLOOKUP($F448,'基础-办公用品信息'!$C:$F,4,FALSE),"-")</f>
        <v>-</v>
      </c>
      <c r="K448" s="60" t="str">
        <f t="shared" si="18"/>
        <v/>
      </c>
      <c r="L448" s="87"/>
      <c r="M448" s="60">
        <f t="shared" si="19"/>
        <v>1900</v>
      </c>
      <c r="N448" s="60">
        <f t="shared" si="20"/>
        <v>1</v>
      </c>
    </row>
    <row r="449" customHeight="1" spans="2:14">
      <c r="B449" s="86">
        <v>447</v>
      </c>
      <c r="C449" s="87"/>
      <c r="D449" s="87"/>
      <c r="E449" s="60" t="str">
        <f>IFERROR(VLOOKUP(D449,'基础-领用人及部门'!$C:$D,2,FALSE),"-")</f>
        <v>-</v>
      </c>
      <c r="F449" s="87"/>
      <c r="G449" s="60" t="str">
        <f>IFERROR(VLOOKUP($F449,'基础-办公用品信息'!$C:$E,2,FALSE),"-")</f>
        <v>-</v>
      </c>
      <c r="H449" s="60" t="str">
        <f>IFERROR(VLOOKUP($F449,'基础-办公用品信息'!$C:$E,3,FALSE),"-")</f>
        <v>-</v>
      </c>
      <c r="I449" s="60"/>
      <c r="J449" s="60" t="str">
        <f>IFERROR(VLOOKUP($F449,'基础-办公用品信息'!$C:$F,4,FALSE),"-")</f>
        <v>-</v>
      </c>
      <c r="K449" s="60" t="str">
        <f t="shared" si="18"/>
        <v/>
      </c>
      <c r="L449" s="87"/>
      <c r="M449" s="60">
        <f t="shared" si="19"/>
        <v>1900</v>
      </c>
      <c r="N449" s="60">
        <f t="shared" si="20"/>
        <v>1</v>
      </c>
    </row>
    <row r="450" customHeight="1" spans="2:14">
      <c r="B450" s="86">
        <v>448</v>
      </c>
      <c r="C450" s="87"/>
      <c r="D450" s="87"/>
      <c r="E450" s="60" t="str">
        <f>IFERROR(VLOOKUP(D450,'基础-领用人及部门'!$C:$D,2,FALSE),"-")</f>
        <v>-</v>
      </c>
      <c r="F450" s="87"/>
      <c r="G450" s="60" t="str">
        <f>IFERROR(VLOOKUP($F450,'基础-办公用品信息'!$C:$E,2,FALSE),"-")</f>
        <v>-</v>
      </c>
      <c r="H450" s="60" t="str">
        <f>IFERROR(VLOOKUP($F450,'基础-办公用品信息'!$C:$E,3,FALSE),"-")</f>
        <v>-</v>
      </c>
      <c r="I450" s="60"/>
      <c r="J450" s="60" t="str">
        <f>IFERROR(VLOOKUP($F450,'基础-办公用品信息'!$C:$F,4,FALSE),"-")</f>
        <v>-</v>
      </c>
      <c r="K450" s="60" t="str">
        <f t="shared" si="18"/>
        <v/>
      </c>
      <c r="L450" s="87"/>
      <c r="M450" s="60">
        <f t="shared" si="19"/>
        <v>1900</v>
      </c>
      <c r="N450" s="60">
        <f t="shared" si="20"/>
        <v>1</v>
      </c>
    </row>
    <row r="451" customHeight="1" spans="2:14">
      <c r="B451" s="86">
        <v>449</v>
      </c>
      <c r="C451" s="87"/>
      <c r="D451" s="87"/>
      <c r="E451" s="60" t="str">
        <f>IFERROR(VLOOKUP(D451,'基础-领用人及部门'!$C:$D,2,FALSE),"-")</f>
        <v>-</v>
      </c>
      <c r="F451" s="87"/>
      <c r="G451" s="60" t="str">
        <f>IFERROR(VLOOKUP($F451,'基础-办公用品信息'!$C:$E,2,FALSE),"-")</f>
        <v>-</v>
      </c>
      <c r="H451" s="60" t="str">
        <f>IFERROR(VLOOKUP($F451,'基础-办公用品信息'!$C:$E,3,FALSE),"-")</f>
        <v>-</v>
      </c>
      <c r="I451" s="60"/>
      <c r="J451" s="60" t="str">
        <f>IFERROR(VLOOKUP($F451,'基础-办公用品信息'!$C:$F,4,FALSE),"-")</f>
        <v>-</v>
      </c>
      <c r="K451" s="60" t="str">
        <f t="shared" ref="K451:K514" si="21">IFERROR(I451*J451,"")</f>
        <v/>
      </c>
      <c r="L451" s="87"/>
      <c r="M451" s="60">
        <f t="shared" ref="M451:M514" si="22">YEAR(C451)</f>
        <v>1900</v>
      </c>
      <c r="N451" s="60">
        <f t="shared" ref="N451:N514" si="23">MONTH(C451)</f>
        <v>1</v>
      </c>
    </row>
    <row r="452" customHeight="1" spans="2:14">
      <c r="B452" s="86">
        <v>450</v>
      </c>
      <c r="C452" s="87"/>
      <c r="D452" s="87"/>
      <c r="E452" s="60" t="str">
        <f>IFERROR(VLOOKUP(D452,'基础-领用人及部门'!$C:$D,2,FALSE),"-")</f>
        <v>-</v>
      </c>
      <c r="F452" s="87"/>
      <c r="G452" s="60" t="str">
        <f>IFERROR(VLOOKUP($F452,'基础-办公用品信息'!$C:$E,2,FALSE),"-")</f>
        <v>-</v>
      </c>
      <c r="H452" s="60" t="str">
        <f>IFERROR(VLOOKUP($F452,'基础-办公用品信息'!$C:$E,3,FALSE),"-")</f>
        <v>-</v>
      </c>
      <c r="I452" s="60"/>
      <c r="J452" s="60" t="str">
        <f>IFERROR(VLOOKUP($F452,'基础-办公用品信息'!$C:$F,4,FALSE),"-")</f>
        <v>-</v>
      </c>
      <c r="K452" s="60" t="str">
        <f t="shared" si="21"/>
        <v/>
      </c>
      <c r="L452" s="87"/>
      <c r="M452" s="60">
        <f t="shared" si="22"/>
        <v>1900</v>
      </c>
      <c r="N452" s="60">
        <f t="shared" si="23"/>
        <v>1</v>
      </c>
    </row>
    <row r="453" customHeight="1" spans="2:14">
      <c r="B453" s="86">
        <v>451</v>
      </c>
      <c r="C453" s="87"/>
      <c r="D453" s="87"/>
      <c r="E453" s="60" t="str">
        <f>IFERROR(VLOOKUP(D453,'基础-领用人及部门'!$C:$D,2,FALSE),"-")</f>
        <v>-</v>
      </c>
      <c r="F453" s="87"/>
      <c r="G453" s="60" t="str">
        <f>IFERROR(VLOOKUP($F453,'基础-办公用品信息'!$C:$E,2,FALSE),"-")</f>
        <v>-</v>
      </c>
      <c r="H453" s="60" t="str">
        <f>IFERROR(VLOOKUP($F453,'基础-办公用品信息'!$C:$E,3,FALSE),"-")</f>
        <v>-</v>
      </c>
      <c r="I453" s="60"/>
      <c r="J453" s="60" t="str">
        <f>IFERROR(VLOOKUP($F453,'基础-办公用品信息'!$C:$F,4,FALSE),"-")</f>
        <v>-</v>
      </c>
      <c r="K453" s="60" t="str">
        <f t="shared" si="21"/>
        <v/>
      </c>
      <c r="L453" s="87"/>
      <c r="M453" s="60">
        <f t="shared" si="22"/>
        <v>1900</v>
      </c>
      <c r="N453" s="60">
        <f t="shared" si="23"/>
        <v>1</v>
      </c>
    </row>
    <row r="454" customHeight="1" spans="2:14">
      <c r="B454" s="86">
        <v>452</v>
      </c>
      <c r="C454" s="87"/>
      <c r="D454" s="87"/>
      <c r="E454" s="60" t="str">
        <f>IFERROR(VLOOKUP(D454,'基础-领用人及部门'!$C:$D,2,FALSE),"-")</f>
        <v>-</v>
      </c>
      <c r="F454" s="87"/>
      <c r="G454" s="60" t="str">
        <f>IFERROR(VLOOKUP($F454,'基础-办公用品信息'!$C:$E,2,FALSE),"-")</f>
        <v>-</v>
      </c>
      <c r="H454" s="60" t="str">
        <f>IFERROR(VLOOKUP($F454,'基础-办公用品信息'!$C:$E,3,FALSE),"-")</f>
        <v>-</v>
      </c>
      <c r="I454" s="60"/>
      <c r="J454" s="60" t="str">
        <f>IFERROR(VLOOKUP($F454,'基础-办公用品信息'!$C:$F,4,FALSE),"-")</f>
        <v>-</v>
      </c>
      <c r="K454" s="60" t="str">
        <f t="shared" si="21"/>
        <v/>
      </c>
      <c r="L454" s="87"/>
      <c r="M454" s="60">
        <f t="shared" si="22"/>
        <v>1900</v>
      </c>
      <c r="N454" s="60">
        <f t="shared" si="23"/>
        <v>1</v>
      </c>
    </row>
    <row r="455" customHeight="1" spans="2:14">
      <c r="B455" s="86">
        <v>453</v>
      </c>
      <c r="C455" s="87"/>
      <c r="D455" s="87"/>
      <c r="E455" s="60" t="str">
        <f>IFERROR(VLOOKUP(D455,'基础-领用人及部门'!$C:$D,2,FALSE),"-")</f>
        <v>-</v>
      </c>
      <c r="F455" s="87"/>
      <c r="G455" s="60" t="str">
        <f>IFERROR(VLOOKUP($F455,'基础-办公用品信息'!$C:$E,2,FALSE),"-")</f>
        <v>-</v>
      </c>
      <c r="H455" s="60" t="str">
        <f>IFERROR(VLOOKUP($F455,'基础-办公用品信息'!$C:$E,3,FALSE),"-")</f>
        <v>-</v>
      </c>
      <c r="I455" s="60"/>
      <c r="J455" s="60" t="str">
        <f>IFERROR(VLOOKUP($F455,'基础-办公用品信息'!$C:$F,4,FALSE),"-")</f>
        <v>-</v>
      </c>
      <c r="K455" s="60" t="str">
        <f t="shared" si="21"/>
        <v/>
      </c>
      <c r="L455" s="87"/>
      <c r="M455" s="60">
        <f t="shared" si="22"/>
        <v>1900</v>
      </c>
      <c r="N455" s="60">
        <f t="shared" si="23"/>
        <v>1</v>
      </c>
    </row>
    <row r="456" customHeight="1" spans="2:14">
      <c r="B456" s="86">
        <v>454</v>
      </c>
      <c r="C456" s="87"/>
      <c r="D456" s="87"/>
      <c r="E456" s="60" t="str">
        <f>IFERROR(VLOOKUP(D456,'基础-领用人及部门'!$C:$D,2,FALSE),"-")</f>
        <v>-</v>
      </c>
      <c r="F456" s="87"/>
      <c r="G456" s="60" t="str">
        <f>IFERROR(VLOOKUP($F456,'基础-办公用品信息'!$C:$E,2,FALSE),"-")</f>
        <v>-</v>
      </c>
      <c r="H456" s="60" t="str">
        <f>IFERROR(VLOOKUP($F456,'基础-办公用品信息'!$C:$E,3,FALSE),"-")</f>
        <v>-</v>
      </c>
      <c r="I456" s="60"/>
      <c r="J456" s="60" t="str">
        <f>IFERROR(VLOOKUP($F456,'基础-办公用品信息'!$C:$F,4,FALSE),"-")</f>
        <v>-</v>
      </c>
      <c r="K456" s="60" t="str">
        <f t="shared" si="21"/>
        <v/>
      </c>
      <c r="L456" s="87"/>
      <c r="M456" s="60">
        <f t="shared" si="22"/>
        <v>1900</v>
      </c>
      <c r="N456" s="60">
        <f t="shared" si="23"/>
        <v>1</v>
      </c>
    </row>
    <row r="457" customHeight="1" spans="2:14">
      <c r="B457" s="86">
        <v>455</v>
      </c>
      <c r="C457" s="87"/>
      <c r="D457" s="87"/>
      <c r="E457" s="60" t="str">
        <f>IFERROR(VLOOKUP(D457,'基础-领用人及部门'!$C:$D,2,FALSE),"-")</f>
        <v>-</v>
      </c>
      <c r="F457" s="87"/>
      <c r="G457" s="60" t="str">
        <f>IFERROR(VLOOKUP($F457,'基础-办公用品信息'!$C:$E,2,FALSE),"-")</f>
        <v>-</v>
      </c>
      <c r="H457" s="60" t="str">
        <f>IFERROR(VLOOKUP($F457,'基础-办公用品信息'!$C:$E,3,FALSE),"-")</f>
        <v>-</v>
      </c>
      <c r="I457" s="60"/>
      <c r="J457" s="60" t="str">
        <f>IFERROR(VLOOKUP($F457,'基础-办公用品信息'!$C:$F,4,FALSE),"-")</f>
        <v>-</v>
      </c>
      <c r="K457" s="60" t="str">
        <f t="shared" si="21"/>
        <v/>
      </c>
      <c r="L457" s="87"/>
      <c r="M457" s="60">
        <f t="shared" si="22"/>
        <v>1900</v>
      </c>
      <c r="N457" s="60">
        <f t="shared" si="23"/>
        <v>1</v>
      </c>
    </row>
    <row r="458" customHeight="1" spans="2:14">
      <c r="B458" s="86">
        <v>456</v>
      </c>
      <c r="C458" s="87"/>
      <c r="D458" s="87"/>
      <c r="E458" s="60" t="str">
        <f>IFERROR(VLOOKUP(D458,'基础-领用人及部门'!$C:$D,2,FALSE),"-")</f>
        <v>-</v>
      </c>
      <c r="F458" s="87"/>
      <c r="G458" s="60" t="str">
        <f>IFERROR(VLOOKUP($F458,'基础-办公用品信息'!$C:$E,2,FALSE),"-")</f>
        <v>-</v>
      </c>
      <c r="H458" s="60" t="str">
        <f>IFERROR(VLOOKUP($F458,'基础-办公用品信息'!$C:$E,3,FALSE),"-")</f>
        <v>-</v>
      </c>
      <c r="I458" s="60"/>
      <c r="J458" s="60" t="str">
        <f>IFERROR(VLOOKUP($F458,'基础-办公用品信息'!$C:$F,4,FALSE),"-")</f>
        <v>-</v>
      </c>
      <c r="K458" s="60" t="str">
        <f t="shared" si="21"/>
        <v/>
      </c>
      <c r="L458" s="87"/>
      <c r="M458" s="60">
        <f t="shared" si="22"/>
        <v>1900</v>
      </c>
      <c r="N458" s="60">
        <f t="shared" si="23"/>
        <v>1</v>
      </c>
    </row>
    <row r="459" customHeight="1" spans="2:14">
      <c r="B459" s="86">
        <v>457</v>
      </c>
      <c r="C459" s="87"/>
      <c r="D459" s="87"/>
      <c r="E459" s="60" t="str">
        <f>IFERROR(VLOOKUP(D459,'基础-领用人及部门'!$C:$D,2,FALSE),"-")</f>
        <v>-</v>
      </c>
      <c r="F459" s="87"/>
      <c r="G459" s="60" t="str">
        <f>IFERROR(VLOOKUP($F459,'基础-办公用品信息'!$C:$E,2,FALSE),"-")</f>
        <v>-</v>
      </c>
      <c r="H459" s="60" t="str">
        <f>IFERROR(VLOOKUP($F459,'基础-办公用品信息'!$C:$E,3,FALSE),"-")</f>
        <v>-</v>
      </c>
      <c r="I459" s="60"/>
      <c r="J459" s="60" t="str">
        <f>IFERROR(VLOOKUP($F459,'基础-办公用品信息'!$C:$F,4,FALSE),"-")</f>
        <v>-</v>
      </c>
      <c r="K459" s="60" t="str">
        <f t="shared" si="21"/>
        <v/>
      </c>
      <c r="L459" s="87"/>
      <c r="M459" s="60">
        <f t="shared" si="22"/>
        <v>1900</v>
      </c>
      <c r="N459" s="60">
        <f t="shared" si="23"/>
        <v>1</v>
      </c>
    </row>
    <row r="460" customHeight="1" spans="2:14">
      <c r="B460" s="86">
        <v>458</v>
      </c>
      <c r="C460" s="87"/>
      <c r="D460" s="87"/>
      <c r="E460" s="60" t="str">
        <f>IFERROR(VLOOKUP(D460,'基础-领用人及部门'!$C:$D,2,FALSE),"-")</f>
        <v>-</v>
      </c>
      <c r="F460" s="87"/>
      <c r="G460" s="60" t="str">
        <f>IFERROR(VLOOKUP($F460,'基础-办公用品信息'!$C:$E,2,FALSE),"-")</f>
        <v>-</v>
      </c>
      <c r="H460" s="60" t="str">
        <f>IFERROR(VLOOKUP($F460,'基础-办公用品信息'!$C:$E,3,FALSE),"-")</f>
        <v>-</v>
      </c>
      <c r="I460" s="60"/>
      <c r="J460" s="60" t="str">
        <f>IFERROR(VLOOKUP($F460,'基础-办公用品信息'!$C:$F,4,FALSE),"-")</f>
        <v>-</v>
      </c>
      <c r="K460" s="60" t="str">
        <f t="shared" si="21"/>
        <v/>
      </c>
      <c r="L460" s="87"/>
      <c r="M460" s="60">
        <f t="shared" si="22"/>
        <v>1900</v>
      </c>
      <c r="N460" s="60">
        <f t="shared" si="23"/>
        <v>1</v>
      </c>
    </row>
    <row r="461" customHeight="1" spans="2:14">
      <c r="B461" s="86">
        <v>459</v>
      </c>
      <c r="C461" s="87"/>
      <c r="D461" s="87"/>
      <c r="E461" s="60" t="str">
        <f>IFERROR(VLOOKUP(D461,'基础-领用人及部门'!$C:$D,2,FALSE),"-")</f>
        <v>-</v>
      </c>
      <c r="F461" s="87"/>
      <c r="G461" s="60" t="str">
        <f>IFERROR(VLOOKUP($F461,'基础-办公用品信息'!$C:$E,2,FALSE),"-")</f>
        <v>-</v>
      </c>
      <c r="H461" s="60" t="str">
        <f>IFERROR(VLOOKUP($F461,'基础-办公用品信息'!$C:$E,3,FALSE),"-")</f>
        <v>-</v>
      </c>
      <c r="I461" s="60"/>
      <c r="J461" s="60" t="str">
        <f>IFERROR(VLOOKUP($F461,'基础-办公用品信息'!$C:$F,4,FALSE),"-")</f>
        <v>-</v>
      </c>
      <c r="K461" s="60" t="str">
        <f t="shared" si="21"/>
        <v/>
      </c>
      <c r="L461" s="87"/>
      <c r="M461" s="60">
        <f t="shared" si="22"/>
        <v>1900</v>
      </c>
      <c r="N461" s="60">
        <f t="shared" si="23"/>
        <v>1</v>
      </c>
    </row>
    <row r="462" customHeight="1" spans="2:14">
      <c r="B462" s="86">
        <v>460</v>
      </c>
      <c r="C462" s="87"/>
      <c r="D462" s="87"/>
      <c r="E462" s="60" t="str">
        <f>IFERROR(VLOOKUP(D462,'基础-领用人及部门'!$C:$D,2,FALSE),"-")</f>
        <v>-</v>
      </c>
      <c r="F462" s="87"/>
      <c r="G462" s="60" t="str">
        <f>IFERROR(VLOOKUP($F462,'基础-办公用品信息'!$C:$E,2,FALSE),"-")</f>
        <v>-</v>
      </c>
      <c r="H462" s="60" t="str">
        <f>IFERROR(VLOOKUP($F462,'基础-办公用品信息'!$C:$E,3,FALSE),"-")</f>
        <v>-</v>
      </c>
      <c r="I462" s="60"/>
      <c r="J462" s="60" t="str">
        <f>IFERROR(VLOOKUP($F462,'基础-办公用品信息'!$C:$F,4,FALSE),"-")</f>
        <v>-</v>
      </c>
      <c r="K462" s="60" t="str">
        <f t="shared" si="21"/>
        <v/>
      </c>
      <c r="L462" s="87"/>
      <c r="M462" s="60">
        <f t="shared" si="22"/>
        <v>1900</v>
      </c>
      <c r="N462" s="60">
        <f t="shared" si="23"/>
        <v>1</v>
      </c>
    </row>
    <row r="463" customHeight="1" spans="2:14">
      <c r="B463" s="86">
        <v>461</v>
      </c>
      <c r="C463" s="87"/>
      <c r="D463" s="87"/>
      <c r="E463" s="60" t="str">
        <f>IFERROR(VLOOKUP(D463,'基础-领用人及部门'!$C:$D,2,FALSE),"-")</f>
        <v>-</v>
      </c>
      <c r="F463" s="87"/>
      <c r="G463" s="60" t="str">
        <f>IFERROR(VLOOKUP($F463,'基础-办公用品信息'!$C:$E,2,FALSE),"-")</f>
        <v>-</v>
      </c>
      <c r="H463" s="60" t="str">
        <f>IFERROR(VLOOKUP($F463,'基础-办公用品信息'!$C:$E,3,FALSE),"-")</f>
        <v>-</v>
      </c>
      <c r="I463" s="60"/>
      <c r="J463" s="60" t="str">
        <f>IFERROR(VLOOKUP($F463,'基础-办公用品信息'!$C:$F,4,FALSE),"-")</f>
        <v>-</v>
      </c>
      <c r="K463" s="60" t="str">
        <f t="shared" si="21"/>
        <v/>
      </c>
      <c r="L463" s="87"/>
      <c r="M463" s="60">
        <f t="shared" si="22"/>
        <v>1900</v>
      </c>
      <c r="N463" s="60">
        <f t="shared" si="23"/>
        <v>1</v>
      </c>
    </row>
    <row r="464" customHeight="1" spans="2:14">
      <c r="B464" s="86">
        <v>462</v>
      </c>
      <c r="C464" s="87"/>
      <c r="D464" s="87"/>
      <c r="E464" s="60" t="str">
        <f>IFERROR(VLOOKUP(D464,'基础-领用人及部门'!$C:$D,2,FALSE),"-")</f>
        <v>-</v>
      </c>
      <c r="F464" s="87"/>
      <c r="G464" s="60" t="str">
        <f>IFERROR(VLOOKUP($F464,'基础-办公用品信息'!$C:$E,2,FALSE),"-")</f>
        <v>-</v>
      </c>
      <c r="H464" s="60" t="str">
        <f>IFERROR(VLOOKUP($F464,'基础-办公用品信息'!$C:$E,3,FALSE),"-")</f>
        <v>-</v>
      </c>
      <c r="I464" s="60"/>
      <c r="J464" s="60" t="str">
        <f>IFERROR(VLOOKUP($F464,'基础-办公用品信息'!$C:$F,4,FALSE),"-")</f>
        <v>-</v>
      </c>
      <c r="K464" s="60" t="str">
        <f t="shared" si="21"/>
        <v/>
      </c>
      <c r="L464" s="87"/>
      <c r="M464" s="60">
        <f t="shared" si="22"/>
        <v>1900</v>
      </c>
      <c r="N464" s="60">
        <f t="shared" si="23"/>
        <v>1</v>
      </c>
    </row>
    <row r="465" customHeight="1" spans="2:14">
      <c r="B465" s="86">
        <v>463</v>
      </c>
      <c r="C465" s="87"/>
      <c r="D465" s="87"/>
      <c r="E465" s="60" t="str">
        <f>IFERROR(VLOOKUP(D465,'基础-领用人及部门'!$C:$D,2,FALSE),"-")</f>
        <v>-</v>
      </c>
      <c r="F465" s="87"/>
      <c r="G465" s="60" t="str">
        <f>IFERROR(VLOOKUP($F465,'基础-办公用品信息'!$C:$E,2,FALSE),"-")</f>
        <v>-</v>
      </c>
      <c r="H465" s="60" t="str">
        <f>IFERROR(VLOOKUP($F465,'基础-办公用品信息'!$C:$E,3,FALSE),"-")</f>
        <v>-</v>
      </c>
      <c r="I465" s="60"/>
      <c r="J465" s="60" t="str">
        <f>IFERROR(VLOOKUP($F465,'基础-办公用品信息'!$C:$F,4,FALSE),"-")</f>
        <v>-</v>
      </c>
      <c r="K465" s="60" t="str">
        <f t="shared" si="21"/>
        <v/>
      </c>
      <c r="L465" s="87"/>
      <c r="M465" s="60">
        <f t="shared" si="22"/>
        <v>1900</v>
      </c>
      <c r="N465" s="60">
        <f t="shared" si="23"/>
        <v>1</v>
      </c>
    </row>
    <row r="466" customHeight="1" spans="2:14">
      <c r="B466" s="86">
        <v>464</v>
      </c>
      <c r="C466" s="87"/>
      <c r="D466" s="87"/>
      <c r="E466" s="60" t="str">
        <f>IFERROR(VLOOKUP(D466,'基础-领用人及部门'!$C:$D,2,FALSE),"-")</f>
        <v>-</v>
      </c>
      <c r="F466" s="87"/>
      <c r="G466" s="60" t="str">
        <f>IFERROR(VLOOKUP($F466,'基础-办公用品信息'!$C:$E,2,FALSE),"-")</f>
        <v>-</v>
      </c>
      <c r="H466" s="60" t="str">
        <f>IFERROR(VLOOKUP($F466,'基础-办公用品信息'!$C:$E,3,FALSE),"-")</f>
        <v>-</v>
      </c>
      <c r="I466" s="60"/>
      <c r="J466" s="60" t="str">
        <f>IFERROR(VLOOKUP($F466,'基础-办公用品信息'!$C:$F,4,FALSE),"-")</f>
        <v>-</v>
      </c>
      <c r="K466" s="60" t="str">
        <f t="shared" si="21"/>
        <v/>
      </c>
      <c r="L466" s="87"/>
      <c r="M466" s="60">
        <f t="shared" si="22"/>
        <v>1900</v>
      </c>
      <c r="N466" s="60">
        <f t="shared" si="23"/>
        <v>1</v>
      </c>
    </row>
    <row r="467" customHeight="1" spans="2:14">
      <c r="B467" s="86">
        <v>465</v>
      </c>
      <c r="C467" s="87"/>
      <c r="D467" s="87"/>
      <c r="E467" s="60" t="str">
        <f>IFERROR(VLOOKUP(D467,'基础-领用人及部门'!$C:$D,2,FALSE),"-")</f>
        <v>-</v>
      </c>
      <c r="F467" s="87"/>
      <c r="G467" s="60" t="str">
        <f>IFERROR(VLOOKUP($F467,'基础-办公用品信息'!$C:$E,2,FALSE),"-")</f>
        <v>-</v>
      </c>
      <c r="H467" s="60" t="str">
        <f>IFERROR(VLOOKUP($F467,'基础-办公用品信息'!$C:$E,3,FALSE),"-")</f>
        <v>-</v>
      </c>
      <c r="I467" s="60"/>
      <c r="J467" s="60" t="str">
        <f>IFERROR(VLOOKUP($F467,'基础-办公用品信息'!$C:$F,4,FALSE),"-")</f>
        <v>-</v>
      </c>
      <c r="K467" s="60" t="str">
        <f t="shared" si="21"/>
        <v/>
      </c>
      <c r="L467" s="87"/>
      <c r="M467" s="60">
        <f t="shared" si="22"/>
        <v>1900</v>
      </c>
      <c r="N467" s="60">
        <f t="shared" si="23"/>
        <v>1</v>
      </c>
    </row>
    <row r="468" customHeight="1" spans="2:14">
      <c r="B468" s="86">
        <v>466</v>
      </c>
      <c r="C468" s="87"/>
      <c r="D468" s="87"/>
      <c r="E468" s="60" t="str">
        <f>IFERROR(VLOOKUP(D468,'基础-领用人及部门'!$C:$D,2,FALSE),"-")</f>
        <v>-</v>
      </c>
      <c r="F468" s="87"/>
      <c r="G468" s="60" t="str">
        <f>IFERROR(VLOOKUP($F468,'基础-办公用品信息'!$C:$E,2,FALSE),"-")</f>
        <v>-</v>
      </c>
      <c r="H468" s="60" t="str">
        <f>IFERROR(VLOOKUP($F468,'基础-办公用品信息'!$C:$E,3,FALSE),"-")</f>
        <v>-</v>
      </c>
      <c r="I468" s="60"/>
      <c r="J468" s="60" t="str">
        <f>IFERROR(VLOOKUP($F468,'基础-办公用品信息'!$C:$F,4,FALSE),"-")</f>
        <v>-</v>
      </c>
      <c r="K468" s="60" t="str">
        <f t="shared" si="21"/>
        <v/>
      </c>
      <c r="L468" s="87"/>
      <c r="M468" s="60">
        <f t="shared" si="22"/>
        <v>1900</v>
      </c>
      <c r="N468" s="60">
        <f t="shared" si="23"/>
        <v>1</v>
      </c>
    </row>
    <row r="469" customHeight="1" spans="2:14">
      <c r="B469" s="86">
        <v>467</v>
      </c>
      <c r="C469" s="87"/>
      <c r="D469" s="87"/>
      <c r="E469" s="60" t="str">
        <f>IFERROR(VLOOKUP(D469,'基础-领用人及部门'!$C:$D,2,FALSE),"-")</f>
        <v>-</v>
      </c>
      <c r="F469" s="87"/>
      <c r="G469" s="60" t="str">
        <f>IFERROR(VLOOKUP($F469,'基础-办公用品信息'!$C:$E,2,FALSE),"-")</f>
        <v>-</v>
      </c>
      <c r="H469" s="60" t="str">
        <f>IFERROR(VLOOKUP($F469,'基础-办公用品信息'!$C:$E,3,FALSE),"-")</f>
        <v>-</v>
      </c>
      <c r="I469" s="60"/>
      <c r="J469" s="60" t="str">
        <f>IFERROR(VLOOKUP($F469,'基础-办公用品信息'!$C:$F,4,FALSE),"-")</f>
        <v>-</v>
      </c>
      <c r="K469" s="60" t="str">
        <f t="shared" si="21"/>
        <v/>
      </c>
      <c r="L469" s="87"/>
      <c r="M469" s="60">
        <f t="shared" si="22"/>
        <v>1900</v>
      </c>
      <c r="N469" s="60">
        <f t="shared" si="23"/>
        <v>1</v>
      </c>
    </row>
    <row r="470" customHeight="1" spans="2:14">
      <c r="B470" s="86">
        <v>468</v>
      </c>
      <c r="C470" s="87"/>
      <c r="D470" s="87"/>
      <c r="E470" s="60" t="str">
        <f>IFERROR(VLOOKUP(D470,'基础-领用人及部门'!$C:$D,2,FALSE),"-")</f>
        <v>-</v>
      </c>
      <c r="F470" s="87"/>
      <c r="G470" s="60" t="str">
        <f>IFERROR(VLOOKUP($F470,'基础-办公用品信息'!$C:$E,2,FALSE),"-")</f>
        <v>-</v>
      </c>
      <c r="H470" s="60" t="str">
        <f>IFERROR(VLOOKUP($F470,'基础-办公用品信息'!$C:$E,3,FALSE),"-")</f>
        <v>-</v>
      </c>
      <c r="I470" s="60"/>
      <c r="J470" s="60" t="str">
        <f>IFERROR(VLOOKUP($F470,'基础-办公用品信息'!$C:$F,4,FALSE),"-")</f>
        <v>-</v>
      </c>
      <c r="K470" s="60" t="str">
        <f t="shared" si="21"/>
        <v/>
      </c>
      <c r="L470" s="87"/>
      <c r="M470" s="60">
        <f t="shared" si="22"/>
        <v>1900</v>
      </c>
      <c r="N470" s="60">
        <f t="shared" si="23"/>
        <v>1</v>
      </c>
    </row>
    <row r="471" customHeight="1" spans="2:14">
      <c r="B471" s="86">
        <v>469</v>
      </c>
      <c r="C471" s="87"/>
      <c r="D471" s="87"/>
      <c r="E471" s="60" t="str">
        <f>IFERROR(VLOOKUP(D471,'基础-领用人及部门'!$C:$D,2,FALSE),"-")</f>
        <v>-</v>
      </c>
      <c r="F471" s="87"/>
      <c r="G471" s="60" t="str">
        <f>IFERROR(VLOOKUP($F471,'基础-办公用品信息'!$C:$E,2,FALSE),"-")</f>
        <v>-</v>
      </c>
      <c r="H471" s="60" t="str">
        <f>IFERROR(VLOOKUP($F471,'基础-办公用品信息'!$C:$E,3,FALSE),"-")</f>
        <v>-</v>
      </c>
      <c r="I471" s="60"/>
      <c r="J471" s="60" t="str">
        <f>IFERROR(VLOOKUP($F471,'基础-办公用品信息'!$C:$F,4,FALSE),"-")</f>
        <v>-</v>
      </c>
      <c r="K471" s="60" t="str">
        <f t="shared" si="21"/>
        <v/>
      </c>
      <c r="L471" s="87"/>
      <c r="M471" s="60">
        <f t="shared" si="22"/>
        <v>1900</v>
      </c>
      <c r="N471" s="60">
        <f t="shared" si="23"/>
        <v>1</v>
      </c>
    </row>
    <row r="472" customHeight="1" spans="2:14">
      <c r="B472" s="86">
        <v>470</v>
      </c>
      <c r="C472" s="87"/>
      <c r="D472" s="87"/>
      <c r="E472" s="60" t="str">
        <f>IFERROR(VLOOKUP(D472,'基础-领用人及部门'!$C:$D,2,FALSE),"-")</f>
        <v>-</v>
      </c>
      <c r="F472" s="87"/>
      <c r="G472" s="60" t="str">
        <f>IFERROR(VLOOKUP($F472,'基础-办公用品信息'!$C:$E,2,FALSE),"-")</f>
        <v>-</v>
      </c>
      <c r="H472" s="60" t="str">
        <f>IFERROR(VLOOKUP($F472,'基础-办公用品信息'!$C:$E,3,FALSE),"-")</f>
        <v>-</v>
      </c>
      <c r="I472" s="60"/>
      <c r="J472" s="60" t="str">
        <f>IFERROR(VLOOKUP($F472,'基础-办公用品信息'!$C:$F,4,FALSE),"-")</f>
        <v>-</v>
      </c>
      <c r="K472" s="60" t="str">
        <f t="shared" si="21"/>
        <v/>
      </c>
      <c r="L472" s="87"/>
      <c r="M472" s="60">
        <f t="shared" si="22"/>
        <v>1900</v>
      </c>
      <c r="N472" s="60">
        <f t="shared" si="23"/>
        <v>1</v>
      </c>
    </row>
    <row r="473" customHeight="1" spans="2:14">
      <c r="B473" s="86">
        <v>471</v>
      </c>
      <c r="C473" s="87"/>
      <c r="D473" s="87"/>
      <c r="E473" s="60" t="str">
        <f>IFERROR(VLOOKUP(D473,'基础-领用人及部门'!$C:$D,2,FALSE),"-")</f>
        <v>-</v>
      </c>
      <c r="F473" s="87"/>
      <c r="G473" s="60" t="str">
        <f>IFERROR(VLOOKUP($F473,'基础-办公用品信息'!$C:$E,2,FALSE),"-")</f>
        <v>-</v>
      </c>
      <c r="H473" s="60" t="str">
        <f>IFERROR(VLOOKUP($F473,'基础-办公用品信息'!$C:$E,3,FALSE),"-")</f>
        <v>-</v>
      </c>
      <c r="I473" s="60"/>
      <c r="J473" s="60" t="str">
        <f>IFERROR(VLOOKUP($F473,'基础-办公用品信息'!$C:$F,4,FALSE),"-")</f>
        <v>-</v>
      </c>
      <c r="K473" s="60" t="str">
        <f t="shared" si="21"/>
        <v/>
      </c>
      <c r="L473" s="87"/>
      <c r="M473" s="60">
        <f t="shared" si="22"/>
        <v>1900</v>
      </c>
      <c r="N473" s="60">
        <f t="shared" si="23"/>
        <v>1</v>
      </c>
    </row>
    <row r="474" customHeight="1" spans="2:14">
      <c r="B474" s="86">
        <v>472</v>
      </c>
      <c r="C474" s="87"/>
      <c r="D474" s="87"/>
      <c r="E474" s="60" t="str">
        <f>IFERROR(VLOOKUP(D474,'基础-领用人及部门'!$C:$D,2,FALSE),"-")</f>
        <v>-</v>
      </c>
      <c r="F474" s="87"/>
      <c r="G474" s="60" t="str">
        <f>IFERROR(VLOOKUP($F474,'基础-办公用品信息'!$C:$E,2,FALSE),"-")</f>
        <v>-</v>
      </c>
      <c r="H474" s="60" t="str">
        <f>IFERROR(VLOOKUP($F474,'基础-办公用品信息'!$C:$E,3,FALSE),"-")</f>
        <v>-</v>
      </c>
      <c r="I474" s="60"/>
      <c r="J474" s="60" t="str">
        <f>IFERROR(VLOOKUP($F474,'基础-办公用品信息'!$C:$F,4,FALSE),"-")</f>
        <v>-</v>
      </c>
      <c r="K474" s="60" t="str">
        <f t="shared" si="21"/>
        <v/>
      </c>
      <c r="L474" s="87"/>
      <c r="M474" s="60">
        <f t="shared" si="22"/>
        <v>1900</v>
      </c>
      <c r="N474" s="60">
        <f t="shared" si="23"/>
        <v>1</v>
      </c>
    </row>
    <row r="475" customHeight="1" spans="2:14">
      <c r="B475" s="86">
        <v>473</v>
      </c>
      <c r="C475" s="87"/>
      <c r="D475" s="87"/>
      <c r="E475" s="60" t="str">
        <f>IFERROR(VLOOKUP(D475,'基础-领用人及部门'!$C:$D,2,FALSE),"-")</f>
        <v>-</v>
      </c>
      <c r="F475" s="87"/>
      <c r="G475" s="60" t="str">
        <f>IFERROR(VLOOKUP($F475,'基础-办公用品信息'!$C:$E,2,FALSE),"-")</f>
        <v>-</v>
      </c>
      <c r="H475" s="60" t="str">
        <f>IFERROR(VLOOKUP($F475,'基础-办公用品信息'!$C:$E,3,FALSE),"-")</f>
        <v>-</v>
      </c>
      <c r="I475" s="60"/>
      <c r="J475" s="60" t="str">
        <f>IFERROR(VLOOKUP($F475,'基础-办公用品信息'!$C:$F,4,FALSE),"-")</f>
        <v>-</v>
      </c>
      <c r="K475" s="60" t="str">
        <f t="shared" si="21"/>
        <v/>
      </c>
      <c r="L475" s="87"/>
      <c r="M475" s="60">
        <f t="shared" si="22"/>
        <v>1900</v>
      </c>
      <c r="N475" s="60">
        <f t="shared" si="23"/>
        <v>1</v>
      </c>
    </row>
    <row r="476" customHeight="1" spans="2:14">
      <c r="B476" s="86">
        <v>474</v>
      </c>
      <c r="C476" s="87"/>
      <c r="D476" s="87"/>
      <c r="E476" s="60" t="str">
        <f>IFERROR(VLOOKUP(D476,'基础-领用人及部门'!$C:$D,2,FALSE),"-")</f>
        <v>-</v>
      </c>
      <c r="F476" s="87"/>
      <c r="G476" s="60" t="str">
        <f>IFERROR(VLOOKUP($F476,'基础-办公用品信息'!$C:$E,2,FALSE),"-")</f>
        <v>-</v>
      </c>
      <c r="H476" s="60" t="str">
        <f>IFERROR(VLOOKUP($F476,'基础-办公用品信息'!$C:$E,3,FALSE),"-")</f>
        <v>-</v>
      </c>
      <c r="I476" s="60"/>
      <c r="J476" s="60" t="str">
        <f>IFERROR(VLOOKUP($F476,'基础-办公用品信息'!$C:$F,4,FALSE),"-")</f>
        <v>-</v>
      </c>
      <c r="K476" s="60" t="str">
        <f t="shared" si="21"/>
        <v/>
      </c>
      <c r="L476" s="87"/>
      <c r="M476" s="60">
        <f t="shared" si="22"/>
        <v>1900</v>
      </c>
      <c r="N476" s="60">
        <f t="shared" si="23"/>
        <v>1</v>
      </c>
    </row>
    <row r="477" customHeight="1" spans="2:14">
      <c r="B477" s="86">
        <v>475</v>
      </c>
      <c r="C477" s="87"/>
      <c r="D477" s="87"/>
      <c r="E477" s="60" t="str">
        <f>IFERROR(VLOOKUP(D477,'基础-领用人及部门'!$C:$D,2,FALSE),"-")</f>
        <v>-</v>
      </c>
      <c r="F477" s="87"/>
      <c r="G477" s="60" t="str">
        <f>IFERROR(VLOOKUP($F477,'基础-办公用品信息'!$C:$E,2,FALSE),"-")</f>
        <v>-</v>
      </c>
      <c r="H477" s="60" t="str">
        <f>IFERROR(VLOOKUP($F477,'基础-办公用品信息'!$C:$E,3,FALSE),"-")</f>
        <v>-</v>
      </c>
      <c r="I477" s="60"/>
      <c r="J477" s="60" t="str">
        <f>IFERROR(VLOOKUP($F477,'基础-办公用品信息'!$C:$F,4,FALSE),"-")</f>
        <v>-</v>
      </c>
      <c r="K477" s="60" t="str">
        <f t="shared" si="21"/>
        <v/>
      </c>
      <c r="L477" s="87"/>
      <c r="M477" s="60">
        <f t="shared" si="22"/>
        <v>1900</v>
      </c>
      <c r="N477" s="60">
        <f t="shared" si="23"/>
        <v>1</v>
      </c>
    </row>
    <row r="478" customHeight="1" spans="2:14">
      <c r="B478" s="86">
        <v>476</v>
      </c>
      <c r="C478" s="87"/>
      <c r="D478" s="87"/>
      <c r="E478" s="60" t="str">
        <f>IFERROR(VLOOKUP(D478,'基础-领用人及部门'!$C:$D,2,FALSE),"-")</f>
        <v>-</v>
      </c>
      <c r="F478" s="87"/>
      <c r="G478" s="60" t="str">
        <f>IFERROR(VLOOKUP($F478,'基础-办公用品信息'!$C:$E,2,FALSE),"-")</f>
        <v>-</v>
      </c>
      <c r="H478" s="60" t="str">
        <f>IFERROR(VLOOKUP($F478,'基础-办公用品信息'!$C:$E,3,FALSE),"-")</f>
        <v>-</v>
      </c>
      <c r="I478" s="60"/>
      <c r="J478" s="60" t="str">
        <f>IFERROR(VLOOKUP($F478,'基础-办公用品信息'!$C:$F,4,FALSE),"-")</f>
        <v>-</v>
      </c>
      <c r="K478" s="60" t="str">
        <f t="shared" si="21"/>
        <v/>
      </c>
      <c r="L478" s="87"/>
      <c r="M478" s="60">
        <f t="shared" si="22"/>
        <v>1900</v>
      </c>
      <c r="N478" s="60">
        <f t="shared" si="23"/>
        <v>1</v>
      </c>
    </row>
    <row r="479" customHeight="1" spans="2:14">
      <c r="B479" s="86">
        <v>477</v>
      </c>
      <c r="C479" s="87"/>
      <c r="D479" s="87"/>
      <c r="E479" s="60" t="str">
        <f>IFERROR(VLOOKUP(D479,'基础-领用人及部门'!$C:$D,2,FALSE),"-")</f>
        <v>-</v>
      </c>
      <c r="F479" s="87"/>
      <c r="G479" s="60" t="str">
        <f>IFERROR(VLOOKUP($F479,'基础-办公用品信息'!$C:$E,2,FALSE),"-")</f>
        <v>-</v>
      </c>
      <c r="H479" s="60" t="str">
        <f>IFERROR(VLOOKUP($F479,'基础-办公用品信息'!$C:$E,3,FALSE),"-")</f>
        <v>-</v>
      </c>
      <c r="I479" s="60"/>
      <c r="J479" s="60" t="str">
        <f>IFERROR(VLOOKUP($F479,'基础-办公用品信息'!$C:$F,4,FALSE),"-")</f>
        <v>-</v>
      </c>
      <c r="K479" s="60" t="str">
        <f t="shared" si="21"/>
        <v/>
      </c>
      <c r="L479" s="87"/>
      <c r="M479" s="60">
        <f t="shared" si="22"/>
        <v>1900</v>
      </c>
      <c r="N479" s="60">
        <f t="shared" si="23"/>
        <v>1</v>
      </c>
    </row>
    <row r="480" customHeight="1" spans="2:14">
      <c r="B480" s="86">
        <v>478</v>
      </c>
      <c r="C480" s="87"/>
      <c r="D480" s="87"/>
      <c r="E480" s="60" t="str">
        <f>IFERROR(VLOOKUP(D480,'基础-领用人及部门'!$C:$D,2,FALSE),"-")</f>
        <v>-</v>
      </c>
      <c r="F480" s="87"/>
      <c r="G480" s="60" t="str">
        <f>IFERROR(VLOOKUP($F480,'基础-办公用品信息'!$C:$E,2,FALSE),"-")</f>
        <v>-</v>
      </c>
      <c r="H480" s="60" t="str">
        <f>IFERROR(VLOOKUP($F480,'基础-办公用品信息'!$C:$E,3,FALSE),"-")</f>
        <v>-</v>
      </c>
      <c r="I480" s="60"/>
      <c r="J480" s="60" t="str">
        <f>IFERROR(VLOOKUP($F480,'基础-办公用品信息'!$C:$F,4,FALSE),"-")</f>
        <v>-</v>
      </c>
      <c r="K480" s="60" t="str">
        <f t="shared" si="21"/>
        <v/>
      </c>
      <c r="L480" s="87"/>
      <c r="M480" s="60">
        <f t="shared" si="22"/>
        <v>1900</v>
      </c>
      <c r="N480" s="60">
        <f t="shared" si="23"/>
        <v>1</v>
      </c>
    </row>
    <row r="481" customHeight="1" spans="2:14">
      <c r="B481" s="86">
        <v>479</v>
      </c>
      <c r="C481" s="87"/>
      <c r="D481" s="87"/>
      <c r="E481" s="60" t="str">
        <f>IFERROR(VLOOKUP(D481,'基础-领用人及部门'!$C:$D,2,FALSE),"-")</f>
        <v>-</v>
      </c>
      <c r="F481" s="87"/>
      <c r="G481" s="60" t="str">
        <f>IFERROR(VLOOKUP($F481,'基础-办公用品信息'!$C:$E,2,FALSE),"-")</f>
        <v>-</v>
      </c>
      <c r="H481" s="60" t="str">
        <f>IFERROR(VLOOKUP($F481,'基础-办公用品信息'!$C:$E,3,FALSE),"-")</f>
        <v>-</v>
      </c>
      <c r="I481" s="60"/>
      <c r="J481" s="60" t="str">
        <f>IFERROR(VLOOKUP($F481,'基础-办公用品信息'!$C:$F,4,FALSE),"-")</f>
        <v>-</v>
      </c>
      <c r="K481" s="60" t="str">
        <f t="shared" si="21"/>
        <v/>
      </c>
      <c r="L481" s="87"/>
      <c r="M481" s="60">
        <f t="shared" si="22"/>
        <v>1900</v>
      </c>
      <c r="N481" s="60">
        <f t="shared" si="23"/>
        <v>1</v>
      </c>
    </row>
    <row r="482" customHeight="1" spans="2:14">
      <c r="B482" s="86">
        <v>480</v>
      </c>
      <c r="C482" s="87"/>
      <c r="D482" s="87"/>
      <c r="E482" s="60" t="str">
        <f>IFERROR(VLOOKUP(D482,'基础-领用人及部门'!$C:$D,2,FALSE),"-")</f>
        <v>-</v>
      </c>
      <c r="F482" s="87"/>
      <c r="G482" s="60" t="str">
        <f>IFERROR(VLOOKUP($F482,'基础-办公用品信息'!$C:$E,2,FALSE),"-")</f>
        <v>-</v>
      </c>
      <c r="H482" s="60" t="str">
        <f>IFERROR(VLOOKUP($F482,'基础-办公用品信息'!$C:$E,3,FALSE),"-")</f>
        <v>-</v>
      </c>
      <c r="I482" s="60"/>
      <c r="J482" s="60" t="str">
        <f>IFERROR(VLOOKUP($F482,'基础-办公用品信息'!$C:$F,4,FALSE),"-")</f>
        <v>-</v>
      </c>
      <c r="K482" s="60" t="str">
        <f t="shared" si="21"/>
        <v/>
      </c>
      <c r="L482" s="87"/>
      <c r="M482" s="60">
        <f t="shared" si="22"/>
        <v>1900</v>
      </c>
      <c r="N482" s="60">
        <f t="shared" si="23"/>
        <v>1</v>
      </c>
    </row>
    <row r="483" customHeight="1" spans="2:14">
      <c r="B483" s="86">
        <v>481</v>
      </c>
      <c r="C483" s="87"/>
      <c r="D483" s="87"/>
      <c r="E483" s="60" t="str">
        <f>IFERROR(VLOOKUP(D483,'基础-领用人及部门'!$C:$D,2,FALSE),"-")</f>
        <v>-</v>
      </c>
      <c r="F483" s="87"/>
      <c r="G483" s="60" t="str">
        <f>IFERROR(VLOOKUP($F483,'基础-办公用品信息'!$C:$E,2,FALSE),"-")</f>
        <v>-</v>
      </c>
      <c r="H483" s="60" t="str">
        <f>IFERROR(VLOOKUP($F483,'基础-办公用品信息'!$C:$E,3,FALSE),"-")</f>
        <v>-</v>
      </c>
      <c r="I483" s="60"/>
      <c r="J483" s="60" t="str">
        <f>IFERROR(VLOOKUP($F483,'基础-办公用品信息'!$C:$F,4,FALSE),"-")</f>
        <v>-</v>
      </c>
      <c r="K483" s="60" t="str">
        <f t="shared" si="21"/>
        <v/>
      </c>
      <c r="L483" s="87"/>
      <c r="M483" s="60">
        <f t="shared" si="22"/>
        <v>1900</v>
      </c>
      <c r="N483" s="60">
        <f t="shared" si="23"/>
        <v>1</v>
      </c>
    </row>
    <row r="484" customHeight="1" spans="2:14">
      <c r="B484" s="86">
        <v>482</v>
      </c>
      <c r="C484" s="87"/>
      <c r="D484" s="87"/>
      <c r="E484" s="60" t="str">
        <f>IFERROR(VLOOKUP(D484,'基础-领用人及部门'!$C:$D,2,FALSE),"-")</f>
        <v>-</v>
      </c>
      <c r="F484" s="87"/>
      <c r="G484" s="60" t="str">
        <f>IFERROR(VLOOKUP($F484,'基础-办公用品信息'!$C:$E,2,FALSE),"-")</f>
        <v>-</v>
      </c>
      <c r="H484" s="60" t="str">
        <f>IFERROR(VLOOKUP($F484,'基础-办公用品信息'!$C:$E,3,FALSE),"-")</f>
        <v>-</v>
      </c>
      <c r="I484" s="60"/>
      <c r="J484" s="60" t="str">
        <f>IFERROR(VLOOKUP($F484,'基础-办公用品信息'!$C:$F,4,FALSE),"-")</f>
        <v>-</v>
      </c>
      <c r="K484" s="60" t="str">
        <f t="shared" si="21"/>
        <v/>
      </c>
      <c r="L484" s="87"/>
      <c r="M484" s="60">
        <f t="shared" si="22"/>
        <v>1900</v>
      </c>
      <c r="N484" s="60">
        <f t="shared" si="23"/>
        <v>1</v>
      </c>
    </row>
    <row r="485" customHeight="1" spans="2:14">
      <c r="B485" s="86">
        <v>483</v>
      </c>
      <c r="C485" s="87"/>
      <c r="D485" s="87"/>
      <c r="E485" s="60" t="str">
        <f>IFERROR(VLOOKUP(D485,'基础-领用人及部门'!$C:$D,2,FALSE),"-")</f>
        <v>-</v>
      </c>
      <c r="F485" s="87"/>
      <c r="G485" s="60" t="str">
        <f>IFERROR(VLOOKUP($F485,'基础-办公用品信息'!$C:$E,2,FALSE),"-")</f>
        <v>-</v>
      </c>
      <c r="H485" s="60" t="str">
        <f>IFERROR(VLOOKUP($F485,'基础-办公用品信息'!$C:$E,3,FALSE),"-")</f>
        <v>-</v>
      </c>
      <c r="I485" s="60"/>
      <c r="J485" s="60" t="str">
        <f>IFERROR(VLOOKUP($F485,'基础-办公用品信息'!$C:$F,4,FALSE),"-")</f>
        <v>-</v>
      </c>
      <c r="K485" s="60" t="str">
        <f t="shared" si="21"/>
        <v/>
      </c>
      <c r="L485" s="87"/>
      <c r="M485" s="60">
        <f t="shared" si="22"/>
        <v>1900</v>
      </c>
      <c r="N485" s="60">
        <f t="shared" si="23"/>
        <v>1</v>
      </c>
    </row>
    <row r="486" customHeight="1" spans="2:14">
      <c r="B486" s="86">
        <v>484</v>
      </c>
      <c r="C486" s="87"/>
      <c r="D486" s="87"/>
      <c r="E486" s="60" t="str">
        <f>IFERROR(VLOOKUP(D486,'基础-领用人及部门'!$C:$D,2,FALSE),"-")</f>
        <v>-</v>
      </c>
      <c r="F486" s="87"/>
      <c r="G486" s="60" t="str">
        <f>IFERROR(VLOOKUP($F486,'基础-办公用品信息'!$C:$E,2,FALSE),"-")</f>
        <v>-</v>
      </c>
      <c r="H486" s="60" t="str">
        <f>IFERROR(VLOOKUP($F486,'基础-办公用品信息'!$C:$E,3,FALSE),"-")</f>
        <v>-</v>
      </c>
      <c r="I486" s="60"/>
      <c r="J486" s="60" t="str">
        <f>IFERROR(VLOOKUP($F486,'基础-办公用品信息'!$C:$F,4,FALSE),"-")</f>
        <v>-</v>
      </c>
      <c r="K486" s="60" t="str">
        <f t="shared" si="21"/>
        <v/>
      </c>
      <c r="L486" s="87"/>
      <c r="M486" s="60">
        <f t="shared" si="22"/>
        <v>1900</v>
      </c>
      <c r="N486" s="60">
        <f t="shared" si="23"/>
        <v>1</v>
      </c>
    </row>
    <row r="487" customHeight="1" spans="2:14">
      <c r="B487" s="86">
        <v>485</v>
      </c>
      <c r="C487" s="87"/>
      <c r="D487" s="87"/>
      <c r="E487" s="60" t="str">
        <f>IFERROR(VLOOKUP(D487,'基础-领用人及部门'!$C:$D,2,FALSE),"-")</f>
        <v>-</v>
      </c>
      <c r="F487" s="87"/>
      <c r="G487" s="60" t="str">
        <f>IFERROR(VLOOKUP($F487,'基础-办公用品信息'!$C:$E,2,FALSE),"-")</f>
        <v>-</v>
      </c>
      <c r="H487" s="60" t="str">
        <f>IFERROR(VLOOKUP($F487,'基础-办公用品信息'!$C:$E,3,FALSE),"-")</f>
        <v>-</v>
      </c>
      <c r="I487" s="60"/>
      <c r="J487" s="60" t="str">
        <f>IFERROR(VLOOKUP($F487,'基础-办公用品信息'!$C:$F,4,FALSE),"-")</f>
        <v>-</v>
      </c>
      <c r="K487" s="60" t="str">
        <f t="shared" si="21"/>
        <v/>
      </c>
      <c r="L487" s="87"/>
      <c r="M487" s="60">
        <f t="shared" si="22"/>
        <v>1900</v>
      </c>
      <c r="N487" s="60">
        <f t="shared" si="23"/>
        <v>1</v>
      </c>
    </row>
    <row r="488" customHeight="1" spans="2:14">
      <c r="B488" s="86">
        <v>486</v>
      </c>
      <c r="C488" s="87"/>
      <c r="D488" s="87"/>
      <c r="E488" s="60" t="str">
        <f>IFERROR(VLOOKUP(D488,'基础-领用人及部门'!$C:$D,2,FALSE),"-")</f>
        <v>-</v>
      </c>
      <c r="F488" s="87"/>
      <c r="G488" s="60" t="str">
        <f>IFERROR(VLOOKUP($F488,'基础-办公用品信息'!$C:$E,2,FALSE),"-")</f>
        <v>-</v>
      </c>
      <c r="H488" s="60" t="str">
        <f>IFERROR(VLOOKUP($F488,'基础-办公用品信息'!$C:$E,3,FALSE),"-")</f>
        <v>-</v>
      </c>
      <c r="I488" s="60"/>
      <c r="J488" s="60" t="str">
        <f>IFERROR(VLOOKUP($F488,'基础-办公用品信息'!$C:$F,4,FALSE),"-")</f>
        <v>-</v>
      </c>
      <c r="K488" s="60" t="str">
        <f t="shared" si="21"/>
        <v/>
      </c>
      <c r="L488" s="87"/>
      <c r="M488" s="60">
        <f t="shared" si="22"/>
        <v>1900</v>
      </c>
      <c r="N488" s="60">
        <f t="shared" si="23"/>
        <v>1</v>
      </c>
    </row>
    <row r="489" customHeight="1" spans="2:14">
      <c r="B489" s="86">
        <v>487</v>
      </c>
      <c r="C489" s="87"/>
      <c r="D489" s="87"/>
      <c r="E489" s="60" t="str">
        <f>IFERROR(VLOOKUP(D489,'基础-领用人及部门'!$C:$D,2,FALSE),"-")</f>
        <v>-</v>
      </c>
      <c r="F489" s="87"/>
      <c r="G489" s="60" t="str">
        <f>IFERROR(VLOOKUP($F489,'基础-办公用品信息'!$C:$E,2,FALSE),"-")</f>
        <v>-</v>
      </c>
      <c r="H489" s="60" t="str">
        <f>IFERROR(VLOOKUP($F489,'基础-办公用品信息'!$C:$E,3,FALSE),"-")</f>
        <v>-</v>
      </c>
      <c r="I489" s="60"/>
      <c r="J489" s="60" t="str">
        <f>IFERROR(VLOOKUP($F489,'基础-办公用品信息'!$C:$F,4,FALSE),"-")</f>
        <v>-</v>
      </c>
      <c r="K489" s="60" t="str">
        <f t="shared" si="21"/>
        <v/>
      </c>
      <c r="L489" s="87"/>
      <c r="M489" s="60">
        <f t="shared" si="22"/>
        <v>1900</v>
      </c>
      <c r="N489" s="60">
        <f t="shared" si="23"/>
        <v>1</v>
      </c>
    </row>
    <row r="490" customHeight="1" spans="2:14">
      <c r="B490" s="86">
        <v>488</v>
      </c>
      <c r="C490" s="87"/>
      <c r="D490" s="87"/>
      <c r="E490" s="60" t="str">
        <f>IFERROR(VLOOKUP(D490,'基础-领用人及部门'!$C:$D,2,FALSE),"-")</f>
        <v>-</v>
      </c>
      <c r="F490" s="87"/>
      <c r="G490" s="60" t="str">
        <f>IFERROR(VLOOKUP($F490,'基础-办公用品信息'!$C:$E,2,FALSE),"-")</f>
        <v>-</v>
      </c>
      <c r="H490" s="60" t="str">
        <f>IFERROR(VLOOKUP($F490,'基础-办公用品信息'!$C:$E,3,FALSE),"-")</f>
        <v>-</v>
      </c>
      <c r="I490" s="60"/>
      <c r="J490" s="60" t="str">
        <f>IFERROR(VLOOKUP($F490,'基础-办公用品信息'!$C:$F,4,FALSE),"-")</f>
        <v>-</v>
      </c>
      <c r="K490" s="60" t="str">
        <f t="shared" si="21"/>
        <v/>
      </c>
      <c r="L490" s="87"/>
      <c r="M490" s="60">
        <f t="shared" si="22"/>
        <v>1900</v>
      </c>
      <c r="N490" s="60">
        <f t="shared" si="23"/>
        <v>1</v>
      </c>
    </row>
    <row r="491" customHeight="1" spans="2:14">
      <c r="B491" s="86">
        <v>489</v>
      </c>
      <c r="C491" s="87"/>
      <c r="D491" s="87"/>
      <c r="E491" s="60" t="str">
        <f>IFERROR(VLOOKUP(D491,'基础-领用人及部门'!$C:$D,2,FALSE),"-")</f>
        <v>-</v>
      </c>
      <c r="F491" s="87"/>
      <c r="G491" s="60" t="str">
        <f>IFERROR(VLOOKUP($F491,'基础-办公用品信息'!$C:$E,2,FALSE),"-")</f>
        <v>-</v>
      </c>
      <c r="H491" s="60" t="str">
        <f>IFERROR(VLOOKUP($F491,'基础-办公用品信息'!$C:$E,3,FALSE),"-")</f>
        <v>-</v>
      </c>
      <c r="I491" s="60"/>
      <c r="J491" s="60" t="str">
        <f>IFERROR(VLOOKUP($F491,'基础-办公用品信息'!$C:$F,4,FALSE),"-")</f>
        <v>-</v>
      </c>
      <c r="K491" s="60" t="str">
        <f t="shared" si="21"/>
        <v/>
      </c>
      <c r="L491" s="87"/>
      <c r="M491" s="60">
        <f t="shared" si="22"/>
        <v>1900</v>
      </c>
      <c r="N491" s="60">
        <f t="shared" si="23"/>
        <v>1</v>
      </c>
    </row>
    <row r="492" customHeight="1" spans="2:14">
      <c r="B492" s="86">
        <v>490</v>
      </c>
      <c r="C492" s="87"/>
      <c r="D492" s="87"/>
      <c r="E492" s="60" t="str">
        <f>IFERROR(VLOOKUP(D492,'基础-领用人及部门'!$C:$D,2,FALSE),"-")</f>
        <v>-</v>
      </c>
      <c r="F492" s="87"/>
      <c r="G492" s="60" t="str">
        <f>IFERROR(VLOOKUP($F492,'基础-办公用品信息'!$C:$E,2,FALSE),"-")</f>
        <v>-</v>
      </c>
      <c r="H492" s="60" t="str">
        <f>IFERROR(VLOOKUP($F492,'基础-办公用品信息'!$C:$E,3,FALSE),"-")</f>
        <v>-</v>
      </c>
      <c r="I492" s="60"/>
      <c r="J492" s="60" t="str">
        <f>IFERROR(VLOOKUP($F492,'基础-办公用品信息'!$C:$F,4,FALSE),"-")</f>
        <v>-</v>
      </c>
      <c r="K492" s="60" t="str">
        <f t="shared" si="21"/>
        <v/>
      </c>
      <c r="L492" s="87"/>
      <c r="M492" s="60">
        <f t="shared" si="22"/>
        <v>1900</v>
      </c>
      <c r="N492" s="60">
        <f t="shared" si="23"/>
        <v>1</v>
      </c>
    </row>
    <row r="493" customHeight="1" spans="2:14">
      <c r="B493" s="86">
        <v>491</v>
      </c>
      <c r="C493" s="87"/>
      <c r="D493" s="87"/>
      <c r="E493" s="60" t="str">
        <f>IFERROR(VLOOKUP(D493,'基础-领用人及部门'!$C:$D,2,FALSE),"-")</f>
        <v>-</v>
      </c>
      <c r="F493" s="87"/>
      <c r="G493" s="60" t="str">
        <f>IFERROR(VLOOKUP($F493,'基础-办公用品信息'!$C:$E,2,FALSE),"-")</f>
        <v>-</v>
      </c>
      <c r="H493" s="60" t="str">
        <f>IFERROR(VLOOKUP($F493,'基础-办公用品信息'!$C:$E,3,FALSE),"-")</f>
        <v>-</v>
      </c>
      <c r="I493" s="60"/>
      <c r="J493" s="60" t="str">
        <f>IFERROR(VLOOKUP($F493,'基础-办公用品信息'!$C:$F,4,FALSE),"-")</f>
        <v>-</v>
      </c>
      <c r="K493" s="60" t="str">
        <f t="shared" si="21"/>
        <v/>
      </c>
      <c r="L493" s="87"/>
      <c r="M493" s="60">
        <f t="shared" si="22"/>
        <v>1900</v>
      </c>
      <c r="N493" s="60">
        <f t="shared" si="23"/>
        <v>1</v>
      </c>
    </row>
    <row r="494" customHeight="1" spans="2:14">
      <c r="B494" s="86">
        <v>492</v>
      </c>
      <c r="C494" s="87"/>
      <c r="D494" s="87"/>
      <c r="E494" s="60" t="str">
        <f>IFERROR(VLOOKUP(D494,'基础-领用人及部门'!$C:$D,2,FALSE),"-")</f>
        <v>-</v>
      </c>
      <c r="F494" s="87"/>
      <c r="G494" s="60" t="str">
        <f>IFERROR(VLOOKUP($F494,'基础-办公用品信息'!$C:$E,2,FALSE),"-")</f>
        <v>-</v>
      </c>
      <c r="H494" s="60" t="str">
        <f>IFERROR(VLOOKUP($F494,'基础-办公用品信息'!$C:$E,3,FALSE),"-")</f>
        <v>-</v>
      </c>
      <c r="I494" s="60"/>
      <c r="J494" s="60" t="str">
        <f>IFERROR(VLOOKUP($F494,'基础-办公用品信息'!$C:$F,4,FALSE),"-")</f>
        <v>-</v>
      </c>
      <c r="K494" s="60" t="str">
        <f t="shared" si="21"/>
        <v/>
      </c>
      <c r="L494" s="87"/>
      <c r="M494" s="60">
        <f t="shared" si="22"/>
        <v>1900</v>
      </c>
      <c r="N494" s="60">
        <f t="shared" si="23"/>
        <v>1</v>
      </c>
    </row>
    <row r="495" customHeight="1" spans="2:14">
      <c r="B495" s="86">
        <v>493</v>
      </c>
      <c r="C495" s="87"/>
      <c r="D495" s="87"/>
      <c r="E495" s="60" t="str">
        <f>IFERROR(VLOOKUP(D495,'基础-领用人及部门'!$C:$D,2,FALSE),"-")</f>
        <v>-</v>
      </c>
      <c r="F495" s="87"/>
      <c r="G495" s="60" t="str">
        <f>IFERROR(VLOOKUP($F495,'基础-办公用品信息'!$C:$E,2,FALSE),"-")</f>
        <v>-</v>
      </c>
      <c r="H495" s="60" t="str">
        <f>IFERROR(VLOOKUP($F495,'基础-办公用品信息'!$C:$E,3,FALSE),"-")</f>
        <v>-</v>
      </c>
      <c r="I495" s="60"/>
      <c r="J495" s="60" t="str">
        <f>IFERROR(VLOOKUP($F495,'基础-办公用品信息'!$C:$F,4,FALSE),"-")</f>
        <v>-</v>
      </c>
      <c r="K495" s="60" t="str">
        <f t="shared" si="21"/>
        <v/>
      </c>
      <c r="L495" s="87"/>
      <c r="M495" s="60">
        <f t="shared" si="22"/>
        <v>1900</v>
      </c>
      <c r="N495" s="60">
        <f t="shared" si="23"/>
        <v>1</v>
      </c>
    </row>
    <row r="496" customHeight="1" spans="2:14">
      <c r="B496" s="86">
        <v>494</v>
      </c>
      <c r="C496" s="87"/>
      <c r="D496" s="87"/>
      <c r="E496" s="60" t="str">
        <f>IFERROR(VLOOKUP(D496,'基础-领用人及部门'!$C:$D,2,FALSE),"-")</f>
        <v>-</v>
      </c>
      <c r="F496" s="87"/>
      <c r="G496" s="60" t="str">
        <f>IFERROR(VLOOKUP($F496,'基础-办公用品信息'!$C:$E,2,FALSE),"-")</f>
        <v>-</v>
      </c>
      <c r="H496" s="60" t="str">
        <f>IFERROR(VLOOKUP($F496,'基础-办公用品信息'!$C:$E,3,FALSE),"-")</f>
        <v>-</v>
      </c>
      <c r="I496" s="60"/>
      <c r="J496" s="60" t="str">
        <f>IFERROR(VLOOKUP($F496,'基础-办公用品信息'!$C:$F,4,FALSE),"-")</f>
        <v>-</v>
      </c>
      <c r="K496" s="60" t="str">
        <f t="shared" si="21"/>
        <v/>
      </c>
      <c r="L496" s="87"/>
      <c r="M496" s="60">
        <f t="shared" si="22"/>
        <v>1900</v>
      </c>
      <c r="N496" s="60">
        <f t="shared" si="23"/>
        <v>1</v>
      </c>
    </row>
    <row r="497" customHeight="1" spans="2:14">
      <c r="B497" s="86">
        <v>495</v>
      </c>
      <c r="C497" s="87"/>
      <c r="D497" s="87"/>
      <c r="E497" s="60" t="str">
        <f>IFERROR(VLOOKUP(D497,'基础-领用人及部门'!$C:$D,2,FALSE),"-")</f>
        <v>-</v>
      </c>
      <c r="F497" s="87"/>
      <c r="G497" s="60" t="str">
        <f>IFERROR(VLOOKUP($F497,'基础-办公用品信息'!$C:$E,2,FALSE),"-")</f>
        <v>-</v>
      </c>
      <c r="H497" s="60" t="str">
        <f>IFERROR(VLOOKUP($F497,'基础-办公用品信息'!$C:$E,3,FALSE),"-")</f>
        <v>-</v>
      </c>
      <c r="I497" s="60"/>
      <c r="J497" s="60" t="str">
        <f>IFERROR(VLOOKUP($F497,'基础-办公用品信息'!$C:$F,4,FALSE),"-")</f>
        <v>-</v>
      </c>
      <c r="K497" s="60" t="str">
        <f t="shared" si="21"/>
        <v/>
      </c>
      <c r="L497" s="87"/>
      <c r="M497" s="60">
        <f t="shared" si="22"/>
        <v>1900</v>
      </c>
      <c r="N497" s="60">
        <f t="shared" si="23"/>
        <v>1</v>
      </c>
    </row>
    <row r="498" customHeight="1" spans="2:14">
      <c r="B498" s="86">
        <v>496</v>
      </c>
      <c r="C498" s="87"/>
      <c r="D498" s="87"/>
      <c r="E498" s="60" t="str">
        <f>IFERROR(VLOOKUP(D498,'基础-领用人及部门'!$C:$D,2,FALSE),"-")</f>
        <v>-</v>
      </c>
      <c r="F498" s="87"/>
      <c r="G498" s="60" t="str">
        <f>IFERROR(VLOOKUP($F498,'基础-办公用品信息'!$C:$E,2,FALSE),"-")</f>
        <v>-</v>
      </c>
      <c r="H498" s="60" t="str">
        <f>IFERROR(VLOOKUP($F498,'基础-办公用品信息'!$C:$E,3,FALSE),"-")</f>
        <v>-</v>
      </c>
      <c r="I498" s="60"/>
      <c r="J498" s="60" t="str">
        <f>IFERROR(VLOOKUP($F498,'基础-办公用品信息'!$C:$F,4,FALSE),"-")</f>
        <v>-</v>
      </c>
      <c r="K498" s="60" t="str">
        <f t="shared" si="21"/>
        <v/>
      </c>
      <c r="L498" s="87"/>
      <c r="M498" s="60">
        <f t="shared" si="22"/>
        <v>1900</v>
      </c>
      <c r="N498" s="60">
        <f t="shared" si="23"/>
        <v>1</v>
      </c>
    </row>
    <row r="499" customHeight="1" spans="2:14">
      <c r="B499" s="86">
        <v>497</v>
      </c>
      <c r="C499" s="87"/>
      <c r="D499" s="87"/>
      <c r="E499" s="60" t="str">
        <f>IFERROR(VLOOKUP(D499,'基础-领用人及部门'!$C:$D,2,FALSE),"-")</f>
        <v>-</v>
      </c>
      <c r="F499" s="87"/>
      <c r="G499" s="60" t="str">
        <f>IFERROR(VLOOKUP($F499,'基础-办公用品信息'!$C:$E,2,FALSE),"-")</f>
        <v>-</v>
      </c>
      <c r="H499" s="60" t="str">
        <f>IFERROR(VLOOKUP($F499,'基础-办公用品信息'!$C:$E,3,FALSE),"-")</f>
        <v>-</v>
      </c>
      <c r="I499" s="60"/>
      <c r="J499" s="60" t="str">
        <f>IFERROR(VLOOKUP($F499,'基础-办公用品信息'!$C:$F,4,FALSE),"-")</f>
        <v>-</v>
      </c>
      <c r="K499" s="60" t="str">
        <f t="shared" si="21"/>
        <v/>
      </c>
      <c r="L499" s="87"/>
      <c r="M499" s="60">
        <f t="shared" si="22"/>
        <v>1900</v>
      </c>
      <c r="N499" s="60">
        <f t="shared" si="23"/>
        <v>1</v>
      </c>
    </row>
    <row r="500" customHeight="1" spans="2:14">
      <c r="B500" s="86">
        <v>498</v>
      </c>
      <c r="C500" s="87"/>
      <c r="D500" s="87"/>
      <c r="E500" s="60" t="str">
        <f>IFERROR(VLOOKUP(D500,'基础-领用人及部门'!$C:$D,2,FALSE),"-")</f>
        <v>-</v>
      </c>
      <c r="F500" s="87"/>
      <c r="G500" s="60" t="str">
        <f>IFERROR(VLOOKUP($F500,'基础-办公用品信息'!$C:$E,2,FALSE),"-")</f>
        <v>-</v>
      </c>
      <c r="H500" s="60" t="str">
        <f>IFERROR(VLOOKUP($F500,'基础-办公用品信息'!$C:$E,3,FALSE),"-")</f>
        <v>-</v>
      </c>
      <c r="I500" s="60"/>
      <c r="J500" s="60" t="str">
        <f>IFERROR(VLOOKUP($F500,'基础-办公用品信息'!$C:$F,4,FALSE),"-")</f>
        <v>-</v>
      </c>
      <c r="K500" s="60" t="str">
        <f t="shared" si="21"/>
        <v/>
      </c>
      <c r="L500" s="87"/>
      <c r="M500" s="60">
        <f t="shared" si="22"/>
        <v>1900</v>
      </c>
      <c r="N500" s="60">
        <f t="shared" si="23"/>
        <v>1</v>
      </c>
    </row>
    <row r="501" customHeight="1" spans="2:14">
      <c r="B501" s="86">
        <v>499</v>
      </c>
      <c r="C501" s="87"/>
      <c r="D501" s="87"/>
      <c r="E501" s="60" t="str">
        <f>IFERROR(VLOOKUP(D501,'基础-领用人及部门'!$C:$D,2,FALSE),"-")</f>
        <v>-</v>
      </c>
      <c r="F501" s="87"/>
      <c r="G501" s="60" t="str">
        <f>IFERROR(VLOOKUP($F501,'基础-办公用品信息'!$C:$E,2,FALSE),"-")</f>
        <v>-</v>
      </c>
      <c r="H501" s="60" t="str">
        <f>IFERROR(VLOOKUP($F501,'基础-办公用品信息'!$C:$E,3,FALSE),"-")</f>
        <v>-</v>
      </c>
      <c r="I501" s="60"/>
      <c r="J501" s="60" t="str">
        <f>IFERROR(VLOOKUP($F501,'基础-办公用品信息'!$C:$F,4,FALSE),"-")</f>
        <v>-</v>
      </c>
      <c r="K501" s="60" t="str">
        <f t="shared" si="21"/>
        <v/>
      </c>
      <c r="L501" s="87"/>
      <c r="M501" s="60">
        <f t="shared" si="22"/>
        <v>1900</v>
      </c>
      <c r="N501" s="60">
        <f t="shared" si="23"/>
        <v>1</v>
      </c>
    </row>
    <row r="502" customHeight="1" spans="2:14">
      <c r="B502" s="86">
        <v>500</v>
      </c>
      <c r="C502" s="87"/>
      <c r="D502" s="87"/>
      <c r="E502" s="60" t="str">
        <f>IFERROR(VLOOKUP(D502,'基础-领用人及部门'!$C:$D,2,FALSE),"-")</f>
        <v>-</v>
      </c>
      <c r="F502" s="87"/>
      <c r="G502" s="60" t="str">
        <f>IFERROR(VLOOKUP($F502,'基础-办公用品信息'!$C:$E,2,FALSE),"-")</f>
        <v>-</v>
      </c>
      <c r="H502" s="60" t="str">
        <f>IFERROR(VLOOKUP($F502,'基础-办公用品信息'!$C:$E,3,FALSE),"-")</f>
        <v>-</v>
      </c>
      <c r="I502" s="60"/>
      <c r="J502" s="60" t="str">
        <f>IFERROR(VLOOKUP($F502,'基础-办公用品信息'!$C:$F,4,FALSE),"-")</f>
        <v>-</v>
      </c>
      <c r="K502" s="60" t="str">
        <f t="shared" si="21"/>
        <v/>
      </c>
      <c r="L502" s="87"/>
      <c r="M502" s="60">
        <f t="shared" si="22"/>
        <v>1900</v>
      </c>
      <c r="N502" s="60">
        <f t="shared" si="23"/>
        <v>1</v>
      </c>
    </row>
    <row r="503" customHeight="1" spans="2:14">
      <c r="B503" s="86">
        <v>501</v>
      </c>
      <c r="C503" s="87"/>
      <c r="D503" s="87"/>
      <c r="E503" s="60" t="str">
        <f>IFERROR(VLOOKUP(D503,'基础-领用人及部门'!$C:$D,2,FALSE),"-")</f>
        <v>-</v>
      </c>
      <c r="F503" s="87"/>
      <c r="G503" s="60" t="str">
        <f>IFERROR(VLOOKUP($F503,'基础-办公用品信息'!$C:$E,2,FALSE),"-")</f>
        <v>-</v>
      </c>
      <c r="H503" s="60" t="str">
        <f>IFERROR(VLOOKUP($F503,'基础-办公用品信息'!$C:$E,3,FALSE),"-")</f>
        <v>-</v>
      </c>
      <c r="I503" s="60"/>
      <c r="J503" s="60" t="str">
        <f>IFERROR(VLOOKUP($F503,'基础-办公用品信息'!$C:$F,4,FALSE),"-")</f>
        <v>-</v>
      </c>
      <c r="K503" s="60" t="str">
        <f t="shared" si="21"/>
        <v/>
      </c>
      <c r="L503" s="87"/>
      <c r="M503" s="60">
        <f t="shared" si="22"/>
        <v>1900</v>
      </c>
      <c r="N503" s="60">
        <f t="shared" si="23"/>
        <v>1</v>
      </c>
    </row>
    <row r="504" customHeight="1" spans="2:14">
      <c r="B504" s="86">
        <v>502</v>
      </c>
      <c r="C504" s="87"/>
      <c r="D504" s="87"/>
      <c r="E504" s="60" t="str">
        <f>IFERROR(VLOOKUP(D504,'基础-领用人及部门'!$C:$D,2,FALSE),"-")</f>
        <v>-</v>
      </c>
      <c r="F504" s="87"/>
      <c r="G504" s="60" t="str">
        <f>IFERROR(VLOOKUP($F504,'基础-办公用品信息'!$C:$E,2,FALSE),"-")</f>
        <v>-</v>
      </c>
      <c r="H504" s="60" t="str">
        <f>IFERROR(VLOOKUP($F504,'基础-办公用品信息'!$C:$E,3,FALSE),"-")</f>
        <v>-</v>
      </c>
      <c r="I504" s="60"/>
      <c r="J504" s="60" t="str">
        <f>IFERROR(VLOOKUP($F504,'基础-办公用品信息'!$C:$F,4,FALSE),"-")</f>
        <v>-</v>
      </c>
      <c r="K504" s="60" t="str">
        <f t="shared" si="21"/>
        <v/>
      </c>
      <c r="L504" s="87"/>
      <c r="M504" s="60">
        <f t="shared" si="22"/>
        <v>1900</v>
      </c>
      <c r="N504" s="60">
        <f t="shared" si="23"/>
        <v>1</v>
      </c>
    </row>
    <row r="505" customHeight="1" spans="2:14">
      <c r="B505" s="86">
        <v>503</v>
      </c>
      <c r="C505" s="87"/>
      <c r="D505" s="87"/>
      <c r="E505" s="60" t="str">
        <f>IFERROR(VLOOKUP(D505,'基础-领用人及部门'!$C:$D,2,FALSE),"-")</f>
        <v>-</v>
      </c>
      <c r="F505" s="87"/>
      <c r="G505" s="60" t="str">
        <f>IFERROR(VLOOKUP($F505,'基础-办公用品信息'!$C:$E,2,FALSE),"-")</f>
        <v>-</v>
      </c>
      <c r="H505" s="60" t="str">
        <f>IFERROR(VLOOKUP($F505,'基础-办公用品信息'!$C:$E,3,FALSE),"-")</f>
        <v>-</v>
      </c>
      <c r="I505" s="60"/>
      <c r="J505" s="60" t="str">
        <f>IFERROR(VLOOKUP($F505,'基础-办公用品信息'!$C:$F,4,FALSE),"-")</f>
        <v>-</v>
      </c>
      <c r="K505" s="60" t="str">
        <f t="shared" si="21"/>
        <v/>
      </c>
      <c r="L505" s="87"/>
      <c r="M505" s="60">
        <f t="shared" si="22"/>
        <v>1900</v>
      </c>
      <c r="N505" s="60">
        <f t="shared" si="23"/>
        <v>1</v>
      </c>
    </row>
    <row r="506" customHeight="1" spans="2:14">
      <c r="B506" s="86">
        <v>504</v>
      </c>
      <c r="C506" s="87"/>
      <c r="D506" s="87"/>
      <c r="E506" s="60" t="str">
        <f>IFERROR(VLOOKUP(D506,'基础-领用人及部门'!$C:$D,2,FALSE),"-")</f>
        <v>-</v>
      </c>
      <c r="F506" s="87"/>
      <c r="G506" s="60" t="str">
        <f>IFERROR(VLOOKUP($F506,'基础-办公用品信息'!$C:$E,2,FALSE),"-")</f>
        <v>-</v>
      </c>
      <c r="H506" s="60" t="str">
        <f>IFERROR(VLOOKUP($F506,'基础-办公用品信息'!$C:$E,3,FALSE),"-")</f>
        <v>-</v>
      </c>
      <c r="I506" s="60"/>
      <c r="J506" s="60" t="str">
        <f>IFERROR(VLOOKUP($F506,'基础-办公用品信息'!$C:$F,4,FALSE),"-")</f>
        <v>-</v>
      </c>
      <c r="K506" s="60" t="str">
        <f t="shared" si="21"/>
        <v/>
      </c>
      <c r="L506" s="87"/>
      <c r="M506" s="60">
        <f t="shared" si="22"/>
        <v>1900</v>
      </c>
      <c r="N506" s="60">
        <f t="shared" si="23"/>
        <v>1</v>
      </c>
    </row>
    <row r="507" customHeight="1" spans="2:14">
      <c r="B507" s="86">
        <v>505</v>
      </c>
      <c r="C507" s="87"/>
      <c r="D507" s="87"/>
      <c r="E507" s="60" t="str">
        <f>IFERROR(VLOOKUP(D507,'基础-领用人及部门'!$C:$D,2,FALSE),"-")</f>
        <v>-</v>
      </c>
      <c r="F507" s="87"/>
      <c r="G507" s="60" t="str">
        <f>IFERROR(VLOOKUP($F507,'基础-办公用品信息'!$C:$E,2,FALSE),"-")</f>
        <v>-</v>
      </c>
      <c r="H507" s="60" t="str">
        <f>IFERROR(VLOOKUP($F507,'基础-办公用品信息'!$C:$E,3,FALSE),"-")</f>
        <v>-</v>
      </c>
      <c r="I507" s="60"/>
      <c r="J507" s="60" t="str">
        <f>IFERROR(VLOOKUP($F507,'基础-办公用品信息'!$C:$F,4,FALSE),"-")</f>
        <v>-</v>
      </c>
      <c r="K507" s="60" t="str">
        <f t="shared" si="21"/>
        <v/>
      </c>
      <c r="L507" s="87"/>
      <c r="M507" s="60">
        <f t="shared" si="22"/>
        <v>1900</v>
      </c>
      <c r="N507" s="60">
        <f t="shared" si="23"/>
        <v>1</v>
      </c>
    </row>
    <row r="508" customHeight="1" spans="2:14">
      <c r="B508" s="86">
        <v>506</v>
      </c>
      <c r="C508" s="87"/>
      <c r="D508" s="87"/>
      <c r="E508" s="60" t="str">
        <f>IFERROR(VLOOKUP(D508,'基础-领用人及部门'!$C:$D,2,FALSE),"-")</f>
        <v>-</v>
      </c>
      <c r="F508" s="87"/>
      <c r="G508" s="60" t="str">
        <f>IFERROR(VLOOKUP($F508,'基础-办公用品信息'!$C:$E,2,FALSE),"-")</f>
        <v>-</v>
      </c>
      <c r="H508" s="60" t="str">
        <f>IFERROR(VLOOKUP($F508,'基础-办公用品信息'!$C:$E,3,FALSE),"-")</f>
        <v>-</v>
      </c>
      <c r="I508" s="60"/>
      <c r="J508" s="60" t="str">
        <f>IFERROR(VLOOKUP($F508,'基础-办公用品信息'!$C:$F,4,FALSE),"-")</f>
        <v>-</v>
      </c>
      <c r="K508" s="60" t="str">
        <f t="shared" si="21"/>
        <v/>
      </c>
      <c r="L508" s="87"/>
      <c r="M508" s="60">
        <f t="shared" si="22"/>
        <v>1900</v>
      </c>
      <c r="N508" s="60">
        <f t="shared" si="23"/>
        <v>1</v>
      </c>
    </row>
    <row r="509" customHeight="1" spans="2:14">
      <c r="B509" s="86">
        <v>507</v>
      </c>
      <c r="C509" s="87"/>
      <c r="D509" s="87"/>
      <c r="E509" s="60" t="str">
        <f>IFERROR(VLOOKUP(D509,'基础-领用人及部门'!$C:$D,2,FALSE),"-")</f>
        <v>-</v>
      </c>
      <c r="F509" s="87"/>
      <c r="G509" s="60" t="str">
        <f>IFERROR(VLOOKUP($F509,'基础-办公用品信息'!$C:$E,2,FALSE),"-")</f>
        <v>-</v>
      </c>
      <c r="H509" s="60" t="str">
        <f>IFERROR(VLOOKUP($F509,'基础-办公用品信息'!$C:$E,3,FALSE),"-")</f>
        <v>-</v>
      </c>
      <c r="I509" s="60"/>
      <c r="J509" s="60" t="str">
        <f>IFERROR(VLOOKUP($F509,'基础-办公用品信息'!$C:$F,4,FALSE),"-")</f>
        <v>-</v>
      </c>
      <c r="K509" s="60" t="str">
        <f t="shared" si="21"/>
        <v/>
      </c>
      <c r="L509" s="87"/>
      <c r="M509" s="60">
        <f t="shared" si="22"/>
        <v>1900</v>
      </c>
      <c r="N509" s="60">
        <f t="shared" si="23"/>
        <v>1</v>
      </c>
    </row>
    <row r="510" customHeight="1" spans="2:14">
      <c r="B510" s="86">
        <v>508</v>
      </c>
      <c r="C510" s="87"/>
      <c r="D510" s="87"/>
      <c r="E510" s="60" t="str">
        <f>IFERROR(VLOOKUP(D510,'基础-领用人及部门'!$C:$D,2,FALSE),"-")</f>
        <v>-</v>
      </c>
      <c r="F510" s="87"/>
      <c r="G510" s="60" t="str">
        <f>IFERROR(VLOOKUP($F510,'基础-办公用品信息'!$C:$E,2,FALSE),"-")</f>
        <v>-</v>
      </c>
      <c r="H510" s="60" t="str">
        <f>IFERROR(VLOOKUP($F510,'基础-办公用品信息'!$C:$E,3,FALSE),"-")</f>
        <v>-</v>
      </c>
      <c r="I510" s="60"/>
      <c r="J510" s="60" t="str">
        <f>IFERROR(VLOOKUP($F510,'基础-办公用品信息'!$C:$F,4,FALSE),"-")</f>
        <v>-</v>
      </c>
      <c r="K510" s="60" t="str">
        <f t="shared" si="21"/>
        <v/>
      </c>
      <c r="L510" s="87"/>
      <c r="M510" s="60">
        <f t="shared" si="22"/>
        <v>1900</v>
      </c>
      <c r="N510" s="60">
        <f t="shared" si="23"/>
        <v>1</v>
      </c>
    </row>
    <row r="511" customHeight="1" spans="2:14">
      <c r="B511" s="86">
        <v>509</v>
      </c>
      <c r="C511" s="87"/>
      <c r="D511" s="87"/>
      <c r="E511" s="60" t="str">
        <f>IFERROR(VLOOKUP(D511,'基础-领用人及部门'!$C:$D,2,FALSE),"-")</f>
        <v>-</v>
      </c>
      <c r="F511" s="87"/>
      <c r="G511" s="60" t="str">
        <f>IFERROR(VLOOKUP($F511,'基础-办公用品信息'!$C:$E,2,FALSE),"-")</f>
        <v>-</v>
      </c>
      <c r="H511" s="60" t="str">
        <f>IFERROR(VLOOKUP($F511,'基础-办公用品信息'!$C:$E,3,FALSE),"-")</f>
        <v>-</v>
      </c>
      <c r="I511" s="60"/>
      <c r="J511" s="60" t="str">
        <f>IFERROR(VLOOKUP($F511,'基础-办公用品信息'!$C:$F,4,FALSE),"-")</f>
        <v>-</v>
      </c>
      <c r="K511" s="60" t="str">
        <f t="shared" si="21"/>
        <v/>
      </c>
      <c r="L511" s="87"/>
      <c r="M511" s="60">
        <f t="shared" si="22"/>
        <v>1900</v>
      </c>
      <c r="N511" s="60">
        <f t="shared" si="23"/>
        <v>1</v>
      </c>
    </row>
    <row r="512" customHeight="1" spans="2:14">
      <c r="B512" s="86">
        <v>510</v>
      </c>
      <c r="C512" s="87"/>
      <c r="D512" s="87"/>
      <c r="E512" s="60" t="str">
        <f>IFERROR(VLOOKUP(D512,'基础-领用人及部门'!$C:$D,2,FALSE),"-")</f>
        <v>-</v>
      </c>
      <c r="F512" s="87"/>
      <c r="G512" s="60" t="str">
        <f>IFERROR(VLOOKUP($F512,'基础-办公用品信息'!$C:$E,2,FALSE),"-")</f>
        <v>-</v>
      </c>
      <c r="H512" s="60" t="str">
        <f>IFERROR(VLOOKUP($F512,'基础-办公用品信息'!$C:$E,3,FALSE),"-")</f>
        <v>-</v>
      </c>
      <c r="I512" s="60"/>
      <c r="J512" s="60" t="str">
        <f>IFERROR(VLOOKUP($F512,'基础-办公用品信息'!$C:$F,4,FALSE),"-")</f>
        <v>-</v>
      </c>
      <c r="K512" s="60" t="str">
        <f t="shared" si="21"/>
        <v/>
      </c>
      <c r="L512" s="87"/>
      <c r="M512" s="60">
        <f t="shared" si="22"/>
        <v>1900</v>
      </c>
      <c r="N512" s="60">
        <f t="shared" si="23"/>
        <v>1</v>
      </c>
    </row>
    <row r="513" customHeight="1" spans="2:14">
      <c r="B513" s="86">
        <v>511</v>
      </c>
      <c r="C513" s="87"/>
      <c r="D513" s="87"/>
      <c r="E513" s="60" t="str">
        <f>IFERROR(VLOOKUP(D513,'基础-领用人及部门'!$C:$D,2,FALSE),"-")</f>
        <v>-</v>
      </c>
      <c r="F513" s="87"/>
      <c r="G513" s="60" t="str">
        <f>IFERROR(VLOOKUP($F513,'基础-办公用品信息'!$C:$E,2,FALSE),"-")</f>
        <v>-</v>
      </c>
      <c r="H513" s="60" t="str">
        <f>IFERROR(VLOOKUP($F513,'基础-办公用品信息'!$C:$E,3,FALSE),"-")</f>
        <v>-</v>
      </c>
      <c r="I513" s="60"/>
      <c r="J513" s="60" t="str">
        <f>IFERROR(VLOOKUP($F513,'基础-办公用品信息'!$C:$F,4,FALSE),"-")</f>
        <v>-</v>
      </c>
      <c r="K513" s="60" t="str">
        <f t="shared" si="21"/>
        <v/>
      </c>
      <c r="L513" s="87"/>
      <c r="M513" s="60">
        <f t="shared" si="22"/>
        <v>1900</v>
      </c>
      <c r="N513" s="60">
        <f t="shared" si="23"/>
        <v>1</v>
      </c>
    </row>
    <row r="514" customHeight="1" spans="2:14">
      <c r="B514" s="86">
        <v>512</v>
      </c>
      <c r="C514" s="87"/>
      <c r="D514" s="87"/>
      <c r="E514" s="60" t="str">
        <f>IFERROR(VLOOKUP(D514,'基础-领用人及部门'!$C:$D,2,FALSE),"-")</f>
        <v>-</v>
      </c>
      <c r="F514" s="87"/>
      <c r="G514" s="60" t="str">
        <f>IFERROR(VLOOKUP($F514,'基础-办公用品信息'!$C:$E,2,FALSE),"-")</f>
        <v>-</v>
      </c>
      <c r="H514" s="60" t="str">
        <f>IFERROR(VLOOKUP($F514,'基础-办公用品信息'!$C:$E,3,FALSE),"-")</f>
        <v>-</v>
      </c>
      <c r="I514" s="60"/>
      <c r="J514" s="60" t="str">
        <f>IFERROR(VLOOKUP($F514,'基础-办公用品信息'!$C:$F,4,FALSE),"-")</f>
        <v>-</v>
      </c>
      <c r="K514" s="60" t="str">
        <f t="shared" si="21"/>
        <v/>
      </c>
      <c r="L514" s="87"/>
      <c r="M514" s="60">
        <f t="shared" si="22"/>
        <v>1900</v>
      </c>
      <c r="N514" s="60">
        <f t="shared" si="23"/>
        <v>1</v>
      </c>
    </row>
    <row r="515" customHeight="1" spans="2:14">
      <c r="B515" s="86">
        <v>513</v>
      </c>
      <c r="C515" s="87"/>
      <c r="D515" s="87"/>
      <c r="E515" s="60" t="str">
        <f>IFERROR(VLOOKUP(D515,'基础-领用人及部门'!$C:$D,2,FALSE),"-")</f>
        <v>-</v>
      </c>
      <c r="F515" s="87"/>
      <c r="G515" s="60" t="str">
        <f>IFERROR(VLOOKUP($F515,'基础-办公用品信息'!$C:$E,2,FALSE),"-")</f>
        <v>-</v>
      </c>
      <c r="H515" s="60" t="str">
        <f>IFERROR(VLOOKUP($F515,'基础-办公用品信息'!$C:$E,3,FALSE),"-")</f>
        <v>-</v>
      </c>
      <c r="I515" s="60"/>
      <c r="J515" s="60" t="str">
        <f>IFERROR(VLOOKUP($F515,'基础-办公用品信息'!$C:$F,4,FALSE),"-")</f>
        <v>-</v>
      </c>
      <c r="K515" s="60" t="str">
        <f t="shared" ref="K515:K578" si="24">IFERROR(I515*J515,"")</f>
        <v/>
      </c>
      <c r="L515" s="87"/>
      <c r="M515" s="60">
        <f t="shared" ref="M515:M578" si="25">YEAR(C515)</f>
        <v>1900</v>
      </c>
      <c r="N515" s="60">
        <f t="shared" ref="N515:N578" si="26">MONTH(C515)</f>
        <v>1</v>
      </c>
    </row>
    <row r="516" customHeight="1" spans="2:14">
      <c r="B516" s="86">
        <v>514</v>
      </c>
      <c r="C516" s="87"/>
      <c r="D516" s="87"/>
      <c r="E516" s="60" t="str">
        <f>IFERROR(VLOOKUP(D516,'基础-领用人及部门'!$C:$D,2,FALSE),"-")</f>
        <v>-</v>
      </c>
      <c r="F516" s="87"/>
      <c r="G516" s="60" t="str">
        <f>IFERROR(VLOOKUP($F516,'基础-办公用品信息'!$C:$E,2,FALSE),"-")</f>
        <v>-</v>
      </c>
      <c r="H516" s="60" t="str">
        <f>IFERROR(VLOOKUP($F516,'基础-办公用品信息'!$C:$E,3,FALSE),"-")</f>
        <v>-</v>
      </c>
      <c r="I516" s="60"/>
      <c r="J516" s="60" t="str">
        <f>IFERROR(VLOOKUP($F516,'基础-办公用品信息'!$C:$F,4,FALSE),"-")</f>
        <v>-</v>
      </c>
      <c r="K516" s="60" t="str">
        <f t="shared" si="24"/>
        <v/>
      </c>
      <c r="L516" s="87"/>
      <c r="M516" s="60">
        <f t="shared" si="25"/>
        <v>1900</v>
      </c>
      <c r="N516" s="60">
        <f t="shared" si="26"/>
        <v>1</v>
      </c>
    </row>
    <row r="517" customHeight="1" spans="2:14">
      <c r="B517" s="86">
        <v>515</v>
      </c>
      <c r="C517" s="87"/>
      <c r="D517" s="87"/>
      <c r="E517" s="60" t="str">
        <f>IFERROR(VLOOKUP(D517,'基础-领用人及部门'!$C:$D,2,FALSE),"-")</f>
        <v>-</v>
      </c>
      <c r="F517" s="87"/>
      <c r="G517" s="60" t="str">
        <f>IFERROR(VLOOKUP($F517,'基础-办公用品信息'!$C:$E,2,FALSE),"-")</f>
        <v>-</v>
      </c>
      <c r="H517" s="60" t="str">
        <f>IFERROR(VLOOKUP($F517,'基础-办公用品信息'!$C:$E,3,FALSE),"-")</f>
        <v>-</v>
      </c>
      <c r="I517" s="60"/>
      <c r="J517" s="60" t="str">
        <f>IFERROR(VLOOKUP($F517,'基础-办公用品信息'!$C:$F,4,FALSE),"-")</f>
        <v>-</v>
      </c>
      <c r="K517" s="60" t="str">
        <f t="shared" si="24"/>
        <v/>
      </c>
      <c r="L517" s="87"/>
      <c r="M517" s="60">
        <f t="shared" si="25"/>
        <v>1900</v>
      </c>
      <c r="N517" s="60">
        <f t="shared" si="26"/>
        <v>1</v>
      </c>
    </row>
    <row r="518" customHeight="1" spans="2:14">
      <c r="B518" s="86">
        <v>516</v>
      </c>
      <c r="C518" s="87"/>
      <c r="D518" s="87"/>
      <c r="E518" s="60" t="str">
        <f>IFERROR(VLOOKUP(D518,'基础-领用人及部门'!$C:$D,2,FALSE),"-")</f>
        <v>-</v>
      </c>
      <c r="F518" s="87"/>
      <c r="G518" s="60" t="str">
        <f>IFERROR(VLOOKUP($F518,'基础-办公用品信息'!$C:$E,2,FALSE),"-")</f>
        <v>-</v>
      </c>
      <c r="H518" s="60" t="str">
        <f>IFERROR(VLOOKUP($F518,'基础-办公用品信息'!$C:$E,3,FALSE),"-")</f>
        <v>-</v>
      </c>
      <c r="I518" s="60"/>
      <c r="J518" s="60" t="str">
        <f>IFERROR(VLOOKUP($F518,'基础-办公用品信息'!$C:$F,4,FALSE),"-")</f>
        <v>-</v>
      </c>
      <c r="K518" s="60" t="str">
        <f t="shared" si="24"/>
        <v/>
      </c>
      <c r="L518" s="87"/>
      <c r="M518" s="60">
        <f t="shared" si="25"/>
        <v>1900</v>
      </c>
      <c r="N518" s="60">
        <f t="shared" si="26"/>
        <v>1</v>
      </c>
    </row>
    <row r="519" customHeight="1" spans="2:14">
      <c r="B519" s="86">
        <v>517</v>
      </c>
      <c r="C519" s="87"/>
      <c r="D519" s="87"/>
      <c r="E519" s="60" t="str">
        <f>IFERROR(VLOOKUP(D519,'基础-领用人及部门'!$C:$D,2,FALSE),"-")</f>
        <v>-</v>
      </c>
      <c r="F519" s="87"/>
      <c r="G519" s="60" t="str">
        <f>IFERROR(VLOOKUP($F519,'基础-办公用品信息'!$C:$E,2,FALSE),"-")</f>
        <v>-</v>
      </c>
      <c r="H519" s="60" t="str">
        <f>IFERROR(VLOOKUP($F519,'基础-办公用品信息'!$C:$E,3,FALSE),"-")</f>
        <v>-</v>
      </c>
      <c r="I519" s="60"/>
      <c r="J519" s="60" t="str">
        <f>IFERROR(VLOOKUP($F519,'基础-办公用品信息'!$C:$F,4,FALSE),"-")</f>
        <v>-</v>
      </c>
      <c r="K519" s="60" t="str">
        <f t="shared" si="24"/>
        <v/>
      </c>
      <c r="L519" s="87"/>
      <c r="M519" s="60">
        <f t="shared" si="25"/>
        <v>1900</v>
      </c>
      <c r="N519" s="60">
        <f t="shared" si="26"/>
        <v>1</v>
      </c>
    </row>
    <row r="520" customHeight="1" spans="2:14">
      <c r="B520" s="86">
        <v>518</v>
      </c>
      <c r="C520" s="87"/>
      <c r="D520" s="87"/>
      <c r="E520" s="60" t="str">
        <f>IFERROR(VLOOKUP(D520,'基础-领用人及部门'!$C:$D,2,FALSE),"-")</f>
        <v>-</v>
      </c>
      <c r="F520" s="87"/>
      <c r="G520" s="60" t="str">
        <f>IFERROR(VLOOKUP($F520,'基础-办公用品信息'!$C:$E,2,FALSE),"-")</f>
        <v>-</v>
      </c>
      <c r="H520" s="60" t="str">
        <f>IFERROR(VLOOKUP($F520,'基础-办公用品信息'!$C:$E,3,FALSE),"-")</f>
        <v>-</v>
      </c>
      <c r="I520" s="60"/>
      <c r="J520" s="60" t="str">
        <f>IFERROR(VLOOKUP($F520,'基础-办公用品信息'!$C:$F,4,FALSE),"-")</f>
        <v>-</v>
      </c>
      <c r="K520" s="60" t="str">
        <f t="shared" si="24"/>
        <v/>
      </c>
      <c r="L520" s="87"/>
      <c r="M520" s="60">
        <f t="shared" si="25"/>
        <v>1900</v>
      </c>
      <c r="N520" s="60">
        <f t="shared" si="26"/>
        <v>1</v>
      </c>
    </row>
    <row r="521" customHeight="1" spans="2:14">
      <c r="B521" s="86">
        <v>519</v>
      </c>
      <c r="C521" s="87"/>
      <c r="D521" s="87"/>
      <c r="E521" s="60" t="str">
        <f>IFERROR(VLOOKUP(D521,'基础-领用人及部门'!$C:$D,2,FALSE),"-")</f>
        <v>-</v>
      </c>
      <c r="F521" s="87"/>
      <c r="G521" s="60" t="str">
        <f>IFERROR(VLOOKUP($F521,'基础-办公用品信息'!$C:$E,2,FALSE),"-")</f>
        <v>-</v>
      </c>
      <c r="H521" s="60" t="str">
        <f>IFERROR(VLOOKUP($F521,'基础-办公用品信息'!$C:$E,3,FALSE),"-")</f>
        <v>-</v>
      </c>
      <c r="I521" s="60"/>
      <c r="J521" s="60" t="str">
        <f>IFERROR(VLOOKUP($F521,'基础-办公用品信息'!$C:$F,4,FALSE),"-")</f>
        <v>-</v>
      </c>
      <c r="K521" s="60" t="str">
        <f t="shared" si="24"/>
        <v/>
      </c>
      <c r="L521" s="87"/>
      <c r="M521" s="60">
        <f t="shared" si="25"/>
        <v>1900</v>
      </c>
      <c r="N521" s="60">
        <f t="shared" si="26"/>
        <v>1</v>
      </c>
    </row>
    <row r="522" customHeight="1" spans="2:14">
      <c r="B522" s="86">
        <v>520</v>
      </c>
      <c r="C522" s="87"/>
      <c r="D522" s="87"/>
      <c r="E522" s="60" t="str">
        <f>IFERROR(VLOOKUP(D522,'基础-领用人及部门'!$C:$D,2,FALSE),"-")</f>
        <v>-</v>
      </c>
      <c r="F522" s="87"/>
      <c r="G522" s="60" t="str">
        <f>IFERROR(VLOOKUP($F522,'基础-办公用品信息'!$C:$E,2,FALSE),"-")</f>
        <v>-</v>
      </c>
      <c r="H522" s="60" t="str">
        <f>IFERROR(VLOOKUP($F522,'基础-办公用品信息'!$C:$E,3,FALSE),"-")</f>
        <v>-</v>
      </c>
      <c r="I522" s="60"/>
      <c r="J522" s="60" t="str">
        <f>IFERROR(VLOOKUP($F522,'基础-办公用品信息'!$C:$F,4,FALSE),"-")</f>
        <v>-</v>
      </c>
      <c r="K522" s="60" t="str">
        <f t="shared" si="24"/>
        <v/>
      </c>
      <c r="L522" s="87"/>
      <c r="M522" s="60">
        <f t="shared" si="25"/>
        <v>1900</v>
      </c>
      <c r="N522" s="60">
        <f t="shared" si="26"/>
        <v>1</v>
      </c>
    </row>
    <row r="523" customHeight="1" spans="2:14">
      <c r="B523" s="86">
        <v>521</v>
      </c>
      <c r="C523" s="87"/>
      <c r="D523" s="87"/>
      <c r="E523" s="60" t="str">
        <f>IFERROR(VLOOKUP(D523,'基础-领用人及部门'!$C:$D,2,FALSE),"-")</f>
        <v>-</v>
      </c>
      <c r="F523" s="87"/>
      <c r="G523" s="60" t="str">
        <f>IFERROR(VLOOKUP($F523,'基础-办公用品信息'!$C:$E,2,FALSE),"-")</f>
        <v>-</v>
      </c>
      <c r="H523" s="60" t="str">
        <f>IFERROR(VLOOKUP($F523,'基础-办公用品信息'!$C:$E,3,FALSE),"-")</f>
        <v>-</v>
      </c>
      <c r="I523" s="60"/>
      <c r="J523" s="60" t="str">
        <f>IFERROR(VLOOKUP($F523,'基础-办公用品信息'!$C:$F,4,FALSE),"-")</f>
        <v>-</v>
      </c>
      <c r="K523" s="60" t="str">
        <f t="shared" si="24"/>
        <v/>
      </c>
      <c r="L523" s="87"/>
      <c r="M523" s="60">
        <f t="shared" si="25"/>
        <v>1900</v>
      </c>
      <c r="N523" s="60">
        <f t="shared" si="26"/>
        <v>1</v>
      </c>
    </row>
    <row r="524" customHeight="1" spans="2:14">
      <c r="B524" s="86">
        <v>522</v>
      </c>
      <c r="C524" s="87"/>
      <c r="D524" s="87"/>
      <c r="E524" s="60" t="str">
        <f>IFERROR(VLOOKUP(D524,'基础-领用人及部门'!$C:$D,2,FALSE),"-")</f>
        <v>-</v>
      </c>
      <c r="F524" s="87"/>
      <c r="G524" s="60" t="str">
        <f>IFERROR(VLOOKUP($F524,'基础-办公用品信息'!$C:$E,2,FALSE),"-")</f>
        <v>-</v>
      </c>
      <c r="H524" s="60" t="str">
        <f>IFERROR(VLOOKUP($F524,'基础-办公用品信息'!$C:$E,3,FALSE),"-")</f>
        <v>-</v>
      </c>
      <c r="I524" s="60"/>
      <c r="J524" s="60" t="str">
        <f>IFERROR(VLOOKUP($F524,'基础-办公用品信息'!$C:$F,4,FALSE),"-")</f>
        <v>-</v>
      </c>
      <c r="K524" s="60" t="str">
        <f t="shared" si="24"/>
        <v/>
      </c>
      <c r="L524" s="87"/>
      <c r="M524" s="60">
        <f t="shared" si="25"/>
        <v>1900</v>
      </c>
      <c r="N524" s="60">
        <f t="shared" si="26"/>
        <v>1</v>
      </c>
    </row>
    <row r="525" customHeight="1" spans="2:14">
      <c r="B525" s="86">
        <v>523</v>
      </c>
      <c r="C525" s="87"/>
      <c r="D525" s="87"/>
      <c r="E525" s="60" t="str">
        <f>IFERROR(VLOOKUP(D525,'基础-领用人及部门'!$C:$D,2,FALSE),"-")</f>
        <v>-</v>
      </c>
      <c r="F525" s="87"/>
      <c r="G525" s="60" t="str">
        <f>IFERROR(VLOOKUP($F525,'基础-办公用品信息'!$C:$E,2,FALSE),"-")</f>
        <v>-</v>
      </c>
      <c r="H525" s="60" t="str">
        <f>IFERROR(VLOOKUP($F525,'基础-办公用品信息'!$C:$E,3,FALSE),"-")</f>
        <v>-</v>
      </c>
      <c r="I525" s="60"/>
      <c r="J525" s="60" t="str">
        <f>IFERROR(VLOOKUP($F525,'基础-办公用品信息'!$C:$F,4,FALSE),"-")</f>
        <v>-</v>
      </c>
      <c r="K525" s="60" t="str">
        <f t="shared" si="24"/>
        <v/>
      </c>
      <c r="L525" s="87"/>
      <c r="M525" s="60">
        <f t="shared" si="25"/>
        <v>1900</v>
      </c>
      <c r="N525" s="60">
        <f t="shared" si="26"/>
        <v>1</v>
      </c>
    </row>
    <row r="526" customHeight="1" spans="2:14">
      <c r="B526" s="86">
        <v>524</v>
      </c>
      <c r="C526" s="87"/>
      <c r="D526" s="87"/>
      <c r="E526" s="60" t="str">
        <f>IFERROR(VLOOKUP(D526,'基础-领用人及部门'!$C:$D,2,FALSE),"-")</f>
        <v>-</v>
      </c>
      <c r="F526" s="87"/>
      <c r="G526" s="60" t="str">
        <f>IFERROR(VLOOKUP($F526,'基础-办公用品信息'!$C:$E,2,FALSE),"-")</f>
        <v>-</v>
      </c>
      <c r="H526" s="60" t="str">
        <f>IFERROR(VLOOKUP($F526,'基础-办公用品信息'!$C:$E,3,FALSE),"-")</f>
        <v>-</v>
      </c>
      <c r="I526" s="60"/>
      <c r="J526" s="60" t="str">
        <f>IFERROR(VLOOKUP($F526,'基础-办公用品信息'!$C:$F,4,FALSE),"-")</f>
        <v>-</v>
      </c>
      <c r="K526" s="60" t="str">
        <f t="shared" si="24"/>
        <v/>
      </c>
      <c r="L526" s="87"/>
      <c r="M526" s="60">
        <f t="shared" si="25"/>
        <v>1900</v>
      </c>
      <c r="N526" s="60">
        <f t="shared" si="26"/>
        <v>1</v>
      </c>
    </row>
    <row r="527" customHeight="1" spans="2:14">
      <c r="B527" s="86">
        <v>525</v>
      </c>
      <c r="C527" s="87"/>
      <c r="D527" s="87"/>
      <c r="E527" s="60" t="str">
        <f>IFERROR(VLOOKUP(D527,'基础-领用人及部门'!$C:$D,2,FALSE),"-")</f>
        <v>-</v>
      </c>
      <c r="F527" s="87"/>
      <c r="G527" s="60" t="str">
        <f>IFERROR(VLOOKUP($F527,'基础-办公用品信息'!$C:$E,2,FALSE),"-")</f>
        <v>-</v>
      </c>
      <c r="H527" s="60" t="str">
        <f>IFERROR(VLOOKUP($F527,'基础-办公用品信息'!$C:$E,3,FALSE),"-")</f>
        <v>-</v>
      </c>
      <c r="I527" s="60"/>
      <c r="J527" s="60" t="str">
        <f>IFERROR(VLOOKUP($F527,'基础-办公用品信息'!$C:$F,4,FALSE),"-")</f>
        <v>-</v>
      </c>
      <c r="K527" s="60" t="str">
        <f t="shared" si="24"/>
        <v/>
      </c>
      <c r="L527" s="87"/>
      <c r="M527" s="60">
        <f t="shared" si="25"/>
        <v>1900</v>
      </c>
      <c r="N527" s="60">
        <f t="shared" si="26"/>
        <v>1</v>
      </c>
    </row>
    <row r="528" customHeight="1" spans="2:14">
      <c r="B528" s="86">
        <v>526</v>
      </c>
      <c r="C528" s="87"/>
      <c r="D528" s="87"/>
      <c r="E528" s="60" t="str">
        <f>IFERROR(VLOOKUP(D528,'基础-领用人及部门'!$C:$D,2,FALSE),"-")</f>
        <v>-</v>
      </c>
      <c r="F528" s="87"/>
      <c r="G528" s="60" t="str">
        <f>IFERROR(VLOOKUP($F528,'基础-办公用品信息'!$C:$E,2,FALSE),"-")</f>
        <v>-</v>
      </c>
      <c r="H528" s="60" t="str">
        <f>IFERROR(VLOOKUP($F528,'基础-办公用品信息'!$C:$E,3,FALSE),"-")</f>
        <v>-</v>
      </c>
      <c r="I528" s="60"/>
      <c r="J528" s="60" t="str">
        <f>IFERROR(VLOOKUP($F528,'基础-办公用品信息'!$C:$F,4,FALSE),"-")</f>
        <v>-</v>
      </c>
      <c r="K528" s="60" t="str">
        <f t="shared" si="24"/>
        <v/>
      </c>
      <c r="L528" s="87"/>
      <c r="M528" s="60">
        <f t="shared" si="25"/>
        <v>1900</v>
      </c>
      <c r="N528" s="60">
        <f t="shared" si="26"/>
        <v>1</v>
      </c>
    </row>
    <row r="529" customHeight="1" spans="2:14">
      <c r="B529" s="86">
        <v>527</v>
      </c>
      <c r="C529" s="87"/>
      <c r="D529" s="87"/>
      <c r="E529" s="60" t="str">
        <f>IFERROR(VLOOKUP(D529,'基础-领用人及部门'!$C:$D,2,FALSE),"-")</f>
        <v>-</v>
      </c>
      <c r="F529" s="87"/>
      <c r="G529" s="60" t="str">
        <f>IFERROR(VLOOKUP($F529,'基础-办公用品信息'!$C:$E,2,FALSE),"-")</f>
        <v>-</v>
      </c>
      <c r="H529" s="60" t="str">
        <f>IFERROR(VLOOKUP($F529,'基础-办公用品信息'!$C:$E,3,FALSE),"-")</f>
        <v>-</v>
      </c>
      <c r="I529" s="60"/>
      <c r="J529" s="60" t="str">
        <f>IFERROR(VLOOKUP($F529,'基础-办公用品信息'!$C:$F,4,FALSE),"-")</f>
        <v>-</v>
      </c>
      <c r="K529" s="60" t="str">
        <f t="shared" si="24"/>
        <v/>
      </c>
      <c r="L529" s="87"/>
      <c r="M529" s="60">
        <f t="shared" si="25"/>
        <v>1900</v>
      </c>
      <c r="N529" s="60">
        <f t="shared" si="26"/>
        <v>1</v>
      </c>
    </row>
    <row r="530" customHeight="1" spans="2:14">
      <c r="B530" s="86">
        <v>528</v>
      </c>
      <c r="C530" s="87"/>
      <c r="D530" s="87"/>
      <c r="E530" s="60" t="str">
        <f>IFERROR(VLOOKUP(D530,'基础-领用人及部门'!$C:$D,2,FALSE),"-")</f>
        <v>-</v>
      </c>
      <c r="F530" s="87"/>
      <c r="G530" s="60" t="str">
        <f>IFERROR(VLOOKUP($F530,'基础-办公用品信息'!$C:$E,2,FALSE),"-")</f>
        <v>-</v>
      </c>
      <c r="H530" s="60" t="str">
        <f>IFERROR(VLOOKUP($F530,'基础-办公用品信息'!$C:$E,3,FALSE),"-")</f>
        <v>-</v>
      </c>
      <c r="I530" s="60"/>
      <c r="J530" s="60" t="str">
        <f>IFERROR(VLOOKUP($F530,'基础-办公用品信息'!$C:$F,4,FALSE),"-")</f>
        <v>-</v>
      </c>
      <c r="K530" s="60" t="str">
        <f t="shared" si="24"/>
        <v/>
      </c>
      <c r="L530" s="87"/>
      <c r="M530" s="60">
        <f t="shared" si="25"/>
        <v>1900</v>
      </c>
      <c r="N530" s="60">
        <f t="shared" si="26"/>
        <v>1</v>
      </c>
    </row>
    <row r="531" customHeight="1" spans="2:14">
      <c r="B531" s="86">
        <v>529</v>
      </c>
      <c r="C531" s="87"/>
      <c r="D531" s="87"/>
      <c r="E531" s="60" t="str">
        <f>IFERROR(VLOOKUP(D531,'基础-领用人及部门'!$C:$D,2,FALSE),"-")</f>
        <v>-</v>
      </c>
      <c r="F531" s="87"/>
      <c r="G531" s="60" t="str">
        <f>IFERROR(VLOOKUP($F531,'基础-办公用品信息'!$C:$E,2,FALSE),"-")</f>
        <v>-</v>
      </c>
      <c r="H531" s="60" t="str">
        <f>IFERROR(VLOOKUP($F531,'基础-办公用品信息'!$C:$E,3,FALSE),"-")</f>
        <v>-</v>
      </c>
      <c r="I531" s="60"/>
      <c r="J531" s="60" t="str">
        <f>IFERROR(VLOOKUP($F531,'基础-办公用品信息'!$C:$F,4,FALSE),"-")</f>
        <v>-</v>
      </c>
      <c r="K531" s="60" t="str">
        <f t="shared" si="24"/>
        <v/>
      </c>
      <c r="L531" s="87"/>
      <c r="M531" s="60">
        <f t="shared" si="25"/>
        <v>1900</v>
      </c>
      <c r="N531" s="60">
        <f t="shared" si="26"/>
        <v>1</v>
      </c>
    </row>
    <row r="532" customHeight="1" spans="2:14">
      <c r="B532" s="86">
        <v>530</v>
      </c>
      <c r="C532" s="87"/>
      <c r="D532" s="87"/>
      <c r="E532" s="60" t="str">
        <f>IFERROR(VLOOKUP(D532,'基础-领用人及部门'!$C:$D,2,FALSE),"-")</f>
        <v>-</v>
      </c>
      <c r="F532" s="87"/>
      <c r="G532" s="60" t="str">
        <f>IFERROR(VLOOKUP($F532,'基础-办公用品信息'!$C:$E,2,FALSE),"-")</f>
        <v>-</v>
      </c>
      <c r="H532" s="60" t="str">
        <f>IFERROR(VLOOKUP($F532,'基础-办公用品信息'!$C:$E,3,FALSE),"-")</f>
        <v>-</v>
      </c>
      <c r="I532" s="60"/>
      <c r="J532" s="60" t="str">
        <f>IFERROR(VLOOKUP($F532,'基础-办公用品信息'!$C:$F,4,FALSE),"-")</f>
        <v>-</v>
      </c>
      <c r="K532" s="60" t="str">
        <f t="shared" si="24"/>
        <v/>
      </c>
      <c r="L532" s="87"/>
      <c r="M532" s="60">
        <f t="shared" si="25"/>
        <v>1900</v>
      </c>
      <c r="N532" s="60">
        <f t="shared" si="26"/>
        <v>1</v>
      </c>
    </row>
    <row r="533" customHeight="1" spans="2:14">
      <c r="B533" s="86">
        <v>531</v>
      </c>
      <c r="C533" s="87"/>
      <c r="D533" s="87"/>
      <c r="E533" s="60" t="str">
        <f>IFERROR(VLOOKUP(D533,'基础-领用人及部门'!$C:$D,2,FALSE),"-")</f>
        <v>-</v>
      </c>
      <c r="F533" s="87"/>
      <c r="G533" s="60" t="str">
        <f>IFERROR(VLOOKUP($F533,'基础-办公用品信息'!$C:$E,2,FALSE),"-")</f>
        <v>-</v>
      </c>
      <c r="H533" s="60" t="str">
        <f>IFERROR(VLOOKUP($F533,'基础-办公用品信息'!$C:$E,3,FALSE),"-")</f>
        <v>-</v>
      </c>
      <c r="I533" s="60"/>
      <c r="J533" s="60" t="str">
        <f>IFERROR(VLOOKUP($F533,'基础-办公用品信息'!$C:$F,4,FALSE),"-")</f>
        <v>-</v>
      </c>
      <c r="K533" s="60" t="str">
        <f t="shared" si="24"/>
        <v/>
      </c>
      <c r="L533" s="87"/>
      <c r="M533" s="60">
        <f t="shared" si="25"/>
        <v>1900</v>
      </c>
      <c r="N533" s="60">
        <f t="shared" si="26"/>
        <v>1</v>
      </c>
    </row>
    <row r="534" customHeight="1" spans="2:14">
      <c r="B534" s="86">
        <v>532</v>
      </c>
      <c r="C534" s="87"/>
      <c r="D534" s="87"/>
      <c r="E534" s="60" t="str">
        <f>IFERROR(VLOOKUP(D534,'基础-领用人及部门'!$C:$D,2,FALSE),"-")</f>
        <v>-</v>
      </c>
      <c r="F534" s="87"/>
      <c r="G534" s="60" t="str">
        <f>IFERROR(VLOOKUP($F534,'基础-办公用品信息'!$C:$E,2,FALSE),"-")</f>
        <v>-</v>
      </c>
      <c r="H534" s="60" t="str">
        <f>IFERROR(VLOOKUP($F534,'基础-办公用品信息'!$C:$E,3,FALSE),"-")</f>
        <v>-</v>
      </c>
      <c r="I534" s="60"/>
      <c r="J534" s="60" t="str">
        <f>IFERROR(VLOOKUP($F534,'基础-办公用品信息'!$C:$F,4,FALSE),"-")</f>
        <v>-</v>
      </c>
      <c r="K534" s="60" t="str">
        <f t="shared" si="24"/>
        <v/>
      </c>
      <c r="L534" s="87"/>
      <c r="M534" s="60">
        <f t="shared" si="25"/>
        <v>1900</v>
      </c>
      <c r="N534" s="60">
        <f t="shared" si="26"/>
        <v>1</v>
      </c>
    </row>
    <row r="535" customHeight="1" spans="2:14">
      <c r="B535" s="86">
        <v>533</v>
      </c>
      <c r="C535" s="87"/>
      <c r="D535" s="87"/>
      <c r="E535" s="60" t="str">
        <f>IFERROR(VLOOKUP(D535,'基础-领用人及部门'!$C:$D,2,FALSE),"-")</f>
        <v>-</v>
      </c>
      <c r="F535" s="87"/>
      <c r="G535" s="60" t="str">
        <f>IFERROR(VLOOKUP($F535,'基础-办公用品信息'!$C:$E,2,FALSE),"-")</f>
        <v>-</v>
      </c>
      <c r="H535" s="60" t="str">
        <f>IFERROR(VLOOKUP($F535,'基础-办公用品信息'!$C:$E,3,FALSE),"-")</f>
        <v>-</v>
      </c>
      <c r="I535" s="60"/>
      <c r="J535" s="60" t="str">
        <f>IFERROR(VLOOKUP($F535,'基础-办公用品信息'!$C:$F,4,FALSE),"-")</f>
        <v>-</v>
      </c>
      <c r="K535" s="60" t="str">
        <f t="shared" si="24"/>
        <v/>
      </c>
      <c r="L535" s="87"/>
      <c r="M535" s="60">
        <f t="shared" si="25"/>
        <v>1900</v>
      </c>
      <c r="N535" s="60">
        <f t="shared" si="26"/>
        <v>1</v>
      </c>
    </row>
    <row r="536" customHeight="1" spans="2:14">
      <c r="B536" s="86">
        <v>534</v>
      </c>
      <c r="C536" s="87"/>
      <c r="D536" s="87"/>
      <c r="E536" s="60" t="str">
        <f>IFERROR(VLOOKUP(D536,'基础-领用人及部门'!$C:$D,2,FALSE),"-")</f>
        <v>-</v>
      </c>
      <c r="F536" s="87"/>
      <c r="G536" s="60" t="str">
        <f>IFERROR(VLOOKUP($F536,'基础-办公用品信息'!$C:$E,2,FALSE),"-")</f>
        <v>-</v>
      </c>
      <c r="H536" s="60" t="str">
        <f>IFERROR(VLOOKUP($F536,'基础-办公用品信息'!$C:$E,3,FALSE),"-")</f>
        <v>-</v>
      </c>
      <c r="I536" s="60"/>
      <c r="J536" s="60" t="str">
        <f>IFERROR(VLOOKUP($F536,'基础-办公用品信息'!$C:$F,4,FALSE),"-")</f>
        <v>-</v>
      </c>
      <c r="K536" s="60" t="str">
        <f t="shared" si="24"/>
        <v/>
      </c>
      <c r="L536" s="87"/>
      <c r="M536" s="60">
        <f t="shared" si="25"/>
        <v>1900</v>
      </c>
      <c r="N536" s="60">
        <f t="shared" si="26"/>
        <v>1</v>
      </c>
    </row>
    <row r="537" customHeight="1" spans="2:14">
      <c r="B537" s="86">
        <v>535</v>
      </c>
      <c r="C537" s="87"/>
      <c r="D537" s="87"/>
      <c r="E537" s="60" t="str">
        <f>IFERROR(VLOOKUP(D537,'基础-领用人及部门'!$C:$D,2,FALSE),"-")</f>
        <v>-</v>
      </c>
      <c r="F537" s="87"/>
      <c r="G537" s="60" t="str">
        <f>IFERROR(VLOOKUP($F537,'基础-办公用品信息'!$C:$E,2,FALSE),"-")</f>
        <v>-</v>
      </c>
      <c r="H537" s="60" t="str">
        <f>IFERROR(VLOOKUP($F537,'基础-办公用品信息'!$C:$E,3,FALSE),"-")</f>
        <v>-</v>
      </c>
      <c r="I537" s="60"/>
      <c r="J537" s="60" t="str">
        <f>IFERROR(VLOOKUP($F537,'基础-办公用品信息'!$C:$F,4,FALSE),"-")</f>
        <v>-</v>
      </c>
      <c r="K537" s="60" t="str">
        <f t="shared" si="24"/>
        <v/>
      </c>
      <c r="L537" s="87"/>
      <c r="M537" s="60">
        <f t="shared" si="25"/>
        <v>1900</v>
      </c>
      <c r="N537" s="60">
        <f t="shared" si="26"/>
        <v>1</v>
      </c>
    </row>
    <row r="538" customHeight="1" spans="2:14">
      <c r="B538" s="86">
        <v>536</v>
      </c>
      <c r="C538" s="87"/>
      <c r="D538" s="87"/>
      <c r="E538" s="60" t="str">
        <f>IFERROR(VLOOKUP(D538,'基础-领用人及部门'!$C:$D,2,FALSE),"-")</f>
        <v>-</v>
      </c>
      <c r="F538" s="87"/>
      <c r="G538" s="60" t="str">
        <f>IFERROR(VLOOKUP($F538,'基础-办公用品信息'!$C:$E,2,FALSE),"-")</f>
        <v>-</v>
      </c>
      <c r="H538" s="60" t="str">
        <f>IFERROR(VLOOKUP($F538,'基础-办公用品信息'!$C:$E,3,FALSE),"-")</f>
        <v>-</v>
      </c>
      <c r="I538" s="60"/>
      <c r="J538" s="60" t="str">
        <f>IFERROR(VLOOKUP($F538,'基础-办公用品信息'!$C:$F,4,FALSE),"-")</f>
        <v>-</v>
      </c>
      <c r="K538" s="60" t="str">
        <f t="shared" si="24"/>
        <v/>
      </c>
      <c r="L538" s="87"/>
      <c r="M538" s="60">
        <f t="shared" si="25"/>
        <v>1900</v>
      </c>
      <c r="N538" s="60">
        <f t="shared" si="26"/>
        <v>1</v>
      </c>
    </row>
    <row r="539" customHeight="1" spans="2:14">
      <c r="B539" s="86">
        <v>537</v>
      </c>
      <c r="C539" s="87"/>
      <c r="D539" s="87"/>
      <c r="E539" s="60" t="str">
        <f>IFERROR(VLOOKUP(D539,'基础-领用人及部门'!$C:$D,2,FALSE),"-")</f>
        <v>-</v>
      </c>
      <c r="F539" s="87"/>
      <c r="G539" s="60" t="str">
        <f>IFERROR(VLOOKUP($F539,'基础-办公用品信息'!$C:$E,2,FALSE),"-")</f>
        <v>-</v>
      </c>
      <c r="H539" s="60" t="str">
        <f>IFERROR(VLOOKUP($F539,'基础-办公用品信息'!$C:$E,3,FALSE),"-")</f>
        <v>-</v>
      </c>
      <c r="I539" s="60"/>
      <c r="J539" s="60" t="str">
        <f>IFERROR(VLOOKUP($F539,'基础-办公用品信息'!$C:$F,4,FALSE),"-")</f>
        <v>-</v>
      </c>
      <c r="K539" s="60" t="str">
        <f t="shared" si="24"/>
        <v/>
      </c>
      <c r="L539" s="87"/>
      <c r="M539" s="60">
        <f t="shared" si="25"/>
        <v>1900</v>
      </c>
      <c r="N539" s="60">
        <f t="shared" si="26"/>
        <v>1</v>
      </c>
    </row>
    <row r="540" customHeight="1" spans="2:14">
      <c r="B540" s="86">
        <v>538</v>
      </c>
      <c r="C540" s="87"/>
      <c r="D540" s="87"/>
      <c r="E540" s="60" t="str">
        <f>IFERROR(VLOOKUP(D540,'基础-领用人及部门'!$C:$D,2,FALSE),"-")</f>
        <v>-</v>
      </c>
      <c r="F540" s="87"/>
      <c r="G540" s="60" t="str">
        <f>IFERROR(VLOOKUP($F540,'基础-办公用品信息'!$C:$E,2,FALSE),"-")</f>
        <v>-</v>
      </c>
      <c r="H540" s="60" t="str">
        <f>IFERROR(VLOOKUP($F540,'基础-办公用品信息'!$C:$E,3,FALSE),"-")</f>
        <v>-</v>
      </c>
      <c r="I540" s="60"/>
      <c r="J540" s="60" t="str">
        <f>IFERROR(VLOOKUP($F540,'基础-办公用品信息'!$C:$F,4,FALSE),"-")</f>
        <v>-</v>
      </c>
      <c r="K540" s="60" t="str">
        <f t="shared" si="24"/>
        <v/>
      </c>
      <c r="L540" s="87"/>
      <c r="M540" s="60">
        <f t="shared" si="25"/>
        <v>1900</v>
      </c>
      <c r="N540" s="60">
        <f t="shared" si="26"/>
        <v>1</v>
      </c>
    </row>
    <row r="541" customHeight="1" spans="2:14">
      <c r="B541" s="86">
        <v>539</v>
      </c>
      <c r="C541" s="87"/>
      <c r="D541" s="87"/>
      <c r="E541" s="60" t="str">
        <f>IFERROR(VLOOKUP(D541,'基础-领用人及部门'!$C:$D,2,FALSE),"-")</f>
        <v>-</v>
      </c>
      <c r="F541" s="87"/>
      <c r="G541" s="60" t="str">
        <f>IFERROR(VLOOKUP($F541,'基础-办公用品信息'!$C:$E,2,FALSE),"-")</f>
        <v>-</v>
      </c>
      <c r="H541" s="60" t="str">
        <f>IFERROR(VLOOKUP($F541,'基础-办公用品信息'!$C:$E,3,FALSE),"-")</f>
        <v>-</v>
      </c>
      <c r="I541" s="60"/>
      <c r="J541" s="60" t="str">
        <f>IFERROR(VLOOKUP($F541,'基础-办公用品信息'!$C:$F,4,FALSE),"-")</f>
        <v>-</v>
      </c>
      <c r="K541" s="60" t="str">
        <f t="shared" si="24"/>
        <v/>
      </c>
      <c r="L541" s="87"/>
      <c r="M541" s="60">
        <f t="shared" si="25"/>
        <v>1900</v>
      </c>
      <c r="N541" s="60">
        <f t="shared" si="26"/>
        <v>1</v>
      </c>
    </row>
    <row r="542" customHeight="1" spans="2:14">
      <c r="B542" s="86">
        <v>540</v>
      </c>
      <c r="C542" s="87"/>
      <c r="D542" s="87"/>
      <c r="E542" s="60" t="str">
        <f>IFERROR(VLOOKUP(D542,'基础-领用人及部门'!$C:$D,2,FALSE),"-")</f>
        <v>-</v>
      </c>
      <c r="F542" s="87"/>
      <c r="G542" s="60" t="str">
        <f>IFERROR(VLOOKUP($F542,'基础-办公用品信息'!$C:$E,2,FALSE),"-")</f>
        <v>-</v>
      </c>
      <c r="H542" s="60" t="str">
        <f>IFERROR(VLOOKUP($F542,'基础-办公用品信息'!$C:$E,3,FALSE),"-")</f>
        <v>-</v>
      </c>
      <c r="I542" s="60"/>
      <c r="J542" s="60" t="str">
        <f>IFERROR(VLOOKUP($F542,'基础-办公用品信息'!$C:$F,4,FALSE),"-")</f>
        <v>-</v>
      </c>
      <c r="K542" s="60" t="str">
        <f t="shared" si="24"/>
        <v/>
      </c>
      <c r="L542" s="87"/>
      <c r="M542" s="60">
        <f t="shared" si="25"/>
        <v>1900</v>
      </c>
      <c r="N542" s="60">
        <f t="shared" si="26"/>
        <v>1</v>
      </c>
    </row>
    <row r="543" customHeight="1" spans="2:14">
      <c r="B543" s="86">
        <v>541</v>
      </c>
      <c r="C543" s="87"/>
      <c r="D543" s="87"/>
      <c r="E543" s="60" t="str">
        <f>IFERROR(VLOOKUP(D543,'基础-领用人及部门'!$C:$D,2,FALSE),"-")</f>
        <v>-</v>
      </c>
      <c r="F543" s="87"/>
      <c r="G543" s="60" t="str">
        <f>IFERROR(VLOOKUP($F543,'基础-办公用品信息'!$C:$E,2,FALSE),"-")</f>
        <v>-</v>
      </c>
      <c r="H543" s="60" t="str">
        <f>IFERROR(VLOOKUP($F543,'基础-办公用品信息'!$C:$E,3,FALSE),"-")</f>
        <v>-</v>
      </c>
      <c r="I543" s="60"/>
      <c r="J543" s="60" t="str">
        <f>IFERROR(VLOOKUP($F543,'基础-办公用品信息'!$C:$F,4,FALSE),"-")</f>
        <v>-</v>
      </c>
      <c r="K543" s="60" t="str">
        <f t="shared" si="24"/>
        <v/>
      </c>
      <c r="L543" s="87"/>
      <c r="M543" s="60">
        <f t="shared" si="25"/>
        <v>1900</v>
      </c>
      <c r="N543" s="60">
        <f t="shared" si="26"/>
        <v>1</v>
      </c>
    </row>
    <row r="544" customHeight="1" spans="2:14">
      <c r="B544" s="86">
        <v>542</v>
      </c>
      <c r="C544" s="87"/>
      <c r="D544" s="87"/>
      <c r="E544" s="60" t="str">
        <f>IFERROR(VLOOKUP(D544,'基础-领用人及部门'!$C:$D,2,FALSE),"-")</f>
        <v>-</v>
      </c>
      <c r="F544" s="87"/>
      <c r="G544" s="60" t="str">
        <f>IFERROR(VLOOKUP($F544,'基础-办公用品信息'!$C:$E,2,FALSE),"-")</f>
        <v>-</v>
      </c>
      <c r="H544" s="60" t="str">
        <f>IFERROR(VLOOKUP($F544,'基础-办公用品信息'!$C:$E,3,FALSE),"-")</f>
        <v>-</v>
      </c>
      <c r="I544" s="60"/>
      <c r="J544" s="60" t="str">
        <f>IFERROR(VLOOKUP($F544,'基础-办公用品信息'!$C:$F,4,FALSE),"-")</f>
        <v>-</v>
      </c>
      <c r="K544" s="60" t="str">
        <f t="shared" si="24"/>
        <v/>
      </c>
      <c r="L544" s="87"/>
      <c r="M544" s="60">
        <f t="shared" si="25"/>
        <v>1900</v>
      </c>
      <c r="N544" s="60">
        <f t="shared" si="26"/>
        <v>1</v>
      </c>
    </row>
    <row r="545" customHeight="1" spans="2:14">
      <c r="B545" s="86">
        <v>543</v>
      </c>
      <c r="C545" s="87"/>
      <c r="D545" s="87"/>
      <c r="E545" s="60" t="str">
        <f>IFERROR(VLOOKUP(D545,'基础-领用人及部门'!$C:$D,2,FALSE),"-")</f>
        <v>-</v>
      </c>
      <c r="F545" s="87"/>
      <c r="G545" s="60" t="str">
        <f>IFERROR(VLOOKUP($F545,'基础-办公用品信息'!$C:$E,2,FALSE),"-")</f>
        <v>-</v>
      </c>
      <c r="H545" s="60" t="str">
        <f>IFERROR(VLOOKUP($F545,'基础-办公用品信息'!$C:$E,3,FALSE),"-")</f>
        <v>-</v>
      </c>
      <c r="I545" s="60"/>
      <c r="J545" s="60" t="str">
        <f>IFERROR(VLOOKUP($F545,'基础-办公用品信息'!$C:$F,4,FALSE),"-")</f>
        <v>-</v>
      </c>
      <c r="K545" s="60" t="str">
        <f t="shared" si="24"/>
        <v/>
      </c>
      <c r="L545" s="87"/>
      <c r="M545" s="60">
        <f t="shared" si="25"/>
        <v>1900</v>
      </c>
      <c r="N545" s="60">
        <f t="shared" si="26"/>
        <v>1</v>
      </c>
    </row>
    <row r="546" customHeight="1" spans="2:14">
      <c r="B546" s="86">
        <v>544</v>
      </c>
      <c r="C546" s="87"/>
      <c r="D546" s="87"/>
      <c r="E546" s="60" t="str">
        <f>IFERROR(VLOOKUP(D546,'基础-领用人及部门'!$C:$D,2,FALSE),"-")</f>
        <v>-</v>
      </c>
      <c r="F546" s="87"/>
      <c r="G546" s="60" t="str">
        <f>IFERROR(VLOOKUP($F546,'基础-办公用品信息'!$C:$E,2,FALSE),"-")</f>
        <v>-</v>
      </c>
      <c r="H546" s="60" t="str">
        <f>IFERROR(VLOOKUP($F546,'基础-办公用品信息'!$C:$E,3,FALSE),"-")</f>
        <v>-</v>
      </c>
      <c r="I546" s="60"/>
      <c r="J546" s="60" t="str">
        <f>IFERROR(VLOOKUP($F546,'基础-办公用品信息'!$C:$F,4,FALSE),"-")</f>
        <v>-</v>
      </c>
      <c r="K546" s="60" t="str">
        <f t="shared" si="24"/>
        <v/>
      </c>
      <c r="L546" s="87"/>
      <c r="M546" s="60">
        <f t="shared" si="25"/>
        <v>1900</v>
      </c>
      <c r="N546" s="60">
        <f t="shared" si="26"/>
        <v>1</v>
      </c>
    </row>
    <row r="547" customHeight="1" spans="2:14">
      <c r="B547" s="86">
        <v>545</v>
      </c>
      <c r="C547" s="87"/>
      <c r="D547" s="87"/>
      <c r="E547" s="60" t="str">
        <f>IFERROR(VLOOKUP(D547,'基础-领用人及部门'!$C:$D,2,FALSE),"-")</f>
        <v>-</v>
      </c>
      <c r="F547" s="87"/>
      <c r="G547" s="60" t="str">
        <f>IFERROR(VLOOKUP($F547,'基础-办公用品信息'!$C:$E,2,FALSE),"-")</f>
        <v>-</v>
      </c>
      <c r="H547" s="60" t="str">
        <f>IFERROR(VLOOKUP($F547,'基础-办公用品信息'!$C:$E,3,FALSE),"-")</f>
        <v>-</v>
      </c>
      <c r="I547" s="60"/>
      <c r="J547" s="60" t="str">
        <f>IFERROR(VLOOKUP($F547,'基础-办公用品信息'!$C:$F,4,FALSE),"-")</f>
        <v>-</v>
      </c>
      <c r="K547" s="60" t="str">
        <f t="shared" si="24"/>
        <v/>
      </c>
      <c r="L547" s="87"/>
      <c r="M547" s="60">
        <f t="shared" si="25"/>
        <v>1900</v>
      </c>
      <c r="N547" s="60">
        <f t="shared" si="26"/>
        <v>1</v>
      </c>
    </row>
    <row r="548" customHeight="1" spans="2:14">
      <c r="B548" s="86">
        <v>546</v>
      </c>
      <c r="C548" s="87"/>
      <c r="D548" s="87"/>
      <c r="E548" s="60" t="str">
        <f>IFERROR(VLOOKUP(D548,'基础-领用人及部门'!$C:$D,2,FALSE),"-")</f>
        <v>-</v>
      </c>
      <c r="F548" s="87"/>
      <c r="G548" s="60" t="str">
        <f>IFERROR(VLOOKUP($F548,'基础-办公用品信息'!$C:$E,2,FALSE),"-")</f>
        <v>-</v>
      </c>
      <c r="H548" s="60" t="str">
        <f>IFERROR(VLOOKUP($F548,'基础-办公用品信息'!$C:$E,3,FALSE),"-")</f>
        <v>-</v>
      </c>
      <c r="I548" s="60"/>
      <c r="J548" s="60" t="str">
        <f>IFERROR(VLOOKUP($F548,'基础-办公用品信息'!$C:$F,4,FALSE),"-")</f>
        <v>-</v>
      </c>
      <c r="K548" s="60" t="str">
        <f t="shared" si="24"/>
        <v/>
      </c>
      <c r="L548" s="87"/>
      <c r="M548" s="60">
        <f t="shared" si="25"/>
        <v>1900</v>
      </c>
      <c r="N548" s="60">
        <f t="shared" si="26"/>
        <v>1</v>
      </c>
    </row>
    <row r="549" customHeight="1" spans="2:14">
      <c r="B549" s="86">
        <v>547</v>
      </c>
      <c r="C549" s="87"/>
      <c r="D549" s="87"/>
      <c r="E549" s="60" t="str">
        <f>IFERROR(VLOOKUP(D549,'基础-领用人及部门'!$C:$D,2,FALSE),"-")</f>
        <v>-</v>
      </c>
      <c r="F549" s="87"/>
      <c r="G549" s="60" t="str">
        <f>IFERROR(VLOOKUP($F549,'基础-办公用品信息'!$C:$E,2,FALSE),"-")</f>
        <v>-</v>
      </c>
      <c r="H549" s="60" t="str">
        <f>IFERROR(VLOOKUP($F549,'基础-办公用品信息'!$C:$E,3,FALSE),"-")</f>
        <v>-</v>
      </c>
      <c r="I549" s="60"/>
      <c r="J549" s="60" t="str">
        <f>IFERROR(VLOOKUP($F549,'基础-办公用品信息'!$C:$F,4,FALSE),"-")</f>
        <v>-</v>
      </c>
      <c r="K549" s="60" t="str">
        <f t="shared" si="24"/>
        <v/>
      </c>
      <c r="L549" s="87"/>
      <c r="M549" s="60">
        <f t="shared" si="25"/>
        <v>1900</v>
      </c>
      <c r="N549" s="60">
        <f t="shared" si="26"/>
        <v>1</v>
      </c>
    </row>
    <row r="550" customHeight="1" spans="2:14">
      <c r="B550" s="86">
        <v>548</v>
      </c>
      <c r="C550" s="87"/>
      <c r="D550" s="87"/>
      <c r="E550" s="60" t="str">
        <f>IFERROR(VLOOKUP(D550,'基础-领用人及部门'!$C:$D,2,FALSE),"-")</f>
        <v>-</v>
      </c>
      <c r="F550" s="87"/>
      <c r="G550" s="60" t="str">
        <f>IFERROR(VLOOKUP($F550,'基础-办公用品信息'!$C:$E,2,FALSE),"-")</f>
        <v>-</v>
      </c>
      <c r="H550" s="60" t="str">
        <f>IFERROR(VLOOKUP($F550,'基础-办公用品信息'!$C:$E,3,FALSE),"-")</f>
        <v>-</v>
      </c>
      <c r="I550" s="60"/>
      <c r="J550" s="60" t="str">
        <f>IFERROR(VLOOKUP($F550,'基础-办公用品信息'!$C:$F,4,FALSE),"-")</f>
        <v>-</v>
      </c>
      <c r="K550" s="60" t="str">
        <f t="shared" si="24"/>
        <v/>
      </c>
      <c r="L550" s="87"/>
      <c r="M550" s="60">
        <f t="shared" si="25"/>
        <v>1900</v>
      </c>
      <c r="N550" s="60">
        <f t="shared" si="26"/>
        <v>1</v>
      </c>
    </row>
    <row r="551" customHeight="1" spans="2:14">
      <c r="B551" s="86">
        <v>549</v>
      </c>
      <c r="C551" s="87"/>
      <c r="D551" s="87"/>
      <c r="E551" s="60" t="str">
        <f>IFERROR(VLOOKUP(D551,'基础-领用人及部门'!$C:$D,2,FALSE),"-")</f>
        <v>-</v>
      </c>
      <c r="F551" s="87"/>
      <c r="G551" s="60" t="str">
        <f>IFERROR(VLOOKUP($F551,'基础-办公用品信息'!$C:$E,2,FALSE),"-")</f>
        <v>-</v>
      </c>
      <c r="H551" s="60" t="str">
        <f>IFERROR(VLOOKUP($F551,'基础-办公用品信息'!$C:$E,3,FALSE),"-")</f>
        <v>-</v>
      </c>
      <c r="I551" s="60"/>
      <c r="J551" s="60" t="str">
        <f>IFERROR(VLOOKUP($F551,'基础-办公用品信息'!$C:$F,4,FALSE),"-")</f>
        <v>-</v>
      </c>
      <c r="K551" s="60" t="str">
        <f t="shared" si="24"/>
        <v/>
      </c>
      <c r="L551" s="87"/>
      <c r="M551" s="60">
        <f t="shared" si="25"/>
        <v>1900</v>
      </c>
      <c r="N551" s="60">
        <f t="shared" si="26"/>
        <v>1</v>
      </c>
    </row>
    <row r="552" customHeight="1" spans="2:14">
      <c r="B552" s="86">
        <v>550</v>
      </c>
      <c r="C552" s="87"/>
      <c r="D552" s="87"/>
      <c r="E552" s="60" t="str">
        <f>IFERROR(VLOOKUP(D552,'基础-领用人及部门'!$C:$D,2,FALSE),"-")</f>
        <v>-</v>
      </c>
      <c r="F552" s="87"/>
      <c r="G552" s="60" t="str">
        <f>IFERROR(VLOOKUP($F552,'基础-办公用品信息'!$C:$E,2,FALSE),"-")</f>
        <v>-</v>
      </c>
      <c r="H552" s="60" t="str">
        <f>IFERROR(VLOOKUP($F552,'基础-办公用品信息'!$C:$E,3,FALSE),"-")</f>
        <v>-</v>
      </c>
      <c r="I552" s="60"/>
      <c r="J552" s="60" t="str">
        <f>IFERROR(VLOOKUP($F552,'基础-办公用品信息'!$C:$F,4,FALSE),"-")</f>
        <v>-</v>
      </c>
      <c r="K552" s="60" t="str">
        <f t="shared" si="24"/>
        <v/>
      </c>
      <c r="L552" s="87"/>
      <c r="M552" s="60">
        <f t="shared" si="25"/>
        <v>1900</v>
      </c>
      <c r="N552" s="60">
        <f t="shared" si="26"/>
        <v>1</v>
      </c>
    </row>
    <row r="553" customHeight="1" spans="2:14">
      <c r="B553" s="86">
        <v>551</v>
      </c>
      <c r="C553" s="87"/>
      <c r="D553" s="87"/>
      <c r="E553" s="60" t="str">
        <f>IFERROR(VLOOKUP(D553,'基础-领用人及部门'!$C:$D,2,FALSE),"-")</f>
        <v>-</v>
      </c>
      <c r="F553" s="87"/>
      <c r="G553" s="60" t="str">
        <f>IFERROR(VLOOKUP($F553,'基础-办公用品信息'!$C:$E,2,FALSE),"-")</f>
        <v>-</v>
      </c>
      <c r="H553" s="60" t="str">
        <f>IFERROR(VLOOKUP($F553,'基础-办公用品信息'!$C:$E,3,FALSE),"-")</f>
        <v>-</v>
      </c>
      <c r="I553" s="60"/>
      <c r="J553" s="60" t="str">
        <f>IFERROR(VLOOKUP($F553,'基础-办公用品信息'!$C:$F,4,FALSE),"-")</f>
        <v>-</v>
      </c>
      <c r="K553" s="60" t="str">
        <f t="shared" si="24"/>
        <v/>
      </c>
      <c r="L553" s="87"/>
      <c r="M553" s="60">
        <f t="shared" si="25"/>
        <v>1900</v>
      </c>
      <c r="N553" s="60">
        <f t="shared" si="26"/>
        <v>1</v>
      </c>
    </row>
    <row r="554" customHeight="1" spans="2:14">
      <c r="B554" s="86">
        <v>552</v>
      </c>
      <c r="C554" s="87"/>
      <c r="D554" s="87"/>
      <c r="E554" s="60" t="str">
        <f>IFERROR(VLOOKUP(D554,'基础-领用人及部门'!$C:$D,2,FALSE),"-")</f>
        <v>-</v>
      </c>
      <c r="F554" s="87"/>
      <c r="G554" s="60" t="str">
        <f>IFERROR(VLOOKUP($F554,'基础-办公用品信息'!$C:$E,2,FALSE),"-")</f>
        <v>-</v>
      </c>
      <c r="H554" s="60" t="str">
        <f>IFERROR(VLOOKUP($F554,'基础-办公用品信息'!$C:$E,3,FALSE),"-")</f>
        <v>-</v>
      </c>
      <c r="I554" s="60"/>
      <c r="J554" s="60" t="str">
        <f>IFERROR(VLOOKUP($F554,'基础-办公用品信息'!$C:$F,4,FALSE),"-")</f>
        <v>-</v>
      </c>
      <c r="K554" s="60" t="str">
        <f t="shared" si="24"/>
        <v/>
      </c>
      <c r="L554" s="87"/>
      <c r="M554" s="60">
        <f t="shared" si="25"/>
        <v>1900</v>
      </c>
      <c r="N554" s="60">
        <f t="shared" si="26"/>
        <v>1</v>
      </c>
    </row>
    <row r="555" customHeight="1" spans="2:14">
      <c r="B555" s="86">
        <v>553</v>
      </c>
      <c r="C555" s="87"/>
      <c r="D555" s="87"/>
      <c r="E555" s="60" t="str">
        <f>IFERROR(VLOOKUP(D555,'基础-领用人及部门'!$C:$D,2,FALSE),"-")</f>
        <v>-</v>
      </c>
      <c r="F555" s="87"/>
      <c r="G555" s="60" t="str">
        <f>IFERROR(VLOOKUP($F555,'基础-办公用品信息'!$C:$E,2,FALSE),"-")</f>
        <v>-</v>
      </c>
      <c r="H555" s="60" t="str">
        <f>IFERROR(VLOOKUP($F555,'基础-办公用品信息'!$C:$E,3,FALSE),"-")</f>
        <v>-</v>
      </c>
      <c r="I555" s="60"/>
      <c r="J555" s="60" t="str">
        <f>IFERROR(VLOOKUP($F555,'基础-办公用品信息'!$C:$F,4,FALSE),"-")</f>
        <v>-</v>
      </c>
      <c r="K555" s="60" t="str">
        <f t="shared" si="24"/>
        <v/>
      </c>
      <c r="L555" s="87"/>
      <c r="M555" s="60">
        <f t="shared" si="25"/>
        <v>1900</v>
      </c>
      <c r="N555" s="60">
        <f t="shared" si="26"/>
        <v>1</v>
      </c>
    </row>
    <row r="556" customHeight="1" spans="2:14">
      <c r="B556" s="86">
        <v>554</v>
      </c>
      <c r="C556" s="87"/>
      <c r="D556" s="87"/>
      <c r="E556" s="60" t="str">
        <f>IFERROR(VLOOKUP(D556,'基础-领用人及部门'!$C:$D,2,FALSE),"-")</f>
        <v>-</v>
      </c>
      <c r="F556" s="87"/>
      <c r="G556" s="60" t="str">
        <f>IFERROR(VLOOKUP($F556,'基础-办公用品信息'!$C:$E,2,FALSE),"-")</f>
        <v>-</v>
      </c>
      <c r="H556" s="60" t="str">
        <f>IFERROR(VLOOKUP($F556,'基础-办公用品信息'!$C:$E,3,FALSE),"-")</f>
        <v>-</v>
      </c>
      <c r="I556" s="60"/>
      <c r="J556" s="60" t="str">
        <f>IFERROR(VLOOKUP($F556,'基础-办公用品信息'!$C:$F,4,FALSE),"-")</f>
        <v>-</v>
      </c>
      <c r="K556" s="60" t="str">
        <f t="shared" si="24"/>
        <v/>
      </c>
      <c r="L556" s="87"/>
      <c r="M556" s="60">
        <f t="shared" si="25"/>
        <v>1900</v>
      </c>
      <c r="N556" s="60">
        <f t="shared" si="26"/>
        <v>1</v>
      </c>
    </row>
    <row r="557" customHeight="1" spans="2:14">
      <c r="B557" s="86">
        <v>555</v>
      </c>
      <c r="C557" s="87"/>
      <c r="D557" s="87"/>
      <c r="E557" s="60" t="str">
        <f>IFERROR(VLOOKUP(D557,'基础-领用人及部门'!$C:$D,2,FALSE),"-")</f>
        <v>-</v>
      </c>
      <c r="F557" s="87"/>
      <c r="G557" s="60" t="str">
        <f>IFERROR(VLOOKUP($F557,'基础-办公用品信息'!$C:$E,2,FALSE),"-")</f>
        <v>-</v>
      </c>
      <c r="H557" s="60" t="str">
        <f>IFERROR(VLOOKUP($F557,'基础-办公用品信息'!$C:$E,3,FALSE),"-")</f>
        <v>-</v>
      </c>
      <c r="I557" s="60"/>
      <c r="J557" s="60" t="str">
        <f>IFERROR(VLOOKUP($F557,'基础-办公用品信息'!$C:$F,4,FALSE),"-")</f>
        <v>-</v>
      </c>
      <c r="K557" s="60" t="str">
        <f t="shared" si="24"/>
        <v/>
      </c>
      <c r="L557" s="87"/>
      <c r="M557" s="60">
        <f t="shared" si="25"/>
        <v>1900</v>
      </c>
      <c r="N557" s="60">
        <f t="shared" si="26"/>
        <v>1</v>
      </c>
    </row>
    <row r="558" customHeight="1" spans="2:14">
      <c r="B558" s="86">
        <v>556</v>
      </c>
      <c r="C558" s="87"/>
      <c r="D558" s="87"/>
      <c r="E558" s="60" t="str">
        <f>IFERROR(VLOOKUP(D558,'基础-领用人及部门'!$C:$D,2,FALSE),"-")</f>
        <v>-</v>
      </c>
      <c r="F558" s="87"/>
      <c r="G558" s="60" t="str">
        <f>IFERROR(VLOOKUP($F558,'基础-办公用品信息'!$C:$E,2,FALSE),"-")</f>
        <v>-</v>
      </c>
      <c r="H558" s="60" t="str">
        <f>IFERROR(VLOOKUP($F558,'基础-办公用品信息'!$C:$E,3,FALSE),"-")</f>
        <v>-</v>
      </c>
      <c r="I558" s="60"/>
      <c r="J558" s="60" t="str">
        <f>IFERROR(VLOOKUP($F558,'基础-办公用品信息'!$C:$F,4,FALSE),"-")</f>
        <v>-</v>
      </c>
      <c r="K558" s="60" t="str">
        <f t="shared" si="24"/>
        <v/>
      </c>
      <c r="L558" s="87"/>
      <c r="M558" s="60">
        <f t="shared" si="25"/>
        <v>1900</v>
      </c>
      <c r="N558" s="60">
        <f t="shared" si="26"/>
        <v>1</v>
      </c>
    </row>
    <row r="559" customHeight="1" spans="2:14">
      <c r="B559" s="86">
        <v>557</v>
      </c>
      <c r="C559" s="87"/>
      <c r="D559" s="87"/>
      <c r="E559" s="60" t="str">
        <f>IFERROR(VLOOKUP(D559,'基础-领用人及部门'!$C:$D,2,FALSE),"-")</f>
        <v>-</v>
      </c>
      <c r="F559" s="87"/>
      <c r="G559" s="60" t="str">
        <f>IFERROR(VLOOKUP($F559,'基础-办公用品信息'!$C:$E,2,FALSE),"-")</f>
        <v>-</v>
      </c>
      <c r="H559" s="60" t="str">
        <f>IFERROR(VLOOKUP($F559,'基础-办公用品信息'!$C:$E,3,FALSE),"-")</f>
        <v>-</v>
      </c>
      <c r="I559" s="60"/>
      <c r="J559" s="60" t="str">
        <f>IFERROR(VLOOKUP($F559,'基础-办公用品信息'!$C:$F,4,FALSE),"-")</f>
        <v>-</v>
      </c>
      <c r="K559" s="60" t="str">
        <f t="shared" si="24"/>
        <v/>
      </c>
      <c r="L559" s="87"/>
      <c r="M559" s="60">
        <f t="shared" si="25"/>
        <v>1900</v>
      </c>
      <c r="N559" s="60">
        <f t="shared" si="26"/>
        <v>1</v>
      </c>
    </row>
    <row r="560" customHeight="1" spans="2:14">
      <c r="B560" s="86">
        <v>558</v>
      </c>
      <c r="C560" s="87"/>
      <c r="D560" s="87"/>
      <c r="E560" s="60" t="str">
        <f>IFERROR(VLOOKUP(D560,'基础-领用人及部门'!$C:$D,2,FALSE),"-")</f>
        <v>-</v>
      </c>
      <c r="F560" s="87"/>
      <c r="G560" s="60" t="str">
        <f>IFERROR(VLOOKUP($F560,'基础-办公用品信息'!$C:$E,2,FALSE),"-")</f>
        <v>-</v>
      </c>
      <c r="H560" s="60" t="str">
        <f>IFERROR(VLOOKUP($F560,'基础-办公用品信息'!$C:$E,3,FALSE),"-")</f>
        <v>-</v>
      </c>
      <c r="I560" s="60"/>
      <c r="J560" s="60" t="str">
        <f>IFERROR(VLOOKUP($F560,'基础-办公用品信息'!$C:$F,4,FALSE),"-")</f>
        <v>-</v>
      </c>
      <c r="K560" s="60" t="str">
        <f t="shared" si="24"/>
        <v/>
      </c>
      <c r="L560" s="87"/>
      <c r="M560" s="60">
        <f t="shared" si="25"/>
        <v>1900</v>
      </c>
      <c r="N560" s="60">
        <f t="shared" si="26"/>
        <v>1</v>
      </c>
    </row>
    <row r="561" customHeight="1" spans="2:14">
      <c r="B561" s="86">
        <v>559</v>
      </c>
      <c r="C561" s="87"/>
      <c r="D561" s="87"/>
      <c r="E561" s="60" t="str">
        <f>IFERROR(VLOOKUP(D561,'基础-领用人及部门'!$C:$D,2,FALSE),"-")</f>
        <v>-</v>
      </c>
      <c r="F561" s="87"/>
      <c r="G561" s="60" t="str">
        <f>IFERROR(VLOOKUP($F561,'基础-办公用品信息'!$C:$E,2,FALSE),"-")</f>
        <v>-</v>
      </c>
      <c r="H561" s="60" t="str">
        <f>IFERROR(VLOOKUP($F561,'基础-办公用品信息'!$C:$E,3,FALSE),"-")</f>
        <v>-</v>
      </c>
      <c r="I561" s="60"/>
      <c r="J561" s="60" t="str">
        <f>IFERROR(VLOOKUP($F561,'基础-办公用品信息'!$C:$F,4,FALSE),"-")</f>
        <v>-</v>
      </c>
      <c r="K561" s="60" t="str">
        <f t="shared" si="24"/>
        <v/>
      </c>
      <c r="L561" s="87"/>
      <c r="M561" s="60">
        <f t="shared" si="25"/>
        <v>1900</v>
      </c>
      <c r="N561" s="60">
        <f t="shared" si="26"/>
        <v>1</v>
      </c>
    </row>
    <row r="562" customHeight="1" spans="2:14">
      <c r="B562" s="86">
        <v>560</v>
      </c>
      <c r="C562" s="87"/>
      <c r="D562" s="87"/>
      <c r="E562" s="60" t="str">
        <f>IFERROR(VLOOKUP(D562,'基础-领用人及部门'!$C:$D,2,FALSE),"-")</f>
        <v>-</v>
      </c>
      <c r="F562" s="87"/>
      <c r="G562" s="60" t="str">
        <f>IFERROR(VLOOKUP($F562,'基础-办公用品信息'!$C:$E,2,FALSE),"-")</f>
        <v>-</v>
      </c>
      <c r="H562" s="60" t="str">
        <f>IFERROR(VLOOKUP($F562,'基础-办公用品信息'!$C:$E,3,FALSE),"-")</f>
        <v>-</v>
      </c>
      <c r="I562" s="60"/>
      <c r="J562" s="60" t="str">
        <f>IFERROR(VLOOKUP($F562,'基础-办公用品信息'!$C:$F,4,FALSE),"-")</f>
        <v>-</v>
      </c>
      <c r="K562" s="60" t="str">
        <f t="shared" si="24"/>
        <v/>
      </c>
      <c r="L562" s="87"/>
      <c r="M562" s="60">
        <f t="shared" si="25"/>
        <v>1900</v>
      </c>
      <c r="N562" s="60">
        <f t="shared" si="26"/>
        <v>1</v>
      </c>
    </row>
    <row r="563" customHeight="1" spans="2:14">
      <c r="B563" s="86">
        <v>561</v>
      </c>
      <c r="C563" s="87"/>
      <c r="D563" s="87"/>
      <c r="E563" s="60" t="str">
        <f>IFERROR(VLOOKUP(D563,'基础-领用人及部门'!$C:$D,2,FALSE),"-")</f>
        <v>-</v>
      </c>
      <c r="F563" s="87"/>
      <c r="G563" s="60" t="str">
        <f>IFERROR(VLOOKUP($F563,'基础-办公用品信息'!$C:$E,2,FALSE),"-")</f>
        <v>-</v>
      </c>
      <c r="H563" s="60" t="str">
        <f>IFERROR(VLOOKUP($F563,'基础-办公用品信息'!$C:$E,3,FALSE),"-")</f>
        <v>-</v>
      </c>
      <c r="I563" s="60"/>
      <c r="J563" s="60" t="str">
        <f>IFERROR(VLOOKUP($F563,'基础-办公用品信息'!$C:$F,4,FALSE),"-")</f>
        <v>-</v>
      </c>
      <c r="K563" s="60" t="str">
        <f t="shared" si="24"/>
        <v/>
      </c>
      <c r="L563" s="87"/>
      <c r="M563" s="60">
        <f t="shared" si="25"/>
        <v>1900</v>
      </c>
      <c r="N563" s="60">
        <f t="shared" si="26"/>
        <v>1</v>
      </c>
    </row>
    <row r="564" customHeight="1" spans="2:14">
      <c r="B564" s="86">
        <v>562</v>
      </c>
      <c r="C564" s="87"/>
      <c r="D564" s="87"/>
      <c r="E564" s="60" t="str">
        <f>IFERROR(VLOOKUP(D564,'基础-领用人及部门'!$C:$D,2,FALSE),"-")</f>
        <v>-</v>
      </c>
      <c r="F564" s="87"/>
      <c r="G564" s="60" t="str">
        <f>IFERROR(VLOOKUP($F564,'基础-办公用品信息'!$C:$E,2,FALSE),"-")</f>
        <v>-</v>
      </c>
      <c r="H564" s="60" t="str">
        <f>IFERROR(VLOOKUP($F564,'基础-办公用品信息'!$C:$E,3,FALSE),"-")</f>
        <v>-</v>
      </c>
      <c r="I564" s="60"/>
      <c r="J564" s="60" t="str">
        <f>IFERROR(VLOOKUP($F564,'基础-办公用品信息'!$C:$F,4,FALSE),"-")</f>
        <v>-</v>
      </c>
      <c r="K564" s="60" t="str">
        <f t="shared" si="24"/>
        <v/>
      </c>
      <c r="L564" s="87"/>
      <c r="M564" s="60">
        <f t="shared" si="25"/>
        <v>1900</v>
      </c>
      <c r="N564" s="60">
        <f t="shared" si="26"/>
        <v>1</v>
      </c>
    </row>
    <row r="565" customHeight="1" spans="2:14">
      <c r="B565" s="86">
        <v>563</v>
      </c>
      <c r="C565" s="87"/>
      <c r="D565" s="87"/>
      <c r="E565" s="60" t="str">
        <f>IFERROR(VLOOKUP(D565,'基础-领用人及部门'!$C:$D,2,FALSE),"-")</f>
        <v>-</v>
      </c>
      <c r="F565" s="87"/>
      <c r="G565" s="60" t="str">
        <f>IFERROR(VLOOKUP($F565,'基础-办公用品信息'!$C:$E,2,FALSE),"-")</f>
        <v>-</v>
      </c>
      <c r="H565" s="60" t="str">
        <f>IFERROR(VLOOKUP($F565,'基础-办公用品信息'!$C:$E,3,FALSE),"-")</f>
        <v>-</v>
      </c>
      <c r="I565" s="60"/>
      <c r="J565" s="60" t="str">
        <f>IFERROR(VLOOKUP($F565,'基础-办公用品信息'!$C:$F,4,FALSE),"-")</f>
        <v>-</v>
      </c>
      <c r="K565" s="60" t="str">
        <f t="shared" si="24"/>
        <v/>
      </c>
      <c r="L565" s="87"/>
      <c r="M565" s="60">
        <f t="shared" si="25"/>
        <v>1900</v>
      </c>
      <c r="N565" s="60">
        <f t="shared" si="26"/>
        <v>1</v>
      </c>
    </row>
    <row r="566" customHeight="1" spans="2:14">
      <c r="B566" s="86">
        <v>564</v>
      </c>
      <c r="C566" s="87"/>
      <c r="D566" s="87"/>
      <c r="E566" s="60" t="str">
        <f>IFERROR(VLOOKUP(D566,'基础-领用人及部门'!$C:$D,2,FALSE),"-")</f>
        <v>-</v>
      </c>
      <c r="F566" s="87"/>
      <c r="G566" s="60" t="str">
        <f>IFERROR(VLOOKUP($F566,'基础-办公用品信息'!$C:$E,2,FALSE),"-")</f>
        <v>-</v>
      </c>
      <c r="H566" s="60" t="str">
        <f>IFERROR(VLOOKUP($F566,'基础-办公用品信息'!$C:$E,3,FALSE),"-")</f>
        <v>-</v>
      </c>
      <c r="I566" s="60"/>
      <c r="J566" s="60" t="str">
        <f>IFERROR(VLOOKUP($F566,'基础-办公用品信息'!$C:$F,4,FALSE),"-")</f>
        <v>-</v>
      </c>
      <c r="K566" s="60" t="str">
        <f t="shared" si="24"/>
        <v/>
      </c>
      <c r="L566" s="87"/>
      <c r="M566" s="60">
        <f t="shared" si="25"/>
        <v>1900</v>
      </c>
      <c r="N566" s="60">
        <f t="shared" si="26"/>
        <v>1</v>
      </c>
    </row>
    <row r="567" customHeight="1" spans="2:14">
      <c r="B567" s="86">
        <v>565</v>
      </c>
      <c r="C567" s="87"/>
      <c r="D567" s="87"/>
      <c r="E567" s="60" t="str">
        <f>IFERROR(VLOOKUP(D567,'基础-领用人及部门'!$C:$D,2,FALSE),"-")</f>
        <v>-</v>
      </c>
      <c r="F567" s="87"/>
      <c r="G567" s="60" t="str">
        <f>IFERROR(VLOOKUP($F567,'基础-办公用品信息'!$C:$E,2,FALSE),"-")</f>
        <v>-</v>
      </c>
      <c r="H567" s="60" t="str">
        <f>IFERROR(VLOOKUP($F567,'基础-办公用品信息'!$C:$E,3,FALSE),"-")</f>
        <v>-</v>
      </c>
      <c r="I567" s="60"/>
      <c r="J567" s="60" t="str">
        <f>IFERROR(VLOOKUP($F567,'基础-办公用品信息'!$C:$F,4,FALSE),"-")</f>
        <v>-</v>
      </c>
      <c r="K567" s="60" t="str">
        <f t="shared" si="24"/>
        <v/>
      </c>
      <c r="L567" s="87"/>
      <c r="M567" s="60">
        <f t="shared" si="25"/>
        <v>1900</v>
      </c>
      <c r="N567" s="60">
        <f t="shared" si="26"/>
        <v>1</v>
      </c>
    </row>
    <row r="568" customHeight="1" spans="2:14">
      <c r="B568" s="86">
        <v>566</v>
      </c>
      <c r="C568" s="87"/>
      <c r="D568" s="87"/>
      <c r="E568" s="60" t="str">
        <f>IFERROR(VLOOKUP(D568,'基础-领用人及部门'!$C:$D,2,FALSE),"-")</f>
        <v>-</v>
      </c>
      <c r="F568" s="87"/>
      <c r="G568" s="60" t="str">
        <f>IFERROR(VLOOKUP($F568,'基础-办公用品信息'!$C:$E,2,FALSE),"-")</f>
        <v>-</v>
      </c>
      <c r="H568" s="60" t="str">
        <f>IFERROR(VLOOKUP($F568,'基础-办公用品信息'!$C:$E,3,FALSE),"-")</f>
        <v>-</v>
      </c>
      <c r="I568" s="60"/>
      <c r="J568" s="60" t="str">
        <f>IFERROR(VLOOKUP($F568,'基础-办公用品信息'!$C:$F,4,FALSE),"-")</f>
        <v>-</v>
      </c>
      <c r="K568" s="60" t="str">
        <f t="shared" si="24"/>
        <v/>
      </c>
      <c r="L568" s="87"/>
      <c r="M568" s="60">
        <f t="shared" si="25"/>
        <v>1900</v>
      </c>
      <c r="N568" s="60">
        <f t="shared" si="26"/>
        <v>1</v>
      </c>
    </row>
    <row r="569" customHeight="1" spans="2:14">
      <c r="B569" s="86">
        <v>567</v>
      </c>
      <c r="C569" s="87"/>
      <c r="D569" s="87"/>
      <c r="E569" s="60" t="str">
        <f>IFERROR(VLOOKUP(D569,'基础-领用人及部门'!$C:$D,2,FALSE),"-")</f>
        <v>-</v>
      </c>
      <c r="F569" s="87"/>
      <c r="G569" s="60" t="str">
        <f>IFERROR(VLOOKUP($F569,'基础-办公用品信息'!$C:$E,2,FALSE),"-")</f>
        <v>-</v>
      </c>
      <c r="H569" s="60" t="str">
        <f>IFERROR(VLOOKUP($F569,'基础-办公用品信息'!$C:$E,3,FALSE),"-")</f>
        <v>-</v>
      </c>
      <c r="I569" s="60"/>
      <c r="J569" s="60" t="str">
        <f>IFERROR(VLOOKUP($F569,'基础-办公用品信息'!$C:$F,4,FALSE),"-")</f>
        <v>-</v>
      </c>
      <c r="K569" s="60" t="str">
        <f t="shared" si="24"/>
        <v/>
      </c>
      <c r="L569" s="87"/>
      <c r="M569" s="60">
        <f t="shared" si="25"/>
        <v>1900</v>
      </c>
      <c r="N569" s="60">
        <f t="shared" si="26"/>
        <v>1</v>
      </c>
    </row>
    <row r="570" customHeight="1" spans="2:14">
      <c r="B570" s="86">
        <v>568</v>
      </c>
      <c r="C570" s="87"/>
      <c r="D570" s="87"/>
      <c r="E570" s="60" t="str">
        <f>IFERROR(VLOOKUP(D570,'基础-领用人及部门'!$C:$D,2,FALSE),"-")</f>
        <v>-</v>
      </c>
      <c r="F570" s="87"/>
      <c r="G570" s="60" t="str">
        <f>IFERROR(VLOOKUP($F570,'基础-办公用品信息'!$C:$E,2,FALSE),"-")</f>
        <v>-</v>
      </c>
      <c r="H570" s="60" t="str">
        <f>IFERROR(VLOOKUP($F570,'基础-办公用品信息'!$C:$E,3,FALSE),"-")</f>
        <v>-</v>
      </c>
      <c r="I570" s="60"/>
      <c r="J570" s="60" t="str">
        <f>IFERROR(VLOOKUP($F570,'基础-办公用品信息'!$C:$F,4,FALSE),"-")</f>
        <v>-</v>
      </c>
      <c r="K570" s="60" t="str">
        <f t="shared" si="24"/>
        <v/>
      </c>
      <c r="L570" s="87"/>
      <c r="M570" s="60">
        <f t="shared" si="25"/>
        <v>1900</v>
      </c>
      <c r="N570" s="60">
        <f t="shared" si="26"/>
        <v>1</v>
      </c>
    </row>
    <row r="571" customHeight="1" spans="2:14">
      <c r="B571" s="86">
        <v>569</v>
      </c>
      <c r="C571" s="87"/>
      <c r="D571" s="87"/>
      <c r="E571" s="60" t="str">
        <f>IFERROR(VLOOKUP(D571,'基础-领用人及部门'!$C:$D,2,FALSE),"-")</f>
        <v>-</v>
      </c>
      <c r="F571" s="87"/>
      <c r="G571" s="60" t="str">
        <f>IFERROR(VLOOKUP($F571,'基础-办公用品信息'!$C:$E,2,FALSE),"-")</f>
        <v>-</v>
      </c>
      <c r="H571" s="60" t="str">
        <f>IFERROR(VLOOKUP($F571,'基础-办公用品信息'!$C:$E,3,FALSE),"-")</f>
        <v>-</v>
      </c>
      <c r="I571" s="60"/>
      <c r="J571" s="60" t="str">
        <f>IFERROR(VLOOKUP($F571,'基础-办公用品信息'!$C:$F,4,FALSE),"-")</f>
        <v>-</v>
      </c>
      <c r="K571" s="60" t="str">
        <f t="shared" si="24"/>
        <v/>
      </c>
      <c r="L571" s="87"/>
      <c r="M571" s="60">
        <f t="shared" si="25"/>
        <v>1900</v>
      </c>
      <c r="N571" s="60">
        <f t="shared" si="26"/>
        <v>1</v>
      </c>
    </row>
    <row r="572" customHeight="1" spans="2:14">
      <c r="B572" s="86">
        <v>570</v>
      </c>
      <c r="C572" s="87"/>
      <c r="D572" s="87"/>
      <c r="E572" s="60" t="str">
        <f>IFERROR(VLOOKUP(D572,'基础-领用人及部门'!$C:$D,2,FALSE),"-")</f>
        <v>-</v>
      </c>
      <c r="F572" s="87"/>
      <c r="G572" s="60" t="str">
        <f>IFERROR(VLOOKUP($F572,'基础-办公用品信息'!$C:$E,2,FALSE),"-")</f>
        <v>-</v>
      </c>
      <c r="H572" s="60" t="str">
        <f>IFERROR(VLOOKUP($F572,'基础-办公用品信息'!$C:$E,3,FALSE),"-")</f>
        <v>-</v>
      </c>
      <c r="I572" s="60"/>
      <c r="J572" s="60" t="str">
        <f>IFERROR(VLOOKUP($F572,'基础-办公用品信息'!$C:$F,4,FALSE),"-")</f>
        <v>-</v>
      </c>
      <c r="K572" s="60" t="str">
        <f t="shared" si="24"/>
        <v/>
      </c>
      <c r="L572" s="87"/>
      <c r="M572" s="60">
        <f t="shared" si="25"/>
        <v>1900</v>
      </c>
      <c r="N572" s="60">
        <f t="shared" si="26"/>
        <v>1</v>
      </c>
    </row>
    <row r="573" customHeight="1" spans="2:14">
      <c r="B573" s="86">
        <v>571</v>
      </c>
      <c r="C573" s="87"/>
      <c r="D573" s="87"/>
      <c r="E573" s="60" t="str">
        <f>IFERROR(VLOOKUP(D573,'基础-领用人及部门'!$C:$D,2,FALSE),"-")</f>
        <v>-</v>
      </c>
      <c r="F573" s="87"/>
      <c r="G573" s="60" t="str">
        <f>IFERROR(VLOOKUP($F573,'基础-办公用品信息'!$C:$E,2,FALSE),"-")</f>
        <v>-</v>
      </c>
      <c r="H573" s="60" t="str">
        <f>IFERROR(VLOOKUP($F573,'基础-办公用品信息'!$C:$E,3,FALSE),"-")</f>
        <v>-</v>
      </c>
      <c r="I573" s="60"/>
      <c r="J573" s="60" t="str">
        <f>IFERROR(VLOOKUP($F573,'基础-办公用品信息'!$C:$F,4,FALSE),"-")</f>
        <v>-</v>
      </c>
      <c r="K573" s="60" t="str">
        <f t="shared" si="24"/>
        <v/>
      </c>
      <c r="L573" s="87"/>
      <c r="M573" s="60">
        <f t="shared" si="25"/>
        <v>1900</v>
      </c>
      <c r="N573" s="60">
        <f t="shared" si="26"/>
        <v>1</v>
      </c>
    </row>
    <row r="574" customHeight="1" spans="2:14">
      <c r="B574" s="86">
        <v>572</v>
      </c>
      <c r="C574" s="87"/>
      <c r="D574" s="87"/>
      <c r="E574" s="60" t="str">
        <f>IFERROR(VLOOKUP(D574,'基础-领用人及部门'!$C:$D,2,FALSE),"-")</f>
        <v>-</v>
      </c>
      <c r="F574" s="87"/>
      <c r="G574" s="60" t="str">
        <f>IFERROR(VLOOKUP($F574,'基础-办公用品信息'!$C:$E,2,FALSE),"-")</f>
        <v>-</v>
      </c>
      <c r="H574" s="60" t="str">
        <f>IFERROR(VLOOKUP($F574,'基础-办公用品信息'!$C:$E,3,FALSE),"-")</f>
        <v>-</v>
      </c>
      <c r="I574" s="60"/>
      <c r="J574" s="60" t="str">
        <f>IFERROR(VLOOKUP($F574,'基础-办公用品信息'!$C:$F,4,FALSE),"-")</f>
        <v>-</v>
      </c>
      <c r="K574" s="60" t="str">
        <f t="shared" si="24"/>
        <v/>
      </c>
      <c r="L574" s="87"/>
      <c r="M574" s="60">
        <f t="shared" si="25"/>
        <v>1900</v>
      </c>
      <c r="N574" s="60">
        <f t="shared" si="26"/>
        <v>1</v>
      </c>
    </row>
    <row r="575" customHeight="1" spans="2:14">
      <c r="B575" s="86">
        <v>573</v>
      </c>
      <c r="C575" s="87"/>
      <c r="D575" s="87"/>
      <c r="E575" s="60" t="str">
        <f>IFERROR(VLOOKUP(D575,'基础-领用人及部门'!$C:$D,2,FALSE),"-")</f>
        <v>-</v>
      </c>
      <c r="F575" s="87"/>
      <c r="G575" s="60" t="str">
        <f>IFERROR(VLOOKUP($F575,'基础-办公用品信息'!$C:$E,2,FALSE),"-")</f>
        <v>-</v>
      </c>
      <c r="H575" s="60" t="str">
        <f>IFERROR(VLOOKUP($F575,'基础-办公用品信息'!$C:$E,3,FALSE),"-")</f>
        <v>-</v>
      </c>
      <c r="I575" s="60"/>
      <c r="J575" s="60" t="str">
        <f>IFERROR(VLOOKUP($F575,'基础-办公用品信息'!$C:$F,4,FALSE),"-")</f>
        <v>-</v>
      </c>
      <c r="K575" s="60" t="str">
        <f t="shared" si="24"/>
        <v/>
      </c>
      <c r="L575" s="87"/>
      <c r="M575" s="60">
        <f t="shared" si="25"/>
        <v>1900</v>
      </c>
      <c r="N575" s="60">
        <f t="shared" si="26"/>
        <v>1</v>
      </c>
    </row>
    <row r="576" customHeight="1" spans="2:14">
      <c r="B576" s="86">
        <v>574</v>
      </c>
      <c r="C576" s="87"/>
      <c r="D576" s="87"/>
      <c r="E576" s="60" t="str">
        <f>IFERROR(VLOOKUP(D576,'基础-领用人及部门'!$C:$D,2,FALSE),"-")</f>
        <v>-</v>
      </c>
      <c r="F576" s="87"/>
      <c r="G576" s="60" t="str">
        <f>IFERROR(VLOOKUP($F576,'基础-办公用品信息'!$C:$E,2,FALSE),"-")</f>
        <v>-</v>
      </c>
      <c r="H576" s="60" t="str">
        <f>IFERROR(VLOOKUP($F576,'基础-办公用品信息'!$C:$E,3,FALSE),"-")</f>
        <v>-</v>
      </c>
      <c r="I576" s="60"/>
      <c r="J576" s="60" t="str">
        <f>IFERROR(VLOOKUP($F576,'基础-办公用品信息'!$C:$F,4,FALSE),"-")</f>
        <v>-</v>
      </c>
      <c r="K576" s="60" t="str">
        <f t="shared" si="24"/>
        <v/>
      </c>
      <c r="L576" s="87"/>
      <c r="M576" s="60">
        <f t="shared" si="25"/>
        <v>1900</v>
      </c>
      <c r="N576" s="60">
        <f t="shared" si="26"/>
        <v>1</v>
      </c>
    </row>
    <row r="577" customHeight="1" spans="2:14">
      <c r="B577" s="86">
        <v>575</v>
      </c>
      <c r="C577" s="87"/>
      <c r="D577" s="87"/>
      <c r="E577" s="60" t="str">
        <f>IFERROR(VLOOKUP(D577,'基础-领用人及部门'!$C:$D,2,FALSE),"-")</f>
        <v>-</v>
      </c>
      <c r="F577" s="87"/>
      <c r="G577" s="60" t="str">
        <f>IFERROR(VLOOKUP($F577,'基础-办公用品信息'!$C:$E,2,FALSE),"-")</f>
        <v>-</v>
      </c>
      <c r="H577" s="60" t="str">
        <f>IFERROR(VLOOKUP($F577,'基础-办公用品信息'!$C:$E,3,FALSE),"-")</f>
        <v>-</v>
      </c>
      <c r="I577" s="60"/>
      <c r="J577" s="60" t="str">
        <f>IFERROR(VLOOKUP($F577,'基础-办公用品信息'!$C:$F,4,FALSE),"-")</f>
        <v>-</v>
      </c>
      <c r="K577" s="60" t="str">
        <f t="shared" si="24"/>
        <v/>
      </c>
      <c r="L577" s="87"/>
      <c r="M577" s="60">
        <f t="shared" si="25"/>
        <v>1900</v>
      </c>
      <c r="N577" s="60">
        <f t="shared" si="26"/>
        <v>1</v>
      </c>
    </row>
    <row r="578" customHeight="1" spans="2:14">
      <c r="B578" s="86">
        <v>576</v>
      </c>
      <c r="C578" s="87"/>
      <c r="D578" s="87"/>
      <c r="E578" s="60" t="str">
        <f>IFERROR(VLOOKUP(D578,'基础-领用人及部门'!$C:$D,2,FALSE),"-")</f>
        <v>-</v>
      </c>
      <c r="F578" s="87"/>
      <c r="G578" s="60" t="str">
        <f>IFERROR(VLOOKUP($F578,'基础-办公用品信息'!$C:$E,2,FALSE),"-")</f>
        <v>-</v>
      </c>
      <c r="H578" s="60" t="str">
        <f>IFERROR(VLOOKUP($F578,'基础-办公用品信息'!$C:$E,3,FALSE),"-")</f>
        <v>-</v>
      </c>
      <c r="I578" s="60"/>
      <c r="J578" s="60" t="str">
        <f>IFERROR(VLOOKUP($F578,'基础-办公用品信息'!$C:$F,4,FALSE),"-")</f>
        <v>-</v>
      </c>
      <c r="K578" s="60" t="str">
        <f t="shared" si="24"/>
        <v/>
      </c>
      <c r="L578" s="87"/>
      <c r="M578" s="60">
        <f t="shared" si="25"/>
        <v>1900</v>
      </c>
      <c r="N578" s="60">
        <f t="shared" si="26"/>
        <v>1</v>
      </c>
    </row>
    <row r="579" customHeight="1" spans="2:14">
      <c r="B579" s="86">
        <v>577</v>
      </c>
      <c r="C579" s="87"/>
      <c r="D579" s="87"/>
      <c r="E579" s="60" t="str">
        <f>IFERROR(VLOOKUP(D579,'基础-领用人及部门'!$C:$D,2,FALSE),"-")</f>
        <v>-</v>
      </c>
      <c r="F579" s="87"/>
      <c r="G579" s="60" t="str">
        <f>IFERROR(VLOOKUP($F579,'基础-办公用品信息'!$C:$E,2,FALSE),"-")</f>
        <v>-</v>
      </c>
      <c r="H579" s="60" t="str">
        <f>IFERROR(VLOOKUP($F579,'基础-办公用品信息'!$C:$E,3,FALSE),"-")</f>
        <v>-</v>
      </c>
      <c r="I579" s="60"/>
      <c r="J579" s="60" t="str">
        <f>IFERROR(VLOOKUP($F579,'基础-办公用品信息'!$C:$F,4,FALSE),"-")</f>
        <v>-</v>
      </c>
      <c r="K579" s="60" t="str">
        <f t="shared" ref="K579:K642" si="27">IFERROR(I579*J579,"")</f>
        <v/>
      </c>
      <c r="L579" s="87"/>
      <c r="M579" s="60">
        <f t="shared" ref="M579:M642" si="28">YEAR(C579)</f>
        <v>1900</v>
      </c>
      <c r="N579" s="60">
        <f t="shared" ref="N579:N642" si="29">MONTH(C579)</f>
        <v>1</v>
      </c>
    </row>
    <row r="580" customHeight="1" spans="2:14">
      <c r="B580" s="86">
        <v>578</v>
      </c>
      <c r="C580" s="87"/>
      <c r="D580" s="87"/>
      <c r="E580" s="60" t="str">
        <f>IFERROR(VLOOKUP(D580,'基础-领用人及部门'!$C:$D,2,FALSE),"-")</f>
        <v>-</v>
      </c>
      <c r="F580" s="87"/>
      <c r="G580" s="60" t="str">
        <f>IFERROR(VLOOKUP($F580,'基础-办公用品信息'!$C:$E,2,FALSE),"-")</f>
        <v>-</v>
      </c>
      <c r="H580" s="60" t="str">
        <f>IFERROR(VLOOKUP($F580,'基础-办公用品信息'!$C:$E,3,FALSE),"-")</f>
        <v>-</v>
      </c>
      <c r="I580" s="60"/>
      <c r="J580" s="60" t="str">
        <f>IFERROR(VLOOKUP($F580,'基础-办公用品信息'!$C:$F,4,FALSE),"-")</f>
        <v>-</v>
      </c>
      <c r="K580" s="60" t="str">
        <f t="shared" si="27"/>
        <v/>
      </c>
      <c r="L580" s="87"/>
      <c r="M580" s="60">
        <f t="shared" si="28"/>
        <v>1900</v>
      </c>
      <c r="N580" s="60">
        <f t="shared" si="29"/>
        <v>1</v>
      </c>
    </row>
    <row r="581" customHeight="1" spans="2:14">
      <c r="B581" s="86">
        <v>579</v>
      </c>
      <c r="C581" s="87"/>
      <c r="D581" s="87"/>
      <c r="E581" s="60" t="str">
        <f>IFERROR(VLOOKUP(D581,'基础-领用人及部门'!$C:$D,2,FALSE),"-")</f>
        <v>-</v>
      </c>
      <c r="F581" s="87"/>
      <c r="G581" s="60" t="str">
        <f>IFERROR(VLOOKUP($F581,'基础-办公用品信息'!$C:$E,2,FALSE),"-")</f>
        <v>-</v>
      </c>
      <c r="H581" s="60" t="str">
        <f>IFERROR(VLOOKUP($F581,'基础-办公用品信息'!$C:$E,3,FALSE),"-")</f>
        <v>-</v>
      </c>
      <c r="I581" s="60"/>
      <c r="J581" s="60" t="str">
        <f>IFERROR(VLOOKUP($F581,'基础-办公用品信息'!$C:$F,4,FALSE),"-")</f>
        <v>-</v>
      </c>
      <c r="K581" s="60" t="str">
        <f t="shared" si="27"/>
        <v/>
      </c>
      <c r="L581" s="87"/>
      <c r="M581" s="60">
        <f t="shared" si="28"/>
        <v>1900</v>
      </c>
      <c r="N581" s="60">
        <f t="shared" si="29"/>
        <v>1</v>
      </c>
    </row>
    <row r="582" customHeight="1" spans="2:14">
      <c r="B582" s="86">
        <v>580</v>
      </c>
      <c r="C582" s="87"/>
      <c r="D582" s="87"/>
      <c r="E582" s="60" t="str">
        <f>IFERROR(VLOOKUP(D582,'基础-领用人及部门'!$C:$D,2,FALSE),"-")</f>
        <v>-</v>
      </c>
      <c r="F582" s="87"/>
      <c r="G582" s="60" t="str">
        <f>IFERROR(VLOOKUP($F582,'基础-办公用品信息'!$C:$E,2,FALSE),"-")</f>
        <v>-</v>
      </c>
      <c r="H582" s="60" t="str">
        <f>IFERROR(VLOOKUP($F582,'基础-办公用品信息'!$C:$E,3,FALSE),"-")</f>
        <v>-</v>
      </c>
      <c r="I582" s="60"/>
      <c r="J582" s="60" t="str">
        <f>IFERROR(VLOOKUP($F582,'基础-办公用品信息'!$C:$F,4,FALSE),"-")</f>
        <v>-</v>
      </c>
      <c r="K582" s="60" t="str">
        <f t="shared" si="27"/>
        <v/>
      </c>
      <c r="L582" s="87"/>
      <c r="M582" s="60">
        <f t="shared" si="28"/>
        <v>1900</v>
      </c>
      <c r="N582" s="60">
        <f t="shared" si="29"/>
        <v>1</v>
      </c>
    </row>
    <row r="583" customHeight="1" spans="2:14">
      <c r="B583" s="86">
        <v>581</v>
      </c>
      <c r="C583" s="87"/>
      <c r="D583" s="87"/>
      <c r="E583" s="60" t="str">
        <f>IFERROR(VLOOKUP(D583,'基础-领用人及部门'!$C:$D,2,FALSE),"-")</f>
        <v>-</v>
      </c>
      <c r="F583" s="87"/>
      <c r="G583" s="60" t="str">
        <f>IFERROR(VLOOKUP($F583,'基础-办公用品信息'!$C:$E,2,FALSE),"-")</f>
        <v>-</v>
      </c>
      <c r="H583" s="60" t="str">
        <f>IFERROR(VLOOKUP($F583,'基础-办公用品信息'!$C:$E,3,FALSE),"-")</f>
        <v>-</v>
      </c>
      <c r="I583" s="60"/>
      <c r="J583" s="60" t="str">
        <f>IFERROR(VLOOKUP($F583,'基础-办公用品信息'!$C:$F,4,FALSE),"-")</f>
        <v>-</v>
      </c>
      <c r="K583" s="60" t="str">
        <f t="shared" si="27"/>
        <v/>
      </c>
      <c r="L583" s="87"/>
      <c r="M583" s="60">
        <f t="shared" si="28"/>
        <v>1900</v>
      </c>
      <c r="N583" s="60">
        <f t="shared" si="29"/>
        <v>1</v>
      </c>
    </row>
    <row r="584" customHeight="1" spans="2:14">
      <c r="B584" s="86">
        <v>582</v>
      </c>
      <c r="C584" s="87"/>
      <c r="D584" s="87"/>
      <c r="E584" s="60" t="str">
        <f>IFERROR(VLOOKUP(D584,'基础-领用人及部门'!$C:$D,2,FALSE),"-")</f>
        <v>-</v>
      </c>
      <c r="F584" s="87"/>
      <c r="G584" s="60" t="str">
        <f>IFERROR(VLOOKUP($F584,'基础-办公用品信息'!$C:$E,2,FALSE),"-")</f>
        <v>-</v>
      </c>
      <c r="H584" s="60" t="str">
        <f>IFERROR(VLOOKUP($F584,'基础-办公用品信息'!$C:$E,3,FALSE),"-")</f>
        <v>-</v>
      </c>
      <c r="I584" s="60"/>
      <c r="J584" s="60" t="str">
        <f>IFERROR(VLOOKUP($F584,'基础-办公用品信息'!$C:$F,4,FALSE),"-")</f>
        <v>-</v>
      </c>
      <c r="K584" s="60" t="str">
        <f t="shared" si="27"/>
        <v/>
      </c>
      <c r="L584" s="87"/>
      <c r="M584" s="60">
        <f t="shared" si="28"/>
        <v>1900</v>
      </c>
      <c r="N584" s="60">
        <f t="shared" si="29"/>
        <v>1</v>
      </c>
    </row>
    <row r="585" customHeight="1" spans="2:14">
      <c r="B585" s="86">
        <v>583</v>
      </c>
      <c r="C585" s="87"/>
      <c r="D585" s="87"/>
      <c r="E585" s="60" t="str">
        <f>IFERROR(VLOOKUP(D585,'基础-领用人及部门'!$C:$D,2,FALSE),"-")</f>
        <v>-</v>
      </c>
      <c r="F585" s="87"/>
      <c r="G585" s="60" t="str">
        <f>IFERROR(VLOOKUP($F585,'基础-办公用品信息'!$C:$E,2,FALSE),"-")</f>
        <v>-</v>
      </c>
      <c r="H585" s="60" t="str">
        <f>IFERROR(VLOOKUP($F585,'基础-办公用品信息'!$C:$E,3,FALSE),"-")</f>
        <v>-</v>
      </c>
      <c r="I585" s="60"/>
      <c r="J585" s="60" t="str">
        <f>IFERROR(VLOOKUP($F585,'基础-办公用品信息'!$C:$F,4,FALSE),"-")</f>
        <v>-</v>
      </c>
      <c r="K585" s="60" t="str">
        <f t="shared" si="27"/>
        <v/>
      </c>
      <c r="L585" s="87"/>
      <c r="M585" s="60">
        <f t="shared" si="28"/>
        <v>1900</v>
      </c>
      <c r="N585" s="60">
        <f t="shared" si="29"/>
        <v>1</v>
      </c>
    </row>
    <row r="586" customHeight="1" spans="2:14">
      <c r="B586" s="86">
        <v>584</v>
      </c>
      <c r="C586" s="87"/>
      <c r="D586" s="87"/>
      <c r="E586" s="60" t="str">
        <f>IFERROR(VLOOKUP(D586,'基础-领用人及部门'!$C:$D,2,FALSE),"-")</f>
        <v>-</v>
      </c>
      <c r="F586" s="87"/>
      <c r="G586" s="60" t="str">
        <f>IFERROR(VLOOKUP($F586,'基础-办公用品信息'!$C:$E,2,FALSE),"-")</f>
        <v>-</v>
      </c>
      <c r="H586" s="60" t="str">
        <f>IFERROR(VLOOKUP($F586,'基础-办公用品信息'!$C:$E,3,FALSE),"-")</f>
        <v>-</v>
      </c>
      <c r="I586" s="60"/>
      <c r="J586" s="60" t="str">
        <f>IFERROR(VLOOKUP($F586,'基础-办公用品信息'!$C:$F,4,FALSE),"-")</f>
        <v>-</v>
      </c>
      <c r="K586" s="60" t="str">
        <f t="shared" si="27"/>
        <v/>
      </c>
      <c r="L586" s="87"/>
      <c r="M586" s="60">
        <f t="shared" si="28"/>
        <v>1900</v>
      </c>
      <c r="N586" s="60">
        <f t="shared" si="29"/>
        <v>1</v>
      </c>
    </row>
    <row r="587" customHeight="1" spans="2:14">
      <c r="B587" s="86">
        <v>585</v>
      </c>
      <c r="C587" s="87"/>
      <c r="D587" s="87"/>
      <c r="E587" s="60" t="str">
        <f>IFERROR(VLOOKUP(D587,'基础-领用人及部门'!$C:$D,2,FALSE),"-")</f>
        <v>-</v>
      </c>
      <c r="F587" s="87"/>
      <c r="G587" s="60" t="str">
        <f>IFERROR(VLOOKUP($F587,'基础-办公用品信息'!$C:$E,2,FALSE),"-")</f>
        <v>-</v>
      </c>
      <c r="H587" s="60" t="str">
        <f>IFERROR(VLOOKUP($F587,'基础-办公用品信息'!$C:$E,3,FALSE),"-")</f>
        <v>-</v>
      </c>
      <c r="I587" s="60"/>
      <c r="J587" s="60" t="str">
        <f>IFERROR(VLOOKUP($F587,'基础-办公用品信息'!$C:$F,4,FALSE),"-")</f>
        <v>-</v>
      </c>
      <c r="K587" s="60" t="str">
        <f t="shared" si="27"/>
        <v/>
      </c>
      <c r="L587" s="87"/>
      <c r="M587" s="60">
        <f t="shared" si="28"/>
        <v>1900</v>
      </c>
      <c r="N587" s="60">
        <f t="shared" si="29"/>
        <v>1</v>
      </c>
    </row>
    <row r="588" customHeight="1" spans="2:14">
      <c r="B588" s="86">
        <v>586</v>
      </c>
      <c r="C588" s="87"/>
      <c r="D588" s="87"/>
      <c r="E588" s="60" t="str">
        <f>IFERROR(VLOOKUP(D588,'基础-领用人及部门'!$C:$D,2,FALSE),"-")</f>
        <v>-</v>
      </c>
      <c r="F588" s="87"/>
      <c r="G588" s="60" t="str">
        <f>IFERROR(VLOOKUP($F588,'基础-办公用品信息'!$C:$E,2,FALSE),"-")</f>
        <v>-</v>
      </c>
      <c r="H588" s="60" t="str">
        <f>IFERROR(VLOOKUP($F588,'基础-办公用品信息'!$C:$E,3,FALSE),"-")</f>
        <v>-</v>
      </c>
      <c r="I588" s="60"/>
      <c r="J588" s="60" t="str">
        <f>IFERROR(VLOOKUP($F588,'基础-办公用品信息'!$C:$F,4,FALSE),"-")</f>
        <v>-</v>
      </c>
      <c r="K588" s="60" t="str">
        <f t="shared" si="27"/>
        <v/>
      </c>
      <c r="L588" s="87"/>
      <c r="M588" s="60">
        <f t="shared" si="28"/>
        <v>1900</v>
      </c>
      <c r="N588" s="60">
        <f t="shared" si="29"/>
        <v>1</v>
      </c>
    </row>
    <row r="589" customHeight="1" spans="2:14">
      <c r="B589" s="86">
        <v>587</v>
      </c>
      <c r="C589" s="87"/>
      <c r="D589" s="87"/>
      <c r="E589" s="60" t="str">
        <f>IFERROR(VLOOKUP(D589,'基础-领用人及部门'!$C:$D,2,FALSE),"-")</f>
        <v>-</v>
      </c>
      <c r="F589" s="87"/>
      <c r="G589" s="60" t="str">
        <f>IFERROR(VLOOKUP($F589,'基础-办公用品信息'!$C:$E,2,FALSE),"-")</f>
        <v>-</v>
      </c>
      <c r="H589" s="60" t="str">
        <f>IFERROR(VLOOKUP($F589,'基础-办公用品信息'!$C:$E,3,FALSE),"-")</f>
        <v>-</v>
      </c>
      <c r="I589" s="60"/>
      <c r="J589" s="60" t="str">
        <f>IFERROR(VLOOKUP($F589,'基础-办公用品信息'!$C:$F,4,FALSE),"-")</f>
        <v>-</v>
      </c>
      <c r="K589" s="60" t="str">
        <f t="shared" si="27"/>
        <v/>
      </c>
      <c r="L589" s="87"/>
      <c r="M589" s="60">
        <f t="shared" si="28"/>
        <v>1900</v>
      </c>
      <c r="N589" s="60">
        <f t="shared" si="29"/>
        <v>1</v>
      </c>
    </row>
    <row r="590" customHeight="1" spans="2:14">
      <c r="B590" s="86">
        <v>588</v>
      </c>
      <c r="C590" s="87"/>
      <c r="D590" s="87"/>
      <c r="E590" s="60" t="str">
        <f>IFERROR(VLOOKUP(D590,'基础-领用人及部门'!$C:$D,2,FALSE),"-")</f>
        <v>-</v>
      </c>
      <c r="F590" s="87"/>
      <c r="G590" s="60" t="str">
        <f>IFERROR(VLOOKUP($F590,'基础-办公用品信息'!$C:$E,2,FALSE),"-")</f>
        <v>-</v>
      </c>
      <c r="H590" s="60" t="str">
        <f>IFERROR(VLOOKUP($F590,'基础-办公用品信息'!$C:$E,3,FALSE),"-")</f>
        <v>-</v>
      </c>
      <c r="I590" s="60"/>
      <c r="J590" s="60" t="str">
        <f>IFERROR(VLOOKUP($F590,'基础-办公用品信息'!$C:$F,4,FALSE),"-")</f>
        <v>-</v>
      </c>
      <c r="K590" s="60" t="str">
        <f t="shared" si="27"/>
        <v/>
      </c>
      <c r="L590" s="87"/>
      <c r="M590" s="60">
        <f t="shared" si="28"/>
        <v>1900</v>
      </c>
      <c r="N590" s="60">
        <f t="shared" si="29"/>
        <v>1</v>
      </c>
    </row>
    <row r="591" customHeight="1" spans="2:14">
      <c r="B591" s="86">
        <v>589</v>
      </c>
      <c r="C591" s="87"/>
      <c r="D591" s="87"/>
      <c r="E591" s="60" t="str">
        <f>IFERROR(VLOOKUP(D591,'基础-领用人及部门'!$C:$D,2,FALSE),"-")</f>
        <v>-</v>
      </c>
      <c r="F591" s="87"/>
      <c r="G591" s="60" t="str">
        <f>IFERROR(VLOOKUP($F591,'基础-办公用品信息'!$C:$E,2,FALSE),"-")</f>
        <v>-</v>
      </c>
      <c r="H591" s="60" t="str">
        <f>IFERROR(VLOOKUP($F591,'基础-办公用品信息'!$C:$E,3,FALSE),"-")</f>
        <v>-</v>
      </c>
      <c r="I591" s="60"/>
      <c r="J591" s="60" t="str">
        <f>IFERROR(VLOOKUP($F591,'基础-办公用品信息'!$C:$F,4,FALSE),"-")</f>
        <v>-</v>
      </c>
      <c r="K591" s="60" t="str">
        <f t="shared" si="27"/>
        <v/>
      </c>
      <c r="L591" s="87"/>
      <c r="M591" s="60">
        <f t="shared" si="28"/>
        <v>1900</v>
      </c>
      <c r="N591" s="60">
        <f t="shared" si="29"/>
        <v>1</v>
      </c>
    </row>
    <row r="592" customHeight="1" spans="2:14">
      <c r="B592" s="86">
        <v>590</v>
      </c>
      <c r="C592" s="87"/>
      <c r="D592" s="87"/>
      <c r="E592" s="60" t="str">
        <f>IFERROR(VLOOKUP(D592,'基础-领用人及部门'!$C:$D,2,FALSE),"-")</f>
        <v>-</v>
      </c>
      <c r="F592" s="87"/>
      <c r="G592" s="60" t="str">
        <f>IFERROR(VLOOKUP($F592,'基础-办公用品信息'!$C:$E,2,FALSE),"-")</f>
        <v>-</v>
      </c>
      <c r="H592" s="60" t="str">
        <f>IFERROR(VLOOKUP($F592,'基础-办公用品信息'!$C:$E,3,FALSE),"-")</f>
        <v>-</v>
      </c>
      <c r="I592" s="60"/>
      <c r="J592" s="60" t="str">
        <f>IFERROR(VLOOKUP($F592,'基础-办公用品信息'!$C:$F,4,FALSE),"-")</f>
        <v>-</v>
      </c>
      <c r="K592" s="60" t="str">
        <f t="shared" si="27"/>
        <v/>
      </c>
      <c r="L592" s="87"/>
      <c r="M592" s="60">
        <f t="shared" si="28"/>
        <v>1900</v>
      </c>
      <c r="N592" s="60">
        <f t="shared" si="29"/>
        <v>1</v>
      </c>
    </row>
    <row r="593" customHeight="1" spans="2:14">
      <c r="B593" s="86">
        <v>591</v>
      </c>
      <c r="C593" s="87"/>
      <c r="D593" s="87"/>
      <c r="E593" s="60" t="str">
        <f>IFERROR(VLOOKUP(D593,'基础-领用人及部门'!$C:$D,2,FALSE),"-")</f>
        <v>-</v>
      </c>
      <c r="F593" s="87"/>
      <c r="G593" s="60" t="str">
        <f>IFERROR(VLOOKUP($F593,'基础-办公用品信息'!$C:$E,2,FALSE),"-")</f>
        <v>-</v>
      </c>
      <c r="H593" s="60" t="str">
        <f>IFERROR(VLOOKUP($F593,'基础-办公用品信息'!$C:$E,3,FALSE),"-")</f>
        <v>-</v>
      </c>
      <c r="I593" s="60"/>
      <c r="J593" s="60" t="str">
        <f>IFERROR(VLOOKUP($F593,'基础-办公用品信息'!$C:$F,4,FALSE),"-")</f>
        <v>-</v>
      </c>
      <c r="K593" s="60" t="str">
        <f t="shared" si="27"/>
        <v/>
      </c>
      <c r="L593" s="87"/>
      <c r="M593" s="60">
        <f t="shared" si="28"/>
        <v>1900</v>
      </c>
      <c r="N593" s="60">
        <f t="shared" si="29"/>
        <v>1</v>
      </c>
    </row>
    <row r="594" customHeight="1" spans="2:14">
      <c r="B594" s="86">
        <v>592</v>
      </c>
      <c r="C594" s="87"/>
      <c r="D594" s="87"/>
      <c r="E594" s="60" t="str">
        <f>IFERROR(VLOOKUP(D594,'基础-领用人及部门'!$C:$D,2,FALSE),"-")</f>
        <v>-</v>
      </c>
      <c r="F594" s="87"/>
      <c r="G594" s="60" t="str">
        <f>IFERROR(VLOOKUP($F594,'基础-办公用品信息'!$C:$E,2,FALSE),"-")</f>
        <v>-</v>
      </c>
      <c r="H594" s="60" t="str">
        <f>IFERROR(VLOOKUP($F594,'基础-办公用品信息'!$C:$E,3,FALSE),"-")</f>
        <v>-</v>
      </c>
      <c r="I594" s="60"/>
      <c r="J594" s="60" t="str">
        <f>IFERROR(VLOOKUP($F594,'基础-办公用品信息'!$C:$F,4,FALSE),"-")</f>
        <v>-</v>
      </c>
      <c r="K594" s="60" t="str">
        <f t="shared" si="27"/>
        <v/>
      </c>
      <c r="L594" s="87"/>
      <c r="M594" s="60">
        <f t="shared" si="28"/>
        <v>1900</v>
      </c>
      <c r="N594" s="60">
        <f t="shared" si="29"/>
        <v>1</v>
      </c>
    </row>
    <row r="595" customHeight="1" spans="2:14">
      <c r="B595" s="86">
        <v>593</v>
      </c>
      <c r="C595" s="87"/>
      <c r="D595" s="87"/>
      <c r="E595" s="60" t="str">
        <f>IFERROR(VLOOKUP(D595,'基础-领用人及部门'!$C:$D,2,FALSE),"-")</f>
        <v>-</v>
      </c>
      <c r="F595" s="87"/>
      <c r="G595" s="60" t="str">
        <f>IFERROR(VLOOKUP($F595,'基础-办公用品信息'!$C:$E,2,FALSE),"-")</f>
        <v>-</v>
      </c>
      <c r="H595" s="60" t="str">
        <f>IFERROR(VLOOKUP($F595,'基础-办公用品信息'!$C:$E,3,FALSE),"-")</f>
        <v>-</v>
      </c>
      <c r="I595" s="60"/>
      <c r="J595" s="60" t="str">
        <f>IFERROR(VLOOKUP($F595,'基础-办公用品信息'!$C:$F,4,FALSE),"-")</f>
        <v>-</v>
      </c>
      <c r="K595" s="60" t="str">
        <f t="shared" si="27"/>
        <v/>
      </c>
      <c r="L595" s="87"/>
      <c r="M595" s="60">
        <f t="shared" si="28"/>
        <v>1900</v>
      </c>
      <c r="N595" s="60">
        <f t="shared" si="29"/>
        <v>1</v>
      </c>
    </row>
    <row r="596" customHeight="1" spans="2:14">
      <c r="B596" s="86">
        <v>594</v>
      </c>
      <c r="C596" s="87"/>
      <c r="D596" s="87"/>
      <c r="E596" s="60" t="str">
        <f>IFERROR(VLOOKUP(D596,'基础-领用人及部门'!$C:$D,2,FALSE),"-")</f>
        <v>-</v>
      </c>
      <c r="F596" s="87"/>
      <c r="G596" s="60" t="str">
        <f>IFERROR(VLOOKUP($F596,'基础-办公用品信息'!$C:$E,2,FALSE),"-")</f>
        <v>-</v>
      </c>
      <c r="H596" s="60" t="str">
        <f>IFERROR(VLOOKUP($F596,'基础-办公用品信息'!$C:$E,3,FALSE),"-")</f>
        <v>-</v>
      </c>
      <c r="I596" s="60"/>
      <c r="J596" s="60" t="str">
        <f>IFERROR(VLOOKUP($F596,'基础-办公用品信息'!$C:$F,4,FALSE),"-")</f>
        <v>-</v>
      </c>
      <c r="K596" s="60" t="str">
        <f t="shared" si="27"/>
        <v/>
      </c>
      <c r="L596" s="87"/>
      <c r="M596" s="60">
        <f t="shared" si="28"/>
        <v>1900</v>
      </c>
      <c r="N596" s="60">
        <f t="shared" si="29"/>
        <v>1</v>
      </c>
    </row>
    <row r="597" customHeight="1" spans="2:14">
      <c r="B597" s="86">
        <v>595</v>
      </c>
      <c r="C597" s="87"/>
      <c r="D597" s="87"/>
      <c r="E597" s="60" t="str">
        <f>IFERROR(VLOOKUP(D597,'基础-领用人及部门'!$C:$D,2,FALSE),"-")</f>
        <v>-</v>
      </c>
      <c r="F597" s="87"/>
      <c r="G597" s="60" t="str">
        <f>IFERROR(VLOOKUP($F597,'基础-办公用品信息'!$C:$E,2,FALSE),"-")</f>
        <v>-</v>
      </c>
      <c r="H597" s="60" t="str">
        <f>IFERROR(VLOOKUP($F597,'基础-办公用品信息'!$C:$E,3,FALSE),"-")</f>
        <v>-</v>
      </c>
      <c r="I597" s="60"/>
      <c r="J597" s="60" t="str">
        <f>IFERROR(VLOOKUP($F597,'基础-办公用品信息'!$C:$F,4,FALSE),"-")</f>
        <v>-</v>
      </c>
      <c r="K597" s="60" t="str">
        <f t="shared" si="27"/>
        <v/>
      </c>
      <c r="L597" s="87"/>
      <c r="M597" s="60">
        <f t="shared" si="28"/>
        <v>1900</v>
      </c>
      <c r="N597" s="60">
        <f t="shared" si="29"/>
        <v>1</v>
      </c>
    </row>
    <row r="598" customHeight="1" spans="2:14">
      <c r="B598" s="86">
        <v>596</v>
      </c>
      <c r="C598" s="87"/>
      <c r="D598" s="87"/>
      <c r="E598" s="60" t="str">
        <f>IFERROR(VLOOKUP(D598,'基础-领用人及部门'!$C:$D,2,FALSE),"-")</f>
        <v>-</v>
      </c>
      <c r="F598" s="87"/>
      <c r="G598" s="60" t="str">
        <f>IFERROR(VLOOKUP($F598,'基础-办公用品信息'!$C:$E,2,FALSE),"-")</f>
        <v>-</v>
      </c>
      <c r="H598" s="60" t="str">
        <f>IFERROR(VLOOKUP($F598,'基础-办公用品信息'!$C:$E,3,FALSE),"-")</f>
        <v>-</v>
      </c>
      <c r="I598" s="60"/>
      <c r="J598" s="60" t="str">
        <f>IFERROR(VLOOKUP($F598,'基础-办公用品信息'!$C:$F,4,FALSE),"-")</f>
        <v>-</v>
      </c>
      <c r="K598" s="60" t="str">
        <f t="shared" si="27"/>
        <v/>
      </c>
      <c r="L598" s="87"/>
      <c r="M598" s="60">
        <f t="shared" si="28"/>
        <v>1900</v>
      </c>
      <c r="N598" s="60">
        <f t="shared" si="29"/>
        <v>1</v>
      </c>
    </row>
    <row r="599" customHeight="1" spans="2:14">
      <c r="B599" s="86">
        <v>597</v>
      </c>
      <c r="C599" s="87"/>
      <c r="D599" s="87"/>
      <c r="E599" s="60" t="str">
        <f>IFERROR(VLOOKUP(D599,'基础-领用人及部门'!$C:$D,2,FALSE),"-")</f>
        <v>-</v>
      </c>
      <c r="F599" s="87"/>
      <c r="G599" s="60" t="str">
        <f>IFERROR(VLOOKUP($F599,'基础-办公用品信息'!$C:$E,2,FALSE),"-")</f>
        <v>-</v>
      </c>
      <c r="H599" s="60" t="str">
        <f>IFERROR(VLOOKUP($F599,'基础-办公用品信息'!$C:$E,3,FALSE),"-")</f>
        <v>-</v>
      </c>
      <c r="I599" s="60"/>
      <c r="J599" s="60" t="str">
        <f>IFERROR(VLOOKUP($F599,'基础-办公用品信息'!$C:$F,4,FALSE),"-")</f>
        <v>-</v>
      </c>
      <c r="K599" s="60" t="str">
        <f t="shared" si="27"/>
        <v/>
      </c>
      <c r="L599" s="87"/>
      <c r="M599" s="60">
        <f t="shared" si="28"/>
        <v>1900</v>
      </c>
      <c r="N599" s="60">
        <f t="shared" si="29"/>
        <v>1</v>
      </c>
    </row>
    <row r="600" customHeight="1" spans="2:14">
      <c r="B600" s="86">
        <v>598</v>
      </c>
      <c r="C600" s="87"/>
      <c r="D600" s="87"/>
      <c r="E600" s="60" t="str">
        <f>IFERROR(VLOOKUP(D600,'基础-领用人及部门'!$C:$D,2,FALSE),"-")</f>
        <v>-</v>
      </c>
      <c r="F600" s="87"/>
      <c r="G600" s="60" t="str">
        <f>IFERROR(VLOOKUP($F600,'基础-办公用品信息'!$C:$E,2,FALSE),"-")</f>
        <v>-</v>
      </c>
      <c r="H600" s="60" t="str">
        <f>IFERROR(VLOOKUP($F600,'基础-办公用品信息'!$C:$E,3,FALSE),"-")</f>
        <v>-</v>
      </c>
      <c r="I600" s="60"/>
      <c r="J600" s="60" t="str">
        <f>IFERROR(VLOOKUP($F600,'基础-办公用品信息'!$C:$F,4,FALSE),"-")</f>
        <v>-</v>
      </c>
      <c r="K600" s="60" t="str">
        <f t="shared" si="27"/>
        <v/>
      </c>
      <c r="L600" s="87"/>
      <c r="M600" s="60">
        <f t="shared" si="28"/>
        <v>1900</v>
      </c>
      <c r="N600" s="60">
        <f t="shared" si="29"/>
        <v>1</v>
      </c>
    </row>
    <row r="601" customHeight="1" spans="2:14">
      <c r="B601" s="86">
        <v>599</v>
      </c>
      <c r="C601" s="87"/>
      <c r="D601" s="87"/>
      <c r="E601" s="60" t="str">
        <f>IFERROR(VLOOKUP(D601,'基础-领用人及部门'!$C:$D,2,FALSE),"-")</f>
        <v>-</v>
      </c>
      <c r="F601" s="87"/>
      <c r="G601" s="60" t="str">
        <f>IFERROR(VLOOKUP($F601,'基础-办公用品信息'!$C:$E,2,FALSE),"-")</f>
        <v>-</v>
      </c>
      <c r="H601" s="60" t="str">
        <f>IFERROR(VLOOKUP($F601,'基础-办公用品信息'!$C:$E,3,FALSE),"-")</f>
        <v>-</v>
      </c>
      <c r="I601" s="60"/>
      <c r="J601" s="60" t="str">
        <f>IFERROR(VLOOKUP($F601,'基础-办公用品信息'!$C:$F,4,FALSE),"-")</f>
        <v>-</v>
      </c>
      <c r="K601" s="60" t="str">
        <f t="shared" si="27"/>
        <v/>
      </c>
      <c r="L601" s="87"/>
      <c r="M601" s="60">
        <f t="shared" si="28"/>
        <v>1900</v>
      </c>
      <c r="N601" s="60">
        <f t="shared" si="29"/>
        <v>1</v>
      </c>
    </row>
    <row r="602" customHeight="1" spans="2:14">
      <c r="B602" s="86">
        <v>600</v>
      </c>
      <c r="C602" s="87"/>
      <c r="D602" s="87"/>
      <c r="E602" s="60" t="str">
        <f>IFERROR(VLOOKUP(D602,'基础-领用人及部门'!$C:$D,2,FALSE),"-")</f>
        <v>-</v>
      </c>
      <c r="F602" s="87"/>
      <c r="G602" s="60" t="str">
        <f>IFERROR(VLOOKUP($F602,'基础-办公用品信息'!$C:$E,2,FALSE),"-")</f>
        <v>-</v>
      </c>
      <c r="H602" s="60" t="str">
        <f>IFERROR(VLOOKUP($F602,'基础-办公用品信息'!$C:$E,3,FALSE),"-")</f>
        <v>-</v>
      </c>
      <c r="I602" s="60"/>
      <c r="J602" s="60" t="str">
        <f>IFERROR(VLOOKUP($F602,'基础-办公用品信息'!$C:$F,4,FALSE),"-")</f>
        <v>-</v>
      </c>
      <c r="K602" s="60" t="str">
        <f t="shared" si="27"/>
        <v/>
      </c>
      <c r="L602" s="87"/>
      <c r="M602" s="60">
        <f t="shared" si="28"/>
        <v>1900</v>
      </c>
      <c r="N602" s="60">
        <f t="shared" si="29"/>
        <v>1</v>
      </c>
    </row>
    <row r="603" customHeight="1" spans="2:14">
      <c r="B603" s="86">
        <v>601</v>
      </c>
      <c r="C603" s="87"/>
      <c r="D603" s="87"/>
      <c r="E603" s="60" t="str">
        <f>IFERROR(VLOOKUP(D603,'基础-领用人及部门'!$C:$D,2,FALSE),"-")</f>
        <v>-</v>
      </c>
      <c r="F603" s="87"/>
      <c r="G603" s="60" t="str">
        <f>IFERROR(VLOOKUP($F603,'基础-办公用品信息'!$C:$E,2,FALSE),"-")</f>
        <v>-</v>
      </c>
      <c r="H603" s="60" t="str">
        <f>IFERROR(VLOOKUP($F603,'基础-办公用品信息'!$C:$E,3,FALSE),"-")</f>
        <v>-</v>
      </c>
      <c r="I603" s="60"/>
      <c r="J603" s="60" t="str">
        <f>IFERROR(VLOOKUP($F603,'基础-办公用品信息'!$C:$F,4,FALSE),"-")</f>
        <v>-</v>
      </c>
      <c r="K603" s="60" t="str">
        <f t="shared" si="27"/>
        <v/>
      </c>
      <c r="L603" s="87"/>
      <c r="M603" s="60">
        <f t="shared" si="28"/>
        <v>1900</v>
      </c>
      <c r="N603" s="60">
        <f t="shared" si="29"/>
        <v>1</v>
      </c>
    </row>
    <row r="604" customHeight="1" spans="2:14">
      <c r="B604" s="86">
        <v>602</v>
      </c>
      <c r="C604" s="87"/>
      <c r="D604" s="87"/>
      <c r="E604" s="60" t="str">
        <f>IFERROR(VLOOKUP(D604,'基础-领用人及部门'!$C:$D,2,FALSE),"-")</f>
        <v>-</v>
      </c>
      <c r="F604" s="87"/>
      <c r="G604" s="60" t="str">
        <f>IFERROR(VLOOKUP($F604,'基础-办公用品信息'!$C:$E,2,FALSE),"-")</f>
        <v>-</v>
      </c>
      <c r="H604" s="60" t="str">
        <f>IFERROR(VLOOKUP($F604,'基础-办公用品信息'!$C:$E,3,FALSE),"-")</f>
        <v>-</v>
      </c>
      <c r="I604" s="60"/>
      <c r="J604" s="60" t="str">
        <f>IFERROR(VLOOKUP($F604,'基础-办公用品信息'!$C:$F,4,FALSE),"-")</f>
        <v>-</v>
      </c>
      <c r="K604" s="60" t="str">
        <f t="shared" si="27"/>
        <v/>
      </c>
      <c r="L604" s="87"/>
      <c r="M604" s="60">
        <f t="shared" si="28"/>
        <v>1900</v>
      </c>
      <c r="N604" s="60">
        <f t="shared" si="29"/>
        <v>1</v>
      </c>
    </row>
    <row r="605" customHeight="1" spans="2:14">
      <c r="B605" s="86">
        <v>603</v>
      </c>
      <c r="C605" s="87"/>
      <c r="D605" s="87"/>
      <c r="E605" s="60" t="str">
        <f>IFERROR(VLOOKUP(D605,'基础-领用人及部门'!$C:$D,2,FALSE),"-")</f>
        <v>-</v>
      </c>
      <c r="F605" s="87"/>
      <c r="G605" s="60" t="str">
        <f>IFERROR(VLOOKUP($F605,'基础-办公用品信息'!$C:$E,2,FALSE),"-")</f>
        <v>-</v>
      </c>
      <c r="H605" s="60" t="str">
        <f>IFERROR(VLOOKUP($F605,'基础-办公用品信息'!$C:$E,3,FALSE),"-")</f>
        <v>-</v>
      </c>
      <c r="I605" s="60"/>
      <c r="J605" s="60" t="str">
        <f>IFERROR(VLOOKUP($F605,'基础-办公用品信息'!$C:$F,4,FALSE),"-")</f>
        <v>-</v>
      </c>
      <c r="K605" s="60" t="str">
        <f t="shared" si="27"/>
        <v/>
      </c>
      <c r="L605" s="87"/>
      <c r="M605" s="60">
        <f t="shared" si="28"/>
        <v>1900</v>
      </c>
      <c r="N605" s="60">
        <f t="shared" si="29"/>
        <v>1</v>
      </c>
    </row>
    <row r="606" customHeight="1" spans="2:14">
      <c r="B606" s="86">
        <v>604</v>
      </c>
      <c r="C606" s="87"/>
      <c r="D606" s="87"/>
      <c r="E606" s="60" t="str">
        <f>IFERROR(VLOOKUP(D606,'基础-领用人及部门'!$C:$D,2,FALSE),"-")</f>
        <v>-</v>
      </c>
      <c r="F606" s="87"/>
      <c r="G606" s="60" t="str">
        <f>IFERROR(VLOOKUP($F606,'基础-办公用品信息'!$C:$E,2,FALSE),"-")</f>
        <v>-</v>
      </c>
      <c r="H606" s="60" t="str">
        <f>IFERROR(VLOOKUP($F606,'基础-办公用品信息'!$C:$E,3,FALSE),"-")</f>
        <v>-</v>
      </c>
      <c r="I606" s="60"/>
      <c r="J606" s="60" t="str">
        <f>IFERROR(VLOOKUP($F606,'基础-办公用品信息'!$C:$F,4,FALSE),"-")</f>
        <v>-</v>
      </c>
      <c r="K606" s="60" t="str">
        <f t="shared" si="27"/>
        <v/>
      </c>
      <c r="L606" s="87"/>
      <c r="M606" s="60">
        <f t="shared" si="28"/>
        <v>1900</v>
      </c>
      <c r="N606" s="60">
        <f t="shared" si="29"/>
        <v>1</v>
      </c>
    </row>
    <row r="607" customHeight="1" spans="2:14">
      <c r="B607" s="86">
        <v>605</v>
      </c>
      <c r="C607" s="87"/>
      <c r="D607" s="87"/>
      <c r="E607" s="60" t="str">
        <f>IFERROR(VLOOKUP(D607,'基础-领用人及部门'!$C:$D,2,FALSE),"-")</f>
        <v>-</v>
      </c>
      <c r="F607" s="87"/>
      <c r="G607" s="60" t="str">
        <f>IFERROR(VLOOKUP($F607,'基础-办公用品信息'!$C:$E,2,FALSE),"-")</f>
        <v>-</v>
      </c>
      <c r="H607" s="60" t="str">
        <f>IFERROR(VLOOKUP($F607,'基础-办公用品信息'!$C:$E,3,FALSE),"-")</f>
        <v>-</v>
      </c>
      <c r="I607" s="60"/>
      <c r="J607" s="60" t="str">
        <f>IFERROR(VLOOKUP($F607,'基础-办公用品信息'!$C:$F,4,FALSE),"-")</f>
        <v>-</v>
      </c>
      <c r="K607" s="60" t="str">
        <f t="shared" si="27"/>
        <v/>
      </c>
      <c r="L607" s="87"/>
      <c r="M607" s="60">
        <f t="shared" si="28"/>
        <v>1900</v>
      </c>
      <c r="N607" s="60">
        <f t="shared" si="29"/>
        <v>1</v>
      </c>
    </row>
    <row r="608" customHeight="1" spans="2:14">
      <c r="B608" s="86">
        <v>606</v>
      </c>
      <c r="C608" s="87"/>
      <c r="D608" s="87"/>
      <c r="E608" s="60" t="str">
        <f>IFERROR(VLOOKUP(D608,'基础-领用人及部门'!$C:$D,2,FALSE),"-")</f>
        <v>-</v>
      </c>
      <c r="F608" s="87"/>
      <c r="G608" s="60" t="str">
        <f>IFERROR(VLOOKUP($F608,'基础-办公用品信息'!$C:$E,2,FALSE),"-")</f>
        <v>-</v>
      </c>
      <c r="H608" s="60" t="str">
        <f>IFERROR(VLOOKUP($F608,'基础-办公用品信息'!$C:$E,3,FALSE),"-")</f>
        <v>-</v>
      </c>
      <c r="I608" s="60"/>
      <c r="J608" s="60" t="str">
        <f>IFERROR(VLOOKUP($F608,'基础-办公用品信息'!$C:$F,4,FALSE),"-")</f>
        <v>-</v>
      </c>
      <c r="K608" s="60" t="str">
        <f t="shared" si="27"/>
        <v/>
      </c>
      <c r="L608" s="87"/>
      <c r="M608" s="60">
        <f t="shared" si="28"/>
        <v>1900</v>
      </c>
      <c r="N608" s="60">
        <f t="shared" si="29"/>
        <v>1</v>
      </c>
    </row>
    <row r="609" customHeight="1" spans="2:14">
      <c r="B609" s="86">
        <v>607</v>
      </c>
      <c r="C609" s="87"/>
      <c r="D609" s="87"/>
      <c r="E609" s="60" t="str">
        <f>IFERROR(VLOOKUP(D609,'基础-领用人及部门'!$C:$D,2,FALSE),"-")</f>
        <v>-</v>
      </c>
      <c r="F609" s="87"/>
      <c r="G609" s="60" t="str">
        <f>IFERROR(VLOOKUP($F609,'基础-办公用品信息'!$C:$E,2,FALSE),"-")</f>
        <v>-</v>
      </c>
      <c r="H609" s="60" t="str">
        <f>IFERROR(VLOOKUP($F609,'基础-办公用品信息'!$C:$E,3,FALSE),"-")</f>
        <v>-</v>
      </c>
      <c r="I609" s="60"/>
      <c r="J609" s="60" t="str">
        <f>IFERROR(VLOOKUP($F609,'基础-办公用品信息'!$C:$F,4,FALSE),"-")</f>
        <v>-</v>
      </c>
      <c r="K609" s="60" t="str">
        <f t="shared" si="27"/>
        <v/>
      </c>
      <c r="L609" s="87"/>
      <c r="M609" s="60">
        <f t="shared" si="28"/>
        <v>1900</v>
      </c>
      <c r="N609" s="60">
        <f t="shared" si="29"/>
        <v>1</v>
      </c>
    </row>
    <row r="610" customHeight="1" spans="2:14">
      <c r="B610" s="86">
        <v>608</v>
      </c>
      <c r="C610" s="87"/>
      <c r="D610" s="87"/>
      <c r="E610" s="60" t="str">
        <f>IFERROR(VLOOKUP(D610,'基础-领用人及部门'!$C:$D,2,FALSE),"-")</f>
        <v>-</v>
      </c>
      <c r="F610" s="87"/>
      <c r="G610" s="60" t="str">
        <f>IFERROR(VLOOKUP($F610,'基础-办公用品信息'!$C:$E,2,FALSE),"-")</f>
        <v>-</v>
      </c>
      <c r="H610" s="60" t="str">
        <f>IFERROR(VLOOKUP($F610,'基础-办公用品信息'!$C:$E,3,FALSE),"-")</f>
        <v>-</v>
      </c>
      <c r="I610" s="60"/>
      <c r="J610" s="60" t="str">
        <f>IFERROR(VLOOKUP($F610,'基础-办公用品信息'!$C:$F,4,FALSE),"-")</f>
        <v>-</v>
      </c>
      <c r="K610" s="60" t="str">
        <f t="shared" si="27"/>
        <v/>
      </c>
      <c r="L610" s="87"/>
      <c r="M610" s="60">
        <f t="shared" si="28"/>
        <v>1900</v>
      </c>
      <c r="N610" s="60">
        <f t="shared" si="29"/>
        <v>1</v>
      </c>
    </row>
    <row r="611" customHeight="1" spans="2:14">
      <c r="B611" s="86">
        <v>609</v>
      </c>
      <c r="C611" s="87"/>
      <c r="D611" s="87"/>
      <c r="E611" s="60" t="str">
        <f>IFERROR(VLOOKUP(D611,'基础-领用人及部门'!$C:$D,2,FALSE),"-")</f>
        <v>-</v>
      </c>
      <c r="F611" s="87"/>
      <c r="G611" s="60" t="str">
        <f>IFERROR(VLOOKUP($F611,'基础-办公用品信息'!$C:$E,2,FALSE),"-")</f>
        <v>-</v>
      </c>
      <c r="H611" s="60" t="str">
        <f>IFERROR(VLOOKUP($F611,'基础-办公用品信息'!$C:$E,3,FALSE),"-")</f>
        <v>-</v>
      </c>
      <c r="I611" s="60"/>
      <c r="J611" s="60" t="str">
        <f>IFERROR(VLOOKUP($F611,'基础-办公用品信息'!$C:$F,4,FALSE),"-")</f>
        <v>-</v>
      </c>
      <c r="K611" s="60" t="str">
        <f t="shared" si="27"/>
        <v/>
      </c>
      <c r="L611" s="87"/>
      <c r="M611" s="60">
        <f t="shared" si="28"/>
        <v>1900</v>
      </c>
      <c r="N611" s="60">
        <f t="shared" si="29"/>
        <v>1</v>
      </c>
    </row>
    <row r="612" customHeight="1" spans="2:14">
      <c r="B612" s="86">
        <v>610</v>
      </c>
      <c r="C612" s="87"/>
      <c r="D612" s="87"/>
      <c r="E612" s="60" t="str">
        <f>IFERROR(VLOOKUP(D612,'基础-领用人及部门'!$C:$D,2,FALSE),"-")</f>
        <v>-</v>
      </c>
      <c r="F612" s="87"/>
      <c r="G612" s="60" t="str">
        <f>IFERROR(VLOOKUP($F612,'基础-办公用品信息'!$C:$E,2,FALSE),"-")</f>
        <v>-</v>
      </c>
      <c r="H612" s="60" t="str">
        <f>IFERROR(VLOOKUP($F612,'基础-办公用品信息'!$C:$E,3,FALSE),"-")</f>
        <v>-</v>
      </c>
      <c r="I612" s="60"/>
      <c r="J612" s="60" t="str">
        <f>IFERROR(VLOOKUP($F612,'基础-办公用品信息'!$C:$F,4,FALSE),"-")</f>
        <v>-</v>
      </c>
      <c r="K612" s="60" t="str">
        <f t="shared" si="27"/>
        <v/>
      </c>
      <c r="L612" s="87"/>
      <c r="M612" s="60">
        <f t="shared" si="28"/>
        <v>1900</v>
      </c>
      <c r="N612" s="60">
        <f t="shared" si="29"/>
        <v>1</v>
      </c>
    </row>
    <row r="613" customHeight="1" spans="2:14">
      <c r="B613" s="86">
        <v>611</v>
      </c>
      <c r="C613" s="87"/>
      <c r="D613" s="87"/>
      <c r="E613" s="60" t="str">
        <f>IFERROR(VLOOKUP(D613,'基础-领用人及部门'!$C:$D,2,FALSE),"-")</f>
        <v>-</v>
      </c>
      <c r="F613" s="87"/>
      <c r="G613" s="60" t="str">
        <f>IFERROR(VLOOKUP($F613,'基础-办公用品信息'!$C:$E,2,FALSE),"-")</f>
        <v>-</v>
      </c>
      <c r="H613" s="60" t="str">
        <f>IFERROR(VLOOKUP($F613,'基础-办公用品信息'!$C:$E,3,FALSE),"-")</f>
        <v>-</v>
      </c>
      <c r="I613" s="60"/>
      <c r="J613" s="60" t="str">
        <f>IFERROR(VLOOKUP($F613,'基础-办公用品信息'!$C:$F,4,FALSE),"-")</f>
        <v>-</v>
      </c>
      <c r="K613" s="60" t="str">
        <f t="shared" si="27"/>
        <v/>
      </c>
      <c r="L613" s="87"/>
      <c r="M613" s="60">
        <f t="shared" si="28"/>
        <v>1900</v>
      </c>
      <c r="N613" s="60">
        <f t="shared" si="29"/>
        <v>1</v>
      </c>
    </row>
    <row r="614" customHeight="1" spans="2:14">
      <c r="B614" s="86">
        <v>612</v>
      </c>
      <c r="C614" s="87"/>
      <c r="D614" s="87"/>
      <c r="E614" s="60" t="str">
        <f>IFERROR(VLOOKUP(D614,'基础-领用人及部门'!$C:$D,2,FALSE),"-")</f>
        <v>-</v>
      </c>
      <c r="F614" s="87"/>
      <c r="G614" s="60" t="str">
        <f>IFERROR(VLOOKUP($F614,'基础-办公用品信息'!$C:$E,2,FALSE),"-")</f>
        <v>-</v>
      </c>
      <c r="H614" s="60" t="str">
        <f>IFERROR(VLOOKUP($F614,'基础-办公用品信息'!$C:$E,3,FALSE),"-")</f>
        <v>-</v>
      </c>
      <c r="I614" s="60"/>
      <c r="J614" s="60" t="str">
        <f>IFERROR(VLOOKUP($F614,'基础-办公用品信息'!$C:$F,4,FALSE),"-")</f>
        <v>-</v>
      </c>
      <c r="K614" s="60" t="str">
        <f t="shared" si="27"/>
        <v/>
      </c>
      <c r="L614" s="87"/>
      <c r="M614" s="60">
        <f t="shared" si="28"/>
        <v>1900</v>
      </c>
      <c r="N614" s="60">
        <f t="shared" si="29"/>
        <v>1</v>
      </c>
    </row>
    <row r="615" customHeight="1" spans="2:14">
      <c r="B615" s="86">
        <v>613</v>
      </c>
      <c r="C615" s="87"/>
      <c r="D615" s="87"/>
      <c r="E615" s="60" t="str">
        <f>IFERROR(VLOOKUP(D615,'基础-领用人及部门'!$C:$D,2,FALSE),"-")</f>
        <v>-</v>
      </c>
      <c r="F615" s="87"/>
      <c r="G615" s="60" t="str">
        <f>IFERROR(VLOOKUP($F615,'基础-办公用品信息'!$C:$E,2,FALSE),"-")</f>
        <v>-</v>
      </c>
      <c r="H615" s="60" t="str">
        <f>IFERROR(VLOOKUP($F615,'基础-办公用品信息'!$C:$E,3,FALSE),"-")</f>
        <v>-</v>
      </c>
      <c r="I615" s="60"/>
      <c r="J615" s="60" t="str">
        <f>IFERROR(VLOOKUP($F615,'基础-办公用品信息'!$C:$F,4,FALSE),"-")</f>
        <v>-</v>
      </c>
      <c r="K615" s="60" t="str">
        <f t="shared" si="27"/>
        <v/>
      </c>
      <c r="L615" s="87"/>
      <c r="M615" s="60">
        <f t="shared" si="28"/>
        <v>1900</v>
      </c>
      <c r="N615" s="60">
        <f t="shared" si="29"/>
        <v>1</v>
      </c>
    </row>
    <row r="616" customHeight="1" spans="2:14">
      <c r="B616" s="86">
        <v>614</v>
      </c>
      <c r="C616" s="87"/>
      <c r="D616" s="87"/>
      <c r="E616" s="60" t="str">
        <f>IFERROR(VLOOKUP(D616,'基础-领用人及部门'!$C:$D,2,FALSE),"-")</f>
        <v>-</v>
      </c>
      <c r="F616" s="87"/>
      <c r="G616" s="60" t="str">
        <f>IFERROR(VLOOKUP($F616,'基础-办公用品信息'!$C:$E,2,FALSE),"-")</f>
        <v>-</v>
      </c>
      <c r="H616" s="60" t="str">
        <f>IFERROR(VLOOKUP($F616,'基础-办公用品信息'!$C:$E,3,FALSE),"-")</f>
        <v>-</v>
      </c>
      <c r="I616" s="60"/>
      <c r="J616" s="60" t="str">
        <f>IFERROR(VLOOKUP($F616,'基础-办公用品信息'!$C:$F,4,FALSE),"-")</f>
        <v>-</v>
      </c>
      <c r="K616" s="60" t="str">
        <f t="shared" si="27"/>
        <v/>
      </c>
      <c r="L616" s="87"/>
      <c r="M616" s="60">
        <f t="shared" si="28"/>
        <v>1900</v>
      </c>
      <c r="N616" s="60">
        <f t="shared" si="29"/>
        <v>1</v>
      </c>
    </row>
    <row r="617" customHeight="1" spans="2:14">
      <c r="B617" s="86">
        <v>615</v>
      </c>
      <c r="C617" s="87"/>
      <c r="D617" s="87"/>
      <c r="E617" s="60" t="str">
        <f>IFERROR(VLOOKUP(D617,'基础-领用人及部门'!$C:$D,2,FALSE),"-")</f>
        <v>-</v>
      </c>
      <c r="F617" s="87"/>
      <c r="G617" s="60" t="str">
        <f>IFERROR(VLOOKUP($F617,'基础-办公用品信息'!$C:$E,2,FALSE),"-")</f>
        <v>-</v>
      </c>
      <c r="H617" s="60" t="str">
        <f>IFERROR(VLOOKUP($F617,'基础-办公用品信息'!$C:$E,3,FALSE),"-")</f>
        <v>-</v>
      </c>
      <c r="I617" s="60"/>
      <c r="J617" s="60" t="str">
        <f>IFERROR(VLOOKUP($F617,'基础-办公用品信息'!$C:$F,4,FALSE),"-")</f>
        <v>-</v>
      </c>
      <c r="K617" s="60" t="str">
        <f t="shared" si="27"/>
        <v/>
      </c>
      <c r="L617" s="87"/>
      <c r="M617" s="60">
        <f t="shared" si="28"/>
        <v>1900</v>
      </c>
      <c r="N617" s="60">
        <f t="shared" si="29"/>
        <v>1</v>
      </c>
    </row>
    <row r="618" customHeight="1" spans="2:14">
      <c r="B618" s="86">
        <v>616</v>
      </c>
      <c r="C618" s="87"/>
      <c r="D618" s="87"/>
      <c r="E618" s="60" t="str">
        <f>IFERROR(VLOOKUP(D618,'基础-领用人及部门'!$C:$D,2,FALSE),"-")</f>
        <v>-</v>
      </c>
      <c r="F618" s="87"/>
      <c r="G618" s="60" t="str">
        <f>IFERROR(VLOOKUP($F618,'基础-办公用品信息'!$C:$E,2,FALSE),"-")</f>
        <v>-</v>
      </c>
      <c r="H618" s="60" t="str">
        <f>IFERROR(VLOOKUP($F618,'基础-办公用品信息'!$C:$E,3,FALSE),"-")</f>
        <v>-</v>
      </c>
      <c r="I618" s="60"/>
      <c r="J618" s="60" t="str">
        <f>IFERROR(VLOOKUP($F618,'基础-办公用品信息'!$C:$F,4,FALSE),"-")</f>
        <v>-</v>
      </c>
      <c r="K618" s="60" t="str">
        <f t="shared" si="27"/>
        <v/>
      </c>
      <c r="L618" s="87"/>
      <c r="M618" s="60">
        <f t="shared" si="28"/>
        <v>1900</v>
      </c>
      <c r="N618" s="60">
        <f t="shared" si="29"/>
        <v>1</v>
      </c>
    </row>
    <row r="619" customHeight="1" spans="2:14">
      <c r="B619" s="86">
        <v>617</v>
      </c>
      <c r="C619" s="87"/>
      <c r="D619" s="87"/>
      <c r="E619" s="60" t="str">
        <f>IFERROR(VLOOKUP(D619,'基础-领用人及部门'!$C:$D,2,FALSE),"-")</f>
        <v>-</v>
      </c>
      <c r="F619" s="87"/>
      <c r="G619" s="60" t="str">
        <f>IFERROR(VLOOKUP($F619,'基础-办公用品信息'!$C:$E,2,FALSE),"-")</f>
        <v>-</v>
      </c>
      <c r="H619" s="60" t="str">
        <f>IFERROR(VLOOKUP($F619,'基础-办公用品信息'!$C:$E,3,FALSE),"-")</f>
        <v>-</v>
      </c>
      <c r="I619" s="60"/>
      <c r="J619" s="60" t="str">
        <f>IFERROR(VLOOKUP($F619,'基础-办公用品信息'!$C:$F,4,FALSE),"-")</f>
        <v>-</v>
      </c>
      <c r="K619" s="60" t="str">
        <f t="shared" si="27"/>
        <v/>
      </c>
      <c r="L619" s="87"/>
      <c r="M619" s="60">
        <f t="shared" si="28"/>
        <v>1900</v>
      </c>
      <c r="N619" s="60">
        <f t="shared" si="29"/>
        <v>1</v>
      </c>
    </row>
    <row r="620" customHeight="1" spans="2:14">
      <c r="B620" s="86">
        <v>618</v>
      </c>
      <c r="C620" s="87"/>
      <c r="D620" s="87"/>
      <c r="E620" s="60" t="str">
        <f>IFERROR(VLOOKUP(D620,'基础-领用人及部门'!$C:$D,2,FALSE),"-")</f>
        <v>-</v>
      </c>
      <c r="F620" s="87"/>
      <c r="G620" s="60" t="str">
        <f>IFERROR(VLOOKUP($F620,'基础-办公用品信息'!$C:$E,2,FALSE),"-")</f>
        <v>-</v>
      </c>
      <c r="H620" s="60" t="str">
        <f>IFERROR(VLOOKUP($F620,'基础-办公用品信息'!$C:$E,3,FALSE),"-")</f>
        <v>-</v>
      </c>
      <c r="I620" s="60"/>
      <c r="J620" s="60" t="str">
        <f>IFERROR(VLOOKUP($F620,'基础-办公用品信息'!$C:$F,4,FALSE),"-")</f>
        <v>-</v>
      </c>
      <c r="K620" s="60" t="str">
        <f t="shared" si="27"/>
        <v/>
      </c>
      <c r="L620" s="87"/>
      <c r="M620" s="60">
        <f t="shared" si="28"/>
        <v>1900</v>
      </c>
      <c r="N620" s="60">
        <f t="shared" si="29"/>
        <v>1</v>
      </c>
    </row>
    <row r="621" customHeight="1" spans="2:14">
      <c r="B621" s="86">
        <v>619</v>
      </c>
      <c r="C621" s="87"/>
      <c r="D621" s="87"/>
      <c r="E621" s="60" t="str">
        <f>IFERROR(VLOOKUP(D621,'基础-领用人及部门'!$C:$D,2,FALSE),"-")</f>
        <v>-</v>
      </c>
      <c r="F621" s="87"/>
      <c r="G621" s="60" t="str">
        <f>IFERROR(VLOOKUP($F621,'基础-办公用品信息'!$C:$E,2,FALSE),"-")</f>
        <v>-</v>
      </c>
      <c r="H621" s="60" t="str">
        <f>IFERROR(VLOOKUP($F621,'基础-办公用品信息'!$C:$E,3,FALSE),"-")</f>
        <v>-</v>
      </c>
      <c r="I621" s="60"/>
      <c r="J621" s="60" t="str">
        <f>IFERROR(VLOOKUP($F621,'基础-办公用品信息'!$C:$F,4,FALSE),"-")</f>
        <v>-</v>
      </c>
      <c r="K621" s="60" t="str">
        <f t="shared" si="27"/>
        <v/>
      </c>
      <c r="L621" s="87"/>
      <c r="M621" s="60">
        <f t="shared" si="28"/>
        <v>1900</v>
      </c>
      <c r="N621" s="60">
        <f t="shared" si="29"/>
        <v>1</v>
      </c>
    </row>
    <row r="622" customHeight="1" spans="2:14">
      <c r="B622" s="86">
        <v>620</v>
      </c>
      <c r="C622" s="87"/>
      <c r="D622" s="87"/>
      <c r="E622" s="60" t="str">
        <f>IFERROR(VLOOKUP(D622,'基础-领用人及部门'!$C:$D,2,FALSE),"-")</f>
        <v>-</v>
      </c>
      <c r="F622" s="87"/>
      <c r="G622" s="60" t="str">
        <f>IFERROR(VLOOKUP($F622,'基础-办公用品信息'!$C:$E,2,FALSE),"-")</f>
        <v>-</v>
      </c>
      <c r="H622" s="60" t="str">
        <f>IFERROR(VLOOKUP($F622,'基础-办公用品信息'!$C:$E,3,FALSE),"-")</f>
        <v>-</v>
      </c>
      <c r="I622" s="60"/>
      <c r="J622" s="60" t="str">
        <f>IFERROR(VLOOKUP($F622,'基础-办公用品信息'!$C:$F,4,FALSE),"-")</f>
        <v>-</v>
      </c>
      <c r="K622" s="60" t="str">
        <f t="shared" si="27"/>
        <v/>
      </c>
      <c r="L622" s="87"/>
      <c r="M622" s="60">
        <f t="shared" si="28"/>
        <v>1900</v>
      </c>
      <c r="N622" s="60">
        <f t="shared" si="29"/>
        <v>1</v>
      </c>
    </row>
    <row r="623" customHeight="1" spans="2:14">
      <c r="B623" s="86">
        <v>621</v>
      </c>
      <c r="C623" s="87"/>
      <c r="D623" s="87"/>
      <c r="E623" s="60" t="str">
        <f>IFERROR(VLOOKUP(D623,'基础-领用人及部门'!$C:$D,2,FALSE),"-")</f>
        <v>-</v>
      </c>
      <c r="F623" s="87"/>
      <c r="G623" s="60" t="str">
        <f>IFERROR(VLOOKUP($F623,'基础-办公用品信息'!$C:$E,2,FALSE),"-")</f>
        <v>-</v>
      </c>
      <c r="H623" s="60" t="str">
        <f>IFERROR(VLOOKUP($F623,'基础-办公用品信息'!$C:$E,3,FALSE),"-")</f>
        <v>-</v>
      </c>
      <c r="I623" s="60"/>
      <c r="J623" s="60" t="str">
        <f>IFERROR(VLOOKUP($F623,'基础-办公用品信息'!$C:$F,4,FALSE),"-")</f>
        <v>-</v>
      </c>
      <c r="K623" s="60" t="str">
        <f t="shared" si="27"/>
        <v/>
      </c>
      <c r="L623" s="87"/>
      <c r="M623" s="60">
        <f t="shared" si="28"/>
        <v>1900</v>
      </c>
      <c r="N623" s="60">
        <f t="shared" si="29"/>
        <v>1</v>
      </c>
    </row>
    <row r="624" customHeight="1" spans="2:14">
      <c r="B624" s="86">
        <v>622</v>
      </c>
      <c r="C624" s="87"/>
      <c r="D624" s="87"/>
      <c r="E624" s="60" t="str">
        <f>IFERROR(VLOOKUP(D624,'基础-领用人及部门'!$C:$D,2,FALSE),"-")</f>
        <v>-</v>
      </c>
      <c r="F624" s="87"/>
      <c r="G624" s="60" t="str">
        <f>IFERROR(VLOOKUP($F624,'基础-办公用品信息'!$C:$E,2,FALSE),"-")</f>
        <v>-</v>
      </c>
      <c r="H624" s="60" t="str">
        <f>IFERROR(VLOOKUP($F624,'基础-办公用品信息'!$C:$E,3,FALSE),"-")</f>
        <v>-</v>
      </c>
      <c r="I624" s="60"/>
      <c r="J624" s="60" t="str">
        <f>IFERROR(VLOOKUP($F624,'基础-办公用品信息'!$C:$F,4,FALSE),"-")</f>
        <v>-</v>
      </c>
      <c r="K624" s="60" t="str">
        <f t="shared" si="27"/>
        <v/>
      </c>
      <c r="L624" s="87"/>
      <c r="M624" s="60">
        <f t="shared" si="28"/>
        <v>1900</v>
      </c>
      <c r="N624" s="60">
        <f t="shared" si="29"/>
        <v>1</v>
      </c>
    </row>
    <row r="625" customHeight="1" spans="2:14">
      <c r="B625" s="86">
        <v>623</v>
      </c>
      <c r="C625" s="87"/>
      <c r="D625" s="87"/>
      <c r="E625" s="60" t="str">
        <f>IFERROR(VLOOKUP(D625,'基础-领用人及部门'!$C:$D,2,FALSE),"-")</f>
        <v>-</v>
      </c>
      <c r="F625" s="87"/>
      <c r="G625" s="60" t="str">
        <f>IFERROR(VLOOKUP($F625,'基础-办公用品信息'!$C:$E,2,FALSE),"-")</f>
        <v>-</v>
      </c>
      <c r="H625" s="60" t="str">
        <f>IFERROR(VLOOKUP($F625,'基础-办公用品信息'!$C:$E,3,FALSE),"-")</f>
        <v>-</v>
      </c>
      <c r="I625" s="60"/>
      <c r="J625" s="60" t="str">
        <f>IFERROR(VLOOKUP($F625,'基础-办公用品信息'!$C:$F,4,FALSE),"-")</f>
        <v>-</v>
      </c>
      <c r="K625" s="60" t="str">
        <f t="shared" si="27"/>
        <v/>
      </c>
      <c r="L625" s="87"/>
      <c r="M625" s="60">
        <f t="shared" si="28"/>
        <v>1900</v>
      </c>
      <c r="N625" s="60">
        <f t="shared" si="29"/>
        <v>1</v>
      </c>
    </row>
    <row r="626" customHeight="1" spans="2:14">
      <c r="B626" s="86">
        <v>624</v>
      </c>
      <c r="C626" s="87"/>
      <c r="D626" s="87"/>
      <c r="E626" s="60" t="str">
        <f>IFERROR(VLOOKUP(D626,'基础-领用人及部门'!$C:$D,2,FALSE),"-")</f>
        <v>-</v>
      </c>
      <c r="F626" s="87"/>
      <c r="G626" s="60" t="str">
        <f>IFERROR(VLOOKUP($F626,'基础-办公用品信息'!$C:$E,2,FALSE),"-")</f>
        <v>-</v>
      </c>
      <c r="H626" s="60" t="str">
        <f>IFERROR(VLOOKUP($F626,'基础-办公用品信息'!$C:$E,3,FALSE),"-")</f>
        <v>-</v>
      </c>
      <c r="I626" s="60"/>
      <c r="J626" s="60" t="str">
        <f>IFERROR(VLOOKUP($F626,'基础-办公用品信息'!$C:$F,4,FALSE),"-")</f>
        <v>-</v>
      </c>
      <c r="K626" s="60" t="str">
        <f t="shared" si="27"/>
        <v/>
      </c>
      <c r="L626" s="87"/>
      <c r="M626" s="60">
        <f t="shared" si="28"/>
        <v>1900</v>
      </c>
      <c r="N626" s="60">
        <f t="shared" si="29"/>
        <v>1</v>
      </c>
    </row>
    <row r="627" customHeight="1" spans="2:14">
      <c r="B627" s="86">
        <v>625</v>
      </c>
      <c r="C627" s="87"/>
      <c r="D627" s="87"/>
      <c r="E627" s="60" t="str">
        <f>IFERROR(VLOOKUP(D627,'基础-领用人及部门'!$C:$D,2,FALSE),"-")</f>
        <v>-</v>
      </c>
      <c r="F627" s="87"/>
      <c r="G627" s="60" t="str">
        <f>IFERROR(VLOOKUP($F627,'基础-办公用品信息'!$C:$E,2,FALSE),"-")</f>
        <v>-</v>
      </c>
      <c r="H627" s="60" t="str">
        <f>IFERROR(VLOOKUP($F627,'基础-办公用品信息'!$C:$E,3,FALSE),"-")</f>
        <v>-</v>
      </c>
      <c r="I627" s="60"/>
      <c r="J627" s="60" t="str">
        <f>IFERROR(VLOOKUP($F627,'基础-办公用品信息'!$C:$F,4,FALSE),"-")</f>
        <v>-</v>
      </c>
      <c r="K627" s="60" t="str">
        <f t="shared" si="27"/>
        <v/>
      </c>
      <c r="L627" s="87"/>
      <c r="M627" s="60">
        <f t="shared" si="28"/>
        <v>1900</v>
      </c>
      <c r="N627" s="60">
        <f t="shared" si="29"/>
        <v>1</v>
      </c>
    </row>
    <row r="628" customHeight="1" spans="2:14">
      <c r="B628" s="86">
        <v>626</v>
      </c>
      <c r="C628" s="87"/>
      <c r="D628" s="87"/>
      <c r="E628" s="60" t="str">
        <f>IFERROR(VLOOKUP(D628,'基础-领用人及部门'!$C:$D,2,FALSE),"-")</f>
        <v>-</v>
      </c>
      <c r="F628" s="87"/>
      <c r="G628" s="60" t="str">
        <f>IFERROR(VLOOKUP($F628,'基础-办公用品信息'!$C:$E,2,FALSE),"-")</f>
        <v>-</v>
      </c>
      <c r="H628" s="60" t="str">
        <f>IFERROR(VLOOKUP($F628,'基础-办公用品信息'!$C:$E,3,FALSE),"-")</f>
        <v>-</v>
      </c>
      <c r="I628" s="60"/>
      <c r="J628" s="60" t="str">
        <f>IFERROR(VLOOKUP($F628,'基础-办公用品信息'!$C:$F,4,FALSE),"-")</f>
        <v>-</v>
      </c>
      <c r="K628" s="60" t="str">
        <f t="shared" si="27"/>
        <v/>
      </c>
      <c r="L628" s="87"/>
      <c r="M628" s="60">
        <f t="shared" si="28"/>
        <v>1900</v>
      </c>
      <c r="N628" s="60">
        <f t="shared" si="29"/>
        <v>1</v>
      </c>
    </row>
    <row r="629" customHeight="1" spans="2:14">
      <c r="B629" s="86">
        <v>627</v>
      </c>
      <c r="C629" s="87"/>
      <c r="D629" s="87"/>
      <c r="E629" s="60" t="str">
        <f>IFERROR(VLOOKUP(D629,'基础-领用人及部门'!$C:$D,2,FALSE),"-")</f>
        <v>-</v>
      </c>
      <c r="F629" s="87"/>
      <c r="G629" s="60" t="str">
        <f>IFERROR(VLOOKUP($F629,'基础-办公用品信息'!$C:$E,2,FALSE),"-")</f>
        <v>-</v>
      </c>
      <c r="H629" s="60" t="str">
        <f>IFERROR(VLOOKUP($F629,'基础-办公用品信息'!$C:$E,3,FALSE),"-")</f>
        <v>-</v>
      </c>
      <c r="I629" s="60"/>
      <c r="J629" s="60" t="str">
        <f>IFERROR(VLOOKUP($F629,'基础-办公用品信息'!$C:$F,4,FALSE),"-")</f>
        <v>-</v>
      </c>
      <c r="K629" s="60" t="str">
        <f t="shared" si="27"/>
        <v/>
      </c>
      <c r="L629" s="87"/>
      <c r="M629" s="60">
        <f t="shared" si="28"/>
        <v>1900</v>
      </c>
      <c r="N629" s="60">
        <f t="shared" si="29"/>
        <v>1</v>
      </c>
    </row>
    <row r="630" customHeight="1" spans="2:14">
      <c r="B630" s="86">
        <v>628</v>
      </c>
      <c r="C630" s="87"/>
      <c r="D630" s="87"/>
      <c r="E630" s="60" t="str">
        <f>IFERROR(VLOOKUP(D630,'基础-领用人及部门'!$C:$D,2,FALSE),"-")</f>
        <v>-</v>
      </c>
      <c r="F630" s="87"/>
      <c r="G630" s="60" t="str">
        <f>IFERROR(VLOOKUP($F630,'基础-办公用品信息'!$C:$E,2,FALSE),"-")</f>
        <v>-</v>
      </c>
      <c r="H630" s="60" t="str">
        <f>IFERROR(VLOOKUP($F630,'基础-办公用品信息'!$C:$E,3,FALSE),"-")</f>
        <v>-</v>
      </c>
      <c r="I630" s="60"/>
      <c r="J630" s="60" t="str">
        <f>IFERROR(VLOOKUP($F630,'基础-办公用品信息'!$C:$F,4,FALSE),"-")</f>
        <v>-</v>
      </c>
      <c r="K630" s="60" t="str">
        <f t="shared" si="27"/>
        <v/>
      </c>
      <c r="L630" s="87"/>
      <c r="M630" s="60">
        <f t="shared" si="28"/>
        <v>1900</v>
      </c>
      <c r="N630" s="60">
        <f t="shared" si="29"/>
        <v>1</v>
      </c>
    </row>
    <row r="631" customHeight="1" spans="2:14">
      <c r="B631" s="86">
        <v>629</v>
      </c>
      <c r="C631" s="87"/>
      <c r="D631" s="87"/>
      <c r="E631" s="60" t="str">
        <f>IFERROR(VLOOKUP(D631,'基础-领用人及部门'!$C:$D,2,FALSE),"-")</f>
        <v>-</v>
      </c>
      <c r="F631" s="87"/>
      <c r="G631" s="60" t="str">
        <f>IFERROR(VLOOKUP($F631,'基础-办公用品信息'!$C:$E,2,FALSE),"-")</f>
        <v>-</v>
      </c>
      <c r="H631" s="60" t="str">
        <f>IFERROR(VLOOKUP($F631,'基础-办公用品信息'!$C:$E,3,FALSE),"-")</f>
        <v>-</v>
      </c>
      <c r="I631" s="60"/>
      <c r="J631" s="60" t="str">
        <f>IFERROR(VLOOKUP($F631,'基础-办公用品信息'!$C:$F,4,FALSE),"-")</f>
        <v>-</v>
      </c>
      <c r="K631" s="60" t="str">
        <f t="shared" si="27"/>
        <v/>
      </c>
      <c r="L631" s="87"/>
      <c r="M631" s="60">
        <f t="shared" si="28"/>
        <v>1900</v>
      </c>
      <c r="N631" s="60">
        <f t="shared" si="29"/>
        <v>1</v>
      </c>
    </row>
    <row r="632" customHeight="1" spans="2:14">
      <c r="B632" s="86">
        <v>630</v>
      </c>
      <c r="C632" s="87"/>
      <c r="D632" s="87"/>
      <c r="E632" s="60" t="str">
        <f>IFERROR(VLOOKUP(D632,'基础-领用人及部门'!$C:$D,2,FALSE),"-")</f>
        <v>-</v>
      </c>
      <c r="F632" s="87"/>
      <c r="G632" s="60" t="str">
        <f>IFERROR(VLOOKUP($F632,'基础-办公用品信息'!$C:$E,2,FALSE),"-")</f>
        <v>-</v>
      </c>
      <c r="H632" s="60" t="str">
        <f>IFERROR(VLOOKUP($F632,'基础-办公用品信息'!$C:$E,3,FALSE),"-")</f>
        <v>-</v>
      </c>
      <c r="I632" s="60"/>
      <c r="J632" s="60" t="str">
        <f>IFERROR(VLOOKUP($F632,'基础-办公用品信息'!$C:$F,4,FALSE),"-")</f>
        <v>-</v>
      </c>
      <c r="K632" s="60" t="str">
        <f t="shared" si="27"/>
        <v/>
      </c>
      <c r="L632" s="87"/>
      <c r="M632" s="60">
        <f t="shared" si="28"/>
        <v>1900</v>
      </c>
      <c r="N632" s="60">
        <f t="shared" si="29"/>
        <v>1</v>
      </c>
    </row>
    <row r="633" customHeight="1" spans="2:14">
      <c r="B633" s="86">
        <v>631</v>
      </c>
      <c r="C633" s="87"/>
      <c r="D633" s="87"/>
      <c r="E633" s="60" t="str">
        <f>IFERROR(VLOOKUP(D633,'基础-领用人及部门'!$C:$D,2,FALSE),"-")</f>
        <v>-</v>
      </c>
      <c r="F633" s="87"/>
      <c r="G633" s="60" t="str">
        <f>IFERROR(VLOOKUP($F633,'基础-办公用品信息'!$C:$E,2,FALSE),"-")</f>
        <v>-</v>
      </c>
      <c r="H633" s="60" t="str">
        <f>IFERROR(VLOOKUP($F633,'基础-办公用品信息'!$C:$E,3,FALSE),"-")</f>
        <v>-</v>
      </c>
      <c r="I633" s="60"/>
      <c r="J633" s="60" t="str">
        <f>IFERROR(VLOOKUP($F633,'基础-办公用品信息'!$C:$F,4,FALSE),"-")</f>
        <v>-</v>
      </c>
      <c r="K633" s="60" t="str">
        <f t="shared" si="27"/>
        <v/>
      </c>
      <c r="L633" s="87"/>
      <c r="M633" s="60">
        <f t="shared" si="28"/>
        <v>1900</v>
      </c>
      <c r="N633" s="60">
        <f t="shared" si="29"/>
        <v>1</v>
      </c>
    </row>
    <row r="634" customHeight="1" spans="2:14">
      <c r="B634" s="86">
        <v>632</v>
      </c>
      <c r="C634" s="87"/>
      <c r="D634" s="87"/>
      <c r="E634" s="60" t="str">
        <f>IFERROR(VLOOKUP(D634,'基础-领用人及部门'!$C:$D,2,FALSE),"-")</f>
        <v>-</v>
      </c>
      <c r="F634" s="87"/>
      <c r="G634" s="60" t="str">
        <f>IFERROR(VLOOKUP($F634,'基础-办公用品信息'!$C:$E,2,FALSE),"-")</f>
        <v>-</v>
      </c>
      <c r="H634" s="60" t="str">
        <f>IFERROR(VLOOKUP($F634,'基础-办公用品信息'!$C:$E,3,FALSE),"-")</f>
        <v>-</v>
      </c>
      <c r="I634" s="60"/>
      <c r="J634" s="60" t="str">
        <f>IFERROR(VLOOKUP($F634,'基础-办公用品信息'!$C:$F,4,FALSE),"-")</f>
        <v>-</v>
      </c>
      <c r="K634" s="60" t="str">
        <f t="shared" si="27"/>
        <v/>
      </c>
      <c r="L634" s="87"/>
      <c r="M634" s="60">
        <f t="shared" si="28"/>
        <v>1900</v>
      </c>
      <c r="N634" s="60">
        <f t="shared" si="29"/>
        <v>1</v>
      </c>
    </row>
    <row r="635" customHeight="1" spans="2:14">
      <c r="B635" s="86">
        <v>633</v>
      </c>
      <c r="C635" s="87"/>
      <c r="D635" s="87"/>
      <c r="E635" s="60" t="str">
        <f>IFERROR(VLOOKUP(D635,'基础-领用人及部门'!$C:$D,2,FALSE),"-")</f>
        <v>-</v>
      </c>
      <c r="F635" s="87"/>
      <c r="G635" s="60" t="str">
        <f>IFERROR(VLOOKUP($F635,'基础-办公用品信息'!$C:$E,2,FALSE),"-")</f>
        <v>-</v>
      </c>
      <c r="H635" s="60" t="str">
        <f>IFERROR(VLOOKUP($F635,'基础-办公用品信息'!$C:$E,3,FALSE),"-")</f>
        <v>-</v>
      </c>
      <c r="I635" s="60"/>
      <c r="J635" s="60" t="str">
        <f>IFERROR(VLOOKUP($F635,'基础-办公用品信息'!$C:$F,4,FALSE),"-")</f>
        <v>-</v>
      </c>
      <c r="K635" s="60" t="str">
        <f t="shared" si="27"/>
        <v/>
      </c>
      <c r="L635" s="87"/>
      <c r="M635" s="60">
        <f t="shared" si="28"/>
        <v>1900</v>
      </c>
      <c r="N635" s="60">
        <f t="shared" si="29"/>
        <v>1</v>
      </c>
    </row>
    <row r="636" customHeight="1" spans="2:14">
      <c r="B636" s="86">
        <v>634</v>
      </c>
      <c r="C636" s="87"/>
      <c r="D636" s="87"/>
      <c r="E636" s="60" t="str">
        <f>IFERROR(VLOOKUP(D636,'基础-领用人及部门'!$C:$D,2,FALSE),"-")</f>
        <v>-</v>
      </c>
      <c r="F636" s="87"/>
      <c r="G636" s="60" t="str">
        <f>IFERROR(VLOOKUP($F636,'基础-办公用品信息'!$C:$E,2,FALSE),"-")</f>
        <v>-</v>
      </c>
      <c r="H636" s="60" t="str">
        <f>IFERROR(VLOOKUP($F636,'基础-办公用品信息'!$C:$E,3,FALSE),"-")</f>
        <v>-</v>
      </c>
      <c r="I636" s="60"/>
      <c r="J636" s="60" t="str">
        <f>IFERROR(VLOOKUP($F636,'基础-办公用品信息'!$C:$F,4,FALSE),"-")</f>
        <v>-</v>
      </c>
      <c r="K636" s="60" t="str">
        <f t="shared" si="27"/>
        <v/>
      </c>
      <c r="L636" s="87"/>
      <c r="M636" s="60">
        <f t="shared" si="28"/>
        <v>1900</v>
      </c>
      <c r="N636" s="60">
        <f t="shared" si="29"/>
        <v>1</v>
      </c>
    </row>
    <row r="637" customHeight="1" spans="2:14">
      <c r="B637" s="86">
        <v>635</v>
      </c>
      <c r="C637" s="87"/>
      <c r="D637" s="87"/>
      <c r="E637" s="60" t="str">
        <f>IFERROR(VLOOKUP(D637,'基础-领用人及部门'!$C:$D,2,FALSE),"-")</f>
        <v>-</v>
      </c>
      <c r="F637" s="87"/>
      <c r="G637" s="60" t="str">
        <f>IFERROR(VLOOKUP($F637,'基础-办公用品信息'!$C:$E,2,FALSE),"-")</f>
        <v>-</v>
      </c>
      <c r="H637" s="60" t="str">
        <f>IFERROR(VLOOKUP($F637,'基础-办公用品信息'!$C:$E,3,FALSE),"-")</f>
        <v>-</v>
      </c>
      <c r="I637" s="60"/>
      <c r="J637" s="60" t="str">
        <f>IFERROR(VLOOKUP($F637,'基础-办公用品信息'!$C:$F,4,FALSE),"-")</f>
        <v>-</v>
      </c>
      <c r="K637" s="60" t="str">
        <f t="shared" si="27"/>
        <v/>
      </c>
      <c r="L637" s="87"/>
      <c r="M637" s="60">
        <f t="shared" si="28"/>
        <v>1900</v>
      </c>
      <c r="N637" s="60">
        <f t="shared" si="29"/>
        <v>1</v>
      </c>
    </row>
    <row r="638" customHeight="1" spans="2:14">
      <c r="B638" s="86">
        <v>636</v>
      </c>
      <c r="C638" s="87"/>
      <c r="D638" s="87"/>
      <c r="E638" s="60" t="str">
        <f>IFERROR(VLOOKUP(D638,'基础-领用人及部门'!$C:$D,2,FALSE),"-")</f>
        <v>-</v>
      </c>
      <c r="F638" s="87"/>
      <c r="G638" s="60" t="str">
        <f>IFERROR(VLOOKUP($F638,'基础-办公用品信息'!$C:$E,2,FALSE),"-")</f>
        <v>-</v>
      </c>
      <c r="H638" s="60" t="str">
        <f>IFERROR(VLOOKUP($F638,'基础-办公用品信息'!$C:$E,3,FALSE),"-")</f>
        <v>-</v>
      </c>
      <c r="I638" s="60"/>
      <c r="J638" s="60" t="str">
        <f>IFERROR(VLOOKUP($F638,'基础-办公用品信息'!$C:$F,4,FALSE),"-")</f>
        <v>-</v>
      </c>
      <c r="K638" s="60" t="str">
        <f t="shared" si="27"/>
        <v/>
      </c>
      <c r="L638" s="87"/>
      <c r="M638" s="60">
        <f t="shared" si="28"/>
        <v>1900</v>
      </c>
      <c r="N638" s="60">
        <f t="shared" si="29"/>
        <v>1</v>
      </c>
    </row>
    <row r="639" customHeight="1" spans="2:14">
      <c r="B639" s="86">
        <v>637</v>
      </c>
      <c r="C639" s="87"/>
      <c r="D639" s="87"/>
      <c r="E639" s="60" t="str">
        <f>IFERROR(VLOOKUP(D639,'基础-领用人及部门'!$C:$D,2,FALSE),"-")</f>
        <v>-</v>
      </c>
      <c r="F639" s="87"/>
      <c r="G639" s="60" t="str">
        <f>IFERROR(VLOOKUP($F639,'基础-办公用品信息'!$C:$E,2,FALSE),"-")</f>
        <v>-</v>
      </c>
      <c r="H639" s="60" t="str">
        <f>IFERROR(VLOOKUP($F639,'基础-办公用品信息'!$C:$E,3,FALSE),"-")</f>
        <v>-</v>
      </c>
      <c r="I639" s="60"/>
      <c r="J639" s="60" t="str">
        <f>IFERROR(VLOOKUP($F639,'基础-办公用品信息'!$C:$F,4,FALSE),"-")</f>
        <v>-</v>
      </c>
      <c r="K639" s="60" t="str">
        <f t="shared" si="27"/>
        <v/>
      </c>
      <c r="L639" s="87"/>
      <c r="M639" s="60">
        <f t="shared" si="28"/>
        <v>1900</v>
      </c>
      <c r="N639" s="60">
        <f t="shared" si="29"/>
        <v>1</v>
      </c>
    </row>
    <row r="640" customHeight="1" spans="2:14">
      <c r="B640" s="86">
        <v>638</v>
      </c>
      <c r="C640" s="87"/>
      <c r="D640" s="87"/>
      <c r="E640" s="60" t="str">
        <f>IFERROR(VLOOKUP(D640,'基础-领用人及部门'!$C:$D,2,FALSE),"-")</f>
        <v>-</v>
      </c>
      <c r="F640" s="87"/>
      <c r="G640" s="60" t="str">
        <f>IFERROR(VLOOKUP($F640,'基础-办公用品信息'!$C:$E,2,FALSE),"-")</f>
        <v>-</v>
      </c>
      <c r="H640" s="60" t="str">
        <f>IFERROR(VLOOKUP($F640,'基础-办公用品信息'!$C:$E,3,FALSE),"-")</f>
        <v>-</v>
      </c>
      <c r="I640" s="60"/>
      <c r="J640" s="60" t="str">
        <f>IFERROR(VLOOKUP($F640,'基础-办公用品信息'!$C:$F,4,FALSE),"-")</f>
        <v>-</v>
      </c>
      <c r="K640" s="60" t="str">
        <f t="shared" si="27"/>
        <v/>
      </c>
      <c r="L640" s="87"/>
      <c r="M640" s="60">
        <f t="shared" si="28"/>
        <v>1900</v>
      </c>
      <c r="N640" s="60">
        <f t="shared" si="29"/>
        <v>1</v>
      </c>
    </row>
    <row r="641" customHeight="1" spans="2:14">
      <c r="B641" s="86">
        <v>639</v>
      </c>
      <c r="C641" s="87"/>
      <c r="D641" s="87"/>
      <c r="E641" s="60" t="str">
        <f>IFERROR(VLOOKUP(D641,'基础-领用人及部门'!$C:$D,2,FALSE),"-")</f>
        <v>-</v>
      </c>
      <c r="F641" s="87"/>
      <c r="G641" s="60" t="str">
        <f>IFERROR(VLOOKUP($F641,'基础-办公用品信息'!$C:$E,2,FALSE),"-")</f>
        <v>-</v>
      </c>
      <c r="H641" s="60" t="str">
        <f>IFERROR(VLOOKUP($F641,'基础-办公用品信息'!$C:$E,3,FALSE),"-")</f>
        <v>-</v>
      </c>
      <c r="I641" s="60"/>
      <c r="J641" s="60" t="str">
        <f>IFERROR(VLOOKUP($F641,'基础-办公用品信息'!$C:$F,4,FALSE),"-")</f>
        <v>-</v>
      </c>
      <c r="K641" s="60" t="str">
        <f t="shared" si="27"/>
        <v/>
      </c>
      <c r="L641" s="87"/>
      <c r="M641" s="60">
        <f t="shared" si="28"/>
        <v>1900</v>
      </c>
      <c r="N641" s="60">
        <f t="shared" si="29"/>
        <v>1</v>
      </c>
    </row>
    <row r="642" customHeight="1" spans="2:14">
      <c r="B642" s="86">
        <v>640</v>
      </c>
      <c r="C642" s="87"/>
      <c r="D642" s="87"/>
      <c r="E642" s="60" t="str">
        <f>IFERROR(VLOOKUP(D642,'基础-领用人及部门'!$C:$D,2,FALSE),"-")</f>
        <v>-</v>
      </c>
      <c r="F642" s="87"/>
      <c r="G642" s="60" t="str">
        <f>IFERROR(VLOOKUP($F642,'基础-办公用品信息'!$C:$E,2,FALSE),"-")</f>
        <v>-</v>
      </c>
      <c r="H642" s="60" t="str">
        <f>IFERROR(VLOOKUP($F642,'基础-办公用品信息'!$C:$E,3,FALSE),"-")</f>
        <v>-</v>
      </c>
      <c r="I642" s="60"/>
      <c r="J642" s="60" t="str">
        <f>IFERROR(VLOOKUP($F642,'基础-办公用品信息'!$C:$F,4,FALSE),"-")</f>
        <v>-</v>
      </c>
      <c r="K642" s="60" t="str">
        <f t="shared" si="27"/>
        <v/>
      </c>
      <c r="L642" s="87"/>
      <c r="M642" s="60">
        <f t="shared" si="28"/>
        <v>1900</v>
      </c>
      <c r="N642" s="60">
        <f t="shared" si="29"/>
        <v>1</v>
      </c>
    </row>
    <row r="643" customHeight="1" spans="2:14">
      <c r="B643" s="86">
        <v>641</v>
      </c>
      <c r="C643" s="87"/>
      <c r="D643" s="87"/>
      <c r="E643" s="60" t="str">
        <f>IFERROR(VLOOKUP(D643,'基础-领用人及部门'!$C:$D,2,FALSE),"-")</f>
        <v>-</v>
      </c>
      <c r="F643" s="87"/>
      <c r="G643" s="60" t="str">
        <f>IFERROR(VLOOKUP($F643,'基础-办公用品信息'!$C:$E,2,FALSE),"-")</f>
        <v>-</v>
      </c>
      <c r="H643" s="60" t="str">
        <f>IFERROR(VLOOKUP($F643,'基础-办公用品信息'!$C:$E,3,FALSE),"-")</f>
        <v>-</v>
      </c>
      <c r="I643" s="60"/>
      <c r="J643" s="60" t="str">
        <f>IFERROR(VLOOKUP($F643,'基础-办公用品信息'!$C:$F,4,FALSE),"-")</f>
        <v>-</v>
      </c>
      <c r="K643" s="60" t="str">
        <f t="shared" ref="K643:K706" si="30">IFERROR(I643*J643,"")</f>
        <v/>
      </c>
      <c r="L643" s="87"/>
      <c r="M643" s="60">
        <f t="shared" ref="M643:M706" si="31">YEAR(C643)</f>
        <v>1900</v>
      </c>
      <c r="N643" s="60">
        <f t="shared" ref="N643:N706" si="32">MONTH(C643)</f>
        <v>1</v>
      </c>
    </row>
    <row r="644" customHeight="1" spans="2:14">
      <c r="B644" s="86">
        <v>642</v>
      </c>
      <c r="C644" s="87"/>
      <c r="D644" s="87"/>
      <c r="E644" s="60" t="str">
        <f>IFERROR(VLOOKUP(D644,'基础-领用人及部门'!$C:$D,2,FALSE),"-")</f>
        <v>-</v>
      </c>
      <c r="F644" s="87"/>
      <c r="G644" s="60" t="str">
        <f>IFERROR(VLOOKUP($F644,'基础-办公用品信息'!$C:$E,2,FALSE),"-")</f>
        <v>-</v>
      </c>
      <c r="H644" s="60" t="str">
        <f>IFERROR(VLOOKUP($F644,'基础-办公用品信息'!$C:$E,3,FALSE),"-")</f>
        <v>-</v>
      </c>
      <c r="I644" s="60"/>
      <c r="J644" s="60" t="str">
        <f>IFERROR(VLOOKUP($F644,'基础-办公用品信息'!$C:$F,4,FALSE),"-")</f>
        <v>-</v>
      </c>
      <c r="K644" s="60" t="str">
        <f t="shared" si="30"/>
        <v/>
      </c>
      <c r="L644" s="87"/>
      <c r="M644" s="60">
        <f t="shared" si="31"/>
        <v>1900</v>
      </c>
      <c r="N644" s="60">
        <f t="shared" si="32"/>
        <v>1</v>
      </c>
    </row>
    <row r="645" customHeight="1" spans="2:14">
      <c r="B645" s="86">
        <v>643</v>
      </c>
      <c r="C645" s="87"/>
      <c r="D645" s="87"/>
      <c r="E645" s="60" t="str">
        <f>IFERROR(VLOOKUP(D645,'基础-领用人及部门'!$C:$D,2,FALSE),"-")</f>
        <v>-</v>
      </c>
      <c r="F645" s="87"/>
      <c r="G645" s="60" t="str">
        <f>IFERROR(VLOOKUP($F645,'基础-办公用品信息'!$C:$E,2,FALSE),"-")</f>
        <v>-</v>
      </c>
      <c r="H645" s="60" t="str">
        <f>IFERROR(VLOOKUP($F645,'基础-办公用品信息'!$C:$E,3,FALSE),"-")</f>
        <v>-</v>
      </c>
      <c r="I645" s="60"/>
      <c r="J645" s="60" t="str">
        <f>IFERROR(VLOOKUP($F645,'基础-办公用品信息'!$C:$F,4,FALSE),"-")</f>
        <v>-</v>
      </c>
      <c r="K645" s="60" t="str">
        <f t="shared" si="30"/>
        <v/>
      </c>
      <c r="L645" s="87"/>
      <c r="M645" s="60">
        <f t="shared" si="31"/>
        <v>1900</v>
      </c>
      <c r="N645" s="60">
        <f t="shared" si="32"/>
        <v>1</v>
      </c>
    </row>
    <row r="646" customHeight="1" spans="2:14">
      <c r="B646" s="86">
        <v>644</v>
      </c>
      <c r="C646" s="87"/>
      <c r="D646" s="87"/>
      <c r="E646" s="60" t="str">
        <f>IFERROR(VLOOKUP(D646,'基础-领用人及部门'!$C:$D,2,FALSE),"-")</f>
        <v>-</v>
      </c>
      <c r="F646" s="87"/>
      <c r="G646" s="60" t="str">
        <f>IFERROR(VLOOKUP($F646,'基础-办公用品信息'!$C:$E,2,FALSE),"-")</f>
        <v>-</v>
      </c>
      <c r="H646" s="60" t="str">
        <f>IFERROR(VLOOKUP($F646,'基础-办公用品信息'!$C:$E,3,FALSE),"-")</f>
        <v>-</v>
      </c>
      <c r="I646" s="60"/>
      <c r="J646" s="60" t="str">
        <f>IFERROR(VLOOKUP($F646,'基础-办公用品信息'!$C:$F,4,FALSE),"-")</f>
        <v>-</v>
      </c>
      <c r="K646" s="60" t="str">
        <f t="shared" si="30"/>
        <v/>
      </c>
      <c r="L646" s="87"/>
      <c r="M646" s="60">
        <f t="shared" si="31"/>
        <v>1900</v>
      </c>
      <c r="N646" s="60">
        <f t="shared" si="32"/>
        <v>1</v>
      </c>
    </row>
    <row r="647" customHeight="1" spans="2:14">
      <c r="B647" s="86">
        <v>645</v>
      </c>
      <c r="C647" s="87"/>
      <c r="D647" s="87"/>
      <c r="E647" s="60" t="str">
        <f>IFERROR(VLOOKUP(D647,'基础-领用人及部门'!$C:$D,2,FALSE),"-")</f>
        <v>-</v>
      </c>
      <c r="F647" s="87"/>
      <c r="G647" s="60" t="str">
        <f>IFERROR(VLOOKUP($F647,'基础-办公用品信息'!$C:$E,2,FALSE),"-")</f>
        <v>-</v>
      </c>
      <c r="H647" s="60" t="str">
        <f>IFERROR(VLOOKUP($F647,'基础-办公用品信息'!$C:$E,3,FALSE),"-")</f>
        <v>-</v>
      </c>
      <c r="I647" s="60"/>
      <c r="J647" s="60" t="str">
        <f>IFERROR(VLOOKUP($F647,'基础-办公用品信息'!$C:$F,4,FALSE),"-")</f>
        <v>-</v>
      </c>
      <c r="K647" s="60" t="str">
        <f t="shared" si="30"/>
        <v/>
      </c>
      <c r="L647" s="87"/>
      <c r="M647" s="60">
        <f t="shared" si="31"/>
        <v>1900</v>
      </c>
      <c r="N647" s="60">
        <f t="shared" si="32"/>
        <v>1</v>
      </c>
    </row>
    <row r="648" customHeight="1" spans="2:14">
      <c r="B648" s="86">
        <v>646</v>
      </c>
      <c r="C648" s="87"/>
      <c r="D648" s="87"/>
      <c r="E648" s="60" t="str">
        <f>IFERROR(VLOOKUP(D648,'基础-领用人及部门'!$C:$D,2,FALSE),"-")</f>
        <v>-</v>
      </c>
      <c r="F648" s="87"/>
      <c r="G648" s="60" t="str">
        <f>IFERROR(VLOOKUP($F648,'基础-办公用品信息'!$C:$E,2,FALSE),"-")</f>
        <v>-</v>
      </c>
      <c r="H648" s="60" t="str">
        <f>IFERROR(VLOOKUP($F648,'基础-办公用品信息'!$C:$E,3,FALSE),"-")</f>
        <v>-</v>
      </c>
      <c r="I648" s="60"/>
      <c r="J648" s="60" t="str">
        <f>IFERROR(VLOOKUP($F648,'基础-办公用品信息'!$C:$F,4,FALSE),"-")</f>
        <v>-</v>
      </c>
      <c r="K648" s="60" t="str">
        <f t="shared" si="30"/>
        <v/>
      </c>
      <c r="L648" s="87"/>
      <c r="M648" s="60">
        <f t="shared" si="31"/>
        <v>1900</v>
      </c>
      <c r="N648" s="60">
        <f t="shared" si="32"/>
        <v>1</v>
      </c>
    </row>
    <row r="649" customHeight="1" spans="2:14">
      <c r="B649" s="86">
        <v>647</v>
      </c>
      <c r="C649" s="87"/>
      <c r="D649" s="87"/>
      <c r="E649" s="60" t="str">
        <f>IFERROR(VLOOKUP(D649,'基础-领用人及部门'!$C:$D,2,FALSE),"-")</f>
        <v>-</v>
      </c>
      <c r="F649" s="87"/>
      <c r="G649" s="60" t="str">
        <f>IFERROR(VLOOKUP($F649,'基础-办公用品信息'!$C:$E,2,FALSE),"-")</f>
        <v>-</v>
      </c>
      <c r="H649" s="60" t="str">
        <f>IFERROR(VLOOKUP($F649,'基础-办公用品信息'!$C:$E,3,FALSE),"-")</f>
        <v>-</v>
      </c>
      <c r="I649" s="60"/>
      <c r="J649" s="60" t="str">
        <f>IFERROR(VLOOKUP($F649,'基础-办公用品信息'!$C:$F,4,FALSE),"-")</f>
        <v>-</v>
      </c>
      <c r="K649" s="60" t="str">
        <f t="shared" si="30"/>
        <v/>
      </c>
      <c r="L649" s="87"/>
      <c r="M649" s="60">
        <f t="shared" si="31"/>
        <v>1900</v>
      </c>
      <c r="N649" s="60">
        <f t="shared" si="32"/>
        <v>1</v>
      </c>
    </row>
    <row r="650" customHeight="1" spans="2:14">
      <c r="B650" s="86">
        <v>648</v>
      </c>
      <c r="C650" s="87"/>
      <c r="D650" s="87"/>
      <c r="E650" s="60" t="str">
        <f>IFERROR(VLOOKUP(D650,'基础-领用人及部门'!$C:$D,2,FALSE),"-")</f>
        <v>-</v>
      </c>
      <c r="F650" s="87"/>
      <c r="G650" s="60" t="str">
        <f>IFERROR(VLOOKUP($F650,'基础-办公用品信息'!$C:$E,2,FALSE),"-")</f>
        <v>-</v>
      </c>
      <c r="H650" s="60" t="str">
        <f>IFERROR(VLOOKUP($F650,'基础-办公用品信息'!$C:$E,3,FALSE),"-")</f>
        <v>-</v>
      </c>
      <c r="I650" s="60"/>
      <c r="J650" s="60" t="str">
        <f>IFERROR(VLOOKUP($F650,'基础-办公用品信息'!$C:$F,4,FALSE),"-")</f>
        <v>-</v>
      </c>
      <c r="K650" s="60" t="str">
        <f t="shared" si="30"/>
        <v/>
      </c>
      <c r="L650" s="87"/>
      <c r="M650" s="60">
        <f t="shared" si="31"/>
        <v>1900</v>
      </c>
      <c r="N650" s="60">
        <f t="shared" si="32"/>
        <v>1</v>
      </c>
    </row>
    <row r="651" customHeight="1" spans="2:14">
      <c r="B651" s="86">
        <v>649</v>
      </c>
      <c r="C651" s="87"/>
      <c r="D651" s="87"/>
      <c r="E651" s="60" t="str">
        <f>IFERROR(VLOOKUP(D651,'基础-领用人及部门'!$C:$D,2,FALSE),"-")</f>
        <v>-</v>
      </c>
      <c r="F651" s="87"/>
      <c r="G651" s="60" t="str">
        <f>IFERROR(VLOOKUP($F651,'基础-办公用品信息'!$C:$E,2,FALSE),"-")</f>
        <v>-</v>
      </c>
      <c r="H651" s="60" t="str">
        <f>IFERROR(VLOOKUP($F651,'基础-办公用品信息'!$C:$E,3,FALSE),"-")</f>
        <v>-</v>
      </c>
      <c r="I651" s="60"/>
      <c r="J651" s="60" t="str">
        <f>IFERROR(VLOOKUP($F651,'基础-办公用品信息'!$C:$F,4,FALSE),"-")</f>
        <v>-</v>
      </c>
      <c r="K651" s="60" t="str">
        <f t="shared" si="30"/>
        <v/>
      </c>
      <c r="L651" s="87"/>
      <c r="M651" s="60">
        <f t="shared" si="31"/>
        <v>1900</v>
      </c>
      <c r="N651" s="60">
        <f t="shared" si="32"/>
        <v>1</v>
      </c>
    </row>
    <row r="652" customHeight="1" spans="2:14">
      <c r="B652" s="86">
        <v>650</v>
      </c>
      <c r="C652" s="87"/>
      <c r="D652" s="87"/>
      <c r="E652" s="60" t="str">
        <f>IFERROR(VLOOKUP(D652,'基础-领用人及部门'!$C:$D,2,FALSE),"-")</f>
        <v>-</v>
      </c>
      <c r="F652" s="87"/>
      <c r="G652" s="60" t="str">
        <f>IFERROR(VLOOKUP($F652,'基础-办公用品信息'!$C:$E,2,FALSE),"-")</f>
        <v>-</v>
      </c>
      <c r="H652" s="60" t="str">
        <f>IFERROR(VLOOKUP($F652,'基础-办公用品信息'!$C:$E,3,FALSE),"-")</f>
        <v>-</v>
      </c>
      <c r="I652" s="60"/>
      <c r="J652" s="60" t="str">
        <f>IFERROR(VLOOKUP($F652,'基础-办公用品信息'!$C:$F,4,FALSE),"-")</f>
        <v>-</v>
      </c>
      <c r="K652" s="60" t="str">
        <f t="shared" si="30"/>
        <v/>
      </c>
      <c r="L652" s="87"/>
      <c r="M652" s="60">
        <f t="shared" si="31"/>
        <v>1900</v>
      </c>
      <c r="N652" s="60">
        <f t="shared" si="32"/>
        <v>1</v>
      </c>
    </row>
    <row r="653" customHeight="1" spans="2:14">
      <c r="B653" s="86">
        <v>651</v>
      </c>
      <c r="C653" s="87"/>
      <c r="D653" s="87"/>
      <c r="E653" s="60" t="str">
        <f>IFERROR(VLOOKUP(D653,'基础-领用人及部门'!$C:$D,2,FALSE),"-")</f>
        <v>-</v>
      </c>
      <c r="F653" s="87"/>
      <c r="G653" s="60" t="str">
        <f>IFERROR(VLOOKUP($F653,'基础-办公用品信息'!$C:$E,2,FALSE),"-")</f>
        <v>-</v>
      </c>
      <c r="H653" s="60" t="str">
        <f>IFERROR(VLOOKUP($F653,'基础-办公用品信息'!$C:$E,3,FALSE),"-")</f>
        <v>-</v>
      </c>
      <c r="I653" s="60"/>
      <c r="J653" s="60" t="str">
        <f>IFERROR(VLOOKUP($F653,'基础-办公用品信息'!$C:$F,4,FALSE),"-")</f>
        <v>-</v>
      </c>
      <c r="K653" s="60" t="str">
        <f t="shared" si="30"/>
        <v/>
      </c>
      <c r="L653" s="87"/>
      <c r="M653" s="60">
        <f t="shared" si="31"/>
        <v>1900</v>
      </c>
      <c r="N653" s="60">
        <f t="shared" si="32"/>
        <v>1</v>
      </c>
    </row>
    <row r="654" customHeight="1" spans="2:14">
      <c r="B654" s="86">
        <v>652</v>
      </c>
      <c r="C654" s="87"/>
      <c r="D654" s="87"/>
      <c r="E654" s="60" t="str">
        <f>IFERROR(VLOOKUP(D654,'基础-领用人及部门'!$C:$D,2,FALSE),"-")</f>
        <v>-</v>
      </c>
      <c r="F654" s="87"/>
      <c r="G654" s="60" t="str">
        <f>IFERROR(VLOOKUP($F654,'基础-办公用品信息'!$C:$E,2,FALSE),"-")</f>
        <v>-</v>
      </c>
      <c r="H654" s="60" t="str">
        <f>IFERROR(VLOOKUP($F654,'基础-办公用品信息'!$C:$E,3,FALSE),"-")</f>
        <v>-</v>
      </c>
      <c r="I654" s="60"/>
      <c r="J654" s="60" t="str">
        <f>IFERROR(VLOOKUP($F654,'基础-办公用品信息'!$C:$F,4,FALSE),"-")</f>
        <v>-</v>
      </c>
      <c r="K654" s="60" t="str">
        <f t="shared" si="30"/>
        <v/>
      </c>
      <c r="L654" s="87"/>
      <c r="M654" s="60">
        <f t="shared" si="31"/>
        <v>1900</v>
      </c>
      <c r="N654" s="60">
        <f t="shared" si="32"/>
        <v>1</v>
      </c>
    </row>
    <row r="655" customHeight="1" spans="2:14">
      <c r="B655" s="86">
        <v>653</v>
      </c>
      <c r="C655" s="87"/>
      <c r="D655" s="87"/>
      <c r="E655" s="60" t="str">
        <f>IFERROR(VLOOKUP(D655,'基础-领用人及部门'!$C:$D,2,FALSE),"-")</f>
        <v>-</v>
      </c>
      <c r="F655" s="87"/>
      <c r="G655" s="60" t="str">
        <f>IFERROR(VLOOKUP($F655,'基础-办公用品信息'!$C:$E,2,FALSE),"-")</f>
        <v>-</v>
      </c>
      <c r="H655" s="60" t="str">
        <f>IFERROR(VLOOKUP($F655,'基础-办公用品信息'!$C:$E,3,FALSE),"-")</f>
        <v>-</v>
      </c>
      <c r="I655" s="60"/>
      <c r="J655" s="60" t="str">
        <f>IFERROR(VLOOKUP($F655,'基础-办公用品信息'!$C:$F,4,FALSE),"-")</f>
        <v>-</v>
      </c>
      <c r="K655" s="60" t="str">
        <f t="shared" si="30"/>
        <v/>
      </c>
      <c r="L655" s="87"/>
      <c r="M655" s="60">
        <f t="shared" si="31"/>
        <v>1900</v>
      </c>
      <c r="N655" s="60">
        <f t="shared" si="32"/>
        <v>1</v>
      </c>
    </row>
    <row r="656" customHeight="1" spans="2:14">
      <c r="B656" s="86">
        <v>654</v>
      </c>
      <c r="C656" s="87"/>
      <c r="D656" s="87"/>
      <c r="E656" s="60" t="str">
        <f>IFERROR(VLOOKUP(D656,'基础-领用人及部门'!$C:$D,2,FALSE),"-")</f>
        <v>-</v>
      </c>
      <c r="F656" s="87"/>
      <c r="G656" s="60" t="str">
        <f>IFERROR(VLOOKUP($F656,'基础-办公用品信息'!$C:$E,2,FALSE),"-")</f>
        <v>-</v>
      </c>
      <c r="H656" s="60" t="str">
        <f>IFERROR(VLOOKUP($F656,'基础-办公用品信息'!$C:$E,3,FALSE),"-")</f>
        <v>-</v>
      </c>
      <c r="I656" s="60"/>
      <c r="J656" s="60" t="str">
        <f>IFERROR(VLOOKUP($F656,'基础-办公用品信息'!$C:$F,4,FALSE),"-")</f>
        <v>-</v>
      </c>
      <c r="K656" s="60" t="str">
        <f t="shared" si="30"/>
        <v/>
      </c>
      <c r="L656" s="87"/>
      <c r="M656" s="60">
        <f t="shared" si="31"/>
        <v>1900</v>
      </c>
      <c r="N656" s="60">
        <f t="shared" si="32"/>
        <v>1</v>
      </c>
    </row>
    <row r="657" customHeight="1" spans="2:14">
      <c r="B657" s="86">
        <v>655</v>
      </c>
      <c r="C657" s="87"/>
      <c r="D657" s="87"/>
      <c r="E657" s="60" t="str">
        <f>IFERROR(VLOOKUP(D657,'基础-领用人及部门'!$C:$D,2,FALSE),"-")</f>
        <v>-</v>
      </c>
      <c r="F657" s="87"/>
      <c r="G657" s="60" t="str">
        <f>IFERROR(VLOOKUP($F657,'基础-办公用品信息'!$C:$E,2,FALSE),"-")</f>
        <v>-</v>
      </c>
      <c r="H657" s="60" t="str">
        <f>IFERROR(VLOOKUP($F657,'基础-办公用品信息'!$C:$E,3,FALSE),"-")</f>
        <v>-</v>
      </c>
      <c r="I657" s="60"/>
      <c r="J657" s="60" t="str">
        <f>IFERROR(VLOOKUP($F657,'基础-办公用品信息'!$C:$F,4,FALSE),"-")</f>
        <v>-</v>
      </c>
      <c r="K657" s="60" t="str">
        <f t="shared" si="30"/>
        <v/>
      </c>
      <c r="L657" s="87"/>
      <c r="M657" s="60">
        <f t="shared" si="31"/>
        <v>1900</v>
      </c>
      <c r="N657" s="60">
        <f t="shared" si="32"/>
        <v>1</v>
      </c>
    </row>
    <row r="658" customHeight="1" spans="2:14">
      <c r="B658" s="86">
        <v>656</v>
      </c>
      <c r="C658" s="87"/>
      <c r="D658" s="87"/>
      <c r="E658" s="60" t="str">
        <f>IFERROR(VLOOKUP(D658,'基础-领用人及部门'!$C:$D,2,FALSE),"-")</f>
        <v>-</v>
      </c>
      <c r="F658" s="87"/>
      <c r="G658" s="60" t="str">
        <f>IFERROR(VLOOKUP($F658,'基础-办公用品信息'!$C:$E,2,FALSE),"-")</f>
        <v>-</v>
      </c>
      <c r="H658" s="60" t="str">
        <f>IFERROR(VLOOKUP($F658,'基础-办公用品信息'!$C:$E,3,FALSE),"-")</f>
        <v>-</v>
      </c>
      <c r="I658" s="60"/>
      <c r="J658" s="60" t="str">
        <f>IFERROR(VLOOKUP($F658,'基础-办公用品信息'!$C:$F,4,FALSE),"-")</f>
        <v>-</v>
      </c>
      <c r="K658" s="60" t="str">
        <f t="shared" si="30"/>
        <v/>
      </c>
      <c r="L658" s="87"/>
      <c r="M658" s="60">
        <f t="shared" si="31"/>
        <v>1900</v>
      </c>
      <c r="N658" s="60">
        <f t="shared" si="32"/>
        <v>1</v>
      </c>
    </row>
    <row r="659" customHeight="1" spans="2:14">
      <c r="B659" s="86">
        <v>657</v>
      </c>
      <c r="C659" s="87"/>
      <c r="D659" s="87"/>
      <c r="E659" s="60" t="str">
        <f>IFERROR(VLOOKUP(D659,'基础-领用人及部门'!$C:$D,2,FALSE),"-")</f>
        <v>-</v>
      </c>
      <c r="F659" s="87"/>
      <c r="G659" s="60" t="str">
        <f>IFERROR(VLOOKUP($F659,'基础-办公用品信息'!$C:$E,2,FALSE),"-")</f>
        <v>-</v>
      </c>
      <c r="H659" s="60" t="str">
        <f>IFERROR(VLOOKUP($F659,'基础-办公用品信息'!$C:$E,3,FALSE),"-")</f>
        <v>-</v>
      </c>
      <c r="I659" s="60"/>
      <c r="J659" s="60" t="str">
        <f>IFERROR(VLOOKUP($F659,'基础-办公用品信息'!$C:$F,4,FALSE),"-")</f>
        <v>-</v>
      </c>
      <c r="K659" s="60" t="str">
        <f t="shared" si="30"/>
        <v/>
      </c>
      <c r="L659" s="87"/>
      <c r="M659" s="60">
        <f t="shared" si="31"/>
        <v>1900</v>
      </c>
      <c r="N659" s="60">
        <f t="shared" si="32"/>
        <v>1</v>
      </c>
    </row>
    <row r="660" customHeight="1" spans="2:14">
      <c r="B660" s="86">
        <v>658</v>
      </c>
      <c r="C660" s="87"/>
      <c r="D660" s="87"/>
      <c r="E660" s="60" t="str">
        <f>IFERROR(VLOOKUP(D660,'基础-领用人及部门'!$C:$D,2,FALSE),"-")</f>
        <v>-</v>
      </c>
      <c r="F660" s="87"/>
      <c r="G660" s="60" t="str">
        <f>IFERROR(VLOOKUP($F660,'基础-办公用品信息'!$C:$E,2,FALSE),"-")</f>
        <v>-</v>
      </c>
      <c r="H660" s="60" t="str">
        <f>IFERROR(VLOOKUP($F660,'基础-办公用品信息'!$C:$E,3,FALSE),"-")</f>
        <v>-</v>
      </c>
      <c r="I660" s="60"/>
      <c r="J660" s="60" t="str">
        <f>IFERROR(VLOOKUP($F660,'基础-办公用品信息'!$C:$F,4,FALSE),"-")</f>
        <v>-</v>
      </c>
      <c r="K660" s="60" t="str">
        <f t="shared" si="30"/>
        <v/>
      </c>
      <c r="L660" s="87"/>
      <c r="M660" s="60">
        <f t="shared" si="31"/>
        <v>1900</v>
      </c>
      <c r="N660" s="60">
        <f t="shared" si="32"/>
        <v>1</v>
      </c>
    </row>
    <row r="661" customHeight="1" spans="2:14">
      <c r="B661" s="86">
        <v>659</v>
      </c>
      <c r="C661" s="87"/>
      <c r="D661" s="87"/>
      <c r="E661" s="60" t="str">
        <f>IFERROR(VLOOKUP(D661,'基础-领用人及部门'!$C:$D,2,FALSE),"-")</f>
        <v>-</v>
      </c>
      <c r="F661" s="87"/>
      <c r="G661" s="60" t="str">
        <f>IFERROR(VLOOKUP($F661,'基础-办公用品信息'!$C:$E,2,FALSE),"-")</f>
        <v>-</v>
      </c>
      <c r="H661" s="60" t="str">
        <f>IFERROR(VLOOKUP($F661,'基础-办公用品信息'!$C:$E,3,FALSE),"-")</f>
        <v>-</v>
      </c>
      <c r="I661" s="60"/>
      <c r="J661" s="60" t="str">
        <f>IFERROR(VLOOKUP($F661,'基础-办公用品信息'!$C:$F,4,FALSE),"-")</f>
        <v>-</v>
      </c>
      <c r="K661" s="60" t="str">
        <f t="shared" si="30"/>
        <v/>
      </c>
      <c r="L661" s="87"/>
      <c r="M661" s="60">
        <f t="shared" si="31"/>
        <v>1900</v>
      </c>
      <c r="N661" s="60">
        <f t="shared" si="32"/>
        <v>1</v>
      </c>
    </row>
    <row r="662" customHeight="1" spans="2:14">
      <c r="B662" s="86">
        <v>660</v>
      </c>
      <c r="C662" s="87"/>
      <c r="D662" s="87"/>
      <c r="E662" s="60" t="str">
        <f>IFERROR(VLOOKUP(D662,'基础-领用人及部门'!$C:$D,2,FALSE),"-")</f>
        <v>-</v>
      </c>
      <c r="F662" s="87"/>
      <c r="G662" s="60" t="str">
        <f>IFERROR(VLOOKUP($F662,'基础-办公用品信息'!$C:$E,2,FALSE),"-")</f>
        <v>-</v>
      </c>
      <c r="H662" s="60" t="str">
        <f>IFERROR(VLOOKUP($F662,'基础-办公用品信息'!$C:$E,3,FALSE),"-")</f>
        <v>-</v>
      </c>
      <c r="I662" s="60"/>
      <c r="J662" s="60" t="str">
        <f>IFERROR(VLOOKUP($F662,'基础-办公用品信息'!$C:$F,4,FALSE),"-")</f>
        <v>-</v>
      </c>
      <c r="K662" s="60" t="str">
        <f t="shared" si="30"/>
        <v/>
      </c>
      <c r="L662" s="87"/>
      <c r="M662" s="60">
        <f t="shared" si="31"/>
        <v>1900</v>
      </c>
      <c r="N662" s="60">
        <f t="shared" si="32"/>
        <v>1</v>
      </c>
    </row>
    <row r="663" customHeight="1" spans="2:14">
      <c r="B663" s="86">
        <v>661</v>
      </c>
      <c r="C663" s="87"/>
      <c r="D663" s="87"/>
      <c r="E663" s="60" t="str">
        <f>IFERROR(VLOOKUP(D663,'基础-领用人及部门'!$C:$D,2,FALSE),"-")</f>
        <v>-</v>
      </c>
      <c r="F663" s="87"/>
      <c r="G663" s="60" t="str">
        <f>IFERROR(VLOOKUP($F663,'基础-办公用品信息'!$C:$E,2,FALSE),"-")</f>
        <v>-</v>
      </c>
      <c r="H663" s="60" t="str">
        <f>IFERROR(VLOOKUP($F663,'基础-办公用品信息'!$C:$E,3,FALSE),"-")</f>
        <v>-</v>
      </c>
      <c r="I663" s="60"/>
      <c r="J663" s="60" t="str">
        <f>IFERROR(VLOOKUP($F663,'基础-办公用品信息'!$C:$F,4,FALSE),"-")</f>
        <v>-</v>
      </c>
      <c r="K663" s="60" t="str">
        <f t="shared" si="30"/>
        <v/>
      </c>
      <c r="L663" s="87"/>
      <c r="M663" s="60">
        <f t="shared" si="31"/>
        <v>1900</v>
      </c>
      <c r="N663" s="60">
        <f t="shared" si="32"/>
        <v>1</v>
      </c>
    </row>
    <row r="664" customHeight="1" spans="2:14">
      <c r="B664" s="86">
        <v>662</v>
      </c>
      <c r="C664" s="87"/>
      <c r="D664" s="87"/>
      <c r="E664" s="60" t="str">
        <f>IFERROR(VLOOKUP(D664,'基础-领用人及部门'!$C:$D,2,FALSE),"-")</f>
        <v>-</v>
      </c>
      <c r="F664" s="87"/>
      <c r="G664" s="60" t="str">
        <f>IFERROR(VLOOKUP($F664,'基础-办公用品信息'!$C:$E,2,FALSE),"-")</f>
        <v>-</v>
      </c>
      <c r="H664" s="60" t="str">
        <f>IFERROR(VLOOKUP($F664,'基础-办公用品信息'!$C:$E,3,FALSE),"-")</f>
        <v>-</v>
      </c>
      <c r="I664" s="60"/>
      <c r="J664" s="60" t="str">
        <f>IFERROR(VLOOKUP($F664,'基础-办公用品信息'!$C:$F,4,FALSE),"-")</f>
        <v>-</v>
      </c>
      <c r="K664" s="60" t="str">
        <f t="shared" si="30"/>
        <v/>
      </c>
      <c r="L664" s="87"/>
      <c r="M664" s="60">
        <f t="shared" si="31"/>
        <v>1900</v>
      </c>
      <c r="N664" s="60">
        <f t="shared" si="32"/>
        <v>1</v>
      </c>
    </row>
    <row r="665" customHeight="1" spans="2:14">
      <c r="B665" s="86">
        <v>663</v>
      </c>
      <c r="C665" s="87"/>
      <c r="D665" s="87"/>
      <c r="E665" s="60" t="str">
        <f>IFERROR(VLOOKUP(D665,'基础-领用人及部门'!$C:$D,2,FALSE),"-")</f>
        <v>-</v>
      </c>
      <c r="F665" s="87"/>
      <c r="G665" s="60" t="str">
        <f>IFERROR(VLOOKUP($F665,'基础-办公用品信息'!$C:$E,2,FALSE),"-")</f>
        <v>-</v>
      </c>
      <c r="H665" s="60" t="str">
        <f>IFERROR(VLOOKUP($F665,'基础-办公用品信息'!$C:$E,3,FALSE),"-")</f>
        <v>-</v>
      </c>
      <c r="I665" s="60"/>
      <c r="J665" s="60" t="str">
        <f>IFERROR(VLOOKUP($F665,'基础-办公用品信息'!$C:$F,4,FALSE),"-")</f>
        <v>-</v>
      </c>
      <c r="K665" s="60" t="str">
        <f t="shared" si="30"/>
        <v/>
      </c>
      <c r="L665" s="87"/>
      <c r="M665" s="60">
        <f t="shared" si="31"/>
        <v>1900</v>
      </c>
      <c r="N665" s="60">
        <f t="shared" si="32"/>
        <v>1</v>
      </c>
    </row>
    <row r="666" customHeight="1" spans="2:14">
      <c r="B666" s="86">
        <v>664</v>
      </c>
      <c r="C666" s="87"/>
      <c r="D666" s="87"/>
      <c r="E666" s="60" t="str">
        <f>IFERROR(VLOOKUP(D666,'基础-领用人及部门'!$C:$D,2,FALSE),"-")</f>
        <v>-</v>
      </c>
      <c r="F666" s="87"/>
      <c r="G666" s="60" t="str">
        <f>IFERROR(VLOOKUP($F666,'基础-办公用品信息'!$C:$E,2,FALSE),"-")</f>
        <v>-</v>
      </c>
      <c r="H666" s="60" t="str">
        <f>IFERROR(VLOOKUP($F666,'基础-办公用品信息'!$C:$E,3,FALSE),"-")</f>
        <v>-</v>
      </c>
      <c r="I666" s="60"/>
      <c r="J666" s="60" t="str">
        <f>IFERROR(VLOOKUP($F666,'基础-办公用品信息'!$C:$F,4,FALSE),"-")</f>
        <v>-</v>
      </c>
      <c r="K666" s="60" t="str">
        <f t="shared" si="30"/>
        <v/>
      </c>
      <c r="L666" s="87"/>
      <c r="M666" s="60">
        <f t="shared" si="31"/>
        <v>1900</v>
      </c>
      <c r="N666" s="60">
        <f t="shared" si="32"/>
        <v>1</v>
      </c>
    </row>
    <row r="667" customHeight="1" spans="2:14">
      <c r="B667" s="86">
        <v>665</v>
      </c>
      <c r="C667" s="87"/>
      <c r="D667" s="87"/>
      <c r="E667" s="60" t="str">
        <f>IFERROR(VLOOKUP(D667,'基础-领用人及部门'!$C:$D,2,FALSE),"-")</f>
        <v>-</v>
      </c>
      <c r="F667" s="87"/>
      <c r="G667" s="60" t="str">
        <f>IFERROR(VLOOKUP($F667,'基础-办公用品信息'!$C:$E,2,FALSE),"-")</f>
        <v>-</v>
      </c>
      <c r="H667" s="60" t="str">
        <f>IFERROR(VLOOKUP($F667,'基础-办公用品信息'!$C:$E,3,FALSE),"-")</f>
        <v>-</v>
      </c>
      <c r="I667" s="60"/>
      <c r="J667" s="60" t="str">
        <f>IFERROR(VLOOKUP($F667,'基础-办公用品信息'!$C:$F,4,FALSE),"-")</f>
        <v>-</v>
      </c>
      <c r="K667" s="60" t="str">
        <f t="shared" si="30"/>
        <v/>
      </c>
      <c r="L667" s="87"/>
      <c r="M667" s="60">
        <f t="shared" si="31"/>
        <v>1900</v>
      </c>
      <c r="N667" s="60">
        <f t="shared" si="32"/>
        <v>1</v>
      </c>
    </row>
    <row r="668" customHeight="1" spans="2:14">
      <c r="B668" s="86">
        <v>666</v>
      </c>
      <c r="C668" s="87"/>
      <c r="D668" s="87"/>
      <c r="E668" s="60" t="str">
        <f>IFERROR(VLOOKUP(D668,'基础-领用人及部门'!$C:$D,2,FALSE),"-")</f>
        <v>-</v>
      </c>
      <c r="F668" s="87"/>
      <c r="G668" s="60" t="str">
        <f>IFERROR(VLOOKUP($F668,'基础-办公用品信息'!$C:$E,2,FALSE),"-")</f>
        <v>-</v>
      </c>
      <c r="H668" s="60" t="str">
        <f>IFERROR(VLOOKUP($F668,'基础-办公用品信息'!$C:$E,3,FALSE),"-")</f>
        <v>-</v>
      </c>
      <c r="I668" s="60"/>
      <c r="J668" s="60" t="str">
        <f>IFERROR(VLOOKUP($F668,'基础-办公用品信息'!$C:$F,4,FALSE),"-")</f>
        <v>-</v>
      </c>
      <c r="K668" s="60" t="str">
        <f t="shared" si="30"/>
        <v/>
      </c>
      <c r="L668" s="87"/>
      <c r="M668" s="60">
        <f t="shared" si="31"/>
        <v>1900</v>
      </c>
      <c r="N668" s="60">
        <f t="shared" si="32"/>
        <v>1</v>
      </c>
    </row>
    <row r="669" customHeight="1" spans="2:14">
      <c r="B669" s="86">
        <v>667</v>
      </c>
      <c r="C669" s="87"/>
      <c r="D669" s="87"/>
      <c r="E669" s="60" t="str">
        <f>IFERROR(VLOOKUP(D669,'基础-领用人及部门'!$C:$D,2,FALSE),"-")</f>
        <v>-</v>
      </c>
      <c r="F669" s="87"/>
      <c r="G669" s="60" t="str">
        <f>IFERROR(VLOOKUP($F669,'基础-办公用品信息'!$C:$E,2,FALSE),"-")</f>
        <v>-</v>
      </c>
      <c r="H669" s="60" t="str">
        <f>IFERROR(VLOOKUP($F669,'基础-办公用品信息'!$C:$E,3,FALSE),"-")</f>
        <v>-</v>
      </c>
      <c r="I669" s="60"/>
      <c r="J669" s="60" t="str">
        <f>IFERROR(VLOOKUP($F669,'基础-办公用品信息'!$C:$F,4,FALSE),"-")</f>
        <v>-</v>
      </c>
      <c r="K669" s="60" t="str">
        <f t="shared" si="30"/>
        <v/>
      </c>
      <c r="L669" s="87"/>
      <c r="M669" s="60">
        <f t="shared" si="31"/>
        <v>1900</v>
      </c>
      <c r="N669" s="60">
        <f t="shared" si="32"/>
        <v>1</v>
      </c>
    </row>
    <row r="670" customHeight="1" spans="2:14">
      <c r="B670" s="86">
        <v>668</v>
      </c>
      <c r="C670" s="87"/>
      <c r="D670" s="87"/>
      <c r="E670" s="60" t="str">
        <f>IFERROR(VLOOKUP(D670,'基础-领用人及部门'!$C:$D,2,FALSE),"-")</f>
        <v>-</v>
      </c>
      <c r="F670" s="87"/>
      <c r="G670" s="60" t="str">
        <f>IFERROR(VLOOKUP($F670,'基础-办公用品信息'!$C:$E,2,FALSE),"-")</f>
        <v>-</v>
      </c>
      <c r="H670" s="60" t="str">
        <f>IFERROR(VLOOKUP($F670,'基础-办公用品信息'!$C:$E,3,FALSE),"-")</f>
        <v>-</v>
      </c>
      <c r="I670" s="60"/>
      <c r="J670" s="60" t="str">
        <f>IFERROR(VLOOKUP($F670,'基础-办公用品信息'!$C:$F,4,FALSE),"-")</f>
        <v>-</v>
      </c>
      <c r="K670" s="60" t="str">
        <f t="shared" si="30"/>
        <v/>
      </c>
      <c r="L670" s="87"/>
      <c r="M670" s="60">
        <f t="shared" si="31"/>
        <v>1900</v>
      </c>
      <c r="N670" s="60">
        <f t="shared" si="32"/>
        <v>1</v>
      </c>
    </row>
    <row r="671" customHeight="1" spans="2:14">
      <c r="B671" s="86">
        <v>669</v>
      </c>
      <c r="C671" s="87"/>
      <c r="D671" s="87"/>
      <c r="E671" s="60" t="str">
        <f>IFERROR(VLOOKUP(D671,'基础-领用人及部门'!$C:$D,2,FALSE),"-")</f>
        <v>-</v>
      </c>
      <c r="F671" s="87"/>
      <c r="G671" s="60" t="str">
        <f>IFERROR(VLOOKUP($F671,'基础-办公用品信息'!$C:$E,2,FALSE),"-")</f>
        <v>-</v>
      </c>
      <c r="H671" s="60" t="str">
        <f>IFERROR(VLOOKUP($F671,'基础-办公用品信息'!$C:$E,3,FALSE),"-")</f>
        <v>-</v>
      </c>
      <c r="I671" s="60"/>
      <c r="J671" s="60" t="str">
        <f>IFERROR(VLOOKUP($F671,'基础-办公用品信息'!$C:$F,4,FALSE),"-")</f>
        <v>-</v>
      </c>
      <c r="K671" s="60" t="str">
        <f t="shared" si="30"/>
        <v/>
      </c>
      <c r="L671" s="87"/>
      <c r="M671" s="60">
        <f t="shared" si="31"/>
        <v>1900</v>
      </c>
      <c r="N671" s="60">
        <f t="shared" si="32"/>
        <v>1</v>
      </c>
    </row>
    <row r="672" customHeight="1" spans="2:14">
      <c r="B672" s="86">
        <v>670</v>
      </c>
      <c r="C672" s="87"/>
      <c r="D672" s="87"/>
      <c r="E672" s="60" t="str">
        <f>IFERROR(VLOOKUP(D672,'基础-领用人及部门'!$C:$D,2,FALSE),"-")</f>
        <v>-</v>
      </c>
      <c r="F672" s="87"/>
      <c r="G672" s="60" t="str">
        <f>IFERROR(VLOOKUP($F672,'基础-办公用品信息'!$C:$E,2,FALSE),"-")</f>
        <v>-</v>
      </c>
      <c r="H672" s="60" t="str">
        <f>IFERROR(VLOOKUP($F672,'基础-办公用品信息'!$C:$E,3,FALSE),"-")</f>
        <v>-</v>
      </c>
      <c r="I672" s="60"/>
      <c r="J672" s="60" t="str">
        <f>IFERROR(VLOOKUP($F672,'基础-办公用品信息'!$C:$F,4,FALSE),"-")</f>
        <v>-</v>
      </c>
      <c r="K672" s="60" t="str">
        <f t="shared" si="30"/>
        <v/>
      </c>
      <c r="L672" s="87"/>
      <c r="M672" s="60">
        <f t="shared" si="31"/>
        <v>1900</v>
      </c>
      <c r="N672" s="60">
        <f t="shared" si="32"/>
        <v>1</v>
      </c>
    </row>
    <row r="673" customHeight="1" spans="2:14">
      <c r="B673" s="86">
        <v>671</v>
      </c>
      <c r="C673" s="87"/>
      <c r="D673" s="87"/>
      <c r="E673" s="60" t="str">
        <f>IFERROR(VLOOKUP(D673,'基础-领用人及部门'!$C:$D,2,FALSE),"-")</f>
        <v>-</v>
      </c>
      <c r="F673" s="87"/>
      <c r="G673" s="60" t="str">
        <f>IFERROR(VLOOKUP($F673,'基础-办公用品信息'!$C:$E,2,FALSE),"-")</f>
        <v>-</v>
      </c>
      <c r="H673" s="60" t="str">
        <f>IFERROR(VLOOKUP($F673,'基础-办公用品信息'!$C:$E,3,FALSE),"-")</f>
        <v>-</v>
      </c>
      <c r="I673" s="60"/>
      <c r="J673" s="60" t="str">
        <f>IFERROR(VLOOKUP($F673,'基础-办公用品信息'!$C:$F,4,FALSE),"-")</f>
        <v>-</v>
      </c>
      <c r="K673" s="60" t="str">
        <f t="shared" si="30"/>
        <v/>
      </c>
      <c r="L673" s="87"/>
      <c r="M673" s="60">
        <f t="shared" si="31"/>
        <v>1900</v>
      </c>
      <c r="N673" s="60">
        <f t="shared" si="32"/>
        <v>1</v>
      </c>
    </row>
    <row r="674" customHeight="1" spans="2:14">
      <c r="B674" s="86">
        <v>672</v>
      </c>
      <c r="C674" s="87"/>
      <c r="D674" s="87"/>
      <c r="E674" s="60" t="str">
        <f>IFERROR(VLOOKUP(D674,'基础-领用人及部门'!$C:$D,2,FALSE),"-")</f>
        <v>-</v>
      </c>
      <c r="F674" s="87"/>
      <c r="G674" s="60" t="str">
        <f>IFERROR(VLOOKUP($F674,'基础-办公用品信息'!$C:$E,2,FALSE),"-")</f>
        <v>-</v>
      </c>
      <c r="H674" s="60" t="str">
        <f>IFERROR(VLOOKUP($F674,'基础-办公用品信息'!$C:$E,3,FALSE),"-")</f>
        <v>-</v>
      </c>
      <c r="I674" s="60"/>
      <c r="J674" s="60" t="str">
        <f>IFERROR(VLOOKUP($F674,'基础-办公用品信息'!$C:$F,4,FALSE),"-")</f>
        <v>-</v>
      </c>
      <c r="K674" s="60" t="str">
        <f t="shared" si="30"/>
        <v/>
      </c>
      <c r="L674" s="87"/>
      <c r="M674" s="60">
        <f t="shared" si="31"/>
        <v>1900</v>
      </c>
      <c r="N674" s="60">
        <f t="shared" si="32"/>
        <v>1</v>
      </c>
    </row>
    <row r="675" customHeight="1" spans="2:14">
      <c r="B675" s="86">
        <v>673</v>
      </c>
      <c r="C675" s="87"/>
      <c r="D675" s="87"/>
      <c r="E675" s="60" t="str">
        <f>IFERROR(VLOOKUP(D675,'基础-领用人及部门'!$C:$D,2,FALSE),"-")</f>
        <v>-</v>
      </c>
      <c r="F675" s="87"/>
      <c r="G675" s="60" t="str">
        <f>IFERROR(VLOOKUP($F675,'基础-办公用品信息'!$C:$E,2,FALSE),"-")</f>
        <v>-</v>
      </c>
      <c r="H675" s="60" t="str">
        <f>IFERROR(VLOOKUP($F675,'基础-办公用品信息'!$C:$E,3,FALSE),"-")</f>
        <v>-</v>
      </c>
      <c r="I675" s="60"/>
      <c r="J675" s="60" t="str">
        <f>IFERROR(VLOOKUP($F675,'基础-办公用品信息'!$C:$F,4,FALSE),"-")</f>
        <v>-</v>
      </c>
      <c r="K675" s="60" t="str">
        <f t="shared" si="30"/>
        <v/>
      </c>
      <c r="L675" s="87"/>
      <c r="M675" s="60">
        <f t="shared" si="31"/>
        <v>1900</v>
      </c>
      <c r="N675" s="60">
        <f t="shared" si="32"/>
        <v>1</v>
      </c>
    </row>
    <row r="676" customHeight="1" spans="2:14">
      <c r="B676" s="86">
        <v>674</v>
      </c>
      <c r="C676" s="87"/>
      <c r="D676" s="87"/>
      <c r="E676" s="60" t="str">
        <f>IFERROR(VLOOKUP(D676,'基础-领用人及部门'!$C:$D,2,FALSE),"-")</f>
        <v>-</v>
      </c>
      <c r="F676" s="87"/>
      <c r="G676" s="60" t="str">
        <f>IFERROR(VLOOKUP($F676,'基础-办公用品信息'!$C:$E,2,FALSE),"-")</f>
        <v>-</v>
      </c>
      <c r="H676" s="60" t="str">
        <f>IFERROR(VLOOKUP($F676,'基础-办公用品信息'!$C:$E,3,FALSE),"-")</f>
        <v>-</v>
      </c>
      <c r="I676" s="60"/>
      <c r="J676" s="60" t="str">
        <f>IFERROR(VLOOKUP($F676,'基础-办公用品信息'!$C:$F,4,FALSE),"-")</f>
        <v>-</v>
      </c>
      <c r="K676" s="60" t="str">
        <f t="shared" si="30"/>
        <v/>
      </c>
      <c r="L676" s="87"/>
      <c r="M676" s="60">
        <f t="shared" si="31"/>
        <v>1900</v>
      </c>
      <c r="N676" s="60">
        <f t="shared" si="32"/>
        <v>1</v>
      </c>
    </row>
    <row r="677" customHeight="1" spans="2:14">
      <c r="B677" s="86">
        <v>675</v>
      </c>
      <c r="C677" s="87"/>
      <c r="D677" s="87"/>
      <c r="E677" s="60" t="str">
        <f>IFERROR(VLOOKUP(D677,'基础-领用人及部门'!$C:$D,2,FALSE),"-")</f>
        <v>-</v>
      </c>
      <c r="F677" s="87"/>
      <c r="G677" s="60" t="str">
        <f>IFERROR(VLOOKUP($F677,'基础-办公用品信息'!$C:$E,2,FALSE),"-")</f>
        <v>-</v>
      </c>
      <c r="H677" s="60" t="str">
        <f>IFERROR(VLOOKUP($F677,'基础-办公用品信息'!$C:$E,3,FALSE),"-")</f>
        <v>-</v>
      </c>
      <c r="I677" s="60"/>
      <c r="J677" s="60" t="str">
        <f>IFERROR(VLOOKUP($F677,'基础-办公用品信息'!$C:$F,4,FALSE),"-")</f>
        <v>-</v>
      </c>
      <c r="K677" s="60" t="str">
        <f t="shared" si="30"/>
        <v/>
      </c>
      <c r="L677" s="87"/>
      <c r="M677" s="60">
        <f t="shared" si="31"/>
        <v>1900</v>
      </c>
      <c r="N677" s="60">
        <f t="shared" si="32"/>
        <v>1</v>
      </c>
    </row>
    <row r="678" customHeight="1" spans="2:14">
      <c r="B678" s="86">
        <v>676</v>
      </c>
      <c r="C678" s="87"/>
      <c r="D678" s="87"/>
      <c r="E678" s="60" t="str">
        <f>IFERROR(VLOOKUP(D678,'基础-领用人及部门'!$C:$D,2,FALSE),"-")</f>
        <v>-</v>
      </c>
      <c r="F678" s="87"/>
      <c r="G678" s="60" t="str">
        <f>IFERROR(VLOOKUP($F678,'基础-办公用品信息'!$C:$E,2,FALSE),"-")</f>
        <v>-</v>
      </c>
      <c r="H678" s="60" t="str">
        <f>IFERROR(VLOOKUP($F678,'基础-办公用品信息'!$C:$E,3,FALSE),"-")</f>
        <v>-</v>
      </c>
      <c r="I678" s="60"/>
      <c r="J678" s="60" t="str">
        <f>IFERROR(VLOOKUP($F678,'基础-办公用品信息'!$C:$F,4,FALSE),"-")</f>
        <v>-</v>
      </c>
      <c r="K678" s="60" t="str">
        <f t="shared" si="30"/>
        <v/>
      </c>
      <c r="L678" s="87"/>
      <c r="M678" s="60">
        <f t="shared" si="31"/>
        <v>1900</v>
      </c>
      <c r="N678" s="60">
        <f t="shared" si="32"/>
        <v>1</v>
      </c>
    </row>
    <row r="679" customHeight="1" spans="2:14">
      <c r="B679" s="86">
        <v>677</v>
      </c>
      <c r="C679" s="87"/>
      <c r="D679" s="87"/>
      <c r="E679" s="60" t="str">
        <f>IFERROR(VLOOKUP(D679,'基础-领用人及部门'!$C:$D,2,FALSE),"-")</f>
        <v>-</v>
      </c>
      <c r="F679" s="87"/>
      <c r="G679" s="60" t="str">
        <f>IFERROR(VLOOKUP($F679,'基础-办公用品信息'!$C:$E,2,FALSE),"-")</f>
        <v>-</v>
      </c>
      <c r="H679" s="60" t="str">
        <f>IFERROR(VLOOKUP($F679,'基础-办公用品信息'!$C:$E,3,FALSE),"-")</f>
        <v>-</v>
      </c>
      <c r="I679" s="60"/>
      <c r="J679" s="60" t="str">
        <f>IFERROR(VLOOKUP($F679,'基础-办公用品信息'!$C:$F,4,FALSE),"-")</f>
        <v>-</v>
      </c>
      <c r="K679" s="60" t="str">
        <f t="shared" si="30"/>
        <v/>
      </c>
      <c r="L679" s="87"/>
      <c r="M679" s="60">
        <f t="shared" si="31"/>
        <v>1900</v>
      </c>
      <c r="N679" s="60">
        <f t="shared" si="32"/>
        <v>1</v>
      </c>
    </row>
    <row r="680" customHeight="1" spans="2:14">
      <c r="B680" s="86">
        <v>678</v>
      </c>
      <c r="C680" s="87"/>
      <c r="D680" s="87"/>
      <c r="E680" s="60" t="str">
        <f>IFERROR(VLOOKUP(D680,'基础-领用人及部门'!$C:$D,2,FALSE),"-")</f>
        <v>-</v>
      </c>
      <c r="F680" s="87"/>
      <c r="G680" s="60" t="str">
        <f>IFERROR(VLOOKUP($F680,'基础-办公用品信息'!$C:$E,2,FALSE),"-")</f>
        <v>-</v>
      </c>
      <c r="H680" s="60" t="str">
        <f>IFERROR(VLOOKUP($F680,'基础-办公用品信息'!$C:$E,3,FALSE),"-")</f>
        <v>-</v>
      </c>
      <c r="I680" s="60"/>
      <c r="J680" s="60" t="str">
        <f>IFERROR(VLOOKUP($F680,'基础-办公用品信息'!$C:$F,4,FALSE),"-")</f>
        <v>-</v>
      </c>
      <c r="K680" s="60" t="str">
        <f t="shared" si="30"/>
        <v/>
      </c>
      <c r="L680" s="87"/>
      <c r="M680" s="60">
        <f t="shared" si="31"/>
        <v>1900</v>
      </c>
      <c r="N680" s="60">
        <f t="shared" si="32"/>
        <v>1</v>
      </c>
    </row>
    <row r="681" customHeight="1" spans="2:14">
      <c r="B681" s="86">
        <v>679</v>
      </c>
      <c r="C681" s="87"/>
      <c r="D681" s="87"/>
      <c r="E681" s="60" t="str">
        <f>IFERROR(VLOOKUP(D681,'基础-领用人及部门'!$C:$D,2,FALSE),"-")</f>
        <v>-</v>
      </c>
      <c r="F681" s="87"/>
      <c r="G681" s="60" t="str">
        <f>IFERROR(VLOOKUP($F681,'基础-办公用品信息'!$C:$E,2,FALSE),"-")</f>
        <v>-</v>
      </c>
      <c r="H681" s="60" t="str">
        <f>IFERROR(VLOOKUP($F681,'基础-办公用品信息'!$C:$E,3,FALSE),"-")</f>
        <v>-</v>
      </c>
      <c r="I681" s="60"/>
      <c r="J681" s="60" t="str">
        <f>IFERROR(VLOOKUP($F681,'基础-办公用品信息'!$C:$F,4,FALSE),"-")</f>
        <v>-</v>
      </c>
      <c r="K681" s="60" t="str">
        <f t="shared" si="30"/>
        <v/>
      </c>
      <c r="L681" s="87"/>
      <c r="M681" s="60">
        <f t="shared" si="31"/>
        <v>1900</v>
      </c>
      <c r="N681" s="60">
        <f t="shared" si="32"/>
        <v>1</v>
      </c>
    </row>
    <row r="682" customHeight="1" spans="2:14">
      <c r="B682" s="86">
        <v>680</v>
      </c>
      <c r="C682" s="87"/>
      <c r="D682" s="87"/>
      <c r="E682" s="60" t="str">
        <f>IFERROR(VLOOKUP(D682,'基础-领用人及部门'!$C:$D,2,FALSE),"-")</f>
        <v>-</v>
      </c>
      <c r="F682" s="87"/>
      <c r="G682" s="60" t="str">
        <f>IFERROR(VLOOKUP($F682,'基础-办公用品信息'!$C:$E,2,FALSE),"-")</f>
        <v>-</v>
      </c>
      <c r="H682" s="60" t="str">
        <f>IFERROR(VLOOKUP($F682,'基础-办公用品信息'!$C:$E,3,FALSE),"-")</f>
        <v>-</v>
      </c>
      <c r="I682" s="60"/>
      <c r="J682" s="60" t="str">
        <f>IFERROR(VLOOKUP($F682,'基础-办公用品信息'!$C:$F,4,FALSE),"-")</f>
        <v>-</v>
      </c>
      <c r="K682" s="60" t="str">
        <f t="shared" si="30"/>
        <v/>
      </c>
      <c r="L682" s="87"/>
      <c r="M682" s="60">
        <f t="shared" si="31"/>
        <v>1900</v>
      </c>
      <c r="N682" s="60">
        <f t="shared" si="32"/>
        <v>1</v>
      </c>
    </row>
    <row r="683" customHeight="1" spans="2:14">
      <c r="B683" s="86">
        <v>681</v>
      </c>
      <c r="C683" s="87"/>
      <c r="D683" s="87"/>
      <c r="E683" s="60" t="str">
        <f>IFERROR(VLOOKUP(D683,'基础-领用人及部门'!$C:$D,2,FALSE),"-")</f>
        <v>-</v>
      </c>
      <c r="F683" s="87"/>
      <c r="G683" s="60" t="str">
        <f>IFERROR(VLOOKUP($F683,'基础-办公用品信息'!$C:$E,2,FALSE),"-")</f>
        <v>-</v>
      </c>
      <c r="H683" s="60" t="str">
        <f>IFERROR(VLOOKUP($F683,'基础-办公用品信息'!$C:$E,3,FALSE),"-")</f>
        <v>-</v>
      </c>
      <c r="I683" s="60"/>
      <c r="J683" s="60" t="str">
        <f>IFERROR(VLOOKUP($F683,'基础-办公用品信息'!$C:$F,4,FALSE),"-")</f>
        <v>-</v>
      </c>
      <c r="K683" s="60" t="str">
        <f t="shared" si="30"/>
        <v/>
      </c>
      <c r="L683" s="87"/>
      <c r="M683" s="60">
        <f t="shared" si="31"/>
        <v>1900</v>
      </c>
      <c r="N683" s="60">
        <f t="shared" si="32"/>
        <v>1</v>
      </c>
    </row>
    <row r="684" customHeight="1" spans="2:14">
      <c r="B684" s="86">
        <v>682</v>
      </c>
      <c r="C684" s="87"/>
      <c r="D684" s="87"/>
      <c r="E684" s="60" t="str">
        <f>IFERROR(VLOOKUP(D684,'基础-领用人及部门'!$C:$D,2,FALSE),"-")</f>
        <v>-</v>
      </c>
      <c r="F684" s="87"/>
      <c r="G684" s="60" t="str">
        <f>IFERROR(VLOOKUP($F684,'基础-办公用品信息'!$C:$E,2,FALSE),"-")</f>
        <v>-</v>
      </c>
      <c r="H684" s="60" t="str">
        <f>IFERROR(VLOOKUP($F684,'基础-办公用品信息'!$C:$E,3,FALSE),"-")</f>
        <v>-</v>
      </c>
      <c r="I684" s="60"/>
      <c r="J684" s="60" t="str">
        <f>IFERROR(VLOOKUP($F684,'基础-办公用品信息'!$C:$F,4,FALSE),"-")</f>
        <v>-</v>
      </c>
      <c r="K684" s="60" t="str">
        <f t="shared" si="30"/>
        <v/>
      </c>
      <c r="L684" s="87"/>
      <c r="M684" s="60">
        <f t="shared" si="31"/>
        <v>1900</v>
      </c>
      <c r="N684" s="60">
        <f t="shared" si="32"/>
        <v>1</v>
      </c>
    </row>
    <row r="685" customHeight="1" spans="2:14">
      <c r="B685" s="86">
        <v>683</v>
      </c>
      <c r="C685" s="87"/>
      <c r="D685" s="87"/>
      <c r="E685" s="60" t="str">
        <f>IFERROR(VLOOKUP(D685,'基础-领用人及部门'!$C:$D,2,FALSE),"-")</f>
        <v>-</v>
      </c>
      <c r="F685" s="87"/>
      <c r="G685" s="60" t="str">
        <f>IFERROR(VLOOKUP($F685,'基础-办公用品信息'!$C:$E,2,FALSE),"-")</f>
        <v>-</v>
      </c>
      <c r="H685" s="60" t="str">
        <f>IFERROR(VLOOKUP($F685,'基础-办公用品信息'!$C:$E,3,FALSE),"-")</f>
        <v>-</v>
      </c>
      <c r="I685" s="60"/>
      <c r="J685" s="60" t="str">
        <f>IFERROR(VLOOKUP($F685,'基础-办公用品信息'!$C:$F,4,FALSE),"-")</f>
        <v>-</v>
      </c>
      <c r="K685" s="60" t="str">
        <f t="shared" si="30"/>
        <v/>
      </c>
      <c r="L685" s="87"/>
      <c r="M685" s="60">
        <f t="shared" si="31"/>
        <v>1900</v>
      </c>
      <c r="N685" s="60">
        <f t="shared" si="32"/>
        <v>1</v>
      </c>
    </row>
    <row r="686" customHeight="1" spans="2:14">
      <c r="B686" s="86">
        <v>684</v>
      </c>
      <c r="C686" s="87"/>
      <c r="D686" s="87"/>
      <c r="E686" s="60" t="str">
        <f>IFERROR(VLOOKUP(D686,'基础-领用人及部门'!$C:$D,2,FALSE),"-")</f>
        <v>-</v>
      </c>
      <c r="F686" s="87"/>
      <c r="G686" s="60" t="str">
        <f>IFERROR(VLOOKUP($F686,'基础-办公用品信息'!$C:$E,2,FALSE),"-")</f>
        <v>-</v>
      </c>
      <c r="H686" s="60" t="str">
        <f>IFERROR(VLOOKUP($F686,'基础-办公用品信息'!$C:$E,3,FALSE),"-")</f>
        <v>-</v>
      </c>
      <c r="I686" s="60"/>
      <c r="J686" s="60" t="str">
        <f>IFERROR(VLOOKUP($F686,'基础-办公用品信息'!$C:$F,4,FALSE),"-")</f>
        <v>-</v>
      </c>
      <c r="K686" s="60" t="str">
        <f t="shared" si="30"/>
        <v/>
      </c>
      <c r="L686" s="87"/>
      <c r="M686" s="60">
        <f t="shared" si="31"/>
        <v>1900</v>
      </c>
      <c r="N686" s="60">
        <f t="shared" si="32"/>
        <v>1</v>
      </c>
    </row>
    <row r="687" customHeight="1" spans="2:14">
      <c r="B687" s="86">
        <v>685</v>
      </c>
      <c r="C687" s="87"/>
      <c r="D687" s="87"/>
      <c r="E687" s="60" t="str">
        <f>IFERROR(VLOOKUP(D687,'基础-领用人及部门'!$C:$D,2,FALSE),"-")</f>
        <v>-</v>
      </c>
      <c r="F687" s="87"/>
      <c r="G687" s="60" t="str">
        <f>IFERROR(VLOOKUP($F687,'基础-办公用品信息'!$C:$E,2,FALSE),"-")</f>
        <v>-</v>
      </c>
      <c r="H687" s="60" t="str">
        <f>IFERROR(VLOOKUP($F687,'基础-办公用品信息'!$C:$E,3,FALSE),"-")</f>
        <v>-</v>
      </c>
      <c r="I687" s="60"/>
      <c r="J687" s="60" t="str">
        <f>IFERROR(VLOOKUP($F687,'基础-办公用品信息'!$C:$F,4,FALSE),"-")</f>
        <v>-</v>
      </c>
      <c r="K687" s="60" t="str">
        <f t="shared" si="30"/>
        <v/>
      </c>
      <c r="L687" s="87"/>
      <c r="M687" s="60">
        <f t="shared" si="31"/>
        <v>1900</v>
      </c>
      <c r="N687" s="60">
        <f t="shared" si="32"/>
        <v>1</v>
      </c>
    </row>
    <row r="688" customHeight="1" spans="2:14">
      <c r="B688" s="86">
        <v>686</v>
      </c>
      <c r="C688" s="87"/>
      <c r="D688" s="87"/>
      <c r="E688" s="60" t="str">
        <f>IFERROR(VLOOKUP(D688,'基础-领用人及部门'!$C:$D,2,FALSE),"-")</f>
        <v>-</v>
      </c>
      <c r="F688" s="87"/>
      <c r="G688" s="60" t="str">
        <f>IFERROR(VLOOKUP($F688,'基础-办公用品信息'!$C:$E,2,FALSE),"-")</f>
        <v>-</v>
      </c>
      <c r="H688" s="60" t="str">
        <f>IFERROR(VLOOKUP($F688,'基础-办公用品信息'!$C:$E,3,FALSE),"-")</f>
        <v>-</v>
      </c>
      <c r="I688" s="60"/>
      <c r="J688" s="60" t="str">
        <f>IFERROR(VLOOKUP($F688,'基础-办公用品信息'!$C:$F,4,FALSE),"-")</f>
        <v>-</v>
      </c>
      <c r="K688" s="60" t="str">
        <f t="shared" si="30"/>
        <v/>
      </c>
      <c r="L688" s="87"/>
      <c r="M688" s="60">
        <f t="shared" si="31"/>
        <v>1900</v>
      </c>
      <c r="N688" s="60">
        <f t="shared" si="32"/>
        <v>1</v>
      </c>
    </row>
    <row r="689" customHeight="1" spans="2:14">
      <c r="B689" s="86">
        <v>687</v>
      </c>
      <c r="C689" s="87"/>
      <c r="D689" s="87"/>
      <c r="E689" s="60" t="str">
        <f>IFERROR(VLOOKUP(D689,'基础-领用人及部门'!$C:$D,2,FALSE),"-")</f>
        <v>-</v>
      </c>
      <c r="F689" s="87"/>
      <c r="G689" s="60" t="str">
        <f>IFERROR(VLOOKUP($F689,'基础-办公用品信息'!$C:$E,2,FALSE),"-")</f>
        <v>-</v>
      </c>
      <c r="H689" s="60" t="str">
        <f>IFERROR(VLOOKUP($F689,'基础-办公用品信息'!$C:$E,3,FALSE),"-")</f>
        <v>-</v>
      </c>
      <c r="I689" s="60"/>
      <c r="J689" s="60" t="str">
        <f>IFERROR(VLOOKUP($F689,'基础-办公用品信息'!$C:$F,4,FALSE),"-")</f>
        <v>-</v>
      </c>
      <c r="K689" s="60" t="str">
        <f t="shared" si="30"/>
        <v/>
      </c>
      <c r="L689" s="87"/>
      <c r="M689" s="60">
        <f t="shared" si="31"/>
        <v>1900</v>
      </c>
      <c r="N689" s="60">
        <f t="shared" si="32"/>
        <v>1</v>
      </c>
    </row>
    <row r="690" customHeight="1" spans="2:14">
      <c r="B690" s="86">
        <v>688</v>
      </c>
      <c r="C690" s="87"/>
      <c r="D690" s="87"/>
      <c r="E690" s="60" t="str">
        <f>IFERROR(VLOOKUP(D690,'基础-领用人及部门'!$C:$D,2,FALSE),"-")</f>
        <v>-</v>
      </c>
      <c r="F690" s="87"/>
      <c r="G690" s="60" t="str">
        <f>IFERROR(VLOOKUP($F690,'基础-办公用品信息'!$C:$E,2,FALSE),"-")</f>
        <v>-</v>
      </c>
      <c r="H690" s="60" t="str">
        <f>IFERROR(VLOOKUP($F690,'基础-办公用品信息'!$C:$E,3,FALSE),"-")</f>
        <v>-</v>
      </c>
      <c r="I690" s="60"/>
      <c r="J690" s="60" t="str">
        <f>IFERROR(VLOOKUP($F690,'基础-办公用品信息'!$C:$F,4,FALSE),"-")</f>
        <v>-</v>
      </c>
      <c r="K690" s="60" t="str">
        <f t="shared" si="30"/>
        <v/>
      </c>
      <c r="L690" s="87"/>
      <c r="M690" s="60">
        <f t="shared" si="31"/>
        <v>1900</v>
      </c>
      <c r="N690" s="60">
        <f t="shared" si="32"/>
        <v>1</v>
      </c>
    </row>
    <row r="691" customHeight="1" spans="2:14">
      <c r="B691" s="86">
        <v>689</v>
      </c>
      <c r="C691" s="87"/>
      <c r="D691" s="87"/>
      <c r="E691" s="60" t="str">
        <f>IFERROR(VLOOKUP(D691,'基础-领用人及部门'!$C:$D,2,FALSE),"-")</f>
        <v>-</v>
      </c>
      <c r="F691" s="87"/>
      <c r="G691" s="60" t="str">
        <f>IFERROR(VLOOKUP($F691,'基础-办公用品信息'!$C:$E,2,FALSE),"-")</f>
        <v>-</v>
      </c>
      <c r="H691" s="60" t="str">
        <f>IFERROR(VLOOKUP($F691,'基础-办公用品信息'!$C:$E,3,FALSE),"-")</f>
        <v>-</v>
      </c>
      <c r="I691" s="60"/>
      <c r="J691" s="60" t="str">
        <f>IFERROR(VLOOKUP($F691,'基础-办公用品信息'!$C:$F,4,FALSE),"-")</f>
        <v>-</v>
      </c>
      <c r="K691" s="60" t="str">
        <f t="shared" si="30"/>
        <v/>
      </c>
      <c r="L691" s="87"/>
      <c r="M691" s="60">
        <f t="shared" si="31"/>
        <v>1900</v>
      </c>
      <c r="N691" s="60">
        <f t="shared" si="32"/>
        <v>1</v>
      </c>
    </row>
    <row r="692" customHeight="1" spans="2:14">
      <c r="B692" s="86">
        <v>690</v>
      </c>
      <c r="C692" s="87"/>
      <c r="D692" s="87"/>
      <c r="E692" s="60" t="str">
        <f>IFERROR(VLOOKUP(D692,'基础-领用人及部门'!$C:$D,2,FALSE),"-")</f>
        <v>-</v>
      </c>
      <c r="F692" s="87"/>
      <c r="G692" s="60" t="str">
        <f>IFERROR(VLOOKUP($F692,'基础-办公用品信息'!$C:$E,2,FALSE),"-")</f>
        <v>-</v>
      </c>
      <c r="H692" s="60" t="str">
        <f>IFERROR(VLOOKUP($F692,'基础-办公用品信息'!$C:$E,3,FALSE),"-")</f>
        <v>-</v>
      </c>
      <c r="I692" s="60"/>
      <c r="J692" s="60" t="str">
        <f>IFERROR(VLOOKUP($F692,'基础-办公用品信息'!$C:$F,4,FALSE),"-")</f>
        <v>-</v>
      </c>
      <c r="K692" s="60" t="str">
        <f t="shared" si="30"/>
        <v/>
      </c>
      <c r="L692" s="87"/>
      <c r="M692" s="60">
        <f t="shared" si="31"/>
        <v>1900</v>
      </c>
      <c r="N692" s="60">
        <f t="shared" si="32"/>
        <v>1</v>
      </c>
    </row>
    <row r="693" customHeight="1" spans="2:14">
      <c r="B693" s="86">
        <v>691</v>
      </c>
      <c r="C693" s="87"/>
      <c r="D693" s="87"/>
      <c r="E693" s="60" t="str">
        <f>IFERROR(VLOOKUP(D693,'基础-领用人及部门'!$C:$D,2,FALSE),"-")</f>
        <v>-</v>
      </c>
      <c r="F693" s="87"/>
      <c r="G693" s="60" t="str">
        <f>IFERROR(VLOOKUP($F693,'基础-办公用品信息'!$C:$E,2,FALSE),"-")</f>
        <v>-</v>
      </c>
      <c r="H693" s="60" t="str">
        <f>IFERROR(VLOOKUP($F693,'基础-办公用品信息'!$C:$E,3,FALSE),"-")</f>
        <v>-</v>
      </c>
      <c r="I693" s="60"/>
      <c r="J693" s="60" t="str">
        <f>IFERROR(VLOOKUP($F693,'基础-办公用品信息'!$C:$F,4,FALSE),"-")</f>
        <v>-</v>
      </c>
      <c r="K693" s="60" t="str">
        <f t="shared" si="30"/>
        <v/>
      </c>
      <c r="L693" s="87"/>
      <c r="M693" s="60">
        <f t="shared" si="31"/>
        <v>1900</v>
      </c>
      <c r="N693" s="60">
        <f t="shared" si="32"/>
        <v>1</v>
      </c>
    </row>
    <row r="694" customHeight="1" spans="2:14">
      <c r="B694" s="86">
        <v>692</v>
      </c>
      <c r="C694" s="87"/>
      <c r="D694" s="87"/>
      <c r="E694" s="60" t="str">
        <f>IFERROR(VLOOKUP(D694,'基础-领用人及部门'!$C:$D,2,FALSE),"-")</f>
        <v>-</v>
      </c>
      <c r="F694" s="87"/>
      <c r="G694" s="60" t="str">
        <f>IFERROR(VLOOKUP($F694,'基础-办公用品信息'!$C:$E,2,FALSE),"-")</f>
        <v>-</v>
      </c>
      <c r="H694" s="60" t="str">
        <f>IFERROR(VLOOKUP($F694,'基础-办公用品信息'!$C:$E,3,FALSE),"-")</f>
        <v>-</v>
      </c>
      <c r="I694" s="60"/>
      <c r="J694" s="60" t="str">
        <f>IFERROR(VLOOKUP($F694,'基础-办公用品信息'!$C:$F,4,FALSE),"-")</f>
        <v>-</v>
      </c>
      <c r="K694" s="60" t="str">
        <f t="shared" si="30"/>
        <v/>
      </c>
      <c r="L694" s="87"/>
      <c r="M694" s="60">
        <f t="shared" si="31"/>
        <v>1900</v>
      </c>
      <c r="N694" s="60">
        <f t="shared" si="32"/>
        <v>1</v>
      </c>
    </row>
    <row r="695" customHeight="1" spans="2:14">
      <c r="B695" s="86">
        <v>693</v>
      </c>
      <c r="C695" s="87"/>
      <c r="D695" s="87"/>
      <c r="E695" s="60" t="str">
        <f>IFERROR(VLOOKUP(D695,'基础-领用人及部门'!$C:$D,2,FALSE),"-")</f>
        <v>-</v>
      </c>
      <c r="F695" s="87"/>
      <c r="G695" s="60" t="str">
        <f>IFERROR(VLOOKUP($F695,'基础-办公用品信息'!$C:$E,2,FALSE),"-")</f>
        <v>-</v>
      </c>
      <c r="H695" s="60" t="str">
        <f>IFERROR(VLOOKUP($F695,'基础-办公用品信息'!$C:$E,3,FALSE),"-")</f>
        <v>-</v>
      </c>
      <c r="I695" s="60"/>
      <c r="J695" s="60" t="str">
        <f>IFERROR(VLOOKUP($F695,'基础-办公用品信息'!$C:$F,4,FALSE),"-")</f>
        <v>-</v>
      </c>
      <c r="K695" s="60" t="str">
        <f t="shared" si="30"/>
        <v/>
      </c>
      <c r="L695" s="87"/>
      <c r="M695" s="60">
        <f t="shared" si="31"/>
        <v>1900</v>
      </c>
      <c r="N695" s="60">
        <f t="shared" si="32"/>
        <v>1</v>
      </c>
    </row>
    <row r="696" customHeight="1" spans="2:14">
      <c r="B696" s="86">
        <v>694</v>
      </c>
      <c r="C696" s="87"/>
      <c r="D696" s="87"/>
      <c r="E696" s="60" t="str">
        <f>IFERROR(VLOOKUP(D696,'基础-领用人及部门'!$C:$D,2,FALSE),"-")</f>
        <v>-</v>
      </c>
      <c r="F696" s="87"/>
      <c r="G696" s="60" t="str">
        <f>IFERROR(VLOOKUP($F696,'基础-办公用品信息'!$C:$E,2,FALSE),"-")</f>
        <v>-</v>
      </c>
      <c r="H696" s="60" t="str">
        <f>IFERROR(VLOOKUP($F696,'基础-办公用品信息'!$C:$E,3,FALSE),"-")</f>
        <v>-</v>
      </c>
      <c r="I696" s="60"/>
      <c r="J696" s="60" t="str">
        <f>IFERROR(VLOOKUP($F696,'基础-办公用品信息'!$C:$F,4,FALSE),"-")</f>
        <v>-</v>
      </c>
      <c r="K696" s="60" t="str">
        <f t="shared" si="30"/>
        <v/>
      </c>
      <c r="L696" s="87"/>
      <c r="M696" s="60">
        <f t="shared" si="31"/>
        <v>1900</v>
      </c>
      <c r="N696" s="60">
        <f t="shared" si="32"/>
        <v>1</v>
      </c>
    </row>
    <row r="697" customHeight="1" spans="2:14">
      <c r="B697" s="86">
        <v>695</v>
      </c>
      <c r="C697" s="87"/>
      <c r="D697" s="87"/>
      <c r="E697" s="60" t="str">
        <f>IFERROR(VLOOKUP(D697,'基础-领用人及部门'!$C:$D,2,FALSE),"-")</f>
        <v>-</v>
      </c>
      <c r="F697" s="87"/>
      <c r="G697" s="60" t="str">
        <f>IFERROR(VLOOKUP($F697,'基础-办公用品信息'!$C:$E,2,FALSE),"-")</f>
        <v>-</v>
      </c>
      <c r="H697" s="60" t="str">
        <f>IFERROR(VLOOKUP($F697,'基础-办公用品信息'!$C:$E,3,FALSE),"-")</f>
        <v>-</v>
      </c>
      <c r="I697" s="60"/>
      <c r="J697" s="60" t="str">
        <f>IFERROR(VLOOKUP($F697,'基础-办公用品信息'!$C:$F,4,FALSE),"-")</f>
        <v>-</v>
      </c>
      <c r="K697" s="60" t="str">
        <f t="shared" si="30"/>
        <v/>
      </c>
      <c r="L697" s="87"/>
      <c r="M697" s="60">
        <f t="shared" si="31"/>
        <v>1900</v>
      </c>
      <c r="N697" s="60">
        <f t="shared" si="32"/>
        <v>1</v>
      </c>
    </row>
    <row r="698" customHeight="1" spans="2:14">
      <c r="B698" s="86">
        <v>696</v>
      </c>
      <c r="C698" s="87"/>
      <c r="D698" s="87"/>
      <c r="E698" s="60" t="str">
        <f>IFERROR(VLOOKUP(D698,'基础-领用人及部门'!$C:$D,2,FALSE),"-")</f>
        <v>-</v>
      </c>
      <c r="F698" s="87"/>
      <c r="G698" s="60" t="str">
        <f>IFERROR(VLOOKUP($F698,'基础-办公用品信息'!$C:$E,2,FALSE),"-")</f>
        <v>-</v>
      </c>
      <c r="H698" s="60" t="str">
        <f>IFERROR(VLOOKUP($F698,'基础-办公用品信息'!$C:$E,3,FALSE),"-")</f>
        <v>-</v>
      </c>
      <c r="I698" s="60"/>
      <c r="J698" s="60" t="str">
        <f>IFERROR(VLOOKUP($F698,'基础-办公用品信息'!$C:$F,4,FALSE),"-")</f>
        <v>-</v>
      </c>
      <c r="K698" s="60" t="str">
        <f t="shared" si="30"/>
        <v/>
      </c>
      <c r="L698" s="87"/>
      <c r="M698" s="60">
        <f t="shared" si="31"/>
        <v>1900</v>
      </c>
      <c r="N698" s="60">
        <f t="shared" si="32"/>
        <v>1</v>
      </c>
    </row>
    <row r="699" customHeight="1" spans="2:14">
      <c r="B699" s="86">
        <v>697</v>
      </c>
      <c r="C699" s="87"/>
      <c r="D699" s="87"/>
      <c r="E699" s="60" t="str">
        <f>IFERROR(VLOOKUP(D699,'基础-领用人及部门'!$C:$D,2,FALSE),"-")</f>
        <v>-</v>
      </c>
      <c r="F699" s="87"/>
      <c r="G699" s="60" t="str">
        <f>IFERROR(VLOOKUP($F699,'基础-办公用品信息'!$C:$E,2,FALSE),"-")</f>
        <v>-</v>
      </c>
      <c r="H699" s="60" t="str">
        <f>IFERROR(VLOOKUP($F699,'基础-办公用品信息'!$C:$E,3,FALSE),"-")</f>
        <v>-</v>
      </c>
      <c r="I699" s="60"/>
      <c r="J699" s="60" t="str">
        <f>IFERROR(VLOOKUP($F699,'基础-办公用品信息'!$C:$F,4,FALSE),"-")</f>
        <v>-</v>
      </c>
      <c r="K699" s="60" t="str">
        <f t="shared" si="30"/>
        <v/>
      </c>
      <c r="L699" s="87"/>
      <c r="M699" s="60">
        <f t="shared" si="31"/>
        <v>1900</v>
      </c>
      <c r="N699" s="60">
        <f t="shared" si="32"/>
        <v>1</v>
      </c>
    </row>
    <row r="700" customHeight="1" spans="2:14">
      <c r="B700" s="86">
        <v>698</v>
      </c>
      <c r="C700" s="87"/>
      <c r="D700" s="87"/>
      <c r="E700" s="60" t="str">
        <f>IFERROR(VLOOKUP(D700,'基础-领用人及部门'!$C:$D,2,FALSE),"-")</f>
        <v>-</v>
      </c>
      <c r="F700" s="87"/>
      <c r="G700" s="60" t="str">
        <f>IFERROR(VLOOKUP($F700,'基础-办公用品信息'!$C:$E,2,FALSE),"-")</f>
        <v>-</v>
      </c>
      <c r="H700" s="60" t="str">
        <f>IFERROR(VLOOKUP($F700,'基础-办公用品信息'!$C:$E,3,FALSE),"-")</f>
        <v>-</v>
      </c>
      <c r="I700" s="60"/>
      <c r="J700" s="60" t="str">
        <f>IFERROR(VLOOKUP($F700,'基础-办公用品信息'!$C:$F,4,FALSE),"-")</f>
        <v>-</v>
      </c>
      <c r="K700" s="60" t="str">
        <f t="shared" si="30"/>
        <v/>
      </c>
      <c r="L700" s="87"/>
      <c r="M700" s="60">
        <f t="shared" si="31"/>
        <v>1900</v>
      </c>
      <c r="N700" s="60">
        <f t="shared" si="32"/>
        <v>1</v>
      </c>
    </row>
    <row r="701" customHeight="1" spans="2:14">
      <c r="B701" s="86">
        <v>699</v>
      </c>
      <c r="C701" s="87"/>
      <c r="D701" s="87"/>
      <c r="E701" s="60" t="str">
        <f>IFERROR(VLOOKUP(D701,'基础-领用人及部门'!$C:$D,2,FALSE),"-")</f>
        <v>-</v>
      </c>
      <c r="F701" s="87"/>
      <c r="G701" s="60" t="str">
        <f>IFERROR(VLOOKUP($F701,'基础-办公用品信息'!$C:$E,2,FALSE),"-")</f>
        <v>-</v>
      </c>
      <c r="H701" s="60" t="str">
        <f>IFERROR(VLOOKUP($F701,'基础-办公用品信息'!$C:$E,3,FALSE),"-")</f>
        <v>-</v>
      </c>
      <c r="I701" s="60"/>
      <c r="J701" s="60" t="str">
        <f>IFERROR(VLOOKUP($F701,'基础-办公用品信息'!$C:$F,4,FALSE),"-")</f>
        <v>-</v>
      </c>
      <c r="K701" s="60" t="str">
        <f t="shared" si="30"/>
        <v/>
      </c>
      <c r="L701" s="87"/>
      <c r="M701" s="60">
        <f t="shared" si="31"/>
        <v>1900</v>
      </c>
      <c r="N701" s="60">
        <f t="shared" si="32"/>
        <v>1</v>
      </c>
    </row>
    <row r="702" customHeight="1" spans="2:14">
      <c r="B702" s="86">
        <v>700</v>
      </c>
      <c r="C702" s="87"/>
      <c r="D702" s="87"/>
      <c r="E702" s="60" t="str">
        <f>IFERROR(VLOOKUP(D702,'基础-领用人及部门'!$C:$D,2,FALSE),"-")</f>
        <v>-</v>
      </c>
      <c r="F702" s="87"/>
      <c r="G702" s="60" t="str">
        <f>IFERROR(VLOOKUP($F702,'基础-办公用品信息'!$C:$E,2,FALSE),"-")</f>
        <v>-</v>
      </c>
      <c r="H702" s="60" t="str">
        <f>IFERROR(VLOOKUP($F702,'基础-办公用品信息'!$C:$E,3,FALSE),"-")</f>
        <v>-</v>
      </c>
      <c r="I702" s="60"/>
      <c r="J702" s="60" t="str">
        <f>IFERROR(VLOOKUP($F702,'基础-办公用品信息'!$C:$F,4,FALSE),"-")</f>
        <v>-</v>
      </c>
      <c r="K702" s="60" t="str">
        <f t="shared" si="30"/>
        <v/>
      </c>
      <c r="L702" s="87"/>
      <c r="M702" s="60">
        <f t="shared" si="31"/>
        <v>1900</v>
      </c>
      <c r="N702" s="60">
        <f t="shared" si="32"/>
        <v>1</v>
      </c>
    </row>
    <row r="703" customHeight="1" spans="2:14">
      <c r="B703" s="86">
        <v>701</v>
      </c>
      <c r="C703" s="87"/>
      <c r="D703" s="87"/>
      <c r="E703" s="60" t="str">
        <f>IFERROR(VLOOKUP(D703,'基础-领用人及部门'!$C:$D,2,FALSE),"-")</f>
        <v>-</v>
      </c>
      <c r="F703" s="87"/>
      <c r="G703" s="60" t="str">
        <f>IFERROR(VLOOKUP($F703,'基础-办公用品信息'!$C:$E,2,FALSE),"-")</f>
        <v>-</v>
      </c>
      <c r="H703" s="60" t="str">
        <f>IFERROR(VLOOKUP($F703,'基础-办公用品信息'!$C:$E,3,FALSE),"-")</f>
        <v>-</v>
      </c>
      <c r="I703" s="60"/>
      <c r="J703" s="60" t="str">
        <f>IFERROR(VLOOKUP($F703,'基础-办公用品信息'!$C:$F,4,FALSE),"-")</f>
        <v>-</v>
      </c>
      <c r="K703" s="60" t="str">
        <f t="shared" si="30"/>
        <v/>
      </c>
      <c r="L703" s="87"/>
      <c r="M703" s="60">
        <f t="shared" si="31"/>
        <v>1900</v>
      </c>
      <c r="N703" s="60">
        <f t="shared" si="32"/>
        <v>1</v>
      </c>
    </row>
    <row r="704" customHeight="1" spans="2:14">
      <c r="B704" s="86">
        <v>702</v>
      </c>
      <c r="C704" s="87"/>
      <c r="D704" s="87"/>
      <c r="E704" s="60" t="str">
        <f>IFERROR(VLOOKUP(D704,'基础-领用人及部门'!$C:$D,2,FALSE),"-")</f>
        <v>-</v>
      </c>
      <c r="F704" s="87"/>
      <c r="G704" s="60" t="str">
        <f>IFERROR(VLOOKUP($F704,'基础-办公用品信息'!$C:$E,2,FALSE),"-")</f>
        <v>-</v>
      </c>
      <c r="H704" s="60" t="str">
        <f>IFERROR(VLOOKUP($F704,'基础-办公用品信息'!$C:$E,3,FALSE),"-")</f>
        <v>-</v>
      </c>
      <c r="I704" s="60"/>
      <c r="J704" s="60" t="str">
        <f>IFERROR(VLOOKUP($F704,'基础-办公用品信息'!$C:$F,4,FALSE),"-")</f>
        <v>-</v>
      </c>
      <c r="K704" s="60" t="str">
        <f t="shared" si="30"/>
        <v/>
      </c>
      <c r="L704" s="87"/>
      <c r="M704" s="60">
        <f t="shared" si="31"/>
        <v>1900</v>
      </c>
      <c r="N704" s="60">
        <f t="shared" si="32"/>
        <v>1</v>
      </c>
    </row>
    <row r="705" customHeight="1" spans="2:14">
      <c r="B705" s="86">
        <v>703</v>
      </c>
      <c r="C705" s="87"/>
      <c r="D705" s="87"/>
      <c r="E705" s="60" t="str">
        <f>IFERROR(VLOOKUP(D705,'基础-领用人及部门'!$C:$D,2,FALSE),"-")</f>
        <v>-</v>
      </c>
      <c r="F705" s="87"/>
      <c r="G705" s="60" t="str">
        <f>IFERROR(VLOOKUP($F705,'基础-办公用品信息'!$C:$E,2,FALSE),"-")</f>
        <v>-</v>
      </c>
      <c r="H705" s="60" t="str">
        <f>IFERROR(VLOOKUP($F705,'基础-办公用品信息'!$C:$E,3,FALSE),"-")</f>
        <v>-</v>
      </c>
      <c r="I705" s="60"/>
      <c r="J705" s="60" t="str">
        <f>IFERROR(VLOOKUP($F705,'基础-办公用品信息'!$C:$F,4,FALSE),"-")</f>
        <v>-</v>
      </c>
      <c r="K705" s="60" t="str">
        <f t="shared" si="30"/>
        <v/>
      </c>
      <c r="L705" s="87"/>
      <c r="M705" s="60">
        <f t="shared" si="31"/>
        <v>1900</v>
      </c>
      <c r="N705" s="60">
        <f t="shared" si="32"/>
        <v>1</v>
      </c>
    </row>
    <row r="706" customHeight="1" spans="2:14">
      <c r="B706" s="86">
        <v>704</v>
      </c>
      <c r="C706" s="87"/>
      <c r="D706" s="87"/>
      <c r="E706" s="60" t="str">
        <f>IFERROR(VLOOKUP(D706,'基础-领用人及部门'!$C:$D,2,FALSE),"-")</f>
        <v>-</v>
      </c>
      <c r="F706" s="87"/>
      <c r="G706" s="60" t="str">
        <f>IFERROR(VLOOKUP($F706,'基础-办公用品信息'!$C:$E,2,FALSE),"-")</f>
        <v>-</v>
      </c>
      <c r="H706" s="60" t="str">
        <f>IFERROR(VLOOKUP($F706,'基础-办公用品信息'!$C:$E,3,FALSE),"-")</f>
        <v>-</v>
      </c>
      <c r="I706" s="60"/>
      <c r="J706" s="60" t="str">
        <f>IFERROR(VLOOKUP($F706,'基础-办公用品信息'!$C:$F,4,FALSE),"-")</f>
        <v>-</v>
      </c>
      <c r="K706" s="60" t="str">
        <f t="shared" si="30"/>
        <v/>
      </c>
      <c r="L706" s="87"/>
      <c r="M706" s="60">
        <f t="shared" si="31"/>
        <v>1900</v>
      </c>
      <c r="N706" s="60">
        <f t="shared" si="32"/>
        <v>1</v>
      </c>
    </row>
    <row r="707" customHeight="1" spans="2:14">
      <c r="B707" s="86">
        <v>705</v>
      </c>
      <c r="C707" s="87"/>
      <c r="D707" s="87"/>
      <c r="E707" s="60" t="str">
        <f>IFERROR(VLOOKUP(D707,'基础-领用人及部门'!$C:$D,2,FALSE),"-")</f>
        <v>-</v>
      </c>
      <c r="F707" s="87"/>
      <c r="G707" s="60" t="str">
        <f>IFERROR(VLOOKUP($F707,'基础-办公用品信息'!$C:$E,2,FALSE),"-")</f>
        <v>-</v>
      </c>
      <c r="H707" s="60" t="str">
        <f>IFERROR(VLOOKUP($F707,'基础-办公用品信息'!$C:$E,3,FALSE),"-")</f>
        <v>-</v>
      </c>
      <c r="I707" s="60"/>
      <c r="J707" s="60" t="str">
        <f>IFERROR(VLOOKUP($F707,'基础-办公用品信息'!$C:$F,4,FALSE),"-")</f>
        <v>-</v>
      </c>
      <c r="K707" s="60" t="str">
        <f t="shared" ref="K707:K770" si="33">IFERROR(I707*J707,"")</f>
        <v/>
      </c>
      <c r="L707" s="87"/>
      <c r="M707" s="60">
        <f t="shared" ref="M707:M770" si="34">YEAR(C707)</f>
        <v>1900</v>
      </c>
      <c r="N707" s="60">
        <f t="shared" ref="N707:N770" si="35">MONTH(C707)</f>
        <v>1</v>
      </c>
    </row>
    <row r="708" customHeight="1" spans="2:14">
      <c r="B708" s="86">
        <v>706</v>
      </c>
      <c r="C708" s="87"/>
      <c r="D708" s="87"/>
      <c r="E708" s="60" t="str">
        <f>IFERROR(VLOOKUP(D708,'基础-领用人及部门'!$C:$D,2,FALSE),"-")</f>
        <v>-</v>
      </c>
      <c r="F708" s="87"/>
      <c r="G708" s="60" t="str">
        <f>IFERROR(VLOOKUP($F708,'基础-办公用品信息'!$C:$E,2,FALSE),"-")</f>
        <v>-</v>
      </c>
      <c r="H708" s="60" t="str">
        <f>IFERROR(VLOOKUP($F708,'基础-办公用品信息'!$C:$E,3,FALSE),"-")</f>
        <v>-</v>
      </c>
      <c r="I708" s="60"/>
      <c r="J708" s="60" t="str">
        <f>IFERROR(VLOOKUP($F708,'基础-办公用品信息'!$C:$F,4,FALSE),"-")</f>
        <v>-</v>
      </c>
      <c r="K708" s="60" t="str">
        <f t="shared" si="33"/>
        <v/>
      </c>
      <c r="L708" s="87"/>
      <c r="M708" s="60">
        <f t="shared" si="34"/>
        <v>1900</v>
      </c>
      <c r="N708" s="60">
        <f t="shared" si="35"/>
        <v>1</v>
      </c>
    </row>
    <row r="709" customHeight="1" spans="2:14">
      <c r="B709" s="86">
        <v>707</v>
      </c>
      <c r="C709" s="87"/>
      <c r="D709" s="87"/>
      <c r="E709" s="60" t="str">
        <f>IFERROR(VLOOKUP(D709,'基础-领用人及部门'!$C:$D,2,FALSE),"-")</f>
        <v>-</v>
      </c>
      <c r="F709" s="87"/>
      <c r="G709" s="60" t="str">
        <f>IFERROR(VLOOKUP($F709,'基础-办公用品信息'!$C:$E,2,FALSE),"-")</f>
        <v>-</v>
      </c>
      <c r="H709" s="60" t="str">
        <f>IFERROR(VLOOKUP($F709,'基础-办公用品信息'!$C:$E,3,FALSE),"-")</f>
        <v>-</v>
      </c>
      <c r="I709" s="60"/>
      <c r="J709" s="60" t="str">
        <f>IFERROR(VLOOKUP($F709,'基础-办公用品信息'!$C:$F,4,FALSE),"-")</f>
        <v>-</v>
      </c>
      <c r="K709" s="60" t="str">
        <f t="shared" si="33"/>
        <v/>
      </c>
      <c r="L709" s="87"/>
      <c r="M709" s="60">
        <f t="shared" si="34"/>
        <v>1900</v>
      </c>
      <c r="N709" s="60">
        <f t="shared" si="35"/>
        <v>1</v>
      </c>
    </row>
    <row r="710" customHeight="1" spans="2:14">
      <c r="B710" s="86">
        <v>708</v>
      </c>
      <c r="C710" s="87"/>
      <c r="D710" s="87"/>
      <c r="E710" s="60" t="str">
        <f>IFERROR(VLOOKUP(D710,'基础-领用人及部门'!$C:$D,2,FALSE),"-")</f>
        <v>-</v>
      </c>
      <c r="F710" s="87"/>
      <c r="G710" s="60" t="str">
        <f>IFERROR(VLOOKUP($F710,'基础-办公用品信息'!$C:$E,2,FALSE),"-")</f>
        <v>-</v>
      </c>
      <c r="H710" s="60" t="str">
        <f>IFERROR(VLOOKUP($F710,'基础-办公用品信息'!$C:$E,3,FALSE),"-")</f>
        <v>-</v>
      </c>
      <c r="I710" s="60"/>
      <c r="J710" s="60" t="str">
        <f>IFERROR(VLOOKUP($F710,'基础-办公用品信息'!$C:$F,4,FALSE),"-")</f>
        <v>-</v>
      </c>
      <c r="K710" s="60" t="str">
        <f t="shared" si="33"/>
        <v/>
      </c>
      <c r="L710" s="87"/>
      <c r="M710" s="60">
        <f t="shared" si="34"/>
        <v>1900</v>
      </c>
      <c r="N710" s="60">
        <f t="shared" si="35"/>
        <v>1</v>
      </c>
    </row>
    <row r="711" customHeight="1" spans="2:14">
      <c r="B711" s="86">
        <v>709</v>
      </c>
      <c r="C711" s="87"/>
      <c r="D711" s="87"/>
      <c r="E711" s="60" t="str">
        <f>IFERROR(VLOOKUP(D711,'基础-领用人及部门'!$C:$D,2,FALSE),"-")</f>
        <v>-</v>
      </c>
      <c r="F711" s="87"/>
      <c r="G711" s="60" t="str">
        <f>IFERROR(VLOOKUP($F711,'基础-办公用品信息'!$C:$E,2,FALSE),"-")</f>
        <v>-</v>
      </c>
      <c r="H711" s="60" t="str">
        <f>IFERROR(VLOOKUP($F711,'基础-办公用品信息'!$C:$E,3,FALSE),"-")</f>
        <v>-</v>
      </c>
      <c r="I711" s="60"/>
      <c r="J711" s="60" t="str">
        <f>IFERROR(VLOOKUP($F711,'基础-办公用品信息'!$C:$F,4,FALSE),"-")</f>
        <v>-</v>
      </c>
      <c r="K711" s="60" t="str">
        <f t="shared" si="33"/>
        <v/>
      </c>
      <c r="L711" s="87"/>
      <c r="M711" s="60">
        <f t="shared" si="34"/>
        <v>1900</v>
      </c>
      <c r="N711" s="60">
        <f t="shared" si="35"/>
        <v>1</v>
      </c>
    </row>
    <row r="712" customHeight="1" spans="2:14">
      <c r="B712" s="86">
        <v>710</v>
      </c>
      <c r="C712" s="87"/>
      <c r="D712" s="87"/>
      <c r="E712" s="60" t="str">
        <f>IFERROR(VLOOKUP(D712,'基础-领用人及部门'!$C:$D,2,FALSE),"-")</f>
        <v>-</v>
      </c>
      <c r="F712" s="87"/>
      <c r="G712" s="60" t="str">
        <f>IFERROR(VLOOKUP($F712,'基础-办公用品信息'!$C:$E,2,FALSE),"-")</f>
        <v>-</v>
      </c>
      <c r="H712" s="60" t="str">
        <f>IFERROR(VLOOKUP($F712,'基础-办公用品信息'!$C:$E,3,FALSE),"-")</f>
        <v>-</v>
      </c>
      <c r="I712" s="60"/>
      <c r="J712" s="60" t="str">
        <f>IFERROR(VLOOKUP($F712,'基础-办公用品信息'!$C:$F,4,FALSE),"-")</f>
        <v>-</v>
      </c>
      <c r="K712" s="60" t="str">
        <f t="shared" si="33"/>
        <v/>
      </c>
      <c r="L712" s="87"/>
      <c r="M712" s="60">
        <f t="shared" si="34"/>
        <v>1900</v>
      </c>
      <c r="N712" s="60">
        <f t="shared" si="35"/>
        <v>1</v>
      </c>
    </row>
    <row r="713" customHeight="1" spans="2:14">
      <c r="B713" s="86">
        <v>711</v>
      </c>
      <c r="C713" s="87"/>
      <c r="D713" s="87"/>
      <c r="E713" s="60" t="str">
        <f>IFERROR(VLOOKUP(D713,'基础-领用人及部门'!$C:$D,2,FALSE),"-")</f>
        <v>-</v>
      </c>
      <c r="F713" s="87"/>
      <c r="G713" s="60" t="str">
        <f>IFERROR(VLOOKUP($F713,'基础-办公用品信息'!$C:$E,2,FALSE),"-")</f>
        <v>-</v>
      </c>
      <c r="H713" s="60" t="str">
        <f>IFERROR(VLOOKUP($F713,'基础-办公用品信息'!$C:$E,3,FALSE),"-")</f>
        <v>-</v>
      </c>
      <c r="I713" s="60"/>
      <c r="J713" s="60" t="str">
        <f>IFERROR(VLOOKUP($F713,'基础-办公用品信息'!$C:$F,4,FALSE),"-")</f>
        <v>-</v>
      </c>
      <c r="K713" s="60" t="str">
        <f t="shared" si="33"/>
        <v/>
      </c>
      <c r="L713" s="87"/>
      <c r="M713" s="60">
        <f t="shared" si="34"/>
        <v>1900</v>
      </c>
      <c r="N713" s="60">
        <f t="shared" si="35"/>
        <v>1</v>
      </c>
    </row>
    <row r="714" customHeight="1" spans="2:14">
      <c r="B714" s="86">
        <v>712</v>
      </c>
      <c r="C714" s="87"/>
      <c r="D714" s="87"/>
      <c r="E714" s="60" t="str">
        <f>IFERROR(VLOOKUP(D714,'基础-领用人及部门'!$C:$D,2,FALSE),"-")</f>
        <v>-</v>
      </c>
      <c r="F714" s="87"/>
      <c r="G714" s="60" t="str">
        <f>IFERROR(VLOOKUP($F714,'基础-办公用品信息'!$C:$E,2,FALSE),"-")</f>
        <v>-</v>
      </c>
      <c r="H714" s="60" t="str">
        <f>IFERROR(VLOOKUP($F714,'基础-办公用品信息'!$C:$E,3,FALSE),"-")</f>
        <v>-</v>
      </c>
      <c r="I714" s="60"/>
      <c r="J714" s="60" t="str">
        <f>IFERROR(VLOOKUP($F714,'基础-办公用品信息'!$C:$F,4,FALSE),"-")</f>
        <v>-</v>
      </c>
      <c r="K714" s="60" t="str">
        <f t="shared" si="33"/>
        <v/>
      </c>
      <c r="L714" s="87"/>
      <c r="M714" s="60">
        <f t="shared" si="34"/>
        <v>1900</v>
      </c>
      <c r="N714" s="60">
        <f t="shared" si="35"/>
        <v>1</v>
      </c>
    </row>
    <row r="715" customHeight="1" spans="2:14">
      <c r="B715" s="86">
        <v>713</v>
      </c>
      <c r="C715" s="87"/>
      <c r="D715" s="87"/>
      <c r="E715" s="60" t="str">
        <f>IFERROR(VLOOKUP(D715,'基础-领用人及部门'!$C:$D,2,FALSE),"-")</f>
        <v>-</v>
      </c>
      <c r="F715" s="87"/>
      <c r="G715" s="60" t="str">
        <f>IFERROR(VLOOKUP($F715,'基础-办公用品信息'!$C:$E,2,FALSE),"-")</f>
        <v>-</v>
      </c>
      <c r="H715" s="60" t="str">
        <f>IFERROR(VLOOKUP($F715,'基础-办公用品信息'!$C:$E,3,FALSE),"-")</f>
        <v>-</v>
      </c>
      <c r="I715" s="60"/>
      <c r="J715" s="60" t="str">
        <f>IFERROR(VLOOKUP($F715,'基础-办公用品信息'!$C:$F,4,FALSE),"-")</f>
        <v>-</v>
      </c>
      <c r="K715" s="60" t="str">
        <f t="shared" si="33"/>
        <v/>
      </c>
      <c r="L715" s="87"/>
      <c r="M715" s="60">
        <f t="shared" si="34"/>
        <v>1900</v>
      </c>
      <c r="N715" s="60">
        <f t="shared" si="35"/>
        <v>1</v>
      </c>
    </row>
    <row r="716" customHeight="1" spans="2:14">
      <c r="B716" s="86">
        <v>714</v>
      </c>
      <c r="C716" s="87"/>
      <c r="D716" s="87"/>
      <c r="E716" s="60" t="str">
        <f>IFERROR(VLOOKUP(D716,'基础-领用人及部门'!$C:$D,2,FALSE),"-")</f>
        <v>-</v>
      </c>
      <c r="F716" s="87"/>
      <c r="G716" s="60" t="str">
        <f>IFERROR(VLOOKUP($F716,'基础-办公用品信息'!$C:$E,2,FALSE),"-")</f>
        <v>-</v>
      </c>
      <c r="H716" s="60" t="str">
        <f>IFERROR(VLOOKUP($F716,'基础-办公用品信息'!$C:$E,3,FALSE),"-")</f>
        <v>-</v>
      </c>
      <c r="I716" s="60"/>
      <c r="J716" s="60" t="str">
        <f>IFERROR(VLOOKUP($F716,'基础-办公用品信息'!$C:$F,4,FALSE),"-")</f>
        <v>-</v>
      </c>
      <c r="K716" s="60" t="str">
        <f t="shared" si="33"/>
        <v/>
      </c>
      <c r="L716" s="87"/>
      <c r="M716" s="60">
        <f t="shared" si="34"/>
        <v>1900</v>
      </c>
      <c r="N716" s="60">
        <f t="shared" si="35"/>
        <v>1</v>
      </c>
    </row>
    <row r="717" customHeight="1" spans="2:14">
      <c r="B717" s="86">
        <v>715</v>
      </c>
      <c r="C717" s="87"/>
      <c r="D717" s="87"/>
      <c r="E717" s="60" t="str">
        <f>IFERROR(VLOOKUP(D717,'基础-领用人及部门'!$C:$D,2,FALSE),"-")</f>
        <v>-</v>
      </c>
      <c r="F717" s="87"/>
      <c r="G717" s="60" t="str">
        <f>IFERROR(VLOOKUP($F717,'基础-办公用品信息'!$C:$E,2,FALSE),"-")</f>
        <v>-</v>
      </c>
      <c r="H717" s="60" t="str">
        <f>IFERROR(VLOOKUP($F717,'基础-办公用品信息'!$C:$E,3,FALSE),"-")</f>
        <v>-</v>
      </c>
      <c r="I717" s="60"/>
      <c r="J717" s="60" t="str">
        <f>IFERROR(VLOOKUP($F717,'基础-办公用品信息'!$C:$F,4,FALSE),"-")</f>
        <v>-</v>
      </c>
      <c r="K717" s="60" t="str">
        <f t="shared" si="33"/>
        <v/>
      </c>
      <c r="L717" s="87"/>
      <c r="M717" s="60">
        <f t="shared" si="34"/>
        <v>1900</v>
      </c>
      <c r="N717" s="60">
        <f t="shared" si="35"/>
        <v>1</v>
      </c>
    </row>
    <row r="718" customHeight="1" spans="2:14">
      <c r="B718" s="86">
        <v>716</v>
      </c>
      <c r="C718" s="87"/>
      <c r="D718" s="87"/>
      <c r="E718" s="60" t="str">
        <f>IFERROR(VLOOKUP(D718,'基础-领用人及部门'!$C:$D,2,FALSE),"-")</f>
        <v>-</v>
      </c>
      <c r="F718" s="87"/>
      <c r="G718" s="60" t="str">
        <f>IFERROR(VLOOKUP($F718,'基础-办公用品信息'!$C:$E,2,FALSE),"-")</f>
        <v>-</v>
      </c>
      <c r="H718" s="60" t="str">
        <f>IFERROR(VLOOKUP($F718,'基础-办公用品信息'!$C:$E,3,FALSE),"-")</f>
        <v>-</v>
      </c>
      <c r="I718" s="60"/>
      <c r="J718" s="60" t="str">
        <f>IFERROR(VLOOKUP($F718,'基础-办公用品信息'!$C:$F,4,FALSE),"-")</f>
        <v>-</v>
      </c>
      <c r="K718" s="60" t="str">
        <f t="shared" si="33"/>
        <v/>
      </c>
      <c r="L718" s="87"/>
      <c r="M718" s="60">
        <f t="shared" si="34"/>
        <v>1900</v>
      </c>
      <c r="N718" s="60">
        <f t="shared" si="35"/>
        <v>1</v>
      </c>
    </row>
    <row r="719" customHeight="1" spans="2:14">
      <c r="B719" s="86">
        <v>717</v>
      </c>
      <c r="C719" s="87"/>
      <c r="D719" s="87"/>
      <c r="E719" s="60" t="str">
        <f>IFERROR(VLOOKUP(D719,'基础-领用人及部门'!$C:$D,2,FALSE),"-")</f>
        <v>-</v>
      </c>
      <c r="F719" s="87"/>
      <c r="G719" s="60" t="str">
        <f>IFERROR(VLOOKUP($F719,'基础-办公用品信息'!$C:$E,2,FALSE),"-")</f>
        <v>-</v>
      </c>
      <c r="H719" s="60" t="str">
        <f>IFERROR(VLOOKUP($F719,'基础-办公用品信息'!$C:$E,3,FALSE),"-")</f>
        <v>-</v>
      </c>
      <c r="I719" s="60"/>
      <c r="J719" s="60" t="str">
        <f>IFERROR(VLOOKUP($F719,'基础-办公用品信息'!$C:$F,4,FALSE),"-")</f>
        <v>-</v>
      </c>
      <c r="K719" s="60" t="str">
        <f t="shared" si="33"/>
        <v/>
      </c>
      <c r="L719" s="87"/>
      <c r="M719" s="60">
        <f t="shared" si="34"/>
        <v>1900</v>
      </c>
      <c r="N719" s="60">
        <f t="shared" si="35"/>
        <v>1</v>
      </c>
    </row>
    <row r="720" customHeight="1" spans="2:14">
      <c r="B720" s="86">
        <v>718</v>
      </c>
      <c r="C720" s="87"/>
      <c r="D720" s="87"/>
      <c r="E720" s="60" t="str">
        <f>IFERROR(VLOOKUP(D720,'基础-领用人及部门'!$C:$D,2,FALSE),"-")</f>
        <v>-</v>
      </c>
      <c r="F720" s="87"/>
      <c r="G720" s="60" t="str">
        <f>IFERROR(VLOOKUP($F720,'基础-办公用品信息'!$C:$E,2,FALSE),"-")</f>
        <v>-</v>
      </c>
      <c r="H720" s="60" t="str">
        <f>IFERROR(VLOOKUP($F720,'基础-办公用品信息'!$C:$E,3,FALSE),"-")</f>
        <v>-</v>
      </c>
      <c r="I720" s="60"/>
      <c r="J720" s="60" t="str">
        <f>IFERROR(VLOOKUP($F720,'基础-办公用品信息'!$C:$F,4,FALSE),"-")</f>
        <v>-</v>
      </c>
      <c r="K720" s="60" t="str">
        <f t="shared" si="33"/>
        <v/>
      </c>
      <c r="L720" s="87"/>
      <c r="M720" s="60">
        <f t="shared" si="34"/>
        <v>1900</v>
      </c>
      <c r="N720" s="60">
        <f t="shared" si="35"/>
        <v>1</v>
      </c>
    </row>
    <row r="721" customHeight="1" spans="2:14">
      <c r="B721" s="86">
        <v>719</v>
      </c>
      <c r="C721" s="87"/>
      <c r="D721" s="87"/>
      <c r="E721" s="60" t="str">
        <f>IFERROR(VLOOKUP(D721,'基础-领用人及部门'!$C:$D,2,FALSE),"-")</f>
        <v>-</v>
      </c>
      <c r="F721" s="87"/>
      <c r="G721" s="60" t="str">
        <f>IFERROR(VLOOKUP($F721,'基础-办公用品信息'!$C:$E,2,FALSE),"-")</f>
        <v>-</v>
      </c>
      <c r="H721" s="60" t="str">
        <f>IFERROR(VLOOKUP($F721,'基础-办公用品信息'!$C:$E,3,FALSE),"-")</f>
        <v>-</v>
      </c>
      <c r="I721" s="60"/>
      <c r="J721" s="60" t="str">
        <f>IFERROR(VLOOKUP($F721,'基础-办公用品信息'!$C:$F,4,FALSE),"-")</f>
        <v>-</v>
      </c>
      <c r="K721" s="60" t="str">
        <f t="shared" si="33"/>
        <v/>
      </c>
      <c r="L721" s="87"/>
      <c r="M721" s="60">
        <f t="shared" si="34"/>
        <v>1900</v>
      </c>
      <c r="N721" s="60">
        <f t="shared" si="35"/>
        <v>1</v>
      </c>
    </row>
    <row r="722" customHeight="1" spans="2:14">
      <c r="B722" s="86">
        <v>720</v>
      </c>
      <c r="C722" s="87"/>
      <c r="D722" s="87"/>
      <c r="E722" s="60" t="str">
        <f>IFERROR(VLOOKUP(D722,'基础-领用人及部门'!$C:$D,2,FALSE),"-")</f>
        <v>-</v>
      </c>
      <c r="F722" s="87"/>
      <c r="G722" s="60" t="str">
        <f>IFERROR(VLOOKUP($F722,'基础-办公用品信息'!$C:$E,2,FALSE),"-")</f>
        <v>-</v>
      </c>
      <c r="H722" s="60" t="str">
        <f>IFERROR(VLOOKUP($F722,'基础-办公用品信息'!$C:$E,3,FALSE),"-")</f>
        <v>-</v>
      </c>
      <c r="I722" s="60"/>
      <c r="J722" s="60" t="str">
        <f>IFERROR(VLOOKUP($F722,'基础-办公用品信息'!$C:$F,4,FALSE),"-")</f>
        <v>-</v>
      </c>
      <c r="K722" s="60" t="str">
        <f t="shared" si="33"/>
        <v/>
      </c>
      <c r="L722" s="87"/>
      <c r="M722" s="60">
        <f t="shared" si="34"/>
        <v>1900</v>
      </c>
      <c r="N722" s="60">
        <f t="shared" si="35"/>
        <v>1</v>
      </c>
    </row>
    <row r="723" customHeight="1" spans="2:14">
      <c r="B723" s="86">
        <v>721</v>
      </c>
      <c r="C723" s="87"/>
      <c r="D723" s="87"/>
      <c r="E723" s="60" t="str">
        <f>IFERROR(VLOOKUP(D723,'基础-领用人及部门'!$C:$D,2,FALSE),"-")</f>
        <v>-</v>
      </c>
      <c r="F723" s="87"/>
      <c r="G723" s="60" t="str">
        <f>IFERROR(VLOOKUP($F723,'基础-办公用品信息'!$C:$E,2,FALSE),"-")</f>
        <v>-</v>
      </c>
      <c r="H723" s="60" t="str">
        <f>IFERROR(VLOOKUP($F723,'基础-办公用品信息'!$C:$E,3,FALSE),"-")</f>
        <v>-</v>
      </c>
      <c r="I723" s="60"/>
      <c r="J723" s="60" t="str">
        <f>IFERROR(VLOOKUP($F723,'基础-办公用品信息'!$C:$F,4,FALSE),"-")</f>
        <v>-</v>
      </c>
      <c r="K723" s="60" t="str">
        <f t="shared" si="33"/>
        <v/>
      </c>
      <c r="L723" s="87"/>
      <c r="M723" s="60">
        <f t="shared" si="34"/>
        <v>1900</v>
      </c>
      <c r="N723" s="60">
        <f t="shared" si="35"/>
        <v>1</v>
      </c>
    </row>
    <row r="724" customHeight="1" spans="2:14">
      <c r="B724" s="86">
        <v>722</v>
      </c>
      <c r="C724" s="87"/>
      <c r="D724" s="87"/>
      <c r="E724" s="60" t="str">
        <f>IFERROR(VLOOKUP(D724,'基础-领用人及部门'!$C:$D,2,FALSE),"-")</f>
        <v>-</v>
      </c>
      <c r="F724" s="87"/>
      <c r="G724" s="60" t="str">
        <f>IFERROR(VLOOKUP($F724,'基础-办公用品信息'!$C:$E,2,FALSE),"-")</f>
        <v>-</v>
      </c>
      <c r="H724" s="60" t="str">
        <f>IFERROR(VLOOKUP($F724,'基础-办公用品信息'!$C:$E,3,FALSE),"-")</f>
        <v>-</v>
      </c>
      <c r="I724" s="60"/>
      <c r="J724" s="60" t="str">
        <f>IFERROR(VLOOKUP($F724,'基础-办公用品信息'!$C:$F,4,FALSE),"-")</f>
        <v>-</v>
      </c>
      <c r="K724" s="60" t="str">
        <f t="shared" si="33"/>
        <v/>
      </c>
      <c r="L724" s="87"/>
      <c r="M724" s="60">
        <f t="shared" si="34"/>
        <v>1900</v>
      </c>
      <c r="N724" s="60">
        <f t="shared" si="35"/>
        <v>1</v>
      </c>
    </row>
    <row r="725" customHeight="1" spans="2:14">
      <c r="B725" s="86">
        <v>723</v>
      </c>
      <c r="C725" s="87"/>
      <c r="D725" s="87"/>
      <c r="E725" s="60" t="str">
        <f>IFERROR(VLOOKUP(D725,'基础-领用人及部门'!$C:$D,2,FALSE),"-")</f>
        <v>-</v>
      </c>
      <c r="F725" s="87"/>
      <c r="G725" s="60" t="str">
        <f>IFERROR(VLOOKUP($F725,'基础-办公用品信息'!$C:$E,2,FALSE),"-")</f>
        <v>-</v>
      </c>
      <c r="H725" s="60" t="str">
        <f>IFERROR(VLOOKUP($F725,'基础-办公用品信息'!$C:$E,3,FALSE),"-")</f>
        <v>-</v>
      </c>
      <c r="I725" s="60"/>
      <c r="J725" s="60" t="str">
        <f>IFERROR(VLOOKUP($F725,'基础-办公用品信息'!$C:$F,4,FALSE),"-")</f>
        <v>-</v>
      </c>
      <c r="K725" s="60" t="str">
        <f t="shared" si="33"/>
        <v/>
      </c>
      <c r="L725" s="87"/>
      <c r="M725" s="60">
        <f t="shared" si="34"/>
        <v>1900</v>
      </c>
      <c r="N725" s="60">
        <f t="shared" si="35"/>
        <v>1</v>
      </c>
    </row>
    <row r="726" customHeight="1" spans="2:14">
      <c r="B726" s="86">
        <v>724</v>
      </c>
      <c r="C726" s="87"/>
      <c r="D726" s="87"/>
      <c r="E726" s="60" t="str">
        <f>IFERROR(VLOOKUP(D726,'基础-领用人及部门'!$C:$D,2,FALSE),"-")</f>
        <v>-</v>
      </c>
      <c r="F726" s="87"/>
      <c r="G726" s="60" t="str">
        <f>IFERROR(VLOOKUP($F726,'基础-办公用品信息'!$C:$E,2,FALSE),"-")</f>
        <v>-</v>
      </c>
      <c r="H726" s="60" t="str">
        <f>IFERROR(VLOOKUP($F726,'基础-办公用品信息'!$C:$E,3,FALSE),"-")</f>
        <v>-</v>
      </c>
      <c r="I726" s="60"/>
      <c r="J726" s="60" t="str">
        <f>IFERROR(VLOOKUP($F726,'基础-办公用品信息'!$C:$F,4,FALSE),"-")</f>
        <v>-</v>
      </c>
      <c r="K726" s="60" t="str">
        <f t="shared" si="33"/>
        <v/>
      </c>
      <c r="L726" s="87"/>
      <c r="M726" s="60">
        <f t="shared" si="34"/>
        <v>1900</v>
      </c>
      <c r="N726" s="60">
        <f t="shared" si="35"/>
        <v>1</v>
      </c>
    </row>
    <row r="727" customHeight="1" spans="2:14">
      <c r="B727" s="86">
        <v>725</v>
      </c>
      <c r="C727" s="87"/>
      <c r="D727" s="87"/>
      <c r="E727" s="60" t="str">
        <f>IFERROR(VLOOKUP(D727,'基础-领用人及部门'!$C:$D,2,FALSE),"-")</f>
        <v>-</v>
      </c>
      <c r="F727" s="87"/>
      <c r="G727" s="60" t="str">
        <f>IFERROR(VLOOKUP($F727,'基础-办公用品信息'!$C:$E,2,FALSE),"-")</f>
        <v>-</v>
      </c>
      <c r="H727" s="60" t="str">
        <f>IFERROR(VLOOKUP($F727,'基础-办公用品信息'!$C:$E,3,FALSE),"-")</f>
        <v>-</v>
      </c>
      <c r="I727" s="60"/>
      <c r="J727" s="60" t="str">
        <f>IFERROR(VLOOKUP($F727,'基础-办公用品信息'!$C:$F,4,FALSE),"-")</f>
        <v>-</v>
      </c>
      <c r="K727" s="60" t="str">
        <f t="shared" si="33"/>
        <v/>
      </c>
      <c r="L727" s="87"/>
      <c r="M727" s="60">
        <f t="shared" si="34"/>
        <v>1900</v>
      </c>
      <c r="N727" s="60">
        <f t="shared" si="35"/>
        <v>1</v>
      </c>
    </row>
    <row r="728" customHeight="1" spans="2:14">
      <c r="B728" s="86">
        <v>726</v>
      </c>
      <c r="C728" s="87"/>
      <c r="D728" s="87"/>
      <c r="E728" s="60" t="str">
        <f>IFERROR(VLOOKUP(D728,'基础-领用人及部门'!$C:$D,2,FALSE),"-")</f>
        <v>-</v>
      </c>
      <c r="F728" s="87"/>
      <c r="G728" s="60" t="str">
        <f>IFERROR(VLOOKUP($F728,'基础-办公用品信息'!$C:$E,2,FALSE),"-")</f>
        <v>-</v>
      </c>
      <c r="H728" s="60" t="str">
        <f>IFERROR(VLOOKUP($F728,'基础-办公用品信息'!$C:$E,3,FALSE),"-")</f>
        <v>-</v>
      </c>
      <c r="I728" s="60"/>
      <c r="J728" s="60" t="str">
        <f>IFERROR(VLOOKUP($F728,'基础-办公用品信息'!$C:$F,4,FALSE),"-")</f>
        <v>-</v>
      </c>
      <c r="K728" s="60" t="str">
        <f t="shared" si="33"/>
        <v/>
      </c>
      <c r="L728" s="87"/>
      <c r="M728" s="60">
        <f t="shared" si="34"/>
        <v>1900</v>
      </c>
      <c r="N728" s="60">
        <f t="shared" si="35"/>
        <v>1</v>
      </c>
    </row>
    <row r="729" customHeight="1" spans="2:14">
      <c r="B729" s="86">
        <v>727</v>
      </c>
      <c r="C729" s="87"/>
      <c r="D729" s="87"/>
      <c r="E729" s="60" t="str">
        <f>IFERROR(VLOOKUP(D729,'基础-领用人及部门'!$C:$D,2,FALSE),"-")</f>
        <v>-</v>
      </c>
      <c r="F729" s="87"/>
      <c r="G729" s="60" t="str">
        <f>IFERROR(VLOOKUP($F729,'基础-办公用品信息'!$C:$E,2,FALSE),"-")</f>
        <v>-</v>
      </c>
      <c r="H729" s="60" t="str">
        <f>IFERROR(VLOOKUP($F729,'基础-办公用品信息'!$C:$E,3,FALSE),"-")</f>
        <v>-</v>
      </c>
      <c r="I729" s="60"/>
      <c r="J729" s="60" t="str">
        <f>IFERROR(VLOOKUP($F729,'基础-办公用品信息'!$C:$F,4,FALSE),"-")</f>
        <v>-</v>
      </c>
      <c r="K729" s="60" t="str">
        <f t="shared" si="33"/>
        <v/>
      </c>
      <c r="L729" s="87"/>
      <c r="M729" s="60">
        <f t="shared" si="34"/>
        <v>1900</v>
      </c>
      <c r="N729" s="60">
        <f t="shared" si="35"/>
        <v>1</v>
      </c>
    </row>
    <row r="730" customHeight="1" spans="2:14">
      <c r="B730" s="86">
        <v>728</v>
      </c>
      <c r="C730" s="87"/>
      <c r="D730" s="87"/>
      <c r="E730" s="60" t="str">
        <f>IFERROR(VLOOKUP(D730,'基础-领用人及部门'!$C:$D,2,FALSE),"-")</f>
        <v>-</v>
      </c>
      <c r="F730" s="87"/>
      <c r="G730" s="60" t="str">
        <f>IFERROR(VLOOKUP($F730,'基础-办公用品信息'!$C:$E,2,FALSE),"-")</f>
        <v>-</v>
      </c>
      <c r="H730" s="60" t="str">
        <f>IFERROR(VLOOKUP($F730,'基础-办公用品信息'!$C:$E,3,FALSE),"-")</f>
        <v>-</v>
      </c>
      <c r="I730" s="60"/>
      <c r="J730" s="60" t="str">
        <f>IFERROR(VLOOKUP($F730,'基础-办公用品信息'!$C:$F,4,FALSE),"-")</f>
        <v>-</v>
      </c>
      <c r="K730" s="60" t="str">
        <f t="shared" si="33"/>
        <v/>
      </c>
      <c r="L730" s="87"/>
      <c r="M730" s="60">
        <f t="shared" si="34"/>
        <v>1900</v>
      </c>
      <c r="N730" s="60">
        <f t="shared" si="35"/>
        <v>1</v>
      </c>
    </row>
    <row r="731" customHeight="1" spans="2:14">
      <c r="B731" s="86">
        <v>729</v>
      </c>
      <c r="C731" s="87"/>
      <c r="D731" s="87"/>
      <c r="E731" s="60" t="str">
        <f>IFERROR(VLOOKUP(D731,'基础-领用人及部门'!$C:$D,2,FALSE),"-")</f>
        <v>-</v>
      </c>
      <c r="F731" s="87"/>
      <c r="G731" s="60" t="str">
        <f>IFERROR(VLOOKUP($F731,'基础-办公用品信息'!$C:$E,2,FALSE),"-")</f>
        <v>-</v>
      </c>
      <c r="H731" s="60" t="str">
        <f>IFERROR(VLOOKUP($F731,'基础-办公用品信息'!$C:$E,3,FALSE),"-")</f>
        <v>-</v>
      </c>
      <c r="I731" s="60"/>
      <c r="J731" s="60" t="str">
        <f>IFERROR(VLOOKUP($F731,'基础-办公用品信息'!$C:$F,4,FALSE),"-")</f>
        <v>-</v>
      </c>
      <c r="K731" s="60" t="str">
        <f t="shared" si="33"/>
        <v/>
      </c>
      <c r="L731" s="87"/>
      <c r="M731" s="60">
        <f t="shared" si="34"/>
        <v>1900</v>
      </c>
      <c r="N731" s="60">
        <f t="shared" si="35"/>
        <v>1</v>
      </c>
    </row>
    <row r="732" customHeight="1" spans="2:14">
      <c r="B732" s="86">
        <v>730</v>
      </c>
      <c r="C732" s="87"/>
      <c r="D732" s="87"/>
      <c r="E732" s="60" t="str">
        <f>IFERROR(VLOOKUP(D732,'基础-领用人及部门'!$C:$D,2,FALSE),"-")</f>
        <v>-</v>
      </c>
      <c r="F732" s="87"/>
      <c r="G732" s="60" t="str">
        <f>IFERROR(VLOOKUP($F732,'基础-办公用品信息'!$C:$E,2,FALSE),"-")</f>
        <v>-</v>
      </c>
      <c r="H732" s="60" t="str">
        <f>IFERROR(VLOOKUP($F732,'基础-办公用品信息'!$C:$E,3,FALSE),"-")</f>
        <v>-</v>
      </c>
      <c r="I732" s="60"/>
      <c r="J732" s="60" t="str">
        <f>IFERROR(VLOOKUP($F732,'基础-办公用品信息'!$C:$F,4,FALSE),"-")</f>
        <v>-</v>
      </c>
      <c r="K732" s="60" t="str">
        <f t="shared" si="33"/>
        <v/>
      </c>
      <c r="L732" s="87"/>
      <c r="M732" s="60">
        <f t="shared" si="34"/>
        <v>1900</v>
      </c>
      <c r="N732" s="60">
        <f t="shared" si="35"/>
        <v>1</v>
      </c>
    </row>
    <row r="733" customHeight="1" spans="2:14">
      <c r="B733" s="86">
        <v>731</v>
      </c>
      <c r="C733" s="87"/>
      <c r="D733" s="87"/>
      <c r="E733" s="60" t="str">
        <f>IFERROR(VLOOKUP(D733,'基础-领用人及部门'!$C:$D,2,FALSE),"-")</f>
        <v>-</v>
      </c>
      <c r="F733" s="87"/>
      <c r="G733" s="60" t="str">
        <f>IFERROR(VLOOKUP($F733,'基础-办公用品信息'!$C:$E,2,FALSE),"-")</f>
        <v>-</v>
      </c>
      <c r="H733" s="60" t="str">
        <f>IFERROR(VLOOKUP($F733,'基础-办公用品信息'!$C:$E,3,FALSE),"-")</f>
        <v>-</v>
      </c>
      <c r="I733" s="60"/>
      <c r="J733" s="60" t="str">
        <f>IFERROR(VLOOKUP($F733,'基础-办公用品信息'!$C:$F,4,FALSE),"-")</f>
        <v>-</v>
      </c>
      <c r="K733" s="60" t="str">
        <f t="shared" si="33"/>
        <v/>
      </c>
      <c r="L733" s="87"/>
      <c r="M733" s="60">
        <f t="shared" si="34"/>
        <v>1900</v>
      </c>
      <c r="N733" s="60">
        <f t="shared" si="35"/>
        <v>1</v>
      </c>
    </row>
    <row r="734" customHeight="1" spans="2:14">
      <c r="B734" s="86">
        <v>732</v>
      </c>
      <c r="C734" s="87"/>
      <c r="D734" s="87"/>
      <c r="E734" s="60" t="str">
        <f>IFERROR(VLOOKUP(D734,'基础-领用人及部门'!$C:$D,2,FALSE),"-")</f>
        <v>-</v>
      </c>
      <c r="F734" s="87"/>
      <c r="G734" s="60" t="str">
        <f>IFERROR(VLOOKUP($F734,'基础-办公用品信息'!$C:$E,2,FALSE),"-")</f>
        <v>-</v>
      </c>
      <c r="H734" s="60" t="str">
        <f>IFERROR(VLOOKUP($F734,'基础-办公用品信息'!$C:$E,3,FALSE),"-")</f>
        <v>-</v>
      </c>
      <c r="I734" s="60"/>
      <c r="J734" s="60" t="str">
        <f>IFERROR(VLOOKUP($F734,'基础-办公用品信息'!$C:$F,4,FALSE),"-")</f>
        <v>-</v>
      </c>
      <c r="K734" s="60" t="str">
        <f t="shared" si="33"/>
        <v/>
      </c>
      <c r="L734" s="87"/>
      <c r="M734" s="60">
        <f t="shared" si="34"/>
        <v>1900</v>
      </c>
      <c r="N734" s="60">
        <f t="shared" si="35"/>
        <v>1</v>
      </c>
    </row>
    <row r="735" customHeight="1" spans="2:14">
      <c r="B735" s="86">
        <v>733</v>
      </c>
      <c r="C735" s="87"/>
      <c r="D735" s="87"/>
      <c r="E735" s="60" t="str">
        <f>IFERROR(VLOOKUP(D735,'基础-领用人及部门'!$C:$D,2,FALSE),"-")</f>
        <v>-</v>
      </c>
      <c r="F735" s="87"/>
      <c r="G735" s="60" t="str">
        <f>IFERROR(VLOOKUP($F735,'基础-办公用品信息'!$C:$E,2,FALSE),"-")</f>
        <v>-</v>
      </c>
      <c r="H735" s="60" t="str">
        <f>IFERROR(VLOOKUP($F735,'基础-办公用品信息'!$C:$E,3,FALSE),"-")</f>
        <v>-</v>
      </c>
      <c r="I735" s="60"/>
      <c r="J735" s="60" t="str">
        <f>IFERROR(VLOOKUP($F735,'基础-办公用品信息'!$C:$F,4,FALSE),"-")</f>
        <v>-</v>
      </c>
      <c r="K735" s="60" t="str">
        <f t="shared" si="33"/>
        <v/>
      </c>
      <c r="L735" s="87"/>
      <c r="M735" s="60">
        <f t="shared" si="34"/>
        <v>1900</v>
      </c>
      <c r="N735" s="60">
        <f t="shared" si="35"/>
        <v>1</v>
      </c>
    </row>
    <row r="736" customHeight="1" spans="2:14">
      <c r="B736" s="86">
        <v>734</v>
      </c>
      <c r="C736" s="87"/>
      <c r="D736" s="87"/>
      <c r="E736" s="60" t="str">
        <f>IFERROR(VLOOKUP(D736,'基础-领用人及部门'!$C:$D,2,FALSE),"-")</f>
        <v>-</v>
      </c>
      <c r="F736" s="87"/>
      <c r="G736" s="60" t="str">
        <f>IFERROR(VLOOKUP($F736,'基础-办公用品信息'!$C:$E,2,FALSE),"-")</f>
        <v>-</v>
      </c>
      <c r="H736" s="60" t="str">
        <f>IFERROR(VLOOKUP($F736,'基础-办公用品信息'!$C:$E,3,FALSE),"-")</f>
        <v>-</v>
      </c>
      <c r="I736" s="60"/>
      <c r="J736" s="60" t="str">
        <f>IFERROR(VLOOKUP($F736,'基础-办公用品信息'!$C:$F,4,FALSE),"-")</f>
        <v>-</v>
      </c>
      <c r="K736" s="60" t="str">
        <f t="shared" si="33"/>
        <v/>
      </c>
      <c r="L736" s="87"/>
      <c r="M736" s="60">
        <f t="shared" si="34"/>
        <v>1900</v>
      </c>
      <c r="N736" s="60">
        <f t="shared" si="35"/>
        <v>1</v>
      </c>
    </row>
    <row r="737" customHeight="1" spans="2:14">
      <c r="B737" s="86">
        <v>735</v>
      </c>
      <c r="C737" s="87"/>
      <c r="D737" s="87"/>
      <c r="E737" s="60" t="str">
        <f>IFERROR(VLOOKUP(D737,'基础-领用人及部门'!$C:$D,2,FALSE),"-")</f>
        <v>-</v>
      </c>
      <c r="F737" s="87"/>
      <c r="G737" s="60" t="str">
        <f>IFERROR(VLOOKUP($F737,'基础-办公用品信息'!$C:$E,2,FALSE),"-")</f>
        <v>-</v>
      </c>
      <c r="H737" s="60" t="str">
        <f>IFERROR(VLOOKUP($F737,'基础-办公用品信息'!$C:$E,3,FALSE),"-")</f>
        <v>-</v>
      </c>
      <c r="I737" s="60"/>
      <c r="J737" s="60" t="str">
        <f>IFERROR(VLOOKUP($F737,'基础-办公用品信息'!$C:$F,4,FALSE),"-")</f>
        <v>-</v>
      </c>
      <c r="K737" s="60" t="str">
        <f t="shared" si="33"/>
        <v/>
      </c>
      <c r="L737" s="87"/>
      <c r="M737" s="60">
        <f t="shared" si="34"/>
        <v>1900</v>
      </c>
      <c r="N737" s="60">
        <f t="shared" si="35"/>
        <v>1</v>
      </c>
    </row>
    <row r="738" customHeight="1" spans="2:14">
      <c r="B738" s="86">
        <v>736</v>
      </c>
      <c r="C738" s="87"/>
      <c r="D738" s="87"/>
      <c r="E738" s="60" t="str">
        <f>IFERROR(VLOOKUP(D738,'基础-领用人及部门'!$C:$D,2,FALSE),"-")</f>
        <v>-</v>
      </c>
      <c r="F738" s="87"/>
      <c r="G738" s="60" t="str">
        <f>IFERROR(VLOOKUP($F738,'基础-办公用品信息'!$C:$E,2,FALSE),"-")</f>
        <v>-</v>
      </c>
      <c r="H738" s="60" t="str">
        <f>IFERROR(VLOOKUP($F738,'基础-办公用品信息'!$C:$E,3,FALSE),"-")</f>
        <v>-</v>
      </c>
      <c r="I738" s="60"/>
      <c r="J738" s="60" t="str">
        <f>IFERROR(VLOOKUP($F738,'基础-办公用品信息'!$C:$F,4,FALSE),"-")</f>
        <v>-</v>
      </c>
      <c r="K738" s="60" t="str">
        <f t="shared" si="33"/>
        <v/>
      </c>
      <c r="L738" s="87"/>
      <c r="M738" s="60">
        <f t="shared" si="34"/>
        <v>1900</v>
      </c>
      <c r="N738" s="60">
        <f t="shared" si="35"/>
        <v>1</v>
      </c>
    </row>
    <row r="739" customHeight="1" spans="2:14">
      <c r="B739" s="86">
        <v>737</v>
      </c>
      <c r="C739" s="87"/>
      <c r="D739" s="87"/>
      <c r="E739" s="60" t="str">
        <f>IFERROR(VLOOKUP(D739,'基础-领用人及部门'!$C:$D,2,FALSE),"-")</f>
        <v>-</v>
      </c>
      <c r="F739" s="87"/>
      <c r="G739" s="60" t="str">
        <f>IFERROR(VLOOKUP($F739,'基础-办公用品信息'!$C:$E,2,FALSE),"-")</f>
        <v>-</v>
      </c>
      <c r="H739" s="60" t="str">
        <f>IFERROR(VLOOKUP($F739,'基础-办公用品信息'!$C:$E,3,FALSE),"-")</f>
        <v>-</v>
      </c>
      <c r="I739" s="60"/>
      <c r="J739" s="60" t="str">
        <f>IFERROR(VLOOKUP($F739,'基础-办公用品信息'!$C:$F,4,FALSE),"-")</f>
        <v>-</v>
      </c>
      <c r="K739" s="60" t="str">
        <f t="shared" si="33"/>
        <v/>
      </c>
      <c r="L739" s="87"/>
      <c r="M739" s="60">
        <f t="shared" si="34"/>
        <v>1900</v>
      </c>
      <c r="N739" s="60">
        <f t="shared" si="35"/>
        <v>1</v>
      </c>
    </row>
    <row r="740" customHeight="1" spans="2:14">
      <c r="B740" s="86">
        <v>738</v>
      </c>
      <c r="C740" s="87"/>
      <c r="D740" s="87"/>
      <c r="E740" s="60" t="str">
        <f>IFERROR(VLOOKUP(D740,'基础-领用人及部门'!$C:$D,2,FALSE),"-")</f>
        <v>-</v>
      </c>
      <c r="F740" s="87"/>
      <c r="G740" s="60" t="str">
        <f>IFERROR(VLOOKUP($F740,'基础-办公用品信息'!$C:$E,2,FALSE),"-")</f>
        <v>-</v>
      </c>
      <c r="H740" s="60" t="str">
        <f>IFERROR(VLOOKUP($F740,'基础-办公用品信息'!$C:$E,3,FALSE),"-")</f>
        <v>-</v>
      </c>
      <c r="I740" s="60"/>
      <c r="J740" s="60" t="str">
        <f>IFERROR(VLOOKUP($F740,'基础-办公用品信息'!$C:$F,4,FALSE),"-")</f>
        <v>-</v>
      </c>
      <c r="K740" s="60" t="str">
        <f t="shared" si="33"/>
        <v/>
      </c>
      <c r="L740" s="87"/>
      <c r="M740" s="60">
        <f t="shared" si="34"/>
        <v>1900</v>
      </c>
      <c r="N740" s="60">
        <f t="shared" si="35"/>
        <v>1</v>
      </c>
    </row>
    <row r="741" customHeight="1" spans="2:14">
      <c r="B741" s="86">
        <v>739</v>
      </c>
      <c r="C741" s="87"/>
      <c r="D741" s="87"/>
      <c r="E741" s="60" t="str">
        <f>IFERROR(VLOOKUP(D741,'基础-领用人及部门'!$C:$D,2,FALSE),"-")</f>
        <v>-</v>
      </c>
      <c r="F741" s="87"/>
      <c r="G741" s="60" t="str">
        <f>IFERROR(VLOOKUP($F741,'基础-办公用品信息'!$C:$E,2,FALSE),"-")</f>
        <v>-</v>
      </c>
      <c r="H741" s="60" t="str">
        <f>IFERROR(VLOOKUP($F741,'基础-办公用品信息'!$C:$E,3,FALSE),"-")</f>
        <v>-</v>
      </c>
      <c r="I741" s="60"/>
      <c r="J741" s="60" t="str">
        <f>IFERROR(VLOOKUP($F741,'基础-办公用品信息'!$C:$F,4,FALSE),"-")</f>
        <v>-</v>
      </c>
      <c r="K741" s="60" t="str">
        <f t="shared" si="33"/>
        <v/>
      </c>
      <c r="L741" s="87"/>
      <c r="M741" s="60">
        <f t="shared" si="34"/>
        <v>1900</v>
      </c>
      <c r="N741" s="60">
        <f t="shared" si="35"/>
        <v>1</v>
      </c>
    </row>
    <row r="742" customHeight="1" spans="2:14">
      <c r="B742" s="86">
        <v>740</v>
      </c>
      <c r="C742" s="87"/>
      <c r="D742" s="87"/>
      <c r="E742" s="60" t="str">
        <f>IFERROR(VLOOKUP(D742,'基础-领用人及部门'!$C:$D,2,FALSE),"-")</f>
        <v>-</v>
      </c>
      <c r="F742" s="87"/>
      <c r="G742" s="60" t="str">
        <f>IFERROR(VLOOKUP($F742,'基础-办公用品信息'!$C:$E,2,FALSE),"-")</f>
        <v>-</v>
      </c>
      <c r="H742" s="60" t="str">
        <f>IFERROR(VLOOKUP($F742,'基础-办公用品信息'!$C:$E,3,FALSE),"-")</f>
        <v>-</v>
      </c>
      <c r="I742" s="60"/>
      <c r="J742" s="60" t="str">
        <f>IFERROR(VLOOKUP($F742,'基础-办公用品信息'!$C:$F,4,FALSE),"-")</f>
        <v>-</v>
      </c>
      <c r="K742" s="60" t="str">
        <f t="shared" si="33"/>
        <v/>
      </c>
      <c r="L742" s="87"/>
      <c r="M742" s="60">
        <f t="shared" si="34"/>
        <v>1900</v>
      </c>
      <c r="N742" s="60">
        <f t="shared" si="35"/>
        <v>1</v>
      </c>
    </row>
    <row r="743" customHeight="1" spans="2:14">
      <c r="B743" s="86">
        <v>741</v>
      </c>
      <c r="C743" s="87"/>
      <c r="D743" s="87"/>
      <c r="E743" s="60" t="str">
        <f>IFERROR(VLOOKUP(D743,'基础-领用人及部门'!$C:$D,2,FALSE),"-")</f>
        <v>-</v>
      </c>
      <c r="F743" s="87"/>
      <c r="G743" s="60" t="str">
        <f>IFERROR(VLOOKUP($F743,'基础-办公用品信息'!$C:$E,2,FALSE),"-")</f>
        <v>-</v>
      </c>
      <c r="H743" s="60" t="str">
        <f>IFERROR(VLOOKUP($F743,'基础-办公用品信息'!$C:$E,3,FALSE),"-")</f>
        <v>-</v>
      </c>
      <c r="I743" s="60"/>
      <c r="J743" s="60" t="str">
        <f>IFERROR(VLOOKUP($F743,'基础-办公用品信息'!$C:$F,4,FALSE),"-")</f>
        <v>-</v>
      </c>
      <c r="K743" s="60" t="str">
        <f t="shared" si="33"/>
        <v/>
      </c>
      <c r="L743" s="87"/>
      <c r="M743" s="60">
        <f t="shared" si="34"/>
        <v>1900</v>
      </c>
      <c r="N743" s="60">
        <f t="shared" si="35"/>
        <v>1</v>
      </c>
    </row>
    <row r="744" customHeight="1" spans="2:14">
      <c r="B744" s="86">
        <v>742</v>
      </c>
      <c r="C744" s="87"/>
      <c r="D744" s="87"/>
      <c r="E744" s="60" t="str">
        <f>IFERROR(VLOOKUP(D744,'基础-领用人及部门'!$C:$D,2,FALSE),"-")</f>
        <v>-</v>
      </c>
      <c r="F744" s="87"/>
      <c r="G744" s="60" t="str">
        <f>IFERROR(VLOOKUP($F744,'基础-办公用品信息'!$C:$E,2,FALSE),"-")</f>
        <v>-</v>
      </c>
      <c r="H744" s="60" t="str">
        <f>IFERROR(VLOOKUP($F744,'基础-办公用品信息'!$C:$E,3,FALSE),"-")</f>
        <v>-</v>
      </c>
      <c r="I744" s="60"/>
      <c r="J744" s="60" t="str">
        <f>IFERROR(VLOOKUP($F744,'基础-办公用品信息'!$C:$F,4,FALSE),"-")</f>
        <v>-</v>
      </c>
      <c r="K744" s="60" t="str">
        <f t="shared" si="33"/>
        <v/>
      </c>
      <c r="L744" s="87"/>
      <c r="M744" s="60">
        <f t="shared" si="34"/>
        <v>1900</v>
      </c>
      <c r="N744" s="60">
        <f t="shared" si="35"/>
        <v>1</v>
      </c>
    </row>
    <row r="745" customHeight="1" spans="2:14">
      <c r="B745" s="86">
        <v>743</v>
      </c>
      <c r="C745" s="87"/>
      <c r="D745" s="87"/>
      <c r="E745" s="60" t="str">
        <f>IFERROR(VLOOKUP(D745,'基础-领用人及部门'!$C:$D,2,FALSE),"-")</f>
        <v>-</v>
      </c>
      <c r="F745" s="87"/>
      <c r="G745" s="60" t="str">
        <f>IFERROR(VLOOKUP($F745,'基础-办公用品信息'!$C:$E,2,FALSE),"-")</f>
        <v>-</v>
      </c>
      <c r="H745" s="60" t="str">
        <f>IFERROR(VLOOKUP($F745,'基础-办公用品信息'!$C:$E,3,FALSE),"-")</f>
        <v>-</v>
      </c>
      <c r="I745" s="60"/>
      <c r="J745" s="60" t="str">
        <f>IFERROR(VLOOKUP($F745,'基础-办公用品信息'!$C:$F,4,FALSE),"-")</f>
        <v>-</v>
      </c>
      <c r="K745" s="60" t="str">
        <f t="shared" si="33"/>
        <v/>
      </c>
      <c r="L745" s="87"/>
      <c r="M745" s="60">
        <f t="shared" si="34"/>
        <v>1900</v>
      </c>
      <c r="N745" s="60">
        <f t="shared" si="35"/>
        <v>1</v>
      </c>
    </row>
    <row r="746" customHeight="1" spans="2:14">
      <c r="B746" s="86">
        <v>744</v>
      </c>
      <c r="C746" s="87"/>
      <c r="D746" s="87"/>
      <c r="E746" s="60" t="str">
        <f>IFERROR(VLOOKUP(D746,'基础-领用人及部门'!$C:$D,2,FALSE),"-")</f>
        <v>-</v>
      </c>
      <c r="F746" s="87"/>
      <c r="G746" s="60" t="str">
        <f>IFERROR(VLOOKUP($F746,'基础-办公用品信息'!$C:$E,2,FALSE),"-")</f>
        <v>-</v>
      </c>
      <c r="H746" s="60" t="str">
        <f>IFERROR(VLOOKUP($F746,'基础-办公用品信息'!$C:$E,3,FALSE),"-")</f>
        <v>-</v>
      </c>
      <c r="I746" s="60"/>
      <c r="J746" s="60" t="str">
        <f>IFERROR(VLOOKUP($F746,'基础-办公用品信息'!$C:$F,4,FALSE),"-")</f>
        <v>-</v>
      </c>
      <c r="K746" s="60" t="str">
        <f t="shared" si="33"/>
        <v/>
      </c>
      <c r="L746" s="87"/>
      <c r="M746" s="60">
        <f t="shared" si="34"/>
        <v>1900</v>
      </c>
      <c r="N746" s="60">
        <f t="shared" si="35"/>
        <v>1</v>
      </c>
    </row>
    <row r="747" customHeight="1" spans="2:14">
      <c r="B747" s="86">
        <v>745</v>
      </c>
      <c r="C747" s="87"/>
      <c r="D747" s="87"/>
      <c r="E747" s="60" t="str">
        <f>IFERROR(VLOOKUP(D747,'基础-领用人及部门'!$C:$D,2,FALSE),"-")</f>
        <v>-</v>
      </c>
      <c r="F747" s="87"/>
      <c r="G747" s="60" t="str">
        <f>IFERROR(VLOOKUP($F747,'基础-办公用品信息'!$C:$E,2,FALSE),"-")</f>
        <v>-</v>
      </c>
      <c r="H747" s="60" t="str">
        <f>IFERROR(VLOOKUP($F747,'基础-办公用品信息'!$C:$E,3,FALSE),"-")</f>
        <v>-</v>
      </c>
      <c r="I747" s="60"/>
      <c r="J747" s="60" t="str">
        <f>IFERROR(VLOOKUP($F747,'基础-办公用品信息'!$C:$F,4,FALSE),"-")</f>
        <v>-</v>
      </c>
      <c r="K747" s="60" t="str">
        <f t="shared" si="33"/>
        <v/>
      </c>
      <c r="L747" s="87"/>
      <c r="M747" s="60">
        <f t="shared" si="34"/>
        <v>1900</v>
      </c>
      <c r="N747" s="60">
        <f t="shared" si="35"/>
        <v>1</v>
      </c>
    </row>
    <row r="748" customHeight="1" spans="2:14">
      <c r="B748" s="86">
        <v>746</v>
      </c>
      <c r="C748" s="87"/>
      <c r="D748" s="87"/>
      <c r="E748" s="60" t="str">
        <f>IFERROR(VLOOKUP(D748,'基础-领用人及部门'!$C:$D,2,FALSE),"-")</f>
        <v>-</v>
      </c>
      <c r="F748" s="87"/>
      <c r="G748" s="60" t="str">
        <f>IFERROR(VLOOKUP($F748,'基础-办公用品信息'!$C:$E,2,FALSE),"-")</f>
        <v>-</v>
      </c>
      <c r="H748" s="60" t="str">
        <f>IFERROR(VLOOKUP($F748,'基础-办公用品信息'!$C:$E,3,FALSE),"-")</f>
        <v>-</v>
      </c>
      <c r="I748" s="60"/>
      <c r="J748" s="60" t="str">
        <f>IFERROR(VLOOKUP($F748,'基础-办公用品信息'!$C:$F,4,FALSE),"-")</f>
        <v>-</v>
      </c>
      <c r="K748" s="60" t="str">
        <f t="shared" si="33"/>
        <v/>
      </c>
      <c r="L748" s="87"/>
      <c r="M748" s="60">
        <f t="shared" si="34"/>
        <v>1900</v>
      </c>
      <c r="N748" s="60">
        <f t="shared" si="35"/>
        <v>1</v>
      </c>
    </row>
    <row r="749" customHeight="1" spans="2:14">
      <c r="B749" s="86">
        <v>747</v>
      </c>
      <c r="C749" s="87"/>
      <c r="D749" s="87"/>
      <c r="E749" s="60" t="str">
        <f>IFERROR(VLOOKUP(D749,'基础-领用人及部门'!$C:$D,2,FALSE),"-")</f>
        <v>-</v>
      </c>
      <c r="F749" s="87"/>
      <c r="G749" s="60" t="str">
        <f>IFERROR(VLOOKUP($F749,'基础-办公用品信息'!$C:$E,2,FALSE),"-")</f>
        <v>-</v>
      </c>
      <c r="H749" s="60" t="str">
        <f>IFERROR(VLOOKUP($F749,'基础-办公用品信息'!$C:$E,3,FALSE),"-")</f>
        <v>-</v>
      </c>
      <c r="I749" s="60"/>
      <c r="J749" s="60" t="str">
        <f>IFERROR(VLOOKUP($F749,'基础-办公用品信息'!$C:$F,4,FALSE),"-")</f>
        <v>-</v>
      </c>
      <c r="K749" s="60" t="str">
        <f t="shared" si="33"/>
        <v/>
      </c>
      <c r="L749" s="87"/>
      <c r="M749" s="60">
        <f t="shared" si="34"/>
        <v>1900</v>
      </c>
      <c r="N749" s="60">
        <f t="shared" si="35"/>
        <v>1</v>
      </c>
    </row>
    <row r="750" customHeight="1" spans="2:14">
      <c r="B750" s="86">
        <v>748</v>
      </c>
      <c r="C750" s="87"/>
      <c r="D750" s="87"/>
      <c r="E750" s="60" t="str">
        <f>IFERROR(VLOOKUP(D750,'基础-领用人及部门'!$C:$D,2,FALSE),"-")</f>
        <v>-</v>
      </c>
      <c r="F750" s="87"/>
      <c r="G750" s="60" t="str">
        <f>IFERROR(VLOOKUP($F750,'基础-办公用品信息'!$C:$E,2,FALSE),"-")</f>
        <v>-</v>
      </c>
      <c r="H750" s="60" t="str">
        <f>IFERROR(VLOOKUP($F750,'基础-办公用品信息'!$C:$E,3,FALSE),"-")</f>
        <v>-</v>
      </c>
      <c r="I750" s="60"/>
      <c r="J750" s="60" t="str">
        <f>IFERROR(VLOOKUP($F750,'基础-办公用品信息'!$C:$F,4,FALSE),"-")</f>
        <v>-</v>
      </c>
      <c r="K750" s="60" t="str">
        <f t="shared" si="33"/>
        <v/>
      </c>
      <c r="L750" s="87"/>
      <c r="M750" s="60">
        <f t="shared" si="34"/>
        <v>1900</v>
      </c>
      <c r="N750" s="60">
        <f t="shared" si="35"/>
        <v>1</v>
      </c>
    </row>
    <row r="751" customHeight="1" spans="2:14">
      <c r="B751" s="86">
        <v>749</v>
      </c>
      <c r="C751" s="87"/>
      <c r="D751" s="87"/>
      <c r="E751" s="60" t="str">
        <f>IFERROR(VLOOKUP(D751,'基础-领用人及部门'!$C:$D,2,FALSE),"-")</f>
        <v>-</v>
      </c>
      <c r="F751" s="87"/>
      <c r="G751" s="60" t="str">
        <f>IFERROR(VLOOKUP($F751,'基础-办公用品信息'!$C:$E,2,FALSE),"-")</f>
        <v>-</v>
      </c>
      <c r="H751" s="60" t="str">
        <f>IFERROR(VLOOKUP($F751,'基础-办公用品信息'!$C:$E,3,FALSE),"-")</f>
        <v>-</v>
      </c>
      <c r="I751" s="60"/>
      <c r="J751" s="60" t="str">
        <f>IFERROR(VLOOKUP($F751,'基础-办公用品信息'!$C:$F,4,FALSE),"-")</f>
        <v>-</v>
      </c>
      <c r="K751" s="60" t="str">
        <f t="shared" si="33"/>
        <v/>
      </c>
      <c r="L751" s="87"/>
      <c r="M751" s="60">
        <f t="shared" si="34"/>
        <v>1900</v>
      </c>
      <c r="N751" s="60">
        <f t="shared" si="35"/>
        <v>1</v>
      </c>
    </row>
    <row r="752" customHeight="1" spans="2:14">
      <c r="B752" s="86">
        <v>750</v>
      </c>
      <c r="C752" s="87"/>
      <c r="D752" s="87"/>
      <c r="E752" s="60" t="str">
        <f>IFERROR(VLOOKUP(D752,'基础-领用人及部门'!$C:$D,2,FALSE),"-")</f>
        <v>-</v>
      </c>
      <c r="F752" s="87"/>
      <c r="G752" s="60" t="str">
        <f>IFERROR(VLOOKUP($F752,'基础-办公用品信息'!$C:$E,2,FALSE),"-")</f>
        <v>-</v>
      </c>
      <c r="H752" s="60" t="str">
        <f>IFERROR(VLOOKUP($F752,'基础-办公用品信息'!$C:$E,3,FALSE),"-")</f>
        <v>-</v>
      </c>
      <c r="I752" s="60"/>
      <c r="J752" s="60" t="str">
        <f>IFERROR(VLOOKUP($F752,'基础-办公用品信息'!$C:$F,4,FALSE),"-")</f>
        <v>-</v>
      </c>
      <c r="K752" s="60" t="str">
        <f t="shared" si="33"/>
        <v/>
      </c>
      <c r="L752" s="87"/>
      <c r="M752" s="60">
        <f t="shared" si="34"/>
        <v>1900</v>
      </c>
      <c r="N752" s="60">
        <f t="shared" si="35"/>
        <v>1</v>
      </c>
    </row>
    <row r="753" customHeight="1" spans="2:14">
      <c r="B753" s="86">
        <v>751</v>
      </c>
      <c r="C753" s="87"/>
      <c r="D753" s="87"/>
      <c r="E753" s="60" t="str">
        <f>IFERROR(VLOOKUP(D753,'基础-领用人及部门'!$C:$D,2,FALSE),"-")</f>
        <v>-</v>
      </c>
      <c r="F753" s="87"/>
      <c r="G753" s="60" t="str">
        <f>IFERROR(VLOOKUP($F753,'基础-办公用品信息'!$C:$E,2,FALSE),"-")</f>
        <v>-</v>
      </c>
      <c r="H753" s="60" t="str">
        <f>IFERROR(VLOOKUP($F753,'基础-办公用品信息'!$C:$E,3,FALSE),"-")</f>
        <v>-</v>
      </c>
      <c r="I753" s="60"/>
      <c r="J753" s="60" t="str">
        <f>IFERROR(VLOOKUP($F753,'基础-办公用品信息'!$C:$F,4,FALSE),"-")</f>
        <v>-</v>
      </c>
      <c r="K753" s="60" t="str">
        <f t="shared" si="33"/>
        <v/>
      </c>
      <c r="L753" s="87"/>
      <c r="M753" s="60">
        <f t="shared" si="34"/>
        <v>1900</v>
      </c>
      <c r="N753" s="60">
        <f t="shared" si="35"/>
        <v>1</v>
      </c>
    </row>
    <row r="754" customHeight="1" spans="2:14">
      <c r="B754" s="86">
        <v>752</v>
      </c>
      <c r="C754" s="87"/>
      <c r="D754" s="87"/>
      <c r="E754" s="60" t="str">
        <f>IFERROR(VLOOKUP(D754,'基础-领用人及部门'!$C:$D,2,FALSE),"-")</f>
        <v>-</v>
      </c>
      <c r="F754" s="87"/>
      <c r="G754" s="60" t="str">
        <f>IFERROR(VLOOKUP($F754,'基础-办公用品信息'!$C:$E,2,FALSE),"-")</f>
        <v>-</v>
      </c>
      <c r="H754" s="60" t="str">
        <f>IFERROR(VLOOKUP($F754,'基础-办公用品信息'!$C:$E,3,FALSE),"-")</f>
        <v>-</v>
      </c>
      <c r="I754" s="60"/>
      <c r="J754" s="60" t="str">
        <f>IFERROR(VLOOKUP($F754,'基础-办公用品信息'!$C:$F,4,FALSE),"-")</f>
        <v>-</v>
      </c>
      <c r="K754" s="60" t="str">
        <f t="shared" si="33"/>
        <v/>
      </c>
      <c r="L754" s="87"/>
      <c r="M754" s="60">
        <f t="shared" si="34"/>
        <v>1900</v>
      </c>
      <c r="N754" s="60">
        <f t="shared" si="35"/>
        <v>1</v>
      </c>
    </row>
    <row r="755" customHeight="1" spans="2:14">
      <c r="B755" s="86">
        <v>753</v>
      </c>
      <c r="C755" s="87"/>
      <c r="D755" s="87"/>
      <c r="E755" s="60" t="str">
        <f>IFERROR(VLOOKUP(D755,'基础-领用人及部门'!$C:$D,2,FALSE),"-")</f>
        <v>-</v>
      </c>
      <c r="F755" s="87"/>
      <c r="G755" s="60" t="str">
        <f>IFERROR(VLOOKUP($F755,'基础-办公用品信息'!$C:$E,2,FALSE),"-")</f>
        <v>-</v>
      </c>
      <c r="H755" s="60" t="str">
        <f>IFERROR(VLOOKUP($F755,'基础-办公用品信息'!$C:$E,3,FALSE),"-")</f>
        <v>-</v>
      </c>
      <c r="I755" s="60"/>
      <c r="J755" s="60" t="str">
        <f>IFERROR(VLOOKUP($F755,'基础-办公用品信息'!$C:$F,4,FALSE),"-")</f>
        <v>-</v>
      </c>
      <c r="K755" s="60" t="str">
        <f t="shared" si="33"/>
        <v/>
      </c>
      <c r="L755" s="87"/>
      <c r="M755" s="60">
        <f t="shared" si="34"/>
        <v>1900</v>
      </c>
      <c r="N755" s="60">
        <f t="shared" si="35"/>
        <v>1</v>
      </c>
    </row>
    <row r="756" customHeight="1" spans="2:14">
      <c r="B756" s="86">
        <v>754</v>
      </c>
      <c r="C756" s="87"/>
      <c r="D756" s="87"/>
      <c r="E756" s="60" t="str">
        <f>IFERROR(VLOOKUP(D756,'基础-领用人及部门'!$C:$D,2,FALSE),"-")</f>
        <v>-</v>
      </c>
      <c r="F756" s="87"/>
      <c r="G756" s="60" t="str">
        <f>IFERROR(VLOOKUP($F756,'基础-办公用品信息'!$C:$E,2,FALSE),"-")</f>
        <v>-</v>
      </c>
      <c r="H756" s="60" t="str">
        <f>IFERROR(VLOOKUP($F756,'基础-办公用品信息'!$C:$E,3,FALSE),"-")</f>
        <v>-</v>
      </c>
      <c r="I756" s="60"/>
      <c r="J756" s="60" t="str">
        <f>IFERROR(VLOOKUP($F756,'基础-办公用品信息'!$C:$F,4,FALSE),"-")</f>
        <v>-</v>
      </c>
      <c r="K756" s="60" t="str">
        <f t="shared" si="33"/>
        <v/>
      </c>
      <c r="L756" s="87"/>
      <c r="M756" s="60">
        <f t="shared" si="34"/>
        <v>1900</v>
      </c>
      <c r="N756" s="60">
        <f t="shared" si="35"/>
        <v>1</v>
      </c>
    </row>
    <row r="757" customHeight="1" spans="2:14">
      <c r="B757" s="86">
        <v>755</v>
      </c>
      <c r="C757" s="87"/>
      <c r="D757" s="87"/>
      <c r="E757" s="60" t="str">
        <f>IFERROR(VLOOKUP(D757,'基础-领用人及部门'!$C:$D,2,FALSE),"-")</f>
        <v>-</v>
      </c>
      <c r="F757" s="87"/>
      <c r="G757" s="60" t="str">
        <f>IFERROR(VLOOKUP($F757,'基础-办公用品信息'!$C:$E,2,FALSE),"-")</f>
        <v>-</v>
      </c>
      <c r="H757" s="60" t="str">
        <f>IFERROR(VLOOKUP($F757,'基础-办公用品信息'!$C:$E,3,FALSE),"-")</f>
        <v>-</v>
      </c>
      <c r="I757" s="60"/>
      <c r="J757" s="60" t="str">
        <f>IFERROR(VLOOKUP($F757,'基础-办公用品信息'!$C:$F,4,FALSE),"-")</f>
        <v>-</v>
      </c>
      <c r="K757" s="60" t="str">
        <f t="shared" si="33"/>
        <v/>
      </c>
      <c r="L757" s="87"/>
      <c r="M757" s="60">
        <f t="shared" si="34"/>
        <v>1900</v>
      </c>
      <c r="N757" s="60">
        <f t="shared" si="35"/>
        <v>1</v>
      </c>
    </row>
    <row r="758" customHeight="1" spans="2:14">
      <c r="B758" s="86">
        <v>756</v>
      </c>
      <c r="C758" s="87"/>
      <c r="D758" s="87"/>
      <c r="E758" s="60" t="str">
        <f>IFERROR(VLOOKUP(D758,'基础-领用人及部门'!$C:$D,2,FALSE),"-")</f>
        <v>-</v>
      </c>
      <c r="F758" s="87"/>
      <c r="G758" s="60" t="str">
        <f>IFERROR(VLOOKUP($F758,'基础-办公用品信息'!$C:$E,2,FALSE),"-")</f>
        <v>-</v>
      </c>
      <c r="H758" s="60" t="str">
        <f>IFERROR(VLOOKUP($F758,'基础-办公用品信息'!$C:$E,3,FALSE),"-")</f>
        <v>-</v>
      </c>
      <c r="I758" s="60"/>
      <c r="J758" s="60" t="str">
        <f>IFERROR(VLOOKUP($F758,'基础-办公用品信息'!$C:$F,4,FALSE),"-")</f>
        <v>-</v>
      </c>
      <c r="K758" s="60" t="str">
        <f t="shared" si="33"/>
        <v/>
      </c>
      <c r="L758" s="87"/>
      <c r="M758" s="60">
        <f t="shared" si="34"/>
        <v>1900</v>
      </c>
      <c r="N758" s="60">
        <f t="shared" si="35"/>
        <v>1</v>
      </c>
    </row>
    <row r="759" customHeight="1" spans="2:14">
      <c r="B759" s="86">
        <v>757</v>
      </c>
      <c r="C759" s="87"/>
      <c r="D759" s="87"/>
      <c r="E759" s="60" t="str">
        <f>IFERROR(VLOOKUP(D759,'基础-领用人及部门'!$C:$D,2,FALSE),"-")</f>
        <v>-</v>
      </c>
      <c r="F759" s="87"/>
      <c r="G759" s="60" t="str">
        <f>IFERROR(VLOOKUP($F759,'基础-办公用品信息'!$C:$E,2,FALSE),"-")</f>
        <v>-</v>
      </c>
      <c r="H759" s="60" t="str">
        <f>IFERROR(VLOOKUP($F759,'基础-办公用品信息'!$C:$E,3,FALSE),"-")</f>
        <v>-</v>
      </c>
      <c r="I759" s="60"/>
      <c r="J759" s="60" t="str">
        <f>IFERROR(VLOOKUP($F759,'基础-办公用品信息'!$C:$F,4,FALSE),"-")</f>
        <v>-</v>
      </c>
      <c r="K759" s="60" t="str">
        <f t="shared" si="33"/>
        <v/>
      </c>
      <c r="L759" s="87"/>
      <c r="M759" s="60">
        <f t="shared" si="34"/>
        <v>1900</v>
      </c>
      <c r="N759" s="60">
        <f t="shared" si="35"/>
        <v>1</v>
      </c>
    </row>
    <row r="760" customHeight="1" spans="2:14">
      <c r="B760" s="86">
        <v>758</v>
      </c>
      <c r="C760" s="87"/>
      <c r="D760" s="87"/>
      <c r="E760" s="60" t="str">
        <f>IFERROR(VLOOKUP(D760,'基础-领用人及部门'!$C:$D,2,FALSE),"-")</f>
        <v>-</v>
      </c>
      <c r="F760" s="87"/>
      <c r="G760" s="60" t="str">
        <f>IFERROR(VLOOKUP($F760,'基础-办公用品信息'!$C:$E,2,FALSE),"-")</f>
        <v>-</v>
      </c>
      <c r="H760" s="60" t="str">
        <f>IFERROR(VLOOKUP($F760,'基础-办公用品信息'!$C:$E,3,FALSE),"-")</f>
        <v>-</v>
      </c>
      <c r="I760" s="60"/>
      <c r="J760" s="60" t="str">
        <f>IFERROR(VLOOKUP($F760,'基础-办公用品信息'!$C:$F,4,FALSE),"-")</f>
        <v>-</v>
      </c>
      <c r="K760" s="60" t="str">
        <f t="shared" si="33"/>
        <v/>
      </c>
      <c r="L760" s="87"/>
      <c r="M760" s="60">
        <f t="shared" si="34"/>
        <v>1900</v>
      </c>
      <c r="N760" s="60">
        <f t="shared" si="35"/>
        <v>1</v>
      </c>
    </row>
    <row r="761" customHeight="1" spans="2:14">
      <c r="B761" s="86">
        <v>759</v>
      </c>
      <c r="C761" s="87"/>
      <c r="D761" s="87"/>
      <c r="E761" s="60" t="str">
        <f>IFERROR(VLOOKUP(D761,'基础-领用人及部门'!$C:$D,2,FALSE),"-")</f>
        <v>-</v>
      </c>
      <c r="F761" s="87"/>
      <c r="G761" s="60" t="str">
        <f>IFERROR(VLOOKUP($F761,'基础-办公用品信息'!$C:$E,2,FALSE),"-")</f>
        <v>-</v>
      </c>
      <c r="H761" s="60" t="str">
        <f>IFERROR(VLOOKUP($F761,'基础-办公用品信息'!$C:$E,3,FALSE),"-")</f>
        <v>-</v>
      </c>
      <c r="I761" s="60"/>
      <c r="J761" s="60" t="str">
        <f>IFERROR(VLOOKUP($F761,'基础-办公用品信息'!$C:$F,4,FALSE),"-")</f>
        <v>-</v>
      </c>
      <c r="K761" s="60" t="str">
        <f t="shared" si="33"/>
        <v/>
      </c>
      <c r="L761" s="87"/>
      <c r="M761" s="60">
        <f t="shared" si="34"/>
        <v>1900</v>
      </c>
      <c r="N761" s="60">
        <f t="shared" si="35"/>
        <v>1</v>
      </c>
    </row>
    <row r="762" customHeight="1" spans="2:14">
      <c r="B762" s="86">
        <v>760</v>
      </c>
      <c r="C762" s="87"/>
      <c r="D762" s="87"/>
      <c r="E762" s="60" t="str">
        <f>IFERROR(VLOOKUP(D762,'基础-领用人及部门'!$C:$D,2,FALSE),"-")</f>
        <v>-</v>
      </c>
      <c r="F762" s="87"/>
      <c r="G762" s="60" t="str">
        <f>IFERROR(VLOOKUP($F762,'基础-办公用品信息'!$C:$E,2,FALSE),"-")</f>
        <v>-</v>
      </c>
      <c r="H762" s="60" t="str">
        <f>IFERROR(VLOOKUP($F762,'基础-办公用品信息'!$C:$E,3,FALSE),"-")</f>
        <v>-</v>
      </c>
      <c r="I762" s="60"/>
      <c r="J762" s="60" t="str">
        <f>IFERROR(VLOOKUP($F762,'基础-办公用品信息'!$C:$F,4,FALSE),"-")</f>
        <v>-</v>
      </c>
      <c r="K762" s="60" t="str">
        <f t="shared" si="33"/>
        <v/>
      </c>
      <c r="L762" s="87"/>
      <c r="M762" s="60">
        <f t="shared" si="34"/>
        <v>1900</v>
      </c>
      <c r="N762" s="60">
        <f t="shared" si="35"/>
        <v>1</v>
      </c>
    </row>
    <row r="763" customHeight="1" spans="2:14">
      <c r="B763" s="86">
        <v>761</v>
      </c>
      <c r="C763" s="87"/>
      <c r="D763" s="87"/>
      <c r="E763" s="60" t="str">
        <f>IFERROR(VLOOKUP(D763,'基础-领用人及部门'!$C:$D,2,FALSE),"-")</f>
        <v>-</v>
      </c>
      <c r="F763" s="87"/>
      <c r="G763" s="60" t="str">
        <f>IFERROR(VLOOKUP($F763,'基础-办公用品信息'!$C:$E,2,FALSE),"-")</f>
        <v>-</v>
      </c>
      <c r="H763" s="60" t="str">
        <f>IFERROR(VLOOKUP($F763,'基础-办公用品信息'!$C:$E,3,FALSE),"-")</f>
        <v>-</v>
      </c>
      <c r="I763" s="60"/>
      <c r="J763" s="60" t="str">
        <f>IFERROR(VLOOKUP($F763,'基础-办公用品信息'!$C:$F,4,FALSE),"-")</f>
        <v>-</v>
      </c>
      <c r="K763" s="60" t="str">
        <f t="shared" si="33"/>
        <v/>
      </c>
      <c r="L763" s="87"/>
      <c r="M763" s="60">
        <f t="shared" si="34"/>
        <v>1900</v>
      </c>
      <c r="N763" s="60">
        <f t="shared" si="35"/>
        <v>1</v>
      </c>
    </row>
    <row r="764" customHeight="1" spans="2:14">
      <c r="B764" s="86">
        <v>762</v>
      </c>
      <c r="C764" s="87"/>
      <c r="D764" s="87"/>
      <c r="E764" s="60" t="str">
        <f>IFERROR(VLOOKUP(D764,'基础-领用人及部门'!$C:$D,2,FALSE),"-")</f>
        <v>-</v>
      </c>
      <c r="F764" s="87"/>
      <c r="G764" s="60" t="str">
        <f>IFERROR(VLOOKUP($F764,'基础-办公用品信息'!$C:$E,2,FALSE),"-")</f>
        <v>-</v>
      </c>
      <c r="H764" s="60" t="str">
        <f>IFERROR(VLOOKUP($F764,'基础-办公用品信息'!$C:$E,3,FALSE),"-")</f>
        <v>-</v>
      </c>
      <c r="I764" s="60"/>
      <c r="J764" s="60" t="str">
        <f>IFERROR(VLOOKUP($F764,'基础-办公用品信息'!$C:$F,4,FALSE),"-")</f>
        <v>-</v>
      </c>
      <c r="K764" s="60" t="str">
        <f t="shared" si="33"/>
        <v/>
      </c>
      <c r="L764" s="87"/>
      <c r="M764" s="60">
        <f t="shared" si="34"/>
        <v>1900</v>
      </c>
      <c r="N764" s="60">
        <f t="shared" si="35"/>
        <v>1</v>
      </c>
    </row>
    <row r="765" customHeight="1" spans="2:14">
      <c r="B765" s="86">
        <v>763</v>
      </c>
      <c r="C765" s="87"/>
      <c r="D765" s="87"/>
      <c r="E765" s="60" t="str">
        <f>IFERROR(VLOOKUP(D765,'基础-领用人及部门'!$C:$D,2,FALSE),"-")</f>
        <v>-</v>
      </c>
      <c r="F765" s="87"/>
      <c r="G765" s="60" t="str">
        <f>IFERROR(VLOOKUP($F765,'基础-办公用品信息'!$C:$E,2,FALSE),"-")</f>
        <v>-</v>
      </c>
      <c r="H765" s="60" t="str">
        <f>IFERROR(VLOOKUP($F765,'基础-办公用品信息'!$C:$E,3,FALSE),"-")</f>
        <v>-</v>
      </c>
      <c r="I765" s="60"/>
      <c r="J765" s="60" t="str">
        <f>IFERROR(VLOOKUP($F765,'基础-办公用品信息'!$C:$F,4,FALSE),"-")</f>
        <v>-</v>
      </c>
      <c r="K765" s="60" t="str">
        <f t="shared" si="33"/>
        <v/>
      </c>
      <c r="L765" s="87"/>
      <c r="M765" s="60">
        <f t="shared" si="34"/>
        <v>1900</v>
      </c>
      <c r="N765" s="60">
        <f t="shared" si="35"/>
        <v>1</v>
      </c>
    </row>
    <row r="766" customHeight="1" spans="2:14">
      <c r="B766" s="86">
        <v>764</v>
      </c>
      <c r="C766" s="87"/>
      <c r="D766" s="87"/>
      <c r="E766" s="60" t="str">
        <f>IFERROR(VLOOKUP(D766,'基础-领用人及部门'!$C:$D,2,FALSE),"-")</f>
        <v>-</v>
      </c>
      <c r="F766" s="87"/>
      <c r="G766" s="60" t="str">
        <f>IFERROR(VLOOKUP($F766,'基础-办公用品信息'!$C:$E,2,FALSE),"-")</f>
        <v>-</v>
      </c>
      <c r="H766" s="60" t="str">
        <f>IFERROR(VLOOKUP($F766,'基础-办公用品信息'!$C:$E,3,FALSE),"-")</f>
        <v>-</v>
      </c>
      <c r="I766" s="60"/>
      <c r="J766" s="60" t="str">
        <f>IFERROR(VLOOKUP($F766,'基础-办公用品信息'!$C:$F,4,FALSE),"-")</f>
        <v>-</v>
      </c>
      <c r="K766" s="60" t="str">
        <f t="shared" si="33"/>
        <v/>
      </c>
      <c r="L766" s="87"/>
      <c r="M766" s="60">
        <f t="shared" si="34"/>
        <v>1900</v>
      </c>
      <c r="N766" s="60">
        <f t="shared" si="35"/>
        <v>1</v>
      </c>
    </row>
    <row r="767" customHeight="1" spans="2:14">
      <c r="B767" s="86">
        <v>765</v>
      </c>
      <c r="C767" s="87"/>
      <c r="D767" s="87"/>
      <c r="E767" s="60" t="str">
        <f>IFERROR(VLOOKUP(D767,'基础-领用人及部门'!$C:$D,2,FALSE),"-")</f>
        <v>-</v>
      </c>
      <c r="F767" s="87"/>
      <c r="G767" s="60" t="str">
        <f>IFERROR(VLOOKUP($F767,'基础-办公用品信息'!$C:$E,2,FALSE),"-")</f>
        <v>-</v>
      </c>
      <c r="H767" s="60" t="str">
        <f>IFERROR(VLOOKUP($F767,'基础-办公用品信息'!$C:$E,3,FALSE),"-")</f>
        <v>-</v>
      </c>
      <c r="I767" s="60"/>
      <c r="J767" s="60" t="str">
        <f>IFERROR(VLOOKUP($F767,'基础-办公用品信息'!$C:$F,4,FALSE),"-")</f>
        <v>-</v>
      </c>
      <c r="K767" s="60" t="str">
        <f t="shared" si="33"/>
        <v/>
      </c>
      <c r="L767" s="87"/>
      <c r="M767" s="60">
        <f t="shared" si="34"/>
        <v>1900</v>
      </c>
      <c r="N767" s="60">
        <f t="shared" si="35"/>
        <v>1</v>
      </c>
    </row>
    <row r="768" customHeight="1" spans="2:14">
      <c r="B768" s="86">
        <v>766</v>
      </c>
      <c r="C768" s="87"/>
      <c r="D768" s="87"/>
      <c r="E768" s="60" t="str">
        <f>IFERROR(VLOOKUP(D768,'基础-领用人及部门'!$C:$D,2,FALSE),"-")</f>
        <v>-</v>
      </c>
      <c r="F768" s="87"/>
      <c r="G768" s="60" t="str">
        <f>IFERROR(VLOOKUP($F768,'基础-办公用品信息'!$C:$E,2,FALSE),"-")</f>
        <v>-</v>
      </c>
      <c r="H768" s="60" t="str">
        <f>IFERROR(VLOOKUP($F768,'基础-办公用品信息'!$C:$E,3,FALSE),"-")</f>
        <v>-</v>
      </c>
      <c r="I768" s="60"/>
      <c r="J768" s="60" t="str">
        <f>IFERROR(VLOOKUP($F768,'基础-办公用品信息'!$C:$F,4,FALSE),"-")</f>
        <v>-</v>
      </c>
      <c r="K768" s="60" t="str">
        <f t="shared" si="33"/>
        <v/>
      </c>
      <c r="L768" s="87"/>
      <c r="M768" s="60">
        <f t="shared" si="34"/>
        <v>1900</v>
      </c>
      <c r="N768" s="60">
        <f t="shared" si="35"/>
        <v>1</v>
      </c>
    </row>
    <row r="769" customHeight="1" spans="2:14">
      <c r="B769" s="86">
        <v>767</v>
      </c>
      <c r="C769" s="87"/>
      <c r="D769" s="87"/>
      <c r="E769" s="60" t="str">
        <f>IFERROR(VLOOKUP(D769,'基础-领用人及部门'!$C:$D,2,FALSE),"-")</f>
        <v>-</v>
      </c>
      <c r="F769" s="87"/>
      <c r="G769" s="60" t="str">
        <f>IFERROR(VLOOKUP($F769,'基础-办公用品信息'!$C:$E,2,FALSE),"-")</f>
        <v>-</v>
      </c>
      <c r="H769" s="60" t="str">
        <f>IFERROR(VLOOKUP($F769,'基础-办公用品信息'!$C:$E,3,FALSE),"-")</f>
        <v>-</v>
      </c>
      <c r="I769" s="60"/>
      <c r="J769" s="60" t="str">
        <f>IFERROR(VLOOKUP($F769,'基础-办公用品信息'!$C:$F,4,FALSE),"-")</f>
        <v>-</v>
      </c>
      <c r="K769" s="60" t="str">
        <f t="shared" si="33"/>
        <v/>
      </c>
      <c r="L769" s="87"/>
      <c r="M769" s="60">
        <f t="shared" si="34"/>
        <v>1900</v>
      </c>
      <c r="N769" s="60">
        <f t="shared" si="35"/>
        <v>1</v>
      </c>
    </row>
    <row r="770" customHeight="1" spans="2:14">
      <c r="B770" s="86">
        <v>768</v>
      </c>
      <c r="C770" s="87"/>
      <c r="D770" s="87"/>
      <c r="E770" s="60" t="str">
        <f>IFERROR(VLOOKUP(D770,'基础-领用人及部门'!$C:$D,2,FALSE),"-")</f>
        <v>-</v>
      </c>
      <c r="F770" s="87"/>
      <c r="G770" s="60" t="str">
        <f>IFERROR(VLOOKUP($F770,'基础-办公用品信息'!$C:$E,2,FALSE),"-")</f>
        <v>-</v>
      </c>
      <c r="H770" s="60" t="str">
        <f>IFERROR(VLOOKUP($F770,'基础-办公用品信息'!$C:$E,3,FALSE),"-")</f>
        <v>-</v>
      </c>
      <c r="I770" s="60"/>
      <c r="J770" s="60" t="str">
        <f>IFERROR(VLOOKUP($F770,'基础-办公用品信息'!$C:$F,4,FALSE),"-")</f>
        <v>-</v>
      </c>
      <c r="K770" s="60" t="str">
        <f t="shared" si="33"/>
        <v/>
      </c>
      <c r="L770" s="87"/>
      <c r="M770" s="60">
        <f t="shared" si="34"/>
        <v>1900</v>
      </c>
      <c r="N770" s="60">
        <f t="shared" si="35"/>
        <v>1</v>
      </c>
    </row>
    <row r="771" customHeight="1" spans="2:14">
      <c r="B771" s="86">
        <v>769</v>
      </c>
      <c r="C771" s="87"/>
      <c r="D771" s="87"/>
      <c r="E771" s="60" t="str">
        <f>IFERROR(VLOOKUP(D771,'基础-领用人及部门'!$C:$D,2,FALSE),"-")</f>
        <v>-</v>
      </c>
      <c r="F771" s="87"/>
      <c r="G771" s="60" t="str">
        <f>IFERROR(VLOOKUP($F771,'基础-办公用品信息'!$C:$E,2,FALSE),"-")</f>
        <v>-</v>
      </c>
      <c r="H771" s="60" t="str">
        <f>IFERROR(VLOOKUP($F771,'基础-办公用品信息'!$C:$E,3,FALSE),"-")</f>
        <v>-</v>
      </c>
      <c r="I771" s="60"/>
      <c r="J771" s="60" t="str">
        <f>IFERROR(VLOOKUP($F771,'基础-办公用品信息'!$C:$F,4,FALSE),"-")</f>
        <v>-</v>
      </c>
      <c r="K771" s="60" t="str">
        <f t="shared" ref="K771:K834" si="36">IFERROR(I771*J771,"")</f>
        <v/>
      </c>
      <c r="L771" s="87"/>
      <c r="M771" s="60">
        <f t="shared" ref="M771:M834" si="37">YEAR(C771)</f>
        <v>1900</v>
      </c>
      <c r="N771" s="60">
        <f t="shared" ref="N771:N834" si="38">MONTH(C771)</f>
        <v>1</v>
      </c>
    </row>
    <row r="772" customHeight="1" spans="2:14">
      <c r="B772" s="86">
        <v>770</v>
      </c>
      <c r="C772" s="87"/>
      <c r="D772" s="87"/>
      <c r="E772" s="60" t="str">
        <f>IFERROR(VLOOKUP(D772,'基础-领用人及部门'!$C:$D,2,FALSE),"-")</f>
        <v>-</v>
      </c>
      <c r="F772" s="87"/>
      <c r="G772" s="60" t="str">
        <f>IFERROR(VLOOKUP($F772,'基础-办公用品信息'!$C:$E,2,FALSE),"-")</f>
        <v>-</v>
      </c>
      <c r="H772" s="60" t="str">
        <f>IFERROR(VLOOKUP($F772,'基础-办公用品信息'!$C:$E,3,FALSE),"-")</f>
        <v>-</v>
      </c>
      <c r="I772" s="60"/>
      <c r="J772" s="60" t="str">
        <f>IFERROR(VLOOKUP($F772,'基础-办公用品信息'!$C:$F,4,FALSE),"-")</f>
        <v>-</v>
      </c>
      <c r="K772" s="60" t="str">
        <f t="shared" si="36"/>
        <v/>
      </c>
      <c r="L772" s="87"/>
      <c r="M772" s="60">
        <f t="shared" si="37"/>
        <v>1900</v>
      </c>
      <c r="N772" s="60">
        <f t="shared" si="38"/>
        <v>1</v>
      </c>
    </row>
    <row r="773" customHeight="1" spans="2:14">
      <c r="B773" s="86">
        <v>771</v>
      </c>
      <c r="C773" s="87"/>
      <c r="D773" s="87"/>
      <c r="E773" s="60" t="str">
        <f>IFERROR(VLOOKUP(D773,'基础-领用人及部门'!$C:$D,2,FALSE),"-")</f>
        <v>-</v>
      </c>
      <c r="F773" s="87"/>
      <c r="G773" s="60" t="str">
        <f>IFERROR(VLOOKUP($F773,'基础-办公用品信息'!$C:$E,2,FALSE),"-")</f>
        <v>-</v>
      </c>
      <c r="H773" s="60" t="str">
        <f>IFERROR(VLOOKUP($F773,'基础-办公用品信息'!$C:$E,3,FALSE),"-")</f>
        <v>-</v>
      </c>
      <c r="I773" s="60"/>
      <c r="J773" s="60" t="str">
        <f>IFERROR(VLOOKUP($F773,'基础-办公用品信息'!$C:$F,4,FALSE),"-")</f>
        <v>-</v>
      </c>
      <c r="K773" s="60" t="str">
        <f t="shared" si="36"/>
        <v/>
      </c>
      <c r="L773" s="87"/>
      <c r="M773" s="60">
        <f t="shared" si="37"/>
        <v>1900</v>
      </c>
      <c r="N773" s="60">
        <f t="shared" si="38"/>
        <v>1</v>
      </c>
    </row>
    <row r="774" customHeight="1" spans="2:14">
      <c r="B774" s="86">
        <v>772</v>
      </c>
      <c r="C774" s="87"/>
      <c r="D774" s="87"/>
      <c r="E774" s="60" t="str">
        <f>IFERROR(VLOOKUP(D774,'基础-领用人及部门'!$C:$D,2,FALSE),"-")</f>
        <v>-</v>
      </c>
      <c r="F774" s="87"/>
      <c r="G774" s="60" t="str">
        <f>IFERROR(VLOOKUP($F774,'基础-办公用品信息'!$C:$E,2,FALSE),"-")</f>
        <v>-</v>
      </c>
      <c r="H774" s="60" t="str">
        <f>IFERROR(VLOOKUP($F774,'基础-办公用品信息'!$C:$E,3,FALSE),"-")</f>
        <v>-</v>
      </c>
      <c r="I774" s="60"/>
      <c r="J774" s="60" t="str">
        <f>IFERROR(VLOOKUP($F774,'基础-办公用品信息'!$C:$F,4,FALSE),"-")</f>
        <v>-</v>
      </c>
      <c r="K774" s="60" t="str">
        <f t="shared" si="36"/>
        <v/>
      </c>
      <c r="L774" s="87"/>
      <c r="M774" s="60">
        <f t="shared" si="37"/>
        <v>1900</v>
      </c>
      <c r="N774" s="60">
        <f t="shared" si="38"/>
        <v>1</v>
      </c>
    </row>
    <row r="775" customHeight="1" spans="2:14">
      <c r="B775" s="86">
        <v>773</v>
      </c>
      <c r="C775" s="87"/>
      <c r="D775" s="87"/>
      <c r="E775" s="60" t="str">
        <f>IFERROR(VLOOKUP(D775,'基础-领用人及部门'!$C:$D,2,FALSE),"-")</f>
        <v>-</v>
      </c>
      <c r="F775" s="87"/>
      <c r="G775" s="60" t="str">
        <f>IFERROR(VLOOKUP($F775,'基础-办公用品信息'!$C:$E,2,FALSE),"-")</f>
        <v>-</v>
      </c>
      <c r="H775" s="60" t="str">
        <f>IFERROR(VLOOKUP($F775,'基础-办公用品信息'!$C:$E,3,FALSE),"-")</f>
        <v>-</v>
      </c>
      <c r="I775" s="60"/>
      <c r="J775" s="60" t="str">
        <f>IFERROR(VLOOKUP($F775,'基础-办公用品信息'!$C:$F,4,FALSE),"-")</f>
        <v>-</v>
      </c>
      <c r="K775" s="60" t="str">
        <f t="shared" si="36"/>
        <v/>
      </c>
      <c r="L775" s="87"/>
      <c r="M775" s="60">
        <f t="shared" si="37"/>
        <v>1900</v>
      </c>
      <c r="N775" s="60">
        <f t="shared" si="38"/>
        <v>1</v>
      </c>
    </row>
    <row r="776" customHeight="1" spans="2:14">
      <c r="B776" s="86">
        <v>774</v>
      </c>
      <c r="C776" s="87"/>
      <c r="D776" s="87"/>
      <c r="E776" s="60" t="str">
        <f>IFERROR(VLOOKUP(D776,'基础-领用人及部门'!$C:$D,2,FALSE),"-")</f>
        <v>-</v>
      </c>
      <c r="F776" s="87"/>
      <c r="G776" s="60" t="str">
        <f>IFERROR(VLOOKUP($F776,'基础-办公用品信息'!$C:$E,2,FALSE),"-")</f>
        <v>-</v>
      </c>
      <c r="H776" s="60" t="str">
        <f>IFERROR(VLOOKUP($F776,'基础-办公用品信息'!$C:$E,3,FALSE),"-")</f>
        <v>-</v>
      </c>
      <c r="I776" s="60"/>
      <c r="J776" s="60" t="str">
        <f>IFERROR(VLOOKUP($F776,'基础-办公用品信息'!$C:$F,4,FALSE),"-")</f>
        <v>-</v>
      </c>
      <c r="K776" s="60" t="str">
        <f t="shared" si="36"/>
        <v/>
      </c>
      <c r="L776" s="87"/>
      <c r="M776" s="60">
        <f t="shared" si="37"/>
        <v>1900</v>
      </c>
      <c r="N776" s="60">
        <f t="shared" si="38"/>
        <v>1</v>
      </c>
    </row>
    <row r="777" customHeight="1" spans="2:14">
      <c r="B777" s="86">
        <v>775</v>
      </c>
      <c r="C777" s="87"/>
      <c r="D777" s="87"/>
      <c r="E777" s="60" t="str">
        <f>IFERROR(VLOOKUP(D777,'基础-领用人及部门'!$C:$D,2,FALSE),"-")</f>
        <v>-</v>
      </c>
      <c r="F777" s="87"/>
      <c r="G777" s="60" t="str">
        <f>IFERROR(VLOOKUP($F777,'基础-办公用品信息'!$C:$E,2,FALSE),"-")</f>
        <v>-</v>
      </c>
      <c r="H777" s="60" t="str">
        <f>IFERROR(VLOOKUP($F777,'基础-办公用品信息'!$C:$E,3,FALSE),"-")</f>
        <v>-</v>
      </c>
      <c r="I777" s="60"/>
      <c r="J777" s="60" t="str">
        <f>IFERROR(VLOOKUP($F777,'基础-办公用品信息'!$C:$F,4,FALSE),"-")</f>
        <v>-</v>
      </c>
      <c r="K777" s="60" t="str">
        <f t="shared" si="36"/>
        <v/>
      </c>
      <c r="L777" s="87"/>
      <c r="M777" s="60">
        <f t="shared" si="37"/>
        <v>1900</v>
      </c>
      <c r="N777" s="60">
        <f t="shared" si="38"/>
        <v>1</v>
      </c>
    </row>
    <row r="778" customHeight="1" spans="2:14">
      <c r="B778" s="86">
        <v>776</v>
      </c>
      <c r="C778" s="87"/>
      <c r="D778" s="87"/>
      <c r="E778" s="60" t="str">
        <f>IFERROR(VLOOKUP(D778,'基础-领用人及部门'!$C:$D,2,FALSE),"-")</f>
        <v>-</v>
      </c>
      <c r="F778" s="87"/>
      <c r="G778" s="60" t="str">
        <f>IFERROR(VLOOKUP($F778,'基础-办公用品信息'!$C:$E,2,FALSE),"-")</f>
        <v>-</v>
      </c>
      <c r="H778" s="60" t="str">
        <f>IFERROR(VLOOKUP($F778,'基础-办公用品信息'!$C:$E,3,FALSE),"-")</f>
        <v>-</v>
      </c>
      <c r="I778" s="60"/>
      <c r="J778" s="60" t="str">
        <f>IFERROR(VLOOKUP($F778,'基础-办公用品信息'!$C:$F,4,FALSE),"-")</f>
        <v>-</v>
      </c>
      <c r="K778" s="60" t="str">
        <f t="shared" si="36"/>
        <v/>
      </c>
      <c r="L778" s="87"/>
      <c r="M778" s="60">
        <f t="shared" si="37"/>
        <v>1900</v>
      </c>
      <c r="N778" s="60">
        <f t="shared" si="38"/>
        <v>1</v>
      </c>
    </row>
    <row r="779" customHeight="1" spans="2:14">
      <c r="B779" s="86">
        <v>777</v>
      </c>
      <c r="C779" s="87"/>
      <c r="D779" s="87"/>
      <c r="E779" s="60" t="str">
        <f>IFERROR(VLOOKUP(D779,'基础-领用人及部门'!$C:$D,2,FALSE),"-")</f>
        <v>-</v>
      </c>
      <c r="F779" s="87"/>
      <c r="G779" s="60" t="str">
        <f>IFERROR(VLOOKUP($F779,'基础-办公用品信息'!$C:$E,2,FALSE),"-")</f>
        <v>-</v>
      </c>
      <c r="H779" s="60" t="str">
        <f>IFERROR(VLOOKUP($F779,'基础-办公用品信息'!$C:$E,3,FALSE),"-")</f>
        <v>-</v>
      </c>
      <c r="I779" s="60"/>
      <c r="J779" s="60" t="str">
        <f>IFERROR(VLOOKUP($F779,'基础-办公用品信息'!$C:$F,4,FALSE),"-")</f>
        <v>-</v>
      </c>
      <c r="K779" s="60" t="str">
        <f t="shared" si="36"/>
        <v/>
      </c>
      <c r="L779" s="87"/>
      <c r="M779" s="60">
        <f t="shared" si="37"/>
        <v>1900</v>
      </c>
      <c r="N779" s="60">
        <f t="shared" si="38"/>
        <v>1</v>
      </c>
    </row>
    <row r="780" customHeight="1" spans="2:14">
      <c r="B780" s="86">
        <v>778</v>
      </c>
      <c r="C780" s="87"/>
      <c r="D780" s="87"/>
      <c r="E780" s="60" t="str">
        <f>IFERROR(VLOOKUP(D780,'基础-领用人及部门'!$C:$D,2,FALSE),"-")</f>
        <v>-</v>
      </c>
      <c r="F780" s="87"/>
      <c r="G780" s="60" t="str">
        <f>IFERROR(VLOOKUP($F780,'基础-办公用品信息'!$C:$E,2,FALSE),"-")</f>
        <v>-</v>
      </c>
      <c r="H780" s="60" t="str">
        <f>IFERROR(VLOOKUP($F780,'基础-办公用品信息'!$C:$E,3,FALSE),"-")</f>
        <v>-</v>
      </c>
      <c r="I780" s="60"/>
      <c r="J780" s="60" t="str">
        <f>IFERROR(VLOOKUP($F780,'基础-办公用品信息'!$C:$F,4,FALSE),"-")</f>
        <v>-</v>
      </c>
      <c r="K780" s="60" t="str">
        <f t="shared" si="36"/>
        <v/>
      </c>
      <c r="L780" s="87"/>
      <c r="M780" s="60">
        <f t="shared" si="37"/>
        <v>1900</v>
      </c>
      <c r="N780" s="60">
        <f t="shared" si="38"/>
        <v>1</v>
      </c>
    </row>
    <row r="781" customHeight="1" spans="2:14">
      <c r="B781" s="86">
        <v>779</v>
      </c>
      <c r="C781" s="87"/>
      <c r="D781" s="87"/>
      <c r="E781" s="60" t="str">
        <f>IFERROR(VLOOKUP(D781,'基础-领用人及部门'!$C:$D,2,FALSE),"-")</f>
        <v>-</v>
      </c>
      <c r="F781" s="87"/>
      <c r="G781" s="60" t="str">
        <f>IFERROR(VLOOKUP($F781,'基础-办公用品信息'!$C:$E,2,FALSE),"-")</f>
        <v>-</v>
      </c>
      <c r="H781" s="60" t="str">
        <f>IFERROR(VLOOKUP($F781,'基础-办公用品信息'!$C:$E,3,FALSE),"-")</f>
        <v>-</v>
      </c>
      <c r="I781" s="60"/>
      <c r="J781" s="60" t="str">
        <f>IFERROR(VLOOKUP($F781,'基础-办公用品信息'!$C:$F,4,FALSE),"-")</f>
        <v>-</v>
      </c>
      <c r="K781" s="60" t="str">
        <f t="shared" si="36"/>
        <v/>
      </c>
      <c r="L781" s="87"/>
      <c r="M781" s="60">
        <f t="shared" si="37"/>
        <v>1900</v>
      </c>
      <c r="N781" s="60">
        <f t="shared" si="38"/>
        <v>1</v>
      </c>
    </row>
    <row r="782" customHeight="1" spans="2:14">
      <c r="B782" s="86">
        <v>780</v>
      </c>
      <c r="C782" s="87"/>
      <c r="D782" s="87"/>
      <c r="E782" s="60" t="str">
        <f>IFERROR(VLOOKUP(D782,'基础-领用人及部门'!$C:$D,2,FALSE),"-")</f>
        <v>-</v>
      </c>
      <c r="F782" s="87"/>
      <c r="G782" s="60" t="str">
        <f>IFERROR(VLOOKUP($F782,'基础-办公用品信息'!$C:$E,2,FALSE),"-")</f>
        <v>-</v>
      </c>
      <c r="H782" s="60" t="str">
        <f>IFERROR(VLOOKUP($F782,'基础-办公用品信息'!$C:$E,3,FALSE),"-")</f>
        <v>-</v>
      </c>
      <c r="I782" s="60"/>
      <c r="J782" s="60" t="str">
        <f>IFERROR(VLOOKUP($F782,'基础-办公用品信息'!$C:$F,4,FALSE),"-")</f>
        <v>-</v>
      </c>
      <c r="K782" s="60" t="str">
        <f t="shared" si="36"/>
        <v/>
      </c>
      <c r="L782" s="87"/>
      <c r="M782" s="60">
        <f t="shared" si="37"/>
        <v>1900</v>
      </c>
      <c r="N782" s="60">
        <f t="shared" si="38"/>
        <v>1</v>
      </c>
    </row>
    <row r="783" customHeight="1" spans="2:14">
      <c r="B783" s="86">
        <v>781</v>
      </c>
      <c r="C783" s="87"/>
      <c r="D783" s="87"/>
      <c r="E783" s="60" t="str">
        <f>IFERROR(VLOOKUP(D783,'基础-领用人及部门'!$C:$D,2,FALSE),"-")</f>
        <v>-</v>
      </c>
      <c r="F783" s="87"/>
      <c r="G783" s="60" t="str">
        <f>IFERROR(VLOOKUP($F783,'基础-办公用品信息'!$C:$E,2,FALSE),"-")</f>
        <v>-</v>
      </c>
      <c r="H783" s="60" t="str">
        <f>IFERROR(VLOOKUP($F783,'基础-办公用品信息'!$C:$E,3,FALSE),"-")</f>
        <v>-</v>
      </c>
      <c r="I783" s="60"/>
      <c r="J783" s="60" t="str">
        <f>IFERROR(VLOOKUP($F783,'基础-办公用品信息'!$C:$F,4,FALSE),"-")</f>
        <v>-</v>
      </c>
      <c r="K783" s="60" t="str">
        <f t="shared" si="36"/>
        <v/>
      </c>
      <c r="L783" s="87"/>
      <c r="M783" s="60">
        <f t="shared" si="37"/>
        <v>1900</v>
      </c>
      <c r="N783" s="60">
        <f t="shared" si="38"/>
        <v>1</v>
      </c>
    </row>
    <row r="784" customHeight="1" spans="2:14">
      <c r="B784" s="86">
        <v>782</v>
      </c>
      <c r="C784" s="87"/>
      <c r="D784" s="87"/>
      <c r="E784" s="60" t="str">
        <f>IFERROR(VLOOKUP(D784,'基础-领用人及部门'!$C:$D,2,FALSE),"-")</f>
        <v>-</v>
      </c>
      <c r="F784" s="87"/>
      <c r="G784" s="60" t="str">
        <f>IFERROR(VLOOKUP($F784,'基础-办公用品信息'!$C:$E,2,FALSE),"-")</f>
        <v>-</v>
      </c>
      <c r="H784" s="60" t="str">
        <f>IFERROR(VLOOKUP($F784,'基础-办公用品信息'!$C:$E,3,FALSE),"-")</f>
        <v>-</v>
      </c>
      <c r="I784" s="60"/>
      <c r="J784" s="60" t="str">
        <f>IFERROR(VLOOKUP($F784,'基础-办公用品信息'!$C:$F,4,FALSE),"-")</f>
        <v>-</v>
      </c>
      <c r="K784" s="60" t="str">
        <f t="shared" si="36"/>
        <v/>
      </c>
      <c r="L784" s="87"/>
      <c r="M784" s="60">
        <f t="shared" si="37"/>
        <v>1900</v>
      </c>
      <c r="N784" s="60">
        <f t="shared" si="38"/>
        <v>1</v>
      </c>
    </row>
    <row r="785" customHeight="1" spans="2:14">
      <c r="B785" s="86">
        <v>783</v>
      </c>
      <c r="C785" s="87"/>
      <c r="D785" s="87"/>
      <c r="E785" s="60" t="str">
        <f>IFERROR(VLOOKUP(D785,'基础-领用人及部门'!$C:$D,2,FALSE),"-")</f>
        <v>-</v>
      </c>
      <c r="F785" s="87"/>
      <c r="G785" s="60" t="str">
        <f>IFERROR(VLOOKUP($F785,'基础-办公用品信息'!$C:$E,2,FALSE),"-")</f>
        <v>-</v>
      </c>
      <c r="H785" s="60" t="str">
        <f>IFERROR(VLOOKUP($F785,'基础-办公用品信息'!$C:$E,3,FALSE),"-")</f>
        <v>-</v>
      </c>
      <c r="I785" s="60"/>
      <c r="J785" s="60" t="str">
        <f>IFERROR(VLOOKUP($F785,'基础-办公用品信息'!$C:$F,4,FALSE),"-")</f>
        <v>-</v>
      </c>
      <c r="K785" s="60" t="str">
        <f t="shared" si="36"/>
        <v/>
      </c>
      <c r="L785" s="87"/>
      <c r="M785" s="60">
        <f t="shared" si="37"/>
        <v>1900</v>
      </c>
      <c r="N785" s="60">
        <f t="shared" si="38"/>
        <v>1</v>
      </c>
    </row>
    <row r="786" customHeight="1" spans="2:14">
      <c r="B786" s="86">
        <v>784</v>
      </c>
      <c r="C786" s="87"/>
      <c r="D786" s="87"/>
      <c r="E786" s="60" t="str">
        <f>IFERROR(VLOOKUP(D786,'基础-领用人及部门'!$C:$D,2,FALSE),"-")</f>
        <v>-</v>
      </c>
      <c r="F786" s="87"/>
      <c r="G786" s="60" t="str">
        <f>IFERROR(VLOOKUP($F786,'基础-办公用品信息'!$C:$E,2,FALSE),"-")</f>
        <v>-</v>
      </c>
      <c r="H786" s="60" t="str">
        <f>IFERROR(VLOOKUP($F786,'基础-办公用品信息'!$C:$E,3,FALSE),"-")</f>
        <v>-</v>
      </c>
      <c r="I786" s="60"/>
      <c r="J786" s="60" t="str">
        <f>IFERROR(VLOOKUP($F786,'基础-办公用品信息'!$C:$F,4,FALSE),"-")</f>
        <v>-</v>
      </c>
      <c r="K786" s="60" t="str">
        <f t="shared" si="36"/>
        <v/>
      </c>
      <c r="L786" s="87"/>
      <c r="M786" s="60">
        <f t="shared" si="37"/>
        <v>1900</v>
      </c>
      <c r="N786" s="60">
        <f t="shared" si="38"/>
        <v>1</v>
      </c>
    </row>
    <row r="787" customHeight="1" spans="2:14">
      <c r="B787" s="86">
        <v>785</v>
      </c>
      <c r="C787" s="87"/>
      <c r="D787" s="87"/>
      <c r="E787" s="60" t="str">
        <f>IFERROR(VLOOKUP(D787,'基础-领用人及部门'!$C:$D,2,FALSE),"-")</f>
        <v>-</v>
      </c>
      <c r="F787" s="87"/>
      <c r="G787" s="60" t="str">
        <f>IFERROR(VLOOKUP($F787,'基础-办公用品信息'!$C:$E,2,FALSE),"-")</f>
        <v>-</v>
      </c>
      <c r="H787" s="60" t="str">
        <f>IFERROR(VLOOKUP($F787,'基础-办公用品信息'!$C:$E,3,FALSE),"-")</f>
        <v>-</v>
      </c>
      <c r="I787" s="60"/>
      <c r="J787" s="60" t="str">
        <f>IFERROR(VLOOKUP($F787,'基础-办公用品信息'!$C:$F,4,FALSE),"-")</f>
        <v>-</v>
      </c>
      <c r="K787" s="60" t="str">
        <f t="shared" si="36"/>
        <v/>
      </c>
      <c r="L787" s="87"/>
      <c r="M787" s="60">
        <f t="shared" si="37"/>
        <v>1900</v>
      </c>
      <c r="N787" s="60">
        <f t="shared" si="38"/>
        <v>1</v>
      </c>
    </row>
    <row r="788" customHeight="1" spans="2:14">
      <c r="B788" s="86">
        <v>786</v>
      </c>
      <c r="C788" s="87"/>
      <c r="D788" s="87"/>
      <c r="E788" s="60" t="str">
        <f>IFERROR(VLOOKUP(D788,'基础-领用人及部门'!$C:$D,2,FALSE),"-")</f>
        <v>-</v>
      </c>
      <c r="F788" s="87"/>
      <c r="G788" s="60" t="str">
        <f>IFERROR(VLOOKUP($F788,'基础-办公用品信息'!$C:$E,2,FALSE),"-")</f>
        <v>-</v>
      </c>
      <c r="H788" s="60" t="str">
        <f>IFERROR(VLOOKUP($F788,'基础-办公用品信息'!$C:$E,3,FALSE),"-")</f>
        <v>-</v>
      </c>
      <c r="I788" s="60"/>
      <c r="J788" s="60" t="str">
        <f>IFERROR(VLOOKUP($F788,'基础-办公用品信息'!$C:$F,4,FALSE),"-")</f>
        <v>-</v>
      </c>
      <c r="K788" s="60" t="str">
        <f t="shared" si="36"/>
        <v/>
      </c>
      <c r="L788" s="87"/>
      <c r="M788" s="60">
        <f t="shared" si="37"/>
        <v>1900</v>
      </c>
      <c r="N788" s="60">
        <f t="shared" si="38"/>
        <v>1</v>
      </c>
    </row>
    <row r="789" customHeight="1" spans="2:14">
      <c r="B789" s="86">
        <v>787</v>
      </c>
      <c r="C789" s="87"/>
      <c r="D789" s="87"/>
      <c r="E789" s="60" t="str">
        <f>IFERROR(VLOOKUP(D789,'基础-领用人及部门'!$C:$D,2,FALSE),"-")</f>
        <v>-</v>
      </c>
      <c r="F789" s="87"/>
      <c r="G789" s="60" t="str">
        <f>IFERROR(VLOOKUP($F789,'基础-办公用品信息'!$C:$E,2,FALSE),"-")</f>
        <v>-</v>
      </c>
      <c r="H789" s="60" t="str">
        <f>IFERROR(VLOOKUP($F789,'基础-办公用品信息'!$C:$E,3,FALSE),"-")</f>
        <v>-</v>
      </c>
      <c r="I789" s="60"/>
      <c r="J789" s="60" t="str">
        <f>IFERROR(VLOOKUP($F789,'基础-办公用品信息'!$C:$F,4,FALSE),"-")</f>
        <v>-</v>
      </c>
      <c r="K789" s="60" t="str">
        <f t="shared" si="36"/>
        <v/>
      </c>
      <c r="L789" s="87"/>
      <c r="M789" s="60">
        <f t="shared" si="37"/>
        <v>1900</v>
      </c>
      <c r="N789" s="60">
        <f t="shared" si="38"/>
        <v>1</v>
      </c>
    </row>
    <row r="790" customHeight="1" spans="2:14">
      <c r="B790" s="86">
        <v>788</v>
      </c>
      <c r="C790" s="87"/>
      <c r="D790" s="87"/>
      <c r="E790" s="60" t="str">
        <f>IFERROR(VLOOKUP(D790,'基础-领用人及部门'!$C:$D,2,FALSE),"-")</f>
        <v>-</v>
      </c>
      <c r="F790" s="87"/>
      <c r="G790" s="60" t="str">
        <f>IFERROR(VLOOKUP($F790,'基础-办公用品信息'!$C:$E,2,FALSE),"-")</f>
        <v>-</v>
      </c>
      <c r="H790" s="60" t="str">
        <f>IFERROR(VLOOKUP($F790,'基础-办公用品信息'!$C:$E,3,FALSE),"-")</f>
        <v>-</v>
      </c>
      <c r="I790" s="60"/>
      <c r="J790" s="60" t="str">
        <f>IFERROR(VLOOKUP($F790,'基础-办公用品信息'!$C:$F,4,FALSE),"-")</f>
        <v>-</v>
      </c>
      <c r="K790" s="60" t="str">
        <f t="shared" si="36"/>
        <v/>
      </c>
      <c r="L790" s="87"/>
      <c r="M790" s="60">
        <f t="shared" si="37"/>
        <v>1900</v>
      </c>
      <c r="N790" s="60">
        <f t="shared" si="38"/>
        <v>1</v>
      </c>
    </row>
    <row r="791" customHeight="1" spans="2:14">
      <c r="B791" s="86">
        <v>789</v>
      </c>
      <c r="C791" s="87"/>
      <c r="D791" s="87"/>
      <c r="E791" s="60" t="str">
        <f>IFERROR(VLOOKUP(D791,'基础-领用人及部门'!$C:$D,2,FALSE),"-")</f>
        <v>-</v>
      </c>
      <c r="F791" s="87"/>
      <c r="G791" s="60" t="str">
        <f>IFERROR(VLOOKUP($F791,'基础-办公用品信息'!$C:$E,2,FALSE),"-")</f>
        <v>-</v>
      </c>
      <c r="H791" s="60" t="str">
        <f>IFERROR(VLOOKUP($F791,'基础-办公用品信息'!$C:$E,3,FALSE),"-")</f>
        <v>-</v>
      </c>
      <c r="I791" s="60"/>
      <c r="J791" s="60" t="str">
        <f>IFERROR(VLOOKUP($F791,'基础-办公用品信息'!$C:$F,4,FALSE),"-")</f>
        <v>-</v>
      </c>
      <c r="K791" s="60" t="str">
        <f t="shared" si="36"/>
        <v/>
      </c>
      <c r="L791" s="87"/>
      <c r="M791" s="60">
        <f t="shared" si="37"/>
        <v>1900</v>
      </c>
      <c r="N791" s="60">
        <f t="shared" si="38"/>
        <v>1</v>
      </c>
    </row>
    <row r="792" customHeight="1" spans="2:14">
      <c r="B792" s="86">
        <v>790</v>
      </c>
      <c r="C792" s="87"/>
      <c r="D792" s="87"/>
      <c r="E792" s="60" t="str">
        <f>IFERROR(VLOOKUP(D792,'基础-领用人及部门'!$C:$D,2,FALSE),"-")</f>
        <v>-</v>
      </c>
      <c r="F792" s="87"/>
      <c r="G792" s="60" t="str">
        <f>IFERROR(VLOOKUP($F792,'基础-办公用品信息'!$C:$E,2,FALSE),"-")</f>
        <v>-</v>
      </c>
      <c r="H792" s="60" t="str">
        <f>IFERROR(VLOOKUP($F792,'基础-办公用品信息'!$C:$E,3,FALSE),"-")</f>
        <v>-</v>
      </c>
      <c r="I792" s="60"/>
      <c r="J792" s="60" t="str">
        <f>IFERROR(VLOOKUP($F792,'基础-办公用品信息'!$C:$F,4,FALSE),"-")</f>
        <v>-</v>
      </c>
      <c r="K792" s="60" t="str">
        <f t="shared" si="36"/>
        <v/>
      </c>
      <c r="L792" s="87"/>
      <c r="M792" s="60">
        <f t="shared" si="37"/>
        <v>1900</v>
      </c>
      <c r="N792" s="60">
        <f t="shared" si="38"/>
        <v>1</v>
      </c>
    </row>
    <row r="793" customHeight="1" spans="2:14">
      <c r="B793" s="86">
        <v>791</v>
      </c>
      <c r="C793" s="87"/>
      <c r="D793" s="87"/>
      <c r="E793" s="60" t="str">
        <f>IFERROR(VLOOKUP(D793,'基础-领用人及部门'!$C:$D,2,FALSE),"-")</f>
        <v>-</v>
      </c>
      <c r="F793" s="87"/>
      <c r="G793" s="60" t="str">
        <f>IFERROR(VLOOKUP($F793,'基础-办公用品信息'!$C:$E,2,FALSE),"-")</f>
        <v>-</v>
      </c>
      <c r="H793" s="60" t="str">
        <f>IFERROR(VLOOKUP($F793,'基础-办公用品信息'!$C:$E,3,FALSE),"-")</f>
        <v>-</v>
      </c>
      <c r="I793" s="60"/>
      <c r="J793" s="60" t="str">
        <f>IFERROR(VLOOKUP($F793,'基础-办公用品信息'!$C:$F,4,FALSE),"-")</f>
        <v>-</v>
      </c>
      <c r="K793" s="60" t="str">
        <f t="shared" si="36"/>
        <v/>
      </c>
      <c r="L793" s="87"/>
      <c r="M793" s="60">
        <f t="shared" si="37"/>
        <v>1900</v>
      </c>
      <c r="N793" s="60">
        <f t="shared" si="38"/>
        <v>1</v>
      </c>
    </row>
    <row r="794" customHeight="1" spans="2:14">
      <c r="B794" s="86">
        <v>792</v>
      </c>
      <c r="C794" s="87"/>
      <c r="D794" s="87"/>
      <c r="E794" s="60" t="str">
        <f>IFERROR(VLOOKUP(D794,'基础-领用人及部门'!$C:$D,2,FALSE),"-")</f>
        <v>-</v>
      </c>
      <c r="F794" s="87"/>
      <c r="G794" s="60" t="str">
        <f>IFERROR(VLOOKUP($F794,'基础-办公用品信息'!$C:$E,2,FALSE),"-")</f>
        <v>-</v>
      </c>
      <c r="H794" s="60" t="str">
        <f>IFERROR(VLOOKUP($F794,'基础-办公用品信息'!$C:$E,3,FALSE),"-")</f>
        <v>-</v>
      </c>
      <c r="I794" s="60"/>
      <c r="J794" s="60" t="str">
        <f>IFERROR(VLOOKUP($F794,'基础-办公用品信息'!$C:$F,4,FALSE),"-")</f>
        <v>-</v>
      </c>
      <c r="K794" s="60" t="str">
        <f t="shared" si="36"/>
        <v/>
      </c>
      <c r="L794" s="87"/>
      <c r="M794" s="60">
        <f t="shared" si="37"/>
        <v>1900</v>
      </c>
      <c r="N794" s="60">
        <f t="shared" si="38"/>
        <v>1</v>
      </c>
    </row>
    <row r="795" customHeight="1" spans="2:14">
      <c r="B795" s="86">
        <v>793</v>
      </c>
      <c r="C795" s="87"/>
      <c r="D795" s="87"/>
      <c r="E795" s="60" t="str">
        <f>IFERROR(VLOOKUP(D795,'基础-领用人及部门'!$C:$D,2,FALSE),"-")</f>
        <v>-</v>
      </c>
      <c r="F795" s="87"/>
      <c r="G795" s="60" t="str">
        <f>IFERROR(VLOOKUP($F795,'基础-办公用品信息'!$C:$E,2,FALSE),"-")</f>
        <v>-</v>
      </c>
      <c r="H795" s="60" t="str">
        <f>IFERROR(VLOOKUP($F795,'基础-办公用品信息'!$C:$E,3,FALSE),"-")</f>
        <v>-</v>
      </c>
      <c r="I795" s="60"/>
      <c r="J795" s="60" t="str">
        <f>IFERROR(VLOOKUP($F795,'基础-办公用品信息'!$C:$F,4,FALSE),"-")</f>
        <v>-</v>
      </c>
      <c r="K795" s="60" t="str">
        <f t="shared" si="36"/>
        <v/>
      </c>
      <c r="L795" s="87"/>
      <c r="M795" s="60">
        <f t="shared" si="37"/>
        <v>1900</v>
      </c>
      <c r="N795" s="60">
        <f t="shared" si="38"/>
        <v>1</v>
      </c>
    </row>
    <row r="796" customHeight="1" spans="2:14">
      <c r="B796" s="86">
        <v>794</v>
      </c>
      <c r="C796" s="87"/>
      <c r="D796" s="87"/>
      <c r="E796" s="60" t="str">
        <f>IFERROR(VLOOKUP(D796,'基础-领用人及部门'!$C:$D,2,FALSE),"-")</f>
        <v>-</v>
      </c>
      <c r="F796" s="87"/>
      <c r="G796" s="60" t="str">
        <f>IFERROR(VLOOKUP($F796,'基础-办公用品信息'!$C:$E,2,FALSE),"-")</f>
        <v>-</v>
      </c>
      <c r="H796" s="60" t="str">
        <f>IFERROR(VLOOKUP($F796,'基础-办公用品信息'!$C:$E,3,FALSE),"-")</f>
        <v>-</v>
      </c>
      <c r="I796" s="60"/>
      <c r="J796" s="60" t="str">
        <f>IFERROR(VLOOKUP($F796,'基础-办公用品信息'!$C:$F,4,FALSE),"-")</f>
        <v>-</v>
      </c>
      <c r="K796" s="60" t="str">
        <f t="shared" si="36"/>
        <v/>
      </c>
      <c r="L796" s="87"/>
      <c r="M796" s="60">
        <f t="shared" si="37"/>
        <v>1900</v>
      </c>
      <c r="N796" s="60">
        <f t="shared" si="38"/>
        <v>1</v>
      </c>
    </row>
    <row r="797" customHeight="1" spans="2:14">
      <c r="B797" s="86">
        <v>795</v>
      </c>
      <c r="C797" s="87"/>
      <c r="D797" s="87"/>
      <c r="E797" s="60" t="str">
        <f>IFERROR(VLOOKUP(D797,'基础-领用人及部门'!$C:$D,2,FALSE),"-")</f>
        <v>-</v>
      </c>
      <c r="F797" s="87"/>
      <c r="G797" s="60" t="str">
        <f>IFERROR(VLOOKUP($F797,'基础-办公用品信息'!$C:$E,2,FALSE),"-")</f>
        <v>-</v>
      </c>
      <c r="H797" s="60" t="str">
        <f>IFERROR(VLOOKUP($F797,'基础-办公用品信息'!$C:$E,3,FALSE),"-")</f>
        <v>-</v>
      </c>
      <c r="I797" s="60"/>
      <c r="J797" s="60" t="str">
        <f>IFERROR(VLOOKUP($F797,'基础-办公用品信息'!$C:$F,4,FALSE),"-")</f>
        <v>-</v>
      </c>
      <c r="K797" s="60" t="str">
        <f t="shared" si="36"/>
        <v/>
      </c>
      <c r="L797" s="87"/>
      <c r="M797" s="60">
        <f t="shared" si="37"/>
        <v>1900</v>
      </c>
      <c r="N797" s="60">
        <f t="shared" si="38"/>
        <v>1</v>
      </c>
    </row>
    <row r="798" customHeight="1" spans="2:14">
      <c r="B798" s="86">
        <v>796</v>
      </c>
      <c r="C798" s="87"/>
      <c r="D798" s="87"/>
      <c r="E798" s="60" t="str">
        <f>IFERROR(VLOOKUP(D798,'基础-领用人及部门'!$C:$D,2,FALSE),"-")</f>
        <v>-</v>
      </c>
      <c r="F798" s="87"/>
      <c r="G798" s="60" t="str">
        <f>IFERROR(VLOOKUP($F798,'基础-办公用品信息'!$C:$E,2,FALSE),"-")</f>
        <v>-</v>
      </c>
      <c r="H798" s="60" t="str">
        <f>IFERROR(VLOOKUP($F798,'基础-办公用品信息'!$C:$E,3,FALSE),"-")</f>
        <v>-</v>
      </c>
      <c r="I798" s="60"/>
      <c r="J798" s="60" t="str">
        <f>IFERROR(VLOOKUP($F798,'基础-办公用品信息'!$C:$F,4,FALSE),"-")</f>
        <v>-</v>
      </c>
      <c r="K798" s="60" t="str">
        <f t="shared" si="36"/>
        <v/>
      </c>
      <c r="L798" s="87"/>
      <c r="M798" s="60">
        <f t="shared" si="37"/>
        <v>1900</v>
      </c>
      <c r="N798" s="60">
        <f t="shared" si="38"/>
        <v>1</v>
      </c>
    </row>
    <row r="799" customHeight="1" spans="2:14">
      <c r="B799" s="86">
        <v>797</v>
      </c>
      <c r="C799" s="87"/>
      <c r="D799" s="87"/>
      <c r="E799" s="60" t="str">
        <f>IFERROR(VLOOKUP(D799,'基础-领用人及部门'!$C:$D,2,FALSE),"-")</f>
        <v>-</v>
      </c>
      <c r="F799" s="87"/>
      <c r="G799" s="60" t="str">
        <f>IFERROR(VLOOKUP($F799,'基础-办公用品信息'!$C:$E,2,FALSE),"-")</f>
        <v>-</v>
      </c>
      <c r="H799" s="60" t="str">
        <f>IFERROR(VLOOKUP($F799,'基础-办公用品信息'!$C:$E,3,FALSE),"-")</f>
        <v>-</v>
      </c>
      <c r="I799" s="60"/>
      <c r="J799" s="60" t="str">
        <f>IFERROR(VLOOKUP($F799,'基础-办公用品信息'!$C:$F,4,FALSE),"-")</f>
        <v>-</v>
      </c>
      <c r="K799" s="60" t="str">
        <f t="shared" si="36"/>
        <v/>
      </c>
      <c r="L799" s="87"/>
      <c r="M799" s="60">
        <f t="shared" si="37"/>
        <v>1900</v>
      </c>
      <c r="N799" s="60">
        <f t="shared" si="38"/>
        <v>1</v>
      </c>
    </row>
    <row r="800" customHeight="1" spans="2:14">
      <c r="B800" s="86">
        <v>798</v>
      </c>
      <c r="C800" s="87"/>
      <c r="D800" s="87"/>
      <c r="E800" s="60" t="str">
        <f>IFERROR(VLOOKUP(D800,'基础-领用人及部门'!$C:$D,2,FALSE),"-")</f>
        <v>-</v>
      </c>
      <c r="F800" s="87"/>
      <c r="G800" s="60" t="str">
        <f>IFERROR(VLOOKUP($F800,'基础-办公用品信息'!$C:$E,2,FALSE),"-")</f>
        <v>-</v>
      </c>
      <c r="H800" s="60" t="str">
        <f>IFERROR(VLOOKUP($F800,'基础-办公用品信息'!$C:$E,3,FALSE),"-")</f>
        <v>-</v>
      </c>
      <c r="I800" s="60"/>
      <c r="J800" s="60" t="str">
        <f>IFERROR(VLOOKUP($F800,'基础-办公用品信息'!$C:$F,4,FALSE),"-")</f>
        <v>-</v>
      </c>
      <c r="K800" s="60" t="str">
        <f t="shared" si="36"/>
        <v/>
      </c>
      <c r="L800" s="87"/>
      <c r="M800" s="60">
        <f t="shared" si="37"/>
        <v>1900</v>
      </c>
      <c r="N800" s="60">
        <f t="shared" si="38"/>
        <v>1</v>
      </c>
    </row>
    <row r="801" customHeight="1" spans="2:14">
      <c r="B801" s="86">
        <v>799</v>
      </c>
      <c r="C801" s="87"/>
      <c r="D801" s="87"/>
      <c r="E801" s="60" t="str">
        <f>IFERROR(VLOOKUP(D801,'基础-领用人及部门'!$C:$D,2,FALSE),"-")</f>
        <v>-</v>
      </c>
      <c r="F801" s="87"/>
      <c r="G801" s="60" t="str">
        <f>IFERROR(VLOOKUP($F801,'基础-办公用品信息'!$C:$E,2,FALSE),"-")</f>
        <v>-</v>
      </c>
      <c r="H801" s="60" t="str">
        <f>IFERROR(VLOOKUP($F801,'基础-办公用品信息'!$C:$E,3,FALSE),"-")</f>
        <v>-</v>
      </c>
      <c r="I801" s="60"/>
      <c r="J801" s="60" t="str">
        <f>IFERROR(VLOOKUP($F801,'基础-办公用品信息'!$C:$F,4,FALSE),"-")</f>
        <v>-</v>
      </c>
      <c r="K801" s="60" t="str">
        <f t="shared" si="36"/>
        <v/>
      </c>
      <c r="L801" s="87"/>
      <c r="M801" s="60">
        <f t="shared" si="37"/>
        <v>1900</v>
      </c>
      <c r="N801" s="60">
        <f t="shared" si="38"/>
        <v>1</v>
      </c>
    </row>
    <row r="802" customHeight="1" spans="2:14">
      <c r="B802" s="86">
        <v>800</v>
      </c>
      <c r="C802" s="87"/>
      <c r="D802" s="87"/>
      <c r="E802" s="60" t="str">
        <f>IFERROR(VLOOKUP(D802,'基础-领用人及部门'!$C:$D,2,FALSE),"-")</f>
        <v>-</v>
      </c>
      <c r="F802" s="87"/>
      <c r="G802" s="60" t="str">
        <f>IFERROR(VLOOKUP($F802,'基础-办公用品信息'!$C:$E,2,FALSE),"-")</f>
        <v>-</v>
      </c>
      <c r="H802" s="60" t="str">
        <f>IFERROR(VLOOKUP($F802,'基础-办公用品信息'!$C:$E,3,FALSE),"-")</f>
        <v>-</v>
      </c>
      <c r="I802" s="60"/>
      <c r="J802" s="60" t="str">
        <f>IFERROR(VLOOKUP($F802,'基础-办公用品信息'!$C:$F,4,FALSE),"-")</f>
        <v>-</v>
      </c>
      <c r="K802" s="60" t="str">
        <f t="shared" si="36"/>
        <v/>
      </c>
      <c r="L802" s="87"/>
      <c r="M802" s="60">
        <f t="shared" si="37"/>
        <v>1900</v>
      </c>
      <c r="N802" s="60">
        <f t="shared" si="38"/>
        <v>1</v>
      </c>
    </row>
    <row r="803" customHeight="1" spans="2:14">
      <c r="B803" s="86">
        <v>801</v>
      </c>
      <c r="C803" s="87"/>
      <c r="D803" s="87"/>
      <c r="E803" s="60" t="str">
        <f>IFERROR(VLOOKUP(D803,'基础-领用人及部门'!$C:$D,2,FALSE),"-")</f>
        <v>-</v>
      </c>
      <c r="F803" s="87"/>
      <c r="G803" s="60" t="str">
        <f>IFERROR(VLOOKUP($F803,'基础-办公用品信息'!$C:$E,2,FALSE),"-")</f>
        <v>-</v>
      </c>
      <c r="H803" s="60" t="str">
        <f>IFERROR(VLOOKUP($F803,'基础-办公用品信息'!$C:$E,3,FALSE),"-")</f>
        <v>-</v>
      </c>
      <c r="I803" s="60"/>
      <c r="J803" s="60" t="str">
        <f>IFERROR(VLOOKUP($F803,'基础-办公用品信息'!$C:$F,4,FALSE),"-")</f>
        <v>-</v>
      </c>
      <c r="K803" s="60" t="str">
        <f t="shared" si="36"/>
        <v/>
      </c>
      <c r="L803" s="87"/>
      <c r="M803" s="60">
        <f t="shared" si="37"/>
        <v>1900</v>
      </c>
      <c r="N803" s="60">
        <f t="shared" si="38"/>
        <v>1</v>
      </c>
    </row>
    <row r="804" customHeight="1" spans="2:14">
      <c r="B804" s="86">
        <v>802</v>
      </c>
      <c r="C804" s="87"/>
      <c r="D804" s="87"/>
      <c r="E804" s="60" t="str">
        <f>IFERROR(VLOOKUP(D804,'基础-领用人及部门'!$C:$D,2,FALSE),"-")</f>
        <v>-</v>
      </c>
      <c r="F804" s="87"/>
      <c r="G804" s="60" t="str">
        <f>IFERROR(VLOOKUP($F804,'基础-办公用品信息'!$C:$E,2,FALSE),"-")</f>
        <v>-</v>
      </c>
      <c r="H804" s="60" t="str">
        <f>IFERROR(VLOOKUP($F804,'基础-办公用品信息'!$C:$E,3,FALSE),"-")</f>
        <v>-</v>
      </c>
      <c r="I804" s="60"/>
      <c r="J804" s="60" t="str">
        <f>IFERROR(VLOOKUP($F804,'基础-办公用品信息'!$C:$F,4,FALSE),"-")</f>
        <v>-</v>
      </c>
      <c r="K804" s="60" t="str">
        <f t="shared" si="36"/>
        <v/>
      </c>
      <c r="L804" s="87"/>
      <c r="M804" s="60">
        <f t="shared" si="37"/>
        <v>1900</v>
      </c>
      <c r="N804" s="60">
        <f t="shared" si="38"/>
        <v>1</v>
      </c>
    </row>
    <row r="805" customHeight="1" spans="2:14">
      <c r="B805" s="86">
        <v>803</v>
      </c>
      <c r="C805" s="87"/>
      <c r="D805" s="87"/>
      <c r="E805" s="60" t="str">
        <f>IFERROR(VLOOKUP(D805,'基础-领用人及部门'!$C:$D,2,FALSE),"-")</f>
        <v>-</v>
      </c>
      <c r="F805" s="87"/>
      <c r="G805" s="60" t="str">
        <f>IFERROR(VLOOKUP($F805,'基础-办公用品信息'!$C:$E,2,FALSE),"-")</f>
        <v>-</v>
      </c>
      <c r="H805" s="60" t="str">
        <f>IFERROR(VLOOKUP($F805,'基础-办公用品信息'!$C:$E,3,FALSE),"-")</f>
        <v>-</v>
      </c>
      <c r="I805" s="60"/>
      <c r="J805" s="60" t="str">
        <f>IFERROR(VLOOKUP($F805,'基础-办公用品信息'!$C:$F,4,FALSE),"-")</f>
        <v>-</v>
      </c>
      <c r="K805" s="60" t="str">
        <f t="shared" si="36"/>
        <v/>
      </c>
      <c r="L805" s="87"/>
      <c r="M805" s="60">
        <f t="shared" si="37"/>
        <v>1900</v>
      </c>
      <c r="N805" s="60">
        <f t="shared" si="38"/>
        <v>1</v>
      </c>
    </row>
    <row r="806" customHeight="1" spans="2:14">
      <c r="B806" s="86">
        <v>804</v>
      </c>
      <c r="C806" s="87"/>
      <c r="D806" s="87"/>
      <c r="E806" s="60" t="str">
        <f>IFERROR(VLOOKUP(D806,'基础-领用人及部门'!$C:$D,2,FALSE),"-")</f>
        <v>-</v>
      </c>
      <c r="F806" s="87"/>
      <c r="G806" s="60" t="str">
        <f>IFERROR(VLOOKUP($F806,'基础-办公用品信息'!$C:$E,2,FALSE),"-")</f>
        <v>-</v>
      </c>
      <c r="H806" s="60" t="str">
        <f>IFERROR(VLOOKUP($F806,'基础-办公用品信息'!$C:$E,3,FALSE),"-")</f>
        <v>-</v>
      </c>
      <c r="I806" s="60"/>
      <c r="J806" s="60" t="str">
        <f>IFERROR(VLOOKUP($F806,'基础-办公用品信息'!$C:$F,4,FALSE),"-")</f>
        <v>-</v>
      </c>
      <c r="K806" s="60" t="str">
        <f t="shared" si="36"/>
        <v/>
      </c>
      <c r="L806" s="87"/>
      <c r="M806" s="60">
        <f t="shared" si="37"/>
        <v>1900</v>
      </c>
      <c r="N806" s="60">
        <f t="shared" si="38"/>
        <v>1</v>
      </c>
    </row>
    <row r="807" customHeight="1" spans="2:14">
      <c r="B807" s="86">
        <v>805</v>
      </c>
      <c r="C807" s="87"/>
      <c r="D807" s="87"/>
      <c r="E807" s="60" t="str">
        <f>IFERROR(VLOOKUP(D807,'基础-领用人及部门'!$C:$D,2,FALSE),"-")</f>
        <v>-</v>
      </c>
      <c r="F807" s="87"/>
      <c r="G807" s="60" t="str">
        <f>IFERROR(VLOOKUP($F807,'基础-办公用品信息'!$C:$E,2,FALSE),"-")</f>
        <v>-</v>
      </c>
      <c r="H807" s="60" t="str">
        <f>IFERROR(VLOOKUP($F807,'基础-办公用品信息'!$C:$E,3,FALSE),"-")</f>
        <v>-</v>
      </c>
      <c r="I807" s="60"/>
      <c r="J807" s="60" t="str">
        <f>IFERROR(VLOOKUP($F807,'基础-办公用品信息'!$C:$F,4,FALSE),"-")</f>
        <v>-</v>
      </c>
      <c r="K807" s="60" t="str">
        <f t="shared" si="36"/>
        <v/>
      </c>
      <c r="L807" s="87"/>
      <c r="M807" s="60">
        <f t="shared" si="37"/>
        <v>1900</v>
      </c>
      <c r="N807" s="60">
        <f t="shared" si="38"/>
        <v>1</v>
      </c>
    </row>
    <row r="808" customHeight="1" spans="2:14">
      <c r="B808" s="86">
        <v>806</v>
      </c>
      <c r="C808" s="87"/>
      <c r="D808" s="87"/>
      <c r="E808" s="60" t="str">
        <f>IFERROR(VLOOKUP(D808,'基础-领用人及部门'!$C:$D,2,FALSE),"-")</f>
        <v>-</v>
      </c>
      <c r="F808" s="87"/>
      <c r="G808" s="60" t="str">
        <f>IFERROR(VLOOKUP($F808,'基础-办公用品信息'!$C:$E,2,FALSE),"-")</f>
        <v>-</v>
      </c>
      <c r="H808" s="60" t="str">
        <f>IFERROR(VLOOKUP($F808,'基础-办公用品信息'!$C:$E,3,FALSE),"-")</f>
        <v>-</v>
      </c>
      <c r="I808" s="60"/>
      <c r="J808" s="60" t="str">
        <f>IFERROR(VLOOKUP($F808,'基础-办公用品信息'!$C:$F,4,FALSE),"-")</f>
        <v>-</v>
      </c>
      <c r="K808" s="60" t="str">
        <f t="shared" si="36"/>
        <v/>
      </c>
      <c r="L808" s="87"/>
      <c r="M808" s="60">
        <f t="shared" si="37"/>
        <v>1900</v>
      </c>
      <c r="N808" s="60">
        <f t="shared" si="38"/>
        <v>1</v>
      </c>
    </row>
    <row r="809" customHeight="1" spans="2:14">
      <c r="B809" s="86">
        <v>807</v>
      </c>
      <c r="C809" s="87"/>
      <c r="D809" s="87"/>
      <c r="E809" s="60" t="str">
        <f>IFERROR(VLOOKUP(D809,'基础-领用人及部门'!$C:$D,2,FALSE),"-")</f>
        <v>-</v>
      </c>
      <c r="F809" s="87"/>
      <c r="G809" s="60" t="str">
        <f>IFERROR(VLOOKUP($F809,'基础-办公用品信息'!$C:$E,2,FALSE),"-")</f>
        <v>-</v>
      </c>
      <c r="H809" s="60" t="str">
        <f>IFERROR(VLOOKUP($F809,'基础-办公用品信息'!$C:$E,3,FALSE),"-")</f>
        <v>-</v>
      </c>
      <c r="I809" s="60"/>
      <c r="J809" s="60" t="str">
        <f>IFERROR(VLOOKUP($F809,'基础-办公用品信息'!$C:$F,4,FALSE),"-")</f>
        <v>-</v>
      </c>
      <c r="K809" s="60" t="str">
        <f t="shared" si="36"/>
        <v/>
      </c>
      <c r="L809" s="87"/>
      <c r="M809" s="60">
        <f t="shared" si="37"/>
        <v>1900</v>
      </c>
      <c r="N809" s="60">
        <f t="shared" si="38"/>
        <v>1</v>
      </c>
    </row>
    <row r="810" customHeight="1" spans="2:14">
      <c r="B810" s="86">
        <v>808</v>
      </c>
      <c r="C810" s="87"/>
      <c r="D810" s="87"/>
      <c r="E810" s="60" t="str">
        <f>IFERROR(VLOOKUP(D810,'基础-领用人及部门'!$C:$D,2,FALSE),"-")</f>
        <v>-</v>
      </c>
      <c r="F810" s="87"/>
      <c r="G810" s="60" t="str">
        <f>IFERROR(VLOOKUP($F810,'基础-办公用品信息'!$C:$E,2,FALSE),"-")</f>
        <v>-</v>
      </c>
      <c r="H810" s="60" t="str">
        <f>IFERROR(VLOOKUP($F810,'基础-办公用品信息'!$C:$E,3,FALSE),"-")</f>
        <v>-</v>
      </c>
      <c r="I810" s="60"/>
      <c r="J810" s="60" t="str">
        <f>IFERROR(VLOOKUP($F810,'基础-办公用品信息'!$C:$F,4,FALSE),"-")</f>
        <v>-</v>
      </c>
      <c r="K810" s="60" t="str">
        <f t="shared" si="36"/>
        <v/>
      </c>
      <c r="L810" s="87"/>
      <c r="M810" s="60">
        <f t="shared" si="37"/>
        <v>1900</v>
      </c>
      <c r="N810" s="60">
        <f t="shared" si="38"/>
        <v>1</v>
      </c>
    </row>
    <row r="811" customHeight="1" spans="2:14">
      <c r="B811" s="86">
        <v>809</v>
      </c>
      <c r="C811" s="87"/>
      <c r="D811" s="87"/>
      <c r="E811" s="60" t="str">
        <f>IFERROR(VLOOKUP(D811,'基础-领用人及部门'!$C:$D,2,FALSE),"-")</f>
        <v>-</v>
      </c>
      <c r="F811" s="87"/>
      <c r="G811" s="60" t="str">
        <f>IFERROR(VLOOKUP($F811,'基础-办公用品信息'!$C:$E,2,FALSE),"-")</f>
        <v>-</v>
      </c>
      <c r="H811" s="60" t="str">
        <f>IFERROR(VLOOKUP($F811,'基础-办公用品信息'!$C:$E,3,FALSE),"-")</f>
        <v>-</v>
      </c>
      <c r="I811" s="60"/>
      <c r="J811" s="60" t="str">
        <f>IFERROR(VLOOKUP($F811,'基础-办公用品信息'!$C:$F,4,FALSE),"-")</f>
        <v>-</v>
      </c>
      <c r="K811" s="60" t="str">
        <f t="shared" si="36"/>
        <v/>
      </c>
      <c r="L811" s="87"/>
      <c r="M811" s="60">
        <f t="shared" si="37"/>
        <v>1900</v>
      </c>
      <c r="N811" s="60">
        <f t="shared" si="38"/>
        <v>1</v>
      </c>
    </row>
    <row r="812" customHeight="1" spans="2:14">
      <c r="B812" s="86">
        <v>810</v>
      </c>
      <c r="C812" s="87"/>
      <c r="D812" s="87"/>
      <c r="E812" s="60" t="str">
        <f>IFERROR(VLOOKUP(D812,'基础-领用人及部门'!$C:$D,2,FALSE),"-")</f>
        <v>-</v>
      </c>
      <c r="F812" s="87"/>
      <c r="G812" s="60" t="str">
        <f>IFERROR(VLOOKUP($F812,'基础-办公用品信息'!$C:$E,2,FALSE),"-")</f>
        <v>-</v>
      </c>
      <c r="H812" s="60" t="str">
        <f>IFERROR(VLOOKUP($F812,'基础-办公用品信息'!$C:$E,3,FALSE),"-")</f>
        <v>-</v>
      </c>
      <c r="I812" s="60"/>
      <c r="J812" s="60" t="str">
        <f>IFERROR(VLOOKUP($F812,'基础-办公用品信息'!$C:$F,4,FALSE),"-")</f>
        <v>-</v>
      </c>
      <c r="K812" s="60" t="str">
        <f t="shared" si="36"/>
        <v/>
      </c>
      <c r="L812" s="87"/>
      <c r="M812" s="60">
        <f t="shared" si="37"/>
        <v>1900</v>
      </c>
      <c r="N812" s="60">
        <f t="shared" si="38"/>
        <v>1</v>
      </c>
    </row>
    <row r="813" customHeight="1" spans="2:14">
      <c r="B813" s="86">
        <v>811</v>
      </c>
      <c r="C813" s="87"/>
      <c r="D813" s="87"/>
      <c r="E813" s="60" t="str">
        <f>IFERROR(VLOOKUP(D813,'基础-领用人及部门'!$C:$D,2,FALSE),"-")</f>
        <v>-</v>
      </c>
      <c r="F813" s="87"/>
      <c r="G813" s="60" t="str">
        <f>IFERROR(VLOOKUP($F813,'基础-办公用品信息'!$C:$E,2,FALSE),"-")</f>
        <v>-</v>
      </c>
      <c r="H813" s="60" t="str">
        <f>IFERROR(VLOOKUP($F813,'基础-办公用品信息'!$C:$E,3,FALSE),"-")</f>
        <v>-</v>
      </c>
      <c r="I813" s="60"/>
      <c r="J813" s="60" t="str">
        <f>IFERROR(VLOOKUP($F813,'基础-办公用品信息'!$C:$F,4,FALSE),"-")</f>
        <v>-</v>
      </c>
      <c r="K813" s="60" t="str">
        <f t="shared" si="36"/>
        <v/>
      </c>
      <c r="L813" s="87"/>
      <c r="M813" s="60">
        <f t="shared" si="37"/>
        <v>1900</v>
      </c>
      <c r="N813" s="60">
        <f t="shared" si="38"/>
        <v>1</v>
      </c>
    </row>
    <row r="814" customHeight="1" spans="2:14">
      <c r="B814" s="86">
        <v>812</v>
      </c>
      <c r="C814" s="87"/>
      <c r="D814" s="87"/>
      <c r="E814" s="60" t="str">
        <f>IFERROR(VLOOKUP(D814,'基础-领用人及部门'!$C:$D,2,FALSE),"-")</f>
        <v>-</v>
      </c>
      <c r="F814" s="87"/>
      <c r="G814" s="60" t="str">
        <f>IFERROR(VLOOKUP($F814,'基础-办公用品信息'!$C:$E,2,FALSE),"-")</f>
        <v>-</v>
      </c>
      <c r="H814" s="60" t="str">
        <f>IFERROR(VLOOKUP($F814,'基础-办公用品信息'!$C:$E,3,FALSE),"-")</f>
        <v>-</v>
      </c>
      <c r="I814" s="60"/>
      <c r="J814" s="60" t="str">
        <f>IFERROR(VLOOKUP($F814,'基础-办公用品信息'!$C:$F,4,FALSE),"-")</f>
        <v>-</v>
      </c>
      <c r="K814" s="60" t="str">
        <f t="shared" si="36"/>
        <v/>
      </c>
      <c r="L814" s="87"/>
      <c r="M814" s="60">
        <f t="shared" si="37"/>
        <v>1900</v>
      </c>
      <c r="N814" s="60">
        <f t="shared" si="38"/>
        <v>1</v>
      </c>
    </row>
    <row r="815" customHeight="1" spans="2:14">
      <c r="B815" s="86">
        <v>813</v>
      </c>
      <c r="C815" s="87"/>
      <c r="D815" s="87"/>
      <c r="E815" s="60" t="str">
        <f>IFERROR(VLOOKUP(D815,'基础-领用人及部门'!$C:$D,2,FALSE),"-")</f>
        <v>-</v>
      </c>
      <c r="F815" s="87"/>
      <c r="G815" s="60" t="str">
        <f>IFERROR(VLOOKUP($F815,'基础-办公用品信息'!$C:$E,2,FALSE),"-")</f>
        <v>-</v>
      </c>
      <c r="H815" s="60" t="str">
        <f>IFERROR(VLOOKUP($F815,'基础-办公用品信息'!$C:$E,3,FALSE),"-")</f>
        <v>-</v>
      </c>
      <c r="I815" s="60"/>
      <c r="J815" s="60" t="str">
        <f>IFERROR(VLOOKUP($F815,'基础-办公用品信息'!$C:$F,4,FALSE),"-")</f>
        <v>-</v>
      </c>
      <c r="K815" s="60" t="str">
        <f t="shared" si="36"/>
        <v/>
      </c>
      <c r="L815" s="87"/>
      <c r="M815" s="60">
        <f t="shared" si="37"/>
        <v>1900</v>
      </c>
      <c r="N815" s="60">
        <f t="shared" si="38"/>
        <v>1</v>
      </c>
    </row>
    <row r="816" customHeight="1" spans="2:14">
      <c r="B816" s="86">
        <v>814</v>
      </c>
      <c r="C816" s="87"/>
      <c r="D816" s="87"/>
      <c r="E816" s="60" t="str">
        <f>IFERROR(VLOOKUP(D816,'基础-领用人及部门'!$C:$D,2,FALSE),"-")</f>
        <v>-</v>
      </c>
      <c r="F816" s="87"/>
      <c r="G816" s="60" t="str">
        <f>IFERROR(VLOOKUP($F816,'基础-办公用品信息'!$C:$E,2,FALSE),"-")</f>
        <v>-</v>
      </c>
      <c r="H816" s="60" t="str">
        <f>IFERROR(VLOOKUP($F816,'基础-办公用品信息'!$C:$E,3,FALSE),"-")</f>
        <v>-</v>
      </c>
      <c r="I816" s="60"/>
      <c r="J816" s="60" t="str">
        <f>IFERROR(VLOOKUP($F816,'基础-办公用品信息'!$C:$F,4,FALSE),"-")</f>
        <v>-</v>
      </c>
      <c r="K816" s="60" t="str">
        <f t="shared" si="36"/>
        <v/>
      </c>
      <c r="L816" s="87"/>
      <c r="M816" s="60">
        <f t="shared" si="37"/>
        <v>1900</v>
      </c>
      <c r="N816" s="60">
        <f t="shared" si="38"/>
        <v>1</v>
      </c>
    </row>
    <row r="817" customHeight="1" spans="2:14">
      <c r="B817" s="86">
        <v>815</v>
      </c>
      <c r="C817" s="87"/>
      <c r="D817" s="87"/>
      <c r="E817" s="60" t="str">
        <f>IFERROR(VLOOKUP(D817,'基础-领用人及部门'!$C:$D,2,FALSE),"-")</f>
        <v>-</v>
      </c>
      <c r="F817" s="87"/>
      <c r="G817" s="60" t="str">
        <f>IFERROR(VLOOKUP($F817,'基础-办公用品信息'!$C:$E,2,FALSE),"-")</f>
        <v>-</v>
      </c>
      <c r="H817" s="60" t="str">
        <f>IFERROR(VLOOKUP($F817,'基础-办公用品信息'!$C:$E,3,FALSE),"-")</f>
        <v>-</v>
      </c>
      <c r="I817" s="60"/>
      <c r="J817" s="60" t="str">
        <f>IFERROR(VLOOKUP($F817,'基础-办公用品信息'!$C:$F,4,FALSE),"-")</f>
        <v>-</v>
      </c>
      <c r="K817" s="60" t="str">
        <f t="shared" si="36"/>
        <v/>
      </c>
      <c r="L817" s="87"/>
      <c r="M817" s="60">
        <f t="shared" si="37"/>
        <v>1900</v>
      </c>
      <c r="N817" s="60">
        <f t="shared" si="38"/>
        <v>1</v>
      </c>
    </row>
    <row r="818" customHeight="1" spans="2:14">
      <c r="B818" s="86">
        <v>816</v>
      </c>
      <c r="C818" s="87"/>
      <c r="D818" s="87"/>
      <c r="E818" s="60" t="str">
        <f>IFERROR(VLOOKUP(D818,'基础-领用人及部门'!$C:$D,2,FALSE),"-")</f>
        <v>-</v>
      </c>
      <c r="F818" s="87"/>
      <c r="G818" s="60" t="str">
        <f>IFERROR(VLOOKUP($F818,'基础-办公用品信息'!$C:$E,2,FALSE),"-")</f>
        <v>-</v>
      </c>
      <c r="H818" s="60" t="str">
        <f>IFERROR(VLOOKUP($F818,'基础-办公用品信息'!$C:$E,3,FALSE),"-")</f>
        <v>-</v>
      </c>
      <c r="I818" s="60"/>
      <c r="J818" s="60" t="str">
        <f>IFERROR(VLOOKUP($F818,'基础-办公用品信息'!$C:$F,4,FALSE),"-")</f>
        <v>-</v>
      </c>
      <c r="K818" s="60" t="str">
        <f t="shared" si="36"/>
        <v/>
      </c>
      <c r="L818" s="87"/>
      <c r="M818" s="60">
        <f t="shared" si="37"/>
        <v>1900</v>
      </c>
      <c r="N818" s="60">
        <f t="shared" si="38"/>
        <v>1</v>
      </c>
    </row>
    <row r="819" customHeight="1" spans="2:14">
      <c r="B819" s="86">
        <v>817</v>
      </c>
      <c r="C819" s="87"/>
      <c r="D819" s="87"/>
      <c r="E819" s="60" t="str">
        <f>IFERROR(VLOOKUP(D819,'基础-领用人及部门'!$C:$D,2,FALSE),"-")</f>
        <v>-</v>
      </c>
      <c r="F819" s="87"/>
      <c r="G819" s="60" t="str">
        <f>IFERROR(VLOOKUP($F819,'基础-办公用品信息'!$C:$E,2,FALSE),"-")</f>
        <v>-</v>
      </c>
      <c r="H819" s="60" t="str">
        <f>IFERROR(VLOOKUP($F819,'基础-办公用品信息'!$C:$E,3,FALSE),"-")</f>
        <v>-</v>
      </c>
      <c r="I819" s="60"/>
      <c r="J819" s="60" t="str">
        <f>IFERROR(VLOOKUP($F819,'基础-办公用品信息'!$C:$F,4,FALSE),"-")</f>
        <v>-</v>
      </c>
      <c r="K819" s="60" t="str">
        <f t="shared" si="36"/>
        <v/>
      </c>
      <c r="L819" s="87"/>
      <c r="M819" s="60">
        <f t="shared" si="37"/>
        <v>1900</v>
      </c>
      <c r="N819" s="60">
        <f t="shared" si="38"/>
        <v>1</v>
      </c>
    </row>
    <row r="820" customHeight="1" spans="2:14">
      <c r="B820" s="86">
        <v>818</v>
      </c>
      <c r="C820" s="87"/>
      <c r="D820" s="87"/>
      <c r="E820" s="60" t="str">
        <f>IFERROR(VLOOKUP(D820,'基础-领用人及部门'!$C:$D,2,FALSE),"-")</f>
        <v>-</v>
      </c>
      <c r="F820" s="87"/>
      <c r="G820" s="60" t="str">
        <f>IFERROR(VLOOKUP($F820,'基础-办公用品信息'!$C:$E,2,FALSE),"-")</f>
        <v>-</v>
      </c>
      <c r="H820" s="60" t="str">
        <f>IFERROR(VLOOKUP($F820,'基础-办公用品信息'!$C:$E,3,FALSE),"-")</f>
        <v>-</v>
      </c>
      <c r="I820" s="60"/>
      <c r="J820" s="60" t="str">
        <f>IFERROR(VLOOKUP($F820,'基础-办公用品信息'!$C:$F,4,FALSE),"-")</f>
        <v>-</v>
      </c>
      <c r="K820" s="60" t="str">
        <f t="shared" si="36"/>
        <v/>
      </c>
      <c r="L820" s="87"/>
      <c r="M820" s="60">
        <f t="shared" si="37"/>
        <v>1900</v>
      </c>
      <c r="N820" s="60">
        <f t="shared" si="38"/>
        <v>1</v>
      </c>
    </row>
    <row r="821" customHeight="1" spans="2:14">
      <c r="B821" s="86">
        <v>819</v>
      </c>
      <c r="C821" s="87"/>
      <c r="D821" s="87"/>
      <c r="E821" s="60" t="str">
        <f>IFERROR(VLOOKUP(D821,'基础-领用人及部门'!$C:$D,2,FALSE),"-")</f>
        <v>-</v>
      </c>
      <c r="F821" s="87"/>
      <c r="G821" s="60" t="str">
        <f>IFERROR(VLOOKUP($F821,'基础-办公用品信息'!$C:$E,2,FALSE),"-")</f>
        <v>-</v>
      </c>
      <c r="H821" s="60" t="str">
        <f>IFERROR(VLOOKUP($F821,'基础-办公用品信息'!$C:$E,3,FALSE),"-")</f>
        <v>-</v>
      </c>
      <c r="I821" s="60"/>
      <c r="J821" s="60" t="str">
        <f>IFERROR(VLOOKUP($F821,'基础-办公用品信息'!$C:$F,4,FALSE),"-")</f>
        <v>-</v>
      </c>
      <c r="K821" s="60" t="str">
        <f t="shared" si="36"/>
        <v/>
      </c>
      <c r="L821" s="87"/>
      <c r="M821" s="60">
        <f t="shared" si="37"/>
        <v>1900</v>
      </c>
      <c r="N821" s="60">
        <f t="shared" si="38"/>
        <v>1</v>
      </c>
    </row>
    <row r="822" customHeight="1" spans="2:14">
      <c r="B822" s="86">
        <v>820</v>
      </c>
      <c r="C822" s="87"/>
      <c r="D822" s="87"/>
      <c r="E822" s="60" t="str">
        <f>IFERROR(VLOOKUP(D822,'基础-领用人及部门'!$C:$D,2,FALSE),"-")</f>
        <v>-</v>
      </c>
      <c r="F822" s="87"/>
      <c r="G822" s="60" t="str">
        <f>IFERROR(VLOOKUP($F822,'基础-办公用品信息'!$C:$E,2,FALSE),"-")</f>
        <v>-</v>
      </c>
      <c r="H822" s="60" t="str">
        <f>IFERROR(VLOOKUP($F822,'基础-办公用品信息'!$C:$E,3,FALSE),"-")</f>
        <v>-</v>
      </c>
      <c r="I822" s="60"/>
      <c r="J822" s="60" t="str">
        <f>IFERROR(VLOOKUP($F822,'基础-办公用品信息'!$C:$F,4,FALSE),"-")</f>
        <v>-</v>
      </c>
      <c r="K822" s="60" t="str">
        <f t="shared" si="36"/>
        <v/>
      </c>
      <c r="L822" s="87"/>
      <c r="M822" s="60">
        <f t="shared" si="37"/>
        <v>1900</v>
      </c>
      <c r="N822" s="60">
        <f t="shared" si="38"/>
        <v>1</v>
      </c>
    </row>
    <row r="823" customHeight="1" spans="2:14">
      <c r="B823" s="86">
        <v>821</v>
      </c>
      <c r="C823" s="87"/>
      <c r="D823" s="87"/>
      <c r="E823" s="60" t="str">
        <f>IFERROR(VLOOKUP(D823,'基础-领用人及部门'!$C:$D,2,FALSE),"-")</f>
        <v>-</v>
      </c>
      <c r="F823" s="87"/>
      <c r="G823" s="60" t="str">
        <f>IFERROR(VLOOKUP($F823,'基础-办公用品信息'!$C:$E,2,FALSE),"-")</f>
        <v>-</v>
      </c>
      <c r="H823" s="60" t="str">
        <f>IFERROR(VLOOKUP($F823,'基础-办公用品信息'!$C:$E,3,FALSE),"-")</f>
        <v>-</v>
      </c>
      <c r="I823" s="60"/>
      <c r="J823" s="60" t="str">
        <f>IFERROR(VLOOKUP($F823,'基础-办公用品信息'!$C:$F,4,FALSE),"-")</f>
        <v>-</v>
      </c>
      <c r="K823" s="60" t="str">
        <f t="shared" si="36"/>
        <v/>
      </c>
      <c r="L823" s="87"/>
      <c r="M823" s="60">
        <f t="shared" si="37"/>
        <v>1900</v>
      </c>
      <c r="N823" s="60">
        <f t="shared" si="38"/>
        <v>1</v>
      </c>
    </row>
    <row r="824" customHeight="1" spans="2:14">
      <c r="B824" s="86">
        <v>822</v>
      </c>
      <c r="C824" s="87"/>
      <c r="D824" s="87"/>
      <c r="E824" s="60" t="str">
        <f>IFERROR(VLOOKUP(D824,'基础-领用人及部门'!$C:$D,2,FALSE),"-")</f>
        <v>-</v>
      </c>
      <c r="F824" s="87"/>
      <c r="G824" s="60" t="str">
        <f>IFERROR(VLOOKUP($F824,'基础-办公用品信息'!$C:$E,2,FALSE),"-")</f>
        <v>-</v>
      </c>
      <c r="H824" s="60" t="str">
        <f>IFERROR(VLOOKUP($F824,'基础-办公用品信息'!$C:$E,3,FALSE),"-")</f>
        <v>-</v>
      </c>
      <c r="I824" s="60"/>
      <c r="J824" s="60" t="str">
        <f>IFERROR(VLOOKUP($F824,'基础-办公用品信息'!$C:$F,4,FALSE),"-")</f>
        <v>-</v>
      </c>
      <c r="K824" s="60" t="str">
        <f t="shared" si="36"/>
        <v/>
      </c>
      <c r="L824" s="87"/>
      <c r="M824" s="60">
        <f t="shared" si="37"/>
        <v>1900</v>
      </c>
      <c r="N824" s="60">
        <f t="shared" si="38"/>
        <v>1</v>
      </c>
    </row>
    <row r="825" customHeight="1" spans="2:14">
      <c r="B825" s="86">
        <v>823</v>
      </c>
      <c r="C825" s="87"/>
      <c r="D825" s="87"/>
      <c r="E825" s="60" t="str">
        <f>IFERROR(VLOOKUP(D825,'基础-领用人及部门'!$C:$D,2,FALSE),"-")</f>
        <v>-</v>
      </c>
      <c r="F825" s="87"/>
      <c r="G825" s="60" t="str">
        <f>IFERROR(VLOOKUP($F825,'基础-办公用品信息'!$C:$E,2,FALSE),"-")</f>
        <v>-</v>
      </c>
      <c r="H825" s="60" t="str">
        <f>IFERROR(VLOOKUP($F825,'基础-办公用品信息'!$C:$E,3,FALSE),"-")</f>
        <v>-</v>
      </c>
      <c r="I825" s="60"/>
      <c r="J825" s="60" t="str">
        <f>IFERROR(VLOOKUP($F825,'基础-办公用品信息'!$C:$F,4,FALSE),"-")</f>
        <v>-</v>
      </c>
      <c r="K825" s="60" t="str">
        <f t="shared" si="36"/>
        <v/>
      </c>
      <c r="L825" s="87"/>
      <c r="M825" s="60">
        <f t="shared" si="37"/>
        <v>1900</v>
      </c>
      <c r="N825" s="60">
        <f t="shared" si="38"/>
        <v>1</v>
      </c>
    </row>
    <row r="826" customHeight="1" spans="2:14">
      <c r="B826" s="86">
        <v>824</v>
      </c>
      <c r="C826" s="87"/>
      <c r="D826" s="87"/>
      <c r="E826" s="60" t="str">
        <f>IFERROR(VLOOKUP(D826,'基础-领用人及部门'!$C:$D,2,FALSE),"-")</f>
        <v>-</v>
      </c>
      <c r="F826" s="87"/>
      <c r="G826" s="60" t="str">
        <f>IFERROR(VLOOKUP($F826,'基础-办公用品信息'!$C:$E,2,FALSE),"-")</f>
        <v>-</v>
      </c>
      <c r="H826" s="60" t="str">
        <f>IFERROR(VLOOKUP($F826,'基础-办公用品信息'!$C:$E,3,FALSE),"-")</f>
        <v>-</v>
      </c>
      <c r="I826" s="60"/>
      <c r="J826" s="60" t="str">
        <f>IFERROR(VLOOKUP($F826,'基础-办公用品信息'!$C:$F,4,FALSE),"-")</f>
        <v>-</v>
      </c>
      <c r="K826" s="60" t="str">
        <f t="shared" si="36"/>
        <v/>
      </c>
      <c r="L826" s="87"/>
      <c r="M826" s="60">
        <f t="shared" si="37"/>
        <v>1900</v>
      </c>
      <c r="N826" s="60">
        <f t="shared" si="38"/>
        <v>1</v>
      </c>
    </row>
    <row r="827" customHeight="1" spans="2:14">
      <c r="B827" s="86">
        <v>825</v>
      </c>
      <c r="C827" s="87"/>
      <c r="D827" s="87"/>
      <c r="E827" s="60" t="str">
        <f>IFERROR(VLOOKUP(D827,'基础-领用人及部门'!$C:$D,2,FALSE),"-")</f>
        <v>-</v>
      </c>
      <c r="F827" s="87"/>
      <c r="G827" s="60" t="str">
        <f>IFERROR(VLOOKUP($F827,'基础-办公用品信息'!$C:$E,2,FALSE),"-")</f>
        <v>-</v>
      </c>
      <c r="H827" s="60" t="str">
        <f>IFERROR(VLOOKUP($F827,'基础-办公用品信息'!$C:$E,3,FALSE),"-")</f>
        <v>-</v>
      </c>
      <c r="I827" s="60"/>
      <c r="J827" s="60" t="str">
        <f>IFERROR(VLOOKUP($F827,'基础-办公用品信息'!$C:$F,4,FALSE),"-")</f>
        <v>-</v>
      </c>
      <c r="K827" s="60" t="str">
        <f t="shared" si="36"/>
        <v/>
      </c>
      <c r="L827" s="87"/>
      <c r="M827" s="60">
        <f t="shared" si="37"/>
        <v>1900</v>
      </c>
      <c r="N827" s="60">
        <f t="shared" si="38"/>
        <v>1</v>
      </c>
    </row>
    <row r="828" customHeight="1" spans="2:14">
      <c r="B828" s="86">
        <v>826</v>
      </c>
      <c r="C828" s="87"/>
      <c r="D828" s="87"/>
      <c r="E828" s="60" t="str">
        <f>IFERROR(VLOOKUP(D828,'基础-领用人及部门'!$C:$D,2,FALSE),"-")</f>
        <v>-</v>
      </c>
      <c r="F828" s="87"/>
      <c r="G828" s="60" t="str">
        <f>IFERROR(VLOOKUP($F828,'基础-办公用品信息'!$C:$E,2,FALSE),"-")</f>
        <v>-</v>
      </c>
      <c r="H828" s="60" t="str">
        <f>IFERROR(VLOOKUP($F828,'基础-办公用品信息'!$C:$E,3,FALSE),"-")</f>
        <v>-</v>
      </c>
      <c r="I828" s="60"/>
      <c r="J828" s="60" t="str">
        <f>IFERROR(VLOOKUP($F828,'基础-办公用品信息'!$C:$F,4,FALSE),"-")</f>
        <v>-</v>
      </c>
      <c r="K828" s="60" t="str">
        <f t="shared" si="36"/>
        <v/>
      </c>
      <c r="L828" s="87"/>
      <c r="M828" s="60">
        <f t="shared" si="37"/>
        <v>1900</v>
      </c>
      <c r="N828" s="60">
        <f t="shared" si="38"/>
        <v>1</v>
      </c>
    </row>
    <row r="829" customHeight="1" spans="2:14">
      <c r="B829" s="86">
        <v>827</v>
      </c>
      <c r="C829" s="87"/>
      <c r="D829" s="87"/>
      <c r="E829" s="60" t="str">
        <f>IFERROR(VLOOKUP(D829,'基础-领用人及部门'!$C:$D,2,FALSE),"-")</f>
        <v>-</v>
      </c>
      <c r="F829" s="87"/>
      <c r="G829" s="60" t="str">
        <f>IFERROR(VLOOKUP($F829,'基础-办公用品信息'!$C:$E,2,FALSE),"-")</f>
        <v>-</v>
      </c>
      <c r="H829" s="60" t="str">
        <f>IFERROR(VLOOKUP($F829,'基础-办公用品信息'!$C:$E,3,FALSE),"-")</f>
        <v>-</v>
      </c>
      <c r="I829" s="60"/>
      <c r="J829" s="60" t="str">
        <f>IFERROR(VLOOKUP($F829,'基础-办公用品信息'!$C:$F,4,FALSE),"-")</f>
        <v>-</v>
      </c>
      <c r="K829" s="60" t="str">
        <f t="shared" si="36"/>
        <v/>
      </c>
      <c r="L829" s="87"/>
      <c r="M829" s="60">
        <f t="shared" si="37"/>
        <v>1900</v>
      </c>
      <c r="N829" s="60">
        <f t="shared" si="38"/>
        <v>1</v>
      </c>
    </row>
    <row r="830" customHeight="1" spans="2:14">
      <c r="B830" s="86">
        <v>828</v>
      </c>
      <c r="C830" s="87"/>
      <c r="D830" s="87"/>
      <c r="E830" s="60" t="str">
        <f>IFERROR(VLOOKUP(D830,'基础-领用人及部门'!$C:$D,2,FALSE),"-")</f>
        <v>-</v>
      </c>
      <c r="F830" s="87"/>
      <c r="G830" s="60" t="str">
        <f>IFERROR(VLOOKUP($F830,'基础-办公用品信息'!$C:$E,2,FALSE),"-")</f>
        <v>-</v>
      </c>
      <c r="H830" s="60" t="str">
        <f>IFERROR(VLOOKUP($F830,'基础-办公用品信息'!$C:$E,3,FALSE),"-")</f>
        <v>-</v>
      </c>
      <c r="I830" s="60"/>
      <c r="J830" s="60" t="str">
        <f>IFERROR(VLOOKUP($F830,'基础-办公用品信息'!$C:$F,4,FALSE),"-")</f>
        <v>-</v>
      </c>
      <c r="K830" s="60" t="str">
        <f t="shared" si="36"/>
        <v/>
      </c>
      <c r="L830" s="87"/>
      <c r="M830" s="60">
        <f t="shared" si="37"/>
        <v>1900</v>
      </c>
      <c r="N830" s="60">
        <f t="shared" si="38"/>
        <v>1</v>
      </c>
    </row>
    <row r="831" customHeight="1" spans="2:14">
      <c r="B831" s="86">
        <v>829</v>
      </c>
      <c r="C831" s="87"/>
      <c r="D831" s="87"/>
      <c r="E831" s="60" t="str">
        <f>IFERROR(VLOOKUP(D831,'基础-领用人及部门'!$C:$D,2,FALSE),"-")</f>
        <v>-</v>
      </c>
      <c r="F831" s="87"/>
      <c r="G831" s="60" t="str">
        <f>IFERROR(VLOOKUP($F831,'基础-办公用品信息'!$C:$E,2,FALSE),"-")</f>
        <v>-</v>
      </c>
      <c r="H831" s="60" t="str">
        <f>IFERROR(VLOOKUP($F831,'基础-办公用品信息'!$C:$E,3,FALSE),"-")</f>
        <v>-</v>
      </c>
      <c r="I831" s="60"/>
      <c r="J831" s="60" t="str">
        <f>IFERROR(VLOOKUP($F831,'基础-办公用品信息'!$C:$F,4,FALSE),"-")</f>
        <v>-</v>
      </c>
      <c r="K831" s="60" t="str">
        <f t="shared" si="36"/>
        <v/>
      </c>
      <c r="L831" s="87"/>
      <c r="M831" s="60">
        <f t="shared" si="37"/>
        <v>1900</v>
      </c>
      <c r="N831" s="60">
        <f t="shared" si="38"/>
        <v>1</v>
      </c>
    </row>
    <row r="832" customHeight="1" spans="2:14">
      <c r="B832" s="86">
        <v>830</v>
      </c>
      <c r="C832" s="87"/>
      <c r="D832" s="87"/>
      <c r="E832" s="60" t="str">
        <f>IFERROR(VLOOKUP(D832,'基础-领用人及部门'!$C:$D,2,FALSE),"-")</f>
        <v>-</v>
      </c>
      <c r="F832" s="87"/>
      <c r="G832" s="60" t="str">
        <f>IFERROR(VLOOKUP($F832,'基础-办公用品信息'!$C:$E,2,FALSE),"-")</f>
        <v>-</v>
      </c>
      <c r="H832" s="60" t="str">
        <f>IFERROR(VLOOKUP($F832,'基础-办公用品信息'!$C:$E,3,FALSE),"-")</f>
        <v>-</v>
      </c>
      <c r="I832" s="60"/>
      <c r="J832" s="60" t="str">
        <f>IFERROR(VLOOKUP($F832,'基础-办公用品信息'!$C:$F,4,FALSE),"-")</f>
        <v>-</v>
      </c>
      <c r="K832" s="60" t="str">
        <f t="shared" si="36"/>
        <v/>
      </c>
      <c r="L832" s="87"/>
      <c r="M832" s="60">
        <f t="shared" si="37"/>
        <v>1900</v>
      </c>
      <c r="N832" s="60">
        <f t="shared" si="38"/>
        <v>1</v>
      </c>
    </row>
    <row r="833" customHeight="1" spans="2:14">
      <c r="B833" s="86">
        <v>831</v>
      </c>
      <c r="C833" s="87"/>
      <c r="D833" s="87"/>
      <c r="E833" s="60" t="str">
        <f>IFERROR(VLOOKUP(D833,'基础-领用人及部门'!$C:$D,2,FALSE),"-")</f>
        <v>-</v>
      </c>
      <c r="F833" s="87"/>
      <c r="G833" s="60" t="str">
        <f>IFERROR(VLOOKUP($F833,'基础-办公用品信息'!$C:$E,2,FALSE),"-")</f>
        <v>-</v>
      </c>
      <c r="H833" s="60" t="str">
        <f>IFERROR(VLOOKUP($F833,'基础-办公用品信息'!$C:$E,3,FALSE),"-")</f>
        <v>-</v>
      </c>
      <c r="I833" s="60"/>
      <c r="J833" s="60" t="str">
        <f>IFERROR(VLOOKUP($F833,'基础-办公用品信息'!$C:$F,4,FALSE),"-")</f>
        <v>-</v>
      </c>
      <c r="K833" s="60" t="str">
        <f t="shared" si="36"/>
        <v/>
      </c>
      <c r="L833" s="87"/>
      <c r="M833" s="60">
        <f t="shared" si="37"/>
        <v>1900</v>
      </c>
      <c r="N833" s="60">
        <f t="shared" si="38"/>
        <v>1</v>
      </c>
    </row>
    <row r="834" customHeight="1" spans="2:14">
      <c r="B834" s="86">
        <v>832</v>
      </c>
      <c r="C834" s="87"/>
      <c r="D834" s="87"/>
      <c r="E834" s="60" t="str">
        <f>IFERROR(VLOOKUP(D834,'基础-领用人及部门'!$C:$D,2,FALSE),"-")</f>
        <v>-</v>
      </c>
      <c r="F834" s="87"/>
      <c r="G834" s="60" t="str">
        <f>IFERROR(VLOOKUP($F834,'基础-办公用品信息'!$C:$E,2,FALSE),"-")</f>
        <v>-</v>
      </c>
      <c r="H834" s="60" t="str">
        <f>IFERROR(VLOOKUP($F834,'基础-办公用品信息'!$C:$E,3,FALSE),"-")</f>
        <v>-</v>
      </c>
      <c r="I834" s="60"/>
      <c r="J834" s="60" t="str">
        <f>IFERROR(VLOOKUP($F834,'基础-办公用品信息'!$C:$F,4,FALSE),"-")</f>
        <v>-</v>
      </c>
      <c r="K834" s="60" t="str">
        <f t="shared" si="36"/>
        <v/>
      </c>
      <c r="L834" s="87"/>
      <c r="M834" s="60">
        <f t="shared" si="37"/>
        <v>1900</v>
      </c>
      <c r="N834" s="60">
        <f t="shared" si="38"/>
        <v>1</v>
      </c>
    </row>
    <row r="835" customHeight="1" spans="2:14">
      <c r="B835" s="86">
        <v>833</v>
      </c>
      <c r="C835" s="87"/>
      <c r="D835" s="87"/>
      <c r="E835" s="60" t="str">
        <f>IFERROR(VLOOKUP(D835,'基础-领用人及部门'!$C:$D,2,FALSE),"-")</f>
        <v>-</v>
      </c>
      <c r="F835" s="87"/>
      <c r="G835" s="60" t="str">
        <f>IFERROR(VLOOKUP($F835,'基础-办公用品信息'!$C:$E,2,FALSE),"-")</f>
        <v>-</v>
      </c>
      <c r="H835" s="60" t="str">
        <f>IFERROR(VLOOKUP($F835,'基础-办公用品信息'!$C:$E,3,FALSE),"-")</f>
        <v>-</v>
      </c>
      <c r="I835" s="60"/>
      <c r="J835" s="60" t="str">
        <f>IFERROR(VLOOKUP($F835,'基础-办公用品信息'!$C:$F,4,FALSE),"-")</f>
        <v>-</v>
      </c>
      <c r="K835" s="60" t="str">
        <f t="shared" ref="K835:K898" si="39">IFERROR(I835*J835,"")</f>
        <v/>
      </c>
      <c r="L835" s="87"/>
      <c r="M835" s="60">
        <f t="shared" ref="M835:M898" si="40">YEAR(C835)</f>
        <v>1900</v>
      </c>
      <c r="N835" s="60">
        <f t="shared" ref="N835:N898" si="41">MONTH(C835)</f>
        <v>1</v>
      </c>
    </row>
    <row r="836" customHeight="1" spans="2:14">
      <c r="B836" s="86">
        <v>834</v>
      </c>
      <c r="C836" s="87"/>
      <c r="D836" s="87"/>
      <c r="E836" s="60" t="str">
        <f>IFERROR(VLOOKUP(D836,'基础-领用人及部门'!$C:$D,2,FALSE),"-")</f>
        <v>-</v>
      </c>
      <c r="F836" s="87"/>
      <c r="G836" s="60" t="str">
        <f>IFERROR(VLOOKUP($F836,'基础-办公用品信息'!$C:$E,2,FALSE),"-")</f>
        <v>-</v>
      </c>
      <c r="H836" s="60" t="str">
        <f>IFERROR(VLOOKUP($F836,'基础-办公用品信息'!$C:$E,3,FALSE),"-")</f>
        <v>-</v>
      </c>
      <c r="I836" s="60"/>
      <c r="J836" s="60" t="str">
        <f>IFERROR(VLOOKUP($F836,'基础-办公用品信息'!$C:$F,4,FALSE),"-")</f>
        <v>-</v>
      </c>
      <c r="K836" s="60" t="str">
        <f t="shared" si="39"/>
        <v/>
      </c>
      <c r="L836" s="87"/>
      <c r="M836" s="60">
        <f t="shared" si="40"/>
        <v>1900</v>
      </c>
      <c r="N836" s="60">
        <f t="shared" si="41"/>
        <v>1</v>
      </c>
    </row>
    <row r="837" customHeight="1" spans="2:14">
      <c r="B837" s="86">
        <v>835</v>
      </c>
      <c r="C837" s="87"/>
      <c r="D837" s="87"/>
      <c r="E837" s="60" t="str">
        <f>IFERROR(VLOOKUP(D837,'基础-领用人及部门'!$C:$D,2,FALSE),"-")</f>
        <v>-</v>
      </c>
      <c r="F837" s="87"/>
      <c r="G837" s="60" t="str">
        <f>IFERROR(VLOOKUP($F837,'基础-办公用品信息'!$C:$E,2,FALSE),"-")</f>
        <v>-</v>
      </c>
      <c r="H837" s="60" t="str">
        <f>IFERROR(VLOOKUP($F837,'基础-办公用品信息'!$C:$E,3,FALSE),"-")</f>
        <v>-</v>
      </c>
      <c r="I837" s="60"/>
      <c r="J837" s="60" t="str">
        <f>IFERROR(VLOOKUP($F837,'基础-办公用品信息'!$C:$F,4,FALSE),"-")</f>
        <v>-</v>
      </c>
      <c r="K837" s="60" t="str">
        <f t="shared" si="39"/>
        <v/>
      </c>
      <c r="L837" s="87"/>
      <c r="M837" s="60">
        <f t="shared" si="40"/>
        <v>1900</v>
      </c>
      <c r="N837" s="60">
        <f t="shared" si="41"/>
        <v>1</v>
      </c>
    </row>
    <row r="838" customHeight="1" spans="2:14">
      <c r="B838" s="86">
        <v>836</v>
      </c>
      <c r="C838" s="87"/>
      <c r="D838" s="87"/>
      <c r="E838" s="60" t="str">
        <f>IFERROR(VLOOKUP(D838,'基础-领用人及部门'!$C:$D,2,FALSE),"-")</f>
        <v>-</v>
      </c>
      <c r="F838" s="87"/>
      <c r="G838" s="60" t="str">
        <f>IFERROR(VLOOKUP($F838,'基础-办公用品信息'!$C:$E,2,FALSE),"-")</f>
        <v>-</v>
      </c>
      <c r="H838" s="60" t="str">
        <f>IFERROR(VLOOKUP($F838,'基础-办公用品信息'!$C:$E,3,FALSE),"-")</f>
        <v>-</v>
      </c>
      <c r="I838" s="60"/>
      <c r="J838" s="60" t="str">
        <f>IFERROR(VLOOKUP($F838,'基础-办公用品信息'!$C:$F,4,FALSE),"-")</f>
        <v>-</v>
      </c>
      <c r="K838" s="60" t="str">
        <f t="shared" si="39"/>
        <v/>
      </c>
      <c r="L838" s="87"/>
      <c r="M838" s="60">
        <f t="shared" si="40"/>
        <v>1900</v>
      </c>
      <c r="N838" s="60">
        <f t="shared" si="41"/>
        <v>1</v>
      </c>
    </row>
    <row r="839" customHeight="1" spans="2:14">
      <c r="B839" s="86">
        <v>837</v>
      </c>
      <c r="C839" s="87"/>
      <c r="D839" s="87"/>
      <c r="E839" s="60" t="str">
        <f>IFERROR(VLOOKUP(D839,'基础-领用人及部门'!$C:$D,2,FALSE),"-")</f>
        <v>-</v>
      </c>
      <c r="F839" s="87"/>
      <c r="G839" s="60" t="str">
        <f>IFERROR(VLOOKUP($F839,'基础-办公用品信息'!$C:$E,2,FALSE),"-")</f>
        <v>-</v>
      </c>
      <c r="H839" s="60" t="str">
        <f>IFERROR(VLOOKUP($F839,'基础-办公用品信息'!$C:$E,3,FALSE),"-")</f>
        <v>-</v>
      </c>
      <c r="I839" s="60"/>
      <c r="J839" s="60" t="str">
        <f>IFERROR(VLOOKUP($F839,'基础-办公用品信息'!$C:$F,4,FALSE),"-")</f>
        <v>-</v>
      </c>
      <c r="K839" s="60" t="str">
        <f t="shared" si="39"/>
        <v/>
      </c>
      <c r="L839" s="87"/>
      <c r="M839" s="60">
        <f t="shared" si="40"/>
        <v>1900</v>
      </c>
      <c r="N839" s="60">
        <f t="shared" si="41"/>
        <v>1</v>
      </c>
    </row>
    <row r="840" customHeight="1" spans="2:14">
      <c r="B840" s="86">
        <v>838</v>
      </c>
      <c r="C840" s="87"/>
      <c r="D840" s="87"/>
      <c r="E840" s="60" t="str">
        <f>IFERROR(VLOOKUP(D840,'基础-领用人及部门'!$C:$D,2,FALSE),"-")</f>
        <v>-</v>
      </c>
      <c r="F840" s="87"/>
      <c r="G840" s="60" t="str">
        <f>IFERROR(VLOOKUP($F840,'基础-办公用品信息'!$C:$E,2,FALSE),"-")</f>
        <v>-</v>
      </c>
      <c r="H840" s="60" t="str">
        <f>IFERROR(VLOOKUP($F840,'基础-办公用品信息'!$C:$E,3,FALSE),"-")</f>
        <v>-</v>
      </c>
      <c r="I840" s="60"/>
      <c r="J840" s="60" t="str">
        <f>IFERROR(VLOOKUP($F840,'基础-办公用品信息'!$C:$F,4,FALSE),"-")</f>
        <v>-</v>
      </c>
      <c r="K840" s="60" t="str">
        <f t="shared" si="39"/>
        <v/>
      </c>
      <c r="L840" s="87"/>
      <c r="M840" s="60">
        <f t="shared" si="40"/>
        <v>1900</v>
      </c>
      <c r="N840" s="60">
        <f t="shared" si="41"/>
        <v>1</v>
      </c>
    </row>
    <row r="841" customHeight="1" spans="2:14">
      <c r="B841" s="86">
        <v>839</v>
      </c>
      <c r="C841" s="87"/>
      <c r="D841" s="87"/>
      <c r="E841" s="60" t="str">
        <f>IFERROR(VLOOKUP(D841,'基础-领用人及部门'!$C:$D,2,FALSE),"-")</f>
        <v>-</v>
      </c>
      <c r="F841" s="87"/>
      <c r="G841" s="60" t="str">
        <f>IFERROR(VLOOKUP($F841,'基础-办公用品信息'!$C:$E,2,FALSE),"-")</f>
        <v>-</v>
      </c>
      <c r="H841" s="60" t="str">
        <f>IFERROR(VLOOKUP($F841,'基础-办公用品信息'!$C:$E,3,FALSE),"-")</f>
        <v>-</v>
      </c>
      <c r="I841" s="60"/>
      <c r="J841" s="60" t="str">
        <f>IFERROR(VLOOKUP($F841,'基础-办公用品信息'!$C:$F,4,FALSE),"-")</f>
        <v>-</v>
      </c>
      <c r="K841" s="60" t="str">
        <f t="shared" si="39"/>
        <v/>
      </c>
      <c r="L841" s="87"/>
      <c r="M841" s="60">
        <f t="shared" si="40"/>
        <v>1900</v>
      </c>
      <c r="N841" s="60">
        <f t="shared" si="41"/>
        <v>1</v>
      </c>
    </row>
    <row r="842" customHeight="1" spans="2:14">
      <c r="B842" s="86">
        <v>840</v>
      </c>
      <c r="C842" s="87"/>
      <c r="D842" s="87"/>
      <c r="E842" s="60" t="str">
        <f>IFERROR(VLOOKUP(D842,'基础-领用人及部门'!$C:$D,2,FALSE),"-")</f>
        <v>-</v>
      </c>
      <c r="F842" s="87"/>
      <c r="G842" s="60" t="str">
        <f>IFERROR(VLOOKUP($F842,'基础-办公用品信息'!$C:$E,2,FALSE),"-")</f>
        <v>-</v>
      </c>
      <c r="H842" s="60" t="str">
        <f>IFERROR(VLOOKUP($F842,'基础-办公用品信息'!$C:$E,3,FALSE),"-")</f>
        <v>-</v>
      </c>
      <c r="I842" s="60"/>
      <c r="J842" s="60" t="str">
        <f>IFERROR(VLOOKUP($F842,'基础-办公用品信息'!$C:$F,4,FALSE),"-")</f>
        <v>-</v>
      </c>
      <c r="K842" s="60" t="str">
        <f t="shared" si="39"/>
        <v/>
      </c>
      <c r="L842" s="87"/>
      <c r="M842" s="60">
        <f t="shared" si="40"/>
        <v>1900</v>
      </c>
      <c r="N842" s="60">
        <f t="shared" si="41"/>
        <v>1</v>
      </c>
    </row>
    <row r="843" customHeight="1" spans="2:14">
      <c r="B843" s="86">
        <v>841</v>
      </c>
      <c r="C843" s="87"/>
      <c r="D843" s="87"/>
      <c r="E843" s="60" t="str">
        <f>IFERROR(VLOOKUP(D843,'基础-领用人及部门'!$C:$D,2,FALSE),"-")</f>
        <v>-</v>
      </c>
      <c r="F843" s="87"/>
      <c r="G843" s="60" t="str">
        <f>IFERROR(VLOOKUP($F843,'基础-办公用品信息'!$C:$E,2,FALSE),"-")</f>
        <v>-</v>
      </c>
      <c r="H843" s="60" t="str">
        <f>IFERROR(VLOOKUP($F843,'基础-办公用品信息'!$C:$E,3,FALSE),"-")</f>
        <v>-</v>
      </c>
      <c r="I843" s="60"/>
      <c r="J843" s="60" t="str">
        <f>IFERROR(VLOOKUP($F843,'基础-办公用品信息'!$C:$F,4,FALSE),"-")</f>
        <v>-</v>
      </c>
      <c r="K843" s="60" t="str">
        <f t="shared" si="39"/>
        <v/>
      </c>
      <c r="L843" s="87"/>
      <c r="M843" s="60">
        <f t="shared" si="40"/>
        <v>1900</v>
      </c>
      <c r="N843" s="60">
        <f t="shared" si="41"/>
        <v>1</v>
      </c>
    </row>
    <row r="844" customHeight="1" spans="2:14">
      <c r="B844" s="86">
        <v>842</v>
      </c>
      <c r="C844" s="87"/>
      <c r="D844" s="87"/>
      <c r="E844" s="60" t="str">
        <f>IFERROR(VLOOKUP(D844,'基础-领用人及部门'!$C:$D,2,FALSE),"-")</f>
        <v>-</v>
      </c>
      <c r="F844" s="87"/>
      <c r="G844" s="60" t="str">
        <f>IFERROR(VLOOKUP($F844,'基础-办公用品信息'!$C:$E,2,FALSE),"-")</f>
        <v>-</v>
      </c>
      <c r="H844" s="60" t="str">
        <f>IFERROR(VLOOKUP($F844,'基础-办公用品信息'!$C:$E,3,FALSE),"-")</f>
        <v>-</v>
      </c>
      <c r="I844" s="60"/>
      <c r="J844" s="60" t="str">
        <f>IFERROR(VLOOKUP($F844,'基础-办公用品信息'!$C:$F,4,FALSE),"-")</f>
        <v>-</v>
      </c>
      <c r="K844" s="60" t="str">
        <f t="shared" si="39"/>
        <v/>
      </c>
      <c r="L844" s="87"/>
      <c r="M844" s="60">
        <f t="shared" si="40"/>
        <v>1900</v>
      </c>
      <c r="N844" s="60">
        <f t="shared" si="41"/>
        <v>1</v>
      </c>
    </row>
    <row r="845" customHeight="1" spans="2:14">
      <c r="B845" s="86">
        <v>843</v>
      </c>
      <c r="C845" s="87"/>
      <c r="D845" s="87"/>
      <c r="E845" s="60" t="str">
        <f>IFERROR(VLOOKUP(D845,'基础-领用人及部门'!$C:$D,2,FALSE),"-")</f>
        <v>-</v>
      </c>
      <c r="F845" s="87"/>
      <c r="G845" s="60" t="str">
        <f>IFERROR(VLOOKUP($F845,'基础-办公用品信息'!$C:$E,2,FALSE),"-")</f>
        <v>-</v>
      </c>
      <c r="H845" s="60" t="str">
        <f>IFERROR(VLOOKUP($F845,'基础-办公用品信息'!$C:$E,3,FALSE),"-")</f>
        <v>-</v>
      </c>
      <c r="I845" s="60"/>
      <c r="J845" s="60" t="str">
        <f>IFERROR(VLOOKUP($F845,'基础-办公用品信息'!$C:$F,4,FALSE),"-")</f>
        <v>-</v>
      </c>
      <c r="K845" s="60" t="str">
        <f t="shared" si="39"/>
        <v/>
      </c>
      <c r="L845" s="87"/>
      <c r="M845" s="60">
        <f t="shared" si="40"/>
        <v>1900</v>
      </c>
      <c r="N845" s="60">
        <f t="shared" si="41"/>
        <v>1</v>
      </c>
    </row>
    <row r="846" customHeight="1" spans="2:14">
      <c r="B846" s="86">
        <v>844</v>
      </c>
      <c r="C846" s="87"/>
      <c r="D846" s="87"/>
      <c r="E846" s="60" t="str">
        <f>IFERROR(VLOOKUP(D846,'基础-领用人及部门'!$C:$D,2,FALSE),"-")</f>
        <v>-</v>
      </c>
      <c r="F846" s="87"/>
      <c r="G846" s="60" t="str">
        <f>IFERROR(VLOOKUP($F846,'基础-办公用品信息'!$C:$E,2,FALSE),"-")</f>
        <v>-</v>
      </c>
      <c r="H846" s="60" t="str">
        <f>IFERROR(VLOOKUP($F846,'基础-办公用品信息'!$C:$E,3,FALSE),"-")</f>
        <v>-</v>
      </c>
      <c r="I846" s="60"/>
      <c r="J846" s="60" t="str">
        <f>IFERROR(VLOOKUP($F846,'基础-办公用品信息'!$C:$F,4,FALSE),"-")</f>
        <v>-</v>
      </c>
      <c r="K846" s="60" t="str">
        <f t="shared" si="39"/>
        <v/>
      </c>
      <c r="L846" s="87"/>
      <c r="M846" s="60">
        <f t="shared" si="40"/>
        <v>1900</v>
      </c>
      <c r="N846" s="60">
        <f t="shared" si="41"/>
        <v>1</v>
      </c>
    </row>
    <row r="847" customHeight="1" spans="2:14">
      <c r="B847" s="86">
        <v>845</v>
      </c>
      <c r="C847" s="87"/>
      <c r="D847" s="87"/>
      <c r="E847" s="60" t="str">
        <f>IFERROR(VLOOKUP(D847,'基础-领用人及部门'!$C:$D,2,FALSE),"-")</f>
        <v>-</v>
      </c>
      <c r="F847" s="87"/>
      <c r="G847" s="60" t="str">
        <f>IFERROR(VLOOKUP($F847,'基础-办公用品信息'!$C:$E,2,FALSE),"-")</f>
        <v>-</v>
      </c>
      <c r="H847" s="60" t="str">
        <f>IFERROR(VLOOKUP($F847,'基础-办公用品信息'!$C:$E,3,FALSE),"-")</f>
        <v>-</v>
      </c>
      <c r="I847" s="60"/>
      <c r="J847" s="60" t="str">
        <f>IFERROR(VLOOKUP($F847,'基础-办公用品信息'!$C:$F,4,FALSE),"-")</f>
        <v>-</v>
      </c>
      <c r="K847" s="60" t="str">
        <f t="shared" si="39"/>
        <v/>
      </c>
      <c r="L847" s="87"/>
      <c r="M847" s="60">
        <f t="shared" si="40"/>
        <v>1900</v>
      </c>
      <c r="N847" s="60">
        <f t="shared" si="41"/>
        <v>1</v>
      </c>
    </row>
    <row r="848" customHeight="1" spans="2:14">
      <c r="B848" s="86">
        <v>846</v>
      </c>
      <c r="C848" s="87"/>
      <c r="D848" s="87"/>
      <c r="E848" s="60" t="str">
        <f>IFERROR(VLOOKUP(D848,'基础-领用人及部门'!$C:$D,2,FALSE),"-")</f>
        <v>-</v>
      </c>
      <c r="F848" s="87"/>
      <c r="G848" s="60" t="str">
        <f>IFERROR(VLOOKUP($F848,'基础-办公用品信息'!$C:$E,2,FALSE),"-")</f>
        <v>-</v>
      </c>
      <c r="H848" s="60" t="str">
        <f>IFERROR(VLOOKUP($F848,'基础-办公用品信息'!$C:$E,3,FALSE),"-")</f>
        <v>-</v>
      </c>
      <c r="I848" s="60"/>
      <c r="J848" s="60" t="str">
        <f>IFERROR(VLOOKUP($F848,'基础-办公用品信息'!$C:$F,4,FALSE),"-")</f>
        <v>-</v>
      </c>
      <c r="K848" s="60" t="str">
        <f t="shared" si="39"/>
        <v/>
      </c>
      <c r="L848" s="87"/>
      <c r="M848" s="60">
        <f t="shared" si="40"/>
        <v>1900</v>
      </c>
      <c r="N848" s="60">
        <f t="shared" si="41"/>
        <v>1</v>
      </c>
    </row>
    <row r="849" customHeight="1" spans="2:14">
      <c r="B849" s="86">
        <v>847</v>
      </c>
      <c r="C849" s="87"/>
      <c r="D849" s="87"/>
      <c r="E849" s="60" t="str">
        <f>IFERROR(VLOOKUP(D849,'基础-领用人及部门'!$C:$D,2,FALSE),"-")</f>
        <v>-</v>
      </c>
      <c r="F849" s="87"/>
      <c r="G849" s="60" t="str">
        <f>IFERROR(VLOOKUP($F849,'基础-办公用品信息'!$C:$E,2,FALSE),"-")</f>
        <v>-</v>
      </c>
      <c r="H849" s="60" t="str">
        <f>IFERROR(VLOOKUP($F849,'基础-办公用品信息'!$C:$E,3,FALSE),"-")</f>
        <v>-</v>
      </c>
      <c r="I849" s="60"/>
      <c r="J849" s="60" t="str">
        <f>IFERROR(VLOOKUP($F849,'基础-办公用品信息'!$C:$F,4,FALSE),"-")</f>
        <v>-</v>
      </c>
      <c r="K849" s="60" t="str">
        <f t="shared" si="39"/>
        <v/>
      </c>
      <c r="L849" s="87"/>
      <c r="M849" s="60">
        <f t="shared" si="40"/>
        <v>1900</v>
      </c>
      <c r="N849" s="60">
        <f t="shared" si="41"/>
        <v>1</v>
      </c>
    </row>
    <row r="850" customHeight="1" spans="2:14">
      <c r="B850" s="86">
        <v>848</v>
      </c>
      <c r="C850" s="87"/>
      <c r="D850" s="87"/>
      <c r="E850" s="60" t="str">
        <f>IFERROR(VLOOKUP(D850,'基础-领用人及部门'!$C:$D,2,FALSE),"-")</f>
        <v>-</v>
      </c>
      <c r="F850" s="87"/>
      <c r="G850" s="60" t="str">
        <f>IFERROR(VLOOKUP($F850,'基础-办公用品信息'!$C:$E,2,FALSE),"-")</f>
        <v>-</v>
      </c>
      <c r="H850" s="60" t="str">
        <f>IFERROR(VLOOKUP($F850,'基础-办公用品信息'!$C:$E,3,FALSE),"-")</f>
        <v>-</v>
      </c>
      <c r="I850" s="60"/>
      <c r="J850" s="60" t="str">
        <f>IFERROR(VLOOKUP($F850,'基础-办公用品信息'!$C:$F,4,FALSE),"-")</f>
        <v>-</v>
      </c>
      <c r="K850" s="60" t="str">
        <f t="shared" si="39"/>
        <v/>
      </c>
      <c r="L850" s="87"/>
      <c r="M850" s="60">
        <f t="shared" si="40"/>
        <v>1900</v>
      </c>
      <c r="N850" s="60">
        <f t="shared" si="41"/>
        <v>1</v>
      </c>
    </row>
    <row r="851" customHeight="1" spans="2:14">
      <c r="B851" s="86">
        <v>849</v>
      </c>
      <c r="C851" s="87"/>
      <c r="D851" s="87"/>
      <c r="E851" s="60" t="str">
        <f>IFERROR(VLOOKUP(D851,'基础-领用人及部门'!$C:$D,2,FALSE),"-")</f>
        <v>-</v>
      </c>
      <c r="F851" s="87"/>
      <c r="G851" s="60" t="str">
        <f>IFERROR(VLOOKUP($F851,'基础-办公用品信息'!$C:$E,2,FALSE),"-")</f>
        <v>-</v>
      </c>
      <c r="H851" s="60" t="str">
        <f>IFERROR(VLOOKUP($F851,'基础-办公用品信息'!$C:$E,3,FALSE),"-")</f>
        <v>-</v>
      </c>
      <c r="I851" s="60"/>
      <c r="J851" s="60" t="str">
        <f>IFERROR(VLOOKUP($F851,'基础-办公用品信息'!$C:$F,4,FALSE),"-")</f>
        <v>-</v>
      </c>
      <c r="K851" s="60" t="str">
        <f t="shared" si="39"/>
        <v/>
      </c>
      <c r="L851" s="87"/>
      <c r="M851" s="60">
        <f t="shared" si="40"/>
        <v>1900</v>
      </c>
      <c r="N851" s="60">
        <f t="shared" si="41"/>
        <v>1</v>
      </c>
    </row>
    <row r="852" customHeight="1" spans="2:14">
      <c r="B852" s="86">
        <v>850</v>
      </c>
      <c r="C852" s="87"/>
      <c r="D852" s="87"/>
      <c r="E852" s="60" t="str">
        <f>IFERROR(VLOOKUP(D852,'基础-领用人及部门'!$C:$D,2,FALSE),"-")</f>
        <v>-</v>
      </c>
      <c r="F852" s="87"/>
      <c r="G852" s="60" t="str">
        <f>IFERROR(VLOOKUP($F852,'基础-办公用品信息'!$C:$E,2,FALSE),"-")</f>
        <v>-</v>
      </c>
      <c r="H852" s="60" t="str">
        <f>IFERROR(VLOOKUP($F852,'基础-办公用品信息'!$C:$E,3,FALSE),"-")</f>
        <v>-</v>
      </c>
      <c r="I852" s="60"/>
      <c r="J852" s="60" t="str">
        <f>IFERROR(VLOOKUP($F852,'基础-办公用品信息'!$C:$F,4,FALSE),"-")</f>
        <v>-</v>
      </c>
      <c r="K852" s="60" t="str">
        <f t="shared" si="39"/>
        <v/>
      </c>
      <c r="L852" s="87"/>
      <c r="M852" s="60">
        <f t="shared" si="40"/>
        <v>1900</v>
      </c>
      <c r="N852" s="60">
        <f t="shared" si="41"/>
        <v>1</v>
      </c>
    </row>
    <row r="853" customHeight="1" spans="2:14">
      <c r="B853" s="86">
        <v>851</v>
      </c>
      <c r="C853" s="87"/>
      <c r="D853" s="87"/>
      <c r="E853" s="60" t="str">
        <f>IFERROR(VLOOKUP(D853,'基础-领用人及部门'!$C:$D,2,FALSE),"-")</f>
        <v>-</v>
      </c>
      <c r="F853" s="87"/>
      <c r="G853" s="60" t="str">
        <f>IFERROR(VLOOKUP($F853,'基础-办公用品信息'!$C:$E,2,FALSE),"-")</f>
        <v>-</v>
      </c>
      <c r="H853" s="60" t="str">
        <f>IFERROR(VLOOKUP($F853,'基础-办公用品信息'!$C:$E,3,FALSE),"-")</f>
        <v>-</v>
      </c>
      <c r="I853" s="60"/>
      <c r="J853" s="60" t="str">
        <f>IFERROR(VLOOKUP($F853,'基础-办公用品信息'!$C:$F,4,FALSE),"-")</f>
        <v>-</v>
      </c>
      <c r="K853" s="60" t="str">
        <f t="shared" si="39"/>
        <v/>
      </c>
      <c r="L853" s="87"/>
      <c r="M853" s="60">
        <f t="shared" si="40"/>
        <v>1900</v>
      </c>
      <c r="N853" s="60">
        <f t="shared" si="41"/>
        <v>1</v>
      </c>
    </row>
    <row r="854" customHeight="1" spans="2:14">
      <c r="B854" s="86">
        <v>852</v>
      </c>
      <c r="C854" s="87"/>
      <c r="D854" s="87"/>
      <c r="E854" s="60" t="str">
        <f>IFERROR(VLOOKUP(D854,'基础-领用人及部门'!$C:$D,2,FALSE),"-")</f>
        <v>-</v>
      </c>
      <c r="F854" s="87"/>
      <c r="G854" s="60" t="str">
        <f>IFERROR(VLOOKUP($F854,'基础-办公用品信息'!$C:$E,2,FALSE),"-")</f>
        <v>-</v>
      </c>
      <c r="H854" s="60" t="str">
        <f>IFERROR(VLOOKUP($F854,'基础-办公用品信息'!$C:$E,3,FALSE),"-")</f>
        <v>-</v>
      </c>
      <c r="I854" s="60"/>
      <c r="J854" s="60" t="str">
        <f>IFERROR(VLOOKUP($F854,'基础-办公用品信息'!$C:$F,4,FALSE),"-")</f>
        <v>-</v>
      </c>
      <c r="K854" s="60" t="str">
        <f t="shared" si="39"/>
        <v/>
      </c>
      <c r="L854" s="87"/>
      <c r="M854" s="60">
        <f t="shared" si="40"/>
        <v>1900</v>
      </c>
      <c r="N854" s="60">
        <f t="shared" si="41"/>
        <v>1</v>
      </c>
    </row>
    <row r="855" customHeight="1" spans="2:14">
      <c r="B855" s="86">
        <v>853</v>
      </c>
      <c r="C855" s="87"/>
      <c r="D855" s="87"/>
      <c r="E855" s="60" t="str">
        <f>IFERROR(VLOOKUP(D855,'基础-领用人及部门'!$C:$D,2,FALSE),"-")</f>
        <v>-</v>
      </c>
      <c r="F855" s="87"/>
      <c r="G855" s="60" t="str">
        <f>IFERROR(VLOOKUP($F855,'基础-办公用品信息'!$C:$E,2,FALSE),"-")</f>
        <v>-</v>
      </c>
      <c r="H855" s="60" t="str">
        <f>IFERROR(VLOOKUP($F855,'基础-办公用品信息'!$C:$E,3,FALSE),"-")</f>
        <v>-</v>
      </c>
      <c r="I855" s="60"/>
      <c r="J855" s="60" t="str">
        <f>IFERROR(VLOOKUP($F855,'基础-办公用品信息'!$C:$F,4,FALSE),"-")</f>
        <v>-</v>
      </c>
      <c r="K855" s="60" t="str">
        <f t="shared" si="39"/>
        <v/>
      </c>
      <c r="L855" s="87"/>
      <c r="M855" s="60">
        <f t="shared" si="40"/>
        <v>1900</v>
      </c>
      <c r="N855" s="60">
        <f t="shared" si="41"/>
        <v>1</v>
      </c>
    </row>
    <row r="856" customHeight="1" spans="2:14">
      <c r="B856" s="86">
        <v>854</v>
      </c>
      <c r="C856" s="87"/>
      <c r="D856" s="87"/>
      <c r="E856" s="60" t="str">
        <f>IFERROR(VLOOKUP(D856,'基础-领用人及部门'!$C:$D,2,FALSE),"-")</f>
        <v>-</v>
      </c>
      <c r="F856" s="87"/>
      <c r="G856" s="60" t="str">
        <f>IFERROR(VLOOKUP($F856,'基础-办公用品信息'!$C:$E,2,FALSE),"-")</f>
        <v>-</v>
      </c>
      <c r="H856" s="60" t="str">
        <f>IFERROR(VLOOKUP($F856,'基础-办公用品信息'!$C:$E,3,FALSE),"-")</f>
        <v>-</v>
      </c>
      <c r="I856" s="60"/>
      <c r="J856" s="60" t="str">
        <f>IFERROR(VLOOKUP($F856,'基础-办公用品信息'!$C:$F,4,FALSE),"-")</f>
        <v>-</v>
      </c>
      <c r="K856" s="60" t="str">
        <f t="shared" si="39"/>
        <v/>
      </c>
      <c r="L856" s="87"/>
      <c r="M856" s="60">
        <f t="shared" si="40"/>
        <v>1900</v>
      </c>
      <c r="N856" s="60">
        <f t="shared" si="41"/>
        <v>1</v>
      </c>
    </row>
    <row r="857" customHeight="1" spans="2:14">
      <c r="B857" s="86">
        <v>855</v>
      </c>
      <c r="C857" s="87"/>
      <c r="D857" s="87"/>
      <c r="E857" s="60" t="str">
        <f>IFERROR(VLOOKUP(D857,'基础-领用人及部门'!$C:$D,2,FALSE),"-")</f>
        <v>-</v>
      </c>
      <c r="F857" s="87"/>
      <c r="G857" s="60" t="str">
        <f>IFERROR(VLOOKUP($F857,'基础-办公用品信息'!$C:$E,2,FALSE),"-")</f>
        <v>-</v>
      </c>
      <c r="H857" s="60" t="str">
        <f>IFERROR(VLOOKUP($F857,'基础-办公用品信息'!$C:$E,3,FALSE),"-")</f>
        <v>-</v>
      </c>
      <c r="I857" s="60"/>
      <c r="J857" s="60" t="str">
        <f>IFERROR(VLOOKUP($F857,'基础-办公用品信息'!$C:$F,4,FALSE),"-")</f>
        <v>-</v>
      </c>
      <c r="K857" s="60" t="str">
        <f t="shared" si="39"/>
        <v/>
      </c>
      <c r="L857" s="87"/>
      <c r="M857" s="60">
        <f t="shared" si="40"/>
        <v>1900</v>
      </c>
      <c r="N857" s="60">
        <f t="shared" si="41"/>
        <v>1</v>
      </c>
    </row>
    <row r="858" customHeight="1" spans="2:14">
      <c r="B858" s="86">
        <v>856</v>
      </c>
      <c r="C858" s="87"/>
      <c r="D858" s="87"/>
      <c r="E858" s="60" t="str">
        <f>IFERROR(VLOOKUP(D858,'基础-领用人及部门'!$C:$D,2,FALSE),"-")</f>
        <v>-</v>
      </c>
      <c r="F858" s="87"/>
      <c r="G858" s="60" t="str">
        <f>IFERROR(VLOOKUP($F858,'基础-办公用品信息'!$C:$E,2,FALSE),"-")</f>
        <v>-</v>
      </c>
      <c r="H858" s="60" t="str">
        <f>IFERROR(VLOOKUP($F858,'基础-办公用品信息'!$C:$E,3,FALSE),"-")</f>
        <v>-</v>
      </c>
      <c r="I858" s="60"/>
      <c r="J858" s="60" t="str">
        <f>IFERROR(VLOOKUP($F858,'基础-办公用品信息'!$C:$F,4,FALSE),"-")</f>
        <v>-</v>
      </c>
      <c r="K858" s="60" t="str">
        <f t="shared" si="39"/>
        <v/>
      </c>
      <c r="L858" s="87"/>
      <c r="M858" s="60">
        <f t="shared" si="40"/>
        <v>1900</v>
      </c>
      <c r="N858" s="60">
        <f t="shared" si="41"/>
        <v>1</v>
      </c>
    </row>
    <row r="859" customHeight="1" spans="2:14">
      <c r="B859" s="86">
        <v>857</v>
      </c>
      <c r="C859" s="87"/>
      <c r="D859" s="87"/>
      <c r="E859" s="60" t="str">
        <f>IFERROR(VLOOKUP(D859,'基础-领用人及部门'!$C:$D,2,FALSE),"-")</f>
        <v>-</v>
      </c>
      <c r="F859" s="87"/>
      <c r="G859" s="60" t="str">
        <f>IFERROR(VLOOKUP($F859,'基础-办公用品信息'!$C:$E,2,FALSE),"-")</f>
        <v>-</v>
      </c>
      <c r="H859" s="60" t="str">
        <f>IFERROR(VLOOKUP($F859,'基础-办公用品信息'!$C:$E,3,FALSE),"-")</f>
        <v>-</v>
      </c>
      <c r="I859" s="60"/>
      <c r="J859" s="60" t="str">
        <f>IFERROR(VLOOKUP($F859,'基础-办公用品信息'!$C:$F,4,FALSE),"-")</f>
        <v>-</v>
      </c>
      <c r="K859" s="60" t="str">
        <f t="shared" si="39"/>
        <v/>
      </c>
      <c r="L859" s="87"/>
      <c r="M859" s="60">
        <f t="shared" si="40"/>
        <v>1900</v>
      </c>
      <c r="N859" s="60">
        <f t="shared" si="41"/>
        <v>1</v>
      </c>
    </row>
    <row r="860" customHeight="1" spans="2:14">
      <c r="B860" s="86">
        <v>858</v>
      </c>
      <c r="C860" s="87"/>
      <c r="D860" s="87"/>
      <c r="E860" s="60" t="str">
        <f>IFERROR(VLOOKUP(D860,'基础-领用人及部门'!$C:$D,2,FALSE),"-")</f>
        <v>-</v>
      </c>
      <c r="F860" s="87"/>
      <c r="G860" s="60" t="str">
        <f>IFERROR(VLOOKUP($F860,'基础-办公用品信息'!$C:$E,2,FALSE),"-")</f>
        <v>-</v>
      </c>
      <c r="H860" s="60" t="str">
        <f>IFERROR(VLOOKUP($F860,'基础-办公用品信息'!$C:$E,3,FALSE),"-")</f>
        <v>-</v>
      </c>
      <c r="I860" s="60"/>
      <c r="J860" s="60" t="str">
        <f>IFERROR(VLOOKUP($F860,'基础-办公用品信息'!$C:$F,4,FALSE),"-")</f>
        <v>-</v>
      </c>
      <c r="K860" s="60" t="str">
        <f t="shared" si="39"/>
        <v/>
      </c>
      <c r="L860" s="87"/>
      <c r="M860" s="60">
        <f t="shared" si="40"/>
        <v>1900</v>
      </c>
      <c r="N860" s="60">
        <f t="shared" si="41"/>
        <v>1</v>
      </c>
    </row>
    <row r="861" customHeight="1" spans="2:14">
      <c r="B861" s="86">
        <v>859</v>
      </c>
      <c r="C861" s="87"/>
      <c r="D861" s="87"/>
      <c r="E861" s="60" t="str">
        <f>IFERROR(VLOOKUP(D861,'基础-领用人及部门'!$C:$D,2,FALSE),"-")</f>
        <v>-</v>
      </c>
      <c r="F861" s="87"/>
      <c r="G861" s="60" t="str">
        <f>IFERROR(VLOOKUP($F861,'基础-办公用品信息'!$C:$E,2,FALSE),"-")</f>
        <v>-</v>
      </c>
      <c r="H861" s="60" t="str">
        <f>IFERROR(VLOOKUP($F861,'基础-办公用品信息'!$C:$E,3,FALSE),"-")</f>
        <v>-</v>
      </c>
      <c r="I861" s="60"/>
      <c r="J861" s="60" t="str">
        <f>IFERROR(VLOOKUP($F861,'基础-办公用品信息'!$C:$F,4,FALSE),"-")</f>
        <v>-</v>
      </c>
      <c r="K861" s="60" t="str">
        <f t="shared" si="39"/>
        <v/>
      </c>
      <c r="L861" s="87"/>
      <c r="M861" s="60">
        <f t="shared" si="40"/>
        <v>1900</v>
      </c>
      <c r="N861" s="60">
        <f t="shared" si="41"/>
        <v>1</v>
      </c>
    </row>
    <row r="862" customHeight="1" spans="2:14">
      <c r="B862" s="86">
        <v>860</v>
      </c>
      <c r="C862" s="87"/>
      <c r="D862" s="87"/>
      <c r="E862" s="60" t="str">
        <f>IFERROR(VLOOKUP(D862,'基础-领用人及部门'!$C:$D,2,FALSE),"-")</f>
        <v>-</v>
      </c>
      <c r="F862" s="87"/>
      <c r="G862" s="60" t="str">
        <f>IFERROR(VLOOKUP($F862,'基础-办公用品信息'!$C:$E,2,FALSE),"-")</f>
        <v>-</v>
      </c>
      <c r="H862" s="60" t="str">
        <f>IFERROR(VLOOKUP($F862,'基础-办公用品信息'!$C:$E,3,FALSE),"-")</f>
        <v>-</v>
      </c>
      <c r="I862" s="60"/>
      <c r="J862" s="60" t="str">
        <f>IFERROR(VLOOKUP($F862,'基础-办公用品信息'!$C:$F,4,FALSE),"-")</f>
        <v>-</v>
      </c>
      <c r="K862" s="60" t="str">
        <f t="shared" si="39"/>
        <v/>
      </c>
      <c r="L862" s="87"/>
      <c r="M862" s="60">
        <f t="shared" si="40"/>
        <v>1900</v>
      </c>
      <c r="N862" s="60">
        <f t="shared" si="41"/>
        <v>1</v>
      </c>
    </row>
    <row r="863" customHeight="1" spans="2:14">
      <c r="B863" s="86">
        <v>861</v>
      </c>
      <c r="C863" s="87"/>
      <c r="D863" s="87"/>
      <c r="E863" s="60" t="str">
        <f>IFERROR(VLOOKUP(D863,'基础-领用人及部门'!$C:$D,2,FALSE),"-")</f>
        <v>-</v>
      </c>
      <c r="F863" s="87"/>
      <c r="G863" s="60" t="str">
        <f>IFERROR(VLOOKUP($F863,'基础-办公用品信息'!$C:$E,2,FALSE),"-")</f>
        <v>-</v>
      </c>
      <c r="H863" s="60" t="str">
        <f>IFERROR(VLOOKUP($F863,'基础-办公用品信息'!$C:$E,3,FALSE),"-")</f>
        <v>-</v>
      </c>
      <c r="I863" s="60"/>
      <c r="J863" s="60" t="str">
        <f>IFERROR(VLOOKUP($F863,'基础-办公用品信息'!$C:$F,4,FALSE),"-")</f>
        <v>-</v>
      </c>
      <c r="K863" s="60" t="str">
        <f t="shared" si="39"/>
        <v/>
      </c>
      <c r="L863" s="87"/>
      <c r="M863" s="60">
        <f t="shared" si="40"/>
        <v>1900</v>
      </c>
      <c r="N863" s="60">
        <f t="shared" si="41"/>
        <v>1</v>
      </c>
    </row>
    <row r="864" customHeight="1" spans="2:14">
      <c r="B864" s="86">
        <v>862</v>
      </c>
      <c r="C864" s="87"/>
      <c r="D864" s="87"/>
      <c r="E864" s="60" t="str">
        <f>IFERROR(VLOOKUP(D864,'基础-领用人及部门'!$C:$D,2,FALSE),"-")</f>
        <v>-</v>
      </c>
      <c r="F864" s="87"/>
      <c r="G864" s="60" t="str">
        <f>IFERROR(VLOOKUP($F864,'基础-办公用品信息'!$C:$E,2,FALSE),"-")</f>
        <v>-</v>
      </c>
      <c r="H864" s="60" t="str">
        <f>IFERROR(VLOOKUP($F864,'基础-办公用品信息'!$C:$E,3,FALSE),"-")</f>
        <v>-</v>
      </c>
      <c r="I864" s="60"/>
      <c r="J864" s="60" t="str">
        <f>IFERROR(VLOOKUP($F864,'基础-办公用品信息'!$C:$F,4,FALSE),"-")</f>
        <v>-</v>
      </c>
      <c r="K864" s="60" t="str">
        <f t="shared" si="39"/>
        <v/>
      </c>
      <c r="L864" s="87"/>
      <c r="M864" s="60">
        <f t="shared" si="40"/>
        <v>1900</v>
      </c>
      <c r="N864" s="60">
        <f t="shared" si="41"/>
        <v>1</v>
      </c>
    </row>
    <row r="865" customHeight="1" spans="2:14">
      <c r="B865" s="86">
        <v>863</v>
      </c>
      <c r="C865" s="87"/>
      <c r="D865" s="87"/>
      <c r="E865" s="60" t="str">
        <f>IFERROR(VLOOKUP(D865,'基础-领用人及部门'!$C:$D,2,FALSE),"-")</f>
        <v>-</v>
      </c>
      <c r="F865" s="87"/>
      <c r="G865" s="60" t="str">
        <f>IFERROR(VLOOKUP($F865,'基础-办公用品信息'!$C:$E,2,FALSE),"-")</f>
        <v>-</v>
      </c>
      <c r="H865" s="60" t="str">
        <f>IFERROR(VLOOKUP($F865,'基础-办公用品信息'!$C:$E,3,FALSE),"-")</f>
        <v>-</v>
      </c>
      <c r="I865" s="60"/>
      <c r="J865" s="60" t="str">
        <f>IFERROR(VLOOKUP($F865,'基础-办公用品信息'!$C:$F,4,FALSE),"-")</f>
        <v>-</v>
      </c>
      <c r="K865" s="60" t="str">
        <f t="shared" si="39"/>
        <v/>
      </c>
      <c r="L865" s="87"/>
      <c r="M865" s="60">
        <f t="shared" si="40"/>
        <v>1900</v>
      </c>
      <c r="N865" s="60">
        <f t="shared" si="41"/>
        <v>1</v>
      </c>
    </row>
    <row r="866" customHeight="1" spans="2:14">
      <c r="B866" s="86">
        <v>864</v>
      </c>
      <c r="C866" s="87"/>
      <c r="D866" s="87"/>
      <c r="E866" s="60" t="str">
        <f>IFERROR(VLOOKUP(D866,'基础-领用人及部门'!$C:$D,2,FALSE),"-")</f>
        <v>-</v>
      </c>
      <c r="F866" s="87"/>
      <c r="G866" s="60" t="str">
        <f>IFERROR(VLOOKUP($F866,'基础-办公用品信息'!$C:$E,2,FALSE),"-")</f>
        <v>-</v>
      </c>
      <c r="H866" s="60" t="str">
        <f>IFERROR(VLOOKUP($F866,'基础-办公用品信息'!$C:$E,3,FALSE),"-")</f>
        <v>-</v>
      </c>
      <c r="I866" s="60"/>
      <c r="J866" s="60" t="str">
        <f>IFERROR(VLOOKUP($F866,'基础-办公用品信息'!$C:$F,4,FALSE),"-")</f>
        <v>-</v>
      </c>
      <c r="K866" s="60" t="str">
        <f t="shared" si="39"/>
        <v/>
      </c>
      <c r="L866" s="87"/>
      <c r="M866" s="60">
        <f t="shared" si="40"/>
        <v>1900</v>
      </c>
      <c r="N866" s="60">
        <f t="shared" si="41"/>
        <v>1</v>
      </c>
    </row>
    <row r="867" customHeight="1" spans="2:14">
      <c r="B867" s="86">
        <v>865</v>
      </c>
      <c r="C867" s="87"/>
      <c r="D867" s="87"/>
      <c r="E867" s="60" t="str">
        <f>IFERROR(VLOOKUP(D867,'基础-领用人及部门'!$C:$D,2,FALSE),"-")</f>
        <v>-</v>
      </c>
      <c r="F867" s="87"/>
      <c r="G867" s="60" t="str">
        <f>IFERROR(VLOOKUP($F867,'基础-办公用品信息'!$C:$E,2,FALSE),"-")</f>
        <v>-</v>
      </c>
      <c r="H867" s="60" t="str">
        <f>IFERROR(VLOOKUP($F867,'基础-办公用品信息'!$C:$E,3,FALSE),"-")</f>
        <v>-</v>
      </c>
      <c r="I867" s="60"/>
      <c r="J867" s="60" t="str">
        <f>IFERROR(VLOOKUP($F867,'基础-办公用品信息'!$C:$F,4,FALSE),"-")</f>
        <v>-</v>
      </c>
      <c r="K867" s="60" t="str">
        <f t="shared" si="39"/>
        <v/>
      </c>
      <c r="L867" s="87"/>
      <c r="M867" s="60">
        <f t="shared" si="40"/>
        <v>1900</v>
      </c>
      <c r="N867" s="60">
        <f t="shared" si="41"/>
        <v>1</v>
      </c>
    </row>
    <row r="868" customHeight="1" spans="2:14">
      <c r="B868" s="86">
        <v>866</v>
      </c>
      <c r="C868" s="87"/>
      <c r="D868" s="87"/>
      <c r="E868" s="60" t="str">
        <f>IFERROR(VLOOKUP(D868,'基础-领用人及部门'!$C:$D,2,FALSE),"-")</f>
        <v>-</v>
      </c>
      <c r="F868" s="87"/>
      <c r="G868" s="60" t="str">
        <f>IFERROR(VLOOKUP($F868,'基础-办公用品信息'!$C:$E,2,FALSE),"-")</f>
        <v>-</v>
      </c>
      <c r="H868" s="60" t="str">
        <f>IFERROR(VLOOKUP($F868,'基础-办公用品信息'!$C:$E,3,FALSE),"-")</f>
        <v>-</v>
      </c>
      <c r="I868" s="60"/>
      <c r="J868" s="60" t="str">
        <f>IFERROR(VLOOKUP($F868,'基础-办公用品信息'!$C:$F,4,FALSE),"-")</f>
        <v>-</v>
      </c>
      <c r="K868" s="60" t="str">
        <f t="shared" si="39"/>
        <v/>
      </c>
      <c r="L868" s="87"/>
      <c r="M868" s="60">
        <f t="shared" si="40"/>
        <v>1900</v>
      </c>
      <c r="N868" s="60">
        <f t="shared" si="41"/>
        <v>1</v>
      </c>
    </row>
    <row r="869" customHeight="1" spans="2:14">
      <c r="B869" s="86">
        <v>867</v>
      </c>
      <c r="C869" s="87"/>
      <c r="D869" s="87"/>
      <c r="E869" s="60" t="str">
        <f>IFERROR(VLOOKUP(D869,'基础-领用人及部门'!$C:$D,2,FALSE),"-")</f>
        <v>-</v>
      </c>
      <c r="F869" s="87"/>
      <c r="G869" s="60" t="str">
        <f>IFERROR(VLOOKUP($F869,'基础-办公用品信息'!$C:$E,2,FALSE),"-")</f>
        <v>-</v>
      </c>
      <c r="H869" s="60" t="str">
        <f>IFERROR(VLOOKUP($F869,'基础-办公用品信息'!$C:$E,3,FALSE),"-")</f>
        <v>-</v>
      </c>
      <c r="I869" s="60"/>
      <c r="J869" s="60" t="str">
        <f>IFERROR(VLOOKUP($F869,'基础-办公用品信息'!$C:$F,4,FALSE),"-")</f>
        <v>-</v>
      </c>
      <c r="K869" s="60" t="str">
        <f t="shared" si="39"/>
        <v/>
      </c>
      <c r="L869" s="87"/>
      <c r="M869" s="60">
        <f t="shared" si="40"/>
        <v>1900</v>
      </c>
      <c r="N869" s="60">
        <f t="shared" si="41"/>
        <v>1</v>
      </c>
    </row>
    <row r="870" customHeight="1" spans="2:14">
      <c r="B870" s="86">
        <v>868</v>
      </c>
      <c r="C870" s="87"/>
      <c r="D870" s="87"/>
      <c r="E870" s="60" t="str">
        <f>IFERROR(VLOOKUP(D870,'基础-领用人及部门'!$C:$D,2,FALSE),"-")</f>
        <v>-</v>
      </c>
      <c r="F870" s="87"/>
      <c r="G870" s="60" t="str">
        <f>IFERROR(VLOOKUP($F870,'基础-办公用品信息'!$C:$E,2,FALSE),"-")</f>
        <v>-</v>
      </c>
      <c r="H870" s="60" t="str">
        <f>IFERROR(VLOOKUP($F870,'基础-办公用品信息'!$C:$E,3,FALSE),"-")</f>
        <v>-</v>
      </c>
      <c r="I870" s="60"/>
      <c r="J870" s="60" t="str">
        <f>IFERROR(VLOOKUP($F870,'基础-办公用品信息'!$C:$F,4,FALSE),"-")</f>
        <v>-</v>
      </c>
      <c r="K870" s="60" t="str">
        <f t="shared" si="39"/>
        <v/>
      </c>
      <c r="L870" s="87"/>
      <c r="M870" s="60">
        <f t="shared" si="40"/>
        <v>1900</v>
      </c>
      <c r="N870" s="60">
        <f t="shared" si="41"/>
        <v>1</v>
      </c>
    </row>
    <row r="871" customHeight="1" spans="2:14">
      <c r="B871" s="86">
        <v>869</v>
      </c>
      <c r="C871" s="87"/>
      <c r="D871" s="87"/>
      <c r="E871" s="60" t="str">
        <f>IFERROR(VLOOKUP(D871,'基础-领用人及部门'!$C:$D,2,FALSE),"-")</f>
        <v>-</v>
      </c>
      <c r="F871" s="87"/>
      <c r="G871" s="60" t="str">
        <f>IFERROR(VLOOKUP($F871,'基础-办公用品信息'!$C:$E,2,FALSE),"-")</f>
        <v>-</v>
      </c>
      <c r="H871" s="60" t="str">
        <f>IFERROR(VLOOKUP($F871,'基础-办公用品信息'!$C:$E,3,FALSE),"-")</f>
        <v>-</v>
      </c>
      <c r="I871" s="60"/>
      <c r="J871" s="60" t="str">
        <f>IFERROR(VLOOKUP($F871,'基础-办公用品信息'!$C:$F,4,FALSE),"-")</f>
        <v>-</v>
      </c>
      <c r="K871" s="60" t="str">
        <f t="shared" si="39"/>
        <v/>
      </c>
      <c r="L871" s="87"/>
      <c r="M871" s="60">
        <f t="shared" si="40"/>
        <v>1900</v>
      </c>
      <c r="N871" s="60">
        <f t="shared" si="41"/>
        <v>1</v>
      </c>
    </row>
    <row r="872" customHeight="1" spans="2:14">
      <c r="B872" s="86">
        <v>870</v>
      </c>
      <c r="C872" s="87"/>
      <c r="D872" s="87"/>
      <c r="E872" s="60" t="str">
        <f>IFERROR(VLOOKUP(D872,'基础-领用人及部门'!$C:$D,2,FALSE),"-")</f>
        <v>-</v>
      </c>
      <c r="F872" s="87"/>
      <c r="G872" s="60" t="str">
        <f>IFERROR(VLOOKUP($F872,'基础-办公用品信息'!$C:$E,2,FALSE),"-")</f>
        <v>-</v>
      </c>
      <c r="H872" s="60" t="str">
        <f>IFERROR(VLOOKUP($F872,'基础-办公用品信息'!$C:$E,3,FALSE),"-")</f>
        <v>-</v>
      </c>
      <c r="I872" s="60"/>
      <c r="J872" s="60" t="str">
        <f>IFERROR(VLOOKUP($F872,'基础-办公用品信息'!$C:$F,4,FALSE),"-")</f>
        <v>-</v>
      </c>
      <c r="K872" s="60" t="str">
        <f t="shared" si="39"/>
        <v/>
      </c>
      <c r="L872" s="87"/>
      <c r="M872" s="60">
        <f t="shared" si="40"/>
        <v>1900</v>
      </c>
      <c r="N872" s="60">
        <f t="shared" si="41"/>
        <v>1</v>
      </c>
    </row>
    <row r="873" customHeight="1" spans="2:14">
      <c r="B873" s="86">
        <v>871</v>
      </c>
      <c r="C873" s="87"/>
      <c r="D873" s="87"/>
      <c r="E873" s="60" t="str">
        <f>IFERROR(VLOOKUP(D873,'基础-领用人及部门'!$C:$D,2,FALSE),"-")</f>
        <v>-</v>
      </c>
      <c r="F873" s="87"/>
      <c r="G873" s="60" t="str">
        <f>IFERROR(VLOOKUP($F873,'基础-办公用品信息'!$C:$E,2,FALSE),"-")</f>
        <v>-</v>
      </c>
      <c r="H873" s="60" t="str">
        <f>IFERROR(VLOOKUP($F873,'基础-办公用品信息'!$C:$E,3,FALSE),"-")</f>
        <v>-</v>
      </c>
      <c r="I873" s="60"/>
      <c r="J873" s="60" t="str">
        <f>IFERROR(VLOOKUP($F873,'基础-办公用品信息'!$C:$F,4,FALSE),"-")</f>
        <v>-</v>
      </c>
      <c r="K873" s="60" t="str">
        <f t="shared" si="39"/>
        <v/>
      </c>
      <c r="L873" s="87"/>
      <c r="M873" s="60">
        <f t="shared" si="40"/>
        <v>1900</v>
      </c>
      <c r="N873" s="60">
        <f t="shared" si="41"/>
        <v>1</v>
      </c>
    </row>
    <row r="874" customHeight="1" spans="2:14">
      <c r="B874" s="86">
        <v>872</v>
      </c>
      <c r="C874" s="87"/>
      <c r="D874" s="87"/>
      <c r="E874" s="60" t="str">
        <f>IFERROR(VLOOKUP(D874,'基础-领用人及部门'!$C:$D,2,FALSE),"-")</f>
        <v>-</v>
      </c>
      <c r="F874" s="87"/>
      <c r="G874" s="60" t="str">
        <f>IFERROR(VLOOKUP($F874,'基础-办公用品信息'!$C:$E,2,FALSE),"-")</f>
        <v>-</v>
      </c>
      <c r="H874" s="60" t="str">
        <f>IFERROR(VLOOKUP($F874,'基础-办公用品信息'!$C:$E,3,FALSE),"-")</f>
        <v>-</v>
      </c>
      <c r="I874" s="60"/>
      <c r="J874" s="60" t="str">
        <f>IFERROR(VLOOKUP($F874,'基础-办公用品信息'!$C:$F,4,FALSE),"-")</f>
        <v>-</v>
      </c>
      <c r="K874" s="60" t="str">
        <f t="shared" si="39"/>
        <v/>
      </c>
      <c r="L874" s="87"/>
      <c r="M874" s="60">
        <f t="shared" si="40"/>
        <v>1900</v>
      </c>
      <c r="N874" s="60">
        <f t="shared" si="41"/>
        <v>1</v>
      </c>
    </row>
    <row r="875" customHeight="1" spans="2:14">
      <c r="B875" s="86">
        <v>873</v>
      </c>
      <c r="C875" s="87"/>
      <c r="D875" s="87"/>
      <c r="E875" s="60" t="str">
        <f>IFERROR(VLOOKUP(D875,'基础-领用人及部门'!$C:$D,2,FALSE),"-")</f>
        <v>-</v>
      </c>
      <c r="F875" s="87"/>
      <c r="G875" s="60" t="str">
        <f>IFERROR(VLOOKUP($F875,'基础-办公用品信息'!$C:$E,2,FALSE),"-")</f>
        <v>-</v>
      </c>
      <c r="H875" s="60" t="str">
        <f>IFERROR(VLOOKUP($F875,'基础-办公用品信息'!$C:$E,3,FALSE),"-")</f>
        <v>-</v>
      </c>
      <c r="I875" s="60"/>
      <c r="J875" s="60" t="str">
        <f>IFERROR(VLOOKUP($F875,'基础-办公用品信息'!$C:$F,4,FALSE),"-")</f>
        <v>-</v>
      </c>
      <c r="K875" s="60" t="str">
        <f t="shared" si="39"/>
        <v/>
      </c>
      <c r="L875" s="87"/>
      <c r="M875" s="60">
        <f t="shared" si="40"/>
        <v>1900</v>
      </c>
      <c r="N875" s="60">
        <f t="shared" si="41"/>
        <v>1</v>
      </c>
    </row>
    <row r="876" customHeight="1" spans="2:14">
      <c r="B876" s="86">
        <v>874</v>
      </c>
      <c r="C876" s="87"/>
      <c r="D876" s="87"/>
      <c r="E876" s="60" t="str">
        <f>IFERROR(VLOOKUP(D876,'基础-领用人及部门'!$C:$D,2,FALSE),"-")</f>
        <v>-</v>
      </c>
      <c r="F876" s="87"/>
      <c r="G876" s="60" t="str">
        <f>IFERROR(VLOOKUP($F876,'基础-办公用品信息'!$C:$E,2,FALSE),"-")</f>
        <v>-</v>
      </c>
      <c r="H876" s="60" t="str">
        <f>IFERROR(VLOOKUP($F876,'基础-办公用品信息'!$C:$E,3,FALSE),"-")</f>
        <v>-</v>
      </c>
      <c r="I876" s="60"/>
      <c r="J876" s="60" t="str">
        <f>IFERROR(VLOOKUP($F876,'基础-办公用品信息'!$C:$F,4,FALSE),"-")</f>
        <v>-</v>
      </c>
      <c r="K876" s="60" t="str">
        <f t="shared" si="39"/>
        <v/>
      </c>
      <c r="L876" s="87"/>
      <c r="M876" s="60">
        <f t="shared" si="40"/>
        <v>1900</v>
      </c>
      <c r="N876" s="60">
        <f t="shared" si="41"/>
        <v>1</v>
      </c>
    </row>
    <row r="877" customHeight="1" spans="2:14">
      <c r="B877" s="86">
        <v>875</v>
      </c>
      <c r="C877" s="87"/>
      <c r="D877" s="87"/>
      <c r="E877" s="60" t="str">
        <f>IFERROR(VLOOKUP(D877,'基础-领用人及部门'!$C:$D,2,FALSE),"-")</f>
        <v>-</v>
      </c>
      <c r="F877" s="87"/>
      <c r="G877" s="60" t="str">
        <f>IFERROR(VLOOKUP($F877,'基础-办公用品信息'!$C:$E,2,FALSE),"-")</f>
        <v>-</v>
      </c>
      <c r="H877" s="60" t="str">
        <f>IFERROR(VLOOKUP($F877,'基础-办公用品信息'!$C:$E,3,FALSE),"-")</f>
        <v>-</v>
      </c>
      <c r="I877" s="60"/>
      <c r="J877" s="60" t="str">
        <f>IFERROR(VLOOKUP($F877,'基础-办公用品信息'!$C:$F,4,FALSE),"-")</f>
        <v>-</v>
      </c>
      <c r="K877" s="60" t="str">
        <f t="shared" si="39"/>
        <v/>
      </c>
      <c r="L877" s="87"/>
      <c r="M877" s="60">
        <f t="shared" si="40"/>
        <v>1900</v>
      </c>
      <c r="N877" s="60">
        <f t="shared" si="41"/>
        <v>1</v>
      </c>
    </row>
    <row r="878" customHeight="1" spans="2:14">
      <c r="B878" s="86">
        <v>876</v>
      </c>
      <c r="C878" s="87"/>
      <c r="D878" s="87"/>
      <c r="E878" s="60" t="str">
        <f>IFERROR(VLOOKUP(D878,'基础-领用人及部门'!$C:$D,2,FALSE),"-")</f>
        <v>-</v>
      </c>
      <c r="F878" s="87"/>
      <c r="G878" s="60" t="str">
        <f>IFERROR(VLOOKUP($F878,'基础-办公用品信息'!$C:$E,2,FALSE),"-")</f>
        <v>-</v>
      </c>
      <c r="H878" s="60" t="str">
        <f>IFERROR(VLOOKUP($F878,'基础-办公用品信息'!$C:$E,3,FALSE),"-")</f>
        <v>-</v>
      </c>
      <c r="I878" s="60"/>
      <c r="J878" s="60" t="str">
        <f>IFERROR(VLOOKUP($F878,'基础-办公用品信息'!$C:$F,4,FALSE),"-")</f>
        <v>-</v>
      </c>
      <c r="K878" s="60" t="str">
        <f t="shared" si="39"/>
        <v/>
      </c>
      <c r="L878" s="87"/>
      <c r="M878" s="60">
        <f t="shared" si="40"/>
        <v>1900</v>
      </c>
      <c r="N878" s="60">
        <f t="shared" si="41"/>
        <v>1</v>
      </c>
    </row>
    <row r="879" customHeight="1" spans="2:14">
      <c r="B879" s="86">
        <v>877</v>
      </c>
      <c r="C879" s="87"/>
      <c r="D879" s="87"/>
      <c r="E879" s="60" t="str">
        <f>IFERROR(VLOOKUP(D879,'基础-领用人及部门'!$C:$D,2,FALSE),"-")</f>
        <v>-</v>
      </c>
      <c r="F879" s="87"/>
      <c r="G879" s="60" t="str">
        <f>IFERROR(VLOOKUP($F879,'基础-办公用品信息'!$C:$E,2,FALSE),"-")</f>
        <v>-</v>
      </c>
      <c r="H879" s="60" t="str">
        <f>IFERROR(VLOOKUP($F879,'基础-办公用品信息'!$C:$E,3,FALSE),"-")</f>
        <v>-</v>
      </c>
      <c r="I879" s="60"/>
      <c r="J879" s="60" t="str">
        <f>IFERROR(VLOOKUP($F879,'基础-办公用品信息'!$C:$F,4,FALSE),"-")</f>
        <v>-</v>
      </c>
      <c r="K879" s="60" t="str">
        <f t="shared" si="39"/>
        <v/>
      </c>
      <c r="L879" s="87"/>
      <c r="M879" s="60">
        <f t="shared" si="40"/>
        <v>1900</v>
      </c>
      <c r="N879" s="60">
        <f t="shared" si="41"/>
        <v>1</v>
      </c>
    </row>
    <row r="880" customHeight="1" spans="2:14">
      <c r="B880" s="86">
        <v>878</v>
      </c>
      <c r="C880" s="87"/>
      <c r="D880" s="87"/>
      <c r="E880" s="60" t="str">
        <f>IFERROR(VLOOKUP(D880,'基础-领用人及部门'!$C:$D,2,FALSE),"-")</f>
        <v>-</v>
      </c>
      <c r="F880" s="87"/>
      <c r="G880" s="60" t="str">
        <f>IFERROR(VLOOKUP($F880,'基础-办公用品信息'!$C:$E,2,FALSE),"-")</f>
        <v>-</v>
      </c>
      <c r="H880" s="60" t="str">
        <f>IFERROR(VLOOKUP($F880,'基础-办公用品信息'!$C:$E,3,FALSE),"-")</f>
        <v>-</v>
      </c>
      <c r="I880" s="60"/>
      <c r="J880" s="60" t="str">
        <f>IFERROR(VLOOKUP($F880,'基础-办公用品信息'!$C:$F,4,FALSE),"-")</f>
        <v>-</v>
      </c>
      <c r="K880" s="60" t="str">
        <f t="shared" si="39"/>
        <v/>
      </c>
      <c r="L880" s="87"/>
      <c r="M880" s="60">
        <f t="shared" si="40"/>
        <v>1900</v>
      </c>
      <c r="N880" s="60">
        <f t="shared" si="41"/>
        <v>1</v>
      </c>
    </row>
    <row r="881" customHeight="1" spans="2:14">
      <c r="B881" s="86">
        <v>879</v>
      </c>
      <c r="C881" s="87"/>
      <c r="D881" s="87"/>
      <c r="E881" s="60" t="str">
        <f>IFERROR(VLOOKUP(D881,'基础-领用人及部门'!$C:$D,2,FALSE),"-")</f>
        <v>-</v>
      </c>
      <c r="F881" s="87"/>
      <c r="G881" s="60" t="str">
        <f>IFERROR(VLOOKUP($F881,'基础-办公用品信息'!$C:$E,2,FALSE),"-")</f>
        <v>-</v>
      </c>
      <c r="H881" s="60" t="str">
        <f>IFERROR(VLOOKUP($F881,'基础-办公用品信息'!$C:$E,3,FALSE),"-")</f>
        <v>-</v>
      </c>
      <c r="I881" s="60"/>
      <c r="J881" s="60" t="str">
        <f>IFERROR(VLOOKUP($F881,'基础-办公用品信息'!$C:$F,4,FALSE),"-")</f>
        <v>-</v>
      </c>
      <c r="K881" s="60" t="str">
        <f t="shared" si="39"/>
        <v/>
      </c>
      <c r="L881" s="87"/>
      <c r="M881" s="60">
        <f t="shared" si="40"/>
        <v>1900</v>
      </c>
      <c r="N881" s="60">
        <f t="shared" si="41"/>
        <v>1</v>
      </c>
    </row>
    <row r="882" customHeight="1" spans="2:14">
      <c r="B882" s="86">
        <v>880</v>
      </c>
      <c r="C882" s="87"/>
      <c r="D882" s="87"/>
      <c r="E882" s="60" t="str">
        <f>IFERROR(VLOOKUP(D882,'基础-领用人及部门'!$C:$D,2,FALSE),"-")</f>
        <v>-</v>
      </c>
      <c r="F882" s="87"/>
      <c r="G882" s="60" t="str">
        <f>IFERROR(VLOOKUP($F882,'基础-办公用品信息'!$C:$E,2,FALSE),"-")</f>
        <v>-</v>
      </c>
      <c r="H882" s="60" t="str">
        <f>IFERROR(VLOOKUP($F882,'基础-办公用品信息'!$C:$E,3,FALSE),"-")</f>
        <v>-</v>
      </c>
      <c r="I882" s="60"/>
      <c r="J882" s="60" t="str">
        <f>IFERROR(VLOOKUP($F882,'基础-办公用品信息'!$C:$F,4,FALSE),"-")</f>
        <v>-</v>
      </c>
      <c r="K882" s="60" t="str">
        <f t="shared" si="39"/>
        <v/>
      </c>
      <c r="L882" s="87"/>
      <c r="M882" s="60">
        <f t="shared" si="40"/>
        <v>1900</v>
      </c>
      <c r="N882" s="60">
        <f t="shared" si="41"/>
        <v>1</v>
      </c>
    </row>
    <row r="883" customHeight="1" spans="2:14">
      <c r="B883" s="86">
        <v>881</v>
      </c>
      <c r="C883" s="87"/>
      <c r="D883" s="87"/>
      <c r="E883" s="60" t="str">
        <f>IFERROR(VLOOKUP(D883,'基础-领用人及部门'!$C:$D,2,FALSE),"-")</f>
        <v>-</v>
      </c>
      <c r="F883" s="87"/>
      <c r="G883" s="60" t="str">
        <f>IFERROR(VLOOKUP($F883,'基础-办公用品信息'!$C:$E,2,FALSE),"-")</f>
        <v>-</v>
      </c>
      <c r="H883" s="60" t="str">
        <f>IFERROR(VLOOKUP($F883,'基础-办公用品信息'!$C:$E,3,FALSE),"-")</f>
        <v>-</v>
      </c>
      <c r="I883" s="60"/>
      <c r="J883" s="60" t="str">
        <f>IFERROR(VLOOKUP($F883,'基础-办公用品信息'!$C:$F,4,FALSE),"-")</f>
        <v>-</v>
      </c>
      <c r="K883" s="60" t="str">
        <f t="shared" si="39"/>
        <v/>
      </c>
      <c r="L883" s="87"/>
      <c r="M883" s="60">
        <f t="shared" si="40"/>
        <v>1900</v>
      </c>
      <c r="N883" s="60">
        <f t="shared" si="41"/>
        <v>1</v>
      </c>
    </row>
    <row r="884" customHeight="1" spans="2:14">
      <c r="B884" s="86">
        <v>882</v>
      </c>
      <c r="C884" s="87"/>
      <c r="D884" s="87"/>
      <c r="E884" s="60" t="str">
        <f>IFERROR(VLOOKUP(D884,'基础-领用人及部门'!$C:$D,2,FALSE),"-")</f>
        <v>-</v>
      </c>
      <c r="F884" s="87"/>
      <c r="G884" s="60" t="str">
        <f>IFERROR(VLOOKUP($F884,'基础-办公用品信息'!$C:$E,2,FALSE),"-")</f>
        <v>-</v>
      </c>
      <c r="H884" s="60" t="str">
        <f>IFERROR(VLOOKUP($F884,'基础-办公用品信息'!$C:$E,3,FALSE),"-")</f>
        <v>-</v>
      </c>
      <c r="I884" s="60"/>
      <c r="J884" s="60" t="str">
        <f>IFERROR(VLOOKUP($F884,'基础-办公用品信息'!$C:$F,4,FALSE),"-")</f>
        <v>-</v>
      </c>
      <c r="K884" s="60" t="str">
        <f t="shared" si="39"/>
        <v/>
      </c>
      <c r="L884" s="87"/>
      <c r="M884" s="60">
        <f t="shared" si="40"/>
        <v>1900</v>
      </c>
      <c r="N884" s="60">
        <f t="shared" si="41"/>
        <v>1</v>
      </c>
    </row>
    <row r="885" customHeight="1" spans="2:14">
      <c r="B885" s="86">
        <v>883</v>
      </c>
      <c r="C885" s="87"/>
      <c r="D885" s="87"/>
      <c r="E885" s="60" t="str">
        <f>IFERROR(VLOOKUP(D885,'基础-领用人及部门'!$C:$D,2,FALSE),"-")</f>
        <v>-</v>
      </c>
      <c r="F885" s="87"/>
      <c r="G885" s="60" t="str">
        <f>IFERROR(VLOOKUP($F885,'基础-办公用品信息'!$C:$E,2,FALSE),"-")</f>
        <v>-</v>
      </c>
      <c r="H885" s="60" t="str">
        <f>IFERROR(VLOOKUP($F885,'基础-办公用品信息'!$C:$E,3,FALSE),"-")</f>
        <v>-</v>
      </c>
      <c r="I885" s="60"/>
      <c r="J885" s="60" t="str">
        <f>IFERROR(VLOOKUP($F885,'基础-办公用品信息'!$C:$F,4,FALSE),"-")</f>
        <v>-</v>
      </c>
      <c r="K885" s="60" t="str">
        <f t="shared" si="39"/>
        <v/>
      </c>
      <c r="L885" s="87"/>
      <c r="M885" s="60">
        <f t="shared" si="40"/>
        <v>1900</v>
      </c>
      <c r="N885" s="60">
        <f t="shared" si="41"/>
        <v>1</v>
      </c>
    </row>
    <row r="886" customHeight="1" spans="2:14">
      <c r="B886" s="86">
        <v>884</v>
      </c>
      <c r="C886" s="87"/>
      <c r="D886" s="87"/>
      <c r="E886" s="60" t="str">
        <f>IFERROR(VLOOKUP(D886,'基础-领用人及部门'!$C:$D,2,FALSE),"-")</f>
        <v>-</v>
      </c>
      <c r="F886" s="87"/>
      <c r="G886" s="60" t="str">
        <f>IFERROR(VLOOKUP($F886,'基础-办公用品信息'!$C:$E,2,FALSE),"-")</f>
        <v>-</v>
      </c>
      <c r="H886" s="60" t="str">
        <f>IFERROR(VLOOKUP($F886,'基础-办公用品信息'!$C:$E,3,FALSE),"-")</f>
        <v>-</v>
      </c>
      <c r="I886" s="60"/>
      <c r="J886" s="60" t="str">
        <f>IFERROR(VLOOKUP($F886,'基础-办公用品信息'!$C:$F,4,FALSE),"-")</f>
        <v>-</v>
      </c>
      <c r="K886" s="60" t="str">
        <f t="shared" si="39"/>
        <v/>
      </c>
      <c r="L886" s="87"/>
      <c r="M886" s="60">
        <f t="shared" si="40"/>
        <v>1900</v>
      </c>
      <c r="N886" s="60">
        <f t="shared" si="41"/>
        <v>1</v>
      </c>
    </row>
    <row r="887" customHeight="1" spans="2:14">
      <c r="B887" s="86">
        <v>885</v>
      </c>
      <c r="C887" s="87"/>
      <c r="D887" s="87"/>
      <c r="E887" s="60" t="str">
        <f>IFERROR(VLOOKUP(D887,'基础-领用人及部门'!$C:$D,2,FALSE),"-")</f>
        <v>-</v>
      </c>
      <c r="F887" s="87"/>
      <c r="G887" s="60" t="str">
        <f>IFERROR(VLOOKUP($F887,'基础-办公用品信息'!$C:$E,2,FALSE),"-")</f>
        <v>-</v>
      </c>
      <c r="H887" s="60" t="str">
        <f>IFERROR(VLOOKUP($F887,'基础-办公用品信息'!$C:$E,3,FALSE),"-")</f>
        <v>-</v>
      </c>
      <c r="I887" s="60"/>
      <c r="J887" s="60" t="str">
        <f>IFERROR(VLOOKUP($F887,'基础-办公用品信息'!$C:$F,4,FALSE),"-")</f>
        <v>-</v>
      </c>
      <c r="K887" s="60" t="str">
        <f t="shared" si="39"/>
        <v/>
      </c>
      <c r="L887" s="87"/>
      <c r="M887" s="60">
        <f t="shared" si="40"/>
        <v>1900</v>
      </c>
      <c r="N887" s="60">
        <f t="shared" si="41"/>
        <v>1</v>
      </c>
    </row>
    <row r="888" customHeight="1" spans="2:14">
      <c r="B888" s="86">
        <v>886</v>
      </c>
      <c r="C888" s="87"/>
      <c r="D888" s="87"/>
      <c r="E888" s="60" t="str">
        <f>IFERROR(VLOOKUP(D888,'基础-领用人及部门'!$C:$D,2,FALSE),"-")</f>
        <v>-</v>
      </c>
      <c r="F888" s="87"/>
      <c r="G888" s="60" t="str">
        <f>IFERROR(VLOOKUP($F888,'基础-办公用品信息'!$C:$E,2,FALSE),"-")</f>
        <v>-</v>
      </c>
      <c r="H888" s="60" t="str">
        <f>IFERROR(VLOOKUP($F888,'基础-办公用品信息'!$C:$E,3,FALSE),"-")</f>
        <v>-</v>
      </c>
      <c r="I888" s="60"/>
      <c r="J888" s="60" t="str">
        <f>IFERROR(VLOOKUP($F888,'基础-办公用品信息'!$C:$F,4,FALSE),"-")</f>
        <v>-</v>
      </c>
      <c r="K888" s="60" t="str">
        <f t="shared" si="39"/>
        <v/>
      </c>
      <c r="L888" s="87"/>
      <c r="M888" s="60">
        <f t="shared" si="40"/>
        <v>1900</v>
      </c>
      <c r="N888" s="60">
        <f t="shared" si="41"/>
        <v>1</v>
      </c>
    </row>
    <row r="889" customHeight="1" spans="2:14">
      <c r="B889" s="86">
        <v>887</v>
      </c>
      <c r="C889" s="87"/>
      <c r="D889" s="87"/>
      <c r="E889" s="60" t="str">
        <f>IFERROR(VLOOKUP(D889,'基础-领用人及部门'!$C:$D,2,FALSE),"-")</f>
        <v>-</v>
      </c>
      <c r="F889" s="87"/>
      <c r="G889" s="60" t="str">
        <f>IFERROR(VLOOKUP($F889,'基础-办公用品信息'!$C:$E,2,FALSE),"-")</f>
        <v>-</v>
      </c>
      <c r="H889" s="60" t="str">
        <f>IFERROR(VLOOKUP($F889,'基础-办公用品信息'!$C:$E,3,FALSE),"-")</f>
        <v>-</v>
      </c>
      <c r="I889" s="60"/>
      <c r="J889" s="60" t="str">
        <f>IFERROR(VLOOKUP($F889,'基础-办公用品信息'!$C:$F,4,FALSE),"-")</f>
        <v>-</v>
      </c>
      <c r="K889" s="60" t="str">
        <f t="shared" si="39"/>
        <v/>
      </c>
      <c r="L889" s="87"/>
      <c r="M889" s="60">
        <f t="shared" si="40"/>
        <v>1900</v>
      </c>
      <c r="N889" s="60">
        <f t="shared" si="41"/>
        <v>1</v>
      </c>
    </row>
    <row r="890" customHeight="1" spans="2:14">
      <c r="B890" s="86">
        <v>888</v>
      </c>
      <c r="C890" s="87"/>
      <c r="D890" s="87"/>
      <c r="E890" s="60" t="str">
        <f>IFERROR(VLOOKUP(D890,'基础-领用人及部门'!$C:$D,2,FALSE),"-")</f>
        <v>-</v>
      </c>
      <c r="F890" s="87"/>
      <c r="G890" s="60" t="str">
        <f>IFERROR(VLOOKUP($F890,'基础-办公用品信息'!$C:$E,2,FALSE),"-")</f>
        <v>-</v>
      </c>
      <c r="H890" s="60" t="str">
        <f>IFERROR(VLOOKUP($F890,'基础-办公用品信息'!$C:$E,3,FALSE),"-")</f>
        <v>-</v>
      </c>
      <c r="I890" s="60"/>
      <c r="J890" s="60" t="str">
        <f>IFERROR(VLOOKUP($F890,'基础-办公用品信息'!$C:$F,4,FALSE),"-")</f>
        <v>-</v>
      </c>
      <c r="K890" s="60" t="str">
        <f t="shared" si="39"/>
        <v/>
      </c>
      <c r="L890" s="87"/>
      <c r="M890" s="60">
        <f t="shared" si="40"/>
        <v>1900</v>
      </c>
      <c r="N890" s="60">
        <f t="shared" si="41"/>
        <v>1</v>
      </c>
    </row>
    <row r="891" customHeight="1" spans="2:14">
      <c r="B891" s="86">
        <v>889</v>
      </c>
      <c r="C891" s="87"/>
      <c r="D891" s="87"/>
      <c r="E891" s="60" t="str">
        <f>IFERROR(VLOOKUP(D891,'基础-领用人及部门'!$C:$D,2,FALSE),"-")</f>
        <v>-</v>
      </c>
      <c r="F891" s="87"/>
      <c r="G891" s="60" t="str">
        <f>IFERROR(VLOOKUP($F891,'基础-办公用品信息'!$C:$E,2,FALSE),"-")</f>
        <v>-</v>
      </c>
      <c r="H891" s="60" t="str">
        <f>IFERROR(VLOOKUP($F891,'基础-办公用品信息'!$C:$E,3,FALSE),"-")</f>
        <v>-</v>
      </c>
      <c r="I891" s="60"/>
      <c r="J891" s="60" t="str">
        <f>IFERROR(VLOOKUP($F891,'基础-办公用品信息'!$C:$F,4,FALSE),"-")</f>
        <v>-</v>
      </c>
      <c r="K891" s="60" t="str">
        <f t="shared" si="39"/>
        <v/>
      </c>
      <c r="L891" s="87"/>
      <c r="M891" s="60">
        <f t="shared" si="40"/>
        <v>1900</v>
      </c>
      <c r="N891" s="60">
        <f t="shared" si="41"/>
        <v>1</v>
      </c>
    </row>
    <row r="892" customHeight="1" spans="2:14">
      <c r="B892" s="86">
        <v>890</v>
      </c>
      <c r="C892" s="87"/>
      <c r="D892" s="87"/>
      <c r="E892" s="60" t="str">
        <f>IFERROR(VLOOKUP(D892,'基础-领用人及部门'!$C:$D,2,FALSE),"-")</f>
        <v>-</v>
      </c>
      <c r="F892" s="87"/>
      <c r="G892" s="60" t="str">
        <f>IFERROR(VLOOKUP($F892,'基础-办公用品信息'!$C:$E,2,FALSE),"-")</f>
        <v>-</v>
      </c>
      <c r="H892" s="60" t="str">
        <f>IFERROR(VLOOKUP($F892,'基础-办公用品信息'!$C:$E,3,FALSE),"-")</f>
        <v>-</v>
      </c>
      <c r="I892" s="60"/>
      <c r="J892" s="60" t="str">
        <f>IFERROR(VLOOKUP($F892,'基础-办公用品信息'!$C:$F,4,FALSE),"-")</f>
        <v>-</v>
      </c>
      <c r="K892" s="60" t="str">
        <f t="shared" si="39"/>
        <v/>
      </c>
      <c r="L892" s="87"/>
      <c r="M892" s="60">
        <f t="shared" si="40"/>
        <v>1900</v>
      </c>
      <c r="N892" s="60">
        <f t="shared" si="41"/>
        <v>1</v>
      </c>
    </row>
    <row r="893" customHeight="1" spans="2:14">
      <c r="B893" s="86">
        <v>891</v>
      </c>
      <c r="C893" s="87"/>
      <c r="D893" s="87"/>
      <c r="E893" s="60" t="str">
        <f>IFERROR(VLOOKUP(D893,'基础-领用人及部门'!$C:$D,2,FALSE),"-")</f>
        <v>-</v>
      </c>
      <c r="F893" s="87"/>
      <c r="G893" s="60" t="str">
        <f>IFERROR(VLOOKUP($F893,'基础-办公用品信息'!$C:$E,2,FALSE),"-")</f>
        <v>-</v>
      </c>
      <c r="H893" s="60" t="str">
        <f>IFERROR(VLOOKUP($F893,'基础-办公用品信息'!$C:$E,3,FALSE),"-")</f>
        <v>-</v>
      </c>
      <c r="I893" s="60"/>
      <c r="J893" s="60" t="str">
        <f>IFERROR(VLOOKUP($F893,'基础-办公用品信息'!$C:$F,4,FALSE),"-")</f>
        <v>-</v>
      </c>
      <c r="K893" s="60" t="str">
        <f t="shared" si="39"/>
        <v/>
      </c>
      <c r="L893" s="87"/>
      <c r="M893" s="60">
        <f t="shared" si="40"/>
        <v>1900</v>
      </c>
      <c r="N893" s="60">
        <f t="shared" si="41"/>
        <v>1</v>
      </c>
    </row>
    <row r="894" customHeight="1" spans="2:14">
      <c r="B894" s="86">
        <v>892</v>
      </c>
      <c r="C894" s="87"/>
      <c r="D894" s="87"/>
      <c r="E894" s="60" t="str">
        <f>IFERROR(VLOOKUP(D894,'基础-领用人及部门'!$C:$D,2,FALSE),"-")</f>
        <v>-</v>
      </c>
      <c r="F894" s="87"/>
      <c r="G894" s="60" t="str">
        <f>IFERROR(VLOOKUP($F894,'基础-办公用品信息'!$C:$E,2,FALSE),"-")</f>
        <v>-</v>
      </c>
      <c r="H894" s="60" t="str">
        <f>IFERROR(VLOOKUP($F894,'基础-办公用品信息'!$C:$E,3,FALSE),"-")</f>
        <v>-</v>
      </c>
      <c r="I894" s="60"/>
      <c r="J894" s="60" t="str">
        <f>IFERROR(VLOOKUP($F894,'基础-办公用品信息'!$C:$F,4,FALSE),"-")</f>
        <v>-</v>
      </c>
      <c r="K894" s="60" t="str">
        <f t="shared" si="39"/>
        <v/>
      </c>
      <c r="L894" s="87"/>
      <c r="M894" s="60">
        <f t="shared" si="40"/>
        <v>1900</v>
      </c>
      <c r="N894" s="60">
        <f t="shared" si="41"/>
        <v>1</v>
      </c>
    </row>
    <row r="895" customHeight="1" spans="2:14">
      <c r="B895" s="86">
        <v>893</v>
      </c>
      <c r="C895" s="87"/>
      <c r="D895" s="87"/>
      <c r="E895" s="60" t="str">
        <f>IFERROR(VLOOKUP(D895,'基础-领用人及部门'!$C:$D,2,FALSE),"-")</f>
        <v>-</v>
      </c>
      <c r="F895" s="87"/>
      <c r="G895" s="60" t="str">
        <f>IFERROR(VLOOKUP($F895,'基础-办公用品信息'!$C:$E,2,FALSE),"-")</f>
        <v>-</v>
      </c>
      <c r="H895" s="60" t="str">
        <f>IFERROR(VLOOKUP($F895,'基础-办公用品信息'!$C:$E,3,FALSE),"-")</f>
        <v>-</v>
      </c>
      <c r="I895" s="60"/>
      <c r="J895" s="60" t="str">
        <f>IFERROR(VLOOKUP($F895,'基础-办公用品信息'!$C:$F,4,FALSE),"-")</f>
        <v>-</v>
      </c>
      <c r="K895" s="60" t="str">
        <f t="shared" si="39"/>
        <v/>
      </c>
      <c r="L895" s="87"/>
      <c r="M895" s="60">
        <f t="shared" si="40"/>
        <v>1900</v>
      </c>
      <c r="N895" s="60">
        <f t="shared" si="41"/>
        <v>1</v>
      </c>
    </row>
    <row r="896" customHeight="1" spans="2:14">
      <c r="B896" s="86">
        <v>894</v>
      </c>
      <c r="C896" s="87"/>
      <c r="D896" s="87"/>
      <c r="E896" s="60" t="str">
        <f>IFERROR(VLOOKUP(D896,'基础-领用人及部门'!$C:$D,2,FALSE),"-")</f>
        <v>-</v>
      </c>
      <c r="F896" s="87"/>
      <c r="G896" s="60" t="str">
        <f>IFERROR(VLOOKUP($F896,'基础-办公用品信息'!$C:$E,2,FALSE),"-")</f>
        <v>-</v>
      </c>
      <c r="H896" s="60" t="str">
        <f>IFERROR(VLOOKUP($F896,'基础-办公用品信息'!$C:$E,3,FALSE),"-")</f>
        <v>-</v>
      </c>
      <c r="I896" s="60"/>
      <c r="J896" s="60" t="str">
        <f>IFERROR(VLOOKUP($F896,'基础-办公用品信息'!$C:$F,4,FALSE),"-")</f>
        <v>-</v>
      </c>
      <c r="K896" s="60" t="str">
        <f t="shared" si="39"/>
        <v/>
      </c>
      <c r="L896" s="87"/>
      <c r="M896" s="60">
        <f t="shared" si="40"/>
        <v>1900</v>
      </c>
      <c r="N896" s="60">
        <f t="shared" si="41"/>
        <v>1</v>
      </c>
    </row>
    <row r="897" customHeight="1" spans="2:14">
      <c r="B897" s="86">
        <v>895</v>
      </c>
      <c r="C897" s="87"/>
      <c r="D897" s="87"/>
      <c r="E897" s="60" t="str">
        <f>IFERROR(VLOOKUP(D897,'基础-领用人及部门'!$C:$D,2,FALSE),"-")</f>
        <v>-</v>
      </c>
      <c r="F897" s="87"/>
      <c r="G897" s="60" t="str">
        <f>IFERROR(VLOOKUP($F897,'基础-办公用品信息'!$C:$E,2,FALSE),"-")</f>
        <v>-</v>
      </c>
      <c r="H897" s="60" t="str">
        <f>IFERROR(VLOOKUP($F897,'基础-办公用品信息'!$C:$E,3,FALSE),"-")</f>
        <v>-</v>
      </c>
      <c r="I897" s="60"/>
      <c r="J897" s="60" t="str">
        <f>IFERROR(VLOOKUP($F897,'基础-办公用品信息'!$C:$F,4,FALSE),"-")</f>
        <v>-</v>
      </c>
      <c r="K897" s="60" t="str">
        <f t="shared" si="39"/>
        <v/>
      </c>
      <c r="L897" s="87"/>
      <c r="M897" s="60">
        <f t="shared" si="40"/>
        <v>1900</v>
      </c>
      <c r="N897" s="60">
        <f t="shared" si="41"/>
        <v>1</v>
      </c>
    </row>
    <row r="898" customHeight="1" spans="2:14">
      <c r="B898" s="86">
        <v>896</v>
      </c>
      <c r="C898" s="87"/>
      <c r="D898" s="87"/>
      <c r="E898" s="60" t="str">
        <f>IFERROR(VLOOKUP(D898,'基础-领用人及部门'!$C:$D,2,FALSE),"-")</f>
        <v>-</v>
      </c>
      <c r="F898" s="87"/>
      <c r="G898" s="60" t="str">
        <f>IFERROR(VLOOKUP($F898,'基础-办公用品信息'!$C:$E,2,FALSE),"-")</f>
        <v>-</v>
      </c>
      <c r="H898" s="60" t="str">
        <f>IFERROR(VLOOKUP($F898,'基础-办公用品信息'!$C:$E,3,FALSE),"-")</f>
        <v>-</v>
      </c>
      <c r="I898" s="60"/>
      <c r="J898" s="60" t="str">
        <f>IFERROR(VLOOKUP($F898,'基础-办公用品信息'!$C:$F,4,FALSE),"-")</f>
        <v>-</v>
      </c>
      <c r="K898" s="60" t="str">
        <f t="shared" si="39"/>
        <v/>
      </c>
      <c r="L898" s="87"/>
      <c r="M898" s="60">
        <f t="shared" si="40"/>
        <v>1900</v>
      </c>
      <c r="N898" s="60">
        <f t="shared" si="41"/>
        <v>1</v>
      </c>
    </row>
    <row r="899" customHeight="1" spans="2:14">
      <c r="B899" s="86">
        <v>897</v>
      </c>
      <c r="C899" s="87"/>
      <c r="D899" s="87"/>
      <c r="E899" s="60" t="str">
        <f>IFERROR(VLOOKUP(D899,'基础-领用人及部门'!$C:$D,2,FALSE),"-")</f>
        <v>-</v>
      </c>
      <c r="F899" s="87"/>
      <c r="G899" s="60" t="str">
        <f>IFERROR(VLOOKUP($F899,'基础-办公用品信息'!$C:$E,2,FALSE),"-")</f>
        <v>-</v>
      </c>
      <c r="H899" s="60" t="str">
        <f>IFERROR(VLOOKUP($F899,'基础-办公用品信息'!$C:$E,3,FALSE),"-")</f>
        <v>-</v>
      </c>
      <c r="I899" s="60"/>
      <c r="J899" s="60" t="str">
        <f>IFERROR(VLOOKUP($F899,'基础-办公用品信息'!$C:$F,4,FALSE),"-")</f>
        <v>-</v>
      </c>
      <c r="K899" s="60" t="str">
        <f t="shared" ref="K899:K962" si="42">IFERROR(I899*J899,"")</f>
        <v/>
      </c>
      <c r="L899" s="87"/>
      <c r="M899" s="60">
        <f t="shared" ref="M899:M962" si="43">YEAR(C899)</f>
        <v>1900</v>
      </c>
      <c r="N899" s="60">
        <f t="shared" ref="N899:N962" si="44">MONTH(C899)</f>
        <v>1</v>
      </c>
    </row>
    <row r="900" customHeight="1" spans="2:14">
      <c r="B900" s="86">
        <v>898</v>
      </c>
      <c r="C900" s="87"/>
      <c r="D900" s="87"/>
      <c r="E900" s="60" t="str">
        <f>IFERROR(VLOOKUP(D900,'基础-领用人及部门'!$C:$D,2,FALSE),"-")</f>
        <v>-</v>
      </c>
      <c r="F900" s="87"/>
      <c r="G900" s="60" t="str">
        <f>IFERROR(VLOOKUP($F900,'基础-办公用品信息'!$C:$E,2,FALSE),"-")</f>
        <v>-</v>
      </c>
      <c r="H900" s="60" t="str">
        <f>IFERROR(VLOOKUP($F900,'基础-办公用品信息'!$C:$E,3,FALSE),"-")</f>
        <v>-</v>
      </c>
      <c r="I900" s="60"/>
      <c r="J900" s="60" t="str">
        <f>IFERROR(VLOOKUP($F900,'基础-办公用品信息'!$C:$F,4,FALSE),"-")</f>
        <v>-</v>
      </c>
      <c r="K900" s="60" t="str">
        <f t="shared" si="42"/>
        <v/>
      </c>
      <c r="L900" s="87"/>
      <c r="M900" s="60">
        <f t="shared" si="43"/>
        <v>1900</v>
      </c>
      <c r="N900" s="60">
        <f t="shared" si="44"/>
        <v>1</v>
      </c>
    </row>
    <row r="901" customHeight="1" spans="2:14">
      <c r="B901" s="86">
        <v>899</v>
      </c>
      <c r="C901" s="87"/>
      <c r="D901" s="87"/>
      <c r="E901" s="60" t="str">
        <f>IFERROR(VLOOKUP(D901,'基础-领用人及部门'!$C:$D,2,FALSE),"-")</f>
        <v>-</v>
      </c>
      <c r="F901" s="87"/>
      <c r="G901" s="60" t="str">
        <f>IFERROR(VLOOKUP($F901,'基础-办公用品信息'!$C:$E,2,FALSE),"-")</f>
        <v>-</v>
      </c>
      <c r="H901" s="60" t="str">
        <f>IFERROR(VLOOKUP($F901,'基础-办公用品信息'!$C:$E,3,FALSE),"-")</f>
        <v>-</v>
      </c>
      <c r="I901" s="60"/>
      <c r="J901" s="60" t="str">
        <f>IFERROR(VLOOKUP($F901,'基础-办公用品信息'!$C:$F,4,FALSE),"-")</f>
        <v>-</v>
      </c>
      <c r="K901" s="60" t="str">
        <f t="shared" si="42"/>
        <v/>
      </c>
      <c r="L901" s="87"/>
      <c r="M901" s="60">
        <f t="shared" si="43"/>
        <v>1900</v>
      </c>
      <c r="N901" s="60">
        <f t="shared" si="44"/>
        <v>1</v>
      </c>
    </row>
    <row r="902" customHeight="1" spans="2:14">
      <c r="B902" s="86">
        <v>900</v>
      </c>
      <c r="C902" s="87"/>
      <c r="D902" s="87"/>
      <c r="E902" s="60" t="str">
        <f>IFERROR(VLOOKUP(D902,'基础-领用人及部门'!$C:$D,2,FALSE),"-")</f>
        <v>-</v>
      </c>
      <c r="F902" s="87"/>
      <c r="G902" s="60" t="str">
        <f>IFERROR(VLOOKUP($F902,'基础-办公用品信息'!$C:$E,2,FALSE),"-")</f>
        <v>-</v>
      </c>
      <c r="H902" s="60" t="str">
        <f>IFERROR(VLOOKUP($F902,'基础-办公用品信息'!$C:$E,3,FALSE),"-")</f>
        <v>-</v>
      </c>
      <c r="I902" s="60"/>
      <c r="J902" s="60" t="str">
        <f>IFERROR(VLOOKUP($F902,'基础-办公用品信息'!$C:$F,4,FALSE),"-")</f>
        <v>-</v>
      </c>
      <c r="K902" s="60" t="str">
        <f t="shared" si="42"/>
        <v/>
      </c>
      <c r="L902" s="87"/>
      <c r="M902" s="60">
        <f t="shared" si="43"/>
        <v>1900</v>
      </c>
      <c r="N902" s="60">
        <f t="shared" si="44"/>
        <v>1</v>
      </c>
    </row>
    <row r="903" customHeight="1" spans="2:14">
      <c r="B903" s="86">
        <v>901</v>
      </c>
      <c r="C903" s="87"/>
      <c r="D903" s="87"/>
      <c r="E903" s="60" t="str">
        <f>IFERROR(VLOOKUP(D903,'基础-领用人及部门'!$C:$D,2,FALSE),"-")</f>
        <v>-</v>
      </c>
      <c r="F903" s="87"/>
      <c r="G903" s="60" t="str">
        <f>IFERROR(VLOOKUP($F903,'基础-办公用品信息'!$C:$E,2,FALSE),"-")</f>
        <v>-</v>
      </c>
      <c r="H903" s="60" t="str">
        <f>IFERROR(VLOOKUP($F903,'基础-办公用品信息'!$C:$E,3,FALSE),"-")</f>
        <v>-</v>
      </c>
      <c r="I903" s="60"/>
      <c r="J903" s="60" t="str">
        <f>IFERROR(VLOOKUP($F903,'基础-办公用品信息'!$C:$F,4,FALSE),"-")</f>
        <v>-</v>
      </c>
      <c r="K903" s="60" t="str">
        <f t="shared" si="42"/>
        <v/>
      </c>
      <c r="L903" s="87"/>
      <c r="M903" s="60">
        <f t="shared" si="43"/>
        <v>1900</v>
      </c>
      <c r="N903" s="60">
        <f t="shared" si="44"/>
        <v>1</v>
      </c>
    </row>
    <row r="904" customHeight="1" spans="2:14">
      <c r="B904" s="86">
        <v>902</v>
      </c>
      <c r="C904" s="87"/>
      <c r="D904" s="87"/>
      <c r="E904" s="60" t="str">
        <f>IFERROR(VLOOKUP(D904,'基础-领用人及部门'!$C:$D,2,FALSE),"-")</f>
        <v>-</v>
      </c>
      <c r="F904" s="87"/>
      <c r="G904" s="60" t="str">
        <f>IFERROR(VLOOKUP($F904,'基础-办公用品信息'!$C:$E,2,FALSE),"-")</f>
        <v>-</v>
      </c>
      <c r="H904" s="60" t="str">
        <f>IFERROR(VLOOKUP($F904,'基础-办公用品信息'!$C:$E,3,FALSE),"-")</f>
        <v>-</v>
      </c>
      <c r="I904" s="60"/>
      <c r="J904" s="60" t="str">
        <f>IFERROR(VLOOKUP($F904,'基础-办公用品信息'!$C:$F,4,FALSE),"-")</f>
        <v>-</v>
      </c>
      <c r="K904" s="60" t="str">
        <f t="shared" si="42"/>
        <v/>
      </c>
      <c r="L904" s="87"/>
      <c r="M904" s="60">
        <f t="shared" si="43"/>
        <v>1900</v>
      </c>
      <c r="N904" s="60">
        <f t="shared" si="44"/>
        <v>1</v>
      </c>
    </row>
    <row r="905" customHeight="1" spans="2:14">
      <c r="B905" s="86">
        <v>903</v>
      </c>
      <c r="C905" s="87"/>
      <c r="D905" s="87"/>
      <c r="E905" s="60" t="str">
        <f>IFERROR(VLOOKUP(D905,'基础-领用人及部门'!$C:$D,2,FALSE),"-")</f>
        <v>-</v>
      </c>
      <c r="F905" s="87"/>
      <c r="G905" s="60" t="str">
        <f>IFERROR(VLOOKUP($F905,'基础-办公用品信息'!$C:$E,2,FALSE),"-")</f>
        <v>-</v>
      </c>
      <c r="H905" s="60" t="str">
        <f>IFERROR(VLOOKUP($F905,'基础-办公用品信息'!$C:$E,3,FALSE),"-")</f>
        <v>-</v>
      </c>
      <c r="I905" s="60"/>
      <c r="J905" s="60" t="str">
        <f>IFERROR(VLOOKUP($F905,'基础-办公用品信息'!$C:$F,4,FALSE),"-")</f>
        <v>-</v>
      </c>
      <c r="K905" s="60" t="str">
        <f t="shared" si="42"/>
        <v/>
      </c>
      <c r="L905" s="87"/>
      <c r="M905" s="60">
        <f t="shared" si="43"/>
        <v>1900</v>
      </c>
      <c r="N905" s="60">
        <f t="shared" si="44"/>
        <v>1</v>
      </c>
    </row>
    <row r="906" customHeight="1" spans="2:14">
      <c r="B906" s="86">
        <v>904</v>
      </c>
      <c r="C906" s="87"/>
      <c r="D906" s="87"/>
      <c r="E906" s="60" t="str">
        <f>IFERROR(VLOOKUP(D906,'基础-领用人及部门'!$C:$D,2,FALSE),"-")</f>
        <v>-</v>
      </c>
      <c r="F906" s="87"/>
      <c r="G906" s="60" t="str">
        <f>IFERROR(VLOOKUP($F906,'基础-办公用品信息'!$C:$E,2,FALSE),"-")</f>
        <v>-</v>
      </c>
      <c r="H906" s="60" t="str">
        <f>IFERROR(VLOOKUP($F906,'基础-办公用品信息'!$C:$E,3,FALSE),"-")</f>
        <v>-</v>
      </c>
      <c r="I906" s="60"/>
      <c r="J906" s="60" t="str">
        <f>IFERROR(VLOOKUP($F906,'基础-办公用品信息'!$C:$F,4,FALSE),"-")</f>
        <v>-</v>
      </c>
      <c r="K906" s="60" t="str">
        <f t="shared" si="42"/>
        <v/>
      </c>
      <c r="L906" s="87"/>
      <c r="M906" s="60">
        <f t="shared" si="43"/>
        <v>1900</v>
      </c>
      <c r="N906" s="60">
        <f t="shared" si="44"/>
        <v>1</v>
      </c>
    </row>
    <row r="907" customHeight="1" spans="2:14">
      <c r="B907" s="86">
        <v>905</v>
      </c>
      <c r="C907" s="87"/>
      <c r="D907" s="87"/>
      <c r="E907" s="60" t="str">
        <f>IFERROR(VLOOKUP(D907,'基础-领用人及部门'!$C:$D,2,FALSE),"-")</f>
        <v>-</v>
      </c>
      <c r="F907" s="87"/>
      <c r="G907" s="60" t="str">
        <f>IFERROR(VLOOKUP($F907,'基础-办公用品信息'!$C:$E,2,FALSE),"-")</f>
        <v>-</v>
      </c>
      <c r="H907" s="60" t="str">
        <f>IFERROR(VLOOKUP($F907,'基础-办公用品信息'!$C:$E,3,FALSE),"-")</f>
        <v>-</v>
      </c>
      <c r="I907" s="60"/>
      <c r="J907" s="60" t="str">
        <f>IFERROR(VLOOKUP($F907,'基础-办公用品信息'!$C:$F,4,FALSE),"-")</f>
        <v>-</v>
      </c>
      <c r="K907" s="60" t="str">
        <f t="shared" si="42"/>
        <v/>
      </c>
      <c r="L907" s="87"/>
      <c r="M907" s="60">
        <f t="shared" si="43"/>
        <v>1900</v>
      </c>
      <c r="N907" s="60">
        <f t="shared" si="44"/>
        <v>1</v>
      </c>
    </row>
    <row r="908" customHeight="1" spans="2:14">
      <c r="B908" s="86">
        <v>906</v>
      </c>
      <c r="C908" s="87"/>
      <c r="D908" s="87"/>
      <c r="E908" s="60" t="str">
        <f>IFERROR(VLOOKUP(D908,'基础-领用人及部门'!$C:$D,2,FALSE),"-")</f>
        <v>-</v>
      </c>
      <c r="F908" s="87"/>
      <c r="G908" s="60" t="str">
        <f>IFERROR(VLOOKUP($F908,'基础-办公用品信息'!$C:$E,2,FALSE),"-")</f>
        <v>-</v>
      </c>
      <c r="H908" s="60" t="str">
        <f>IFERROR(VLOOKUP($F908,'基础-办公用品信息'!$C:$E,3,FALSE),"-")</f>
        <v>-</v>
      </c>
      <c r="I908" s="60"/>
      <c r="J908" s="60" t="str">
        <f>IFERROR(VLOOKUP($F908,'基础-办公用品信息'!$C:$F,4,FALSE),"-")</f>
        <v>-</v>
      </c>
      <c r="K908" s="60" t="str">
        <f t="shared" si="42"/>
        <v/>
      </c>
      <c r="L908" s="87"/>
      <c r="M908" s="60">
        <f t="shared" si="43"/>
        <v>1900</v>
      </c>
      <c r="N908" s="60">
        <f t="shared" si="44"/>
        <v>1</v>
      </c>
    </row>
    <row r="909" customHeight="1" spans="2:14">
      <c r="B909" s="86">
        <v>907</v>
      </c>
      <c r="C909" s="87"/>
      <c r="D909" s="87"/>
      <c r="E909" s="60" t="str">
        <f>IFERROR(VLOOKUP(D909,'基础-领用人及部门'!$C:$D,2,FALSE),"-")</f>
        <v>-</v>
      </c>
      <c r="F909" s="87"/>
      <c r="G909" s="60" t="str">
        <f>IFERROR(VLOOKUP($F909,'基础-办公用品信息'!$C:$E,2,FALSE),"-")</f>
        <v>-</v>
      </c>
      <c r="H909" s="60" t="str">
        <f>IFERROR(VLOOKUP($F909,'基础-办公用品信息'!$C:$E,3,FALSE),"-")</f>
        <v>-</v>
      </c>
      <c r="I909" s="60"/>
      <c r="J909" s="60" t="str">
        <f>IFERROR(VLOOKUP($F909,'基础-办公用品信息'!$C:$F,4,FALSE),"-")</f>
        <v>-</v>
      </c>
      <c r="K909" s="60" t="str">
        <f t="shared" si="42"/>
        <v/>
      </c>
      <c r="L909" s="87"/>
      <c r="M909" s="60">
        <f t="shared" si="43"/>
        <v>1900</v>
      </c>
      <c r="N909" s="60">
        <f t="shared" si="44"/>
        <v>1</v>
      </c>
    </row>
    <row r="910" customHeight="1" spans="2:14">
      <c r="B910" s="86">
        <v>908</v>
      </c>
      <c r="C910" s="87"/>
      <c r="D910" s="87"/>
      <c r="E910" s="60" t="str">
        <f>IFERROR(VLOOKUP(D910,'基础-领用人及部门'!$C:$D,2,FALSE),"-")</f>
        <v>-</v>
      </c>
      <c r="F910" s="87"/>
      <c r="G910" s="60" t="str">
        <f>IFERROR(VLOOKUP($F910,'基础-办公用品信息'!$C:$E,2,FALSE),"-")</f>
        <v>-</v>
      </c>
      <c r="H910" s="60" t="str">
        <f>IFERROR(VLOOKUP($F910,'基础-办公用品信息'!$C:$E,3,FALSE),"-")</f>
        <v>-</v>
      </c>
      <c r="I910" s="60"/>
      <c r="J910" s="60" t="str">
        <f>IFERROR(VLOOKUP($F910,'基础-办公用品信息'!$C:$F,4,FALSE),"-")</f>
        <v>-</v>
      </c>
      <c r="K910" s="60" t="str">
        <f t="shared" si="42"/>
        <v/>
      </c>
      <c r="L910" s="87"/>
      <c r="M910" s="60">
        <f t="shared" si="43"/>
        <v>1900</v>
      </c>
      <c r="N910" s="60">
        <f t="shared" si="44"/>
        <v>1</v>
      </c>
    </row>
    <row r="911" customHeight="1" spans="2:14">
      <c r="B911" s="86">
        <v>909</v>
      </c>
      <c r="C911" s="87"/>
      <c r="D911" s="87"/>
      <c r="E911" s="60" t="str">
        <f>IFERROR(VLOOKUP(D911,'基础-领用人及部门'!$C:$D,2,FALSE),"-")</f>
        <v>-</v>
      </c>
      <c r="F911" s="87"/>
      <c r="G911" s="60" t="str">
        <f>IFERROR(VLOOKUP($F911,'基础-办公用品信息'!$C:$E,2,FALSE),"-")</f>
        <v>-</v>
      </c>
      <c r="H911" s="60" t="str">
        <f>IFERROR(VLOOKUP($F911,'基础-办公用品信息'!$C:$E,3,FALSE),"-")</f>
        <v>-</v>
      </c>
      <c r="I911" s="60"/>
      <c r="J911" s="60" t="str">
        <f>IFERROR(VLOOKUP($F911,'基础-办公用品信息'!$C:$F,4,FALSE),"-")</f>
        <v>-</v>
      </c>
      <c r="K911" s="60" t="str">
        <f t="shared" si="42"/>
        <v/>
      </c>
      <c r="L911" s="87"/>
      <c r="M911" s="60">
        <f t="shared" si="43"/>
        <v>1900</v>
      </c>
      <c r="N911" s="60">
        <f t="shared" si="44"/>
        <v>1</v>
      </c>
    </row>
    <row r="912" customHeight="1" spans="2:14">
      <c r="B912" s="86">
        <v>910</v>
      </c>
      <c r="C912" s="87"/>
      <c r="D912" s="87"/>
      <c r="E912" s="60" t="str">
        <f>IFERROR(VLOOKUP(D912,'基础-领用人及部门'!$C:$D,2,FALSE),"-")</f>
        <v>-</v>
      </c>
      <c r="F912" s="87"/>
      <c r="G912" s="60" t="str">
        <f>IFERROR(VLOOKUP($F912,'基础-办公用品信息'!$C:$E,2,FALSE),"-")</f>
        <v>-</v>
      </c>
      <c r="H912" s="60" t="str">
        <f>IFERROR(VLOOKUP($F912,'基础-办公用品信息'!$C:$E,3,FALSE),"-")</f>
        <v>-</v>
      </c>
      <c r="I912" s="60"/>
      <c r="J912" s="60" t="str">
        <f>IFERROR(VLOOKUP($F912,'基础-办公用品信息'!$C:$F,4,FALSE),"-")</f>
        <v>-</v>
      </c>
      <c r="K912" s="60" t="str">
        <f t="shared" si="42"/>
        <v/>
      </c>
      <c r="L912" s="87"/>
      <c r="M912" s="60">
        <f t="shared" si="43"/>
        <v>1900</v>
      </c>
      <c r="N912" s="60">
        <f t="shared" si="44"/>
        <v>1</v>
      </c>
    </row>
    <row r="913" customHeight="1" spans="2:14">
      <c r="B913" s="86">
        <v>911</v>
      </c>
      <c r="C913" s="87"/>
      <c r="D913" s="87"/>
      <c r="E913" s="60" t="str">
        <f>IFERROR(VLOOKUP(D913,'基础-领用人及部门'!$C:$D,2,FALSE),"-")</f>
        <v>-</v>
      </c>
      <c r="F913" s="87"/>
      <c r="G913" s="60" t="str">
        <f>IFERROR(VLOOKUP($F913,'基础-办公用品信息'!$C:$E,2,FALSE),"-")</f>
        <v>-</v>
      </c>
      <c r="H913" s="60" t="str">
        <f>IFERROR(VLOOKUP($F913,'基础-办公用品信息'!$C:$E,3,FALSE),"-")</f>
        <v>-</v>
      </c>
      <c r="I913" s="60"/>
      <c r="J913" s="60" t="str">
        <f>IFERROR(VLOOKUP($F913,'基础-办公用品信息'!$C:$F,4,FALSE),"-")</f>
        <v>-</v>
      </c>
      <c r="K913" s="60" t="str">
        <f t="shared" si="42"/>
        <v/>
      </c>
      <c r="L913" s="87"/>
      <c r="M913" s="60">
        <f t="shared" si="43"/>
        <v>1900</v>
      </c>
      <c r="N913" s="60">
        <f t="shared" si="44"/>
        <v>1</v>
      </c>
    </row>
    <row r="914" customHeight="1" spans="2:14">
      <c r="B914" s="86">
        <v>912</v>
      </c>
      <c r="C914" s="87"/>
      <c r="D914" s="87"/>
      <c r="E914" s="60" t="str">
        <f>IFERROR(VLOOKUP(D914,'基础-领用人及部门'!$C:$D,2,FALSE),"-")</f>
        <v>-</v>
      </c>
      <c r="F914" s="87"/>
      <c r="G914" s="60" t="str">
        <f>IFERROR(VLOOKUP($F914,'基础-办公用品信息'!$C:$E,2,FALSE),"-")</f>
        <v>-</v>
      </c>
      <c r="H914" s="60" t="str">
        <f>IFERROR(VLOOKUP($F914,'基础-办公用品信息'!$C:$E,3,FALSE),"-")</f>
        <v>-</v>
      </c>
      <c r="I914" s="60"/>
      <c r="J914" s="60" t="str">
        <f>IFERROR(VLOOKUP($F914,'基础-办公用品信息'!$C:$F,4,FALSE),"-")</f>
        <v>-</v>
      </c>
      <c r="K914" s="60" t="str">
        <f t="shared" si="42"/>
        <v/>
      </c>
      <c r="L914" s="87"/>
      <c r="M914" s="60">
        <f t="shared" si="43"/>
        <v>1900</v>
      </c>
      <c r="N914" s="60">
        <f t="shared" si="44"/>
        <v>1</v>
      </c>
    </row>
    <row r="915" customHeight="1" spans="2:14">
      <c r="B915" s="86">
        <v>913</v>
      </c>
      <c r="C915" s="87"/>
      <c r="D915" s="87"/>
      <c r="E915" s="60" t="str">
        <f>IFERROR(VLOOKUP(D915,'基础-领用人及部门'!$C:$D,2,FALSE),"-")</f>
        <v>-</v>
      </c>
      <c r="F915" s="87"/>
      <c r="G915" s="60" t="str">
        <f>IFERROR(VLOOKUP($F915,'基础-办公用品信息'!$C:$E,2,FALSE),"-")</f>
        <v>-</v>
      </c>
      <c r="H915" s="60" t="str">
        <f>IFERROR(VLOOKUP($F915,'基础-办公用品信息'!$C:$E,3,FALSE),"-")</f>
        <v>-</v>
      </c>
      <c r="I915" s="60"/>
      <c r="J915" s="60" t="str">
        <f>IFERROR(VLOOKUP($F915,'基础-办公用品信息'!$C:$F,4,FALSE),"-")</f>
        <v>-</v>
      </c>
      <c r="K915" s="60" t="str">
        <f t="shared" si="42"/>
        <v/>
      </c>
      <c r="L915" s="87"/>
      <c r="M915" s="60">
        <f t="shared" si="43"/>
        <v>1900</v>
      </c>
      <c r="N915" s="60">
        <f t="shared" si="44"/>
        <v>1</v>
      </c>
    </row>
    <row r="916" customHeight="1" spans="2:14">
      <c r="B916" s="86">
        <v>914</v>
      </c>
      <c r="C916" s="87"/>
      <c r="D916" s="87"/>
      <c r="E916" s="60" t="str">
        <f>IFERROR(VLOOKUP(D916,'基础-领用人及部门'!$C:$D,2,FALSE),"-")</f>
        <v>-</v>
      </c>
      <c r="F916" s="87"/>
      <c r="G916" s="60" t="str">
        <f>IFERROR(VLOOKUP($F916,'基础-办公用品信息'!$C:$E,2,FALSE),"-")</f>
        <v>-</v>
      </c>
      <c r="H916" s="60" t="str">
        <f>IFERROR(VLOOKUP($F916,'基础-办公用品信息'!$C:$E,3,FALSE),"-")</f>
        <v>-</v>
      </c>
      <c r="I916" s="60"/>
      <c r="J916" s="60" t="str">
        <f>IFERROR(VLOOKUP($F916,'基础-办公用品信息'!$C:$F,4,FALSE),"-")</f>
        <v>-</v>
      </c>
      <c r="K916" s="60" t="str">
        <f t="shared" si="42"/>
        <v/>
      </c>
      <c r="L916" s="87"/>
      <c r="M916" s="60">
        <f t="shared" si="43"/>
        <v>1900</v>
      </c>
      <c r="N916" s="60">
        <f t="shared" si="44"/>
        <v>1</v>
      </c>
    </row>
    <row r="917" customHeight="1" spans="2:14">
      <c r="B917" s="86">
        <v>915</v>
      </c>
      <c r="C917" s="87"/>
      <c r="D917" s="87"/>
      <c r="E917" s="60" t="str">
        <f>IFERROR(VLOOKUP(D917,'基础-领用人及部门'!$C:$D,2,FALSE),"-")</f>
        <v>-</v>
      </c>
      <c r="F917" s="87"/>
      <c r="G917" s="60" t="str">
        <f>IFERROR(VLOOKUP($F917,'基础-办公用品信息'!$C:$E,2,FALSE),"-")</f>
        <v>-</v>
      </c>
      <c r="H917" s="60" t="str">
        <f>IFERROR(VLOOKUP($F917,'基础-办公用品信息'!$C:$E,3,FALSE),"-")</f>
        <v>-</v>
      </c>
      <c r="I917" s="60"/>
      <c r="J917" s="60" t="str">
        <f>IFERROR(VLOOKUP($F917,'基础-办公用品信息'!$C:$F,4,FALSE),"-")</f>
        <v>-</v>
      </c>
      <c r="K917" s="60" t="str">
        <f t="shared" si="42"/>
        <v/>
      </c>
      <c r="L917" s="87"/>
      <c r="M917" s="60">
        <f t="shared" si="43"/>
        <v>1900</v>
      </c>
      <c r="N917" s="60">
        <f t="shared" si="44"/>
        <v>1</v>
      </c>
    </row>
    <row r="918" customHeight="1" spans="2:14">
      <c r="B918" s="86">
        <v>916</v>
      </c>
      <c r="C918" s="87"/>
      <c r="D918" s="87"/>
      <c r="E918" s="60" t="str">
        <f>IFERROR(VLOOKUP(D918,'基础-领用人及部门'!$C:$D,2,FALSE),"-")</f>
        <v>-</v>
      </c>
      <c r="F918" s="87"/>
      <c r="G918" s="60" t="str">
        <f>IFERROR(VLOOKUP($F918,'基础-办公用品信息'!$C:$E,2,FALSE),"-")</f>
        <v>-</v>
      </c>
      <c r="H918" s="60" t="str">
        <f>IFERROR(VLOOKUP($F918,'基础-办公用品信息'!$C:$E,3,FALSE),"-")</f>
        <v>-</v>
      </c>
      <c r="I918" s="60"/>
      <c r="J918" s="60" t="str">
        <f>IFERROR(VLOOKUP($F918,'基础-办公用品信息'!$C:$F,4,FALSE),"-")</f>
        <v>-</v>
      </c>
      <c r="K918" s="60" t="str">
        <f t="shared" si="42"/>
        <v/>
      </c>
      <c r="L918" s="87"/>
      <c r="M918" s="60">
        <f t="shared" si="43"/>
        <v>1900</v>
      </c>
      <c r="N918" s="60">
        <f t="shared" si="44"/>
        <v>1</v>
      </c>
    </row>
    <row r="919" customHeight="1" spans="2:14">
      <c r="B919" s="86">
        <v>917</v>
      </c>
      <c r="C919" s="87"/>
      <c r="D919" s="87"/>
      <c r="E919" s="60" t="str">
        <f>IFERROR(VLOOKUP(D919,'基础-领用人及部门'!$C:$D,2,FALSE),"-")</f>
        <v>-</v>
      </c>
      <c r="F919" s="87"/>
      <c r="G919" s="60" t="str">
        <f>IFERROR(VLOOKUP($F919,'基础-办公用品信息'!$C:$E,2,FALSE),"-")</f>
        <v>-</v>
      </c>
      <c r="H919" s="60" t="str">
        <f>IFERROR(VLOOKUP($F919,'基础-办公用品信息'!$C:$E,3,FALSE),"-")</f>
        <v>-</v>
      </c>
      <c r="I919" s="60"/>
      <c r="J919" s="60" t="str">
        <f>IFERROR(VLOOKUP($F919,'基础-办公用品信息'!$C:$F,4,FALSE),"-")</f>
        <v>-</v>
      </c>
      <c r="K919" s="60" t="str">
        <f t="shared" si="42"/>
        <v/>
      </c>
      <c r="L919" s="87"/>
      <c r="M919" s="60">
        <f t="shared" si="43"/>
        <v>1900</v>
      </c>
      <c r="N919" s="60">
        <f t="shared" si="44"/>
        <v>1</v>
      </c>
    </row>
    <row r="920" customHeight="1" spans="2:14">
      <c r="B920" s="86">
        <v>918</v>
      </c>
      <c r="C920" s="87"/>
      <c r="D920" s="87"/>
      <c r="E920" s="60" t="str">
        <f>IFERROR(VLOOKUP(D920,'基础-领用人及部门'!$C:$D,2,FALSE),"-")</f>
        <v>-</v>
      </c>
      <c r="F920" s="87"/>
      <c r="G920" s="60" t="str">
        <f>IFERROR(VLOOKUP($F920,'基础-办公用品信息'!$C:$E,2,FALSE),"-")</f>
        <v>-</v>
      </c>
      <c r="H920" s="60" t="str">
        <f>IFERROR(VLOOKUP($F920,'基础-办公用品信息'!$C:$E,3,FALSE),"-")</f>
        <v>-</v>
      </c>
      <c r="I920" s="60"/>
      <c r="J920" s="60" t="str">
        <f>IFERROR(VLOOKUP($F920,'基础-办公用品信息'!$C:$F,4,FALSE),"-")</f>
        <v>-</v>
      </c>
      <c r="K920" s="60" t="str">
        <f t="shared" si="42"/>
        <v/>
      </c>
      <c r="L920" s="87"/>
      <c r="M920" s="60">
        <f t="shared" si="43"/>
        <v>1900</v>
      </c>
      <c r="N920" s="60">
        <f t="shared" si="44"/>
        <v>1</v>
      </c>
    </row>
    <row r="921" customHeight="1" spans="2:14">
      <c r="B921" s="86">
        <v>919</v>
      </c>
      <c r="C921" s="87"/>
      <c r="D921" s="87"/>
      <c r="E921" s="60" t="str">
        <f>IFERROR(VLOOKUP(D921,'基础-领用人及部门'!$C:$D,2,FALSE),"-")</f>
        <v>-</v>
      </c>
      <c r="F921" s="87"/>
      <c r="G921" s="60" t="str">
        <f>IFERROR(VLOOKUP($F921,'基础-办公用品信息'!$C:$E,2,FALSE),"-")</f>
        <v>-</v>
      </c>
      <c r="H921" s="60" t="str">
        <f>IFERROR(VLOOKUP($F921,'基础-办公用品信息'!$C:$E,3,FALSE),"-")</f>
        <v>-</v>
      </c>
      <c r="I921" s="60"/>
      <c r="J921" s="60" t="str">
        <f>IFERROR(VLOOKUP($F921,'基础-办公用品信息'!$C:$F,4,FALSE),"-")</f>
        <v>-</v>
      </c>
      <c r="K921" s="60" t="str">
        <f t="shared" si="42"/>
        <v/>
      </c>
      <c r="L921" s="87"/>
      <c r="M921" s="60">
        <f t="shared" si="43"/>
        <v>1900</v>
      </c>
      <c r="N921" s="60">
        <f t="shared" si="44"/>
        <v>1</v>
      </c>
    </row>
    <row r="922" customHeight="1" spans="2:14">
      <c r="B922" s="86">
        <v>920</v>
      </c>
      <c r="C922" s="87"/>
      <c r="D922" s="87"/>
      <c r="E922" s="60" t="str">
        <f>IFERROR(VLOOKUP(D922,'基础-领用人及部门'!$C:$D,2,FALSE),"-")</f>
        <v>-</v>
      </c>
      <c r="F922" s="87"/>
      <c r="G922" s="60" t="str">
        <f>IFERROR(VLOOKUP($F922,'基础-办公用品信息'!$C:$E,2,FALSE),"-")</f>
        <v>-</v>
      </c>
      <c r="H922" s="60" t="str">
        <f>IFERROR(VLOOKUP($F922,'基础-办公用品信息'!$C:$E,3,FALSE),"-")</f>
        <v>-</v>
      </c>
      <c r="I922" s="60"/>
      <c r="J922" s="60" t="str">
        <f>IFERROR(VLOOKUP($F922,'基础-办公用品信息'!$C:$F,4,FALSE),"-")</f>
        <v>-</v>
      </c>
      <c r="K922" s="60" t="str">
        <f t="shared" si="42"/>
        <v/>
      </c>
      <c r="L922" s="87"/>
      <c r="M922" s="60">
        <f t="shared" si="43"/>
        <v>1900</v>
      </c>
      <c r="N922" s="60">
        <f t="shared" si="44"/>
        <v>1</v>
      </c>
    </row>
    <row r="923" customHeight="1" spans="2:14">
      <c r="B923" s="86">
        <v>921</v>
      </c>
      <c r="C923" s="87"/>
      <c r="D923" s="87"/>
      <c r="E923" s="60" t="str">
        <f>IFERROR(VLOOKUP(D923,'基础-领用人及部门'!$C:$D,2,FALSE),"-")</f>
        <v>-</v>
      </c>
      <c r="F923" s="87"/>
      <c r="G923" s="60" t="str">
        <f>IFERROR(VLOOKUP($F923,'基础-办公用品信息'!$C:$E,2,FALSE),"-")</f>
        <v>-</v>
      </c>
      <c r="H923" s="60" t="str">
        <f>IFERROR(VLOOKUP($F923,'基础-办公用品信息'!$C:$E,3,FALSE),"-")</f>
        <v>-</v>
      </c>
      <c r="I923" s="60"/>
      <c r="J923" s="60" t="str">
        <f>IFERROR(VLOOKUP($F923,'基础-办公用品信息'!$C:$F,4,FALSE),"-")</f>
        <v>-</v>
      </c>
      <c r="K923" s="60" t="str">
        <f t="shared" si="42"/>
        <v/>
      </c>
      <c r="L923" s="87"/>
      <c r="M923" s="60">
        <f t="shared" si="43"/>
        <v>1900</v>
      </c>
      <c r="N923" s="60">
        <f t="shared" si="44"/>
        <v>1</v>
      </c>
    </row>
    <row r="924" customHeight="1" spans="2:14">
      <c r="B924" s="86">
        <v>922</v>
      </c>
      <c r="C924" s="87"/>
      <c r="D924" s="87"/>
      <c r="E924" s="60" t="str">
        <f>IFERROR(VLOOKUP(D924,'基础-领用人及部门'!$C:$D,2,FALSE),"-")</f>
        <v>-</v>
      </c>
      <c r="F924" s="87"/>
      <c r="G924" s="60" t="str">
        <f>IFERROR(VLOOKUP($F924,'基础-办公用品信息'!$C:$E,2,FALSE),"-")</f>
        <v>-</v>
      </c>
      <c r="H924" s="60" t="str">
        <f>IFERROR(VLOOKUP($F924,'基础-办公用品信息'!$C:$E,3,FALSE),"-")</f>
        <v>-</v>
      </c>
      <c r="I924" s="60"/>
      <c r="J924" s="60" t="str">
        <f>IFERROR(VLOOKUP($F924,'基础-办公用品信息'!$C:$F,4,FALSE),"-")</f>
        <v>-</v>
      </c>
      <c r="K924" s="60" t="str">
        <f t="shared" si="42"/>
        <v/>
      </c>
      <c r="L924" s="87"/>
      <c r="M924" s="60">
        <f t="shared" si="43"/>
        <v>1900</v>
      </c>
      <c r="N924" s="60">
        <f t="shared" si="44"/>
        <v>1</v>
      </c>
    </row>
    <row r="925" customHeight="1" spans="2:14">
      <c r="B925" s="86">
        <v>923</v>
      </c>
      <c r="C925" s="87"/>
      <c r="D925" s="87"/>
      <c r="E925" s="60" t="str">
        <f>IFERROR(VLOOKUP(D925,'基础-领用人及部门'!$C:$D,2,FALSE),"-")</f>
        <v>-</v>
      </c>
      <c r="F925" s="87"/>
      <c r="G925" s="60" t="str">
        <f>IFERROR(VLOOKUP($F925,'基础-办公用品信息'!$C:$E,2,FALSE),"-")</f>
        <v>-</v>
      </c>
      <c r="H925" s="60" t="str">
        <f>IFERROR(VLOOKUP($F925,'基础-办公用品信息'!$C:$E,3,FALSE),"-")</f>
        <v>-</v>
      </c>
      <c r="I925" s="60"/>
      <c r="J925" s="60" t="str">
        <f>IFERROR(VLOOKUP($F925,'基础-办公用品信息'!$C:$F,4,FALSE),"-")</f>
        <v>-</v>
      </c>
      <c r="K925" s="60" t="str">
        <f t="shared" si="42"/>
        <v/>
      </c>
      <c r="L925" s="87"/>
      <c r="M925" s="60">
        <f t="shared" si="43"/>
        <v>1900</v>
      </c>
      <c r="N925" s="60">
        <f t="shared" si="44"/>
        <v>1</v>
      </c>
    </row>
    <row r="926" customHeight="1" spans="2:14">
      <c r="B926" s="86">
        <v>924</v>
      </c>
      <c r="C926" s="87"/>
      <c r="D926" s="87"/>
      <c r="E926" s="60" t="str">
        <f>IFERROR(VLOOKUP(D926,'基础-领用人及部门'!$C:$D,2,FALSE),"-")</f>
        <v>-</v>
      </c>
      <c r="F926" s="87"/>
      <c r="G926" s="60" t="str">
        <f>IFERROR(VLOOKUP($F926,'基础-办公用品信息'!$C:$E,2,FALSE),"-")</f>
        <v>-</v>
      </c>
      <c r="H926" s="60" t="str">
        <f>IFERROR(VLOOKUP($F926,'基础-办公用品信息'!$C:$E,3,FALSE),"-")</f>
        <v>-</v>
      </c>
      <c r="I926" s="60"/>
      <c r="J926" s="60" t="str">
        <f>IFERROR(VLOOKUP($F926,'基础-办公用品信息'!$C:$F,4,FALSE),"-")</f>
        <v>-</v>
      </c>
      <c r="K926" s="60" t="str">
        <f t="shared" si="42"/>
        <v/>
      </c>
      <c r="L926" s="87"/>
      <c r="M926" s="60">
        <f t="shared" si="43"/>
        <v>1900</v>
      </c>
      <c r="N926" s="60">
        <f t="shared" si="44"/>
        <v>1</v>
      </c>
    </row>
    <row r="927" customHeight="1" spans="2:14">
      <c r="B927" s="86">
        <v>925</v>
      </c>
      <c r="C927" s="87"/>
      <c r="D927" s="87"/>
      <c r="E927" s="60" t="str">
        <f>IFERROR(VLOOKUP(D927,'基础-领用人及部门'!$C:$D,2,FALSE),"-")</f>
        <v>-</v>
      </c>
      <c r="F927" s="87"/>
      <c r="G927" s="60" t="str">
        <f>IFERROR(VLOOKUP($F927,'基础-办公用品信息'!$C:$E,2,FALSE),"-")</f>
        <v>-</v>
      </c>
      <c r="H927" s="60" t="str">
        <f>IFERROR(VLOOKUP($F927,'基础-办公用品信息'!$C:$E,3,FALSE),"-")</f>
        <v>-</v>
      </c>
      <c r="I927" s="60"/>
      <c r="J927" s="60" t="str">
        <f>IFERROR(VLOOKUP($F927,'基础-办公用品信息'!$C:$F,4,FALSE),"-")</f>
        <v>-</v>
      </c>
      <c r="K927" s="60" t="str">
        <f t="shared" si="42"/>
        <v/>
      </c>
      <c r="L927" s="87"/>
      <c r="M927" s="60">
        <f t="shared" si="43"/>
        <v>1900</v>
      </c>
      <c r="N927" s="60">
        <f t="shared" si="44"/>
        <v>1</v>
      </c>
    </row>
    <row r="928" customHeight="1" spans="2:14">
      <c r="B928" s="86">
        <v>926</v>
      </c>
      <c r="C928" s="87"/>
      <c r="D928" s="87"/>
      <c r="E928" s="60" t="str">
        <f>IFERROR(VLOOKUP(D928,'基础-领用人及部门'!$C:$D,2,FALSE),"-")</f>
        <v>-</v>
      </c>
      <c r="F928" s="87"/>
      <c r="G928" s="60" t="str">
        <f>IFERROR(VLOOKUP($F928,'基础-办公用品信息'!$C:$E,2,FALSE),"-")</f>
        <v>-</v>
      </c>
      <c r="H928" s="60" t="str">
        <f>IFERROR(VLOOKUP($F928,'基础-办公用品信息'!$C:$E,3,FALSE),"-")</f>
        <v>-</v>
      </c>
      <c r="I928" s="60"/>
      <c r="J928" s="60" t="str">
        <f>IFERROR(VLOOKUP($F928,'基础-办公用品信息'!$C:$F,4,FALSE),"-")</f>
        <v>-</v>
      </c>
      <c r="K928" s="60" t="str">
        <f t="shared" si="42"/>
        <v/>
      </c>
      <c r="L928" s="87"/>
      <c r="M928" s="60">
        <f t="shared" si="43"/>
        <v>1900</v>
      </c>
      <c r="N928" s="60">
        <f t="shared" si="44"/>
        <v>1</v>
      </c>
    </row>
    <row r="929" customHeight="1" spans="2:14">
      <c r="B929" s="86">
        <v>927</v>
      </c>
      <c r="C929" s="87"/>
      <c r="D929" s="87"/>
      <c r="E929" s="60" t="str">
        <f>IFERROR(VLOOKUP(D929,'基础-领用人及部门'!$C:$D,2,FALSE),"-")</f>
        <v>-</v>
      </c>
      <c r="F929" s="87"/>
      <c r="G929" s="60" t="str">
        <f>IFERROR(VLOOKUP($F929,'基础-办公用品信息'!$C:$E,2,FALSE),"-")</f>
        <v>-</v>
      </c>
      <c r="H929" s="60" t="str">
        <f>IFERROR(VLOOKUP($F929,'基础-办公用品信息'!$C:$E,3,FALSE),"-")</f>
        <v>-</v>
      </c>
      <c r="I929" s="60"/>
      <c r="J929" s="60" t="str">
        <f>IFERROR(VLOOKUP($F929,'基础-办公用品信息'!$C:$F,4,FALSE),"-")</f>
        <v>-</v>
      </c>
      <c r="K929" s="60" t="str">
        <f t="shared" si="42"/>
        <v/>
      </c>
      <c r="L929" s="87"/>
      <c r="M929" s="60">
        <f t="shared" si="43"/>
        <v>1900</v>
      </c>
      <c r="N929" s="60">
        <f t="shared" si="44"/>
        <v>1</v>
      </c>
    </row>
    <row r="930" customHeight="1" spans="2:14">
      <c r="B930" s="86">
        <v>928</v>
      </c>
      <c r="C930" s="87"/>
      <c r="D930" s="87"/>
      <c r="E930" s="60" t="str">
        <f>IFERROR(VLOOKUP(D930,'基础-领用人及部门'!$C:$D,2,FALSE),"-")</f>
        <v>-</v>
      </c>
      <c r="F930" s="87"/>
      <c r="G930" s="60" t="str">
        <f>IFERROR(VLOOKUP($F930,'基础-办公用品信息'!$C:$E,2,FALSE),"-")</f>
        <v>-</v>
      </c>
      <c r="H930" s="60" t="str">
        <f>IFERROR(VLOOKUP($F930,'基础-办公用品信息'!$C:$E,3,FALSE),"-")</f>
        <v>-</v>
      </c>
      <c r="I930" s="60"/>
      <c r="J930" s="60" t="str">
        <f>IFERROR(VLOOKUP($F930,'基础-办公用品信息'!$C:$F,4,FALSE),"-")</f>
        <v>-</v>
      </c>
      <c r="K930" s="60" t="str">
        <f t="shared" si="42"/>
        <v/>
      </c>
      <c r="L930" s="87"/>
      <c r="M930" s="60">
        <f t="shared" si="43"/>
        <v>1900</v>
      </c>
      <c r="N930" s="60">
        <f t="shared" si="44"/>
        <v>1</v>
      </c>
    </row>
    <row r="931" customHeight="1" spans="2:14">
      <c r="B931" s="86">
        <v>929</v>
      </c>
      <c r="C931" s="87"/>
      <c r="D931" s="87"/>
      <c r="E931" s="60" t="str">
        <f>IFERROR(VLOOKUP(D931,'基础-领用人及部门'!$C:$D,2,FALSE),"-")</f>
        <v>-</v>
      </c>
      <c r="F931" s="87"/>
      <c r="G931" s="60" t="str">
        <f>IFERROR(VLOOKUP($F931,'基础-办公用品信息'!$C:$E,2,FALSE),"-")</f>
        <v>-</v>
      </c>
      <c r="H931" s="60" t="str">
        <f>IFERROR(VLOOKUP($F931,'基础-办公用品信息'!$C:$E,3,FALSE),"-")</f>
        <v>-</v>
      </c>
      <c r="I931" s="60"/>
      <c r="J931" s="60" t="str">
        <f>IFERROR(VLOOKUP($F931,'基础-办公用品信息'!$C:$F,4,FALSE),"-")</f>
        <v>-</v>
      </c>
      <c r="K931" s="60" t="str">
        <f t="shared" si="42"/>
        <v/>
      </c>
      <c r="L931" s="87"/>
      <c r="M931" s="60">
        <f t="shared" si="43"/>
        <v>1900</v>
      </c>
      <c r="N931" s="60">
        <f t="shared" si="44"/>
        <v>1</v>
      </c>
    </row>
    <row r="932" customHeight="1" spans="2:14">
      <c r="B932" s="86">
        <v>930</v>
      </c>
      <c r="C932" s="87"/>
      <c r="D932" s="87"/>
      <c r="E932" s="60" t="str">
        <f>IFERROR(VLOOKUP(D932,'基础-领用人及部门'!$C:$D,2,FALSE),"-")</f>
        <v>-</v>
      </c>
      <c r="F932" s="87"/>
      <c r="G932" s="60" t="str">
        <f>IFERROR(VLOOKUP($F932,'基础-办公用品信息'!$C:$E,2,FALSE),"-")</f>
        <v>-</v>
      </c>
      <c r="H932" s="60" t="str">
        <f>IFERROR(VLOOKUP($F932,'基础-办公用品信息'!$C:$E,3,FALSE),"-")</f>
        <v>-</v>
      </c>
      <c r="I932" s="60"/>
      <c r="J932" s="60" t="str">
        <f>IFERROR(VLOOKUP($F932,'基础-办公用品信息'!$C:$F,4,FALSE),"-")</f>
        <v>-</v>
      </c>
      <c r="K932" s="60" t="str">
        <f t="shared" si="42"/>
        <v/>
      </c>
      <c r="L932" s="87"/>
      <c r="M932" s="60">
        <f t="shared" si="43"/>
        <v>1900</v>
      </c>
      <c r="N932" s="60">
        <f t="shared" si="44"/>
        <v>1</v>
      </c>
    </row>
    <row r="933" customHeight="1" spans="2:14">
      <c r="B933" s="86">
        <v>931</v>
      </c>
      <c r="C933" s="87"/>
      <c r="D933" s="87"/>
      <c r="E933" s="60" t="str">
        <f>IFERROR(VLOOKUP(D933,'基础-领用人及部门'!$C:$D,2,FALSE),"-")</f>
        <v>-</v>
      </c>
      <c r="F933" s="87"/>
      <c r="G933" s="60" t="str">
        <f>IFERROR(VLOOKUP($F933,'基础-办公用品信息'!$C:$E,2,FALSE),"-")</f>
        <v>-</v>
      </c>
      <c r="H933" s="60" t="str">
        <f>IFERROR(VLOOKUP($F933,'基础-办公用品信息'!$C:$E,3,FALSE),"-")</f>
        <v>-</v>
      </c>
      <c r="I933" s="60"/>
      <c r="J933" s="60" t="str">
        <f>IFERROR(VLOOKUP($F933,'基础-办公用品信息'!$C:$F,4,FALSE),"-")</f>
        <v>-</v>
      </c>
      <c r="K933" s="60" t="str">
        <f t="shared" si="42"/>
        <v/>
      </c>
      <c r="L933" s="87"/>
      <c r="M933" s="60">
        <f t="shared" si="43"/>
        <v>1900</v>
      </c>
      <c r="N933" s="60">
        <f t="shared" si="44"/>
        <v>1</v>
      </c>
    </row>
    <row r="934" customHeight="1" spans="2:14">
      <c r="B934" s="86">
        <v>932</v>
      </c>
      <c r="C934" s="87"/>
      <c r="D934" s="87"/>
      <c r="E934" s="60" t="str">
        <f>IFERROR(VLOOKUP(D934,'基础-领用人及部门'!$C:$D,2,FALSE),"-")</f>
        <v>-</v>
      </c>
      <c r="F934" s="87"/>
      <c r="G934" s="60" t="str">
        <f>IFERROR(VLOOKUP($F934,'基础-办公用品信息'!$C:$E,2,FALSE),"-")</f>
        <v>-</v>
      </c>
      <c r="H934" s="60" t="str">
        <f>IFERROR(VLOOKUP($F934,'基础-办公用品信息'!$C:$E,3,FALSE),"-")</f>
        <v>-</v>
      </c>
      <c r="I934" s="60"/>
      <c r="J934" s="60" t="str">
        <f>IFERROR(VLOOKUP($F934,'基础-办公用品信息'!$C:$F,4,FALSE),"-")</f>
        <v>-</v>
      </c>
      <c r="K934" s="60" t="str">
        <f t="shared" si="42"/>
        <v/>
      </c>
      <c r="L934" s="87"/>
      <c r="M934" s="60">
        <f t="shared" si="43"/>
        <v>1900</v>
      </c>
      <c r="N934" s="60">
        <f t="shared" si="44"/>
        <v>1</v>
      </c>
    </row>
    <row r="935" customHeight="1" spans="2:14">
      <c r="B935" s="86">
        <v>933</v>
      </c>
      <c r="C935" s="87"/>
      <c r="D935" s="87"/>
      <c r="E935" s="60" t="str">
        <f>IFERROR(VLOOKUP(D935,'基础-领用人及部门'!$C:$D,2,FALSE),"-")</f>
        <v>-</v>
      </c>
      <c r="F935" s="87"/>
      <c r="G935" s="60" t="str">
        <f>IFERROR(VLOOKUP($F935,'基础-办公用品信息'!$C:$E,2,FALSE),"-")</f>
        <v>-</v>
      </c>
      <c r="H935" s="60" t="str">
        <f>IFERROR(VLOOKUP($F935,'基础-办公用品信息'!$C:$E,3,FALSE),"-")</f>
        <v>-</v>
      </c>
      <c r="I935" s="60"/>
      <c r="J935" s="60" t="str">
        <f>IFERROR(VLOOKUP($F935,'基础-办公用品信息'!$C:$F,4,FALSE),"-")</f>
        <v>-</v>
      </c>
      <c r="K935" s="60" t="str">
        <f t="shared" si="42"/>
        <v/>
      </c>
      <c r="L935" s="87"/>
      <c r="M935" s="60">
        <f t="shared" si="43"/>
        <v>1900</v>
      </c>
      <c r="N935" s="60">
        <f t="shared" si="44"/>
        <v>1</v>
      </c>
    </row>
    <row r="936" customHeight="1" spans="2:14">
      <c r="B936" s="86">
        <v>934</v>
      </c>
      <c r="C936" s="87"/>
      <c r="D936" s="87"/>
      <c r="E936" s="60" t="str">
        <f>IFERROR(VLOOKUP(D936,'基础-领用人及部门'!$C:$D,2,FALSE),"-")</f>
        <v>-</v>
      </c>
      <c r="F936" s="87"/>
      <c r="G936" s="60" t="str">
        <f>IFERROR(VLOOKUP($F936,'基础-办公用品信息'!$C:$E,2,FALSE),"-")</f>
        <v>-</v>
      </c>
      <c r="H936" s="60" t="str">
        <f>IFERROR(VLOOKUP($F936,'基础-办公用品信息'!$C:$E,3,FALSE),"-")</f>
        <v>-</v>
      </c>
      <c r="I936" s="60"/>
      <c r="J936" s="60" t="str">
        <f>IFERROR(VLOOKUP($F936,'基础-办公用品信息'!$C:$F,4,FALSE),"-")</f>
        <v>-</v>
      </c>
      <c r="K936" s="60" t="str">
        <f t="shared" si="42"/>
        <v/>
      </c>
      <c r="L936" s="87"/>
      <c r="M936" s="60">
        <f t="shared" si="43"/>
        <v>1900</v>
      </c>
      <c r="N936" s="60">
        <f t="shared" si="44"/>
        <v>1</v>
      </c>
    </row>
    <row r="937" customHeight="1" spans="2:14">
      <c r="B937" s="86">
        <v>935</v>
      </c>
      <c r="C937" s="87"/>
      <c r="D937" s="87"/>
      <c r="E937" s="60" t="str">
        <f>IFERROR(VLOOKUP(D937,'基础-领用人及部门'!$C:$D,2,FALSE),"-")</f>
        <v>-</v>
      </c>
      <c r="F937" s="87"/>
      <c r="G937" s="60" t="str">
        <f>IFERROR(VLOOKUP($F937,'基础-办公用品信息'!$C:$E,2,FALSE),"-")</f>
        <v>-</v>
      </c>
      <c r="H937" s="60" t="str">
        <f>IFERROR(VLOOKUP($F937,'基础-办公用品信息'!$C:$E,3,FALSE),"-")</f>
        <v>-</v>
      </c>
      <c r="I937" s="60"/>
      <c r="J937" s="60" t="str">
        <f>IFERROR(VLOOKUP($F937,'基础-办公用品信息'!$C:$F,4,FALSE),"-")</f>
        <v>-</v>
      </c>
      <c r="K937" s="60" t="str">
        <f t="shared" si="42"/>
        <v/>
      </c>
      <c r="L937" s="87"/>
      <c r="M937" s="60">
        <f t="shared" si="43"/>
        <v>1900</v>
      </c>
      <c r="N937" s="60">
        <f t="shared" si="44"/>
        <v>1</v>
      </c>
    </row>
    <row r="938" customHeight="1" spans="2:14">
      <c r="B938" s="86">
        <v>936</v>
      </c>
      <c r="C938" s="87"/>
      <c r="D938" s="87"/>
      <c r="E938" s="60" t="str">
        <f>IFERROR(VLOOKUP(D938,'基础-领用人及部门'!$C:$D,2,FALSE),"-")</f>
        <v>-</v>
      </c>
      <c r="F938" s="87"/>
      <c r="G938" s="60" t="str">
        <f>IFERROR(VLOOKUP($F938,'基础-办公用品信息'!$C:$E,2,FALSE),"-")</f>
        <v>-</v>
      </c>
      <c r="H938" s="60" t="str">
        <f>IFERROR(VLOOKUP($F938,'基础-办公用品信息'!$C:$E,3,FALSE),"-")</f>
        <v>-</v>
      </c>
      <c r="I938" s="60"/>
      <c r="J938" s="60" t="str">
        <f>IFERROR(VLOOKUP($F938,'基础-办公用品信息'!$C:$F,4,FALSE),"-")</f>
        <v>-</v>
      </c>
      <c r="K938" s="60" t="str">
        <f t="shared" si="42"/>
        <v/>
      </c>
      <c r="L938" s="87"/>
      <c r="M938" s="60">
        <f t="shared" si="43"/>
        <v>1900</v>
      </c>
      <c r="N938" s="60">
        <f t="shared" si="44"/>
        <v>1</v>
      </c>
    </row>
    <row r="939" customHeight="1" spans="2:14">
      <c r="B939" s="86">
        <v>937</v>
      </c>
      <c r="C939" s="87"/>
      <c r="D939" s="87"/>
      <c r="E939" s="60" t="str">
        <f>IFERROR(VLOOKUP(D939,'基础-领用人及部门'!$C:$D,2,FALSE),"-")</f>
        <v>-</v>
      </c>
      <c r="F939" s="87"/>
      <c r="G939" s="60" t="str">
        <f>IFERROR(VLOOKUP($F939,'基础-办公用品信息'!$C:$E,2,FALSE),"-")</f>
        <v>-</v>
      </c>
      <c r="H939" s="60" t="str">
        <f>IFERROR(VLOOKUP($F939,'基础-办公用品信息'!$C:$E,3,FALSE),"-")</f>
        <v>-</v>
      </c>
      <c r="I939" s="60"/>
      <c r="J939" s="60" t="str">
        <f>IFERROR(VLOOKUP($F939,'基础-办公用品信息'!$C:$F,4,FALSE),"-")</f>
        <v>-</v>
      </c>
      <c r="K939" s="60" t="str">
        <f t="shared" si="42"/>
        <v/>
      </c>
      <c r="L939" s="87"/>
      <c r="M939" s="60">
        <f t="shared" si="43"/>
        <v>1900</v>
      </c>
      <c r="N939" s="60">
        <f t="shared" si="44"/>
        <v>1</v>
      </c>
    </row>
    <row r="940" customHeight="1" spans="2:14">
      <c r="B940" s="86">
        <v>938</v>
      </c>
      <c r="C940" s="87"/>
      <c r="D940" s="87"/>
      <c r="E940" s="60" t="str">
        <f>IFERROR(VLOOKUP(D940,'基础-领用人及部门'!$C:$D,2,FALSE),"-")</f>
        <v>-</v>
      </c>
      <c r="F940" s="87"/>
      <c r="G940" s="60" t="str">
        <f>IFERROR(VLOOKUP($F940,'基础-办公用品信息'!$C:$E,2,FALSE),"-")</f>
        <v>-</v>
      </c>
      <c r="H940" s="60" t="str">
        <f>IFERROR(VLOOKUP($F940,'基础-办公用品信息'!$C:$E,3,FALSE),"-")</f>
        <v>-</v>
      </c>
      <c r="I940" s="60"/>
      <c r="J940" s="60" t="str">
        <f>IFERROR(VLOOKUP($F940,'基础-办公用品信息'!$C:$F,4,FALSE),"-")</f>
        <v>-</v>
      </c>
      <c r="K940" s="60" t="str">
        <f t="shared" si="42"/>
        <v/>
      </c>
      <c r="L940" s="87"/>
      <c r="M940" s="60">
        <f t="shared" si="43"/>
        <v>1900</v>
      </c>
      <c r="N940" s="60">
        <f t="shared" si="44"/>
        <v>1</v>
      </c>
    </row>
    <row r="941" customHeight="1" spans="2:14">
      <c r="B941" s="86">
        <v>939</v>
      </c>
      <c r="C941" s="87"/>
      <c r="D941" s="87"/>
      <c r="E941" s="60" t="str">
        <f>IFERROR(VLOOKUP(D941,'基础-领用人及部门'!$C:$D,2,FALSE),"-")</f>
        <v>-</v>
      </c>
      <c r="F941" s="87"/>
      <c r="G941" s="60" t="str">
        <f>IFERROR(VLOOKUP($F941,'基础-办公用品信息'!$C:$E,2,FALSE),"-")</f>
        <v>-</v>
      </c>
      <c r="H941" s="60" t="str">
        <f>IFERROR(VLOOKUP($F941,'基础-办公用品信息'!$C:$E,3,FALSE),"-")</f>
        <v>-</v>
      </c>
      <c r="I941" s="60"/>
      <c r="J941" s="60" t="str">
        <f>IFERROR(VLOOKUP($F941,'基础-办公用品信息'!$C:$F,4,FALSE),"-")</f>
        <v>-</v>
      </c>
      <c r="K941" s="60" t="str">
        <f t="shared" si="42"/>
        <v/>
      </c>
      <c r="L941" s="87"/>
      <c r="M941" s="60">
        <f t="shared" si="43"/>
        <v>1900</v>
      </c>
      <c r="N941" s="60">
        <f t="shared" si="44"/>
        <v>1</v>
      </c>
    </row>
    <row r="942" customHeight="1" spans="2:14">
      <c r="B942" s="86">
        <v>940</v>
      </c>
      <c r="C942" s="87"/>
      <c r="D942" s="87"/>
      <c r="E942" s="60" t="str">
        <f>IFERROR(VLOOKUP(D942,'基础-领用人及部门'!$C:$D,2,FALSE),"-")</f>
        <v>-</v>
      </c>
      <c r="F942" s="87"/>
      <c r="G942" s="60" t="str">
        <f>IFERROR(VLOOKUP($F942,'基础-办公用品信息'!$C:$E,2,FALSE),"-")</f>
        <v>-</v>
      </c>
      <c r="H942" s="60" t="str">
        <f>IFERROR(VLOOKUP($F942,'基础-办公用品信息'!$C:$E,3,FALSE),"-")</f>
        <v>-</v>
      </c>
      <c r="I942" s="60"/>
      <c r="J942" s="60" t="str">
        <f>IFERROR(VLOOKUP($F942,'基础-办公用品信息'!$C:$F,4,FALSE),"-")</f>
        <v>-</v>
      </c>
      <c r="K942" s="60" t="str">
        <f t="shared" si="42"/>
        <v/>
      </c>
      <c r="L942" s="87"/>
      <c r="M942" s="60">
        <f t="shared" si="43"/>
        <v>1900</v>
      </c>
      <c r="N942" s="60">
        <f t="shared" si="44"/>
        <v>1</v>
      </c>
    </row>
    <row r="943" customHeight="1" spans="2:14">
      <c r="B943" s="86">
        <v>941</v>
      </c>
      <c r="C943" s="87"/>
      <c r="D943" s="87"/>
      <c r="E943" s="60" t="str">
        <f>IFERROR(VLOOKUP(D943,'基础-领用人及部门'!$C:$D,2,FALSE),"-")</f>
        <v>-</v>
      </c>
      <c r="F943" s="87"/>
      <c r="G943" s="60" t="str">
        <f>IFERROR(VLOOKUP($F943,'基础-办公用品信息'!$C:$E,2,FALSE),"-")</f>
        <v>-</v>
      </c>
      <c r="H943" s="60" t="str">
        <f>IFERROR(VLOOKUP($F943,'基础-办公用品信息'!$C:$E,3,FALSE),"-")</f>
        <v>-</v>
      </c>
      <c r="I943" s="60"/>
      <c r="J943" s="60" t="str">
        <f>IFERROR(VLOOKUP($F943,'基础-办公用品信息'!$C:$F,4,FALSE),"-")</f>
        <v>-</v>
      </c>
      <c r="K943" s="60" t="str">
        <f t="shared" si="42"/>
        <v/>
      </c>
      <c r="L943" s="87"/>
      <c r="M943" s="60">
        <f t="shared" si="43"/>
        <v>1900</v>
      </c>
      <c r="N943" s="60">
        <f t="shared" si="44"/>
        <v>1</v>
      </c>
    </row>
    <row r="944" customHeight="1" spans="2:14">
      <c r="B944" s="86">
        <v>942</v>
      </c>
      <c r="C944" s="87"/>
      <c r="D944" s="87"/>
      <c r="E944" s="60" t="str">
        <f>IFERROR(VLOOKUP(D944,'基础-领用人及部门'!$C:$D,2,FALSE),"-")</f>
        <v>-</v>
      </c>
      <c r="F944" s="87"/>
      <c r="G944" s="60" t="str">
        <f>IFERROR(VLOOKUP($F944,'基础-办公用品信息'!$C:$E,2,FALSE),"-")</f>
        <v>-</v>
      </c>
      <c r="H944" s="60" t="str">
        <f>IFERROR(VLOOKUP($F944,'基础-办公用品信息'!$C:$E,3,FALSE),"-")</f>
        <v>-</v>
      </c>
      <c r="I944" s="60"/>
      <c r="J944" s="60" t="str">
        <f>IFERROR(VLOOKUP($F944,'基础-办公用品信息'!$C:$F,4,FALSE),"-")</f>
        <v>-</v>
      </c>
      <c r="K944" s="60" t="str">
        <f t="shared" si="42"/>
        <v/>
      </c>
      <c r="L944" s="87"/>
      <c r="M944" s="60">
        <f t="shared" si="43"/>
        <v>1900</v>
      </c>
      <c r="N944" s="60">
        <f t="shared" si="44"/>
        <v>1</v>
      </c>
    </row>
    <row r="945" customHeight="1" spans="2:14">
      <c r="B945" s="86">
        <v>943</v>
      </c>
      <c r="C945" s="87"/>
      <c r="D945" s="87"/>
      <c r="E945" s="60" t="str">
        <f>IFERROR(VLOOKUP(D945,'基础-领用人及部门'!$C:$D,2,FALSE),"-")</f>
        <v>-</v>
      </c>
      <c r="F945" s="87"/>
      <c r="G945" s="60" t="str">
        <f>IFERROR(VLOOKUP($F945,'基础-办公用品信息'!$C:$E,2,FALSE),"-")</f>
        <v>-</v>
      </c>
      <c r="H945" s="60" t="str">
        <f>IFERROR(VLOOKUP($F945,'基础-办公用品信息'!$C:$E,3,FALSE),"-")</f>
        <v>-</v>
      </c>
      <c r="I945" s="60"/>
      <c r="J945" s="60" t="str">
        <f>IFERROR(VLOOKUP($F945,'基础-办公用品信息'!$C:$F,4,FALSE),"-")</f>
        <v>-</v>
      </c>
      <c r="K945" s="60" t="str">
        <f t="shared" si="42"/>
        <v/>
      </c>
      <c r="L945" s="87"/>
      <c r="M945" s="60">
        <f t="shared" si="43"/>
        <v>1900</v>
      </c>
      <c r="N945" s="60">
        <f t="shared" si="44"/>
        <v>1</v>
      </c>
    </row>
    <row r="946" customHeight="1" spans="2:14">
      <c r="B946" s="86">
        <v>944</v>
      </c>
      <c r="C946" s="87"/>
      <c r="D946" s="87"/>
      <c r="E946" s="60" t="str">
        <f>IFERROR(VLOOKUP(D946,'基础-领用人及部门'!$C:$D,2,FALSE),"-")</f>
        <v>-</v>
      </c>
      <c r="F946" s="87"/>
      <c r="G946" s="60" t="str">
        <f>IFERROR(VLOOKUP($F946,'基础-办公用品信息'!$C:$E,2,FALSE),"-")</f>
        <v>-</v>
      </c>
      <c r="H946" s="60" t="str">
        <f>IFERROR(VLOOKUP($F946,'基础-办公用品信息'!$C:$E,3,FALSE),"-")</f>
        <v>-</v>
      </c>
      <c r="I946" s="60"/>
      <c r="J946" s="60" t="str">
        <f>IFERROR(VLOOKUP($F946,'基础-办公用品信息'!$C:$F,4,FALSE),"-")</f>
        <v>-</v>
      </c>
      <c r="K946" s="60" t="str">
        <f t="shared" si="42"/>
        <v/>
      </c>
      <c r="L946" s="87"/>
      <c r="M946" s="60">
        <f t="shared" si="43"/>
        <v>1900</v>
      </c>
      <c r="N946" s="60">
        <f t="shared" si="44"/>
        <v>1</v>
      </c>
    </row>
    <row r="947" customHeight="1" spans="2:14">
      <c r="B947" s="86">
        <v>945</v>
      </c>
      <c r="C947" s="87"/>
      <c r="D947" s="87"/>
      <c r="E947" s="60" t="str">
        <f>IFERROR(VLOOKUP(D947,'基础-领用人及部门'!$C:$D,2,FALSE),"-")</f>
        <v>-</v>
      </c>
      <c r="F947" s="87"/>
      <c r="G947" s="60" t="str">
        <f>IFERROR(VLOOKUP($F947,'基础-办公用品信息'!$C:$E,2,FALSE),"-")</f>
        <v>-</v>
      </c>
      <c r="H947" s="60" t="str">
        <f>IFERROR(VLOOKUP($F947,'基础-办公用品信息'!$C:$E,3,FALSE),"-")</f>
        <v>-</v>
      </c>
      <c r="I947" s="60"/>
      <c r="J947" s="60" t="str">
        <f>IFERROR(VLOOKUP($F947,'基础-办公用品信息'!$C:$F,4,FALSE),"-")</f>
        <v>-</v>
      </c>
      <c r="K947" s="60" t="str">
        <f t="shared" si="42"/>
        <v/>
      </c>
      <c r="L947" s="87"/>
      <c r="M947" s="60">
        <f t="shared" si="43"/>
        <v>1900</v>
      </c>
      <c r="N947" s="60">
        <f t="shared" si="44"/>
        <v>1</v>
      </c>
    </row>
    <row r="948" customHeight="1" spans="2:14">
      <c r="B948" s="86">
        <v>946</v>
      </c>
      <c r="C948" s="87"/>
      <c r="D948" s="87"/>
      <c r="E948" s="60" t="str">
        <f>IFERROR(VLOOKUP(D948,'基础-领用人及部门'!$C:$D,2,FALSE),"-")</f>
        <v>-</v>
      </c>
      <c r="F948" s="87"/>
      <c r="G948" s="60" t="str">
        <f>IFERROR(VLOOKUP($F948,'基础-办公用品信息'!$C:$E,2,FALSE),"-")</f>
        <v>-</v>
      </c>
      <c r="H948" s="60" t="str">
        <f>IFERROR(VLOOKUP($F948,'基础-办公用品信息'!$C:$E,3,FALSE),"-")</f>
        <v>-</v>
      </c>
      <c r="I948" s="60"/>
      <c r="J948" s="60" t="str">
        <f>IFERROR(VLOOKUP($F948,'基础-办公用品信息'!$C:$F,4,FALSE),"-")</f>
        <v>-</v>
      </c>
      <c r="K948" s="60" t="str">
        <f t="shared" si="42"/>
        <v/>
      </c>
      <c r="L948" s="87"/>
      <c r="M948" s="60">
        <f t="shared" si="43"/>
        <v>1900</v>
      </c>
      <c r="N948" s="60">
        <f t="shared" si="44"/>
        <v>1</v>
      </c>
    </row>
    <row r="949" customHeight="1" spans="2:14">
      <c r="B949" s="86">
        <v>947</v>
      </c>
      <c r="C949" s="87"/>
      <c r="D949" s="87"/>
      <c r="E949" s="60" t="str">
        <f>IFERROR(VLOOKUP(D949,'基础-领用人及部门'!$C:$D,2,FALSE),"-")</f>
        <v>-</v>
      </c>
      <c r="F949" s="87"/>
      <c r="G949" s="60" t="str">
        <f>IFERROR(VLOOKUP($F949,'基础-办公用品信息'!$C:$E,2,FALSE),"-")</f>
        <v>-</v>
      </c>
      <c r="H949" s="60" t="str">
        <f>IFERROR(VLOOKUP($F949,'基础-办公用品信息'!$C:$E,3,FALSE),"-")</f>
        <v>-</v>
      </c>
      <c r="I949" s="60"/>
      <c r="J949" s="60" t="str">
        <f>IFERROR(VLOOKUP($F949,'基础-办公用品信息'!$C:$F,4,FALSE),"-")</f>
        <v>-</v>
      </c>
      <c r="K949" s="60" t="str">
        <f t="shared" si="42"/>
        <v/>
      </c>
      <c r="L949" s="87"/>
      <c r="M949" s="60">
        <f t="shared" si="43"/>
        <v>1900</v>
      </c>
      <c r="N949" s="60">
        <f t="shared" si="44"/>
        <v>1</v>
      </c>
    </row>
    <row r="950" customHeight="1" spans="2:14">
      <c r="B950" s="86">
        <v>948</v>
      </c>
      <c r="C950" s="87"/>
      <c r="D950" s="87"/>
      <c r="E950" s="60" t="str">
        <f>IFERROR(VLOOKUP(D950,'基础-领用人及部门'!$C:$D,2,FALSE),"-")</f>
        <v>-</v>
      </c>
      <c r="F950" s="87"/>
      <c r="G950" s="60" t="str">
        <f>IFERROR(VLOOKUP($F950,'基础-办公用品信息'!$C:$E,2,FALSE),"-")</f>
        <v>-</v>
      </c>
      <c r="H950" s="60" t="str">
        <f>IFERROR(VLOOKUP($F950,'基础-办公用品信息'!$C:$E,3,FALSE),"-")</f>
        <v>-</v>
      </c>
      <c r="I950" s="60"/>
      <c r="J950" s="60" t="str">
        <f>IFERROR(VLOOKUP($F950,'基础-办公用品信息'!$C:$F,4,FALSE),"-")</f>
        <v>-</v>
      </c>
      <c r="K950" s="60" t="str">
        <f t="shared" si="42"/>
        <v/>
      </c>
      <c r="L950" s="87"/>
      <c r="M950" s="60">
        <f t="shared" si="43"/>
        <v>1900</v>
      </c>
      <c r="N950" s="60">
        <f t="shared" si="44"/>
        <v>1</v>
      </c>
    </row>
    <row r="951" customHeight="1" spans="2:14">
      <c r="B951" s="86">
        <v>949</v>
      </c>
      <c r="C951" s="87"/>
      <c r="D951" s="87"/>
      <c r="E951" s="60" t="str">
        <f>IFERROR(VLOOKUP(D951,'基础-领用人及部门'!$C:$D,2,FALSE),"-")</f>
        <v>-</v>
      </c>
      <c r="F951" s="87"/>
      <c r="G951" s="60" t="str">
        <f>IFERROR(VLOOKUP($F951,'基础-办公用品信息'!$C:$E,2,FALSE),"-")</f>
        <v>-</v>
      </c>
      <c r="H951" s="60" t="str">
        <f>IFERROR(VLOOKUP($F951,'基础-办公用品信息'!$C:$E,3,FALSE),"-")</f>
        <v>-</v>
      </c>
      <c r="I951" s="60"/>
      <c r="J951" s="60" t="str">
        <f>IFERROR(VLOOKUP($F951,'基础-办公用品信息'!$C:$F,4,FALSE),"-")</f>
        <v>-</v>
      </c>
      <c r="K951" s="60" t="str">
        <f t="shared" si="42"/>
        <v/>
      </c>
      <c r="L951" s="87"/>
      <c r="M951" s="60">
        <f t="shared" si="43"/>
        <v>1900</v>
      </c>
      <c r="N951" s="60">
        <f t="shared" si="44"/>
        <v>1</v>
      </c>
    </row>
    <row r="952" customHeight="1" spans="2:14">
      <c r="B952" s="86">
        <v>950</v>
      </c>
      <c r="C952" s="87"/>
      <c r="D952" s="87"/>
      <c r="E952" s="60" t="str">
        <f>IFERROR(VLOOKUP(D952,'基础-领用人及部门'!$C:$D,2,FALSE),"-")</f>
        <v>-</v>
      </c>
      <c r="F952" s="87"/>
      <c r="G952" s="60" t="str">
        <f>IFERROR(VLOOKUP($F952,'基础-办公用品信息'!$C:$E,2,FALSE),"-")</f>
        <v>-</v>
      </c>
      <c r="H952" s="60" t="str">
        <f>IFERROR(VLOOKUP($F952,'基础-办公用品信息'!$C:$E,3,FALSE),"-")</f>
        <v>-</v>
      </c>
      <c r="I952" s="60"/>
      <c r="J952" s="60" t="str">
        <f>IFERROR(VLOOKUP($F952,'基础-办公用品信息'!$C:$F,4,FALSE),"-")</f>
        <v>-</v>
      </c>
      <c r="K952" s="60" t="str">
        <f t="shared" si="42"/>
        <v/>
      </c>
      <c r="L952" s="87"/>
      <c r="M952" s="60">
        <f t="shared" si="43"/>
        <v>1900</v>
      </c>
      <c r="N952" s="60">
        <f t="shared" si="44"/>
        <v>1</v>
      </c>
    </row>
    <row r="953" customHeight="1" spans="2:14">
      <c r="B953" s="86">
        <v>951</v>
      </c>
      <c r="C953" s="87"/>
      <c r="D953" s="87"/>
      <c r="E953" s="60" t="str">
        <f>IFERROR(VLOOKUP(D953,'基础-领用人及部门'!$C:$D,2,FALSE),"-")</f>
        <v>-</v>
      </c>
      <c r="F953" s="87"/>
      <c r="G953" s="60" t="str">
        <f>IFERROR(VLOOKUP($F953,'基础-办公用品信息'!$C:$E,2,FALSE),"-")</f>
        <v>-</v>
      </c>
      <c r="H953" s="60" t="str">
        <f>IFERROR(VLOOKUP($F953,'基础-办公用品信息'!$C:$E,3,FALSE),"-")</f>
        <v>-</v>
      </c>
      <c r="I953" s="60"/>
      <c r="J953" s="60" t="str">
        <f>IFERROR(VLOOKUP($F953,'基础-办公用品信息'!$C:$F,4,FALSE),"-")</f>
        <v>-</v>
      </c>
      <c r="K953" s="60" t="str">
        <f t="shared" si="42"/>
        <v/>
      </c>
      <c r="L953" s="87"/>
      <c r="M953" s="60">
        <f t="shared" si="43"/>
        <v>1900</v>
      </c>
      <c r="N953" s="60">
        <f t="shared" si="44"/>
        <v>1</v>
      </c>
    </row>
    <row r="954" customHeight="1" spans="2:14">
      <c r="B954" s="86">
        <v>952</v>
      </c>
      <c r="C954" s="87"/>
      <c r="D954" s="87"/>
      <c r="E954" s="60" t="str">
        <f>IFERROR(VLOOKUP(D954,'基础-领用人及部门'!$C:$D,2,FALSE),"-")</f>
        <v>-</v>
      </c>
      <c r="F954" s="87"/>
      <c r="G954" s="60" t="str">
        <f>IFERROR(VLOOKUP($F954,'基础-办公用品信息'!$C:$E,2,FALSE),"-")</f>
        <v>-</v>
      </c>
      <c r="H954" s="60" t="str">
        <f>IFERROR(VLOOKUP($F954,'基础-办公用品信息'!$C:$E,3,FALSE),"-")</f>
        <v>-</v>
      </c>
      <c r="I954" s="60"/>
      <c r="J954" s="60" t="str">
        <f>IFERROR(VLOOKUP($F954,'基础-办公用品信息'!$C:$F,4,FALSE),"-")</f>
        <v>-</v>
      </c>
      <c r="K954" s="60" t="str">
        <f t="shared" si="42"/>
        <v/>
      </c>
      <c r="L954" s="87"/>
      <c r="M954" s="60">
        <f t="shared" si="43"/>
        <v>1900</v>
      </c>
      <c r="N954" s="60">
        <f t="shared" si="44"/>
        <v>1</v>
      </c>
    </row>
    <row r="955" customHeight="1" spans="2:14">
      <c r="B955" s="86">
        <v>953</v>
      </c>
      <c r="C955" s="87"/>
      <c r="D955" s="87"/>
      <c r="E955" s="60" t="str">
        <f>IFERROR(VLOOKUP(D955,'基础-领用人及部门'!$C:$D,2,FALSE),"-")</f>
        <v>-</v>
      </c>
      <c r="F955" s="87"/>
      <c r="G955" s="60" t="str">
        <f>IFERROR(VLOOKUP($F955,'基础-办公用品信息'!$C:$E,2,FALSE),"-")</f>
        <v>-</v>
      </c>
      <c r="H955" s="60" t="str">
        <f>IFERROR(VLOOKUP($F955,'基础-办公用品信息'!$C:$E,3,FALSE),"-")</f>
        <v>-</v>
      </c>
      <c r="I955" s="60"/>
      <c r="J955" s="60" t="str">
        <f>IFERROR(VLOOKUP($F955,'基础-办公用品信息'!$C:$F,4,FALSE),"-")</f>
        <v>-</v>
      </c>
      <c r="K955" s="60" t="str">
        <f t="shared" si="42"/>
        <v/>
      </c>
      <c r="L955" s="87"/>
      <c r="M955" s="60">
        <f t="shared" si="43"/>
        <v>1900</v>
      </c>
      <c r="N955" s="60">
        <f t="shared" si="44"/>
        <v>1</v>
      </c>
    </row>
    <row r="956" customHeight="1" spans="2:14">
      <c r="B956" s="86">
        <v>954</v>
      </c>
      <c r="C956" s="87"/>
      <c r="D956" s="87"/>
      <c r="E956" s="60" t="str">
        <f>IFERROR(VLOOKUP(D956,'基础-领用人及部门'!$C:$D,2,FALSE),"-")</f>
        <v>-</v>
      </c>
      <c r="F956" s="87"/>
      <c r="G956" s="60" t="str">
        <f>IFERROR(VLOOKUP($F956,'基础-办公用品信息'!$C:$E,2,FALSE),"-")</f>
        <v>-</v>
      </c>
      <c r="H956" s="60" t="str">
        <f>IFERROR(VLOOKUP($F956,'基础-办公用品信息'!$C:$E,3,FALSE),"-")</f>
        <v>-</v>
      </c>
      <c r="I956" s="60"/>
      <c r="J956" s="60" t="str">
        <f>IFERROR(VLOOKUP($F956,'基础-办公用品信息'!$C:$F,4,FALSE),"-")</f>
        <v>-</v>
      </c>
      <c r="K956" s="60" t="str">
        <f t="shared" si="42"/>
        <v/>
      </c>
      <c r="L956" s="87"/>
      <c r="M956" s="60">
        <f t="shared" si="43"/>
        <v>1900</v>
      </c>
      <c r="N956" s="60">
        <f t="shared" si="44"/>
        <v>1</v>
      </c>
    </row>
    <row r="957" customHeight="1" spans="2:14">
      <c r="B957" s="86">
        <v>955</v>
      </c>
      <c r="C957" s="87"/>
      <c r="D957" s="87"/>
      <c r="E957" s="60" t="str">
        <f>IFERROR(VLOOKUP(D957,'基础-领用人及部门'!$C:$D,2,FALSE),"-")</f>
        <v>-</v>
      </c>
      <c r="F957" s="87"/>
      <c r="G957" s="60" t="str">
        <f>IFERROR(VLOOKUP($F957,'基础-办公用品信息'!$C:$E,2,FALSE),"-")</f>
        <v>-</v>
      </c>
      <c r="H957" s="60" t="str">
        <f>IFERROR(VLOOKUP($F957,'基础-办公用品信息'!$C:$E,3,FALSE),"-")</f>
        <v>-</v>
      </c>
      <c r="I957" s="60"/>
      <c r="J957" s="60" t="str">
        <f>IFERROR(VLOOKUP($F957,'基础-办公用品信息'!$C:$F,4,FALSE),"-")</f>
        <v>-</v>
      </c>
      <c r="K957" s="60" t="str">
        <f t="shared" si="42"/>
        <v/>
      </c>
      <c r="L957" s="87"/>
      <c r="M957" s="60">
        <f t="shared" si="43"/>
        <v>1900</v>
      </c>
      <c r="N957" s="60">
        <f t="shared" si="44"/>
        <v>1</v>
      </c>
    </row>
    <row r="958" customHeight="1" spans="2:14">
      <c r="B958" s="86">
        <v>956</v>
      </c>
      <c r="C958" s="87"/>
      <c r="D958" s="87"/>
      <c r="E958" s="60" t="str">
        <f>IFERROR(VLOOKUP(D958,'基础-领用人及部门'!$C:$D,2,FALSE),"-")</f>
        <v>-</v>
      </c>
      <c r="F958" s="87"/>
      <c r="G958" s="60" t="str">
        <f>IFERROR(VLOOKUP($F958,'基础-办公用品信息'!$C:$E,2,FALSE),"-")</f>
        <v>-</v>
      </c>
      <c r="H958" s="60" t="str">
        <f>IFERROR(VLOOKUP($F958,'基础-办公用品信息'!$C:$E,3,FALSE),"-")</f>
        <v>-</v>
      </c>
      <c r="I958" s="60"/>
      <c r="J958" s="60" t="str">
        <f>IFERROR(VLOOKUP($F958,'基础-办公用品信息'!$C:$F,4,FALSE),"-")</f>
        <v>-</v>
      </c>
      <c r="K958" s="60" t="str">
        <f t="shared" si="42"/>
        <v/>
      </c>
      <c r="L958" s="87"/>
      <c r="M958" s="60">
        <f t="shared" si="43"/>
        <v>1900</v>
      </c>
      <c r="N958" s="60">
        <f t="shared" si="44"/>
        <v>1</v>
      </c>
    </row>
    <row r="959" customHeight="1" spans="2:14">
      <c r="B959" s="86">
        <v>957</v>
      </c>
      <c r="C959" s="87"/>
      <c r="D959" s="87"/>
      <c r="E959" s="60" t="str">
        <f>IFERROR(VLOOKUP(D959,'基础-领用人及部门'!$C:$D,2,FALSE),"-")</f>
        <v>-</v>
      </c>
      <c r="F959" s="87"/>
      <c r="G959" s="60" t="str">
        <f>IFERROR(VLOOKUP($F959,'基础-办公用品信息'!$C:$E,2,FALSE),"-")</f>
        <v>-</v>
      </c>
      <c r="H959" s="60" t="str">
        <f>IFERROR(VLOOKUP($F959,'基础-办公用品信息'!$C:$E,3,FALSE),"-")</f>
        <v>-</v>
      </c>
      <c r="I959" s="60"/>
      <c r="J959" s="60" t="str">
        <f>IFERROR(VLOOKUP($F959,'基础-办公用品信息'!$C:$F,4,FALSE),"-")</f>
        <v>-</v>
      </c>
      <c r="K959" s="60" t="str">
        <f t="shared" si="42"/>
        <v/>
      </c>
      <c r="L959" s="87"/>
      <c r="M959" s="60">
        <f t="shared" si="43"/>
        <v>1900</v>
      </c>
      <c r="N959" s="60">
        <f t="shared" si="44"/>
        <v>1</v>
      </c>
    </row>
    <row r="960" customHeight="1" spans="2:14">
      <c r="B960" s="86">
        <v>958</v>
      </c>
      <c r="C960" s="87"/>
      <c r="D960" s="87"/>
      <c r="E960" s="60" t="str">
        <f>IFERROR(VLOOKUP(D960,'基础-领用人及部门'!$C:$D,2,FALSE),"-")</f>
        <v>-</v>
      </c>
      <c r="F960" s="87"/>
      <c r="G960" s="60" t="str">
        <f>IFERROR(VLOOKUP($F960,'基础-办公用品信息'!$C:$E,2,FALSE),"-")</f>
        <v>-</v>
      </c>
      <c r="H960" s="60" t="str">
        <f>IFERROR(VLOOKUP($F960,'基础-办公用品信息'!$C:$E,3,FALSE),"-")</f>
        <v>-</v>
      </c>
      <c r="I960" s="60"/>
      <c r="J960" s="60" t="str">
        <f>IFERROR(VLOOKUP($F960,'基础-办公用品信息'!$C:$F,4,FALSE),"-")</f>
        <v>-</v>
      </c>
      <c r="K960" s="60" t="str">
        <f t="shared" si="42"/>
        <v/>
      </c>
      <c r="L960" s="87"/>
      <c r="M960" s="60">
        <f t="shared" si="43"/>
        <v>1900</v>
      </c>
      <c r="N960" s="60">
        <f t="shared" si="44"/>
        <v>1</v>
      </c>
    </row>
    <row r="961" customHeight="1" spans="2:14">
      <c r="B961" s="86">
        <v>959</v>
      </c>
      <c r="C961" s="87"/>
      <c r="D961" s="87"/>
      <c r="E961" s="60" t="str">
        <f>IFERROR(VLOOKUP(D961,'基础-领用人及部门'!$C:$D,2,FALSE),"-")</f>
        <v>-</v>
      </c>
      <c r="F961" s="87"/>
      <c r="G961" s="60" t="str">
        <f>IFERROR(VLOOKUP($F961,'基础-办公用品信息'!$C:$E,2,FALSE),"-")</f>
        <v>-</v>
      </c>
      <c r="H961" s="60" t="str">
        <f>IFERROR(VLOOKUP($F961,'基础-办公用品信息'!$C:$E,3,FALSE),"-")</f>
        <v>-</v>
      </c>
      <c r="I961" s="60"/>
      <c r="J961" s="60" t="str">
        <f>IFERROR(VLOOKUP($F961,'基础-办公用品信息'!$C:$F,4,FALSE),"-")</f>
        <v>-</v>
      </c>
      <c r="K961" s="60" t="str">
        <f t="shared" si="42"/>
        <v/>
      </c>
      <c r="L961" s="87"/>
      <c r="M961" s="60">
        <f t="shared" si="43"/>
        <v>1900</v>
      </c>
      <c r="N961" s="60">
        <f t="shared" si="44"/>
        <v>1</v>
      </c>
    </row>
    <row r="962" customHeight="1" spans="2:14">
      <c r="B962" s="86">
        <v>960</v>
      </c>
      <c r="C962" s="87"/>
      <c r="D962" s="87"/>
      <c r="E962" s="60" t="str">
        <f>IFERROR(VLOOKUP(D962,'基础-领用人及部门'!$C:$D,2,FALSE),"-")</f>
        <v>-</v>
      </c>
      <c r="F962" s="87"/>
      <c r="G962" s="60" t="str">
        <f>IFERROR(VLOOKUP($F962,'基础-办公用品信息'!$C:$E,2,FALSE),"-")</f>
        <v>-</v>
      </c>
      <c r="H962" s="60" t="str">
        <f>IFERROR(VLOOKUP($F962,'基础-办公用品信息'!$C:$E,3,FALSE),"-")</f>
        <v>-</v>
      </c>
      <c r="I962" s="60"/>
      <c r="J962" s="60" t="str">
        <f>IFERROR(VLOOKUP($F962,'基础-办公用品信息'!$C:$F,4,FALSE),"-")</f>
        <v>-</v>
      </c>
      <c r="K962" s="60" t="str">
        <f t="shared" si="42"/>
        <v/>
      </c>
      <c r="L962" s="87"/>
      <c r="M962" s="60">
        <f t="shared" si="43"/>
        <v>1900</v>
      </c>
      <c r="N962" s="60">
        <f t="shared" si="44"/>
        <v>1</v>
      </c>
    </row>
    <row r="963" customHeight="1" spans="2:14">
      <c r="B963" s="86">
        <v>961</v>
      </c>
      <c r="C963" s="87"/>
      <c r="D963" s="87"/>
      <c r="E963" s="60" t="str">
        <f>IFERROR(VLOOKUP(D963,'基础-领用人及部门'!$C:$D,2,FALSE),"-")</f>
        <v>-</v>
      </c>
      <c r="F963" s="87"/>
      <c r="G963" s="60" t="str">
        <f>IFERROR(VLOOKUP($F963,'基础-办公用品信息'!$C:$E,2,FALSE),"-")</f>
        <v>-</v>
      </c>
      <c r="H963" s="60" t="str">
        <f>IFERROR(VLOOKUP($F963,'基础-办公用品信息'!$C:$E,3,FALSE),"-")</f>
        <v>-</v>
      </c>
      <c r="I963" s="60"/>
      <c r="J963" s="60" t="str">
        <f>IFERROR(VLOOKUP($F963,'基础-办公用品信息'!$C:$F,4,FALSE),"-")</f>
        <v>-</v>
      </c>
      <c r="K963" s="60" t="str">
        <f t="shared" ref="K963:K1001" si="45">IFERROR(I963*J963,"")</f>
        <v/>
      </c>
      <c r="L963" s="87"/>
      <c r="M963" s="60">
        <f t="shared" ref="M963:M1001" si="46">YEAR(C963)</f>
        <v>1900</v>
      </c>
      <c r="N963" s="60">
        <f t="shared" ref="N963:N1001" si="47">MONTH(C963)</f>
        <v>1</v>
      </c>
    </row>
    <row r="964" customHeight="1" spans="2:14">
      <c r="B964" s="86">
        <v>962</v>
      </c>
      <c r="C964" s="87"/>
      <c r="D964" s="87"/>
      <c r="E964" s="60" t="str">
        <f>IFERROR(VLOOKUP(D964,'基础-领用人及部门'!$C:$D,2,FALSE),"-")</f>
        <v>-</v>
      </c>
      <c r="F964" s="87"/>
      <c r="G964" s="60" t="str">
        <f>IFERROR(VLOOKUP($F964,'基础-办公用品信息'!$C:$E,2,FALSE),"-")</f>
        <v>-</v>
      </c>
      <c r="H964" s="60" t="str">
        <f>IFERROR(VLOOKUP($F964,'基础-办公用品信息'!$C:$E,3,FALSE),"-")</f>
        <v>-</v>
      </c>
      <c r="I964" s="60"/>
      <c r="J964" s="60" t="str">
        <f>IFERROR(VLOOKUP($F964,'基础-办公用品信息'!$C:$F,4,FALSE),"-")</f>
        <v>-</v>
      </c>
      <c r="K964" s="60" t="str">
        <f t="shared" si="45"/>
        <v/>
      </c>
      <c r="L964" s="87"/>
      <c r="M964" s="60">
        <f t="shared" si="46"/>
        <v>1900</v>
      </c>
      <c r="N964" s="60">
        <f t="shared" si="47"/>
        <v>1</v>
      </c>
    </row>
    <row r="965" customHeight="1" spans="2:14">
      <c r="B965" s="86">
        <v>963</v>
      </c>
      <c r="C965" s="87"/>
      <c r="D965" s="87"/>
      <c r="E965" s="60" t="str">
        <f>IFERROR(VLOOKUP(D965,'基础-领用人及部门'!$C:$D,2,FALSE),"-")</f>
        <v>-</v>
      </c>
      <c r="F965" s="87"/>
      <c r="G965" s="60" t="str">
        <f>IFERROR(VLOOKUP($F965,'基础-办公用品信息'!$C:$E,2,FALSE),"-")</f>
        <v>-</v>
      </c>
      <c r="H965" s="60" t="str">
        <f>IFERROR(VLOOKUP($F965,'基础-办公用品信息'!$C:$E,3,FALSE),"-")</f>
        <v>-</v>
      </c>
      <c r="I965" s="60"/>
      <c r="J965" s="60" t="str">
        <f>IFERROR(VLOOKUP($F965,'基础-办公用品信息'!$C:$F,4,FALSE),"-")</f>
        <v>-</v>
      </c>
      <c r="K965" s="60" t="str">
        <f t="shared" si="45"/>
        <v/>
      </c>
      <c r="L965" s="87"/>
      <c r="M965" s="60">
        <f t="shared" si="46"/>
        <v>1900</v>
      </c>
      <c r="N965" s="60">
        <f t="shared" si="47"/>
        <v>1</v>
      </c>
    </row>
    <row r="966" customHeight="1" spans="2:14">
      <c r="B966" s="86">
        <v>964</v>
      </c>
      <c r="C966" s="87"/>
      <c r="D966" s="87"/>
      <c r="E966" s="60" t="str">
        <f>IFERROR(VLOOKUP(D966,'基础-领用人及部门'!$C:$D,2,FALSE),"-")</f>
        <v>-</v>
      </c>
      <c r="F966" s="87"/>
      <c r="G966" s="60" t="str">
        <f>IFERROR(VLOOKUP($F966,'基础-办公用品信息'!$C:$E,2,FALSE),"-")</f>
        <v>-</v>
      </c>
      <c r="H966" s="60" t="str">
        <f>IFERROR(VLOOKUP($F966,'基础-办公用品信息'!$C:$E,3,FALSE),"-")</f>
        <v>-</v>
      </c>
      <c r="I966" s="60"/>
      <c r="J966" s="60" t="str">
        <f>IFERROR(VLOOKUP($F966,'基础-办公用品信息'!$C:$F,4,FALSE),"-")</f>
        <v>-</v>
      </c>
      <c r="K966" s="60" t="str">
        <f t="shared" si="45"/>
        <v/>
      </c>
      <c r="L966" s="87"/>
      <c r="M966" s="60">
        <f t="shared" si="46"/>
        <v>1900</v>
      </c>
      <c r="N966" s="60">
        <f t="shared" si="47"/>
        <v>1</v>
      </c>
    </row>
    <row r="967" customHeight="1" spans="2:14">
      <c r="B967" s="86">
        <v>965</v>
      </c>
      <c r="C967" s="87"/>
      <c r="D967" s="87"/>
      <c r="E967" s="60" t="str">
        <f>IFERROR(VLOOKUP(D967,'基础-领用人及部门'!$C:$D,2,FALSE),"-")</f>
        <v>-</v>
      </c>
      <c r="F967" s="87"/>
      <c r="G967" s="60" t="str">
        <f>IFERROR(VLOOKUP($F967,'基础-办公用品信息'!$C:$E,2,FALSE),"-")</f>
        <v>-</v>
      </c>
      <c r="H967" s="60" t="str">
        <f>IFERROR(VLOOKUP($F967,'基础-办公用品信息'!$C:$E,3,FALSE),"-")</f>
        <v>-</v>
      </c>
      <c r="I967" s="60"/>
      <c r="J967" s="60" t="str">
        <f>IFERROR(VLOOKUP($F967,'基础-办公用品信息'!$C:$F,4,FALSE),"-")</f>
        <v>-</v>
      </c>
      <c r="K967" s="60" t="str">
        <f t="shared" si="45"/>
        <v/>
      </c>
      <c r="L967" s="87"/>
      <c r="M967" s="60">
        <f t="shared" si="46"/>
        <v>1900</v>
      </c>
      <c r="N967" s="60">
        <f t="shared" si="47"/>
        <v>1</v>
      </c>
    </row>
    <row r="968" customHeight="1" spans="2:14">
      <c r="B968" s="86">
        <v>966</v>
      </c>
      <c r="C968" s="87"/>
      <c r="D968" s="87"/>
      <c r="E968" s="60" t="str">
        <f>IFERROR(VLOOKUP(D968,'基础-领用人及部门'!$C:$D,2,FALSE),"-")</f>
        <v>-</v>
      </c>
      <c r="F968" s="87"/>
      <c r="G968" s="60" t="str">
        <f>IFERROR(VLOOKUP($F968,'基础-办公用品信息'!$C:$E,2,FALSE),"-")</f>
        <v>-</v>
      </c>
      <c r="H968" s="60" t="str">
        <f>IFERROR(VLOOKUP($F968,'基础-办公用品信息'!$C:$E,3,FALSE),"-")</f>
        <v>-</v>
      </c>
      <c r="I968" s="60"/>
      <c r="J968" s="60" t="str">
        <f>IFERROR(VLOOKUP($F968,'基础-办公用品信息'!$C:$F,4,FALSE),"-")</f>
        <v>-</v>
      </c>
      <c r="K968" s="60" t="str">
        <f t="shared" si="45"/>
        <v/>
      </c>
      <c r="L968" s="87"/>
      <c r="M968" s="60">
        <f t="shared" si="46"/>
        <v>1900</v>
      </c>
      <c r="N968" s="60">
        <f t="shared" si="47"/>
        <v>1</v>
      </c>
    </row>
    <row r="969" customHeight="1" spans="2:14">
      <c r="B969" s="86">
        <v>967</v>
      </c>
      <c r="C969" s="87"/>
      <c r="D969" s="87"/>
      <c r="E969" s="60" t="str">
        <f>IFERROR(VLOOKUP(D969,'基础-领用人及部门'!$C:$D,2,FALSE),"-")</f>
        <v>-</v>
      </c>
      <c r="F969" s="87"/>
      <c r="G969" s="60" t="str">
        <f>IFERROR(VLOOKUP($F969,'基础-办公用品信息'!$C:$E,2,FALSE),"-")</f>
        <v>-</v>
      </c>
      <c r="H969" s="60" t="str">
        <f>IFERROR(VLOOKUP($F969,'基础-办公用品信息'!$C:$E,3,FALSE),"-")</f>
        <v>-</v>
      </c>
      <c r="I969" s="60"/>
      <c r="J969" s="60" t="str">
        <f>IFERROR(VLOOKUP($F969,'基础-办公用品信息'!$C:$F,4,FALSE),"-")</f>
        <v>-</v>
      </c>
      <c r="K969" s="60" t="str">
        <f t="shared" si="45"/>
        <v/>
      </c>
      <c r="L969" s="87"/>
      <c r="M969" s="60">
        <f t="shared" si="46"/>
        <v>1900</v>
      </c>
      <c r="N969" s="60">
        <f t="shared" si="47"/>
        <v>1</v>
      </c>
    </row>
    <row r="970" customHeight="1" spans="2:14">
      <c r="B970" s="86">
        <v>968</v>
      </c>
      <c r="C970" s="87"/>
      <c r="D970" s="87"/>
      <c r="E970" s="60" t="str">
        <f>IFERROR(VLOOKUP(D970,'基础-领用人及部门'!$C:$D,2,FALSE),"-")</f>
        <v>-</v>
      </c>
      <c r="F970" s="87"/>
      <c r="G970" s="60" t="str">
        <f>IFERROR(VLOOKUP($F970,'基础-办公用品信息'!$C:$E,2,FALSE),"-")</f>
        <v>-</v>
      </c>
      <c r="H970" s="60" t="str">
        <f>IFERROR(VLOOKUP($F970,'基础-办公用品信息'!$C:$E,3,FALSE),"-")</f>
        <v>-</v>
      </c>
      <c r="I970" s="60"/>
      <c r="J970" s="60" t="str">
        <f>IFERROR(VLOOKUP($F970,'基础-办公用品信息'!$C:$F,4,FALSE),"-")</f>
        <v>-</v>
      </c>
      <c r="K970" s="60" t="str">
        <f t="shared" si="45"/>
        <v/>
      </c>
      <c r="L970" s="87"/>
      <c r="M970" s="60">
        <f t="shared" si="46"/>
        <v>1900</v>
      </c>
      <c r="N970" s="60">
        <f t="shared" si="47"/>
        <v>1</v>
      </c>
    </row>
    <row r="971" customHeight="1" spans="2:14">
      <c r="B971" s="86">
        <v>969</v>
      </c>
      <c r="C971" s="87"/>
      <c r="D971" s="87"/>
      <c r="E971" s="60" t="str">
        <f>IFERROR(VLOOKUP(D971,'基础-领用人及部门'!$C:$D,2,FALSE),"-")</f>
        <v>-</v>
      </c>
      <c r="F971" s="87"/>
      <c r="G971" s="60" t="str">
        <f>IFERROR(VLOOKUP($F971,'基础-办公用品信息'!$C:$E,2,FALSE),"-")</f>
        <v>-</v>
      </c>
      <c r="H971" s="60" t="str">
        <f>IFERROR(VLOOKUP($F971,'基础-办公用品信息'!$C:$E,3,FALSE),"-")</f>
        <v>-</v>
      </c>
      <c r="I971" s="60"/>
      <c r="J971" s="60" t="str">
        <f>IFERROR(VLOOKUP($F971,'基础-办公用品信息'!$C:$F,4,FALSE),"-")</f>
        <v>-</v>
      </c>
      <c r="K971" s="60" t="str">
        <f t="shared" si="45"/>
        <v/>
      </c>
      <c r="L971" s="87"/>
      <c r="M971" s="60">
        <f t="shared" si="46"/>
        <v>1900</v>
      </c>
      <c r="N971" s="60">
        <f t="shared" si="47"/>
        <v>1</v>
      </c>
    </row>
    <row r="972" customHeight="1" spans="2:14">
      <c r="B972" s="86">
        <v>970</v>
      </c>
      <c r="C972" s="87"/>
      <c r="D972" s="87"/>
      <c r="E972" s="60" t="str">
        <f>IFERROR(VLOOKUP(D972,'基础-领用人及部门'!$C:$D,2,FALSE),"-")</f>
        <v>-</v>
      </c>
      <c r="F972" s="87"/>
      <c r="G972" s="60" t="str">
        <f>IFERROR(VLOOKUP($F972,'基础-办公用品信息'!$C:$E,2,FALSE),"-")</f>
        <v>-</v>
      </c>
      <c r="H972" s="60" t="str">
        <f>IFERROR(VLOOKUP($F972,'基础-办公用品信息'!$C:$E,3,FALSE),"-")</f>
        <v>-</v>
      </c>
      <c r="I972" s="60"/>
      <c r="J972" s="60" t="str">
        <f>IFERROR(VLOOKUP($F972,'基础-办公用品信息'!$C:$F,4,FALSE),"-")</f>
        <v>-</v>
      </c>
      <c r="K972" s="60" t="str">
        <f t="shared" si="45"/>
        <v/>
      </c>
      <c r="L972" s="87"/>
      <c r="M972" s="60">
        <f t="shared" si="46"/>
        <v>1900</v>
      </c>
      <c r="N972" s="60">
        <f t="shared" si="47"/>
        <v>1</v>
      </c>
    </row>
    <row r="973" customHeight="1" spans="2:14">
      <c r="B973" s="86">
        <v>971</v>
      </c>
      <c r="C973" s="87"/>
      <c r="D973" s="87"/>
      <c r="E973" s="60" t="str">
        <f>IFERROR(VLOOKUP(D973,'基础-领用人及部门'!$C:$D,2,FALSE),"-")</f>
        <v>-</v>
      </c>
      <c r="F973" s="87"/>
      <c r="G973" s="60" t="str">
        <f>IFERROR(VLOOKUP($F973,'基础-办公用品信息'!$C:$E,2,FALSE),"-")</f>
        <v>-</v>
      </c>
      <c r="H973" s="60" t="str">
        <f>IFERROR(VLOOKUP($F973,'基础-办公用品信息'!$C:$E,3,FALSE),"-")</f>
        <v>-</v>
      </c>
      <c r="I973" s="60"/>
      <c r="J973" s="60" t="str">
        <f>IFERROR(VLOOKUP($F973,'基础-办公用品信息'!$C:$F,4,FALSE),"-")</f>
        <v>-</v>
      </c>
      <c r="K973" s="60" t="str">
        <f t="shared" si="45"/>
        <v/>
      </c>
      <c r="L973" s="87"/>
      <c r="M973" s="60">
        <f t="shared" si="46"/>
        <v>1900</v>
      </c>
      <c r="N973" s="60">
        <f t="shared" si="47"/>
        <v>1</v>
      </c>
    </row>
    <row r="974" customHeight="1" spans="2:14">
      <c r="B974" s="86">
        <v>972</v>
      </c>
      <c r="C974" s="87"/>
      <c r="D974" s="87"/>
      <c r="E974" s="60" t="str">
        <f>IFERROR(VLOOKUP(D974,'基础-领用人及部门'!$C:$D,2,FALSE),"-")</f>
        <v>-</v>
      </c>
      <c r="F974" s="87"/>
      <c r="G974" s="60" t="str">
        <f>IFERROR(VLOOKUP($F974,'基础-办公用品信息'!$C:$E,2,FALSE),"-")</f>
        <v>-</v>
      </c>
      <c r="H974" s="60" t="str">
        <f>IFERROR(VLOOKUP($F974,'基础-办公用品信息'!$C:$E,3,FALSE),"-")</f>
        <v>-</v>
      </c>
      <c r="I974" s="60"/>
      <c r="J974" s="60" t="str">
        <f>IFERROR(VLOOKUP($F974,'基础-办公用品信息'!$C:$F,4,FALSE),"-")</f>
        <v>-</v>
      </c>
      <c r="K974" s="60" t="str">
        <f t="shared" si="45"/>
        <v/>
      </c>
      <c r="L974" s="87"/>
      <c r="M974" s="60">
        <f t="shared" si="46"/>
        <v>1900</v>
      </c>
      <c r="N974" s="60">
        <f t="shared" si="47"/>
        <v>1</v>
      </c>
    </row>
    <row r="975" customHeight="1" spans="2:14">
      <c r="B975" s="86">
        <v>973</v>
      </c>
      <c r="C975" s="87"/>
      <c r="D975" s="87"/>
      <c r="E975" s="60" t="str">
        <f>IFERROR(VLOOKUP(D975,'基础-领用人及部门'!$C:$D,2,FALSE),"-")</f>
        <v>-</v>
      </c>
      <c r="F975" s="87"/>
      <c r="G975" s="60" t="str">
        <f>IFERROR(VLOOKUP($F975,'基础-办公用品信息'!$C:$E,2,FALSE),"-")</f>
        <v>-</v>
      </c>
      <c r="H975" s="60" t="str">
        <f>IFERROR(VLOOKUP($F975,'基础-办公用品信息'!$C:$E,3,FALSE),"-")</f>
        <v>-</v>
      </c>
      <c r="I975" s="60"/>
      <c r="J975" s="60" t="str">
        <f>IFERROR(VLOOKUP($F975,'基础-办公用品信息'!$C:$F,4,FALSE),"-")</f>
        <v>-</v>
      </c>
      <c r="K975" s="60" t="str">
        <f t="shared" si="45"/>
        <v/>
      </c>
      <c r="L975" s="87"/>
      <c r="M975" s="60">
        <f t="shared" si="46"/>
        <v>1900</v>
      </c>
      <c r="N975" s="60">
        <f t="shared" si="47"/>
        <v>1</v>
      </c>
    </row>
    <row r="976" customHeight="1" spans="2:14">
      <c r="B976" s="86">
        <v>974</v>
      </c>
      <c r="C976" s="87"/>
      <c r="D976" s="87"/>
      <c r="E976" s="60" t="str">
        <f>IFERROR(VLOOKUP(D976,'基础-领用人及部门'!$C:$D,2,FALSE),"-")</f>
        <v>-</v>
      </c>
      <c r="F976" s="87"/>
      <c r="G976" s="60" t="str">
        <f>IFERROR(VLOOKUP($F976,'基础-办公用品信息'!$C:$E,2,FALSE),"-")</f>
        <v>-</v>
      </c>
      <c r="H976" s="60" t="str">
        <f>IFERROR(VLOOKUP($F976,'基础-办公用品信息'!$C:$E,3,FALSE),"-")</f>
        <v>-</v>
      </c>
      <c r="I976" s="60"/>
      <c r="J976" s="60" t="str">
        <f>IFERROR(VLOOKUP($F976,'基础-办公用品信息'!$C:$F,4,FALSE),"-")</f>
        <v>-</v>
      </c>
      <c r="K976" s="60" t="str">
        <f t="shared" si="45"/>
        <v/>
      </c>
      <c r="L976" s="87"/>
      <c r="M976" s="60">
        <f t="shared" si="46"/>
        <v>1900</v>
      </c>
      <c r="N976" s="60">
        <f t="shared" si="47"/>
        <v>1</v>
      </c>
    </row>
    <row r="977" customHeight="1" spans="2:14">
      <c r="B977" s="86">
        <v>975</v>
      </c>
      <c r="C977" s="87"/>
      <c r="D977" s="87"/>
      <c r="E977" s="60" t="str">
        <f>IFERROR(VLOOKUP(D977,'基础-领用人及部门'!$C:$D,2,FALSE),"-")</f>
        <v>-</v>
      </c>
      <c r="F977" s="87"/>
      <c r="G977" s="60" t="str">
        <f>IFERROR(VLOOKUP($F977,'基础-办公用品信息'!$C:$E,2,FALSE),"-")</f>
        <v>-</v>
      </c>
      <c r="H977" s="60" t="str">
        <f>IFERROR(VLOOKUP($F977,'基础-办公用品信息'!$C:$E,3,FALSE),"-")</f>
        <v>-</v>
      </c>
      <c r="I977" s="60"/>
      <c r="J977" s="60" t="str">
        <f>IFERROR(VLOOKUP($F977,'基础-办公用品信息'!$C:$F,4,FALSE),"-")</f>
        <v>-</v>
      </c>
      <c r="K977" s="60" t="str">
        <f t="shared" si="45"/>
        <v/>
      </c>
      <c r="L977" s="87"/>
      <c r="M977" s="60">
        <f t="shared" si="46"/>
        <v>1900</v>
      </c>
      <c r="N977" s="60">
        <f t="shared" si="47"/>
        <v>1</v>
      </c>
    </row>
    <row r="978" customHeight="1" spans="2:14">
      <c r="B978" s="86">
        <v>976</v>
      </c>
      <c r="C978" s="87"/>
      <c r="D978" s="87"/>
      <c r="E978" s="60" t="str">
        <f>IFERROR(VLOOKUP(D978,'基础-领用人及部门'!$C:$D,2,FALSE),"-")</f>
        <v>-</v>
      </c>
      <c r="F978" s="87"/>
      <c r="G978" s="60" t="str">
        <f>IFERROR(VLOOKUP($F978,'基础-办公用品信息'!$C:$E,2,FALSE),"-")</f>
        <v>-</v>
      </c>
      <c r="H978" s="60" t="str">
        <f>IFERROR(VLOOKUP($F978,'基础-办公用品信息'!$C:$E,3,FALSE),"-")</f>
        <v>-</v>
      </c>
      <c r="I978" s="60"/>
      <c r="J978" s="60" t="str">
        <f>IFERROR(VLOOKUP($F978,'基础-办公用品信息'!$C:$F,4,FALSE),"-")</f>
        <v>-</v>
      </c>
      <c r="K978" s="60" t="str">
        <f t="shared" si="45"/>
        <v/>
      </c>
      <c r="L978" s="87"/>
      <c r="M978" s="60">
        <f t="shared" si="46"/>
        <v>1900</v>
      </c>
      <c r="N978" s="60">
        <f t="shared" si="47"/>
        <v>1</v>
      </c>
    </row>
    <row r="979" customHeight="1" spans="2:14">
      <c r="B979" s="86">
        <v>977</v>
      </c>
      <c r="C979" s="87"/>
      <c r="D979" s="87"/>
      <c r="E979" s="60" t="str">
        <f>IFERROR(VLOOKUP(D979,'基础-领用人及部门'!$C:$D,2,FALSE),"-")</f>
        <v>-</v>
      </c>
      <c r="F979" s="87"/>
      <c r="G979" s="60" t="str">
        <f>IFERROR(VLOOKUP($F979,'基础-办公用品信息'!$C:$E,2,FALSE),"-")</f>
        <v>-</v>
      </c>
      <c r="H979" s="60" t="str">
        <f>IFERROR(VLOOKUP($F979,'基础-办公用品信息'!$C:$E,3,FALSE),"-")</f>
        <v>-</v>
      </c>
      <c r="I979" s="60"/>
      <c r="J979" s="60" t="str">
        <f>IFERROR(VLOOKUP($F979,'基础-办公用品信息'!$C:$F,4,FALSE),"-")</f>
        <v>-</v>
      </c>
      <c r="K979" s="60" t="str">
        <f t="shared" si="45"/>
        <v/>
      </c>
      <c r="L979" s="87"/>
      <c r="M979" s="60">
        <f t="shared" si="46"/>
        <v>1900</v>
      </c>
      <c r="N979" s="60">
        <f t="shared" si="47"/>
        <v>1</v>
      </c>
    </row>
    <row r="980" customHeight="1" spans="2:14">
      <c r="B980" s="86">
        <v>978</v>
      </c>
      <c r="C980" s="87"/>
      <c r="D980" s="87"/>
      <c r="E980" s="60" t="str">
        <f>IFERROR(VLOOKUP(D980,'基础-领用人及部门'!$C:$D,2,FALSE),"-")</f>
        <v>-</v>
      </c>
      <c r="F980" s="87"/>
      <c r="G980" s="60" t="str">
        <f>IFERROR(VLOOKUP($F980,'基础-办公用品信息'!$C:$E,2,FALSE),"-")</f>
        <v>-</v>
      </c>
      <c r="H980" s="60" t="str">
        <f>IFERROR(VLOOKUP($F980,'基础-办公用品信息'!$C:$E,3,FALSE),"-")</f>
        <v>-</v>
      </c>
      <c r="I980" s="60"/>
      <c r="J980" s="60" t="str">
        <f>IFERROR(VLOOKUP($F980,'基础-办公用品信息'!$C:$F,4,FALSE),"-")</f>
        <v>-</v>
      </c>
      <c r="K980" s="60" t="str">
        <f t="shared" si="45"/>
        <v/>
      </c>
      <c r="L980" s="87"/>
      <c r="M980" s="60">
        <f t="shared" si="46"/>
        <v>1900</v>
      </c>
      <c r="N980" s="60">
        <f t="shared" si="47"/>
        <v>1</v>
      </c>
    </row>
    <row r="981" customHeight="1" spans="2:14">
      <c r="B981" s="86">
        <v>979</v>
      </c>
      <c r="C981" s="87"/>
      <c r="D981" s="87"/>
      <c r="E981" s="60" t="str">
        <f>IFERROR(VLOOKUP(D981,'基础-领用人及部门'!$C:$D,2,FALSE),"-")</f>
        <v>-</v>
      </c>
      <c r="F981" s="87"/>
      <c r="G981" s="60" t="str">
        <f>IFERROR(VLOOKUP($F981,'基础-办公用品信息'!$C:$E,2,FALSE),"-")</f>
        <v>-</v>
      </c>
      <c r="H981" s="60" t="str">
        <f>IFERROR(VLOOKUP($F981,'基础-办公用品信息'!$C:$E,3,FALSE),"-")</f>
        <v>-</v>
      </c>
      <c r="I981" s="60"/>
      <c r="J981" s="60" t="str">
        <f>IFERROR(VLOOKUP($F981,'基础-办公用品信息'!$C:$F,4,FALSE),"-")</f>
        <v>-</v>
      </c>
      <c r="K981" s="60" t="str">
        <f t="shared" si="45"/>
        <v/>
      </c>
      <c r="L981" s="87"/>
      <c r="M981" s="60">
        <f t="shared" si="46"/>
        <v>1900</v>
      </c>
      <c r="N981" s="60">
        <f t="shared" si="47"/>
        <v>1</v>
      </c>
    </row>
    <row r="982" customHeight="1" spans="2:14">
      <c r="B982" s="86">
        <v>980</v>
      </c>
      <c r="C982" s="87"/>
      <c r="D982" s="87"/>
      <c r="E982" s="60" t="str">
        <f>IFERROR(VLOOKUP(D982,'基础-领用人及部门'!$C:$D,2,FALSE),"-")</f>
        <v>-</v>
      </c>
      <c r="F982" s="87"/>
      <c r="G982" s="60" t="str">
        <f>IFERROR(VLOOKUP($F982,'基础-办公用品信息'!$C:$E,2,FALSE),"-")</f>
        <v>-</v>
      </c>
      <c r="H982" s="60" t="str">
        <f>IFERROR(VLOOKUP($F982,'基础-办公用品信息'!$C:$E,3,FALSE),"-")</f>
        <v>-</v>
      </c>
      <c r="I982" s="60"/>
      <c r="J982" s="60" t="str">
        <f>IFERROR(VLOOKUP($F982,'基础-办公用品信息'!$C:$F,4,FALSE),"-")</f>
        <v>-</v>
      </c>
      <c r="K982" s="60" t="str">
        <f t="shared" si="45"/>
        <v/>
      </c>
      <c r="L982" s="87"/>
      <c r="M982" s="60">
        <f t="shared" si="46"/>
        <v>1900</v>
      </c>
      <c r="N982" s="60">
        <f t="shared" si="47"/>
        <v>1</v>
      </c>
    </row>
    <row r="983" customHeight="1" spans="2:14">
      <c r="B983" s="86">
        <v>981</v>
      </c>
      <c r="C983" s="87"/>
      <c r="D983" s="87"/>
      <c r="E983" s="60" t="str">
        <f>IFERROR(VLOOKUP(D983,'基础-领用人及部门'!$C:$D,2,FALSE),"-")</f>
        <v>-</v>
      </c>
      <c r="F983" s="87"/>
      <c r="G983" s="60" t="str">
        <f>IFERROR(VLOOKUP($F983,'基础-办公用品信息'!$C:$E,2,FALSE),"-")</f>
        <v>-</v>
      </c>
      <c r="H983" s="60" t="str">
        <f>IFERROR(VLOOKUP($F983,'基础-办公用品信息'!$C:$E,3,FALSE),"-")</f>
        <v>-</v>
      </c>
      <c r="I983" s="60"/>
      <c r="J983" s="60" t="str">
        <f>IFERROR(VLOOKUP($F983,'基础-办公用品信息'!$C:$F,4,FALSE),"-")</f>
        <v>-</v>
      </c>
      <c r="K983" s="60" t="str">
        <f t="shared" si="45"/>
        <v/>
      </c>
      <c r="L983" s="87"/>
      <c r="M983" s="60">
        <f t="shared" si="46"/>
        <v>1900</v>
      </c>
      <c r="N983" s="60">
        <f t="shared" si="47"/>
        <v>1</v>
      </c>
    </row>
    <row r="984" customHeight="1" spans="2:14">
      <c r="B984" s="86">
        <v>982</v>
      </c>
      <c r="C984" s="87"/>
      <c r="D984" s="87"/>
      <c r="E984" s="60" t="str">
        <f>IFERROR(VLOOKUP(D984,'基础-领用人及部门'!$C:$D,2,FALSE),"-")</f>
        <v>-</v>
      </c>
      <c r="F984" s="87"/>
      <c r="G984" s="60" t="str">
        <f>IFERROR(VLOOKUP($F984,'基础-办公用品信息'!$C:$E,2,FALSE),"-")</f>
        <v>-</v>
      </c>
      <c r="H984" s="60" t="str">
        <f>IFERROR(VLOOKUP($F984,'基础-办公用品信息'!$C:$E,3,FALSE),"-")</f>
        <v>-</v>
      </c>
      <c r="I984" s="60"/>
      <c r="J984" s="60" t="str">
        <f>IFERROR(VLOOKUP($F984,'基础-办公用品信息'!$C:$F,4,FALSE),"-")</f>
        <v>-</v>
      </c>
      <c r="K984" s="60" t="str">
        <f t="shared" si="45"/>
        <v/>
      </c>
      <c r="L984" s="87"/>
      <c r="M984" s="60">
        <f t="shared" si="46"/>
        <v>1900</v>
      </c>
      <c r="N984" s="60">
        <f t="shared" si="47"/>
        <v>1</v>
      </c>
    </row>
    <row r="985" customHeight="1" spans="2:14">
      <c r="B985" s="86">
        <v>983</v>
      </c>
      <c r="C985" s="87"/>
      <c r="D985" s="87"/>
      <c r="E985" s="60" t="str">
        <f>IFERROR(VLOOKUP(D985,'基础-领用人及部门'!$C:$D,2,FALSE),"-")</f>
        <v>-</v>
      </c>
      <c r="F985" s="87"/>
      <c r="G985" s="60" t="str">
        <f>IFERROR(VLOOKUP($F985,'基础-办公用品信息'!$C:$E,2,FALSE),"-")</f>
        <v>-</v>
      </c>
      <c r="H985" s="60" t="str">
        <f>IFERROR(VLOOKUP($F985,'基础-办公用品信息'!$C:$E,3,FALSE),"-")</f>
        <v>-</v>
      </c>
      <c r="I985" s="60"/>
      <c r="J985" s="60" t="str">
        <f>IFERROR(VLOOKUP($F985,'基础-办公用品信息'!$C:$F,4,FALSE),"-")</f>
        <v>-</v>
      </c>
      <c r="K985" s="60" t="str">
        <f t="shared" si="45"/>
        <v/>
      </c>
      <c r="L985" s="87"/>
      <c r="M985" s="60">
        <f t="shared" si="46"/>
        <v>1900</v>
      </c>
      <c r="N985" s="60">
        <f t="shared" si="47"/>
        <v>1</v>
      </c>
    </row>
    <row r="986" customHeight="1" spans="2:14">
      <c r="B986" s="86">
        <v>984</v>
      </c>
      <c r="C986" s="87"/>
      <c r="D986" s="87"/>
      <c r="E986" s="60" t="str">
        <f>IFERROR(VLOOKUP(D986,'基础-领用人及部门'!$C:$D,2,FALSE),"-")</f>
        <v>-</v>
      </c>
      <c r="F986" s="87"/>
      <c r="G986" s="60" t="str">
        <f>IFERROR(VLOOKUP($F986,'基础-办公用品信息'!$C:$E,2,FALSE),"-")</f>
        <v>-</v>
      </c>
      <c r="H986" s="60" t="str">
        <f>IFERROR(VLOOKUP($F986,'基础-办公用品信息'!$C:$E,3,FALSE),"-")</f>
        <v>-</v>
      </c>
      <c r="I986" s="60"/>
      <c r="J986" s="60" t="str">
        <f>IFERROR(VLOOKUP($F986,'基础-办公用品信息'!$C:$F,4,FALSE),"-")</f>
        <v>-</v>
      </c>
      <c r="K986" s="60" t="str">
        <f t="shared" si="45"/>
        <v/>
      </c>
      <c r="L986" s="87"/>
      <c r="M986" s="60">
        <f t="shared" si="46"/>
        <v>1900</v>
      </c>
      <c r="N986" s="60">
        <f t="shared" si="47"/>
        <v>1</v>
      </c>
    </row>
    <row r="987" customHeight="1" spans="2:14">
      <c r="B987" s="86">
        <v>985</v>
      </c>
      <c r="C987" s="87"/>
      <c r="D987" s="87"/>
      <c r="E987" s="60" t="str">
        <f>IFERROR(VLOOKUP(D987,'基础-领用人及部门'!$C:$D,2,FALSE),"-")</f>
        <v>-</v>
      </c>
      <c r="F987" s="87"/>
      <c r="G987" s="60" t="str">
        <f>IFERROR(VLOOKUP($F987,'基础-办公用品信息'!$C:$E,2,FALSE),"-")</f>
        <v>-</v>
      </c>
      <c r="H987" s="60" t="str">
        <f>IFERROR(VLOOKUP($F987,'基础-办公用品信息'!$C:$E,3,FALSE),"-")</f>
        <v>-</v>
      </c>
      <c r="I987" s="60"/>
      <c r="J987" s="60" t="str">
        <f>IFERROR(VLOOKUP($F987,'基础-办公用品信息'!$C:$F,4,FALSE),"-")</f>
        <v>-</v>
      </c>
      <c r="K987" s="60" t="str">
        <f t="shared" si="45"/>
        <v/>
      </c>
      <c r="L987" s="87"/>
      <c r="M987" s="60">
        <f t="shared" si="46"/>
        <v>1900</v>
      </c>
      <c r="N987" s="60">
        <f t="shared" si="47"/>
        <v>1</v>
      </c>
    </row>
    <row r="988" customHeight="1" spans="2:14">
      <c r="B988" s="86">
        <v>986</v>
      </c>
      <c r="C988" s="87"/>
      <c r="D988" s="87"/>
      <c r="E988" s="60" t="str">
        <f>IFERROR(VLOOKUP(D988,'基础-领用人及部门'!$C:$D,2,FALSE),"-")</f>
        <v>-</v>
      </c>
      <c r="F988" s="87"/>
      <c r="G988" s="60" t="str">
        <f>IFERROR(VLOOKUP($F988,'基础-办公用品信息'!$C:$E,2,FALSE),"-")</f>
        <v>-</v>
      </c>
      <c r="H988" s="60" t="str">
        <f>IFERROR(VLOOKUP($F988,'基础-办公用品信息'!$C:$E,3,FALSE),"-")</f>
        <v>-</v>
      </c>
      <c r="I988" s="60"/>
      <c r="J988" s="60" t="str">
        <f>IFERROR(VLOOKUP($F988,'基础-办公用品信息'!$C:$F,4,FALSE),"-")</f>
        <v>-</v>
      </c>
      <c r="K988" s="60" t="str">
        <f t="shared" si="45"/>
        <v/>
      </c>
      <c r="L988" s="87"/>
      <c r="M988" s="60">
        <f t="shared" si="46"/>
        <v>1900</v>
      </c>
      <c r="N988" s="60">
        <f t="shared" si="47"/>
        <v>1</v>
      </c>
    </row>
    <row r="989" customHeight="1" spans="2:14">
      <c r="B989" s="86">
        <v>987</v>
      </c>
      <c r="C989" s="87"/>
      <c r="D989" s="87"/>
      <c r="E989" s="60" t="str">
        <f>IFERROR(VLOOKUP(D989,'基础-领用人及部门'!$C:$D,2,FALSE),"-")</f>
        <v>-</v>
      </c>
      <c r="F989" s="87"/>
      <c r="G989" s="60" t="str">
        <f>IFERROR(VLOOKUP($F989,'基础-办公用品信息'!$C:$E,2,FALSE),"-")</f>
        <v>-</v>
      </c>
      <c r="H989" s="60" t="str">
        <f>IFERROR(VLOOKUP($F989,'基础-办公用品信息'!$C:$E,3,FALSE),"-")</f>
        <v>-</v>
      </c>
      <c r="I989" s="60"/>
      <c r="J989" s="60" t="str">
        <f>IFERROR(VLOOKUP($F989,'基础-办公用品信息'!$C:$F,4,FALSE),"-")</f>
        <v>-</v>
      </c>
      <c r="K989" s="60" t="str">
        <f t="shared" si="45"/>
        <v/>
      </c>
      <c r="L989" s="87"/>
      <c r="M989" s="60">
        <f t="shared" si="46"/>
        <v>1900</v>
      </c>
      <c r="N989" s="60">
        <f t="shared" si="47"/>
        <v>1</v>
      </c>
    </row>
    <row r="990" customHeight="1" spans="2:14">
      <c r="B990" s="86">
        <v>988</v>
      </c>
      <c r="C990" s="87"/>
      <c r="D990" s="87"/>
      <c r="E990" s="60" t="str">
        <f>IFERROR(VLOOKUP(D990,'基础-领用人及部门'!$C:$D,2,FALSE),"-")</f>
        <v>-</v>
      </c>
      <c r="F990" s="87"/>
      <c r="G990" s="60" t="str">
        <f>IFERROR(VLOOKUP($F990,'基础-办公用品信息'!$C:$E,2,FALSE),"-")</f>
        <v>-</v>
      </c>
      <c r="H990" s="60" t="str">
        <f>IFERROR(VLOOKUP($F990,'基础-办公用品信息'!$C:$E,3,FALSE),"-")</f>
        <v>-</v>
      </c>
      <c r="I990" s="60"/>
      <c r="J990" s="60" t="str">
        <f>IFERROR(VLOOKUP($F990,'基础-办公用品信息'!$C:$F,4,FALSE),"-")</f>
        <v>-</v>
      </c>
      <c r="K990" s="60" t="str">
        <f t="shared" si="45"/>
        <v/>
      </c>
      <c r="L990" s="87"/>
      <c r="M990" s="60">
        <f t="shared" si="46"/>
        <v>1900</v>
      </c>
      <c r="N990" s="60">
        <f t="shared" si="47"/>
        <v>1</v>
      </c>
    </row>
    <row r="991" customHeight="1" spans="2:14">
      <c r="B991" s="86">
        <v>989</v>
      </c>
      <c r="C991" s="87"/>
      <c r="D991" s="87"/>
      <c r="E991" s="60" t="str">
        <f>IFERROR(VLOOKUP(D991,'基础-领用人及部门'!$C:$D,2,FALSE),"-")</f>
        <v>-</v>
      </c>
      <c r="F991" s="87"/>
      <c r="G991" s="60" t="str">
        <f>IFERROR(VLOOKUP($F991,'基础-办公用品信息'!$C:$E,2,FALSE),"-")</f>
        <v>-</v>
      </c>
      <c r="H991" s="60" t="str">
        <f>IFERROR(VLOOKUP($F991,'基础-办公用品信息'!$C:$E,3,FALSE),"-")</f>
        <v>-</v>
      </c>
      <c r="I991" s="60"/>
      <c r="J991" s="60" t="str">
        <f>IFERROR(VLOOKUP($F991,'基础-办公用品信息'!$C:$F,4,FALSE),"-")</f>
        <v>-</v>
      </c>
      <c r="K991" s="60" t="str">
        <f t="shared" si="45"/>
        <v/>
      </c>
      <c r="L991" s="87"/>
      <c r="M991" s="60">
        <f t="shared" si="46"/>
        <v>1900</v>
      </c>
      <c r="N991" s="60">
        <f t="shared" si="47"/>
        <v>1</v>
      </c>
    </row>
    <row r="992" customHeight="1" spans="2:14">
      <c r="B992" s="86">
        <v>990</v>
      </c>
      <c r="C992" s="87"/>
      <c r="D992" s="87"/>
      <c r="E992" s="60" t="str">
        <f>IFERROR(VLOOKUP(D992,'基础-领用人及部门'!$C:$D,2,FALSE),"-")</f>
        <v>-</v>
      </c>
      <c r="F992" s="87"/>
      <c r="G992" s="60" t="str">
        <f>IFERROR(VLOOKUP($F992,'基础-办公用品信息'!$C:$E,2,FALSE),"-")</f>
        <v>-</v>
      </c>
      <c r="H992" s="60" t="str">
        <f>IFERROR(VLOOKUP($F992,'基础-办公用品信息'!$C:$E,3,FALSE),"-")</f>
        <v>-</v>
      </c>
      <c r="I992" s="60"/>
      <c r="J992" s="60" t="str">
        <f>IFERROR(VLOOKUP($F992,'基础-办公用品信息'!$C:$F,4,FALSE),"-")</f>
        <v>-</v>
      </c>
      <c r="K992" s="60" t="str">
        <f t="shared" si="45"/>
        <v/>
      </c>
      <c r="L992" s="87"/>
      <c r="M992" s="60">
        <f t="shared" si="46"/>
        <v>1900</v>
      </c>
      <c r="N992" s="60">
        <f t="shared" si="47"/>
        <v>1</v>
      </c>
    </row>
    <row r="993" customHeight="1" spans="2:14">
      <c r="B993" s="86">
        <v>991</v>
      </c>
      <c r="C993" s="87"/>
      <c r="D993" s="87"/>
      <c r="E993" s="60" t="str">
        <f>IFERROR(VLOOKUP(D993,'基础-领用人及部门'!$C:$D,2,FALSE),"-")</f>
        <v>-</v>
      </c>
      <c r="F993" s="87"/>
      <c r="G993" s="60" t="str">
        <f>IFERROR(VLOOKUP($F993,'基础-办公用品信息'!$C:$E,2,FALSE),"-")</f>
        <v>-</v>
      </c>
      <c r="H993" s="60" t="str">
        <f>IFERROR(VLOOKUP($F993,'基础-办公用品信息'!$C:$E,3,FALSE),"-")</f>
        <v>-</v>
      </c>
      <c r="I993" s="60"/>
      <c r="J993" s="60" t="str">
        <f>IFERROR(VLOOKUP($F993,'基础-办公用品信息'!$C:$F,4,FALSE),"-")</f>
        <v>-</v>
      </c>
      <c r="K993" s="60" t="str">
        <f t="shared" si="45"/>
        <v/>
      </c>
      <c r="L993" s="87"/>
      <c r="M993" s="60">
        <f t="shared" si="46"/>
        <v>1900</v>
      </c>
      <c r="N993" s="60">
        <f t="shared" si="47"/>
        <v>1</v>
      </c>
    </row>
    <row r="994" customHeight="1" spans="2:14">
      <c r="B994" s="86">
        <v>992</v>
      </c>
      <c r="C994" s="87"/>
      <c r="D994" s="87"/>
      <c r="E994" s="60" t="str">
        <f>IFERROR(VLOOKUP(D994,'基础-领用人及部门'!$C:$D,2,FALSE),"-")</f>
        <v>-</v>
      </c>
      <c r="F994" s="87"/>
      <c r="G994" s="60" t="str">
        <f>IFERROR(VLOOKUP($F994,'基础-办公用品信息'!$C:$E,2,FALSE),"-")</f>
        <v>-</v>
      </c>
      <c r="H994" s="60" t="str">
        <f>IFERROR(VLOOKUP($F994,'基础-办公用品信息'!$C:$E,3,FALSE),"-")</f>
        <v>-</v>
      </c>
      <c r="I994" s="60"/>
      <c r="J994" s="60" t="str">
        <f>IFERROR(VLOOKUP($F994,'基础-办公用品信息'!$C:$F,4,FALSE),"-")</f>
        <v>-</v>
      </c>
      <c r="K994" s="60" t="str">
        <f t="shared" si="45"/>
        <v/>
      </c>
      <c r="L994" s="87"/>
      <c r="M994" s="60">
        <f t="shared" si="46"/>
        <v>1900</v>
      </c>
      <c r="N994" s="60">
        <f t="shared" si="47"/>
        <v>1</v>
      </c>
    </row>
    <row r="995" customHeight="1" spans="2:14">
      <c r="B995" s="86">
        <v>993</v>
      </c>
      <c r="C995" s="87"/>
      <c r="D995" s="87"/>
      <c r="E995" s="60" t="str">
        <f>IFERROR(VLOOKUP(D995,'基础-领用人及部门'!$C:$D,2,FALSE),"-")</f>
        <v>-</v>
      </c>
      <c r="F995" s="87"/>
      <c r="G995" s="60" t="str">
        <f>IFERROR(VLOOKUP($F995,'基础-办公用品信息'!$C:$E,2,FALSE),"-")</f>
        <v>-</v>
      </c>
      <c r="H995" s="60" t="str">
        <f>IFERROR(VLOOKUP($F995,'基础-办公用品信息'!$C:$E,3,FALSE),"-")</f>
        <v>-</v>
      </c>
      <c r="I995" s="60"/>
      <c r="J995" s="60" t="str">
        <f>IFERROR(VLOOKUP($F995,'基础-办公用品信息'!$C:$F,4,FALSE),"-")</f>
        <v>-</v>
      </c>
      <c r="K995" s="60" t="str">
        <f t="shared" si="45"/>
        <v/>
      </c>
      <c r="L995" s="87"/>
      <c r="M995" s="60">
        <f t="shared" si="46"/>
        <v>1900</v>
      </c>
      <c r="N995" s="60">
        <f t="shared" si="47"/>
        <v>1</v>
      </c>
    </row>
    <row r="996" customHeight="1" spans="2:14">
      <c r="B996" s="86">
        <v>994</v>
      </c>
      <c r="C996" s="87"/>
      <c r="D996" s="87"/>
      <c r="E996" s="60" t="str">
        <f>IFERROR(VLOOKUP(D996,'基础-领用人及部门'!$C:$D,2,FALSE),"-")</f>
        <v>-</v>
      </c>
      <c r="F996" s="87"/>
      <c r="G996" s="60" t="str">
        <f>IFERROR(VLOOKUP($F996,'基础-办公用品信息'!$C:$E,2,FALSE),"-")</f>
        <v>-</v>
      </c>
      <c r="H996" s="60" t="str">
        <f>IFERROR(VLOOKUP($F996,'基础-办公用品信息'!$C:$E,3,FALSE),"-")</f>
        <v>-</v>
      </c>
      <c r="I996" s="60"/>
      <c r="J996" s="60" t="str">
        <f>IFERROR(VLOOKUP($F996,'基础-办公用品信息'!$C:$F,4,FALSE),"-")</f>
        <v>-</v>
      </c>
      <c r="K996" s="60" t="str">
        <f t="shared" si="45"/>
        <v/>
      </c>
      <c r="L996" s="87"/>
      <c r="M996" s="60">
        <f t="shared" si="46"/>
        <v>1900</v>
      </c>
      <c r="N996" s="60">
        <f t="shared" si="47"/>
        <v>1</v>
      </c>
    </row>
    <row r="997" customHeight="1" spans="2:14">
      <c r="B997" s="86">
        <v>995</v>
      </c>
      <c r="C997" s="87"/>
      <c r="D997" s="87"/>
      <c r="E997" s="60" t="str">
        <f>IFERROR(VLOOKUP(D997,'基础-领用人及部门'!$C:$D,2,FALSE),"-")</f>
        <v>-</v>
      </c>
      <c r="F997" s="87"/>
      <c r="G997" s="60" t="str">
        <f>IFERROR(VLOOKUP($F997,'基础-办公用品信息'!$C:$E,2,FALSE),"-")</f>
        <v>-</v>
      </c>
      <c r="H997" s="60" t="str">
        <f>IFERROR(VLOOKUP($F997,'基础-办公用品信息'!$C:$E,3,FALSE),"-")</f>
        <v>-</v>
      </c>
      <c r="I997" s="60"/>
      <c r="J997" s="60" t="str">
        <f>IFERROR(VLOOKUP($F997,'基础-办公用品信息'!$C:$F,4,FALSE),"-")</f>
        <v>-</v>
      </c>
      <c r="K997" s="60" t="str">
        <f t="shared" si="45"/>
        <v/>
      </c>
      <c r="L997" s="87"/>
      <c r="M997" s="60">
        <f t="shared" si="46"/>
        <v>1900</v>
      </c>
      <c r="N997" s="60">
        <f t="shared" si="47"/>
        <v>1</v>
      </c>
    </row>
    <row r="998" customHeight="1" spans="2:14">
      <c r="B998" s="86">
        <v>996</v>
      </c>
      <c r="C998" s="87"/>
      <c r="D998" s="87"/>
      <c r="E998" s="60" t="str">
        <f>IFERROR(VLOOKUP(D998,'基础-领用人及部门'!$C:$D,2,FALSE),"-")</f>
        <v>-</v>
      </c>
      <c r="F998" s="87"/>
      <c r="G998" s="60" t="str">
        <f>IFERROR(VLOOKUP($F998,'基础-办公用品信息'!$C:$E,2,FALSE),"-")</f>
        <v>-</v>
      </c>
      <c r="H998" s="60" t="str">
        <f>IFERROR(VLOOKUP($F998,'基础-办公用品信息'!$C:$E,3,FALSE),"-")</f>
        <v>-</v>
      </c>
      <c r="I998" s="60"/>
      <c r="J998" s="60" t="str">
        <f>IFERROR(VLOOKUP($F998,'基础-办公用品信息'!$C:$F,4,FALSE),"-")</f>
        <v>-</v>
      </c>
      <c r="K998" s="60" t="str">
        <f t="shared" si="45"/>
        <v/>
      </c>
      <c r="L998" s="87"/>
      <c r="M998" s="60">
        <f t="shared" si="46"/>
        <v>1900</v>
      </c>
      <c r="N998" s="60">
        <f t="shared" si="47"/>
        <v>1</v>
      </c>
    </row>
    <row r="999" customHeight="1" spans="2:14">
      <c r="B999" s="86">
        <v>997</v>
      </c>
      <c r="C999" s="87"/>
      <c r="D999" s="87"/>
      <c r="E999" s="60" t="str">
        <f>IFERROR(VLOOKUP(D999,'基础-领用人及部门'!$C:$D,2,FALSE),"-")</f>
        <v>-</v>
      </c>
      <c r="F999" s="87"/>
      <c r="G999" s="60" t="str">
        <f>IFERROR(VLOOKUP($F999,'基础-办公用品信息'!$C:$E,2,FALSE),"-")</f>
        <v>-</v>
      </c>
      <c r="H999" s="60" t="str">
        <f>IFERROR(VLOOKUP($F999,'基础-办公用品信息'!$C:$E,3,FALSE),"-")</f>
        <v>-</v>
      </c>
      <c r="I999" s="60"/>
      <c r="J999" s="60" t="str">
        <f>IFERROR(VLOOKUP($F999,'基础-办公用品信息'!$C:$F,4,FALSE),"-")</f>
        <v>-</v>
      </c>
      <c r="K999" s="60" t="str">
        <f t="shared" si="45"/>
        <v/>
      </c>
      <c r="L999" s="87"/>
      <c r="M999" s="60">
        <f t="shared" si="46"/>
        <v>1900</v>
      </c>
      <c r="N999" s="60">
        <f t="shared" si="47"/>
        <v>1</v>
      </c>
    </row>
    <row r="1000" customHeight="1" spans="2:14">
      <c r="B1000" s="86">
        <v>998</v>
      </c>
      <c r="C1000" s="87"/>
      <c r="D1000" s="87"/>
      <c r="E1000" s="60" t="str">
        <f>IFERROR(VLOOKUP(D1000,'基础-领用人及部门'!$C:$D,2,FALSE),"-")</f>
        <v>-</v>
      </c>
      <c r="F1000" s="87"/>
      <c r="G1000" s="60" t="str">
        <f>IFERROR(VLOOKUP($F1000,'基础-办公用品信息'!$C:$E,2,FALSE),"-")</f>
        <v>-</v>
      </c>
      <c r="H1000" s="60" t="str">
        <f>IFERROR(VLOOKUP($F1000,'基础-办公用品信息'!$C:$E,3,FALSE),"-")</f>
        <v>-</v>
      </c>
      <c r="I1000" s="60"/>
      <c r="J1000" s="60" t="str">
        <f>IFERROR(VLOOKUP($F1000,'基础-办公用品信息'!$C:$F,4,FALSE),"-")</f>
        <v>-</v>
      </c>
      <c r="K1000" s="60" t="str">
        <f t="shared" si="45"/>
        <v/>
      </c>
      <c r="L1000" s="87"/>
      <c r="M1000" s="60">
        <f t="shared" si="46"/>
        <v>1900</v>
      </c>
      <c r="N1000" s="60">
        <f t="shared" si="47"/>
        <v>1</v>
      </c>
    </row>
    <row r="1001" customHeight="1" spans="2:14">
      <c r="B1001" s="86">
        <v>999</v>
      </c>
      <c r="C1001" s="87"/>
      <c r="D1001" s="87"/>
      <c r="E1001" s="60" t="str">
        <f>IFERROR(VLOOKUP(D1001,'基础-领用人及部门'!$C:$D,2,FALSE),"-")</f>
        <v>-</v>
      </c>
      <c r="F1001" s="87"/>
      <c r="G1001" s="60" t="str">
        <f>IFERROR(VLOOKUP($F1001,'基础-办公用品信息'!$C:$E,2,FALSE),"-")</f>
        <v>-</v>
      </c>
      <c r="H1001" s="60" t="str">
        <f>IFERROR(VLOOKUP($F1001,'基础-办公用品信息'!$C:$E,3,FALSE),"-")</f>
        <v>-</v>
      </c>
      <c r="I1001" s="60"/>
      <c r="J1001" s="60" t="str">
        <f>IFERROR(VLOOKUP($F1001,'基础-办公用品信息'!$C:$F,4,FALSE),"-")</f>
        <v>-</v>
      </c>
      <c r="K1001" s="60" t="str">
        <f t="shared" si="45"/>
        <v/>
      </c>
      <c r="L1001" s="87"/>
      <c r="M1001" s="60">
        <f t="shared" si="46"/>
        <v>1900</v>
      </c>
      <c r="N1001" s="60">
        <f t="shared" si="47"/>
        <v>1</v>
      </c>
    </row>
    <row r="1002" customHeight="1" spans="2:14">
      <c r="B1002" s="86">
        <v>1000</v>
      </c>
      <c r="C1002" s="86"/>
      <c r="D1002" s="86"/>
      <c r="E1002" s="59"/>
      <c r="F1002" s="86"/>
      <c r="G1002" s="59"/>
      <c r="H1002" s="59"/>
      <c r="I1002" s="59"/>
      <c r="J1002" s="59"/>
      <c r="K1002" s="59"/>
      <c r="L1002" s="86"/>
      <c r="M1002" s="59"/>
      <c r="N1002" s="59"/>
    </row>
  </sheetData>
  <autoFilter xmlns:etc="http://www.wps.cn/officeDocument/2017/etCustomData" ref="B1:N1002" etc:filterBottomFollowUsedRange="0">
    <extLst/>
  </autoFilter>
  <mergeCells count="1">
    <mergeCell ref="B2:N2"/>
  </mergeCells>
  <dataValidations count="4">
    <dataValidation type="list" allowBlank="1" showInputMessage="1" showErrorMessage="1" sqref="D4 D6:D139 D141:D1001">
      <formula1>'基础-领用人及部门'!$C$4:$C$303</formula1>
    </dataValidation>
    <dataValidation type="list" allowBlank="1" showInputMessage="1" showErrorMessage="1" sqref="F254 F4:F36 F59:F69 F708:F1001">
      <formula1>'基础-办公用品信息'!$C$4:$C$141</formula1>
    </dataValidation>
    <dataValidation type="list" allowBlank="1" showInputMessage="1" showErrorMessage="1" sqref="F37:F58 F70:F253">
      <formula1>'基础-办公用品信息'!$C$4:$C$499</formula1>
    </dataValidation>
    <dataValidation type="list" allowBlank="1" showInputMessage="1" showErrorMessage="1" sqref="F255:F341 F349:F707">
      <formula1>'基础-办公用品信息'!$C$4:$C$1410</formula1>
    </dataValidation>
  </dataValidations>
  <pageMargins left="0.699305555555556" right="0.699305555555556" top="0.75" bottom="0.75" header="0.3" footer="0.3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7"/>
  <sheetViews>
    <sheetView showGridLines="0" workbookViewId="0">
      <pane ySplit="7" topLeftCell="A28" activePane="bottomLeft" state="frozen"/>
      <selection/>
      <selection pane="bottomLeft" activeCell="A1" sqref="A1"/>
    </sheetView>
  </sheetViews>
  <sheetFormatPr defaultColWidth="9" defaultRowHeight="18.95" customHeight="1"/>
  <cols>
    <col min="1" max="1" width="1.56363636363636" style="43" customWidth="1"/>
    <col min="2" max="2" width="5.14545454545455" style="44" customWidth="1"/>
    <col min="3" max="3" width="16" style="44" customWidth="1"/>
    <col min="4" max="4" width="5.70909090909091" style="44" customWidth="1"/>
    <col min="5" max="5" width="6.42727272727273" style="44" customWidth="1"/>
    <col min="6" max="6" width="10.4272727272727" style="44" customWidth="1"/>
    <col min="7" max="7" width="11.7090909090909" style="45" customWidth="1"/>
    <col min="8" max="8" width="10.7090909090909" style="45" customWidth="1"/>
    <col min="9" max="9" width="11.6272727272727" style="45" customWidth="1"/>
    <col min="10" max="10" width="13.2818181818182" style="44" customWidth="1"/>
    <col min="11" max="11" width="18.1454545454545" style="43" customWidth="1"/>
    <col min="12" max="12" width="12.7090909090909" style="43" customWidth="1"/>
    <col min="13" max="13" width="12.7090909090909" style="46" customWidth="1"/>
    <col min="14" max="16383" width="9" style="46"/>
  </cols>
  <sheetData>
    <row r="1" ht="9" customHeight="1"/>
    <row r="2" ht="24" customHeight="1" spans="1:13">
      <c r="B2" s="48" t="s">
        <v>375</v>
      </c>
      <c r="C2" s="48"/>
      <c r="D2" s="48"/>
      <c r="E2" s="48"/>
      <c r="F2" s="48"/>
      <c r="G2" s="64"/>
      <c r="H2" s="64"/>
      <c r="I2" s="64"/>
      <c r="J2" s="115"/>
      <c r="L2" s="104" t="s">
        <v>376</v>
      </c>
      <c r="M2" s="104" t="s">
        <v>377</v>
      </c>
    </row>
    <row r="3" s="42" customFormat="1" ht="12.95" customHeight="1" spans="1:13">
      <c r="A3" s="43"/>
      <c r="B3" s="47"/>
      <c r="C3" s="47"/>
      <c r="D3" s="47"/>
      <c r="E3" s="47"/>
      <c r="F3" s="47"/>
      <c r="G3" s="50"/>
      <c r="H3" s="50"/>
      <c r="I3" s="50"/>
      <c r="J3" s="44"/>
      <c r="K3" s="43"/>
      <c r="L3" s="58">
        <f>SUM(I8:I500)</f>
        <v>63</v>
      </c>
      <c r="M3" s="58">
        <f>SUM(K8:K500)</f>
        <v>84.3</v>
      </c>
    </row>
    <row r="4" s="42" customFormat="1" ht="24" customHeight="1" spans="1:13">
      <c r="A4" s="43"/>
      <c r="B4" s="105" t="s">
        <v>378</v>
      </c>
      <c r="C4" s="106"/>
      <c r="D4" s="116" t="s">
        <v>279</v>
      </c>
      <c r="E4" s="107"/>
      <c r="F4" s="105" t="s">
        <v>379</v>
      </c>
      <c r="G4" s="106"/>
      <c r="H4" s="94">
        <v>43466</v>
      </c>
      <c r="I4" s="108" t="s">
        <v>380</v>
      </c>
      <c r="J4" s="94">
        <v>44925</v>
      </c>
      <c r="K4" s="117"/>
      <c r="L4" s="58"/>
      <c r="M4" s="58"/>
    </row>
    <row r="5" s="42" customFormat="1" ht="18" customHeight="1" spans="1:13">
      <c r="A5" s="43"/>
      <c r="B5" s="47"/>
      <c r="C5" s="47"/>
      <c r="D5" s="47"/>
      <c r="E5" s="47"/>
      <c r="F5" s="47"/>
      <c r="G5" s="50"/>
      <c r="H5" s="50"/>
      <c r="I5" s="50"/>
      <c r="J5" s="44"/>
      <c r="K5" s="43"/>
      <c r="L5" s="43"/>
    </row>
    <row r="6" s="42" customFormat="1" ht="24" customHeight="1" spans="1:13">
      <c r="A6" s="43"/>
      <c r="B6" s="118" t="str">
        <f>"在设定的时间段内查询到  ["&amp;D4&amp;"] 部门记录共"&amp;COUNTIFS(I8:I207,"&gt;0.5")&amp;"条；合计数量为"&amp;SUM(I8:I207)&amp;"件"</f>
        <v>在设定的时间段内查询到  [销售部] 部门记录共11条；合计数量为63件</v>
      </c>
      <c r="C6" s="119"/>
      <c r="D6" s="119"/>
      <c r="E6" s="119"/>
      <c r="F6" s="119"/>
      <c r="G6" s="119"/>
      <c r="H6" s="119"/>
      <c r="I6" s="119"/>
      <c r="J6" s="119"/>
      <c r="K6" s="120"/>
    </row>
    <row r="7" customHeight="1" spans="1:13">
      <c r="B7" s="59" t="s">
        <v>3</v>
      </c>
      <c r="C7" s="59" t="s">
        <v>4</v>
      </c>
      <c r="D7" s="59"/>
      <c r="E7" s="59" t="s">
        <v>5</v>
      </c>
      <c r="F7" s="59"/>
      <c r="G7" s="59" t="s">
        <v>6</v>
      </c>
      <c r="H7" s="59"/>
      <c r="I7" s="59" t="s">
        <v>353</v>
      </c>
      <c r="J7" s="59" t="s">
        <v>7</v>
      </c>
      <c r="K7" s="59" t="s">
        <v>354</v>
      </c>
    </row>
    <row r="8" customHeight="1" spans="1:13">
      <c r="B8" s="59">
        <v>1</v>
      </c>
      <c r="C8" s="60" t="str">
        <f>IF('基础-办公用品信息'!C4="","-",'基础-办公用品信息'!C4)</f>
        <v>A3打印纸</v>
      </c>
      <c r="D8" s="60"/>
      <c r="E8" s="60" t="str">
        <f>IF('基础-办公用品信息'!D4="","-",'基础-办公用品信息'!D4)</f>
        <v>包</v>
      </c>
      <c r="F8" s="60"/>
      <c r="G8" s="60" t="str">
        <f>IF('基础-办公用品信息'!E4="","-",'基础-办公用品信息'!E4)</f>
        <v>-</v>
      </c>
      <c r="H8" s="60"/>
      <c r="I8" s="99">
        <f>SUMIFS('领用录入（明细）'!I:I,'领用录入（明细）'!E:E,$D$4,'领用录入（明细）'!C:C,"&gt;="&amp;$H$4,'领用录入（明细）'!C:C,"&lt;="&amp;$J$4,'领用录入（明细）'!F:F,C8)</f>
        <v>0</v>
      </c>
      <c r="J8" s="60">
        <f>IFERROR(VLOOKUP(C8,'基础-办公用品信息'!$C:$G,4,0),"-")</f>
        <v>175</v>
      </c>
      <c r="K8" s="60">
        <f>SUMIFS('领用录入（明细）'!K:K,'领用录入（明细）'!E:E,$D$4,'领用录入（明细）'!C:C,"&gt;="&amp;$H$4,'领用录入（明细）'!C:C,"&lt;="&amp;$J$4,'领用录入（明细）'!F:F,C8)</f>
        <v>0</v>
      </c>
    </row>
    <row r="9" customHeight="1" spans="1:13">
      <c r="B9" s="59">
        <v>2</v>
      </c>
      <c r="C9" s="60" t="str">
        <f>IF('基础-办公用品信息'!C5="","-",'基础-办公用品信息'!C5)</f>
        <v>A4打印纸</v>
      </c>
      <c r="D9" s="60"/>
      <c r="E9" s="60" t="str">
        <f>IF('基础-办公用品信息'!D5="","-",'基础-办公用品信息'!D5)</f>
        <v>包</v>
      </c>
      <c r="F9" s="60"/>
      <c r="G9" s="60" t="str">
        <f>IF('基础-办公用品信息'!E5="","-",'基础-办公用品信息'!E5)</f>
        <v>-</v>
      </c>
      <c r="H9" s="60"/>
      <c r="I9" s="99">
        <f>SUMIFS('领用录入（明细）'!I:I,'领用录入（明细）'!E:E,$D$4,'领用录入（明细）'!C:C,"&gt;="&amp;$H$4,'领用录入（明细）'!C:C,"&lt;="&amp;$J$4,'领用录入（明细）'!F:F,C9)</f>
        <v>0</v>
      </c>
      <c r="J9" s="60">
        <f>IFERROR(VLOOKUP(C9,'基础-办公用品信息'!$C:$G,4,0),"")</f>
        <v>175</v>
      </c>
      <c r="K9" s="60">
        <f>SUMIFS('领用录入（明细）'!K:K,'领用录入（明细）'!E:E,$D$4,'领用录入（明细）'!C:C,"&gt;="&amp;$H$4,'领用录入（明细）'!C:C,"&lt;="&amp;$J$4,'领用录入（明细）'!F:F,C9)</f>
        <v>0</v>
      </c>
    </row>
    <row r="10" customHeight="1" spans="1:13">
      <c r="B10" s="59">
        <v>3</v>
      </c>
      <c r="C10" s="60" t="str">
        <f>IF('基础-办公用品信息'!C6="","-",'基础-办公用品信息'!C6)</f>
        <v>A4装订封面纸</v>
      </c>
      <c r="D10" s="60"/>
      <c r="E10" s="60" t="str">
        <f>IF('基础-办公用品信息'!D6="","-",'基础-办公用品信息'!D6)</f>
        <v>包</v>
      </c>
      <c r="F10" s="60"/>
      <c r="G10" s="60" t="str">
        <f>IF('基础-办公用品信息'!E6="","-",'基础-办公用品信息'!E6)</f>
        <v>-</v>
      </c>
      <c r="H10" s="60"/>
      <c r="I10" s="99">
        <f>SUMIFS('领用录入（明细）'!I:I,'领用录入（明细）'!E:E,$D$4,'领用录入（明细）'!C:C,"&gt;="&amp;$H$4,'领用录入（明细）'!C:C,"&lt;="&amp;$J$4,'领用录入（明细）'!F:F,C10)</f>
        <v>0</v>
      </c>
      <c r="J10" s="60">
        <f>IFERROR(VLOOKUP(C10,'基础-办公用品信息'!$C:$G,4,0),"")</f>
        <v>18</v>
      </c>
      <c r="K10" s="60">
        <f>SUMIFS('领用录入（明细）'!K:K,'领用录入（明细）'!E:E,$D$4,'领用录入（明细）'!C:C,"&gt;="&amp;$H$4,'领用录入（明细）'!C:C,"&lt;="&amp;$J$4,'领用录入（明细）'!F:F,C10)</f>
        <v>0</v>
      </c>
    </row>
    <row r="11" customHeight="1" spans="1:13">
      <c r="B11" s="59">
        <v>4</v>
      </c>
      <c r="C11" s="60" t="str">
        <f>IF('基础-办公用品信息'!C7="","-",'基础-办公用品信息'!C7)</f>
        <v>A4复印纸蓝色</v>
      </c>
      <c r="D11" s="60"/>
      <c r="E11" s="60" t="str">
        <f>IF('基础-办公用品信息'!D7="","-",'基础-办公用品信息'!D7)</f>
        <v>包</v>
      </c>
      <c r="F11" s="60"/>
      <c r="G11" s="60" t="str">
        <f>IF('基础-办公用品信息'!E7="","-",'基础-办公用品信息'!E7)</f>
        <v>-</v>
      </c>
      <c r="H11" s="60"/>
      <c r="I11" s="99">
        <f>SUMIFS('领用录入（明细）'!I:I,'领用录入（明细）'!E:E,$D$4,'领用录入（明细）'!C:C,"&gt;="&amp;$H$4,'领用录入（明细）'!C:C,"&lt;="&amp;$J$4,'领用录入（明细）'!F:F,C11)</f>
        <v>0</v>
      </c>
      <c r="J11" s="60">
        <f>IFERROR(VLOOKUP(C11,'基础-办公用品信息'!$C:$G,4,0),"")</f>
        <v>0</v>
      </c>
      <c r="K11" s="60">
        <f>SUMIFS('领用录入（明细）'!K:K,'领用录入（明细）'!E:E,$D$4,'领用录入（明细）'!C:C,"&gt;="&amp;$H$4,'领用录入（明细）'!C:C,"&lt;="&amp;$J$4,'领用录入（明细）'!F:F,C11)</f>
        <v>0</v>
      </c>
    </row>
    <row r="12" customHeight="1" spans="1:13">
      <c r="B12" s="59">
        <v>5</v>
      </c>
      <c r="C12" s="60" t="str">
        <f>IF('基础-办公用品信息'!C8="","-",'基础-办公用品信息'!C8)</f>
        <v>A4复印纸红色</v>
      </c>
      <c r="D12" s="60"/>
      <c r="E12" s="60" t="str">
        <f>IF('基础-办公用品信息'!D8="","-",'基础-办公用品信息'!D8)</f>
        <v>包</v>
      </c>
      <c r="F12" s="60"/>
      <c r="G12" s="60" t="str">
        <f>IF('基础-办公用品信息'!E8="","-",'基础-办公用品信息'!E8)</f>
        <v>-</v>
      </c>
      <c r="H12" s="60"/>
      <c r="I12" s="99">
        <f>SUMIFS('领用录入（明细）'!I:I,'领用录入（明细）'!E:E,$D$4,'领用录入（明细）'!C:C,"&gt;="&amp;$H$4,'领用录入（明细）'!C:C,"&lt;="&amp;$J$4,'领用录入（明细）'!F:F,C12)</f>
        <v>0</v>
      </c>
      <c r="J12" s="60">
        <f>IFERROR(VLOOKUP(C12,'基础-办公用品信息'!$C:$G,4,0),"")</f>
        <v>0</v>
      </c>
      <c r="K12" s="60">
        <f>SUMIFS('领用录入（明细）'!K:K,'领用录入（明细）'!E:E,$D$4,'领用录入（明细）'!C:C,"&gt;="&amp;$H$4,'领用录入（明细）'!C:C,"&lt;="&amp;$J$4,'领用录入（明细）'!F:F,C12)</f>
        <v>0</v>
      </c>
    </row>
    <row r="13" customHeight="1" spans="1:13">
      <c r="B13" s="59">
        <v>6</v>
      </c>
      <c r="C13" s="60" t="str">
        <f>IF('基础-办公用品信息'!C9="","-",'基础-办公用品信息'!C9)</f>
        <v>A4白卡纸180克荷兰白卡</v>
      </c>
      <c r="D13" s="60"/>
      <c r="E13" s="60" t="str">
        <f>IF('基础-办公用品信息'!D9="","-",'基础-办公用品信息'!D9)</f>
        <v>包</v>
      </c>
      <c r="F13" s="60"/>
      <c r="G13" s="60" t="str">
        <f>IF('基础-办公用品信息'!E9="","-",'基础-办公用品信息'!E9)</f>
        <v>-</v>
      </c>
      <c r="H13" s="60"/>
      <c r="I13" s="99">
        <f>SUMIFS('领用录入（明细）'!I:I,'领用录入（明细）'!E:E,$D$4,'领用录入（明细）'!C:C,"&gt;="&amp;$H$4,'领用录入（明细）'!C:C,"&lt;="&amp;$J$4,'领用录入（明细）'!F:F,C13)</f>
        <v>0</v>
      </c>
      <c r="J13" s="60">
        <f>IFERROR(VLOOKUP(C13,'基础-办公用品信息'!$C:$G,4,0),"")</f>
        <v>0</v>
      </c>
      <c r="K13" s="60">
        <f>SUMIFS('领用录入（明细）'!K:K,'领用录入（明细）'!E:E,$D$4,'领用录入（明细）'!C:C,"&gt;="&amp;$H$4,'领用录入（明细）'!C:C,"&lt;="&amp;$J$4,'领用录入（明细）'!F:F,C13)</f>
        <v>0</v>
      </c>
    </row>
    <row r="14" customHeight="1" spans="1:13">
      <c r="B14" s="59">
        <v>7</v>
      </c>
      <c r="C14" s="60" t="str">
        <f>IF('基础-办公用品信息'!C10="","-",'基础-办公用品信息'!C10)</f>
        <v>定制会议本牛皮A4</v>
      </c>
      <c r="D14" s="60"/>
      <c r="E14" s="60" t="str">
        <f>IF('基础-办公用品信息'!D10="","-",'基础-办公用品信息'!D10)</f>
        <v>本</v>
      </c>
      <c r="F14" s="60"/>
      <c r="G14" s="60" t="str">
        <f>IF('基础-办公用品信息'!E10="","-",'基础-办公用品信息'!E10)</f>
        <v>-</v>
      </c>
      <c r="H14" s="60"/>
      <c r="I14" s="99">
        <f>SUMIFS('领用录入（明细）'!I:I,'领用录入（明细）'!E:E,$D$4,'领用录入（明细）'!C:C,"&gt;="&amp;$H$4,'领用录入（明细）'!C:C,"&lt;="&amp;$J$4,'领用录入（明细）'!F:F,C14)</f>
        <v>0</v>
      </c>
      <c r="J14" s="60">
        <f>IFERROR(VLOOKUP(C14,'基础-办公用品信息'!$C:$G,4,0),"")</f>
        <v>0</v>
      </c>
      <c r="K14" s="60">
        <f>SUMIFS('领用录入（明细）'!K:K,'领用录入（明细）'!E:E,$D$4,'领用录入（明细）'!C:C,"&gt;="&amp;$H$4,'领用录入（明细）'!C:C,"&lt;="&amp;$J$4,'领用录入（明细）'!F:F,C14)</f>
        <v>0</v>
      </c>
    </row>
    <row r="15" customHeight="1" spans="1:13">
      <c r="B15" s="59">
        <v>8</v>
      </c>
      <c r="C15" s="60" t="str">
        <f>IF('基础-办公用品信息'!C11="","-",'基础-办公用品信息'!C11)</f>
        <v>定制会议本活页B5</v>
      </c>
      <c r="D15" s="60"/>
      <c r="E15" s="60" t="str">
        <f>IF('基础-办公用品信息'!D11="","-",'基础-办公用品信息'!D11)</f>
        <v>本</v>
      </c>
      <c r="F15" s="60"/>
      <c r="G15" s="60" t="str">
        <f>IF('基础-办公用品信息'!E11="","-",'基础-办公用品信息'!E11)</f>
        <v>-</v>
      </c>
      <c r="H15" s="60"/>
      <c r="I15" s="99">
        <f>SUMIFS('领用录入（明细）'!I:I,'领用录入（明细）'!E:E,$D$4,'领用录入（明细）'!C:C,"&gt;="&amp;$H$4,'领用录入（明细）'!C:C,"&lt;="&amp;$J$4,'领用录入（明细）'!F:F,C15)</f>
        <v>0</v>
      </c>
      <c r="J15" s="60">
        <f>IFERROR(VLOOKUP(C15,'基础-办公用品信息'!$C:$G,4,0),"")</f>
        <v>0</v>
      </c>
      <c r="K15" s="60">
        <f>SUMIFS('领用录入（明细）'!K:K,'领用录入（明细）'!E:E,$D$4,'领用录入（明细）'!C:C,"&gt;="&amp;$H$4,'领用录入（明细）'!C:C,"&lt;="&amp;$J$4,'领用录入（明细）'!F:F,C15)</f>
        <v>0</v>
      </c>
    </row>
    <row r="16" customHeight="1" spans="1:13">
      <c r="B16" s="59">
        <v>9</v>
      </c>
      <c r="C16" s="60" t="str">
        <f>IF('基础-办公用品信息'!C12="","-",'基础-办公用品信息'!C12)</f>
        <v>定制会议便签本牛皮书写夹板A4</v>
      </c>
      <c r="D16" s="60"/>
      <c r="E16" s="60" t="str">
        <f>IF('基础-办公用品信息'!D12="","-",'基础-办公用品信息'!D12)</f>
        <v>本</v>
      </c>
      <c r="F16" s="60"/>
      <c r="G16" s="60" t="str">
        <f>IF('基础-办公用品信息'!E12="","-",'基础-办公用品信息'!E12)</f>
        <v>-</v>
      </c>
      <c r="H16" s="60"/>
      <c r="I16" s="99">
        <f>SUMIFS('领用录入（明细）'!I:I,'领用录入（明细）'!E:E,$D$4,'领用录入（明细）'!C:C,"&gt;="&amp;$H$4,'领用录入（明细）'!C:C,"&lt;="&amp;$J$4,'领用录入（明细）'!F:F,C16)</f>
        <v>0</v>
      </c>
      <c r="J16" s="60">
        <f>IFERROR(VLOOKUP(C16,'基础-办公用品信息'!$C:$G,4,0),"")</f>
        <v>0</v>
      </c>
      <c r="K16" s="60">
        <f>SUMIFS('领用录入（明细）'!K:K,'领用录入（明细）'!E:E,$D$4,'领用录入（明细）'!C:C,"&gt;="&amp;$H$4,'领用录入（明细）'!C:C,"&lt;="&amp;$J$4,'领用录入（明细）'!F:F,C16)</f>
        <v>0</v>
      </c>
    </row>
    <row r="17" customHeight="1" spans="2:11">
      <c r="B17" s="59">
        <v>10</v>
      </c>
      <c r="C17" s="60" t="str">
        <f>IF('基础-办公用品信息'!C13="","-",'基础-办公用品信息'!C13)</f>
        <v>会议记录本皮面黑色</v>
      </c>
      <c r="D17" s="60"/>
      <c r="E17" s="60" t="str">
        <f>IF('基础-办公用品信息'!D13="","-",'基础-办公用品信息'!D13)</f>
        <v>本</v>
      </c>
      <c r="F17" s="60"/>
      <c r="G17" s="60" t="str">
        <f>IF('基础-办公用品信息'!E13="","-",'基础-办公用品信息'!E13)</f>
        <v>-</v>
      </c>
      <c r="H17" s="60"/>
      <c r="I17" s="99">
        <f>SUMIFS('领用录入（明细）'!I:I,'领用录入（明细）'!E:E,$D$4,'领用录入（明细）'!C:C,"&gt;="&amp;$H$4,'领用录入（明细）'!C:C,"&lt;="&amp;$J$4,'领用录入（明细）'!F:F,C17)</f>
        <v>5</v>
      </c>
      <c r="J17" s="60">
        <f>IFERROR(VLOOKUP(C17,'基础-办公用品信息'!$C:$G,4,0),"")</f>
        <v>7.5</v>
      </c>
      <c r="K17" s="60">
        <f>SUMIFS('领用录入（明细）'!K:K,'领用录入（明细）'!E:E,$D$4,'领用录入（明细）'!C:C,"&gt;="&amp;$H$4,'领用录入（明细）'!C:C,"&lt;="&amp;$J$4,'领用录入（明细）'!F:F,C17)</f>
        <v>37.5</v>
      </c>
    </row>
    <row r="18" customHeight="1" spans="2:11">
      <c r="B18" s="59">
        <v>11</v>
      </c>
      <c r="C18" s="60" t="str">
        <f>IF('基础-办公用品信息'!C14="","-",'基础-办公用品信息'!C14)</f>
        <v>office本32k</v>
      </c>
      <c r="D18" s="60"/>
      <c r="E18" s="60" t="str">
        <f>IF('基础-办公用品信息'!D14="","-",'基础-办公用品信息'!D14)</f>
        <v>本</v>
      </c>
      <c r="F18" s="60"/>
      <c r="G18" s="60" t="str">
        <f>IF('基础-办公用品信息'!E14="","-",'基础-办公用品信息'!E14)</f>
        <v>-</v>
      </c>
      <c r="H18" s="60"/>
      <c r="I18" s="99">
        <f>SUMIFS('领用录入（明细）'!I:I,'领用录入（明细）'!E:E,$D$4,'领用录入（明细）'!C:C,"&gt;="&amp;$H$4,'领用录入（明细）'!C:C,"&lt;="&amp;$J$4,'领用录入（明细）'!F:F,C18)</f>
        <v>0</v>
      </c>
      <c r="J18" s="60">
        <f>IFERROR(VLOOKUP(C18,'基础-办公用品信息'!$C:$G,4,0),"")</f>
        <v>0</v>
      </c>
      <c r="K18" s="60">
        <f>SUMIFS('领用录入（明细）'!K:K,'领用录入（明细）'!E:E,$D$4,'领用录入（明细）'!C:C,"&gt;="&amp;$H$4,'领用录入（明细）'!C:C,"&lt;="&amp;$J$4,'领用录入（明细）'!F:F,C18)</f>
        <v>0</v>
      </c>
    </row>
    <row r="19" customHeight="1" spans="2:11">
      <c r="B19" s="59">
        <v>12</v>
      </c>
      <c r="C19" s="60" t="str">
        <f>IF('基础-办公用品信息'!C15="","-",'基础-办公用品信息'!C15)</f>
        <v>软面抄100</v>
      </c>
      <c r="D19" s="60"/>
      <c r="E19" s="60" t="str">
        <f>IF('基础-办公用品信息'!D15="","-",'基础-办公用品信息'!D15)</f>
        <v>本</v>
      </c>
      <c r="F19" s="60"/>
      <c r="G19" s="60" t="str">
        <f>IF('基础-办公用品信息'!E15="","-",'基础-办公用品信息'!E15)</f>
        <v>-</v>
      </c>
      <c r="H19" s="60"/>
      <c r="I19" s="99">
        <f>SUMIFS('领用录入（明细）'!I:I,'领用录入（明细）'!E:E,$D$4,'领用录入（明细）'!C:C,"&gt;="&amp;$H$4,'领用录入（明细）'!C:C,"&lt;="&amp;$J$4,'领用录入（明细）'!F:F,C19)</f>
        <v>0</v>
      </c>
      <c r="J19" s="60">
        <f>IFERROR(VLOOKUP(C19,'基础-办公用品信息'!$C:$G,4,0),"")</f>
        <v>1.5</v>
      </c>
      <c r="K19" s="60">
        <f>SUMIFS('领用录入（明细）'!K:K,'领用录入（明细）'!E:E,$D$4,'领用录入（明细）'!C:C,"&gt;="&amp;$H$4,'领用录入（明细）'!C:C,"&lt;="&amp;$J$4,'领用录入（明细）'!F:F,C19)</f>
        <v>0</v>
      </c>
    </row>
    <row r="20" customHeight="1" spans="2:11">
      <c r="B20" s="59">
        <v>13</v>
      </c>
      <c r="C20" s="60" t="str">
        <f>IF('基础-办公用品信息'!C16="","-",'基础-办公用品信息'!C16)</f>
        <v>透明暗扣袋</v>
      </c>
      <c r="D20" s="60"/>
      <c r="E20" s="60" t="str">
        <f>IF('基础-办公用品信息'!D16="","-",'基础-办公用品信息'!D16)</f>
        <v>个</v>
      </c>
      <c r="F20" s="60"/>
      <c r="G20" s="60" t="str">
        <f>IF('基础-办公用品信息'!E16="","-",'基础-办公用品信息'!E16)</f>
        <v>-</v>
      </c>
      <c r="H20" s="60"/>
      <c r="I20" s="99">
        <f>SUMIFS('领用录入（明细）'!I:I,'领用录入（明细）'!E:E,$D$4,'领用录入（明细）'!C:C,"&gt;="&amp;$H$4,'领用录入（明细）'!C:C,"&lt;="&amp;$J$4,'领用录入（明细）'!F:F,C20)</f>
        <v>0</v>
      </c>
      <c r="J20" s="60">
        <f>IFERROR(VLOOKUP(C20,'基础-办公用品信息'!$C:$G,4,0),"")</f>
        <v>0</v>
      </c>
      <c r="K20" s="60">
        <f>SUMIFS('领用录入（明细）'!K:K,'领用录入（明细）'!E:E,$D$4,'领用录入（明细）'!C:C,"&gt;="&amp;$H$4,'领用录入（明细）'!C:C,"&lt;="&amp;$J$4,'领用录入（明细）'!F:F,C20)</f>
        <v>0</v>
      </c>
    </row>
    <row r="21" customHeight="1" spans="2:11">
      <c r="B21" s="59">
        <v>14</v>
      </c>
      <c r="C21" s="60" t="str">
        <f>IF('基础-办公用品信息'!C17="","-",'基础-办公用品信息'!C17)</f>
        <v>挂快牢得力A4</v>
      </c>
      <c r="D21" s="60"/>
      <c r="E21" s="60" t="str">
        <f>IF('基础-办公用品信息'!D17="","-",'基础-办公用品信息'!D17)</f>
        <v>张</v>
      </c>
      <c r="F21" s="60"/>
      <c r="G21" s="60" t="str">
        <f>IF('基础-办公用品信息'!E17="","-",'基础-办公用品信息'!E17)</f>
        <v>-</v>
      </c>
      <c r="H21" s="60"/>
      <c r="I21" s="99">
        <f>SUMIFS('领用录入（明细）'!I:I,'领用录入（明细）'!E:E,$D$4,'领用录入（明细）'!C:C,"&gt;="&amp;$H$4,'领用录入（明细）'!C:C,"&lt;="&amp;$J$4,'领用录入（明细）'!F:F,C21)</f>
        <v>0</v>
      </c>
      <c r="J21" s="60">
        <f>IFERROR(VLOOKUP(C21,'基础-办公用品信息'!$C:$G,4,0),"")</f>
        <v>0</v>
      </c>
      <c r="K21" s="60">
        <f>SUMIFS('领用录入（明细）'!K:K,'领用录入（明细）'!E:E,$D$4,'领用录入（明细）'!C:C,"&gt;="&amp;$H$4,'领用录入（明细）'!C:C,"&lt;="&amp;$J$4,'领用录入（明细）'!F:F,C21)</f>
        <v>0</v>
      </c>
    </row>
    <row r="22" customHeight="1" spans="2:11">
      <c r="B22" s="59">
        <v>15</v>
      </c>
      <c r="C22" s="60" t="str">
        <f>IF('基础-办公用品信息'!C18="","-",'基础-办公用品信息'!C18)</f>
        <v>资料册40页</v>
      </c>
      <c r="D22" s="60"/>
      <c r="E22" s="60" t="str">
        <f>IF('基础-办公用品信息'!D18="","-",'基础-办公用品信息'!D18)</f>
        <v>本</v>
      </c>
      <c r="F22" s="60"/>
      <c r="G22" s="60" t="str">
        <f>IF('基础-办公用品信息'!E18="","-",'基础-办公用品信息'!E18)</f>
        <v>-</v>
      </c>
      <c r="H22" s="60"/>
      <c r="I22" s="99">
        <f>SUMIFS('领用录入（明细）'!I:I,'领用录入（明细）'!E:E,$D$4,'领用录入（明细）'!C:C,"&gt;="&amp;$H$4,'领用录入（明细）'!C:C,"&lt;="&amp;$J$4,'领用录入（明细）'!F:F,C22)</f>
        <v>0</v>
      </c>
      <c r="J22" s="60">
        <f>IFERROR(VLOOKUP(C22,'基础-办公用品信息'!$C:$G,4,0),"")</f>
        <v>6.5</v>
      </c>
      <c r="K22" s="60">
        <f>SUMIFS('领用录入（明细）'!K:K,'领用录入（明细）'!E:E,$D$4,'领用录入（明细）'!C:C,"&gt;="&amp;$H$4,'领用录入（明细）'!C:C,"&lt;="&amp;$J$4,'领用录入（明细）'!F:F,C22)</f>
        <v>0</v>
      </c>
    </row>
    <row r="23" customHeight="1" spans="2:11">
      <c r="B23" s="59">
        <v>16</v>
      </c>
      <c r="C23" s="60" t="str">
        <f>IF('基础-办公用品信息'!C19="","-",'基础-办公用品信息'!C19)</f>
        <v>档案袋牛皮纸（小）</v>
      </c>
      <c r="D23" s="60"/>
      <c r="E23" s="60" t="str">
        <f>IF('基础-办公用品信息'!D19="","-",'基础-办公用品信息'!D19)</f>
        <v>只</v>
      </c>
      <c r="F23" s="60"/>
      <c r="G23" s="60" t="str">
        <f>IF('基础-办公用品信息'!E19="","-",'基础-办公用品信息'!E19)</f>
        <v>-</v>
      </c>
      <c r="H23" s="60"/>
      <c r="I23" s="99">
        <f>SUMIFS('领用录入（明细）'!I:I,'领用录入（明细）'!E:E,$D$4,'领用录入（明细）'!C:C,"&gt;="&amp;$H$4,'领用录入（明细）'!C:C,"&lt;="&amp;$J$4,'领用录入（明细）'!F:F,C23)</f>
        <v>0</v>
      </c>
      <c r="J23" s="60">
        <f>IFERROR(VLOOKUP(C23,'基础-办公用品信息'!$C:$G,4,0),"")</f>
        <v>0</v>
      </c>
      <c r="K23" s="60">
        <f>SUMIFS('领用录入（明细）'!K:K,'领用录入（明细）'!E:E,$D$4,'领用录入（明细）'!C:C,"&gt;="&amp;$H$4,'领用录入（明细）'!C:C,"&lt;="&amp;$J$4,'领用录入（明细）'!F:F,C23)</f>
        <v>0</v>
      </c>
    </row>
    <row r="24" customHeight="1" spans="2:11">
      <c r="B24" s="59">
        <v>17</v>
      </c>
      <c r="C24" s="60" t="str">
        <f>IF('基础-办公用品信息'!C20="","-",'基础-办公用品信息'!C20)</f>
        <v>档案盒牛皮纸</v>
      </c>
      <c r="D24" s="60"/>
      <c r="E24" s="60" t="str">
        <f>IF('基础-办公用品信息'!D20="","-",'基础-办公用品信息'!D20)</f>
        <v>只</v>
      </c>
      <c r="F24" s="60"/>
      <c r="G24" s="60" t="str">
        <f>IF('基础-办公用品信息'!E20="","-",'基础-办公用品信息'!E20)</f>
        <v>-</v>
      </c>
      <c r="H24" s="60"/>
      <c r="I24" s="99">
        <f>SUMIFS('领用录入（明细）'!I:I,'领用录入（明细）'!E:E,$D$4,'领用录入（明细）'!C:C,"&gt;="&amp;$H$4,'领用录入（明细）'!C:C,"&lt;="&amp;$J$4,'领用录入（明细）'!F:F,C24)</f>
        <v>0</v>
      </c>
      <c r="J24" s="60">
        <f>IFERROR(VLOOKUP(C24,'基础-办公用品信息'!$C:$G,4,0),"")</f>
        <v>0</v>
      </c>
      <c r="K24" s="60">
        <f>SUMIFS('领用录入（明细）'!K:K,'领用录入（明细）'!E:E,$D$4,'领用录入（明细）'!C:C,"&gt;="&amp;$H$4,'领用录入（明细）'!C:C,"&lt;="&amp;$J$4,'领用录入（明细）'!F:F,C24)</f>
        <v>0</v>
      </c>
    </row>
    <row r="25" customHeight="1" spans="2:11">
      <c r="B25" s="59">
        <v>18</v>
      </c>
      <c r="C25" s="60" t="str">
        <f>IF('基础-办公用品信息'!C21="","-",'基础-办公用品信息'!C21)</f>
        <v>档案盒大塑料</v>
      </c>
      <c r="D25" s="60"/>
      <c r="E25" s="60" t="str">
        <f>IF('基础-办公用品信息'!D21="","-",'基础-办公用品信息'!D21)</f>
        <v>只</v>
      </c>
      <c r="F25" s="60"/>
      <c r="G25" s="60" t="str">
        <f>IF('基础-办公用品信息'!E21="","-",'基础-办公用品信息'!E21)</f>
        <v>-</v>
      </c>
      <c r="H25" s="60"/>
      <c r="I25" s="99">
        <f>SUMIFS('领用录入（明细）'!I:I,'领用录入（明细）'!E:E,$D$4,'领用录入（明细）'!C:C,"&gt;="&amp;$H$4,'领用录入（明细）'!C:C,"&lt;="&amp;$J$4,'领用录入（明细）'!F:F,C25)</f>
        <v>0</v>
      </c>
      <c r="J25" s="60">
        <f>IFERROR(VLOOKUP(C25,'基础-办公用品信息'!$C:$G,4,0),"")</f>
        <v>0</v>
      </c>
      <c r="K25" s="60">
        <f>SUMIFS('领用录入（明细）'!K:K,'领用录入（明细）'!E:E,$D$4,'领用录入（明细）'!C:C,"&gt;="&amp;$H$4,'领用录入（明细）'!C:C,"&lt;="&amp;$J$4,'领用录入（明细）'!F:F,C25)</f>
        <v>0</v>
      </c>
    </row>
    <row r="26" customHeight="1" spans="2:11">
      <c r="B26" s="59">
        <v>19</v>
      </c>
      <c r="C26" s="60" t="str">
        <f>IF('基础-办公用品信息'!C22="","-",'基础-办公用品信息'!C22)</f>
        <v>档案盒小塑料</v>
      </c>
      <c r="D26" s="60"/>
      <c r="E26" s="60" t="str">
        <f>IF('基础-办公用品信息'!D22="","-",'基础-办公用品信息'!D22)</f>
        <v>只</v>
      </c>
      <c r="F26" s="60"/>
      <c r="G26" s="60" t="str">
        <f>IF('基础-办公用品信息'!E22="","-",'基础-办公用品信息'!E22)</f>
        <v>-</v>
      </c>
      <c r="H26" s="60"/>
      <c r="I26" s="99">
        <f>SUMIFS('领用录入（明细）'!I:I,'领用录入（明细）'!E:E,$D$4,'领用录入（明细）'!C:C,"&gt;="&amp;$H$4,'领用录入（明细）'!C:C,"&lt;="&amp;$J$4,'领用录入（明细）'!F:F,C26)</f>
        <v>0</v>
      </c>
      <c r="J26" s="60">
        <f>IFERROR(VLOOKUP(C26,'基础-办公用品信息'!$C:$G,4,0),"")</f>
        <v>0</v>
      </c>
      <c r="K26" s="60">
        <f>SUMIFS('领用录入（明细）'!K:K,'领用录入（明细）'!E:E,$D$4,'领用录入（明细）'!C:C,"&gt;="&amp;$H$4,'领用录入（明细）'!C:C,"&lt;="&amp;$J$4,'领用录入（明细）'!F:F,C26)</f>
        <v>0</v>
      </c>
    </row>
    <row r="27" customHeight="1" spans="2:11">
      <c r="B27" s="59">
        <v>20</v>
      </c>
      <c r="C27" s="60" t="str">
        <f>IF('基础-办公用品信息'!C23="","-",'基础-办公用品信息'!C23)</f>
        <v>三角抽杆文件夹 </v>
      </c>
      <c r="D27" s="60"/>
      <c r="E27" s="60" t="str">
        <f>IF('基础-办公用品信息'!D23="","-",'基础-办公用品信息'!D23)</f>
        <v>本</v>
      </c>
      <c r="F27" s="60"/>
      <c r="G27" s="60" t="str">
        <f>IF('基础-办公用品信息'!E23="","-",'基础-办公用品信息'!E23)</f>
        <v>-</v>
      </c>
      <c r="H27" s="60"/>
      <c r="I27" s="99">
        <f>SUMIFS('领用录入（明细）'!I:I,'领用录入（明细）'!E:E,$D$4,'领用录入（明细）'!C:C,"&gt;="&amp;$H$4,'领用录入（明细）'!C:C,"&lt;="&amp;$J$4,'领用录入（明细）'!F:F,C27)</f>
        <v>0</v>
      </c>
      <c r="J27" s="60">
        <f>IFERROR(VLOOKUP(C27,'基础-办公用品信息'!$C:$G,4,0),"")</f>
        <v>0.55</v>
      </c>
      <c r="K27" s="60">
        <f>SUMIFS('领用录入（明细）'!K:K,'领用录入（明细）'!E:E,$D$4,'领用录入（明细）'!C:C,"&gt;="&amp;$H$4,'领用录入（明细）'!C:C,"&lt;="&amp;$J$4,'领用录入（明细）'!F:F,C27)</f>
        <v>0</v>
      </c>
    </row>
    <row r="28" customHeight="1" spans="2:11">
      <c r="B28" s="59">
        <v>21</v>
      </c>
      <c r="C28" s="60" t="str">
        <f>IF('基础-办公用品信息'!C24="","-",'基础-办公用品信息'!C24)</f>
        <v>塑料文件架</v>
      </c>
      <c r="D28" s="60"/>
      <c r="E28" s="60" t="str">
        <f>IF('基础-办公用品信息'!D24="","-",'基础-办公用品信息'!D24)</f>
        <v>只</v>
      </c>
      <c r="F28" s="60"/>
      <c r="G28" s="60" t="str">
        <f>IF('基础-办公用品信息'!E24="","-",'基础-办公用品信息'!E24)</f>
        <v>-</v>
      </c>
      <c r="H28" s="60"/>
      <c r="I28" s="99">
        <f>SUMIFS('领用录入（明细）'!I:I,'领用录入（明细）'!E:E,$D$4,'领用录入（明细）'!C:C,"&gt;="&amp;$H$4,'领用录入（明细）'!C:C,"&lt;="&amp;$J$4,'领用录入（明细）'!F:F,C28)</f>
        <v>0</v>
      </c>
      <c r="J28" s="60">
        <f>IFERROR(VLOOKUP(C28,'基础-办公用品信息'!$C:$G,4,0),"")</f>
        <v>18</v>
      </c>
      <c r="K28" s="60">
        <f>SUMIFS('领用录入（明细）'!K:K,'领用录入（明细）'!E:E,$D$4,'领用录入（明细）'!C:C,"&gt;="&amp;$H$4,'领用录入（明细）'!C:C,"&lt;="&amp;$J$4,'领用录入（明细）'!F:F,C28)</f>
        <v>0</v>
      </c>
    </row>
    <row r="29" customHeight="1" spans="2:11">
      <c r="B29" s="59">
        <v>22</v>
      </c>
      <c r="C29" s="60" t="str">
        <f>IF('基础-办公用品信息'!C25="","-",'基础-办公用品信息'!C25)</f>
        <v>文件夹，纸板夹</v>
      </c>
      <c r="D29" s="60"/>
      <c r="E29" s="60" t="str">
        <f>IF('基础-办公用品信息'!D25="","-",'基础-办公用品信息'!D25)</f>
        <v>本</v>
      </c>
      <c r="F29" s="60"/>
      <c r="G29" s="60" t="str">
        <f>IF('基础-办公用品信息'!E25="","-",'基础-办公用品信息'!E25)</f>
        <v>-</v>
      </c>
      <c r="H29" s="60"/>
      <c r="I29" s="99">
        <f>SUMIFS('领用录入（明细）'!I:I,'领用录入（明细）'!E:E,$D$4,'领用录入（明细）'!C:C,"&gt;="&amp;$H$4,'领用录入（明细）'!C:C,"&lt;="&amp;$J$4,'领用录入（明细）'!F:F,C29)</f>
        <v>0</v>
      </c>
      <c r="J29" s="60">
        <f>IFERROR(VLOOKUP(C29,'基础-办公用品信息'!$C:$G,4,0),"")</f>
        <v>5</v>
      </c>
      <c r="K29" s="60">
        <f>SUMIFS('领用录入（明细）'!K:K,'领用录入（明细）'!E:E,$D$4,'领用录入（明细）'!C:C,"&gt;="&amp;$H$4,'领用录入（明细）'!C:C,"&lt;="&amp;$J$4,'领用录入（明细）'!F:F,C29)</f>
        <v>0</v>
      </c>
    </row>
    <row r="30" customHeight="1" spans="2:11">
      <c r="B30" s="59">
        <v>23</v>
      </c>
      <c r="C30" s="60" t="str">
        <f>IF('基础-办公用品信息'!C26="","-",'基础-办公用品信息'!C26)</f>
        <v>文件夹，塑料皮</v>
      </c>
      <c r="D30" s="60"/>
      <c r="E30" s="60" t="str">
        <f>IF('基础-办公用品信息'!D26="","-",'基础-办公用品信息'!D26)</f>
        <v>本</v>
      </c>
      <c r="F30" s="60"/>
      <c r="G30" s="60" t="str">
        <f>IF('基础-办公用品信息'!E26="","-",'基础-办公用品信息'!E26)</f>
        <v>-</v>
      </c>
      <c r="H30" s="60"/>
      <c r="I30" s="99">
        <f>SUMIFS('领用录入（明细）'!I:I,'领用录入（明细）'!E:E,$D$4,'领用录入（明细）'!C:C,"&gt;="&amp;$H$4,'领用录入（明细）'!C:C,"&lt;="&amp;$J$4,'领用录入（明细）'!F:F,C30)</f>
        <v>0</v>
      </c>
      <c r="J30" s="60">
        <f>IFERROR(VLOOKUP(C30,'基础-办公用品信息'!$C:$G,4,0),"")</f>
        <v>6.5</v>
      </c>
      <c r="K30" s="60">
        <f>SUMIFS('领用录入（明细）'!K:K,'领用录入（明细）'!E:E,$D$4,'领用录入（明细）'!C:C,"&gt;="&amp;$H$4,'领用录入（明细）'!C:C,"&lt;="&amp;$J$4,'领用录入（明细）'!F:F,C30)</f>
        <v>0</v>
      </c>
    </row>
    <row r="31" customHeight="1" spans="2:11">
      <c r="B31" s="59">
        <v>24</v>
      </c>
      <c r="C31" s="60" t="str">
        <f>IF('基础-办公用品信息'!C27="","-",'基础-办公用品信息'!C27)</f>
        <v>网格拉链袋</v>
      </c>
      <c r="D31" s="60"/>
      <c r="E31" s="60" t="str">
        <f>IF('基础-办公用品信息'!D27="","-",'基础-办公用品信息'!D27)</f>
        <v>只</v>
      </c>
      <c r="F31" s="60"/>
      <c r="G31" s="60" t="str">
        <f>IF('基础-办公用品信息'!E27="","-",'基础-办公用品信息'!E27)</f>
        <v>-</v>
      </c>
      <c r="H31" s="60"/>
      <c r="I31" s="99">
        <f>SUMIFS('领用录入（明细）'!I:I,'领用录入（明细）'!E:E,$D$4,'领用录入（明细）'!C:C,"&gt;="&amp;$H$4,'领用录入（明细）'!C:C,"&lt;="&amp;$J$4,'领用录入（明细）'!F:F,C31)</f>
        <v>0</v>
      </c>
      <c r="J31" s="60">
        <f>IFERROR(VLOOKUP(C31,'基础-办公用品信息'!$C:$G,4,0),"")</f>
        <v>0</v>
      </c>
      <c r="K31" s="60">
        <f>SUMIFS('领用录入（明细）'!K:K,'领用录入（明细）'!E:E,$D$4,'领用录入（明细）'!C:C,"&gt;="&amp;$H$4,'领用录入（明细）'!C:C,"&lt;="&amp;$J$4,'领用录入（明细）'!F:F,C31)</f>
        <v>0</v>
      </c>
    </row>
    <row r="32" customHeight="1" spans="2:11">
      <c r="B32" s="59">
        <v>25</v>
      </c>
      <c r="C32" s="60" t="str">
        <f>IF('基础-办公用品信息'!C28="","-",'基础-办公用品信息'!C28)</f>
        <v>书写夹板A5</v>
      </c>
      <c r="D32" s="60"/>
      <c r="E32" s="60" t="str">
        <f>IF('基础-办公用品信息'!D28="","-",'基础-办公用品信息'!D28)</f>
        <v>只</v>
      </c>
      <c r="F32" s="60"/>
      <c r="G32" s="60" t="str">
        <f>IF('基础-办公用品信息'!E28="","-",'基础-办公用品信息'!E28)</f>
        <v>-</v>
      </c>
      <c r="H32" s="60"/>
      <c r="I32" s="99">
        <f>SUMIFS('领用录入（明细）'!I:I,'领用录入（明细）'!E:E,$D$4,'领用录入（明细）'!C:C,"&gt;="&amp;$H$4,'领用录入（明细）'!C:C,"&lt;="&amp;$J$4,'领用录入（明细）'!F:F,C32)</f>
        <v>0</v>
      </c>
      <c r="J32" s="60">
        <f>IFERROR(VLOOKUP(C32,'基础-办公用品信息'!$C:$G,4,0),"")</f>
        <v>0</v>
      </c>
      <c r="K32" s="60">
        <f>SUMIFS('领用录入（明细）'!K:K,'领用录入（明细）'!E:E,$D$4,'领用录入（明细）'!C:C,"&gt;="&amp;$H$4,'领用录入（明细）'!C:C,"&lt;="&amp;$J$4,'领用录入（明细）'!F:F,C32)</f>
        <v>0</v>
      </c>
    </row>
    <row r="33" customHeight="1" spans="2:11">
      <c r="B33" s="59">
        <v>26</v>
      </c>
      <c r="C33" s="60" t="str">
        <f>IF('基础-办公用品信息'!C29="","-",'基础-办公用品信息'!C29)</f>
        <v>铁书挡（小）</v>
      </c>
      <c r="D33" s="60"/>
      <c r="E33" s="60" t="str">
        <f>IF('基础-办公用品信息'!D29="","-",'基础-办公用品信息'!D29)</f>
        <v>只</v>
      </c>
      <c r="F33" s="60"/>
      <c r="G33" s="60" t="str">
        <f>IF('基础-办公用品信息'!E29="","-",'基础-办公用品信息'!E29)</f>
        <v>-</v>
      </c>
      <c r="H33" s="60"/>
      <c r="I33" s="99">
        <f>SUMIFS('领用录入（明细）'!I:I,'领用录入（明细）'!E:E,$D$4,'领用录入（明细）'!C:C,"&gt;="&amp;$H$4,'领用录入（明细）'!C:C,"&lt;="&amp;$J$4,'领用录入（明细）'!F:F,C33)</f>
        <v>0</v>
      </c>
      <c r="J33" s="60">
        <f>IFERROR(VLOOKUP(C33,'基础-办公用品信息'!$C:$G,4,0),"")</f>
        <v>0</v>
      </c>
      <c r="K33" s="60">
        <f>SUMIFS('领用录入（明细）'!K:K,'领用录入（明细）'!E:E,$D$4,'领用录入（明细）'!C:C,"&gt;="&amp;$H$4,'领用录入（明细）'!C:C,"&lt;="&amp;$J$4,'领用录入（明细）'!F:F,C33)</f>
        <v>0</v>
      </c>
    </row>
    <row r="34" customHeight="1" spans="2:11">
      <c r="B34" s="59">
        <v>27</v>
      </c>
      <c r="C34" s="60" t="str">
        <f>IF('基础-办公用品信息'!C30="","-",'基础-办公用品信息'!C30)</f>
        <v>铁书挡（大）</v>
      </c>
      <c r="D34" s="60"/>
      <c r="E34" s="60" t="str">
        <f>IF('基础-办公用品信息'!D30="","-",'基础-办公用品信息'!D30)</f>
        <v>只</v>
      </c>
      <c r="F34" s="60"/>
      <c r="G34" s="60" t="str">
        <f>IF('基础-办公用品信息'!E30="","-",'基础-办公用品信息'!E30)</f>
        <v>-</v>
      </c>
      <c r="H34" s="60"/>
      <c r="I34" s="99">
        <f>SUMIFS('领用录入（明细）'!I:I,'领用录入（明细）'!E:E,$D$4,'领用录入（明细）'!C:C,"&gt;="&amp;$H$4,'领用录入（明细）'!C:C,"&lt;="&amp;$J$4,'领用录入（明细）'!F:F,C34)</f>
        <v>0</v>
      </c>
      <c r="J34" s="60">
        <f>IFERROR(VLOOKUP(C34,'基础-办公用品信息'!$C:$G,4,0),"")</f>
        <v>0</v>
      </c>
      <c r="K34" s="60">
        <f>SUMIFS('领用录入（明细）'!K:K,'领用录入（明细）'!E:E,$D$4,'领用录入（明细）'!C:C,"&gt;="&amp;$H$4,'领用录入（明细）'!C:C,"&lt;="&amp;$J$4,'领用录入（明细）'!F:F,C34)</f>
        <v>0</v>
      </c>
    </row>
    <row r="35" customHeight="1" spans="2:11">
      <c r="B35" s="59">
        <v>28</v>
      </c>
      <c r="C35" s="60" t="str">
        <f>IF('基础-办公用品信息'!C31="","-",'基础-办公用品信息'!C31)</f>
        <v>水笔黑色</v>
      </c>
      <c r="D35" s="60"/>
      <c r="E35" s="60" t="str">
        <f>IF('基础-办公用品信息'!D31="","-",'基础-办公用品信息'!D31)</f>
        <v>支</v>
      </c>
      <c r="F35" s="60"/>
      <c r="G35" s="60" t="str">
        <f>IF('基础-办公用品信息'!E31="","-",'基础-办公用品信息'!E31)</f>
        <v>-</v>
      </c>
      <c r="H35" s="60"/>
      <c r="I35" s="99">
        <f>SUMIFS('领用录入（明细）'!I:I,'领用录入（明细）'!E:E,$D$4,'领用录入（明细）'!C:C,"&gt;="&amp;$H$4,'领用录入（明细）'!C:C,"&lt;="&amp;$J$4,'领用录入（明细）'!F:F,C35)</f>
        <v>36</v>
      </c>
      <c r="J35" s="60">
        <f>IFERROR(VLOOKUP(C35,'基础-办公用品信息'!$C:$G,4,0),"")</f>
        <v>1.3</v>
      </c>
      <c r="K35" s="60">
        <f>SUMIFS('领用录入（明细）'!K:K,'领用录入（明细）'!E:E,$D$4,'领用录入（明细）'!C:C,"&gt;="&amp;$H$4,'领用录入（明细）'!C:C,"&lt;="&amp;$J$4,'领用录入（明细）'!F:F,C35)</f>
        <v>46.8</v>
      </c>
    </row>
    <row r="36" customHeight="1" spans="2:11">
      <c r="B36" s="59">
        <v>29</v>
      </c>
      <c r="C36" s="60" t="str">
        <f>IF('基础-办公用品信息'!C32="","-",'基础-办公用品信息'!C32)</f>
        <v>水笔红色</v>
      </c>
      <c r="D36" s="60"/>
      <c r="E36" s="60" t="str">
        <f>IF('基础-办公用品信息'!D32="","-",'基础-办公用品信息'!D32)</f>
        <v>支</v>
      </c>
      <c r="F36" s="60"/>
      <c r="G36" s="60" t="str">
        <f>IF('基础-办公用品信息'!E32="","-",'基础-办公用品信息'!E32)</f>
        <v>-</v>
      </c>
      <c r="H36" s="60"/>
      <c r="I36" s="99">
        <f>SUMIFS('领用录入（明细）'!I:I,'领用录入（明细）'!E:E,$D$4,'领用录入（明细）'!C:C,"&gt;="&amp;$H$4,'领用录入（明细）'!C:C,"&lt;="&amp;$J$4,'领用录入（明细）'!F:F,C36)</f>
        <v>0</v>
      </c>
      <c r="J36" s="60">
        <f>IFERROR(VLOOKUP(C36,'基础-办公用品信息'!$C:$G,4,0),"")</f>
        <v>1.3</v>
      </c>
      <c r="K36" s="60">
        <f>SUMIFS('领用录入（明细）'!K:K,'领用录入（明细）'!E:E,$D$4,'领用录入（明细）'!C:C,"&gt;="&amp;$H$4,'领用录入（明细）'!C:C,"&lt;="&amp;$J$4,'领用录入（明细）'!F:F,C36)</f>
        <v>0</v>
      </c>
    </row>
    <row r="37" customHeight="1" spans="2:11">
      <c r="B37" s="59">
        <v>30</v>
      </c>
      <c r="C37" s="60" t="str">
        <f>IF('基础-办公用品信息'!C33="","-",'基础-办公用品信息'!C33)</f>
        <v>按压水笔黑色</v>
      </c>
      <c r="D37" s="60"/>
      <c r="E37" s="60" t="str">
        <f>IF('基础-办公用品信息'!D33="","-",'基础-办公用品信息'!D33)</f>
        <v>支</v>
      </c>
      <c r="F37" s="60"/>
      <c r="G37" s="60" t="str">
        <f>IF('基础-办公用品信息'!E33="","-",'基础-办公用品信息'!E33)</f>
        <v>-</v>
      </c>
      <c r="H37" s="60"/>
      <c r="I37" s="99">
        <f>SUMIFS('领用录入（明细）'!I:I,'领用录入（明细）'!E:E,$D$4,'领用录入（明细）'!C:C,"&gt;="&amp;$H$4,'领用录入（明细）'!C:C,"&lt;="&amp;$J$4,'领用录入（明细）'!F:F,C37)</f>
        <v>0</v>
      </c>
      <c r="J37" s="60">
        <f>IFERROR(VLOOKUP(C37,'基础-办公用品信息'!$C:$G,4,0),"")</f>
        <v>2</v>
      </c>
      <c r="K37" s="60">
        <f>SUMIFS('领用录入（明细）'!K:K,'领用录入（明细）'!E:E,$D$4,'领用录入（明细）'!C:C,"&gt;="&amp;$H$4,'领用录入（明细）'!C:C,"&lt;="&amp;$J$4,'领用录入（明细）'!F:F,C37)</f>
        <v>0</v>
      </c>
    </row>
    <row r="38" customHeight="1" spans="2:11">
      <c r="B38" s="59">
        <v>31</v>
      </c>
      <c r="C38" s="60" t="str">
        <f>IF('基础-办公用品信息'!C34="","-",'基础-办公用品信息'!C34)</f>
        <v>笔芯</v>
      </c>
      <c r="D38" s="60"/>
      <c r="E38" s="60" t="str">
        <f>IF('基础-办公用品信息'!D34="","-",'基础-办公用品信息'!D34)</f>
        <v>支</v>
      </c>
      <c r="F38" s="60"/>
      <c r="G38" s="60" t="str">
        <f>IF('基础-办公用品信息'!E34="","-",'基础-办公用品信息'!E34)</f>
        <v>-</v>
      </c>
      <c r="H38" s="60"/>
      <c r="I38" s="99">
        <f>SUMIFS('领用录入（明细）'!I:I,'领用录入（明细）'!E:E,$D$4,'领用录入（明细）'!C:C,"&gt;="&amp;$H$4,'领用录入（明细）'!C:C,"&lt;="&amp;$J$4,'领用录入（明细）'!F:F,C38)</f>
        <v>0</v>
      </c>
      <c r="J38" s="60">
        <f>IFERROR(VLOOKUP(C38,'基础-办公用品信息'!$C:$G,4,0),"")</f>
        <v>0</v>
      </c>
      <c r="K38" s="60">
        <f>SUMIFS('领用录入（明细）'!K:K,'领用录入（明细）'!E:E,$D$4,'领用录入（明细）'!C:C,"&gt;="&amp;$H$4,'领用录入（明细）'!C:C,"&lt;="&amp;$J$4,'领用录入（明细）'!F:F,C38)</f>
        <v>0</v>
      </c>
    </row>
    <row r="39" customHeight="1" spans="2:11">
      <c r="B39" s="59">
        <v>32</v>
      </c>
      <c r="C39" s="60" t="str">
        <f>IF('基础-办公用品信息'!C35="","-",'基础-办公用品信息'!C35)</f>
        <v>台笔</v>
      </c>
      <c r="D39" s="60"/>
      <c r="E39" s="60" t="str">
        <f>IF('基础-办公用品信息'!D35="","-",'基础-办公用品信息'!D35)</f>
        <v>支</v>
      </c>
      <c r="F39" s="60"/>
      <c r="G39" s="60" t="str">
        <f>IF('基础-办公用品信息'!E35="","-",'基础-办公用品信息'!E35)</f>
        <v>-</v>
      </c>
      <c r="H39" s="60"/>
      <c r="I39" s="99">
        <f>SUMIFS('领用录入（明细）'!I:I,'领用录入（明细）'!E:E,$D$4,'领用录入（明细）'!C:C,"&gt;="&amp;$H$4,'领用录入（明细）'!C:C,"&lt;="&amp;$J$4,'领用录入（明细）'!F:F,C39)</f>
        <v>0</v>
      </c>
      <c r="J39" s="60">
        <f>IFERROR(VLOOKUP(C39,'基础-办公用品信息'!$C:$G,4,0),"")</f>
        <v>0</v>
      </c>
      <c r="K39" s="60">
        <f>SUMIFS('领用录入（明细）'!K:K,'领用录入（明细）'!E:E,$D$4,'领用录入（明细）'!C:C,"&gt;="&amp;$H$4,'领用录入（明细）'!C:C,"&lt;="&amp;$J$4,'领用录入（明细）'!F:F,C39)</f>
        <v>0</v>
      </c>
    </row>
    <row r="40" customHeight="1" spans="2:11">
      <c r="B40" s="59">
        <v>33</v>
      </c>
      <c r="C40" s="60" t="str">
        <f>IF('基础-办公用品信息'!C36="","-",'基础-办公用品信息'!C36)</f>
        <v>记号笔黑色</v>
      </c>
      <c r="D40" s="60"/>
      <c r="E40" s="60" t="str">
        <f>IF('基础-办公用品信息'!D36="","-",'基础-办公用品信息'!D36)</f>
        <v>支</v>
      </c>
      <c r="F40" s="60"/>
      <c r="G40" s="60" t="str">
        <f>IF('基础-办公用品信息'!E36="","-",'基础-办公用品信息'!E36)</f>
        <v>-</v>
      </c>
      <c r="H40" s="60"/>
      <c r="I40" s="99">
        <f>SUMIFS('领用录入（明细）'!I:I,'领用录入（明细）'!E:E,$D$4,'领用录入（明细）'!C:C,"&gt;="&amp;$H$4,'领用录入（明细）'!C:C,"&lt;="&amp;$J$4,'领用录入（明细）'!F:F,C40)</f>
        <v>0</v>
      </c>
      <c r="J40" s="60">
        <f>IFERROR(VLOOKUP(C40,'基础-办公用品信息'!$C:$G,4,0),"")</f>
        <v>0.5</v>
      </c>
      <c r="K40" s="60">
        <f>SUMIFS('领用录入（明细）'!K:K,'领用录入（明细）'!E:E,$D$4,'领用录入（明细）'!C:C,"&gt;="&amp;$H$4,'领用录入（明细）'!C:C,"&lt;="&amp;$J$4,'领用录入（明细）'!F:F,C40)</f>
        <v>0</v>
      </c>
    </row>
    <row r="41" customHeight="1" spans="2:11">
      <c r="B41" s="59">
        <v>34</v>
      </c>
      <c r="C41" s="60" t="str">
        <f>IF('基础-办公用品信息'!C37="","-",'基础-办公用品信息'!C37)</f>
        <v>记号笔红色</v>
      </c>
      <c r="D41" s="60"/>
      <c r="E41" s="60" t="str">
        <f>IF('基础-办公用品信息'!D37="","-",'基础-办公用品信息'!D37)</f>
        <v>支</v>
      </c>
      <c r="F41" s="60"/>
      <c r="G41" s="60" t="str">
        <f>IF('基础-办公用品信息'!E37="","-",'基础-办公用品信息'!E37)</f>
        <v>-</v>
      </c>
      <c r="H41" s="60"/>
      <c r="I41" s="99">
        <f>SUMIFS('领用录入（明细）'!I:I,'领用录入（明细）'!E:E,$D$4,'领用录入（明细）'!C:C,"&gt;="&amp;$H$4,'领用录入（明细）'!C:C,"&lt;="&amp;$J$4,'领用录入（明细）'!F:F,C41)</f>
        <v>0</v>
      </c>
      <c r="J41" s="60">
        <f>IFERROR(VLOOKUP(C41,'基础-办公用品信息'!$C:$G,4,0),"")</f>
        <v>0.5</v>
      </c>
      <c r="K41" s="60">
        <f>SUMIFS('领用录入（明细）'!K:K,'领用录入（明细）'!E:E,$D$4,'领用录入（明细）'!C:C,"&gt;="&amp;$H$4,'领用录入（明细）'!C:C,"&lt;="&amp;$J$4,'领用录入（明细）'!F:F,C41)</f>
        <v>0</v>
      </c>
    </row>
    <row r="42" customHeight="1" spans="2:11">
      <c r="B42" s="59">
        <v>35</v>
      </c>
      <c r="C42" s="60" t="str">
        <f>IF('基础-办公用品信息'!C38="","-",'基础-办公用品信息'!C38)</f>
        <v>扑克</v>
      </c>
      <c r="D42" s="60"/>
      <c r="E42" s="60" t="str">
        <f>IF('基础-办公用品信息'!D38="","-",'基础-办公用品信息'!D38)</f>
        <v>盒</v>
      </c>
      <c r="F42" s="60"/>
      <c r="G42" s="60" t="str">
        <f>IF('基础-办公用品信息'!E38="","-",'基础-办公用品信息'!E38)</f>
        <v>-</v>
      </c>
      <c r="H42" s="60"/>
      <c r="I42" s="99">
        <f>SUMIFS('领用录入（明细）'!I:I,'领用录入（明细）'!E:E,$D$4,'领用录入（明细）'!C:C,"&gt;="&amp;$H$4,'领用录入（明细）'!C:C,"&lt;="&amp;$J$4,'领用录入（明细）'!F:F,C42)</f>
        <v>0</v>
      </c>
      <c r="J42" s="60">
        <f>IFERROR(VLOOKUP(C42,'基础-办公用品信息'!$C:$G,4,0),"")</f>
        <v>1.4</v>
      </c>
      <c r="K42" s="60">
        <f>SUMIFS('领用录入（明细）'!K:K,'领用录入（明细）'!E:E,$D$4,'领用录入（明细）'!C:C,"&gt;="&amp;$H$4,'领用录入（明细）'!C:C,"&lt;="&amp;$J$4,'领用录入（明细）'!F:F,C42)</f>
        <v>0</v>
      </c>
    </row>
    <row r="43" customHeight="1" spans="2:11">
      <c r="B43" s="59">
        <v>36</v>
      </c>
      <c r="C43" s="60" t="str">
        <f>IF('基础-办公用品信息'!C39="","-",'基础-办公用品信息'!C39)</f>
        <v>圆珠笔蓝色</v>
      </c>
      <c r="D43" s="60"/>
      <c r="E43" s="60" t="str">
        <f>IF('基础-办公用品信息'!D39="","-",'基础-办公用品信息'!D39)</f>
        <v>支</v>
      </c>
      <c r="F43" s="60"/>
      <c r="G43" s="60" t="str">
        <f>IF('基础-办公用品信息'!E39="","-",'基础-办公用品信息'!E39)</f>
        <v>-</v>
      </c>
      <c r="H43" s="60"/>
      <c r="I43" s="99">
        <f>SUMIFS('领用录入（明细）'!I:I,'领用录入（明细）'!E:E,$D$4,'领用录入（明细）'!C:C,"&gt;="&amp;$H$4,'领用录入（明细）'!C:C,"&lt;="&amp;$J$4,'领用录入（明细）'!F:F,C43)</f>
        <v>0</v>
      </c>
      <c r="J43" s="60">
        <f>IFERROR(VLOOKUP(C43,'基础-办公用品信息'!$C:$G,4,0),"")</f>
        <v>0</v>
      </c>
      <c r="K43" s="60">
        <f>SUMIFS('领用录入（明细）'!K:K,'领用录入（明细）'!E:E,$D$4,'领用录入（明细）'!C:C,"&gt;="&amp;$H$4,'领用录入（明细）'!C:C,"&lt;="&amp;$J$4,'领用录入（明细）'!F:F,C43)</f>
        <v>0</v>
      </c>
    </row>
    <row r="44" customHeight="1" spans="2:11">
      <c r="B44" s="59">
        <v>37</v>
      </c>
      <c r="C44" s="60" t="str">
        <f>IF('基础-办公用品信息'!C40="","-",'基础-办公用品信息'!C40)</f>
        <v>铅笔</v>
      </c>
      <c r="D44" s="60"/>
      <c r="E44" s="60" t="str">
        <f>IF('基础-办公用品信息'!D40="","-",'基础-办公用品信息'!D40)</f>
        <v>支</v>
      </c>
      <c r="F44" s="60"/>
      <c r="G44" s="60" t="str">
        <f>IF('基础-办公用品信息'!E40="","-",'基础-办公用品信息'!E40)</f>
        <v>-</v>
      </c>
      <c r="H44" s="60"/>
      <c r="I44" s="99">
        <f>SUMIFS('领用录入（明细）'!I:I,'领用录入（明细）'!E:E,$D$4,'领用录入（明细）'!C:C,"&gt;="&amp;$H$4,'领用录入（明细）'!C:C,"&lt;="&amp;$J$4,'领用录入（明细）'!F:F,C44)</f>
        <v>0</v>
      </c>
      <c r="J44" s="60" t="str">
        <f>IFERROR(VLOOKUP(C44,'基础-办公用品信息'!$C:$G,4,0),"")</f>
        <v>7元/盒</v>
      </c>
      <c r="K44" s="60">
        <f>SUMIFS('领用录入（明细）'!K:K,'领用录入（明细）'!E:E,$D$4,'领用录入（明细）'!C:C,"&gt;="&amp;$H$4,'领用录入（明细）'!C:C,"&lt;="&amp;$J$4,'领用录入（明细）'!F:F,C44)</f>
        <v>0</v>
      </c>
    </row>
    <row r="45" customHeight="1" spans="2:11">
      <c r="B45" s="59">
        <v>38</v>
      </c>
      <c r="C45" s="60" t="str">
        <f>IF('基础-办公用品信息'!C41="","-",'基础-办公用品信息'!C41)</f>
        <v>卷笔机</v>
      </c>
      <c r="D45" s="60"/>
      <c r="E45" s="60" t="str">
        <f>IF('基础-办公用品信息'!D41="","-",'基础-办公用品信息'!D41)</f>
        <v>个</v>
      </c>
      <c r="F45" s="60"/>
      <c r="G45" s="60" t="str">
        <f>IF('基础-办公用品信息'!E41="","-",'基础-办公用品信息'!E41)</f>
        <v>-</v>
      </c>
      <c r="H45" s="60"/>
      <c r="I45" s="99">
        <f>SUMIFS('领用录入（明细）'!I:I,'领用录入（明细）'!E:E,$D$4,'领用录入（明细）'!C:C,"&gt;="&amp;$H$4,'领用录入（明细）'!C:C,"&lt;="&amp;$J$4,'领用录入（明细）'!F:F,C45)</f>
        <v>0</v>
      </c>
      <c r="J45" s="60">
        <f>IFERROR(VLOOKUP(C45,'基础-办公用品信息'!$C:$G,4,0),"")</f>
        <v>16</v>
      </c>
      <c r="K45" s="60">
        <f>SUMIFS('领用录入（明细）'!K:K,'领用录入（明细）'!E:E,$D$4,'领用录入（明细）'!C:C,"&gt;="&amp;$H$4,'领用录入（明细）'!C:C,"&lt;="&amp;$J$4,'领用录入（明细）'!F:F,C45)</f>
        <v>0</v>
      </c>
    </row>
    <row r="46" customHeight="1" spans="2:11">
      <c r="B46" s="59">
        <v>39</v>
      </c>
      <c r="C46" s="60" t="str">
        <f>IF('基础-办公用品信息'!C42="","-",'基础-办公用品信息'!C42)</f>
        <v>卷笔刀</v>
      </c>
      <c r="D46" s="60"/>
      <c r="E46" s="60" t="str">
        <f>IF('基础-办公用品信息'!D42="","-",'基础-办公用品信息'!D42)</f>
        <v>个</v>
      </c>
      <c r="F46" s="60"/>
      <c r="G46" s="60" t="str">
        <f>IF('基础-办公用品信息'!E42="","-",'基础-办公用品信息'!E42)</f>
        <v>-</v>
      </c>
      <c r="H46" s="60"/>
      <c r="I46" s="99">
        <f>SUMIFS('领用录入（明细）'!I:I,'领用录入（明细）'!E:E,$D$4,'领用录入（明细）'!C:C,"&gt;="&amp;$H$4,'领用录入（明细）'!C:C,"&lt;="&amp;$J$4,'领用录入（明细）'!F:F,C46)</f>
        <v>0</v>
      </c>
      <c r="J46" s="60">
        <f>IFERROR(VLOOKUP(C46,'基础-办公用品信息'!$C:$G,4,0),"")</f>
        <v>0.8</v>
      </c>
      <c r="K46" s="60">
        <f>SUMIFS('领用录入（明细）'!K:K,'领用录入（明细）'!E:E,$D$4,'领用录入（明细）'!C:C,"&gt;="&amp;$H$4,'领用录入（明细）'!C:C,"&lt;="&amp;$J$4,'领用录入（明细）'!F:F,C46)</f>
        <v>0</v>
      </c>
    </row>
    <row r="47" customHeight="1" spans="2:11">
      <c r="B47" s="59">
        <v>40</v>
      </c>
      <c r="C47" s="60" t="str">
        <f>IF('基础-办公用品信息'!C43="","-",'基础-办公用品信息'!C43)</f>
        <v>橡皮</v>
      </c>
      <c r="D47" s="60"/>
      <c r="E47" s="60" t="str">
        <f>IF('基础-办公用品信息'!D43="","-",'基础-办公用品信息'!D43)</f>
        <v>个</v>
      </c>
      <c r="F47" s="60"/>
      <c r="G47" s="60" t="str">
        <f>IF('基础-办公用品信息'!E43="","-",'基础-办公用品信息'!E43)</f>
        <v>-</v>
      </c>
      <c r="H47" s="60"/>
      <c r="I47" s="99">
        <f>SUMIFS('领用录入（明细）'!I:I,'领用录入（明细）'!E:E,$D$4,'领用录入（明细）'!C:C,"&gt;="&amp;$H$4,'领用录入（明细）'!C:C,"&lt;="&amp;$J$4,'领用录入（明细）'!F:F,C47)</f>
        <v>0</v>
      </c>
      <c r="J47" s="60">
        <f>IFERROR(VLOOKUP(C47,'基础-办公用品信息'!$C:$G,4,0),"")</f>
        <v>0</v>
      </c>
      <c r="K47" s="60">
        <f>SUMIFS('领用录入（明细）'!K:K,'领用录入（明细）'!E:E,$D$4,'领用录入（明细）'!C:C,"&gt;="&amp;$H$4,'领用录入（明细）'!C:C,"&lt;="&amp;$J$4,'领用录入（明细）'!F:F,C47)</f>
        <v>0</v>
      </c>
    </row>
    <row r="48" customHeight="1" spans="2:11">
      <c r="B48" s="59">
        <v>41</v>
      </c>
      <c r="C48" s="60" t="str">
        <f>IF('基础-办公用品信息'!C44="","-",'基础-办公用品信息'!C44)</f>
        <v>美工刀</v>
      </c>
      <c r="D48" s="60"/>
      <c r="E48" s="60" t="str">
        <f>IF('基础-办公用品信息'!D44="","-",'基础-办公用品信息'!D44)</f>
        <v>把</v>
      </c>
      <c r="F48" s="60"/>
      <c r="G48" s="60" t="str">
        <f>IF('基础-办公用品信息'!E44="","-",'基础-办公用品信息'!E44)</f>
        <v>-</v>
      </c>
      <c r="H48" s="60"/>
      <c r="I48" s="99">
        <f>SUMIFS('领用录入（明细）'!I:I,'领用录入（明细）'!E:E,$D$4,'领用录入（明细）'!C:C,"&gt;="&amp;$H$4,'领用录入（明细）'!C:C,"&lt;="&amp;$J$4,'领用录入（明细）'!F:F,C48)</f>
        <v>0</v>
      </c>
      <c r="J48" s="60">
        <f>IFERROR(VLOOKUP(C48,'基础-办公用品信息'!$C:$G,4,0),"")</f>
        <v>0</v>
      </c>
      <c r="K48" s="60">
        <f>SUMIFS('领用录入（明细）'!K:K,'领用录入（明细）'!E:E,$D$4,'领用录入（明细）'!C:C,"&gt;="&amp;$H$4,'领用录入（明细）'!C:C,"&lt;="&amp;$J$4,'领用录入（明细）'!F:F,C48)</f>
        <v>0</v>
      </c>
    </row>
    <row r="49" customHeight="1" spans="2:11">
      <c r="B49" s="59">
        <v>42</v>
      </c>
      <c r="C49" s="60" t="str">
        <f>IF('基础-办公用品信息'!C45="","-",'基础-办公用品信息'!C45)</f>
        <v>剪刀</v>
      </c>
      <c r="D49" s="60"/>
      <c r="E49" s="60" t="str">
        <f>IF('基础-办公用品信息'!D45="","-",'基础-办公用品信息'!D45)</f>
        <v>把</v>
      </c>
      <c r="F49" s="60"/>
      <c r="G49" s="60" t="str">
        <f>IF('基础-办公用品信息'!E45="","-",'基础-办公用品信息'!E45)</f>
        <v>-</v>
      </c>
      <c r="H49" s="60"/>
      <c r="I49" s="99">
        <f>SUMIFS('领用录入（明细）'!I:I,'领用录入（明细）'!E:E,$D$4,'领用录入（明细）'!C:C,"&gt;="&amp;$H$4,'领用录入（明细）'!C:C,"&lt;="&amp;$J$4,'领用录入（明细）'!F:F,C49)</f>
        <v>0</v>
      </c>
      <c r="J49" s="60">
        <f>IFERROR(VLOOKUP(C49,'基础-办公用品信息'!$C:$G,4,0),"")</f>
        <v>3.5</v>
      </c>
      <c r="K49" s="60">
        <f>SUMIFS('领用录入（明细）'!K:K,'领用录入（明细）'!E:E,$D$4,'领用录入（明细）'!C:C,"&gt;="&amp;$H$4,'领用录入（明细）'!C:C,"&lt;="&amp;$J$4,'领用录入（明细）'!F:F,C49)</f>
        <v>0</v>
      </c>
    </row>
    <row r="50" customHeight="1" spans="2:11">
      <c r="B50" s="59">
        <v>43</v>
      </c>
      <c r="C50" s="60" t="str">
        <f>IF('基础-办公用品信息'!C46="","-",'基础-办公用品信息'!C46)</f>
        <v>起钉器</v>
      </c>
      <c r="D50" s="60"/>
      <c r="E50" s="60" t="str">
        <f>IF('基础-办公用品信息'!D46="","-",'基础-办公用品信息'!D46)</f>
        <v>个</v>
      </c>
      <c r="F50" s="60"/>
      <c r="G50" s="60" t="str">
        <f>IF('基础-办公用品信息'!E46="","-",'基础-办公用品信息'!E46)</f>
        <v>-</v>
      </c>
      <c r="H50" s="60"/>
      <c r="I50" s="99">
        <f>SUMIFS('领用录入（明细）'!I:I,'领用录入（明细）'!E:E,$D$4,'领用录入（明细）'!C:C,"&gt;="&amp;$H$4,'领用录入（明细）'!C:C,"&lt;="&amp;$J$4,'领用录入（明细）'!F:F,C50)</f>
        <v>0</v>
      </c>
      <c r="J50" s="60">
        <f>IFERROR(VLOOKUP(C50,'基础-办公用品信息'!$C:$G,4,0),"")</f>
        <v>2</v>
      </c>
      <c r="K50" s="60">
        <f>SUMIFS('领用录入（明细）'!K:K,'领用录入（明细）'!E:E,$D$4,'领用录入（明细）'!C:C,"&gt;="&amp;$H$4,'领用录入（明细）'!C:C,"&lt;="&amp;$J$4,'领用录入（明细）'!F:F,C50)</f>
        <v>0</v>
      </c>
    </row>
    <row r="51" customHeight="1" spans="2:11">
      <c r="B51" s="59">
        <v>44</v>
      </c>
      <c r="C51" s="60" t="str">
        <f>IF('基础-办公用品信息'!C47="","-",'基础-办公用品信息'!C47)</f>
        <v>订书机</v>
      </c>
      <c r="D51" s="60"/>
      <c r="E51" s="60" t="str">
        <f>IF('基础-办公用品信息'!D47="","-",'基础-办公用品信息'!D47)</f>
        <v>个</v>
      </c>
      <c r="F51" s="60"/>
      <c r="G51" s="60" t="str">
        <f>IF('基础-办公用品信息'!E47="","-",'基础-办公用品信息'!E47)</f>
        <v>-</v>
      </c>
      <c r="H51" s="60"/>
      <c r="I51" s="99">
        <f>SUMIFS('领用录入（明细）'!I:I,'领用录入（明细）'!E:E,$D$4,'领用录入（明细）'!C:C,"&gt;="&amp;$H$4,'领用录入（明细）'!C:C,"&lt;="&amp;$J$4,'领用录入（明细）'!F:F,C51)</f>
        <v>0</v>
      </c>
      <c r="J51" s="60">
        <f>IFERROR(VLOOKUP(C51,'基础-办公用品信息'!$C:$G,4,0),"")</f>
        <v>7</v>
      </c>
      <c r="K51" s="60">
        <f>SUMIFS('领用录入（明细）'!K:K,'领用录入（明细）'!E:E,$D$4,'领用录入（明细）'!C:C,"&gt;="&amp;$H$4,'领用录入（明细）'!C:C,"&lt;="&amp;$J$4,'领用录入（明细）'!F:F,C51)</f>
        <v>0</v>
      </c>
    </row>
    <row r="52" customHeight="1" spans="2:11">
      <c r="B52" s="59">
        <v>45</v>
      </c>
      <c r="C52" s="60" t="str">
        <f>IF('基础-办公用品信息'!C48="","-",'基础-办公用品信息'!C48)</f>
        <v>订书钉</v>
      </c>
      <c r="D52" s="60"/>
      <c r="E52" s="60" t="str">
        <f>IF('基础-办公用品信息'!D48="","-",'基础-办公用品信息'!D48)</f>
        <v>盒</v>
      </c>
      <c r="F52" s="60"/>
      <c r="G52" s="60" t="str">
        <f>IF('基础-办公用品信息'!E48="","-",'基础-办公用品信息'!E48)</f>
        <v>-</v>
      </c>
      <c r="H52" s="60"/>
      <c r="I52" s="99">
        <f>SUMIFS('领用录入（明细）'!I:I,'领用录入（明细）'!E:E,$D$4,'领用录入（明细）'!C:C,"&gt;="&amp;$H$4,'领用录入（明细）'!C:C,"&lt;="&amp;$J$4,'领用录入（明细）'!F:F,C52)</f>
        <v>0</v>
      </c>
      <c r="J52" s="60">
        <f>IFERROR(VLOOKUP(C52,'基础-办公用品信息'!$C:$G,4,0),"")</f>
        <v>0.7</v>
      </c>
      <c r="K52" s="60">
        <f>SUMIFS('领用录入（明细）'!K:K,'领用录入（明细）'!E:E,$D$4,'领用录入（明细）'!C:C,"&gt;="&amp;$H$4,'领用录入（明细）'!C:C,"&lt;="&amp;$J$4,'领用录入（明细）'!F:F,C52)</f>
        <v>0</v>
      </c>
    </row>
    <row r="53" customHeight="1" spans="2:11">
      <c r="B53" s="59">
        <v>46</v>
      </c>
      <c r="C53" s="60" t="str">
        <f>IF('基础-办公用品信息'!C49="","-",'基础-办公用品信息'!C49)</f>
        <v>回形针</v>
      </c>
      <c r="D53" s="60"/>
      <c r="E53" s="60" t="str">
        <f>IF('基础-办公用品信息'!D49="","-",'基础-办公用品信息'!D49)</f>
        <v>盒</v>
      </c>
      <c r="F53" s="60"/>
      <c r="G53" s="60" t="str">
        <f>IF('基础-办公用品信息'!E49="","-",'基础-办公用品信息'!E49)</f>
        <v>-</v>
      </c>
      <c r="H53" s="60"/>
      <c r="I53" s="99">
        <f>SUMIFS('领用录入（明细）'!I:I,'领用录入（明细）'!E:E,$D$4,'领用录入（明细）'!C:C,"&gt;="&amp;$H$4,'领用录入（明细）'!C:C,"&lt;="&amp;$J$4,'领用录入（明细）'!F:F,C53)</f>
        <v>0</v>
      </c>
      <c r="J53" s="60">
        <f>IFERROR(VLOOKUP(C53,'基础-办公用品信息'!$C:$G,4,0),"")</f>
        <v>0.7</v>
      </c>
      <c r="K53" s="60">
        <f>SUMIFS('领用录入（明细）'!K:K,'领用录入（明细）'!E:E,$D$4,'领用录入（明细）'!C:C,"&gt;="&amp;$H$4,'领用录入（明细）'!C:C,"&lt;="&amp;$J$4,'领用录入（明细）'!F:F,C53)</f>
        <v>0</v>
      </c>
    </row>
    <row r="54" customHeight="1" spans="2:11">
      <c r="B54" s="59">
        <v>47</v>
      </c>
      <c r="C54" s="60" t="str">
        <f>IF('基础-办公用品信息'!C50="","-",'基础-办公用品信息'!C50)</f>
        <v>计算器</v>
      </c>
      <c r="D54" s="60"/>
      <c r="E54" s="60" t="str">
        <f>IF('基础-办公用品信息'!D50="","-",'基础-办公用品信息'!D50)</f>
        <v>个</v>
      </c>
      <c r="F54" s="60"/>
      <c r="G54" s="60" t="str">
        <f>IF('基础-办公用品信息'!E50="","-",'基础-办公用品信息'!E50)</f>
        <v>-</v>
      </c>
      <c r="H54" s="60"/>
      <c r="I54" s="99">
        <f>SUMIFS('领用录入（明细）'!I:I,'领用录入（明细）'!E:E,$D$4,'领用录入（明细）'!C:C,"&gt;="&amp;$H$4,'领用录入（明细）'!C:C,"&lt;="&amp;$J$4,'领用录入（明细）'!F:F,C54)</f>
        <v>0</v>
      </c>
      <c r="J54" s="60">
        <f>IFERROR(VLOOKUP(C54,'基础-办公用品信息'!$C:$G,4,0),"")</f>
        <v>13</v>
      </c>
      <c r="K54" s="60">
        <f>SUMIFS('领用录入（明细）'!K:K,'领用录入（明细）'!E:E,$D$4,'领用录入（明细）'!C:C,"&gt;="&amp;$H$4,'领用录入（明细）'!C:C,"&lt;="&amp;$J$4,'领用录入（明细）'!F:F,C54)</f>
        <v>0</v>
      </c>
    </row>
    <row r="55" customHeight="1" spans="2:11">
      <c r="B55" s="59">
        <v>48</v>
      </c>
      <c r="C55" s="60" t="str">
        <f>IF('基础-办公用品信息'!C51="","-",'基础-办公用品信息'!C51)</f>
        <v>笔筒圆形</v>
      </c>
      <c r="D55" s="60"/>
      <c r="E55" s="60" t="str">
        <f>IF('基础-办公用品信息'!D51="","-",'基础-办公用品信息'!D51)</f>
        <v>个</v>
      </c>
      <c r="F55" s="60"/>
      <c r="G55" s="60" t="str">
        <f>IF('基础-办公用品信息'!E51="","-",'基础-办公用品信息'!E51)</f>
        <v>-</v>
      </c>
      <c r="H55" s="60"/>
      <c r="I55" s="99">
        <f>SUMIFS('领用录入（明细）'!I:I,'领用录入（明细）'!E:E,$D$4,'领用录入（明细）'!C:C,"&gt;="&amp;$H$4,'领用录入（明细）'!C:C,"&lt;="&amp;$J$4,'领用录入（明细）'!F:F,C55)</f>
        <v>0</v>
      </c>
      <c r="J55" s="60">
        <f>IFERROR(VLOOKUP(C55,'基础-办公用品信息'!$C:$G,4,0),"")</f>
        <v>4</v>
      </c>
      <c r="K55" s="60">
        <f>SUMIFS('领用录入（明细）'!K:K,'领用录入（明细）'!E:E,$D$4,'领用录入（明细）'!C:C,"&gt;="&amp;$H$4,'领用录入（明细）'!C:C,"&lt;="&amp;$J$4,'领用录入（明细）'!F:F,C55)</f>
        <v>0</v>
      </c>
    </row>
    <row r="56" customHeight="1" spans="2:11">
      <c r="B56" s="59">
        <v>49</v>
      </c>
      <c r="C56" s="60" t="str">
        <f>IF('基础-办公用品信息'!C52="","-",'基础-办公用品信息'!C52)</f>
        <v>笔筒方形</v>
      </c>
      <c r="D56" s="60"/>
      <c r="E56" s="60" t="str">
        <f>IF('基础-办公用品信息'!D52="","-",'基础-办公用品信息'!D52)</f>
        <v>个</v>
      </c>
      <c r="F56" s="60"/>
      <c r="G56" s="60" t="str">
        <f>IF('基础-办公用品信息'!E52="","-",'基础-办公用品信息'!E52)</f>
        <v>-</v>
      </c>
      <c r="H56" s="60"/>
      <c r="I56" s="99">
        <f>SUMIFS('领用录入（明细）'!I:I,'领用录入（明细）'!E:E,$D$4,'领用录入（明细）'!C:C,"&gt;="&amp;$H$4,'领用录入（明细）'!C:C,"&lt;="&amp;$J$4,'领用录入（明细）'!F:F,C56)</f>
        <v>0</v>
      </c>
      <c r="J56" s="60">
        <f>IFERROR(VLOOKUP(C56,'基础-办公用品信息'!$C:$G,4,0),"")</f>
        <v>4</v>
      </c>
      <c r="K56" s="60">
        <f>SUMIFS('领用录入（明细）'!K:K,'领用录入（明细）'!E:E,$D$4,'领用录入（明细）'!C:C,"&gt;="&amp;$H$4,'领用录入（明细）'!C:C,"&lt;="&amp;$J$4,'领用录入（明细）'!F:F,C56)</f>
        <v>0</v>
      </c>
    </row>
    <row r="57" customHeight="1" spans="2:11">
      <c r="B57" s="59">
        <v>50</v>
      </c>
      <c r="C57" s="60" t="str">
        <f>IF('基础-办公用品信息'!C53="","-",'基础-办公用品信息'!C53)</f>
        <v>液体胶水</v>
      </c>
      <c r="D57" s="60"/>
      <c r="E57" s="60" t="str">
        <f>IF('基础-办公用品信息'!D53="","-",'基础-办公用品信息'!D53)</f>
        <v>支</v>
      </c>
      <c r="F57" s="60"/>
      <c r="G57" s="60" t="str">
        <f>IF('基础-办公用品信息'!E53="","-",'基础-办公用品信息'!E53)</f>
        <v>-</v>
      </c>
      <c r="H57" s="60"/>
      <c r="I57" s="99">
        <f>SUMIFS('领用录入（明细）'!I:I,'领用录入（明细）'!E:E,$D$4,'领用录入（明细）'!C:C,"&gt;="&amp;$H$4,'领用录入（明细）'!C:C,"&lt;="&amp;$J$4,'领用录入（明细）'!F:F,C57)</f>
        <v>0</v>
      </c>
      <c r="J57" s="60">
        <f>IFERROR(VLOOKUP(C57,'基础-办公用品信息'!$C:$G,4,0),"")</f>
        <v>1</v>
      </c>
      <c r="K57" s="60">
        <f>SUMIFS('领用录入（明细）'!K:K,'领用录入（明细）'!E:E,$D$4,'领用录入（明细）'!C:C,"&gt;="&amp;$H$4,'领用录入（明细）'!C:C,"&lt;="&amp;$J$4,'领用录入（明细）'!F:F,C57)</f>
        <v>0</v>
      </c>
    </row>
    <row r="58" customHeight="1" spans="2:11">
      <c r="B58" s="59">
        <v>51</v>
      </c>
      <c r="C58" s="60" t="str">
        <f>IF('基础-办公用品信息'!C54="","-",'基础-办公用品信息'!C54)</f>
        <v>固体胶水</v>
      </c>
      <c r="D58" s="60"/>
      <c r="E58" s="60" t="str">
        <f>IF('基础-办公用品信息'!D54="","-",'基础-办公用品信息'!D54)</f>
        <v>支</v>
      </c>
      <c r="F58" s="60"/>
      <c r="G58" s="60" t="str">
        <f>IF('基础-办公用品信息'!E54="","-",'基础-办公用品信息'!E54)</f>
        <v>-</v>
      </c>
      <c r="H58" s="60"/>
      <c r="I58" s="99">
        <f>SUMIFS('领用录入（明细）'!I:I,'领用录入（明细）'!E:E,$D$4,'领用录入（明细）'!C:C,"&gt;="&amp;$H$4,'领用录入（明细）'!C:C,"&lt;="&amp;$J$4,'领用录入（明细）'!F:F,C58)</f>
        <v>0</v>
      </c>
      <c r="J58" s="60">
        <f>IFERROR(VLOOKUP(C58,'基础-办公用品信息'!$C:$G,4,0),"")</f>
        <v>1</v>
      </c>
      <c r="K58" s="60">
        <f>SUMIFS('领用录入（明细）'!K:K,'领用录入（明细）'!E:E,$D$4,'领用录入（明细）'!C:C,"&gt;="&amp;$H$4,'领用录入（明细）'!C:C,"&lt;="&amp;$J$4,'领用录入（明细）'!F:F,C58)</f>
        <v>0</v>
      </c>
    </row>
    <row r="59" customHeight="1" spans="2:11">
      <c r="B59" s="59">
        <v>52</v>
      </c>
      <c r="C59" s="60" t="str">
        <f>IF('基础-办公用品信息'!C55="","-",'基础-办公用品信息'!C55)</f>
        <v>三棱尺</v>
      </c>
      <c r="D59" s="60"/>
      <c r="E59" s="60" t="str">
        <f>IF('基础-办公用品信息'!D55="","-",'基础-办公用品信息'!D55)</f>
        <v>把</v>
      </c>
      <c r="F59" s="60"/>
      <c r="G59" s="60" t="str">
        <f>IF('基础-办公用品信息'!E55="","-",'基础-办公用品信息'!E55)</f>
        <v>-</v>
      </c>
      <c r="H59" s="60"/>
      <c r="I59" s="99">
        <f>SUMIFS('领用录入（明细）'!I:I,'领用录入（明细）'!E:E,$D$4,'领用录入（明细）'!C:C,"&gt;="&amp;$H$4,'领用录入（明细）'!C:C,"&lt;="&amp;$J$4,'领用录入（明细）'!F:F,C59)</f>
        <v>0</v>
      </c>
      <c r="J59" s="60">
        <f>IFERROR(VLOOKUP(C59,'基础-办公用品信息'!$C:$G,4,0),"")</f>
        <v>0</v>
      </c>
      <c r="K59" s="60">
        <f>SUMIFS('领用录入（明细）'!K:K,'领用录入（明细）'!E:E,$D$4,'领用录入（明细）'!C:C,"&gt;="&amp;$H$4,'领用录入（明细）'!C:C,"&lt;="&amp;$J$4,'领用录入（明细）'!F:F,C59)</f>
        <v>0</v>
      </c>
    </row>
    <row r="60" customHeight="1" spans="2:11">
      <c r="B60" s="59">
        <v>53</v>
      </c>
      <c r="C60" s="60" t="str">
        <f>IF('基础-办公用品信息'!C56="","-",'基础-办公用品信息'!C56)</f>
        <v>透明直尺40cm</v>
      </c>
      <c r="D60" s="60"/>
      <c r="E60" s="60" t="str">
        <f>IF('基础-办公用品信息'!D56="","-",'基础-办公用品信息'!D56)</f>
        <v>把</v>
      </c>
      <c r="F60" s="60"/>
      <c r="G60" s="60" t="str">
        <f>IF('基础-办公用品信息'!E56="","-",'基础-办公用品信息'!E56)</f>
        <v>-</v>
      </c>
      <c r="H60" s="60"/>
      <c r="I60" s="99">
        <f>SUMIFS('领用录入（明细）'!I:I,'领用录入（明细）'!E:E,$D$4,'领用录入（明细）'!C:C,"&gt;="&amp;$H$4,'领用录入（明细）'!C:C,"&lt;="&amp;$J$4,'领用录入（明细）'!F:F,C60)</f>
        <v>0</v>
      </c>
      <c r="J60" s="60">
        <f>IFERROR(VLOOKUP(C60,'基础-办公用品信息'!$C:$G,4,0),"")</f>
        <v>0</v>
      </c>
      <c r="K60" s="60">
        <f>SUMIFS('领用录入（明细）'!K:K,'领用录入（明细）'!E:E,$D$4,'领用录入（明细）'!C:C,"&gt;="&amp;$H$4,'领用录入（明细）'!C:C,"&lt;="&amp;$J$4,'领用录入（明细）'!F:F,C60)</f>
        <v>0</v>
      </c>
    </row>
    <row r="61" customHeight="1" spans="2:11">
      <c r="B61" s="59">
        <v>54</v>
      </c>
      <c r="C61" s="60" t="str">
        <f>IF('基础-办公用品信息'!C57="","-",'基础-办公用品信息'!C57)</f>
        <v>卷尺10m</v>
      </c>
      <c r="D61" s="60"/>
      <c r="E61" s="60" t="str">
        <f>IF('基础-办公用品信息'!D57="","-",'基础-办公用品信息'!D57)</f>
        <v>个</v>
      </c>
      <c r="F61" s="60"/>
      <c r="G61" s="60" t="str">
        <f>IF('基础-办公用品信息'!E57="","-",'基础-办公用品信息'!E57)</f>
        <v>-</v>
      </c>
      <c r="H61" s="60"/>
      <c r="I61" s="99">
        <f>SUMIFS('领用录入（明细）'!I:I,'领用录入（明细）'!E:E,$D$4,'领用录入（明细）'!C:C,"&gt;="&amp;$H$4,'领用录入（明细）'!C:C,"&lt;="&amp;$J$4,'领用录入（明细）'!F:F,C61)</f>
        <v>0</v>
      </c>
      <c r="J61" s="60">
        <f>IFERROR(VLOOKUP(C61,'基础-办公用品信息'!$C:$G,4,0),"")</f>
        <v>0</v>
      </c>
      <c r="K61" s="60">
        <f>SUMIFS('领用录入（明细）'!K:K,'领用录入（明细）'!E:E,$D$4,'领用录入（明细）'!C:C,"&gt;="&amp;$H$4,'领用录入（明细）'!C:C,"&lt;="&amp;$J$4,'领用录入（明细）'!F:F,C61)</f>
        <v>0</v>
      </c>
    </row>
    <row r="62" customHeight="1" spans="2:11">
      <c r="B62" s="59">
        <v>55</v>
      </c>
      <c r="C62" s="60" t="str">
        <f>IF('基础-办公用品信息'!C58="","-",'基础-办公用品信息'!C58)</f>
        <v>卷尺5m</v>
      </c>
      <c r="D62" s="60"/>
      <c r="E62" s="60" t="str">
        <f>IF('基础-办公用品信息'!D58="","-",'基础-办公用品信息'!D58)</f>
        <v>个</v>
      </c>
      <c r="F62" s="60"/>
      <c r="G62" s="60" t="str">
        <f>IF('基础-办公用品信息'!E58="","-",'基础-办公用品信息'!E58)</f>
        <v>-</v>
      </c>
      <c r="H62" s="60"/>
      <c r="I62" s="99">
        <f>SUMIFS('领用录入（明细）'!I:I,'领用录入（明细）'!E:E,$D$4,'领用录入（明细）'!C:C,"&gt;="&amp;$H$4,'领用录入（明细）'!C:C,"&lt;="&amp;$J$4,'领用录入（明细）'!F:F,C62)</f>
        <v>0</v>
      </c>
      <c r="J62" s="60">
        <f>IFERROR(VLOOKUP(C62,'基础-办公用品信息'!$C:$G,4,0),"")</f>
        <v>9</v>
      </c>
      <c r="K62" s="60">
        <f>SUMIFS('领用录入（明细）'!K:K,'领用录入（明细）'!E:E,$D$4,'领用录入（明细）'!C:C,"&gt;="&amp;$H$4,'领用录入（明细）'!C:C,"&lt;="&amp;$J$4,'领用录入（明细）'!F:F,C62)</f>
        <v>0</v>
      </c>
    </row>
    <row r="63" customHeight="1" spans="2:11">
      <c r="B63" s="59">
        <v>56</v>
      </c>
      <c r="C63" s="60" t="str">
        <f>IF('基础-办公用品信息'!C59="","-",'基础-办公用品信息'!C59)</f>
        <v>卷尺2m</v>
      </c>
      <c r="D63" s="60"/>
      <c r="E63" s="60" t="str">
        <f>IF('基础-办公用品信息'!D59="","-",'基础-办公用品信息'!D59)</f>
        <v>个</v>
      </c>
      <c r="F63" s="60"/>
      <c r="G63" s="60" t="str">
        <f>IF('基础-办公用品信息'!E59="","-",'基础-办公用品信息'!E59)</f>
        <v>-</v>
      </c>
      <c r="H63" s="60"/>
      <c r="I63" s="99">
        <f>SUMIFS('领用录入（明细）'!I:I,'领用录入（明细）'!E:E,$D$4,'领用录入（明细）'!C:C,"&gt;="&amp;$H$4,'领用录入（明细）'!C:C,"&lt;="&amp;$J$4,'领用录入（明细）'!F:F,C63)</f>
        <v>0</v>
      </c>
      <c r="J63" s="60">
        <f>IFERROR(VLOOKUP(C63,'基础-办公用品信息'!$C:$G,4,0),"")</f>
        <v>0</v>
      </c>
      <c r="K63" s="60">
        <f>SUMIFS('领用录入（明细）'!K:K,'领用录入（明细）'!E:E,$D$4,'领用录入（明细）'!C:C,"&gt;="&amp;$H$4,'领用录入（明细）'!C:C,"&lt;="&amp;$J$4,'领用录入（明细）'!F:F,C63)</f>
        <v>0</v>
      </c>
    </row>
    <row r="64" customHeight="1" spans="2:11">
      <c r="B64" s="59">
        <v>57</v>
      </c>
      <c r="C64" s="60" t="str">
        <f>IF('基础-办公用品信息'!C60="","-",'基础-办公用品信息'!C60)</f>
        <v>电池南孚5号</v>
      </c>
      <c r="D64" s="60"/>
      <c r="E64" s="60" t="str">
        <f>IF('基础-办公用品信息'!D60="","-",'基础-办公用品信息'!D60)</f>
        <v>节</v>
      </c>
      <c r="F64" s="60"/>
      <c r="G64" s="60" t="str">
        <f>IF('基础-办公用品信息'!E60="","-",'基础-办公用品信息'!E60)</f>
        <v>-</v>
      </c>
      <c r="H64" s="60"/>
      <c r="I64" s="99">
        <f>SUMIFS('领用录入（明细）'!I:I,'领用录入（明细）'!E:E,$D$4,'领用录入（明细）'!C:C,"&gt;="&amp;$H$4,'领用录入（明细）'!C:C,"&lt;="&amp;$J$4,'领用录入（明细）'!F:F,C64)</f>
        <v>0</v>
      </c>
      <c r="J64" s="60">
        <f>IFERROR(VLOOKUP(C64,'基础-办公用品信息'!$C:$G,4,0),"")</f>
        <v>2.1</v>
      </c>
      <c r="K64" s="60">
        <f>SUMIFS('领用录入（明细）'!K:K,'领用录入（明细）'!E:E,$D$4,'领用录入（明细）'!C:C,"&gt;="&amp;$H$4,'领用录入（明细）'!C:C,"&lt;="&amp;$J$4,'领用录入（明细）'!F:F,C64)</f>
        <v>0</v>
      </c>
    </row>
    <row r="65" customHeight="1" spans="2:11">
      <c r="B65" s="59">
        <v>58</v>
      </c>
      <c r="C65" s="60" t="str">
        <f>IF('基础-办公用品信息'!C61="","-",'基础-办公用品信息'!C61)</f>
        <v>电池双鹿7号</v>
      </c>
      <c r="D65" s="60"/>
      <c r="E65" s="60" t="str">
        <f>IF('基础-办公用品信息'!D61="","-",'基础-办公用品信息'!D61)</f>
        <v>节</v>
      </c>
      <c r="F65" s="60"/>
      <c r="G65" s="60" t="str">
        <f>IF('基础-办公用品信息'!E61="","-",'基础-办公用品信息'!E61)</f>
        <v>-</v>
      </c>
      <c r="H65" s="60"/>
      <c r="I65" s="99">
        <f>SUMIFS('领用录入（明细）'!I:I,'领用录入（明细）'!E:E,$D$4,'领用录入（明细）'!C:C,"&gt;="&amp;$H$4,'领用录入（明细）'!C:C,"&lt;="&amp;$J$4,'领用录入（明细）'!F:F,C65)</f>
        <v>0</v>
      </c>
      <c r="J65" s="60">
        <f>IFERROR(VLOOKUP(C65,'基础-办公用品信息'!$C:$G,4,0),"")</f>
        <v>0</v>
      </c>
      <c r="K65" s="60">
        <f>SUMIFS('领用录入（明细）'!K:K,'领用录入（明细）'!E:E,$D$4,'领用录入（明细）'!C:C,"&gt;="&amp;$H$4,'领用录入（明细）'!C:C,"&lt;="&amp;$J$4,'领用录入（明细）'!F:F,C65)</f>
        <v>0</v>
      </c>
    </row>
    <row r="66" customHeight="1" spans="2:11">
      <c r="B66" s="59">
        <v>59</v>
      </c>
      <c r="C66" s="60" t="str">
        <f>IF('基础-办公用品信息'!C62="","-",'基础-办公用品信息'!C62)</f>
        <v>电池南孚23A</v>
      </c>
      <c r="D66" s="60"/>
      <c r="E66" s="60" t="str">
        <f>IF('基础-办公用品信息'!D62="","-",'基础-办公用品信息'!D62)</f>
        <v>节</v>
      </c>
      <c r="F66" s="60"/>
      <c r="G66" s="60" t="str">
        <f>IF('基础-办公用品信息'!E62="","-",'基础-办公用品信息'!E62)</f>
        <v>-</v>
      </c>
      <c r="H66" s="60"/>
      <c r="I66" s="99">
        <f>SUMIFS('领用录入（明细）'!I:I,'领用录入（明细）'!E:E,$D$4,'领用录入（明细）'!C:C,"&gt;="&amp;$H$4,'领用录入（明细）'!C:C,"&lt;="&amp;$J$4,'领用录入（明细）'!F:F,C66)</f>
        <v>0</v>
      </c>
      <c r="J66" s="60">
        <f>IFERROR(VLOOKUP(C66,'基础-办公用品信息'!$C:$G,4,0),"")</f>
        <v>0</v>
      </c>
      <c r="K66" s="60">
        <f>SUMIFS('领用录入（明细）'!K:K,'领用录入（明细）'!E:E,$D$4,'领用录入（明细）'!C:C,"&gt;="&amp;$H$4,'领用录入（明细）'!C:C,"&lt;="&amp;$J$4,'领用录入（明细）'!F:F,C66)</f>
        <v>0</v>
      </c>
    </row>
    <row r="67" customHeight="1" spans="2:11">
      <c r="B67" s="59">
        <v>60</v>
      </c>
      <c r="C67" s="60" t="str">
        <f>IF('基础-办公用品信息'!C63="","-",'基础-办公用品信息'!C63)</f>
        <v>电池南孚27A</v>
      </c>
      <c r="D67" s="60"/>
      <c r="E67" s="60" t="str">
        <f>IF('基础-办公用品信息'!D63="","-",'基础-办公用品信息'!D63)</f>
        <v>节</v>
      </c>
      <c r="F67" s="60"/>
      <c r="G67" s="60" t="str">
        <f>IF('基础-办公用品信息'!E63="","-",'基础-办公用品信息'!E63)</f>
        <v>-</v>
      </c>
      <c r="H67" s="60"/>
      <c r="I67" s="99">
        <f>SUMIFS('领用录入（明细）'!I:I,'领用录入（明细）'!E:E,$D$4,'领用录入（明细）'!C:C,"&gt;="&amp;$H$4,'领用录入（明细）'!C:C,"&lt;="&amp;$J$4,'领用录入（明细）'!F:F,C67)</f>
        <v>0</v>
      </c>
      <c r="J67" s="60">
        <f>IFERROR(VLOOKUP(C67,'基础-办公用品信息'!$C:$G,4,0),"")</f>
        <v>0</v>
      </c>
      <c r="K67" s="60">
        <f>SUMIFS('领用录入（明细）'!K:K,'领用录入（明细）'!E:E,$D$4,'领用录入（明细）'!C:C,"&gt;="&amp;$H$4,'领用录入（明细）'!C:C,"&lt;="&amp;$J$4,'领用录入（明细）'!F:F,C67)</f>
        <v>0</v>
      </c>
    </row>
    <row r="68" customHeight="1" spans="2:11">
      <c r="B68" s="59">
        <v>61</v>
      </c>
      <c r="C68" s="60" t="str">
        <f>IF('基础-办公用品信息'!C64="","-",'基础-办公用品信息'!C64)</f>
        <v>彩色长尾票夹5851</v>
      </c>
      <c r="D68" s="60"/>
      <c r="E68" s="60" t="str">
        <f>IF('基础-办公用品信息'!D64="","-",'基础-办公用品信息'!D64)</f>
        <v>盒</v>
      </c>
      <c r="F68" s="60"/>
      <c r="G68" s="60" t="str">
        <f>IF('基础-办公用品信息'!E64="","-",'基础-办公用品信息'!E64)</f>
        <v>-</v>
      </c>
      <c r="H68" s="60"/>
      <c r="I68" s="99">
        <f>SUMIFS('领用录入（明细）'!I:I,'领用录入（明细）'!E:E,$D$4,'领用录入（明细）'!C:C,"&gt;="&amp;$H$4,'领用录入（明细）'!C:C,"&lt;="&amp;$J$4,'领用录入（明细）'!F:F,C68)</f>
        <v>0</v>
      </c>
      <c r="J68" s="60">
        <f>IFERROR(VLOOKUP(C68,'基础-办公用品信息'!$C:$G,4,0),"")</f>
        <v>11</v>
      </c>
      <c r="K68" s="60">
        <f>SUMIFS('领用录入（明细）'!K:K,'领用录入（明细）'!E:E,$D$4,'领用录入（明细）'!C:C,"&gt;="&amp;$H$4,'领用录入（明细）'!C:C,"&lt;="&amp;$J$4,'领用录入（明细）'!F:F,C68)</f>
        <v>0</v>
      </c>
    </row>
    <row r="69" customHeight="1" spans="2:11">
      <c r="B69" s="59">
        <v>62</v>
      </c>
      <c r="C69" s="60" t="str">
        <f>IF('基础-办公用品信息'!C65="","-",'基础-办公用品信息'!C65)</f>
        <v>彩色长尾票5852</v>
      </c>
      <c r="D69" s="60"/>
      <c r="E69" s="60" t="str">
        <f>IF('基础-办公用品信息'!D65="","-",'基础-办公用品信息'!D65)</f>
        <v>盒</v>
      </c>
      <c r="F69" s="60"/>
      <c r="G69" s="60" t="str">
        <f>IF('基础-办公用品信息'!E65="","-",'基础-办公用品信息'!E65)</f>
        <v>-</v>
      </c>
      <c r="H69" s="60"/>
      <c r="I69" s="99">
        <f>SUMIFS('领用录入（明细）'!I:I,'领用录入（明细）'!E:E,$D$4,'领用录入（明细）'!C:C,"&gt;="&amp;$H$4,'领用录入（明细）'!C:C,"&lt;="&amp;$J$4,'领用录入（明细）'!F:F,C69)</f>
        <v>0</v>
      </c>
      <c r="J69" s="60">
        <f>IFERROR(VLOOKUP(C69,'基础-办公用品信息'!$C:$G,4,0),"")</f>
        <v>15</v>
      </c>
      <c r="K69" s="60">
        <f>SUMIFS('领用录入（明细）'!K:K,'领用录入（明细）'!E:E,$D$4,'领用录入（明细）'!C:C,"&gt;="&amp;$H$4,'领用录入（明细）'!C:C,"&lt;="&amp;$J$4,'领用录入（明细）'!F:F,C69)</f>
        <v>0</v>
      </c>
    </row>
    <row r="70" customHeight="1" spans="2:11">
      <c r="B70" s="59">
        <v>63</v>
      </c>
      <c r="C70" s="60" t="str">
        <f>IF('基础-办公用品信息'!C66="","-",'基础-办公用品信息'!C66)</f>
        <v>彩色长尾票夹5854</v>
      </c>
      <c r="D70" s="60"/>
      <c r="E70" s="60" t="str">
        <f>IF('基础-办公用品信息'!D66="","-",'基础-办公用品信息'!D66)</f>
        <v>盒</v>
      </c>
      <c r="F70" s="60"/>
      <c r="G70" s="60" t="str">
        <f>IF('基础-办公用品信息'!E66="","-",'基础-办公用品信息'!E66)</f>
        <v>-</v>
      </c>
      <c r="H70" s="60"/>
      <c r="I70" s="99">
        <f>SUMIFS('领用录入（明细）'!I:I,'领用录入（明细）'!E:E,$D$4,'领用录入（明细）'!C:C,"&gt;="&amp;$H$4,'领用录入（明细）'!C:C,"&lt;="&amp;$J$4,'领用录入（明细）'!F:F,C70)</f>
        <v>0</v>
      </c>
      <c r="J70" s="60">
        <f>IFERROR(VLOOKUP(C70,'基础-办公用品信息'!$C:$G,4,0),"")</f>
        <v>13</v>
      </c>
      <c r="K70" s="60">
        <f>SUMIFS('领用录入（明细）'!K:K,'领用录入（明细）'!E:E,$D$4,'领用录入（明细）'!C:C,"&gt;="&amp;$H$4,'领用录入（明细）'!C:C,"&lt;="&amp;$J$4,'领用录入（明细）'!F:F,C70)</f>
        <v>0</v>
      </c>
    </row>
    <row r="71" customHeight="1" spans="2:11">
      <c r="B71" s="59">
        <v>64</v>
      </c>
      <c r="C71" s="60" t="str">
        <f>IF('基础-办公用品信息'!C67="","-",'基础-办公用品信息'!C67)</f>
        <v>彩色长尾票夹5855</v>
      </c>
      <c r="D71" s="60"/>
      <c r="E71" s="60" t="str">
        <f>IF('基础-办公用品信息'!D67="","-",'基础-办公用品信息'!D67)</f>
        <v>盒</v>
      </c>
      <c r="F71" s="60"/>
      <c r="G71" s="60" t="str">
        <f>IF('基础-办公用品信息'!E67="","-",'基础-办公用品信息'!E67)</f>
        <v>-</v>
      </c>
      <c r="H71" s="60"/>
      <c r="I71" s="99">
        <f>SUMIFS('领用录入（明细）'!I:I,'领用录入（明细）'!E:E,$D$4,'领用录入（明细）'!C:C,"&gt;="&amp;$H$4,'领用录入（明细）'!C:C,"&lt;="&amp;$J$4,'领用录入（明细）'!F:F,C71)</f>
        <v>0</v>
      </c>
      <c r="J71" s="60">
        <f>IFERROR(VLOOKUP(C71,'基础-办公用品信息'!$C:$G,4,0),"")</f>
        <v>7</v>
      </c>
      <c r="K71" s="60">
        <f>SUMIFS('领用录入（明细）'!K:K,'领用录入（明细）'!E:E,$D$4,'领用录入（明细）'!C:C,"&gt;="&amp;$H$4,'领用录入（明细）'!C:C,"&lt;="&amp;$J$4,'领用录入（明细）'!F:F,C71)</f>
        <v>0</v>
      </c>
    </row>
    <row r="72" customHeight="1" spans="2:11">
      <c r="B72" s="59">
        <v>65</v>
      </c>
      <c r="C72" s="60" t="str">
        <f>IF('基础-办公用品信息'!C68="","-",'基础-办公用品信息'!C68)</f>
        <v>彩色长尾票夹5856</v>
      </c>
      <c r="D72" s="60"/>
      <c r="E72" s="60" t="str">
        <f>IF('基础-办公用品信息'!D68="","-",'基础-办公用品信息'!D68)</f>
        <v>盒</v>
      </c>
      <c r="F72" s="60"/>
      <c r="G72" s="60" t="str">
        <f>IF('基础-办公用品信息'!E68="","-",'基础-办公用品信息'!E68)</f>
        <v>-</v>
      </c>
      <c r="H72" s="60"/>
      <c r="I72" s="99">
        <f>SUMIFS('领用录入（明细）'!I:I,'领用录入（明细）'!E:E,$D$4,'领用录入（明细）'!C:C,"&gt;="&amp;$H$4,'领用录入（明细）'!C:C,"&lt;="&amp;$J$4,'领用录入（明细）'!F:F,C72)</f>
        <v>0</v>
      </c>
      <c r="J72" s="60">
        <f>IFERROR(VLOOKUP(C72,'基础-办公用品信息'!$C:$G,4,0),"")</f>
        <v>8</v>
      </c>
      <c r="K72" s="60">
        <f>SUMIFS('领用录入（明细）'!K:K,'领用录入（明细）'!E:E,$D$4,'领用录入（明细）'!C:C,"&gt;="&amp;$H$4,'领用录入（明细）'!C:C,"&lt;="&amp;$J$4,'领用录入（明细）'!F:F,C72)</f>
        <v>0</v>
      </c>
    </row>
    <row r="73" customHeight="1" spans="2:11">
      <c r="B73" s="59">
        <v>66</v>
      </c>
      <c r="C73" s="60" t="str">
        <f>IF('基础-办公用品信息'!C69="","-",'基础-办公用品信息'!C69)</f>
        <v>插座1.8m</v>
      </c>
      <c r="D73" s="60"/>
      <c r="E73" s="60" t="str">
        <f>IF('基础-办公用品信息'!D69="","-",'基础-办公用品信息'!D69)</f>
        <v>个</v>
      </c>
      <c r="F73" s="60"/>
      <c r="G73" s="60" t="str">
        <f>IF('基础-办公用品信息'!E69="","-",'基础-办公用品信息'!E69)</f>
        <v>-</v>
      </c>
      <c r="H73" s="60"/>
      <c r="I73" s="99">
        <f>SUMIFS('领用录入（明细）'!I:I,'领用录入（明细）'!E:E,$D$4,'领用录入（明细）'!C:C,"&gt;="&amp;$H$4,'领用录入（明细）'!C:C,"&lt;="&amp;$J$4,'领用录入（明细）'!F:F,C73)</f>
        <v>0</v>
      </c>
      <c r="J73" s="60">
        <f>IFERROR(VLOOKUP(C73,'基础-办公用品信息'!$C:$G,4,0),"")</f>
        <v>26</v>
      </c>
      <c r="K73" s="60">
        <f>SUMIFS('领用录入（明细）'!K:K,'领用录入（明细）'!E:E,$D$4,'领用录入（明细）'!C:C,"&gt;="&amp;$H$4,'领用录入（明细）'!C:C,"&lt;="&amp;$J$4,'领用录入（明细）'!F:F,C73)</f>
        <v>0</v>
      </c>
    </row>
    <row r="74" customHeight="1" spans="2:11">
      <c r="B74" s="59">
        <v>67</v>
      </c>
      <c r="C74" s="60" t="str">
        <f>IF('基础-办公用品信息'!C70="","-",'基础-办公用品信息'!C70)</f>
        <v>插座3m</v>
      </c>
      <c r="D74" s="60"/>
      <c r="E74" s="60" t="str">
        <f>IF('基础-办公用品信息'!D70="","-",'基础-办公用品信息'!D70)</f>
        <v>个</v>
      </c>
      <c r="F74" s="60"/>
      <c r="G74" s="60" t="str">
        <f>IF('基础-办公用品信息'!E70="","-",'基础-办公用品信息'!E70)</f>
        <v>-</v>
      </c>
      <c r="H74" s="60"/>
      <c r="I74" s="99">
        <f>SUMIFS('领用录入（明细）'!I:I,'领用录入（明细）'!E:E,$D$4,'领用录入（明细）'!C:C,"&gt;="&amp;$H$4,'领用录入（明细）'!C:C,"&lt;="&amp;$J$4,'领用录入（明细）'!F:F,C74)</f>
        <v>0</v>
      </c>
      <c r="J74" s="60">
        <f>IFERROR(VLOOKUP(C74,'基础-办公用品信息'!$C:$G,4,0),"")</f>
        <v>59</v>
      </c>
      <c r="K74" s="60">
        <f>SUMIFS('领用录入（明细）'!K:K,'领用录入（明细）'!E:E,$D$4,'领用录入（明细）'!C:C,"&gt;="&amp;$H$4,'领用录入（明细）'!C:C,"&lt;="&amp;$J$4,'领用录入（明细）'!F:F,C74)</f>
        <v>0</v>
      </c>
    </row>
    <row r="75" customHeight="1" spans="2:11">
      <c r="B75" s="59">
        <v>68</v>
      </c>
      <c r="C75" s="60" t="str">
        <f>IF('基础-办公用品信息'!C71="","-",'基础-办公用品信息'!C71)</f>
        <v>无线插头</v>
      </c>
      <c r="D75" s="60"/>
      <c r="E75" s="60" t="str">
        <f>IF('基础-办公用品信息'!D71="","-",'基础-办公用品信息'!D71)</f>
        <v>个</v>
      </c>
      <c r="F75" s="60"/>
      <c r="G75" s="60" t="str">
        <f>IF('基础-办公用品信息'!E71="","-",'基础-办公用品信息'!E71)</f>
        <v>-</v>
      </c>
      <c r="H75" s="60"/>
      <c r="I75" s="99">
        <f>SUMIFS('领用录入（明细）'!I:I,'领用录入（明细）'!E:E,$D$4,'领用录入（明细）'!C:C,"&gt;="&amp;$H$4,'领用录入（明细）'!C:C,"&lt;="&amp;$J$4,'领用录入（明细）'!F:F,C75)</f>
        <v>0</v>
      </c>
      <c r="J75" s="60">
        <f>IFERROR(VLOOKUP(C75,'基础-办公用品信息'!$C:$G,4,0),"")</f>
        <v>0</v>
      </c>
      <c r="K75" s="60">
        <f>SUMIFS('领用录入（明细）'!K:K,'领用录入（明细）'!E:E,$D$4,'领用录入（明细）'!C:C,"&gt;="&amp;$H$4,'领用录入（明细）'!C:C,"&lt;="&amp;$J$4,'领用录入（明细）'!F:F,C75)</f>
        <v>0</v>
      </c>
    </row>
    <row r="76" customHeight="1" spans="2:11">
      <c r="B76" s="59">
        <v>69</v>
      </c>
      <c r="C76" s="60" t="str">
        <f>IF('基础-办公用品信息'!C72="","-",'基础-办公用品信息'!C72)</f>
        <v>印台红色</v>
      </c>
      <c r="D76" s="60"/>
      <c r="E76" s="60" t="str">
        <f>IF('基础-办公用品信息'!D72="","-",'基础-办公用品信息'!D72)</f>
        <v>只</v>
      </c>
      <c r="F76" s="60"/>
      <c r="G76" s="60" t="str">
        <f>IF('基础-办公用品信息'!E72="","-",'基础-办公用品信息'!E72)</f>
        <v>-</v>
      </c>
      <c r="H76" s="60"/>
      <c r="I76" s="99">
        <f>SUMIFS('领用录入（明细）'!I:I,'领用录入（明细）'!E:E,$D$4,'领用录入（明细）'!C:C,"&gt;="&amp;$H$4,'领用录入（明细）'!C:C,"&lt;="&amp;$J$4,'领用录入（明细）'!F:F,C76)</f>
        <v>0</v>
      </c>
      <c r="J76" s="60">
        <f>IFERROR(VLOOKUP(C76,'基础-办公用品信息'!$C:$G,4,0),"")</f>
        <v>0</v>
      </c>
      <c r="K76" s="60">
        <f>SUMIFS('领用录入（明细）'!K:K,'领用录入（明细）'!E:E,$D$4,'领用录入（明细）'!C:C,"&gt;="&amp;$H$4,'领用录入（明细）'!C:C,"&lt;="&amp;$J$4,'领用录入（明细）'!F:F,C76)</f>
        <v>0</v>
      </c>
    </row>
    <row r="77" customHeight="1" spans="2:11">
      <c r="B77" s="59">
        <v>70</v>
      </c>
      <c r="C77" s="60" t="str">
        <f>IF('基础-办公用品信息'!C73="","-",'基础-办公用品信息'!C73)</f>
        <v>印台蓝色</v>
      </c>
      <c r="D77" s="60"/>
      <c r="E77" s="60" t="str">
        <f>IF('基础-办公用品信息'!D73="","-",'基础-办公用品信息'!D73)</f>
        <v>只</v>
      </c>
      <c r="F77" s="60"/>
      <c r="G77" s="60" t="str">
        <f>IF('基础-办公用品信息'!E73="","-",'基础-办公用品信息'!E73)</f>
        <v>-</v>
      </c>
      <c r="H77" s="60"/>
      <c r="I77" s="99">
        <f>SUMIFS('领用录入（明细）'!I:I,'领用录入（明细）'!E:E,$D$4,'领用录入（明细）'!C:C,"&gt;="&amp;$H$4,'领用录入（明细）'!C:C,"&lt;="&amp;$J$4,'领用录入（明细）'!F:F,C77)</f>
        <v>0</v>
      </c>
      <c r="J77" s="60">
        <f>IFERROR(VLOOKUP(C77,'基础-办公用品信息'!$C:$G,4,0),"")</f>
        <v>0</v>
      </c>
      <c r="K77" s="60">
        <f>SUMIFS('领用录入（明细）'!K:K,'领用录入（明细）'!E:E,$D$4,'领用录入（明细）'!C:C,"&gt;="&amp;$H$4,'领用录入（明细）'!C:C,"&lt;="&amp;$J$4,'领用录入（明细）'!F:F,C77)</f>
        <v>0</v>
      </c>
    </row>
    <row r="78" customHeight="1" spans="2:11">
      <c r="B78" s="59">
        <v>71</v>
      </c>
      <c r="C78" s="60" t="str">
        <f>IF('基础-办公用品信息'!C74="","-",'基础-办公用品信息'!C74)</f>
        <v>透明胶带小卷</v>
      </c>
      <c r="D78" s="60"/>
      <c r="E78" s="60" t="str">
        <f>IF('基础-办公用品信息'!D74="","-",'基础-办公用品信息'!D74)</f>
        <v>卷</v>
      </c>
      <c r="F78" s="60"/>
      <c r="G78" s="60" t="str">
        <f>IF('基础-办公用品信息'!E74="","-",'基础-办公用品信息'!E74)</f>
        <v>-</v>
      </c>
      <c r="H78" s="60"/>
      <c r="I78" s="99">
        <f>SUMIFS('领用录入（明细）'!I:I,'领用录入（明细）'!E:E,$D$4,'领用录入（明细）'!C:C,"&gt;="&amp;$H$4,'领用录入（明细）'!C:C,"&lt;="&amp;$J$4,'领用录入（明细）'!F:F,C78)</f>
        <v>0</v>
      </c>
      <c r="J78" s="60">
        <f>IFERROR(VLOOKUP(C78,'基础-办公用品信息'!$C:$G,4,0),"")</f>
        <v>5</v>
      </c>
      <c r="K78" s="60">
        <f>SUMIFS('领用录入（明细）'!K:K,'领用录入（明细）'!E:E,$D$4,'领用录入（明细）'!C:C,"&gt;="&amp;$H$4,'领用录入（明细）'!C:C,"&lt;="&amp;$J$4,'领用录入（明细）'!F:F,C78)</f>
        <v>0</v>
      </c>
    </row>
    <row r="79" customHeight="1" spans="2:11">
      <c r="B79" s="59">
        <v>72</v>
      </c>
      <c r="C79" s="60" t="str">
        <f>IF('基础-办公用品信息'!C75="","-",'基础-办公用品信息'!C75)</f>
        <v>封箱胶带</v>
      </c>
      <c r="D79" s="60"/>
      <c r="E79" s="60" t="str">
        <f>IF('基础-办公用品信息'!D75="","-",'基础-办公用品信息'!D75)</f>
        <v>筒</v>
      </c>
      <c r="F79" s="60"/>
      <c r="G79" s="60" t="str">
        <f>IF('基础-办公用品信息'!E75="","-",'基础-办公用品信息'!E75)</f>
        <v>-</v>
      </c>
      <c r="H79" s="60"/>
      <c r="I79" s="99">
        <f>SUMIFS('领用录入（明细）'!I:I,'领用录入（明细）'!E:E,$D$4,'领用录入（明细）'!C:C,"&gt;="&amp;$H$4,'领用录入（明细）'!C:C,"&lt;="&amp;$J$4,'领用录入（明细）'!F:F,C79)</f>
        <v>0</v>
      </c>
      <c r="J79" s="60">
        <f>IFERROR(VLOOKUP(C79,'基础-办公用品信息'!$C:$G,4,0),"")</f>
        <v>7</v>
      </c>
      <c r="K79" s="60">
        <f>SUMIFS('领用录入（明细）'!K:K,'领用录入（明细）'!E:E,$D$4,'领用录入（明细）'!C:C,"&gt;="&amp;$H$4,'领用录入（明细）'!C:C,"&lt;="&amp;$J$4,'领用录入（明细）'!F:F,C79)</f>
        <v>0</v>
      </c>
    </row>
    <row r="80" customHeight="1" spans="2:11">
      <c r="B80" s="59">
        <v>73</v>
      </c>
      <c r="C80" s="60" t="str">
        <f>IF('基础-办公用品信息'!C76="","-",'基础-办公用品信息'!C76)</f>
        <v>双面胶带宽</v>
      </c>
      <c r="D80" s="60"/>
      <c r="E80" s="60" t="str">
        <f>IF('基础-办公用品信息'!D76="","-",'基础-办公用品信息'!D76)</f>
        <v>卷</v>
      </c>
      <c r="F80" s="60"/>
      <c r="G80" s="60" t="str">
        <f>IF('基础-办公用品信息'!E76="","-",'基础-办公用品信息'!E76)</f>
        <v>-</v>
      </c>
      <c r="H80" s="60"/>
      <c r="I80" s="99">
        <f>SUMIFS('领用录入（明细）'!I:I,'领用录入（明细）'!E:E,$D$4,'领用录入（明细）'!C:C,"&gt;="&amp;$H$4,'领用录入（明细）'!C:C,"&lt;="&amp;$J$4,'领用录入（明细）'!F:F,C80)</f>
        <v>0</v>
      </c>
      <c r="J80" s="60">
        <f>IFERROR(VLOOKUP(C80,'基础-办公用品信息'!$C:$G,4,0),"")</f>
        <v>20</v>
      </c>
      <c r="K80" s="60">
        <f>SUMIFS('领用录入（明细）'!K:K,'领用录入（明细）'!E:E,$D$4,'领用录入（明细）'!C:C,"&gt;="&amp;$H$4,'领用录入（明细）'!C:C,"&lt;="&amp;$J$4,'领用录入（明细）'!F:F,C80)</f>
        <v>0</v>
      </c>
    </row>
    <row r="81" customHeight="1" spans="2:11">
      <c r="B81" s="59">
        <v>74</v>
      </c>
      <c r="C81" s="60" t="str">
        <f>IF('基础-办公用品信息'!C77="","-",'基础-办公用品信息'!C77)</f>
        <v>泡沫胶带</v>
      </c>
      <c r="D81" s="60"/>
      <c r="E81" s="60" t="str">
        <f>IF('基础-办公用品信息'!D77="","-",'基础-办公用品信息'!D77)</f>
        <v>卷</v>
      </c>
      <c r="F81" s="60"/>
      <c r="G81" s="60" t="str">
        <f>IF('基础-办公用品信息'!E77="","-",'基础-办公用品信息'!E77)</f>
        <v>-</v>
      </c>
      <c r="H81" s="60"/>
      <c r="I81" s="99">
        <f>SUMIFS('领用录入（明细）'!I:I,'领用录入（明细）'!E:E,$D$4,'领用录入（明细）'!C:C,"&gt;="&amp;$H$4,'领用录入（明细）'!C:C,"&lt;="&amp;$J$4,'领用录入（明细）'!F:F,C81)</f>
        <v>0</v>
      </c>
      <c r="J81" s="60">
        <f>IFERROR(VLOOKUP(C81,'基础-办公用品信息'!$C:$G,4,0),"")</f>
        <v>0</v>
      </c>
      <c r="K81" s="60">
        <f>SUMIFS('领用录入（明细）'!K:K,'领用录入（明细）'!E:E,$D$4,'领用录入（明细）'!C:C,"&gt;="&amp;$H$4,'领用录入（明细）'!C:C,"&lt;="&amp;$J$4,'领用录入（明细）'!F:F,C81)</f>
        <v>0</v>
      </c>
    </row>
    <row r="82" customHeight="1" spans="2:11">
      <c r="B82" s="59">
        <v>75</v>
      </c>
      <c r="C82" s="60" t="str">
        <f>IF('基础-办公用品信息'!C78="","-",'基础-办公用品信息'!C78)</f>
        <v>便利贴76*76mm</v>
      </c>
      <c r="D82" s="60"/>
      <c r="E82" s="60" t="str">
        <f>IF('基础-办公用品信息'!D78="","-",'基础-办公用品信息'!D78)</f>
        <v>包</v>
      </c>
      <c r="F82" s="60"/>
      <c r="G82" s="60" t="str">
        <f>IF('基础-办公用品信息'!E78="","-",'基础-办公用品信息'!E78)</f>
        <v>-</v>
      </c>
      <c r="H82" s="60"/>
      <c r="I82" s="99">
        <f>SUMIFS('领用录入（明细）'!I:I,'领用录入（明细）'!E:E,$D$4,'领用录入（明细）'!C:C,"&gt;="&amp;$H$4,'领用录入（明细）'!C:C,"&lt;="&amp;$J$4,'领用录入（明细）'!F:F,C82)</f>
        <v>0</v>
      </c>
      <c r="J82" s="60">
        <f>IFERROR(VLOOKUP(C82,'基础-办公用品信息'!$C:$G,4,0),"")</f>
        <v>2</v>
      </c>
      <c r="K82" s="60">
        <f>SUMIFS('领用录入（明细）'!K:K,'领用录入（明细）'!E:E,$D$4,'领用录入（明细）'!C:C,"&gt;="&amp;$H$4,'领用录入（明细）'!C:C,"&lt;="&amp;$J$4,'领用录入（明细）'!F:F,C82)</f>
        <v>0</v>
      </c>
    </row>
    <row r="83" customHeight="1" spans="2:11">
      <c r="B83" s="59">
        <v>76</v>
      </c>
      <c r="C83" s="60" t="str">
        <f>IF('基础-办公用品信息'!C79="","-",'基础-办公用品信息'!C79)</f>
        <v>自粘性标签（大）</v>
      </c>
      <c r="D83" s="60"/>
      <c r="E83" s="60" t="str">
        <f>IF('基础-办公用品信息'!D79="","-",'基础-办公用品信息'!D79)</f>
        <v>本</v>
      </c>
      <c r="F83" s="60"/>
      <c r="G83" s="60" t="str">
        <f>IF('基础-办公用品信息'!E79="","-",'基础-办公用品信息'!E79)</f>
        <v>-</v>
      </c>
      <c r="H83" s="60"/>
      <c r="I83" s="99">
        <f>SUMIFS('领用录入（明细）'!I:I,'领用录入（明细）'!E:E,$D$4,'领用录入（明细）'!C:C,"&gt;="&amp;$H$4,'领用录入（明细）'!C:C,"&lt;="&amp;$J$4,'领用录入（明细）'!F:F,C83)</f>
        <v>0</v>
      </c>
      <c r="J83" s="60">
        <f>IFERROR(VLOOKUP(C83,'基础-办公用品信息'!$C:$G,4,0),"")</f>
        <v>0</v>
      </c>
      <c r="K83" s="60">
        <f>SUMIFS('领用录入（明细）'!K:K,'领用录入（明细）'!E:E,$D$4,'领用录入（明细）'!C:C,"&gt;="&amp;$H$4,'领用录入（明细）'!C:C,"&lt;="&amp;$J$4,'领用录入（明细）'!F:F,C83)</f>
        <v>0</v>
      </c>
    </row>
    <row r="84" customHeight="1" spans="2:11">
      <c r="B84" s="59">
        <v>77</v>
      </c>
      <c r="C84" s="60" t="str">
        <f>IF('基础-办公用品信息'!C80="","-",'基础-办公用品信息'!C80)</f>
        <v>便利贴四色76*19mm</v>
      </c>
      <c r="D84" s="60"/>
      <c r="E84" s="60" t="str">
        <f>IF('基础-办公用品信息'!D80="","-",'基础-办公用品信息'!D80)</f>
        <v>包</v>
      </c>
      <c r="F84" s="60"/>
      <c r="G84" s="60" t="str">
        <f>IF('基础-办公用品信息'!E80="","-",'基础-办公用品信息'!E80)</f>
        <v>-</v>
      </c>
      <c r="H84" s="60"/>
      <c r="I84" s="99">
        <f>SUMIFS('领用录入（明细）'!I:I,'领用录入（明细）'!E:E,$D$4,'领用录入（明细）'!C:C,"&gt;="&amp;$H$4,'领用录入（明细）'!C:C,"&lt;="&amp;$J$4,'领用录入（明细）'!F:F,C84)</f>
        <v>0</v>
      </c>
      <c r="J84" s="60">
        <f>IFERROR(VLOOKUP(C84,'基础-办公用品信息'!$C:$G,4,0),"")</f>
        <v>0</v>
      </c>
      <c r="K84" s="60">
        <f>SUMIFS('领用录入（明细）'!K:K,'领用录入（明细）'!E:E,$D$4,'领用录入（明细）'!C:C,"&gt;="&amp;$H$4,'领用录入（明细）'!C:C,"&lt;="&amp;$J$4,'领用录入（明细）'!F:F,C84)</f>
        <v>0</v>
      </c>
    </row>
    <row r="85" customHeight="1" spans="2:11">
      <c r="B85" s="59">
        <v>78</v>
      </c>
      <c r="C85" s="60" t="str">
        <f>IF('基础-办公用品信息'!C81="","-",'基础-办公用品信息'!C81)</f>
        <v>便利贴76*51mm</v>
      </c>
      <c r="D85" s="60"/>
      <c r="E85" s="60" t="str">
        <f>IF('基础-办公用品信息'!D81="","-",'基础-办公用品信息'!D81)</f>
        <v>包</v>
      </c>
      <c r="F85" s="60"/>
      <c r="G85" s="60" t="str">
        <f>IF('基础-办公用品信息'!E81="","-",'基础-办公用品信息'!E81)</f>
        <v>-</v>
      </c>
      <c r="H85" s="60"/>
      <c r="I85" s="99">
        <f>SUMIFS('领用录入（明细）'!I:I,'领用录入（明细）'!E:E,$D$4,'领用录入（明细）'!C:C,"&gt;="&amp;$H$4,'领用录入（明细）'!C:C,"&lt;="&amp;$J$4,'领用录入（明细）'!F:F,C85)</f>
        <v>0</v>
      </c>
      <c r="J85" s="60">
        <f>IFERROR(VLOOKUP(C85,'基础-办公用品信息'!$C:$G,4,0),"")</f>
        <v>0</v>
      </c>
      <c r="K85" s="60">
        <f>SUMIFS('领用录入（明细）'!K:K,'领用录入（明细）'!E:E,$D$4,'领用录入（明细）'!C:C,"&gt;="&amp;$H$4,'领用录入（明细）'!C:C,"&lt;="&amp;$J$4,'领用录入（明细）'!F:F,C85)</f>
        <v>0</v>
      </c>
    </row>
    <row r="86" customHeight="1" spans="2:11">
      <c r="B86" s="59">
        <v>79</v>
      </c>
      <c r="C86" s="60" t="str">
        <f>IF('基础-办公用品信息'!C82="","-",'基础-办公用品信息'!C82)</f>
        <v>自粘性标签（小）</v>
      </c>
      <c r="D86" s="60"/>
      <c r="E86" s="60" t="str">
        <f>IF('基础-办公用品信息'!D82="","-",'基础-办公用品信息'!D82)</f>
        <v>包</v>
      </c>
      <c r="F86" s="60"/>
      <c r="G86" s="60" t="str">
        <f>IF('基础-办公用品信息'!E82="","-",'基础-办公用品信息'!E82)</f>
        <v>-</v>
      </c>
      <c r="H86" s="60"/>
      <c r="I86" s="99">
        <f>SUMIFS('领用录入（明细）'!I:I,'领用录入（明细）'!E:E,$D$4,'领用录入（明细）'!C:C,"&gt;="&amp;$H$4,'领用录入（明细）'!C:C,"&lt;="&amp;$J$4,'领用录入（明细）'!F:F,C86)</f>
        <v>0</v>
      </c>
      <c r="J86" s="60">
        <f>IFERROR(VLOOKUP(C86,'基础-办公用品信息'!$C:$G,4,0),"")</f>
        <v>0</v>
      </c>
      <c r="K86" s="60">
        <f>SUMIFS('领用录入（明细）'!K:K,'领用录入（明细）'!E:E,$D$4,'领用录入（明细）'!C:C,"&gt;="&amp;$H$4,'领用录入（明细）'!C:C,"&lt;="&amp;$J$4,'领用录入（明细）'!F:F,C86)</f>
        <v>0</v>
      </c>
    </row>
    <row r="87" customHeight="1" spans="2:11">
      <c r="B87" s="59">
        <v>80</v>
      </c>
      <c r="C87" s="60" t="str">
        <f>IF('基础-办公用品信息'!C83="","-",'基础-办公用品信息'!C83)</f>
        <v>用款申请单</v>
      </c>
      <c r="D87" s="60"/>
      <c r="E87" s="60" t="str">
        <f>IF('基础-办公用品信息'!D83="","-",'基础-办公用品信息'!D83)</f>
        <v>本</v>
      </c>
      <c r="F87" s="60"/>
      <c r="G87" s="60" t="str">
        <f>IF('基础-办公用品信息'!E83="","-",'基础-办公用品信息'!E83)</f>
        <v>-</v>
      </c>
      <c r="H87" s="60"/>
      <c r="I87" s="99">
        <f>SUMIFS('领用录入（明细）'!I:I,'领用录入（明细）'!E:E,$D$4,'领用录入（明细）'!C:C,"&gt;="&amp;$H$4,'领用录入（明细）'!C:C,"&lt;="&amp;$J$4,'领用录入（明细）'!F:F,C87)</f>
        <v>0</v>
      </c>
      <c r="J87" s="60">
        <f>IFERROR(VLOOKUP(C87,'基础-办公用品信息'!$C:$G,4,0),"")</f>
        <v>0</v>
      </c>
      <c r="K87" s="60">
        <f>SUMIFS('领用录入（明细）'!K:K,'领用录入（明细）'!E:E,$D$4,'领用录入（明细）'!C:C,"&gt;="&amp;$H$4,'领用录入（明细）'!C:C,"&lt;="&amp;$J$4,'领用录入（明细）'!F:F,C87)</f>
        <v>0</v>
      </c>
    </row>
    <row r="88" customHeight="1" spans="2:11">
      <c r="B88" s="59">
        <v>81</v>
      </c>
      <c r="C88" s="60" t="str">
        <f>IF('基础-办公用品信息'!C84="","-",'基础-办公用品信息'!C84)</f>
        <v>收据三联</v>
      </c>
      <c r="D88" s="60"/>
      <c r="E88" s="60" t="str">
        <f>IF('基础-办公用品信息'!D84="","-",'基础-办公用品信息'!D84)</f>
        <v>本</v>
      </c>
      <c r="F88" s="60"/>
      <c r="G88" s="60" t="str">
        <f>IF('基础-办公用品信息'!E84="","-",'基础-办公用品信息'!E84)</f>
        <v>-</v>
      </c>
      <c r="H88" s="60"/>
      <c r="I88" s="99">
        <f>SUMIFS('领用录入（明细）'!I:I,'领用录入（明细）'!E:E,$D$4,'领用录入（明细）'!C:C,"&gt;="&amp;$H$4,'领用录入（明细）'!C:C,"&lt;="&amp;$J$4,'领用录入（明细）'!F:F,C88)</f>
        <v>0</v>
      </c>
      <c r="J88" s="60">
        <f>IFERROR(VLOOKUP(C88,'基础-办公用品信息'!$C:$G,4,0),"")</f>
        <v>1.5</v>
      </c>
      <c r="K88" s="60">
        <f>SUMIFS('领用录入（明细）'!K:K,'领用录入（明细）'!E:E,$D$4,'领用录入（明细）'!C:C,"&gt;="&amp;$H$4,'领用录入（明细）'!C:C,"&lt;="&amp;$J$4,'领用录入（明细）'!F:F,C88)</f>
        <v>0</v>
      </c>
    </row>
    <row r="89" customHeight="1" spans="2:11">
      <c r="B89" s="59">
        <v>82</v>
      </c>
      <c r="C89" s="60" t="str">
        <f>IF('基础-办公用品信息'!C85="","-",'基础-办公用品信息'!C85)</f>
        <v>入库单两联</v>
      </c>
      <c r="D89" s="60"/>
      <c r="E89" s="60" t="str">
        <f>IF('基础-办公用品信息'!D85="","-",'基础-办公用品信息'!D85)</f>
        <v>本</v>
      </c>
      <c r="F89" s="60"/>
      <c r="G89" s="60" t="str">
        <f>IF('基础-办公用品信息'!E85="","-",'基础-办公用品信息'!E85)</f>
        <v>-</v>
      </c>
      <c r="H89" s="60"/>
      <c r="I89" s="99">
        <f>SUMIFS('领用录入（明细）'!I:I,'领用录入（明细）'!E:E,$D$4,'领用录入（明细）'!C:C,"&gt;="&amp;$H$4,'领用录入（明细）'!C:C,"&lt;="&amp;$J$4,'领用录入（明细）'!F:F,C89)</f>
        <v>0</v>
      </c>
      <c r="J89" s="60">
        <f>IFERROR(VLOOKUP(C89,'基础-办公用品信息'!$C:$G,4,0),"")</f>
        <v>0</v>
      </c>
      <c r="K89" s="60">
        <f>SUMIFS('领用录入（明细）'!K:K,'领用录入（明细）'!E:E,$D$4,'领用录入（明细）'!C:C,"&gt;="&amp;$H$4,'领用录入（明细）'!C:C,"&lt;="&amp;$J$4,'领用录入（明细）'!F:F,C89)</f>
        <v>0</v>
      </c>
    </row>
    <row r="90" customHeight="1" spans="2:11">
      <c r="B90" s="59">
        <v>83</v>
      </c>
      <c r="C90" s="60" t="str">
        <f>IF('基础-办公用品信息'!C86="","-",'基础-办公用品信息'!C86)</f>
        <v>出库单三联</v>
      </c>
      <c r="D90" s="60"/>
      <c r="E90" s="60" t="str">
        <f>IF('基础-办公用品信息'!D86="","-",'基础-办公用品信息'!D86)</f>
        <v>本</v>
      </c>
      <c r="F90" s="60"/>
      <c r="G90" s="60" t="str">
        <f>IF('基础-办公用品信息'!E86="","-",'基础-办公用品信息'!E86)</f>
        <v>-</v>
      </c>
      <c r="H90" s="60"/>
      <c r="I90" s="99">
        <f>SUMIFS('领用录入（明细）'!I:I,'领用录入（明细）'!E:E,$D$4,'领用录入（明细）'!C:C,"&gt;="&amp;$H$4,'领用录入（明细）'!C:C,"&lt;="&amp;$J$4,'领用录入（明细）'!F:F,C90)</f>
        <v>0</v>
      </c>
      <c r="J90" s="60">
        <f>IFERROR(VLOOKUP(C90,'基础-办公用品信息'!$C:$G,4,0),"")</f>
        <v>0</v>
      </c>
      <c r="K90" s="60">
        <f>SUMIFS('领用录入（明细）'!K:K,'领用录入（明细）'!E:E,$D$4,'领用录入（明细）'!C:C,"&gt;="&amp;$H$4,'领用录入（明细）'!C:C,"&lt;="&amp;$J$4,'领用录入（明细）'!F:F,C90)</f>
        <v>0</v>
      </c>
    </row>
    <row r="91" customHeight="1" spans="2:11">
      <c r="B91" s="59">
        <v>84</v>
      </c>
      <c r="C91" s="60" t="str">
        <f>IF('基础-办公用品信息'!C87="","-",'基础-办公用品信息'!C87)</f>
        <v>单据凭证</v>
      </c>
      <c r="D91" s="60"/>
      <c r="E91" s="60" t="str">
        <f>IF('基础-办公用品信息'!D87="","-",'基础-办公用品信息'!D87)</f>
        <v>本</v>
      </c>
      <c r="F91" s="60"/>
      <c r="G91" s="60" t="str">
        <f>IF('基础-办公用品信息'!E87="","-",'基础-办公用品信息'!E87)</f>
        <v>-</v>
      </c>
      <c r="H91" s="60"/>
      <c r="I91" s="99">
        <f>SUMIFS('领用录入（明细）'!I:I,'领用录入（明细）'!E:E,$D$4,'领用录入（明细）'!C:C,"&gt;="&amp;$H$4,'领用录入（明细）'!C:C,"&lt;="&amp;$J$4,'领用录入（明细）'!F:F,C91)</f>
        <v>0</v>
      </c>
      <c r="J91" s="60">
        <f>IFERROR(VLOOKUP(C91,'基础-办公用品信息'!$C:$G,4,0),"")</f>
        <v>0</v>
      </c>
      <c r="K91" s="60">
        <f>SUMIFS('领用录入（明细）'!K:K,'领用录入（明细）'!E:E,$D$4,'领用录入（明细）'!C:C,"&gt;="&amp;$H$4,'领用录入（明细）'!C:C,"&lt;="&amp;$J$4,'领用录入（明细）'!F:F,C91)</f>
        <v>0</v>
      </c>
    </row>
    <row r="92" customHeight="1" spans="2:11">
      <c r="B92" s="59">
        <v>85</v>
      </c>
      <c r="C92" s="60" t="str">
        <f>IF('基础-办公用品信息'!C88="","-",'基础-办公用品信息'!C88)</f>
        <v>罚款单</v>
      </c>
      <c r="D92" s="60"/>
      <c r="E92" s="60" t="str">
        <f>IF('基础-办公用品信息'!D88="","-",'基础-办公用品信息'!D88)</f>
        <v>本</v>
      </c>
      <c r="F92" s="60"/>
      <c r="G92" s="60" t="str">
        <f>IF('基础-办公用品信息'!E88="","-",'基础-办公用品信息'!E88)</f>
        <v>-</v>
      </c>
      <c r="H92" s="60"/>
      <c r="I92" s="99">
        <f>SUMIFS('领用录入（明细）'!I:I,'领用录入（明细）'!E:E,$D$4,'领用录入（明细）'!C:C,"&gt;="&amp;$H$4,'领用录入（明细）'!C:C,"&lt;="&amp;$J$4,'领用录入（明细）'!F:F,C92)</f>
        <v>0</v>
      </c>
      <c r="J92" s="60">
        <f>IFERROR(VLOOKUP(C92,'基础-办公用品信息'!$C:$G,4,0),"")</f>
        <v>0</v>
      </c>
      <c r="K92" s="60">
        <f>SUMIFS('领用录入（明细）'!K:K,'领用录入（明细）'!E:E,$D$4,'领用录入（明细）'!C:C,"&gt;="&amp;$H$4,'领用录入（明细）'!C:C,"&lt;="&amp;$J$4,'领用录入（明细）'!F:F,C92)</f>
        <v>0</v>
      </c>
    </row>
    <row r="93" customHeight="1" spans="2:11">
      <c r="B93" s="59">
        <v>86</v>
      </c>
      <c r="C93" s="60" t="str">
        <f>IF('基础-办公用品信息'!C89="","-",'基础-办公用品信息'!C89)</f>
        <v>定制信笺本A5</v>
      </c>
      <c r="D93" s="60"/>
      <c r="E93" s="60" t="str">
        <f>IF('基础-办公用品信息'!D89="","-",'基础-办公用品信息'!D89)</f>
        <v>本</v>
      </c>
      <c r="F93" s="60"/>
      <c r="G93" s="60" t="str">
        <f>IF('基础-办公用品信息'!E89="","-",'基础-办公用品信息'!E89)</f>
        <v>-</v>
      </c>
      <c r="H93" s="60"/>
      <c r="I93" s="99">
        <f>SUMIFS('领用录入（明细）'!I:I,'领用录入（明细）'!E:E,$D$4,'领用录入（明细）'!C:C,"&gt;="&amp;$H$4,'领用录入（明细）'!C:C,"&lt;="&amp;$J$4,'领用录入（明细）'!F:F,C93)</f>
        <v>0</v>
      </c>
      <c r="J93" s="60">
        <f>IFERROR(VLOOKUP(C93,'基础-办公用品信息'!$C:$G,4,0),"")</f>
        <v>0</v>
      </c>
      <c r="K93" s="60">
        <f>SUMIFS('领用录入（明细）'!K:K,'领用录入（明细）'!E:E,$D$4,'领用录入（明细）'!C:C,"&gt;="&amp;$H$4,'领用录入（明细）'!C:C,"&lt;="&amp;$J$4,'领用录入（明细）'!F:F,C93)</f>
        <v>0</v>
      </c>
    </row>
    <row r="94" customHeight="1" spans="2:11">
      <c r="B94" s="59">
        <v>87</v>
      </c>
      <c r="C94" s="60" t="str">
        <f>IF('基础-办公用品信息'!C90="","-",'基础-办公用品信息'!C90)</f>
        <v>定制信笺本A4</v>
      </c>
      <c r="D94" s="60"/>
      <c r="E94" s="60" t="str">
        <f>IF('基础-办公用品信息'!D90="","-",'基础-办公用品信息'!D90)</f>
        <v>本</v>
      </c>
      <c r="F94" s="60"/>
      <c r="G94" s="60" t="str">
        <f>IF('基础-办公用品信息'!E90="","-",'基础-办公用品信息'!E90)</f>
        <v>-</v>
      </c>
      <c r="H94" s="60"/>
      <c r="I94" s="99">
        <f>SUMIFS('领用录入（明细）'!I:I,'领用录入（明细）'!E:E,$D$4,'领用录入（明细）'!C:C,"&gt;="&amp;$H$4,'领用录入（明细）'!C:C,"&lt;="&amp;$J$4,'领用录入（明细）'!F:F,C94)</f>
        <v>0</v>
      </c>
      <c r="J94" s="60">
        <f>IFERROR(VLOOKUP(C94,'基础-办公用品信息'!$C:$G,4,0),"")</f>
        <v>0</v>
      </c>
      <c r="K94" s="60">
        <f>SUMIFS('领用录入（明细）'!K:K,'领用录入（明细）'!E:E,$D$4,'领用录入（明细）'!C:C,"&gt;="&amp;$H$4,'领用录入（明细）'!C:C,"&lt;="&amp;$J$4,'领用录入（明细）'!F:F,C94)</f>
        <v>0</v>
      </c>
    </row>
    <row r="95" customHeight="1" spans="2:11">
      <c r="B95" s="59">
        <v>88</v>
      </c>
      <c r="C95" s="60" t="str">
        <f>IF('基础-办公用品信息'!C91="","-",'基础-办公用品信息'!C91)</f>
        <v>工作牌</v>
      </c>
      <c r="D95" s="60"/>
      <c r="E95" s="60" t="str">
        <f>IF('基础-办公用品信息'!D91="","-",'基础-办公用品信息'!D91)</f>
        <v>个</v>
      </c>
      <c r="F95" s="60"/>
      <c r="G95" s="60" t="str">
        <f>IF('基础-办公用品信息'!E91="","-",'基础-办公用品信息'!E91)</f>
        <v>-</v>
      </c>
      <c r="H95" s="60"/>
      <c r="I95" s="99">
        <f>SUMIFS('领用录入（明细）'!I:I,'领用录入（明细）'!E:E,$D$4,'领用录入（明细）'!C:C,"&gt;="&amp;$H$4,'领用录入（明细）'!C:C,"&lt;="&amp;$J$4,'领用录入（明细）'!F:F,C95)</f>
        <v>0</v>
      </c>
      <c r="J95" s="60">
        <f>IFERROR(VLOOKUP(C95,'基础-办公用品信息'!$C:$G,4,0),"")</f>
        <v>0</v>
      </c>
      <c r="K95" s="60">
        <f>SUMIFS('领用录入（明细）'!K:K,'领用录入（明细）'!E:E,$D$4,'领用录入（明细）'!C:C,"&gt;="&amp;$H$4,'领用录入（明细）'!C:C,"&lt;="&amp;$J$4,'领用录入（明细）'!F:F,C95)</f>
        <v>0</v>
      </c>
    </row>
    <row r="96" customHeight="1" spans="2:11">
      <c r="B96" s="59">
        <v>89</v>
      </c>
      <c r="C96" s="60" t="str">
        <f>IF('基础-办公用品信息'!C92="","-",'基础-办公用品信息'!C92)</f>
        <v>透明口罩</v>
      </c>
      <c r="D96" s="60"/>
      <c r="E96" s="60" t="str">
        <f>IF('基础-办公用品信息'!D92="","-",'基础-办公用品信息'!D92)</f>
        <v>个</v>
      </c>
      <c r="F96" s="60"/>
      <c r="G96" s="60" t="str">
        <f>IF('基础-办公用品信息'!E92="","-",'基础-办公用品信息'!E92)</f>
        <v>-</v>
      </c>
      <c r="H96" s="60"/>
      <c r="I96" s="99">
        <f>SUMIFS('领用录入（明细）'!I:I,'领用录入（明细）'!E:E,$D$4,'领用录入（明细）'!C:C,"&gt;="&amp;$H$4,'领用录入（明细）'!C:C,"&lt;="&amp;$J$4,'领用录入（明细）'!F:F,C96)</f>
        <v>0</v>
      </c>
      <c r="J96" s="60">
        <f>IFERROR(VLOOKUP(C96,'基础-办公用品信息'!$C:$G,4,0),"")</f>
        <v>0</v>
      </c>
      <c r="K96" s="60">
        <f>SUMIFS('领用录入（明细）'!K:K,'领用录入（明细）'!E:E,$D$4,'领用录入（明细）'!C:C,"&gt;="&amp;$H$4,'领用录入（明细）'!C:C,"&lt;="&amp;$J$4,'领用录入（明细）'!F:F,C96)</f>
        <v>0</v>
      </c>
    </row>
    <row r="97" customHeight="1" spans="2:11">
      <c r="B97" s="59">
        <v>90</v>
      </c>
      <c r="C97" s="60" t="str">
        <f>IF('基础-办公用品信息'!C93="","-",'基础-办公用品信息'!C93)</f>
        <v>蓝色口罩</v>
      </c>
      <c r="D97" s="60"/>
      <c r="E97" s="60" t="str">
        <f>IF('基础-办公用品信息'!D93="","-",'基础-办公用品信息'!D93)</f>
        <v>包</v>
      </c>
      <c r="F97" s="60"/>
      <c r="G97" s="60" t="str">
        <f>IF('基础-办公用品信息'!E93="","-",'基础-办公用品信息'!E93)</f>
        <v>-</v>
      </c>
      <c r="H97" s="60"/>
      <c r="I97" s="99">
        <f>SUMIFS('领用录入（明细）'!I:I,'领用录入（明细）'!E:E,$D$4,'领用录入（明细）'!C:C,"&gt;="&amp;$H$4,'领用录入（明细）'!C:C,"&lt;="&amp;$J$4,'领用录入（明细）'!F:F,C97)</f>
        <v>0</v>
      </c>
      <c r="J97" s="60">
        <f>IFERROR(VLOOKUP(C97,'基础-办公用品信息'!$C:$G,4,0),"")</f>
        <v>0.3</v>
      </c>
      <c r="K97" s="60">
        <f>SUMIFS('领用录入（明细）'!K:K,'领用录入（明细）'!E:E,$D$4,'领用录入（明细）'!C:C,"&gt;="&amp;$H$4,'领用录入（明细）'!C:C,"&lt;="&amp;$J$4,'领用录入（明细）'!F:F,C97)</f>
        <v>0</v>
      </c>
    </row>
    <row r="98" customHeight="1" spans="2:11">
      <c r="B98" s="59">
        <v>91</v>
      </c>
      <c r="C98" s="60" t="str">
        <f>IF('基础-办公用品信息'!C94="","-",'基础-办公用品信息'!C94)</f>
        <v>一次性纸杯50个/筒</v>
      </c>
      <c r="D98" s="60"/>
      <c r="E98" s="60" t="str">
        <f>IF('基础-办公用品信息'!D94="","-",'基础-办公用品信息'!D94)</f>
        <v>筒</v>
      </c>
      <c r="F98" s="60"/>
      <c r="G98" s="60" t="str">
        <f>IF('基础-办公用品信息'!E94="","-",'基础-办公用品信息'!E94)</f>
        <v>-</v>
      </c>
      <c r="H98" s="60"/>
      <c r="I98" s="99">
        <f>SUMIFS('领用录入（明细）'!I:I,'领用录入（明细）'!E:E,$D$4,'领用录入（明细）'!C:C,"&gt;="&amp;$H$4,'领用录入（明细）'!C:C,"&lt;="&amp;$J$4,'领用录入（明细）'!F:F,C98)</f>
        <v>0</v>
      </c>
      <c r="J98" s="60">
        <f>IFERROR(VLOOKUP(C98,'基础-办公用品信息'!$C:$G,4,0),"")</f>
        <v>0.2</v>
      </c>
      <c r="K98" s="60">
        <f>SUMIFS('领用录入（明细）'!K:K,'领用录入（明细）'!E:E,$D$4,'领用录入（明细）'!C:C,"&gt;="&amp;$H$4,'领用录入（明细）'!C:C,"&lt;="&amp;$J$4,'领用录入（明细）'!F:F,C98)</f>
        <v>0</v>
      </c>
    </row>
    <row r="99" customHeight="1" spans="2:11">
      <c r="B99" s="59">
        <v>92</v>
      </c>
      <c r="C99" s="60" t="str">
        <f>IF('基础-办公用品信息'!C95="","-",'基础-办公用品信息'!C95)</f>
        <v>黑色口罩</v>
      </c>
      <c r="D99" s="60"/>
      <c r="E99" s="60" t="str">
        <f>IF('基础-办公用品信息'!D95="","-",'基础-办公用品信息'!D95)</f>
        <v>盒</v>
      </c>
      <c r="F99" s="60"/>
      <c r="G99" s="60" t="str">
        <f>IF('基础-办公用品信息'!E95="","-",'基础-办公用品信息'!E95)</f>
        <v>-</v>
      </c>
      <c r="H99" s="60"/>
      <c r="I99" s="99">
        <f>SUMIFS('领用录入（明细）'!I:I,'领用录入（明细）'!E:E,$D$4,'领用录入（明细）'!C:C,"&gt;="&amp;$H$4,'领用录入（明细）'!C:C,"&lt;="&amp;$J$4,'领用录入（明细）'!F:F,C99)</f>
        <v>0</v>
      </c>
      <c r="J99" s="60">
        <f>IFERROR(VLOOKUP(C99,'基础-办公用品信息'!$C:$G,4,0),"")</f>
        <v>0</v>
      </c>
      <c r="K99" s="60">
        <f>SUMIFS('领用录入（明细）'!K:K,'领用录入（明细）'!E:E,$D$4,'领用录入（明细）'!C:C,"&gt;="&amp;$H$4,'领用录入（明细）'!C:C,"&lt;="&amp;$J$4,'领用录入（明细）'!F:F,C99)</f>
        <v>0</v>
      </c>
    </row>
    <row r="100" customHeight="1" spans="2:11">
      <c r="B100" s="59">
        <v>93</v>
      </c>
      <c r="C100" s="60" t="str">
        <f>IF('基础-办公用品信息'!C96="","-",'基础-办公用品信息'!C96)</f>
        <v>有线鼠标</v>
      </c>
      <c r="D100" s="60"/>
      <c r="E100" s="60" t="str">
        <f>IF('基础-办公用品信息'!D96="","-",'基础-办公用品信息'!D96)</f>
        <v>个</v>
      </c>
      <c r="F100" s="60"/>
      <c r="G100" s="60" t="str">
        <f>IF('基础-办公用品信息'!E96="","-",'基础-办公用品信息'!E96)</f>
        <v>-</v>
      </c>
      <c r="H100" s="60"/>
      <c r="I100" s="99">
        <f>SUMIFS('领用录入（明细）'!I:I,'领用录入（明细）'!E:E,$D$4,'领用录入（明细）'!C:C,"&gt;="&amp;$H$4,'领用录入（明细）'!C:C,"&lt;="&amp;$J$4,'领用录入（明细）'!F:F,C100)</f>
        <v>0</v>
      </c>
      <c r="J100" s="60">
        <f>IFERROR(VLOOKUP(C100,'基础-办公用品信息'!$C:$G,4,0),"")</f>
        <v>30</v>
      </c>
      <c r="K100" s="60">
        <f>SUMIFS('领用录入（明细）'!K:K,'领用录入（明细）'!E:E,$D$4,'领用录入（明细）'!C:C,"&gt;="&amp;$H$4,'领用录入（明细）'!C:C,"&lt;="&amp;$J$4,'领用录入（明细）'!F:F,C100)</f>
        <v>0</v>
      </c>
    </row>
    <row r="101" customHeight="1" spans="2:11">
      <c r="B101" s="59">
        <v>94</v>
      </c>
      <c r="C101" s="60" t="str">
        <f>IF('基础-办公用品信息'!C97="","-",'基础-办公用品信息'!C97)</f>
        <v>键盘</v>
      </c>
      <c r="D101" s="60"/>
      <c r="E101" s="60" t="str">
        <f>IF('基础-办公用品信息'!D97="","-",'基础-办公用品信息'!D97)</f>
        <v>个</v>
      </c>
      <c r="F101" s="60"/>
      <c r="G101" s="60" t="str">
        <f>IF('基础-办公用品信息'!E97="","-",'基础-办公用品信息'!E97)</f>
        <v>-</v>
      </c>
      <c r="H101" s="60"/>
      <c r="I101" s="99">
        <f>SUMIFS('领用录入（明细）'!I:I,'领用录入（明细）'!E:E,$D$4,'领用录入（明细）'!C:C,"&gt;="&amp;$H$4,'领用录入（明细）'!C:C,"&lt;="&amp;$J$4,'领用录入（明细）'!F:F,C101)</f>
        <v>0</v>
      </c>
      <c r="J101" s="60">
        <f>IFERROR(VLOOKUP(C101,'基础-办公用品信息'!$C:$G,4,0),"")</f>
        <v>0</v>
      </c>
      <c r="K101" s="60">
        <f>SUMIFS('领用录入（明细）'!K:K,'领用录入（明细）'!E:E,$D$4,'领用录入（明细）'!C:C,"&gt;="&amp;$H$4,'领用录入（明细）'!C:C,"&lt;="&amp;$J$4,'领用录入（明细）'!F:F,C101)</f>
        <v>0</v>
      </c>
    </row>
    <row r="102" customHeight="1" spans="2:11">
      <c r="B102" s="59">
        <v>95</v>
      </c>
      <c r="C102" s="60" t="str">
        <f>IF('基础-办公用品信息'!C98="","-",'基础-办公用品信息'!C98)</f>
        <v>无线接收器水星</v>
      </c>
      <c r="D102" s="60"/>
      <c r="E102" s="60" t="str">
        <f>IF('基础-办公用品信息'!D98="","-",'基础-办公用品信息'!D98)</f>
        <v>个</v>
      </c>
      <c r="F102" s="60"/>
      <c r="G102" s="60" t="str">
        <f>IF('基础-办公用品信息'!E98="","-",'基础-办公用品信息'!E98)</f>
        <v>-</v>
      </c>
      <c r="H102" s="60"/>
      <c r="I102" s="99">
        <f>SUMIFS('领用录入（明细）'!I:I,'领用录入（明细）'!E:E,$D$4,'领用录入（明细）'!C:C,"&gt;="&amp;$H$4,'领用录入（明细）'!C:C,"&lt;="&amp;$J$4,'领用录入（明细）'!F:F,C102)</f>
        <v>0</v>
      </c>
      <c r="J102" s="60">
        <f>IFERROR(VLOOKUP(C102,'基础-办公用品信息'!$C:$G,4,0),"")</f>
        <v>0</v>
      </c>
      <c r="K102" s="60">
        <f>SUMIFS('领用录入（明细）'!K:K,'领用录入（明细）'!E:E,$D$4,'领用录入（明细）'!C:C,"&gt;="&amp;$H$4,'领用录入（明细）'!C:C,"&lt;="&amp;$J$4,'领用录入（明细）'!F:F,C102)</f>
        <v>0</v>
      </c>
    </row>
    <row r="103" customHeight="1" spans="2:11">
      <c r="B103" s="59">
        <v>96</v>
      </c>
      <c r="C103" s="60" t="str">
        <f>IF('基础-办公用品信息'!C99="","-",'基础-办公用品信息'!C99)</f>
        <v>无线接收器TP-Link</v>
      </c>
      <c r="D103" s="60"/>
      <c r="E103" s="60" t="str">
        <f>IF('基础-办公用品信息'!D99="","-",'基础-办公用品信息'!D99)</f>
        <v>个</v>
      </c>
      <c r="F103" s="60"/>
      <c r="G103" s="60" t="str">
        <f>IF('基础-办公用品信息'!E99="","-",'基础-办公用品信息'!E99)</f>
        <v>-</v>
      </c>
      <c r="H103" s="60"/>
      <c r="I103" s="99">
        <f>SUMIFS('领用录入（明细）'!I:I,'领用录入（明细）'!E:E,$D$4,'领用录入（明细）'!C:C,"&gt;="&amp;$H$4,'领用录入（明细）'!C:C,"&lt;="&amp;$J$4,'领用录入（明细）'!F:F,C103)</f>
        <v>0</v>
      </c>
      <c r="J103" s="60">
        <f>IFERROR(VLOOKUP(C103,'基础-办公用品信息'!$C:$G,4,0),"")</f>
        <v>0</v>
      </c>
      <c r="K103" s="60">
        <f>SUMIFS('领用录入（明细）'!K:K,'领用录入（明细）'!E:E,$D$4,'领用录入（明细）'!C:C,"&gt;="&amp;$H$4,'领用录入（明细）'!C:C,"&lt;="&amp;$J$4,'领用录入（明细）'!F:F,C103)</f>
        <v>0</v>
      </c>
    </row>
    <row r="104" customHeight="1" spans="2:11">
      <c r="B104" s="59">
        <v>97</v>
      </c>
      <c r="C104" s="60" t="str">
        <f>IF('基础-办公用品信息'!C100="","-",'基础-办公用品信息'!C100)</f>
        <v>红外体温计倍尔康</v>
      </c>
      <c r="D104" s="60"/>
      <c r="E104" s="60" t="str">
        <f>IF('基础-办公用品信息'!D100="","-",'基础-办公用品信息'!D100)</f>
        <v>个</v>
      </c>
      <c r="F104" s="60"/>
      <c r="G104" s="60" t="str">
        <f>IF('基础-办公用品信息'!E100="","-",'基础-办公用品信息'!E100)</f>
        <v>-</v>
      </c>
      <c r="H104" s="60"/>
      <c r="I104" s="99">
        <f>SUMIFS('领用录入（明细）'!I:I,'领用录入（明细）'!E:E,$D$4,'领用录入（明细）'!C:C,"&gt;="&amp;$H$4,'领用录入（明细）'!C:C,"&lt;="&amp;$J$4,'领用录入（明细）'!F:F,C104)</f>
        <v>0</v>
      </c>
      <c r="J104" s="60">
        <f>IFERROR(VLOOKUP(C104,'基础-办公用品信息'!$C:$G,4,0),"")</f>
        <v>0</v>
      </c>
      <c r="K104" s="60">
        <f>SUMIFS('领用录入（明细）'!K:K,'领用录入（明细）'!E:E,$D$4,'领用录入（明细）'!C:C,"&gt;="&amp;$H$4,'领用录入（明细）'!C:C,"&lt;="&amp;$J$4,'领用录入（明细）'!F:F,C104)</f>
        <v>0</v>
      </c>
    </row>
    <row r="105" customHeight="1" spans="2:11">
      <c r="B105" s="59">
        <v>98</v>
      </c>
      <c r="C105" s="60" t="str">
        <f>IF('基础-办公用品信息'!C101="","-",'基础-办公用品信息'!C101)</f>
        <v>硬盘绿联2.5英寸</v>
      </c>
      <c r="D105" s="60"/>
      <c r="E105" s="60" t="str">
        <f>IF('基础-办公用品信息'!D101="","-",'基础-办公用品信息'!D101)</f>
        <v>个</v>
      </c>
      <c r="F105" s="60"/>
      <c r="G105" s="60" t="str">
        <f>IF('基础-办公用品信息'!E101="","-",'基础-办公用品信息'!E101)</f>
        <v>-</v>
      </c>
      <c r="H105" s="60"/>
      <c r="I105" s="99">
        <f>SUMIFS('领用录入（明细）'!I:I,'领用录入（明细）'!E:E,$D$4,'领用录入（明细）'!C:C,"&gt;="&amp;$H$4,'领用录入（明细）'!C:C,"&lt;="&amp;$J$4,'领用录入（明细）'!F:F,C105)</f>
        <v>0</v>
      </c>
      <c r="J105" s="60">
        <f>IFERROR(VLOOKUP(C105,'基础-办公用品信息'!$C:$G,4,0),"")</f>
        <v>0</v>
      </c>
      <c r="K105" s="60">
        <f>SUMIFS('领用录入（明细）'!K:K,'领用录入（明细）'!E:E,$D$4,'领用录入（明细）'!C:C,"&gt;="&amp;$H$4,'领用录入（明细）'!C:C,"&lt;="&amp;$J$4,'领用录入（明细）'!F:F,C105)</f>
        <v>0</v>
      </c>
    </row>
    <row r="106" customHeight="1" spans="2:11">
      <c r="B106" s="59">
        <v>99</v>
      </c>
      <c r="C106" s="60" t="str">
        <f>IF('基础-办公用品信息'!C102="","-",'基础-办公用品信息'!C102)</f>
        <v>PPT翻页笔诺为</v>
      </c>
      <c r="D106" s="60"/>
      <c r="E106" s="60" t="str">
        <f>IF('基础-办公用品信息'!D102="","-",'基础-办公用品信息'!D102)</f>
        <v>支</v>
      </c>
      <c r="F106" s="60"/>
      <c r="G106" s="60" t="str">
        <f>IF('基础-办公用品信息'!E102="","-",'基础-办公用品信息'!E102)</f>
        <v>-</v>
      </c>
      <c r="H106" s="60"/>
      <c r="I106" s="99">
        <f>SUMIFS('领用录入（明细）'!I:I,'领用录入（明细）'!E:E,$D$4,'领用录入（明细）'!C:C,"&gt;="&amp;$H$4,'领用录入（明细）'!C:C,"&lt;="&amp;$J$4,'领用录入（明细）'!F:F,C106)</f>
        <v>0</v>
      </c>
      <c r="J106" s="60">
        <f>IFERROR(VLOOKUP(C106,'基础-办公用品信息'!$C:$G,4,0),"")</f>
        <v>0</v>
      </c>
      <c r="K106" s="60">
        <f>SUMIFS('领用录入（明细）'!K:K,'领用录入（明细）'!E:E,$D$4,'领用录入（明细）'!C:C,"&gt;="&amp;$H$4,'领用录入（明细）'!C:C,"&lt;="&amp;$J$4,'领用录入（明细）'!F:F,C106)</f>
        <v>0</v>
      </c>
    </row>
    <row r="107" customHeight="1" spans="2:11">
      <c r="B107" s="59">
        <v>100</v>
      </c>
      <c r="C107" s="60" t="str">
        <f>IF('基础-办公用品信息'!C103="","-",'基础-办公用品信息'!C103)</f>
        <v>光盘700MB，CD-R 52X</v>
      </c>
      <c r="D107" s="60"/>
      <c r="E107" s="60" t="str">
        <f>IF('基础-办公用品信息'!D103="","-",'基础-办公用品信息'!D103)</f>
        <v>个</v>
      </c>
      <c r="F107" s="60"/>
      <c r="G107" s="60" t="str">
        <f>IF('基础-办公用品信息'!E103="","-",'基础-办公用品信息'!E103)</f>
        <v>-</v>
      </c>
      <c r="H107" s="60"/>
      <c r="I107" s="99">
        <f>SUMIFS('领用录入（明细）'!I:I,'领用录入（明细）'!E:E,$D$4,'领用录入（明细）'!C:C,"&gt;="&amp;$H$4,'领用录入（明细）'!C:C,"&lt;="&amp;$J$4,'领用录入（明细）'!F:F,C107)</f>
        <v>0</v>
      </c>
      <c r="J107" s="60">
        <f>IFERROR(VLOOKUP(C107,'基础-办公用品信息'!$C:$G,4,0),"")</f>
        <v>0</v>
      </c>
      <c r="K107" s="60">
        <f>SUMIFS('领用录入（明细）'!K:K,'领用录入（明细）'!E:E,$D$4,'领用录入（明细）'!C:C,"&gt;="&amp;$H$4,'领用录入（明细）'!C:C,"&lt;="&amp;$J$4,'领用录入（明细）'!F:F,C107)</f>
        <v>0</v>
      </c>
    </row>
    <row r="108" customHeight="1" spans="2:11">
      <c r="B108" s="59">
        <v>101</v>
      </c>
      <c r="C108" s="60" t="str">
        <f>IF('基础-办公用品信息'!C104="","-",'基础-办公用品信息'!C104)</f>
        <v>光盘4.7GB 120mm</v>
      </c>
      <c r="D108" s="60"/>
      <c r="E108" s="60" t="str">
        <f>IF('基础-办公用品信息'!D104="","-",'基础-办公用品信息'!D104)</f>
        <v>个</v>
      </c>
      <c r="F108" s="60"/>
      <c r="G108" s="60" t="str">
        <f>IF('基础-办公用品信息'!E104="","-",'基础-办公用品信息'!E104)</f>
        <v>-</v>
      </c>
      <c r="H108" s="60"/>
      <c r="I108" s="99">
        <f>SUMIFS('领用录入（明细）'!I:I,'领用录入（明细）'!E:E,$D$4,'领用录入（明细）'!C:C,"&gt;="&amp;$H$4,'领用录入（明细）'!C:C,"&lt;="&amp;$J$4,'领用录入（明细）'!F:F,C108)</f>
        <v>0</v>
      </c>
      <c r="J108" s="60">
        <f>IFERROR(VLOOKUP(C108,'基础-办公用品信息'!$C:$G,4,0),"")</f>
        <v>0</v>
      </c>
      <c r="K108" s="60">
        <f>SUMIFS('领用录入（明细）'!K:K,'领用录入（明细）'!E:E,$D$4,'领用录入（明细）'!C:C,"&gt;="&amp;$H$4,'领用录入（明细）'!C:C,"&lt;="&amp;$J$4,'领用录入（明细）'!F:F,C108)</f>
        <v>0</v>
      </c>
    </row>
    <row r="109" customHeight="1" spans="2:11">
      <c r="B109" s="59">
        <v>102</v>
      </c>
      <c r="C109" s="60" t="str">
        <f>IF('基础-办公用品信息'!C105="","-",'基础-办公用品信息'!C105)</f>
        <v>光盘壳</v>
      </c>
      <c r="D109" s="60"/>
      <c r="E109" s="60" t="str">
        <f>IF('基础-办公用品信息'!D105="","-",'基础-办公用品信息'!D105)</f>
        <v>个</v>
      </c>
      <c r="F109" s="60"/>
      <c r="G109" s="60" t="str">
        <f>IF('基础-办公用品信息'!E105="","-",'基础-办公用品信息'!E105)</f>
        <v>-</v>
      </c>
      <c r="H109" s="60"/>
      <c r="I109" s="99">
        <f>SUMIFS('领用录入（明细）'!I:I,'领用录入（明细）'!E:E,$D$4,'领用录入（明细）'!C:C,"&gt;="&amp;$H$4,'领用录入（明细）'!C:C,"&lt;="&amp;$J$4,'领用录入（明细）'!F:F,C109)</f>
        <v>0</v>
      </c>
      <c r="J109" s="60">
        <f>IFERROR(VLOOKUP(C109,'基础-办公用品信息'!$C:$G,4,0),"")</f>
        <v>0</v>
      </c>
      <c r="K109" s="60">
        <f>SUMIFS('领用录入（明细）'!K:K,'领用录入（明细）'!E:E,$D$4,'领用录入（明细）'!C:C,"&gt;="&amp;$H$4,'领用录入（明细）'!C:C,"&lt;="&amp;$J$4,'领用录入（明细）'!F:F,C109)</f>
        <v>0</v>
      </c>
    </row>
    <row r="110" customHeight="1" spans="2:11">
      <c r="B110" s="59">
        <v>103</v>
      </c>
      <c r="C110" s="60" t="str">
        <f>IF('基础-办公用品信息'!C106="","-",'基础-办公用品信息'!C106)</f>
        <v>台裙夹</v>
      </c>
      <c r="D110" s="60"/>
      <c r="E110" s="60" t="str">
        <f>IF('基础-办公用品信息'!D106="","-",'基础-办公用品信息'!D106)</f>
        <v>个</v>
      </c>
      <c r="F110" s="60"/>
      <c r="G110" s="60" t="str">
        <f>IF('基础-办公用品信息'!E106="","-",'基础-办公用品信息'!E106)</f>
        <v>-</v>
      </c>
      <c r="H110" s="60"/>
      <c r="I110" s="99">
        <f>SUMIFS('领用录入（明细）'!I:I,'领用录入（明细）'!E:E,$D$4,'领用录入（明细）'!C:C,"&gt;="&amp;$H$4,'领用录入（明细）'!C:C,"&lt;="&amp;$J$4,'领用录入（明细）'!F:F,C110)</f>
        <v>0</v>
      </c>
      <c r="J110" s="60">
        <f>IFERROR(VLOOKUP(C110,'基础-办公用品信息'!$C:$G,4,0),"")</f>
        <v>0.85</v>
      </c>
      <c r="K110" s="60">
        <f>SUMIFS('领用录入（明细）'!K:K,'领用录入（明细）'!E:E,$D$4,'领用录入（明细）'!C:C,"&gt;="&amp;$H$4,'领用录入（明细）'!C:C,"&lt;="&amp;$J$4,'领用录入（明细）'!F:F,C110)</f>
        <v>0</v>
      </c>
    </row>
    <row r="111" customHeight="1" spans="2:11">
      <c r="B111" s="59">
        <v>104</v>
      </c>
      <c r="C111" s="60" t="str">
        <f>IF('基础-办公用品信息'!C107="","-",'基础-办公用品信息'!C107)</f>
        <v>果盘</v>
      </c>
      <c r="D111" s="60"/>
      <c r="E111" s="60" t="str">
        <f>IF('基础-办公用品信息'!D107="","-",'基础-办公用品信息'!D107)</f>
        <v>个</v>
      </c>
      <c r="F111" s="60"/>
      <c r="G111" s="60" t="str">
        <f>IF('基础-办公用品信息'!E107="","-",'基础-办公用品信息'!E107)</f>
        <v>-</v>
      </c>
      <c r="H111" s="60"/>
      <c r="I111" s="99">
        <f>SUMIFS('领用录入（明细）'!I:I,'领用录入（明细）'!E:E,$D$4,'领用录入（明细）'!C:C,"&gt;="&amp;$H$4,'领用录入（明细）'!C:C,"&lt;="&amp;$J$4,'领用录入（明细）'!F:F,C111)</f>
        <v>0</v>
      </c>
      <c r="J111" s="60">
        <f>IFERROR(VLOOKUP(C111,'基础-办公用品信息'!$C:$G,4,0),"")</f>
        <v>0</v>
      </c>
      <c r="K111" s="60">
        <f>SUMIFS('领用录入（明细）'!K:K,'领用录入（明细）'!E:E,$D$4,'领用录入（明细）'!C:C,"&gt;="&amp;$H$4,'领用录入（明细）'!C:C,"&lt;="&amp;$J$4,'领用录入（明细）'!F:F,C111)</f>
        <v>0</v>
      </c>
    </row>
    <row r="112" customHeight="1" spans="2:11">
      <c r="B112" s="59">
        <v>105</v>
      </c>
      <c r="C112" s="60" t="str">
        <f>IF('基础-办公用品信息'!C108="","-",'基础-办公用品信息'!C108)</f>
        <v>电蚊器</v>
      </c>
      <c r="D112" s="60"/>
      <c r="E112" s="60" t="str">
        <f>IF('基础-办公用品信息'!D108="","-",'基础-办公用品信息'!D108)</f>
        <v>个</v>
      </c>
      <c r="F112" s="60"/>
      <c r="G112" s="60" t="str">
        <f>IF('基础-办公用品信息'!E108="","-",'基础-办公用品信息'!E108)</f>
        <v>-</v>
      </c>
      <c r="H112" s="60"/>
      <c r="I112" s="99">
        <f>SUMIFS('领用录入（明细）'!I:I,'领用录入（明细）'!E:E,$D$4,'领用录入（明细）'!C:C,"&gt;="&amp;$H$4,'领用录入（明细）'!C:C,"&lt;="&amp;$J$4,'领用录入（明细）'!F:F,C112)</f>
        <v>0</v>
      </c>
      <c r="J112" s="60">
        <f>IFERROR(VLOOKUP(C112,'基础-办公用品信息'!$C:$G,4,0),"")</f>
        <v>0</v>
      </c>
      <c r="K112" s="60">
        <f>SUMIFS('领用录入（明细）'!K:K,'领用录入（明细）'!E:E,$D$4,'领用录入（明细）'!C:C,"&gt;="&amp;$H$4,'领用录入（明细）'!C:C,"&lt;="&amp;$J$4,'领用录入（明细）'!F:F,C112)</f>
        <v>0</v>
      </c>
    </row>
    <row r="113" customHeight="1" spans="2:11">
      <c r="B113" s="59">
        <v>106</v>
      </c>
      <c r="C113" s="60" t="str">
        <f>IF('基础-办公用品信息'!C109="","-",'基础-办公用品信息'!C109)</f>
        <v>电蚊液</v>
      </c>
      <c r="D113" s="60"/>
      <c r="E113" s="60" t="str">
        <f>IF('基础-办公用品信息'!D109="","-",'基础-办公用品信息'!D109)</f>
        <v>瓶</v>
      </c>
      <c r="F113" s="60"/>
      <c r="G113" s="60" t="str">
        <f>IF('基础-办公用品信息'!E109="","-",'基础-办公用品信息'!E109)</f>
        <v>-</v>
      </c>
      <c r="H113" s="60"/>
      <c r="I113" s="99">
        <f>SUMIFS('领用录入（明细）'!I:I,'领用录入（明细）'!E:E,$D$4,'领用录入（明细）'!C:C,"&gt;="&amp;$H$4,'领用录入（明细）'!C:C,"&lt;="&amp;$J$4,'领用录入（明细）'!F:F,C113)</f>
        <v>0</v>
      </c>
      <c r="J113" s="60">
        <f>IFERROR(VLOOKUP(C113,'基础-办公用品信息'!$C:$G,4,0),"")</f>
        <v>0</v>
      </c>
      <c r="K113" s="60">
        <f>SUMIFS('领用录入（明细）'!K:K,'领用录入（明细）'!E:E,$D$4,'领用录入（明细）'!C:C,"&gt;="&amp;$H$4,'领用录入（明细）'!C:C,"&lt;="&amp;$J$4,'领用录入（明细）'!F:F,C113)</f>
        <v>0</v>
      </c>
    </row>
    <row r="114" customHeight="1" spans="2:11">
      <c r="B114" s="59">
        <v>107</v>
      </c>
      <c r="C114" s="60" t="str">
        <f>IF('基础-办公用品信息'!C110="","-",'基础-办公用品信息'!C110)</f>
        <v>会议杯有盖</v>
      </c>
      <c r="D114" s="60"/>
      <c r="E114" s="60" t="str">
        <f>IF('基础-办公用品信息'!D110="","-",'基础-办公用品信息'!D110)</f>
        <v>个</v>
      </c>
      <c r="F114" s="60"/>
      <c r="G114" s="60" t="str">
        <f>IF('基础-办公用品信息'!E110="","-",'基础-办公用品信息'!E110)</f>
        <v>-</v>
      </c>
      <c r="H114" s="60"/>
      <c r="I114" s="99">
        <f>SUMIFS('领用录入（明细）'!I:I,'领用录入（明细）'!E:E,$D$4,'领用录入（明细）'!C:C,"&gt;="&amp;$H$4,'领用录入（明细）'!C:C,"&lt;="&amp;$J$4,'领用录入（明细）'!F:F,C114)</f>
        <v>0</v>
      </c>
      <c r="J114" s="60">
        <f>IFERROR(VLOOKUP(C114,'基础-办公用品信息'!$C:$G,4,0),"")</f>
        <v>0</v>
      </c>
      <c r="K114" s="60">
        <f>SUMIFS('领用录入（明细）'!K:K,'领用录入（明细）'!E:E,$D$4,'领用录入（明细）'!C:C,"&gt;="&amp;$H$4,'领用录入（明细）'!C:C,"&lt;="&amp;$J$4,'领用录入（明细）'!F:F,C114)</f>
        <v>0</v>
      </c>
    </row>
    <row r="115" customHeight="1" spans="2:11">
      <c r="B115" s="59">
        <v>108</v>
      </c>
      <c r="C115" s="60" t="str">
        <f>IF('基础-办公用品信息'!C111="","-",'基础-办公用品信息'!C111)</f>
        <v>卷纸</v>
      </c>
      <c r="D115" s="60"/>
      <c r="E115" s="60" t="str">
        <f>IF('基础-办公用品信息'!D111="","-",'基础-办公用品信息'!D111)</f>
        <v>提</v>
      </c>
      <c r="F115" s="60"/>
      <c r="G115" s="60" t="str">
        <f>IF('基础-办公用品信息'!E111="","-",'基础-办公用品信息'!E111)</f>
        <v>-</v>
      </c>
      <c r="H115" s="60"/>
      <c r="I115" s="99">
        <f>SUMIFS('领用录入（明细）'!I:I,'领用录入（明细）'!E:E,$D$4,'领用录入（明细）'!C:C,"&gt;="&amp;$H$4,'领用录入（明细）'!C:C,"&lt;="&amp;$J$4,'领用录入（明细）'!F:F,C115)</f>
        <v>0</v>
      </c>
      <c r="J115" s="60">
        <f>IFERROR(VLOOKUP(C115,'基础-办公用品信息'!$C:$G,4,0),"")</f>
        <v>11.5</v>
      </c>
      <c r="K115" s="60">
        <f>SUMIFS('领用录入（明细）'!K:K,'领用录入（明细）'!E:E,$D$4,'领用录入（明细）'!C:C,"&gt;="&amp;$H$4,'领用录入（明细）'!C:C,"&lt;="&amp;$J$4,'领用录入（明细）'!F:F,C115)</f>
        <v>0</v>
      </c>
    </row>
    <row r="116" customHeight="1" spans="2:11">
      <c r="B116" s="59">
        <v>109</v>
      </c>
      <c r="C116" s="60" t="str">
        <f>IF('基础-办公用品信息'!C112="","-",'基础-办公用品信息'!C112)</f>
        <v>抽纸盒</v>
      </c>
      <c r="D116" s="60"/>
      <c r="E116" s="60" t="str">
        <f>IF('基础-办公用品信息'!D112="","-",'基础-办公用品信息'!D112)</f>
        <v>盒</v>
      </c>
      <c r="F116" s="60"/>
      <c r="G116" s="60" t="str">
        <f>IF('基础-办公用品信息'!E112="","-",'基础-办公用品信息'!E112)</f>
        <v>-</v>
      </c>
      <c r="H116" s="60"/>
      <c r="I116" s="99">
        <f>SUMIFS('领用录入（明细）'!I:I,'领用录入（明细）'!E:E,$D$4,'领用录入（明细）'!C:C,"&gt;="&amp;$H$4,'领用录入（明细）'!C:C,"&lt;="&amp;$J$4,'领用录入（明细）'!F:F,C116)</f>
        <v>0</v>
      </c>
      <c r="J116" s="60">
        <f>IFERROR(VLOOKUP(C116,'基础-办公用品信息'!$C:$G,4,0),"")</f>
        <v>5.3</v>
      </c>
      <c r="K116" s="60">
        <f>SUMIFS('领用录入（明细）'!K:K,'领用录入（明细）'!E:E,$D$4,'领用录入（明细）'!C:C,"&gt;="&amp;$H$4,'领用录入（明细）'!C:C,"&lt;="&amp;$J$4,'领用录入（明细）'!F:F,C116)</f>
        <v>0</v>
      </c>
    </row>
    <row r="117" customHeight="1" spans="2:11">
      <c r="B117" s="59">
        <v>110</v>
      </c>
      <c r="C117" s="60" t="str">
        <f>IF('基础-办公用品信息'!C113="","-",'基础-办公用品信息'!C113)</f>
        <v>抽纸巾</v>
      </c>
      <c r="D117" s="60"/>
      <c r="E117" s="60" t="str">
        <f>IF('基础-办公用品信息'!D113="","-",'基础-办公用品信息'!D113)</f>
        <v>包</v>
      </c>
      <c r="F117" s="60"/>
      <c r="G117" s="60" t="str">
        <f>IF('基础-办公用品信息'!E113="","-",'基础-办公用品信息'!E113)</f>
        <v>-</v>
      </c>
      <c r="H117" s="60"/>
      <c r="I117" s="99">
        <f>SUMIFS('领用录入（明细）'!I:I,'领用录入（明细）'!E:E,$D$4,'领用录入（明细）'!C:C,"&gt;="&amp;$H$4,'领用录入（明细）'!C:C,"&lt;="&amp;$J$4,'领用录入（明细）'!F:F,C117)</f>
        <v>0</v>
      </c>
      <c r="J117" s="60">
        <f>IFERROR(VLOOKUP(C117,'基础-办公用品信息'!$C:$G,4,0),"")</f>
        <v>2.5</v>
      </c>
      <c r="K117" s="60">
        <f>SUMIFS('领用录入（明细）'!K:K,'领用录入（明细）'!E:E,$D$4,'领用录入（明细）'!C:C,"&gt;="&amp;$H$4,'领用录入（明细）'!C:C,"&lt;="&amp;$J$4,'领用录入（明细）'!F:F,C117)</f>
        <v>0</v>
      </c>
    </row>
    <row r="118" customHeight="1" spans="2:11">
      <c r="B118" s="59">
        <v>111</v>
      </c>
      <c r="C118" s="60" t="str">
        <f>IF('基础-办公用品信息'!C114="","-",'基础-办公用品信息'!C114)</f>
        <v>网线3米</v>
      </c>
      <c r="D118" s="60"/>
      <c r="E118" s="60" t="str">
        <f>IF('基础-办公用品信息'!D114="","-",'基础-办公用品信息'!D114)</f>
        <v>条</v>
      </c>
      <c r="F118" s="60"/>
      <c r="G118" s="60" t="str">
        <f>IF('基础-办公用品信息'!E114="","-",'基础-办公用品信息'!E114)</f>
        <v>-</v>
      </c>
      <c r="H118" s="60"/>
      <c r="I118" s="99">
        <f>SUMIFS('领用录入（明细）'!I:I,'领用录入（明细）'!E:E,$D$4,'领用录入（明细）'!C:C,"&gt;="&amp;$H$4,'领用录入（明细）'!C:C,"&lt;="&amp;$J$4,'领用录入（明细）'!F:F,C118)</f>
        <v>0</v>
      </c>
      <c r="J118" s="60">
        <f>IFERROR(VLOOKUP(C118,'基础-办公用品信息'!$C:$G,4,0),"")</f>
        <v>0</v>
      </c>
      <c r="K118" s="60">
        <f>SUMIFS('领用录入（明细）'!K:K,'领用录入（明细）'!E:E,$D$4,'领用录入（明细）'!C:C,"&gt;="&amp;$H$4,'领用录入（明细）'!C:C,"&lt;="&amp;$J$4,'领用录入（明细）'!F:F,C118)</f>
        <v>0</v>
      </c>
    </row>
    <row r="119" customHeight="1" spans="2:11">
      <c r="B119" s="59">
        <v>112</v>
      </c>
      <c r="C119" s="60" t="str">
        <f>IF('基础-办公用品信息'!C115="","-",'基础-办公用品信息'!C115)</f>
        <v>网线2米</v>
      </c>
      <c r="D119" s="60"/>
      <c r="E119" s="60" t="str">
        <f>IF('基础-办公用品信息'!D115="","-",'基础-办公用品信息'!D115)</f>
        <v>条</v>
      </c>
      <c r="F119" s="60"/>
      <c r="G119" s="60" t="str">
        <f>IF('基础-办公用品信息'!E115="","-",'基础-办公用品信息'!E115)</f>
        <v>-</v>
      </c>
      <c r="H119" s="60"/>
      <c r="I119" s="99">
        <f>SUMIFS('领用录入（明细）'!I:I,'领用录入（明细）'!E:E,$D$4,'领用录入（明细）'!C:C,"&gt;="&amp;$H$4,'领用录入（明细）'!C:C,"&lt;="&amp;$J$4,'领用录入（明细）'!F:F,C119)</f>
        <v>0</v>
      </c>
      <c r="J119" s="60">
        <f>IFERROR(VLOOKUP(C119,'基础-办公用品信息'!$C:$G,4,0),"")</f>
        <v>0</v>
      </c>
      <c r="K119" s="60">
        <f>SUMIFS('领用录入（明细）'!K:K,'领用录入（明细）'!E:E,$D$4,'领用录入（明细）'!C:C,"&gt;="&amp;$H$4,'领用录入（明细）'!C:C,"&lt;="&amp;$J$4,'领用录入（明细）'!F:F,C119)</f>
        <v>0</v>
      </c>
    </row>
    <row r="120" customHeight="1" spans="2:11">
      <c r="B120" s="59">
        <v>113</v>
      </c>
      <c r="C120" s="60" t="str">
        <f>IF('基础-办公用品信息'!C116="","-",'基础-办公用品信息'!C116)</f>
        <v>网线1.5米</v>
      </c>
      <c r="D120" s="60"/>
      <c r="E120" s="60" t="str">
        <f>IF('基础-办公用品信息'!D116="","-",'基础-办公用品信息'!D116)</f>
        <v>条</v>
      </c>
      <c r="F120" s="60"/>
      <c r="G120" s="60" t="str">
        <f>IF('基础-办公用品信息'!E116="","-",'基础-办公用品信息'!E116)</f>
        <v>-</v>
      </c>
      <c r="H120" s="60"/>
      <c r="I120" s="99">
        <f>SUMIFS('领用录入（明细）'!I:I,'领用录入（明细）'!E:E,$D$4,'领用录入（明细）'!C:C,"&gt;="&amp;$H$4,'领用录入（明细）'!C:C,"&lt;="&amp;$J$4,'领用录入（明细）'!F:F,C120)</f>
        <v>0</v>
      </c>
      <c r="J120" s="60">
        <f>IFERROR(VLOOKUP(C120,'基础-办公用品信息'!$C:$G,4,0),"")</f>
        <v>0</v>
      </c>
      <c r="K120" s="60">
        <f>SUMIFS('领用录入（明细）'!K:K,'领用录入（明细）'!E:E,$D$4,'领用录入（明细）'!C:C,"&gt;="&amp;$H$4,'领用录入（明细）'!C:C,"&lt;="&amp;$J$4,'领用录入（明细）'!F:F,C120)</f>
        <v>0</v>
      </c>
    </row>
    <row r="121" customHeight="1" spans="2:11">
      <c r="B121" s="59">
        <v>114</v>
      </c>
      <c r="C121" s="60" t="str">
        <f>IF('基础-办公用品信息'!C117="","-",'基础-办公用品信息'!C117)</f>
        <v>老鼠板</v>
      </c>
      <c r="D121" s="60"/>
      <c r="E121" s="60" t="str">
        <f>IF('基础-办公用品信息'!D117="","-",'基础-办公用品信息'!D117)</f>
        <v>个</v>
      </c>
      <c r="F121" s="60"/>
      <c r="G121" s="60" t="str">
        <f>IF('基础-办公用品信息'!E117="","-",'基础-办公用品信息'!E117)</f>
        <v>-</v>
      </c>
      <c r="H121" s="60"/>
      <c r="I121" s="99">
        <f>SUMIFS('领用录入（明细）'!I:I,'领用录入（明细）'!E:E,$D$4,'领用录入（明细）'!C:C,"&gt;="&amp;$H$4,'领用录入（明细）'!C:C,"&lt;="&amp;$J$4,'领用录入（明细）'!F:F,C121)</f>
        <v>0</v>
      </c>
      <c r="J121" s="60">
        <f>IFERROR(VLOOKUP(C121,'基础-办公用品信息'!$C:$G,4,0),"")</f>
        <v>2.5</v>
      </c>
      <c r="K121" s="60">
        <f>SUMIFS('领用录入（明细）'!K:K,'领用录入（明细）'!E:E,$D$4,'领用录入（明细）'!C:C,"&gt;="&amp;$H$4,'领用录入（明细）'!C:C,"&lt;="&amp;$J$4,'领用录入（明细）'!F:F,C121)</f>
        <v>0</v>
      </c>
    </row>
    <row r="122" customHeight="1" spans="2:11">
      <c r="B122" s="59">
        <v>115</v>
      </c>
      <c r="C122" s="60" t="str">
        <f>IF('基础-办公用品信息'!C118="","-",'基础-办公用品信息'!C118)</f>
        <v>板刷</v>
      </c>
      <c r="D122" s="60"/>
      <c r="E122" s="60" t="str">
        <f>IF('基础-办公用品信息'!D118="","-",'基础-办公用品信息'!D118)</f>
        <v>个</v>
      </c>
      <c r="F122" s="60"/>
      <c r="G122" s="60" t="str">
        <f>IF('基础-办公用品信息'!E118="","-",'基础-办公用品信息'!E118)</f>
        <v>-</v>
      </c>
      <c r="H122" s="60"/>
      <c r="I122" s="99">
        <f>SUMIFS('领用录入（明细）'!I:I,'领用录入（明细）'!E:E,$D$4,'领用录入（明细）'!C:C,"&gt;="&amp;$H$4,'领用录入（明细）'!C:C,"&lt;="&amp;$J$4,'领用录入（明细）'!F:F,C122)</f>
        <v>0</v>
      </c>
      <c r="J122" s="60">
        <f>IFERROR(VLOOKUP(C122,'基础-办公用品信息'!$C:$G,4,0),"")</f>
        <v>2</v>
      </c>
      <c r="K122" s="60">
        <f>SUMIFS('领用录入（明细）'!K:K,'领用录入（明细）'!E:E,$D$4,'领用录入（明细）'!C:C,"&gt;="&amp;$H$4,'领用录入（明细）'!C:C,"&lt;="&amp;$J$4,'领用录入（明细）'!F:F,C122)</f>
        <v>0</v>
      </c>
    </row>
    <row r="123" customHeight="1" spans="2:11">
      <c r="B123" s="59">
        <v>116</v>
      </c>
      <c r="C123" s="60" t="str">
        <f>IF('基础-办公用品信息'!C119="","-",'基础-办公用品信息'!C119)</f>
        <v>话梅糖</v>
      </c>
      <c r="D123" s="60"/>
      <c r="E123" s="60" t="str">
        <f>IF('基础-办公用品信息'!D119="","-",'基础-办公用品信息'!D119)</f>
        <v>包</v>
      </c>
      <c r="F123" s="60"/>
      <c r="G123" s="60" t="str">
        <f>IF('基础-办公用品信息'!E119="","-",'基础-办公用品信息'!E119)</f>
        <v>-</v>
      </c>
      <c r="H123" s="60"/>
      <c r="I123" s="99">
        <f>SUMIFS('领用录入（明细）'!I:I,'领用录入（明细）'!E:E,$D$4,'领用录入（明细）'!C:C,"&gt;="&amp;$H$4,'领用录入（明细）'!C:C,"&lt;="&amp;$J$4,'领用录入（明细）'!F:F,C123)</f>
        <v>0</v>
      </c>
      <c r="J123" s="60">
        <f>IFERROR(VLOOKUP(C123,'基础-办公用品信息'!$C:$G,4,0),"")</f>
        <v>5.9</v>
      </c>
      <c r="K123" s="60">
        <f>SUMIFS('领用录入（明细）'!K:K,'领用录入（明细）'!E:E,$D$4,'领用录入（明细）'!C:C,"&gt;="&amp;$H$4,'领用录入（明细）'!C:C,"&lt;="&amp;$J$4,'领用录入（明细）'!F:F,C123)</f>
        <v>0</v>
      </c>
    </row>
    <row r="124" customHeight="1" spans="2:11">
      <c r="B124" s="59">
        <v>117</v>
      </c>
      <c r="C124" s="60" t="str">
        <f>IF('基础-办公用品信息'!C120="","-",'基础-办公用品信息'!C120)</f>
        <v>打包扣</v>
      </c>
      <c r="D124" s="60"/>
      <c r="E124" s="60" t="str">
        <f>IF('基础-办公用品信息'!D120="","-",'基础-办公用品信息'!D120)</f>
        <v>斤</v>
      </c>
      <c r="F124" s="60"/>
      <c r="G124" s="60" t="str">
        <f>IF('基础-办公用品信息'!E120="","-",'基础-办公用品信息'!E120)</f>
        <v>-</v>
      </c>
      <c r="H124" s="60"/>
      <c r="I124" s="99">
        <f>SUMIFS('领用录入（明细）'!I:I,'领用录入（明细）'!E:E,$D$4,'领用录入（明细）'!C:C,"&gt;="&amp;$H$4,'领用录入（明细）'!C:C,"&lt;="&amp;$J$4,'领用录入（明细）'!F:F,C124)</f>
        <v>0</v>
      </c>
      <c r="J124" s="60">
        <f>IFERROR(VLOOKUP(C124,'基础-办公用品信息'!$C:$G,4,0),"")</f>
        <v>3.3</v>
      </c>
      <c r="K124" s="60">
        <f>SUMIFS('领用录入（明细）'!K:K,'领用录入（明细）'!E:E,$D$4,'领用录入（明细）'!C:C,"&gt;="&amp;$H$4,'领用录入（明细）'!C:C,"&lt;="&amp;$J$4,'领用录入（明细）'!F:F,C124)</f>
        <v>0</v>
      </c>
    </row>
    <row r="125" customHeight="1" spans="2:11">
      <c r="B125" s="59">
        <v>118</v>
      </c>
      <c r="C125" s="60" t="str">
        <f>IF('基础-办公用品信息'!C121="","-",'基础-办公用品信息'!C121)</f>
        <v>手推车</v>
      </c>
      <c r="D125" s="60"/>
      <c r="E125" s="60" t="str">
        <f>IF('基础-办公用品信息'!D121="","-",'基础-办公用品信息'!D121)</f>
        <v>辆</v>
      </c>
      <c r="F125" s="60"/>
      <c r="G125" s="60" t="str">
        <f>IF('基础-办公用品信息'!E121="","-",'基础-办公用品信息'!E121)</f>
        <v>-</v>
      </c>
      <c r="H125" s="60"/>
      <c r="I125" s="99">
        <f>SUMIFS('领用录入（明细）'!I:I,'领用录入（明细）'!E:E,$D$4,'领用录入（明细）'!C:C,"&gt;="&amp;$H$4,'领用录入（明细）'!C:C,"&lt;="&amp;$J$4,'领用录入（明细）'!F:F,C125)</f>
        <v>0</v>
      </c>
      <c r="J125" s="60">
        <f>IFERROR(VLOOKUP(C125,'基础-办公用品信息'!$C:$G,4,0),"")</f>
        <v>280</v>
      </c>
      <c r="K125" s="60">
        <f>SUMIFS('领用录入（明细）'!K:K,'领用录入（明细）'!E:E,$D$4,'领用录入（明细）'!C:C,"&gt;="&amp;$H$4,'领用录入（明细）'!C:C,"&lt;="&amp;$J$4,'领用录入（明细）'!F:F,C125)</f>
        <v>0</v>
      </c>
    </row>
    <row r="126" customHeight="1" spans="2:11">
      <c r="B126" s="59">
        <v>119</v>
      </c>
      <c r="C126" s="60" t="str">
        <f>IF('基础-办公用品信息'!C122="","-",'基础-办公用品信息'!C122)</f>
        <v>修改液</v>
      </c>
      <c r="D126" s="60"/>
      <c r="E126" s="60" t="str">
        <f>IF('基础-办公用品信息'!D122="","-",'基础-办公用品信息'!D122)</f>
        <v>个</v>
      </c>
      <c r="F126" s="60"/>
      <c r="G126" s="60" t="str">
        <f>IF('基础-办公用品信息'!E122="","-",'基础-办公用品信息'!E122)</f>
        <v>-</v>
      </c>
      <c r="H126" s="60"/>
      <c r="I126" s="99">
        <f>SUMIFS('领用录入（明细）'!I:I,'领用录入（明细）'!E:E,$D$4,'领用录入（明细）'!C:C,"&gt;="&amp;$H$4,'领用录入（明细）'!C:C,"&lt;="&amp;$J$4,'领用录入（明细）'!F:F,C126)</f>
        <v>0</v>
      </c>
      <c r="J126" s="60">
        <f>IFERROR(VLOOKUP(C126,'基础-办公用品信息'!$C:$G,4,0),"")</f>
        <v>3.5</v>
      </c>
      <c r="K126" s="60">
        <f>SUMIFS('领用录入（明细）'!K:K,'领用录入（明细）'!E:E,$D$4,'领用录入（明细）'!C:C,"&gt;="&amp;$H$4,'领用录入（明细）'!C:C,"&lt;="&amp;$J$4,'领用录入（明细）'!F:F,C126)</f>
        <v>0</v>
      </c>
    </row>
    <row r="127" customHeight="1" spans="2:11">
      <c r="B127" s="59">
        <v>120</v>
      </c>
      <c r="C127" s="60" t="str">
        <f>IF('基础-办公用品信息'!C123="","-",'基础-办公用品信息'!C123)</f>
        <v>龙虎人丹</v>
      </c>
      <c r="D127" s="60"/>
      <c r="E127" s="60" t="str">
        <f>IF('基础-办公用品信息'!D123="","-",'基础-办公用品信息'!D123)</f>
        <v>瓶</v>
      </c>
      <c r="F127" s="60"/>
      <c r="G127" s="60" t="str">
        <f>IF('基础-办公用品信息'!E123="","-",'基础-办公用品信息'!E123)</f>
        <v>-</v>
      </c>
      <c r="H127" s="60"/>
      <c r="I127" s="99">
        <f>SUMIFS('领用录入（明细）'!I:I,'领用录入（明细）'!E:E,$D$4,'领用录入（明细）'!C:C,"&gt;="&amp;$H$4,'领用录入（明细）'!C:C,"&lt;="&amp;$J$4,'领用录入（明细）'!F:F,C127)</f>
        <v>0</v>
      </c>
      <c r="J127" s="60">
        <f>IFERROR(VLOOKUP(C127,'基础-办公用品信息'!$C:$G,4,0),"")</f>
        <v>10</v>
      </c>
      <c r="K127" s="60">
        <f>SUMIFS('领用录入（明细）'!K:K,'领用录入（明细）'!E:E,$D$4,'领用录入（明细）'!C:C,"&gt;="&amp;$H$4,'领用录入（明细）'!C:C,"&lt;="&amp;$J$4,'领用录入（明细）'!F:F,C127)</f>
        <v>0</v>
      </c>
    </row>
    <row r="128" customHeight="1" spans="2:11">
      <c r="B128" s="59">
        <v>121</v>
      </c>
      <c r="C128" s="60" t="str">
        <f>IF('基础-办公用品信息'!C124="","-",'基础-办公用品信息'!C124)</f>
        <v>无线鼠标 </v>
      </c>
      <c r="D128" s="60"/>
      <c r="E128" s="60" t="str">
        <f>IF('基础-办公用品信息'!D124="","-",'基础-办公用品信息'!D124)</f>
        <v>个</v>
      </c>
      <c r="F128" s="60"/>
      <c r="G128" s="60" t="str">
        <f>IF('基础-办公用品信息'!E124="","-",'基础-办公用品信息'!E124)</f>
        <v>-</v>
      </c>
      <c r="H128" s="60"/>
      <c r="I128" s="99">
        <f>SUMIFS('领用录入（明细）'!I:I,'领用录入（明细）'!E:E,$D$4,'领用录入（明细）'!C:C,"&gt;="&amp;$H$4,'领用录入（明细）'!C:C,"&lt;="&amp;$J$4,'领用录入（明细）'!F:F,C128)</f>
        <v>0</v>
      </c>
      <c r="J128" s="60">
        <f>IFERROR(VLOOKUP(C128,'基础-办公用品信息'!$C:$G,4,0),"")</f>
        <v>75</v>
      </c>
      <c r="K128" s="60">
        <f>SUMIFS('领用录入（明细）'!K:K,'领用录入（明细）'!E:E,$D$4,'领用录入（明细）'!C:C,"&gt;="&amp;$H$4,'领用录入（明细）'!C:C,"&lt;="&amp;$J$4,'领用录入（明细）'!F:F,C128)</f>
        <v>0</v>
      </c>
    </row>
    <row r="129" customHeight="1" spans="2:11">
      <c r="B129" s="59">
        <v>122</v>
      </c>
      <c r="C129" s="60" t="str">
        <f>IF('基础-办公用品信息'!C125="","-",'基础-办公用品信息'!C125)</f>
        <v>插座5m</v>
      </c>
      <c r="D129" s="60"/>
      <c r="E129" s="60" t="str">
        <f>IF('基础-办公用品信息'!D125="","-",'基础-办公用品信息'!D125)</f>
        <v>个</v>
      </c>
      <c r="F129" s="60"/>
      <c r="G129" s="60" t="str">
        <f>IF('基础-办公用品信息'!E125="","-",'基础-办公用品信息'!E125)</f>
        <v>-</v>
      </c>
      <c r="H129" s="60"/>
      <c r="I129" s="99">
        <f>SUMIFS('领用录入（明细）'!I:I,'领用录入（明细）'!E:E,$D$4,'领用录入（明细）'!C:C,"&gt;="&amp;$H$4,'领用录入（明细）'!C:C,"&lt;="&amp;$J$4,'领用录入（明细）'!F:F,C129)</f>
        <v>0</v>
      </c>
      <c r="J129" s="60">
        <f>IFERROR(VLOOKUP(C129,'基础-办公用品信息'!$C:$G,4,0),"")</f>
        <v>56</v>
      </c>
      <c r="K129" s="60">
        <f>SUMIFS('领用录入（明细）'!K:K,'领用录入（明细）'!E:E,$D$4,'领用录入（明细）'!C:C,"&gt;="&amp;$H$4,'领用录入（明细）'!C:C,"&lt;="&amp;$J$4,'领用录入（明细）'!F:F,C129)</f>
        <v>0</v>
      </c>
    </row>
    <row r="130" customHeight="1" spans="2:11">
      <c r="B130" s="59">
        <v>123</v>
      </c>
      <c r="C130" s="60" t="str">
        <f>IF('基础-办公用品信息'!C126="","-",'基础-办公用品信息'!C126)</f>
        <v>南孚4粒装简卡5号4粒/个</v>
      </c>
      <c r="D130" s="60"/>
      <c r="E130" s="60" t="str">
        <f>IF('基础-办公用品信息'!D126="","-",'基础-办公用品信息'!D126)</f>
        <v>个</v>
      </c>
      <c r="F130" s="60"/>
      <c r="G130" s="60" t="str">
        <f>IF('基础-办公用品信息'!E126="","-",'基础-办公用品信息'!E126)</f>
        <v>-</v>
      </c>
      <c r="H130" s="60"/>
      <c r="I130" s="99">
        <f>SUMIFS('领用录入（明细）'!I:I,'领用录入（明细）'!E:E,$D$4,'领用录入（明细）'!C:C,"&gt;="&amp;$H$4,'领用录入（明细）'!C:C,"&lt;="&amp;$J$4,'领用录入（明细）'!F:F,C130)</f>
        <v>0</v>
      </c>
      <c r="J130" s="60">
        <f>IFERROR(VLOOKUP(C130,'基础-办公用品信息'!$C:$G,4,0),"")</f>
        <v>11.8</v>
      </c>
      <c r="K130" s="60">
        <f>SUMIFS('领用录入（明细）'!K:K,'领用录入（明细）'!E:E,$D$4,'领用录入（明细）'!C:C,"&gt;="&amp;$H$4,'领用录入（明细）'!C:C,"&lt;="&amp;$J$4,'领用录入（明细）'!F:F,C130)</f>
        <v>0</v>
      </c>
    </row>
    <row r="131" customHeight="1" spans="2:11">
      <c r="B131" s="59">
        <v>124</v>
      </c>
      <c r="C131" s="60" t="str">
        <f>IF('基础-办公用品信息'!C127="","-",'基础-办公用品信息'!C127)</f>
        <v>南孚4粒装挂卡5号4粒/个</v>
      </c>
      <c r="D131" s="60"/>
      <c r="E131" s="60" t="str">
        <f>IF('基础-办公用品信息'!D127="","-",'基础-办公用品信息'!D127)</f>
        <v>个</v>
      </c>
      <c r="F131" s="60"/>
      <c r="G131" s="60" t="str">
        <f>IF('基础-办公用品信息'!E127="","-",'基础-办公用品信息'!E127)</f>
        <v>-</v>
      </c>
      <c r="H131" s="60"/>
      <c r="I131" s="99">
        <f>SUMIFS('领用录入（明细）'!I:I,'领用录入（明细）'!E:E,$D$4,'领用录入（明细）'!C:C,"&gt;="&amp;$H$4,'领用录入（明细）'!C:C,"&lt;="&amp;$J$4,'领用录入（明细）'!F:F,C131)</f>
        <v>0</v>
      </c>
      <c r="J131" s="60">
        <f>IFERROR(VLOOKUP(C131,'基础-办公用品信息'!$C:$G,4,0),"")</f>
        <v>9.9</v>
      </c>
      <c r="K131" s="60">
        <f>SUMIFS('领用录入（明细）'!K:K,'领用录入（明细）'!E:E,$D$4,'领用录入（明细）'!C:C,"&gt;="&amp;$H$4,'领用录入（明细）'!C:C,"&lt;="&amp;$J$4,'领用录入（明细）'!F:F,C131)</f>
        <v>0</v>
      </c>
    </row>
    <row r="132" customHeight="1" spans="2:11">
      <c r="B132" s="59">
        <v>125</v>
      </c>
      <c r="C132" s="60" t="str">
        <f>IF('基础-办公用品信息'!C128="","-",'基础-办公用品信息'!C128)</f>
        <v>南孚2粒装5号2粒/个</v>
      </c>
      <c r="D132" s="60"/>
      <c r="E132" s="60" t="str">
        <f>IF('基础-办公用品信息'!D128="","-",'基础-办公用品信息'!D128)</f>
        <v>个</v>
      </c>
      <c r="F132" s="60"/>
      <c r="G132" s="60" t="str">
        <f>IF('基础-办公用品信息'!E128="","-",'基础-办公用品信息'!E128)</f>
        <v>-</v>
      </c>
      <c r="H132" s="60"/>
      <c r="I132" s="99">
        <f>SUMIFS('领用录入（明细）'!I:I,'领用录入（明细）'!E:E,$D$4,'领用录入（明细）'!C:C,"&gt;="&amp;$H$4,'领用录入（明细）'!C:C,"&lt;="&amp;$J$4,'领用录入（明细）'!F:F,C132)</f>
        <v>0</v>
      </c>
      <c r="J132" s="60">
        <f>IFERROR(VLOOKUP(C132,'基础-办公用品信息'!$C:$G,4,0),"")</f>
        <v>5.7</v>
      </c>
      <c r="K132" s="60">
        <f>SUMIFS('领用录入（明细）'!K:K,'领用录入（明细）'!E:E,$D$4,'领用录入（明细）'!C:C,"&gt;="&amp;$H$4,'领用录入（明细）'!C:C,"&lt;="&amp;$J$4,'领用录入（明细）'!F:F,C132)</f>
        <v>0</v>
      </c>
    </row>
    <row r="133" customHeight="1" spans="2:11">
      <c r="B133" s="59">
        <v>126</v>
      </c>
      <c r="C133" s="60" t="str">
        <f>IF('基础-办公用品信息'!C129="","-",'基础-办公用品信息'!C129)</f>
        <v>激光笔技术部</v>
      </c>
      <c r="D133" s="60"/>
      <c r="E133" s="60" t="str">
        <f>IF('基础-办公用品信息'!D129="","-",'基础-办公用品信息'!D129)</f>
        <v>支</v>
      </c>
      <c r="F133" s="60"/>
      <c r="G133" s="60" t="str">
        <f>IF('基础-办公用品信息'!E129="","-",'基础-办公用品信息'!E129)</f>
        <v>-</v>
      </c>
      <c r="H133" s="60"/>
      <c r="I133" s="99">
        <f>SUMIFS('领用录入（明细）'!I:I,'领用录入（明细）'!E:E,$D$4,'领用录入（明细）'!C:C,"&gt;="&amp;$H$4,'领用录入（明细）'!C:C,"&lt;="&amp;$J$4,'领用录入（明细）'!F:F,C133)</f>
        <v>0</v>
      </c>
      <c r="J133" s="60">
        <f>IFERROR(VLOOKUP(C133,'基础-办公用品信息'!$C:$G,4,0),"")</f>
        <v>23.5</v>
      </c>
      <c r="K133" s="60">
        <f>SUMIFS('领用录入（明细）'!K:K,'领用录入（明细）'!E:E,$D$4,'领用录入（明细）'!C:C,"&gt;="&amp;$H$4,'领用录入（明细）'!C:C,"&lt;="&amp;$J$4,'领用录入（明细）'!F:F,C133)</f>
        <v>0</v>
      </c>
    </row>
    <row r="134" customHeight="1" spans="2:11">
      <c r="B134" s="59">
        <v>127</v>
      </c>
      <c r="C134" s="60" t="str">
        <f>IF('基础-办公用品信息'!C130="","-",'基础-办公用品信息'!C130)</f>
        <v>奥克斯除湿机铂悦府</v>
      </c>
      <c r="D134" s="60"/>
      <c r="E134" s="60" t="str">
        <f>IF('基础-办公用品信息'!D130="","-",'基础-办公用品信息'!D130)</f>
        <v>台</v>
      </c>
      <c r="F134" s="60"/>
      <c r="G134" s="60" t="str">
        <f>IF('基础-办公用品信息'!E130="","-",'基础-办公用品信息'!E130)</f>
        <v>-</v>
      </c>
      <c r="H134" s="60"/>
      <c r="I134" s="99">
        <f>SUMIFS('领用录入（明细）'!I:I,'领用录入（明细）'!E:E,$D$4,'领用录入（明细）'!C:C,"&gt;="&amp;$H$4,'领用录入（明细）'!C:C,"&lt;="&amp;$J$4,'领用录入（明细）'!F:F,C134)</f>
        <v>0</v>
      </c>
      <c r="J134" s="60">
        <f>IFERROR(VLOOKUP(C134,'基础-办公用品信息'!$C:$G,4,0),"")</f>
        <v>549</v>
      </c>
      <c r="K134" s="60">
        <f>SUMIFS('领用录入（明细）'!K:K,'领用录入（明细）'!E:E,$D$4,'领用录入（明细）'!C:C,"&gt;="&amp;$H$4,'领用录入（明细）'!C:C,"&lt;="&amp;$J$4,'领用录入（明细）'!F:F,C134)</f>
        <v>0</v>
      </c>
    </row>
    <row r="135" customHeight="1" spans="2:11">
      <c r="B135" s="59">
        <v>128</v>
      </c>
      <c r="C135" s="60" t="str">
        <f>IF('基础-办公用品信息'!C131="","-",'基础-办公用品信息'!C131)</f>
        <v>地毯胶</v>
      </c>
      <c r="D135" s="60"/>
      <c r="E135" s="60" t="str">
        <f>IF('基础-办公用品信息'!D131="","-",'基础-办公用品信息'!D131)</f>
        <v>个</v>
      </c>
      <c r="F135" s="60"/>
      <c r="G135" s="60" t="str">
        <f>IF('基础-办公用品信息'!E131="","-",'基础-办公用品信息'!E131)</f>
        <v>-</v>
      </c>
      <c r="H135" s="60"/>
      <c r="I135" s="99">
        <f>SUMIFS('领用录入（明细）'!I:I,'领用录入（明细）'!E:E,$D$4,'领用录入（明细）'!C:C,"&gt;="&amp;$H$4,'领用录入（明细）'!C:C,"&lt;="&amp;$J$4,'领用录入（明细）'!F:F,C135)</f>
        <v>0</v>
      </c>
      <c r="J135" s="60">
        <f>IFERROR(VLOOKUP(C135,'基础-办公用品信息'!$C:$G,4,0),"")</f>
        <v>0</v>
      </c>
      <c r="K135" s="60">
        <f>SUMIFS('领用录入（明细）'!K:K,'领用录入（明细）'!E:E,$D$4,'领用录入（明细）'!C:C,"&gt;="&amp;$H$4,'领用录入（明细）'!C:C,"&lt;="&amp;$J$4,'领用录入（明细）'!F:F,C135)</f>
        <v>0</v>
      </c>
    </row>
    <row r="136" customHeight="1" spans="2:11">
      <c r="B136" s="59">
        <v>129</v>
      </c>
      <c r="C136" s="60" t="str">
        <f>IF('基础-办公用品信息'!C132="","-",'基础-办公用品信息'!C132)</f>
        <v>报销单</v>
      </c>
      <c r="D136" s="60"/>
      <c r="E136" s="60" t="str">
        <f>IF('基础-办公用品信息'!D132="","-",'基础-办公用品信息'!D132)</f>
        <v>本</v>
      </c>
      <c r="F136" s="60"/>
      <c r="G136" s="60" t="str">
        <f>IF('基础-办公用品信息'!E132="","-",'基础-办公用品信息'!E132)</f>
        <v>-</v>
      </c>
      <c r="H136" s="60"/>
      <c r="I136" s="99">
        <f>SUMIFS('领用录入（明细）'!I:I,'领用录入（明细）'!E:E,$D$4,'领用录入（明细）'!C:C,"&gt;="&amp;$H$4,'领用录入（明细）'!C:C,"&lt;="&amp;$J$4,'领用录入（明细）'!F:F,C136)</f>
        <v>0</v>
      </c>
      <c r="J136" s="60">
        <f>IFERROR(VLOOKUP(C136,'基础-办公用品信息'!$C:$G,4,0),"")</f>
        <v>1.2</v>
      </c>
      <c r="K136" s="60">
        <f>SUMIFS('领用录入（明细）'!K:K,'领用录入（明细）'!E:E,$D$4,'领用录入（明细）'!C:C,"&gt;="&amp;$H$4,'领用录入（明细）'!C:C,"&lt;="&amp;$J$4,'领用录入（明细）'!F:F,C136)</f>
        <v>0</v>
      </c>
    </row>
    <row r="137" customHeight="1" spans="2:11">
      <c r="B137" s="59">
        <v>130</v>
      </c>
      <c r="C137" s="60" t="str">
        <f>IF('基础-办公用品信息'!C133="","-",'基础-办公用品信息'!C133)</f>
        <v>差旅报销单</v>
      </c>
      <c r="D137" s="60"/>
      <c r="E137" s="60" t="str">
        <f>IF('基础-办公用品信息'!D133="","-",'基础-办公用品信息'!D133)</f>
        <v>本</v>
      </c>
      <c r="F137" s="60"/>
      <c r="G137" s="60" t="str">
        <f>IF('基础-办公用品信息'!E133="","-",'基础-办公用品信息'!E133)</f>
        <v>-</v>
      </c>
      <c r="H137" s="60"/>
      <c r="I137" s="99">
        <f>SUMIFS('领用录入（明细）'!I:I,'领用录入（明细）'!E:E,$D$4,'领用录入（明细）'!C:C,"&gt;="&amp;$H$4,'领用录入（明细）'!C:C,"&lt;="&amp;$J$4,'领用录入（明细）'!F:F,C137)</f>
        <v>0</v>
      </c>
      <c r="J137" s="60">
        <f>IFERROR(VLOOKUP(C137,'基础-办公用品信息'!$C:$G,4,0),"")</f>
        <v>1.5</v>
      </c>
      <c r="K137" s="60">
        <f>SUMIFS('领用录入（明细）'!K:K,'领用录入（明细）'!E:E,$D$4,'领用录入（明细）'!C:C,"&gt;="&amp;$H$4,'领用录入（明细）'!C:C,"&lt;="&amp;$J$4,'领用录入（明细）'!F:F,C137)</f>
        <v>0</v>
      </c>
    </row>
    <row r="138" customHeight="1" spans="2:11">
      <c r="B138" s="59">
        <v>131</v>
      </c>
      <c r="C138" s="60" t="str">
        <f>IF('基础-办公用品信息'!C134="","-",'基础-办公用品信息'!C134)</f>
        <v>刀笔</v>
      </c>
      <c r="D138" s="60"/>
      <c r="E138" s="60" t="str">
        <f>IF('基础-办公用品信息'!D134="","-",'基础-办公用品信息'!D134)</f>
        <v>支</v>
      </c>
      <c r="F138" s="60"/>
      <c r="G138" s="60" t="str">
        <f>IF('基础-办公用品信息'!E134="","-",'基础-办公用品信息'!E134)</f>
        <v>-</v>
      </c>
      <c r="H138" s="60"/>
      <c r="I138" s="99">
        <f>SUMIFS('领用录入（明细）'!I:I,'领用录入（明细）'!E:E,$D$4,'领用录入（明细）'!C:C,"&gt;="&amp;$H$4,'领用录入（明细）'!C:C,"&lt;="&amp;$J$4,'领用录入（明细）'!F:F,C138)</f>
        <v>0</v>
      </c>
      <c r="J138" s="60">
        <f>IFERROR(VLOOKUP(C138,'基础-办公用品信息'!$C:$G,4,0),"")</f>
        <v>0.32</v>
      </c>
      <c r="K138" s="60">
        <f>SUMIFS('领用录入（明细）'!K:K,'领用录入（明细）'!E:E,$D$4,'领用录入（明细）'!C:C,"&gt;="&amp;$H$4,'领用录入（明细）'!C:C,"&lt;="&amp;$J$4,'领用录入（明细）'!F:F,C138)</f>
        <v>0</v>
      </c>
    </row>
    <row r="139" customHeight="1" spans="2:11">
      <c r="B139" s="59">
        <v>132</v>
      </c>
      <c r="C139" s="60" t="str">
        <f>IF('基础-办公用品信息'!C135="","-",'基础-办公用品信息'!C135)</f>
        <v>方形单色印台得力红色</v>
      </c>
      <c r="D139" s="60"/>
      <c r="E139" s="60" t="str">
        <f>IF('基础-办公用品信息'!D135="","-",'基础-办公用品信息'!D135)</f>
        <v>个</v>
      </c>
      <c r="F139" s="60"/>
      <c r="G139" s="60" t="str">
        <f>IF('基础-办公用品信息'!E135="","-",'基础-办公用品信息'!E135)</f>
        <v>-</v>
      </c>
      <c r="H139" s="60"/>
      <c r="I139" s="99">
        <f>SUMIFS('领用录入（明细）'!I:I,'领用录入（明细）'!E:E,$D$4,'领用录入（明细）'!C:C,"&gt;="&amp;$H$4,'领用录入（明细）'!C:C,"&lt;="&amp;$J$4,'领用录入（明细）'!F:F,C139)</f>
        <v>0</v>
      </c>
      <c r="J139" s="60">
        <f>IFERROR(VLOOKUP(C139,'基础-办公用品信息'!$C:$G,4,0),"")</f>
        <v>9</v>
      </c>
      <c r="K139" s="60">
        <f>SUMIFS('领用录入（明细）'!K:K,'领用录入（明细）'!E:E,$D$4,'领用录入（明细）'!C:C,"&gt;="&amp;$H$4,'领用录入（明细）'!C:C,"&lt;="&amp;$J$4,'领用录入（明细）'!F:F,C139)</f>
        <v>0</v>
      </c>
    </row>
    <row r="140" customHeight="1" spans="2:11">
      <c r="B140" s="59">
        <v>133</v>
      </c>
      <c r="C140" s="60" t="str">
        <f>IF('基础-办公用品信息'!C136="","-",'基础-办公用品信息'!C136)</f>
        <v>台笔</v>
      </c>
      <c r="D140" s="60"/>
      <c r="E140" s="60" t="str">
        <f>IF('基础-办公用品信息'!D136="","-",'基础-办公用品信息'!D136)</f>
        <v>个</v>
      </c>
      <c r="F140" s="60"/>
      <c r="G140" s="60" t="str">
        <f>IF('基础-办公用品信息'!E136="","-",'基础-办公用品信息'!E136)</f>
        <v>-</v>
      </c>
      <c r="H140" s="60"/>
      <c r="I140" s="99">
        <f>SUMIFS('领用录入（明细）'!I:I,'领用录入（明细）'!E:E,$D$4,'领用录入（明细）'!C:C,"&gt;="&amp;$H$4,'领用录入（明细）'!C:C,"&lt;="&amp;$J$4,'领用录入（明细）'!F:F,C140)</f>
        <v>0</v>
      </c>
      <c r="J140" s="60">
        <f>IFERROR(VLOOKUP(C140,'基础-办公用品信息'!$C:$G,4,0),"")</f>
        <v>0</v>
      </c>
      <c r="K140" s="60">
        <f>SUMIFS('领用录入（明细）'!K:K,'领用录入（明细）'!E:E,$D$4,'领用录入（明细）'!C:C,"&gt;="&amp;$H$4,'领用录入（明细）'!C:C,"&lt;="&amp;$J$4,'领用录入（明细）'!F:F,C140)</f>
        <v>0</v>
      </c>
    </row>
    <row r="141" customHeight="1" spans="2:11">
      <c r="B141" s="59">
        <v>134</v>
      </c>
      <c r="C141" s="60" t="str">
        <f>IF('基础-办公用品信息'!C137="","-",'基础-办公用品信息'!C137)</f>
        <v>用款申请单</v>
      </c>
      <c r="D141" s="60"/>
      <c r="E141" s="60" t="str">
        <f>IF('基础-办公用品信息'!D137="","-",'基础-办公用品信息'!D137)</f>
        <v>个</v>
      </c>
      <c r="F141" s="60"/>
      <c r="G141" s="60" t="str">
        <f>IF('基础-办公用品信息'!E137="","-",'基础-办公用品信息'!E137)</f>
        <v>-</v>
      </c>
      <c r="H141" s="60"/>
      <c r="I141" s="99">
        <f>SUMIFS('领用录入（明细）'!I:I,'领用录入（明细）'!E:E,$D$4,'领用录入（明细）'!C:C,"&gt;="&amp;$H$4,'领用录入（明细）'!C:C,"&lt;="&amp;$J$4,'领用录入（明细）'!F:F,C141)</f>
        <v>0</v>
      </c>
      <c r="J141" s="60">
        <f>IFERROR(VLOOKUP(C141,'基础-办公用品信息'!$C:$G,4,0),"")</f>
        <v>0</v>
      </c>
      <c r="K141" s="60">
        <f>SUMIFS('领用录入（明细）'!K:K,'领用录入（明细）'!E:E,$D$4,'领用录入（明细）'!C:C,"&gt;="&amp;$H$4,'领用录入（明细）'!C:C,"&lt;="&amp;$J$4,'领用录入（明细）'!F:F,C141)</f>
        <v>0</v>
      </c>
    </row>
    <row r="142" customHeight="1" spans="2:11">
      <c r="B142" s="59">
        <v>135</v>
      </c>
      <c r="C142" s="60" t="str">
        <f>IF('基础-办公用品信息'!C138="","-",'基础-办公用品信息'!C138)</f>
        <v>笔记本</v>
      </c>
      <c r="D142" s="60"/>
      <c r="E142" s="60" t="str">
        <f>IF('基础-办公用品信息'!D138="","-",'基础-办公用品信息'!D138)</f>
        <v>个</v>
      </c>
      <c r="F142" s="60"/>
      <c r="G142" s="60" t="str">
        <f>IF('基础-办公用品信息'!E138="","-",'基础-办公用品信息'!E138)</f>
        <v>-</v>
      </c>
      <c r="H142" s="60"/>
      <c r="I142" s="99">
        <f>SUMIFS('领用录入（明细）'!I:I,'领用录入（明细）'!E:E,$D$4,'领用录入（明细）'!C:C,"&gt;="&amp;$H$4,'领用录入（明细）'!C:C,"&lt;="&amp;$J$4,'领用录入（明细）'!F:F,C142)</f>
        <v>0</v>
      </c>
      <c r="J142" s="60">
        <f>IFERROR(VLOOKUP(C142,'基础-办公用品信息'!$C:$G,4,0),"")</f>
        <v>0</v>
      </c>
      <c r="K142" s="60">
        <f>SUMIFS('领用录入（明细）'!K:K,'领用录入（明细）'!E:E,$D$4,'领用录入（明细）'!C:C,"&gt;="&amp;$H$4,'领用录入（明细）'!C:C,"&lt;="&amp;$J$4,'领用录入（明细）'!F:F,C142)</f>
        <v>0</v>
      </c>
    </row>
    <row r="143" customHeight="1" spans="2:11">
      <c r="B143" s="59">
        <v>136</v>
      </c>
      <c r="C143" s="60" t="str">
        <f>IF('基础-办公用品信息'!C139="","-",'基础-办公用品信息'!C139)</f>
        <v>键盘</v>
      </c>
      <c r="D143" s="60"/>
      <c r="E143" s="60" t="str">
        <f>IF('基础-办公用品信息'!D139="","-",'基础-办公用品信息'!D139)</f>
        <v>个</v>
      </c>
      <c r="F143" s="60"/>
      <c r="G143" s="60" t="str">
        <f>IF('基础-办公用品信息'!E139="","-",'基础-办公用品信息'!E139)</f>
        <v>-</v>
      </c>
      <c r="H143" s="60"/>
      <c r="I143" s="99">
        <f>SUMIFS('领用录入（明细）'!I:I,'领用录入（明细）'!E:E,$D$4,'领用录入（明细）'!C:C,"&gt;="&amp;$H$4,'领用录入（明细）'!C:C,"&lt;="&amp;$J$4,'领用录入（明细）'!F:F,C143)</f>
        <v>0</v>
      </c>
      <c r="J143" s="60">
        <f>IFERROR(VLOOKUP(C143,'基础-办公用品信息'!$C:$G,4,0),"")</f>
        <v>0</v>
      </c>
      <c r="K143" s="60">
        <f>SUMIFS('领用录入（明细）'!K:K,'领用录入（明细）'!E:E,$D$4,'领用录入（明细）'!C:C,"&gt;="&amp;$H$4,'领用录入（明细）'!C:C,"&lt;="&amp;$J$4,'领用录入（明细）'!F:F,C143)</f>
        <v>0</v>
      </c>
    </row>
    <row r="144" customHeight="1" spans="2:11">
      <c r="B144" s="59">
        <v>137</v>
      </c>
      <c r="C144" s="60" t="str">
        <f>IF('基础-办公用品信息'!C140="","-",'基础-办公用品信息'!C140)</f>
        <v>84消毒液</v>
      </c>
      <c r="D144" s="60"/>
      <c r="E144" s="60" t="str">
        <f>IF('基础-办公用品信息'!D140="","-",'基础-办公用品信息'!D140)</f>
        <v>桶</v>
      </c>
      <c r="F144" s="60"/>
      <c r="G144" s="60" t="str">
        <f>IF('基础-办公用品信息'!E140="","-",'基础-办公用品信息'!E140)</f>
        <v>-</v>
      </c>
      <c r="H144" s="60"/>
      <c r="I144" s="99">
        <f>SUMIFS('领用录入（明细）'!I:I,'领用录入（明细）'!E:E,$D$4,'领用录入（明细）'!C:C,"&gt;="&amp;$H$4,'领用录入（明细）'!C:C,"&lt;="&amp;$J$4,'领用录入（明细）'!F:F,C144)</f>
        <v>0</v>
      </c>
      <c r="J144" s="60">
        <f>IFERROR(VLOOKUP(C144,'基础-办公用品信息'!$C:$G,4,0),"")</f>
        <v>0</v>
      </c>
      <c r="K144" s="60">
        <f>SUMIFS('领用录入（明细）'!K:K,'领用录入（明细）'!E:E,$D$4,'领用录入（明细）'!C:C,"&gt;="&amp;$H$4,'领用录入（明细）'!C:C,"&lt;="&amp;$J$4,'领用录入（明细）'!F:F,C144)</f>
        <v>0</v>
      </c>
    </row>
    <row r="145" customHeight="1" spans="2:11">
      <c r="B145" s="59">
        <v>138</v>
      </c>
      <c r="C145" s="60" t="str">
        <f>IF('基础-办公用品信息'!C141="","-",'基础-办公用品信息'!C141)</f>
        <v>洗洁精</v>
      </c>
      <c r="D145" s="60"/>
      <c r="E145" s="60" t="str">
        <f>IF('基础-办公用品信息'!D141="","-",'基础-办公用品信息'!D141)</f>
        <v>桶</v>
      </c>
      <c r="F145" s="60"/>
      <c r="G145" s="60" t="str">
        <f>IF('基础-办公用品信息'!E141="","-",'基础-办公用品信息'!E141)</f>
        <v>-</v>
      </c>
      <c r="H145" s="60"/>
      <c r="I145" s="99">
        <f>SUMIFS('领用录入（明细）'!I:I,'领用录入（明细）'!E:E,$D$4,'领用录入（明细）'!C:C,"&gt;="&amp;$H$4,'领用录入（明细）'!C:C,"&lt;="&amp;$J$4,'领用录入（明细）'!F:F,C145)</f>
        <v>1</v>
      </c>
      <c r="J145" s="60">
        <f>IFERROR(VLOOKUP(C145,'基础-办公用品信息'!$C:$G,4,0),"")</f>
        <v>0</v>
      </c>
      <c r="K145" s="60">
        <f>SUMIFS('领用录入（明细）'!K:K,'领用录入（明细）'!E:E,$D$4,'领用录入（明细）'!C:C,"&gt;="&amp;$H$4,'领用录入（明细）'!C:C,"&lt;="&amp;$J$4,'领用录入（明细）'!F:F,C145)</f>
        <v>0</v>
      </c>
    </row>
    <row r="146" customHeight="1" spans="2:11">
      <c r="B146" s="59">
        <v>139</v>
      </c>
      <c r="C146" s="60" t="str">
        <f>IF('基础-办公用品信息'!C142="","-",'基础-办公用品信息'!C142)</f>
        <v>垃圾袋</v>
      </c>
      <c r="D146" s="60"/>
      <c r="E146" s="60" t="str">
        <f>IF('基础-办公用品信息'!D142="","-",'基础-办公用品信息'!D142)</f>
        <v>卷</v>
      </c>
      <c r="F146" s="60"/>
      <c r="G146" s="60" t="str">
        <f>IF('基础-办公用品信息'!E142="","-",'基础-办公用品信息'!E142)</f>
        <v>-</v>
      </c>
      <c r="H146" s="60"/>
      <c r="I146" s="99">
        <f>SUMIFS('领用录入（明细）'!I:I,'领用录入（明细）'!E:E,$D$4,'领用录入（明细）'!C:C,"&gt;="&amp;$H$4,'领用录入（明细）'!C:C,"&lt;="&amp;$J$4,'领用录入（明细）'!F:F,C146)</f>
        <v>12</v>
      </c>
      <c r="J146" s="60">
        <f>IFERROR(VLOOKUP(C146,'基础-办公用品信息'!$C:$G,4,0),"")</f>
        <v>0</v>
      </c>
      <c r="K146" s="60">
        <f>SUMIFS('领用录入（明细）'!K:K,'领用录入（明细）'!E:E,$D$4,'领用录入（明细）'!C:C,"&gt;="&amp;$H$4,'领用录入（明细）'!C:C,"&lt;="&amp;$J$4,'领用录入（明细）'!F:F,C146)</f>
        <v>0</v>
      </c>
    </row>
    <row r="147" customHeight="1" spans="2:11">
      <c r="B147" s="59">
        <v>140</v>
      </c>
      <c r="C147" s="60" t="str">
        <f>IF('基础-办公用品信息'!C143="","-",'基础-办公用品信息'!C143)</f>
        <v>白手套</v>
      </c>
      <c r="D147" s="60"/>
      <c r="E147" s="60" t="str">
        <f>IF('基础-办公用品信息'!D143="","-",'基础-办公用品信息'!D143)</f>
        <v>打</v>
      </c>
      <c r="F147" s="60"/>
      <c r="G147" s="60" t="str">
        <f>IF('基础-办公用品信息'!E143="","-",'基础-办公用品信息'!E143)</f>
        <v>-</v>
      </c>
      <c r="H147" s="60"/>
      <c r="I147" s="99">
        <f>SUMIFS('领用录入（明细）'!I:I,'领用录入（明细）'!E:E,$D$4,'领用录入（明细）'!C:C,"&gt;="&amp;$H$4,'领用录入（明细）'!C:C,"&lt;="&amp;$J$4,'领用录入（明细）'!F:F,C147)</f>
        <v>0</v>
      </c>
      <c r="J147" s="60">
        <f>IFERROR(VLOOKUP(C147,'基础-办公用品信息'!$C:$G,4,0),"")</f>
        <v>0</v>
      </c>
      <c r="K147" s="60">
        <f>SUMIFS('领用录入（明细）'!K:K,'领用录入（明细）'!E:E,$D$4,'领用录入（明细）'!C:C,"&gt;="&amp;$H$4,'领用录入（明细）'!C:C,"&lt;="&amp;$J$4,'领用录入（明细）'!F:F,C147)</f>
        <v>0</v>
      </c>
    </row>
    <row r="148" customHeight="1" spans="2:11">
      <c r="B148" s="59">
        <v>141</v>
      </c>
      <c r="C148" s="60" t="str">
        <f>IF('基础-办公用品信息'!C144="","-",'基础-办公用品信息'!C144)</f>
        <v>喷洒消毒液</v>
      </c>
      <c r="D148" s="60"/>
      <c r="E148" s="60" t="str">
        <f>IF('基础-办公用品信息'!D144="","-",'基础-办公用品信息'!D144)</f>
        <v>瓶</v>
      </c>
      <c r="F148" s="60"/>
      <c r="G148" s="60" t="str">
        <f>IF('基础-办公用品信息'!E144="","-",'基础-办公用品信息'!E144)</f>
        <v>-</v>
      </c>
      <c r="H148" s="60"/>
      <c r="I148" s="99">
        <f>SUMIFS('领用录入（明细）'!I:I,'领用录入（明细）'!E:E,$D$4,'领用录入（明细）'!C:C,"&gt;="&amp;$H$4,'领用录入（明细）'!C:C,"&lt;="&amp;$J$4,'领用录入（明细）'!F:F,C148)</f>
        <v>0</v>
      </c>
      <c r="J148" s="60">
        <f>IFERROR(VLOOKUP(C148,'基础-办公用品信息'!$C:$G,4,0),"")</f>
        <v>0</v>
      </c>
      <c r="K148" s="60">
        <f>SUMIFS('领用录入（明细）'!K:K,'领用录入（明细）'!E:E,$D$4,'领用录入（明细）'!C:C,"&gt;="&amp;$H$4,'领用录入（明细）'!C:C,"&lt;="&amp;$J$4,'领用录入（明细）'!F:F,C148)</f>
        <v>0</v>
      </c>
    </row>
    <row r="149" customHeight="1" spans="2:11">
      <c r="B149" s="59">
        <v>142</v>
      </c>
      <c r="C149" s="60" t="str">
        <f>IF('基础-办公用品信息'!C145="","-",'基础-办公用品信息'!C145)</f>
        <v>消毒液L3</v>
      </c>
      <c r="D149" s="60"/>
      <c r="E149" s="60" t="str">
        <f>IF('基础-办公用品信息'!D145="","-",'基础-办公用品信息'!D145)</f>
        <v>瓶</v>
      </c>
      <c r="F149" s="60"/>
      <c r="G149" s="60" t="str">
        <f>IF('基础-办公用品信息'!E145="","-",'基础-办公用品信息'!E145)</f>
        <v>-</v>
      </c>
      <c r="H149" s="60"/>
      <c r="I149" s="99">
        <f>SUMIFS('领用录入（明细）'!I:I,'领用录入（明细）'!E:E,$D$4,'领用录入（明细）'!C:C,"&gt;="&amp;$H$4,'领用录入（明细）'!C:C,"&lt;="&amp;$J$4,'领用录入（明细）'!F:F,C149)</f>
        <v>0</v>
      </c>
      <c r="J149" s="60">
        <f>IFERROR(VLOOKUP(C149,'基础-办公用品信息'!$C:$G,4,0),"")</f>
        <v>0</v>
      </c>
      <c r="K149" s="60">
        <f>SUMIFS('领用录入（明细）'!K:K,'领用录入（明细）'!E:E,$D$4,'领用录入（明细）'!C:C,"&gt;="&amp;$H$4,'领用录入（明细）'!C:C,"&lt;="&amp;$J$4,'领用录入（明细）'!F:F,C149)</f>
        <v>0</v>
      </c>
    </row>
    <row r="150" customHeight="1" spans="2:11">
      <c r="B150" s="59">
        <v>143</v>
      </c>
      <c r="C150" s="60" t="str">
        <f>IF('基础-办公用品信息'!C146="","-",'基础-办公用品信息'!C146)</f>
        <v>500消毒液</v>
      </c>
      <c r="D150" s="60"/>
      <c r="E150" s="60" t="str">
        <f>IF('基础-办公用品信息'!D146="","-",'基础-办公用品信息'!D146)</f>
        <v>瓶</v>
      </c>
      <c r="F150" s="60"/>
      <c r="G150" s="60" t="str">
        <f>IF('基础-办公用品信息'!E146="","-",'基础-办公用品信息'!E146)</f>
        <v>-</v>
      </c>
      <c r="H150" s="60"/>
      <c r="I150" s="99">
        <f>SUMIFS('领用录入（明细）'!I:I,'领用录入（明细）'!E:E,$D$4,'领用录入（明细）'!C:C,"&gt;="&amp;$H$4,'领用录入（明细）'!C:C,"&lt;="&amp;$J$4,'领用录入（明细）'!F:F,C150)</f>
        <v>0</v>
      </c>
      <c r="J150" s="60">
        <f>IFERROR(VLOOKUP(C150,'基础-办公用品信息'!$C:$G,4,0),"")</f>
        <v>0</v>
      </c>
      <c r="K150" s="60">
        <f>SUMIFS('领用录入（明细）'!K:K,'领用录入（明细）'!E:E,$D$4,'领用录入（明细）'!C:C,"&gt;="&amp;$H$4,'领用录入（明细）'!C:C,"&lt;="&amp;$J$4,'领用录入（明细）'!F:F,C150)</f>
        <v>0</v>
      </c>
    </row>
    <row r="151" customHeight="1" spans="2:11">
      <c r="B151" s="59">
        <v>144</v>
      </c>
      <c r="C151" s="60" t="e">
        <f>IF('基础-办公用品信息'!#REF!="","-",'基础-办公用品信息'!#REF!)</f>
        <v>#REF!</v>
      </c>
      <c r="D151" s="60"/>
      <c r="E151" s="60" t="e">
        <f>IF('基础-办公用品信息'!#REF!="","-",'基础-办公用品信息'!#REF!)</f>
        <v>#REF!</v>
      </c>
      <c r="F151" s="60"/>
      <c r="G151" s="60" t="e">
        <f>IF('基础-办公用品信息'!#REF!="","-",'基础-办公用品信息'!#REF!)</f>
        <v>#REF!</v>
      </c>
      <c r="H151" s="60"/>
      <c r="I151" s="99">
        <f>SUMIFS('领用录入（明细）'!I:I,'领用录入（明细）'!E:E,$D$4,'领用录入（明细）'!C:C,"&gt;="&amp;$H$4,'领用录入（明细）'!C:C,"&lt;="&amp;$J$4,'领用录入（明细）'!F:F,C151)</f>
        <v>0</v>
      </c>
      <c r="J151" s="60" t="str">
        <f>IFERROR(VLOOKUP(C151,'基础-办公用品信息'!$C:$G,4,0),"")</f>
        <v/>
      </c>
      <c r="K151" s="60">
        <f>SUMIFS('领用录入（明细）'!K:K,'领用录入（明细）'!E:E,$D$4,'领用录入（明细）'!C:C,"&gt;="&amp;$H$4,'领用录入（明细）'!C:C,"&lt;="&amp;$J$4,'领用录入（明细）'!F:F,C151)</f>
        <v>0</v>
      </c>
    </row>
    <row r="152" customHeight="1" spans="2:11">
      <c r="B152" s="59">
        <v>145</v>
      </c>
      <c r="C152" s="60" t="str">
        <f>IF('基础-办公用品信息'!C147="","-",'基础-办公用品信息'!C147)</f>
        <v>拖把</v>
      </c>
      <c r="D152" s="60"/>
      <c r="E152" s="60" t="str">
        <f>IF('基础-办公用品信息'!D147="","-",'基础-办公用品信息'!D147)</f>
        <v>个</v>
      </c>
      <c r="F152" s="60"/>
      <c r="G152" s="60" t="str">
        <f>IF('基础-办公用品信息'!E147="","-",'基础-办公用品信息'!E147)</f>
        <v>-</v>
      </c>
      <c r="H152" s="60"/>
      <c r="I152" s="99">
        <f>SUMIFS('领用录入（明细）'!I:I,'领用录入（明细）'!E:E,$D$4,'领用录入（明细）'!C:C,"&gt;="&amp;$H$4,'领用录入（明细）'!C:C,"&lt;="&amp;$J$4,'领用录入（明细）'!F:F,C152)</f>
        <v>1</v>
      </c>
      <c r="J152" s="60">
        <f>IFERROR(VLOOKUP(C152,'基础-办公用品信息'!$C:$G,4,0),"")</f>
        <v>0</v>
      </c>
      <c r="K152" s="60">
        <f>SUMIFS('领用录入（明细）'!K:K,'领用录入（明细）'!E:E,$D$4,'领用录入（明细）'!C:C,"&gt;="&amp;$H$4,'领用录入（明细）'!C:C,"&lt;="&amp;$J$4,'领用录入（明细）'!F:F,C152)</f>
        <v>0</v>
      </c>
    </row>
    <row r="153" customHeight="1" spans="2:11">
      <c r="B153" s="59">
        <v>146</v>
      </c>
      <c r="C153" s="60" t="str">
        <f>IF('基础-办公用品信息'!C148="","-",'基础-办公用品信息'!C148)</f>
        <v>玻璃刮刀</v>
      </c>
      <c r="D153" s="60"/>
      <c r="E153" s="60" t="str">
        <f>IF('基础-办公用品信息'!D148="","-",'基础-办公用品信息'!D148)</f>
        <v>个</v>
      </c>
      <c r="F153" s="60"/>
      <c r="G153" s="60" t="str">
        <f>IF('基础-办公用品信息'!E148="","-",'基础-办公用品信息'!E148)</f>
        <v>-</v>
      </c>
      <c r="H153" s="60"/>
      <c r="I153" s="99">
        <f>SUMIFS('领用录入（明细）'!I:I,'领用录入（明细）'!E:E,$D$4,'领用录入（明细）'!C:C,"&gt;="&amp;$H$4,'领用录入（明细）'!C:C,"&lt;="&amp;$J$4,'领用录入（明细）'!F:F,C153)</f>
        <v>1</v>
      </c>
      <c r="J153" s="60">
        <f>IFERROR(VLOOKUP(C153,'基础-办公用品信息'!$C:$G,4,0),"")</f>
        <v>0</v>
      </c>
      <c r="K153" s="60">
        <f>SUMIFS('领用录入（明细）'!K:K,'领用录入（明细）'!E:E,$D$4,'领用录入（明细）'!C:C,"&gt;="&amp;$H$4,'领用录入（明细）'!C:C,"&lt;="&amp;$J$4,'领用录入（明细）'!F:F,C153)</f>
        <v>0</v>
      </c>
    </row>
    <row r="154" customHeight="1" spans="2:11">
      <c r="B154" s="59">
        <v>147</v>
      </c>
      <c r="C154" s="60" t="str">
        <f>IF('基础-办公用品信息'!C149="","-",'基础-办公用品信息'!C149)</f>
        <v>玻璃水</v>
      </c>
      <c r="D154" s="60"/>
      <c r="E154" s="60" t="str">
        <f>IF('基础-办公用品信息'!D149="","-",'基础-办公用品信息'!D149)</f>
        <v>瓶</v>
      </c>
      <c r="F154" s="60"/>
      <c r="G154" s="60" t="str">
        <f>IF('基础-办公用品信息'!E149="","-",'基础-办公用品信息'!E149)</f>
        <v>-</v>
      </c>
      <c r="H154" s="60"/>
      <c r="I154" s="99">
        <f>SUMIFS('领用录入（明细）'!I:I,'领用录入（明细）'!E:E,$D$4,'领用录入（明细）'!C:C,"&gt;="&amp;$H$4,'领用录入（明细）'!C:C,"&lt;="&amp;$J$4,'领用录入（明细）'!F:F,C154)</f>
        <v>1</v>
      </c>
      <c r="J154" s="60">
        <f>IFERROR(VLOOKUP(C154,'基础-办公用品信息'!$C:$G,4,0),"")</f>
        <v>0</v>
      </c>
      <c r="K154" s="60">
        <f>SUMIFS('领用录入（明细）'!K:K,'领用录入（明细）'!E:E,$D$4,'领用录入（明细）'!C:C,"&gt;="&amp;$H$4,'领用录入（明细）'!C:C,"&lt;="&amp;$J$4,'领用录入（明细）'!F:F,C154)</f>
        <v>0</v>
      </c>
    </row>
    <row r="155" customHeight="1" spans="2:11">
      <c r="B155" s="59">
        <v>148</v>
      </c>
      <c r="C155" s="60" t="str">
        <f>IF('基础-办公用品信息'!C150="","-",'基础-办公用品信息'!C150)</f>
        <v>毛巾</v>
      </c>
      <c r="D155" s="60"/>
      <c r="E155" s="60" t="str">
        <f>IF('基础-办公用品信息'!D150="","-",'基础-办公用品信息'!D150)</f>
        <v>条</v>
      </c>
      <c r="F155" s="60"/>
      <c r="G155" s="60" t="str">
        <f>IF('基础-办公用品信息'!E150="","-",'基础-办公用品信息'!E150)</f>
        <v>-</v>
      </c>
      <c r="H155" s="60"/>
      <c r="I155" s="99">
        <f>SUMIFS('领用录入（明细）'!I:I,'领用录入（明细）'!E:E,$D$4,'领用录入（明细）'!C:C,"&gt;="&amp;$H$4,'领用录入（明细）'!C:C,"&lt;="&amp;$J$4,'领用录入（明细）'!F:F,C155)</f>
        <v>2</v>
      </c>
      <c r="J155" s="60">
        <f>IFERROR(VLOOKUP(C155,'基础-办公用品信息'!$C:$G,4,0),"")</f>
        <v>0</v>
      </c>
      <c r="K155" s="60">
        <f>SUMIFS('领用录入（明细）'!K:K,'领用录入（明细）'!E:E,$D$4,'领用录入（明细）'!C:C,"&gt;="&amp;$H$4,'领用录入（明细）'!C:C,"&lt;="&amp;$J$4,'领用录入（明细）'!F:F,C155)</f>
        <v>0</v>
      </c>
    </row>
    <row r="156" customHeight="1" spans="2:11">
      <c r="B156" s="59">
        <v>149</v>
      </c>
      <c r="C156" s="60" t="str">
        <f>IF('基础-办公用品信息'!C151="","-",'基础-办公用品信息'!C151)</f>
        <v>钉钉打卡机</v>
      </c>
      <c r="D156" s="60"/>
      <c r="E156" s="60" t="str">
        <f>IF('基础-办公用品信息'!D151="","-",'基础-办公用品信息'!D151)</f>
        <v>个</v>
      </c>
      <c r="F156" s="60"/>
      <c r="G156" s="60" t="str">
        <f>IF('基础-办公用品信息'!E151="","-",'基础-办公用品信息'!E151)</f>
        <v>-</v>
      </c>
      <c r="H156" s="60"/>
      <c r="I156" s="99">
        <f>SUMIFS('领用录入（明细）'!I:I,'领用录入（明细）'!E:E,$D$4,'领用录入（明细）'!C:C,"&gt;="&amp;$H$4,'领用录入（明细）'!C:C,"&lt;="&amp;$J$4,'领用录入（明细）'!F:F,C156)</f>
        <v>1</v>
      </c>
      <c r="J156" s="60">
        <f>IFERROR(VLOOKUP(C156,'基础-办公用品信息'!$C:$G,4,0),"")</f>
        <v>0</v>
      </c>
      <c r="K156" s="60">
        <f>SUMIFS('领用录入（明细）'!K:K,'领用录入（明细）'!E:E,$D$4,'领用录入（明细）'!C:C,"&gt;="&amp;$H$4,'领用录入（明细）'!C:C,"&lt;="&amp;$J$4,'领用录入（明细）'!F:F,C156)</f>
        <v>0</v>
      </c>
    </row>
    <row r="157" customHeight="1" spans="2:11">
      <c r="B157" s="59">
        <v>150</v>
      </c>
      <c r="C157" s="60" t="str">
        <f>IF('基础-办公用品信息'!C152="","-",'基础-办公用品信息'!C152)</f>
        <v>酒精消毒水</v>
      </c>
      <c r="D157" s="60"/>
      <c r="E157" s="60" t="str">
        <f>IF('基础-办公用品信息'!D152="","-",'基础-办公用品信息'!D152)</f>
        <v>瓶</v>
      </c>
      <c r="F157" s="60"/>
      <c r="G157" s="60" t="str">
        <f>IF('基础-办公用品信息'!E152="","-",'基础-办公用品信息'!E152)</f>
        <v>-</v>
      </c>
      <c r="H157" s="60"/>
      <c r="I157" s="99">
        <f>SUMIFS('领用录入（明细）'!I:I,'领用录入（明细）'!E:E,$D$4,'领用录入（明细）'!C:C,"&gt;="&amp;$H$4,'领用录入（明细）'!C:C,"&lt;="&amp;$J$4,'领用录入（明细）'!F:F,C157)</f>
        <v>2</v>
      </c>
      <c r="J157" s="60">
        <f>IFERROR(VLOOKUP(C157,'基础-办公用品信息'!$C:$G,4,0),"")</f>
        <v>0</v>
      </c>
      <c r="K157" s="60">
        <f>SUMIFS('领用录入（明细）'!K:K,'领用录入（明细）'!E:E,$D$4,'领用录入（明细）'!C:C,"&gt;="&amp;$H$4,'领用录入（明细）'!C:C,"&lt;="&amp;$J$4,'领用录入（明细）'!F:F,C157)</f>
        <v>0</v>
      </c>
    </row>
    <row r="158" customHeight="1" spans="2:11">
      <c r="B158" s="59">
        <v>151</v>
      </c>
      <c r="C158" s="60" t="str">
        <f>IF('基础-办公用品信息'!C153="","-",'基础-办公用品信息'!C153)</f>
        <v>马桶刷</v>
      </c>
      <c r="D158" s="60"/>
      <c r="E158" s="60" t="str">
        <f>IF('基础-办公用品信息'!D153="","-",'基础-办公用品信息'!D153)</f>
        <v>个</v>
      </c>
      <c r="F158" s="60"/>
      <c r="G158" s="60" t="str">
        <f>IF('基础-办公用品信息'!E153="","-",'基础-办公用品信息'!E153)</f>
        <v>-</v>
      </c>
      <c r="H158" s="60"/>
      <c r="I158" s="99">
        <f>SUMIFS('领用录入（明细）'!I:I,'领用录入（明细）'!E:E,$D$4,'领用录入（明细）'!C:C,"&gt;="&amp;$H$4,'领用录入（明细）'!C:C,"&lt;="&amp;$J$4,'领用录入（明细）'!F:F,C158)</f>
        <v>0</v>
      </c>
      <c r="J158" s="60">
        <f>IFERROR(VLOOKUP(C158,'基础-办公用品信息'!$C:$G,4,0),"")</f>
        <v>0</v>
      </c>
      <c r="K158" s="60">
        <f>SUMIFS('领用录入（明细）'!K:K,'领用录入（明细）'!E:E,$D$4,'领用录入（明细）'!C:C,"&gt;="&amp;$H$4,'领用录入（明细）'!C:C,"&lt;="&amp;$J$4,'领用录入（明细）'!F:F,C158)</f>
        <v>0</v>
      </c>
    </row>
    <row r="159" customHeight="1" spans="2:11">
      <c r="B159" s="59">
        <v>152</v>
      </c>
      <c r="C159" s="60" t="str">
        <f>IF('基础-办公用品信息'!C154="","-",'基础-办公用品信息'!C154)</f>
        <v>洗手液</v>
      </c>
      <c r="D159" s="60"/>
      <c r="E159" s="60" t="str">
        <f>IF('基础-办公用品信息'!D154="","-",'基础-办公用品信息'!D154)</f>
        <v>瓶</v>
      </c>
      <c r="F159" s="60"/>
      <c r="G159" s="60" t="str">
        <f>IF('基础-办公用品信息'!E154="","-",'基础-办公用品信息'!E154)</f>
        <v>-</v>
      </c>
      <c r="H159" s="60"/>
      <c r="I159" s="99">
        <f>SUMIFS('领用录入（明细）'!I:I,'领用录入（明细）'!E:E,$D$4,'领用录入（明细）'!C:C,"&gt;="&amp;$H$4,'领用录入（明细）'!C:C,"&lt;="&amp;$J$4,'领用录入（明细）'!F:F,C159)</f>
        <v>0</v>
      </c>
      <c r="J159" s="60">
        <f>IFERROR(VLOOKUP(C159,'基础-办公用品信息'!$C:$G,4,0),"")</f>
        <v>0</v>
      </c>
      <c r="K159" s="60">
        <f>SUMIFS('领用录入（明细）'!K:K,'领用录入（明细）'!E:E,$D$4,'领用录入（明细）'!C:C,"&gt;="&amp;$H$4,'领用录入（明细）'!C:C,"&lt;="&amp;$J$4,'领用录入（明细）'!F:F,C159)</f>
        <v>0</v>
      </c>
    </row>
    <row r="160" customHeight="1" spans="2:11">
      <c r="B160" s="59">
        <v>153</v>
      </c>
      <c r="C160" s="60" t="str">
        <f>IF('基础-办公用品信息'!C155="","-",'基础-办公用品信息'!C155)</f>
        <v>报销单</v>
      </c>
      <c r="D160" s="60"/>
      <c r="E160" s="60" t="str">
        <f>IF('基础-办公用品信息'!D155="","-",'基础-办公用品信息'!D155)</f>
        <v>本</v>
      </c>
      <c r="F160" s="60"/>
      <c r="G160" s="60" t="str">
        <f>IF('基础-办公用品信息'!E155="","-",'基础-办公用品信息'!E155)</f>
        <v>-</v>
      </c>
      <c r="H160" s="60"/>
      <c r="I160" s="99">
        <f>SUMIFS('领用录入（明细）'!I:I,'领用录入（明细）'!E:E,$D$4,'领用录入（明细）'!C:C,"&gt;="&amp;$H$4,'领用录入（明细）'!C:C,"&lt;="&amp;$J$4,'领用录入（明细）'!F:F,C160)</f>
        <v>0</v>
      </c>
      <c r="J160" s="60">
        <f>IFERROR(VLOOKUP(C160,'基础-办公用品信息'!$C:$G,4,0),"")</f>
        <v>1.2</v>
      </c>
      <c r="K160" s="60">
        <f>SUMIFS('领用录入（明细）'!K:K,'领用录入（明细）'!E:E,$D$4,'领用录入（明细）'!C:C,"&gt;="&amp;$H$4,'领用录入（明细）'!C:C,"&lt;="&amp;$J$4,'领用录入（明细）'!F:F,C160)</f>
        <v>0</v>
      </c>
    </row>
    <row r="161" customHeight="1" spans="2:11">
      <c r="B161" s="59">
        <v>154</v>
      </c>
      <c r="C161" s="60" t="str">
        <f>IF('基础-办公用品信息'!C156="","-",'基础-办公用品信息'!C156)</f>
        <v>手套</v>
      </c>
      <c r="D161" s="60"/>
      <c r="E161" s="60" t="str">
        <f>IF('基础-办公用品信息'!D156="","-",'基础-办公用品信息'!D156)</f>
        <v>双</v>
      </c>
      <c r="F161" s="60"/>
      <c r="G161" s="60" t="str">
        <f>IF('基础-办公用品信息'!E156="","-",'基础-办公用品信息'!E156)</f>
        <v>-</v>
      </c>
      <c r="H161" s="60"/>
      <c r="I161" s="99">
        <f>SUMIFS('领用录入（明细）'!I:I,'领用录入（明细）'!E:E,$D$4,'领用录入（明细）'!C:C,"&gt;="&amp;$H$4,'领用录入（明细）'!C:C,"&lt;="&amp;$J$4,'领用录入（明细）'!F:F,C161)</f>
        <v>0</v>
      </c>
      <c r="J161" s="60">
        <f>IFERROR(VLOOKUP(C161,'基础-办公用品信息'!$C:$G,4,0),"")</f>
        <v>0</v>
      </c>
      <c r="K161" s="60">
        <f>SUMIFS('领用录入（明细）'!K:K,'领用录入（明细）'!E:E,$D$4,'领用录入（明细）'!C:C,"&gt;="&amp;$H$4,'领用录入（明细）'!C:C,"&lt;="&amp;$J$4,'领用录入（明细）'!F:F,C161)</f>
        <v>0</v>
      </c>
    </row>
    <row r="162" customHeight="1" spans="2:11">
      <c r="B162" s="59">
        <v>155</v>
      </c>
      <c r="C162" s="60" t="str">
        <f>IF('基础-办公用品信息'!C157="","-",'基础-办公用品信息'!C157)</f>
        <v>安全帽</v>
      </c>
      <c r="D162" s="60"/>
      <c r="E162" s="60" t="str">
        <f>IF('基础-办公用品信息'!D157="","-",'基础-办公用品信息'!D157)</f>
        <v>顶</v>
      </c>
      <c r="F162" s="60"/>
      <c r="G162" s="60" t="str">
        <f>IF('基础-办公用品信息'!E157="","-",'基础-办公用品信息'!E157)</f>
        <v>-</v>
      </c>
      <c r="H162" s="60"/>
      <c r="I162" s="99">
        <f>SUMIFS('领用录入（明细）'!I:I,'领用录入（明细）'!E:E,$D$4,'领用录入（明细）'!C:C,"&gt;="&amp;$H$4,'领用录入（明细）'!C:C,"&lt;="&amp;$J$4,'领用录入（明细）'!F:F,C162)</f>
        <v>0</v>
      </c>
      <c r="J162" s="60">
        <f>IFERROR(VLOOKUP(C162,'基础-办公用品信息'!$C:$G,4,0),"")</f>
        <v>0</v>
      </c>
      <c r="K162" s="60">
        <f>SUMIFS('领用录入（明细）'!K:K,'领用录入（明细）'!E:E,$D$4,'领用录入（明细）'!C:C,"&gt;="&amp;$H$4,'领用录入（明细）'!C:C,"&lt;="&amp;$J$4,'领用录入（明细）'!F:F,C162)</f>
        <v>0</v>
      </c>
    </row>
    <row r="163" customHeight="1" spans="2:11">
      <c r="B163" s="59">
        <v>156</v>
      </c>
      <c r="C163" s="60" t="str">
        <f>IF('基础-办公用品信息'!C158="","-",'基础-办公用品信息'!C158)</f>
        <v>扫把</v>
      </c>
      <c r="D163" s="60"/>
      <c r="E163" s="60" t="str">
        <f>IF('基础-办公用品信息'!D158="","-",'基础-办公用品信息'!D158)</f>
        <v>把</v>
      </c>
      <c r="F163" s="60"/>
      <c r="G163" s="60" t="str">
        <f>IF('基础-办公用品信息'!E158="","-",'基础-办公用品信息'!E158)</f>
        <v>-</v>
      </c>
      <c r="H163" s="60"/>
      <c r="I163" s="99">
        <f>SUMIFS('领用录入（明细）'!I:I,'领用录入（明细）'!E:E,$D$4,'领用录入（明细）'!C:C,"&gt;="&amp;$H$4,'领用录入（明细）'!C:C,"&lt;="&amp;$J$4,'领用录入（明细）'!F:F,C163)</f>
        <v>1</v>
      </c>
      <c r="J163" s="60">
        <f>IFERROR(VLOOKUP(C163,'基础-办公用品信息'!$C:$G,4,0),"")</f>
        <v>0</v>
      </c>
      <c r="K163" s="60">
        <f>SUMIFS('领用录入（明细）'!K:K,'领用录入（明细）'!E:E,$D$4,'领用录入（明细）'!C:C,"&gt;="&amp;$H$4,'领用录入（明细）'!C:C,"&lt;="&amp;$J$4,'领用录入（明细）'!F:F,C163)</f>
        <v>0</v>
      </c>
    </row>
    <row r="164" customHeight="1" spans="2:11">
      <c r="B164" s="59">
        <v>157</v>
      </c>
      <c r="C164" s="60" t="str">
        <f>IF('基础-办公用品信息'!C159="","-",'基础-办公用品信息'!C159)</f>
        <v>交换机</v>
      </c>
      <c r="D164" s="60"/>
      <c r="E164" s="60" t="str">
        <f>IF('基础-办公用品信息'!D159="","-",'基础-办公用品信息'!D159)</f>
        <v>个</v>
      </c>
      <c r="F164" s="60"/>
      <c r="G164" s="60" t="str">
        <f>IF('基础-办公用品信息'!E159="","-",'基础-办公用品信息'!E159)</f>
        <v>-</v>
      </c>
      <c r="H164" s="60"/>
      <c r="I164" s="99">
        <f>SUMIFS('领用录入（明细）'!I:I,'领用录入（明细）'!E:E,$D$4,'领用录入（明细）'!C:C,"&gt;="&amp;$H$4,'领用录入（明细）'!C:C,"&lt;="&amp;$J$4,'领用录入（明细）'!F:F,C164)</f>
        <v>0</v>
      </c>
      <c r="J164" s="60">
        <f>IFERROR(VLOOKUP(C164,'基础-办公用品信息'!$C:$G,4,0),"")</f>
        <v>0</v>
      </c>
      <c r="K164" s="60">
        <f>SUMIFS('领用录入（明细）'!K:K,'领用录入（明细）'!E:E,$D$4,'领用录入（明细）'!C:C,"&gt;="&amp;$H$4,'领用录入（明细）'!C:C,"&lt;="&amp;$J$4,'领用录入（明细）'!F:F,C164)</f>
        <v>0</v>
      </c>
    </row>
    <row r="165" customHeight="1" spans="2:11">
      <c r="B165" s="59">
        <v>158</v>
      </c>
      <c r="C165" s="60" t="str">
        <f>IF('基础-办公用品信息'!C160="","-",'基础-办公用品信息'!C160)</f>
        <v>狗粮</v>
      </c>
      <c r="D165" s="60"/>
      <c r="E165" s="60" t="str">
        <f>IF('基础-办公用品信息'!D160="","-",'基础-办公用品信息'!D160)</f>
        <v>包</v>
      </c>
      <c r="F165" s="60"/>
      <c r="G165" s="60" t="str">
        <f>IF('基础-办公用品信息'!E160="","-",'基础-办公用品信息'!E160)</f>
        <v>-</v>
      </c>
      <c r="H165" s="60"/>
      <c r="I165" s="99">
        <f>SUMIFS('领用录入（明细）'!I:I,'领用录入（明细）'!E:E,$D$4,'领用录入（明细）'!C:C,"&gt;="&amp;$H$4,'领用录入（明细）'!C:C,"&lt;="&amp;$J$4,'领用录入（明细）'!F:F,C165)</f>
        <v>0</v>
      </c>
      <c r="J165" s="60">
        <f>IFERROR(VLOOKUP(C165,'基础-办公用品信息'!$C:$G,4,0),"")</f>
        <v>0</v>
      </c>
      <c r="K165" s="60">
        <f>SUMIFS('领用录入（明细）'!K:K,'领用录入（明细）'!E:E,$D$4,'领用录入（明细）'!C:C,"&gt;="&amp;$H$4,'领用录入（明细）'!C:C,"&lt;="&amp;$J$4,'领用录入（明细）'!F:F,C165)</f>
        <v>0</v>
      </c>
    </row>
    <row r="166" customHeight="1" spans="2:11">
      <c r="B166" s="59">
        <v>159</v>
      </c>
      <c r="C166" s="60" t="str">
        <f>IF('基础-办公用品信息'!C161="","-",'基础-办公用品信息'!C161)</f>
        <v>尘推杆</v>
      </c>
      <c r="D166" s="60"/>
      <c r="E166" s="60" t="str">
        <f>IF('基础-办公用品信息'!D161="","-",'基础-办公用品信息'!D161)</f>
        <v>根</v>
      </c>
      <c r="F166" s="60"/>
      <c r="G166" s="60" t="str">
        <f>IF('基础-办公用品信息'!E161="","-",'基础-办公用品信息'!E161)</f>
        <v>-</v>
      </c>
      <c r="H166" s="60"/>
      <c r="I166" s="99">
        <f>SUMIFS('领用录入（明细）'!I:I,'领用录入（明细）'!E:E,$D$4,'领用录入（明细）'!C:C,"&gt;="&amp;$H$4,'领用录入（明细）'!C:C,"&lt;="&amp;$J$4,'领用录入（明细）'!F:F,C166)</f>
        <v>0</v>
      </c>
      <c r="J166" s="60">
        <f>IFERROR(VLOOKUP(C166,'基础-办公用品信息'!$C:$G,4,0),"")</f>
        <v>0</v>
      </c>
      <c r="K166" s="60">
        <f>SUMIFS('领用录入（明细）'!K:K,'领用录入（明细）'!E:E,$D$4,'领用录入（明细）'!C:C,"&gt;="&amp;$H$4,'领用录入（明细）'!C:C,"&lt;="&amp;$J$4,'领用录入（明细）'!F:F,C166)</f>
        <v>0</v>
      </c>
    </row>
    <row r="167" customHeight="1" spans="2:11">
      <c r="B167" s="59">
        <v>160</v>
      </c>
      <c r="C167" s="60" t="str">
        <f>IF('基础-办公用品信息'!C162="","-",'基础-办公用品信息'!C162)</f>
        <v>橡胶手套</v>
      </c>
      <c r="D167" s="60"/>
      <c r="E167" s="60" t="str">
        <f>IF('基础-办公用品信息'!D162="","-",'基础-办公用品信息'!D162)</f>
        <v>双</v>
      </c>
      <c r="F167" s="60"/>
      <c r="G167" s="60" t="str">
        <f>IF('基础-办公用品信息'!E162="","-",'基础-办公用品信息'!E162)</f>
        <v>-</v>
      </c>
      <c r="H167" s="60"/>
      <c r="I167" s="99">
        <f>SUMIFS('领用录入（明细）'!I:I,'领用录入（明细）'!E:E,$D$4,'领用录入（明细）'!C:C,"&gt;="&amp;$H$4,'领用录入（明细）'!C:C,"&lt;="&amp;$J$4,'领用录入（明细）'!F:F,C167)</f>
        <v>0</v>
      </c>
      <c r="J167" s="60">
        <f>IFERROR(VLOOKUP(C167,'基础-办公用品信息'!$C:$G,4,0),"")</f>
        <v>0</v>
      </c>
      <c r="K167" s="60">
        <f>SUMIFS('领用录入（明细）'!K:K,'领用录入（明细）'!E:E,$D$4,'领用录入（明细）'!C:C,"&gt;="&amp;$H$4,'领用录入（明细）'!C:C,"&lt;="&amp;$J$4,'领用录入（明细）'!F:F,C167)</f>
        <v>0</v>
      </c>
    </row>
    <row r="168" customHeight="1" spans="2:11">
      <c r="B168" s="59">
        <v>161</v>
      </c>
      <c r="C168" s="60" t="str">
        <f>IF('基础-办公用品信息'!C163="","-",'基础-办公用品信息'!C163)</f>
        <v>透明胶带大卷</v>
      </c>
      <c r="D168" s="60"/>
      <c r="E168" s="60" t="str">
        <f>IF('基础-办公用品信息'!D163="","-",'基础-办公用品信息'!D163)</f>
        <v>卷</v>
      </c>
      <c r="F168" s="60"/>
      <c r="G168" s="60" t="str">
        <f>IF('基础-办公用品信息'!E163="","-",'基础-办公用品信息'!E163)</f>
        <v>-</v>
      </c>
      <c r="H168" s="60"/>
      <c r="I168" s="99">
        <f>SUMIFS('领用录入（明细）'!I:I,'领用录入（明细）'!E:E,$D$4,'领用录入（明细）'!C:C,"&gt;="&amp;$H$4,'领用录入（明细）'!C:C,"&lt;="&amp;$J$4,'领用录入（明细）'!F:F,C168)</f>
        <v>0</v>
      </c>
      <c r="J168" s="60">
        <f>IFERROR(VLOOKUP(C168,'基础-办公用品信息'!$C:$G,4,0),"")</f>
        <v>0</v>
      </c>
      <c r="K168" s="60">
        <f>SUMIFS('领用录入（明细）'!K:K,'领用录入（明细）'!E:E,$D$4,'领用录入（明细）'!C:C,"&gt;="&amp;$H$4,'领用录入（明细）'!C:C,"&lt;="&amp;$J$4,'领用录入（明细）'!F:F,C168)</f>
        <v>0</v>
      </c>
    </row>
    <row r="169" customHeight="1" spans="2:11">
      <c r="B169" s="59">
        <v>162</v>
      </c>
      <c r="C169" s="60" t="str">
        <f>IF('基础-办公用品信息'!C164="","-",'基础-办公用品信息'!C164)</f>
        <v>垃圾袋大</v>
      </c>
      <c r="D169" s="60"/>
      <c r="E169" s="60" t="str">
        <f>IF('基础-办公用品信息'!D164="","-",'基础-办公用品信息'!D164)</f>
        <v>卷</v>
      </c>
      <c r="F169" s="60"/>
      <c r="G169" s="60" t="str">
        <f>IF('基础-办公用品信息'!E164="","-",'基础-办公用品信息'!E164)</f>
        <v>-</v>
      </c>
      <c r="H169" s="60"/>
      <c r="I169" s="99">
        <f>SUMIFS('领用录入（明细）'!I:I,'领用录入（明细）'!E:E,$D$4,'领用录入（明细）'!C:C,"&gt;="&amp;$H$4,'领用录入（明细）'!C:C,"&lt;="&amp;$J$4,'领用录入（明细）'!F:F,C169)</f>
        <v>0</v>
      </c>
      <c r="J169" s="60">
        <f>IFERROR(VLOOKUP(C169,'基础-办公用品信息'!$C:$G,4,0),"")</f>
        <v>0</v>
      </c>
      <c r="K169" s="60">
        <f>SUMIFS('领用录入（明细）'!K:K,'领用录入（明细）'!E:E,$D$4,'领用录入（明细）'!C:C,"&gt;="&amp;$H$4,'领用录入（明细）'!C:C,"&lt;="&amp;$J$4,'领用录入（明细）'!F:F,C169)</f>
        <v>0</v>
      </c>
    </row>
    <row r="170" customHeight="1" spans="2:11">
      <c r="B170" s="59">
        <v>163</v>
      </c>
      <c r="C170" s="60" t="str">
        <f>IF('基础-办公用品信息'!C165="","-",'基础-办公用品信息'!C165)</f>
        <v>垃圾袋小</v>
      </c>
      <c r="D170" s="60"/>
      <c r="E170" s="60" t="str">
        <f>IF('基础-办公用品信息'!D165="","-",'基础-办公用品信息'!D165)</f>
        <v>卷</v>
      </c>
      <c r="F170" s="60"/>
      <c r="G170" s="60" t="str">
        <f>IF('基础-办公用品信息'!E165="","-",'基础-办公用品信息'!E165)</f>
        <v>-</v>
      </c>
      <c r="H170" s="60"/>
      <c r="I170" s="99">
        <f>SUMIFS('领用录入（明细）'!I:I,'领用录入（明细）'!E:E,$D$4,'领用录入（明细）'!C:C,"&gt;="&amp;$H$4,'领用录入（明细）'!C:C,"&lt;="&amp;$J$4,'领用录入（明细）'!F:F,C170)</f>
        <v>0</v>
      </c>
      <c r="J170" s="60">
        <f>IFERROR(VLOOKUP(C170,'基础-办公用品信息'!$C:$G,4,0),"")</f>
        <v>0</v>
      </c>
      <c r="K170" s="60">
        <f>SUMIFS('领用录入（明细）'!K:K,'领用录入（明细）'!E:E,$D$4,'领用录入（明细）'!C:C,"&gt;="&amp;$H$4,'领用录入（明细）'!C:C,"&lt;="&amp;$J$4,'领用录入（明细）'!F:F,C170)</f>
        <v>0</v>
      </c>
    </row>
    <row r="171" customHeight="1" spans="2:11">
      <c r="B171" s="59">
        <v>164</v>
      </c>
      <c r="C171" s="60" t="str">
        <f>IF('基础-办公用品信息'!C166="","-",'基础-办公用品信息'!C166)</f>
        <v>次氯酸消毒液</v>
      </c>
      <c r="D171" s="60"/>
      <c r="E171" s="60" t="str">
        <f>IF('基础-办公用品信息'!D166="","-",'基础-办公用品信息'!D166)</f>
        <v>瓶</v>
      </c>
      <c r="F171" s="60"/>
      <c r="G171" s="60" t="str">
        <f>IF('基础-办公用品信息'!E166="","-",'基础-办公用品信息'!E166)</f>
        <v>-</v>
      </c>
      <c r="H171" s="60"/>
      <c r="I171" s="99">
        <f>SUMIFS('领用录入（明细）'!I:I,'领用录入（明细）'!E:E,$D$4,'领用录入（明细）'!C:C,"&gt;="&amp;$H$4,'领用录入（明细）'!C:C,"&lt;="&amp;$J$4,'领用录入（明细）'!F:F,C171)</f>
        <v>0</v>
      </c>
      <c r="J171" s="60">
        <f>IFERROR(VLOOKUP(C171,'基础-办公用品信息'!$C:$G,4,0),"")</f>
        <v>0</v>
      </c>
      <c r="K171" s="60">
        <f>SUMIFS('领用录入（明细）'!K:K,'领用录入（明细）'!E:E,$D$4,'领用录入（明细）'!C:C,"&gt;="&amp;$H$4,'领用录入（明细）'!C:C,"&lt;="&amp;$J$4,'领用录入（明细）'!F:F,C171)</f>
        <v>0</v>
      </c>
    </row>
    <row r="172" customHeight="1" spans="2:11">
      <c r="B172" s="59">
        <v>165</v>
      </c>
      <c r="C172" s="60" t="str">
        <f>IF('基础-办公用品信息'!C167="","-",'基础-办公用品信息'!C167)</f>
        <v>喷壶</v>
      </c>
      <c r="D172" s="60"/>
      <c r="E172" s="60" t="str">
        <f>IF('基础-办公用品信息'!D167="","-",'基础-办公用品信息'!D167)</f>
        <v>个</v>
      </c>
      <c r="F172" s="60"/>
      <c r="G172" s="60" t="str">
        <f>IF('基础-办公用品信息'!E167="","-",'基础-办公用品信息'!E167)</f>
        <v>-</v>
      </c>
      <c r="H172" s="60"/>
      <c r="I172" s="99">
        <f>SUMIFS('领用录入（明细）'!I:I,'领用录入（明细）'!E:E,$D$4,'领用录入（明细）'!C:C,"&gt;="&amp;$H$4,'领用录入（明细）'!C:C,"&lt;="&amp;$J$4,'领用录入（明细）'!F:F,C172)</f>
        <v>0</v>
      </c>
      <c r="J172" s="60">
        <f>IFERROR(VLOOKUP(C172,'基础-办公用品信息'!$C:$G,4,0),"")</f>
        <v>0</v>
      </c>
      <c r="K172" s="60">
        <f>SUMIFS('领用录入（明细）'!K:K,'领用录入（明细）'!E:E,$D$4,'领用录入（明细）'!C:C,"&gt;="&amp;$H$4,'领用录入（明细）'!C:C,"&lt;="&amp;$J$4,'领用录入（明细）'!F:F,C172)</f>
        <v>0</v>
      </c>
    </row>
    <row r="173" customHeight="1" spans="2:11">
      <c r="B173" s="59">
        <v>166</v>
      </c>
      <c r="C173" s="60" t="str">
        <f>IF('基础-办公用品信息'!C168="","-",'基础-办公用品信息'!C168)</f>
        <v>马桶刷</v>
      </c>
      <c r="D173" s="60"/>
      <c r="E173" s="60" t="str">
        <f>IF('基础-办公用品信息'!D168="","-",'基础-办公用品信息'!D168)</f>
        <v>个</v>
      </c>
      <c r="F173" s="60"/>
      <c r="G173" s="60" t="str">
        <f>IF('基础-办公用品信息'!E168="","-",'基础-办公用品信息'!E168)</f>
        <v>-</v>
      </c>
      <c r="H173" s="60"/>
      <c r="I173" s="99">
        <f>SUMIFS('领用录入（明细）'!I:I,'领用录入（明细）'!E:E,$D$4,'领用录入（明细）'!C:C,"&gt;="&amp;$H$4,'领用录入（明细）'!C:C,"&lt;="&amp;$J$4,'领用录入（明细）'!F:F,C173)</f>
        <v>0</v>
      </c>
      <c r="J173" s="60">
        <f>IFERROR(VLOOKUP(C173,'基础-办公用品信息'!$C:$G,4,0),"")</f>
        <v>0</v>
      </c>
      <c r="K173" s="60">
        <f>SUMIFS('领用录入（明细）'!K:K,'领用录入（明细）'!E:E,$D$4,'领用录入（明细）'!C:C,"&gt;="&amp;$H$4,'领用录入（明细）'!C:C,"&lt;="&amp;$J$4,'领用录入（明细）'!F:F,C173)</f>
        <v>0</v>
      </c>
    </row>
    <row r="174" customHeight="1" spans="2:11">
      <c r="B174" s="59">
        <v>167</v>
      </c>
      <c r="C174" s="60" t="str">
        <f>IF('基础-办公用品信息'!C169="","-",'基础-办公用品信息'!C169)</f>
        <v>无线网卡</v>
      </c>
      <c r="D174" s="60"/>
      <c r="E174" s="60" t="str">
        <f>IF('基础-办公用品信息'!D169="","-",'基础-办公用品信息'!D169)</f>
        <v>个</v>
      </c>
      <c r="F174" s="60"/>
      <c r="G174" s="60" t="str">
        <f>IF('基础-办公用品信息'!E169="","-",'基础-办公用品信息'!E169)</f>
        <v>-</v>
      </c>
      <c r="H174" s="60"/>
      <c r="I174" s="99">
        <f>SUMIFS('领用录入（明细）'!I:I,'领用录入（明细）'!E:E,$D$4,'领用录入（明细）'!C:C,"&gt;="&amp;$H$4,'领用录入（明细）'!C:C,"&lt;="&amp;$J$4,'领用录入（明细）'!F:F,C174)</f>
        <v>0</v>
      </c>
      <c r="J174" s="60">
        <f>IFERROR(VLOOKUP(C174,'基础-办公用品信息'!$C:$G,4,0),"")</f>
        <v>0</v>
      </c>
      <c r="K174" s="60">
        <f>SUMIFS('领用录入（明细）'!K:K,'领用录入（明细）'!E:E,$D$4,'领用录入（明细）'!C:C,"&gt;="&amp;$H$4,'领用录入（明细）'!C:C,"&lt;="&amp;$J$4,'领用录入（明细）'!F:F,C174)</f>
        <v>0</v>
      </c>
    </row>
    <row r="175" customHeight="1" spans="2:11">
      <c r="B175" s="59">
        <v>168</v>
      </c>
      <c r="C175" s="60" t="str">
        <f>IF('基础-办公用品信息'!C170="","-",'基础-办公用品信息'!C170)</f>
        <v>院子灯泡</v>
      </c>
      <c r="D175" s="60"/>
      <c r="E175" s="60" t="str">
        <f>IF('基础-办公用品信息'!D170="","-",'基础-办公用品信息'!D170)</f>
        <v>个</v>
      </c>
      <c r="F175" s="60"/>
      <c r="G175" s="60" t="str">
        <f>IF('基础-办公用品信息'!E170="","-",'基础-办公用品信息'!E170)</f>
        <v>-</v>
      </c>
      <c r="H175" s="60"/>
      <c r="I175" s="99">
        <f>SUMIFS('领用录入（明细）'!I:I,'领用录入（明细）'!E:E,$D$4,'领用录入（明细）'!C:C,"&gt;="&amp;$H$4,'领用录入（明细）'!C:C,"&lt;="&amp;$J$4,'领用录入（明细）'!F:F,C175)</f>
        <v>0</v>
      </c>
      <c r="J175" s="60">
        <f>IFERROR(VLOOKUP(C175,'基础-办公用品信息'!$C:$G,4,0),"")</f>
        <v>15</v>
      </c>
      <c r="K175" s="60">
        <f>SUMIFS('领用录入（明细）'!K:K,'领用录入（明细）'!E:E,$D$4,'领用录入（明细）'!C:C,"&gt;="&amp;$H$4,'领用录入（明细）'!C:C,"&lt;="&amp;$J$4,'领用录入（明细）'!F:F,C175)</f>
        <v>0</v>
      </c>
    </row>
    <row r="176" customHeight="1" spans="2:11">
      <c r="B176" s="59">
        <v>169</v>
      </c>
      <c r="C176" s="60" t="str">
        <f>IF('基础-办公用品信息'!C171="","-",'基础-办公用品信息'!C171)</f>
        <v>洗衣粉</v>
      </c>
      <c r="D176" s="60"/>
      <c r="E176" s="60" t="str">
        <f>IF('基础-办公用品信息'!D171="","-",'基础-办公用品信息'!D171)</f>
        <v>包</v>
      </c>
      <c r="F176" s="60"/>
      <c r="G176" s="60" t="str">
        <f>IF('基础-办公用品信息'!E171="","-",'基础-办公用品信息'!E171)</f>
        <v>-</v>
      </c>
      <c r="H176" s="60"/>
      <c r="I176" s="99">
        <f>SUMIFS('领用录入（明细）'!I:I,'领用录入（明细）'!E:E,$D$4,'领用录入（明细）'!C:C,"&gt;="&amp;$H$4,'领用录入（明细）'!C:C,"&lt;="&amp;$J$4,'领用录入（明细）'!F:F,C176)</f>
        <v>0</v>
      </c>
      <c r="J176" s="60">
        <f>IFERROR(VLOOKUP(C176,'基础-办公用品信息'!$C:$G,4,0),"")</f>
        <v>0</v>
      </c>
      <c r="K176" s="60">
        <f>SUMIFS('领用录入（明细）'!K:K,'领用录入（明细）'!E:E,$D$4,'领用录入（明细）'!C:C,"&gt;="&amp;$H$4,'领用录入（明细）'!C:C,"&lt;="&amp;$J$4,'领用录入（明细）'!F:F,C176)</f>
        <v>0</v>
      </c>
    </row>
    <row r="177" customHeight="1" spans="2:11">
      <c r="B177" s="59">
        <v>170</v>
      </c>
      <c r="C177" s="60" t="str">
        <f>IF('基础-办公用品信息'!C172="","-",'基础-办公用品信息'!C172)</f>
        <v>海绵</v>
      </c>
      <c r="D177" s="60"/>
      <c r="E177" s="60" t="str">
        <f>IF('基础-办公用品信息'!D172="","-",'基础-办公用品信息'!D172)</f>
        <v>个</v>
      </c>
      <c r="F177" s="60"/>
      <c r="G177" s="60" t="str">
        <f>IF('基础-办公用品信息'!E172="","-",'基础-办公用品信息'!E172)</f>
        <v>-</v>
      </c>
      <c r="H177" s="60"/>
      <c r="I177" s="99">
        <f>SUMIFS('领用录入（明细）'!I:I,'领用录入（明细）'!E:E,$D$4,'领用录入（明细）'!C:C,"&gt;="&amp;$H$4,'领用录入（明细）'!C:C,"&lt;="&amp;$J$4,'领用录入（明细）'!F:F,C177)</f>
        <v>0</v>
      </c>
      <c r="J177" s="60">
        <f>IFERROR(VLOOKUP(C177,'基础-办公用品信息'!$C:$G,4,0),"")</f>
        <v>0</v>
      </c>
      <c r="K177" s="60">
        <f>SUMIFS('领用录入（明细）'!K:K,'领用录入（明细）'!E:E,$D$4,'领用录入（明细）'!C:C,"&gt;="&amp;$H$4,'领用录入（明细）'!C:C,"&lt;="&amp;$J$4,'领用录入（明细）'!F:F,C177)</f>
        <v>0</v>
      </c>
    </row>
    <row r="178" customHeight="1" spans="2:11">
      <c r="B178" s="59">
        <v>171</v>
      </c>
      <c r="C178" s="60" t="str">
        <f>IF('基础-办公用品信息'!C173="","-",'基础-办公用品信息'!C173)</f>
        <v>304不锈钢餐盘（带盖）</v>
      </c>
      <c r="D178" s="60"/>
      <c r="E178" s="60" t="str">
        <f>IF('基础-办公用品信息'!D173="","-",'基础-办公用品信息'!D173)</f>
        <v>个</v>
      </c>
      <c r="F178" s="60"/>
      <c r="G178" s="60" t="str">
        <f>IF('基础-办公用品信息'!E173="","-",'基础-办公用品信息'!E173)</f>
        <v>-</v>
      </c>
      <c r="H178" s="60"/>
      <c r="I178" s="99">
        <f>SUMIFS('领用录入（明细）'!I:I,'领用录入（明细）'!E:E,$D$4,'领用录入（明细）'!C:C,"&gt;="&amp;$H$4,'领用录入（明细）'!C:C,"&lt;="&amp;$J$4,'领用录入（明细）'!F:F,C178)</f>
        <v>0</v>
      </c>
      <c r="J178" s="60">
        <f>IFERROR(VLOOKUP(C178,'基础-办公用品信息'!$C:$G,4,0),"")</f>
        <v>0</v>
      </c>
      <c r="K178" s="60">
        <f>SUMIFS('领用录入（明细）'!K:K,'领用录入（明细）'!E:E,$D$4,'领用录入（明细）'!C:C,"&gt;="&amp;$H$4,'领用录入（明细）'!C:C,"&lt;="&amp;$J$4,'领用录入（明细）'!F:F,C178)</f>
        <v>0</v>
      </c>
    </row>
    <row r="179" customHeight="1" spans="2:11">
      <c r="B179" s="59">
        <v>172</v>
      </c>
      <c r="C179" s="60" t="str">
        <f>IF('基础-办公用品信息'!C174="","-",'基础-办公用品信息'!C174)</f>
        <v>304不锈钢餐盘）</v>
      </c>
      <c r="D179" s="60"/>
      <c r="E179" s="60" t="str">
        <f>IF('基础-办公用品信息'!D174="","-",'基础-办公用品信息'!D174)</f>
        <v>个</v>
      </c>
      <c r="F179" s="60"/>
      <c r="G179" s="60" t="str">
        <f>IF('基础-办公用品信息'!E174="","-",'基础-办公用品信息'!E174)</f>
        <v>-</v>
      </c>
      <c r="H179" s="60"/>
      <c r="I179" s="99">
        <f>SUMIFS('领用录入（明细）'!I:I,'领用录入（明细）'!E:E,$D$4,'领用录入（明细）'!C:C,"&gt;="&amp;$H$4,'领用录入（明细）'!C:C,"&lt;="&amp;$J$4,'领用录入（明细）'!F:F,C179)</f>
        <v>0</v>
      </c>
      <c r="J179" s="60">
        <f>IFERROR(VLOOKUP(C179,'基础-办公用品信息'!$C:$G,4,0),"")</f>
        <v>0</v>
      </c>
      <c r="K179" s="60">
        <f>SUMIFS('领用录入（明细）'!K:K,'领用录入（明细）'!E:E,$D$4,'领用录入（明细）'!C:C,"&gt;="&amp;$H$4,'领用录入（明细）'!C:C,"&lt;="&amp;$J$4,'领用录入（明细）'!F:F,C179)</f>
        <v>0</v>
      </c>
    </row>
    <row r="180" customHeight="1" spans="2:11">
      <c r="B180" s="59">
        <v>173</v>
      </c>
      <c r="C180" s="60" t="str">
        <f>IF('基础-办公用品信息'!C175="","-",'基础-办公用品信息'!C175)</f>
        <v>调料罐</v>
      </c>
      <c r="D180" s="60"/>
      <c r="E180" s="60" t="str">
        <f>IF('基础-办公用品信息'!D175="","-",'基础-办公用品信息'!D175)</f>
        <v>个</v>
      </c>
      <c r="F180" s="60"/>
      <c r="G180" s="60" t="str">
        <f>IF('基础-办公用品信息'!E175="","-",'基础-办公用品信息'!E175)</f>
        <v>-</v>
      </c>
      <c r="H180" s="60"/>
      <c r="I180" s="99">
        <f>SUMIFS('领用录入（明细）'!I:I,'领用录入（明细）'!E:E,$D$4,'领用录入（明细）'!C:C,"&gt;="&amp;$H$4,'领用录入（明细）'!C:C,"&lt;="&amp;$J$4,'领用录入（明细）'!F:F,C180)</f>
        <v>0</v>
      </c>
      <c r="J180" s="60">
        <f>IFERROR(VLOOKUP(C180,'基础-办公用品信息'!$C:$G,4,0),"")</f>
        <v>0</v>
      </c>
      <c r="K180" s="60">
        <f>SUMIFS('领用录入（明细）'!K:K,'领用录入（明细）'!E:E,$D$4,'领用录入（明细）'!C:C,"&gt;="&amp;$H$4,'领用录入（明细）'!C:C,"&lt;="&amp;$J$4,'领用录入（明细）'!F:F,C180)</f>
        <v>0</v>
      </c>
    </row>
    <row r="181" customHeight="1" spans="2:11">
      <c r="B181" s="59">
        <v>174</v>
      </c>
      <c r="C181" s="60" t="str">
        <f>IF('基础-办公用品信息'!C176="","-",'基础-办公用品信息'!C176)</f>
        <v>调料罐盖</v>
      </c>
      <c r="D181" s="60"/>
      <c r="E181" s="60" t="str">
        <f>IF('基础-办公用品信息'!D176="","-",'基础-办公用品信息'!D176)</f>
        <v>个</v>
      </c>
      <c r="F181" s="60"/>
      <c r="G181" s="60" t="str">
        <f>IF('基础-办公用品信息'!E176="","-",'基础-办公用品信息'!E176)</f>
        <v>-</v>
      </c>
      <c r="H181" s="60"/>
      <c r="I181" s="99">
        <f>SUMIFS('领用录入（明细）'!I:I,'领用录入（明细）'!E:E,$D$4,'领用录入（明细）'!C:C,"&gt;="&amp;$H$4,'领用录入（明细）'!C:C,"&lt;="&amp;$J$4,'领用录入（明细）'!F:F,C181)</f>
        <v>0</v>
      </c>
      <c r="J181" s="60">
        <f>IFERROR(VLOOKUP(C181,'基础-办公用品信息'!$C:$G,4,0),"")</f>
        <v>0</v>
      </c>
      <c r="K181" s="60">
        <f>SUMIFS('领用录入（明细）'!K:K,'领用录入（明细）'!E:E,$D$4,'领用录入（明细）'!C:C,"&gt;="&amp;$H$4,'领用录入（明细）'!C:C,"&lt;="&amp;$J$4,'领用录入（明细）'!F:F,C181)</f>
        <v>0</v>
      </c>
    </row>
    <row r="182" customHeight="1" spans="2:11">
      <c r="B182" s="59">
        <v>175</v>
      </c>
      <c r="C182" s="60" t="str">
        <f>IF('基础-办公用品信息'!C177="","-",'基础-办公用品信息'!C177)</f>
        <v>304不锈钢油缸</v>
      </c>
      <c r="D182" s="60"/>
      <c r="E182" s="60" t="str">
        <f>IF('基础-办公用品信息'!D177="","-",'基础-办公用品信息'!D177)</f>
        <v>个</v>
      </c>
      <c r="F182" s="60"/>
      <c r="G182" s="60" t="str">
        <f>IF('基础-办公用品信息'!E177="","-",'基础-办公用品信息'!E177)</f>
        <v>-</v>
      </c>
      <c r="H182" s="60"/>
      <c r="I182" s="99">
        <f>SUMIFS('领用录入（明细）'!I:I,'领用录入（明细）'!E:E,$D$4,'领用录入（明细）'!C:C,"&gt;="&amp;$H$4,'领用录入（明细）'!C:C,"&lt;="&amp;$J$4,'领用录入（明细）'!F:F,C182)</f>
        <v>0</v>
      </c>
      <c r="J182" s="60">
        <f>IFERROR(VLOOKUP(C182,'基础-办公用品信息'!$C:$G,4,0),"")</f>
        <v>0</v>
      </c>
      <c r="K182" s="60">
        <f>SUMIFS('领用录入（明细）'!K:K,'领用录入（明细）'!E:E,$D$4,'领用录入（明细）'!C:C,"&gt;="&amp;$H$4,'领用录入（明细）'!C:C,"&lt;="&amp;$J$4,'领用录入（明细）'!F:F,C182)</f>
        <v>0</v>
      </c>
    </row>
    <row r="183" customHeight="1" spans="2:11">
      <c r="B183" s="59">
        <v>176</v>
      </c>
      <c r="C183" s="60" t="str">
        <f>IF('基础-办公用品信息'!C178="","-",'基础-办公用品信息'!C178)</f>
        <v>304不锈钢大漏勺</v>
      </c>
      <c r="D183" s="60"/>
      <c r="E183" s="60" t="str">
        <f>IF('基础-办公用品信息'!D178="","-",'基础-办公用品信息'!D178)</f>
        <v>个</v>
      </c>
      <c r="F183" s="60"/>
      <c r="G183" s="60" t="str">
        <f>IF('基础-办公用品信息'!E178="","-",'基础-办公用品信息'!E178)</f>
        <v>-</v>
      </c>
      <c r="H183" s="60"/>
      <c r="I183" s="99">
        <f>SUMIFS('领用录入（明细）'!I:I,'领用录入（明细）'!E:E,$D$4,'领用录入（明细）'!C:C,"&gt;="&amp;$H$4,'领用录入（明细）'!C:C,"&lt;="&amp;$J$4,'领用录入（明细）'!F:F,C183)</f>
        <v>0</v>
      </c>
      <c r="J183" s="60">
        <f>IFERROR(VLOOKUP(C183,'基础-办公用品信息'!$C:$G,4,0),"")</f>
        <v>0</v>
      </c>
      <c r="K183" s="60">
        <f>SUMIFS('领用录入（明细）'!K:K,'领用录入（明细）'!E:E,$D$4,'领用录入（明细）'!C:C,"&gt;="&amp;$H$4,'领用录入（明细）'!C:C,"&lt;="&amp;$J$4,'领用录入（明细）'!F:F,C183)</f>
        <v>0</v>
      </c>
    </row>
    <row r="184" customHeight="1" spans="2:11">
      <c r="B184" s="59">
        <v>177</v>
      </c>
      <c r="C184" s="60" t="str">
        <f>IF('基础-办公用品信息'!C179="","-",'基础-办公用品信息'!C179)</f>
        <v>304不锈钢沥油格</v>
      </c>
      <c r="D184" s="60"/>
      <c r="E184" s="60" t="str">
        <f>IF('基础-办公用品信息'!D179="","-",'基础-办公用品信息'!D179)</f>
        <v>个</v>
      </c>
      <c r="F184" s="60"/>
      <c r="G184" s="60" t="str">
        <f>IF('基础-办公用品信息'!E179="","-",'基础-办公用品信息'!E179)</f>
        <v>-</v>
      </c>
      <c r="H184" s="60"/>
      <c r="I184" s="99">
        <f>SUMIFS('领用录入（明细）'!I:I,'领用录入（明细）'!E:E,$D$4,'领用录入（明细）'!C:C,"&gt;="&amp;$H$4,'领用录入（明细）'!C:C,"&lt;="&amp;$J$4,'领用录入（明细）'!F:F,C184)</f>
        <v>0</v>
      </c>
      <c r="J184" s="60">
        <f>IFERROR(VLOOKUP(C184,'基础-办公用品信息'!$C:$G,4,0),"")</f>
        <v>0</v>
      </c>
      <c r="K184" s="60">
        <f>SUMIFS('领用录入（明细）'!K:K,'领用录入（明细）'!E:E,$D$4,'领用录入（明细）'!C:C,"&gt;="&amp;$H$4,'领用录入（明细）'!C:C,"&lt;="&amp;$J$4,'领用录入（明细）'!F:F,C184)</f>
        <v>0</v>
      </c>
    </row>
    <row r="185" customHeight="1" spans="2:11">
      <c r="B185" s="59">
        <v>178</v>
      </c>
      <c r="C185" s="60" t="str">
        <f>IF('基础-办公用品信息'!C180="","-",'基础-办公用品信息'!C180)</f>
        <v>6两钢板汤勺</v>
      </c>
      <c r="D185" s="60"/>
      <c r="E185" s="60" t="str">
        <f>IF('基础-办公用品信息'!D180="","-",'基础-办公用品信息'!D180)</f>
        <v>个</v>
      </c>
      <c r="F185" s="60"/>
      <c r="G185" s="60" t="str">
        <f>IF('基础-办公用品信息'!E180="","-",'基础-办公用品信息'!E180)</f>
        <v>-</v>
      </c>
      <c r="H185" s="60"/>
      <c r="I185" s="99">
        <f>SUMIFS('领用录入（明细）'!I:I,'领用录入（明细）'!E:E,$D$4,'领用录入（明细）'!C:C,"&gt;="&amp;$H$4,'领用录入（明细）'!C:C,"&lt;="&amp;$J$4,'领用录入（明细）'!F:F,C185)</f>
        <v>0</v>
      </c>
      <c r="J185" s="60">
        <f>IFERROR(VLOOKUP(C185,'基础-办公用品信息'!$C:$G,4,0),"")</f>
        <v>0</v>
      </c>
      <c r="K185" s="60">
        <f>SUMIFS('领用录入（明细）'!K:K,'领用录入（明细）'!E:E,$D$4,'领用录入（明细）'!C:C,"&gt;="&amp;$H$4,'领用录入（明细）'!C:C,"&lt;="&amp;$J$4,'领用录入（明细）'!F:F,C185)</f>
        <v>0</v>
      </c>
    </row>
    <row r="186" customHeight="1" spans="2:11">
      <c r="B186" s="59">
        <v>179</v>
      </c>
      <c r="C186" s="60" t="str">
        <f>IF('基础-办公用品信息'!C181="","-",'基础-办公用品信息'!C181)</f>
        <v>锅盖</v>
      </c>
      <c r="D186" s="60"/>
      <c r="E186" s="60" t="str">
        <f>IF('基础-办公用品信息'!D181="","-",'基础-办公用品信息'!D181)</f>
        <v>个</v>
      </c>
      <c r="F186" s="60"/>
      <c r="G186" s="60" t="str">
        <f>IF('基础-办公用品信息'!E181="","-",'基础-办公用品信息'!E181)</f>
        <v>-</v>
      </c>
      <c r="H186" s="60"/>
      <c r="I186" s="99">
        <f>SUMIFS('领用录入（明细）'!I:I,'领用录入（明细）'!E:E,$D$4,'领用录入（明细）'!C:C,"&gt;="&amp;$H$4,'领用录入（明细）'!C:C,"&lt;="&amp;$J$4,'领用录入（明细）'!F:F,C186)</f>
        <v>0</v>
      </c>
      <c r="J186" s="60">
        <f>IFERROR(VLOOKUP(C186,'基础-办公用品信息'!$C:$G,4,0),"")</f>
        <v>0</v>
      </c>
      <c r="K186" s="60">
        <f>SUMIFS('领用录入（明细）'!K:K,'领用录入（明细）'!E:E,$D$4,'领用录入（明细）'!C:C,"&gt;="&amp;$H$4,'领用录入（明细）'!C:C,"&lt;="&amp;$J$4,'领用录入（明细）'!F:F,C186)</f>
        <v>0</v>
      </c>
    </row>
    <row r="187" customHeight="1" spans="2:11">
      <c r="B187" s="59">
        <v>180</v>
      </c>
      <c r="C187" s="60" t="str">
        <f>IF('基础-办公用品信息'!C182="","-",'基础-办公用品信息'!C182)</f>
        <v>锅盖</v>
      </c>
      <c r="D187" s="60"/>
      <c r="E187" s="60" t="str">
        <f>IF('基础-办公用品信息'!D182="","-",'基础-办公用品信息'!D182)</f>
        <v>个</v>
      </c>
      <c r="F187" s="60"/>
      <c r="G187" s="60" t="str">
        <f>IF('基础-办公用品信息'!E182="","-",'基础-办公用品信息'!E182)</f>
        <v>-</v>
      </c>
      <c r="H187" s="60"/>
      <c r="I187" s="99">
        <f>SUMIFS('领用录入（明细）'!I:I,'领用录入（明细）'!E:E,$D$4,'领用录入（明细）'!C:C,"&gt;="&amp;$H$4,'领用录入（明细）'!C:C,"&lt;="&amp;$J$4,'领用录入（明细）'!F:F,C187)</f>
        <v>0</v>
      </c>
      <c r="J187" s="60">
        <f>IFERROR(VLOOKUP(C187,'基础-办公用品信息'!$C:$G,4,0),"")</f>
        <v>0</v>
      </c>
      <c r="K187" s="60">
        <f>SUMIFS('领用录入（明细）'!K:K,'领用录入（明细）'!E:E,$D$4,'领用录入（明细）'!C:C,"&gt;="&amp;$H$4,'领用录入（明细）'!C:C,"&lt;="&amp;$J$4,'领用录入（明细）'!F:F,C187)</f>
        <v>0</v>
      </c>
    </row>
    <row r="188" customHeight="1" spans="2:11">
      <c r="B188" s="59">
        <v>181</v>
      </c>
      <c r="C188" s="60" t="str">
        <f>IF('基础-办公用品信息'!C183="","-",'基础-办公用品信息'!C183)</f>
        <v>剪刀</v>
      </c>
      <c r="D188" s="60"/>
      <c r="E188" s="60" t="str">
        <f>IF('基础-办公用品信息'!D183="","-",'基础-办公用品信息'!D183)</f>
        <v>个</v>
      </c>
      <c r="F188" s="60"/>
      <c r="G188" s="60" t="str">
        <f>IF('基础-办公用品信息'!E183="","-",'基础-办公用品信息'!E183)</f>
        <v>-</v>
      </c>
      <c r="H188" s="60"/>
      <c r="I188" s="99">
        <f>SUMIFS('领用录入（明细）'!I:I,'领用录入（明细）'!E:E,$D$4,'领用录入（明细）'!C:C,"&gt;="&amp;$H$4,'领用录入（明细）'!C:C,"&lt;="&amp;$J$4,'领用录入（明细）'!F:F,C188)</f>
        <v>0</v>
      </c>
      <c r="J188" s="60">
        <f>IFERROR(VLOOKUP(C188,'基础-办公用品信息'!$C:$G,4,0),"")</f>
        <v>3.5</v>
      </c>
      <c r="K188" s="60">
        <f>SUMIFS('领用录入（明细）'!K:K,'领用录入（明细）'!E:E,$D$4,'领用录入（明细）'!C:C,"&gt;="&amp;$H$4,'领用录入（明细）'!C:C,"&lt;="&amp;$J$4,'领用录入（明细）'!F:F,C188)</f>
        <v>0</v>
      </c>
    </row>
    <row r="189" customHeight="1" spans="2:11">
      <c r="B189" s="59">
        <v>182</v>
      </c>
      <c r="C189" s="60" t="str">
        <f>IF('基础-办公用品信息'!C184="","-",'基础-办公用品信息'!C184)</f>
        <v>菜刀</v>
      </c>
      <c r="D189" s="60"/>
      <c r="E189" s="60" t="str">
        <f>IF('基础-办公用品信息'!D184="","-",'基础-办公用品信息'!D184)</f>
        <v>个</v>
      </c>
      <c r="F189" s="60"/>
      <c r="G189" s="60" t="str">
        <f>IF('基础-办公用品信息'!E184="","-",'基础-办公用品信息'!E184)</f>
        <v>-</v>
      </c>
      <c r="H189" s="60"/>
      <c r="I189" s="99">
        <f>SUMIFS('领用录入（明细）'!I:I,'领用录入（明细）'!E:E,$D$4,'领用录入（明细）'!C:C,"&gt;="&amp;$H$4,'领用录入（明细）'!C:C,"&lt;="&amp;$J$4,'领用录入（明细）'!F:F,C189)</f>
        <v>0</v>
      </c>
      <c r="J189" s="60">
        <f>IFERROR(VLOOKUP(C189,'基础-办公用品信息'!$C:$G,4,0),"")</f>
        <v>0</v>
      </c>
      <c r="K189" s="60">
        <f>SUMIFS('领用录入（明细）'!K:K,'领用录入（明细）'!E:E,$D$4,'领用录入（明细）'!C:C,"&gt;="&amp;$H$4,'领用录入（明细）'!C:C,"&lt;="&amp;$J$4,'领用录入（明细）'!F:F,C189)</f>
        <v>0</v>
      </c>
    </row>
    <row r="190" customHeight="1" spans="2:11">
      <c r="B190" s="59">
        <v>183</v>
      </c>
      <c r="C190" s="60" t="str">
        <f>IF('基础-办公用品信息'!C185="","-",'基础-办公用品信息'!C185)</f>
        <v>高压锅排气阀</v>
      </c>
      <c r="D190" s="60"/>
      <c r="E190" s="60" t="str">
        <f>IF('基础-办公用品信息'!D185="","-",'基础-办公用品信息'!D185)</f>
        <v>个</v>
      </c>
      <c r="F190" s="60"/>
      <c r="G190" s="60" t="str">
        <f>IF('基础-办公用品信息'!E185="","-",'基础-办公用品信息'!E185)</f>
        <v>-</v>
      </c>
      <c r="H190" s="60"/>
      <c r="I190" s="99">
        <f>SUMIFS('领用录入（明细）'!I:I,'领用录入（明细）'!E:E,$D$4,'领用录入（明细）'!C:C,"&gt;="&amp;$H$4,'领用录入（明细）'!C:C,"&lt;="&amp;$J$4,'领用录入（明细）'!F:F,C190)</f>
        <v>0</v>
      </c>
      <c r="J190" s="60">
        <f>IFERROR(VLOOKUP(C190,'基础-办公用品信息'!$C:$G,4,0),"")</f>
        <v>0</v>
      </c>
      <c r="K190" s="60">
        <f>SUMIFS('领用录入（明细）'!K:K,'领用录入（明细）'!E:E,$D$4,'领用录入（明细）'!C:C,"&gt;="&amp;$H$4,'领用录入（明细）'!C:C,"&lt;="&amp;$J$4,'领用录入（明细）'!F:F,C190)</f>
        <v>0</v>
      </c>
    </row>
    <row r="191" customHeight="1" spans="2:11">
      <c r="B191" s="59">
        <v>184</v>
      </c>
      <c r="C191" s="60" t="str">
        <f>IF('基础-办公用品信息'!C186="","-",'基础-办公用品信息'!C186)</f>
        <v>砍骨刀</v>
      </c>
      <c r="D191" s="60"/>
      <c r="E191" s="60" t="str">
        <f>IF('基础-办公用品信息'!D186="","-",'基础-办公用品信息'!D186)</f>
        <v>个</v>
      </c>
      <c r="F191" s="60"/>
      <c r="G191" s="60" t="str">
        <f>IF('基础-办公用品信息'!E186="","-",'基础-办公用品信息'!E186)</f>
        <v>-</v>
      </c>
      <c r="H191" s="60"/>
      <c r="I191" s="99">
        <f>SUMIFS('领用录入（明细）'!I:I,'领用录入（明细）'!E:E,$D$4,'领用录入（明细）'!C:C,"&gt;="&amp;$H$4,'领用录入（明细）'!C:C,"&lt;="&amp;$J$4,'领用录入（明细）'!F:F,C191)</f>
        <v>0</v>
      </c>
      <c r="J191" s="60">
        <f>IFERROR(VLOOKUP(C191,'基础-办公用品信息'!$C:$G,4,0),"")</f>
        <v>0</v>
      </c>
      <c r="K191" s="60">
        <f>SUMIFS('领用录入（明细）'!K:K,'领用录入（明细）'!E:E,$D$4,'领用录入（明细）'!C:C,"&gt;="&amp;$H$4,'领用录入（明细）'!C:C,"&lt;="&amp;$J$4,'领用录入（明细）'!F:F,C191)</f>
        <v>0</v>
      </c>
    </row>
    <row r="192" customHeight="1" spans="2:11">
      <c r="B192" s="59">
        <v>185</v>
      </c>
      <c r="C192" s="60" t="str">
        <f>IF('基础-办公用品信息'!C187="","-",'基础-办公用品信息'!C187)</f>
        <v>高档汤勺</v>
      </c>
      <c r="D192" s="60"/>
      <c r="E192" s="60" t="str">
        <f>IF('基础-办公用品信息'!D187="","-",'基础-办公用品信息'!D187)</f>
        <v>个</v>
      </c>
      <c r="F192" s="60"/>
      <c r="G192" s="60" t="str">
        <f>IF('基础-办公用品信息'!E187="","-",'基础-办公用品信息'!E187)</f>
        <v>-</v>
      </c>
      <c r="H192" s="60"/>
      <c r="I192" s="99">
        <f>SUMIFS('领用录入（明细）'!I:I,'领用录入（明细）'!E:E,$D$4,'领用录入（明细）'!C:C,"&gt;="&amp;$H$4,'领用录入（明细）'!C:C,"&lt;="&amp;$J$4,'领用录入（明细）'!F:F,C192)</f>
        <v>0</v>
      </c>
      <c r="J192" s="60">
        <f>IFERROR(VLOOKUP(C192,'基础-办公用品信息'!$C:$G,4,0),"")</f>
        <v>0</v>
      </c>
      <c r="K192" s="60">
        <f>SUMIFS('领用录入（明细）'!K:K,'领用录入（明细）'!E:E,$D$4,'领用录入（明细）'!C:C,"&gt;="&amp;$H$4,'领用录入（明细）'!C:C,"&lt;="&amp;$J$4,'领用录入（明细）'!F:F,C192)</f>
        <v>0</v>
      </c>
    </row>
    <row r="193" customHeight="1" spans="2:11">
      <c r="B193" s="59">
        <v>186</v>
      </c>
      <c r="C193" s="60" t="str">
        <f>IF('基础-办公用品信息'!C188="","-",'基础-办公用品信息'!C188)</f>
        <v>擀面杖</v>
      </c>
      <c r="D193" s="60"/>
      <c r="E193" s="60" t="str">
        <f>IF('基础-办公用品信息'!D188="","-",'基础-办公用品信息'!D188)</f>
        <v>个</v>
      </c>
      <c r="F193" s="60"/>
      <c r="G193" s="60" t="str">
        <f>IF('基础-办公用品信息'!E188="","-",'基础-办公用品信息'!E188)</f>
        <v>-</v>
      </c>
      <c r="H193" s="60"/>
      <c r="I193" s="99">
        <f>SUMIFS('领用录入（明细）'!I:I,'领用录入（明细）'!E:E,$D$4,'领用录入（明细）'!C:C,"&gt;="&amp;$H$4,'领用录入（明细）'!C:C,"&lt;="&amp;$J$4,'领用录入（明细）'!F:F,C193)</f>
        <v>0</v>
      </c>
      <c r="J193" s="60">
        <f>IFERROR(VLOOKUP(C193,'基础-办公用品信息'!$C:$G,4,0),"")</f>
        <v>0</v>
      </c>
      <c r="K193" s="60">
        <f>SUMIFS('领用录入（明细）'!K:K,'领用录入（明细）'!E:E,$D$4,'领用录入（明细）'!C:C,"&gt;="&amp;$H$4,'领用录入（明细）'!C:C,"&lt;="&amp;$J$4,'领用录入（明细）'!F:F,C193)</f>
        <v>0</v>
      </c>
    </row>
    <row r="194" customHeight="1" spans="2:11">
      <c r="B194" s="59">
        <v>187</v>
      </c>
      <c r="C194" s="60" t="str">
        <f>IF('基础-办公用品信息'!C189="","-",'基础-办公用品信息'!C189)</f>
        <v>大号不锈钢网格篮</v>
      </c>
      <c r="D194" s="60"/>
      <c r="E194" s="60" t="str">
        <f>IF('基础-办公用品信息'!D189="","-",'基础-办公用品信息'!D189)</f>
        <v>个</v>
      </c>
      <c r="F194" s="60"/>
      <c r="G194" s="60" t="str">
        <f>IF('基础-办公用品信息'!E189="","-",'基础-办公用品信息'!E189)</f>
        <v>-</v>
      </c>
      <c r="H194" s="60"/>
      <c r="I194" s="99">
        <f>SUMIFS('领用录入（明细）'!I:I,'领用录入（明细）'!E:E,$D$4,'领用录入（明细）'!C:C,"&gt;="&amp;$H$4,'领用录入（明细）'!C:C,"&lt;="&amp;$J$4,'领用录入（明细）'!F:F,C194)</f>
        <v>0</v>
      </c>
      <c r="J194" s="60">
        <f>IFERROR(VLOOKUP(C194,'基础-办公用品信息'!$C:$G,4,0),"")</f>
        <v>0</v>
      </c>
      <c r="K194" s="60">
        <f>SUMIFS('领用录入（明细）'!K:K,'领用录入（明细）'!E:E,$D$4,'领用录入（明细）'!C:C,"&gt;="&amp;$H$4,'领用录入（明细）'!C:C,"&lt;="&amp;$J$4,'领用录入（明细）'!F:F,C194)</f>
        <v>0</v>
      </c>
    </row>
    <row r="195" customHeight="1" spans="2:11">
      <c r="B195" s="59">
        <v>188</v>
      </c>
      <c r="C195" s="60" t="str">
        <f>IF('基础-办公用品信息'!C190="","-",'基础-办公用品信息'!C190)</f>
        <v>中号不锈钢网格篮</v>
      </c>
      <c r="D195" s="60"/>
      <c r="E195" s="60" t="str">
        <f>IF('基础-办公用品信息'!D190="","-",'基础-办公用品信息'!D190)</f>
        <v>个</v>
      </c>
      <c r="F195" s="60"/>
      <c r="G195" s="60" t="str">
        <f>IF('基础-办公用品信息'!E190="","-",'基础-办公用品信息'!E190)</f>
        <v>-</v>
      </c>
      <c r="H195" s="60"/>
      <c r="I195" s="99">
        <f>SUMIFS('领用录入（明细）'!I:I,'领用录入（明细）'!E:E,$D$4,'领用录入（明细）'!C:C,"&gt;="&amp;$H$4,'领用录入（明细）'!C:C,"&lt;="&amp;$J$4,'领用录入（明细）'!F:F,C195)</f>
        <v>0</v>
      </c>
      <c r="J195" s="60">
        <f>IFERROR(VLOOKUP(C195,'基础-办公用品信息'!$C:$G,4,0),"")</f>
        <v>0</v>
      </c>
      <c r="K195" s="60">
        <f>SUMIFS('领用录入（明细）'!K:K,'领用录入（明细）'!E:E,$D$4,'领用录入（明细）'!C:C,"&gt;="&amp;$H$4,'领用录入（明细）'!C:C,"&lt;="&amp;$J$4,'领用录入（明细）'!F:F,C195)</f>
        <v>0</v>
      </c>
    </row>
    <row r="196" customHeight="1" spans="2:11">
      <c r="B196" s="59">
        <v>189</v>
      </c>
      <c r="C196" s="60" t="str">
        <f>IF('基础-办公用品信息'!C191="","-",'基础-办公用品信息'!C191)</f>
        <v>304不锈钢份数盒</v>
      </c>
      <c r="D196" s="60"/>
      <c r="E196" s="60" t="str">
        <f>IF('基础-办公用品信息'!D191="","-",'基础-办公用品信息'!D191)</f>
        <v>个</v>
      </c>
      <c r="F196" s="60"/>
      <c r="G196" s="60" t="str">
        <f>IF('基础-办公用品信息'!E191="","-",'基础-办公用品信息'!E191)</f>
        <v>-</v>
      </c>
      <c r="H196" s="60"/>
      <c r="I196" s="99">
        <f>SUMIFS('领用录入（明细）'!I:I,'领用录入（明细）'!E:E,$D$4,'领用录入（明细）'!C:C,"&gt;="&amp;$H$4,'领用录入（明细）'!C:C,"&lt;="&amp;$J$4,'领用录入（明细）'!F:F,C196)</f>
        <v>0</v>
      </c>
      <c r="J196" s="60">
        <f>IFERROR(VLOOKUP(C196,'基础-办公用品信息'!$C:$G,4,0),"")</f>
        <v>0</v>
      </c>
      <c r="K196" s="60">
        <f>SUMIFS('领用录入（明细）'!K:K,'领用录入（明细）'!E:E,$D$4,'领用录入（明细）'!C:C,"&gt;="&amp;$H$4,'领用录入（明细）'!C:C,"&lt;="&amp;$J$4,'领用录入（明细）'!F:F,C196)</f>
        <v>0</v>
      </c>
    </row>
    <row r="197" customHeight="1" spans="2:11">
      <c r="B197" s="59">
        <v>190</v>
      </c>
      <c r="C197" s="60" t="str">
        <f>IF('基础-办公用品信息'!C192="","-",'基础-办公用品信息'!C192)</f>
        <v>304不锈钢份数盒盖</v>
      </c>
      <c r="D197" s="60"/>
      <c r="E197" s="60" t="str">
        <f>IF('基础-办公用品信息'!D192="","-",'基础-办公用品信息'!D192)</f>
        <v>个</v>
      </c>
      <c r="F197" s="60"/>
      <c r="G197" s="60" t="str">
        <f>IF('基础-办公用品信息'!E192="","-",'基础-办公用品信息'!E192)</f>
        <v>-</v>
      </c>
      <c r="H197" s="60"/>
      <c r="I197" s="99">
        <f>SUMIFS('领用录入（明细）'!I:I,'领用录入（明细）'!E:E,$D$4,'领用录入（明细）'!C:C,"&gt;="&amp;$H$4,'领用录入（明细）'!C:C,"&lt;="&amp;$J$4,'领用录入（明细）'!F:F,C197)</f>
        <v>0</v>
      </c>
      <c r="J197" s="60">
        <f>IFERROR(VLOOKUP(C197,'基础-办公用品信息'!$C:$G,4,0),"")</f>
        <v>0</v>
      </c>
      <c r="K197" s="60">
        <f>SUMIFS('领用录入（明细）'!K:K,'领用录入（明细）'!E:E,$D$4,'领用录入（明细）'!C:C,"&gt;="&amp;$H$4,'领用录入（明细）'!C:C,"&lt;="&amp;$J$4,'领用录入（明细）'!F:F,C197)</f>
        <v>0</v>
      </c>
    </row>
    <row r="198" customHeight="1" spans="2:11">
      <c r="B198" s="59">
        <v>191</v>
      </c>
      <c r="C198" s="60" t="str">
        <f>IF('基础-办公用品信息'!C193="","-",'基础-办公用品信息'!C193)</f>
        <v>格来德烧水壶</v>
      </c>
      <c r="D198" s="60"/>
      <c r="E198" s="60" t="str">
        <f>IF('基础-办公用品信息'!D193="","-",'基础-办公用品信息'!D193)</f>
        <v>个</v>
      </c>
      <c r="F198" s="60"/>
      <c r="G198" s="60" t="str">
        <f>IF('基础-办公用品信息'!E193="","-",'基础-办公用品信息'!E193)</f>
        <v>-</v>
      </c>
      <c r="H198" s="60"/>
      <c r="I198" s="99">
        <f>SUMIFS('领用录入（明细）'!I:I,'领用录入（明细）'!E:E,$D$4,'领用录入（明细）'!C:C,"&gt;="&amp;$H$4,'领用录入（明细）'!C:C,"&lt;="&amp;$J$4,'领用录入（明细）'!F:F,C198)</f>
        <v>0</v>
      </c>
      <c r="J198" s="60">
        <f>IFERROR(VLOOKUP(C198,'基础-办公用品信息'!$C:$G,4,0),"")</f>
        <v>0</v>
      </c>
      <c r="K198" s="60">
        <f>SUMIFS('领用录入（明细）'!K:K,'领用录入（明细）'!E:E,$D$4,'领用录入（明细）'!C:C,"&gt;="&amp;$H$4,'领用录入（明细）'!C:C,"&lt;="&amp;$J$4,'领用录入（明细）'!F:F,C198)</f>
        <v>0</v>
      </c>
    </row>
    <row r="199" customHeight="1" spans="2:11">
      <c r="B199" s="59">
        <v>192</v>
      </c>
      <c r="C199" s="60" t="str">
        <f>IF('基础-办公用品信息'!C194="","-",'基础-办公用品信息'!C194)</f>
        <v>304欧式保温壶</v>
      </c>
      <c r="D199" s="60"/>
      <c r="E199" s="60" t="str">
        <f>IF('基础-办公用品信息'!D194="","-",'基础-办公用品信息'!D194)</f>
        <v>个</v>
      </c>
      <c r="F199" s="60"/>
      <c r="G199" s="60" t="str">
        <f>IF('基础-办公用品信息'!E194="","-",'基础-办公用品信息'!E194)</f>
        <v>-</v>
      </c>
      <c r="H199" s="60"/>
      <c r="I199" s="99">
        <f>SUMIFS('领用录入（明细）'!I:I,'领用录入（明细）'!E:E,$D$4,'领用录入（明细）'!C:C,"&gt;="&amp;$H$4,'领用录入（明细）'!C:C,"&lt;="&amp;$J$4,'领用录入（明细）'!F:F,C199)</f>
        <v>0</v>
      </c>
      <c r="J199" s="60">
        <f>IFERROR(VLOOKUP(C199,'基础-办公用品信息'!$C:$G,4,0),"")</f>
        <v>0</v>
      </c>
      <c r="K199" s="60">
        <f>SUMIFS('领用录入（明细）'!K:K,'领用录入（明细）'!E:E,$D$4,'领用录入（明细）'!C:C,"&gt;="&amp;$H$4,'领用录入（明细）'!C:C,"&lt;="&amp;$J$4,'领用录入（明细）'!F:F,C199)</f>
        <v>0</v>
      </c>
    </row>
    <row r="200" customHeight="1" spans="2:11">
      <c r="B200" s="59">
        <v>193</v>
      </c>
      <c r="C200" s="60" t="str">
        <f>IF('基础-办公用品信息'!C195="","-",'基础-办公用品信息'!C195)</f>
        <v>高压锅橡皮圈</v>
      </c>
      <c r="D200" s="60"/>
      <c r="E200" s="60" t="str">
        <f>IF('基础-办公用品信息'!D195="","-",'基础-办公用品信息'!D195)</f>
        <v>个</v>
      </c>
      <c r="F200" s="60"/>
      <c r="G200" s="60" t="str">
        <f>IF('基础-办公用品信息'!E195="","-",'基础-办公用品信息'!E195)</f>
        <v>-</v>
      </c>
      <c r="H200" s="60"/>
      <c r="I200" s="99">
        <f>SUMIFS('领用录入（明细）'!I:I,'领用录入（明细）'!E:E,$D$4,'领用录入（明细）'!C:C,"&gt;="&amp;$H$4,'领用录入（明细）'!C:C,"&lt;="&amp;$J$4,'领用录入（明细）'!F:F,C200)</f>
        <v>0</v>
      </c>
      <c r="J200" s="60">
        <f>IFERROR(VLOOKUP(C200,'基础-办公用品信息'!$C:$G,4,0),"")</f>
        <v>0</v>
      </c>
      <c r="K200" s="60">
        <f>SUMIFS('领用录入（明细）'!K:K,'领用录入（明细）'!E:E,$D$4,'领用录入（明细）'!C:C,"&gt;="&amp;$H$4,'领用录入（明细）'!C:C,"&lt;="&amp;$J$4,'领用录入（明细）'!F:F,C200)</f>
        <v>0</v>
      </c>
    </row>
    <row r="201" customHeight="1" spans="2:11">
      <c r="B201" s="59">
        <v>194</v>
      </c>
      <c r="C201" s="60" t="str">
        <f>IF('基础-办公用品信息'!C196="","-",'基础-办公用品信息'!C196)</f>
        <v>高压锅橡皮圈</v>
      </c>
      <c r="D201" s="60"/>
      <c r="E201" s="60" t="str">
        <f>IF('基础-办公用品信息'!D196="","-",'基础-办公用品信息'!D196)</f>
        <v>个</v>
      </c>
      <c r="F201" s="60"/>
      <c r="G201" s="60" t="str">
        <f>IF('基础-办公用品信息'!E196="","-",'基础-办公用品信息'!E196)</f>
        <v>-</v>
      </c>
      <c r="H201" s="60"/>
      <c r="I201" s="99">
        <f>SUMIFS('领用录入（明细）'!I:I,'领用录入（明细）'!E:E,$D$4,'领用录入（明细）'!C:C,"&gt;="&amp;$H$4,'领用录入（明细）'!C:C,"&lt;="&amp;$J$4,'领用录入（明细）'!F:F,C201)</f>
        <v>0</v>
      </c>
      <c r="J201" s="60">
        <f>IFERROR(VLOOKUP(C201,'基础-办公用品信息'!$C:$G,4,0),"")</f>
        <v>0</v>
      </c>
      <c r="K201" s="60">
        <f>SUMIFS('领用录入（明细）'!K:K,'领用录入（明细）'!E:E,$D$4,'领用录入（明细）'!C:C,"&gt;="&amp;$H$4,'领用录入（明细）'!C:C,"&lt;="&amp;$J$4,'领用录入（明细）'!F:F,C201)</f>
        <v>0</v>
      </c>
    </row>
    <row r="202" customHeight="1" spans="2:11">
      <c r="B202" s="59">
        <v>195</v>
      </c>
      <c r="C202" s="60" t="str">
        <f>IF('基础-办公用品信息'!C197="","-",'基础-办公用品信息'!C197)</f>
        <v>高压锅排气阀</v>
      </c>
      <c r="D202" s="60"/>
      <c r="E202" s="60" t="str">
        <f>IF('基础-办公用品信息'!D197="","-",'基础-办公用品信息'!D197)</f>
        <v>个</v>
      </c>
      <c r="F202" s="60"/>
      <c r="G202" s="60" t="str">
        <f>IF('基础-办公用品信息'!E197="","-",'基础-办公用品信息'!E197)</f>
        <v>-</v>
      </c>
      <c r="H202" s="60"/>
      <c r="I202" s="99">
        <f>SUMIFS('领用录入（明细）'!I:I,'领用录入（明细）'!E:E,$D$4,'领用录入（明细）'!C:C,"&gt;="&amp;$H$4,'领用录入（明细）'!C:C,"&lt;="&amp;$J$4,'领用录入（明细）'!F:F,C202)</f>
        <v>0</v>
      </c>
      <c r="J202" s="60">
        <f>IFERROR(VLOOKUP(C202,'基础-办公用品信息'!$C:$G,4,0),"")</f>
        <v>0</v>
      </c>
      <c r="K202" s="60">
        <f>SUMIFS('领用录入（明细）'!K:K,'领用录入（明细）'!E:E,$D$4,'领用录入（明细）'!C:C,"&gt;="&amp;$H$4,'领用录入（明细）'!C:C,"&lt;="&amp;$J$4,'领用录入（明细）'!F:F,C202)</f>
        <v>0</v>
      </c>
    </row>
    <row r="203" customHeight="1" spans="2:11">
      <c r="B203" s="59">
        <v>196</v>
      </c>
      <c r="C203" s="60" t="str">
        <f>IF('基础-办公用品信息'!C198="","-",'基础-办公用品信息'!C198)</f>
        <v>不锈钢方形冲孔盘</v>
      </c>
      <c r="D203" s="60"/>
      <c r="E203" s="60" t="str">
        <f>IF('基础-办公用品信息'!D198="","-",'基础-办公用品信息'!D198)</f>
        <v>个</v>
      </c>
      <c r="F203" s="60"/>
      <c r="G203" s="60" t="str">
        <f>IF('基础-办公用品信息'!E198="","-",'基础-办公用品信息'!E198)</f>
        <v>-</v>
      </c>
      <c r="H203" s="60"/>
      <c r="I203" s="99">
        <f>SUMIFS('领用录入（明细）'!I:I,'领用录入（明细）'!E:E,$D$4,'领用录入（明细）'!C:C,"&gt;="&amp;$H$4,'领用录入（明细）'!C:C,"&lt;="&amp;$J$4,'领用录入（明细）'!F:F,C203)</f>
        <v>0</v>
      </c>
      <c r="J203" s="60">
        <f>IFERROR(VLOOKUP(C203,'基础-办公用品信息'!$C:$G,4,0),"")</f>
        <v>0</v>
      </c>
      <c r="K203" s="60">
        <f>SUMIFS('领用录入（明细）'!K:K,'领用录入（明细）'!E:E,$D$4,'领用录入（明细）'!C:C,"&gt;="&amp;$H$4,'领用录入（明细）'!C:C,"&lt;="&amp;$J$4,'领用录入（明细）'!F:F,C203)</f>
        <v>0</v>
      </c>
    </row>
    <row r="204" customHeight="1" spans="2:11">
      <c r="B204" s="59">
        <v>197</v>
      </c>
      <c r="C204" s="60" t="str">
        <f>IF('基础-办公用品信息'!C199="","-",'基础-办公用品信息'!C199)</f>
        <v>白色塑料切菜板</v>
      </c>
      <c r="D204" s="60"/>
      <c r="E204" s="60" t="str">
        <f>IF('基础-办公用品信息'!D199="","-",'基础-办公用品信息'!D199)</f>
        <v>个</v>
      </c>
      <c r="F204" s="60"/>
      <c r="G204" s="60" t="str">
        <f>IF('基础-办公用品信息'!E199="","-",'基础-办公用品信息'!E199)</f>
        <v>-</v>
      </c>
      <c r="H204" s="60"/>
      <c r="I204" s="99">
        <f>SUMIFS('领用录入（明细）'!I:I,'领用录入（明细）'!E:E,$D$4,'领用录入（明细）'!C:C,"&gt;="&amp;$H$4,'领用录入（明细）'!C:C,"&lt;="&amp;$J$4,'领用录入（明细）'!F:F,C204)</f>
        <v>0</v>
      </c>
      <c r="J204" s="60">
        <f>IFERROR(VLOOKUP(C204,'基础-办公用品信息'!$C:$G,4,0),"")</f>
        <v>0</v>
      </c>
      <c r="K204" s="60">
        <f>SUMIFS('领用录入（明细）'!K:K,'领用录入（明细）'!E:E,$D$4,'领用录入（明细）'!C:C,"&gt;="&amp;$H$4,'领用录入（明细）'!C:C,"&lt;="&amp;$J$4,'领用录入（明细）'!F:F,C204)</f>
        <v>0</v>
      </c>
    </row>
    <row r="205" customHeight="1" spans="2:11">
      <c r="B205" s="59">
        <v>198</v>
      </c>
      <c r="C205" s="60" t="str">
        <f>IF('基础-办公用品信息'!C200="","-",'基础-办公用品信息'!C200)</f>
        <v>不锈钢打水桶</v>
      </c>
      <c r="D205" s="60"/>
      <c r="E205" s="60" t="str">
        <f>IF('基础-办公用品信息'!D200="","-",'基础-办公用品信息'!D200)</f>
        <v>个</v>
      </c>
      <c r="F205" s="60"/>
      <c r="G205" s="60" t="str">
        <f>IF('基础-办公用品信息'!E200="","-",'基础-办公用品信息'!E200)</f>
        <v>-</v>
      </c>
      <c r="H205" s="60"/>
      <c r="I205" s="99">
        <f>SUMIFS('领用录入（明细）'!I:I,'领用录入（明细）'!E:E,$D$4,'领用录入（明细）'!C:C,"&gt;="&amp;$H$4,'领用录入（明细）'!C:C,"&lt;="&amp;$J$4,'领用录入（明细）'!F:F,C205)</f>
        <v>0</v>
      </c>
      <c r="J205" s="60">
        <f>IFERROR(VLOOKUP(C205,'基础-办公用品信息'!$C:$G,4,0),"")</f>
        <v>0</v>
      </c>
      <c r="K205" s="60">
        <f>SUMIFS('领用录入（明细）'!K:K,'领用录入（明细）'!E:E,$D$4,'领用录入（明细）'!C:C,"&gt;="&amp;$H$4,'领用录入（明细）'!C:C,"&lt;="&amp;$J$4,'领用录入（明细）'!F:F,C205)</f>
        <v>0</v>
      </c>
    </row>
    <row r="206" customHeight="1" spans="2:11">
      <c r="B206" s="59">
        <v>199</v>
      </c>
      <c r="C206" s="60" t="str">
        <f>IF('基础-办公用品信息'!C201="","-",'基础-办公用品信息'!C201)</f>
        <v>白色圆桶</v>
      </c>
      <c r="D206" s="60"/>
      <c r="E206" s="60" t="str">
        <f>IF('基础-办公用品信息'!D201="","-",'基础-办公用品信息'!D201)</f>
        <v>个</v>
      </c>
      <c r="F206" s="60"/>
      <c r="G206" s="60" t="str">
        <f>IF('基础-办公用品信息'!E201="","-",'基础-办公用品信息'!E201)</f>
        <v>-</v>
      </c>
      <c r="H206" s="60"/>
      <c r="I206" s="99">
        <f>SUMIFS('领用录入（明细）'!I:I,'领用录入（明细）'!E:E,$D$4,'领用录入（明细）'!C:C,"&gt;="&amp;$H$4,'领用录入（明细）'!C:C,"&lt;="&amp;$J$4,'领用录入（明细）'!F:F,C206)</f>
        <v>0</v>
      </c>
      <c r="J206" s="60">
        <f>IFERROR(VLOOKUP(C206,'基础-办公用品信息'!$C:$G,4,0),"")</f>
        <v>0</v>
      </c>
      <c r="K206" s="60">
        <f>SUMIFS('领用录入（明细）'!K:K,'领用录入（明细）'!E:E,$D$4,'领用录入（明细）'!C:C,"&gt;="&amp;$H$4,'领用录入（明细）'!C:C,"&lt;="&amp;$J$4,'领用录入（明细）'!F:F,C206)</f>
        <v>0</v>
      </c>
    </row>
    <row r="207" customHeight="1" spans="2:11">
      <c r="B207" s="59">
        <v>200</v>
      </c>
      <c r="C207" s="60" t="str">
        <f>IF('基础-办公用品信息'!C202="","-",'基础-办公用品信息'!C202)</f>
        <v>白色圆桶</v>
      </c>
      <c r="D207" s="60"/>
      <c r="E207" s="60" t="str">
        <f>IF('基础-办公用品信息'!D202="","-",'基础-办公用品信息'!D202)</f>
        <v>个</v>
      </c>
      <c r="F207" s="60"/>
      <c r="G207" s="60" t="str">
        <f>IF('基础-办公用品信息'!E202="","-",'基础-办公用品信息'!E202)</f>
        <v>-</v>
      </c>
      <c r="H207" s="60"/>
      <c r="I207" s="99">
        <f>SUMIFS('领用录入（明细）'!I:I,'领用录入（明细）'!E:E,$D$4,'领用录入（明细）'!C:C,"&gt;="&amp;$H$4,'领用录入（明细）'!C:C,"&lt;="&amp;$J$4,'领用录入（明细）'!F:F,C207)</f>
        <v>0</v>
      </c>
      <c r="J207" s="60">
        <f>IFERROR(VLOOKUP(C207,'基础-办公用品信息'!$C:$G,4,0),"")</f>
        <v>0</v>
      </c>
      <c r="K207" s="60">
        <f>SUMIFS('领用录入（明细）'!K:K,'领用录入（明细）'!E:E,$D$4,'领用录入（明细）'!C:C,"&gt;="&amp;$H$4,'领用录入（明细）'!C:C,"&lt;="&amp;$J$4,'领用录入（明细）'!F:F,C207)</f>
        <v>0</v>
      </c>
    </row>
    <row r="208" customHeight="1" spans="2:11">
      <c r="C208" s="60" t="str">
        <f>IF('基础-办公用品信息'!C203="","-",'基础-办公用品信息'!C203)</f>
        <v>地面刮水器</v>
      </c>
      <c r="D208" s="60"/>
      <c r="E208" s="60" t="str">
        <f>IF('基础-办公用品信息'!D203="","-",'基础-办公用品信息'!D203)</f>
        <v>个</v>
      </c>
      <c r="F208" s="60"/>
      <c r="G208" s="60" t="str">
        <f>IF('基础-办公用品信息'!E203="","-",'基础-办公用品信息'!E203)</f>
        <v>-</v>
      </c>
      <c r="H208" s="60"/>
    </row>
    <row r="209" customHeight="1" spans="3:8">
      <c r="C209" s="60" t="str">
        <f>IF('基础-办公用品信息'!C193="","-",'基础-办公用品信息'!C193)</f>
        <v>格来德烧水壶</v>
      </c>
      <c r="D209" s="60"/>
      <c r="E209" s="60" t="str">
        <f>IF('基础-办公用品信息'!D204="","-",'基础-办公用品信息'!D204)</f>
        <v>个</v>
      </c>
      <c r="F209" s="60"/>
      <c r="G209" s="60" t="str">
        <f>IF('基础-办公用品信息'!E204="","-",'基础-办公用品信息'!E204)</f>
        <v>-</v>
      </c>
      <c r="H209" s="60"/>
    </row>
    <row r="210" customHeight="1" spans="3:8">
      <c r="C210" s="60" t="str">
        <f>IF('基础-办公用品信息'!C194="","-",'基础-办公用品信息'!C194)</f>
        <v>304欧式保温壶</v>
      </c>
      <c r="D210" s="60"/>
      <c r="E210" s="60" t="str">
        <f>IF('基础-办公用品信息'!D205="","-",'基础-办公用品信息'!D205)</f>
        <v>个</v>
      </c>
      <c r="F210" s="60"/>
      <c r="G210" s="60" t="str">
        <f>IF('基础-办公用品信息'!E205="","-",'基础-办公用品信息'!E205)</f>
        <v>-</v>
      </c>
      <c r="H210" s="60"/>
    </row>
    <row r="211" customHeight="1" spans="3:8">
      <c r="C211" s="60" t="str">
        <f>IF('基础-办公用品信息'!C195="","-",'基础-办公用品信息'!C195)</f>
        <v>高压锅橡皮圈</v>
      </c>
      <c r="D211" s="60"/>
      <c r="E211" s="60" t="str">
        <f>IF('基础-办公用品信息'!D206="","-",'基础-办公用品信息'!D206)</f>
        <v>个</v>
      </c>
      <c r="F211" s="60"/>
      <c r="G211" s="60" t="str">
        <f>IF('基础-办公用品信息'!E206="","-",'基础-办公用品信息'!E206)</f>
        <v>-</v>
      </c>
      <c r="H211" s="60"/>
    </row>
    <row r="212" customHeight="1" spans="3:8">
      <c r="C212" s="60" t="str">
        <f>IF('基础-办公用品信息'!C196="","-",'基础-办公用品信息'!C196)</f>
        <v>高压锅橡皮圈</v>
      </c>
      <c r="D212" s="60"/>
      <c r="E212" s="60" t="str">
        <f>IF('基础-办公用品信息'!D207="","-",'基础-办公用品信息'!D207)</f>
        <v>个</v>
      </c>
      <c r="F212" s="60"/>
      <c r="G212" s="60" t="str">
        <f>IF('基础-办公用品信息'!E207="","-",'基础-办公用品信息'!E207)</f>
        <v>-</v>
      </c>
      <c r="H212" s="60"/>
    </row>
    <row r="213" customHeight="1" spans="3:8">
      <c r="C213" s="60" t="str">
        <f>IF('基础-办公用品信息'!C197="","-",'基础-办公用品信息'!C197)</f>
        <v>高压锅排气阀</v>
      </c>
      <c r="D213" s="60"/>
      <c r="E213" s="60" t="str">
        <f>IF('基础-办公用品信息'!D208="","-",'基础-办公用品信息'!D208)</f>
        <v>个</v>
      </c>
      <c r="F213" s="60"/>
      <c r="G213" s="60" t="str">
        <f>IF('基础-办公用品信息'!E208="","-",'基础-办公用品信息'!E208)</f>
        <v>-</v>
      </c>
      <c r="H213" s="60"/>
    </row>
    <row r="214" customHeight="1" spans="3:8">
      <c r="C214" s="60" t="str">
        <f>IF('基础-办公用品信息'!C198="","-",'基础-办公用品信息'!C198)</f>
        <v>不锈钢方形冲孔盘</v>
      </c>
      <c r="D214" s="60"/>
      <c r="E214" s="60" t="str">
        <f>IF('基础-办公用品信息'!D209="","-",'基础-办公用品信息'!D209)</f>
        <v>个</v>
      </c>
      <c r="F214" s="60"/>
      <c r="G214" s="60" t="str">
        <f>IF('基础-办公用品信息'!E209="","-",'基础-办公用品信息'!E209)</f>
        <v>-</v>
      </c>
      <c r="H214" s="60"/>
    </row>
    <row r="215" customHeight="1" spans="3:8">
      <c r="E215" s="60" t="str">
        <f>IF('基础-办公用品信息'!D210="","-",'基础-办公用品信息'!D210)</f>
        <v>个</v>
      </c>
      <c r="F215" s="60"/>
      <c r="G215" s="60" t="str">
        <f>IF('基础-办公用品信息'!E210="","-",'基础-办公用品信息'!E210)</f>
        <v>-</v>
      </c>
      <c r="H215" s="60"/>
    </row>
    <row r="216" customHeight="1" spans="3:8">
      <c r="E216" s="60" t="str">
        <f>IF('基础-办公用品信息'!D211="","-",'基础-办公用品信息'!D211)</f>
        <v>个</v>
      </c>
      <c r="F216" s="60"/>
      <c r="G216" s="60" t="str">
        <f>IF('基础-办公用品信息'!E211="","-",'基础-办公用品信息'!E211)</f>
        <v>-</v>
      </c>
      <c r="H216" s="60"/>
    </row>
    <row r="217" customHeight="1" spans="3:8">
      <c r="G217" s="60" t="str">
        <f>IF('基础-办公用品信息'!E212="","-",'基础-办公用品信息'!E212)</f>
        <v>-</v>
      </c>
      <c r="H217" s="60"/>
    </row>
    <row r="218" customHeight="1" spans="3:8">
      <c r="G218" s="60" t="str">
        <f>IF('基础-办公用品信息'!E213="","-",'基础-办公用品信息'!E213)</f>
        <v>-</v>
      </c>
      <c r="H218" s="60"/>
    </row>
    <row r="219" customHeight="1" spans="3:8">
      <c r="G219" s="60" t="str">
        <f>IF('基础-办公用品信息'!E214="","-",'基础-办公用品信息'!E214)</f>
        <v>-</v>
      </c>
      <c r="H219" s="60"/>
    </row>
    <row r="220" customHeight="1" spans="3:8">
      <c r="G220" s="60" t="str">
        <f>IF('基础-办公用品信息'!E215="","-",'基础-办公用品信息'!E215)</f>
        <v>-</v>
      </c>
      <c r="H220" s="60"/>
    </row>
    <row r="221" customHeight="1" spans="3:8">
      <c r="G221" s="60" t="str">
        <f>IF('基础-办公用品信息'!E216="","-",'基础-办公用品信息'!E216)</f>
        <v>-</v>
      </c>
      <c r="H221" s="60"/>
    </row>
    <row r="222" customHeight="1" spans="3:8">
      <c r="G222" s="60" t="str">
        <f>IF('基础-办公用品信息'!E217="","-",'基础-办公用品信息'!E217)</f>
        <v>-</v>
      </c>
      <c r="H222" s="60"/>
    </row>
    <row r="223" customHeight="1" spans="3:8">
      <c r="G223" s="60" t="str">
        <f>IF('基础-办公用品信息'!E218="","-",'基础-办公用品信息'!E218)</f>
        <v>-</v>
      </c>
      <c r="H223" s="60"/>
    </row>
    <row r="224" customHeight="1" spans="3:8">
      <c r="G224" s="60" t="str">
        <f>IF('基础-办公用品信息'!E219="","-",'基础-办公用品信息'!E219)</f>
        <v>-</v>
      </c>
      <c r="H224" s="60"/>
    </row>
    <row r="225" customHeight="1" spans="7:8">
      <c r="G225" s="60" t="str">
        <f>IF('基础-办公用品信息'!E220="","-",'基础-办公用品信息'!E220)</f>
        <v>-</v>
      </c>
      <c r="H225" s="60"/>
    </row>
    <row r="226" customHeight="1" spans="7:8">
      <c r="G226" s="60" t="str">
        <f>IF('基础-办公用品信息'!E221="","-",'基础-办公用品信息'!E221)</f>
        <v>-</v>
      </c>
      <c r="H226" s="60"/>
    </row>
    <row r="227" customHeight="1" spans="7:8">
      <c r="G227" s="60" t="str">
        <f>IF('基础-办公用品信息'!E222="","-",'基础-办公用品信息'!E222)</f>
        <v>-</v>
      </c>
      <c r="H227" s="60"/>
    </row>
  </sheetData>
  <mergeCells count="645">
    <mergeCell ref="B2:I2"/>
    <mergeCell ref="B4:C4"/>
    <mergeCell ref="F4:G4"/>
    <mergeCell ref="B6:K6"/>
    <mergeCell ref="C7:D7"/>
    <mergeCell ref="E7:F7"/>
    <mergeCell ref="G7:H7"/>
    <mergeCell ref="C8:D8"/>
    <mergeCell ref="E8:F8"/>
    <mergeCell ref="G8:H8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15:D15"/>
    <mergeCell ref="E15:F15"/>
    <mergeCell ref="G15:H15"/>
    <mergeCell ref="C16:D16"/>
    <mergeCell ref="E16:F16"/>
    <mergeCell ref="G16:H16"/>
    <mergeCell ref="C17:D17"/>
    <mergeCell ref="E17:F17"/>
    <mergeCell ref="G17:H17"/>
    <mergeCell ref="C18:D18"/>
    <mergeCell ref="E18:F18"/>
    <mergeCell ref="G18:H18"/>
    <mergeCell ref="C19:D19"/>
    <mergeCell ref="E19:F19"/>
    <mergeCell ref="G19:H19"/>
    <mergeCell ref="C20:D20"/>
    <mergeCell ref="E20:F20"/>
    <mergeCell ref="G20:H20"/>
    <mergeCell ref="C21:D21"/>
    <mergeCell ref="E21:F21"/>
    <mergeCell ref="G21:H21"/>
    <mergeCell ref="C22:D22"/>
    <mergeCell ref="E22:F22"/>
    <mergeCell ref="G22:H22"/>
    <mergeCell ref="C23:D23"/>
    <mergeCell ref="E23:F23"/>
    <mergeCell ref="G23:H23"/>
    <mergeCell ref="C24:D24"/>
    <mergeCell ref="E24:F24"/>
    <mergeCell ref="G24:H24"/>
    <mergeCell ref="C25:D25"/>
    <mergeCell ref="E25:F25"/>
    <mergeCell ref="G25:H25"/>
    <mergeCell ref="C26:D26"/>
    <mergeCell ref="E26:F26"/>
    <mergeCell ref="G26:H26"/>
    <mergeCell ref="C27:D27"/>
    <mergeCell ref="E27:F27"/>
    <mergeCell ref="G27:H27"/>
    <mergeCell ref="C28:D28"/>
    <mergeCell ref="E28:F28"/>
    <mergeCell ref="G28:H28"/>
    <mergeCell ref="C29:D29"/>
    <mergeCell ref="E29:F29"/>
    <mergeCell ref="G29:H29"/>
    <mergeCell ref="C30:D30"/>
    <mergeCell ref="E30:F30"/>
    <mergeCell ref="G30:H30"/>
    <mergeCell ref="C31:D31"/>
    <mergeCell ref="E31:F31"/>
    <mergeCell ref="G31:H31"/>
    <mergeCell ref="C32:D32"/>
    <mergeCell ref="E32:F32"/>
    <mergeCell ref="G32:H32"/>
    <mergeCell ref="C33:D33"/>
    <mergeCell ref="E33:F33"/>
    <mergeCell ref="G33:H33"/>
    <mergeCell ref="C34:D34"/>
    <mergeCell ref="E34:F34"/>
    <mergeCell ref="G34:H34"/>
    <mergeCell ref="C35:D35"/>
    <mergeCell ref="E35:F35"/>
    <mergeCell ref="G35:H35"/>
    <mergeCell ref="C36:D36"/>
    <mergeCell ref="E36:F36"/>
    <mergeCell ref="G36:H36"/>
    <mergeCell ref="C37:D37"/>
    <mergeCell ref="E37:F37"/>
    <mergeCell ref="G37:H37"/>
    <mergeCell ref="C38:D38"/>
    <mergeCell ref="E38:F38"/>
    <mergeCell ref="G38:H38"/>
    <mergeCell ref="C39:D39"/>
    <mergeCell ref="E39:F39"/>
    <mergeCell ref="G39:H39"/>
    <mergeCell ref="C40:D40"/>
    <mergeCell ref="E40:F40"/>
    <mergeCell ref="G40:H40"/>
    <mergeCell ref="C41:D41"/>
    <mergeCell ref="E41:F41"/>
    <mergeCell ref="G41:H41"/>
    <mergeCell ref="C42:D42"/>
    <mergeCell ref="E42:F42"/>
    <mergeCell ref="G42:H42"/>
    <mergeCell ref="C43:D43"/>
    <mergeCell ref="E43:F43"/>
    <mergeCell ref="G43:H43"/>
    <mergeCell ref="C44:D44"/>
    <mergeCell ref="E44:F44"/>
    <mergeCell ref="G44:H44"/>
    <mergeCell ref="C45:D45"/>
    <mergeCell ref="E45:F45"/>
    <mergeCell ref="G45:H45"/>
    <mergeCell ref="C46:D46"/>
    <mergeCell ref="E46:F46"/>
    <mergeCell ref="G46:H46"/>
    <mergeCell ref="C47:D47"/>
    <mergeCell ref="E47:F47"/>
    <mergeCell ref="G47:H47"/>
    <mergeCell ref="C48:D48"/>
    <mergeCell ref="E48:F48"/>
    <mergeCell ref="G48:H48"/>
    <mergeCell ref="C49:D49"/>
    <mergeCell ref="E49:F49"/>
    <mergeCell ref="G49:H49"/>
    <mergeCell ref="C50:D50"/>
    <mergeCell ref="E50:F50"/>
    <mergeCell ref="G50:H50"/>
    <mergeCell ref="C51:D51"/>
    <mergeCell ref="E51:F51"/>
    <mergeCell ref="G51:H51"/>
    <mergeCell ref="C52:D52"/>
    <mergeCell ref="E52:F52"/>
    <mergeCell ref="G52:H52"/>
    <mergeCell ref="C53:D53"/>
    <mergeCell ref="E53:F53"/>
    <mergeCell ref="G53:H53"/>
    <mergeCell ref="C54:D54"/>
    <mergeCell ref="E54:F54"/>
    <mergeCell ref="G54:H54"/>
    <mergeCell ref="C55:D55"/>
    <mergeCell ref="E55:F55"/>
    <mergeCell ref="G55:H55"/>
    <mergeCell ref="C56:D56"/>
    <mergeCell ref="E56:F56"/>
    <mergeCell ref="G56:H56"/>
    <mergeCell ref="C57:D57"/>
    <mergeCell ref="E57:F57"/>
    <mergeCell ref="G57:H57"/>
    <mergeCell ref="C58:D58"/>
    <mergeCell ref="E58:F58"/>
    <mergeCell ref="G58:H58"/>
    <mergeCell ref="C59:D59"/>
    <mergeCell ref="E59:F59"/>
    <mergeCell ref="G59:H59"/>
    <mergeCell ref="C60:D60"/>
    <mergeCell ref="E60:F60"/>
    <mergeCell ref="G60:H60"/>
    <mergeCell ref="C61:D61"/>
    <mergeCell ref="E61:F61"/>
    <mergeCell ref="G61:H61"/>
    <mergeCell ref="C62:D62"/>
    <mergeCell ref="E62:F62"/>
    <mergeCell ref="G62:H62"/>
    <mergeCell ref="C63:D63"/>
    <mergeCell ref="E63:F63"/>
    <mergeCell ref="G63:H63"/>
    <mergeCell ref="C64:D64"/>
    <mergeCell ref="E64:F64"/>
    <mergeCell ref="G64:H64"/>
    <mergeCell ref="C65:D65"/>
    <mergeCell ref="E65:F65"/>
    <mergeCell ref="G65:H65"/>
    <mergeCell ref="C66:D66"/>
    <mergeCell ref="E66:F66"/>
    <mergeCell ref="G66:H66"/>
    <mergeCell ref="C67:D67"/>
    <mergeCell ref="E67:F67"/>
    <mergeCell ref="G67:H67"/>
    <mergeCell ref="C68:D68"/>
    <mergeCell ref="E68:F68"/>
    <mergeCell ref="G68:H68"/>
    <mergeCell ref="C69:D69"/>
    <mergeCell ref="E69:F69"/>
    <mergeCell ref="G69:H69"/>
    <mergeCell ref="C70:D70"/>
    <mergeCell ref="E70:F70"/>
    <mergeCell ref="G70:H70"/>
    <mergeCell ref="C71:D71"/>
    <mergeCell ref="E71:F71"/>
    <mergeCell ref="G71:H71"/>
    <mergeCell ref="C72:D72"/>
    <mergeCell ref="E72:F72"/>
    <mergeCell ref="G72:H72"/>
    <mergeCell ref="C73:D73"/>
    <mergeCell ref="E73:F73"/>
    <mergeCell ref="G73:H73"/>
    <mergeCell ref="C74:D74"/>
    <mergeCell ref="E74:F74"/>
    <mergeCell ref="G74:H74"/>
    <mergeCell ref="C75:D75"/>
    <mergeCell ref="E75:F75"/>
    <mergeCell ref="G75:H75"/>
    <mergeCell ref="C76:D76"/>
    <mergeCell ref="E76:F76"/>
    <mergeCell ref="G76:H76"/>
    <mergeCell ref="C77:D77"/>
    <mergeCell ref="E77:F77"/>
    <mergeCell ref="G77:H77"/>
    <mergeCell ref="C78:D78"/>
    <mergeCell ref="E78:F78"/>
    <mergeCell ref="G78:H78"/>
    <mergeCell ref="C79:D79"/>
    <mergeCell ref="E79:F79"/>
    <mergeCell ref="G79:H79"/>
    <mergeCell ref="C80:D80"/>
    <mergeCell ref="E80:F80"/>
    <mergeCell ref="G80:H80"/>
    <mergeCell ref="C81:D81"/>
    <mergeCell ref="E81:F81"/>
    <mergeCell ref="G81:H81"/>
    <mergeCell ref="C82:D82"/>
    <mergeCell ref="E82:F82"/>
    <mergeCell ref="G82:H82"/>
    <mergeCell ref="C83:D83"/>
    <mergeCell ref="E83:F83"/>
    <mergeCell ref="G83:H83"/>
    <mergeCell ref="C84:D84"/>
    <mergeCell ref="E84:F84"/>
    <mergeCell ref="G84:H84"/>
    <mergeCell ref="C85:D85"/>
    <mergeCell ref="E85:F85"/>
    <mergeCell ref="G85:H85"/>
    <mergeCell ref="C86:D86"/>
    <mergeCell ref="E86:F86"/>
    <mergeCell ref="G86:H86"/>
    <mergeCell ref="C87:D87"/>
    <mergeCell ref="E87:F87"/>
    <mergeCell ref="G87:H87"/>
    <mergeCell ref="C88:D88"/>
    <mergeCell ref="E88:F88"/>
    <mergeCell ref="G88:H88"/>
    <mergeCell ref="C89:D89"/>
    <mergeCell ref="E89:F89"/>
    <mergeCell ref="G89:H89"/>
    <mergeCell ref="C90:D90"/>
    <mergeCell ref="E90:F90"/>
    <mergeCell ref="G90:H90"/>
    <mergeCell ref="C91:D91"/>
    <mergeCell ref="E91:F91"/>
    <mergeCell ref="G91:H91"/>
    <mergeCell ref="C92:D92"/>
    <mergeCell ref="E92:F92"/>
    <mergeCell ref="G92:H92"/>
    <mergeCell ref="C93:D93"/>
    <mergeCell ref="E93:F93"/>
    <mergeCell ref="G93:H93"/>
    <mergeCell ref="C94:D94"/>
    <mergeCell ref="E94:F94"/>
    <mergeCell ref="G94:H94"/>
    <mergeCell ref="C95:D95"/>
    <mergeCell ref="E95:F95"/>
    <mergeCell ref="G95:H95"/>
    <mergeCell ref="C96:D96"/>
    <mergeCell ref="E96:F96"/>
    <mergeCell ref="G96:H96"/>
    <mergeCell ref="C97:D97"/>
    <mergeCell ref="E97:F97"/>
    <mergeCell ref="G97:H97"/>
    <mergeCell ref="C98:D98"/>
    <mergeCell ref="E98:F98"/>
    <mergeCell ref="G98:H98"/>
    <mergeCell ref="C99:D99"/>
    <mergeCell ref="E99:F99"/>
    <mergeCell ref="G99:H99"/>
    <mergeCell ref="C100:D100"/>
    <mergeCell ref="E100:F100"/>
    <mergeCell ref="G100:H100"/>
    <mergeCell ref="C101:D101"/>
    <mergeCell ref="E101:F101"/>
    <mergeCell ref="G101:H101"/>
    <mergeCell ref="C102:D102"/>
    <mergeCell ref="E102:F102"/>
    <mergeCell ref="G102:H102"/>
    <mergeCell ref="C103:D103"/>
    <mergeCell ref="E103:F103"/>
    <mergeCell ref="G103:H103"/>
    <mergeCell ref="C104:D104"/>
    <mergeCell ref="E104:F104"/>
    <mergeCell ref="G104:H104"/>
    <mergeCell ref="C105:D105"/>
    <mergeCell ref="E105:F105"/>
    <mergeCell ref="G105:H105"/>
    <mergeCell ref="C106:D106"/>
    <mergeCell ref="E106:F106"/>
    <mergeCell ref="G106:H106"/>
    <mergeCell ref="C107:D107"/>
    <mergeCell ref="E107:F107"/>
    <mergeCell ref="G107:H107"/>
    <mergeCell ref="C108:D108"/>
    <mergeCell ref="E108:F108"/>
    <mergeCell ref="G108:H108"/>
    <mergeCell ref="C109:D109"/>
    <mergeCell ref="E109:F109"/>
    <mergeCell ref="G109:H109"/>
    <mergeCell ref="C110:D110"/>
    <mergeCell ref="E110:F110"/>
    <mergeCell ref="G110:H110"/>
    <mergeCell ref="C111:D111"/>
    <mergeCell ref="E111:F111"/>
    <mergeCell ref="G111:H111"/>
    <mergeCell ref="C112:D112"/>
    <mergeCell ref="E112:F112"/>
    <mergeCell ref="G112:H112"/>
    <mergeCell ref="C113:D113"/>
    <mergeCell ref="E113:F113"/>
    <mergeCell ref="G113:H113"/>
    <mergeCell ref="C114:D114"/>
    <mergeCell ref="E114:F114"/>
    <mergeCell ref="G114:H114"/>
    <mergeCell ref="C115:D115"/>
    <mergeCell ref="E115:F115"/>
    <mergeCell ref="G115:H115"/>
    <mergeCell ref="C116:D116"/>
    <mergeCell ref="E116:F116"/>
    <mergeCell ref="G116:H116"/>
    <mergeCell ref="C117:D117"/>
    <mergeCell ref="E117:F117"/>
    <mergeCell ref="G117:H117"/>
    <mergeCell ref="C118:D118"/>
    <mergeCell ref="E118:F118"/>
    <mergeCell ref="G118:H118"/>
    <mergeCell ref="C119:D119"/>
    <mergeCell ref="E119:F119"/>
    <mergeCell ref="G119:H119"/>
    <mergeCell ref="C120:D120"/>
    <mergeCell ref="E120:F120"/>
    <mergeCell ref="G120:H120"/>
    <mergeCell ref="C121:D121"/>
    <mergeCell ref="E121:F121"/>
    <mergeCell ref="G121:H121"/>
    <mergeCell ref="C122:D122"/>
    <mergeCell ref="E122:F122"/>
    <mergeCell ref="G122:H122"/>
    <mergeCell ref="C123:D123"/>
    <mergeCell ref="E123:F123"/>
    <mergeCell ref="G123:H123"/>
    <mergeCell ref="C124:D124"/>
    <mergeCell ref="E124:F124"/>
    <mergeCell ref="G124:H124"/>
    <mergeCell ref="C125:D125"/>
    <mergeCell ref="E125:F125"/>
    <mergeCell ref="G125:H125"/>
    <mergeCell ref="C126:D126"/>
    <mergeCell ref="E126:F126"/>
    <mergeCell ref="G126:H126"/>
    <mergeCell ref="C127:D127"/>
    <mergeCell ref="E127:F127"/>
    <mergeCell ref="G127:H127"/>
    <mergeCell ref="C128:D128"/>
    <mergeCell ref="E128:F128"/>
    <mergeCell ref="G128:H128"/>
    <mergeCell ref="C129:D129"/>
    <mergeCell ref="E129:F129"/>
    <mergeCell ref="G129:H129"/>
    <mergeCell ref="C130:D130"/>
    <mergeCell ref="E130:F130"/>
    <mergeCell ref="G130:H130"/>
    <mergeCell ref="C131:D131"/>
    <mergeCell ref="E131:F131"/>
    <mergeCell ref="G131:H131"/>
    <mergeCell ref="C132:D132"/>
    <mergeCell ref="E132:F132"/>
    <mergeCell ref="G132:H132"/>
    <mergeCell ref="C133:D133"/>
    <mergeCell ref="E133:F133"/>
    <mergeCell ref="G133:H133"/>
    <mergeCell ref="C134:D134"/>
    <mergeCell ref="E134:F134"/>
    <mergeCell ref="G134:H134"/>
    <mergeCell ref="C135:D135"/>
    <mergeCell ref="E135:F135"/>
    <mergeCell ref="G135:H135"/>
    <mergeCell ref="C136:D136"/>
    <mergeCell ref="E136:F136"/>
    <mergeCell ref="G136:H136"/>
    <mergeCell ref="C137:D137"/>
    <mergeCell ref="E137:F137"/>
    <mergeCell ref="G137:H137"/>
    <mergeCell ref="C138:D138"/>
    <mergeCell ref="E138:F138"/>
    <mergeCell ref="G138:H138"/>
    <mergeCell ref="C139:D139"/>
    <mergeCell ref="E139:F139"/>
    <mergeCell ref="G139:H139"/>
    <mergeCell ref="C140:D140"/>
    <mergeCell ref="E140:F140"/>
    <mergeCell ref="G140:H140"/>
    <mergeCell ref="C141:D141"/>
    <mergeCell ref="E141:F141"/>
    <mergeCell ref="G141:H141"/>
    <mergeCell ref="C142:D142"/>
    <mergeCell ref="E142:F142"/>
    <mergeCell ref="G142:H142"/>
    <mergeCell ref="C143:D143"/>
    <mergeCell ref="E143:F143"/>
    <mergeCell ref="G143:H143"/>
    <mergeCell ref="C144:D144"/>
    <mergeCell ref="E144:F144"/>
    <mergeCell ref="G144:H144"/>
    <mergeCell ref="C145:D145"/>
    <mergeCell ref="E145:F145"/>
    <mergeCell ref="G145:H145"/>
    <mergeCell ref="C146:D146"/>
    <mergeCell ref="E146:F146"/>
    <mergeCell ref="G146:H146"/>
    <mergeCell ref="C147:D147"/>
    <mergeCell ref="E147:F147"/>
    <mergeCell ref="G147:H147"/>
    <mergeCell ref="C148:D148"/>
    <mergeCell ref="E148:F148"/>
    <mergeCell ref="G148:H148"/>
    <mergeCell ref="C149:D149"/>
    <mergeCell ref="E149:F149"/>
    <mergeCell ref="G149:H149"/>
    <mergeCell ref="C150:D150"/>
    <mergeCell ref="E150:F150"/>
    <mergeCell ref="G150:H150"/>
    <mergeCell ref="C151:D151"/>
    <mergeCell ref="E151:F151"/>
    <mergeCell ref="G151:H151"/>
    <mergeCell ref="C152:D152"/>
    <mergeCell ref="E152:F152"/>
    <mergeCell ref="G152:H152"/>
    <mergeCell ref="C153:D153"/>
    <mergeCell ref="E153:F153"/>
    <mergeCell ref="G153:H153"/>
    <mergeCell ref="C154:D154"/>
    <mergeCell ref="E154:F154"/>
    <mergeCell ref="G154:H154"/>
    <mergeCell ref="C155:D155"/>
    <mergeCell ref="E155:F155"/>
    <mergeCell ref="G155:H155"/>
    <mergeCell ref="C156:D156"/>
    <mergeCell ref="E156:F156"/>
    <mergeCell ref="G156:H156"/>
    <mergeCell ref="C157:D157"/>
    <mergeCell ref="E157:F157"/>
    <mergeCell ref="G157:H157"/>
    <mergeCell ref="C158:D158"/>
    <mergeCell ref="E158:F158"/>
    <mergeCell ref="G158:H158"/>
    <mergeCell ref="C159:D159"/>
    <mergeCell ref="E159:F159"/>
    <mergeCell ref="G159:H159"/>
    <mergeCell ref="C160:D160"/>
    <mergeCell ref="E160:F160"/>
    <mergeCell ref="G160:H160"/>
    <mergeCell ref="C161:D161"/>
    <mergeCell ref="E161:F161"/>
    <mergeCell ref="G161:H161"/>
    <mergeCell ref="C162:D162"/>
    <mergeCell ref="E162:F162"/>
    <mergeCell ref="G162:H162"/>
    <mergeCell ref="C163:D163"/>
    <mergeCell ref="E163:F163"/>
    <mergeCell ref="G163:H163"/>
    <mergeCell ref="C164:D164"/>
    <mergeCell ref="E164:F164"/>
    <mergeCell ref="G164:H164"/>
    <mergeCell ref="C165:D165"/>
    <mergeCell ref="E165:F165"/>
    <mergeCell ref="G165:H165"/>
    <mergeCell ref="C166:D166"/>
    <mergeCell ref="E166:F166"/>
    <mergeCell ref="G166:H166"/>
    <mergeCell ref="C167:D167"/>
    <mergeCell ref="E167:F167"/>
    <mergeCell ref="G167:H167"/>
    <mergeCell ref="C168:D168"/>
    <mergeCell ref="E168:F168"/>
    <mergeCell ref="G168:H168"/>
    <mergeCell ref="C169:D169"/>
    <mergeCell ref="E169:F169"/>
    <mergeCell ref="G169:H169"/>
    <mergeCell ref="C170:D170"/>
    <mergeCell ref="E170:F170"/>
    <mergeCell ref="G170:H170"/>
    <mergeCell ref="C171:D171"/>
    <mergeCell ref="E171:F171"/>
    <mergeCell ref="G171:H171"/>
    <mergeCell ref="C172:D172"/>
    <mergeCell ref="E172:F172"/>
    <mergeCell ref="G172:H172"/>
    <mergeCell ref="C173:D173"/>
    <mergeCell ref="E173:F173"/>
    <mergeCell ref="G173:H173"/>
    <mergeCell ref="C174:D174"/>
    <mergeCell ref="E174:F174"/>
    <mergeCell ref="G174:H174"/>
    <mergeCell ref="C175:D175"/>
    <mergeCell ref="E175:F175"/>
    <mergeCell ref="G175:H175"/>
    <mergeCell ref="C176:D176"/>
    <mergeCell ref="E176:F176"/>
    <mergeCell ref="G176:H176"/>
    <mergeCell ref="C177:D177"/>
    <mergeCell ref="E177:F177"/>
    <mergeCell ref="G177:H177"/>
    <mergeCell ref="C178:D178"/>
    <mergeCell ref="E178:F178"/>
    <mergeCell ref="G178:H178"/>
    <mergeCell ref="C179:D179"/>
    <mergeCell ref="E179:F179"/>
    <mergeCell ref="G179:H179"/>
    <mergeCell ref="C180:D180"/>
    <mergeCell ref="E180:F180"/>
    <mergeCell ref="G180:H180"/>
    <mergeCell ref="C181:D181"/>
    <mergeCell ref="E181:F181"/>
    <mergeCell ref="G181:H181"/>
    <mergeCell ref="C182:D182"/>
    <mergeCell ref="E182:F182"/>
    <mergeCell ref="G182:H182"/>
    <mergeCell ref="C183:D183"/>
    <mergeCell ref="E183:F183"/>
    <mergeCell ref="G183:H183"/>
    <mergeCell ref="C184:D184"/>
    <mergeCell ref="E184:F184"/>
    <mergeCell ref="G184:H184"/>
    <mergeCell ref="C185:D185"/>
    <mergeCell ref="E185:F185"/>
    <mergeCell ref="G185:H185"/>
    <mergeCell ref="C186:D186"/>
    <mergeCell ref="E186:F186"/>
    <mergeCell ref="G186:H186"/>
    <mergeCell ref="C187:D187"/>
    <mergeCell ref="E187:F187"/>
    <mergeCell ref="G187:H187"/>
    <mergeCell ref="C188:D188"/>
    <mergeCell ref="E188:F188"/>
    <mergeCell ref="G188:H188"/>
    <mergeCell ref="C189:D189"/>
    <mergeCell ref="E189:F189"/>
    <mergeCell ref="G189:H189"/>
    <mergeCell ref="C190:D190"/>
    <mergeCell ref="E190:F190"/>
    <mergeCell ref="G190:H190"/>
    <mergeCell ref="C191:D191"/>
    <mergeCell ref="E191:F191"/>
    <mergeCell ref="G191:H191"/>
    <mergeCell ref="C192:D192"/>
    <mergeCell ref="E192:F192"/>
    <mergeCell ref="G192:H192"/>
    <mergeCell ref="C193:D193"/>
    <mergeCell ref="E193:F193"/>
    <mergeCell ref="G193:H193"/>
    <mergeCell ref="C194:D194"/>
    <mergeCell ref="E194:F194"/>
    <mergeCell ref="G194:H194"/>
    <mergeCell ref="C195:D195"/>
    <mergeCell ref="E195:F195"/>
    <mergeCell ref="G195:H195"/>
    <mergeCell ref="C196:D196"/>
    <mergeCell ref="E196:F196"/>
    <mergeCell ref="G196:H196"/>
    <mergeCell ref="C197:D197"/>
    <mergeCell ref="E197:F197"/>
    <mergeCell ref="G197:H197"/>
    <mergeCell ref="C198:D198"/>
    <mergeCell ref="E198:F198"/>
    <mergeCell ref="G198:H198"/>
    <mergeCell ref="C199:D199"/>
    <mergeCell ref="E199:F199"/>
    <mergeCell ref="G199:H199"/>
    <mergeCell ref="C200:D200"/>
    <mergeCell ref="E200:F200"/>
    <mergeCell ref="G200:H200"/>
    <mergeCell ref="C201:D201"/>
    <mergeCell ref="E201:F201"/>
    <mergeCell ref="G201:H201"/>
    <mergeCell ref="C202:D202"/>
    <mergeCell ref="E202:F202"/>
    <mergeCell ref="G202:H202"/>
    <mergeCell ref="C203:D203"/>
    <mergeCell ref="E203:F203"/>
    <mergeCell ref="G203:H203"/>
    <mergeCell ref="C204:D204"/>
    <mergeCell ref="E204:F204"/>
    <mergeCell ref="G204:H204"/>
    <mergeCell ref="C205:D205"/>
    <mergeCell ref="E205:F205"/>
    <mergeCell ref="G205:H205"/>
    <mergeCell ref="C206:D206"/>
    <mergeCell ref="E206:F206"/>
    <mergeCell ref="G206:H206"/>
    <mergeCell ref="C207:D207"/>
    <mergeCell ref="E207:F207"/>
    <mergeCell ref="G207:H207"/>
    <mergeCell ref="C208:D208"/>
    <mergeCell ref="E208:F208"/>
    <mergeCell ref="G208:H208"/>
    <mergeCell ref="C209:D209"/>
    <mergeCell ref="E209:F209"/>
    <mergeCell ref="G209:H209"/>
    <mergeCell ref="C210:D210"/>
    <mergeCell ref="E210:F210"/>
    <mergeCell ref="G210:H210"/>
    <mergeCell ref="C211:D211"/>
    <mergeCell ref="E211:F211"/>
    <mergeCell ref="G211:H211"/>
    <mergeCell ref="C212:D212"/>
    <mergeCell ref="E212:F212"/>
    <mergeCell ref="G212:H212"/>
    <mergeCell ref="C213:D213"/>
    <mergeCell ref="E213:F213"/>
    <mergeCell ref="G213:H213"/>
    <mergeCell ref="C214:D214"/>
    <mergeCell ref="E214:F214"/>
    <mergeCell ref="G214:H214"/>
    <mergeCell ref="E215:F215"/>
    <mergeCell ref="G215:H215"/>
    <mergeCell ref="E216:F216"/>
    <mergeCell ref="G216:H216"/>
    <mergeCell ref="G217:H217"/>
    <mergeCell ref="G218:H218"/>
    <mergeCell ref="G219:H219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L3:L4"/>
    <mergeCell ref="M3:M4"/>
  </mergeCells>
  <dataValidations count="3">
    <dataValidation type="list" allowBlank="1" showInputMessage="1" showErrorMessage="1" sqref="D4">
      <formula1>'基础-领用人及部门'!$H$7:$H$36</formula1>
    </dataValidation>
    <dataValidation type="date" operator="greaterThan" allowBlank="1" showInputMessage="1" showErrorMessage="1" sqref="H4">
      <formula1>5397</formula1>
    </dataValidation>
    <dataValidation type="whole" operator="greaterThan" allowBlank="1" showInputMessage="1" showErrorMessage="1" sqref="J4:K4">
      <formula1>H4</formula1>
    </dataValidation>
  </dataValidations>
  <pageMargins left="0.699305555555556" right="0.699305555555556" top="0.75" bottom="0.75" header="0.3" footer="0.3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50005"/>
  <sheetViews>
    <sheetView showGridLines="0" workbookViewId="0">
      <pane ySplit="7" topLeftCell="A8" activePane="bottomLeft" state="frozen"/>
      <selection/>
      <selection pane="bottomLeft" activeCell="A1" sqref="A1"/>
    </sheetView>
  </sheetViews>
  <sheetFormatPr defaultColWidth="9" defaultRowHeight="18.95" customHeight="1"/>
  <cols>
    <col min="1" max="1" width="1.56363636363636" style="46" customWidth="1"/>
    <col min="2" max="2" width="9" style="100" hidden="1" customWidth="1"/>
    <col min="3" max="3" width="3.85454545454545" style="43" customWidth="1"/>
    <col min="4" max="4" width="9.14545454545454" style="44" customWidth="1"/>
    <col min="5" max="7" width="13.1454545454545" style="44" customWidth="1"/>
    <col min="8" max="8" width="14.4272727272727" style="44" customWidth="1"/>
    <col min="9" max="9" width="9.28181818181818" style="45" customWidth="1"/>
    <col min="10" max="10" width="15" style="44" customWidth="1"/>
    <col min="11" max="11" width="9.14545454545454" style="45" customWidth="1"/>
    <col min="12" max="13" width="15" style="44" customWidth="1"/>
    <col min="14" max="14" width="11.8545454545455" style="44" customWidth="1"/>
    <col min="15" max="15" width="11.8545454545455" style="101" customWidth="1"/>
    <col min="16" max="16384" width="9" style="46"/>
  </cols>
  <sheetData>
    <row r="1" ht="20.1" customHeight="1" spans="2:15">
      <c r="N1" s="102"/>
      <c r="O1" s="103"/>
    </row>
    <row r="2" ht="24" customHeight="1" spans="2:15">
      <c r="B2" s="100" t="s">
        <v>381</v>
      </c>
      <c r="D2" s="48" t="s">
        <v>382</v>
      </c>
      <c r="E2" s="48"/>
      <c r="F2" s="48"/>
      <c r="G2" s="48"/>
      <c r="H2" s="48"/>
      <c r="I2" s="48"/>
      <c r="J2" s="48"/>
      <c r="K2" s="64"/>
      <c r="L2" s="48"/>
      <c r="M2" s="48"/>
      <c r="N2" s="104" t="s">
        <v>376</v>
      </c>
      <c r="O2" s="104" t="s">
        <v>377</v>
      </c>
    </row>
    <row r="3" s="42" customFormat="1" ht="24" customHeight="1" spans="2:15">
      <c r="B3" s="62" t="str">
        <f>IF(AND('领用录入（明细）'!D:D=$F$4,'领用录入（明细）'!C:C&gt;=$J$4,'领用录入（明细）'!C:C&lt;=$L$4),ROW(),"-")</f>
        <v>-</v>
      </c>
      <c r="C3" s="43"/>
      <c r="D3" s="47"/>
      <c r="E3" s="47"/>
      <c r="F3" s="47"/>
      <c r="G3" s="47"/>
      <c r="H3" s="47"/>
      <c r="I3" s="47"/>
      <c r="J3" s="47"/>
      <c r="K3" s="50"/>
      <c r="L3" s="47"/>
      <c r="M3" s="47"/>
      <c r="N3" s="58">
        <f>SUM(K8:K1000)</f>
        <v>35</v>
      </c>
      <c r="O3" s="58">
        <f>SUM(M8:M1000)</f>
        <v>83.3</v>
      </c>
    </row>
    <row r="4" s="42" customFormat="1" ht="24" customHeight="1" spans="2:15">
      <c r="B4" s="62" t="str">
        <f>IF(AND('领用录入（明细）'!D:D=$F$4,'领用录入（明细）'!C:C&gt;=$J$4,'领用录入（明细）'!C:C&lt;=$L$4),ROW(),"-")</f>
        <v>-</v>
      </c>
      <c r="C4" s="43"/>
      <c r="D4" s="105" t="s">
        <v>383</v>
      </c>
      <c r="E4" s="106"/>
      <c r="F4" s="94" t="s">
        <v>263</v>
      </c>
      <c r="G4" s="107"/>
      <c r="H4" s="52" t="s">
        <v>379</v>
      </c>
      <c r="I4" s="53"/>
      <c r="J4" s="94">
        <v>43466</v>
      </c>
      <c r="K4" s="108" t="s">
        <v>380</v>
      </c>
      <c r="L4" s="94">
        <v>45291</v>
      </c>
      <c r="M4" s="96"/>
      <c r="N4" s="44"/>
      <c r="O4" s="109"/>
    </row>
    <row r="5" s="42" customFormat="1" ht="24" customHeight="1" spans="2:15">
      <c r="B5" s="62" t="str">
        <f>IF(AND('领用录入（明细）'!D:D=$F$4,'领用录入（明细）'!C:C&gt;=$J$4,'领用录入（明细）'!C:C&lt;=$L$4),ROW(),"-")</f>
        <v>-</v>
      </c>
      <c r="C5" s="43"/>
      <c r="D5" s="47"/>
      <c r="E5" s="47"/>
      <c r="F5" s="47"/>
      <c r="G5" s="47"/>
      <c r="H5" s="47"/>
      <c r="I5" s="47"/>
      <c r="J5" s="47"/>
      <c r="K5" s="50"/>
      <c r="L5" s="47"/>
      <c r="M5" s="47"/>
      <c r="N5" s="44"/>
      <c r="O5" s="109"/>
    </row>
    <row r="6" s="42" customFormat="1" ht="24" customHeight="1" spans="2:15">
      <c r="B6" s="62" t="str">
        <f>IF(AND('领用录入（明细）'!D:D=$F$4,'领用录入（明细）'!C:C&gt;=$J$4,'领用录入（明细）'!C:C&lt;=$L$4),ROW(),"-")</f>
        <v>-</v>
      </c>
      <c r="C6" s="43"/>
      <c r="D6" s="110" t="str">
        <f>"在设定的时间段内查询到  ["&amp;F4&amp;"] 的记录共"&amp;COUNT(D7:D507)&amp;"条；合计数量为"&amp;SUM(K8:K507)&amp;"件"</f>
        <v>在设定的时间段内查询到  [余慧娟] 的记录共16条；合计数量为35件</v>
      </c>
      <c r="E6" s="111"/>
      <c r="F6" s="111"/>
      <c r="G6" s="111"/>
      <c r="H6" s="111"/>
      <c r="I6" s="111"/>
      <c r="J6" s="111"/>
      <c r="K6" s="111"/>
      <c r="L6" s="111"/>
      <c r="M6" s="112"/>
      <c r="N6" s="44"/>
      <c r="O6" s="109"/>
    </row>
    <row r="7" customHeight="1" spans="2:15">
      <c r="B7" s="62" t="str">
        <f>IF(AND('领用录入（明细）'!D:D=$F$4,'领用录入（明细）'!C:C&gt;=$J$4,'领用录入（明细）'!C:C&lt;=$L$4),ROW(),"-")</f>
        <v>-</v>
      </c>
      <c r="D7" s="113" t="s">
        <v>3</v>
      </c>
      <c r="E7" s="113" t="s">
        <v>351</v>
      </c>
      <c r="F7" s="113" t="s">
        <v>362</v>
      </c>
      <c r="G7" s="113" t="s">
        <v>260</v>
      </c>
      <c r="H7" s="113" t="s">
        <v>4</v>
      </c>
      <c r="I7" s="113" t="s">
        <v>5</v>
      </c>
      <c r="J7" s="113" t="s">
        <v>6</v>
      </c>
      <c r="K7" s="113" t="s">
        <v>353</v>
      </c>
      <c r="L7" s="113" t="s">
        <v>7</v>
      </c>
      <c r="M7" s="113" t="s">
        <v>354</v>
      </c>
    </row>
    <row r="8" customHeight="1" spans="2:15">
      <c r="B8" s="62" t="str">
        <f>IF(AND('领用录入（明细）'!D:D=$F$4,'领用录入（明细）'!C:C&gt;=$J$4,'领用录入（明细）'!C:C&lt;=$L$4),ROW(),"-")</f>
        <v>-</v>
      </c>
      <c r="D8" s="59">
        <f>IFERROR(INDEX('领用录入（明细）'!$B:$L,SMALL($B:$B,ROW(B1)),MATCH(D$7,$D$7:$L$7,0)),"")</f>
        <v>14</v>
      </c>
      <c r="E8" s="114">
        <f>IFERROR(INDEX('领用录入（明细）'!$B:$L,SMALL($B:$B,ROW(C1)),MATCH(E$7,$D$7:$L$7,0)),"")</f>
        <v>44858</v>
      </c>
      <c r="F8" s="60" t="str">
        <f>IFERROR(INDEX('领用录入（明细）'!$B:$N,SMALL($B:$B,ROW(D1)),MATCH(F$7,$D$7:$L$7,0)),"")</f>
        <v>余慧娟</v>
      </c>
      <c r="G8" s="60" t="str">
        <f>IFERROR(INDEX('领用录入（明细）'!$B:$N,SMALL($B:$B,ROW(E1)),MATCH(G$7,$D$7:$L$7,0)),"")</f>
        <v>综合办</v>
      </c>
      <c r="H8" s="60" t="str">
        <f>IFERROR(INDEX('领用录入（明细）'!$B:$N,SMALL($B:$B,ROW(F1)),MATCH(H$7,$D$7:$L$7,0)),"")</f>
        <v>蓝色口罩</v>
      </c>
      <c r="I8" s="60" t="str">
        <f>IFERROR(INDEX('领用录入（明细）'!$B:$N,SMALL($B:$B,ROW(G1)),MATCH(I$7,$D$7:$L$7,0)),"")</f>
        <v>包</v>
      </c>
      <c r="J8" s="60">
        <f>IFERROR(INDEX('领用录入（明细）'!$B:$N,SMALL($B:$B,ROW(H1)),MATCH(J$7,$D$7:$L$7,0)),"")</f>
        <v>0</v>
      </c>
      <c r="K8" s="60">
        <f>IFERROR(INDEX('领用录入（明细）'!$B:$N,SMALL($B:$B,ROW(I1)),MATCH(K$7,$D$7:$L$7,0)),"")</f>
        <v>5</v>
      </c>
      <c r="L8" s="60">
        <f>IFERROR(INDEX('领用录入（明细）'!$B:$N,SMALL($B:$B,ROW(J1)),MATCH(L$7,$D$7:$L$7,0)),"")</f>
        <v>0.3</v>
      </c>
      <c r="M8" s="60">
        <f>IFERROR(K8*L8,"")</f>
        <v>1.5</v>
      </c>
    </row>
    <row r="9" customHeight="1" spans="2:15">
      <c r="B9" s="62" t="str">
        <f>IF(AND('领用录入（明细）'!D:D=$F$4,'领用录入（明细）'!C:C&gt;=$J$4,'领用录入（明细）'!C:C&lt;=$L$4),ROW(),"-")</f>
        <v>-</v>
      </c>
      <c r="D9" s="59">
        <f>IFERROR(INDEX('领用录入（明细）'!$B:$L,SMALL($B:$B,ROW(B2)),MATCH(D$7,$D$7:$L$7,0)),"")</f>
        <v>15</v>
      </c>
      <c r="E9" s="114">
        <f>IFERROR(INDEX('领用录入（明细）'!$B:$L,SMALL($B:$B,ROW(C2)),MATCH(E$7,$D$7:$L$7,0)),"")</f>
        <v>44858</v>
      </c>
      <c r="F9" s="60" t="str">
        <f>IFERROR(INDEX('领用录入（明细）'!$B:$L,SMALL($B:$B,ROW(D2)),MATCH(F$7,$D$7:$L$7,0)),"")</f>
        <v>余慧娟</v>
      </c>
      <c r="G9" s="60" t="str">
        <f>IFERROR(INDEX('领用录入（明细）'!$B:$L,SMALL($B:$B,ROW(E2)),MATCH(G$7,$D$7:$L$7,0)),"")</f>
        <v>综合办</v>
      </c>
      <c r="H9" s="60" t="str">
        <f>IFERROR(INDEX('领用录入（明细）'!$B:$L,SMALL($B:$B,ROW(F2)),MATCH(H$7,$D$7:$L$7,0)),"")</f>
        <v>封箱胶带</v>
      </c>
      <c r="I9" s="60" t="str">
        <f>IFERROR(INDEX('领用录入（明细）'!$B:$L,SMALL($B:$B,ROW(G2)),MATCH(I$7,$D$7:$L$7,0)),"")</f>
        <v>筒</v>
      </c>
      <c r="J9" s="60">
        <f>IFERROR(INDEX('领用录入（明细）'!$B:$L,SMALL($B:$B,ROW(H2)),MATCH(J$7,$D$7:$L$7,0)),"")</f>
        <v>0</v>
      </c>
      <c r="K9" s="60">
        <f>IFERROR(INDEX('领用录入（明细）'!$B:$L,SMALL($B:$B,ROW(I2)),MATCH(K$7,$D$7:$L$7,0)),"")</f>
        <v>1</v>
      </c>
      <c r="L9" s="60">
        <f>IFERROR(INDEX('领用录入（明细）'!$B:$L,SMALL($B:$B,ROW(J2)),MATCH(L$7,$D$7:$L$7,0)),"")</f>
        <v>7</v>
      </c>
      <c r="M9" s="60">
        <f t="shared" ref="M9:M72" si="0">IFERROR(K9*L9,"")</f>
        <v>7</v>
      </c>
    </row>
    <row r="10" customHeight="1" spans="2:15">
      <c r="B10" s="62" t="str">
        <f>IF(AND('领用录入（明细）'!D:D=$F$4,'领用录入（明细）'!C:C&gt;=$J$4,'领用录入（明细）'!C:C&lt;=$L$4),ROW(),"-")</f>
        <v>-</v>
      </c>
      <c r="D10" s="59">
        <f>IFERROR(INDEX('领用录入（明细）'!$B:$L,SMALL($B:$B,ROW(B3)),MATCH(D$7,$D$7:$L$7,0)),"")</f>
        <v>16</v>
      </c>
      <c r="E10" s="114">
        <f>IFERROR(INDEX('领用录入（明细）'!$B:$L,SMALL($B:$B,ROW(C3)),MATCH(E$7,$D$7:$L$7,0)),"")</f>
        <v>44858</v>
      </c>
      <c r="F10" s="60" t="str">
        <f>IFERROR(INDEX('领用录入（明细）'!$B:$L,SMALL($B:$B,ROW(D3)),MATCH(F$7,$D$7:$L$7,0)),"")</f>
        <v>余慧娟</v>
      </c>
      <c r="G10" s="60" t="str">
        <f>IFERROR(INDEX('领用录入（明细）'!$B:$L,SMALL($B:$B,ROW(E3)),MATCH(G$7,$D$7:$L$7,0)),"")</f>
        <v>综合办</v>
      </c>
      <c r="H10" s="60" t="str">
        <f>IFERROR(INDEX('领用录入（明细）'!$B:$L,SMALL($B:$B,ROW(F3)),MATCH(H$7,$D$7:$L$7,0)),"")</f>
        <v>地毯胶</v>
      </c>
      <c r="I10" s="60" t="str">
        <f>IFERROR(INDEX('领用录入（明细）'!$B:$L,SMALL($B:$B,ROW(G3)),MATCH(I$7,$D$7:$L$7,0)),"")</f>
        <v>个</v>
      </c>
      <c r="J10" s="60">
        <f>IFERROR(INDEX('领用录入（明细）'!$B:$L,SMALL($B:$B,ROW(H3)),MATCH(J$7,$D$7:$L$7,0)),"")</f>
        <v>0</v>
      </c>
      <c r="K10" s="60">
        <f>IFERROR(INDEX('领用录入（明细）'!$B:$L,SMALL($B:$B,ROW(I3)),MATCH(K$7,$D$7:$L$7,0)),"")</f>
        <v>1</v>
      </c>
      <c r="L10" s="60">
        <f>IFERROR(INDEX('领用录入（明细）'!$B:$L,SMALL($B:$B,ROW(J3)),MATCH(L$7,$D$7:$L$7,0)),"")</f>
        <v>0</v>
      </c>
      <c r="M10" s="60">
        <f t="shared" si="0"/>
        <v>0</v>
      </c>
    </row>
    <row r="11" customHeight="1" spans="2:15">
      <c r="B11" s="62" t="str">
        <f>IF(AND('领用录入（明细）'!D:D=$F$4,'领用录入（明细）'!C:C&gt;=$J$4,'领用录入（明细）'!C:C&lt;=$L$4),ROW(),"-")</f>
        <v>-</v>
      </c>
      <c r="D11" s="59">
        <f>IFERROR(INDEX('领用录入（明细）'!$B:$L,SMALL($B:$B,ROW(B4)),MATCH(D$7,$D$7:$L$7,0)),"")</f>
        <v>100</v>
      </c>
      <c r="E11" s="114">
        <f>IFERROR(INDEX('领用录入（明细）'!$B:$L,SMALL($B:$B,ROW(C4)),MATCH(E$7,$D$7:$L$7,0)),"")</f>
        <v>44895</v>
      </c>
      <c r="F11" s="60" t="str">
        <f>IFERROR(INDEX('领用录入（明细）'!$B:$L,SMALL($B:$B,ROW(D4)),MATCH(F$7,$D$7:$L$7,0)),"")</f>
        <v>余慧娟</v>
      </c>
      <c r="G11" s="60" t="str">
        <f>IFERROR(INDEX('领用录入（明细）'!$B:$L,SMALL($B:$B,ROW(E4)),MATCH(G$7,$D$7:$L$7,0)),"")</f>
        <v>综合办</v>
      </c>
      <c r="H11" s="60" t="str">
        <f>IFERROR(INDEX('领用录入（明细）'!$B:$L,SMALL($B:$B,ROW(F4)),MATCH(H$7,$D$7:$L$7,0)),"")</f>
        <v>电池双鹿7号</v>
      </c>
      <c r="I11" s="60" t="str">
        <f>IFERROR(INDEX('领用录入（明细）'!$B:$L,SMALL($B:$B,ROW(G4)),MATCH(I$7,$D$7:$L$7,0)),"")</f>
        <v>节</v>
      </c>
      <c r="J11" s="60">
        <f>IFERROR(INDEX('领用录入（明细）'!$B:$L,SMALL($B:$B,ROW(H4)),MATCH(J$7,$D$7:$L$7,0)),"")</f>
        <v>0</v>
      </c>
      <c r="K11" s="60">
        <f>IFERROR(INDEX('领用录入（明细）'!$B:$L,SMALL($B:$B,ROW(I4)),MATCH(K$7,$D$7:$L$7,0)),"")</f>
        <v>3</v>
      </c>
      <c r="L11" s="60">
        <f>IFERROR(INDEX('领用录入（明细）'!$B:$L,SMALL($B:$B,ROW(J4)),MATCH(L$7,$D$7:$L$7,0)),"")</f>
        <v>0</v>
      </c>
      <c r="M11" s="60">
        <f t="shared" si="0"/>
        <v>0</v>
      </c>
    </row>
    <row r="12" customHeight="1" spans="2:15">
      <c r="B12" s="62" t="str">
        <f>IF(AND('领用录入（明细）'!D:D=$F$4,'领用录入（明细）'!C:C&gt;=$J$4,'领用录入（明细）'!C:C&lt;=$L$4),ROW(),"-")</f>
        <v>-</v>
      </c>
      <c r="D12" s="59">
        <f>IFERROR(INDEX('领用录入（明细）'!$B:$L,SMALL($B:$B,ROW(B5)),MATCH(D$7,$D$7:$L$7,0)),"")</f>
        <v>131</v>
      </c>
      <c r="E12" s="114">
        <f>IFERROR(INDEX('领用录入（明细）'!$B:$L,SMALL($B:$B,ROW(C5)),MATCH(E$7,$D$7:$L$7,0)),"")</f>
        <v>44909</v>
      </c>
      <c r="F12" s="60" t="str">
        <f>IFERROR(INDEX('领用录入（明细）'!$B:$L,SMALL($B:$B,ROW(D5)),MATCH(F$7,$D$7:$L$7,0)),"")</f>
        <v>余慧娟</v>
      </c>
      <c r="G12" s="60" t="str">
        <f>IFERROR(INDEX('领用录入（明细）'!$B:$L,SMALL($B:$B,ROW(E5)),MATCH(G$7,$D$7:$L$7,0)),"")</f>
        <v>综合办</v>
      </c>
      <c r="H12" s="60" t="str">
        <f>IFERROR(INDEX('领用录入（明细）'!$B:$L,SMALL($B:$B,ROW(F5)),MATCH(H$7,$D$7:$L$7,0)),"")</f>
        <v>电池南孚5号</v>
      </c>
      <c r="I12" s="60" t="str">
        <f>IFERROR(INDEX('领用录入（明细）'!$B:$L,SMALL($B:$B,ROW(G5)),MATCH(I$7,$D$7:$L$7,0)),"")</f>
        <v>节</v>
      </c>
      <c r="J12" s="60">
        <f>IFERROR(INDEX('领用录入（明细）'!$B:$L,SMALL($B:$B,ROW(H5)),MATCH(J$7,$D$7:$L$7,0)),"")</f>
        <v>0</v>
      </c>
      <c r="K12" s="60">
        <f>IFERROR(INDEX('领用录入（明细）'!$B:$L,SMALL($B:$B,ROW(I5)),MATCH(K$7,$D$7:$L$7,0)),"")</f>
        <v>10</v>
      </c>
      <c r="L12" s="60">
        <f>IFERROR(INDEX('领用录入（明细）'!$B:$L,SMALL($B:$B,ROW(J5)),MATCH(L$7,$D$7:$L$7,0)),"")</f>
        <v>2.1</v>
      </c>
      <c r="M12" s="60">
        <f t="shared" si="0"/>
        <v>21</v>
      </c>
    </row>
    <row r="13" customHeight="1" spans="2:15">
      <c r="B13" s="62" t="str">
        <f>IF(AND('领用录入（明细）'!D:D=$F$4,'领用录入（明细）'!C:C&gt;=$J$4,'领用录入（明细）'!C:C&lt;=$L$4),ROW(),"-")</f>
        <v>-</v>
      </c>
      <c r="D13" s="59">
        <f>IFERROR(INDEX('领用录入（明细）'!$B:$L,SMALL($B:$B,ROW(B7)),MATCH(D$7,$D$7:$L$7,0)),"")</f>
        <v>148</v>
      </c>
      <c r="E13" s="114">
        <f>IFERROR(INDEX('领用录入（明细）'!$B:$L,SMALL($B:$B,ROW(C7)),MATCH(E$7,$D$7:$L$7,0)),"")</f>
        <v>44922</v>
      </c>
      <c r="F13" s="60" t="str">
        <f>IFERROR(INDEX('领用录入（明细）'!$B:$L,SMALL($B:$B,ROW(D7)),MATCH(F$7,$D$7:$L$7,0)),"")</f>
        <v>余慧娟</v>
      </c>
      <c r="G13" s="60" t="str">
        <f>IFERROR(INDEX('领用录入（明细）'!$B:$L,SMALL($B:$B,ROW(E7)),MATCH(G$7,$D$7:$L$7,0)),"")</f>
        <v>综合办</v>
      </c>
      <c r="H13" s="60" t="str">
        <f>IFERROR(INDEX('领用录入（明细）'!$B:$L,SMALL($B:$B,ROW(F7)),MATCH(H$7,$D$7:$L$7,0)),"")</f>
        <v>用款申请单</v>
      </c>
      <c r="I13" s="60" t="str">
        <f>IFERROR(INDEX('领用录入（明细）'!$B:$L,SMALL($B:$B,ROW(G7)),MATCH(I$7,$D$7:$L$7,0)),"")</f>
        <v>本</v>
      </c>
      <c r="J13" s="60">
        <f>IFERROR(INDEX('领用录入（明细）'!$B:$L,SMALL($B:$B,ROW(H7)),MATCH(J$7,$D$7:$L$7,0)),"")</f>
        <v>0</v>
      </c>
      <c r="K13" s="60">
        <f>IFERROR(INDEX('领用录入（明细）'!$B:$L,SMALL($B:$B,ROW(I7)),MATCH(K$7,$D$7:$L$7,0)),"")</f>
        <v>1</v>
      </c>
      <c r="L13" s="60">
        <f>IFERROR(INDEX('领用录入（明细）'!$B:$L,SMALL($B:$B,ROW(J7)),MATCH(L$7,$D$7:$L$7,0)),"")</f>
        <v>0</v>
      </c>
      <c r="M13" s="60">
        <f t="shared" si="0"/>
        <v>0</v>
      </c>
    </row>
    <row r="14" customHeight="1" spans="2:15">
      <c r="B14" s="62" t="str">
        <f>IF(AND('领用录入（明细）'!D:D=$F$4,'领用录入（明细）'!C:C&gt;=$J$4,'领用录入（明细）'!C:C&lt;=$L$4),ROW(),"-")</f>
        <v>-</v>
      </c>
      <c r="D14" s="59">
        <f>IFERROR(INDEX('领用录入（明细）'!$B:$L,SMALL($B:$B,ROW(B8)),MATCH(D$7,$D$7:$L$7,0)),"")</f>
        <v>149</v>
      </c>
      <c r="E14" s="114">
        <f>IFERROR(INDEX('领用录入（明细）'!$B:$L,SMALL($B:$B,ROW(C8)),MATCH(E$7,$D$7:$L$7,0)),"")</f>
        <v>44922</v>
      </c>
      <c r="F14" s="60" t="str">
        <f>IFERROR(INDEX('领用录入（明细）'!$B:$L,SMALL($B:$B,ROW(D8)),MATCH(F$7,$D$7:$L$7,0)),"")</f>
        <v>余慧娟</v>
      </c>
      <c r="G14" s="60" t="str">
        <f>IFERROR(INDEX('领用录入（明细）'!$B:$L,SMALL($B:$B,ROW(E8)),MATCH(G$7,$D$7:$L$7,0)),"")</f>
        <v>综合办</v>
      </c>
      <c r="H14" s="60" t="str">
        <f>IFERROR(INDEX('领用录入（明细）'!$B:$L,SMALL($B:$B,ROW(F8)),MATCH(H$7,$D$7:$L$7,0)),"")</f>
        <v>水笔红色</v>
      </c>
      <c r="I14" s="60" t="str">
        <f>IFERROR(INDEX('领用录入（明细）'!$B:$L,SMALL($B:$B,ROW(G8)),MATCH(I$7,$D$7:$L$7,0)),"")</f>
        <v>支</v>
      </c>
      <c r="J14" s="60">
        <f>IFERROR(INDEX('领用录入（明细）'!$B:$L,SMALL($B:$B,ROW(H8)),MATCH(J$7,$D$7:$L$7,0)),"")</f>
        <v>0</v>
      </c>
      <c r="K14" s="60">
        <f>IFERROR(INDEX('领用录入（明细）'!$B:$L,SMALL($B:$B,ROW(I8)),MATCH(K$7,$D$7:$L$7,0)),"")</f>
        <v>2</v>
      </c>
      <c r="L14" s="60">
        <f>IFERROR(INDEX('领用录入（明细）'!$B:$L,SMALL($B:$B,ROW(J8)),MATCH(L$7,$D$7:$L$7,0)),"")</f>
        <v>1.3</v>
      </c>
      <c r="M14" s="60">
        <f t="shared" si="0"/>
        <v>2.6</v>
      </c>
    </row>
    <row r="15" customHeight="1" spans="2:15">
      <c r="B15" s="62" t="str">
        <f>IF(AND('领用录入（明细）'!D:D=$F$4,'领用录入（明细）'!C:C&gt;=$J$4,'领用录入（明细）'!C:C&lt;=$L$4),ROW(),"-")</f>
        <v>-</v>
      </c>
      <c r="D15" s="59">
        <f>IFERROR(INDEX('领用录入（明细）'!$B:$L,SMALL($B:$B,ROW(B9)),MATCH(D$7,$D$7:$L$7,0)),"")</f>
        <v>174</v>
      </c>
      <c r="E15" s="114">
        <f>IFERROR(INDEX('领用录入（明细）'!$B:$L,SMALL($B:$B,ROW(C9)),MATCH(E$7,$D$7:$L$7,0)),"")</f>
        <v>44930</v>
      </c>
      <c r="F15" s="60" t="str">
        <f>IFERROR(INDEX('领用录入（明细）'!$B:$L,SMALL($B:$B,ROW(D9)),MATCH(F$7,$D$7:$L$7,0)),"")</f>
        <v>余慧娟</v>
      </c>
      <c r="G15" s="60" t="str">
        <f>IFERROR(INDEX('领用录入（明细）'!$B:$L,SMALL($B:$B,ROW(E9)),MATCH(G$7,$D$7:$L$7,0)),"")</f>
        <v>综合办</v>
      </c>
      <c r="H15" s="60" t="str">
        <f>IFERROR(INDEX('领用录入（明细）'!$B:$L,SMALL($B:$B,ROW(F9)),MATCH(H$7,$D$7:$L$7,0)),"")</f>
        <v>有线鼠标</v>
      </c>
      <c r="I15" s="60" t="str">
        <f>IFERROR(INDEX('领用录入（明细）'!$B:$L,SMALL($B:$B,ROW(G9)),MATCH(I$7,$D$7:$L$7,0)),"")</f>
        <v>个</v>
      </c>
      <c r="J15" s="60">
        <f>IFERROR(INDEX('领用录入（明细）'!$B:$L,SMALL($B:$B,ROW(H9)),MATCH(J$7,$D$7:$L$7,0)),"")</f>
        <v>0</v>
      </c>
      <c r="K15" s="60">
        <f>IFERROR(INDEX('领用录入（明细）'!$B:$L,SMALL($B:$B,ROW(I9)),MATCH(K$7,$D$7:$L$7,0)),"")</f>
        <v>1</v>
      </c>
      <c r="L15" s="60">
        <f>IFERROR(INDEX('领用录入（明细）'!$B:$L,SMALL($B:$B,ROW(J9)),MATCH(L$7,$D$7:$L$7,0)),"")</f>
        <v>30</v>
      </c>
      <c r="M15" s="60">
        <f t="shared" si="0"/>
        <v>30</v>
      </c>
    </row>
    <row r="16" customHeight="1" spans="2:15">
      <c r="B16" s="62" t="str">
        <f>IF(AND('领用录入（明细）'!D:D=$F$4,'领用录入（明细）'!C:C&gt;=$J$4,'领用录入（明细）'!C:C&lt;=$L$4),ROW(),"-")</f>
        <v>-</v>
      </c>
      <c r="D16" s="59">
        <f>IFERROR(INDEX('领用录入（明细）'!$B:$L,SMALL($B:$B,ROW(B10)),MATCH(D$7,$D$7:$L$7,0)),"")</f>
        <v>226</v>
      </c>
      <c r="E16" s="114">
        <f>IFERROR(INDEX('领用录入（明细）'!$B:$L,SMALL($B:$B,ROW(C10)),MATCH(E$7,$D$7:$L$7,0)),"")</f>
        <v>44959</v>
      </c>
      <c r="F16" s="60" t="str">
        <f>IFERROR(INDEX('领用录入（明细）'!$B:$L,SMALL($B:$B,ROW(D10)),MATCH(F$7,$D$7:$L$7,0)),"")</f>
        <v>余慧娟</v>
      </c>
      <c r="G16" s="60" t="str">
        <f>IFERROR(INDEX('领用录入（明细）'!$B:$L,SMALL($B:$B,ROW(E10)),MATCH(G$7,$D$7:$L$7,0)),"")</f>
        <v>综合办</v>
      </c>
      <c r="H16" s="60" t="str">
        <f>IFERROR(INDEX('领用录入（明细）'!$B:$L,SMALL($B:$B,ROW(F10)),MATCH(H$7,$D$7:$L$7,0)),"")</f>
        <v>抽纸盒</v>
      </c>
      <c r="I16" s="60" t="str">
        <f>IFERROR(INDEX('领用录入（明细）'!$B:$L,SMALL($B:$B,ROW(G10)),MATCH(I$7,$D$7:$L$7,0)),"")</f>
        <v>盒</v>
      </c>
      <c r="J16" s="60">
        <f>IFERROR(INDEX('领用录入（明细）'!$B:$L,SMALL($B:$B,ROW(H10)),MATCH(J$7,$D$7:$L$7,0)),"")</f>
        <v>0</v>
      </c>
      <c r="K16" s="60">
        <f>IFERROR(INDEX('领用录入（明细）'!$B:$L,SMALL($B:$B,ROW(I10)),MATCH(K$7,$D$7:$L$7,0)),"")</f>
        <v>4</v>
      </c>
      <c r="L16" s="60">
        <f>IFERROR(INDEX('领用录入（明细）'!$B:$L,SMALL($B:$B,ROW(J10)),MATCH(L$7,$D$7:$L$7,0)),"")</f>
        <v>5.3</v>
      </c>
      <c r="M16" s="60">
        <f t="shared" si="0"/>
        <v>21.2</v>
      </c>
    </row>
    <row r="17" customHeight="1" spans="2:13">
      <c r="B17" s="62">
        <f>IF(AND('领用录入（明细）'!D:D=$F$4,'领用录入（明细）'!C:C&gt;=$J$4,'领用录入（明细）'!C:C&lt;=$L$4),ROW(),"-")</f>
        <v>17</v>
      </c>
      <c r="D17" s="59">
        <f>IFERROR(INDEX('领用录入（明细）'!$B:$L,SMALL($B:$B,ROW(B11)),MATCH(D$7,$D$7:$L$7,0)),"")</f>
        <v>340</v>
      </c>
      <c r="E17" s="114">
        <f>IFERROR(INDEX('领用录入（明细）'!$B:$L,SMALL($B:$B,ROW(C11)),MATCH(E$7,$D$7:$L$7,0)),"")</f>
        <v>44977</v>
      </c>
      <c r="F17" s="60" t="str">
        <f>IFERROR(INDEX('领用录入（明细）'!$B:$L,SMALL($B:$B,ROW(D11)),MATCH(F$7,$D$7:$L$7,0)),"")</f>
        <v>余慧娟</v>
      </c>
      <c r="G17" s="60" t="str">
        <f>IFERROR(INDEX('领用录入（明细）'!$B:$L,SMALL($B:$B,ROW(E11)),MATCH(G$7,$D$7:$L$7,0)),"")</f>
        <v>综合办</v>
      </c>
      <c r="H17" s="60" t="str">
        <f>IFERROR(INDEX('领用录入（明细）'!$B:$L,SMALL($B:$B,ROW(F11)),MATCH(H$7,$D$7:$L$7,0)),"")</f>
        <v>挂式纸盒</v>
      </c>
      <c r="I17" s="60" t="str">
        <f>IFERROR(INDEX('领用录入（明细）'!$B:$L,SMALL($B:$B,ROW(G11)),MATCH(I$7,$D$7:$L$7,0)),"")</f>
        <v>台</v>
      </c>
      <c r="J17" s="60">
        <f>IFERROR(INDEX('领用录入（明细）'!$B:$L,SMALL($B:$B,ROW(H11)),MATCH(J$7,$D$7:$L$7,0)),"")</f>
        <v>0</v>
      </c>
      <c r="K17" s="60">
        <f>IFERROR(INDEX('领用录入（明细）'!$B:$L,SMALL($B:$B,ROW(I11)),MATCH(K$7,$D$7:$L$7,0)),"")</f>
        <v>1</v>
      </c>
      <c r="L17" s="60">
        <f>IFERROR(INDEX('领用录入（明细）'!$B:$L,SMALL($B:$B,ROW(J11)),MATCH(L$7,$D$7:$L$7,0)),"")</f>
        <v>0</v>
      </c>
      <c r="M17" s="60">
        <f t="shared" si="0"/>
        <v>0</v>
      </c>
    </row>
    <row r="18" customHeight="1" spans="2:13">
      <c r="B18" s="62">
        <f>IF(AND('领用录入（明细）'!D:D=$F$4,'领用录入（明细）'!C:C&gt;=$J$4,'领用录入（明细）'!C:C&lt;=$L$4),ROW(),"-")</f>
        <v>18</v>
      </c>
      <c r="D18" s="59">
        <f>IFERROR(INDEX('领用录入（明细）'!$B:$L,SMALL($B:$B,ROW(B12)),MATCH(D$7,$D$7:$L$7,0)),"")</f>
        <v>341</v>
      </c>
      <c r="E18" s="114">
        <f>IFERROR(INDEX('领用录入（明细）'!$B:$L,SMALL($B:$B,ROW(C12)),MATCH(E$7,$D$7:$L$7,0)),"")</f>
        <v>44977</v>
      </c>
      <c r="F18" s="60" t="str">
        <f>IFERROR(INDEX('领用录入（明细）'!$B:$L,SMALL($B:$B,ROW(D12)),MATCH(F$7,$D$7:$L$7,0)),"")</f>
        <v>余慧娟</v>
      </c>
      <c r="G18" s="60" t="str">
        <f>IFERROR(INDEX('领用录入（明细）'!$B:$L,SMALL($B:$B,ROW(E12)),MATCH(G$7,$D$7:$L$7,0)),"")</f>
        <v>综合办</v>
      </c>
      <c r="H18" s="60" t="str">
        <f>IFERROR(INDEX('领用录入（明细）'!$B:$L,SMALL($B:$B,ROW(F12)),MATCH(H$7,$D$7:$L$7,0)),"")</f>
        <v>挂式纸盒挂钩</v>
      </c>
      <c r="I18" s="60" t="str">
        <f>IFERROR(INDEX('领用录入（明细）'!$B:$L,SMALL($B:$B,ROW(G12)),MATCH(I$7,$D$7:$L$7,0)),"")</f>
        <v>根</v>
      </c>
      <c r="J18" s="60">
        <f>IFERROR(INDEX('领用录入（明细）'!$B:$L,SMALL($B:$B,ROW(H12)),MATCH(J$7,$D$7:$L$7,0)),"")</f>
        <v>0</v>
      </c>
      <c r="K18" s="60">
        <f>IFERROR(INDEX('领用录入（明细）'!$B:$L,SMALL($B:$B,ROW(I12)),MATCH(K$7,$D$7:$L$7,0)),"")</f>
        <v>1</v>
      </c>
      <c r="L18" s="60">
        <f>IFERROR(INDEX('领用录入（明细）'!$B:$L,SMALL($B:$B,ROW(J12)),MATCH(L$7,$D$7:$L$7,0)),"")</f>
        <v>0</v>
      </c>
      <c r="M18" s="60">
        <f t="shared" si="0"/>
        <v>0</v>
      </c>
    </row>
    <row r="19" customHeight="1" spans="2:13">
      <c r="B19" s="62">
        <f>IF(AND('领用录入（明细）'!D:D=$F$4,'领用录入（明细）'!C:C&gt;=$J$4,'领用录入（明细）'!C:C&lt;=$L$4),ROW(),"-")</f>
        <v>19</v>
      </c>
      <c r="D19" s="59">
        <f>IFERROR(INDEX('领用录入（明细）'!$B:$L,SMALL($B:$B,ROW(B13)),MATCH(D$7,$D$7:$L$7,0)),"")</f>
        <v>342</v>
      </c>
      <c r="E19" s="114">
        <f>IFERROR(INDEX('领用录入（明细）'!$B:$L,SMALL($B:$B,ROW(C13)),MATCH(E$7,$D$7:$L$7,0)),"")</f>
        <v>44977</v>
      </c>
      <c r="F19" s="60" t="str">
        <f>IFERROR(INDEX('领用录入（明细）'!$B:$L,SMALL($B:$B,ROW(D13)),MATCH(F$7,$D$7:$L$7,0)),"")</f>
        <v>余慧娟</v>
      </c>
      <c r="G19" s="60" t="str">
        <f>IFERROR(INDEX('领用录入（明细）'!$B:$L,SMALL($B:$B,ROW(E13)),MATCH(G$7,$D$7:$L$7,0)),"")</f>
        <v>综合办</v>
      </c>
      <c r="H19" s="60" t="str">
        <f>IFERROR(INDEX('领用录入（明细）'!$B:$L,SMALL($B:$B,ROW(F13)),MATCH(H$7,$D$7:$L$7,0)),"")</f>
        <v>纳米海绵</v>
      </c>
      <c r="I19" s="60" t="str">
        <f>IFERROR(INDEX('领用录入（明细）'!$B:$L,SMALL($B:$B,ROW(G13)),MATCH(I$7,$D$7:$L$7,0)),"")</f>
        <v>个</v>
      </c>
      <c r="J19" s="60">
        <f>IFERROR(INDEX('领用录入（明细）'!$B:$L,SMALL($B:$B,ROW(H13)),MATCH(J$7,$D$7:$L$7,0)),"")</f>
        <v>0</v>
      </c>
      <c r="K19" s="60">
        <f>IFERROR(INDEX('领用录入（明细）'!$B:$L,SMALL($B:$B,ROW(I13)),MATCH(K$7,$D$7:$L$7,0)),"")</f>
        <v>1</v>
      </c>
      <c r="L19" s="60">
        <f>IFERROR(INDEX('领用录入（明细）'!$B:$L,SMALL($B:$B,ROW(J13)),MATCH(L$7,$D$7:$L$7,0)),"")</f>
        <v>0</v>
      </c>
      <c r="M19" s="60">
        <f t="shared" si="0"/>
        <v>0</v>
      </c>
    </row>
    <row r="20" customHeight="1" spans="2:13">
      <c r="B20" s="62" t="str">
        <f>IF(AND('领用录入（明细）'!D:D=$F$4,'领用录入（明细）'!C:C&gt;=$J$4,'领用录入（明细）'!C:C&lt;=$L$4),ROW(),"-")</f>
        <v>-</v>
      </c>
      <c r="D20" s="59">
        <f>IFERROR(INDEX('领用录入（明细）'!$B:$L,SMALL($B:$B,ROW(B14)),MATCH(D$7,$D$7:$L$7,0)),"")</f>
        <v>343</v>
      </c>
      <c r="E20" s="114">
        <f>IFERROR(INDEX('领用录入（明细）'!$B:$L,SMALL($B:$B,ROW(C14)),MATCH(E$7,$D$7:$L$7,0)),"")</f>
        <v>44977</v>
      </c>
      <c r="F20" s="60" t="str">
        <f>IFERROR(INDEX('领用录入（明细）'!$B:$L,SMALL($B:$B,ROW(D14)),MATCH(F$7,$D$7:$L$7,0)),"")</f>
        <v>余慧娟</v>
      </c>
      <c r="G20" s="60" t="str">
        <f>IFERROR(INDEX('领用录入（明细）'!$B:$L,SMALL($B:$B,ROW(E14)),MATCH(G$7,$D$7:$L$7,0)),"")</f>
        <v>综合办</v>
      </c>
      <c r="H20" s="60" t="str">
        <f>IFERROR(INDEX('领用录入（明细）'!$B:$L,SMALL($B:$B,ROW(F14)),MATCH(H$7,$D$7:$L$7,0)),"")</f>
        <v>304不锈钢饭勺</v>
      </c>
      <c r="I20" s="60" t="str">
        <f>IFERROR(INDEX('领用录入（明细）'!$B:$L,SMALL($B:$B,ROW(G14)),MATCH(I$7,$D$7:$L$7,0)),"")</f>
        <v>个</v>
      </c>
      <c r="J20" s="60">
        <f>IFERROR(INDEX('领用录入（明细）'!$B:$L,SMALL($B:$B,ROW(H14)),MATCH(J$7,$D$7:$L$7,0)),"")</f>
        <v>0</v>
      </c>
      <c r="K20" s="60">
        <f>IFERROR(INDEX('领用录入（明细）'!$B:$L,SMALL($B:$B,ROW(I14)),MATCH(K$7,$D$7:$L$7,0)),"")</f>
        <v>1</v>
      </c>
      <c r="L20" s="60">
        <f>IFERROR(INDEX('领用录入（明细）'!$B:$L,SMALL($B:$B,ROW(J14)),MATCH(L$7,$D$7:$L$7,0)),"")</f>
        <v>0</v>
      </c>
      <c r="M20" s="60">
        <f t="shared" si="0"/>
        <v>0</v>
      </c>
    </row>
    <row r="21" customHeight="1" spans="2:13">
      <c r="B21" s="62" t="str">
        <f>IF(AND('领用录入（明细）'!D:D=$F$4,'领用录入（明细）'!C:C&gt;=$J$4,'领用录入（明细）'!C:C&lt;=$L$4),ROW(),"-")</f>
        <v>-</v>
      </c>
      <c r="D21" s="59">
        <f>IFERROR(INDEX('领用录入（明细）'!$B:$L,SMALL($B:$B,ROW(B15)),MATCH(D$7,$D$7:$L$7,0)),"")</f>
        <v>344</v>
      </c>
      <c r="E21" s="114">
        <f>IFERROR(INDEX('领用录入（明细）'!$B:$L,SMALL($B:$B,ROW(C15)),MATCH(E$7,$D$7:$L$7,0)),"")</f>
        <v>44977</v>
      </c>
      <c r="F21" s="60" t="str">
        <f>IFERROR(INDEX('领用录入（明细）'!$B:$L,SMALL($B:$B,ROW(D15)),MATCH(F$7,$D$7:$L$7,0)),"")</f>
        <v>余慧娟</v>
      </c>
      <c r="G21" s="60" t="str">
        <f>IFERROR(INDEX('领用录入（明细）'!$B:$L,SMALL($B:$B,ROW(E15)),MATCH(G$7,$D$7:$L$7,0)),"")</f>
        <v>综合办</v>
      </c>
      <c r="H21" s="60" t="str">
        <f>IFERROR(INDEX('领用录入（明细）'!$B:$L,SMALL($B:$B,ROW(F15)),MATCH(H$7,$D$7:$L$7,0)),"")</f>
        <v>抹布</v>
      </c>
      <c r="I21" s="60" t="str">
        <f>IFERROR(INDEX('领用录入（明细）'!$B:$L,SMALL($B:$B,ROW(G15)),MATCH(I$7,$D$7:$L$7,0)),"")</f>
        <v>瓶</v>
      </c>
      <c r="J21" s="60">
        <f>IFERROR(INDEX('领用录入（明细）'!$B:$L,SMALL($B:$B,ROW(H15)),MATCH(J$7,$D$7:$L$7,0)),"")</f>
        <v>0</v>
      </c>
      <c r="K21" s="60">
        <f>IFERROR(INDEX('领用录入（明细）'!$B:$L,SMALL($B:$B,ROW(I15)),MATCH(K$7,$D$7:$L$7,0)),"")</f>
        <v>1</v>
      </c>
      <c r="L21" s="60">
        <f>IFERROR(INDEX('领用录入（明细）'!$B:$L,SMALL($B:$B,ROW(J15)),MATCH(L$7,$D$7:$L$7,0)),"")</f>
        <v>0</v>
      </c>
      <c r="M21" s="60">
        <f t="shared" si="0"/>
        <v>0</v>
      </c>
    </row>
    <row r="22" customHeight="1" spans="2:13">
      <c r="B22" s="62" t="str">
        <f>IF(AND('领用录入（明细）'!D:D=$F$4,'领用录入（明细）'!C:C&gt;=$J$4,'领用录入（明细）'!C:C&lt;=$L$4),ROW(),"-")</f>
        <v>-</v>
      </c>
      <c r="D22" s="59">
        <f>IFERROR(INDEX('领用录入（明细）'!$B:$L,SMALL($B:$B,ROW(B16)),MATCH(D$7,$D$7:$L$7,0)),"")</f>
        <v>345</v>
      </c>
      <c r="E22" s="114">
        <f>IFERROR(INDEX('领用录入（明细）'!$B:$L,SMALL($B:$B,ROW(C16)),MATCH(E$7,$D$7:$L$7,0)),"")</f>
        <v>44977</v>
      </c>
      <c r="F22" s="60" t="str">
        <f>IFERROR(INDEX('领用录入（明细）'!$B:$L,SMALL($B:$B,ROW(D16)),MATCH(F$7,$D$7:$L$7,0)),"")</f>
        <v>余慧娟</v>
      </c>
      <c r="G22" s="60" t="str">
        <f>IFERROR(INDEX('领用录入（明细）'!$B:$L,SMALL($B:$B,ROW(E16)),MATCH(G$7,$D$7:$L$7,0)),"")</f>
        <v>综合办</v>
      </c>
      <c r="H22" s="60" t="str">
        <f>IFERROR(INDEX('领用录入（明细）'!$B:$L,SMALL($B:$B,ROW(F16)),MATCH(H$7,$D$7:$L$7,0)),"")</f>
        <v>久丽洗碗布</v>
      </c>
      <c r="I22" s="60" t="str">
        <f>IFERROR(INDEX('领用录入（明细）'!$B:$L,SMALL($B:$B,ROW(G16)),MATCH(I$7,$D$7:$L$7,0)),"")</f>
        <v>把</v>
      </c>
      <c r="J22" s="60">
        <f>IFERROR(INDEX('领用录入（明细）'!$B:$L,SMALL($B:$B,ROW(H16)),MATCH(J$7,$D$7:$L$7,0)),"")</f>
        <v>0</v>
      </c>
      <c r="K22" s="60">
        <f>IFERROR(INDEX('领用录入（明细）'!$B:$L,SMALL($B:$B,ROW(I16)),MATCH(K$7,$D$7:$L$7,0)),"")</f>
        <v>1</v>
      </c>
      <c r="L22" s="60">
        <f>IFERROR(INDEX('领用录入（明细）'!$B:$L,SMALL($B:$B,ROW(J16)),MATCH(L$7,$D$7:$L$7,0)),"")</f>
        <v>0</v>
      </c>
      <c r="M22" s="60">
        <f t="shared" si="0"/>
        <v>0</v>
      </c>
    </row>
    <row r="23" customHeight="1" spans="2:13">
      <c r="B23" s="62" t="str">
        <f>IF(AND('领用录入（明细）'!D:D=$F$4,'领用录入（明细）'!C:C&gt;=$J$4,'领用录入（明细）'!C:C&lt;=$L$4),ROW(),"-")</f>
        <v>-</v>
      </c>
      <c r="D23" s="59">
        <f>IFERROR(INDEX('领用录入（明细）'!$B:$L,SMALL($B:$B,ROW(B17)),MATCH(D$7,$D$7:$L$7,0)),"")</f>
        <v>346</v>
      </c>
      <c r="E23" s="114">
        <f>IFERROR(INDEX('领用录入（明细）'!$B:$L,SMALL($B:$B,ROW(C17)),MATCH(E$7,$D$7:$L$7,0)),"")</f>
        <v>44977</v>
      </c>
      <c r="F23" s="60" t="str">
        <f>IFERROR(INDEX('领用录入（明细）'!$B:$L,SMALL($B:$B,ROW(D17)),MATCH(F$7,$D$7:$L$7,0)),"")</f>
        <v>余慧娟</v>
      </c>
      <c r="G23" s="60" t="str">
        <f>IFERROR(INDEX('领用录入（明细）'!$B:$L,SMALL($B:$B,ROW(E17)),MATCH(G$7,$D$7:$L$7,0)),"")</f>
        <v>综合办</v>
      </c>
      <c r="H23" s="60" t="str">
        <f>IFERROR(INDEX('领用录入（明细）'!$B:$L,SMALL($B:$B,ROW(F17)),MATCH(H$7,$D$7:$L$7,0)),"")</f>
        <v>三角拖把</v>
      </c>
      <c r="I23" s="60" t="str">
        <f>IFERROR(INDEX('领用录入（明细）'!$B:$L,SMALL($B:$B,ROW(G17)),MATCH(I$7,$D$7:$L$7,0)),"")</f>
        <v>把</v>
      </c>
      <c r="J23" s="60">
        <f>IFERROR(INDEX('领用录入（明细）'!$B:$L,SMALL($B:$B,ROW(H17)),MATCH(J$7,$D$7:$L$7,0)),"")</f>
        <v>0</v>
      </c>
      <c r="K23" s="60">
        <f>IFERROR(INDEX('领用录入（明细）'!$B:$L,SMALL($B:$B,ROW(I17)),MATCH(K$7,$D$7:$L$7,0)),"")</f>
        <v>1</v>
      </c>
      <c r="L23" s="60">
        <f>IFERROR(INDEX('领用录入（明细）'!$B:$L,SMALL($B:$B,ROW(J17)),MATCH(L$7,$D$7:$L$7,0)),"")</f>
        <v>0</v>
      </c>
      <c r="M23" s="60">
        <f t="shared" si="0"/>
        <v>0</v>
      </c>
    </row>
    <row r="24" customHeight="1" spans="2:13">
      <c r="B24" s="62" t="str">
        <f>IF(AND('领用录入（明细）'!D:D=$F$4,'领用录入（明细）'!C:C&gt;=$J$4,'领用录入（明细）'!C:C&lt;=$L$4),ROW(),"-")</f>
        <v>-</v>
      </c>
      <c r="D24" s="59" t="str">
        <f>IFERROR(INDEX('领用录入（明细）'!$B:$L,SMALL($B:$B,ROW(B18)),MATCH(D$7,$D$7:$L$7,0)),"")</f>
        <v/>
      </c>
      <c r="E24" s="114" t="str">
        <f>IFERROR(INDEX('领用录入（明细）'!$B:$L,SMALL($B:$B,ROW(C18)),MATCH(E$7,$D$7:$L$7,0)),"")</f>
        <v/>
      </c>
      <c r="F24" s="60" t="str">
        <f>IFERROR(INDEX('领用录入（明细）'!$B:$L,SMALL($B:$B,ROW(D18)),MATCH(F$7,$D$7:$L$7,0)),"")</f>
        <v/>
      </c>
      <c r="G24" s="60" t="str">
        <f>IFERROR(INDEX('领用录入（明细）'!$B:$L,SMALL($B:$B,ROW(E18)),MATCH(G$7,$D$7:$L$7,0)),"")</f>
        <v/>
      </c>
      <c r="H24" s="60" t="str">
        <f>IFERROR(INDEX('领用录入（明细）'!$B:$L,SMALL($B:$B,ROW(F18)),MATCH(H$7,$D$7:$L$7,0)),"")</f>
        <v/>
      </c>
      <c r="I24" s="60" t="str">
        <f>IFERROR(INDEX('领用录入（明细）'!$B:$L,SMALL($B:$B,ROW(G18)),MATCH(I$7,$D$7:$L$7,0)),"")</f>
        <v/>
      </c>
      <c r="J24" s="60" t="str">
        <f>IFERROR(INDEX('领用录入（明细）'!$B:$L,SMALL($B:$B,ROW(H18)),MATCH(J$7,$D$7:$L$7,0)),"")</f>
        <v/>
      </c>
      <c r="K24" s="60" t="str">
        <f>IFERROR(INDEX('领用录入（明细）'!$B:$L,SMALL($B:$B,ROW(I18)),MATCH(K$7,$D$7:$L$7,0)),"")</f>
        <v/>
      </c>
      <c r="L24" s="60" t="str">
        <f>IFERROR(INDEX('领用录入（明细）'!$B:$L,SMALL($B:$B,ROW(J18)),MATCH(L$7,$D$7:$L$7,0)),"")</f>
        <v/>
      </c>
      <c r="M24" s="60" t="str">
        <f t="shared" si="0"/>
        <v/>
      </c>
    </row>
    <row r="25" customHeight="1" spans="2:13">
      <c r="B25" s="62" t="str">
        <f>IF(AND('领用录入（明细）'!D:D=$F$4,'领用录入（明细）'!C:C&gt;=$J$4,'领用录入（明细）'!C:C&lt;=$L$4),ROW(),"-")</f>
        <v>-</v>
      </c>
      <c r="D25" s="59" t="str">
        <f>IFERROR(INDEX('领用录入（明细）'!$B:$L,SMALL($B:$B,ROW(B19)),MATCH(D$7,$D$7:$L$7,0)),"")</f>
        <v/>
      </c>
      <c r="E25" s="114" t="str">
        <f>IFERROR(INDEX('领用录入（明细）'!$B:$L,SMALL($B:$B,ROW(C19)),MATCH(E$7,$D$7:$L$7,0)),"")</f>
        <v/>
      </c>
      <c r="F25" s="60" t="str">
        <f>IFERROR(INDEX('领用录入（明细）'!$B:$L,SMALL($B:$B,ROW(D19)),MATCH(F$7,$D$7:$L$7,0)),"")</f>
        <v/>
      </c>
      <c r="G25" s="60" t="str">
        <f>IFERROR(INDEX('领用录入（明细）'!$B:$L,SMALL($B:$B,ROW(E19)),MATCH(G$7,$D$7:$L$7,0)),"")</f>
        <v/>
      </c>
      <c r="H25" s="60" t="str">
        <f>IFERROR(INDEX('领用录入（明细）'!$B:$L,SMALL($B:$B,ROW(F19)),MATCH(H$7,$D$7:$L$7,0)),"")</f>
        <v/>
      </c>
      <c r="I25" s="60" t="str">
        <f>IFERROR(INDEX('领用录入（明细）'!$B:$L,SMALL($B:$B,ROW(G19)),MATCH(I$7,$D$7:$L$7,0)),"")</f>
        <v/>
      </c>
      <c r="J25" s="60" t="str">
        <f>IFERROR(INDEX('领用录入（明细）'!$B:$L,SMALL($B:$B,ROW(H19)),MATCH(J$7,$D$7:$L$7,0)),"")</f>
        <v/>
      </c>
      <c r="K25" s="60" t="str">
        <f>IFERROR(INDEX('领用录入（明细）'!$B:$L,SMALL($B:$B,ROW(I19)),MATCH(K$7,$D$7:$L$7,0)),"")</f>
        <v/>
      </c>
      <c r="L25" s="60" t="str">
        <f>IFERROR(INDEX('领用录入（明细）'!$B:$L,SMALL($B:$B,ROW(J19)),MATCH(L$7,$D$7:$L$7,0)),"")</f>
        <v/>
      </c>
      <c r="M25" s="60" t="str">
        <f t="shared" si="0"/>
        <v/>
      </c>
    </row>
    <row r="26" customHeight="1" spans="2:13">
      <c r="B26" s="62" t="str">
        <f>IF(AND('领用录入（明细）'!D:D=$F$4,'领用录入（明细）'!C:C&gt;=$J$4,'领用录入（明细）'!C:C&lt;=$L$4),ROW(),"-")</f>
        <v>-</v>
      </c>
      <c r="D26" s="59" t="str">
        <f>IFERROR(INDEX('领用录入（明细）'!$B:$L,SMALL($B:$B,ROW(B20)),MATCH(D$7,$D$7:$L$7,0)),"")</f>
        <v/>
      </c>
      <c r="E26" s="114" t="str">
        <f>IFERROR(INDEX('领用录入（明细）'!$B:$L,SMALL($B:$B,ROW(C20)),MATCH(E$7,$D$7:$L$7,0)),"")</f>
        <v/>
      </c>
      <c r="F26" s="60" t="str">
        <f>IFERROR(INDEX('领用录入（明细）'!$B:$L,SMALL($B:$B,ROW(D20)),MATCH(F$7,$D$7:$L$7,0)),"")</f>
        <v/>
      </c>
      <c r="G26" s="60" t="str">
        <f>IFERROR(INDEX('领用录入（明细）'!$B:$L,SMALL($B:$B,ROW(E20)),MATCH(G$7,$D$7:$L$7,0)),"")</f>
        <v/>
      </c>
      <c r="H26" s="60" t="str">
        <f>IFERROR(INDEX('领用录入（明细）'!$B:$L,SMALL($B:$B,ROW(F20)),MATCH(H$7,$D$7:$L$7,0)),"")</f>
        <v/>
      </c>
      <c r="I26" s="60" t="str">
        <f>IFERROR(INDEX('领用录入（明细）'!$B:$L,SMALL($B:$B,ROW(G20)),MATCH(I$7,$D$7:$L$7,0)),"")</f>
        <v/>
      </c>
      <c r="J26" s="60" t="str">
        <f>IFERROR(INDEX('领用录入（明细）'!$B:$L,SMALL($B:$B,ROW(H20)),MATCH(J$7,$D$7:$L$7,0)),"")</f>
        <v/>
      </c>
      <c r="K26" s="60" t="str">
        <f>IFERROR(INDEX('领用录入（明细）'!$B:$L,SMALL($B:$B,ROW(I20)),MATCH(K$7,$D$7:$L$7,0)),"")</f>
        <v/>
      </c>
      <c r="L26" s="60" t="str">
        <f>IFERROR(INDEX('领用录入（明细）'!$B:$L,SMALL($B:$B,ROW(J20)),MATCH(L$7,$D$7:$L$7,0)),"")</f>
        <v/>
      </c>
      <c r="M26" s="60" t="str">
        <f t="shared" si="0"/>
        <v/>
      </c>
    </row>
    <row r="27" customHeight="1" spans="2:13">
      <c r="B27" s="62" t="str">
        <f>IF(AND('领用录入（明细）'!D:D=$F$4,'领用录入（明细）'!C:C&gt;=$J$4,'领用录入（明细）'!C:C&lt;=$L$4),ROW(),"-")</f>
        <v>-</v>
      </c>
      <c r="D27" s="59" t="str">
        <f>IFERROR(INDEX('领用录入（明细）'!$B:$L,SMALL($B:$B,ROW(B21)),MATCH(D$7,$D$7:$L$7,0)),"")</f>
        <v/>
      </c>
      <c r="E27" s="114" t="str">
        <f>IFERROR(INDEX('领用录入（明细）'!$B:$L,SMALL($B:$B,ROW(C21)),MATCH(E$7,$D$7:$L$7,0)),"")</f>
        <v/>
      </c>
      <c r="F27" s="60" t="str">
        <f>IFERROR(INDEX('领用录入（明细）'!$B:$L,SMALL($B:$B,ROW(D21)),MATCH(F$7,$D$7:$L$7,0)),"")</f>
        <v/>
      </c>
      <c r="G27" s="60" t="str">
        <f>IFERROR(INDEX('领用录入（明细）'!$B:$L,SMALL($B:$B,ROW(E21)),MATCH(G$7,$D$7:$L$7,0)),"")</f>
        <v/>
      </c>
      <c r="H27" s="60" t="str">
        <f>IFERROR(INDEX('领用录入（明细）'!$B:$L,SMALL($B:$B,ROW(F21)),MATCH(H$7,$D$7:$L$7,0)),"")</f>
        <v/>
      </c>
      <c r="I27" s="60" t="str">
        <f>IFERROR(INDEX('领用录入（明细）'!$B:$L,SMALL($B:$B,ROW(G21)),MATCH(I$7,$D$7:$L$7,0)),"")</f>
        <v/>
      </c>
      <c r="J27" s="60" t="str">
        <f>IFERROR(INDEX('领用录入（明细）'!$B:$L,SMALL($B:$B,ROW(H21)),MATCH(J$7,$D$7:$L$7,0)),"")</f>
        <v/>
      </c>
      <c r="K27" s="60" t="str">
        <f>IFERROR(INDEX('领用录入（明细）'!$B:$L,SMALL($B:$B,ROW(I21)),MATCH(K$7,$D$7:$L$7,0)),"")</f>
        <v/>
      </c>
      <c r="L27" s="60" t="str">
        <f>IFERROR(INDEX('领用录入（明细）'!$B:$L,SMALL($B:$B,ROW(J21)),MATCH(L$7,$D$7:$L$7,0)),"")</f>
        <v/>
      </c>
      <c r="M27" s="60" t="str">
        <f t="shared" si="0"/>
        <v/>
      </c>
    </row>
    <row r="28" customHeight="1" spans="2:13">
      <c r="B28" s="62" t="str">
        <f>IF(AND('领用录入（明细）'!D:D=$F$4,'领用录入（明细）'!C:C&gt;=$J$4,'领用录入（明细）'!C:C&lt;=$L$4),ROW(),"-")</f>
        <v>-</v>
      </c>
      <c r="D28" s="59" t="str">
        <f>IFERROR(INDEX('领用录入（明细）'!$B:$L,SMALL($B:$B,ROW(B22)),MATCH(D$7,$D$7:$L$7,0)),"")</f>
        <v/>
      </c>
      <c r="E28" s="114" t="str">
        <f>IFERROR(INDEX('领用录入（明细）'!$B:$L,SMALL($B:$B,ROW(C22)),MATCH(E$7,$D$7:$L$7,0)),"")</f>
        <v/>
      </c>
      <c r="F28" s="60" t="str">
        <f>IFERROR(INDEX('领用录入（明细）'!$B:$L,SMALL($B:$B,ROW(D22)),MATCH(F$7,$D$7:$L$7,0)),"")</f>
        <v/>
      </c>
      <c r="G28" s="60" t="str">
        <f>IFERROR(INDEX('领用录入（明细）'!$B:$L,SMALL($B:$B,ROW(E22)),MATCH(G$7,$D$7:$L$7,0)),"")</f>
        <v/>
      </c>
      <c r="H28" s="60" t="str">
        <f>IFERROR(INDEX('领用录入（明细）'!$B:$L,SMALL($B:$B,ROW(F22)),MATCH(H$7,$D$7:$L$7,0)),"")</f>
        <v/>
      </c>
      <c r="I28" s="60" t="str">
        <f>IFERROR(INDEX('领用录入（明细）'!$B:$L,SMALL($B:$B,ROW(G22)),MATCH(I$7,$D$7:$L$7,0)),"")</f>
        <v/>
      </c>
      <c r="J28" s="60" t="str">
        <f>IFERROR(INDEX('领用录入（明细）'!$B:$L,SMALL($B:$B,ROW(H22)),MATCH(J$7,$D$7:$L$7,0)),"")</f>
        <v/>
      </c>
      <c r="K28" s="60" t="str">
        <f>IFERROR(INDEX('领用录入（明细）'!$B:$L,SMALL($B:$B,ROW(I22)),MATCH(K$7,$D$7:$L$7,0)),"")</f>
        <v/>
      </c>
      <c r="L28" s="60" t="str">
        <f>IFERROR(INDEX('领用录入（明细）'!$B:$L,SMALL($B:$B,ROW(J22)),MATCH(L$7,$D$7:$L$7,0)),"")</f>
        <v/>
      </c>
      <c r="M28" s="60" t="str">
        <f t="shared" si="0"/>
        <v/>
      </c>
    </row>
    <row r="29" customHeight="1" spans="2:13">
      <c r="B29" s="62" t="str">
        <f>IF(AND('领用录入（明细）'!D:D=$F$4,'领用录入（明细）'!C:C&gt;=$J$4,'领用录入（明细）'!C:C&lt;=$L$4),ROW(),"-")</f>
        <v>-</v>
      </c>
      <c r="D29" s="59" t="str">
        <f>IFERROR(INDEX('领用录入（明细）'!$B:$L,SMALL($B:$B,ROW(B23)),MATCH(D$7,$D$7:$L$7,0)),"")</f>
        <v/>
      </c>
      <c r="E29" s="114" t="str">
        <f>IFERROR(INDEX('领用录入（明细）'!$B:$L,SMALL($B:$B,ROW(C23)),MATCH(E$7,$D$7:$L$7,0)),"")</f>
        <v/>
      </c>
      <c r="F29" s="60" t="str">
        <f>IFERROR(INDEX('领用录入（明细）'!$B:$L,SMALL($B:$B,ROW(D23)),MATCH(F$7,$D$7:$L$7,0)),"")</f>
        <v/>
      </c>
      <c r="G29" s="60" t="str">
        <f>IFERROR(INDEX('领用录入（明细）'!$B:$L,SMALL($B:$B,ROW(E23)),MATCH(G$7,$D$7:$L$7,0)),"")</f>
        <v/>
      </c>
      <c r="H29" s="60" t="str">
        <f>IFERROR(INDEX('领用录入（明细）'!$B:$L,SMALL($B:$B,ROW(F23)),MATCH(H$7,$D$7:$L$7,0)),"")</f>
        <v/>
      </c>
      <c r="I29" s="60" t="str">
        <f>IFERROR(INDEX('领用录入（明细）'!$B:$L,SMALL($B:$B,ROW(G23)),MATCH(I$7,$D$7:$L$7,0)),"")</f>
        <v/>
      </c>
      <c r="J29" s="60" t="str">
        <f>IFERROR(INDEX('领用录入（明细）'!$B:$L,SMALL($B:$B,ROW(H23)),MATCH(J$7,$D$7:$L$7,0)),"")</f>
        <v/>
      </c>
      <c r="K29" s="60" t="str">
        <f>IFERROR(INDEX('领用录入（明细）'!$B:$L,SMALL($B:$B,ROW(I23)),MATCH(K$7,$D$7:$L$7,0)),"")</f>
        <v/>
      </c>
      <c r="L29" s="60" t="str">
        <f>IFERROR(INDEX('领用录入（明细）'!$B:$L,SMALL($B:$B,ROW(J23)),MATCH(L$7,$D$7:$L$7,0)),"")</f>
        <v/>
      </c>
      <c r="M29" s="60" t="str">
        <f t="shared" si="0"/>
        <v/>
      </c>
    </row>
    <row r="30" customHeight="1" spans="2:13">
      <c r="B30" s="62" t="str">
        <f>IF(AND('领用录入（明细）'!D:D=$F$4,'领用录入（明细）'!C:C&gt;=$J$4,'领用录入（明细）'!C:C&lt;=$L$4),ROW(),"-")</f>
        <v>-</v>
      </c>
      <c r="D30" s="59" t="str">
        <f>IFERROR(INDEX('领用录入（明细）'!$B:$L,SMALL($B:$B,ROW(B24)),MATCH(D$7,$D$7:$L$7,0)),"")</f>
        <v/>
      </c>
      <c r="E30" s="114" t="str">
        <f>IFERROR(INDEX('领用录入（明细）'!$B:$L,SMALL($B:$B,ROW(C24)),MATCH(E$7,$D$7:$L$7,0)),"")</f>
        <v/>
      </c>
      <c r="F30" s="60" t="str">
        <f>IFERROR(INDEX('领用录入（明细）'!$B:$L,SMALL($B:$B,ROW(D24)),MATCH(F$7,$D$7:$L$7,0)),"")</f>
        <v/>
      </c>
      <c r="G30" s="60" t="str">
        <f>IFERROR(INDEX('领用录入（明细）'!$B:$L,SMALL($B:$B,ROW(E24)),MATCH(G$7,$D$7:$L$7,0)),"")</f>
        <v/>
      </c>
      <c r="H30" s="60" t="str">
        <f>IFERROR(INDEX('领用录入（明细）'!$B:$L,SMALL($B:$B,ROW(F24)),MATCH(H$7,$D$7:$L$7,0)),"")</f>
        <v/>
      </c>
      <c r="I30" s="60" t="str">
        <f>IFERROR(INDEX('领用录入（明细）'!$B:$L,SMALL($B:$B,ROW(G24)),MATCH(I$7,$D$7:$L$7,0)),"")</f>
        <v/>
      </c>
      <c r="J30" s="60" t="str">
        <f>IFERROR(INDEX('领用录入（明细）'!$B:$L,SMALL($B:$B,ROW(H24)),MATCH(J$7,$D$7:$L$7,0)),"")</f>
        <v/>
      </c>
      <c r="K30" s="60" t="str">
        <f>IFERROR(INDEX('领用录入（明细）'!$B:$L,SMALL($B:$B,ROW(I24)),MATCH(K$7,$D$7:$L$7,0)),"")</f>
        <v/>
      </c>
      <c r="L30" s="60" t="str">
        <f>IFERROR(INDEX('领用录入（明细）'!$B:$L,SMALL($B:$B,ROW(J24)),MATCH(L$7,$D$7:$L$7,0)),"")</f>
        <v/>
      </c>
      <c r="M30" s="60" t="str">
        <f t="shared" si="0"/>
        <v/>
      </c>
    </row>
    <row r="31" customHeight="1" spans="2:13">
      <c r="B31" s="62" t="str">
        <f>IF(AND('领用录入（明细）'!D:D=$F$4,'领用录入（明细）'!C:C&gt;=$J$4,'领用录入（明细）'!C:C&lt;=$L$4),ROW(),"-")</f>
        <v>-</v>
      </c>
      <c r="D31" s="59" t="str">
        <f>IFERROR(INDEX('领用录入（明细）'!$B:$L,SMALL($B:$B,ROW(B25)),MATCH(D$7,$D$7:$L$7,0)),"")</f>
        <v/>
      </c>
      <c r="E31" s="114" t="str">
        <f>IFERROR(INDEX('领用录入（明细）'!$B:$L,SMALL($B:$B,ROW(C25)),MATCH(E$7,$D$7:$L$7,0)),"")</f>
        <v/>
      </c>
      <c r="F31" s="60" t="str">
        <f>IFERROR(INDEX('领用录入（明细）'!$B:$L,SMALL($B:$B,ROW(D25)),MATCH(F$7,$D$7:$L$7,0)),"")</f>
        <v/>
      </c>
      <c r="G31" s="60" t="str">
        <f>IFERROR(INDEX('领用录入（明细）'!$B:$L,SMALL($B:$B,ROW(E25)),MATCH(G$7,$D$7:$L$7,0)),"")</f>
        <v/>
      </c>
      <c r="H31" s="60" t="str">
        <f>IFERROR(INDEX('领用录入（明细）'!$B:$L,SMALL($B:$B,ROW(F25)),MATCH(H$7,$D$7:$L$7,0)),"")</f>
        <v/>
      </c>
      <c r="I31" s="60" t="str">
        <f>IFERROR(INDEX('领用录入（明细）'!$B:$L,SMALL($B:$B,ROW(G25)),MATCH(I$7,$D$7:$L$7,0)),"")</f>
        <v/>
      </c>
      <c r="J31" s="60" t="str">
        <f>IFERROR(INDEX('领用录入（明细）'!$B:$L,SMALL($B:$B,ROW(H25)),MATCH(J$7,$D$7:$L$7,0)),"")</f>
        <v/>
      </c>
      <c r="K31" s="60" t="str">
        <f>IFERROR(INDEX('领用录入（明细）'!$B:$L,SMALL($B:$B,ROW(I25)),MATCH(K$7,$D$7:$L$7,0)),"")</f>
        <v/>
      </c>
      <c r="L31" s="60" t="str">
        <f>IFERROR(INDEX('领用录入（明细）'!$B:$L,SMALL($B:$B,ROW(J25)),MATCH(L$7,$D$7:$L$7,0)),"")</f>
        <v/>
      </c>
      <c r="M31" s="60" t="str">
        <f t="shared" si="0"/>
        <v/>
      </c>
    </row>
    <row r="32" customHeight="1" spans="2:13">
      <c r="B32" s="62" t="str">
        <f>IF(AND('领用录入（明细）'!D:D=$F$4,'领用录入（明细）'!C:C&gt;=$J$4,'领用录入（明细）'!C:C&lt;=$L$4),ROW(),"-")</f>
        <v>-</v>
      </c>
      <c r="D32" s="59" t="str">
        <f>IFERROR(INDEX('领用录入（明细）'!$B:$L,SMALL($B:$B,ROW(B26)),MATCH(D$7,$D$7:$L$7,0)),"")</f>
        <v/>
      </c>
      <c r="E32" s="114" t="str">
        <f>IFERROR(INDEX('领用录入（明细）'!$B:$L,SMALL($B:$B,ROW(C26)),MATCH(E$7,$D$7:$L$7,0)),"")</f>
        <v/>
      </c>
      <c r="F32" s="60" t="str">
        <f>IFERROR(INDEX('领用录入（明细）'!$B:$L,SMALL($B:$B,ROW(D26)),MATCH(F$7,$D$7:$L$7,0)),"")</f>
        <v/>
      </c>
      <c r="G32" s="60" t="str">
        <f>IFERROR(INDEX('领用录入（明细）'!$B:$L,SMALL($B:$B,ROW(E26)),MATCH(G$7,$D$7:$L$7,0)),"")</f>
        <v/>
      </c>
      <c r="H32" s="60" t="str">
        <f>IFERROR(INDEX('领用录入（明细）'!$B:$L,SMALL($B:$B,ROW(F26)),MATCH(H$7,$D$7:$L$7,0)),"")</f>
        <v/>
      </c>
      <c r="I32" s="60" t="str">
        <f>IFERROR(INDEX('领用录入（明细）'!$B:$L,SMALL($B:$B,ROW(G26)),MATCH(I$7,$D$7:$L$7,0)),"")</f>
        <v/>
      </c>
      <c r="J32" s="60" t="str">
        <f>IFERROR(INDEX('领用录入（明细）'!$B:$L,SMALL($B:$B,ROW(H26)),MATCH(J$7,$D$7:$L$7,0)),"")</f>
        <v/>
      </c>
      <c r="K32" s="60" t="str">
        <f>IFERROR(INDEX('领用录入（明细）'!$B:$L,SMALL($B:$B,ROW(I26)),MATCH(K$7,$D$7:$L$7,0)),"")</f>
        <v/>
      </c>
      <c r="L32" s="60" t="str">
        <f>IFERROR(INDEX('领用录入（明细）'!$B:$L,SMALL($B:$B,ROW(J26)),MATCH(L$7,$D$7:$L$7,0)),"")</f>
        <v/>
      </c>
      <c r="M32" s="60" t="str">
        <f t="shared" si="0"/>
        <v/>
      </c>
    </row>
    <row r="33" customHeight="1" spans="2:13">
      <c r="B33" s="62" t="str">
        <f>IF(AND('领用录入（明细）'!D:D=$F$4,'领用录入（明细）'!C:C&gt;=$J$4,'领用录入（明细）'!C:C&lt;=$L$4),ROW(),"-")</f>
        <v>-</v>
      </c>
      <c r="D33" s="59" t="str">
        <f>IFERROR(INDEX('领用录入（明细）'!$B:$L,SMALL($B:$B,ROW(B27)),MATCH(D$7,$D$7:$L$7,0)),"")</f>
        <v/>
      </c>
      <c r="E33" s="114" t="str">
        <f>IFERROR(INDEX('领用录入（明细）'!$B:$L,SMALL($B:$B,ROW(C27)),MATCH(E$7,$D$7:$L$7,0)),"")</f>
        <v/>
      </c>
      <c r="F33" s="60" t="str">
        <f>IFERROR(INDEX('领用录入（明细）'!$B:$L,SMALL($B:$B,ROW(D27)),MATCH(F$7,$D$7:$L$7,0)),"")</f>
        <v/>
      </c>
      <c r="G33" s="60" t="str">
        <f>IFERROR(INDEX('领用录入（明细）'!$B:$L,SMALL($B:$B,ROW(E27)),MATCH(G$7,$D$7:$L$7,0)),"")</f>
        <v/>
      </c>
      <c r="H33" s="60" t="str">
        <f>IFERROR(INDEX('领用录入（明细）'!$B:$L,SMALL($B:$B,ROW(F27)),MATCH(H$7,$D$7:$L$7,0)),"")</f>
        <v/>
      </c>
      <c r="I33" s="60" t="str">
        <f>IFERROR(INDEX('领用录入（明细）'!$B:$L,SMALL($B:$B,ROW(G27)),MATCH(I$7,$D$7:$L$7,0)),"")</f>
        <v/>
      </c>
      <c r="J33" s="60" t="str">
        <f>IFERROR(INDEX('领用录入（明细）'!$B:$L,SMALL($B:$B,ROW(H27)),MATCH(J$7,$D$7:$L$7,0)),"")</f>
        <v/>
      </c>
      <c r="K33" s="60" t="str">
        <f>IFERROR(INDEX('领用录入（明细）'!$B:$L,SMALL($B:$B,ROW(I27)),MATCH(K$7,$D$7:$L$7,0)),"")</f>
        <v/>
      </c>
      <c r="L33" s="60" t="str">
        <f>IFERROR(INDEX('领用录入（明细）'!$B:$L,SMALL($B:$B,ROW(J27)),MATCH(L$7,$D$7:$L$7,0)),"")</f>
        <v/>
      </c>
      <c r="M33" s="60" t="str">
        <f t="shared" si="0"/>
        <v/>
      </c>
    </row>
    <row r="34" customHeight="1" spans="2:13">
      <c r="B34" s="62" t="str">
        <f>IF(AND('领用录入（明细）'!D:D=$F$4,'领用录入（明细）'!C:C&gt;=$J$4,'领用录入（明细）'!C:C&lt;=$L$4),ROW(),"-")</f>
        <v>-</v>
      </c>
      <c r="D34" s="59" t="str">
        <f>IFERROR(INDEX('领用录入（明细）'!$B:$L,SMALL($B:$B,ROW(B28)),MATCH(D$7,$D$7:$L$7,0)),"")</f>
        <v/>
      </c>
      <c r="E34" s="114" t="str">
        <f>IFERROR(INDEX('领用录入（明细）'!$B:$L,SMALL($B:$B,ROW(C28)),MATCH(E$7,$D$7:$L$7,0)),"")</f>
        <v/>
      </c>
      <c r="F34" s="60" t="str">
        <f>IFERROR(INDEX('领用录入（明细）'!$B:$L,SMALL($B:$B,ROW(D28)),MATCH(F$7,$D$7:$L$7,0)),"")</f>
        <v/>
      </c>
      <c r="G34" s="60" t="str">
        <f>IFERROR(INDEX('领用录入（明细）'!$B:$L,SMALL($B:$B,ROW(E28)),MATCH(G$7,$D$7:$L$7,0)),"")</f>
        <v/>
      </c>
      <c r="H34" s="60" t="str">
        <f>IFERROR(INDEX('领用录入（明细）'!$B:$L,SMALL($B:$B,ROW(F28)),MATCH(H$7,$D$7:$L$7,0)),"")</f>
        <v/>
      </c>
      <c r="I34" s="60" t="str">
        <f>IFERROR(INDEX('领用录入（明细）'!$B:$L,SMALL($B:$B,ROW(G28)),MATCH(I$7,$D$7:$L$7,0)),"")</f>
        <v/>
      </c>
      <c r="J34" s="60" t="str">
        <f>IFERROR(INDEX('领用录入（明细）'!$B:$L,SMALL($B:$B,ROW(H28)),MATCH(J$7,$D$7:$L$7,0)),"")</f>
        <v/>
      </c>
      <c r="K34" s="60" t="str">
        <f>IFERROR(INDEX('领用录入（明细）'!$B:$L,SMALL($B:$B,ROW(I28)),MATCH(K$7,$D$7:$L$7,0)),"")</f>
        <v/>
      </c>
      <c r="L34" s="60" t="str">
        <f>IFERROR(INDEX('领用录入（明细）'!$B:$L,SMALL($B:$B,ROW(J28)),MATCH(L$7,$D$7:$L$7,0)),"")</f>
        <v/>
      </c>
      <c r="M34" s="60" t="str">
        <f t="shared" si="0"/>
        <v/>
      </c>
    </row>
    <row r="35" customHeight="1" spans="2:13">
      <c r="B35" s="62" t="str">
        <f>IF(AND('领用录入（明细）'!D:D=$F$4,'领用录入（明细）'!C:C&gt;=$J$4,'领用录入（明细）'!C:C&lt;=$L$4),ROW(),"-")</f>
        <v>-</v>
      </c>
      <c r="D35" s="59" t="str">
        <f>IFERROR(INDEX('领用录入（明细）'!$B:$L,SMALL($B:$B,ROW(B29)),MATCH(D$7,$D$7:$L$7,0)),"")</f>
        <v/>
      </c>
      <c r="E35" s="114" t="str">
        <f>IFERROR(INDEX('领用录入（明细）'!$B:$L,SMALL($B:$B,ROW(C29)),MATCH(E$7,$D$7:$L$7,0)),"")</f>
        <v/>
      </c>
      <c r="F35" s="60" t="str">
        <f>IFERROR(INDEX('领用录入（明细）'!$B:$L,SMALL($B:$B,ROW(D29)),MATCH(F$7,$D$7:$L$7,0)),"")</f>
        <v/>
      </c>
      <c r="G35" s="60" t="str">
        <f>IFERROR(INDEX('领用录入（明细）'!$B:$L,SMALL($B:$B,ROW(E29)),MATCH(G$7,$D$7:$L$7,0)),"")</f>
        <v/>
      </c>
      <c r="H35" s="60" t="str">
        <f>IFERROR(INDEX('领用录入（明细）'!$B:$L,SMALL($B:$B,ROW(F29)),MATCH(H$7,$D$7:$L$7,0)),"")</f>
        <v/>
      </c>
      <c r="I35" s="60" t="str">
        <f>IFERROR(INDEX('领用录入（明细）'!$B:$L,SMALL($B:$B,ROW(G29)),MATCH(I$7,$D$7:$L$7,0)),"")</f>
        <v/>
      </c>
      <c r="J35" s="60" t="str">
        <f>IFERROR(INDEX('领用录入（明细）'!$B:$L,SMALL($B:$B,ROW(H29)),MATCH(J$7,$D$7:$L$7,0)),"")</f>
        <v/>
      </c>
      <c r="K35" s="60" t="str">
        <f>IFERROR(INDEX('领用录入（明细）'!$B:$L,SMALL($B:$B,ROW(I29)),MATCH(K$7,$D$7:$L$7,0)),"")</f>
        <v/>
      </c>
      <c r="L35" s="60" t="str">
        <f>IFERROR(INDEX('领用录入（明细）'!$B:$L,SMALL($B:$B,ROW(J29)),MATCH(L$7,$D$7:$L$7,0)),"")</f>
        <v/>
      </c>
      <c r="M35" s="60" t="str">
        <f t="shared" si="0"/>
        <v/>
      </c>
    </row>
    <row r="36" customHeight="1" spans="2:13">
      <c r="B36" s="62" t="str">
        <f>IF(AND('领用录入（明细）'!D:D=$F$4,'领用录入（明细）'!C:C&gt;=$J$4,'领用录入（明细）'!C:C&lt;=$L$4),ROW(),"-")</f>
        <v>-</v>
      </c>
      <c r="D36" s="59" t="str">
        <f>IFERROR(INDEX('领用录入（明细）'!$B:$L,SMALL($B:$B,ROW(B30)),MATCH(D$7,$D$7:$L$7,0)),"")</f>
        <v/>
      </c>
      <c r="E36" s="114" t="str">
        <f>IFERROR(INDEX('领用录入（明细）'!$B:$L,SMALL($B:$B,ROW(C30)),MATCH(E$7,$D$7:$L$7,0)),"")</f>
        <v/>
      </c>
      <c r="F36" s="60" t="str">
        <f>IFERROR(INDEX('领用录入（明细）'!$B:$L,SMALL($B:$B,ROW(D30)),MATCH(F$7,$D$7:$L$7,0)),"")</f>
        <v/>
      </c>
      <c r="G36" s="60" t="str">
        <f>IFERROR(INDEX('领用录入（明细）'!$B:$L,SMALL($B:$B,ROW(E30)),MATCH(G$7,$D$7:$L$7,0)),"")</f>
        <v/>
      </c>
      <c r="H36" s="60" t="str">
        <f>IFERROR(INDEX('领用录入（明细）'!$B:$L,SMALL($B:$B,ROW(F30)),MATCH(H$7,$D$7:$L$7,0)),"")</f>
        <v/>
      </c>
      <c r="I36" s="60" t="str">
        <f>IFERROR(INDEX('领用录入（明细）'!$B:$L,SMALL($B:$B,ROW(G30)),MATCH(I$7,$D$7:$L$7,0)),"")</f>
        <v/>
      </c>
      <c r="J36" s="60" t="str">
        <f>IFERROR(INDEX('领用录入（明细）'!$B:$L,SMALL($B:$B,ROW(H30)),MATCH(J$7,$D$7:$L$7,0)),"")</f>
        <v/>
      </c>
      <c r="K36" s="60" t="str">
        <f>IFERROR(INDEX('领用录入（明细）'!$B:$L,SMALL($B:$B,ROW(I30)),MATCH(K$7,$D$7:$L$7,0)),"")</f>
        <v/>
      </c>
      <c r="L36" s="60" t="str">
        <f>IFERROR(INDEX('领用录入（明细）'!$B:$L,SMALL($B:$B,ROW(J30)),MATCH(L$7,$D$7:$L$7,0)),"")</f>
        <v/>
      </c>
      <c r="M36" s="60" t="str">
        <f t="shared" si="0"/>
        <v/>
      </c>
    </row>
    <row r="37" customHeight="1" spans="2:13">
      <c r="B37" s="62" t="str">
        <f>IF(AND('领用录入（明细）'!D:D=$F$4,'领用录入（明细）'!C:C&gt;=$J$4,'领用录入（明细）'!C:C&lt;=$L$4),ROW(),"-")</f>
        <v>-</v>
      </c>
      <c r="D37" s="59" t="str">
        <f>IFERROR(INDEX('领用录入（明细）'!$B:$L,SMALL($B:$B,ROW(B31)),MATCH(D$7,$D$7:$L$7,0)),"")</f>
        <v/>
      </c>
      <c r="E37" s="114" t="str">
        <f>IFERROR(INDEX('领用录入（明细）'!$B:$L,SMALL($B:$B,ROW(C31)),MATCH(E$7,$D$7:$L$7,0)),"")</f>
        <v/>
      </c>
      <c r="F37" s="60" t="str">
        <f>IFERROR(INDEX('领用录入（明细）'!$B:$L,SMALL($B:$B,ROW(D31)),MATCH(F$7,$D$7:$L$7,0)),"")</f>
        <v/>
      </c>
      <c r="G37" s="60" t="str">
        <f>IFERROR(INDEX('领用录入（明细）'!$B:$L,SMALL($B:$B,ROW(E31)),MATCH(G$7,$D$7:$L$7,0)),"")</f>
        <v/>
      </c>
      <c r="H37" s="60" t="str">
        <f>IFERROR(INDEX('领用录入（明细）'!$B:$L,SMALL($B:$B,ROW(F31)),MATCH(H$7,$D$7:$L$7,0)),"")</f>
        <v/>
      </c>
      <c r="I37" s="60" t="str">
        <f>IFERROR(INDEX('领用录入（明细）'!$B:$L,SMALL($B:$B,ROW(G31)),MATCH(I$7,$D$7:$L$7,0)),"")</f>
        <v/>
      </c>
      <c r="J37" s="60" t="str">
        <f>IFERROR(INDEX('领用录入（明细）'!$B:$L,SMALL($B:$B,ROW(H31)),MATCH(J$7,$D$7:$L$7,0)),"")</f>
        <v/>
      </c>
      <c r="K37" s="60" t="str">
        <f>IFERROR(INDEX('领用录入（明细）'!$B:$L,SMALL($B:$B,ROW(I31)),MATCH(K$7,$D$7:$L$7,0)),"")</f>
        <v/>
      </c>
      <c r="L37" s="60" t="str">
        <f>IFERROR(INDEX('领用录入（明细）'!$B:$L,SMALL($B:$B,ROW(J31)),MATCH(L$7,$D$7:$L$7,0)),"")</f>
        <v/>
      </c>
      <c r="M37" s="60" t="str">
        <f t="shared" si="0"/>
        <v/>
      </c>
    </row>
    <row r="38" customHeight="1" spans="2:13">
      <c r="B38" s="62" t="str">
        <f>IF(AND('领用录入（明细）'!D:D=$F$4,'领用录入（明细）'!C:C&gt;=$J$4,'领用录入（明细）'!C:C&lt;=$L$4),ROW(),"-")</f>
        <v>-</v>
      </c>
      <c r="D38" s="59" t="str">
        <f>IFERROR(INDEX('领用录入（明细）'!$B:$L,SMALL($B:$B,ROW(B32)),MATCH(D$7,$D$7:$L$7,0)),"")</f>
        <v/>
      </c>
      <c r="E38" s="114" t="str">
        <f>IFERROR(INDEX('领用录入（明细）'!$B:$L,SMALL($B:$B,ROW(C32)),MATCH(E$7,$D$7:$L$7,0)),"")</f>
        <v/>
      </c>
      <c r="F38" s="60" t="str">
        <f>IFERROR(INDEX('领用录入（明细）'!$B:$L,SMALL($B:$B,ROW(D32)),MATCH(F$7,$D$7:$L$7,0)),"")</f>
        <v/>
      </c>
      <c r="G38" s="60" t="str">
        <f>IFERROR(INDEX('领用录入（明细）'!$B:$L,SMALL($B:$B,ROW(E32)),MATCH(G$7,$D$7:$L$7,0)),"")</f>
        <v/>
      </c>
      <c r="H38" s="60" t="str">
        <f>IFERROR(INDEX('领用录入（明细）'!$B:$L,SMALL($B:$B,ROW(F32)),MATCH(H$7,$D$7:$L$7,0)),"")</f>
        <v/>
      </c>
      <c r="I38" s="60" t="str">
        <f>IFERROR(INDEX('领用录入（明细）'!$B:$L,SMALL($B:$B,ROW(G32)),MATCH(I$7,$D$7:$L$7,0)),"")</f>
        <v/>
      </c>
      <c r="J38" s="60" t="str">
        <f>IFERROR(INDEX('领用录入（明细）'!$B:$L,SMALL($B:$B,ROW(H32)),MATCH(J$7,$D$7:$L$7,0)),"")</f>
        <v/>
      </c>
      <c r="K38" s="60" t="str">
        <f>IFERROR(INDEX('领用录入（明细）'!$B:$L,SMALL($B:$B,ROW(I32)),MATCH(K$7,$D$7:$L$7,0)),"")</f>
        <v/>
      </c>
      <c r="L38" s="60" t="str">
        <f>IFERROR(INDEX('领用录入（明细）'!$B:$L,SMALL($B:$B,ROW(J32)),MATCH(L$7,$D$7:$L$7,0)),"")</f>
        <v/>
      </c>
      <c r="M38" s="60" t="str">
        <f t="shared" si="0"/>
        <v/>
      </c>
    </row>
    <row r="39" customHeight="1" spans="2:13">
      <c r="B39" s="62" t="str">
        <f>IF(AND('领用录入（明细）'!D:D=$F$4,'领用录入（明细）'!C:C&gt;=$J$4,'领用录入（明细）'!C:C&lt;=$L$4),ROW(),"-")</f>
        <v>-</v>
      </c>
      <c r="D39" s="59" t="str">
        <f>IFERROR(INDEX('领用录入（明细）'!$B:$L,SMALL($B:$B,ROW(B33)),MATCH(D$7,$D$7:$L$7,0)),"")</f>
        <v/>
      </c>
      <c r="E39" s="114" t="str">
        <f>IFERROR(INDEX('领用录入（明细）'!$B:$L,SMALL($B:$B,ROW(C33)),MATCH(E$7,$D$7:$L$7,0)),"")</f>
        <v/>
      </c>
      <c r="F39" s="60" t="str">
        <f>IFERROR(INDEX('领用录入（明细）'!$B:$L,SMALL($B:$B,ROW(D33)),MATCH(F$7,$D$7:$L$7,0)),"")</f>
        <v/>
      </c>
      <c r="G39" s="60" t="str">
        <f>IFERROR(INDEX('领用录入（明细）'!$B:$L,SMALL($B:$B,ROW(E33)),MATCH(G$7,$D$7:$L$7,0)),"")</f>
        <v/>
      </c>
      <c r="H39" s="60" t="str">
        <f>IFERROR(INDEX('领用录入（明细）'!$B:$L,SMALL($B:$B,ROW(F33)),MATCH(H$7,$D$7:$L$7,0)),"")</f>
        <v/>
      </c>
      <c r="I39" s="60" t="str">
        <f>IFERROR(INDEX('领用录入（明细）'!$B:$L,SMALL($B:$B,ROW(G33)),MATCH(I$7,$D$7:$L$7,0)),"")</f>
        <v/>
      </c>
      <c r="J39" s="60" t="str">
        <f>IFERROR(INDEX('领用录入（明细）'!$B:$L,SMALL($B:$B,ROW(H33)),MATCH(J$7,$D$7:$L$7,0)),"")</f>
        <v/>
      </c>
      <c r="K39" s="60" t="str">
        <f>IFERROR(INDEX('领用录入（明细）'!$B:$L,SMALL($B:$B,ROW(I33)),MATCH(K$7,$D$7:$L$7,0)),"")</f>
        <v/>
      </c>
      <c r="L39" s="60" t="str">
        <f>IFERROR(INDEX('领用录入（明细）'!$B:$L,SMALL($B:$B,ROW(J33)),MATCH(L$7,$D$7:$L$7,0)),"")</f>
        <v/>
      </c>
      <c r="M39" s="60" t="str">
        <f t="shared" si="0"/>
        <v/>
      </c>
    </row>
    <row r="40" customHeight="1" spans="2:13">
      <c r="B40" s="62" t="str">
        <f>IF(AND('领用录入（明细）'!D:D=$F$4,'领用录入（明细）'!C:C&gt;=$J$4,'领用录入（明细）'!C:C&lt;=$L$4),ROW(),"-")</f>
        <v>-</v>
      </c>
      <c r="D40" s="59" t="str">
        <f>IFERROR(INDEX('领用录入（明细）'!$B:$L,SMALL($B:$B,ROW(B34)),MATCH(D$7,$D$7:$L$7,0)),"")</f>
        <v/>
      </c>
      <c r="E40" s="114" t="str">
        <f>IFERROR(INDEX('领用录入（明细）'!$B:$L,SMALL($B:$B,ROW(C34)),MATCH(E$7,$D$7:$L$7,0)),"")</f>
        <v/>
      </c>
      <c r="F40" s="60" t="str">
        <f>IFERROR(INDEX('领用录入（明细）'!$B:$L,SMALL($B:$B,ROW(D34)),MATCH(F$7,$D$7:$L$7,0)),"")</f>
        <v/>
      </c>
      <c r="G40" s="60" t="str">
        <f>IFERROR(INDEX('领用录入（明细）'!$B:$L,SMALL($B:$B,ROW(E34)),MATCH(G$7,$D$7:$L$7,0)),"")</f>
        <v/>
      </c>
      <c r="H40" s="60" t="str">
        <f>IFERROR(INDEX('领用录入（明细）'!$B:$L,SMALL($B:$B,ROW(F34)),MATCH(H$7,$D$7:$L$7,0)),"")</f>
        <v/>
      </c>
      <c r="I40" s="60" t="str">
        <f>IFERROR(INDEX('领用录入（明细）'!$B:$L,SMALL($B:$B,ROW(G34)),MATCH(I$7,$D$7:$L$7,0)),"")</f>
        <v/>
      </c>
      <c r="J40" s="60" t="str">
        <f>IFERROR(INDEX('领用录入（明细）'!$B:$L,SMALL($B:$B,ROW(H34)),MATCH(J$7,$D$7:$L$7,0)),"")</f>
        <v/>
      </c>
      <c r="K40" s="60" t="str">
        <f>IFERROR(INDEX('领用录入（明细）'!$B:$L,SMALL($B:$B,ROW(I34)),MATCH(K$7,$D$7:$L$7,0)),"")</f>
        <v/>
      </c>
      <c r="L40" s="60" t="str">
        <f>IFERROR(INDEX('领用录入（明细）'!$B:$L,SMALL($B:$B,ROW(J34)),MATCH(L$7,$D$7:$L$7,0)),"")</f>
        <v/>
      </c>
      <c r="M40" s="60" t="str">
        <f t="shared" si="0"/>
        <v/>
      </c>
    </row>
    <row r="41" customHeight="1" spans="2:13">
      <c r="B41" s="62" t="str">
        <f>IF(AND('领用录入（明细）'!D:D=$F$4,'领用录入（明细）'!C:C&gt;=$J$4,'领用录入（明细）'!C:C&lt;=$L$4),ROW(),"-")</f>
        <v>-</v>
      </c>
      <c r="D41" s="59" t="str">
        <f>IFERROR(INDEX('领用录入（明细）'!$B:$L,SMALL($B:$B,ROW(B35)),MATCH(D$7,$D$7:$L$7,0)),"")</f>
        <v/>
      </c>
      <c r="E41" s="114" t="str">
        <f>IFERROR(INDEX('领用录入（明细）'!$B:$L,SMALL($B:$B,ROW(C35)),MATCH(E$7,$D$7:$L$7,0)),"")</f>
        <v/>
      </c>
      <c r="F41" s="60" t="str">
        <f>IFERROR(INDEX('领用录入（明细）'!$B:$L,SMALL($B:$B,ROW(D35)),MATCH(F$7,$D$7:$L$7,0)),"")</f>
        <v/>
      </c>
      <c r="G41" s="60" t="str">
        <f>IFERROR(INDEX('领用录入（明细）'!$B:$L,SMALL($B:$B,ROW(E35)),MATCH(G$7,$D$7:$L$7,0)),"")</f>
        <v/>
      </c>
      <c r="H41" s="60" t="str">
        <f>IFERROR(INDEX('领用录入（明细）'!$B:$L,SMALL($B:$B,ROW(F35)),MATCH(H$7,$D$7:$L$7,0)),"")</f>
        <v/>
      </c>
      <c r="I41" s="60" t="str">
        <f>IFERROR(INDEX('领用录入（明细）'!$B:$L,SMALL($B:$B,ROW(G35)),MATCH(I$7,$D$7:$L$7,0)),"")</f>
        <v/>
      </c>
      <c r="J41" s="60" t="str">
        <f>IFERROR(INDEX('领用录入（明细）'!$B:$L,SMALL($B:$B,ROW(H35)),MATCH(J$7,$D$7:$L$7,0)),"")</f>
        <v/>
      </c>
      <c r="K41" s="60" t="str">
        <f>IFERROR(INDEX('领用录入（明细）'!$B:$L,SMALL($B:$B,ROW(I35)),MATCH(K$7,$D$7:$L$7,0)),"")</f>
        <v/>
      </c>
      <c r="L41" s="60" t="str">
        <f>IFERROR(INDEX('领用录入（明细）'!$B:$L,SMALL($B:$B,ROW(J35)),MATCH(L$7,$D$7:$L$7,0)),"")</f>
        <v/>
      </c>
      <c r="M41" s="60" t="str">
        <f t="shared" si="0"/>
        <v/>
      </c>
    </row>
    <row r="42" customHeight="1" spans="2:13">
      <c r="B42" s="62" t="str">
        <f>IF(AND('领用录入（明细）'!D:D=$F$4,'领用录入（明细）'!C:C&gt;=$J$4,'领用录入（明细）'!C:C&lt;=$L$4),ROW(),"-")</f>
        <v>-</v>
      </c>
      <c r="D42" s="59" t="str">
        <f>IFERROR(INDEX('领用录入（明细）'!$B:$L,SMALL($B:$B,ROW(B36)),MATCH(D$7,$D$7:$L$7,0)),"")</f>
        <v/>
      </c>
      <c r="E42" s="114" t="str">
        <f>IFERROR(INDEX('领用录入（明细）'!$B:$L,SMALL($B:$B,ROW(C36)),MATCH(E$7,$D$7:$L$7,0)),"")</f>
        <v/>
      </c>
      <c r="F42" s="60" t="str">
        <f>IFERROR(INDEX('领用录入（明细）'!$B:$L,SMALL($B:$B,ROW(D36)),MATCH(F$7,$D$7:$L$7,0)),"")</f>
        <v/>
      </c>
      <c r="G42" s="60" t="str">
        <f>IFERROR(INDEX('领用录入（明细）'!$B:$L,SMALL($B:$B,ROW(E36)),MATCH(G$7,$D$7:$L$7,0)),"")</f>
        <v/>
      </c>
      <c r="H42" s="60" t="str">
        <f>IFERROR(INDEX('领用录入（明细）'!$B:$L,SMALL($B:$B,ROW(F36)),MATCH(H$7,$D$7:$L$7,0)),"")</f>
        <v/>
      </c>
      <c r="I42" s="60" t="str">
        <f>IFERROR(INDEX('领用录入（明细）'!$B:$L,SMALL($B:$B,ROW(G36)),MATCH(I$7,$D$7:$L$7,0)),"")</f>
        <v/>
      </c>
      <c r="J42" s="60" t="str">
        <f>IFERROR(INDEX('领用录入（明细）'!$B:$L,SMALL($B:$B,ROW(H36)),MATCH(J$7,$D$7:$L$7,0)),"")</f>
        <v/>
      </c>
      <c r="K42" s="60" t="str">
        <f>IFERROR(INDEX('领用录入（明细）'!$B:$L,SMALL($B:$B,ROW(I36)),MATCH(K$7,$D$7:$L$7,0)),"")</f>
        <v/>
      </c>
      <c r="L42" s="60" t="str">
        <f>IFERROR(INDEX('领用录入（明细）'!$B:$L,SMALL($B:$B,ROW(J36)),MATCH(L$7,$D$7:$L$7,0)),"")</f>
        <v/>
      </c>
      <c r="M42" s="60" t="str">
        <f t="shared" si="0"/>
        <v/>
      </c>
    </row>
    <row r="43" customHeight="1" spans="2:13">
      <c r="B43" s="62" t="str">
        <f>IF(AND('领用录入（明细）'!D:D=$F$4,'领用录入（明细）'!C:C&gt;=$J$4,'领用录入（明细）'!C:C&lt;=$L$4),ROW(),"-")</f>
        <v>-</v>
      </c>
      <c r="D43" s="59" t="str">
        <f>IFERROR(INDEX('领用录入（明细）'!$B:$L,SMALL($B:$B,ROW(B37)),MATCH(D$7,$D$7:$L$7,0)),"")</f>
        <v/>
      </c>
      <c r="E43" s="114" t="str">
        <f>IFERROR(INDEX('领用录入（明细）'!$B:$L,SMALL($B:$B,ROW(C37)),MATCH(E$7,$D$7:$L$7,0)),"")</f>
        <v/>
      </c>
      <c r="F43" s="60" t="str">
        <f>IFERROR(INDEX('领用录入（明细）'!$B:$L,SMALL($B:$B,ROW(D37)),MATCH(F$7,$D$7:$L$7,0)),"")</f>
        <v/>
      </c>
      <c r="G43" s="60" t="str">
        <f>IFERROR(INDEX('领用录入（明细）'!$B:$L,SMALL($B:$B,ROW(E37)),MATCH(G$7,$D$7:$L$7,0)),"")</f>
        <v/>
      </c>
      <c r="H43" s="60" t="str">
        <f>IFERROR(INDEX('领用录入（明细）'!$B:$L,SMALL($B:$B,ROW(F37)),MATCH(H$7,$D$7:$L$7,0)),"")</f>
        <v/>
      </c>
      <c r="I43" s="60" t="str">
        <f>IFERROR(INDEX('领用录入（明细）'!$B:$L,SMALL($B:$B,ROW(G37)),MATCH(I$7,$D$7:$L$7,0)),"")</f>
        <v/>
      </c>
      <c r="J43" s="60" t="str">
        <f>IFERROR(INDEX('领用录入（明细）'!$B:$L,SMALL($B:$B,ROW(H37)),MATCH(J$7,$D$7:$L$7,0)),"")</f>
        <v/>
      </c>
      <c r="K43" s="60" t="str">
        <f>IFERROR(INDEX('领用录入（明细）'!$B:$L,SMALL($B:$B,ROW(I37)),MATCH(K$7,$D$7:$L$7,0)),"")</f>
        <v/>
      </c>
      <c r="L43" s="60" t="str">
        <f>IFERROR(INDEX('领用录入（明细）'!$B:$L,SMALL($B:$B,ROW(J37)),MATCH(L$7,$D$7:$L$7,0)),"")</f>
        <v/>
      </c>
      <c r="M43" s="60" t="str">
        <f t="shared" si="0"/>
        <v/>
      </c>
    </row>
    <row r="44" customHeight="1" spans="2:13">
      <c r="B44" s="62" t="str">
        <f>IF(AND('领用录入（明细）'!D:D=$F$4,'领用录入（明细）'!C:C&gt;=$J$4,'领用录入（明细）'!C:C&lt;=$L$4),ROW(),"-")</f>
        <v>-</v>
      </c>
      <c r="D44" s="59" t="str">
        <f>IFERROR(INDEX('领用录入（明细）'!$B:$L,SMALL($B:$B,ROW(B38)),MATCH(D$7,$D$7:$L$7,0)),"")</f>
        <v/>
      </c>
      <c r="E44" s="114" t="str">
        <f>IFERROR(INDEX('领用录入（明细）'!$B:$L,SMALL($B:$B,ROW(C38)),MATCH(E$7,$D$7:$L$7,0)),"")</f>
        <v/>
      </c>
      <c r="F44" s="60" t="str">
        <f>IFERROR(INDEX('领用录入（明细）'!$B:$L,SMALL($B:$B,ROW(D38)),MATCH(F$7,$D$7:$L$7,0)),"")</f>
        <v/>
      </c>
      <c r="G44" s="60" t="str">
        <f>IFERROR(INDEX('领用录入（明细）'!$B:$L,SMALL($B:$B,ROW(E38)),MATCH(G$7,$D$7:$L$7,0)),"")</f>
        <v/>
      </c>
      <c r="H44" s="60" t="str">
        <f>IFERROR(INDEX('领用录入（明细）'!$B:$L,SMALL($B:$B,ROW(F38)),MATCH(H$7,$D$7:$L$7,0)),"")</f>
        <v/>
      </c>
      <c r="I44" s="60" t="str">
        <f>IFERROR(INDEX('领用录入（明细）'!$B:$L,SMALL($B:$B,ROW(G38)),MATCH(I$7,$D$7:$L$7,0)),"")</f>
        <v/>
      </c>
      <c r="J44" s="60" t="str">
        <f>IFERROR(INDEX('领用录入（明细）'!$B:$L,SMALL($B:$B,ROW(H38)),MATCH(J$7,$D$7:$L$7,0)),"")</f>
        <v/>
      </c>
      <c r="K44" s="60" t="str">
        <f>IFERROR(INDEX('领用录入（明细）'!$B:$L,SMALL($B:$B,ROW(I38)),MATCH(K$7,$D$7:$L$7,0)),"")</f>
        <v/>
      </c>
      <c r="L44" s="60" t="str">
        <f>IFERROR(INDEX('领用录入（明细）'!$B:$L,SMALL($B:$B,ROW(J38)),MATCH(L$7,$D$7:$L$7,0)),"")</f>
        <v/>
      </c>
      <c r="M44" s="60" t="str">
        <f t="shared" si="0"/>
        <v/>
      </c>
    </row>
    <row r="45" customHeight="1" spans="2:13">
      <c r="B45" s="62" t="str">
        <f>IF(AND('领用录入（明细）'!D:D=$F$4,'领用录入（明细）'!C:C&gt;=$J$4,'领用录入（明细）'!C:C&lt;=$L$4),ROW(),"-")</f>
        <v>-</v>
      </c>
      <c r="D45" s="59" t="str">
        <f>IFERROR(INDEX('领用录入（明细）'!$B:$L,SMALL($B:$B,ROW(B39)),MATCH(D$7,$D$7:$L$7,0)),"")</f>
        <v/>
      </c>
      <c r="E45" s="114" t="str">
        <f>IFERROR(INDEX('领用录入（明细）'!$B:$L,SMALL($B:$B,ROW(C39)),MATCH(E$7,$D$7:$L$7,0)),"")</f>
        <v/>
      </c>
      <c r="F45" s="60" t="str">
        <f>IFERROR(INDEX('领用录入（明细）'!$B:$L,SMALL($B:$B,ROW(D39)),MATCH(F$7,$D$7:$L$7,0)),"")</f>
        <v/>
      </c>
      <c r="G45" s="60" t="str">
        <f>IFERROR(INDEX('领用录入（明细）'!$B:$L,SMALL($B:$B,ROW(E39)),MATCH(G$7,$D$7:$L$7,0)),"")</f>
        <v/>
      </c>
      <c r="H45" s="60" t="str">
        <f>IFERROR(INDEX('领用录入（明细）'!$B:$L,SMALL($B:$B,ROW(F39)),MATCH(H$7,$D$7:$L$7,0)),"")</f>
        <v/>
      </c>
      <c r="I45" s="60" t="str">
        <f>IFERROR(INDEX('领用录入（明细）'!$B:$L,SMALL($B:$B,ROW(G39)),MATCH(I$7,$D$7:$L$7,0)),"")</f>
        <v/>
      </c>
      <c r="J45" s="60" t="str">
        <f>IFERROR(INDEX('领用录入（明细）'!$B:$L,SMALL($B:$B,ROW(H39)),MATCH(J$7,$D$7:$L$7,0)),"")</f>
        <v/>
      </c>
      <c r="K45" s="60" t="str">
        <f>IFERROR(INDEX('领用录入（明细）'!$B:$L,SMALL($B:$B,ROW(I39)),MATCH(K$7,$D$7:$L$7,0)),"")</f>
        <v/>
      </c>
      <c r="L45" s="60" t="str">
        <f>IFERROR(INDEX('领用录入（明细）'!$B:$L,SMALL($B:$B,ROW(J39)),MATCH(L$7,$D$7:$L$7,0)),"")</f>
        <v/>
      </c>
      <c r="M45" s="60" t="str">
        <f t="shared" si="0"/>
        <v/>
      </c>
    </row>
    <row r="46" customHeight="1" spans="2:13">
      <c r="B46" s="62" t="str">
        <f>IF(AND('领用录入（明细）'!D:D=$F$4,'领用录入（明细）'!C:C&gt;=$J$4,'领用录入（明细）'!C:C&lt;=$L$4),ROW(),"-")</f>
        <v>-</v>
      </c>
      <c r="D46" s="59" t="str">
        <f>IFERROR(INDEX('领用录入（明细）'!$B:$L,SMALL($B:$B,ROW(B40)),MATCH(D$7,$D$7:$L$7,0)),"")</f>
        <v/>
      </c>
      <c r="E46" s="114" t="str">
        <f>IFERROR(INDEX('领用录入（明细）'!$B:$L,SMALL($B:$B,ROW(C40)),MATCH(E$7,$D$7:$L$7,0)),"")</f>
        <v/>
      </c>
      <c r="F46" s="60" t="str">
        <f>IFERROR(INDEX('领用录入（明细）'!$B:$L,SMALL($B:$B,ROW(D40)),MATCH(F$7,$D$7:$L$7,0)),"")</f>
        <v/>
      </c>
      <c r="G46" s="60" t="str">
        <f>IFERROR(INDEX('领用录入（明细）'!$B:$L,SMALL($B:$B,ROW(E40)),MATCH(G$7,$D$7:$L$7,0)),"")</f>
        <v/>
      </c>
      <c r="H46" s="60" t="str">
        <f>IFERROR(INDEX('领用录入（明细）'!$B:$L,SMALL($B:$B,ROW(F40)),MATCH(H$7,$D$7:$L$7,0)),"")</f>
        <v/>
      </c>
      <c r="I46" s="60" t="str">
        <f>IFERROR(INDEX('领用录入（明细）'!$B:$L,SMALL($B:$B,ROW(G40)),MATCH(I$7,$D$7:$L$7,0)),"")</f>
        <v/>
      </c>
      <c r="J46" s="60" t="str">
        <f>IFERROR(INDEX('领用录入（明细）'!$B:$L,SMALL($B:$B,ROW(H40)),MATCH(J$7,$D$7:$L$7,0)),"")</f>
        <v/>
      </c>
      <c r="K46" s="60" t="str">
        <f>IFERROR(INDEX('领用录入（明细）'!$B:$L,SMALL($B:$B,ROW(I40)),MATCH(K$7,$D$7:$L$7,0)),"")</f>
        <v/>
      </c>
      <c r="L46" s="60" t="str">
        <f>IFERROR(INDEX('领用录入（明细）'!$B:$L,SMALL($B:$B,ROW(J40)),MATCH(L$7,$D$7:$L$7,0)),"")</f>
        <v/>
      </c>
      <c r="M46" s="60" t="str">
        <f t="shared" si="0"/>
        <v/>
      </c>
    </row>
    <row r="47" customHeight="1" spans="2:13">
      <c r="B47" s="62" t="str">
        <f>IF(AND('领用录入（明细）'!D:D=$F$4,'领用录入（明细）'!C:C&gt;=$J$4,'领用录入（明细）'!C:C&lt;=$L$4),ROW(),"-")</f>
        <v>-</v>
      </c>
      <c r="D47" s="59" t="str">
        <f>IFERROR(INDEX('领用录入（明细）'!$B:$L,SMALL($B:$B,ROW(B41)),MATCH(D$7,$D$7:$L$7,0)),"")</f>
        <v/>
      </c>
      <c r="E47" s="114" t="str">
        <f>IFERROR(INDEX('领用录入（明细）'!$B:$L,SMALL($B:$B,ROW(C41)),MATCH(E$7,$D$7:$L$7,0)),"")</f>
        <v/>
      </c>
      <c r="F47" s="60" t="str">
        <f>IFERROR(INDEX('领用录入（明细）'!$B:$L,SMALL($B:$B,ROW(D41)),MATCH(F$7,$D$7:$L$7,0)),"")</f>
        <v/>
      </c>
      <c r="G47" s="60" t="str">
        <f>IFERROR(INDEX('领用录入（明细）'!$B:$L,SMALL($B:$B,ROW(E41)),MATCH(G$7,$D$7:$L$7,0)),"")</f>
        <v/>
      </c>
      <c r="H47" s="60" t="str">
        <f>IFERROR(INDEX('领用录入（明细）'!$B:$L,SMALL($B:$B,ROW(F41)),MATCH(H$7,$D$7:$L$7,0)),"")</f>
        <v/>
      </c>
      <c r="I47" s="60" t="str">
        <f>IFERROR(INDEX('领用录入（明细）'!$B:$L,SMALL($B:$B,ROW(G41)),MATCH(I$7,$D$7:$L$7,0)),"")</f>
        <v/>
      </c>
      <c r="J47" s="60" t="str">
        <f>IFERROR(INDEX('领用录入（明细）'!$B:$L,SMALL($B:$B,ROW(H41)),MATCH(J$7,$D$7:$L$7,0)),"")</f>
        <v/>
      </c>
      <c r="K47" s="60" t="str">
        <f>IFERROR(INDEX('领用录入（明细）'!$B:$L,SMALL($B:$B,ROW(I41)),MATCH(K$7,$D$7:$L$7,0)),"")</f>
        <v/>
      </c>
      <c r="L47" s="60" t="str">
        <f>IFERROR(INDEX('领用录入（明细）'!$B:$L,SMALL($B:$B,ROW(J41)),MATCH(L$7,$D$7:$L$7,0)),"")</f>
        <v/>
      </c>
      <c r="M47" s="60" t="str">
        <f t="shared" si="0"/>
        <v/>
      </c>
    </row>
    <row r="48" customHeight="1" spans="2:13">
      <c r="B48" s="62" t="str">
        <f>IF(AND('领用录入（明细）'!D:D=$F$4,'领用录入（明细）'!C:C&gt;=$J$4,'领用录入（明细）'!C:C&lt;=$L$4),ROW(),"-")</f>
        <v>-</v>
      </c>
      <c r="D48" s="59" t="str">
        <f>IFERROR(INDEX('领用录入（明细）'!$B:$L,SMALL($B:$B,ROW(B42)),MATCH(D$7,$D$7:$L$7,0)),"")</f>
        <v/>
      </c>
      <c r="E48" s="114" t="str">
        <f>IFERROR(INDEX('领用录入（明细）'!$B:$L,SMALL($B:$B,ROW(C42)),MATCH(E$7,$D$7:$L$7,0)),"")</f>
        <v/>
      </c>
      <c r="F48" s="60" t="str">
        <f>IFERROR(INDEX('领用录入（明细）'!$B:$L,SMALL($B:$B,ROW(D42)),MATCH(F$7,$D$7:$L$7,0)),"")</f>
        <v/>
      </c>
      <c r="G48" s="60" t="str">
        <f>IFERROR(INDEX('领用录入（明细）'!$B:$L,SMALL($B:$B,ROW(E42)),MATCH(G$7,$D$7:$L$7,0)),"")</f>
        <v/>
      </c>
      <c r="H48" s="60" t="str">
        <f>IFERROR(INDEX('领用录入（明细）'!$B:$L,SMALL($B:$B,ROW(F42)),MATCH(H$7,$D$7:$L$7,0)),"")</f>
        <v/>
      </c>
      <c r="I48" s="60" t="str">
        <f>IFERROR(INDEX('领用录入（明细）'!$B:$L,SMALL($B:$B,ROW(G42)),MATCH(I$7,$D$7:$L$7,0)),"")</f>
        <v/>
      </c>
      <c r="J48" s="60" t="str">
        <f>IFERROR(INDEX('领用录入（明细）'!$B:$L,SMALL($B:$B,ROW(H42)),MATCH(J$7,$D$7:$L$7,0)),"")</f>
        <v/>
      </c>
      <c r="K48" s="60" t="str">
        <f>IFERROR(INDEX('领用录入（明细）'!$B:$L,SMALL($B:$B,ROW(I42)),MATCH(K$7,$D$7:$L$7,0)),"")</f>
        <v/>
      </c>
      <c r="L48" s="60" t="str">
        <f>IFERROR(INDEX('领用录入（明细）'!$B:$L,SMALL($B:$B,ROW(J42)),MATCH(L$7,$D$7:$L$7,0)),"")</f>
        <v/>
      </c>
      <c r="M48" s="60" t="str">
        <f t="shared" si="0"/>
        <v/>
      </c>
    </row>
    <row r="49" customHeight="1" spans="2:13">
      <c r="B49" s="62" t="str">
        <f>IF(AND('领用录入（明细）'!D:D=$F$4,'领用录入（明细）'!C:C&gt;=$J$4,'领用录入（明细）'!C:C&lt;=$L$4),ROW(),"-")</f>
        <v>-</v>
      </c>
      <c r="D49" s="59" t="str">
        <f>IFERROR(INDEX('领用录入（明细）'!$B:$L,SMALL($B:$B,ROW(B43)),MATCH(D$7,$D$7:$L$7,0)),"")</f>
        <v/>
      </c>
      <c r="E49" s="114" t="str">
        <f>IFERROR(INDEX('领用录入（明细）'!$B:$L,SMALL($B:$B,ROW(C43)),MATCH(E$7,$D$7:$L$7,0)),"")</f>
        <v/>
      </c>
      <c r="F49" s="60" t="str">
        <f>IFERROR(INDEX('领用录入（明细）'!$B:$L,SMALL($B:$B,ROW(D43)),MATCH(F$7,$D$7:$L$7,0)),"")</f>
        <v/>
      </c>
      <c r="G49" s="60" t="str">
        <f>IFERROR(INDEX('领用录入（明细）'!$B:$L,SMALL($B:$B,ROW(E43)),MATCH(G$7,$D$7:$L$7,0)),"")</f>
        <v/>
      </c>
      <c r="H49" s="60" t="str">
        <f>IFERROR(INDEX('领用录入（明细）'!$B:$L,SMALL($B:$B,ROW(F43)),MATCH(H$7,$D$7:$L$7,0)),"")</f>
        <v/>
      </c>
      <c r="I49" s="60" t="str">
        <f>IFERROR(INDEX('领用录入（明细）'!$B:$L,SMALL($B:$B,ROW(G43)),MATCH(I$7,$D$7:$L$7,0)),"")</f>
        <v/>
      </c>
      <c r="J49" s="60" t="str">
        <f>IFERROR(INDEX('领用录入（明细）'!$B:$L,SMALL($B:$B,ROW(H43)),MATCH(J$7,$D$7:$L$7,0)),"")</f>
        <v/>
      </c>
      <c r="K49" s="60" t="str">
        <f>IFERROR(INDEX('领用录入（明细）'!$B:$L,SMALL($B:$B,ROW(I43)),MATCH(K$7,$D$7:$L$7,0)),"")</f>
        <v/>
      </c>
      <c r="L49" s="60" t="str">
        <f>IFERROR(INDEX('领用录入（明细）'!$B:$L,SMALL($B:$B,ROW(J43)),MATCH(L$7,$D$7:$L$7,0)),"")</f>
        <v/>
      </c>
      <c r="M49" s="60" t="str">
        <f t="shared" si="0"/>
        <v/>
      </c>
    </row>
    <row r="50" customHeight="1" spans="2:13">
      <c r="B50" s="62" t="str">
        <f>IF(AND('领用录入（明细）'!D:D=$F$4,'领用录入（明细）'!C:C&gt;=$J$4,'领用录入（明细）'!C:C&lt;=$L$4),ROW(),"-")</f>
        <v>-</v>
      </c>
      <c r="D50" s="59" t="str">
        <f>IFERROR(INDEX('领用录入（明细）'!$B:$L,SMALL($B:$B,ROW(B44)),MATCH(D$7,$D$7:$L$7,0)),"")</f>
        <v/>
      </c>
      <c r="E50" s="114" t="str">
        <f>IFERROR(INDEX('领用录入（明细）'!$B:$L,SMALL($B:$B,ROW(C44)),MATCH(E$7,$D$7:$L$7,0)),"")</f>
        <v/>
      </c>
      <c r="F50" s="60" t="str">
        <f>IFERROR(INDEX('领用录入（明细）'!$B:$L,SMALL($B:$B,ROW(D44)),MATCH(F$7,$D$7:$L$7,0)),"")</f>
        <v/>
      </c>
      <c r="G50" s="60" t="str">
        <f>IFERROR(INDEX('领用录入（明细）'!$B:$L,SMALL($B:$B,ROW(E44)),MATCH(G$7,$D$7:$L$7,0)),"")</f>
        <v/>
      </c>
      <c r="H50" s="60" t="str">
        <f>IFERROR(INDEX('领用录入（明细）'!$B:$L,SMALL($B:$B,ROW(F44)),MATCH(H$7,$D$7:$L$7,0)),"")</f>
        <v/>
      </c>
      <c r="I50" s="60" t="str">
        <f>IFERROR(INDEX('领用录入（明细）'!$B:$L,SMALL($B:$B,ROW(G44)),MATCH(I$7,$D$7:$L$7,0)),"")</f>
        <v/>
      </c>
      <c r="J50" s="60" t="str">
        <f>IFERROR(INDEX('领用录入（明细）'!$B:$L,SMALL($B:$B,ROW(H44)),MATCH(J$7,$D$7:$L$7,0)),"")</f>
        <v/>
      </c>
      <c r="K50" s="60" t="str">
        <f>IFERROR(INDEX('领用录入（明细）'!$B:$L,SMALL($B:$B,ROW(I44)),MATCH(K$7,$D$7:$L$7,0)),"")</f>
        <v/>
      </c>
      <c r="L50" s="60" t="str">
        <f>IFERROR(INDEX('领用录入（明细）'!$B:$L,SMALL($B:$B,ROW(J44)),MATCH(L$7,$D$7:$L$7,0)),"")</f>
        <v/>
      </c>
      <c r="M50" s="60" t="str">
        <f t="shared" si="0"/>
        <v/>
      </c>
    </row>
    <row r="51" customHeight="1" spans="2:13">
      <c r="B51" s="62" t="str">
        <f>IF(AND('领用录入（明细）'!D:D=$F$4,'领用录入（明细）'!C:C&gt;=$J$4,'领用录入（明细）'!C:C&lt;=$L$4),ROW(),"-")</f>
        <v>-</v>
      </c>
      <c r="D51" s="59" t="str">
        <f>IFERROR(INDEX('领用录入（明细）'!$B:$L,SMALL($B:$B,ROW(B45)),MATCH(D$7,$D$7:$L$7,0)),"")</f>
        <v/>
      </c>
      <c r="E51" s="114" t="str">
        <f>IFERROR(INDEX('领用录入（明细）'!$B:$L,SMALL($B:$B,ROW(C45)),MATCH(E$7,$D$7:$L$7,0)),"")</f>
        <v/>
      </c>
      <c r="F51" s="60" t="str">
        <f>IFERROR(INDEX('领用录入（明细）'!$B:$L,SMALL($B:$B,ROW(D45)),MATCH(F$7,$D$7:$L$7,0)),"")</f>
        <v/>
      </c>
      <c r="G51" s="60" t="str">
        <f>IFERROR(INDEX('领用录入（明细）'!$B:$L,SMALL($B:$B,ROW(E45)),MATCH(G$7,$D$7:$L$7,0)),"")</f>
        <v/>
      </c>
      <c r="H51" s="60" t="str">
        <f>IFERROR(INDEX('领用录入（明细）'!$B:$L,SMALL($B:$B,ROW(F45)),MATCH(H$7,$D$7:$L$7,0)),"")</f>
        <v/>
      </c>
      <c r="I51" s="60" t="str">
        <f>IFERROR(INDEX('领用录入（明细）'!$B:$L,SMALL($B:$B,ROW(G45)),MATCH(I$7,$D$7:$L$7,0)),"")</f>
        <v/>
      </c>
      <c r="J51" s="60" t="str">
        <f>IFERROR(INDEX('领用录入（明细）'!$B:$L,SMALL($B:$B,ROW(H45)),MATCH(J$7,$D$7:$L$7,0)),"")</f>
        <v/>
      </c>
      <c r="K51" s="60" t="str">
        <f>IFERROR(INDEX('领用录入（明细）'!$B:$L,SMALL($B:$B,ROW(I45)),MATCH(K$7,$D$7:$L$7,0)),"")</f>
        <v/>
      </c>
      <c r="L51" s="60" t="str">
        <f>IFERROR(INDEX('领用录入（明细）'!$B:$L,SMALL($B:$B,ROW(J45)),MATCH(L$7,$D$7:$L$7,0)),"")</f>
        <v/>
      </c>
      <c r="M51" s="60" t="str">
        <f t="shared" si="0"/>
        <v/>
      </c>
    </row>
    <row r="52" customHeight="1" spans="2:13">
      <c r="B52" s="62" t="str">
        <f>IF(AND('领用录入（明细）'!D:D=$F$4,'领用录入（明细）'!C:C&gt;=$J$4,'领用录入（明细）'!C:C&lt;=$L$4),ROW(),"-")</f>
        <v>-</v>
      </c>
      <c r="D52" s="59" t="str">
        <f>IFERROR(INDEX('领用录入（明细）'!$B:$L,SMALL($B:$B,ROW(B46)),MATCH(D$7,$D$7:$L$7,0)),"")</f>
        <v/>
      </c>
      <c r="E52" s="114" t="str">
        <f>IFERROR(INDEX('领用录入（明细）'!$B:$L,SMALL($B:$B,ROW(C46)),MATCH(E$7,$D$7:$L$7,0)),"")</f>
        <v/>
      </c>
      <c r="F52" s="60" t="str">
        <f>IFERROR(INDEX('领用录入（明细）'!$B:$L,SMALL($B:$B,ROW(D46)),MATCH(F$7,$D$7:$L$7,0)),"")</f>
        <v/>
      </c>
      <c r="G52" s="60" t="str">
        <f>IFERROR(INDEX('领用录入（明细）'!$B:$L,SMALL($B:$B,ROW(E46)),MATCH(G$7,$D$7:$L$7,0)),"")</f>
        <v/>
      </c>
      <c r="H52" s="60" t="str">
        <f>IFERROR(INDEX('领用录入（明细）'!$B:$L,SMALL($B:$B,ROW(F46)),MATCH(H$7,$D$7:$L$7,0)),"")</f>
        <v/>
      </c>
      <c r="I52" s="60" t="str">
        <f>IFERROR(INDEX('领用录入（明细）'!$B:$L,SMALL($B:$B,ROW(G46)),MATCH(I$7,$D$7:$L$7,0)),"")</f>
        <v/>
      </c>
      <c r="J52" s="60" t="str">
        <f>IFERROR(INDEX('领用录入（明细）'!$B:$L,SMALL($B:$B,ROW(H46)),MATCH(J$7,$D$7:$L$7,0)),"")</f>
        <v/>
      </c>
      <c r="K52" s="60" t="str">
        <f>IFERROR(INDEX('领用录入（明细）'!$B:$L,SMALL($B:$B,ROW(I46)),MATCH(K$7,$D$7:$L$7,0)),"")</f>
        <v/>
      </c>
      <c r="L52" s="60" t="str">
        <f>IFERROR(INDEX('领用录入（明细）'!$B:$L,SMALL($B:$B,ROW(J46)),MATCH(L$7,$D$7:$L$7,0)),"")</f>
        <v/>
      </c>
      <c r="M52" s="60" t="str">
        <f t="shared" si="0"/>
        <v/>
      </c>
    </row>
    <row r="53" customHeight="1" spans="2:13">
      <c r="B53" s="62" t="str">
        <f>IF(AND('领用录入（明细）'!D:D=$F$4,'领用录入（明细）'!C:C&gt;=$J$4,'领用录入（明细）'!C:C&lt;=$L$4),ROW(),"-")</f>
        <v>-</v>
      </c>
      <c r="D53" s="59" t="str">
        <f>IFERROR(INDEX('领用录入（明细）'!$B:$L,SMALL($B:$B,ROW(B47)),MATCH(D$7,$D$7:$L$7,0)),"")</f>
        <v/>
      </c>
      <c r="E53" s="114" t="str">
        <f>IFERROR(INDEX('领用录入（明细）'!$B:$L,SMALL($B:$B,ROW(C47)),MATCH(E$7,$D$7:$L$7,0)),"")</f>
        <v/>
      </c>
      <c r="F53" s="60" t="str">
        <f>IFERROR(INDEX('领用录入（明细）'!$B:$L,SMALL($B:$B,ROW(D47)),MATCH(F$7,$D$7:$L$7,0)),"")</f>
        <v/>
      </c>
      <c r="G53" s="60" t="str">
        <f>IFERROR(INDEX('领用录入（明细）'!$B:$L,SMALL($B:$B,ROW(E47)),MATCH(G$7,$D$7:$L$7,0)),"")</f>
        <v/>
      </c>
      <c r="H53" s="60" t="str">
        <f>IFERROR(INDEX('领用录入（明细）'!$B:$L,SMALL($B:$B,ROW(F47)),MATCH(H$7,$D$7:$L$7,0)),"")</f>
        <v/>
      </c>
      <c r="I53" s="60" t="str">
        <f>IFERROR(INDEX('领用录入（明细）'!$B:$L,SMALL($B:$B,ROW(G47)),MATCH(I$7,$D$7:$L$7,0)),"")</f>
        <v/>
      </c>
      <c r="J53" s="60" t="str">
        <f>IFERROR(INDEX('领用录入（明细）'!$B:$L,SMALL($B:$B,ROW(H47)),MATCH(J$7,$D$7:$L$7,0)),"")</f>
        <v/>
      </c>
      <c r="K53" s="60" t="str">
        <f>IFERROR(INDEX('领用录入（明细）'!$B:$L,SMALL($B:$B,ROW(I47)),MATCH(K$7,$D$7:$L$7,0)),"")</f>
        <v/>
      </c>
      <c r="L53" s="60" t="str">
        <f>IFERROR(INDEX('领用录入（明细）'!$B:$L,SMALL($B:$B,ROW(J47)),MATCH(L$7,$D$7:$L$7,0)),"")</f>
        <v/>
      </c>
      <c r="M53" s="60" t="str">
        <f t="shared" si="0"/>
        <v/>
      </c>
    </row>
    <row r="54" customHeight="1" spans="2:13">
      <c r="B54" s="62" t="str">
        <f>IF(AND('领用录入（明细）'!D:D=$F$4,'领用录入（明细）'!C:C&gt;=$J$4,'领用录入（明细）'!C:C&lt;=$L$4),ROW(),"-")</f>
        <v>-</v>
      </c>
      <c r="D54" s="59" t="str">
        <f>IFERROR(INDEX('领用录入（明细）'!$B:$L,SMALL($B:$B,ROW(B48)),MATCH(D$7,$D$7:$L$7,0)),"")</f>
        <v/>
      </c>
      <c r="E54" s="114" t="str">
        <f>IFERROR(INDEX('领用录入（明细）'!$B:$L,SMALL($B:$B,ROW(C48)),MATCH(E$7,$D$7:$L$7,0)),"")</f>
        <v/>
      </c>
      <c r="F54" s="60" t="str">
        <f>IFERROR(INDEX('领用录入（明细）'!$B:$L,SMALL($B:$B,ROW(D48)),MATCH(F$7,$D$7:$L$7,0)),"")</f>
        <v/>
      </c>
      <c r="G54" s="60" t="str">
        <f>IFERROR(INDEX('领用录入（明细）'!$B:$L,SMALL($B:$B,ROW(E48)),MATCH(G$7,$D$7:$L$7,0)),"")</f>
        <v/>
      </c>
      <c r="H54" s="60" t="str">
        <f>IFERROR(INDEX('领用录入（明细）'!$B:$L,SMALL($B:$B,ROW(F48)),MATCH(H$7,$D$7:$L$7,0)),"")</f>
        <v/>
      </c>
      <c r="I54" s="60" t="str">
        <f>IFERROR(INDEX('领用录入（明细）'!$B:$L,SMALL($B:$B,ROW(G48)),MATCH(I$7,$D$7:$L$7,0)),"")</f>
        <v/>
      </c>
      <c r="J54" s="60" t="str">
        <f>IFERROR(INDEX('领用录入（明细）'!$B:$L,SMALL($B:$B,ROW(H48)),MATCH(J$7,$D$7:$L$7,0)),"")</f>
        <v/>
      </c>
      <c r="K54" s="60" t="str">
        <f>IFERROR(INDEX('领用录入（明细）'!$B:$L,SMALL($B:$B,ROW(I48)),MATCH(K$7,$D$7:$L$7,0)),"")</f>
        <v/>
      </c>
      <c r="L54" s="60" t="str">
        <f>IFERROR(INDEX('领用录入（明细）'!$B:$L,SMALL($B:$B,ROW(J48)),MATCH(L$7,$D$7:$L$7,0)),"")</f>
        <v/>
      </c>
      <c r="M54" s="60" t="str">
        <f t="shared" si="0"/>
        <v/>
      </c>
    </row>
    <row r="55" customHeight="1" spans="2:13">
      <c r="B55" s="62" t="str">
        <f>IF(AND('领用录入（明细）'!D:D=$F$4,'领用录入（明细）'!C:C&gt;=$J$4,'领用录入（明细）'!C:C&lt;=$L$4),ROW(),"-")</f>
        <v>-</v>
      </c>
      <c r="D55" s="59" t="str">
        <f>IFERROR(INDEX('领用录入（明细）'!$B:$L,SMALL($B:$B,ROW(B49)),MATCH(D$7,$D$7:$L$7,0)),"")</f>
        <v/>
      </c>
      <c r="E55" s="114" t="str">
        <f>IFERROR(INDEX('领用录入（明细）'!$B:$L,SMALL($B:$B,ROW(C49)),MATCH(E$7,$D$7:$L$7,0)),"")</f>
        <v/>
      </c>
      <c r="F55" s="60" t="str">
        <f>IFERROR(INDEX('领用录入（明细）'!$B:$L,SMALL($B:$B,ROW(D49)),MATCH(F$7,$D$7:$L$7,0)),"")</f>
        <v/>
      </c>
      <c r="G55" s="60" t="str">
        <f>IFERROR(INDEX('领用录入（明细）'!$B:$L,SMALL($B:$B,ROW(E49)),MATCH(G$7,$D$7:$L$7,0)),"")</f>
        <v/>
      </c>
      <c r="H55" s="60" t="str">
        <f>IFERROR(INDEX('领用录入（明细）'!$B:$L,SMALL($B:$B,ROW(F49)),MATCH(H$7,$D$7:$L$7,0)),"")</f>
        <v/>
      </c>
      <c r="I55" s="60" t="str">
        <f>IFERROR(INDEX('领用录入（明细）'!$B:$L,SMALL($B:$B,ROW(G49)),MATCH(I$7,$D$7:$L$7,0)),"")</f>
        <v/>
      </c>
      <c r="J55" s="60" t="str">
        <f>IFERROR(INDEX('领用录入（明细）'!$B:$L,SMALL($B:$B,ROW(H49)),MATCH(J$7,$D$7:$L$7,0)),"")</f>
        <v/>
      </c>
      <c r="K55" s="60" t="str">
        <f>IFERROR(INDEX('领用录入（明细）'!$B:$L,SMALL($B:$B,ROW(I49)),MATCH(K$7,$D$7:$L$7,0)),"")</f>
        <v/>
      </c>
      <c r="L55" s="60" t="str">
        <f>IFERROR(INDEX('领用录入（明细）'!$B:$L,SMALL($B:$B,ROW(J49)),MATCH(L$7,$D$7:$L$7,0)),"")</f>
        <v/>
      </c>
      <c r="M55" s="60" t="str">
        <f t="shared" si="0"/>
        <v/>
      </c>
    </row>
    <row r="56" customHeight="1" spans="2:13">
      <c r="B56" s="62" t="str">
        <f>IF(AND('领用录入（明细）'!D:D=$F$4,'领用录入（明细）'!C:C&gt;=$J$4,'领用录入（明细）'!C:C&lt;=$L$4),ROW(),"-")</f>
        <v>-</v>
      </c>
      <c r="D56" s="59" t="str">
        <f>IFERROR(INDEX('领用录入（明细）'!$B:$L,SMALL($B:$B,ROW(B50)),MATCH(D$7,$D$7:$L$7,0)),"")</f>
        <v/>
      </c>
      <c r="E56" s="114" t="str">
        <f>IFERROR(INDEX('领用录入（明细）'!$B:$L,SMALL($B:$B,ROW(C50)),MATCH(E$7,$D$7:$L$7,0)),"")</f>
        <v/>
      </c>
      <c r="F56" s="60" t="str">
        <f>IFERROR(INDEX('领用录入（明细）'!$B:$L,SMALL($B:$B,ROW(D50)),MATCH(F$7,$D$7:$L$7,0)),"")</f>
        <v/>
      </c>
      <c r="G56" s="60" t="str">
        <f>IFERROR(INDEX('领用录入（明细）'!$B:$L,SMALL($B:$B,ROW(E50)),MATCH(G$7,$D$7:$L$7,0)),"")</f>
        <v/>
      </c>
      <c r="H56" s="60" t="str">
        <f>IFERROR(INDEX('领用录入（明细）'!$B:$L,SMALL($B:$B,ROW(F50)),MATCH(H$7,$D$7:$L$7,0)),"")</f>
        <v/>
      </c>
      <c r="I56" s="60" t="str">
        <f>IFERROR(INDEX('领用录入（明细）'!$B:$L,SMALL($B:$B,ROW(G50)),MATCH(I$7,$D$7:$L$7,0)),"")</f>
        <v/>
      </c>
      <c r="J56" s="60" t="str">
        <f>IFERROR(INDEX('领用录入（明细）'!$B:$L,SMALL($B:$B,ROW(H50)),MATCH(J$7,$D$7:$L$7,0)),"")</f>
        <v/>
      </c>
      <c r="K56" s="60" t="str">
        <f>IFERROR(INDEX('领用录入（明细）'!$B:$L,SMALL($B:$B,ROW(I50)),MATCH(K$7,$D$7:$L$7,0)),"")</f>
        <v/>
      </c>
      <c r="L56" s="60" t="str">
        <f>IFERROR(INDEX('领用录入（明细）'!$B:$L,SMALL($B:$B,ROW(J50)),MATCH(L$7,$D$7:$L$7,0)),"")</f>
        <v/>
      </c>
      <c r="M56" s="60" t="str">
        <f t="shared" si="0"/>
        <v/>
      </c>
    </row>
    <row r="57" customHeight="1" spans="2:13">
      <c r="B57" s="62" t="str">
        <f>IF(AND('领用录入（明细）'!D:D=$F$4,'领用录入（明细）'!C:C&gt;=$J$4,'领用录入（明细）'!C:C&lt;=$L$4),ROW(),"-")</f>
        <v>-</v>
      </c>
      <c r="D57" s="59" t="str">
        <f>IFERROR(INDEX('领用录入（明细）'!$B:$L,SMALL($B:$B,ROW(B51)),MATCH(D$7,$D$7:$L$7,0)),"")</f>
        <v/>
      </c>
      <c r="E57" s="114" t="str">
        <f>IFERROR(INDEX('领用录入（明细）'!$B:$L,SMALL($B:$B,ROW(C51)),MATCH(E$7,$D$7:$L$7,0)),"")</f>
        <v/>
      </c>
      <c r="F57" s="60" t="str">
        <f>IFERROR(INDEX('领用录入（明细）'!$B:$L,SMALL($B:$B,ROW(D51)),MATCH(F$7,$D$7:$L$7,0)),"")</f>
        <v/>
      </c>
      <c r="G57" s="60" t="str">
        <f>IFERROR(INDEX('领用录入（明细）'!$B:$L,SMALL($B:$B,ROW(E51)),MATCH(G$7,$D$7:$L$7,0)),"")</f>
        <v/>
      </c>
      <c r="H57" s="60" t="str">
        <f>IFERROR(INDEX('领用录入（明细）'!$B:$L,SMALL($B:$B,ROW(F51)),MATCH(H$7,$D$7:$L$7,0)),"")</f>
        <v/>
      </c>
      <c r="I57" s="60" t="str">
        <f>IFERROR(INDEX('领用录入（明细）'!$B:$L,SMALL($B:$B,ROW(G51)),MATCH(I$7,$D$7:$L$7,0)),"")</f>
        <v/>
      </c>
      <c r="J57" s="60" t="str">
        <f>IFERROR(INDEX('领用录入（明细）'!$B:$L,SMALL($B:$B,ROW(H51)),MATCH(J$7,$D$7:$L$7,0)),"")</f>
        <v/>
      </c>
      <c r="K57" s="60" t="str">
        <f>IFERROR(INDEX('领用录入（明细）'!$B:$L,SMALL($B:$B,ROW(I51)),MATCH(K$7,$D$7:$L$7,0)),"")</f>
        <v/>
      </c>
      <c r="L57" s="60" t="str">
        <f>IFERROR(INDEX('领用录入（明细）'!$B:$L,SMALL($B:$B,ROW(J51)),MATCH(L$7,$D$7:$L$7,0)),"")</f>
        <v/>
      </c>
      <c r="M57" s="60" t="str">
        <f t="shared" si="0"/>
        <v/>
      </c>
    </row>
    <row r="58" customHeight="1" spans="2:13">
      <c r="B58" s="62" t="str">
        <f>IF(AND('领用录入（明细）'!D:D=$F$4,'领用录入（明细）'!C:C&gt;=$J$4,'领用录入（明细）'!C:C&lt;=$L$4),ROW(),"-")</f>
        <v>-</v>
      </c>
      <c r="D58" s="59" t="str">
        <f>IFERROR(INDEX('领用录入（明细）'!$B:$L,SMALL($B:$B,ROW(B52)),MATCH(D$7,$D$7:$L$7,0)),"")</f>
        <v/>
      </c>
      <c r="E58" s="114" t="str">
        <f>IFERROR(INDEX('领用录入（明细）'!$B:$L,SMALL($B:$B,ROW(C52)),MATCH(E$7,$D$7:$L$7,0)),"")</f>
        <v/>
      </c>
      <c r="F58" s="60" t="str">
        <f>IFERROR(INDEX('领用录入（明细）'!$B:$L,SMALL($B:$B,ROW(D52)),MATCH(F$7,$D$7:$L$7,0)),"")</f>
        <v/>
      </c>
      <c r="G58" s="60" t="str">
        <f>IFERROR(INDEX('领用录入（明细）'!$B:$L,SMALL($B:$B,ROW(E52)),MATCH(G$7,$D$7:$L$7,0)),"")</f>
        <v/>
      </c>
      <c r="H58" s="60" t="str">
        <f>IFERROR(INDEX('领用录入（明细）'!$B:$L,SMALL($B:$B,ROW(F52)),MATCH(H$7,$D$7:$L$7,0)),"")</f>
        <v/>
      </c>
      <c r="I58" s="60" t="str">
        <f>IFERROR(INDEX('领用录入（明细）'!$B:$L,SMALL($B:$B,ROW(G52)),MATCH(I$7,$D$7:$L$7,0)),"")</f>
        <v/>
      </c>
      <c r="J58" s="60" t="str">
        <f>IFERROR(INDEX('领用录入（明细）'!$B:$L,SMALL($B:$B,ROW(H52)),MATCH(J$7,$D$7:$L$7,0)),"")</f>
        <v/>
      </c>
      <c r="K58" s="60" t="str">
        <f>IFERROR(INDEX('领用录入（明细）'!$B:$L,SMALL($B:$B,ROW(I52)),MATCH(K$7,$D$7:$L$7,0)),"")</f>
        <v/>
      </c>
      <c r="L58" s="60" t="str">
        <f>IFERROR(INDEX('领用录入（明细）'!$B:$L,SMALL($B:$B,ROW(J52)),MATCH(L$7,$D$7:$L$7,0)),"")</f>
        <v/>
      </c>
      <c r="M58" s="60" t="str">
        <f t="shared" si="0"/>
        <v/>
      </c>
    </row>
    <row r="59" customHeight="1" spans="2:13">
      <c r="B59" s="62" t="str">
        <f>IF(AND('领用录入（明细）'!D:D=$F$4,'领用录入（明细）'!C:C&gt;=$J$4,'领用录入（明细）'!C:C&lt;=$L$4),ROW(),"-")</f>
        <v>-</v>
      </c>
      <c r="D59" s="59" t="str">
        <f>IFERROR(INDEX('领用录入（明细）'!$B:$L,SMALL($B:$B,ROW(B53)),MATCH(D$7,$D$7:$L$7,0)),"")</f>
        <v/>
      </c>
      <c r="E59" s="114" t="str">
        <f>IFERROR(INDEX('领用录入（明细）'!$B:$L,SMALL($B:$B,ROW(C53)),MATCH(E$7,$D$7:$L$7,0)),"")</f>
        <v/>
      </c>
      <c r="F59" s="60" t="str">
        <f>IFERROR(INDEX('领用录入（明细）'!$B:$L,SMALL($B:$B,ROW(D53)),MATCH(F$7,$D$7:$L$7,0)),"")</f>
        <v/>
      </c>
      <c r="G59" s="60" t="str">
        <f>IFERROR(INDEX('领用录入（明细）'!$B:$L,SMALL($B:$B,ROW(E53)),MATCH(G$7,$D$7:$L$7,0)),"")</f>
        <v/>
      </c>
      <c r="H59" s="60" t="str">
        <f>IFERROR(INDEX('领用录入（明细）'!$B:$L,SMALL($B:$B,ROW(F53)),MATCH(H$7,$D$7:$L$7,0)),"")</f>
        <v/>
      </c>
      <c r="I59" s="60" t="str">
        <f>IFERROR(INDEX('领用录入（明细）'!$B:$L,SMALL($B:$B,ROW(G53)),MATCH(I$7,$D$7:$L$7,0)),"")</f>
        <v/>
      </c>
      <c r="J59" s="60" t="str">
        <f>IFERROR(INDEX('领用录入（明细）'!$B:$L,SMALL($B:$B,ROW(H53)),MATCH(J$7,$D$7:$L$7,0)),"")</f>
        <v/>
      </c>
      <c r="K59" s="60" t="str">
        <f>IFERROR(INDEX('领用录入（明细）'!$B:$L,SMALL($B:$B,ROW(I53)),MATCH(K$7,$D$7:$L$7,0)),"")</f>
        <v/>
      </c>
      <c r="L59" s="60" t="str">
        <f>IFERROR(INDEX('领用录入（明细）'!$B:$L,SMALL($B:$B,ROW(J53)),MATCH(L$7,$D$7:$L$7,0)),"")</f>
        <v/>
      </c>
      <c r="M59" s="60" t="str">
        <f t="shared" si="0"/>
        <v/>
      </c>
    </row>
    <row r="60" customHeight="1" spans="2:13">
      <c r="B60" s="62" t="str">
        <f>IF(AND('领用录入（明细）'!D:D=$F$4,'领用录入（明细）'!C:C&gt;=$J$4,'领用录入（明细）'!C:C&lt;=$L$4),ROW(),"-")</f>
        <v>-</v>
      </c>
      <c r="D60" s="59" t="str">
        <f>IFERROR(INDEX('领用录入（明细）'!$B:$L,SMALL($B:$B,ROW(B54)),MATCH(D$7,$D$7:$L$7,0)),"")</f>
        <v/>
      </c>
      <c r="E60" s="114" t="str">
        <f>IFERROR(INDEX('领用录入（明细）'!$B:$L,SMALL($B:$B,ROW(C54)),MATCH(E$7,$D$7:$L$7,0)),"")</f>
        <v/>
      </c>
      <c r="F60" s="60" t="str">
        <f>IFERROR(INDEX('领用录入（明细）'!$B:$L,SMALL($B:$B,ROW(D54)),MATCH(F$7,$D$7:$L$7,0)),"")</f>
        <v/>
      </c>
      <c r="G60" s="60" t="str">
        <f>IFERROR(INDEX('领用录入（明细）'!$B:$L,SMALL($B:$B,ROW(E54)),MATCH(G$7,$D$7:$L$7,0)),"")</f>
        <v/>
      </c>
      <c r="H60" s="60" t="str">
        <f>IFERROR(INDEX('领用录入（明细）'!$B:$L,SMALL($B:$B,ROW(F54)),MATCH(H$7,$D$7:$L$7,0)),"")</f>
        <v/>
      </c>
      <c r="I60" s="60" t="str">
        <f>IFERROR(INDEX('领用录入（明细）'!$B:$L,SMALL($B:$B,ROW(G54)),MATCH(I$7,$D$7:$L$7,0)),"")</f>
        <v/>
      </c>
      <c r="J60" s="60" t="str">
        <f>IFERROR(INDEX('领用录入（明细）'!$B:$L,SMALL($B:$B,ROW(H54)),MATCH(J$7,$D$7:$L$7,0)),"")</f>
        <v/>
      </c>
      <c r="K60" s="60" t="str">
        <f>IFERROR(INDEX('领用录入（明细）'!$B:$L,SMALL($B:$B,ROW(I54)),MATCH(K$7,$D$7:$L$7,0)),"")</f>
        <v/>
      </c>
      <c r="L60" s="60" t="str">
        <f>IFERROR(INDEX('领用录入（明细）'!$B:$L,SMALL($B:$B,ROW(J54)),MATCH(L$7,$D$7:$L$7,0)),"")</f>
        <v/>
      </c>
      <c r="M60" s="60" t="str">
        <f t="shared" si="0"/>
        <v/>
      </c>
    </row>
    <row r="61" customHeight="1" spans="2:13">
      <c r="B61" s="62" t="str">
        <f>IF(AND('领用录入（明细）'!D:D=$F$4,'领用录入（明细）'!C:C&gt;=$J$4,'领用录入（明细）'!C:C&lt;=$L$4),ROW(),"-")</f>
        <v>-</v>
      </c>
      <c r="D61" s="59" t="str">
        <f>IFERROR(INDEX('领用录入（明细）'!$B:$L,SMALL($B:$B,ROW(B55)),MATCH(D$7,$D$7:$L$7,0)),"")</f>
        <v/>
      </c>
      <c r="E61" s="114" t="str">
        <f>IFERROR(INDEX('领用录入（明细）'!$B:$L,SMALL($B:$B,ROW(C55)),MATCH(E$7,$D$7:$L$7,0)),"")</f>
        <v/>
      </c>
      <c r="F61" s="60" t="str">
        <f>IFERROR(INDEX('领用录入（明细）'!$B:$L,SMALL($B:$B,ROW(D55)),MATCH(F$7,$D$7:$L$7,0)),"")</f>
        <v/>
      </c>
      <c r="G61" s="60" t="str">
        <f>IFERROR(INDEX('领用录入（明细）'!$B:$L,SMALL($B:$B,ROW(E55)),MATCH(G$7,$D$7:$L$7,0)),"")</f>
        <v/>
      </c>
      <c r="H61" s="60" t="str">
        <f>IFERROR(INDEX('领用录入（明细）'!$B:$L,SMALL($B:$B,ROW(F55)),MATCH(H$7,$D$7:$L$7,0)),"")</f>
        <v/>
      </c>
      <c r="I61" s="60" t="str">
        <f>IFERROR(INDEX('领用录入（明细）'!$B:$L,SMALL($B:$B,ROW(G55)),MATCH(I$7,$D$7:$L$7,0)),"")</f>
        <v/>
      </c>
      <c r="J61" s="60" t="str">
        <f>IFERROR(INDEX('领用录入（明细）'!$B:$L,SMALL($B:$B,ROW(H55)),MATCH(J$7,$D$7:$L$7,0)),"")</f>
        <v/>
      </c>
      <c r="K61" s="60" t="str">
        <f>IFERROR(INDEX('领用录入（明细）'!$B:$L,SMALL($B:$B,ROW(I55)),MATCH(K$7,$D$7:$L$7,0)),"")</f>
        <v/>
      </c>
      <c r="L61" s="60" t="str">
        <f>IFERROR(INDEX('领用录入（明细）'!$B:$L,SMALL($B:$B,ROW(J55)),MATCH(L$7,$D$7:$L$7,0)),"")</f>
        <v/>
      </c>
      <c r="M61" s="60" t="str">
        <f t="shared" si="0"/>
        <v/>
      </c>
    </row>
    <row r="62" customHeight="1" spans="2:13">
      <c r="B62" s="62" t="str">
        <f>IF(AND('领用录入（明细）'!D:D=$F$4,'领用录入（明细）'!C:C&gt;=$J$4,'领用录入（明细）'!C:C&lt;=$L$4),ROW(),"-")</f>
        <v>-</v>
      </c>
      <c r="D62" s="59" t="str">
        <f>IFERROR(INDEX('领用录入（明细）'!$B:$L,SMALL($B:$B,ROW(B56)),MATCH(D$7,$D$7:$L$7,0)),"")</f>
        <v/>
      </c>
      <c r="E62" s="114" t="str">
        <f>IFERROR(INDEX('领用录入（明细）'!$B:$L,SMALL($B:$B,ROW(C56)),MATCH(E$7,$D$7:$L$7,0)),"")</f>
        <v/>
      </c>
      <c r="F62" s="60" t="str">
        <f>IFERROR(INDEX('领用录入（明细）'!$B:$L,SMALL($B:$B,ROW(D56)),MATCH(F$7,$D$7:$L$7,0)),"")</f>
        <v/>
      </c>
      <c r="G62" s="60" t="str">
        <f>IFERROR(INDEX('领用录入（明细）'!$B:$L,SMALL($B:$B,ROW(E56)),MATCH(G$7,$D$7:$L$7,0)),"")</f>
        <v/>
      </c>
      <c r="H62" s="60" t="str">
        <f>IFERROR(INDEX('领用录入（明细）'!$B:$L,SMALL($B:$B,ROW(F56)),MATCH(H$7,$D$7:$L$7,0)),"")</f>
        <v/>
      </c>
      <c r="I62" s="60" t="str">
        <f>IFERROR(INDEX('领用录入（明细）'!$B:$L,SMALL($B:$B,ROW(G56)),MATCH(I$7,$D$7:$L$7,0)),"")</f>
        <v/>
      </c>
      <c r="J62" s="60" t="str">
        <f>IFERROR(INDEX('领用录入（明细）'!$B:$L,SMALL($B:$B,ROW(H56)),MATCH(J$7,$D$7:$L$7,0)),"")</f>
        <v/>
      </c>
      <c r="K62" s="60" t="str">
        <f>IFERROR(INDEX('领用录入（明细）'!$B:$L,SMALL($B:$B,ROW(I56)),MATCH(K$7,$D$7:$L$7,0)),"")</f>
        <v/>
      </c>
      <c r="L62" s="60" t="str">
        <f>IFERROR(INDEX('领用录入（明细）'!$B:$L,SMALL($B:$B,ROW(J56)),MATCH(L$7,$D$7:$L$7,0)),"")</f>
        <v/>
      </c>
      <c r="M62" s="60" t="str">
        <f t="shared" si="0"/>
        <v/>
      </c>
    </row>
    <row r="63" customHeight="1" spans="2:13">
      <c r="B63" s="62" t="str">
        <f>IF(AND('领用录入（明细）'!D:D=$F$4,'领用录入（明细）'!C:C&gt;=$J$4,'领用录入（明细）'!C:C&lt;=$L$4),ROW(),"-")</f>
        <v>-</v>
      </c>
      <c r="D63" s="59" t="str">
        <f>IFERROR(INDEX('领用录入（明细）'!$B:$L,SMALL($B:$B,ROW(B57)),MATCH(D$7,$D$7:$L$7,0)),"")</f>
        <v/>
      </c>
      <c r="E63" s="114" t="str">
        <f>IFERROR(INDEX('领用录入（明细）'!$B:$L,SMALL($B:$B,ROW(C57)),MATCH(E$7,$D$7:$L$7,0)),"")</f>
        <v/>
      </c>
      <c r="F63" s="60" t="str">
        <f>IFERROR(INDEX('领用录入（明细）'!$B:$L,SMALL($B:$B,ROW(D57)),MATCH(F$7,$D$7:$L$7,0)),"")</f>
        <v/>
      </c>
      <c r="G63" s="60" t="str">
        <f>IFERROR(INDEX('领用录入（明细）'!$B:$L,SMALL($B:$B,ROW(E57)),MATCH(G$7,$D$7:$L$7,0)),"")</f>
        <v/>
      </c>
      <c r="H63" s="60" t="str">
        <f>IFERROR(INDEX('领用录入（明细）'!$B:$L,SMALL($B:$B,ROW(F57)),MATCH(H$7,$D$7:$L$7,0)),"")</f>
        <v/>
      </c>
      <c r="I63" s="60" t="str">
        <f>IFERROR(INDEX('领用录入（明细）'!$B:$L,SMALL($B:$B,ROW(G57)),MATCH(I$7,$D$7:$L$7,0)),"")</f>
        <v/>
      </c>
      <c r="J63" s="60" t="str">
        <f>IFERROR(INDEX('领用录入（明细）'!$B:$L,SMALL($B:$B,ROW(H57)),MATCH(J$7,$D$7:$L$7,0)),"")</f>
        <v/>
      </c>
      <c r="K63" s="60" t="str">
        <f>IFERROR(INDEX('领用录入（明细）'!$B:$L,SMALL($B:$B,ROW(I57)),MATCH(K$7,$D$7:$L$7,0)),"")</f>
        <v/>
      </c>
      <c r="L63" s="60" t="str">
        <f>IFERROR(INDEX('领用录入（明细）'!$B:$L,SMALL($B:$B,ROW(J57)),MATCH(L$7,$D$7:$L$7,0)),"")</f>
        <v/>
      </c>
      <c r="M63" s="60" t="str">
        <f t="shared" si="0"/>
        <v/>
      </c>
    </row>
    <row r="64" customHeight="1" spans="2:13">
      <c r="B64" s="62" t="str">
        <f>IF(AND('领用录入（明细）'!D:D=$F$4,'领用录入（明细）'!C:C&gt;=$J$4,'领用录入（明细）'!C:C&lt;=$L$4),ROW(),"-")</f>
        <v>-</v>
      </c>
      <c r="D64" s="59" t="str">
        <f>IFERROR(INDEX('领用录入（明细）'!$B:$L,SMALL($B:$B,ROW(B58)),MATCH(D$7,$D$7:$L$7,0)),"")</f>
        <v/>
      </c>
      <c r="E64" s="114" t="str">
        <f>IFERROR(INDEX('领用录入（明细）'!$B:$L,SMALL($B:$B,ROW(C58)),MATCH(E$7,$D$7:$L$7,0)),"")</f>
        <v/>
      </c>
      <c r="F64" s="60" t="str">
        <f>IFERROR(INDEX('领用录入（明细）'!$B:$L,SMALL($B:$B,ROW(D58)),MATCH(F$7,$D$7:$L$7,0)),"")</f>
        <v/>
      </c>
      <c r="G64" s="60" t="str">
        <f>IFERROR(INDEX('领用录入（明细）'!$B:$L,SMALL($B:$B,ROW(E58)),MATCH(G$7,$D$7:$L$7,0)),"")</f>
        <v/>
      </c>
      <c r="H64" s="60" t="str">
        <f>IFERROR(INDEX('领用录入（明细）'!$B:$L,SMALL($B:$B,ROW(F58)),MATCH(H$7,$D$7:$L$7,0)),"")</f>
        <v/>
      </c>
      <c r="I64" s="60" t="str">
        <f>IFERROR(INDEX('领用录入（明细）'!$B:$L,SMALL($B:$B,ROW(G58)),MATCH(I$7,$D$7:$L$7,0)),"")</f>
        <v/>
      </c>
      <c r="J64" s="60" t="str">
        <f>IFERROR(INDEX('领用录入（明细）'!$B:$L,SMALL($B:$B,ROW(H58)),MATCH(J$7,$D$7:$L$7,0)),"")</f>
        <v/>
      </c>
      <c r="K64" s="60" t="str">
        <f>IFERROR(INDEX('领用录入（明细）'!$B:$L,SMALL($B:$B,ROW(I58)),MATCH(K$7,$D$7:$L$7,0)),"")</f>
        <v/>
      </c>
      <c r="L64" s="60" t="str">
        <f>IFERROR(INDEX('领用录入（明细）'!$B:$L,SMALL($B:$B,ROW(J58)),MATCH(L$7,$D$7:$L$7,0)),"")</f>
        <v/>
      </c>
      <c r="M64" s="60" t="str">
        <f t="shared" si="0"/>
        <v/>
      </c>
    </row>
    <row r="65" customHeight="1" spans="2:13">
      <c r="B65" s="62" t="str">
        <f>IF(AND('领用录入（明细）'!D:D=$F$4,'领用录入（明细）'!C:C&gt;=$J$4,'领用录入（明细）'!C:C&lt;=$L$4),ROW(),"-")</f>
        <v>-</v>
      </c>
      <c r="D65" s="59" t="str">
        <f>IFERROR(INDEX('领用录入（明细）'!$B:$L,SMALL($B:$B,ROW(B59)),MATCH(D$7,$D$7:$L$7,0)),"")</f>
        <v/>
      </c>
      <c r="E65" s="114" t="str">
        <f>IFERROR(INDEX('领用录入（明细）'!$B:$L,SMALL($B:$B,ROW(C59)),MATCH(E$7,$D$7:$L$7,0)),"")</f>
        <v/>
      </c>
      <c r="F65" s="60" t="str">
        <f>IFERROR(INDEX('领用录入（明细）'!$B:$L,SMALL($B:$B,ROW(D59)),MATCH(F$7,$D$7:$L$7,0)),"")</f>
        <v/>
      </c>
      <c r="G65" s="60" t="str">
        <f>IFERROR(INDEX('领用录入（明细）'!$B:$L,SMALL($B:$B,ROW(E59)),MATCH(G$7,$D$7:$L$7,0)),"")</f>
        <v/>
      </c>
      <c r="H65" s="60" t="str">
        <f>IFERROR(INDEX('领用录入（明细）'!$B:$L,SMALL($B:$B,ROW(F59)),MATCH(H$7,$D$7:$L$7,0)),"")</f>
        <v/>
      </c>
      <c r="I65" s="60" t="str">
        <f>IFERROR(INDEX('领用录入（明细）'!$B:$L,SMALL($B:$B,ROW(G59)),MATCH(I$7,$D$7:$L$7,0)),"")</f>
        <v/>
      </c>
      <c r="J65" s="60" t="str">
        <f>IFERROR(INDEX('领用录入（明细）'!$B:$L,SMALL($B:$B,ROW(H59)),MATCH(J$7,$D$7:$L$7,0)),"")</f>
        <v/>
      </c>
      <c r="K65" s="60" t="str">
        <f>IFERROR(INDEX('领用录入（明细）'!$B:$L,SMALL($B:$B,ROW(I59)),MATCH(K$7,$D$7:$L$7,0)),"")</f>
        <v/>
      </c>
      <c r="L65" s="60" t="str">
        <f>IFERROR(INDEX('领用录入（明细）'!$B:$L,SMALL($B:$B,ROW(J59)),MATCH(L$7,$D$7:$L$7,0)),"")</f>
        <v/>
      </c>
      <c r="M65" s="60" t="str">
        <f t="shared" si="0"/>
        <v/>
      </c>
    </row>
    <row r="66" customHeight="1" spans="2:13">
      <c r="B66" s="62" t="str">
        <f>IF(AND('领用录入（明细）'!D:D=$F$4,'领用录入（明细）'!C:C&gt;=$J$4,'领用录入（明细）'!C:C&lt;=$L$4),ROW(),"-")</f>
        <v>-</v>
      </c>
      <c r="D66" s="59" t="str">
        <f>IFERROR(INDEX('领用录入（明细）'!$B:$L,SMALL($B:$B,ROW(B60)),MATCH(D$7,$D$7:$L$7,0)),"")</f>
        <v/>
      </c>
      <c r="E66" s="114" t="str">
        <f>IFERROR(INDEX('领用录入（明细）'!$B:$L,SMALL($B:$B,ROW(C60)),MATCH(E$7,$D$7:$L$7,0)),"")</f>
        <v/>
      </c>
      <c r="F66" s="60" t="str">
        <f>IFERROR(INDEX('领用录入（明细）'!$B:$L,SMALL($B:$B,ROW(D60)),MATCH(F$7,$D$7:$L$7,0)),"")</f>
        <v/>
      </c>
      <c r="G66" s="60" t="str">
        <f>IFERROR(INDEX('领用录入（明细）'!$B:$L,SMALL($B:$B,ROW(E60)),MATCH(G$7,$D$7:$L$7,0)),"")</f>
        <v/>
      </c>
      <c r="H66" s="60" t="str">
        <f>IFERROR(INDEX('领用录入（明细）'!$B:$L,SMALL($B:$B,ROW(F60)),MATCH(H$7,$D$7:$L$7,0)),"")</f>
        <v/>
      </c>
      <c r="I66" s="60" t="str">
        <f>IFERROR(INDEX('领用录入（明细）'!$B:$L,SMALL($B:$B,ROW(G60)),MATCH(I$7,$D$7:$L$7,0)),"")</f>
        <v/>
      </c>
      <c r="J66" s="60" t="str">
        <f>IFERROR(INDEX('领用录入（明细）'!$B:$L,SMALL($B:$B,ROW(H60)),MATCH(J$7,$D$7:$L$7,0)),"")</f>
        <v/>
      </c>
      <c r="K66" s="60" t="str">
        <f>IFERROR(INDEX('领用录入（明细）'!$B:$L,SMALL($B:$B,ROW(I60)),MATCH(K$7,$D$7:$L$7,0)),"")</f>
        <v/>
      </c>
      <c r="L66" s="60" t="str">
        <f>IFERROR(INDEX('领用录入（明细）'!$B:$L,SMALL($B:$B,ROW(J60)),MATCH(L$7,$D$7:$L$7,0)),"")</f>
        <v/>
      </c>
      <c r="M66" s="60" t="str">
        <f t="shared" si="0"/>
        <v/>
      </c>
    </row>
    <row r="67" customHeight="1" spans="2:13">
      <c r="B67" s="62" t="str">
        <f>IF(AND('领用录入（明细）'!D:D=$F$4,'领用录入（明细）'!C:C&gt;=$J$4,'领用录入（明细）'!C:C&lt;=$L$4),ROW(),"-")</f>
        <v>-</v>
      </c>
      <c r="D67" s="59" t="str">
        <f>IFERROR(INDEX('领用录入（明细）'!$B:$L,SMALL($B:$B,ROW(B61)),MATCH(D$7,$D$7:$L$7,0)),"")</f>
        <v/>
      </c>
      <c r="E67" s="114" t="str">
        <f>IFERROR(INDEX('领用录入（明细）'!$B:$L,SMALL($B:$B,ROW(C61)),MATCH(E$7,$D$7:$L$7,0)),"")</f>
        <v/>
      </c>
      <c r="F67" s="60" t="str">
        <f>IFERROR(INDEX('领用录入（明细）'!$B:$L,SMALL($B:$B,ROW(D61)),MATCH(F$7,$D$7:$L$7,0)),"")</f>
        <v/>
      </c>
      <c r="G67" s="60" t="str">
        <f>IFERROR(INDEX('领用录入（明细）'!$B:$L,SMALL($B:$B,ROW(E61)),MATCH(G$7,$D$7:$L$7,0)),"")</f>
        <v/>
      </c>
      <c r="H67" s="60" t="str">
        <f>IFERROR(INDEX('领用录入（明细）'!$B:$L,SMALL($B:$B,ROW(F61)),MATCH(H$7,$D$7:$L$7,0)),"")</f>
        <v/>
      </c>
      <c r="I67" s="60" t="str">
        <f>IFERROR(INDEX('领用录入（明细）'!$B:$L,SMALL($B:$B,ROW(G61)),MATCH(I$7,$D$7:$L$7,0)),"")</f>
        <v/>
      </c>
      <c r="J67" s="60" t="str">
        <f>IFERROR(INDEX('领用录入（明细）'!$B:$L,SMALL($B:$B,ROW(H61)),MATCH(J$7,$D$7:$L$7,0)),"")</f>
        <v/>
      </c>
      <c r="K67" s="60" t="str">
        <f>IFERROR(INDEX('领用录入（明细）'!$B:$L,SMALL($B:$B,ROW(I61)),MATCH(K$7,$D$7:$L$7,0)),"")</f>
        <v/>
      </c>
      <c r="L67" s="60" t="str">
        <f>IFERROR(INDEX('领用录入（明细）'!$B:$L,SMALL($B:$B,ROW(J61)),MATCH(L$7,$D$7:$L$7,0)),"")</f>
        <v/>
      </c>
      <c r="M67" s="60" t="str">
        <f t="shared" si="0"/>
        <v/>
      </c>
    </row>
    <row r="68" customHeight="1" spans="2:13">
      <c r="B68" s="62" t="str">
        <f>IF(AND('领用录入（明细）'!D:D=$F$4,'领用录入（明细）'!C:C&gt;=$J$4,'领用录入（明细）'!C:C&lt;=$L$4),ROW(),"-")</f>
        <v>-</v>
      </c>
      <c r="D68" s="59" t="str">
        <f>IFERROR(INDEX('领用录入（明细）'!$B:$L,SMALL($B:$B,ROW(B62)),MATCH(D$7,$D$7:$L$7,0)),"")</f>
        <v/>
      </c>
      <c r="E68" s="114" t="str">
        <f>IFERROR(INDEX('领用录入（明细）'!$B:$L,SMALL($B:$B,ROW(C62)),MATCH(E$7,$D$7:$L$7,0)),"")</f>
        <v/>
      </c>
      <c r="F68" s="60" t="str">
        <f>IFERROR(INDEX('领用录入（明细）'!$B:$L,SMALL($B:$B,ROW(D62)),MATCH(F$7,$D$7:$L$7,0)),"")</f>
        <v/>
      </c>
      <c r="G68" s="60" t="str">
        <f>IFERROR(INDEX('领用录入（明细）'!$B:$L,SMALL($B:$B,ROW(E62)),MATCH(G$7,$D$7:$L$7,0)),"")</f>
        <v/>
      </c>
      <c r="H68" s="60" t="str">
        <f>IFERROR(INDEX('领用录入（明细）'!$B:$L,SMALL($B:$B,ROW(F62)),MATCH(H$7,$D$7:$L$7,0)),"")</f>
        <v/>
      </c>
      <c r="I68" s="60" t="str">
        <f>IFERROR(INDEX('领用录入（明细）'!$B:$L,SMALL($B:$B,ROW(G62)),MATCH(I$7,$D$7:$L$7,0)),"")</f>
        <v/>
      </c>
      <c r="J68" s="60" t="str">
        <f>IFERROR(INDEX('领用录入（明细）'!$B:$L,SMALL($B:$B,ROW(H62)),MATCH(J$7,$D$7:$L$7,0)),"")</f>
        <v/>
      </c>
      <c r="K68" s="60" t="str">
        <f>IFERROR(INDEX('领用录入（明细）'!$B:$L,SMALL($B:$B,ROW(I62)),MATCH(K$7,$D$7:$L$7,0)),"")</f>
        <v/>
      </c>
      <c r="L68" s="60" t="str">
        <f>IFERROR(INDEX('领用录入（明细）'!$B:$L,SMALL($B:$B,ROW(J62)),MATCH(L$7,$D$7:$L$7,0)),"")</f>
        <v/>
      </c>
      <c r="M68" s="60" t="str">
        <f t="shared" si="0"/>
        <v/>
      </c>
    </row>
    <row r="69" customHeight="1" spans="2:13">
      <c r="B69" s="62" t="str">
        <f>IF(AND('领用录入（明细）'!D:D=$F$4,'领用录入（明细）'!C:C&gt;=$J$4,'领用录入（明细）'!C:C&lt;=$L$4),ROW(),"-")</f>
        <v>-</v>
      </c>
      <c r="D69" s="59" t="str">
        <f>IFERROR(INDEX('领用录入（明细）'!$B:$L,SMALL($B:$B,ROW(B63)),MATCH(D$7,$D$7:$L$7,0)),"")</f>
        <v/>
      </c>
      <c r="E69" s="114" t="str">
        <f>IFERROR(INDEX('领用录入（明细）'!$B:$L,SMALL($B:$B,ROW(C63)),MATCH(E$7,$D$7:$L$7,0)),"")</f>
        <v/>
      </c>
      <c r="F69" s="60" t="str">
        <f>IFERROR(INDEX('领用录入（明细）'!$B:$L,SMALL($B:$B,ROW(D63)),MATCH(F$7,$D$7:$L$7,0)),"")</f>
        <v/>
      </c>
      <c r="G69" s="60" t="str">
        <f>IFERROR(INDEX('领用录入（明细）'!$B:$L,SMALL($B:$B,ROW(E63)),MATCH(G$7,$D$7:$L$7,0)),"")</f>
        <v/>
      </c>
      <c r="H69" s="60" t="str">
        <f>IFERROR(INDEX('领用录入（明细）'!$B:$L,SMALL($B:$B,ROW(F63)),MATCH(H$7,$D$7:$L$7,0)),"")</f>
        <v/>
      </c>
      <c r="I69" s="60" t="str">
        <f>IFERROR(INDEX('领用录入（明细）'!$B:$L,SMALL($B:$B,ROW(G63)),MATCH(I$7,$D$7:$L$7,0)),"")</f>
        <v/>
      </c>
      <c r="J69" s="60" t="str">
        <f>IFERROR(INDEX('领用录入（明细）'!$B:$L,SMALL($B:$B,ROW(H63)),MATCH(J$7,$D$7:$L$7,0)),"")</f>
        <v/>
      </c>
      <c r="K69" s="60" t="str">
        <f>IFERROR(INDEX('领用录入（明细）'!$B:$L,SMALL($B:$B,ROW(I63)),MATCH(K$7,$D$7:$L$7,0)),"")</f>
        <v/>
      </c>
      <c r="L69" s="60" t="str">
        <f>IFERROR(INDEX('领用录入（明细）'!$B:$L,SMALL($B:$B,ROW(J63)),MATCH(L$7,$D$7:$L$7,0)),"")</f>
        <v/>
      </c>
      <c r="M69" s="60" t="str">
        <f t="shared" si="0"/>
        <v/>
      </c>
    </row>
    <row r="70" customHeight="1" spans="2:13">
      <c r="B70" s="62" t="str">
        <f>IF(AND('领用录入（明细）'!D:D=$F$4,'领用录入（明细）'!C:C&gt;=$J$4,'领用录入（明细）'!C:C&lt;=$L$4),ROW(),"-")</f>
        <v>-</v>
      </c>
      <c r="D70" s="59" t="str">
        <f>IFERROR(INDEX('领用录入（明细）'!$B:$L,SMALL($B:$B,ROW(B64)),MATCH(D$7,$D$7:$L$7,0)),"")</f>
        <v/>
      </c>
      <c r="E70" s="114" t="str">
        <f>IFERROR(INDEX('领用录入（明细）'!$B:$L,SMALL($B:$B,ROW(C64)),MATCH(E$7,$D$7:$L$7,0)),"")</f>
        <v/>
      </c>
      <c r="F70" s="60" t="str">
        <f>IFERROR(INDEX('领用录入（明细）'!$B:$L,SMALL($B:$B,ROW(D64)),MATCH(F$7,$D$7:$L$7,0)),"")</f>
        <v/>
      </c>
      <c r="G70" s="60" t="str">
        <f>IFERROR(INDEX('领用录入（明细）'!$B:$L,SMALL($B:$B,ROW(E64)),MATCH(G$7,$D$7:$L$7,0)),"")</f>
        <v/>
      </c>
      <c r="H70" s="60" t="str">
        <f>IFERROR(INDEX('领用录入（明细）'!$B:$L,SMALL($B:$B,ROW(F64)),MATCH(H$7,$D$7:$L$7,0)),"")</f>
        <v/>
      </c>
      <c r="I70" s="60" t="str">
        <f>IFERROR(INDEX('领用录入（明细）'!$B:$L,SMALL($B:$B,ROW(G64)),MATCH(I$7,$D$7:$L$7,0)),"")</f>
        <v/>
      </c>
      <c r="J70" s="60" t="str">
        <f>IFERROR(INDEX('领用录入（明细）'!$B:$L,SMALL($B:$B,ROW(H64)),MATCH(J$7,$D$7:$L$7,0)),"")</f>
        <v/>
      </c>
      <c r="K70" s="60" t="str">
        <f>IFERROR(INDEX('领用录入（明细）'!$B:$L,SMALL($B:$B,ROW(I64)),MATCH(K$7,$D$7:$L$7,0)),"")</f>
        <v/>
      </c>
      <c r="L70" s="60" t="str">
        <f>IFERROR(INDEX('领用录入（明细）'!$B:$L,SMALL($B:$B,ROW(J64)),MATCH(L$7,$D$7:$L$7,0)),"")</f>
        <v/>
      </c>
      <c r="M70" s="60" t="str">
        <f t="shared" si="0"/>
        <v/>
      </c>
    </row>
    <row r="71" customHeight="1" spans="2:13">
      <c r="B71" s="62" t="str">
        <f>IF(AND('领用录入（明细）'!D:D=$F$4,'领用录入（明细）'!C:C&gt;=$J$4,'领用录入（明细）'!C:C&lt;=$L$4),ROW(),"-")</f>
        <v>-</v>
      </c>
      <c r="D71" s="59" t="str">
        <f>IFERROR(INDEX('领用录入（明细）'!$B:$L,SMALL($B:$B,ROW(B65)),MATCH(D$7,$D$7:$L$7,0)),"")</f>
        <v/>
      </c>
      <c r="E71" s="114" t="str">
        <f>IFERROR(INDEX('领用录入（明细）'!$B:$L,SMALL($B:$B,ROW(C65)),MATCH(E$7,$D$7:$L$7,0)),"")</f>
        <v/>
      </c>
      <c r="F71" s="60" t="str">
        <f>IFERROR(INDEX('领用录入（明细）'!$B:$L,SMALL($B:$B,ROW(D65)),MATCH(F$7,$D$7:$L$7,0)),"")</f>
        <v/>
      </c>
      <c r="G71" s="60" t="str">
        <f>IFERROR(INDEX('领用录入（明细）'!$B:$L,SMALL($B:$B,ROW(E65)),MATCH(G$7,$D$7:$L$7,0)),"")</f>
        <v/>
      </c>
      <c r="H71" s="60" t="str">
        <f>IFERROR(INDEX('领用录入（明细）'!$B:$L,SMALL($B:$B,ROW(F65)),MATCH(H$7,$D$7:$L$7,0)),"")</f>
        <v/>
      </c>
      <c r="I71" s="60" t="str">
        <f>IFERROR(INDEX('领用录入（明细）'!$B:$L,SMALL($B:$B,ROW(G65)),MATCH(I$7,$D$7:$L$7,0)),"")</f>
        <v/>
      </c>
      <c r="J71" s="60" t="str">
        <f>IFERROR(INDEX('领用录入（明细）'!$B:$L,SMALL($B:$B,ROW(H65)),MATCH(J$7,$D$7:$L$7,0)),"")</f>
        <v/>
      </c>
      <c r="K71" s="60" t="str">
        <f>IFERROR(INDEX('领用录入（明细）'!$B:$L,SMALL($B:$B,ROW(I65)),MATCH(K$7,$D$7:$L$7,0)),"")</f>
        <v/>
      </c>
      <c r="L71" s="60" t="str">
        <f>IFERROR(INDEX('领用录入（明细）'!$B:$L,SMALL($B:$B,ROW(J65)),MATCH(L$7,$D$7:$L$7,0)),"")</f>
        <v/>
      </c>
      <c r="M71" s="60" t="str">
        <f t="shared" si="0"/>
        <v/>
      </c>
    </row>
    <row r="72" customHeight="1" spans="2:13">
      <c r="B72" s="62" t="str">
        <f>IF(AND('领用录入（明细）'!D:D=$F$4,'领用录入（明细）'!C:C&gt;=$J$4,'领用录入（明细）'!C:C&lt;=$L$4),ROW(),"-")</f>
        <v>-</v>
      </c>
      <c r="D72" s="59" t="str">
        <f>IFERROR(INDEX('领用录入（明细）'!$B:$L,SMALL($B:$B,ROW(B66)),MATCH(D$7,$D$7:$L$7,0)),"")</f>
        <v/>
      </c>
      <c r="E72" s="114" t="str">
        <f>IFERROR(INDEX('领用录入（明细）'!$B:$L,SMALL($B:$B,ROW(C66)),MATCH(E$7,$D$7:$L$7,0)),"")</f>
        <v/>
      </c>
      <c r="F72" s="60" t="str">
        <f>IFERROR(INDEX('领用录入（明细）'!$B:$L,SMALL($B:$B,ROW(D66)),MATCH(F$7,$D$7:$L$7,0)),"")</f>
        <v/>
      </c>
      <c r="G72" s="60" t="str">
        <f>IFERROR(INDEX('领用录入（明细）'!$B:$L,SMALL($B:$B,ROW(E66)),MATCH(G$7,$D$7:$L$7,0)),"")</f>
        <v/>
      </c>
      <c r="H72" s="60" t="str">
        <f>IFERROR(INDEX('领用录入（明细）'!$B:$L,SMALL($B:$B,ROW(F66)),MATCH(H$7,$D$7:$L$7,0)),"")</f>
        <v/>
      </c>
      <c r="I72" s="60" t="str">
        <f>IFERROR(INDEX('领用录入（明细）'!$B:$L,SMALL($B:$B,ROW(G66)),MATCH(I$7,$D$7:$L$7,0)),"")</f>
        <v/>
      </c>
      <c r="J72" s="60" t="str">
        <f>IFERROR(INDEX('领用录入（明细）'!$B:$L,SMALL($B:$B,ROW(H66)),MATCH(J$7,$D$7:$L$7,0)),"")</f>
        <v/>
      </c>
      <c r="K72" s="60" t="str">
        <f>IFERROR(INDEX('领用录入（明细）'!$B:$L,SMALL($B:$B,ROW(I66)),MATCH(K$7,$D$7:$L$7,0)),"")</f>
        <v/>
      </c>
      <c r="L72" s="60" t="str">
        <f>IFERROR(INDEX('领用录入（明细）'!$B:$L,SMALL($B:$B,ROW(J66)),MATCH(L$7,$D$7:$L$7,0)),"")</f>
        <v/>
      </c>
      <c r="M72" s="60" t="str">
        <f t="shared" si="0"/>
        <v/>
      </c>
    </row>
    <row r="73" customHeight="1" spans="2:13">
      <c r="B73" s="62" t="str">
        <f>IF(AND('领用录入（明细）'!D:D=$F$4,'领用录入（明细）'!C:C&gt;=$J$4,'领用录入（明细）'!C:C&lt;=$L$4),ROW(),"-")</f>
        <v>-</v>
      </c>
      <c r="D73" s="59" t="str">
        <f>IFERROR(INDEX('领用录入（明细）'!$B:$L,SMALL($B:$B,ROW(B67)),MATCH(D$7,$D$7:$L$7,0)),"")</f>
        <v/>
      </c>
      <c r="E73" s="114" t="str">
        <f>IFERROR(INDEX('领用录入（明细）'!$B:$L,SMALL($B:$B,ROW(C67)),MATCH(E$7,$D$7:$L$7,0)),"")</f>
        <v/>
      </c>
      <c r="F73" s="60" t="str">
        <f>IFERROR(INDEX('领用录入（明细）'!$B:$L,SMALL($B:$B,ROW(D67)),MATCH(F$7,$D$7:$L$7,0)),"")</f>
        <v/>
      </c>
      <c r="G73" s="60" t="str">
        <f>IFERROR(INDEX('领用录入（明细）'!$B:$L,SMALL($B:$B,ROW(E67)),MATCH(G$7,$D$7:$L$7,0)),"")</f>
        <v/>
      </c>
      <c r="H73" s="60" t="str">
        <f>IFERROR(INDEX('领用录入（明细）'!$B:$L,SMALL($B:$B,ROW(F67)),MATCH(H$7,$D$7:$L$7,0)),"")</f>
        <v/>
      </c>
      <c r="I73" s="60" t="str">
        <f>IFERROR(INDEX('领用录入（明细）'!$B:$L,SMALL($B:$B,ROW(G67)),MATCH(I$7,$D$7:$L$7,0)),"")</f>
        <v/>
      </c>
      <c r="J73" s="60" t="str">
        <f>IFERROR(INDEX('领用录入（明细）'!$B:$L,SMALL($B:$B,ROW(H67)),MATCH(J$7,$D$7:$L$7,0)),"")</f>
        <v/>
      </c>
      <c r="K73" s="60" t="str">
        <f>IFERROR(INDEX('领用录入（明细）'!$B:$L,SMALL($B:$B,ROW(I67)),MATCH(K$7,$D$7:$L$7,0)),"")</f>
        <v/>
      </c>
      <c r="L73" s="60" t="str">
        <f>IFERROR(INDEX('领用录入（明细）'!$B:$L,SMALL($B:$B,ROW(J67)),MATCH(L$7,$D$7:$L$7,0)),"")</f>
        <v/>
      </c>
      <c r="M73" s="60" t="str">
        <f t="shared" ref="M73:M136" si="1">IFERROR(K73*L73,"")</f>
        <v/>
      </c>
    </row>
    <row r="74" customHeight="1" spans="2:13">
      <c r="B74" s="62" t="str">
        <f>IF(AND('领用录入（明细）'!D:D=$F$4,'领用录入（明细）'!C:C&gt;=$J$4,'领用录入（明细）'!C:C&lt;=$L$4),ROW(),"-")</f>
        <v>-</v>
      </c>
      <c r="D74" s="59" t="str">
        <f>IFERROR(INDEX('领用录入（明细）'!$B:$L,SMALL($B:$B,ROW(B68)),MATCH(D$7,$D$7:$L$7,0)),"")</f>
        <v/>
      </c>
      <c r="E74" s="114" t="str">
        <f>IFERROR(INDEX('领用录入（明细）'!$B:$L,SMALL($B:$B,ROW(C68)),MATCH(E$7,$D$7:$L$7,0)),"")</f>
        <v/>
      </c>
      <c r="F74" s="60" t="str">
        <f>IFERROR(INDEX('领用录入（明细）'!$B:$L,SMALL($B:$B,ROW(D68)),MATCH(F$7,$D$7:$L$7,0)),"")</f>
        <v/>
      </c>
      <c r="G74" s="60" t="str">
        <f>IFERROR(INDEX('领用录入（明细）'!$B:$L,SMALL($B:$B,ROW(E68)),MATCH(G$7,$D$7:$L$7,0)),"")</f>
        <v/>
      </c>
      <c r="H74" s="60" t="str">
        <f>IFERROR(INDEX('领用录入（明细）'!$B:$L,SMALL($B:$B,ROW(F68)),MATCH(H$7,$D$7:$L$7,0)),"")</f>
        <v/>
      </c>
      <c r="I74" s="60" t="str">
        <f>IFERROR(INDEX('领用录入（明细）'!$B:$L,SMALL($B:$B,ROW(G68)),MATCH(I$7,$D$7:$L$7,0)),"")</f>
        <v/>
      </c>
      <c r="J74" s="60" t="str">
        <f>IFERROR(INDEX('领用录入（明细）'!$B:$L,SMALL($B:$B,ROW(H68)),MATCH(J$7,$D$7:$L$7,0)),"")</f>
        <v/>
      </c>
      <c r="K74" s="60" t="str">
        <f>IFERROR(INDEX('领用录入（明细）'!$B:$L,SMALL($B:$B,ROW(I68)),MATCH(K$7,$D$7:$L$7,0)),"")</f>
        <v/>
      </c>
      <c r="L74" s="60" t="str">
        <f>IFERROR(INDEX('领用录入（明细）'!$B:$L,SMALL($B:$B,ROW(J68)),MATCH(L$7,$D$7:$L$7,0)),"")</f>
        <v/>
      </c>
      <c r="M74" s="60" t="str">
        <f t="shared" si="1"/>
        <v/>
      </c>
    </row>
    <row r="75" customHeight="1" spans="2:13">
      <c r="B75" s="62" t="str">
        <f>IF(AND('领用录入（明细）'!D:D=$F$4,'领用录入（明细）'!C:C&gt;=$J$4,'领用录入（明细）'!C:C&lt;=$L$4),ROW(),"-")</f>
        <v>-</v>
      </c>
      <c r="D75" s="59" t="str">
        <f>IFERROR(INDEX('领用录入（明细）'!$B:$L,SMALL($B:$B,ROW(B69)),MATCH(D$7,$D$7:$L$7,0)),"")</f>
        <v/>
      </c>
      <c r="E75" s="114" t="str">
        <f>IFERROR(INDEX('领用录入（明细）'!$B:$L,SMALL($B:$B,ROW(C69)),MATCH(E$7,$D$7:$L$7,0)),"")</f>
        <v/>
      </c>
      <c r="F75" s="60" t="str">
        <f>IFERROR(INDEX('领用录入（明细）'!$B:$L,SMALL($B:$B,ROW(D69)),MATCH(F$7,$D$7:$L$7,0)),"")</f>
        <v/>
      </c>
      <c r="G75" s="60" t="str">
        <f>IFERROR(INDEX('领用录入（明细）'!$B:$L,SMALL($B:$B,ROW(E69)),MATCH(G$7,$D$7:$L$7,0)),"")</f>
        <v/>
      </c>
      <c r="H75" s="60" t="str">
        <f>IFERROR(INDEX('领用录入（明细）'!$B:$L,SMALL($B:$B,ROW(F69)),MATCH(H$7,$D$7:$L$7,0)),"")</f>
        <v/>
      </c>
      <c r="I75" s="60" t="str">
        <f>IFERROR(INDEX('领用录入（明细）'!$B:$L,SMALL($B:$B,ROW(G69)),MATCH(I$7,$D$7:$L$7,0)),"")</f>
        <v/>
      </c>
      <c r="J75" s="60" t="str">
        <f>IFERROR(INDEX('领用录入（明细）'!$B:$L,SMALL($B:$B,ROW(H69)),MATCH(J$7,$D$7:$L$7,0)),"")</f>
        <v/>
      </c>
      <c r="K75" s="60" t="str">
        <f>IFERROR(INDEX('领用录入（明细）'!$B:$L,SMALL($B:$B,ROW(I69)),MATCH(K$7,$D$7:$L$7,0)),"")</f>
        <v/>
      </c>
      <c r="L75" s="60" t="str">
        <f>IFERROR(INDEX('领用录入（明细）'!$B:$L,SMALL($B:$B,ROW(J69)),MATCH(L$7,$D$7:$L$7,0)),"")</f>
        <v/>
      </c>
      <c r="M75" s="60" t="str">
        <f t="shared" si="1"/>
        <v/>
      </c>
    </row>
    <row r="76" customHeight="1" spans="2:13">
      <c r="B76" s="62" t="str">
        <f>IF(AND('领用录入（明细）'!D:D=$F$4,'领用录入（明细）'!C:C&gt;=$J$4,'领用录入（明细）'!C:C&lt;=$L$4),ROW(),"-")</f>
        <v>-</v>
      </c>
      <c r="D76" s="59" t="str">
        <f>IFERROR(INDEX('领用录入（明细）'!$B:$L,SMALL($B:$B,ROW(B70)),MATCH(D$7,$D$7:$L$7,0)),"")</f>
        <v/>
      </c>
      <c r="E76" s="114" t="str">
        <f>IFERROR(INDEX('领用录入（明细）'!$B:$L,SMALL($B:$B,ROW(C70)),MATCH(E$7,$D$7:$L$7,0)),"")</f>
        <v/>
      </c>
      <c r="F76" s="60" t="str">
        <f>IFERROR(INDEX('领用录入（明细）'!$B:$L,SMALL($B:$B,ROW(D70)),MATCH(F$7,$D$7:$L$7,0)),"")</f>
        <v/>
      </c>
      <c r="G76" s="60" t="str">
        <f>IFERROR(INDEX('领用录入（明细）'!$B:$L,SMALL($B:$B,ROW(E70)),MATCH(G$7,$D$7:$L$7,0)),"")</f>
        <v/>
      </c>
      <c r="H76" s="60" t="str">
        <f>IFERROR(INDEX('领用录入（明细）'!$B:$L,SMALL($B:$B,ROW(F70)),MATCH(H$7,$D$7:$L$7,0)),"")</f>
        <v/>
      </c>
      <c r="I76" s="60" t="str">
        <f>IFERROR(INDEX('领用录入（明细）'!$B:$L,SMALL($B:$B,ROW(G70)),MATCH(I$7,$D$7:$L$7,0)),"")</f>
        <v/>
      </c>
      <c r="J76" s="60" t="str">
        <f>IFERROR(INDEX('领用录入（明细）'!$B:$L,SMALL($B:$B,ROW(H70)),MATCH(J$7,$D$7:$L$7,0)),"")</f>
        <v/>
      </c>
      <c r="K76" s="60" t="str">
        <f>IFERROR(INDEX('领用录入（明细）'!$B:$L,SMALL($B:$B,ROW(I70)),MATCH(K$7,$D$7:$L$7,0)),"")</f>
        <v/>
      </c>
      <c r="L76" s="60" t="str">
        <f>IFERROR(INDEX('领用录入（明细）'!$B:$L,SMALL($B:$B,ROW(J70)),MATCH(L$7,$D$7:$L$7,0)),"")</f>
        <v/>
      </c>
      <c r="M76" s="60" t="str">
        <f t="shared" si="1"/>
        <v/>
      </c>
    </row>
    <row r="77" customHeight="1" spans="2:13">
      <c r="B77" s="62" t="str">
        <f>IF(AND('领用录入（明细）'!D:D=$F$4,'领用录入（明细）'!C:C&gt;=$J$4,'领用录入（明细）'!C:C&lt;=$L$4),ROW(),"-")</f>
        <v>-</v>
      </c>
      <c r="D77" s="59" t="str">
        <f>IFERROR(INDEX('领用录入（明细）'!$B:$L,SMALL($B:$B,ROW(B71)),MATCH(D$7,$D$7:$L$7,0)),"")</f>
        <v/>
      </c>
      <c r="E77" s="114" t="str">
        <f>IFERROR(INDEX('领用录入（明细）'!$B:$L,SMALL($B:$B,ROW(C71)),MATCH(E$7,$D$7:$L$7,0)),"")</f>
        <v/>
      </c>
      <c r="F77" s="60" t="str">
        <f>IFERROR(INDEX('领用录入（明细）'!$B:$L,SMALL($B:$B,ROW(D71)),MATCH(F$7,$D$7:$L$7,0)),"")</f>
        <v/>
      </c>
      <c r="G77" s="60" t="str">
        <f>IFERROR(INDEX('领用录入（明细）'!$B:$L,SMALL($B:$B,ROW(E71)),MATCH(G$7,$D$7:$L$7,0)),"")</f>
        <v/>
      </c>
      <c r="H77" s="60" t="str">
        <f>IFERROR(INDEX('领用录入（明细）'!$B:$L,SMALL($B:$B,ROW(F71)),MATCH(H$7,$D$7:$L$7,0)),"")</f>
        <v/>
      </c>
      <c r="I77" s="60" t="str">
        <f>IFERROR(INDEX('领用录入（明细）'!$B:$L,SMALL($B:$B,ROW(G71)),MATCH(I$7,$D$7:$L$7,0)),"")</f>
        <v/>
      </c>
      <c r="J77" s="60" t="str">
        <f>IFERROR(INDEX('领用录入（明细）'!$B:$L,SMALL($B:$B,ROW(H71)),MATCH(J$7,$D$7:$L$7,0)),"")</f>
        <v/>
      </c>
      <c r="K77" s="60" t="str">
        <f>IFERROR(INDEX('领用录入（明细）'!$B:$L,SMALL($B:$B,ROW(I71)),MATCH(K$7,$D$7:$L$7,0)),"")</f>
        <v/>
      </c>
      <c r="L77" s="60" t="str">
        <f>IFERROR(INDEX('领用录入（明细）'!$B:$L,SMALL($B:$B,ROW(J71)),MATCH(L$7,$D$7:$L$7,0)),"")</f>
        <v/>
      </c>
      <c r="M77" s="60" t="str">
        <f t="shared" si="1"/>
        <v/>
      </c>
    </row>
    <row r="78" customHeight="1" spans="2:13">
      <c r="B78" s="62" t="str">
        <f>IF(AND('领用录入（明细）'!D:D=$F$4,'领用录入（明细）'!C:C&gt;=$J$4,'领用录入（明细）'!C:C&lt;=$L$4),ROW(),"-")</f>
        <v>-</v>
      </c>
      <c r="D78" s="59" t="str">
        <f>IFERROR(INDEX('领用录入（明细）'!$B:$L,SMALL($B:$B,ROW(B72)),MATCH(D$7,$D$7:$L$7,0)),"")</f>
        <v/>
      </c>
      <c r="E78" s="114" t="str">
        <f>IFERROR(INDEX('领用录入（明细）'!$B:$L,SMALL($B:$B,ROW(C72)),MATCH(E$7,$D$7:$L$7,0)),"")</f>
        <v/>
      </c>
      <c r="F78" s="60" t="str">
        <f>IFERROR(INDEX('领用录入（明细）'!$B:$L,SMALL($B:$B,ROW(D72)),MATCH(F$7,$D$7:$L$7,0)),"")</f>
        <v/>
      </c>
      <c r="G78" s="60" t="str">
        <f>IFERROR(INDEX('领用录入（明细）'!$B:$L,SMALL($B:$B,ROW(E72)),MATCH(G$7,$D$7:$L$7,0)),"")</f>
        <v/>
      </c>
      <c r="H78" s="60" t="str">
        <f>IFERROR(INDEX('领用录入（明细）'!$B:$L,SMALL($B:$B,ROW(F72)),MATCH(H$7,$D$7:$L$7,0)),"")</f>
        <v/>
      </c>
      <c r="I78" s="60" t="str">
        <f>IFERROR(INDEX('领用录入（明细）'!$B:$L,SMALL($B:$B,ROW(G72)),MATCH(I$7,$D$7:$L$7,0)),"")</f>
        <v/>
      </c>
      <c r="J78" s="60" t="str">
        <f>IFERROR(INDEX('领用录入（明细）'!$B:$L,SMALL($B:$B,ROW(H72)),MATCH(J$7,$D$7:$L$7,0)),"")</f>
        <v/>
      </c>
      <c r="K78" s="60" t="str">
        <f>IFERROR(INDEX('领用录入（明细）'!$B:$L,SMALL($B:$B,ROW(I72)),MATCH(K$7,$D$7:$L$7,0)),"")</f>
        <v/>
      </c>
      <c r="L78" s="60" t="str">
        <f>IFERROR(INDEX('领用录入（明细）'!$B:$L,SMALL($B:$B,ROW(J72)),MATCH(L$7,$D$7:$L$7,0)),"")</f>
        <v/>
      </c>
      <c r="M78" s="60" t="str">
        <f t="shared" si="1"/>
        <v/>
      </c>
    </row>
    <row r="79" customHeight="1" spans="2:13">
      <c r="B79" s="62" t="str">
        <f>IF(AND('领用录入（明细）'!D:D=$F$4,'领用录入（明细）'!C:C&gt;=$J$4,'领用录入（明细）'!C:C&lt;=$L$4),ROW(),"-")</f>
        <v>-</v>
      </c>
      <c r="D79" s="59" t="str">
        <f>IFERROR(INDEX('领用录入（明细）'!$B:$L,SMALL($B:$B,ROW(B73)),MATCH(D$7,$D$7:$L$7,0)),"")</f>
        <v/>
      </c>
      <c r="E79" s="114" t="str">
        <f>IFERROR(INDEX('领用录入（明细）'!$B:$L,SMALL($B:$B,ROW(C73)),MATCH(E$7,$D$7:$L$7,0)),"")</f>
        <v/>
      </c>
      <c r="F79" s="60" t="str">
        <f>IFERROR(INDEX('领用录入（明细）'!$B:$L,SMALL($B:$B,ROW(D73)),MATCH(F$7,$D$7:$L$7,0)),"")</f>
        <v/>
      </c>
      <c r="G79" s="60" t="str">
        <f>IFERROR(INDEX('领用录入（明细）'!$B:$L,SMALL($B:$B,ROW(E73)),MATCH(G$7,$D$7:$L$7,0)),"")</f>
        <v/>
      </c>
      <c r="H79" s="60" t="str">
        <f>IFERROR(INDEX('领用录入（明细）'!$B:$L,SMALL($B:$B,ROW(F73)),MATCH(H$7,$D$7:$L$7,0)),"")</f>
        <v/>
      </c>
      <c r="I79" s="60" t="str">
        <f>IFERROR(INDEX('领用录入（明细）'!$B:$L,SMALL($B:$B,ROW(G73)),MATCH(I$7,$D$7:$L$7,0)),"")</f>
        <v/>
      </c>
      <c r="J79" s="60" t="str">
        <f>IFERROR(INDEX('领用录入（明细）'!$B:$L,SMALL($B:$B,ROW(H73)),MATCH(J$7,$D$7:$L$7,0)),"")</f>
        <v/>
      </c>
      <c r="K79" s="60" t="str">
        <f>IFERROR(INDEX('领用录入（明细）'!$B:$L,SMALL($B:$B,ROW(I73)),MATCH(K$7,$D$7:$L$7,0)),"")</f>
        <v/>
      </c>
      <c r="L79" s="60" t="str">
        <f>IFERROR(INDEX('领用录入（明细）'!$B:$L,SMALL($B:$B,ROW(J73)),MATCH(L$7,$D$7:$L$7,0)),"")</f>
        <v/>
      </c>
      <c r="M79" s="60" t="str">
        <f t="shared" si="1"/>
        <v/>
      </c>
    </row>
    <row r="80" customHeight="1" spans="2:13">
      <c r="B80" s="62" t="str">
        <f>IF(AND('领用录入（明细）'!D:D=$F$4,'领用录入（明细）'!C:C&gt;=$J$4,'领用录入（明细）'!C:C&lt;=$L$4),ROW(),"-")</f>
        <v>-</v>
      </c>
      <c r="D80" s="59" t="str">
        <f>IFERROR(INDEX('领用录入（明细）'!$B:$L,SMALL($B:$B,ROW(B74)),MATCH(D$7,$D$7:$L$7,0)),"")</f>
        <v/>
      </c>
      <c r="E80" s="114" t="str">
        <f>IFERROR(INDEX('领用录入（明细）'!$B:$L,SMALL($B:$B,ROW(C74)),MATCH(E$7,$D$7:$L$7,0)),"")</f>
        <v/>
      </c>
      <c r="F80" s="60" t="str">
        <f>IFERROR(INDEX('领用录入（明细）'!$B:$L,SMALL($B:$B,ROW(D74)),MATCH(F$7,$D$7:$L$7,0)),"")</f>
        <v/>
      </c>
      <c r="G80" s="60" t="str">
        <f>IFERROR(INDEX('领用录入（明细）'!$B:$L,SMALL($B:$B,ROW(E74)),MATCH(G$7,$D$7:$L$7,0)),"")</f>
        <v/>
      </c>
      <c r="H80" s="60" t="str">
        <f>IFERROR(INDEX('领用录入（明细）'!$B:$L,SMALL($B:$B,ROW(F74)),MATCH(H$7,$D$7:$L$7,0)),"")</f>
        <v/>
      </c>
      <c r="I80" s="60" t="str">
        <f>IFERROR(INDEX('领用录入（明细）'!$B:$L,SMALL($B:$B,ROW(G74)),MATCH(I$7,$D$7:$L$7,0)),"")</f>
        <v/>
      </c>
      <c r="J80" s="60" t="str">
        <f>IFERROR(INDEX('领用录入（明细）'!$B:$L,SMALL($B:$B,ROW(H74)),MATCH(J$7,$D$7:$L$7,0)),"")</f>
        <v/>
      </c>
      <c r="K80" s="60" t="str">
        <f>IFERROR(INDEX('领用录入（明细）'!$B:$L,SMALL($B:$B,ROW(I74)),MATCH(K$7,$D$7:$L$7,0)),"")</f>
        <v/>
      </c>
      <c r="L80" s="60" t="str">
        <f>IFERROR(INDEX('领用录入（明细）'!$B:$L,SMALL($B:$B,ROW(J74)),MATCH(L$7,$D$7:$L$7,0)),"")</f>
        <v/>
      </c>
      <c r="M80" s="60" t="str">
        <f t="shared" si="1"/>
        <v/>
      </c>
    </row>
    <row r="81" customHeight="1" spans="2:13">
      <c r="B81" s="62" t="str">
        <f>IF(AND('领用录入（明细）'!D:D=$F$4,'领用录入（明细）'!C:C&gt;=$J$4,'领用录入（明细）'!C:C&lt;=$L$4),ROW(),"-")</f>
        <v>-</v>
      </c>
      <c r="D81" s="59" t="str">
        <f>IFERROR(INDEX('领用录入（明细）'!$B:$L,SMALL($B:$B,ROW(B75)),MATCH(D$7,$D$7:$L$7,0)),"")</f>
        <v/>
      </c>
      <c r="E81" s="114" t="str">
        <f>IFERROR(INDEX('领用录入（明细）'!$B:$L,SMALL($B:$B,ROW(C75)),MATCH(E$7,$D$7:$L$7,0)),"")</f>
        <v/>
      </c>
      <c r="F81" s="60" t="str">
        <f>IFERROR(INDEX('领用录入（明细）'!$B:$L,SMALL($B:$B,ROW(D75)),MATCH(F$7,$D$7:$L$7,0)),"")</f>
        <v/>
      </c>
      <c r="G81" s="60" t="str">
        <f>IFERROR(INDEX('领用录入（明细）'!$B:$L,SMALL($B:$B,ROW(E75)),MATCH(G$7,$D$7:$L$7,0)),"")</f>
        <v/>
      </c>
      <c r="H81" s="60" t="str">
        <f>IFERROR(INDEX('领用录入（明细）'!$B:$L,SMALL($B:$B,ROW(F75)),MATCH(H$7,$D$7:$L$7,0)),"")</f>
        <v/>
      </c>
      <c r="I81" s="60" t="str">
        <f>IFERROR(INDEX('领用录入（明细）'!$B:$L,SMALL($B:$B,ROW(G75)),MATCH(I$7,$D$7:$L$7,0)),"")</f>
        <v/>
      </c>
      <c r="J81" s="60" t="str">
        <f>IFERROR(INDEX('领用录入（明细）'!$B:$L,SMALL($B:$B,ROW(H75)),MATCH(J$7,$D$7:$L$7,0)),"")</f>
        <v/>
      </c>
      <c r="K81" s="60" t="str">
        <f>IFERROR(INDEX('领用录入（明细）'!$B:$L,SMALL($B:$B,ROW(I75)),MATCH(K$7,$D$7:$L$7,0)),"")</f>
        <v/>
      </c>
      <c r="L81" s="60" t="str">
        <f>IFERROR(INDEX('领用录入（明细）'!$B:$L,SMALL($B:$B,ROW(J75)),MATCH(L$7,$D$7:$L$7,0)),"")</f>
        <v/>
      </c>
      <c r="M81" s="60" t="str">
        <f t="shared" si="1"/>
        <v/>
      </c>
    </row>
    <row r="82" customHeight="1" spans="2:13">
      <c r="B82" s="62" t="str">
        <f>IF(AND('领用录入（明细）'!D:D=$F$4,'领用录入（明细）'!C:C&gt;=$J$4,'领用录入（明细）'!C:C&lt;=$L$4),ROW(),"-")</f>
        <v>-</v>
      </c>
      <c r="D82" s="59" t="str">
        <f>IFERROR(INDEX('领用录入（明细）'!$B:$L,SMALL($B:$B,ROW(B76)),MATCH(D$7,$D$7:$L$7,0)),"")</f>
        <v/>
      </c>
      <c r="E82" s="114" t="str">
        <f>IFERROR(INDEX('领用录入（明细）'!$B:$L,SMALL($B:$B,ROW(C76)),MATCH(E$7,$D$7:$L$7,0)),"")</f>
        <v/>
      </c>
      <c r="F82" s="60" t="str">
        <f>IFERROR(INDEX('领用录入（明细）'!$B:$L,SMALL($B:$B,ROW(D76)),MATCH(F$7,$D$7:$L$7,0)),"")</f>
        <v/>
      </c>
      <c r="G82" s="60" t="str">
        <f>IFERROR(INDEX('领用录入（明细）'!$B:$L,SMALL($B:$B,ROW(E76)),MATCH(G$7,$D$7:$L$7,0)),"")</f>
        <v/>
      </c>
      <c r="H82" s="60" t="str">
        <f>IFERROR(INDEX('领用录入（明细）'!$B:$L,SMALL($B:$B,ROW(F76)),MATCH(H$7,$D$7:$L$7,0)),"")</f>
        <v/>
      </c>
      <c r="I82" s="60" t="str">
        <f>IFERROR(INDEX('领用录入（明细）'!$B:$L,SMALL($B:$B,ROW(G76)),MATCH(I$7,$D$7:$L$7,0)),"")</f>
        <v/>
      </c>
      <c r="J82" s="60" t="str">
        <f>IFERROR(INDEX('领用录入（明细）'!$B:$L,SMALL($B:$B,ROW(H76)),MATCH(J$7,$D$7:$L$7,0)),"")</f>
        <v/>
      </c>
      <c r="K82" s="60" t="str">
        <f>IFERROR(INDEX('领用录入（明细）'!$B:$L,SMALL($B:$B,ROW(I76)),MATCH(K$7,$D$7:$L$7,0)),"")</f>
        <v/>
      </c>
      <c r="L82" s="60" t="str">
        <f>IFERROR(INDEX('领用录入（明细）'!$B:$L,SMALL($B:$B,ROW(J76)),MATCH(L$7,$D$7:$L$7,0)),"")</f>
        <v/>
      </c>
      <c r="M82" s="60" t="str">
        <f t="shared" si="1"/>
        <v/>
      </c>
    </row>
    <row r="83" customHeight="1" spans="2:13">
      <c r="B83" s="62" t="str">
        <f>IF(AND('领用录入（明细）'!D:D=$F$4,'领用录入（明细）'!C:C&gt;=$J$4,'领用录入（明细）'!C:C&lt;=$L$4),ROW(),"-")</f>
        <v>-</v>
      </c>
      <c r="D83" s="59" t="str">
        <f>IFERROR(INDEX('领用录入（明细）'!$B:$L,SMALL($B:$B,ROW(B77)),MATCH(D$7,$D$7:$L$7,0)),"")</f>
        <v/>
      </c>
      <c r="E83" s="114" t="str">
        <f>IFERROR(INDEX('领用录入（明细）'!$B:$L,SMALL($B:$B,ROW(C77)),MATCH(E$7,$D$7:$L$7,0)),"")</f>
        <v/>
      </c>
      <c r="F83" s="60" t="str">
        <f>IFERROR(INDEX('领用录入（明细）'!$B:$L,SMALL($B:$B,ROW(D77)),MATCH(F$7,$D$7:$L$7,0)),"")</f>
        <v/>
      </c>
      <c r="G83" s="60" t="str">
        <f>IFERROR(INDEX('领用录入（明细）'!$B:$L,SMALL($B:$B,ROW(E77)),MATCH(G$7,$D$7:$L$7,0)),"")</f>
        <v/>
      </c>
      <c r="H83" s="60" t="str">
        <f>IFERROR(INDEX('领用录入（明细）'!$B:$L,SMALL($B:$B,ROW(F77)),MATCH(H$7,$D$7:$L$7,0)),"")</f>
        <v/>
      </c>
      <c r="I83" s="60" t="str">
        <f>IFERROR(INDEX('领用录入（明细）'!$B:$L,SMALL($B:$B,ROW(G77)),MATCH(I$7,$D$7:$L$7,0)),"")</f>
        <v/>
      </c>
      <c r="J83" s="60" t="str">
        <f>IFERROR(INDEX('领用录入（明细）'!$B:$L,SMALL($B:$B,ROW(H77)),MATCH(J$7,$D$7:$L$7,0)),"")</f>
        <v/>
      </c>
      <c r="K83" s="60" t="str">
        <f>IFERROR(INDEX('领用录入（明细）'!$B:$L,SMALL($B:$B,ROW(I77)),MATCH(K$7,$D$7:$L$7,0)),"")</f>
        <v/>
      </c>
      <c r="L83" s="60" t="str">
        <f>IFERROR(INDEX('领用录入（明细）'!$B:$L,SMALL($B:$B,ROW(J77)),MATCH(L$7,$D$7:$L$7,0)),"")</f>
        <v/>
      </c>
      <c r="M83" s="60" t="str">
        <f t="shared" si="1"/>
        <v/>
      </c>
    </row>
    <row r="84" customHeight="1" spans="2:13">
      <c r="B84" s="62" t="str">
        <f>IF(AND('领用录入（明细）'!D:D=$F$4,'领用录入（明细）'!C:C&gt;=$J$4,'领用录入（明细）'!C:C&lt;=$L$4),ROW(),"-")</f>
        <v>-</v>
      </c>
      <c r="D84" s="59" t="str">
        <f>IFERROR(INDEX('领用录入（明细）'!$B:$L,SMALL($B:$B,ROW(B78)),MATCH(D$7,$D$7:$L$7,0)),"")</f>
        <v/>
      </c>
      <c r="E84" s="114" t="str">
        <f>IFERROR(INDEX('领用录入（明细）'!$B:$L,SMALL($B:$B,ROW(C78)),MATCH(E$7,$D$7:$L$7,0)),"")</f>
        <v/>
      </c>
      <c r="F84" s="60" t="str">
        <f>IFERROR(INDEX('领用录入（明细）'!$B:$L,SMALL($B:$B,ROW(D78)),MATCH(F$7,$D$7:$L$7,0)),"")</f>
        <v/>
      </c>
      <c r="G84" s="60" t="str">
        <f>IFERROR(INDEX('领用录入（明细）'!$B:$L,SMALL($B:$B,ROW(E78)),MATCH(G$7,$D$7:$L$7,0)),"")</f>
        <v/>
      </c>
      <c r="H84" s="60" t="str">
        <f>IFERROR(INDEX('领用录入（明细）'!$B:$L,SMALL($B:$B,ROW(F78)),MATCH(H$7,$D$7:$L$7,0)),"")</f>
        <v/>
      </c>
      <c r="I84" s="60" t="str">
        <f>IFERROR(INDEX('领用录入（明细）'!$B:$L,SMALL($B:$B,ROW(G78)),MATCH(I$7,$D$7:$L$7,0)),"")</f>
        <v/>
      </c>
      <c r="J84" s="60" t="str">
        <f>IFERROR(INDEX('领用录入（明细）'!$B:$L,SMALL($B:$B,ROW(H78)),MATCH(J$7,$D$7:$L$7,0)),"")</f>
        <v/>
      </c>
      <c r="K84" s="60" t="str">
        <f>IFERROR(INDEX('领用录入（明细）'!$B:$L,SMALL($B:$B,ROW(I78)),MATCH(K$7,$D$7:$L$7,0)),"")</f>
        <v/>
      </c>
      <c r="L84" s="60" t="str">
        <f>IFERROR(INDEX('领用录入（明细）'!$B:$L,SMALL($B:$B,ROW(J78)),MATCH(L$7,$D$7:$L$7,0)),"")</f>
        <v/>
      </c>
      <c r="M84" s="60" t="str">
        <f t="shared" si="1"/>
        <v/>
      </c>
    </row>
    <row r="85" customHeight="1" spans="2:13">
      <c r="B85" s="62" t="str">
        <f>IF(AND('领用录入（明细）'!D:D=$F$4,'领用录入（明细）'!C:C&gt;=$J$4,'领用录入（明细）'!C:C&lt;=$L$4),ROW(),"-")</f>
        <v>-</v>
      </c>
      <c r="D85" s="59" t="str">
        <f>IFERROR(INDEX('领用录入（明细）'!$B:$L,SMALL($B:$B,ROW(B79)),MATCH(D$7,$D$7:$L$7,0)),"")</f>
        <v/>
      </c>
      <c r="E85" s="114" t="str">
        <f>IFERROR(INDEX('领用录入（明细）'!$B:$L,SMALL($B:$B,ROW(C79)),MATCH(E$7,$D$7:$L$7,0)),"")</f>
        <v/>
      </c>
      <c r="F85" s="60" t="str">
        <f>IFERROR(INDEX('领用录入（明细）'!$B:$L,SMALL($B:$B,ROW(D79)),MATCH(F$7,$D$7:$L$7,0)),"")</f>
        <v/>
      </c>
      <c r="G85" s="60" t="str">
        <f>IFERROR(INDEX('领用录入（明细）'!$B:$L,SMALL($B:$B,ROW(E79)),MATCH(G$7,$D$7:$L$7,0)),"")</f>
        <v/>
      </c>
      <c r="H85" s="60" t="str">
        <f>IFERROR(INDEX('领用录入（明细）'!$B:$L,SMALL($B:$B,ROW(F79)),MATCH(H$7,$D$7:$L$7,0)),"")</f>
        <v/>
      </c>
      <c r="I85" s="60" t="str">
        <f>IFERROR(INDEX('领用录入（明细）'!$B:$L,SMALL($B:$B,ROW(G79)),MATCH(I$7,$D$7:$L$7,0)),"")</f>
        <v/>
      </c>
      <c r="J85" s="60" t="str">
        <f>IFERROR(INDEX('领用录入（明细）'!$B:$L,SMALL($B:$B,ROW(H79)),MATCH(J$7,$D$7:$L$7,0)),"")</f>
        <v/>
      </c>
      <c r="K85" s="60" t="str">
        <f>IFERROR(INDEX('领用录入（明细）'!$B:$L,SMALL($B:$B,ROW(I79)),MATCH(K$7,$D$7:$L$7,0)),"")</f>
        <v/>
      </c>
      <c r="L85" s="60" t="str">
        <f>IFERROR(INDEX('领用录入（明细）'!$B:$L,SMALL($B:$B,ROW(J79)),MATCH(L$7,$D$7:$L$7,0)),"")</f>
        <v/>
      </c>
      <c r="M85" s="60" t="str">
        <f t="shared" si="1"/>
        <v/>
      </c>
    </row>
    <row r="86" customHeight="1" spans="2:13">
      <c r="B86" s="62" t="str">
        <f>IF(AND('领用录入（明细）'!D:D=$F$4,'领用录入（明细）'!C:C&gt;=$J$4,'领用录入（明细）'!C:C&lt;=$L$4),ROW(),"-")</f>
        <v>-</v>
      </c>
      <c r="D86" s="59" t="str">
        <f>IFERROR(INDEX('领用录入（明细）'!$B:$L,SMALL($B:$B,ROW(B80)),MATCH(D$7,$D$7:$L$7,0)),"")</f>
        <v/>
      </c>
      <c r="E86" s="114" t="str">
        <f>IFERROR(INDEX('领用录入（明细）'!$B:$L,SMALL($B:$B,ROW(C80)),MATCH(E$7,$D$7:$L$7,0)),"")</f>
        <v/>
      </c>
      <c r="F86" s="60" t="str">
        <f>IFERROR(INDEX('领用录入（明细）'!$B:$L,SMALL($B:$B,ROW(D80)),MATCH(F$7,$D$7:$L$7,0)),"")</f>
        <v/>
      </c>
      <c r="G86" s="60" t="str">
        <f>IFERROR(INDEX('领用录入（明细）'!$B:$L,SMALL($B:$B,ROW(E80)),MATCH(G$7,$D$7:$L$7,0)),"")</f>
        <v/>
      </c>
      <c r="H86" s="60" t="str">
        <f>IFERROR(INDEX('领用录入（明细）'!$B:$L,SMALL($B:$B,ROW(F80)),MATCH(H$7,$D$7:$L$7,0)),"")</f>
        <v/>
      </c>
      <c r="I86" s="60" t="str">
        <f>IFERROR(INDEX('领用录入（明细）'!$B:$L,SMALL($B:$B,ROW(G80)),MATCH(I$7,$D$7:$L$7,0)),"")</f>
        <v/>
      </c>
      <c r="J86" s="60" t="str">
        <f>IFERROR(INDEX('领用录入（明细）'!$B:$L,SMALL($B:$B,ROW(H80)),MATCH(J$7,$D$7:$L$7,0)),"")</f>
        <v/>
      </c>
      <c r="K86" s="60" t="str">
        <f>IFERROR(INDEX('领用录入（明细）'!$B:$L,SMALL($B:$B,ROW(I80)),MATCH(K$7,$D$7:$L$7,0)),"")</f>
        <v/>
      </c>
      <c r="L86" s="60" t="str">
        <f>IFERROR(INDEX('领用录入（明细）'!$B:$L,SMALL($B:$B,ROW(J80)),MATCH(L$7,$D$7:$L$7,0)),"")</f>
        <v/>
      </c>
      <c r="M86" s="60" t="str">
        <f t="shared" si="1"/>
        <v/>
      </c>
    </row>
    <row r="87" customHeight="1" spans="2:13">
      <c r="B87" s="62" t="str">
        <f>IF(AND('领用录入（明细）'!D:D=$F$4,'领用录入（明细）'!C:C&gt;=$J$4,'领用录入（明细）'!C:C&lt;=$L$4),ROW(),"-")</f>
        <v>-</v>
      </c>
      <c r="D87" s="59" t="str">
        <f>IFERROR(INDEX('领用录入（明细）'!$B:$L,SMALL($B:$B,ROW(B81)),MATCH(D$7,$D$7:$L$7,0)),"")</f>
        <v/>
      </c>
      <c r="E87" s="114" t="str">
        <f>IFERROR(INDEX('领用录入（明细）'!$B:$L,SMALL($B:$B,ROW(C81)),MATCH(E$7,$D$7:$L$7,0)),"")</f>
        <v/>
      </c>
      <c r="F87" s="60" t="str">
        <f>IFERROR(INDEX('领用录入（明细）'!$B:$L,SMALL($B:$B,ROW(D81)),MATCH(F$7,$D$7:$L$7,0)),"")</f>
        <v/>
      </c>
      <c r="G87" s="60" t="str">
        <f>IFERROR(INDEX('领用录入（明细）'!$B:$L,SMALL($B:$B,ROW(E81)),MATCH(G$7,$D$7:$L$7,0)),"")</f>
        <v/>
      </c>
      <c r="H87" s="60" t="str">
        <f>IFERROR(INDEX('领用录入（明细）'!$B:$L,SMALL($B:$B,ROW(F81)),MATCH(H$7,$D$7:$L$7,0)),"")</f>
        <v/>
      </c>
      <c r="I87" s="60" t="str">
        <f>IFERROR(INDEX('领用录入（明细）'!$B:$L,SMALL($B:$B,ROW(G81)),MATCH(I$7,$D$7:$L$7,0)),"")</f>
        <v/>
      </c>
      <c r="J87" s="60" t="str">
        <f>IFERROR(INDEX('领用录入（明细）'!$B:$L,SMALL($B:$B,ROW(H81)),MATCH(J$7,$D$7:$L$7,0)),"")</f>
        <v/>
      </c>
      <c r="K87" s="60" t="str">
        <f>IFERROR(INDEX('领用录入（明细）'!$B:$L,SMALL($B:$B,ROW(I81)),MATCH(K$7,$D$7:$L$7,0)),"")</f>
        <v/>
      </c>
      <c r="L87" s="60" t="str">
        <f>IFERROR(INDEX('领用录入（明细）'!$B:$L,SMALL($B:$B,ROW(J81)),MATCH(L$7,$D$7:$L$7,0)),"")</f>
        <v/>
      </c>
      <c r="M87" s="60" t="str">
        <f t="shared" si="1"/>
        <v/>
      </c>
    </row>
    <row r="88" customHeight="1" spans="2:13">
      <c r="B88" s="62" t="str">
        <f>IF(AND('领用录入（明细）'!D:D=$F$4,'领用录入（明细）'!C:C&gt;=$J$4,'领用录入（明细）'!C:C&lt;=$L$4),ROW(),"-")</f>
        <v>-</v>
      </c>
      <c r="D88" s="59" t="str">
        <f>IFERROR(INDEX('领用录入（明细）'!$B:$L,SMALL($B:$B,ROW(B82)),MATCH(D$7,$D$7:$L$7,0)),"")</f>
        <v/>
      </c>
      <c r="E88" s="114" t="str">
        <f>IFERROR(INDEX('领用录入（明细）'!$B:$L,SMALL($B:$B,ROW(C82)),MATCH(E$7,$D$7:$L$7,0)),"")</f>
        <v/>
      </c>
      <c r="F88" s="60" t="str">
        <f>IFERROR(INDEX('领用录入（明细）'!$B:$L,SMALL($B:$B,ROW(D82)),MATCH(F$7,$D$7:$L$7,0)),"")</f>
        <v/>
      </c>
      <c r="G88" s="60" t="str">
        <f>IFERROR(INDEX('领用录入（明细）'!$B:$L,SMALL($B:$B,ROW(E82)),MATCH(G$7,$D$7:$L$7,0)),"")</f>
        <v/>
      </c>
      <c r="H88" s="60" t="str">
        <f>IFERROR(INDEX('领用录入（明细）'!$B:$L,SMALL($B:$B,ROW(F82)),MATCH(H$7,$D$7:$L$7,0)),"")</f>
        <v/>
      </c>
      <c r="I88" s="60" t="str">
        <f>IFERROR(INDEX('领用录入（明细）'!$B:$L,SMALL($B:$B,ROW(G82)),MATCH(I$7,$D$7:$L$7,0)),"")</f>
        <v/>
      </c>
      <c r="J88" s="60" t="str">
        <f>IFERROR(INDEX('领用录入（明细）'!$B:$L,SMALL($B:$B,ROW(H82)),MATCH(J$7,$D$7:$L$7,0)),"")</f>
        <v/>
      </c>
      <c r="K88" s="60" t="str">
        <f>IFERROR(INDEX('领用录入（明细）'!$B:$L,SMALL($B:$B,ROW(I82)),MATCH(K$7,$D$7:$L$7,0)),"")</f>
        <v/>
      </c>
      <c r="L88" s="60" t="str">
        <f>IFERROR(INDEX('领用录入（明细）'!$B:$L,SMALL($B:$B,ROW(J82)),MATCH(L$7,$D$7:$L$7,0)),"")</f>
        <v/>
      </c>
      <c r="M88" s="60" t="str">
        <f t="shared" si="1"/>
        <v/>
      </c>
    </row>
    <row r="89" customHeight="1" spans="2:13">
      <c r="B89" s="62" t="str">
        <f>IF(AND('领用录入（明细）'!D:D=$F$4,'领用录入（明细）'!C:C&gt;=$J$4,'领用录入（明细）'!C:C&lt;=$L$4),ROW(),"-")</f>
        <v>-</v>
      </c>
      <c r="D89" s="59" t="str">
        <f>IFERROR(INDEX('领用录入（明细）'!$B:$L,SMALL($B:$B,ROW(B83)),MATCH(D$7,$D$7:$L$7,0)),"")</f>
        <v/>
      </c>
      <c r="E89" s="114" t="str">
        <f>IFERROR(INDEX('领用录入（明细）'!$B:$L,SMALL($B:$B,ROW(C83)),MATCH(E$7,$D$7:$L$7,0)),"")</f>
        <v/>
      </c>
      <c r="F89" s="60" t="str">
        <f>IFERROR(INDEX('领用录入（明细）'!$B:$L,SMALL($B:$B,ROW(D83)),MATCH(F$7,$D$7:$L$7,0)),"")</f>
        <v/>
      </c>
      <c r="G89" s="60" t="str">
        <f>IFERROR(INDEX('领用录入（明细）'!$B:$L,SMALL($B:$B,ROW(E83)),MATCH(G$7,$D$7:$L$7,0)),"")</f>
        <v/>
      </c>
      <c r="H89" s="60" t="str">
        <f>IFERROR(INDEX('领用录入（明细）'!$B:$L,SMALL($B:$B,ROW(F83)),MATCH(H$7,$D$7:$L$7,0)),"")</f>
        <v/>
      </c>
      <c r="I89" s="60" t="str">
        <f>IFERROR(INDEX('领用录入（明细）'!$B:$L,SMALL($B:$B,ROW(G83)),MATCH(I$7,$D$7:$L$7,0)),"")</f>
        <v/>
      </c>
      <c r="J89" s="60" t="str">
        <f>IFERROR(INDEX('领用录入（明细）'!$B:$L,SMALL($B:$B,ROW(H83)),MATCH(J$7,$D$7:$L$7,0)),"")</f>
        <v/>
      </c>
      <c r="K89" s="60" t="str">
        <f>IFERROR(INDEX('领用录入（明细）'!$B:$L,SMALL($B:$B,ROW(I83)),MATCH(K$7,$D$7:$L$7,0)),"")</f>
        <v/>
      </c>
      <c r="L89" s="60" t="str">
        <f>IFERROR(INDEX('领用录入（明细）'!$B:$L,SMALL($B:$B,ROW(J83)),MATCH(L$7,$D$7:$L$7,0)),"")</f>
        <v/>
      </c>
      <c r="M89" s="60" t="str">
        <f t="shared" si="1"/>
        <v/>
      </c>
    </row>
    <row r="90" customHeight="1" spans="2:13">
      <c r="B90" s="62" t="str">
        <f>IF(AND('领用录入（明细）'!D:D=$F$4,'领用录入（明细）'!C:C&gt;=$J$4,'领用录入（明细）'!C:C&lt;=$L$4),ROW(),"-")</f>
        <v>-</v>
      </c>
      <c r="D90" s="59" t="str">
        <f>IFERROR(INDEX('领用录入（明细）'!$B:$L,SMALL($B:$B,ROW(B84)),MATCH(D$7,$D$7:$L$7,0)),"")</f>
        <v/>
      </c>
      <c r="E90" s="114" t="str">
        <f>IFERROR(INDEX('领用录入（明细）'!$B:$L,SMALL($B:$B,ROW(C84)),MATCH(E$7,$D$7:$L$7,0)),"")</f>
        <v/>
      </c>
      <c r="F90" s="60" t="str">
        <f>IFERROR(INDEX('领用录入（明细）'!$B:$L,SMALL($B:$B,ROW(D84)),MATCH(F$7,$D$7:$L$7,0)),"")</f>
        <v/>
      </c>
      <c r="G90" s="60" t="str">
        <f>IFERROR(INDEX('领用录入（明细）'!$B:$L,SMALL($B:$B,ROW(E84)),MATCH(G$7,$D$7:$L$7,0)),"")</f>
        <v/>
      </c>
      <c r="H90" s="60" t="str">
        <f>IFERROR(INDEX('领用录入（明细）'!$B:$L,SMALL($B:$B,ROW(F84)),MATCH(H$7,$D$7:$L$7,0)),"")</f>
        <v/>
      </c>
      <c r="I90" s="60" t="str">
        <f>IFERROR(INDEX('领用录入（明细）'!$B:$L,SMALL($B:$B,ROW(G84)),MATCH(I$7,$D$7:$L$7,0)),"")</f>
        <v/>
      </c>
      <c r="J90" s="60" t="str">
        <f>IFERROR(INDEX('领用录入（明细）'!$B:$L,SMALL($B:$B,ROW(H84)),MATCH(J$7,$D$7:$L$7,0)),"")</f>
        <v/>
      </c>
      <c r="K90" s="60" t="str">
        <f>IFERROR(INDEX('领用录入（明细）'!$B:$L,SMALL($B:$B,ROW(I84)),MATCH(K$7,$D$7:$L$7,0)),"")</f>
        <v/>
      </c>
      <c r="L90" s="60" t="str">
        <f>IFERROR(INDEX('领用录入（明细）'!$B:$L,SMALL($B:$B,ROW(J84)),MATCH(L$7,$D$7:$L$7,0)),"")</f>
        <v/>
      </c>
      <c r="M90" s="60" t="str">
        <f t="shared" si="1"/>
        <v/>
      </c>
    </row>
    <row r="91" customHeight="1" spans="2:13">
      <c r="B91" s="62" t="str">
        <f>IF(AND('领用录入（明细）'!D:D=$F$4,'领用录入（明细）'!C:C&gt;=$J$4,'领用录入（明细）'!C:C&lt;=$L$4),ROW(),"-")</f>
        <v>-</v>
      </c>
      <c r="D91" s="59" t="str">
        <f>IFERROR(INDEX('领用录入（明细）'!$B:$L,SMALL($B:$B,ROW(B85)),MATCH(D$7,$D$7:$L$7,0)),"")</f>
        <v/>
      </c>
      <c r="E91" s="114" t="str">
        <f>IFERROR(INDEX('领用录入（明细）'!$B:$L,SMALL($B:$B,ROW(C85)),MATCH(E$7,$D$7:$L$7,0)),"")</f>
        <v/>
      </c>
      <c r="F91" s="60" t="str">
        <f>IFERROR(INDEX('领用录入（明细）'!$B:$L,SMALL($B:$B,ROW(D85)),MATCH(F$7,$D$7:$L$7,0)),"")</f>
        <v/>
      </c>
      <c r="G91" s="60" t="str">
        <f>IFERROR(INDEX('领用录入（明细）'!$B:$L,SMALL($B:$B,ROW(E85)),MATCH(G$7,$D$7:$L$7,0)),"")</f>
        <v/>
      </c>
      <c r="H91" s="60" t="str">
        <f>IFERROR(INDEX('领用录入（明细）'!$B:$L,SMALL($B:$B,ROW(F85)),MATCH(H$7,$D$7:$L$7,0)),"")</f>
        <v/>
      </c>
      <c r="I91" s="60" t="str">
        <f>IFERROR(INDEX('领用录入（明细）'!$B:$L,SMALL($B:$B,ROW(G85)),MATCH(I$7,$D$7:$L$7,0)),"")</f>
        <v/>
      </c>
      <c r="J91" s="60" t="str">
        <f>IFERROR(INDEX('领用录入（明细）'!$B:$L,SMALL($B:$B,ROW(H85)),MATCH(J$7,$D$7:$L$7,0)),"")</f>
        <v/>
      </c>
      <c r="K91" s="60" t="str">
        <f>IFERROR(INDEX('领用录入（明细）'!$B:$L,SMALL($B:$B,ROW(I85)),MATCH(K$7,$D$7:$L$7,0)),"")</f>
        <v/>
      </c>
      <c r="L91" s="60" t="str">
        <f>IFERROR(INDEX('领用录入（明细）'!$B:$L,SMALL($B:$B,ROW(J85)),MATCH(L$7,$D$7:$L$7,0)),"")</f>
        <v/>
      </c>
      <c r="M91" s="60" t="str">
        <f t="shared" si="1"/>
        <v/>
      </c>
    </row>
    <row r="92" customHeight="1" spans="2:13">
      <c r="B92" s="62" t="str">
        <f>IF(AND('领用录入（明细）'!D:D=$F$4,'领用录入（明细）'!C:C&gt;=$J$4,'领用录入（明细）'!C:C&lt;=$L$4),ROW(),"-")</f>
        <v>-</v>
      </c>
      <c r="D92" s="59" t="str">
        <f>IFERROR(INDEX('领用录入（明细）'!$B:$L,SMALL($B:$B,ROW(B86)),MATCH(D$7,$D$7:$L$7,0)),"")</f>
        <v/>
      </c>
      <c r="E92" s="114" t="str">
        <f>IFERROR(INDEX('领用录入（明细）'!$B:$L,SMALL($B:$B,ROW(C86)),MATCH(E$7,$D$7:$L$7,0)),"")</f>
        <v/>
      </c>
      <c r="F92" s="60" t="str">
        <f>IFERROR(INDEX('领用录入（明细）'!$B:$L,SMALL($B:$B,ROW(D86)),MATCH(F$7,$D$7:$L$7,0)),"")</f>
        <v/>
      </c>
      <c r="G92" s="60" t="str">
        <f>IFERROR(INDEX('领用录入（明细）'!$B:$L,SMALL($B:$B,ROW(E86)),MATCH(G$7,$D$7:$L$7,0)),"")</f>
        <v/>
      </c>
      <c r="H92" s="60" t="str">
        <f>IFERROR(INDEX('领用录入（明细）'!$B:$L,SMALL($B:$B,ROW(F86)),MATCH(H$7,$D$7:$L$7,0)),"")</f>
        <v/>
      </c>
      <c r="I92" s="60" t="str">
        <f>IFERROR(INDEX('领用录入（明细）'!$B:$L,SMALL($B:$B,ROW(G86)),MATCH(I$7,$D$7:$L$7,0)),"")</f>
        <v/>
      </c>
      <c r="J92" s="60" t="str">
        <f>IFERROR(INDEX('领用录入（明细）'!$B:$L,SMALL($B:$B,ROW(H86)),MATCH(J$7,$D$7:$L$7,0)),"")</f>
        <v/>
      </c>
      <c r="K92" s="60" t="str">
        <f>IFERROR(INDEX('领用录入（明细）'!$B:$L,SMALL($B:$B,ROW(I86)),MATCH(K$7,$D$7:$L$7,0)),"")</f>
        <v/>
      </c>
      <c r="L92" s="60" t="str">
        <f>IFERROR(INDEX('领用录入（明细）'!$B:$L,SMALL($B:$B,ROW(J86)),MATCH(L$7,$D$7:$L$7,0)),"")</f>
        <v/>
      </c>
      <c r="M92" s="60" t="str">
        <f t="shared" si="1"/>
        <v/>
      </c>
    </row>
    <row r="93" customHeight="1" spans="2:13">
      <c r="B93" s="62" t="str">
        <f>IF(AND('领用录入（明细）'!D:D=$F$4,'领用录入（明细）'!C:C&gt;=$J$4,'领用录入（明细）'!C:C&lt;=$L$4),ROW(),"-")</f>
        <v>-</v>
      </c>
      <c r="D93" s="59" t="str">
        <f>IFERROR(INDEX('领用录入（明细）'!$B:$L,SMALL($B:$B,ROW(B87)),MATCH(D$7,$D$7:$L$7,0)),"")</f>
        <v/>
      </c>
      <c r="E93" s="114" t="str">
        <f>IFERROR(INDEX('领用录入（明细）'!$B:$L,SMALL($B:$B,ROW(C87)),MATCH(E$7,$D$7:$L$7,0)),"")</f>
        <v/>
      </c>
      <c r="F93" s="60" t="str">
        <f>IFERROR(INDEX('领用录入（明细）'!$B:$L,SMALL($B:$B,ROW(D87)),MATCH(F$7,$D$7:$L$7,0)),"")</f>
        <v/>
      </c>
      <c r="G93" s="60" t="str">
        <f>IFERROR(INDEX('领用录入（明细）'!$B:$L,SMALL($B:$B,ROW(E87)),MATCH(G$7,$D$7:$L$7,0)),"")</f>
        <v/>
      </c>
      <c r="H93" s="60" t="str">
        <f>IFERROR(INDEX('领用录入（明细）'!$B:$L,SMALL($B:$B,ROW(F87)),MATCH(H$7,$D$7:$L$7,0)),"")</f>
        <v/>
      </c>
      <c r="I93" s="60" t="str">
        <f>IFERROR(INDEX('领用录入（明细）'!$B:$L,SMALL($B:$B,ROW(G87)),MATCH(I$7,$D$7:$L$7,0)),"")</f>
        <v/>
      </c>
      <c r="J93" s="60" t="str">
        <f>IFERROR(INDEX('领用录入（明细）'!$B:$L,SMALL($B:$B,ROW(H87)),MATCH(J$7,$D$7:$L$7,0)),"")</f>
        <v/>
      </c>
      <c r="K93" s="60" t="str">
        <f>IFERROR(INDEX('领用录入（明细）'!$B:$L,SMALL($B:$B,ROW(I87)),MATCH(K$7,$D$7:$L$7,0)),"")</f>
        <v/>
      </c>
      <c r="L93" s="60" t="str">
        <f>IFERROR(INDEX('领用录入（明细）'!$B:$L,SMALL($B:$B,ROW(J87)),MATCH(L$7,$D$7:$L$7,0)),"")</f>
        <v/>
      </c>
      <c r="M93" s="60" t="str">
        <f t="shared" si="1"/>
        <v/>
      </c>
    </row>
    <row r="94" customHeight="1" spans="2:13">
      <c r="B94" s="62" t="str">
        <f>IF(AND('领用录入（明细）'!D:D=$F$4,'领用录入（明细）'!C:C&gt;=$J$4,'领用录入（明细）'!C:C&lt;=$L$4),ROW(),"-")</f>
        <v>-</v>
      </c>
      <c r="D94" s="59" t="str">
        <f>IFERROR(INDEX('领用录入（明细）'!$B:$L,SMALL($B:$B,ROW(B88)),MATCH(D$7,$D$7:$L$7,0)),"")</f>
        <v/>
      </c>
      <c r="E94" s="114" t="str">
        <f>IFERROR(INDEX('领用录入（明细）'!$B:$L,SMALL($B:$B,ROW(C88)),MATCH(E$7,$D$7:$L$7,0)),"")</f>
        <v/>
      </c>
      <c r="F94" s="60" t="str">
        <f>IFERROR(INDEX('领用录入（明细）'!$B:$L,SMALL($B:$B,ROW(D88)),MATCH(F$7,$D$7:$L$7,0)),"")</f>
        <v/>
      </c>
      <c r="G94" s="60" t="str">
        <f>IFERROR(INDEX('领用录入（明细）'!$B:$L,SMALL($B:$B,ROW(E88)),MATCH(G$7,$D$7:$L$7,0)),"")</f>
        <v/>
      </c>
      <c r="H94" s="60" t="str">
        <f>IFERROR(INDEX('领用录入（明细）'!$B:$L,SMALL($B:$B,ROW(F88)),MATCH(H$7,$D$7:$L$7,0)),"")</f>
        <v/>
      </c>
      <c r="I94" s="60" t="str">
        <f>IFERROR(INDEX('领用录入（明细）'!$B:$L,SMALL($B:$B,ROW(G88)),MATCH(I$7,$D$7:$L$7,0)),"")</f>
        <v/>
      </c>
      <c r="J94" s="60" t="str">
        <f>IFERROR(INDEX('领用录入（明细）'!$B:$L,SMALL($B:$B,ROW(H88)),MATCH(J$7,$D$7:$L$7,0)),"")</f>
        <v/>
      </c>
      <c r="K94" s="60" t="str">
        <f>IFERROR(INDEX('领用录入（明细）'!$B:$L,SMALL($B:$B,ROW(I88)),MATCH(K$7,$D$7:$L$7,0)),"")</f>
        <v/>
      </c>
      <c r="L94" s="60" t="str">
        <f>IFERROR(INDEX('领用录入（明细）'!$B:$L,SMALL($B:$B,ROW(J88)),MATCH(L$7,$D$7:$L$7,0)),"")</f>
        <v/>
      </c>
      <c r="M94" s="60" t="str">
        <f t="shared" si="1"/>
        <v/>
      </c>
    </row>
    <row r="95" customHeight="1" spans="2:13">
      <c r="B95" s="62" t="str">
        <f>IF(AND('领用录入（明细）'!D:D=$F$4,'领用录入（明细）'!C:C&gt;=$J$4,'领用录入（明细）'!C:C&lt;=$L$4),ROW(),"-")</f>
        <v>-</v>
      </c>
      <c r="D95" s="59" t="str">
        <f>IFERROR(INDEX('领用录入（明细）'!$B:$L,SMALL($B:$B,ROW(B89)),MATCH(D$7,$D$7:$L$7,0)),"")</f>
        <v/>
      </c>
      <c r="E95" s="114" t="str">
        <f>IFERROR(INDEX('领用录入（明细）'!$B:$L,SMALL($B:$B,ROW(C89)),MATCH(E$7,$D$7:$L$7,0)),"")</f>
        <v/>
      </c>
      <c r="F95" s="60" t="str">
        <f>IFERROR(INDEX('领用录入（明细）'!$B:$L,SMALL($B:$B,ROW(D89)),MATCH(F$7,$D$7:$L$7,0)),"")</f>
        <v/>
      </c>
      <c r="G95" s="60" t="str">
        <f>IFERROR(INDEX('领用录入（明细）'!$B:$L,SMALL($B:$B,ROW(E89)),MATCH(G$7,$D$7:$L$7,0)),"")</f>
        <v/>
      </c>
      <c r="H95" s="60" t="str">
        <f>IFERROR(INDEX('领用录入（明细）'!$B:$L,SMALL($B:$B,ROW(F89)),MATCH(H$7,$D$7:$L$7,0)),"")</f>
        <v/>
      </c>
      <c r="I95" s="60" t="str">
        <f>IFERROR(INDEX('领用录入（明细）'!$B:$L,SMALL($B:$B,ROW(G89)),MATCH(I$7,$D$7:$L$7,0)),"")</f>
        <v/>
      </c>
      <c r="J95" s="60" t="str">
        <f>IFERROR(INDEX('领用录入（明细）'!$B:$L,SMALL($B:$B,ROW(H89)),MATCH(J$7,$D$7:$L$7,0)),"")</f>
        <v/>
      </c>
      <c r="K95" s="60" t="str">
        <f>IFERROR(INDEX('领用录入（明细）'!$B:$L,SMALL($B:$B,ROW(I89)),MATCH(K$7,$D$7:$L$7,0)),"")</f>
        <v/>
      </c>
      <c r="L95" s="60" t="str">
        <f>IFERROR(INDEX('领用录入（明细）'!$B:$L,SMALL($B:$B,ROW(J89)),MATCH(L$7,$D$7:$L$7,0)),"")</f>
        <v/>
      </c>
      <c r="M95" s="60" t="str">
        <f t="shared" si="1"/>
        <v/>
      </c>
    </row>
    <row r="96" customHeight="1" spans="2:13">
      <c r="B96" s="62" t="str">
        <f>IF(AND('领用录入（明细）'!D:D=$F$4,'领用录入（明细）'!C:C&gt;=$J$4,'领用录入（明细）'!C:C&lt;=$L$4),ROW(),"-")</f>
        <v>-</v>
      </c>
      <c r="D96" s="59" t="str">
        <f>IFERROR(INDEX('领用录入（明细）'!$B:$L,SMALL($B:$B,ROW(B90)),MATCH(D$7,$D$7:$L$7,0)),"")</f>
        <v/>
      </c>
      <c r="E96" s="114" t="str">
        <f>IFERROR(INDEX('领用录入（明细）'!$B:$L,SMALL($B:$B,ROW(C90)),MATCH(E$7,$D$7:$L$7,0)),"")</f>
        <v/>
      </c>
      <c r="F96" s="60" t="str">
        <f>IFERROR(INDEX('领用录入（明细）'!$B:$L,SMALL($B:$B,ROW(D90)),MATCH(F$7,$D$7:$L$7,0)),"")</f>
        <v/>
      </c>
      <c r="G96" s="60" t="str">
        <f>IFERROR(INDEX('领用录入（明细）'!$B:$L,SMALL($B:$B,ROW(E90)),MATCH(G$7,$D$7:$L$7,0)),"")</f>
        <v/>
      </c>
      <c r="H96" s="60" t="str">
        <f>IFERROR(INDEX('领用录入（明细）'!$B:$L,SMALL($B:$B,ROW(F90)),MATCH(H$7,$D$7:$L$7,0)),"")</f>
        <v/>
      </c>
      <c r="I96" s="60" t="str">
        <f>IFERROR(INDEX('领用录入（明细）'!$B:$L,SMALL($B:$B,ROW(G90)),MATCH(I$7,$D$7:$L$7,0)),"")</f>
        <v/>
      </c>
      <c r="J96" s="60" t="str">
        <f>IFERROR(INDEX('领用录入（明细）'!$B:$L,SMALL($B:$B,ROW(H90)),MATCH(J$7,$D$7:$L$7,0)),"")</f>
        <v/>
      </c>
      <c r="K96" s="60" t="str">
        <f>IFERROR(INDEX('领用录入（明细）'!$B:$L,SMALL($B:$B,ROW(I90)),MATCH(K$7,$D$7:$L$7,0)),"")</f>
        <v/>
      </c>
      <c r="L96" s="60" t="str">
        <f>IFERROR(INDEX('领用录入（明细）'!$B:$L,SMALL($B:$B,ROW(J90)),MATCH(L$7,$D$7:$L$7,0)),"")</f>
        <v/>
      </c>
      <c r="M96" s="60" t="str">
        <f t="shared" si="1"/>
        <v/>
      </c>
    </row>
    <row r="97" customHeight="1" spans="2:13">
      <c r="B97" s="62" t="str">
        <f>IF(AND('领用录入（明细）'!D:D=$F$4,'领用录入（明细）'!C:C&gt;=$J$4,'领用录入（明细）'!C:C&lt;=$L$4),ROW(),"-")</f>
        <v>-</v>
      </c>
      <c r="D97" s="59" t="str">
        <f>IFERROR(INDEX('领用录入（明细）'!$B:$L,SMALL($B:$B,ROW(B91)),MATCH(D$7,$D$7:$L$7,0)),"")</f>
        <v/>
      </c>
      <c r="E97" s="114" t="str">
        <f>IFERROR(INDEX('领用录入（明细）'!$B:$L,SMALL($B:$B,ROW(C91)),MATCH(E$7,$D$7:$L$7,0)),"")</f>
        <v/>
      </c>
      <c r="F97" s="60" t="str">
        <f>IFERROR(INDEX('领用录入（明细）'!$B:$L,SMALL($B:$B,ROW(D91)),MATCH(F$7,$D$7:$L$7,0)),"")</f>
        <v/>
      </c>
      <c r="G97" s="60" t="str">
        <f>IFERROR(INDEX('领用录入（明细）'!$B:$L,SMALL($B:$B,ROW(E91)),MATCH(G$7,$D$7:$L$7,0)),"")</f>
        <v/>
      </c>
      <c r="H97" s="60" t="str">
        <f>IFERROR(INDEX('领用录入（明细）'!$B:$L,SMALL($B:$B,ROW(F91)),MATCH(H$7,$D$7:$L$7,0)),"")</f>
        <v/>
      </c>
      <c r="I97" s="60" t="str">
        <f>IFERROR(INDEX('领用录入（明细）'!$B:$L,SMALL($B:$B,ROW(G91)),MATCH(I$7,$D$7:$L$7,0)),"")</f>
        <v/>
      </c>
      <c r="J97" s="60" t="str">
        <f>IFERROR(INDEX('领用录入（明细）'!$B:$L,SMALL($B:$B,ROW(H91)),MATCH(J$7,$D$7:$L$7,0)),"")</f>
        <v/>
      </c>
      <c r="K97" s="60" t="str">
        <f>IFERROR(INDEX('领用录入（明细）'!$B:$L,SMALL($B:$B,ROW(I91)),MATCH(K$7,$D$7:$L$7,0)),"")</f>
        <v/>
      </c>
      <c r="L97" s="60" t="str">
        <f>IFERROR(INDEX('领用录入（明细）'!$B:$L,SMALL($B:$B,ROW(J91)),MATCH(L$7,$D$7:$L$7,0)),"")</f>
        <v/>
      </c>
      <c r="M97" s="60" t="str">
        <f t="shared" si="1"/>
        <v/>
      </c>
    </row>
    <row r="98" customHeight="1" spans="2:13">
      <c r="B98" s="62" t="str">
        <f>IF(AND('领用录入（明细）'!D:D=$F$4,'领用录入（明细）'!C:C&gt;=$J$4,'领用录入（明细）'!C:C&lt;=$L$4),ROW(),"-")</f>
        <v>-</v>
      </c>
      <c r="D98" s="59" t="str">
        <f>IFERROR(INDEX('领用录入（明细）'!$B:$L,SMALL($B:$B,ROW(B92)),MATCH(D$7,$D$7:$L$7,0)),"")</f>
        <v/>
      </c>
      <c r="E98" s="114" t="str">
        <f>IFERROR(INDEX('领用录入（明细）'!$B:$L,SMALL($B:$B,ROW(C92)),MATCH(E$7,$D$7:$L$7,0)),"")</f>
        <v/>
      </c>
      <c r="F98" s="60" t="str">
        <f>IFERROR(INDEX('领用录入（明细）'!$B:$L,SMALL($B:$B,ROW(D92)),MATCH(F$7,$D$7:$L$7,0)),"")</f>
        <v/>
      </c>
      <c r="G98" s="60" t="str">
        <f>IFERROR(INDEX('领用录入（明细）'!$B:$L,SMALL($B:$B,ROW(E92)),MATCH(G$7,$D$7:$L$7,0)),"")</f>
        <v/>
      </c>
      <c r="H98" s="60" t="str">
        <f>IFERROR(INDEX('领用录入（明细）'!$B:$L,SMALL($B:$B,ROW(F92)),MATCH(H$7,$D$7:$L$7,0)),"")</f>
        <v/>
      </c>
      <c r="I98" s="60" t="str">
        <f>IFERROR(INDEX('领用录入（明细）'!$B:$L,SMALL($B:$B,ROW(G92)),MATCH(I$7,$D$7:$L$7,0)),"")</f>
        <v/>
      </c>
      <c r="J98" s="60" t="str">
        <f>IFERROR(INDEX('领用录入（明细）'!$B:$L,SMALL($B:$B,ROW(H92)),MATCH(J$7,$D$7:$L$7,0)),"")</f>
        <v/>
      </c>
      <c r="K98" s="60" t="str">
        <f>IFERROR(INDEX('领用录入（明细）'!$B:$L,SMALL($B:$B,ROW(I92)),MATCH(K$7,$D$7:$L$7,0)),"")</f>
        <v/>
      </c>
      <c r="L98" s="60" t="str">
        <f>IFERROR(INDEX('领用录入（明细）'!$B:$L,SMALL($B:$B,ROW(J92)),MATCH(L$7,$D$7:$L$7,0)),"")</f>
        <v/>
      </c>
      <c r="M98" s="60" t="str">
        <f t="shared" si="1"/>
        <v/>
      </c>
    </row>
    <row r="99" customHeight="1" spans="2:13">
      <c r="B99" s="62" t="str">
        <f>IF(AND('领用录入（明细）'!D:D=$F$4,'领用录入（明细）'!C:C&gt;=$J$4,'领用录入（明细）'!C:C&lt;=$L$4),ROW(),"-")</f>
        <v>-</v>
      </c>
      <c r="D99" s="59" t="str">
        <f>IFERROR(INDEX('领用录入（明细）'!$B:$L,SMALL($B:$B,ROW(B93)),MATCH(D$7,$D$7:$L$7,0)),"")</f>
        <v/>
      </c>
      <c r="E99" s="114" t="str">
        <f>IFERROR(INDEX('领用录入（明细）'!$B:$L,SMALL($B:$B,ROW(C93)),MATCH(E$7,$D$7:$L$7,0)),"")</f>
        <v/>
      </c>
      <c r="F99" s="60" t="str">
        <f>IFERROR(INDEX('领用录入（明细）'!$B:$L,SMALL($B:$B,ROW(D93)),MATCH(F$7,$D$7:$L$7,0)),"")</f>
        <v/>
      </c>
      <c r="G99" s="60" t="str">
        <f>IFERROR(INDEX('领用录入（明细）'!$B:$L,SMALL($B:$B,ROW(E93)),MATCH(G$7,$D$7:$L$7,0)),"")</f>
        <v/>
      </c>
      <c r="H99" s="60" t="str">
        <f>IFERROR(INDEX('领用录入（明细）'!$B:$L,SMALL($B:$B,ROW(F93)),MATCH(H$7,$D$7:$L$7,0)),"")</f>
        <v/>
      </c>
      <c r="I99" s="60" t="str">
        <f>IFERROR(INDEX('领用录入（明细）'!$B:$L,SMALL($B:$B,ROW(G93)),MATCH(I$7,$D$7:$L$7,0)),"")</f>
        <v/>
      </c>
      <c r="J99" s="60" t="str">
        <f>IFERROR(INDEX('领用录入（明细）'!$B:$L,SMALL($B:$B,ROW(H93)),MATCH(J$7,$D$7:$L$7,0)),"")</f>
        <v/>
      </c>
      <c r="K99" s="60" t="str">
        <f>IFERROR(INDEX('领用录入（明细）'!$B:$L,SMALL($B:$B,ROW(I93)),MATCH(K$7,$D$7:$L$7,0)),"")</f>
        <v/>
      </c>
      <c r="L99" s="60" t="str">
        <f>IFERROR(INDEX('领用录入（明细）'!$B:$L,SMALL($B:$B,ROW(J93)),MATCH(L$7,$D$7:$L$7,0)),"")</f>
        <v/>
      </c>
      <c r="M99" s="60" t="str">
        <f t="shared" si="1"/>
        <v/>
      </c>
    </row>
    <row r="100" customHeight="1" spans="2:13">
      <c r="B100" s="62" t="str">
        <f>IF(AND('领用录入（明细）'!D:D=$F$4,'领用录入（明细）'!C:C&gt;=$J$4,'领用录入（明细）'!C:C&lt;=$L$4),ROW(),"-")</f>
        <v>-</v>
      </c>
      <c r="D100" s="59" t="str">
        <f>IFERROR(INDEX('领用录入（明细）'!$B:$L,SMALL($B:$B,ROW(B94)),MATCH(D$7,$D$7:$L$7,0)),"")</f>
        <v/>
      </c>
      <c r="E100" s="114" t="str">
        <f>IFERROR(INDEX('领用录入（明细）'!$B:$L,SMALL($B:$B,ROW(C94)),MATCH(E$7,$D$7:$L$7,0)),"")</f>
        <v/>
      </c>
      <c r="F100" s="60" t="str">
        <f>IFERROR(INDEX('领用录入（明细）'!$B:$L,SMALL($B:$B,ROW(D94)),MATCH(F$7,$D$7:$L$7,0)),"")</f>
        <v/>
      </c>
      <c r="G100" s="60" t="str">
        <f>IFERROR(INDEX('领用录入（明细）'!$B:$L,SMALL($B:$B,ROW(E94)),MATCH(G$7,$D$7:$L$7,0)),"")</f>
        <v/>
      </c>
      <c r="H100" s="60" t="str">
        <f>IFERROR(INDEX('领用录入（明细）'!$B:$L,SMALL($B:$B,ROW(F94)),MATCH(H$7,$D$7:$L$7,0)),"")</f>
        <v/>
      </c>
      <c r="I100" s="60" t="str">
        <f>IFERROR(INDEX('领用录入（明细）'!$B:$L,SMALL($B:$B,ROW(G94)),MATCH(I$7,$D$7:$L$7,0)),"")</f>
        <v/>
      </c>
      <c r="J100" s="60" t="str">
        <f>IFERROR(INDEX('领用录入（明细）'!$B:$L,SMALL($B:$B,ROW(H94)),MATCH(J$7,$D$7:$L$7,0)),"")</f>
        <v/>
      </c>
      <c r="K100" s="60" t="str">
        <f>IFERROR(INDEX('领用录入（明细）'!$B:$L,SMALL($B:$B,ROW(I94)),MATCH(K$7,$D$7:$L$7,0)),"")</f>
        <v/>
      </c>
      <c r="L100" s="60" t="str">
        <f>IFERROR(INDEX('领用录入（明细）'!$B:$L,SMALL($B:$B,ROW(J94)),MATCH(L$7,$D$7:$L$7,0)),"")</f>
        <v/>
      </c>
      <c r="M100" s="60" t="str">
        <f t="shared" si="1"/>
        <v/>
      </c>
    </row>
    <row r="101" customHeight="1" spans="2:13">
      <c r="B101" s="62" t="str">
        <f>IF(AND('领用录入（明细）'!D:D=$F$4,'领用录入（明细）'!C:C&gt;=$J$4,'领用录入（明细）'!C:C&lt;=$L$4),ROW(),"-")</f>
        <v>-</v>
      </c>
      <c r="D101" s="59" t="str">
        <f>IFERROR(INDEX('领用录入（明细）'!$B:$L,SMALL($B:$B,ROW(B95)),MATCH(D$7,$D$7:$L$7,0)),"")</f>
        <v/>
      </c>
      <c r="E101" s="114" t="str">
        <f>IFERROR(INDEX('领用录入（明细）'!$B:$L,SMALL($B:$B,ROW(C95)),MATCH(E$7,$D$7:$L$7,0)),"")</f>
        <v/>
      </c>
      <c r="F101" s="60" t="str">
        <f>IFERROR(INDEX('领用录入（明细）'!$B:$L,SMALL($B:$B,ROW(D95)),MATCH(F$7,$D$7:$L$7,0)),"")</f>
        <v/>
      </c>
      <c r="G101" s="60" t="str">
        <f>IFERROR(INDEX('领用录入（明细）'!$B:$L,SMALL($B:$B,ROW(E95)),MATCH(G$7,$D$7:$L$7,0)),"")</f>
        <v/>
      </c>
      <c r="H101" s="60" t="str">
        <f>IFERROR(INDEX('领用录入（明细）'!$B:$L,SMALL($B:$B,ROW(F95)),MATCH(H$7,$D$7:$L$7,0)),"")</f>
        <v/>
      </c>
      <c r="I101" s="60" t="str">
        <f>IFERROR(INDEX('领用录入（明细）'!$B:$L,SMALL($B:$B,ROW(G95)),MATCH(I$7,$D$7:$L$7,0)),"")</f>
        <v/>
      </c>
      <c r="J101" s="60" t="str">
        <f>IFERROR(INDEX('领用录入（明细）'!$B:$L,SMALL($B:$B,ROW(H95)),MATCH(J$7,$D$7:$L$7,0)),"")</f>
        <v/>
      </c>
      <c r="K101" s="60" t="str">
        <f>IFERROR(INDEX('领用录入（明细）'!$B:$L,SMALL($B:$B,ROW(I95)),MATCH(K$7,$D$7:$L$7,0)),"")</f>
        <v/>
      </c>
      <c r="L101" s="60" t="str">
        <f>IFERROR(INDEX('领用录入（明细）'!$B:$L,SMALL($B:$B,ROW(J95)),MATCH(L$7,$D$7:$L$7,0)),"")</f>
        <v/>
      </c>
      <c r="M101" s="60" t="str">
        <f t="shared" si="1"/>
        <v/>
      </c>
    </row>
    <row r="102" customHeight="1" spans="2:13">
      <c r="B102" s="62" t="str">
        <f>IF(AND('领用录入（明细）'!D:D=$F$4,'领用录入（明细）'!C:C&gt;=$J$4,'领用录入（明细）'!C:C&lt;=$L$4),ROW(),"-")</f>
        <v>-</v>
      </c>
      <c r="D102" s="59" t="str">
        <f>IFERROR(INDEX('领用录入（明细）'!$B:$L,SMALL($B:$B,ROW(B96)),MATCH(D$7,$D$7:$L$7,0)),"")</f>
        <v/>
      </c>
      <c r="E102" s="114" t="str">
        <f>IFERROR(INDEX('领用录入（明细）'!$B:$L,SMALL($B:$B,ROW(C96)),MATCH(E$7,$D$7:$L$7,0)),"")</f>
        <v/>
      </c>
      <c r="F102" s="60" t="str">
        <f>IFERROR(INDEX('领用录入（明细）'!$B:$L,SMALL($B:$B,ROW(D96)),MATCH(F$7,$D$7:$L$7,0)),"")</f>
        <v/>
      </c>
      <c r="G102" s="60" t="str">
        <f>IFERROR(INDEX('领用录入（明细）'!$B:$L,SMALL($B:$B,ROW(E96)),MATCH(G$7,$D$7:$L$7,0)),"")</f>
        <v/>
      </c>
      <c r="H102" s="60" t="str">
        <f>IFERROR(INDEX('领用录入（明细）'!$B:$L,SMALL($B:$B,ROW(F96)),MATCH(H$7,$D$7:$L$7,0)),"")</f>
        <v/>
      </c>
      <c r="I102" s="60" t="str">
        <f>IFERROR(INDEX('领用录入（明细）'!$B:$L,SMALL($B:$B,ROW(G96)),MATCH(I$7,$D$7:$L$7,0)),"")</f>
        <v/>
      </c>
      <c r="J102" s="60" t="str">
        <f>IFERROR(INDEX('领用录入（明细）'!$B:$L,SMALL($B:$B,ROW(H96)),MATCH(J$7,$D$7:$L$7,0)),"")</f>
        <v/>
      </c>
      <c r="K102" s="60" t="str">
        <f>IFERROR(INDEX('领用录入（明细）'!$B:$L,SMALL($B:$B,ROW(I96)),MATCH(K$7,$D$7:$L$7,0)),"")</f>
        <v/>
      </c>
      <c r="L102" s="60" t="str">
        <f>IFERROR(INDEX('领用录入（明细）'!$B:$L,SMALL($B:$B,ROW(J96)),MATCH(L$7,$D$7:$L$7,0)),"")</f>
        <v/>
      </c>
      <c r="M102" s="60" t="str">
        <f t="shared" si="1"/>
        <v/>
      </c>
    </row>
    <row r="103" customHeight="1" spans="2:13">
      <c r="B103" s="62">
        <f>IF(AND('领用录入（明细）'!D:D=$F$4,'领用录入（明细）'!C:C&gt;=$J$4,'领用录入（明细）'!C:C&lt;=$L$4),ROW(),"-")</f>
        <v>103</v>
      </c>
      <c r="D103" s="59" t="str">
        <f>IFERROR(INDEX('领用录入（明细）'!$B:$L,SMALL($B:$B,ROW(B97)),MATCH(D$7,$D$7:$L$7,0)),"")</f>
        <v/>
      </c>
      <c r="E103" s="114" t="str">
        <f>IFERROR(INDEX('领用录入（明细）'!$B:$L,SMALL($B:$B,ROW(C97)),MATCH(E$7,$D$7:$L$7,0)),"")</f>
        <v/>
      </c>
      <c r="F103" s="60" t="str">
        <f>IFERROR(INDEX('领用录入（明细）'!$B:$L,SMALL($B:$B,ROW(D97)),MATCH(F$7,$D$7:$L$7,0)),"")</f>
        <v/>
      </c>
      <c r="G103" s="60" t="str">
        <f>IFERROR(INDEX('领用录入（明细）'!$B:$L,SMALL($B:$B,ROW(E97)),MATCH(G$7,$D$7:$L$7,0)),"")</f>
        <v/>
      </c>
      <c r="H103" s="60" t="str">
        <f>IFERROR(INDEX('领用录入（明细）'!$B:$L,SMALL($B:$B,ROW(F97)),MATCH(H$7,$D$7:$L$7,0)),"")</f>
        <v/>
      </c>
      <c r="I103" s="60" t="str">
        <f>IFERROR(INDEX('领用录入（明细）'!$B:$L,SMALL($B:$B,ROW(G97)),MATCH(I$7,$D$7:$L$7,0)),"")</f>
        <v/>
      </c>
      <c r="J103" s="60" t="str">
        <f>IFERROR(INDEX('领用录入（明细）'!$B:$L,SMALL($B:$B,ROW(H97)),MATCH(J$7,$D$7:$L$7,0)),"")</f>
        <v/>
      </c>
      <c r="K103" s="60" t="str">
        <f>IFERROR(INDEX('领用录入（明细）'!$B:$L,SMALL($B:$B,ROW(I97)),MATCH(K$7,$D$7:$L$7,0)),"")</f>
        <v/>
      </c>
      <c r="L103" s="60" t="str">
        <f>IFERROR(INDEX('领用录入（明细）'!$B:$L,SMALL($B:$B,ROW(J97)),MATCH(L$7,$D$7:$L$7,0)),"")</f>
        <v/>
      </c>
      <c r="M103" s="60" t="str">
        <f t="shared" si="1"/>
        <v/>
      </c>
    </row>
    <row r="104" customHeight="1" spans="2:13">
      <c r="B104" s="62" t="str">
        <f>IF(AND('领用录入（明细）'!D:D=$F$4,'领用录入（明细）'!C:C&gt;=$J$4,'领用录入（明细）'!C:C&lt;=$L$4),ROW(),"-")</f>
        <v>-</v>
      </c>
      <c r="D104" s="59" t="str">
        <f>IFERROR(INDEX('领用录入（明细）'!$B:$L,SMALL($B:$B,ROW(B98)),MATCH(D$7,$D$7:$L$7,0)),"")</f>
        <v/>
      </c>
      <c r="E104" s="114" t="str">
        <f>IFERROR(INDEX('领用录入（明细）'!$B:$L,SMALL($B:$B,ROW(C98)),MATCH(E$7,$D$7:$L$7,0)),"")</f>
        <v/>
      </c>
      <c r="F104" s="60" t="str">
        <f>IFERROR(INDEX('领用录入（明细）'!$B:$L,SMALL($B:$B,ROW(D98)),MATCH(F$7,$D$7:$L$7,0)),"")</f>
        <v/>
      </c>
      <c r="G104" s="60" t="str">
        <f>IFERROR(INDEX('领用录入（明细）'!$B:$L,SMALL($B:$B,ROW(E98)),MATCH(G$7,$D$7:$L$7,0)),"")</f>
        <v/>
      </c>
      <c r="H104" s="60" t="str">
        <f>IFERROR(INDEX('领用录入（明细）'!$B:$L,SMALL($B:$B,ROW(F98)),MATCH(H$7,$D$7:$L$7,0)),"")</f>
        <v/>
      </c>
      <c r="I104" s="60" t="str">
        <f>IFERROR(INDEX('领用录入（明细）'!$B:$L,SMALL($B:$B,ROW(G98)),MATCH(I$7,$D$7:$L$7,0)),"")</f>
        <v/>
      </c>
      <c r="J104" s="60" t="str">
        <f>IFERROR(INDEX('领用录入（明细）'!$B:$L,SMALL($B:$B,ROW(H98)),MATCH(J$7,$D$7:$L$7,0)),"")</f>
        <v/>
      </c>
      <c r="K104" s="60" t="str">
        <f>IFERROR(INDEX('领用录入（明细）'!$B:$L,SMALL($B:$B,ROW(I98)),MATCH(K$7,$D$7:$L$7,0)),"")</f>
        <v/>
      </c>
      <c r="L104" s="60" t="str">
        <f>IFERROR(INDEX('领用录入（明细）'!$B:$L,SMALL($B:$B,ROW(J98)),MATCH(L$7,$D$7:$L$7,0)),"")</f>
        <v/>
      </c>
      <c r="M104" s="60" t="str">
        <f t="shared" si="1"/>
        <v/>
      </c>
    </row>
    <row r="105" customHeight="1" spans="2:13">
      <c r="B105" s="62" t="str">
        <f>IF(AND('领用录入（明细）'!D:D=$F$4,'领用录入（明细）'!C:C&gt;=$J$4,'领用录入（明细）'!C:C&lt;=$L$4),ROW(),"-")</f>
        <v>-</v>
      </c>
      <c r="D105" s="59" t="str">
        <f>IFERROR(INDEX('领用录入（明细）'!$B:$L,SMALL($B:$B,ROW(B99)),MATCH(D$7,$D$7:$L$7,0)),"")</f>
        <v/>
      </c>
      <c r="E105" s="114" t="str">
        <f>IFERROR(INDEX('领用录入（明细）'!$B:$L,SMALL($B:$B,ROW(C99)),MATCH(E$7,$D$7:$L$7,0)),"")</f>
        <v/>
      </c>
      <c r="F105" s="60" t="str">
        <f>IFERROR(INDEX('领用录入（明细）'!$B:$L,SMALL($B:$B,ROW(D99)),MATCH(F$7,$D$7:$L$7,0)),"")</f>
        <v/>
      </c>
      <c r="G105" s="60" t="str">
        <f>IFERROR(INDEX('领用录入（明细）'!$B:$L,SMALL($B:$B,ROW(E99)),MATCH(G$7,$D$7:$L$7,0)),"")</f>
        <v/>
      </c>
      <c r="H105" s="60" t="str">
        <f>IFERROR(INDEX('领用录入（明细）'!$B:$L,SMALL($B:$B,ROW(F99)),MATCH(H$7,$D$7:$L$7,0)),"")</f>
        <v/>
      </c>
      <c r="I105" s="60" t="str">
        <f>IFERROR(INDEX('领用录入（明细）'!$B:$L,SMALL($B:$B,ROW(G99)),MATCH(I$7,$D$7:$L$7,0)),"")</f>
        <v/>
      </c>
      <c r="J105" s="60" t="str">
        <f>IFERROR(INDEX('领用录入（明细）'!$B:$L,SMALL($B:$B,ROW(H99)),MATCH(J$7,$D$7:$L$7,0)),"")</f>
        <v/>
      </c>
      <c r="K105" s="60" t="str">
        <f>IFERROR(INDEX('领用录入（明细）'!$B:$L,SMALL($B:$B,ROW(I99)),MATCH(K$7,$D$7:$L$7,0)),"")</f>
        <v/>
      </c>
      <c r="L105" s="60" t="str">
        <f>IFERROR(INDEX('领用录入（明细）'!$B:$L,SMALL($B:$B,ROW(J99)),MATCH(L$7,$D$7:$L$7,0)),"")</f>
        <v/>
      </c>
      <c r="M105" s="60" t="str">
        <f t="shared" si="1"/>
        <v/>
      </c>
    </row>
    <row r="106" customHeight="1" spans="2:13">
      <c r="B106" s="62" t="str">
        <f>IF(AND('领用录入（明细）'!D:D=$F$4,'领用录入（明细）'!C:C&gt;=$J$4,'领用录入（明细）'!C:C&lt;=$L$4),ROW(),"-")</f>
        <v>-</v>
      </c>
      <c r="D106" s="59" t="str">
        <f>IFERROR(INDEX('领用录入（明细）'!$B:$L,SMALL($B:$B,ROW(B100)),MATCH(D$7,$D$7:$L$7,0)),"")</f>
        <v/>
      </c>
      <c r="E106" s="114" t="str">
        <f>IFERROR(INDEX('领用录入（明细）'!$B:$L,SMALL($B:$B,ROW(C100)),MATCH(E$7,$D$7:$L$7,0)),"")</f>
        <v/>
      </c>
      <c r="F106" s="60" t="str">
        <f>IFERROR(INDEX('领用录入（明细）'!$B:$L,SMALL($B:$B,ROW(D100)),MATCH(F$7,$D$7:$L$7,0)),"")</f>
        <v/>
      </c>
      <c r="G106" s="60" t="str">
        <f>IFERROR(INDEX('领用录入（明细）'!$B:$L,SMALL($B:$B,ROW(E100)),MATCH(G$7,$D$7:$L$7,0)),"")</f>
        <v/>
      </c>
      <c r="H106" s="60" t="str">
        <f>IFERROR(INDEX('领用录入（明细）'!$B:$L,SMALL($B:$B,ROW(F100)),MATCH(H$7,$D$7:$L$7,0)),"")</f>
        <v/>
      </c>
      <c r="I106" s="60" t="str">
        <f>IFERROR(INDEX('领用录入（明细）'!$B:$L,SMALL($B:$B,ROW(G100)),MATCH(I$7,$D$7:$L$7,0)),"")</f>
        <v/>
      </c>
      <c r="J106" s="60" t="str">
        <f>IFERROR(INDEX('领用录入（明细）'!$B:$L,SMALL($B:$B,ROW(H100)),MATCH(J$7,$D$7:$L$7,0)),"")</f>
        <v/>
      </c>
      <c r="K106" s="60" t="str">
        <f>IFERROR(INDEX('领用录入（明细）'!$B:$L,SMALL($B:$B,ROW(I100)),MATCH(K$7,$D$7:$L$7,0)),"")</f>
        <v/>
      </c>
      <c r="L106" s="60" t="str">
        <f>IFERROR(INDEX('领用录入（明细）'!$B:$L,SMALL($B:$B,ROW(J100)),MATCH(L$7,$D$7:$L$7,0)),"")</f>
        <v/>
      </c>
      <c r="M106" s="60" t="str">
        <f t="shared" si="1"/>
        <v/>
      </c>
    </row>
    <row r="107" customHeight="1" spans="2:13">
      <c r="B107" s="62" t="str">
        <f>IF(AND('领用录入（明细）'!D:D=$F$4,'领用录入（明细）'!C:C&gt;=$J$4,'领用录入（明细）'!C:C&lt;=$L$4),ROW(),"-")</f>
        <v>-</v>
      </c>
      <c r="D107" s="59" t="str">
        <f>IFERROR(INDEX('领用录入（明细）'!$B:$L,SMALL($B:$B,ROW(B101)),MATCH(D$7,$D$7:$L$7,0)),"")</f>
        <v/>
      </c>
      <c r="E107" s="114" t="str">
        <f>IFERROR(INDEX('领用录入（明细）'!$B:$L,SMALL($B:$B,ROW(C101)),MATCH(E$7,$D$7:$L$7,0)),"")</f>
        <v/>
      </c>
      <c r="F107" s="60" t="str">
        <f>IFERROR(INDEX('领用录入（明细）'!$B:$L,SMALL($B:$B,ROW(D101)),MATCH(F$7,$D$7:$L$7,0)),"")</f>
        <v/>
      </c>
      <c r="G107" s="60" t="str">
        <f>IFERROR(INDEX('领用录入（明细）'!$B:$L,SMALL($B:$B,ROW(E101)),MATCH(G$7,$D$7:$L$7,0)),"")</f>
        <v/>
      </c>
      <c r="H107" s="60" t="str">
        <f>IFERROR(INDEX('领用录入（明细）'!$B:$L,SMALL($B:$B,ROW(F101)),MATCH(H$7,$D$7:$L$7,0)),"")</f>
        <v/>
      </c>
      <c r="I107" s="60" t="str">
        <f>IFERROR(INDEX('领用录入（明细）'!$B:$L,SMALL($B:$B,ROW(G101)),MATCH(I$7,$D$7:$L$7,0)),"")</f>
        <v/>
      </c>
      <c r="J107" s="60" t="str">
        <f>IFERROR(INDEX('领用录入（明细）'!$B:$L,SMALL($B:$B,ROW(H101)),MATCH(J$7,$D$7:$L$7,0)),"")</f>
        <v/>
      </c>
      <c r="K107" s="60" t="str">
        <f>IFERROR(INDEX('领用录入（明细）'!$B:$L,SMALL($B:$B,ROW(I101)),MATCH(K$7,$D$7:$L$7,0)),"")</f>
        <v/>
      </c>
      <c r="L107" s="60" t="str">
        <f>IFERROR(INDEX('领用录入（明细）'!$B:$L,SMALL($B:$B,ROW(J101)),MATCH(L$7,$D$7:$L$7,0)),"")</f>
        <v/>
      </c>
      <c r="M107" s="60" t="str">
        <f t="shared" si="1"/>
        <v/>
      </c>
    </row>
    <row r="108" customHeight="1" spans="2:13">
      <c r="B108" s="62" t="str">
        <f>IF(AND('领用录入（明细）'!D:D=$F$4,'领用录入（明细）'!C:C&gt;=$J$4,'领用录入（明细）'!C:C&lt;=$L$4),ROW(),"-")</f>
        <v>-</v>
      </c>
      <c r="D108" s="59" t="str">
        <f>IFERROR(INDEX('领用录入（明细）'!$B:$L,SMALL($B:$B,ROW(B102)),MATCH(D$7,$D$7:$L$7,0)),"")</f>
        <v/>
      </c>
      <c r="E108" s="114" t="str">
        <f>IFERROR(INDEX('领用录入（明细）'!$B:$L,SMALL($B:$B,ROW(C102)),MATCH(E$7,$D$7:$L$7,0)),"")</f>
        <v/>
      </c>
      <c r="F108" s="60" t="str">
        <f>IFERROR(INDEX('领用录入（明细）'!$B:$L,SMALL($B:$B,ROW(D102)),MATCH(F$7,$D$7:$L$7,0)),"")</f>
        <v/>
      </c>
      <c r="G108" s="60" t="str">
        <f>IFERROR(INDEX('领用录入（明细）'!$B:$L,SMALL($B:$B,ROW(E102)),MATCH(G$7,$D$7:$L$7,0)),"")</f>
        <v/>
      </c>
      <c r="H108" s="60" t="str">
        <f>IFERROR(INDEX('领用录入（明细）'!$B:$L,SMALL($B:$B,ROW(F102)),MATCH(H$7,$D$7:$L$7,0)),"")</f>
        <v/>
      </c>
      <c r="I108" s="60" t="str">
        <f>IFERROR(INDEX('领用录入（明细）'!$B:$L,SMALL($B:$B,ROW(G102)),MATCH(I$7,$D$7:$L$7,0)),"")</f>
        <v/>
      </c>
      <c r="J108" s="60" t="str">
        <f>IFERROR(INDEX('领用录入（明细）'!$B:$L,SMALL($B:$B,ROW(H102)),MATCH(J$7,$D$7:$L$7,0)),"")</f>
        <v/>
      </c>
      <c r="K108" s="60" t="str">
        <f>IFERROR(INDEX('领用录入（明细）'!$B:$L,SMALL($B:$B,ROW(I102)),MATCH(K$7,$D$7:$L$7,0)),"")</f>
        <v/>
      </c>
      <c r="L108" s="60" t="str">
        <f>IFERROR(INDEX('领用录入（明细）'!$B:$L,SMALL($B:$B,ROW(J102)),MATCH(L$7,$D$7:$L$7,0)),"")</f>
        <v/>
      </c>
      <c r="M108" s="60" t="str">
        <f t="shared" si="1"/>
        <v/>
      </c>
    </row>
    <row r="109" customHeight="1" spans="2:13">
      <c r="B109" s="62" t="str">
        <f>IF(AND('领用录入（明细）'!D:D=$F$4,'领用录入（明细）'!C:C&gt;=$J$4,'领用录入（明细）'!C:C&lt;=$L$4),ROW(),"-")</f>
        <v>-</v>
      </c>
      <c r="D109" s="59" t="str">
        <f>IFERROR(INDEX('领用录入（明细）'!$B:$L,SMALL($B:$B,ROW(B103)),MATCH(D$7,$D$7:$L$7,0)),"")</f>
        <v/>
      </c>
      <c r="E109" s="114" t="str">
        <f>IFERROR(INDEX('领用录入（明细）'!$B:$L,SMALL($B:$B,ROW(C103)),MATCH(E$7,$D$7:$L$7,0)),"")</f>
        <v/>
      </c>
      <c r="F109" s="60" t="str">
        <f>IFERROR(INDEX('领用录入（明细）'!$B:$L,SMALL($B:$B,ROW(D103)),MATCH(F$7,$D$7:$L$7,0)),"")</f>
        <v/>
      </c>
      <c r="G109" s="60" t="str">
        <f>IFERROR(INDEX('领用录入（明细）'!$B:$L,SMALL($B:$B,ROW(E103)),MATCH(G$7,$D$7:$L$7,0)),"")</f>
        <v/>
      </c>
      <c r="H109" s="60" t="str">
        <f>IFERROR(INDEX('领用录入（明细）'!$B:$L,SMALL($B:$B,ROW(F103)),MATCH(H$7,$D$7:$L$7,0)),"")</f>
        <v/>
      </c>
      <c r="I109" s="60" t="str">
        <f>IFERROR(INDEX('领用录入（明细）'!$B:$L,SMALL($B:$B,ROW(G103)),MATCH(I$7,$D$7:$L$7,0)),"")</f>
        <v/>
      </c>
      <c r="J109" s="60" t="str">
        <f>IFERROR(INDEX('领用录入（明细）'!$B:$L,SMALL($B:$B,ROW(H103)),MATCH(J$7,$D$7:$L$7,0)),"")</f>
        <v/>
      </c>
      <c r="K109" s="60" t="str">
        <f>IFERROR(INDEX('领用录入（明细）'!$B:$L,SMALL($B:$B,ROW(I103)),MATCH(K$7,$D$7:$L$7,0)),"")</f>
        <v/>
      </c>
      <c r="L109" s="60" t="str">
        <f>IFERROR(INDEX('领用录入（明细）'!$B:$L,SMALL($B:$B,ROW(J103)),MATCH(L$7,$D$7:$L$7,0)),"")</f>
        <v/>
      </c>
      <c r="M109" s="60" t="str">
        <f t="shared" si="1"/>
        <v/>
      </c>
    </row>
    <row r="110" customHeight="1" spans="2:13">
      <c r="B110" s="62" t="str">
        <f>IF(AND('领用录入（明细）'!D:D=$F$4,'领用录入（明细）'!C:C&gt;=$J$4,'领用录入（明细）'!C:C&lt;=$L$4),ROW(),"-")</f>
        <v>-</v>
      </c>
      <c r="D110" s="59" t="str">
        <f>IFERROR(INDEX('领用录入（明细）'!$B:$L,SMALL($B:$B,ROW(B104)),MATCH(D$7,$D$7:$L$7,0)),"")</f>
        <v/>
      </c>
      <c r="E110" s="114" t="str">
        <f>IFERROR(INDEX('领用录入（明细）'!$B:$L,SMALL($B:$B,ROW(C104)),MATCH(E$7,$D$7:$L$7,0)),"")</f>
        <v/>
      </c>
      <c r="F110" s="60" t="str">
        <f>IFERROR(INDEX('领用录入（明细）'!$B:$L,SMALL($B:$B,ROW(D104)),MATCH(F$7,$D$7:$L$7,0)),"")</f>
        <v/>
      </c>
      <c r="G110" s="60" t="str">
        <f>IFERROR(INDEX('领用录入（明细）'!$B:$L,SMALL($B:$B,ROW(E104)),MATCH(G$7,$D$7:$L$7,0)),"")</f>
        <v/>
      </c>
      <c r="H110" s="60" t="str">
        <f>IFERROR(INDEX('领用录入（明细）'!$B:$L,SMALL($B:$B,ROW(F104)),MATCH(H$7,$D$7:$L$7,0)),"")</f>
        <v/>
      </c>
      <c r="I110" s="60" t="str">
        <f>IFERROR(INDEX('领用录入（明细）'!$B:$L,SMALL($B:$B,ROW(G104)),MATCH(I$7,$D$7:$L$7,0)),"")</f>
        <v/>
      </c>
      <c r="J110" s="60" t="str">
        <f>IFERROR(INDEX('领用录入（明细）'!$B:$L,SMALL($B:$B,ROW(H104)),MATCH(J$7,$D$7:$L$7,0)),"")</f>
        <v/>
      </c>
      <c r="K110" s="60" t="str">
        <f>IFERROR(INDEX('领用录入（明细）'!$B:$L,SMALL($B:$B,ROW(I104)),MATCH(K$7,$D$7:$L$7,0)),"")</f>
        <v/>
      </c>
      <c r="L110" s="60" t="str">
        <f>IFERROR(INDEX('领用录入（明细）'!$B:$L,SMALL($B:$B,ROW(J104)),MATCH(L$7,$D$7:$L$7,0)),"")</f>
        <v/>
      </c>
      <c r="M110" s="60" t="str">
        <f t="shared" si="1"/>
        <v/>
      </c>
    </row>
    <row r="111" customHeight="1" spans="2:13">
      <c r="B111" s="62" t="str">
        <f>IF(AND('领用录入（明细）'!D:D=$F$4,'领用录入（明细）'!C:C&gt;=$J$4,'领用录入（明细）'!C:C&lt;=$L$4),ROW(),"-")</f>
        <v>-</v>
      </c>
      <c r="D111" s="59" t="str">
        <f>IFERROR(INDEX('领用录入（明细）'!$B:$L,SMALL($B:$B,ROW(B105)),MATCH(D$7,$D$7:$L$7,0)),"")</f>
        <v/>
      </c>
      <c r="E111" s="114" t="str">
        <f>IFERROR(INDEX('领用录入（明细）'!$B:$L,SMALL($B:$B,ROW(C105)),MATCH(E$7,$D$7:$L$7,0)),"")</f>
        <v/>
      </c>
      <c r="F111" s="60" t="str">
        <f>IFERROR(INDEX('领用录入（明细）'!$B:$L,SMALL($B:$B,ROW(D105)),MATCH(F$7,$D$7:$L$7,0)),"")</f>
        <v/>
      </c>
      <c r="G111" s="60" t="str">
        <f>IFERROR(INDEX('领用录入（明细）'!$B:$L,SMALL($B:$B,ROW(E105)),MATCH(G$7,$D$7:$L$7,0)),"")</f>
        <v/>
      </c>
      <c r="H111" s="60" t="str">
        <f>IFERROR(INDEX('领用录入（明细）'!$B:$L,SMALL($B:$B,ROW(F105)),MATCH(H$7,$D$7:$L$7,0)),"")</f>
        <v/>
      </c>
      <c r="I111" s="60" t="str">
        <f>IFERROR(INDEX('领用录入（明细）'!$B:$L,SMALL($B:$B,ROW(G105)),MATCH(I$7,$D$7:$L$7,0)),"")</f>
        <v/>
      </c>
      <c r="J111" s="60" t="str">
        <f>IFERROR(INDEX('领用录入（明细）'!$B:$L,SMALL($B:$B,ROW(H105)),MATCH(J$7,$D$7:$L$7,0)),"")</f>
        <v/>
      </c>
      <c r="K111" s="60" t="str">
        <f>IFERROR(INDEX('领用录入（明细）'!$B:$L,SMALL($B:$B,ROW(I105)),MATCH(K$7,$D$7:$L$7,0)),"")</f>
        <v/>
      </c>
      <c r="L111" s="60" t="str">
        <f>IFERROR(INDEX('领用录入（明细）'!$B:$L,SMALL($B:$B,ROW(J105)),MATCH(L$7,$D$7:$L$7,0)),"")</f>
        <v/>
      </c>
      <c r="M111" s="60" t="str">
        <f t="shared" si="1"/>
        <v/>
      </c>
    </row>
    <row r="112" customHeight="1" spans="2:13">
      <c r="B112" s="62" t="str">
        <f>IF(AND('领用录入（明细）'!D:D=$F$4,'领用录入（明细）'!C:C&gt;=$J$4,'领用录入（明细）'!C:C&lt;=$L$4),ROW(),"-")</f>
        <v>-</v>
      </c>
      <c r="D112" s="59" t="str">
        <f>IFERROR(INDEX('领用录入（明细）'!$B:$L,SMALL($B:$B,ROW(B106)),MATCH(D$7,$D$7:$L$7,0)),"")</f>
        <v/>
      </c>
      <c r="E112" s="114" t="str">
        <f>IFERROR(INDEX('领用录入（明细）'!$B:$L,SMALL($B:$B,ROW(C106)),MATCH(E$7,$D$7:$L$7,0)),"")</f>
        <v/>
      </c>
      <c r="F112" s="60" t="str">
        <f>IFERROR(INDEX('领用录入（明细）'!$B:$L,SMALL($B:$B,ROW(D106)),MATCH(F$7,$D$7:$L$7,0)),"")</f>
        <v/>
      </c>
      <c r="G112" s="60" t="str">
        <f>IFERROR(INDEX('领用录入（明细）'!$B:$L,SMALL($B:$B,ROW(E106)),MATCH(G$7,$D$7:$L$7,0)),"")</f>
        <v/>
      </c>
      <c r="H112" s="60" t="str">
        <f>IFERROR(INDEX('领用录入（明细）'!$B:$L,SMALL($B:$B,ROW(F106)),MATCH(H$7,$D$7:$L$7,0)),"")</f>
        <v/>
      </c>
      <c r="I112" s="60" t="str">
        <f>IFERROR(INDEX('领用录入（明细）'!$B:$L,SMALL($B:$B,ROW(G106)),MATCH(I$7,$D$7:$L$7,0)),"")</f>
        <v/>
      </c>
      <c r="J112" s="60" t="str">
        <f>IFERROR(INDEX('领用录入（明细）'!$B:$L,SMALL($B:$B,ROW(H106)),MATCH(J$7,$D$7:$L$7,0)),"")</f>
        <v/>
      </c>
      <c r="K112" s="60" t="str">
        <f>IFERROR(INDEX('领用录入（明细）'!$B:$L,SMALL($B:$B,ROW(I106)),MATCH(K$7,$D$7:$L$7,0)),"")</f>
        <v/>
      </c>
      <c r="L112" s="60" t="str">
        <f>IFERROR(INDEX('领用录入（明细）'!$B:$L,SMALL($B:$B,ROW(J106)),MATCH(L$7,$D$7:$L$7,0)),"")</f>
        <v/>
      </c>
      <c r="M112" s="60" t="str">
        <f t="shared" si="1"/>
        <v/>
      </c>
    </row>
    <row r="113" customHeight="1" spans="2:13">
      <c r="B113" s="62" t="str">
        <f>IF(AND('领用录入（明细）'!D:D=$F$4,'领用录入（明细）'!C:C&gt;=$J$4,'领用录入（明细）'!C:C&lt;=$L$4),ROW(),"-")</f>
        <v>-</v>
      </c>
      <c r="D113" s="59" t="str">
        <f>IFERROR(INDEX('领用录入（明细）'!$B:$L,SMALL($B:$B,ROW(B107)),MATCH(D$7,$D$7:$L$7,0)),"")</f>
        <v/>
      </c>
      <c r="E113" s="114" t="str">
        <f>IFERROR(INDEX('领用录入（明细）'!$B:$L,SMALL($B:$B,ROW(C107)),MATCH(E$7,$D$7:$L$7,0)),"")</f>
        <v/>
      </c>
      <c r="F113" s="60" t="str">
        <f>IFERROR(INDEX('领用录入（明细）'!$B:$L,SMALL($B:$B,ROW(D107)),MATCH(F$7,$D$7:$L$7,0)),"")</f>
        <v/>
      </c>
      <c r="G113" s="60" t="str">
        <f>IFERROR(INDEX('领用录入（明细）'!$B:$L,SMALL($B:$B,ROW(E107)),MATCH(G$7,$D$7:$L$7,0)),"")</f>
        <v/>
      </c>
      <c r="H113" s="60" t="str">
        <f>IFERROR(INDEX('领用录入（明细）'!$B:$L,SMALL($B:$B,ROW(F107)),MATCH(H$7,$D$7:$L$7,0)),"")</f>
        <v/>
      </c>
      <c r="I113" s="60" t="str">
        <f>IFERROR(INDEX('领用录入（明细）'!$B:$L,SMALL($B:$B,ROW(G107)),MATCH(I$7,$D$7:$L$7,0)),"")</f>
        <v/>
      </c>
      <c r="J113" s="60" t="str">
        <f>IFERROR(INDEX('领用录入（明细）'!$B:$L,SMALL($B:$B,ROW(H107)),MATCH(J$7,$D$7:$L$7,0)),"")</f>
        <v/>
      </c>
      <c r="K113" s="60" t="str">
        <f>IFERROR(INDEX('领用录入（明细）'!$B:$L,SMALL($B:$B,ROW(I107)),MATCH(K$7,$D$7:$L$7,0)),"")</f>
        <v/>
      </c>
      <c r="L113" s="60" t="str">
        <f>IFERROR(INDEX('领用录入（明细）'!$B:$L,SMALL($B:$B,ROW(J107)),MATCH(L$7,$D$7:$L$7,0)),"")</f>
        <v/>
      </c>
      <c r="M113" s="60" t="str">
        <f t="shared" si="1"/>
        <v/>
      </c>
    </row>
    <row r="114" customHeight="1" spans="2:13">
      <c r="B114" s="62" t="str">
        <f>IF(AND('领用录入（明细）'!D:D=$F$4,'领用录入（明细）'!C:C&gt;=$J$4,'领用录入（明细）'!C:C&lt;=$L$4),ROW(),"-")</f>
        <v>-</v>
      </c>
      <c r="D114" s="59" t="str">
        <f>IFERROR(INDEX('领用录入（明细）'!$B:$L,SMALL($B:$B,ROW(B108)),MATCH(D$7,$D$7:$L$7,0)),"")</f>
        <v/>
      </c>
      <c r="E114" s="114" t="str">
        <f>IFERROR(INDEX('领用录入（明细）'!$B:$L,SMALL($B:$B,ROW(C108)),MATCH(E$7,$D$7:$L$7,0)),"")</f>
        <v/>
      </c>
      <c r="F114" s="60" t="str">
        <f>IFERROR(INDEX('领用录入（明细）'!$B:$L,SMALL($B:$B,ROW(D108)),MATCH(F$7,$D$7:$L$7,0)),"")</f>
        <v/>
      </c>
      <c r="G114" s="60" t="str">
        <f>IFERROR(INDEX('领用录入（明细）'!$B:$L,SMALL($B:$B,ROW(E108)),MATCH(G$7,$D$7:$L$7,0)),"")</f>
        <v/>
      </c>
      <c r="H114" s="60" t="str">
        <f>IFERROR(INDEX('领用录入（明细）'!$B:$L,SMALL($B:$B,ROW(F108)),MATCH(H$7,$D$7:$L$7,0)),"")</f>
        <v/>
      </c>
      <c r="I114" s="60" t="str">
        <f>IFERROR(INDEX('领用录入（明细）'!$B:$L,SMALL($B:$B,ROW(G108)),MATCH(I$7,$D$7:$L$7,0)),"")</f>
        <v/>
      </c>
      <c r="J114" s="60" t="str">
        <f>IFERROR(INDEX('领用录入（明细）'!$B:$L,SMALL($B:$B,ROW(H108)),MATCH(J$7,$D$7:$L$7,0)),"")</f>
        <v/>
      </c>
      <c r="K114" s="60" t="str">
        <f>IFERROR(INDEX('领用录入（明细）'!$B:$L,SMALL($B:$B,ROW(I108)),MATCH(K$7,$D$7:$L$7,0)),"")</f>
        <v/>
      </c>
      <c r="L114" s="60" t="str">
        <f>IFERROR(INDEX('领用录入（明细）'!$B:$L,SMALL($B:$B,ROW(J108)),MATCH(L$7,$D$7:$L$7,0)),"")</f>
        <v/>
      </c>
      <c r="M114" s="60" t="str">
        <f t="shared" si="1"/>
        <v/>
      </c>
    </row>
    <row r="115" customHeight="1" spans="2:13">
      <c r="B115" s="62" t="str">
        <f>IF(AND('领用录入（明细）'!D:D=$F$4,'领用录入（明细）'!C:C&gt;=$J$4,'领用录入（明细）'!C:C&lt;=$L$4),ROW(),"-")</f>
        <v>-</v>
      </c>
      <c r="D115" s="59" t="str">
        <f>IFERROR(INDEX('领用录入（明细）'!$B:$L,SMALL($B:$B,ROW(B109)),MATCH(D$7,$D$7:$L$7,0)),"")</f>
        <v/>
      </c>
      <c r="E115" s="114" t="str">
        <f>IFERROR(INDEX('领用录入（明细）'!$B:$L,SMALL($B:$B,ROW(C109)),MATCH(E$7,$D$7:$L$7,0)),"")</f>
        <v/>
      </c>
      <c r="F115" s="60" t="str">
        <f>IFERROR(INDEX('领用录入（明细）'!$B:$L,SMALL($B:$B,ROW(D109)),MATCH(F$7,$D$7:$L$7,0)),"")</f>
        <v/>
      </c>
      <c r="G115" s="60" t="str">
        <f>IFERROR(INDEX('领用录入（明细）'!$B:$L,SMALL($B:$B,ROW(E109)),MATCH(G$7,$D$7:$L$7,0)),"")</f>
        <v/>
      </c>
      <c r="H115" s="60" t="str">
        <f>IFERROR(INDEX('领用录入（明细）'!$B:$L,SMALL($B:$B,ROW(F109)),MATCH(H$7,$D$7:$L$7,0)),"")</f>
        <v/>
      </c>
      <c r="I115" s="60" t="str">
        <f>IFERROR(INDEX('领用录入（明细）'!$B:$L,SMALL($B:$B,ROW(G109)),MATCH(I$7,$D$7:$L$7,0)),"")</f>
        <v/>
      </c>
      <c r="J115" s="60" t="str">
        <f>IFERROR(INDEX('领用录入（明细）'!$B:$L,SMALL($B:$B,ROW(H109)),MATCH(J$7,$D$7:$L$7,0)),"")</f>
        <v/>
      </c>
      <c r="K115" s="60" t="str">
        <f>IFERROR(INDEX('领用录入（明细）'!$B:$L,SMALL($B:$B,ROW(I109)),MATCH(K$7,$D$7:$L$7,0)),"")</f>
        <v/>
      </c>
      <c r="L115" s="60" t="str">
        <f>IFERROR(INDEX('领用录入（明细）'!$B:$L,SMALL($B:$B,ROW(J109)),MATCH(L$7,$D$7:$L$7,0)),"")</f>
        <v/>
      </c>
      <c r="M115" s="60" t="str">
        <f t="shared" si="1"/>
        <v/>
      </c>
    </row>
    <row r="116" customHeight="1" spans="2:13">
      <c r="B116" s="62" t="str">
        <f>IF(AND('领用录入（明细）'!D:D=$F$4,'领用录入（明细）'!C:C&gt;=$J$4,'领用录入（明细）'!C:C&lt;=$L$4),ROW(),"-")</f>
        <v>-</v>
      </c>
      <c r="D116" s="59" t="str">
        <f>IFERROR(INDEX('领用录入（明细）'!$B:$L,SMALL($B:$B,ROW(B110)),MATCH(D$7,$D$7:$L$7,0)),"")</f>
        <v/>
      </c>
      <c r="E116" s="114" t="str">
        <f>IFERROR(INDEX('领用录入（明细）'!$B:$L,SMALL($B:$B,ROW(C110)),MATCH(E$7,$D$7:$L$7,0)),"")</f>
        <v/>
      </c>
      <c r="F116" s="60" t="str">
        <f>IFERROR(INDEX('领用录入（明细）'!$B:$L,SMALL($B:$B,ROW(D110)),MATCH(F$7,$D$7:$L$7,0)),"")</f>
        <v/>
      </c>
      <c r="G116" s="60" t="str">
        <f>IFERROR(INDEX('领用录入（明细）'!$B:$L,SMALL($B:$B,ROW(E110)),MATCH(G$7,$D$7:$L$7,0)),"")</f>
        <v/>
      </c>
      <c r="H116" s="60" t="str">
        <f>IFERROR(INDEX('领用录入（明细）'!$B:$L,SMALL($B:$B,ROW(F110)),MATCH(H$7,$D$7:$L$7,0)),"")</f>
        <v/>
      </c>
      <c r="I116" s="60" t="str">
        <f>IFERROR(INDEX('领用录入（明细）'!$B:$L,SMALL($B:$B,ROW(G110)),MATCH(I$7,$D$7:$L$7,0)),"")</f>
        <v/>
      </c>
      <c r="J116" s="60" t="str">
        <f>IFERROR(INDEX('领用录入（明细）'!$B:$L,SMALL($B:$B,ROW(H110)),MATCH(J$7,$D$7:$L$7,0)),"")</f>
        <v/>
      </c>
      <c r="K116" s="60" t="str">
        <f>IFERROR(INDEX('领用录入（明细）'!$B:$L,SMALL($B:$B,ROW(I110)),MATCH(K$7,$D$7:$L$7,0)),"")</f>
        <v/>
      </c>
      <c r="L116" s="60" t="str">
        <f>IFERROR(INDEX('领用录入（明细）'!$B:$L,SMALL($B:$B,ROW(J110)),MATCH(L$7,$D$7:$L$7,0)),"")</f>
        <v/>
      </c>
      <c r="M116" s="60" t="str">
        <f t="shared" si="1"/>
        <v/>
      </c>
    </row>
    <row r="117" customHeight="1" spans="2:13">
      <c r="B117" s="62" t="str">
        <f>IF(AND('领用录入（明细）'!D:D=$F$4,'领用录入（明细）'!C:C&gt;=$J$4,'领用录入（明细）'!C:C&lt;=$L$4),ROW(),"-")</f>
        <v>-</v>
      </c>
      <c r="D117" s="59" t="str">
        <f>IFERROR(INDEX('领用录入（明细）'!$B:$L,SMALL($B:$B,ROW(B111)),MATCH(D$7,$D$7:$L$7,0)),"")</f>
        <v/>
      </c>
      <c r="E117" s="114" t="str">
        <f>IFERROR(INDEX('领用录入（明细）'!$B:$L,SMALL($B:$B,ROW(C111)),MATCH(E$7,$D$7:$L$7,0)),"")</f>
        <v/>
      </c>
      <c r="F117" s="60" t="str">
        <f>IFERROR(INDEX('领用录入（明细）'!$B:$L,SMALL($B:$B,ROW(D111)),MATCH(F$7,$D$7:$L$7,0)),"")</f>
        <v/>
      </c>
      <c r="G117" s="60" t="str">
        <f>IFERROR(INDEX('领用录入（明细）'!$B:$L,SMALL($B:$B,ROW(E111)),MATCH(G$7,$D$7:$L$7,0)),"")</f>
        <v/>
      </c>
      <c r="H117" s="60" t="str">
        <f>IFERROR(INDEX('领用录入（明细）'!$B:$L,SMALL($B:$B,ROW(F111)),MATCH(H$7,$D$7:$L$7,0)),"")</f>
        <v/>
      </c>
      <c r="I117" s="60" t="str">
        <f>IFERROR(INDEX('领用录入（明细）'!$B:$L,SMALL($B:$B,ROW(G111)),MATCH(I$7,$D$7:$L$7,0)),"")</f>
        <v/>
      </c>
      <c r="J117" s="60" t="str">
        <f>IFERROR(INDEX('领用录入（明细）'!$B:$L,SMALL($B:$B,ROW(H111)),MATCH(J$7,$D$7:$L$7,0)),"")</f>
        <v/>
      </c>
      <c r="K117" s="60" t="str">
        <f>IFERROR(INDEX('领用录入（明细）'!$B:$L,SMALL($B:$B,ROW(I111)),MATCH(K$7,$D$7:$L$7,0)),"")</f>
        <v/>
      </c>
      <c r="L117" s="60" t="str">
        <f>IFERROR(INDEX('领用录入（明细）'!$B:$L,SMALL($B:$B,ROW(J111)),MATCH(L$7,$D$7:$L$7,0)),"")</f>
        <v/>
      </c>
      <c r="M117" s="60" t="str">
        <f t="shared" si="1"/>
        <v/>
      </c>
    </row>
    <row r="118" customHeight="1" spans="2:13">
      <c r="B118" s="62" t="str">
        <f>IF(AND('领用录入（明细）'!D:D=$F$4,'领用录入（明细）'!C:C&gt;=$J$4,'领用录入（明细）'!C:C&lt;=$L$4),ROW(),"-")</f>
        <v>-</v>
      </c>
      <c r="D118" s="59" t="str">
        <f>IFERROR(INDEX('领用录入（明细）'!$B:$L,SMALL($B:$B,ROW(B112)),MATCH(D$7,$D$7:$L$7,0)),"")</f>
        <v/>
      </c>
      <c r="E118" s="114" t="str">
        <f>IFERROR(INDEX('领用录入（明细）'!$B:$L,SMALL($B:$B,ROW(C112)),MATCH(E$7,$D$7:$L$7,0)),"")</f>
        <v/>
      </c>
      <c r="F118" s="60" t="str">
        <f>IFERROR(INDEX('领用录入（明细）'!$B:$L,SMALL($B:$B,ROW(D112)),MATCH(F$7,$D$7:$L$7,0)),"")</f>
        <v/>
      </c>
      <c r="G118" s="60" t="str">
        <f>IFERROR(INDEX('领用录入（明细）'!$B:$L,SMALL($B:$B,ROW(E112)),MATCH(G$7,$D$7:$L$7,0)),"")</f>
        <v/>
      </c>
      <c r="H118" s="60" t="str">
        <f>IFERROR(INDEX('领用录入（明细）'!$B:$L,SMALL($B:$B,ROW(F112)),MATCH(H$7,$D$7:$L$7,0)),"")</f>
        <v/>
      </c>
      <c r="I118" s="60" t="str">
        <f>IFERROR(INDEX('领用录入（明细）'!$B:$L,SMALL($B:$B,ROW(G112)),MATCH(I$7,$D$7:$L$7,0)),"")</f>
        <v/>
      </c>
      <c r="J118" s="60" t="str">
        <f>IFERROR(INDEX('领用录入（明细）'!$B:$L,SMALL($B:$B,ROW(H112)),MATCH(J$7,$D$7:$L$7,0)),"")</f>
        <v/>
      </c>
      <c r="K118" s="60" t="str">
        <f>IFERROR(INDEX('领用录入（明细）'!$B:$L,SMALL($B:$B,ROW(I112)),MATCH(K$7,$D$7:$L$7,0)),"")</f>
        <v/>
      </c>
      <c r="L118" s="60" t="str">
        <f>IFERROR(INDEX('领用录入（明细）'!$B:$L,SMALL($B:$B,ROW(J112)),MATCH(L$7,$D$7:$L$7,0)),"")</f>
        <v/>
      </c>
      <c r="M118" s="60" t="str">
        <f t="shared" si="1"/>
        <v/>
      </c>
    </row>
    <row r="119" customHeight="1" spans="2:13">
      <c r="B119" s="62" t="str">
        <f>IF(AND('领用录入（明细）'!D:D=$F$4,'领用录入（明细）'!C:C&gt;=$J$4,'领用录入（明细）'!C:C&lt;=$L$4),ROW(),"-")</f>
        <v>-</v>
      </c>
      <c r="D119" s="59" t="str">
        <f>IFERROR(INDEX('领用录入（明细）'!$B:$L,SMALL($B:$B,ROW(B113)),MATCH(D$7,$D$7:$L$7,0)),"")</f>
        <v/>
      </c>
      <c r="E119" s="114" t="str">
        <f>IFERROR(INDEX('领用录入（明细）'!$B:$L,SMALL($B:$B,ROW(C113)),MATCH(E$7,$D$7:$L$7,0)),"")</f>
        <v/>
      </c>
      <c r="F119" s="60" t="str">
        <f>IFERROR(INDEX('领用录入（明细）'!$B:$L,SMALL($B:$B,ROW(D113)),MATCH(F$7,$D$7:$L$7,0)),"")</f>
        <v/>
      </c>
      <c r="G119" s="60" t="str">
        <f>IFERROR(INDEX('领用录入（明细）'!$B:$L,SMALL($B:$B,ROW(E113)),MATCH(G$7,$D$7:$L$7,0)),"")</f>
        <v/>
      </c>
      <c r="H119" s="60" t="str">
        <f>IFERROR(INDEX('领用录入（明细）'!$B:$L,SMALL($B:$B,ROW(F113)),MATCH(H$7,$D$7:$L$7,0)),"")</f>
        <v/>
      </c>
      <c r="I119" s="60" t="str">
        <f>IFERROR(INDEX('领用录入（明细）'!$B:$L,SMALL($B:$B,ROW(G113)),MATCH(I$7,$D$7:$L$7,0)),"")</f>
        <v/>
      </c>
      <c r="J119" s="60" t="str">
        <f>IFERROR(INDEX('领用录入（明细）'!$B:$L,SMALL($B:$B,ROW(H113)),MATCH(J$7,$D$7:$L$7,0)),"")</f>
        <v/>
      </c>
      <c r="K119" s="60" t="str">
        <f>IFERROR(INDEX('领用录入（明细）'!$B:$L,SMALL($B:$B,ROW(I113)),MATCH(K$7,$D$7:$L$7,0)),"")</f>
        <v/>
      </c>
      <c r="L119" s="60" t="str">
        <f>IFERROR(INDEX('领用录入（明细）'!$B:$L,SMALL($B:$B,ROW(J113)),MATCH(L$7,$D$7:$L$7,0)),"")</f>
        <v/>
      </c>
      <c r="M119" s="60" t="str">
        <f t="shared" si="1"/>
        <v/>
      </c>
    </row>
    <row r="120" customHeight="1" spans="2:13">
      <c r="B120" s="62" t="str">
        <f>IF(AND('领用录入（明细）'!D:D=$F$4,'领用录入（明细）'!C:C&gt;=$J$4,'领用录入（明细）'!C:C&lt;=$L$4),ROW(),"-")</f>
        <v>-</v>
      </c>
      <c r="D120" s="59" t="str">
        <f>IFERROR(INDEX('领用录入（明细）'!$B:$L,SMALL($B:$B,ROW(B114)),MATCH(D$7,$D$7:$L$7,0)),"")</f>
        <v/>
      </c>
      <c r="E120" s="114" t="str">
        <f>IFERROR(INDEX('领用录入（明细）'!$B:$L,SMALL($B:$B,ROW(C114)),MATCH(E$7,$D$7:$L$7,0)),"")</f>
        <v/>
      </c>
      <c r="F120" s="60" t="str">
        <f>IFERROR(INDEX('领用录入（明细）'!$B:$L,SMALL($B:$B,ROW(D114)),MATCH(F$7,$D$7:$L$7,0)),"")</f>
        <v/>
      </c>
      <c r="G120" s="60" t="str">
        <f>IFERROR(INDEX('领用录入（明细）'!$B:$L,SMALL($B:$B,ROW(E114)),MATCH(G$7,$D$7:$L$7,0)),"")</f>
        <v/>
      </c>
      <c r="H120" s="60" t="str">
        <f>IFERROR(INDEX('领用录入（明细）'!$B:$L,SMALL($B:$B,ROW(F114)),MATCH(H$7,$D$7:$L$7,0)),"")</f>
        <v/>
      </c>
      <c r="I120" s="60" t="str">
        <f>IFERROR(INDEX('领用录入（明细）'!$B:$L,SMALL($B:$B,ROW(G114)),MATCH(I$7,$D$7:$L$7,0)),"")</f>
        <v/>
      </c>
      <c r="J120" s="60" t="str">
        <f>IFERROR(INDEX('领用录入（明细）'!$B:$L,SMALL($B:$B,ROW(H114)),MATCH(J$7,$D$7:$L$7,0)),"")</f>
        <v/>
      </c>
      <c r="K120" s="60" t="str">
        <f>IFERROR(INDEX('领用录入（明细）'!$B:$L,SMALL($B:$B,ROW(I114)),MATCH(K$7,$D$7:$L$7,0)),"")</f>
        <v/>
      </c>
      <c r="L120" s="60" t="str">
        <f>IFERROR(INDEX('领用录入（明细）'!$B:$L,SMALL($B:$B,ROW(J114)),MATCH(L$7,$D$7:$L$7,0)),"")</f>
        <v/>
      </c>
      <c r="M120" s="60" t="str">
        <f t="shared" si="1"/>
        <v/>
      </c>
    </row>
    <row r="121" customHeight="1" spans="2:13">
      <c r="B121" s="62" t="str">
        <f>IF(AND('领用录入（明细）'!D:D=$F$4,'领用录入（明细）'!C:C&gt;=$J$4,'领用录入（明细）'!C:C&lt;=$L$4),ROW(),"-")</f>
        <v>-</v>
      </c>
      <c r="D121" s="59" t="str">
        <f>IFERROR(INDEX('领用录入（明细）'!$B:$L,SMALL($B:$B,ROW(B115)),MATCH(D$7,$D$7:$L$7,0)),"")</f>
        <v/>
      </c>
      <c r="E121" s="114" t="str">
        <f>IFERROR(INDEX('领用录入（明细）'!$B:$L,SMALL($B:$B,ROW(C115)),MATCH(E$7,$D$7:$L$7,0)),"")</f>
        <v/>
      </c>
      <c r="F121" s="60" t="str">
        <f>IFERROR(INDEX('领用录入（明细）'!$B:$L,SMALL($B:$B,ROW(D115)),MATCH(F$7,$D$7:$L$7,0)),"")</f>
        <v/>
      </c>
      <c r="G121" s="60" t="str">
        <f>IFERROR(INDEX('领用录入（明细）'!$B:$L,SMALL($B:$B,ROW(E115)),MATCH(G$7,$D$7:$L$7,0)),"")</f>
        <v/>
      </c>
      <c r="H121" s="60" t="str">
        <f>IFERROR(INDEX('领用录入（明细）'!$B:$L,SMALL($B:$B,ROW(F115)),MATCH(H$7,$D$7:$L$7,0)),"")</f>
        <v/>
      </c>
      <c r="I121" s="60" t="str">
        <f>IFERROR(INDEX('领用录入（明细）'!$B:$L,SMALL($B:$B,ROW(G115)),MATCH(I$7,$D$7:$L$7,0)),"")</f>
        <v/>
      </c>
      <c r="J121" s="60" t="str">
        <f>IFERROR(INDEX('领用录入（明细）'!$B:$L,SMALL($B:$B,ROW(H115)),MATCH(J$7,$D$7:$L$7,0)),"")</f>
        <v/>
      </c>
      <c r="K121" s="60" t="str">
        <f>IFERROR(INDEX('领用录入（明细）'!$B:$L,SMALL($B:$B,ROW(I115)),MATCH(K$7,$D$7:$L$7,0)),"")</f>
        <v/>
      </c>
      <c r="L121" s="60" t="str">
        <f>IFERROR(INDEX('领用录入（明细）'!$B:$L,SMALL($B:$B,ROW(J115)),MATCH(L$7,$D$7:$L$7,0)),"")</f>
        <v/>
      </c>
      <c r="M121" s="60" t="str">
        <f t="shared" si="1"/>
        <v/>
      </c>
    </row>
    <row r="122" customHeight="1" spans="2:13">
      <c r="B122" s="62" t="str">
        <f>IF(AND('领用录入（明细）'!D:D=$F$4,'领用录入（明细）'!C:C&gt;=$J$4,'领用录入（明细）'!C:C&lt;=$L$4),ROW(),"-")</f>
        <v>-</v>
      </c>
      <c r="D122" s="59" t="str">
        <f>IFERROR(INDEX('领用录入（明细）'!$B:$L,SMALL($B:$B,ROW(B116)),MATCH(D$7,$D$7:$L$7,0)),"")</f>
        <v/>
      </c>
      <c r="E122" s="114" t="str">
        <f>IFERROR(INDEX('领用录入（明细）'!$B:$L,SMALL($B:$B,ROW(C116)),MATCH(E$7,$D$7:$L$7,0)),"")</f>
        <v/>
      </c>
      <c r="F122" s="60" t="str">
        <f>IFERROR(INDEX('领用录入（明细）'!$B:$L,SMALL($B:$B,ROW(D116)),MATCH(F$7,$D$7:$L$7,0)),"")</f>
        <v/>
      </c>
      <c r="G122" s="60" t="str">
        <f>IFERROR(INDEX('领用录入（明细）'!$B:$L,SMALL($B:$B,ROW(E116)),MATCH(G$7,$D$7:$L$7,0)),"")</f>
        <v/>
      </c>
      <c r="H122" s="60" t="str">
        <f>IFERROR(INDEX('领用录入（明细）'!$B:$L,SMALL($B:$B,ROW(F116)),MATCH(H$7,$D$7:$L$7,0)),"")</f>
        <v/>
      </c>
      <c r="I122" s="60" t="str">
        <f>IFERROR(INDEX('领用录入（明细）'!$B:$L,SMALL($B:$B,ROW(G116)),MATCH(I$7,$D$7:$L$7,0)),"")</f>
        <v/>
      </c>
      <c r="J122" s="60" t="str">
        <f>IFERROR(INDEX('领用录入（明细）'!$B:$L,SMALL($B:$B,ROW(H116)),MATCH(J$7,$D$7:$L$7,0)),"")</f>
        <v/>
      </c>
      <c r="K122" s="60" t="str">
        <f>IFERROR(INDEX('领用录入（明细）'!$B:$L,SMALL($B:$B,ROW(I116)),MATCH(K$7,$D$7:$L$7,0)),"")</f>
        <v/>
      </c>
      <c r="L122" s="60" t="str">
        <f>IFERROR(INDEX('领用录入（明细）'!$B:$L,SMALL($B:$B,ROW(J116)),MATCH(L$7,$D$7:$L$7,0)),"")</f>
        <v/>
      </c>
      <c r="M122" s="60" t="str">
        <f t="shared" si="1"/>
        <v/>
      </c>
    </row>
    <row r="123" customHeight="1" spans="2:13">
      <c r="B123" s="62" t="str">
        <f>IF(AND('领用录入（明细）'!D:D=$F$4,'领用录入（明细）'!C:C&gt;=$J$4,'领用录入（明细）'!C:C&lt;=$L$4),ROW(),"-")</f>
        <v>-</v>
      </c>
      <c r="D123" s="59" t="str">
        <f>IFERROR(INDEX('领用录入（明细）'!$B:$L,SMALL($B:$B,ROW(B117)),MATCH(D$7,$D$7:$L$7,0)),"")</f>
        <v/>
      </c>
      <c r="E123" s="114" t="str">
        <f>IFERROR(INDEX('领用录入（明细）'!$B:$L,SMALL($B:$B,ROW(C117)),MATCH(E$7,$D$7:$L$7,0)),"")</f>
        <v/>
      </c>
      <c r="F123" s="60" t="str">
        <f>IFERROR(INDEX('领用录入（明细）'!$B:$L,SMALL($B:$B,ROW(D117)),MATCH(F$7,$D$7:$L$7,0)),"")</f>
        <v/>
      </c>
      <c r="G123" s="60" t="str">
        <f>IFERROR(INDEX('领用录入（明细）'!$B:$L,SMALL($B:$B,ROW(E117)),MATCH(G$7,$D$7:$L$7,0)),"")</f>
        <v/>
      </c>
      <c r="H123" s="60" t="str">
        <f>IFERROR(INDEX('领用录入（明细）'!$B:$L,SMALL($B:$B,ROW(F117)),MATCH(H$7,$D$7:$L$7,0)),"")</f>
        <v/>
      </c>
      <c r="I123" s="60" t="str">
        <f>IFERROR(INDEX('领用录入（明细）'!$B:$L,SMALL($B:$B,ROW(G117)),MATCH(I$7,$D$7:$L$7,0)),"")</f>
        <v/>
      </c>
      <c r="J123" s="60" t="str">
        <f>IFERROR(INDEX('领用录入（明细）'!$B:$L,SMALL($B:$B,ROW(H117)),MATCH(J$7,$D$7:$L$7,0)),"")</f>
        <v/>
      </c>
      <c r="K123" s="60" t="str">
        <f>IFERROR(INDEX('领用录入（明细）'!$B:$L,SMALL($B:$B,ROW(I117)),MATCH(K$7,$D$7:$L$7,0)),"")</f>
        <v/>
      </c>
      <c r="L123" s="60" t="str">
        <f>IFERROR(INDEX('领用录入（明细）'!$B:$L,SMALL($B:$B,ROW(J117)),MATCH(L$7,$D$7:$L$7,0)),"")</f>
        <v/>
      </c>
      <c r="M123" s="60" t="str">
        <f t="shared" si="1"/>
        <v/>
      </c>
    </row>
    <row r="124" customHeight="1" spans="2:13">
      <c r="B124" s="62" t="str">
        <f>IF(AND('领用录入（明细）'!D:D=$F$4,'领用录入（明细）'!C:C&gt;=$J$4,'领用录入（明细）'!C:C&lt;=$L$4),ROW(),"-")</f>
        <v>-</v>
      </c>
      <c r="D124" s="59" t="str">
        <f>IFERROR(INDEX('领用录入（明细）'!$B:$L,SMALL($B:$B,ROW(B118)),MATCH(D$7,$D$7:$L$7,0)),"")</f>
        <v/>
      </c>
      <c r="E124" s="114" t="str">
        <f>IFERROR(INDEX('领用录入（明细）'!$B:$L,SMALL($B:$B,ROW(C118)),MATCH(E$7,$D$7:$L$7,0)),"")</f>
        <v/>
      </c>
      <c r="F124" s="60" t="str">
        <f>IFERROR(INDEX('领用录入（明细）'!$B:$L,SMALL($B:$B,ROW(D118)),MATCH(F$7,$D$7:$L$7,0)),"")</f>
        <v/>
      </c>
      <c r="G124" s="60" t="str">
        <f>IFERROR(INDEX('领用录入（明细）'!$B:$L,SMALL($B:$B,ROW(E118)),MATCH(G$7,$D$7:$L$7,0)),"")</f>
        <v/>
      </c>
      <c r="H124" s="60" t="str">
        <f>IFERROR(INDEX('领用录入（明细）'!$B:$L,SMALL($B:$B,ROW(F118)),MATCH(H$7,$D$7:$L$7,0)),"")</f>
        <v/>
      </c>
      <c r="I124" s="60" t="str">
        <f>IFERROR(INDEX('领用录入（明细）'!$B:$L,SMALL($B:$B,ROW(G118)),MATCH(I$7,$D$7:$L$7,0)),"")</f>
        <v/>
      </c>
      <c r="J124" s="60" t="str">
        <f>IFERROR(INDEX('领用录入（明细）'!$B:$L,SMALL($B:$B,ROW(H118)),MATCH(J$7,$D$7:$L$7,0)),"")</f>
        <v/>
      </c>
      <c r="K124" s="60" t="str">
        <f>IFERROR(INDEX('领用录入（明细）'!$B:$L,SMALL($B:$B,ROW(I118)),MATCH(K$7,$D$7:$L$7,0)),"")</f>
        <v/>
      </c>
      <c r="L124" s="60" t="str">
        <f>IFERROR(INDEX('领用录入（明细）'!$B:$L,SMALL($B:$B,ROW(J118)),MATCH(L$7,$D$7:$L$7,0)),"")</f>
        <v/>
      </c>
      <c r="M124" s="60" t="str">
        <f t="shared" si="1"/>
        <v/>
      </c>
    </row>
    <row r="125" customHeight="1" spans="2:13">
      <c r="B125" s="62" t="str">
        <f>IF(AND('领用录入（明细）'!D:D=$F$4,'领用录入（明细）'!C:C&gt;=$J$4,'领用录入（明细）'!C:C&lt;=$L$4),ROW(),"-")</f>
        <v>-</v>
      </c>
      <c r="D125" s="59" t="str">
        <f>IFERROR(INDEX('领用录入（明细）'!$B:$L,SMALL($B:$B,ROW(B119)),MATCH(D$7,$D$7:$L$7,0)),"")</f>
        <v/>
      </c>
      <c r="E125" s="114" t="str">
        <f>IFERROR(INDEX('领用录入（明细）'!$B:$L,SMALL($B:$B,ROW(C119)),MATCH(E$7,$D$7:$L$7,0)),"")</f>
        <v/>
      </c>
      <c r="F125" s="60" t="str">
        <f>IFERROR(INDEX('领用录入（明细）'!$B:$L,SMALL($B:$B,ROW(D119)),MATCH(F$7,$D$7:$L$7,0)),"")</f>
        <v/>
      </c>
      <c r="G125" s="60" t="str">
        <f>IFERROR(INDEX('领用录入（明细）'!$B:$L,SMALL($B:$B,ROW(E119)),MATCH(G$7,$D$7:$L$7,0)),"")</f>
        <v/>
      </c>
      <c r="H125" s="60" t="str">
        <f>IFERROR(INDEX('领用录入（明细）'!$B:$L,SMALL($B:$B,ROW(F119)),MATCH(H$7,$D$7:$L$7,0)),"")</f>
        <v/>
      </c>
      <c r="I125" s="60" t="str">
        <f>IFERROR(INDEX('领用录入（明细）'!$B:$L,SMALL($B:$B,ROW(G119)),MATCH(I$7,$D$7:$L$7,0)),"")</f>
        <v/>
      </c>
      <c r="J125" s="60" t="str">
        <f>IFERROR(INDEX('领用录入（明细）'!$B:$L,SMALL($B:$B,ROW(H119)),MATCH(J$7,$D$7:$L$7,0)),"")</f>
        <v/>
      </c>
      <c r="K125" s="60" t="str">
        <f>IFERROR(INDEX('领用录入（明细）'!$B:$L,SMALL($B:$B,ROW(I119)),MATCH(K$7,$D$7:$L$7,0)),"")</f>
        <v/>
      </c>
      <c r="L125" s="60" t="str">
        <f>IFERROR(INDEX('领用录入（明细）'!$B:$L,SMALL($B:$B,ROW(J119)),MATCH(L$7,$D$7:$L$7,0)),"")</f>
        <v/>
      </c>
      <c r="M125" s="60" t="str">
        <f t="shared" si="1"/>
        <v/>
      </c>
    </row>
    <row r="126" customHeight="1" spans="2:13">
      <c r="B126" s="62" t="str">
        <f>IF(AND('领用录入（明细）'!D:D=$F$4,'领用录入（明细）'!C:C&gt;=$J$4,'领用录入（明细）'!C:C&lt;=$L$4),ROW(),"-")</f>
        <v>-</v>
      </c>
      <c r="D126" s="59" t="str">
        <f>IFERROR(INDEX('领用录入（明细）'!$B:$L,SMALL($B:$B,ROW(B120)),MATCH(D$7,$D$7:$L$7,0)),"")</f>
        <v/>
      </c>
      <c r="E126" s="114" t="str">
        <f>IFERROR(INDEX('领用录入（明细）'!$B:$L,SMALL($B:$B,ROW(C120)),MATCH(E$7,$D$7:$L$7,0)),"")</f>
        <v/>
      </c>
      <c r="F126" s="60" t="str">
        <f>IFERROR(INDEX('领用录入（明细）'!$B:$L,SMALL($B:$B,ROW(D120)),MATCH(F$7,$D$7:$L$7,0)),"")</f>
        <v/>
      </c>
      <c r="G126" s="60" t="str">
        <f>IFERROR(INDEX('领用录入（明细）'!$B:$L,SMALL($B:$B,ROW(E120)),MATCH(G$7,$D$7:$L$7,0)),"")</f>
        <v/>
      </c>
      <c r="H126" s="60" t="str">
        <f>IFERROR(INDEX('领用录入（明细）'!$B:$L,SMALL($B:$B,ROW(F120)),MATCH(H$7,$D$7:$L$7,0)),"")</f>
        <v/>
      </c>
      <c r="I126" s="60" t="str">
        <f>IFERROR(INDEX('领用录入（明细）'!$B:$L,SMALL($B:$B,ROW(G120)),MATCH(I$7,$D$7:$L$7,0)),"")</f>
        <v/>
      </c>
      <c r="J126" s="60" t="str">
        <f>IFERROR(INDEX('领用录入（明细）'!$B:$L,SMALL($B:$B,ROW(H120)),MATCH(J$7,$D$7:$L$7,0)),"")</f>
        <v/>
      </c>
      <c r="K126" s="60" t="str">
        <f>IFERROR(INDEX('领用录入（明细）'!$B:$L,SMALL($B:$B,ROW(I120)),MATCH(K$7,$D$7:$L$7,0)),"")</f>
        <v/>
      </c>
      <c r="L126" s="60" t="str">
        <f>IFERROR(INDEX('领用录入（明细）'!$B:$L,SMALL($B:$B,ROW(J120)),MATCH(L$7,$D$7:$L$7,0)),"")</f>
        <v/>
      </c>
      <c r="M126" s="60" t="str">
        <f t="shared" si="1"/>
        <v/>
      </c>
    </row>
    <row r="127" customHeight="1" spans="2:13">
      <c r="B127" s="62" t="str">
        <f>IF(AND('领用录入（明细）'!D:D=$F$4,'领用录入（明细）'!C:C&gt;=$J$4,'领用录入（明细）'!C:C&lt;=$L$4),ROW(),"-")</f>
        <v>-</v>
      </c>
      <c r="D127" s="59" t="str">
        <f>IFERROR(INDEX('领用录入（明细）'!$B:$L,SMALL($B:$B,ROW(B121)),MATCH(D$7,$D$7:$L$7,0)),"")</f>
        <v/>
      </c>
      <c r="E127" s="114" t="str">
        <f>IFERROR(INDEX('领用录入（明细）'!$B:$L,SMALL($B:$B,ROW(C121)),MATCH(E$7,$D$7:$L$7,0)),"")</f>
        <v/>
      </c>
      <c r="F127" s="60" t="str">
        <f>IFERROR(INDEX('领用录入（明细）'!$B:$L,SMALL($B:$B,ROW(D121)),MATCH(F$7,$D$7:$L$7,0)),"")</f>
        <v/>
      </c>
      <c r="G127" s="60" t="str">
        <f>IFERROR(INDEX('领用录入（明细）'!$B:$L,SMALL($B:$B,ROW(E121)),MATCH(G$7,$D$7:$L$7,0)),"")</f>
        <v/>
      </c>
      <c r="H127" s="60" t="str">
        <f>IFERROR(INDEX('领用录入（明细）'!$B:$L,SMALL($B:$B,ROW(F121)),MATCH(H$7,$D$7:$L$7,0)),"")</f>
        <v/>
      </c>
      <c r="I127" s="60" t="str">
        <f>IFERROR(INDEX('领用录入（明细）'!$B:$L,SMALL($B:$B,ROW(G121)),MATCH(I$7,$D$7:$L$7,0)),"")</f>
        <v/>
      </c>
      <c r="J127" s="60" t="str">
        <f>IFERROR(INDEX('领用录入（明细）'!$B:$L,SMALL($B:$B,ROW(H121)),MATCH(J$7,$D$7:$L$7,0)),"")</f>
        <v/>
      </c>
      <c r="K127" s="60" t="str">
        <f>IFERROR(INDEX('领用录入（明细）'!$B:$L,SMALL($B:$B,ROW(I121)),MATCH(K$7,$D$7:$L$7,0)),"")</f>
        <v/>
      </c>
      <c r="L127" s="60" t="str">
        <f>IFERROR(INDEX('领用录入（明细）'!$B:$L,SMALL($B:$B,ROW(J121)),MATCH(L$7,$D$7:$L$7,0)),"")</f>
        <v/>
      </c>
      <c r="M127" s="60" t="str">
        <f t="shared" si="1"/>
        <v/>
      </c>
    </row>
    <row r="128" customHeight="1" spans="2:13">
      <c r="B128" s="62" t="str">
        <f>IF(AND('领用录入（明细）'!D:D=$F$4,'领用录入（明细）'!C:C&gt;=$J$4,'领用录入（明细）'!C:C&lt;=$L$4),ROW(),"-")</f>
        <v>-</v>
      </c>
      <c r="D128" s="59" t="str">
        <f>IFERROR(INDEX('领用录入（明细）'!$B:$L,SMALL($B:$B,ROW(B122)),MATCH(D$7,$D$7:$L$7,0)),"")</f>
        <v/>
      </c>
      <c r="E128" s="114" t="str">
        <f>IFERROR(INDEX('领用录入（明细）'!$B:$L,SMALL($B:$B,ROW(C122)),MATCH(E$7,$D$7:$L$7,0)),"")</f>
        <v/>
      </c>
      <c r="F128" s="60" t="str">
        <f>IFERROR(INDEX('领用录入（明细）'!$B:$L,SMALL($B:$B,ROW(D122)),MATCH(F$7,$D$7:$L$7,0)),"")</f>
        <v/>
      </c>
      <c r="G128" s="60" t="str">
        <f>IFERROR(INDEX('领用录入（明细）'!$B:$L,SMALL($B:$B,ROW(E122)),MATCH(G$7,$D$7:$L$7,0)),"")</f>
        <v/>
      </c>
      <c r="H128" s="60" t="str">
        <f>IFERROR(INDEX('领用录入（明细）'!$B:$L,SMALL($B:$B,ROW(F122)),MATCH(H$7,$D$7:$L$7,0)),"")</f>
        <v/>
      </c>
      <c r="I128" s="60" t="str">
        <f>IFERROR(INDEX('领用录入（明细）'!$B:$L,SMALL($B:$B,ROW(G122)),MATCH(I$7,$D$7:$L$7,0)),"")</f>
        <v/>
      </c>
      <c r="J128" s="60" t="str">
        <f>IFERROR(INDEX('领用录入（明细）'!$B:$L,SMALL($B:$B,ROW(H122)),MATCH(J$7,$D$7:$L$7,0)),"")</f>
        <v/>
      </c>
      <c r="K128" s="60" t="str">
        <f>IFERROR(INDEX('领用录入（明细）'!$B:$L,SMALL($B:$B,ROW(I122)),MATCH(K$7,$D$7:$L$7,0)),"")</f>
        <v/>
      </c>
      <c r="L128" s="60" t="str">
        <f>IFERROR(INDEX('领用录入（明细）'!$B:$L,SMALL($B:$B,ROW(J122)),MATCH(L$7,$D$7:$L$7,0)),"")</f>
        <v/>
      </c>
      <c r="M128" s="60" t="str">
        <f t="shared" si="1"/>
        <v/>
      </c>
    </row>
    <row r="129" customHeight="1" spans="2:13">
      <c r="B129" s="62" t="str">
        <f>IF(AND('领用录入（明细）'!D:D=$F$4,'领用录入（明细）'!C:C&gt;=$J$4,'领用录入（明细）'!C:C&lt;=$L$4),ROW(),"-")</f>
        <v>-</v>
      </c>
      <c r="D129" s="59" t="str">
        <f>IFERROR(INDEX('领用录入（明细）'!$B:$L,SMALL($B:$B,ROW(B123)),MATCH(D$7,$D$7:$L$7,0)),"")</f>
        <v/>
      </c>
      <c r="E129" s="114" t="str">
        <f>IFERROR(INDEX('领用录入（明细）'!$B:$L,SMALL($B:$B,ROW(C123)),MATCH(E$7,$D$7:$L$7,0)),"")</f>
        <v/>
      </c>
      <c r="F129" s="60" t="str">
        <f>IFERROR(INDEX('领用录入（明细）'!$B:$L,SMALL($B:$B,ROW(D123)),MATCH(F$7,$D$7:$L$7,0)),"")</f>
        <v/>
      </c>
      <c r="G129" s="60" t="str">
        <f>IFERROR(INDEX('领用录入（明细）'!$B:$L,SMALL($B:$B,ROW(E123)),MATCH(G$7,$D$7:$L$7,0)),"")</f>
        <v/>
      </c>
      <c r="H129" s="60" t="str">
        <f>IFERROR(INDEX('领用录入（明细）'!$B:$L,SMALL($B:$B,ROW(F123)),MATCH(H$7,$D$7:$L$7,0)),"")</f>
        <v/>
      </c>
      <c r="I129" s="60" t="str">
        <f>IFERROR(INDEX('领用录入（明细）'!$B:$L,SMALL($B:$B,ROW(G123)),MATCH(I$7,$D$7:$L$7,0)),"")</f>
        <v/>
      </c>
      <c r="J129" s="60" t="str">
        <f>IFERROR(INDEX('领用录入（明细）'!$B:$L,SMALL($B:$B,ROW(H123)),MATCH(J$7,$D$7:$L$7,0)),"")</f>
        <v/>
      </c>
      <c r="K129" s="60" t="str">
        <f>IFERROR(INDEX('领用录入（明细）'!$B:$L,SMALL($B:$B,ROW(I123)),MATCH(K$7,$D$7:$L$7,0)),"")</f>
        <v/>
      </c>
      <c r="L129" s="60" t="str">
        <f>IFERROR(INDEX('领用录入（明细）'!$B:$L,SMALL($B:$B,ROW(J123)),MATCH(L$7,$D$7:$L$7,0)),"")</f>
        <v/>
      </c>
      <c r="M129" s="60" t="str">
        <f t="shared" si="1"/>
        <v/>
      </c>
    </row>
    <row r="130" customHeight="1" spans="2:13">
      <c r="B130" s="62" t="str">
        <f>IF(AND('领用录入（明细）'!D:D=$F$4,'领用录入（明细）'!C:C&gt;=$J$4,'领用录入（明细）'!C:C&lt;=$L$4),ROW(),"-")</f>
        <v>-</v>
      </c>
      <c r="D130" s="59" t="str">
        <f>IFERROR(INDEX('领用录入（明细）'!$B:$L,SMALL($B:$B,ROW(B124)),MATCH(D$7,$D$7:$L$7,0)),"")</f>
        <v/>
      </c>
      <c r="E130" s="114" t="str">
        <f>IFERROR(INDEX('领用录入（明细）'!$B:$L,SMALL($B:$B,ROW(C124)),MATCH(E$7,$D$7:$L$7,0)),"")</f>
        <v/>
      </c>
      <c r="F130" s="60" t="str">
        <f>IFERROR(INDEX('领用录入（明细）'!$B:$L,SMALL($B:$B,ROW(D124)),MATCH(F$7,$D$7:$L$7,0)),"")</f>
        <v/>
      </c>
      <c r="G130" s="60" t="str">
        <f>IFERROR(INDEX('领用录入（明细）'!$B:$L,SMALL($B:$B,ROW(E124)),MATCH(G$7,$D$7:$L$7,0)),"")</f>
        <v/>
      </c>
      <c r="H130" s="60" t="str">
        <f>IFERROR(INDEX('领用录入（明细）'!$B:$L,SMALL($B:$B,ROW(F124)),MATCH(H$7,$D$7:$L$7,0)),"")</f>
        <v/>
      </c>
      <c r="I130" s="60" t="str">
        <f>IFERROR(INDEX('领用录入（明细）'!$B:$L,SMALL($B:$B,ROW(G124)),MATCH(I$7,$D$7:$L$7,0)),"")</f>
        <v/>
      </c>
      <c r="J130" s="60" t="str">
        <f>IFERROR(INDEX('领用录入（明细）'!$B:$L,SMALL($B:$B,ROW(H124)),MATCH(J$7,$D$7:$L$7,0)),"")</f>
        <v/>
      </c>
      <c r="K130" s="60" t="str">
        <f>IFERROR(INDEX('领用录入（明细）'!$B:$L,SMALL($B:$B,ROW(I124)),MATCH(K$7,$D$7:$L$7,0)),"")</f>
        <v/>
      </c>
      <c r="L130" s="60" t="str">
        <f>IFERROR(INDEX('领用录入（明细）'!$B:$L,SMALL($B:$B,ROW(J124)),MATCH(L$7,$D$7:$L$7,0)),"")</f>
        <v/>
      </c>
      <c r="M130" s="60" t="str">
        <f t="shared" si="1"/>
        <v/>
      </c>
    </row>
    <row r="131" customHeight="1" spans="2:13">
      <c r="B131" s="62" t="str">
        <f>IF(AND('领用录入（明细）'!D:D=$F$4,'领用录入（明细）'!C:C&gt;=$J$4,'领用录入（明细）'!C:C&lt;=$L$4),ROW(),"-")</f>
        <v>-</v>
      </c>
      <c r="D131" s="59" t="str">
        <f>IFERROR(INDEX('领用录入（明细）'!$B:$L,SMALL($B:$B,ROW(B125)),MATCH(D$7,$D$7:$L$7,0)),"")</f>
        <v/>
      </c>
      <c r="E131" s="114" t="str">
        <f>IFERROR(INDEX('领用录入（明细）'!$B:$L,SMALL($B:$B,ROW(C125)),MATCH(E$7,$D$7:$L$7,0)),"")</f>
        <v/>
      </c>
      <c r="F131" s="60" t="str">
        <f>IFERROR(INDEX('领用录入（明细）'!$B:$L,SMALL($B:$B,ROW(D125)),MATCH(F$7,$D$7:$L$7,0)),"")</f>
        <v/>
      </c>
      <c r="G131" s="60" t="str">
        <f>IFERROR(INDEX('领用录入（明细）'!$B:$L,SMALL($B:$B,ROW(E125)),MATCH(G$7,$D$7:$L$7,0)),"")</f>
        <v/>
      </c>
      <c r="H131" s="60" t="str">
        <f>IFERROR(INDEX('领用录入（明细）'!$B:$L,SMALL($B:$B,ROW(F125)),MATCH(H$7,$D$7:$L$7,0)),"")</f>
        <v/>
      </c>
      <c r="I131" s="60" t="str">
        <f>IFERROR(INDEX('领用录入（明细）'!$B:$L,SMALL($B:$B,ROW(G125)),MATCH(I$7,$D$7:$L$7,0)),"")</f>
        <v/>
      </c>
      <c r="J131" s="60" t="str">
        <f>IFERROR(INDEX('领用录入（明细）'!$B:$L,SMALL($B:$B,ROW(H125)),MATCH(J$7,$D$7:$L$7,0)),"")</f>
        <v/>
      </c>
      <c r="K131" s="60" t="str">
        <f>IFERROR(INDEX('领用录入（明细）'!$B:$L,SMALL($B:$B,ROW(I125)),MATCH(K$7,$D$7:$L$7,0)),"")</f>
        <v/>
      </c>
      <c r="L131" s="60" t="str">
        <f>IFERROR(INDEX('领用录入（明细）'!$B:$L,SMALL($B:$B,ROW(J125)),MATCH(L$7,$D$7:$L$7,0)),"")</f>
        <v/>
      </c>
      <c r="M131" s="60" t="str">
        <f t="shared" si="1"/>
        <v/>
      </c>
    </row>
    <row r="132" customHeight="1" spans="2:13">
      <c r="B132" s="62" t="str">
        <f>IF(AND('领用录入（明细）'!D:D=$F$4,'领用录入（明细）'!C:C&gt;=$J$4,'领用录入（明细）'!C:C&lt;=$L$4),ROW(),"-")</f>
        <v>-</v>
      </c>
      <c r="D132" s="59" t="str">
        <f>IFERROR(INDEX('领用录入（明细）'!$B:$L,SMALL($B:$B,ROW(B126)),MATCH(D$7,$D$7:$L$7,0)),"")</f>
        <v/>
      </c>
      <c r="E132" s="114" t="str">
        <f>IFERROR(INDEX('领用录入（明细）'!$B:$L,SMALL($B:$B,ROW(C126)),MATCH(E$7,$D$7:$L$7,0)),"")</f>
        <v/>
      </c>
      <c r="F132" s="60" t="str">
        <f>IFERROR(INDEX('领用录入（明细）'!$B:$L,SMALL($B:$B,ROW(D126)),MATCH(F$7,$D$7:$L$7,0)),"")</f>
        <v/>
      </c>
      <c r="G132" s="60" t="str">
        <f>IFERROR(INDEX('领用录入（明细）'!$B:$L,SMALL($B:$B,ROW(E126)),MATCH(G$7,$D$7:$L$7,0)),"")</f>
        <v/>
      </c>
      <c r="H132" s="60" t="str">
        <f>IFERROR(INDEX('领用录入（明细）'!$B:$L,SMALL($B:$B,ROW(F126)),MATCH(H$7,$D$7:$L$7,0)),"")</f>
        <v/>
      </c>
      <c r="I132" s="60" t="str">
        <f>IFERROR(INDEX('领用录入（明细）'!$B:$L,SMALL($B:$B,ROW(G126)),MATCH(I$7,$D$7:$L$7,0)),"")</f>
        <v/>
      </c>
      <c r="J132" s="60" t="str">
        <f>IFERROR(INDEX('领用录入（明细）'!$B:$L,SMALL($B:$B,ROW(H126)),MATCH(J$7,$D$7:$L$7,0)),"")</f>
        <v/>
      </c>
      <c r="K132" s="60" t="str">
        <f>IFERROR(INDEX('领用录入（明细）'!$B:$L,SMALL($B:$B,ROW(I126)),MATCH(K$7,$D$7:$L$7,0)),"")</f>
        <v/>
      </c>
      <c r="L132" s="60" t="str">
        <f>IFERROR(INDEX('领用录入（明细）'!$B:$L,SMALL($B:$B,ROW(J126)),MATCH(L$7,$D$7:$L$7,0)),"")</f>
        <v/>
      </c>
      <c r="M132" s="60" t="str">
        <f t="shared" si="1"/>
        <v/>
      </c>
    </row>
    <row r="133" customHeight="1" spans="2:13">
      <c r="B133" s="62" t="str">
        <f>IF(AND('领用录入（明细）'!D:D=$F$4,'领用录入（明细）'!C:C&gt;=$J$4,'领用录入（明细）'!C:C&lt;=$L$4),ROW(),"-")</f>
        <v>-</v>
      </c>
      <c r="D133" s="59" t="str">
        <f>IFERROR(INDEX('领用录入（明细）'!$B:$L,SMALL($B:$B,ROW(B127)),MATCH(D$7,$D$7:$L$7,0)),"")</f>
        <v/>
      </c>
      <c r="E133" s="114" t="str">
        <f>IFERROR(INDEX('领用录入（明细）'!$B:$L,SMALL($B:$B,ROW(C127)),MATCH(E$7,$D$7:$L$7,0)),"")</f>
        <v/>
      </c>
      <c r="F133" s="60" t="str">
        <f>IFERROR(INDEX('领用录入（明细）'!$B:$L,SMALL($B:$B,ROW(D127)),MATCH(F$7,$D$7:$L$7,0)),"")</f>
        <v/>
      </c>
      <c r="G133" s="60" t="str">
        <f>IFERROR(INDEX('领用录入（明细）'!$B:$L,SMALL($B:$B,ROW(E127)),MATCH(G$7,$D$7:$L$7,0)),"")</f>
        <v/>
      </c>
      <c r="H133" s="60" t="str">
        <f>IFERROR(INDEX('领用录入（明细）'!$B:$L,SMALL($B:$B,ROW(F127)),MATCH(H$7,$D$7:$L$7,0)),"")</f>
        <v/>
      </c>
      <c r="I133" s="60" t="str">
        <f>IFERROR(INDEX('领用录入（明细）'!$B:$L,SMALL($B:$B,ROW(G127)),MATCH(I$7,$D$7:$L$7,0)),"")</f>
        <v/>
      </c>
      <c r="J133" s="60" t="str">
        <f>IFERROR(INDEX('领用录入（明细）'!$B:$L,SMALL($B:$B,ROW(H127)),MATCH(J$7,$D$7:$L$7,0)),"")</f>
        <v/>
      </c>
      <c r="K133" s="60" t="str">
        <f>IFERROR(INDEX('领用录入（明细）'!$B:$L,SMALL($B:$B,ROW(I127)),MATCH(K$7,$D$7:$L$7,0)),"")</f>
        <v/>
      </c>
      <c r="L133" s="60" t="str">
        <f>IFERROR(INDEX('领用录入（明细）'!$B:$L,SMALL($B:$B,ROW(J127)),MATCH(L$7,$D$7:$L$7,0)),"")</f>
        <v/>
      </c>
      <c r="M133" s="60" t="str">
        <f t="shared" si="1"/>
        <v/>
      </c>
    </row>
    <row r="134" customHeight="1" spans="2:13">
      <c r="B134" s="62">
        <f>IF(AND('领用录入（明细）'!D:D=$F$4,'领用录入（明细）'!C:C&gt;=$J$4,'领用录入（明细）'!C:C&lt;=$L$4),ROW(),"-")</f>
        <v>134</v>
      </c>
      <c r="D134" s="59" t="str">
        <f>IFERROR(INDEX('领用录入（明细）'!$B:$L,SMALL($B:$B,ROW(B128)),MATCH(D$7,$D$7:$L$7,0)),"")</f>
        <v/>
      </c>
      <c r="E134" s="114" t="str">
        <f>IFERROR(INDEX('领用录入（明细）'!$B:$L,SMALL($B:$B,ROW(C128)),MATCH(E$7,$D$7:$L$7,0)),"")</f>
        <v/>
      </c>
      <c r="F134" s="60" t="str">
        <f>IFERROR(INDEX('领用录入（明细）'!$B:$L,SMALL($B:$B,ROW(D128)),MATCH(F$7,$D$7:$L$7,0)),"")</f>
        <v/>
      </c>
      <c r="G134" s="60" t="str">
        <f>IFERROR(INDEX('领用录入（明细）'!$B:$L,SMALL($B:$B,ROW(E128)),MATCH(G$7,$D$7:$L$7,0)),"")</f>
        <v/>
      </c>
      <c r="H134" s="60" t="str">
        <f>IFERROR(INDEX('领用录入（明细）'!$B:$L,SMALL($B:$B,ROW(F128)),MATCH(H$7,$D$7:$L$7,0)),"")</f>
        <v/>
      </c>
      <c r="I134" s="60" t="str">
        <f>IFERROR(INDEX('领用录入（明细）'!$B:$L,SMALL($B:$B,ROW(G128)),MATCH(I$7,$D$7:$L$7,0)),"")</f>
        <v/>
      </c>
      <c r="J134" s="60" t="str">
        <f>IFERROR(INDEX('领用录入（明细）'!$B:$L,SMALL($B:$B,ROW(H128)),MATCH(J$7,$D$7:$L$7,0)),"")</f>
        <v/>
      </c>
      <c r="K134" s="60" t="str">
        <f>IFERROR(INDEX('领用录入（明细）'!$B:$L,SMALL($B:$B,ROW(I128)),MATCH(K$7,$D$7:$L$7,0)),"")</f>
        <v/>
      </c>
      <c r="L134" s="60" t="str">
        <f>IFERROR(INDEX('领用录入（明细）'!$B:$L,SMALL($B:$B,ROW(J128)),MATCH(L$7,$D$7:$L$7,0)),"")</f>
        <v/>
      </c>
      <c r="M134" s="60" t="str">
        <f t="shared" si="1"/>
        <v/>
      </c>
    </row>
    <row r="135" customHeight="1" spans="2:13">
      <c r="B135" s="62" t="str">
        <f>IF(AND('领用录入（明细）'!D:D=$F$4,'领用录入（明细）'!C:C&gt;=$J$4,'领用录入（明细）'!C:C&lt;=$L$4),ROW(),"-")</f>
        <v>-</v>
      </c>
      <c r="D135" s="59" t="str">
        <f>IFERROR(INDEX('领用录入（明细）'!$B:$L,SMALL($B:$B,ROW(B129)),MATCH(D$7,$D$7:$L$7,0)),"")</f>
        <v/>
      </c>
      <c r="E135" s="114" t="str">
        <f>IFERROR(INDEX('领用录入（明细）'!$B:$L,SMALL($B:$B,ROW(C129)),MATCH(E$7,$D$7:$L$7,0)),"")</f>
        <v/>
      </c>
      <c r="F135" s="60" t="str">
        <f>IFERROR(INDEX('领用录入（明细）'!$B:$L,SMALL($B:$B,ROW(D129)),MATCH(F$7,$D$7:$L$7,0)),"")</f>
        <v/>
      </c>
      <c r="G135" s="60" t="str">
        <f>IFERROR(INDEX('领用录入（明细）'!$B:$L,SMALL($B:$B,ROW(E129)),MATCH(G$7,$D$7:$L$7,0)),"")</f>
        <v/>
      </c>
      <c r="H135" s="60" t="str">
        <f>IFERROR(INDEX('领用录入（明细）'!$B:$L,SMALL($B:$B,ROW(F129)),MATCH(H$7,$D$7:$L$7,0)),"")</f>
        <v/>
      </c>
      <c r="I135" s="60" t="str">
        <f>IFERROR(INDEX('领用录入（明细）'!$B:$L,SMALL($B:$B,ROW(G129)),MATCH(I$7,$D$7:$L$7,0)),"")</f>
        <v/>
      </c>
      <c r="J135" s="60" t="str">
        <f>IFERROR(INDEX('领用录入（明细）'!$B:$L,SMALL($B:$B,ROW(H129)),MATCH(J$7,$D$7:$L$7,0)),"")</f>
        <v/>
      </c>
      <c r="K135" s="60" t="str">
        <f>IFERROR(INDEX('领用录入（明细）'!$B:$L,SMALL($B:$B,ROW(I129)),MATCH(K$7,$D$7:$L$7,0)),"")</f>
        <v/>
      </c>
      <c r="L135" s="60" t="str">
        <f>IFERROR(INDEX('领用录入（明细）'!$B:$L,SMALL($B:$B,ROW(J129)),MATCH(L$7,$D$7:$L$7,0)),"")</f>
        <v/>
      </c>
      <c r="M135" s="60" t="str">
        <f t="shared" si="1"/>
        <v/>
      </c>
    </row>
    <row r="136" customHeight="1" spans="2:13">
      <c r="B136" s="62" t="str">
        <f>IF(AND('领用录入（明细）'!D:D=$F$4,'领用录入（明细）'!C:C&gt;=$J$4,'领用录入（明细）'!C:C&lt;=$L$4),ROW(),"-")</f>
        <v>-</v>
      </c>
      <c r="D136" s="59" t="str">
        <f>IFERROR(INDEX('领用录入（明细）'!$B:$L,SMALL($B:$B,ROW(B130)),MATCH(D$7,$D$7:$L$7,0)),"")</f>
        <v/>
      </c>
      <c r="E136" s="114" t="str">
        <f>IFERROR(INDEX('领用录入（明细）'!$B:$L,SMALL($B:$B,ROW(C130)),MATCH(E$7,$D$7:$L$7,0)),"")</f>
        <v/>
      </c>
      <c r="F136" s="60" t="str">
        <f>IFERROR(INDEX('领用录入（明细）'!$B:$L,SMALL($B:$B,ROW(D130)),MATCH(F$7,$D$7:$L$7,0)),"")</f>
        <v/>
      </c>
      <c r="G136" s="60" t="str">
        <f>IFERROR(INDEX('领用录入（明细）'!$B:$L,SMALL($B:$B,ROW(E130)),MATCH(G$7,$D$7:$L$7,0)),"")</f>
        <v/>
      </c>
      <c r="H136" s="60" t="str">
        <f>IFERROR(INDEX('领用录入（明细）'!$B:$L,SMALL($B:$B,ROW(F130)),MATCH(H$7,$D$7:$L$7,0)),"")</f>
        <v/>
      </c>
      <c r="I136" s="60" t="str">
        <f>IFERROR(INDEX('领用录入（明细）'!$B:$L,SMALL($B:$B,ROW(G130)),MATCH(I$7,$D$7:$L$7,0)),"")</f>
        <v/>
      </c>
      <c r="J136" s="60" t="str">
        <f>IFERROR(INDEX('领用录入（明细）'!$B:$L,SMALL($B:$B,ROW(H130)),MATCH(J$7,$D$7:$L$7,0)),"")</f>
        <v/>
      </c>
      <c r="K136" s="60" t="str">
        <f>IFERROR(INDEX('领用录入（明细）'!$B:$L,SMALL($B:$B,ROW(I130)),MATCH(K$7,$D$7:$L$7,0)),"")</f>
        <v/>
      </c>
      <c r="L136" s="60" t="str">
        <f>IFERROR(INDEX('领用录入（明细）'!$B:$L,SMALL($B:$B,ROW(J130)),MATCH(L$7,$D$7:$L$7,0)),"")</f>
        <v/>
      </c>
      <c r="M136" s="60" t="str">
        <f t="shared" si="1"/>
        <v/>
      </c>
    </row>
    <row r="137" customHeight="1" spans="2:13">
      <c r="B137" s="62" t="str">
        <f>IF(AND('领用录入（明细）'!D:D=$F$4,'领用录入（明细）'!C:C&gt;=$J$4,'领用录入（明细）'!C:C&lt;=$L$4),ROW(),"-")</f>
        <v>-</v>
      </c>
      <c r="D137" s="59" t="str">
        <f>IFERROR(INDEX('领用录入（明细）'!$B:$L,SMALL($B:$B,ROW(B131)),MATCH(D$7,$D$7:$L$7,0)),"")</f>
        <v/>
      </c>
      <c r="E137" s="114" t="str">
        <f>IFERROR(INDEX('领用录入（明细）'!$B:$L,SMALL($B:$B,ROW(C131)),MATCH(E$7,$D$7:$L$7,0)),"")</f>
        <v/>
      </c>
      <c r="F137" s="60" t="str">
        <f>IFERROR(INDEX('领用录入（明细）'!$B:$L,SMALL($B:$B,ROW(D131)),MATCH(F$7,$D$7:$L$7,0)),"")</f>
        <v/>
      </c>
      <c r="G137" s="60" t="str">
        <f>IFERROR(INDEX('领用录入（明细）'!$B:$L,SMALL($B:$B,ROW(E131)),MATCH(G$7,$D$7:$L$7,0)),"")</f>
        <v/>
      </c>
      <c r="H137" s="60" t="str">
        <f>IFERROR(INDEX('领用录入（明细）'!$B:$L,SMALL($B:$B,ROW(F131)),MATCH(H$7,$D$7:$L$7,0)),"")</f>
        <v/>
      </c>
      <c r="I137" s="60" t="str">
        <f>IFERROR(INDEX('领用录入（明细）'!$B:$L,SMALL($B:$B,ROW(G131)),MATCH(I$7,$D$7:$L$7,0)),"")</f>
        <v/>
      </c>
      <c r="J137" s="60" t="str">
        <f>IFERROR(INDEX('领用录入（明细）'!$B:$L,SMALL($B:$B,ROW(H131)),MATCH(J$7,$D$7:$L$7,0)),"")</f>
        <v/>
      </c>
      <c r="K137" s="60" t="str">
        <f>IFERROR(INDEX('领用录入（明细）'!$B:$L,SMALL($B:$B,ROW(I131)),MATCH(K$7,$D$7:$L$7,0)),"")</f>
        <v/>
      </c>
      <c r="L137" s="60" t="str">
        <f>IFERROR(INDEX('领用录入（明细）'!$B:$L,SMALL($B:$B,ROW(J131)),MATCH(L$7,$D$7:$L$7,0)),"")</f>
        <v/>
      </c>
      <c r="M137" s="60" t="str">
        <f t="shared" ref="M137:M200" si="2">IFERROR(K137*L137,"")</f>
        <v/>
      </c>
    </row>
    <row r="138" customHeight="1" spans="2:13">
      <c r="B138" s="62" t="str">
        <f>IF(AND('领用录入（明细）'!D:D=$F$4,'领用录入（明细）'!C:C&gt;=$J$4,'领用录入（明细）'!C:C&lt;=$L$4),ROW(),"-")</f>
        <v>-</v>
      </c>
      <c r="D138" s="59" t="str">
        <f>IFERROR(INDEX('领用录入（明细）'!$B:$L,SMALL($B:$B,ROW(B132)),MATCH(D$7,$D$7:$L$7,0)),"")</f>
        <v/>
      </c>
      <c r="E138" s="114" t="str">
        <f>IFERROR(INDEX('领用录入（明细）'!$B:$L,SMALL($B:$B,ROW(C132)),MATCH(E$7,$D$7:$L$7,0)),"")</f>
        <v/>
      </c>
      <c r="F138" s="60" t="str">
        <f>IFERROR(INDEX('领用录入（明细）'!$B:$L,SMALL($B:$B,ROW(D132)),MATCH(F$7,$D$7:$L$7,0)),"")</f>
        <v/>
      </c>
      <c r="G138" s="60" t="str">
        <f>IFERROR(INDEX('领用录入（明细）'!$B:$L,SMALL($B:$B,ROW(E132)),MATCH(G$7,$D$7:$L$7,0)),"")</f>
        <v/>
      </c>
      <c r="H138" s="60" t="str">
        <f>IFERROR(INDEX('领用录入（明细）'!$B:$L,SMALL($B:$B,ROW(F132)),MATCH(H$7,$D$7:$L$7,0)),"")</f>
        <v/>
      </c>
      <c r="I138" s="60" t="str">
        <f>IFERROR(INDEX('领用录入（明细）'!$B:$L,SMALL($B:$B,ROW(G132)),MATCH(I$7,$D$7:$L$7,0)),"")</f>
        <v/>
      </c>
      <c r="J138" s="60" t="str">
        <f>IFERROR(INDEX('领用录入（明细）'!$B:$L,SMALL($B:$B,ROW(H132)),MATCH(J$7,$D$7:$L$7,0)),"")</f>
        <v/>
      </c>
      <c r="K138" s="60" t="str">
        <f>IFERROR(INDEX('领用录入（明细）'!$B:$L,SMALL($B:$B,ROW(I132)),MATCH(K$7,$D$7:$L$7,0)),"")</f>
        <v/>
      </c>
      <c r="L138" s="60" t="str">
        <f>IFERROR(INDEX('领用录入（明细）'!$B:$L,SMALL($B:$B,ROW(J132)),MATCH(L$7,$D$7:$L$7,0)),"")</f>
        <v/>
      </c>
      <c r="M138" s="60" t="str">
        <f t="shared" si="2"/>
        <v/>
      </c>
    </row>
    <row r="139" customHeight="1" spans="2:13">
      <c r="B139" s="62" t="str">
        <f>IF(AND('领用录入（明细）'!D:D=$F$4,'领用录入（明细）'!C:C&gt;=$J$4,'领用录入（明细）'!C:C&lt;=$L$4),ROW(),"-")</f>
        <v>-</v>
      </c>
      <c r="D139" s="59" t="str">
        <f>IFERROR(INDEX('领用录入（明细）'!$B:$L,SMALL($B:$B,ROW(B133)),MATCH(D$7,$D$7:$L$7,0)),"")</f>
        <v/>
      </c>
      <c r="E139" s="114" t="str">
        <f>IFERROR(INDEX('领用录入（明细）'!$B:$L,SMALL($B:$B,ROW(C133)),MATCH(E$7,$D$7:$L$7,0)),"")</f>
        <v/>
      </c>
      <c r="F139" s="60" t="str">
        <f>IFERROR(INDEX('领用录入（明细）'!$B:$L,SMALL($B:$B,ROW(D133)),MATCH(F$7,$D$7:$L$7,0)),"")</f>
        <v/>
      </c>
      <c r="G139" s="60" t="str">
        <f>IFERROR(INDEX('领用录入（明细）'!$B:$L,SMALL($B:$B,ROW(E133)),MATCH(G$7,$D$7:$L$7,0)),"")</f>
        <v/>
      </c>
      <c r="H139" s="60" t="str">
        <f>IFERROR(INDEX('领用录入（明细）'!$B:$L,SMALL($B:$B,ROW(F133)),MATCH(H$7,$D$7:$L$7,0)),"")</f>
        <v/>
      </c>
      <c r="I139" s="60" t="str">
        <f>IFERROR(INDEX('领用录入（明细）'!$B:$L,SMALL($B:$B,ROW(G133)),MATCH(I$7,$D$7:$L$7,0)),"")</f>
        <v/>
      </c>
      <c r="J139" s="60" t="str">
        <f>IFERROR(INDEX('领用录入（明细）'!$B:$L,SMALL($B:$B,ROW(H133)),MATCH(J$7,$D$7:$L$7,0)),"")</f>
        <v/>
      </c>
      <c r="K139" s="60" t="str">
        <f>IFERROR(INDEX('领用录入（明细）'!$B:$L,SMALL($B:$B,ROW(I133)),MATCH(K$7,$D$7:$L$7,0)),"")</f>
        <v/>
      </c>
      <c r="L139" s="60" t="str">
        <f>IFERROR(INDEX('领用录入（明细）'!$B:$L,SMALL($B:$B,ROW(J133)),MATCH(L$7,$D$7:$L$7,0)),"")</f>
        <v/>
      </c>
      <c r="M139" s="60" t="str">
        <f t="shared" si="2"/>
        <v/>
      </c>
    </row>
    <row r="140" customHeight="1" spans="2:13">
      <c r="B140" s="62" t="str">
        <f>IF(AND('领用录入（明细）'!D:D=$F$4,'领用录入（明细）'!C:C&gt;=$J$4,'领用录入（明细）'!C:C&lt;=$L$4),ROW(),"-")</f>
        <v>-</v>
      </c>
      <c r="D140" s="59" t="str">
        <f>IFERROR(INDEX('领用录入（明细）'!$B:$L,SMALL($B:$B,ROW(B134)),MATCH(D$7,$D$7:$L$7,0)),"")</f>
        <v/>
      </c>
      <c r="E140" s="114" t="str">
        <f>IFERROR(INDEX('领用录入（明细）'!$B:$L,SMALL($B:$B,ROW(C134)),MATCH(E$7,$D$7:$L$7,0)),"")</f>
        <v/>
      </c>
      <c r="F140" s="60" t="str">
        <f>IFERROR(INDEX('领用录入（明细）'!$B:$L,SMALL($B:$B,ROW(D134)),MATCH(F$7,$D$7:$L$7,0)),"")</f>
        <v/>
      </c>
      <c r="G140" s="60" t="str">
        <f>IFERROR(INDEX('领用录入（明细）'!$B:$L,SMALL($B:$B,ROW(E134)),MATCH(G$7,$D$7:$L$7,0)),"")</f>
        <v/>
      </c>
      <c r="H140" s="60" t="str">
        <f>IFERROR(INDEX('领用录入（明细）'!$B:$L,SMALL($B:$B,ROW(F134)),MATCH(H$7,$D$7:$L$7,0)),"")</f>
        <v/>
      </c>
      <c r="I140" s="60" t="str">
        <f>IFERROR(INDEX('领用录入（明细）'!$B:$L,SMALL($B:$B,ROW(G134)),MATCH(I$7,$D$7:$L$7,0)),"")</f>
        <v/>
      </c>
      <c r="J140" s="60" t="str">
        <f>IFERROR(INDEX('领用录入（明细）'!$B:$L,SMALL($B:$B,ROW(H134)),MATCH(J$7,$D$7:$L$7,0)),"")</f>
        <v/>
      </c>
      <c r="K140" s="60" t="str">
        <f>IFERROR(INDEX('领用录入（明细）'!$B:$L,SMALL($B:$B,ROW(I134)),MATCH(K$7,$D$7:$L$7,0)),"")</f>
        <v/>
      </c>
      <c r="L140" s="60" t="str">
        <f>IFERROR(INDEX('领用录入（明细）'!$B:$L,SMALL($B:$B,ROW(J134)),MATCH(L$7,$D$7:$L$7,0)),"")</f>
        <v/>
      </c>
      <c r="M140" s="60" t="str">
        <f t="shared" si="2"/>
        <v/>
      </c>
    </row>
    <row r="141" customHeight="1" spans="2:13">
      <c r="B141" s="62" t="str">
        <f>IF(AND('领用录入（明细）'!D:D=$F$4,'领用录入（明细）'!C:C&gt;=$J$4,'领用录入（明细）'!C:C&lt;=$L$4),ROW(),"-")</f>
        <v>-</v>
      </c>
      <c r="D141" s="59" t="str">
        <f>IFERROR(INDEX('领用录入（明细）'!$B:$L,SMALL($B:$B,ROW(B135)),MATCH(D$7,$D$7:$L$7,0)),"")</f>
        <v/>
      </c>
      <c r="E141" s="114" t="str">
        <f>IFERROR(INDEX('领用录入（明细）'!$B:$L,SMALL($B:$B,ROW(C135)),MATCH(E$7,$D$7:$L$7,0)),"")</f>
        <v/>
      </c>
      <c r="F141" s="60" t="str">
        <f>IFERROR(INDEX('领用录入（明细）'!$B:$L,SMALL($B:$B,ROW(D135)),MATCH(F$7,$D$7:$L$7,0)),"")</f>
        <v/>
      </c>
      <c r="G141" s="60" t="str">
        <f>IFERROR(INDEX('领用录入（明细）'!$B:$L,SMALL($B:$B,ROW(E135)),MATCH(G$7,$D$7:$L$7,0)),"")</f>
        <v/>
      </c>
      <c r="H141" s="60" t="str">
        <f>IFERROR(INDEX('领用录入（明细）'!$B:$L,SMALL($B:$B,ROW(F135)),MATCH(H$7,$D$7:$L$7,0)),"")</f>
        <v/>
      </c>
      <c r="I141" s="60" t="str">
        <f>IFERROR(INDEX('领用录入（明细）'!$B:$L,SMALL($B:$B,ROW(G135)),MATCH(I$7,$D$7:$L$7,0)),"")</f>
        <v/>
      </c>
      <c r="J141" s="60" t="str">
        <f>IFERROR(INDEX('领用录入（明细）'!$B:$L,SMALL($B:$B,ROW(H135)),MATCH(J$7,$D$7:$L$7,0)),"")</f>
        <v/>
      </c>
      <c r="K141" s="60" t="str">
        <f>IFERROR(INDEX('领用录入（明细）'!$B:$L,SMALL($B:$B,ROW(I135)),MATCH(K$7,$D$7:$L$7,0)),"")</f>
        <v/>
      </c>
      <c r="L141" s="60" t="str">
        <f>IFERROR(INDEX('领用录入（明细）'!$B:$L,SMALL($B:$B,ROW(J135)),MATCH(L$7,$D$7:$L$7,0)),"")</f>
        <v/>
      </c>
      <c r="M141" s="60" t="str">
        <f t="shared" si="2"/>
        <v/>
      </c>
    </row>
    <row r="142" customHeight="1" spans="2:13">
      <c r="B142" s="62" t="str">
        <f>IF(AND('领用录入（明细）'!D:D=$F$4,'领用录入（明细）'!C:C&gt;=$J$4,'领用录入（明细）'!C:C&lt;=$L$4),ROW(),"-")</f>
        <v>-</v>
      </c>
      <c r="D142" s="59" t="str">
        <f>IFERROR(INDEX('领用录入（明细）'!$B:$L,SMALL($B:$B,ROW(B136)),MATCH(D$7,$D$7:$L$7,0)),"")</f>
        <v/>
      </c>
      <c r="E142" s="114" t="str">
        <f>IFERROR(INDEX('领用录入（明细）'!$B:$L,SMALL($B:$B,ROW(C136)),MATCH(E$7,$D$7:$L$7,0)),"")</f>
        <v/>
      </c>
      <c r="F142" s="60" t="str">
        <f>IFERROR(INDEX('领用录入（明细）'!$B:$L,SMALL($B:$B,ROW(D136)),MATCH(F$7,$D$7:$L$7,0)),"")</f>
        <v/>
      </c>
      <c r="G142" s="60" t="str">
        <f>IFERROR(INDEX('领用录入（明细）'!$B:$L,SMALL($B:$B,ROW(E136)),MATCH(G$7,$D$7:$L$7,0)),"")</f>
        <v/>
      </c>
      <c r="H142" s="60" t="str">
        <f>IFERROR(INDEX('领用录入（明细）'!$B:$L,SMALL($B:$B,ROW(F136)),MATCH(H$7,$D$7:$L$7,0)),"")</f>
        <v/>
      </c>
      <c r="I142" s="60" t="str">
        <f>IFERROR(INDEX('领用录入（明细）'!$B:$L,SMALL($B:$B,ROW(G136)),MATCH(I$7,$D$7:$L$7,0)),"")</f>
        <v/>
      </c>
      <c r="J142" s="60" t="str">
        <f>IFERROR(INDEX('领用录入（明细）'!$B:$L,SMALL($B:$B,ROW(H136)),MATCH(J$7,$D$7:$L$7,0)),"")</f>
        <v/>
      </c>
      <c r="K142" s="60" t="str">
        <f>IFERROR(INDEX('领用录入（明细）'!$B:$L,SMALL($B:$B,ROW(I136)),MATCH(K$7,$D$7:$L$7,0)),"")</f>
        <v/>
      </c>
      <c r="L142" s="60" t="str">
        <f>IFERROR(INDEX('领用录入（明细）'!$B:$L,SMALL($B:$B,ROW(J136)),MATCH(L$7,$D$7:$L$7,0)),"")</f>
        <v/>
      </c>
      <c r="M142" s="60" t="str">
        <f t="shared" si="2"/>
        <v/>
      </c>
    </row>
    <row r="143" customHeight="1" spans="2:13">
      <c r="B143" s="62" t="str">
        <f>IF(AND('领用录入（明细）'!D:D=$F$4,'领用录入（明细）'!C:C&gt;=$J$4,'领用录入（明细）'!C:C&lt;=$L$4),ROW(),"-")</f>
        <v>-</v>
      </c>
      <c r="D143" s="59" t="str">
        <f>IFERROR(INDEX('领用录入（明细）'!$B:$L,SMALL($B:$B,ROW(B137)),MATCH(D$7,$D$7:$L$7,0)),"")</f>
        <v/>
      </c>
      <c r="E143" s="114" t="str">
        <f>IFERROR(INDEX('领用录入（明细）'!$B:$L,SMALL($B:$B,ROW(C137)),MATCH(E$7,$D$7:$L$7,0)),"")</f>
        <v/>
      </c>
      <c r="F143" s="60" t="str">
        <f>IFERROR(INDEX('领用录入（明细）'!$B:$L,SMALL($B:$B,ROW(D137)),MATCH(F$7,$D$7:$L$7,0)),"")</f>
        <v/>
      </c>
      <c r="G143" s="60" t="str">
        <f>IFERROR(INDEX('领用录入（明细）'!$B:$L,SMALL($B:$B,ROW(E137)),MATCH(G$7,$D$7:$L$7,0)),"")</f>
        <v/>
      </c>
      <c r="H143" s="60" t="str">
        <f>IFERROR(INDEX('领用录入（明细）'!$B:$L,SMALL($B:$B,ROW(F137)),MATCH(H$7,$D$7:$L$7,0)),"")</f>
        <v/>
      </c>
      <c r="I143" s="60" t="str">
        <f>IFERROR(INDEX('领用录入（明细）'!$B:$L,SMALL($B:$B,ROW(G137)),MATCH(I$7,$D$7:$L$7,0)),"")</f>
        <v/>
      </c>
      <c r="J143" s="60" t="str">
        <f>IFERROR(INDEX('领用录入（明细）'!$B:$L,SMALL($B:$B,ROW(H137)),MATCH(J$7,$D$7:$L$7,0)),"")</f>
        <v/>
      </c>
      <c r="K143" s="60" t="str">
        <f>IFERROR(INDEX('领用录入（明细）'!$B:$L,SMALL($B:$B,ROW(I137)),MATCH(K$7,$D$7:$L$7,0)),"")</f>
        <v/>
      </c>
      <c r="L143" s="60" t="str">
        <f>IFERROR(INDEX('领用录入（明细）'!$B:$L,SMALL($B:$B,ROW(J137)),MATCH(L$7,$D$7:$L$7,0)),"")</f>
        <v/>
      </c>
      <c r="M143" s="60" t="str">
        <f t="shared" si="2"/>
        <v/>
      </c>
    </row>
    <row r="144" customHeight="1" spans="2:13">
      <c r="B144" s="62" t="str">
        <f>IF(AND('领用录入（明细）'!D:D=$F$4,'领用录入（明细）'!C:C&gt;=$J$4,'领用录入（明细）'!C:C&lt;=$L$4),ROW(),"-")</f>
        <v>-</v>
      </c>
      <c r="D144" s="59" t="str">
        <f>IFERROR(INDEX('领用录入（明细）'!$B:$L,SMALL($B:$B,ROW(B138)),MATCH(D$7,$D$7:$L$7,0)),"")</f>
        <v/>
      </c>
      <c r="E144" s="114" t="str">
        <f>IFERROR(INDEX('领用录入（明细）'!$B:$L,SMALL($B:$B,ROW(C138)),MATCH(E$7,$D$7:$L$7,0)),"")</f>
        <v/>
      </c>
      <c r="F144" s="60" t="str">
        <f>IFERROR(INDEX('领用录入（明细）'!$B:$L,SMALL($B:$B,ROW(D138)),MATCH(F$7,$D$7:$L$7,0)),"")</f>
        <v/>
      </c>
      <c r="G144" s="60" t="str">
        <f>IFERROR(INDEX('领用录入（明细）'!$B:$L,SMALL($B:$B,ROW(E138)),MATCH(G$7,$D$7:$L$7,0)),"")</f>
        <v/>
      </c>
      <c r="H144" s="60" t="str">
        <f>IFERROR(INDEX('领用录入（明细）'!$B:$L,SMALL($B:$B,ROW(F138)),MATCH(H$7,$D$7:$L$7,0)),"")</f>
        <v/>
      </c>
      <c r="I144" s="60" t="str">
        <f>IFERROR(INDEX('领用录入（明细）'!$B:$L,SMALL($B:$B,ROW(G138)),MATCH(I$7,$D$7:$L$7,0)),"")</f>
        <v/>
      </c>
      <c r="J144" s="60" t="str">
        <f>IFERROR(INDEX('领用录入（明细）'!$B:$L,SMALL($B:$B,ROW(H138)),MATCH(J$7,$D$7:$L$7,0)),"")</f>
        <v/>
      </c>
      <c r="K144" s="60" t="str">
        <f>IFERROR(INDEX('领用录入（明细）'!$B:$L,SMALL($B:$B,ROW(I138)),MATCH(K$7,$D$7:$L$7,0)),"")</f>
        <v/>
      </c>
      <c r="L144" s="60" t="str">
        <f>IFERROR(INDEX('领用录入（明细）'!$B:$L,SMALL($B:$B,ROW(J138)),MATCH(L$7,$D$7:$L$7,0)),"")</f>
        <v/>
      </c>
      <c r="M144" s="60" t="str">
        <f t="shared" si="2"/>
        <v/>
      </c>
    </row>
    <row r="145" customHeight="1" spans="2:13">
      <c r="B145" s="62" t="str">
        <f>IF(AND('领用录入（明细）'!D:D=$F$4,'领用录入（明细）'!C:C&gt;=$J$4,'领用录入（明细）'!C:C&lt;=$L$4),ROW(),"-")</f>
        <v>-</v>
      </c>
      <c r="D145" s="59" t="str">
        <f>IFERROR(INDEX('领用录入（明细）'!$B:$L,SMALL($B:$B,ROW(B139)),MATCH(D$7,$D$7:$L$7,0)),"")</f>
        <v/>
      </c>
      <c r="E145" s="114" t="str">
        <f>IFERROR(INDEX('领用录入（明细）'!$B:$L,SMALL($B:$B,ROW(C139)),MATCH(E$7,$D$7:$L$7,0)),"")</f>
        <v/>
      </c>
      <c r="F145" s="60" t="str">
        <f>IFERROR(INDEX('领用录入（明细）'!$B:$L,SMALL($B:$B,ROW(D139)),MATCH(F$7,$D$7:$L$7,0)),"")</f>
        <v/>
      </c>
      <c r="G145" s="60" t="str">
        <f>IFERROR(INDEX('领用录入（明细）'!$B:$L,SMALL($B:$B,ROW(E139)),MATCH(G$7,$D$7:$L$7,0)),"")</f>
        <v/>
      </c>
      <c r="H145" s="60" t="str">
        <f>IFERROR(INDEX('领用录入（明细）'!$B:$L,SMALL($B:$B,ROW(F139)),MATCH(H$7,$D$7:$L$7,0)),"")</f>
        <v/>
      </c>
      <c r="I145" s="60" t="str">
        <f>IFERROR(INDEX('领用录入（明细）'!$B:$L,SMALL($B:$B,ROW(G139)),MATCH(I$7,$D$7:$L$7,0)),"")</f>
        <v/>
      </c>
      <c r="J145" s="60" t="str">
        <f>IFERROR(INDEX('领用录入（明细）'!$B:$L,SMALL($B:$B,ROW(H139)),MATCH(J$7,$D$7:$L$7,0)),"")</f>
        <v/>
      </c>
      <c r="K145" s="60" t="str">
        <f>IFERROR(INDEX('领用录入（明细）'!$B:$L,SMALL($B:$B,ROW(I139)),MATCH(K$7,$D$7:$L$7,0)),"")</f>
        <v/>
      </c>
      <c r="L145" s="60" t="str">
        <f>IFERROR(INDEX('领用录入（明细）'!$B:$L,SMALL($B:$B,ROW(J139)),MATCH(L$7,$D$7:$L$7,0)),"")</f>
        <v/>
      </c>
      <c r="M145" s="60" t="str">
        <f t="shared" si="2"/>
        <v/>
      </c>
    </row>
    <row r="146" customHeight="1" spans="2:13">
      <c r="B146" s="62" t="str">
        <f>IF(AND('领用录入（明细）'!D:D=$F$4,'领用录入（明细）'!C:C&gt;=$J$4,'领用录入（明细）'!C:C&lt;=$L$4),ROW(),"-")</f>
        <v>-</v>
      </c>
      <c r="D146" s="59" t="str">
        <f>IFERROR(INDEX('领用录入（明细）'!$B:$L,SMALL($B:$B,ROW(B140)),MATCH(D$7,$D$7:$L$7,0)),"")</f>
        <v/>
      </c>
      <c r="E146" s="114" t="str">
        <f>IFERROR(INDEX('领用录入（明细）'!$B:$L,SMALL($B:$B,ROW(C140)),MATCH(E$7,$D$7:$L$7,0)),"")</f>
        <v/>
      </c>
      <c r="F146" s="60" t="str">
        <f>IFERROR(INDEX('领用录入（明细）'!$B:$L,SMALL($B:$B,ROW(D140)),MATCH(F$7,$D$7:$L$7,0)),"")</f>
        <v/>
      </c>
      <c r="G146" s="60" t="str">
        <f>IFERROR(INDEX('领用录入（明细）'!$B:$L,SMALL($B:$B,ROW(E140)),MATCH(G$7,$D$7:$L$7,0)),"")</f>
        <v/>
      </c>
      <c r="H146" s="60" t="str">
        <f>IFERROR(INDEX('领用录入（明细）'!$B:$L,SMALL($B:$B,ROW(F140)),MATCH(H$7,$D$7:$L$7,0)),"")</f>
        <v/>
      </c>
      <c r="I146" s="60" t="str">
        <f>IFERROR(INDEX('领用录入（明细）'!$B:$L,SMALL($B:$B,ROW(G140)),MATCH(I$7,$D$7:$L$7,0)),"")</f>
        <v/>
      </c>
      <c r="J146" s="60" t="str">
        <f>IFERROR(INDEX('领用录入（明细）'!$B:$L,SMALL($B:$B,ROW(H140)),MATCH(J$7,$D$7:$L$7,0)),"")</f>
        <v/>
      </c>
      <c r="K146" s="60" t="str">
        <f>IFERROR(INDEX('领用录入（明细）'!$B:$L,SMALL($B:$B,ROW(I140)),MATCH(K$7,$D$7:$L$7,0)),"")</f>
        <v/>
      </c>
      <c r="L146" s="60" t="str">
        <f>IFERROR(INDEX('领用录入（明细）'!$B:$L,SMALL($B:$B,ROW(J140)),MATCH(L$7,$D$7:$L$7,0)),"")</f>
        <v/>
      </c>
      <c r="M146" s="60" t="str">
        <f t="shared" si="2"/>
        <v/>
      </c>
    </row>
    <row r="147" customHeight="1" spans="2:13">
      <c r="B147" s="62" t="str">
        <f>IF(AND('领用录入（明细）'!D:D=$F$4,'领用录入（明细）'!C:C&gt;=$J$4,'领用录入（明细）'!C:C&lt;=$L$4),ROW(),"-")</f>
        <v>-</v>
      </c>
      <c r="D147" s="59" t="str">
        <f>IFERROR(INDEX('领用录入（明细）'!$B:$L,SMALL($B:$B,ROW(B141)),MATCH(D$7,$D$7:$L$7,0)),"")</f>
        <v/>
      </c>
      <c r="E147" s="114" t="str">
        <f>IFERROR(INDEX('领用录入（明细）'!$B:$L,SMALL($B:$B,ROW(C141)),MATCH(E$7,$D$7:$L$7,0)),"")</f>
        <v/>
      </c>
      <c r="F147" s="60" t="str">
        <f>IFERROR(INDEX('领用录入（明细）'!$B:$L,SMALL($B:$B,ROW(D141)),MATCH(F$7,$D$7:$L$7,0)),"")</f>
        <v/>
      </c>
      <c r="G147" s="60" t="str">
        <f>IFERROR(INDEX('领用录入（明细）'!$B:$L,SMALL($B:$B,ROW(E141)),MATCH(G$7,$D$7:$L$7,0)),"")</f>
        <v/>
      </c>
      <c r="H147" s="60" t="str">
        <f>IFERROR(INDEX('领用录入（明细）'!$B:$L,SMALL($B:$B,ROW(F141)),MATCH(H$7,$D$7:$L$7,0)),"")</f>
        <v/>
      </c>
      <c r="I147" s="60" t="str">
        <f>IFERROR(INDEX('领用录入（明细）'!$B:$L,SMALL($B:$B,ROW(G141)),MATCH(I$7,$D$7:$L$7,0)),"")</f>
        <v/>
      </c>
      <c r="J147" s="60" t="str">
        <f>IFERROR(INDEX('领用录入（明细）'!$B:$L,SMALL($B:$B,ROW(H141)),MATCH(J$7,$D$7:$L$7,0)),"")</f>
        <v/>
      </c>
      <c r="K147" s="60" t="str">
        <f>IFERROR(INDEX('领用录入（明细）'!$B:$L,SMALL($B:$B,ROW(I141)),MATCH(K$7,$D$7:$L$7,0)),"")</f>
        <v/>
      </c>
      <c r="L147" s="60" t="str">
        <f>IFERROR(INDEX('领用录入（明细）'!$B:$L,SMALL($B:$B,ROW(J141)),MATCH(L$7,$D$7:$L$7,0)),"")</f>
        <v/>
      </c>
      <c r="M147" s="60" t="str">
        <f t="shared" si="2"/>
        <v/>
      </c>
    </row>
    <row r="148" customHeight="1" spans="2:13">
      <c r="B148" s="62" t="str">
        <f>IF(AND('领用录入（明细）'!D:D=$F$4,'领用录入（明细）'!C:C&gt;=$J$4,'领用录入（明细）'!C:C&lt;=$L$4),ROW(),"-")</f>
        <v>-</v>
      </c>
      <c r="D148" s="59" t="str">
        <f>IFERROR(INDEX('领用录入（明细）'!$B:$L,SMALL($B:$B,ROW(B142)),MATCH(D$7,$D$7:$L$7,0)),"")</f>
        <v/>
      </c>
      <c r="E148" s="114" t="str">
        <f>IFERROR(INDEX('领用录入（明细）'!$B:$L,SMALL($B:$B,ROW(C142)),MATCH(E$7,$D$7:$L$7,0)),"")</f>
        <v/>
      </c>
      <c r="F148" s="60" t="str">
        <f>IFERROR(INDEX('领用录入（明细）'!$B:$L,SMALL($B:$B,ROW(D142)),MATCH(F$7,$D$7:$L$7,0)),"")</f>
        <v/>
      </c>
      <c r="G148" s="60" t="str">
        <f>IFERROR(INDEX('领用录入（明细）'!$B:$L,SMALL($B:$B,ROW(E142)),MATCH(G$7,$D$7:$L$7,0)),"")</f>
        <v/>
      </c>
      <c r="H148" s="60" t="str">
        <f>IFERROR(INDEX('领用录入（明细）'!$B:$L,SMALL($B:$B,ROW(F142)),MATCH(H$7,$D$7:$L$7,0)),"")</f>
        <v/>
      </c>
      <c r="I148" s="60" t="str">
        <f>IFERROR(INDEX('领用录入（明细）'!$B:$L,SMALL($B:$B,ROW(G142)),MATCH(I$7,$D$7:$L$7,0)),"")</f>
        <v/>
      </c>
      <c r="J148" s="60" t="str">
        <f>IFERROR(INDEX('领用录入（明细）'!$B:$L,SMALL($B:$B,ROW(H142)),MATCH(J$7,$D$7:$L$7,0)),"")</f>
        <v/>
      </c>
      <c r="K148" s="60" t="str">
        <f>IFERROR(INDEX('领用录入（明细）'!$B:$L,SMALL($B:$B,ROW(I142)),MATCH(K$7,$D$7:$L$7,0)),"")</f>
        <v/>
      </c>
      <c r="L148" s="60" t="str">
        <f>IFERROR(INDEX('领用录入（明细）'!$B:$L,SMALL($B:$B,ROW(J142)),MATCH(L$7,$D$7:$L$7,0)),"")</f>
        <v/>
      </c>
      <c r="M148" s="60" t="str">
        <f t="shared" si="2"/>
        <v/>
      </c>
    </row>
    <row r="149" customHeight="1" spans="2:13">
      <c r="B149" s="62" t="str">
        <f>IF(AND('领用录入（明细）'!D:D=$F$4,'领用录入（明细）'!C:C&gt;=$J$4,'领用录入（明细）'!C:C&lt;=$L$4),ROW(),"-")</f>
        <v>-</v>
      </c>
      <c r="D149" s="59" t="str">
        <f>IFERROR(INDEX('领用录入（明细）'!$B:$L,SMALL($B:$B,ROW(B143)),MATCH(D$7,$D$7:$L$7,0)),"")</f>
        <v/>
      </c>
      <c r="E149" s="114" t="str">
        <f>IFERROR(INDEX('领用录入（明细）'!$B:$L,SMALL($B:$B,ROW(C143)),MATCH(E$7,$D$7:$L$7,0)),"")</f>
        <v/>
      </c>
      <c r="F149" s="60" t="str">
        <f>IFERROR(INDEX('领用录入（明细）'!$B:$L,SMALL($B:$B,ROW(D143)),MATCH(F$7,$D$7:$L$7,0)),"")</f>
        <v/>
      </c>
      <c r="G149" s="60" t="str">
        <f>IFERROR(INDEX('领用录入（明细）'!$B:$L,SMALL($B:$B,ROW(E143)),MATCH(G$7,$D$7:$L$7,0)),"")</f>
        <v/>
      </c>
      <c r="H149" s="60" t="str">
        <f>IFERROR(INDEX('领用录入（明细）'!$B:$L,SMALL($B:$B,ROW(F143)),MATCH(H$7,$D$7:$L$7,0)),"")</f>
        <v/>
      </c>
      <c r="I149" s="60" t="str">
        <f>IFERROR(INDEX('领用录入（明细）'!$B:$L,SMALL($B:$B,ROW(G143)),MATCH(I$7,$D$7:$L$7,0)),"")</f>
        <v/>
      </c>
      <c r="J149" s="60" t="str">
        <f>IFERROR(INDEX('领用录入（明细）'!$B:$L,SMALL($B:$B,ROW(H143)),MATCH(J$7,$D$7:$L$7,0)),"")</f>
        <v/>
      </c>
      <c r="K149" s="60" t="str">
        <f>IFERROR(INDEX('领用录入（明细）'!$B:$L,SMALL($B:$B,ROW(I143)),MATCH(K$7,$D$7:$L$7,0)),"")</f>
        <v/>
      </c>
      <c r="L149" s="60" t="str">
        <f>IFERROR(INDEX('领用录入（明细）'!$B:$L,SMALL($B:$B,ROW(J143)),MATCH(L$7,$D$7:$L$7,0)),"")</f>
        <v/>
      </c>
      <c r="M149" s="60" t="str">
        <f t="shared" si="2"/>
        <v/>
      </c>
    </row>
    <row r="150" customHeight="1" spans="2:13">
      <c r="B150" s="62">
        <f>IF(AND('领用录入（明细）'!D:D=$F$4,'领用录入（明细）'!C:C&gt;=$J$4,'领用录入（明细）'!C:C&lt;=$L$4),ROW(),"-")</f>
        <v>150</v>
      </c>
      <c r="D150" s="59" t="str">
        <f>IFERROR(INDEX('领用录入（明细）'!$B:$L,SMALL($B:$B,ROW(B144)),MATCH(D$7,$D$7:$L$7,0)),"")</f>
        <v/>
      </c>
      <c r="E150" s="114" t="str">
        <f>IFERROR(INDEX('领用录入（明细）'!$B:$L,SMALL($B:$B,ROW(C144)),MATCH(E$7,$D$7:$L$7,0)),"")</f>
        <v/>
      </c>
      <c r="F150" s="60" t="str">
        <f>IFERROR(INDEX('领用录入（明细）'!$B:$L,SMALL($B:$B,ROW(D144)),MATCH(F$7,$D$7:$L$7,0)),"")</f>
        <v/>
      </c>
      <c r="G150" s="60" t="str">
        <f>IFERROR(INDEX('领用录入（明细）'!$B:$L,SMALL($B:$B,ROW(E144)),MATCH(G$7,$D$7:$L$7,0)),"")</f>
        <v/>
      </c>
      <c r="H150" s="60" t="str">
        <f>IFERROR(INDEX('领用录入（明细）'!$B:$L,SMALL($B:$B,ROW(F144)),MATCH(H$7,$D$7:$L$7,0)),"")</f>
        <v/>
      </c>
      <c r="I150" s="60" t="str">
        <f>IFERROR(INDEX('领用录入（明细）'!$B:$L,SMALL($B:$B,ROW(G144)),MATCH(I$7,$D$7:$L$7,0)),"")</f>
        <v/>
      </c>
      <c r="J150" s="60" t="str">
        <f>IFERROR(INDEX('领用录入（明细）'!$B:$L,SMALL($B:$B,ROW(H144)),MATCH(J$7,$D$7:$L$7,0)),"")</f>
        <v/>
      </c>
      <c r="K150" s="60" t="str">
        <f>IFERROR(INDEX('领用录入（明细）'!$B:$L,SMALL($B:$B,ROW(I144)),MATCH(K$7,$D$7:$L$7,0)),"")</f>
        <v/>
      </c>
      <c r="L150" s="60" t="str">
        <f>IFERROR(INDEX('领用录入（明细）'!$B:$L,SMALL($B:$B,ROW(J144)),MATCH(L$7,$D$7:$L$7,0)),"")</f>
        <v/>
      </c>
      <c r="M150" s="60" t="str">
        <f t="shared" si="2"/>
        <v/>
      </c>
    </row>
    <row r="151" customHeight="1" spans="2:13">
      <c r="B151" s="62">
        <f>IF(AND('领用录入（明细）'!D:D=$F$4,'领用录入（明细）'!C:C&gt;=$J$4,'领用录入（明细）'!C:C&lt;=$L$4),ROW(),"-")</f>
        <v>151</v>
      </c>
      <c r="D151" s="59" t="str">
        <f>IFERROR(INDEX('领用录入（明细）'!$B:$L,SMALL($B:$B,ROW(B145)),MATCH(D$7,$D$7:$L$7,0)),"")</f>
        <v/>
      </c>
      <c r="E151" s="114" t="str">
        <f>IFERROR(INDEX('领用录入（明细）'!$B:$L,SMALL($B:$B,ROW(C145)),MATCH(E$7,$D$7:$L$7,0)),"")</f>
        <v/>
      </c>
      <c r="F151" s="60" t="str">
        <f>IFERROR(INDEX('领用录入（明细）'!$B:$L,SMALL($B:$B,ROW(D145)),MATCH(F$7,$D$7:$L$7,0)),"")</f>
        <v/>
      </c>
      <c r="G151" s="60" t="str">
        <f>IFERROR(INDEX('领用录入（明细）'!$B:$L,SMALL($B:$B,ROW(E145)),MATCH(G$7,$D$7:$L$7,0)),"")</f>
        <v/>
      </c>
      <c r="H151" s="60" t="str">
        <f>IFERROR(INDEX('领用录入（明细）'!$B:$L,SMALL($B:$B,ROW(F145)),MATCH(H$7,$D$7:$L$7,0)),"")</f>
        <v/>
      </c>
      <c r="I151" s="60" t="str">
        <f>IFERROR(INDEX('领用录入（明细）'!$B:$L,SMALL($B:$B,ROW(G145)),MATCH(I$7,$D$7:$L$7,0)),"")</f>
        <v/>
      </c>
      <c r="J151" s="60" t="str">
        <f>IFERROR(INDEX('领用录入（明细）'!$B:$L,SMALL($B:$B,ROW(H145)),MATCH(J$7,$D$7:$L$7,0)),"")</f>
        <v/>
      </c>
      <c r="K151" s="60" t="str">
        <f>IFERROR(INDEX('领用录入（明细）'!$B:$L,SMALL($B:$B,ROW(I145)),MATCH(K$7,$D$7:$L$7,0)),"")</f>
        <v/>
      </c>
      <c r="L151" s="60" t="str">
        <f>IFERROR(INDEX('领用录入（明细）'!$B:$L,SMALL($B:$B,ROW(J145)),MATCH(L$7,$D$7:$L$7,0)),"")</f>
        <v/>
      </c>
      <c r="M151" s="60" t="str">
        <f t="shared" si="2"/>
        <v/>
      </c>
    </row>
    <row r="152" customHeight="1" spans="2:13">
      <c r="B152" s="62">
        <f>IF(AND('领用录入（明细）'!D:D=$F$4,'领用录入（明细）'!C:C&gt;=$J$4,'领用录入（明细）'!C:C&lt;=$L$4),ROW(),"-")</f>
        <v>152</v>
      </c>
      <c r="D152" s="59" t="str">
        <f>IFERROR(INDEX('领用录入（明细）'!$B:$L,SMALL($B:$B,ROW(B146)),MATCH(D$7,$D$7:$L$7,0)),"")</f>
        <v/>
      </c>
      <c r="E152" s="114" t="str">
        <f>IFERROR(INDEX('领用录入（明细）'!$B:$L,SMALL($B:$B,ROW(C146)),MATCH(E$7,$D$7:$L$7,0)),"")</f>
        <v/>
      </c>
      <c r="F152" s="60" t="str">
        <f>IFERROR(INDEX('领用录入（明细）'!$B:$L,SMALL($B:$B,ROW(D146)),MATCH(F$7,$D$7:$L$7,0)),"")</f>
        <v/>
      </c>
      <c r="G152" s="60" t="str">
        <f>IFERROR(INDEX('领用录入（明细）'!$B:$L,SMALL($B:$B,ROW(E146)),MATCH(G$7,$D$7:$L$7,0)),"")</f>
        <v/>
      </c>
      <c r="H152" s="60" t="str">
        <f>IFERROR(INDEX('领用录入（明细）'!$B:$L,SMALL($B:$B,ROW(F146)),MATCH(H$7,$D$7:$L$7,0)),"")</f>
        <v/>
      </c>
      <c r="I152" s="60" t="str">
        <f>IFERROR(INDEX('领用录入（明细）'!$B:$L,SMALL($B:$B,ROW(G146)),MATCH(I$7,$D$7:$L$7,0)),"")</f>
        <v/>
      </c>
      <c r="J152" s="60" t="str">
        <f>IFERROR(INDEX('领用录入（明细）'!$B:$L,SMALL($B:$B,ROW(H146)),MATCH(J$7,$D$7:$L$7,0)),"")</f>
        <v/>
      </c>
      <c r="K152" s="60" t="str">
        <f>IFERROR(INDEX('领用录入（明细）'!$B:$L,SMALL($B:$B,ROW(I146)),MATCH(K$7,$D$7:$L$7,0)),"")</f>
        <v/>
      </c>
      <c r="L152" s="60" t="str">
        <f>IFERROR(INDEX('领用录入（明细）'!$B:$L,SMALL($B:$B,ROW(J146)),MATCH(L$7,$D$7:$L$7,0)),"")</f>
        <v/>
      </c>
      <c r="M152" s="60" t="str">
        <f t="shared" si="2"/>
        <v/>
      </c>
    </row>
    <row r="153" customHeight="1" spans="2:13">
      <c r="B153" s="62" t="str">
        <f>IF(AND('领用录入（明细）'!D:D=$F$4,'领用录入（明细）'!C:C&gt;=$J$4,'领用录入（明细）'!C:C&lt;=$L$4),ROW(),"-")</f>
        <v>-</v>
      </c>
      <c r="D153" s="59" t="str">
        <f>IFERROR(INDEX('领用录入（明细）'!$B:$L,SMALL($B:$B,ROW(B147)),MATCH(D$7,$D$7:$L$7,0)),"")</f>
        <v/>
      </c>
      <c r="E153" s="114" t="str">
        <f>IFERROR(INDEX('领用录入（明细）'!$B:$L,SMALL($B:$B,ROW(C147)),MATCH(E$7,$D$7:$L$7,0)),"")</f>
        <v/>
      </c>
      <c r="F153" s="60" t="str">
        <f>IFERROR(INDEX('领用录入（明细）'!$B:$L,SMALL($B:$B,ROW(D147)),MATCH(F$7,$D$7:$L$7,0)),"")</f>
        <v/>
      </c>
      <c r="G153" s="60" t="str">
        <f>IFERROR(INDEX('领用录入（明细）'!$B:$L,SMALL($B:$B,ROW(E147)),MATCH(G$7,$D$7:$L$7,0)),"")</f>
        <v/>
      </c>
      <c r="H153" s="60" t="str">
        <f>IFERROR(INDEX('领用录入（明细）'!$B:$L,SMALL($B:$B,ROW(F147)),MATCH(H$7,$D$7:$L$7,0)),"")</f>
        <v/>
      </c>
      <c r="I153" s="60" t="str">
        <f>IFERROR(INDEX('领用录入（明细）'!$B:$L,SMALL($B:$B,ROW(G147)),MATCH(I$7,$D$7:$L$7,0)),"")</f>
        <v/>
      </c>
      <c r="J153" s="60" t="str">
        <f>IFERROR(INDEX('领用录入（明细）'!$B:$L,SMALL($B:$B,ROW(H147)),MATCH(J$7,$D$7:$L$7,0)),"")</f>
        <v/>
      </c>
      <c r="K153" s="60" t="str">
        <f>IFERROR(INDEX('领用录入（明细）'!$B:$L,SMALL($B:$B,ROW(I147)),MATCH(K$7,$D$7:$L$7,0)),"")</f>
        <v/>
      </c>
      <c r="L153" s="60" t="str">
        <f>IFERROR(INDEX('领用录入（明细）'!$B:$L,SMALL($B:$B,ROW(J147)),MATCH(L$7,$D$7:$L$7,0)),"")</f>
        <v/>
      </c>
      <c r="M153" s="60" t="str">
        <f t="shared" si="2"/>
        <v/>
      </c>
    </row>
    <row r="154" customHeight="1" spans="2:13">
      <c r="B154" s="62" t="str">
        <f>IF(AND('领用录入（明细）'!D:D=$F$4,'领用录入（明细）'!C:C&gt;=$J$4,'领用录入（明细）'!C:C&lt;=$L$4),ROW(),"-")</f>
        <v>-</v>
      </c>
      <c r="D154" s="59" t="str">
        <f>IFERROR(INDEX('领用录入（明细）'!$B:$L,SMALL($B:$B,ROW(B148)),MATCH(D$7,$D$7:$L$7,0)),"")</f>
        <v/>
      </c>
      <c r="E154" s="114" t="str">
        <f>IFERROR(INDEX('领用录入（明细）'!$B:$L,SMALL($B:$B,ROW(C148)),MATCH(E$7,$D$7:$L$7,0)),"")</f>
        <v/>
      </c>
      <c r="F154" s="60" t="str">
        <f>IFERROR(INDEX('领用录入（明细）'!$B:$L,SMALL($B:$B,ROW(D148)),MATCH(F$7,$D$7:$L$7,0)),"")</f>
        <v/>
      </c>
      <c r="G154" s="60" t="str">
        <f>IFERROR(INDEX('领用录入（明细）'!$B:$L,SMALL($B:$B,ROW(E148)),MATCH(G$7,$D$7:$L$7,0)),"")</f>
        <v/>
      </c>
      <c r="H154" s="60" t="str">
        <f>IFERROR(INDEX('领用录入（明细）'!$B:$L,SMALL($B:$B,ROW(F148)),MATCH(H$7,$D$7:$L$7,0)),"")</f>
        <v/>
      </c>
      <c r="I154" s="60" t="str">
        <f>IFERROR(INDEX('领用录入（明细）'!$B:$L,SMALL($B:$B,ROW(G148)),MATCH(I$7,$D$7:$L$7,0)),"")</f>
        <v/>
      </c>
      <c r="J154" s="60" t="str">
        <f>IFERROR(INDEX('领用录入（明细）'!$B:$L,SMALL($B:$B,ROW(H148)),MATCH(J$7,$D$7:$L$7,0)),"")</f>
        <v/>
      </c>
      <c r="K154" s="60" t="str">
        <f>IFERROR(INDEX('领用录入（明细）'!$B:$L,SMALL($B:$B,ROW(I148)),MATCH(K$7,$D$7:$L$7,0)),"")</f>
        <v/>
      </c>
      <c r="L154" s="60" t="str">
        <f>IFERROR(INDEX('领用录入（明细）'!$B:$L,SMALL($B:$B,ROW(J148)),MATCH(L$7,$D$7:$L$7,0)),"")</f>
        <v/>
      </c>
      <c r="M154" s="60" t="str">
        <f t="shared" si="2"/>
        <v/>
      </c>
    </row>
    <row r="155" customHeight="1" spans="2:13">
      <c r="B155" s="62" t="str">
        <f>IF(AND('领用录入（明细）'!D:D=$F$4,'领用录入（明细）'!C:C&gt;=$J$4,'领用录入（明细）'!C:C&lt;=$L$4),ROW(),"-")</f>
        <v>-</v>
      </c>
      <c r="D155" s="59" t="str">
        <f>IFERROR(INDEX('领用录入（明细）'!$B:$L,SMALL($B:$B,ROW(B149)),MATCH(D$7,$D$7:$L$7,0)),"")</f>
        <v/>
      </c>
      <c r="E155" s="114" t="str">
        <f>IFERROR(INDEX('领用录入（明细）'!$B:$L,SMALL($B:$B,ROW(C149)),MATCH(E$7,$D$7:$L$7,0)),"")</f>
        <v/>
      </c>
      <c r="F155" s="60" t="str">
        <f>IFERROR(INDEX('领用录入（明细）'!$B:$L,SMALL($B:$B,ROW(D149)),MATCH(F$7,$D$7:$L$7,0)),"")</f>
        <v/>
      </c>
      <c r="G155" s="60" t="str">
        <f>IFERROR(INDEX('领用录入（明细）'!$B:$L,SMALL($B:$B,ROW(E149)),MATCH(G$7,$D$7:$L$7,0)),"")</f>
        <v/>
      </c>
      <c r="H155" s="60" t="str">
        <f>IFERROR(INDEX('领用录入（明细）'!$B:$L,SMALL($B:$B,ROW(F149)),MATCH(H$7,$D$7:$L$7,0)),"")</f>
        <v/>
      </c>
      <c r="I155" s="60" t="str">
        <f>IFERROR(INDEX('领用录入（明细）'!$B:$L,SMALL($B:$B,ROW(G149)),MATCH(I$7,$D$7:$L$7,0)),"")</f>
        <v/>
      </c>
      <c r="J155" s="60" t="str">
        <f>IFERROR(INDEX('领用录入（明细）'!$B:$L,SMALL($B:$B,ROW(H149)),MATCH(J$7,$D$7:$L$7,0)),"")</f>
        <v/>
      </c>
      <c r="K155" s="60" t="str">
        <f>IFERROR(INDEX('领用录入（明细）'!$B:$L,SMALL($B:$B,ROW(I149)),MATCH(K$7,$D$7:$L$7,0)),"")</f>
        <v/>
      </c>
      <c r="L155" s="60" t="str">
        <f>IFERROR(INDEX('领用录入（明细）'!$B:$L,SMALL($B:$B,ROW(J149)),MATCH(L$7,$D$7:$L$7,0)),"")</f>
        <v/>
      </c>
      <c r="M155" s="60" t="str">
        <f t="shared" si="2"/>
        <v/>
      </c>
    </row>
    <row r="156" customHeight="1" spans="2:13">
      <c r="B156" s="62" t="str">
        <f>IF(AND('领用录入（明细）'!D:D=$F$4,'领用录入（明细）'!C:C&gt;=$J$4,'领用录入（明细）'!C:C&lt;=$L$4),ROW(),"-")</f>
        <v>-</v>
      </c>
      <c r="D156" s="59" t="str">
        <f>IFERROR(INDEX('领用录入（明细）'!$B:$L,SMALL($B:$B,ROW(B150)),MATCH(D$7,$D$7:$L$7,0)),"")</f>
        <v/>
      </c>
      <c r="E156" s="114" t="str">
        <f>IFERROR(INDEX('领用录入（明细）'!$B:$L,SMALL($B:$B,ROW(C150)),MATCH(E$7,$D$7:$L$7,0)),"")</f>
        <v/>
      </c>
      <c r="F156" s="60" t="str">
        <f>IFERROR(INDEX('领用录入（明细）'!$B:$L,SMALL($B:$B,ROW(D150)),MATCH(F$7,$D$7:$L$7,0)),"")</f>
        <v/>
      </c>
      <c r="G156" s="60" t="str">
        <f>IFERROR(INDEX('领用录入（明细）'!$B:$L,SMALL($B:$B,ROW(E150)),MATCH(G$7,$D$7:$L$7,0)),"")</f>
        <v/>
      </c>
      <c r="H156" s="60" t="str">
        <f>IFERROR(INDEX('领用录入（明细）'!$B:$L,SMALL($B:$B,ROW(F150)),MATCH(H$7,$D$7:$L$7,0)),"")</f>
        <v/>
      </c>
      <c r="I156" s="60" t="str">
        <f>IFERROR(INDEX('领用录入（明细）'!$B:$L,SMALL($B:$B,ROW(G150)),MATCH(I$7,$D$7:$L$7,0)),"")</f>
        <v/>
      </c>
      <c r="J156" s="60" t="str">
        <f>IFERROR(INDEX('领用录入（明细）'!$B:$L,SMALL($B:$B,ROW(H150)),MATCH(J$7,$D$7:$L$7,0)),"")</f>
        <v/>
      </c>
      <c r="K156" s="60" t="str">
        <f>IFERROR(INDEX('领用录入（明细）'!$B:$L,SMALL($B:$B,ROW(I150)),MATCH(K$7,$D$7:$L$7,0)),"")</f>
        <v/>
      </c>
      <c r="L156" s="60" t="str">
        <f>IFERROR(INDEX('领用录入（明细）'!$B:$L,SMALL($B:$B,ROW(J150)),MATCH(L$7,$D$7:$L$7,0)),"")</f>
        <v/>
      </c>
      <c r="M156" s="60" t="str">
        <f t="shared" si="2"/>
        <v/>
      </c>
    </row>
    <row r="157" customHeight="1" spans="2:13">
      <c r="B157" s="62" t="str">
        <f>IF(AND('领用录入（明细）'!D:D=$F$4,'领用录入（明细）'!C:C&gt;=$J$4,'领用录入（明细）'!C:C&lt;=$L$4),ROW(),"-")</f>
        <v>-</v>
      </c>
      <c r="D157" s="59" t="str">
        <f>IFERROR(INDEX('领用录入（明细）'!$B:$L,SMALL($B:$B,ROW(B151)),MATCH(D$7,$D$7:$L$7,0)),"")</f>
        <v/>
      </c>
      <c r="E157" s="114" t="str">
        <f>IFERROR(INDEX('领用录入（明细）'!$B:$L,SMALL($B:$B,ROW(C151)),MATCH(E$7,$D$7:$L$7,0)),"")</f>
        <v/>
      </c>
      <c r="F157" s="60" t="str">
        <f>IFERROR(INDEX('领用录入（明细）'!$B:$L,SMALL($B:$B,ROW(D151)),MATCH(F$7,$D$7:$L$7,0)),"")</f>
        <v/>
      </c>
      <c r="G157" s="60" t="str">
        <f>IFERROR(INDEX('领用录入（明细）'!$B:$L,SMALL($B:$B,ROW(E151)),MATCH(G$7,$D$7:$L$7,0)),"")</f>
        <v/>
      </c>
      <c r="H157" s="60" t="str">
        <f>IFERROR(INDEX('领用录入（明细）'!$B:$L,SMALL($B:$B,ROW(F151)),MATCH(H$7,$D$7:$L$7,0)),"")</f>
        <v/>
      </c>
      <c r="I157" s="60" t="str">
        <f>IFERROR(INDEX('领用录入（明细）'!$B:$L,SMALL($B:$B,ROW(G151)),MATCH(I$7,$D$7:$L$7,0)),"")</f>
        <v/>
      </c>
      <c r="J157" s="60" t="str">
        <f>IFERROR(INDEX('领用录入（明细）'!$B:$L,SMALL($B:$B,ROW(H151)),MATCH(J$7,$D$7:$L$7,0)),"")</f>
        <v/>
      </c>
      <c r="K157" s="60" t="str">
        <f>IFERROR(INDEX('领用录入（明细）'!$B:$L,SMALL($B:$B,ROW(I151)),MATCH(K$7,$D$7:$L$7,0)),"")</f>
        <v/>
      </c>
      <c r="L157" s="60" t="str">
        <f>IFERROR(INDEX('领用录入（明细）'!$B:$L,SMALL($B:$B,ROW(J151)),MATCH(L$7,$D$7:$L$7,0)),"")</f>
        <v/>
      </c>
      <c r="M157" s="60" t="str">
        <f t="shared" si="2"/>
        <v/>
      </c>
    </row>
    <row r="158" customHeight="1" spans="2:13">
      <c r="B158" s="62" t="str">
        <f>IF(AND('领用录入（明细）'!D:D=$F$4,'领用录入（明细）'!C:C&gt;=$J$4,'领用录入（明细）'!C:C&lt;=$L$4),ROW(),"-")</f>
        <v>-</v>
      </c>
      <c r="D158" s="59" t="str">
        <f>IFERROR(INDEX('领用录入（明细）'!$B:$L,SMALL($B:$B,ROW(B152)),MATCH(D$7,$D$7:$L$7,0)),"")</f>
        <v/>
      </c>
      <c r="E158" s="114" t="str">
        <f>IFERROR(INDEX('领用录入（明细）'!$B:$L,SMALL($B:$B,ROW(C152)),MATCH(E$7,$D$7:$L$7,0)),"")</f>
        <v/>
      </c>
      <c r="F158" s="60" t="str">
        <f>IFERROR(INDEX('领用录入（明细）'!$B:$L,SMALL($B:$B,ROW(D152)),MATCH(F$7,$D$7:$L$7,0)),"")</f>
        <v/>
      </c>
      <c r="G158" s="60" t="str">
        <f>IFERROR(INDEX('领用录入（明细）'!$B:$L,SMALL($B:$B,ROW(E152)),MATCH(G$7,$D$7:$L$7,0)),"")</f>
        <v/>
      </c>
      <c r="H158" s="60" t="str">
        <f>IFERROR(INDEX('领用录入（明细）'!$B:$L,SMALL($B:$B,ROW(F152)),MATCH(H$7,$D$7:$L$7,0)),"")</f>
        <v/>
      </c>
      <c r="I158" s="60" t="str">
        <f>IFERROR(INDEX('领用录入（明细）'!$B:$L,SMALL($B:$B,ROW(G152)),MATCH(I$7,$D$7:$L$7,0)),"")</f>
        <v/>
      </c>
      <c r="J158" s="60" t="str">
        <f>IFERROR(INDEX('领用录入（明细）'!$B:$L,SMALL($B:$B,ROW(H152)),MATCH(J$7,$D$7:$L$7,0)),"")</f>
        <v/>
      </c>
      <c r="K158" s="60" t="str">
        <f>IFERROR(INDEX('领用录入（明细）'!$B:$L,SMALL($B:$B,ROW(I152)),MATCH(K$7,$D$7:$L$7,0)),"")</f>
        <v/>
      </c>
      <c r="L158" s="60" t="str">
        <f>IFERROR(INDEX('领用录入（明细）'!$B:$L,SMALL($B:$B,ROW(J152)),MATCH(L$7,$D$7:$L$7,0)),"")</f>
        <v/>
      </c>
      <c r="M158" s="60" t="str">
        <f t="shared" si="2"/>
        <v/>
      </c>
    </row>
    <row r="159" customHeight="1" spans="2:13">
      <c r="B159" s="62" t="str">
        <f>IF(AND('领用录入（明细）'!D:D=$F$4,'领用录入（明细）'!C:C&gt;=$J$4,'领用录入（明细）'!C:C&lt;=$L$4),ROW(),"-")</f>
        <v>-</v>
      </c>
      <c r="D159" s="59" t="str">
        <f>IFERROR(INDEX('领用录入（明细）'!$B:$L,SMALL($B:$B,ROW(B153)),MATCH(D$7,$D$7:$L$7,0)),"")</f>
        <v/>
      </c>
      <c r="E159" s="114" t="str">
        <f>IFERROR(INDEX('领用录入（明细）'!$B:$L,SMALL($B:$B,ROW(C153)),MATCH(E$7,$D$7:$L$7,0)),"")</f>
        <v/>
      </c>
      <c r="F159" s="60" t="str">
        <f>IFERROR(INDEX('领用录入（明细）'!$B:$L,SMALL($B:$B,ROW(D153)),MATCH(F$7,$D$7:$L$7,0)),"")</f>
        <v/>
      </c>
      <c r="G159" s="60" t="str">
        <f>IFERROR(INDEX('领用录入（明细）'!$B:$L,SMALL($B:$B,ROW(E153)),MATCH(G$7,$D$7:$L$7,0)),"")</f>
        <v/>
      </c>
      <c r="H159" s="60" t="str">
        <f>IFERROR(INDEX('领用录入（明细）'!$B:$L,SMALL($B:$B,ROW(F153)),MATCH(H$7,$D$7:$L$7,0)),"")</f>
        <v/>
      </c>
      <c r="I159" s="60" t="str">
        <f>IFERROR(INDEX('领用录入（明细）'!$B:$L,SMALL($B:$B,ROW(G153)),MATCH(I$7,$D$7:$L$7,0)),"")</f>
        <v/>
      </c>
      <c r="J159" s="60" t="str">
        <f>IFERROR(INDEX('领用录入（明细）'!$B:$L,SMALL($B:$B,ROW(H153)),MATCH(J$7,$D$7:$L$7,0)),"")</f>
        <v/>
      </c>
      <c r="K159" s="60" t="str">
        <f>IFERROR(INDEX('领用录入（明细）'!$B:$L,SMALL($B:$B,ROW(I153)),MATCH(K$7,$D$7:$L$7,0)),"")</f>
        <v/>
      </c>
      <c r="L159" s="60" t="str">
        <f>IFERROR(INDEX('领用录入（明细）'!$B:$L,SMALL($B:$B,ROW(J153)),MATCH(L$7,$D$7:$L$7,0)),"")</f>
        <v/>
      </c>
      <c r="M159" s="60" t="str">
        <f t="shared" si="2"/>
        <v/>
      </c>
    </row>
    <row r="160" customHeight="1" spans="2:13">
      <c r="B160" s="62" t="str">
        <f>IF(AND('领用录入（明细）'!D:D=$F$4,'领用录入（明细）'!C:C&gt;=$J$4,'领用录入（明细）'!C:C&lt;=$L$4),ROW(),"-")</f>
        <v>-</v>
      </c>
      <c r="D160" s="59" t="str">
        <f>IFERROR(INDEX('领用录入（明细）'!$B:$L,SMALL($B:$B,ROW(B154)),MATCH(D$7,$D$7:$L$7,0)),"")</f>
        <v/>
      </c>
      <c r="E160" s="114" t="str">
        <f>IFERROR(INDEX('领用录入（明细）'!$B:$L,SMALL($B:$B,ROW(C154)),MATCH(E$7,$D$7:$L$7,0)),"")</f>
        <v/>
      </c>
      <c r="F160" s="60" t="str">
        <f>IFERROR(INDEX('领用录入（明细）'!$B:$L,SMALL($B:$B,ROW(D154)),MATCH(F$7,$D$7:$L$7,0)),"")</f>
        <v/>
      </c>
      <c r="G160" s="60" t="str">
        <f>IFERROR(INDEX('领用录入（明细）'!$B:$L,SMALL($B:$B,ROW(E154)),MATCH(G$7,$D$7:$L$7,0)),"")</f>
        <v/>
      </c>
      <c r="H160" s="60" t="str">
        <f>IFERROR(INDEX('领用录入（明细）'!$B:$L,SMALL($B:$B,ROW(F154)),MATCH(H$7,$D$7:$L$7,0)),"")</f>
        <v/>
      </c>
      <c r="I160" s="60" t="str">
        <f>IFERROR(INDEX('领用录入（明细）'!$B:$L,SMALL($B:$B,ROW(G154)),MATCH(I$7,$D$7:$L$7,0)),"")</f>
        <v/>
      </c>
      <c r="J160" s="60" t="str">
        <f>IFERROR(INDEX('领用录入（明细）'!$B:$L,SMALL($B:$B,ROW(H154)),MATCH(J$7,$D$7:$L$7,0)),"")</f>
        <v/>
      </c>
      <c r="K160" s="60" t="str">
        <f>IFERROR(INDEX('领用录入（明细）'!$B:$L,SMALL($B:$B,ROW(I154)),MATCH(K$7,$D$7:$L$7,0)),"")</f>
        <v/>
      </c>
      <c r="L160" s="60" t="str">
        <f>IFERROR(INDEX('领用录入（明细）'!$B:$L,SMALL($B:$B,ROW(J154)),MATCH(L$7,$D$7:$L$7,0)),"")</f>
        <v/>
      </c>
      <c r="M160" s="60" t="str">
        <f t="shared" si="2"/>
        <v/>
      </c>
    </row>
    <row r="161" customHeight="1" spans="2:13">
      <c r="B161" s="62" t="str">
        <f>IF(AND('领用录入（明细）'!D:D=$F$4,'领用录入（明细）'!C:C&gt;=$J$4,'领用录入（明细）'!C:C&lt;=$L$4),ROW(),"-")</f>
        <v>-</v>
      </c>
      <c r="D161" s="59" t="str">
        <f>IFERROR(INDEX('领用录入（明细）'!$B:$L,SMALL($B:$B,ROW(B155)),MATCH(D$7,$D$7:$L$7,0)),"")</f>
        <v/>
      </c>
      <c r="E161" s="114" t="str">
        <f>IFERROR(INDEX('领用录入（明细）'!$B:$L,SMALL($B:$B,ROW(C155)),MATCH(E$7,$D$7:$L$7,0)),"")</f>
        <v/>
      </c>
      <c r="F161" s="60" t="str">
        <f>IFERROR(INDEX('领用录入（明细）'!$B:$L,SMALL($B:$B,ROW(D155)),MATCH(F$7,$D$7:$L$7,0)),"")</f>
        <v/>
      </c>
      <c r="G161" s="60" t="str">
        <f>IFERROR(INDEX('领用录入（明细）'!$B:$L,SMALL($B:$B,ROW(E155)),MATCH(G$7,$D$7:$L$7,0)),"")</f>
        <v/>
      </c>
      <c r="H161" s="60" t="str">
        <f>IFERROR(INDEX('领用录入（明细）'!$B:$L,SMALL($B:$B,ROW(F155)),MATCH(H$7,$D$7:$L$7,0)),"")</f>
        <v/>
      </c>
      <c r="I161" s="60" t="str">
        <f>IFERROR(INDEX('领用录入（明细）'!$B:$L,SMALL($B:$B,ROW(G155)),MATCH(I$7,$D$7:$L$7,0)),"")</f>
        <v/>
      </c>
      <c r="J161" s="60" t="str">
        <f>IFERROR(INDEX('领用录入（明细）'!$B:$L,SMALL($B:$B,ROW(H155)),MATCH(J$7,$D$7:$L$7,0)),"")</f>
        <v/>
      </c>
      <c r="K161" s="60" t="str">
        <f>IFERROR(INDEX('领用录入（明细）'!$B:$L,SMALL($B:$B,ROW(I155)),MATCH(K$7,$D$7:$L$7,0)),"")</f>
        <v/>
      </c>
      <c r="L161" s="60" t="str">
        <f>IFERROR(INDEX('领用录入（明细）'!$B:$L,SMALL($B:$B,ROW(J155)),MATCH(L$7,$D$7:$L$7,0)),"")</f>
        <v/>
      </c>
      <c r="M161" s="60" t="str">
        <f t="shared" si="2"/>
        <v/>
      </c>
    </row>
    <row r="162" customHeight="1" spans="2:13">
      <c r="B162" s="62" t="str">
        <f>IF(AND('领用录入（明细）'!D:D=$F$4,'领用录入（明细）'!C:C&gt;=$J$4,'领用录入（明细）'!C:C&lt;=$L$4),ROW(),"-")</f>
        <v>-</v>
      </c>
      <c r="D162" s="59" t="str">
        <f>IFERROR(INDEX('领用录入（明细）'!$B:$L,SMALL($B:$B,ROW(B156)),MATCH(D$7,$D$7:$L$7,0)),"")</f>
        <v/>
      </c>
      <c r="E162" s="114" t="str">
        <f>IFERROR(INDEX('领用录入（明细）'!$B:$L,SMALL($B:$B,ROW(C156)),MATCH(E$7,$D$7:$L$7,0)),"")</f>
        <v/>
      </c>
      <c r="F162" s="60" t="str">
        <f>IFERROR(INDEX('领用录入（明细）'!$B:$L,SMALL($B:$B,ROW(D156)),MATCH(F$7,$D$7:$L$7,0)),"")</f>
        <v/>
      </c>
      <c r="G162" s="60" t="str">
        <f>IFERROR(INDEX('领用录入（明细）'!$B:$L,SMALL($B:$B,ROW(E156)),MATCH(G$7,$D$7:$L$7,0)),"")</f>
        <v/>
      </c>
      <c r="H162" s="60" t="str">
        <f>IFERROR(INDEX('领用录入（明细）'!$B:$L,SMALL($B:$B,ROW(F156)),MATCH(H$7,$D$7:$L$7,0)),"")</f>
        <v/>
      </c>
      <c r="I162" s="60" t="str">
        <f>IFERROR(INDEX('领用录入（明细）'!$B:$L,SMALL($B:$B,ROW(G156)),MATCH(I$7,$D$7:$L$7,0)),"")</f>
        <v/>
      </c>
      <c r="J162" s="60" t="str">
        <f>IFERROR(INDEX('领用录入（明细）'!$B:$L,SMALL($B:$B,ROW(H156)),MATCH(J$7,$D$7:$L$7,0)),"")</f>
        <v/>
      </c>
      <c r="K162" s="60" t="str">
        <f>IFERROR(INDEX('领用录入（明细）'!$B:$L,SMALL($B:$B,ROW(I156)),MATCH(K$7,$D$7:$L$7,0)),"")</f>
        <v/>
      </c>
      <c r="L162" s="60" t="str">
        <f>IFERROR(INDEX('领用录入（明细）'!$B:$L,SMALL($B:$B,ROW(J156)),MATCH(L$7,$D$7:$L$7,0)),"")</f>
        <v/>
      </c>
      <c r="M162" s="60" t="str">
        <f t="shared" si="2"/>
        <v/>
      </c>
    </row>
    <row r="163" customHeight="1" spans="2:13">
      <c r="B163" s="62" t="str">
        <f>IF(AND('领用录入（明细）'!D:D=$F$4,'领用录入（明细）'!C:C&gt;=$J$4,'领用录入（明细）'!C:C&lt;=$L$4),ROW(),"-")</f>
        <v>-</v>
      </c>
      <c r="D163" s="59" t="str">
        <f>IFERROR(INDEX('领用录入（明细）'!$B:$L,SMALL($B:$B,ROW(B157)),MATCH(D$7,$D$7:$L$7,0)),"")</f>
        <v/>
      </c>
      <c r="E163" s="114" t="str">
        <f>IFERROR(INDEX('领用录入（明细）'!$B:$L,SMALL($B:$B,ROW(C157)),MATCH(E$7,$D$7:$L$7,0)),"")</f>
        <v/>
      </c>
      <c r="F163" s="60" t="str">
        <f>IFERROR(INDEX('领用录入（明细）'!$B:$L,SMALL($B:$B,ROW(D157)),MATCH(F$7,$D$7:$L$7,0)),"")</f>
        <v/>
      </c>
      <c r="G163" s="60" t="str">
        <f>IFERROR(INDEX('领用录入（明细）'!$B:$L,SMALL($B:$B,ROW(E157)),MATCH(G$7,$D$7:$L$7,0)),"")</f>
        <v/>
      </c>
      <c r="H163" s="60" t="str">
        <f>IFERROR(INDEX('领用录入（明细）'!$B:$L,SMALL($B:$B,ROW(F157)),MATCH(H$7,$D$7:$L$7,0)),"")</f>
        <v/>
      </c>
      <c r="I163" s="60" t="str">
        <f>IFERROR(INDEX('领用录入（明细）'!$B:$L,SMALL($B:$B,ROW(G157)),MATCH(I$7,$D$7:$L$7,0)),"")</f>
        <v/>
      </c>
      <c r="J163" s="60" t="str">
        <f>IFERROR(INDEX('领用录入（明细）'!$B:$L,SMALL($B:$B,ROW(H157)),MATCH(J$7,$D$7:$L$7,0)),"")</f>
        <v/>
      </c>
      <c r="K163" s="60" t="str">
        <f>IFERROR(INDEX('领用录入（明细）'!$B:$L,SMALL($B:$B,ROW(I157)),MATCH(K$7,$D$7:$L$7,0)),"")</f>
        <v/>
      </c>
      <c r="L163" s="60" t="str">
        <f>IFERROR(INDEX('领用录入（明细）'!$B:$L,SMALL($B:$B,ROW(J157)),MATCH(L$7,$D$7:$L$7,0)),"")</f>
        <v/>
      </c>
      <c r="M163" s="60" t="str">
        <f t="shared" si="2"/>
        <v/>
      </c>
    </row>
    <row r="164" customHeight="1" spans="2:13">
      <c r="B164" s="62" t="str">
        <f>IF(AND('领用录入（明细）'!D:D=$F$4,'领用录入（明细）'!C:C&gt;=$J$4,'领用录入（明细）'!C:C&lt;=$L$4),ROW(),"-")</f>
        <v>-</v>
      </c>
      <c r="D164" s="59" t="str">
        <f>IFERROR(INDEX('领用录入（明细）'!$B:$L,SMALL($B:$B,ROW(B158)),MATCH(D$7,$D$7:$L$7,0)),"")</f>
        <v/>
      </c>
      <c r="E164" s="114" t="str">
        <f>IFERROR(INDEX('领用录入（明细）'!$B:$L,SMALL($B:$B,ROW(C158)),MATCH(E$7,$D$7:$L$7,0)),"")</f>
        <v/>
      </c>
      <c r="F164" s="60" t="str">
        <f>IFERROR(INDEX('领用录入（明细）'!$B:$L,SMALL($B:$B,ROW(D158)),MATCH(F$7,$D$7:$L$7,0)),"")</f>
        <v/>
      </c>
      <c r="G164" s="60" t="str">
        <f>IFERROR(INDEX('领用录入（明细）'!$B:$L,SMALL($B:$B,ROW(E158)),MATCH(G$7,$D$7:$L$7,0)),"")</f>
        <v/>
      </c>
      <c r="H164" s="60" t="str">
        <f>IFERROR(INDEX('领用录入（明细）'!$B:$L,SMALL($B:$B,ROW(F158)),MATCH(H$7,$D$7:$L$7,0)),"")</f>
        <v/>
      </c>
      <c r="I164" s="60" t="str">
        <f>IFERROR(INDEX('领用录入（明细）'!$B:$L,SMALL($B:$B,ROW(G158)),MATCH(I$7,$D$7:$L$7,0)),"")</f>
        <v/>
      </c>
      <c r="J164" s="60" t="str">
        <f>IFERROR(INDEX('领用录入（明细）'!$B:$L,SMALL($B:$B,ROW(H158)),MATCH(J$7,$D$7:$L$7,0)),"")</f>
        <v/>
      </c>
      <c r="K164" s="60" t="str">
        <f>IFERROR(INDEX('领用录入（明细）'!$B:$L,SMALL($B:$B,ROW(I158)),MATCH(K$7,$D$7:$L$7,0)),"")</f>
        <v/>
      </c>
      <c r="L164" s="60" t="str">
        <f>IFERROR(INDEX('领用录入（明细）'!$B:$L,SMALL($B:$B,ROW(J158)),MATCH(L$7,$D$7:$L$7,0)),"")</f>
        <v/>
      </c>
      <c r="M164" s="60" t="str">
        <f t="shared" si="2"/>
        <v/>
      </c>
    </row>
    <row r="165" customHeight="1" spans="2:13">
      <c r="B165" s="62" t="str">
        <f>IF(AND('领用录入（明细）'!D:D=$F$4,'领用录入（明细）'!C:C&gt;=$J$4,'领用录入（明细）'!C:C&lt;=$L$4),ROW(),"-")</f>
        <v>-</v>
      </c>
      <c r="D165" s="59" t="str">
        <f>IFERROR(INDEX('领用录入（明细）'!$B:$L,SMALL($B:$B,ROW(B159)),MATCH(D$7,$D$7:$L$7,0)),"")</f>
        <v/>
      </c>
      <c r="E165" s="114" t="str">
        <f>IFERROR(INDEX('领用录入（明细）'!$B:$L,SMALL($B:$B,ROW(C159)),MATCH(E$7,$D$7:$L$7,0)),"")</f>
        <v/>
      </c>
      <c r="F165" s="60" t="str">
        <f>IFERROR(INDEX('领用录入（明细）'!$B:$L,SMALL($B:$B,ROW(D159)),MATCH(F$7,$D$7:$L$7,0)),"")</f>
        <v/>
      </c>
      <c r="G165" s="60" t="str">
        <f>IFERROR(INDEX('领用录入（明细）'!$B:$L,SMALL($B:$B,ROW(E159)),MATCH(G$7,$D$7:$L$7,0)),"")</f>
        <v/>
      </c>
      <c r="H165" s="60" t="str">
        <f>IFERROR(INDEX('领用录入（明细）'!$B:$L,SMALL($B:$B,ROW(F159)),MATCH(H$7,$D$7:$L$7,0)),"")</f>
        <v/>
      </c>
      <c r="I165" s="60" t="str">
        <f>IFERROR(INDEX('领用录入（明细）'!$B:$L,SMALL($B:$B,ROW(G159)),MATCH(I$7,$D$7:$L$7,0)),"")</f>
        <v/>
      </c>
      <c r="J165" s="60" t="str">
        <f>IFERROR(INDEX('领用录入（明细）'!$B:$L,SMALL($B:$B,ROW(H159)),MATCH(J$7,$D$7:$L$7,0)),"")</f>
        <v/>
      </c>
      <c r="K165" s="60" t="str">
        <f>IFERROR(INDEX('领用录入（明细）'!$B:$L,SMALL($B:$B,ROW(I159)),MATCH(K$7,$D$7:$L$7,0)),"")</f>
        <v/>
      </c>
      <c r="L165" s="60" t="str">
        <f>IFERROR(INDEX('领用录入（明细）'!$B:$L,SMALL($B:$B,ROW(J159)),MATCH(L$7,$D$7:$L$7,0)),"")</f>
        <v/>
      </c>
      <c r="M165" s="60" t="str">
        <f t="shared" si="2"/>
        <v/>
      </c>
    </row>
    <row r="166" customHeight="1" spans="2:13">
      <c r="B166" s="62" t="str">
        <f>IF(AND('领用录入（明细）'!D:D=$F$4,'领用录入（明细）'!C:C&gt;=$J$4,'领用录入（明细）'!C:C&lt;=$L$4),ROW(),"-")</f>
        <v>-</v>
      </c>
      <c r="D166" s="59" t="str">
        <f>IFERROR(INDEX('领用录入（明细）'!$B:$L,SMALL($B:$B,ROW(B160)),MATCH(D$7,$D$7:$L$7,0)),"")</f>
        <v/>
      </c>
      <c r="E166" s="114" t="str">
        <f>IFERROR(INDEX('领用录入（明细）'!$B:$L,SMALL($B:$B,ROW(C160)),MATCH(E$7,$D$7:$L$7,0)),"")</f>
        <v/>
      </c>
      <c r="F166" s="60" t="str">
        <f>IFERROR(INDEX('领用录入（明细）'!$B:$L,SMALL($B:$B,ROW(D160)),MATCH(F$7,$D$7:$L$7,0)),"")</f>
        <v/>
      </c>
      <c r="G166" s="60" t="str">
        <f>IFERROR(INDEX('领用录入（明细）'!$B:$L,SMALL($B:$B,ROW(E160)),MATCH(G$7,$D$7:$L$7,0)),"")</f>
        <v/>
      </c>
      <c r="H166" s="60" t="str">
        <f>IFERROR(INDEX('领用录入（明细）'!$B:$L,SMALL($B:$B,ROW(F160)),MATCH(H$7,$D$7:$L$7,0)),"")</f>
        <v/>
      </c>
      <c r="I166" s="60" t="str">
        <f>IFERROR(INDEX('领用录入（明细）'!$B:$L,SMALL($B:$B,ROW(G160)),MATCH(I$7,$D$7:$L$7,0)),"")</f>
        <v/>
      </c>
      <c r="J166" s="60" t="str">
        <f>IFERROR(INDEX('领用录入（明细）'!$B:$L,SMALL($B:$B,ROW(H160)),MATCH(J$7,$D$7:$L$7,0)),"")</f>
        <v/>
      </c>
      <c r="K166" s="60" t="str">
        <f>IFERROR(INDEX('领用录入（明细）'!$B:$L,SMALL($B:$B,ROW(I160)),MATCH(K$7,$D$7:$L$7,0)),"")</f>
        <v/>
      </c>
      <c r="L166" s="60" t="str">
        <f>IFERROR(INDEX('领用录入（明细）'!$B:$L,SMALL($B:$B,ROW(J160)),MATCH(L$7,$D$7:$L$7,0)),"")</f>
        <v/>
      </c>
      <c r="M166" s="60" t="str">
        <f t="shared" si="2"/>
        <v/>
      </c>
    </row>
    <row r="167" customHeight="1" spans="2:13">
      <c r="B167" s="62" t="str">
        <f>IF(AND('领用录入（明细）'!D:D=$F$4,'领用录入（明细）'!C:C&gt;=$J$4,'领用录入（明细）'!C:C&lt;=$L$4),ROW(),"-")</f>
        <v>-</v>
      </c>
      <c r="D167" s="59" t="str">
        <f>IFERROR(INDEX('领用录入（明细）'!$B:$L,SMALL($B:$B,ROW(B161)),MATCH(D$7,$D$7:$L$7,0)),"")</f>
        <v/>
      </c>
      <c r="E167" s="114" t="str">
        <f>IFERROR(INDEX('领用录入（明细）'!$B:$L,SMALL($B:$B,ROW(C161)),MATCH(E$7,$D$7:$L$7,0)),"")</f>
        <v/>
      </c>
      <c r="F167" s="60" t="str">
        <f>IFERROR(INDEX('领用录入（明细）'!$B:$L,SMALL($B:$B,ROW(D161)),MATCH(F$7,$D$7:$L$7,0)),"")</f>
        <v/>
      </c>
      <c r="G167" s="60" t="str">
        <f>IFERROR(INDEX('领用录入（明细）'!$B:$L,SMALL($B:$B,ROW(E161)),MATCH(G$7,$D$7:$L$7,0)),"")</f>
        <v/>
      </c>
      <c r="H167" s="60" t="str">
        <f>IFERROR(INDEX('领用录入（明细）'!$B:$L,SMALL($B:$B,ROW(F161)),MATCH(H$7,$D$7:$L$7,0)),"")</f>
        <v/>
      </c>
      <c r="I167" s="60" t="str">
        <f>IFERROR(INDEX('领用录入（明细）'!$B:$L,SMALL($B:$B,ROW(G161)),MATCH(I$7,$D$7:$L$7,0)),"")</f>
        <v/>
      </c>
      <c r="J167" s="60" t="str">
        <f>IFERROR(INDEX('领用录入（明细）'!$B:$L,SMALL($B:$B,ROW(H161)),MATCH(J$7,$D$7:$L$7,0)),"")</f>
        <v/>
      </c>
      <c r="K167" s="60" t="str">
        <f>IFERROR(INDEX('领用录入（明细）'!$B:$L,SMALL($B:$B,ROW(I161)),MATCH(K$7,$D$7:$L$7,0)),"")</f>
        <v/>
      </c>
      <c r="L167" s="60" t="str">
        <f>IFERROR(INDEX('领用录入（明细）'!$B:$L,SMALL($B:$B,ROW(J161)),MATCH(L$7,$D$7:$L$7,0)),"")</f>
        <v/>
      </c>
      <c r="M167" s="60" t="str">
        <f t="shared" si="2"/>
        <v/>
      </c>
    </row>
    <row r="168" customHeight="1" spans="2:13">
      <c r="B168" s="62" t="str">
        <f>IF(AND('领用录入（明细）'!D:D=$F$4,'领用录入（明细）'!C:C&gt;=$J$4,'领用录入（明细）'!C:C&lt;=$L$4),ROW(),"-")</f>
        <v>-</v>
      </c>
      <c r="D168" s="59" t="str">
        <f>IFERROR(INDEX('领用录入（明细）'!$B:$L,SMALL($B:$B,ROW(B162)),MATCH(D$7,$D$7:$L$7,0)),"")</f>
        <v/>
      </c>
      <c r="E168" s="114" t="str">
        <f>IFERROR(INDEX('领用录入（明细）'!$B:$L,SMALL($B:$B,ROW(C162)),MATCH(E$7,$D$7:$L$7,0)),"")</f>
        <v/>
      </c>
      <c r="F168" s="60" t="str">
        <f>IFERROR(INDEX('领用录入（明细）'!$B:$L,SMALL($B:$B,ROW(D162)),MATCH(F$7,$D$7:$L$7,0)),"")</f>
        <v/>
      </c>
      <c r="G168" s="60" t="str">
        <f>IFERROR(INDEX('领用录入（明细）'!$B:$L,SMALL($B:$B,ROW(E162)),MATCH(G$7,$D$7:$L$7,0)),"")</f>
        <v/>
      </c>
      <c r="H168" s="60" t="str">
        <f>IFERROR(INDEX('领用录入（明细）'!$B:$L,SMALL($B:$B,ROW(F162)),MATCH(H$7,$D$7:$L$7,0)),"")</f>
        <v/>
      </c>
      <c r="I168" s="60" t="str">
        <f>IFERROR(INDEX('领用录入（明细）'!$B:$L,SMALL($B:$B,ROW(G162)),MATCH(I$7,$D$7:$L$7,0)),"")</f>
        <v/>
      </c>
      <c r="J168" s="60" t="str">
        <f>IFERROR(INDEX('领用录入（明细）'!$B:$L,SMALL($B:$B,ROW(H162)),MATCH(J$7,$D$7:$L$7,0)),"")</f>
        <v/>
      </c>
      <c r="K168" s="60" t="str">
        <f>IFERROR(INDEX('领用录入（明细）'!$B:$L,SMALL($B:$B,ROW(I162)),MATCH(K$7,$D$7:$L$7,0)),"")</f>
        <v/>
      </c>
      <c r="L168" s="60" t="str">
        <f>IFERROR(INDEX('领用录入（明细）'!$B:$L,SMALL($B:$B,ROW(J162)),MATCH(L$7,$D$7:$L$7,0)),"")</f>
        <v/>
      </c>
      <c r="M168" s="60" t="str">
        <f t="shared" si="2"/>
        <v/>
      </c>
    </row>
    <row r="169" customHeight="1" spans="2:13">
      <c r="B169" s="62" t="str">
        <f>IF(AND('领用录入（明细）'!D:D=$F$4,'领用录入（明细）'!C:C&gt;=$J$4,'领用录入（明细）'!C:C&lt;=$L$4),ROW(),"-")</f>
        <v>-</v>
      </c>
      <c r="D169" s="59" t="str">
        <f>IFERROR(INDEX('领用录入（明细）'!$B:$L,SMALL($B:$B,ROW(B163)),MATCH(D$7,$D$7:$L$7,0)),"")</f>
        <v/>
      </c>
      <c r="E169" s="114" t="str">
        <f>IFERROR(INDEX('领用录入（明细）'!$B:$L,SMALL($B:$B,ROW(C163)),MATCH(E$7,$D$7:$L$7,0)),"")</f>
        <v/>
      </c>
      <c r="F169" s="60" t="str">
        <f>IFERROR(INDEX('领用录入（明细）'!$B:$L,SMALL($B:$B,ROW(D163)),MATCH(F$7,$D$7:$L$7,0)),"")</f>
        <v/>
      </c>
      <c r="G169" s="60" t="str">
        <f>IFERROR(INDEX('领用录入（明细）'!$B:$L,SMALL($B:$B,ROW(E163)),MATCH(G$7,$D$7:$L$7,0)),"")</f>
        <v/>
      </c>
      <c r="H169" s="60" t="str">
        <f>IFERROR(INDEX('领用录入（明细）'!$B:$L,SMALL($B:$B,ROW(F163)),MATCH(H$7,$D$7:$L$7,0)),"")</f>
        <v/>
      </c>
      <c r="I169" s="60" t="str">
        <f>IFERROR(INDEX('领用录入（明细）'!$B:$L,SMALL($B:$B,ROW(G163)),MATCH(I$7,$D$7:$L$7,0)),"")</f>
        <v/>
      </c>
      <c r="J169" s="60" t="str">
        <f>IFERROR(INDEX('领用录入（明细）'!$B:$L,SMALL($B:$B,ROW(H163)),MATCH(J$7,$D$7:$L$7,0)),"")</f>
        <v/>
      </c>
      <c r="K169" s="60" t="str">
        <f>IFERROR(INDEX('领用录入（明细）'!$B:$L,SMALL($B:$B,ROW(I163)),MATCH(K$7,$D$7:$L$7,0)),"")</f>
        <v/>
      </c>
      <c r="L169" s="60" t="str">
        <f>IFERROR(INDEX('领用录入（明细）'!$B:$L,SMALL($B:$B,ROW(J163)),MATCH(L$7,$D$7:$L$7,0)),"")</f>
        <v/>
      </c>
      <c r="M169" s="60" t="str">
        <f t="shared" si="2"/>
        <v/>
      </c>
    </row>
    <row r="170" customHeight="1" spans="2:13">
      <c r="B170" s="62" t="str">
        <f>IF(AND('领用录入（明细）'!D:D=$F$4,'领用录入（明细）'!C:C&gt;=$J$4,'领用录入（明细）'!C:C&lt;=$L$4),ROW(),"-")</f>
        <v>-</v>
      </c>
      <c r="D170" s="59" t="str">
        <f>IFERROR(INDEX('领用录入（明细）'!$B:$L,SMALL($B:$B,ROW(B164)),MATCH(D$7,$D$7:$L$7,0)),"")</f>
        <v/>
      </c>
      <c r="E170" s="114" t="str">
        <f>IFERROR(INDEX('领用录入（明细）'!$B:$L,SMALL($B:$B,ROW(C164)),MATCH(E$7,$D$7:$L$7,0)),"")</f>
        <v/>
      </c>
      <c r="F170" s="60" t="str">
        <f>IFERROR(INDEX('领用录入（明细）'!$B:$L,SMALL($B:$B,ROW(D164)),MATCH(F$7,$D$7:$L$7,0)),"")</f>
        <v/>
      </c>
      <c r="G170" s="60" t="str">
        <f>IFERROR(INDEX('领用录入（明细）'!$B:$L,SMALL($B:$B,ROW(E164)),MATCH(G$7,$D$7:$L$7,0)),"")</f>
        <v/>
      </c>
      <c r="H170" s="60" t="str">
        <f>IFERROR(INDEX('领用录入（明细）'!$B:$L,SMALL($B:$B,ROW(F164)),MATCH(H$7,$D$7:$L$7,0)),"")</f>
        <v/>
      </c>
      <c r="I170" s="60" t="str">
        <f>IFERROR(INDEX('领用录入（明细）'!$B:$L,SMALL($B:$B,ROW(G164)),MATCH(I$7,$D$7:$L$7,0)),"")</f>
        <v/>
      </c>
      <c r="J170" s="60" t="str">
        <f>IFERROR(INDEX('领用录入（明细）'!$B:$L,SMALL($B:$B,ROW(H164)),MATCH(J$7,$D$7:$L$7,0)),"")</f>
        <v/>
      </c>
      <c r="K170" s="60" t="str">
        <f>IFERROR(INDEX('领用录入（明细）'!$B:$L,SMALL($B:$B,ROW(I164)),MATCH(K$7,$D$7:$L$7,0)),"")</f>
        <v/>
      </c>
      <c r="L170" s="60" t="str">
        <f>IFERROR(INDEX('领用录入（明细）'!$B:$L,SMALL($B:$B,ROW(J164)),MATCH(L$7,$D$7:$L$7,0)),"")</f>
        <v/>
      </c>
      <c r="M170" s="60" t="str">
        <f t="shared" si="2"/>
        <v/>
      </c>
    </row>
    <row r="171" customHeight="1" spans="2:13">
      <c r="B171" s="62" t="str">
        <f>IF(AND('领用录入（明细）'!D:D=$F$4,'领用录入（明细）'!C:C&gt;=$J$4,'领用录入（明细）'!C:C&lt;=$L$4),ROW(),"-")</f>
        <v>-</v>
      </c>
      <c r="D171" s="59" t="str">
        <f>IFERROR(INDEX('领用录入（明细）'!$B:$L,SMALL($B:$B,ROW(B165)),MATCH(D$7,$D$7:$L$7,0)),"")</f>
        <v/>
      </c>
      <c r="E171" s="114" t="str">
        <f>IFERROR(INDEX('领用录入（明细）'!$B:$L,SMALL($B:$B,ROW(C165)),MATCH(E$7,$D$7:$L$7,0)),"")</f>
        <v/>
      </c>
      <c r="F171" s="60" t="str">
        <f>IFERROR(INDEX('领用录入（明细）'!$B:$L,SMALL($B:$B,ROW(D165)),MATCH(F$7,$D$7:$L$7,0)),"")</f>
        <v/>
      </c>
      <c r="G171" s="60" t="str">
        <f>IFERROR(INDEX('领用录入（明细）'!$B:$L,SMALL($B:$B,ROW(E165)),MATCH(G$7,$D$7:$L$7,0)),"")</f>
        <v/>
      </c>
      <c r="H171" s="60" t="str">
        <f>IFERROR(INDEX('领用录入（明细）'!$B:$L,SMALL($B:$B,ROW(F165)),MATCH(H$7,$D$7:$L$7,0)),"")</f>
        <v/>
      </c>
      <c r="I171" s="60" t="str">
        <f>IFERROR(INDEX('领用录入（明细）'!$B:$L,SMALL($B:$B,ROW(G165)),MATCH(I$7,$D$7:$L$7,0)),"")</f>
        <v/>
      </c>
      <c r="J171" s="60" t="str">
        <f>IFERROR(INDEX('领用录入（明细）'!$B:$L,SMALL($B:$B,ROW(H165)),MATCH(J$7,$D$7:$L$7,0)),"")</f>
        <v/>
      </c>
      <c r="K171" s="60" t="str">
        <f>IFERROR(INDEX('领用录入（明细）'!$B:$L,SMALL($B:$B,ROW(I165)),MATCH(K$7,$D$7:$L$7,0)),"")</f>
        <v/>
      </c>
      <c r="L171" s="60" t="str">
        <f>IFERROR(INDEX('领用录入（明细）'!$B:$L,SMALL($B:$B,ROW(J165)),MATCH(L$7,$D$7:$L$7,0)),"")</f>
        <v/>
      </c>
      <c r="M171" s="60" t="str">
        <f t="shared" si="2"/>
        <v/>
      </c>
    </row>
    <row r="172" customHeight="1" spans="2:13">
      <c r="B172" s="62" t="str">
        <f>IF(AND('领用录入（明细）'!D:D=$F$4,'领用录入（明细）'!C:C&gt;=$J$4,'领用录入（明细）'!C:C&lt;=$L$4),ROW(),"-")</f>
        <v>-</v>
      </c>
      <c r="D172" s="59" t="str">
        <f>IFERROR(INDEX('领用录入（明细）'!$B:$L,SMALL($B:$B,ROW(B166)),MATCH(D$7,$D$7:$L$7,0)),"")</f>
        <v/>
      </c>
      <c r="E172" s="114" t="str">
        <f>IFERROR(INDEX('领用录入（明细）'!$B:$L,SMALL($B:$B,ROW(C166)),MATCH(E$7,$D$7:$L$7,0)),"")</f>
        <v/>
      </c>
      <c r="F172" s="60" t="str">
        <f>IFERROR(INDEX('领用录入（明细）'!$B:$L,SMALL($B:$B,ROW(D166)),MATCH(F$7,$D$7:$L$7,0)),"")</f>
        <v/>
      </c>
      <c r="G172" s="60" t="str">
        <f>IFERROR(INDEX('领用录入（明细）'!$B:$L,SMALL($B:$B,ROW(E166)),MATCH(G$7,$D$7:$L$7,0)),"")</f>
        <v/>
      </c>
      <c r="H172" s="60" t="str">
        <f>IFERROR(INDEX('领用录入（明细）'!$B:$L,SMALL($B:$B,ROW(F166)),MATCH(H$7,$D$7:$L$7,0)),"")</f>
        <v/>
      </c>
      <c r="I172" s="60" t="str">
        <f>IFERROR(INDEX('领用录入（明细）'!$B:$L,SMALL($B:$B,ROW(G166)),MATCH(I$7,$D$7:$L$7,0)),"")</f>
        <v/>
      </c>
      <c r="J172" s="60" t="str">
        <f>IFERROR(INDEX('领用录入（明细）'!$B:$L,SMALL($B:$B,ROW(H166)),MATCH(J$7,$D$7:$L$7,0)),"")</f>
        <v/>
      </c>
      <c r="K172" s="60" t="str">
        <f>IFERROR(INDEX('领用录入（明细）'!$B:$L,SMALL($B:$B,ROW(I166)),MATCH(K$7,$D$7:$L$7,0)),"")</f>
        <v/>
      </c>
      <c r="L172" s="60" t="str">
        <f>IFERROR(INDEX('领用录入（明细）'!$B:$L,SMALL($B:$B,ROW(J166)),MATCH(L$7,$D$7:$L$7,0)),"")</f>
        <v/>
      </c>
      <c r="M172" s="60" t="str">
        <f t="shared" si="2"/>
        <v/>
      </c>
    </row>
    <row r="173" customHeight="1" spans="2:13">
      <c r="B173" s="62" t="str">
        <f>IF(AND('领用录入（明细）'!D:D=$F$4,'领用录入（明细）'!C:C&gt;=$J$4,'领用录入（明细）'!C:C&lt;=$L$4),ROW(),"-")</f>
        <v>-</v>
      </c>
      <c r="D173" s="59" t="str">
        <f>IFERROR(INDEX('领用录入（明细）'!$B:$L,SMALL($B:$B,ROW(B167)),MATCH(D$7,$D$7:$L$7,0)),"")</f>
        <v/>
      </c>
      <c r="E173" s="114" t="str">
        <f>IFERROR(INDEX('领用录入（明细）'!$B:$L,SMALL($B:$B,ROW(C167)),MATCH(E$7,$D$7:$L$7,0)),"")</f>
        <v/>
      </c>
      <c r="F173" s="60" t="str">
        <f>IFERROR(INDEX('领用录入（明细）'!$B:$L,SMALL($B:$B,ROW(D167)),MATCH(F$7,$D$7:$L$7,0)),"")</f>
        <v/>
      </c>
      <c r="G173" s="60" t="str">
        <f>IFERROR(INDEX('领用录入（明细）'!$B:$L,SMALL($B:$B,ROW(E167)),MATCH(G$7,$D$7:$L$7,0)),"")</f>
        <v/>
      </c>
      <c r="H173" s="60" t="str">
        <f>IFERROR(INDEX('领用录入（明细）'!$B:$L,SMALL($B:$B,ROW(F167)),MATCH(H$7,$D$7:$L$7,0)),"")</f>
        <v/>
      </c>
      <c r="I173" s="60" t="str">
        <f>IFERROR(INDEX('领用录入（明细）'!$B:$L,SMALL($B:$B,ROW(G167)),MATCH(I$7,$D$7:$L$7,0)),"")</f>
        <v/>
      </c>
      <c r="J173" s="60" t="str">
        <f>IFERROR(INDEX('领用录入（明细）'!$B:$L,SMALL($B:$B,ROW(H167)),MATCH(J$7,$D$7:$L$7,0)),"")</f>
        <v/>
      </c>
      <c r="K173" s="60" t="str">
        <f>IFERROR(INDEX('领用录入（明细）'!$B:$L,SMALL($B:$B,ROW(I167)),MATCH(K$7,$D$7:$L$7,0)),"")</f>
        <v/>
      </c>
      <c r="L173" s="60" t="str">
        <f>IFERROR(INDEX('领用录入（明细）'!$B:$L,SMALL($B:$B,ROW(J167)),MATCH(L$7,$D$7:$L$7,0)),"")</f>
        <v/>
      </c>
      <c r="M173" s="60" t="str">
        <f t="shared" si="2"/>
        <v/>
      </c>
    </row>
    <row r="174" customHeight="1" spans="2:13">
      <c r="B174" s="62" t="str">
        <f>IF(AND('领用录入（明细）'!D:D=$F$4,'领用录入（明细）'!C:C&gt;=$J$4,'领用录入（明细）'!C:C&lt;=$L$4),ROW(),"-")</f>
        <v>-</v>
      </c>
      <c r="D174" s="59" t="str">
        <f>IFERROR(INDEX('领用录入（明细）'!$B:$L,SMALL($B:$B,ROW(B168)),MATCH(D$7,$D$7:$L$7,0)),"")</f>
        <v/>
      </c>
      <c r="E174" s="114" t="str">
        <f>IFERROR(INDEX('领用录入（明细）'!$B:$L,SMALL($B:$B,ROW(C168)),MATCH(E$7,$D$7:$L$7,0)),"")</f>
        <v/>
      </c>
      <c r="F174" s="60" t="str">
        <f>IFERROR(INDEX('领用录入（明细）'!$B:$L,SMALL($B:$B,ROW(D168)),MATCH(F$7,$D$7:$L$7,0)),"")</f>
        <v/>
      </c>
      <c r="G174" s="60" t="str">
        <f>IFERROR(INDEX('领用录入（明细）'!$B:$L,SMALL($B:$B,ROW(E168)),MATCH(G$7,$D$7:$L$7,0)),"")</f>
        <v/>
      </c>
      <c r="H174" s="60" t="str">
        <f>IFERROR(INDEX('领用录入（明细）'!$B:$L,SMALL($B:$B,ROW(F168)),MATCH(H$7,$D$7:$L$7,0)),"")</f>
        <v/>
      </c>
      <c r="I174" s="60" t="str">
        <f>IFERROR(INDEX('领用录入（明细）'!$B:$L,SMALL($B:$B,ROW(G168)),MATCH(I$7,$D$7:$L$7,0)),"")</f>
        <v/>
      </c>
      <c r="J174" s="60" t="str">
        <f>IFERROR(INDEX('领用录入（明细）'!$B:$L,SMALL($B:$B,ROW(H168)),MATCH(J$7,$D$7:$L$7,0)),"")</f>
        <v/>
      </c>
      <c r="K174" s="60" t="str">
        <f>IFERROR(INDEX('领用录入（明细）'!$B:$L,SMALL($B:$B,ROW(I168)),MATCH(K$7,$D$7:$L$7,0)),"")</f>
        <v/>
      </c>
      <c r="L174" s="60" t="str">
        <f>IFERROR(INDEX('领用录入（明细）'!$B:$L,SMALL($B:$B,ROW(J168)),MATCH(L$7,$D$7:$L$7,0)),"")</f>
        <v/>
      </c>
      <c r="M174" s="60" t="str">
        <f t="shared" si="2"/>
        <v/>
      </c>
    </row>
    <row r="175" customHeight="1" spans="2:13">
      <c r="B175" s="62" t="str">
        <f>IF(AND('领用录入（明细）'!D:D=$F$4,'领用录入（明细）'!C:C&gt;=$J$4,'领用录入（明细）'!C:C&lt;=$L$4),ROW(),"-")</f>
        <v>-</v>
      </c>
      <c r="D175" s="59" t="str">
        <f>IFERROR(INDEX('领用录入（明细）'!$B:$L,SMALL($B:$B,ROW(B169)),MATCH(D$7,$D$7:$L$7,0)),"")</f>
        <v/>
      </c>
      <c r="E175" s="114" t="str">
        <f>IFERROR(INDEX('领用录入（明细）'!$B:$L,SMALL($B:$B,ROW(C169)),MATCH(E$7,$D$7:$L$7,0)),"")</f>
        <v/>
      </c>
      <c r="F175" s="60" t="str">
        <f>IFERROR(INDEX('领用录入（明细）'!$B:$L,SMALL($B:$B,ROW(D169)),MATCH(F$7,$D$7:$L$7,0)),"")</f>
        <v/>
      </c>
      <c r="G175" s="60" t="str">
        <f>IFERROR(INDEX('领用录入（明细）'!$B:$L,SMALL($B:$B,ROW(E169)),MATCH(G$7,$D$7:$L$7,0)),"")</f>
        <v/>
      </c>
      <c r="H175" s="60" t="str">
        <f>IFERROR(INDEX('领用录入（明细）'!$B:$L,SMALL($B:$B,ROW(F169)),MATCH(H$7,$D$7:$L$7,0)),"")</f>
        <v/>
      </c>
      <c r="I175" s="60" t="str">
        <f>IFERROR(INDEX('领用录入（明细）'!$B:$L,SMALL($B:$B,ROW(G169)),MATCH(I$7,$D$7:$L$7,0)),"")</f>
        <v/>
      </c>
      <c r="J175" s="60" t="str">
        <f>IFERROR(INDEX('领用录入（明细）'!$B:$L,SMALL($B:$B,ROW(H169)),MATCH(J$7,$D$7:$L$7,0)),"")</f>
        <v/>
      </c>
      <c r="K175" s="60" t="str">
        <f>IFERROR(INDEX('领用录入（明细）'!$B:$L,SMALL($B:$B,ROW(I169)),MATCH(K$7,$D$7:$L$7,0)),"")</f>
        <v/>
      </c>
      <c r="L175" s="60" t="str">
        <f>IFERROR(INDEX('领用录入（明细）'!$B:$L,SMALL($B:$B,ROW(J169)),MATCH(L$7,$D$7:$L$7,0)),"")</f>
        <v/>
      </c>
      <c r="M175" s="60" t="str">
        <f t="shared" si="2"/>
        <v/>
      </c>
    </row>
    <row r="176" customHeight="1" spans="2:13">
      <c r="B176" s="62" t="str">
        <f>IF(AND('领用录入（明细）'!D:D=$F$4,'领用录入（明细）'!C:C&gt;=$J$4,'领用录入（明细）'!C:C&lt;=$L$4),ROW(),"-")</f>
        <v>-</v>
      </c>
      <c r="D176" s="59" t="str">
        <f>IFERROR(INDEX('领用录入（明细）'!$B:$L,SMALL($B:$B,ROW(B170)),MATCH(D$7,$D$7:$L$7,0)),"")</f>
        <v/>
      </c>
      <c r="E176" s="114" t="str">
        <f>IFERROR(INDEX('领用录入（明细）'!$B:$L,SMALL($B:$B,ROW(C170)),MATCH(E$7,$D$7:$L$7,0)),"")</f>
        <v/>
      </c>
      <c r="F176" s="60" t="str">
        <f>IFERROR(INDEX('领用录入（明细）'!$B:$L,SMALL($B:$B,ROW(D170)),MATCH(F$7,$D$7:$L$7,0)),"")</f>
        <v/>
      </c>
      <c r="G176" s="60" t="str">
        <f>IFERROR(INDEX('领用录入（明细）'!$B:$L,SMALL($B:$B,ROW(E170)),MATCH(G$7,$D$7:$L$7,0)),"")</f>
        <v/>
      </c>
      <c r="H176" s="60" t="str">
        <f>IFERROR(INDEX('领用录入（明细）'!$B:$L,SMALL($B:$B,ROW(F170)),MATCH(H$7,$D$7:$L$7,0)),"")</f>
        <v/>
      </c>
      <c r="I176" s="60" t="str">
        <f>IFERROR(INDEX('领用录入（明细）'!$B:$L,SMALL($B:$B,ROW(G170)),MATCH(I$7,$D$7:$L$7,0)),"")</f>
        <v/>
      </c>
      <c r="J176" s="60" t="str">
        <f>IFERROR(INDEX('领用录入（明细）'!$B:$L,SMALL($B:$B,ROW(H170)),MATCH(J$7,$D$7:$L$7,0)),"")</f>
        <v/>
      </c>
      <c r="K176" s="60" t="str">
        <f>IFERROR(INDEX('领用录入（明细）'!$B:$L,SMALL($B:$B,ROW(I170)),MATCH(K$7,$D$7:$L$7,0)),"")</f>
        <v/>
      </c>
      <c r="L176" s="60" t="str">
        <f>IFERROR(INDEX('领用录入（明细）'!$B:$L,SMALL($B:$B,ROW(J170)),MATCH(L$7,$D$7:$L$7,0)),"")</f>
        <v/>
      </c>
      <c r="M176" s="60" t="str">
        <f t="shared" si="2"/>
        <v/>
      </c>
    </row>
    <row r="177" customHeight="1" spans="2:13">
      <c r="B177" s="62">
        <f>IF(AND('领用录入（明细）'!D:D=$F$4,'领用录入（明细）'!C:C&gt;=$J$4,'领用录入（明细）'!C:C&lt;=$L$4),ROW(),"-")</f>
        <v>177</v>
      </c>
      <c r="D177" s="59" t="str">
        <f>IFERROR(INDEX('领用录入（明细）'!$B:$L,SMALL($B:$B,ROW(B171)),MATCH(D$7,$D$7:$L$7,0)),"")</f>
        <v/>
      </c>
      <c r="E177" s="114" t="str">
        <f>IFERROR(INDEX('领用录入（明细）'!$B:$L,SMALL($B:$B,ROW(C171)),MATCH(E$7,$D$7:$L$7,0)),"")</f>
        <v/>
      </c>
      <c r="F177" s="60" t="str">
        <f>IFERROR(INDEX('领用录入（明细）'!$B:$L,SMALL($B:$B,ROW(D171)),MATCH(F$7,$D$7:$L$7,0)),"")</f>
        <v/>
      </c>
      <c r="G177" s="60" t="str">
        <f>IFERROR(INDEX('领用录入（明细）'!$B:$L,SMALL($B:$B,ROW(E171)),MATCH(G$7,$D$7:$L$7,0)),"")</f>
        <v/>
      </c>
      <c r="H177" s="60" t="str">
        <f>IFERROR(INDEX('领用录入（明细）'!$B:$L,SMALL($B:$B,ROW(F171)),MATCH(H$7,$D$7:$L$7,0)),"")</f>
        <v/>
      </c>
      <c r="I177" s="60" t="str">
        <f>IFERROR(INDEX('领用录入（明细）'!$B:$L,SMALL($B:$B,ROW(G171)),MATCH(I$7,$D$7:$L$7,0)),"")</f>
        <v/>
      </c>
      <c r="J177" s="60" t="str">
        <f>IFERROR(INDEX('领用录入（明细）'!$B:$L,SMALL($B:$B,ROW(H171)),MATCH(J$7,$D$7:$L$7,0)),"")</f>
        <v/>
      </c>
      <c r="K177" s="60" t="str">
        <f>IFERROR(INDEX('领用录入（明细）'!$B:$L,SMALL($B:$B,ROW(I171)),MATCH(K$7,$D$7:$L$7,0)),"")</f>
        <v/>
      </c>
      <c r="L177" s="60" t="str">
        <f>IFERROR(INDEX('领用录入（明细）'!$B:$L,SMALL($B:$B,ROW(J171)),MATCH(L$7,$D$7:$L$7,0)),"")</f>
        <v/>
      </c>
      <c r="M177" s="60" t="str">
        <f t="shared" si="2"/>
        <v/>
      </c>
    </row>
    <row r="178" customHeight="1" spans="2:13">
      <c r="B178" s="62" t="str">
        <f>IF(AND('领用录入（明细）'!D:D=$F$4,'领用录入（明细）'!C:C&gt;=$J$4,'领用录入（明细）'!C:C&lt;=$L$4),ROW(),"-")</f>
        <v>-</v>
      </c>
      <c r="D178" s="59" t="str">
        <f>IFERROR(INDEX('领用录入（明细）'!$B:$L,SMALL($B:$B,ROW(B172)),MATCH(D$7,$D$7:$L$7,0)),"")</f>
        <v/>
      </c>
      <c r="E178" s="114" t="str">
        <f>IFERROR(INDEX('领用录入（明细）'!$B:$L,SMALL($B:$B,ROW(C172)),MATCH(E$7,$D$7:$L$7,0)),"")</f>
        <v/>
      </c>
      <c r="F178" s="60" t="str">
        <f>IFERROR(INDEX('领用录入（明细）'!$B:$L,SMALL($B:$B,ROW(D172)),MATCH(F$7,$D$7:$L$7,0)),"")</f>
        <v/>
      </c>
      <c r="G178" s="60" t="str">
        <f>IFERROR(INDEX('领用录入（明细）'!$B:$L,SMALL($B:$B,ROW(E172)),MATCH(G$7,$D$7:$L$7,0)),"")</f>
        <v/>
      </c>
      <c r="H178" s="60" t="str">
        <f>IFERROR(INDEX('领用录入（明细）'!$B:$L,SMALL($B:$B,ROW(F172)),MATCH(H$7,$D$7:$L$7,0)),"")</f>
        <v/>
      </c>
      <c r="I178" s="60" t="str">
        <f>IFERROR(INDEX('领用录入（明细）'!$B:$L,SMALL($B:$B,ROW(G172)),MATCH(I$7,$D$7:$L$7,0)),"")</f>
        <v/>
      </c>
      <c r="J178" s="60" t="str">
        <f>IFERROR(INDEX('领用录入（明细）'!$B:$L,SMALL($B:$B,ROW(H172)),MATCH(J$7,$D$7:$L$7,0)),"")</f>
        <v/>
      </c>
      <c r="K178" s="60" t="str">
        <f>IFERROR(INDEX('领用录入（明细）'!$B:$L,SMALL($B:$B,ROW(I172)),MATCH(K$7,$D$7:$L$7,0)),"")</f>
        <v/>
      </c>
      <c r="L178" s="60" t="str">
        <f>IFERROR(INDEX('领用录入（明细）'!$B:$L,SMALL($B:$B,ROW(J172)),MATCH(L$7,$D$7:$L$7,0)),"")</f>
        <v/>
      </c>
      <c r="M178" s="60" t="str">
        <f t="shared" si="2"/>
        <v/>
      </c>
    </row>
    <row r="179" customHeight="1" spans="2:13">
      <c r="B179" s="62" t="str">
        <f>IF(AND('领用录入（明细）'!D:D=$F$4,'领用录入（明细）'!C:C&gt;=$J$4,'领用录入（明细）'!C:C&lt;=$L$4),ROW(),"-")</f>
        <v>-</v>
      </c>
      <c r="D179" s="59" t="str">
        <f>IFERROR(INDEX('领用录入（明细）'!$B:$L,SMALL($B:$B,ROW(B173)),MATCH(D$7,$D$7:$L$7,0)),"")</f>
        <v/>
      </c>
      <c r="E179" s="114" t="str">
        <f>IFERROR(INDEX('领用录入（明细）'!$B:$L,SMALL($B:$B,ROW(C173)),MATCH(E$7,$D$7:$L$7,0)),"")</f>
        <v/>
      </c>
      <c r="F179" s="60" t="str">
        <f>IFERROR(INDEX('领用录入（明细）'!$B:$L,SMALL($B:$B,ROW(D173)),MATCH(F$7,$D$7:$L$7,0)),"")</f>
        <v/>
      </c>
      <c r="G179" s="60" t="str">
        <f>IFERROR(INDEX('领用录入（明细）'!$B:$L,SMALL($B:$B,ROW(E173)),MATCH(G$7,$D$7:$L$7,0)),"")</f>
        <v/>
      </c>
      <c r="H179" s="60" t="str">
        <f>IFERROR(INDEX('领用录入（明细）'!$B:$L,SMALL($B:$B,ROW(F173)),MATCH(H$7,$D$7:$L$7,0)),"")</f>
        <v/>
      </c>
      <c r="I179" s="60" t="str">
        <f>IFERROR(INDEX('领用录入（明细）'!$B:$L,SMALL($B:$B,ROW(G173)),MATCH(I$7,$D$7:$L$7,0)),"")</f>
        <v/>
      </c>
      <c r="J179" s="60" t="str">
        <f>IFERROR(INDEX('领用录入（明细）'!$B:$L,SMALL($B:$B,ROW(H173)),MATCH(J$7,$D$7:$L$7,0)),"")</f>
        <v/>
      </c>
      <c r="K179" s="60" t="str">
        <f>IFERROR(INDEX('领用录入（明细）'!$B:$L,SMALL($B:$B,ROW(I173)),MATCH(K$7,$D$7:$L$7,0)),"")</f>
        <v/>
      </c>
      <c r="L179" s="60" t="str">
        <f>IFERROR(INDEX('领用录入（明细）'!$B:$L,SMALL($B:$B,ROW(J173)),MATCH(L$7,$D$7:$L$7,0)),"")</f>
        <v/>
      </c>
      <c r="M179" s="60" t="str">
        <f t="shared" si="2"/>
        <v/>
      </c>
    </row>
    <row r="180" customHeight="1" spans="2:13">
      <c r="B180" s="62" t="str">
        <f>IF(AND('领用录入（明细）'!D:D=$F$4,'领用录入（明细）'!C:C&gt;=$J$4,'领用录入（明细）'!C:C&lt;=$L$4),ROW(),"-")</f>
        <v>-</v>
      </c>
      <c r="D180" s="59" t="str">
        <f>IFERROR(INDEX('领用录入（明细）'!$B:$L,SMALL($B:$B,ROW(B174)),MATCH(D$7,$D$7:$L$7,0)),"")</f>
        <v/>
      </c>
      <c r="E180" s="114" t="str">
        <f>IFERROR(INDEX('领用录入（明细）'!$B:$L,SMALL($B:$B,ROW(C174)),MATCH(E$7,$D$7:$L$7,0)),"")</f>
        <v/>
      </c>
      <c r="F180" s="60" t="str">
        <f>IFERROR(INDEX('领用录入（明细）'!$B:$L,SMALL($B:$B,ROW(D174)),MATCH(F$7,$D$7:$L$7,0)),"")</f>
        <v/>
      </c>
      <c r="G180" s="60" t="str">
        <f>IFERROR(INDEX('领用录入（明细）'!$B:$L,SMALL($B:$B,ROW(E174)),MATCH(G$7,$D$7:$L$7,0)),"")</f>
        <v/>
      </c>
      <c r="H180" s="60" t="str">
        <f>IFERROR(INDEX('领用录入（明细）'!$B:$L,SMALL($B:$B,ROW(F174)),MATCH(H$7,$D$7:$L$7,0)),"")</f>
        <v/>
      </c>
      <c r="I180" s="60" t="str">
        <f>IFERROR(INDEX('领用录入（明细）'!$B:$L,SMALL($B:$B,ROW(G174)),MATCH(I$7,$D$7:$L$7,0)),"")</f>
        <v/>
      </c>
      <c r="J180" s="60" t="str">
        <f>IFERROR(INDEX('领用录入（明细）'!$B:$L,SMALL($B:$B,ROW(H174)),MATCH(J$7,$D$7:$L$7,0)),"")</f>
        <v/>
      </c>
      <c r="K180" s="60" t="str">
        <f>IFERROR(INDEX('领用录入（明细）'!$B:$L,SMALL($B:$B,ROW(I174)),MATCH(K$7,$D$7:$L$7,0)),"")</f>
        <v/>
      </c>
      <c r="L180" s="60" t="str">
        <f>IFERROR(INDEX('领用录入（明细）'!$B:$L,SMALL($B:$B,ROW(J174)),MATCH(L$7,$D$7:$L$7,0)),"")</f>
        <v/>
      </c>
      <c r="M180" s="60" t="str">
        <f t="shared" si="2"/>
        <v/>
      </c>
    </row>
    <row r="181" customHeight="1" spans="2:13">
      <c r="B181" s="62" t="str">
        <f>IF(AND('领用录入（明细）'!D:D=$F$4,'领用录入（明细）'!C:C&gt;=$J$4,'领用录入（明细）'!C:C&lt;=$L$4),ROW(),"-")</f>
        <v>-</v>
      </c>
      <c r="D181" s="59" t="str">
        <f>IFERROR(INDEX('领用录入（明细）'!$B:$L,SMALL($B:$B,ROW(B175)),MATCH(D$7,$D$7:$L$7,0)),"")</f>
        <v/>
      </c>
      <c r="E181" s="114" t="str">
        <f>IFERROR(INDEX('领用录入（明细）'!$B:$L,SMALL($B:$B,ROW(C175)),MATCH(E$7,$D$7:$L$7,0)),"")</f>
        <v/>
      </c>
      <c r="F181" s="60" t="str">
        <f>IFERROR(INDEX('领用录入（明细）'!$B:$L,SMALL($B:$B,ROW(D175)),MATCH(F$7,$D$7:$L$7,0)),"")</f>
        <v/>
      </c>
      <c r="G181" s="60" t="str">
        <f>IFERROR(INDEX('领用录入（明细）'!$B:$L,SMALL($B:$B,ROW(E175)),MATCH(G$7,$D$7:$L$7,0)),"")</f>
        <v/>
      </c>
      <c r="H181" s="60" t="str">
        <f>IFERROR(INDEX('领用录入（明细）'!$B:$L,SMALL($B:$B,ROW(F175)),MATCH(H$7,$D$7:$L$7,0)),"")</f>
        <v/>
      </c>
      <c r="I181" s="60" t="str">
        <f>IFERROR(INDEX('领用录入（明细）'!$B:$L,SMALL($B:$B,ROW(G175)),MATCH(I$7,$D$7:$L$7,0)),"")</f>
        <v/>
      </c>
      <c r="J181" s="60" t="str">
        <f>IFERROR(INDEX('领用录入（明细）'!$B:$L,SMALL($B:$B,ROW(H175)),MATCH(J$7,$D$7:$L$7,0)),"")</f>
        <v/>
      </c>
      <c r="K181" s="60" t="str">
        <f>IFERROR(INDEX('领用录入（明细）'!$B:$L,SMALL($B:$B,ROW(I175)),MATCH(K$7,$D$7:$L$7,0)),"")</f>
        <v/>
      </c>
      <c r="L181" s="60" t="str">
        <f>IFERROR(INDEX('领用录入（明细）'!$B:$L,SMALL($B:$B,ROW(J175)),MATCH(L$7,$D$7:$L$7,0)),"")</f>
        <v/>
      </c>
      <c r="M181" s="60" t="str">
        <f t="shared" si="2"/>
        <v/>
      </c>
    </row>
    <row r="182" customHeight="1" spans="2:13">
      <c r="B182" s="62" t="str">
        <f>IF(AND('领用录入（明细）'!D:D=$F$4,'领用录入（明细）'!C:C&gt;=$J$4,'领用录入（明细）'!C:C&lt;=$L$4),ROW(),"-")</f>
        <v>-</v>
      </c>
      <c r="D182" s="59" t="str">
        <f>IFERROR(INDEX('领用录入（明细）'!$B:$L,SMALL($B:$B,ROW(B176)),MATCH(D$7,$D$7:$L$7,0)),"")</f>
        <v/>
      </c>
      <c r="E182" s="114" t="str">
        <f>IFERROR(INDEX('领用录入（明细）'!$B:$L,SMALL($B:$B,ROW(C176)),MATCH(E$7,$D$7:$L$7,0)),"")</f>
        <v/>
      </c>
      <c r="F182" s="60" t="str">
        <f>IFERROR(INDEX('领用录入（明细）'!$B:$L,SMALL($B:$B,ROW(D176)),MATCH(F$7,$D$7:$L$7,0)),"")</f>
        <v/>
      </c>
      <c r="G182" s="60" t="str">
        <f>IFERROR(INDEX('领用录入（明细）'!$B:$L,SMALL($B:$B,ROW(E176)),MATCH(G$7,$D$7:$L$7,0)),"")</f>
        <v/>
      </c>
      <c r="H182" s="60" t="str">
        <f>IFERROR(INDEX('领用录入（明细）'!$B:$L,SMALL($B:$B,ROW(F176)),MATCH(H$7,$D$7:$L$7,0)),"")</f>
        <v/>
      </c>
      <c r="I182" s="60" t="str">
        <f>IFERROR(INDEX('领用录入（明细）'!$B:$L,SMALL($B:$B,ROW(G176)),MATCH(I$7,$D$7:$L$7,0)),"")</f>
        <v/>
      </c>
      <c r="J182" s="60" t="str">
        <f>IFERROR(INDEX('领用录入（明细）'!$B:$L,SMALL($B:$B,ROW(H176)),MATCH(J$7,$D$7:$L$7,0)),"")</f>
        <v/>
      </c>
      <c r="K182" s="60" t="str">
        <f>IFERROR(INDEX('领用录入（明细）'!$B:$L,SMALL($B:$B,ROW(I176)),MATCH(K$7,$D$7:$L$7,0)),"")</f>
        <v/>
      </c>
      <c r="L182" s="60" t="str">
        <f>IFERROR(INDEX('领用录入（明细）'!$B:$L,SMALL($B:$B,ROW(J176)),MATCH(L$7,$D$7:$L$7,0)),"")</f>
        <v/>
      </c>
      <c r="M182" s="60" t="str">
        <f t="shared" si="2"/>
        <v/>
      </c>
    </row>
    <row r="183" customHeight="1" spans="2:13">
      <c r="B183" s="62" t="str">
        <f>IF(AND('领用录入（明细）'!D:D=$F$4,'领用录入（明细）'!C:C&gt;=$J$4,'领用录入（明细）'!C:C&lt;=$L$4),ROW(),"-")</f>
        <v>-</v>
      </c>
      <c r="D183" s="59" t="str">
        <f>IFERROR(INDEX('领用录入（明细）'!$B:$L,SMALL($B:$B,ROW(B177)),MATCH(D$7,$D$7:$L$7,0)),"")</f>
        <v/>
      </c>
      <c r="E183" s="114" t="str">
        <f>IFERROR(INDEX('领用录入（明细）'!$B:$L,SMALL($B:$B,ROW(C177)),MATCH(E$7,$D$7:$L$7,0)),"")</f>
        <v/>
      </c>
      <c r="F183" s="60" t="str">
        <f>IFERROR(INDEX('领用录入（明细）'!$B:$L,SMALL($B:$B,ROW(D177)),MATCH(F$7,$D$7:$L$7,0)),"")</f>
        <v/>
      </c>
      <c r="G183" s="60" t="str">
        <f>IFERROR(INDEX('领用录入（明细）'!$B:$L,SMALL($B:$B,ROW(E177)),MATCH(G$7,$D$7:$L$7,0)),"")</f>
        <v/>
      </c>
      <c r="H183" s="60" t="str">
        <f>IFERROR(INDEX('领用录入（明细）'!$B:$L,SMALL($B:$B,ROW(F177)),MATCH(H$7,$D$7:$L$7,0)),"")</f>
        <v/>
      </c>
      <c r="I183" s="60" t="str">
        <f>IFERROR(INDEX('领用录入（明细）'!$B:$L,SMALL($B:$B,ROW(G177)),MATCH(I$7,$D$7:$L$7,0)),"")</f>
        <v/>
      </c>
      <c r="J183" s="60" t="str">
        <f>IFERROR(INDEX('领用录入（明细）'!$B:$L,SMALL($B:$B,ROW(H177)),MATCH(J$7,$D$7:$L$7,0)),"")</f>
        <v/>
      </c>
      <c r="K183" s="60" t="str">
        <f>IFERROR(INDEX('领用录入（明细）'!$B:$L,SMALL($B:$B,ROW(I177)),MATCH(K$7,$D$7:$L$7,0)),"")</f>
        <v/>
      </c>
      <c r="L183" s="60" t="str">
        <f>IFERROR(INDEX('领用录入（明细）'!$B:$L,SMALL($B:$B,ROW(J177)),MATCH(L$7,$D$7:$L$7,0)),"")</f>
        <v/>
      </c>
      <c r="M183" s="60" t="str">
        <f t="shared" si="2"/>
        <v/>
      </c>
    </row>
    <row r="184" customHeight="1" spans="2:13">
      <c r="B184" s="62" t="str">
        <f>IF(AND('领用录入（明细）'!D:D=$F$4,'领用录入（明细）'!C:C&gt;=$J$4,'领用录入（明细）'!C:C&lt;=$L$4),ROW(),"-")</f>
        <v>-</v>
      </c>
      <c r="D184" s="59" t="str">
        <f>IFERROR(INDEX('领用录入（明细）'!$B:$L,SMALL($B:$B,ROW(B178)),MATCH(D$7,$D$7:$L$7,0)),"")</f>
        <v/>
      </c>
      <c r="E184" s="114" t="str">
        <f>IFERROR(INDEX('领用录入（明细）'!$B:$L,SMALL($B:$B,ROW(C178)),MATCH(E$7,$D$7:$L$7,0)),"")</f>
        <v/>
      </c>
      <c r="F184" s="60" t="str">
        <f>IFERROR(INDEX('领用录入（明细）'!$B:$L,SMALL($B:$B,ROW(D178)),MATCH(F$7,$D$7:$L$7,0)),"")</f>
        <v/>
      </c>
      <c r="G184" s="60" t="str">
        <f>IFERROR(INDEX('领用录入（明细）'!$B:$L,SMALL($B:$B,ROW(E178)),MATCH(G$7,$D$7:$L$7,0)),"")</f>
        <v/>
      </c>
      <c r="H184" s="60" t="str">
        <f>IFERROR(INDEX('领用录入（明细）'!$B:$L,SMALL($B:$B,ROW(F178)),MATCH(H$7,$D$7:$L$7,0)),"")</f>
        <v/>
      </c>
      <c r="I184" s="60" t="str">
        <f>IFERROR(INDEX('领用录入（明细）'!$B:$L,SMALL($B:$B,ROW(G178)),MATCH(I$7,$D$7:$L$7,0)),"")</f>
        <v/>
      </c>
      <c r="J184" s="60" t="str">
        <f>IFERROR(INDEX('领用录入（明细）'!$B:$L,SMALL($B:$B,ROW(H178)),MATCH(J$7,$D$7:$L$7,0)),"")</f>
        <v/>
      </c>
      <c r="K184" s="60" t="str">
        <f>IFERROR(INDEX('领用录入（明细）'!$B:$L,SMALL($B:$B,ROW(I178)),MATCH(K$7,$D$7:$L$7,0)),"")</f>
        <v/>
      </c>
      <c r="L184" s="60" t="str">
        <f>IFERROR(INDEX('领用录入（明细）'!$B:$L,SMALL($B:$B,ROW(J178)),MATCH(L$7,$D$7:$L$7,0)),"")</f>
        <v/>
      </c>
      <c r="M184" s="60" t="str">
        <f t="shared" si="2"/>
        <v/>
      </c>
    </row>
    <row r="185" customHeight="1" spans="2:13">
      <c r="B185" s="62" t="str">
        <f>IF(AND('领用录入（明细）'!D:D=$F$4,'领用录入（明细）'!C:C&gt;=$J$4,'领用录入（明细）'!C:C&lt;=$L$4),ROW(),"-")</f>
        <v>-</v>
      </c>
      <c r="D185" s="59" t="str">
        <f>IFERROR(INDEX('领用录入（明细）'!$B:$L,SMALL($B:$B,ROW(B179)),MATCH(D$7,$D$7:$L$7,0)),"")</f>
        <v/>
      </c>
      <c r="E185" s="114" t="str">
        <f>IFERROR(INDEX('领用录入（明细）'!$B:$L,SMALL($B:$B,ROW(C179)),MATCH(E$7,$D$7:$L$7,0)),"")</f>
        <v/>
      </c>
      <c r="F185" s="60" t="str">
        <f>IFERROR(INDEX('领用录入（明细）'!$B:$L,SMALL($B:$B,ROW(D179)),MATCH(F$7,$D$7:$L$7,0)),"")</f>
        <v/>
      </c>
      <c r="G185" s="60" t="str">
        <f>IFERROR(INDEX('领用录入（明细）'!$B:$L,SMALL($B:$B,ROW(E179)),MATCH(G$7,$D$7:$L$7,0)),"")</f>
        <v/>
      </c>
      <c r="H185" s="60" t="str">
        <f>IFERROR(INDEX('领用录入（明细）'!$B:$L,SMALL($B:$B,ROW(F179)),MATCH(H$7,$D$7:$L$7,0)),"")</f>
        <v/>
      </c>
      <c r="I185" s="60" t="str">
        <f>IFERROR(INDEX('领用录入（明细）'!$B:$L,SMALL($B:$B,ROW(G179)),MATCH(I$7,$D$7:$L$7,0)),"")</f>
        <v/>
      </c>
      <c r="J185" s="60" t="str">
        <f>IFERROR(INDEX('领用录入（明细）'!$B:$L,SMALL($B:$B,ROW(H179)),MATCH(J$7,$D$7:$L$7,0)),"")</f>
        <v/>
      </c>
      <c r="K185" s="60" t="str">
        <f>IFERROR(INDEX('领用录入（明细）'!$B:$L,SMALL($B:$B,ROW(I179)),MATCH(K$7,$D$7:$L$7,0)),"")</f>
        <v/>
      </c>
      <c r="L185" s="60" t="str">
        <f>IFERROR(INDEX('领用录入（明细）'!$B:$L,SMALL($B:$B,ROW(J179)),MATCH(L$7,$D$7:$L$7,0)),"")</f>
        <v/>
      </c>
      <c r="M185" s="60" t="str">
        <f t="shared" si="2"/>
        <v/>
      </c>
    </row>
    <row r="186" customHeight="1" spans="2:13">
      <c r="B186" s="62" t="str">
        <f>IF(AND('领用录入（明细）'!D:D=$F$4,'领用录入（明细）'!C:C&gt;=$J$4,'领用录入（明细）'!C:C&lt;=$L$4),ROW(),"-")</f>
        <v>-</v>
      </c>
      <c r="D186" s="59" t="str">
        <f>IFERROR(INDEX('领用录入（明细）'!$B:$L,SMALL($B:$B,ROW(B180)),MATCH(D$7,$D$7:$L$7,0)),"")</f>
        <v/>
      </c>
      <c r="E186" s="114" t="str">
        <f>IFERROR(INDEX('领用录入（明细）'!$B:$L,SMALL($B:$B,ROW(C180)),MATCH(E$7,$D$7:$L$7,0)),"")</f>
        <v/>
      </c>
      <c r="F186" s="60" t="str">
        <f>IFERROR(INDEX('领用录入（明细）'!$B:$L,SMALL($B:$B,ROW(D180)),MATCH(F$7,$D$7:$L$7,0)),"")</f>
        <v/>
      </c>
      <c r="G186" s="60" t="str">
        <f>IFERROR(INDEX('领用录入（明细）'!$B:$L,SMALL($B:$B,ROW(E180)),MATCH(G$7,$D$7:$L$7,0)),"")</f>
        <v/>
      </c>
      <c r="H186" s="60" t="str">
        <f>IFERROR(INDEX('领用录入（明细）'!$B:$L,SMALL($B:$B,ROW(F180)),MATCH(H$7,$D$7:$L$7,0)),"")</f>
        <v/>
      </c>
      <c r="I186" s="60" t="str">
        <f>IFERROR(INDEX('领用录入（明细）'!$B:$L,SMALL($B:$B,ROW(G180)),MATCH(I$7,$D$7:$L$7,0)),"")</f>
        <v/>
      </c>
      <c r="J186" s="60" t="str">
        <f>IFERROR(INDEX('领用录入（明细）'!$B:$L,SMALL($B:$B,ROW(H180)),MATCH(J$7,$D$7:$L$7,0)),"")</f>
        <v/>
      </c>
      <c r="K186" s="60" t="str">
        <f>IFERROR(INDEX('领用录入（明细）'!$B:$L,SMALL($B:$B,ROW(I180)),MATCH(K$7,$D$7:$L$7,0)),"")</f>
        <v/>
      </c>
      <c r="L186" s="60" t="str">
        <f>IFERROR(INDEX('领用录入（明细）'!$B:$L,SMALL($B:$B,ROW(J180)),MATCH(L$7,$D$7:$L$7,0)),"")</f>
        <v/>
      </c>
      <c r="M186" s="60" t="str">
        <f t="shared" si="2"/>
        <v/>
      </c>
    </row>
    <row r="187" customHeight="1" spans="2:13">
      <c r="B187" s="62" t="str">
        <f>IF(AND('领用录入（明细）'!D:D=$F$4,'领用录入（明细）'!C:C&gt;=$J$4,'领用录入（明细）'!C:C&lt;=$L$4),ROW(),"-")</f>
        <v>-</v>
      </c>
      <c r="D187" s="59" t="str">
        <f>IFERROR(INDEX('领用录入（明细）'!$B:$L,SMALL($B:$B,ROW(B181)),MATCH(D$7,$D$7:$L$7,0)),"")</f>
        <v/>
      </c>
      <c r="E187" s="114" t="str">
        <f>IFERROR(INDEX('领用录入（明细）'!$B:$L,SMALL($B:$B,ROW(C181)),MATCH(E$7,$D$7:$L$7,0)),"")</f>
        <v/>
      </c>
      <c r="F187" s="60" t="str">
        <f>IFERROR(INDEX('领用录入（明细）'!$B:$L,SMALL($B:$B,ROW(D181)),MATCH(F$7,$D$7:$L$7,0)),"")</f>
        <v/>
      </c>
      <c r="G187" s="60" t="str">
        <f>IFERROR(INDEX('领用录入（明细）'!$B:$L,SMALL($B:$B,ROW(E181)),MATCH(G$7,$D$7:$L$7,0)),"")</f>
        <v/>
      </c>
      <c r="H187" s="60" t="str">
        <f>IFERROR(INDEX('领用录入（明细）'!$B:$L,SMALL($B:$B,ROW(F181)),MATCH(H$7,$D$7:$L$7,0)),"")</f>
        <v/>
      </c>
      <c r="I187" s="60" t="str">
        <f>IFERROR(INDEX('领用录入（明细）'!$B:$L,SMALL($B:$B,ROW(G181)),MATCH(I$7,$D$7:$L$7,0)),"")</f>
        <v/>
      </c>
      <c r="J187" s="60" t="str">
        <f>IFERROR(INDEX('领用录入（明细）'!$B:$L,SMALL($B:$B,ROW(H181)),MATCH(J$7,$D$7:$L$7,0)),"")</f>
        <v/>
      </c>
      <c r="K187" s="60" t="str">
        <f>IFERROR(INDEX('领用录入（明细）'!$B:$L,SMALL($B:$B,ROW(I181)),MATCH(K$7,$D$7:$L$7,0)),"")</f>
        <v/>
      </c>
      <c r="L187" s="60" t="str">
        <f>IFERROR(INDEX('领用录入（明细）'!$B:$L,SMALL($B:$B,ROW(J181)),MATCH(L$7,$D$7:$L$7,0)),"")</f>
        <v/>
      </c>
      <c r="M187" s="60" t="str">
        <f t="shared" si="2"/>
        <v/>
      </c>
    </row>
    <row r="188" customHeight="1" spans="2:13">
      <c r="B188" s="62" t="str">
        <f>IF(AND('领用录入（明细）'!D:D=$F$4,'领用录入（明细）'!C:C&gt;=$J$4,'领用录入（明细）'!C:C&lt;=$L$4),ROW(),"-")</f>
        <v>-</v>
      </c>
      <c r="D188" s="59" t="str">
        <f>IFERROR(INDEX('领用录入（明细）'!$B:$L,SMALL($B:$B,ROW(B182)),MATCH(D$7,$D$7:$L$7,0)),"")</f>
        <v/>
      </c>
      <c r="E188" s="114" t="str">
        <f>IFERROR(INDEX('领用录入（明细）'!$B:$L,SMALL($B:$B,ROW(C182)),MATCH(E$7,$D$7:$L$7,0)),"")</f>
        <v/>
      </c>
      <c r="F188" s="60" t="str">
        <f>IFERROR(INDEX('领用录入（明细）'!$B:$L,SMALL($B:$B,ROW(D182)),MATCH(F$7,$D$7:$L$7,0)),"")</f>
        <v/>
      </c>
      <c r="G188" s="60" t="str">
        <f>IFERROR(INDEX('领用录入（明细）'!$B:$L,SMALL($B:$B,ROW(E182)),MATCH(G$7,$D$7:$L$7,0)),"")</f>
        <v/>
      </c>
      <c r="H188" s="60" t="str">
        <f>IFERROR(INDEX('领用录入（明细）'!$B:$L,SMALL($B:$B,ROW(F182)),MATCH(H$7,$D$7:$L$7,0)),"")</f>
        <v/>
      </c>
      <c r="I188" s="60" t="str">
        <f>IFERROR(INDEX('领用录入（明细）'!$B:$L,SMALL($B:$B,ROW(G182)),MATCH(I$7,$D$7:$L$7,0)),"")</f>
        <v/>
      </c>
      <c r="J188" s="60" t="str">
        <f>IFERROR(INDEX('领用录入（明细）'!$B:$L,SMALL($B:$B,ROW(H182)),MATCH(J$7,$D$7:$L$7,0)),"")</f>
        <v/>
      </c>
      <c r="K188" s="60" t="str">
        <f>IFERROR(INDEX('领用录入（明细）'!$B:$L,SMALL($B:$B,ROW(I182)),MATCH(K$7,$D$7:$L$7,0)),"")</f>
        <v/>
      </c>
      <c r="L188" s="60" t="str">
        <f>IFERROR(INDEX('领用录入（明细）'!$B:$L,SMALL($B:$B,ROW(J182)),MATCH(L$7,$D$7:$L$7,0)),"")</f>
        <v/>
      </c>
      <c r="M188" s="60" t="str">
        <f t="shared" si="2"/>
        <v/>
      </c>
    </row>
    <row r="189" customHeight="1" spans="2:13">
      <c r="B189" s="62" t="str">
        <f>IF(AND('领用录入（明细）'!D:D=$F$4,'领用录入（明细）'!C:C&gt;=$J$4,'领用录入（明细）'!C:C&lt;=$L$4),ROW(),"-")</f>
        <v>-</v>
      </c>
      <c r="D189" s="59" t="str">
        <f>IFERROR(INDEX('领用录入（明细）'!$B:$L,SMALL($B:$B,ROW(B183)),MATCH(D$7,$D$7:$L$7,0)),"")</f>
        <v/>
      </c>
      <c r="E189" s="114" t="str">
        <f>IFERROR(INDEX('领用录入（明细）'!$B:$L,SMALL($B:$B,ROW(C183)),MATCH(E$7,$D$7:$L$7,0)),"")</f>
        <v/>
      </c>
      <c r="F189" s="60" t="str">
        <f>IFERROR(INDEX('领用录入（明细）'!$B:$L,SMALL($B:$B,ROW(D183)),MATCH(F$7,$D$7:$L$7,0)),"")</f>
        <v/>
      </c>
      <c r="G189" s="60" t="str">
        <f>IFERROR(INDEX('领用录入（明细）'!$B:$L,SMALL($B:$B,ROW(E183)),MATCH(G$7,$D$7:$L$7,0)),"")</f>
        <v/>
      </c>
      <c r="H189" s="60" t="str">
        <f>IFERROR(INDEX('领用录入（明细）'!$B:$L,SMALL($B:$B,ROW(F183)),MATCH(H$7,$D$7:$L$7,0)),"")</f>
        <v/>
      </c>
      <c r="I189" s="60" t="str">
        <f>IFERROR(INDEX('领用录入（明细）'!$B:$L,SMALL($B:$B,ROW(G183)),MATCH(I$7,$D$7:$L$7,0)),"")</f>
        <v/>
      </c>
      <c r="J189" s="60" t="str">
        <f>IFERROR(INDEX('领用录入（明细）'!$B:$L,SMALL($B:$B,ROW(H183)),MATCH(J$7,$D$7:$L$7,0)),"")</f>
        <v/>
      </c>
      <c r="K189" s="60" t="str">
        <f>IFERROR(INDEX('领用录入（明细）'!$B:$L,SMALL($B:$B,ROW(I183)),MATCH(K$7,$D$7:$L$7,0)),"")</f>
        <v/>
      </c>
      <c r="L189" s="60" t="str">
        <f>IFERROR(INDEX('领用录入（明细）'!$B:$L,SMALL($B:$B,ROW(J183)),MATCH(L$7,$D$7:$L$7,0)),"")</f>
        <v/>
      </c>
      <c r="M189" s="60" t="str">
        <f t="shared" si="2"/>
        <v/>
      </c>
    </row>
    <row r="190" customHeight="1" spans="2:13">
      <c r="B190" s="62" t="str">
        <f>IF(AND('领用录入（明细）'!D:D=$F$4,'领用录入（明细）'!C:C&gt;=$J$4,'领用录入（明细）'!C:C&lt;=$L$4),ROW(),"-")</f>
        <v>-</v>
      </c>
      <c r="D190" s="59" t="str">
        <f>IFERROR(INDEX('领用录入（明细）'!$B:$L,SMALL($B:$B,ROW(B184)),MATCH(D$7,$D$7:$L$7,0)),"")</f>
        <v/>
      </c>
      <c r="E190" s="114" t="str">
        <f>IFERROR(INDEX('领用录入（明细）'!$B:$L,SMALL($B:$B,ROW(C184)),MATCH(E$7,$D$7:$L$7,0)),"")</f>
        <v/>
      </c>
      <c r="F190" s="60" t="str">
        <f>IFERROR(INDEX('领用录入（明细）'!$B:$L,SMALL($B:$B,ROW(D184)),MATCH(F$7,$D$7:$L$7,0)),"")</f>
        <v/>
      </c>
      <c r="G190" s="60" t="str">
        <f>IFERROR(INDEX('领用录入（明细）'!$B:$L,SMALL($B:$B,ROW(E184)),MATCH(G$7,$D$7:$L$7,0)),"")</f>
        <v/>
      </c>
      <c r="H190" s="60" t="str">
        <f>IFERROR(INDEX('领用录入（明细）'!$B:$L,SMALL($B:$B,ROW(F184)),MATCH(H$7,$D$7:$L$7,0)),"")</f>
        <v/>
      </c>
      <c r="I190" s="60" t="str">
        <f>IFERROR(INDEX('领用录入（明细）'!$B:$L,SMALL($B:$B,ROW(G184)),MATCH(I$7,$D$7:$L$7,0)),"")</f>
        <v/>
      </c>
      <c r="J190" s="60" t="str">
        <f>IFERROR(INDEX('领用录入（明细）'!$B:$L,SMALL($B:$B,ROW(H184)),MATCH(J$7,$D$7:$L$7,0)),"")</f>
        <v/>
      </c>
      <c r="K190" s="60" t="str">
        <f>IFERROR(INDEX('领用录入（明细）'!$B:$L,SMALL($B:$B,ROW(I184)),MATCH(K$7,$D$7:$L$7,0)),"")</f>
        <v/>
      </c>
      <c r="L190" s="60" t="str">
        <f>IFERROR(INDEX('领用录入（明细）'!$B:$L,SMALL($B:$B,ROW(J184)),MATCH(L$7,$D$7:$L$7,0)),"")</f>
        <v/>
      </c>
      <c r="M190" s="60" t="str">
        <f t="shared" si="2"/>
        <v/>
      </c>
    </row>
    <row r="191" customHeight="1" spans="2:13">
      <c r="B191" s="62" t="str">
        <f>IF(AND('领用录入（明细）'!D:D=$F$4,'领用录入（明细）'!C:C&gt;=$J$4,'领用录入（明细）'!C:C&lt;=$L$4),ROW(),"-")</f>
        <v>-</v>
      </c>
      <c r="D191" s="59" t="str">
        <f>IFERROR(INDEX('领用录入（明细）'!$B:$L,SMALL($B:$B,ROW(B185)),MATCH(D$7,$D$7:$L$7,0)),"")</f>
        <v/>
      </c>
      <c r="E191" s="114" t="str">
        <f>IFERROR(INDEX('领用录入（明细）'!$B:$L,SMALL($B:$B,ROW(C185)),MATCH(E$7,$D$7:$L$7,0)),"")</f>
        <v/>
      </c>
      <c r="F191" s="60" t="str">
        <f>IFERROR(INDEX('领用录入（明细）'!$B:$L,SMALL($B:$B,ROW(D185)),MATCH(F$7,$D$7:$L$7,0)),"")</f>
        <v/>
      </c>
      <c r="G191" s="60" t="str">
        <f>IFERROR(INDEX('领用录入（明细）'!$B:$L,SMALL($B:$B,ROW(E185)),MATCH(G$7,$D$7:$L$7,0)),"")</f>
        <v/>
      </c>
      <c r="H191" s="60" t="str">
        <f>IFERROR(INDEX('领用录入（明细）'!$B:$L,SMALL($B:$B,ROW(F185)),MATCH(H$7,$D$7:$L$7,0)),"")</f>
        <v/>
      </c>
      <c r="I191" s="60" t="str">
        <f>IFERROR(INDEX('领用录入（明细）'!$B:$L,SMALL($B:$B,ROW(G185)),MATCH(I$7,$D$7:$L$7,0)),"")</f>
        <v/>
      </c>
      <c r="J191" s="60" t="str">
        <f>IFERROR(INDEX('领用录入（明细）'!$B:$L,SMALL($B:$B,ROW(H185)),MATCH(J$7,$D$7:$L$7,0)),"")</f>
        <v/>
      </c>
      <c r="K191" s="60" t="str">
        <f>IFERROR(INDEX('领用录入（明细）'!$B:$L,SMALL($B:$B,ROW(I185)),MATCH(K$7,$D$7:$L$7,0)),"")</f>
        <v/>
      </c>
      <c r="L191" s="60" t="str">
        <f>IFERROR(INDEX('领用录入（明细）'!$B:$L,SMALL($B:$B,ROW(J185)),MATCH(L$7,$D$7:$L$7,0)),"")</f>
        <v/>
      </c>
      <c r="M191" s="60" t="str">
        <f t="shared" si="2"/>
        <v/>
      </c>
    </row>
    <row r="192" customHeight="1" spans="2:13">
      <c r="B192" s="62" t="str">
        <f>IF(AND('领用录入（明细）'!D:D=$F$4,'领用录入（明细）'!C:C&gt;=$J$4,'领用录入（明细）'!C:C&lt;=$L$4),ROW(),"-")</f>
        <v>-</v>
      </c>
      <c r="D192" s="59" t="str">
        <f>IFERROR(INDEX('领用录入（明细）'!$B:$L,SMALL($B:$B,ROW(B186)),MATCH(D$7,$D$7:$L$7,0)),"")</f>
        <v/>
      </c>
      <c r="E192" s="114" t="str">
        <f>IFERROR(INDEX('领用录入（明细）'!$B:$L,SMALL($B:$B,ROW(C186)),MATCH(E$7,$D$7:$L$7,0)),"")</f>
        <v/>
      </c>
      <c r="F192" s="60" t="str">
        <f>IFERROR(INDEX('领用录入（明细）'!$B:$L,SMALL($B:$B,ROW(D186)),MATCH(F$7,$D$7:$L$7,0)),"")</f>
        <v/>
      </c>
      <c r="G192" s="60" t="str">
        <f>IFERROR(INDEX('领用录入（明细）'!$B:$L,SMALL($B:$B,ROW(E186)),MATCH(G$7,$D$7:$L$7,0)),"")</f>
        <v/>
      </c>
      <c r="H192" s="60" t="str">
        <f>IFERROR(INDEX('领用录入（明细）'!$B:$L,SMALL($B:$B,ROW(F186)),MATCH(H$7,$D$7:$L$7,0)),"")</f>
        <v/>
      </c>
      <c r="I192" s="60" t="str">
        <f>IFERROR(INDEX('领用录入（明细）'!$B:$L,SMALL($B:$B,ROW(G186)),MATCH(I$7,$D$7:$L$7,0)),"")</f>
        <v/>
      </c>
      <c r="J192" s="60" t="str">
        <f>IFERROR(INDEX('领用录入（明细）'!$B:$L,SMALL($B:$B,ROW(H186)),MATCH(J$7,$D$7:$L$7,0)),"")</f>
        <v/>
      </c>
      <c r="K192" s="60" t="str">
        <f>IFERROR(INDEX('领用录入（明细）'!$B:$L,SMALL($B:$B,ROW(I186)),MATCH(K$7,$D$7:$L$7,0)),"")</f>
        <v/>
      </c>
      <c r="L192" s="60" t="str">
        <f>IFERROR(INDEX('领用录入（明细）'!$B:$L,SMALL($B:$B,ROW(J186)),MATCH(L$7,$D$7:$L$7,0)),"")</f>
        <v/>
      </c>
      <c r="M192" s="60" t="str">
        <f t="shared" si="2"/>
        <v/>
      </c>
    </row>
    <row r="193" customHeight="1" spans="2:13">
      <c r="B193" s="62" t="str">
        <f>IF(AND('领用录入（明细）'!D:D=$F$4,'领用录入（明细）'!C:C&gt;=$J$4,'领用录入（明细）'!C:C&lt;=$L$4),ROW(),"-")</f>
        <v>-</v>
      </c>
      <c r="D193" s="59" t="str">
        <f>IFERROR(INDEX('领用录入（明细）'!$B:$L,SMALL($B:$B,ROW(B187)),MATCH(D$7,$D$7:$L$7,0)),"")</f>
        <v/>
      </c>
      <c r="E193" s="114" t="str">
        <f>IFERROR(INDEX('领用录入（明细）'!$B:$L,SMALL($B:$B,ROW(C187)),MATCH(E$7,$D$7:$L$7,0)),"")</f>
        <v/>
      </c>
      <c r="F193" s="60" t="str">
        <f>IFERROR(INDEX('领用录入（明细）'!$B:$L,SMALL($B:$B,ROW(D187)),MATCH(F$7,$D$7:$L$7,0)),"")</f>
        <v/>
      </c>
      <c r="G193" s="60" t="str">
        <f>IFERROR(INDEX('领用录入（明细）'!$B:$L,SMALL($B:$B,ROW(E187)),MATCH(G$7,$D$7:$L$7,0)),"")</f>
        <v/>
      </c>
      <c r="H193" s="60" t="str">
        <f>IFERROR(INDEX('领用录入（明细）'!$B:$L,SMALL($B:$B,ROW(F187)),MATCH(H$7,$D$7:$L$7,0)),"")</f>
        <v/>
      </c>
      <c r="I193" s="60" t="str">
        <f>IFERROR(INDEX('领用录入（明细）'!$B:$L,SMALL($B:$B,ROW(G187)),MATCH(I$7,$D$7:$L$7,0)),"")</f>
        <v/>
      </c>
      <c r="J193" s="60" t="str">
        <f>IFERROR(INDEX('领用录入（明细）'!$B:$L,SMALL($B:$B,ROW(H187)),MATCH(J$7,$D$7:$L$7,0)),"")</f>
        <v/>
      </c>
      <c r="K193" s="60" t="str">
        <f>IFERROR(INDEX('领用录入（明细）'!$B:$L,SMALL($B:$B,ROW(I187)),MATCH(K$7,$D$7:$L$7,0)),"")</f>
        <v/>
      </c>
      <c r="L193" s="60" t="str">
        <f>IFERROR(INDEX('领用录入（明细）'!$B:$L,SMALL($B:$B,ROW(J187)),MATCH(L$7,$D$7:$L$7,0)),"")</f>
        <v/>
      </c>
      <c r="M193" s="60" t="str">
        <f t="shared" si="2"/>
        <v/>
      </c>
    </row>
    <row r="194" customHeight="1" spans="2:13">
      <c r="B194" s="62" t="str">
        <f>IF(AND('领用录入（明细）'!D:D=$F$4,'领用录入（明细）'!C:C&gt;=$J$4,'领用录入（明细）'!C:C&lt;=$L$4),ROW(),"-")</f>
        <v>-</v>
      </c>
      <c r="D194" s="59" t="str">
        <f>IFERROR(INDEX('领用录入（明细）'!$B:$L,SMALL($B:$B,ROW(B188)),MATCH(D$7,$D$7:$L$7,0)),"")</f>
        <v/>
      </c>
      <c r="E194" s="114" t="str">
        <f>IFERROR(INDEX('领用录入（明细）'!$B:$L,SMALL($B:$B,ROW(C188)),MATCH(E$7,$D$7:$L$7,0)),"")</f>
        <v/>
      </c>
      <c r="F194" s="60" t="str">
        <f>IFERROR(INDEX('领用录入（明细）'!$B:$L,SMALL($B:$B,ROW(D188)),MATCH(F$7,$D$7:$L$7,0)),"")</f>
        <v/>
      </c>
      <c r="G194" s="60" t="str">
        <f>IFERROR(INDEX('领用录入（明细）'!$B:$L,SMALL($B:$B,ROW(E188)),MATCH(G$7,$D$7:$L$7,0)),"")</f>
        <v/>
      </c>
      <c r="H194" s="60" t="str">
        <f>IFERROR(INDEX('领用录入（明细）'!$B:$L,SMALL($B:$B,ROW(F188)),MATCH(H$7,$D$7:$L$7,0)),"")</f>
        <v/>
      </c>
      <c r="I194" s="60" t="str">
        <f>IFERROR(INDEX('领用录入（明细）'!$B:$L,SMALL($B:$B,ROW(G188)),MATCH(I$7,$D$7:$L$7,0)),"")</f>
        <v/>
      </c>
      <c r="J194" s="60" t="str">
        <f>IFERROR(INDEX('领用录入（明细）'!$B:$L,SMALL($B:$B,ROW(H188)),MATCH(J$7,$D$7:$L$7,0)),"")</f>
        <v/>
      </c>
      <c r="K194" s="60" t="str">
        <f>IFERROR(INDEX('领用录入（明细）'!$B:$L,SMALL($B:$B,ROW(I188)),MATCH(K$7,$D$7:$L$7,0)),"")</f>
        <v/>
      </c>
      <c r="L194" s="60" t="str">
        <f>IFERROR(INDEX('领用录入（明细）'!$B:$L,SMALL($B:$B,ROW(J188)),MATCH(L$7,$D$7:$L$7,0)),"")</f>
        <v/>
      </c>
      <c r="M194" s="60" t="str">
        <f t="shared" si="2"/>
        <v/>
      </c>
    </row>
    <row r="195" customHeight="1" spans="2:13">
      <c r="B195" s="62" t="str">
        <f>IF(AND('领用录入（明细）'!D:D=$F$4,'领用录入（明细）'!C:C&gt;=$J$4,'领用录入（明细）'!C:C&lt;=$L$4),ROW(),"-")</f>
        <v>-</v>
      </c>
      <c r="D195" s="59" t="str">
        <f>IFERROR(INDEX('领用录入（明细）'!$B:$L,SMALL($B:$B,ROW(B189)),MATCH(D$7,$D$7:$L$7,0)),"")</f>
        <v/>
      </c>
      <c r="E195" s="114" t="str">
        <f>IFERROR(INDEX('领用录入（明细）'!$B:$L,SMALL($B:$B,ROW(C189)),MATCH(E$7,$D$7:$L$7,0)),"")</f>
        <v/>
      </c>
      <c r="F195" s="60" t="str">
        <f>IFERROR(INDEX('领用录入（明细）'!$B:$L,SMALL($B:$B,ROW(D189)),MATCH(F$7,$D$7:$L$7,0)),"")</f>
        <v/>
      </c>
      <c r="G195" s="60" t="str">
        <f>IFERROR(INDEX('领用录入（明细）'!$B:$L,SMALL($B:$B,ROW(E189)),MATCH(G$7,$D$7:$L$7,0)),"")</f>
        <v/>
      </c>
      <c r="H195" s="60" t="str">
        <f>IFERROR(INDEX('领用录入（明细）'!$B:$L,SMALL($B:$B,ROW(F189)),MATCH(H$7,$D$7:$L$7,0)),"")</f>
        <v/>
      </c>
      <c r="I195" s="60" t="str">
        <f>IFERROR(INDEX('领用录入（明细）'!$B:$L,SMALL($B:$B,ROW(G189)),MATCH(I$7,$D$7:$L$7,0)),"")</f>
        <v/>
      </c>
      <c r="J195" s="60" t="str">
        <f>IFERROR(INDEX('领用录入（明细）'!$B:$L,SMALL($B:$B,ROW(H189)),MATCH(J$7,$D$7:$L$7,0)),"")</f>
        <v/>
      </c>
      <c r="K195" s="60" t="str">
        <f>IFERROR(INDEX('领用录入（明细）'!$B:$L,SMALL($B:$B,ROW(I189)),MATCH(K$7,$D$7:$L$7,0)),"")</f>
        <v/>
      </c>
      <c r="L195" s="60" t="str">
        <f>IFERROR(INDEX('领用录入（明细）'!$B:$L,SMALL($B:$B,ROW(J189)),MATCH(L$7,$D$7:$L$7,0)),"")</f>
        <v/>
      </c>
      <c r="M195" s="60" t="str">
        <f t="shared" si="2"/>
        <v/>
      </c>
    </row>
    <row r="196" customHeight="1" spans="2:13">
      <c r="B196" s="62" t="str">
        <f>IF(AND('领用录入（明细）'!D:D=$F$4,'领用录入（明细）'!C:C&gt;=$J$4,'领用录入（明细）'!C:C&lt;=$L$4),ROW(),"-")</f>
        <v>-</v>
      </c>
      <c r="D196" s="59" t="str">
        <f>IFERROR(INDEX('领用录入（明细）'!$B:$L,SMALL($B:$B,ROW(B190)),MATCH(D$7,$D$7:$L$7,0)),"")</f>
        <v/>
      </c>
      <c r="E196" s="114" t="str">
        <f>IFERROR(INDEX('领用录入（明细）'!$B:$L,SMALL($B:$B,ROW(C190)),MATCH(E$7,$D$7:$L$7,0)),"")</f>
        <v/>
      </c>
      <c r="F196" s="60" t="str">
        <f>IFERROR(INDEX('领用录入（明细）'!$B:$L,SMALL($B:$B,ROW(D190)),MATCH(F$7,$D$7:$L$7,0)),"")</f>
        <v/>
      </c>
      <c r="G196" s="60" t="str">
        <f>IFERROR(INDEX('领用录入（明细）'!$B:$L,SMALL($B:$B,ROW(E190)),MATCH(G$7,$D$7:$L$7,0)),"")</f>
        <v/>
      </c>
      <c r="H196" s="60" t="str">
        <f>IFERROR(INDEX('领用录入（明细）'!$B:$L,SMALL($B:$B,ROW(F190)),MATCH(H$7,$D$7:$L$7,0)),"")</f>
        <v/>
      </c>
      <c r="I196" s="60" t="str">
        <f>IFERROR(INDEX('领用录入（明细）'!$B:$L,SMALL($B:$B,ROW(G190)),MATCH(I$7,$D$7:$L$7,0)),"")</f>
        <v/>
      </c>
      <c r="J196" s="60" t="str">
        <f>IFERROR(INDEX('领用录入（明细）'!$B:$L,SMALL($B:$B,ROW(H190)),MATCH(J$7,$D$7:$L$7,0)),"")</f>
        <v/>
      </c>
      <c r="K196" s="60" t="str">
        <f>IFERROR(INDEX('领用录入（明细）'!$B:$L,SMALL($B:$B,ROW(I190)),MATCH(K$7,$D$7:$L$7,0)),"")</f>
        <v/>
      </c>
      <c r="L196" s="60" t="str">
        <f>IFERROR(INDEX('领用录入（明细）'!$B:$L,SMALL($B:$B,ROW(J190)),MATCH(L$7,$D$7:$L$7,0)),"")</f>
        <v/>
      </c>
      <c r="M196" s="60" t="str">
        <f t="shared" si="2"/>
        <v/>
      </c>
    </row>
    <row r="197" customHeight="1" spans="2:13">
      <c r="B197" s="62" t="str">
        <f>IF(AND('领用录入（明细）'!D:D=$F$4,'领用录入（明细）'!C:C&gt;=$J$4,'领用录入（明细）'!C:C&lt;=$L$4),ROW(),"-")</f>
        <v>-</v>
      </c>
      <c r="D197" s="59" t="str">
        <f>IFERROR(INDEX('领用录入（明细）'!$B:$L,SMALL($B:$B,ROW(B191)),MATCH(D$7,$D$7:$L$7,0)),"")</f>
        <v/>
      </c>
      <c r="E197" s="114" t="str">
        <f>IFERROR(INDEX('领用录入（明细）'!$B:$L,SMALL($B:$B,ROW(C191)),MATCH(E$7,$D$7:$L$7,0)),"")</f>
        <v/>
      </c>
      <c r="F197" s="60" t="str">
        <f>IFERROR(INDEX('领用录入（明细）'!$B:$L,SMALL($B:$B,ROW(D191)),MATCH(F$7,$D$7:$L$7,0)),"")</f>
        <v/>
      </c>
      <c r="G197" s="60" t="str">
        <f>IFERROR(INDEX('领用录入（明细）'!$B:$L,SMALL($B:$B,ROW(E191)),MATCH(G$7,$D$7:$L$7,0)),"")</f>
        <v/>
      </c>
      <c r="H197" s="60" t="str">
        <f>IFERROR(INDEX('领用录入（明细）'!$B:$L,SMALL($B:$B,ROW(F191)),MATCH(H$7,$D$7:$L$7,0)),"")</f>
        <v/>
      </c>
      <c r="I197" s="60" t="str">
        <f>IFERROR(INDEX('领用录入（明细）'!$B:$L,SMALL($B:$B,ROW(G191)),MATCH(I$7,$D$7:$L$7,0)),"")</f>
        <v/>
      </c>
      <c r="J197" s="60" t="str">
        <f>IFERROR(INDEX('领用录入（明细）'!$B:$L,SMALL($B:$B,ROW(H191)),MATCH(J$7,$D$7:$L$7,0)),"")</f>
        <v/>
      </c>
      <c r="K197" s="60" t="str">
        <f>IFERROR(INDEX('领用录入（明细）'!$B:$L,SMALL($B:$B,ROW(I191)),MATCH(K$7,$D$7:$L$7,0)),"")</f>
        <v/>
      </c>
      <c r="L197" s="60" t="str">
        <f>IFERROR(INDEX('领用录入（明细）'!$B:$L,SMALL($B:$B,ROW(J191)),MATCH(L$7,$D$7:$L$7,0)),"")</f>
        <v/>
      </c>
      <c r="M197" s="60" t="str">
        <f t="shared" si="2"/>
        <v/>
      </c>
    </row>
    <row r="198" customHeight="1" spans="2:13">
      <c r="B198" s="62" t="str">
        <f>IF(AND('领用录入（明细）'!D:D=$F$4,'领用录入（明细）'!C:C&gt;=$J$4,'领用录入（明细）'!C:C&lt;=$L$4),ROW(),"-")</f>
        <v>-</v>
      </c>
      <c r="D198" s="59" t="str">
        <f>IFERROR(INDEX('领用录入（明细）'!$B:$L,SMALL($B:$B,ROW(B192)),MATCH(D$7,$D$7:$L$7,0)),"")</f>
        <v/>
      </c>
      <c r="E198" s="114" t="str">
        <f>IFERROR(INDEX('领用录入（明细）'!$B:$L,SMALL($B:$B,ROW(C192)),MATCH(E$7,$D$7:$L$7,0)),"")</f>
        <v/>
      </c>
      <c r="F198" s="60" t="str">
        <f>IFERROR(INDEX('领用录入（明细）'!$B:$L,SMALL($B:$B,ROW(D192)),MATCH(F$7,$D$7:$L$7,0)),"")</f>
        <v/>
      </c>
      <c r="G198" s="60" t="str">
        <f>IFERROR(INDEX('领用录入（明细）'!$B:$L,SMALL($B:$B,ROW(E192)),MATCH(G$7,$D$7:$L$7,0)),"")</f>
        <v/>
      </c>
      <c r="H198" s="60" t="str">
        <f>IFERROR(INDEX('领用录入（明细）'!$B:$L,SMALL($B:$B,ROW(F192)),MATCH(H$7,$D$7:$L$7,0)),"")</f>
        <v/>
      </c>
      <c r="I198" s="60" t="str">
        <f>IFERROR(INDEX('领用录入（明细）'!$B:$L,SMALL($B:$B,ROW(G192)),MATCH(I$7,$D$7:$L$7,0)),"")</f>
        <v/>
      </c>
      <c r="J198" s="60" t="str">
        <f>IFERROR(INDEX('领用录入（明细）'!$B:$L,SMALL($B:$B,ROW(H192)),MATCH(J$7,$D$7:$L$7,0)),"")</f>
        <v/>
      </c>
      <c r="K198" s="60" t="str">
        <f>IFERROR(INDEX('领用录入（明细）'!$B:$L,SMALL($B:$B,ROW(I192)),MATCH(K$7,$D$7:$L$7,0)),"")</f>
        <v/>
      </c>
      <c r="L198" s="60" t="str">
        <f>IFERROR(INDEX('领用录入（明细）'!$B:$L,SMALL($B:$B,ROW(J192)),MATCH(L$7,$D$7:$L$7,0)),"")</f>
        <v/>
      </c>
      <c r="M198" s="60" t="str">
        <f t="shared" si="2"/>
        <v/>
      </c>
    </row>
    <row r="199" customHeight="1" spans="2:13">
      <c r="B199" s="62" t="str">
        <f>IF(AND('领用录入（明细）'!D:D=$F$4,'领用录入（明细）'!C:C&gt;=$J$4,'领用录入（明细）'!C:C&lt;=$L$4),ROW(),"-")</f>
        <v>-</v>
      </c>
      <c r="D199" s="59" t="str">
        <f>IFERROR(INDEX('领用录入（明细）'!$B:$L,SMALL($B:$B,ROW(B193)),MATCH(D$7,$D$7:$L$7,0)),"")</f>
        <v/>
      </c>
      <c r="E199" s="114" t="str">
        <f>IFERROR(INDEX('领用录入（明细）'!$B:$L,SMALL($B:$B,ROW(C193)),MATCH(E$7,$D$7:$L$7,0)),"")</f>
        <v/>
      </c>
      <c r="F199" s="60" t="str">
        <f>IFERROR(INDEX('领用录入（明细）'!$B:$L,SMALL($B:$B,ROW(D193)),MATCH(F$7,$D$7:$L$7,0)),"")</f>
        <v/>
      </c>
      <c r="G199" s="60" t="str">
        <f>IFERROR(INDEX('领用录入（明细）'!$B:$L,SMALL($B:$B,ROW(E193)),MATCH(G$7,$D$7:$L$7,0)),"")</f>
        <v/>
      </c>
      <c r="H199" s="60" t="str">
        <f>IFERROR(INDEX('领用录入（明细）'!$B:$L,SMALL($B:$B,ROW(F193)),MATCH(H$7,$D$7:$L$7,0)),"")</f>
        <v/>
      </c>
      <c r="I199" s="60" t="str">
        <f>IFERROR(INDEX('领用录入（明细）'!$B:$L,SMALL($B:$B,ROW(G193)),MATCH(I$7,$D$7:$L$7,0)),"")</f>
        <v/>
      </c>
      <c r="J199" s="60" t="str">
        <f>IFERROR(INDEX('领用录入（明细）'!$B:$L,SMALL($B:$B,ROW(H193)),MATCH(J$7,$D$7:$L$7,0)),"")</f>
        <v/>
      </c>
      <c r="K199" s="60" t="str">
        <f>IFERROR(INDEX('领用录入（明细）'!$B:$L,SMALL($B:$B,ROW(I193)),MATCH(K$7,$D$7:$L$7,0)),"")</f>
        <v/>
      </c>
      <c r="L199" s="60" t="str">
        <f>IFERROR(INDEX('领用录入（明细）'!$B:$L,SMALL($B:$B,ROW(J193)),MATCH(L$7,$D$7:$L$7,0)),"")</f>
        <v/>
      </c>
      <c r="M199" s="60" t="str">
        <f t="shared" si="2"/>
        <v/>
      </c>
    </row>
    <row r="200" customHeight="1" spans="2:13">
      <c r="B200" s="62" t="str">
        <f>IF(AND('领用录入（明细）'!D:D=$F$4,'领用录入（明细）'!C:C&gt;=$J$4,'领用录入（明细）'!C:C&lt;=$L$4),ROW(),"-")</f>
        <v>-</v>
      </c>
      <c r="D200" s="59" t="str">
        <f>IFERROR(INDEX('领用录入（明细）'!$B:$L,SMALL($B:$B,ROW(B194)),MATCH(D$7,$D$7:$L$7,0)),"")</f>
        <v/>
      </c>
      <c r="E200" s="114" t="str">
        <f>IFERROR(INDEX('领用录入（明细）'!$B:$L,SMALL($B:$B,ROW(C194)),MATCH(E$7,$D$7:$L$7,0)),"")</f>
        <v/>
      </c>
      <c r="F200" s="60" t="str">
        <f>IFERROR(INDEX('领用录入（明细）'!$B:$L,SMALL($B:$B,ROW(D194)),MATCH(F$7,$D$7:$L$7,0)),"")</f>
        <v/>
      </c>
      <c r="G200" s="60" t="str">
        <f>IFERROR(INDEX('领用录入（明细）'!$B:$L,SMALL($B:$B,ROW(E194)),MATCH(G$7,$D$7:$L$7,0)),"")</f>
        <v/>
      </c>
      <c r="H200" s="60" t="str">
        <f>IFERROR(INDEX('领用录入（明细）'!$B:$L,SMALL($B:$B,ROW(F194)),MATCH(H$7,$D$7:$L$7,0)),"")</f>
        <v/>
      </c>
      <c r="I200" s="60" t="str">
        <f>IFERROR(INDEX('领用录入（明细）'!$B:$L,SMALL($B:$B,ROW(G194)),MATCH(I$7,$D$7:$L$7,0)),"")</f>
        <v/>
      </c>
      <c r="J200" s="60" t="str">
        <f>IFERROR(INDEX('领用录入（明细）'!$B:$L,SMALL($B:$B,ROW(H194)),MATCH(J$7,$D$7:$L$7,0)),"")</f>
        <v/>
      </c>
      <c r="K200" s="60" t="str">
        <f>IFERROR(INDEX('领用录入（明细）'!$B:$L,SMALL($B:$B,ROW(I194)),MATCH(K$7,$D$7:$L$7,0)),"")</f>
        <v/>
      </c>
      <c r="L200" s="60" t="str">
        <f>IFERROR(INDEX('领用录入（明细）'!$B:$L,SMALL($B:$B,ROW(J194)),MATCH(L$7,$D$7:$L$7,0)),"")</f>
        <v/>
      </c>
      <c r="M200" s="60" t="str">
        <f t="shared" si="2"/>
        <v/>
      </c>
    </row>
    <row r="201" customHeight="1" spans="2:13">
      <c r="B201" s="62" t="str">
        <f>IF(AND('领用录入（明细）'!D:D=$F$4,'领用录入（明细）'!C:C&gt;=$J$4,'领用录入（明细）'!C:C&lt;=$L$4),ROW(),"-")</f>
        <v>-</v>
      </c>
      <c r="D201" s="59" t="str">
        <f>IFERROR(INDEX('领用录入（明细）'!$B:$L,SMALL($B:$B,ROW(B195)),MATCH(D$7,$D$7:$L$7,0)),"")</f>
        <v/>
      </c>
      <c r="E201" s="114" t="str">
        <f>IFERROR(INDEX('领用录入（明细）'!$B:$L,SMALL($B:$B,ROW(C195)),MATCH(E$7,$D$7:$L$7,0)),"")</f>
        <v/>
      </c>
      <c r="F201" s="60" t="str">
        <f>IFERROR(INDEX('领用录入（明细）'!$B:$L,SMALL($B:$B,ROW(D195)),MATCH(F$7,$D$7:$L$7,0)),"")</f>
        <v/>
      </c>
      <c r="G201" s="60" t="str">
        <f>IFERROR(INDEX('领用录入（明细）'!$B:$L,SMALL($B:$B,ROW(E195)),MATCH(G$7,$D$7:$L$7,0)),"")</f>
        <v/>
      </c>
      <c r="H201" s="60" t="str">
        <f>IFERROR(INDEX('领用录入（明细）'!$B:$L,SMALL($B:$B,ROW(F195)),MATCH(H$7,$D$7:$L$7,0)),"")</f>
        <v/>
      </c>
      <c r="I201" s="60" t="str">
        <f>IFERROR(INDEX('领用录入（明细）'!$B:$L,SMALL($B:$B,ROW(G195)),MATCH(I$7,$D$7:$L$7,0)),"")</f>
        <v/>
      </c>
      <c r="J201" s="60" t="str">
        <f>IFERROR(INDEX('领用录入（明细）'!$B:$L,SMALL($B:$B,ROW(H195)),MATCH(J$7,$D$7:$L$7,0)),"")</f>
        <v/>
      </c>
      <c r="K201" s="60" t="str">
        <f>IFERROR(INDEX('领用录入（明细）'!$B:$L,SMALL($B:$B,ROW(I195)),MATCH(K$7,$D$7:$L$7,0)),"")</f>
        <v/>
      </c>
      <c r="L201" s="60" t="str">
        <f>IFERROR(INDEX('领用录入（明细）'!$B:$L,SMALL($B:$B,ROW(J195)),MATCH(L$7,$D$7:$L$7,0)),"")</f>
        <v/>
      </c>
      <c r="M201" s="60" t="str">
        <f t="shared" ref="M201:M264" si="3">IFERROR(K201*L201,"")</f>
        <v/>
      </c>
    </row>
    <row r="202" customHeight="1" spans="2:13">
      <c r="B202" s="62" t="str">
        <f>IF(AND('领用录入（明细）'!D:D=$F$4,'领用录入（明细）'!C:C&gt;=$J$4,'领用录入（明细）'!C:C&lt;=$L$4),ROW(),"-")</f>
        <v>-</v>
      </c>
      <c r="D202" s="59" t="str">
        <f>IFERROR(INDEX('领用录入（明细）'!$B:$L,SMALL($B:$B,ROW(B196)),MATCH(D$7,$D$7:$L$7,0)),"")</f>
        <v/>
      </c>
      <c r="E202" s="114" t="str">
        <f>IFERROR(INDEX('领用录入（明细）'!$B:$L,SMALL($B:$B,ROW(C196)),MATCH(E$7,$D$7:$L$7,0)),"")</f>
        <v/>
      </c>
      <c r="F202" s="60" t="str">
        <f>IFERROR(INDEX('领用录入（明细）'!$B:$L,SMALL($B:$B,ROW(D196)),MATCH(F$7,$D$7:$L$7,0)),"")</f>
        <v/>
      </c>
      <c r="G202" s="60" t="str">
        <f>IFERROR(INDEX('领用录入（明细）'!$B:$L,SMALL($B:$B,ROW(E196)),MATCH(G$7,$D$7:$L$7,0)),"")</f>
        <v/>
      </c>
      <c r="H202" s="60" t="str">
        <f>IFERROR(INDEX('领用录入（明细）'!$B:$L,SMALL($B:$B,ROW(F196)),MATCH(H$7,$D$7:$L$7,0)),"")</f>
        <v/>
      </c>
      <c r="I202" s="60" t="str">
        <f>IFERROR(INDEX('领用录入（明细）'!$B:$L,SMALL($B:$B,ROW(G196)),MATCH(I$7,$D$7:$L$7,0)),"")</f>
        <v/>
      </c>
      <c r="J202" s="60" t="str">
        <f>IFERROR(INDEX('领用录入（明细）'!$B:$L,SMALL($B:$B,ROW(H196)),MATCH(J$7,$D$7:$L$7,0)),"")</f>
        <v/>
      </c>
      <c r="K202" s="60" t="str">
        <f>IFERROR(INDEX('领用录入（明细）'!$B:$L,SMALL($B:$B,ROW(I196)),MATCH(K$7,$D$7:$L$7,0)),"")</f>
        <v/>
      </c>
      <c r="L202" s="60" t="str">
        <f>IFERROR(INDEX('领用录入（明细）'!$B:$L,SMALL($B:$B,ROW(J196)),MATCH(L$7,$D$7:$L$7,0)),"")</f>
        <v/>
      </c>
      <c r="M202" s="60" t="str">
        <f t="shared" si="3"/>
        <v/>
      </c>
    </row>
    <row r="203" customHeight="1" spans="2:13">
      <c r="B203" s="62" t="str">
        <f>IF(AND('领用录入（明细）'!D:D=$F$4,'领用录入（明细）'!C:C&gt;=$J$4,'领用录入（明细）'!C:C&lt;=$L$4),ROW(),"-")</f>
        <v>-</v>
      </c>
      <c r="D203" s="59" t="str">
        <f>IFERROR(INDEX('领用录入（明细）'!$B:$L,SMALL($B:$B,ROW(B197)),MATCH(D$7,$D$7:$L$7,0)),"")</f>
        <v/>
      </c>
      <c r="E203" s="114" t="str">
        <f>IFERROR(INDEX('领用录入（明细）'!$B:$L,SMALL($B:$B,ROW(C197)),MATCH(E$7,$D$7:$L$7,0)),"")</f>
        <v/>
      </c>
      <c r="F203" s="60" t="str">
        <f>IFERROR(INDEX('领用录入（明细）'!$B:$L,SMALL($B:$B,ROW(D197)),MATCH(F$7,$D$7:$L$7,0)),"")</f>
        <v/>
      </c>
      <c r="G203" s="60" t="str">
        <f>IFERROR(INDEX('领用录入（明细）'!$B:$L,SMALL($B:$B,ROW(E197)),MATCH(G$7,$D$7:$L$7,0)),"")</f>
        <v/>
      </c>
      <c r="H203" s="60" t="str">
        <f>IFERROR(INDEX('领用录入（明细）'!$B:$L,SMALL($B:$B,ROW(F197)),MATCH(H$7,$D$7:$L$7,0)),"")</f>
        <v/>
      </c>
      <c r="I203" s="60" t="str">
        <f>IFERROR(INDEX('领用录入（明细）'!$B:$L,SMALL($B:$B,ROW(G197)),MATCH(I$7,$D$7:$L$7,0)),"")</f>
        <v/>
      </c>
      <c r="J203" s="60" t="str">
        <f>IFERROR(INDEX('领用录入（明细）'!$B:$L,SMALL($B:$B,ROW(H197)),MATCH(J$7,$D$7:$L$7,0)),"")</f>
        <v/>
      </c>
      <c r="K203" s="60" t="str">
        <f>IFERROR(INDEX('领用录入（明细）'!$B:$L,SMALL($B:$B,ROW(I197)),MATCH(K$7,$D$7:$L$7,0)),"")</f>
        <v/>
      </c>
      <c r="L203" s="60" t="str">
        <f>IFERROR(INDEX('领用录入（明细）'!$B:$L,SMALL($B:$B,ROW(J197)),MATCH(L$7,$D$7:$L$7,0)),"")</f>
        <v/>
      </c>
      <c r="M203" s="60" t="str">
        <f t="shared" si="3"/>
        <v/>
      </c>
    </row>
    <row r="204" customHeight="1" spans="2:13">
      <c r="B204" s="62" t="str">
        <f>IF(AND('领用录入（明细）'!D:D=$F$4,'领用录入（明细）'!C:C&gt;=$J$4,'领用录入（明细）'!C:C&lt;=$L$4),ROW(),"-")</f>
        <v>-</v>
      </c>
      <c r="D204" s="59" t="str">
        <f>IFERROR(INDEX('领用录入（明细）'!$B:$L,SMALL($B:$B,ROW(B198)),MATCH(D$7,$D$7:$L$7,0)),"")</f>
        <v/>
      </c>
      <c r="E204" s="114" t="str">
        <f>IFERROR(INDEX('领用录入（明细）'!$B:$L,SMALL($B:$B,ROW(C198)),MATCH(E$7,$D$7:$L$7,0)),"")</f>
        <v/>
      </c>
      <c r="F204" s="60" t="str">
        <f>IFERROR(INDEX('领用录入（明细）'!$B:$L,SMALL($B:$B,ROW(D198)),MATCH(F$7,$D$7:$L$7,0)),"")</f>
        <v/>
      </c>
      <c r="G204" s="60" t="str">
        <f>IFERROR(INDEX('领用录入（明细）'!$B:$L,SMALL($B:$B,ROW(E198)),MATCH(G$7,$D$7:$L$7,0)),"")</f>
        <v/>
      </c>
      <c r="H204" s="60" t="str">
        <f>IFERROR(INDEX('领用录入（明细）'!$B:$L,SMALL($B:$B,ROW(F198)),MATCH(H$7,$D$7:$L$7,0)),"")</f>
        <v/>
      </c>
      <c r="I204" s="60" t="str">
        <f>IFERROR(INDEX('领用录入（明细）'!$B:$L,SMALL($B:$B,ROW(G198)),MATCH(I$7,$D$7:$L$7,0)),"")</f>
        <v/>
      </c>
      <c r="J204" s="60" t="str">
        <f>IFERROR(INDEX('领用录入（明细）'!$B:$L,SMALL($B:$B,ROW(H198)),MATCH(J$7,$D$7:$L$7,0)),"")</f>
        <v/>
      </c>
      <c r="K204" s="60" t="str">
        <f>IFERROR(INDEX('领用录入（明细）'!$B:$L,SMALL($B:$B,ROW(I198)),MATCH(K$7,$D$7:$L$7,0)),"")</f>
        <v/>
      </c>
      <c r="L204" s="60" t="str">
        <f>IFERROR(INDEX('领用录入（明细）'!$B:$L,SMALL($B:$B,ROW(J198)),MATCH(L$7,$D$7:$L$7,0)),"")</f>
        <v/>
      </c>
      <c r="M204" s="60" t="str">
        <f t="shared" si="3"/>
        <v/>
      </c>
    </row>
    <row r="205" customHeight="1" spans="2:13">
      <c r="B205" s="62" t="str">
        <f>IF(AND('领用录入（明细）'!D:D=$F$4,'领用录入（明细）'!C:C&gt;=$J$4,'领用录入（明细）'!C:C&lt;=$L$4),ROW(),"-")</f>
        <v>-</v>
      </c>
      <c r="D205" s="59" t="str">
        <f>IFERROR(INDEX('领用录入（明细）'!$B:$L,SMALL($B:$B,ROW(B199)),MATCH(D$7,$D$7:$L$7,0)),"")</f>
        <v/>
      </c>
      <c r="E205" s="114" t="str">
        <f>IFERROR(INDEX('领用录入（明细）'!$B:$L,SMALL($B:$B,ROW(C199)),MATCH(E$7,$D$7:$L$7,0)),"")</f>
        <v/>
      </c>
      <c r="F205" s="60" t="str">
        <f>IFERROR(INDEX('领用录入（明细）'!$B:$L,SMALL($B:$B,ROW(D199)),MATCH(F$7,$D$7:$L$7,0)),"")</f>
        <v/>
      </c>
      <c r="G205" s="60" t="str">
        <f>IFERROR(INDEX('领用录入（明细）'!$B:$L,SMALL($B:$B,ROW(E199)),MATCH(G$7,$D$7:$L$7,0)),"")</f>
        <v/>
      </c>
      <c r="H205" s="60" t="str">
        <f>IFERROR(INDEX('领用录入（明细）'!$B:$L,SMALL($B:$B,ROW(F199)),MATCH(H$7,$D$7:$L$7,0)),"")</f>
        <v/>
      </c>
      <c r="I205" s="60" t="str">
        <f>IFERROR(INDEX('领用录入（明细）'!$B:$L,SMALL($B:$B,ROW(G199)),MATCH(I$7,$D$7:$L$7,0)),"")</f>
        <v/>
      </c>
      <c r="J205" s="60" t="str">
        <f>IFERROR(INDEX('领用录入（明细）'!$B:$L,SMALL($B:$B,ROW(H199)),MATCH(J$7,$D$7:$L$7,0)),"")</f>
        <v/>
      </c>
      <c r="K205" s="60" t="str">
        <f>IFERROR(INDEX('领用录入（明细）'!$B:$L,SMALL($B:$B,ROW(I199)),MATCH(K$7,$D$7:$L$7,0)),"")</f>
        <v/>
      </c>
      <c r="L205" s="60" t="str">
        <f>IFERROR(INDEX('领用录入（明细）'!$B:$L,SMALL($B:$B,ROW(J199)),MATCH(L$7,$D$7:$L$7,0)),"")</f>
        <v/>
      </c>
      <c r="M205" s="60" t="str">
        <f t="shared" si="3"/>
        <v/>
      </c>
    </row>
    <row r="206" customHeight="1" spans="2:13">
      <c r="B206" s="62" t="str">
        <f>IF(AND('领用录入（明细）'!D:D=$F$4,'领用录入（明细）'!C:C&gt;=$J$4,'领用录入（明细）'!C:C&lt;=$L$4),ROW(),"-")</f>
        <v>-</v>
      </c>
      <c r="D206" s="59" t="str">
        <f>IFERROR(INDEX('领用录入（明细）'!$B:$L,SMALL($B:$B,ROW(B200)),MATCH(D$7,$D$7:$L$7,0)),"")</f>
        <v/>
      </c>
      <c r="E206" s="114" t="str">
        <f>IFERROR(INDEX('领用录入（明细）'!$B:$L,SMALL($B:$B,ROW(C200)),MATCH(E$7,$D$7:$L$7,0)),"")</f>
        <v/>
      </c>
      <c r="F206" s="60" t="str">
        <f>IFERROR(INDEX('领用录入（明细）'!$B:$L,SMALL($B:$B,ROW(D200)),MATCH(F$7,$D$7:$L$7,0)),"")</f>
        <v/>
      </c>
      <c r="G206" s="60" t="str">
        <f>IFERROR(INDEX('领用录入（明细）'!$B:$L,SMALL($B:$B,ROW(E200)),MATCH(G$7,$D$7:$L$7,0)),"")</f>
        <v/>
      </c>
      <c r="H206" s="60" t="str">
        <f>IFERROR(INDEX('领用录入（明细）'!$B:$L,SMALL($B:$B,ROW(F200)),MATCH(H$7,$D$7:$L$7,0)),"")</f>
        <v/>
      </c>
      <c r="I206" s="60" t="str">
        <f>IFERROR(INDEX('领用录入（明细）'!$B:$L,SMALL($B:$B,ROW(G200)),MATCH(I$7,$D$7:$L$7,0)),"")</f>
        <v/>
      </c>
      <c r="J206" s="60" t="str">
        <f>IFERROR(INDEX('领用录入（明细）'!$B:$L,SMALL($B:$B,ROW(H200)),MATCH(J$7,$D$7:$L$7,0)),"")</f>
        <v/>
      </c>
      <c r="K206" s="60" t="str">
        <f>IFERROR(INDEX('领用录入（明细）'!$B:$L,SMALL($B:$B,ROW(I200)),MATCH(K$7,$D$7:$L$7,0)),"")</f>
        <v/>
      </c>
      <c r="L206" s="60" t="str">
        <f>IFERROR(INDEX('领用录入（明细）'!$B:$L,SMALL($B:$B,ROW(J200)),MATCH(L$7,$D$7:$L$7,0)),"")</f>
        <v/>
      </c>
      <c r="M206" s="60" t="str">
        <f t="shared" si="3"/>
        <v/>
      </c>
    </row>
    <row r="207" customHeight="1" spans="2:13">
      <c r="B207" s="62" t="str">
        <f>IF(AND('领用录入（明细）'!D:D=$F$4,'领用录入（明细）'!C:C&gt;=$J$4,'领用录入（明细）'!C:C&lt;=$L$4),ROW(),"-")</f>
        <v>-</v>
      </c>
      <c r="D207" s="59" t="str">
        <f>IFERROR(INDEX('领用录入（明细）'!$B:$L,SMALL($B:$B,ROW(B201)),MATCH(D$7,$D$7:$L$7,0)),"")</f>
        <v/>
      </c>
      <c r="E207" s="114" t="str">
        <f>IFERROR(INDEX('领用录入（明细）'!$B:$L,SMALL($B:$B,ROW(C201)),MATCH(E$7,$D$7:$L$7,0)),"")</f>
        <v/>
      </c>
      <c r="F207" s="60" t="str">
        <f>IFERROR(INDEX('领用录入（明细）'!$B:$L,SMALL($B:$B,ROW(D201)),MATCH(F$7,$D$7:$L$7,0)),"")</f>
        <v/>
      </c>
      <c r="G207" s="60" t="str">
        <f>IFERROR(INDEX('领用录入（明细）'!$B:$L,SMALL($B:$B,ROW(E201)),MATCH(G$7,$D$7:$L$7,0)),"")</f>
        <v/>
      </c>
      <c r="H207" s="60" t="str">
        <f>IFERROR(INDEX('领用录入（明细）'!$B:$L,SMALL($B:$B,ROW(F201)),MATCH(H$7,$D$7:$L$7,0)),"")</f>
        <v/>
      </c>
      <c r="I207" s="60" t="str">
        <f>IFERROR(INDEX('领用录入（明细）'!$B:$L,SMALL($B:$B,ROW(G201)),MATCH(I$7,$D$7:$L$7,0)),"")</f>
        <v/>
      </c>
      <c r="J207" s="60" t="str">
        <f>IFERROR(INDEX('领用录入（明细）'!$B:$L,SMALL($B:$B,ROW(H201)),MATCH(J$7,$D$7:$L$7,0)),"")</f>
        <v/>
      </c>
      <c r="K207" s="60" t="str">
        <f>IFERROR(INDEX('领用录入（明细）'!$B:$L,SMALL($B:$B,ROW(I201)),MATCH(K$7,$D$7:$L$7,0)),"")</f>
        <v/>
      </c>
      <c r="L207" s="60" t="str">
        <f>IFERROR(INDEX('领用录入（明细）'!$B:$L,SMALL($B:$B,ROW(J201)),MATCH(L$7,$D$7:$L$7,0)),"")</f>
        <v/>
      </c>
      <c r="M207" s="60" t="str">
        <f t="shared" si="3"/>
        <v/>
      </c>
    </row>
    <row r="208" customHeight="1" spans="2:13">
      <c r="B208" s="62" t="str">
        <f>IF(AND('领用录入（明细）'!D:D=$F$4,'领用录入（明细）'!C:C&gt;=$J$4,'领用录入（明细）'!C:C&lt;=$L$4),ROW(),"-")</f>
        <v>-</v>
      </c>
      <c r="D208" s="59" t="str">
        <f>IFERROR(INDEX('领用录入（明细）'!$B:$L,SMALL($B:$B,ROW(B202)),MATCH(D$7,$D$7:$L$7,0)),"")</f>
        <v/>
      </c>
      <c r="E208" s="114" t="str">
        <f>IFERROR(INDEX('领用录入（明细）'!$B:$L,SMALL($B:$B,ROW(C202)),MATCH(E$7,$D$7:$L$7,0)),"")</f>
        <v/>
      </c>
      <c r="F208" s="60" t="str">
        <f>IFERROR(INDEX('领用录入（明细）'!$B:$L,SMALL($B:$B,ROW(D202)),MATCH(F$7,$D$7:$L$7,0)),"")</f>
        <v/>
      </c>
      <c r="G208" s="60" t="str">
        <f>IFERROR(INDEX('领用录入（明细）'!$B:$L,SMALL($B:$B,ROW(E202)),MATCH(G$7,$D$7:$L$7,0)),"")</f>
        <v/>
      </c>
      <c r="H208" s="60" t="str">
        <f>IFERROR(INDEX('领用录入（明细）'!$B:$L,SMALL($B:$B,ROW(F202)),MATCH(H$7,$D$7:$L$7,0)),"")</f>
        <v/>
      </c>
      <c r="I208" s="60" t="str">
        <f>IFERROR(INDEX('领用录入（明细）'!$B:$L,SMALL($B:$B,ROW(G202)),MATCH(I$7,$D$7:$L$7,0)),"")</f>
        <v/>
      </c>
      <c r="J208" s="60" t="str">
        <f>IFERROR(INDEX('领用录入（明细）'!$B:$L,SMALL($B:$B,ROW(H202)),MATCH(J$7,$D$7:$L$7,0)),"")</f>
        <v/>
      </c>
      <c r="K208" s="60" t="str">
        <f>IFERROR(INDEX('领用录入（明细）'!$B:$L,SMALL($B:$B,ROW(I202)),MATCH(K$7,$D$7:$L$7,0)),"")</f>
        <v/>
      </c>
      <c r="L208" s="60" t="str">
        <f>IFERROR(INDEX('领用录入（明细）'!$B:$L,SMALL($B:$B,ROW(J202)),MATCH(L$7,$D$7:$L$7,0)),"")</f>
        <v/>
      </c>
      <c r="M208" s="60" t="str">
        <f t="shared" si="3"/>
        <v/>
      </c>
    </row>
    <row r="209" customHeight="1" spans="2:13">
      <c r="B209" s="62" t="str">
        <f>IF(AND('领用录入（明细）'!D:D=$F$4,'领用录入（明细）'!C:C&gt;=$J$4,'领用录入（明细）'!C:C&lt;=$L$4),ROW(),"-")</f>
        <v>-</v>
      </c>
      <c r="D209" s="59" t="str">
        <f>IFERROR(INDEX('领用录入（明细）'!$B:$L,SMALL($B:$B,ROW(B203)),MATCH(D$7,$D$7:$L$7,0)),"")</f>
        <v/>
      </c>
      <c r="E209" s="114" t="str">
        <f>IFERROR(INDEX('领用录入（明细）'!$B:$L,SMALL($B:$B,ROW(C203)),MATCH(E$7,$D$7:$L$7,0)),"")</f>
        <v/>
      </c>
      <c r="F209" s="60" t="str">
        <f>IFERROR(INDEX('领用录入（明细）'!$B:$L,SMALL($B:$B,ROW(D203)),MATCH(F$7,$D$7:$L$7,0)),"")</f>
        <v/>
      </c>
      <c r="G209" s="60" t="str">
        <f>IFERROR(INDEX('领用录入（明细）'!$B:$L,SMALL($B:$B,ROW(E203)),MATCH(G$7,$D$7:$L$7,0)),"")</f>
        <v/>
      </c>
      <c r="H209" s="60" t="str">
        <f>IFERROR(INDEX('领用录入（明细）'!$B:$L,SMALL($B:$B,ROW(F203)),MATCH(H$7,$D$7:$L$7,0)),"")</f>
        <v/>
      </c>
      <c r="I209" s="60" t="str">
        <f>IFERROR(INDEX('领用录入（明细）'!$B:$L,SMALL($B:$B,ROW(G203)),MATCH(I$7,$D$7:$L$7,0)),"")</f>
        <v/>
      </c>
      <c r="J209" s="60" t="str">
        <f>IFERROR(INDEX('领用录入（明细）'!$B:$L,SMALL($B:$B,ROW(H203)),MATCH(J$7,$D$7:$L$7,0)),"")</f>
        <v/>
      </c>
      <c r="K209" s="60" t="str">
        <f>IFERROR(INDEX('领用录入（明细）'!$B:$L,SMALL($B:$B,ROW(I203)),MATCH(K$7,$D$7:$L$7,0)),"")</f>
        <v/>
      </c>
      <c r="L209" s="60" t="str">
        <f>IFERROR(INDEX('领用录入（明细）'!$B:$L,SMALL($B:$B,ROW(J203)),MATCH(L$7,$D$7:$L$7,0)),"")</f>
        <v/>
      </c>
      <c r="M209" s="60" t="str">
        <f t="shared" si="3"/>
        <v/>
      </c>
    </row>
    <row r="210" customHeight="1" spans="2:13">
      <c r="B210" s="62" t="str">
        <f>IF(AND('领用录入（明细）'!D:D=$F$4,'领用录入（明细）'!C:C&gt;=$J$4,'领用录入（明细）'!C:C&lt;=$L$4),ROW(),"-")</f>
        <v>-</v>
      </c>
      <c r="D210" s="59" t="str">
        <f>IFERROR(INDEX('领用录入（明细）'!$B:$L,SMALL($B:$B,ROW(B204)),MATCH(D$7,$D$7:$L$7,0)),"")</f>
        <v/>
      </c>
      <c r="E210" s="114" t="str">
        <f>IFERROR(INDEX('领用录入（明细）'!$B:$L,SMALL($B:$B,ROW(C204)),MATCH(E$7,$D$7:$L$7,0)),"")</f>
        <v/>
      </c>
      <c r="F210" s="60" t="str">
        <f>IFERROR(INDEX('领用录入（明细）'!$B:$L,SMALL($B:$B,ROW(D204)),MATCH(F$7,$D$7:$L$7,0)),"")</f>
        <v/>
      </c>
      <c r="G210" s="60" t="str">
        <f>IFERROR(INDEX('领用录入（明细）'!$B:$L,SMALL($B:$B,ROW(E204)),MATCH(G$7,$D$7:$L$7,0)),"")</f>
        <v/>
      </c>
      <c r="H210" s="60" t="str">
        <f>IFERROR(INDEX('领用录入（明细）'!$B:$L,SMALL($B:$B,ROW(F204)),MATCH(H$7,$D$7:$L$7,0)),"")</f>
        <v/>
      </c>
      <c r="I210" s="60" t="str">
        <f>IFERROR(INDEX('领用录入（明细）'!$B:$L,SMALL($B:$B,ROW(G204)),MATCH(I$7,$D$7:$L$7,0)),"")</f>
        <v/>
      </c>
      <c r="J210" s="60" t="str">
        <f>IFERROR(INDEX('领用录入（明细）'!$B:$L,SMALL($B:$B,ROW(H204)),MATCH(J$7,$D$7:$L$7,0)),"")</f>
        <v/>
      </c>
      <c r="K210" s="60" t="str">
        <f>IFERROR(INDEX('领用录入（明细）'!$B:$L,SMALL($B:$B,ROW(I204)),MATCH(K$7,$D$7:$L$7,0)),"")</f>
        <v/>
      </c>
      <c r="L210" s="60" t="str">
        <f>IFERROR(INDEX('领用录入（明细）'!$B:$L,SMALL($B:$B,ROW(J204)),MATCH(L$7,$D$7:$L$7,0)),"")</f>
        <v/>
      </c>
      <c r="M210" s="60" t="str">
        <f t="shared" si="3"/>
        <v/>
      </c>
    </row>
    <row r="211" customHeight="1" spans="2:13">
      <c r="B211" s="62" t="str">
        <f>IF(AND('领用录入（明细）'!D:D=$F$4,'领用录入（明细）'!C:C&gt;=$J$4,'领用录入（明细）'!C:C&lt;=$L$4),ROW(),"-")</f>
        <v>-</v>
      </c>
      <c r="D211" s="59" t="str">
        <f>IFERROR(INDEX('领用录入（明细）'!$B:$L,SMALL($B:$B,ROW(B205)),MATCH(D$7,$D$7:$L$7,0)),"")</f>
        <v/>
      </c>
      <c r="E211" s="114" t="str">
        <f>IFERROR(INDEX('领用录入（明细）'!$B:$L,SMALL($B:$B,ROW(C205)),MATCH(E$7,$D$7:$L$7,0)),"")</f>
        <v/>
      </c>
      <c r="F211" s="60" t="str">
        <f>IFERROR(INDEX('领用录入（明细）'!$B:$L,SMALL($B:$B,ROW(D205)),MATCH(F$7,$D$7:$L$7,0)),"")</f>
        <v/>
      </c>
      <c r="G211" s="60" t="str">
        <f>IFERROR(INDEX('领用录入（明细）'!$B:$L,SMALL($B:$B,ROW(E205)),MATCH(G$7,$D$7:$L$7,0)),"")</f>
        <v/>
      </c>
      <c r="H211" s="60" t="str">
        <f>IFERROR(INDEX('领用录入（明细）'!$B:$L,SMALL($B:$B,ROW(F205)),MATCH(H$7,$D$7:$L$7,0)),"")</f>
        <v/>
      </c>
      <c r="I211" s="60" t="str">
        <f>IFERROR(INDEX('领用录入（明细）'!$B:$L,SMALL($B:$B,ROW(G205)),MATCH(I$7,$D$7:$L$7,0)),"")</f>
        <v/>
      </c>
      <c r="J211" s="60" t="str">
        <f>IFERROR(INDEX('领用录入（明细）'!$B:$L,SMALL($B:$B,ROW(H205)),MATCH(J$7,$D$7:$L$7,0)),"")</f>
        <v/>
      </c>
      <c r="K211" s="60" t="str">
        <f>IFERROR(INDEX('领用录入（明细）'!$B:$L,SMALL($B:$B,ROW(I205)),MATCH(K$7,$D$7:$L$7,0)),"")</f>
        <v/>
      </c>
      <c r="L211" s="60" t="str">
        <f>IFERROR(INDEX('领用录入（明细）'!$B:$L,SMALL($B:$B,ROW(J205)),MATCH(L$7,$D$7:$L$7,0)),"")</f>
        <v/>
      </c>
      <c r="M211" s="60" t="str">
        <f t="shared" si="3"/>
        <v/>
      </c>
    </row>
    <row r="212" customHeight="1" spans="2:13">
      <c r="B212" s="62" t="str">
        <f>IF(AND('领用录入（明细）'!D:D=$F$4,'领用录入（明细）'!C:C&gt;=$J$4,'领用录入（明细）'!C:C&lt;=$L$4),ROW(),"-")</f>
        <v>-</v>
      </c>
      <c r="D212" s="59" t="str">
        <f>IFERROR(INDEX('领用录入（明细）'!$B:$L,SMALL($B:$B,ROW(B206)),MATCH(D$7,$D$7:$L$7,0)),"")</f>
        <v/>
      </c>
      <c r="E212" s="114" t="str">
        <f>IFERROR(INDEX('领用录入（明细）'!$B:$L,SMALL($B:$B,ROW(C206)),MATCH(E$7,$D$7:$L$7,0)),"")</f>
        <v/>
      </c>
      <c r="F212" s="60" t="str">
        <f>IFERROR(INDEX('领用录入（明细）'!$B:$L,SMALL($B:$B,ROW(D206)),MATCH(F$7,$D$7:$L$7,0)),"")</f>
        <v/>
      </c>
      <c r="G212" s="60" t="str">
        <f>IFERROR(INDEX('领用录入（明细）'!$B:$L,SMALL($B:$B,ROW(E206)),MATCH(G$7,$D$7:$L$7,0)),"")</f>
        <v/>
      </c>
      <c r="H212" s="60" t="str">
        <f>IFERROR(INDEX('领用录入（明细）'!$B:$L,SMALL($B:$B,ROW(F206)),MATCH(H$7,$D$7:$L$7,0)),"")</f>
        <v/>
      </c>
      <c r="I212" s="60" t="str">
        <f>IFERROR(INDEX('领用录入（明细）'!$B:$L,SMALL($B:$B,ROW(G206)),MATCH(I$7,$D$7:$L$7,0)),"")</f>
        <v/>
      </c>
      <c r="J212" s="60" t="str">
        <f>IFERROR(INDEX('领用录入（明细）'!$B:$L,SMALL($B:$B,ROW(H206)),MATCH(J$7,$D$7:$L$7,0)),"")</f>
        <v/>
      </c>
      <c r="K212" s="60" t="str">
        <f>IFERROR(INDEX('领用录入（明细）'!$B:$L,SMALL($B:$B,ROW(I206)),MATCH(K$7,$D$7:$L$7,0)),"")</f>
        <v/>
      </c>
      <c r="L212" s="60" t="str">
        <f>IFERROR(INDEX('领用录入（明细）'!$B:$L,SMALL($B:$B,ROW(J206)),MATCH(L$7,$D$7:$L$7,0)),"")</f>
        <v/>
      </c>
      <c r="M212" s="60" t="str">
        <f t="shared" si="3"/>
        <v/>
      </c>
    </row>
    <row r="213" customHeight="1" spans="2:13">
      <c r="B213" s="62" t="str">
        <f>IF(AND('领用录入（明细）'!D:D=$F$4,'领用录入（明细）'!C:C&gt;=$J$4,'领用录入（明细）'!C:C&lt;=$L$4),ROW(),"-")</f>
        <v>-</v>
      </c>
      <c r="D213" s="59" t="str">
        <f>IFERROR(INDEX('领用录入（明细）'!$B:$L,SMALL($B:$B,ROW(B207)),MATCH(D$7,$D$7:$L$7,0)),"")</f>
        <v/>
      </c>
      <c r="E213" s="114" t="str">
        <f>IFERROR(INDEX('领用录入（明细）'!$B:$L,SMALL($B:$B,ROW(C207)),MATCH(E$7,$D$7:$L$7,0)),"")</f>
        <v/>
      </c>
      <c r="F213" s="60" t="str">
        <f>IFERROR(INDEX('领用录入（明细）'!$B:$L,SMALL($B:$B,ROW(D207)),MATCH(F$7,$D$7:$L$7,0)),"")</f>
        <v/>
      </c>
      <c r="G213" s="60" t="str">
        <f>IFERROR(INDEX('领用录入（明细）'!$B:$L,SMALL($B:$B,ROW(E207)),MATCH(G$7,$D$7:$L$7,0)),"")</f>
        <v/>
      </c>
      <c r="H213" s="60" t="str">
        <f>IFERROR(INDEX('领用录入（明细）'!$B:$L,SMALL($B:$B,ROW(F207)),MATCH(H$7,$D$7:$L$7,0)),"")</f>
        <v/>
      </c>
      <c r="I213" s="60" t="str">
        <f>IFERROR(INDEX('领用录入（明细）'!$B:$L,SMALL($B:$B,ROW(G207)),MATCH(I$7,$D$7:$L$7,0)),"")</f>
        <v/>
      </c>
      <c r="J213" s="60" t="str">
        <f>IFERROR(INDEX('领用录入（明细）'!$B:$L,SMALL($B:$B,ROW(H207)),MATCH(J$7,$D$7:$L$7,0)),"")</f>
        <v/>
      </c>
      <c r="K213" s="60" t="str">
        <f>IFERROR(INDEX('领用录入（明细）'!$B:$L,SMALL($B:$B,ROW(I207)),MATCH(K$7,$D$7:$L$7,0)),"")</f>
        <v/>
      </c>
      <c r="L213" s="60" t="str">
        <f>IFERROR(INDEX('领用录入（明细）'!$B:$L,SMALL($B:$B,ROW(J207)),MATCH(L$7,$D$7:$L$7,0)),"")</f>
        <v/>
      </c>
      <c r="M213" s="60" t="str">
        <f t="shared" si="3"/>
        <v/>
      </c>
    </row>
    <row r="214" customHeight="1" spans="2:13">
      <c r="B214" s="62" t="str">
        <f>IF(AND('领用录入（明细）'!D:D=$F$4,'领用录入（明细）'!C:C&gt;=$J$4,'领用录入（明细）'!C:C&lt;=$L$4),ROW(),"-")</f>
        <v>-</v>
      </c>
      <c r="D214" s="59" t="str">
        <f>IFERROR(INDEX('领用录入（明细）'!$B:$L,SMALL($B:$B,ROW(B208)),MATCH(D$7,$D$7:$L$7,0)),"")</f>
        <v/>
      </c>
      <c r="E214" s="114" t="str">
        <f>IFERROR(INDEX('领用录入（明细）'!$B:$L,SMALL($B:$B,ROW(C208)),MATCH(E$7,$D$7:$L$7,0)),"")</f>
        <v/>
      </c>
      <c r="F214" s="60" t="str">
        <f>IFERROR(INDEX('领用录入（明细）'!$B:$L,SMALL($B:$B,ROW(D208)),MATCH(F$7,$D$7:$L$7,0)),"")</f>
        <v/>
      </c>
      <c r="G214" s="60" t="str">
        <f>IFERROR(INDEX('领用录入（明细）'!$B:$L,SMALL($B:$B,ROW(E208)),MATCH(G$7,$D$7:$L$7,0)),"")</f>
        <v/>
      </c>
      <c r="H214" s="60" t="str">
        <f>IFERROR(INDEX('领用录入（明细）'!$B:$L,SMALL($B:$B,ROW(F208)),MATCH(H$7,$D$7:$L$7,0)),"")</f>
        <v/>
      </c>
      <c r="I214" s="60" t="str">
        <f>IFERROR(INDEX('领用录入（明细）'!$B:$L,SMALL($B:$B,ROW(G208)),MATCH(I$7,$D$7:$L$7,0)),"")</f>
        <v/>
      </c>
      <c r="J214" s="60" t="str">
        <f>IFERROR(INDEX('领用录入（明细）'!$B:$L,SMALL($B:$B,ROW(H208)),MATCH(J$7,$D$7:$L$7,0)),"")</f>
        <v/>
      </c>
      <c r="K214" s="60" t="str">
        <f>IFERROR(INDEX('领用录入（明细）'!$B:$L,SMALL($B:$B,ROW(I208)),MATCH(K$7,$D$7:$L$7,0)),"")</f>
        <v/>
      </c>
      <c r="L214" s="60" t="str">
        <f>IFERROR(INDEX('领用录入（明细）'!$B:$L,SMALL($B:$B,ROW(J208)),MATCH(L$7,$D$7:$L$7,0)),"")</f>
        <v/>
      </c>
      <c r="M214" s="60" t="str">
        <f t="shared" si="3"/>
        <v/>
      </c>
    </row>
    <row r="215" customHeight="1" spans="2:13">
      <c r="B215" s="62" t="str">
        <f>IF(AND('领用录入（明细）'!D:D=$F$4,'领用录入（明细）'!C:C&gt;=$J$4,'领用录入（明细）'!C:C&lt;=$L$4),ROW(),"-")</f>
        <v>-</v>
      </c>
      <c r="D215" s="59" t="str">
        <f>IFERROR(INDEX('领用录入（明细）'!$B:$L,SMALL($B:$B,ROW(B209)),MATCH(D$7,$D$7:$L$7,0)),"")</f>
        <v/>
      </c>
      <c r="E215" s="114" t="str">
        <f>IFERROR(INDEX('领用录入（明细）'!$B:$L,SMALL($B:$B,ROW(C209)),MATCH(E$7,$D$7:$L$7,0)),"")</f>
        <v/>
      </c>
      <c r="F215" s="60" t="str">
        <f>IFERROR(INDEX('领用录入（明细）'!$B:$L,SMALL($B:$B,ROW(D209)),MATCH(F$7,$D$7:$L$7,0)),"")</f>
        <v/>
      </c>
      <c r="G215" s="60" t="str">
        <f>IFERROR(INDEX('领用录入（明细）'!$B:$L,SMALL($B:$B,ROW(E209)),MATCH(G$7,$D$7:$L$7,0)),"")</f>
        <v/>
      </c>
      <c r="H215" s="60" t="str">
        <f>IFERROR(INDEX('领用录入（明细）'!$B:$L,SMALL($B:$B,ROW(F209)),MATCH(H$7,$D$7:$L$7,0)),"")</f>
        <v/>
      </c>
      <c r="I215" s="60" t="str">
        <f>IFERROR(INDEX('领用录入（明细）'!$B:$L,SMALL($B:$B,ROW(G209)),MATCH(I$7,$D$7:$L$7,0)),"")</f>
        <v/>
      </c>
      <c r="J215" s="60" t="str">
        <f>IFERROR(INDEX('领用录入（明细）'!$B:$L,SMALL($B:$B,ROW(H209)),MATCH(J$7,$D$7:$L$7,0)),"")</f>
        <v/>
      </c>
      <c r="K215" s="60" t="str">
        <f>IFERROR(INDEX('领用录入（明细）'!$B:$L,SMALL($B:$B,ROW(I209)),MATCH(K$7,$D$7:$L$7,0)),"")</f>
        <v/>
      </c>
      <c r="L215" s="60" t="str">
        <f>IFERROR(INDEX('领用录入（明细）'!$B:$L,SMALL($B:$B,ROW(J209)),MATCH(L$7,$D$7:$L$7,0)),"")</f>
        <v/>
      </c>
      <c r="M215" s="60" t="str">
        <f t="shared" si="3"/>
        <v/>
      </c>
    </row>
    <row r="216" customHeight="1" spans="2:13">
      <c r="B216" s="62" t="str">
        <f>IF(AND('领用录入（明细）'!D:D=$F$4,'领用录入（明细）'!C:C&gt;=$J$4,'领用录入（明细）'!C:C&lt;=$L$4),ROW(),"-")</f>
        <v>-</v>
      </c>
      <c r="D216" s="59" t="str">
        <f>IFERROR(INDEX('领用录入（明细）'!$B:$L,SMALL($B:$B,ROW(B210)),MATCH(D$7,$D$7:$L$7,0)),"")</f>
        <v/>
      </c>
      <c r="E216" s="114" t="str">
        <f>IFERROR(INDEX('领用录入（明细）'!$B:$L,SMALL($B:$B,ROW(C210)),MATCH(E$7,$D$7:$L$7,0)),"")</f>
        <v/>
      </c>
      <c r="F216" s="60" t="str">
        <f>IFERROR(INDEX('领用录入（明细）'!$B:$L,SMALL($B:$B,ROW(D210)),MATCH(F$7,$D$7:$L$7,0)),"")</f>
        <v/>
      </c>
      <c r="G216" s="60" t="str">
        <f>IFERROR(INDEX('领用录入（明细）'!$B:$L,SMALL($B:$B,ROW(E210)),MATCH(G$7,$D$7:$L$7,0)),"")</f>
        <v/>
      </c>
      <c r="H216" s="60" t="str">
        <f>IFERROR(INDEX('领用录入（明细）'!$B:$L,SMALL($B:$B,ROW(F210)),MATCH(H$7,$D$7:$L$7,0)),"")</f>
        <v/>
      </c>
      <c r="I216" s="60" t="str">
        <f>IFERROR(INDEX('领用录入（明细）'!$B:$L,SMALL($B:$B,ROW(G210)),MATCH(I$7,$D$7:$L$7,0)),"")</f>
        <v/>
      </c>
      <c r="J216" s="60" t="str">
        <f>IFERROR(INDEX('领用录入（明细）'!$B:$L,SMALL($B:$B,ROW(H210)),MATCH(J$7,$D$7:$L$7,0)),"")</f>
        <v/>
      </c>
      <c r="K216" s="60" t="str">
        <f>IFERROR(INDEX('领用录入（明细）'!$B:$L,SMALL($B:$B,ROW(I210)),MATCH(K$7,$D$7:$L$7,0)),"")</f>
        <v/>
      </c>
      <c r="L216" s="60" t="str">
        <f>IFERROR(INDEX('领用录入（明细）'!$B:$L,SMALL($B:$B,ROW(J210)),MATCH(L$7,$D$7:$L$7,0)),"")</f>
        <v/>
      </c>
      <c r="M216" s="60" t="str">
        <f t="shared" si="3"/>
        <v/>
      </c>
    </row>
    <row r="217" customHeight="1" spans="2:13">
      <c r="B217" s="62" t="str">
        <f>IF(AND('领用录入（明细）'!D:D=$F$4,'领用录入（明细）'!C:C&gt;=$J$4,'领用录入（明细）'!C:C&lt;=$L$4),ROW(),"-")</f>
        <v>-</v>
      </c>
      <c r="D217" s="59" t="str">
        <f>IFERROR(INDEX('领用录入（明细）'!$B:$L,SMALL($B:$B,ROW(B211)),MATCH(D$7,$D$7:$L$7,0)),"")</f>
        <v/>
      </c>
      <c r="E217" s="114" t="str">
        <f>IFERROR(INDEX('领用录入（明细）'!$B:$L,SMALL($B:$B,ROW(C211)),MATCH(E$7,$D$7:$L$7,0)),"")</f>
        <v/>
      </c>
      <c r="F217" s="60" t="str">
        <f>IFERROR(INDEX('领用录入（明细）'!$B:$L,SMALL($B:$B,ROW(D211)),MATCH(F$7,$D$7:$L$7,0)),"")</f>
        <v/>
      </c>
      <c r="G217" s="60" t="str">
        <f>IFERROR(INDEX('领用录入（明细）'!$B:$L,SMALL($B:$B,ROW(E211)),MATCH(G$7,$D$7:$L$7,0)),"")</f>
        <v/>
      </c>
      <c r="H217" s="60" t="str">
        <f>IFERROR(INDEX('领用录入（明细）'!$B:$L,SMALL($B:$B,ROW(F211)),MATCH(H$7,$D$7:$L$7,0)),"")</f>
        <v/>
      </c>
      <c r="I217" s="60" t="str">
        <f>IFERROR(INDEX('领用录入（明细）'!$B:$L,SMALL($B:$B,ROW(G211)),MATCH(I$7,$D$7:$L$7,0)),"")</f>
        <v/>
      </c>
      <c r="J217" s="60" t="str">
        <f>IFERROR(INDEX('领用录入（明细）'!$B:$L,SMALL($B:$B,ROW(H211)),MATCH(J$7,$D$7:$L$7,0)),"")</f>
        <v/>
      </c>
      <c r="K217" s="60" t="str">
        <f>IFERROR(INDEX('领用录入（明细）'!$B:$L,SMALL($B:$B,ROW(I211)),MATCH(K$7,$D$7:$L$7,0)),"")</f>
        <v/>
      </c>
      <c r="L217" s="60" t="str">
        <f>IFERROR(INDEX('领用录入（明细）'!$B:$L,SMALL($B:$B,ROW(J211)),MATCH(L$7,$D$7:$L$7,0)),"")</f>
        <v/>
      </c>
      <c r="M217" s="60" t="str">
        <f t="shared" si="3"/>
        <v/>
      </c>
    </row>
    <row r="218" customHeight="1" spans="2:13">
      <c r="B218" s="62" t="str">
        <f>IF(AND('领用录入（明细）'!D:D=$F$4,'领用录入（明细）'!C:C&gt;=$J$4,'领用录入（明细）'!C:C&lt;=$L$4),ROW(),"-")</f>
        <v>-</v>
      </c>
      <c r="D218" s="59" t="str">
        <f>IFERROR(INDEX('领用录入（明细）'!$B:$L,SMALL($B:$B,ROW(B212)),MATCH(D$7,$D$7:$L$7,0)),"")</f>
        <v/>
      </c>
      <c r="E218" s="114" t="str">
        <f>IFERROR(INDEX('领用录入（明细）'!$B:$L,SMALL($B:$B,ROW(C212)),MATCH(E$7,$D$7:$L$7,0)),"")</f>
        <v/>
      </c>
      <c r="F218" s="60" t="str">
        <f>IFERROR(INDEX('领用录入（明细）'!$B:$L,SMALL($B:$B,ROW(D212)),MATCH(F$7,$D$7:$L$7,0)),"")</f>
        <v/>
      </c>
      <c r="G218" s="60" t="str">
        <f>IFERROR(INDEX('领用录入（明细）'!$B:$L,SMALL($B:$B,ROW(E212)),MATCH(G$7,$D$7:$L$7,0)),"")</f>
        <v/>
      </c>
      <c r="H218" s="60" t="str">
        <f>IFERROR(INDEX('领用录入（明细）'!$B:$L,SMALL($B:$B,ROW(F212)),MATCH(H$7,$D$7:$L$7,0)),"")</f>
        <v/>
      </c>
      <c r="I218" s="60" t="str">
        <f>IFERROR(INDEX('领用录入（明细）'!$B:$L,SMALL($B:$B,ROW(G212)),MATCH(I$7,$D$7:$L$7,0)),"")</f>
        <v/>
      </c>
      <c r="J218" s="60" t="str">
        <f>IFERROR(INDEX('领用录入（明细）'!$B:$L,SMALL($B:$B,ROW(H212)),MATCH(J$7,$D$7:$L$7,0)),"")</f>
        <v/>
      </c>
      <c r="K218" s="60" t="str">
        <f>IFERROR(INDEX('领用录入（明细）'!$B:$L,SMALL($B:$B,ROW(I212)),MATCH(K$7,$D$7:$L$7,0)),"")</f>
        <v/>
      </c>
      <c r="L218" s="60" t="str">
        <f>IFERROR(INDEX('领用录入（明细）'!$B:$L,SMALL($B:$B,ROW(J212)),MATCH(L$7,$D$7:$L$7,0)),"")</f>
        <v/>
      </c>
      <c r="M218" s="60" t="str">
        <f t="shared" si="3"/>
        <v/>
      </c>
    </row>
    <row r="219" customHeight="1" spans="2:13">
      <c r="B219" s="62" t="str">
        <f>IF(AND('领用录入（明细）'!D:D=$F$4,'领用录入（明细）'!C:C&gt;=$J$4,'领用录入（明细）'!C:C&lt;=$L$4),ROW(),"-")</f>
        <v>-</v>
      </c>
      <c r="D219" s="59" t="str">
        <f>IFERROR(INDEX('领用录入（明细）'!$B:$L,SMALL($B:$B,ROW(B213)),MATCH(D$7,$D$7:$L$7,0)),"")</f>
        <v/>
      </c>
      <c r="E219" s="114" t="str">
        <f>IFERROR(INDEX('领用录入（明细）'!$B:$L,SMALL($B:$B,ROW(C213)),MATCH(E$7,$D$7:$L$7,0)),"")</f>
        <v/>
      </c>
      <c r="F219" s="60" t="str">
        <f>IFERROR(INDEX('领用录入（明细）'!$B:$L,SMALL($B:$B,ROW(D213)),MATCH(F$7,$D$7:$L$7,0)),"")</f>
        <v/>
      </c>
      <c r="G219" s="60" t="str">
        <f>IFERROR(INDEX('领用录入（明细）'!$B:$L,SMALL($B:$B,ROW(E213)),MATCH(G$7,$D$7:$L$7,0)),"")</f>
        <v/>
      </c>
      <c r="H219" s="60" t="str">
        <f>IFERROR(INDEX('领用录入（明细）'!$B:$L,SMALL($B:$B,ROW(F213)),MATCH(H$7,$D$7:$L$7,0)),"")</f>
        <v/>
      </c>
      <c r="I219" s="60" t="str">
        <f>IFERROR(INDEX('领用录入（明细）'!$B:$L,SMALL($B:$B,ROW(G213)),MATCH(I$7,$D$7:$L$7,0)),"")</f>
        <v/>
      </c>
      <c r="J219" s="60" t="str">
        <f>IFERROR(INDEX('领用录入（明细）'!$B:$L,SMALL($B:$B,ROW(H213)),MATCH(J$7,$D$7:$L$7,0)),"")</f>
        <v/>
      </c>
      <c r="K219" s="60" t="str">
        <f>IFERROR(INDEX('领用录入（明细）'!$B:$L,SMALL($B:$B,ROW(I213)),MATCH(K$7,$D$7:$L$7,0)),"")</f>
        <v/>
      </c>
      <c r="L219" s="60" t="str">
        <f>IFERROR(INDEX('领用录入（明细）'!$B:$L,SMALL($B:$B,ROW(J213)),MATCH(L$7,$D$7:$L$7,0)),"")</f>
        <v/>
      </c>
      <c r="M219" s="60" t="str">
        <f t="shared" si="3"/>
        <v/>
      </c>
    </row>
    <row r="220" customHeight="1" spans="2:13">
      <c r="B220" s="62" t="str">
        <f>IF(AND('领用录入（明细）'!D:D=$F$4,'领用录入（明细）'!C:C&gt;=$J$4,'领用录入（明细）'!C:C&lt;=$L$4),ROW(),"-")</f>
        <v>-</v>
      </c>
      <c r="D220" s="59" t="str">
        <f>IFERROR(INDEX('领用录入（明细）'!$B:$L,SMALL($B:$B,ROW(B214)),MATCH(D$7,$D$7:$L$7,0)),"")</f>
        <v/>
      </c>
      <c r="E220" s="114" t="str">
        <f>IFERROR(INDEX('领用录入（明细）'!$B:$L,SMALL($B:$B,ROW(C214)),MATCH(E$7,$D$7:$L$7,0)),"")</f>
        <v/>
      </c>
      <c r="F220" s="60" t="str">
        <f>IFERROR(INDEX('领用录入（明细）'!$B:$L,SMALL($B:$B,ROW(D214)),MATCH(F$7,$D$7:$L$7,0)),"")</f>
        <v/>
      </c>
      <c r="G220" s="60" t="str">
        <f>IFERROR(INDEX('领用录入（明细）'!$B:$L,SMALL($B:$B,ROW(E214)),MATCH(G$7,$D$7:$L$7,0)),"")</f>
        <v/>
      </c>
      <c r="H220" s="60" t="str">
        <f>IFERROR(INDEX('领用录入（明细）'!$B:$L,SMALL($B:$B,ROW(F214)),MATCH(H$7,$D$7:$L$7,0)),"")</f>
        <v/>
      </c>
      <c r="I220" s="60" t="str">
        <f>IFERROR(INDEX('领用录入（明细）'!$B:$L,SMALL($B:$B,ROW(G214)),MATCH(I$7,$D$7:$L$7,0)),"")</f>
        <v/>
      </c>
      <c r="J220" s="60" t="str">
        <f>IFERROR(INDEX('领用录入（明细）'!$B:$L,SMALL($B:$B,ROW(H214)),MATCH(J$7,$D$7:$L$7,0)),"")</f>
        <v/>
      </c>
      <c r="K220" s="60" t="str">
        <f>IFERROR(INDEX('领用录入（明细）'!$B:$L,SMALL($B:$B,ROW(I214)),MATCH(K$7,$D$7:$L$7,0)),"")</f>
        <v/>
      </c>
      <c r="L220" s="60" t="str">
        <f>IFERROR(INDEX('领用录入（明细）'!$B:$L,SMALL($B:$B,ROW(J214)),MATCH(L$7,$D$7:$L$7,0)),"")</f>
        <v/>
      </c>
      <c r="M220" s="60" t="str">
        <f t="shared" si="3"/>
        <v/>
      </c>
    </row>
    <row r="221" customHeight="1" spans="2:13">
      <c r="B221" s="62" t="str">
        <f>IF(AND('领用录入（明细）'!D:D=$F$4,'领用录入（明细）'!C:C&gt;=$J$4,'领用录入（明细）'!C:C&lt;=$L$4),ROW(),"-")</f>
        <v>-</v>
      </c>
      <c r="D221" s="59" t="str">
        <f>IFERROR(INDEX('领用录入（明细）'!$B:$L,SMALL($B:$B,ROW(B215)),MATCH(D$7,$D$7:$L$7,0)),"")</f>
        <v/>
      </c>
      <c r="E221" s="114" t="str">
        <f>IFERROR(INDEX('领用录入（明细）'!$B:$L,SMALL($B:$B,ROW(C215)),MATCH(E$7,$D$7:$L$7,0)),"")</f>
        <v/>
      </c>
      <c r="F221" s="60" t="str">
        <f>IFERROR(INDEX('领用录入（明细）'!$B:$L,SMALL($B:$B,ROW(D215)),MATCH(F$7,$D$7:$L$7,0)),"")</f>
        <v/>
      </c>
      <c r="G221" s="60" t="str">
        <f>IFERROR(INDEX('领用录入（明细）'!$B:$L,SMALL($B:$B,ROW(E215)),MATCH(G$7,$D$7:$L$7,0)),"")</f>
        <v/>
      </c>
      <c r="H221" s="60" t="str">
        <f>IFERROR(INDEX('领用录入（明细）'!$B:$L,SMALL($B:$B,ROW(F215)),MATCH(H$7,$D$7:$L$7,0)),"")</f>
        <v/>
      </c>
      <c r="I221" s="60" t="str">
        <f>IFERROR(INDEX('领用录入（明细）'!$B:$L,SMALL($B:$B,ROW(G215)),MATCH(I$7,$D$7:$L$7,0)),"")</f>
        <v/>
      </c>
      <c r="J221" s="60" t="str">
        <f>IFERROR(INDEX('领用录入（明细）'!$B:$L,SMALL($B:$B,ROW(H215)),MATCH(J$7,$D$7:$L$7,0)),"")</f>
        <v/>
      </c>
      <c r="K221" s="60" t="str">
        <f>IFERROR(INDEX('领用录入（明细）'!$B:$L,SMALL($B:$B,ROW(I215)),MATCH(K$7,$D$7:$L$7,0)),"")</f>
        <v/>
      </c>
      <c r="L221" s="60" t="str">
        <f>IFERROR(INDEX('领用录入（明细）'!$B:$L,SMALL($B:$B,ROW(J215)),MATCH(L$7,$D$7:$L$7,0)),"")</f>
        <v/>
      </c>
      <c r="M221" s="60" t="str">
        <f t="shared" si="3"/>
        <v/>
      </c>
    </row>
    <row r="222" customHeight="1" spans="2:13">
      <c r="B222" s="62" t="str">
        <f>IF(AND('领用录入（明细）'!D:D=$F$4,'领用录入（明细）'!C:C&gt;=$J$4,'领用录入（明细）'!C:C&lt;=$L$4),ROW(),"-")</f>
        <v>-</v>
      </c>
      <c r="D222" s="59" t="str">
        <f>IFERROR(INDEX('领用录入（明细）'!$B:$L,SMALL($B:$B,ROW(B216)),MATCH(D$7,$D$7:$L$7,0)),"")</f>
        <v/>
      </c>
      <c r="E222" s="114" t="str">
        <f>IFERROR(INDEX('领用录入（明细）'!$B:$L,SMALL($B:$B,ROW(C216)),MATCH(E$7,$D$7:$L$7,0)),"")</f>
        <v/>
      </c>
      <c r="F222" s="60" t="str">
        <f>IFERROR(INDEX('领用录入（明细）'!$B:$L,SMALL($B:$B,ROW(D216)),MATCH(F$7,$D$7:$L$7,0)),"")</f>
        <v/>
      </c>
      <c r="G222" s="60" t="str">
        <f>IFERROR(INDEX('领用录入（明细）'!$B:$L,SMALL($B:$B,ROW(E216)),MATCH(G$7,$D$7:$L$7,0)),"")</f>
        <v/>
      </c>
      <c r="H222" s="60" t="str">
        <f>IFERROR(INDEX('领用录入（明细）'!$B:$L,SMALL($B:$B,ROW(F216)),MATCH(H$7,$D$7:$L$7,0)),"")</f>
        <v/>
      </c>
      <c r="I222" s="60" t="str">
        <f>IFERROR(INDEX('领用录入（明细）'!$B:$L,SMALL($B:$B,ROW(G216)),MATCH(I$7,$D$7:$L$7,0)),"")</f>
        <v/>
      </c>
      <c r="J222" s="60" t="str">
        <f>IFERROR(INDEX('领用录入（明细）'!$B:$L,SMALL($B:$B,ROW(H216)),MATCH(J$7,$D$7:$L$7,0)),"")</f>
        <v/>
      </c>
      <c r="K222" s="60" t="str">
        <f>IFERROR(INDEX('领用录入（明细）'!$B:$L,SMALL($B:$B,ROW(I216)),MATCH(K$7,$D$7:$L$7,0)),"")</f>
        <v/>
      </c>
      <c r="L222" s="60" t="str">
        <f>IFERROR(INDEX('领用录入（明细）'!$B:$L,SMALL($B:$B,ROW(J216)),MATCH(L$7,$D$7:$L$7,0)),"")</f>
        <v/>
      </c>
      <c r="M222" s="60" t="str">
        <f t="shared" si="3"/>
        <v/>
      </c>
    </row>
    <row r="223" customHeight="1" spans="2:13">
      <c r="B223" s="62" t="str">
        <f>IF(AND('领用录入（明细）'!D:D=$F$4,'领用录入（明细）'!C:C&gt;=$J$4,'领用录入（明细）'!C:C&lt;=$L$4),ROW(),"-")</f>
        <v>-</v>
      </c>
      <c r="D223" s="59" t="str">
        <f>IFERROR(INDEX('领用录入（明细）'!$B:$L,SMALL($B:$B,ROW(B217)),MATCH(D$7,$D$7:$L$7,0)),"")</f>
        <v/>
      </c>
      <c r="E223" s="114" t="str">
        <f>IFERROR(INDEX('领用录入（明细）'!$B:$L,SMALL($B:$B,ROW(C217)),MATCH(E$7,$D$7:$L$7,0)),"")</f>
        <v/>
      </c>
      <c r="F223" s="60" t="str">
        <f>IFERROR(INDEX('领用录入（明细）'!$B:$L,SMALL($B:$B,ROW(D217)),MATCH(F$7,$D$7:$L$7,0)),"")</f>
        <v/>
      </c>
      <c r="G223" s="60" t="str">
        <f>IFERROR(INDEX('领用录入（明细）'!$B:$L,SMALL($B:$B,ROW(E217)),MATCH(G$7,$D$7:$L$7,0)),"")</f>
        <v/>
      </c>
      <c r="H223" s="60" t="str">
        <f>IFERROR(INDEX('领用录入（明细）'!$B:$L,SMALL($B:$B,ROW(F217)),MATCH(H$7,$D$7:$L$7,0)),"")</f>
        <v/>
      </c>
      <c r="I223" s="60" t="str">
        <f>IFERROR(INDEX('领用录入（明细）'!$B:$L,SMALL($B:$B,ROW(G217)),MATCH(I$7,$D$7:$L$7,0)),"")</f>
        <v/>
      </c>
      <c r="J223" s="60" t="str">
        <f>IFERROR(INDEX('领用录入（明细）'!$B:$L,SMALL($B:$B,ROW(H217)),MATCH(J$7,$D$7:$L$7,0)),"")</f>
        <v/>
      </c>
      <c r="K223" s="60" t="str">
        <f>IFERROR(INDEX('领用录入（明细）'!$B:$L,SMALL($B:$B,ROW(I217)),MATCH(K$7,$D$7:$L$7,0)),"")</f>
        <v/>
      </c>
      <c r="L223" s="60" t="str">
        <f>IFERROR(INDEX('领用录入（明细）'!$B:$L,SMALL($B:$B,ROW(J217)),MATCH(L$7,$D$7:$L$7,0)),"")</f>
        <v/>
      </c>
      <c r="M223" s="60" t="str">
        <f t="shared" si="3"/>
        <v/>
      </c>
    </row>
    <row r="224" customHeight="1" spans="2:13">
      <c r="B224" s="62" t="str">
        <f>IF(AND('领用录入（明细）'!D:D=$F$4,'领用录入（明细）'!C:C&gt;=$J$4,'领用录入（明细）'!C:C&lt;=$L$4),ROW(),"-")</f>
        <v>-</v>
      </c>
      <c r="D224" s="59" t="str">
        <f>IFERROR(INDEX('领用录入（明细）'!$B:$L,SMALL($B:$B,ROW(B218)),MATCH(D$7,$D$7:$L$7,0)),"")</f>
        <v/>
      </c>
      <c r="E224" s="114" t="str">
        <f>IFERROR(INDEX('领用录入（明细）'!$B:$L,SMALL($B:$B,ROW(C218)),MATCH(E$7,$D$7:$L$7,0)),"")</f>
        <v/>
      </c>
      <c r="F224" s="60" t="str">
        <f>IFERROR(INDEX('领用录入（明细）'!$B:$L,SMALL($B:$B,ROW(D218)),MATCH(F$7,$D$7:$L$7,0)),"")</f>
        <v/>
      </c>
      <c r="G224" s="60" t="str">
        <f>IFERROR(INDEX('领用录入（明细）'!$B:$L,SMALL($B:$B,ROW(E218)),MATCH(G$7,$D$7:$L$7,0)),"")</f>
        <v/>
      </c>
      <c r="H224" s="60" t="str">
        <f>IFERROR(INDEX('领用录入（明细）'!$B:$L,SMALL($B:$B,ROW(F218)),MATCH(H$7,$D$7:$L$7,0)),"")</f>
        <v/>
      </c>
      <c r="I224" s="60" t="str">
        <f>IFERROR(INDEX('领用录入（明细）'!$B:$L,SMALL($B:$B,ROW(G218)),MATCH(I$7,$D$7:$L$7,0)),"")</f>
        <v/>
      </c>
      <c r="J224" s="60" t="str">
        <f>IFERROR(INDEX('领用录入（明细）'!$B:$L,SMALL($B:$B,ROW(H218)),MATCH(J$7,$D$7:$L$7,0)),"")</f>
        <v/>
      </c>
      <c r="K224" s="60" t="str">
        <f>IFERROR(INDEX('领用录入（明细）'!$B:$L,SMALL($B:$B,ROW(I218)),MATCH(K$7,$D$7:$L$7,0)),"")</f>
        <v/>
      </c>
      <c r="L224" s="60" t="str">
        <f>IFERROR(INDEX('领用录入（明细）'!$B:$L,SMALL($B:$B,ROW(J218)),MATCH(L$7,$D$7:$L$7,0)),"")</f>
        <v/>
      </c>
      <c r="M224" s="60" t="str">
        <f t="shared" si="3"/>
        <v/>
      </c>
    </row>
    <row r="225" customHeight="1" spans="2:13">
      <c r="B225" s="62" t="str">
        <f>IF(AND('领用录入（明细）'!D:D=$F$4,'领用录入（明细）'!C:C&gt;=$J$4,'领用录入（明细）'!C:C&lt;=$L$4),ROW(),"-")</f>
        <v>-</v>
      </c>
      <c r="D225" s="59" t="str">
        <f>IFERROR(INDEX('领用录入（明细）'!$B:$L,SMALL($B:$B,ROW(B219)),MATCH(D$7,$D$7:$L$7,0)),"")</f>
        <v/>
      </c>
      <c r="E225" s="114" t="str">
        <f>IFERROR(INDEX('领用录入（明细）'!$B:$L,SMALL($B:$B,ROW(C219)),MATCH(E$7,$D$7:$L$7,0)),"")</f>
        <v/>
      </c>
      <c r="F225" s="60" t="str">
        <f>IFERROR(INDEX('领用录入（明细）'!$B:$L,SMALL($B:$B,ROW(D219)),MATCH(F$7,$D$7:$L$7,0)),"")</f>
        <v/>
      </c>
      <c r="G225" s="60" t="str">
        <f>IFERROR(INDEX('领用录入（明细）'!$B:$L,SMALL($B:$B,ROW(E219)),MATCH(G$7,$D$7:$L$7,0)),"")</f>
        <v/>
      </c>
      <c r="H225" s="60" t="str">
        <f>IFERROR(INDEX('领用录入（明细）'!$B:$L,SMALL($B:$B,ROW(F219)),MATCH(H$7,$D$7:$L$7,0)),"")</f>
        <v/>
      </c>
      <c r="I225" s="60" t="str">
        <f>IFERROR(INDEX('领用录入（明细）'!$B:$L,SMALL($B:$B,ROW(G219)),MATCH(I$7,$D$7:$L$7,0)),"")</f>
        <v/>
      </c>
      <c r="J225" s="60" t="str">
        <f>IFERROR(INDEX('领用录入（明细）'!$B:$L,SMALL($B:$B,ROW(H219)),MATCH(J$7,$D$7:$L$7,0)),"")</f>
        <v/>
      </c>
      <c r="K225" s="60" t="str">
        <f>IFERROR(INDEX('领用录入（明细）'!$B:$L,SMALL($B:$B,ROW(I219)),MATCH(K$7,$D$7:$L$7,0)),"")</f>
        <v/>
      </c>
      <c r="L225" s="60" t="str">
        <f>IFERROR(INDEX('领用录入（明细）'!$B:$L,SMALL($B:$B,ROW(J219)),MATCH(L$7,$D$7:$L$7,0)),"")</f>
        <v/>
      </c>
      <c r="M225" s="60" t="str">
        <f t="shared" si="3"/>
        <v/>
      </c>
    </row>
    <row r="226" customHeight="1" spans="2:13">
      <c r="B226" s="62" t="str">
        <f>IF(AND('领用录入（明细）'!D:D=$F$4,'领用录入（明细）'!C:C&gt;=$J$4,'领用录入（明细）'!C:C&lt;=$L$4),ROW(),"-")</f>
        <v>-</v>
      </c>
      <c r="D226" s="59" t="str">
        <f>IFERROR(INDEX('领用录入（明细）'!$B:$L,SMALL($B:$B,ROW(B220)),MATCH(D$7,$D$7:$L$7,0)),"")</f>
        <v/>
      </c>
      <c r="E226" s="114" t="str">
        <f>IFERROR(INDEX('领用录入（明细）'!$B:$L,SMALL($B:$B,ROW(C220)),MATCH(E$7,$D$7:$L$7,0)),"")</f>
        <v/>
      </c>
      <c r="F226" s="60" t="str">
        <f>IFERROR(INDEX('领用录入（明细）'!$B:$L,SMALL($B:$B,ROW(D220)),MATCH(F$7,$D$7:$L$7,0)),"")</f>
        <v/>
      </c>
      <c r="G226" s="60" t="str">
        <f>IFERROR(INDEX('领用录入（明细）'!$B:$L,SMALL($B:$B,ROW(E220)),MATCH(G$7,$D$7:$L$7,0)),"")</f>
        <v/>
      </c>
      <c r="H226" s="60" t="str">
        <f>IFERROR(INDEX('领用录入（明细）'!$B:$L,SMALL($B:$B,ROW(F220)),MATCH(H$7,$D$7:$L$7,0)),"")</f>
        <v/>
      </c>
      <c r="I226" s="60" t="str">
        <f>IFERROR(INDEX('领用录入（明细）'!$B:$L,SMALL($B:$B,ROW(G220)),MATCH(I$7,$D$7:$L$7,0)),"")</f>
        <v/>
      </c>
      <c r="J226" s="60" t="str">
        <f>IFERROR(INDEX('领用录入（明细）'!$B:$L,SMALL($B:$B,ROW(H220)),MATCH(J$7,$D$7:$L$7,0)),"")</f>
        <v/>
      </c>
      <c r="K226" s="60" t="str">
        <f>IFERROR(INDEX('领用录入（明细）'!$B:$L,SMALL($B:$B,ROW(I220)),MATCH(K$7,$D$7:$L$7,0)),"")</f>
        <v/>
      </c>
      <c r="L226" s="60" t="str">
        <f>IFERROR(INDEX('领用录入（明细）'!$B:$L,SMALL($B:$B,ROW(J220)),MATCH(L$7,$D$7:$L$7,0)),"")</f>
        <v/>
      </c>
      <c r="M226" s="60" t="str">
        <f t="shared" si="3"/>
        <v/>
      </c>
    </row>
    <row r="227" customHeight="1" spans="2:13">
      <c r="B227" s="62" t="str">
        <f>IF(AND('领用录入（明细）'!D:D=$F$4,'领用录入（明细）'!C:C&gt;=$J$4,'领用录入（明细）'!C:C&lt;=$L$4),ROW(),"-")</f>
        <v>-</v>
      </c>
      <c r="D227" s="59" t="str">
        <f>IFERROR(INDEX('领用录入（明细）'!$B:$L,SMALL($B:$B,ROW(B221)),MATCH(D$7,$D$7:$L$7,0)),"")</f>
        <v/>
      </c>
      <c r="E227" s="114" t="str">
        <f>IFERROR(INDEX('领用录入（明细）'!$B:$L,SMALL($B:$B,ROW(C221)),MATCH(E$7,$D$7:$L$7,0)),"")</f>
        <v/>
      </c>
      <c r="F227" s="60" t="str">
        <f>IFERROR(INDEX('领用录入（明细）'!$B:$L,SMALL($B:$B,ROW(D221)),MATCH(F$7,$D$7:$L$7,0)),"")</f>
        <v/>
      </c>
      <c r="G227" s="60" t="str">
        <f>IFERROR(INDEX('领用录入（明细）'!$B:$L,SMALL($B:$B,ROW(E221)),MATCH(G$7,$D$7:$L$7,0)),"")</f>
        <v/>
      </c>
      <c r="H227" s="60" t="str">
        <f>IFERROR(INDEX('领用录入（明细）'!$B:$L,SMALL($B:$B,ROW(F221)),MATCH(H$7,$D$7:$L$7,0)),"")</f>
        <v/>
      </c>
      <c r="I227" s="60" t="str">
        <f>IFERROR(INDEX('领用录入（明细）'!$B:$L,SMALL($B:$B,ROW(G221)),MATCH(I$7,$D$7:$L$7,0)),"")</f>
        <v/>
      </c>
      <c r="J227" s="60" t="str">
        <f>IFERROR(INDEX('领用录入（明细）'!$B:$L,SMALL($B:$B,ROW(H221)),MATCH(J$7,$D$7:$L$7,0)),"")</f>
        <v/>
      </c>
      <c r="K227" s="60" t="str">
        <f>IFERROR(INDEX('领用录入（明细）'!$B:$L,SMALL($B:$B,ROW(I221)),MATCH(K$7,$D$7:$L$7,0)),"")</f>
        <v/>
      </c>
      <c r="L227" s="60" t="str">
        <f>IFERROR(INDEX('领用录入（明细）'!$B:$L,SMALL($B:$B,ROW(J221)),MATCH(L$7,$D$7:$L$7,0)),"")</f>
        <v/>
      </c>
      <c r="M227" s="60" t="str">
        <f t="shared" si="3"/>
        <v/>
      </c>
    </row>
    <row r="228" customHeight="1" spans="2:13">
      <c r="B228" s="62" t="str">
        <f>IF(AND('领用录入（明细）'!D:D=$F$4,'领用录入（明细）'!C:C&gt;=$J$4,'领用录入（明细）'!C:C&lt;=$L$4),ROW(),"-")</f>
        <v>-</v>
      </c>
      <c r="D228" s="59" t="str">
        <f>IFERROR(INDEX('领用录入（明细）'!$B:$L,SMALL($B:$B,ROW(B222)),MATCH(D$7,$D$7:$L$7,0)),"")</f>
        <v/>
      </c>
      <c r="E228" s="114" t="str">
        <f>IFERROR(INDEX('领用录入（明细）'!$B:$L,SMALL($B:$B,ROW(C222)),MATCH(E$7,$D$7:$L$7,0)),"")</f>
        <v/>
      </c>
      <c r="F228" s="60" t="str">
        <f>IFERROR(INDEX('领用录入（明细）'!$B:$L,SMALL($B:$B,ROW(D222)),MATCH(F$7,$D$7:$L$7,0)),"")</f>
        <v/>
      </c>
      <c r="G228" s="60" t="str">
        <f>IFERROR(INDEX('领用录入（明细）'!$B:$L,SMALL($B:$B,ROW(E222)),MATCH(G$7,$D$7:$L$7,0)),"")</f>
        <v/>
      </c>
      <c r="H228" s="60" t="str">
        <f>IFERROR(INDEX('领用录入（明细）'!$B:$L,SMALL($B:$B,ROW(F222)),MATCH(H$7,$D$7:$L$7,0)),"")</f>
        <v/>
      </c>
      <c r="I228" s="60" t="str">
        <f>IFERROR(INDEX('领用录入（明细）'!$B:$L,SMALL($B:$B,ROW(G222)),MATCH(I$7,$D$7:$L$7,0)),"")</f>
        <v/>
      </c>
      <c r="J228" s="60" t="str">
        <f>IFERROR(INDEX('领用录入（明细）'!$B:$L,SMALL($B:$B,ROW(H222)),MATCH(J$7,$D$7:$L$7,0)),"")</f>
        <v/>
      </c>
      <c r="K228" s="60" t="str">
        <f>IFERROR(INDEX('领用录入（明细）'!$B:$L,SMALL($B:$B,ROW(I222)),MATCH(K$7,$D$7:$L$7,0)),"")</f>
        <v/>
      </c>
      <c r="L228" s="60" t="str">
        <f>IFERROR(INDEX('领用录入（明细）'!$B:$L,SMALL($B:$B,ROW(J222)),MATCH(L$7,$D$7:$L$7,0)),"")</f>
        <v/>
      </c>
      <c r="M228" s="60" t="str">
        <f t="shared" si="3"/>
        <v/>
      </c>
    </row>
    <row r="229" customHeight="1" spans="2:13">
      <c r="B229" s="62">
        <f>IF(AND('领用录入（明细）'!D:D=$F$4,'领用录入（明细）'!C:C&gt;=$J$4,'领用录入（明细）'!C:C&lt;=$L$4),ROW(),"-")</f>
        <v>229</v>
      </c>
      <c r="D229" s="59" t="str">
        <f>IFERROR(INDEX('领用录入（明细）'!$B:$L,SMALL($B:$B,ROW(B223)),MATCH(D$7,$D$7:$L$7,0)),"")</f>
        <v/>
      </c>
      <c r="E229" s="114" t="str">
        <f>IFERROR(INDEX('领用录入（明细）'!$B:$L,SMALL($B:$B,ROW(C223)),MATCH(E$7,$D$7:$L$7,0)),"")</f>
        <v/>
      </c>
      <c r="F229" s="60" t="str">
        <f>IFERROR(INDEX('领用录入（明细）'!$B:$L,SMALL($B:$B,ROW(D223)),MATCH(F$7,$D$7:$L$7,0)),"")</f>
        <v/>
      </c>
      <c r="G229" s="60" t="str">
        <f>IFERROR(INDEX('领用录入（明细）'!$B:$L,SMALL($B:$B,ROW(E223)),MATCH(G$7,$D$7:$L$7,0)),"")</f>
        <v/>
      </c>
      <c r="H229" s="60" t="str">
        <f>IFERROR(INDEX('领用录入（明细）'!$B:$L,SMALL($B:$B,ROW(F223)),MATCH(H$7,$D$7:$L$7,0)),"")</f>
        <v/>
      </c>
      <c r="I229" s="60" t="str">
        <f>IFERROR(INDEX('领用录入（明细）'!$B:$L,SMALL($B:$B,ROW(G223)),MATCH(I$7,$D$7:$L$7,0)),"")</f>
        <v/>
      </c>
      <c r="J229" s="60" t="str">
        <f>IFERROR(INDEX('领用录入（明细）'!$B:$L,SMALL($B:$B,ROW(H223)),MATCH(J$7,$D$7:$L$7,0)),"")</f>
        <v/>
      </c>
      <c r="K229" s="60" t="str">
        <f>IFERROR(INDEX('领用录入（明细）'!$B:$L,SMALL($B:$B,ROW(I223)),MATCH(K$7,$D$7:$L$7,0)),"")</f>
        <v/>
      </c>
      <c r="L229" s="60" t="str">
        <f>IFERROR(INDEX('领用录入（明细）'!$B:$L,SMALL($B:$B,ROW(J223)),MATCH(L$7,$D$7:$L$7,0)),"")</f>
        <v/>
      </c>
      <c r="M229" s="60" t="str">
        <f t="shared" si="3"/>
        <v/>
      </c>
    </row>
    <row r="230" customHeight="1" spans="2:13">
      <c r="B230" s="62" t="str">
        <f>IF(AND('领用录入（明细）'!D:D=$F$4,'领用录入（明细）'!C:C&gt;=$J$4,'领用录入（明细）'!C:C&lt;=$L$4),ROW(),"-")</f>
        <v>-</v>
      </c>
      <c r="D230" s="59" t="str">
        <f>IFERROR(INDEX('领用录入（明细）'!$B:$L,SMALL($B:$B,ROW(B224)),MATCH(D$7,$D$7:$L$7,0)),"")</f>
        <v/>
      </c>
      <c r="E230" s="114" t="str">
        <f>IFERROR(INDEX('领用录入（明细）'!$B:$L,SMALL($B:$B,ROW(C224)),MATCH(E$7,$D$7:$L$7,0)),"")</f>
        <v/>
      </c>
      <c r="F230" s="60" t="str">
        <f>IFERROR(INDEX('领用录入（明细）'!$B:$L,SMALL($B:$B,ROW(D224)),MATCH(F$7,$D$7:$L$7,0)),"")</f>
        <v/>
      </c>
      <c r="G230" s="60" t="str">
        <f>IFERROR(INDEX('领用录入（明细）'!$B:$L,SMALL($B:$B,ROW(E224)),MATCH(G$7,$D$7:$L$7,0)),"")</f>
        <v/>
      </c>
      <c r="H230" s="60" t="str">
        <f>IFERROR(INDEX('领用录入（明细）'!$B:$L,SMALL($B:$B,ROW(F224)),MATCH(H$7,$D$7:$L$7,0)),"")</f>
        <v/>
      </c>
      <c r="I230" s="60" t="str">
        <f>IFERROR(INDEX('领用录入（明细）'!$B:$L,SMALL($B:$B,ROW(G224)),MATCH(I$7,$D$7:$L$7,0)),"")</f>
        <v/>
      </c>
      <c r="J230" s="60" t="str">
        <f>IFERROR(INDEX('领用录入（明细）'!$B:$L,SMALL($B:$B,ROW(H224)),MATCH(J$7,$D$7:$L$7,0)),"")</f>
        <v/>
      </c>
      <c r="K230" s="60" t="str">
        <f>IFERROR(INDEX('领用录入（明细）'!$B:$L,SMALL($B:$B,ROW(I224)),MATCH(K$7,$D$7:$L$7,0)),"")</f>
        <v/>
      </c>
      <c r="L230" s="60" t="str">
        <f>IFERROR(INDEX('领用录入（明细）'!$B:$L,SMALL($B:$B,ROW(J224)),MATCH(L$7,$D$7:$L$7,0)),"")</f>
        <v/>
      </c>
      <c r="M230" s="60" t="str">
        <f t="shared" si="3"/>
        <v/>
      </c>
    </row>
    <row r="231" customHeight="1" spans="2:13">
      <c r="B231" s="62" t="str">
        <f>IF(AND('领用录入（明细）'!D:D=$F$4,'领用录入（明细）'!C:C&gt;=$J$4,'领用录入（明细）'!C:C&lt;=$L$4),ROW(),"-")</f>
        <v>-</v>
      </c>
      <c r="D231" s="59" t="str">
        <f>IFERROR(INDEX('领用录入（明细）'!$B:$L,SMALL($B:$B,ROW(B225)),MATCH(D$7,$D$7:$L$7,0)),"")</f>
        <v/>
      </c>
      <c r="E231" s="114" t="str">
        <f>IFERROR(INDEX('领用录入（明细）'!$B:$L,SMALL($B:$B,ROW(C225)),MATCH(E$7,$D$7:$L$7,0)),"")</f>
        <v/>
      </c>
      <c r="F231" s="60" t="str">
        <f>IFERROR(INDEX('领用录入（明细）'!$B:$L,SMALL($B:$B,ROW(D225)),MATCH(F$7,$D$7:$L$7,0)),"")</f>
        <v/>
      </c>
      <c r="G231" s="60" t="str">
        <f>IFERROR(INDEX('领用录入（明细）'!$B:$L,SMALL($B:$B,ROW(E225)),MATCH(G$7,$D$7:$L$7,0)),"")</f>
        <v/>
      </c>
      <c r="H231" s="60" t="str">
        <f>IFERROR(INDEX('领用录入（明细）'!$B:$L,SMALL($B:$B,ROW(F225)),MATCH(H$7,$D$7:$L$7,0)),"")</f>
        <v/>
      </c>
      <c r="I231" s="60" t="str">
        <f>IFERROR(INDEX('领用录入（明细）'!$B:$L,SMALL($B:$B,ROW(G225)),MATCH(I$7,$D$7:$L$7,0)),"")</f>
        <v/>
      </c>
      <c r="J231" s="60" t="str">
        <f>IFERROR(INDEX('领用录入（明细）'!$B:$L,SMALL($B:$B,ROW(H225)),MATCH(J$7,$D$7:$L$7,0)),"")</f>
        <v/>
      </c>
      <c r="K231" s="60" t="str">
        <f>IFERROR(INDEX('领用录入（明细）'!$B:$L,SMALL($B:$B,ROW(I225)),MATCH(K$7,$D$7:$L$7,0)),"")</f>
        <v/>
      </c>
      <c r="L231" s="60" t="str">
        <f>IFERROR(INDEX('领用录入（明细）'!$B:$L,SMALL($B:$B,ROW(J225)),MATCH(L$7,$D$7:$L$7,0)),"")</f>
        <v/>
      </c>
      <c r="M231" s="60" t="str">
        <f t="shared" si="3"/>
        <v/>
      </c>
    </row>
    <row r="232" customHeight="1" spans="2:13">
      <c r="B232" s="62" t="str">
        <f>IF(AND('领用录入（明细）'!D:D=$F$4,'领用录入（明细）'!C:C&gt;=$J$4,'领用录入（明细）'!C:C&lt;=$L$4),ROW(),"-")</f>
        <v>-</v>
      </c>
      <c r="D232" s="59" t="str">
        <f>IFERROR(INDEX('领用录入（明细）'!$B:$L,SMALL($B:$B,ROW(B226)),MATCH(D$7,$D$7:$L$7,0)),"")</f>
        <v/>
      </c>
      <c r="E232" s="114" t="str">
        <f>IFERROR(INDEX('领用录入（明细）'!$B:$L,SMALL($B:$B,ROW(C226)),MATCH(E$7,$D$7:$L$7,0)),"")</f>
        <v/>
      </c>
      <c r="F232" s="60" t="str">
        <f>IFERROR(INDEX('领用录入（明细）'!$B:$L,SMALL($B:$B,ROW(D226)),MATCH(F$7,$D$7:$L$7,0)),"")</f>
        <v/>
      </c>
      <c r="G232" s="60" t="str">
        <f>IFERROR(INDEX('领用录入（明细）'!$B:$L,SMALL($B:$B,ROW(E226)),MATCH(G$7,$D$7:$L$7,0)),"")</f>
        <v/>
      </c>
      <c r="H232" s="60" t="str">
        <f>IFERROR(INDEX('领用录入（明细）'!$B:$L,SMALL($B:$B,ROW(F226)),MATCH(H$7,$D$7:$L$7,0)),"")</f>
        <v/>
      </c>
      <c r="I232" s="60" t="str">
        <f>IFERROR(INDEX('领用录入（明细）'!$B:$L,SMALL($B:$B,ROW(G226)),MATCH(I$7,$D$7:$L$7,0)),"")</f>
        <v/>
      </c>
      <c r="J232" s="60" t="str">
        <f>IFERROR(INDEX('领用录入（明细）'!$B:$L,SMALL($B:$B,ROW(H226)),MATCH(J$7,$D$7:$L$7,0)),"")</f>
        <v/>
      </c>
      <c r="K232" s="60" t="str">
        <f>IFERROR(INDEX('领用录入（明细）'!$B:$L,SMALL($B:$B,ROW(I226)),MATCH(K$7,$D$7:$L$7,0)),"")</f>
        <v/>
      </c>
      <c r="L232" s="60" t="str">
        <f>IFERROR(INDEX('领用录入（明细）'!$B:$L,SMALL($B:$B,ROW(J226)),MATCH(L$7,$D$7:$L$7,0)),"")</f>
        <v/>
      </c>
      <c r="M232" s="60" t="str">
        <f t="shared" si="3"/>
        <v/>
      </c>
    </row>
    <row r="233" customHeight="1" spans="2:13">
      <c r="B233" s="62" t="str">
        <f>IF(AND('领用录入（明细）'!D:D=$F$4,'领用录入（明细）'!C:C&gt;=$J$4,'领用录入（明细）'!C:C&lt;=$L$4),ROW(),"-")</f>
        <v>-</v>
      </c>
      <c r="D233" s="59" t="str">
        <f>IFERROR(INDEX('领用录入（明细）'!$B:$L,SMALL($B:$B,ROW(B227)),MATCH(D$7,$D$7:$L$7,0)),"")</f>
        <v/>
      </c>
      <c r="E233" s="114" t="str">
        <f>IFERROR(INDEX('领用录入（明细）'!$B:$L,SMALL($B:$B,ROW(C227)),MATCH(E$7,$D$7:$L$7,0)),"")</f>
        <v/>
      </c>
      <c r="F233" s="60" t="str">
        <f>IFERROR(INDEX('领用录入（明细）'!$B:$L,SMALL($B:$B,ROW(D227)),MATCH(F$7,$D$7:$L$7,0)),"")</f>
        <v/>
      </c>
      <c r="G233" s="60" t="str">
        <f>IFERROR(INDEX('领用录入（明细）'!$B:$L,SMALL($B:$B,ROW(E227)),MATCH(G$7,$D$7:$L$7,0)),"")</f>
        <v/>
      </c>
      <c r="H233" s="60" t="str">
        <f>IFERROR(INDEX('领用录入（明细）'!$B:$L,SMALL($B:$B,ROW(F227)),MATCH(H$7,$D$7:$L$7,0)),"")</f>
        <v/>
      </c>
      <c r="I233" s="60" t="str">
        <f>IFERROR(INDEX('领用录入（明细）'!$B:$L,SMALL($B:$B,ROW(G227)),MATCH(I$7,$D$7:$L$7,0)),"")</f>
        <v/>
      </c>
      <c r="J233" s="60" t="str">
        <f>IFERROR(INDEX('领用录入（明细）'!$B:$L,SMALL($B:$B,ROW(H227)),MATCH(J$7,$D$7:$L$7,0)),"")</f>
        <v/>
      </c>
      <c r="K233" s="60" t="str">
        <f>IFERROR(INDEX('领用录入（明细）'!$B:$L,SMALL($B:$B,ROW(I227)),MATCH(K$7,$D$7:$L$7,0)),"")</f>
        <v/>
      </c>
      <c r="L233" s="60" t="str">
        <f>IFERROR(INDEX('领用录入（明细）'!$B:$L,SMALL($B:$B,ROW(J227)),MATCH(L$7,$D$7:$L$7,0)),"")</f>
        <v/>
      </c>
      <c r="M233" s="60" t="str">
        <f t="shared" si="3"/>
        <v/>
      </c>
    </row>
    <row r="234" customHeight="1" spans="2:13">
      <c r="B234" s="62" t="str">
        <f>IF(AND('领用录入（明细）'!D:D=$F$4,'领用录入（明细）'!C:C&gt;=$J$4,'领用录入（明细）'!C:C&lt;=$L$4),ROW(),"-")</f>
        <v>-</v>
      </c>
      <c r="D234" s="59" t="str">
        <f>IFERROR(INDEX('领用录入（明细）'!$B:$L,SMALL($B:$B,ROW(B228)),MATCH(D$7,$D$7:$L$7,0)),"")</f>
        <v/>
      </c>
      <c r="E234" s="114" t="str">
        <f>IFERROR(INDEX('领用录入（明细）'!$B:$L,SMALL($B:$B,ROW(C228)),MATCH(E$7,$D$7:$L$7,0)),"")</f>
        <v/>
      </c>
      <c r="F234" s="60" t="str">
        <f>IFERROR(INDEX('领用录入（明细）'!$B:$L,SMALL($B:$B,ROW(D228)),MATCH(F$7,$D$7:$L$7,0)),"")</f>
        <v/>
      </c>
      <c r="G234" s="60" t="str">
        <f>IFERROR(INDEX('领用录入（明细）'!$B:$L,SMALL($B:$B,ROW(E228)),MATCH(G$7,$D$7:$L$7,0)),"")</f>
        <v/>
      </c>
      <c r="H234" s="60" t="str">
        <f>IFERROR(INDEX('领用录入（明细）'!$B:$L,SMALL($B:$B,ROW(F228)),MATCH(H$7,$D$7:$L$7,0)),"")</f>
        <v/>
      </c>
      <c r="I234" s="60" t="str">
        <f>IFERROR(INDEX('领用录入（明细）'!$B:$L,SMALL($B:$B,ROW(G228)),MATCH(I$7,$D$7:$L$7,0)),"")</f>
        <v/>
      </c>
      <c r="J234" s="60" t="str">
        <f>IFERROR(INDEX('领用录入（明细）'!$B:$L,SMALL($B:$B,ROW(H228)),MATCH(J$7,$D$7:$L$7,0)),"")</f>
        <v/>
      </c>
      <c r="K234" s="60" t="str">
        <f>IFERROR(INDEX('领用录入（明细）'!$B:$L,SMALL($B:$B,ROW(I228)),MATCH(K$7,$D$7:$L$7,0)),"")</f>
        <v/>
      </c>
      <c r="L234" s="60" t="str">
        <f>IFERROR(INDEX('领用录入（明细）'!$B:$L,SMALL($B:$B,ROW(J228)),MATCH(L$7,$D$7:$L$7,0)),"")</f>
        <v/>
      </c>
      <c r="M234" s="60" t="str">
        <f t="shared" si="3"/>
        <v/>
      </c>
    </row>
    <row r="235" customHeight="1" spans="2:13">
      <c r="B235" s="62" t="str">
        <f>IF(AND('领用录入（明细）'!D:D=$F$4,'领用录入（明细）'!C:C&gt;=$J$4,'领用录入（明细）'!C:C&lt;=$L$4),ROW(),"-")</f>
        <v>-</v>
      </c>
      <c r="D235" s="59" t="str">
        <f>IFERROR(INDEX('领用录入（明细）'!$B:$L,SMALL($B:$B,ROW(B229)),MATCH(D$7,$D$7:$L$7,0)),"")</f>
        <v/>
      </c>
      <c r="E235" s="114" t="str">
        <f>IFERROR(INDEX('领用录入（明细）'!$B:$L,SMALL($B:$B,ROW(C229)),MATCH(E$7,$D$7:$L$7,0)),"")</f>
        <v/>
      </c>
      <c r="F235" s="60" t="str">
        <f>IFERROR(INDEX('领用录入（明细）'!$B:$L,SMALL($B:$B,ROW(D229)),MATCH(F$7,$D$7:$L$7,0)),"")</f>
        <v/>
      </c>
      <c r="G235" s="60" t="str">
        <f>IFERROR(INDEX('领用录入（明细）'!$B:$L,SMALL($B:$B,ROW(E229)),MATCH(G$7,$D$7:$L$7,0)),"")</f>
        <v/>
      </c>
      <c r="H235" s="60" t="str">
        <f>IFERROR(INDEX('领用录入（明细）'!$B:$L,SMALL($B:$B,ROW(F229)),MATCH(H$7,$D$7:$L$7,0)),"")</f>
        <v/>
      </c>
      <c r="I235" s="60" t="str">
        <f>IFERROR(INDEX('领用录入（明细）'!$B:$L,SMALL($B:$B,ROW(G229)),MATCH(I$7,$D$7:$L$7,0)),"")</f>
        <v/>
      </c>
      <c r="J235" s="60" t="str">
        <f>IFERROR(INDEX('领用录入（明细）'!$B:$L,SMALL($B:$B,ROW(H229)),MATCH(J$7,$D$7:$L$7,0)),"")</f>
        <v/>
      </c>
      <c r="K235" s="60" t="str">
        <f>IFERROR(INDEX('领用录入（明细）'!$B:$L,SMALL($B:$B,ROW(I229)),MATCH(K$7,$D$7:$L$7,0)),"")</f>
        <v/>
      </c>
      <c r="L235" s="60" t="str">
        <f>IFERROR(INDEX('领用录入（明细）'!$B:$L,SMALL($B:$B,ROW(J229)),MATCH(L$7,$D$7:$L$7,0)),"")</f>
        <v/>
      </c>
      <c r="M235" s="60" t="str">
        <f t="shared" si="3"/>
        <v/>
      </c>
    </row>
    <row r="236" customHeight="1" spans="2:13">
      <c r="B236" s="62" t="str">
        <f>IF(AND('领用录入（明细）'!D:D=$F$4,'领用录入（明细）'!C:C&gt;=$J$4,'领用录入（明细）'!C:C&lt;=$L$4),ROW(),"-")</f>
        <v>-</v>
      </c>
      <c r="D236" s="59" t="str">
        <f>IFERROR(INDEX('领用录入（明细）'!$B:$L,SMALL($B:$B,ROW(B230)),MATCH(D$7,$D$7:$L$7,0)),"")</f>
        <v/>
      </c>
      <c r="E236" s="114" t="str">
        <f>IFERROR(INDEX('领用录入（明细）'!$B:$L,SMALL($B:$B,ROW(C230)),MATCH(E$7,$D$7:$L$7,0)),"")</f>
        <v/>
      </c>
      <c r="F236" s="60" t="str">
        <f>IFERROR(INDEX('领用录入（明细）'!$B:$L,SMALL($B:$B,ROW(D230)),MATCH(F$7,$D$7:$L$7,0)),"")</f>
        <v/>
      </c>
      <c r="G236" s="60" t="str">
        <f>IFERROR(INDEX('领用录入（明细）'!$B:$L,SMALL($B:$B,ROW(E230)),MATCH(G$7,$D$7:$L$7,0)),"")</f>
        <v/>
      </c>
      <c r="H236" s="60" t="str">
        <f>IFERROR(INDEX('领用录入（明细）'!$B:$L,SMALL($B:$B,ROW(F230)),MATCH(H$7,$D$7:$L$7,0)),"")</f>
        <v/>
      </c>
      <c r="I236" s="60" t="str">
        <f>IFERROR(INDEX('领用录入（明细）'!$B:$L,SMALL($B:$B,ROW(G230)),MATCH(I$7,$D$7:$L$7,0)),"")</f>
        <v/>
      </c>
      <c r="J236" s="60" t="str">
        <f>IFERROR(INDEX('领用录入（明细）'!$B:$L,SMALL($B:$B,ROW(H230)),MATCH(J$7,$D$7:$L$7,0)),"")</f>
        <v/>
      </c>
      <c r="K236" s="60" t="str">
        <f>IFERROR(INDEX('领用录入（明细）'!$B:$L,SMALL($B:$B,ROW(I230)),MATCH(K$7,$D$7:$L$7,0)),"")</f>
        <v/>
      </c>
      <c r="L236" s="60" t="str">
        <f>IFERROR(INDEX('领用录入（明细）'!$B:$L,SMALL($B:$B,ROW(J230)),MATCH(L$7,$D$7:$L$7,0)),"")</f>
        <v/>
      </c>
      <c r="M236" s="60" t="str">
        <f t="shared" si="3"/>
        <v/>
      </c>
    </row>
    <row r="237" customHeight="1" spans="2:13">
      <c r="B237" s="62" t="str">
        <f>IF(AND('领用录入（明细）'!D:D=$F$4,'领用录入（明细）'!C:C&gt;=$J$4,'领用录入（明细）'!C:C&lt;=$L$4),ROW(),"-")</f>
        <v>-</v>
      </c>
      <c r="D237" s="59" t="str">
        <f>IFERROR(INDEX('领用录入（明细）'!$B:$L,SMALL($B:$B,ROW(B231)),MATCH(D$7,$D$7:$L$7,0)),"")</f>
        <v/>
      </c>
      <c r="E237" s="114" t="str">
        <f>IFERROR(INDEX('领用录入（明细）'!$B:$L,SMALL($B:$B,ROW(C231)),MATCH(E$7,$D$7:$L$7,0)),"")</f>
        <v/>
      </c>
      <c r="F237" s="60" t="str">
        <f>IFERROR(INDEX('领用录入（明细）'!$B:$L,SMALL($B:$B,ROW(D231)),MATCH(F$7,$D$7:$L$7,0)),"")</f>
        <v/>
      </c>
      <c r="G237" s="60" t="str">
        <f>IFERROR(INDEX('领用录入（明细）'!$B:$L,SMALL($B:$B,ROW(E231)),MATCH(G$7,$D$7:$L$7,0)),"")</f>
        <v/>
      </c>
      <c r="H237" s="60" t="str">
        <f>IFERROR(INDEX('领用录入（明细）'!$B:$L,SMALL($B:$B,ROW(F231)),MATCH(H$7,$D$7:$L$7,0)),"")</f>
        <v/>
      </c>
      <c r="I237" s="60" t="str">
        <f>IFERROR(INDEX('领用录入（明细）'!$B:$L,SMALL($B:$B,ROW(G231)),MATCH(I$7,$D$7:$L$7,0)),"")</f>
        <v/>
      </c>
      <c r="J237" s="60" t="str">
        <f>IFERROR(INDEX('领用录入（明细）'!$B:$L,SMALL($B:$B,ROW(H231)),MATCH(J$7,$D$7:$L$7,0)),"")</f>
        <v/>
      </c>
      <c r="K237" s="60" t="str">
        <f>IFERROR(INDEX('领用录入（明细）'!$B:$L,SMALL($B:$B,ROW(I231)),MATCH(K$7,$D$7:$L$7,0)),"")</f>
        <v/>
      </c>
      <c r="L237" s="60" t="str">
        <f>IFERROR(INDEX('领用录入（明细）'!$B:$L,SMALL($B:$B,ROW(J231)),MATCH(L$7,$D$7:$L$7,0)),"")</f>
        <v/>
      </c>
      <c r="M237" s="60" t="str">
        <f t="shared" si="3"/>
        <v/>
      </c>
    </row>
    <row r="238" customHeight="1" spans="2:13">
      <c r="B238" s="62" t="str">
        <f>IF(AND('领用录入（明细）'!D:D=$F$4,'领用录入（明细）'!C:C&gt;=$J$4,'领用录入（明细）'!C:C&lt;=$L$4),ROW(),"-")</f>
        <v>-</v>
      </c>
      <c r="D238" s="59" t="str">
        <f>IFERROR(INDEX('领用录入（明细）'!$B:$L,SMALL($B:$B,ROW(B232)),MATCH(D$7,$D$7:$L$7,0)),"")</f>
        <v/>
      </c>
      <c r="E238" s="114" t="str">
        <f>IFERROR(INDEX('领用录入（明细）'!$B:$L,SMALL($B:$B,ROW(C232)),MATCH(E$7,$D$7:$L$7,0)),"")</f>
        <v/>
      </c>
      <c r="F238" s="60" t="str">
        <f>IFERROR(INDEX('领用录入（明细）'!$B:$L,SMALL($B:$B,ROW(D232)),MATCH(F$7,$D$7:$L$7,0)),"")</f>
        <v/>
      </c>
      <c r="G238" s="60" t="str">
        <f>IFERROR(INDEX('领用录入（明细）'!$B:$L,SMALL($B:$B,ROW(E232)),MATCH(G$7,$D$7:$L$7,0)),"")</f>
        <v/>
      </c>
      <c r="H238" s="60" t="str">
        <f>IFERROR(INDEX('领用录入（明细）'!$B:$L,SMALL($B:$B,ROW(F232)),MATCH(H$7,$D$7:$L$7,0)),"")</f>
        <v/>
      </c>
      <c r="I238" s="60" t="str">
        <f>IFERROR(INDEX('领用录入（明细）'!$B:$L,SMALL($B:$B,ROW(G232)),MATCH(I$7,$D$7:$L$7,0)),"")</f>
        <v/>
      </c>
      <c r="J238" s="60" t="str">
        <f>IFERROR(INDEX('领用录入（明细）'!$B:$L,SMALL($B:$B,ROW(H232)),MATCH(J$7,$D$7:$L$7,0)),"")</f>
        <v/>
      </c>
      <c r="K238" s="60" t="str">
        <f>IFERROR(INDEX('领用录入（明细）'!$B:$L,SMALL($B:$B,ROW(I232)),MATCH(K$7,$D$7:$L$7,0)),"")</f>
        <v/>
      </c>
      <c r="L238" s="60" t="str">
        <f>IFERROR(INDEX('领用录入（明细）'!$B:$L,SMALL($B:$B,ROW(J232)),MATCH(L$7,$D$7:$L$7,0)),"")</f>
        <v/>
      </c>
      <c r="M238" s="60" t="str">
        <f t="shared" si="3"/>
        <v/>
      </c>
    </row>
    <row r="239" customHeight="1" spans="2:13">
      <c r="B239" s="62" t="str">
        <f>IF(AND('领用录入（明细）'!D:D=$F$4,'领用录入（明细）'!C:C&gt;=$J$4,'领用录入（明细）'!C:C&lt;=$L$4),ROW(),"-")</f>
        <v>-</v>
      </c>
      <c r="D239" s="59" t="str">
        <f>IFERROR(INDEX('领用录入（明细）'!$B:$L,SMALL($B:$B,ROW(B233)),MATCH(D$7,$D$7:$L$7,0)),"")</f>
        <v/>
      </c>
      <c r="E239" s="114" t="str">
        <f>IFERROR(INDEX('领用录入（明细）'!$B:$L,SMALL($B:$B,ROW(C233)),MATCH(E$7,$D$7:$L$7,0)),"")</f>
        <v/>
      </c>
      <c r="F239" s="60" t="str">
        <f>IFERROR(INDEX('领用录入（明细）'!$B:$L,SMALL($B:$B,ROW(D233)),MATCH(F$7,$D$7:$L$7,0)),"")</f>
        <v/>
      </c>
      <c r="G239" s="60" t="str">
        <f>IFERROR(INDEX('领用录入（明细）'!$B:$L,SMALL($B:$B,ROW(E233)),MATCH(G$7,$D$7:$L$7,0)),"")</f>
        <v/>
      </c>
      <c r="H239" s="60" t="str">
        <f>IFERROR(INDEX('领用录入（明细）'!$B:$L,SMALL($B:$B,ROW(F233)),MATCH(H$7,$D$7:$L$7,0)),"")</f>
        <v/>
      </c>
      <c r="I239" s="60" t="str">
        <f>IFERROR(INDEX('领用录入（明细）'!$B:$L,SMALL($B:$B,ROW(G233)),MATCH(I$7,$D$7:$L$7,0)),"")</f>
        <v/>
      </c>
      <c r="J239" s="60" t="str">
        <f>IFERROR(INDEX('领用录入（明细）'!$B:$L,SMALL($B:$B,ROW(H233)),MATCH(J$7,$D$7:$L$7,0)),"")</f>
        <v/>
      </c>
      <c r="K239" s="60" t="str">
        <f>IFERROR(INDEX('领用录入（明细）'!$B:$L,SMALL($B:$B,ROW(I233)),MATCH(K$7,$D$7:$L$7,0)),"")</f>
        <v/>
      </c>
      <c r="L239" s="60" t="str">
        <f>IFERROR(INDEX('领用录入（明细）'!$B:$L,SMALL($B:$B,ROW(J233)),MATCH(L$7,$D$7:$L$7,0)),"")</f>
        <v/>
      </c>
      <c r="M239" s="60" t="str">
        <f t="shared" si="3"/>
        <v/>
      </c>
    </row>
    <row r="240" customHeight="1" spans="2:13">
      <c r="B240" s="62" t="str">
        <f>IF(AND('领用录入（明细）'!D:D=$F$4,'领用录入（明细）'!C:C&gt;=$J$4,'领用录入（明细）'!C:C&lt;=$L$4),ROW(),"-")</f>
        <v>-</v>
      </c>
      <c r="D240" s="59" t="str">
        <f>IFERROR(INDEX('领用录入（明细）'!$B:$L,SMALL($B:$B,ROW(B234)),MATCH(D$7,$D$7:$L$7,0)),"")</f>
        <v/>
      </c>
      <c r="E240" s="114" t="str">
        <f>IFERROR(INDEX('领用录入（明细）'!$B:$L,SMALL($B:$B,ROW(C234)),MATCH(E$7,$D$7:$L$7,0)),"")</f>
        <v/>
      </c>
      <c r="F240" s="60" t="str">
        <f>IFERROR(INDEX('领用录入（明细）'!$B:$L,SMALL($B:$B,ROW(D234)),MATCH(F$7,$D$7:$L$7,0)),"")</f>
        <v/>
      </c>
      <c r="G240" s="60" t="str">
        <f>IFERROR(INDEX('领用录入（明细）'!$B:$L,SMALL($B:$B,ROW(E234)),MATCH(G$7,$D$7:$L$7,0)),"")</f>
        <v/>
      </c>
      <c r="H240" s="60" t="str">
        <f>IFERROR(INDEX('领用录入（明细）'!$B:$L,SMALL($B:$B,ROW(F234)),MATCH(H$7,$D$7:$L$7,0)),"")</f>
        <v/>
      </c>
      <c r="I240" s="60" t="str">
        <f>IFERROR(INDEX('领用录入（明细）'!$B:$L,SMALL($B:$B,ROW(G234)),MATCH(I$7,$D$7:$L$7,0)),"")</f>
        <v/>
      </c>
      <c r="J240" s="60" t="str">
        <f>IFERROR(INDEX('领用录入（明细）'!$B:$L,SMALL($B:$B,ROW(H234)),MATCH(J$7,$D$7:$L$7,0)),"")</f>
        <v/>
      </c>
      <c r="K240" s="60" t="str">
        <f>IFERROR(INDEX('领用录入（明细）'!$B:$L,SMALL($B:$B,ROW(I234)),MATCH(K$7,$D$7:$L$7,0)),"")</f>
        <v/>
      </c>
      <c r="L240" s="60" t="str">
        <f>IFERROR(INDEX('领用录入（明细）'!$B:$L,SMALL($B:$B,ROW(J234)),MATCH(L$7,$D$7:$L$7,0)),"")</f>
        <v/>
      </c>
      <c r="M240" s="60" t="str">
        <f t="shared" si="3"/>
        <v/>
      </c>
    </row>
    <row r="241" customHeight="1" spans="2:13">
      <c r="B241" s="62" t="str">
        <f>IF(AND('领用录入（明细）'!D:D=$F$4,'领用录入（明细）'!C:C&gt;=$J$4,'领用录入（明细）'!C:C&lt;=$L$4),ROW(),"-")</f>
        <v>-</v>
      </c>
      <c r="D241" s="59" t="str">
        <f>IFERROR(INDEX('领用录入（明细）'!$B:$L,SMALL($B:$B,ROW(B235)),MATCH(D$7,$D$7:$L$7,0)),"")</f>
        <v/>
      </c>
      <c r="E241" s="114" t="str">
        <f>IFERROR(INDEX('领用录入（明细）'!$B:$L,SMALL($B:$B,ROW(C235)),MATCH(E$7,$D$7:$L$7,0)),"")</f>
        <v/>
      </c>
      <c r="F241" s="60" t="str">
        <f>IFERROR(INDEX('领用录入（明细）'!$B:$L,SMALL($B:$B,ROW(D235)),MATCH(F$7,$D$7:$L$7,0)),"")</f>
        <v/>
      </c>
      <c r="G241" s="60" t="str">
        <f>IFERROR(INDEX('领用录入（明细）'!$B:$L,SMALL($B:$B,ROW(E235)),MATCH(G$7,$D$7:$L$7,0)),"")</f>
        <v/>
      </c>
      <c r="H241" s="60" t="str">
        <f>IFERROR(INDEX('领用录入（明细）'!$B:$L,SMALL($B:$B,ROW(F235)),MATCH(H$7,$D$7:$L$7,0)),"")</f>
        <v/>
      </c>
      <c r="I241" s="60" t="str">
        <f>IFERROR(INDEX('领用录入（明细）'!$B:$L,SMALL($B:$B,ROW(G235)),MATCH(I$7,$D$7:$L$7,0)),"")</f>
        <v/>
      </c>
      <c r="J241" s="60" t="str">
        <f>IFERROR(INDEX('领用录入（明细）'!$B:$L,SMALL($B:$B,ROW(H235)),MATCH(J$7,$D$7:$L$7,0)),"")</f>
        <v/>
      </c>
      <c r="K241" s="60" t="str">
        <f>IFERROR(INDEX('领用录入（明细）'!$B:$L,SMALL($B:$B,ROW(I235)),MATCH(K$7,$D$7:$L$7,0)),"")</f>
        <v/>
      </c>
      <c r="L241" s="60" t="str">
        <f>IFERROR(INDEX('领用录入（明细）'!$B:$L,SMALL($B:$B,ROW(J235)),MATCH(L$7,$D$7:$L$7,0)),"")</f>
        <v/>
      </c>
      <c r="M241" s="60" t="str">
        <f t="shared" si="3"/>
        <v/>
      </c>
    </row>
    <row r="242" customHeight="1" spans="2:13">
      <c r="B242" s="62" t="str">
        <f>IF(AND('领用录入（明细）'!D:D=$F$4,'领用录入（明细）'!C:C&gt;=$J$4,'领用录入（明细）'!C:C&lt;=$L$4),ROW(),"-")</f>
        <v>-</v>
      </c>
      <c r="D242" s="59" t="str">
        <f>IFERROR(INDEX('领用录入（明细）'!$B:$L,SMALL($B:$B,ROW(B236)),MATCH(D$7,$D$7:$L$7,0)),"")</f>
        <v/>
      </c>
      <c r="E242" s="114" t="str">
        <f>IFERROR(INDEX('领用录入（明细）'!$B:$L,SMALL($B:$B,ROW(C236)),MATCH(E$7,$D$7:$L$7,0)),"")</f>
        <v/>
      </c>
      <c r="F242" s="60" t="str">
        <f>IFERROR(INDEX('领用录入（明细）'!$B:$L,SMALL($B:$B,ROW(D236)),MATCH(F$7,$D$7:$L$7,0)),"")</f>
        <v/>
      </c>
      <c r="G242" s="60" t="str">
        <f>IFERROR(INDEX('领用录入（明细）'!$B:$L,SMALL($B:$B,ROW(E236)),MATCH(G$7,$D$7:$L$7,0)),"")</f>
        <v/>
      </c>
      <c r="H242" s="60" t="str">
        <f>IFERROR(INDEX('领用录入（明细）'!$B:$L,SMALL($B:$B,ROW(F236)),MATCH(H$7,$D$7:$L$7,0)),"")</f>
        <v/>
      </c>
      <c r="I242" s="60" t="str">
        <f>IFERROR(INDEX('领用录入（明细）'!$B:$L,SMALL($B:$B,ROW(G236)),MATCH(I$7,$D$7:$L$7,0)),"")</f>
        <v/>
      </c>
      <c r="J242" s="60" t="str">
        <f>IFERROR(INDEX('领用录入（明细）'!$B:$L,SMALL($B:$B,ROW(H236)),MATCH(J$7,$D$7:$L$7,0)),"")</f>
        <v/>
      </c>
      <c r="K242" s="60" t="str">
        <f>IFERROR(INDEX('领用录入（明细）'!$B:$L,SMALL($B:$B,ROW(I236)),MATCH(K$7,$D$7:$L$7,0)),"")</f>
        <v/>
      </c>
      <c r="L242" s="60" t="str">
        <f>IFERROR(INDEX('领用录入（明细）'!$B:$L,SMALL($B:$B,ROW(J236)),MATCH(L$7,$D$7:$L$7,0)),"")</f>
        <v/>
      </c>
      <c r="M242" s="60" t="str">
        <f t="shared" si="3"/>
        <v/>
      </c>
    </row>
    <row r="243" customHeight="1" spans="2:13">
      <c r="B243" s="62" t="str">
        <f>IF(AND('领用录入（明细）'!D:D=$F$4,'领用录入（明细）'!C:C&gt;=$J$4,'领用录入（明细）'!C:C&lt;=$L$4),ROW(),"-")</f>
        <v>-</v>
      </c>
      <c r="D243" s="59" t="str">
        <f>IFERROR(INDEX('领用录入（明细）'!$B:$L,SMALL($B:$B,ROW(B237)),MATCH(D$7,$D$7:$L$7,0)),"")</f>
        <v/>
      </c>
      <c r="E243" s="114" t="str">
        <f>IFERROR(INDEX('领用录入（明细）'!$B:$L,SMALL($B:$B,ROW(C237)),MATCH(E$7,$D$7:$L$7,0)),"")</f>
        <v/>
      </c>
      <c r="F243" s="60" t="str">
        <f>IFERROR(INDEX('领用录入（明细）'!$B:$L,SMALL($B:$B,ROW(D237)),MATCH(F$7,$D$7:$L$7,0)),"")</f>
        <v/>
      </c>
      <c r="G243" s="60" t="str">
        <f>IFERROR(INDEX('领用录入（明细）'!$B:$L,SMALL($B:$B,ROW(E237)),MATCH(G$7,$D$7:$L$7,0)),"")</f>
        <v/>
      </c>
      <c r="H243" s="60" t="str">
        <f>IFERROR(INDEX('领用录入（明细）'!$B:$L,SMALL($B:$B,ROW(F237)),MATCH(H$7,$D$7:$L$7,0)),"")</f>
        <v/>
      </c>
      <c r="I243" s="60" t="str">
        <f>IFERROR(INDEX('领用录入（明细）'!$B:$L,SMALL($B:$B,ROW(G237)),MATCH(I$7,$D$7:$L$7,0)),"")</f>
        <v/>
      </c>
      <c r="J243" s="60" t="str">
        <f>IFERROR(INDEX('领用录入（明细）'!$B:$L,SMALL($B:$B,ROW(H237)),MATCH(J$7,$D$7:$L$7,0)),"")</f>
        <v/>
      </c>
      <c r="K243" s="60" t="str">
        <f>IFERROR(INDEX('领用录入（明细）'!$B:$L,SMALL($B:$B,ROW(I237)),MATCH(K$7,$D$7:$L$7,0)),"")</f>
        <v/>
      </c>
      <c r="L243" s="60" t="str">
        <f>IFERROR(INDEX('领用录入（明细）'!$B:$L,SMALL($B:$B,ROW(J237)),MATCH(L$7,$D$7:$L$7,0)),"")</f>
        <v/>
      </c>
      <c r="M243" s="60" t="str">
        <f t="shared" si="3"/>
        <v/>
      </c>
    </row>
    <row r="244" customHeight="1" spans="2:13">
      <c r="B244" s="62" t="str">
        <f>IF(AND('领用录入（明细）'!D:D=$F$4,'领用录入（明细）'!C:C&gt;=$J$4,'领用录入（明细）'!C:C&lt;=$L$4),ROW(),"-")</f>
        <v>-</v>
      </c>
      <c r="D244" s="59" t="str">
        <f>IFERROR(INDEX('领用录入（明细）'!$B:$L,SMALL($B:$B,ROW(B238)),MATCH(D$7,$D$7:$L$7,0)),"")</f>
        <v/>
      </c>
      <c r="E244" s="114" t="str">
        <f>IFERROR(INDEX('领用录入（明细）'!$B:$L,SMALL($B:$B,ROW(C238)),MATCH(E$7,$D$7:$L$7,0)),"")</f>
        <v/>
      </c>
      <c r="F244" s="60" t="str">
        <f>IFERROR(INDEX('领用录入（明细）'!$B:$L,SMALL($B:$B,ROW(D238)),MATCH(F$7,$D$7:$L$7,0)),"")</f>
        <v/>
      </c>
      <c r="G244" s="60" t="str">
        <f>IFERROR(INDEX('领用录入（明细）'!$B:$L,SMALL($B:$B,ROW(E238)),MATCH(G$7,$D$7:$L$7,0)),"")</f>
        <v/>
      </c>
      <c r="H244" s="60" t="str">
        <f>IFERROR(INDEX('领用录入（明细）'!$B:$L,SMALL($B:$B,ROW(F238)),MATCH(H$7,$D$7:$L$7,0)),"")</f>
        <v/>
      </c>
      <c r="I244" s="60" t="str">
        <f>IFERROR(INDEX('领用录入（明细）'!$B:$L,SMALL($B:$B,ROW(G238)),MATCH(I$7,$D$7:$L$7,0)),"")</f>
        <v/>
      </c>
      <c r="J244" s="60" t="str">
        <f>IFERROR(INDEX('领用录入（明细）'!$B:$L,SMALL($B:$B,ROW(H238)),MATCH(J$7,$D$7:$L$7,0)),"")</f>
        <v/>
      </c>
      <c r="K244" s="60" t="str">
        <f>IFERROR(INDEX('领用录入（明细）'!$B:$L,SMALL($B:$B,ROW(I238)),MATCH(K$7,$D$7:$L$7,0)),"")</f>
        <v/>
      </c>
      <c r="L244" s="60" t="str">
        <f>IFERROR(INDEX('领用录入（明细）'!$B:$L,SMALL($B:$B,ROW(J238)),MATCH(L$7,$D$7:$L$7,0)),"")</f>
        <v/>
      </c>
      <c r="M244" s="60" t="str">
        <f t="shared" si="3"/>
        <v/>
      </c>
    </row>
    <row r="245" customHeight="1" spans="2:13">
      <c r="B245" s="62" t="str">
        <f>IF(AND('领用录入（明细）'!D:D=$F$4,'领用录入（明细）'!C:C&gt;=$J$4,'领用录入（明细）'!C:C&lt;=$L$4),ROW(),"-")</f>
        <v>-</v>
      </c>
      <c r="D245" s="59" t="str">
        <f>IFERROR(INDEX('领用录入（明细）'!$B:$L,SMALL($B:$B,ROW(B239)),MATCH(D$7,$D$7:$L$7,0)),"")</f>
        <v/>
      </c>
      <c r="E245" s="114" t="str">
        <f>IFERROR(INDEX('领用录入（明细）'!$B:$L,SMALL($B:$B,ROW(C239)),MATCH(E$7,$D$7:$L$7,0)),"")</f>
        <v/>
      </c>
      <c r="F245" s="60" t="str">
        <f>IFERROR(INDEX('领用录入（明细）'!$B:$L,SMALL($B:$B,ROW(D239)),MATCH(F$7,$D$7:$L$7,0)),"")</f>
        <v/>
      </c>
      <c r="G245" s="60" t="str">
        <f>IFERROR(INDEX('领用录入（明细）'!$B:$L,SMALL($B:$B,ROW(E239)),MATCH(G$7,$D$7:$L$7,0)),"")</f>
        <v/>
      </c>
      <c r="H245" s="60" t="str">
        <f>IFERROR(INDEX('领用录入（明细）'!$B:$L,SMALL($B:$B,ROW(F239)),MATCH(H$7,$D$7:$L$7,0)),"")</f>
        <v/>
      </c>
      <c r="I245" s="60" t="str">
        <f>IFERROR(INDEX('领用录入（明细）'!$B:$L,SMALL($B:$B,ROW(G239)),MATCH(I$7,$D$7:$L$7,0)),"")</f>
        <v/>
      </c>
      <c r="J245" s="60" t="str">
        <f>IFERROR(INDEX('领用录入（明细）'!$B:$L,SMALL($B:$B,ROW(H239)),MATCH(J$7,$D$7:$L$7,0)),"")</f>
        <v/>
      </c>
      <c r="K245" s="60" t="str">
        <f>IFERROR(INDEX('领用录入（明细）'!$B:$L,SMALL($B:$B,ROW(I239)),MATCH(K$7,$D$7:$L$7,0)),"")</f>
        <v/>
      </c>
      <c r="L245" s="60" t="str">
        <f>IFERROR(INDEX('领用录入（明细）'!$B:$L,SMALL($B:$B,ROW(J239)),MATCH(L$7,$D$7:$L$7,0)),"")</f>
        <v/>
      </c>
      <c r="M245" s="60" t="str">
        <f t="shared" si="3"/>
        <v/>
      </c>
    </row>
    <row r="246" customHeight="1" spans="2:13">
      <c r="B246" s="62" t="str">
        <f>IF(AND('领用录入（明细）'!D:D=$F$4,'领用录入（明细）'!C:C&gt;=$J$4,'领用录入（明细）'!C:C&lt;=$L$4),ROW(),"-")</f>
        <v>-</v>
      </c>
      <c r="D246" s="59" t="str">
        <f>IFERROR(INDEX('领用录入（明细）'!$B:$L,SMALL($B:$B,ROW(B240)),MATCH(D$7,$D$7:$L$7,0)),"")</f>
        <v/>
      </c>
      <c r="E246" s="114" t="str">
        <f>IFERROR(INDEX('领用录入（明细）'!$B:$L,SMALL($B:$B,ROW(C240)),MATCH(E$7,$D$7:$L$7,0)),"")</f>
        <v/>
      </c>
      <c r="F246" s="60" t="str">
        <f>IFERROR(INDEX('领用录入（明细）'!$B:$L,SMALL($B:$B,ROW(D240)),MATCH(F$7,$D$7:$L$7,0)),"")</f>
        <v/>
      </c>
      <c r="G246" s="60" t="str">
        <f>IFERROR(INDEX('领用录入（明细）'!$B:$L,SMALL($B:$B,ROW(E240)),MATCH(G$7,$D$7:$L$7,0)),"")</f>
        <v/>
      </c>
      <c r="H246" s="60" t="str">
        <f>IFERROR(INDEX('领用录入（明细）'!$B:$L,SMALL($B:$B,ROW(F240)),MATCH(H$7,$D$7:$L$7,0)),"")</f>
        <v/>
      </c>
      <c r="I246" s="60" t="str">
        <f>IFERROR(INDEX('领用录入（明细）'!$B:$L,SMALL($B:$B,ROW(G240)),MATCH(I$7,$D$7:$L$7,0)),"")</f>
        <v/>
      </c>
      <c r="J246" s="60" t="str">
        <f>IFERROR(INDEX('领用录入（明细）'!$B:$L,SMALL($B:$B,ROW(H240)),MATCH(J$7,$D$7:$L$7,0)),"")</f>
        <v/>
      </c>
      <c r="K246" s="60" t="str">
        <f>IFERROR(INDEX('领用录入（明细）'!$B:$L,SMALL($B:$B,ROW(I240)),MATCH(K$7,$D$7:$L$7,0)),"")</f>
        <v/>
      </c>
      <c r="L246" s="60" t="str">
        <f>IFERROR(INDEX('领用录入（明细）'!$B:$L,SMALL($B:$B,ROW(J240)),MATCH(L$7,$D$7:$L$7,0)),"")</f>
        <v/>
      </c>
      <c r="M246" s="60" t="str">
        <f t="shared" si="3"/>
        <v/>
      </c>
    </row>
    <row r="247" customHeight="1" spans="2:13">
      <c r="B247" s="62" t="str">
        <f>IF(AND('领用录入（明细）'!D:D=$F$4,'领用录入（明细）'!C:C&gt;=$J$4,'领用录入（明细）'!C:C&lt;=$L$4),ROW(),"-")</f>
        <v>-</v>
      </c>
      <c r="D247" s="59" t="str">
        <f>IFERROR(INDEX('领用录入（明细）'!$B:$L,SMALL($B:$B,ROW(B241)),MATCH(D$7,$D$7:$L$7,0)),"")</f>
        <v/>
      </c>
      <c r="E247" s="114" t="str">
        <f>IFERROR(INDEX('领用录入（明细）'!$B:$L,SMALL($B:$B,ROW(C241)),MATCH(E$7,$D$7:$L$7,0)),"")</f>
        <v/>
      </c>
      <c r="F247" s="60" t="str">
        <f>IFERROR(INDEX('领用录入（明细）'!$B:$L,SMALL($B:$B,ROW(D241)),MATCH(F$7,$D$7:$L$7,0)),"")</f>
        <v/>
      </c>
      <c r="G247" s="60" t="str">
        <f>IFERROR(INDEX('领用录入（明细）'!$B:$L,SMALL($B:$B,ROW(E241)),MATCH(G$7,$D$7:$L$7,0)),"")</f>
        <v/>
      </c>
      <c r="H247" s="60" t="str">
        <f>IFERROR(INDEX('领用录入（明细）'!$B:$L,SMALL($B:$B,ROW(F241)),MATCH(H$7,$D$7:$L$7,0)),"")</f>
        <v/>
      </c>
      <c r="I247" s="60" t="str">
        <f>IFERROR(INDEX('领用录入（明细）'!$B:$L,SMALL($B:$B,ROW(G241)),MATCH(I$7,$D$7:$L$7,0)),"")</f>
        <v/>
      </c>
      <c r="J247" s="60" t="str">
        <f>IFERROR(INDEX('领用录入（明细）'!$B:$L,SMALL($B:$B,ROW(H241)),MATCH(J$7,$D$7:$L$7,0)),"")</f>
        <v/>
      </c>
      <c r="K247" s="60" t="str">
        <f>IFERROR(INDEX('领用录入（明细）'!$B:$L,SMALL($B:$B,ROW(I241)),MATCH(K$7,$D$7:$L$7,0)),"")</f>
        <v/>
      </c>
      <c r="L247" s="60" t="str">
        <f>IFERROR(INDEX('领用录入（明细）'!$B:$L,SMALL($B:$B,ROW(J241)),MATCH(L$7,$D$7:$L$7,0)),"")</f>
        <v/>
      </c>
      <c r="M247" s="60" t="str">
        <f t="shared" si="3"/>
        <v/>
      </c>
    </row>
    <row r="248" customHeight="1" spans="2:13">
      <c r="B248" s="62" t="str">
        <f>IF(AND('领用录入（明细）'!D:D=$F$4,'领用录入（明细）'!C:C&gt;=$J$4,'领用录入（明细）'!C:C&lt;=$L$4),ROW(),"-")</f>
        <v>-</v>
      </c>
      <c r="D248" s="59" t="str">
        <f>IFERROR(INDEX('领用录入（明细）'!$B:$L,SMALL($B:$B,ROW(B242)),MATCH(D$7,$D$7:$L$7,0)),"")</f>
        <v/>
      </c>
      <c r="E248" s="114" t="str">
        <f>IFERROR(INDEX('领用录入（明细）'!$B:$L,SMALL($B:$B,ROW(C242)),MATCH(E$7,$D$7:$L$7,0)),"")</f>
        <v/>
      </c>
      <c r="F248" s="60" t="str">
        <f>IFERROR(INDEX('领用录入（明细）'!$B:$L,SMALL($B:$B,ROW(D242)),MATCH(F$7,$D$7:$L$7,0)),"")</f>
        <v/>
      </c>
      <c r="G248" s="60" t="str">
        <f>IFERROR(INDEX('领用录入（明细）'!$B:$L,SMALL($B:$B,ROW(E242)),MATCH(G$7,$D$7:$L$7,0)),"")</f>
        <v/>
      </c>
      <c r="H248" s="60" t="str">
        <f>IFERROR(INDEX('领用录入（明细）'!$B:$L,SMALL($B:$B,ROW(F242)),MATCH(H$7,$D$7:$L$7,0)),"")</f>
        <v/>
      </c>
      <c r="I248" s="60" t="str">
        <f>IFERROR(INDEX('领用录入（明细）'!$B:$L,SMALL($B:$B,ROW(G242)),MATCH(I$7,$D$7:$L$7,0)),"")</f>
        <v/>
      </c>
      <c r="J248" s="60" t="str">
        <f>IFERROR(INDEX('领用录入（明细）'!$B:$L,SMALL($B:$B,ROW(H242)),MATCH(J$7,$D$7:$L$7,0)),"")</f>
        <v/>
      </c>
      <c r="K248" s="60" t="str">
        <f>IFERROR(INDEX('领用录入（明细）'!$B:$L,SMALL($B:$B,ROW(I242)),MATCH(K$7,$D$7:$L$7,0)),"")</f>
        <v/>
      </c>
      <c r="L248" s="60" t="str">
        <f>IFERROR(INDEX('领用录入（明细）'!$B:$L,SMALL($B:$B,ROW(J242)),MATCH(L$7,$D$7:$L$7,0)),"")</f>
        <v/>
      </c>
      <c r="M248" s="60" t="str">
        <f t="shared" si="3"/>
        <v/>
      </c>
    </row>
    <row r="249" customHeight="1" spans="2:13">
      <c r="B249" s="62" t="str">
        <f>IF(AND('领用录入（明细）'!D:D=$F$4,'领用录入（明细）'!C:C&gt;=$J$4,'领用录入（明细）'!C:C&lt;=$L$4),ROW(),"-")</f>
        <v>-</v>
      </c>
      <c r="D249" s="59" t="str">
        <f>IFERROR(INDEX('领用录入（明细）'!$B:$L,SMALL($B:$B,ROW(B243)),MATCH(D$7,$D$7:$L$7,0)),"")</f>
        <v/>
      </c>
      <c r="E249" s="114" t="str">
        <f>IFERROR(INDEX('领用录入（明细）'!$B:$L,SMALL($B:$B,ROW(C243)),MATCH(E$7,$D$7:$L$7,0)),"")</f>
        <v/>
      </c>
      <c r="F249" s="60" t="str">
        <f>IFERROR(INDEX('领用录入（明细）'!$B:$L,SMALL($B:$B,ROW(D243)),MATCH(F$7,$D$7:$L$7,0)),"")</f>
        <v/>
      </c>
      <c r="G249" s="60" t="str">
        <f>IFERROR(INDEX('领用录入（明细）'!$B:$L,SMALL($B:$B,ROW(E243)),MATCH(G$7,$D$7:$L$7,0)),"")</f>
        <v/>
      </c>
      <c r="H249" s="60" t="str">
        <f>IFERROR(INDEX('领用录入（明细）'!$B:$L,SMALL($B:$B,ROW(F243)),MATCH(H$7,$D$7:$L$7,0)),"")</f>
        <v/>
      </c>
      <c r="I249" s="60" t="str">
        <f>IFERROR(INDEX('领用录入（明细）'!$B:$L,SMALL($B:$B,ROW(G243)),MATCH(I$7,$D$7:$L$7,0)),"")</f>
        <v/>
      </c>
      <c r="J249" s="60" t="str">
        <f>IFERROR(INDEX('领用录入（明细）'!$B:$L,SMALL($B:$B,ROW(H243)),MATCH(J$7,$D$7:$L$7,0)),"")</f>
        <v/>
      </c>
      <c r="K249" s="60" t="str">
        <f>IFERROR(INDEX('领用录入（明细）'!$B:$L,SMALL($B:$B,ROW(I243)),MATCH(K$7,$D$7:$L$7,0)),"")</f>
        <v/>
      </c>
      <c r="L249" s="60" t="str">
        <f>IFERROR(INDEX('领用录入（明细）'!$B:$L,SMALL($B:$B,ROW(J243)),MATCH(L$7,$D$7:$L$7,0)),"")</f>
        <v/>
      </c>
      <c r="M249" s="60" t="str">
        <f t="shared" si="3"/>
        <v/>
      </c>
    </row>
    <row r="250" customHeight="1" spans="2:13">
      <c r="B250" s="62" t="str">
        <f>IF(AND('领用录入（明细）'!D:D=$F$4,'领用录入（明细）'!C:C&gt;=$J$4,'领用录入（明细）'!C:C&lt;=$L$4),ROW(),"-")</f>
        <v>-</v>
      </c>
      <c r="D250" s="59" t="str">
        <f>IFERROR(INDEX('领用录入（明细）'!$B:$L,SMALL($B:$B,ROW(B244)),MATCH(D$7,$D$7:$L$7,0)),"")</f>
        <v/>
      </c>
      <c r="E250" s="114" t="str">
        <f>IFERROR(INDEX('领用录入（明细）'!$B:$L,SMALL($B:$B,ROW(C244)),MATCH(E$7,$D$7:$L$7,0)),"")</f>
        <v/>
      </c>
      <c r="F250" s="60" t="str">
        <f>IFERROR(INDEX('领用录入（明细）'!$B:$L,SMALL($B:$B,ROW(D244)),MATCH(F$7,$D$7:$L$7,0)),"")</f>
        <v/>
      </c>
      <c r="G250" s="60" t="str">
        <f>IFERROR(INDEX('领用录入（明细）'!$B:$L,SMALL($B:$B,ROW(E244)),MATCH(G$7,$D$7:$L$7,0)),"")</f>
        <v/>
      </c>
      <c r="H250" s="60" t="str">
        <f>IFERROR(INDEX('领用录入（明细）'!$B:$L,SMALL($B:$B,ROW(F244)),MATCH(H$7,$D$7:$L$7,0)),"")</f>
        <v/>
      </c>
      <c r="I250" s="60" t="str">
        <f>IFERROR(INDEX('领用录入（明细）'!$B:$L,SMALL($B:$B,ROW(G244)),MATCH(I$7,$D$7:$L$7,0)),"")</f>
        <v/>
      </c>
      <c r="J250" s="60" t="str">
        <f>IFERROR(INDEX('领用录入（明细）'!$B:$L,SMALL($B:$B,ROW(H244)),MATCH(J$7,$D$7:$L$7,0)),"")</f>
        <v/>
      </c>
      <c r="K250" s="60" t="str">
        <f>IFERROR(INDEX('领用录入（明细）'!$B:$L,SMALL($B:$B,ROW(I244)),MATCH(K$7,$D$7:$L$7,0)),"")</f>
        <v/>
      </c>
      <c r="L250" s="60" t="str">
        <f>IFERROR(INDEX('领用录入（明细）'!$B:$L,SMALL($B:$B,ROW(J244)),MATCH(L$7,$D$7:$L$7,0)),"")</f>
        <v/>
      </c>
      <c r="M250" s="60" t="str">
        <f t="shared" si="3"/>
        <v/>
      </c>
    </row>
    <row r="251" customHeight="1" spans="2:13">
      <c r="B251" s="62" t="str">
        <f>IF(AND('领用录入（明细）'!D:D=$F$4,'领用录入（明细）'!C:C&gt;=$J$4,'领用录入（明细）'!C:C&lt;=$L$4),ROW(),"-")</f>
        <v>-</v>
      </c>
      <c r="D251" s="59" t="str">
        <f>IFERROR(INDEX('领用录入（明细）'!$B:$L,SMALL($B:$B,ROW(B245)),MATCH(D$7,$D$7:$L$7,0)),"")</f>
        <v/>
      </c>
      <c r="E251" s="114" t="str">
        <f>IFERROR(INDEX('领用录入（明细）'!$B:$L,SMALL($B:$B,ROW(C245)),MATCH(E$7,$D$7:$L$7,0)),"")</f>
        <v/>
      </c>
      <c r="F251" s="60" t="str">
        <f>IFERROR(INDEX('领用录入（明细）'!$B:$L,SMALL($B:$B,ROW(D245)),MATCH(F$7,$D$7:$L$7,0)),"")</f>
        <v/>
      </c>
      <c r="G251" s="60" t="str">
        <f>IFERROR(INDEX('领用录入（明细）'!$B:$L,SMALL($B:$B,ROW(E245)),MATCH(G$7,$D$7:$L$7,0)),"")</f>
        <v/>
      </c>
      <c r="H251" s="60" t="str">
        <f>IFERROR(INDEX('领用录入（明细）'!$B:$L,SMALL($B:$B,ROW(F245)),MATCH(H$7,$D$7:$L$7,0)),"")</f>
        <v/>
      </c>
      <c r="I251" s="60" t="str">
        <f>IFERROR(INDEX('领用录入（明细）'!$B:$L,SMALL($B:$B,ROW(G245)),MATCH(I$7,$D$7:$L$7,0)),"")</f>
        <v/>
      </c>
      <c r="J251" s="60" t="str">
        <f>IFERROR(INDEX('领用录入（明细）'!$B:$L,SMALL($B:$B,ROW(H245)),MATCH(J$7,$D$7:$L$7,0)),"")</f>
        <v/>
      </c>
      <c r="K251" s="60" t="str">
        <f>IFERROR(INDEX('领用录入（明细）'!$B:$L,SMALL($B:$B,ROW(I245)),MATCH(K$7,$D$7:$L$7,0)),"")</f>
        <v/>
      </c>
      <c r="L251" s="60" t="str">
        <f>IFERROR(INDEX('领用录入（明细）'!$B:$L,SMALL($B:$B,ROW(J245)),MATCH(L$7,$D$7:$L$7,0)),"")</f>
        <v/>
      </c>
      <c r="M251" s="60" t="str">
        <f t="shared" si="3"/>
        <v/>
      </c>
    </row>
    <row r="252" customHeight="1" spans="2:13">
      <c r="B252" s="62" t="str">
        <f>IF(AND('领用录入（明细）'!D:D=$F$4,'领用录入（明细）'!C:C&gt;=$J$4,'领用录入（明细）'!C:C&lt;=$L$4),ROW(),"-")</f>
        <v>-</v>
      </c>
      <c r="D252" s="59" t="str">
        <f>IFERROR(INDEX('领用录入（明细）'!$B:$L,SMALL($B:$B,ROW(B246)),MATCH(D$7,$D$7:$L$7,0)),"")</f>
        <v/>
      </c>
      <c r="E252" s="114" t="str">
        <f>IFERROR(INDEX('领用录入（明细）'!$B:$L,SMALL($B:$B,ROW(C246)),MATCH(E$7,$D$7:$L$7,0)),"")</f>
        <v/>
      </c>
      <c r="F252" s="60" t="str">
        <f>IFERROR(INDEX('领用录入（明细）'!$B:$L,SMALL($B:$B,ROW(D246)),MATCH(F$7,$D$7:$L$7,0)),"")</f>
        <v/>
      </c>
      <c r="G252" s="60" t="str">
        <f>IFERROR(INDEX('领用录入（明细）'!$B:$L,SMALL($B:$B,ROW(E246)),MATCH(G$7,$D$7:$L$7,0)),"")</f>
        <v/>
      </c>
      <c r="H252" s="60" t="str">
        <f>IFERROR(INDEX('领用录入（明细）'!$B:$L,SMALL($B:$B,ROW(F246)),MATCH(H$7,$D$7:$L$7,0)),"")</f>
        <v/>
      </c>
      <c r="I252" s="60" t="str">
        <f>IFERROR(INDEX('领用录入（明细）'!$B:$L,SMALL($B:$B,ROW(G246)),MATCH(I$7,$D$7:$L$7,0)),"")</f>
        <v/>
      </c>
      <c r="J252" s="60" t="str">
        <f>IFERROR(INDEX('领用录入（明细）'!$B:$L,SMALL($B:$B,ROW(H246)),MATCH(J$7,$D$7:$L$7,0)),"")</f>
        <v/>
      </c>
      <c r="K252" s="60" t="str">
        <f>IFERROR(INDEX('领用录入（明细）'!$B:$L,SMALL($B:$B,ROW(I246)),MATCH(K$7,$D$7:$L$7,0)),"")</f>
        <v/>
      </c>
      <c r="L252" s="60" t="str">
        <f>IFERROR(INDEX('领用录入（明细）'!$B:$L,SMALL($B:$B,ROW(J246)),MATCH(L$7,$D$7:$L$7,0)),"")</f>
        <v/>
      </c>
      <c r="M252" s="60" t="str">
        <f t="shared" si="3"/>
        <v/>
      </c>
    </row>
    <row r="253" customHeight="1" spans="2:13">
      <c r="B253" s="62" t="str">
        <f>IF(AND('领用录入（明细）'!D:D=$F$4,'领用录入（明细）'!C:C&gt;=$J$4,'领用录入（明细）'!C:C&lt;=$L$4),ROW(),"-")</f>
        <v>-</v>
      </c>
      <c r="D253" s="59" t="str">
        <f>IFERROR(INDEX('领用录入（明细）'!$B:$L,SMALL($B:$B,ROW(B247)),MATCH(D$7,$D$7:$L$7,0)),"")</f>
        <v/>
      </c>
      <c r="E253" s="114" t="str">
        <f>IFERROR(INDEX('领用录入（明细）'!$B:$L,SMALL($B:$B,ROW(C247)),MATCH(E$7,$D$7:$L$7,0)),"")</f>
        <v/>
      </c>
      <c r="F253" s="60" t="str">
        <f>IFERROR(INDEX('领用录入（明细）'!$B:$L,SMALL($B:$B,ROW(D247)),MATCH(F$7,$D$7:$L$7,0)),"")</f>
        <v/>
      </c>
      <c r="G253" s="60" t="str">
        <f>IFERROR(INDEX('领用录入（明细）'!$B:$L,SMALL($B:$B,ROW(E247)),MATCH(G$7,$D$7:$L$7,0)),"")</f>
        <v/>
      </c>
      <c r="H253" s="60" t="str">
        <f>IFERROR(INDEX('领用录入（明细）'!$B:$L,SMALL($B:$B,ROW(F247)),MATCH(H$7,$D$7:$L$7,0)),"")</f>
        <v/>
      </c>
      <c r="I253" s="60" t="str">
        <f>IFERROR(INDEX('领用录入（明细）'!$B:$L,SMALL($B:$B,ROW(G247)),MATCH(I$7,$D$7:$L$7,0)),"")</f>
        <v/>
      </c>
      <c r="J253" s="60" t="str">
        <f>IFERROR(INDEX('领用录入（明细）'!$B:$L,SMALL($B:$B,ROW(H247)),MATCH(J$7,$D$7:$L$7,0)),"")</f>
        <v/>
      </c>
      <c r="K253" s="60" t="str">
        <f>IFERROR(INDEX('领用录入（明细）'!$B:$L,SMALL($B:$B,ROW(I247)),MATCH(K$7,$D$7:$L$7,0)),"")</f>
        <v/>
      </c>
      <c r="L253" s="60" t="str">
        <f>IFERROR(INDEX('领用录入（明细）'!$B:$L,SMALL($B:$B,ROW(J247)),MATCH(L$7,$D$7:$L$7,0)),"")</f>
        <v/>
      </c>
      <c r="M253" s="60" t="str">
        <f t="shared" si="3"/>
        <v/>
      </c>
    </row>
    <row r="254" customHeight="1" spans="2:13">
      <c r="B254" s="62" t="str">
        <f>IF(AND('领用录入（明细）'!D:D=$F$4,'领用录入（明细）'!C:C&gt;=$J$4,'领用录入（明细）'!C:C&lt;=$L$4),ROW(),"-")</f>
        <v>-</v>
      </c>
      <c r="D254" s="59" t="str">
        <f>IFERROR(INDEX('领用录入（明细）'!$B:$L,SMALL($B:$B,ROW(B248)),MATCH(D$7,$D$7:$L$7,0)),"")</f>
        <v/>
      </c>
      <c r="E254" s="114" t="str">
        <f>IFERROR(INDEX('领用录入（明细）'!$B:$L,SMALL($B:$B,ROW(C248)),MATCH(E$7,$D$7:$L$7,0)),"")</f>
        <v/>
      </c>
      <c r="F254" s="60" t="str">
        <f>IFERROR(INDEX('领用录入（明细）'!$B:$L,SMALL($B:$B,ROW(D248)),MATCH(F$7,$D$7:$L$7,0)),"")</f>
        <v/>
      </c>
      <c r="G254" s="60" t="str">
        <f>IFERROR(INDEX('领用录入（明细）'!$B:$L,SMALL($B:$B,ROW(E248)),MATCH(G$7,$D$7:$L$7,0)),"")</f>
        <v/>
      </c>
      <c r="H254" s="60" t="str">
        <f>IFERROR(INDEX('领用录入（明细）'!$B:$L,SMALL($B:$B,ROW(F248)),MATCH(H$7,$D$7:$L$7,0)),"")</f>
        <v/>
      </c>
      <c r="I254" s="60" t="str">
        <f>IFERROR(INDEX('领用录入（明细）'!$B:$L,SMALL($B:$B,ROW(G248)),MATCH(I$7,$D$7:$L$7,0)),"")</f>
        <v/>
      </c>
      <c r="J254" s="60" t="str">
        <f>IFERROR(INDEX('领用录入（明细）'!$B:$L,SMALL($B:$B,ROW(H248)),MATCH(J$7,$D$7:$L$7,0)),"")</f>
        <v/>
      </c>
      <c r="K254" s="60" t="str">
        <f>IFERROR(INDEX('领用录入（明细）'!$B:$L,SMALL($B:$B,ROW(I248)),MATCH(K$7,$D$7:$L$7,0)),"")</f>
        <v/>
      </c>
      <c r="L254" s="60" t="str">
        <f>IFERROR(INDEX('领用录入（明细）'!$B:$L,SMALL($B:$B,ROW(J248)),MATCH(L$7,$D$7:$L$7,0)),"")</f>
        <v/>
      </c>
      <c r="M254" s="60" t="str">
        <f t="shared" si="3"/>
        <v/>
      </c>
    </row>
    <row r="255" customHeight="1" spans="2:13">
      <c r="B255" s="62" t="str">
        <f>IF(AND('领用录入（明细）'!D:D=$F$4,'领用录入（明细）'!C:C&gt;=$J$4,'领用录入（明细）'!C:C&lt;=$L$4),ROW(),"-")</f>
        <v>-</v>
      </c>
      <c r="D255" s="59" t="str">
        <f>IFERROR(INDEX('领用录入（明细）'!$B:$L,SMALL($B:$B,ROW(B249)),MATCH(D$7,$D$7:$L$7,0)),"")</f>
        <v/>
      </c>
      <c r="E255" s="114" t="str">
        <f>IFERROR(INDEX('领用录入（明细）'!$B:$L,SMALL($B:$B,ROW(C249)),MATCH(E$7,$D$7:$L$7,0)),"")</f>
        <v/>
      </c>
      <c r="F255" s="60" t="str">
        <f>IFERROR(INDEX('领用录入（明细）'!$B:$L,SMALL($B:$B,ROW(D249)),MATCH(F$7,$D$7:$L$7,0)),"")</f>
        <v/>
      </c>
      <c r="G255" s="60" t="str">
        <f>IFERROR(INDEX('领用录入（明细）'!$B:$L,SMALL($B:$B,ROW(E249)),MATCH(G$7,$D$7:$L$7,0)),"")</f>
        <v/>
      </c>
      <c r="H255" s="60" t="str">
        <f>IFERROR(INDEX('领用录入（明细）'!$B:$L,SMALL($B:$B,ROW(F249)),MATCH(H$7,$D$7:$L$7,0)),"")</f>
        <v/>
      </c>
      <c r="I255" s="60" t="str">
        <f>IFERROR(INDEX('领用录入（明细）'!$B:$L,SMALL($B:$B,ROW(G249)),MATCH(I$7,$D$7:$L$7,0)),"")</f>
        <v/>
      </c>
      <c r="J255" s="60" t="str">
        <f>IFERROR(INDEX('领用录入（明细）'!$B:$L,SMALL($B:$B,ROW(H249)),MATCH(J$7,$D$7:$L$7,0)),"")</f>
        <v/>
      </c>
      <c r="K255" s="60" t="str">
        <f>IFERROR(INDEX('领用录入（明细）'!$B:$L,SMALL($B:$B,ROW(I249)),MATCH(K$7,$D$7:$L$7,0)),"")</f>
        <v/>
      </c>
      <c r="L255" s="60" t="str">
        <f>IFERROR(INDEX('领用录入（明细）'!$B:$L,SMALL($B:$B,ROW(J249)),MATCH(L$7,$D$7:$L$7,0)),"")</f>
        <v/>
      </c>
      <c r="M255" s="60" t="str">
        <f t="shared" si="3"/>
        <v/>
      </c>
    </row>
    <row r="256" customHeight="1" spans="2:13">
      <c r="B256" s="62" t="str">
        <f>IF(AND('领用录入（明细）'!D:D=$F$4,'领用录入（明细）'!C:C&gt;=$J$4,'领用录入（明细）'!C:C&lt;=$L$4),ROW(),"-")</f>
        <v>-</v>
      </c>
      <c r="D256" s="59" t="str">
        <f>IFERROR(INDEX('领用录入（明细）'!$B:$L,SMALL($B:$B,ROW(B250)),MATCH(D$7,$D$7:$L$7,0)),"")</f>
        <v/>
      </c>
      <c r="E256" s="114" t="str">
        <f>IFERROR(INDEX('领用录入（明细）'!$B:$L,SMALL($B:$B,ROW(C250)),MATCH(E$7,$D$7:$L$7,0)),"")</f>
        <v/>
      </c>
      <c r="F256" s="60" t="str">
        <f>IFERROR(INDEX('领用录入（明细）'!$B:$L,SMALL($B:$B,ROW(D250)),MATCH(F$7,$D$7:$L$7,0)),"")</f>
        <v/>
      </c>
      <c r="G256" s="60" t="str">
        <f>IFERROR(INDEX('领用录入（明细）'!$B:$L,SMALL($B:$B,ROW(E250)),MATCH(G$7,$D$7:$L$7,0)),"")</f>
        <v/>
      </c>
      <c r="H256" s="60" t="str">
        <f>IFERROR(INDEX('领用录入（明细）'!$B:$L,SMALL($B:$B,ROW(F250)),MATCH(H$7,$D$7:$L$7,0)),"")</f>
        <v/>
      </c>
      <c r="I256" s="60" t="str">
        <f>IFERROR(INDEX('领用录入（明细）'!$B:$L,SMALL($B:$B,ROW(G250)),MATCH(I$7,$D$7:$L$7,0)),"")</f>
        <v/>
      </c>
      <c r="J256" s="60" t="str">
        <f>IFERROR(INDEX('领用录入（明细）'!$B:$L,SMALL($B:$B,ROW(H250)),MATCH(J$7,$D$7:$L$7,0)),"")</f>
        <v/>
      </c>
      <c r="K256" s="60" t="str">
        <f>IFERROR(INDEX('领用录入（明细）'!$B:$L,SMALL($B:$B,ROW(I250)),MATCH(K$7,$D$7:$L$7,0)),"")</f>
        <v/>
      </c>
      <c r="L256" s="60" t="str">
        <f>IFERROR(INDEX('领用录入（明细）'!$B:$L,SMALL($B:$B,ROW(J250)),MATCH(L$7,$D$7:$L$7,0)),"")</f>
        <v/>
      </c>
      <c r="M256" s="60" t="str">
        <f t="shared" si="3"/>
        <v/>
      </c>
    </row>
    <row r="257" customHeight="1" spans="2:13">
      <c r="B257" s="62" t="str">
        <f>IF(AND('领用录入（明细）'!D:D=$F$4,'领用录入（明细）'!C:C&gt;=$J$4,'领用录入（明细）'!C:C&lt;=$L$4),ROW(),"-")</f>
        <v>-</v>
      </c>
      <c r="D257" s="59" t="str">
        <f>IFERROR(INDEX('领用录入（明细）'!$B:$L,SMALL($B:$B,ROW(B251)),MATCH(D$7,$D$7:$L$7,0)),"")</f>
        <v/>
      </c>
      <c r="E257" s="114" t="str">
        <f>IFERROR(INDEX('领用录入（明细）'!$B:$L,SMALL($B:$B,ROW(C251)),MATCH(E$7,$D$7:$L$7,0)),"")</f>
        <v/>
      </c>
      <c r="F257" s="60" t="str">
        <f>IFERROR(INDEX('领用录入（明细）'!$B:$L,SMALL($B:$B,ROW(D251)),MATCH(F$7,$D$7:$L$7,0)),"")</f>
        <v/>
      </c>
      <c r="G257" s="60" t="str">
        <f>IFERROR(INDEX('领用录入（明细）'!$B:$L,SMALL($B:$B,ROW(E251)),MATCH(G$7,$D$7:$L$7,0)),"")</f>
        <v/>
      </c>
      <c r="H257" s="60" t="str">
        <f>IFERROR(INDEX('领用录入（明细）'!$B:$L,SMALL($B:$B,ROW(F251)),MATCH(H$7,$D$7:$L$7,0)),"")</f>
        <v/>
      </c>
      <c r="I257" s="60" t="str">
        <f>IFERROR(INDEX('领用录入（明细）'!$B:$L,SMALL($B:$B,ROW(G251)),MATCH(I$7,$D$7:$L$7,0)),"")</f>
        <v/>
      </c>
      <c r="J257" s="60" t="str">
        <f>IFERROR(INDEX('领用录入（明细）'!$B:$L,SMALL($B:$B,ROW(H251)),MATCH(J$7,$D$7:$L$7,0)),"")</f>
        <v/>
      </c>
      <c r="K257" s="60" t="str">
        <f>IFERROR(INDEX('领用录入（明细）'!$B:$L,SMALL($B:$B,ROW(I251)),MATCH(K$7,$D$7:$L$7,0)),"")</f>
        <v/>
      </c>
      <c r="L257" s="60" t="str">
        <f>IFERROR(INDEX('领用录入（明细）'!$B:$L,SMALL($B:$B,ROW(J251)),MATCH(L$7,$D$7:$L$7,0)),"")</f>
        <v/>
      </c>
      <c r="M257" s="60" t="str">
        <f t="shared" si="3"/>
        <v/>
      </c>
    </row>
    <row r="258" customHeight="1" spans="2:13">
      <c r="B258" s="62" t="str">
        <f>IF(AND('领用录入（明细）'!D:D=$F$4,'领用录入（明细）'!C:C&gt;=$J$4,'领用录入（明细）'!C:C&lt;=$L$4),ROW(),"-")</f>
        <v>-</v>
      </c>
      <c r="D258" s="59" t="str">
        <f>IFERROR(INDEX('领用录入（明细）'!$B:$L,SMALL($B:$B,ROW(B252)),MATCH(D$7,$D$7:$L$7,0)),"")</f>
        <v/>
      </c>
      <c r="E258" s="114" t="str">
        <f>IFERROR(INDEX('领用录入（明细）'!$B:$L,SMALL($B:$B,ROW(C252)),MATCH(E$7,$D$7:$L$7,0)),"")</f>
        <v/>
      </c>
      <c r="F258" s="60" t="str">
        <f>IFERROR(INDEX('领用录入（明细）'!$B:$L,SMALL($B:$B,ROW(D252)),MATCH(F$7,$D$7:$L$7,0)),"")</f>
        <v/>
      </c>
      <c r="G258" s="60" t="str">
        <f>IFERROR(INDEX('领用录入（明细）'!$B:$L,SMALL($B:$B,ROW(E252)),MATCH(G$7,$D$7:$L$7,0)),"")</f>
        <v/>
      </c>
      <c r="H258" s="60" t="str">
        <f>IFERROR(INDEX('领用录入（明细）'!$B:$L,SMALL($B:$B,ROW(F252)),MATCH(H$7,$D$7:$L$7,0)),"")</f>
        <v/>
      </c>
      <c r="I258" s="60" t="str">
        <f>IFERROR(INDEX('领用录入（明细）'!$B:$L,SMALL($B:$B,ROW(G252)),MATCH(I$7,$D$7:$L$7,0)),"")</f>
        <v/>
      </c>
      <c r="J258" s="60" t="str">
        <f>IFERROR(INDEX('领用录入（明细）'!$B:$L,SMALL($B:$B,ROW(H252)),MATCH(J$7,$D$7:$L$7,0)),"")</f>
        <v/>
      </c>
      <c r="K258" s="60" t="str">
        <f>IFERROR(INDEX('领用录入（明细）'!$B:$L,SMALL($B:$B,ROW(I252)),MATCH(K$7,$D$7:$L$7,0)),"")</f>
        <v/>
      </c>
      <c r="L258" s="60" t="str">
        <f>IFERROR(INDEX('领用录入（明细）'!$B:$L,SMALL($B:$B,ROW(J252)),MATCH(L$7,$D$7:$L$7,0)),"")</f>
        <v/>
      </c>
      <c r="M258" s="60" t="str">
        <f t="shared" si="3"/>
        <v/>
      </c>
    </row>
    <row r="259" customHeight="1" spans="2:13">
      <c r="B259" s="62" t="str">
        <f>IF(AND('领用录入（明细）'!D:D=$F$4,'领用录入（明细）'!C:C&gt;=$J$4,'领用录入（明细）'!C:C&lt;=$L$4),ROW(),"-")</f>
        <v>-</v>
      </c>
      <c r="D259" s="59" t="str">
        <f>IFERROR(INDEX('领用录入（明细）'!$B:$L,SMALL($B:$B,ROW(B253)),MATCH(D$7,$D$7:$L$7,0)),"")</f>
        <v/>
      </c>
      <c r="E259" s="114" t="str">
        <f>IFERROR(INDEX('领用录入（明细）'!$B:$L,SMALL($B:$B,ROW(C253)),MATCH(E$7,$D$7:$L$7,0)),"")</f>
        <v/>
      </c>
      <c r="F259" s="60" t="str">
        <f>IFERROR(INDEX('领用录入（明细）'!$B:$L,SMALL($B:$B,ROW(D253)),MATCH(F$7,$D$7:$L$7,0)),"")</f>
        <v/>
      </c>
      <c r="G259" s="60" t="str">
        <f>IFERROR(INDEX('领用录入（明细）'!$B:$L,SMALL($B:$B,ROW(E253)),MATCH(G$7,$D$7:$L$7,0)),"")</f>
        <v/>
      </c>
      <c r="H259" s="60" t="str">
        <f>IFERROR(INDEX('领用录入（明细）'!$B:$L,SMALL($B:$B,ROW(F253)),MATCH(H$7,$D$7:$L$7,0)),"")</f>
        <v/>
      </c>
      <c r="I259" s="60" t="str">
        <f>IFERROR(INDEX('领用录入（明细）'!$B:$L,SMALL($B:$B,ROW(G253)),MATCH(I$7,$D$7:$L$7,0)),"")</f>
        <v/>
      </c>
      <c r="J259" s="60" t="str">
        <f>IFERROR(INDEX('领用录入（明细）'!$B:$L,SMALL($B:$B,ROW(H253)),MATCH(J$7,$D$7:$L$7,0)),"")</f>
        <v/>
      </c>
      <c r="K259" s="60" t="str">
        <f>IFERROR(INDEX('领用录入（明细）'!$B:$L,SMALL($B:$B,ROW(I253)),MATCH(K$7,$D$7:$L$7,0)),"")</f>
        <v/>
      </c>
      <c r="L259" s="60" t="str">
        <f>IFERROR(INDEX('领用录入（明细）'!$B:$L,SMALL($B:$B,ROW(J253)),MATCH(L$7,$D$7:$L$7,0)),"")</f>
        <v/>
      </c>
      <c r="M259" s="60" t="str">
        <f t="shared" si="3"/>
        <v/>
      </c>
    </row>
    <row r="260" customHeight="1" spans="2:13">
      <c r="B260" s="62" t="str">
        <f>IF(AND('领用录入（明细）'!D:D=$F$4,'领用录入（明细）'!C:C&gt;=$J$4,'领用录入（明细）'!C:C&lt;=$L$4),ROW(),"-")</f>
        <v>-</v>
      </c>
      <c r="D260" s="59" t="str">
        <f>IFERROR(INDEX('领用录入（明细）'!$B:$L,SMALL($B:$B,ROW(B254)),MATCH(D$7,$D$7:$L$7,0)),"")</f>
        <v/>
      </c>
      <c r="E260" s="114" t="str">
        <f>IFERROR(INDEX('领用录入（明细）'!$B:$L,SMALL($B:$B,ROW(C254)),MATCH(E$7,$D$7:$L$7,0)),"")</f>
        <v/>
      </c>
      <c r="F260" s="60" t="str">
        <f>IFERROR(INDEX('领用录入（明细）'!$B:$L,SMALL($B:$B,ROW(D254)),MATCH(F$7,$D$7:$L$7,0)),"")</f>
        <v/>
      </c>
      <c r="G260" s="60" t="str">
        <f>IFERROR(INDEX('领用录入（明细）'!$B:$L,SMALL($B:$B,ROW(E254)),MATCH(G$7,$D$7:$L$7,0)),"")</f>
        <v/>
      </c>
      <c r="H260" s="60" t="str">
        <f>IFERROR(INDEX('领用录入（明细）'!$B:$L,SMALL($B:$B,ROW(F254)),MATCH(H$7,$D$7:$L$7,0)),"")</f>
        <v/>
      </c>
      <c r="I260" s="60" t="str">
        <f>IFERROR(INDEX('领用录入（明细）'!$B:$L,SMALL($B:$B,ROW(G254)),MATCH(I$7,$D$7:$L$7,0)),"")</f>
        <v/>
      </c>
      <c r="J260" s="60" t="str">
        <f>IFERROR(INDEX('领用录入（明细）'!$B:$L,SMALL($B:$B,ROW(H254)),MATCH(J$7,$D$7:$L$7,0)),"")</f>
        <v/>
      </c>
      <c r="K260" s="60" t="str">
        <f>IFERROR(INDEX('领用录入（明细）'!$B:$L,SMALL($B:$B,ROW(I254)),MATCH(K$7,$D$7:$L$7,0)),"")</f>
        <v/>
      </c>
      <c r="L260" s="60" t="str">
        <f>IFERROR(INDEX('领用录入（明细）'!$B:$L,SMALL($B:$B,ROW(J254)),MATCH(L$7,$D$7:$L$7,0)),"")</f>
        <v/>
      </c>
      <c r="M260" s="60" t="str">
        <f t="shared" si="3"/>
        <v/>
      </c>
    </row>
    <row r="261" customHeight="1" spans="2:13">
      <c r="B261" s="62" t="str">
        <f>IF(AND('领用录入（明细）'!D:D=$F$4,'领用录入（明细）'!C:C&gt;=$J$4,'领用录入（明细）'!C:C&lt;=$L$4),ROW(),"-")</f>
        <v>-</v>
      </c>
      <c r="D261" s="59" t="str">
        <f>IFERROR(INDEX('领用录入（明细）'!$B:$L,SMALL($B:$B,ROW(B255)),MATCH(D$7,$D$7:$L$7,0)),"")</f>
        <v/>
      </c>
      <c r="E261" s="114" t="str">
        <f>IFERROR(INDEX('领用录入（明细）'!$B:$L,SMALL($B:$B,ROW(C255)),MATCH(E$7,$D$7:$L$7,0)),"")</f>
        <v/>
      </c>
      <c r="F261" s="60" t="str">
        <f>IFERROR(INDEX('领用录入（明细）'!$B:$L,SMALL($B:$B,ROW(D255)),MATCH(F$7,$D$7:$L$7,0)),"")</f>
        <v/>
      </c>
      <c r="G261" s="60" t="str">
        <f>IFERROR(INDEX('领用录入（明细）'!$B:$L,SMALL($B:$B,ROW(E255)),MATCH(G$7,$D$7:$L$7,0)),"")</f>
        <v/>
      </c>
      <c r="H261" s="60" t="str">
        <f>IFERROR(INDEX('领用录入（明细）'!$B:$L,SMALL($B:$B,ROW(F255)),MATCH(H$7,$D$7:$L$7,0)),"")</f>
        <v/>
      </c>
      <c r="I261" s="60" t="str">
        <f>IFERROR(INDEX('领用录入（明细）'!$B:$L,SMALL($B:$B,ROW(G255)),MATCH(I$7,$D$7:$L$7,0)),"")</f>
        <v/>
      </c>
      <c r="J261" s="60" t="str">
        <f>IFERROR(INDEX('领用录入（明细）'!$B:$L,SMALL($B:$B,ROW(H255)),MATCH(J$7,$D$7:$L$7,0)),"")</f>
        <v/>
      </c>
      <c r="K261" s="60" t="str">
        <f>IFERROR(INDEX('领用录入（明细）'!$B:$L,SMALL($B:$B,ROW(I255)),MATCH(K$7,$D$7:$L$7,0)),"")</f>
        <v/>
      </c>
      <c r="L261" s="60" t="str">
        <f>IFERROR(INDEX('领用录入（明细）'!$B:$L,SMALL($B:$B,ROW(J255)),MATCH(L$7,$D$7:$L$7,0)),"")</f>
        <v/>
      </c>
      <c r="M261" s="60" t="str">
        <f t="shared" si="3"/>
        <v/>
      </c>
    </row>
    <row r="262" customHeight="1" spans="2:13">
      <c r="B262" s="62" t="str">
        <f>IF(AND('领用录入（明细）'!D:D=$F$4,'领用录入（明细）'!C:C&gt;=$J$4,'领用录入（明细）'!C:C&lt;=$L$4),ROW(),"-")</f>
        <v>-</v>
      </c>
      <c r="D262" s="59" t="str">
        <f>IFERROR(INDEX('领用录入（明细）'!$B:$L,SMALL($B:$B,ROW(B256)),MATCH(D$7,$D$7:$L$7,0)),"")</f>
        <v/>
      </c>
      <c r="E262" s="114" t="str">
        <f>IFERROR(INDEX('领用录入（明细）'!$B:$L,SMALL($B:$B,ROW(C256)),MATCH(E$7,$D$7:$L$7,0)),"")</f>
        <v/>
      </c>
      <c r="F262" s="60" t="str">
        <f>IFERROR(INDEX('领用录入（明细）'!$B:$L,SMALL($B:$B,ROW(D256)),MATCH(F$7,$D$7:$L$7,0)),"")</f>
        <v/>
      </c>
      <c r="G262" s="60" t="str">
        <f>IFERROR(INDEX('领用录入（明细）'!$B:$L,SMALL($B:$B,ROW(E256)),MATCH(G$7,$D$7:$L$7,0)),"")</f>
        <v/>
      </c>
      <c r="H262" s="60" t="str">
        <f>IFERROR(INDEX('领用录入（明细）'!$B:$L,SMALL($B:$B,ROW(F256)),MATCH(H$7,$D$7:$L$7,0)),"")</f>
        <v/>
      </c>
      <c r="I262" s="60" t="str">
        <f>IFERROR(INDEX('领用录入（明细）'!$B:$L,SMALL($B:$B,ROW(G256)),MATCH(I$7,$D$7:$L$7,0)),"")</f>
        <v/>
      </c>
      <c r="J262" s="60" t="str">
        <f>IFERROR(INDEX('领用录入（明细）'!$B:$L,SMALL($B:$B,ROW(H256)),MATCH(J$7,$D$7:$L$7,0)),"")</f>
        <v/>
      </c>
      <c r="K262" s="60" t="str">
        <f>IFERROR(INDEX('领用录入（明细）'!$B:$L,SMALL($B:$B,ROW(I256)),MATCH(K$7,$D$7:$L$7,0)),"")</f>
        <v/>
      </c>
      <c r="L262" s="60" t="str">
        <f>IFERROR(INDEX('领用录入（明细）'!$B:$L,SMALL($B:$B,ROW(J256)),MATCH(L$7,$D$7:$L$7,0)),"")</f>
        <v/>
      </c>
      <c r="M262" s="60" t="str">
        <f t="shared" si="3"/>
        <v/>
      </c>
    </row>
    <row r="263" customHeight="1" spans="2:13">
      <c r="B263" s="62" t="str">
        <f>IF(AND('领用录入（明细）'!D:D=$F$4,'领用录入（明细）'!C:C&gt;=$J$4,'领用录入（明细）'!C:C&lt;=$L$4),ROW(),"-")</f>
        <v>-</v>
      </c>
      <c r="D263" s="59" t="str">
        <f>IFERROR(INDEX('领用录入（明细）'!$B:$L,SMALL($B:$B,ROW(B257)),MATCH(D$7,$D$7:$L$7,0)),"")</f>
        <v/>
      </c>
      <c r="E263" s="114" t="str">
        <f>IFERROR(INDEX('领用录入（明细）'!$B:$L,SMALL($B:$B,ROW(C257)),MATCH(E$7,$D$7:$L$7,0)),"")</f>
        <v/>
      </c>
      <c r="F263" s="60" t="str">
        <f>IFERROR(INDEX('领用录入（明细）'!$B:$L,SMALL($B:$B,ROW(D257)),MATCH(F$7,$D$7:$L$7,0)),"")</f>
        <v/>
      </c>
      <c r="G263" s="60" t="str">
        <f>IFERROR(INDEX('领用录入（明细）'!$B:$L,SMALL($B:$B,ROW(E257)),MATCH(G$7,$D$7:$L$7,0)),"")</f>
        <v/>
      </c>
      <c r="H263" s="60" t="str">
        <f>IFERROR(INDEX('领用录入（明细）'!$B:$L,SMALL($B:$B,ROW(F257)),MATCH(H$7,$D$7:$L$7,0)),"")</f>
        <v/>
      </c>
      <c r="I263" s="60" t="str">
        <f>IFERROR(INDEX('领用录入（明细）'!$B:$L,SMALL($B:$B,ROW(G257)),MATCH(I$7,$D$7:$L$7,0)),"")</f>
        <v/>
      </c>
      <c r="J263" s="60" t="str">
        <f>IFERROR(INDEX('领用录入（明细）'!$B:$L,SMALL($B:$B,ROW(H257)),MATCH(J$7,$D$7:$L$7,0)),"")</f>
        <v/>
      </c>
      <c r="K263" s="60" t="str">
        <f>IFERROR(INDEX('领用录入（明细）'!$B:$L,SMALL($B:$B,ROW(I257)),MATCH(K$7,$D$7:$L$7,0)),"")</f>
        <v/>
      </c>
      <c r="L263" s="60" t="str">
        <f>IFERROR(INDEX('领用录入（明细）'!$B:$L,SMALL($B:$B,ROW(J257)),MATCH(L$7,$D$7:$L$7,0)),"")</f>
        <v/>
      </c>
      <c r="M263" s="60" t="str">
        <f t="shared" si="3"/>
        <v/>
      </c>
    </row>
    <row r="264" customHeight="1" spans="2:13">
      <c r="B264" s="62" t="str">
        <f>IF(AND('领用录入（明细）'!D:D=$F$4,'领用录入（明细）'!C:C&gt;=$J$4,'领用录入（明细）'!C:C&lt;=$L$4),ROW(),"-")</f>
        <v>-</v>
      </c>
      <c r="D264" s="59" t="str">
        <f>IFERROR(INDEX('领用录入（明细）'!$B:$L,SMALL($B:$B,ROW(B258)),MATCH(D$7,$D$7:$L$7,0)),"")</f>
        <v/>
      </c>
      <c r="E264" s="114" t="str">
        <f>IFERROR(INDEX('领用录入（明细）'!$B:$L,SMALL($B:$B,ROW(C258)),MATCH(E$7,$D$7:$L$7,0)),"")</f>
        <v/>
      </c>
      <c r="F264" s="60" t="str">
        <f>IFERROR(INDEX('领用录入（明细）'!$B:$L,SMALL($B:$B,ROW(D258)),MATCH(F$7,$D$7:$L$7,0)),"")</f>
        <v/>
      </c>
      <c r="G264" s="60" t="str">
        <f>IFERROR(INDEX('领用录入（明细）'!$B:$L,SMALL($B:$B,ROW(E258)),MATCH(G$7,$D$7:$L$7,0)),"")</f>
        <v/>
      </c>
      <c r="H264" s="60" t="str">
        <f>IFERROR(INDEX('领用录入（明细）'!$B:$L,SMALL($B:$B,ROW(F258)),MATCH(H$7,$D$7:$L$7,0)),"")</f>
        <v/>
      </c>
      <c r="I264" s="60" t="str">
        <f>IFERROR(INDEX('领用录入（明细）'!$B:$L,SMALL($B:$B,ROW(G258)),MATCH(I$7,$D$7:$L$7,0)),"")</f>
        <v/>
      </c>
      <c r="J264" s="60" t="str">
        <f>IFERROR(INDEX('领用录入（明细）'!$B:$L,SMALL($B:$B,ROW(H258)),MATCH(J$7,$D$7:$L$7,0)),"")</f>
        <v/>
      </c>
      <c r="K264" s="60" t="str">
        <f>IFERROR(INDEX('领用录入（明细）'!$B:$L,SMALL($B:$B,ROW(I258)),MATCH(K$7,$D$7:$L$7,0)),"")</f>
        <v/>
      </c>
      <c r="L264" s="60" t="str">
        <f>IFERROR(INDEX('领用录入（明细）'!$B:$L,SMALL($B:$B,ROW(J258)),MATCH(L$7,$D$7:$L$7,0)),"")</f>
        <v/>
      </c>
      <c r="M264" s="60" t="str">
        <f t="shared" si="3"/>
        <v/>
      </c>
    </row>
    <row r="265" customHeight="1" spans="2:13">
      <c r="B265" s="62" t="str">
        <f>IF(AND('领用录入（明细）'!D:D=$F$4,'领用录入（明细）'!C:C&gt;=$J$4,'领用录入（明细）'!C:C&lt;=$L$4),ROW(),"-")</f>
        <v>-</v>
      </c>
      <c r="D265" s="59" t="str">
        <f>IFERROR(INDEX('领用录入（明细）'!$B:$L,SMALL($B:$B,ROW(B259)),MATCH(D$7,$D$7:$L$7,0)),"")</f>
        <v/>
      </c>
      <c r="E265" s="114" t="str">
        <f>IFERROR(INDEX('领用录入（明细）'!$B:$L,SMALL($B:$B,ROW(C259)),MATCH(E$7,$D$7:$L$7,0)),"")</f>
        <v/>
      </c>
      <c r="F265" s="60" t="str">
        <f>IFERROR(INDEX('领用录入（明细）'!$B:$L,SMALL($B:$B,ROW(D259)),MATCH(F$7,$D$7:$L$7,0)),"")</f>
        <v/>
      </c>
      <c r="G265" s="60" t="str">
        <f>IFERROR(INDEX('领用录入（明细）'!$B:$L,SMALL($B:$B,ROW(E259)),MATCH(G$7,$D$7:$L$7,0)),"")</f>
        <v/>
      </c>
      <c r="H265" s="60" t="str">
        <f>IFERROR(INDEX('领用录入（明细）'!$B:$L,SMALL($B:$B,ROW(F259)),MATCH(H$7,$D$7:$L$7,0)),"")</f>
        <v/>
      </c>
      <c r="I265" s="60" t="str">
        <f>IFERROR(INDEX('领用录入（明细）'!$B:$L,SMALL($B:$B,ROW(G259)),MATCH(I$7,$D$7:$L$7,0)),"")</f>
        <v/>
      </c>
      <c r="J265" s="60" t="str">
        <f>IFERROR(INDEX('领用录入（明细）'!$B:$L,SMALL($B:$B,ROW(H259)),MATCH(J$7,$D$7:$L$7,0)),"")</f>
        <v/>
      </c>
      <c r="K265" s="60" t="str">
        <f>IFERROR(INDEX('领用录入（明细）'!$B:$L,SMALL($B:$B,ROW(I259)),MATCH(K$7,$D$7:$L$7,0)),"")</f>
        <v/>
      </c>
      <c r="L265" s="60" t="str">
        <f>IFERROR(INDEX('领用录入（明细）'!$B:$L,SMALL($B:$B,ROW(J259)),MATCH(L$7,$D$7:$L$7,0)),"")</f>
        <v/>
      </c>
      <c r="M265" s="60" t="str">
        <f t="shared" ref="M265:M328" si="4">IFERROR(K265*L265,"")</f>
        <v/>
      </c>
    </row>
    <row r="266" customHeight="1" spans="2:13">
      <c r="B266" s="62" t="str">
        <f>IF(AND('领用录入（明细）'!D:D=$F$4,'领用录入（明细）'!C:C&gt;=$J$4,'领用录入（明细）'!C:C&lt;=$L$4),ROW(),"-")</f>
        <v>-</v>
      </c>
      <c r="D266" s="59" t="str">
        <f>IFERROR(INDEX('领用录入（明细）'!$B:$L,SMALL($B:$B,ROW(B260)),MATCH(D$7,$D$7:$L$7,0)),"")</f>
        <v/>
      </c>
      <c r="E266" s="114" t="str">
        <f>IFERROR(INDEX('领用录入（明细）'!$B:$L,SMALL($B:$B,ROW(C260)),MATCH(E$7,$D$7:$L$7,0)),"")</f>
        <v/>
      </c>
      <c r="F266" s="60" t="str">
        <f>IFERROR(INDEX('领用录入（明细）'!$B:$L,SMALL($B:$B,ROW(D260)),MATCH(F$7,$D$7:$L$7,0)),"")</f>
        <v/>
      </c>
      <c r="G266" s="60" t="str">
        <f>IFERROR(INDEX('领用录入（明细）'!$B:$L,SMALL($B:$B,ROW(E260)),MATCH(G$7,$D$7:$L$7,0)),"")</f>
        <v/>
      </c>
      <c r="H266" s="60" t="str">
        <f>IFERROR(INDEX('领用录入（明细）'!$B:$L,SMALL($B:$B,ROW(F260)),MATCH(H$7,$D$7:$L$7,0)),"")</f>
        <v/>
      </c>
      <c r="I266" s="60" t="str">
        <f>IFERROR(INDEX('领用录入（明细）'!$B:$L,SMALL($B:$B,ROW(G260)),MATCH(I$7,$D$7:$L$7,0)),"")</f>
        <v/>
      </c>
      <c r="J266" s="60" t="str">
        <f>IFERROR(INDEX('领用录入（明细）'!$B:$L,SMALL($B:$B,ROW(H260)),MATCH(J$7,$D$7:$L$7,0)),"")</f>
        <v/>
      </c>
      <c r="K266" s="60" t="str">
        <f>IFERROR(INDEX('领用录入（明细）'!$B:$L,SMALL($B:$B,ROW(I260)),MATCH(K$7,$D$7:$L$7,0)),"")</f>
        <v/>
      </c>
      <c r="L266" s="60" t="str">
        <f>IFERROR(INDEX('领用录入（明细）'!$B:$L,SMALL($B:$B,ROW(J260)),MATCH(L$7,$D$7:$L$7,0)),"")</f>
        <v/>
      </c>
      <c r="M266" s="60" t="str">
        <f t="shared" si="4"/>
        <v/>
      </c>
    </row>
    <row r="267" customHeight="1" spans="2:13">
      <c r="B267" s="62" t="str">
        <f>IF(AND('领用录入（明细）'!D:D=$F$4,'领用录入（明细）'!C:C&gt;=$J$4,'领用录入（明细）'!C:C&lt;=$L$4),ROW(),"-")</f>
        <v>-</v>
      </c>
      <c r="D267" s="59" t="str">
        <f>IFERROR(INDEX('领用录入（明细）'!$B:$L,SMALL($B:$B,ROW(B261)),MATCH(D$7,$D$7:$L$7,0)),"")</f>
        <v/>
      </c>
      <c r="E267" s="114" t="str">
        <f>IFERROR(INDEX('领用录入（明细）'!$B:$L,SMALL($B:$B,ROW(C261)),MATCH(E$7,$D$7:$L$7,0)),"")</f>
        <v/>
      </c>
      <c r="F267" s="60" t="str">
        <f>IFERROR(INDEX('领用录入（明细）'!$B:$L,SMALL($B:$B,ROW(D261)),MATCH(F$7,$D$7:$L$7,0)),"")</f>
        <v/>
      </c>
      <c r="G267" s="60" t="str">
        <f>IFERROR(INDEX('领用录入（明细）'!$B:$L,SMALL($B:$B,ROW(E261)),MATCH(G$7,$D$7:$L$7,0)),"")</f>
        <v/>
      </c>
      <c r="H267" s="60" t="str">
        <f>IFERROR(INDEX('领用录入（明细）'!$B:$L,SMALL($B:$B,ROW(F261)),MATCH(H$7,$D$7:$L$7,0)),"")</f>
        <v/>
      </c>
      <c r="I267" s="60" t="str">
        <f>IFERROR(INDEX('领用录入（明细）'!$B:$L,SMALL($B:$B,ROW(G261)),MATCH(I$7,$D$7:$L$7,0)),"")</f>
        <v/>
      </c>
      <c r="J267" s="60" t="str">
        <f>IFERROR(INDEX('领用录入（明细）'!$B:$L,SMALL($B:$B,ROW(H261)),MATCH(J$7,$D$7:$L$7,0)),"")</f>
        <v/>
      </c>
      <c r="K267" s="60" t="str">
        <f>IFERROR(INDEX('领用录入（明细）'!$B:$L,SMALL($B:$B,ROW(I261)),MATCH(K$7,$D$7:$L$7,0)),"")</f>
        <v/>
      </c>
      <c r="L267" s="60" t="str">
        <f>IFERROR(INDEX('领用录入（明细）'!$B:$L,SMALL($B:$B,ROW(J261)),MATCH(L$7,$D$7:$L$7,0)),"")</f>
        <v/>
      </c>
      <c r="M267" s="60" t="str">
        <f t="shared" si="4"/>
        <v/>
      </c>
    </row>
    <row r="268" customHeight="1" spans="2:13">
      <c r="B268" s="62" t="str">
        <f>IF(AND('领用录入（明细）'!D:D=$F$4,'领用录入（明细）'!C:C&gt;=$J$4,'领用录入（明细）'!C:C&lt;=$L$4),ROW(),"-")</f>
        <v>-</v>
      </c>
      <c r="D268" s="59" t="str">
        <f>IFERROR(INDEX('领用录入（明细）'!$B:$L,SMALL($B:$B,ROW(B262)),MATCH(D$7,$D$7:$L$7,0)),"")</f>
        <v/>
      </c>
      <c r="E268" s="114" t="str">
        <f>IFERROR(INDEX('领用录入（明细）'!$B:$L,SMALL($B:$B,ROW(C262)),MATCH(E$7,$D$7:$L$7,0)),"")</f>
        <v/>
      </c>
      <c r="F268" s="60" t="str">
        <f>IFERROR(INDEX('领用录入（明细）'!$B:$L,SMALL($B:$B,ROW(D262)),MATCH(F$7,$D$7:$L$7,0)),"")</f>
        <v/>
      </c>
      <c r="G268" s="60" t="str">
        <f>IFERROR(INDEX('领用录入（明细）'!$B:$L,SMALL($B:$B,ROW(E262)),MATCH(G$7,$D$7:$L$7,0)),"")</f>
        <v/>
      </c>
      <c r="H268" s="60" t="str">
        <f>IFERROR(INDEX('领用录入（明细）'!$B:$L,SMALL($B:$B,ROW(F262)),MATCH(H$7,$D$7:$L$7,0)),"")</f>
        <v/>
      </c>
      <c r="I268" s="60" t="str">
        <f>IFERROR(INDEX('领用录入（明细）'!$B:$L,SMALL($B:$B,ROW(G262)),MATCH(I$7,$D$7:$L$7,0)),"")</f>
        <v/>
      </c>
      <c r="J268" s="60" t="str">
        <f>IFERROR(INDEX('领用录入（明细）'!$B:$L,SMALL($B:$B,ROW(H262)),MATCH(J$7,$D$7:$L$7,0)),"")</f>
        <v/>
      </c>
      <c r="K268" s="60" t="str">
        <f>IFERROR(INDEX('领用录入（明细）'!$B:$L,SMALL($B:$B,ROW(I262)),MATCH(K$7,$D$7:$L$7,0)),"")</f>
        <v/>
      </c>
      <c r="L268" s="60" t="str">
        <f>IFERROR(INDEX('领用录入（明细）'!$B:$L,SMALL($B:$B,ROW(J262)),MATCH(L$7,$D$7:$L$7,0)),"")</f>
        <v/>
      </c>
      <c r="M268" s="60" t="str">
        <f t="shared" si="4"/>
        <v/>
      </c>
    </row>
    <row r="269" customHeight="1" spans="2:13">
      <c r="B269" s="62" t="str">
        <f>IF(AND('领用录入（明细）'!D:D=$F$4,'领用录入（明细）'!C:C&gt;=$J$4,'领用录入（明细）'!C:C&lt;=$L$4),ROW(),"-")</f>
        <v>-</v>
      </c>
      <c r="D269" s="59" t="str">
        <f>IFERROR(INDEX('领用录入（明细）'!$B:$L,SMALL($B:$B,ROW(B263)),MATCH(D$7,$D$7:$L$7,0)),"")</f>
        <v/>
      </c>
      <c r="E269" s="114" t="str">
        <f>IFERROR(INDEX('领用录入（明细）'!$B:$L,SMALL($B:$B,ROW(C263)),MATCH(E$7,$D$7:$L$7,0)),"")</f>
        <v/>
      </c>
      <c r="F269" s="60" t="str">
        <f>IFERROR(INDEX('领用录入（明细）'!$B:$L,SMALL($B:$B,ROW(D263)),MATCH(F$7,$D$7:$L$7,0)),"")</f>
        <v/>
      </c>
      <c r="G269" s="60" t="str">
        <f>IFERROR(INDEX('领用录入（明细）'!$B:$L,SMALL($B:$B,ROW(E263)),MATCH(G$7,$D$7:$L$7,0)),"")</f>
        <v/>
      </c>
      <c r="H269" s="60" t="str">
        <f>IFERROR(INDEX('领用录入（明细）'!$B:$L,SMALL($B:$B,ROW(F263)),MATCH(H$7,$D$7:$L$7,0)),"")</f>
        <v/>
      </c>
      <c r="I269" s="60" t="str">
        <f>IFERROR(INDEX('领用录入（明细）'!$B:$L,SMALL($B:$B,ROW(G263)),MATCH(I$7,$D$7:$L$7,0)),"")</f>
        <v/>
      </c>
      <c r="J269" s="60" t="str">
        <f>IFERROR(INDEX('领用录入（明细）'!$B:$L,SMALL($B:$B,ROW(H263)),MATCH(J$7,$D$7:$L$7,0)),"")</f>
        <v/>
      </c>
      <c r="K269" s="60" t="str">
        <f>IFERROR(INDEX('领用录入（明细）'!$B:$L,SMALL($B:$B,ROW(I263)),MATCH(K$7,$D$7:$L$7,0)),"")</f>
        <v/>
      </c>
      <c r="L269" s="60" t="str">
        <f>IFERROR(INDEX('领用录入（明细）'!$B:$L,SMALL($B:$B,ROW(J263)),MATCH(L$7,$D$7:$L$7,0)),"")</f>
        <v/>
      </c>
      <c r="M269" s="60" t="str">
        <f t="shared" si="4"/>
        <v/>
      </c>
    </row>
    <row r="270" customHeight="1" spans="2:13">
      <c r="B270" s="62" t="str">
        <f>IF(AND('领用录入（明细）'!D:D=$F$4,'领用录入（明细）'!C:C&gt;=$J$4,'领用录入（明细）'!C:C&lt;=$L$4),ROW(),"-")</f>
        <v>-</v>
      </c>
      <c r="D270" s="59" t="str">
        <f>IFERROR(INDEX('领用录入（明细）'!$B:$L,SMALL($B:$B,ROW(B264)),MATCH(D$7,$D$7:$L$7,0)),"")</f>
        <v/>
      </c>
      <c r="E270" s="114" t="str">
        <f>IFERROR(INDEX('领用录入（明细）'!$B:$L,SMALL($B:$B,ROW(C264)),MATCH(E$7,$D$7:$L$7,0)),"")</f>
        <v/>
      </c>
      <c r="F270" s="60" t="str">
        <f>IFERROR(INDEX('领用录入（明细）'!$B:$L,SMALL($B:$B,ROW(D264)),MATCH(F$7,$D$7:$L$7,0)),"")</f>
        <v/>
      </c>
      <c r="G270" s="60" t="str">
        <f>IFERROR(INDEX('领用录入（明细）'!$B:$L,SMALL($B:$B,ROW(E264)),MATCH(G$7,$D$7:$L$7,0)),"")</f>
        <v/>
      </c>
      <c r="H270" s="60" t="str">
        <f>IFERROR(INDEX('领用录入（明细）'!$B:$L,SMALL($B:$B,ROW(F264)),MATCH(H$7,$D$7:$L$7,0)),"")</f>
        <v/>
      </c>
      <c r="I270" s="60" t="str">
        <f>IFERROR(INDEX('领用录入（明细）'!$B:$L,SMALL($B:$B,ROW(G264)),MATCH(I$7,$D$7:$L$7,0)),"")</f>
        <v/>
      </c>
      <c r="J270" s="60" t="str">
        <f>IFERROR(INDEX('领用录入（明细）'!$B:$L,SMALL($B:$B,ROW(H264)),MATCH(J$7,$D$7:$L$7,0)),"")</f>
        <v/>
      </c>
      <c r="K270" s="60" t="str">
        <f>IFERROR(INDEX('领用录入（明细）'!$B:$L,SMALL($B:$B,ROW(I264)),MATCH(K$7,$D$7:$L$7,0)),"")</f>
        <v/>
      </c>
      <c r="L270" s="60" t="str">
        <f>IFERROR(INDEX('领用录入（明细）'!$B:$L,SMALL($B:$B,ROW(J264)),MATCH(L$7,$D$7:$L$7,0)),"")</f>
        <v/>
      </c>
      <c r="M270" s="60" t="str">
        <f t="shared" si="4"/>
        <v/>
      </c>
    </row>
    <row r="271" customHeight="1" spans="2:13">
      <c r="B271" s="62" t="str">
        <f>IF(AND('领用录入（明细）'!D:D=$F$4,'领用录入（明细）'!C:C&gt;=$J$4,'领用录入（明细）'!C:C&lt;=$L$4),ROW(),"-")</f>
        <v>-</v>
      </c>
      <c r="D271" s="59" t="str">
        <f>IFERROR(INDEX('领用录入（明细）'!$B:$L,SMALL($B:$B,ROW(B265)),MATCH(D$7,$D$7:$L$7,0)),"")</f>
        <v/>
      </c>
      <c r="E271" s="114" t="str">
        <f>IFERROR(INDEX('领用录入（明细）'!$B:$L,SMALL($B:$B,ROW(C265)),MATCH(E$7,$D$7:$L$7,0)),"")</f>
        <v/>
      </c>
      <c r="F271" s="60" t="str">
        <f>IFERROR(INDEX('领用录入（明细）'!$B:$L,SMALL($B:$B,ROW(D265)),MATCH(F$7,$D$7:$L$7,0)),"")</f>
        <v/>
      </c>
      <c r="G271" s="60" t="str">
        <f>IFERROR(INDEX('领用录入（明细）'!$B:$L,SMALL($B:$B,ROW(E265)),MATCH(G$7,$D$7:$L$7,0)),"")</f>
        <v/>
      </c>
      <c r="H271" s="60" t="str">
        <f>IFERROR(INDEX('领用录入（明细）'!$B:$L,SMALL($B:$B,ROW(F265)),MATCH(H$7,$D$7:$L$7,0)),"")</f>
        <v/>
      </c>
      <c r="I271" s="60" t="str">
        <f>IFERROR(INDEX('领用录入（明细）'!$B:$L,SMALL($B:$B,ROW(G265)),MATCH(I$7,$D$7:$L$7,0)),"")</f>
        <v/>
      </c>
      <c r="J271" s="60" t="str">
        <f>IFERROR(INDEX('领用录入（明细）'!$B:$L,SMALL($B:$B,ROW(H265)),MATCH(J$7,$D$7:$L$7,0)),"")</f>
        <v/>
      </c>
      <c r="K271" s="60" t="str">
        <f>IFERROR(INDEX('领用录入（明细）'!$B:$L,SMALL($B:$B,ROW(I265)),MATCH(K$7,$D$7:$L$7,0)),"")</f>
        <v/>
      </c>
      <c r="L271" s="60" t="str">
        <f>IFERROR(INDEX('领用录入（明细）'!$B:$L,SMALL($B:$B,ROW(J265)),MATCH(L$7,$D$7:$L$7,0)),"")</f>
        <v/>
      </c>
      <c r="M271" s="60" t="str">
        <f t="shared" si="4"/>
        <v/>
      </c>
    </row>
    <row r="272" customHeight="1" spans="2:13">
      <c r="B272" s="62" t="str">
        <f>IF(AND('领用录入（明细）'!D:D=$F$4,'领用录入（明细）'!C:C&gt;=$J$4,'领用录入（明细）'!C:C&lt;=$L$4),ROW(),"-")</f>
        <v>-</v>
      </c>
      <c r="D272" s="59" t="str">
        <f>IFERROR(INDEX('领用录入（明细）'!$B:$L,SMALL($B:$B,ROW(B266)),MATCH(D$7,$D$7:$L$7,0)),"")</f>
        <v/>
      </c>
      <c r="E272" s="114" t="str">
        <f>IFERROR(INDEX('领用录入（明细）'!$B:$L,SMALL($B:$B,ROW(C266)),MATCH(E$7,$D$7:$L$7,0)),"")</f>
        <v/>
      </c>
      <c r="F272" s="60" t="str">
        <f>IFERROR(INDEX('领用录入（明细）'!$B:$L,SMALL($B:$B,ROW(D266)),MATCH(F$7,$D$7:$L$7,0)),"")</f>
        <v/>
      </c>
      <c r="G272" s="60" t="str">
        <f>IFERROR(INDEX('领用录入（明细）'!$B:$L,SMALL($B:$B,ROW(E266)),MATCH(G$7,$D$7:$L$7,0)),"")</f>
        <v/>
      </c>
      <c r="H272" s="60" t="str">
        <f>IFERROR(INDEX('领用录入（明细）'!$B:$L,SMALL($B:$B,ROW(F266)),MATCH(H$7,$D$7:$L$7,0)),"")</f>
        <v/>
      </c>
      <c r="I272" s="60" t="str">
        <f>IFERROR(INDEX('领用录入（明细）'!$B:$L,SMALL($B:$B,ROW(G266)),MATCH(I$7,$D$7:$L$7,0)),"")</f>
        <v/>
      </c>
      <c r="J272" s="60" t="str">
        <f>IFERROR(INDEX('领用录入（明细）'!$B:$L,SMALL($B:$B,ROW(H266)),MATCH(J$7,$D$7:$L$7,0)),"")</f>
        <v/>
      </c>
      <c r="K272" s="60" t="str">
        <f>IFERROR(INDEX('领用录入（明细）'!$B:$L,SMALL($B:$B,ROW(I266)),MATCH(K$7,$D$7:$L$7,0)),"")</f>
        <v/>
      </c>
      <c r="L272" s="60" t="str">
        <f>IFERROR(INDEX('领用录入（明细）'!$B:$L,SMALL($B:$B,ROW(J266)),MATCH(L$7,$D$7:$L$7,0)),"")</f>
        <v/>
      </c>
      <c r="M272" s="60" t="str">
        <f t="shared" si="4"/>
        <v/>
      </c>
    </row>
    <row r="273" customHeight="1" spans="2:13">
      <c r="B273" s="62" t="str">
        <f>IF(AND('领用录入（明细）'!D:D=$F$4,'领用录入（明细）'!C:C&gt;=$J$4,'领用录入（明细）'!C:C&lt;=$L$4),ROW(),"-")</f>
        <v>-</v>
      </c>
      <c r="D273" s="59" t="str">
        <f>IFERROR(INDEX('领用录入（明细）'!$B:$L,SMALL($B:$B,ROW(B267)),MATCH(D$7,$D$7:$L$7,0)),"")</f>
        <v/>
      </c>
      <c r="E273" s="114" t="str">
        <f>IFERROR(INDEX('领用录入（明细）'!$B:$L,SMALL($B:$B,ROW(C267)),MATCH(E$7,$D$7:$L$7,0)),"")</f>
        <v/>
      </c>
      <c r="F273" s="60" t="str">
        <f>IFERROR(INDEX('领用录入（明细）'!$B:$L,SMALL($B:$B,ROW(D267)),MATCH(F$7,$D$7:$L$7,0)),"")</f>
        <v/>
      </c>
      <c r="G273" s="60" t="str">
        <f>IFERROR(INDEX('领用录入（明细）'!$B:$L,SMALL($B:$B,ROW(E267)),MATCH(G$7,$D$7:$L$7,0)),"")</f>
        <v/>
      </c>
      <c r="H273" s="60" t="str">
        <f>IFERROR(INDEX('领用录入（明细）'!$B:$L,SMALL($B:$B,ROW(F267)),MATCH(H$7,$D$7:$L$7,0)),"")</f>
        <v/>
      </c>
      <c r="I273" s="60" t="str">
        <f>IFERROR(INDEX('领用录入（明细）'!$B:$L,SMALL($B:$B,ROW(G267)),MATCH(I$7,$D$7:$L$7,0)),"")</f>
        <v/>
      </c>
      <c r="J273" s="60" t="str">
        <f>IFERROR(INDEX('领用录入（明细）'!$B:$L,SMALL($B:$B,ROW(H267)),MATCH(J$7,$D$7:$L$7,0)),"")</f>
        <v/>
      </c>
      <c r="K273" s="60" t="str">
        <f>IFERROR(INDEX('领用录入（明细）'!$B:$L,SMALL($B:$B,ROW(I267)),MATCH(K$7,$D$7:$L$7,0)),"")</f>
        <v/>
      </c>
      <c r="L273" s="60" t="str">
        <f>IFERROR(INDEX('领用录入（明细）'!$B:$L,SMALL($B:$B,ROW(J267)),MATCH(L$7,$D$7:$L$7,0)),"")</f>
        <v/>
      </c>
      <c r="M273" s="60" t="str">
        <f t="shared" si="4"/>
        <v/>
      </c>
    </row>
    <row r="274" customHeight="1" spans="2:13">
      <c r="B274" s="62" t="str">
        <f>IF(AND('领用录入（明细）'!D:D=$F$4,'领用录入（明细）'!C:C&gt;=$J$4,'领用录入（明细）'!C:C&lt;=$L$4),ROW(),"-")</f>
        <v>-</v>
      </c>
      <c r="D274" s="59" t="str">
        <f>IFERROR(INDEX('领用录入（明细）'!$B:$L,SMALL($B:$B,ROW(B268)),MATCH(D$7,$D$7:$L$7,0)),"")</f>
        <v/>
      </c>
      <c r="E274" s="114" t="str">
        <f>IFERROR(INDEX('领用录入（明细）'!$B:$L,SMALL($B:$B,ROW(C268)),MATCH(E$7,$D$7:$L$7,0)),"")</f>
        <v/>
      </c>
      <c r="F274" s="60" t="str">
        <f>IFERROR(INDEX('领用录入（明细）'!$B:$L,SMALL($B:$B,ROW(D268)),MATCH(F$7,$D$7:$L$7,0)),"")</f>
        <v/>
      </c>
      <c r="G274" s="60" t="str">
        <f>IFERROR(INDEX('领用录入（明细）'!$B:$L,SMALL($B:$B,ROW(E268)),MATCH(G$7,$D$7:$L$7,0)),"")</f>
        <v/>
      </c>
      <c r="H274" s="60" t="str">
        <f>IFERROR(INDEX('领用录入（明细）'!$B:$L,SMALL($B:$B,ROW(F268)),MATCH(H$7,$D$7:$L$7,0)),"")</f>
        <v/>
      </c>
      <c r="I274" s="60" t="str">
        <f>IFERROR(INDEX('领用录入（明细）'!$B:$L,SMALL($B:$B,ROW(G268)),MATCH(I$7,$D$7:$L$7,0)),"")</f>
        <v/>
      </c>
      <c r="J274" s="60" t="str">
        <f>IFERROR(INDEX('领用录入（明细）'!$B:$L,SMALL($B:$B,ROW(H268)),MATCH(J$7,$D$7:$L$7,0)),"")</f>
        <v/>
      </c>
      <c r="K274" s="60" t="str">
        <f>IFERROR(INDEX('领用录入（明细）'!$B:$L,SMALL($B:$B,ROW(I268)),MATCH(K$7,$D$7:$L$7,0)),"")</f>
        <v/>
      </c>
      <c r="L274" s="60" t="str">
        <f>IFERROR(INDEX('领用录入（明细）'!$B:$L,SMALL($B:$B,ROW(J268)),MATCH(L$7,$D$7:$L$7,0)),"")</f>
        <v/>
      </c>
      <c r="M274" s="60" t="str">
        <f t="shared" si="4"/>
        <v/>
      </c>
    </row>
    <row r="275" customHeight="1" spans="2:13">
      <c r="B275" s="62" t="str">
        <f>IF(AND('领用录入（明细）'!D:D=$F$4,'领用录入（明细）'!C:C&gt;=$J$4,'领用录入（明细）'!C:C&lt;=$L$4),ROW(),"-")</f>
        <v>-</v>
      </c>
      <c r="D275" s="59" t="str">
        <f>IFERROR(INDEX('领用录入（明细）'!$B:$L,SMALL($B:$B,ROW(B269)),MATCH(D$7,$D$7:$L$7,0)),"")</f>
        <v/>
      </c>
      <c r="E275" s="114" t="str">
        <f>IFERROR(INDEX('领用录入（明细）'!$B:$L,SMALL($B:$B,ROW(C269)),MATCH(E$7,$D$7:$L$7,0)),"")</f>
        <v/>
      </c>
      <c r="F275" s="60" t="str">
        <f>IFERROR(INDEX('领用录入（明细）'!$B:$L,SMALL($B:$B,ROW(D269)),MATCH(F$7,$D$7:$L$7,0)),"")</f>
        <v/>
      </c>
      <c r="G275" s="60" t="str">
        <f>IFERROR(INDEX('领用录入（明细）'!$B:$L,SMALL($B:$B,ROW(E269)),MATCH(G$7,$D$7:$L$7,0)),"")</f>
        <v/>
      </c>
      <c r="H275" s="60" t="str">
        <f>IFERROR(INDEX('领用录入（明细）'!$B:$L,SMALL($B:$B,ROW(F269)),MATCH(H$7,$D$7:$L$7,0)),"")</f>
        <v/>
      </c>
      <c r="I275" s="60" t="str">
        <f>IFERROR(INDEX('领用录入（明细）'!$B:$L,SMALL($B:$B,ROW(G269)),MATCH(I$7,$D$7:$L$7,0)),"")</f>
        <v/>
      </c>
      <c r="J275" s="60" t="str">
        <f>IFERROR(INDEX('领用录入（明细）'!$B:$L,SMALL($B:$B,ROW(H269)),MATCH(J$7,$D$7:$L$7,0)),"")</f>
        <v/>
      </c>
      <c r="K275" s="60" t="str">
        <f>IFERROR(INDEX('领用录入（明细）'!$B:$L,SMALL($B:$B,ROW(I269)),MATCH(K$7,$D$7:$L$7,0)),"")</f>
        <v/>
      </c>
      <c r="L275" s="60" t="str">
        <f>IFERROR(INDEX('领用录入（明细）'!$B:$L,SMALL($B:$B,ROW(J269)),MATCH(L$7,$D$7:$L$7,0)),"")</f>
        <v/>
      </c>
      <c r="M275" s="60" t="str">
        <f t="shared" si="4"/>
        <v/>
      </c>
    </row>
    <row r="276" customHeight="1" spans="2:13">
      <c r="B276" s="62" t="str">
        <f>IF(AND('领用录入（明细）'!D:D=$F$4,'领用录入（明细）'!C:C&gt;=$J$4,'领用录入（明细）'!C:C&lt;=$L$4),ROW(),"-")</f>
        <v>-</v>
      </c>
      <c r="D276" s="59" t="str">
        <f>IFERROR(INDEX('领用录入（明细）'!$B:$L,SMALL($B:$B,ROW(B270)),MATCH(D$7,$D$7:$L$7,0)),"")</f>
        <v/>
      </c>
      <c r="E276" s="114" t="str">
        <f>IFERROR(INDEX('领用录入（明细）'!$B:$L,SMALL($B:$B,ROW(C270)),MATCH(E$7,$D$7:$L$7,0)),"")</f>
        <v/>
      </c>
      <c r="F276" s="60" t="str">
        <f>IFERROR(INDEX('领用录入（明细）'!$B:$L,SMALL($B:$B,ROW(D270)),MATCH(F$7,$D$7:$L$7,0)),"")</f>
        <v/>
      </c>
      <c r="G276" s="60" t="str">
        <f>IFERROR(INDEX('领用录入（明细）'!$B:$L,SMALL($B:$B,ROW(E270)),MATCH(G$7,$D$7:$L$7,0)),"")</f>
        <v/>
      </c>
      <c r="H276" s="60" t="str">
        <f>IFERROR(INDEX('领用录入（明细）'!$B:$L,SMALL($B:$B,ROW(F270)),MATCH(H$7,$D$7:$L$7,0)),"")</f>
        <v/>
      </c>
      <c r="I276" s="60" t="str">
        <f>IFERROR(INDEX('领用录入（明细）'!$B:$L,SMALL($B:$B,ROW(G270)),MATCH(I$7,$D$7:$L$7,0)),"")</f>
        <v/>
      </c>
      <c r="J276" s="60" t="str">
        <f>IFERROR(INDEX('领用录入（明细）'!$B:$L,SMALL($B:$B,ROW(H270)),MATCH(J$7,$D$7:$L$7,0)),"")</f>
        <v/>
      </c>
      <c r="K276" s="60" t="str">
        <f>IFERROR(INDEX('领用录入（明细）'!$B:$L,SMALL($B:$B,ROW(I270)),MATCH(K$7,$D$7:$L$7,0)),"")</f>
        <v/>
      </c>
      <c r="L276" s="60" t="str">
        <f>IFERROR(INDEX('领用录入（明细）'!$B:$L,SMALL($B:$B,ROW(J270)),MATCH(L$7,$D$7:$L$7,0)),"")</f>
        <v/>
      </c>
      <c r="M276" s="60" t="str">
        <f t="shared" si="4"/>
        <v/>
      </c>
    </row>
    <row r="277" customHeight="1" spans="2:13">
      <c r="B277" s="62" t="str">
        <f>IF(AND('领用录入（明细）'!D:D=$F$4,'领用录入（明细）'!C:C&gt;=$J$4,'领用录入（明细）'!C:C&lt;=$L$4),ROW(),"-")</f>
        <v>-</v>
      </c>
      <c r="D277" s="59" t="str">
        <f>IFERROR(INDEX('领用录入（明细）'!$B:$L,SMALL($B:$B,ROW(B271)),MATCH(D$7,$D$7:$L$7,0)),"")</f>
        <v/>
      </c>
      <c r="E277" s="114" t="str">
        <f>IFERROR(INDEX('领用录入（明细）'!$B:$L,SMALL($B:$B,ROW(C271)),MATCH(E$7,$D$7:$L$7,0)),"")</f>
        <v/>
      </c>
      <c r="F277" s="60" t="str">
        <f>IFERROR(INDEX('领用录入（明细）'!$B:$L,SMALL($B:$B,ROW(D271)),MATCH(F$7,$D$7:$L$7,0)),"")</f>
        <v/>
      </c>
      <c r="G277" s="60" t="str">
        <f>IFERROR(INDEX('领用录入（明细）'!$B:$L,SMALL($B:$B,ROW(E271)),MATCH(G$7,$D$7:$L$7,0)),"")</f>
        <v/>
      </c>
      <c r="H277" s="60" t="str">
        <f>IFERROR(INDEX('领用录入（明细）'!$B:$L,SMALL($B:$B,ROW(F271)),MATCH(H$7,$D$7:$L$7,0)),"")</f>
        <v/>
      </c>
      <c r="I277" s="60" t="str">
        <f>IFERROR(INDEX('领用录入（明细）'!$B:$L,SMALL($B:$B,ROW(G271)),MATCH(I$7,$D$7:$L$7,0)),"")</f>
        <v/>
      </c>
      <c r="J277" s="60" t="str">
        <f>IFERROR(INDEX('领用录入（明细）'!$B:$L,SMALL($B:$B,ROW(H271)),MATCH(J$7,$D$7:$L$7,0)),"")</f>
        <v/>
      </c>
      <c r="K277" s="60" t="str">
        <f>IFERROR(INDEX('领用录入（明细）'!$B:$L,SMALL($B:$B,ROW(I271)),MATCH(K$7,$D$7:$L$7,0)),"")</f>
        <v/>
      </c>
      <c r="L277" s="60" t="str">
        <f>IFERROR(INDEX('领用录入（明细）'!$B:$L,SMALL($B:$B,ROW(J271)),MATCH(L$7,$D$7:$L$7,0)),"")</f>
        <v/>
      </c>
      <c r="M277" s="60" t="str">
        <f t="shared" si="4"/>
        <v/>
      </c>
    </row>
    <row r="278" customHeight="1" spans="2:13">
      <c r="B278" s="62" t="str">
        <f>IF(AND('领用录入（明细）'!D:D=$F$4,'领用录入（明细）'!C:C&gt;=$J$4,'领用录入（明细）'!C:C&lt;=$L$4),ROW(),"-")</f>
        <v>-</v>
      </c>
      <c r="D278" s="59" t="str">
        <f>IFERROR(INDEX('领用录入（明细）'!$B:$L,SMALL($B:$B,ROW(B272)),MATCH(D$7,$D$7:$L$7,0)),"")</f>
        <v/>
      </c>
      <c r="E278" s="114" t="str">
        <f>IFERROR(INDEX('领用录入（明细）'!$B:$L,SMALL($B:$B,ROW(C272)),MATCH(E$7,$D$7:$L$7,0)),"")</f>
        <v/>
      </c>
      <c r="F278" s="60" t="str">
        <f>IFERROR(INDEX('领用录入（明细）'!$B:$L,SMALL($B:$B,ROW(D272)),MATCH(F$7,$D$7:$L$7,0)),"")</f>
        <v/>
      </c>
      <c r="G278" s="60" t="str">
        <f>IFERROR(INDEX('领用录入（明细）'!$B:$L,SMALL($B:$B,ROW(E272)),MATCH(G$7,$D$7:$L$7,0)),"")</f>
        <v/>
      </c>
      <c r="H278" s="60" t="str">
        <f>IFERROR(INDEX('领用录入（明细）'!$B:$L,SMALL($B:$B,ROW(F272)),MATCH(H$7,$D$7:$L$7,0)),"")</f>
        <v/>
      </c>
      <c r="I278" s="60" t="str">
        <f>IFERROR(INDEX('领用录入（明细）'!$B:$L,SMALL($B:$B,ROW(G272)),MATCH(I$7,$D$7:$L$7,0)),"")</f>
        <v/>
      </c>
      <c r="J278" s="60" t="str">
        <f>IFERROR(INDEX('领用录入（明细）'!$B:$L,SMALL($B:$B,ROW(H272)),MATCH(J$7,$D$7:$L$7,0)),"")</f>
        <v/>
      </c>
      <c r="K278" s="60" t="str">
        <f>IFERROR(INDEX('领用录入（明细）'!$B:$L,SMALL($B:$B,ROW(I272)),MATCH(K$7,$D$7:$L$7,0)),"")</f>
        <v/>
      </c>
      <c r="L278" s="60" t="str">
        <f>IFERROR(INDEX('领用录入（明细）'!$B:$L,SMALL($B:$B,ROW(J272)),MATCH(L$7,$D$7:$L$7,0)),"")</f>
        <v/>
      </c>
      <c r="M278" s="60" t="str">
        <f t="shared" si="4"/>
        <v/>
      </c>
    </row>
    <row r="279" customHeight="1" spans="2:13">
      <c r="B279" s="62" t="str">
        <f>IF(AND('领用录入（明细）'!D:D=$F$4,'领用录入（明细）'!C:C&gt;=$J$4,'领用录入（明细）'!C:C&lt;=$L$4),ROW(),"-")</f>
        <v>-</v>
      </c>
      <c r="D279" s="59" t="str">
        <f>IFERROR(INDEX('领用录入（明细）'!$B:$L,SMALL($B:$B,ROW(B273)),MATCH(D$7,$D$7:$L$7,0)),"")</f>
        <v/>
      </c>
      <c r="E279" s="114" t="str">
        <f>IFERROR(INDEX('领用录入（明细）'!$B:$L,SMALL($B:$B,ROW(C273)),MATCH(E$7,$D$7:$L$7,0)),"")</f>
        <v/>
      </c>
      <c r="F279" s="60" t="str">
        <f>IFERROR(INDEX('领用录入（明细）'!$B:$L,SMALL($B:$B,ROW(D273)),MATCH(F$7,$D$7:$L$7,0)),"")</f>
        <v/>
      </c>
      <c r="G279" s="60" t="str">
        <f>IFERROR(INDEX('领用录入（明细）'!$B:$L,SMALL($B:$B,ROW(E273)),MATCH(G$7,$D$7:$L$7,0)),"")</f>
        <v/>
      </c>
      <c r="H279" s="60" t="str">
        <f>IFERROR(INDEX('领用录入（明细）'!$B:$L,SMALL($B:$B,ROW(F273)),MATCH(H$7,$D$7:$L$7,0)),"")</f>
        <v/>
      </c>
      <c r="I279" s="60" t="str">
        <f>IFERROR(INDEX('领用录入（明细）'!$B:$L,SMALL($B:$B,ROW(G273)),MATCH(I$7,$D$7:$L$7,0)),"")</f>
        <v/>
      </c>
      <c r="J279" s="60" t="str">
        <f>IFERROR(INDEX('领用录入（明细）'!$B:$L,SMALL($B:$B,ROW(H273)),MATCH(J$7,$D$7:$L$7,0)),"")</f>
        <v/>
      </c>
      <c r="K279" s="60" t="str">
        <f>IFERROR(INDEX('领用录入（明细）'!$B:$L,SMALL($B:$B,ROW(I273)),MATCH(K$7,$D$7:$L$7,0)),"")</f>
        <v/>
      </c>
      <c r="L279" s="60" t="str">
        <f>IFERROR(INDEX('领用录入（明细）'!$B:$L,SMALL($B:$B,ROW(J273)),MATCH(L$7,$D$7:$L$7,0)),"")</f>
        <v/>
      </c>
      <c r="M279" s="60" t="str">
        <f t="shared" si="4"/>
        <v/>
      </c>
    </row>
    <row r="280" customHeight="1" spans="2:13">
      <c r="B280" s="62" t="str">
        <f>IF(AND('领用录入（明细）'!D:D=$F$4,'领用录入（明细）'!C:C&gt;=$J$4,'领用录入（明细）'!C:C&lt;=$L$4),ROW(),"-")</f>
        <v>-</v>
      </c>
      <c r="D280" s="59" t="str">
        <f>IFERROR(INDEX('领用录入（明细）'!$B:$L,SMALL($B:$B,ROW(B274)),MATCH(D$7,$D$7:$L$7,0)),"")</f>
        <v/>
      </c>
      <c r="E280" s="114" t="str">
        <f>IFERROR(INDEX('领用录入（明细）'!$B:$L,SMALL($B:$B,ROW(C274)),MATCH(E$7,$D$7:$L$7,0)),"")</f>
        <v/>
      </c>
      <c r="F280" s="60" t="str">
        <f>IFERROR(INDEX('领用录入（明细）'!$B:$L,SMALL($B:$B,ROW(D274)),MATCH(F$7,$D$7:$L$7,0)),"")</f>
        <v/>
      </c>
      <c r="G280" s="60" t="str">
        <f>IFERROR(INDEX('领用录入（明细）'!$B:$L,SMALL($B:$B,ROW(E274)),MATCH(G$7,$D$7:$L$7,0)),"")</f>
        <v/>
      </c>
      <c r="H280" s="60" t="str">
        <f>IFERROR(INDEX('领用录入（明细）'!$B:$L,SMALL($B:$B,ROW(F274)),MATCH(H$7,$D$7:$L$7,0)),"")</f>
        <v/>
      </c>
      <c r="I280" s="60" t="str">
        <f>IFERROR(INDEX('领用录入（明细）'!$B:$L,SMALL($B:$B,ROW(G274)),MATCH(I$7,$D$7:$L$7,0)),"")</f>
        <v/>
      </c>
      <c r="J280" s="60" t="str">
        <f>IFERROR(INDEX('领用录入（明细）'!$B:$L,SMALL($B:$B,ROW(H274)),MATCH(J$7,$D$7:$L$7,0)),"")</f>
        <v/>
      </c>
      <c r="K280" s="60" t="str">
        <f>IFERROR(INDEX('领用录入（明细）'!$B:$L,SMALL($B:$B,ROW(I274)),MATCH(K$7,$D$7:$L$7,0)),"")</f>
        <v/>
      </c>
      <c r="L280" s="60" t="str">
        <f>IFERROR(INDEX('领用录入（明细）'!$B:$L,SMALL($B:$B,ROW(J274)),MATCH(L$7,$D$7:$L$7,0)),"")</f>
        <v/>
      </c>
      <c r="M280" s="60" t="str">
        <f t="shared" si="4"/>
        <v/>
      </c>
    </row>
    <row r="281" customHeight="1" spans="2:13">
      <c r="B281" s="62" t="str">
        <f>IF(AND('领用录入（明细）'!D:D=$F$4,'领用录入（明细）'!C:C&gt;=$J$4,'领用录入（明细）'!C:C&lt;=$L$4),ROW(),"-")</f>
        <v>-</v>
      </c>
      <c r="D281" s="59" t="str">
        <f>IFERROR(INDEX('领用录入（明细）'!$B:$L,SMALL($B:$B,ROW(B275)),MATCH(D$7,$D$7:$L$7,0)),"")</f>
        <v/>
      </c>
      <c r="E281" s="114" t="str">
        <f>IFERROR(INDEX('领用录入（明细）'!$B:$L,SMALL($B:$B,ROW(C275)),MATCH(E$7,$D$7:$L$7,0)),"")</f>
        <v/>
      </c>
      <c r="F281" s="60" t="str">
        <f>IFERROR(INDEX('领用录入（明细）'!$B:$L,SMALL($B:$B,ROW(D275)),MATCH(F$7,$D$7:$L$7,0)),"")</f>
        <v/>
      </c>
      <c r="G281" s="60" t="str">
        <f>IFERROR(INDEX('领用录入（明细）'!$B:$L,SMALL($B:$B,ROW(E275)),MATCH(G$7,$D$7:$L$7,0)),"")</f>
        <v/>
      </c>
      <c r="H281" s="60" t="str">
        <f>IFERROR(INDEX('领用录入（明细）'!$B:$L,SMALL($B:$B,ROW(F275)),MATCH(H$7,$D$7:$L$7,0)),"")</f>
        <v/>
      </c>
      <c r="I281" s="60" t="str">
        <f>IFERROR(INDEX('领用录入（明细）'!$B:$L,SMALL($B:$B,ROW(G275)),MATCH(I$7,$D$7:$L$7,0)),"")</f>
        <v/>
      </c>
      <c r="J281" s="60" t="str">
        <f>IFERROR(INDEX('领用录入（明细）'!$B:$L,SMALL($B:$B,ROW(H275)),MATCH(J$7,$D$7:$L$7,0)),"")</f>
        <v/>
      </c>
      <c r="K281" s="60" t="str">
        <f>IFERROR(INDEX('领用录入（明细）'!$B:$L,SMALL($B:$B,ROW(I275)),MATCH(K$7,$D$7:$L$7,0)),"")</f>
        <v/>
      </c>
      <c r="L281" s="60" t="str">
        <f>IFERROR(INDEX('领用录入（明细）'!$B:$L,SMALL($B:$B,ROW(J275)),MATCH(L$7,$D$7:$L$7,0)),"")</f>
        <v/>
      </c>
      <c r="M281" s="60" t="str">
        <f t="shared" si="4"/>
        <v/>
      </c>
    </row>
    <row r="282" customHeight="1" spans="2:13">
      <c r="B282" s="62" t="str">
        <f>IF(AND('领用录入（明细）'!D:D=$F$4,'领用录入（明细）'!C:C&gt;=$J$4,'领用录入（明细）'!C:C&lt;=$L$4),ROW(),"-")</f>
        <v>-</v>
      </c>
      <c r="D282" s="59" t="str">
        <f>IFERROR(INDEX('领用录入（明细）'!$B:$L,SMALL($B:$B,ROW(B276)),MATCH(D$7,$D$7:$L$7,0)),"")</f>
        <v/>
      </c>
      <c r="E282" s="114" t="str">
        <f>IFERROR(INDEX('领用录入（明细）'!$B:$L,SMALL($B:$B,ROW(C276)),MATCH(E$7,$D$7:$L$7,0)),"")</f>
        <v/>
      </c>
      <c r="F282" s="60" t="str">
        <f>IFERROR(INDEX('领用录入（明细）'!$B:$L,SMALL($B:$B,ROW(D276)),MATCH(F$7,$D$7:$L$7,0)),"")</f>
        <v/>
      </c>
      <c r="G282" s="60" t="str">
        <f>IFERROR(INDEX('领用录入（明细）'!$B:$L,SMALL($B:$B,ROW(E276)),MATCH(G$7,$D$7:$L$7,0)),"")</f>
        <v/>
      </c>
      <c r="H282" s="60" t="str">
        <f>IFERROR(INDEX('领用录入（明细）'!$B:$L,SMALL($B:$B,ROW(F276)),MATCH(H$7,$D$7:$L$7,0)),"")</f>
        <v/>
      </c>
      <c r="I282" s="60" t="str">
        <f>IFERROR(INDEX('领用录入（明细）'!$B:$L,SMALL($B:$B,ROW(G276)),MATCH(I$7,$D$7:$L$7,0)),"")</f>
        <v/>
      </c>
      <c r="J282" s="60" t="str">
        <f>IFERROR(INDEX('领用录入（明细）'!$B:$L,SMALL($B:$B,ROW(H276)),MATCH(J$7,$D$7:$L$7,0)),"")</f>
        <v/>
      </c>
      <c r="K282" s="60" t="str">
        <f>IFERROR(INDEX('领用录入（明细）'!$B:$L,SMALL($B:$B,ROW(I276)),MATCH(K$7,$D$7:$L$7,0)),"")</f>
        <v/>
      </c>
      <c r="L282" s="60" t="str">
        <f>IFERROR(INDEX('领用录入（明细）'!$B:$L,SMALL($B:$B,ROW(J276)),MATCH(L$7,$D$7:$L$7,0)),"")</f>
        <v/>
      </c>
      <c r="M282" s="60" t="str">
        <f t="shared" si="4"/>
        <v/>
      </c>
    </row>
    <row r="283" customHeight="1" spans="2:13">
      <c r="B283" s="62" t="str">
        <f>IF(AND('领用录入（明细）'!D:D=$F$4,'领用录入（明细）'!C:C&gt;=$J$4,'领用录入（明细）'!C:C&lt;=$L$4),ROW(),"-")</f>
        <v>-</v>
      </c>
      <c r="D283" s="59" t="str">
        <f>IFERROR(INDEX('领用录入（明细）'!$B:$L,SMALL($B:$B,ROW(B277)),MATCH(D$7,$D$7:$L$7,0)),"")</f>
        <v/>
      </c>
      <c r="E283" s="114" t="str">
        <f>IFERROR(INDEX('领用录入（明细）'!$B:$L,SMALL($B:$B,ROW(C277)),MATCH(E$7,$D$7:$L$7,0)),"")</f>
        <v/>
      </c>
      <c r="F283" s="60" t="str">
        <f>IFERROR(INDEX('领用录入（明细）'!$B:$L,SMALL($B:$B,ROW(D277)),MATCH(F$7,$D$7:$L$7,0)),"")</f>
        <v/>
      </c>
      <c r="G283" s="60" t="str">
        <f>IFERROR(INDEX('领用录入（明细）'!$B:$L,SMALL($B:$B,ROW(E277)),MATCH(G$7,$D$7:$L$7,0)),"")</f>
        <v/>
      </c>
      <c r="H283" s="60" t="str">
        <f>IFERROR(INDEX('领用录入（明细）'!$B:$L,SMALL($B:$B,ROW(F277)),MATCH(H$7,$D$7:$L$7,0)),"")</f>
        <v/>
      </c>
      <c r="I283" s="60" t="str">
        <f>IFERROR(INDEX('领用录入（明细）'!$B:$L,SMALL($B:$B,ROW(G277)),MATCH(I$7,$D$7:$L$7,0)),"")</f>
        <v/>
      </c>
      <c r="J283" s="60" t="str">
        <f>IFERROR(INDEX('领用录入（明细）'!$B:$L,SMALL($B:$B,ROW(H277)),MATCH(J$7,$D$7:$L$7,0)),"")</f>
        <v/>
      </c>
      <c r="K283" s="60" t="str">
        <f>IFERROR(INDEX('领用录入（明细）'!$B:$L,SMALL($B:$B,ROW(I277)),MATCH(K$7,$D$7:$L$7,0)),"")</f>
        <v/>
      </c>
      <c r="L283" s="60" t="str">
        <f>IFERROR(INDEX('领用录入（明细）'!$B:$L,SMALL($B:$B,ROW(J277)),MATCH(L$7,$D$7:$L$7,0)),"")</f>
        <v/>
      </c>
      <c r="M283" s="60" t="str">
        <f t="shared" si="4"/>
        <v/>
      </c>
    </row>
    <row r="284" customHeight="1" spans="2:13">
      <c r="B284" s="62" t="str">
        <f>IF(AND('领用录入（明细）'!D:D=$F$4,'领用录入（明细）'!C:C&gt;=$J$4,'领用录入（明细）'!C:C&lt;=$L$4),ROW(),"-")</f>
        <v>-</v>
      </c>
      <c r="D284" s="59" t="str">
        <f>IFERROR(INDEX('领用录入（明细）'!$B:$L,SMALL($B:$B,ROW(B278)),MATCH(D$7,$D$7:$L$7,0)),"")</f>
        <v/>
      </c>
      <c r="E284" s="114" t="str">
        <f>IFERROR(INDEX('领用录入（明细）'!$B:$L,SMALL($B:$B,ROW(C278)),MATCH(E$7,$D$7:$L$7,0)),"")</f>
        <v/>
      </c>
      <c r="F284" s="60" t="str">
        <f>IFERROR(INDEX('领用录入（明细）'!$B:$L,SMALL($B:$B,ROW(D278)),MATCH(F$7,$D$7:$L$7,0)),"")</f>
        <v/>
      </c>
      <c r="G284" s="60" t="str">
        <f>IFERROR(INDEX('领用录入（明细）'!$B:$L,SMALL($B:$B,ROW(E278)),MATCH(G$7,$D$7:$L$7,0)),"")</f>
        <v/>
      </c>
      <c r="H284" s="60" t="str">
        <f>IFERROR(INDEX('领用录入（明细）'!$B:$L,SMALL($B:$B,ROW(F278)),MATCH(H$7,$D$7:$L$7,0)),"")</f>
        <v/>
      </c>
      <c r="I284" s="60" t="str">
        <f>IFERROR(INDEX('领用录入（明细）'!$B:$L,SMALL($B:$B,ROW(G278)),MATCH(I$7,$D$7:$L$7,0)),"")</f>
        <v/>
      </c>
      <c r="J284" s="60" t="str">
        <f>IFERROR(INDEX('领用录入（明细）'!$B:$L,SMALL($B:$B,ROW(H278)),MATCH(J$7,$D$7:$L$7,0)),"")</f>
        <v/>
      </c>
      <c r="K284" s="60" t="str">
        <f>IFERROR(INDEX('领用录入（明细）'!$B:$L,SMALL($B:$B,ROW(I278)),MATCH(K$7,$D$7:$L$7,0)),"")</f>
        <v/>
      </c>
      <c r="L284" s="60" t="str">
        <f>IFERROR(INDEX('领用录入（明细）'!$B:$L,SMALL($B:$B,ROW(J278)),MATCH(L$7,$D$7:$L$7,0)),"")</f>
        <v/>
      </c>
      <c r="M284" s="60" t="str">
        <f t="shared" si="4"/>
        <v/>
      </c>
    </row>
    <row r="285" customHeight="1" spans="2:13">
      <c r="B285" s="62" t="str">
        <f>IF(AND('领用录入（明细）'!D:D=$F$4,'领用录入（明细）'!C:C&gt;=$J$4,'领用录入（明细）'!C:C&lt;=$L$4),ROW(),"-")</f>
        <v>-</v>
      </c>
      <c r="D285" s="59" t="str">
        <f>IFERROR(INDEX('领用录入（明细）'!$B:$L,SMALL($B:$B,ROW(B279)),MATCH(D$7,$D$7:$L$7,0)),"")</f>
        <v/>
      </c>
      <c r="E285" s="114" t="str">
        <f>IFERROR(INDEX('领用录入（明细）'!$B:$L,SMALL($B:$B,ROW(C279)),MATCH(E$7,$D$7:$L$7,0)),"")</f>
        <v/>
      </c>
      <c r="F285" s="60" t="str">
        <f>IFERROR(INDEX('领用录入（明细）'!$B:$L,SMALL($B:$B,ROW(D279)),MATCH(F$7,$D$7:$L$7,0)),"")</f>
        <v/>
      </c>
      <c r="G285" s="60" t="str">
        <f>IFERROR(INDEX('领用录入（明细）'!$B:$L,SMALL($B:$B,ROW(E279)),MATCH(G$7,$D$7:$L$7,0)),"")</f>
        <v/>
      </c>
      <c r="H285" s="60" t="str">
        <f>IFERROR(INDEX('领用录入（明细）'!$B:$L,SMALL($B:$B,ROW(F279)),MATCH(H$7,$D$7:$L$7,0)),"")</f>
        <v/>
      </c>
      <c r="I285" s="60" t="str">
        <f>IFERROR(INDEX('领用录入（明细）'!$B:$L,SMALL($B:$B,ROW(G279)),MATCH(I$7,$D$7:$L$7,0)),"")</f>
        <v/>
      </c>
      <c r="J285" s="60" t="str">
        <f>IFERROR(INDEX('领用录入（明细）'!$B:$L,SMALL($B:$B,ROW(H279)),MATCH(J$7,$D$7:$L$7,0)),"")</f>
        <v/>
      </c>
      <c r="K285" s="60" t="str">
        <f>IFERROR(INDEX('领用录入（明细）'!$B:$L,SMALL($B:$B,ROW(I279)),MATCH(K$7,$D$7:$L$7,0)),"")</f>
        <v/>
      </c>
      <c r="L285" s="60" t="str">
        <f>IFERROR(INDEX('领用录入（明细）'!$B:$L,SMALL($B:$B,ROW(J279)),MATCH(L$7,$D$7:$L$7,0)),"")</f>
        <v/>
      </c>
      <c r="M285" s="60" t="str">
        <f t="shared" si="4"/>
        <v/>
      </c>
    </row>
    <row r="286" customHeight="1" spans="2:13">
      <c r="B286" s="62" t="str">
        <f>IF(AND('领用录入（明细）'!D:D=$F$4,'领用录入（明细）'!C:C&gt;=$J$4,'领用录入（明细）'!C:C&lt;=$L$4),ROW(),"-")</f>
        <v>-</v>
      </c>
      <c r="D286" s="59" t="str">
        <f>IFERROR(INDEX('领用录入（明细）'!$B:$L,SMALL($B:$B,ROW(B280)),MATCH(D$7,$D$7:$L$7,0)),"")</f>
        <v/>
      </c>
      <c r="E286" s="114" t="str">
        <f>IFERROR(INDEX('领用录入（明细）'!$B:$L,SMALL($B:$B,ROW(C280)),MATCH(E$7,$D$7:$L$7,0)),"")</f>
        <v/>
      </c>
      <c r="F286" s="60" t="str">
        <f>IFERROR(INDEX('领用录入（明细）'!$B:$L,SMALL($B:$B,ROW(D280)),MATCH(F$7,$D$7:$L$7,0)),"")</f>
        <v/>
      </c>
      <c r="G286" s="60" t="str">
        <f>IFERROR(INDEX('领用录入（明细）'!$B:$L,SMALL($B:$B,ROW(E280)),MATCH(G$7,$D$7:$L$7,0)),"")</f>
        <v/>
      </c>
      <c r="H286" s="60" t="str">
        <f>IFERROR(INDEX('领用录入（明细）'!$B:$L,SMALL($B:$B,ROW(F280)),MATCH(H$7,$D$7:$L$7,0)),"")</f>
        <v/>
      </c>
      <c r="I286" s="60" t="str">
        <f>IFERROR(INDEX('领用录入（明细）'!$B:$L,SMALL($B:$B,ROW(G280)),MATCH(I$7,$D$7:$L$7,0)),"")</f>
        <v/>
      </c>
      <c r="J286" s="60" t="str">
        <f>IFERROR(INDEX('领用录入（明细）'!$B:$L,SMALL($B:$B,ROW(H280)),MATCH(J$7,$D$7:$L$7,0)),"")</f>
        <v/>
      </c>
      <c r="K286" s="60" t="str">
        <f>IFERROR(INDEX('领用录入（明细）'!$B:$L,SMALL($B:$B,ROW(I280)),MATCH(K$7,$D$7:$L$7,0)),"")</f>
        <v/>
      </c>
      <c r="L286" s="60" t="str">
        <f>IFERROR(INDEX('领用录入（明细）'!$B:$L,SMALL($B:$B,ROW(J280)),MATCH(L$7,$D$7:$L$7,0)),"")</f>
        <v/>
      </c>
      <c r="M286" s="60" t="str">
        <f t="shared" si="4"/>
        <v/>
      </c>
    </row>
    <row r="287" customHeight="1" spans="2:13">
      <c r="B287" s="62" t="str">
        <f>IF(AND('领用录入（明细）'!D:D=$F$4,'领用录入（明细）'!C:C&gt;=$J$4,'领用录入（明细）'!C:C&lt;=$L$4),ROW(),"-")</f>
        <v>-</v>
      </c>
      <c r="D287" s="59" t="str">
        <f>IFERROR(INDEX('领用录入（明细）'!$B:$L,SMALL($B:$B,ROW(B281)),MATCH(D$7,$D$7:$L$7,0)),"")</f>
        <v/>
      </c>
      <c r="E287" s="114" t="str">
        <f>IFERROR(INDEX('领用录入（明细）'!$B:$L,SMALL($B:$B,ROW(C281)),MATCH(E$7,$D$7:$L$7,0)),"")</f>
        <v/>
      </c>
      <c r="F287" s="60" t="str">
        <f>IFERROR(INDEX('领用录入（明细）'!$B:$L,SMALL($B:$B,ROW(D281)),MATCH(F$7,$D$7:$L$7,0)),"")</f>
        <v/>
      </c>
      <c r="G287" s="60" t="str">
        <f>IFERROR(INDEX('领用录入（明细）'!$B:$L,SMALL($B:$B,ROW(E281)),MATCH(G$7,$D$7:$L$7,0)),"")</f>
        <v/>
      </c>
      <c r="H287" s="60" t="str">
        <f>IFERROR(INDEX('领用录入（明细）'!$B:$L,SMALL($B:$B,ROW(F281)),MATCH(H$7,$D$7:$L$7,0)),"")</f>
        <v/>
      </c>
      <c r="I287" s="60" t="str">
        <f>IFERROR(INDEX('领用录入（明细）'!$B:$L,SMALL($B:$B,ROW(G281)),MATCH(I$7,$D$7:$L$7,0)),"")</f>
        <v/>
      </c>
      <c r="J287" s="60" t="str">
        <f>IFERROR(INDEX('领用录入（明细）'!$B:$L,SMALL($B:$B,ROW(H281)),MATCH(J$7,$D$7:$L$7,0)),"")</f>
        <v/>
      </c>
      <c r="K287" s="60" t="str">
        <f>IFERROR(INDEX('领用录入（明细）'!$B:$L,SMALL($B:$B,ROW(I281)),MATCH(K$7,$D$7:$L$7,0)),"")</f>
        <v/>
      </c>
      <c r="L287" s="60" t="str">
        <f>IFERROR(INDEX('领用录入（明细）'!$B:$L,SMALL($B:$B,ROW(J281)),MATCH(L$7,$D$7:$L$7,0)),"")</f>
        <v/>
      </c>
      <c r="M287" s="60" t="str">
        <f t="shared" si="4"/>
        <v/>
      </c>
    </row>
    <row r="288" customHeight="1" spans="2:13">
      <c r="B288" s="62" t="str">
        <f>IF(AND('领用录入（明细）'!D:D=$F$4,'领用录入（明细）'!C:C&gt;=$J$4,'领用录入（明细）'!C:C&lt;=$L$4),ROW(),"-")</f>
        <v>-</v>
      </c>
      <c r="D288" s="59" t="str">
        <f>IFERROR(INDEX('领用录入（明细）'!$B:$L,SMALL($B:$B,ROW(B282)),MATCH(D$7,$D$7:$L$7,0)),"")</f>
        <v/>
      </c>
      <c r="E288" s="114" t="str">
        <f>IFERROR(INDEX('领用录入（明细）'!$B:$L,SMALL($B:$B,ROW(C282)),MATCH(E$7,$D$7:$L$7,0)),"")</f>
        <v/>
      </c>
      <c r="F288" s="60" t="str">
        <f>IFERROR(INDEX('领用录入（明细）'!$B:$L,SMALL($B:$B,ROW(D282)),MATCH(F$7,$D$7:$L$7,0)),"")</f>
        <v/>
      </c>
      <c r="G288" s="60" t="str">
        <f>IFERROR(INDEX('领用录入（明细）'!$B:$L,SMALL($B:$B,ROW(E282)),MATCH(G$7,$D$7:$L$7,0)),"")</f>
        <v/>
      </c>
      <c r="H288" s="60" t="str">
        <f>IFERROR(INDEX('领用录入（明细）'!$B:$L,SMALL($B:$B,ROW(F282)),MATCH(H$7,$D$7:$L$7,0)),"")</f>
        <v/>
      </c>
      <c r="I288" s="60" t="str">
        <f>IFERROR(INDEX('领用录入（明细）'!$B:$L,SMALL($B:$B,ROW(G282)),MATCH(I$7,$D$7:$L$7,0)),"")</f>
        <v/>
      </c>
      <c r="J288" s="60" t="str">
        <f>IFERROR(INDEX('领用录入（明细）'!$B:$L,SMALL($B:$B,ROW(H282)),MATCH(J$7,$D$7:$L$7,0)),"")</f>
        <v/>
      </c>
      <c r="K288" s="60" t="str">
        <f>IFERROR(INDEX('领用录入（明细）'!$B:$L,SMALL($B:$B,ROW(I282)),MATCH(K$7,$D$7:$L$7,0)),"")</f>
        <v/>
      </c>
      <c r="L288" s="60" t="str">
        <f>IFERROR(INDEX('领用录入（明细）'!$B:$L,SMALL($B:$B,ROW(J282)),MATCH(L$7,$D$7:$L$7,0)),"")</f>
        <v/>
      </c>
      <c r="M288" s="60" t="str">
        <f t="shared" si="4"/>
        <v/>
      </c>
    </row>
    <row r="289" customHeight="1" spans="2:13">
      <c r="B289" s="62" t="str">
        <f>IF(AND('领用录入（明细）'!D:D=$F$4,'领用录入（明细）'!C:C&gt;=$J$4,'领用录入（明细）'!C:C&lt;=$L$4),ROW(),"-")</f>
        <v>-</v>
      </c>
      <c r="D289" s="59" t="str">
        <f>IFERROR(INDEX('领用录入（明细）'!$B:$L,SMALL($B:$B,ROW(B283)),MATCH(D$7,$D$7:$L$7,0)),"")</f>
        <v/>
      </c>
      <c r="E289" s="114" t="str">
        <f>IFERROR(INDEX('领用录入（明细）'!$B:$L,SMALL($B:$B,ROW(C283)),MATCH(E$7,$D$7:$L$7,0)),"")</f>
        <v/>
      </c>
      <c r="F289" s="60" t="str">
        <f>IFERROR(INDEX('领用录入（明细）'!$B:$L,SMALL($B:$B,ROW(D283)),MATCH(F$7,$D$7:$L$7,0)),"")</f>
        <v/>
      </c>
      <c r="G289" s="60" t="str">
        <f>IFERROR(INDEX('领用录入（明细）'!$B:$L,SMALL($B:$B,ROW(E283)),MATCH(G$7,$D$7:$L$7,0)),"")</f>
        <v/>
      </c>
      <c r="H289" s="60" t="str">
        <f>IFERROR(INDEX('领用录入（明细）'!$B:$L,SMALL($B:$B,ROW(F283)),MATCH(H$7,$D$7:$L$7,0)),"")</f>
        <v/>
      </c>
      <c r="I289" s="60" t="str">
        <f>IFERROR(INDEX('领用录入（明细）'!$B:$L,SMALL($B:$B,ROW(G283)),MATCH(I$7,$D$7:$L$7,0)),"")</f>
        <v/>
      </c>
      <c r="J289" s="60" t="str">
        <f>IFERROR(INDEX('领用录入（明细）'!$B:$L,SMALL($B:$B,ROW(H283)),MATCH(J$7,$D$7:$L$7,0)),"")</f>
        <v/>
      </c>
      <c r="K289" s="60" t="str">
        <f>IFERROR(INDEX('领用录入（明细）'!$B:$L,SMALL($B:$B,ROW(I283)),MATCH(K$7,$D$7:$L$7,0)),"")</f>
        <v/>
      </c>
      <c r="L289" s="60" t="str">
        <f>IFERROR(INDEX('领用录入（明细）'!$B:$L,SMALL($B:$B,ROW(J283)),MATCH(L$7,$D$7:$L$7,0)),"")</f>
        <v/>
      </c>
      <c r="M289" s="60" t="str">
        <f t="shared" si="4"/>
        <v/>
      </c>
    </row>
    <row r="290" customHeight="1" spans="2:13">
      <c r="B290" s="62" t="str">
        <f>IF(AND('领用录入（明细）'!D:D=$F$4,'领用录入（明细）'!C:C&gt;=$J$4,'领用录入（明细）'!C:C&lt;=$L$4),ROW(),"-")</f>
        <v>-</v>
      </c>
      <c r="D290" s="59" t="str">
        <f>IFERROR(INDEX('领用录入（明细）'!$B:$L,SMALL($B:$B,ROW(B284)),MATCH(D$7,$D$7:$L$7,0)),"")</f>
        <v/>
      </c>
      <c r="E290" s="114" t="str">
        <f>IFERROR(INDEX('领用录入（明细）'!$B:$L,SMALL($B:$B,ROW(C284)),MATCH(E$7,$D$7:$L$7,0)),"")</f>
        <v/>
      </c>
      <c r="F290" s="60" t="str">
        <f>IFERROR(INDEX('领用录入（明细）'!$B:$L,SMALL($B:$B,ROW(D284)),MATCH(F$7,$D$7:$L$7,0)),"")</f>
        <v/>
      </c>
      <c r="G290" s="60" t="str">
        <f>IFERROR(INDEX('领用录入（明细）'!$B:$L,SMALL($B:$B,ROW(E284)),MATCH(G$7,$D$7:$L$7,0)),"")</f>
        <v/>
      </c>
      <c r="H290" s="60" t="str">
        <f>IFERROR(INDEX('领用录入（明细）'!$B:$L,SMALL($B:$B,ROW(F284)),MATCH(H$7,$D$7:$L$7,0)),"")</f>
        <v/>
      </c>
      <c r="I290" s="60" t="str">
        <f>IFERROR(INDEX('领用录入（明细）'!$B:$L,SMALL($B:$B,ROW(G284)),MATCH(I$7,$D$7:$L$7,0)),"")</f>
        <v/>
      </c>
      <c r="J290" s="60" t="str">
        <f>IFERROR(INDEX('领用录入（明细）'!$B:$L,SMALL($B:$B,ROW(H284)),MATCH(J$7,$D$7:$L$7,0)),"")</f>
        <v/>
      </c>
      <c r="K290" s="60" t="str">
        <f>IFERROR(INDEX('领用录入（明细）'!$B:$L,SMALL($B:$B,ROW(I284)),MATCH(K$7,$D$7:$L$7,0)),"")</f>
        <v/>
      </c>
      <c r="L290" s="60" t="str">
        <f>IFERROR(INDEX('领用录入（明细）'!$B:$L,SMALL($B:$B,ROW(J284)),MATCH(L$7,$D$7:$L$7,0)),"")</f>
        <v/>
      </c>
      <c r="M290" s="60" t="str">
        <f t="shared" si="4"/>
        <v/>
      </c>
    </row>
    <row r="291" customHeight="1" spans="2:13">
      <c r="B291" s="62" t="str">
        <f>IF(AND('领用录入（明细）'!D:D=$F$4,'领用录入（明细）'!C:C&gt;=$J$4,'领用录入（明细）'!C:C&lt;=$L$4),ROW(),"-")</f>
        <v>-</v>
      </c>
      <c r="D291" s="59" t="str">
        <f>IFERROR(INDEX('领用录入（明细）'!$B:$L,SMALL($B:$B,ROW(B285)),MATCH(D$7,$D$7:$L$7,0)),"")</f>
        <v/>
      </c>
      <c r="E291" s="114" t="str">
        <f>IFERROR(INDEX('领用录入（明细）'!$B:$L,SMALL($B:$B,ROW(C285)),MATCH(E$7,$D$7:$L$7,0)),"")</f>
        <v/>
      </c>
      <c r="F291" s="60" t="str">
        <f>IFERROR(INDEX('领用录入（明细）'!$B:$L,SMALL($B:$B,ROW(D285)),MATCH(F$7,$D$7:$L$7,0)),"")</f>
        <v/>
      </c>
      <c r="G291" s="60" t="str">
        <f>IFERROR(INDEX('领用录入（明细）'!$B:$L,SMALL($B:$B,ROW(E285)),MATCH(G$7,$D$7:$L$7,0)),"")</f>
        <v/>
      </c>
      <c r="H291" s="60" t="str">
        <f>IFERROR(INDEX('领用录入（明细）'!$B:$L,SMALL($B:$B,ROW(F285)),MATCH(H$7,$D$7:$L$7,0)),"")</f>
        <v/>
      </c>
      <c r="I291" s="60" t="str">
        <f>IFERROR(INDEX('领用录入（明细）'!$B:$L,SMALL($B:$B,ROW(G285)),MATCH(I$7,$D$7:$L$7,0)),"")</f>
        <v/>
      </c>
      <c r="J291" s="60" t="str">
        <f>IFERROR(INDEX('领用录入（明细）'!$B:$L,SMALL($B:$B,ROW(H285)),MATCH(J$7,$D$7:$L$7,0)),"")</f>
        <v/>
      </c>
      <c r="K291" s="60" t="str">
        <f>IFERROR(INDEX('领用录入（明细）'!$B:$L,SMALL($B:$B,ROW(I285)),MATCH(K$7,$D$7:$L$7,0)),"")</f>
        <v/>
      </c>
      <c r="L291" s="60" t="str">
        <f>IFERROR(INDEX('领用录入（明细）'!$B:$L,SMALL($B:$B,ROW(J285)),MATCH(L$7,$D$7:$L$7,0)),"")</f>
        <v/>
      </c>
      <c r="M291" s="60" t="str">
        <f t="shared" si="4"/>
        <v/>
      </c>
    </row>
    <row r="292" customHeight="1" spans="2:13">
      <c r="B292" s="62" t="str">
        <f>IF(AND('领用录入（明细）'!D:D=$F$4,'领用录入（明细）'!C:C&gt;=$J$4,'领用录入（明细）'!C:C&lt;=$L$4),ROW(),"-")</f>
        <v>-</v>
      </c>
      <c r="D292" s="59" t="str">
        <f>IFERROR(INDEX('领用录入（明细）'!$B:$L,SMALL($B:$B,ROW(B286)),MATCH(D$7,$D$7:$L$7,0)),"")</f>
        <v/>
      </c>
      <c r="E292" s="114" t="str">
        <f>IFERROR(INDEX('领用录入（明细）'!$B:$L,SMALL($B:$B,ROW(C286)),MATCH(E$7,$D$7:$L$7,0)),"")</f>
        <v/>
      </c>
      <c r="F292" s="60" t="str">
        <f>IFERROR(INDEX('领用录入（明细）'!$B:$L,SMALL($B:$B,ROW(D286)),MATCH(F$7,$D$7:$L$7,0)),"")</f>
        <v/>
      </c>
      <c r="G292" s="60" t="str">
        <f>IFERROR(INDEX('领用录入（明细）'!$B:$L,SMALL($B:$B,ROW(E286)),MATCH(G$7,$D$7:$L$7,0)),"")</f>
        <v/>
      </c>
      <c r="H292" s="60" t="str">
        <f>IFERROR(INDEX('领用录入（明细）'!$B:$L,SMALL($B:$B,ROW(F286)),MATCH(H$7,$D$7:$L$7,0)),"")</f>
        <v/>
      </c>
      <c r="I292" s="60" t="str">
        <f>IFERROR(INDEX('领用录入（明细）'!$B:$L,SMALL($B:$B,ROW(G286)),MATCH(I$7,$D$7:$L$7,0)),"")</f>
        <v/>
      </c>
      <c r="J292" s="60" t="str">
        <f>IFERROR(INDEX('领用录入（明细）'!$B:$L,SMALL($B:$B,ROW(H286)),MATCH(J$7,$D$7:$L$7,0)),"")</f>
        <v/>
      </c>
      <c r="K292" s="60" t="str">
        <f>IFERROR(INDEX('领用录入（明细）'!$B:$L,SMALL($B:$B,ROW(I286)),MATCH(K$7,$D$7:$L$7,0)),"")</f>
        <v/>
      </c>
      <c r="L292" s="60" t="str">
        <f>IFERROR(INDEX('领用录入（明细）'!$B:$L,SMALL($B:$B,ROW(J286)),MATCH(L$7,$D$7:$L$7,0)),"")</f>
        <v/>
      </c>
      <c r="M292" s="60" t="str">
        <f t="shared" si="4"/>
        <v/>
      </c>
    </row>
    <row r="293" customHeight="1" spans="2:13">
      <c r="B293" s="62" t="str">
        <f>IF(AND('领用录入（明细）'!D:D=$F$4,'领用录入（明细）'!C:C&gt;=$J$4,'领用录入（明细）'!C:C&lt;=$L$4),ROW(),"-")</f>
        <v>-</v>
      </c>
      <c r="D293" s="59" t="str">
        <f>IFERROR(INDEX('领用录入（明细）'!$B:$L,SMALL($B:$B,ROW(B287)),MATCH(D$7,$D$7:$L$7,0)),"")</f>
        <v/>
      </c>
      <c r="E293" s="114" t="str">
        <f>IFERROR(INDEX('领用录入（明细）'!$B:$L,SMALL($B:$B,ROW(C287)),MATCH(E$7,$D$7:$L$7,0)),"")</f>
        <v/>
      </c>
      <c r="F293" s="60" t="str">
        <f>IFERROR(INDEX('领用录入（明细）'!$B:$L,SMALL($B:$B,ROW(D287)),MATCH(F$7,$D$7:$L$7,0)),"")</f>
        <v/>
      </c>
      <c r="G293" s="60" t="str">
        <f>IFERROR(INDEX('领用录入（明细）'!$B:$L,SMALL($B:$B,ROW(E287)),MATCH(G$7,$D$7:$L$7,0)),"")</f>
        <v/>
      </c>
      <c r="H293" s="60" t="str">
        <f>IFERROR(INDEX('领用录入（明细）'!$B:$L,SMALL($B:$B,ROW(F287)),MATCH(H$7,$D$7:$L$7,0)),"")</f>
        <v/>
      </c>
      <c r="I293" s="60" t="str">
        <f>IFERROR(INDEX('领用录入（明细）'!$B:$L,SMALL($B:$B,ROW(G287)),MATCH(I$7,$D$7:$L$7,0)),"")</f>
        <v/>
      </c>
      <c r="J293" s="60" t="str">
        <f>IFERROR(INDEX('领用录入（明细）'!$B:$L,SMALL($B:$B,ROW(H287)),MATCH(J$7,$D$7:$L$7,0)),"")</f>
        <v/>
      </c>
      <c r="K293" s="60" t="str">
        <f>IFERROR(INDEX('领用录入（明细）'!$B:$L,SMALL($B:$B,ROW(I287)),MATCH(K$7,$D$7:$L$7,0)),"")</f>
        <v/>
      </c>
      <c r="L293" s="60" t="str">
        <f>IFERROR(INDEX('领用录入（明细）'!$B:$L,SMALL($B:$B,ROW(J287)),MATCH(L$7,$D$7:$L$7,0)),"")</f>
        <v/>
      </c>
      <c r="M293" s="60" t="str">
        <f t="shared" si="4"/>
        <v/>
      </c>
    </row>
    <row r="294" customHeight="1" spans="2:13">
      <c r="B294" s="62" t="str">
        <f>IF(AND('领用录入（明细）'!D:D=$F$4,'领用录入（明细）'!C:C&gt;=$J$4,'领用录入（明细）'!C:C&lt;=$L$4),ROW(),"-")</f>
        <v>-</v>
      </c>
      <c r="D294" s="59" t="str">
        <f>IFERROR(INDEX('领用录入（明细）'!$B:$L,SMALL($B:$B,ROW(B288)),MATCH(D$7,$D$7:$L$7,0)),"")</f>
        <v/>
      </c>
      <c r="E294" s="114" t="str">
        <f>IFERROR(INDEX('领用录入（明细）'!$B:$L,SMALL($B:$B,ROW(C288)),MATCH(E$7,$D$7:$L$7,0)),"")</f>
        <v/>
      </c>
      <c r="F294" s="60" t="str">
        <f>IFERROR(INDEX('领用录入（明细）'!$B:$L,SMALL($B:$B,ROW(D288)),MATCH(F$7,$D$7:$L$7,0)),"")</f>
        <v/>
      </c>
      <c r="G294" s="60" t="str">
        <f>IFERROR(INDEX('领用录入（明细）'!$B:$L,SMALL($B:$B,ROW(E288)),MATCH(G$7,$D$7:$L$7,0)),"")</f>
        <v/>
      </c>
      <c r="H294" s="60" t="str">
        <f>IFERROR(INDEX('领用录入（明细）'!$B:$L,SMALL($B:$B,ROW(F288)),MATCH(H$7,$D$7:$L$7,0)),"")</f>
        <v/>
      </c>
      <c r="I294" s="60" t="str">
        <f>IFERROR(INDEX('领用录入（明细）'!$B:$L,SMALL($B:$B,ROW(G288)),MATCH(I$7,$D$7:$L$7,0)),"")</f>
        <v/>
      </c>
      <c r="J294" s="60" t="str">
        <f>IFERROR(INDEX('领用录入（明细）'!$B:$L,SMALL($B:$B,ROW(H288)),MATCH(J$7,$D$7:$L$7,0)),"")</f>
        <v/>
      </c>
      <c r="K294" s="60" t="str">
        <f>IFERROR(INDEX('领用录入（明细）'!$B:$L,SMALL($B:$B,ROW(I288)),MATCH(K$7,$D$7:$L$7,0)),"")</f>
        <v/>
      </c>
      <c r="L294" s="60" t="str">
        <f>IFERROR(INDEX('领用录入（明细）'!$B:$L,SMALL($B:$B,ROW(J288)),MATCH(L$7,$D$7:$L$7,0)),"")</f>
        <v/>
      </c>
      <c r="M294" s="60" t="str">
        <f t="shared" si="4"/>
        <v/>
      </c>
    </row>
    <row r="295" customHeight="1" spans="2:13">
      <c r="B295" s="62" t="str">
        <f>IF(AND('领用录入（明细）'!D:D=$F$4,'领用录入（明细）'!C:C&gt;=$J$4,'领用录入（明细）'!C:C&lt;=$L$4),ROW(),"-")</f>
        <v>-</v>
      </c>
      <c r="D295" s="59" t="str">
        <f>IFERROR(INDEX('领用录入（明细）'!$B:$L,SMALL($B:$B,ROW(B289)),MATCH(D$7,$D$7:$L$7,0)),"")</f>
        <v/>
      </c>
      <c r="E295" s="114" t="str">
        <f>IFERROR(INDEX('领用录入（明细）'!$B:$L,SMALL($B:$B,ROW(C289)),MATCH(E$7,$D$7:$L$7,0)),"")</f>
        <v/>
      </c>
      <c r="F295" s="60" t="str">
        <f>IFERROR(INDEX('领用录入（明细）'!$B:$L,SMALL($B:$B,ROW(D289)),MATCH(F$7,$D$7:$L$7,0)),"")</f>
        <v/>
      </c>
      <c r="G295" s="60" t="str">
        <f>IFERROR(INDEX('领用录入（明细）'!$B:$L,SMALL($B:$B,ROW(E289)),MATCH(G$7,$D$7:$L$7,0)),"")</f>
        <v/>
      </c>
      <c r="H295" s="60" t="str">
        <f>IFERROR(INDEX('领用录入（明细）'!$B:$L,SMALL($B:$B,ROW(F289)),MATCH(H$7,$D$7:$L$7,0)),"")</f>
        <v/>
      </c>
      <c r="I295" s="60" t="str">
        <f>IFERROR(INDEX('领用录入（明细）'!$B:$L,SMALL($B:$B,ROW(G289)),MATCH(I$7,$D$7:$L$7,0)),"")</f>
        <v/>
      </c>
      <c r="J295" s="60" t="str">
        <f>IFERROR(INDEX('领用录入（明细）'!$B:$L,SMALL($B:$B,ROW(H289)),MATCH(J$7,$D$7:$L$7,0)),"")</f>
        <v/>
      </c>
      <c r="K295" s="60" t="str">
        <f>IFERROR(INDEX('领用录入（明细）'!$B:$L,SMALL($B:$B,ROW(I289)),MATCH(K$7,$D$7:$L$7,0)),"")</f>
        <v/>
      </c>
      <c r="L295" s="60" t="str">
        <f>IFERROR(INDEX('领用录入（明细）'!$B:$L,SMALL($B:$B,ROW(J289)),MATCH(L$7,$D$7:$L$7,0)),"")</f>
        <v/>
      </c>
      <c r="M295" s="60" t="str">
        <f t="shared" si="4"/>
        <v/>
      </c>
    </row>
    <row r="296" customHeight="1" spans="2:13">
      <c r="B296" s="62" t="str">
        <f>IF(AND('领用录入（明细）'!D:D=$F$4,'领用录入（明细）'!C:C&gt;=$J$4,'领用录入（明细）'!C:C&lt;=$L$4),ROW(),"-")</f>
        <v>-</v>
      </c>
      <c r="D296" s="59" t="str">
        <f>IFERROR(INDEX('领用录入（明细）'!$B:$L,SMALL($B:$B,ROW(B290)),MATCH(D$7,$D$7:$L$7,0)),"")</f>
        <v/>
      </c>
      <c r="E296" s="114" t="str">
        <f>IFERROR(INDEX('领用录入（明细）'!$B:$L,SMALL($B:$B,ROW(C290)),MATCH(E$7,$D$7:$L$7,0)),"")</f>
        <v/>
      </c>
      <c r="F296" s="60" t="str">
        <f>IFERROR(INDEX('领用录入（明细）'!$B:$L,SMALL($B:$B,ROW(D290)),MATCH(F$7,$D$7:$L$7,0)),"")</f>
        <v/>
      </c>
      <c r="G296" s="60" t="str">
        <f>IFERROR(INDEX('领用录入（明细）'!$B:$L,SMALL($B:$B,ROW(E290)),MATCH(G$7,$D$7:$L$7,0)),"")</f>
        <v/>
      </c>
      <c r="H296" s="60" t="str">
        <f>IFERROR(INDEX('领用录入（明细）'!$B:$L,SMALL($B:$B,ROW(F290)),MATCH(H$7,$D$7:$L$7,0)),"")</f>
        <v/>
      </c>
      <c r="I296" s="60" t="str">
        <f>IFERROR(INDEX('领用录入（明细）'!$B:$L,SMALL($B:$B,ROW(G290)),MATCH(I$7,$D$7:$L$7,0)),"")</f>
        <v/>
      </c>
      <c r="J296" s="60" t="str">
        <f>IFERROR(INDEX('领用录入（明细）'!$B:$L,SMALL($B:$B,ROW(H290)),MATCH(J$7,$D$7:$L$7,0)),"")</f>
        <v/>
      </c>
      <c r="K296" s="60" t="str">
        <f>IFERROR(INDEX('领用录入（明细）'!$B:$L,SMALL($B:$B,ROW(I290)),MATCH(K$7,$D$7:$L$7,0)),"")</f>
        <v/>
      </c>
      <c r="L296" s="60" t="str">
        <f>IFERROR(INDEX('领用录入（明细）'!$B:$L,SMALL($B:$B,ROW(J290)),MATCH(L$7,$D$7:$L$7,0)),"")</f>
        <v/>
      </c>
      <c r="M296" s="60" t="str">
        <f t="shared" si="4"/>
        <v/>
      </c>
    </row>
    <row r="297" customHeight="1" spans="2:13">
      <c r="B297" s="62" t="str">
        <f>IF(AND('领用录入（明细）'!D:D=$F$4,'领用录入（明细）'!C:C&gt;=$J$4,'领用录入（明细）'!C:C&lt;=$L$4),ROW(),"-")</f>
        <v>-</v>
      </c>
      <c r="D297" s="59" t="str">
        <f>IFERROR(INDEX('领用录入（明细）'!$B:$L,SMALL($B:$B,ROW(B291)),MATCH(D$7,$D$7:$L$7,0)),"")</f>
        <v/>
      </c>
      <c r="E297" s="114" t="str">
        <f>IFERROR(INDEX('领用录入（明细）'!$B:$L,SMALL($B:$B,ROW(C291)),MATCH(E$7,$D$7:$L$7,0)),"")</f>
        <v/>
      </c>
      <c r="F297" s="60" t="str">
        <f>IFERROR(INDEX('领用录入（明细）'!$B:$L,SMALL($B:$B,ROW(D291)),MATCH(F$7,$D$7:$L$7,0)),"")</f>
        <v/>
      </c>
      <c r="G297" s="60" t="str">
        <f>IFERROR(INDEX('领用录入（明细）'!$B:$L,SMALL($B:$B,ROW(E291)),MATCH(G$7,$D$7:$L$7,0)),"")</f>
        <v/>
      </c>
      <c r="H297" s="60" t="str">
        <f>IFERROR(INDEX('领用录入（明细）'!$B:$L,SMALL($B:$B,ROW(F291)),MATCH(H$7,$D$7:$L$7,0)),"")</f>
        <v/>
      </c>
      <c r="I297" s="60" t="str">
        <f>IFERROR(INDEX('领用录入（明细）'!$B:$L,SMALL($B:$B,ROW(G291)),MATCH(I$7,$D$7:$L$7,0)),"")</f>
        <v/>
      </c>
      <c r="J297" s="60" t="str">
        <f>IFERROR(INDEX('领用录入（明细）'!$B:$L,SMALL($B:$B,ROW(H291)),MATCH(J$7,$D$7:$L$7,0)),"")</f>
        <v/>
      </c>
      <c r="K297" s="60" t="str">
        <f>IFERROR(INDEX('领用录入（明细）'!$B:$L,SMALL($B:$B,ROW(I291)),MATCH(K$7,$D$7:$L$7,0)),"")</f>
        <v/>
      </c>
      <c r="L297" s="60" t="str">
        <f>IFERROR(INDEX('领用录入（明细）'!$B:$L,SMALL($B:$B,ROW(J291)),MATCH(L$7,$D$7:$L$7,0)),"")</f>
        <v/>
      </c>
      <c r="M297" s="60" t="str">
        <f t="shared" si="4"/>
        <v/>
      </c>
    </row>
    <row r="298" customHeight="1" spans="2:13">
      <c r="B298" s="62" t="str">
        <f>IF(AND('领用录入（明细）'!D:D=$F$4,'领用录入（明细）'!C:C&gt;=$J$4,'领用录入（明细）'!C:C&lt;=$L$4),ROW(),"-")</f>
        <v>-</v>
      </c>
      <c r="D298" s="59" t="str">
        <f>IFERROR(INDEX('领用录入（明细）'!$B:$L,SMALL($B:$B,ROW(B292)),MATCH(D$7,$D$7:$L$7,0)),"")</f>
        <v/>
      </c>
      <c r="E298" s="114" t="str">
        <f>IFERROR(INDEX('领用录入（明细）'!$B:$L,SMALL($B:$B,ROW(C292)),MATCH(E$7,$D$7:$L$7,0)),"")</f>
        <v/>
      </c>
      <c r="F298" s="60" t="str">
        <f>IFERROR(INDEX('领用录入（明细）'!$B:$L,SMALL($B:$B,ROW(D292)),MATCH(F$7,$D$7:$L$7,0)),"")</f>
        <v/>
      </c>
      <c r="G298" s="60" t="str">
        <f>IFERROR(INDEX('领用录入（明细）'!$B:$L,SMALL($B:$B,ROW(E292)),MATCH(G$7,$D$7:$L$7,0)),"")</f>
        <v/>
      </c>
      <c r="H298" s="60" t="str">
        <f>IFERROR(INDEX('领用录入（明细）'!$B:$L,SMALL($B:$B,ROW(F292)),MATCH(H$7,$D$7:$L$7,0)),"")</f>
        <v/>
      </c>
      <c r="I298" s="60" t="str">
        <f>IFERROR(INDEX('领用录入（明细）'!$B:$L,SMALL($B:$B,ROW(G292)),MATCH(I$7,$D$7:$L$7,0)),"")</f>
        <v/>
      </c>
      <c r="J298" s="60" t="str">
        <f>IFERROR(INDEX('领用录入（明细）'!$B:$L,SMALL($B:$B,ROW(H292)),MATCH(J$7,$D$7:$L$7,0)),"")</f>
        <v/>
      </c>
      <c r="K298" s="60" t="str">
        <f>IFERROR(INDEX('领用录入（明细）'!$B:$L,SMALL($B:$B,ROW(I292)),MATCH(K$7,$D$7:$L$7,0)),"")</f>
        <v/>
      </c>
      <c r="L298" s="60" t="str">
        <f>IFERROR(INDEX('领用录入（明细）'!$B:$L,SMALL($B:$B,ROW(J292)),MATCH(L$7,$D$7:$L$7,0)),"")</f>
        <v/>
      </c>
      <c r="M298" s="60" t="str">
        <f t="shared" si="4"/>
        <v/>
      </c>
    </row>
    <row r="299" customHeight="1" spans="2:13">
      <c r="B299" s="62" t="str">
        <f>IF(AND('领用录入（明细）'!D:D=$F$4,'领用录入（明细）'!C:C&gt;=$J$4,'领用录入（明细）'!C:C&lt;=$L$4),ROW(),"-")</f>
        <v>-</v>
      </c>
      <c r="D299" s="59" t="str">
        <f>IFERROR(INDEX('领用录入（明细）'!$B:$L,SMALL($B:$B,ROW(B293)),MATCH(D$7,$D$7:$L$7,0)),"")</f>
        <v/>
      </c>
      <c r="E299" s="114" t="str">
        <f>IFERROR(INDEX('领用录入（明细）'!$B:$L,SMALL($B:$B,ROW(C293)),MATCH(E$7,$D$7:$L$7,0)),"")</f>
        <v/>
      </c>
      <c r="F299" s="60" t="str">
        <f>IFERROR(INDEX('领用录入（明细）'!$B:$L,SMALL($B:$B,ROW(D293)),MATCH(F$7,$D$7:$L$7,0)),"")</f>
        <v/>
      </c>
      <c r="G299" s="60" t="str">
        <f>IFERROR(INDEX('领用录入（明细）'!$B:$L,SMALL($B:$B,ROW(E293)),MATCH(G$7,$D$7:$L$7,0)),"")</f>
        <v/>
      </c>
      <c r="H299" s="60" t="str">
        <f>IFERROR(INDEX('领用录入（明细）'!$B:$L,SMALL($B:$B,ROW(F293)),MATCH(H$7,$D$7:$L$7,0)),"")</f>
        <v/>
      </c>
      <c r="I299" s="60" t="str">
        <f>IFERROR(INDEX('领用录入（明细）'!$B:$L,SMALL($B:$B,ROW(G293)),MATCH(I$7,$D$7:$L$7,0)),"")</f>
        <v/>
      </c>
      <c r="J299" s="60" t="str">
        <f>IFERROR(INDEX('领用录入（明细）'!$B:$L,SMALL($B:$B,ROW(H293)),MATCH(J$7,$D$7:$L$7,0)),"")</f>
        <v/>
      </c>
      <c r="K299" s="60" t="str">
        <f>IFERROR(INDEX('领用录入（明细）'!$B:$L,SMALL($B:$B,ROW(I293)),MATCH(K$7,$D$7:$L$7,0)),"")</f>
        <v/>
      </c>
      <c r="L299" s="60" t="str">
        <f>IFERROR(INDEX('领用录入（明细）'!$B:$L,SMALL($B:$B,ROW(J293)),MATCH(L$7,$D$7:$L$7,0)),"")</f>
        <v/>
      </c>
      <c r="M299" s="60" t="str">
        <f t="shared" si="4"/>
        <v/>
      </c>
    </row>
    <row r="300" customHeight="1" spans="2:13">
      <c r="B300" s="62" t="str">
        <f>IF(AND('领用录入（明细）'!D:D=$F$4,'领用录入（明细）'!C:C&gt;=$J$4,'领用录入（明细）'!C:C&lt;=$L$4),ROW(),"-")</f>
        <v>-</v>
      </c>
      <c r="D300" s="59" t="str">
        <f>IFERROR(INDEX('领用录入（明细）'!$B:$L,SMALL($B:$B,ROW(B294)),MATCH(D$7,$D$7:$L$7,0)),"")</f>
        <v/>
      </c>
      <c r="E300" s="114" t="str">
        <f>IFERROR(INDEX('领用录入（明细）'!$B:$L,SMALL($B:$B,ROW(C294)),MATCH(E$7,$D$7:$L$7,0)),"")</f>
        <v/>
      </c>
      <c r="F300" s="60" t="str">
        <f>IFERROR(INDEX('领用录入（明细）'!$B:$L,SMALL($B:$B,ROW(D294)),MATCH(F$7,$D$7:$L$7,0)),"")</f>
        <v/>
      </c>
      <c r="G300" s="60" t="str">
        <f>IFERROR(INDEX('领用录入（明细）'!$B:$L,SMALL($B:$B,ROW(E294)),MATCH(G$7,$D$7:$L$7,0)),"")</f>
        <v/>
      </c>
      <c r="H300" s="60" t="str">
        <f>IFERROR(INDEX('领用录入（明细）'!$B:$L,SMALL($B:$B,ROW(F294)),MATCH(H$7,$D$7:$L$7,0)),"")</f>
        <v/>
      </c>
      <c r="I300" s="60" t="str">
        <f>IFERROR(INDEX('领用录入（明细）'!$B:$L,SMALL($B:$B,ROW(G294)),MATCH(I$7,$D$7:$L$7,0)),"")</f>
        <v/>
      </c>
      <c r="J300" s="60" t="str">
        <f>IFERROR(INDEX('领用录入（明细）'!$B:$L,SMALL($B:$B,ROW(H294)),MATCH(J$7,$D$7:$L$7,0)),"")</f>
        <v/>
      </c>
      <c r="K300" s="60" t="str">
        <f>IFERROR(INDEX('领用录入（明细）'!$B:$L,SMALL($B:$B,ROW(I294)),MATCH(K$7,$D$7:$L$7,0)),"")</f>
        <v/>
      </c>
      <c r="L300" s="60" t="str">
        <f>IFERROR(INDEX('领用录入（明细）'!$B:$L,SMALL($B:$B,ROW(J294)),MATCH(L$7,$D$7:$L$7,0)),"")</f>
        <v/>
      </c>
      <c r="M300" s="60" t="str">
        <f t="shared" si="4"/>
        <v/>
      </c>
    </row>
    <row r="301" customHeight="1" spans="2:13">
      <c r="B301" s="62" t="str">
        <f>IF(AND('领用录入（明细）'!D:D=$F$4,'领用录入（明细）'!C:C&gt;=$J$4,'领用录入（明细）'!C:C&lt;=$L$4),ROW(),"-")</f>
        <v>-</v>
      </c>
      <c r="D301" s="59" t="str">
        <f>IFERROR(INDEX('领用录入（明细）'!$B:$L,SMALL($B:$B,ROW(B295)),MATCH(D$7,$D$7:$L$7,0)),"")</f>
        <v/>
      </c>
      <c r="E301" s="114" t="str">
        <f>IFERROR(INDEX('领用录入（明细）'!$B:$L,SMALL($B:$B,ROW(C295)),MATCH(E$7,$D$7:$L$7,0)),"")</f>
        <v/>
      </c>
      <c r="F301" s="60" t="str">
        <f>IFERROR(INDEX('领用录入（明细）'!$B:$L,SMALL($B:$B,ROW(D295)),MATCH(F$7,$D$7:$L$7,0)),"")</f>
        <v/>
      </c>
      <c r="G301" s="60" t="str">
        <f>IFERROR(INDEX('领用录入（明细）'!$B:$L,SMALL($B:$B,ROW(E295)),MATCH(G$7,$D$7:$L$7,0)),"")</f>
        <v/>
      </c>
      <c r="H301" s="60" t="str">
        <f>IFERROR(INDEX('领用录入（明细）'!$B:$L,SMALL($B:$B,ROW(F295)),MATCH(H$7,$D$7:$L$7,0)),"")</f>
        <v/>
      </c>
      <c r="I301" s="60" t="str">
        <f>IFERROR(INDEX('领用录入（明细）'!$B:$L,SMALL($B:$B,ROW(G295)),MATCH(I$7,$D$7:$L$7,0)),"")</f>
        <v/>
      </c>
      <c r="J301" s="60" t="str">
        <f>IFERROR(INDEX('领用录入（明细）'!$B:$L,SMALL($B:$B,ROW(H295)),MATCH(J$7,$D$7:$L$7,0)),"")</f>
        <v/>
      </c>
      <c r="K301" s="60" t="str">
        <f>IFERROR(INDEX('领用录入（明细）'!$B:$L,SMALL($B:$B,ROW(I295)),MATCH(K$7,$D$7:$L$7,0)),"")</f>
        <v/>
      </c>
      <c r="L301" s="60" t="str">
        <f>IFERROR(INDEX('领用录入（明细）'!$B:$L,SMALL($B:$B,ROW(J295)),MATCH(L$7,$D$7:$L$7,0)),"")</f>
        <v/>
      </c>
      <c r="M301" s="60" t="str">
        <f t="shared" si="4"/>
        <v/>
      </c>
    </row>
    <row r="302" customHeight="1" spans="2:13">
      <c r="B302" s="62" t="str">
        <f>IF(AND('领用录入（明细）'!D:D=$F$4,'领用录入（明细）'!C:C&gt;=$J$4,'领用录入（明细）'!C:C&lt;=$L$4),ROW(),"-")</f>
        <v>-</v>
      </c>
      <c r="D302" s="59" t="str">
        <f>IFERROR(INDEX('领用录入（明细）'!$B:$L,SMALL($B:$B,ROW(B296)),MATCH(D$7,$D$7:$L$7,0)),"")</f>
        <v/>
      </c>
      <c r="E302" s="114" t="str">
        <f>IFERROR(INDEX('领用录入（明细）'!$B:$L,SMALL($B:$B,ROW(C296)),MATCH(E$7,$D$7:$L$7,0)),"")</f>
        <v/>
      </c>
      <c r="F302" s="60" t="str">
        <f>IFERROR(INDEX('领用录入（明细）'!$B:$L,SMALL($B:$B,ROW(D296)),MATCH(F$7,$D$7:$L$7,0)),"")</f>
        <v/>
      </c>
      <c r="G302" s="60" t="str">
        <f>IFERROR(INDEX('领用录入（明细）'!$B:$L,SMALL($B:$B,ROW(E296)),MATCH(G$7,$D$7:$L$7,0)),"")</f>
        <v/>
      </c>
      <c r="H302" s="60" t="str">
        <f>IFERROR(INDEX('领用录入（明细）'!$B:$L,SMALL($B:$B,ROW(F296)),MATCH(H$7,$D$7:$L$7,0)),"")</f>
        <v/>
      </c>
      <c r="I302" s="60" t="str">
        <f>IFERROR(INDEX('领用录入（明细）'!$B:$L,SMALL($B:$B,ROW(G296)),MATCH(I$7,$D$7:$L$7,0)),"")</f>
        <v/>
      </c>
      <c r="J302" s="60" t="str">
        <f>IFERROR(INDEX('领用录入（明细）'!$B:$L,SMALL($B:$B,ROW(H296)),MATCH(J$7,$D$7:$L$7,0)),"")</f>
        <v/>
      </c>
      <c r="K302" s="60" t="str">
        <f>IFERROR(INDEX('领用录入（明细）'!$B:$L,SMALL($B:$B,ROW(I296)),MATCH(K$7,$D$7:$L$7,0)),"")</f>
        <v/>
      </c>
      <c r="L302" s="60" t="str">
        <f>IFERROR(INDEX('领用录入（明细）'!$B:$L,SMALL($B:$B,ROW(J296)),MATCH(L$7,$D$7:$L$7,0)),"")</f>
        <v/>
      </c>
      <c r="M302" s="60" t="str">
        <f t="shared" si="4"/>
        <v/>
      </c>
    </row>
    <row r="303" customHeight="1" spans="2:13">
      <c r="B303" s="62" t="str">
        <f>IF(AND('领用录入（明细）'!D:D=$F$4,'领用录入（明细）'!C:C&gt;=$J$4,'领用录入（明细）'!C:C&lt;=$L$4),ROW(),"-")</f>
        <v>-</v>
      </c>
      <c r="D303" s="59" t="str">
        <f>IFERROR(INDEX('领用录入（明细）'!$B:$L,SMALL($B:$B,ROW(B297)),MATCH(D$7,$D$7:$L$7,0)),"")</f>
        <v/>
      </c>
      <c r="E303" s="114" t="str">
        <f>IFERROR(INDEX('领用录入（明细）'!$B:$L,SMALL($B:$B,ROW(C297)),MATCH(E$7,$D$7:$L$7,0)),"")</f>
        <v/>
      </c>
      <c r="F303" s="60" t="str">
        <f>IFERROR(INDEX('领用录入（明细）'!$B:$L,SMALL($B:$B,ROW(D297)),MATCH(F$7,$D$7:$L$7,0)),"")</f>
        <v/>
      </c>
      <c r="G303" s="60" t="str">
        <f>IFERROR(INDEX('领用录入（明细）'!$B:$L,SMALL($B:$B,ROW(E297)),MATCH(G$7,$D$7:$L$7,0)),"")</f>
        <v/>
      </c>
      <c r="H303" s="60" t="str">
        <f>IFERROR(INDEX('领用录入（明细）'!$B:$L,SMALL($B:$B,ROW(F297)),MATCH(H$7,$D$7:$L$7,0)),"")</f>
        <v/>
      </c>
      <c r="I303" s="60" t="str">
        <f>IFERROR(INDEX('领用录入（明细）'!$B:$L,SMALL($B:$B,ROW(G297)),MATCH(I$7,$D$7:$L$7,0)),"")</f>
        <v/>
      </c>
      <c r="J303" s="60" t="str">
        <f>IFERROR(INDEX('领用录入（明细）'!$B:$L,SMALL($B:$B,ROW(H297)),MATCH(J$7,$D$7:$L$7,0)),"")</f>
        <v/>
      </c>
      <c r="K303" s="60" t="str">
        <f>IFERROR(INDEX('领用录入（明细）'!$B:$L,SMALL($B:$B,ROW(I297)),MATCH(K$7,$D$7:$L$7,0)),"")</f>
        <v/>
      </c>
      <c r="L303" s="60" t="str">
        <f>IFERROR(INDEX('领用录入（明细）'!$B:$L,SMALL($B:$B,ROW(J297)),MATCH(L$7,$D$7:$L$7,0)),"")</f>
        <v/>
      </c>
      <c r="M303" s="60" t="str">
        <f t="shared" si="4"/>
        <v/>
      </c>
    </row>
    <row r="304" customHeight="1" spans="2:13">
      <c r="B304" s="62" t="str">
        <f>IF(AND('领用录入（明细）'!D:D=$F$4,'领用录入（明细）'!C:C&gt;=$J$4,'领用录入（明细）'!C:C&lt;=$L$4),ROW(),"-")</f>
        <v>-</v>
      </c>
      <c r="D304" s="59" t="str">
        <f>IFERROR(INDEX('领用录入（明细）'!$B:$L,SMALL($B:$B,ROW(B298)),MATCH(D$7,$D$7:$L$7,0)),"")</f>
        <v/>
      </c>
      <c r="E304" s="114" t="str">
        <f>IFERROR(INDEX('领用录入（明细）'!$B:$L,SMALL($B:$B,ROW(C298)),MATCH(E$7,$D$7:$L$7,0)),"")</f>
        <v/>
      </c>
      <c r="F304" s="60" t="str">
        <f>IFERROR(INDEX('领用录入（明细）'!$B:$L,SMALL($B:$B,ROW(D298)),MATCH(F$7,$D$7:$L$7,0)),"")</f>
        <v/>
      </c>
      <c r="G304" s="60" t="str">
        <f>IFERROR(INDEX('领用录入（明细）'!$B:$L,SMALL($B:$B,ROW(E298)),MATCH(G$7,$D$7:$L$7,0)),"")</f>
        <v/>
      </c>
      <c r="H304" s="60" t="str">
        <f>IFERROR(INDEX('领用录入（明细）'!$B:$L,SMALL($B:$B,ROW(F298)),MATCH(H$7,$D$7:$L$7,0)),"")</f>
        <v/>
      </c>
      <c r="I304" s="60" t="str">
        <f>IFERROR(INDEX('领用录入（明细）'!$B:$L,SMALL($B:$B,ROW(G298)),MATCH(I$7,$D$7:$L$7,0)),"")</f>
        <v/>
      </c>
      <c r="J304" s="60" t="str">
        <f>IFERROR(INDEX('领用录入（明细）'!$B:$L,SMALL($B:$B,ROW(H298)),MATCH(J$7,$D$7:$L$7,0)),"")</f>
        <v/>
      </c>
      <c r="K304" s="60" t="str">
        <f>IFERROR(INDEX('领用录入（明细）'!$B:$L,SMALL($B:$B,ROW(I298)),MATCH(K$7,$D$7:$L$7,0)),"")</f>
        <v/>
      </c>
      <c r="L304" s="60" t="str">
        <f>IFERROR(INDEX('领用录入（明细）'!$B:$L,SMALL($B:$B,ROW(J298)),MATCH(L$7,$D$7:$L$7,0)),"")</f>
        <v/>
      </c>
      <c r="M304" s="60" t="str">
        <f t="shared" si="4"/>
        <v/>
      </c>
    </row>
    <row r="305" customHeight="1" spans="2:13">
      <c r="B305" s="62" t="str">
        <f>IF(AND('领用录入（明细）'!D:D=$F$4,'领用录入（明细）'!C:C&gt;=$J$4,'领用录入（明细）'!C:C&lt;=$L$4),ROW(),"-")</f>
        <v>-</v>
      </c>
      <c r="D305" s="59" t="str">
        <f>IFERROR(INDEX('领用录入（明细）'!$B:$L,SMALL($B:$B,ROW(B299)),MATCH(D$7,$D$7:$L$7,0)),"")</f>
        <v/>
      </c>
      <c r="E305" s="114" t="str">
        <f>IFERROR(INDEX('领用录入（明细）'!$B:$L,SMALL($B:$B,ROW(C299)),MATCH(E$7,$D$7:$L$7,0)),"")</f>
        <v/>
      </c>
      <c r="F305" s="60" t="str">
        <f>IFERROR(INDEX('领用录入（明细）'!$B:$L,SMALL($B:$B,ROW(D299)),MATCH(F$7,$D$7:$L$7,0)),"")</f>
        <v/>
      </c>
      <c r="G305" s="60" t="str">
        <f>IFERROR(INDEX('领用录入（明细）'!$B:$L,SMALL($B:$B,ROW(E299)),MATCH(G$7,$D$7:$L$7,0)),"")</f>
        <v/>
      </c>
      <c r="H305" s="60" t="str">
        <f>IFERROR(INDEX('领用录入（明细）'!$B:$L,SMALL($B:$B,ROW(F299)),MATCH(H$7,$D$7:$L$7,0)),"")</f>
        <v/>
      </c>
      <c r="I305" s="60" t="str">
        <f>IFERROR(INDEX('领用录入（明细）'!$B:$L,SMALL($B:$B,ROW(G299)),MATCH(I$7,$D$7:$L$7,0)),"")</f>
        <v/>
      </c>
      <c r="J305" s="60" t="str">
        <f>IFERROR(INDEX('领用录入（明细）'!$B:$L,SMALL($B:$B,ROW(H299)),MATCH(J$7,$D$7:$L$7,0)),"")</f>
        <v/>
      </c>
      <c r="K305" s="60" t="str">
        <f>IFERROR(INDEX('领用录入（明细）'!$B:$L,SMALL($B:$B,ROW(I299)),MATCH(K$7,$D$7:$L$7,0)),"")</f>
        <v/>
      </c>
      <c r="L305" s="60" t="str">
        <f>IFERROR(INDEX('领用录入（明细）'!$B:$L,SMALL($B:$B,ROW(J299)),MATCH(L$7,$D$7:$L$7,0)),"")</f>
        <v/>
      </c>
      <c r="M305" s="60" t="str">
        <f t="shared" si="4"/>
        <v/>
      </c>
    </row>
    <row r="306" customHeight="1" spans="2:13">
      <c r="B306" s="62" t="str">
        <f>IF(AND('领用录入（明细）'!D:D=$F$4,'领用录入（明细）'!C:C&gt;=$J$4,'领用录入（明细）'!C:C&lt;=$L$4),ROW(),"-")</f>
        <v>-</v>
      </c>
      <c r="D306" s="59" t="str">
        <f>IFERROR(INDEX('领用录入（明细）'!$B:$L,SMALL($B:$B,ROW(B300)),MATCH(D$7,$D$7:$L$7,0)),"")</f>
        <v/>
      </c>
      <c r="E306" s="114" t="str">
        <f>IFERROR(INDEX('领用录入（明细）'!$B:$L,SMALL($B:$B,ROW(C300)),MATCH(E$7,$D$7:$L$7,0)),"")</f>
        <v/>
      </c>
      <c r="F306" s="60" t="str">
        <f>IFERROR(INDEX('领用录入（明细）'!$B:$L,SMALL($B:$B,ROW(D300)),MATCH(F$7,$D$7:$L$7,0)),"")</f>
        <v/>
      </c>
      <c r="G306" s="60" t="str">
        <f>IFERROR(INDEX('领用录入（明细）'!$B:$L,SMALL($B:$B,ROW(E300)),MATCH(G$7,$D$7:$L$7,0)),"")</f>
        <v/>
      </c>
      <c r="H306" s="60" t="str">
        <f>IFERROR(INDEX('领用录入（明细）'!$B:$L,SMALL($B:$B,ROW(F300)),MATCH(H$7,$D$7:$L$7,0)),"")</f>
        <v/>
      </c>
      <c r="I306" s="60" t="str">
        <f>IFERROR(INDEX('领用录入（明细）'!$B:$L,SMALL($B:$B,ROW(G300)),MATCH(I$7,$D$7:$L$7,0)),"")</f>
        <v/>
      </c>
      <c r="J306" s="60" t="str">
        <f>IFERROR(INDEX('领用录入（明细）'!$B:$L,SMALL($B:$B,ROW(H300)),MATCH(J$7,$D$7:$L$7,0)),"")</f>
        <v/>
      </c>
      <c r="K306" s="60" t="str">
        <f>IFERROR(INDEX('领用录入（明细）'!$B:$L,SMALL($B:$B,ROW(I300)),MATCH(K$7,$D$7:$L$7,0)),"")</f>
        <v/>
      </c>
      <c r="L306" s="60" t="str">
        <f>IFERROR(INDEX('领用录入（明细）'!$B:$L,SMALL($B:$B,ROW(J300)),MATCH(L$7,$D$7:$L$7,0)),"")</f>
        <v/>
      </c>
      <c r="M306" s="60" t="str">
        <f t="shared" si="4"/>
        <v/>
      </c>
    </row>
    <row r="307" customHeight="1" spans="2:13">
      <c r="B307" s="62" t="str">
        <f>IF(AND('领用录入（明细）'!D:D=$F$4,'领用录入（明细）'!C:C&gt;=$J$4,'领用录入（明细）'!C:C&lt;=$L$4),ROW(),"-")</f>
        <v>-</v>
      </c>
      <c r="D307" s="59" t="str">
        <f>IFERROR(INDEX('领用录入（明细）'!$B:$L,SMALL($B:$B,ROW(B301)),MATCH(D$7,$D$7:$L$7,0)),"")</f>
        <v/>
      </c>
      <c r="E307" s="114" t="str">
        <f>IFERROR(INDEX('领用录入（明细）'!$B:$L,SMALL($B:$B,ROW(C301)),MATCH(E$7,$D$7:$L$7,0)),"")</f>
        <v/>
      </c>
      <c r="F307" s="60" t="str">
        <f>IFERROR(INDEX('领用录入（明细）'!$B:$L,SMALL($B:$B,ROW(D301)),MATCH(F$7,$D$7:$L$7,0)),"")</f>
        <v/>
      </c>
      <c r="G307" s="60" t="str">
        <f>IFERROR(INDEX('领用录入（明细）'!$B:$L,SMALL($B:$B,ROW(E301)),MATCH(G$7,$D$7:$L$7,0)),"")</f>
        <v/>
      </c>
      <c r="H307" s="60" t="str">
        <f>IFERROR(INDEX('领用录入（明细）'!$B:$L,SMALL($B:$B,ROW(F301)),MATCH(H$7,$D$7:$L$7,0)),"")</f>
        <v/>
      </c>
      <c r="I307" s="60" t="str">
        <f>IFERROR(INDEX('领用录入（明细）'!$B:$L,SMALL($B:$B,ROW(G301)),MATCH(I$7,$D$7:$L$7,0)),"")</f>
        <v/>
      </c>
      <c r="J307" s="60" t="str">
        <f>IFERROR(INDEX('领用录入（明细）'!$B:$L,SMALL($B:$B,ROW(H301)),MATCH(J$7,$D$7:$L$7,0)),"")</f>
        <v/>
      </c>
      <c r="K307" s="60" t="str">
        <f>IFERROR(INDEX('领用录入（明细）'!$B:$L,SMALL($B:$B,ROW(I301)),MATCH(K$7,$D$7:$L$7,0)),"")</f>
        <v/>
      </c>
      <c r="L307" s="60" t="str">
        <f>IFERROR(INDEX('领用录入（明细）'!$B:$L,SMALL($B:$B,ROW(J301)),MATCH(L$7,$D$7:$L$7,0)),"")</f>
        <v/>
      </c>
      <c r="M307" s="60" t="str">
        <f t="shared" si="4"/>
        <v/>
      </c>
    </row>
    <row r="308" customHeight="1" spans="2:13">
      <c r="B308" s="62" t="str">
        <f>IF(AND('领用录入（明细）'!D:D=$F$4,'领用录入（明细）'!C:C&gt;=$J$4,'领用录入（明细）'!C:C&lt;=$L$4),ROW(),"-")</f>
        <v>-</v>
      </c>
      <c r="D308" s="59" t="str">
        <f>IFERROR(INDEX('领用录入（明细）'!$B:$L,SMALL($B:$B,ROW(B302)),MATCH(D$7,$D$7:$L$7,0)),"")</f>
        <v/>
      </c>
      <c r="E308" s="114" t="str">
        <f>IFERROR(INDEX('领用录入（明细）'!$B:$L,SMALL($B:$B,ROW(C302)),MATCH(E$7,$D$7:$L$7,0)),"")</f>
        <v/>
      </c>
      <c r="F308" s="60" t="str">
        <f>IFERROR(INDEX('领用录入（明细）'!$B:$L,SMALL($B:$B,ROW(D302)),MATCH(F$7,$D$7:$L$7,0)),"")</f>
        <v/>
      </c>
      <c r="G308" s="60" t="str">
        <f>IFERROR(INDEX('领用录入（明细）'!$B:$L,SMALL($B:$B,ROW(E302)),MATCH(G$7,$D$7:$L$7,0)),"")</f>
        <v/>
      </c>
      <c r="H308" s="60" t="str">
        <f>IFERROR(INDEX('领用录入（明细）'!$B:$L,SMALL($B:$B,ROW(F302)),MATCH(H$7,$D$7:$L$7,0)),"")</f>
        <v/>
      </c>
      <c r="I308" s="60" t="str">
        <f>IFERROR(INDEX('领用录入（明细）'!$B:$L,SMALL($B:$B,ROW(G302)),MATCH(I$7,$D$7:$L$7,0)),"")</f>
        <v/>
      </c>
      <c r="J308" s="60" t="str">
        <f>IFERROR(INDEX('领用录入（明细）'!$B:$L,SMALL($B:$B,ROW(H302)),MATCH(J$7,$D$7:$L$7,0)),"")</f>
        <v/>
      </c>
      <c r="K308" s="60" t="str">
        <f>IFERROR(INDEX('领用录入（明细）'!$B:$L,SMALL($B:$B,ROW(I302)),MATCH(K$7,$D$7:$L$7,0)),"")</f>
        <v/>
      </c>
      <c r="L308" s="60" t="str">
        <f>IFERROR(INDEX('领用录入（明细）'!$B:$L,SMALL($B:$B,ROW(J302)),MATCH(L$7,$D$7:$L$7,0)),"")</f>
        <v/>
      </c>
      <c r="M308" s="60" t="str">
        <f t="shared" si="4"/>
        <v/>
      </c>
    </row>
    <row r="309" customHeight="1" spans="2:13">
      <c r="B309" s="62" t="str">
        <f>IF(AND('领用录入（明细）'!D:D=$F$4,'领用录入（明细）'!C:C&gt;=$J$4,'领用录入（明细）'!C:C&lt;=$L$4),ROW(),"-")</f>
        <v>-</v>
      </c>
      <c r="D309" s="59" t="str">
        <f>IFERROR(INDEX('领用录入（明细）'!$B:$L,SMALL($B:$B,ROW(B303)),MATCH(D$7,$D$7:$L$7,0)),"")</f>
        <v/>
      </c>
      <c r="E309" s="114" t="str">
        <f>IFERROR(INDEX('领用录入（明细）'!$B:$L,SMALL($B:$B,ROW(C303)),MATCH(E$7,$D$7:$L$7,0)),"")</f>
        <v/>
      </c>
      <c r="F309" s="60" t="str">
        <f>IFERROR(INDEX('领用录入（明细）'!$B:$L,SMALL($B:$B,ROW(D303)),MATCH(F$7,$D$7:$L$7,0)),"")</f>
        <v/>
      </c>
      <c r="G309" s="60" t="str">
        <f>IFERROR(INDEX('领用录入（明细）'!$B:$L,SMALL($B:$B,ROW(E303)),MATCH(G$7,$D$7:$L$7,0)),"")</f>
        <v/>
      </c>
      <c r="H309" s="60" t="str">
        <f>IFERROR(INDEX('领用录入（明细）'!$B:$L,SMALL($B:$B,ROW(F303)),MATCH(H$7,$D$7:$L$7,0)),"")</f>
        <v/>
      </c>
      <c r="I309" s="60" t="str">
        <f>IFERROR(INDEX('领用录入（明细）'!$B:$L,SMALL($B:$B,ROW(G303)),MATCH(I$7,$D$7:$L$7,0)),"")</f>
        <v/>
      </c>
      <c r="J309" s="60" t="str">
        <f>IFERROR(INDEX('领用录入（明细）'!$B:$L,SMALL($B:$B,ROW(H303)),MATCH(J$7,$D$7:$L$7,0)),"")</f>
        <v/>
      </c>
      <c r="K309" s="60" t="str">
        <f>IFERROR(INDEX('领用录入（明细）'!$B:$L,SMALL($B:$B,ROW(I303)),MATCH(K$7,$D$7:$L$7,0)),"")</f>
        <v/>
      </c>
      <c r="L309" s="60" t="str">
        <f>IFERROR(INDEX('领用录入（明细）'!$B:$L,SMALL($B:$B,ROW(J303)),MATCH(L$7,$D$7:$L$7,0)),"")</f>
        <v/>
      </c>
      <c r="M309" s="60" t="str">
        <f t="shared" si="4"/>
        <v/>
      </c>
    </row>
    <row r="310" customHeight="1" spans="2:13">
      <c r="B310" s="62" t="str">
        <f>IF(AND('领用录入（明细）'!D:D=$F$4,'领用录入（明细）'!C:C&gt;=$J$4,'领用录入（明细）'!C:C&lt;=$L$4),ROW(),"-")</f>
        <v>-</v>
      </c>
      <c r="D310" s="59" t="str">
        <f>IFERROR(INDEX('领用录入（明细）'!$B:$L,SMALL($B:$B,ROW(B304)),MATCH(D$7,$D$7:$L$7,0)),"")</f>
        <v/>
      </c>
      <c r="E310" s="114" t="str">
        <f>IFERROR(INDEX('领用录入（明细）'!$B:$L,SMALL($B:$B,ROW(C304)),MATCH(E$7,$D$7:$L$7,0)),"")</f>
        <v/>
      </c>
      <c r="F310" s="60" t="str">
        <f>IFERROR(INDEX('领用录入（明细）'!$B:$L,SMALL($B:$B,ROW(D304)),MATCH(F$7,$D$7:$L$7,0)),"")</f>
        <v/>
      </c>
      <c r="G310" s="60" t="str">
        <f>IFERROR(INDEX('领用录入（明细）'!$B:$L,SMALL($B:$B,ROW(E304)),MATCH(G$7,$D$7:$L$7,0)),"")</f>
        <v/>
      </c>
      <c r="H310" s="60" t="str">
        <f>IFERROR(INDEX('领用录入（明细）'!$B:$L,SMALL($B:$B,ROW(F304)),MATCH(H$7,$D$7:$L$7,0)),"")</f>
        <v/>
      </c>
      <c r="I310" s="60" t="str">
        <f>IFERROR(INDEX('领用录入（明细）'!$B:$L,SMALL($B:$B,ROW(G304)),MATCH(I$7,$D$7:$L$7,0)),"")</f>
        <v/>
      </c>
      <c r="J310" s="60" t="str">
        <f>IFERROR(INDEX('领用录入（明细）'!$B:$L,SMALL($B:$B,ROW(H304)),MATCH(J$7,$D$7:$L$7,0)),"")</f>
        <v/>
      </c>
      <c r="K310" s="60" t="str">
        <f>IFERROR(INDEX('领用录入（明细）'!$B:$L,SMALL($B:$B,ROW(I304)),MATCH(K$7,$D$7:$L$7,0)),"")</f>
        <v/>
      </c>
      <c r="L310" s="60" t="str">
        <f>IFERROR(INDEX('领用录入（明细）'!$B:$L,SMALL($B:$B,ROW(J304)),MATCH(L$7,$D$7:$L$7,0)),"")</f>
        <v/>
      </c>
      <c r="M310" s="60" t="str">
        <f t="shared" si="4"/>
        <v/>
      </c>
    </row>
    <row r="311" customHeight="1" spans="2:13">
      <c r="B311" s="62" t="str">
        <f>IF(AND('领用录入（明细）'!D:D=$F$4,'领用录入（明细）'!C:C&gt;=$J$4,'领用录入（明细）'!C:C&lt;=$L$4),ROW(),"-")</f>
        <v>-</v>
      </c>
      <c r="D311" s="59" t="str">
        <f>IFERROR(INDEX('领用录入（明细）'!$B:$L,SMALL($B:$B,ROW(B305)),MATCH(D$7,$D$7:$L$7,0)),"")</f>
        <v/>
      </c>
      <c r="E311" s="114" t="str">
        <f>IFERROR(INDEX('领用录入（明细）'!$B:$L,SMALL($B:$B,ROW(C305)),MATCH(E$7,$D$7:$L$7,0)),"")</f>
        <v/>
      </c>
      <c r="F311" s="60" t="str">
        <f>IFERROR(INDEX('领用录入（明细）'!$B:$L,SMALL($B:$B,ROW(D305)),MATCH(F$7,$D$7:$L$7,0)),"")</f>
        <v/>
      </c>
      <c r="G311" s="60" t="str">
        <f>IFERROR(INDEX('领用录入（明细）'!$B:$L,SMALL($B:$B,ROW(E305)),MATCH(G$7,$D$7:$L$7,0)),"")</f>
        <v/>
      </c>
      <c r="H311" s="60" t="str">
        <f>IFERROR(INDEX('领用录入（明细）'!$B:$L,SMALL($B:$B,ROW(F305)),MATCH(H$7,$D$7:$L$7,0)),"")</f>
        <v/>
      </c>
      <c r="I311" s="60" t="str">
        <f>IFERROR(INDEX('领用录入（明细）'!$B:$L,SMALL($B:$B,ROW(G305)),MATCH(I$7,$D$7:$L$7,0)),"")</f>
        <v/>
      </c>
      <c r="J311" s="60" t="str">
        <f>IFERROR(INDEX('领用录入（明细）'!$B:$L,SMALL($B:$B,ROW(H305)),MATCH(J$7,$D$7:$L$7,0)),"")</f>
        <v/>
      </c>
      <c r="K311" s="60" t="str">
        <f>IFERROR(INDEX('领用录入（明细）'!$B:$L,SMALL($B:$B,ROW(I305)),MATCH(K$7,$D$7:$L$7,0)),"")</f>
        <v/>
      </c>
      <c r="L311" s="60" t="str">
        <f>IFERROR(INDEX('领用录入（明细）'!$B:$L,SMALL($B:$B,ROW(J305)),MATCH(L$7,$D$7:$L$7,0)),"")</f>
        <v/>
      </c>
      <c r="M311" s="60" t="str">
        <f t="shared" si="4"/>
        <v/>
      </c>
    </row>
    <row r="312" customHeight="1" spans="2:13">
      <c r="B312" s="62" t="str">
        <f>IF(AND('领用录入（明细）'!D:D=$F$4,'领用录入（明细）'!C:C&gt;=$J$4,'领用录入（明细）'!C:C&lt;=$L$4),ROW(),"-")</f>
        <v>-</v>
      </c>
      <c r="D312" s="59" t="str">
        <f>IFERROR(INDEX('领用录入（明细）'!$B:$L,SMALL($B:$B,ROW(B306)),MATCH(D$7,$D$7:$L$7,0)),"")</f>
        <v/>
      </c>
      <c r="E312" s="114" t="str">
        <f>IFERROR(INDEX('领用录入（明细）'!$B:$L,SMALL($B:$B,ROW(C306)),MATCH(E$7,$D$7:$L$7,0)),"")</f>
        <v/>
      </c>
      <c r="F312" s="60" t="str">
        <f>IFERROR(INDEX('领用录入（明细）'!$B:$L,SMALL($B:$B,ROW(D306)),MATCH(F$7,$D$7:$L$7,0)),"")</f>
        <v/>
      </c>
      <c r="G312" s="60" t="str">
        <f>IFERROR(INDEX('领用录入（明细）'!$B:$L,SMALL($B:$B,ROW(E306)),MATCH(G$7,$D$7:$L$7,0)),"")</f>
        <v/>
      </c>
      <c r="H312" s="60" t="str">
        <f>IFERROR(INDEX('领用录入（明细）'!$B:$L,SMALL($B:$B,ROW(F306)),MATCH(H$7,$D$7:$L$7,0)),"")</f>
        <v/>
      </c>
      <c r="I312" s="60" t="str">
        <f>IFERROR(INDEX('领用录入（明细）'!$B:$L,SMALL($B:$B,ROW(G306)),MATCH(I$7,$D$7:$L$7,0)),"")</f>
        <v/>
      </c>
      <c r="J312" s="60" t="str">
        <f>IFERROR(INDEX('领用录入（明细）'!$B:$L,SMALL($B:$B,ROW(H306)),MATCH(J$7,$D$7:$L$7,0)),"")</f>
        <v/>
      </c>
      <c r="K312" s="60" t="str">
        <f>IFERROR(INDEX('领用录入（明细）'!$B:$L,SMALL($B:$B,ROW(I306)),MATCH(K$7,$D$7:$L$7,0)),"")</f>
        <v/>
      </c>
      <c r="L312" s="60" t="str">
        <f>IFERROR(INDEX('领用录入（明细）'!$B:$L,SMALL($B:$B,ROW(J306)),MATCH(L$7,$D$7:$L$7,0)),"")</f>
        <v/>
      </c>
      <c r="M312" s="60" t="str">
        <f t="shared" si="4"/>
        <v/>
      </c>
    </row>
    <row r="313" customHeight="1" spans="2:13">
      <c r="B313" s="62" t="str">
        <f>IF(AND('领用录入（明细）'!D:D=$F$4,'领用录入（明细）'!C:C&gt;=$J$4,'领用录入（明细）'!C:C&lt;=$L$4),ROW(),"-")</f>
        <v>-</v>
      </c>
      <c r="D313" s="59" t="str">
        <f>IFERROR(INDEX('领用录入（明细）'!$B:$L,SMALL($B:$B,ROW(B307)),MATCH(D$7,$D$7:$L$7,0)),"")</f>
        <v/>
      </c>
      <c r="E313" s="114" t="str">
        <f>IFERROR(INDEX('领用录入（明细）'!$B:$L,SMALL($B:$B,ROW(C307)),MATCH(E$7,$D$7:$L$7,0)),"")</f>
        <v/>
      </c>
      <c r="F313" s="60" t="str">
        <f>IFERROR(INDEX('领用录入（明细）'!$B:$L,SMALL($B:$B,ROW(D307)),MATCH(F$7,$D$7:$L$7,0)),"")</f>
        <v/>
      </c>
      <c r="G313" s="60" t="str">
        <f>IFERROR(INDEX('领用录入（明细）'!$B:$L,SMALL($B:$B,ROW(E307)),MATCH(G$7,$D$7:$L$7,0)),"")</f>
        <v/>
      </c>
      <c r="H313" s="60" t="str">
        <f>IFERROR(INDEX('领用录入（明细）'!$B:$L,SMALL($B:$B,ROW(F307)),MATCH(H$7,$D$7:$L$7,0)),"")</f>
        <v/>
      </c>
      <c r="I313" s="60" t="str">
        <f>IFERROR(INDEX('领用录入（明细）'!$B:$L,SMALL($B:$B,ROW(G307)),MATCH(I$7,$D$7:$L$7,0)),"")</f>
        <v/>
      </c>
      <c r="J313" s="60" t="str">
        <f>IFERROR(INDEX('领用录入（明细）'!$B:$L,SMALL($B:$B,ROW(H307)),MATCH(J$7,$D$7:$L$7,0)),"")</f>
        <v/>
      </c>
      <c r="K313" s="60" t="str">
        <f>IFERROR(INDEX('领用录入（明细）'!$B:$L,SMALL($B:$B,ROW(I307)),MATCH(K$7,$D$7:$L$7,0)),"")</f>
        <v/>
      </c>
      <c r="L313" s="60" t="str">
        <f>IFERROR(INDEX('领用录入（明细）'!$B:$L,SMALL($B:$B,ROW(J307)),MATCH(L$7,$D$7:$L$7,0)),"")</f>
        <v/>
      </c>
      <c r="M313" s="60" t="str">
        <f t="shared" si="4"/>
        <v/>
      </c>
    </row>
    <row r="314" customHeight="1" spans="2:13">
      <c r="B314" s="62" t="str">
        <f>IF(AND('领用录入（明细）'!D:D=$F$4,'领用录入（明细）'!C:C&gt;=$J$4,'领用录入（明细）'!C:C&lt;=$L$4),ROW(),"-")</f>
        <v>-</v>
      </c>
      <c r="D314" s="59" t="str">
        <f>IFERROR(INDEX('领用录入（明细）'!$B:$L,SMALL($B:$B,ROW(B308)),MATCH(D$7,$D$7:$L$7,0)),"")</f>
        <v/>
      </c>
      <c r="E314" s="114" t="str">
        <f>IFERROR(INDEX('领用录入（明细）'!$B:$L,SMALL($B:$B,ROW(C308)),MATCH(E$7,$D$7:$L$7,0)),"")</f>
        <v/>
      </c>
      <c r="F314" s="60" t="str">
        <f>IFERROR(INDEX('领用录入（明细）'!$B:$L,SMALL($B:$B,ROW(D308)),MATCH(F$7,$D$7:$L$7,0)),"")</f>
        <v/>
      </c>
      <c r="G314" s="60" t="str">
        <f>IFERROR(INDEX('领用录入（明细）'!$B:$L,SMALL($B:$B,ROW(E308)),MATCH(G$7,$D$7:$L$7,0)),"")</f>
        <v/>
      </c>
      <c r="H314" s="60" t="str">
        <f>IFERROR(INDEX('领用录入（明细）'!$B:$L,SMALL($B:$B,ROW(F308)),MATCH(H$7,$D$7:$L$7,0)),"")</f>
        <v/>
      </c>
      <c r="I314" s="60" t="str">
        <f>IFERROR(INDEX('领用录入（明细）'!$B:$L,SMALL($B:$B,ROW(G308)),MATCH(I$7,$D$7:$L$7,0)),"")</f>
        <v/>
      </c>
      <c r="J314" s="60" t="str">
        <f>IFERROR(INDEX('领用录入（明细）'!$B:$L,SMALL($B:$B,ROW(H308)),MATCH(J$7,$D$7:$L$7,0)),"")</f>
        <v/>
      </c>
      <c r="K314" s="60" t="str">
        <f>IFERROR(INDEX('领用录入（明细）'!$B:$L,SMALL($B:$B,ROW(I308)),MATCH(K$7,$D$7:$L$7,0)),"")</f>
        <v/>
      </c>
      <c r="L314" s="60" t="str">
        <f>IFERROR(INDEX('领用录入（明细）'!$B:$L,SMALL($B:$B,ROW(J308)),MATCH(L$7,$D$7:$L$7,0)),"")</f>
        <v/>
      </c>
      <c r="M314" s="60" t="str">
        <f t="shared" si="4"/>
        <v/>
      </c>
    </row>
    <row r="315" customHeight="1" spans="2:13">
      <c r="B315" s="62" t="str">
        <f>IF(AND('领用录入（明细）'!D:D=$F$4,'领用录入（明细）'!C:C&gt;=$J$4,'领用录入（明细）'!C:C&lt;=$L$4),ROW(),"-")</f>
        <v>-</v>
      </c>
      <c r="D315" s="59" t="str">
        <f>IFERROR(INDEX('领用录入（明细）'!$B:$L,SMALL($B:$B,ROW(B309)),MATCH(D$7,$D$7:$L$7,0)),"")</f>
        <v/>
      </c>
      <c r="E315" s="114" t="str">
        <f>IFERROR(INDEX('领用录入（明细）'!$B:$L,SMALL($B:$B,ROW(C309)),MATCH(E$7,$D$7:$L$7,0)),"")</f>
        <v/>
      </c>
      <c r="F315" s="60" t="str">
        <f>IFERROR(INDEX('领用录入（明细）'!$B:$L,SMALL($B:$B,ROW(D309)),MATCH(F$7,$D$7:$L$7,0)),"")</f>
        <v/>
      </c>
      <c r="G315" s="60" t="str">
        <f>IFERROR(INDEX('领用录入（明细）'!$B:$L,SMALL($B:$B,ROW(E309)),MATCH(G$7,$D$7:$L$7,0)),"")</f>
        <v/>
      </c>
      <c r="H315" s="60" t="str">
        <f>IFERROR(INDEX('领用录入（明细）'!$B:$L,SMALL($B:$B,ROW(F309)),MATCH(H$7,$D$7:$L$7,0)),"")</f>
        <v/>
      </c>
      <c r="I315" s="60" t="str">
        <f>IFERROR(INDEX('领用录入（明细）'!$B:$L,SMALL($B:$B,ROW(G309)),MATCH(I$7,$D$7:$L$7,0)),"")</f>
        <v/>
      </c>
      <c r="J315" s="60" t="str">
        <f>IFERROR(INDEX('领用录入（明细）'!$B:$L,SMALL($B:$B,ROW(H309)),MATCH(J$7,$D$7:$L$7,0)),"")</f>
        <v/>
      </c>
      <c r="K315" s="60" t="str">
        <f>IFERROR(INDEX('领用录入（明细）'!$B:$L,SMALL($B:$B,ROW(I309)),MATCH(K$7,$D$7:$L$7,0)),"")</f>
        <v/>
      </c>
      <c r="L315" s="60" t="str">
        <f>IFERROR(INDEX('领用录入（明细）'!$B:$L,SMALL($B:$B,ROW(J309)),MATCH(L$7,$D$7:$L$7,0)),"")</f>
        <v/>
      </c>
      <c r="M315" s="60" t="str">
        <f t="shared" si="4"/>
        <v/>
      </c>
    </row>
    <row r="316" customHeight="1" spans="2:13">
      <c r="B316" s="62" t="str">
        <f>IF(AND('领用录入（明细）'!D:D=$F$4,'领用录入（明细）'!C:C&gt;=$J$4,'领用录入（明细）'!C:C&lt;=$L$4),ROW(),"-")</f>
        <v>-</v>
      </c>
      <c r="D316" s="59" t="str">
        <f>IFERROR(INDEX('领用录入（明细）'!$B:$L,SMALL($B:$B,ROW(B310)),MATCH(D$7,$D$7:$L$7,0)),"")</f>
        <v/>
      </c>
      <c r="E316" s="114" t="str">
        <f>IFERROR(INDEX('领用录入（明细）'!$B:$L,SMALL($B:$B,ROW(C310)),MATCH(E$7,$D$7:$L$7,0)),"")</f>
        <v/>
      </c>
      <c r="F316" s="60" t="str">
        <f>IFERROR(INDEX('领用录入（明细）'!$B:$L,SMALL($B:$B,ROW(D310)),MATCH(F$7,$D$7:$L$7,0)),"")</f>
        <v/>
      </c>
      <c r="G316" s="60" t="str">
        <f>IFERROR(INDEX('领用录入（明细）'!$B:$L,SMALL($B:$B,ROW(E310)),MATCH(G$7,$D$7:$L$7,0)),"")</f>
        <v/>
      </c>
      <c r="H316" s="60" t="str">
        <f>IFERROR(INDEX('领用录入（明细）'!$B:$L,SMALL($B:$B,ROW(F310)),MATCH(H$7,$D$7:$L$7,0)),"")</f>
        <v/>
      </c>
      <c r="I316" s="60" t="str">
        <f>IFERROR(INDEX('领用录入（明细）'!$B:$L,SMALL($B:$B,ROW(G310)),MATCH(I$7,$D$7:$L$7,0)),"")</f>
        <v/>
      </c>
      <c r="J316" s="60" t="str">
        <f>IFERROR(INDEX('领用录入（明细）'!$B:$L,SMALL($B:$B,ROW(H310)),MATCH(J$7,$D$7:$L$7,0)),"")</f>
        <v/>
      </c>
      <c r="K316" s="60" t="str">
        <f>IFERROR(INDEX('领用录入（明细）'!$B:$L,SMALL($B:$B,ROW(I310)),MATCH(K$7,$D$7:$L$7,0)),"")</f>
        <v/>
      </c>
      <c r="L316" s="60" t="str">
        <f>IFERROR(INDEX('领用录入（明细）'!$B:$L,SMALL($B:$B,ROW(J310)),MATCH(L$7,$D$7:$L$7,0)),"")</f>
        <v/>
      </c>
      <c r="M316" s="60" t="str">
        <f t="shared" si="4"/>
        <v/>
      </c>
    </row>
    <row r="317" customHeight="1" spans="2:13">
      <c r="B317" s="62" t="str">
        <f>IF(AND('领用录入（明细）'!D:D=$F$4,'领用录入（明细）'!C:C&gt;=$J$4,'领用录入（明细）'!C:C&lt;=$L$4),ROW(),"-")</f>
        <v>-</v>
      </c>
      <c r="D317" s="59" t="str">
        <f>IFERROR(INDEX('领用录入（明细）'!$B:$L,SMALL($B:$B,ROW(B311)),MATCH(D$7,$D$7:$L$7,0)),"")</f>
        <v/>
      </c>
      <c r="E317" s="114" t="str">
        <f>IFERROR(INDEX('领用录入（明细）'!$B:$L,SMALL($B:$B,ROW(C311)),MATCH(E$7,$D$7:$L$7,0)),"")</f>
        <v/>
      </c>
      <c r="F317" s="60" t="str">
        <f>IFERROR(INDEX('领用录入（明细）'!$B:$L,SMALL($B:$B,ROW(D311)),MATCH(F$7,$D$7:$L$7,0)),"")</f>
        <v/>
      </c>
      <c r="G317" s="60" t="str">
        <f>IFERROR(INDEX('领用录入（明细）'!$B:$L,SMALL($B:$B,ROW(E311)),MATCH(G$7,$D$7:$L$7,0)),"")</f>
        <v/>
      </c>
      <c r="H317" s="60" t="str">
        <f>IFERROR(INDEX('领用录入（明细）'!$B:$L,SMALL($B:$B,ROW(F311)),MATCH(H$7,$D$7:$L$7,0)),"")</f>
        <v/>
      </c>
      <c r="I317" s="60" t="str">
        <f>IFERROR(INDEX('领用录入（明细）'!$B:$L,SMALL($B:$B,ROW(G311)),MATCH(I$7,$D$7:$L$7,0)),"")</f>
        <v/>
      </c>
      <c r="J317" s="60" t="str">
        <f>IFERROR(INDEX('领用录入（明细）'!$B:$L,SMALL($B:$B,ROW(H311)),MATCH(J$7,$D$7:$L$7,0)),"")</f>
        <v/>
      </c>
      <c r="K317" s="60" t="str">
        <f>IFERROR(INDEX('领用录入（明细）'!$B:$L,SMALL($B:$B,ROW(I311)),MATCH(K$7,$D$7:$L$7,0)),"")</f>
        <v/>
      </c>
      <c r="L317" s="60" t="str">
        <f>IFERROR(INDEX('领用录入（明细）'!$B:$L,SMALL($B:$B,ROW(J311)),MATCH(L$7,$D$7:$L$7,0)),"")</f>
        <v/>
      </c>
      <c r="M317" s="60" t="str">
        <f t="shared" si="4"/>
        <v/>
      </c>
    </row>
    <row r="318" customHeight="1" spans="2:13">
      <c r="B318" s="62" t="str">
        <f>IF(AND('领用录入（明细）'!D:D=$F$4,'领用录入（明细）'!C:C&gt;=$J$4,'领用录入（明细）'!C:C&lt;=$L$4),ROW(),"-")</f>
        <v>-</v>
      </c>
      <c r="D318" s="59" t="str">
        <f>IFERROR(INDEX('领用录入（明细）'!$B:$L,SMALL($B:$B,ROW(B312)),MATCH(D$7,$D$7:$L$7,0)),"")</f>
        <v/>
      </c>
      <c r="E318" s="114" t="str">
        <f>IFERROR(INDEX('领用录入（明细）'!$B:$L,SMALL($B:$B,ROW(C312)),MATCH(E$7,$D$7:$L$7,0)),"")</f>
        <v/>
      </c>
      <c r="F318" s="60" t="str">
        <f>IFERROR(INDEX('领用录入（明细）'!$B:$L,SMALL($B:$B,ROW(D312)),MATCH(F$7,$D$7:$L$7,0)),"")</f>
        <v/>
      </c>
      <c r="G318" s="60" t="str">
        <f>IFERROR(INDEX('领用录入（明细）'!$B:$L,SMALL($B:$B,ROW(E312)),MATCH(G$7,$D$7:$L$7,0)),"")</f>
        <v/>
      </c>
      <c r="H318" s="60" t="str">
        <f>IFERROR(INDEX('领用录入（明细）'!$B:$L,SMALL($B:$B,ROW(F312)),MATCH(H$7,$D$7:$L$7,0)),"")</f>
        <v/>
      </c>
      <c r="I318" s="60" t="str">
        <f>IFERROR(INDEX('领用录入（明细）'!$B:$L,SMALL($B:$B,ROW(G312)),MATCH(I$7,$D$7:$L$7,0)),"")</f>
        <v/>
      </c>
      <c r="J318" s="60" t="str">
        <f>IFERROR(INDEX('领用录入（明细）'!$B:$L,SMALL($B:$B,ROW(H312)),MATCH(J$7,$D$7:$L$7,0)),"")</f>
        <v/>
      </c>
      <c r="K318" s="60" t="str">
        <f>IFERROR(INDEX('领用录入（明细）'!$B:$L,SMALL($B:$B,ROW(I312)),MATCH(K$7,$D$7:$L$7,0)),"")</f>
        <v/>
      </c>
      <c r="L318" s="60" t="str">
        <f>IFERROR(INDEX('领用录入（明细）'!$B:$L,SMALL($B:$B,ROW(J312)),MATCH(L$7,$D$7:$L$7,0)),"")</f>
        <v/>
      </c>
      <c r="M318" s="60" t="str">
        <f t="shared" si="4"/>
        <v/>
      </c>
    </row>
    <row r="319" customHeight="1" spans="2:13">
      <c r="B319" s="62" t="str">
        <f>IF(AND('领用录入（明细）'!D:D=$F$4,'领用录入（明细）'!C:C&gt;=$J$4,'领用录入（明细）'!C:C&lt;=$L$4),ROW(),"-")</f>
        <v>-</v>
      </c>
      <c r="D319" s="59" t="str">
        <f>IFERROR(INDEX('领用录入（明细）'!$B:$L,SMALL($B:$B,ROW(B313)),MATCH(D$7,$D$7:$L$7,0)),"")</f>
        <v/>
      </c>
      <c r="E319" s="114" t="str">
        <f>IFERROR(INDEX('领用录入（明细）'!$B:$L,SMALL($B:$B,ROW(C313)),MATCH(E$7,$D$7:$L$7,0)),"")</f>
        <v/>
      </c>
      <c r="F319" s="60" t="str">
        <f>IFERROR(INDEX('领用录入（明细）'!$B:$L,SMALL($B:$B,ROW(D313)),MATCH(F$7,$D$7:$L$7,0)),"")</f>
        <v/>
      </c>
      <c r="G319" s="60" t="str">
        <f>IFERROR(INDEX('领用录入（明细）'!$B:$L,SMALL($B:$B,ROW(E313)),MATCH(G$7,$D$7:$L$7,0)),"")</f>
        <v/>
      </c>
      <c r="H319" s="60" t="str">
        <f>IFERROR(INDEX('领用录入（明细）'!$B:$L,SMALL($B:$B,ROW(F313)),MATCH(H$7,$D$7:$L$7,0)),"")</f>
        <v/>
      </c>
      <c r="I319" s="60" t="str">
        <f>IFERROR(INDEX('领用录入（明细）'!$B:$L,SMALL($B:$B,ROW(G313)),MATCH(I$7,$D$7:$L$7,0)),"")</f>
        <v/>
      </c>
      <c r="J319" s="60" t="str">
        <f>IFERROR(INDEX('领用录入（明细）'!$B:$L,SMALL($B:$B,ROW(H313)),MATCH(J$7,$D$7:$L$7,0)),"")</f>
        <v/>
      </c>
      <c r="K319" s="60" t="str">
        <f>IFERROR(INDEX('领用录入（明细）'!$B:$L,SMALL($B:$B,ROW(I313)),MATCH(K$7,$D$7:$L$7,0)),"")</f>
        <v/>
      </c>
      <c r="L319" s="60" t="str">
        <f>IFERROR(INDEX('领用录入（明细）'!$B:$L,SMALL($B:$B,ROW(J313)),MATCH(L$7,$D$7:$L$7,0)),"")</f>
        <v/>
      </c>
      <c r="M319" s="60" t="str">
        <f t="shared" si="4"/>
        <v/>
      </c>
    </row>
    <row r="320" customHeight="1" spans="2:13">
      <c r="B320" s="62" t="str">
        <f>IF(AND('领用录入（明细）'!D:D=$F$4,'领用录入（明细）'!C:C&gt;=$J$4,'领用录入（明细）'!C:C&lt;=$L$4),ROW(),"-")</f>
        <v>-</v>
      </c>
      <c r="D320" s="59" t="str">
        <f>IFERROR(INDEX('领用录入（明细）'!$B:$L,SMALL($B:$B,ROW(B314)),MATCH(D$7,$D$7:$L$7,0)),"")</f>
        <v/>
      </c>
      <c r="E320" s="114" t="str">
        <f>IFERROR(INDEX('领用录入（明细）'!$B:$L,SMALL($B:$B,ROW(C314)),MATCH(E$7,$D$7:$L$7,0)),"")</f>
        <v/>
      </c>
      <c r="F320" s="60" t="str">
        <f>IFERROR(INDEX('领用录入（明细）'!$B:$L,SMALL($B:$B,ROW(D314)),MATCH(F$7,$D$7:$L$7,0)),"")</f>
        <v/>
      </c>
      <c r="G320" s="60" t="str">
        <f>IFERROR(INDEX('领用录入（明细）'!$B:$L,SMALL($B:$B,ROW(E314)),MATCH(G$7,$D$7:$L$7,0)),"")</f>
        <v/>
      </c>
      <c r="H320" s="60" t="str">
        <f>IFERROR(INDEX('领用录入（明细）'!$B:$L,SMALL($B:$B,ROW(F314)),MATCH(H$7,$D$7:$L$7,0)),"")</f>
        <v/>
      </c>
      <c r="I320" s="60" t="str">
        <f>IFERROR(INDEX('领用录入（明细）'!$B:$L,SMALL($B:$B,ROW(G314)),MATCH(I$7,$D$7:$L$7,0)),"")</f>
        <v/>
      </c>
      <c r="J320" s="60" t="str">
        <f>IFERROR(INDEX('领用录入（明细）'!$B:$L,SMALL($B:$B,ROW(H314)),MATCH(J$7,$D$7:$L$7,0)),"")</f>
        <v/>
      </c>
      <c r="K320" s="60" t="str">
        <f>IFERROR(INDEX('领用录入（明细）'!$B:$L,SMALL($B:$B,ROW(I314)),MATCH(K$7,$D$7:$L$7,0)),"")</f>
        <v/>
      </c>
      <c r="L320" s="60" t="str">
        <f>IFERROR(INDEX('领用录入（明细）'!$B:$L,SMALL($B:$B,ROW(J314)),MATCH(L$7,$D$7:$L$7,0)),"")</f>
        <v/>
      </c>
      <c r="M320" s="60" t="str">
        <f t="shared" si="4"/>
        <v/>
      </c>
    </row>
    <row r="321" customHeight="1" spans="2:13">
      <c r="B321" s="62" t="str">
        <f>IF(AND('领用录入（明细）'!D:D=$F$4,'领用录入（明细）'!C:C&gt;=$J$4,'领用录入（明细）'!C:C&lt;=$L$4),ROW(),"-")</f>
        <v>-</v>
      </c>
      <c r="D321" s="59" t="str">
        <f>IFERROR(INDEX('领用录入（明细）'!$B:$L,SMALL($B:$B,ROW(B315)),MATCH(D$7,$D$7:$L$7,0)),"")</f>
        <v/>
      </c>
      <c r="E321" s="114" t="str">
        <f>IFERROR(INDEX('领用录入（明细）'!$B:$L,SMALL($B:$B,ROW(C315)),MATCH(E$7,$D$7:$L$7,0)),"")</f>
        <v/>
      </c>
      <c r="F321" s="60" t="str">
        <f>IFERROR(INDEX('领用录入（明细）'!$B:$L,SMALL($B:$B,ROW(D315)),MATCH(F$7,$D$7:$L$7,0)),"")</f>
        <v/>
      </c>
      <c r="G321" s="60" t="str">
        <f>IFERROR(INDEX('领用录入（明细）'!$B:$L,SMALL($B:$B,ROW(E315)),MATCH(G$7,$D$7:$L$7,0)),"")</f>
        <v/>
      </c>
      <c r="H321" s="60" t="str">
        <f>IFERROR(INDEX('领用录入（明细）'!$B:$L,SMALL($B:$B,ROW(F315)),MATCH(H$7,$D$7:$L$7,0)),"")</f>
        <v/>
      </c>
      <c r="I321" s="60" t="str">
        <f>IFERROR(INDEX('领用录入（明细）'!$B:$L,SMALL($B:$B,ROW(G315)),MATCH(I$7,$D$7:$L$7,0)),"")</f>
        <v/>
      </c>
      <c r="J321" s="60" t="str">
        <f>IFERROR(INDEX('领用录入（明细）'!$B:$L,SMALL($B:$B,ROW(H315)),MATCH(J$7,$D$7:$L$7,0)),"")</f>
        <v/>
      </c>
      <c r="K321" s="60" t="str">
        <f>IFERROR(INDEX('领用录入（明细）'!$B:$L,SMALL($B:$B,ROW(I315)),MATCH(K$7,$D$7:$L$7,0)),"")</f>
        <v/>
      </c>
      <c r="L321" s="60" t="str">
        <f>IFERROR(INDEX('领用录入（明细）'!$B:$L,SMALL($B:$B,ROW(J315)),MATCH(L$7,$D$7:$L$7,0)),"")</f>
        <v/>
      </c>
      <c r="M321" s="60" t="str">
        <f t="shared" si="4"/>
        <v/>
      </c>
    </row>
    <row r="322" customHeight="1" spans="2:13">
      <c r="B322" s="62" t="str">
        <f>IF(AND('领用录入（明细）'!D:D=$F$4,'领用录入（明细）'!C:C&gt;=$J$4,'领用录入（明细）'!C:C&lt;=$L$4),ROW(),"-")</f>
        <v>-</v>
      </c>
      <c r="D322" s="59" t="str">
        <f>IFERROR(INDEX('领用录入（明细）'!$B:$L,SMALL($B:$B,ROW(B316)),MATCH(D$7,$D$7:$L$7,0)),"")</f>
        <v/>
      </c>
      <c r="E322" s="114" t="str">
        <f>IFERROR(INDEX('领用录入（明细）'!$B:$L,SMALL($B:$B,ROW(C316)),MATCH(E$7,$D$7:$L$7,0)),"")</f>
        <v/>
      </c>
      <c r="F322" s="60" t="str">
        <f>IFERROR(INDEX('领用录入（明细）'!$B:$L,SMALL($B:$B,ROW(D316)),MATCH(F$7,$D$7:$L$7,0)),"")</f>
        <v/>
      </c>
      <c r="G322" s="60" t="str">
        <f>IFERROR(INDEX('领用录入（明细）'!$B:$L,SMALL($B:$B,ROW(E316)),MATCH(G$7,$D$7:$L$7,0)),"")</f>
        <v/>
      </c>
      <c r="H322" s="60" t="str">
        <f>IFERROR(INDEX('领用录入（明细）'!$B:$L,SMALL($B:$B,ROW(F316)),MATCH(H$7,$D$7:$L$7,0)),"")</f>
        <v/>
      </c>
      <c r="I322" s="60" t="str">
        <f>IFERROR(INDEX('领用录入（明细）'!$B:$L,SMALL($B:$B,ROW(G316)),MATCH(I$7,$D$7:$L$7,0)),"")</f>
        <v/>
      </c>
      <c r="J322" s="60" t="str">
        <f>IFERROR(INDEX('领用录入（明细）'!$B:$L,SMALL($B:$B,ROW(H316)),MATCH(J$7,$D$7:$L$7,0)),"")</f>
        <v/>
      </c>
      <c r="K322" s="60" t="str">
        <f>IFERROR(INDEX('领用录入（明细）'!$B:$L,SMALL($B:$B,ROW(I316)),MATCH(K$7,$D$7:$L$7,0)),"")</f>
        <v/>
      </c>
      <c r="L322" s="60" t="str">
        <f>IFERROR(INDEX('领用录入（明细）'!$B:$L,SMALL($B:$B,ROW(J316)),MATCH(L$7,$D$7:$L$7,0)),"")</f>
        <v/>
      </c>
      <c r="M322" s="60" t="str">
        <f t="shared" si="4"/>
        <v/>
      </c>
    </row>
    <row r="323" customHeight="1" spans="2:13">
      <c r="B323" s="62" t="str">
        <f>IF(AND('领用录入（明细）'!D:D=$F$4,'领用录入（明细）'!C:C&gt;=$J$4,'领用录入（明细）'!C:C&lt;=$L$4),ROW(),"-")</f>
        <v>-</v>
      </c>
      <c r="D323" s="59" t="str">
        <f>IFERROR(INDEX('领用录入（明细）'!$B:$L,SMALL($B:$B,ROW(B317)),MATCH(D$7,$D$7:$L$7,0)),"")</f>
        <v/>
      </c>
      <c r="E323" s="114" t="str">
        <f>IFERROR(INDEX('领用录入（明细）'!$B:$L,SMALL($B:$B,ROW(C317)),MATCH(E$7,$D$7:$L$7,0)),"")</f>
        <v/>
      </c>
      <c r="F323" s="60" t="str">
        <f>IFERROR(INDEX('领用录入（明细）'!$B:$L,SMALL($B:$B,ROW(D317)),MATCH(F$7,$D$7:$L$7,0)),"")</f>
        <v/>
      </c>
      <c r="G323" s="60" t="str">
        <f>IFERROR(INDEX('领用录入（明细）'!$B:$L,SMALL($B:$B,ROW(E317)),MATCH(G$7,$D$7:$L$7,0)),"")</f>
        <v/>
      </c>
      <c r="H323" s="60" t="str">
        <f>IFERROR(INDEX('领用录入（明细）'!$B:$L,SMALL($B:$B,ROW(F317)),MATCH(H$7,$D$7:$L$7,0)),"")</f>
        <v/>
      </c>
      <c r="I323" s="60" t="str">
        <f>IFERROR(INDEX('领用录入（明细）'!$B:$L,SMALL($B:$B,ROW(G317)),MATCH(I$7,$D$7:$L$7,0)),"")</f>
        <v/>
      </c>
      <c r="J323" s="60" t="str">
        <f>IFERROR(INDEX('领用录入（明细）'!$B:$L,SMALL($B:$B,ROW(H317)),MATCH(J$7,$D$7:$L$7,0)),"")</f>
        <v/>
      </c>
      <c r="K323" s="60" t="str">
        <f>IFERROR(INDEX('领用录入（明细）'!$B:$L,SMALL($B:$B,ROW(I317)),MATCH(K$7,$D$7:$L$7,0)),"")</f>
        <v/>
      </c>
      <c r="L323" s="60" t="str">
        <f>IFERROR(INDEX('领用录入（明细）'!$B:$L,SMALL($B:$B,ROW(J317)),MATCH(L$7,$D$7:$L$7,0)),"")</f>
        <v/>
      </c>
      <c r="M323" s="60" t="str">
        <f t="shared" si="4"/>
        <v/>
      </c>
    </row>
    <row r="324" customHeight="1" spans="2:13">
      <c r="B324" s="62" t="str">
        <f>IF(AND('领用录入（明细）'!D:D=$F$4,'领用录入（明细）'!C:C&gt;=$J$4,'领用录入（明细）'!C:C&lt;=$L$4),ROW(),"-")</f>
        <v>-</v>
      </c>
      <c r="D324" s="59" t="str">
        <f>IFERROR(INDEX('领用录入（明细）'!$B:$L,SMALL($B:$B,ROW(B318)),MATCH(D$7,$D$7:$L$7,0)),"")</f>
        <v/>
      </c>
      <c r="E324" s="114" t="str">
        <f>IFERROR(INDEX('领用录入（明细）'!$B:$L,SMALL($B:$B,ROW(C318)),MATCH(E$7,$D$7:$L$7,0)),"")</f>
        <v/>
      </c>
      <c r="F324" s="60" t="str">
        <f>IFERROR(INDEX('领用录入（明细）'!$B:$L,SMALL($B:$B,ROW(D318)),MATCH(F$7,$D$7:$L$7,0)),"")</f>
        <v/>
      </c>
      <c r="G324" s="60" t="str">
        <f>IFERROR(INDEX('领用录入（明细）'!$B:$L,SMALL($B:$B,ROW(E318)),MATCH(G$7,$D$7:$L$7,0)),"")</f>
        <v/>
      </c>
      <c r="H324" s="60" t="str">
        <f>IFERROR(INDEX('领用录入（明细）'!$B:$L,SMALL($B:$B,ROW(F318)),MATCH(H$7,$D$7:$L$7,0)),"")</f>
        <v/>
      </c>
      <c r="I324" s="60" t="str">
        <f>IFERROR(INDEX('领用录入（明细）'!$B:$L,SMALL($B:$B,ROW(G318)),MATCH(I$7,$D$7:$L$7,0)),"")</f>
        <v/>
      </c>
      <c r="J324" s="60" t="str">
        <f>IFERROR(INDEX('领用录入（明细）'!$B:$L,SMALL($B:$B,ROW(H318)),MATCH(J$7,$D$7:$L$7,0)),"")</f>
        <v/>
      </c>
      <c r="K324" s="60" t="str">
        <f>IFERROR(INDEX('领用录入（明细）'!$B:$L,SMALL($B:$B,ROW(I318)),MATCH(K$7,$D$7:$L$7,0)),"")</f>
        <v/>
      </c>
      <c r="L324" s="60" t="str">
        <f>IFERROR(INDEX('领用录入（明细）'!$B:$L,SMALL($B:$B,ROW(J318)),MATCH(L$7,$D$7:$L$7,0)),"")</f>
        <v/>
      </c>
      <c r="M324" s="60" t="str">
        <f t="shared" si="4"/>
        <v/>
      </c>
    </row>
    <row r="325" customHeight="1" spans="2:13">
      <c r="B325" s="62" t="str">
        <f>IF(AND('领用录入（明细）'!D:D=$F$4,'领用录入（明细）'!C:C&gt;=$J$4,'领用录入（明细）'!C:C&lt;=$L$4),ROW(),"-")</f>
        <v>-</v>
      </c>
      <c r="D325" s="59" t="str">
        <f>IFERROR(INDEX('领用录入（明细）'!$B:$L,SMALL($B:$B,ROW(B319)),MATCH(D$7,$D$7:$L$7,0)),"")</f>
        <v/>
      </c>
      <c r="E325" s="114" t="str">
        <f>IFERROR(INDEX('领用录入（明细）'!$B:$L,SMALL($B:$B,ROW(C319)),MATCH(E$7,$D$7:$L$7,0)),"")</f>
        <v/>
      </c>
      <c r="F325" s="60" t="str">
        <f>IFERROR(INDEX('领用录入（明细）'!$B:$L,SMALL($B:$B,ROW(D319)),MATCH(F$7,$D$7:$L$7,0)),"")</f>
        <v/>
      </c>
      <c r="G325" s="60" t="str">
        <f>IFERROR(INDEX('领用录入（明细）'!$B:$L,SMALL($B:$B,ROW(E319)),MATCH(G$7,$D$7:$L$7,0)),"")</f>
        <v/>
      </c>
      <c r="H325" s="60" t="str">
        <f>IFERROR(INDEX('领用录入（明细）'!$B:$L,SMALL($B:$B,ROW(F319)),MATCH(H$7,$D$7:$L$7,0)),"")</f>
        <v/>
      </c>
      <c r="I325" s="60" t="str">
        <f>IFERROR(INDEX('领用录入（明细）'!$B:$L,SMALL($B:$B,ROW(G319)),MATCH(I$7,$D$7:$L$7,0)),"")</f>
        <v/>
      </c>
      <c r="J325" s="60" t="str">
        <f>IFERROR(INDEX('领用录入（明细）'!$B:$L,SMALL($B:$B,ROW(H319)),MATCH(J$7,$D$7:$L$7,0)),"")</f>
        <v/>
      </c>
      <c r="K325" s="60" t="str">
        <f>IFERROR(INDEX('领用录入（明细）'!$B:$L,SMALL($B:$B,ROW(I319)),MATCH(K$7,$D$7:$L$7,0)),"")</f>
        <v/>
      </c>
      <c r="L325" s="60" t="str">
        <f>IFERROR(INDEX('领用录入（明细）'!$B:$L,SMALL($B:$B,ROW(J319)),MATCH(L$7,$D$7:$L$7,0)),"")</f>
        <v/>
      </c>
      <c r="M325" s="60" t="str">
        <f t="shared" si="4"/>
        <v/>
      </c>
    </row>
    <row r="326" customHeight="1" spans="2:13">
      <c r="B326" s="62" t="str">
        <f>IF(AND('领用录入（明细）'!D:D=$F$4,'领用录入（明细）'!C:C&gt;=$J$4,'领用录入（明细）'!C:C&lt;=$L$4),ROW(),"-")</f>
        <v>-</v>
      </c>
      <c r="D326" s="59" t="str">
        <f>IFERROR(INDEX('领用录入（明细）'!$B:$L,SMALL($B:$B,ROW(B320)),MATCH(D$7,$D$7:$L$7,0)),"")</f>
        <v/>
      </c>
      <c r="E326" s="114" t="str">
        <f>IFERROR(INDEX('领用录入（明细）'!$B:$L,SMALL($B:$B,ROW(C320)),MATCH(E$7,$D$7:$L$7,0)),"")</f>
        <v/>
      </c>
      <c r="F326" s="60" t="str">
        <f>IFERROR(INDEX('领用录入（明细）'!$B:$L,SMALL($B:$B,ROW(D320)),MATCH(F$7,$D$7:$L$7,0)),"")</f>
        <v/>
      </c>
      <c r="G326" s="60" t="str">
        <f>IFERROR(INDEX('领用录入（明细）'!$B:$L,SMALL($B:$B,ROW(E320)),MATCH(G$7,$D$7:$L$7,0)),"")</f>
        <v/>
      </c>
      <c r="H326" s="60" t="str">
        <f>IFERROR(INDEX('领用录入（明细）'!$B:$L,SMALL($B:$B,ROW(F320)),MATCH(H$7,$D$7:$L$7,0)),"")</f>
        <v/>
      </c>
      <c r="I326" s="60" t="str">
        <f>IFERROR(INDEX('领用录入（明细）'!$B:$L,SMALL($B:$B,ROW(G320)),MATCH(I$7,$D$7:$L$7,0)),"")</f>
        <v/>
      </c>
      <c r="J326" s="60" t="str">
        <f>IFERROR(INDEX('领用录入（明细）'!$B:$L,SMALL($B:$B,ROW(H320)),MATCH(J$7,$D$7:$L$7,0)),"")</f>
        <v/>
      </c>
      <c r="K326" s="60" t="str">
        <f>IFERROR(INDEX('领用录入（明细）'!$B:$L,SMALL($B:$B,ROW(I320)),MATCH(K$7,$D$7:$L$7,0)),"")</f>
        <v/>
      </c>
      <c r="L326" s="60" t="str">
        <f>IFERROR(INDEX('领用录入（明细）'!$B:$L,SMALL($B:$B,ROW(J320)),MATCH(L$7,$D$7:$L$7,0)),"")</f>
        <v/>
      </c>
      <c r="M326" s="60" t="str">
        <f t="shared" si="4"/>
        <v/>
      </c>
    </row>
    <row r="327" customHeight="1" spans="2:13">
      <c r="B327" s="62" t="str">
        <f>IF(AND('领用录入（明细）'!D:D=$F$4,'领用录入（明细）'!C:C&gt;=$J$4,'领用录入（明细）'!C:C&lt;=$L$4),ROW(),"-")</f>
        <v>-</v>
      </c>
      <c r="D327" s="59" t="str">
        <f>IFERROR(INDEX('领用录入（明细）'!$B:$L,SMALL($B:$B,ROW(B321)),MATCH(D$7,$D$7:$L$7,0)),"")</f>
        <v/>
      </c>
      <c r="E327" s="114" t="str">
        <f>IFERROR(INDEX('领用录入（明细）'!$B:$L,SMALL($B:$B,ROW(C321)),MATCH(E$7,$D$7:$L$7,0)),"")</f>
        <v/>
      </c>
      <c r="F327" s="60" t="str">
        <f>IFERROR(INDEX('领用录入（明细）'!$B:$L,SMALL($B:$B,ROW(D321)),MATCH(F$7,$D$7:$L$7,0)),"")</f>
        <v/>
      </c>
      <c r="G327" s="60" t="str">
        <f>IFERROR(INDEX('领用录入（明细）'!$B:$L,SMALL($B:$B,ROW(E321)),MATCH(G$7,$D$7:$L$7,0)),"")</f>
        <v/>
      </c>
      <c r="H327" s="60" t="str">
        <f>IFERROR(INDEX('领用录入（明细）'!$B:$L,SMALL($B:$B,ROW(F321)),MATCH(H$7,$D$7:$L$7,0)),"")</f>
        <v/>
      </c>
      <c r="I327" s="60" t="str">
        <f>IFERROR(INDEX('领用录入（明细）'!$B:$L,SMALL($B:$B,ROW(G321)),MATCH(I$7,$D$7:$L$7,0)),"")</f>
        <v/>
      </c>
      <c r="J327" s="60" t="str">
        <f>IFERROR(INDEX('领用录入（明细）'!$B:$L,SMALL($B:$B,ROW(H321)),MATCH(J$7,$D$7:$L$7,0)),"")</f>
        <v/>
      </c>
      <c r="K327" s="60" t="str">
        <f>IFERROR(INDEX('领用录入（明细）'!$B:$L,SMALL($B:$B,ROW(I321)),MATCH(K$7,$D$7:$L$7,0)),"")</f>
        <v/>
      </c>
      <c r="L327" s="60" t="str">
        <f>IFERROR(INDEX('领用录入（明细）'!$B:$L,SMALL($B:$B,ROW(J321)),MATCH(L$7,$D$7:$L$7,0)),"")</f>
        <v/>
      </c>
      <c r="M327" s="60" t="str">
        <f t="shared" si="4"/>
        <v/>
      </c>
    </row>
    <row r="328" customHeight="1" spans="2:13">
      <c r="B328" s="62" t="str">
        <f>IF(AND('领用录入（明细）'!D:D=$F$4,'领用录入（明细）'!C:C&gt;=$J$4,'领用录入（明细）'!C:C&lt;=$L$4),ROW(),"-")</f>
        <v>-</v>
      </c>
      <c r="D328" s="59" t="str">
        <f>IFERROR(INDEX('领用录入（明细）'!$B:$L,SMALL($B:$B,ROW(B322)),MATCH(D$7,$D$7:$L$7,0)),"")</f>
        <v/>
      </c>
      <c r="E328" s="114" t="str">
        <f>IFERROR(INDEX('领用录入（明细）'!$B:$L,SMALL($B:$B,ROW(C322)),MATCH(E$7,$D$7:$L$7,0)),"")</f>
        <v/>
      </c>
      <c r="F328" s="60" t="str">
        <f>IFERROR(INDEX('领用录入（明细）'!$B:$L,SMALL($B:$B,ROW(D322)),MATCH(F$7,$D$7:$L$7,0)),"")</f>
        <v/>
      </c>
      <c r="G328" s="60" t="str">
        <f>IFERROR(INDEX('领用录入（明细）'!$B:$L,SMALL($B:$B,ROW(E322)),MATCH(G$7,$D$7:$L$7,0)),"")</f>
        <v/>
      </c>
      <c r="H328" s="60" t="str">
        <f>IFERROR(INDEX('领用录入（明细）'!$B:$L,SMALL($B:$B,ROW(F322)),MATCH(H$7,$D$7:$L$7,0)),"")</f>
        <v/>
      </c>
      <c r="I328" s="60" t="str">
        <f>IFERROR(INDEX('领用录入（明细）'!$B:$L,SMALL($B:$B,ROW(G322)),MATCH(I$7,$D$7:$L$7,0)),"")</f>
        <v/>
      </c>
      <c r="J328" s="60" t="str">
        <f>IFERROR(INDEX('领用录入（明细）'!$B:$L,SMALL($B:$B,ROW(H322)),MATCH(J$7,$D$7:$L$7,0)),"")</f>
        <v/>
      </c>
      <c r="K328" s="60" t="str">
        <f>IFERROR(INDEX('领用录入（明细）'!$B:$L,SMALL($B:$B,ROW(I322)),MATCH(K$7,$D$7:$L$7,0)),"")</f>
        <v/>
      </c>
      <c r="L328" s="60" t="str">
        <f>IFERROR(INDEX('领用录入（明细）'!$B:$L,SMALL($B:$B,ROW(J322)),MATCH(L$7,$D$7:$L$7,0)),"")</f>
        <v/>
      </c>
      <c r="M328" s="60" t="str">
        <f t="shared" si="4"/>
        <v/>
      </c>
    </row>
    <row r="329" customHeight="1" spans="2:13">
      <c r="B329" s="62" t="str">
        <f>IF(AND('领用录入（明细）'!D:D=$F$4,'领用录入（明细）'!C:C&gt;=$J$4,'领用录入（明细）'!C:C&lt;=$L$4),ROW(),"-")</f>
        <v>-</v>
      </c>
      <c r="D329" s="59" t="str">
        <f>IFERROR(INDEX('领用录入（明细）'!$B:$L,SMALL($B:$B,ROW(B323)),MATCH(D$7,$D$7:$L$7,0)),"")</f>
        <v/>
      </c>
      <c r="E329" s="114" t="str">
        <f>IFERROR(INDEX('领用录入（明细）'!$B:$L,SMALL($B:$B,ROW(C323)),MATCH(E$7,$D$7:$L$7,0)),"")</f>
        <v/>
      </c>
      <c r="F329" s="60" t="str">
        <f>IFERROR(INDEX('领用录入（明细）'!$B:$L,SMALL($B:$B,ROW(D323)),MATCH(F$7,$D$7:$L$7,0)),"")</f>
        <v/>
      </c>
      <c r="G329" s="60" t="str">
        <f>IFERROR(INDEX('领用录入（明细）'!$B:$L,SMALL($B:$B,ROW(E323)),MATCH(G$7,$D$7:$L$7,0)),"")</f>
        <v/>
      </c>
      <c r="H329" s="60" t="str">
        <f>IFERROR(INDEX('领用录入（明细）'!$B:$L,SMALL($B:$B,ROW(F323)),MATCH(H$7,$D$7:$L$7,0)),"")</f>
        <v/>
      </c>
      <c r="I329" s="60" t="str">
        <f>IFERROR(INDEX('领用录入（明细）'!$B:$L,SMALL($B:$B,ROW(G323)),MATCH(I$7,$D$7:$L$7,0)),"")</f>
        <v/>
      </c>
      <c r="J329" s="60" t="str">
        <f>IFERROR(INDEX('领用录入（明细）'!$B:$L,SMALL($B:$B,ROW(H323)),MATCH(J$7,$D$7:$L$7,0)),"")</f>
        <v/>
      </c>
      <c r="K329" s="60" t="str">
        <f>IFERROR(INDEX('领用录入（明细）'!$B:$L,SMALL($B:$B,ROW(I323)),MATCH(K$7,$D$7:$L$7,0)),"")</f>
        <v/>
      </c>
      <c r="L329" s="60" t="str">
        <f>IFERROR(INDEX('领用录入（明细）'!$B:$L,SMALL($B:$B,ROW(J323)),MATCH(L$7,$D$7:$L$7,0)),"")</f>
        <v/>
      </c>
      <c r="M329" s="60" t="str">
        <f t="shared" ref="M329:M392" si="5">IFERROR(K329*L329,"")</f>
        <v/>
      </c>
    </row>
    <row r="330" customHeight="1" spans="2:13">
      <c r="B330" s="62" t="str">
        <f>IF(AND('领用录入（明细）'!D:D=$F$4,'领用录入（明细）'!C:C&gt;=$J$4,'领用录入（明细）'!C:C&lt;=$L$4),ROW(),"-")</f>
        <v>-</v>
      </c>
      <c r="D330" s="59" t="str">
        <f>IFERROR(INDEX('领用录入（明细）'!$B:$L,SMALL($B:$B,ROW(B324)),MATCH(D$7,$D$7:$L$7,0)),"")</f>
        <v/>
      </c>
      <c r="E330" s="114" t="str">
        <f>IFERROR(INDEX('领用录入（明细）'!$B:$L,SMALL($B:$B,ROW(C324)),MATCH(E$7,$D$7:$L$7,0)),"")</f>
        <v/>
      </c>
      <c r="F330" s="60" t="str">
        <f>IFERROR(INDEX('领用录入（明细）'!$B:$L,SMALL($B:$B,ROW(D324)),MATCH(F$7,$D$7:$L$7,0)),"")</f>
        <v/>
      </c>
      <c r="G330" s="60" t="str">
        <f>IFERROR(INDEX('领用录入（明细）'!$B:$L,SMALL($B:$B,ROW(E324)),MATCH(G$7,$D$7:$L$7,0)),"")</f>
        <v/>
      </c>
      <c r="H330" s="60" t="str">
        <f>IFERROR(INDEX('领用录入（明细）'!$B:$L,SMALL($B:$B,ROW(F324)),MATCH(H$7,$D$7:$L$7,0)),"")</f>
        <v/>
      </c>
      <c r="I330" s="60" t="str">
        <f>IFERROR(INDEX('领用录入（明细）'!$B:$L,SMALL($B:$B,ROW(G324)),MATCH(I$7,$D$7:$L$7,0)),"")</f>
        <v/>
      </c>
      <c r="J330" s="60" t="str">
        <f>IFERROR(INDEX('领用录入（明细）'!$B:$L,SMALL($B:$B,ROW(H324)),MATCH(J$7,$D$7:$L$7,0)),"")</f>
        <v/>
      </c>
      <c r="K330" s="60" t="str">
        <f>IFERROR(INDEX('领用录入（明细）'!$B:$L,SMALL($B:$B,ROW(I324)),MATCH(K$7,$D$7:$L$7,0)),"")</f>
        <v/>
      </c>
      <c r="L330" s="60" t="str">
        <f>IFERROR(INDEX('领用录入（明细）'!$B:$L,SMALL($B:$B,ROW(J324)),MATCH(L$7,$D$7:$L$7,0)),"")</f>
        <v/>
      </c>
      <c r="M330" s="60" t="str">
        <f t="shared" si="5"/>
        <v/>
      </c>
    </row>
    <row r="331" customHeight="1" spans="2:13">
      <c r="B331" s="62" t="str">
        <f>IF(AND('领用录入（明细）'!D:D=$F$4,'领用录入（明细）'!C:C&gt;=$J$4,'领用录入（明细）'!C:C&lt;=$L$4),ROW(),"-")</f>
        <v>-</v>
      </c>
      <c r="D331" s="59" t="str">
        <f>IFERROR(INDEX('领用录入（明细）'!$B:$L,SMALL($B:$B,ROW(B325)),MATCH(D$7,$D$7:$L$7,0)),"")</f>
        <v/>
      </c>
      <c r="E331" s="114" t="str">
        <f>IFERROR(INDEX('领用录入（明细）'!$B:$L,SMALL($B:$B,ROW(C325)),MATCH(E$7,$D$7:$L$7,0)),"")</f>
        <v/>
      </c>
      <c r="F331" s="60" t="str">
        <f>IFERROR(INDEX('领用录入（明细）'!$B:$L,SMALL($B:$B,ROW(D325)),MATCH(F$7,$D$7:$L$7,0)),"")</f>
        <v/>
      </c>
      <c r="G331" s="60" t="str">
        <f>IFERROR(INDEX('领用录入（明细）'!$B:$L,SMALL($B:$B,ROW(E325)),MATCH(G$7,$D$7:$L$7,0)),"")</f>
        <v/>
      </c>
      <c r="H331" s="60" t="str">
        <f>IFERROR(INDEX('领用录入（明细）'!$B:$L,SMALL($B:$B,ROW(F325)),MATCH(H$7,$D$7:$L$7,0)),"")</f>
        <v/>
      </c>
      <c r="I331" s="60" t="str">
        <f>IFERROR(INDEX('领用录入（明细）'!$B:$L,SMALL($B:$B,ROW(G325)),MATCH(I$7,$D$7:$L$7,0)),"")</f>
        <v/>
      </c>
      <c r="J331" s="60" t="str">
        <f>IFERROR(INDEX('领用录入（明细）'!$B:$L,SMALL($B:$B,ROW(H325)),MATCH(J$7,$D$7:$L$7,0)),"")</f>
        <v/>
      </c>
      <c r="K331" s="60" t="str">
        <f>IFERROR(INDEX('领用录入（明细）'!$B:$L,SMALL($B:$B,ROW(I325)),MATCH(K$7,$D$7:$L$7,0)),"")</f>
        <v/>
      </c>
      <c r="L331" s="60" t="str">
        <f>IFERROR(INDEX('领用录入（明细）'!$B:$L,SMALL($B:$B,ROW(J325)),MATCH(L$7,$D$7:$L$7,0)),"")</f>
        <v/>
      </c>
      <c r="M331" s="60" t="str">
        <f t="shared" si="5"/>
        <v/>
      </c>
    </row>
    <row r="332" customHeight="1" spans="2:13">
      <c r="B332" s="62" t="str">
        <f>IF(AND('领用录入（明细）'!D:D=$F$4,'领用录入（明细）'!C:C&gt;=$J$4,'领用录入（明细）'!C:C&lt;=$L$4),ROW(),"-")</f>
        <v>-</v>
      </c>
      <c r="D332" s="59" t="str">
        <f>IFERROR(INDEX('领用录入（明细）'!$B:$L,SMALL($B:$B,ROW(B326)),MATCH(D$7,$D$7:$L$7,0)),"")</f>
        <v/>
      </c>
      <c r="E332" s="114" t="str">
        <f>IFERROR(INDEX('领用录入（明细）'!$B:$L,SMALL($B:$B,ROW(C326)),MATCH(E$7,$D$7:$L$7,0)),"")</f>
        <v/>
      </c>
      <c r="F332" s="60" t="str">
        <f>IFERROR(INDEX('领用录入（明细）'!$B:$L,SMALL($B:$B,ROW(D326)),MATCH(F$7,$D$7:$L$7,0)),"")</f>
        <v/>
      </c>
      <c r="G332" s="60" t="str">
        <f>IFERROR(INDEX('领用录入（明细）'!$B:$L,SMALL($B:$B,ROW(E326)),MATCH(G$7,$D$7:$L$7,0)),"")</f>
        <v/>
      </c>
      <c r="H332" s="60" t="str">
        <f>IFERROR(INDEX('领用录入（明细）'!$B:$L,SMALL($B:$B,ROW(F326)),MATCH(H$7,$D$7:$L$7,0)),"")</f>
        <v/>
      </c>
      <c r="I332" s="60" t="str">
        <f>IFERROR(INDEX('领用录入（明细）'!$B:$L,SMALL($B:$B,ROW(G326)),MATCH(I$7,$D$7:$L$7,0)),"")</f>
        <v/>
      </c>
      <c r="J332" s="60" t="str">
        <f>IFERROR(INDEX('领用录入（明细）'!$B:$L,SMALL($B:$B,ROW(H326)),MATCH(J$7,$D$7:$L$7,0)),"")</f>
        <v/>
      </c>
      <c r="K332" s="60" t="str">
        <f>IFERROR(INDEX('领用录入（明细）'!$B:$L,SMALL($B:$B,ROW(I326)),MATCH(K$7,$D$7:$L$7,0)),"")</f>
        <v/>
      </c>
      <c r="L332" s="60" t="str">
        <f>IFERROR(INDEX('领用录入（明细）'!$B:$L,SMALL($B:$B,ROW(J326)),MATCH(L$7,$D$7:$L$7,0)),"")</f>
        <v/>
      </c>
      <c r="M332" s="60" t="str">
        <f t="shared" si="5"/>
        <v/>
      </c>
    </row>
    <row r="333" customHeight="1" spans="2:13">
      <c r="B333" s="62" t="str">
        <f>IF(AND('领用录入（明细）'!D:D=$F$4,'领用录入（明细）'!C:C&gt;=$J$4,'领用录入（明细）'!C:C&lt;=$L$4),ROW(),"-")</f>
        <v>-</v>
      </c>
      <c r="D333" s="59" t="str">
        <f>IFERROR(INDEX('领用录入（明细）'!$B:$L,SMALL($B:$B,ROW(B327)),MATCH(D$7,$D$7:$L$7,0)),"")</f>
        <v/>
      </c>
      <c r="E333" s="114" t="str">
        <f>IFERROR(INDEX('领用录入（明细）'!$B:$L,SMALL($B:$B,ROW(C327)),MATCH(E$7,$D$7:$L$7,0)),"")</f>
        <v/>
      </c>
      <c r="F333" s="60" t="str">
        <f>IFERROR(INDEX('领用录入（明细）'!$B:$L,SMALL($B:$B,ROW(D327)),MATCH(F$7,$D$7:$L$7,0)),"")</f>
        <v/>
      </c>
      <c r="G333" s="60" t="str">
        <f>IFERROR(INDEX('领用录入（明细）'!$B:$L,SMALL($B:$B,ROW(E327)),MATCH(G$7,$D$7:$L$7,0)),"")</f>
        <v/>
      </c>
      <c r="H333" s="60" t="str">
        <f>IFERROR(INDEX('领用录入（明细）'!$B:$L,SMALL($B:$B,ROW(F327)),MATCH(H$7,$D$7:$L$7,0)),"")</f>
        <v/>
      </c>
      <c r="I333" s="60" t="str">
        <f>IFERROR(INDEX('领用录入（明细）'!$B:$L,SMALL($B:$B,ROW(G327)),MATCH(I$7,$D$7:$L$7,0)),"")</f>
        <v/>
      </c>
      <c r="J333" s="60" t="str">
        <f>IFERROR(INDEX('领用录入（明细）'!$B:$L,SMALL($B:$B,ROW(H327)),MATCH(J$7,$D$7:$L$7,0)),"")</f>
        <v/>
      </c>
      <c r="K333" s="60" t="str">
        <f>IFERROR(INDEX('领用录入（明细）'!$B:$L,SMALL($B:$B,ROW(I327)),MATCH(K$7,$D$7:$L$7,0)),"")</f>
        <v/>
      </c>
      <c r="L333" s="60" t="str">
        <f>IFERROR(INDEX('领用录入（明细）'!$B:$L,SMALL($B:$B,ROW(J327)),MATCH(L$7,$D$7:$L$7,0)),"")</f>
        <v/>
      </c>
      <c r="M333" s="60" t="str">
        <f t="shared" si="5"/>
        <v/>
      </c>
    </row>
    <row r="334" customHeight="1" spans="2:13">
      <c r="B334" s="62" t="str">
        <f>IF(AND('领用录入（明细）'!D:D=$F$4,'领用录入（明细）'!C:C&gt;=$J$4,'领用录入（明细）'!C:C&lt;=$L$4),ROW(),"-")</f>
        <v>-</v>
      </c>
      <c r="D334" s="59" t="str">
        <f>IFERROR(INDEX('领用录入（明细）'!$B:$L,SMALL($B:$B,ROW(B328)),MATCH(D$7,$D$7:$L$7,0)),"")</f>
        <v/>
      </c>
      <c r="E334" s="114" t="str">
        <f>IFERROR(INDEX('领用录入（明细）'!$B:$L,SMALL($B:$B,ROW(C328)),MATCH(E$7,$D$7:$L$7,0)),"")</f>
        <v/>
      </c>
      <c r="F334" s="60" t="str">
        <f>IFERROR(INDEX('领用录入（明细）'!$B:$L,SMALL($B:$B,ROW(D328)),MATCH(F$7,$D$7:$L$7,0)),"")</f>
        <v/>
      </c>
      <c r="G334" s="60" t="str">
        <f>IFERROR(INDEX('领用录入（明细）'!$B:$L,SMALL($B:$B,ROW(E328)),MATCH(G$7,$D$7:$L$7,0)),"")</f>
        <v/>
      </c>
      <c r="H334" s="60" t="str">
        <f>IFERROR(INDEX('领用录入（明细）'!$B:$L,SMALL($B:$B,ROW(F328)),MATCH(H$7,$D$7:$L$7,0)),"")</f>
        <v/>
      </c>
      <c r="I334" s="60" t="str">
        <f>IFERROR(INDEX('领用录入（明细）'!$B:$L,SMALL($B:$B,ROW(G328)),MATCH(I$7,$D$7:$L$7,0)),"")</f>
        <v/>
      </c>
      <c r="J334" s="60" t="str">
        <f>IFERROR(INDEX('领用录入（明细）'!$B:$L,SMALL($B:$B,ROW(H328)),MATCH(J$7,$D$7:$L$7,0)),"")</f>
        <v/>
      </c>
      <c r="K334" s="60" t="str">
        <f>IFERROR(INDEX('领用录入（明细）'!$B:$L,SMALL($B:$B,ROW(I328)),MATCH(K$7,$D$7:$L$7,0)),"")</f>
        <v/>
      </c>
      <c r="L334" s="60" t="str">
        <f>IFERROR(INDEX('领用录入（明细）'!$B:$L,SMALL($B:$B,ROW(J328)),MATCH(L$7,$D$7:$L$7,0)),"")</f>
        <v/>
      </c>
      <c r="M334" s="60" t="str">
        <f t="shared" si="5"/>
        <v/>
      </c>
    </row>
    <row r="335" customHeight="1" spans="2:13">
      <c r="B335" s="62" t="str">
        <f>IF(AND('领用录入（明细）'!D:D=$F$4,'领用录入（明细）'!C:C&gt;=$J$4,'领用录入（明细）'!C:C&lt;=$L$4),ROW(),"-")</f>
        <v>-</v>
      </c>
      <c r="D335" s="59" t="str">
        <f>IFERROR(INDEX('领用录入（明细）'!$B:$L,SMALL($B:$B,ROW(B329)),MATCH(D$7,$D$7:$L$7,0)),"")</f>
        <v/>
      </c>
      <c r="E335" s="114" t="str">
        <f>IFERROR(INDEX('领用录入（明细）'!$B:$L,SMALL($B:$B,ROW(C329)),MATCH(E$7,$D$7:$L$7,0)),"")</f>
        <v/>
      </c>
      <c r="F335" s="60" t="str">
        <f>IFERROR(INDEX('领用录入（明细）'!$B:$L,SMALL($B:$B,ROW(D329)),MATCH(F$7,$D$7:$L$7,0)),"")</f>
        <v/>
      </c>
      <c r="G335" s="60" t="str">
        <f>IFERROR(INDEX('领用录入（明细）'!$B:$L,SMALL($B:$B,ROW(E329)),MATCH(G$7,$D$7:$L$7,0)),"")</f>
        <v/>
      </c>
      <c r="H335" s="60" t="str">
        <f>IFERROR(INDEX('领用录入（明细）'!$B:$L,SMALL($B:$B,ROW(F329)),MATCH(H$7,$D$7:$L$7,0)),"")</f>
        <v/>
      </c>
      <c r="I335" s="60" t="str">
        <f>IFERROR(INDEX('领用录入（明细）'!$B:$L,SMALL($B:$B,ROW(G329)),MATCH(I$7,$D$7:$L$7,0)),"")</f>
        <v/>
      </c>
      <c r="J335" s="60" t="str">
        <f>IFERROR(INDEX('领用录入（明细）'!$B:$L,SMALL($B:$B,ROW(H329)),MATCH(J$7,$D$7:$L$7,0)),"")</f>
        <v/>
      </c>
      <c r="K335" s="60" t="str">
        <f>IFERROR(INDEX('领用录入（明细）'!$B:$L,SMALL($B:$B,ROW(I329)),MATCH(K$7,$D$7:$L$7,0)),"")</f>
        <v/>
      </c>
      <c r="L335" s="60" t="str">
        <f>IFERROR(INDEX('领用录入（明细）'!$B:$L,SMALL($B:$B,ROW(J329)),MATCH(L$7,$D$7:$L$7,0)),"")</f>
        <v/>
      </c>
      <c r="M335" s="60" t="str">
        <f t="shared" si="5"/>
        <v/>
      </c>
    </row>
    <row r="336" customHeight="1" spans="2:13">
      <c r="B336" s="62" t="str">
        <f>IF(AND('领用录入（明细）'!D:D=$F$4,'领用录入（明细）'!C:C&gt;=$J$4,'领用录入（明细）'!C:C&lt;=$L$4),ROW(),"-")</f>
        <v>-</v>
      </c>
      <c r="D336" s="59" t="str">
        <f>IFERROR(INDEX('领用录入（明细）'!$B:$L,SMALL($B:$B,ROW(B330)),MATCH(D$7,$D$7:$L$7,0)),"")</f>
        <v/>
      </c>
      <c r="E336" s="114" t="str">
        <f>IFERROR(INDEX('领用录入（明细）'!$B:$L,SMALL($B:$B,ROW(C330)),MATCH(E$7,$D$7:$L$7,0)),"")</f>
        <v/>
      </c>
      <c r="F336" s="60" t="str">
        <f>IFERROR(INDEX('领用录入（明细）'!$B:$L,SMALL($B:$B,ROW(D330)),MATCH(F$7,$D$7:$L$7,0)),"")</f>
        <v/>
      </c>
      <c r="G336" s="60" t="str">
        <f>IFERROR(INDEX('领用录入（明细）'!$B:$L,SMALL($B:$B,ROW(E330)),MATCH(G$7,$D$7:$L$7,0)),"")</f>
        <v/>
      </c>
      <c r="H336" s="60" t="str">
        <f>IFERROR(INDEX('领用录入（明细）'!$B:$L,SMALL($B:$B,ROW(F330)),MATCH(H$7,$D$7:$L$7,0)),"")</f>
        <v/>
      </c>
      <c r="I336" s="60" t="str">
        <f>IFERROR(INDEX('领用录入（明细）'!$B:$L,SMALL($B:$B,ROW(G330)),MATCH(I$7,$D$7:$L$7,0)),"")</f>
        <v/>
      </c>
      <c r="J336" s="60" t="str">
        <f>IFERROR(INDEX('领用录入（明细）'!$B:$L,SMALL($B:$B,ROW(H330)),MATCH(J$7,$D$7:$L$7,0)),"")</f>
        <v/>
      </c>
      <c r="K336" s="60" t="str">
        <f>IFERROR(INDEX('领用录入（明细）'!$B:$L,SMALL($B:$B,ROW(I330)),MATCH(K$7,$D$7:$L$7,0)),"")</f>
        <v/>
      </c>
      <c r="L336" s="60" t="str">
        <f>IFERROR(INDEX('领用录入（明细）'!$B:$L,SMALL($B:$B,ROW(J330)),MATCH(L$7,$D$7:$L$7,0)),"")</f>
        <v/>
      </c>
      <c r="M336" s="60" t="str">
        <f t="shared" si="5"/>
        <v/>
      </c>
    </row>
    <row r="337" customHeight="1" spans="2:13">
      <c r="B337" s="62" t="str">
        <f>IF(AND('领用录入（明细）'!D:D=$F$4,'领用录入（明细）'!C:C&gt;=$J$4,'领用录入（明细）'!C:C&lt;=$L$4),ROW(),"-")</f>
        <v>-</v>
      </c>
      <c r="D337" s="59" t="str">
        <f>IFERROR(INDEX('领用录入（明细）'!$B:$L,SMALL($B:$B,ROW(B331)),MATCH(D$7,$D$7:$L$7,0)),"")</f>
        <v/>
      </c>
      <c r="E337" s="114" t="str">
        <f>IFERROR(INDEX('领用录入（明细）'!$B:$L,SMALL($B:$B,ROW(C331)),MATCH(E$7,$D$7:$L$7,0)),"")</f>
        <v/>
      </c>
      <c r="F337" s="60" t="str">
        <f>IFERROR(INDEX('领用录入（明细）'!$B:$L,SMALL($B:$B,ROW(D331)),MATCH(F$7,$D$7:$L$7,0)),"")</f>
        <v/>
      </c>
      <c r="G337" s="60" t="str">
        <f>IFERROR(INDEX('领用录入（明细）'!$B:$L,SMALL($B:$B,ROW(E331)),MATCH(G$7,$D$7:$L$7,0)),"")</f>
        <v/>
      </c>
      <c r="H337" s="60" t="str">
        <f>IFERROR(INDEX('领用录入（明细）'!$B:$L,SMALL($B:$B,ROW(F331)),MATCH(H$7,$D$7:$L$7,0)),"")</f>
        <v/>
      </c>
      <c r="I337" s="60" t="str">
        <f>IFERROR(INDEX('领用录入（明细）'!$B:$L,SMALL($B:$B,ROW(G331)),MATCH(I$7,$D$7:$L$7,0)),"")</f>
        <v/>
      </c>
      <c r="J337" s="60" t="str">
        <f>IFERROR(INDEX('领用录入（明细）'!$B:$L,SMALL($B:$B,ROW(H331)),MATCH(J$7,$D$7:$L$7,0)),"")</f>
        <v/>
      </c>
      <c r="K337" s="60" t="str">
        <f>IFERROR(INDEX('领用录入（明细）'!$B:$L,SMALL($B:$B,ROW(I331)),MATCH(K$7,$D$7:$L$7,0)),"")</f>
        <v/>
      </c>
      <c r="L337" s="60" t="str">
        <f>IFERROR(INDEX('领用录入（明细）'!$B:$L,SMALL($B:$B,ROW(J331)),MATCH(L$7,$D$7:$L$7,0)),"")</f>
        <v/>
      </c>
      <c r="M337" s="60" t="str">
        <f t="shared" si="5"/>
        <v/>
      </c>
    </row>
    <row r="338" customHeight="1" spans="2:13">
      <c r="B338" s="62" t="str">
        <f>IF(AND('领用录入（明细）'!D:D=$F$4,'领用录入（明细）'!C:C&gt;=$J$4,'领用录入（明细）'!C:C&lt;=$L$4),ROW(),"-")</f>
        <v>-</v>
      </c>
      <c r="D338" s="59" t="str">
        <f>IFERROR(INDEX('领用录入（明细）'!$B:$L,SMALL($B:$B,ROW(B332)),MATCH(D$7,$D$7:$L$7,0)),"")</f>
        <v/>
      </c>
      <c r="E338" s="114" t="str">
        <f>IFERROR(INDEX('领用录入（明细）'!$B:$L,SMALL($B:$B,ROW(C332)),MATCH(E$7,$D$7:$L$7,0)),"")</f>
        <v/>
      </c>
      <c r="F338" s="60" t="str">
        <f>IFERROR(INDEX('领用录入（明细）'!$B:$L,SMALL($B:$B,ROW(D332)),MATCH(F$7,$D$7:$L$7,0)),"")</f>
        <v/>
      </c>
      <c r="G338" s="60" t="str">
        <f>IFERROR(INDEX('领用录入（明细）'!$B:$L,SMALL($B:$B,ROW(E332)),MATCH(G$7,$D$7:$L$7,0)),"")</f>
        <v/>
      </c>
      <c r="H338" s="60" t="str">
        <f>IFERROR(INDEX('领用录入（明细）'!$B:$L,SMALL($B:$B,ROW(F332)),MATCH(H$7,$D$7:$L$7,0)),"")</f>
        <v/>
      </c>
      <c r="I338" s="60" t="str">
        <f>IFERROR(INDEX('领用录入（明细）'!$B:$L,SMALL($B:$B,ROW(G332)),MATCH(I$7,$D$7:$L$7,0)),"")</f>
        <v/>
      </c>
      <c r="J338" s="60" t="str">
        <f>IFERROR(INDEX('领用录入（明细）'!$B:$L,SMALL($B:$B,ROW(H332)),MATCH(J$7,$D$7:$L$7,0)),"")</f>
        <v/>
      </c>
      <c r="K338" s="60" t="str">
        <f>IFERROR(INDEX('领用录入（明细）'!$B:$L,SMALL($B:$B,ROW(I332)),MATCH(K$7,$D$7:$L$7,0)),"")</f>
        <v/>
      </c>
      <c r="L338" s="60" t="str">
        <f>IFERROR(INDEX('领用录入（明细）'!$B:$L,SMALL($B:$B,ROW(J332)),MATCH(L$7,$D$7:$L$7,0)),"")</f>
        <v/>
      </c>
      <c r="M338" s="60" t="str">
        <f t="shared" si="5"/>
        <v/>
      </c>
    </row>
    <row r="339" customHeight="1" spans="2:13">
      <c r="B339" s="62" t="str">
        <f>IF(AND('领用录入（明细）'!D:D=$F$4,'领用录入（明细）'!C:C&gt;=$J$4,'领用录入（明细）'!C:C&lt;=$L$4),ROW(),"-")</f>
        <v>-</v>
      </c>
      <c r="D339" s="59" t="str">
        <f>IFERROR(INDEX('领用录入（明细）'!$B:$L,SMALL($B:$B,ROW(B333)),MATCH(D$7,$D$7:$L$7,0)),"")</f>
        <v/>
      </c>
      <c r="E339" s="114" t="str">
        <f>IFERROR(INDEX('领用录入（明细）'!$B:$L,SMALL($B:$B,ROW(C333)),MATCH(E$7,$D$7:$L$7,0)),"")</f>
        <v/>
      </c>
      <c r="F339" s="60" t="str">
        <f>IFERROR(INDEX('领用录入（明细）'!$B:$L,SMALL($B:$B,ROW(D333)),MATCH(F$7,$D$7:$L$7,0)),"")</f>
        <v/>
      </c>
      <c r="G339" s="60" t="str">
        <f>IFERROR(INDEX('领用录入（明细）'!$B:$L,SMALL($B:$B,ROW(E333)),MATCH(G$7,$D$7:$L$7,0)),"")</f>
        <v/>
      </c>
      <c r="H339" s="60" t="str">
        <f>IFERROR(INDEX('领用录入（明细）'!$B:$L,SMALL($B:$B,ROW(F333)),MATCH(H$7,$D$7:$L$7,0)),"")</f>
        <v/>
      </c>
      <c r="I339" s="60" t="str">
        <f>IFERROR(INDEX('领用录入（明细）'!$B:$L,SMALL($B:$B,ROW(G333)),MATCH(I$7,$D$7:$L$7,0)),"")</f>
        <v/>
      </c>
      <c r="J339" s="60" t="str">
        <f>IFERROR(INDEX('领用录入（明细）'!$B:$L,SMALL($B:$B,ROW(H333)),MATCH(J$7,$D$7:$L$7,0)),"")</f>
        <v/>
      </c>
      <c r="K339" s="60" t="str">
        <f>IFERROR(INDEX('领用录入（明细）'!$B:$L,SMALL($B:$B,ROW(I333)),MATCH(K$7,$D$7:$L$7,0)),"")</f>
        <v/>
      </c>
      <c r="L339" s="60" t="str">
        <f>IFERROR(INDEX('领用录入（明细）'!$B:$L,SMALL($B:$B,ROW(J333)),MATCH(L$7,$D$7:$L$7,0)),"")</f>
        <v/>
      </c>
      <c r="M339" s="60" t="str">
        <f t="shared" si="5"/>
        <v/>
      </c>
    </row>
    <row r="340" customHeight="1" spans="2:13">
      <c r="B340" s="62" t="str">
        <f>IF(AND('领用录入（明细）'!D:D=$F$4,'领用录入（明细）'!C:C&gt;=$J$4,'领用录入（明细）'!C:C&lt;=$L$4),ROW(),"-")</f>
        <v>-</v>
      </c>
      <c r="D340" s="59" t="str">
        <f>IFERROR(INDEX('领用录入（明细）'!$B:$L,SMALL($B:$B,ROW(B334)),MATCH(D$7,$D$7:$L$7,0)),"")</f>
        <v/>
      </c>
      <c r="E340" s="114" t="str">
        <f>IFERROR(INDEX('领用录入（明细）'!$B:$L,SMALL($B:$B,ROW(C334)),MATCH(E$7,$D$7:$L$7,0)),"")</f>
        <v/>
      </c>
      <c r="F340" s="60" t="str">
        <f>IFERROR(INDEX('领用录入（明细）'!$B:$L,SMALL($B:$B,ROW(D334)),MATCH(F$7,$D$7:$L$7,0)),"")</f>
        <v/>
      </c>
      <c r="G340" s="60" t="str">
        <f>IFERROR(INDEX('领用录入（明细）'!$B:$L,SMALL($B:$B,ROW(E334)),MATCH(G$7,$D$7:$L$7,0)),"")</f>
        <v/>
      </c>
      <c r="H340" s="60" t="str">
        <f>IFERROR(INDEX('领用录入（明细）'!$B:$L,SMALL($B:$B,ROW(F334)),MATCH(H$7,$D$7:$L$7,0)),"")</f>
        <v/>
      </c>
      <c r="I340" s="60" t="str">
        <f>IFERROR(INDEX('领用录入（明细）'!$B:$L,SMALL($B:$B,ROW(G334)),MATCH(I$7,$D$7:$L$7,0)),"")</f>
        <v/>
      </c>
      <c r="J340" s="60" t="str">
        <f>IFERROR(INDEX('领用录入（明细）'!$B:$L,SMALL($B:$B,ROW(H334)),MATCH(J$7,$D$7:$L$7,0)),"")</f>
        <v/>
      </c>
      <c r="K340" s="60" t="str">
        <f>IFERROR(INDEX('领用录入（明细）'!$B:$L,SMALL($B:$B,ROW(I334)),MATCH(K$7,$D$7:$L$7,0)),"")</f>
        <v/>
      </c>
      <c r="L340" s="60" t="str">
        <f>IFERROR(INDEX('领用录入（明细）'!$B:$L,SMALL($B:$B,ROW(J334)),MATCH(L$7,$D$7:$L$7,0)),"")</f>
        <v/>
      </c>
      <c r="M340" s="60" t="str">
        <f t="shared" si="5"/>
        <v/>
      </c>
    </row>
    <row r="341" customHeight="1" spans="2:13">
      <c r="B341" s="62" t="str">
        <f>IF(AND('领用录入（明细）'!D:D=$F$4,'领用录入（明细）'!C:C&gt;=$J$4,'领用录入（明细）'!C:C&lt;=$L$4),ROW(),"-")</f>
        <v>-</v>
      </c>
      <c r="D341" s="59" t="str">
        <f>IFERROR(INDEX('领用录入（明细）'!$B:$L,SMALL($B:$B,ROW(B335)),MATCH(D$7,$D$7:$L$7,0)),"")</f>
        <v/>
      </c>
      <c r="E341" s="114" t="str">
        <f>IFERROR(INDEX('领用录入（明细）'!$B:$L,SMALL($B:$B,ROW(C335)),MATCH(E$7,$D$7:$L$7,0)),"")</f>
        <v/>
      </c>
      <c r="F341" s="60" t="str">
        <f>IFERROR(INDEX('领用录入（明细）'!$B:$L,SMALL($B:$B,ROW(D335)),MATCH(F$7,$D$7:$L$7,0)),"")</f>
        <v/>
      </c>
      <c r="G341" s="60" t="str">
        <f>IFERROR(INDEX('领用录入（明细）'!$B:$L,SMALL($B:$B,ROW(E335)),MATCH(G$7,$D$7:$L$7,0)),"")</f>
        <v/>
      </c>
      <c r="H341" s="60" t="str">
        <f>IFERROR(INDEX('领用录入（明细）'!$B:$L,SMALL($B:$B,ROW(F335)),MATCH(H$7,$D$7:$L$7,0)),"")</f>
        <v/>
      </c>
      <c r="I341" s="60" t="str">
        <f>IFERROR(INDEX('领用录入（明细）'!$B:$L,SMALL($B:$B,ROW(G335)),MATCH(I$7,$D$7:$L$7,0)),"")</f>
        <v/>
      </c>
      <c r="J341" s="60" t="str">
        <f>IFERROR(INDEX('领用录入（明细）'!$B:$L,SMALL($B:$B,ROW(H335)),MATCH(J$7,$D$7:$L$7,0)),"")</f>
        <v/>
      </c>
      <c r="K341" s="60" t="str">
        <f>IFERROR(INDEX('领用录入（明细）'!$B:$L,SMALL($B:$B,ROW(I335)),MATCH(K$7,$D$7:$L$7,0)),"")</f>
        <v/>
      </c>
      <c r="L341" s="60" t="str">
        <f>IFERROR(INDEX('领用录入（明细）'!$B:$L,SMALL($B:$B,ROW(J335)),MATCH(L$7,$D$7:$L$7,0)),"")</f>
        <v/>
      </c>
      <c r="M341" s="60" t="str">
        <f t="shared" si="5"/>
        <v/>
      </c>
    </row>
    <row r="342" customHeight="1" spans="2:13">
      <c r="B342" s="62">
        <f>IF(AND('领用录入（明细）'!D:D=$F$4,'领用录入（明细）'!C:C&gt;=$J$4,'领用录入（明细）'!C:C&lt;=$L$4),ROW(),"-")</f>
        <v>342</v>
      </c>
      <c r="D342" s="59" t="str">
        <f>IFERROR(INDEX('领用录入（明细）'!$B:$L,SMALL($B:$B,ROW(B336)),MATCH(D$7,$D$7:$L$7,0)),"")</f>
        <v/>
      </c>
      <c r="E342" s="114" t="str">
        <f>IFERROR(INDEX('领用录入（明细）'!$B:$L,SMALL($B:$B,ROW(C336)),MATCH(E$7,$D$7:$L$7,0)),"")</f>
        <v/>
      </c>
      <c r="F342" s="60" t="str">
        <f>IFERROR(INDEX('领用录入（明细）'!$B:$L,SMALL($B:$B,ROW(D336)),MATCH(F$7,$D$7:$L$7,0)),"")</f>
        <v/>
      </c>
      <c r="G342" s="60" t="str">
        <f>IFERROR(INDEX('领用录入（明细）'!$B:$L,SMALL($B:$B,ROW(E336)),MATCH(G$7,$D$7:$L$7,0)),"")</f>
        <v/>
      </c>
      <c r="H342" s="60" t="str">
        <f>IFERROR(INDEX('领用录入（明细）'!$B:$L,SMALL($B:$B,ROW(F336)),MATCH(H$7,$D$7:$L$7,0)),"")</f>
        <v/>
      </c>
      <c r="I342" s="60" t="str">
        <f>IFERROR(INDEX('领用录入（明细）'!$B:$L,SMALL($B:$B,ROW(G336)),MATCH(I$7,$D$7:$L$7,0)),"")</f>
        <v/>
      </c>
      <c r="J342" s="60" t="str">
        <f>IFERROR(INDEX('领用录入（明细）'!$B:$L,SMALL($B:$B,ROW(H336)),MATCH(J$7,$D$7:$L$7,0)),"")</f>
        <v/>
      </c>
      <c r="K342" s="60" t="str">
        <f>IFERROR(INDEX('领用录入（明细）'!$B:$L,SMALL($B:$B,ROW(I336)),MATCH(K$7,$D$7:$L$7,0)),"")</f>
        <v/>
      </c>
      <c r="L342" s="60" t="str">
        <f>IFERROR(INDEX('领用录入（明细）'!$B:$L,SMALL($B:$B,ROW(J336)),MATCH(L$7,$D$7:$L$7,0)),"")</f>
        <v/>
      </c>
      <c r="M342" s="60" t="str">
        <f t="shared" si="5"/>
        <v/>
      </c>
    </row>
    <row r="343" customHeight="1" spans="2:13">
      <c r="B343" s="62">
        <f>IF(AND('领用录入（明细）'!D:D=$F$4,'领用录入（明细）'!C:C&gt;=$J$4,'领用录入（明细）'!C:C&lt;=$L$4),ROW(),"-")</f>
        <v>343</v>
      </c>
      <c r="D343" s="59" t="str">
        <f>IFERROR(INDEX('领用录入（明细）'!$B:$L,SMALL($B:$B,ROW(B337)),MATCH(D$7,$D$7:$L$7,0)),"")</f>
        <v/>
      </c>
      <c r="E343" s="114" t="str">
        <f>IFERROR(INDEX('领用录入（明细）'!$B:$L,SMALL($B:$B,ROW(C337)),MATCH(E$7,$D$7:$L$7,0)),"")</f>
        <v/>
      </c>
      <c r="F343" s="60" t="str">
        <f>IFERROR(INDEX('领用录入（明细）'!$B:$L,SMALL($B:$B,ROW(D337)),MATCH(F$7,$D$7:$L$7,0)),"")</f>
        <v/>
      </c>
      <c r="G343" s="60" t="str">
        <f>IFERROR(INDEX('领用录入（明细）'!$B:$L,SMALL($B:$B,ROW(E337)),MATCH(G$7,$D$7:$L$7,0)),"")</f>
        <v/>
      </c>
      <c r="H343" s="60" t="str">
        <f>IFERROR(INDEX('领用录入（明细）'!$B:$L,SMALL($B:$B,ROW(F337)),MATCH(H$7,$D$7:$L$7,0)),"")</f>
        <v/>
      </c>
      <c r="I343" s="60" t="str">
        <f>IFERROR(INDEX('领用录入（明细）'!$B:$L,SMALL($B:$B,ROW(G337)),MATCH(I$7,$D$7:$L$7,0)),"")</f>
        <v/>
      </c>
      <c r="J343" s="60" t="str">
        <f>IFERROR(INDEX('领用录入（明细）'!$B:$L,SMALL($B:$B,ROW(H337)),MATCH(J$7,$D$7:$L$7,0)),"")</f>
        <v/>
      </c>
      <c r="K343" s="60" t="str">
        <f>IFERROR(INDEX('领用录入（明细）'!$B:$L,SMALL($B:$B,ROW(I337)),MATCH(K$7,$D$7:$L$7,0)),"")</f>
        <v/>
      </c>
      <c r="L343" s="60" t="str">
        <f>IFERROR(INDEX('领用录入（明细）'!$B:$L,SMALL($B:$B,ROW(J337)),MATCH(L$7,$D$7:$L$7,0)),"")</f>
        <v/>
      </c>
      <c r="M343" s="60" t="str">
        <f t="shared" si="5"/>
        <v/>
      </c>
    </row>
    <row r="344" customHeight="1" spans="2:13">
      <c r="B344" s="62">
        <f>IF(AND('领用录入（明细）'!D:D=$F$4,'领用录入（明细）'!C:C&gt;=$J$4,'领用录入（明细）'!C:C&lt;=$L$4),ROW(),"-")</f>
        <v>344</v>
      </c>
      <c r="D344" s="59" t="str">
        <f>IFERROR(INDEX('领用录入（明细）'!$B:$L,SMALL($B:$B,ROW(B338)),MATCH(D$7,$D$7:$L$7,0)),"")</f>
        <v/>
      </c>
      <c r="E344" s="114" t="str">
        <f>IFERROR(INDEX('领用录入（明细）'!$B:$L,SMALL($B:$B,ROW(C338)),MATCH(E$7,$D$7:$L$7,0)),"")</f>
        <v/>
      </c>
      <c r="F344" s="60" t="str">
        <f>IFERROR(INDEX('领用录入（明细）'!$B:$L,SMALL($B:$B,ROW(D338)),MATCH(F$7,$D$7:$L$7,0)),"")</f>
        <v/>
      </c>
      <c r="G344" s="60" t="str">
        <f>IFERROR(INDEX('领用录入（明细）'!$B:$L,SMALL($B:$B,ROW(E338)),MATCH(G$7,$D$7:$L$7,0)),"")</f>
        <v/>
      </c>
      <c r="H344" s="60" t="str">
        <f>IFERROR(INDEX('领用录入（明细）'!$B:$L,SMALL($B:$B,ROW(F338)),MATCH(H$7,$D$7:$L$7,0)),"")</f>
        <v/>
      </c>
      <c r="I344" s="60" t="str">
        <f>IFERROR(INDEX('领用录入（明细）'!$B:$L,SMALL($B:$B,ROW(G338)),MATCH(I$7,$D$7:$L$7,0)),"")</f>
        <v/>
      </c>
      <c r="J344" s="60" t="str">
        <f>IFERROR(INDEX('领用录入（明细）'!$B:$L,SMALL($B:$B,ROW(H338)),MATCH(J$7,$D$7:$L$7,0)),"")</f>
        <v/>
      </c>
      <c r="K344" s="60" t="str">
        <f>IFERROR(INDEX('领用录入（明细）'!$B:$L,SMALL($B:$B,ROW(I338)),MATCH(K$7,$D$7:$L$7,0)),"")</f>
        <v/>
      </c>
      <c r="L344" s="60" t="str">
        <f>IFERROR(INDEX('领用录入（明细）'!$B:$L,SMALL($B:$B,ROW(J338)),MATCH(L$7,$D$7:$L$7,0)),"")</f>
        <v/>
      </c>
      <c r="M344" s="60" t="str">
        <f t="shared" si="5"/>
        <v/>
      </c>
    </row>
    <row r="345" customHeight="1" spans="2:13">
      <c r="B345" s="62">
        <f>IF(AND('领用录入（明细）'!D:D=$F$4,'领用录入（明细）'!C:C&gt;=$J$4,'领用录入（明细）'!C:C&lt;=$L$4),ROW(),"-")</f>
        <v>345</v>
      </c>
      <c r="D345" s="59" t="str">
        <f>IFERROR(INDEX('领用录入（明细）'!$B:$L,SMALL($B:$B,ROW(B339)),MATCH(D$7,$D$7:$L$7,0)),"")</f>
        <v/>
      </c>
      <c r="E345" s="114" t="str">
        <f>IFERROR(INDEX('领用录入（明细）'!$B:$L,SMALL($B:$B,ROW(C339)),MATCH(E$7,$D$7:$L$7,0)),"")</f>
        <v/>
      </c>
      <c r="F345" s="60" t="str">
        <f>IFERROR(INDEX('领用录入（明细）'!$B:$L,SMALL($B:$B,ROW(D339)),MATCH(F$7,$D$7:$L$7,0)),"")</f>
        <v/>
      </c>
      <c r="G345" s="60" t="str">
        <f>IFERROR(INDEX('领用录入（明细）'!$B:$L,SMALL($B:$B,ROW(E339)),MATCH(G$7,$D$7:$L$7,0)),"")</f>
        <v/>
      </c>
      <c r="H345" s="60" t="str">
        <f>IFERROR(INDEX('领用录入（明细）'!$B:$L,SMALL($B:$B,ROW(F339)),MATCH(H$7,$D$7:$L$7,0)),"")</f>
        <v/>
      </c>
      <c r="I345" s="60" t="str">
        <f>IFERROR(INDEX('领用录入（明细）'!$B:$L,SMALL($B:$B,ROW(G339)),MATCH(I$7,$D$7:$L$7,0)),"")</f>
        <v/>
      </c>
      <c r="J345" s="60" t="str">
        <f>IFERROR(INDEX('领用录入（明细）'!$B:$L,SMALL($B:$B,ROW(H339)),MATCH(J$7,$D$7:$L$7,0)),"")</f>
        <v/>
      </c>
      <c r="K345" s="60" t="str">
        <f>IFERROR(INDEX('领用录入（明细）'!$B:$L,SMALL($B:$B,ROW(I339)),MATCH(K$7,$D$7:$L$7,0)),"")</f>
        <v/>
      </c>
      <c r="L345" s="60" t="str">
        <f>IFERROR(INDEX('领用录入（明细）'!$B:$L,SMALL($B:$B,ROW(J339)),MATCH(L$7,$D$7:$L$7,0)),"")</f>
        <v/>
      </c>
      <c r="M345" s="60" t="str">
        <f t="shared" si="5"/>
        <v/>
      </c>
    </row>
    <row r="346" customHeight="1" spans="2:13">
      <c r="B346" s="62">
        <f>IF(AND('领用录入（明细）'!D:D=$F$4,'领用录入（明细）'!C:C&gt;=$J$4,'领用录入（明细）'!C:C&lt;=$L$4),ROW(),"-")</f>
        <v>346</v>
      </c>
      <c r="D346" s="59" t="str">
        <f>IFERROR(INDEX('领用录入（明细）'!$B:$L,SMALL($B:$B,ROW(B340)),MATCH(D$7,$D$7:$L$7,0)),"")</f>
        <v/>
      </c>
      <c r="E346" s="114" t="str">
        <f>IFERROR(INDEX('领用录入（明细）'!$B:$L,SMALL($B:$B,ROW(C340)),MATCH(E$7,$D$7:$L$7,0)),"")</f>
        <v/>
      </c>
      <c r="F346" s="60" t="str">
        <f>IFERROR(INDEX('领用录入（明细）'!$B:$L,SMALL($B:$B,ROW(D340)),MATCH(F$7,$D$7:$L$7,0)),"")</f>
        <v/>
      </c>
      <c r="G346" s="60" t="str">
        <f>IFERROR(INDEX('领用录入（明细）'!$B:$L,SMALL($B:$B,ROW(E340)),MATCH(G$7,$D$7:$L$7,0)),"")</f>
        <v/>
      </c>
      <c r="H346" s="60" t="str">
        <f>IFERROR(INDEX('领用录入（明细）'!$B:$L,SMALL($B:$B,ROW(F340)),MATCH(H$7,$D$7:$L$7,0)),"")</f>
        <v/>
      </c>
      <c r="I346" s="60" t="str">
        <f>IFERROR(INDEX('领用录入（明细）'!$B:$L,SMALL($B:$B,ROW(G340)),MATCH(I$7,$D$7:$L$7,0)),"")</f>
        <v/>
      </c>
      <c r="J346" s="60" t="str">
        <f>IFERROR(INDEX('领用录入（明细）'!$B:$L,SMALL($B:$B,ROW(H340)),MATCH(J$7,$D$7:$L$7,0)),"")</f>
        <v/>
      </c>
      <c r="K346" s="60" t="str">
        <f>IFERROR(INDEX('领用录入（明细）'!$B:$L,SMALL($B:$B,ROW(I340)),MATCH(K$7,$D$7:$L$7,0)),"")</f>
        <v/>
      </c>
      <c r="L346" s="60" t="str">
        <f>IFERROR(INDEX('领用录入（明细）'!$B:$L,SMALL($B:$B,ROW(J340)),MATCH(L$7,$D$7:$L$7,0)),"")</f>
        <v/>
      </c>
      <c r="M346" s="60" t="str">
        <f t="shared" si="5"/>
        <v/>
      </c>
    </row>
    <row r="347" customHeight="1" spans="2:13">
      <c r="B347" s="62">
        <f>IF(AND('领用录入（明细）'!D:D=$F$4,'领用录入（明细）'!C:C&gt;=$J$4,'领用录入（明细）'!C:C&lt;=$L$4),ROW(),"-")</f>
        <v>347</v>
      </c>
      <c r="D347" s="59" t="str">
        <f>IFERROR(INDEX('领用录入（明细）'!$B:$L,SMALL($B:$B,ROW(B341)),MATCH(D$7,$D$7:$L$7,0)),"")</f>
        <v/>
      </c>
      <c r="E347" s="114" t="str">
        <f>IFERROR(INDEX('领用录入（明细）'!$B:$L,SMALL($B:$B,ROW(C341)),MATCH(E$7,$D$7:$L$7,0)),"")</f>
        <v/>
      </c>
      <c r="F347" s="60" t="str">
        <f>IFERROR(INDEX('领用录入（明细）'!$B:$L,SMALL($B:$B,ROW(D341)),MATCH(F$7,$D$7:$L$7,0)),"")</f>
        <v/>
      </c>
      <c r="G347" s="60" t="str">
        <f>IFERROR(INDEX('领用录入（明细）'!$B:$L,SMALL($B:$B,ROW(E341)),MATCH(G$7,$D$7:$L$7,0)),"")</f>
        <v/>
      </c>
      <c r="H347" s="60" t="str">
        <f>IFERROR(INDEX('领用录入（明细）'!$B:$L,SMALL($B:$B,ROW(F341)),MATCH(H$7,$D$7:$L$7,0)),"")</f>
        <v/>
      </c>
      <c r="I347" s="60" t="str">
        <f>IFERROR(INDEX('领用录入（明细）'!$B:$L,SMALL($B:$B,ROW(G341)),MATCH(I$7,$D$7:$L$7,0)),"")</f>
        <v/>
      </c>
      <c r="J347" s="60" t="str">
        <f>IFERROR(INDEX('领用录入（明细）'!$B:$L,SMALL($B:$B,ROW(H341)),MATCH(J$7,$D$7:$L$7,0)),"")</f>
        <v/>
      </c>
      <c r="K347" s="60" t="str">
        <f>IFERROR(INDEX('领用录入（明细）'!$B:$L,SMALL($B:$B,ROW(I341)),MATCH(K$7,$D$7:$L$7,0)),"")</f>
        <v/>
      </c>
      <c r="L347" s="60" t="str">
        <f>IFERROR(INDEX('领用录入（明细）'!$B:$L,SMALL($B:$B,ROW(J341)),MATCH(L$7,$D$7:$L$7,0)),"")</f>
        <v/>
      </c>
      <c r="M347" s="60" t="str">
        <f t="shared" si="5"/>
        <v/>
      </c>
    </row>
    <row r="348" customHeight="1" spans="2:13">
      <c r="B348" s="62">
        <f>IF(AND('领用录入（明细）'!D:D=$F$4,'领用录入（明细）'!C:C&gt;=$J$4,'领用录入（明细）'!C:C&lt;=$L$4),ROW(),"-")</f>
        <v>348</v>
      </c>
      <c r="D348" s="59" t="str">
        <f>IFERROR(INDEX('领用录入（明细）'!$B:$L,SMALL($B:$B,ROW(B342)),MATCH(D$7,$D$7:$L$7,0)),"")</f>
        <v/>
      </c>
      <c r="E348" s="114" t="str">
        <f>IFERROR(INDEX('领用录入（明细）'!$B:$L,SMALL($B:$B,ROW(C342)),MATCH(E$7,$D$7:$L$7,0)),"")</f>
        <v/>
      </c>
      <c r="F348" s="60" t="str">
        <f>IFERROR(INDEX('领用录入（明细）'!$B:$L,SMALL($B:$B,ROW(D342)),MATCH(F$7,$D$7:$L$7,0)),"")</f>
        <v/>
      </c>
      <c r="G348" s="60" t="str">
        <f>IFERROR(INDEX('领用录入（明细）'!$B:$L,SMALL($B:$B,ROW(E342)),MATCH(G$7,$D$7:$L$7,0)),"")</f>
        <v/>
      </c>
      <c r="H348" s="60" t="str">
        <f>IFERROR(INDEX('领用录入（明细）'!$B:$L,SMALL($B:$B,ROW(F342)),MATCH(H$7,$D$7:$L$7,0)),"")</f>
        <v/>
      </c>
      <c r="I348" s="60" t="str">
        <f>IFERROR(INDEX('领用录入（明细）'!$B:$L,SMALL($B:$B,ROW(G342)),MATCH(I$7,$D$7:$L$7,0)),"")</f>
        <v/>
      </c>
      <c r="J348" s="60" t="str">
        <f>IFERROR(INDEX('领用录入（明细）'!$B:$L,SMALL($B:$B,ROW(H342)),MATCH(J$7,$D$7:$L$7,0)),"")</f>
        <v/>
      </c>
      <c r="K348" s="60" t="str">
        <f>IFERROR(INDEX('领用录入（明细）'!$B:$L,SMALL($B:$B,ROW(I342)),MATCH(K$7,$D$7:$L$7,0)),"")</f>
        <v/>
      </c>
      <c r="L348" s="60" t="str">
        <f>IFERROR(INDEX('领用录入（明细）'!$B:$L,SMALL($B:$B,ROW(J342)),MATCH(L$7,$D$7:$L$7,0)),"")</f>
        <v/>
      </c>
      <c r="M348" s="60" t="str">
        <f t="shared" si="5"/>
        <v/>
      </c>
    </row>
    <row r="349" customHeight="1" spans="2:13">
      <c r="B349" s="62" t="str">
        <f>IF(AND('领用录入（明细）'!D:D=$F$4,'领用录入（明细）'!C:C&gt;=$J$4,'领用录入（明细）'!C:C&lt;=$L$4),ROW(),"-")</f>
        <v>-</v>
      </c>
      <c r="D349" s="59" t="str">
        <f>IFERROR(INDEX('领用录入（明细）'!$B:$L,SMALL($B:$B,ROW(B343)),MATCH(D$7,$D$7:$L$7,0)),"")</f>
        <v/>
      </c>
      <c r="E349" s="114" t="str">
        <f>IFERROR(INDEX('领用录入（明细）'!$B:$L,SMALL($B:$B,ROW(C343)),MATCH(E$7,$D$7:$L$7,0)),"")</f>
        <v/>
      </c>
      <c r="F349" s="60" t="str">
        <f>IFERROR(INDEX('领用录入（明细）'!$B:$L,SMALL($B:$B,ROW(D343)),MATCH(F$7,$D$7:$L$7,0)),"")</f>
        <v/>
      </c>
      <c r="G349" s="60" t="str">
        <f>IFERROR(INDEX('领用录入（明细）'!$B:$L,SMALL($B:$B,ROW(E343)),MATCH(G$7,$D$7:$L$7,0)),"")</f>
        <v/>
      </c>
      <c r="H349" s="60" t="str">
        <f>IFERROR(INDEX('领用录入（明细）'!$B:$L,SMALL($B:$B,ROW(F343)),MATCH(H$7,$D$7:$L$7,0)),"")</f>
        <v/>
      </c>
      <c r="I349" s="60" t="str">
        <f>IFERROR(INDEX('领用录入（明细）'!$B:$L,SMALL($B:$B,ROW(G343)),MATCH(I$7,$D$7:$L$7,0)),"")</f>
        <v/>
      </c>
      <c r="J349" s="60" t="str">
        <f>IFERROR(INDEX('领用录入（明细）'!$B:$L,SMALL($B:$B,ROW(H343)),MATCH(J$7,$D$7:$L$7,0)),"")</f>
        <v/>
      </c>
      <c r="K349" s="60" t="str">
        <f>IFERROR(INDEX('领用录入（明细）'!$B:$L,SMALL($B:$B,ROW(I343)),MATCH(K$7,$D$7:$L$7,0)),"")</f>
        <v/>
      </c>
      <c r="L349" s="60" t="str">
        <f>IFERROR(INDEX('领用录入（明细）'!$B:$L,SMALL($B:$B,ROW(J343)),MATCH(L$7,$D$7:$L$7,0)),"")</f>
        <v/>
      </c>
      <c r="M349" s="60" t="str">
        <f t="shared" si="5"/>
        <v/>
      </c>
    </row>
    <row r="350" customHeight="1" spans="2:13">
      <c r="B350" s="62" t="str">
        <f>IF(AND('领用录入（明细）'!D:D=$F$4,'领用录入（明细）'!C:C&gt;=$J$4,'领用录入（明细）'!C:C&lt;=$L$4),ROW(),"-")</f>
        <v>-</v>
      </c>
      <c r="D350" s="59" t="str">
        <f>IFERROR(INDEX('领用录入（明细）'!$B:$L,SMALL($B:$B,ROW(B344)),MATCH(D$7,$D$7:$L$7,0)),"")</f>
        <v/>
      </c>
      <c r="E350" s="114" t="str">
        <f>IFERROR(INDEX('领用录入（明细）'!$B:$L,SMALL($B:$B,ROW(C344)),MATCH(E$7,$D$7:$L$7,0)),"")</f>
        <v/>
      </c>
      <c r="F350" s="60" t="str">
        <f>IFERROR(INDEX('领用录入（明细）'!$B:$L,SMALL($B:$B,ROW(D344)),MATCH(F$7,$D$7:$L$7,0)),"")</f>
        <v/>
      </c>
      <c r="G350" s="60" t="str">
        <f>IFERROR(INDEX('领用录入（明细）'!$B:$L,SMALL($B:$B,ROW(E344)),MATCH(G$7,$D$7:$L$7,0)),"")</f>
        <v/>
      </c>
      <c r="H350" s="60" t="str">
        <f>IFERROR(INDEX('领用录入（明细）'!$B:$L,SMALL($B:$B,ROW(F344)),MATCH(H$7,$D$7:$L$7,0)),"")</f>
        <v/>
      </c>
      <c r="I350" s="60" t="str">
        <f>IFERROR(INDEX('领用录入（明细）'!$B:$L,SMALL($B:$B,ROW(G344)),MATCH(I$7,$D$7:$L$7,0)),"")</f>
        <v/>
      </c>
      <c r="J350" s="60" t="str">
        <f>IFERROR(INDEX('领用录入（明细）'!$B:$L,SMALL($B:$B,ROW(H344)),MATCH(J$7,$D$7:$L$7,0)),"")</f>
        <v/>
      </c>
      <c r="K350" s="60" t="str">
        <f>IFERROR(INDEX('领用录入（明细）'!$B:$L,SMALL($B:$B,ROW(I344)),MATCH(K$7,$D$7:$L$7,0)),"")</f>
        <v/>
      </c>
      <c r="L350" s="60" t="str">
        <f>IFERROR(INDEX('领用录入（明细）'!$B:$L,SMALL($B:$B,ROW(J344)),MATCH(L$7,$D$7:$L$7,0)),"")</f>
        <v/>
      </c>
      <c r="M350" s="60" t="str">
        <f t="shared" si="5"/>
        <v/>
      </c>
    </row>
    <row r="351" customHeight="1" spans="2:13">
      <c r="B351" s="62" t="str">
        <f>IF(AND('领用录入（明细）'!D:D=$F$4,'领用录入（明细）'!C:C&gt;=$J$4,'领用录入（明细）'!C:C&lt;=$L$4),ROW(),"-")</f>
        <v>-</v>
      </c>
      <c r="D351" s="59" t="str">
        <f>IFERROR(INDEX('领用录入（明细）'!$B:$L,SMALL($B:$B,ROW(B345)),MATCH(D$7,$D$7:$L$7,0)),"")</f>
        <v/>
      </c>
      <c r="E351" s="114" t="str">
        <f>IFERROR(INDEX('领用录入（明细）'!$B:$L,SMALL($B:$B,ROW(C345)),MATCH(E$7,$D$7:$L$7,0)),"")</f>
        <v/>
      </c>
      <c r="F351" s="60" t="str">
        <f>IFERROR(INDEX('领用录入（明细）'!$B:$L,SMALL($B:$B,ROW(D345)),MATCH(F$7,$D$7:$L$7,0)),"")</f>
        <v/>
      </c>
      <c r="G351" s="60" t="str">
        <f>IFERROR(INDEX('领用录入（明细）'!$B:$L,SMALL($B:$B,ROW(E345)),MATCH(G$7,$D$7:$L$7,0)),"")</f>
        <v/>
      </c>
      <c r="H351" s="60" t="str">
        <f>IFERROR(INDEX('领用录入（明细）'!$B:$L,SMALL($B:$B,ROW(F345)),MATCH(H$7,$D$7:$L$7,0)),"")</f>
        <v/>
      </c>
      <c r="I351" s="60" t="str">
        <f>IFERROR(INDEX('领用录入（明细）'!$B:$L,SMALL($B:$B,ROW(G345)),MATCH(I$7,$D$7:$L$7,0)),"")</f>
        <v/>
      </c>
      <c r="J351" s="60" t="str">
        <f>IFERROR(INDEX('领用录入（明细）'!$B:$L,SMALL($B:$B,ROW(H345)),MATCH(J$7,$D$7:$L$7,0)),"")</f>
        <v/>
      </c>
      <c r="K351" s="60" t="str">
        <f>IFERROR(INDEX('领用录入（明细）'!$B:$L,SMALL($B:$B,ROW(I345)),MATCH(K$7,$D$7:$L$7,0)),"")</f>
        <v/>
      </c>
      <c r="L351" s="60" t="str">
        <f>IFERROR(INDEX('领用录入（明细）'!$B:$L,SMALL($B:$B,ROW(J345)),MATCH(L$7,$D$7:$L$7,0)),"")</f>
        <v/>
      </c>
      <c r="M351" s="60" t="str">
        <f t="shared" si="5"/>
        <v/>
      </c>
    </row>
    <row r="352" customHeight="1" spans="2:13">
      <c r="B352" s="62" t="str">
        <f>IF(AND('领用录入（明细）'!D:D=$F$4,'领用录入（明细）'!C:C&gt;=$J$4,'领用录入（明细）'!C:C&lt;=$L$4),ROW(),"-")</f>
        <v>-</v>
      </c>
      <c r="D352" s="59" t="str">
        <f>IFERROR(INDEX('领用录入（明细）'!$B:$L,SMALL($B:$B,ROW(B346)),MATCH(D$7,$D$7:$L$7,0)),"")</f>
        <v/>
      </c>
      <c r="E352" s="114" t="str">
        <f>IFERROR(INDEX('领用录入（明细）'!$B:$L,SMALL($B:$B,ROW(C346)),MATCH(E$7,$D$7:$L$7,0)),"")</f>
        <v/>
      </c>
      <c r="F352" s="60" t="str">
        <f>IFERROR(INDEX('领用录入（明细）'!$B:$L,SMALL($B:$B,ROW(D346)),MATCH(F$7,$D$7:$L$7,0)),"")</f>
        <v/>
      </c>
      <c r="G352" s="60" t="str">
        <f>IFERROR(INDEX('领用录入（明细）'!$B:$L,SMALL($B:$B,ROW(E346)),MATCH(G$7,$D$7:$L$7,0)),"")</f>
        <v/>
      </c>
      <c r="H352" s="60" t="str">
        <f>IFERROR(INDEX('领用录入（明细）'!$B:$L,SMALL($B:$B,ROW(F346)),MATCH(H$7,$D$7:$L$7,0)),"")</f>
        <v/>
      </c>
      <c r="I352" s="60" t="str">
        <f>IFERROR(INDEX('领用录入（明细）'!$B:$L,SMALL($B:$B,ROW(G346)),MATCH(I$7,$D$7:$L$7,0)),"")</f>
        <v/>
      </c>
      <c r="J352" s="60" t="str">
        <f>IFERROR(INDEX('领用录入（明细）'!$B:$L,SMALL($B:$B,ROW(H346)),MATCH(J$7,$D$7:$L$7,0)),"")</f>
        <v/>
      </c>
      <c r="K352" s="60" t="str">
        <f>IFERROR(INDEX('领用录入（明细）'!$B:$L,SMALL($B:$B,ROW(I346)),MATCH(K$7,$D$7:$L$7,0)),"")</f>
        <v/>
      </c>
      <c r="L352" s="60" t="str">
        <f>IFERROR(INDEX('领用录入（明细）'!$B:$L,SMALL($B:$B,ROW(J346)),MATCH(L$7,$D$7:$L$7,0)),"")</f>
        <v/>
      </c>
      <c r="M352" s="60" t="str">
        <f t="shared" si="5"/>
        <v/>
      </c>
    </row>
    <row r="353" customHeight="1" spans="2:13">
      <c r="B353" s="62" t="str">
        <f>IF(AND('领用录入（明细）'!D:D=$F$4,'领用录入（明细）'!C:C&gt;=$J$4,'领用录入（明细）'!C:C&lt;=$L$4),ROW(),"-")</f>
        <v>-</v>
      </c>
      <c r="D353" s="59" t="str">
        <f>IFERROR(INDEX('领用录入（明细）'!$B:$L,SMALL($B:$B,ROW(B347)),MATCH(D$7,$D$7:$L$7,0)),"")</f>
        <v/>
      </c>
      <c r="E353" s="114" t="str">
        <f>IFERROR(INDEX('领用录入（明细）'!$B:$L,SMALL($B:$B,ROW(C347)),MATCH(E$7,$D$7:$L$7,0)),"")</f>
        <v/>
      </c>
      <c r="F353" s="60" t="str">
        <f>IFERROR(INDEX('领用录入（明细）'!$B:$L,SMALL($B:$B,ROW(D347)),MATCH(F$7,$D$7:$L$7,0)),"")</f>
        <v/>
      </c>
      <c r="G353" s="60" t="str">
        <f>IFERROR(INDEX('领用录入（明细）'!$B:$L,SMALL($B:$B,ROW(E347)),MATCH(G$7,$D$7:$L$7,0)),"")</f>
        <v/>
      </c>
      <c r="H353" s="60" t="str">
        <f>IFERROR(INDEX('领用录入（明细）'!$B:$L,SMALL($B:$B,ROW(F347)),MATCH(H$7,$D$7:$L$7,0)),"")</f>
        <v/>
      </c>
      <c r="I353" s="60" t="str">
        <f>IFERROR(INDEX('领用录入（明细）'!$B:$L,SMALL($B:$B,ROW(G347)),MATCH(I$7,$D$7:$L$7,0)),"")</f>
        <v/>
      </c>
      <c r="J353" s="60" t="str">
        <f>IFERROR(INDEX('领用录入（明细）'!$B:$L,SMALL($B:$B,ROW(H347)),MATCH(J$7,$D$7:$L$7,0)),"")</f>
        <v/>
      </c>
      <c r="K353" s="60" t="str">
        <f>IFERROR(INDEX('领用录入（明细）'!$B:$L,SMALL($B:$B,ROW(I347)),MATCH(K$7,$D$7:$L$7,0)),"")</f>
        <v/>
      </c>
      <c r="L353" s="60" t="str">
        <f>IFERROR(INDEX('领用录入（明细）'!$B:$L,SMALL($B:$B,ROW(J347)),MATCH(L$7,$D$7:$L$7,0)),"")</f>
        <v/>
      </c>
      <c r="M353" s="60" t="str">
        <f t="shared" si="5"/>
        <v/>
      </c>
    </row>
    <row r="354" customHeight="1" spans="2:13">
      <c r="B354" s="62" t="str">
        <f>IF(AND('领用录入（明细）'!D:D=$F$4,'领用录入（明细）'!C:C&gt;=$J$4,'领用录入（明细）'!C:C&lt;=$L$4),ROW(),"-")</f>
        <v>-</v>
      </c>
      <c r="D354" s="59" t="str">
        <f>IFERROR(INDEX('领用录入（明细）'!$B:$L,SMALL($B:$B,ROW(B348)),MATCH(D$7,$D$7:$L$7,0)),"")</f>
        <v/>
      </c>
      <c r="E354" s="114" t="str">
        <f>IFERROR(INDEX('领用录入（明细）'!$B:$L,SMALL($B:$B,ROW(C348)),MATCH(E$7,$D$7:$L$7,0)),"")</f>
        <v/>
      </c>
      <c r="F354" s="60" t="str">
        <f>IFERROR(INDEX('领用录入（明细）'!$B:$L,SMALL($B:$B,ROW(D348)),MATCH(F$7,$D$7:$L$7,0)),"")</f>
        <v/>
      </c>
      <c r="G354" s="60" t="str">
        <f>IFERROR(INDEX('领用录入（明细）'!$B:$L,SMALL($B:$B,ROW(E348)),MATCH(G$7,$D$7:$L$7,0)),"")</f>
        <v/>
      </c>
      <c r="H354" s="60" t="str">
        <f>IFERROR(INDEX('领用录入（明细）'!$B:$L,SMALL($B:$B,ROW(F348)),MATCH(H$7,$D$7:$L$7,0)),"")</f>
        <v/>
      </c>
      <c r="I354" s="60" t="str">
        <f>IFERROR(INDEX('领用录入（明细）'!$B:$L,SMALL($B:$B,ROW(G348)),MATCH(I$7,$D$7:$L$7,0)),"")</f>
        <v/>
      </c>
      <c r="J354" s="60" t="str">
        <f>IFERROR(INDEX('领用录入（明细）'!$B:$L,SMALL($B:$B,ROW(H348)),MATCH(J$7,$D$7:$L$7,0)),"")</f>
        <v/>
      </c>
      <c r="K354" s="60" t="str">
        <f>IFERROR(INDEX('领用录入（明细）'!$B:$L,SMALL($B:$B,ROW(I348)),MATCH(K$7,$D$7:$L$7,0)),"")</f>
        <v/>
      </c>
      <c r="L354" s="60" t="str">
        <f>IFERROR(INDEX('领用录入（明细）'!$B:$L,SMALL($B:$B,ROW(J348)),MATCH(L$7,$D$7:$L$7,0)),"")</f>
        <v/>
      </c>
      <c r="M354" s="60" t="str">
        <f t="shared" si="5"/>
        <v/>
      </c>
    </row>
    <row r="355" customHeight="1" spans="2:13">
      <c r="B355" s="62" t="str">
        <f>IF(AND('领用录入（明细）'!D:D=$F$4,'领用录入（明细）'!C:C&gt;=$J$4,'领用录入（明细）'!C:C&lt;=$L$4),ROW(),"-")</f>
        <v>-</v>
      </c>
      <c r="D355" s="59" t="str">
        <f>IFERROR(INDEX('领用录入（明细）'!$B:$L,SMALL($B:$B,ROW(B349)),MATCH(D$7,$D$7:$L$7,0)),"")</f>
        <v/>
      </c>
      <c r="E355" s="114" t="str">
        <f>IFERROR(INDEX('领用录入（明细）'!$B:$L,SMALL($B:$B,ROW(C349)),MATCH(E$7,$D$7:$L$7,0)),"")</f>
        <v/>
      </c>
      <c r="F355" s="60" t="str">
        <f>IFERROR(INDEX('领用录入（明细）'!$B:$L,SMALL($B:$B,ROW(D349)),MATCH(F$7,$D$7:$L$7,0)),"")</f>
        <v/>
      </c>
      <c r="G355" s="60" t="str">
        <f>IFERROR(INDEX('领用录入（明细）'!$B:$L,SMALL($B:$B,ROW(E349)),MATCH(G$7,$D$7:$L$7,0)),"")</f>
        <v/>
      </c>
      <c r="H355" s="60" t="str">
        <f>IFERROR(INDEX('领用录入（明细）'!$B:$L,SMALL($B:$B,ROW(F349)),MATCH(H$7,$D$7:$L$7,0)),"")</f>
        <v/>
      </c>
      <c r="I355" s="60" t="str">
        <f>IFERROR(INDEX('领用录入（明细）'!$B:$L,SMALL($B:$B,ROW(G349)),MATCH(I$7,$D$7:$L$7,0)),"")</f>
        <v/>
      </c>
      <c r="J355" s="60" t="str">
        <f>IFERROR(INDEX('领用录入（明细）'!$B:$L,SMALL($B:$B,ROW(H349)),MATCH(J$7,$D$7:$L$7,0)),"")</f>
        <v/>
      </c>
      <c r="K355" s="60" t="str">
        <f>IFERROR(INDEX('领用录入（明细）'!$B:$L,SMALL($B:$B,ROW(I349)),MATCH(K$7,$D$7:$L$7,0)),"")</f>
        <v/>
      </c>
      <c r="L355" s="60" t="str">
        <f>IFERROR(INDEX('领用录入（明细）'!$B:$L,SMALL($B:$B,ROW(J349)),MATCH(L$7,$D$7:$L$7,0)),"")</f>
        <v/>
      </c>
      <c r="M355" s="60" t="str">
        <f t="shared" si="5"/>
        <v/>
      </c>
    </row>
    <row r="356" customHeight="1" spans="2:13">
      <c r="B356" s="62" t="str">
        <f>IF(AND('领用录入（明细）'!D:D=$F$4,'领用录入（明细）'!C:C&gt;=$J$4,'领用录入（明细）'!C:C&lt;=$L$4),ROW(),"-")</f>
        <v>-</v>
      </c>
      <c r="D356" s="59" t="str">
        <f>IFERROR(INDEX('领用录入（明细）'!$B:$L,SMALL($B:$B,ROW(B350)),MATCH(D$7,$D$7:$L$7,0)),"")</f>
        <v/>
      </c>
      <c r="E356" s="114" t="str">
        <f>IFERROR(INDEX('领用录入（明细）'!$B:$L,SMALL($B:$B,ROW(C350)),MATCH(E$7,$D$7:$L$7,0)),"")</f>
        <v/>
      </c>
      <c r="F356" s="60" t="str">
        <f>IFERROR(INDEX('领用录入（明细）'!$B:$L,SMALL($B:$B,ROW(D350)),MATCH(F$7,$D$7:$L$7,0)),"")</f>
        <v/>
      </c>
      <c r="G356" s="60" t="str">
        <f>IFERROR(INDEX('领用录入（明细）'!$B:$L,SMALL($B:$B,ROW(E350)),MATCH(G$7,$D$7:$L$7,0)),"")</f>
        <v/>
      </c>
      <c r="H356" s="60" t="str">
        <f>IFERROR(INDEX('领用录入（明细）'!$B:$L,SMALL($B:$B,ROW(F350)),MATCH(H$7,$D$7:$L$7,0)),"")</f>
        <v/>
      </c>
      <c r="I356" s="60" t="str">
        <f>IFERROR(INDEX('领用录入（明细）'!$B:$L,SMALL($B:$B,ROW(G350)),MATCH(I$7,$D$7:$L$7,0)),"")</f>
        <v/>
      </c>
      <c r="J356" s="60" t="str">
        <f>IFERROR(INDEX('领用录入（明细）'!$B:$L,SMALL($B:$B,ROW(H350)),MATCH(J$7,$D$7:$L$7,0)),"")</f>
        <v/>
      </c>
      <c r="K356" s="60" t="str">
        <f>IFERROR(INDEX('领用录入（明细）'!$B:$L,SMALL($B:$B,ROW(I350)),MATCH(K$7,$D$7:$L$7,0)),"")</f>
        <v/>
      </c>
      <c r="L356" s="60" t="str">
        <f>IFERROR(INDEX('领用录入（明细）'!$B:$L,SMALL($B:$B,ROW(J350)),MATCH(L$7,$D$7:$L$7,0)),"")</f>
        <v/>
      </c>
      <c r="M356" s="60" t="str">
        <f t="shared" si="5"/>
        <v/>
      </c>
    </row>
    <row r="357" customHeight="1" spans="2:13">
      <c r="B357" s="62" t="str">
        <f>IF(AND('领用录入（明细）'!D:D=$F$4,'领用录入（明细）'!C:C&gt;=$J$4,'领用录入（明细）'!C:C&lt;=$L$4),ROW(),"-")</f>
        <v>-</v>
      </c>
      <c r="D357" s="59" t="str">
        <f>IFERROR(INDEX('领用录入（明细）'!$B:$L,SMALL($B:$B,ROW(B351)),MATCH(D$7,$D$7:$L$7,0)),"")</f>
        <v/>
      </c>
      <c r="E357" s="114" t="str">
        <f>IFERROR(INDEX('领用录入（明细）'!$B:$L,SMALL($B:$B,ROW(C351)),MATCH(E$7,$D$7:$L$7,0)),"")</f>
        <v/>
      </c>
      <c r="F357" s="60" t="str">
        <f>IFERROR(INDEX('领用录入（明细）'!$B:$L,SMALL($B:$B,ROW(D351)),MATCH(F$7,$D$7:$L$7,0)),"")</f>
        <v/>
      </c>
      <c r="G357" s="60" t="str">
        <f>IFERROR(INDEX('领用录入（明细）'!$B:$L,SMALL($B:$B,ROW(E351)),MATCH(G$7,$D$7:$L$7,0)),"")</f>
        <v/>
      </c>
      <c r="H357" s="60" t="str">
        <f>IFERROR(INDEX('领用录入（明细）'!$B:$L,SMALL($B:$B,ROW(F351)),MATCH(H$7,$D$7:$L$7,0)),"")</f>
        <v/>
      </c>
      <c r="I357" s="60" t="str">
        <f>IFERROR(INDEX('领用录入（明细）'!$B:$L,SMALL($B:$B,ROW(G351)),MATCH(I$7,$D$7:$L$7,0)),"")</f>
        <v/>
      </c>
      <c r="J357" s="60" t="str">
        <f>IFERROR(INDEX('领用录入（明细）'!$B:$L,SMALL($B:$B,ROW(H351)),MATCH(J$7,$D$7:$L$7,0)),"")</f>
        <v/>
      </c>
      <c r="K357" s="60" t="str">
        <f>IFERROR(INDEX('领用录入（明细）'!$B:$L,SMALL($B:$B,ROW(I351)),MATCH(K$7,$D$7:$L$7,0)),"")</f>
        <v/>
      </c>
      <c r="L357" s="60" t="str">
        <f>IFERROR(INDEX('领用录入（明细）'!$B:$L,SMALL($B:$B,ROW(J351)),MATCH(L$7,$D$7:$L$7,0)),"")</f>
        <v/>
      </c>
      <c r="M357" s="60" t="str">
        <f t="shared" si="5"/>
        <v/>
      </c>
    </row>
    <row r="358" customHeight="1" spans="2:13">
      <c r="B358" s="62" t="str">
        <f>IF(AND('领用录入（明细）'!D:D=$F$4,'领用录入（明细）'!C:C&gt;=$J$4,'领用录入（明细）'!C:C&lt;=$L$4),ROW(),"-")</f>
        <v>-</v>
      </c>
      <c r="D358" s="59" t="str">
        <f>IFERROR(INDEX('领用录入（明细）'!$B:$L,SMALL($B:$B,ROW(B352)),MATCH(D$7,$D$7:$L$7,0)),"")</f>
        <v/>
      </c>
      <c r="E358" s="114" t="str">
        <f>IFERROR(INDEX('领用录入（明细）'!$B:$L,SMALL($B:$B,ROW(C352)),MATCH(E$7,$D$7:$L$7,0)),"")</f>
        <v/>
      </c>
      <c r="F358" s="60" t="str">
        <f>IFERROR(INDEX('领用录入（明细）'!$B:$L,SMALL($B:$B,ROW(D352)),MATCH(F$7,$D$7:$L$7,0)),"")</f>
        <v/>
      </c>
      <c r="G358" s="60" t="str">
        <f>IFERROR(INDEX('领用录入（明细）'!$B:$L,SMALL($B:$B,ROW(E352)),MATCH(G$7,$D$7:$L$7,0)),"")</f>
        <v/>
      </c>
      <c r="H358" s="60" t="str">
        <f>IFERROR(INDEX('领用录入（明细）'!$B:$L,SMALL($B:$B,ROW(F352)),MATCH(H$7,$D$7:$L$7,0)),"")</f>
        <v/>
      </c>
      <c r="I358" s="60" t="str">
        <f>IFERROR(INDEX('领用录入（明细）'!$B:$L,SMALL($B:$B,ROW(G352)),MATCH(I$7,$D$7:$L$7,0)),"")</f>
        <v/>
      </c>
      <c r="J358" s="60" t="str">
        <f>IFERROR(INDEX('领用录入（明细）'!$B:$L,SMALL($B:$B,ROW(H352)),MATCH(J$7,$D$7:$L$7,0)),"")</f>
        <v/>
      </c>
      <c r="K358" s="60" t="str">
        <f>IFERROR(INDEX('领用录入（明细）'!$B:$L,SMALL($B:$B,ROW(I352)),MATCH(K$7,$D$7:$L$7,0)),"")</f>
        <v/>
      </c>
      <c r="L358" s="60" t="str">
        <f>IFERROR(INDEX('领用录入（明细）'!$B:$L,SMALL($B:$B,ROW(J352)),MATCH(L$7,$D$7:$L$7,0)),"")</f>
        <v/>
      </c>
      <c r="M358" s="60" t="str">
        <f t="shared" si="5"/>
        <v/>
      </c>
    </row>
    <row r="359" customHeight="1" spans="2:13">
      <c r="B359" s="62" t="str">
        <f>IF(AND('领用录入（明细）'!D:D=$F$4,'领用录入（明细）'!C:C&gt;=$J$4,'领用录入（明细）'!C:C&lt;=$L$4),ROW(),"-")</f>
        <v>-</v>
      </c>
      <c r="D359" s="59" t="str">
        <f>IFERROR(INDEX('领用录入（明细）'!$B:$L,SMALL($B:$B,ROW(B353)),MATCH(D$7,$D$7:$L$7,0)),"")</f>
        <v/>
      </c>
      <c r="E359" s="114" t="str">
        <f>IFERROR(INDEX('领用录入（明细）'!$B:$L,SMALL($B:$B,ROW(C353)),MATCH(E$7,$D$7:$L$7,0)),"")</f>
        <v/>
      </c>
      <c r="F359" s="60" t="str">
        <f>IFERROR(INDEX('领用录入（明细）'!$B:$L,SMALL($B:$B,ROW(D353)),MATCH(F$7,$D$7:$L$7,0)),"")</f>
        <v/>
      </c>
      <c r="G359" s="60" t="str">
        <f>IFERROR(INDEX('领用录入（明细）'!$B:$L,SMALL($B:$B,ROW(E353)),MATCH(G$7,$D$7:$L$7,0)),"")</f>
        <v/>
      </c>
      <c r="H359" s="60" t="str">
        <f>IFERROR(INDEX('领用录入（明细）'!$B:$L,SMALL($B:$B,ROW(F353)),MATCH(H$7,$D$7:$L$7,0)),"")</f>
        <v/>
      </c>
      <c r="I359" s="60" t="str">
        <f>IFERROR(INDEX('领用录入（明细）'!$B:$L,SMALL($B:$B,ROW(G353)),MATCH(I$7,$D$7:$L$7,0)),"")</f>
        <v/>
      </c>
      <c r="J359" s="60" t="str">
        <f>IFERROR(INDEX('领用录入（明细）'!$B:$L,SMALL($B:$B,ROW(H353)),MATCH(J$7,$D$7:$L$7,0)),"")</f>
        <v/>
      </c>
      <c r="K359" s="60" t="str">
        <f>IFERROR(INDEX('领用录入（明细）'!$B:$L,SMALL($B:$B,ROW(I353)),MATCH(K$7,$D$7:$L$7,0)),"")</f>
        <v/>
      </c>
      <c r="L359" s="60" t="str">
        <f>IFERROR(INDEX('领用录入（明细）'!$B:$L,SMALL($B:$B,ROW(J353)),MATCH(L$7,$D$7:$L$7,0)),"")</f>
        <v/>
      </c>
      <c r="M359" s="60" t="str">
        <f t="shared" si="5"/>
        <v/>
      </c>
    </row>
    <row r="360" customHeight="1" spans="2:13">
      <c r="B360" s="62" t="str">
        <f>IF(AND('领用录入（明细）'!D:D=$F$4,'领用录入（明细）'!C:C&gt;=$J$4,'领用录入（明细）'!C:C&lt;=$L$4),ROW(),"-")</f>
        <v>-</v>
      </c>
      <c r="D360" s="59" t="str">
        <f>IFERROR(INDEX('领用录入（明细）'!$B:$L,SMALL($B:$B,ROW(B354)),MATCH(D$7,$D$7:$L$7,0)),"")</f>
        <v/>
      </c>
      <c r="E360" s="114" t="str">
        <f>IFERROR(INDEX('领用录入（明细）'!$B:$L,SMALL($B:$B,ROW(C354)),MATCH(E$7,$D$7:$L$7,0)),"")</f>
        <v/>
      </c>
      <c r="F360" s="60" t="str">
        <f>IFERROR(INDEX('领用录入（明细）'!$B:$L,SMALL($B:$B,ROW(D354)),MATCH(F$7,$D$7:$L$7,0)),"")</f>
        <v/>
      </c>
      <c r="G360" s="60" t="str">
        <f>IFERROR(INDEX('领用录入（明细）'!$B:$L,SMALL($B:$B,ROW(E354)),MATCH(G$7,$D$7:$L$7,0)),"")</f>
        <v/>
      </c>
      <c r="H360" s="60" t="str">
        <f>IFERROR(INDEX('领用录入（明细）'!$B:$L,SMALL($B:$B,ROW(F354)),MATCH(H$7,$D$7:$L$7,0)),"")</f>
        <v/>
      </c>
      <c r="I360" s="60" t="str">
        <f>IFERROR(INDEX('领用录入（明细）'!$B:$L,SMALL($B:$B,ROW(G354)),MATCH(I$7,$D$7:$L$7,0)),"")</f>
        <v/>
      </c>
      <c r="J360" s="60" t="str">
        <f>IFERROR(INDEX('领用录入（明细）'!$B:$L,SMALL($B:$B,ROW(H354)),MATCH(J$7,$D$7:$L$7,0)),"")</f>
        <v/>
      </c>
      <c r="K360" s="60" t="str">
        <f>IFERROR(INDEX('领用录入（明细）'!$B:$L,SMALL($B:$B,ROW(I354)),MATCH(K$7,$D$7:$L$7,0)),"")</f>
        <v/>
      </c>
      <c r="L360" s="60" t="str">
        <f>IFERROR(INDEX('领用录入（明细）'!$B:$L,SMALL($B:$B,ROW(J354)),MATCH(L$7,$D$7:$L$7,0)),"")</f>
        <v/>
      </c>
      <c r="M360" s="60" t="str">
        <f t="shared" si="5"/>
        <v/>
      </c>
    </row>
    <row r="361" customHeight="1" spans="2:13">
      <c r="B361" s="62" t="str">
        <f>IF(AND('领用录入（明细）'!D:D=$F$4,'领用录入（明细）'!C:C&gt;=$J$4,'领用录入（明细）'!C:C&lt;=$L$4),ROW(),"-")</f>
        <v>-</v>
      </c>
      <c r="D361" s="59" t="str">
        <f>IFERROR(INDEX('领用录入（明细）'!$B:$L,SMALL($B:$B,ROW(B355)),MATCH(D$7,$D$7:$L$7,0)),"")</f>
        <v/>
      </c>
      <c r="E361" s="114" t="str">
        <f>IFERROR(INDEX('领用录入（明细）'!$B:$L,SMALL($B:$B,ROW(C355)),MATCH(E$7,$D$7:$L$7,0)),"")</f>
        <v/>
      </c>
      <c r="F361" s="60" t="str">
        <f>IFERROR(INDEX('领用录入（明细）'!$B:$L,SMALL($B:$B,ROW(D355)),MATCH(F$7,$D$7:$L$7,0)),"")</f>
        <v/>
      </c>
      <c r="G361" s="60" t="str">
        <f>IFERROR(INDEX('领用录入（明细）'!$B:$L,SMALL($B:$B,ROW(E355)),MATCH(G$7,$D$7:$L$7,0)),"")</f>
        <v/>
      </c>
      <c r="H361" s="60" t="str">
        <f>IFERROR(INDEX('领用录入（明细）'!$B:$L,SMALL($B:$B,ROW(F355)),MATCH(H$7,$D$7:$L$7,0)),"")</f>
        <v/>
      </c>
      <c r="I361" s="60" t="str">
        <f>IFERROR(INDEX('领用录入（明细）'!$B:$L,SMALL($B:$B,ROW(G355)),MATCH(I$7,$D$7:$L$7,0)),"")</f>
        <v/>
      </c>
      <c r="J361" s="60" t="str">
        <f>IFERROR(INDEX('领用录入（明细）'!$B:$L,SMALL($B:$B,ROW(H355)),MATCH(J$7,$D$7:$L$7,0)),"")</f>
        <v/>
      </c>
      <c r="K361" s="60" t="str">
        <f>IFERROR(INDEX('领用录入（明细）'!$B:$L,SMALL($B:$B,ROW(I355)),MATCH(K$7,$D$7:$L$7,0)),"")</f>
        <v/>
      </c>
      <c r="L361" s="60" t="str">
        <f>IFERROR(INDEX('领用录入（明细）'!$B:$L,SMALL($B:$B,ROW(J355)),MATCH(L$7,$D$7:$L$7,0)),"")</f>
        <v/>
      </c>
      <c r="M361" s="60" t="str">
        <f t="shared" si="5"/>
        <v/>
      </c>
    </row>
    <row r="362" customHeight="1" spans="2:13">
      <c r="B362" s="62" t="str">
        <f>IF(AND('领用录入（明细）'!D:D=$F$4,'领用录入（明细）'!C:C&gt;=$J$4,'领用录入（明细）'!C:C&lt;=$L$4),ROW(),"-")</f>
        <v>-</v>
      </c>
      <c r="D362" s="59" t="str">
        <f>IFERROR(INDEX('领用录入（明细）'!$B:$L,SMALL($B:$B,ROW(B356)),MATCH(D$7,$D$7:$L$7,0)),"")</f>
        <v/>
      </c>
      <c r="E362" s="114" t="str">
        <f>IFERROR(INDEX('领用录入（明细）'!$B:$L,SMALL($B:$B,ROW(C356)),MATCH(E$7,$D$7:$L$7,0)),"")</f>
        <v/>
      </c>
      <c r="F362" s="60" t="str">
        <f>IFERROR(INDEX('领用录入（明细）'!$B:$L,SMALL($B:$B,ROW(D356)),MATCH(F$7,$D$7:$L$7,0)),"")</f>
        <v/>
      </c>
      <c r="G362" s="60" t="str">
        <f>IFERROR(INDEX('领用录入（明细）'!$B:$L,SMALL($B:$B,ROW(E356)),MATCH(G$7,$D$7:$L$7,0)),"")</f>
        <v/>
      </c>
      <c r="H362" s="60" t="str">
        <f>IFERROR(INDEX('领用录入（明细）'!$B:$L,SMALL($B:$B,ROW(F356)),MATCH(H$7,$D$7:$L$7,0)),"")</f>
        <v/>
      </c>
      <c r="I362" s="60" t="str">
        <f>IFERROR(INDEX('领用录入（明细）'!$B:$L,SMALL($B:$B,ROW(G356)),MATCH(I$7,$D$7:$L$7,0)),"")</f>
        <v/>
      </c>
      <c r="J362" s="60" t="str">
        <f>IFERROR(INDEX('领用录入（明细）'!$B:$L,SMALL($B:$B,ROW(H356)),MATCH(J$7,$D$7:$L$7,0)),"")</f>
        <v/>
      </c>
      <c r="K362" s="60" t="str">
        <f>IFERROR(INDEX('领用录入（明细）'!$B:$L,SMALL($B:$B,ROW(I356)),MATCH(K$7,$D$7:$L$7,0)),"")</f>
        <v/>
      </c>
      <c r="L362" s="60" t="str">
        <f>IFERROR(INDEX('领用录入（明细）'!$B:$L,SMALL($B:$B,ROW(J356)),MATCH(L$7,$D$7:$L$7,0)),"")</f>
        <v/>
      </c>
      <c r="M362" s="60" t="str">
        <f t="shared" si="5"/>
        <v/>
      </c>
    </row>
    <row r="363" customHeight="1" spans="2:13">
      <c r="B363" s="62" t="str">
        <f>IF(AND('领用录入（明细）'!D:D=$F$4,'领用录入（明细）'!C:C&gt;=$J$4,'领用录入（明细）'!C:C&lt;=$L$4),ROW(),"-")</f>
        <v>-</v>
      </c>
      <c r="D363" s="59" t="str">
        <f>IFERROR(INDEX('领用录入（明细）'!$B:$L,SMALL($B:$B,ROW(B357)),MATCH(D$7,$D$7:$L$7,0)),"")</f>
        <v/>
      </c>
      <c r="E363" s="114" t="str">
        <f>IFERROR(INDEX('领用录入（明细）'!$B:$L,SMALL($B:$B,ROW(C357)),MATCH(E$7,$D$7:$L$7,0)),"")</f>
        <v/>
      </c>
      <c r="F363" s="60" t="str">
        <f>IFERROR(INDEX('领用录入（明细）'!$B:$L,SMALL($B:$B,ROW(D357)),MATCH(F$7,$D$7:$L$7,0)),"")</f>
        <v/>
      </c>
      <c r="G363" s="60" t="str">
        <f>IFERROR(INDEX('领用录入（明细）'!$B:$L,SMALL($B:$B,ROW(E357)),MATCH(G$7,$D$7:$L$7,0)),"")</f>
        <v/>
      </c>
      <c r="H363" s="60" t="str">
        <f>IFERROR(INDEX('领用录入（明细）'!$B:$L,SMALL($B:$B,ROW(F357)),MATCH(H$7,$D$7:$L$7,0)),"")</f>
        <v/>
      </c>
      <c r="I363" s="60" t="str">
        <f>IFERROR(INDEX('领用录入（明细）'!$B:$L,SMALL($B:$B,ROW(G357)),MATCH(I$7,$D$7:$L$7,0)),"")</f>
        <v/>
      </c>
      <c r="J363" s="60" t="str">
        <f>IFERROR(INDEX('领用录入（明细）'!$B:$L,SMALL($B:$B,ROW(H357)),MATCH(J$7,$D$7:$L$7,0)),"")</f>
        <v/>
      </c>
      <c r="K363" s="60" t="str">
        <f>IFERROR(INDEX('领用录入（明细）'!$B:$L,SMALL($B:$B,ROW(I357)),MATCH(K$7,$D$7:$L$7,0)),"")</f>
        <v/>
      </c>
      <c r="L363" s="60" t="str">
        <f>IFERROR(INDEX('领用录入（明细）'!$B:$L,SMALL($B:$B,ROW(J357)),MATCH(L$7,$D$7:$L$7,0)),"")</f>
        <v/>
      </c>
      <c r="M363" s="60" t="str">
        <f t="shared" si="5"/>
        <v/>
      </c>
    </row>
    <row r="364" customHeight="1" spans="2:13">
      <c r="B364" s="62" t="str">
        <f>IF(AND('领用录入（明细）'!D:D=$F$4,'领用录入（明细）'!C:C&gt;=$J$4,'领用录入（明细）'!C:C&lt;=$L$4),ROW(),"-")</f>
        <v>-</v>
      </c>
      <c r="D364" s="59" t="str">
        <f>IFERROR(INDEX('领用录入（明细）'!$B:$L,SMALL($B:$B,ROW(B358)),MATCH(D$7,$D$7:$L$7,0)),"")</f>
        <v/>
      </c>
      <c r="E364" s="114" t="str">
        <f>IFERROR(INDEX('领用录入（明细）'!$B:$L,SMALL($B:$B,ROW(C358)),MATCH(E$7,$D$7:$L$7,0)),"")</f>
        <v/>
      </c>
      <c r="F364" s="60" t="str">
        <f>IFERROR(INDEX('领用录入（明细）'!$B:$L,SMALL($B:$B,ROW(D358)),MATCH(F$7,$D$7:$L$7,0)),"")</f>
        <v/>
      </c>
      <c r="G364" s="60" t="str">
        <f>IFERROR(INDEX('领用录入（明细）'!$B:$L,SMALL($B:$B,ROW(E358)),MATCH(G$7,$D$7:$L$7,0)),"")</f>
        <v/>
      </c>
      <c r="H364" s="60" t="str">
        <f>IFERROR(INDEX('领用录入（明细）'!$B:$L,SMALL($B:$B,ROW(F358)),MATCH(H$7,$D$7:$L$7,0)),"")</f>
        <v/>
      </c>
      <c r="I364" s="60" t="str">
        <f>IFERROR(INDEX('领用录入（明细）'!$B:$L,SMALL($B:$B,ROW(G358)),MATCH(I$7,$D$7:$L$7,0)),"")</f>
        <v/>
      </c>
      <c r="J364" s="60" t="str">
        <f>IFERROR(INDEX('领用录入（明细）'!$B:$L,SMALL($B:$B,ROW(H358)),MATCH(J$7,$D$7:$L$7,0)),"")</f>
        <v/>
      </c>
      <c r="K364" s="60" t="str">
        <f>IFERROR(INDEX('领用录入（明细）'!$B:$L,SMALL($B:$B,ROW(I358)),MATCH(K$7,$D$7:$L$7,0)),"")</f>
        <v/>
      </c>
      <c r="L364" s="60" t="str">
        <f>IFERROR(INDEX('领用录入（明细）'!$B:$L,SMALL($B:$B,ROW(J358)),MATCH(L$7,$D$7:$L$7,0)),"")</f>
        <v/>
      </c>
      <c r="M364" s="60" t="str">
        <f t="shared" si="5"/>
        <v/>
      </c>
    </row>
    <row r="365" customHeight="1" spans="2:13">
      <c r="B365" s="62" t="str">
        <f>IF(AND('领用录入（明细）'!D:D=$F$4,'领用录入（明细）'!C:C&gt;=$J$4,'领用录入（明细）'!C:C&lt;=$L$4),ROW(),"-")</f>
        <v>-</v>
      </c>
      <c r="D365" s="59" t="str">
        <f>IFERROR(INDEX('领用录入（明细）'!$B:$L,SMALL($B:$B,ROW(B359)),MATCH(D$7,$D$7:$L$7,0)),"")</f>
        <v/>
      </c>
      <c r="E365" s="114" t="str">
        <f>IFERROR(INDEX('领用录入（明细）'!$B:$L,SMALL($B:$B,ROW(C359)),MATCH(E$7,$D$7:$L$7,0)),"")</f>
        <v/>
      </c>
      <c r="F365" s="60" t="str">
        <f>IFERROR(INDEX('领用录入（明细）'!$B:$L,SMALL($B:$B,ROW(D359)),MATCH(F$7,$D$7:$L$7,0)),"")</f>
        <v/>
      </c>
      <c r="G365" s="60" t="str">
        <f>IFERROR(INDEX('领用录入（明细）'!$B:$L,SMALL($B:$B,ROW(E359)),MATCH(G$7,$D$7:$L$7,0)),"")</f>
        <v/>
      </c>
      <c r="H365" s="60" t="str">
        <f>IFERROR(INDEX('领用录入（明细）'!$B:$L,SMALL($B:$B,ROW(F359)),MATCH(H$7,$D$7:$L$7,0)),"")</f>
        <v/>
      </c>
      <c r="I365" s="60" t="str">
        <f>IFERROR(INDEX('领用录入（明细）'!$B:$L,SMALL($B:$B,ROW(G359)),MATCH(I$7,$D$7:$L$7,0)),"")</f>
        <v/>
      </c>
      <c r="J365" s="60" t="str">
        <f>IFERROR(INDEX('领用录入（明细）'!$B:$L,SMALL($B:$B,ROW(H359)),MATCH(J$7,$D$7:$L$7,0)),"")</f>
        <v/>
      </c>
      <c r="K365" s="60" t="str">
        <f>IFERROR(INDEX('领用录入（明细）'!$B:$L,SMALL($B:$B,ROW(I359)),MATCH(K$7,$D$7:$L$7,0)),"")</f>
        <v/>
      </c>
      <c r="L365" s="60" t="str">
        <f>IFERROR(INDEX('领用录入（明细）'!$B:$L,SMALL($B:$B,ROW(J359)),MATCH(L$7,$D$7:$L$7,0)),"")</f>
        <v/>
      </c>
      <c r="M365" s="60" t="str">
        <f t="shared" si="5"/>
        <v/>
      </c>
    </row>
    <row r="366" customHeight="1" spans="2:13">
      <c r="B366" s="62" t="str">
        <f>IF(AND('领用录入（明细）'!D:D=$F$4,'领用录入（明细）'!C:C&gt;=$J$4,'领用录入（明细）'!C:C&lt;=$L$4),ROW(),"-")</f>
        <v>-</v>
      </c>
      <c r="D366" s="59" t="str">
        <f>IFERROR(INDEX('领用录入（明细）'!$B:$L,SMALL($B:$B,ROW(B360)),MATCH(D$7,$D$7:$L$7,0)),"")</f>
        <v/>
      </c>
      <c r="E366" s="114" t="str">
        <f>IFERROR(INDEX('领用录入（明细）'!$B:$L,SMALL($B:$B,ROW(C360)),MATCH(E$7,$D$7:$L$7,0)),"")</f>
        <v/>
      </c>
      <c r="F366" s="60" t="str">
        <f>IFERROR(INDEX('领用录入（明细）'!$B:$L,SMALL($B:$B,ROW(D360)),MATCH(F$7,$D$7:$L$7,0)),"")</f>
        <v/>
      </c>
      <c r="G366" s="60" t="str">
        <f>IFERROR(INDEX('领用录入（明细）'!$B:$L,SMALL($B:$B,ROW(E360)),MATCH(G$7,$D$7:$L$7,0)),"")</f>
        <v/>
      </c>
      <c r="H366" s="60" t="str">
        <f>IFERROR(INDEX('领用录入（明细）'!$B:$L,SMALL($B:$B,ROW(F360)),MATCH(H$7,$D$7:$L$7,0)),"")</f>
        <v/>
      </c>
      <c r="I366" s="60" t="str">
        <f>IFERROR(INDEX('领用录入（明细）'!$B:$L,SMALL($B:$B,ROW(G360)),MATCH(I$7,$D$7:$L$7,0)),"")</f>
        <v/>
      </c>
      <c r="J366" s="60" t="str">
        <f>IFERROR(INDEX('领用录入（明细）'!$B:$L,SMALL($B:$B,ROW(H360)),MATCH(J$7,$D$7:$L$7,0)),"")</f>
        <v/>
      </c>
      <c r="K366" s="60" t="str">
        <f>IFERROR(INDEX('领用录入（明细）'!$B:$L,SMALL($B:$B,ROW(I360)),MATCH(K$7,$D$7:$L$7,0)),"")</f>
        <v/>
      </c>
      <c r="L366" s="60" t="str">
        <f>IFERROR(INDEX('领用录入（明细）'!$B:$L,SMALL($B:$B,ROW(J360)),MATCH(L$7,$D$7:$L$7,0)),"")</f>
        <v/>
      </c>
      <c r="M366" s="60" t="str">
        <f t="shared" si="5"/>
        <v/>
      </c>
    </row>
    <row r="367" customHeight="1" spans="2:13">
      <c r="B367" s="62" t="str">
        <f>IF(AND('领用录入（明细）'!D:D=$F$4,'领用录入（明细）'!C:C&gt;=$J$4,'领用录入（明细）'!C:C&lt;=$L$4),ROW(),"-")</f>
        <v>-</v>
      </c>
      <c r="D367" s="59" t="str">
        <f>IFERROR(INDEX('领用录入（明细）'!$B:$L,SMALL($B:$B,ROW(B361)),MATCH(D$7,$D$7:$L$7,0)),"")</f>
        <v/>
      </c>
      <c r="E367" s="114" t="str">
        <f>IFERROR(INDEX('领用录入（明细）'!$B:$L,SMALL($B:$B,ROW(C361)),MATCH(E$7,$D$7:$L$7,0)),"")</f>
        <v/>
      </c>
      <c r="F367" s="60" t="str">
        <f>IFERROR(INDEX('领用录入（明细）'!$B:$L,SMALL($B:$B,ROW(D361)),MATCH(F$7,$D$7:$L$7,0)),"")</f>
        <v/>
      </c>
      <c r="G367" s="60" t="str">
        <f>IFERROR(INDEX('领用录入（明细）'!$B:$L,SMALL($B:$B,ROW(E361)),MATCH(G$7,$D$7:$L$7,0)),"")</f>
        <v/>
      </c>
      <c r="H367" s="60" t="str">
        <f>IFERROR(INDEX('领用录入（明细）'!$B:$L,SMALL($B:$B,ROW(F361)),MATCH(H$7,$D$7:$L$7,0)),"")</f>
        <v/>
      </c>
      <c r="I367" s="60" t="str">
        <f>IFERROR(INDEX('领用录入（明细）'!$B:$L,SMALL($B:$B,ROW(G361)),MATCH(I$7,$D$7:$L$7,0)),"")</f>
        <v/>
      </c>
      <c r="J367" s="60" t="str">
        <f>IFERROR(INDEX('领用录入（明细）'!$B:$L,SMALL($B:$B,ROW(H361)),MATCH(J$7,$D$7:$L$7,0)),"")</f>
        <v/>
      </c>
      <c r="K367" s="60" t="str">
        <f>IFERROR(INDEX('领用录入（明细）'!$B:$L,SMALL($B:$B,ROW(I361)),MATCH(K$7,$D$7:$L$7,0)),"")</f>
        <v/>
      </c>
      <c r="L367" s="60" t="str">
        <f>IFERROR(INDEX('领用录入（明细）'!$B:$L,SMALL($B:$B,ROW(J361)),MATCH(L$7,$D$7:$L$7,0)),"")</f>
        <v/>
      </c>
      <c r="M367" s="60" t="str">
        <f t="shared" si="5"/>
        <v/>
      </c>
    </row>
    <row r="368" customHeight="1" spans="2:13">
      <c r="B368" s="62" t="str">
        <f>IF(AND('领用录入（明细）'!D:D=$F$4,'领用录入（明细）'!C:C&gt;=$J$4,'领用录入（明细）'!C:C&lt;=$L$4),ROW(),"-")</f>
        <v>-</v>
      </c>
      <c r="D368" s="59" t="str">
        <f>IFERROR(INDEX('领用录入（明细）'!$B:$L,SMALL($B:$B,ROW(B362)),MATCH(D$7,$D$7:$L$7,0)),"")</f>
        <v/>
      </c>
      <c r="E368" s="114" t="str">
        <f>IFERROR(INDEX('领用录入（明细）'!$B:$L,SMALL($B:$B,ROW(C362)),MATCH(E$7,$D$7:$L$7,0)),"")</f>
        <v/>
      </c>
      <c r="F368" s="60" t="str">
        <f>IFERROR(INDEX('领用录入（明细）'!$B:$L,SMALL($B:$B,ROW(D362)),MATCH(F$7,$D$7:$L$7,0)),"")</f>
        <v/>
      </c>
      <c r="G368" s="60" t="str">
        <f>IFERROR(INDEX('领用录入（明细）'!$B:$L,SMALL($B:$B,ROW(E362)),MATCH(G$7,$D$7:$L$7,0)),"")</f>
        <v/>
      </c>
      <c r="H368" s="60" t="str">
        <f>IFERROR(INDEX('领用录入（明细）'!$B:$L,SMALL($B:$B,ROW(F362)),MATCH(H$7,$D$7:$L$7,0)),"")</f>
        <v/>
      </c>
      <c r="I368" s="60" t="str">
        <f>IFERROR(INDEX('领用录入（明细）'!$B:$L,SMALL($B:$B,ROW(G362)),MATCH(I$7,$D$7:$L$7,0)),"")</f>
        <v/>
      </c>
      <c r="J368" s="60" t="str">
        <f>IFERROR(INDEX('领用录入（明细）'!$B:$L,SMALL($B:$B,ROW(H362)),MATCH(J$7,$D$7:$L$7,0)),"")</f>
        <v/>
      </c>
      <c r="K368" s="60" t="str">
        <f>IFERROR(INDEX('领用录入（明细）'!$B:$L,SMALL($B:$B,ROW(I362)),MATCH(K$7,$D$7:$L$7,0)),"")</f>
        <v/>
      </c>
      <c r="L368" s="60" t="str">
        <f>IFERROR(INDEX('领用录入（明细）'!$B:$L,SMALL($B:$B,ROW(J362)),MATCH(L$7,$D$7:$L$7,0)),"")</f>
        <v/>
      </c>
      <c r="M368" s="60" t="str">
        <f t="shared" si="5"/>
        <v/>
      </c>
    </row>
    <row r="369" customHeight="1" spans="2:13">
      <c r="B369" s="62" t="str">
        <f>IF(AND('领用录入（明细）'!D:D=$F$4,'领用录入（明细）'!C:C&gt;=$J$4,'领用录入（明细）'!C:C&lt;=$L$4),ROW(),"-")</f>
        <v>-</v>
      </c>
      <c r="D369" s="59" t="str">
        <f>IFERROR(INDEX('领用录入（明细）'!$B:$L,SMALL($B:$B,ROW(B363)),MATCH(D$7,$D$7:$L$7,0)),"")</f>
        <v/>
      </c>
      <c r="E369" s="114" t="str">
        <f>IFERROR(INDEX('领用录入（明细）'!$B:$L,SMALL($B:$B,ROW(C363)),MATCH(E$7,$D$7:$L$7,0)),"")</f>
        <v/>
      </c>
      <c r="F369" s="60" t="str">
        <f>IFERROR(INDEX('领用录入（明细）'!$B:$L,SMALL($B:$B,ROW(D363)),MATCH(F$7,$D$7:$L$7,0)),"")</f>
        <v/>
      </c>
      <c r="G369" s="60" t="str">
        <f>IFERROR(INDEX('领用录入（明细）'!$B:$L,SMALL($B:$B,ROW(E363)),MATCH(G$7,$D$7:$L$7,0)),"")</f>
        <v/>
      </c>
      <c r="H369" s="60" t="str">
        <f>IFERROR(INDEX('领用录入（明细）'!$B:$L,SMALL($B:$B,ROW(F363)),MATCH(H$7,$D$7:$L$7,0)),"")</f>
        <v/>
      </c>
      <c r="I369" s="60" t="str">
        <f>IFERROR(INDEX('领用录入（明细）'!$B:$L,SMALL($B:$B,ROW(G363)),MATCH(I$7,$D$7:$L$7,0)),"")</f>
        <v/>
      </c>
      <c r="J369" s="60" t="str">
        <f>IFERROR(INDEX('领用录入（明细）'!$B:$L,SMALL($B:$B,ROW(H363)),MATCH(J$7,$D$7:$L$7,0)),"")</f>
        <v/>
      </c>
      <c r="K369" s="60" t="str">
        <f>IFERROR(INDEX('领用录入（明细）'!$B:$L,SMALL($B:$B,ROW(I363)),MATCH(K$7,$D$7:$L$7,0)),"")</f>
        <v/>
      </c>
      <c r="L369" s="60" t="str">
        <f>IFERROR(INDEX('领用录入（明细）'!$B:$L,SMALL($B:$B,ROW(J363)),MATCH(L$7,$D$7:$L$7,0)),"")</f>
        <v/>
      </c>
      <c r="M369" s="60" t="str">
        <f t="shared" si="5"/>
        <v/>
      </c>
    </row>
    <row r="370" customHeight="1" spans="2:13">
      <c r="B370" s="62" t="str">
        <f>IF(AND('领用录入（明细）'!D:D=$F$4,'领用录入（明细）'!C:C&gt;=$J$4,'领用录入（明细）'!C:C&lt;=$L$4),ROW(),"-")</f>
        <v>-</v>
      </c>
      <c r="D370" s="59" t="str">
        <f>IFERROR(INDEX('领用录入（明细）'!$B:$L,SMALL($B:$B,ROW(B364)),MATCH(D$7,$D$7:$L$7,0)),"")</f>
        <v/>
      </c>
      <c r="E370" s="114" t="str">
        <f>IFERROR(INDEX('领用录入（明细）'!$B:$L,SMALL($B:$B,ROW(C364)),MATCH(E$7,$D$7:$L$7,0)),"")</f>
        <v/>
      </c>
      <c r="F370" s="60" t="str">
        <f>IFERROR(INDEX('领用录入（明细）'!$B:$L,SMALL($B:$B,ROW(D364)),MATCH(F$7,$D$7:$L$7,0)),"")</f>
        <v/>
      </c>
      <c r="G370" s="60" t="str">
        <f>IFERROR(INDEX('领用录入（明细）'!$B:$L,SMALL($B:$B,ROW(E364)),MATCH(G$7,$D$7:$L$7,0)),"")</f>
        <v/>
      </c>
      <c r="H370" s="60" t="str">
        <f>IFERROR(INDEX('领用录入（明细）'!$B:$L,SMALL($B:$B,ROW(F364)),MATCH(H$7,$D$7:$L$7,0)),"")</f>
        <v/>
      </c>
      <c r="I370" s="60" t="str">
        <f>IFERROR(INDEX('领用录入（明细）'!$B:$L,SMALL($B:$B,ROW(G364)),MATCH(I$7,$D$7:$L$7,0)),"")</f>
        <v/>
      </c>
      <c r="J370" s="60" t="str">
        <f>IFERROR(INDEX('领用录入（明细）'!$B:$L,SMALL($B:$B,ROW(H364)),MATCH(J$7,$D$7:$L$7,0)),"")</f>
        <v/>
      </c>
      <c r="K370" s="60" t="str">
        <f>IFERROR(INDEX('领用录入（明细）'!$B:$L,SMALL($B:$B,ROW(I364)),MATCH(K$7,$D$7:$L$7,0)),"")</f>
        <v/>
      </c>
      <c r="L370" s="60" t="str">
        <f>IFERROR(INDEX('领用录入（明细）'!$B:$L,SMALL($B:$B,ROW(J364)),MATCH(L$7,$D$7:$L$7,0)),"")</f>
        <v/>
      </c>
      <c r="M370" s="60" t="str">
        <f t="shared" si="5"/>
        <v/>
      </c>
    </row>
    <row r="371" customHeight="1" spans="2:13">
      <c r="B371" s="62" t="str">
        <f>IF(AND('领用录入（明细）'!D:D=$F$4,'领用录入（明细）'!C:C&gt;=$J$4,'领用录入（明细）'!C:C&lt;=$L$4),ROW(),"-")</f>
        <v>-</v>
      </c>
      <c r="D371" s="59" t="str">
        <f>IFERROR(INDEX('领用录入（明细）'!$B:$L,SMALL($B:$B,ROW(B365)),MATCH(D$7,$D$7:$L$7,0)),"")</f>
        <v/>
      </c>
      <c r="E371" s="114" t="str">
        <f>IFERROR(INDEX('领用录入（明细）'!$B:$L,SMALL($B:$B,ROW(C365)),MATCH(E$7,$D$7:$L$7,0)),"")</f>
        <v/>
      </c>
      <c r="F371" s="60" t="str">
        <f>IFERROR(INDEX('领用录入（明细）'!$B:$L,SMALL($B:$B,ROW(D365)),MATCH(F$7,$D$7:$L$7,0)),"")</f>
        <v/>
      </c>
      <c r="G371" s="60" t="str">
        <f>IFERROR(INDEX('领用录入（明细）'!$B:$L,SMALL($B:$B,ROW(E365)),MATCH(G$7,$D$7:$L$7,0)),"")</f>
        <v/>
      </c>
      <c r="H371" s="60" t="str">
        <f>IFERROR(INDEX('领用录入（明细）'!$B:$L,SMALL($B:$B,ROW(F365)),MATCH(H$7,$D$7:$L$7,0)),"")</f>
        <v/>
      </c>
      <c r="I371" s="60" t="str">
        <f>IFERROR(INDEX('领用录入（明细）'!$B:$L,SMALL($B:$B,ROW(G365)),MATCH(I$7,$D$7:$L$7,0)),"")</f>
        <v/>
      </c>
      <c r="J371" s="60" t="str">
        <f>IFERROR(INDEX('领用录入（明细）'!$B:$L,SMALL($B:$B,ROW(H365)),MATCH(J$7,$D$7:$L$7,0)),"")</f>
        <v/>
      </c>
      <c r="K371" s="60" t="str">
        <f>IFERROR(INDEX('领用录入（明细）'!$B:$L,SMALL($B:$B,ROW(I365)),MATCH(K$7,$D$7:$L$7,0)),"")</f>
        <v/>
      </c>
      <c r="L371" s="60" t="str">
        <f>IFERROR(INDEX('领用录入（明细）'!$B:$L,SMALL($B:$B,ROW(J365)),MATCH(L$7,$D$7:$L$7,0)),"")</f>
        <v/>
      </c>
      <c r="M371" s="60" t="str">
        <f t="shared" si="5"/>
        <v/>
      </c>
    </row>
    <row r="372" customHeight="1" spans="2:13">
      <c r="B372" s="62" t="str">
        <f>IF(AND('领用录入（明细）'!D:D=$F$4,'领用录入（明细）'!C:C&gt;=$J$4,'领用录入（明细）'!C:C&lt;=$L$4),ROW(),"-")</f>
        <v>-</v>
      </c>
      <c r="D372" s="59" t="str">
        <f>IFERROR(INDEX('领用录入（明细）'!$B:$L,SMALL($B:$B,ROW(B366)),MATCH(D$7,$D$7:$L$7,0)),"")</f>
        <v/>
      </c>
      <c r="E372" s="114" t="str">
        <f>IFERROR(INDEX('领用录入（明细）'!$B:$L,SMALL($B:$B,ROW(C366)),MATCH(E$7,$D$7:$L$7,0)),"")</f>
        <v/>
      </c>
      <c r="F372" s="60" t="str">
        <f>IFERROR(INDEX('领用录入（明细）'!$B:$L,SMALL($B:$B,ROW(D366)),MATCH(F$7,$D$7:$L$7,0)),"")</f>
        <v/>
      </c>
      <c r="G372" s="60" t="str">
        <f>IFERROR(INDEX('领用录入（明细）'!$B:$L,SMALL($B:$B,ROW(E366)),MATCH(G$7,$D$7:$L$7,0)),"")</f>
        <v/>
      </c>
      <c r="H372" s="60" t="str">
        <f>IFERROR(INDEX('领用录入（明细）'!$B:$L,SMALL($B:$B,ROW(F366)),MATCH(H$7,$D$7:$L$7,0)),"")</f>
        <v/>
      </c>
      <c r="I372" s="60" t="str">
        <f>IFERROR(INDEX('领用录入（明细）'!$B:$L,SMALL($B:$B,ROW(G366)),MATCH(I$7,$D$7:$L$7,0)),"")</f>
        <v/>
      </c>
      <c r="J372" s="60" t="str">
        <f>IFERROR(INDEX('领用录入（明细）'!$B:$L,SMALL($B:$B,ROW(H366)),MATCH(J$7,$D$7:$L$7,0)),"")</f>
        <v/>
      </c>
      <c r="K372" s="60" t="str">
        <f>IFERROR(INDEX('领用录入（明细）'!$B:$L,SMALL($B:$B,ROW(I366)),MATCH(K$7,$D$7:$L$7,0)),"")</f>
        <v/>
      </c>
      <c r="L372" s="60" t="str">
        <f>IFERROR(INDEX('领用录入（明细）'!$B:$L,SMALL($B:$B,ROW(J366)),MATCH(L$7,$D$7:$L$7,0)),"")</f>
        <v/>
      </c>
      <c r="M372" s="60" t="str">
        <f t="shared" si="5"/>
        <v/>
      </c>
    </row>
    <row r="373" customHeight="1" spans="2:13">
      <c r="B373" s="62" t="str">
        <f>IF(AND('领用录入（明细）'!D:D=$F$4,'领用录入（明细）'!C:C&gt;=$J$4,'领用录入（明细）'!C:C&lt;=$L$4),ROW(),"-")</f>
        <v>-</v>
      </c>
      <c r="D373" s="59" t="str">
        <f>IFERROR(INDEX('领用录入（明细）'!$B:$L,SMALL($B:$B,ROW(B367)),MATCH(D$7,$D$7:$L$7,0)),"")</f>
        <v/>
      </c>
      <c r="E373" s="114" t="str">
        <f>IFERROR(INDEX('领用录入（明细）'!$B:$L,SMALL($B:$B,ROW(C367)),MATCH(E$7,$D$7:$L$7,0)),"")</f>
        <v/>
      </c>
      <c r="F373" s="60" t="str">
        <f>IFERROR(INDEX('领用录入（明细）'!$B:$L,SMALL($B:$B,ROW(D367)),MATCH(F$7,$D$7:$L$7,0)),"")</f>
        <v/>
      </c>
      <c r="G373" s="60" t="str">
        <f>IFERROR(INDEX('领用录入（明细）'!$B:$L,SMALL($B:$B,ROW(E367)),MATCH(G$7,$D$7:$L$7,0)),"")</f>
        <v/>
      </c>
      <c r="H373" s="60" t="str">
        <f>IFERROR(INDEX('领用录入（明细）'!$B:$L,SMALL($B:$B,ROW(F367)),MATCH(H$7,$D$7:$L$7,0)),"")</f>
        <v/>
      </c>
      <c r="I373" s="60" t="str">
        <f>IFERROR(INDEX('领用录入（明细）'!$B:$L,SMALL($B:$B,ROW(G367)),MATCH(I$7,$D$7:$L$7,0)),"")</f>
        <v/>
      </c>
      <c r="J373" s="60" t="str">
        <f>IFERROR(INDEX('领用录入（明细）'!$B:$L,SMALL($B:$B,ROW(H367)),MATCH(J$7,$D$7:$L$7,0)),"")</f>
        <v/>
      </c>
      <c r="K373" s="60" t="str">
        <f>IFERROR(INDEX('领用录入（明细）'!$B:$L,SMALL($B:$B,ROW(I367)),MATCH(K$7,$D$7:$L$7,0)),"")</f>
        <v/>
      </c>
      <c r="L373" s="60" t="str">
        <f>IFERROR(INDEX('领用录入（明细）'!$B:$L,SMALL($B:$B,ROW(J367)),MATCH(L$7,$D$7:$L$7,0)),"")</f>
        <v/>
      </c>
      <c r="M373" s="60" t="str">
        <f t="shared" si="5"/>
        <v/>
      </c>
    </row>
    <row r="374" customHeight="1" spans="2:13">
      <c r="B374" s="62" t="str">
        <f>IF(AND('领用录入（明细）'!D:D=$F$4,'领用录入（明细）'!C:C&gt;=$J$4,'领用录入（明细）'!C:C&lt;=$L$4),ROW(),"-")</f>
        <v>-</v>
      </c>
      <c r="D374" s="59" t="str">
        <f>IFERROR(INDEX('领用录入（明细）'!$B:$L,SMALL($B:$B,ROW(B368)),MATCH(D$7,$D$7:$L$7,0)),"")</f>
        <v/>
      </c>
      <c r="E374" s="114" t="str">
        <f>IFERROR(INDEX('领用录入（明细）'!$B:$L,SMALL($B:$B,ROW(C368)),MATCH(E$7,$D$7:$L$7,0)),"")</f>
        <v/>
      </c>
      <c r="F374" s="60" t="str">
        <f>IFERROR(INDEX('领用录入（明细）'!$B:$L,SMALL($B:$B,ROW(D368)),MATCH(F$7,$D$7:$L$7,0)),"")</f>
        <v/>
      </c>
      <c r="G374" s="60" t="str">
        <f>IFERROR(INDEX('领用录入（明细）'!$B:$L,SMALL($B:$B,ROW(E368)),MATCH(G$7,$D$7:$L$7,0)),"")</f>
        <v/>
      </c>
      <c r="H374" s="60" t="str">
        <f>IFERROR(INDEX('领用录入（明细）'!$B:$L,SMALL($B:$B,ROW(F368)),MATCH(H$7,$D$7:$L$7,0)),"")</f>
        <v/>
      </c>
      <c r="I374" s="60" t="str">
        <f>IFERROR(INDEX('领用录入（明细）'!$B:$L,SMALL($B:$B,ROW(G368)),MATCH(I$7,$D$7:$L$7,0)),"")</f>
        <v/>
      </c>
      <c r="J374" s="60" t="str">
        <f>IFERROR(INDEX('领用录入（明细）'!$B:$L,SMALL($B:$B,ROW(H368)),MATCH(J$7,$D$7:$L$7,0)),"")</f>
        <v/>
      </c>
      <c r="K374" s="60" t="str">
        <f>IFERROR(INDEX('领用录入（明细）'!$B:$L,SMALL($B:$B,ROW(I368)),MATCH(K$7,$D$7:$L$7,0)),"")</f>
        <v/>
      </c>
      <c r="L374" s="60" t="str">
        <f>IFERROR(INDEX('领用录入（明细）'!$B:$L,SMALL($B:$B,ROW(J368)),MATCH(L$7,$D$7:$L$7,0)),"")</f>
        <v/>
      </c>
      <c r="M374" s="60" t="str">
        <f t="shared" si="5"/>
        <v/>
      </c>
    </row>
    <row r="375" customHeight="1" spans="2:13">
      <c r="B375" s="62" t="str">
        <f>IF(AND('领用录入（明细）'!D:D=$F$4,'领用录入（明细）'!C:C&gt;=$J$4,'领用录入（明细）'!C:C&lt;=$L$4),ROW(),"-")</f>
        <v>-</v>
      </c>
      <c r="D375" s="59" t="str">
        <f>IFERROR(INDEX('领用录入（明细）'!$B:$L,SMALL($B:$B,ROW(B369)),MATCH(D$7,$D$7:$L$7,0)),"")</f>
        <v/>
      </c>
      <c r="E375" s="114" t="str">
        <f>IFERROR(INDEX('领用录入（明细）'!$B:$L,SMALL($B:$B,ROW(C369)),MATCH(E$7,$D$7:$L$7,0)),"")</f>
        <v/>
      </c>
      <c r="F375" s="60" t="str">
        <f>IFERROR(INDEX('领用录入（明细）'!$B:$L,SMALL($B:$B,ROW(D369)),MATCH(F$7,$D$7:$L$7,0)),"")</f>
        <v/>
      </c>
      <c r="G375" s="60" t="str">
        <f>IFERROR(INDEX('领用录入（明细）'!$B:$L,SMALL($B:$B,ROW(E369)),MATCH(G$7,$D$7:$L$7,0)),"")</f>
        <v/>
      </c>
      <c r="H375" s="60" t="str">
        <f>IFERROR(INDEX('领用录入（明细）'!$B:$L,SMALL($B:$B,ROW(F369)),MATCH(H$7,$D$7:$L$7,0)),"")</f>
        <v/>
      </c>
      <c r="I375" s="60" t="str">
        <f>IFERROR(INDEX('领用录入（明细）'!$B:$L,SMALL($B:$B,ROW(G369)),MATCH(I$7,$D$7:$L$7,0)),"")</f>
        <v/>
      </c>
      <c r="J375" s="60" t="str">
        <f>IFERROR(INDEX('领用录入（明细）'!$B:$L,SMALL($B:$B,ROW(H369)),MATCH(J$7,$D$7:$L$7,0)),"")</f>
        <v/>
      </c>
      <c r="K375" s="60" t="str">
        <f>IFERROR(INDEX('领用录入（明细）'!$B:$L,SMALL($B:$B,ROW(I369)),MATCH(K$7,$D$7:$L$7,0)),"")</f>
        <v/>
      </c>
      <c r="L375" s="60" t="str">
        <f>IFERROR(INDEX('领用录入（明细）'!$B:$L,SMALL($B:$B,ROW(J369)),MATCH(L$7,$D$7:$L$7,0)),"")</f>
        <v/>
      </c>
      <c r="M375" s="60" t="str">
        <f t="shared" si="5"/>
        <v/>
      </c>
    </row>
    <row r="376" customHeight="1" spans="2:13">
      <c r="B376" s="62" t="str">
        <f>IF(AND('领用录入（明细）'!D:D=$F$4,'领用录入（明细）'!C:C&gt;=$J$4,'领用录入（明细）'!C:C&lt;=$L$4),ROW(),"-")</f>
        <v>-</v>
      </c>
      <c r="D376" s="59" t="str">
        <f>IFERROR(INDEX('领用录入（明细）'!$B:$L,SMALL($B:$B,ROW(B370)),MATCH(D$7,$D$7:$L$7,0)),"")</f>
        <v/>
      </c>
      <c r="E376" s="114" t="str">
        <f>IFERROR(INDEX('领用录入（明细）'!$B:$L,SMALL($B:$B,ROW(C370)),MATCH(E$7,$D$7:$L$7,0)),"")</f>
        <v/>
      </c>
      <c r="F376" s="60" t="str">
        <f>IFERROR(INDEX('领用录入（明细）'!$B:$L,SMALL($B:$B,ROW(D370)),MATCH(F$7,$D$7:$L$7,0)),"")</f>
        <v/>
      </c>
      <c r="G376" s="60" t="str">
        <f>IFERROR(INDEX('领用录入（明细）'!$B:$L,SMALL($B:$B,ROW(E370)),MATCH(G$7,$D$7:$L$7,0)),"")</f>
        <v/>
      </c>
      <c r="H376" s="60" t="str">
        <f>IFERROR(INDEX('领用录入（明细）'!$B:$L,SMALL($B:$B,ROW(F370)),MATCH(H$7,$D$7:$L$7,0)),"")</f>
        <v/>
      </c>
      <c r="I376" s="60" t="str">
        <f>IFERROR(INDEX('领用录入（明细）'!$B:$L,SMALL($B:$B,ROW(G370)),MATCH(I$7,$D$7:$L$7,0)),"")</f>
        <v/>
      </c>
      <c r="J376" s="60" t="str">
        <f>IFERROR(INDEX('领用录入（明细）'!$B:$L,SMALL($B:$B,ROW(H370)),MATCH(J$7,$D$7:$L$7,0)),"")</f>
        <v/>
      </c>
      <c r="K376" s="60" t="str">
        <f>IFERROR(INDEX('领用录入（明细）'!$B:$L,SMALL($B:$B,ROW(I370)),MATCH(K$7,$D$7:$L$7,0)),"")</f>
        <v/>
      </c>
      <c r="L376" s="60" t="str">
        <f>IFERROR(INDEX('领用录入（明细）'!$B:$L,SMALL($B:$B,ROW(J370)),MATCH(L$7,$D$7:$L$7,0)),"")</f>
        <v/>
      </c>
      <c r="M376" s="60" t="str">
        <f t="shared" si="5"/>
        <v/>
      </c>
    </row>
    <row r="377" customHeight="1" spans="2:13">
      <c r="B377" s="62" t="str">
        <f>IF(AND('领用录入（明细）'!D:D=$F$4,'领用录入（明细）'!C:C&gt;=$J$4,'领用录入（明细）'!C:C&lt;=$L$4),ROW(),"-")</f>
        <v>-</v>
      </c>
      <c r="D377" s="59" t="str">
        <f>IFERROR(INDEX('领用录入（明细）'!$B:$L,SMALL($B:$B,ROW(B371)),MATCH(D$7,$D$7:$L$7,0)),"")</f>
        <v/>
      </c>
      <c r="E377" s="114" t="str">
        <f>IFERROR(INDEX('领用录入（明细）'!$B:$L,SMALL($B:$B,ROW(C371)),MATCH(E$7,$D$7:$L$7,0)),"")</f>
        <v/>
      </c>
      <c r="F377" s="60" t="str">
        <f>IFERROR(INDEX('领用录入（明细）'!$B:$L,SMALL($B:$B,ROW(D371)),MATCH(F$7,$D$7:$L$7,0)),"")</f>
        <v/>
      </c>
      <c r="G377" s="60" t="str">
        <f>IFERROR(INDEX('领用录入（明细）'!$B:$L,SMALL($B:$B,ROW(E371)),MATCH(G$7,$D$7:$L$7,0)),"")</f>
        <v/>
      </c>
      <c r="H377" s="60" t="str">
        <f>IFERROR(INDEX('领用录入（明细）'!$B:$L,SMALL($B:$B,ROW(F371)),MATCH(H$7,$D$7:$L$7,0)),"")</f>
        <v/>
      </c>
      <c r="I377" s="60" t="str">
        <f>IFERROR(INDEX('领用录入（明细）'!$B:$L,SMALL($B:$B,ROW(G371)),MATCH(I$7,$D$7:$L$7,0)),"")</f>
        <v/>
      </c>
      <c r="J377" s="60" t="str">
        <f>IFERROR(INDEX('领用录入（明细）'!$B:$L,SMALL($B:$B,ROW(H371)),MATCH(J$7,$D$7:$L$7,0)),"")</f>
        <v/>
      </c>
      <c r="K377" s="60" t="str">
        <f>IFERROR(INDEX('领用录入（明细）'!$B:$L,SMALL($B:$B,ROW(I371)),MATCH(K$7,$D$7:$L$7,0)),"")</f>
        <v/>
      </c>
      <c r="L377" s="60" t="str">
        <f>IFERROR(INDEX('领用录入（明细）'!$B:$L,SMALL($B:$B,ROW(J371)),MATCH(L$7,$D$7:$L$7,0)),"")</f>
        <v/>
      </c>
      <c r="M377" s="60" t="str">
        <f t="shared" si="5"/>
        <v/>
      </c>
    </row>
    <row r="378" customHeight="1" spans="2:13">
      <c r="B378" s="62" t="str">
        <f>IF(AND('领用录入（明细）'!D:D=$F$4,'领用录入（明细）'!C:C&gt;=$J$4,'领用录入（明细）'!C:C&lt;=$L$4),ROW(),"-")</f>
        <v>-</v>
      </c>
      <c r="D378" s="59" t="str">
        <f>IFERROR(INDEX('领用录入（明细）'!$B:$L,SMALL($B:$B,ROW(B372)),MATCH(D$7,$D$7:$L$7,0)),"")</f>
        <v/>
      </c>
      <c r="E378" s="114" t="str">
        <f>IFERROR(INDEX('领用录入（明细）'!$B:$L,SMALL($B:$B,ROW(C372)),MATCH(E$7,$D$7:$L$7,0)),"")</f>
        <v/>
      </c>
      <c r="F378" s="60" t="str">
        <f>IFERROR(INDEX('领用录入（明细）'!$B:$L,SMALL($B:$B,ROW(D372)),MATCH(F$7,$D$7:$L$7,0)),"")</f>
        <v/>
      </c>
      <c r="G378" s="60" t="str">
        <f>IFERROR(INDEX('领用录入（明细）'!$B:$L,SMALL($B:$B,ROW(E372)),MATCH(G$7,$D$7:$L$7,0)),"")</f>
        <v/>
      </c>
      <c r="H378" s="60" t="str">
        <f>IFERROR(INDEX('领用录入（明细）'!$B:$L,SMALL($B:$B,ROW(F372)),MATCH(H$7,$D$7:$L$7,0)),"")</f>
        <v/>
      </c>
      <c r="I378" s="60" t="str">
        <f>IFERROR(INDEX('领用录入（明细）'!$B:$L,SMALL($B:$B,ROW(G372)),MATCH(I$7,$D$7:$L$7,0)),"")</f>
        <v/>
      </c>
      <c r="J378" s="60" t="str">
        <f>IFERROR(INDEX('领用录入（明细）'!$B:$L,SMALL($B:$B,ROW(H372)),MATCH(J$7,$D$7:$L$7,0)),"")</f>
        <v/>
      </c>
      <c r="K378" s="60" t="str">
        <f>IFERROR(INDEX('领用录入（明细）'!$B:$L,SMALL($B:$B,ROW(I372)),MATCH(K$7,$D$7:$L$7,0)),"")</f>
        <v/>
      </c>
      <c r="L378" s="60" t="str">
        <f>IFERROR(INDEX('领用录入（明细）'!$B:$L,SMALL($B:$B,ROW(J372)),MATCH(L$7,$D$7:$L$7,0)),"")</f>
        <v/>
      </c>
      <c r="M378" s="60" t="str">
        <f t="shared" si="5"/>
        <v/>
      </c>
    </row>
    <row r="379" customHeight="1" spans="2:13">
      <c r="B379" s="62" t="str">
        <f>IF(AND('领用录入（明细）'!D:D=$F$4,'领用录入（明细）'!C:C&gt;=$J$4,'领用录入（明细）'!C:C&lt;=$L$4),ROW(),"-")</f>
        <v>-</v>
      </c>
      <c r="D379" s="59" t="str">
        <f>IFERROR(INDEX('领用录入（明细）'!$B:$L,SMALL($B:$B,ROW(B373)),MATCH(D$7,$D$7:$L$7,0)),"")</f>
        <v/>
      </c>
      <c r="E379" s="114" t="str">
        <f>IFERROR(INDEX('领用录入（明细）'!$B:$L,SMALL($B:$B,ROW(C373)),MATCH(E$7,$D$7:$L$7,0)),"")</f>
        <v/>
      </c>
      <c r="F379" s="60" t="str">
        <f>IFERROR(INDEX('领用录入（明细）'!$B:$L,SMALL($B:$B,ROW(D373)),MATCH(F$7,$D$7:$L$7,0)),"")</f>
        <v/>
      </c>
      <c r="G379" s="60" t="str">
        <f>IFERROR(INDEX('领用录入（明细）'!$B:$L,SMALL($B:$B,ROW(E373)),MATCH(G$7,$D$7:$L$7,0)),"")</f>
        <v/>
      </c>
      <c r="H379" s="60" t="str">
        <f>IFERROR(INDEX('领用录入（明细）'!$B:$L,SMALL($B:$B,ROW(F373)),MATCH(H$7,$D$7:$L$7,0)),"")</f>
        <v/>
      </c>
      <c r="I379" s="60" t="str">
        <f>IFERROR(INDEX('领用录入（明细）'!$B:$L,SMALL($B:$B,ROW(G373)),MATCH(I$7,$D$7:$L$7,0)),"")</f>
        <v/>
      </c>
      <c r="J379" s="60" t="str">
        <f>IFERROR(INDEX('领用录入（明细）'!$B:$L,SMALL($B:$B,ROW(H373)),MATCH(J$7,$D$7:$L$7,0)),"")</f>
        <v/>
      </c>
      <c r="K379" s="60" t="str">
        <f>IFERROR(INDEX('领用录入（明细）'!$B:$L,SMALL($B:$B,ROW(I373)),MATCH(K$7,$D$7:$L$7,0)),"")</f>
        <v/>
      </c>
      <c r="L379" s="60" t="str">
        <f>IFERROR(INDEX('领用录入（明细）'!$B:$L,SMALL($B:$B,ROW(J373)),MATCH(L$7,$D$7:$L$7,0)),"")</f>
        <v/>
      </c>
      <c r="M379" s="60" t="str">
        <f t="shared" si="5"/>
        <v/>
      </c>
    </row>
    <row r="380" customHeight="1" spans="2:13">
      <c r="B380" s="62" t="str">
        <f>IF(AND('领用录入（明细）'!D:D=$F$4,'领用录入（明细）'!C:C&gt;=$J$4,'领用录入（明细）'!C:C&lt;=$L$4),ROW(),"-")</f>
        <v>-</v>
      </c>
      <c r="D380" s="59" t="str">
        <f>IFERROR(INDEX('领用录入（明细）'!$B:$L,SMALL($B:$B,ROW(B374)),MATCH(D$7,$D$7:$L$7,0)),"")</f>
        <v/>
      </c>
      <c r="E380" s="114" t="str">
        <f>IFERROR(INDEX('领用录入（明细）'!$B:$L,SMALL($B:$B,ROW(C374)),MATCH(E$7,$D$7:$L$7,0)),"")</f>
        <v/>
      </c>
      <c r="F380" s="60" t="str">
        <f>IFERROR(INDEX('领用录入（明细）'!$B:$L,SMALL($B:$B,ROW(D374)),MATCH(F$7,$D$7:$L$7,0)),"")</f>
        <v/>
      </c>
      <c r="G380" s="60" t="str">
        <f>IFERROR(INDEX('领用录入（明细）'!$B:$L,SMALL($B:$B,ROW(E374)),MATCH(G$7,$D$7:$L$7,0)),"")</f>
        <v/>
      </c>
      <c r="H380" s="60" t="str">
        <f>IFERROR(INDEX('领用录入（明细）'!$B:$L,SMALL($B:$B,ROW(F374)),MATCH(H$7,$D$7:$L$7,0)),"")</f>
        <v/>
      </c>
      <c r="I380" s="60" t="str">
        <f>IFERROR(INDEX('领用录入（明细）'!$B:$L,SMALL($B:$B,ROW(G374)),MATCH(I$7,$D$7:$L$7,0)),"")</f>
        <v/>
      </c>
      <c r="J380" s="60" t="str">
        <f>IFERROR(INDEX('领用录入（明细）'!$B:$L,SMALL($B:$B,ROW(H374)),MATCH(J$7,$D$7:$L$7,0)),"")</f>
        <v/>
      </c>
      <c r="K380" s="60" t="str">
        <f>IFERROR(INDEX('领用录入（明细）'!$B:$L,SMALL($B:$B,ROW(I374)),MATCH(K$7,$D$7:$L$7,0)),"")</f>
        <v/>
      </c>
      <c r="L380" s="60" t="str">
        <f>IFERROR(INDEX('领用录入（明细）'!$B:$L,SMALL($B:$B,ROW(J374)),MATCH(L$7,$D$7:$L$7,0)),"")</f>
        <v/>
      </c>
      <c r="M380" s="60" t="str">
        <f t="shared" si="5"/>
        <v/>
      </c>
    </row>
    <row r="381" customHeight="1" spans="2:13">
      <c r="B381" s="62" t="str">
        <f>IF(AND('领用录入（明细）'!D:D=$F$4,'领用录入（明细）'!C:C&gt;=$J$4,'领用录入（明细）'!C:C&lt;=$L$4),ROW(),"-")</f>
        <v>-</v>
      </c>
      <c r="D381" s="59" t="str">
        <f>IFERROR(INDEX('领用录入（明细）'!$B:$L,SMALL($B:$B,ROW(B375)),MATCH(D$7,$D$7:$L$7,0)),"")</f>
        <v/>
      </c>
      <c r="E381" s="114" t="str">
        <f>IFERROR(INDEX('领用录入（明细）'!$B:$L,SMALL($B:$B,ROW(C375)),MATCH(E$7,$D$7:$L$7,0)),"")</f>
        <v/>
      </c>
      <c r="F381" s="60" t="str">
        <f>IFERROR(INDEX('领用录入（明细）'!$B:$L,SMALL($B:$B,ROW(D375)),MATCH(F$7,$D$7:$L$7,0)),"")</f>
        <v/>
      </c>
      <c r="G381" s="60" t="str">
        <f>IFERROR(INDEX('领用录入（明细）'!$B:$L,SMALL($B:$B,ROW(E375)),MATCH(G$7,$D$7:$L$7,0)),"")</f>
        <v/>
      </c>
      <c r="H381" s="60" t="str">
        <f>IFERROR(INDEX('领用录入（明细）'!$B:$L,SMALL($B:$B,ROW(F375)),MATCH(H$7,$D$7:$L$7,0)),"")</f>
        <v/>
      </c>
      <c r="I381" s="60" t="str">
        <f>IFERROR(INDEX('领用录入（明细）'!$B:$L,SMALL($B:$B,ROW(G375)),MATCH(I$7,$D$7:$L$7,0)),"")</f>
        <v/>
      </c>
      <c r="J381" s="60" t="str">
        <f>IFERROR(INDEX('领用录入（明细）'!$B:$L,SMALL($B:$B,ROW(H375)),MATCH(J$7,$D$7:$L$7,0)),"")</f>
        <v/>
      </c>
      <c r="K381" s="60" t="str">
        <f>IFERROR(INDEX('领用录入（明细）'!$B:$L,SMALL($B:$B,ROW(I375)),MATCH(K$7,$D$7:$L$7,0)),"")</f>
        <v/>
      </c>
      <c r="L381" s="60" t="str">
        <f>IFERROR(INDEX('领用录入（明细）'!$B:$L,SMALL($B:$B,ROW(J375)),MATCH(L$7,$D$7:$L$7,0)),"")</f>
        <v/>
      </c>
      <c r="M381" s="60" t="str">
        <f t="shared" si="5"/>
        <v/>
      </c>
    </row>
    <row r="382" customHeight="1" spans="2:13">
      <c r="B382" s="62" t="str">
        <f>IF(AND('领用录入（明细）'!D:D=$F$4,'领用录入（明细）'!C:C&gt;=$J$4,'领用录入（明细）'!C:C&lt;=$L$4),ROW(),"-")</f>
        <v>-</v>
      </c>
      <c r="D382" s="59" t="str">
        <f>IFERROR(INDEX('领用录入（明细）'!$B:$L,SMALL($B:$B,ROW(B376)),MATCH(D$7,$D$7:$L$7,0)),"")</f>
        <v/>
      </c>
      <c r="E382" s="114" t="str">
        <f>IFERROR(INDEX('领用录入（明细）'!$B:$L,SMALL($B:$B,ROW(C376)),MATCH(E$7,$D$7:$L$7,0)),"")</f>
        <v/>
      </c>
      <c r="F382" s="60" t="str">
        <f>IFERROR(INDEX('领用录入（明细）'!$B:$L,SMALL($B:$B,ROW(D376)),MATCH(F$7,$D$7:$L$7,0)),"")</f>
        <v/>
      </c>
      <c r="G382" s="60" t="str">
        <f>IFERROR(INDEX('领用录入（明细）'!$B:$L,SMALL($B:$B,ROW(E376)),MATCH(G$7,$D$7:$L$7,0)),"")</f>
        <v/>
      </c>
      <c r="H382" s="60" t="str">
        <f>IFERROR(INDEX('领用录入（明细）'!$B:$L,SMALL($B:$B,ROW(F376)),MATCH(H$7,$D$7:$L$7,0)),"")</f>
        <v/>
      </c>
      <c r="I382" s="60" t="str">
        <f>IFERROR(INDEX('领用录入（明细）'!$B:$L,SMALL($B:$B,ROW(G376)),MATCH(I$7,$D$7:$L$7,0)),"")</f>
        <v/>
      </c>
      <c r="J382" s="60" t="str">
        <f>IFERROR(INDEX('领用录入（明细）'!$B:$L,SMALL($B:$B,ROW(H376)),MATCH(J$7,$D$7:$L$7,0)),"")</f>
        <v/>
      </c>
      <c r="K382" s="60" t="str">
        <f>IFERROR(INDEX('领用录入（明细）'!$B:$L,SMALL($B:$B,ROW(I376)),MATCH(K$7,$D$7:$L$7,0)),"")</f>
        <v/>
      </c>
      <c r="L382" s="60" t="str">
        <f>IFERROR(INDEX('领用录入（明细）'!$B:$L,SMALL($B:$B,ROW(J376)),MATCH(L$7,$D$7:$L$7,0)),"")</f>
        <v/>
      </c>
      <c r="M382" s="60" t="str">
        <f t="shared" si="5"/>
        <v/>
      </c>
    </row>
    <row r="383" customHeight="1" spans="2:13">
      <c r="B383" s="62" t="str">
        <f>IF(AND('领用录入（明细）'!D:D=$F$4,'领用录入（明细）'!C:C&gt;=$J$4,'领用录入（明细）'!C:C&lt;=$L$4),ROW(),"-")</f>
        <v>-</v>
      </c>
      <c r="D383" s="59" t="str">
        <f>IFERROR(INDEX('领用录入（明细）'!$B:$L,SMALL($B:$B,ROW(B377)),MATCH(D$7,$D$7:$L$7,0)),"")</f>
        <v/>
      </c>
      <c r="E383" s="114" t="str">
        <f>IFERROR(INDEX('领用录入（明细）'!$B:$L,SMALL($B:$B,ROW(C377)),MATCH(E$7,$D$7:$L$7,0)),"")</f>
        <v/>
      </c>
      <c r="F383" s="60" t="str">
        <f>IFERROR(INDEX('领用录入（明细）'!$B:$L,SMALL($B:$B,ROW(D377)),MATCH(F$7,$D$7:$L$7,0)),"")</f>
        <v/>
      </c>
      <c r="G383" s="60" t="str">
        <f>IFERROR(INDEX('领用录入（明细）'!$B:$L,SMALL($B:$B,ROW(E377)),MATCH(G$7,$D$7:$L$7,0)),"")</f>
        <v/>
      </c>
      <c r="H383" s="60" t="str">
        <f>IFERROR(INDEX('领用录入（明细）'!$B:$L,SMALL($B:$B,ROW(F377)),MATCH(H$7,$D$7:$L$7,0)),"")</f>
        <v/>
      </c>
      <c r="I383" s="60" t="str">
        <f>IFERROR(INDEX('领用录入（明细）'!$B:$L,SMALL($B:$B,ROW(G377)),MATCH(I$7,$D$7:$L$7,0)),"")</f>
        <v/>
      </c>
      <c r="J383" s="60" t="str">
        <f>IFERROR(INDEX('领用录入（明细）'!$B:$L,SMALL($B:$B,ROW(H377)),MATCH(J$7,$D$7:$L$7,0)),"")</f>
        <v/>
      </c>
      <c r="K383" s="60" t="str">
        <f>IFERROR(INDEX('领用录入（明细）'!$B:$L,SMALL($B:$B,ROW(I377)),MATCH(K$7,$D$7:$L$7,0)),"")</f>
        <v/>
      </c>
      <c r="L383" s="60" t="str">
        <f>IFERROR(INDEX('领用录入（明细）'!$B:$L,SMALL($B:$B,ROW(J377)),MATCH(L$7,$D$7:$L$7,0)),"")</f>
        <v/>
      </c>
      <c r="M383" s="60" t="str">
        <f t="shared" si="5"/>
        <v/>
      </c>
    </row>
    <row r="384" customHeight="1" spans="2:13">
      <c r="B384" s="62" t="str">
        <f>IF(AND('领用录入（明细）'!D:D=$F$4,'领用录入（明细）'!C:C&gt;=$J$4,'领用录入（明细）'!C:C&lt;=$L$4),ROW(),"-")</f>
        <v>-</v>
      </c>
      <c r="D384" s="59" t="str">
        <f>IFERROR(INDEX('领用录入（明细）'!$B:$L,SMALL($B:$B,ROW(B378)),MATCH(D$7,$D$7:$L$7,0)),"")</f>
        <v/>
      </c>
      <c r="E384" s="114" t="str">
        <f>IFERROR(INDEX('领用录入（明细）'!$B:$L,SMALL($B:$B,ROW(C378)),MATCH(E$7,$D$7:$L$7,0)),"")</f>
        <v/>
      </c>
      <c r="F384" s="60" t="str">
        <f>IFERROR(INDEX('领用录入（明细）'!$B:$L,SMALL($B:$B,ROW(D378)),MATCH(F$7,$D$7:$L$7,0)),"")</f>
        <v/>
      </c>
      <c r="G384" s="60" t="str">
        <f>IFERROR(INDEX('领用录入（明细）'!$B:$L,SMALL($B:$B,ROW(E378)),MATCH(G$7,$D$7:$L$7,0)),"")</f>
        <v/>
      </c>
      <c r="H384" s="60" t="str">
        <f>IFERROR(INDEX('领用录入（明细）'!$B:$L,SMALL($B:$B,ROW(F378)),MATCH(H$7,$D$7:$L$7,0)),"")</f>
        <v/>
      </c>
      <c r="I384" s="60" t="str">
        <f>IFERROR(INDEX('领用录入（明细）'!$B:$L,SMALL($B:$B,ROW(G378)),MATCH(I$7,$D$7:$L$7,0)),"")</f>
        <v/>
      </c>
      <c r="J384" s="60" t="str">
        <f>IFERROR(INDEX('领用录入（明细）'!$B:$L,SMALL($B:$B,ROW(H378)),MATCH(J$7,$D$7:$L$7,0)),"")</f>
        <v/>
      </c>
      <c r="K384" s="60" t="str">
        <f>IFERROR(INDEX('领用录入（明细）'!$B:$L,SMALL($B:$B,ROW(I378)),MATCH(K$7,$D$7:$L$7,0)),"")</f>
        <v/>
      </c>
      <c r="L384" s="60" t="str">
        <f>IFERROR(INDEX('领用录入（明细）'!$B:$L,SMALL($B:$B,ROW(J378)),MATCH(L$7,$D$7:$L$7,0)),"")</f>
        <v/>
      </c>
      <c r="M384" s="60" t="str">
        <f t="shared" si="5"/>
        <v/>
      </c>
    </row>
    <row r="385" customHeight="1" spans="2:13">
      <c r="B385" s="62" t="str">
        <f>IF(AND('领用录入（明细）'!D:D=$F$4,'领用录入（明细）'!C:C&gt;=$J$4,'领用录入（明细）'!C:C&lt;=$L$4),ROW(),"-")</f>
        <v>-</v>
      </c>
      <c r="D385" s="59" t="str">
        <f>IFERROR(INDEX('领用录入（明细）'!$B:$L,SMALL($B:$B,ROW(B379)),MATCH(D$7,$D$7:$L$7,0)),"")</f>
        <v/>
      </c>
      <c r="E385" s="114" t="str">
        <f>IFERROR(INDEX('领用录入（明细）'!$B:$L,SMALL($B:$B,ROW(C379)),MATCH(E$7,$D$7:$L$7,0)),"")</f>
        <v/>
      </c>
      <c r="F385" s="60" t="str">
        <f>IFERROR(INDEX('领用录入（明细）'!$B:$L,SMALL($B:$B,ROW(D379)),MATCH(F$7,$D$7:$L$7,0)),"")</f>
        <v/>
      </c>
      <c r="G385" s="60" t="str">
        <f>IFERROR(INDEX('领用录入（明细）'!$B:$L,SMALL($B:$B,ROW(E379)),MATCH(G$7,$D$7:$L$7,0)),"")</f>
        <v/>
      </c>
      <c r="H385" s="60" t="str">
        <f>IFERROR(INDEX('领用录入（明细）'!$B:$L,SMALL($B:$B,ROW(F379)),MATCH(H$7,$D$7:$L$7,0)),"")</f>
        <v/>
      </c>
      <c r="I385" s="60" t="str">
        <f>IFERROR(INDEX('领用录入（明细）'!$B:$L,SMALL($B:$B,ROW(G379)),MATCH(I$7,$D$7:$L$7,0)),"")</f>
        <v/>
      </c>
      <c r="J385" s="60" t="str">
        <f>IFERROR(INDEX('领用录入（明细）'!$B:$L,SMALL($B:$B,ROW(H379)),MATCH(J$7,$D$7:$L$7,0)),"")</f>
        <v/>
      </c>
      <c r="K385" s="60" t="str">
        <f>IFERROR(INDEX('领用录入（明细）'!$B:$L,SMALL($B:$B,ROW(I379)),MATCH(K$7,$D$7:$L$7,0)),"")</f>
        <v/>
      </c>
      <c r="L385" s="60" t="str">
        <f>IFERROR(INDEX('领用录入（明细）'!$B:$L,SMALL($B:$B,ROW(J379)),MATCH(L$7,$D$7:$L$7,0)),"")</f>
        <v/>
      </c>
      <c r="M385" s="60" t="str">
        <f t="shared" si="5"/>
        <v/>
      </c>
    </row>
    <row r="386" customHeight="1" spans="2:13">
      <c r="B386" s="62" t="str">
        <f>IF(AND('领用录入（明细）'!D:D=$F$4,'领用录入（明细）'!C:C&gt;=$J$4,'领用录入（明细）'!C:C&lt;=$L$4),ROW(),"-")</f>
        <v>-</v>
      </c>
      <c r="D386" s="59" t="str">
        <f>IFERROR(INDEX('领用录入（明细）'!$B:$L,SMALL($B:$B,ROW(B380)),MATCH(D$7,$D$7:$L$7,0)),"")</f>
        <v/>
      </c>
      <c r="E386" s="114" t="str">
        <f>IFERROR(INDEX('领用录入（明细）'!$B:$L,SMALL($B:$B,ROW(C380)),MATCH(E$7,$D$7:$L$7,0)),"")</f>
        <v/>
      </c>
      <c r="F386" s="60" t="str">
        <f>IFERROR(INDEX('领用录入（明细）'!$B:$L,SMALL($B:$B,ROW(D380)),MATCH(F$7,$D$7:$L$7,0)),"")</f>
        <v/>
      </c>
      <c r="G386" s="60" t="str">
        <f>IFERROR(INDEX('领用录入（明细）'!$B:$L,SMALL($B:$B,ROW(E380)),MATCH(G$7,$D$7:$L$7,0)),"")</f>
        <v/>
      </c>
      <c r="H386" s="60" t="str">
        <f>IFERROR(INDEX('领用录入（明细）'!$B:$L,SMALL($B:$B,ROW(F380)),MATCH(H$7,$D$7:$L$7,0)),"")</f>
        <v/>
      </c>
      <c r="I386" s="60" t="str">
        <f>IFERROR(INDEX('领用录入（明细）'!$B:$L,SMALL($B:$B,ROW(G380)),MATCH(I$7,$D$7:$L$7,0)),"")</f>
        <v/>
      </c>
      <c r="J386" s="60" t="str">
        <f>IFERROR(INDEX('领用录入（明细）'!$B:$L,SMALL($B:$B,ROW(H380)),MATCH(J$7,$D$7:$L$7,0)),"")</f>
        <v/>
      </c>
      <c r="K386" s="60" t="str">
        <f>IFERROR(INDEX('领用录入（明细）'!$B:$L,SMALL($B:$B,ROW(I380)),MATCH(K$7,$D$7:$L$7,0)),"")</f>
        <v/>
      </c>
      <c r="L386" s="60" t="str">
        <f>IFERROR(INDEX('领用录入（明细）'!$B:$L,SMALL($B:$B,ROW(J380)),MATCH(L$7,$D$7:$L$7,0)),"")</f>
        <v/>
      </c>
      <c r="M386" s="60" t="str">
        <f t="shared" si="5"/>
        <v/>
      </c>
    </row>
    <row r="387" customHeight="1" spans="2:13">
      <c r="B387" s="62" t="str">
        <f>IF(AND('领用录入（明细）'!D:D=$F$4,'领用录入（明细）'!C:C&gt;=$J$4,'领用录入（明细）'!C:C&lt;=$L$4),ROW(),"-")</f>
        <v>-</v>
      </c>
      <c r="D387" s="59" t="str">
        <f>IFERROR(INDEX('领用录入（明细）'!$B:$L,SMALL($B:$B,ROW(B381)),MATCH(D$7,$D$7:$L$7,0)),"")</f>
        <v/>
      </c>
      <c r="E387" s="114" t="str">
        <f>IFERROR(INDEX('领用录入（明细）'!$B:$L,SMALL($B:$B,ROW(C381)),MATCH(E$7,$D$7:$L$7,0)),"")</f>
        <v/>
      </c>
      <c r="F387" s="60" t="str">
        <f>IFERROR(INDEX('领用录入（明细）'!$B:$L,SMALL($B:$B,ROW(D381)),MATCH(F$7,$D$7:$L$7,0)),"")</f>
        <v/>
      </c>
      <c r="G387" s="60" t="str">
        <f>IFERROR(INDEX('领用录入（明细）'!$B:$L,SMALL($B:$B,ROW(E381)),MATCH(G$7,$D$7:$L$7,0)),"")</f>
        <v/>
      </c>
      <c r="H387" s="60" t="str">
        <f>IFERROR(INDEX('领用录入（明细）'!$B:$L,SMALL($B:$B,ROW(F381)),MATCH(H$7,$D$7:$L$7,0)),"")</f>
        <v/>
      </c>
      <c r="I387" s="60" t="str">
        <f>IFERROR(INDEX('领用录入（明细）'!$B:$L,SMALL($B:$B,ROW(G381)),MATCH(I$7,$D$7:$L$7,0)),"")</f>
        <v/>
      </c>
      <c r="J387" s="60" t="str">
        <f>IFERROR(INDEX('领用录入（明细）'!$B:$L,SMALL($B:$B,ROW(H381)),MATCH(J$7,$D$7:$L$7,0)),"")</f>
        <v/>
      </c>
      <c r="K387" s="60" t="str">
        <f>IFERROR(INDEX('领用录入（明细）'!$B:$L,SMALL($B:$B,ROW(I381)),MATCH(K$7,$D$7:$L$7,0)),"")</f>
        <v/>
      </c>
      <c r="L387" s="60" t="str">
        <f>IFERROR(INDEX('领用录入（明细）'!$B:$L,SMALL($B:$B,ROW(J381)),MATCH(L$7,$D$7:$L$7,0)),"")</f>
        <v/>
      </c>
      <c r="M387" s="60" t="str">
        <f t="shared" si="5"/>
        <v/>
      </c>
    </row>
    <row r="388" customHeight="1" spans="2:13">
      <c r="B388" s="62" t="str">
        <f>IF(AND('领用录入（明细）'!D:D=$F$4,'领用录入（明细）'!C:C&gt;=$J$4,'领用录入（明细）'!C:C&lt;=$L$4),ROW(),"-")</f>
        <v>-</v>
      </c>
      <c r="D388" s="59" t="str">
        <f>IFERROR(INDEX('领用录入（明细）'!$B:$L,SMALL($B:$B,ROW(B382)),MATCH(D$7,$D$7:$L$7,0)),"")</f>
        <v/>
      </c>
      <c r="E388" s="114" t="str">
        <f>IFERROR(INDEX('领用录入（明细）'!$B:$L,SMALL($B:$B,ROW(C382)),MATCH(E$7,$D$7:$L$7,0)),"")</f>
        <v/>
      </c>
      <c r="F388" s="60" t="str">
        <f>IFERROR(INDEX('领用录入（明细）'!$B:$L,SMALL($B:$B,ROW(D382)),MATCH(F$7,$D$7:$L$7,0)),"")</f>
        <v/>
      </c>
      <c r="G388" s="60" t="str">
        <f>IFERROR(INDEX('领用录入（明细）'!$B:$L,SMALL($B:$B,ROW(E382)),MATCH(G$7,$D$7:$L$7,0)),"")</f>
        <v/>
      </c>
      <c r="H388" s="60" t="str">
        <f>IFERROR(INDEX('领用录入（明细）'!$B:$L,SMALL($B:$B,ROW(F382)),MATCH(H$7,$D$7:$L$7,0)),"")</f>
        <v/>
      </c>
      <c r="I388" s="60" t="str">
        <f>IFERROR(INDEX('领用录入（明细）'!$B:$L,SMALL($B:$B,ROW(G382)),MATCH(I$7,$D$7:$L$7,0)),"")</f>
        <v/>
      </c>
      <c r="J388" s="60" t="str">
        <f>IFERROR(INDEX('领用录入（明细）'!$B:$L,SMALL($B:$B,ROW(H382)),MATCH(J$7,$D$7:$L$7,0)),"")</f>
        <v/>
      </c>
      <c r="K388" s="60" t="str">
        <f>IFERROR(INDEX('领用录入（明细）'!$B:$L,SMALL($B:$B,ROW(I382)),MATCH(K$7,$D$7:$L$7,0)),"")</f>
        <v/>
      </c>
      <c r="L388" s="60" t="str">
        <f>IFERROR(INDEX('领用录入（明细）'!$B:$L,SMALL($B:$B,ROW(J382)),MATCH(L$7,$D$7:$L$7,0)),"")</f>
        <v/>
      </c>
      <c r="M388" s="60" t="str">
        <f t="shared" si="5"/>
        <v/>
      </c>
    </row>
    <row r="389" customHeight="1" spans="2:13">
      <c r="B389" s="62" t="str">
        <f>IF(AND('领用录入（明细）'!D:D=$F$4,'领用录入（明细）'!C:C&gt;=$J$4,'领用录入（明细）'!C:C&lt;=$L$4),ROW(),"-")</f>
        <v>-</v>
      </c>
      <c r="D389" s="59" t="str">
        <f>IFERROR(INDEX('领用录入（明细）'!$B:$L,SMALL($B:$B,ROW(B383)),MATCH(D$7,$D$7:$L$7,0)),"")</f>
        <v/>
      </c>
      <c r="E389" s="114" t="str">
        <f>IFERROR(INDEX('领用录入（明细）'!$B:$L,SMALL($B:$B,ROW(C383)),MATCH(E$7,$D$7:$L$7,0)),"")</f>
        <v/>
      </c>
      <c r="F389" s="60" t="str">
        <f>IFERROR(INDEX('领用录入（明细）'!$B:$L,SMALL($B:$B,ROW(D383)),MATCH(F$7,$D$7:$L$7,0)),"")</f>
        <v/>
      </c>
      <c r="G389" s="60" t="str">
        <f>IFERROR(INDEX('领用录入（明细）'!$B:$L,SMALL($B:$B,ROW(E383)),MATCH(G$7,$D$7:$L$7,0)),"")</f>
        <v/>
      </c>
      <c r="H389" s="60" t="str">
        <f>IFERROR(INDEX('领用录入（明细）'!$B:$L,SMALL($B:$B,ROW(F383)),MATCH(H$7,$D$7:$L$7,0)),"")</f>
        <v/>
      </c>
      <c r="I389" s="60" t="str">
        <f>IFERROR(INDEX('领用录入（明细）'!$B:$L,SMALL($B:$B,ROW(G383)),MATCH(I$7,$D$7:$L$7,0)),"")</f>
        <v/>
      </c>
      <c r="J389" s="60" t="str">
        <f>IFERROR(INDEX('领用录入（明细）'!$B:$L,SMALL($B:$B,ROW(H383)),MATCH(J$7,$D$7:$L$7,0)),"")</f>
        <v/>
      </c>
      <c r="K389" s="60" t="str">
        <f>IFERROR(INDEX('领用录入（明细）'!$B:$L,SMALL($B:$B,ROW(I383)),MATCH(K$7,$D$7:$L$7,0)),"")</f>
        <v/>
      </c>
      <c r="L389" s="60" t="str">
        <f>IFERROR(INDEX('领用录入（明细）'!$B:$L,SMALL($B:$B,ROW(J383)),MATCH(L$7,$D$7:$L$7,0)),"")</f>
        <v/>
      </c>
      <c r="M389" s="60" t="str">
        <f t="shared" si="5"/>
        <v/>
      </c>
    </row>
    <row r="390" customHeight="1" spans="2:13">
      <c r="B390" s="62" t="str">
        <f>IF(AND('领用录入（明细）'!D:D=$F$4,'领用录入（明细）'!C:C&gt;=$J$4,'领用录入（明细）'!C:C&lt;=$L$4),ROW(),"-")</f>
        <v>-</v>
      </c>
      <c r="D390" s="59" t="str">
        <f>IFERROR(INDEX('领用录入（明细）'!$B:$L,SMALL($B:$B,ROW(B384)),MATCH(D$7,$D$7:$L$7,0)),"")</f>
        <v/>
      </c>
      <c r="E390" s="114" t="str">
        <f>IFERROR(INDEX('领用录入（明细）'!$B:$L,SMALL($B:$B,ROW(C384)),MATCH(E$7,$D$7:$L$7,0)),"")</f>
        <v/>
      </c>
      <c r="F390" s="60" t="str">
        <f>IFERROR(INDEX('领用录入（明细）'!$B:$L,SMALL($B:$B,ROW(D384)),MATCH(F$7,$D$7:$L$7,0)),"")</f>
        <v/>
      </c>
      <c r="G390" s="60" t="str">
        <f>IFERROR(INDEX('领用录入（明细）'!$B:$L,SMALL($B:$B,ROW(E384)),MATCH(G$7,$D$7:$L$7,0)),"")</f>
        <v/>
      </c>
      <c r="H390" s="60" t="str">
        <f>IFERROR(INDEX('领用录入（明细）'!$B:$L,SMALL($B:$B,ROW(F384)),MATCH(H$7,$D$7:$L$7,0)),"")</f>
        <v/>
      </c>
      <c r="I390" s="60" t="str">
        <f>IFERROR(INDEX('领用录入（明细）'!$B:$L,SMALL($B:$B,ROW(G384)),MATCH(I$7,$D$7:$L$7,0)),"")</f>
        <v/>
      </c>
      <c r="J390" s="60" t="str">
        <f>IFERROR(INDEX('领用录入（明细）'!$B:$L,SMALL($B:$B,ROW(H384)),MATCH(J$7,$D$7:$L$7,0)),"")</f>
        <v/>
      </c>
      <c r="K390" s="60" t="str">
        <f>IFERROR(INDEX('领用录入（明细）'!$B:$L,SMALL($B:$B,ROW(I384)),MATCH(K$7,$D$7:$L$7,0)),"")</f>
        <v/>
      </c>
      <c r="L390" s="60" t="str">
        <f>IFERROR(INDEX('领用录入（明细）'!$B:$L,SMALL($B:$B,ROW(J384)),MATCH(L$7,$D$7:$L$7,0)),"")</f>
        <v/>
      </c>
      <c r="M390" s="60" t="str">
        <f t="shared" si="5"/>
        <v/>
      </c>
    </row>
    <row r="391" customHeight="1" spans="2:13">
      <c r="B391" s="62" t="str">
        <f>IF(AND('领用录入（明细）'!D:D=$F$4,'领用录入（明细）'!C:C&gt;=$J$4,'领用录入（明细）'!C:C&lt;=$L$4),ROW(),"-")</f>
        <v>-</v>
      </c>
      <c r="D391" s="59" t="str">
        <f>IFERROR(INDEX('领用录入（明细）'!$B:$L,SMALL($B:$B,ROW(B385)),MATCH(D$7,$D$7:$L$7,0)),"")</f>
        <v/>
      </c>
      <c r="E391" s="114" t="str">
        <f>IFERROR(INDEX('领用录入（明细）'!$B:$L,SMALL($B:$B,ROW(C385)),MATCH(E$7,$D$7:$L$7,0)),"")</f>
        <v/>
      </c>
      <c r="F391" s="60" t="str">
        <f>IFERROR(INDEX('领用录入（明细）'!$B:$L,SMALL($B:$B,ROW(D385)),MATCH(F$7,$D$7:$L$7,0)),"")</f>
        <v/>
      </c>
      <c r="G391" s="60" t="str">
        <f>IFERROR(INDEX('领用录入（明细）'!$B:$L,SMALL($B:$B,ROW(E385)),MATCH(G$7,$D$7:$L$7,0)),"")</f>
        <v/>
      </c>
      <c r="H391" s="60" t="str">
        <f>IFERROR(INDEX('领用录入（明细）'!$B:$L,SMALL($B:$B,ROW(F385)),MATCH(H$7,$D$7:$L$7,0)),"")</f>
        <v/>
      </c>
      <c r="I391" s="60" t="str">
        <f>IFERROR(INDEX('领用录入（明细）'!$B:$L,SMALL($B:$B,ROW(G385)),MATCH(I$7,$D$7:$L$7,0)),"")</f>
        <v/>
      </c>
      <c r="J391" s="60" t="str">
        <f>IFERROR(INDEX('领用录入（明细）'!$B:$L,SMALL($B:$B,ROW(H385)),MATCH(J$7,$D$7:$L$7,0)),"")</f>
        <v/>
      </c>
      <c r="K391" s="60" t="str">
        <f>IFERROR(INDEX('领用录入（明细）'!$B:$L,SMALL($B:$B,ROW(I385)),MATCH(K$7,$D$7:$L$7,0)),"")</f>
        <v/>
      </c>
      <c r="L391" s="60" t="str">
        <f>IFERROR(INDEX('领用录入（明细）'!$B:$L,SMALL($B:$B,ROW(J385)),MATCH(L$7,$D$7:$L$7,0)),"")</f>
        <v/>
      </c>
      <c r="M391" s="60" t="str">
        <f t="shared" si="5"/>
        <v/>
      </c>
    </row>
    <row r="392" customHeight="1" spans="2:13">
      <c r="B392" s="62" t="str">
        <f>IF(AND('领用录入（明细）'!D:D=$F$4,'领用录入（明细）'!C:C&gt;=$J$4,'领用录入（明细）'!C:C&lt;=$L$4),ROW(),"-")</f>
        <v>-</v>
      </c>
      <c r="D392" s="59" t="str">
        <f>IFERROR(INDEX('领用录入（明细）'!$B:$L,SMALL($B:$B,ROW(B386)),MATCH(D$7,$D$7:$L$7,0)),"")</f>
        <v/>
      </c>
      <c r="E392" s="114" t="str">
        <f>IFERROR(INDEX('领用录入（明细）'!$B:$L,SMALL($B:$B,ROW(C386)),MATCH(E$7,$D$7:$L$7,0)),"")</f>
        <v/>
      </c>
      <c r="F392" s="60" t="str">
        <f>IFERROR(INDEX('领用录入（明细）'!$B:$L,SMALL($B:$B,ROW(D386)),MATCH(F$7,$D$7:$L$7,0)),"")</f>
        <v/>
      </c>
      <c r="G392" s="60" t="str">
        <f>IFERROR(INDEX('领用录入（明细）'!$B:$L,SMALL($B:$B,ROW(E386)),MATCH(G$7,$D$7:$L$7,0)),"")</f>
        <v/>
      </c>
      <c r="H392" s="60" t="str">
        <f>IFERROR(INDEX('领用录入（明细）'!$B:$L,SMALL($B:$B,ROW(F386)),MATCH(H$7,$D$7:$L$7,0)),"")</f>
        <v/>
      </c>
      <c r="I392" s="60" t="str">
        <f>IFERROR(INDEX('领用录入（明细）'!$B:$L,SMALL($B:$B,ROW(G386)),MATCH(I$7,$D$7:$L$7,0)),"")</f>
        <v/>
      </c>
      <c r="J392" s="60" t="str">
        <f>IFERROR(INDEX('领用录入（明细）'!$B:$L,SMALL($B:$B,ROW(H386)),MATCH(J$7,$D$7:$L$7,0)),"")</f>
        <v/>
      </c>
      <c r="K392" s="60" t="str">
        <f>IFERROR(INDEX('领用录入（明细）'!$B:$L,SMALL($B:$B,ROW(I386)),MATCH(K$7,$D$7:$L$7,0)),"")</f>
        <v/>
      </c>
      <c r="L392" s="60" t="str">
        <f>IFERROR(INDEX('领用录入（明细）'!$B:$L,SMALL($B:$B,ROW(J386)),MATCH(L$7,$D$7:$L$7,0)),"")</f>
        <v/>
      </c>
      <c r="M392" s="60" t="str">
        <f t="shared" si="5"/>
        <v/>
      </c>
    </row>
    <row r="393" customHeight="1" spans="2:13">
      <c r="B393" s="62" t="str">
        <f>IF(AND('领用录入（明细）'!D:D=$F$4,'领用录入（明细）'!C:C&gt;=$J$4,'领用录入（明细）'!C:C&lt;=$L$4),ROW(),"-")</f>
        <v>-</v>
      </c>
      <c r="D393" s="59" t="str">
        <f>IFERROR(INDEX('领用录入（明细）'!$B:$L,SMALL($B:$B,ROW(B387)),MATCH(D$7,$D$7:$L$7,0)),"")</f>
        <v/>
      </c>
      <c r="E393" s="114" t="str">
        <f>IFERROR(INDEX('领用录入（明细）'!$B:$L,SMALL($B:$B,ROW(C387)),MATCH(E$7,$D$7:$L$7,0)),"")</f>
        <v/>
      </c>
      <c r="F393" s="60" t="str">
        <f>IFERROR(INDEX('领用录入（明细）'!$B:$L,SMALL($B:$B,ROW(D387)),MATCH(F$7,$D$7:$L$7,0)),"")</f>
        <v/>
      </c>
      <c r="G393" s="60" t="str">
        <f>IFERROR(INDEX('领用录入（明细）'!$B:$L,SMALL($B:$B,ROW(E387)),MATCH(G$7,$D$7:$L$7,0)),"")</f>
        <v/>
      </c>
      <c r="H393" s="60" t="str">
        <f>IFERROR(INDEX('领用录入（明细）'!$B:$L,SMALL($B:$B,ROW(F387)),MATCH(H$7,$D$7:$L$7,0)),"")</f>
        <v/>
      </c>
      <c r="I393" s="60" t="str">
        <f>IFERROR(INDEX('领用录入（明细）'!$B:$L,SMALL($B:$B,ROW(G387)),MATCH(I$7,$D$7:$L$7,0)),"")</f>
        <v/>
      </c>
      <c r="J393" s="60" t="str">
        <f>IFERROR(INDEX('领用录入（明细）'!$B:$L,SMALL($B:$B,ROW(H387)),MATCH(J$7,$D$7:$L$7,0)),"")</f>
        <v/>
      </c>
      <c r="K393" s="60" t="str">
        <f>IFERROR(INDEX('领用录入（明细）'!$B:$L,SMALL($B:$B,ROW(I387)),MATCH(K$7,$D$7:$L$7,0)),"")</f>
        <v/>
      </c>
      <c r="L393" s="60" t="str">
        <f>IFERROR(INDEX('领用录入（明细）'!$B:$L,SMALL($B:$B,ROW(J387)),MATCH(L$7,$D$7:$L$7,0)),"")</f>
        <v/>
      </c>
      <c r="M393" s="60" t="str">
        <f t="shared" ref="M393:M456" si="6">IFERROR(K393*L393,"")</f>
        <v/>
      </c>
    </row>
    <row r="394" customHeight="1" spans="2:13">
      <c r="B394" s="62" t="str">
        <f>IF(AND('领用录入（明细）'!D:D=$F$4,'领用录入（明细）'!C:C&gt;=$J$4,'领用录入（明细）'!C:C&lt;=$L$4),ROW(),"-")</f>
        <v>-</v>
      </c>
      <c r="D394" s="59" t="str">
        <f>IFERROR(INDEX('领用录入（明细）'!$B:$L,SMALL($B:$B,ROW(B388)),MATCH(D$7,$D$7:$L$7,0)),"")</f>
        <v/>
      </c>
      <c r="E394" s="114" t="str">
        <f>IFERROR(INDEX('领用录入（明细）'!$B:$L,SMALL($B:$B,ROW(C388)),MATCH(E$7,$D$7:$L$7,0)),"")</f>
        <v/>
      </c>
      <c r="F394" s="60" t="str">
        <f>IFERROR(INDEX('领用录入（明细）'!$B:$L,SMALL($B:$B,ROW(D388)),MATCH(F$7,$D$7:$L$7,0)),"")</f>
        <v/>
      </c>
      <c r="G394" s="60" t="str">
        <f>IFERROR(INDEX('领用录入（明细）'!$B:$L,SMALL($B:$B,ROW(E388)),MATCH(G$7,$D$7:$L$7,0)),"")</f>
        <v/>
      </c>
      <c r="H394" s="60" t="str">
        <f>IFERROR(INDEX('领用录入（明细）'!$B:$L,SMALL($B:$B,ROW(F388)),MATCH(H$7,$D$7:$L$7,0)),"")</f>
        <v/>
      </c>
      <c r="I394" s="60" t="str">
        <f>IFERROR(INDEX('领用录入（明细）'!$B:$L,SMALL($B:$B,ROW(G388)),MATCH(I$7,$D$7:$L$7,0)),"")</f>
        <v/>
      </c>
      <c r="J394" s="60" t="str">
        <f>IFERROR(INDEX('领用录入（明细）'!$B:$L,SMALL($B:$B,ROW(H388)),MATCH(J$7,$D$7:$L$7,0)),"")</f>
        <v/>
      </c>
      <c r="K394" s="60" t="str">
        <f>IFERROR(INDEX('领用录入（明细）'!$B:$L,SMALL($B:$B,ROW(I388)),MATCH(K$7,$D$7:$L$7,0)),"")</f>
        <v/>
      </c>
      <c r="L394" s="60" t="str">
        <f>IFERROR(INDEX('领用录入（明细）'!$B:$L,SMALL($B:$B,ROW(J388)),MATCH(L$7,$D$7:$L$7,0)),"")</f>
        <v/>
      </c>
      <c r="M394" s="60" t="str">
        <f t="shared" si="6"/>
        <v/>
      </c>
    </row>
    <row r="395" customHeight="1" spans="2:13">
      <c r="B395" s="62" t="str">
        <f>IF(AND('领用录入（明细）'!D:D=$F$4,'领用录入（明细）'!C:C&gt;=$J$4,'领用录入（明细）'!C:C&lt;=$L$4),ROW(),"-")</f>
        <v>-</v>
      </c>
      <c r="D395" s="59" t="str">
        <f>IFERROR(INDEX('领用录入（明细）'!$B:$L,SMALL($B:$B,ROW(B389)),MATCH(D$7,$D$7:$L$7,0)),"")</f>
        <v/>
      </c>
      <c r="E395" s="114" t="str">
        <f>IFERROR(INDEX('领用录入（明细）'!$B:$L,SMALL($B:$B,ROW(C389)),MATCH(E$7,$D$7:$L$7,0)),"")</f>
        <v/>
      </c>
      <c r="F395" s="60" t="str">
        <f>IFERROR(INDEX('领用录入（明细）'!$B:$L,SMALL($B:$B,ROW(D389)),MATCH(F$7,$D$7:$L$7,0)),"")</f>
        <v/>
      </c>
      <c r="G395" s="60" t="str">
        <f>IFERROR(INDEX('领用录入（明细）'!$B:$L,SMALL($B:$B,ROW(E389)),MATCH(G$7,$D$7:$L$7,0)),"")</f>
        <v/>
      </c>
      <c r="H395" s="60" t="str">
        <f>IFERROR(INDEX('领用录入（明细）'!$B:$L,SMALL($B:$B,ROW(F389)),MATCH(H$7,$D$7:$L$7,0)),"")</f>
        <v/>
      </c>
      <c r="I395" s="60" t="str">
        <f>IFERROR(INDEX('领用录入（明细）'!$B:$L,SMALL($B:$B,ROW(G389)),MATCH(I$7,$D$7:$L$7,0)),"")</f>
        <v/>
      </c>
      <c r="J395" s="60" t="str">
        <f>IFERROR(INDEX('领用录入（明细）'!$B:$L,SMALL($B:$B,ROW(H389)),MATCH(J$7,$D$7:$L$7,0)),"")</f>
        <v/>
      </c>
      <c r="K395" s="60" t="str">
        <f>IFERROR(INDEX('领用录入（明细）'!$B:$L,SMALL($B:$B,ROW(I389)),MATCH(K$7,$D$7:$L$7,0)),"")</f>
        <v/>
      </c>
      <c r="L395" s="60" t="str">
        <f>IFERROR(INDEX('领用录入（明细）'!$B:$L,SMALL($B:$B,ROW(J389)),MATCH(L$7,$D$7:$L$7,0)),"")</f>
        <v/>
      </c>
      <c r="M395" s="60" t="str">
        <f t="shared" si="6"/>
        <v/>
      </c>
    </row>
    <row r="396" customHeight="1" spans="2:13">
      <c r="B396" s="62" t="str">
        <f>IF(AND('领用录入（明细）'!D:D=$F$4,'领用录入（明细）'!C:C&gt;=$J$4,'领用录入（明细）'!C:C&lt;=$L$4),ROW(),"-")</f>
        <v>-</v>
      </c>
      <c r="D396" s="59" t="str">
        <f>IFERROR(INDEX('领用录入（明细）'!$B:$L,SMALL($B:$B,ROW(B390)),MATCH(D$7,$D$7:$L$7,0)),"")</f>
        <v/>
      </c>
      <c r="E396" s="114" t="str">
        <f>IFERROR(INDEX('领用录入（明细）'!$B:$L,SMALL($B:$B,ROW(C390)),MATCH(E$7,$D$7:$L$7,0)),"")</f>
        <v/>
      </c>
      <c r="F396" s="60" t="str">
        <f>IFERROR(INDEX('领用录入（明细）'!$B:$L,SMALL($B:$B,ROW(D390)),MATCH(F$7,$D$7:$L$7,0)),"")</f>
        <v/>
      </c>
      <c r="G396" s="60" t="str">
        <f>IFERROR(INDEX('领用录入（明细）'!$B:$L,SMALL($B:$B,ROW(E390)),MATCH(G$7,$D$7:$L$7,0)),"")</f>
        <v/>
      </c>
      <c r="H396" s="60" t="str">
        <f>IFERROR(INDEX('领用录入（明细）'!$B:$L,SMALL($B:$B,ROW(F390)),MATCH(H$7,$D$7:$L$7,0)),"")</f>
        <v/>
      </c>
      <c r="I396" s="60" t="str">
        <f>IFERROR(INDEX('领用录入（明细）'!$B:$L,SMALL($B:$B,ROW(G390)),MATCH(I$7,$D$7:$L$7,0)),"")</f>
        <v/>
      </c>
      <c r="J396" s="60" t="str">
        <f>IFERROR(INDEX('领用录入（明细）'!$B:$L,SMALL($B:$B,ROW(H390)),MATCH(J$7,$D$7:$L$7,0)),"")</f>
        <v/>
      </c>
      <c r="K396" s="60" t="str">
        <f>IFERROR(INDEX('领用录入（明细）'!$B:$L,SMALL($B:$B,ROW(I390)),MATCH(K$7,$D$7:$L$7,0)),"")</f>
        <v/>
      </c>
      <c r="L396" s="60" t="str">
        <f>IFERROR(INDEX('领用录入（明细）'!$B:$L,SMALL($B:$B,ROW(J390)),MATCH(L$7,$D$7:$L$7,0)),"")</f>
        <v/>
      </c>
      <c r="M396" s="60" t="str">
        <f t="shared" si="6"/>
        <v/>
      </c>
    </row>
    <row r="397" customHeight="1" spans="2:13">
      <c r="B397" s="62" t="str">
        <f>IF(AND('领用录入（明细）'!D:D=$F$4,'领用录入（明细）'!C:C&gt;=$J$4,'领用录入（明细）'!C:C&lt;=$L$4),ROW(),"-")</f>
        <v>-</v>
      </c>
      <c r="D397" s="59" t="str">
        <f>IFERROR(INDEX('领用录入（明细）'!$B:$L,SMALL($B:$B,ROW(B391)),MATCH(D$7,$D$7:$L$7,0)),"")</f>
        <v/>
      </c>
      <c r="E397" s="114" t="str">
        <f>IFERROR(INDEX('领用录入（明细）'!$B:$L,SMALL($B:$B,ROW(C391)),MATCH(E$7,$D$7:$L$7,0)),"")</f>
        <v/>
      </c>
      <c r="F397" s="60" t="str">
        <f>IFERROR(INDEX('领用录入（明细）'!$B:$L,SMALL($B:$B,ROW(D391)),MATCH(F$7,$D$7:$L$7,0)),"")</f>
        <v/>
      </c>
      <c r="G397" s="60" t="str">
        <f>IFERROR(INDEX('领用录入（明细）'!$B:$L,SMALL($B:$B,ROW(E391)),MATCH(G$7,$D$7:$L$7,0)),"")</f>
        <v/>
      </c>
      <c r="H397" s="60" t="str">
        <f>IFERROR(INDEX('领用录入（明细）'!$B:$L,SMALL($B:$B,ROW(F391)),MATCH(H$7,$D$7:$L$7,0)),"")</f>
        <v/>
      </c>
      <c r="I397" s="60" t="str">
        <f>IFERROR(INDEX('领用录入（明细）'!$B:$L,SMALL($B:$B,ROW(G391)),MATCH(I$7,$D$7:$L$7,0)),"")</f>
        <v/>
      </c>
      <c r="J397" s="60" t="str">
        <f>IFERROR(INDEX('领用录入（明细）'!$B:$L,SMALL($B:$B,ROW(H391)),MATCH(J$7,$D$7:$L$7,0)),"")</f>
        <v/>
      </c>
      <c r="K397" s="60" t="str">
        <f>IFERROR(INDEX('领用录入（明细）'!$B:$L,SMALL($B:$B,ROW(I391)),MATCH(K$7,$D$7:$L$7,0)),"")</f>
        <v/>
      </c>
      <c r="L397" s="60" t="str">
        <f>IFERROR(INDEX('领用录入（明细）'!$B:$L,SMALL($B:$B,ROW(J391)),MATCH(L$7,$D$7:$L$7,0)),"")</f>
        <v/>
      </c>
      <c r="M397" s="60" t="str">
        <f t="shared" si="6"/>
        <v/>
      </c>
    </row>
    <row r="398" customHeight="1" spans="2:13">
      <c r="B398" s="62" t="str">
        <f>IF(AND('领用录入（明细）'!D:D=$F$4,'领用录入（明细）'!C:C&gt;=$J$4,'领用录入（明细）'!C:C&lt;=$L$4),ROW(),"-")</f>
        <v>-</v>
      </c>
      <c r="D398" s="59" t="str">
        <f>IFERROR(INDEX('领用录入（明细）'!$B:$L,SMALL($B:$B,ROW(B392)),MATCH(D$7,$D$7:$L$7,0)),"")</f>
        <v/>
      </c>
      <c r="E398" s="114" t="str">
        <f>IFERROR(INDEX('领用录入（明细）'!$B:$L,SMALL($B:$B,ROW(C392)),MATCH(E$7,$D$7:$L$7,0)),"")</f>
        <v/>
      </c>
      <c r="F398" s="60" t="str">
        <f>IFERROR(INDEX('领用录入（明细）'!$B:$L,SMALL($B:$B,ROW(D392)),MATCH(F$7,$D$7:$L$7,0)),"")</f>
        <v/>
      </c>
      <c r="G398" s="60" t="str">
        <f>IFERROR(INDEX('领用录入（明细）'!$B:$L,SMALL($B:$B,ROW(E392)),MATCH(G$7,$D$7:$L$7,0)),"")</f>
        <v/>
      </c>
      <c r="H398" s="60" t="str">
        <f>IFERROR(INDEX('领用录入（明细）'!$B:$L,SMALL($B:$B,ROW(F392)),MATCH(H$7,$D$7:$L$7,0)),"")</f>
        <v/>
      </c>
      <c r="I398" s="60" t="str">
        <f>IFERROR(INDEX('领用录入（明细）'!$B:$L,SMALL($B:$B,ROW(G392)),MATCH(I$7,$D$7:$L$7,0)),"")</f>
        <v/>
      </c>
      <c r="J398" s="60" t="str">
        <f>IFERROR(INDEX('领用录入（明细）'!$B:$L,SMALL($B:$B,ROW(H392)),MATCH(J$7,$D$7:$L$7,0)),"")</f>
        <v/>
      </c>
      <c r="K398" s="60" t="str">
        <f>IFERROR(INDEX('领用录入（明细）'!$B:$L,SMALL($B:$B,ROW(I392)),MATCH(K$7,$D$7:$L$7,0)),"")</f>
        <v/>
      </c>
      <c r="L398" s="60" t="str">
        <f>IFERROR(INDEX('领用录入（明细）'!$B:$L,SMALL($B:$B,ROW(J392)),MATCH(L$7,$D$7:$L$7,0)),"")</f>
        <v/>
      </c>
      <c r="M398" s="60" t="str">
        <f t="shared" si="6"/>
        <v/>
      </c>
    </row>
    <row r="399" customHeight="1" spans="2:13">
      <c r="B399" s="62" t="str">
        <f>IF(AND('领用录入（明细）'!D:D=$F$4,'领用录入（明细）'!C:C&gt;=$J$4,'领用录入（明细）'!C:C&lt;=$L$4),ROW(),"-")</f>
        <v>-</v>
      </c>
      <c r="D399" s="59" t="str">
        <f>IFERROR(INDEX('领用录入（明细）'!$B:$L,SMALL($B:$B,ROW(B393)),MATCH(D$7,$D$7:$L$7,0)),"")</f>
        <v/>
      </c>
      <c r="E399" s="114" t="str">
        <f>IFERROR(INDEX('领用录入（明细）'!$B:$L,SMALL($B:$B,ROW(C393)),MATCH(E$7,$D$7:$L$7,0)),"")</f>
        <v/>
      </c>
      <c r="F399" s="60" t="str">
        <f>IFERROR(INDEX('领用录入（明细）'!$B:$L,SMALL($B:$B,ROW(D393)),MATCH(F$7,$D$7:$L$7,0)),"")</f>
        <v/>
      </c>
      <c r="G399" s="60" t="str">
        <f>IFERROR(INDEX('领用录入（明细）'!$B:$L,SMALL($B:$B,ROW(E393)),MATCH(G$7,$D$7:$L$7,0)),"")</f>
        <v/>
      </c>
      <c r="H399" s="60" t="str">
        <f>IFERROR(INDEX('领用录入（明细）'!$B:$L,SMALL($B:$B,ROW(F393)),MATCH(H$7,$D$7:$L$7,0)),"")</f>
        <v/>
      </c>
      <c r="I399" s="60" t="str">
        <f>IFERROR(INDEX('领用录入（明细）'!$B:$L,SMALL($B:$B,ROW(G393)),MATCH(I$7,$D$7:$L$7,0)),"")</f>
        <v/>
      </c>
      <c r="J399" s="60" t="str">
        <f>IFERROR(INDEX('领用录入（明细）'!$B:$L,SMALL($B:$B,ROW(H393)),MATCH(J$7,$D$7:$L$7,0)),"")</f>
        <v/>
      </c>
      <c r="K399" s="60" t="str">
        <f>IFERROR(INDEX('领用录入（明细）'!$B:$L,SMALL($B:$B,ROW(I393)),MATCH(K$7,$D$7:$L$7,0)),"")</f>
        <v/>
      </c>
      <c r="L399" s="60" t="str">
        <f>IFERROR(INDEX('领用录入（明细）'!$B:$L,SMALL($B:$B,ROW(J393)),MATCH(L$7,$D$7:$L$7,0)),"")</f>
        <v/>
      </c>
      <c r="M399" s="60" t="str">
        <f t="shared" si="6"/>
        <v/>
      </c>
    </row>
    <row r="400" customHeight="1" spans="2:13">
      <c r="B400" s="62" t="str">
        <f>IF(AND('领用录入（明细）'!D:D=$F$4,'领用录入（明细）'!C:C&gt;=$J$4,'领用录入（明细）'!C:C&lt;=$L$4),ROW(),"-")</f>
        <v>-</v>
      </c>
      <c r="D400" s="59" t="str">
        <f>IFERROR(INDEX('领用录入（明细）'!$B:$L,SMALL($B:$B,ROW(B394)),MATCH(D$7,$D$7:$L$7,0)),"")</f>
        <v/>
      </c>
      <c r="E400" s="114" t="str">
        <f>IFERROR(INDEX('领用录入（明细）'!$B:$L,SMALL($B:$B,ROW(C394)),MATCH(E$7,$D$7:$L$7,0)),"")</f>
        <v/>
      </c>
      <c r="F400" s="60" t="str">
        <f>IFERROR(INDEX('领用录入（明细）'!$B:$L,SMALL($B:$B,ROW(D394)),MATCH(F$7,$D$7:$L$7,0)),"")</f>
        <v/>
      </c>
      <c r="G400" s="60" t="str">
        <f>IFERROR(INDEX('领用录入（明细）'!$B:$L,SMALL($B:$B,ROW(E394)),MATCH(G$7,$D$7:$L$7,0)),"")</f>
        <v/>
      </c>
      <c r="H400" s="60" t="str">
        <f>IFERROR(INDEX('领用录入（明细）'!$B:$L,SMALL($B:$B,ROW(F394)),MATCH(H$7,$D$7:$L$7,0)),"")</f>
        <v/>
      </c>
      <c r="I400" s="60" t="str">
        <f>IFERROR(INDEX('领用录入（明细）'!$B:$L,SMALL($B:$B,ROW(G394)),MATCH(I$7,$D$7:$L$7,0)),"")</f>
        <v/>
      </c>
      <c r="J400" s="60" t="str">
        <f>IFERROR(INDEX('领用录入（明细）'!$B:$L,SMALL($B:$B,ROW(H394)),MATCH(J$7,$D$7:$L$7,0)),"")</f>
        <v/>
      </c>
      <c r="K400" s="60" t="str">
        <f>IFERROR(INDEX('领用录入（明细）'!$B:$L,SMALL($B:$B,ROW(I394)),MATCH(K$7,$D$7:$L$7,0)),"")</f>
        <v/>
      </c>
      <c r="L400" s="60" t="str">
        <f>IFERROR(INDEX('领用录入（明细）'!$B:$L,SMALL($B:$B,ROW(J394)),MATCH(L$7,$D$7:$L$7,0)),"")</f>
        <v/>
      </c>
      <c r="M400" s="60" t="str">
        <f t="shared" si="6"/>
        <v/>
      </c>
    </row>
    <row r="401" customHeight="1" spans="2:13">
      <c r="B401" s="62" t="str">
        <f>IF(AND('领用录入（明细）'!D:D=$F$4,'领用录入（明细）'!C:C&gt;=$J$4,'领用录入（明细）'!C:C&lt;=$L$4),ROW(),"-")</f>
        <v>-</v>
      </c>
      <c r="D401" s="59" t="str">
        <f>IFERROR(INDEX('领用录入（明细）'!$B:$L,SMALL($B:$B,ROW(B395)),MATCH(D$7,$D$7:$L$7,0)),"")</f>
        <v/>
      </c>
      <c r="E401" s="114" t="str">
        <f>IFERROR(INDEX('领用录入（明细）'!$B:$L,SMALL($B:$B,ROW(C395)),MATCH(E$7,$D$7:$L$7,0)),"")</f>
        <v/>
      </c>
      <c r="F401" s="60" t="str">
        <f>IFERROR(INDEX('领用录入（明细）'!$B:$L,SMALL($B:$B,ROW(D395)),MATCH(F$7,$D$7:$L$7,0)),"")</f>
        <v/>
      </c>
      <c r="G401" s="60" t="str">
        <f>IFERROR(INDEX('领用录入（明细）'!$B:$L,SMALL($B:$B,ROW(E395)),MATCH(G$7,$D$7:$L$7,0)),"")</f>
        <v/>
      </c>
      <c r="H401" s="60" t="str">
        <f>IFERROR(INDEX('领用录入（明细）'!$B:$L,SMALL($B:$B,ROW(F395)),MATCH(H$7,$D$7:$L$7,0)),"")</f>
        <v/>
      </c>
      <c r="I401" s="60" t="str">
        <f>IFERROR(INDEX('领用录入（明细）'!$B:$L,SMALL($B:$B,ROW(G395)),MATCH(I$7,$D$7:$L$7,0)),"")</f>
        <v/>
      </c>
      <c r="J401" s="60" t="str">
        <f>IFERROR(INDEX('领用录入（明细）'!$B:$L,SMALL($B:$B,ROW(H395)),MATCH(J$7,$D$7:$L$7,0)),"")</f>
        <v/>
      </c>
      <c r="K401" s="60" t="str">
        <f>IFERROR(INDEX('领用录入（明细）'!$B:$L,SMALL($B:$B,ROW(I395)),MATCH(K$7,$D$7:$L$7,0)),"")</f>
        <v/>
      </c>
      <c r="L401" s="60" t="str">
        <f>IFERROR(INDEX('领用录入（明细）'!$B:$L,SMALL($B:$B,ROW(J395)),MATCH(L$7,$D$7:$L$7,0)),"")</f>
        <v/>
      </c>
      <c r="M401" s="60" t="str">
        <f t="shared" si="6"/>
        <v/>
      </c>
    </row>
    <row r="402" customHeight="1" spans="2:13">
      <c r="B402" s="62" t="str">
        <f>IF(AND('领用录入（明细）'!D:D=$F$4,'领用录入（明细）'!C:C&gt;=$J$4,'领用录入（明细）'!C:C&lt;=$L$4),ROW(),"-")</f>
        <v>-</v>
      </c>
      <c r="D402" s="59" t="str">
        <f>IFERROR(INDEX('领用录入（明细）'!$B:$L,SMALL($B:$B,ROW(B396)),MATCH(D$7,$D$7:$L$7,0)),"")</f>
        <v/>
      </c>
      <c r="E402" s="114" t="str">
        <f>IFERROR(INDEX('领用录入（明细）'!$B:$L,SMALL($B:$B,ROW(C396)),MATCH(E$7,$D$7:$L$7,0)),"")</f>
        <v/>
      </c>
      <c r="F402" s="60" t="str">
        <f>IFERROR(INDEX('领用录入（明细）'!$B:$L,SMALL($B:$B,ROW(D396)),MATCH(F$7,$D$7:$L$7,0)),"")</f>
        <v/>
      </c>
      <c r="G402" s="60" t="str">
        <f>IFERROR(INDEX('领用录入（明细）'!$B:$L,SMALL($B:$B,ROW(E396)),MATCH(G$7,$D$7:$L$7,0)),"")</f>
        <v/>
      </c>
      <c r="H402" s="60" t="str">
        <f>IFERROR(INDEX('领用录入（明细）'!$B:$L,SMALL($B:$B,ROW(F396)),MATCH(H$7,$D$7:$L$7,0)),"")</f>
        <v/>
      </c>
      <c r="I402" s="60" t="str">
        <f>IFERROR(INDEX('领用录入（明细）'!$B:$L,SMALL($B:$B,ROW(G396)),MATCH(I$7,$D$7:$L$7,0)),"")</f>
        <v/>
      </c>
      <c r="J402" s="60" t="str">
        <f>IFERROR(INDEX('领用录入（明细）'!$B:$L,SMALL($B:$B,ROW(H396)),MATCH(J$7,$D$7:$L$7,0)),"")</f>
        <v/>
      </c>
      <c r="K402" s="60" t="str">
        <f>IFERROR(INDEX('领用录入（明细）'!$B:$L,SMALL($B:$B,ROW(I396)),MATCH(K$7,$D$7:$L$7,0)),"")</f>
        <v/>
      </c>
      <c r="L402" s="60" t="str">
        <f>IFERROR(INDEX('领用录入（明细）'!$B:$L,SMALL($B:$B,ROW(J396)),MATCH(L$7,$D$7:$L$7,0)),"")</f>
        <v/>
      </c>
      <c r="M402" s="60" t="str">
        <f t="shared" si="6"/>
        <v/>
      </c>
    </row>
    <row r="403" customHeight="1" spans="2:13">
      <c r="B403" s="62" t="str">
        <f>IF(AND('领用录入（明细）'!D:D=$F$4,'领用录入（明细）'!C:C&gt;=$J$4,'领用录入（明细）'!C:C&lt;=$L$4),ROW(),"-")</f>
        <v>-</v>
      </c>
      <c r="D403" s="59" t="str">
        <f>IFERROR(INDEX('领用录入（明细）'!$B:$L,SMALL($B:$B,ROW(B397)),MATCH(D$7,$D$7:$L$7,0)),"")</f>
        <v/>
      </c>
      <c r="E403" s="114" t="str">
        <f>IFERROR(INDEX('领用录入（明细）'!$B:$L,SMALL($B:$B,ROW(C397)),MATCH(E$7,$D$7:$L$7,0)),"")</f>
        <v/>
      </c>
      <c r="F403" s="60" t="str">
        <f>IFERROR(INDEX('领用录入（明细）'!$B:$L,SMALL($B:$B,ROW(D397)),MATCH(F$7,$D$7:$L$7,0)),"")</f>
        <v/>
      </c>
      <c r="G403" s="60" t="str">
        <f>IFERROR(INDEX('领用录入（明细）'!$B:$L,SMALL($B:$B,ROW(E397)),MATCH(G$7,$D$7:$L$7,0)),"")</f>
        <v/>
      </c>
      <c r="H403" s="60" t="str">
        <f>IFERROR(INDEX('领用录入（明细）'!$B:$L,SMALL($B:$B,ROW(F397)),MATCH(H$7,$D$7:$L$7,0)),"")</f>
        <v/>
      </c>
      <c r="I403" s="60" t="str">
        <f>IFERROR(INDEX('领用录入（明细）'!$B:$L,SMALL($B:$B,ROW(G397)),MATCH(I$7,$D$7:$L$7,0)),"")</f>
        <v/>
      </c>
      <c r="J403" s="60" t="str">
        <f>IFERROR(INDEX('领用录入（明细）'!$B:$L,SMALL($B:$B,ROW(H397)),MATCH(J$7,$D$7:$L$7,0)),"")</f>
        <v/>
      </c>
      <c r="K403" s="60" t="str">
        <f>IFERROR(INDEX('领用录入（明细）'!$B:$L,SMALL($B:$B,ROW(I397)),MATCH(K$7,$D$7:$L$7,0)),"")</f>
        <v/>
      </c>
      <c r="L403" s="60" t="str">
        <f>IFERROR(INDEX('领用录入（明细）'!$B:$L,SMALL($B:$B,ROW(J397)),MATCH(L$7,$D$7:$L$7,0)),"")</f>
        <v/>
      </c>
      <c r="M403" s="60" t="str">
        <f t="shared" si="6"/>
        <v/>
      </c>
    </row>
    <row r="404" customHeight="1" spans="2:13">
      <c r="B404" s="62" t="str">
        <f>IF(AND('领用录入（明细）'!D:D=$F$4,'领用录入（明细）'!C:C&gt;=$J$4,'领用录入（明细）'!C:C&lt;=$L$4),ROW(),"-")</f>
        <v>-</v>
      </c>
      <c r="D404" s="59" t="str">
        <f>IFERROR(INDEX('领用录入（明细）'!$B:$L,SMALL($B:$B,ROW(B398)),MATCH(D$7,$D$7:$L$7,0)),"")</f>
        <v/>
      </c>
      <c r="E404" s="114" t="str">
        <f>IFERROR(INDEX('领用录入（明细）'!$B:$L,SMALL($B:$B,ROW(C398)),MATCH(E$7,$D$7:$L$7,0)),"")</f>
        <v/>
      </c>
      <c r="F404" s="60" t="str">
        <f>IFERROR(INDEX('领用录入（明细）'!$B:$L,SMALL($B:$B,ROW(D398)),MATCH(F$7,$D$7:$L$7,0)),"")</f>
        <v/>
      </c>
      <c r="G404" s="60" t="str">
        <f>IFERROR(INDEX('领用录入（明细）'!$B:$L,SMALL($B:$B,ROW(E398)),MATCH(G$7,$D$7:$L$7,0)),"")</f>
        <v/>
      </c>
      <c r="H404" s="60" t="str">
        <f>IFERROR(INDEX('领用录入（明细）'!$B:$L,SMALL($B:$B,ROW(F398)),MATCH(H$7,$D$7:$L$7,0)),"")</f>
        <v/>
      </c>
      <c r="I404" s="60" t="str">
        <f>IFERROR(INDEX('领用录入（明细）'!$B:$L,SMALL($B:$B,ROW(G398)),MATCH(I$7,$D$7:$L$7,0)),"")</f>
        <v/>
      </c>
      <c r="J404" s="60" t="str">
        <f>IFERROR(INDEX('领用录入（明细）'!$B:$L,SMALL($B:$B,ROW(H398)),MATCH(J$7,$D$7:$L$7,0)),"")</f>
        <v/>
      </c>
      <c r="K404" s="60" t="str">
        <f>IFERROR(INDEX('领用录入（明细）'!$B:$L,SMALL($B:$B,ROW(I398)),MATCH(K$7,$D$7:$L$7,0)),"")</f>
        <v/>
      </c>
      <c r="L404" s="60" t="str">
        <f>IFERROR(INDEX('领用录入（明细）'!$B:$L,SMALL($B:$B,ROW(J398)),MATCH(L$7,$D$7:$L$7,0)),"")</f>
        <v/>
      </c>
      <c r="M404" s="60" t="str">
        <f t="shared" si="6"/>
        <v/>
      </c>
    </row>
    <row r="405" customHeight="1" spans="2:13">
      <c r="B405" s="62" t="str">
        <f>IF(AND('领用录入（明细）'!D:D=$F$4,'领用录入（明细）'!C:C&gt;=$J$4,'领用录入（明细）'!C:C&lt;=$L$4),ROW(),"-")</f>
        <v>-</v>
      </c>
      <c r="D405" s="59" t="str">
        <f>IFERROR(INDEX('领用录入（明细）'!$B:$L,SMALL($B:$B,ROW(B399)),MATCH(D$7,$D$7:$L$7,0)),"")</f>
        <v/>
      </c>
      <c r="E405" s="114" t="str">
        <f>IFERROR(INDEX('领用录入（明细）'!$B:$L,SMALL($B:$B,ROW(C399)),MATCH(E$7,$D$7:$L$7,0)),"")</f>
        <v/>
      </c>
      <c r="F405" s="60" t="str">
        <f>IFERROR(INDEX('领用录入（明细）'!$B:$L,SMALL($B:$B,ROW(D399)),MATCH(F$7,$D$7:$L$7,0)),"")</f>
        <v/>
      </c>
      <c r="G405" s="60" t="str">
        <f>IFERROR(INDEX('领用录入（明细）'!$B:$L,SMALL($B:$B,ROW(E399)),MATCH(G$7,$D$7:$L$7,0)),"")</f>
        <v/>
      </c>
      <c r="H405" s="60" t="str">
        <f>IFERROR(INDEX('领用录入（明细）'!$B:$L,SMALL($B:$B,ROW(F399)),MATCH(H$7,$D$7:$L$7,0)),"")</f>
        <v/>
      </c>
      <c r="I405" s="60" t="str">
        <f>IFERROR(INDEX('领用录入（明细）'!$B:$L,SMALL($B:$B,ROW(G399)),MATCH(I$7,$D$7:$L$7,0)),"")</f>
        <v/>
      </c>
      <c r="J405" s="60" t="str">
        <f>IFERROR(INDEX('领用录入（明细）'!$B:$L,SMALL($B:$B,ROW(H399)),MATCH(J$7,$D$7:$L$7,0)),"")</f>
        <v/>
      </c>
      <c r="K405" s="60" t="str">
        <f>IFERROR(INDEX('领用录入（明细）'!$B:$L,SMALL($B:$B,ROW(I399)),MATCH(K$7,$D$7:$L$7,0)),"")</f>
        <v/>
      </c>
      <c r="L405" s="60" t="str">
        <f>IFERROR(INDEX('领用录入（明细）'!$B:$L,SMALL($B:$B,ROW(J399)),MATCH(L$7,$D$7:$L$7,0)),"")</f>
        <v/>
      </c>
      <c r="M405" s="60" t="str">
        <f t="shared" si="6"/>
        <v/>
      </c>
    </row>
    <row r="406" customHeight="1" spans="2:13">
      <c r="B406" s="62" t="str">
        <f>IF(AND('领用录入（明细）'!D:D=$F$4,'领用录入（明细）'!C:C&gt;=$J$4,'领用录入（明细）'!C:C&lt;=$L$4),ROW(),"-")</f>
        <v>-</v>
      </c>
      <c r="D406" s="59" t="str">
        <f>IFERROR(INDEX('领用录入（明细）'!$B:$L,SMALL($B:$B,ROW(B400)),MATCH(D$7,$D$7:$L$7,0)),"")</f>
        <v/>
      </c>
      <c r="E406" s="114" t="str">
        <f>IFERROR(INDEX('领用录入（明细）'!$B:$L,SMALL($B:$B,ROW(C400)),MATCH(E$7,$D$7:$L$7,0)),"")</f>
        <v/>
      </c>
      <c r="F406" s="60" t="str">
        <f>IFERROR(INDEX('领用录入（明细）'!$B:$L,SMALL($B:$B,ROW(D400)),MATCH(F$7,$D$7:$L$7,0)),"")</f>
        <v/>
      </c>
      <c r="G406" s="60" t="str">
        <f>IFERROR(INDEX('领用录入（明细）'!$B:$L,SMALL($B:$B,ROW(E400)),MATCH(G$7,$D$7:$L$7,0)),"")</f>
        <v/>
      </c>
      <c r="H406" s="60" t="str">
        <f>IFERROR(INDEX('领用录入（明细）'!$B:$L,SMALL($B:$B,ROW(F400)),MATCH(H$7,$D$7:$L$7,0)),"")</f>
        <v/>
      </c>
      <c r="I406" s="60" t="str">
        <f>IFERROR(INDEX('领用录入（明细）'!$B:$L,SMALL($B:$B,ROW(G400)),MATCH(I$7,$D$7:$L$7,0)),"")</f>
        <v/>
      </c>
      <c r="J406" s="60" t="str">
        <f>IFERROR(INDEX('领用录入（明细）'!$B:$L,SMALL($B:$B,ROW(H400)),MATCH(J$7,$D$7:$L$7,0)),"")</f>
        <v/>
      </c>
      <c r="K406" s="60" t="str">
        <f>IFERROR(INDEX('领用录入（明细）'!$B:$L,SMALL($B:$B,ROW(I400)),MATCH(K$7,$D$7:$L$7,0)),"")</f>
        <v/>
      </c>
      <c r="L406" s="60" t="str">
        <f>IFERROR(INDEX('领用录入（明细）'!$B:$L,SMALL($B:$B,ROW(J400)),MATCH(L$7,$D$7:$L$7,0)),"")</f>
        <v/>
      </c>
      <c r="M406" s="60" t="str">
        <f t="shared" si="6"/>
        <v/>
      </c>
    </row>
    <row r="407" customHeight="1" spans="2:13">
      <c r="B407" s="62" t="str">
        <f>IF(AND('领用录入（明细）'!D:D=$F$4,'领用录入（明细）'!C:C&gt;=$J$4,'领用录入（明细）'!C:C&lt;=$L$4),ROW(),"-")</f>
        <v>-</v>
      </c>
      <c r="D407" s="59" t="str">
        <f>IFERROR(INDEX('领用录入（明细）'!$B:$L,SMALL($B:$B,ROW(B401)),MATCH(D$7,$D$7:$L$7,0)),"")</f>
        <v/>
      </c>
      <c r="E407" s="114" t="str">
        <f>IFERROR(INDEX('领用录入（明细）'!$B:$L,SMALL($B:$B,ROW(C401)),MATCH(E$7,$D$7:$L$7,0)),"")</f>
        <v/>
      </c>
      <c r="F407" s="60" t="str">
        <f>IFERROR(INDEX('领用录入（明细）'!$B:$L,SMALL($B:$B,ROW(D401)),MATCH(F$7,$D$7:$L$7,0)),"")</f>
        <v/>
      </c>
      <c r="G407" s="60" t="str">
        <f>IFERROR(INDEX('领用录入（明细）'!$B:$L,SMALL($B:$B,ROW(E401)),MATCH(G$7,$D$7:$L$7,0)),"")</f>
        <v/>
      </c>
      <c r="H407" s="60" t="str">
        <f>IFERROR(INDEX('领用录入（明细）'!$B:$L,SMALL($B:$B,ROW(F401)),MATCH(H$7,$D$7:$L$7,0)),"")</f>
        <v/>
      </c>
      <c r="I407" s="60" t="str">
        <f>IFERROR(INDEX('领用录入（明细）'!$B:$L,SMALL($B:$B,ROW(G401)),MATCH(I$7,$D$7:$L$7,0)),"")</f>
        <v/>
      </c>
      <c r="J407" s="60" t="str">
        <f>IFERROR(INDEX('领用录入（明细）'!$B:$L,SMALL($B:$B,ROW(H401)),MATCH(J$7,$D$7:$L$7,0)),"")</f>
        <v/>
      </c>
      <c r="K407" s="60" t="str">
        <f>IFERROR(INDEX('领用录入（明细）'!$B:$L,SMALL($B:$B,ROW(I401)),MATCH(K$7,$D$7:$L$7,0)),"")</f>
        <v/>
      </c>
      <c r="L407" s="60" t="str">
        <f>IFERROR(INDEX('领用录入（明细）'!$B:$L,SMALL($B:$B,ROW(J401)),MATCH(L$7,$D$7:$L$7,0)),"")</f>
        <v/>
      </c>
      <c r="M407" s="60" t="str">
        <f t="shared" si="6"/>
        <v/>
      </c>
    </row>
    <row r="408" customHeight="1" spans="2:13">
      <c r="B408" s="62" t="str">
        <f>IF(AND('领用录入（明细）'!D:D=$F$4,'领用录入（明细）'!C:C&gt;=$J$4,'领用录入（明细）'!C:C&lt;=$L$4),ROW(),"-")</f>
        <v>-</v>
      </c>
      <c r="D408" s="59" t="str">
        <f>IFERROR(INDEX('领用录入（明细）'!$B:$L,SMALL($B:$B,ROW(B402)),MATCH(D$7,$D$7:$L$7,0)),"")</f>
        <v/>
      </c>
      <c r="E408" s="114" t="str">
        <f>IFERROR(INDEX('领用录入（明细）'!$B:$L,SMALL($B:$B,ROW(C402)),MATCH(E$7,$D$7:$L$7,0)),"")</f>
        <v/>
      </c>
      <c r="F408" s="60" t="str">
        <f>IFERROR(INDEX('领用录入（明细）'!$B:$L,SMALL($B:$B,ROW(D402)),MATCH(F$7,$D$7:$L$7,0)),"")</f>
        <v/>
      </c>
      <c r="G408" s="60" t="str">
        <f>IFERROR(INDEX('领用录入（明细）'!$B:$L,SMALL($B:$B,ROW(E402)),MATCH(G$7,$D$7:$L$7,0)),"")</f>
        <v/>
      </c>
      <c r="H408" s="60" t="str">
        <f>IFERROR(INDEX('领用录入（明细）'!$B:$L,SMALL($B:$B,ROW(F402)),MATCH(H$7,$D$7:$L$7,0)),"")</f>
        <v/>
      </c>
      <c r="I408" s="60" t="str">
        <f>IFERROR(INDEX('领用录入（明细）'!$B:$L,SMALL($B:$B,ROW(G402)),MATCH(I$7,$D$7:$L$7,0)),"")</f>
        <v/>
      </c>
      <c r="J408" s="60" t="str">
        <f>IFERROR(INDEX('领用录入（明细）'!$B:$L,SMALL($B:$B,ROW(H402)),MATCH(J$7,$D$7:$L$7,0)),"")</f>
        <v/>
      </c>
      <c r="K408" s="60" t="str">
        <f>IFERROR(INDEX('领用录入（明细）'!$B:$L,SMALL($B:$B,ROW(I402)),MATCH(K$7,$D$7:$L$7,0)),"")</f>
        <v/>
      </c>
      <c r="L408" s="60" t="str">
        <f>IFERROR(INDEX('领用录入（明细）'!$B:$L,SMALL($B:$B,ROW(J402)),MATCH(L$7,$D$7:$L$7,0)),"")</f>
        <v/>
      </c>
      <c r="M408" s="60" t="str">
        <f t="shared" si="6"/>
        <v/>
      </c>
    </row>
    <row r="409" customHeight="1" spans="2:13">
      <c r="B409" s="62" t="str">
        <f>IF(AND('领用录入（明细）'!D:D=$F$4,'领用录入（明细）'!C:C&gt;=$J$4,'领用录入（明细）'!C:C&lt;=$L$4),ROW(),"-")</f>
        <v>-</v>
      </c>
      <c r="D409" s="59" t="str">
        <f>IFERROR(INDEX('领用录入（明细）'!$B:$L,SMALL($B:$B,ROW(B403)),MATCH(D$7,$D$7:$L$7,0)),"")</f>
        <v/>
      </c>
      <c r="E409" s="114" t="str">
        <f>IFERROR(INDEX('领用录入（明细）'!$B:$L,SMALL($B:$B,ROW(C403)),MATCH(E$7,$D$7:$L$7,0)),"")</f>
        <v/>
      </c>
      <c r="F409" s="60" t="str">
        <f>IFERROR(INDEX('领用录入（明细）'!$B:$L,SMALL($B:$B,ROW(D403)),MATCH(F$7,$D$7:$L$7,0)),"")</f>
        <v/>
      </c>
      <c r="G409" s="60" t="str">
        <f>IFERROR(INDEX('领用录入（明细）'!$B:$L,SMALL($B:$B,ROW(E403)),MATCH(G$7,$D$7:$L$7,0)),"")</f>
        <v/>
      </c>
      <c r="H409" s="60" t="str">
        <f>IFERROR(INDEX('领用录入（明细）'!$B:$L,SMALL($B:$B,ROW(F403)),MATCH(H$7,$D$7:$L$7,0)),"")</f>
        <v/>
      </c>
      <c r="I409" s="60" t="str">
        <f>IFERROR(INDEX('领用录入（明细）'!$B:$L,SMALL($B:$B,ROW(G403)),MATCH(I$7,$D$7:$L$7,0)),"")</f>
        <v/>
      </c>
      <c r="J409" s="60" t="str">
        <f>IFERROR(INDEX('领用录入（明细）'!$B:$L,SMALL($B:$B,ROW(H403)),MATCH(J$7,$D$7:$L$7,0)),"")</f>
        <v/>
      </c>
      <c r="K409" s="60" t="str">
        <f>IFERROR(INDEX('领用录入（明细）'!$B:$L,SMALL($B:$B,ROW(I403)),MATCH(K$7,$D$7:$L$7,0)),"")</f>
        <v/>
      </c>
      <c r="L409" s="60" t="str">
        <f>IFERROR(INDEX('领用录入（明细）'!$B:$L,SMALL($B:$B,ROW(J403)),MATCH(L$7,$D$7:$L$7,0)),"")</f>
        <v/>
      </c>
      <c r="M409" s="60" t="str">
        <f t="shared" si="6"/>
        <v/>
      </c>
    </row>
    <row r="410" customHeight="1" spans="2:13">
      <c r="B410" s="62" t="str">
        <f>IF(AND('领用录入（明细）'!D:D=$F$4,'领用录入（明细）'!C:C&gt;=$J$4,'领用录入（明细）'!C:C&lt;=$L$4),ROW(),"-")</f>
        <v>-</v>
      </c>
      <c r="D410" s="59" t="str">
        <f>IFERROR(INDEX('领用录入（明细）'!$B:$L,SMALL($B:$B,ROW(B404)),MATCH(D$7,$D$7:$L$7,0)),"")</f>
        <v/>
      </c>
      <c r="E410" s="114" t="str">
        <f>IFERROR(INDEX('领用录入（明细）'!$B:$L,SMALL($B:$B,ROW(C404)),MATCH(E$7,$D$7:$L$7,0)),"")</f>
        <v/>
      </c>
      <c r="F410" s="60" t="str">
        <f>IFERROR(INDEX('领用录入（明细）'!$B:$L,SMALL($B:$B,ROW(D404)),MATCH(F$7,$D$7:$L$7,0)),"")</f>
        <v/>
      </c>
      <c r="G410" s="60" t="str">
        <f>IFERROR(INDEX('领用录入（明细）'!$B:$L,SMALL($B:$B,ROW(E404)),MATCH(G$7,$D$7:$L$7,0)),"")</f>
        <v/>
      </c>
      <c r="H410" s="60" t="str">
        <f>IFERROR(INDEX('领用录入（明细）'!$B:$L,SMALL($B:$B,ROW(F404)),MATCH(H$7,$D$7:$L$7,0)),"")</f>
        <v/>
      </c>
      <c r="I410" s="60" t="str">
        <f>IFERROR(INDEX('领用录入（明细）'!$B:$L,SMALL($B:$B,ROW(G404)),MATCH(I$7,$D$7:$L$7,0)),"")</f>
        <v/>
      </c>
      <c r="J410" s="60" t="str">
        <f>IFERROR(INDEX('领用录入（明细）'!$B:$L,SMALL($B:$B,ROW(H404)),MATCH(J$7,$D$7:$L$7,0)),"")</f>
        <v/>
      </c>
      <c r="K410" s="60" t="str">
        <f>IFERROR(INDEX('领用录入（明细）'!$B:$L,SMALL($B:$B,ROW(I404)),MATCH(K$7,$D$7:$L$7,0)),"")</f>
        <v/>
      </c>
      <c r="L410" s="60" t="str">
        <f>IFERROR(INDEX('领用录入（明细）'!$B:$L,SMALL($B:$B,ROW(J404)),MATCH(L$7,$D$7:$L$7,0)),"")</f>
        <v/>
      </c>
      <c r="M410" s="60" t="str">
        <f t="shared" si="6"/>
        <v/>
      </c>
    </row>
    <row r="411" customHeight="1" spans="2:13">
      <c r="B411" s="62" t="str">
        <f>IF(AND('领用录入（明细）'!D:D=$F$4,'领用录入（明细）'!C:C&gt;=$J$4,'领用录入（明细）'!C:C&lt;=$L$4),ROW(),"-")</f>
        <v>-</v>
      </c>
      <c r="D411" s="59" t="str">
        <f>IFERROR(INDEX('领用录入（明细）'!$B:$L,SMALL($B:$B,ROW(B405)),MATCH(D$7,$D$7:$L$7,0)),"")</f>
        <v/>
      </c>
      <c r="E411" s="114" t="str">
        <f>IFERROR(INDEX('领用录入（明细）'!$B:$L,SMALL($B:$B,ROW(C405)),MATCH(E$7,$D$7:$L$7,0)),"")</f>
        <v/>
      </c>
      <c r="F411" s="60" t="str">
        <f>IFERROR(INDEX('领用录入（明细）'!$B:$L,SMALL($B:$B,ROW(D405)),MATCH(F$7,$D$7:$L$7,0)),"")</f>
        <v/>
      </c>
      <c r="G411" s="60" t="str">
        <f>IFERROR(INDEX('领用录入（明细）'!$B:$L,SMALL($B:$B,ROW(E405)),MATCH(G$7,$D$7:$L$7,0)),"")</f>
        <v/>
      </c>
      <c r="H411" s="60" t="str">
        <f>IFERROR(INDEX('领用录入（明细）'!$B:$L,SMALL($B:$B,ROW(F405)),MATCH(H$7,$D$7:$L$7,0)),"")</f>
        <v/>
      </c>
      <c r="I411" s="60" t="str">
        <f>IFERROR(INDEX('领用录入（明细）'!$B:$L,SMALL($B:$B,ROW(G405)),MATCH(I$7,$D$7:$L$7,0)),"")</f>
        <v/>
      </c>
      <c r="J411" s="60" t="str">
        <f>IFERROR(INDEX('领用录入（明细）'!$B:$L,SMALL($B:$B,ROW(H405)),MATCH(J$7,$D$7:$L$7,0)),"")</f>
        <v/>
      </c>
      <c r="K411" s="60" t="str">
        <f>IFERROR(INDEX('领用录入（明细）'!$B:$L,SMALL($B:$B,ROW(I405)),MATCH(K$7,$D$7:$L$7,0)),"")</f>
        <v/>
      </c>
      <c r="L411" s="60" t="str">
        <f>IFERROR(INDEX('领用录入（明细）'!$B:$L,SMALL($B:$B,ROW(J405)),MATCH(L$7,$D$7:$L$7,0)),"")</f>
        <v/>
      </c>
      <c r="M411" s="60" t="str">
        <f t="shared" si="6"/>
        <v/>
      </c>
    </row>
    <row r="412" customHeight="1" spans="2:13">
      <c r="B412" s="62" t="str">
        <f>IF(AND('领用录入（明细）'!D:D=$F$4,'领用录入（明细）'!C:C&gt;=$J$4,'领用录入（明细）'!C:C&lt;=$L$4),ROW(),"-")</f>
        <v>-</v>
      </c>
      <c r="D412" s="59" t="str">
        <f>IFERROR(INDEX('领用录入（明细）'!$B:$L,SMALL($B:$B,ROW(B406)),MATCH(D$7,$D$7:$L$7,0)),"")</f>
        <v/>
      </c>
      <c r="E412" s="114" t="str">
        <f>IFERROR(INDEX('领用录入（明细）'!$B:$L,SMALL($B:$B,ROW(C406)),MATCH(E$7,$D$7:$L$7,0)),"")</f>
        <v/>
      </c>
      <c r="F412" s="60" t="str">
        <f>IFERROR(INDEX('领用录入（明细）'!$B:$L,SMALL($B:$B,ROW(D406)),MATCH(F$7,$D$7:$L$7,0)),"")</f>
        <v/>
      </c>
      <c r="G412" s="60" t="str">
        <f>IFERROR(INDEX('领用录入（明细）'!$B:$L,SMALL($B:$B,ROW(E406)),MATCH(G$7,$D$7:$L$7,0)),"")</f>
        <v/>
      </c>
      <c r="H412" s="60" t="str">
        <f>IFERROR(INDEX('领用录入（明细）'!$B:$L,SMALL($B:$B,ROW(F406)),MATCH(H$7,$D$7:$L$7,0)),"")</f>
        <v/>
      </c>
      <c r="I412" s="60" t="str">
        <f>IFERROR(INDEX('领用录入（明细）'!$B:$L,SMALL($B:$B,ROW(G406)),MATCH(I$7,$D$7:$L$7,0)),"")</f>
        <v/>
      </c>
      <c r="J412" s="60" t="str">
        <f>IFERROR(INDEX('领用录入（明细）'!$B:$L,SMALL($B:$B,ROW(H406)),MATCH(J$7,$D$7:$L$7,0)),"")</f>
        <v/>
      </c>
      <c r="K412" s="60" t="str">
        <f>IFERROR(INDEX('领用录入（明细）'!$B:$L,SMALL($B:$B,ROW(I406)),MATCH(K$7,$D$7:$L$7,0)),"")</f>
        <v/>
      </c>
      <c r="L412" s="60" t="str">
        <f>IFERROR(INDEX('领用录入（明细）'!$B:$L,SMALL($B:$B,ROW(J406)),MATCH(L$7,$D$7:$L$7,0)),"")</f>
        <v/>
      </c>
      <c r="M412" s="60" t="str">
        <f t="shared" si="6"/>
        <v/>
      </c>
    </row>
    <row r="413" customHeight="1" spans="2:13">
      <c r="B413" s="62" t="str">
        <f>IF(AND('领用录入（明细）'!D:D=$F$4,'领用录入（明细）'!C:C&gt;=$J$4,'领用录入（明细）'!C:C&lt;=$L$4),ROW(),"-")</f>
        <v>-</v>
      </c>
      <c r="D413" s="59" t="str">
        <f>IFERROR(INDEX('领用录入（明细）'!$B:$L,SMALL($B:$B,ROW(B407)),MATCH(D$7,$D$7:$L$7,0)),"")</f>
        <v/>
      </c>
      <c r="E413" s="114" t="str">
        <f>IFERROR(INDEX('领用录入（明细）'!$B:$L,SMALL($B:$B,ROW(C407)),MATCH(E$7,$D$7:$L$7,0)),"")</f>
        <v/>
      </c>
      <c r="F413" s="60" t="str">
        <f>IFERROR(INDEX('领用录入（明细）'!$B:$L,SMALL($B:$B,ROW(D407)),MATCH(F$7,$D$7:$L$7,0)),"")</f>
        <v/>
      </c>
      <c r="G413" s="60" t="str">
        <f>IFERROR(INDEX('领用录入（明细）'!$B:$L,SMALL($B:$B,ROW(E407)),MATCH(G$7,$D$7:$L$7,0)),"")</f>
        <v/>
      </c>
      <c r="H413" s="60" t="str">
        <f>IFERROR(INDEX('领用录入（明细）'!$B:$L,SMALL($B:$B,ROW(F407)),MATCH(H$7,$D$7:$L$7,0)),"")</f>
        <v/>
      </c>
      <c r="I413" s="60" t="str">
        <f>IFERROR(INDEX('领用录入（明细）'!$B:$L,SMALL($B:$B,ROW(G407)),MATCH(I$7,$D$7:$L$7,0)),"")</f>
        <v/>
      </c>
      <c r="J413" s="60" t="str">
        <f>IFERROR(INDEX('领用录入（明细）'!$B:$L,SMALL($B:$B,ROW(H407)),MATCH(J$7,$D$7:$L$7,0)),"")</f>
        <v/>
      </c>
      <c r="K413" s="60" t="str">
        <f>IFERROR(INDEX('领用录入（明细）'!$B:$L,SMALL($B:$B,ROW(I407)),MATCH(K$7,$D$7:$L$7,0)),"")</f>
        <v/>
      </c>
      <c r="L413" s="60" t="str">
        <f>IFERROR(INDEX('领用录入（明细）'!$B:$L,SMALL($B:$B,ROW(J407)),MATCH(L$7,$D$7:$L$7,0)),"")</f>
        <v/>
      </c>
      <c r="M413" s="60" t="str">
        <f t="shared" si="6"/>
        <v/>
      </c>
    </row>
    <row r="414" customHeight="1" spans="2:13">
      <c r="B414" s="62" t="str">
        <f>IF(AND('领用录入（明细）'!D:D=$F$4,'领用录入（明细）'!C:C&gt;=$J$4,'领用录入（明细）'!C:C&lt;=$L$4),ROW(),"-")</f>
        <v>-</v>
      </c>
      <c r="D414" s="59" t="str">
        <f>IFERROR(INDEX('领用录入（明细）'!$B:$L,SMALL($B:$B,ROW(B408)),MATCH(D$7,$D$7:$L$7,0)),"")</f>
        <v/>
      </c>
      <c r="E414" s="114" t="str">
        <f>IFERROR(INDEX('领用录入（明细）'!$B:$L,SMALL($B:$B,ROW(C408)),MATCH(E$7,$D$7:$L$7,0)),"")</f>
        <v/>
      </c>
      <c r="F414" s="60" t="str">
        <f>IFERROR(INDEX('领用录入（明细）'!$B:$L,SMALL($B:$B,ROW(D408)),MATCH(F$7,$D$7:$L$7,0)),"")</f>
        <v/>
      </c>
      <c r="G414" s="60" t="str">
        <f>IFERROR(INDEX('领用录入（明细）'!$B:$L,SMALL($B:$B,ROW(E408)),MATCH(G$7,$D$7:$L$7,0)),"")</f>
        <v/>
      </c>
      <c r="H414" s="60" t="str">
        <f>IFERROR(INDEX('领用录入（明细）'!$B:$L,SMALL($B:$B,ROW(F408)),MATCH(H$7,$D$7:$L$7,0)),"")</f>
        <v/>
      </c>
      <c r="I414" s="60" t="str">
        <f>IFERROR(INDEX('领用录入（明细）'!$B:$L,SMALL($B:$B,ROW(G408)),MATCH(I$7,$D$7:$L$7,0)),"")</f>
        <v/>
      </c>
      <c r="J414" s="60" t="str">
        <f>IFERROR(INDEX('领用录入（明细）'!$B:$L,SMALL($B:$B,ROW(H408)),MATCH(J$7,$D$7:$L$7,0)),"")</f>
        <v/>
      </c>
      <c r="K414" s="60" t="str">
        <f>IFERROR(INDEX('领用录入（明细）'!$B:$L,SMALL($B:$B,ROW(I408)),MATCH(K$7,$D$7:$L$7,0)),"")</f>
        <v/>
      </c>
      <c r="L414" s="60" t="str">
        <f>IFERROR(INDEX('领用录入（明细）'!$B:$L,SMALL($B:$B,ROW(J408)),MATCH(L$7,$D$7:$L$7,0)),"")</f>
        <v/>
      </c>
      <c r="M414" s="60" t="str">
        <f t="shared" si="6"/>
        <v/>
      </c>
    </row>
    <row r="415" customHeight="1" spans="2:13">
      <c r="B415" s="62" t="str">
        <f>IF(AND('领用录入（明细）'!D:D=$F$4,'领用录入（明细）'!C:C&gt;=$J$4,'领用录入（明细）'!C:C&lt;=$L$4),ROW(),"-")</f>
        <v>-</v>
      </c>
      <c r="D415" s="59" t="str">
        <f>IFERROR(INDEX('领用录入（明细）'!$B:$L,SMALL($B:$B,ROW(B409)),MATCH(D$7,$D$7:$L$7,0)),"")</f>
        <v/>
      </c>
      <c r="E415" s="114" t="str">
        <f>IFERROR(INDEX('领用录入（明细）'!$B:$L,SMALL($B:$B,ROW(C409)),MATCH(E$7,$D$7:$L$7,0)),"")</f>
        <v/>
      </c>
      <c r="F415" s="60" t="str">
        <f>IFERROR(INDEX('领用录入（明细）'!$B:$L,SMALL($B:$B,ROW(D409)),MATCH(F$7,$D$7:$L$7,0)),"")</f>
        <v/>
      </c>
      <c r="G415" s="60" t="str">
        <f>IFERROR(INDEX('领用录入（明细）'!$B:$L,SMALL($B:$B,ROW(E409)),MATCH(G$7,$D$7:$L$7,0)),"")</f>
        <v/>
      </c>
      <c r="H415" s="60" t="str">
        <f>IFERROR(INDEX('领用录入（明细）'!$B:$L,SMALL($B:$B,ROW(F409)),MATCH(H$7,$D$7:$L$7,0)),"")</f>
        <v/>
      </c>
      <c r="I415" s="60" t="str">
        <f>IFERROR(INDEX('领用录入（明细）'!$B:$L,SMALL($B:$B,ROW(G409)),MATCH(I$7,$D$7:$L$7,0)),"")</f>
        <v/>
      </c>
      <c r="J415" s="60" t="str">
        <f>IFERROR(INDEX('领用录入（明细）'!$B:$L,SMALL($B:$B,ROW(H409)),MATCH(J$7,$D$7:$L$7,0)),"")</f>
        <v/>
      </c>
      <c r="K415" s="60" t="str">
        <f>IFERROR(INDEX('领用录入（明细）'!$B:$L,SMALL($B:$B,ROW(I409)),MATCH(K$7,$D$7:$L$7,0)),"")</f>
        <v/>
      </c>
      <c r="L415" s="60" t="str">
        <f>IFERROR(INDEX('领用录入（明细）'!$B:$L,SMALL($B:$B,ROW(J409)),MATCH(L$7,$D$7:$L$7,0)),"")</f>
        <v/>
      </c>
      <c r="M415" s="60" t="str">
        <f t="shared" si="6"/>
        <v/>
      </c>
    </row>
    <row r="416" customHeight="1" spans="2:13">
      <c r="B416" s="62" t="str">
        <f>IF(AND('领用录入（明细）'!D:D=$F$4,'领用录入（明细）'!C:C&gt;=$J$4,'领用录入（明细）'!C:C&lt;=$L$4),ROW(),"-")</f>
        <v>-</v>
      </c>
      <c r="D416" s="59" t="str">
        <f>IFERROR(INDEX('领用录入（明细）'!$B:$L,SMALL($B:$B,ROW(B410)),MATCH(D$7,$D$7:$L$7,0)),"")</f>
        <v/>
      </c>
      <c r="E416" s="114" t="str">
        <f>IFERROR(INDEX('领用录入（明细）'!$B:$L,SMALL($B:$B,ROW(C410)),MATCH(E$7,$D$7:$L$7,0)),"")</f>
        <v/>
      </c>
      <c r="F416" s="60" t="str">
        <f>IFERROR(INDEX('领用录入（明细）'!$B:$L,SMALL($B:$B,ROW(D410)),MATCH(F$7,$D$7:$L$7,0)),"")</f>
        <v/>
      </c>
      <c r="G416" s="60" t="str">
        <f>IFERROR(INDEX('领用录入（明细）'!$B:$L,SMALL($B:$B,ROW(E410)),MATCH(G$7,$D$7:$L$7,0)),"")</f>
        <v/>
      </c>
      <c r="H416" s="60" t="str">
        <f>IFERROR(INDEX('领用录入（明细）'!$B:$L,SMALL($B:$B,ROW(F410)),MATCH(H$7,$D$7:$L$7,0)),"")</f>
        <v/>
      </c>
      <c r="I416" s="60" t="str">
        <f>IFERROR(INDEX('领用录入（明细）'!$B:$L,SMALL($B:$B,ROW(G410)),MATCH(I$7,$D$7:$L$7,0)),"")</f>
        <v/>
      </c>
      <c r="J416" s="60" t="str">
        <f>IFERROR(INDEX('领用录入（明细）'!$B:$L,SMALL($B:$B,ROW(H410)),MATCH(J$7,$D$7:$L$7,0)),"")</f>
        <v/>
      </c>
      <c r="K416" s="60" t="str">
        <f>IFERROR(INDEX('领用录入（明细）'!$B:$L,SMALL($B:$B,ROW(I410)),MATCH(K$7,$D$7:$L$7,0)),"")</f>
        <v/>
      </c>
      <c r="L416" s="60" t="str">
        <f>IFERROR(INDEX('领用录入（明细）'!$B:$L,SMALL($B:$B,ROW(J410)),MATCH(L$7,$D$7:$L$7,0)),"")</f>
        <v/>
      </c>
      <c r="M416" s="60" t="str">
        <f t="shared" si="6"/>
        <v/>
      </c>
    </row>
    <row r="417" customHeight="1" spans="2:13">
      <c r="B417" s="62" t="str">
        <f>IF(AND('领用录入（明细）'!D:D=$F$4,'领用录入（明细）'!C:C&gt;=$J$4,'领用录入（明细）'!C:C&lt;=$L$4),ROW(),"-")</f>
        <v>-</v>
      </c>
      <c r="D417" s="59" t="str">
        <f>IFERROR(INDEX('领用录入（明细）'!$B:$L,SMALL($B:$B,ROW(B411)),MATCH(D$7,$D$7:$L$7,0)),"")</f>
        <v/>
      </c>
      <c r="E417" s="114" t="str">
        <f>IFERROR(INDEX('领用录入（明细）'!$B:$L,SMALL($B:$B,ROW(C411)),MATCH(E$7,$D$7:$L$7,0)),"")</f>
        <v/>
      </c>
      <c r="F417" s="60" t="str">
        <f>IFERROR(INDEX('领用录入（明细）'!$B:$L,SMALL($B:$B,ROW(D411)),MATCH(F$7,$D$7:$L$7,0)),"")</f>
        <v/>
      </c>
      <c r="G417" s="60" t="str">
        <f>IFERROR(INDEX('领用录入（明细）'!$B:$L,SMALL($B:$B,ROW(E411)),MATCH(G$7,$D$7:$L$7,0)),"")</f>
        <v/>
      </c>
      <c r="H417" s="60" t="str">
        <f>IFERROR(INDEX('领用录入（明细）'!$B:$L,SMALL($B:$B,ROW(F411)),MATCH(H$7,$D$7:$L$7,0)),"")</f>
        <v/>
      </c>
      <c r="I417" s="60" t="str">
        <f>IFERROR(INDEX('领用录入（明细）'!$B:$L,SMALL($B:$B,ROW(G411)),MATCH(I$7,$D$7:$L$7,0)),"")</f>
        <v/>
      </c>
      <c r="J417" s="60" t="str">
        <f>IFERROR(INDEX('领用录入（明细）'!$B:$L,SMALL($B:$B,ROW(H411)),MATCH(J$7,$D$7:$L$7,0)),"")</f>
        <v/>
      </c>
      <c r="K417" s="60" t="str">
        <f>IFERROR(INDEX('领用录入（明细）'!$B:$L,SMALL($B:$B,ROW(I411)),MATCH(K$7,$D$7:$L$7,0)),"")</f>
        <v/>
      </c>
      <c r="L417" s="60" t="str">
        <f>IFERROR(INDEX('领用录入（明细）'!$B:$L,SMALL($B:$B,ROW(J411)),MATCH(L$7,$D$7:$L$7,0)),"")</f>
        <v/>
      </c>
      <c r="M417" s="60" t="str">
        <f t="shared" si="6"/>
        <v/>
      </c>
    </row>
    <row r="418" customHeight="1" spans="2:13">
      <c r="B418" s="62" t="str">
        <f>IF(AND('领用录入（明细）'!D:D=$F$4,'领用录入（明细）'!C:C&gt;=$J$4,'领用录入（明细）'!C:C&lt;=$L$4),ROW(),"-")</f>
        <v>-</v>
      </c>
      <c r="D418" s="59" t="str">
        <f>IFERROR(INDEX('领用录入（明细）'!$B:$L,SMALL($B:$B,ROW(B412)),MATCH(D$7,$D$7:$L$7,0)),"")</f>
        <v/>
      </c>
      <c r="E418" s="114" t="str">
        <f>IFERROR(INDEX('领用录入（明细）'!$B:$L,SMALL($B:$B,ROW(C412)),MATCH(E$7,$D$7:$L$7,0)),"")</f>
        <v/>
      </c>
      <c r="F418" s="60" t="str">
        <f>IFERROR(INDEX('领用录入（明细）'!$B:$L,SMALL($B:$B,ROW(D412)),MATCH(F$7,$D$7:$L$7,0)),"")</f>
        <v/>
      </c>
      <c r="G418" s="60" t="str">
        <f>IFERROR(INDEX('领用录入（明细）'!$B:$L,SMALL($B:$B,ROW(E412)),MATCH(G$7,$D$7:$L$7,0)),"")</f>
        <v/>
      </c>
      <c r="H418" s="60" t="str">
        <f>IFERROR(INDEX('领用录入（明细）'!$B:$L,SMALL($B:$B,ROW(F412)),MATCH(H$7,$D$7:$L$7,0)),"")</f>
        <v/>
      </c>
      <c r="I418" s="60" t="str">
        <f>IFERROR(INDEX('领用录入（明细）'!$B:$L,SMALL($B:$B,ROW(G412)),MATCH(I$7,$D$7:$L$7,0)),"")</f>
        <v/>
      </c>
      <c r="J418" s="60" t="str">
        <f>IFERROR(INDEX('领用录入（明细）'!$B:$L,SMALL($B:$B,ROW(H412)),MATCH(J$7,$D$7:$L$7,0)),"")</f>
        <v/>
      </c>
      <c r="K418" s="60" t="str">
        <f>IFERROR(INDEX('领用录入（明细）'!$B:$L,SMALL($B:$B,ROW(I412)),MATCH(K$7,$D$7:$L$7,0)),"")</f>
        <v/>
      </c>
      <c r="L418" s="60" t="str">
        <f>IFERROR(INDEX('领用录入（明细）'!$B:$L,SMALL($B:$B,ROW(J412)),MATCH(L$7,$D$7:$L$7,0)),"")</f>
        <v/>
      </c>
      <c r="M418" s="60" t="str">
        <f t="shared" si="6"/>
        <v/>
      </c>
    </row>
    <row r="419" customHeight="1" spans="2:13">
      <c r="B419" s="62" t="str">
        <f>IF(AND('领用录入（明细）'!D:D=$F$4,'领用录入（明细）'!C:C&gt;=$J$4,'领用录入（明细）'!C:C&lt;=$L$4),ROW(),"-")</f>
        <v>-</v>
      </c>
      <c r="D419" s="59" t="str">
        <f>IFERROR(INDEX('领用录入（明细）'!$B:$L,SMALL($B:$B,ROW(B413)),MATCH(D$7,$D$7:$L$7,0)),"")</f>
        <v/>
      </c>
      <c r="E419" s="114" t="str">
        <f>IFERROR(INDEX('领用录入（明细）'!$B:$L,SMALL($B:$B,ROW(C413)),MATCH(E$7,$D$7:$L$7,0)),"")</f>
        <v/>
      </c>
      <c r="F419" s="60" t="str">
        <f>IFERROR(INDEX('领用录入（明细）'!$B:$L,SMALL($B:$B,ROW(D413)),MATCH(F$7,$D$7:$L$7,0)),"")</f>
        <v/>
      </c>
      <c r="G419" s="60" t="str">
        <f>IFERROR(INDEX('领用录入（明细）'!$B:$L,SMALL($B:$B,ROW(E413)),MATCH(G$7,$D$7:$L$7,0)),"")</f>
        <v/>
      </c>
      <c r="H419" s="60" t="str">
        <f>IFERROR(INDEX('领用录入（明细）'!$B:$L,SMALL($B:$B,ROW(F413)),MATCH(H$7,$D$7:$L$7,0)),"")</f>
        <v/>
      </c>
      <c r="I419" s="60" t="str">
        <f>IFERROR(INDEX('领用录入（明细）'!$B:$L,SMALL($B:$B,ROW(G413)),MATCH(I$7,$D$7:$L$7,0)),"")</f>
        <v/>
      </c>
      <c r="J419" s="60" t="str">
        <f>IFERROR(INDEX('领用录入（明细）'!$B:$L,SMALL($B:$B,ROW(H413)),MATCH(J$7,$D$7:$L$7,0)),"")</f>
        <v/>
      </c>
      <c r="K419" s="60" t="str">
        <f>IFERROR(INDEX('领用录入（明细）'!$B:$L,SMALL($B:$B,ROW(I413)),MATCH(K$7,$D$7:$L$7,0)),"")</f>
        <v/>
      </c>
      <c r="L419" s="60" t="str">
        <f>IFERROR(INDEX('领用录入（明细）'!$B:$L,SMALL($B:$B,ROW(J413)),MATCH(L$7,$D$7:$L$7,0)),"")</f>
        <v/>
      </c>
      <c r="M419" s="60" t="str">
        <f t="shared" si="6"/>
        <v/>
      </c>
    </row>
    <row r="420" customHeight="1" spans="2:13">
      <c r="B420" s="62" t="str">
        <f>IF(AND('领用录入（明细）'!D:D=$F$4,'领用录入（明细）'!C:C&gt;=$J$4,'领用录入（明细）'!C:C&lt;=$L$4),ROW(),"-")</f>
        <v>-</v>
      </c>
      <c r="D420" s="59" t="str">
        <f>IFERROR(INDEX('领用录入（明细）'!$B:$L,SMALL($B:$B,ROW(B414)),MATCH(D$7,$D$7:$L$7,0)),"")</f>
        <v/>
      </c>
      <c r="E420" s="114" t="str">
        <f>IFERROR(INDEX('领用录入（明细）'!$B:$L,SMALL($B:$B,ROW(C414)),MATCH(E$7,$D$7:$L$7,0)),"")</f>
        <v/>
      </c>
      <c r="F420" s="60" t="str">
        <f>IFERROR(INDEX('领用录入（明细）'!$B:$L,SMALL($B:$B,ROW(D414)),MATCH(F$7,$D$7:$L$7,0)),"")</f>
        <v/>
      </c>
      <c r="G420" s="60" t="str">
        <f>IFERROR(INDEX('领用录入（明细）'!$B:$L,SMALL($B:$B,ROW(E414)),MATCH(G$7,$D$7:$L$7,0)),"")</f>
        <v/>
      </c>
      <c r="H420" s="60" t="str">
        <f>IFERROR(INDEX('领用录入（明细）'!$B:$L,SMALL($B:$B,ROW(F414)),MATCH(H$7,$D$7:$L$7,0)),"")</f>
        <v/>
      </c>
      <c r="I420" s="60" t="str">
        <f>IFERROR(INDEX('领用录入（明细）'!$B:$L,SMALL($B:$B,ROW(G414)),MATCH(I$7,$D$7:$L$7,0)),"")</f>
        <v/>
      </c>
      <c r="J420" s="60" t="str">
        <f>IFERROR(INDEX('领用录入（明细）'!$B:$L,SMALL($B:$B,ROW(H414)),MATCH(J$7,$D$7:$L$7,0)),"")</f>
        <v/>
      </c>
      <c r="K420" s="60" t="str">
        <f>IFERROR(INDEX('领用录入（明细）'!$B:$L,SMALL($B:$B,ROW(I414)),MATCH(K$7,$D$7:$L$7,0)),"")</f>
        <v/>
      </c>
      <c r="L420" s="60" t="str">
        <f>IFERROR(INDEX('领用录入（明细）'!$B:$L,SMALL($B:$B,ROW(J414)),MATCH(L$7,$D$7:$L$7,0)),"")</f>
        <v/>
      </c>
      <c r="M420" s="60" t="str">
        <f t="shared" si="6"/>
        <v/>
      </c>
    </row>
    <row r="421" customHeight="1" spans="2:13">
      <c r="B421" s="62" t="str">
        <f>IF(AND('领用录入（明细）'!D:D=$F$4,'领用录入（明细）'!C:C&gt;=$J$4,'领用录入（明细）'!C:C&lt;=$L$4),ROW(),"-")</f>
        <v>-</v>
      </c>
      <c r="D421" s="59" t="str">
        <f>IFERROR(INDEX('领用录入（明细）'!$B:$L,SMALL($B:$B,ROW(B415)),MATCH(D$7,$D$7:$L$7,0)),"")</f>
        <v/>
      </c>
      <c r="E421" s="114" t="str">
        <f>IFERROR(INDEX('领用录入（明细）'!$B:$L,SMALL($B:$B,ROW(C415)),MATCH(E$7,$D$7:$L$7,0)),"")</f>
        <v/>
      </c>
      <c r="F421" s="60" t="str">
        <f>IFERROR(INDEX('领用录入（明细）'!$B:$L,SMALL($B:$B,ROW(D415)),MATCH(F$7,$D$7:$L$7,0)),"")</f>
        <v/>
      </c>
      <c r="G421" s="60" t="str">
        <f>IFERROR(INDEX('领用录入（明细）'!$B:$L,SMALL($B:$B,ROW(E415)),MATCH(G$7,$D$7:$L$7,0)),"")</f>
        <v/>
      </c>
      <c r="H421" s="60" t="str">
        <f>IFERROR(INDEX('领用录入（明细）'!$B:$L,SMALL($B:$B,ROW(F415)),MATCH(H$7,$D$7:$L$7,0)),"")</f>
        <v/>
      </c>
      <c r="I421" s="60" t="str">
        <f>IFERROR(INDEX('领用录入（明细）'!$B:$L,SMALL($B:$B,ROW(G415)),MATCH(I$7,$D$7:$L$7,0)),"")</f>
        <v/>
      </c>
      <c r="J421" s="60" t="str">
        <f>IFERROR(INDEX('领用录入（明细）'!$B:$L,SMALL($B:$B,ROW(H415)),MATCH(J$7,$D$7:$L$7,0)),"")</f>
        <v/>
      </c>
      <c r="K421" s="60" t="str">
        <f>IFERROR(INDEX('领用录入（明细）'!$B:$L,SMALL($B:$B,ROW(I415)),MATCH(K$7,$D$7:$L$7,0)),"")</f>
        <v/>
      </c>
      <c r="L421" s="60" t="str">
        <f>IFERROR(INDEX('领用录入（明细）'!$B:$L,SMALL($B:$B,ROW(J415)),MATCH(L$7,$D$7:$L$7,0)),"")</f>
        <v/>
      </c>
      <c r="M421" s="60" t="str">
        <f t="shared" si="6"/>
        <v/>
      </c>
    </row>
    <row r="422" customHeight="1" spans="2:13">
      <c r="B422" s="62" t="str">
        <f>IF(AND('领用录入（明细）'!D:D=$F$4,'领用录入（明细）'!C:C&gt;=$J$4,'领用录入（明细）'!C:C&lt;=$L$4),ROW(),"-")</f>
        <v>-</v>
      </c>
      <c r="D422" s="59" t="str">
        <f>IFERROR(INDEX('领用录入（明细）'!$B:$L,SMALL($B:$B,ROW(B416)),MATCH(D$7,$D$7:$L$7,0)),"")</f>
        <v/>
      </c>
      <c r="E422" s="114" t="str">
        <f>IFERROR(INDEX('领用录入（明细）'!$B:$L,SMALL($B:$B,ROW(C416)),MATCH(E$7,$D$7:$L$7,0)),"")</f>
        <v/>
      </c>
      <c r="F422" s="60" t="str">
        <f>IFERROR(INDEX('领用录入（明细）'!$B:$L,SMALL($B:$B,ROW(D416)),MATCH(F$7,$D$7:$L$7,0)),"")</f>
        <v/>
      </c>
      <c r="G422" s="60" t="str">
        <f>IFERROR(INDEX('领用录入（明细）'!$B:$L,SMALL($B:$B,ROW(E416)),MATCH(G$7,$D$7:$L$7,0)),"")</f>
        <v/>
      </c>
      <c r="H422" s="60" t="str">
        <f>IFERROR(INDEX('领用录入（明细）'!$B:$L,SMALL($B:$B,ROW(F416)),MATCH(H$7,$D$7:$L$7,0)),"")</f>
        <v/>
      </c>
      <c r="I422" s="60" t="str">
        <f>IFERROR(INDEX('领用录入（明细）'!$B:$L,SMALL($B:$B,ROW(G416)),MATCH(I$7,$D$7:$L$7,0)),"")</f>
        <v/>
      </c>
      <c r="J422" s="60" t="str">
        <f>IFERROR(INDEX('领用录入（明细）'!$B:$L,SMALL($B:$B,ROW(H416)),MATCH(J$7,$D$7:$L$7,0)),"")</f>
        <v/>
      </c>
      <c r="K422" s="60" t="str">
        <f>IFERROR(INDEX('领用录入（明细）'!$B:$L,SMALL($B:$B,ROW(I416)),MATCH(K$7,$D$7:$L$7,0)),"")</f>
        <v/>
      </c>
      <c r="L422" s="60" t="str">
        <f>IFERROR(INDEX('领用录入（明细）'!$B:$L,SMALL($B:$B,ROW(J416)),MATCH(L$7,$D$7:$L$7,0)),"")</f>
        <v/>
      </c>
      <c r="M422" s="60" t="str">
        <f t="shared" si="6"/>
        <v/>
      </c>
    </row>
    <row r="423" customHeight="1" spans="2:13">
      <c r="B423" s="62" t="str">
        <f>IF(AND('领用录入（明细）'!D:D=$F$4,'领用录入（明细）'!C:C&gt;=$J$4,'领用录入（明细）'!C:C&lt;=$L$4),ROW(),"-")</f>
        <v>-</v>
      </c>
      <c r="D423" s="59" t="str">
        <f>IFERROR(INDEX('领用录入（明细）'!$B:$L,SMALL($B:$B,ROW(B417)),MATCH(D$7,$D$7:$L$7,0)),"")</f>
        <v/>
      </c>
      <c r="E423" s="114" t="str">
        <f>IFERROR(INDEX('领用录入（明细）'!$B:$L,SMALL($B:$B,ROW(C417)),MATCH(E$7,$D$7:$L$7,0)),"")</f>
        <v/>
      </c>
      <c r="F423" s="60" t="str">
        <f>IFERROR(INDEX('领用录入（明细）'!$B:$L,SMALL($B:$B,ROW(D417)),MATCH(F$7,$D$7:$L$7,0)),"")</f>
        <v/>
      </c>
      <c r="G423" s="60" t="str">
        <f>IFERROR(INDEX('领用录入（明细）'!$B:$L,SMALL($B:$B,ROW(E417)),MATCH(G$7,$D$7:$L$7,0)),"")</f>
        <v/>
      </c>
      <c r="H423" s="60" t="str">
        <f>IFERROR(INDEX('领用录入（明细）'!$B:$L,SMALL($B:$B,ROW(F417)),MATCH(H$7,$D$7:$L$7,0)),"")</f>
        <v/>
      </c>
      <c r="I423" s="60" t="str">
        <f>IFERROR(INDEX('领用录入（明细）'!$B:$L,SMALL($B:$B,ROW(G417)),MATCH(I$7,$D$7:$L$7,0)),"")</f>
        <v/>
      </c>
      <c r="J423" s="60" t="str">
        <f>IFERROR(INDEX('领用录入（明细）'!$B:$L,SMALL($B:$B,ROW(H417)),MATCH(J$7,$D$7:$L$7,0)),"")</f>
        <v/>
      </c>
      <c r="K423" s="60" t="str">
        <f>IFERROR(INDEX('领用录入（明细）'!$B:$L,SMALL($B:$B,ROW(I417)),MATCH(K$7,$D$7:$L$7,0)),"")</f>
        <v/>
      </c>
      <c r="L423" s="60" t="str">
        <f>IFERROR(INDEX('领用录入（明细）'!$B:$L,SMALL($B:$B,ROW(J417)),MATCH(L$7,$D$7:$L$7,0)),"")</f>
        <v/>
      </c>
      <c r="M423" s="60" t="str">
        <f t="shared" si="6"/>
        <v/>
      </c>
    </row>
    <row r="424" customHeight="1" spans="2:13">
      <c r="B424" s="62" t="str">
        <f>IF(AND('领用录入（明细）'!D:D=$F$4,'领用录入（明细）'!C:C&gt;=$J$4,'领用录入（明细）'!C:C&lt;=$L$4),ROW(),"-")</f>
        <v>-</v>
      </c>
      <c r="D424" s="59" t="str">
        <f>IFERROR(INDEX('领用录入（明细）'!$B:$L,SMALL($B:$B,ROW(B418)),MATCH(D$7,$D$7:$L$7,0)),"")</f>
        <v/>
      </c>
      <c r="E424" s="114" t="str">
        <f>IFERROR(INDEX('领用录入（明细）'!$B:$L,SMALL($B:$B,ROW(C418)),MATCH(E$7,$D$7:$L$7,0)),"")</f>
        <v/>
      </c>
      <c r="F424" s="60" t="str">
        <f>IFERROR(INDEX('领用录入（明细）'!$B:$L,SMALL($B:$B,ROW(D418)),MATCH(F$7,$D$7:$L$7,0)),"")</f>
        <v/>
      </c>
      <c r="G424" s="60" t="str">
        <f>IFERROR(INDEX('领用录入（明细）'!$B:$L,SMALL($B:$B,ROW(E418)),MATCH(G$7,$D$7:$L$7,0)),"")</f>
        <v/>
      </c>
      <c r="H424" s="60" t="str">
        <f>IFERROR(INDEX('领用录入（明细）'!$B:$L,SMALL($B:$B,ROW(F418)),MATCH(H$7,$D$7:$L$7,0)),"")</f>
        <v/>
      </c>
      <c r="I424" s="60" t="str">
        <f>IFERROR(INDEX('领用录入（明细）'!$B:$L,SMALL($B:$B,ROW(G418)),MATCH(I$7,$D$7:$L$7,0)),"")</f>
        <v/>
      </c>
      <c r="J424" s="60" t="str">
        <f>IFERROR(INDEX('领用录入（明细）'!$B:$L,SMALL($B:$B,ROW(H418)),MATCH(J$7,$D$7:$L$7,0)),"")</f>
        <v/>
      </c>
      <c r="K424" s="60" t="str">
        <f>IFERROR(INDEX('领用录入（明细）'!$B:$L,SMALL($B:$B,ROW(I418)),MATCH(K$7,$D$7:$L$7,0)),"")</f>
        <v/>
      </c>
      <c r="L424" s="60" t="str">
        <f>IFERROR(INDEX('领用录入（明细）'!$B:$L,SMALL($B:$B,ROW(J418)),MATCH(L$7,$D$7:$L$7,0)),"")</f>
        <v/>
      </c>
      <c r="M424" s="60" t="str">
        <f t="shared" si="6"/>
        <v/>
      </c>
    </row>
    <row r="425" customHeight="1" spans="2:13">
      <c r="B425" s="62" t="str">
        <f>IF(AND('领用录入（明细）'!D:D=$F$4,'领用录入（明细）'!C:C&gt;=$J$4,'领用录入（明细）'!C:C&lt;=$L$4),ROW(),"-")</f>
        <v>-</v>
      </c>
      <c r="D425" s="59" t="str">
        <f>IFERROR(INDEX('领用录入（明细）'!$B:$L,SMALL($B:$B,ROW(B419)),MATCH(D$7,$D$7:$L$7,0)),"")</f>
        <v/>
      </c>
      <c r="E425" s="114" t="str">
        <f>IFERROR(INDEX('领用录入（明细）'!$B:$L,SMALL($B:$B,ROW(C419)),MATCH(E$7,$D$7:$L$7,0)),"")</f>
        <v/>
      </c>
      <c r="F425" s="60" t="str">
        <f>IFERROR(INDEX('领用录入（明细）'!$B:$L,SMALL($B:$B,ROW(D419)),MATCH(F$7,$D$7:$L$7,0)),"")</f>
        <v/>
      </c>
      <c r="G425" s="60" t="str">
        <f>IFERROR(INDEX('领用录入（明细）'!$B:$L,SMALL($B:$B,ROW(E419)),MATCH(G$7,$D$7:$L$7,0)),"")</f>
        <v/>
      </c>
      <c r="H425" s="60" t="str">
        <f>IFERROR(INDEX('领用录入（明细）'!$B:$L,SMALL($B:$B,ROW(F419)),MATCH(H$7,$D$7:$L$7,0)),"")</f>
        <v/>
      </c>
      <c r="I425" s="60" t="str">
        <f>IFERROR(INDEX('领用录入（明细）'!$B:$L,SMALL($B:$B,ROW(G419)),MATCH(I$7,$D$7:$L$7,0)),"")</f>
        <v/>
      </c>
      <c r="J425" s="60" t="str">
        <f>IFERROR(INDEX('领用录入（明细）'!$B:$L,SMALL($B:$B,ROW(H419)),MATCH(J$7,$D$7:$L$7,0)),"")</f>
        <v/>
      </c>
      <c r="K425" s="60" t="str">
        <f>IFERROR(INDEX('领用录入（明细）'!$B:$L,SMALL($B:$B,ROW(I419)),MATCH(K$7,$D$7:$L$7,0)),"")</f>
        <v/>
      </c>
      <c r="L425" s="60" t="str">
        <f>IFERROR(INDEX('领用录入（明细）'!$B:$L,SMALL($B:$B,ROW(J419)),MATCH(L$7,$D$7:$L$7,0)),"")</f>
        <v/>
      </c>
      <c r="M425" s="60" t="str">
        <f t="shared" si="6"/>
        <v/>
      </c>
    </row>
    <row r="426" customHeight="1" spans="2:13">
      <c r="B426" s="62" t="str">
        <f>IF(AND('领用录入（明细）'!D:D=$F$4,'领用录入（明细）'!C:C&gt;=$J$4,'领用录入（明细）'!C:C&lt;=$L$4),ROW(),"-")</f>
        <v>-</v>
      </c>
      <c r="D426" s="59" t="str">
        <f>IFERROR(INDEX('领用录入（明细）'!$B:$L,SMALL($B:$B,ROW(B420)),MATCH(D$7,$D$7:$L$7,0)),"")</f>
        <v/>
      </c>
      <c r="E426" s="114" t="str">
        <f>IFERROR(INDEX('领用录入（明细）'!$B:$L,SMALL($B:$B,ROW(C420)),MATCH(E$7,$D$7:$L$7,0)),"")</f>
        <v/>
      </c>
      <c r="F426" s="60" t="str">
        <f>IFERROR(INDEX('领用录入（明细）'!$B:$L,SMALL($B:$B,ROW(D420)),MATCH(F$7,$D$7:$L$7,0)),"")</f>
        <v/>
      </c>
      <c r="G426" s="60" t="str">
        <f>IFERROR(INDEX('领用录入（明细）'!$B:$L,SMALL($B:$B,ROW(E420)),MATCH(G$7,$D$7:$L$7,0)),"")</f>
        <v/>
      </c>
      <c r="H426" s="60" t="str">
        <f>IFERROR(INDEX('领用录入（明细）'!$B:$L,SMALL($B:$B,ROW(F420)),MATCH(H$7,$D$7:$L$7,0)),"")</f>
        <v/>
      </c>
      <c r="I426" s="60" t="str">
        <f>IFERROR(INDEX('领用录入（明细）'!$B:$L,SMALL($B:$B,ROW(G420)),MATCH(I$7,$D$7:$L$7,0)),"")</f>
        <v/>
      </c>
      <c r="J426" s="60" t="str">
        <f>IFERROR(INDEX('领用录入（明细）'!$B:$L,SMALL($B:$B,ROW(H420)),MATCH(J$7,$D$7:$L$7,0)),"")</f>
        <v/>
      </c>
      <c r="K426" s="60" t="str">
        <f>IFERROR(INDEX('领用录入（明细）'!$B:$L,SMALL($B:$B,ROW(I420)),MATCH(K$7,$D$7:$L$7,0)),"")</f>
        <v/>
      </c>
      <c r="L426" s="60" t="str">
        <f>IFERROR(INDEX('领用录入（明细）'!$B:$L,SMALL($B:$B,ROW(J420)),MATCH(L$7,$D$7:$L$7,0)),"")</f>
        <v/>
      </c>
      <c r="M426" s="60" t="str">
        <f t="shared" si="6"/>
        <v/>
      </c>
    </row>
    <row r="427" customHeight="1" spans="2:13">
      <c r="B427" s="62" t="str">
        <f>IF(AND('领用录入（明细）'!D:D=$F$4,'领用录入（明细）'!C:C&gt;=$J$4,'领用录入（明细）'!C:C&lt;=$L$4),ROW(),"-")</f>
        <v>-</v>
      </c>
      <c r="D427" s="59" t="str">
        <f>IFERROR(INDEX('领用录入（明细）'!$B:$L,SMALL($B:$B,ROW(B421)),MATCH(D$7,$D$7:$L$7,0)),"")</f>
        <v/>
      </c>
      <c r="E427" s="114" t="str">
        <f>IFERROR(INDEX('领用录入（明细）'!$B:$L,SMALL($B:$B,ROW(C421)),MATCH(E$7,$D$7:$L$7,0)),"")</f>
        <v/>
      </c>
      <c r="F427" s="60" t="str">
        <f>IFERROR(INDEX('领用录入（明细）'!$B:$L,SMALL($B:$B,ROW(D421)),MATCH(F$7,$D$7:$L$7,0)),"")</f>
        <v/>
      </c>
      <c r="G427" s="60" t="str">
        <f>IFERROR(INDEX('领用录入（明细）'!$B:$L,SMALL($B:$B,ROW(E421)),MATCH(G$7,$D$7:$L$7,0)),"")</f>
        <v/>
      </c>
      <c r="H427" s="60" t="str">
        <f>IFERROR(INDEX('领用录入（明细）'!$B:$L,SMALL($B:$B,ROW(F421)),MATCH(H$7,$D$7:$L$7,0)),"")</f>
        <v/>
      </c>
      <c r="I427" s="60" t="str">
        <f>IFERROR(INDEX('领用录入（明细）'!$B:$L,SMALL($B:$B,ROW(G421)),MATCH(I$7,$D$7:$L$7,0)),"")</f>
        <v/>
      </c>
      <c r="J427" s="60" t="str">
        <f>IFERROR(INDEX('领用录入（明细）'!$B:$L,SMALL($B:$B,ROW(H421)),MATCH(J$7,$D$7:$L$7,0)),"")</f>
        <v/>
      </c>
      <c r="K427" s="60" t="str">
        <f>IFERROR(INDEX('领用录入（明细）'!$B:$L,SMALL($B:$B,ROW(I421)),MATCH(K$7,$D$7:$L$7,0)),"")</f>
        <v/>
      </c>
      <c r="L427" s="60" t="str">
        <f>IFERROR(INDEX('领用录入（明细）'!$B:$L,SMALL($B:$B,ROW(J421)),MATCH(L$7,$D$7:$L$7,0)),"")</f>
        <v/>
      </c>
      <c r="M427" s="60" t="str">
        <f t="shared" si="6"/>
        <v/>
      </c>
    </row>
    <row r="428" customHeight="1" spans="2:13">
      <c r="B428" s="62" t="str">
        <f>IF(AND('领用录入（明细）'!D:D=$F$4,'领用录入（明细）'!C:C&gt;=$J$4,'领用录入（明细）'!C:C&lt;=$L$4),ROW(),"-")</f>
        <v>-</v>
      </c>
      <c r="D428" s="59" t="str">
        <f>IFERROR(INDEX('领用录入（明细）'!$B:$L,SMALL($B:$B,ROW(B422)),MATCH(D$7,$D$7:$L$7,0)),"")</f>
        <v/>
      </c>
      <c r="E428" s="114" t="str">
        <f>IFERROR(INDEX('领用录入（明细）'!$B:$L,SMALL($B:$B,ROW(C422)),MATCH(E$7,$D$7:$L$7,0)),"")</f>
        <v/>
      </c>
      <c r="F428" s="60" t="str">
        <f>IFERROR(INDEX('领用录入（明细）'!$B:$L,SMALL($B:$B,ROW(D422)),MATCH(F$7,$D$7:$L$7,0)),"")</f>
        <v/>
      </c>
      <c r="G428" s="60" t="str">
        <f>IFERROR(INDEX('领用录入（明细）'!$B:$L,SMALL($B:$B,ROW(E422)),MATCH(G$7,$D$7:$L$7,0)),"")</f>
        <v/>
      </c>
      <c r="H428" s="60" t="str">
        <f>IFERROR(INDEX('领用录入（明细）'!$B:$L,SMALL($B:$B,ROW(F422)),MATCH(H$7,$D$7:$L$7,0)),"")</f>
        <v/>
      </c>
      <c r="I428" s="60" t="str">
        <f>IFERROR(INDEX('领用录入（明细）'!$B:$L,SMALL($B:$B,ROW(G422)),MATCH(I$7,$D$7:$L$7,0)),"")</f>
        <v/>
      </c>
      <c r="J428" s="60" t="str">
        <f>IFERROR(INDEX('领用录入（明细）'!$B:$L,SMALL($B:$B,ROW(H422)),MATCH(J$7,$D$7:$L$7,0)),"")</f>
        <v/>
      </c>
      <c r="K428" s="60" t="str">
        <f>IFERROR(INDEX('领用录入（明细）'!$B:$L,SMALL($B:$B,ROW(I422)),MATCH(K$7,$D$7:$L$7,0)),"")</f>
        <v/>
      </c>
      <c r="L428" s="60" t="str">
        <f>IFERROR(INDEX('领用录入（明细）'!$B:$L,SMALL($B:$B,ROW(J422)),MATCH(L$7,$D$7:$L$7,0)),"")</f>
        <v/>
      </c>
      <c r="M428" s="60" t="str">
        <f t="shared" si="6"/>
        <v/>
      </c>
    </row>
    <row r="429" customHeight="1" spans="2:13">
      <c r="B429" s="62" t="str">
        <f>IF(AND('领用录入（明细）'!D:D=$F$4,'领用录入（明细）'!C:C&gt;=$J$4,'领用录入（明细）'!C:C&lt;=$L$4),ROW(),"-")</f>
        <v>-</v>
      </c>
      <c r="D429" s="59" t="str">
        <f>IFERROR(INDEX('领用录入（明细）'!$B:$L,SMALL($B:$B,ROW(B423)),MATCH(D$7,$D$7:$L$7,0)),"")</f>
        <v/>
      </c>
      <c r="E429" s="114" t="str">
        <f>IFERROR(INDEX('领用录入（明细）'!$B:$L,SMALL($B:$B,ROW(C423)),MATCH(E$7,$D$7:$L$7,0)),"")</f>
        <v/>
      </c>
      <c r="F429" s="60" t="str">
        <f>IFERROR(INDEX('领用录入（明细）'!$B:$L,SMALL($B:$B,ROW(D423)),MATCH(F$7,$D$7:$L$7,0)),"")</f>
        <v/>
      </c>
      <c r="G429" s="60" t="str">
        <f>IFERROR(INDEX('领用录入（明细）'!$B:$L,SMALL($B:$B,ROW(E423)),MATCH(G$7,$D$7:$L$7,0)),"")</f>
        <v/>
      </c>
      <c r="H429" s="60" t="str">
        <f>IFERROR(INDEX('领用录入（明细）'!$B:$L,SMALL($B:$B,ROW(F423)),MATCH(H$7,$D$7:$L$7,0)),"")</f>
        <v/>
      </c>
      <c r="I429" s="60" t="str">
        <f>IFERROR(INDEX('领用录入（明细）'!$B:$L,SMALL($B:$B,ROW(G423)),MATCH(I$7,$D$7:$L$7,0)),"")</f>
        <v/>
      </c>
      <c r="J429" s="60" t="str">
        <f>IFERROR(INDEX('领用录入（明细）'!$B:$L,SMALL($B:$B,ROW(H423)),MATCH(J$7,$D$7:$L$7,0)),"")</f>
        <v/>
      </c>
      <c r="K429" s="60" t="str">
        <f>IFERROR(INDEX('领用录入（明细）'!$B:$L,SMALL($B:$B,ROW(I423)),MATCH(K$7,$D$7:$L$7,0)),"")</f>
        <v/>
      </c>
      <c r="L429" s="60" t="str">
        <f>IFERROR(INDEX('领用录入（明细）'!$B:$L,SMALL($B:$B,ROW(J423)),MATCH(L$7,$D$7:$L$7,0)),"")</f>
        <v/>
      </c>
      <c r="M429" s="60" t="str">
        <f t="shared" si="6"/>
        <v/>
      </c>
    </row>
    <row r="430" customHeight="1" spans="2:13">
      <c r="B430" s="62" t="str">
        <f>IF(AND('领用录入（明细）'!D:D=$F$4,'领用录入（明细）'!C:C&gt;=$J$4,'领用录入（明细）'!C:C&lt;=$L$4),ROW(),"-")</f>
        <v>-</v>
      </c>
      <c r="D430" s="59" t="str">
        <f>IFERROR(INDEX('领用录入（明细）'!$B:$L,SMALL($B:$B,ROW(B424)),MATCH(D$7,$D$7:$L$7,0)),"")</f>
        <v/>
      </c>
      <c r="E430" s="114" t="str">
        <f>IFERROR(INDEX('领用录入（明细）'!$B:$L,SMALL($B:$B,ROW(C424)),MATCH(E$7,$D$7:$L$7,0)),"")</f>
        <v/>
      </c>
      <c r="F430" s="60" t="str">
        <f>IFERROR(INDEX('领用录入（明细）'!$B:$L,SMALL($B:$B,ROW(D424)),MATCH(F$7,$D$7:$L$7,0)),"")</f>
        <v/>
      </c>
      <c r="G430" s="60" t="str">
        <f>IFERROR(INDEX('领用录入（明细）'!$B:$L,SMALL($B:$B,ROW(E424)),MATCH(G$7,$D$7:$L$7,0)),"")</f>
        <v/>
      </c>
      <c r="H430" s="60" t="str">
        <f>IFERROR(INDEX('领用录入（明细）'!$B:$L,SMALL($B:$B,ROW(F424)),MATCH(H$7,$D$7:$L$7,0)),"")</f>
        <v/>
      </c>
      <c r="I430" s="60" t="str">
        <f>IFERROR(INDEX('领用录入（明细）'!$B:$L,SMALL($B:$B,ROW(G424)),MATCH(I$7,$D$7:$L$7,0)),"")</f>
        <v/>
      </c>
      <c r="J430" s="60" t="str">
        <f>IFERROR(INDEX('领用录入（明细）'!$B:$L,SMALL($B:$B,ROW(H424)),MATCH(J$7,$D$7:$L$7,0)),"")</f>
        <v/>
      </c>
      <c r="K430" s="60" t="str">
        <f>IFERROR(INDEX('领用录入（明细）'!$B:$L,SMALL($B:$B,ROW(I424)),MATCH(K$7,$D$7:$L$7,0)),"")</f>
        <v/>
      </c>
      <c r="L430" s="60" t="str">
        <f>IFERROR(INDEX('领用录入（明细）'!$B:$L,SMALL($B:$B,ROW(J424)),MATCH(L$7,$D$7:$L$7,0)),"")</f>
        <v/>
      </c>
      <c r="M430" s="60" t="str">
        <f t="shared" si="6"/>
        <v/>
      </c>
    </row>
    <row r="431" customHeight="1" spans="2:13">
      <c r="B431" s="62" t="str">
        <f>IF(AND('领用录入（明细）'!D:D=$F$4,'领用录入（明细）'!C:C&gt;=$J$4,'领用录入（明细）'!C:C&lt;=$L$4),ROW(),"-")</f>
        <v>-</v>
      </c>
      <c r="D431" s="59" t="str">
        <f>IFERROR(INDEX('领用录入（明细）'!$B:$L,SMALL($B:$B,ROW(B425)),MATCH(D$7,$D$7:$L$7,0)),"")</f>
        <v/>
      </c>
      <c r="E431" s="114" t="str">
        <f>IFERROR(INDEX('领用录入（明细）'!$B:$L,SMALL($B:$B,ROW(C425)),MATCH(E$7,$D$7:$L$7,0)),"")</f>
        <v/>
      </c>
      <c r="F431" s="60" t="str">
        <f>IFERROR(INDEX('领用录入（明细）'!$B:$L,SMALL($B:$B,ROW(D425)),MATCH(F$7,$D$7:$L$7,0)),"")</f>
        <v/>
      </c>
      <c r="G431" s="60" t="str">
        <f>IFERROR(INDEX('领用录入（明细）'!$B:$L,SMALL($B:$B,ROW(E425)),MATCH(G$7,$D$7:$L$7,0)),"")</f>
        <v/>
      </c>
      <c r="H431" s="60" t="str">
        <f>IFERROR(INDEX('领用录入（明细）'!$B:$L,SMALL($B:$B,ROW(F425)),MATCH(H$7,$D$7:$L$7,0)),"")</f>
        <v/>
      </c>
      <c r="I431" s="60" t="str">
        <f>IFERROR(INDEX('领用录入（明细）'!$B:$L,SMALL($B:$B,ROW(G425)),MATCH(I$7,$D$7:$L$7,0)),"")</f>
        <v/>
      </c>
      <c r="J431" s="60" t="str">
        <f>IFERROR(INDEX('领用录入（明细）'!$B:$L,SMALL($B:$B,ROW(H425)),MATCH(J$7,$D$7:$L$7,0)),"")</f>
        <v/>
      </c>
      <c r="K431" s="60" t="str">
        <f>IFERROR(INDEX('领用录入（明细）'!$B:$L,SMALL($B:$B,ROW(I425)),MATCH(K$7,$D$7:$L$7,0)),"")</f>
        <v/>
      </c>
      <c r="L431" s="60" t="str">
        <f>IFERROR(INDEX('领用录入（明细）'!$B:$L,SMALL($B:$B,ROW(J425)),MATCH(L$7,$D$7:$L$7,0)),"")</f>
        <v/>
      </c>
      <c r="M431" s="60" t="str">
        <f t="shared" si="6"/>
        <v/>
      </c>
    </row>
    <row r="432" customHeight="1" spans="2:13">
      <c r="B432" s="62" t="str">
        <f>IF(AND('领用录入（明细）'!D:D=$F$4,'领用录入（明细）'!C:C&gt;=$J$4,'领用录入（明细）'!C:C&lt;=$L$4),ROW(),"-")</f>
        <v>-</v>
      </c>
      <c r="D432" s="59" t="str">
        <f>IFERROR(INDEX('领用录入（明细）'!$B:$L,SMALL($B:$B,ROW(B426)),MATCH(D$7,$D$7:$L$7,0)),"")</f>
        <v/>
      </c>
      <c r="E432" s="114" t="str">
        <f>IFERROR(INDEX('领用录入（明细）'!$B:$L,SMALL($B:$B,ROW(C426)),MATCH(E$7,$D$7:$L$7,0)),"")</f>
        <v/>
      </c>
      <c r="F432" s="60" t="str">
        <f>IFERROR(INDEX('领用录入（明细）'!$B:$L,SMALL($B:$B,ROW(D426)),MATCH(F$7,$D$7:$L$7,0)),"")</f>
        <v/>
      </c>
      <c r="G432" s="60" t="str">
        <f>IFERROR(INDEX('领用录入（明细）'!$B:$L,SMALL($B:$B,ROW(E426)),MATCH(G$7,$D$7:$L$7,0)),"")</f>
        <v/>
      </c>
      <c r="H432" s="60" t="str">
        <f>IFERROR(INDEX('领用录入（明细）'!$B:$L,SMALL($B:$B,ROW(F426)),MATCH(H$7,$D$7:$L$7,0)),"")</f>
        <v/>
      </c>
      <c r="I432" s="60" t="str">
        <f>IFERROR(INDEX('领用录入（明细）'!$B:$L,SMALL($B:$B,ROW(G426)),MATCH(I$7,$D$7:$L$7,0)),"")</f>
        <v/>
      </c>
      <c r="J432" s="60" t="str">
        <f>IFERROR(INDEX('领用录入（明细）'!$B:$L,SMALL($B:$B,ROW(H426)),MATCH(J$7,$D$7:$L$7,0)),"")</f>
        <v/>
      </c>
      <c r="K432" s="60" t="str">
        <f>IFERROR(INDEX('领用录入（明细）'!$B:$L,SMALL($B:$B,ROW(I426)),MATCH(K$7,$D$7:$L$7,0)),"")</f>
        <v/>
      </c>
      <c r="L432" s="60" t="str">
        <f>IFERROR(INDEX('领用录入（明细）'!$B:$L,SMALL($B:$B,ROW(J426)),MATCH(L$7,$D$7:$L$7,0)),"")</f>
        <v/>
      </c>
      <c r="M432" s="60" t="str">
        <f t="shared" si="6"/>
        <v/>
      </c>
    </row>
    <row r="433" customHeight="1" spans="2:13">
      <c r="B433" s="62" t="str">
        <f>IF(AND('领用录入（明细）'!D:D=$F$4,'领用录入（明细）'!C:C&gt;=$J$4,'领用录入（明细）'!C:C&lt;=$L$4),ROW(),"-")</f>
        <v>-</v>
      </c>
      <c r="D433" s="59" t="str">
        <f>IFERROR(INDEX('领用录入（明细）'!$B:$L,SMALL($B:$B,ROW(B427)),MATCH(D$7,$D$7:$L$7,0)),"")</f>
        <v/>
      </c>
      <c r="E433" s="114" t="str">
        <f>IFERROR(INDEX('领用录入（明细）'!$B:$L,SMALL($B:$B,ROW(C427)),MATCH(E$7,$D$7:$L$7,0)),"")</f>
        <v/>
      </c>
      <c r="F433" s="60" t="str">
        <f>IFERROR(INDEX('领用录入（明细）'!$B:$L,SMALL($B:$B,ROW(D427)),MATCH(F$7,$D$7:$L$7,0)),"")</f>
        <v/>
      </c>
      <c r="G433" s="60" t="str">
        <f>IFERROR(INDEX('领用录入（明细）'!$B:$L,SMALL($B:$B,ROW(E427)),MATCH(G$7,$D$7:$L$7,0)),"")</f>
        <v/>
      </c>
      <c r="H433" s="60" t="str">
        <f>IFERROR(INDEX('领用录入（明细）'!$B:$L,SMALL($B:$B,ROW(F427)),MATCH(H$7,$D$7:$L$7,0)),"")</f>
        <v/>
      </c>
      <c r="I433" s="60" t="str">
        <f>IFERROR(INDEX('领用录入（明细）'!$B:$L,SMALL($B:$B,ROW(G427)),MATCH(I$7,$D$7:$L$7,0)),"")</f>
        <v/>
      </c>
      <c r="J433" s="60" t="str">
        <f>IFERROR(INDEX('领用录入（明细）'!$B:$L,SMALL($B:$B,ROW(H427)),MATCH(J$7,$D$7:$L$7,0)),"")</f>
        <v/>
      </c>
      <c r="K433" s="60" t="str">
        <f>IFERROR(INDEX('领用录入（明细）'!$B:$L,SMALL($B:$B,ROW(I427)),MATCH(K$7,$D$7:$L$7,0)),"")</f>
        <v/>
      </c>
      <c r="L433" s="60" t="str">
        <f>IFERROR(INDEX('领用录入（明细）'!$B:$L,SMALL($B:$B,ROW(J427)),MATCH(L$7,$D$7:$L$7,0)),"")</f>
        <v/>
      </c>
      <c r="M433" s="60" t="str">
        <f t="shared" si="6"/>
        <v/>
      </c>
    </row>
    <row r="434" customHeight="1" spans="2:13">
      <c r="B434" s="62" t="str">
        <f>IF(AND('领用录入（明细）'!D:D=$F$4,'领用录入（明细）'!C:C&gt;=$J$4,'领用录入（明细）'!C:C&lt;=$L$4),ROW(),"-")</f>
        <v>-</v>
      </c>
      <c r="D434" s="59" t="str">
        <f>IFERROR(INDEX('领用录入（明细）'!$B:$L,SMALL($B:$B,ROW(B428)),MATCH(D$7,$D$7:$L$7,0)),"")</f>
        <v/>
      </c>
      <c r="E434" s="114" t="str">
        <f>IFERROR(INDEX('领用录入（明细）'!$B:$L,SMALL($B:$B,ROW(C428)),MATCH(E$7,$D$7:$L$7,0)),"")</f>
        <v/>
      </c>
      <c r="F434" s="60" t="str">
        <f>IFERROR(INDEX('领用录入（明细）'!$B:$L,SMALL($B:$B,ROW(D428)),MATCH(F$7,$D$7:$L$7,0)),"")</f>
        <v/>
      </c>
      <c r="G434" s="60" t="str">
        <f>IFERROR(INDEX('领用录入（明细）'!$B:$L,SMALL($B:$B,ROW(E428)),MATCH(G$7,$D$7:$L$7,0)),"")</f>
        <v/>
      </c>
      <c r="H434" s="60" t="str">
        <f>IFERROR(INDEX('领用录入（明细）'!$B:$L,SMALL($B:$B,ROW(F428)),MATCH(H$7,$D$7:$L$7,0)),"")</f>
        <v/>
      </c>
      <c r="I434" s="60" t="str">
        <f>IFERROR(INDEX('领用录入（明细）'!$B:$L,SMALL($B:$B,ROW(G428)),MATCH(I$7,$D$7:$L$7,0)),"")</f>
        <v/>
      </c>
      <c r="J434" s="60" t="str">
        <f>IFERROR(INDEX('领用录入（明细）'!$B:$L,SMALL($B:$B,ROW(H428)),MATCH(J$7,$D$7:$L$7,0)),"")</f>
        <v/>
      </c>
      <c r="K434" s="60" t="str">
        <f>IFERROR(INDEX('领用录入（明细）'!$B:$L,SMALL($B:$B,ROW(I428)),MATCH(K$7,$D$7:$L$7,0)),"")</f>
        <v/>
      </c>
      <c r="L434" s="60" t="str">
        <f>IFERROR(INDEX('领用录入（明细）'!$B:$L,SMALL($B:$B,ROW(J428)),MATCH(L$7,$D$7:$L$7,0)),"")</f>
        <v/>
      </c>
      <c r="M434" s="60" t="str">
        <f t="shared" si="6"/>
        <v/>
      </c>
    </row>
    <row r="435" customHeight="1" spans="2:13">
      <c r="B435" s="62" t="str">
        <f>IF(AND('领用录入（明细）'!D:D=$F$4,'领用录入（明细）'!C:C&gt;=$J$4,'领用录入（明细）'!C:C&lt;=$L$4),ROW(),"-")</f>
        <v>-</v>
      </c>
      <c r="D435" s="59" t="str">
        <f>IFERROR(INDEX('领用录入（明细）'!$B:$L,SMALL($B:$B,ROW(B429)),MATCH(D$7,$D$7:$L$7,0)),"")</f>
        <v/>
      </c>
      <c r="E435" s="114" t="str">
        <f>IFERROR(INDEX('领用录入（明细）'!$B:$L,SMALL($B:$B,ROW(C429)),MATCH(E$7,$D$7:$L$7,0)),"")</f>
        <v/>
      </c>
      <c r="F435" s="60" t="str">
        <f>IFERROR(INDEX('领用录入（明细）'!$B:$L,SMALL($B:$B,ROW(D429)),MATCH(F$7,$D$7:$L$7,0)),"")</f>
        <v/>
      </c>
      <c r="G435" s="60" t="str">
        <f>IFERROR(INDEX('领用录入（明细）'!$B:$L,SMALL($B:$B,ROW(E429)),MATCH(G$7,$D$7:$L$7,0)),"")</f>
        <v/>
      </c>
      <c r="H435" s="60" t="str">
        <f>IFERROR(INDEX('领用录入（明细）'!$B:$L,SMALL($B:$B,ROW(F429)),MATCH(H$7,$D$7:$L$7,0)),"")</f>
        <v/>
      </c>
      <c r="I435" s="60" t="str">
        <f>IFERROR(INDEX('领用录入（明细）'!$B:$L,SMALL($B:$B,ROW(G429)),MATCH(I$7,$D$7:$L$7,0)),"")</f>
        <v/>
      </c>
      <c r="J435" s="60" t="str">
        <f>IFERROR(INDEX('领用录入（明细）'!$B:$L,SMALL($B:$B,ROW(H429)),MATCH(J$7,$D$7:$L$7,0)),"")</f>
        <v/>
      </c>
      <c r="K435" s="60" t="str">
        <f>IFERROR(INDEX('领用录入（明细）'!$B:$L,SMALL($B:$B,ROW(I429)),MATCH(K$7,$D$7:$L$7,0)),"")</f>
        <v/>
      </c>
      <c r="L435" s="60" t="str">
        <f>IFERROR(INDEX('领用录入（明细）'!$B:$L,SMALL($B:$B,ROW(J429)),MATCH(L$7,$D$7:$L$7,0)),"")</f>
        <v/>
      </c>
      <c r="M435" s="60" t="str">
        <f t="shared" si="6"/>
        <v/>
      </c>
    </row>
    <row r="436" customHeight="1" spans="2:13">
      <c r="B436" s="62" t="str">
        <f>IF(AND('领用录入（明细）'!D:D=$F$4,'领用录入（明细）'!C:C&gt;=$J$4,'领用录入（明细）'!C:C&lt;=$L$4),ROW(),"-")</f>
        <v>-</v>
      </c>
      <c r="D436" s="59" t="str">
        <f>IFERROR(INDEX('领用录入（明细）'!$B:$L,SMALL($B:$B,ROW(B430)),MATCH(D$7,$D$7:$L$7,0)),"")</f>
        <v/>
      </c>
      <c r="E436" s="114" t="str">
        <f>IFERROR(INDEX('领用录入（明细）'!$B:$L,SMALL($B:$B,ROW(C430)),MATCH(E$7,$D$7:$L$7,0)),"")</f>
        <v/>
      </c>
      <c r="F436" s="60" t="str">
        <f>IFERROR(INDEX('领用录入（明细）'!$B:$L,SMALL($B:$B,ROW(D430)),MATCH(F$7,$D$7:$L$7,0)),"")</f>
        <v/>
      </c>
      <c r="G436" s="60" t="str">
        <f>IFERROR(INDEX('领用录入（明细）'!$B:$L,SMALL($B:$B,ROW(E430)),MATCH(G$7,$D$7:$L$7,0)),"")</f>
        <v/>
      </c>
      <c r="H436" s="60" t="str">
        <f>IFERROR(INDEX('领用录入（明细）'!$B:$L,SMALL($B:$B,ROW(F430)),MATCH(H$7,$D$7:$L$7,0)),"")</f>
        <v/>
      </c>
      <c r="I436" s="60" t="str">
        <f>IFERROR(INDEX('领用录入（明细）'!$B:$L,SMALL($B:$B,ROW(G430)),MATCH(I$7,$D$7:$L$7,0)),"")</f>
        <v/>
      </c>
      <c r="J436" s="60" t="str">
        <f>IFERROR(INDEX('领用录入（明细）'!$B:$L,SMALL($B:$B,ROW(H430)),MATCH(J$7,$D$7:$L$7,0)),"")</f>
        <v/>
      </c>
      <c r="K436" s="60" t="str">
        <f>IFERROR(INDEX('领用录入（明细）'!$B:$L,SMALL($B:$B,ROW(I430)),MATCH(K$7,$D$7:$L$7,0)),"")</f>
        <v/>
      </c>
      <c r="L436" s="60" t="str">
        <f>IFERROR(INDEX('领用录入（明细）'!$B:$L,SMALL($B:$B,ROW(J430)),MATCH(L$7,$D$7:$L$7,0)),"")</f>
        <v/>
      </c>
      <c r="M436" s="60" t="str">
        <f t="shared" si="6"/>
        <v/>
      </c>
    </row>
    <row r="437" customHeight="1" spans="2:13">
      <c r="B437" s="62" t="str">
        <f>IF(AND('领用录入（明细）'!D:D=$F$4,'领用录入（明细）'!C:C&gt;=$J$4,'领用录入（明细）'!C:C&lt;=$L$4),ROW(),"-")</f>
        <v>-</v>
      </c>
      <c r="D437" s="59" t="str">
        <f>IFERROR(INDEX('领用录入（明细）'!$B:$L,SMALL($B:$B,ROW(B431)),MATCH(D$7,$D$7:$L$7,0)),"")</f>
        <v/>
      </c>
      <c r="E437" s="114" t="str">
        <f>IFERROR(INDEX('领用录入（明细）'!$B:$L,SMALL($B:$B,ROW(C431)),MATCH(E$7,$D$7:$L$7,0)),"")</f>
        <v/>
      </c>
      <c r="F437" s="60" t="str">
        <f>IFERROR(INDEX('领用录入（明细）'!$B:$L,SMALL($B:$B,ROW(D431)),MATCH(F$7,$D$7:$L$7,0)),"")</f>
        <v/>
      </c>
      <c r="G437" s="60" t="str">
        <f>IFERROR(INDEX('领用录入（明细）'!$B:$L,SMALL($B:$B,ROW(E431)),MATCH(G$7,$D$7:$L$7,0)),"")</f>
        <v/>
      </c>
      <c r="H437" s="60" t="str">
        <f>IFERROR(INDEX('领用录入（明细）'!$B:$L,SMALL($B:$B,ROW(F431)),MATCH(H$7,$D$7:$L$7,0)),"")</f>
        <v/>
      </c>
      <c r="I437" s="60" t="str">
        <f>IFERROR(INDEX('领用录入（明细）'!$B:$L,SMALL($B:$B,ROW(G431)),MATCH(I$7,$D$7:$L$7,0)),"")</f>
        <v/>
      </c>
      <c r="J437" s="60" t="str">
        <f>IFERROR(INDEX('领用录入（明细）'!$B:$L,SMALL($B:$B,ROW(H431)),MATCH(J$7,$D$7:$L$7,0)),"")</f>
        <v/>
      </c>
      <c r="K437" s="60" t="str">
        <f>IFERROR(INDEX('领用录入（明细）'!$B:$L,SMALL($B:$B,ROW(I431)),MATCH(K$7,$D$7:$L$7,0)),"")</f>
        <v/>
      </c>
      <c r="L437" s="60" t="str">
        <f>IFERROR(INDEX('领用录入（明细）'!$B:$L,SMALL($B:$B,ROW(J431)),MATCH(L$7,$D$7:$L$7,0)),"")</f>
        <v/>
      </c>
      <c r="M437" s="60" t="str">
        <f t="shared" si="6"/>
        <v/>
      </c>
    </row>
    <row r="438" customHeight="1" spans="2:13">
      <c r="B438" s="62" t="str">
        <f>IF(AND('领用录入（明细）'!D:D=$F$4,'领用录入（明细）'!C:C&gt;=$J$4,'领用录入（明细）'!C:C&lt;=$L$4),ROW(),"-")</f>
        <v>-</v>
      </c>
      <c r="D438" s="59" t="str">
        <f>IFERROR(INDEX('领用录入（明细）'!$B:$L,SMALL($B:$B,ROW(B432)),MATCH(D$7,$D$7:$L$7,0)),"")</f>
        <v/>
      </c>
      <c r="E438" s="114" t="str">
        <f>IFERROR(INDEX('领用录入（明细）'!$B:$L,SMALL($B:$B,ROW(C432)),MATCH(E$7,$D$7:$L$7,0)),"")</f>
        <v/>
      </c>
      <c r="F438" s="60" t="str">
        <f>IFERROR(INDEX('领用录入（明细）'!$B:$L,SMALL($B:$B,ROW(D432)),MATCH(F$7,$D$7:$L$7,0)),"")</f>
        <v/>
      </c>
      <c r="G438" s="60" t="str">
        <f>IFERROR(INDEX('领用录入（明细）'!$B:$L,SMALL($B:$B,ROW(E432)),MATCH(G$7,$D$7:$L$7,0)),"")</f>
        <v/>
      </c>
      <c r="H438" s="60" t="str">
        <f>IFERROR(INDEX('领用录入（明细）'!$B:$L,SMALL($B:$B,ROW(F432)),MATCH(H$7,$D$7:$L$7,0)),"")</f>
        <v/>
      </c>
      <c r="I438" s="60" t="str">
        <f>IFERROR(INDEX('领用录入（明细）'!$B:$L,SMALL($B:$B,ROW(G432)),MATCH(I$7,$D$7:$L$7,0)),"")</f>
        <v/>
      </c>
      <c r="J438" s="60" t="str">
        <f>IFERROR(INDEX('领用录入（明细）'!$B:$L,SMALL($B:$B,ROW(H432)),MATCH(J$7,$D$7:$L$7,0)),"")</f>
        <v/>
      </c>
      <c r="K438" s="60" t="str">
        <f>IFERROR(INDEX('领用录入（明细）'!$B:$L,SMALL($B:$B,ROW(I432)),MATCH(K$7,$D$7:$L$7,0)),"")</f>
        <v/>
      </c>
      <c r="L438" s="60" t="str">
        <f>IFERROR(INDEX('领用录入（明细）'!$B:$L,SMALL($B:$B,ROW(J432)),MATCH(L$7,$D$7:$L$7,0)),"")</f>
        <v/>
      </c>
      <c r="M438" s="60" t="str">
        <f t="shared" si="6"/>
        <v/>
      </c>
    </row>
    <row r="439" customHeight="1" spans="2:13">
      <c r="B439" s="62" t="str">
        <f>IF(AND('领用录入（明细）'!D:D=$F$4,'领用录入（明细）'!C:C&gt;=$J$4,'领用录入（明细）'!C:C&lt;=$L$4),ROW(),"-")</f>
        <v>-</v>
      </c>
      <c r="D439" s="59" t="str">
        <f>IFERROR(INDEX('领用录入（明细）'!$B:$L,SMALL($B:$B,ROW(B433)),MATCH(D$7,$D$7:$L$7,0)),"")</f>
        <v/>
      </c>
      <c r="E439" s="114" t="str">
        <f>IFERROR(INDEX('领用录入（明细）'!$B:$L,SMALL($B:$B,ROW(C433)),MATCH(E$7,$D$7:$L$7,0)),"")</f>
        <v/>
      </c>
      <c r="F439" s="60" t="str">
        <f>IFERROR(INDEX('领用录入（明细）'!$B:$L,SMALL($B:$B,ROW(D433)),MATCH(F$7,$D$7:$L$7,0)),"")</f>
        <v/>
      </c>
      <c r="G439" s="60" t="str">
        <f>IFERROR(INDEX('领用录入（明细）'!$B:$L,SMALL($B:$B,ROW(E433)),MATCH(G$7,$D$7:$L$7,0)),"")</f>
        <v/>
      </c>
      <c r="H439" s="60" t="str">
        <f>IFERROR(INDEX('领用录入（明细）'!$B:$L,SMALL($B:$B,ROW(F433)),MATCH(H$7,$D$7:$L$7,0)),"")</f>
        <v/>
      </c>
      <c r="I439" s="60" t="str">
        <f>IFERROR(INDEX('领用录入（明细）'!$B:$L,SMALL($B:$B,ROW(G433)),MATCH(I$7,$D$7:$L$7,0)),"")</f>
        <v/>
      </c>
      <c r="J439" s="60" t="str">
        <f>IFERROR(INDEX('领用录入（明细）'!$B:$L,SMALL($B:$B,ROW(H433)),MATCH(J$7,$D$7:$L$7,0)),"")</f>
        <v/>
      </c>
      <c r="K439" s="60" t="str">
        <f>IFERROR(INDEX('领用录入（明细）'!$B:$L,SMALL($B:$B,ROW(I433)),MATCH(K$7,$D$7:$L$7,0)),"")</f>
        <v/>
      </c>
      <c r="L439" s="60" t="str">
        <f>IFERROR(INDEX('领用录入（明细）'!$B:$L,SMALL($B:$B,ROW(J433)),MATCH(L$7,$D$7:$L$7,0)),"")</f>
        <v/>
      </c>
      <c r="M439" s="60" t="str">
        <f t="shared" si="6"/>
        <v/>
      </c>
    </row>
    <row r="440" customHeight="1" spans="2:13">
      <c r="B440" s="62" t="str">
        <f>IF(AND('领用录入（明细）'!D:D=$F$4,'领用录入（明细）'!C:C&gt;=$J$4,'领用录入（明细）'!C:C&lt;=$L$4),ROW(),"-")</f>
        <v>-</v>
      </c>
      <c r="D440" s="59" t="str">
        <f>IFERROR(INDEX('领用录入（明细）'!$B:$L,SMALL($B:$B,ROW(B434)),MATCH(D$7,$D$7:$L$7,0)),"")</f>
        <v/>
      </c>
      <c r="E440" s="114" t="str">
        <f>IFERROR(INDEX('领用录入（明细）'!$B:$L,SMALL($B:$B,ROW(C434)),MATCH(E$7,$D$7:$L$7,0)),"")</f>
        <v/>
      </c>
      <c r="F440" s="60" t="str">
        <f>IFERROR(INDEX('领用录入（明细）'!$B:$L,SMALL($B:$B,ROW(D434)),MATCH(F$7,$D$7:$L$7,0)),"")</f>
        <v/>
      </c>
      <c r="G440" s="60" t="str">
        <f>IFERROR(INDEX('领用录入（明细）'!$B:$L,SMALL($B:$B,ROW(E434)),MATCH(G$7,$D$7:$L$7,0)),"")</f>
        <v/>
      </c>
      <c r="H440" s="60" t="str">
        <f>IFERROR(INDEX('领用录入（明细）'!$B:$L,SMALL($B:$B,ROW(F434)),MATCH(H$7,$D$7:$L$7,0)),"")</f>
        <v/>
      </c>
      <c r="I440" s="60" t="str">
        <f>IFERROR(INDEX('领用录入（明细）'!$B:$L,SMALL($B:$B,ROW(G434)),MATCH(I$7,$D$7:$L$7,0)),"")</f>
        <v/>
      </c>
      <c r="J440" s="60" t="str">
        <f>IFERROR(INDEX('领用录入（明细）'!$B:$L,SMALL($B:$B,ROW(H434)),MATCH(J$7,$D$7:$L$7,0)),"")</f>
        <v/>
      </c>
      <c r="K440" s="60" t="str">
        <f>IFERROR(INDEX('领用录入（明细）'!$B:$L,SMALL($B:$B,ROW(I434)),MATCH(K$7,$D$7:$L$7,0)),"")</f>
        <v/>
      </c>
      <c r="L440" s="60" t="str">
        <f>IFERROR(INDEX('领用录入（明细）'!$B:$L,SMALL($B:$B,ROW(J434)),MATCH(L$7,$D$7:$L$7,0)),"")</f>
        <v/>
      </c>
      <c r="M440" s="60" t="str">
        <f t="shared" si="6"/>
        <v/>
      </c>
    </row>
    <row r="441" customHeight="1" spans="2:13">
      <c r="B441" s="62" t="str">
        <f>IF(AND('领用录入（明细）'!D:D=$F$4,'领用录入（明细）'!C:C&gt;=$J$4,'领用录入（明细）'!C:C&lt;=$L$4),ROW(),"-")</f>
        <v>-</v>
      </c>
      <c r="D441" s="59" t="str">
        <f>IFERROR(INDEX('领用录入（明细）'!$B:$L,SMALL($B:$B,ROW(B435)),MATCH(D$7,$D$7:$L$7,0)),"")</f>
        <v/>
      </c>
      <c r="E441" s="114" t="str">
        <f>IFERROR(INDEX('领用录入（明细）'!$B:$L,SMALL($B:$B,ROW(C435)),MATCH(E$7,$D$7:$L$7,0)),"")</f>
        <v/>
      </c>
      <c r="F441" s="60" t="str">
        <f>IFERROR(INDEX('领用录入（明细）'!$B:$L,SMALL($B:$B,ROW(D435)),MATCH(F$7,$D$7:$L$7,0)),"")</f>
        <v/>
      </c>
      <c r="G441" s="60" t="str">
        <f>IFERROR(INDEX('领用录入（明细）'!$B:$L,SMALL($B:$B,ROW(E435)),MATCH(G$7,$D$7:$L$7,0)),"")</f>
        <v/>
      </c>
      <c r="H441" s="60" t="str">
        <f>IFERROR(INDEX('领用录入（明细）'!$B:$L,SMALL($B:$B,ROW(F435)),MATCH(H$7,$D$7:$L$7,0)),"")</f>
        <v/>
      </c>
      <c r="I441" s="60" t="str">
        <f>IFERROR(INDEX('领用录入（明细）'!$B:$L,SMALL($B:$B,ROW(G435)),MATCH(I$7,$D$7:$L$7,0)),"")</f>
        <v/>
      </c>
      <c r="J441" s="60" t="str">
        <f>IFERROR(INDEX('领用录入（明细）'!$B:$L,SMALL($B:$B,ROW(H435)),MATCH(J$7,$D$7:$L$7,0)),"")</f>
        <v/>
      </c>
      <c r="K441" s="60" t="str">
        <f>IFERROR(INDEX('领用录入（明细）'!$B:$L,SMALL($B:$B,ROW(I435)),MATCH(K$7,$D$7:$L$7,0)),"")</f>
        <v/>
      </c>
      <c r="L441" s="60" t="str">
        <f>IFERROR(INDEX('领用录入（明细）'!$B:$L,SMALL($B:$B,ROW(J435)),MATCH(L$7,$D$7:$L$7,0)),"")</f>
        <v/>
      </c>
      <c r="M441" s="60" t="str">
        <f t="shared" si="6"/>
        <v/>
      </c>
    </row>
    <row r="442" customHeight="1" spans="2:13">
      <c r="B442" s="62" t="str">
        <f>IF(AND('领用录入（明细）'!D:D=$F$4,'领用录入（明细）'!C:C&gt;=$J$4,'领用录入（明细）'!C:C&lt;=$L$4),ROW(),"-")</f>
        <v>-</v>
      </c>
      <c r="D442" s="59" t="str">
        <f>IFERROR(INDEX('领用录入（明细）'!$B:$L,SMALL($B:$B,ROW(B436)),MATCH(D$7,$D$7:$L$7,0)),"")</f>
        <v/>
      </c>
      <c r="E442" s="114" t="str">
        <f>IFERROR(INDEX('领用录入（明细）'!$B:$L,SMALL($B:$B,ROW(C436)),MATCH(E$7,$D$7:$L$7,0)),"")</f>
        <v/>
      </c>
      <c r="F442" s="60" t="str">
        <f>IFERROR(INDEX('领用录入（明细）'!$B:$L,SMALL($B:$B,ROW(D436)),MATCH(F$7,$D$7:$L$7,0)),"")</f>
        <v/>
      </c>
      <c r="G442" s="60" t="str">
        <f>IFERROR(INDEX('领用录入（明细）'!$B:$L,SMALL($B:$B,ROW(E436)),MATCH(G$7,$D$7:$L$7,0)),"")</f>
        <v/>
      </c>
      <c r="H442" s="60" t="str">
        <f>IFERROR(INDEX('领用录入（明细）'!$B:$L,SMALL($B:$B,ROW(F436)),MATCH(H$7,$D$7:$L$7,0)),"")</f>
        <v/>
      </c>
      <c r="I442" s="60" t="str">
        <f>IFERROR(INDEX('领用录入（明细）'!$B:$L,SMALL($B:$B,ROW(G436)),MATCH(I$7,$D$7:$L$7,0)),"")</f>
        <v/>
      </c>
      <c r="J442" s="60" t="str">
        <f>IFERROR(INDEX('领用录入（明细）'!$B:$L,SMALL($B:$B,ROW(H436)),MATCH(J$7,$D$7:$L$7,0)),"")</f>
        <v/>
      </c>
      <c r="K442" s="60" t="str">
        <f>IFERROR(INDEX('领用录入（明细）'!$B:$L,SMALL($B:$B,ROW(I436)),MATCH(K$7,$D$7:$L$7,0)),"")</f>
        <v/>
      </c>
      <c r="L442" s="60" t="str">
        <f>IFERROR(INDEX('领用录入（明细）'!$B:$L,SMALL($B:$B,ROW(J436)),MATCH(L$7,$D$7:$L$7,0)),"")</f>
        <v/>
      </c>
      <c r="M442" s="60" t="str">
        <f t="shared" si="6"/>
        <v/>
      </c>
    </row>
    <row r="443" customHeight="1" spans="2:13">
      <c r="B443" s="62" t="str">
        <f>IF(AND('领用录入（明细）'!D:D=$F$4,'领用录入（明细）'!C:C&gt;=$J$4,'领用录入（明细）'!C:C&lt;=$L$4),ROW(),"-")</f>
        <v>-</v>
      </c>
      <c r="D443" s="59" t="str">
        <f>IFERROR(INDEX('领用录入（明细）'!$B:$L,SMALL($B:$B,ROW(B437)),MATCH(D$7,$D$7:$L$7,0)),"")</f>
        <v/>
      </c>
      <c r="E443" s="114" t="str">
        <f>IFERROR(INDEX('领用录入（明细）'!$B:$L,SMALL($B:$B,ROW(C437)),MATCH(E$7,$D$7:$L$7,0)),"")</f>
        <v/>
      </c>
      <c r="F443" s="60" t="str">
        <f>IFERROR(INDEX('领用录入（明细）'!$B:$L,SMALL($B:$B,ROW(D437)),MATCH(F$7,$D$7:$L$7,0)),"")</f>
        <v/>
      </c>
      <c r="G443" s="60" t="str">
        <f>IFERROR(INDEX('领用录入（明细）'!$B:$L,SMALL($B:$B,ROW(E437)),MATCH(G$7,$D$7:$L$7,0)),"")</f>
        <v/>
      </c>
      <c r="H443" s="60" t="str">
        <f>IFERROR(INDEX('领用录入（明细）'!$B:$L,SMALL($B:$B,ROW(F437)),MATCH(H$7,$D$7:$L$7,0)),"")</f>
        <v/>
      </c>
      <c r="I443" s="60" t="str">
        <f>IFERROR(INDEX('领用录入（明细）'!$B:$L,SMALL($B:$B,ROW(G437)),MATCH(I$7,$D$7:$L$7,0)),"")</f>
        <v/>
      </c>
      <c r="J443" s="60" t="str">
        <f>IFERROR(INDEX('领用录入（明细）'!$B:$L,SMALL($B:$B,ROW(H437)),MATCH(J$7,$D$7:$L$7,0)),"")</f>
        <v/>
      </c>
      <c r="K443" s="60" t="str">
        <f>IFERROR(INDEX('领用录入（明细）'!$B:$L,SMALL($B:$B,ROW(I437)),MATCH(K$7,$D$7:$L$7,0)),"")</f>
        <v/>
      </c>
      <c r="L443" s="60" t="str">
        <f>IFERROR(INDEX('领用录入（明细）'!$B:$L,SMALL($B:$B,ROW(J437)),MATCH(L$7,$D$7:$L$7,0)),"")</f>
        <v/>
      </c>
      <c r="M443" s="60" t="str">
        <f t="shared" si="6"/>
        <v/>
      </c>
    </row>
    <row r="444" customHeight="1" spans="2:13">
      <c r="B444" s="62" t="str">
        <f>IF(AND('领用录入（明细）'!D:D=$F$4,'领用录入（明细）'!C:C&gt;=$J$4,'领用录入（明细）'!C:C&lt;=$L$4),ROW(),"-")</f>
        <v>-</v>
      </c>
      <c r="D444" s="59" t="str">
        <f>IFERROR(INDEX('领用录入（明细）'!$B:$L,SMALL($B:$B,ROW(B438)),MATCH(D$7,$D$7:$L$7,0)),"")</f>
        <v/>
      </c>
      <c r="E444" s="114" t="str">
        <f>IFERROR(INDEX('领用录入（明细）'!$B:$L,SMALL($B:$B,ROW(C438)),MATCH(E$7,$D$7:$L$7,0)),"")</f>
        <v/>
      </c>
      <c r="F444" s="60" t="str">
        <f>IFERROR(INDEX('领用录入（明细）'!$B:$L,SMALL($B:$B,ROW(D438)),MATCH(F$7,$D$7:$L$7,0)),"")</f>
        <v/>
      </c>
      <c r="G444" s="60" t="str">
        <f>IFERROR(INDEX('领用录入（明细）'!$B:$L,SMALL($B:$B,ROW(E438)),MATCH(G$7,$D$7:$L$7,0)),"")</f>
        <v/>
      </c>
      <c r="H444" s="60" t="str">
        <f>IFERROR(INDEX('领用录入（明细）'!$B:$L,SMALL($B:$B,ROW(F438)),MATCH(H$7,$D$7:$L$7,0)),"")</f>
        <v/>
      </c>
      <c r="I444" s="60" t="str">
        <f>IFERROR(INDEX('领用录入（明细）'!$B:$L,SMALL($B:$B,ROW(G438)),MATCH(I$7,$D$7:$L$7,0)),"")</f>
        <v/>
      </c>
      <c r="J444" s="60" t="str">
        <f>IFERROR(INDEX('领用录入（明细）'!$B:$L,SMALL($B:$B,ROW(H438)),MATCH(J$7,$D$7:$L$7,0)),"")</f>
        <v/>
      </c>
      <c r="K444" s="60" t="str">
        <f>IFERROR(INDEX('领用录入（明细）'!$B:$L,SMALL($B:$B,ROW(I438)),MATCH(K$7,$D$7:$L$7,0)),"")</f>
        <v/>
      </c>
      <c r="L444" s="60" t="str">
        <f>IFERROR(INDEX('领用录入（明细）'!$B:$L,SMALL($B:$B,ROW(J438)),MATCH(L$7,$D$7:$L$7,0)),"")</f>
        <v/>
      </c>
      <c r="M444" s="60" t="str">
        <f t="shared" si="6"/>
        <v/>
      </c>
    </row>
    <row r="445" customHeight="1" spans="2:13">
      <c r="B445" s="62" t="str">
        <f>IF(AND('领用录入（明细）'!D:D=$F$4,'领用录入（明细）'!C:C&gt;=$J$4,'领用录入（明细）'!C:C&lt;=$L$4),ROW(),"-")</f>
        <v>-</v>
      </c>
      <c r="D445" s="59" t="str">
        <f>IFERROR(INDEX('领用录入（明细）'!$B:$L,SMALL($B:$B,ROW(B439)),MATCH(D$7,$D$7:$L$7,0)),"")</f>
        <v/>
      </c>
      <c r="E445" s="114" t="str">
        <f>IFERROR(INDEX('领用录入（明细）'!$B:$L,SMALL($B:$B,ROW(C439)),MATCH(E$7,$D$7:$L$7,0)),"")</f>
        <v/>
      </c>
      <c r="F445" s="60" t="str">
        <f>IFERROR(INDEX('领用录入（明细）'!$B:$L,SMALL($B:$B,ROW(D439)),MATCH(F$7,$D$7:$L$7,0)),"")</f>
        <v/>
      </c>
      <c r="G445" s="60" t="str">
        <f>IFERROR(INDEX('领用录入（明细）'!$B:$L,SMALL($B:$B,ROW(E439)),MATCH(G$7,$D$7:$L$7,0)),"")</f>
        <v/>
      </c>
      <c r="H445" s="60" t="str">
        <f>IFERROR(INDEX('领用录入（明细）'!$B:$L,SMALL($B:$B,ROW(F439)),MATCH(H$7,$D$7:$L$7,0)),"")</f>
        <v/>
      </c>
      <c r="I445" s="60" t="str">
        <f>IFERROR(INDEX('领用录入（明细）'!$B:$L,SMALL($B:$B,ROW(G439)),MATCH(I$7,$D$7:$L$7,0)),"")</f>
        <v/>
      </c>
      <c r="J445" s="60" t="str">
        <f>IFERROR(INDEX('领用录入（明细）'!$B:$L,SMALL($B:$B,ROW(H439)),MATCH(J$7,$D$7:$L$7,0)),"")</f>
        <v/>
      </c>
      <c r="K445" s="60" t="str">
        <f>IFERROR(INDEX('领用录入（明细）'!$B:$L,SMALL($B:$B,ROW(I439)),MATCH(K$7,$D$7:$L$7,0)),"")</f>
        <v/>
      </c>
      <c r="L445" s="60" t="str">
        <f>IFERROR(INDEX('领用录入（明细）'!$B:$L,SMALL($B:$B,ROW(J439)),MATCH(L$7,$D$7:$L$7,0)),"")</f>
        <v/>
      </c>
      <c r="M445" s="60" t="str">
        <f t="shared" si="6"/>
        <v/>
      </c>
    </row>
    <row r="446" customHeight="1" spans="2:13">
      <c r="B446" s="62" t="str">
        <f>IF(AND('领用录入（明细）'!D:D=$F$4,'领用录入（明细）'!C:C&gt;=$J$4,'领用录入（明细）'!C:C&lt;=$L$4),ROW(),"-")</f>
        <v>-</v>
      </c>
      <c r="D446" s="59" t="str">
        <f>IFERROR(INDEX('领用录入（明细）'!$B:$L,SMALL($B:$B,ROW(B440)),MATCH(D$7,$D$7:$L$7,0)),"")</f>
        <v/>
      </c>
      <c r="E446" s="114" t="str">
        <f>IFERROR(INDEX('领用录入（明细）'!$B:$L,SMALL($B:$B,ROW(C440)),MATCH(E$7,$D$7:$L$7,0)),"")</f>
        <v/>
      </c>
      <c r="F446" s="60" t="str">
        <f>IFERROR(INDEX('领用录入（明细）'!$B:$L,SMALL($B:$B,ROW(D440)),MATCH(F$7,$D$7:$L$7,0)),"")</f>
        <v/>
      </c>
      <c r="G446" s="60" t="str">
        <f>IFERROR(INDEX('领用录入（明细）'!$B:$L,SMALL($B:$B,ROW(E440)),MATCH(G$7,$D$7:$L$7,0)),"")</f>
        <v/>
      </c>
      <c r="H446" s="60" t="str">
        <f>IFERROR(INDEX('领用录入（明细）'!$B:$L,SMALL($B:$B,ROW(F440)),MATCH(H$7,$D$7:$L$7,0)),"")</f>
        <v/>
      </c>
      <c r="I446" s="60" t="str">
        <f>IFERROR(INDEX('领用录入（明细）'!$B:$L,SMALL($B:$B,ROW(G440)),MATCH(I$7,$D$7:$L$7,0)),"")</f>
        <v/>
      </c>
      <c r="J446" s="60" t="str">
        <f>IFERROR(INDEX('领用录入（明细）'!$B:$L,SMALL($B:$B,ROW(H440)),MATCH(J$7,$D$7:$L$7,0)),"")</f>
        <v/>
      </c>
      <c r="K446" s="60" t="str">
        <f>IFERROR(INDEX('领用录入（明细）'!$B:$L,SMALL($B:$B,ROW(I440)),MATCH(K$7,$D$7:$L$7,0)),"")</f>
        <v/>
      </c>
      <c r="L446" s="60" t="str">
        <f>IFERROR(INDEX('领用录入（明细）'!$B:$L,SMALL($B:$B,ROW(J440)),MATCH(L$7,$D$7:$L$7,0)),"")</f>
        <v/>
      </c>
      <c r="M446" s="60" t="str">
        <f t="shared" si="6"/>
        <v/>
      </c>
    </row>
    <row r="447" customHeight="1" spans="2:13">
      <c r="B447" s="62" t="str">
        <f>IF(AND('领用录入（明细）'!D:D=$F$4,'领用录入（明细）'!C:C&gt;=$J$4,'领用录入（明细）'!C:C&lt;=$L$4),ROW(),"-")</f>
        <v>-</v>
      </c>
      <c r="D447" s="59" t="str">
        <f>IFERROR(INDEX('领用录入（明细）'!$B:$L,SMALL($B:$B,ROW(B441)),MATCH(D$7,$D$7:$L$7,0)),"")</f>
        <v/>
      </c>
      <c r="E447" s="114" t="str">
        <f>IFERROR(INDEX('领用录入（明细）'!$B:$L,SMALL($B:$B,ROW(C441)),MATCH(E$7,$D$7:$L$7,0)),"")</f>
        <v/>
      </c>
      <c r="F447" s="60" t="str">
        <f>IFERROR(INDEX('领用录入（明细）'!$B:$L,SMALL($B:$B,ROW(D441)),MATCH(F$7,$D$7:$L$7,0)),"")</f>
        <v/>
      </c>
      <c r="G447" s="60" t="str">
        <f>IFERROR(INDEX('领用录入（明细）'!$B:$L,SMALL($B:$B,ROW(E441)),MATCH(G$7,$D$7:$L$7,0)),"")</f>
        <v/>
      </c>
      <c r="H447" s="60" t="str">
        <f>IFERROR(INDEX('领用录入（明细）'!$B:$L,SMALL($B:$B,ROW(F441)),MATCH(H$7,$D$7:$L$7,0)),"")</f>
        <v/>
      </c>
      <c r="I447" s="60" t="str">
        <f>IFERROR(INDEX('领用录入（明细）'!$B:$L,SMALL($B:$B,ROW(G441)),MATCH(I$7,$D$7:$L$7,0)),"")</f>
        <v/>
      </c>
      <c r="J447" s="60" t="str">
        <f>IFERROR(INDEX('领用录入（明细）'!$B:$L,SMALL($B:$B,ROW(H441)),MATCH(J$7,$D$7:$L$7,0)),"")</f>
        <v/>
      </c>
      <c r="K447" s="60" t="str">
        <f>IFERROR(INDEX('领用录入（明细）'!$B:$L,SMALL($B:$B,ROW(I441)),MATCH(K$7,$D$7:$L$7,0)),"")</f>
        <v/>
      </c>
      <c r="L447" s="60" t="str">
        <f>IFERROR(INDEX('领用录入（明细）'!$B:$L,SMALL($B:$B,ROW(J441)),MATCH(L$7,$D$7:$L$7,0)),"")</f>
        <v/>
      </c>
      <c r="M447" s="60" t="str">
        <f t="shared" si="6"/>
        <v/>
      </c>
    </row>
    <row r="448" customHeight="1" spans="2:13">
      <c r="B448" s="62" t="str">
        <f>IF(AND('领用录入（明细）'!D:D=$F$4,'领用录入（明细）'!C:C&gt;=$J$4,'领用录入（明细）'!C:C&lt;=$L$4),ROW(),"-")</f>
        <v>-</v>
      </c>
      <c r="D448" s="59" t="str">
        <f>IFERROR(INDEX('领用录入（明细）'!$B:$L,SMALL($B:$B,ROW(B442)),MATCH(D$7,$D$7:$L$7,0)),"")</f>
        <v/>
      </c>
      <c r="E448" s="114" t="str">
        <f>IFERROR(INDEX('领用录入（明细）'!$B:$L,SMALL($B:$B,ROW(C442)),MATCH(E$7,$D$7:$L$7,0)),"")</f>
        <v/>
      </c>
      <c r="F448" s="60" t="str">
        <f>IFERROR(INDEX('领用录入（明细）'!$B:$L,SMALL($B:$B,ROW(D442)),MATCH(F$7,$D$7:$L$7,0)),"")</f>
        <v/>
      </c>
      <c r="G448" s="60" t="str">
        <f>IFERROR(INDEX('领用录入（明细）'!$B:$L,SMALL($B:$B,ROW(E442)),MATCH(G$7,$D$7:$L$7,0)),"")</f>
        <v/>
      </c>
      <c r="H448" s="60" t="str">
        <f>IFERROR(INDEX('领用录入（明细）'!$B:$L,SMALL($B:$B,ROW(F442)),MATCH(H$7,$D$7:$L$7,0)),"")</f>
        <v/>
      </c>
      <c r="I448" s="60" t="str">
        <f>IFERROR(INDEX('领用录入（明细）'!$B:$L,SMALL($B:$B,ROW(G442)),MATCH(I$7,$D$7:$L$7,0)),"")</f>
        <v/>
      </c>
      <c r="J448" s="60" t="str">
        <f>IFERROR(INDEX('领用录入（明细）'!$B:$L,SMALL($B:$B,ROW(H442)),MATCH(J$7,$D$7:$L$7,0)),"")</f>
        <v/>
      </c>
      <c r="K448" s="60" t="str">
        <f>IFERROR(INDEX('领用录入（明细）'!$B:$L,SMALL($B:$B,ROW(I442)),MATCH(K$7,$D$7:$L$7,0)),"")</f>
        <v/>
      </c>
      <c r="L448" s="60" t="str">
        <f>IFERROR(INDEX('领用录入（明细）'!$B:$L,SMALL($B:$B,ROW(J442)),MATCH(L$7,$D$7:$L$7,0)),"")</f>
        <v/>
      </c>
      <c r="M448" s="60" t="str">
        <f t="shared" si="6"/>
        <v/>
      </c>
    </row>
    <row r="449" customHeight="1" spans="2:13">
      <c r="B449" s="62" t="str">
        <f>IF(AND('领用录入（明细）'!D:D=$F$4,'领用录入（明细）'!C:C&gt;=$J$4,'领用录入（明细）'!C:C&lt;=$L$4),ROW(),"-")</f>
        <v>-</v>
      </c>
      <c r="D449" s="59" t="str">
        <f>IFERROR(INDEX('领用录入（明细）'!$B:$L,SMALL($B:$B,ROW(B443)),MATCH(D$7,$D$7:$L$7,0)),"")</f>
        <v/>
      </c>
      <c r="E449" s="114" t="str">
        <f>IFERROR(INDEX('领用录入（明细）'!$B:$L,SMALL($B:$B,ROW(C443)),MATCH(E$7,$D$7:$L$7,0)),"")</f>
        <v/>
      </c>
      <c r="F449" s="60" t="str">
        <f>IFERROR(INDEX('领用录入（明细）'!$B:$L,SMALL($B:$B,ROW(D443)),MATCH(F$7,$D$7:$L$7,0)),"")</f>
        <v/>
      </c>
      <c r="G449" s="60" t="str">
        <f>IFERROR(INDEX('领用录入（明细）'!$B:$L,SMALL($B:$B,ROW(E443)),MATCH(G$7,$D$7:$L$7,0)),"")</f>
        <v/>
      </c>
      <c r="H449" s="60" t="str">
        <f>IFERROR(INDEX('领用录入（明细）'!$B:$L,SMALL($B:$B,ROW(F443)),MATCH(H$7,$D$7:$L$7,0)),"")</f>
        <v/>
      </c>
      <c r="I449" s="60" t="str">
        <f>IFERROR(INDEX('领用录入（明细）'!$B:$L,SMALL($B:$B,ROW(G443)),MATCH(I$7,$D$7:$L$7,0)),"")</f>
        <v/>
      </c>
      <c r="J449" s="60" t="str">
        <f>IFERROR(INDEX('领用录入（明细）'!$B:$L,SMALL($B:$B,ROW(H443)),MATCH(J$7,$D$7:$L$7,0)),"")</f>
        <v/>
      </c>
      <c r="K449" s="60" t="str">
        <f>IFERROR(INDEX('领用录入（明细）'!$B:$L,SMALL($B:$B,ROW(I443)),MATCH(K$7,$D$7:$L$7,0)),"")</f>
        <v/>
      </c>
      <c r="L449" s="60" t="str">
        <f>IFERROR(INDEX('领用录入（明细）'!$B:$L,SMALL($B:$B,ROW(J443)),MATCH(L$7,$D$7:$L$7,0)),"")</f>
        <v/>
      </c>
      <c r="M449" s="60" t="str">
        <f t="shared" si="6"/>
        <v/>
      </c>
    </row>
    <row r="450" customHeight="1" spans="2:13">
      <c r="B450" s="62" t="str">
        <f>IF(AND('领用录入（明细）'!D:D=$F$4,'领用录入（明细）'!C:C&gt;=$J$4,'领用录入（明细）'!C:C&lt;=$L$4),ROW(),"-")</f>
        <v>-</v>
      </c>
      <c r="D450" s="59" t="str">
        <f>IFERROR(INDEX('领用录入（明细）'!$B:$L,SMALL($B:$B,ROW(B444)),MATCH(D$7,$D$7:$L$7,0)),"")</f>
        <v/>
      </c>
      <c r="E450" s="114" t="str">
        <f>IFERROR(INDEX('领用录入（明细）'!$B:$L,SMALL($B:$B,ROW(C444)),MATCH(E$7,$D$7:$L$7,0)),"")</f>
        <v/>
      </c>
      <c r="F450" s="60" t="str">
        <f>IFERROR(INDEX('领用录入（明细）'!$B:$L,SMALL($B:$B,ROW(D444)),MATCH(F$7,$D$7:$L$7,0)),"")</f>
        <v/>
      </c>
      <c r="G450" s="60" t="str">
        <f>IFERROR(INDEX('领用录入（明细）'!$B:$L,SMALL($B:$B,ROW(E444)),MATCH(G$7,$D$7:$L$7,0)),"")</f>
        <v/>
      </c>
      <c r="H450" s="60" t="str">
        <f>IFERROR(INDEX('领用录入（明细）'!$B:$L,SMALL($B:$B,ROW(F444)),MATCH(H$7,$D$7:$L$7,0)),"")</f>
        <v/>
      </c>
      <c r="I450" s="60" t="str">
        <f>IFERROR(INDEX('领用录入（明细）'!$B:$L,SMALL($B:$B,ROW(G444)),MATCH(I$7,$D$7:$L$7,0)),"")</f>
        <v/>
      </c>
      <c r="J450" s="60" t="str">
        <f>IFERROR(INDEX('领用录入（明细）'!$B:$L,SMALL($B:$B,ROW(H444)),MATCH(J$7,$D$7:$L$7,0)),"")</f>
        <v/>
      </c>
      <c r="K450" s="60" t="str">
        <f>IFERROR(INDEX('领用录入（明细）'!$B:$L,SMALL($B:$B,ROW(I444)),MATCH(K$7,$D$7:$L$7,0)),"")</f>
        <v/>
      </c>
      <c r="L450" s="60" t="str">
        <f>IFERROR(INDEX('领用录入（明细）'!$B:$L,SMALL($B:$B,ROW(J444)),MATCH(L$7,$D$7:$L$7,0)),"")</f>
        <v/>
      </c>
      <c r="M450" s="60" t="str">
        <f t="shared" si="6"/>
        <v/>
      </c>
    </row>
    <row r="451" customHeight="1" spans="2:13">
      <c r="B451" s="62" t="str">
        <f>IF(AND('领用录入（明细）'!D:D=$F$4,'领用录入（明细）'!C:C&gt;=$J$4,'领用录入（明细）'!C:C&lt;=$L$4),ROW(),"-")</f>
        <v>-</v>
      </c>
      <c r="D451" s="59" t="str">
        <f>IFERROR(INDEX('领用录入（明细）'!$B:$L,SMALL($B:$B,ROW(B445)),MATCH(D$7,$D$7:$L$7,0)),"")</f>
        <v/>
      </c>
      <c r="E451" s="114" t="str">
        <f>IFERROR(INDEX('领用录入（明细）'!$B:$L,SMALL($B:$B,ROW(C445)),MATCH(E$7,$D$7:$L$7,0)),"")</f>
        <v/>
      </c>
      <c r="F451" s="60" t="str">
        <f>IFERROR(INDEX('领用录入（明细）'!$B:$L,SMALL($B:$B,ROW(D445)),MATCH(F$7,$D$7:$L$7,0)),"")</f>
        <v/>
      </c>
      <c r="G451" s="60" t="str">
        <f>IFERROR(INDEX('领用录入（明细）'!$B:$L,SMALL($B:$B,ROW(E445)),MATCH(G$7,$D$7:$L$7,0)),"")</f>
        <v/>
      </c>
      <c r="H451" s="60" t="str">
        <f>IFERROR(INDEX('领用录入（明细）'!$B:$L,SMALL($B:$B,ROW(F445)),MATCH(H$7,$D$7:$L$7,0)),"")</f>
        <v/>
      </c>
      <c r="I451" s="60" t="str">
        <f>IFERROR(INDEX('领用录入（明细）'!$B:$L,SMALL($B:$B,ROW(G445)),MATCH(I$7,$D$7:$L$7,0)),"")</f>
        <v/>
      </c>
      <c r="J451" s="60" t="str">
        <f>IFERROR(INDEX('领用录入（明细）'!$B:$L,SMALL($B:$B,ROW(H445)),MATCH(J$7,$D$7:$L$7,0)),"")</f>
        <v/>
      </c>
      <c r="K451" s="60" t="str">
        <f>IFERROR(INDEX('领用录入（明细）'!$B:$L,SMALL($B:$B,ROW(I445)),MATCH(K$7,$D$7:$L$7,0)),"")</f>
        <v/>
      </c>
      <c r="L451" s="60" t="str">
        <f>IFERROR(INDEX('领用录入（明细）'!$B:$L,SMALL($B:$B,ROW(J445)),MATCH(L$7,$D$7:$L$7,0)),"")</f>
        <v/>
      </c>
      <c r="M451" s="60" t="str">
        <f t="shared" si="6"/>
        <v/>
      </c>
    </row>
    <row r="452" customHeight="1" spans="2:13">
      <c r="B452" s="62" t="str">
        <f>IF(AND('领用录入（明细）'!D:D=$F$4,'领用录入（明细）'!C:C&gt;=$J$4,'领用录入（明细）'!C:C&lt;=$L$4),ROW(),"-")</f>
        <v>-</v>
      </c>
      <c r="D452" s="59" t="str">
        <f>IFERROR(INDEX('领用录入（明细）'!$B:$L,SMALL($B:$B,ROW(B446)),MATCH(D$7,$D$7:$L$7,0)),"")</f>
        <v/>
      </c>
      <c r="E452" s="114" t="str">
        <f>IFERROR(INDEX('领用录入（明细）'!$B:$L,SMALL($B:$B,ROW(C446)),MATCH(E$7,$D$7:$L$7,0)),"")</f>
        <v/>
      </c>
      <c r="F452" s="60" t="str">
        <f>IFERROR(INDEX('领用录入（明细）'!$B:$L,SMALL($B:$B,ROW(D446)),MATCH(F$7,$D$7:$L$7,0)),"")</f>
        <v/>
      </c>
      <c r="G452" s="60" t="str">
        <f>IFERROR(INDEX('领用录入（明细）'!$B:$L,SMALL($B:$B,ROW(E446)),MATCH(G$7,$D$7:$L$7,0)),"")</f>
        <v/>
      </c>
      <c r="H452" s="60" t="str">
        <f>IFERROR(INDEX('领用录入（明细）'!$B:$L,SMALL($B:$B,ROW(F446)),MATCH(H$7,$D$7:$L$7,0)),"")</f>
        <v/>
      </c>
      <c r="I452" s="60" t="str">
        <f>IFERROR(INDEX('领用录入（明细）'!$B:$L,SMALL($B:$B,ROW(G446)),MATCH(I$7,$D$7:$L$7,0)),"")</f>
        <v/>
      </c>
      <c r="J452" s="60" t="str">
        <f>IFERROR(INDEX('领用录入（明细）'!$B:$L,SMALL($B:$B,ROW(H446)),MATCH(J$7,$D$7:$L$7,0)),"")</f>
        <v/>
      </c>
      <c r="K452" s="60" t="str">
        <f>IFERROR(INDEX('领用录入（明细）'!$B:$L,SMALL($B:$B,ROW(I446)),MATCH(K$7,$D$7:$L$7,0)),"")</f>
        <v/>
      </c>
      <c r="L452" s="60" t="str">
        <f>IFERROR(INDEX('领用录入（明细）'!$B:$L,SMALL($B:$B,ROW(J446)),MATCH(L$7,$D$7:$L$7,0)),"")</f>
        <v/>
      </c>
      <c r="M452" s="60" t="str">
        <f t="shared" si="6"/>
        <v/>
      </c>
    </row>
    <row r="453" customHeight="1" spans="2:13">
      <c r="B453" s="62" t="str">
        <f>IF(AND('领用录入（明细）'!D:D=$F$4,'领用录入（明细）'!C:C&gt;=$J$4,'领用录入（明细）'!C:C&lt;=$L$4),ROW(),"-")</f>
        <v>-</v>
      </c>
      <c r="D453" s="59" t="str">
        <f>IFERROR(INDEX('领用录入（明细）'!$B:$L,SMALL($B:$B,ROW(B447)),MATCH(D$7,$D$7:$L$7,0)),"")</f>
        <v/>
      </c>
      <c r="E453" s="114" t="str">
        <f>IFERROR(INDEX('领用录入（明细）'!$B:$L,SMALL($B:$B,ROW(C447)),MATCH(E$7,$D$7:$L$7,0)),"")</f>
        <v/>
      </c>
      <c r="F453" s="60" t="str">
        <f>IFERROR(INDEX('领用录入（明细）'!$B:$L,SMALL($B:$B,ROW(D447)),MATCH(F$7,$D$7:$L$7,0)),"")</f>
        <v/>
      </c>
      <c r="G453" s="60" t="str">
        <f>IFERROR(INDEX('领用录入（明细）'!$B:$L,SMALL($B:$B,ROW(E447)),MATCH(G$7,$D$7:$L$7,0)),"")</f>
        <v/>
      </c>
      <c r="H453" s="60" t="str">
        <f>IFERROR(INDEX('领用录入（明细）'!$B:$L,SMALL($B:$B,ROW(F447)),MATCH(H$7,$D$7:$L$7,0)),"")</f>
        <v/>
      </c>
      <c r="I453" s="60" t="str">
        <f>IFERROR(INDEX('领用录入（明细）'!$B:$L,SMALL($B:$B,ROW(G447)),MATCH(I$7,$D$7:$L$7,0)),"")</f>
        <v/>
      </c>
      <c r="J453" s="60" t="str">
        <f>IFERROR(INDEX('领用录入（明细）'!$B:$L,SMALL($B:$B,ROW(H447)),MATCH(J$7,$D$7:$L$7,0)),"")</f>
        <v/>
      </c>
      <c r="K453" s="60" t="str">
        <f>IFERROR(INDEX('领用录入（明细）'!$B:$L,SMALL($B:$B,ROW(I447)),MATCH(K$7,$D$7:$L$7,0)),"")</f>
        <v/>
      </c>
      <c r="L453" s="60" t="str">
        <f>IFERROR(INDEX('领用录入（明细）'!$B:$L,SMALL($B:$B,ROW(J447)),MATCH(L$7,$D$7:$L$7,0)),"")</f>
        <v/>
      </c>
      <c r="M453" s="60" t="str">
        <f t="shared" si="6"/>
        <v/>
      </c>
    </row>
    <row r="454" customHeight="1" spans="2:13">
      <c r="B454" s="62" t="str">
        <f>IF(AND('领用录入（明细）'!D:D=$F$4,'领用录入（明细）'!C:C&gt;=$J$4,'领用录入（明细）'!C:C&lt;=$L$4),ROW(),"-")</f>
        <v>-</v>
      </c>
      <c r="D454" s="59" t="str">
        <f>IFERROR(INDEX('领用录入（明细）'!$B:$L,SMALL($B:$B,ROW(B448)),MATCH(D$7,$D$7:$L$7,0)),"")</f>
        <v/>
      </c>
      <c r="E454" s="114" t="str">
        <f>IFERROR(INDEX('领用录入（明细）'!$B:$L,SMALL($B:$B,ROW(C448)),MATCH(E$7,$D$7:$L$7,0)),"")</f>
        <v/>
      </c>
      <c r="F454" s="60" t="str">
        <f>IFERROR(INDEX('领用录入（明细）'!$B:$L,SMALL($B:$B,ROW(D448)),MATCH(F$7,$D$7:$L$7,0)),"")</f>
        <v/>
      </c>
      <c r="G454" s="60" t="str">
        <f>IFERROR(INDEX('领用录入（明细）'!$B:$L,SMALL($B:$B,ROW(E448)),MATCH(G$7,$D$7:$L$7,0)),"")</f>
        <v/>
      </c>
      <c r="H454" s="60" t="str">
        <f>IFERROR(INDEX('领用录入（明细）'!$B:$L,SMALL($B:$B,ROW(F448)),MATCH(H$7,$D$7:$L$7,0)),"")</f>
        <v/>
      </c>
      <c r="I454" s="60" t="str">
        <f>IFERROR(INDEX('领用录入（明细）'!$B:$L,SMALL($B:$B,ROW(G448)),MATCH(I$7,$D$7:$L$7,0)),"")</f>
        <v/>
      </c>
      <c r="J454" s="60" t="str">
        <f>IFERROR(INDEX('领用录入（明细）'!$B:$L,SMALL($B:$B,ROW(H448)),MATCH(J$7,$D$7:$L$7,0)),"")</f>
        <v/>
      </c>
      <c r="K454" s="60" t="str">
        <f>IFERROR(INDEX('领用录入（明细）'!$B:$L,SMALL($B:$B,ROW(I448)),MATCH(K$7,$D$7:$L$7,0)),"")</f>
        <v/>
      </c>
      <c r="L454" s="60" t="str">
        <f>IFERROR(INDEX('领用录入（明细）'!$B:$L,SMALL($B:$B,ROW(J448)),MATCH(L$7,$D$7:$L$7,0)),"")</f>
        <v/>
      </c>
      <c r="M454" s="60" t="str">
        <f t="shared" si="6"/>
        <v/>
      </c>
    </row>
    <row r="455" customHeight="1" spans="2:13">
      <c r="B455" s="62" t="str">
        <f>IF(AND('领用录入（明细）'!D:D=$F$4,'领用录入（明细）'!C:C&gt;=$J$4,'领用录入（明细）'!C:C&lt;=$L$4),ROW(),"-")</f>
        <v>-</v>
      </c>
      <c r="D455" s="59" t="str">
        <f>IFERROR(INDEX('领用录入（明细）'!$B:$L,SMALL($B:$B,ROW(B449)),MATCH(D$7,$D$7:$L$7,0)),"")</f>
        <v/>
      </c>
      <c r="E455" s="114" t="str">
        <f>IFERROR(INDEX('领用录入（明细）'!$B:$L,SMALL($B:$B,ROW(C449)),MATCH(E$7,$D$7:$L$7,0)),"")</f>
        <v/>
      </c>
      <c r="F455" s="60" t="str">
        <f>IFERROR(INDEX('领用录入（明细）'!$B:$L,SMALL($B:$B,ROW(D449)),MATCH(F$7,$D$7:$L$7,0)),"")</f>
        <v/>
      </c>
      <c r="G455" s="60" t="str">
        <f>IFERROR(INDEX('领用录入（明细）'!$B:$L,SMALL($B:$B,ROW(E449)),MATCH(G$7,$D$7:$L$7,0)),"")</f>
        <v/>
      </c>
      <c r="H455" s="60" t="str">
        <f>IFERROR(INDEX('领用录入（明细）'!$B:$L,SMALL($B:$B,ROW(F449)),MATCH(H$7,$D$7:$L$7,0)),"")</f>
        <v/>
      </c>
      <c r="I455" s="60" t="str">
        <f>IFERROR(INDEX('领用录入（明细）'!$B:$L,SMALL($B:$B,ROW(G449)),MATCH(I$7,$D$7:$L$7,0)),"")</f>
        <v/>
      </c>
      <c r="J455" s="60" t="str">
        <f>IFERROR(INDEX('领用录入（明细）'!$B:$L,SMALL($B:$B,ROW(H449)),MATCH(J$7,$D$7:$L$7,0)),"")</f>
        <v/>
      </c>
      <c r="K455" s="60" t="str">
        <f>IFERROR(INDEX('领用录入（明细）'!$B:$L,SMALL($B:$B,ROW(I449)),MATCH(K$7,$D$7:$L$7,0)),"")</f>
        <v/>
      </c>
      <c r="L455" s="60" t="str">
        <f>IFERROR(INDEX('领用录入（明细）'!$B:$L,SMALL($B:$B,ROW(J449)),MATCH(L$7,$D$7:$L$7,0)),"")</f>
        <v/>
      </c>
      <c r="M455" s="60" t="str">
        <f t="shared" si="6"/>
        <v/>
      </c>
    </row>
    <row r="456" customHeight="1" spans="2:13">
      <c r="B456" s="62" t="str">
        <f>IF(AND('领用录入（明细）'!D:D=$F$4,'领用录入（明细）'!C:C&gt;=$J$4,'领用录入（明细）'!C:C&lt;=$L$4),ROW(),"-")</f>
        <v>-</v>
      </c>
      <c r="D456" s="59" t="str">
        <f>IFERROR(INDEX('领用录入（明细）'!$B:$L,SMALL($B:$B,ROW(B450)),MATCH(D$7,$D$7:$L$7,0)),"")</f>
        <v/>
      </c>
      <c r="E456" s="114" t="str">
        <f>IFERROR(INDEX('领用录入（明细）'!$B:$L,SMALL($B:$B,ROW(C450)),MATCH(E$7,$D$7:$L$7,0)),"")</f>
        <v/>
      </c>
      <c r="F456" s="60" t="str">
        <f>IFERROR(INDEX('领用录入（明细）'!$B:$L,SMALL($B:$B,ROW(D450)),MATCH(F$7,$D$7:$L$7,0)),"")</f>
        <v/>
      </c>
      <c r="G456" s="60" t="str">
        <f>IFERROR(INDEX('领用录入（明细）'!$B:$L,SMALL($B:$B,ROW(E450)),MATCH(G$7,$D$7:$L$7,0)),"")</f>
        <v/>
      </c>
      <c r="H456" s="60" t="str">
        <f>IFERROR(INDEX('领用录入（明细）'!$B:$L,SMALL($B:$B,ROW(F450)),MATCH(H$7,$D$7:$L$7,0)),"")</f>
        <v/>
      </c>
      <c r="I456" s="60" t="str">
        <f>IFERROR(INDEX('领用录入（明细）'!$B:$L,SMALL($B:$B,ROW(G450)),MATCH(I$7,$D$7:$L$7,0)),"")</f>
        <v/>
      </c>
      <c r="J456" s="60" t="str">
        <f>IFERROR(INDEX('领用录入（明细）'!$B:$L,SMALL($B:$B,ROW(H450)),MATCH(J$7,$D$7:$L$7,0)),"")</f>
        <v/>
      </c>
      <c r="K456" s="60" t="str">
        <f>IFERROR(INDEX('领用录入（明细）'!$B:$L,SMALL($B:$B,ROW(I450)),MATCH(K$7,$D$7:$L$7,0)),"")</f>
        <v/>
      </c>
      <c r="L456" s="60" t="str">
        <f>IFERROR(INDEX('领用录入（明细）'!$B:$L,SMALL($B:$B,ROW(J450)),MATCH(L$7,$D$7:$L$7,0)),"")</f>
        <v/>
      </c>
      <c r="M456" s="60" t="str">
        <f t="shared" si="6"/>
        <v/>
      </c>
    </row>
    <row r="457" customHeight="1" spans="2:13">
      <c r="B457" s="62" t="str">
        <f>IF(AND('领用录入（明细）'!D:D=$F$4,'领用录入（明细）'!C:C&gt;=$J$4,'领用录入（明细）'!C:C&lt;=$L$4),ROW(),"-")</f>
        <v>-</v>
      </c>
      <c r="D457" s="59" t="str">
        <f>IFERROR(INDEX('领用录入（明细）'!$B:$L,SMALL($B:$B,ROW(B451)),MATCH(D$7,$D$7:$L$7,0)),"")</f>
        <v/>
      </c>
      <c r="E457" s="114" t="str">
        <f>IFERROR(INDEX('领用录入（明细）'!$B:$L,SMALL($B:$B,ROW(C451)),MATCH(E$7,$D$7:$L$7,0)),"")</f>
        <v/>
      </c>
      <c r="F457" s="60" t="str">
        <f>IFERROR(INDEX('领用录入（明细）'!$B:$L,SMALL($B:$B,ROW(D451)),MATCH(F$7,$D$7:$L$7,0)),"")</f>
        <v/>
      </c>
      <c r="G457" s="60" t="str">
        <f>IFERROR(INDEX('领用录入（明细）'!$B:$L,SMALL($B:$B,ROW(E451)),MATCH(G$7,$D$7:$L$7,0)),"")</f>
        <v/>
      </c>
      <c r="H457" s="60" t="str">
        <f>IFERROR(INDEX('领用录入（明细）'!$B:$L,SMALL($B:$B,ROW(F451)),MATCH(H$7,$D$7:$L$7,0)),"")</f>
        <v/>
      </c>
      <c r="I457" s="60" t="str">
        <f>IFERROR(INDEX('领用录入（明细）'!$B:$L,SMALL($B:$B,ROW(G451)),MATCH(I$7,$D$7:$L$7,0)),"")</f>
        <v/>
      </c>
      <c r="J457" s="60" t="str">
        <f>IFERROR(INDEX('领用录入（明细）'!$B:$L,SMALL($B:$B,ROW(H451)),MATCH(J$7,$D$7:$L$7,0)),"")</f>
        <v/>
      </c>
      <c r="K457" s="60" t="str">
        <f>IFERROR(INDEX('领用录入（明细）'!$B:$L,SMALL($B:$B,ROW(I451)),MATCH(K$7,$D$7:$L$7,0)),"")</f>
        <v/>
      </c>
      <c r="L457" s="60" t="str">
        <f>IFERROR(INDEX('领用录入（明细）'!$B:$L,SMALL($B:$B,ROW(J451)),MATCH(L$7,$D$7:$L$7,0)),"")</f>
        <v/>
      </c>
      <c r="M457" s="60" t="str">
        <f t="shared" ref="M457:M507" si="7">IFERROR(K457*L457,"")</f>
        <v/>
      </c>
    </row>
    <row r="458" customHeight="1" spans="2:13">
      <c r="B458" s="62" t="str">
        <f>IF(AND('领用录入（明细）'!D:D=$F$4,'领用录入（明细）'!C:C&gt;=$J$4,'领用录入（明细）'!C:C&lt;=$L$4),ROW(),"-")</f>
        <v>-</v>
      </c>
      <c r="D458" s="59" t="str">
        <f>IFERROR(INDEX('领用录入（明细）'!$B:$L,SMALL($B:$B,ROW(B452)),MATCH(D$7,$D$7:$L$7,0)),"")</f>
        <v/>
      </c>
      <c r="E458" s="114" t="str">
        <f>IFERROR(INDEX('领用录入（明细）'!$B:$L,SMALL($B:$B,ROW(C452)),MATCH(E$7,$D$7:$L$7,0)),"")</f>
        <v/>
      </c>
      <c r="F458" s="60" t="str">
        <f>IFERROR(INDEX('领用录入（明细）'!$B:$L,SMALL($B:$B,ROW(D452)),MATCH(F$7,$D$7:$L$7,0)),"")</f>
        <v/>
      </c>
      <c r="G458" s="60" t="str">
        <f>IFERROR(INDEX('领用录入（明细）'!$B:$L,SMALL($B:$B,ROW(E452)),MATCH(G$7,$D$7:$L$7,0)),"")</f>
        <v/>
      </c>
      <c r="H458" s="60" t="str">
        <f>IFERROR(INDEX('领用录入（明细）'!$B:$L,SMALL($B:$B,ROW(F452)),MATCH(H$7,$D$7:$L$7,0)),"")</f>
        <v/>
      </c>
      <c r="I458" s="60" t="str">
        <f>IFERROR(INDEX('领用录入（明细）'!$B:$L,SMALL($B:$B,ROW(G452)),MATCH(I$7,$D$7:$L$7,0)),"")</f>
        <v/>
      </c>
      <c r="J458" s="60" t="str">
        <f>IFERROR(INDEX('领用录入（明细）'!$B:$L,SMALL($B:$B,ROW(H452)),MATCH(J$7,$D$7:$L$7,0)),"")</f>
        <v/>
      </c>
      <c r="K458" s="60" t="str">
        <f>IFERROR(INDEX('领用录入（明细）'!$B:$L,SMALL($B:$B,ROW(I452)),MATCH(K$7,$D$7:$L$7,0)),"")</f>
        <v/>
      </c>
      <c r="L458" s="60" t="str">
        <f>IFERROR(INDEX('领用录入（明细）'!$B:$L,SMALL($B:$B,ROW(J452)),MATCH(L$7,$D$7:$L$7,0)),"")</f>
        <v/>
      </c>
      <c r="M458" s="60" t="str">
        <f t="shared" si="7"/>
        <v/>
      </c>
    </row>
    <row r="459" customHeight="1" spans="2:13">
      <c r="B459" s="62" t="str">
        <f>IF(AND('领用录入（明细）'!D:D=$F$4,'领用录入（明细）'!C:C&gt;=$J$4,'领用录入（明细）'!C:C&lt;=$L$4),ROW(),"-")</f>
        <v>-</v>
      </c>
      <c r="D459" s="59" t="str">
        <f>IFERROR(INDEX('领用录入（明细）'!$B:$L,SMALL($B:$B,ROW(B453)),MATCH(D$7,$D$7:$L$7,0)),"")</f>
        <v/>
      </c>
      <c r="E459" s="114" t="str">
        <f>IFERROR(INDEX('领用录入（明细）'!$B:$L,SMALL($B:$B,ROW(C453)),MATCH(E$7,$D$7:$L$7,0)),"")</f>
        <v/>
      </c>
      <c r="F459" s="60" t="str">
        <f>IFERROR(INDEX('领用录入（明细）'!$B:$L,SMALL($B:$B,ROW(D453)),MATCH(F$7,$D$7:$L$7,0)),"")</f>
        <v/>
      </c>
      <c r="G459" s="60" t="str">
        <f>IFERROR(INDEX('领用录入（明细）'!$B:$L,SMALL($B:$B,ROW(E453)),MATCH(G$7,$D$7:$L$7,0)),"")</f>
        <v/>
      </c>
      <c r="H459" s="60" t="str">
        <f>IFERROR(INDEX('领用录入（明细）'!$B:$L,SMALL($B:$B,ROW(F453)),MATCH(H$7,$D$7:$L$7,0)),"")</f>
        <v/>
      </c>
      <c r="I459" s="60" t="str">
        <f>IFERROR(INDEX('领用录入（明细）'!$B:$L,SMALL($B:$B,ROW(G453)),MATCH(I$7,$D$7:$L$7,0)),"")</f>
        <v/>
      </c>
      <c r="J459" s="60" t="str">
        <f>IFERROR(INDEX('领用录入（明细）'!$B:$L,SMALL($B:$B,ROW(H453)),MATCH(J$7,$D$7:$L$7,0)),"")</f>
        <v/>
      </c>
      <c r="K459" s="60" t="str">
        <f>IFERROR(INDEX('领用录入（明细）'!$B:$L,SMALL($B:$B,ROW(I453)),MATCH(K$7,$D$7:$L$7,0)),"")</f>
        <v/>
      </c>
      <c r="L459" s="60" t="str">
        <f>IFERROR(INDEX('领用录入（明细）'!$B:$L,SMALL($B:$B,ROW(J453)),MATCH(L$7,$D$7:$L$7,0)),"")</f>
        <v/>
      </c>
      <c r="M459" s="60" t="str">
        <f t="shared" si="7"/>
        <v/>
      </c>
    </row>
    <row r="460" customHeight="1" spans="2:13">
      <c r="B460" s="62" t="str">
        <f>IF(AND('领用录入（明细）'!D:D=$F$4,'领用录入（明细）'!C:C&gt;=$J$4,'领用录入（明细）'!C:C&lt;=$L$4),ROW(),"-")</f>
        <v>-</v>
      </c>
      <c r="D460" s="59" t="str">
        <f>IFERROR(INDEX('领用录入（明细）'!$B:$L,SMALL($B:$B,ROW(B454)),MATCH(D$7,$D$7:$L$7,0)),"")</f>
        <v/>
      </c>
      <c r="E460" s="114" t="str">
        <f>IFERROR(INDEX('领用录入（明细）'!$B:$L,SMALL($B:$B,ROW(C454)),MATCH(E$7,$D$7:$L$7,0)),"")</f>
        <v/>
      </c>
      <c r="F460" s="60" t="str">
        <f>IFERROR(INDEX('领用录入（明细）'!$B:$L,SMALL($B:$B,ROW(D454)),MATCH(F$7,$D$7:$L$7,0)),"")</f>
        <v/>
      </c>
      <c r="G460" s="60" t="str">
        <f>IFERROR(INDEX('领用录入（明细）'!$B:$L,SMALL($B:$B,ROW(E454)),MATCH(G$7,$D$7:$L$7,0)),"")</f>
        <v/>
      </c>
      <c r="H460" s="60" t="str">
        <f>IFERROR(INDEX('领用录入（明细）'!$B:$L,SMALL($B:$B,ROW(F454)),MATCH(H$7,$D$7:$L$7,0)),"")</f>
        <v/>
      </c>
      <c r="I460" s="60" t="str">
        <f>IFERROR(INDEX('领用录入（明细）'!$B:$L,SMALL($B:$B,ROW(G454)),MATCH(I$7,$D$7:$L$7,0)),"")</f>
        <v/>
      </c>
      <c r="J460" s="60" t="str">
        <f>IFERROR(INDEX('领用录入（明细）'!$B:$L,SMALL($B:$B,ROW(H454)),MATCH(J$7,$D$7:$L$7,0)),"")</f>
        <v/>
      </c>
      <c r="K460" s="60" t="str">
        <f>IFERROR(INDEX('领用录入（明细）'!$B:$L,SMALL($B:$B,ROW(I454)),MATCH(K$7,$D$7:$L$7,0)),"")</f>
        <v/>
      </c>
      <c r="L460" s="60" t="str">
        <f>IFERROR(INDEX('领用录入（明细）'!$B:$L,SMALL($B:$B,ROW(J454)),MATCH(L$7,$D$7:$L$7,0)),"")</f>
        <v/>
      </c>
      <c r="M460" s="60" t="str">
        <f t="shared" si="7"/>
        <v/>
      </c>
    </row>
    <row r="461" customHeight="1" spans="2:13">
      <c r="B461" s="62" t="str">
        <f>IF(AND('领用录入（明细）'!D:D=$F$4,'领用录入（明细）'!C:C&gt;=$J$4,'领用录入（明细）'!C:C&lt;=$L$4),ROW(),"-")</f>
        <v>-</v>
      </c>
      <c r="D461" s="59" t="str">
        <f>IFERROR(INDEX('领用录入（明细）'!$B:$L,SMALL($B:$B,ROW(B455)),MATCH(D$7,$D$7:$L$7,0)),"")</f>
        <v/>
      </c>
      <c r="E461" s="114" t="str">
        <f>IFERROR(INDEX('领用录入（明细）'!$B:$L,SMALL($B:$B,ROW(C455)),MATCH(E$7,$D$7:$L$7,0)),"")</f>
        <v/>
      </c>
      <c r="F461" s="60" t="str">
        <f>IFERROR(INDEX('领用录入（明细）'!$B:$L,SMALL($B:$B,ROW(D455)),MATCH(F$7,$D$7:$L$7,0)),"")</f>
        <v/>
      </c>
      <c r="G461" s="60" t="str">
        <f>IFERROR(INDEX('领用录入（明细）'!$B:$L,SMALL($B:$B,ROW(E455)),MATCH(G$7,$D$7:$L$7,0)),"")</f>
        <v/>
      </c>
      <c r="H461" s="60" t="str">
        <f>IFERROR(INDEX('领用录入（明细）'!$B:$L,SMALL($B:$B,ROW(F455)),MATCH(H$7,$D$7:$L$7,0)),"")</f>
        <v/>
      </c>
      <c r="I461" s="60" t="str">
        <f>IFERROR(INDEX('领用录入（明细）'!$B:$L,SMALL($B:$B,ROW(G455)),MATCH(I$7,$D$7:$L$7,0)),"")</f>
        <v/>
      </c>
      <c r="J461" s="60" t="str">
        <f>IFERROR(INDEX('领用录入（明细）'!$B:$L,SMALL($B:$B,ROW(H455)),MATCH(J$7,$D$7:$L$7,0)),"")</f>
        <v/>
      </c>
      <c r="K461" s="60" t="str">
        <f>IFERROR(INDEX('领用录入（明细）'!$B:$L,SMALL($B:$B,ROW(I455)),MATCH(K$7,$D$7:$L$7,0)),"")</f>
        <v/>
      </c>
      <c r="L461" s="60" t="str">
        <f>IFERROR(INDEX('领用录入（明细）'!$B:$L,SMALL($B:$B,ROW(J455)),MATCH(L$7,$D$7:$L$7,0)),"")</f>
        <v/>
      </c>
      <c r="M461" s="60" t="str">
        <f t="shared" si="7"/>
        <v/>
      </c>
    </row>
    <row r="462" customHeight="1" spans="2:13">
      <c r="B462" s="62" t="str">
        <f>IF(AND('领用录入（明细）'!D:D=$F$4,'领用录入（明细）'!C:C&gt;=$J$4,'领用录入（明细）'!C:C&lt;=$L$4),ROW(),"-")</f>
        <v>-</v>
      </c>
      <c r="D462" s="59" t="str">
        <f>IFERROR(INDEX('领用录入（明细）'!$B:$L,SMALL($B:$B,ROW(B456)),MATCH(D$7,$D$7:$L$7,0)),"")</f>
        <v/>
      </c>
      <c r="E462" s="114" t="str">
        <f>IFERROR(INDEX('领用录入（明细）'!$B:$L,SMALL($B:$B,ROW(C456)),MATCH(E$7,$D$7:$L$7,0)),"")</f>
        <v/>
      </c>
      <c r="F462" s="60" t="str">
        <f>IFERROR(INDEX('领用录入（明细）'!$B:$L,SMALL($B:$B,ROW(D456)),MATCH(F$7,$D$7:$L$7,0)),"")</f>
        <v/>
      </c>
      <c r="G462" s="60" t="str">
        <f>IFERROR(INDEX('领用录入（明细）'!$B:$L,SMALL($B:$B,ROW(E456)),MATCH(G$7,$D$7:$L$7,0)),"")</f>
        <v/>
      </c>
      <c r="H462" s="60" t="str">
        <f>IFERROR(INDEX('领用录入（明细）'!$B:$L,SMALL($B:$B,ROW(F456)),MATCH(H$7,$D$7:$L$7,0)),"")</f>
        <v/>
      </c>
      <c r="I462" s="60" t="str">
        <f>IFERROR(INDEX('领用录入（明细）'!$B:$L,SMALL($B:$B,ROW(G456)),MATCH(I$7,$D$7:$L$7,0)),"")</f>
        <v/>
      </c>
      <c r="J462" s="60" t="str">
        <f>IFERROR(INDEX('领用录入（明细）'!$B:$L,SMALL($B:$B,ROW(H456)),MATCH(J$7,$D$7:$L$7,0)),"")</f>
        <v/>
      </c>
      <c r="K462" s="60" t="str">
        <f>IFERROR(INDEX('领用录入（明细）'!$B:$L,SMALL($B:$B,ROW(I456)),MATCH(K$7,$D$7:$L$7,0)),"")</f>
        <v/>
      </c>
      <c r="L462" s="60" t="str">
        <f>IFERROR(INDEX('领用录入（明细）'!$B:$L,SMALL($B:$B,ROW(J456)),MATCH(L$7,$D$7:$L$7,0)),"")</f>
        <v/>
      </c>
      <c r="M462" s="60" t="str">
        <f t="shared" si="7"/>
        <v/>
      </c>
    </row>
    <row r="463" customHeight="1" spans="2:13">
      <c r="B463" s="62" t="str">
        <f>IF(AND('领用录入（明细）'!D:D=$F$4,'领用录入（明细）'!C:C&gt;=$J$4,'领用录入（明细）'!C:C&lt;=$L$4),ROW(),"-")</f>
        <v>-</v>
      </c>
      <c r="D463" s="59" t="str">
        <f>IFERROR(INDEX('领用录入（明细）'!$B:$L,SMALL($B:$B,ROW(B457)),MATCH(D$7,$D$7:$L$7,0)),"")</f>
        <v/>
      </c>
      <c r="E463" s="114" t="str">
        <f>IFERROR(INDEX('领用录入（明细）'!$B:$L,SMALL($B:$B,ROW(C457)),MATCH(E$7,$D$7:$L$7,0)),"")</f>
        <v/>
      </c>
      <c r="F463" s="60" t="str">
        <f>IFERROR(INDEX('领用录入（明细）'!$B:$L,SMALL($B:$B,ROW(D457)),MATCH(F$7,$D$7:$L$7,0)),"")</f>
        <v/>
      </c>
      <c r="G463" s="60" t="str">
        <f>IFERROR(INDEX('领用录入（明细）'!$B:$L,SMALL($B:$B,ROW(E457)),MATCH(G$7,$D$7:$L$7,0)),"")</f>
        <v/>
      </c>
      <c r="H463" s="60" t="str">
        <f>IFERROR(INDEX('领用录入（明细）'!$B:$L,SMALL($B:$B,ROW(F457)),MATCH(H$7,$D$7:$L$7,0)),"")</f>
        <v/>
      </c>
      <c r="I463" s="60" t="str">
        <f>IFERROR(INDEX('领用录入（明细）'!$B:$L,SMALL($B:$B,ROW(G457)),MATCH(I$7,$D$7:$L$7,0)),"")</f>
        <v/>
      </c>
      <c r="J463" s="60" t="str">
        <f>IFERROR(INDEX('领用录入（明细）'!$B:$L,SMALL($B:$B,ROW(H457)),MATCH(J$7,$D$7:$L$7,0)),"")</f>
        <v/>
      </c>
      <c r="K463" s="60" t="str">
        <f>IFERROR(INDEX('领用录入（明细）'!$B:$L,SMALL($B:$B,ROW(I457)),MATCH(K$7,$D$7:$L$7,0)),"")</f>
        <v/>
      </c>
      <c r="L463" s="60" t="str">
        <f>IFERROR(INDEX('领用录入（明细）'!$B:$L,SMALL($B:$B,ROW(J457)),MATCH(L$7,$D$7:$L$7,0)),"")</f>
        <v/>
      </c>
      <c r="M463" s="60" t="str">
        <f t="shared" si="7"/>
        <v/>
      </c>
    </row>
    <row r="464" customHeight="1" spans="2:13">
      <c r="B464" s="62" t="str">
        <f>IF(AND('领用录入（明细）'!D:D=$F$4,'领用录入（明细）'!C:C&gt;=$J$4,'领用录入（明细）'!C:C&lt;=$L$4),ROW(),"-")</f>
        <v>-</v>
      </c>
      <c r="D464" s="59" t="str">
        <f>IFERROR(INDEX('领用录入（明细）'!$B:$L,SMALL($B:$B,ROW(B458)),MATCH(D$7,$D$7:$L$7,0)),"")</f>
        <v/>
      </c>
      <c r="E464" s="114" t="str">
        <f>IFERROR(INDEX('领用录入（明细）'!$B:$L,SMALL($B:$B,ROW(C458)),MATCH(E$7,$D$7:$L$7,0)),"")</f>
        <v/>
      </c>
      <c r="F464" s="60" t="str">
        <f>IFERROR(INDEX('领用录入（明细）'!$B:$L,SMALL($B:$B,ROW(D458)),MATCH(F$7,$D$7:$L$7,0)),"")</f>
        <v/>
      </c>
      <c r="G464" s="60" t="str">
        <f>IFERROR(INDEX('领用录入（明细）'!$B:$L,SMALL($B:$B,ROW(E458)),MATCH(G$7,$D$7:$L$7,0)),"")</f>
        <v/>
      </c>
      <c r="H464" s="60" t="str">
        <f>IFERROR(INDEX('领用录入（明细）'!$B:$L,SMALL($B:$B,ROW(F458)),MATCH(H$7,$D$7:$L$7,0)),"")</f>
        <v/>
      </c>
      <c r="I464" s="60" t="str">
        <f>IFERROR(INDEX('领用录入（明细）'!$B:$L,SMALL($B:$B,ROW(G458)),MATCH(I$7,$D$7:$L$7,0)),"")</f>
        <v/>
      </c>
      <c r="J464" s="60" t="str">
        <f>IFERROR(INDEX('领用录入（明细）'!$B:$L,SMALL($B:$B,ROW(H458)),MATCH(J$7,$D$7:$L$7,0)),"")</f>
        <v/>
      </c>
      <c r="K464" s="60" t="str">
        <f>IFERROR(INDEX('领用录入（明细）'!$B:$L,SMALL($B:$B,ROW(I458)),MATCH(K$7,$D$7:$L$7,0)),"")</f>
        <v/>
      </c>
      <c r="L464" s="60" t="str">
        <f>IFERROR(INDEX('领用录入（明细）'!$B:$L,SMALL($B:$B,ROW(J458)),MATCH(L$7,$D$7:$L$7,0)),"")</f>
        <v/>
      </c>
      <c r="M464" s="60" t="str">
        <f t="shared" si="7"/>
        <v/>
      </c>
    </row>
    <row r="465" customHeight="1" spans="2:13">
      <c r="B465" s="62" t="str">
        <f>IF(AND('领用录入（明细）'!D:D=$F$4,'领用录入（明细）'!C:C&gt;=$J$4,'领用录入（明细）'!C:C&lt;=$L$4),ROW(),"-")</f>
        <v>-</v>
      </c>
      <c r="D465" s="59" t="str">
        <f>IFERROR(INDEX('领用录入（明细）'!$B:$L,SMALL($B:$B,ROW(B459)),MATCH(D$7,$D$7:$L$7,0)),"")</f>
        <v/>
      </c>
      <c r="E465" s="114" t="str">
        <f>IFERROR(INDEX('领用录入（明细）'!$B:$L,SMALL($B:$B,ROW(C459)),MATCH(E$7,$D$7:$L$7,0)),"")</f>
        <v/>
      </c>
      <c r="F465" s="60" t="str">
        <f>IFERROR(INDEX('领用录入（明细）'!$B:$L,SMALL($B:$B,ROW(D459)),MATCH(F$7,$D$7:$L$7,0)),"")</f>
        <v/>
      </c>
      <c r="G465" s="60" t="str">
        <f>IFERROR(INDEX('领用录入（明细）'!$B:$L,SMALL($B:$B,ROW(E459)),MATCH(G$7,$D$7:$L$7,0)),"")</f>
        <v/>
      </c>
      <c r="H465" s="60" t="str">
        <f>IFERROR(INDEX('领用录入（明细）'!$B:$L,SMALL($B:$B,ROW(F459)),MATCH(H$7,$D$7:$L$7,0)),"")</f>
        <v/>
      </c>
      <c r="I465" s="60" t="str">
        <f>IFERROR(INDEX('领用录入（明细）'!$B:$L,SMALL($B:$B,ROW(G459)),MATCH(I$7,$D$7:$L$7,0)),"")</f>
        <v/>
      </c>
      <c r="J465" s="60" t="str">
        <f>IFERROR(INDEX('领用录入（明细）'!$B:$L,SMALL($B:$B,ROW(H459)),MATCH(J$7,$D$7:$L$7,0)),"")</f>
        <v/>
      </c>
      <c r="K465" s="60" t="str">
        <f>IFERROR(INDEX('领用录入（明细）'!$B:$L,SMALL($B:$B,ROW(I459)),MATCH(K$7,$D$7:$L$7,0)),"")</f>
        <v/>
      </c>
      <c r="L465" s="60" t="str">
        <f>IFERROR(INDEX('领用录入（明细）'!$B:$L,SMALL($B:$B,ROW(J459)),MATCH(L$7,$D$7:$L$7,0)),"")</f>
        <v/>
      </c>
      <c r="M465" s="60" t="str">
        <f t="shared" si="7"/>
        <v/>
      </c>
    </row>
    <row r="466" customHeight="1" spans="2:13">
      <c r="B466" s="62" t="str">
        <f>IF(AND('领用录入（明细）'!D:D=$F$4,'领用录入（明细）'!C:C&gt;=$J$4,'领用录入（明细）'!C:C&lt;=$L$4),ROW(),"-")</f>
        <v>-</v>
      </c>
      <c r="D466" s="59" t="str">
        <f>IFERROR(INDEX('领用录入（明细）'!$B:$L,SMALL($B:$B,ROW(B460)),MATCH(D$7,$D$7:$L$7,0)),"")</f>
        <v/>
      </c>
      <c r="E466" s="114" t="str">
        <f>IFERROR(INDEX('领用录入（明细）'!$B:$L,SMALL($B:$B,ROW(C460)),MATCH(E$7,$D$7:$L$7,0)),"")</f>
        <v/>
      </c>
      <c r="F466" s="60" t="str">
        <f>IFERROR(INDEX('领用录入（明细）'!$B:$L,SMALL($B:$B,ROW(D460)),MATCH(F$7,$D$7:$L$7,0)),"")</f>
        <v/>
      </c>
      <c r="G466" s="60" t="str">
        <f>IFERROR(INDEX('领用录入（明细）'!$B:$L,SMALL($B:$B,ROW(E460)),MATCH(G$7,$D$7:$L$7,0)),"")</f>
        <v/>
      </c>
      <c r="H466" s="60" t="str">
        <f>IFERROR(INDEX('领用录入（明细）'!$B:$L,SMALL($B:$B,ROW(F460)),MATCH(H$7,$D$7:$L$7,0)),"")</f>
        <v/>
      </c>
      <c r="I466" s="60" t="str">
        <f>IFERROR(INDEX('领用录入（明细）'!$B:$L,SMALL($B:$B,ROW(G460)),MATCH(I$7,$D$7:$L$7,0)),"")</f>
        <v/>
      </c>
      <c r="J466" s="60" t="str">
        <f>IFERROR(INDEX('领用录入（明细）'!$B:$L,SMALL($B:$B,ROW(H460)),MATCH(J$7,$D$7:$L$7,0)),"")</f>
        <v/>
      </c>
      <c r="K466" s="60" t="str">
        <f>IFERROR(INDEX('领用录入（明细）'!$B:$L,SMALL($B:$B,ROW(I460)),MATCH(K$7,$D$7:$L$7,0)),"")</f>
        <v/>
      </c>
      <c r="L466" s="60" t="str">
        <f>IFERROR(INDEX('领用录入（明细）'!$B:$L,SMALL($B:$B,ROW(J460)),MATCH(L$7,$D$7:$L$7,0)),"")</f>
        <v/>
      </c>
      <c r="M466" s="60" t="str">
        <f t="shared" si="7"/>
        <v/>
      </c>
    </row>
    <row r="467" customHeight="1" spans="2:13">
      <c r="B467" s="62" t="str">
        <f>IF(AND('领用录入（明细）'!D:D=$F$4,'领用录入（明细）'!C:C&gt;=$J$4,'领用录入（明细）'!C:C&lt;=$L$4),ROW(),"-")</f>
        <v>-</v>
      </c>
      <c r="D467" s="59" t="str">
        <f>IFERROR(INDEX('领用录入（明细）'!$B:$L,SMALL($B:$B,ROW(B461)),MATCH(D$7,$D$7:$L$7,0)),"")</f>
        <v/>
      </c>
      <c r="E467" s="114" t="str">
        <f>IFERROR(INDEX('领用录入（明细）'!$B:$L,SMALL($B:$B,ROW(C461)),MATCH(E$7,$D$7:$L$7,0)),"")</f>
        <v/>
      </c>
      <c r="F467" s="60" t="str">
        <f>IFERROR(INDEX('领用录入（明细）'!$B:$L,SMALL($B:$B,ROW(D461)),MATCH(F$7,$D$7:$L$7,0)),"")</f>
        <v/>
      </c>
      <c r="G467" s="60" t="str">
        <f>IFERROR(INDEX('领用录入（明细）'!$B:$L,SMALL($B:$B,ROW(E461)),MATCH(G$7,$D$7:$L$7,0)),"")</f>
        <v/>
      </c>
      <c r="H467" s="60" t="str">
        <f>IFERROR(INDEX('领用录入（明细）'!$B:$L,SMALL($B:$B,ROW(F461)),MATCH(H$7,$D$7:$L$7,0)),"")</f>
        <v/>
      </c>
      <c r="I467" s="60" t="str">
        <f>IFERROR(INDEX('领用录入（明细）'!$B:$L,SMALL($B:$B,ROW(G461)),MATCH(I$7,$D$7:$L$7,0)),"")</f>
        <v/>
      </c>
      <c r="J467" s="60" t="str">
        <f>IFERROR(INDEX('领用录入（明细）'!$B:$L,SMALL($B:$B,ROW(H461)),MATCH(J$7,$D$7:$L$7,0)),"")</f>
        <v/>
      </c>
      <c r="K467" s="60" t="str">
        <f>IFERROR(INDEX('领用录入（明细）'!$B:$L,SMALL($B:$B,ROW(I461)),MATCH(K$7,$D$7:$L$7,0)),"")</f>
        <v/>
      </c>
      <c r="L467" s="60" t="str">
        <f>IFERROR(INDEX('领用录入（明细）'!$B:$L,SMALL($B:$B,ROW(J461)),MATCH(L$7,$D$7:$L$7,0)),"")</f>
        <v/>
      </c>
      <c r="M467" s="60" t="str">
        <f t="shared" si="7"/>
        <v/>
      </c>
    </row>
    <row r="468" customHeight="1" spans="2:13">
      <c r="B468" s="62" t="str">
        <f>IF(AND('领用录入（明细）'!D:D=$F$4,'领用录入（明细）'!C:C&gt;=$J$4,'领用录入（明细）'!C:C&lt;=$L$4),ROW(),"-")</f>
        <v>-</v>
      </c>
      <c r="D468" s="59" t="str">
        <f>IFERROR(INDEX('领用录入（明细）'!$B:$L,SMALL($B:$B,ROW(B462)),MATCH(D$7,$D$7:$L$7,0)),"")</f>
        <v/>
      </c>
      <c r="E468" s="114" t="str">
        <f>IFERROR(INDEX('领用录入（明细）'!$B:$L,SMALL($B:$B,ROW(C462)),MATCH(E$7,$D$7:$L$7,0)),"")</f>
        <v/>
      </c>
      <c r="F468" s="60" t="str">
        <f>IFERROR(INDEX('领用录入（明细）'!$B:$L,SMALL($B:$B,ROW(D462)),MATCH(F$7,$D$7:$L$7,0)),"")</f>
        <v/>
      </c>
      <c r="G468" s="60" t="str">
        <f>IFERROR(INDEX('领用录入（明细）'!$B:$L,SMALL($B:$B,ROW(E462)),MATCH(G$7,$D$7:$L$7,0)),"")</f>
        <v/>
      </c>
      <c r="H468" s="60" t="str">
        <f>IFERROR(INDEX('领用录入（明细）'!$B:$L,SMALL($B:$B,ROW(F462)),MATCH(H$7,$D$7:$L$7,0)),"")</f>
        <v/>
      </c>
      <c r="I468" s="60" t="str">
        <f>IFERROR(INDEX('领用录入（明细）'!$B:$L,SMALL($B:$B,ROW(G462)),MATCH(I$7,$D$7:$L$7,0)),"")</f>
        <v/>
      </c>
      <c r="J468" s="60" t="str">
        <f>IFERROR(INDEX('领用录入（明细）'!$B:$L,SMALL($B:$B,ROW(H462)),MATCH(J$7,$D$7:$L$7,0)),"")</f>
        <v/>
      </c>
      <c r="K468" s="60" t="str">
        <f>IFERROR(INDEX('领用录入（明细）'!$B:$L,SMALL($B:$B,ROW(I462)),MATCH(K$7,$D$7:$L$7,0)),"")</f>
        <v/>
      </c>
      <c r="L468" s="60" t="str">
        <f>IFERROR(INDEX('领用录入（明细）'!$B:$L,SMALL($B:$B,ROW(J462)),MATCH(L$7,$D$7:$L$7,0)),"")</f>
        <v/>
      </c>
      <c r="M468" s="60" t="str">
        <f t="shared" si="7"/>
        <v/>
      </c>
    </row>
    <row r="469" customHeight="1" spans="2:13">
      <c r="B469" s="62" t="str">
        <f>IF(AND('领用录入（明细）'!D:D=$F$4,'领用录入（明细）'!C:C&gt;=$J$4,'领用录入（明细）'!C:C&lt;=$L$4),ROW(),"-")</f>
        <v>-</v>
      </c>
      <c r="D469" s="59" t="str">
        <f>IFERROR(INDEX('领用录入（明细）'!$B:$L,SMALL($B:$B,ROW(B463)),MATCH(D$7,$D$7:$L$7,0)),"")</f>
        <v/>
      </c>
      <c r="E469" s="114" t="str">
        <f>IFERROR(INDEX('领用录入（明细）'!$B:$L,SMALL($B:$B,ROW(C463)),MATCH(E$7,$D$7:$L$7,0)),"")</f>
        <v/>
      </c>
      <c r="F469" s="60" t="str">
        <f>IFERROR(INDEX('领用录入（明细）'!$B:$L,SMALL($B:$B,ROW(D463)),MATCH(F$7,$D$7:$L$7,0)),"")</f>
        <v/>
      </c>
      <c r="G469" s="60" t="str">
        <f>IFERROR(INDEX('领用录入（明细）'!$B:$L,SMALL($B:$B,ROW(E463)),MATCH(G$7,$D$7:$L$7,0)),"")</f>
        <v/>
      </c>
      <c r="H469" s="60" t="str">
        <f>IFERROR(INDEX('领用录入（明细）'!$B:$L,SMALL($B:$B,ROW(F463)),MATCH(H$7,$D$7:$L$7,0)),"")</f>
        <v/>
      </c>
      <c r="I469" s="60" t="str">
        <f>IFERROR(INDEX('领用录入（明细）'!$B:$L,SMALL($B:$B,ROW(G463)),MATCH(I$7,$D$7:$L$7,0)),"")</f>
        <v/>
      </c>
      <c r="J469" s="60" t="str">
        <f>IFERROR(INDEX('领用录入（明细）'!$B:$L,SMALL($B:$B,ROW(H463)),MATCH(J$7,$D$7:$L$7,0)),"")</f>
        <v/>
      </c>
      <c r="K469" s="60" t="str">
        <f>IFERROR(INDEX('领用录入（明细）'!$B:$L,SMALL($B:$B,ROW(I463)),MATCH(K$7,$D$7:$L$7,0)),"")</f>
        <v/>
      </c>
      <c r="L469" s="60" t="str">
        <f>IFERROR(INDEX('领用录入（明细）'!$B:$L,SMALL($B:$B,ROW(J463)),MATCH(L$7,$D$7:$L$7,0)),"")</f>
        <v/>
      </c>
      <c r="M469" s="60" t="str">
        <f t="shared" si="7"/>
        <v/>
      </c>
    </row>
    <row r="470" customHeight="1" spans="2:13">
      <c r="B470" s="62" t="str">
        <f>IF(AND('领用录入（明细）'!D:D=$F$4,'领用录入（明细）'!C:C&gt;=$J$4,'领用录入（明细）'!C:C&lt;=$L$4),ROW(),"-")</f>
        <v>-</v>
      </c>
      <c r="D470" s="59" t="str">
        <f>IFERROR(INDEX('领用录入（明细）'!$B:$L,SMALL($B:$B,ROW(B464)),MATCH(D$7,$D$7:$L$7,0)),"")</f>
        <v/>
      </c>
      <c r="E470" s="114" t="str">
        <f>IFERROR(INDEX('领用录入（明细）'!$B:$L,SMALL($B:$B,ROW(C464)),MATCH(E$7,$D$7:$L$7,0)),"")</f>
        <v/>
      </c>
      <c r="F470" s="60" t="str">
        <f>IFERROR(INDEX('领用录入（明细）'!$B:$L,SMALL($B:$B,ROW(D464)),MATCH(F$7,$D$7:$L$7,0)),"")</f>
        <v/>
      </c>
      <c r="G470" s="60" t="str">
        <f>IFERROR(INDEX('领用录入（明细）'!$B:$L,SMALL($B:$B,ROW(E464)),MATCH(G$7,$D$7:$L$7,0)),"")</f>
        <v/>
      </c>
      <c r="H470" s="60" t="str">
        <f>IFERROR(INDEX('领用录入（明细）'!$B:$L,SMALL($B:$B,ROW(F464)),MATCH(H$7,$D$7:$L$7,0)),"")</f>
        <v/>
      </c>
      <c r="I470" s="60" t="str">
        <f>IFERROR(INDEX('领用录入（明细）'!$B:$L,SMALL($B:$B,ROW(G464)),MATCH(I$7,$D$7:$L$7,0)),"")</f>
        <v/>
      </c>
      <c r="J470" s="60" t="str">
        <f>IFERROR(INDEX('领用录入（明细）'!$B:$L,SMALL($B:$B,ROW(H464)),MATCH(J$7,$D$7:$L$7,0)),"")</f>
        <v/>
      </c>
      <c r="K470" s="60" t="str">
        <f>IFERROR(INDEX('领用录入（明细）'!$B:$L,SMALL($B:$B,ROW(I464)),MATCH(K$7,$D$7:$L$7,0)),"")</f>
        <v/>
      </c>
      <c r="L470" s="60" t="str">
        <f>IFERROR(INDEX('领用录入（明细）'!$B:$L,SMALL($B:$B,ROW(J464)),MATCH(L$7,$D$7:$L$7,0)),"")</f>
        <v/>
      </c>
      <c r="M470" s="60" t="str">
        <f t="shared" si="7"/>
        <v/>
      </c>
    </row>
    <row r="471" customHeight="1" spans="2:13">
      <c r="B471" s="62" t="str">
        <f>IF(AND('领用录入（明细）'!D:D=$F$4,'领用录入（明细）'!C:C&gt;=$J$4,'领用录入（明细）'!C:C&lt;=$L$4),ROW(),"-")</f>
        <v>-</v>
      </c>
      <c r="D471" s="59" t="str">
        <f>IFERROR(INDEX('领用录入（明细）'!$B:$L,SMALL($B:$B,ROW(B465)),MATCH(D$7,$D$7:$L$7,0)),"")</f>
        <v/>
      </c>
      <c r="E471" s="114" t="str">
        <f>IFERROR(INDEX('领用录入（明细）'!$B:$L,SMALL($B:$B,ROW(C465)),MATCH(E$7,$D$7:$L$7,0)),"")</f>
        <v/>
      </c>
      <c r="F471" s="60" t="str">
        <f>IFERROR(INDEX('领用录入（明细）'!$B:$L,SMALL($B:$B,ROW(D465)),MATCH(F$7,$D$7:$L$7,0)),"")</f>
        <v/>
      </c>
      <c r="G471" s="60" t="str">
        <f>IFERROR(INDEX('领用录入（明细）'!$B:$L,SMALL($B:$B,ROW(E465)),MATCH(G$7,$D$7:$L$7,0)),"")</f>
        <v/>
      </c>
      <c r="H471" s="60" t="str">
        <f>IFERROR(INDEX('领用录入（明细）'!$B:$L,SMALL($B:$B,ROW(F465)),MATCH(H$7,$D$7:$L$7,0)),"")</f>
        <v/>
      </c>
      <c r="I471" s="60" t="str">
        <f>IFERROR(INDEX('领用录入（明细）'!$B:$L,SMALL($B:$B,ROW(G465)),MATCH(I$7,$D$7:$L$7,0)),"")</f>
        <v/>
      </c>
      <c r="J471" s="60" t="str">
        <f>IFERROR(INDEX('领用录入（明细）'!$B:$L,SMALL($B:$B,ROW(H465)),MATCH(J$7,$D$7:$L$7,0)),"")</f>
        <v/>
      </c>
      <c r="K471" s="60" t="str">
        <f>IFERROR(INDEX('领用录入（明细）'!$B:$L,SMALL($B:$B,ROW(I465)),MATCH(K$7,$D$7:$L$7,0)),"")</f>
        <v/>
      </c>
      <c r="L471" s="60" t="str">
        <f>IFERROR(INDEX('领用录入（明细）'!$B:$L,SMALL($B:$B,ROW(J465)),MATCH(L$7,$D$7:$L$7,0)),"")</f>
        <v/>
      </c>
      <c r="M471" s="60" t="str">
        <f t="shared" si="7"/>
        <v/>
      </c>
    </row>
    <row r="472" customHeight="1" spans="2:13">
      <c r="B472" s="62" t="str">
        <f>IF(AND('领用录入（明细）'!D:D=$F$4,'领用录入（明细）'!C:C&gt;=$J$4,'领用录入（明细）'!C:C&lt;=$L$4),ROW(),"-")</f>
        <v>-</v>
      </c>
      <c r="D472" s="59" t="str">
        <f>IFERROR(INDEX('领用录入（明细）'!$B:$L,SMALL($B:$B,ROW(B466)),MATCH(D$7,$D$7:$L$7,0)),"")</f>
        <v/>
      </c>
      <c r="E472" s="114" t="str">
        <f>IFERROR(INDEX('领用录入（明细）'!$B:$L,SMALL($B:$B,ROW(C466)),MATCH(E$7,$D$7:$L$7,0)),"")</f>
        <v/>
      </c>
      <c r="F472" s="60" t="str">
        <f>IFERROR(INDEX('领用录入（明细）'!$B:$L,SMALL($B:$B,ROW(D466)),MATCH(F$7,$D$7:$L$7,0)),"")</f>
        <v/>
      </c>
      <c r="G472" s="60" t="str">
        <f>IFERROR(INDEX('领用录入（明细）'!$B:$L,SMALL($B:$B,ROW(E466)),MATCH(G$7,$D$7:$L$7,0)),"")</f>
        <v/>
      </c>
      <c r="H472" s="60" t="str">
        <f>IFERROR(INDEX('领用录入（明细）'!$B:$L,SMALL($B:$B,ROW(F466)),MATCH(H$7,$D$7:$L$7,0)),"")</f>
        <v/>
      </c>
      <c r="I472" s="60" t="str">
        <f>IFERROR(INDEX('领用录入（明细）'!$B:$L,SMALL($B:$B,ROW(G466)),MATCH(I$7,$D$7:$L$7,0)),"")</f>
        <v/>
      </c>
      <c r="J472" s="60" t="str">
        <f>IFERROR(INDEX('领用录入（明细）'!$B:$L,SMALL($B:$B,ROW(H466)),MATCH(J$7,$D$7:$L$7,0)),"")</f>
        <v/>
      </c>
      <c r="K472" s="60" t="str">
        <f>IFERROR(INDEX('领用录入（明细）'!$B:$L,SMALL($B:$B,ROW(I466)),MATCH(K$7,$D$7:$L$7,0)),"")</f>
        <v/>
      </c>
      <c r="L472" s="60" t="str">
        <f>IFERROR(INDEX('领用录入（明细）'!$B:$L,SMALL($B:$B,ROW(J466)),MATCH(L$7,$D$7:$L$7,0)),"")</f>
        <v/>
      </c>
      <c r="M472" s="60" t="str">
        <f t="shared" si="7"/>
        <v/>
      </c>
    </row>
    <row r="473" customHeight="1" spans="2:13">
      <c r="B473" s="62" t="str">
        <f>IF(AND('领用录入（明细）'!D:D=$F$4,'领用录入（明细）'!C:C&gt;=$J$4,'领用录入（明细）'!C:C&lt;=$L$4),ROW(),"-")</f>
        <v>-</v>
      </c>
      <c r="D473" s="59" t="str">
        <f>IFERROR(INDEX('领用录入（明细）'!$B:$L,SMALL($B:$B,ROW(B467)),MATCH(D$7,$D$7:$L$7,0)),"")</f>
        <v/>
      </c>
      <c r="E473" s="114" t="str">
        <f>IFERROR(INDEX('领用录入（明细）'!$B:$L,SMALL($B:$B,ROW(C467)),MATCH(E$7,$D$7:$L$7,0)),"")</f>
        <v/>
      </c>
      <c r="F473" s="60" t="str">
        <f>IFERROR(INDEX('领用录入（明细）'!$B:$L,SMALL($B:$B,ROW(D467)),MATCH(F$7,$D$7:$L$7,0)),"")</f>
        <v/>
      </c>
      <c r="G473" s="60" t="str">
        <f>IFERROR(INDEX('领用录入（明细）'!$B:$L,SMALL($B:$B,ROW(E467)),MATCH(G$7,$D$7:$L$7,0)),"")</f>
        <v/>
      </c>
      <c r="H473" s="60" t="str">
        <f>IFERROR(INDEX('领用录入（明细）'!$B:$L,SMALL($B:$B,ROW(F467)),MATCH(H$7,$D$7:$L$7,0)),"")</f>
        <v/>
      </c>
      <c r="I473" s="60" t="str">
        <f>IFERROR(INDEX('领用录入（明细）'!$B:$L,SMALL($B:$B,ROW(G467)),MATCH(I$7,$D$7:$L$7,0)),"")</f>
        <v/>
      </c>
      <c r="J473" s="60" t="str">
        <f>IFERROR(INDEX('领用录入（明细）'!$B:$L,SMALL($B:$B,ROW(H467)),MATCH(J$7,$D$7:$L$7,0)),"")</f>
        <v/>
      </c>
      <c r="K473" s="60" t="str">
        <f>IFERROR(INDEX('领用录入（明细）'!$B:$L,SMALL($B:$B,ROW(I467)),MATCH(K$7,$D$7:$L$7,0)),"")</f>
        <v/>
      </c>
      <c r="L473" s="60" t="str">
        <f>IFERROR(INDEX('领用录入（明细）'!$B:$L,SMALL($B:$B,ROW(J467)),MATCH(L$7,$D$7:$L$7,0)),"")</f>
        <v/>
      </c>
      <c r="M473" s="60" t="str">
        <f t="shared" si="7"/>
        <v/>
      </c>
    </row>
    <row r="474" customHeight="1" spans="2:13">
      <c r="B474" s="62" t="str">
        <f>IF(AND('领用录入（明细）'!D:D=$F$4,'领用录入（明细）'!C:C&gt;=$J$4,'领用录入（明细）'!C:C&lt;=$L$4),ROW(),"-")</f>
        <v>-</v>
      </c>
      <c r="D474" s="59" t="str">
        <f>IFERROR(INDEX('领用录入（明细）'!$B:$L,SMALL($B:$B,ROW(B468)),MATCH(D$7,$D$7:$L$7,0)),"")</f>
        <v/>
      </c>
      <c r="E474" s="114" t="str">
        <f>IFERROR(INDEX('领用录入（明细）'!$B:$L,SMALL($B:$B,ROW(C468)),MATCH(E$7,$D$7:$L$7,0)),"")</f>
        <v/>
      </c>
      <c r="F474" s="60" t="str">
        <f>IFERROR(INDEX('领用录入（明细）'!$B:$L,SMALL($B:$B,ROW(D468)),MATCH(F$7,$D$7:$L$7,0)),"")</f>
        <v/>
      </c>
      <c r="G474" s="60" t="str">
        <f>IFERROR(INDEX('领用录入（明细）'!$B:$L,SMALL($B:$B,ROW(E468)),MATCH(G$7,$D$7:$L$7,0)),"")</f>
        <v/>
      </c>
      <c r="H474" s="60" t="str">
        <f>IFERROR(INDEX('领用录入（明细）'!$B:$L,SMALL($B:$B,ROW(F468)),MATCH(H$7,$D$7:$L$7,0)),"")</f>
        <v/>
      </c>
      <c r="I474" s="60" t="str">
        <f>IFERROR(INDEX('领用录入（明细）'!$B:$L,SMALL($B:$B,ROW(G468)),MATCH(I$7,$D$7:$L$7,0)),"")</f>
        <v/>
      </c>
      <c r="J474" s="60" t="str">
        <f>IFERROR(INDEX('领用录入（明细）'!$B:$L,SMALL($B:$B,ROW(H468)),MATCH(J$7,$D$7:$L$7,0)),"")</f>
        <v/>
      </c>
      <c r="K474" s="60" t="str">
        <f>IFERROR(INDEX('领用录入（明细）'!$B:$L,SMALL($B:$B,ROW(I468)),MATCH(K$7,$D$7:$L$7,0)),"")</f>
        <v/>
      </c>
      <c r="L474" s="60" t="str">
        <f>IFERROR(INDEX('领用录入（明细）'!$B:$L,SMALL($B:$B,ROW(J468)),MATCH(L$7,$D$7:$L$7,0)),"")</f>
        <v/>
      </c>
      <c r="M474" s="60" t="str">
        <f t="shared" si="7"/>
        <v/>
      </c>
    </row>
    <row r="475" customHeight="1" spans="2:13">
      <c r="B475" s="62" t="str">
        <f>IF(AND('领用录入（明细）'!D:D=$F$4,'领用录入（明细）'!C:C&gt;=$J$4,'领用录入（明细）'!C:C&lt;=$L$4),ROW(),"-")</f>
        <v>-</v>
      </c>
      <c r="D475" s="59" t="str">
        <f>IFERROR(INDEX('领用录入（明细）'!$B:$L,SMALL($B:$B,ROW(B469)),MATCH(D$7,$D$7:$L$7,0)),"")</f>
        <v/>
      </c>
      <c r="E475" s="114" t="str">
        <f>IFERROR(INDEX('领用录入（明细）'!$B:$L,SMALL($B:$B,ROW(C469)),MATCH(E$7,$D$7:$L$7,0)),"")</f>
        <v/>
      </c>
      <c r="F475" s="60" t="str">
        <f>IFERROR(INDEX('领用录入（明细）'!$B:$L,SMALL($B:$B,ROW(D469)),MATCH(F$7,$D$7:$L$7,0)),"")</f>
        <v/>
      </c>
      <c r="G475" s="60" t="str">
        <f>IFERROR(INDEX('领用录入（明细）'!$B:$L,SMALL($B:$B,ROW(E469)),MATCH(G$7,$D$7:$L$7,0)),"")</f>
        <v/>
      </c>
      <c r="H475" s="60" t="str">
        <f>IFERROR(INDEX('领用录入（明细）'!$B:$L,SMALL($B:$B,ROW(F469)),MATCH(H$7,$D$7:$L$7,0)),"")</f>
        <v/>
      </c>
      <c r="I475" s="60" t="str">
        <f>IFERROR(INDEX('领用录入（明细）'!$B:$L,SMALL($B:$B,ROW(G469)),MATCH(I$7,$D$7:$L$7,0)),"")</f>
        <v/>
      </c>
      <c r="J475" s="60" t="str">
        <f>IFERROR(INDEX('领用录入（明细）'!$B:$L,SMALL($B:$B,ROW(H469)),MATCH(J$7,$D$7:$L$7,0)),"")</f>
        <v/>
      </c>
      <c r="K475" s="60" t="str">
        <f>IFERROR(INDEX('领用录入（明细）'!$B:$L,SMALL($B:$B,ROW(I469)),MATCH(K$7,$D$7:$L$7,0)),"")</f>
        <v/>
      </c>
      <c r="L475" s="60" t="str">
        <f>IFERROR(INDEX('领用录入（明细）'!$B:$L,SMALL($B:$B,ROW(J469)),MATCH(L$7,$D$7:$L$7,0)),"")</f>
        <v/>
      </c>
      <c r="M475" s="60" t="str">
        <f t="shared" si="7"/>
        <v/>
      </c>
    </row>
    <row r="476" customHeight="1" spans="2:13">
      <c r="B476" s="62" t="str">
        <f>IF(AND('领用录入（明细）'!D:D=$F$4,'领用录入（明细）'!C:C&gt;=$J$4,'领用录入（明细）'!C:C&lt;=$L$4),ROW(),"-")</f>
        <v>-</v>
      </c>
      <c r="D476" s="59" t="str">
        <f>IFERROR(INDEX('领用录入（明细）'!$B:$L,SMALL($B:$B,ROW(B470)),MATCH(D$7,$D$7:$L$7,0)),"")</f>
        <v/>
      </c>
      <c r="E476" s="114" t="str">
        <f>IFERROR(INDEX('领用录入（明细）'!$B:$L,SMALL($B:$B,ROW(C470)),MATCH(E$7,$D$7:$L$7,0)),"")</f>
        <v/>
      </c>
      <c r="F476" s="60" t="str">
        <f>IFERROR(INDEX('领用录入（明细）'!$B:$L,SMALL($B:$B,ROW(D470)),MATCH(F$7,$D$7:$L$7,0)),"")</f>
        <v/>
      </c>
      <c r="G476" s="60" t="str">
        <f>IFERROR(INDEX('领用录入（明细）'!$B:$L,SMALL($B:$B,ROW(E470)),MATCH(G$7,$D$7:$L$7,0)),"")</f>
        <v/>
      </c>
      <c r="H476" s="60" t="str">
        <f>IFERROR(INDEX('领用录入（明细）'!$B:$L,SMALL($B:$B,ROW(F470)),MATCH(H$7,$D$7:$L$7,0)),"")</f>
        <v/>
      </c>
      <c r="I476" s="60" t="str">
        <f>IFERROR(INDEX('领用录入（明细）'!$B:$L,SMALL($B:$B,ROW(G470)),MATCH(I$7,$D$7:$L$7,0)),"")</f>
        <v/>
      </c>
      <c r="J476" s="60" t="str">
        <f>IFERROR(INDEX('领用录入（明细）'!$B:$L,SMALL($B:$B,ROW(H470)),MATCH(J$7,$D$7:$L$7,0)),"")</f>
        <v/>
      </c>
      <c r="K476" s="60" t="str">
        <f>IFERROR(INDEX('领用录入（明细）'!$B:$L,SMALL($B:$B,ROW(I470)),MATCH(K$7,$D$7:$L$7,0)),"")</f>
        <v/>
      </c>
      <c r="L476" s="60" t="str">
        <f>IFERROR(INDEX('领用录入（明细）'!$B:$L,SMALL($B:$B,ROW(J470)),MATCH(L$7,$D$7:$L$7,0)),"")</f>
        <v/>
      </c>
      <c r="M476" s="60" t="str">
        <f t="shared" si="7"/>
        <v/>
      </c>
    </row>
    <row r="477" customHeight="1" spans="2:13">
      <c r="B477" s="62" t="str">
        <f>IF(AND('领用录入（明细）'!D:D=$F$4,'领用录入（明细）'!C:C&gt;=$J$4,'领用录入（明细）'!C:C&lt;=$L$4),ROW(),"-")</f>
        <v>-</v>
      </c>
      <c r="D477" s="59" t="str">
        <f>IFERROR(INDEX('领用录入（明细）'!$B:$L,SMALL($B:$B,ROW(B471)),MATCH(D$7,$D$7:$L$7,0)),"")</f>
        <v/>
      </c>
      <c r="E477" s="114" t="str">
        <f>IFERROR(INDEX('领用录入（明细）'!$B:$L,SMALL($B:$B,ROW(C471)),MATCH(E$7,$D$7:$L$7,0)),"")</f>
        <v/>
      </c>
      <c r="F477" s="60" t="str">
        <f>IFERROR(INDEX('领用录入（明细）'!$B:$L,SMALL($B:$B,ROW(D471)),MATCH(F$7,$D$7:$L$7,0)),"")</f>
        <v/>
      </c>
      <c r="G477" s="60" t="str">
        <f>IFERROR(INDEX('领用录入（明细）'!$B:$L,SMALL($B:$B,ROW(E471)),MATCH(G$7,$D$7:$L$7,0)),"")</f>
        <v/>
      </c>
      <c r="H477" s="60" t="str">
        <f>IFERROR(INDEX('领用录入（明细）'!$B:$L,SMALL($B:$B,ROW(F471)),MATCH(H$7,$D$7:$L$7,0)),"")</f>
        <v/>
      </c>
      <c r="I477" s="60" t="str">
        <f>IFERROR(INDEX('领用录入（明细）'!$B:$L,SMALL($B:$B,ROW(G471)),MATCH(I$7,$D$7:$L$7,0)),"")</f>
        <v/>
      </c>
      <c r="J477" s="60" t="str">
        <f>IFERROR(INDEX('领用录入（明细）'!$B:$L,SMALL($B:$B,ROW(H471)),MATCH(J$7,$D$7:$L$7,0)),"")</f>
        <v/>
      </c>
      <c r="K477" s="60" t="str">
        <f>IFERROR(INDEX('领用录入（明细）'!$B:$L,SMALL($B:$B,ROW(I471)),MATCH(K$7,$D$7:$L$7,0)),"")</f>
        <v/>
      </c>
      <c r="L477" s="60" t="str">
        <f>IFERROR(INDEX('领用录入（明细）'!$B:$L,SMALL($B:$B,ROW(J471)),MATCH(L$7,$D$7:$L$7,0)),"")</f>
        <v/>
      </c>
      <c r="M477" s="60" t="str">
        <f t="shared" si="7"/>
        <v/>
      </c>
    </row>
    <row r="478" customHeight="1" spans="2:13">
      <c r="B478" s="62" t="str">
        <f>IF(AND('领用录入（明细）'!D:D=$F$4,'领用录入（明细）'!C:C&gt;=$J$4,'领用录入（明细）'!C:C&lt;=$L$4),ROW(),"-")</f>
        <v>-</v>
      </c>
      <c r="D478" s="59" t="str">
        <f>IFERROR(INDEX('领用录入（明细）'!$B:$L,SMALL($B:$B,ROW(B472)),MATCH(D$7,$D$7:$L$7,0)),"")</f>
        <v/>
      </c>
      <c r="E478" s="114" t="str">
        <f>IFERROR(INDEX('领用录入（明细）'!$B:$L,SMALL($B:$B,ROW(C472)),MATCH(E$7,$D$7:$L$7,0)),"")</f>
        <v/>
      </c>
      <c r="F478" s="60" t="str">
        <f>IFERROR(INDEX('领用录入（明细）'!$B:$L,SMALL($B:$B,ROW(D472)),MATCH(F$7,$D$7:$L$7,0)),"")</f>
        <v/>
      </c>
      <c r="G478" s="60" t="str">
        <f>IFERROR(INDEX('领用录入（明细）'!$B:$L,SMALL($B:$B,ROW(E472)),MATCH(G$7,$D$7:$L$7,0)),"")</f>
        <v/>
      </c>
      <c r="H478" s="60" t="str">
        <f>IFERROR(INDEX('领用录入（明细）'!$B:$L,SMALL($B:$B,ROW(F472)),MATCH(H$7,$D$7:$L$7,0)),"")</f>
        <v/>
      </c>
      <c r="I478" s="60" t="str">
        <f>IFERROR(INDEX('领用录入（明细）'!$B:$L,SMALL($B:$B,ROW(G472)),MATCH(I$7,$D$7:$L$7,0)),"")</f>
        <v/>
      </c>
      <c r="J478" s="60" t="str">
        <f>IFERROR(INDEX('领用录入（明细）'!$B:$L,SMALL($B:$B,ROW(H472)),MATCH(J$7,$D$7:$L$7,0)),"")</f>
        <v/>
      </c>
      <c r="K478" s="60" t="str">
        <f>IFERROR(INDEX('领用录入（明细）'!$B:$L,SMALL($B:$B,ROW(I472)),MATCH(K$7,$D$7:$L$7,0)),"")</f>
        <v/>
      </c>
      <c r="L478" s="60" t="str">
        <f>IFERROR(INDEX('领用录入（明细）'!$B:$L,SMALL($B:$B,ROW(J472)),MATCH(L$7,$D$7:$L$7,0)),"")</f>
        <v/>
      </c>
      <c r="M478" s="60" t="str">
        <f t="shared" si="7"/>
        <v/>
      </c>
    </row>
    <row r="479" customHeight="1" spans="2:13">
      <c r="B479" s="62" t="str">
        <f>IF(AND('领用录入（明细）'!D:D=$F$4,'领用录入（明细）'!C:C&gt;=$J$4,'领用录入（明细）'!C:C&lt;=$L$4),ROW(),"-")</f>
        <v>-</v>
      </c>
      <c r="D479" s="59" t="str">
        <f>IFERROR(INDEX('领用录入（明细）'!$B:$L,SMALL($B:$B,ROW(B473)),MATCH(D$7,$D$7:$L$7,0)),"")</f>
        <v/>
      </c>
      <c r="E479" s="114" t="str">
        <f>IFERROR(INDEX('领用录入（明细）'!$B:$L,SMALL($B:$B,ROW(C473)),MATCH(E$7,$D$7:$L$7,0)),"")</f>
        <v/>
      </c>
      <c r="F479" s="60" t="str">
        <f>IFERROR(INDEX('领用录入（明细）'!$B:$L,SMALL($B:$B,ROW(D473)),MATCH(F$7,$D$7:$L$7,0)),"")</f>
        <v/>
      </c>
      <c r="G479" s="60" t="str">
        <f>IFERROR(INDEX('领用录入（明细）'!$B:$L,SMALL($B:$B,ROW(E473)),MATCH(G$7,$D$7:$L$7,0)),"")</f>
        <v/>
      </c>
      <c r="H479" s="60" t="str">
        <f>IFERROR(INDEX('领用录入（明细）'!$B:$L,SMALL($B:$B,ROW(F473)),MATCH(H$7,$D$7:$L$7,0)),"")</f>
        <v/>
      </c>
      <c r="I479" s="60" t="str">
        <f>IFERROR(INDEX('领用录入（明细）'!$B:$L,SMALL($B:$B,ROW(G473)),MATCH(I$7,$D$7:$L$7,0)),"")</f>
        <v/>
      </c>
      <c r="J479" s="60" t="str">
        <f>IFERROR(INDEX('领用录入（明细）'!$B:$L,SMALL($B:$B,ROW(H473)),MATCH(J$7,$D$7:$L$7,0)),"")</f>
        <v/>
      </c>
      <c r="K479" s="60" t="str">
        <f>IFERROR(INDEX('领用录入（明细）'!$B:$L,SMALL($B:$B,ROW(I473)),MATCH(K$7,$D$7:$L$7,0)),"")</f>
        <v/>
      </c>
      <c r="L479" s="60" t="str">
        <f>IFERROR(INDEX('领用录入（明细）'!$B:$L,SMALL($B:$B,ROW(J473)),MATCH(L$7,$D$7:$L$7,0)),"")</f>
        <v/>
      </c>
      <c r="M479" s="60" t="str">
        <f t="shared" si="7"/>
        <v/>
      </c>
    </row>
    <row r="480" customHeight="1" spans="2:13">
      <c r="B480" s="62" t="str">
        <f>IF(AND('领用录入（明细）'!D:D=$F$4,'领用录入（明细）'!C:C&gt;=$J$4,'领用录入（明细）'!C:C&lt;=$L$4),ROW(),"-")</f>
        <v>-</v>
      </c>
      <c r="D480" s="59" t="str">
        <f>IFERROR(INDEX('领用录入（明细）'!$B:$L,SMALL($B:$B,ROW(B474)),MATCH(D$7,$D$7:$L$7,0)),"")</f>
        <v/>
      </c>
      <c r="E480" s="114" t="str">
        <f>IFERROR(INDEX('领用录入（明细）'!$B:$L,SMALL($B:$B,ROW(C474)),MATCH(E$7,$D$7:$L$7,0)),"")</f>
        <v/>
      </c>
      <c r="F480" s="60" t="str">
        <f>IFERROR(INDEX('领用录入（明细）'!$B:$L,SMALL($B:$B,ROW(D474)),MATCH(F$7,$D$7:$L$7,0)),"")</f>
        <v/>
      </c>
      <c r="G480" s="60" t="str">
        <f>IFERROR(INDEX('领用录入（明细）'!$B:$L,SMALL($B:$B,ROW(E474)),MATCH(G$7,$D$7:$L$7,0)),"")</f>
        <v/>
      </c>
      <c r="H480" s="60" t="str">
        <f>IFERROR(INDEX('领用录入（明细）'!$B:$L,SMALL($B:$B,ROW(F474)),MATCH(H$7,$D$7:$L$7,0)),"")</f>
        <v/>
      </c>
      <c r="I480" s="60" t="str">
        <f>IFERROR(INDEX('领用录入（明细）'!$B:$L,SMALL($B:$B,ROW(G474)),MATCH(I$7,$D$7:$L$7,0)),"")</f>
        <v/>
      </c>
      <c r="J480" s="60" t="str">
        <f>IFERROR(INDEX('领用录入（明细）'!$B:$L,SMALL($B:$B,ROW(H474)),MATCH(J$7,$D$7:$L$7,0)),"")</f>
        <v/>
      </c>
      <c r="K480" s="60" t="str">
        <f>IFERROR(INDEX('领用录入（明细）'!$B:$L,SMALL($B:$B,ROW(I474)),MATCH(K$7,$D$7:$L$7,0)),"")</f>
        <v/>
      </c>
      <c r="L480" s="60" t="str">
        <f>IFERROR(INDEX('领用录入（明细）'!$B:$L,SMALL($B:$B,ROW(J474)),MATCH(L$7,$D$7:$L$7,0)),"")</f>
        <v/>
      </c>
      <c r="M480" s="60" t="str">
        <f t="shared" si="7"/>
        <v/>
      </c>
    </row>
    <row r="481" customHeight="1" spans="2:13">
      <c r="B481" s="62" t="str">
        <f>IF(AND('领用录入（明细）'!D:D=$F$4,'领用录入（明细）'!C:C&gt;=$J$4,'领用录入（明细）'!C:C&lt;=$L$4),ROW(),"-")</f>
        <v>-</v>
      </c>
      <c r="D481" s="59" t="str">
        <f>IFERROR(INDEX('领用录入（明细）'!$B:$L,SMALL($B:$B,ROW(B475)),MATCH(D$7,$D$7:$L$7,0)),"")</f>
        <v/>
      </c>
      <c r="E481" s="114" t="str">
        <f>IFERROR(INDEX('领用录入（明细）'!$B:$L,SMALL($B:$B,ROW(C475)),MATCH(E$7,$D$7:$L$7,0)),"")</f>
        <v/>
      </c>
      <c r="F481" s="60" t="str">
        <f>IFERROR(INDEX('领用录入（明细）'!$B:$L,SMALL($B:$B,ROW(D475)),MATCH(F$7,$D$7:$L$7,0)),"")</f>
        <v/>
      </c>
      <c r="G481" s="60" t="str">
        <f>IFERROR(INDEX('领用录入（明细）'!$B:$L,SMALL($B:$B,ROW(E475)),MATCH(G$7,$D$7:$L$7,0)),"")</f>
        <v/>
      </c>
      <c r="H481" s="60" t="str">
        <f>IFERROR(INDEX('领用录入（明细）'!$B:$L,SMALL($B:$B,ROW(F475)),MATCH(H$7,$D$7:$L$7,0)),"")</f>
        <v/>
      </c>
      <c r="I481" s="60" t="str">
        <f>IFERROR(INDEX('领用录入（明细）'!$B:$L,SMALL($B:$B,ROW(G475)),MATCH(I$7,$D$7:$L$7,0)),"")</f>
        <v/>
      </c>
      <c r="J481" s="60" t="str">
        <f>IFERROR(INDEX('领用录入（明细）'!$B:$L,SMALL($B:$B,ROW(H475)),MATCH(J$7,$D$7:$L$7,0)),"")</f>
        <v/>
      </c>
      <c r="K481" s="60" t="str">
        <f>IFERROR(INDEX('领用录入（明细）'!$B:$L,SMALL($B:$B,ROW(I475)),MATCH(K$7,$D$7:$L$7,0)),"")</f>
        <v/>
      </c>
      <c r="L481" s="60" t="str">
        <f>IFERROR(INDEX('领用录入（明细）'!$B:$L,SMALL($B:$B,ROW(J475)),MATCH(L$7,$D$7:$L$7,0)),"")</f>
        <v/>
      </c>
      <c r="M481" s="60" t="str">
        <f t="shared" si="7"/>
        <v/>
      </c>
    </row>
    <row r="482" customHeight="1" spans="2:13">
      <c r="B482" s="62" t="str">
        <f>IF(AND('领用录入（明细）'!D:D=$F$4,'领用录入（明细）'!C:C&gt;=$J$4,'领用录入（明细）'!C:C&lt;=$L$4),ROW(),"-")</f>
        <v>-</v>
      </c>
      <c r="D482" s="59" t="str">
        <f>IFERROR(INDEX('领用录入（明细）'!$B:$L,SMALL($B:$B,ROW(B476)),MATCH(D$7,$D$7:$L$7,0)),"")</f>
        <v/>
      </c>
      <c r="E482" s="114" t="str">
        <f>IFERROR(INDEX('领用录入（明细）'!$B:$L,SMALL($B:$B,ROW(C476)),MATCH(E$7,$D$7:$L$7,0)),"")</f>
        <v/>
      </c>
      <c r="F482" s="60" t="str">
        <f>IFERROR(INDEX('领用录入（明细）'!$B:$L,SMALL($B:$B,ROW(D476)),MATCH(F$7,$D$7:$L$7,0)),"")</f>
        <v/>
      </c>
      <c r="G482" s="60" t="str">
        <f>IFERROR(INDEX('领用录入（明细）'!$B:$L,SMALL($B:$B,ROW(E476)),MATCH(G$7,$D$7:$L$7,0)),"")</f>
        <v/>
      </c>
      <c r="H482" s="60" t="str">
        <f>IFERROR(INDEX('领用录入（明细）'!$B:$L,SMALL($B:$B,ROW(F476)),MATCH(H$7,$D$7:$L$7,0)),"")</f>
        <v/>
      </c>
      <c r="I482" s="60" t="str">
        <f>IFERROR(INDEX('领用录入（明细）'!$B:$L,SMALL($B:$B,ROW(G476)),MATCH(I$7,$D$7:$L$7,0)),"")</f>
        <v/>
      </c>
      <c r="J482" s="60" t="str">
        <f>IFERROR(INDEX('领用录入（明细）'!$B:$L,SMALL($B:$B,ROW(H476)),MATCH(J$7,$D$7:$L$7,0)),"")</f>
        <v/>
      </c>
      <c r="K482" s="60" t="str">
        <f>IFERROR(INDEX('领用录入（明细）'!$B:$L,SMALL($B:$B,ROW(I476)),MATCH(K$7,$D$7:$L$7,0)),"")</f>
        <v/>
      </c>
      <c r="L482" s="60" t="str">
        <f>IFERROR(INDEX('领用录入（明细）'!$B:$L,SMALL($B:$B,ROW(J476)),MATCH(L$7,$D$7:$L$7,0)),"")</f>
        <v/>
      </c>
      <c r="M482" s="60" t="str">
        <f t="shared" si="7"/>
        <v/>
      </c>
    </row>
    <row r="483" customHeight="1" spans="2:13">
      <c r="B483" s="62" t="str">
        <f>IF(AND('领用录入（明细）'!D:D=$F$4,'领用录入（明细）'!C:C&gt;=$J$4,'领用录入（明细）'!C:C&lt;=$L$4),ROW(),"-")</f>
        <v>-</v>
      </c>
      <c r="D483" s="59" t="str">
        <f>IFERROR(INDEX('领用录入（明细）'!$B:$L,SMALL($B:$B,ROW(B477)),MATCH(D$7,$D$7:$L$7,0)),"")</f>
        <v/>
      </c>
      <c r="E483" s="114" t="str">
        <f>IFERROR(INDEX('领用录入（明细）'!$B:$L,SMALL($B:$B,ROW(C477)),MATCH(E$7,$D$7:$L$7,0)),"")</f>
        <v/>
      </c>
      <c r="F483" s="60" t="str">
        <f>IFERROR(INDEX('领用录入（明细）'!$B:$L,SMALL($B:$B,ROW(D477)),MATCH(F$7,$D$7:$L$7,0)),"")</f>
        <v/>
      </c>
      <c r="G483" s="60" t="str">
        <f>IFERROR(INDEX('领用录入（明细）'!$B:$L,SMALL($B:$B,ROW(E477)),MATCH(G$7,$D$7:$L$7,0)),"")</f>
        <v/>
      </c>
      <c r="H483" s="60" t="str">
        <f>IFERROR(INDEX('领用录入（明细）'!$B:$L,SMALL($B:$B,ROW(F477)),MATCH(H$7,$D$7:$L$7,0)),"")</f>
        <v/>
      </c>
      <c r="I483" s="60" t="str">
        <f>IFERROR(INDEX('领用录入（明细）'!$B:$L,SMALL($B:$B,ROW(G477)),MATCH(I$7,$D$7:$L$7,0)),"")</f>
        <v/>
      </c>
      <c r="J483" s="60" t="str">
        <f>IFERROR(INDEX('领用录入（明细）'!$B:$L,SMALL($B:$B,ROW(H477)),MATCH(J$7,$D$7:$L$7,0)),"")</f>
        <v/>
      </c>
      <c r="K483" s="60" t="str">
        <f>IFERROR(INDEX('领用录入（明细）'!$B:$L,SMALL($B:$B,ROW(I477)),MATCH(K$7,$D$7:$L$7,0)),"")</f>
        <v/>
      </c>
      <c r="L483" s="60" t="str">
        <f>IFERROR(INDEX('领用录入（明细）'!$B:$L,SMALL($B:$B,ROW(J477)),MATCH(L$7,$D$7:$L$7,0)),"")</f>
        <v/>
      </c>
      <c r="M483" s="60" t="str">
        <f t="shared" si="7"/>
        <v/>
      </c>
    </row>
    <row r="484" customHeight="1" spans="2:13">
      <c r="B484" s="62" t="str">
        <f>IF(AND('领用录入（明细）'!D:D=$F$4,'领用录入（明细）'!C:C&gt;=$J$4,'领用录入（明细）'!C:C&lt;=$L$4),ROW(),"-")</f>
        <v>-</v>
      </c>
      <c r="D484" s="59" t="str">
        <f>IFERROR(INDEX('领用录入（明细）'!$B:$L,SMALL($B:$B,ROW(B478)),MATCH(D$7,$D$7:$L$7,0)),"")</f>
        <v/>
      </c>
      <c r="E484" s="114" t="str">
        <f>IFERROR(INDEX('领用录入（明细）'!$B:$L,SMALL($B:$B,ROW(C478)),MATCH(E$7,$D$7:$L$7,0)),"")</f>
        <v/>
      </c>
      <c r="F484" s="60" t="str">
        <f>IFERROR(INDEX('领用录入（明细）'!$B:$L,SMALL($B:$B,ROW(D478)),MATCH(F$7,$D$7:$L$7,0)),"")</f>
        <v/>
      </c>
      <c r="G484" s="60" t="str">
        <f>IFERROR(INDEX('领用录入（明细）'!$B:$L,SMALL($B:$B,ROW(E478)),MATCH(G$7,$D$7:$L$7,0)),"")</f>
        <v/>
      </c>
      <c r="H484" s="60" t="str">
        <f>IFERROR(INDEX('领用录入（明细）'!$B:$L,SMALL($B:$B,ROW(F478)),MATCH(H$7,$D$7:$L$7,0)),"")</f>
        <v/>
      </c>
      <c r="I484" s="60" t="str">
        <f>IFERROR(INDEX('领用录入（明细）'!$B:$L,SMALL($B:$B,ROW(G478)),MATCH(I$7,$D$7:$L$7,0)),"")</f>
        <v/>
      </c>
      <c r="J484" s="60" t="str">
        <f>IFERROR(INDEX('领用录入（明细）'!$B:$L,SMALL($B:$B,ROW(H478)),MATCH(J$7,$D$7:$L$7,0)),"")</f>
        <v/>
      </c>
      <c r="K484" s="60" t="str">
        <f>IFERROR(INDEX('领用录入（明细）'!$B:$L,SMALL($B:$B,ROW(I478)),MATCH(K$7,$D$7:$L$7,0)),"")</f>
        <v/>
      </c>
      <c r="L484" s="60" t="str">
        <f>IFERROR(INDEX('领用录入（明细）'!$B:$L,SMALL($B:$B,ROW(J478)),MATCH(L$7,$D$7:$L$7,0)),"")</f>
        <v/>
      </c>
      <c r="M484" s="60" t="str">
        <f t="shared" si="7"/>
        <v/>
      </c>
    </row>
    <row r="485" customHeight="1" spans="2:13">
      <c r="B485" s="62" t="str">
        <f>IF(AND('领用录入（明细）'!D:D=$F$4,'领用录入（明细）'!C:C&gt;=$J$4,'领用录入（明细）'!C:C&lt;=$L$4),ROW(),"-")</f>
        <v>-</v>
      </c>
      <c r="D485" s="59" t="str">
        <f>IFERROR(INDEX('领用录入（明细）'!$B:$L,SMALL($B:$B,ROW(B479)),MATCH(D$7,$D$7:$L$7,0)),"")</f>
        <v/>
      </c>
      <c r="E485" s="114" t="str">
        <f>IFERROR(INDEX('领用录入（明细）'!$B:$L,SMALL($B:$B,ROW(C479)),MATCH(E$7,$D$7:$L$7,0)),"")</f>
        <v/>
      </c>
      <c r="F485" s="60" t="str">
        <f>IFERROR(INDEX('领用录入（明细）'!$B:$L,SMALL($B:$B,ROW(D479)),MATCH(F$7,$D$7:$L$7,0)),"")</f>
        <v/>
      </c>
      <c r="G485" s="60" t="str">
        <f>IFERROR(INDEX('领用录入（明细）'!$B:$L,SMALL($B:$B,ROW(E479)),MATCH(G$7,$D$7:$L$7,0)),"")</f>
        <v/>
      </c>
      <c r="H485" s="60" t="str">
        <f>IFERROR(INDEX('领用录入（明细）'!$B:$L,SMALL($B:$B,ROW(F479)),MATCH(H$7,$D$7:$L$7,0)),"")</f>
        <v/>
      </c>
      <c r="I485" s="60" t="str">
        <f>IFERROR(INDEX('领用录入（明细）'!$B:$L,SMALL($B:$B,ROW(G479)),MATCH(I$7,$D$7:$L$7,0)),"")</f>
        <v/>
      </c>
      <c r="J485" s="60" t="str">
        <f>IFERROR(INDEX('领用录入（明细）'!$B:$L,SMALL($B:$B,ROW(H479)),MATCH(J$7,$D$7:$L$7,0)),"")</f>
        <v/>
      </c>
      <c r="K485" s="60" t="str">
        <f>IFERROR(INDEX('领用录入（明细）'!$B:$L,SMALL($B:$B,ROW(I479)),MATCH(K$7,$D$7:$L$7,0)),"")</f>
        <v/>
      </c>
      <c r="L485" s="60" t="str">
        <f>IFERROR(INDEX('领用录入（明细）'!$B:$L,SMALL($B:$B,ROW(J479)),MATCH(L$7,$D$7:$L$7,0)),"")</f>
        <v/>
      </c>
      <c r="M485" s="60" t="str">
        <f t="shared" si="7"/>
        <v/>
      </c>
    </row>
    <row r="486" customHeight="1" spans="2:13">
      <c r="B486" s="62" t="str">
        <f>IF(AND('领用录入（明细）'!D:D=$F$4,'领用录入（明细）'!C:C&gt;=$J$4,'领用录入（明细）'!C:C&lt;=$L$4),ROW(),"-")</f>
        <v>-</v>
      </c>
      <c r="D486" s="59" t="str">
        <f>IFERROR(INDEX('领用录入（明细）'!$B:$L,SMALL($B:$B,ROW(B480)),MATCH(D$7,$D$7:$L$7,0)),"")</f>
        <v/>
      </c>
      <c r="E486" s="114" t="str">
        <f>IFERROR(INDEX('领用录入（明细）'!$B:$L,SMALL($B:$B,ROW(C480)),MATCH(E$7,$D$7:$L$7,0)),"")</f>
        <v/>
      </c>
      <c r="F486" s="60" t="str">
        <f>IFERROR(INDEX('领用录入（明细）'!$B:$L,SMALL($B:$B,ROW(D480)),MATCH(F$7,$D$7:$L$7,0)),"")</f>
        <v/>
      </c>
      <c r="G486" s="60" t="str">
        <f>IFERROR(INDEX('领用录入（明细）'!$B:$L,SMALL($B:$B,ROW(E480)),MATCH(G$7,$D$7:$L$7,0)),"")</f>
        <v/>
      </c>
      <c r="H486" s="60" t="str">
        <f>IFERROR(INDEX('领用录入（明细）'!$B:$L,SMALL($B:$B,ROW(F480)),MATCH(H$7,$D$7:$L$7,0)),"")</f>
        <v/>
      </c>
      <c r="I486" s="60" t="str">
        <f>IFERROR(INDEX('领用录入（明细）'!$B:$L,SMALL($B:$B,ROW(G480)),MATCH(I$7,$D$7:$L$7,0)),"")</f>
        <v/>
      </c>
      <c r="J486" s="60" t="str">
        <f>IFERROR(INDEX('领用录入（明细）'!$B:$L,SMALL($B:$B,ROW(H480)),MATCH(J$7,$D$7:$L$7,0)),"")</f>
        <v/>
      </c>
      <c r="K486" s="60" t="str">
        <f>IFERROR(INDEX('领用录入（明细）'!$B:$L,SMALL($B:$B,ROW(I480)),MATCH(K$7,$D$7:$L$7,0)),"")</f>
        <v/>
      </c>
      <c r="L486" s="60" t="str">
        <f>IFERROR(INDEX('领用录入（明细）'!$B:$L,SMALL($B:$B,ROW(J480)),MATCH(L$7,$D$7:$L$7,0)),"")</f>
        <v/>
      </c>
      <c r="M486" s="60" t="str">
        <f t="shared" si="7"/>
        <v/>
      </c>
    </row>
    <row r="487" customHeight="1" spans="2:13">
      <c r="B487" s="62" t="str">
        <f>IF(AND('领用录入（明细）'!D:D=$F$4,'领用录入（明细）'!C:C&gt;=$J$4,'领用录入（明细）'!C:C&lt;=$L$4),ROW(),"-")</f>
        <v>-</v>
      </c>
      <c r="D487" s="59" t="str">
        <f>IFERROR(INDEX('领用录入（明细）'!$B:$L,SMALL($B:$B,ROW(B481)),MATCH(D$7,$D$7:$L$7,0)),"")</f>
        <v/>
      </c>
      <c r="E487" s="114" t="str">
        <f>IFERROR(INDEX('领用录入（明细）'!$B:$L,SMALL($B:$B,ROW(C481)),MATCH(E$7,$D$7:$L$7,0)),"")</f>
        <v/>
      </c>
      <c r="F487" s="60" t="str">
        <f>IFERROR(INDEX('领用录入（明细）'!$B:$L,SMALL($B:$B,ROW(D481)),MATCH(F$7,$D$7:$L$7,0)),"")</f>
        <v/>
      </c>
      <c r="G487" s="60" t="str">
        <f>IFERROR(INDEX('领用录入（明细）'!$B:$L,SMALL($B:$B,ROW(E481)),MATCH(G$7,$D$7:$L$7,0)),"")</f>
        <v/>
      </c>
      <c r="H487" s="60" t="str">
        <f>IFERROR(INDEX('领用录入（明细）'!$B:$L,SMALL($B:$B,ROW(F481)),MATCH(H$7,$D$7:$L$7,0)),"")</f>
        <v/>
      </c>
      <c r="I487" s="60" t="str">
        <f>IFERROR(INDEX('领用录入（明细）'!$B:$L,SMALL($B:$B,ROW(G481)),MATCH(I$7,$D$7:$L$7,0)),"")</f>
        <v/>
      </c>
      <c r="J487" s="60" t="str">
        <f>IFERROR(INDEX('领用录入（明细）'!$B:$L,SMALL($B:$B,ROW(H481)),MATCH(J$7,$D$7:$L$7,0)),"")</f>
        <v/>
      </c>
      <c r="K487" s="60" t="str">
        <f>IFERROR(INDEX('领用录入（明细）'!$B:$L,SMALL($B:$B,ROW(I481)),MATCH(K$7,$D$7:$L$7,0)),"")</f>
        <v/>
      </c>
      <c r="L487" s="60" t="str">
        <f>IFERROR(INDEX('领用录入（明细）'!$B:$L,SMALL($B:$B,ROW(J481)),MATCH(L$7,$D$7:$L$7,0)),"")</f>
        <v/>
      </c>
      <c r="M487" s="60" t="str">
        <f t="shared" si="7"/>
        <v/>
      </c>
    </row>
    <row r="488" customHeight="1" spans="2:13">
      <c r="B488" s="62" t="str">
        <f>IF(AND('领用录入（明细）'!D:D=$F$4,'领用录入（明细）'!C:C&gt;=$J$4,'领用录入（明细）'!C:C&lt;=$L$4),ROW(),"-")</f>
        <v>-</v>
      </c>
      <c r="D488" s="59" t="str">
        <f>IFERROR(INDEX('领用录入（明细）'!$B:$L,SMALL($B:$B,ROW(B482)),MATCH(D$7,$D$7:$L$7,0)),"")</f>
        <v/>
      </c>
      <c r="E488" s="114" t="str">
        <f>IFERROR(INDEX('领用录入（明细）'!$B:$L,SMALL($B:$B,ROW(C482)),MATCH(E$7,$D$7:$L$7,0)),"")</f>
        <v/>
      </c>
      <c r="F488" s="60" t="str">
        <f>IFERROR(INDEX('领用录入（明细）'!$B:$L,SMALL($B:$B,ROW(D482)),MATCH(F$7,$D$7:$L$7,0)),"")</f>
        <v/>
      </c>
      <c r="G488" s="60" t="str">
        <f>IFERROR(INDEX('领用录入（明细）'!$B:$L,SMALL($B:$B,ROW(E482)),MATCH(G$7,$D$7:$L$7,0)),"")</f>
        <v/>
      </c>
      <c r="H488" s="60" t="str">
        <f>IFERROR(INDEX('领用录入（明细）'!$B:$L,SMALL($B:$B,ROW(F482)),MATCH(H$7,$D$7:$L$7,0)),"")</f>
        <v/>
      </c>
      <c r="I488" s="60" t="str">
        <f>IFERROR(INDEX('领用录入（明细）'!$B:$L,SMALL($B:$B,ROW(G482)),MATCH(I$7,$D$7:$L$7,0)),"")</f>
        <v/>
      </c>
      <c r="J488" s="60" t="str">
        <f>IFERROR(INDEX('领用录入（明细）'!$B:$L,SMALL($B:$B,ROW(H482)),MATCH(J$7,$D$7:$L$7,0)),"")</f>
        <v/>
      </c>
      <c r="K488" s="60" t="str">
        <f>IFERROR(INDEX('领用录入（明细）'!$B:$L,SMALL($B:$B,ROW(I482)),MATCH(K$7,$D$7:$L$7,0)),"")</f>
        <v/>
      </c>
      <c r="L488" s="60" t="str">
        <f>IFERROR(INDEX('领用录入（明细）'!$B:$L,SMALL($B:$B,ROW(J482)),MATCH(L$7,$D$7:$L$7,0)),"")</f>
        <v/>
      </c>
      <c r="M488" s="60" t="str">
        <f t="shared" si="7"/>
        <v/>
      </c>
    </row>
    <row r="489" customHeight="1" spans="2:13">
      <c r="B489" s="62" t="str">
        <f>IF(AND('领用录入（明细）'!D:D=$F$4,'领用录入（明细）'!C:C&gt;=$J$4,'领用录入（明细）'!C:C&lt;=$L$4),ROW(),"-")</f>
        <v>-</v>
      </c>
      <c r="D489" s="59" t="str">
        <f>IFERROR(INDEX('领用录入（明细）'!$B:$L,SMALL($B:$B,ROW(B483)),MATCH(D$7,$D$7:$L$7,0)),"")</f>
        <v/>
      </c>
      <c r="E489" s="114" t="str">
        <f>IFERROR(INDEX('领用录入（明细）'!$B:$L,SMALL($B:$B,ROW(C483)),MATCH(E$7,$D$7:$L$7,0)),"")</f>
        <v/>
      </c>
      <c r="F489" s="60" t="str">
        <f>IFERROR(INDEX('领用录入（明细）'!$B:$L,SMALL($B:$B,ROW(D483)),MATCH(F$7,$D$7:$L$7,0)),"")</f>
        <v/>
      </c>
      <c r="G489" s="60" t="str">
        <f>IFERROR(INDEX('领用录入（明细）'!$B:$L,SMALL($B:$B,ROW(E483)),MATCH(G$7,$D$7:$L$7,0)),"")</f>
        <v/>
      </c>
      <c r="H489" s="60" t="str">
        <f>IFERROR(INDEX('领用录入（明细）'!$B:$L,SMALL($B:$B,ROW(F483)),MATCH(H$7,$D$7:$L$7,0)),"")</f>
        <v/>
      </c>
      <c r="I489" s="60" t="str">
        <f>IFERROR(INDEX('领用录入（明细）'!$B:$L,SMALL($B:$B,ROW(G483)),MATCH(I$7,$D$7:$L$7,0)),"")</f>
        <v/>
      </c>
      <c r="J489" s="60" t="str">
        <f>IFERROR(INDEX('领用录入（明细）'!$B:$L,SMALL($B:$B,ROW(H483)),MATCH(J$7,$D$7:$L$7,0)),"")</f>
        <v/>
      </c>
      <c r="K489" s="60" t="str">
        <f>IFERROR(INDEX('领用录入（明细）'!$B:$L,SMALL($B:$B,ROW(I483)),MATCH(K$7,$D$7:$L$7,0)),"")</f>
        <v/>
      </c>
      <c r="L489" s="60" t="str">
        <f>IFERROR(INDEX('领用录入（明细）'!$B:$L,SMALL($B:$B,ROW(J483)),MATCH(L$7,$D$7:$L$7,0)),"")</f>
        <v/>
      </c>
      <c r="M489" s="60" t="str">
        <f t="shared" si="7"/>
        <v/>
      </c>
    </row>
    <row r="490" customHeight="1" spans="2:13">
      <c r="B490" s="62" t="str">
        <f>IF(AND('领用录入（明细）'!D:D=$F$4,'领用录入（明细）'!C:C&gt;=$J$4,'领用录入（明细）'!C:C&lt;=$L$4),ROW(),"-")</f>
        <v>-</v>
      </c>
      <c r="D490" s="59" t="str">
        <f>IFERROR(INDEX('领用录入（明细）'!$B:$L,SMALL($B:$B,ROW(B484)),MATCH(D$7,$D$7:$L$7,0)),"")</f>
        <v/>
      </c>
      <c r="E490" s="114" t="str">
        <f>IFERROR(INDEX('领用录入（明细）'!$B:$L,SMALL($B:$B,ROW(C484)),MATCH(E$7,$D$7:$L$7,0)),"")</f>
        <v/>
      </c>
      <c r="F490" s="60" t="str">
        <f>IFERROR(INDEX('领用录入（明细）'!$B:$L,SMALL($B:$B,ROW(D484)),MATCH(F$7,$D$7:$L$7,0)),"")</f>
        <v/>
      </c>
      <c r="G490" s="60" t="str">
        <f>IFERROR(INDEX('领用录入（明细）'!$B:$L,SMALL($B:$B,ROW(E484)),MATCH(G$7,$D$7:$L$7,0)),"")</f>
        <v/>
      </c>
      <c r="H490" s="60" t="str">
        <f>IFERROR(INDEX('领用录入（明细）'!$B:$L,SMALL($B:$B,ROW(F484)),MATCH(H$7,$D$7:$L$7,0)),"")</f>
        <v/>
      </c>
      <c r="I490" s="60" t="str">
        <f>IFERROR(INDEX('领用录入（明细）'!$B:$L,SMALL($B:$B,ROW(G484)),MATCH(I$7,$D$7:$L$7,0)),"")</f>
        <v/>
      </c>
      <c r="J490" s="60" t="str">
        <f>IFERROR(INDEX('领用录入（明细）'!$B:$L,SMALL($B:$B,ROW(H484)),MATCH(J$7,$D$7:$L$7,0)),"")</f>
        <v/>
      </c>
      <c r="K490" s="60" t="str">
        <f>IFERROR(INDEX('领用录入（明细）'!$B:$L,SMALL($B:$B,ROW(I484)),MATCH(K$7,$D$7:$L$7,0)),"")</f>
        <v/>
      </c>
      <c r="L490" s="60" t="str">
        <f>IFERROR(INDEX('领用录入（明细）'!$B:$L,SMALL($B:$B,ROW(J484)),MATCH(L$7,$D$7:$L$7,0)),"")</f>
        <v/>
      </c>
      <c r="M490" s="60" t="str">
        <f t="shared" si="7"/>
        <v/>
      </c>
    </row>
    <row r="491" customHeight="1" spans="2:13">
      <c r="B491" s="62" t="str">
        <f>IF(AND('领用录入（明细）'!D:D=$F$4,'领用录入（明细）'!C:C&gt;=$J$4,'领用录入（明细）'!C:C&lt;=$L$4),ROW(),"-")</f>
        <v>-</v>
      </c>
      <c r="D491" s="59" t="str">
        <f>IFERROR(INDEX('领用录入（明细）'!$B:$L,SMALL($B:$B,ROW(B485)),MATCH(D$7,$D$7:$L$7,0)),"")</f>
        <v/>
      </c>
      <c r="E491" s="114" t="str">
        <f>IFERROR(INDEX('领用录入（明细）'!$B:$L,SMALL($B:$B,ROW(C485)),MATCH(E$7,$D$7:$L$7,0)),"")</f>
        <v/>
      </c>
      <c r="F491" s="60" t="str">
        <f>IFERROR(INDEX('领用录入（明细）'!$B:$L,SMALL($B:$B,ROW(D485)),MATCH(F$7,$D$7:$L$7,0)),"")</f>
        <v/>
      </c>
      <c r="G491" s="60" t="str">
        <f>IFERROR(INDEX('领用录入（明细）'!$B:$L,SMALL($B:$B,ROW(E485)),MATCH(G$7,$D$7:$L$7,0)),"")</f>
        <v/>
      </c>
      <c r="H491" s="60" t="str">
        <f>IFERROR(INDEX('领用录入（明细）'!$B:$L,SMALL($B:$B,ROW(F485)),MATCH(H$7,$D$7:$L$7,0)),"")</f>
        <v/>
      </c>
      <c r="I491" s="60" t="str">
        <f>IFERROR(INDEX('领用录入（明细）'!$B:$L,SMALL($B:$B,ROW(G485)),MATCH(I$7,$D$7:$L$7,0)),"")</f>
        <v/>
      </c>
      <c r="J491" s="60" t="str">
        <f>IFERROR(INDEX('领用录入（明细）'!$B:$L,SMALL($B:$B,ROW(H485)),MATCH(J$7,$D$7:$L$7,0)),"")</f>
        <v/>
      </c>
      <c r="K491" s="60" t="str">
        <f>IFERROR(INDEX('领用录入（明细）'!$B:$L,SMALL($B:$B,ROW(I485)),MATCH(K$7,$D$7:$L$7,0)),"")</f>
        <v/>
      </c>
      <c r="L491" s="60" t="str">
        <f>IFERROR(INDEX('领用录入（明细）'!$B:$L,SMALL($B:$B,ROW(J485)),MATCH(L$7,$D$7:$L$7,0)),"")</f>
        <v/>
      </c>
      <c r="M491" s="60" t="str">
        <f t="shared" si="7"/>
        <v/>
      </c>
    </row>
    <row r="492" customHeight="1" spans="2:13">
      <c r="B492" s="62" t="str">
        <f>IF(AND('领用录入（明细）'!D:D=$F$4,'领用录入（明细）'!C:C&gt;=$J$4,'领用录入（明细）'!C:C&lt;=$L$4),ROW(),"-")</f>
        <v>-</v>
      </c>
      <c r="D492" s="59" t="str">
        <f>IFERROR(INDEX('领用录入（明细）'!$B:$L,SMALL($B:$B,ROW(B486)),MATCH(D$7,$D$7:$L$7,0)),"")</f>
        <v/>
      </c>
      <c r="E492" s="114" t="str">
        <f>IFERROR(INDEX('领用录入（明细）'!$B:$L,SMALL($B:$B,ROW(C486)),MATCH(E$7,$D$7:$L$7,0)),"")</f>
        <v/>
      </c>
      <c r="F492" s="60" t="str">
        <f>IFERROR(INDEX('领用录入（明细）'!$B:$L,SMALL($B:$B,ROW(D486)),MATCH(F$7,$D$7:$L$7,0)),"")</f>
        <v/>
      </c>
      <c r="G492" s="60" t="str">
        <f>IFERROR(INDEX('领用录入（明细）'!$B:$L,SMALL($B:$B,ROW(E486)),MATCH(G$7,$D$7:$L$7,0)),"")</f>
        <v/>
      </c>
      <c r="H492" s="60" t="str">
        <f>IFERROR(INDEX('领用录入（明细）'!$B:$L,SMALL($B:$B,ROW(F486)),MATCH(H$7,$D$7:$L$7,0)),"")</f>
        <v/>
      </c>
      <c r="I492" s="60" t="str">
        <f>IFERROR(INDEX('领用录入（明细）'!$B:$L,SMALL($B:$B,ROW(G486)),MATCH(I$7,$D$7:$L$7,0)),"")</f>
        <v/>
      </c>
      <c r="J492" s="60" t="str">
        <f>IFERROR(INDEX('领用录入（明细）'!$B:$L,SMALL($B:$B,ROW(H486)),MATCH(J$7,$D$7:$L$7,0)),"")</f>
        <v/>
      </c>
      <c r="K492" s="60" t="str">
        <f>IFERROR(INDEX('领用录入（明细）'!$B:$L,SMALL($B:$B,ROW(I486)),MATCH(K$7,$D$7:$L$7,0)),"")</f>
        <v/>
      </c>
      <c r="L492" s="60" t="str">
        <f>IFERROR(INDEX('领用录入（明细）'!$B:$L,SMALL($B:$B,ROW(J486)),MATCH(L$7,$D$7:$L$7,0)),"")</f>
        <v/>
      </c>
      <c r="M492" s="60" t="str">
        <f t="shared" si="7"/>
        <v/>
      </c>
    </row>
    <row r="493" customHeight="1" spans="2:13">
      <c r="B493" s="62" t="str">
        <f>IF(AND('领用录入（明细）'!D:D=$F$4,'领用录入（明细）'!C:C&gt;=$J$4,'领用录入（明细）'!C:C&lt;=$L$4),ROW(),"-")</f>
        <v>-</v>
      </c>
      <c r="D493" s="59" t="str">
        <f>IFERROR(INDEX('领用录入（明细）'!$B:$L,SMALL($B:$B,ROW(B487)),MATCH(D$7,$D$7:$L$7,0)),"")</f>
        <v/>
      </c>
      <c r="E493" s="114" t="str">
        <f>IFERROR(INDEX('领用录入（明细）'!$B:$L,SMALL($B:$B,ROW(C487)),MATCH(E$7,$D$7:$L$7,0)),"")</f>
        <v/>
      </c>
      <c r="F493" s="60" t="str">
        <f>IFERROR(INDEX('领用录入（明细）'!$B:$L,SMALL($B:$B,ROW(D487)),MATCH(F$7,$D$7:$L$7,0)),"")</f>
        <v/>
      </c>
      <c r="G493" s="60" t="str">
        <f>IFERROR(INDEX('领用录入（明细）'!$B:$L,SMALL($B:$B,ROW(E487)),MATCH(G$7,$D$7:$L$7,0)),"")</f>
        <v/>
      </c>
      <c r="H493" s="60" t="str">
        <f>IFERROR(INDEX('领用录入（明细）'!$B:$L,SMALL($B:$B,ROW(F487)),MATCH(H$7,$D$7:$L$7,0)),"")</f>
        <v/>
      </c>
      <c r="I493" s="60" t="str">
        <f>IFERROR(INDEX('领用录入（明细）'!$B:$L,SMALL($B:$B,ROW(G487)),MATCH(I$7,$D$7:$L$7,0)),"")</f>
        <v/>
      </c>
      <c r="J493" s="60" t="str">
        <f>IFERROR(INDEX('领用录入（明细）'!$B:$L,SMALL($B:$B,ROW(H487)),MATCH(J$7,$D$7:$L$7,0)),"")</f>
        <v/>
      </c>
      <c r="K493" s="60" t="str">
        <f>IFERROR(INDEX('领用录入（明细）'!$B:$L,SMALL($B:$B,ROW(I487)),MATCH(K$7,$D$7:$L$7,0)),"")</f>
        <v/>
      </c>
      <c r="L493" s="60" t="str">
        <f>IFERROR(INDEX('领用录入（明细）'!$B:$L,SMALL($B:$B,ROW(J487)),MATCH(L$7,$D$7:$L$7,0)),"")</f>
        <v/>
      </c>
      <c r="M493" s="60" t="str">
        <f t="shared" si="7"/>
        <v/>
      </c>
    </row>
    <row r="494" customHeight="1" spans="2:13">
      <c r="B494" s="62" t="str">
        <f>IF(AND('领用录入（明细）'!D:D=$F$4,'领用录入（明细）'!C:C&gt;=$J$4,'领用录入（明细）'!C:C&lt;=$L$4),ROW(),"-")</f>
        <v>-</v>
      </c>
      <c r="D494" s="59" t="str">
        <f>IFERROR(INDEX('领用录入（明细）'!$B:$L,SMALL($B:$B,ROW(B488)),MATCH(D$7,$D$7:$L$7,0)),"")</f>
        <v/>
      </c>
      <c r="E494" s="114" t="str">
        <f>IFERROR(INDEX('领用录入（明细）'!$B:$L,SMALL($B:$B,ROW(C488)),MATCH(E$7,$D$7:$L$7,0)),"")</f>
        <v/>
      </c>
      <c r="F494" s="60" t="str">
        <f>IFERROR(INDEX('领用录入（明细）'!$B:$L,SMALL($B:$B,ROW(D488)),MATCH(F$7,$D$7:$L$7,0)),"")</f>
        <v/>
      </c>
      <c r="G494" s="60" t="str">
        <f>IFERROR(INDEX('领用录入（明细）'!$B:$L,SMALL($B:$B,ROW(E488)),MATCH(G$7,$D$7:$L$7,0)),"")</f>
        <v/>
      </c>
      <c r="H494" s="60" t="str">
        <f>IFERROR(INDEX('领用录入（明细）'!$B:$L,SMALL($B:$B,ROW(F488)),MATCH(H$7,$D$7:$L$7,0)),"")</f>
        <v/>
      </c>
      <c r="I494" s="60" t="str">
        <f>IFERROR(INDEX('领用录入（明细）'!$B:$L,SMALL($B:$B,ROW(G488)),MATCH(I$7,$D$7:$L$7,0)),"")</f>
        <v/>
      </c>
      <c r="J494" s="60" t="str">
        <f>IFERROR(INDEX('领用录入（明细）'!$B:$L,SMALL($B:$B,ROW(H488)),MATCH(J$7,$D$7:$L$7,0)),"")</f>
        <v/>
      </c>
      <c r="K494" s="60" t="str">
        <f>IFERROR(INDEX('领用录入（明细）'!$B:$L,SMALL($B:$B,ROW(I488)),MATCH(K$7,$D$7:$L$7,0)),"")</f>
        <v/>
      </c>
      <c r="L494" s="60" t="str">
        <f>IFERROR(INDEX('领用录入（明细）'!$B:$L,SMALL($B:$B,ROW(J488)),MATCH(L$7,$D$7:$L$7,0)),"")</f>
        <v/>
      </c>
      <c r="M494" s="60" t="str">
        <f t="shared" si="7"/>
        <v/>
      </c>
    </row>
    <row r="495" customHeight="1" spans="2:13">
      <c r="B495" s="62" t="str">
        <f>IF(AND('领用录入（明细）'!D:D=$F$4,'领用录入（明细）'!C:C&gt;=$J$4,'领用录入（明细）'!C:C&lt;=$L$4),ROW(),"-")</f>
        <v>-</v>
      </c>
      <c r="D495" s="59" t="str">
        <f>IFERROR(INDEX('领用录入（明细）'!$B:$L,SMALL($B:$B,ROW(B489)),MATCH(D$7,$D$7:$L$7,0)),"")</f>
        <v/>
      </c>
      <c r="E495" s="114" t="str">
        <f>IFERROR(INDEX('领用录入（明细）'!$B:$L,SMALL($B:$B,ROW(C489)),MATCH(E$7,$D$7:$L$7,0)),"")</f>
        <v/>
      </c>
      <c r="F495" s="60" t="str">
        <f>IFERROR(INDEX('领用录入（明细）'!$B:$L,SMALL($B:$B,ROW(D489)),MATCH(F$7,$D$7:$L$7,0)),"")</f>
        <v/>
      </c>
      <c r="G495" s="60" t="str">
        <f>IFERROR(INDEX('领用录入（明细）'!$B:$L,SMALL($B:$B,ROW(E489)),MATCH(G$7,$D$7:$L$7,0)),"")</f>
        <v/>
      </c>
      <c r="H495" s="60" t="str">
        <f>IFERROR(INDEX('领用录入（明细）'!$B:$L,SMALL($B:$B,ROW(F489)),MATCH(H$7,$D$7:$L$7,0)),"")</f>
        <v/>
      </c>
      <c r="I495" s="60" t="str">
        <f>IFERROR(INDEX('领用录入（明细）'!$B:$L,SMALL($B:$B,ROW(G489)),MATCH(I$7,$D$7:$L$7,0)),"")</f>
        <v/>
      </c>
      <c r="J495" s="60" t="str">
        <f>IFERROR(INDEX('领用录入（明细）'!$B:$L,SMALL($B:$B,ROW(H489)),MATCH(J$7,$D$7:$L$7,0)),"")</f>
        <v/>
      </c>
      <c r="K495" s="60" t="str">
        <f>IFERROR(INDEX('领用录入（明细）'!$B:$L,SMALL($B:$B,ROW(I489)),MATCH(K$7,$D$7:$L$7,0)),"")</f>
        <v/>
      </c>
      <c r="L495" s="60" t="str">
        <f>IFERROR(INDEX('领用录入（明细）'!$B:$L,SMALL($B:$B,ROW(J489)),MATCH(L$7,$D$7:$L$7,0)),"")</f>
        <v/>
      </c>
      <c r="M495" s="60" t="str">
        <f t="shared" si="7"/>
        <v/>
      </c>
    </row>
    <row r="496" customHeight="1" spans="2:13">
      <c r="B496" s="62" t="str">
        <f>IF(AND('领用录入（明细）'!D:D=$F$4,'领用录入（明细）'!C:C&gt;=$J$4,'领用录入（明细）'!C:C&lt;=$L$4),ROW(),"-")</f>
        <v>-</v>
      </c>
      <c r="D496" s="59" t="str">
        <f>IFERROR(INDEX('领用录入（明细）'!$B:$L,SMALL($B:$B,ROW(B490)),MATCH(D$7,$D$7:$L$7,0)),"")</f>
        <v/>
      </c>
      <c r="E496" s="114" t="str">
        <f>IFERROR(INDEX('领用录入（明细）'!$B:$L,SMALL($B:$B,ROW(C490)),MATCH(E$7,$D$7:$L$7,0)),"")</f>
        <v/>
      </c>
      <c r="F496" s="60" t="str">
        <f>IFERROR(INDEX('领用录入（明细）'!$B:$L,SMALL($B:$B,ROW(D490)),MATCH(F$7,$D$7:$L$7,0)),"")</f>
        <v/>
      </c>
      <c r="G496" s="60" t="str">
        <f>IFERROR(INDEX('领用录入（明细）'!$B:$L,SMALL($B:$B,ROW(E490)),MATCH(G$7,$D$7:$L$7,0)),"")</f>
        <v/>
      </c>
      <c r="H496" s="60" t="str">
        <f>IFERROR(INDEX('领用录入（明细）'!$B:$L,SMALL($B:$B,ROW(F490)),MATCH(H$7,$D$7:$L$7,0)),"")</f>
        <v/>
      </c>
      <c r="I496" s="60" t="str">
        <f>IFERROR(INDEX('领用录入（明细）'!$B:$L,SMALL($B:$B,ROW(G490)),MATCH(I$7,$D$7:$L$7,0)),"")</f>
        <v/>
      </c>
      <c r="J496" s="60" t="str">
        <f>IFERROR(INDEX('领用录入（明细）'!$B:$L,SMALL($B:$B,ROW(H490)),MATCH(J$7,$D$7:$L$7,0)),"")</f>
        <v/>
      </c>
      <c r="K496" s="60" t="str">
        <f>IFERROR(INDEX('领用录入（明细）'!$B:$L,SMALL($B:$B,ROW(I490)),MATCH(K$7,$D$7:$L$7,0)),"")</f>
        <v/>
      </c>
      <c r="L496" s="60" t="str">
        <f>IFERROR(INDEX('领用录入（明细）'!$B:$L,SMALL($B:$B,ROW(J490)),MATCH(L$7,$D$7:$L$7,0)),"")</f>
        <v/>
      </c>
      <c r="M496" s="60" t="str">
        <f t="shared" si="7"/>
        <v/>
      </c>
    </row>
    <row r="497" customHeight="1" spans="2:13">
      <c r="B497" s="62" t="str">
        <f>IF(AND('领用录入（明细）'!D:D=$F$4,'领用录入（明细）'!C:C&gt;=$J$4,'领用录入（明细）'!C:C&lt;=$L$4),ROW(),"-")</f>
        <v>-</v>
      </c>
      <c r="D497" s="59" t="str">
        <f>IFERROR(INDEX('领用录入（明细）'!$B:$L,SMALL($B:$B,ROW(B491)),MATCH(D$7,$D$7:$L$7,0)),"")</f>
        <v/>
      </c>
      <c r="E497" s="114" t="str">
        <f>IFERROR(INDEX('领用录入（明细）'!$B:$L,SMALL($B:$B,ROW(C491)),MATCH(E$7,$D$7:$L$7,0)),"")</f>
        <v/>
      </c>
      <c r="F497" s="60" t="str">
        <f>IFERROR(INDEX('领用录入（明细）'!$B:$L,SMALL($B:$B,ROW(D491)),MATCH(F$7,$D$7:$L$7,0)),"")</f>
        <v/>
      </c>
      <c r="G497" s="60" t="str">
        <f>IFERROR(INDEX('领用录入（明细）'!$B:$L,SMALL($B:$B,ROW(E491)),MATCH(G$7,$D$7:$L$7,0)),"")</f>
        <v/>
      </c>
      <c r="H497" s="60" t="str">
        <f>IFERROR(INDEX('领用录入（明细）'!$B:$L,SMALL($B:$B,ROW(F491)),MATCH(H$7,$D$7:$L$7,0)),"")</f>
        <v/>
      </c>
      <c r="I497" s="60" t="str">
        <f>IFERROR(INDEX('领用录入（明细）'!$B:$L,SMALL($B:$B,ROW(G491)),MATCH(I$7,$D$7:$L$7,0)),"")</f>
        <v/>
      </c>
      <c r="J497" s="60" t="str">
        <f>IFERROR(INDEX('领用录入（明细）'!$B:$L,SMALL($B:$B,ROW(H491)),MATCH(J$7,$D$7:$L$7,0)),"")</f>
        <v/>
      </c>
      <c r="K497" s="60" t="str">
        <f>IFERROR(INDEX('领用录入（明细）'!$B:$L,SMALL($B:$B,ROW(I491)),MATCH(K$7,$D$7:$L$7,0)),"")</f>
        <v/>
      </c>
      <c r="L497" s="60" t="str">
        <f>IFERROR(INDEX('领用录入（明细）'!$B:$L,SMALL($B:$B,ROW(J491)),MATCH(L$7,$D$7:$L$7,0)),"")</f>
        <v/>
      </c>
      <c r="M497" s="60" t="str">
        <f t="shared" si="7"/>
        <v/>
      </c>
    </row>
    <row r="498" customHeight="1" spans="2:13">
      <c r="B498" s="62" t="str">
        <f>IF(AND('领用录入（明细）'!D:D=$F$4,'领用录入（明细）'!C:C&gt;=$J$4,'领用录入（明细）'!C:C&lt;=$L$4),ROW(),"-")</f>
        <v>-</v>
      </c>
      <c r="D498" s="59" t="str">
        <f>IFERROR(INDEX('领用录入（明细）'!$B:$L,SMALL($B:$B,ROW(B492)),MATCH(D$7,$D$7:$L$7,0)),"")</f>
        <v/>
      </c>
      <c r="E498" s="114" t="str">
        <f>IFERROR(INDEX('领用录入（明细）'!$B:$L,SMALL($B:$B,ROW(C492)),MATCH(E$7,$D$7:$L$7,0)),"")</f>
        <v/>
      </c>
      <c r="F498" s="60" t="str">
        <f>IFERROR(INDEX('领用录入（明细）'!$B:$L,SMALL($B:$B,ROW(D492)),MATCH(F$7,$D$7:$L$7,0)),"")</f>
        <v/>
      </c>
      <c r="G498" s="60" t="str">
        <f>IFERROR(INDEX('领用录入（明细）'!$B:$L,SMALL($B:$B,ROW(E492)),MATCH(G$7,$D$7:$L$7,0)),"")</f>
        <v/>
      </c>
      <c r="H498" s="60" t="str">
        <f>IFERROR(INDEX('领用录入（明细）'!$B:$L,SMALL($B:$B,ROW(F492)),MATCH(H$7,$D$7:$L$7,0)),"")</f>
        <v/>
      </c>
      <c r="I498" s="60" t="str">
        <f>IFERROR(INDEX('领用录入（明细）'!$B:$L,SMALL($B:$B,ROW(G492)),MATCH(I$7,$D$7:$L$7,0)),"")</f>
        <v/>
      </c>
      <c r="J498" s="60" t="str">
        <f>IFERROR(INDEX('领用录入（明细）'!$B:$L,SMALL($B:$B,ROW(H492)),MATCH(J$7,$D$7:$L$7,0)),"")</f>
        <v/>
      </c>
      <c r="K498" s="60" t="str">
        <f>IFERROR(INDEX('领用录入（明细）'!$B:$L,SMALL($B:$B,ROW(I492)),MATCH(K$7,$D$7:$L$7,0)),"")</f>
        <v/>
      </c>
      <c r="L498" s="60" t="str">
        <f>IFERROR(INDEX('领用录入（明细）'!$B:$L,SMALL($B:$B,ROW(J492)),MATCH(L$7,$D$7:$L$7,0)),"")</f>
        <v/>
      </c>
      <c r="M498" s="60" t="str">
        <f t="shared" si="7"/>
        <v/>
      </c>
    </row>
    <row r="499" customHeight="1" spans="2:13">
      <c r="B499" s="62" t="str">
        <f>IF(AND('领用录入（明细）'!D:D=$F$4,'领用录入（明细）'!C:C&gt;=$J$4,'领用录入（明细）'!C:C&lt;=$L$4),ROW(),"-")</f>
        <v>-</v>
      </c>
      <c r="D499" s="59" t="str">
        <f>IFERROR(INDEX('领用录入（明细）'!$B:$L,SMALL($B:$B,ROW(B493)),MATCH(D$7,$D$7:$L$7,0)),"")</f>
        <v/>
      </c>
      <c r="E499" s="114" t="str">
        <f>IFERROR(INDEX('领用录入（明细）'!$B:$L,SMALL($B:$B,ROW(C493)),MATCH(E$7,$D$7:$L$7,0)),"")</f>
        <v/>
      </c>
      <c r="F499" s="60" t="str">
        <f>IFERROR(INDEX('领用录入（明细）'!$B:$L,SMALL($B:$B,ROW(D493)),MATCH(F$7,$D$7:$L$7,0)),"")</f>
        <v/>
      </c>
      <c r="G499" s="60" t="str">
        <f>IFERROR(INDEX('领用录入（明细）'!$B:$L,SMALL($B:$B,ROW(E493)),MATCH(G$7,$D$7:$L$7,0)),"")</f>
        <v/>
      </c>
      <c r="H499" s="60" t="str">
        <f>IFERROR(INDEX('领用录入（明细）'!$B:$L,SMALL($B:$B,ROW(F493)),MATCH(H$7,$D$7:$L$7,0)),"")</f>
        <v/>
      </c>
      <c r="I499" s="60" t="str">
        <f>IFERROR(INDEX('领用录入（明细）'!$B:$L,SMALL($B:$B,ROW(G493)),MATCH(I$7,$D$7:$L$7,0)),"")</f>
        <v/>
      </c>
      <c r="J499" s="60" t="str">
        <f>IFERROR(INDEX('领用录入（明细）'!$B:$L,SMALL($B:$B,ROW(H493)),MATCH(J$7,$D$7:$L$7,0)),"")</f>
        <v/>
      </c>
      <c r="K499" s="60" t="str">
        <f>IFERROR(INDEX('领用录入（明细）'!$B:$L,SMALL($B:$B,ROW(I493)),MATCH(K$7,$D$7:$L$7,0)),"")</f>
        <v/>
      </c>
      <c r="L499" s="60" t="str">
        <f>IFERROR(INDEX('领用录入（明细）'!$B:$L,SMALL($B:$B,ROW(J493)),MATCH(L$7,$D$7:$L$7,0)),"")</f>
        <v/>
      </c>
      <c r="M499" s="60" t="str">
        <f t="shared" si="7"/>
        <v/>
      </c>
    </row>
    <row r="500" customHeight="1" spans="2:13">
      <c r="B500" s="62" t="str">
        <f>IF(AND('领用录入（明细）'!D:D=$F$4,'领用录入（明细）'!C:C&gt;=$J$4,'领用录入（明细）'!C:C&lt;=$L$4),ROW(),"-")</f>
        <v>-</v>
      </c>
      <c r="D500" s="59" t="str">
        <f>IFERROR(INDEX('领用录入（明细）'!$B:$L,SMALL($B:$B,ROW(B494)),MATCH(D$7,$D$7:$L$7,0)),"")</f>
        <v/>
      </c>
      <c r="E500" s="114" t="str">
        <f>IFERROR(INDEX('领用录入（明细）'!$B:$L,SMALL($B:$B,ROW(C494)),MATCH(E$7,$D$7:$L$7,0)),"")</f>
        <v/>
      </c>
      <c r="F500" s="60" t="str">
        <f>IFERROR(INDEX('领用录入（明细）'!$B:$L,SMALL($B:$B,ROW(D494)),MATCH(F$7,$D$7:$L$7,0)),"")</f>
        <v/>
      </c>
      <c r="G500" s="60" t="str">
        <f>IFERROR(INDEX('领用录入（明细）'!$B:$L,SMALL($B:$B,ROW(E494)),MATCH(G$7,$D$7:$L$7,0)),"")</f>
        <v/>
      </c>
      <c r="H500" s="60" t="str">
        <f>IFERROR(INDEX('领用录入（明细）'!$B:$L,SMALL($B:$B,ROW(F494)),MATCH(H$7,$D$7:$L$7,0)),"")</f>
        <v/>
      </c>
      <c r="I500" s="60" t="str">
        <f>IFERROR(INDEX('领用录入（明细）'!$B:$L,SMALL($B:$B,ROW(G494)),MATCH(I$7,$D$7:$L$7,0)),"")</f>
        <v/>
      </c>
      <c r="J500" s="60" t="str">
        <f>IFERROR(INDEX('领用录入（明细）'!$B:$L,SMALL($B:$B,ROW(H494)),MATCH(J$7,$D$7:$L$7,0)),"")</f>
        <v/>
      </c>
      <c r="K500" s="60" t="str">
        <f>IFERROR(INDEX('领用录入（明细）'!$B:$L,SMALL($B:$B,ROW(I494)),MATCH(K$7,$D$7:$L$7,0)),"")</f>
        <v/>
      </c>
      <c r="L500" s="60" t="str">
        <f>IFERROR(INDEX('领用录入（明细）'!$B:$L,SMALL($B:$B,ROW(J494)),MATCH(L$7,$D$7:$L$7,0)),"")</f>
        <v/>
      </c>
      <c r="M500" s="60" t="str">
        <f t="shared" si="7"/>
        <v/>
      </c>
    </row>
    <row r="501" customHeight="1" spans="2:13">
      <c r="B501" s="62" t="str">
        <f>IF(AND('领用录入（明细）'!D:D=$F$4,'领用录入（明细）'!C:C&gt;=$J$4,'领用录入（明细）'!C:C&lt;=$L$4),ROW(),"-")</f>
        <v>-</v>
      </c>
      <c r="D501" s="59" t="str">
        <f>IFERROR(INDEX('领用录入（明细）'!$B:$L,SMALL($B:$B,ROW(B495)),MATCH(D$7,$D$7:$L$7,0)),"")</f>
        <v/>
      </c>
      <c r="E501" s="114" t="str">
        <f>IFERROR(INDEX('领用录入（明细）'!$B:$L,SMALL($B:$B,ROW(C495)),MATCH(E$7,$D$7:$L$7,0)),"")</f>
        <v/>
      </c>
      <c r="F501" s="60" t="str">
        <f>IFERROR(INDEX('领用录入（明细）'!$B:$L,SMALL($B:$B,ROW(D495)),MATCH(F$7,$D$7:$L$7,0)),"")</f>
        <v/>
      </c>
      <c r="G501" s="60" t="str">
        <f>IFERROR(INDEX('领用录入（明细）'!$B:$L,SMALL($B:$B,ROW(E495)),MATCH(G$7,$D$7:$L$7,0)),"")</f>
        <v/>
      </c>
      <c r="H501" s="60" t="str">
        <f>IFERROR(INDEX('领用录入（明细）'!$B:$L,SMALL($B:$B,ROW(F495)),MATCH(H$7,$D$7:$L$7,0)),"")</f>
        <v/>
      </c>
      <c r="I501" s="60" t="str">
        <f>IFERROR(INDEX('领用录入（明细）'!$B:$L,SMALL($B:$B,ROW(G495)),MATCH(I$7,$D$7:$L$7,0)),"")</f>
        <v/>
      </c>
      <c r="J501" s="60" t="str">
        <f>IFERROR(INDEX('领用录入（明细）'!$B:$L,SMALL($B:$B,ROW(H495)),MATCH(J$7,$D$7:$L$7,0)),"")</f>
        <v/>
      </c>
      <c r="K501" s="60" t="str">
        <f>IFERROR(INDEX('领用录入（明细）'!$B:$L,SMALL($B:$B,ROW(I495)),MATCH(K$7,$D$7:$L$7,0)),"")</f>
        <v/>
      </c>
      <c r="L501" s="60" t="str">
        <f>IFERROR(INDEX('领用录入（明细）'!$B:$L,SMALL($B:$B,ROW(J495)),MATCH(L$7,$D$7:$L$7,0)),"")</f>
        <v/>
      </c>
      <c r="M501" s="60" t="str">
        <f t="shared" si="7"/>
        <v/>
      </c>
    </row>
    <row r="502" customHeight="1" spans="2:13">
      <c r="B502" s="62" t="str">
        <f>IF(AND('领用录入（明细）'!D:D=$F$4,'领用录入（明细）'!C:C&gt;=$J$4,'领用录入（明细）'!C:C&lt;=$L$4),ROW(),"-")</f>
        <v>-</v>
      </c>
      <c r="D502" s="59" t="str">
        <f>IFERROR(INDEX('领用录入（明细）'!$B:$L,SMALL($B:$B,ROW(B496)),MATCH(D$7,$D$7:$L$7,0)),"")</f>
        <v/>
      </c>
      <c r="E502" s="114" t="str">
        <f>IFERROR(INDEX('领用录入（明细）'!$B:$L,SMALL($B:$B,ROW(C496)),MATCH(E$7,$D$7:$L$7,0)),"")</f>
        <v/>
      </c>
      <c r="F502" s="60" t="str">
        <f>IFERROR(INDEX('领用录入（明细）'!$B:$L,SMALL($B:$B,ROW(D496)),MATCH(F$7,$D$7:$L$7,0)),"")</f>
        <v/>
      </c>
      <c r="G502" s="60" t="str">
        <f>IFERROR(INDEX('领用录入（明细）'!$B:$L,SMALL($B:$B,ROW(E496)),MATCH(G$7,$D$7:$L$7,0)),"")</f>
        <v/>
      </c>
      <c r="H502" s="60" t="str">
        <f>IFERROR(INDEX('领用录入（明细）'!$B:$L,SMALL($B:$B,ROW(F496)),MATCH(H$7,$D$7:$L$7,0)),"")</f>
        <v/>
      </c>
      <c r="I502" s="60" t="str">
        <f>IFERROR(INDEX('领用录入（明细）'!$B:$L,SMALL($B:$B,ROW(G496)),MATCH(I$7,$D$7:$L$7,0)),"")</f>
        <v/>
      </c>
      <c r="J502" s="60" t="str">
        <f>IFERROR(INDEX('领用录入（明细）'!$B:$L,SMALL($B:$B,ROW(H496)),MATCH(J$7,$D$7:$L$7,0)),"")</f>
        <v/>
      </c>
      <c r="K502" s="60" t="str">
        <f>IFERROR(INDEX('领用录入（明细）'!$B:$L,SMALL($B:$B,ROW(I496)),MATCH(K$7,$D$7:$L$7,0)),"")</f>
        <v/>
      </c>
      <c r="L502" s="60" t="str">
        <f>IFERROR(INDEX('领用录入（明细）'!$B:$L,SMALL($B:$B,ROW(J496)),MATCH(L$7,$D$7:$L$7,0)),"")</f>
        <v/>
      </c>
      <c r="M502" s="60" t="str">
        <f t="shared" si="7"/>
        <v/>
      </c>
    </row>
    <row r="503" customHeight="1" spans="2:13">
      <c r="B503" s="62" t="str">
        <f>IF(AND('领用录入（明细）'!D:D=$F$4,'领用录入（明细）'!C:C&gt;=$J$4,'领用录入（明细）'!C:C&lt;=$L$4),ROW(),"-")</f>
        <v>-</v>
      </c>
      <c r="D503" s="59" t="str">
        <f>IFERROR(INDEX('领用录入（明细）'!$B:$L,SMALL($B:$B,ROW(B497)),MATCH(D$7,$D$7:$L$7,0)),"")</f>
        <v/>
      </c>
      <c r="E503" s="114" t="str">
        <f>IFERROR(INDEX('领用录入（明细）'!$B:$L,SMALL($B:$B,ROW(C497)),MATCH(E$7,$D$7:$L$7,0)),"")</f>
        <v/>
      </c>
      <c r="F503" s="60" t="str">
        <f>IFERROR(INDEX('领用录入（明细）'!$B:$L,SMALL($B:$B,ROW(D497)),MATCH(F$7,$D$7:$L$7,0)),"")</f>
        <v/>
      </c>
      <c r="G503" s="60" t="str">
        <f>IFERROR(INDEX('领用录入（明细）'!$B:$L,SMALL($B:$B,ROW(E497)),MATCH(G$7,$D$7:$L$7,0)),"")</f>
        <v/>
      </c>
      <c r="H503" s="60" t="str">
        <f>IFERROR(INDEX('领用录入（明细）'!$B:$L,SMALL($B:$B,ROW(F497)),MATCH(H$7,$D$7:$L$7,0)),"")</f>
        <v/>
      </c>
      <c r="I503" s="60" t="str">
        <f>IFERROR(INDEX('领用录入（明细）'!$B:$L,SMALL($B:$B,ROW(G497)),MATCH(I$7,$D$7:$L$7,0)),"")</f>
        <v/>
      </c>
      <c r="J503" s="60" t="str">
        <f>IFERROR(INDEX('领用录入（明细）'!$B:$L,SMALL($B:$B,ROW(H497)),MATCH(J$7,$D$7:$L$7,0)),"")</f>
        <v/>
      </c>
      <c r="K503" s="60" t="str">
        <f>IFERROR(INDEX('领用录入（明细）'!$B:$L,SMALL($B:$B,ROW(I497)),MATCH(K$7,$D$7:$L$7,0)),"")</f>
        <v/>
      </c>
      <c r="L503" s="60" t="str">
        <f>IFERROR(INDEX('领用录入（明细）'!$B:$L,SMALL($B:$B,ROW(J497)),MATCH(L$7,$D$7:$L$7,0)),"")</f>
        <v/>
      </c>
      <c r="M503" s="60" t="str">
        <f t="shared" si="7"/>
        <v/>
      </c>
    </row>
    <row r="504" customHeight="1" spans="2:13">
      <c r="B504" s="62" t="str">
        <f>IF(AND('领用录入（明细）'!D:D=$F$4,'领用录入（明细）'!C:C&gt;=$J$4,'领用录入（明细）'!C:C&lt;=$L$4),ROW(),"-")</f>
        <v>-</v>
      </c>
      <c r="D504" s="59" t="str">
        <f>IFERROR(INDEX('领用录入（明细）'!$B:$L,SMALL($B:$B,ROW(B498)),MATCH(D$7,$D$7:$L$7,0)),"")</f>
        <v/>
      </c>
      <c r="E504" s="114" t="str">
        <f>IFERROR(INDEX('领用录入（明细）'!$B:$L,SMALL($B:$B,ROW(C498)),MATCH(E$7,$D$7:$L$7,0)),"")</f>
        <v/>
      </c>
      <c r="F504" s="60" t="str">
        <f>IFERROR(INDEX('领用录入（明细）'!$B:$L,SMALL($B:$B,ROW(D498)),MATCH(F$7,$D$7:$L$7,0)),"")</f>
        <v/>
      </c>
      <c r="G504" s="60" t="str">
        <f>IFERROR(INDEX('领用录入（明细）'!$B:$L,SMALL($B:$B,ROW(E498)),MATCH(G$7,$D$7:$L$7,0)),"")</f>
        <v/>
      </c>
      <c r="H504" s="60" t="str">
        <f>IFERROR(INDEX('领用录入（明细）'!$B:$L,SMALL($B:$B,ROW(F498)),MATCH(H$7,$D$7:$L$7,0)),"")</f>
        <v/>
      </c>
      <c r="I504" s="60" t="str">
        <f>IFERROR(INDEX('领用录入（明细）'!$B:$L,SMALL($B:$B,ROW(G498)),MATCH(I$7,$D$7:$L$7,0)),"")</f>
        <v/>
      </c>
      <c r="J504" s="60" t="str">
        <f>IFERROR(INDEX('领用录入（明细）'!$B:$L,SMALL($B:$B,ROW(H498)),MATCH(J$7,$D$7:$L$7,0)),"")</f>
        <v/>
      </c>
      <c r="K504" s="60" t="str">
        <f>IFERROR(INDEX('领用录入（明细）'!$B:$L,SMALL($B:$B,ROW(I498)),MATCH(K$7,$D$7:$L$7,0)),"")</f>
        <v/>
      </c>
      <c r="L504" s="60" t="str">
        <f>IFERROR(INDEX('领用录入（明细）'!$B:$L,SMALL($B:$B,ROW(J498)),MATCH(L$7,$D$7:$L$7,0)),"")</f>
        <v/>
      </c>
      <c r="M504" s="60" t="str">
        <f t="shared" si="7"/>
        <v/>
      </c>
    </row>
    <row r="505" customHeight="1" spans="2:13">
      <c r="B505" s="62" t="str">
        <f>IF(AND('领用录入（明细）'!D:D=$F$4,'领用录入（明细）'!C:C&gt;=$J$4,'领用录入（明细）'!C:C&lt;=$L$4),ROW(),"-")</f>
        <v>-</v>
      </c>
      <c r="D505" s="59" t="str">
        <f>IFERROR(INDEX('领用录入（明细）'!$B:$L,SMALL($B:$B,ROW(B499)),MATCH(D$7,$D$7:$L$7,0)),"")</f>
        <v/>
      </c>
      <c r="E505" s="114" t="str">
        <f>IFERROR(INDEX('领用录入（明细）'!$B:$L,SMALL($B:$B,ROW(C499)),MATCH(E$7,$D$7:$L$7,0)),"")</f>
        <v/>
      </c>
      <c r="F505" s="60" t="str">
        <f>IFERROR(INDEX('领用录入（明细）'!$B:$L,SMALL($B:$B,ROW(D499)),MATCH(F$7,$D$7:$L$7,0)),"")</f>
        <v/>
      </c>
      <c r="G505" s="60" t="str">
        <f>IFERROR(INDEX('领用录入（明细）'!$B:$L,SMALL($B:$B,ROW(E499)),MATCH(G$7,$D$7:$L$7,0)),"")</f>
        <v/>
      </c>
      <c r="H505" s="60" t="str">
        <f>IFERROR(INDEX('领用录入（明细）'!$B:$L,SMALL($B:$B,ROW(F499)),MATCH(H$7,$D$7:$L$7,0)),"")</f>
        <v/>
      </c>
      <c r="I505" s="60" t="str">
        <f>IFERROR(INDEX('领用录入（明细）'!$B:$L,SMALL($B:$B,ROW(G499)),MATCH(I$7,$D$7:$L$7,0)),"")</f>
        <v/>
      </c>
      <c r="J505" s="60" t="str">
        <f>IFERROR(INDEX('领用录入（明细）'!$B:$L,SMALL($B:$B,ROW(H499)),MATCH(J$7,$D$7:$L$7,0)),"")</f>
        <v/>
      </c>
      <c r="K505" s="60" t="str">
        <f>IFERROR(INDEX('领用录入（明细）'!$B:$L,SMALL($B:$B,ROW(I499)),MATCH(K$7,$D$7:$L$7,0)),"")</f>
        <v/>
      </c>
      <c r="L505" s="60" t="str">
        <f>IFERROR(INDEX('领用录入（明细）'!$B:$L,SMALL($B:$B,ROW(J499)),MATCH(L$7,$D$7:$L$7,0)),"")</f>
        <v/>
      </c>
      <c r="M505" s="60" t="str">
        <f t="shared" si="7"/>
        <v/>
      </c>
    </row>
    <row r="506" customHeight="1" spans="2:13">
      <c r="B506" s="62" t="str">
        <f>IF(AND('领用录入（明细）'!D:D=$F$4,'领用录入（明细）'!C:C&gt;=$J$4,'领用录入（明细）'!C:C&lt;=$L$4),ROW(),"-")</f>
        <v>-</v>
      </c>
      <c r="D506" s="59" t="str">
        <f>IFERROR(INDEX('领用录入（明细）'!$B:$L,SMALL($B:$B,ROW(B500)),MATCH(D$7,$D$7:$L$7,0)),"")</f>
        <v/>
      </c>
      <c r="E506" s="114" t="str">
        <f>IFERROR(INDEX('领用录入（明细）'!$B:$L,SMALL($B:$B,ROW(C500)),MATCH(E$7,$D$7:$L$7,0)),"")</f>
        <v/>
      </c>
      <c r="F506" s="60" t="str">
        <f>IFERROR(INDEX('领用录入（明细）'!$B:$L,SMALL($B:$B,ROW(D500)),MATCH(F$7,$D$7:$L$7,0)),"")</f>
        <v/>
      </c>
      <c r="G506" s="60" t="str">
        <f>IFERROR(INDEX('领用录入（明细）'!$B:$L,SMALL($B:$B,ROW(E500)),MATCH(G$7,$D$7:$L$7,0)),"")</f>
        <v/>
      </c>
      <c r="H506" s="60" t="str">
        <f>IFERROR(INDEX('领用录入（明细）'!$B:$L,SMALL($B:$B,ROW(F500)),MATCH(H$7,$D$7:$L$7,0)),"")</f>
        <v/>
      </c>
      <c r="I506" s="60" t="str">
        <f>IFERROR(INDEX('领用录入（明细）'!$B:$L,SMALL($B:$B,ROW(G500)),MATCH(I$7,$D$7:$L$7,0)),"")</f>
        <v/>
      </c>
      <c r="J506" s="60" t="str">
        <f>IFERROR(INDEX('领用录入（明细）'!$B:$L,SMALL($B:$B,ROW(H500)),MATCH(J$7,$D$7:$L$7,0)),"")</f>
        <v/>
      </c>
      <c r="K506" s="60" t="str">
        <f>IFERROR(INDEX('领用录入（明细）'!$B:$L,SMALL($B:$B,ROW(I500)),MATCH(K$7,$D$7:$L$7,0)),"")</f>
        <v/>
      </c>
      <c r="L506" s="60" t="str">
        <f>IFERROR(INDEX('领用录入（明细）'!$B:$L,SMALL($B:$B,ROW(J500)),MATCH(L$7,$D$7:$L$7,0)),"")</f>
        <v/>
      </c>
      <c r="M506" s="60" t="str">
        <f t="shared" si="7"/>
        <v/>
      </c>
    </row>
    <row r="507" customHeight="1" spans="2:13">
      <c r="B507" s="62" t="str">
        <f>IF(AND('领用录入（明细）'!D:D=$F$4,'领用录入（明细）'!C:C&gt;=$J$4,'领用录入（明细）'!C:C&lt;=$L$4),ROW(),"-")</f>
        <v>-</v>
      </c>
      <c r="D507" s="59" t="str">
        <f>IFERROR(INDEX('领用录入（明细）'!$B:$L,SMALL($B:$B,ROW(B501)),MATCH(D$7,$D$7:$L$7,0)),"")</f>
        <v/>
      </c>
      <c r="E507" s="114" t="str">
        <f>IFERROR(INDEX('领用录入（明细）'!$B:$L,SMALL($B:$B,ROW(C501)),MATCH(E$7,$D$7:$L$7,0)),"")</f>
        <v/>
      </c>
      <c r="F507" s="60" t="str">
        <f>IFERROR(INDEX('领用录入（明细）'!$B:$L,SMALL($B:$B,ROW(D501)),MATCH(F$7,$D$7:$L$7,0)),"")</f>
        <v/>
      </c>
      <c r="G507" s="60" t="str">
        <f>IFERROR(INDEX('领用录入（明细）'!$B:$L,SMALL($B:$B,ROW(E501)),MATCH(G$7,$D$7:$L$7,0)),"")</f>
        <v/>
      </c>
      <c r="H507" s="60" t="str">
        <f>IFERROR(INDEX('领用录入（明细）'!$B:$L,SMALL($B:$B,ROW(F501)),MATCH(H$7,$D$7:$L$7,0)),"")</f>
        <v/>
      </c>
      <c r="I507" s="60" t="str">
        <f>IFERROR(INDEX('领用录入（明细）'!$B:$L,SMALL($B:$B,ROW(G501)),MATCH(I$7,$D$7:$L$7,0)),"")</f>
        <v/>
      </c>
      <c r="J507" s="60" t="str">
        <f>IFERROR(INDEX('领用录入（明细）'!$B:$L,SMALL($B:$B,ROW(H501)),MATCH(J$7,$D$7:$L$7,0)),"")</f>
        <v/>
      </c>
      <c r="K507" s="60" t="str">
        <f>IFERROR(INDEX('领用录入（明细）'!$B:$L,SMALL($B:$B,ROW(I501)),MATCH(K$7,$D$7:$L$7,0)),"")</f>
        <v/>
      </c>
      <c r="L507" s="60" t="str">
        <f>IFERROR(INDEX('领用录入（明细）'!$B:$L,SMALL($B:$B,ROW(J501)),MATCH(L$7,$D$7:$L$7,0)),"")</f>
        <v/>
      </c>
      <c r="M507" s="60" t="str">
        <f t="shared" si="7"/>
        <v/>
      </c>
    </row>
    <row r="508" customHeight="1" spans="2:13">
      <c r="B508" s="62" t="str">
        <f>IF(AND('领用录入（明细）'!D:D=$F$4,'领用录入（明细）'!C:C&gt;=$J$4,'领用录入（明细）'!C:C&lt;=$L$4),ROW(),"-")</f>
        <v>-</v>
      </c>
    </row>
    <row r="509" customHeight="1" spans="2:13">
      <c r="B509" s="62" t="str">
        <f>IF(AND('领用录入（明细）'!D:D=$F$4,'领用录入（明细）'!C:C&gt;=$J$4,'领用录入（明细）'!C:C&lt;=$L$4),ROW(),"-")</f>
        <v>-</v>
      </c>
    </row>
    <row r="510" customHeight="1" spans="2:13">
      <c r="B510" s="62" t="str">
        <f>IF(AND('领用录入（明细）'!D:D=$F$4,'领用录入（明细）'!C:C&gt;=$J$4,'领用录入（明细）'!C:C&lt;=$L$4),ROW(),"-")</f>
        <v>-</v>
      </c>
    </row>
    <row r="511" customHeight="1" spans="2:13">
      <c r="B511" s="62" t="str">
        <f>IF(AND('领用录入（明细）'!D:D=$F$4,'领用录入（明细）'!C:C&gt;=$J$4,'领用录入（明细）'!C:C&lt;=$L$4),ROW(),"-")</f>
        <v>-</v>
      </c>
    </row>
    <row r="512" customHeight="1" spans="2:13">
      <c r="B512" s="62" t="str">
        <f>IF(AND('领用录入（明细）'!D:D=$F$4,'领用录入（明细）'!C:C&gt;=$J$4,'领用录入（明细）'!C:C&lt;=$L$4),ROW(),"-")</f>
        <v>-</v>
      </c>
    </row>
    <row r="513" customHeight="1" spans="2:2">
      <c r="B513" s="62" t="str">
        <f>IF(AND('领用录入（明细）'!D:D=$F$4,'领用录入（明细）'!C:C&gt;=$J$4,'领用录入（明细）'!C:C&lt;=$L$4),ROW(),"-")</f>
        <v>-</v>
      </c>
    </row>
    <row r="514" customHeight="1" spans="2:2">
      <c r="B514" s="62" t="str">
        <f>IF(AND('领用录入（明细）'!D:D=$F$4,'领用录入（明细）'!C:C&gt;=$J$4,'领用录入（明细）'!C:C&lt;=$L$4),ROW(),"-")</f>
        <v>-</v>
      </c>
    </row>
    <row r="515" customHeight="1" spans="2:2">
      <c r="B515" s="62" t="str">
        <f>IF(AND('领用录入（明细）'!D:D=$F$4,'领用录入（明细）'!C:C&gt;=$J$4,'领用录入（明细）'!C:C&lt;=$L$4),ROW(),"-")</f>
        <v>-</v>
      </c>
    </row>
    <row r="516" customHeight="1" spans="2:2">
      <c r="B516" s="62" t="str">
        <f>IF(AND('领用录入（明细）'!D:D=$F$4,'领用录入（明细）'!C:C&gt;=$J$4,'领用录入（明细）'!C:C&lt;=$L$4),ROW(),"-")</f>
        <v>-</v>
      </c>
    </row>
    <row r="517" customHeight="1" spans="2:2">
      <c r="B517" s="62" t="str">
        <f>IF(AND('领用录入（明细）'!D:D=$F$4,'领用录入（明细）'!C:C&gt;=$J$4,'领用录入（明细）'!C:C&lt;=$L$4),ROW(),"-")</f>
        <v>-</v>
      </c>
    </row>
    <row r="518" customHeight="1" spans="2:2">
      <c r="B518" s="62" t="str">
        <f>IF(AND('领用录入（明细）'!D:D=$F$4,'领用录入（明细）'!C:C&gt;=$J$4,'领用录入（明细）'!C:C&lt;=$L$4),ROW(),"-")</f>
        <v>-</v>
      </c>
    </row>
    <row r="519" customHeight="1" spans="2:2">
      <c r="B519" s="62" t="str">
        <f>IF(AND('领用录入（明细）'!D:D=$F$4,'领用录入（明细）'!C:C&gt;=$J$4,'领用录入（明细）'!C:C&lt;=$L$4),ROW(),"-")</f>
        <v>-</v>
      </c>
    </row>
    <row r="520" customHeight="1" spans="2:2">
      <c r="B520" s="62" t="str">
        <f>IF(AND('领用录入（明细）'!D:D=$F$4,'领用录入（明细）'!C:C&gt;=$J$4,'领用录入（明细）'!C:C&lt;=$L$4),ROW(),"-")</f>
        <v>-</v>
      </c>
    </row>
    <row r="521" customHeight="1" spans="2:2">
      <c r="B521" s="62" t="str">
        <f>IF(AND('领用录入（明细）'!D:D=$F$4,'领用录入（明细）'!C:C&gt;=$J$4,'领用录入（明细）'!C:C&lt;=$L$4),ROW(),"-")</f>
        <v>-</v>
      </c>
    </row>
    <row r="522" customHeight="1" spans="2:2">
      <c r="B522" s="62" t="str">
        <f>IF(AND('领用录入（明细）'!D:D=$F$4,'领用录入（明细）'!C:C&gt;=$J$4,'领用录入（明细）'!C:C&lt;=$L$4),ROW(),"-")</f>
        <v>-</v>
      </c>
    </row>
    <row r="523" customHeight="1" spans="2:2">
      <c r="B523" s="62" t="str">
        <f>IF(AND('领用录入（明细）'!D:D=$F$4,'领用录入（明细）'!C:C&gt;=$J$4,'领用录入（明细）'!C:C&lt;=$L$4),ROW(),"-")</f>
        <v>-</v>
      </c>
    </row>
    <row r="524" customHeight="1" spans="2:2">
      <c r="B524" s="62" t="str">
        <f>IF(AND('领用录入（明细）'!D:D=$F$4,'领用录入（明细）'!C:C&gt;=$J$4,'领用录入（明细）'!C:C&lt;=$L$4),ROW(),"-")</f>
        <v>-</v>
      </c>
    </row>
    <row r="525" customHeight="1" spans="2:2">
      <c r="B525" s="62" t="str">
        <f>IF(AND('领用录入（明细）'!D:D=$F$4,'领用录入（明细）'!C:C&gt;=$J$4,'领用录入（明细）'!C:C&lt;=$L$4),ROW(),"-")</f>
        <v>-</v>
      </c>
    </row>
    <row r="526" customHeight="1" spans="2:2">
      <c r="B526" s="62" t="str">
        <f>IF(AND('领用录入（明细）'!D:D=$F$4,'领用录入（明细）'!C:C&gt;=$J$4,'领用录入（明细）'!C:C&lt;=$L$4),ROW(),"-")</f>
        <v>-</v>
      </c>
    </row>
    <row r="527" customHeight="1" spans="2:2">
      <c r="B527" s="62" t="str">
        <f>IF(AND('领用录入（明细）'!D:D=$F$4,'领用录入（明细）'!C:C&gt;=$J$4,'领用录入（明细）'!C:C&lt;=$L$4),ROW(),"-")</f>
        <v>-</v>
      </c>
    </row>
    <row r="528" customHeight="1" spans="2:2">
      <c r="B528" s="62" t="str">
        <f>IF(AND('领用录入（明细）'!D:D=$F$4,'领用录入（明细）'!C:C&gt;=$J$4,'领用录入（明细）'!C:C&lt;=$L$4),ROW(),"-")</f>
        <v>-</v>
      </c>
    </row>
    <row r="529" customHeight="1" spans="2:2">
      <c r="B529" s="62" t="str">
        <f>IF(AND('领用录入（明细）'!D:D=$F$4,'领用录入（明细）'!C:C&gt;=$J$4,'领用录入（明细）'!C:C&lt;=$L$4),ROW(),"-")</f>
        <v>-</v>
      </c>
    </row>
    <row r="530" customHeight="1" spans="2:2">
      <c r="B530" s="62" t="str">
        <f>IF(AND('领用录入（明细）'!D:D=$F$4,'领用录入（明细）'!C:C&gt;=$J$4,'领用录入（明细）'!C:C&lt;=$L$4),ROW(),"-")</f>
        <v>-</v>
      </c>
    </row>
    <row r="531" customHeight="1" spans="2:2">
      <c r="B531" s="62" t="str">
        <f>IF(AND('领用录入（明细）'!D:D=$F$4,'领用录入（明细）'!C:C&gt;=$J$4,'领用录入（明细）'!C:C&lt;=$L$4),ROW(),"-")</f>
        <v>-</v>
      </c>
    </row>
    <row r="532" customHeight="1" spans="2:2">
      <c r="B532" s="62" t="str">
        <f>IF(AND('领用录入（明细）'!D:D=$F$4,'领用录入（明细）'!C:C&gt;=$J$4,'领用录入（明细）'!C:C&lt;=$L$4),ROW(),"-")</f>
        <v>-</v>
      </c>
    </row>
    <row r="533" customHeight="1" spans="2:2">
      <c r="B533" s="62" t="str">
        <f>IF(AND('领用录入（明细）'!D:D=$F$4,'领用录入（明细）'!C:C&gt;=$J$4,'领用录入（明细）'!C:C&lt;=$L$4),ROW(),"-")</f>
        <v>-</v>
      </c>
    </row>
    <row r="534" customHeight="1" spans="2:2">
      <c r="B534" s="62" t="str">
        <f>IF(AND('领用录入（明细）'!D:D=$F$4,'领用录入（明细）'!C:C&gt;=$J$4,'领用录入（明细）'!C:C&lt;=$L$4),ROW(),"-")</f>
        <v>-</v>
      </c>
    </row>
    <row r="535" customHeight="1" spans="2:2">
      <c r="B535" s="62" t="str">
        <f>IF(AND('领用录入（明细）'!D:D=$F$4,'领用录入（明细）'!C:C&gt;=$J$4,'领用录入（明细）'!C:C&lt;=$L$4),ROW(),"-")</f>
        <v>-</v>
      </c>
    </row>
    <row r="536" customHeight="1" spans="2:2">
      <c r="B536" s="62" t="str">
        <f>IF(AND('领用录入（明细）'!D:D=$F$4,'领用录入（明细）'!C:C&gt;=$J$4,'领用录入（明细）'!C:C&lt;=$L$4),ROW(),"-")</f>
        <v>-</v>
      </c>
    </row>
    <row r="537" customHeight="1" spans="2:2">
      <c r="B537" s="62" t="str">
        <f>IF(AND('领用录入（明细）'!D:D=$F$4,'领用录入（明细）'!C:C&gt;=$J$4,'领用录入（明细）'!C:C&lt;=$L$4),ROW(),"-")</f>
        <v>-</v>
      </c>
    </row>
    <row r="538" customHeight="1" spans="2:2">
      <c r="B538" s="62" t="str">
        <f>IF(AND('领用录入（明细）'!D:D=$F$4,'领用录入（明细）'!C:C&gt;=$J$4,'领用录入（明细）'!C:C&lt;=$L$4),ROW(),"-")</f>
        <v>-</v>
      </c>
    </row>
    <row r="539" customHeight="1" spans="2:2">
      <c r="B539" s="62" t="str">
        <f>IF(AND('领用录入（明细）'!D:D=$F$4,'领用录入（明细）'!C:C&gt;=$J$4,'领用录入（明细）'!C:C&lt;=$L$4),ROW(),"-")</f>
        <v>-</v>
      </c>
    </row>
    <row r="540" customHeight="1" spans="2:2">
      <c r="B540" s="62" t="str">
        <f>IF(AND('领用录入（明细）'!D:D=$F$4,'领用录入（明细）'!C:C&gt;=$J$4,'领用录入（明细）'!C:C&lt;=$L$4),ROW(),"-")</f>
        <v>-</v>
      </c>
    </row>
    <row r="541" customHeight="1" spans="2:2">
      <c r="B541" s="62" t="str">
        <f>IF(AND('领用录入（明细）'!D:D=$F$4,'领用录入（明细）'!C:C&gt;=$J$4,'领用录入（明细）'!C:C&lt;=$L$4),ROW(),"-")</f>
        <v>-</v>
      </c>
    </row>
    <row r="542" customHeight="1" spans="2:2">
      <c r="B542" s="62" t="str">
        <f>IF(AND('领用录入（明细）'!D:D=$F$4,'领用录入（明细）'!C:C&gt;=$J$4,'领用录入（明细）'!C:C&lt;=$L$4),ROW(),"-")</f>
        <v>-</v>
      </c>
    </row>
    <row r="543" customHeight="1" spans="2:2">
      <c r="B543" s="62" t="str">
        <f>IF(AND('领用录入（明细）'!D:D=$F$4,'领用录入（明细）'!C:C&gt;=$J$4,'领用录入（明细）'!C:C&lt;=$L$4),ROW(),"-")</f>
        <v>-</v>
      </c>
    </row>
    <row r="544" customHeight="1" spans="2:2">
      <c r="B544" s="62" t="str">
        <f>IF(AND('领用录入（明细）'!D:D=$F$4,'领用录入（明细）'!C:C&gt;=$J$4,'领用录入（明细）'!C:C&lt;=$L$4),ROW(),"-")</f>
        <v>-</v>
      </c>
    </row>
    <row r="545" customHeight="1" spans="2:2">
      <c r="B545" s="62" t="str">
        <f>IF(AND('领用录入（明细）'!D:D=$F$4,'领用录入（明细）'!C:C&gt;=$J$4,'领用录入（明细）'!C:C&lt;=$L$4),ROW(),"-")</f>
        <v>-</v>
      </c>
    </row>
    <row r="546" customHeight="1" spans="2:2">
      <c r="B546" s="62" t="str">
        <f>IF(AND('领用录入（明细）'!D:D=$F$4,'领用录入（明细）'!C:C&gt;=$J$4,'领用录入（明细）'!C:C&lt;=$L$4),ROW(),"-")</f>
        <v>-</v>
      </c>
    </row>
    <row r="547" customHeight="1" spans="2:2">
      <c r="B547" s="62" t="str">
        <f>IF(AND('领用录入（明细）'!D:D=$F$4,'领用录入（明细）'!C:C&gt;=$J$4,'领用录入（明细）'!C:C&lt;=$L$4),ROW(),"-")</f>
        <v>-</v>
      </c>
    </row>
    <row r="548" customHeight="1" spans="2:2">
      <c r="B548" s="62" t="str">
        <f>IF(AND('领用录入（明细）'!D:D=$F$4,'领用录入（明细）'!C:C&gt;=$J$4,'领用录入（明细）'!C:C&lt;=$L$4),ROW(),"-")</f>
        <v>-</v>
      </c>
    </row>
    <row r="549" customHeight="1" spans="2:2">
      <c r="B549" s="62" t="str">
        <f>IF(AND('领用录入（明细）'!D:D=$F$4,'领用录入（明细）'!C:C&gt;=$J$4,'领用录入（明细）'!C:C&lt;=$L$4),ROW(),"-")</f>
        <v>-</v>
      </c>
    </row>
    <row r="550" customHeight="1" spans="2:2">
      <c r="B550" s="62" t="str">
        <f>IF(AND('领用录入（明细）'!D:D=$F$4,'领用录入（明细）'!C:C&gt;=$J$4,'领用录入（明细）'!C:C&lt;=$L$4),ROW(),"-")</f>
        <v>-</v>
      </c>
    </row>
    <row r="551" customHeight="1" spans="2:2">
      <c r="B551" s="62" t="str">
        <f>IF(AND('领用录入（明细）'!D:D=$F$4,'领用录入（明细）'!C:C&gt;=$J$4,'领用录入（明细）'!C:C&lt;=$L$4),ROW(),"-")</f>
        <v>-</v>
      </c>
    </row>
    <row r="552" customHeight="1" spans="2:2">
      <c r="B552" s="62" t="str">
        <f>IF(AND('领用录入（明细）'!D:D=$F$4,'领用录入（明细）'!C:C&gt;=$J$4,'领用录入（明细）'!C:C&lt;=$L$4),ROW(),"-")</f>
        <v>-</v>
      </c>
    </row>
    <row r="553" customHeight="1" spans="2:2">
      <c r="B553" s="62" t="str">
        <f>IF(AND('领用录入（明细）'!D:D=$F$4,'领用录入（明细）'!C:C&gt;=$J$4,'领用录入（明细）'!C:C&lt;=$L$4),ROW(),"-")</f>
        <v>-</v>
      </c>
    </row>
    <row r="554" customHeight="1" spans="2:2">
      <c r="B554" s="62" t="str">
        <f>IF(AND('领用录入（明细）'!D:D=$F$4,'领用录入（明细）'!C:C&gt;=$J$4,'领用录入（明细）'!C:C&lt;=$L$4),ROW(),"-")</f>
        <v>-</v>
      </c>
    </row>
    <row r="555" customHeight="1" spans="2:2">
      <c r="B555" s="62" t="str">
        <f>IF(AND('领用录入（明细）'!D:D=$F$4,'领用录入（明细）'!C:C&gt;=$J$4,'领用录入（明细）'!C:C&lt;=$L$4),ROW(),"-")</f>
        <v>-</v>
      </c>
    </row>
    <row r="556" customHeight="1" spans="2:2">
      <c r="B556" s="62" t="str">
        <f>IF(AND('领用录入（明细）'!D:D=$F$4,'领用录入（明细）'!C:C&gt;=$J$4,'领用录入（明细）'!C:C&lt;=$L$4),ROW(),"-")</f>
        <v>-</v>
      </c>
    </row>
    <row r="557" customHeight="1" spans="2:2">
      <c r="B557" s="62" t="str">
        <f>IF(AND('领用录入（明细）'!D:D=$F$4,'领用录入（明细）'!C:C&gt;=$J$4,'领用录入（明细）'!C:C&lt;=$L$4),ROW(),"-")</f>
        <v>-</v>
      </c>
    </row>
    <row r="558" customHeight="1" spans="2:2">
      <c r="B558" s="62" t="str">
        <f>IF(AND('领用录入（明细）'!D:D=$F$4,'领用录入（明细）'!C:C&gt;=$J$4,'领用录入（明细）'!C:C&lt;=$L$4),ROW(),"-")</f>
        <v>-</v>
      </c>
    </row>
    <row r="559" customHeight="1" spans="2:2">
      <c r="B559" s="62" t="str">
        <f>IF(AND('领用录入（明细）'!D:D=$F$4,'领用录入（明细）'!C:C&gt;=$J$4,'领用录入（明细）'!C:C&lt;=$L$4),ROW(),"-")</f>
        <v>-</v>
      </c>
    </row>
    <row r="560" customHeight="1" spans="2:2">
      <c r="B560" s="62" t="str">
        <f>IF(AND('领用录入（明细）'!D:D=$F$4,'领用录入（明细）'!C:C&gt;=$J$4,'领用录入（明细）'!C:C&lt;=$L$4),ROW(),"-")</f>
        <v>-</v>
      </c>
    </row>
    <row r="561" customHeight="1" spans="2:2">
      <c r="B561" s="62" t="str">
        <f>IF(AND('领用录入（明细）'!D:D=$F$4,'领用录入（明细）'!C:C&gt;=$J$4,'领用录入（明细）'!C:C&lt;=$L$4),ROW(),"-")</f>
        <v>-</v>
      </c>
    </row>
    <row r="562" customHeight="1" spans="2:2">
      <c r="B562" s="62" t="str">
        <f>IF(AND('领用录入（明细）'!D:D=$F$4,'领用录入（明细）'!C:C&gt;=$J$4,'领用录入（明细）'!C:C&lt;=$L$4),ROW(),"-")</f>
        <v>-</v>
      </c>
    </row>
    <row r="563" customHeight="1" spans="2:2">
      <c r="B563" s="62" t="str">
        <f>IF(AND('领用录入（明细）'!D:D=$F$4,'领用录入（明细）'!C:C&gt;=$J$4,'领用录入（明细）'!C:C&lt;=$L$4),ROW(),"-")</f>
        <v>-</v>
      </c>
    </row>
    <row r="564" customHeight="1" spans="2:2">
      <c r="B564" s="62" t="str">
        <f>IF(AND('领用录入（明细）'!D:D=$F$4,'领用录入（明细）'!C:C&gt;=$J$4,'领用录入（明细）'!C:C&lt;=$L$4),ROW(),"-")</f>
        <v>-</v>
      </c>
    </row>
    <row r="565" customHeight="1" spans="2:2">
      <c r="B565" s="62" t="str">
        <f>IF(AND('领用录入（明细）'!D:D=$F$4,'领用录入（明细）'!C:C&gt;=$J$4,'领用录入（明细）'!C:C&lt;=$L$4),ROW(),"-")</f>
        <v>-</v>
      </c>
    </row>
    <row r="566" customHeight="1" spans="2:2">
      <c r="B566" s="62" t="str">
        <f>IF(AND('领用录入（明细）'!D:D=$F$4,'领用录入（明细）'!C:C&gt;=$J$4,'领用录入（明细）'!C:C&lt;=$L$4),ROW(),"-")</f>
        <v>-</v>
      </c>
    </row>
    <row r="567" customHeight="1" spans="2:2">
      <c r="B567" s="62" t="str">
        <f>IF(AND('领用录入（明细）'!D:D=$F$4,'领用录入（明细）'!C:C&gt;=$J$4,'领用录入（明细）'!C:C&lt;=$L$4),ROW(),"-")</f>
        <v>-</v>
      </c>
    </row>
    <row r="568" customHeight="1" spans="2:2">
      <c r="B568" s="62" t="str">
        <f>IF(AND('领用录入（明细）'!D:D=$F$4,'领用录入（明细）'!C:C&gt;=$J$4,'领用录入（明细）'!C:C&lt;=$L$4),ROW(),"-")</f>
        <v>-</v>
      </c>
    </row>
    <row r="569" customHeight="1" spans="2:2">
      <c r="B569" s="62" t="str">
        <f>IF(AND('领用录入（明细）'!D:D=$F$4,'领用录入（明细）'!C:C&gt;=$J$4,'领用录入（明细）'!C:C&lt;=$L$4),ROW(),"-")</f>
        <v>-</v>
      </c>
    </row>
    <row r="570" customHeight="1" spans="2:2">
      <c r="B570" s="62" t="str">
        <f>IF(AND('领用录入（明细）'!D:D=$F$4,'领用录入（明细）'!C:C&gt;=$J$4,'领用录入（明细）'!C:C&lt;=$L$4),ROW(),"-")</f>
        <v>-</v>
      </c>
    </row>
    <row r="571" customHeight="1" spans="2:2">
      <c r="B571" s="62" t="str">
        <f>IF(AND('领用录入（明细）'!D:D=$F$4,'领用录入（明细）'!C:C&gt;=$J$4,'领用录入（明细）'!C:C&lt;=$L$4),ROW(),"-")</f>
        <v>-</v>
      </c>
    </row>
    <row r="572" customHeight="1" spans="2:2">
      <c r="B572" s="62" t="str">
        <f>IF(AND('领用录入（明细）'!D:D=$F$4,'领用录入（明细）'!C:C&gt;=$J$4,'领用录入（明细）'!C:C&lt;=$L$4),ROW(),"-")</f>
        <v>-</v>
      </c>
    </row>
    <row r="573" customHeight="1" spans="2:2">
      <c r="B573" s="62" t="str">
        <f>IF(AND('领用录入（明细）'!D:D=$F$4,'领用录入（明细）'!C:C&gt;=$J$4,'领用录入（明细）'!C:C&lt;=$L$4),ROW(),"-")</f>
        <v>-</v>
      </c>
    </row>
    <row r="574" customHeight="1" spans="2:2">
      <c r="B574" s="62" t="str">
        <f>IF(AND('领用录入（明细）'!D:D=$F$4,'领用录入（明细）'!C:C&gt;=$J$4,'领用录入（明细）'!C:C&lt;=$L$4),ROW(),"-")</f>
        <v>-</v>
      </c>
    </row>
    <row r="575" customHeight="1" spans="2:2">
      <c r="B575" s="62" t="str">
        <f>IF(AND('领用录入（明细）'!D:D=$F$4,'领用录入（明细）'!C:C&gt;=$J$4,'领用录入（明细）'!C:C&lt;=$L$4),ROW(),"-")</f>
        <v>-</v>
      </c>
    </row>
    <row r="576" customHeight="1" spans="2:2">
      <c r="B576" s="62" t="str">
        <f>IF(AND('领用录入（明细）'!D:D=$F$4,'领用录入（明细）'!C:C&gt;=$J$4,'领用录入（明细）'!C:C&lt;=$L$4),ROW(),"-")</f>
        <v>-</v>
      </c>
    </row>
    <row r="577" customHeight="1" spans="2:2">
      <c r="B577" s="62" t="str">
        <f>IF(AND('领用录入（明细）'!D:D=$F$4,'领用录入（明细）'!C:C&gt;=$J$4,'领用录入（明细）'!C:C&lt;=$L$4),ROW(),"-")</f>
        <v>-</v>
      </c>
    </row>
    <row r="578" customHeight="1" spans="2:2">
      <c r="B578" s="62" t="str">
        <f>IF(AND('领用录入（明细）'!D:D=$F$4,'领用录入（明细）'!C:C&gt;=$J$4,'领用录入（明细）'!C:C&lt;=$L$4),ROW(),"-")</f>
        <v>-</v>
      </c>
    </row>
    <row r="579" customHeight="1" spans="2:2">
      <c r="B579" s="62" t="str">
        <f>IF(AND('领用录入（明细）'!D:D=$F$4,'领用录入（明细）'!C:C&gt;=$J$4,'领用录入（明细）'!C:C&lt;=$L$4),ROW(),"-")</f>
        <v>-</v>
      </c>
    </row>
    <row r="580" customHeight="1" spans="2:2">
      <c r="B580" s="62" t="str">
        <f>IF(AND('领用录入（明细）'!D:D=$F$4,'领用录入（明细）'!C:C&gt;=$J$4,'领用录入（明细）'!C:C&lt;=$L$4),ROW(),"-")</f>
        <v>-</v>
      </c>
    </row>
    <row r="581" customHeight="1" spans="2:2">
      <c r="B581" s="62" t="str">
        <f>IF(AND('领用录入（明细）'!D:D=$F$4,'领用录入（明细）'!C:C&gt;=$J$4,'领用录入（明细）'!C:C&lt;=$L$4),ROW(),"-")</f>
        <v>-</v>
      </c>
    </row>
    <row r="582" customHeight="1" spans="2:2">
      <c r="B582" s="62" t="str">
        <f>IF(AND('领用录入（明细）'!D:D=$F$4,'领用录入（明细）'!C:C&gt;=$J$4,'领用录入（明细）'!C:C&lt;=$L$4),ROW(),"-")</f>
        <v>-</v>
      </c>
    </row>
    <row r="583" customHeight="1" spans="2:2">
      <c r="B583" s="62" t="str">
        <f>IF(AND('领用录入（明细）'!D:D=$F$4,'领用录入（明细）'!C:C&gt;=$J$4,'领用录入（明细）'!C:C&lt;=$L$4),ROW(),"-")</f>
        <v>-</v>
      </c>
    </row>
    <row r="584" customHeight="1" spans="2:2">
      <c r="B584" s="62" t="str">
        <f>IF(AND('领用录入（明细）'!D:D=$F$4,'领用录入（明细）'!C:C&gt;=$J$4,'领用录入（明细）'!C:C&lt;=$L$4),ROW(),"-")</f>
        <v>-</v>
      </c>
    </row>
    <row r="585" customHeight="1" spans="2:2">
      <c r="B585" s="62" t="str">
        <f>IF(AND('领用录入（明细）'!D:D=$F$4,'领用录入（明细）'!C:C&gt;=$J$4,'领用录入（明细）'!C:C&lt;=$L$4),ROW(),"-")</f>
        <v>-</v>
      </c>
    </row>
    <row r="586" customHeight="1" spans="2:2">
      <c r="B586" s="62" t="str">
        <f>IF(AND('领用录入（明细）'!D:D=$F$4,'领用录入（明细）'!C:C&gt;=$J$4,'领用录入（明细）'!C:C&lt;=$L$4),ROW(),"-")</f>
        <v>-</v>
      </c>
    </row>
    <row r="587" customHeight="1" spans="2:2">
      <c r="B587" s="62" t="str">
        <f>IF(AND('领用录入（明细）'!D:D=$F$4,'领用录入（明细）'!C:C&gt;=$J$4,'领用录入（明细）'!C:C&lt;=$L$4),ROW(),"-")</f>
        <v>-</v>
      </c>
    </row>
    <row r="588" customHeight="1" spans="2:2">
      <c r="B588" s="62" t="str">
        <f>IF(AND('领用录入（明细）'!D:D=$F$4,'领用录入（明细）'!C:C&gt;=$J$4,'领用录入（明细）'!C:C&lt;=$L$4),ROW(),"-")</f>
        <v>-</v>
      </c>
    </row>
    <row r="589" customHeight="1" spans="2:2">
      <c r="B589" s="62" t="str">
        <f>IF(AND('领用录入（明细）'!D:D=$F$4,'领用录入（明细）'!C:C&gt;=$J$4,'领用录入（明细）'!C:C&lt;=$L$4),ROW(),"-")</f>
        <v>-</v>
      </c>
    </row>
    <row r="590" customHeight="1" spans="2:2">
      <c r="B590" s="62" t="str">
        <f>IF(AND('领用录入（明细）'!D:D=$F$4,'领用录入（明细）'!C:C&gt;=$J$4,'领用录入（明细）'!C:C&lt;=$L$4),ROW(),"-")</f>
        <v>-</v>
      </c>
    </row>
    <row r="591" customHeight="1" spans="2:2">
      <c r="B591" s="62" t="str">
        <f>IF(AND('领用录入（明细）'!D:D=$F$4,'领用录入（明细）'!C:C&gt;=$J$4,'领用录入（明细）'!C:C&lt;=$L$4),ROW(),"-")</f>
        <v>-</v>
      </c>
    </row>
    <row r="592" customHeight="1" spans="2:2">
      <c r="B592" s="62" t="str">
        <f>IF(AND('领用录入（明细）'!D:D=$F$4,'领用录入（明细）'!C:C&gt;=$J$4,'领用录入（明细）'!C:C&lt;=$L$4),ROW(),"-")</f>
        <v>-</v>
      </c>
    </row>
    <row r="593" customHeight="1" spans="2:2">
      <c r="B593" s="62" t="str">
        <f>IF(AND('领用录入（明细）'!D:D=$F$4,'领用录入（明细）'!C:C&gt;=$J$4,'领用录入（明细）'!C:C&lt;=$L$4),ROW(),"-")</f>
        <v>-</v>
      </c>
    </row>
    <row r="594" customHeight="1" spans="2:2">
      <c r="B594" s="62" t="str">
        <f>IF(AND('领用录入（明细）'!D:D=$F$4,'领用录入（明细）'!C:C&gt;=$J$4,'领用录入（明细）'!C:C&lt;=$L$4),ROW(),"-")</f>
        <v>-</v>
      </c>
    </row>
    <row r="595" customHeight="1" spans="2:2">
      <c r="B595" s="62" t="str">
        <f>IF(AND('领用录入（明细）'!D:D=$F$4,'领用录入（明细）'!C:C&gt;=$J$4,'领用录入（明细）'!C:C&lt;=$L$4),ROW(),"-")</f>
        <v>-</v>
      </c>
    </row>
    <row r="596" customHeight="1" spans="2:2">
      <c r="B596" s="62" t="str">
        <f>IF(AND('领用录入（明细）'!D:D=$F$4,'领用录入（明细）'!C:C&gt;=$J$4,'领用录入（明细）'!C:C&lt;=$L$4),ROW(),"-")</f>
        <v>-</v>
      </c>
    </row>
    <row r="597" customHeight="1" spans="2:2">
      <c r="B597" s="62" t="str">
        <f>IF(AND('领用录入（明细）'!D:D=$F$4,'领用录入（明细）'!C:C&gt;=$J$4,'领用录入（明细）'!C:C&lt;=$L$4),ROW(),"-")</f>
        <v>-</v>
      </c>
    </row>
    <row r="598" customHeight="1" spans="2:2">
      <c r="B598" s="62" t="str">
        <f>IF(AND('领用录入（明细）'!D:D=$F$4,'领用录入（明细）'!C:C&gt;=$J$4,'领用录入（明细）'!C:C&lt;=$L$4),ROW(),"-")</f>
        <v>-</v>
      </c>
    </row>
    <row r="599" customHeight="1" spans="2:2">
      <c r="B599" s="62" t="str">
        <f>IF(AND('领用录入（明细）'!D:D=$F$4,'领用录入（明细）'!C:C&gt;=$J$4,'领用录入（明细）'!C:C&lt;=$L$4),ROW(),"-")</f>
        <v>-</v>
      </c>
    </row>
    <row r="600" customHeight="1" spans="2:2">
      <c r="B600" s="62" t="str">
        <f>IF(AND('领用录入（明细）'!D:D=$F$4,'领用录入（明细）'!C:C&gt;=$J$4,'领用录入（明细）'!C:C&lt;=$L$4),ROW(),"-")</f>
        <v>-</v>
      </c>
    </row>
    <row r="601" customHeight="1" spans="2:2">
      <c r="B601" s="62" t="str">
        <f>IF(AND('领用录入（明细）'!D:D=$F$4,'领用录入（明细）'!C:C&gt;=$J$4,'领用录入（明细）'!C:C&lt;=$L$4),ROW(),"-")</f>
        <v>-</v>
      </c>
    </row>
    <row r="602" customHeight="1" spans="2:2">
      <c r="B602" s="62" t="str">
        <f>IF(AND('领用录入（明细）'!D:D=$F$4,'领用录入（明细）'!C:C&gt;=$J$4,'领用录入（明细）'!C:C&lt;=$L$4),ROW(),"-")</f>
        <v>-</v>
      </c>
    </row>
    <row r="603" customHeight="1" spans="2:2">
      <c r="B603" s="62" t="str">
        <f>IF(AND('领用录入（明细）'!D:D=$F$4,'领用录入（明细）'!C:C&gt;=$J$4,'领用录入（明细）'!C:C&lt;=$L$4),ROW(),"-")</f>
        <v>-</v>
      </c>
    </row>
    <row r="604" customHeight="1" spans="2:2">
      <c r="B604" s="62" t="str">
        <f>IF(AND('领用录入（明细）'!D:D=$F$4,'领用录入（明细）'!C:C&gt;=$J$4,'领用录入（明细）'!C:C&lt;=$L$4),ROW(),"-")</f>
        <v>-</v>
      </c>
    </row>
    <row r="605" customHeight="1" spans="2:2">
      <c r="B605" s="62" t="str">
        <f>IF(AND('领用录入（明细）'!D:D=$F$4,'领用录入（明细）'!C:C&gt;=$J$4,'领用录入（明细）'!C:C&lt;=$L$4),ROW(),"-")</f>
        <v>-</v>
      </c>
    </row>
    <row r="606" customHeight="1" spans="2:2">
      <c r="B606" s="62" t="str">
        <f>IF(AND('领用录入（明细）'!D:D=$F$4,'领用录入（明细）'!C:C&gt;=$J$4,'领用录入（明细）'!C:C&lt;=$L$4),ROW(),"-")</f>
        <v>-</v>
      </c>
    </row>
    <row r="607" customHeight="1" spans="2:2">
      <c r="B607" s="62" t="str">
        <f>IF(AND('领用录入（明细）'!D:D=$F$4,'领用录入（明细）'!C:C&gt;=$J$4,'领用录入（明细）'!C:C&lt;=$L$4),ROW(),"-")</f>
        <v>-</v>
      </c>
    </row>
    <row r="608" customHeight="1" spans="2:2">
      <c r="B608" s="62" t="str">
        <f>IF(AND('领用录入（明细）'!D:D=$F$4,'领用录入（明细）'!C:C&gt;=$J$4,'领用录入（明细）'!C:C&lt;=$L$4),ROW(),"-")</f>
        <v>-</v>
      </c>
    </row>
    <row r="609" customHeight="1" spans="2:2">
      <c r="B609" s="62" t="str">
        <f>IF(AND('领用录入（明细）'!D:D=$F$4,'领用录入（明细）'!C:C&gt;=$J$4,'领用录入（明细）'!C:C&lt;=$L$4),ROW(),"-")</f>
        <v>-</v>
      </c>
    </row>
    <row r="610" customHeight="1" spans="2:2">
      <c r="B610" s="62" t="str">
        <f>IF(AND('领用录入（明细）'!D:D=$F$4,'领用录入（明细）'!C:C&gt;=$J$4,'领用录入（明细）'!C:C&lt;=$L$4),ROW(),"-")</f>
        <v>-</v>
      </c>
    </row>
    <row r="611" customHeight="1" spans="2:2">
      <c r="B611" s="62" t="str">
        <f>IF(AND('领用录入（明细）'!D:D=$F$4,'领用录入（明细）'!C:C&gt;=$J$4,'领用录入（明细）'!C:C&lt;=$L$4),ROW(),"-")</f>
        <v>-</v>
      </c>
    </row>
    <row r="612" customHeight="1" spans="2:2">
      <c r="B612" s="62" t="str">
        <f>IF(AND('领用录入（明细）'!D:D=$F$4,'领用录入（明细）'!C:C&gt;=$J$4,'领用录入（明细）'!C:C&lt;=$L$4),ROW(),"-")</f>
        <v>-</v>
      </c>
    </row>
    <row r="613" customHeight="1" spans="2:2">
      <c r="B613" s="62" t="str">
        <f>IF(AND('领用录入（明细）'!D:D=$F$4,'领用录入（明细）'!C:C&gt;=$J$4,'领用录入（明细）'!C:C&lt;=$L$4),ROW(),"-")</f>
        <v>-</v>
      </c>
    </row>
    <row r="614" customHeight="1" spans="2:2">
      <c r="B614" s="62" t="str">
        <f>IF(AND('领用录入（明细）'!D:D=$F$4,'领用录入（明细）'!C:C&gt;=$J$4,'领用录入（明细）'!C:C&lt;=$L$4),ROW(),"-")</f>
        <v>-</v>
      </c>
    </row>
    <row r="615" customHeight="1" spans="2:2">
      <c r="B615" s="62" t="str">
        <f>IF(AND('领用录入（明细）'!D:D=$F$4,'领用录入（明细）'!C:C&gt;=$J$4,'领用录入（明细）'!C:C&lt;=$L$4),ROW(),"-")</f>
        <v>-</v>
      </c>
    </row>
    <row r="616" customHeight="1" spans="2:2">
      <c r="B616" s="62" t="str">
        <f>IF(AND('领用录入（明细）'!D:D=$F$4,'领用录入（明细）'!C:C&gt;=$J$4,'领用录入（明细）'!C:C&lt;=$L$4),ROW(),"-")</f>
        <v>-</v>
      </c>
    </row>
    <row r="617" customHeight="1" spans="2:2">
      <c r="B617" s="62" t="str">
        <f>IF(AND('领用录入（明细）'!D:D=$F$4,'领用录入（明细）'!C:C&gt;=$J$4,'领用录入（明细）'!C:C&lt;=$L$4),ROW(),"-")</f>
        <v>-</v>
      </c>
    </row>
    <row r="618" customHeight="1" spans="2:2">
      <c r="B618" s="62" t="str">
        <f>IF(AND('领用录入（明细）'!D:D=$F$4,'领用录入（明细）'!C:C&gt;=$J$4,'领用录入（明细）'!C:C&lt;=$L$4),ROW(),"-")</f>
        <v>-</v>
      </c>
    </row>
    <row r="619" customHeight="1" spans="2:2">
      <c r="B619" s="62" t="str">
        <f>IF(AND('领用录入（明细）'!D:D=$F$4,'领用录入（明细）'!C:C&gt;=$J$4,'领用录入（明细）'!C:C&lt;=$L$4),ROW(),"-")</f>
        <v>-</v>
      </c>
    </row>
    <row r="620" customHeight="1" spans="2:2">
      <c r="B620" s="62" t="str">
        <f>IF(AND('领用录入（明细）'!D:D=$F$4,'领用录入（明细）'!C:C&gt;=$J$4,'领用录入（明细）'!C:C&lt;=$L$4),ROW(),"-")</f>
        <v>-</v>
      </c>
    </row>
    <row r="621" customHeight="1" spans="2:2">
      <c r="B621" s="62" t="str">
        <f>IF(AND('领用录入（明细）'!D:D=$F$4,'领用录入（明细）'!C:C&gt;=$J$4,'领用录入（明细）'!C:C&lt;=$L$4),ROW(),"-")</f>
        <v>-</v>
      </c>
    </row>
    <row r="622" customHeight="1" spans="2:2">
      <c r="B622" s="62" t="str">
        <f>IF(AND('领用录入（明细）'!D:D=$F$4,'领用录入（明细）'!C:C&gt;=$J$4,'领用录入（明细）'!C:C&lt;=$L$4),ROW(),"-")</f>
        <v>-</v>
      </c>
    </row>
    <row r="623" customHeight="1" spans="2:2">
      <c r="B623" s="62" t="str">
        <f>IF(AND('领用录入（明细）'!D:D=$F$4,'领用录入（明细）'!C:C&gt;=$J$4,'领用录入（明细）'!C:C&lt;=$L$4),ROW(),"-")</f>
        <v>-</v>
      </c>
    </row>
    <row r="624" customHeight="1" spans="2:2">
      <c r="B624" s="62" t="str">
        <f>IF(AND('领用录入（明细）'!D:D=$F$4,'领用录入（明细）'!C:C&gt;=$J$4,'领用录入（明细）'!C:C&lt;=$L$4),ROW(),"-")</f>
        <v>-</v>
      </c>
    </row>
    <row r="625" customHeight="1" spans="2:2">
      <c r="B625" s="62" t="str">
        <f>IF(AND('领用录入（明细）'!D:D=$F$4,'领用录入（明细）'!C:C&gt;=$J$4,'领用录入（明细）'!C:C&lt;=$L$4),ROW(),"-")</f>
        <v>-</v>
      </c>
    </row>
    <row r="626" customHeight="1" spans="2:2">
      <c r="B626" s="62" t="str">
        <f>IF(AND('领用录入（明细）'!D:D=$F$4,'领用录入（明细）'!C:C&gt;=$J$4,'领用录入（明细）'!C:C&lt;=$L$4),ROW(),"-")</f>
        <v>-</v>
      </c>
    </row>
    <row r="627" customHeight="1" spans="2:2">
      <c r="B627" s="62" t="str">
        <f>IF(AND('领用录入（明细）'!D:D=$F$4,'领用录入（明细）'!C:C&gt;=$J$4,'领用录入（明细）'!C:C&lt;=$L$4),ROW(),"-")</f>
        <v>-</v>
      </c>
    </row>
    <row r="628" customHeight="1" spans="2:2">
      <c r="B628" s="62" t="str">
        <f>IF(AND('领用录入（明细）'!D:D=$F$4,'领用录入（明细）'!C:C&gt;=$J$4,'领用录入（明细）'!C:C&lt;=$L$4),ROW(),"-")</f>
        <v>-</v>
      </c>
    </row>
    <row r="629" customHeight="1" spans="2:2">
      <c r="B629" s="62" t="str">
        <f>IF(AND('领用录入（明细）'!D:D=$F$4,'领用录入（明细）'!C:C&gt;=$J$4,'领用录入（明细）'!C:C&lt;=$L$4),ROW(),"-")</f>
        <v>-</v>
      </c>
    </row>
    <row r="630" customHeight="1" spans="2:2">
      <c r="B630" s="62" t="str">
        <f>IF(AND('领用录入（明细）'!D:D=$F$4,'领用录入（明细）'!C:C&gt;=$J$4,'领用录入（明细）'!C:C&lt;=$L$4),ROW(),"-")</f>
        <v>-</v>
      </c>
    </row>
    <row r="631" customHeight="1" spans="2:2">
      <c r="B631" s="62" t="str">
        <f>IF(AND('领用录入（明细）'!D:D=$F$4,'领用录入（明细）'!C:C&gt;=$J$4,'领用录入（明细）'!C:C&lt;=$L$4),ROW(),"-")</f>
        <v>-</v>
      </c>
    </row>
    <row r="632" customHeight="1" spans="2:2">
      <c r="B632" s="62" t="str">
        <f>IF(AND('领用录入（明细）'!D:D=$F$4,'领用录入（明细）'!C:C&gt;=$J$4,'领用录入（明细）'!C:C&lt;=$L$4),ROW(),"-")</f>
        <v>-</v>
      </c>
    </row>
    <row r="633" customHeight="1" spans="2:2">
      <c r="B633" s="62" t="str">
        <f>IF(AND('领用录入（明细）'!D:D=$F$4,'领用录入（明细）'!C:C&gt;=$J$4,'领用录入（明细）'!C:C&lt;=$L$4),ROW(),"-")</f>
        <v>-</v>
      </c>
    </row>
    <row r="634" customHeight="1" spans="2:2">
      <c r="B634" s="62" t="str">
        <f>IF(AND('领用录入（明细）'!D:D=$F$4,'领用录入（明细）'!C:C&gt;=$J$4,'领用录入（明细）'!C:C&lt;=$L$4),ROW(),"-")</f>
        <v>-</v>
      </c>
    </row>
    <row r="635" customHeight="1" spans="2:2">
      <c r="B635" s="62" t="str">
        <f>IF(AND('领用录入（明细）'!D:D=$F$4,'领用录入（明细）'!C:C&gt;=$J$4,'领用录入（明细）'!C:C&lt;=$L$4),ROW(),"-")</f>
        <v>-</v>
      </c>
    </row>
    <row r="636" customHeight="1" spans="2:2">
      <c r="B636" s="62" t="str">
        <f>IF(AND('领用录入（明细）'!D:D=$F$4,'领用录入（明细）'!C:C&gt;=$J$4,'领用录入（明细）'!C:C&lt;=$L$4),ROW(),"-")</f>
        <v>-</v>
      </c>
    </row>
    <row r="637" customHeight="1" spans="2:2">
      <c r="B637" s="62" t="str">
        <f>IF(AND('领用录入（明细）'!D:D=$F$4,'领用录入（明细）'!C:C&gt;=$J$4,'领用录入（明细）'!C:C&lt;=$L$4),ROW(),"-")</f>
        <v>-</v>
      </c>
    </row>
    <row r="638" customHeight="1" spans="2:2">
      <c r="B638" s="62" t="str">
        <f>IF(AND('领用录入（明细）'!D:D=$F$4,'领用录入（明细）'!C:C&gt;=$J$4,'领用录入（明细）'!C:C&lt;=$L$4),ROW(),"-")</f>
        <v>-</v>
      </c>
    </row>
    <row r="639" customHeight="1" spans="2:2">
      <c r="B639" s="62" t="str">
        <f>IF(AND('领用录入（明细）'!D:D=$F$4,'领用录入（明细）'!C:C&gt;=$J$4,'领用录入（明细）'!C:C&lt;=$L$4),ROW(),"-")</f>
        <v>-</v>
      </c>
    </row>
    <row r="640" customHeight="1" spans="2:2">
      <c r="B640" s="62" t="str">
        <f>IF(AND('领用录入（明细）'!D:D=$F$4,'领用录入（明细）'!C:C&gt;=$J$4,'领用录入（明细）'!C:C&lt;=$L$4),ROW(),"-")</f>
        <v>-</v>
      </c>
    </row>
    <row r="641" customHeight="1" spans="2:2">
      <c r="B641" s="62" t="str">
        <f>IF(AND('领用录入（明细）'!D:D=$F$4,'领用录入（明细）'!C:C&gt;=$J$4,'领用录入（明细）'!C:C&lt;=$L$4),ROW(),"-")</f>
        <v>-</v>
      </c>
    </row>
    <row r="642" customHeight="1" spans="2:2">
      <c r="B642" s="62" t="str">
        <f>IF(AND('领用录入（明细）'!D:D=$F$4,'领用录入（明细）'!C:C&gt;=$J$4,'领用录入（明细）'!C:C&lt;=$L$4),ROW(),"-")</f>
        <v>-</v>
      </c>
    </row>
    <row r="643" customHeight="1" spans="2:2">
      <c r="B643" s="62" t="str">
        <f>IF(AND('领用录入（明细）'!D:D=$F$4,'领用录入（明细）'!C:C&gt;=$J$4,'领用录入（明细）'!C:C&lt;=$L$4),ROW(),"-")</f>
        <v>-</v>
      </c>
    </row>
    <row r="644" customHeight="1" spans="2:2">
      <c r="B644" s="62" t="str">
        <f>IF(AND('领用录入（明细）'!D:D=$F$4,'领用录入（明细）'!C:C&gt;=$J$4,'领用录入（明细）'!C:C&lt;=$L$4),ROW(),"-")</f>
        <v>-</v>
      </c>
    </row>
    <row r="645" customHeight="1" spans="2:2">
      <c r="B645" s="62" t="str">
        <f>IF(AND('领用录入（明细）'!D:D=$F$4,'领用录入（明细）'!C:C&gt;=$J$4,'领用录入（明细）'!C:C&lt;=$L$4),ROW(),"-")</f>
        <v>-</v>
      </c>
    </row>
    <row r="646" customHeight="1" spans="2:2">
      <c r="B646" s="62" t="str">
        <f>IF(AND('领用录入（明细）'!D:D=$F$4,'领用录入（明细）'!C:C&gt;=$J$4,'领用录入（明细）'!C:C&lt;=$L$4),ROW(),"-")</f>
        <v>-</v>
      </c>
    </row>
    <row r="647" customHeight="1" spans="2:2">
      <c r="B647" s="62" t="str">
        <f>IF(AND('领用录入（明细）'!D:D=$F$4,'领用录入（明细）'!C:C&gt;=$J$4,'领用录入（明细）'!C:C&lt;=$L$4),ROW(),"-")</f>
        <v>-</v>
      </c>
    </row>
    <row r="648" customHeight="1" spans="2:2">
      <c r="B648" s="62" t="str">
        <f>IF(AND('领用录入（明细）'!D:D=$F$4,'领用录入（明细）'!C:C&gt;=$J$4,'领用录入（明细）'!C:C&lt;=$L$4),ROW(),"-")</f>
        <v>-</v>
      </c>
    </row>
    <row r="649" customHeight="1" spans="2:2">
      <c r="B649" s="62" t="str">
        <f>IF(AND('领用录入（明细）'!D:D=$F$4,'领用录入（明细）'!C:C&gt;=$J$4,'领用录入（明细）'!C:C&lt;=$L$4),ROW(),"-")</f>
        <v>-</v>
      </c>
    </row>
    <row r="650" customHeight="1" spans="2:2">
      <c r="B650" s="62" t="str">
        <f>IF(AND('领用录入（明细）'!D:D=$F$4,'领用录入（明细）'!C:C&gt;=$J$4,'领用录入（明细）'!C:C&lt;=$L$4),ROW(),"-")</f>
        <v>-</v>
      </c>
    </row>
    <row r="651" customHeight="1" spans="2:2">
      <c r="B651" s="62" t="str">
        <f>IF(AND('领用录入（明细）'!D:D=$F$4,'领用录入（明细）'!C:C&gt;=$J$4,'领用录入（明细）'!C:C&lt;=$L$4),ROW(),"-")</f>
        <v>-</v>
      </c>
    </row>
    <row r="652" customHeight="1" spans="2:2">
      <c r="B652" s="62" t="str">
        <f>IF(AND('领用录入（明细）'!D:D=$F$4,'领用录入（明细）'!C:C&gt;=$J$4,'领用录入（明细）'!C:C&lt;=$L$4),ROW(),"-")</f>
        <v>-</v>
      </c>
    </row>
    <row r="653" customHeight="1" spans="2:2">
      <c r="B653" s="62" t="str">
        <f>IF(AND('领用录入（明细）'!D:D=$F$4,'领用录入（明细）'!C:C&gt;=$J$4,'领用录入（明细）'!C:C&lt;=$L$4),ROW(),"-")</f>
        <v>-</v>
      </c>
    </row>
    <row r="654" customHeight="1" spans="2:2">
      <c r="B654" s="62" t="str">
        <f>IF(AND('领用录入（明细）'!D:D=$F$4,'领用录入（明细）'!C:C&gt;=$J$4,'领用录入（明细）'!C:C&lt;=$L$4),ROW(),"-")</f>
        <v>-</v>
      </c>
    </row>
    <row r="655" customHeight="1" spans="2:2">
      <c r="B655" s="62" t="str">
        <f>IF(AND('领用录入（明细）'!D:D=$F$4,'领用录入（明细）'!C:C&gt;=$J$4,'领用录入（明细）'!C:C&lt;=$L$4),ROW(),"-")</f>
        <v>-</v>
      </c>
    </row>
    <row r="656" customHeight="1" spans="2:2">
      <c r="B656" s="62" t="str">
        <f>IF(AND('领用录入（明细）'!D:D=$F$4,'领用录入（明细）'!C:C&gt;=$J$4,'领用录入（明细）'!C:C&lt;=$L$4),ROW(),"-")</f>
        <v>-</v>
      </c>
    </row>
    <row r="657" customHeight="1" spans="2:2">
      <c r="B657" s="62" t="str">
        <f>IF(AND('领用录入（明细）'!D:D=$F$4,'领用录入（明细）'!C:C&gt;=$J$4,'领用录入（明细）'!C:C&lt;=$L$4),ROW(),"-")</f>
        <v>-</v>
      </c>
    </row>
    <row r="658" customHeight="1" spans="2:2">
      <c r="B658" s="62" t="str">
        <f>IF(AND('领用录入（明细）'!D:D=$F$4,'领用录入（明细）'!C:C&gt;=$J$4,'领用录入（明细）'!C:C&lt;=$L$4),ROW(),"-")</f>
        <v>-</v>
      </c>
    </row>
    <row r="659" customHeight="1" spans="2:2">
      <c r="B659" s="62" t="str">
        <f>IF(AND('领用录入（明细）'!D:D=$F$4,'领用录入（明细）'!C:C&gt;=$J$4,'领用录入（明细）'!C:C&lt;=$L$4),ROW(),"-")</f>
        <v>-</v>
      </c>
    </row>
    <row r="660" customHeight="1" spans="2:2">
      <c r="B660" s="62" t="str">
        <f>IF(AND('领用录入（明细）'!D:D=$F$4,'领用录入（明细）'!C:C&gt;=$J$4,'领用录入（明细）'!C:C&lt;=$L$4),ROW(),"-")</f>
        <v>-</v>
      </c>
    </row>
    <row r="661" customHeight="1" spans="2:2">
      <c r="B661" s="62" t="str">
        <f>IF(AND('领用录入（明细）'!D:D=$F$4,'领用录入（明细）'!C:C&gt;=$J$4,'领用录入（明细）'!C:C&lt;=$L$4),ROW(),"-")</f>
        <v>-</v>
      </c>
    </row>
    <row r="662" customHeight="1" spans="2:2">
      <c r="B662" s="62" t="str">
        <f>IF(AND('领用录入（明细）'!D:D=$F$4,'领用录入（明细）'!C:C&gt;=$J$4,'领用录入（明细）'!C:C&lt;=$L$4),ROW(),"-")</f>
        <v>-</v>
      </c>
    </row>
    <row r="663" customHeight="1" spans="2:2">
      <c r="B663" s="62" t="str">
        <f>IF(AND('领用录入（明细）'!D:D=$F$4,'领用录入（明细）'!C:C&gt;=$J$4,'领用录入（明细）'!C:C&lt;=$L$4),ROW(),"-")</f>
        <v>-</v>
      </c>
    </row>
    <row r="664" customHeight="1" spans="2:2">
      <c r="B664" s="62" t="str">
        <f>IF(AND('领用录入（明细）'!D:D=$F$4,'领用录入（明细）'!C:C&gt;=$J$4,'领用录入（明细）'!C:C&lt;=$L$4),ROW(),"-")</f>
        <v>-</v>
      </c>
    </row>
    <row r="665" customHeight="1" spans="2:2">
      <c r="B665" s="62" t="str">
        <f>IF(AND('领用录入（明细）'!D:D=$F$4,'领用录入（明细）'!C:C&gt;=$J$4,'领用录入（明细）'!C:C&lt;=$L$4),ROW(),"-")</f>
        <v>-</v>
      </c>
    </row>
    <row r="666" customHeight="1" spans="2:2">
      <c r="B666" s="62" t="str">
        <f>IF(AND('领用录入（明细）'!D:D=$F$4,'领用录入（明细）'!C:C&gt;=$J$4,'领用录入（明细）'!C:C&lt;=$L$4),ROW(),"-")</f>
        <v>-</v>
      </c>
    </row>
    <row r="667" customHeight="1" spans="2:2">
      <c r="B667" s="62" t="str">
        <f>IF(AND('领用录入（明细）'!D:D=$F$4,'领用录入（明细）'!C:C&gt;=$J$4,'领用录入（明细）'!C:C&lt;=$L$4),ROW(),"-")</f>
        <v>-</v>
      </c>
    </row>
    <row r="668" customHeight="1" spans="2:2">
      <c r="B668" s="62" t="str">
        <f>IF(AND('领用录入（明细）'!D:D=$F$4,'领用录入（明细）'!C:C&gt;=$J$4,'领用录入（明细）'!C:C&lt;=$L$4),ROW(),"-")</f>
        <v>-</v>
      </c>
    </row>
    <row r="669" customHeight="1" spans="2:2">
      <c r="B669" s="62" t="str">
        <f>IF(AND('领用录入（明细）'!D:D=$F$4,'领用录入（明细）'!C:C&gt;=$J$4,'领用录入（明细）'!C:C&lt;=$L$4),ROW(),"-")</f>
        <v>-</v>
      </c>
    </row>
    <row r="670" customHeight="1" spans="2:2">
      <c r="B670" s="62" t="str">
        <f>IF(AND('领用录入（明细）'!D:D=$F$4,'领用录入（明细）'!C:C&gt;=$J$4,'领用录入（明细）'!C:C&lt;=$L$4),ROW(),"-")</f>
        <v>-</v>
      </c>
    </row>
    <row r="671" customHeight="1" spans="2:2">
      <c r="B671" s="62" t="str">
        <f>IF(AND('领用录入（明细）'!D:D=$F$4,'领用录入（明细）'!C:C&gt;=$J$4,'领用录入（明细）'!C:C&lt;=$L$4),ROW(),"-")</f>
        <v>-</v>
      </c>
    </row>
    <row r="672" customHeight="1" spans="2:2">
      <c r="B672" s="62" t="str">
        <f>IF(AND('领用录入（明细）'!D:D=$F$4,'领用录入（明细）'!C:C&gt;=$J$4,'领用录入（明细）'!C:C&lt;=$L$4),ROW(),"-")</f>
        <v>-</v>
      </c>
    </row>
    <row r="673" customHeight="1" spans="2:2">
      <c r="B673" s="62" t="str">
        <f>IF(AND('领用录入（明细）'!D:D=$F$4,'领用录入（明细）'!C:C&gt;=$J$4,'领用录入（明细）'!C:C&lt;=$L$4),ROW(),"-")</f>
        <v>-</v>
      </c>
    </row>
    <row r="674" customHeight="1" spans="2:2">
      <c r="B674" s="62" t="str">
        <f>IF(AND('领用录入（明细）'!D:D=$F$4,'领用录入（明细）'!C:C&gt;=$J$4,'领用录入（明细）'!C:C&lt;=$L$4),ROW(),"-")</f>
        <v>-</v>
      </c>
    </row>
    <row r="675" customHeight="1" spans="2:2">
      <c r="B675" s="62" t="str">
        <f>IF(AND('领用录入（明细）'!D:D=$F$4,'领用录入（明细）'!C:C&gt;=$J$4,'领用录入（明细）'!C:C&lt;=$L$4),ROW(),"-")</f>
        <v>-</v>
      </c>
    </row>
    <row r="676" customHeight="1" spans="2:2">
      <c r="B676" s="62" t="str">
        <f>IF(AND('领用录入（明细）'!D:D=$F$4,'领用录入（明细）'!C:C&gt;=$J$4,'领用录入（明细）'!C:C&lt;=$L$4),ROW(),"-")</f>
        <v>-</v>
      </c>
    </row>
    <row r="677" customHeight="1" spans="2:2">
      <c r="B677" s="62" t="str">
        <f>IF(AND('领用录入（明细）'!D:D=$F$4,'领用录入（明细）'!C:C&gt;=$J$4,'领用录入（明细）'!C:C&lt;=$L$4),ROW(),"-")</f>
        <v>-</v>
      </c>
    </row>
    <row r="678" customHeight="1" spans="2:2">
      <c r="B678" s="62" t="str">
        <f>IF(AND('领用录入（明细）'!D:D=$F$4,'领用录入（明细）'!C:C&gt;=$J$4,'领用录入（明细）'!C:C&lt;=$L$4),ROW(),"-")</f>
        <v>-</v>
      </c>
    </row>
    <row r="679" customHeight="1" spans="2:2">
      <c r="B679" s="62" t="str">
        <f>IF(AND('领用录入（明细）'!D:D=$F$4,'领用录入（明细）'!C:C&gt;=$J$4,'领用录入（明细）'!C:C&lt;=$L$4),ROW(),"-")</f>
        <v>-</v>
      </c>
    </row>
    <row r="680" customHeight="1" spans="2:2">
      <c r="B680" s="62" t="str">
        <f>IF(AND('领用录入（明细）'!D:D=$F$4,'领用录入（明细）'!C:C&gt;=$J$4,'领用录入（明细）'!C:C&lt;=$L$4),ROW(),"-")</f>
        <v>-</v>
      </c>
    </row>
    <row r="681" customHeight="1" spans="2:2">
      <c r="B681" s="62" t="str">
        <f>IF(AND('领用录入（明细）'!D:D=$F$4,'领用录入（明细）'!C:C&gt;=$J$4,'领用录入（明细）'!C:C&lt;=$L$4),ROW(),"-")</f>
        <v>-</v>
      </c>
    </row>
    <row r="682" customHeight="1" spans="2:2">
      <c r="B682" s="62" t="str">
        <f>IF(AND('领用录入（明细）'!D:D=$F$4,'领用录入（明细）'!C:C&gt;=$J$4,'领用录入（明细）'!C:C&lt;=$L$4),ROW(),"-")</f>
        <v>-</v>
      </c>
    </row>
    <row r="683" customHeight="1" spans="2:2">
      <c r="B683" s="62" t="str">
        <f>IF(AND('领用录入（明细）'!D:D=$F$4,'领用录入（明细）'!C:C&gt;=$J$4,'领用录入（明细）'!C:C&lt;=$L$4),ROW(),"-")</f>
        <v>-</v>
      </c>
    </row>
    <row r="684" customHeight="1" spans="2:2">
      <c r="B684" s="62" t="str">
        <f>IF(AND('领用录入（明细）'!D:D=$F$4,'领用录入（明细）'!C:C&gt;=$J$4,'领用录入（明细）'!C:C&lt;=$L$4),ROW(),"-")</f>
        <v>-</v>
      </c>
    </row>
    <row r="685" customHeight="1" spans="2:2">
      <c r="B685" s="62" t="str">
        <f>IF(AND('领用录入（明细）'!D:D=$F$4,'领用录入（明细）'!C:C&gt;=$J$4,'领用录入（明细）'!C:C&lt;=$L$4),ROW(),"-")</f>
        <v>-</v>
      </c>
    </row>
    <row r="686" customHeight="1" spans="2:2">
      <c r="B686" s="62" t="str">
        <f>IF(AND('领用录入（明细）'!D:D=$F$4,'领用录入（明细）'!C:C&gt;=$J$4,'领用录入（明细）'!C:C&lt;=$L$4),ROW(),"-")</f>
        <v>-</v>
      </c>
    </row>
    <row r="687" customHeight="1" spans="2:2">
      <c r="B687" s="62" t="str">
        <f>IF(AND('领用录入（明细）'!D:D=$F$4,'领用录入（明细）'!C:C&gt;=$J$4,'领用录入（明细）'!C:C&lt;=$L$4),ROW(),"-")</f>
        <v>-</v>
      </c>
    </row>
    <row r="688" customHeight="1" spans="2:2">
      <c r="B688" s="62" t="str">
        <f>IF(AND('领用录入（明细）'!D:D=$F$4,'领用录入（明细）'!C:C&gt;=$J$4,'领用录入（明细）'!C:C&lt;=$L$4),ROW(),"-")</f>
        <v>-</v>
      </c>
    </row>
    <row r="689" customHeight="1" spans="2:2">
      <c r="B689" s="62" t="str">
        <f>IF(AND('领用录入（明细）'!D:D=$F$4,'领用录入（明细）'!C:C&gt;=$J$4,'领用录入（明细）'!C:C&lt;=$L$4),ROW(),"-")</f>
        <v>-</v>
      </c>
    </row>
    <row r="690" customHeight="1" spans="2:2">
      <c r="B690" s="62" t="str">
        <f>IF(AND('领用录入（明细）'!D:D=$F$4,'领用录入（明细）'!C:C&gt;=$J$4,'领用录入（明细）'!C:C&lt;=$L$4),ROW(),"-")</f>
        <v>-</v>
      </c>
    </row>
    <row r="691" customHeight="1" spans="2:2">
      <c r="B691" s="62" t="str">
        <f>IF(AND('领用录入（明细）'!D:D=$F$4,'领用录入（明细）'!C:C&gt;=$J$4,'领用录入（明细）'!C:C&lt;=$L$4),ROW(),"-")</f>
        <v>-</v>
      </c>
    </row>
    <row r="692" customHeight="1" spans="2:2">
      <c r="B692" s="62" t="str">
        <f>IF(AND('领用录入（明细）'!D:D=$F$4,'领用录入（明细）'!C:C&gt;=$J$4,'领用录入（明细）'!C:C&lt;=$L$4),ROW(),"-")</f>
        <v>-</v>
      </c>
    </row>
    <row r="693" customHeight="1" spans="2:2">
      <c r="B693" s="62" t="str">
        <f>IF(AND('领用录入（明细）'!D:D=$F$4,'领用录入（明细）'!C:C&gt;=$J$4,'领用录入（明细）'!C:C&lt;=$L$4),ROW(),"-")</f>
        <v>-</v>
      </c>
    </row>
    <row r="694" customHeight="1" spans="2:2">
      <c r="B694" s="62" t="str">
        <f>IF(AND('领用录入（明细）'!D:D=$F$4,'领用录入（明细）'!C:C&gt;=$J$4,'领用录入（明细）'!C:C&lt;=$L$4),ROW(),"-")</f>
        <v>-</v>
      </c>
    </row>
    <row r="695" customHeight="1" spans="2:2">
      <c r="B695" s="62" t="str">
        <f>IF(AND('领用录入（明细）'!D:D=$F$4,'领用录入（明细）'!C:C&gt;=$J$4,'领用录入（明细）'!C:C&lt;=$L$4),ROW(),"-")</f>
        <v>-</v>
      </c>
    </row>
    <row r="696" customHeight="1" spans="2:2">
      <c r="B696" s="62" t="str">
        <f>IF(AND('领用录入（明细）'!D:D=$F$4,'领用录入（明细）'!C:C&gt;=$J$4,'领用录入（明细）'!C:C&lt;=$L$4),ROW(),"-")</f>
        <v>-</v>
      </c>
    </row>
    <row r="697" customHeight="1" spans="2:2">
      <c r="B697" s="62" t="str">
        <f>IF(AND('领用录入（明细）'!D:D=$F$4,'领用录入（明细）'!C:C&gt;=$J$4,'领用录入（明细）'!C:C&lt;=$L$4),ROW(),"-")</f>
        <v>-</v>
      </c>
    </row>
    <row r="698" customHeight="1" spans="2:2">
      <c r="B698" s="62" t="str">
        <f>IF(AND('领用录入（明细）'!D:D=$F$4,'领用录入（明细）'!C:C&gt;=$J$4,'领用录入（明细）'!C:C&lt;=$L$4),ROW(),"-")</f>
        <v>-</v>
      </c>
    </row>
    <row r="699" customHeight="1" spans="2:2">
      <c r="B699" s="62" t="str">
        <f>IF(AND('领用录入（明细）'!D:D=$F$4,'领用录入（明细）'!C:C&gt;=$J$4,'领用录入（明细）'!C:C&lt;=$L$4),ROW(),"-")</f>
        <v>-</v>
      </c>
    </row>
    <row r="700" customHeight="1" spans="2:2">
      <c r="B700" s="62" t="str">
        <f>IF(AND('领用录入（明细）'!D:D=$F$4,'领用录入（明细）'!C:C&gt;=$J$4,'领用录入（明细）'!C:C&lt;=$L$4),ROW(),"-")</f>
        <v>-</v>
      </c>
    </row>
    <row r="701" customHeight="1" spans="2:2">
      <c r="B701" s="62" t="str">
        <f>IF(AND('领用录入（明细）'!D:D=$F$4,'领用录入（明细）'!C:C&gt;=$J$4,'领用录入（明细）'!C:C&lt;=$L$4),ROW(),"-")</f>
        <v>-</v>
      </c>
    </row>
    <row r="702" customHeight="1" spans="2:2">
      <c r="B702" s="62" t="str">
        <f>IF(AND('领用录入（明细）'!D:D=$F$4,'领用录入（明细）'!C:C&gt;=$J$4,'领用录入（明细）'!C:C&lt;=$L$4),ROW(),"-")</f>
        <v>-</v>
      </c>
    </row>
    <row r="703" customHeight="1" spans="2:2">
      <c r="B703" s="62" t="str">
        <f>IF(AND('领用录入（明细）'!D:D=$F$4,'领用录入（明细）'!C:C&gt;=$J$4,'领用录入（明细）'!C:C&lt;=$L$4),ROW(),"-")</f>
        <v>-</v>
      </c>
    </row>
    <row r="704" customHeight="1" spans="2:2">
      <c r="B704" s="62" t="str">
        <f>IF(AND('领用录入（明细）'!D:D=$F$4,'领用录入（明细）'!C:C&gt;=$J$4,'领用录入（明细）'!C:C&lt;=$L$4),ROW(),"-")</f>
        <v>-</v>
      </c>
    </row>
    <row r="705" customHeight="1" spans="2:2">
      <c r="B705" s="62" t="str">
        <f>IF(AND('领用录入（明细）'!D:D=$F$4,'领用录入（明细）'!C:C&gt;=$J$4,'领用录入（明细）'!C:C&lt;=$L$4),ROW(),"-")</f>
        <v>-</v>
      </c>
    </row>
    <row r="706" customHeight="1" spans="2:2">
      <c r="B706" s="62" t="str">
        <f>IF(AND('领用录入（明细）'!D:D=$F$4,'领用录入（明细）'!C:C&gt;=$J$4,'领用录入（明细）'!C:C&lt;=$L$4),ROW(),"-")</f>
        <v>-</v>
      </c>
    </row>
    <row r="707" customHeight="1" spans="2:2">
      <c r="B707" s="62" t="str">
        <f>IF(AND('领用录入（明细）'!D:D=$F$4,'领用录入（明细）'!C:C&gt;=$J$4,'领用录入（明细）'!C:C&lt;=$L$4),ROW(),"-")</f>
        <v>-</v>
      </c>
    </row>
    <row r="708" customHeight="1" spans="2:2">
      <c r="B708" s="62" t="str">
        <f>IF(AND('领用录入（明细）'!D:D=$F$4,'领用录入（明细）'!C:C&gt;=$J$4,'领用录入（明细）'!C:C&lt;=$L$4),ROW(),"-")</f>
        <v>-</v>
      </c>
    </row>
    <row r="709" customHeight="1" spans="2:2">
      <c r="B709" s="62" t="str">
        <f>IF(AND('领用录入（明细）'!D:D=$F$4,'领用录入（明细）'!C:C&gt;=$J$4,'领用录入（明细）'!C:C&lt;=$L$4),ROW(),"-")</f>
        <v>-</v>
      </c>
    </row>
    <row r="710" customHeight="1" spans="2:2">
      <c r="B710" s="62" t="str">
        <f>IF(AND('领用录入（明细）'!D:D=$F$4,'领用录入（明细）'!C:C&gt;=$J$4,'领用录入（明细）'!C:C&lt;=$L$4),ROW(),"-")</f>
        <v>-</v>
      </c>
    </row>
    <row r="711" customHeight="1" spans="2:2">
      <c r="B711" s="62" t="str">
        <f>IF(AND('领用录入（明细）'!D:D=$F$4,'领用录入（明细）'!C:C&gt;=$J$4,'领用录入（明细）'!C:C&lt;=$L$4),ROW(),"-")</f>
        <v>-</v>
      </c>
    </row>
    <row r="712" customHeight="1" spans="2:2">
      <c r="B712" s="62" t="str">
        <f>IF(AND('领用录入（明细）'!D:D=$F$4,'领用录入（明细）'!C:C&gt;=$J$4,'领用录入（明细）'!C:C&lt;=$L$4),ROW(),"-")</f>
        <v>-</v>
      </c>
    </row>
    <row r="713" customHeight="1" spans="2:2">
      <c r="B713" s="62" t="str">
        <f>IF(AND('领用录入（明细）'!D:D=$F$4,'领用录入（明细）'!C:C&gt;=$J$4,'领用录入（明细）'!C:C&lt;=$L$4),ROW(),"-")</f>
        <v>-</v>
      </c>
    </row>
    <row r="714" customHeight="1" spans="2:2">
      <c r="B714" s="62" t="str">
        <f>IF(AND('领用录入（明细）'!D:D=$F$4,'领用录入（明细）'!C:C&gt;=$J$4,'领用录入（明细）'!C:C&lt;=$L$4),ROW(),"-")</f>
        <v>-</v>
      </c>
    </row>
    <row r="715" customHeight="1" spans="2:2">
      <c r="B715" s="62" t="str">
        <f>IF(AND('领用录入（明细）'!D:D=$F$4,'领用录入（明细）'!C:C&gt;=$J$4,'领用录入（明细）'!C:C&lt;=$L$4),ROW(),"-")</f>
        <v>-</v>
      </c>
    </row>
    <row r="716" customHeight="1" spans="2:2">
      <c r="B716" s="62" t="str">
        <f>IF(AND('领用录入（明细）'!D:D=$F$4,'领用录入（明细）'!C:C&gt;=$J$4,'领用录入（明细）'!C:C&lt;=$L$4),ROW(),"-")</f>
        <v>-</v>
      </c>
    </row>
    <row r="717" customHeight="1" spans="2:2">
      <c r="B717" s="62" t="str">
        <f>IF(AND('领用录入（明细）'!D:D=$F$4,'领用录入（明细）'!C:C&gt;=$J$4,'领用录入（明细）'!C:C&lt;=$L$4),ROW(),"-")</f>
        <v>-</v>
      </c>
    </row>
    <row r="718" customHeight="1" spans="2:2">
      <c r="B718" s="62" t="str">
        <f>IF(AND('领用录入（明细）'!D:D=$F$4,'领用录入（明细）'!C:C&gt;=$J$4,'领用录入（明细）'!C:C&lt;=$L$4),ROW(),"-")</f>
        <v>-</v>
      </c>
    </row>
    <row r="719" customHeight="1" spans="2:2">
      <c r="B719" s="62" t="str">
        <f>IF(AND('领用录入（明细）'!D:D=$F$4,'领用录入（明细）'!C:C&gt;=$J$4,'领用录入（明细）'!C:C&lt;=$L$4),ROW(),"-")</f>
        <v>-</v>
      </c>
    </row>
    <row r="720" customHeight="1" spans="2:2">
      <c r="B720" s="62" t="str">
        <f>IF(AND('领用录入（明细）'!D:D=$F$4,'领用录入（明细）'!C:C&gt;=$J$4,'领用录入（明细）'!C:C&lt;=$L$4),ROW(),"-")</f>
        <v>-</v>
      </c>
    </row>
    <row r="721" customHeight="1" spans="2:2">
      <c r="B721" s="62" t="str">
        <f>IF(AND('领用录入（明细）'!D:D=$F$4,'领用录入（明细）'!C:C&gt;=$J$4,'领用录入（明细）'!C:C&lt;=$L$4),ROW(),"-")</f>
        <v>-</v>
      </c>
    </row>
    <row r="722" customHeight="1" spans="2:2">
      <c r="B722" s="62" t="str">
        <f>IF(AND('领用录入（明细）'!D:D=$F$4,'领用录入（明细）'!C:C&gt;=$J$4,'领用录入（明细）'!C:C&lt;=$L$4),ROW(),"-")</f>
        <v>-</v>
      </c>
    </row>
    <row r="723" customHeight="1" spans="2:2">
      <c r="B723" s="62" t="str">
        <f>IF(AND('领用录入（明细）'!D:D=$F$4,'领用录入（明细）'!C:C&gt;=$J$4,'领用录入（明细）'!C:C&lt;=$L$4),ROW(),"-")</f>
        <v>-</v>
      </c>
    </row>
    <row r="724" customHeight="1" spans="2:2">
      <c r="B724" s="62" t="str">
        <f>IF(AND('领用录入（明细）'!D:D=$F$4,'领用录入（明细）'!C:C&gt;=$J$4,'领用录入（明细）'!C:C&lt;=$L$4),ROW(),"-")</f>
        <v>-</v>
      </c>
    </row>
    <row r="725" customHeight="1" spans="2:2">
      <c r="B725" s="62" t="str">
        <f>IF(AND('领用录入（明细）'!D:D=$F$4,'领用录入（明细）'!C:C&gt;=$J$4,'领用录入（明细）'!C:C&lt;=$L$4),ROW(),"-")</f>
        <v>-</v>
      </c>
    </row>
    <row r="726" customHeight="1" spans="2:2">
      <c r="B726" s="62" t="str">
        <f>IF(AND('领用录入（明细）'!D:D=$F$4,'领用录入（明细）'!C:C&gt;=$J$4,'领用录入（明细）'!C:C&lt;=$L$4),ROW(),"-")</f>
        <v>-</v>
      </c>
    </row>
    <row r="727" customHeight="1" spans="2:2">
      <c r="B727" s="62" t="str">
        <f>IF(AND('领用录入（明细）'!D:D=$F$4,'领用录入（明细）'!C:C&gt;=$J$4,'领用录入（明细）'!C:C&lt;=$L$4),ROW(),"-")</f>
        <v>-</v>
      </c>
    </row>
    <row r="728" customHeight="1" spans="2:2">
      <c r="B728" s="62" t="str">
        <f>IF(AND('领用录入（明细）'!D:D=$F$4,'领用录入（明细）'!C:C&gt;=$J$4,'领用录入（明细）'!C:C&lt;=$L$4),ROW(),"-")</f>
        <v>-</v>
      </c>
    </row>
    <row r="729" customHeight="1" spans="2:2">
      <c r="B729" s="62" t="str">
        <f>IF(AND('领用录入（明细）'!D:D=$F$4,'领用录入（明细）'!C:C&gt;=$J$4,'领用录入（明细）'!C:C&lt;=$L$4),ROW(),"-")</f>
        <v>-</v>
      </c>
    </row>
    <row r="730" customHeight="1" spans="2:2">
      <c r="B730" s="62" t="str">
        <f>IF(AND('领用录入（明细）'!D:D=$F$4,'领用录入（明细）'!C:C&gt;=$J$4,'领用录入（明细）'!C:C&lt;=$L$4),ROW(),"-")</f>
        <v>-</v>
      </c>
    </row>
    <row r="731" customHeight="1" spans="2:2">
      <c r="B731" s="62" t="str">
        <f>IF(AND('领用录入（明细）'!D:D=$F$4,'领用录入（明细）'!C:C&gt;=$J$4,'领用录入（明细）'!C:C&lt;=$L$4),ROW(),"-")</f>
        <v>-</v>
      </c>
    </row>
    <row r="732" customHeight="1" spans="2:2">
      <c r="B732" s="62" t="str">
        <f>IF(AND('领用录入（明细）'!D:D=$F$4,'领用录入（明细）'!C:C&gt;=$J$4,'领用录入（明细）'!C:C&lt;=$L$4),ROW(),"-")</f>
        <v>-</v>
      </c>
    </row>
    <row r="733" customHeight="1" spans="2:2">
      <c r="B733" s="62" t="str">
        <f>IF(AND('领用录入（明细）'!D:D=$F$4,'领用录入（明细）'!C:C&gt;=$J$4,'领用录入（明细）'!C:C&lt;=$L$4),ROW(),"-")</f>
        <v>-</v>
      </c>
    </row>
    <row r="734" customHeight="1" spans="2:2">
      <c r="B734" s="62" t="str">
        <f>IF(AND('领用录入（明细）'!D:D=$F$4,'领用录入（明细）'!C:C&gt;=$J$4,'领用录入（明细）'!C:C&lt;=$L$4),ROW(),"-")</f>
        <v>-</v>
      </c>
    </row>
    <row r="735" customHeight="1" spans="2:2">
      <c r="B735" s="62" t="str">
        <f>IF(AND('领用录入（明细）'!D:D=$F$4,'领用录入（明细）'!C:C&gt;=$J$4,'领用录入（明细）'!C:C&lt;=$L$4),ROW(),"-")</f>
        <v>-</v>
      </c>
    </row>
    <row r="736" customHeight="1" spans="2:2">
      <c r="B736" s="62" t="str">
        <f>IF(AND('领用录入（明细）'!D:D=$F$4,'领用录入（明细）'!C:C&gt;=$J$4,'领用录入（明细）'!C:C&lt;=$L$4),ROW(),"-")</f>
        <v>-</v>
      </c>
    </row>
    <row r="737" customHeight="1" spans="2:2">
      <c r="B737" s="62" t="str">
        <f>IF(AND('领用录入（明细）'!D:D=$F$4,'领用录入（明细）'!C:C&gt;=$J$4,'领用录入（明细）'!C:C&lt;=$L$4),ROW(),"-")</f>
        <v>-</v>
      </c>
    </row>
    <row r="738" customHeight="1" spans="2:2">
      <c r="B738" s="62" t="str">
        <f>IF(AND('领用录入（明细）'!D:D=$F$4,'领用录入（明细）'!C:C&gt;=$J$4,'领用录入（明细）'!C:C&lt;=$L$4),ROW(),"-")</f>
        <v>-</v>
      </c>
    </row>
    <row r="739" customHeight="1" spans="2:2">
      <c r="B739" s="62" t="str">
        <f>IF(AND('领用录入（明细）'!D:D=$F$4,'领用录入（明细）'!C:C&gt;=$J$4,'领用录入（明细）'!C:C&lt;=$L$4),ROW(),"-")</f>
        <v>-</v>
      </c>
    </row>
    <row r="740" customHeight="1" spans="2:2">
      <c r="B740" s="62" t="str">
        <f>IF(AND('领用录入（明细）'!D:D=$F$4,'领用录入（明细）'!C:C&gt;=$J$4,'领用录入（明细）'!C:C&lt;=$L$4),ROW(),"-")</f>
        <v>-</v>
      </c>
    </row>
    <row r="741" customHeight="1" spans="2:2">
      <c r="B741" s="62" t="str">
        <f>IF(AND('领用录入（明细）'!D:D=$F$4,'领用录入（明细）'!C:C&gt;=$J$4,'领用录入（明细）'!C:C&lt;=$L$4),ROW(),"-")</f>
        <v>-</v>
      </c>
    </row>
    <row r="742" customHeight="1" spans="2:2">
      <c r="B742" s="62" t="str">
        <f>IF(AND('领用录入（明细）'!D:D=$F$4,'领用录入（明细）'!C:C&gt;=$J$4,'领用录入（明细）'!C:C&lt;=$L$4),ROW(),"-")</f>
        <v>-</v>
      </c>
    </row>
    <row r="743" customHeight="1" spans="2:2">
      <c r="B743" s="62" t="str">
        <f>IF(AND('领用录入（明细）'!D:D=$F$4,'领用录入（明细）'!C:C&gt;=$J$4,'领用录入（明细）'!C:C&lt;=$L$4),ROW(),"-")</f>
        <v>-</v>
      </c>
    </row>
    <row r="744" customHeight="1" spans="2:2">
      <c r="B744" s="62" t="str">
        <f>IF(AND('领用录入（明细）'!D:D=$F$4,'领用录入（明细）'!C:C&gt;=$J$4,'领用录入（明细）'!C:C&lt;=$L$4),ROW(),"-")</f>
        <v>-</v>
      </c>
    </row>
    <row r="745" customHeight="1" spans="2:2">
      <c r="B745" s="62" t="str">
        <f>IF(AND('领用录入（明细）'!D:D=$F$4,'领用录入（明细）'!C:C&gt;=$J$4,'领用录入（明细）'!C:C&lt;=$L$4),ROW(),"-")</f>
        <v>-</v>
      </c>
    </row>
    <row r="746" customHeight="1" spans="2:2">
      <c r="B746" s="62" t="str">
        <f>IF(AND('领用录入（明细）'!D:D=$F$4,'领用录入（明细）'!C:C&gt;=$J$4,'领用录入（明细）'!C:C&lt;=$L$4),ROW(),"-")</f>
        <v>-</v>
      </c>
    </row>
    <row r="747" customHeight="1" spans="2:2">
      <c r="B747" s="62" t="str">
        <f>IF(AND('领用录入（明细）'!D:D=$F$4,'领用录入（明细）'!C:C&gt;=$J$4,'领用录入（明细）'!C:C&lt;=$L$4),ROW(),"-")</f>
        <v>-</v>
      </c>
    </row>
    <row r="748" customHeight="1" spans="2:2">
      <c r="B748" s="62" t="str">
        <f>IF(AND('领用录入（明细）'!D:D=$F$4,'领用录入（明细）'!C:C&gt;=$J$4,'领用录入（明细）'!C:C&lt;=$L$4),ROW(),"-")</f>
        <v>-</v>
      </c>
    </row>
    <row r="749" customHeight="1" spans="2:2">
      <c r="B749" s="62" t="str">
        <f>IF(AND('领用录入（明细）'!D:D=$F$4,'领用录入（明细）'!C:C&gt;=$J$4,'领用录入（明细）'!C:C&lt;=$L$4),ROW(),"-")</f>
        <v>-</v>
      </c>
    </row>
    <row r="750" customHeight="1" spans="2:2">
      <c r="B750" s="62" t="str">
        <f>IF(AND('领用录入（明细）'!D:D=$F$4,'领用录入（明细）'!C:C&gt;=$J$4,'领用录入（明细）'!C:C&lt;=$L$4),ROW(),"-")</f>
        <v>-</v>
      </c>
    </row>
    <row r="751" customHeight="1" spans="2:2">
      <c r="B751" s="62" t="str">
        <f>IF(AND('领用录入（明细）'!D:D=$F$4,'领用录入（明细）'!C:C&gt;=$J$4,'领用录入（明细）'!C:C&lt;=$L$4),ROW(),"-")</f>
        <v>-</v>
      </c>
    </row>
    <row r="752" customHeight="1" spans="2:2">
      <c r="B752" s="62" t="str">
        <f>IF(AND('领用录入（明细）'!D:D=$F$4,'领用录入（明细）'!C:C&gt;=$J$4,'领用录入（明细）'!C:C&lt;=$L$4),ROW(),"-")</f>
        <v>-</v>
      </c>
    </row>
    <row r="753" customHeight="1" spans="2:2">
      <c r="B753" s="62" t="str">
        <f>IF(AND('领用录入（明细）'!D:D=$F$4,'领用录入（明细）'!C:C&gt;=$J$4,'领用录入（明细）'!C:C&lt;=$L$4),ROW(),"-")</f>
        <v>-</v>
      </c>
    </row>
    <row r="754" customHeight="1" spans="2:2">
      <c r="B754" s="62" t="str">
        <f>IF(AND('领用录入（明细）'!D:D=$F$4,'领用录入（明细）'!C:C&gt;=$J$4,'领用录入（明细）'!C:C&lt;=$L$4),ROW(),"-")</f>
        <v>-</v>
      </c>
    </row>
    <row r="755" customHeight="1" spans="2:2">
      <c r="B755" s="62" t="str">
        <f>IF(AND('领用录入（明细）'!D:D=$F$4,'领用录入（明细）'!C:C&gt;=$J$4,'领用录入（明细）'!C:C&lt;=$L$4),ROW(),"-")</f>
        <v>-</v>
      </c>
    </row>
    <row r="756" customHeight="1" spans="2:2">
      <c r="B756" s="62" t="str">
        <f>IF(AND('领用录入（明细）'!D:D=$F$4,'领用录入（明细）'!C:C&gt;=$J$4,'领用录入（明细）'!C:C&lt;=$L$4),ROW(),"-")</f>
        <v>-</v>
      </c>
    </row>
    <row r="757" customHeight="1" spans="2:2">
      <c r="B757" s="62" t="str">
        <f>IF(AND('领用录入（明细）'!D:D=$F$4,'领用录入（明细）'!C:C&gt;=$J$4,'领用录入（明细）'!C:C&lt;=$L$4),ROW(),"-")</f>
        <v>-</v>
      </c>
    </row>
    <row r="758" customHeight="1" spans="2:2">
      <c r="B758" s="62" t="str">
        <f>IF(AND('领用录入（明细）'!D:D=$F$4,'领用录入（明细）'!C:C&gt;=$J$4,'领用录入（明细）'!C:C&lt;=$L$4),ROW(),"-")</f>
        <v>-</v>
      </c>
    </row>
    <row r="759" customHeight="1" spans="2:2">
      <c r="B759" s="62" t="str">
        <f>IF(AND('领用录入（明细）'!D:D=$F$4,'领用录入（明细）'!C:C&gt;=$J$4,'领用录入（明细）'!C:C&lt;=$L$4),ROW(),"-")</f>
        <v>-</v>
      </c>
    </row>
    <row r="760" customHeight="1" spans="2:2">
      <c r="B760" s="62" t="str">
        <f>IF(AND('领用录入（明细）'!D:D=$F$4,'领用录入（明细）'!C:C&gt;=$J$4,'领用录入（明细）'!C:C&lt;=$L$4),ROW(),"-")</f>
        <v>-</v>
      </c>
    </row>
    <row r="761" customHeight="1" spans="2:2">
      <c r="B761" s="62" t="str">
        <f>IF(AND('领用录入（明细）'!D:D=$F$4,'领用录入（明细）'!C:C&gt;=$J$4,'领用录入（明细）'!C:C&lt;=$L$4),ROW(),"-")</f>
        <v>-</v>
      </c>
    </row>
    <row r="762" customHeight="1" spans="2:2">
      <c r="B762" s="62" t="str">
        <f>IF(AND('领用录入（明细）'!D:D=$F$4,'领用录入（明细）'!C:C&gt;=$J$4,'领用录入（明细）'!C:C&lt;=$L$4),ROW(),"-")</f>
        <v>-</v>
      </c>
    </row>
    <row r="763" customHeight="1" spans="2:2">
      <c r="B763" s="62" t="str">
        <f>IF(AND('领用录入（明细）'!D:D=$F$4,'领用录入（明细）'!C:C&gt;=$J$4,'领用录入（明细）'!C:C&lt;=$L$4),ROW(),"-")</f>
        <v>-</v>
      </c>
    </row>
    <row r="764" customHeight="1" spans="2:2">
      <c r="B764" s="62" t="str">
        <f>IF(AND('领用录入（明细）'!D:D=$F$4,'领用录入（明细）'!C:C&gt;=$J$4,'领用录入（明细）'!C:C&lt;=$L$4),ROW(),"-")</f>
        <v>-</v>
      </c>
    </row>
    <row r="765" customHeight="1" spans="2:2">
      <c r="B765" s="62" t="str">
        <f>IF(AND('领用录入（明细）'!D:D=$F$4,'领用录入（明细）'!C:C&gt;=$J$4,'领用录入（明细）'!C:C&lt;=$L$4),ROW(),"-")</f>
        <v>-</v>
      </c>
    </row>
    <row r="766" customHeight="1" spans="2:2">
      <c r="B766" s="62" t="str">
        <f>IF(AND('领用录入（明细）'!D:D=$F$4,'领用录入（明细）'!C:C&gt;=$J$4,'领用录入（明细）'!C:C&lt;=$L$4),ROW(),"-")</f>
        <v>-</v>
      </c>
    </row>
    <row r="767" customHeight="1" spans="2:2">
      <c r="B767" s="62" t="str">
        <f>IF(AND('领用录入（明细）'!D:D=$F$4,'领用录入（明细）'!C:C&gt;=$J$4,'领用录入（明细）'!C:C&lt;=$L$4),ROW(),"-")</f>
        <v>-</v>
      </c>
    </row>
    <row r="768" customHeight="1" spans="2:2">
      <c r="B768" s="62" t="str">
        <f>IF(AND('领用录入（明细）'!D:D=$F$4,'领用录入（明细）'!C:C&gt;=$J$4,'领用录入（明细）'!C:C&lt;=$L$4),ROW(),"-")</f>
        <v>-</v>
      </c>
    </row>
    <row r="769" customHeight="1" spans="2:2">
      <c r="B769" s="62" t="str">
        <f>IF(AND('领用录入（明细）'!D:D=$F$4,'领用录入（明细）'!C:C&gt;=$J$4,'领用录入（明细）'!C:C&lt;=$L$4),ROW(),"-")</f>
        <v>-</v>
      </c>
    </row>
    <row r="770" customHeight="1" spans="2:2">
      <c r="B770" s="62" t="str">
        <f>IF(AND('领用录入（明细）'!D:D=$F$4,'领用录入（明细）'!C:C&gt;=$J$4,'领用录入（明细）'!C:C&lt;=$L$4),ROW(),"-")</f>
        <v>-</v>
      </c>
    </row>
    <row r="771" customHeight="1" spans="2:2">
      <c r="B771" s="62" t="str">
        <f>IF(AND('领用录入（明细）'!D:D=$F$4,'领用录入（明细）'!C:C&gt;=$J$4,'领用录入（明细）'!C:C&lt;=$L$4),ROW(),"-")</f>
        <v>-</v>
      </c>
    </row>
    <row r="772" customHeight="1" spans="2:2">
      <c r="B772" s="62" t="str">
        <f>IF(AND('领用录入（明细）'!D:D=$F$4,'领用录入（明细）'!C:C&gt;=$J$4,'领用录入（明细）'!C:C&lt;=$L$4),ROW(),"-")</f>
        <v>-</v>
      </c>
    </row>
    <row r="773" customHeight="1" spans="2:2">
      <c r="B773" s="62" t="str">
        <f>IF(AND('领用录入（明细）'!D:D=$F$4,'领用录入（明细）'!C:C&gt;=$J$4,'领用录入（明细）'!C:C&lt;=$L$4),ROW(),"-")</f>
        <v>-</v>
      </c>
    </row>
    <row r="774" customHeight="1" spans="2:2">
      <c r="B774" s="62" t="str">
        <f>IF(AND('领用录入（明细）'!D:D=$F$4,'领用录入（明细）'!C:C&gt;=$J$4,'领用录入（明细）'!C:C&lt;=$L$4),ROW(),"-")</f>
        <v>-</v>
      </c>
    </row>
    <row r="775" customHeight="1" spans="2:2">
      <c r="B775" s="62" t="str">
        <f>IF(AND('领用录入（明细）'!D:D=$F$4,'领用录入（明细）'!C:C&gt;=$J$4,'领用录入（明细）'!C:C&lt;=$L$4),ROW(),"-")</f>
        <v>-</v>
      </c>
    </row>
    <row r="776" customHeight="1" spans="2:2">
      <c r="B776" s="62" t="str">
        <f>IF(AND('领用录入（明细）'!D:D=$F$4,'领用录入（明细）'!C:C&gt;=$J$4,'领用录入（明细）'!C:C&lt;=$L$4),ROW(),"-")</f>
        <v>-</v>
      </c>
    </row>
    <row r="777" customHeight="1" spans="2:2">
      <c r="B777" s="62" t="str">
        <f>IF(AND('领用录入（明细）'!D:D=$F$4,'领用录入（明细）'!C:C&gt;=$J$4,'领用录入（明细）'!C:C&lt;=$L$4),ROW(),"-")</f>
        <v>-</v>
      </c>
    </row>
    <row r="778" customHeight="1" spans="2:2">
      <c r="B778" s="62" t="str">
        <f>IF(AND('领用录入（明细）'!D:D=$F$4,'领用录入（明细）'!C:C&gt;=$J$4,'领用录入（明细）'!C:C&lt;=$L$4),ROW(),"-")</f>
        <v>-</v>
      </c>
    </row>
    <row r="779" customHeight="1" spans="2:2">
      <c r="B779" s="62" t="str">
        <f>IF(AND('领用录入（明细）'!D:D=$F$4,'领用录入（明细）'!C:C&gt;=$J$4,'领用录入（明细）'!C:C&lt;=$L$4),ROW(),"-")</f>
        <v>-</v>
      </c>
    </row>
    <row r="780" customHeight="1" spans="2:2">
      <c r="B780" s="62" t="str">
        <f>IF(AND('领用录入（明细）'!D:D=$F$4,'领用录入（明细）'!C:C&gt;=$J$4,'领用录入（明细）'!C:C&lt;=$L$4),ROW(),"-")</f>
        <v>-</v>
      </c>
    </row>
    <row r="781" customHeight="1" spans="2:2">
      <c r="B781" s="62" t="str">
        <f>IF(AND('领用录入（明细）'!D:D=$F$4,'领用录入（明细）'!C:C&gt;=$J$4,'领用录入（明细）'!C:C&lt;=$L$4),ROW(),"-")</f>
        <v>-</v>
      </c>
    </row>
    <row r="782" customHeight="1" spans="2:2">
      <c r="B782" s="62" t="str">
        <f>IF(AND('领用录入（明细）'!D:D=$F$4,'领用录入（明细）'!C:C&gt;=$J$4,'领用录入（明细）'!C:C&lt;=$L$4),ROW(),"-")</f>
        <v>-</v>
      </c>
    </row>
    <row r="783" customHeight="1" spans="2:2">
      <c r="B783" s="62" t="str">
        <f>IF(AND('领用录入（明细）'!D:D=$F$4,'领用录入（明细）'!C:C&gt;=$J$4,'领用录入（明细）'!C:C&lt;=$L$4),ROW(),"-")</f>
        <v>-</v>
      </c>
    </row>
    <row r="784" customHeight="1" spans="2:2">
      <c r="B784" s="62" t="str">
        <f>IF(AND('领用录入（明细）'!D:D=$F$4,'领用录入（明细）'!C:C&gt;=$J$4,'领用录入（明细）'!C:C&lt;=$L$4),ROW(),"-")</f>
        <v>-</v>
      </c>
    </row>
    <row r="785" customHeight="1" spans="2:2">
      <c r="B785" s="62" t="str">
        <f>IF(AND('领用录入（明细）'!D:D=$F$4,'领用录入（明细）'!C:C&gt;=$J$4,'领用录入（明细）'!C:C&lt;=$L$4),ROW(),"-")</f>
        <v>-</v>
      </c>
    </row>
    <row r="786" customHeight="1" spans="2:2">
      <c r="B786" s="62" t="str">
        <f>IF(AND('领用录入（明细）'!D:D=$F$4,'领用录入（明细）'!C:C&gt;=$J$4,'领用录入（明细）'!C:C&lt;=$L$4),ROW(),"-")</f>
        <v>-</v>
      </c>
    </row>
    <row r="787" customHeight="1" spans="2:2">
      <c r="B787" s="62" t="str">
        <f>IF(AND('领用录入（明细）'!D:D=$F$4,'领用录入（明细）'!C:C&gt;=$J$4,'领用录入（明细）'!C:C&lt;=$L$4),ROW(),"-")</f>
        <v>-</v>
      </c>
    </row>
    <row r="788" customHeight="1" spans="2:2">
      <c r="B788" s="62" t="str">
        <f>IF(AND('领用录入（明细）'!D:D=$F$4,'领用录入（明细）'!C:C&gt;=$J$4,'领用录入（明细）'!C:C&lt;=$L$4),ROW(),"-")</f>
        <v>-</v>
      </c>
    </row>
    <row r="789" customHeight="1" spans="2:2">
      <c r="B789" s="62" t="str">
        <f>IF(AND('领用录入（明细）'!D:D=$F$4,'领用录入（明细）'!C:C&gt;=$J$4,'领用录入（明细）'!C:C&lt;=$L$4),ROW(),"-")</f>
        <v>-</v>
      </c>
    </row>
    <row r="790" customHeight="1" spans="2:2">
      <c r="B790" s="62" t="str">
        <f>IF(AND('领用录入（明细）'!D:D=$F$4,'领用录入（明细）'!C:C&gt;=$J$4,'领用录入（明细）'!C:C&lt;=$L$4),ROW(),"-")</f>
        <v>-</v>
      </c>
    </row>
    <row r="791" customHeight="1" spans="2:2">
      <c r="B791" s="62" t="str">
        <f>IF(AND('领用录入（明细）'!D:D=$F$4,'领用录入（明细）'!C:C&gt;=$J$4,'领用录入（明细）'!C:C&lt;=$L$4),ROW(),"-")</f>
        <v>-</v>
      </c>
    </row>
    <row r="792" customHeight="1" spans="2:2">
      <c r="B792" s="62" t="str">
        <f>IF(AND('领用录入（明细）'!D:D=$F$4,'领用录入（明细）'!C:C&gt;=$J$4,'领用录入（明细）'!C:C&lt;=$L$4),ROW(),"-")</f>
        <v>-</v>
      </c>
    </row>
    <row r="793" customHeight="1" spans="2:2">
      <c r="B793" s="62" t="str">
        <f>IF(AND('领用录入（明细）'!D:D=$F$4,'领用录入（明细）'!C:C&gt;=$J$4,'领用录入（明细）'!C:C&lt;=$L$4),ROW(),"-")</f>
        <v>-</v>
      </c>
    </row>
    <row r="794" customHeight="1" spans="2:2">
      <c r="B794" s="62" t="str">
        <f>IF(AND('领用录入（明细）'!D:D=$F$4,'领用录入（明细）'!C:C&gt;=$J$4,'领用录入（明细）'!C:C&lt;=$L$4),ROW(),"-")</f>
        <v>-</v>
      </c>
    </row>
    <row r="795" customHeight="1" spans="2:2">
      <c r="B795" s="62" t="str">
        <f>IF(AND('领用录入（明细）'!D:D=$F$4,'领用录入（明细）'!C:C&gt;=$J$4,'领用录入（明细）'!C:C&lt;=$L$4),ROW(),"-")</f>
        <v>-</v>
      </c>
    </row>
    <row r="796" customHeight="1" spans="2:2">
      <c r="B796" s="62" t="str">
        <f>IF(AND('领用录入（明细）'!D:D=$F$4,'领用录入（明细）'!C:C&gt;=$J$4,'领用录入（明细）'!C:C&lt;=$L$4),ROW(),"-")</f>
        <v>-</v>
      </c>
    </row>
    <row r="797" customHeight="1" spans="2:2">
      <c r="B797" s="62" t="str">
        <f>IF(AND('领用录入（明细）'!D:D=$F$4,'领用录入（明细）'!C:C&gt;=$J$4,'领用录入（明细）'!C:C&lt;=$L$4),ROW(),"-")</f>
        <v>-</v>
      </c>
    </row>
    <row r="798" customHeight="1" spans="2:2">
      <c r="B798" s="62" t="str">
        <f>IF(AND('领用录入（明细）'!D:D=$F$4,'领用录入（明细）'!C:C&gt;=$J$4,'领用录入（明细）'!C:C&lt;=$L$4),ROW(),"-")</f>
        <v>-</v>
      </c>
    </row>
    <row r="799" customHeight="1" spans="2:2">
      <c r="B799" s="62" t="str">
        <f>IF(AND('领用录入（明细）'!D:D=$F$4,'领用录入（明细）'!C:C&gt;=$J$4,'领用录入（明细）'!C:C&lt;=$L$4),ROW(),"-")</f>
        <v>-</v>
      </c>
    </row>
    <row r="800" customHeight="1" spans="2:2">
      <c r="B800" s="62" t="str">
        <f>IF(AND('领用录入（明细）'!D:D=$F$4,'领用录入（明细）'!C:C&gt;=$J$4,'领用录入（明细）'!C:C&lt;=$L$4),ROW(),"-")</f>
        <v>-</v>
      </c>
    </row>
    <row r="801" customHeight="1" spans="2:2">
      <c r="B801" s="62" t="str">
        <f>IF(AND('领用录入（明细）'!D:D=$F$4,'领用录入（明细）'!C:C&gt;=$J$4,'领用录入（明细）'!C:C&lt;=$L$4),ROW(),"-")</f>
        <v>-</v>
      </c>
    </row>
    <row r="802" customHeight="1" spans="2:2">
      <c r="B802" s="62" t="str">
        <f>IF(AND('领用录入（明细）'!D:D=$F$4,'领用录入（明细）'!C:C&gt;=$J$4,'领用录入（明细）'!C:C&lt;=$L$4),ROW(),"-")</f>
        <v>-</v>
      </c>
    </row>
    <row r="803" customHeight="1" spans="2:2">
      <c r="B803" s="62" t="str">
        <f>IF(AND('领用录入（明细）'!D:D=$F$4,'领用录入（明细）'!C:C&gt;=$J$4,'领用录入（明细）'!C:C&lt;=$L$4),ROW(),"-")</f>
        <v>-</v>
      </c>
    </row>
    <row r="804" customHeight="1" spans="2:2">
      <c r="B804" s="62" t="str">
        <f>IF(AND('领用录入（明细）'!D:D=$F$4,'领用录入（明细）'!C:C&gt;=$J$4,'领用录入（明细）'!C:C&lt;=$L$4),ROW(),"-")</f>
        <v>-</v>
      </c>
    </row>
    <row r="805" customHeight="1" spans="2:2">
      <c r="B805" s="62" t="str">
        <f>IF(AND('领用录入（明细）'!D:D=$F$4,'领用录入（明细）'!C:C&gt;=$J$4,'领用录入（明细）'!C:C&lt;=$L$4),ROW(),"-")</f>
        <v>-</v>
      </c>
    </row>
    <row r="806" customHeight="1" spans="2:2">
      <c r="B806" s="62" t="str">
        <f>IF(AND('领用录入（明细）'!D:D=$F$4,'领用录入（明细）'!C:C&gt;=$J$4,'领用录入（明细）'!C:C&lt;=$L$4),ROW(),"-")</f>
        <v>-</v>
      </c>
    </row>
    <row r="807" customHeight="1" spans="2:2">
      <c r="B807" s="62" t="str">
        <f>IF(AND('领用录入（明细）'!D:D=$F$4,'领用录入（明细）'!C:C&gt;=$J$4,'领用录入（明细）'!C:C&lt;=$L$4),ROW(),"-")</f>
        <v>-</v>
      </c>
    </row>
    <row r="808" customHeight="1" spans="2:2">
      <c r="B808" s="62" t="str">
        <f>IF(AND('领用录入（明细）'!D:D=$F$4,'领用录入（明细）'!C:C&gt;=$J$4,'领用录入（明细）'!C:C&lt;=$L$4),ROW(),"-")</f>
        <v>-</v>
      </c>
    </row>
    <row r="809" customHeight="1" spans="2:2">
      <c r="B809" s="62" t="str">
        <f>IF(AND('领用录入（明细）'!D:D=$F$4,'领用录入（明细）'!C:C&gt;=$J$4,'领用录入（明细）'!C:C&lt;=$L$4),ROW(),"-")</f>
        <v>-</v>
      </c>
    </row>
    <row r="810" customHeight="1" spans="2:2">
      <c r="B810" s="62" t="str">
        <f>IF(AND('领用录入（明细）'!D:D=$F$4,'领用录入（明细）'!C:C&gt;=$J$4,'领用录入（明细）'!C:C&lt;=$L$4),ROW(),"-")</f>
        <v>-</v>
      </c>
    </row>
    <row r="811" customHeight="1" spans="2:2">
      <c r="B811" s="62" t="str">
        <f>IF(AND('领用录入（明细）'!D:D=$F$4,'领用录入（明细）'!C:C&gt;=$J$4,'领用录入（明细）'!C:C&lt;=$L$4),ROW(),"-")</f>
        <v>-</v>
      </c>
    </row>
    <row r="812" customHeight="1" spans="2:2">
      <c r="B812" s="62" t="str">
        <f>IF(AND('领用录入（明细）'!D:D=$F$4,'领用录入（明细）'!C:C&gt;=$J$4,'领用录入（明细）'!C:C&lt;=$L$4),ROW(),"-")</f>
        <v>-</v>
      </c>
    </row>
    <row r="813" customHeight="1" spans="2:2">
      <c r="B813" s="62" t="str">
        <f>IF(AND('领用录入（明细）'!D:D=$F$4,'领用录入（明细）'!C:C&gt;=$J$4,'领用录入（明细）'!C:C&lt;=$L$4),ROW(),"-")</f>
        <v>-</v>
      </c>
    </row>
    <row r="814" customHeight="1" spans="2:2">
      <c r="B814" s="62" t="str">
        <f>IF(AND('领用录入（明细）'!D:D=$F$4,'领用录入（明细）'!C:C&gt;=$J$4,'领用录入（明细）'!C:C&lt;=$L$4),ROW(),"-")</f>
        <v>-</v>
      </c>
    </row>
    <row r="815" customHeight="1" spans="2:2">
      <c r="B815" s="62" t="str">
        <f>IF(AND('领用录入（明细）'!D:D=$F$4,'领用录入（明细）'!C:C&gt;=$J$4,'领用录入（明细）'!C:C&lt;=$L$4),ROW(),"-")</f>
        <v>-</v>
      </c>
    </row>
    <row r="816" customHeight="1" spans="2:2">
      <c r="B816" s="62" t="str">
        <f>IF(AND('领用录入（明细）'!D:D=$F$4,'领用录入（明细）'!C:C&gt;=$J$4,'领用录入（明细）'!C:C&lt;=$L$4),ROW(),"-")</f>
        <v>-</v>
      </c>
    </row>
    <row r="817" customHeight="1" spans="2:2">
      <c r="B817" s="62" t="str">
        <f>IF(AND('领用录入（明细）'!D:D=$F$4,'领用录入（明细）'!C:C&gt;=$J$4,'领用录入（明细）'!C:C&lt;=$L$4),ROW(),"-")</f>
        <v>-</v>
      </c>
    </row>
    <row r="818" customHeight="1" spans="2:2">
      <c r="B818" s="62" t="str">
        <f>IF(AND('领用录入（明细）'!D:D=$F$4,'领用录入（明细）'!C:C&gt;=$J$4,'领用录入（明细）'!C:C&lt;=$L$4),ROW(),"-")</f>
        <v>-</v>
      </c>
    </row>
    <row r="819" customHeight="1" spans="2:2">
      <c r="B819" s="62" t="str">
        <f>IF(AND('领用录入（明细）'!D:D=$F$4,'领用录入（明细）'!C:C&gt;=$J$4,'领用录入（明细）'!C:C&lt;=$L$4),ROW(),"-")</f>
        <v>-</v>
      </c>
    </row>
    <row r="820" customHeight="1" spans="2:2">
      <c r="B820" s="62" t="str">
        <f>IF(AND('领用录入（明细）'!D:D=$F$4,'领用录入（明细）'!C:C&gt;=$J$4,'领用录入（明细）'!C:C&lt;=$L$4),ROW(),"-")</f>
        <v>-</v>
      </c>
    </row>
    <row r="821" customHeight="1" spans="2:2">
      <c r="B821" s="62" t="str">
        <f>IF(AND('领用录入（明细）'!D:D=$F$4,'领用录入（明细）'!C:C&gt;=$J$4,'领用录入（明细）'!C:C&lt;=$L$4),ROW(),"-")</f>
        <v>-</v>
      </c>
    </row>
    <row r="822" customHeight="1" spans="2:2">
      <c r="B822" s="62" t="str">
        <f>IF(AND('领用录入（明细）'!D:D=$F$4,'领用录入（明细）'!C:C&gt;=$J$4,'领用录入（明细）'!C:C&lt;=$L$4),ROW(),"-")</f>
        <v>-</v>
      </c>
    </row>
    <row r="823" customHeight="1" spans="2:2">
      <c r="B823" s="62" t="str">
        <f>IF(AND('领用录入（明细）'!D:D=$F$4,'领用录入（明细）'!C:C&gt;=$J$4,'领用录入（明细）'!C:C&lt;=$L$4),ROW(),"-")</f>
        <v>-</v>
      </c>
    </row>
    <row r="824" customHeight="1" spans="2:2">
      <c r="B824" s="62" t="str">
        <f>IF(AND('领用录入（明细）'!D:D=$F$4,'领用录入（明细）'!C:C&gt;=$J$4,'领用录入（明细）'!C:C&lt;=$L$4),ROW(),"-")</f>
        <v>-</v>
      </c>
    </row>
    <row r="825" customHeight="1" spans="2:2">
      <c r="B825" s="62" t="str">
        <f>IF(AND('领用录入（明细）'!D:D=$F$4,'领用录入（明细）'!C:C&gt;=$J$4,'领用录入（明细）'!C:C&lt;=$L$4),ROW(),"-")</f>
        <v>-</v>
      </c>
    </row>
    <row r="826" customHeight="1" spans="2:2">
      <c r="B826" s="62" t="str">
        <f>IF(AND('领用录入（明细）'!D:D=$F$4,'领用录入（明细）'!C:C&gt;=$J$4,'领用录入（明细）'!C:C&lt;=$L$4),ROW(),"-")</f>
        <v>-</v>
      </c>
    </row>
    <row r="827" customHeight="1" spans="2:2">
      <c r="B827" s="62" t="str">
        <f>IF(AND('领用录入（明细）'!D:D=$F$4,'领用录入（明细）'!C:C&gt;=$J$4,'领用录入（明细）'!C:C&lt;=$L$4),ROW(),"-")</f>
        <v>-</v>
      </c>
    </row>
    <row r="828" customHeight="1" spans="2:2">
      <c r="B828" s="62" t="str">
        <f>IF(AND('领用录入（明细）'!D:D=$F$4,'领用录入（明细）'!C:C&gt;=$J$4,'领用录入（明细）'!C:C&lt;=$L$4),ROW(),"-")</f>
        <v>-</v>
      </c>
    </row>
    <row r="829" customHeight="1" spans="2:2">
      <c r="B829" s="62" t="str">
        <f>IF(AND('领用录入（明细）'!D:D=$F$4,'领用录入（明细）'!C:C&gt;=$J$4,'领用录入（明细）'!C:C&lt;=$L$4),ROW(),"-")</f>
        <v>-</v>
      </c>
    </row>
    <row r="830" customHeight="1" spans="2:2">
      <c r="B830" s="62" t="str">
        <f>IF(AND('领用录入（明细）'!D:D=$F$4,'领用录入（明细）'!C:C&gt;=$J$4,'领用录入（明细）'!C:C&lt;=$L$4),ROW(),"-")</f>
        <v>-</v>
      </c>
    </row>
    <row r="831" customHeight="1" spans="2:2">
      <c r="B831" s="62" t="str">
        <f>IF(AND('领用录入（明细）'!D:D=$F$4,'领用录入（明细）'!C:C&gt;=$J$4,'领用录入（明细）'!C:C&lt;=$L$4),ROW(),"-")</f>
        <v>-</v>
      </c>
    </row>
    <row r="832" customHeight="1" spans="2:2">
      <c r="B832" s="62" t="str">
        <f>IF(AND('领用录入（明细）'!D:D=$F$4,'领用录入（明细）'!C:C&gt;=$J$4,'领用录入（明细）'!C:C&lt;=$L$4),ROW(),"-")</f>
        <v>-</v>
      </c>
    </row>
    <row r="833" customHeight="1" spans="2:2">
      <c r="B833" s="62" t="str">
        <f>IF(AND('领用录入（明细）'!D:D=$F$4,'领用录入（明细）'!C:C&gt;=$J$4,'领用录入（明细）'!C:C&lt;=$L$4),ROW(),"-")</f>
        <v>-</v>
      </c>
    </row>
    <row r="834" customHeight="1" spans="2:2">
      <c r="B834" s="62" t="str">
        <f>IF(AND('领用录入（明细）'!D:D=$F$4,'领用录入（明细）'!C:C&gt;=$J$4,'领用录入（明细）'!C:C&lt;=$L$4),ROW(),"-")</f>
        <v>-</v>
      </c>
    </row>
    <row r="835" customHeight="1" spans="2:2">
      <c r="B835" s="62" t="str">
        <f>IF(AND('领用录入（明细）'!D:D=$F$4,'领用录入（明细）'!C:C&gt;=$J$4,'领用录入（明细）'!C:C&lt;=$L$4),ROW(),"-")</f>
        <v>-</v>
      </c>
    </row>
    <row r="836" customHeight="1" spans="2:2">
      <c r="B836" s="62" t="str">
        <f>IF(AND('领用录入（明细）'!D:D=$F$4,'领用录入（明细）'!C:C&gt;=$J$4,'领用录入（明细）'!C:C&lt;=$L$4),ROW(),"-")</f>
        <v>-</v>
      </c>
    </row>
    <row r="837" customHeight="1" spans="2:2">
      <c r="B837" s="62" t="str">
        <f>IF(AND('领用录入（明细）'!D:D=$F$4,'领用录入（明细）'!C:C&gt;=$J$4,'领用录入（明细）'!C:C&lt;=$L$4),ROW(),"-")</f>
        <v>-</v>
      </c>
    </row>
    <row r="838" customHeight="1" spans="2:2">
      <c r="B838" s="62" t="str">
        <f>IF(AND('领用录入（明细）'!D:D=$F$4,'领用录入（明细）'!C:C&gt;=$J$4,'领用录入（明细）'!C:C&lt;=$L$4),ROW(),"-")</f>
        <v>-</v>
      </c>
    </row>
    <row r="839" customHeight="1" spans="2:2">
      <c r="B839" s="62" t="str">
        <f>IF(AND('领用录入（明细）'!D:D=$F$4,'领用录入（明细）'!C:C&gt;=$J$4,'领用录入（明细）'!C:C&lt;=$L$4),ROW(),"-")</f>
        <v>-</v>
      </c>
    </row>
    <row r="840" customHeight="1" spans="2:2">
      <c r="B840" s="62" t="str">
        <f>IF(AND('领用录入（明细）'!D:D=$F$4,'领用录入（明细）'!C:C&gt;=$J$4,'领用录入（明细）'!C:C&lt;=$L$4),ROW(),"-")</f>
        <v>-</v>
      </c>
    </row>
    <row r="841" customHeight="1" spans="2:2">
      <c r="B841" s="62" t="str">
        <f>IF(AND('领用录入（明细）'!D:D=$F$4,'领用录入（明细）'!C:C&gt;=$J$4,'领用录入（明细）'!C:C&lt;=$L$4),ROW(),"-")</f>
        <v>-</v>
      </c>
    </row>
    <row r="842" customHeight="1" spans="2:2">
      <c r="B842" s="62" t="str">
        <f>IF(AND('领用录入（明细）'!D:D=$F$4,'领用录入（明细）'!C:C&gt;=$J$4,'领用录入（明细）'!C:C&lt;=$L$4),ROW(),"-")</f>
        <v>-</v>
      </c>
    </row>
    <row r="843" customHeight="1" spans="2:2">
      <c r="B843" s="62" t="str">
        <f>IF(AND('领用录入（明细）'!D:D=$F$4,'领用录入（明细）'!C:C&gt;=$J$4,'领用录入（明细）'!C:C&lt;=$L$4),ROW(),"-")</f>
        <v>-</v>
      </c>
    </row>
    <row r="844" customHeight="1" spans="2:2">
      <c r="B844" s="62" t="str">
        <f>IF(AND('领用录入（明细）'!D:D=$F$4,'领用录入（明细）'!C:C&gt;=$J$4,'领用录入（明细）'!C:C&lt;=$L$4),ROW(),"-")</f>
        <v>-</v>
      </c>
    </row>
    <row r="845" customHeight="1" spans="2:2">
      <c r="B845" s="62" t="str">
        <f>IF(AND('领用录入（明细）'!D:D=$F$4,'领用录入（明细）'!C:C&gt;=$J$4,'领用录入（明细）'!C:C&lt;=$L$4),ROW(),"-")</f>
        <v>-</v>
      </c>
    </row>
    <row r="846" customHeight="1" spans="2:2">
      <c r="B846" s="62" t="str">
        <f>IF(AND('领用录入（明细）'!D:D=$F$4,'领用录入（明细）'!C:C&gt;=$J$4,'领用录入（明细）'!C:C&lt;=$L$4),ROW(),"-")</f>
        <v>-</v>
      </c>
    </row>
    <row r="847" customHeight="1" spans="2:2">
      <c r="B847" s="62" t="str">
        <f>IF(AND('领用录入（明细）'!D:D=$F$4,'领用录入（明细）'!C:C&gt;=$J$4,'领用录入（明细）'!C:C&lt;=$L$4),ROW(),"-")</f>
        <v>-</v>
      </c>
    </row>
    <row r="848" customHeight="1" spans="2:2">
      <c r="B848" s="62" t="str">
        <f>IF(AND('领用录入（明细）'!D:D=$F$4,'领用录入（明细）'!C:C&gt;=$J$4,'领用录入（明细）'!C:C&lt;=$L$4),ROW(),"-")</f>
        <v>-</v>
      </c>
    </row>
    <row r="849" customHeight="1" spans="2:2">
      <c r="B849" s="62" t="str">
        <f>IF(AND('领用录入（明细）'!D:D=$F$4,'领用录入（明细）'!C:C&gt;=$J$4,'领用录入（明细）'!C:C&lt;=$L$4),ROW(),"-")</f>
        <v>-</v>
      </c>
    </row>
    <row r="850" customHeight="1" spans="2:2">
      <c r="B850" s="62" t="str">
        <f>IF(AND('领用录入（明细）'!D:D=$F$4,'领用录入（明细）'!C:C&gt;=$J$4,'领用录入（明细）'!C:C&lt;=$L$4),ROW(),"-")</f>
        <v>-</v>
      </c>
    </row>
    <row r="851" customHeight="1" spans="2:2">
      <c r="B851" s="62" t="str">
        <f>IF(AND('领用录入（明细）'!D:D=$F$4,'领用录入（明细）'!C:C&gt;=$J$4,'领用录入（明细）'!C:C&lt;=$L$4),ROW(),"-")</f>
        <v>-</v>
      </c>
    </row>
    <row r="852" customHeight="1" spans="2:2">
      <c r="B852" s="62" t="str">
        <f>IF(AND('领用录入（明细）'!D:D=$F$4,'领用录入（明细）'!C:C&gt;=$J$4,'领用录入（明细）'!C:C&lt;=$L$4),ROW(),"-")</f>
        <v>-</v>
      </c>
    </row>
    <row r="853" customHeight="1" spans="2:2">
      <c r="B853" s="62" t="str">
        <f>IF(AND('领用录入（明细）'!D:D=$F$4,'领用录入（明细）'!C:C&gt;=$J$4,'领用录入（明细）'!C:C&lt;=$L$4),ROW(),"-")</f>
        <v>-</v>
      </c>
    </row>
    <row r="854" customHeight="1" spans="2:2">
      <c r="B854" s="62" t="str">
        <f>IF(AND('领用录入（明细）'!D:D=$F$4,'领用录入（明细）'!C:C&gt;=$J$4,'领用录入（明细）'!C:C&lt;=$L$4),ROW(),"-")</f>
        <v>-</v>
      </c>
    </row>
    <row r="855" customHeight="1" spans="2:2">
      <c r="B855" s="62" t="str">
        <f>IF(AND('领用录入（明细）'!D:D=$F$4,'领用录入（明细）'!C:C&gt;=$J$4,'领用录入（明细）'!C:C&lt;=$L$4),ROW(),"-")</f>
        <v>-</v>
      </c>
    </row>
    <row r="856" customHeight="1" spans="2:2">
      <c r="B856" s="62" t="str">
        <f>IF(AND('领用录入（明细）'!D:D=$F$4,'领用录入（明细）'!C:C&gt;=$J$4,'领用录入（明细）'!C:C&lt;=$L$4),ROW(),"-")</f>
        <v>-</v>
      </c>
    </row>
    <row r="857" customHeight="1" spans="2:2">
      <c r="B857" s="62" t="str">
        <f>IF(AND('领用录入（明细）'!D:D=$F$4,'领用录入（明细）'!C:C&gt;=$J$4,'领用录入（明细）'!C:C&lt;=$L$4),ROW(),"-")</f>
        <v>-</v>
      </c>
    </row>
    <row r="858" customHeight="1" spans="2:2">
      <c r="B858" s="62" t="str">
        <f>IF(AND('领用录入（明细）'!D:D=$F$4,'领用录入（明细）'!C:C&gt;=$J$4,'领用录入（明细）'!C:C&lt;=$L$4),ROW(),"-")</f>
        <v>-</v>
      </c>
    </row>
    <row r="859" customHeight="1" spans="2:2">
      <c r="B859" s="62" t="str">
        <f>IF(AND('领用录入（明细）'!D:D=$F$4,'领用录入（明细）'!C:C&gt;=$J$4,'领用录入（明细）'!C:C&lt;=$L$4),ROW(),"-")</f>
        <v>-</v>
      </c>
    </row>
    <row r="860" customHeight="1" spans="2:2">
      <c r="B860" s="62" t="str">
        <f>IF(AND('领用录入（明细）'!D:D=$F$4,'领用录入（明细）'!C:C&gt;=$J$4,'领用录入（明细）'!C:C&lt;=$L$4),ROW(),"-")</f>
        <v>-</v>
      </c>
    </row>
    <row r="861" customHeight="1" spans="2:2">
      <c r="B861" s="62" t="str">
        <f>IF(AND('领用录入（明细）'!D:D=$F$4,'领用录入（明细）'!C:C&gt;=$J$4,'领用录入（明细）'!C:C&lt;=$L$4),ROW(),"-")</f>
        <v>-</v>
      </c>
    </row>
    <row r="862" customHeight="1" spans="2:2">
      <c r="B862" s="62" t="str">
        <f>IF(AND('领用录入（明细）'!D:D=$F$4,'领用录入（明细）'!C:C&gt;=$J$4,'领用录入（明细）'!C:C&lt;=$L$4),ROW(),"-")</f>
        <v>-</v>
      </c>
    </row>
    <row r="863" customHeight="1" spans="2:2">
      <c r="B863" s="62" t="str">
        <f>IF(AND('领用录入（明细）'!D:D=$F$4,'领用录入（明细）'!C:C&gt;=$J$4,'领用录入（明细）'!C:C&lt;=$L$4),ROW(),"-")</f>
        <v>-</v>
      </c>
    </row>
    <row r="864" customHeight="1" spans="2:2">
      <c r="B864" s="62" t="str">
        <f>IF(AND('领用录入（明细）'!D:D=$F$4,'领用录入（明细）'!C:C&gt;=$J$4,'领用录入（明细）'!C:C&lt;=$L$4),ROW(),"-")</f>
        <v>-</v>
      </c>
    </row>
    <row r="865" customHeight="1" spans="2:2">
      <c r="B865" s="62" t="str">
        <f>IF(AND('领用录入（明细）'!D:D=$F$4,'领用录入（明细）'!C:C&gt;=$J$4,'领用录入（明细）'!C:C&lt;=$L$4),ROW(),"-")</f>
        <v>-</v>
      </c>
    </row>
    <row r="866" customHeight="1" spans="2:2">
      <c r="B866" s="62" t="str">
        <f>IF(AND('领用录入（明细）'!D:D=$F$4,'领用录入（明细）'!C:C&gt;=$J$4,'领用录入（明细）'!C:C&lt;=$L$4),ROW(),"-")</f>
        <v>-</v>
      </c>
    </row>
    <row r="867" customHeight="1" spans="2:2">
      <c r="B867" s="62" t="str">
        <f>IF(AND('领用录入（明细）'!D:D=$F$4,'领用录入（明细）'!C:C&gt;=$J$4,'领用录入（明细）'!C:C&lt;=$L$4),ROW(),"-")</f>
        <v>-</v>
      </c>
    </row>
    <row r="868" customHeight="1" spans="2:2">
      <c r="B868" s="62" t="str">
        <f>IF(AND('领用录入（明细）'!D:D=$F$4,'领用录入（明细）'!C:C&gt;=$J$4,'领用录入（明细）'!C:C&lt;=$L$4),ROW(),"-")</f>
        <v>-</v>
      </c>
    </row>
    <row r="869" customHeight="1" spans="2:2">
      <c r="B869" s="62" t="str">
        <f>IF(AND('领用录入（明细）'!D:D=$F$4,'领用录入（明细）'!C:C&gt;=$J$4,'领用录入（明细）'!C:C&lt;=$L$4),ROW(),"-")</f>
        <v>-</v>
      </c>
    </row>
    <row r="870" customHeight="1" spans="2:2">
      <c r="B870" s="62" t="str">
        <f>IF(AND('领用录入（明细）'!D:D=$F$4,'领用录入（明细）'!C:C&gt;=$J$4,'领用录入（明细）'!C:C&lt;=$L$4),ROW(),"-")</f>
        <v>-</v>
      </c>
    </row>
    <row r="871" customHeight="1" spans="2:2">
      <c r="B871" s="62" t="str">
        <f>IF(AND('领用录入（明细）'!D:D=$F$4,'领用录入（明细）'!C:C&gt;=$J$4,'领用录入（明细）'!C:C&lt;=$L$4),ROW(),"-")</f>
        <v>-</v>
      </c>
    </row>
    <row r="872" customHeight="1" spans="2:2">
      <c r="B872" s="62" t="str">
        <f>IF(AND('领用录入（明细）'!D:D=$F$4,'领用录入（明细）'!C:C&gt;=$J$4,'领用录入（明细）'!C:C&lt;=$L$4),ROW(),"-")</f>
        <v>-</v>
      </c>
    </row>
    <row r="873" customHeight="1" spans="2:2">
      <c r="B873" s="62" t="str">
        <f>IF(AND('领用录入（明细）'!D:D=$F$4,'领用录入（明细）'!C:C&gt;=$J$4,'领用录入（明细）'!C:C&lt;=$L$4),ROW(),"-")</f>
        <v>-</v>
      </c>
    </row>
    <row r="874" customHeight="1" spans="2:2">
      <c r="B874" s="62" t="str">
        <f>IF(AND('领用录入（明细）'!D:D=$F$4,'领用录入（明细）'!C:C&gt;=$J$4,'领用录入（明细）'!C:C&lt;=$L$4),ROW(),"-")</f>
        <v>-</v>
      </c>
    </row>
    <row r="875" customHeight="1" spans="2:2">
      <c r="B875" s="62" t="str">
        <f>IF(AND('领用录入（明细）'!D:D=$F$4,'领用录入（明细）'!C:C&gt;=$J$4,'领用录入（明细）'!C:C&lt;=$L$4),ROW(),"-")</f>
        <v>-</v>
      </c>
    </row>
    <row r="876" customHeight="1" spans="2:2">
      <c r="B876" s="62" t="str">
        <f>IF(AND('领用录入（明细）'!D:D=$F$4,'领用录入（明细）'!C:C&gt;=$J$4,'领用录入（明细）'!C:C&lt;=$L$4),ROW(),"-")</f>
        <v>-</v>
      </c>
    </row>
    <row r="877" customHeight="1" spans="2:2">
      <c r="B877" s="62" t="str">
        <f>IF(AND('领用录入（明细）'!D:D=$F$4,'领用录入（明细）'!C:C&gt;=$J$4,'领用录入（明细）'!C:C&lt;=$L$4),ROW(),"-")</f>
        <v>-</v>
      </c>
    </row>
    <row r="878" customHeight="1" spans="2:2">
      <c r="B878" s="62" t="str">
        <f>IF(AND('领用录入（明细）'!D:D=$F$4,'领用录入（明细）'!C:C&gt;=$J$4,'领用录入（明细）'!C:C&lt;=$L$4),ROW(),"-")</f>
        <v>-</v>
      </c>
    </row>
    <row r="879" customHeight="1" spans="2:2">
      <c r="B879" s="62" t="str">
        <f>IF(AND('领用录入（明细）'!D:D=$F$4,'领用录入（明细）'!C:C&gt;=$J$4,'领用录入（明细）'!C:C&lt;=$L$4),ROW(),"-")</f>
        <v>-</v>
      </c>
    </row>
    <row r="880" customHeight="1" spans="2:2">
      <c r="B880" s="62" t="str">
        <f>IF(AND('领用录入（明细）'!D:D=$F$4,'领用录入（明细）'!C:C&gt;=$J$4,'领用录入（明细）'!C:C&lt;=$L$4),ROW(),"-")</f>
        <v>-</v>
      </c>
    </row>
    <row r="881" customHeight="1" spans="2:2">
      <c r="B881" s="62" t="str">
        <f>IF(AND('领用录入（明细）'!D:D=$F$4,'领用录入（明细）'!C:C&gt;=$J$4,'领用录入（明细）'!C:C&lt;=$L$4),ROW(),"-")</f>
        <v>-</v>
      </c>
    </row>
    <row r="882" customHeight="1" spans="2:2">
      <c r="B882" s="62" t="str">
        <f>IF(AND('领用录入（明细）'!D:D=$F$4,'领用录入（明细）'!C:C&gt;=$J$4,'领用录入（明细）'!C:C&lt;=$L$4),ROW(),"-")</f>
        <v>-</v>
      </c>
    </row>
    <row r="883" customHeight="1" spans="2:2">
      <c r="B883" s="62" t="str">
        <f>IF(AND('领用录入（明细）'!D:D=$F$4,'领用录入（明细）'!C:C&gt;=$J$4,'领用录入（明细）'!C:C&lt;=$L$4),ROW(),"-")</f>
        <v>-</v>
      </c>
    </row>
    <row r="884" customHeight="1" spans="2:2">
      <c r="B884" s="62" t="str">
        <f>IF(AND('领用录入（明细）'!D:D=$F$4,'领用录入（明细）'!C:C&gt;=$J$4,'领用录入（明细）'!C:C&lt;=$L$4),ROW(),"-")</f>
        <v>-</v>
      </c>
    </row>
    <row r="885" customHeight="1" spans="2:2">
      <c r="B885" s="62" t="str">
        <f>IF(AND('领用录入（明细）'!D:D=$F$4,'领用录入（明细）'!C:C&gt;=$J$4,'领用录入（明细）'!C:C&lt;=$L$4),ROW(),"-")</f>
        <v>-</v>
      </c>
    </row>
    <row r="886" customHeight="1" spans="2:2">
      <c r="B886" s="62" t="str">
        <f>IF(AND('领用录入（明细）'!D:D=$F$4,'领用录入（明细）'!C:C&gt;=$J$4,'领用录入（明细）'!C:C&lt;=$L$4),ROW(),"-")</f>
        <v>-</v>
      </c>
    </row>
    <row r="887" customHeight="1" spans="2:2">
      <c r="B887" s="62" t="str">
        <f>IF(AND('领用录入（明细）'!D:D=$F$4,'领用录入（明细）'!C:C&gt;=$J$4,'领用录入（明细）'!C:C&lt;=$L$4),ROW(),"-")</f>
        <v>-</v>
      </c>
    </row>
    <row r="888" customHeight="1" spans="2:2">
      <c r="B888" s="62" t="str">
        <f>IF(AND('领用录入（明细）'!D:D=$F$4,'领用录入（明细）'!C:C&gt;=$J$4,'领用录入（明细）'!C:C&lt;=$L$4),ROW(),"-")</f>
        <v>-</v>
      </c>
    </row>
    <row r="889" customHeight="1" spans="2:2">
      <c r="B889" s="62" t="str">
        <f>IF(AND('领用录入（明细）'!D:D=$F$4,'领用录入（明细）'!C:C&gt;=$J$4,'领用录入（明细）'!C:C&lt;=$L$4),ROW(),"-")</f>
        <v>-</v>
      </c>
    </row>
    <row r="890" customHeight="1" spans="2:2">
      <c r="B890" s="62" t="str">
        <f>IF(AND('领用录入（明细）'!D:D=$F$4,'领用录入（明细）'!C:C&gt;=$J$4,'领用录入（明细）'!C:C&lt;=$L$4),ROW(),"-")</f>
        <v>-</v>
      </c>
    </row>
    <row r="891" customHeight="1" spans="2:2">
      <c r="B891" s="62" t="str">
        <f>IF(AND('领用录入（明细）'!D:D=$F$4,'领用录入（明细）'!C:C&gt;=$J$4,'领用录入（明细）'!C:C&lt;=$L$4),ROW(),"-")</f>
        <v>-</v>
      </c>
    </row>
    <row r="892" customHeight="1" spans="2:2">
      <c r="B892" s="62" t="str">
        <f>IF(AND('领用录入（明细）'!D:D=$F$4,'领用录入（明细）'!C:C&gt;=$J$4,'领用录入（明细）'!C:C&lt;=$L$4),ROW(),"-")</f>
        <v>-</v>
      </c>
    </row>
    <row r="893" customHeight="1" spans="2:2">
      <c r="B893" s="62" t="str">
        <f>IF(AND('领用录入（明细）'!D:D=$F$4,'领用录入（明细）'!C:C&gt;=$J$4,'领用录入（明细）'!C:C&lt;=$L$4),ROW(),"-")</f>
        <v>-</v>
      </c>
    </row>
    <row r="894" customHeight="1" spans="2:2">
      <c r="B894" s="62" t="str">
        <f>IF(AND('领用录入（明细）'!D:D=$F$4,'领用录入（明细）'!C:C&gt;=$J$4,'领用录入（明细）'!C:C&lt;=$L$4),ROW(),"-")</f>
        <v>-</v>
      </c>
    </row>
    <row r="895" customHeight="1" spans="2:2">
      <c r="B895" s="62" t="str">
        <f>IF(AND('领用录入（明细）'!D:D=$F$4,'领用录入（明细）'!C:C&gt;=$J$4,'领用录入（明细）'!C:C&lt;=$L$4),ROW(),"-")</f>
        <v>-</v>
      </c>
    </row>
    <row r="896" customHeight="1" spans="2:2">
      <c r="B896" s="62" t="str">
        <f>IF(AND('领用录入（明细）'!D:D=$F$4,'领用录入（明细）'!C:C&gt;=$J$4,'领用录入（明细）'!C:C&lt;=$L$4),ROW(),"-")</f>
        <v>-</v>
      </c>
    </row>
    <row r="897" customHeight="1" spans="2:2">
      <c r="B897" s="62" t="str">
        <f>IF(AND('领用录入（明细）'!D:D=$F$4,'领用录入（明细）'!C:C&gt;=$J$4,'领用录入（明细）'!C:C&lt;=$L$4),ROW(),"-")</f>
        <v>-</v>
      </c>
    </row>
    <row r="898" customHeight="1" spans="2:2">
      <c r="B898" s="62" t="str">
        <f>IF(AND('领用录入（明细）'!D:D=$F$4,'领用录入（明细）'!C:C&gt;=$J$4,'领用录入（明细）'!C:C&lt;=$L$4),ROW(),"-")</f>
        <v>-</v>
      </c>
    </row>
    <row r="899" customHeight="1" spans="2:2">
      <c r="B899" s="62" t="str">
        <f>IF(AND('领用录入（明细）'!D:D=$F$4,'领用录入（明细）'!C:C&gt;=$J$4,'领用录入（明细）'!C:C&lt;=$L$4),ROW(),"-")</f>
        <v>-</v>
      </c>
    </row>
    <row r="900" customHeight="1" spans="2:2">
      <c r="B900" s="62" t="str">
        <f>IF(AND('领用录入（明细）'!D:D=$F$4,'领用录入（明细）'!C:C&gt;=$J$4,'领用录入（明细）'!C:C&lt;=$L$4),ROW(),"-")</f>
        <v>-</v>
      </c>
    </row>
    <row r="901" customHeight="1" spans="2:2">
      <c r="B901" s="62" t="str">
        <f>IF(AND('领用录入（明细）'!D:D=$F$4,'领用录入（明细）'!C:C&gt;=$J$4,'领用录入（明细）'!C:C&lt;=$L$4),ROW(),"-")</f>
        <v>-</v>
      </c>
    </row>
    <row r="902" customHeight="1" spans="2:2">
      <c r="B902" s="62" t="str">
        <f>IF(AND('领用录入（明细）'!D:D=$F$4,'领用录入（明细）'!C:C&gt;=$J$4,'领用录入（明细）'!C:C&lt;=$L$4),ROW(),"-")</f>
        <v>-</v>
      </c>
    </row>
    <row r="903" customHeight="1" spans="2:2">
      <c r="B903" s="62" t="str">
        <f>IF(AND('领用录入（明细）'!D:D=$F$4,'领用录入（明细）'!C:C&gt;=$J$4,'领用录入（明细）'!C:C&lt;=$L$4),ROW(),"-")</f>
        <v>-</v>
      </c>
    </row>
    <row r="904" customHeight="1" spans="2:2">
      <c r="B904" s="62" t="str">
        <f>IF(AND('领用录入（明细）'!D:D=$F$4,'领用录入（明细）'!C:C&gt;=$J$4,'领用录入（明细）'!C:C&lt;=$L$4),ROW(),"-")</f>
        <v>-</v>
      </c>
    </row>
    <row r="905" customHeight="1" spans="2:2">
      <c r="B905" s="62" t="str">
        <f>IF(AND('领用录入（明细）'!D:D=$F$4,'领用录入（明细）'!C:C&gt;=$J$4,'领用录入（明细）'!C:C&lt;=$L$4),ROW(),"-")</f>
        <v>-</v>
      </c>
    </row>
    <row r="906" customHeight="1" spans="2:2">
      <c r="B906" s="62" t="str">
        <f>IF(AND('领用录入（明细）'!D:D=$F$4,'领用录入（明细）'!C:C&gt;=$J$4,'领用录入（明细）'!C:C&lt;=$L$4),ROW(),"-")</f>
        <v>-</v>
      </c>
    </row>
    <row r="907" customHeight="1" spans="2:2">
      <c r="B907" s="62" t="str">
        <f>IF(AND('领用录入（明细）'!D:D=$F$4,'领用录入（明细）'!C:C&gt;=$J$4,'领用录入（明细）'!C:C&lt;=$L$4),ROW(),"-")</f>
        <v>-</v>
      </c>
    </row>
    <row r="908" customHeight="1" spans="2:2">
      <c r="B908" s="62" t="str">
        <f>IF(AND('领用录入（明细）'!D:D=$F$4,'领用录入（明细）'!C:C&gt;=$J$4,'领用录入（明细）'!C:C&lt;=$L$4),ROW(),"-")</f>
        <v>-</v>
      </c>
    </row>
    <row r="909" customHeight="1" spans="2:2">
      <c r="B909" s="62" t="str">
        <f>IF(AND('领用录入（明细）'!D:D=$F$4,'领用录入（明细）'!C:C&gt;=$J$4,'领用录入（明细）'!C:C&lt;=$L$4),ROW(),"-")</f>
        <v>-</v>
      </c>
    </row>
    <row r="910" customHeight="1" spans="2:2">
      <c r="B910" s="62" t="str">
        <f>IF(AND('领用录入（明细）'!D:D=$F$4,'领用录入（明细）'!C:C&gt;=$J$4,'领用录入（明细）'!C:C&lt;=$L$4),ROW(),"-")</f>
        <v>-</v>
      </c>
    </row>
    <row r="911" customHeight="1" spans="2:2">
      <c r="B911" s="62" t="str">
        <f>IF(AND('领用录入（明细）'!D:D=$F$4,'领用录入（明细）'!C:C&gt;=$J$4,'领用录入（明细）'!C:C&lt;=$L$4),ROW(),"-")</f>
        <v>-</v>
      </c>
    </row>
    <row r="912" customHeight="1" spans="2:2">
      <c r="B912" s="62" t="str">
        <f>IF(AND('领用录入（明细）'!D:D=$F$4,'领用录入（明细）'!C:C&gt;=$J$4,'领用录入（明细）'!C:C&lt;=$L$4),ROW(),"-")</f>
        <v>-</v>
      </c>
    </row>
    <row r="913" customHeight="1" spans="2:2">
      <c r="B913" s="62" t="str">
        <f>IF(AND('领用录入（明细）'!D:D=$F$4,'领用录入（明细）'!C:C&gt;=$J$4,'领用录入（明细）'!C:C&lt;=$L$4),ROW(),"-")</f>
        <v>-</v>
      </c>
    </row>
    <row r="914" customHeight="1" spans="2:2">
      <c r="B914" s="62" t="str">
        <f>IF(AND('领用录入（明细）'!D:D=$F$4,'领用录入（明细）'!C:C&gt;=$J$4,'领用录入（明细）'!C:C&lt;=$L$4),ROW(),"-")</f>
        <v>-</v>
      </c>
    </row>
    <row r="915" customHeight="1" spans="2:2">
      <c r="B915" s="62" t="str">
        <f>IF(AND('领用录入（明细）'!D:D=$F$4,'领用录入（明细）'!C:C&gt;=$J$4,'领用录入（明细）'!C:C&lt;=$L$4),ROW(),"-")</f>
        <v>-</v>
      </c>
    </row>
    <row r="916" customHeight="1" spans="2:2">
      <c r="B916" s="62" t="str">
        <f>IF(AND('领用录入（明细）'!D:D=$F$4,'领用录入（明细）'!C:C&gt;=$J$4,'领用录入（明细）'!C:C&lt;=$L$4),ROW(),"-")</f>
        <v>-</v>
      </c>
    </row>
    <row r="917" customHeight="1" spans="2:2">
      <c r="B917" s="62" t="str">
        <f>IF(AND('领用录入（明细）'!D:D=$F$4,'领用录入（明细）'!C:C&gt;=$J$4,'领用录入（明细）'!C:C&lt;=$L$4),ROW(),"-")</f>
        <v>-</v>
      </c>
    </row>
    <row r="918" customHeight="1" spans="2:2">
      <c r="B918" s="62" t="str">
        <f>IF(AND('领用录入（明细）'!D:D=$F$4,'领用录入（明细）'!C:C&gt;=$J$4,'领用录入（明细）'!C:C&lt;=$L$4),ROW(),"-")</f>
        <v>-</v>
      </c>
    </row>
    <row r="919" customHeight="1" spans="2:2">
      <c r="B919" s="62" t="str">
        <f>IF(AND('领用录入（明细）'!D:D=$F$4,'领用录入（明细）'!C:C&gt;=$J$4,'领用录入（明细）'!C:C&lt;=$L$4),ROW(),"-")</f>
        <v>-</v>
      </c>
    </row>
    <row r="920" customHeight="1" spans="2:2">
      <c r="B920" s="62" t="str">
        <f>IF(AND('领用录入（明细）'!D:D=$F$4,'领用录入（明细）'!C:C&gt;=$J$4,'领用录入（明细）'!C:C&lt;=$L$4),ROW(),"-")</f>
        <v>-</v>
      </c>
    </row>
    <row r="921" customHeight="1" spans="2:2">
      <c r="B921" s="62" t="str">
        <f>IF(AND('领用录入（明细）'!D:D=$F$4,'领用录入（明细）'!C:C&gt;=$J$4,'领用录入（明细）'!C:C&lt;=$L$4),ROW(),"-")</f>
        <v>-</v>
      </c>
    </row>
    <row r="922" customHeight="1" spans="2:2">
      <c r="B922" s="62" t="str">
        <f>IF(AND('领用录入（明细）'!D:D=$F$4,'领用录入（明细）'!C:C&gt;=$J$4,'领用录入（明细）'!C:C&lt;=$L$4),ROW(),"-")</f>
        <v>-</v>
      </c>
    </row>
    <row r="923" customHeight="1" spans="2:2">
      <c r="B923" s="62" t="str">
        <f>IF(AND('领用录入（明细）'!D:D=$F$4,'领用录入（明细）'!C:C&gt;=$J$4,'领用录入（明细）'!C:C&lt;=$L$4),ROW(),"-")</f>
        <v>-</v>
      </c>
    </row>
    <row r="924" customHeight="1" spans="2:2">
      <c r="B924" s="62" t="str">
        <f>IF(AND('领用录入（明细）'!D:D=$F$4,'领用录入（明细）'!C:C&gt;=$J$4,'领用录入（明细）'!C:C&lt;=$L$4),ROW(),"-")</f>
        <v>-</v>
      </c>
    </row>
    <row r="925" customHeight="1" spans="2:2">
      <c r="B925" s="62" t="str">
        <f>IF(AND('领用录入（明细）'!D:D=$F$4,'领用录入（明细）'!C:C&gt;=$J$4,'领用录入（明细）'!C:C&lt;=$L$4),ROW(),"-")</f>
        <v>-</v>
      </c>
    </row>
    <row r="926" customHeight="1" spans="2:2">
      <c r="B926" s="62" t="str">
        <f>IF(AND('领用录入（明细）'!D:D=$F$4,'领用录入（明细）'!C:C&gt;=$J$4,'领用录入（明细）'!C:C&lt;=$L$4),ROW(),"-")</f>
        <v>-</v>
      </c>
    </row>
    <row r="927" customHeight="1" spans="2:2">
      <c r="B927" s="62" t="str">
        <f>IF(AND('领用录入（明细）'!D:D=$F$4,'领用录入（明细）'!C:C&gt;=$J$4,'领用录入（明细）'!C:C&lt;=$L$4),ROW(),"-")</f>
        <v>-</v>
      </c>
    </row>
    <row r="928" customHeight="1" spans="2:2">
      <c r="B928" s="62" t="str">
        <f>IF(AND('领用录入（明细）'!D:D=$F$4,'领用录入（明细）'!C:C&gt;=$J$4,'领用录入（明细）'!C:C&lt;=$L$4),ROW(),"-")</f>
        <v>-</v>
      </c>
    </row>
    <row r="929" customHeight="1" spans="2:2">
      <c r="B929" s="62" t="str">
        <f>IF(AND('领用录入（明细）'!D:D=$F$4,'领用录入（明细）'!C:C&gt;=$J$4,'领用录入（明细）'!C:C&lt;=$L$4),ROW(),"-")</f>
        <v>-</v>
      </c>
    </row>
    <row r="930" customHeight="1" spans="2:2">
      <c r="B930" s="62" t="str">
        <f>IF(AND('领用录入（明细）'!D:D=$F$4,'领用录入（明细）'!C:C&gt;=$J$4,'领用录入（明细）'!C:C&lt;=$L$4),ROW(),"-")</f>
        <v>-</v>
      </c>
    </row>
    <row r="931" customHeight="1" spans="2:2">
      <c r="B931" s="62" t="str">
        <f>IF(AND('领用录入（明细）'!D:D=$F$4,'领用录入（明细）'!C:C&gt;=$J$4,'领用录入（明细）'!C:C&lt;=$L$4),ROW(),"-")</f>
        <v>-</v>
      </c>
    </row>
    <row r="932" customHeight="1" spans="2:2">
      <c r="B932" s="62" t="str">
        <f>IF(AND('领用录入（明细）'!D:D=$F$4,'领用录入（明细）'!C:C&gt;=$J$4,'领用录入（明细）'!C:C&lt;=$L$4),ROW(),"-")</f>
        <v>-</v>
      </c>
    </row>
    <row r="933" customHeight="1" spans="2:2">
      <c r="B933" s="62" t="str">
        <f>IF(AND('领用录入（明细）'!D:D=$F$4,'领用录入（明细）'!C:C&gt;=$J$4,'领用录入（明细）'!C:C&lt;=$L$4),ROW(),"-")</f>
        <v>-</v>
      </c>
    </row>
    <row r="934" customHeight="1" spans="2:2">
      <c r="B934" s="62" t="str">
        <f>IF(AND('领用录入（明细）'!D:D=$F$4,'领用录入（明细）'!C:C&gt;=$J$4,'领用录入（明细）'!C:C&lt;=$L$4),ROW(),"-")</f>
        <v>-</v>
      </c>
    </row>
    <row r="935" customHeight="1" spans="2:2">
      <c r="B935" s="62" t="str">
        <f>IF(AND('领用录入（明细）'!D:D=$F$4,'领用录入（明细）'!C:C&gt;=$J$4,'领用录入（明细）'!C:C&lt;=$L$4),ROW(),"-")</f>
        <v>-</v>
      </c>
    </row>
    <row r="936" customHeight="1" spans="2:2">
      <c r="B936" s="62" t="str">
        <f>IF(AND('领用录入（明细）'!D:D=$F$4,'领用录入（明细）'!C:C&gt;=$J$4,'领用录入（明细）'!C:C&lt;=$L$4),ROW(),"-")</f>
        <v>-</v>
      </c>
    </row>
    <row r="937" customHeight="1" spans="2:2">
      <c r="B937" s="62" t="str">
        <f>IF(AND('领用录入（明细）'!D:D=$F$4,'领用录入（明细）'!C:C&gt;=$J$4,'领用录入（明细）'!C:C&lt;=$L$4),ROW(),"-")</f>
        <v>-</v>
      </c>
    </row>
    <row r="938" customHeight="1" spans="2:2">
      <c r="B938" s="62" t="str">
        <f>IF(AND('领用录入（明细）'!D:D=$F$4,'领用录入（明细）'!C:C&gt;=$J$4,'领用录入（明细）'!C:C&lt;=$L$4),ROW(),"-")</f>
        <v>-</v>
      </c>
    </row>
    <row r="939" customHeight="1" spans="2:2">
      <c r="B939" s="62" t="str">
        <f>IF(AND('领用录入（明细）'!D:D=$F$4,'领用录入（明细）'!C:C&gt;=$J$4,'领用录入（明细）'!C:C&lt;=$L$4),ROW(),"-")</f>
        <v>-</v>
      </c>
    </row>
    <row r="940" customHeight="1" spans="2:2">
      <c r="B940" s="62" t="str">
        <f>IF(AND('领用录入（明细）'!D:D=$F$4,'领用录入（明细）'!C:C&gt;=$J$4,'领用录入（明细）'!C:C&lt;=$L$4),ROW(),"-")</f>
        <v>-</v>
      </c>
    </row>
    <row r="941" customHeight="1" spans="2:2">
      <c r="B941" s="62" t="str">
        <f>IF(AND('领用录入（明细）'!D:D=$F$4,'领用录入（明细）'!C:C&gt;=$J$4,'领用录入（明细）'!C:C&lt;=$L$4),ROW(),"-")</f>
        <v>-</v>
      </c>
    </row>
    <row r="942" customHeight="1" spans="2:2">
      <c r="B942" s="62" t="str">
        <f>IF(AND('领用录入（明细）'!D:D=$F$4,'领用录入（明细）'!C:C&gt;=$J$4,'领用录入（明细）'!C:C&lt;=$L$4),ROW(),"-")</f>
        <v>-</v>
      </c>
    </row>
    <row r="943" customHeight="1" spans="2:2">
      <c r="B943" s="62" t="str">
        <f>IF(AND('领用录入（明细）'!D:D=$F$4,'领用录入（明细）'!C:C&gt;=$J$4,'领用录入（明细）'!C:C&lt;=$L$4),ROW(),"-")</f>
        <v>-</v>
      </c>
    </row>
    <row r="944" customHeight="1" spans="2:2">
      <c r="B944" s="62" t="str">
        <f>IF(AND('领用录入（明细）'!D:D=$F$4,'领用录入（明细）'!C:C&gt;=$J$4,'领用录入（明细）'!C:C&lt;=$L$4),ROW(),"-")</f>
        <v>-</v>
      </c>
    </row>
    <row r="945" customHeight="1" spans="2:2">
      <c r="B945" s="62" t="str">
        <f>IF(AND('领用录入（明细）'!D:D=$F$4,'领用录入（明细）'!C:C&gt;=$J$4,'领用录入（明细）'!C:C&lt;=$L$4),ROW(),"-")</f>
        <v>-</v>
      </c>
    </row>
    <row r="946" customHeight="1" spans="2:2">
      <c r="B946" s="62" t="str">
        <f>IF(AND('领用录入（明细）'!D:D=$F$4,'领用录入（明细）'!C:C&gt;=$J$4,'领用录入（明细）'!C:C&lt;=$L$4),ROW(),"-")</f>
        <v>-</v>
      </c>
    </row>
    <row r="947" customHeight="1" spans="2:2">
      <c r="B947" s="62" t="str">
        <f>IF(AND('领用录入（明细）'!D:D=$F$4,'领用录入（明细）'!C:C&gt;=$J$4,'领用录入（明细）'!C:C&lt;=$L$4),ROW(),"-")</f>
        <v>-</v>
      </c>
    </row>
    <row r="948" customHeight="1" spans="2:2">
      <c r="B948" s="62" t="str">
        <f>IF(AND('领用录入（明细）'!D:D=$F$4,'领用录入（明细）'!C:C&gt;=$J$4,'领用录入（明细）'!C:C&lt;=$L$4),ROW(),"-")</f>
        <v>-</v>
      </c>
    </row>
    <row r="949" customHeight="1" spans="2:2">
      <c r="B949" s="62" t="str">
        <f>IF(AND('领用录入（明细）'!D:D=$F$4,'领用录入（明细）'!C:C&gt;=$J$4,'领用录入（明细）'!C:C&lt;=$L$4),ROW(),"-")</f>
        <v>-</v>
      </c>
    </row>
    <row r="950" customHeight="1" spans="2:2">
      <c r="B950" s="62" t="str">
        <f>IF(AND('领用录入（明细）'!D:D=$F$4,'领用录入（明细）'!C:C&gt;=$J$4,'领用录入（明细）'!C:C&lt;=$L$4),ROW(),"-")</f>
        <v>-</v>
      </c>
    </row>
    <row r="951" customHeight="1" spans="2:2">
      <c r="B951" s="62" t="str">
        <f>IF(AND('领用录入（明细）'!D:D=$F$4,'领用录入（明细）'!C:C&gt;=$J$4,'领用录入（明细）'!C:C&lt;=$L$4),ROW(),"-")</f>
        <v>-</v>
      </c>
    </row>
    <row r="952" customHeight="1" spans="2:2">
      <c r="B952" s="62" t="str">
        <f>IF(AND('领用录入（明细）'!D:D=$F$4,'领用录入（明细）'!C:C&gt;=$J$4,'领用录入（明细）'!C:C&lt;=$L$4),ROW(),"-")</f>
        <v>-</v>
      </c>
    </row>
    <row r="953" customHeight="1" spans="2:2">
      <c r="B953" s="62" t="str">
        <f>IF(AND('领用录入（明细）'!D:D=$F$4,'领用录入（明细）'!C:C&gt;=$J$4,'领用录入（明细）'!C:C&lt;=$L$4),ROW(),"-")</f>
        <v>-</v>
      </c>
    </row>
    <row r="954" customHeight="1" spans="2:2">
      <c r="B954" s="62" t="str">
        <f>IF(AND('领用录入（明细）'!D:D=$F$4,'领用录入（明细）'!C:C&gt;=$J$4,'领用录入（明细）'!C:C&lt;=$L$4),ROW(),"-")</f>
        <v>-</v>
      </c>
    </row>
    <row r="955" customHeight="1" spans="2:2">
      <c r="B955" s="62" t="str">
        <f>IF(AND('领用录入（明细）'!D:D=$F$4,'领用录入（明细）'!C:C&gt;=$J$4,'领用录入（明细）'!C:C&lt;=$L$4),ROW(),"-")</f>
        <v>-</v>
      </c>
    </row>
    <row r="956" customHeight="1" spans="2:2">
      <c r="B956" s="62" t="str">
        <f>IF(AND('领用录入（明细）'!D:D=$F$4,'领用录入（明细）'!C:C&gt;=$J$4,'领用录入（明细）'!C:C&lt;=$L$4),ROW(),"-")</f>
        <v>-</v>
      </c>
    </row>
    <row r="957" customHeight="1" spans="2:2">
      <c r="B957" s="62" t="str">
        <f>IF(AND('领用录入（明细）'!D:D=$F$4,'领用录入（明细）'!C:C&gt;=$J$4,'领用录入（明细）'!C:C&lt;=$L$4),ROW(),"-")</f>
        <v>-</v>
      </c>
    </row>
    <row r="958" customHeight="1" spans="2:2">
      <c r="B958" s="62" t="str">
        <f>IF(AND('领用录入（明细）'!D:D=$F$4,'领用录入（明细）'!C:C&gt;=$J$4,'领用录入（明细）'!C:C&lt;=$L$4),ROW(),"-")</f>
        <v>-</v>
      </c>
    </row>
    <row r="959" customHeight="1" spans="2:2">
      <c r="B959" s="62" t="str">
        <f>IF(AND('领用录入（明细）'!D:D=$F$4,'领用录入（明细）'!C:C&gt;=$J$4,'领用录入（明细）'!C:C&lt;=$L$4),ROW(),"-")</f>
        <v>-</v>
      </c>
    </row>
    <row r="960" customHeight="1" spans="2:2">
      <c r="B960" s="62" t="str">
        <f>IF(AND('领用录入（明细）'!D:D=$F$4,'领用录入（明细）'!C:C&gt;=$J$4,'领用录入（明细）'!C:C&lt;=$L$4),ROW(),"-")</f>
        <v>-</v>
      </c>
    </row>
    <row r="961" customHeight="1" spans="2:2">
      <c r="B961" s="62" t="str">
        <f>IF(AND('领用录入（明细）'!D:D=$F$4,'领用录入（明细）'!C:C&gt;=$J$4,'领用录入（明细）'!C:C&lt;=$L$4),ROW(),"-")</f>
        <v>-</v>
      </c>
    </row>
    <row r="962" customHeight="1" spans="2:2">
      <c r="B962" s="62" t="str">
        <f>IF(AND('领用录入（明细）'!D:D=$F$4,'领用录入（明细）'!C:C&gt;=$J$4,'领用录入（明细）'!C:C&lt;=$L$4),ROW(),"-")</f>
        <v>-</v>
      </c>
    </row>
    <row r="963" customHeight="1" spans="2:2">
      <c r="B963" s="62" t="str">
        <f>IF(AND('领用录入（明细）'!D:D=$F$4,'领用录入（明细）'!C:C&gt;=$J$4,'领用录入（明细）'!C:C&lt;=$L$4),ROW(),"-")</f>
        <v>-</v>
      </c>
    </row>
    <row r="964" customHeight="1" spans="2:2">
      <c r="B964" s="62" t="str">
        <f>IF(AND('领用录入（明细）'!D:D=$F$4,'领用录入（明细）'!C:C&gt;=$J$4,'领用录入（明细）'!C:C&lt;=$L$4),ROW(),"-")</f>
        <v>-</v>
      </c>
    </row>
    <row r="965" customHeight="1" spans="2:2">
      <c r="B965" s="62" t="str">
        <f>IF(AND('领用录入（明细）'!D:D=$F$4,'领用录入（明细）'!C:C&gt;=$J$4,'领用录入（明细）'!C:C&lt;=$L$4),ROW(),"-")</f>
        <v>-</v>
      </c>
    </row>
    <row r="966" customHeight="1" spans="2:2">
      <c r="B966" s="62" t="str">
        <f>IF(AND('领用录入（明细）'!D:D=$F$4,'领用录入（明细）'!C:C&gt;=$J$4,'领用录入（明细）'!C:C&lt;=$L$4),ROW(),"-")</f>
        <v>-</v>
      </c>
    </row>
    <row r="967" customHeight="1" spans="2:2">
      <c r="B967" s="62" t="str">
        <f>IF(AND('领用录入（明细）'!D:D=$F$4,'领用录入（明细）'!C:C&gt;=$J$4,'领用录入（明细）'!C:C&lt;=$L$4),ROW(),"-")</f>
        <v>-</v>
      </c>
    </row>
    <row r="968" customHeight="1" spans="2:2">
      <c r="B968" s="62" t="str">
        <f>IF(AND('领用录入（明细）'!D:D=$F$4,'领用录入（明细）'!C:C&gt;=$J$4,'领用录入（明细）'!C:C&lt;=$L$4),ROW(),"-")</f>
        <v>-</v>
      </c>
    </row>
    <row r="969" customHeight="1" spans="2:2">
      <c r="B969" s="62" t="str">
        <f>IF(AND('领用录入（明细）'!D:D=$F$4,'领用录入（明细）'!C:C&gt;=$J$4,'领用录入（明细）'!C:C&lt;=$L$4),ROW(),"-")</f>
        <v>-</v>
      </c>
    </row>
    <row r="970" customHeight="1" spans="2:2">
      <c r="B970" s="62" t="str">
        <f>IF(AND('领用录入（明细）'!D:D=$F$4,'领用录入（明细）'!C:C&gt;=$J$4,'领用录入（明细）'!C:C&lt;=$L$4),ROW(),"-")</f>
        <v>-</v>
      </c>
    </row>
    <row r="971" customHeight="1" spans="2:2">
      <c r="B971" s="62" t="str">
        <f>IF(AND('领用录入（明细）'!D:D=$F$4,'领用录入（明细）'!C:C&gt;=$J$4,'领用录入（明细）'!C:C&lt;=$L$4),ROW(),"-")</f>
        <v>-</v>
      </c>
    </row>
    <row r="972" customHeight="1" spans="2:2">
      <c r="B972" s="62" t="str">
        <f>IF(AND('领用录入（明细）'!D:D=$F$4,'领用录入（明细）'!C:C&gt;=$J$4,'领用录入（明细）'!C:C&lt;=$L$4),ROW(),"-")</f>
        <v>-</v>
      </c>
    </row>
    <row r="973" customHeight="1" spans="2:2">
      <c r="B973" s="62" t="str">
        <f>IF(AND('领用录入（明细）'!D:D=$F$4,'领用录入（明细）'!C:C&gt;=$J$4,'领用录入（明细）'!C:C&lt;=$L$4),ROW(),"-")</f>
        <v>-</v>
      </c>
    </row>
    <row r="974" customHeight="1" spans="2:2">
      <c r="B974" s="62" t="str">
        <f>IF(AND('领用录入（明细）'!D:D=$F$4,'领用录入（明细）'!C:C&gt;=$J$4,'领用录入（明细）'!C:C&lt;=$L$4),ROW(),"-")</f>
        <v>-</v>
      </c>
    </row>
    <row r="975" customHeight="1" spans="2:2">
      <c r="B975" s="62" t="str">
        <f>IF(AND('领用录入（明细）'!D:D=$F$4,'领用录入（明细）'!C:C&gt;=$J$4,'领用录入（明细）'!C:C&lt;=$L$4),ROW(),"-")</f>
        <v>-</v>
      </c>
    </row>
    <row r="976" customHeight="1" spans="2:2">
      <c r="B976" s="62" t="str">
        <f>IF(AND('领用录入（明细）'!D:D=$F$4,'领用录入（明细）'!C:C&gt;=$J$4,'领用录入（明细）'!C:C&lt;=$L$4),ROW(),"-")</f>
        <v>-</v>
      </c>
    </row>
    <row r="977" customHeight="1" spans="2:2">
      <c r="B977" s="62" t="str">
        <f>IF(AND('领用录入（明细）'!D:D=$F$4,'领用录入（明细）'!C:C&gt;=$J$4,'领用录入（明细）'!C:C&lt;=$L$4),ROW(),"-")</f>
        <v>-</v>
      </c>
    </row>
    <row r="978" customHeight="1" spans="2:2">
      <c r="B978" s="62" t="str">
        <f>IF(AND('领用录入（明细）'!D:D=$F$4,'领用录入（明细）'!C:C&gt;=$J$4,'领用录入（明细）'!C:C&lt;=$L$4),ROW(),"-")</f>
        <v>-</v>
      </c>
    </row>
    <row r="979" customHeight="1" spans="2:2">
      <c r="B979" s="62" t="str">
        <f>IF(AND('领用录入（明细）'!D:D=$F$4,'领用录入（明细）'!C:C&gt;=$J$4,'领用录入（明细）'!C:C&lt;=$L$4),ROW(),"-")</f>
        <v>-</v>
      </c>
    </row>
    <row r="980" customHeight="1" spans="2:2">
      <c r="B980" s="62" t="str">
        <f>IF(AND('领用录入（明细）'!D:D=$F$4,'领用录入（明细）'!C:C&gt;=$J$4,'领用录入（明细）'!C:C&lt;=$L$4),ROW(),"-")</f>
        <v>-</v>
      </c>
    </row>
    <row r="981" customHeight="1" spans="2:2">
      <c r="B981" s="62" t="str">
        <f>IF(AND('领用录入（明细）'!D:D=$F$4,'领用录入（明细）'!C:C&gt;=$J$4,'领用录入（明细）'!C:C&lt;=$L$4),ROW(),"-")</f>
        <v>-</v>
      </c>
    </row>
    <row r="982" customHeight="1" spans="2:2">
      <c r="B982" s="62" t="str">
        <f>IF(AND('领用录入（明细）'!D:D=$F$4,'领用录入（明细）'!C:C&gt;=$J$4,'领用录入（明细）'!C:C&lt;=$L$4),ROW(),"-")</f>
        <v>-</v>
      </c>
    </row>
    <row r="983" customHeight="1" spans="2:2">
      <c r="B983" s="62" t="str">
        <f>IF(AND('领用录入（明细）'!D:D=$F$4,'领用录入（明细）'!C:C&gt;=$J$4,'领用录入（明细）'!C:C&lt;=$L$4),ROW(),"-")</f>
        <v>-</v>
      </c>
    </row>
    <row r="984" customHeight="1" spans="2:2">
      <c r="B984" s="62" t="str">
        <f>IF(AND('领用录入（明细）'!D:D=$F$4,'领用录入（明细）'!C:C&gt;=$J$4,'领用录入（明细）'!C:C&lt;=$L$4),ROW(),"-")</f>
        <v>-</v>
      </c>
    </row>
    <row r="985" customHeight="1" spans="2:2">
      <c r="B985" s="62" t="str">
        <f>IF(AND('领用录入（明细）'!D:D=$F$4,'领用录入（明细）'!C:C&gt;=$J$4,'领用录入（明细）'!C:C&lt;=$L$4),ROW(),"-")</f>
        <v>-</v>
      </c>
    </row>
    <row r="986" customHeight="1" spans="2:2">
      <c r="B986" s="62" t="str">
        <f>IF(AND('领用录入（明细）'!D:D=$F$4,'领用录入（明细）'!C:C&gt;=$J$4,'领用录入（明细）'!C:C&lt;=$L$4),ROW(),"-")</f>
        <v>-</v>
      </c>
    </row>
    <row r="987" customHeight="1" spans="2:2">
      <c r="B987" s="62" t="str">
        <f>IF(AND('领用录入（明细）'!D:D=$F$4,'领用录入（明细）'!C:C&gt;=$J$4,'领用录入（明细）'!C:C&lt;=$L$4),ROW(),"-")</f>
        <v>-</v>
      </c>
    </row>
    <row r="988" customHeight="1" spans="2:2">
      <c r="B988" s="62" t="str">
        <f>IF(AND('领用录入（明细）'!D:D=$F$4,'领用录入（明细）'!C:C&gt;=$J$4,'领用录入（明细）'!C:C&lt;=$L$4),ROW(),"-")</f>
        <v>-</v>
      </c>
    </row>
    <row r="989" customHeight="1" spans="2:2">
      <c r="B989" s="62" t="str">
        <f>IF(AND('领用录入（明细）'!D:D=$F$4,'领用录入（明细）'!C:C&gt;=$J$4,'领用录入（明细）'!C:C&lt;=$L$4),ROW(),"-")</f>
        <v>-</v>
      </c>
    </row>
    <row r="990" customHeight="1" spans="2:2">
      <c r="B990" s="62" t="str">
        <f>IF(AND('领用录入（明细）'!D:D=$F$4,'领用录入（明细）'!C:C&gt;=$J$4,'领用录入（明细）'!C:C&lt;=$L$4),ROW(),"-")</f>
        <v>-</v>
      </c>
    </row>
    <row r="991" customHeight="1" spans="2:2">
      <c r="B991" s="62" t="str">
        <f>IF(AND('领用录入（明细）'!D:D=$F$4,'领用录入（明细）'!C:C&gt;=$J$4,'领用录入（明细）'!C:C&lt;=$L$4),ROW(),"-")</f>
        <v>-</v>
      </c>
    </row>
    <row r="992" customHeight="1" spans="2:2">
      <c r="B992" s="62" t="str">
        <f>IF(AND('领用录入（明细）'!D:D=$F$4,'领用录入（明细）'!C:C&gt;=$J$4,'领用录入（明细）'!C:C&lt;=$L$4),ROW(),"-")</f>
        <v>-</v>
      </c>
    </row>
    <row r="993" customHeight="1" spans="2:2">
      <c r="B993" s="62" t="str">
        <f>IF(AND('领用录入（明细）'!D:D=$F$4,'领用录入（明细）'!C:C&gt;=$J$4,'领用录入（明细）'!C:C&lt;=$L$4),ROW(),"-")</f>
        <v>-</v>
      </c>
    </row>
    <row r="994" customHeight="1" spans="2:2">
      <c r="B994" s="62" t="str">
        <f>IF(AND('领用录入（明细）'!D:D=$F$4,'领用录入（明细）'!C:C&gt;=$J$4,'领用录入（明细）'!C:C&lt;=$L$4),ROW(),"-")</f>
        <v>-</v>
      </c>
    </row>
    <row r="995" customHeight="1" spans="2:2">
      <c r="B995" s="62" t="str">
        <f>IF(AND('领用录入（明细）'!D:D=$F$4,'领用录入（明细）'!C:C&gt;=$J$4,'领用录入（明细）'!C:C&lt;=$L$4),ROW(),"-")</f>
        <v>-</v>
      </c>
    </row>
    <row r="996" customHeight="1" spans="2:2">
      <c r="B996" s="62" t="str">
        <f>IF(AND('领用录入（明细）'!D:D=$F$4,'领用录入（明细）'!C:C&gt;=$J$4,'领用录入（明细）'!C:C&lt;=$L$4),ROW(),"-")</f>
        <v>-</v>
      </c>
    </row>
    <row r="997" customHeight="1" spans="2:2">
      <c r="B997" s="62" t="str">
        <f>IF(AND('领用录入（明细）'!D:D=$F$4,'领用录入（明细）'!C:C&gt;=$J$4,'领用录入（明细）'!C:C&lt;=$L$4),ROW(),"-")</f>
        <v>-</v>
      </c>
    </row>
    <row r="998" customHeight="1" spans="2:2">
      <c r="B998" s="62" t="str">
        <f>IF(AND('领用录入（明细）'!D:D=$F$4,'领用录入（明细）'!C:C&gt;=$J$4,'领用录入（明细）'!C:C&lt;=$L$4),ROW(),"-")</f>
        <v>-</v>
      </c>
    </row>
    <row r="999" customHeight="1" spans="2:2">
      <c r="B999" s="62" t="str">
        <f>IF(AND('领用录入（明细）'!D:D=$F$4,'领用录入（明细）'!C:C&gt;=$J$4,'领用录入（明细）'!C:C&lt;=$L$4),ROW(),"-")</f>
        <v>-</v>
      </c>
    </row>
    <row r="1000" customHeight="1" spans="2:2">
      <c r="B1000" s="62" t="str">
        <f>IF(AND('领用录入（明细）'!D:D=$F$4,'领用录入（明细）'!C:C&gt;=$J$4,'领用录入（明细）'!C:C&lt;=$L$4),ROW(),"-")</f>
        <v>-</v>
      </c>
    </row>
    <row r="1001" customHeight="1" spans="2:2">
      <c r="B1001" s="62" t="str">
        <f>IF(AND('领用录入（明细）'!D:D=$F$4,'领用录入（明细）'!C:C&gt;=$J$4,'领用录入（明细）'!C:C&lt;=$L$4),ROW(),"-")</f>
        <v>-</v>
      </c>
    </row>
    <row r="1002" customHeight="1" spans="2:2">
      <c r="B1002" s="62" t="str">
        <f>IF(AND('领用录入（明细）'!D:D=$F$4,'领用录入（明细）'!C:C&gt;=$J$4,'领用录入（明细）'!C:C&lt;=$L$4),ROW(),"-")</f>
        <v>-</v>
      </c>
    </row>
    <row r="1003" customHeight="1" spans="2:2">
      <c r="B1003" s="62" t="str">
        <f>IF(AND('领用录入（明细）'!D:D=$F$4,'领用录入（明细）'!C:C&gt;=$J$4,'领用录入（明细）'!C:C&lt;=$L$4),ROW(),"-")</f>
        <v>-</v>
      </c>
    </row>
    <row r="1004" customHeight="1" spans="2:2">
      <c r="B1004" s="62" t="str">
        <f>IF(AND('领用录入（明细）'!D:D=$F$4,'领用录入（明细）'!C:C&gt;=$J$4,'领用录入（明细）'!C:C&lt;=$L$4),ROW(),"-")</f>
        <v>-</v>
      </c>
    </row>
    <row r="1005" customHeight="1" spans="2:2">
      <c r="B1005" s="62" t="str">
        <f>IF(AND('领用录入（明细）'!D:D=$F$4,'领用录入（明细）'!C:C&gt;=$J$4,'领用录入（明细）'!C:C&lt;=$L$4),ROW(),"-")</f>
        <v>-</v>
      </c>
    </row>
    <row r="1006" customHeight="1" spans="2:2">
      <c r="B1006" s="62" t="str">
        <f>IF(AND('领用录入（明细）'!D:D=$F$4,'领用录入（明细）'!C:C&gt;=$J$4,'领用录入（明细）'!C:C&lt;=$L$4),ROW(),"-")</f>
        <v>-</v>
      </c>
    </row>
    <row r="1007" customHeight="1" spans="2:2">
      <c r="B1007" s="62" t="str">
        <f>IF(AND('领用录入（明细）'!D:D=$F$4,'领用录入（明细）'!C:C&gt;=$J$4,'领用录入（明细）'!C:C&lt;=$L$4),ROW(),"-")</f>
        <v>-</v>
      </c>
    </row>
    <row r="1008" customHeight="1" spans="2:2">
      <c r="B1008" s="62" t="str">
        <f>IF(AND('领用录入（明细）'!D:D=$F$4,'领用录入（明细）'!C:C&gt;=$J$4,'领用录入（明细）'!C:C&lt;=$L$4),ROW(),"-")</f>
        <v>-</v>
      </c>
    </row>
    <row r="1009" customHeight="1" spans="2:2">
      <c r="B1009" s="62" t="str">
        <f>IF(AND('领用录入（明细）'!D:D=$F$4,'领用录入（明细）'!C:C&gt;=$J$4,'领用录入（明细）'!C:C&lt;=$L$4),ROW(),"-")</f>
        <v>-</v>
      </c>
    </row>
    <row r="1010" customHeight="1" spans="2:2">
      <c r="B1010" s="62" t="str">
        <f>IF(AND('领用录入（明细）'!D:D=$F$4,'领用录入（明细）'!C:C&gt;=$J$4,'领用录入（明细）'!C:C&lt;=$L$4),ROW(),"-")</f>
        <v>-</v>
      </c>
    </row>
    <row r="1011" customHeight="1" spans="2:2">
      <c r="B1011" s="62" t="str">
        <f>IF(AND('领用录入（明细）'!D:D=$F$4,'领用录入（明细）'!C:C&gt;=$J$4,'领用录入（明细）'!C:C&lt;=$L$4),ROW(),"-")</f>
        <v>-</v>
      </c>
    </row>
    <row r="1012" customHeight="1" spans="2:2">
      <c r="B1012" s="62" t="str">
        <f>IF(AND('领用录入（明细）'!D:D=$F$4,'领用录入（明细）'!C:C&gt;=$J$4,'领用录入（明细）'!C:C&lt;=$L$4),ROW(),"-")</f>
        <v>-</v>
      </c>
    </row>
    <row r="1013" customHeight="1" spans="2:2">
      <c r="B1013" s="62" t="str">
        <f>IF(AND('领用录入（明细）'!D:D=$F$4,'领用录入（明细）'!C:C&gt;=$J$4,'领用录入（明细）'!C:C&lt;=$L$4),ROW(),"-")</f>
        <v>-</v>
      </c>
    </row>
    <row r="1014" customHeight="1" spans="2:2">
      <c r="B1014" s="62" t="str">
        <f>IF(AND('领用录入（明细）'!D:D=$F$4,'领用录入（明细）'!C:C&gt;=$J$4,'领用录入（明细）'!C:C&lt;=$L$4),ROW(),"-")</f>
        <v>-</v>
      </c>
    </row>
    <row r="1015" customHeight="1" spans="2:2">
      <c r="B1015" s="62" t="str">
        <f>IF(AND('领用录入（明细）'!D:D=$F$4,'领用录入（明细）'!C:C&gt;=$J$4,'领用录入（明细）'!C:C&lt;=$L$4),ROW(),"-")</f>
        <v>-</v>
      </c>
    </row>
    <row r="1016" customHeight="1" spans="2:2">
      <c r="B1016" s="62" t="str">
        <f>IF(AND('领用录入（明细）'!D:D=$F$4,'领用录入（明细）'!C:C&gt;=$J$4,'领用录入（明细）'!C:C&lt;=$L$4),ROW(),"-")</f>
        <v>-</v>
      </c>
    </row>
    <row r="1017" customHeight="1" spans="2:2">
      <c r="B1017" s="62" t="str">
        <f>IF(AND('领用录入（明细）'!D:D=$F$4,'领用录入（明细）'!C:C&gt;=$J$4,'领用录入（明细）'!C:C&lt;=$L$4),ROW(),"-")</f>
        <v>-</v>
      </c>
    </row>
    <row r="1018" customHeight="1" spans="2:2">
      <c r="B1018" s="62" t="str">
        <f>IF(AND('领用录入（明细）'!D:D=$F$4,'领用录入（明细）'!C:C&gt;=$J$4,'领用录入（明细）'!C:C&lt;=$L$4),ROW(),"-")</f>
        <v>-</v>
      </c>
    </row>
    <row r="1019" customHeight="1" spans="2:2">
      <c r="B1019" s="62" t="str">
        <f>IF(AND('领用录入（明细）'!D:D=$F$4,'领用录入（明细）'!C:C&gt;=$J$4,'领用录入（明细）'!C:C&lt;=$L$4),ROW(),"-")</f>
        <v>-</v>
      </c>
    </row>
    <row r="1020" customHeight="1" spans="2:2">
      <c r="B1020" s="62" t="str">
        <f>IF(AND('领用录入（明细）'!D:D=$F$4,'领用录入（明细）'!C:C&gt;=$J$4,'领用录入（明细）'!C:C&lt;=$L$4),ROW(),"-")</f>
        <v>-</v>
      </c>
    </row>
    <row r="1021" customHeight="1" spans="2:2">
      <c r="B1021" s="62" t="str">
        <f>IF(AND('领用录入（明细）'!D:D=$F$4,'领用录入（明细）'!C:C&gt;=$J$4,'领用录入（明细）'!C:C&lt;=$L$4),ROW(),"-")</f>
        <v>-</v>
      </c>
    </row>
    <row r="1022" customHeight="1" spans="2:2">
      <c r="B1022" s="62" t="str">
        <f>IF(AND('领用录入（明细）'!D:D=$F$4,'领用录入（明细）'!C:C&gt;=$J$4,'领用录入（明细）'!C:C&lt;=$L$4),ROW(),"-")</f>
        <v>-</v>
      </c>
    </row>
    <row r="1023" customHeight="1" spans="2:2">
      <c r="B1023" s="62" t="str">
        <f>IF(AND('领用录入（明细）'!D:D=$F$4,'领用录入（明细）'!C:C&gt;=$J$4,'领用录入（明细）'!C:C&lt;=$L$4),ROW(),"-")</f>
        <v>-</v>
      </c>
    </row>
    <row r="1024" customHeight="1" spans="2:2">
      <c r="B1024" s="62" t="str">
        <f>IF(AND('领用录入（明细）'!D:D=$F$4,'领用录入（明细）'!C:C&gt;=$J$4,'领用录入（明细）'!C:C&lt;=$L$4),ROW(),"-")</f>
        <v>-</v>
      </c>
    </row>
    <row r="1025" customHeight="1" spans="2:2">
      <c r="B1025" s="62" t="str">
        <f>IF(AND('领用录入（明细）'!D:D=$F$4,'领用录入（明细）'!C:C&gt;=$J$4,'领用录入（明细）'!C:C&lt;=$L$4),ROW(),"-")</f>
        <v>-</v>
      </c>
    </row>
    <row r="1026" customHeight="1" spans="2:2">
      <c r="B1026" s="62" t="str">
        <f>IF(AND('领用录入（明细）'!D:D=$F$4,'领用录入（明细）'!C:C&gt;=$J$4,'领用录入（明细）'!C:C&lt;=$L$4),ROW(),"-")</f>
        <v>-</v>
      </c>
    </row>
    <row r="1027" customHeight="1" spans="2:2">
      <c r="B1027" s="62" t="str">
        <f>IF(AND('领用录入（明细）'!D:D=$F$4,'领用录入（明细）'!C:C&gt;=$J$4,'领用录入（明细）'!C:C&lt;=$L$4),ROW(),"-")</f>
        <v>-</v>
      </c>
    </row>
    <row r="1028" customHeight="1" spans="2:2">
      <c r="B1028" s="62" t="str">
        <f>IF(AND('领用录入（明细）'!D:D=$F$4,'领用录入（明细）'!C:C&gt;=$J$4,'领用录入（明细）'!C:C&lt;=$L$4),ROW(),"-")</f>
        <v>-</v>
      </c>
    </row>
    <row r="1029" customHeight="1" spans="2:2">
      <c r="B1029" s="62" t="str">
        <f>IF(AND('领用录入（明细）'!D:D=$F$4,'领用录入（明细）'!C:C&gt;=$J$4,'领用录入（明细）'!C:C&lt;=$L$4),ROW(),"-")</f>
        <v>-</v>
      </c>
    </row>
    <row r="1030" customHeight="1" spans="2:2">
      <c r="B1030" s="62" t="str">
        <f>IF(AND('领用录入（明细）'!D:D=$F$4,'领用录入（明细）'!C:C&gt;=$J$4,'领用录入（明细）'!C:C&lt;=$L$4),ROW(),"-")</f>
        <v>-</v>
      </c>
    </row>
    <row r="1031" customHeight="1" spans="2:2">
      <c r="B1031" s="62" t="str">
        <f>IF(AND('领用录入（明细）'!D:D=$F$4,'领用录入（明细）'!C:C&gt;=$J$4,'领用录入（明细）'!C:C&lt;=$L$4),ROW(),"-")</f>
        <v>-</v>
      </c>
    </row>
    <row r="1032" customHeight="1" spans="2:2">
      <c r="B1032" s="62" t="str">
        <f>IF(AND('领用录入（明细）'!D:D=$F$4,'领用录入（明细）'!C:C&gt;=$J$4,'领用录入（明细）'!C:C&lt;=$L$4),ROW(),"-")</f>
        <v>-</v>
      </c>
    </row>
    <row r="1033" customHeight="1" spans="2:2">
      <c r="B1033" s="62" t="str">
        <f>IF(AND('领用录入（明细）'!D:D=$F$4,'领用录入（明细）'!C:C&gt;=$J$4,'领用录入（明细）'!C:C&lt;=$L$4),ROW(),"-")</f>
        <v>-</v>
      </c>
    </row>
    <row r="1034" customHeight="1" spans="2:2">
      <c r="B1034" s="62" t="str">
        <f>IF(AND('领用录入（明细）'!D:D=$F$4,'领用录入（明细）'!C:C&gt;=$J$4,'领用录入（明细）'!C:C&lt;=$L$4),ROW(),"-")</f>
        <v>-</v>
      </c>
    </row>
    <row r="1035" customHeight="1" spans="2:2">
      <c r="B1035" s="62" t="str">
        <f>IF(AND('领用录入（明细）'!D:D=$F$4,'领用录入（明细）'!C:C&gt;=$J$4,'领用录入（明细）'!C:C&lt;=$L$4),ROW(),"-")</f>
        <v>-</v>
      </c>
    </row>
    <row r="1036" customHeight="1" spans="2:2">
      <c r="B1036" s="62" t="str">
        <f>IF(AND('领用录入（明细）'!D:D=$F$4,'领用录入（明细）'!C:C&gt;=$J$4,'领用录入（明细）'!C:C&lt;=$L$4),ROW(),"-")</f>
        <v>-</v>
      </c>
    </row>
    <row r="1037" customHeight="1" spans="2:2">
      <c r="B1037" s="62" t="str">
        <f>IF(AND('领用录入（明细）'!D:D=$F$4,'领用录入（明细）'!C:C&gt;=$J$4,'领用录入（明细）'!C:C&lt;=$L$4),ROW(),"-")</f>
        <v>-</v>
      </c>
    </row>
    <row r="1038" customHeight="1" spans="2:2">
      <c r="B1038" s="62" t="str">
        <f>IF(AND('领用录入（明细）'!D:D=$F$4,'领用录入（明细）'!C:C&gt;=$J$4,'领用录入（明细）'!C:C&lt;=$L$4),ROW(),"-")</f>
        <v>-</v>
      </c>
    </row>
    <row r="1039" customHeight="1" spans="2:2">
      <c r="B1039" s="62" t="str">
        <f>IF(AND('领用录入（明细）'!D:D=$F$4,'领用录入（明细）'!C:C&gt;=$J$4,'领用录入（明细）'!C:C&lt;=$L$4),ROW(),"-")</f>
        <v>-</v>
      </c>
    </row>
    <row r="1040" customHeight="1" spans="2:2">
      <c r="B1040" s="62" t="str">
        <f>IF(AND('领用录入（明细）'!D:D=$F$4,'领用录入（明细）'!C:C&gt;=$J$4,'领用录入（明细）'!C:C&lt;=$L$4),ROW(),"-")</f>
        <v>-</v>
      </c>
    </row>
    <row r="1041" customHeight="1" spans="2:2">
      <c r="B1041" s="62" t="str">
        <f>IF(AND('领用录入（明细）'!D:D=$F$4,'领用录入（明细）'!C:C&gt;=$J$4,'领用录入（明细）'!C:C&lt;=$L$4),ROW(),"-")</f>
        <v>-</v>
      </c>
    </row>
    <row r="1042" customHeight="1" spans="2:2">
      <c r="B1042" s="62" t="str">
        <f>IF(AND('领用录入（明细）'!D:D=$F$4,'领用录入（明细）'!C:C&gt;=$J$4,'领用录入（明细）'!C:C&lt;=$L$4),ROW(),"-")</f>
        <v>-</v>
      </c>
    </row>
    <row r="1043" customHeight="1" spans="2:2">
      <c r="B1043" s="62" t="str">
        <f>IF(AND('领用录入（明细）'!D:D=$F$4,'领用录入（明细）'!C:C&gt;=$J$4,'领用录入（明细）'!C:C&lt;=$L$4),ROW(),"-")</f>
        <v>-</v>
      </c>
    </row>
    <row r="1044" customHeight="1" spans="2:2">
      <c r="B1044" s="62" t="str">
        <f>IF(AND('领用录入（明细）'!D:D=$F$4,'领用录入（明细）'!C:C&gt;=$J$4,'领用录入（明细）'!C:C&lt;=$L$4),ROW(),"-")</f>
        <v>-</v>
      </c>
    </row>
    <row r="1045" customHeight="1" spans="2:2">
      <c r="B1045" s="62" t="str">
        <f>IF(AND('领用录入（明细）'!D:D=$F$4,'领用录入（明细）'!C:C&gt;=$J$4,'领用录入（明细）'!C:C&lt;=$L$4),ROW(),"-")</f>
        <v>-</v>
      </c>
    </row>
    <row r="1046" customHeight="1" spans="2:2">
      <c r="B1046" s="62" t="str">
        <f>IF(AND('领用录入（明细）'!D:D=$F$4,'领用录入（明细）'!C:C&gt;=$J$4,'领用录入（明细）'!C:C&lt;=$L$4),ROW(),"-")</f>
        <v>-</v>
      </c>
    </row>
    <row r="1047" customHeight="1" spans="2:2">
      <c r="B1047" s="62" t="str">
        <f>IF(AND('领用录入（明细）'!D:D=$F$4,'领用录入（明细）'!C:C&gt;=$J$4,'领用录入（明细）'!C:C&lt;=$L$4),ROW(),"-")</f>
        <v>-</v>
      </c>
    </row>
    <row r="1048" customHeight="1" spans="2:2">
      <c r="B1048" s="62" t="str">
        <f>IF(AND('领用录入（明细）'!D:D=$F$4,'领用录入（明细）'!C:C&gt;=$J$4,'领用录入（明细）'!C:C&lt;=$L$4),ROW(),"-")</f>
        <v>-</v>
      </c>
    </row>
    <row r="1049" customHeight="1" spans="2:2">
      <c r="B1049" s="62" t="str">
        <f>IF(AND('领用录入（明细）'!D:D=$F$4,'领用录入（明细）'!C:C&gt;=$J$4,'领用录入（明细）'!C:C&lt;=$L$4),ROW(),"-")</f>
        <v>-</v>
      </c>
    </row>
    <row r="1050" customHeight="1" spans="2:2">
      <c r="B1050" s="62" t="str">
        <f>IF(AND('领用录入（明细）'!D:D=$F$4,'领用录入（明细）'!C:C&gt;=$J$4,'领用录入（明细）'!C:C&lt;=$L$4),ROW(),"-")</f>
        <v>-</v>
      </c>
    </row>
    <row r="1051" customHeight="1" spans="2:2">
      <c r="B1051" s="62" t="str">
        <f>IF(AND('领用录入（明细）'!D:D=$F$4,'领用录入（明细）'!C:C&gt;=$J$4,'领用录入（明细）'!C:C&lt;=$L$4),ROW(),"-")</f>
        <v>-</v>
      </c>
    </row>
    <row r="1052" customHeight="1" spans="2:2">
      <c r="B1052" s="62" t="str">
        <f>IF(AND('领用录入（明细）'!D:D=$F$4,'领用录入（明细）'!C:C&gt;=$J$4,'领用录入（明细）'!C:C&lt;=$L$4),ROW(),"-")</f>
        <v>-</v>
      </c>
    </row>
    <row r="1053" customHeight="1" spans="2:2">
      <c r="B1053" s="62" t="str">
        <f>IF(AND('领用录入（明细）'!D:D=$F$4,'领用录入（明细）'!C:C&gt;=$J$4,'领用录入（明细）'!C:C&lt;=$L$4),ROW(),"-")</f>
        <v>-</v>
      </c>
    </row>
    <row r="1054" customHeight="1" spans="2:2">
      <c r="B1054" s="62" t="str">
        <f>IF(AND('领用录入（明细）'!D:D=$F$4,'领用录入（明细）'!C:C&gt;=$J$4,'领用录入（明细）'!C:C&lt;=$L$4),ROW(),"-")</f>
        <v>-</v>
      </c>
    </row>
    <row r="1055" customHeight="1" spans="2:2">
      <c r="B1055" s="62" t="str">
        <f>IF(AND('领用录入（明细）'!D:D=$F$4,'领用录入（明细）'!C:C&gt;=$J$4,'领用录入（明细）'!C:C&lt;=$L$4),ROW(),"-")</f>
        <v>-</v>
      </c>
    </row>
    <row r="1056" customHeight="1" spans="2:2">
      <c r="B1056" s="62" t="str">
        <f>IF(AND('领用录入（明细）'!D:D=$F$4,'领用录入（明细）'!C:C&gt;=$J$4,'领用录入（明细）'!C:C&lt;=$L$4),ROW(),"-")</f>
        <v>-</v>
      </c>
    </row>
    <row r="1057" customHeight="1" spans="2:2">
      <c r="B1057" s="62" t="str">
        <f>IF(AND('领用录入（明细）'!D:D=$F$4,'领用录入（明细）'!C:C&gt;=$J$4,'领用录入（明细）'!C:C&lt;=$L$4),ROW(),"-")</f>
        <v>-</v>
      </c>
    </row>
    <row r="1058" customHeight="1" spans="2:2">
      <c r="B1058" s="62" t="str">
        <f>IF(AND('领用录入（明细）'!D:D=$F$4,'领用录入（明细）'!C:C&gt;=$J$4,'领用录入（明细）'!C:C&lt;=$L$4),ROW(),"-")</f>
        <v>-</v>
      </c>
    </row>
    <row r="1059" customHeight="1" spans="2:2">
      <c r="B1059" s="62" t="str">
        <f>IF(AND('领用录入（明细）'!D:D=$F$4,'领用录入（明细）'!C:C&gt;=$J$4,'领用录入（明细）'!C:C&lt;=$L$4),ROW(),"-")</f>
        <v>-</v>
      </c>
    </row>
    <row r="1060" customHeight="1" spans="2:2">
      <c r="B1060" s="62" t="str">
        <f>IF(AND('领用录入（明细）'!D:D=$F$4,'领用录入（明细）'!C:C&gt;=$J$4,'领用录入（明细）'!C:C&lt;=$L$4),ROW(),"-")</f>
        <v>-</v>
      </c>
    </row>
    <row r="1061" customHeight="1" spans="2:2">
      <c r="B1061" s="62" t="str">
        <f>IF(AND('领用录入（明细）'!D:D=$F$4,'领用录入（明细）'!C:C&gt;=$J$4,'领用录入（明细）'!C:C&lt;=$L$4),ROW(),"-")</f>
        <v>-</v>
      </c>
    </row>
    <row r="1062" customHeight="1" spans="2:2">
      <c r="B1062" s="62" t="str">
        <f>IF(AND('领用录入（明细）'!D:D=$F$4,'领用录入（明细）'!C:C&gt;=$J$4,'领用录入（明细）'!C:C&lt;=$L$4),ROW(),"-")</f>
        <v>-</v>
      </c>
    </row>
    <row r="1063" customHeight="1" spans="2:2">
      <c r="B1063" s="62" t="str">
        <f>IF(AND('领用录入（明细）'!D:D=$F$4,'领用录入（明细）'!C:C&gt;=$J$4,'领用录入（明细）'!C:C&lt;=$L$4),ROW(),"-")</f>
        <v>-</v>
      </c>
    </row>
    <row r="1064" customHeight="1" spans="2:2">
      <c r="B1064" s="62" t="str">
        <f>IF(AND('领用录入（明细）'!D:D=$F$4,'领用录入（明细）'!C:C&gt;=$J$4,'领用录入（明细）'!C:C&lt;=$L$4),ROW(),"-")</f>
        <v>-</v>
      </c>
    </row>
    <row r="1065" customHeight="1" spans="2:2">
      <c r="B1065" s="62" t="str">
        <f>IF(AND('领用录入（明细）'!D:D=$F$4,'领用录入（明细）'!C:C&gt;=$J$4,'领用录入（明细）'!C:C&lt;=$L$4),ROW(),"-")</f>
        <v>-</v>
      </c>
    </row>
    <row r="1066" customHeight="1" spans="2:2">
      <c r="B1066" s="62" t="str">
        <f>IF(AND('领用录入（明细）'!D:D=$F$4,'领用录入（明细）'!C:C&gt;=$J$4,'领用录入（明细）'!C:C&lt;=$L$4),ROW(),"-")</f>
        <v>-</v>
      </c>
    </row>
    <row r="1067" customHeight="1" spans="2:2">
      <c r="B1067" s="62" t="str">
        <f>IF(AND('领用录入（明细）'!D:D=$F$4,'领用录入（明细）'!C:C&gt;=$J$4,'领用录入（明细）'!C:C&lt;=$L$4),ROW(),"-")</f>
        <v>-</v>
      </c>
    </row>
    <row r="1068" customHeight="1" spans="2:2">
      <c r="B1068" s="62" t="str">
        <f>IF(AND('领用录入（明细）'!D:D=$F$4,'领用录入（明细）'!C:C&gt;=$J$4,'领用录入（明细）'!C:C&lt;=$L$4),ROW(),"-")</f>
        <v>-</v>
      </c>
    </row>
    <row r="1069" customHeight="1" spans="2:2">
      <c r="B1069" s="62" t="str">
        <f>IF(AND('领用录入（明细）'!D:D=$F$4,'领用录入（明细）'!C:C&gt;=$J$4,'领用录入（明细）'!C:C&lt;=$L$4),ROW(),"-")</f>
        <v>-</v>
      </c>
    </row>
    <row r="1070" customHeight="1" spans="2:2">
      <c r="B1070" s="62" t="str">
        <f>IF(AND('领用录入（明细）'!D:D=$F$4,'领用录入（明细）'!C:C&gt;=$J$4,'领用录入（明细）'!C:C&lt;=$L$4),ROW(),"-")</f>
        <v>-</v>
      </c>
    </row>
    <row r="1071" customHeight="1" spans="2:2">
      <c r="B1071" s="62" t="str">
        <f>IF(AND('领用录入（明细）'!D:D=$F$4,'领用录入（明细）'!C:C&gt;=$J$4,'领用录入（明细）'!C:C&lt;=$L$4),ROW(),"-")</f>
        <v>-</v>
      </c>
    </row>
    <row r="1072" customHeight="1" spans="2:2">
      <c r="B1072" s="62" t="str">
        <f>IF(AND('领用录入（明细）'!D:D=$F$4,'领用录入（明细）'!C:C&gt;=$J$4,'领用录入（明细）'!C:C&lt;=$L$4),ROW(),"-")</f>
        <v>-</v>
      </c>
    </row>
    <row r="1073" customHeight="1" spans="2:2">
      <c r="B1073" s="62" t="str">
        <f>IF(AND('领用录入（明细）'!D:D=$F$4,'领用录入（明细）'!C:C&gt;=$J$4,'领用录入（明细）'!C:C&lt;=$L$4),ROW(),"-")</f>
        <v>-</v>
      </c>
    </row>
    <row r="1074" customHeight="1" spans="2:2">
      <c r="B1074" s="62" t="str">
        <f>IF(AND('领用录入（明细）'!D:D=$F$4,'领用录入（明细）'!C:C&gt;=$J$4,'领用录入（明细）'!C:C&lt;=$L$4),ROW(),"-")</f>
        <v>-</v>
      </c>
    </row>
    <row r="1075" customHeight="1" spans="2:2">
      <c r="B1075" s="62" t="str">
        <f>IF(AND('领用录入（明细）'!D:D=$F$4,'领用录入（明细）'!C:C&gt;=$J$4,'领用录入（明细）'!C:C&lt;=$L$4),ROW(),"-")</f>
        <v>-</v>
      </c>
    </row>
    <row r="1076" customHeight="1" spans="2:2">
      <c r="B1076" s="62" t="str">
        <f>IF(AND('领用录入（明细）'!D:D=$F$4,'领用录入（明细）'!C:C&gt;=$J$4,'领用录入（明细）'!C:C&lt;=$L$4),ROW(),"-")</f>
        <v>-</v>
      </c>
    </row>
    <row r="1077" customHeight="1" spans="2:2">
      <c r="B1077" s="62" t="str">
        <f>IF(AND('领用录入（明细）'!D:D=$F$4,'领用录入（明细）'!C:C&gt;=$J$4,'领用录入（明细）'!C:C&lt;=$L$4),ROW(),"-")</f>
        <v>-</v>
      </c>
    </row>
    <row r="1078" customHeight="1" spans="2:2">
      <c r="B1078" s="62" t="str">
        <f>IF(AND('领用录入（明细）'!D:D=$F$4,'领用录入（明细）'!C:C&gt;=$J$4,'领用录入（明细）'!C:C&lt;=$L$4),ROW(),"-")</f>
        <v>-</v>
      </c>
    </row>
    <row r="1079" customHeight="1" spans="2:2">
      <c r="B1079" s="62" t="str">
        <f>IF(AND('领用录入（明细）'!D:D=$F$4,'领用录入（明细）'!C:C&gt;=$J$4,'领用录入（明细）'!C:C&lt;=$L$4),ROW(),"-")</f>
        <v>-</v>
      </c>
    </row>
    <row r="1080" customHeight="1" spans="2:2">
      <c r="B1080" s="62" t="str">
        <f>IF(AND('领用录入（明细）'!D:D=$F$4,'领用录入（明细）'!C:C&gt;=$J$4,'领用录入（明细）'!C:C&lt;=$L$4),ROW(),"-")</f>
        <v>-</v>
      </c>
    </row>
    <row r="1081" customHeight="1" spans="2:2">
      <c r="B1081" s="62" t="str">
        <f>IF(AND('领用录入（明细）'!D:D=$F$4,'领用录入（明细）'!C:C&gt;=$J$4,'领用录入（明细）'!C:C&lt;=$L$4),ROW(),"-")</f>
        <v>-</v>
      </c>
    </row>
    <row r="1082" customHeight="1" spans="2:2">
      <c r="B1082" s="62" t="str">
        <f>IF(AND('领用录入（明细）'!D:D=$F$4,'领用录入（明细）'!C:C&gt;=$J$4,'领用录入（明细）'!C:C&lt;=$L$4),ROW(),"-")</f>
        <v>-</v>
      </c>
    </row>
    <row r="1083" customHeight="1" spans="2:2">
      <c r="B1083" s="62" t="str">
        <f>IF(AND('领用录入（明细）'!D:D=$F$4,'领用录入（明细）'!C:C&gt;=$J$4,'领用录入（明细）'!C:C&lt;=$L$4),ROW(),"-")</f>
        <v>-</v>
      </c>
    </row>
    <row r="1084" customHeight="1" spans="2:2">
      <c r="B1084" s="62" t="str">
        <f>IF(AND('领用录入（明细）'!D:D=$F$4,'领用录入（明细）'!C:C&gt;=$J$4,'领用录入（明细）'!C:C&lt;=$L$4),ROW(),"-")</f>
        <v>-</v>
      </c>
    </row>
    <row r="1085" customHeight="1" spans="2:2">
      <c r="B1085" s="62" t="str">
        <f>IF(AND('领用录入（明细）'!D:D=$F$4,'领用录入（明细）'!C:C&gt;=$J$4,'领用录入（明细）'!C:C&lt;=$L$4),ROW(),"-")</f>
        <v>-</v>
      </c>
    </row>
    <row r="1086" customHeight="1" spans="2:2">
      <c r="B1086" s="62" t="str">
        <f>IF(AND('领用录入（明细）'!D:D=$F$4,'领用录入（明细）'!C:C&gt;=$J$4,'领用录入（明细）'!C:C&lt;=$L$4),ROW(),"-")</f>
        <v>-</v>
      </c>
    </row>
    <row r="1087" customHeight="1" spans="2:2">
      <c r="B1087" s="62" t="str">
        <f>IF(AND('领用录入（明细）'!D:D=$F$4,'领用录入（明细）'!C:C&gt;=$J$4,'领用录入（明细）'!C:C&lt;=$L$4),ROW(),"-")</f>
        <v>-</v>
      </c>
    </row>
    <row r="1088" customHeight="1" spans="2:2">
      <c r="B1088" s="62" t="str">
        <f>IF(AND('领用录入（明细）'!D:D=$F$4,'领用录入（明细）'!C:C&gt;=$J$4,'领用录入（明细）'!C:C&lt;=$L$4),ROW(),"-")</f>
        <v>-</v>
      </c>
    </row>
    <row r="1089" customHeight="1" spans="2:2">
      <c r="B1089" s="62" t="str">
        <f>IF(AND('领用录入（明细）'!D:D=$F$4,'领用录入（明细）'!C:C&gt;=$J$4,'领用录入（明细）'!C:C&lt;=$L$4),ROW(),"-")</f>
        <v>-</v>
      </c>
    </row>
    <row r="1090" customHeight="1" spans="2:2">
      <c r="B1090" s="62" t="str">
        <f>IF(AND('领用录入（明细）'!D:D=$F$4,'领用录入（明细）'!C:C&gt;=$J$4,'领用录入（明细）'!C:C&lt;=$L$4),ROW(),"-")</f>
        <v>-</v>
      </c>
    </row>
    <row r="1091" customHeight="1" spans="2:2">
      <c r="B1091" s="62" t="str">
        <f>IF(AND('领用录入（明细）'!D:D=$F$4,'领用录入（明细）'!C:C&gt;=$J$4,'领用录入（明细）'!C:C&lt;=$L$4),ROW(),"-")</f>
        <v>-</v>
      </c>
    </row>
    <row r="1092" customHeight="1" spans="2:2">
      <c r="B1092" s="62" t="str">
        <f>IF(AND('领用录入（明细）'!D:D=$F$4,'领用录入（明细）'!C:C&gt;=$J$4,'领用录入（明细）'!C:C&lt;=$L$4),ROW(),"-")</f>
        <v>-</v>
      </c>
    </row>
    <row r="1093" customHeight="1" spans="2:2">
      <c r="B1093" s="62" t="str">
        <f>IF(AND('领用录入（明细）'!D:D=$F$4,'领用录入（明细）'!C:C&gt;=$J$4,'领用录入（明细）'!C:C&lt;=$L$4),ROW(),"-")</f>
        <v>-</v>
      </c>
    </row>
    <row r="1094" customHeight="1" spans="2:2">
      <c r="B1094" s="62" t="str">
        <f>IF(AND('领用录入（明细）'!D:D=$F$4,'领用录入（明细）'!C:C&gt;=$J$4,'领用录入（明细）'!C:C&lt;=$L$4),ROW(),"-")</f>
        <v>-</v>
      </c>
    </row>
    <row r="1095" customHeight="1" spans="2:2">
      <c r="B1095" s="62" t="str">
        <f>IF(AND('领用录入（明细）'!D:D=$F$4,'领用录入（明细）'!C:C&gt;=$J$4,'领用录入（明细）'!C:C&lt;=$L$4),ROW(),"-")</f>
        <v>-</v>
      </c>
    </row>
    <row r="1096" customHeight="1" spans="2:2">
      <c r="B1096" s="62" t="str">
        <f>IF(AND('领用录入（明细）'!D:D=$F$4,'领用录入（明细）'!C:C&gt;=$J$4,'领用录入（明细）'!C:C&lt;=$L$4),ROW(),"-")</f>
        <v>-</v>
      </c>
    </row>
    <row r="1097" customHeight="1" spans="2:2">
      <c r="B1097" s="62" t="str">
        <f>IF(AND('领用录入（明细）'!D:D=$F$4,'领用录入（明细）'!C:C&gt;=$J$4,'领用录入（明细）'!C:C&lt;=$L$4),ROW(),"-")</f>
        <v>-</v>
      </c>
    </row>
    <row r="1098" customHeight="1" spans="2:2">
      <c r="B1098" s="62" t="str">
        <f>IF(AND('领用录入（明细）'!D:D=$F$4,'领用录入（明细）'!C:C&gt;=$J$4,'领用录入（明细）'!C:C&lt;=$L$4),ROW(),"-")</f>
        <v>-</v>
      </c>
    </row>
    <row r="1099" customHeight="1" spans="2:2">
      <c r="B1099" s="62" t="str">
        <f>IF(AND('领用录入（明细）'!D:D=$F$4,'领用录入（明细）'!C:C&gt;=$J$4,'领用录入（明细）'!C:C&lt;=$L$4),ROW(),"-")</f>
        <v>-</v>
      </c>
    </row>
    <row r="1100" customHeight="1" spans="2:2">
      <c r="B1100" s="62" t="str">
        <f>IF(AND('领用录入（明细）'!D:D=$F$4,'领用录入（明细）'!C:C&gt;=$J$4,'领用录入（明细）'!C:C&lt;=$L$4),ROW(),"-")</f>
        <v>-</v>
      </c>
    </row>
    <row r="1101" customHeight="1" spans="2:2">
      <c r="B1101" s="62" t="str">
        <f>IF(AND('领用录入（明细）'!D:D=$F$4,'领用录入（明细）'!C:C&gt;=$J$4,'领用录入（明细）'!C:C&lt;=$L$4),ROW(),"-")</f>
        <v>-</v>
      </c>
    </row>
    <row r="1102" customHeight="1" spans="2:2">
      <c r="B1102" s="62" t="str">
        <f>IF(AND('领用录入（明细）'!D:D=$F$4,'领用录入（明细）'!C:C&gt;=$J$4,'领用录入（明细）'!C:C&lt;=$L$4),ROW(),"-")</f>
        <v>-</v>
      </c>
    </row>
    <row r="1103" customHeight="1" spans="2:2">
      <c r="B1103" s="62" t="str">
        <f>IF(AND('领用录入（明细）'!D:D=$F$4,'领用录入（明细）'!C:C&gt;=$J$4,'领用录入（明细）'!C:C&lt;=$L$4),ROW(),"-")</f>
        <v>-</v>
      </c>
    </row>
    <row r="1104" customHeight="1" spans="2:2">
      <c r="B1104" s="62" t="str">
        <f>IF(AND('领用录入（明细）'!D:D=$F$4,'领用录入（明细）'!C:C&gt;=$J$4,'领用录入（明细）'!C:C&lt;=$L$4),ROW(),"-")</f>
        <v>-</v>
      </c>
    </row>
    <row r="1105" customHeight="1" spans="2:2">
      <c r="B1105" s="62" t="str">
        <f>IF(AND('领用录入（明细）'!D:D=$F$4,'领用录入（明细）'!C:C&gt;=$J$4,'领用录入（明细）'!C:C&lt;=$L$4),ROW(),"-")</f>
        <v>-</v>
      </c>
    </row>
    <row r="1106" customHeight="1" spans="2:2">
      <c r="B1106" s="62" t="str">
        <f>IF(AND('领用录入（明细）'!D:D=$F$4,'领用录入（明细）'!C:C&gt;=$J$4,'领用录入（明细）'!C:C&lt;=$L$4),ROW(),"-")</f>
        <v>-</v>
      </c>
    </row>
    <row r="1107" customHeight="1" spans="2:2">
      <c r="B1107" s="62" t="str">
        <f>IF(AND('领用录入（明细）'!D:D=$F$4,'领用录入（明细）'!C:C&gt;=$J$4,'领用录入（明细）'!C:C&lt;=$L$4),ROW(),"-")</f>
        <v>-</v>
      </c>
    </row>
    <row r="1108" customHeight="1" spans="2:2">
      <c r="B1108" s="62" t="str">
        <f>IF(AND('领用录入（明细）'!D:D=$F$4,'领用录入（明细）'!C:C&gt;=$J$4,'领用录入（明细）'!C:C&lt;=$L$4),ROW(),"-")</f>
        <v>-</v>
      </c>
    </row>
    <row r="1109" customHeight="1" spans="2:2">
      <c r="B1109" s="62" t="str">
        <f>IF(AND('领用录入（明细）'!D:D=$F$4,'领用录入（明细）'!C:C&gt;=$J$4,'领用录入（明细）'!C:C&lt;=$L$4),ROW(),"-")</f>
        <v>-</v>
      </c>
    </row>
    <row r="1110" customHeight="1" spans="2:2">
      <c r="B1110" s="62" t="str">
        <f>IF(AND('领用录入（明细）'!D:D=$F$4,'领用录入（明细）'!C:C&gt;=$J$4,'领用录入（明细）'!C:C&lt;=$L$4),ROW(),"-")</f>
        <v>-</v>
      </c>
    </row>
    <row r="1111" customHeight="1" spans="2:2">
      <c r="B1111" s="62" t="str">
        <f>IF(AND('领用录入（明细）'!D:D=$F$4,'领用录入（明细）'!C:C&gt;=$J$4,'领用录入（明细）'!C:C&lt;=$L$4),ROW(),"-")</f>
        <v>-</v>
      </c>
    </row>
    <row r="1112" customHeight="1" spans="2:2">
      <c r="B1112" s="62" t="str">
        <f>IF(AND('领用录入（明细）'!D:D=$F$4,'领用录入（明细）'!C:C&gt;=$J$4,'领用录入（明细）'!C:C&lt;=$L$4),ROW(),"-")</f>
        <v>-</v>
      </c>
    </row>
    <row r="1113" customHeight="1" spans="2:2">
      <c r="B1113" s="62" t="str">
        <f>IF(AND('领用录入（明细）'!D:D=$F$4,'领用录入（明细）'!C:C&gt;=$J$4,'领用录入（明细）'!C:C&lt;=$L$4),ROW(),"-")</f>
        <v>-</v>
      </c>
    </row>
    <row r="1114" customHeight="1" spans="2:2">
      <c r="B1114" s="62" t="str">
        <f>IF(AND('领用录入（明细）'!D:D=$F$4,'领用录入（明细）'!C:C&gt;=$J$4,'领用录入（明细）'!C:C&lt;=$L$4),ROW(),"-")</f>
        <v>-</v>
      </c>
    </row>
    <row r="1115" customHeight="1" spans="2:2">
      <c r="B1115" s="62" t="str">
        <f>IF(AND('领用录入（明细）'!D:D=$F$4,'领用录入（明细）'!C:C&gt;=$J$4,'领用录入（明细）'!C:C&lt;=$L$4),ROW(),"-")</f>
        <v>-</v>
      </c>
    </row>
    <row r="1116" customHeight="1" spans="2:2">
      <c r="B1116" s="62" t="str">
        <f>IF(AND('领用录入（明细）'!D:D=$F$4,'领用录入（明细）'!C:C&gt;=$J$4,'领用录入（明细）'!C:C&lt;=$L$4),ROW(),"-")</f>
        <v>-</v>
      </c>
    </row>
    <row r="1117" customHeight="1" spans="2:2">
      <c r="B1117" s="62" t="str">
        <f>IF(AND('领用录入（明细）'!D:D=$F$4,'领用录入（明细）'!C:C&gt;=$J$4,'领用录入（明细）'!C:C&lt;=$L$4),ROW(),"-")</f>
        <v>-</v>
      </c>
    </row>
    <row r="1118" customHeight="1" spans="2:2">
      <c r="B1118" s="62" t="str">
        <f>IF(AND('领用录入（明细）'!D:D=$F$4,'领用录入（明细）'!C:C&gt;=$J$4,'领用录入（明细）'!C:C&lt;=$L$4),ROW(),"-")</f>
        <v>-</v>
      </c>
    </row>
    <row r="1119" customHeight="1" spans="2:2">
      <c r="B1119" s="62" t="str">
        <f>IF(AND('领用录入（明细）'!D:D=$F$4,'领用录入（明细）'!C:C&gt;=$J$4,'领用录入（明细）'!C:C&lt;=$L$4),ROW(),"-")</f>
        <v>-</v>
      </c>
    </row>
    <row r="1120" customHeight="1" spans="2:2">
      <c r="B1120" s="62" t="str">
        <f>IF(AND('领用录入（明细）'!D:D=$F$4,'领用录入（明细）'!C:C&gt;=$J$4,'领用录入（明细）'!C:C&lt;=$L$4),ROW(),"-")</f>
        <v>-</v>
      </c>
    </row>
    <row r="1121" customHeight="1" spans="2:2">
      <c r="B1121" s="62" t="str">
        <f>IF(AND('领用录入（明细）'!D:D=$F$4,'领用录入（明细）'!C:C&gt;=$J$4,'领用录入（明细）'!C:C&lt;=$L$4),ROW(),"-")</f>
        <v>-</v>
      </c>
    </row>
    <row r="1122" customHeight="1" spans="2:2">
      <c r="B1122" s="62" t="str">
        <f>IF(AND('领用录入（明细）'!D:D=$F$4,'领用录入（明细）'!C:C&gt;=$J$4,'领用录入（明细）'!C:C&lt;=$L$4),ROW(),"-")</f>
        <v>-</v>
      </c>
    </row>
    <row r="1123" customHeight="1" spans="2:2">
      <c r="B1123" s="62" t="str">
        <f>IF(AND('领用录入（明细）'!D:D=$F$4,'领用录入（明细）'!C:C&gt;=$J$4,'领用录入（明细）'!C:C&lt;=$L$4),ROW(),"-")</f>
        <v>-</v>
      </c>
    </row>
    <row r="1124" customHeight="1" spans="2:2">
      <c r="B1124" s="62" t="str">
        <f>IF(AND('领用录入（明细）'!D:D=$F$4,'领用录入（明细）'!C:C&gt;=$J$4,'领用录入（明细）'!C:C&lt;=$L$4),ROW(),"-")</f>
        <v>-</v>
      </c>
    </row>
    <row r="1125" customHeight="1" spans="2:2">
      <c r="B1125" s="62" t="str">
        <f>IF(AND('领用录入（明细）'!D:D=$F$4,'领用录入（明细）'!C:C&gt;=$J$4,'领用录入（明细）'!C:C&lt;=$L$4),ROW(),"-")</f>
        <v>-</v>
      </c>
    </row>
    <row r="1126" customHeight="1" spans="2:2">
      <c r="B1126" s="62" t="str">
        <f>IF(AND('领用录入（明细）'!D:D=$F$4,'领用录入（明细）'!C:C&gt;=$J$4,'领用录入（明细）'!C:C&lt;=$L$4),ROW(),"-")</f>
        <v>-</v>
      </c>
    </row>
    <row r="1127" customHeight="1" spans="2:2">
      <c r="B1127" s="62" t="str">
        <f>IF(AND('领用录入（明细）'!D:D=$F$4,'领用录入（明细）'!C:C&gt;=$J$4,'领用录入（明细）'!C:C&lt;=$L$4),ROW(),"-")</f>
        <v>-</v>
      </c>
    </row>
    <row r="1128" customHeight="1" spans="2:2">
      <c r="B1128" s="62" t="str">
        <f>IF(AND('领用录入（明细）'!D:D=$F$4,'领用录入（明细）'!C:C&gt;=$J$4,'领用录入（明细）'!C:C&lt;=$L$4),ROW(),"-")</f>
        <v>-</v>
      </c>
    </row>
    <row r="1129" customHeight="1" spans="2:2">
      <c r="B1129" s="62" t="str">
        <f>IF(AND('领用录入（明细）'!D:D=$F$4,'领用录入（明细）'!C:C&gt;=$J$4,'领用录入（明细）'!C:C&lt;=$L$4),ROW(),"-")</f>
        <v>-</v>
      </c>
    </row>
    <row r="1130" customHeight="1" spans="2:2">
      <c r="B1130" s="62" t="str">
        <f>IF(AND('领用录入（明细）'!D:D=$F$4,'领用录入（明细）'!C:C&gt;=$J$4,'领用录入（明细）'!C:C&lt;=$L$4),ROW(),"-")</f>
        <v>-</v>
      </c>
    </row>
    <row r="1131" customHeight="1" spans="2:2">
      <c r="B1131" s="62" t="str">
        <f>IF(AND('领用录入（明细）'!D:D=$F$4,'领用录入（明细）'!C:C&gt;=$J$4,'领用录入（明细）'!C:C&lt;=$L$4),ROW(),"-")</f>
        <v>-</v>
      </c>
    </row>
    <row r="1132" customHeight="1" spans="2:2">
      <c r="B1132" s="62" t="str">
        <f>IF(AND('领用录入（明细）'!D:D=$F$4,'领用录入（明细）'!C:C&gt;=$J$4,'领用录入（明细）'!C:C&lt;=$L$4),ROW(),"-")</f>
        <v>-</v>
      </c>
    </row>
    <row r="1133" customHeight="1" spans="2:2">
      <c r="B1133" s="62" t="str">
        <f>IF(AND('领用录入（明细）'!D:D=$F$4,'领用录入（明细）'!C:C&gt;=$J$4,'领用录入（明细）'!C:C&lt;=$L$4),ROW(),"-")</f>
        <v>-</v>
      </c>
    </row>
    <row r="1134" customHeight="1" spans="2:2">
      <c r="B1134" s="62" t="str">
        <f>IF(AND('领用录入（明细）'!D:D=$F$4,'领用录入（明细）'!C:C&gt;=$J$4,'领用录入（明细）'!C:C&lt;=$L$4),ROW(),"-")</f>
        <v>-</v>
      </c>
    </row>
    <row r="1135" customHeight="1" spans="2:2">
      <c r="B1135" s="62" t="str">
        <f>IF(AND('领用录入（明细）'!D:D=$F$4,'领用录入（明细）'!C:C&gt;=$J$4,'领用录入（明细）'!C:C&lt;=$L$4),ROW(),"-")</f>
        <v>-</v>
      </c>
    </row>
    <row r="1136" customHeight="1" spans="2:2">
      <c r="B1136" s="62" t="str">
        <f>IF(AND('领用录入（明细）'!D:D=$F$4,'领用录入（明细）'!C:C&gt;=$J$4,'领用录入（明细）'!C:C&lt;=$L$4),ROW(),"-")</f>
        <v>-</v>
      </c>
    </row>
    <row r="1137" customHeight="1" spans="2:2">
      <c r="B1137" s="62" t="str">
        <f>IF(AND('领用录入（明细）'!D:D=$F$4,'领用录入（明细）'!C:C&gt;=$J$4,'领用录入（明细）'!C:C&lt;=$L$4),ROW(),"-")</f>
        <v>-</v>
      </c>
    </row>
    <row r="1138" customHeight="1" spans="2:2">
      <c r="B1138" s="62" t="str">
        <f>IF(AND('领用录入（明细）'!D:D=$F$4,'领用录入（明细）'!C:C&gt;=$J$4,'领用录入（明细）'!C:C&lt;=$L$4),ROW(),"-")</f>
        <v>-</v>
      </c>
    </row>
    <row r="1139" customHeight="1" spans="2:2">
      <c r="B1139" s="62" t="str">
        <f>IF(AND('领用录入（明细）'!D:D=$F$4,'领用录入（明细）'!C:C&gt;=$J$4,'领用录入（明细）'!C:C&lt;=$L$4),ROW(),"-")</f>
        <v>-</v>
      </c>
    </row>
    <row r="1140" customHeight="1" spans="2:2">
      <c r="B1140" s="62" t="str">
        <f>IF(AND('领用录入（明细）'!D:D=$F$4,'领用录入（明细）'!C:C&gt;=$J$4,'领用录入（明细）'!C:C&lt;=$L$4),ROW(),"-")</f>
        <v>-</v>
      </c>
    </row>
    <row r="1141" customHeight="1" spans="2:2">
      <c r="B1141" s="62" t="str">
        <f>IF(AND('领用录入（明细）'!D:D=$F$4,'领用录入（明细）'!C:C&gt;=$J$4,'领用录入（明细）'!C:C&lt;=$L$4),ROW(),"-")</f>
        <v>-</v>
      </c>
    </row>
    <row r="1142" customHeight="1" spans="2:2">
      <c r="B1142" s="62" t="str">
        <f>IF(AND('领用录入（明细）'!D:D=$F$4,'领用录入（明细）'!C:C&gt;=$J$4,'领用录入（明细）'!C:C&lt;=$L$4),ROW(),"-")</f>
        <v>-</v>
      </c>
    </row>
    <row r="1143" customHeight="1" spans="2:2">
      <c r="B1143" s="62" t="str">
        <f>IF(AND('领用录入（明细）'!D:D=$F$4,'领用录入（明细）'!C:C&gt;=$J$4,'领用录入（明细）'!C:C&lt;=$L$4),ROW(),"-")</f>
        <v>-</v>
      </c>
    </row>
    <row r="1144" customHeight="1" spans="2:2">
      <c r="B1144" s="62" t="str">
        <f>IF(AND('领用录入（明细）'!D:D=$F$4,'领用录入（明细）'!C:C&gt;=$J$4,'领用录入（明细）'!C:C&lt;=$L$4),ROW(),"-")</f>
        <v>-</v>
      </c>
    </row>
    <row r="1145" customHeight="1" spans="2:2">
      <c r="B1145" s="62" t="str">
        <f>IF(AND('领用录入（明细）'!D:D=$F$4,'领用录入（明细）'!C:C&gt;=$J$4,'领用录入（明细）'!C:C&lt;=$L$4),ROW(),"-")</f>
        <v>-</v>
      </c>
    </row>
    <row r="1146" customHeight="1" spans="2:2">
      <c r="B1146" s="62" t="str">
        <f>IF(AND('领用录入（明细）'!D:D=$F$4,'领用录入（明细）'!C:C&gt;=$J$4,'领用录入（明细）'!C:C&lt;=$L$4),ROW(),"-")</f>
        <v>-</v>
      </c>
    </row>
    <row r="1147" customHeight="1" spans="2:2">
      <c r="B1147" s="62" t="str">
        <f>IF(AND('领用录入（明细）'!D:D=$F$4,'领用录入（明细）'!C:C&gt;=$J$4,'领用录入（明细）'!C:C&lt;=$L$4),ROW(),"-")</f>
        <v>-</v>
      </c>
    </row>
    <row r="1148" customHeight="1" spans="2:2">
      <c r="B1148" s="62" t="str">
        <f>IF(AND('领用录入（明细）'!D:D=$F$4,'领用录入（明细）'!C:C&gt;=$J$4,'领用录入（明细）'!C:C&lt;=$L$4),ROW(),"-")</f>
        <v>-</v>
      </c>
    </row>
    <row r="1149" customHeight="1" spans="2:2">
      <c r="B1149" s="62" t="str">
        <f>IF(AND('领用录入（明细）'!D:D=$F$4,'领用录入（明细）'!C:C&gt;=$J$4,'领用录入（明细）'!C:C&lt;=$L$4),ROW(),"-")</f>
        <v>-</v>
      </c>
    </row>
    <row r="1150" customHeight="1" spans="2:2">
      <c r="B1150" s="62" t="str">
        <f>IF(AND('领用录入（明细）'!D:D=$F$4,'领用录入（明细）'!C:C&gt;=$J$4,'领用录入（明细）'!C:C&lt;=$L$4),ROW(),"-")</f>
        <v>-</v>
      </c>
    </row>
    <row r="1151" customHeight="1" spans="2:2">
      <c r="B1151" s="62" t="str">
        <f>IF(AND('领用录入（明细）'!D:D=$F$4,'领用录入（明细）'!C:C&gt;=$J$4,'领用录入（明细）'!C:C&lt;=$L$4),ROW(),"-")</f>
        <v>-</v>
      </c>
    </row>
    <row r="1152" customHeight="1" spans="2:2">
      <c r="B1152" s="62" t="str">
        <f>IF(AND('领用录入（明细）'!D:D=$F$4,'领用录入（明细）'!C:C&gt;=$J$4,'领用录入（明细）'!C:C&lt;=$L$4),ROW(),"-")</f>
        <v>-</v>
      </c>
    </row>
    <row r="1153" customHeight="1" spans="2:2">
      <c r="B1153" s="62" t="str">
        <f>IF(AND('领用录入（明细）'!D:D=$F$4,'领用录入（明细）'!C:C&gt;=$J$4,'领用录入（明细）'!C:C&lt;=$L$4),ROW(),"-")</f>
        <v>-</v>
      </c>
    </row>
    <row r="1154" customHeight="1" spans="2:2">
      <c r="B1154" s="62" t="str">
        <f>IF(AND('领用录入（明细）'!D:D=$F$4,'领用录入（明细）'!C:C&gt;=$J$4,'领用录入（明细）'!C:C&lt;=$L$4),ROW(),"-")</f>
        <v>-</v>
      </c>
    </row>
    <row r="1155" customHeight="1" spans="2:2">
      <c r="B1155" s="62" t="str">
        <f>IF(AND('领用录入（明细）'!D:D=$F$4,'领用录入（明细）'!C:C&gt;=$J$4,'领用录入（明细）'!C:C&lt;=$L$4),ROW(),"-")</f>
        <v>-</v>
      </c>
    </row>
    <row r="1156" customHeight="1" spans="2:2">
      <c r="B1156" s="62" t="str">
        <f>IF(AND('领用录入（明细）'!D:D=$F$4,'领用录入（明细）'!C:C&gt;=$J$4,'领用录入（明细）'!C:C&lt;=$L$4),ROW(),"-")</f>
        <v>-</v>
      </c>
    </row>
    <row r="1157" customHeight="1" spans="2:2">
      <c r="B1157" s="62" t="str">
        <f>IF(AND('领用录入（明细）'!D:D=$F$4,'领用录入（明细）'!C:C&gt;=$J$4,'领用录入（明细）'!C:C&lt;=$L$4),ROW(),"-")</f>
        <v>-</v>
      </c>
    </row>
    <row r="1158" customHeight="1" spans="2:2">
      <c r="B1158" s="62" t="str">
        <f>IF(AND('领用录入（明细）'!D:D=$F$4,'领用录入（明细）'!C:C&gt;=$J$4,'领用录入（明细）'!C:C&lt;=$L$4),ROW(),"-")</f>
        <v>-</v>
      </c>
    </row>
    <row r="1159" customHeight="1" spans="2:2">
      <c r="B1159" s="62" t="str">
        <f>IF(AND('领用录入（明细）'!D:D=$F$4,'领用录入（明细）'!C:C&gt;=$J$4,'领用录入（明细）'!C:C&lt;=$L$4),ROW(),"-")</f>
        <v>-</v>
      </c>
    </row>
    <row r="1160" customHeight="1" spans="2:2">
      <c r="B1160" s="62" t="str">
        <f>IF(AND('领用录入（明细）'!D:D=$F$4,'领用录入（明细）'!C:C&gt;=$J$4,'领用录入（明细）'!C:C&lt;=$L$4),ROW(),"-")</f>
        <v>-</v>
      </c>
    </row>
    <row r="1161" customHeight="1" spans="2:2">
      <c r="B1161" s="62" t="str">
        <f>IF(AND('领用录入（明细）'!D:D=$F$4,'领用录入（明细）'!C:C&gt;=$J$4,'领用录入（明细）'!C:C&lt;=$L$4),ROW(),"-")</f>
        <v>-</v>
      </c>
    </row>
    <row r="1162" customHeight="1" spans="2:2">
      <c r="B1162" s="62" t="str">
        <f>IF(AND('领用录入（明细）'!D:D=$F$4,'领用录入（明细）'!C:C&gt;=$J$4,'领用录入（明细）'!C:C&lt;=$L$4),ROW(),"-")</f>
        <v>-</v>
      </c>
    </row>
    <row r="1163" customHeight="1" spans="2:2">
      <c r="B1163" s="62" t="str">
        <f>IF(AND('领用录入（明细）'!D:D=$F$4,'领用录入（明细）'!C:C&gt;=$J$4,'领用录入（明细）'!C:C&lt;=$L$4),ROW(),"-")</f>
        <v>-</v>
      </c>
    </row>
    <row r="1164" customHeight="1" spans="2:2">
      <c r="B1164" s="62" t="str">
        <f>IF(AND('领用录入（明细）'!D:D=$F$4,'领用录入（明细）'!C:C&gt;=$J$4,'领用录入（明细）'!C:C&lt;=$L$4),ROW(),"-")</f>
        <v>-</v>
      </c>
    </row>
    <row r="1165" customHeight="1" spans="2:2">
      <c r="B1165" s="62" t="str">
        <f>IF(AND('领用录入（明细）'!D:D=$F$4,'领用录入（明细）'!C:C&gt;=$J$4,'领用录入（明细）'!C:C&lt;=$L$4),ROW(),"-")</f>
        <v>-</v>
      </c>
    </row>
    <row r="1166" customHeight="1" spans="2:2">
      <c r="B1166" s="62" t="str">
        <f>IF(AND('领用录入（明细）'!D:D=$F$4,'领用录入（明细）'!C:C&gt;=$J$4,'领用录入（明细）'!C:C&lt;=$L$4),ROW(),"-")</f>
        <v>-</v>
      </c>
    </row>
    <row r="1167" customHeight="1" spans="2:2">
      <c r="B1167" s="62" t="str">
        <f>IF(AND('领用录入（明细）'!D:D=$F$4,'领用录入（明细）'!C:C&gt;=$J$4,'领用录入（明细）'!C:C&lt;=$L$4),ROW(),"-")</f>
        <v>-</v>
      </c>
    </row>
    <row r="1168" customHeight="1" spans="2:2">
      <c r="B1168" s="62" t="str">
        <f>IF(AND('领用录入（明细）'!D:D=$F$4,'领用录入（明细）'!C:C&gt;=$J$4,'领用录入（明细）'!C:C&lt;=$L$4),ROW(),"-")</f>
        <v>-</v>
      </c>
    </row>
    <row r="1169" customHeight="1" spans="2:2">
      <c r="B1169" s="62" t="str">
        <f>IF(AND('领用录入（明细）'!D:D=$F$4,'领用录入（明细）'!C:C&gt;=$J$4,'领用录入（明细）'!C:C&lt;=$L$4),ROW(),"-")</f>
        <v>-</v>
      </c>
    </row>
    <row r="1170" customHeight="1" spans="2:2">
      <c r="B1170" s="62" t="str">
        <f>IF(AND('领用录入（明细）'!D:D=$F$4,'领用录入（明细）'!C:C&gt;=$J$4,'领用录入（明细）'!C:C&lt;=$L$4),ROW(),"-")</f>
        <v>-</v>
      </c>
    </row>
    <row r="1171" customHeight="1" spans="2:2">
      <c r="B1171" s="62" t="str">
        <f>IF(AND('领用录入（明细）'!D:D=$F$4,'领用录入（明细）'!C:C&gt;=$J$4,'领用录入（明细）'!C:C&lt;=$L$4),ROW(),"-")</f>
        <v>-</v>
      </c>
    </row>
    <row r="1172" customHeight="1" spans="2:2">
      <c r="B1172" s="62" t="str">
        <f>IF(AND('领用录入（明细）'!D:D=$F$4,'领用录入（明细）'!C:C&gt;=$J$4,'领用录入（明细）'!C:C&lt;=$L$4),ROW(),"-")</f>
        <v>-</v>
      </c>
    </row>
    <row r="1173" customHeight="1" spans="2:2">
      <c r="B1173" s="62" t="str">
        <f>IF(AND('领用录入（明细）'!D:D=$F$4,'领用录入（明细）'!C:C&gt;=$J$4,'领用录入（明细）'!C:C&lt;=$L$4),ROW(),"-")</f>
        <v>-</v>
      </c>
    </row>
    <row r="1174" customHeight="1" spans="2:2">
      <c r="B1174" s="62" t="str">
        <f>IF(AND('领用录入（明细）'!D:D=$F$4,'领用录入（明细）'!C:C&gt;=$J$4,'领用录入（明细）'!C:C&lt;=$L$4),ROW(),"-")</f>
        <v>-</v>
      </c>
    </row>
    <row r="1175" customHeight="1" spans="2:2">
      <c r="B1175" s="62" t="str">
        <f>IF(AND('领用录入（明细）'!D:D=$F$4,'领用录入（明细）'!C:C&gt;=$J$4,'领用录入（明细）'!C:C&lt;=$L$4),ROW(),"-")</f>
        <v>-</v>
      </c>
    </row>
    <row r="1176" customHeight="1" spans="2:2">
      <c r="B1176" s="62" t="str">
        <f>IF(AND('领用录入（明细）'!D:D=$F$4,'领用录入（明细）'!C:C&gt;=$J$4,'领用录入（明细）'!C:C&lt;=$L$4),ROW(),"-")</f>
        <v>-</v>
      </c>
    </row>
    <row r="1177" customHeight="1" spans="2:2">
      <c r="B1177" s="62" t="str">
        <f>IF(AND('领用录入（明细）'!D:D=$F$4,'领用录入（明细）'!C:C&gt;=$J$4,'领用录入（明细）'!C:C&lt;=$L$4),ROW(),"-")</f>
        <v>-</v>
      </c>
    </row>
    <row r="1178" customHeight="1" spans="2:2">
      <c r="B1178" s="62" t="str">
        <f>IF(AND('领用录入（明细）'!D:D=$F$4,'领用录入（明细）'!C:C&gt;=$J$4,'领用录入（明细）'!C:C&lt;=$L$4),ROW(),"-")</f>
        <v>-</v>
      </c>
    </row>
    <row r="1179" customHeight="1" spans="2:2">
      <c r="B1179" s="62" t="str">
        <f>IF(AND('领用录入（明细）'!D:D=$F$4,'领用录入（明细）'!C:C&gt;=$J$4,'领用录入（明细）'!C:C&lt;=$L$4),ROW(),"-")</f>
        <v>-</v>
      </c>
    </row>
    <row r="1180" customHeight="1" spans="2:2">
      <c r="B1180" s="62" t="str">
        <f>IF(AND('领用录入（明细）'!D:D=$F$4,'领用录入（明细）'!C:C&gt;=$J$4,'领用录入（明细）'!C:C&lt;=$L$4),ROW(),"-")</f>
        <v>-</v>
      </c>
    </row>
    <row r="1181" customHeight="1" spans="2:2">
      <c r="B1181" s="62" t="str">
        <f>IF(AND('领用录入（明细）'!D:D=$F$4,'领用录入（明细）'!C:C&gt;=$J$4,'领用录入（明细）'!C:C&lt;=$L$4),ROW(),"-")</f>
        <v>-</v>
      </c>
    </row>
    <row r="1182" customHeight="1" spans="2:2">
      <c r="B1182" s="62" t="str">
        <f>IF(AND('领用录入（明细）'!D:D=$F$4,'领用录入（明细）'!C:C&gt;=$J$4,'领用录入（明细）'!C:C&lt;=$L$4),ROW(),"-")</f>
        <v>-</v>
      </c>
    </row>
    <row r="1183" customHeight="1" spans="2:2">
      <c r="B1183" s="62" t="str">
        <f>IF(AND('领用录入（明细）'!D:D=$F$4,'领用录入（明细）'!C:C&gt;=$J$4,'领用录入（明细）'!C:C&lt;=$L$4),ROW(),"-")</f>
        <v>-</v>
      </c>
    </row>
    <row r="1184" customHeight="1" spans="2:2">
      <c r="B1184" s="62" t="str">
        <f>IF(AND('领用录入（明细）'!D:D=$F$4,'领用录入（明细）'!C:C&gt;=$J$4,'领用录入（明细）'!C:C&lt;=$L$4),ROW(),"-")</f>
        <v>-</v>
      </c>
    </row>
    <row r="1185" customHeight="1" spans="2:2">
      <c r="B1185" s="62" t="str">
        <f>IF(AND('领用录入（明细）'!D:D=$F$4,'领用录入（明细）'!C:C&gt;=$J$4,'领用录入（明细）'!C:C&lt;=$L$4),ROW(),"-")</f>
        <v>-</v>
      </c>
    </row>
    <row r="1186" customHeight="1" spans="2:2">
      <c r="B1186" s="62" t="str">
        <f>IF(AND('领用录入（明细）'!D:D=$F$4,'领用录入（明细）'!C:C&gt;=$J$4,'领用录入（明细）'!C:C&lt;=$L$4),ROW(),"-")</f>
        <v>-</v>
      </c>
    </row>
    <row r="1187" customHeight="1" spans="2:2">
      <c r="B1187" s="62" t="str">
        <f>IF(AND('领用录入（明细）'!D:D=$F$4,'领用录入（明细）'!C:C&gt;=$J$4,'领用录入（明细）'!C:C&lt;=$L$4),ROW(),"-")</f>
        <v>-</v>
      </c>
    </row>
    <row r="1188" customHeight="1" spans="2:2">
      <c r="B1188" s="62" t="str">
        <f>IF(AND('领用录入（明细）'!D:D=$F$4,'领用录入（明细）'!C:C&gt;=$J$4,'领用录入（明细）'!C:C&lt;=$L$4),ROW(),"-")</f>
        <v>-</v>
      </c>
    </row>
    <row r="1189" customHeight="1" spans="2:2">
      <c r="B1189" s="62" t="str">
        <f>IF(AND('领用录入（明细）'!D:D=$F$4,'领用录入（明细）'!C:C&gt;=$J$4,'领用录入（明细）'!C:C&lt;=$L$4),ROW(),"-")</f>
        <v>-</v>
      </c>
    </row>
    <row r="1190" customHeight="1" spans="2:2">
      <c r="B1190" s="62" t="str">
        <f>IF(AND('领用录入（明细）'!D:D=$F$4,'领用录入（明细）'!C:C&gt;=$J$4,'领用录入（明细）'!C:C&lt;=$L$4),ROW(),"-")</f>
        <v>-</v>
      </c>
    </row>
    <row r="1191" customHeight="1" spans="2:2">
      <c r="B1191" s="62" t="str">
        <f>IF(AND('领用录入（明细）'!D:D=$F$4,'领用录入（明细）'!C:C&gt;=$J$4,'领用录入（明细）'!C:C&lt;=$L$4),ROW(),"-")</f>
        <v>-</v>
      </c>
    </row>
    <row r="1192" customHeight="1" spans="2:2">
      <c r="B1192" s="62" t="str">
        <f>IF(AND('领用录入（明细）'!D:D=$F$4,'领用录入（明细）'!C:C&gt;=$J$4,'领用录入（明细）'!C:C&lt;=$L$4),ROW(),"-")</f>
        <v>-</v>
      </c>
    </row>
    <row r="1193" customHeight="1" spans="2:2">
      <c r="B1193" s="62" t="str">
        <f>IF(AND('领用录入（明细）'!D:D=$F$4,'领用录入（明细）'!C:C&gt;=$J$4,'领用录入（明细）'!C:C&lt;=$L$4),ROW(),"-")</f>
        <v>-</v>
      </c>
    </row>
    <row r="1194" customHeight="1" spans="2:2">
      <c r="B1194" s="62" t="str">
        <f>IF(AND('领用录入（明细）'!D:D=$F$4,'领用录入（明细）'!C:C&gt;=$J$4,'领用录入（明细）'!C:C&lt;=$L$4),ROW(),"-")</f>
        <v>-</v>
      </c>
    </row>
    <row r="1195" customHeight="1" spans="2:2">
      <c r="B1195" s="62" t="str">
        <f>IF(AND('领用录入（明细）'!D:D=$F$4,'领用录入（明细）'!C:C&gt;=$J$4,'领用录入（明细）'!C:C&lt;=$L$4),ROW(),"-")</f>
        <v>-</v>
      </c>
    </row>
    <row r="1196" customHeight="1" spans="2:2">
      <c r="B1196" s="62" t="str">
        <f>IF(AND('领用录入（明细）'!D:D=$F$4,'领用录入（明细）'!C:C&gt;=$J$4,'领用录入（明细）'!C:C&lt;=$L$4),ROW(),"-")</f>
        <v>-</v>
      </c>
    </row>
    <row r="1197" customHeight="1" spans="2:2">
      <c r="B1197" s="62" t="str">
        <f>IF(AND('领用录入（明细）'!D:D=$F$4,'领用录入（明细）'!C:C&gt;=$J$4,'领用录入（明细）'!C:C&lt;=$L$4),ROW(),"-")</f>
        <v>-</v>
      </c>
    </row>
    <row r="1198" customHeight="1" spans="2:2">
      <c r="B1198" s="62" t="str">
        <f>IF(AND('领用录入（明细）'!D:D=$F$4,'领用录入（明细）'!C:C&gt;=$J$4,'领用录入（明细）'!C:C&lt;=$L$4),ROW(),"-")</f>
        <v>-</v>
      </c>
    </row>
    <row r="1199" customHeight="1" spans="2:2">
      <c r="B1199" s="62" t="str">
        <f>IF(AND('领用录入（明细）'!D:D=$F$4,'领用录入（明细）'!C:C&gt;=$J$4,'领用录入（明细）'!C:C&lt;=$L$4),ROW(),"-")</f>
        <v>-</v>
      </c>
    </row>
    <row r="1200" customHeight="1" spans="2:2">
      <c r="B1200" s="62" t="str">
        <f>IF(AND('领用录入（明细）'!D:D=$F$4,'领用录入（明细）'!C:C&gt;=$J$4,'领用录入（明细）'!C:C&lt;=$L$4),ROW(),"-")</f>
        <v>-</v>
      </c>
    </row>
    <row r="1201" customHeight="1" spans="2:2">
      <c r="B1201" s="62" t="str">
        <f>IF(AND('领用录入（明细）'!D:D=$F$4,'领用录入（明细）'!C:C&gt;=$J$4,'领用录入（明细）'!C:C&lt;=$L$4),ROW(),"-")</f>
        <v>-</v>
      </c>
    </row>
    <row r="1202" customHeight="1" spans="2:2">
      <c r="B1202" s="62" t="str">
        <f>IF(AND('领用录入（明细）'!D:D=$F$4,'领用录入（明细）'!C:C&gt;=$J$4,'领用录入（明细）'!C:C&lt;=$L$4),ROW(),"-")</f>
        <v>-</v>
      </c>
    </row>
    <row r="1203" customHeight="1" spans="2:2">
      <c r="B1203" s="62" t="str">
        <f>IF(AND('领用录入（明细）'!D:D=$F$4,'领用录入（明细）'!C:C&gt;=$J$4,'领用录入（明细）'!C:C&lt;=$L$4),ROW(),"-")</f>
        <v>-</v>
      </c>
    </row>
    <row r="1204" customHeight="1" spans="2:2">
      <c r="B1204" s="62" t="str">
        <f>IF(AND('领用录入（明细）'!D:D=$F$4,'领用录入（明细）'!C:C&gt;=$J$4,'领用录入（明细）'!C:C&lt;=$L$4),ROW(),"-")</f>
        <v>-</v>
      </c>
    </row>
    <row r="1205" customHeight="1" spans="2:2">
      <c r="B1205" s="62" t="str">
        <f>IF(AND('领用录入（明细）'!D:D=$F$4,'领用录入（明细）'!C:C&gt;=$J$4,'领用录入（明细）'!C:C&lt;=$L$4),ROW(),"-")</f>
        <v>-</v>
      </c>
    </row>
    <row r="1206" customHeight="1" spans="2:2">
      <c r="B1206" s="62" t="str">
        <f>IF(AND('领用录入（明细）'!D:D=$F$4,'领用录入（明细）'!C:C&gt;=$J$4,'领用录入（明细）'!C:C&lt;=$L$4),ROW(),"-")</f>
        <v>-</v>
      </c>
    </row>
    <row r="1207" customHeight="1" spans="2:2">
      <c r="B1207" s="62" t="str">
        <f>IF(AND('领用录入（明细）'!D:D=$F$4,'领用录入（明细）'!C:C&gt;=$J$4,'领用录入（明细）'!C:C&lt;=$L$4),ROW(),"-")</f>
        <v>-</v>
      </c>
    </row>
    <row r="1208" customHeight="1" spans="2:2">
      <c r="B1208" s="62" t="str">
        <f>IF(AND('领用录入（明细）'!D:D=$F$4,'领用录入（明细）'!C:C&gt;=$J$4,'领用录入（明细）'!C:C&lt;=$L$4),ROW(),"-")</f>
        <v>-</v>
      </c>
    </row>
    <row r="1209" customHeight="1" spans="2:2">
      <c r="B1209" s="62" t="str">
        <f>IF(AND('领用录入（明细）'!D:D=$F$4,'领用录入（明细）'!C:C&gt;=$J$4,'领用录入（明细）'!C:C&lt;=$L$4),ROW(),"-")</f>
        <v>-</v>
      </c>
    </row>
    <row r="1210" customHeight="1" spans="2:2">
      <c r="B1210" s="62" t="str">
        <f>IF(AND('领用录入（明细）'!D:D=$F$4,'领用录入（明细）'!C:C&gt;=$J$4,'领用录入（明细）'!C:C&lt;=$L$4),ROW(),"-")</f>
        <v>-</v>
      </c>
    </row>
    <row r="1211" customHeight="1" spans="2:2">
      <c r="B1211" s="62" t="str">
        <f>IF(AND('领用录入（明细）'!D:D=$F$4,'领用录入（明细）'!C:C&gt;=$J$4,'领用录入（明细）'!C:C&lt;=$L$4),ROW(),"-")</f>
        <v>-</v>
      </c>
    </row>
    <row r="1212" customHeight="1" spans="2:2">
      <c r="B1212" s="62" t="str">
        <f>IF(AND('领用录入（明细）'!D:D=$F$4,'领用录入（明细）'!C:C&gt;=$J$4,'领用录入（明细）'!C:C&lt;=$L$4),ROW(),"-")</f>
        <v>-</v>
      </c>
    </row>
    <row r="1213" customHeight="1" spans="2:2">
      <c r="B1213" s="62" t="str">
        <f>IF(AND('领用录入（明细）'!D:D=$F$4,'领用录入（明细）'!C:C&gt;=$J$4,'领用录入（明细）'!C:C&lt;=$L$4),ROW(),"-")</f>
        <v>-</v>
      </c>
    </row>
    <row r="1214" customHeight="1" spans="2:2">
      <c r="B1214" s="62" t="str">
        <f>IF(AND('领用录入（明细）'!D:D=$F$4,'领用录入（明细）'!C:C&gt;=$J$4,'领用录入（明细）'!C:C&lt;=$L$4),ROW(),"-")</f>
        <v>-</v>
      </c>
    </row>
    <row r="1215" customHeight="1" spans="2:2">
      <c r="B1215" s="62" t="str">
        <f>IF(AND('领用录入（明细）'!D:D=$F$4,'领用录入（明细）'!C:C&gt;=$J$4,'领用录入（明细）'!C:C&lt;=$L$4),ROW(),"-")</f>
        <v>-</v>
      </c>
    </row>
    <row r="1216" customHeight="1" spans="2:2">
      <c r="B1216" s="62" t="str">
        <f>IF(AND('领用录入（明细）'!D:D=$F$4,'领用录入（明细）'!C:C&gt;=$J$4,'领用录入（明细）'!C:C&lt;=$L$4),ROW(),"-")</f>
        <v>-</v>
      </c>
    </row>
    <row r="1217" customHeight="1" spans="2:2">
      <c r="B1217" s="62" t="str">
        <f>IF(AND('领用录入（明细）'!D:D=$F$4,'领用录入（明细）'!C:C&gt;=$J$4,'领用录入（明细）'!C:C&lt;=$L$4),ROW(),"-")</f>
        <v>-</v>
      </c>
    </row>
    <row r="1218" customHeight="1" spans="2:2">
      <c r="B1218" s="62" t="str">
        <f>IF(AND('领用录入（明细）'!D:D=$F$4,'领用录入（明细）'!C:C&gt;=$J$4,'领用录入（明细）'!C:C&lt;=$L$4),ROW(),"-")</f>
        <v>-</v>
      </c>
    </row>
    <row r="1219" customHeight="1" spans="2:2">
      <c r="B1219" s="62" t="str">
        <f>IF(AND('领用录入（明细）'!D:D=$F$4,'领用录入（明细）'!C:C&gt;=$J$4,'领用录入（明细）'!C:C&lt;=$L$4),ROW(),"-")</f>
        <v>-</v>
      </c>
    </row>
    <row r="1220" customHeight="1" spans="2:2">
      <c r="B1220" s="62" t="str">
        <f>IF(AND('领用录入（明细）'!D:D=$F$4,'领用录入（明细）'!C:C&gt;=$J$4,'领用录入（明细）'!C:C&lt;=$L$4),ROW(),"-")</f>
        <v>-</v>
      </c>
    </row>
    <row r="1221" customHeight="1" spans="2:2">
      <c r="B1221" s="62" t="str">
        <f>IF(AND('领用录入（明细）'!D:D=$F$4,'领用录入（明细）'!C:C&gt;=$J$4,'领用录入（明细）'!C:C&lt;=$L$4),ROW(),"-")</f>
        <v>-</v>
      </c>
    </row>
    <row r="1222" customHeight="1" spans="2:2">
      <c r="B1222" s="62" t="str">
        <f>IF(AND('领用录入（明细）'!D:D=$F$4,'领用录入（明细）'!C:C&gt;=$J$4,'领用录入（明细）'!C:C&lt;=$L$4),ROW(),"-")</f>
        <v>-</v>
      </c>
    </row>
    <row r="1223" customHeight="1" spans="2:2">
      <c r="B1223" s="62" t="str">
        <f>IF(AND('领用录入（明细）'!D:D=$F$4,'领用录入（明细）'!C:C&gt;=$J$4,'领用录入（明细）'!C:C&lt;=$L$4),ROW(),"-")</f>
        <v>-</v>
      </c>
    </row>
    <row r="1224" customHeight="1" spans="2:2">
      <c r="B1224" s="62" t="str">
        <f>IF(AND('领用录入（明细）'!D:D=$F$4,'领用录入（明细）'!C:C&gt;=$J$4,'领用录入（明细）'!C:C&lt;=$L$4),ROW(),"-")</f>
        <v>-</v>
      </c>
    </row>
    <row r="1225" customHeight="1" spans="2:2">
      <c r="B1225" s="62" t="str">
        <f>IF(AND('领用录入（明细）'!D:D=$F$4,'领用录入（明细）'!C:C&gt;=$J$4,'领用录入（明细）'!C:C&lt;=$L$4),ROW(),"-")</f>
        <v>-</v>
      </c>
    </row>
    <row r="1226" customHeight="1" spans="2:2">
      <c r="B1226" s="62" t="str">
        <f>IF(AND('领用录入（明细）'!D:D=$F$4,'领用录入（明细）'!C:C&gt;=$J$4,'领用录入（明细）'!C:C&lt;=$L$4),ROW(),"-")</f>
        <v>-</v>
      </c>
    </row>
    <row r="1227" customHeight="1" spans="2:2">
      <c r="B1227" s="62" t="str">
        <f>IF(AND('领用录入（明细）'!D:D=$F$4,'领用录入（明细）'!C:C&gt;=$J$4,'领用录入（明细）'!C:C&lt;=$L$4),ROW(),"-")</f>
        <v>-</v>
      </c>
    </row>
    <row r="1228" customHeight="1" spans="2:2">
      <c r="B1228" s="62" t="str">
        <f>IF(AND('领用录入（明细）'!D:D=$F$4,'领用录入（明细）'!C:C&gt;=$J$4,'领用录入（明细）'!C:C&lt;=$L$4),ROW(),"-")</f>
        <v>-</v>
      </c>
    </row>
    <row r="1229" customHeight="1" spans="2:2">
      <c r="B1229" s="62" t="str">
        <f>IF(AND('领用录入（明细）'!D:D=$F$4,'领用录入（明细）'!C:C&gt;=$J$4,'领用录入（明细）'!C:C&lt;=$L$4),ROW(),"-")</f>
        <v>-</v>
      </c>
    </row>
    <row r="1230" customHeight="1" spans="2:2">
      <c r="B1230" s="62" t="str">
        <f>IF(AND('领用录入（明细）'!D:D=$F$4,'领用录入（明细）'!C:C&gt;=$J$4,'领用录入（明细）'!C:C&lt;=$L$4),ROW(),"-")</f>
        <v>-</v>
      </c>
    </row>
    <row r="1231" customHeight="1" spans="2:2">
      <c r="B1231" s="62" t="str">
        <f>IF(AND('领用录入（明细）'!D:D=$F$4,'领用录入（明细）'!C:C&gt;=$J$4,'领用录入（明细）'!C:C&lt;=$L$4),ROW(),"-")</f>
        <v>-</v>
      </c>
    </row>
    <row r="1232" customHeight="1" spans="2:2">
      <c r="B1232" s="62" t="str">
        <f>IF(AND('领用录入（明细）'!D:D=$F$4,'领用录入（明细）'!C:C&gt;=$J$4,'领用录入（明细）'!C:C&lt;=$L$4),ROW(),"-")</f>
        <v>-</v>
      </c>
    </row>
    <row r="1233" customHeight="1" spans="2:2">
      <c r="B1233" s="62" t="str">
        <f>IF(AND('领用录入（明细）'!D:D=$F$4,'领用录入（明细）'!C:C&gt;=$J$4,'领用录入（明细）'!C:C&lt;=$L$4),ROW(),"-")</f>
        <v>-</v>
      </c>
    </row>
    <row r="1234" customHeight="1" spans="2:2">
      <c r="B1234" s="62" t="str">
        <f>IF(AND('领用录入（明细）'!D:D=$F$4,'领用录入（明细）'!C:C&gt;=$J$4,'领用录入（明细）'!C:C&lt;=$L$4),ROW(),"-")</f>
        <v>-</v>
      </c>
    </row>
    <row r="1235" customHeight="1" spans="2:2">
      <c r="B1235" s="62" t="str">
        <f>IF(AND('领用录入（明细）'!D:D=$F$4,'领用录入（明细）'!C:C&gt;=$J$4,'领用录入（明细）'!C:C&lt;=$L$4),ROW(),"-")</f>
        <v>-</v>
      </c>
    </row>
    <row r="1236" customHeight="1" spans="2:2">
      <c r="B1236" s="62" t="str">
        <f>IF(AND('领用录入（明细）'!D:D=$F$4,'领用录入（明细）'!C:C&gt;=$J$4,'领用录入（明细）'!C:C&lt;=$L$4),ROW(),"-")</f>
        <v>-</v>
      </c>
    </row>
    <row r="1237" customHeight="1" spans="2:2">
      <c r="B1237" s="62" t="str">
        <f>IF(AND('领用录入（明细）'!D:D=$F$4,'领用录入（明细）'!C:C&gt;=$J$4,'领用录入（明细）'!C:C&lt;=$L$4),ROW(),"-")</f>
        <v>-</v>
      </c>
    </row>
    <row r="1238" customHeight="1" spans="2:2">
      <c r="B1238" s="62" t="str">
        <f>IF(AND('领用录入（明细）'!D:D=$F$4,'领用录入（明细）'!C:C&gt;=$J$4,'领用录入（明细）'!C:C&lt;=$L$4),ROW(),"-")</f>
        <v>-</v>
      </c>
    </row>
    <row r="1239" customHeight="1" spans="2:2">
      <c r="B1239" s="62" t="str">
        <f>IF(AND('领用录入（明细）'!D:D=$F$4,'领用录入（明细）'!C:C&gt;=$J$4,'领用录入（明细）'!C:C&lt;=$L$4),ROW(),"-")</f>
        <v>-</v>
      </c>
    </row>
    <row r="1240" customHeight="1" spans="2:2">
      <c r="B1240" s="62" t="str">
        <f>IF(AND('领用录入（明细）'!D:D=$F$4,'领用录入（明细）'!C:C&gt;=$J$4,'领用录入（明细）'!C:C&lt;=$L$4),ROW(),"-")</f>
        <v>-</v>
      </c>
    </row>
    <row r="1241" customHeight="1" spans="2:2">
      <c r="B1241" s="62" t="str">
        <f>IF(AND('领用录入（明细）'!D:D=$F$4,'领用录入（明细）'!C:C&gt;=$J$4,'领用录入（明细）'!C:C&lt;=$L$4),ROW(),"-")</f>
        <v>-</v>
      </c>
    </row>
    <row r="1242" customHeight="1" spans="2:2">
      <c r="B1242" s="62" t="str">
        <f>IF(AND('领用录入（明细）'!D:D=$F$4,'领用录入（明细）'!C:C&gt;=$J$4,'领用录入（明细）'!C:C&lt;=$L$4),ROW(),"-")</f>
        <v>-</v>
      </c>
    </row>
    <row r="1243" customHeight="1" spans="2:2">
      <c r="B1243" s="62" t="str">
        <f>IF(AND('领用录入（明细）'!D:D=$F$4,'领用录入（明细）'!C:C&gt;=$J$4,'领用录入（明细）'!C:C&lt;=$L$4),ROW(),"-")</f>
        <v>-</v>
      </c>
    </row>
    <row r="1244" customHeight="1" spans="2:2">
      <c r="B1244" s="62" t="str">
        <f>IF(AND('领用录入（明细）'!D:D=$F$4,'领用录入（明细）'!C:C&gt;=$J$4,'领用录入（明细）'!C:C&lt;=$L$4),ROW(),"-")</f>
        <v>-</v>
      </c>
    </row>
    <row r="1245" customHeight="1" spans="2:2">
      <c r="B1245" s="62" t="str">
        <f>IF(AND('领用录入（明细）'!D:D=$F$4,'领用录入（明细）'!C:C&gt;=$J$4,'领用录入（明细）'!C:C&lt;=$L$4),ROW(),"-")</f>
        <v>-</v>
      </c>
    </row>
    <row r="1246" customHeight="1" spans="2:2">
      <c r="B1246" s="62" t="str">
        <f>IF(AND('领用录入（明细）'!D:D=$F$4,'领用录入（明细）'!C:C&gt;=$J$4,'领用录入（明细）'!C:C&lt;=$L$4),ROW(),"-")</f>
        <v>-</v>
      </c>
    </row>
    <row r="1247" customHeight="1" spans="2:2">
      <c r="B1247" s="62" t="str">
        <f>IF(AND('领用录入（明细）'!D:D=$F$4,'领用录入（明细）'!C:C&gt;=$J$4,'领用录入（明细）'!C:C&lt;=$L$4),ROW(),"-")</f>
        <v>-</v>
      </c>
    </row>
    <row r="1248" customHeight="1" spans="2:2">
      <c r="B1248" s="62" t="str">
        <f>IF(AND('领用录入（明细）'!D:D=$F$4,'领用录入（明细）'!C:C&gt;=$J$4,'领用录入（明细）'!C:C&lt;=$L$4),ROW(),"-")</f>
        <v>-</v>
      </c>
    </row>
    <row r="1249" customHeight="1" spans="2:2">
      <c r="B1249" s="62" t="str">
        <f>IF(AND('领用录入（明细）'!D:D=$F$4,'领用录入（明细）'!C:C&gt;=$J$4,'领用录入（明细）'!C:C&lt;=$L$4),ROW(),"-")</f>
        <v>-</v>
      </c>
    </row>
    <row r="1250" customHeight="1" spans="2:2">
      <c r="B1250" s="62" t="str">
        <f>IF(AND('领用录入（明细）'!D:D=$F$4,'领用录入（明细）'!C:C&gt;=$J$4,'领用录入（明细）'!C:C&lt;=$L$4),ROW(),"-")</f>
        <v>-</v>
      </c>
    </row>
    <row r="1251" customHeight="1" spans="2:2">
      <c r="B1251" s="62" t="str">
        <f>IF(AND('领用录入（明细）'!D:D=$F$4,'领用录入（明细）'!C:C&gt;=$J$4,'领用录入（明细）'!C:C&lt;=$L$4),ROW(),"-")</f>
        <v>-</v>
      </c>
    </row>
    <row r="1252" customHeight="1" spans="2:2">
      <c r="B1252" s="62" t="str">
        <f>IF(AND('领用录入（明细）'!D:D=$F$4,'领用录入（明细）'!C:C&gt;=$J$4,'领用录入（明细）'!C:C&lt;=$L$4),ROW(),"-")</f>
        <v>-</v>
      </c>
    </row>
    <row r="1253" customHeight="1" spans="2:2">
      <c r="B1253" s="62" t="str">
        <f>IF(AND('领用录入（明细）'!D:D=$F$4,'领用录入（明细）'!C:C&gt;=$J$4,'领用录入（明细）'!C:C&lt;=$L$4),ROW(),"-")</f>
        <v>-</v>
      </c>
    </row>
    <row r="1254" customHeight="1" spans="2:2">
      <c r="B1254" s="62" t="str">
        <f>IF(AND('领用录入（明细）'!D:D=$F$4,'领用录入（明细）'!C:C&gt;=$J$4,'领用录入（明细）'!C:C&lt;=$L$4),ROW(),"-")</f>
        <v>-</v>
      </c>
    </row>
    <row r="1255" customHeight="1" spans="2:2">
      <c r="B1255" s="62" t="str">
        <f>IF(AND('领用录入（明细）'!D:D=$F$4,'领用录入（明细）'!C:C&gt;=$J$4,'领用录入（明细）'!C:C&lt;=$L$4),ROW(),"-")</f>
        <v>-</v>
      </c>
    </row>
    <row r="1256" customHeight="1" spans="2:2">
      <c r="B1256" s="62" t="str">
        <f>IF(AND('领用录入（明细）'!D:D=$F$4,'领用录入（明细）'!C:C&gt;=$J$4,'领用录入（明细）'!C:C&lt;=$L$4),ROW(),"-")</f>
        <v>-</v>
      </c>
    </row>
    <row r="1257" customHeight="1" spans="2:2">
      <c r="B1257" s="62" t="str">
        <f>IF(AND('领用录入（明细）'!D:D=$F$4,'领用录入（明细）'!C:C&gt;=$J$4,'领用录入（明细）'!C:C&lt;=$L$4),ROW(),"-")</f>
        <v>-</v>
      </c>
    </row>
    <row r="1258" customHeight="1" spans="2:2">
      <c r="B1258" s="62" t="str">
        <f>IF(AND('领用录入（明细）'!D:D=$F$4,'领用录入（明细）'!C:C&gt;=$J$4,'领用录入（明细）'!C:C&lt;=$L$4),ROW(),"-")</f>
        <v>-</v>
      </c>
    </row>
    <row r="1259" customHeight="1" spans="2:2">
      <c r="B1259" s="62" t="str">
        <f>IF(AND('领用录入（明细）'!D:D=$F$4,'领用录入（明细）'!C:C&gt;=$J$4,'领用录入（明细）'!C:C&lt;=$L$4),ROW(),"-")</f>
        <v>-</v>
      </c>
    </row>
    <row r="1260" customHeight="1" spans="2:2">
      <c r="B1260" s="62" t="str">
        <f>IF(AND('领用录入（明细）'!D:D=$F$4,'领用录入（明细）'!C:C&gt;=$J$4,'领用录入（明细）'!C:C&lt;=$L$4),ROW(),"-")</f>
        <v>-</v>
      </c>
    </row>
    <row r="1261" customHeight="1" spans="2:2">
      <c r="B1261" s="62" t="str">
        <f>IF(AND('领用录入（明细）'!D:D=$F$4,'领用录入（明细）'!C:C&gt;=$J$4,'领用录入（明细）'!C:C&lt;=$L$4),ROW(),"-")</f>
        <v>-</v>
      </c>
    </row>
    <row r="1262" customHeight="1" spans="2:2">
      <c r="B1262" s="62" t="str">
        <f>IF(AND('领用录入（明细）'!D:D=$F$4,'领用录入（明细）'!C:C&gt;=$J$4,'领用录入（明细）'!C:C&lt;=$L$4),ROW(),"-")</f>
        <v>-</v>
      </c>
    </row>
    <row r="1263" customHeight="1" spans="2:2">
      <c r="B1263" s="62" t="str">
        <f>IF(AND('领用录入（明细）'!D:D=$F$4,'领用录入（明细）'!C:C&gt;=$J$4,'领用录入（明细）'!C:C&lt;=$L$4),ROW(),"-")</f>
        <v>-</v>
      </c>
    </row>
    <row r="1264" customHeight="1" spans="2:2">
      <c r="B1264" s="62" t="str">
        <f>IF(AND('领用录入（明细）'!D:D=$F$4,'领用录入（明细）'!C:C&gt;=$J$4,'领用录入（明细）'!C:C&lt;=$L$4),ROW(),"-")</f>
        <v>-</v>
      </c>
    </row>
    <row r="1265" customHeight="1" spans="2:2">
      <c r="B1265" s="62" t="str">
        <f>IF(AND('领用录入（明细）'!D:D=$F$4,'领用录入（明细）'!C:C&gt;=$J$4,'领用录入（明细）'!C:C&lt;=$L$4),ROW(),"-")</f>
        <v>-</v>
      </c>
    </row>
    <row r="1266" customHeight="1" spans="2:2">
      <c r="B1266" s="62" t="str">
        <f>IF(AND('领用录入（明细）'!D:D=$F$4,'领用录入（明细）'!C:C&gt;=$J$4,'领用录入（明细）'!C:C&lt;=$L$4),ROW(),"-")</f>
        <v>-</v>
      </c>
    </row>
    <row r="1267" customHeight="1" spans="2:2">
      <c r="B1267" s="62" t="str">
        <f>IF(AND('领用录入（明细）'!D:D=$F$4,'领用录入（明细）'!C:C&gt;=$J$4,'领用录入（明细）'!C:C&lt;=$L$4),ROW(),"-")</f>
        <v>-</v>
      </c>
    </row>
    <row r="1268" customHeight="1" spans="2:2">
      <c r="B1268" s="62" t="str">
        <f>IF(AND('领用录入（明细）'!D:D=$F$4,'领用录入（明细）'!C:C&gt;=$J$4,'领用录入（明细）'!C:C&lt;=$L$4),ROW(),"-")</f>
        <v>-</v>
      </c>
    </row>
    <row r="1269" customHeight="1" spans="2:2">
      <c r="B1269" s="62" t="str">
        <f>IF(AND('领用录入（明细）'!D:D=$F$4,'领用录入（明细）'!C:C&gt;=$J$4,'领用录入（明细）'!C:C&lt;=$L$4),ROW(),"-")</f>
        <v>-</v>
      </c>
    </row>
    <row r="1270" customHeight="1" spans="2:2">
      <c r="B1270" s="62" t="str">
        <f>IF(AND('领用录入（明细）'!D:D=$F$4,'领用录入（明细）'!C:C&gt;=$J$4,'领用录入（明细）'!C:C&lt;=$L$4),ROW(),"-")</f>
        <v>-</v>
      </c>
    </row>
    <row r="1271" customHeight="1" spans="2:2">
      <c r="B1271" s="62" t="str">
        <f>IF(AND('领用录入（明细）'!D:D=$F$4,'领用录入（明细）'!C:C&gt;=$J$4,'领用录入（明细）'!C:C&lt;=$L$4),ROW(),"-")</f>
        <v>-</v>
      </c>
    </row>
    <row r="1272" customHeight="1" spans="2:2">
      <c r="B1272" s="62" t="str">
        <f>IF(AND('领用录入（明细）'!D:D=$F$4,'领用录入（明细）'!C:C&gt;=$J$4,'领用录入（明细）'!C:C&lt;=$L$4),ROW(),"-")</f>
        <v>-</v>
      </c>
    </row>
    <row r="1273" customHeight="1" spans="2:2">
      <c r="B1273" s="62" t="str">
        <f>IF(AND('领用录入（明细）'!D:D=$F$4,'领用录入（明细）'!C:C&gt;=$J$4,'领用录入（明细）'!C:C&lt;=$L$4),ROW(),"-")</f>
        <v>-</v>
      </c>
    </row>
    <row r="1274" customHeight="1" spans="2:2">
      <c r="B1274" s="62" t="str">
        <f>IF(AND('领用录入（明细）'!D:D=$F$4,'领用录入（明细）'!C:C&gt;=$J$4,'领用录入（明细）'!C:C&lt;=$L$4),ROW(),"-")</f>
        <v>-</v>
      </c>
    </row>
    <row r="1275" customHeight="1" spans="2:2">
      <c r="B1275" s="62" t="str">
        <f>IF(AND('领用录入（明细）'!D:D=$F$4,'领用录入（明细）'!C:C&gt;=$J$4,'领用录入（明细）'!C:C&lt;=$L$4),ROW(),"-")</f>
        <v>-</v>
      </c>
    </row>
    <row r="1276" customHeight="1" spans="2:2">
      <c r="B1276" s="62" t="str">
        <f>IF(AND('领用录入（明细）'!D:D=$F$4,'领用录入（明细）'!C:C&gt;=$J$4,'领用录入（明细）'!C:C&lt;=$L$4),ROW(),"-")</f>
        <v>-</v>
      </c>
    </row>
    <row r="1277" customHeight="1" spans="2:2">
      <c r="B1277" s="62" t="str">
        <f>IF(AND('领用录入（明细）'!D:D=$F$4,'领用录入（明细）'!C:C&gt;=$J$4,'领用录入（明细）'!C:C&lt;=$L$4),ROW(),"-")</f>
        <v>-</v>
      </c>
    </row>
    <row r="1278" customHeight="1" spans="2:2">
      <c r="B1278" s="62" t="str">
        <f>IF(AND('领用录入（明细）'!D:D=$F$4,'领用录入（明细）'!C:C&gt;=$J$4,'领用录入（明细）'!C:C&lt;=$L$4),ROW(),"-")</f>
        <v>-</v>
      </c>
    </row>
    <row r="1279" customHeight="1" spans="2:2">
      <c r="B1279" s="62" t="str">
        <f>IF(AND('领用录入（明细）'!D:D=$F$4,'领用录入（明细）'!C:C&gt;=$J$4,'领用录入（明细）'!C:C&lt;=$L$4),ROW(),"-")</f>
        <v>-</v>
      </c>
    </row>
    <row r="1280" customHeight="1" spans="2:2">
      <c r="B1280" s="62" t="str">
        <f>IF(AND('领用录入（明细）'!D:D=$F$4,'领用录入（明细）'!C:C&gt;=$J$4,'领用录入（明细）'!C:C&lt;=$L$4),ROW(),"-")</f>
        <v>-</v>
      </c>
    </row>
    <row r="1281" customHeight="1" spans="2:2">
      <c r="B1281" s="62" t="str">
        <f>IF(AND('领用录入（明细）'!D:D=$F$4,'领用录入（明细）'!C:C&gt;=$J$4,'领用录入（明细）'!C:C&lt;=$L$4),ROW(),"-")</f>
        <v>-</v>
      </c>
    </row>
    <row r="1282" customHeight="1" spans="2:2">
      <c r="B1282" s="62" t="str">
        <f>IF(AND('领用录入（明细）'!D:D=$F$4,'领用录入（明细）'!C:C&gt;=$J$4,'领用录入（明细）'!C:C&lt;=$L$4),ROW(),"-")</f>
        <v>-</v>
      </c>
    </row>
    <row r="1283" customHeight="1" spans="2:2">
      <c r="B1283" s="62" t="str">
        <f>IF(AND('领用录入（明细）'!D:D=$F$4,'领用录入（明细）'!C:C&gt;=$J$4,'领用录入（明细）'!C:C&lt;=$L$4),ROW(),"-")</f>
        <v>-</v>
      </c>
    </row>
    <row r="1284" customHeight="1" spans="2:2">
      <c r="B1284" s="62" t="str">
        <f>IF(AND('领用录入（明细）'!D:D=$F$4,'领用录入（明细）'!C:C&gt;=$J$4,'领用录入（明细）'!C:C&lt;=$L$4),ROW(),"-")</f>
        <v>-</v>
      </c>
    </row>
    <row r="1285" customHeight="1" spans="2:2">
      <c r="B1285" s="62" t="str">
        <f>IF(AND('领用录入（明细）'!D:D=$F$4,'领用录入（明细）'!C:C&gt;=$J$4,'领用录入（明细）'!C:C&lt;=$L$4),ROW(),"-")</f>
        <v>-</v>
      </c>
    </row>
    <row r="1286" customHeight="1" spans="2:2">
      <c r="B1286" s="62" t="str">
        <f>IF(AND('领用录入（明细）'!D:D=$F$4,'领用录入（明细）'!C:C&gt;=$J$4,'领用录入（明细）'!C:C&lt;=$L$4),ROW(),"-")</f>
        <v>-</v>
      </c>
    </row>
    <row r="1287" customHeight="1" spans="2:2">
      <c r="B1287" s="62" t="str">
        <f>IF(AND('领用录入（明细）'!D:D=$F$4,'领用录入（明细）'!C:C&gt;=$J$4,'领用录入（明细）'!C:C&lt;=$L$4),ROW(),"-")</f>
        <v>-</v>
      </c>
    </row>
    <row r="1288" customHeight="1" spans="2:2">
      <c r="B1288" s="62" t="str">
        <f>IF(AND('领用录入（明细）'!D:D=$F$4,'领用录入（明细）'!C:C&gt;=$J$4,'领用录入（明细）'!C:C&lt;=$L$4),ROW(),"-")</f>
        <v>-</v>
      </c>
    </row>
    <row r="1289" customHeight="1" spans="2:2">
      <c r="B1289" s="62" t="str">
        <f>IF(AND('领用录入（明细）'!D:D=$F$4,'领用录入（明细）'!C:C&gt;=$J$4,'领用录入（明细）'!C:C&lt;=$L$4),ROW(),"-")</f>
        <v>-</v>
      </c>
    </row>
    <row r="1290" customHeight="1" spans="2:2">
      <c r="B1290" s="62" t="str">
        <f>IF(AND('领用录入（明细）'!D:D=$F$4,'领用录入（明细）'!C:C&gt;=$J$4,'领用录入（明细）'!C:C&lt;=$L$4),ROW(),"-")</f>
        <v>-</v>
      </c>
    </row>
    <row r="1291" customHeight="1" spans="2:2">
      <c r="B1291" s="62" t="str">
        <f>IF(AND('领用录入（明细）'!D:D=$F$4,'领用录入（明细）'!C:C&gt;=$J$4,'领用录入（明细）'!C:C&lt;=$L$4),ROW(),"-")</f>
        <v>-</v>
      </c>
    </row>
    <row r="1292" customHeight="1" spans="2:2">
      <c r="B1292" s="62" t="str">
        <f>IF(AND('领用录入（明细）'!D:D=$F$4,'领用录入（明细）'!C:C&gt;=$J$4,'领用录入（明细）'!C:C&lt;=$L$4),ROW(),"-")</f>
        <v>-</v>
      </c>
    </row>
    <row r="1293" customHeight="1" spans="2:2">
      <c r="B1293" s="62" t="str">
        <f>IF(AND('领用录入（明细）'!D:D=$F$4,'领用录入（明细）'!C:C&gt;=$J$4,'领用录入（明细）'!C:C&lt;=$L$4),ROW(),"-")</f>
        <v>-</v>
      </c>
    </row>
    <row r="1294" customHeight="1" spans="2:2">
      <c r="B1294" s="62" t="str">
        <f>IF(AND('领用录入（明细）'!D:D=$F$4,'领用录入（明细）'!C:C&gt;=$J$4,'领用录入（明细）'!C:C&lt;=$L$4),ROW(),"-")</f>
        <v>-</v>
      </c>
    </row>
    <row r="1295" customHeight="1" spans="2:2">
      <c r="B1295" s="62" t="str">
        <f>IF(AND('领用录入（明细）'!D:D=$F$4,'领用录入（明细）'!C:C&gt;=$J$4,'领用录入（明细）'!C:C&lt;=$L$4),ROW(),"-")</f>
        <v>-</v>
      </c>
    </row>
    <row r="1296" customHeight="1" spans="2:2">
      <c r="B1296" s="62" t="str">
        <f>IF(AND('领用录入（明细）'!D:D=$F$4,'领用录入（明细）'!C:C&gt;=$J$4,'领用录入（明细）'!C:C&lt;=$L$4),ROW(),"-")</f>
        <v>-</v>
      </c>
    </row>
    <row r="1297" customHeight="1" spans="2:2">
      <c r="B1297" s="62" t="str">
        <f>IF(AND('领用录入（明细）'!D:D=$F$4,'领用录入（明细）'!C:C&gt;=$J$4,'领用录入（明细）'!C:C&lt;=$L$4),ROW(),"-")</f>
        <v>-</v>
      </c>
    </row>
    <row r="1298" customHeight="1" spans="2:2">
      <c r="B1298" s="62" t="str">
        <f>IF(AND('领用录入（明细）'!D:D=$F$4,'领用录入（明细）'!C:C&gt;=$J$4,'领用录入（明细）'!C:C&lt;=$L$4),ROW(),"-")</f>
        <v>-</v>
      </c>
    </row>
    <row r="1299" customHeight="1" spans="2:2">
      <c r="B1299" s="62" t="str">
        <f>IF(AND('领用录入（明细）'!D:D=$F$4,'领用录入（明细）'!C:C&gt;=$J$4,'领用录入（明细）'!C:C&lt;=$L$4),ROW(),"-")</f>
        <v>-</v>
      </c>
    </row>
    <row r="1300" customHeight="1" spans="2:2">
      <c r="B1300" s="62" t="str">
        <f>IF(AND('领用录入（明细）'!D:D=$F$4,'领用录入（明细）'!C:C&gt;=$J$4,'领用录入（明细）'!C:C&lt;=$L$4),ROW(),"-")</f>
        <v>-</v>
      </c>
    </row>
    <row r="1301" customHeight="1" spans="2:2">
      <c r="B1301" s="62" t="str">
        <f>IF(AND('领用录入（明细）'!D:D=$F$4,'领用录入（明细）'!C:C&gt;=$J$4,'领用录入（明细）'!C:C&lt;=$L$4),ROW(),"-")</f>
        <v>-</v>
      </c>
    </row>
    <row r="1302" customHeight="1" spans="2:2">
      <c r="B1302" s="62" t="str">
        <f>IF(AND('领用录入（明细）'!D:D=$F$4,'领用录入（明细）'!C:C&gt;=$J$4,'领用录入（明细）'!C:C&lt;=$L$4),ROW(),"-")</f>
        <v>-</v>
      </c>
    </row>
    <row r="1303" customHeight="1" spans="2:2">
      <c r="B1303" s="62" t="str">
        <f>IF(AND('领用录入（明细）'!D:D=$F$4,'领用录入（明细）'!C:C&gt;=$J$4,'领用录入（明细）'!C:C&lt;=$L$4),ROW(),"-")</f>
        <v>-</v>
      </c>
    </row>
    <row r="1304" customHeight="1" spans="2:2">
      <c r="B1304" s="62" t="str">
        <f>IF(AND('领用录入（明细）'!D:D=$F$4,'领用录入（明细）'!C:C&gt;=$J$4,'领用录入（明细）'!C:C&lt;=$L$4),ROW(),"-")</f>
        <v>-</v>
      </c>
    </row>
    <row r="1305" customHeight="1" spans="2:2">
      <c r="B1305" s="62" t="str">
        <f>IF(AND('领用录入（明细）'!D:D=$F$4,'领用录入（明细）'!C:C&gt;=$J$4,'领用录入（明细）'!C:C&lt;=$L$4),ROW(),"-")</f>
        <v>-</v>
      </c>
    </row>
    <row r="1306" customHeight="1" spans="2:2">
      <c r="B1306" s="62" t="str">
        <f>IF(AND('领用录入（明细）'!D:D=$F$4,'领用录入（明细）'!C:C&gt;=$J$4,'领用录入（明细）'!C:C&lt;=$L$4),ROW(),"-")</f>
        <v>-</v>
      </c>
    </row>
    <row r="1307" customHeight="1" spans="2:2">
      <c r="B1307" s="62" t="str">
        <f>IF(AND('领用录入（明细）'!D:D=$F$4,'领用录入（明细）'!C:C&gt;=$J$4,'领用录入（明细）'!C:C&lt;=$L$4),ROW(),"-")</f>
        <v>-</v>
      </c>
    </row>
    <row r="1308" customHeight="1" spans="2:2">
      <c r="B1308" s="62" t="str">
        <f>IF(AND('领用录入（明细）'!D:D=$F$4,'领用录入（明细）'!C:C&gt;=$J$4,'领用录入（明细）'!C:C&lt;=$L$4),ROW(),"-")</f>
        <v>-</v>
      </c>
    </row>
    <row r="1309" customHeight="1" spans="2:2">
      <c r="B1309" s="62" t="str">
        <f>IF(AND('领用录入（明细）'!D:D=$F$4,'领用录入（明细）'!C:C&gt;=$J$4,'领用录入（明细）'!C:C&lt;=$L$4),ROW(),"-")</f>
        <v>-</v>
      </c>
    </row>
    <row r="1310" customHeight="1" spans="2:2">
      <c r="B1310" s="62" t="str">
        <f>IF(AND('领用录入（明细）'!D:D=$F$4,'领用录入（明细）'!C:C&gt;=$J$4,'领用录入（明细）'!C:C&lt;=$L$4),ROW(),"-")</f>
        <v>-</v>
      </c>
    </row>
    <row r="1311" customHeight="1" spans="2:2">
      <c r="B1311" s="62" t="str">
        <f>IF(AND('领用录入（明细）'!D:D=$F$4,'领用录入（明细）'!C:C&gt;=$J$4,'领用录入（明细）'!C:C&lt;=$L$4),ROW(),"-")</f>
        <v>-</v>
      </c>
    </row>
    <row r="1312" customHeight="1" spans="2:2">
      <c r="B1312" s="62" t="str">
        <f>IF(AND('领用录入（明细）'!D:D=$F$4,'领用录入（明细）'!C:C&gt;=$J$4,'领用录入（明细）'!C:C&lt;=$L$4),ROW(),"-")</f>
        <v>-</v>
      </c>
    </row>
    <row r="1313" customHeight="1" spans="2:2">
      <c r="B1313" s="62" t="str">
        <f>IF(AND('领用录入（明细）'!D:D=$F$4,'领用录入（明细）'!C:C&gt;=$J$4,'领用录入（明细）'!C:C&lt;=$L$4),ROW(),"-")</f>
        <v>-</v>
      </c>
    </row>
    <row r="1314" customHeight="1" spans="2:2">
      <c r="B1314" s="62" t="str">
        <f>IF(AND('领用录入（明细）'!D:D=$F$4,'领用录入（明细）'!C:C&gt;=$J$4,'领用录入（明细）'!C:C&lt;=$L$4),ROW(),"-")</f>
        <v>-</v>
      </c>
    </row>
    <row r="1315" customHeight="1" spans="2:2">
      <c r="B1315" s="62" t="str">
        <f>IF(AND('领用录入（明细）'!D:D=$F$4,'领用录入（明细）'!C:C&gt;=$J$4,'领用录入（明细）'!C:C&lt;=$L$4),ROW(),"-")</f>
        <v>-</v>
      </c>
    </row>
    <row r="1316" customHeight="1" spans="2:2">
      <c r="B1316" s="62" t="str">
        <f>IF(AND('领用录入（明细）'!D:D=$F$4,'领用录入（明细）'!C:C&gt;=$J$4,'领用录入（明细）'!C:C&lt;=$L$4),ROW(),"-")</f>
        <v>-</v>
      </c>
    </row>
    <row r="1317" customHeight="1" spans="2:2">
      <c r="B1317" s="62" t="str">
        <f>IF(AND('领用录入（明细）'!D:D=$F$4,'领用录入（明细）'!C:C&gt;=$J$4,'领用录入（明细）'!C:C&lt;=$L$4),ROW(),"-")</f>
        <v>-</v>
      </c>
    </row>
    <row r="1318" customHeight="1" spans="2:2">
      <c r="B1318" s="62" t="str">
        <f>IF(AND('领用录入（明细）'!D:D=$F$4,'领用录入（明细）'!C:C&gt;=$J$4,'领用录入（明细）'!C:C&lt;=$L$4),ROW(),"-")</f>
        <v>-</v>
      </c>
    </row>
    <row r="1319" customHeight="1" spans="2:2">
      <c r="B1319" s="62" t="str">
        <f>IF(AND('领用录入（明细）'!D:D=$F$4,'领用录入（明细）'!C:C&gt;=$J$4,'领用录入（明细）'!C:C&lt;=$L$4),ROW(),"-")</f>
        <v>-</v>
      </c>
    </row>
    <row r="1320" customHeight="1" spans="2:2">
      <c r="B1320" s="62" t="str">
        <f>IF(AND('领用录入（明细）'!D:D=$F$4,'领用录入（明细）'!C:C&gt;=$J$4,'领用录入（明细）'!C:C&lt;=$L$4),ROW(),"-")</f>
        <v>-</v>
      </c>
    </row>
    <row r="1321" customHeight="1" spans="2:2">
      <c r="B1321" s="62" t="str">
        <f>IF(AND('领用录入（明细）'!D:D=$F$4,'领用录入（明细）'!C:C&gt;=$J$4,'领用录入（明细）'!C:C&lt;=$L$4),ROW(),"-")</f>
        <v>-</v>
      </c>
    </row>
    <row r="1322" customHeight="1" spans="2:2">
      <c r="B1322" s="62" t="str">
        <f>IF(AND('领用录入（明细）'!D:D=$F$4,'领用录入（明细）'!C:C&gt;=$J$4,'领用录入（明细）'!C:C&lt;=$L$4),ROW(),"-")</f>
        <v>-</v>
      </c>
    </row>
    <row r="1323" customHeight="1" spans="2:2">
      <c r="B1323" s="62" t="str">
        <f>IF(AND('领用录入（明细）'!D:D=$F$4,'领用录入（明细）'!C:C&gt;=$J$4,'领用录入（明细）'!C:C&lt;=$L$4),ROW(),"-")</f>
        <v>-</v>
      </c>
    </row>
    <row r="1324" customHeight="1" spans="2:2">
      <c r="B1324" s="62" t="str">
        <f>IF(AND('领用录入（明细）'!D:D=$F$4,'领用录入（明细）'!C:C&gt;=$J$4,'领用录入（明细）'!C:C&lt;=$L$4),ROW(),"-")</f>
        <v>-</v>
      </c>
    </row>
    <row r="1325" customHeight="1" spans="2:2">
      <c r="B1325" s="62" t="str">
        <f>IF(AND('领用录入（明细）'!D:D=$F$4,'领用录入（明细）'!C:C&gt;=$J$4,'领用录入（明细）'!C:C&lt;=$L$4),ROW(),"-")</f>
        <v>-</v>
      </c>
    </row>
    <row r="1326" customHeight="1" spans="2:2">
      <c r="B1326" s="62" t="str">
        <f>IF(AND('领用录入（明细）'!D:D=$F$4,'领用录入（明细）'!C:C&gt;=$J$4,'领用录入（明细）'!C:C&lt;=$L$4),ROW(),"-")</f>
        <v>-</v>
      </c>
    </row>
    <row r="1327" customHeight="1" spans="2:2">
      <c r="B1327" s="62" t="str">
        <f>IF(AND('领用录入（明细）'!D:D=$F$4,'领用录入（明细）'!C:C&gt;=$J$4,'领用录入（明细）'!C:C&lt;=$L$4),ROW(),"-")</f>
        <v>-</v>
      </c>
    </row>
    <row r="1328" customHeight="1" spans="2:2">
      <c r="B1328" s="62" t="str">
        <f>IF(AND('领用录入（明细）'!D:D=$F$4,'领用录入（明细）'!C:C&gt;=$J$4,'领用录入（明细）'!C:C&lt;=$L$4),ROW(),"-")</f>
        <v>-</v>
      </c>
    </row>
    <row r="1329" customHeight="1" spans="2:2">
      <c r="B1329" s="62" t="str">
        <f>IF(AND('领用录入（明细）'!D:D=$F$4,'领用录入（明细）'!C:C&gt;=$J$4,'领用录入（明细）'!C:C&lt;=$L$4),ROW(),"-")</f>
        <v>-</v>
      </c>
    </row>
    <row r="1330" customHeight="1" spans="2:2">
      <c r="B1330" s="62" t="str">
        <f>IF(AND('领用录入（明细）'!D:D=$F$4,'领用录入（明细）'!C:C&gt;=$J$4,'领用录入（明细）'!C:C&lt;=$L$4),ROW(),"-")</f>
        <v>-</v>
      </c>
    </row>
    <row r="1331" customHeight="1" spans="2:2">
      <c r="B1331" s="62" t="str">
        <f>IF(AND('领用录入（明细）'!D:D=$F$4,'领用录入（明细）'!C:C&gt;=$J$4,'领用录入（明细）'!C:C&lt;=$L$4),ROW(),"-")</f>
        <v>-</v>
      </c>
    </row>
    <row r="1332" customHeight="1" spans="2:2">
      <c r="B1332" s="62" t="str">
        <f>IF(AND('领用录入（明细）'!D:D=$F$4,'领用录入（明细）'!C:C&gt;=$J$4,'领用录入（明细）'!C:C&lt;=$L$4),ROW(),"-")</f>
        <v>-</v>
      </c>
    </row>
    <row r="1333" customHeight="1" spans="2:2">
      <c r="B1333" s="62" t="str">
        <f>IF(AND('领用录入（明细）'!D:D=$F$4,'领用录入（明细）'!C:C&gt;=$J$4,'领用录入（明细）'!C:C&lt;=$L$4),ROW(),"-")</f>
        <v>-</v>
      </c>
    </row>
    <row r="1334" customHeight="1" spans="2:2">
      <c r="B1334" s="62" t="str">
        <f>IF(AND('领用录入（明细）'!D:D=$F$4,'领用录入（明细）'!C:C&gt;=$J$4,'领用录入（明细）'!C:C&lt;=$L$4),ROW(),"-")</f>
        <v>-</v>
      </c>
    </row>
    <row r="1335" customHeight="1" spans="2:2">
      <c r="B1335" s="62" t="str">
        <f>IF(AND('领用录入（明细）'!D:D=$F$4,'领用录入（明细）'!C:C&gt;=$J$4,'领用录入（明细）'!C:C&lt;=$L$4),ROW(),"-")</f>
        <v>-</v>
      </c>
    </row>
    <row r="1336" customHeight="1" spans="2:2">
      <c r="B1336" s="62" t="str">
        <f>IF(AND('领用录入（明细）'!D:D=$F$4,'领用录入（明细）'!C:C&gt;=$J$4,'领用录入（明细）'!C:C&lt;=$L$4),ROW(),"-")</f>
        <v>-</v>
      </c>
    </row>
    <row r="1337" customHeight="1" spans="2:2">
      <c r="B1337" s="62" t="str">
        <f>IF(AND('领用录入（明细）'!D:D=$F$4,'领用录入（明细）'!C:C&gt;=$J$4,'领用录入（明细）'!C:C&lt;=$L$4),ROW(),"-")</f>
        <v>-</v>
      </c>
    </row>
    <row r="1338" customHeight="1" spans="2:2">
      <c r="B1338" s="62" t="str">
        <f>IF(AND('领用录入（明细）'!D:D=$F$4,'领用录入（明细）'!C:C&gt;=$J$4,'领用录入（明细）'!C:C&lt;=$L$4),ROW(),"-")</f>
        <v>-</v>
      </c>
    </row>
    <row r="1339" customHeight="1" spans="2:2">
      <c r="B1339" s="62" t="str">
        <f>IF(AND('领用录入（明细）'!D:D=$F$4,'领用录入（明细）'!C:C&gt;=$J$4,'领用录入（明细）'!C:C&lt;=$L$4),ROW(),"-")</f>
        <v>-</v>
      </c>
    </row>
    <row r="1340" customHeight="1" spans="2:2">
      <c r="B1340" s="62" t="str">
        <f>IF(AND('领用录入（明细）'!D:D=$F$4,'领用录入（明细）'!C:C&gt;=$J$4,'领用录入（明细）'!C:C&lt;=$L$4),ROW(),"-")</f>
        <v>-</v>
      </c>
    </row>
    <row r="1341" customHeight="1" spans="2:2">
      <c r="B1341" s="62" t="str">
        <f>IF(AND('领用录入（明细）'!D:D=$F$4,'领用录入（明细）'!C:C&gt;=$J$4,'领用录入（明细）'!C:C&lt;=$L$4),ROW(),"-")</f>
        <v>-</v>
      </c>
    </row>
    <row r="1342" customHeight="1" spans="2:2">
      <c r="B1342" s="62" t="str">
        <f>IF(AND('领用录入（明细）'!D:D=$F$4,'领用录入（明细）'!C:C&gt;=$J$4,'领用录入（明细）'!C:C&lt;=$L$4),ROW(),"-")</f>
        <v>-</v>
      </c>
    </row>
    <row r="1343" customHeight="1" spans="2:2">
      <c r="B1343" s="62" t="str">
        <f>IF(AND('领用录入（明细）'!D:D=$F$4,'领用录入（明细）'!C:C&gt;=$J$4,'领用录入（明细）'!C:C&lt;=$L$4),ROW(),"-")</f>
        <v>-</v>
      </c>
    </row>
    <row r="1344" customHeight="1" spans="2:2">
      <c r="B1344" s="62" t="str">
        <f>IF(AND('领用录入（明细）'!D:D=$F$4,'领用录入（明细）'!C:C&gt;=$J$4,'领用录入（明细）'!C:C&lt;=$L$4),ROW(),"-")</f>
        <v>-</v>
      </c>
    </row>
    <row r="1345" customHeight="1" spans="2:2">
      <c r="B1345" s="62" t="str">
        <f>IF(AND('领用录入（明细）'!D:D=$F$4,'领用录入（明细）'!C:C&gt;=$J$4,'领用录入（明细）'!C:C&lt;=$L$4),ROW(),"-")</f>
        <v>-</v>
      </c>
    </row>
    <row r="1346" customHeight="1" spans="2:2">
      <c r="B1346" s="62" t="str">
        <f>IF(AND('领用录入（明细）'!D:D=$F$4,'领用录入（明细）'!C:C&gt;=$J$4,'领用录入（明细）'!C:C&lt;=$L$4),ROW(),"-")</f>
        <v>-</v>
      </c>
    </row>
    <row r="1347" customHeight="1" spans="2:2">
      <c r="B1347" s="62" t="str">
        <f>IF(AND('领用录入（明细）'!D:D=$F$4,'领用录入（明细）'!C:C&gt;=$J$4,'领用录入（明细）'!C:C&lt;=$L$4),ROW(),"-")</f>
        <v>-</v>
      </c>
    </row>
    <row r="1348" customHeight="1" spans="2:2">
      <c r="B1348" s="62" t="str">
        <f>IF(AND('领用录入（明细）'!D:D=$F$4,'领用录入（明细）'!C:C&gt;=$J$4,'领用录入（明细）'!C:C&lt;=$L$4),ROW(),"-")</f>
        <v>-</v>
      </c>
    </row>
    <row r="1349" customHeight="1" spans="2:2">
      <c r="B1349" s="62" t="str">
        <f>IF(AND('领用录入（明细）'!D:D=$F$4,'领用录入（明细）'!C:C&gt;=$J$4,'领用录入（明细）'!C:C&lt;=$L$4),ROW(),"-")</f>
        <v>-</v>
      </c>
    </row>
    <row r="1350" customHeight="1" spans="2:2">
      <c r="B1350" s="62" t="str">
        <f>IF(AND('领用录入（明细）'!D:D=$F$4,'领用录入（明细）'!C:C&gt;=$J$4,'领用录入（明细）'!C:C&lt;=$L$4),ROW(),"-")</f>
        <v>-</v>
      </c>
    </row>
    <row r="1351" customHeight="1" spans="2:2">
      <c r="B1351" s="62" t="str">
        <f>IF(AND('领用录入（明细）'!D:D=$F$4,'领用录入（明细）'!C:C&gt;=$J$4,'领用录入（明细）'!C:C&lt;=$L$4),ROW(),"-")</f>
        <v>-</v>
      </c>
    </row>
    <row r="1352" customHeight="1" spans="2:2">
      <c r="B1352" s="62" t="str">
        <f>IF(AND('领用录入（明细）'!D:D=$F$4,'领用录入（明细）'!C:C&gt;=$J$4,'领用录入（明细）'!C:C&lt;=$L$4),ROW(),"-")</f>
        <v>-</v>
      </c>
    </row>
    <row r="1353" customHeight="1" spans="2:2">
      <c r="B1353" s="62" t="str">
        <f>IF(AND('领用录入（明细）'!D:D=$F$4,'领用录入（明细）'!C:C&gt;=$J$4,'领用录入（明细）'!C:C&lt;=$L$4),ROW(),"-")</f>
        <v>-</v>
      </c>
    </row>
    <row r="1354" customHeight="1" spans="2:2">
      <c r="B1354" s="62" t="str">
        <f>IF(AND('领用录入（明细）'!D:D=$F$4,'领用录入（明细）'!C:C&gt;=$J$4,'领用录入（明细）'!C:C&lt;=$L$4),ROW(),"-")</f>
        <v>-</v>
      </c>
    </row>
    <row r="1355" customHeight="1" spans="2:2">
      <c r="B1355" s="62" t="str">
        <f>IF(AND('领用录入（明细）'!D:D=$F$4,'领用录入（明细）'!C:C&gt;=$J$4,'领用录入（明细）'!C:C&lt;=$L$4),ROW(),"-")</f>
        <v>-</v>
      </c>
    </row>
    <row r="1356" customHeight="1" spans="2:2">
      <c r="B1356" s="62" t="str">
        <f>IF(AND('领用录入（明细）'!D:D=$F$4,'领用录入（明细）'!C:C&gt;=$J$4,'领用录入（明细）'!C:C&lt;=$L$4),ROW(),"-")</f>
        <v>-</v>
      </c>
    </row>
    <row r="1357" customHeight="1" spans="2:2">
      <c r="B1357" s="62" t="str">
        <f>IF(AND('领用录入（明细）'!D:D=$F$4,'领用录入（明细）'!C:C&gt;=$J$4,'领用录入（明细）'!C:C&lt;=$L$4),ROW(),"-")</f>
        <v>-</v>
      </c>
    </row>
    <row r="1358" customHeight="1" spans="2:2">
      <c r="B1358" s="62" t="str">
        <f>IF(AND('领用录入（明细）'!D:D=$F$4,'领用录入（明细）'!C:C&gt;=$J$4,'领用录入（明细）'!C:C&lt;=$L$4),ROW(),"-")</f>
        <v>-</v>
      </c>
    </row>
    <row r="1359" customHeight="1" spans="2:2">
      <c r="B1359" s="62" t="str">
        <f>IF(AND('领用录入（明细）'!D:D=$F$4,'领用录入（明细）'!C:C&gt;=$J$4,'领用录入（明细）'!C:C&lt;=$L$4),ROW(),"-")</f>
        <v>-</v>
      </c>
    </row>
    <row r="1360" customHeight="1" spans="2:2">
      <c r="B1360" s="62" t="str">
        <f>IF(AND('领用录入（明细）'!D:D=$F$4,'领用录入（明细）'!C:C&gt;=$J$4,'领用录入（明细）'!C:C&lt;=$L$4),ROW(),"-")</f>
        <v>-</v>
      </c>
    </row>
    <row r="1361" customHeight="1" spans="2:2">
      <c r="B1361" s="62" t="str">
        <f>IF(AND('领用录入（明细）'!D:D=$F$4,'领用录入（明细）'!C:C&gt;=$J$4,'领用录入（明细）'!C:C&lt;=$L$4),ROW(),"-")</f>
        <v>-</v>
      </c>
    </row>
    <row r="1362" customHeight="1" spans="2:2">
      <c r="B1362" s="62" t="str">
        <f>IF(AND('领用录入（明细）'!D:D=$F$4,'领用录入（明细）'!C:C&gt;=$J$4,'领用录入（明细）'!C:C&lt;=$L$4),ROW(),"-")</f>
        <v>-</v>
      </c>
    </row>
    <row r="1363" customHeight="1" spans="2:2">
      <c r="B1363" s="62" t="str">
        <f>IF(AND('领用录入（明细）'!D:D=$F$4,'领用录入（明细）'!C:C&gt;=$J$4,'领用录入（明细）'!C:C&lt;=$L$4),ROW(),"-")</f>
        <v>-</v>
      </c>
    </row>
    <row r="1364" customHeight="1" spans="2:2">
      <c r="B1364" s="62" t="str">
        <f>IF(AND('领用录入（明细）'!D:D=$F$4,'领用录入（明细）'!C:C&gt;=$J$4,'领用录入（明细）'!C:C&lt;=$L$4),ROW(),"-")</f>
        <v>-</v>
      </c>
    </row>
    <row r="1365" customHeight="1" spans="2:2">
      <c r="B1365" s="62" t="str">
        <f>IF(AND('领用录入（明细）'!D:D=$F$4,'领用录入（明细）'!C:C&gt;=$J$4,'领用录入（明细）'!C:C&lt;=$L$4),ROW(),"-")</f>
        <v>-</v>
      </c>
    </row>
    <row r="1366" customHeight="1" spans="2:2">
      <c r="B1366" s="62" t="str">
        <f>IF(AND('领用录入（明细）'!D:D=$F$4,'领用录入（明细）'!C:C&gt;=$J$4,'领用录入（明细）'!C:C&lt;=$L$4),ROW(),"-")</f>
        <v>-</v>
      </c>
    </row>
    <row r="1367" customHeight="1" spans="2:2">
      <c r="B1367" s="62" t="str">
        <f>IF(AND('领用录入（明细）'!D:D=$F$4,'领用录入（明细）'!C:C&gt;=$J$4,'领用录入（明细）'!C:C&lt;=$L$4),ROW(),"-")</f>
        <v>-</v>
      </c>
    </row>
    <row r="1368" customHeight="1" spans="2:2">
      <c r="B1368" s="62" t="str">
        <f>IF(AND('领用录入（明细）'!D:D=$F$4,'领用录入（明细）'!C:C&gt;=$J$4,'领用录入（明细）'!C:C&lt;=$L$4),ROW(),"-")</f>
        <v>-</v>
      </c>
    </row>
    <row r="1369" customHeight="1" spans="2:2">
      <c r="B1369" s="62" t="str">
        <f>IF(AND('领用录入（明细）'!D:D=$F$4,'领用录入（明细）'!C:C&gt;=$J$4,'领用录入（明细）'!C:C&lt;=$L$4),ROW(),"-")</f>
        <v>-</v>
      </c>
    </row>
    <row r="1370" customHeight="1" spans="2:2">
      <c r="B1370" s="62" t="str">
        <f>IF(AND('领用录入（明细）'!D:D=$F$4,'领用录入（明细）'!C:C&gt;=$J$4,'领用录入（明细）'!C:C&lt;=$L$4),ROW(),"-")</f>
        <v>-</v>
      </c>
    </row>
    <row r="1371" customHeight="1" spans="2:2">
      <c r="B1371" s="62" t="str">
        <f>IF(AND('领用录入（明细）'!D:D=$F$4,'领用录入（明细）'!C:C&gt;=$J$4,'领用录入（明细）'!C:C&lt;=$L$4),ROW(),"-")</f>
        <v>-</v>
      </c>
    </row>
    <row r="1372" customHeight="1" spans="2:2">
      <c r="B1372" s="62" t="str">
        <f>IF(AND('领用录入（明细）'!D:D=$F$4,'领用录入（明细）'!C:C&gt;=$J$4,'领用录入（明细）'!C:C&lt;=$L$4),ROW(),"-")</f>
        <v>-</v>
      </c>
    </row>
    <row r="1373" customHeight="1" spans="2:2">
      <c r="B1373" s="62" t="str">
        <f>IF(AND('领用录入（明细）'!D:D=$F$4,'领用录入（明细）'!C:C&gt;=$J$4,'领用录入（明细）'!C:C&lt;=$L$4),ROW(),"-")</f>
        <v>-</v>
      </c>
    </row>
    <row r="1374" customHeight="1" spans="2:2">
      <c r="B1374" s="62" t="str">
        <f>IF(AND('领用录入（明细）'!D:D=$F$4,'领用录入（明细）'!C:C&gt;=$J$4,'领用录入（明细）'!C:C&lt;=$L$4),ROW(),"-")</f>
        <v>-</v>
      </c>
    </row>
    <row r="1375" customHeight="1" spans="2:2">
      <c r="B1375" s="62" t="str">
        <f>IF(AND('领用录入（明细）'!D:D=$F$4,'领用录入（明细）'!C:C&gt;=$J$4,'领用录入（明细）'!C:C&lt;=$L$4),ROW(),"-")</f>
        <v>-</v>
      </c>
    </row>
    <row r="1376" customHeight="1" spans="2:2">
      <c r="B1376" s="62" t="str">
        <f>IF(AND('领用录入（明细）'!D:D=$F$4,'领用录入（明细）'!C:C&gt;=$J$4,'领用录入（明细）'!C:C&lt;=$L$4),ROW(),"-")</f>
        <v>-</v>
      </c>
    </row>
    <row r="1377" customHeight="1" spans="2:2">
      <c r="B1377" s="62" t="str">
        <f>IF(AND('领用录入（明细）'!D:D=$F$4,'领用录入（明细）'!C:C&gt;=$J$4,'领用录入（明细）'!C:C&lt;=$L$4),ROW(),"-")</f>
        <v>-</v>
      </c>
    </row>
    <row r="1378" customHeight="1" spans="2:2">
      <c r="B1378" s="62" t="str">
        <f>IF(AND('领用录入（明细）'!D:D=$F$4,'领用录入（明细）'!C:C&gt;=$J$4,'领用录入（明细）'!C:C&lt;=$L$4),ROW(),"-")</f>
        <v>-</v>
      </c>
    </row>
    <row r="1379" customHeight="1" spans="2:2">
      <c r="B1379" s="62" t="str">
        <f>IF(AND('领用录入（明细）'!D:D=$F$4,'领用录入（明细）'!C:C&gt;=$J$4,'领用录入（明细）'!C:C&lt;=$L$4),ROW(),"-")</f>
        <v>-</v>
      </c>
    </row>
    <row r="1380" customHeight="1" spans="2:2">
      <c r="B1380" s="62" t="str">
        <f>IF(AND('领用录入（明细）'!D:D=$F$4,'领用录入（明细）'!C:C&gt;=$J$4,'领用录入（明细）'!C:C&lt;=$L$4),ROW(),"-")</f>
        <v>-</v>
      </c>
    </row>
    <row r="1381" customHeight="1" spans="2:2">
      <c r="B1381" s="62" t="str">
        <f>IF(AND('领用录入（明细）'!D:D=$F$4,'领用录入（明细）'!C:C&gt;=$J$4,'领用录入（明细）'!C:C&lt;=$L$4),ROW(),"-")</f>
        <v>-</v>
      </c>
    </row>
    <row r="1382" customHeight="1" spans="2:2">
      <c r="B1382" s="62" t="str">
        <f>IF(AND('领用录入（明细）'!D:D=$F$4,'领用录入（明细）'!C:C&gt;=$J$4,'领用录入（明细）'!C:C&lt;=$L$4),ROW(),"-")</f>
        <v>-</v>
      </c>
    </row>
    <row r="1383" customHeight="1" spans="2:2">
      <c r="B1383" s="62" t="str">
        <f>IF(AND('领用录入（明细）'!D:D=$F$4,'领用录入（明细）'!C:C&gt;=$J$4,'领用录入（明细）'!C:C&lt;=$L$4),ROW(),"-")</f>
        <v>-</v>
      </c>
    </row>
    <row r="1384" customHeight="1" spans="2:2">
      <c r="B1384" s="62" t="str">
        <f>IF(AND('领用录入（明细）'!D:D=$F$4,'领用录入（明细）'!C:C&gt;=$J$4,'领用录入（明细）'!C:C&lt;=$L$4),ROW(),"-")</f>
        <v>-</v>
      </c>
    </row>
    <row r="1385" customHeight="1" spans="2:2">
      <c r="B1385" s="62" t="str">
        <f>IF(AND('领用录入（明细）'!D:D=$F$4,'领用录入（明细）'!C:C&gt;=$J$4,'领用录入（明细）'!C:C&lt;=$L$4),ROW(),"-")</f>
        <v>-</v>
      </c>
    </row>
    <row r="1386" customHeight="1" spans="2:2">
      <c r="B1386" s="62" t="str">
        <f>IF(AND('领用录入（明细）'!D:D=$F$4,'领用录入（明细）'!C:C&gt;=$J$4,'领用录入（明细）'!C:C&lt;=$L$4),ROW(),"-")</f>
        <v>-</v>
      </c>
    </row>
    <row r="1387" customHeight="1" spans="2:2">
      <c r="B1387" s="62" t="str">
        <f>IF(AND('领用录入（明细）'!D:D=$F$4,'领用录入（明细）'!C:C&gt;=$J$4,'领用录入（明细）'!C:C&lt;=$L$4),ROW(),"-")</f>
        <v>-</v>
      </c>
    </row>
    <row r="1388" customHeight="1" spans="2:2">
      <c r="B1388" s="62" t="str">
        <f>IF(AND('领用录入（明细）'!D:D=$F$4,'领用录入（明细）'!C:C&gt;=$J$4,'领用录入（明细）'!C:C&lt;=$L$4),ROW(),"-")</f>
        <v>-</v>
      </c>
    </row>
    <row r="1389" customHeight="1" spans="2:2">
      <c r="B1389" s="62" t="str">
        <f>IF(AND('领用录入（明细）'!D:D=$F$4,'领用录入（明细）'!C:C&gt;=$J$4,'领用录入（明细）'!C:C&lt;=$L$4),ROW(),"-")</f>
        <v>-</v>
      </c>
    </row>
    <row r="1390" customHeight="1" spans="2:2">
      <c r="B1390" s="62" t="str">
        <f>IF(AND('领用录入（明细）'!D:D=$F$4,'领用录入（明细）'!C:C&gt;=$J$4,'领用录入（明细）'!C:C&lt;=$L$4),ROW(),"-")</f>
        <v>-</v>
      </c>
    </row>
    <row r="1391" customHeight="1" spans="2:2">
      <c r="B1391" s="62" t="str">
        <f>IF(AND('领用录入（明细）'!D:D=$F$4,'领用录入（明细）'!C:C&gt;=$J$4,'领用录入（明细）'!C:C&lt;=$L$4),ROW(),"-")</f>
        <v>-</v>
      </c>
    </row>
    <row r="1392" customHeight="1" spans="2:2">
      <c r="B1392" s="62" t="str">
        <f>IF(AND('领用录入（明细）'!D:D=$F$4,'领用录入（明细）'!C:C&gt;=$J$4,'领用录入（明细）'!C:C&lt;=$L$4),ROW(),"-")</f>
        <v>-</v>
      </c>
    </row>
    <row r="1393" customHeight="1" spans="2:2">
      <c r="B1393" s="62" t="str">
        <f>IF(AND('领用录入（明细）'!D:D=$F$4,'领用录入（明细）'!C:C&gt;=$J$4,'领用录入（明细）'!C:C&lt;=$L$4),ROW(),"-")</f>
        <v>-</v>
      </c>
    </row>
    <row r="1394" customHeight="1" spans="2:2">
      <c r="B1394" s="62" t="str">
        <f>IF(AND('领用录入（明细）'!D:D=$F$4,'领用录入（明细）'!C:C&gt;=$J$4,'领用录入（明细）'!C:C&lt;=$L$4),ROW(),"-")</f>
        <v>-</v>
      </c>
    </row>
    <row r="1395" customHeight="1" spans="2:2">
      <c r="B1395" s="62" t="str">
        <f>IF(AND('领用录入（明细）'!D:D=$F$4,'领用录入（明细）'!C:C&gt;=$J$4,'领用录入（明细）'!C:C&lt;=$L$4),ROW(),"-")</f>
        <v>-</v>
      </c>
    </row>
    <row r="1396" customHeight="1" spans="2:2">
      <c r="B1396" s="62" t="str">
        <f>IF(AND('领用录入（明细）'!D:D=$F$4,'领用录入（明细）'!C:C&gt;=$J$4,'领用录入（明细）'!C:C&lt;=$L$4),ROW(),"-")</f>
        <v>-</v>
      </c>
    </row>
    <row r="1397" customHeight="1" spans="2:2">
      <c r="B1397" s="62" t="str">
        <f>IF(AND('领用录入（明细）'!D:D=$F$4,'领用录入（明细）'!C:C&gt;=$J$4,'领用录入（明细）'!C:C&lt;=$L$4),ROW(),"-")</f>
        <v>-</v>
      </c>
    </row>
    <row r="1398" customHeight="1" spans="2:2">
      <c r="B1398" s="62" t="str">
        <f>IF(AND('领用录入（明细）'!D:D=$F$4,'领用录入（明细）'!C:C&gt;=$J$4,'领用录入（明细）'!C:C&lt;=$L$4),ROW(),"-")</f>
        <v>-</v>
      </c>
    </row>
    <row r="1399" customHeight="1" spans="2:2">
      <c r="B1399" s="62" t="str">
        <f>IF(AND('领用录入（明细）'!D:D=$F$4,'领用录入（明细）'!C:C&gt;=$J$4,'领用录入（明细）'!C:C&lt;=$L$4),ROW(),"-")</f>
        <v>-</v>
      </c>
    </row>
    <row r="1400" customHeight="1" spans="2:2">
      <c r="B1400" s="62" t="str">
        <f>IF(AND('领用录入（明细）'!D:D=$F$4,'领用录入（明细）'!C:C&gt;=$J$4,'领用录入（明细）'!C:C&lt;=$L$4),ROW(),"-")</f>
        <v>-</v>
      </c>
    </row>
    <row r="1401" customHeight="1" spans="2:2">
      <c r="B1401" s="62" t="str">
        <f>IF(AND('领用录入（明细）'!D:D=$F$4,'领用录入（明细）'!C:C&gt;=$J$4,'领用录入（明细）'!C:C&lt;=$L$4),ROW(),"-")</f>
        <v>-</v>
      </c>
    </row>
    <row r="1402" customHeight="1" spans="2:2">
      <c r="B1402" s="62" t="str">
        <f>IF(AND('领用录入（明细）'!D:D=$F$4,'领用录入（明细）'!C:C&gt;=$J$4,'领用录入（明细）'!C:C&lt;=$L$4),ROW(),"-")</f>
        <v>-</v>
      </c>
    </row>
    <row r="1403" customHeight="1" spans="2:2">
      <c r="B1403" s="62" t="str">
        <f>IF(AND('领用录入（明细）'!D:D=$F$4,'领用录入（明细）'!C:C&gt;=$J$4,'领用录入（明细）'!C:C&lt;=$L$4),ROW(),"-")</f>
        <v>-</v>
      </c>
    </row>
    <row r="1404" customHeight="1" spans="2:2">
      <c r="B1404" s="62" t="str">
        <f>IF(AND('领用录入（明细）'!D:D=$F$4,'领用录入（明细）'!C:C&gt;=$J$4,'领用录入（明细）'!C:C&lt;=$L$4),ROW(),"-")</f>
        <v>-</v>
      </c>
    </row>
    <row r="1405" customHeight="1" spans="2:2">
      <c r="B1405" s="62" t="str">
        <f>IF(AND('领用录入（明细）'!D:D=$F$4,'领用录入（明细）'!C:C&gt;=$J$4,'领用录入（明细）'!C:C&lt;=$L$4),ROW(),"-")</f>
        <v>-</v>
      </c>
    </row>
    <row r="1406" customHeight="1" spans="2:2">
      <c r="B1406" s="62" t="str">
        <f>IF(AND('领用录入（明细）'!D:D=$F$4,'领用录入（明细）'!C:C&gt;=$J$4,'领用录入（明细）'!C:C&lt;=$L$4),ROW(),"-")</f>
        <v>-</v>
      </c>
    </row>
    <row r="1407" customHeight="1" spans="2:2">
      <c r="B1407" s="62" t="str">
        <f>IF(AND('领用录入（明细）'!D:D=$F$4,'领用录入（明细）'!C:C&gt;=$J$4,'领用录入（明细）'!C:C&lt;=$L$4),ROW(),"-")</f>
        <v>-</v>
      </c>
    </row>
    <row r="1408" customHeight="1" spans="2:2">
      <c r="B1408" s="62" t="str">
        <f>IF(AND('领用录入（明细）'!D:D=$F$4,'领用录入（明细）'!C:C&gt;=$J$4,'领用录入（明细）'!C:C&lt;=$L$4),ROW(),"-")</f>
        <v>-</v>
      </c>
    </row>
    <row r="1409" customHeight="1" spans="2:2">
      <c r="B1409" s="62" t="str">
        <f>IF(AND('领用录入（明细）'!D:D=$F$4,'领用录入（明细）'!C:C&gt;=$J$4,'领用录入（明细）'!C:C&lt;=$L$4),ROW(),"-")</f>
        <v>-</v>
      </c>
    </row>
    <row r="1410" customHeight="1" spans="2:2">
      <c r="B1410" s="62" t="str">
        <f>IF(AND('领用录入（明细）'!D:D=$F$4,'领用录入（明细）'!C:C&gt;=$J$4,'领用录入（明细）'!C:C&lt;=$L$4),ROW(),"-")</f>
        <v>-</v>
      </c>
    </row>
    <row r="1411" customHeight="1" spans="2:2">
      <c r="B1411" s="62" t="str">
        <f>IF(AND('领用录入（明细）'!D:D=$F$4,'领用录入（明细）'!C:C&gt;=$J$4,'领用录入（明细）'!C:C&lt;=$L$4),ROW(),"-")</f>
        <v>-</v>
      </c>
    </row>
    <row r="1412" customHeight="1" spans="2:2">
      <c r="B1412" s="62" t="str">
        <f>IF(AND('领用录入（明细）'!D:D=$F$4,'领用录入（明细）'!C:C&gt;=$J$4,'领用录入（明细）'!C:C&lt;=$L$4),ROW(),"-")</f>
        <v>-</v>
      </c>
    </row>
    <row r="1413" customHeight="1" spans="2:2">
      <c r="B1413" s="62" t="str">
        <f>IF(AND('领用录入（明细）'!D:D=$F$4,'领用录入（明细）'!C:C&gt;=$J$4,'领用录入（明细）'!C:C&lt;=$L$4),ROW(),"-")</f>
        <v>-</v>
      </c>
    </row>
    <row r="1414" customHeight="1" spans="2:2">
      <c r="B1414" s="62" t="str">
        <f>IF(AND('领用录入（明细）'!D:D=$F$4,'领用录入（明细）'!C:C&gt;=$J$4,'领用录入（明细）'!C:C&lt;=$L$4),ROW(),"-")</f>
        <v>-</v>
      </c>
    </row>
    <row r="1415" customHeight="1" spans="2:2">
      <c r="B1415" s="62" t="str">
        <f>IF(AND('领用录入（明细）'!D:D=$F$4,'领用录入（明细）'!C:C&gt;=$J$4,'领用录入（明细）'!C:C&lt;=$L$4),ROW(),"-")</f>
        <v>-</v>
      </c>
    </row>
    <row r="1416" customHeight="1" spans="2:2">
      <c r="B1416" s="62" t="str">
        <f>IF(AND('领用录入（明细）'!D:D=$F$4,'领用录入（明细）'!C:C&gt;=$J$4,'领用录入（明细）'!C:C&lt;=$L$4),ROW(),"-")</f>
        <v>-</v>
      </c>
    </row>
    <row r="1417" customHeight="1" spans="2:2">
      <c r="B1417" s="62" t="str">
        <f>IF(AND('领用录入（明细）'!D:D=$F$4,'领用录入（明细）'!C:C&gt;=$J$4,'领用录入（明细）'!C:C&lt;=$L$4),ROW(),"-")</f>
        <v>-</v>
      </c>
    </row>
    <row r="1418" customHeight="1" spans="2:2">
      <c r="B1418" s="62" t="str">
        <f>IF(AND('领用录入（明细）'!D:D=$F$4,'领用录入（明细）'!C:C&gt;=$J$4,'领用录入（明细）'!C:C&lt;=$L$4),ROW(),"-")</f>
        <v>-</v>
      </c>
    </row>
    <row r="1419" customHeight="1" spans="2:2">
      <c r="B1419" s="62" t="str">
        <f>IF(AND('领用录入（明细）'!D:D=$F$4,'领用录入（明细）'!C:C&gt;=$J$4,'领用录入（明细）'!C:C&lt;=$L$4),ROW(),"-")</f>
        <v>-</v>
      </c>
    </row>
    <row r="1420" customHeight="1" spans="2:2">
      <c r="B1420" s="62" t="str">
        <f>IF(AND('领用录入（明细）'!D:D=$F$4,'领用录入（明细）'!C:C&gt;=$J$4,'领用录入（明细）'!C:C&lt;=$L$4),ROW(),"-")</f>
        <v>-</v>
      </c>
    </row>
    <row r="1421" customHeight="1" spans="2:2">
      <c r="B1421" s="62" t="str">
        <f>IF(AND('领用录入（明细）'!D:D=$F$4,'领用录入（明细）'!C:C&gt;=$J$4,'领用录入（明细）'!C:C&lt;=$L$4),ROW(),"-")</f>
        <v>-</v>
      </c>
    </row>
    <row r="1422" customHeight="1" spans="2:2">
      <c r="B1422" s="62" t="str">
        <f>IF(AND('领用录入（明细）'!D:D=$F$4,'领用录入（明细）'!C:C&gt;=$J$4,'领用录入（明细）'!C:C&lt;=$L$4),ROW(),"-")</f>
        <v>-</v>
      </c>
    </row>
    <row r="1423" customHeight="1" spans="2:2">
      <c r="B1423" s="62" t="str">
        <f>IF(AND('领用录入（明细）'!D:D=$F$4,'领用录入（明细）'!C:C&gt;=$J$4,'领用录入（明细）'!C:C&lt;=$L$4),ROW(),"-")</f>
        <v>-</v>
      </c>
    </row>
    <row r="1424" customHeight="1" spans="2:2">
      <c r="B1424" s="62" t="str">
        <f>IF(AND('领用录入（明细）'!D:D=$F$4,'领用录入（明细）'!C:C&gt;=$J$4,'领用录入（明细）'!C:C&lt;=$L$4),ROW(),"-")</f>
        <v>-</v>
      </c>
    </row>
    <row r="1425" customHeight="1" spans="2:2">
      <c r="B1425" s="62" t="str">
        <f>IF(AND('领用录入（明细）'!D:D=$F$4,'领用录入（明细）'!C:C&gt;=$J$4,'领用录入（明细）'!C:C&lt;=$L$4),ROW(),"-")</f>
        <v>-</v>
      </c>
    </row>
    <row r="1426" customHeight="1" spans="2:2">
      <c r="B1426" s="62" t="str">
        <f>IF(AND('领用录入（明细）'!D:D=$F$4,'领用录入（明细）'!C:C&gt;=$J$4,'领用录入（明细）'!C:C&lt;=$L$4),ROW(),"-")</f>
        <v>-</v>
      </c>
    </row>
    <row r="1427" customHeight="1" spans="2:2">
      <c r="B1427" s="62" t="str">
        <f>IF(AND('领用录入（明细）'!D:D=$F$4,'领用录入（明细）'!C:C&gt;=$J$4,'领用录入（明细）'!C:C&lt;=$L$4),ROW(),"-")</f>
        <v>-</v>
      </c>
    </row>
    <row r="1428" customHeight="1" spans="2:2">
      <c r="B1428" s="62" t="str">
        <f>IF(AND('领用录入（明细）'!D:D=$F$4,'领用录入（明细）'!C:C&gt;=$J$4,'领用录入（明细）'!C:C&lt;=$L$4),ROW(),"-")</f>
        <v>-</v>
      </c>
    </row>
    <row r="1429" customHeight="1" spans="2:2">
      <c r="B1429" s="62" t="str">
        <f>IF(AND('领用录入（明细）'!D:D=$F$4,'领用录入（明细）'!C:C&gt;=$J$4,'领用录入（明细）'!C:C&lt;=$L$4),ROW(),"-")</f>
        <v>-</v>
      </c>
    </row>
    <row r="1430" customHeight="1" spans="2:2">
      <c r="B1430" s="62" t="str">
        <f>IF(AND('领用录入（明细）'!D:D=$F$4,'领用录入（明细）'!C:C&gt;=$J$4,'领用录入（明细）'!C:C&lt;=$L$4),ROW(),"-")</f>
        <v>-</v>
      </c>
    </row>
    <row r="1431" customHeight="1" spans="2:2">
      <c r="B1431" s="62" t="str">
        <f>IF(AND('领用录入（明细）'!D:D=$F$4,'领用录入（明细）'!C:C&gt;=$J$4,'领用录入（明细）'!C:C&lt;=$L$4),ROW(),"-")</f>
        <v>-</v>
      </c>
    </row>
    <row r="1432" customHeight="1" spans="2:2">
      <c r="B1432" s="62" t="str">
        <f>IF(AND('领用录入（明细）'!D:D=$F$4,'领用录入（明细）'!C:C&gt;=$J$4,'领用录入（明细）'!C:C&lt;=$L$4),ROW(),"-")</f>
        <v>-</v>
      </c>
    </row>
    <row r="1433" customHeight="1" spans="2:2">
      <c r="B1433" s="62" t="str">
        <f>IF(AND('领用录入（明细）'!D:D=$F$4,'领用录入（明细）'!C:C&gt;=$J$4,'领用录入（明细）'!C:C&lt;=$L$4),ROW(),"-")</f>
        <v>-</v>
      </c>
    </row>
    <row r="1434" customHeight="1" spans="2:2">
      <c r="B1434" s="62" t="str">
        <f>IF(AND('领用录入（明细）'!D:D=$F$4,'领用录入（明细）'!C:C&gt;=$J$4,'领用录入（明细）'!C:C&lt;=$L$4),ROW(),"-")</f>
        <v>-</v>
      </c>
    </row>
    <row r="1435" customHeight="1" spans="2:2">
      <c r="B1435" s="62" t="str">
        <f>IF(AND('领用录入（明细）'!D:D=$F$4,'领用录入（明细）'!C:C&gt;=$J$4,'领用录入（明细）'!C:C&lt;=$L$4),ROW(),"-")</f>
        <v>-</v>
      </c>
    </row>
    <row r="1436" customHeight="1" spans="2:2">
      <c r="B1436" s="62" t="str">
        <f>IF(AND('领用录入（明细）'!D:D=$F$4,'领用录入（明细）'!C:C&gt;=$J$4,'领用录入（明细）'!C:C&lt;=$L$4),ROW(),"-")</f>
        <v>-</v>
      </c>
    </row>
    <row r="1437" customHeight="1" spans="2:2">
      <c r="B1437" s="62" t="str">
        <f>IF(AND('领用录入（明细）'!D:D=$F$4,'领用录入（明细）'!C:C&gt;=$J$4,'领用录入（明细）'!C:C&lt;=$L$4),ROW(),"-")</f>
        <v>-</v>
      </c>
    </row>
    <row r="1438" customHeight="1" spans="2:2">
      <c r="B1438" s="62" t="str">
        <f>IF(AND('领用录入（明细）'!D:D=$F$4,'领用录入（明细）'!C:C&gt;=$J$4,'领用录入（明细）'!C:C&lt;=$L$4),ROW(),"-")</f>
        <v>-</v>
      </c>
    </row>
    <row r="1439" customHeight="1" spans="2:2">
      <c r="B1439" s="62" t="str">
        <f>IF(AND('领用录入（明细）'!D:D=$F$4,'领用录入（明细）'!C:C&gt;=$J$4,'领用录入（明细）'!C:C&lt;=$L$4),ROW(),"-")</f>
        <v>-</v>
      </c>
    </row>
    <row r="1440" customHeight="1" spans="2:2">
      <c r="B1440" s="62" t="str">
        <f>IF(AND('领用录入（明细）'!D:D=$F$4,'领用录入（明细）'!C:C&gt;=$J$4,'领用录入（明细）'!C:C&lt;=$L$4),ROW(),"-")</f>
        <v>-</v>
      </c>
    </row>
    <row r="1441" customHeight="1" spans="2:2">
      <c r="B1441" s="62" t="str">
        <f>IF(AND('领用录入（明细）'!D:D=$F$4,'领用录入（明细）'!C:C&gt;=$J$4,'领用录入（明细）'!C:C&lt;=$L$4),ROW(),"-")</f>
        <v>-</v>
      </c>
    </row>
    <row r="1442" customHeight="1" spans="2:2">
      <c r="B1442" s="62" t="str">
        <f>IF(AND('领用录入（明细）'!D:D=$F$4,'领用录入（明细）'!C:C&gt;=$J$4,'领用录入（明细）'!C:C&lt;=$L$4),ROW(),"-")</f>
        <v>-</v>
      </c>
    </row>
    <row r="1443" customHeight="1" spans="2:2">
      <c r="B1443" s="62" t="str">
        <f>IF(AND('领用录入（明细）'!D:D=$F$4,'领用录入（明细）'!C:C&gt;=$J$4,'领用录入（明细）'!C:C&lt;=$L$4),ROW(),"-")</f>
        <v>-</v>
      </c>
    </row>
    <row r="1444" customHeight="1" spans="2:2">
      <c r="B1444" s="62" t="str">
        <f>IF(AND('领用录入（明细）'!D:D=$F$4,'领用录入（明细）'!C:C&gt;=$J$4,'领用录入（明细）'!C:C&lt;=$L$4),ROW(),"-")</f>
        <v>-</v>
      </c>
    </row>
    <row r="1445" customHeight="1" spans="2:2">
      <c r="B1445" s="62" t="str">
        <f>IF(AND('领用录入（明细）'!D:D=$F$4,'领用录入（明细）'!C:C&gt;=$J$4,'领用录入（明细）'!C:C&lt;=$L$4),ROW(),"-")</f>
        <v>-</v>
      </c>
    </row>
    <row r="1446" customHeight="1" spans="2:2">
      <c r="B1446" s="62" t="str">
        <f>IF(AND('领用录入（明细）'!D:D=$F$4,'领用录入（明细）'!C:C&gt;=$J$4,'领用录入（明细）'!C:C&lt;=$L$4),ROW(),"-")</f>
        <v>-</v>
      </c>
    </row>
    <row r="1447" customHeight="1" spans="2:2">
      <c r="B1447" s="62" t="str">
        <f>IF(AND('领用录入（明细）'!D:D=$F$4,'领用录入（明细）'!C:C&gt;=$J$4,'领用录入（明细）'!C:C&lt;=$L$4),ROW(),"-")</f>
        <v>-</v>
      </c>
    </row>
    <row r="1448" customHeight="1" spans="2:2">
      <c r="B1448" s="62" t="str">
        <f>IF(AND('领用录入（明细）'!D:D=$F$4,'领用录入（明细）'!C:C&gt;=$J$4,'领用录入（明细）'!C:C&lt;=$L$4),ROW(),"-")</f>
        <v>-</v>
      </c>
    </row>
    <row r="1449" customHeight="1" spans="2:2">
      <c r="B1449" s="62" t="str">
        <f>IF(AND('领用录入（明细）'!D:D=$F$4,'领用录入（明细）'!C:C&gt;=$J$4,'领用录入（明细）'!C:C&lt;=$L$4),ROW(),"-")</f>
        <v>-</v>
      </c>
    </row>
    <row r="1450" customHeight="1" spans="2:2">
      <c r="B1450" s="62" t="str">
        <f>IF(AND('领用录入（明细）'!D:D=$F$4,'领用录入（明细）'!C:C&gt;=$J$4,'领用录入（明细）'!C:C&lt;=$L$4),ROW(),"-")</f>
        <v>-</v>
      </c>
    </row>
    <row r="1451" customHeight="1" spans="2:2">
      <c r="B1451" s="62" t="str">
        <f>IF(AND('领用录入（明细）'!D:D=$F$4,'领用录入（明细）'!C:C&gt;=$J$4,'领用录入（明细）'!C:C&lt;=$L$4),ROW(),"-")</f>
        <v>-</v>
      </c>
    </row>
    <row r="1452" customHeight="1" spans="2:2">
      <c r="B1452" s="62" t="str">
        <f>IF(AND('领用录入（明细）'!D:D=$F$4,'领用录入（明细）'!C:C&gt;=$J$4,'领用录入（明细）'!C:C&lt;=$L$4),ROW(),"-")</f>
        <v>-</v>
      </c>
    </row>
    <row r="1453" customHeight="1" spans="2:2">
      <c r="B1453" s="62" t="str">
        <f>IF(AND('领用录入（明细）'!D:D=$F$4,'领用录入（明细）'!C:C&gt;=$J$4,'领用录入（明细）'!C:C&lt;=$L$4),ROW(),"-")</f>
        <v>-</v>
      </c>
    </row>
    <row r="1454" customHeight="1" spans="2:2">
      <c r="B1454" s="62" t="str">
        <f>IF(AND('领用录入（明细）'!D:D=$F$4,'领用录入（明细）'!C:C&gt;=$J$4,'领用录入（明细）'!C:C&lt;=$L$4),ROW(),"-")</f>
        <v>-</v>
      </c>
    </row>
    <row r="1455" customHeight="1" spans="2:2">
      <c r="B1455" s="62" t="str">
        <f>IF(AND('领用录入（明细）'!D:D=$F$4,'领用录入（明细）'!C:C&gt;=$J$4,'领用录入（明细）'!C:C&lt;=$L$4),ROW(),"-")</f>
        <v>-</v>
      </c>
    </row>
    <row r="1456" customHeight="1" spans="2:2">
      <c r="B1456" s="62" t="str">
        <f>IF(AND('领用录入（明细）'!D:D=$F$4,'领用录入（明细）'!C:C&gt;=$J$4,'领用录入（明细）'!C:C&lt;=$L$4),ROW(),"-")</f>
        <v>-</v>
      </c>
    </row>
    <row r="1457" customHeight="1" spans="2:2">
      <c r="B1457" s="62" t="str">
        <f>IF(AND('领用录入（明细）'!D:D=$F$4,'领用录入（明细）'!C:C&gt;=$J$4,'领用录入（明细）'!C:C&lt;=$L$4),ROW(),"-")</f>
        <v>-</v>
      </c>
    </row>
    <row r="1458" customHeight="1" spans="2:2">
      <c r="B1458" s="62" t="str">
        <f>IF(AND('领用录入（明细）'!D:D=$F$4,'领用录入（明细）'!C:C&gt;=$J$4,'领用录入（明细）'!C:C&lt;=$L$4),ROW(),"-")</f>
        <v>-</v>
      </c>
    </row>
    <row r="1459" customHeight="1" spans="2:2">
      <c r="B1459" s="62" t="str">
        <f>IF(AND('领用录入（明细）'!D:D=$F$4,'领用录入（明细）'!C:C&gt;=$J$4,'领用录入（明细）'!C:C&lt;=$L$4),ROW(),"-")</f>
        <v>-</v>
      </c>
    </row>
    <row r="1460" customHeight="1" spans="2:2">
      <c r="B1460" s="62" t="str">
        <f>IF(AND('领用录入（明细）'!D:D=$F$4,'领用录入（明细）'!C:C&gt;=$J$4,'领用录入（明细）'!C:C&lt;=$L$4),ROW(),"-")</f>
        <v>-</v>
      </c>
    </row>
    <row r="1461" customHeight="1" spans="2:2">
      <c r="B1461" s="62" t="str">
        <f>IF(AND('领用录入（明细）'!D:D=$F$4,'领用录入（明细）'!C:C&gt;=$J$4,'领用录入（明细）'!C:C&lt;=$L$4),ROW(),"-")</f>
        <v>-</v>
      </c>
    </row>
    <row r="1462" customHeight="1" spans="2:2">
      <c r="B1462" s="62" t="str">
        <f>IF(AND('领用录入（明细）'!D:D=$F$4,'领用录入（明细）'!C:C&gt;=$J$4,'领用录入（明细）'!C:C&lt;=$L$4),ROW(),"-")</f>
        <v>-</v>
      </c>
    </row>
    <row r="1463" customHeight="1" spans="2:2">
      <c r="B1463" s="62" t="str">
        <f>IF(AND('领用录入（明细）'!D:D=$F$4,'领用录入（明细）'!C:C&gt;=$J$4,'领用录入（明细）'!C:C&lt;=$L$4),ROW(),"-")</f>
        <v>-</v>
      </c>
    </row>
    <row r="1464" customHeight="1" spans="2:2">
      <c r="B1464" s="62" t="str">
        <f>IF(AND('领用录入（明细）'!D:D=$F$4,'领用录入（明细）'!C:C&gt;=$J$4,'领用录入（明细）'!C:C&lt;=$L$4),ROW(),"-")</f>
        <v>-</v>
      </c>
    </row>
    <row r="1465" customHeight="1" spans="2:2">
      <c r="B1465" s="62" t="str">
        <f>IF(AND('领用录入（明细）'!D:D=$F$4,'领用录入（明细）'!C:C&gt;=$J$4,'领用录入（明细）'!C:C&lt;=$L$4),ROW(),"-")</f>
        <v>-</v>
      </c>
    </row>
    <row r="1466" customHeight="1" spans="2:2">
      <c r="B1466" s="62" t="str">
        <f>IF(AND('领用录入（明细）'!D:D=$F$4,'领用录入（明细）'!C:C&gt;=$J$4,'领用录入（明细）'!C:C&lt;=$L$4),ROW(),"-")</f>
        <v>-</v>
      </c>
    </row>
    <row r="1467" customHeight="1" spans="2:2">
      <c r="B1467" s="62" t="str">
        <f>IF(AND('领用录入（明细）'!D:D=$F$4,'领用录入（明细）'!C:C&gt;=$J$4,'领用录入（明细）'!C:C&lt;=$L$4),ROW(),"-")</f>
        <v>-</v>
      </c>
    </row>
    <row r="1468" customHeight="1" spans="2:2">
      <c r="B1468" s="62" t="str">
        <f>IF(AND('领用录入（明细）'!D:D=$F$4,'领用录入（明细）'!C:C&gt;=$J$4,'领用录入（明细）'!C:C&lt;=$L$4),ROW(),"-")</f>
        <v>-</v>
      </c>
    </row>
    <row r="1469" customHeight="1" spans="2:2">
      <c r="B1469" s="62" t="str">
        <f>IF(AND('领用录入（明细）'!D:D=$F$4,'领用录入（明细）'!C:C&gt;=$J$4,'领用录入（明细）'!C:C&lt;=$L$4),ROW(),"-")</f>
        <v>-</v>
      </c>
    </row>
    <row r="1470" customHeight="1" spans="2:2">
      <c r="B1470" s="62" t="str">
        <f>IF(AND('领用录入（明细）'!D:D=$F$4,'领用录入（明细）'!C:C&gt;=$J$4,'领用录入（明细）'!C:C&lt;=$L$4),ROW(),"-")</f>
        <v>-</v>
      </c>
    </row>
    <row r="1471" customHeight="1" spans="2:2">
      <c r="B1471" s="62" t="str">
        <f>IF(AND('领用录入（明细）'!D:D=$F$4,'领用录入（明细）'!C:C&gt;=$J$4,'领用录入（明细）'!C:C&lt;=$L$4),ROW(),"-")</f>
        <v>-</v>
      </c>
    </row>
    <row r="1472" customHeight="1" spans="2:2">
      <c r="B1472" s="62" t="str">
        <f>IF(AND('领用录入（明细）'!D:D=$F$4,'领用录入（明细）'!C:C&gt;=$J$4,'领用录入（明细）'!C:C&lt;=$L$4),ROW(),"-")</f>
        <v>-</v>
      </c>
    </row>
    <row r="1473" customHeight="1" spans="2:2">
      <c r="B1473" s="62" t="str">
        <f>IF(AND('领用录入（明细）'!D:D=$F$4,'领用录入（明细）'!C:C&gt;=$J$4,'领用录入（明细）'!C:C&lt;=$L$4),ROW(),"-")</f>
        <v>-</v>
      </c>
    </row>
    <row r="1474" customHeight="1" spans="2:2">
      <c r="B1474" s="62" t="str">
        <f>IF(AND('领用录入（明细）'!D:D=$F$4,'领用录入（明细）'!C:C&gt;=$J$4,'领用录入（明细）'!C:C&lt;=$L$4),ROW(),"-")</f>
        <v>-</v>
      </c>
    </row>
    <row r="1475" customHeight="1" spans="2:2">
      <c r="B1475" s="62" t="str">
        <f>IF(AND('领用录入（明细）'!D:D=$F$4,'领用录入（明细）'!C:C&gt;=$J$4,'领用录入（明细）'!C:C&lt;=$L$4),ROW(),"-")</f>
        <v>-</v>
      </c>
    </row>
    <row r="1476" customHeight="1" spans="2:2">
      <c r="B1476" s="62" t="str">
        <f>IF(AND('领用录入（明细）'!D:D=$F$4,'领用录入（明细）'!C:C&gt;=$J$4,'领用录入（明细）'!C:C&lt;=$L$4),ROW(),"-")</f>
        <v>-</v>
      </c>
    </row>
    <row r="1477" customHeight="1" spans="2:2">
      <c r="B1477" s="62" t="str">
        <f>IF(AND('领用录入（明细）'!D:D=$F$4,'领用录入（明细）'!C:C&gt;=$J$4,'领用录入（明细）'!C:C&lt;=$L$4),ROW(),"-")</f>
        <v>-</v>
      </c>
    </row>
    <row r="1478" customHeight="1" spans="2:2">
      <c r="B1478" s="62" t="str">
        <f>IF(AND('领用录入（明细）'!D:D=$F$4,'领用录入（明细）'!C:C&gt;=$J$4,'领用录入（明细）'!C:C&lt;=$L$4),ROW(),"-")</f>
        <v>-</v>
      </c>
    </row>
    <row r="1479" customHeight="1" spans="2:2">
      <c r="B1479" s="62" t="str">
        <f>IF(AND('领用录入（明细）'!D:D=$F$4,'领用录入（明细）'!C:C&gt;=$J$4,'领用录入（明细）'!C:C&lt;=$L$4),ROW(),"-")</f>
        <v>-</v>
      </c>
    </row>
    <row r="1480" customHeight="1" spans="2:2">
      <c r="B1480" s="62" t="str">
        <f>IF(AND('领用录入（明细）'!D:D=$F$4,'领用录入（明细）'!C:C&gt;=$J$4,'领用录入（明细）'!C:C&lt;=$L$4),ROW(),"-")</f>
        <v>-</v>
      </c>
    </row>
    <row r="1481" customHeight="1" spans="2:2">
      <c r="B1481" s="62" t="str">
        <f>IF(AND('领用录入（明细）'!D:D=$F$4,'领用录入（明细）'!C:C&gt;=$J$4,'领用录入（明细）'!C:C&lt;=$L$4),ROW(),"-")</f>
        <v>-</v>
      </c>
    </row>
    <row r="1482" customHeight="1" spans="2:2">
      <c r="B1482" s="62" t="str">
        <f>IF(AND('领用录入（明细）'!D:D=$F$4,'领用录入（明细）'!C:C&gt;=$J$4,'领用录入（明细）'!C:C&lt;=$L$4),ROW(),"-")</f>
        <v>-</v>
      </c>
    </row>
    <row r="1483" customHeight="1" spans="2:2">
      <c r="B1483" s="62" t="str">
        <f>IF(AND('领用录入（明细）'!D:D=$F$4,'领用录入（明细）'!C:C&gt;=$J$4,'领用录入（明细）'!C:C&lt;=$L$4),ROW(),"-")</f>
        <v>-</v>
      </c>
    </row>
    <row r="1484" customHeight="1" spans="2:2">
      <c r="B1484" s="62" t="str">
        <f>IF(AND('领用录入（明细）'!D:D=$F$4,'领用录入（明细）'!C:C&gt;=$J$4,'领用录入（明细）'!C:C&lt;=$L$4),ROW(),"-")</f>
        <v>-</v>
      </c>
    </row>
    <row r="1485" customHeight="1" spans="2:2">
      <c r="B1485" s="62" t="str">
        <f>IF(AND('领用录入（明细）'!D:D=$F$4,'领用录入（明细）'!C:C&gt;=$J$4,'领用录入（明细）'!C:C&lt;=$L$4),ROW(),"-")</f>
        <v>-</v>
      </c>
    </row>
    <row r="1486" customHeight="1" spans="2:2">
      <c r="B1486" s="62" t="str">
        <f>IF(AND('领用录入（明细）'!D:D=$F$4,'领用录入（明细）'!C:C&gt;=$J$4,'领用录入（明细）'!C:C&lt;=$L$4),ROW(),"-")</f>
        <v>-</v>
      </c>
    </row>
    <row r="1487" customHeight="1" spans="2:2">
      <c r="B1487" s="62" t="str">
        <f>IF(AND('领用录入（明细）'!D:D=$F$4,'领用录入（明细）'!C:C&gt;=$J$4,'领用录入（明细）'!C:C&lt;=$L$4),ROW(),"-")</f>
        <v>-</v>
      </c>
    </row>
    <row r="1488" customHeight="1" spans="2:2">
      <c r="B1488" s="62" t="str">
        <f>IF(AND('领用录入（明细）'!D:D=$F$4,'领用录入（明细）'!C:C&gt;=$J$4,'领用录入（明细）'!C:C&lt;=$L$4),ROW(),"-")</f>
        <v>-</v>
      </c>
    </row>
    <row r="1489" customHeight="1" spans="2:2">
      <c r="B1489" s="62" t="str">
        <f>IF(AND('领用录入（明细）'!D:D=$F$4,'领用录入（明细）'!C:C&gt;=$J$4,'领用录入（明细）'!C:C&lt;=$L$4),ROW(),"-")</f>
        <v>-</v>
      </c>
    </row>
    <row r="1490" customHeight="1" spans="2:2">
      <c r="B1490" s="62" t="str">
        <f>IF(AND('领用录入（明细）'!D:D=$F$4,'领用录入（明细）'!C:C&gt;=$J$4,'领用录入（明细）'!C:C&lt;=$L$4),ROW(),"-")</f>
        <v>-</v>
      </c>
    </row>
    <row r="1491" customHeight="1" spans="2:2">
      <c r="B1491" s="62" t="str">
        <f>IF(AND('领用录入（明细）'!D:D=$F$4,'领用录入（明细）'!C:C&gt;=$J$4,'领用录入（明细）'!C:C&lt;=$L$4),ROW(),"-")</f>
        <v>-</v>
      </c>
    </row>
    <row r="1492" customHeight="1" spans="2:2">
      <c r="B1492" s="62" t="str">
        <f>IF(AND('领用录入（明细）'!D:D=$F$4,'领用录入（明细）'!C:C&gt;=$J$4,'领用录入（明细）'!C:C&lt;=$L$4),ROW(),"-")</f>
        <v>-</v>
      </c>
    </row>
    <row r="1493" customHeight="1" spans="2:2">
      <c r="B1493" s="62" t="str">
        <f>IF(AND('领用录入（明细）'!D:D=$F$4,'领用录入（明细）'!C:C&gt;=$J$4,'领用录入（明细）'!C:C&lt;=$L$4),ROW(),"-")</f>
        <v>-</v>
      </c>
    </row>
    <row r="1494" customHeight="1" spans="2:2">
      <c r="B1494" s="62" t="str">
        <f>IF(AND('领用录入（明细）'!D:D=$F$4,'领用录入（明细）'!C:C&gt;=$J$4,'领用录入（明细）'!C:C&lt;=$L$4),ROW(),"-")</f>
        <v>-</v>
      </c>
    </row>
    <row r="1495" customHeight="1" spans="2:2">
      <c r="B1495" s="62" t="str">
        <f>IF(AND('领用录入（明细）'!D:D=$F$4,'领用录入（明细）'!C:C&gt;=$J$4,'领用录入（明细）'!C:C&lt;=$L$4),ROW(),"-")</f>
        <v>-</v>
      </c>
    </row>
    <row r="1496" customHeight="1" spans="2:2">
      <c r="B1496" s="62" t="str">
        <f>IF(AND('领用录入（明细）'!D:D=$F$4,'领用录入（明细）'!C:C&gt;=$J$4,'领用录入（明细）'!C:C&lt;=$L$4),ROW(),"-")</f>
        <v>-</v>
      </c>
    </row>
    <row r="1497" customHeight="1" spans="2:2">
      <c r="B1497" s="62" t="str">
        <f>IF(AND('领用录入（明细）'!D:D=$F$4,'领用录入（明细）'!C:C&gt;=$J$4,'领用录入（明细）'!C:C&lt;=$L$4),ROW(),"-")</f>
        <v>-</v>
      </c>
    </row>
    <row r="1498" customHeight="1" spans="2:2">
      <c r="B1498" s="62" t="str">
        <f>IF(AND('领用录入（明细）'!D:D=$F$4,'领用录入（明细）'!C:C&gt;=$J$4,'领用录入（明细）'!C:C&lt;=$L$4),ROW(),"-")</f>
        <v>-</v>
      </c>
    </row>
    <row r="1499" customHeight="1" spans="2:2">
      <c r="B1499" s="62" t="str">
        <f>IF(AND('领用录入（明细）'!D:D=$F$4,'领用录入（明细）'!C:C&gt;=$J$4,'领用录入（明细）'!C:C&lt;=$L$4),ROW(),"-")</f>
        <v>-</v>
      </c>
    </row>
    <row r="1500" customHeight="1" spans="2:2">
      <c r="B1500" s="62" t="str">
        <f>IF(AND('领用录入（明细）'!D:D=$F$4,'领用录入（明细）'!C:C&gt;=$J$4,'领用录入（明细）'!C:C&lt;=$L$4),ROW(),"-")</f>
        <v>-</v>
      </c>
    </row>
    <row r="1501" customHeight="1" spans="2:2">
      <c r="B1501" s="62" t="str">
        <f>IF(AND('领用录入（明细）'!D:D=$F$4,'领用录入（明细）'!C:C&gt;=$J$4,'领用录入（明细）'!C:C&lt;=$L$4),ROW(),"-")</f>
        <v>-</v>
      </c>
    </row>
    <row r="1502" customHeight="1" spans="2:2">
      <c r="B1502" s="62" t="str">
        <f>IF(AND('领用录入（明细）'!D:D=$F$4,'领用录入（明细）'!C:C&gt;=$J$4,'领用录入（明细）'!C:C&lt;=$L$4),ROW(),"-")</f>
        <v>-</v>
      </c>
    </row>
    <row r="1503" customHeight="1" spans="2:2">
      <c r="B1503" s="62" t="str">
        <f>IF(AND('领用录入（明细）'!D:D=$F$4,'领用录入（明细）'!C:C&gt;=$J$4,'领用录入（明细）'!C:C&lt;=$L$4),ROW(),"-")</f>
        <v>-</v>
      </c>
    </row>
    <row r="1504" customHeight="1" spans="2:2">
      <c r="B1504" s="62" t="str">
        <f>IF(AND('领用录入（明细）'!D:D=$F$4,'领用录入（明细）'!C:C&gt;=$J$4,'领用录入（明细）'!C:C&lt;=$L$4),ROW(),"-")</f>
        <v>-</v>
      </c>
    </row>
    <row r="1505" customHeight="1" spans="2:2">
      <c r="B1505" s="62" t="str">
        <f>IF(AND('领用录入（明细）'!D:D=$F$4,'领用录入（明细）'!C:C&gt;=$J$4,'领用录入（明细）'!C:C&lt;=$L$4),ROW(),"-")</f>
        <v>-</v>
      </c>
    </row>
    <row r="1506" customHeight="1" spans="2:2">
      <c r="B1506" s="62" t="str">
        <f>IF(AND('领用录入（明细）'!D:D=$F$4,'领用录入（明细）'!C:C&gt;=$J$4,'领用录入（明细）'!C:C&lt;=$L$4),ROW(),"-")</f>
        <v>-</v>
      </c>
    </row>
    <row r="1507" customHeight="1" spans="2:2">
      <c r="B1507" s="62" t="str">
        <f>IF(AND('领用录入（明细）'!D:D=$F$4,'领用录入（明细）'!C:C&gt;=$J$4,'领用录入（明细）'!C:C&lt;=$L$4),ROW(),"-")</f>
        <v>-</v>
      </c>
    </row>
    <row r="1508" customHeight="1" spans="2:2">
      <c r="B1508" s="62" t="str">
        <f>IF(AND('领用录入（明细）'!D:D=$F$4,'领用录入（明细）'!C:C&gt;=$J$4,'领用录入（明细）'!C:C&lt;=$L$4),ROW(),"-")</f>
        <v>-</v>
      </c>
    </row>
    <row r="1509" customHeight="1" spans="2:2">
      <c r="B1509" s="62" t="str">
        <f>IF(AND('领用录入（明细）'!D:D=$F$4,'领用录入（明细）'!C:C&gt;=$J$4,'领用录入（明细）'!C:C&lt;=$L$4),ROW(),"-")</f>
        <v>-</v>
      </c>
    </row>
    <row r="1510" customHeight="1" spans="2:2">
      <c r="B1510" s="62" t="str">
        <f>IF(AND('领用录入（明细）'!D:D=$F$4,'领用录入（明细）'!C:C&gt;=$J$4,'领用录入（明细）'!C:C&lt;=$L$4),ROW(),"-")</f>
        <v>-</v>
      </c>
    </row>
    <row r="1511" customHeight="1" spans="2:2">
      <c r="B1511" s="62" t="str">
        <f>IF(AND('领用录入（明细）'!D:D=$F$4,'领用录入（明细）'!C:C&gt;=$J$4,'领用录入（明细）'!C:C&lt;=$L$4),ROW(),"-")</f>
        <v>-</v>
      </c>
    </row>
    <row r="1512" customHeight="1" spans="2:2">
      <c r="B1512" s="62" t="str">
        <f>IF(AND('领用录入（明细）'!D:D=$F$4,'领用录入（明细）'!C:C&gt;=$J$4,'领用录入（明细）'!C:C&lt;=$L$4),ROW(),"-")</f>
        <v>-</v>
      </c>
    </row>
    <row r="1513" customHeight="1" spans="2:2">
      <c r="B1513" s="62" t="str">
        <f>IF(AND('领用录入（明细）'!D:D=$F$4,'领用录入（明细）'!C:C&gt;=$J$4,'领用录入（明细）'!C:C&lt;=$L$4),ROW(),"-")</f>
        <v>-</v>
      </c>
    </row>
    <row r="1514" customHeight="1" spans="2:2">
      <c r="B1514" s="62" t="str">
        <f>IF(AND('领用录入（明细）'!D:D=$F$4,'领用录入（明细）'!C:C&gt;=$J$4,'领用录入（明细）'!C:C&lt;=$L$4),ROW(),"-")</f>
        <v>-</v>
      </c>
    </row>
    <row r="1515" customHeight="1" spans="2:2">
      <c r="B1515" s="62" t="str">
        <f>IF(AND('领用录入（明细）'!D:D=$F$4,'领用录入（明细）'!C:C&gt;=$J$4,'领用录入（明细）'!C:C&lt;=$L$4),ROW(),"-")</f>
        <v>-</v>
      </c>
    </row>
    <row r="1516" customHeight="1" spans="2:2">
      <c r="B1516" s="62" t="str">
        <f>IF(AND('领用录入（明细）'!D:D=$F$4,'领用录入（明细）'!C:C&gt;=$J$4,'领用录入（明细）'!C:C&lt;=$L$4),ROW(),"-")</f>
        <v>-</v>
      </c>
    </row>
    <row r="1517" customHeight="1" spans="2:2">
      <c r="B1517" s="62" t="str">
        <f>IF(AND('领用录入（明细）'!D:D=$F$4,'领用录入（明细）'!C:C&gt;=$J$4,'领用录入（明细）'!C:C&lt;=$L$4),ROW(),"-")</f>
        <v>-</v>
      </c>
    </row>
    <row r="1518" customHeight="1" spans="2:2">
      <c r="B1518" s="62" t="str">
        <f>IF(AND('领用录入（明细）'!D:D=$F$4,'领用录入（明细）'!C:C&gt;=$J$4,'领用录入（明细）'!C:C&lt;=$L$4),ROW(),"-")</f>
        <v>-</v>
      </c>
    </row>
    <row r="1519" customHeight="1" spans="2:2">
      <c r="B1519" s="62" t="str">
        <f>IF(AND('领用录入（明细）'!D:D=$F$4,'领用录入（明细）'!C:C&gt;=$J$4,'领用录入（明细）'!C:C&lt;=$L$4),ROW(),"-")</f>
        <v>-</v>
      </c>
    </row>
    <row r="1520" customHeight="1" spans="2:2">
      <c r="B1520" s="62" t="str">
        <f>IF(AND('领用录入（明细）'!D:D=$F$4,'领用录入（明细）'!C:C&gt;=$J$4,'领用录入（明细）'!C:C&lt;=$L$4),ROW(),"-")</f>
        <v>-</v>
      </c>
    </row>
    <row r="1521" customHeight="1" spans="2:2">
      <c r="B1521" s="62" t="str">
        <f>IF(AND('领用录入（明细）'!D:D=$F$4,'领用录入（明细）'!C:C&gt;=$J$4,'领用录入（明细）'!C:C&lt;=$L$4),ROW(),"-")</f>
        <v>-</v>
      </c>
    </row>
    <row r="1522" customHeight="1" spans="2:2">
      <c r="B1522" s="62" t="str">
        <f>IF(AND('领用录入（明细）'!D:D=$F$4,'领用录入（明细）'!C:C&gt;=$J$4,'领用录入（明细）'!C:C&lt;=$L$4),ROW(),"-")</f>
        <v>-</v>
      </c>
    </row>
    <row r="1523" customHeight="1" spans="2:2">
      <c r="B1523" s="62" t="str">
        <f>IF(AND('领用录入（明细）'!D:D=$F$4,'领用录入（明细）'!C:C&gt;=$J$4,'领用录入（明细）'!C:C&lt;=$L$4),ROW(),"-")</f>
        <v>-</v>
      </c>
    </row>
    <row r="1524" customHeight="1" spans="2:2">
      <c r="B1524" s="62" t="str">
        <f>IF(AND('领用录入（明细）'!D:D=$F$4,'领用录入（明细）'!C:C&gt;=$J$4,'领用录入（明细）'!C:C&lt;=$L$4),ROW(),"-")</f>
        <v>-</v>
      </c>
    </row>
    <row r="1525" customHeight="1" spans="2:2">
      <c r="B1525" s="62" t="str">
        <f>IF(AND('领用录入（明细）'!D:D=$F$4,'领用录入（明细）'!C:C&gt;=$J$4,'领用录入（明细）'!C:C&lt;=$L$4),ROW(),"-")</f>
        <v>-</v>
      </c>
    </row>
    <row r="1526" customHeight="1" spans="2:2">
      <c r="B1526" s="62" t="str">
        <f>IF(AND('领用录入（明细）'!D:D=$F$4,'领用录入（明细）'!C:C&gt;=$J$4,'领用录入（明细）'!C:C&lt;=$L$4),ROW(),"-")</f>
        <v>-</v>
      </c>
    </row>
    <row r="1527" customHeight="1" spans="2:2">
      <c r="B1527" s="62" t="str">
        <f>IF(AND('领用录入（明细）'!D:D=$F$4,'领用录入（明细）'!C:C&gt;=$J$4,'领用录入（明细）'!C:C&lt;=$L$4),ROW(),"-")</f>
        <v>-</v>
      </c>
    </row>
    <row r="1528" customHeight="1" spans="2:2">
      <c r="B1528" s="62" t="str">
        <f>IF(AND('领用录入（明细）'!D:D=$F$4,'领用录入（明细）'!C:C&gt;=$J$4,'领用录入（明细）'!C:C&lt;=$L$4),ROW(),"-")</f>
        <v>-</v>
      </c>
    </row>
    <row r="1529" customHeight="1" spans="2:2">
      <c r="B1529" s="62" t="str">
        <f>IF(AND('领用录入（明细）'!D:D=$F$4,'领用录入（明细）'!C:C&gt;=$J$4,'领用录入（明细）'!C:C&lt;=$L$4),ROW(),"-")</f>
        <v>-</v>
      </c>
    </row>
    <row r="1530" customHeight="1" spans="2:2">
      <c r="B1530" s="62" t="str">
        <f>IF(AND('领用录入（明细）'!D:D=$F$4,'领用录入（明细）'!C:C&gt;=$J$4,'领用录入（明细）'!C:C&lt;=$L$4),ROW(),"-")</f>
        <v>-</v>
      </c>
    </row>
    <row r="1531" customHeight="1" spans="2:2">
      <c r="B1531" s="62" t="str">
        <f>IF(AND('领用录入（明细）'!D:D=$F$4,'领用录入（明细）'!C:C&gt;=$J$4,'领用录入（明细）'!C:C&lt;=$L$4),ROW(),"-")</f>
        <v>-</v>
      </c>
    </row>
    <row r="1532" customHeight="1" spans="2:2">
      <c r="B1532" s="62" t="str">
        <f>IF(AND('领用录入（明细）'!D:D=$F$4,'领用录入（明细）'!C:C&gt;=$J$4,'领用录入（明细）'!C:C&lt;=$L$4),ROW(),"-")</f>
        <v>-</v>
      </c>
    </row>
    <row r="1533" customHeight="1" spans="2:2">
      <c r="B1533" s="62" t="str">
        <f>IF(AND('领用录入（明细）'!D:D=$F$4,'领用录入（明细）'!C:C&gt;=$J$4,'领用录入（明细）'!C:C&lt;=$L$4),ROW(),"-")</f>
        <v>-</v>
      </c>
    </row>
    <row r="1534" customHeight="1" spans="2:2">
      <c r="B1534" s="62" t="str">
        <f>IF(AND('领用录入（明细）'!D:D=$F$4,'领用录入（明细）'!C:C&gt;=$J$4,'领用录入（明细）'!C:C&lt;=$L$4),ROW(),"-")</f>
        <v>-</v>
      </c>
    </row>
    <row r="1535" customHeight="1" spans="2:2">
      <c r="B1535" s="62" t="str">
        <f>IF(AND('领用录入（明细）'!D:D=$F$4,'领用录入（明细）'!C:C&gt;=$J$4,'领用录入（明细）'!C:C&lt;=$L$4),ROW(),"-")</f>
        <v>-</v>
      </c>
    </row>
    <row r="1536" customHeight="1" spans="2:2">
      <c r="B1536" s="62" t="str">
        <f>IF(AND('领用录入（明细）'!D:D=$F$4,'领用录入（明细）'!C:C&gt;=$J$4,'领用录入（明细）'!C:C&lt;=$L$4),ROW(),"-")</f>
        <v>-</v>
      </c>
    </row>
    <row r="1537" customHeight="1" spans="2:2">
      <c r="B1537" s="62" t="str">
        <f>IF(AND('领用录入（明细）'!D:D=$F$4,'领用录入（明细）'!C:C&gt;=$J$4,'领用录入（明细）'!C:C&lt;=$L$4),ROW(),"-")</f>
        <v>-</v>
      </c>
    </row>
    <row r="1538" customHeight="1" spans="2:2">
      <c r="B1538" s="62" t="str">
        <f>IF(AND('领用录入（明细）'!D:D=$F$4,'领用录入（明细）'!C:C&gt;=$J$4,'领用录入（明细）'!C:C&lt;=$L$4),ROW(),"-")</f>
        <v>-</v>
      </c>
    </row>
    <row r="1539" customHeight="1" spans="2:2">
      <c r="B1539" s="62" t="str">
        <f>IF(AND('领用录入（明细）'!D:D=$F$4,'领用录入（明细）'!C:C&gt;=$J$4,'领用录入（明细）'!C:C&lt;=$L$4),ROW(),"-")</f>
        <v>-</v>
      </c>
    </row>
    <row r="1540" customHeight="1" spans="2:2">
      <c r="B1540" s="62" t="str">
        <f>IF(AND('领用录入（明细）'!D:D=$F$4,'领用录入（明细）'!C:C&gt;=$J$4,'领用录入（明细）'!C:C&lt;=$L$4),ROW(),"-")</f>
        <v>-</v>
      </c>
    </row>
    <row r="1541" customHeight="1" spans="2:2">
      <c r="B1541" s="62" t="str">
        <f>IF(AND('领用录入（明细）'!D:D=$F$4,'领用录入（明细）'!C:C&gt;=$J$4,'领用录入（明细）'!C:C&lt;=$L$4),ROW(),"-")</f>
        <v>-</v>
      </c>
    </row>
    <row r="1542" customHeight="1" spans="2:2">
      <c r="B1542" s="62" t="str">
        <f>IF(AND('领用录入（明细）'!D:D=$F$4,'领用录入（明细）'!C:C&gt;=$J$4,'领用录入（明细）'!C:C&lt;=$L$4),ROW(),"-")</f>
        <v>-</v>
      </c>
    </row>
    <row r="1543" customHeight="1" spans="2:2">
      <c r="B1543" s="62" t="str">
        <f>IF(AND('领用录入（明细）'!D:D=$F$4,'领用录入（明细）'!C:C&gt;=$J$4,'领用录入（明细）'!C:C&lt;=$L$4),ROW(),"-")</f>
        <v>-</v>
      </c>
    </row>
    <row r="1544" customHeight="1" spans="2:2">
      <c r="B1544" s="62" t="str">
        <f>IF(AND('领用录入（明细）'!D:D=$F$4,'领用录入（明细）'!C:C&gt;=$J$4,'领用录入（明细）'!C:C&lt;=$L$4),ROW(),"-")</f>
        <v>-</v>
      </c>
    </row>
    <row r="1545" customHeight="1" spans="2:2">
      <c r="B1545" s="62" t="str">
        <f>IF(AND('领用录入（明细）'!D:D=$F$4,'领用录入（明细）'!C:C&gt;=$J$4,'领用录入（明细）'!C:C&lt;=$L$4),ROW(),"-")</f>
        <v>-</v>
      </c>
    </row>
    <row r="1546" customHeight="1" spans="2:2">
      <c r="B1546" s="62" t="str">
        <f>IF(AND('领用录入（明细）'!D:D=$F$4,'领用录入（明细）'!C:C&gt;=$J$4,'领用录入（明细）'!C:C&lt;=$L$4),ROW(),"-")</f>
        <v>-</v>
      </c>
    </row>
    <row r="1547" customHeight="1" spans="2:2">
      <c r="B1547" s="62" t="str">
        <f>IF(AND('领用录入（明细）'!D:D=$F$4,'领用录入（明细）'!C:C&gt;=$J$4,'领用录入（明细）'!C:C&lt;=$L$4),ROW(),"-")</f>
        <v>-</v>
      </c>
    </row>
    <row r="1548" customHeight="1" spans="2:2">
      <c r="B1548" s="62" t="str">
        <f>IF(AND('领用录入（明细）'!D:D=$F$4,'领用录入（明细）'!C:C&gt;=$J$4,'领用录入（明细）'!C:C&lt;=$L$4),ROW(),"-")</f>
        <v>-</v>
      </c>
    </row>
    <row r="1549" customHeight="1" spans="2:2">
      <c r="B1549" s="62" t="str">
        <f>IF(AND('领用录入（明细）'!D:D=$F$4,'领用录入（明细）'!C:C&gt;=$J$4,'领用录入（明细）'!C:C&lt;=$L$4),ROW(),"-")</f>
        <v>-</v>
      </c>
    </row>
    <row r="1550" customHeight="1" spans="2:2">
      <c r="B1550" s="62" t="str">
        <f>IF(AND('领用录入（明细）'!D:D=$F$4,'领用录入（明细）'!C:C&gt;=$J$4,'领用录入（明细）'!C:C&lt;=$L$4),ROW(),"-")</f>
        <v>-</v>
      </c>
    </row>
    <row r="1551" customHeight="1" spans="2:2">
      <c r="B1551" s="62" t="str">
        <f>IF(AND('领用录入（明细）'!D:D=$F$4,'领用录入（明细）'!C:C&gt;=$J$4,'领用录入（明细）'!C:C&lt;=$L$4),ROW(),"-")</f>
        <v>-</v>
      </c>
    </row>
    <row r="1552" customHeight="1" spans="2:2">
      <c r="B1552" s="62" t="str">
        <f>IF(AND('领用录入（明细）'!D:D=$F$4,'领用录入（明细）'!C:C&gt;=$J$4,'领用录入（明细）'!C:C&lt;=$L$4),ROW(),"-")</f>
        <v>-</v>
      </c>
    </row>
    <row r="1553" customHeight="1" spans="2:2">
      <c r="B1553" s="62" t="str">
        <f>IF(AND('领用录入（明细）'!D:D=$F$4,'领用录入（明细）'!C:C&gt;=$J$4,'领用录入（明细）'!C:C&lt;=$L$4),ROW(),"-")</f>
        <v>-</v>
      </c>
    </row>
    <row r="1554" customHeight="1" spans="2:2">
      <c r="B1554" s="62" t="str">
        <f>IF(AND('领用录入（明细）'!D:D=$F$4,'领用录入（明细）'!C:C&gt;=$J$4,'领用录入（明细）'!C:C&lt;=$L$4),ROW(),"-")</f>
        <v>-</v>
      </c>
    </row>
    <row r="1555" customHeight="1" spans="2:2">
      <c r="B1555" s="62" t="str">
        <f>IF(AND('领用录入（明细）'!D:D=$F$4,'领用录入（明细）'!C:C&gt;=$J$4,'领用录入（明细）'!C:C&lt;=$L$4),ROW(),"-")</f>
        <v>-</v>
      </c>
    </row>
    <row r="1556" customHeight="1" spans="2:2">
      <c r="B1556" s="62" t="str">
        <f>IF(AND('领用录入（明细）'!D:D=$F$4,'领用录入（明细）'!C:C&gt;=$J$4,'领用录入（明细）'!C:C&lt;=$L$4),ROW(),"-")</f>
        <v>-</v>
      </c>
    </row>
    <row r="1557" customHeight="1" spans="2:2">
      <c r="B1557" s="62" t="str">
        <f>IF(AND('领用录入（明细）'!D:D=$F$4,'领用录入（明细）'!C:C&gt;=$J$4,'领用录入（明细）'!C:C&lt;=$L$4),ROW(),"-")</f>
        <v>-</v>
      </c>
    </row>
    <row r="1558" customHeight="1" spans="2:2">
      <c r="B1558" s="62" t="str">
        <f>IF(AND('领用录入（明细）'!D:D=$F$4,'领用录入（明细）'!C:C&gt;=$J$4,'领用录入（明细）'!C:C&lt;=$L$4),ROW(),"-")</f>
        <v>-</v>
      </c>
    </row>
    <row r="1559" customHeight="1" spans="2:2">
      <c r="B1559" s="62" t="str">
        <f>IF(AND('领用录入（明细）'!D:D=$F$4,'领用录入（明细）'!C:C&gt;=$J$4,'领用录入（明细）'!C:C&lt;=$L$4),ROW(),"-")</f>
        <v>-</v>
      </c>
    </row>
    <row r="1560" customHeight="1" spans="2:2">
      <c r="B1560" s="62" t="str">
        <f>IF(AND('领用录入（明细）'!D:D=$F$4,'领用录入（明细）'!C:C&gt;=$J$4,'领用录入（明细）'!C:C&lt;=$L$4),ROW(),"-")</f>
        <v>-</v>
      </c>
    </row>
    <row r="1561" customHeight="1" spans="2:2">
      <c r="B1561" s="62" t="str">
        <f>IF(AND('领用录入（明细）'!D:D=$F$4,'领用录入（明细）'!C:C&gt;=$J$4,'领用录入（明细）'!C:C&lt;=$L$4),ROW(),"-")</f>
        <v>-</v>
      </c>
    </row>
    <row r="1562" customHeight="1" spans="2:2">
      <c r="B1562" s="62" t="str">
        <f>IF(AND('领用录入（明细）'!D:D=$F$4,'领用录入（明细）'!C:C&gt;=$J$4,'领用录入（明细）'!C:C&lt;=$L$4),ROW(),"-")</f>
        <v>-</v>
      </c>
    </row>
    <row r="1563" customHeight="1" spans="2:2">
      <c r="B1563" s="62" t="str">
        <f>IF(AND('领用录入（明细）'!D:D=$F$4,'领用录入（明细）'!C:C&gt;=$J$4,'领用录入（明细）'!C:C&lt;=$L$4),ROW(),"-")</f>
        <v>-</v>
      </c>
    </row>
    <row r="1564" customHeight="1" spans="2:2">
      <c r="B1564" s="62" t="str">
        <f>IF(AND('领用录入（明细）'!D:D=$F$4,'领用录入（明细）'!C:C&gt;=$J$4,'领用录入（明细）'!C:C&lt;=$L$4),ROW(),"-")</f>
        <v>-</v>
      </c>
    </row>
    <row r="1565" customHeight="1" spans="2:2">
      <c r="B1565" s="62" t="str">
        <f>IF(AND('领用录入（明细）'!D:D=$F$4,'领用录入（明细）'!C:C&gt;=$J$4,'领用录入（明细）'!C:C&lt;=$L$4),ROW(),"-")</f>
        <v>-</v>
      </c>
    </row>
    <row r="1566" customHeight="1" spans="2:2">
      <c r="B1566" s="62" t="str">
        <f>IF(AND('领用录入（明细）'!D:D=$F$4,'领用录入（明细）'!C:C&gt;=$J$4,'领用录入（明细）'!C:C&lt;=$L$4),ROW(),"-")</f>
        <v>-</v>
      </c>
    </row>
    <row r="1567" customHeight="1" spans="2:2">
      <c r="B1567" s="62" t="str">
        <f>IF(AND('领用录入（明细）'!D:D=$F$4,'领用录入（明细）'!C:C&gt;=$J$4,'领用录入（明细）'!C:C&lt;=$L$4),ROW(),"-")</f>
        <v>-</v>
      </c>
    </row>
    <row r="1568" customHeight="1" spans="2:2">
      <c r="B1568" s="62" t="str">
        <f>IF(AND('领用录入（明细）'!D:D=$F$4,'领用录入（明细）'!C:C&gt;=$J$4,'领用录入（明细）'!C:C&lt;=$L$4),ROW(),"-")</f>
        <v>-</v>
      </c>
    </row>
    <row r="1569" customHeight="1" spans="2:2">
      <c r="B1569" s="62" t="str">
        <f>IF(AND('领用录入（明细）'!D:D=$F$4,'领用录入（明细）'!C:C&gt;=$J$4,'领用录入（明细）'!C:C&lt;=$L$4),ROW(),"-")</f>
        <v>-</v>
      </c>
    </row>
    <row r="1570" customHeight="1" spans="2:2">
      <c r="B1570" s="62" t="str">
        <f>IF(AND('领用录入（明细）'!D:D=$F$4,'领用录入（明细）'!C:C&gt;=$J$4,'领用录入（明细）'!C:C&lt;=$L$4),ROW(),"-")</f>
        <v>-</v>
      </c>
    </row>
    <row r="1571" customHeight="1" spans="2:2">
      <c r="B1571" s="62" t="str">
        <f>IF(AND('领用录入（明细）'!D:D=$F$4,'领用录入（明细）'!C:C&gt;=$J$4,'领用录入（明细）'!C:C&lt;=$L$4),ROW(),"-")</f>
        <v>-</v>
      </c>
    </row>
    <row r="1572" customHeight="1" spans="2:2">
      <c r="B1572" s="62" t="str">
        <f>IF(AND('领用录入（明细）'!D:D=$F$4,'领用录入（明细）'!C:C&gt;=$J$4,'领用录入（明细）'!C:C&lt;=$L$4),ROW(),"-")</f>
        <v>-</v>
      </c>
    </row>
    <row r="1573" customHeight="1" spans="2:2">
      <c r="B1573" s="62" t="str">
        <f>IF(AND('领用录入（明细）'!D:D=$F$4,'领用录入（明细）'!C:C&gt;=$J$4,'领用录入（明细）'!C:C&lt;=$L$4),ROW(),"-")</f>
        <v>-</v>
      </c>
    </row>
    <row r="1574" customHeight="1" spans="2:2">
      <c r="B1574" s="62" t="str">
        <f>IF(AND('领用录入（明细）'!D:D=$F$4,'领用录入（明细）'!C:C&gt;=$J$4,'领用录入（明细）'!C:C&lt;=$L$4),ROW(),"-")</f>
        <v>-</v>
      </c>
    </row>
    <row r="1575" customHeight="1" spans="2:2">
      <c r="B1575" s="62" t="str">
        <f>IF(AND('领用录入（明细）'!D:D=$F$4,'领用录入（明细）'!C:C&gt;=$J$4,'领用录入（明细）'!C:C&lt;=$L$4),ROW(),"-")</f>
        <v>-</v>
      </c>
    </row>
    <row r="1576" customHeight="1" spans="2:2">
      <c r="B1576" s="62" t="str">
        <f>IF(AND('领用录入（明细）'!D:D=$F$4,'领用录入（明细）'!C:C&gt;=$J$4,'领用录入（明细）'!C:C&lt;=$L$4),ROW(),"-")</f>
        <v>-</v>
      </c>
    </row>
    <row r="1577" customHeight="1" spans="2:2">
      <c r="B1577" s="62" t="str">
        <f>IF(AND('领用录入（明细）'!D:D=$F$4,'领用录入（明细）'!C:C&gt;=$J$4,'领用录入（明细）'!C:C&lt;=$L$4),ROW(),"-")</f>
        <v>-</v>
      </c>
    </row>
    <row r="1578" customHeight="1" spans="2:2">
      <c r="B1578" s="62" t="str">
        <f>IF(AND('领用录入（明细）'!D:D=$F$4,'领用录入（明细）'!C:C&gt;=$J$4,'领用录入（明细）'!C:C&lt;=$L$4),ROW(),"-")</f>
        <v>-</v>
      </c>
    </row>
    <row r="1579" customHeight="1" spans="2:2">
      <c r="B1579" s="62" t="str">
        <f>IF(AND('领用录入（明细）'!D:D=$F$4,'领用录入（明细）'!C:C&gt;=$J$4,'领用录入（明细）'!C:C&lt;=$L$4),ROW(),"-")</f>
        <v>-</v>
      </c>
    </row>
    <row r="1580" customHeight="1" spans="2:2">
      <c r="B1580" s="62" t="str">
        <f>IF(AND('领用录入（明细）'!D:D=$F$4,'领用录入（明细）'!C:C&gt;=$J$4,'领用录入（明细）'!C:C&lt;=$L$4),ROW(),"-")</f>
        <v>-</v>
      </c>
    </row>
    <row r="1581" customHeight="1" spans="2:2">
      <c r="B1581" s="62" t="str">
        <f>IF(AND('领用录入（明细）'!D:D=$F$4,'领用录入（明细）'!C:C&gt;=$J$4,'领用录入（明细）'!C:C&lt;=$L$4),ROW(),"-")</f>
        <v>-</v>
      </c>
    </row>
    <row r="1582" customHeight="1" spans="2:2">
      <c r="B1582" s="62" t="str">
        <f>IF(AND('领用录入（明细）'!D:D=$F$4,'领用录入（明细）'!C:C&gt;=$J$4,'领用录入（明细）'!C:C&lt;=$L$4),ROW(),"-")</f>
        <v>-</v>
      </c>
    </row>
    <row r="1583" customHeight="1" spans="2:2">
      <c r="B1583" s="62" t="str">
        <f>IF(AND('领用录入（明细）'!D:D=$F$4,'领用录入（明细）'!C:C&gt;=$J$4,'领用录入（明细）'!C:C&lt;=$L$4),ROW(),"-")</f>
        <v>-</v>
      </c>
    </row>
    <row r="1584" customHeight="1" spans="2:2">
      <c r="B1584" s="62" t="str">
        <f>IF(AND('领用录入（明细）'!D:D=$F$4,'领用录入（明细）'!C:C&gt;=$J$4,'领用录入（明细）'!C:C&lt;=$L$4),ROW(),"-")</f>
        <v>-</v>
      </c>
    </row>
    <row r="1585" customHeight="1" spans="2:2">
      <c r="B1585" s="62" t="str">
        <f>IF(AND('领用录入（明细）'!D:D=$F$4,'领用录入（明细）'!C:C&gt;=$J$4,'领用录入（明细）'!C:C&lt;=$L$4),ROW(),"-")</f>
        <v>-</v>
      </c>
    </row>
    <row r="1586" customHeight="1" spans="2:2">
      <c r="B1586" s="62" t="str">
        <f>IF(AND('领用录入（明细）'!D:D=$F$4,'领用录入（明细）'!C:C&gt;=$J$4,'领用录入（明细）'!C:C&lt;=$L$4),ROW(),"-")</f>
        <v>-</v>
      </c>
    </row>
    <row r="1587" customHeight="1" spans="2:2">
      <c r="B1587" s="62" t="str">
        <f>IF(AND('领用录入（明细）'!D:D=$F$4,'领用录入（明细）'!C:C&gt;=$J$4,'领用录入（明细）'!C:C&lt;=$L$4),ROW(),"-")</f>
        <v>-</v>
      </c>
    </row>
    <row r="1588" customHeight="1" spans="2:2">
      <c r="B1588" s="62" t="str">
        <f>IF(AND('领用录入（明细）'!D:D=$F$4,'领用录入（明细）'!C:C&gt;=$J$4,'领用录入（明细）'!C:C&lt;=$L$4),ROW(),"-")</f>
        <v>-</v>
      </c>
    </row>
    <row r="1589" customHeight="1" spans="2:2">
      <c r="B1589" s="62" t="str">
        <f>IF(AND('领用录入（明细）'!D:D=$F$4,'领用录入（明细）'!C:C&gt;=$J$4,'领用录入（明细）'!C:C&lt;=$L$4),ROW(),"-")</f>
        <v>-</v>
      </c>
    </row>
    <row r="1590" customHeight="1" spans="2:2">
      <c r="B1590" s="62" t="str">
        <f>IF(AND('领用录入（明细）'!D:D=$F$4,'领用录入（明细）'!C:C&gt;=$J$4,'领用录入（明细）'!C:C&lt;=$L$4),ROW(),"-")</f>
        <v>-</v>
      </c>
    </row>
    <row r="1591" customHeight="1" spans="2:2">
      <c r="B1591" s="62" t="str">
        <f>IF(AND('领用录入（明细）'!D:D=$F$4,'领用录入（明细）'!C:C&gt;=$J$4,'领用录入（明细）'!C:C&lt;=$L$4),ROW(),"-")</f>
        <v>-</v>
      </c>
    </row>
    <row r="1592" customHeight="1" spans="2:2">
      <c r="B1592" s="62" t="str">
        <f>IF(AND('领用录入（明细）'!D:D=$F$4,'领用录入（明细）'!C:C&gt;=$J$4,'领用录入（明细）'!C:C&lt;=$L$4),ROW(),"-")</f>
        <v>-</v>
      </c>
    </row>
    <row r="1593" customHeight="1" spans="2:2">
      <c r="B1593" s="62" t="str">
        <f>IF(AND('领用录入（明细）'!D:D=$F$4,'领用录入（明细）'!C:C&gt;=$J$4,'领用录入（明细）'!C:C&lt;=$L$4),ROW(),"-")</f>
        <v>-</v>
      </c>
    </row>
    <row r="1594" customHeight="1" spans="2:2">
      <c r="B1594" s="62" t="str">
        <f>IF(AND('领用录入（明细）'!D:D=$F$4,'领用录入（明细）'!C:C&gt;=$J$4,'领用录入（明细）'!C:C&lt;=$L$4),ROW(),"-")</f>
        <v>-</v>
      </c>
    </row>
    <row r="1595" customHeight="1" spans="2:2">
      <c r="B1595" s="62" t="str">
        <f>IF(AND('领用录入（明细）'!D:D=$F$4,'领用录入（明细）'!C:C&gt;=$J$4,'领用录入（明细）'!C:C&lt;=$L$4),ROW(),"-")</f>
        <v>-</v>
      </c>
    </row>
    <row r="1596" customHeight="1" spans="2:2">
      <c r="B1596" s="62" t="str">
        <f>IF(AND('领用录入（明细）'!D:D=$F$4,'领用录入（明细）'!C:C&gt;=$J$4,'领用录入（明细）'!C:C&lt;=$L$4),ROW(),"-")</f>
        <v>-</v>
      </c>
    </row>
    <row r="1597" customHeight="1" spans="2:2">
      <c r="B1597" s="62" t="str">
        <f>IF(AND('领用录入（明细）'!D:D=$F$4,'领用录入（明细）'!C:C&gt;=$J$4,'领用录入（明细）'!C:C&lt;=$L$4),ROW(),"-")</f>
        <v>-</v>
      </c>
    </row>
    <row r="1598" customHeight="1" spans="2:2">
      <c r="B1598" s="62" t="str">
        <f>IF(AND('领用录入（明细）'!D:D=$F$4,'领用录入（明细）'!C:C&gt;=$J$4,'领用录入（明细）'!C:C&lt;=$L$4),ROW(),"-")</f>
        <v>-</v>
      </c>
    </row>
    <row r="1599" customHeight="1" spans="2:2">
      <c r="B1599" s="62" t="str">
        <f>IF(AND('领用录入（明细）'!D:D=$F$4,'领用录入（明细）'!C:C&gt;=$J$4,'领用录入（明细）'!C:C&lt;=$L$4),ROW(),"-")</f>
        <v>-</v>
      </c>
    </row>
    <row r="1600" customHeight="1" spans="2:2">
      <c r="B1600" s="62" t="str">
        <f>IF(AND('领用录入（明细）'!D:D=$F$4,'领用录入（明细）'!C:C&gt;=$J$4,'领用录入（明细）'!C:C&lt;=$L$4),ROW(),"-")</f>
        <v>-</v>
      </c>
    </row>
    <row r="1601" customHeight="1" spans="2:2">
      <c r="B1601" s="62" t="str">
        <f>IF(AND('领用录入（明细）'!D:D=$F$4,'领用录入（明细）'!C:C&gt;=$J$4,'领用录入（明细）'!C:C&lt;=$L$4),ROW(),"-")</f>
        <v>-</v>
      </c>
    </row>
    <row r="1602" customHeight="1" spans="2:2">
      <c r="B1602" s="62" t="str">
        <f>IF(AND('领用录入（明细）'!D:D=$F$4,'领用录入（明细）'!C:C&gt;=$J$4,'领用录入（明细）'!C:C&lt;=$L$4),ROW(),"-")</f>
        <v>-</v>
      </c>
    </row>
    <row r="1603" customHeight="1" spans="2:2">
      <c r="B1603" s="62" t="str">
        <f>IF(AND('领用录入（明细）'!D:D=$F$4,'领用录入（明细）'!C:C&gt;=$J$4,'领用录入（明细）'!C:C&lt;=$L$4),ROW(),"-")</f>
        <v>-</v>
      </c>
    </row>
    <row r="1604" customHeight="1" spans="2:2">
      <c r="B1604" s="62" t="str">
        <f>IF(AND('领用录入（明细）'!D:D=$F$4,'领用录入（明细）'!C:C&gt;=$J$4,'领用录入（明细）'!C:C&lt;=$L$4),ROW(),"-")</f>
        <v>-</v>
      </c>
    </row>
    <row r="1605" customHeight="1" spans="2:2">
      <c r="B1605" s="62" t="str">
        <f>IF(AND('领用录入（明细）'!D:D=$F$4,'领用录入（明细）'!C:C&gt;=$J$4,'领用录入（明细）'!C:C&lt;=$L$4),ROW(),"-")</f>
        <v>-</v>
      </c>
    </row>
    <row r="1606" customHeight="1" spans="2:2">
      <c r="B1606" s="62" t="str">
        <f>IF(AND('领用录入（明细）'!D:D=$F$4,'领用录入（明细）'!C:C&gt;=$J$4,'领用录入（明细）'!C:C&lt;=$L$4),ROW(),"-")</f>
        <v>-</v>
      </c>
    </row>
    <row r="1607" customHeight="1" spans="2:2">
      <c r="B1607" s="62" t="str">
        <f>IF(AND('领用录入（明细）'!D:D=$F$4,'领用录入（明细）'!C:C&gt;=$J$4,'领用录入（明细）'!C:C&lt;=$L$4),ROW(),"-")</f>
        <v>-</v>
      </c>
    </row>
    <row r="1608" customHeight="1" spans="2:2">
      <c r="B1608" s="62" t="str">
        <f>IF(AND('领用录入（明细）'!D:D=$F$4,'领用录入（明细）'!C:C&gt;=$J$4,'领用录入（明细）'!C:C&lt;=$L$4),ROW(),"-")</f>
        <v>-</v>
      </c>
    </row>
    <row r="1609" customHeight="1" spans="2:2">
      <c r="B1609" s="62" t="str">
        <f>IF(AND('领用录入（明细）'!D:D=$F$4,'领用录入（明细）'!C:C&gt;=$J$4,'领用录入（明细）'!C:C&lt;=$L$4),ROW(),"-")</f>
        <v>-</v>
      </c>
    </row>
    <row r="1610" customHeight="1" spans="2:2">
      <c r="B1610" s="62" t="str">
        <f>IF(AND('领用录入（明细）'!D:D=$F$4,'领用录入（明细）'!C:C&gt;=$J$4,'领用录入（明细）'!C:C&lt;=$L$4),ROW(),"-")</f>
        <v>-</v>
      </c>
    </row>
    <row r="1611" customHeight="1" spans="2:2">
      <c r="B1611" s="62" t="str">
        <f>IF(AND('领用录入（明细）'!D:D=$F$4,'领用录入（明细）'!C:C&gt;=$J$4,'领用录入（明细）'!C:C&lt;=$L$4),ROW(),"-")</f>
        <v>-</v>
      </c>
    </row>
    <row r="1612" customHeight="1" spans="2:2">
      <c r="B1612" s="62" t="str">
        <f>IF(AND('领用录入（明细）'!D:D=$F$4,'领用录入（明细）'!C:C&gt;=$J$4,'领用录入（明细）'!C:C&lt;=$L$4),ROW(),"-")</f>
        <v>-</v>
      </c>
    </row>
    <row r="1613" customHeight="1" spans="2:2">
      <c r="B1613" s="62" t="str">
        <f>IF(AND('领用录入（明细）'!D:D=$F$4,'领用录入（明细）'!C:C&gt;=$J$4,'领用录入（明细）'!C:C&lt;=$L$4),ROW(),"-")</f>
        <v>-</v>
      </c>
    </row>
    <row r="1614" customHeight="1" spans="2:2">
      <c r="B1614" s="62" t="str">
        <f>IF(AND('领用录入（明细）'!D:D=$F$4,'领用录入（明细）'!C:C&gt;=$J$4,'领用录入（明细）'!C:C&lt;=$L$4),ROW(),"-")</f>
        <v>-</v>
      </c>
    </row>
    <row r="1615" customHeight="1" spans="2:2">
      <c r="B1615" s="62" t="str">
        <f>IF(AND('领用录入（明细）'!D:D=$F$4,'领用录入（明细）'!C:C&gt;=$J$4,'领用录入（明细）'!C:C&lt;=$L$4),ROW(),"-")</f>
        <v>-</v>
      </c>
    </row>
    <row r="1616" customHeight="1" spans="2:2">
      <c r="B1616" s="62" t="str">
        <f>IF(AND('领用录入（明细）'!D:D=$F$4,'领用录入（明细）'!C:C&gt;=$J$4,'领用录入（明细）'!C:C&lt;=$L$4),ROW(),"-")</f>
        <v>-</v>
      </c>
    </row>
    <row r="1617" customHeight="1" spans="2:2">
      <c r="B1617" s="62" t="str">
        <f>IF(AND('领用录入（明细）'!D:D=$F$4,'领用录入（明细）'!C:C&gt;=$J$4,'领用录入（明细）'!C:C&lt;=$L$4),ROW(),"-")</f>
        <v>-</v>
      </c>
    </row>
    <row r="1618" customHeight="1" spans="2:2">
      <c r="B1618" s="62" t="str">
        <f>IF(AND('领用录入（明细）'!D:D=$F$4,'领用录入（明细）'!C:C&gt;=$J$4,'领用录入（明细）'!C:C&lt;=$L$4),ROW(),"-")</f>
        <v>-</v>
      </c>
    </row>
    <row r="1619" customHeight="1" spans="2:2">
      <c r="B1619" s="62" t="str">
        <f>IF(AND('领用录入（明细）'!D:D=$F$4,'领用录入（明细）'!C:C&gt;=$J$4,'领用录入（明细）'!C:C&lt;=$L$4),ROW(),"-")</f>
        <v>-</v>
      </c>
    </row>
    <row r="1620" customHeight="1" spans="2:2">
      <c r="B1620" s="62" t="str">
        <f>IF(AND('领用录入（明细）'!D:D=$F$4,'领用录入（明细）'!C:C&gt;=$J$4,'领用录入（明细）'!C:C&lt;=$L$4),ROW(),"-")</f>
        <v>-</v>
      </c>
    </row>
    <row r="1621" customHeight="1" spans="2:2">
      <c r="B1621" s="62" t="str">
        <f>IF(AND('领用录入（明细）'!D:D=$F$4,'领用录入（明细）'!C:C&gt;=$J$4,'领用录入（明细）'!C:C&lt;=$L$4),ROW(),"-")</f>
        <v>-</v>
      </c>
    </row>
    <row r="1622" customHeight="1" spans="2:2">
      <c r="B1622" s="62" t="str">
        <f>IF(AND('领用录入（明细）'!D:D=$F$4,'领用录入（明细）'!C:C&gt;=$J$4,'领用录入（明细）'!C:C&lt;=$L$4),ROW(),"-")</f>
        <v>-</v>
      </c>
    </row>
    <row r="1623" customHeight="1" spans="2:2">
      <c r="B1623" s="62" t="str">
        <f>IF(AND('领用录入（明细）'!D:D=$F$4,'领用录入（明细）'!C:C&gt;=$J$4,'领用录入（明细）'!C:C&lt;=$L$4),ROW(),"-")</f>
        <v>-</v>
      </c>
    </row>
    <row r="1624" customHeight="1" spans="2:2">
      <c r="B1624" s="62" t="str">
        <f>IF(AND('领用录入（明细）'!D:D=$F$4,'领用录入（明细）'!C:C&gt;=$J$4,'领用录入（明细）'!C:C&lt;=$L$4),ROW(),"-")</f>
        <v>-</v>
      </c>
    </row>
    <row r="1625" customHeight="1" spans="2:2">
      <c r="B1625" s="62" t="str">
        <f>IF(AND('领用录入（明细）'!D:D=$F$4,'领用录入（明细）'!C:C&gt;=$J$4,'领用录入（明细）'!C:C&lt;=$L$4),ROW(),"-")</f>
        <v>-</v>
      </c>
    </row>
    <row r="1626" customHeight="1" spans="2:2">
      <c r="B1626" s="62" t="str">
        <f>IF(AND('领用录入（明细）'!D:D=$F$4,'领用录入（明细）'!C:C&gt;=$J$4,'领用录入（明细）'!C:C&lt;=$L$4),ROW(),"-")</f>
        <v>-</v>
      </c>
    </row>
    <row r="1627" customHeight="1" spans="2:2">
      <c r="B1627" s="62" t="str">
        <f>IF(AND('领用录入（明细）'!D:D=$F$4,'领用录入（明细）'!C:C&gt;=$J$4,'领用录入（明细）'!C:C&lt;=$L$4),ROW(),"-")</f>
        <v>-</v>
      </c>
    </row>
    <row r="1628" customHeight="1" spans="2:2">
      <c r="B1628" s="62" t="str">
        <f>IF(AND('领用录入（明细）'!D:D=$F$4,'领用录入（明细）'!C:C&gt;=$J$4,'领用录入（明细）'!C:C&lt;=$L$4),ROW(),"-")</f>
        <v>-</v>
      </c>
    </row>
    <row r="1629" customHeight="1" spans="2:2">
      <c r="B1629" s="62" t="str">
        <f>IF(AND('领用录入（明细）'!D:D=$F$4,'领用录入（明细）'!C:C&gt;=$J$4,'领用录入（明细）'!C:C&lt;=$L$4),ROW(),"-")</f>
        <v>-</v>
      </c>
    </row>
    <row r="1630" customHeight="1" spans="2:2">
      <c r="B1630" s="62" t="str">
        <f>IF(AND('领用录入（明细）'!D:D=$F$4,'领用录入（明细）'!C:C&gt;=$J$4,'领用录入（明细）'!C:C&lt;=$L$4),ROW(),"-")</f>
        <v>-</v>
      </c>
    </row>
    <row r="1631" customHeight="1" spans="2:2">
      <c r="B1631" s="62" t="str">
        <f>IF(AND('领用录入（明细）'!D:D=$F$4,'领用录入（明细）'!C:C&gt;=$J$4,'领用录入（明细）'!C:C&lt;=$L$4),ROW(),"-")</f>
        <v>-</v>
      </c>
    </row>
    <row r="1632" customHeight="1" spans="2:2">
      <c r="B1632" s="62" t="str">
        <f>IF(AND('领用录入（明细）'!D:D=$F$4,'领用录入（明细）'!C:C&gt;=$J$4,'领用录入（明细）'!C:C&lt;=$L$4),ROW(),"-")</f>
        <v>-</v>
      </c>
    </row>
    <row r="1633" customHeight="1" spans="2:2">
      <c r="B1633" s="62" t="str">
        <f>IF(AND('领用录入（明细）'!D:D=$F$4,'领用录入（明细）'!C:C&gt;=$J$4,'领用录入（明细）'!C:C&lt;=$L$4),ROW(),"-")</f>
        <v>-</v>
      </c>
    </row>
    <row r="1634" customHeight="1" spans="2:2">
      <c r="B1634" s="62" t="str">
        <f>IF(AND('领用录入（明细）'!D:D=$F$4,'领用录入（明细）'!C:C&gt;=$J$4,'领用录入（明细）'!C:C&lt;=$L$4),ROW(),"-")</f>
        <v>-</v>
      </c>
    </row>
    <row r="1635" customHeight="1" spans="2:2">
      <c r="B1635" s="62" t="str">
        <f>IF(AND('领用录入（明细）'!D:D=$F$4,'领用录入（明细）'!C:C&gt;=$J$4,'领用录入（明细）'!C:C&lt;=$L$4),ROW(),"-")</f>
        <v>-</v>
      </c>
    </row>
    <row r="1636" customHeight="1" spans="2:2">
      <c r="B1636" s="62" t="str">
        <f>IF(AND('领用录入（明细）'!D:D=$F$4,'领用录入（明细）'!C:C&gt;=$J$4,'领用录入（明细）'!C:C&lt;=$L$4),ROW(),"-")</f>
        <v>-</v>
      </c>
    </row>
    <row r="1637" customHeight="1" spans="2:2">
      <c r="B1637" s="62" t="str">
        <f>IF(AND('领用录入（明细）'!D:D=$F$4,'领用录入（明细）'!C:C&gt;=$J$4,'领用录入（明细）'!C:C&lt;=$L$4),ROW(),"-")</f>
        <v>-</v>
      </c>
    </row>
    <row r="1638" customHeight="1" spans="2:2">
      <c r="B1638" s="62" t="str">
        <f>IF(AND('领用录入（明细）'!D:D=$F$4,'领用录入（明细）'!C:C&gt;=$J$4,'领用录入（明细）'!C:C&lt;=$L$4),ROW(),"-")</f>
        <v>-</v>
      </c>
    </row>
    <row r="1639" customHeight="1" spans="2:2">
      <c r="B1639" s="62" t="str">
        <f>IF(AND('领用录入（明细）'!D:D=$F$4,'领用录入（明细）'!C:C&gt;=$J$4,'领用录入（明细）'!C:C&lt;=$L$4),ROW(),"-")</f>
        <v>-</v>
      </c>
    </row>
    <row r="1640" customHeight="1" spans="2:2">
      <c r="B1640" s="62" t="str">
        <f>IF(AND('领用录入（明细）'!D:D=$F$4,'领用录入（明细）'!C:C&gt;=$J$4,'领用录入（明细）'!C:C&lt;=$L$4),ROW(),"-")</f>
        <v>-</v>
      </c>
    </row>
    <row r="1641" customHeight="1" spans="2:2">
      <c r="B1641" s="62" t="str">
        <f>IF(AND('领用录入（明细）'!D:D=$F$4,'领用录入（明细）'!C:C&gt;=$J$4,'领用录入（明细）'!C:C&lt;=$L$4),ROW(),"-")</f>
        <v>-</v>
      </c>
    </row>
    <row r="1642" customHeight="1" spans="2:2">
      <c r="B1642" s="62" t="str">
        <f>IF(AND('领用录入（明细）'!D:D=$F$4,'领用录入（明细）'!C:C&gt;=$J$4,'领用录入（明细）'!C:C&lt;=$L$4),ROW(),"-")</f>
        <v>-</v>
      </c>
    </row>
    <row r="1643" customHeight="1" spans="2:2">
      <c r="B1643" s="62" t="str">
        <f>IF(AND('领用录入（明细）'!D:D=$F$4,'领用录入（明细）'!C:C&gt;=$J$4,'领用录入（明细）'!C:C&lt;=$L$4),ROW(),"-")</f>
        <v>-</v>
      </c>
    </row>
    <row r="1644" customHeight="1" spans="2:2">
      <c r="B1644" s="62" t="str">
        <f>IF(AND('领用录入（明细）'!D:D=$F$4,'领用录入（明细）'!C:C&gt;=$J$4,'领用录入（明细）'!C:C&lt;=$L$4),ROW(),"-")</f>
        <v>-</v>
      </c>
    </row>
    <row r="1645" customHeight="1" spans="2:2">
      <c r="B1645" s="62" t="str">
        <f>IF(AND('领用录入（明细）'!D:D=$F$4,'领用录入（明细）'!C:C&gt;=$J$4,'领用录入（明细）'!C:C&lt;=$L$4),ROW(),"-")</f>
        <v>-</v>
      </c>
    </row>
    <row r="1646" customHeight="1" spans="2:2">
      <c r="B1646" s="62" t="str">
        <f>IF(AND('领用录入（明细）'!D:D=$F$4,'领用录入（明细）'!C:C&gt;=$J$4,'领用录入（明细）'!C:C&lt;=$L$4),ROW(),"-")</f>
        <v>-</v>
      </c>
    </row>
    <row r="1647" customHeight="1" spans="2:2">
      <c r="B1647" s="62" t="str">
        <f>IF(AND('领用录入（明细）'!D:D=$F$4,'领用录入（明细）'!C:C&gt;=$J$4,'领用录入（明细）'!C:C&lt;=$L$4),ROW(),"-")</f>
        <v>-</v>
      </c>
    </row>
    <row r="1648" customHeight="1" spans="2:2">
      <c r="B1648" s="62" t="str">
        <f>IF(AND('领用录入（明细）'!D:D=$F$4,'领用录入（明细）'!C:C&gt;=$J$4,'领用录入（明细）'!C:C&lt;=$L$4),ROW(),"-")</f>
        <v>-</v>
      </c>
    </row>
    <row r="1649" customHeight="1" spans="2:2">
      <c r="B1649" s="62" t="str">
        <f>IF(AND('领用录入（明细）'!D:D=$F$4,'领用录入（明细）'!C:C&gt;=$J$4,'领用录入（明细）'!C:C&lt;=$L$4),ROW(),"-")</f>
        <v>-</v>
      </c>
    </row>
    <row r="1650" customHeight="1" spans="2:2">
      <c r="B1650" s="62" t="str">
        <f>IF(AND('领用录入（明细）'!D:D=$F$4,'领用录入（明细）'!C:C&gt;=$J$4,'领用录入（明细）'!C:C&lt;=$L$4),ROW(),"-")</f>
        <v>-</v>
      </c>
    </row>
    <row r="1651" customHeight="1" spans="2:2">
      <c r="B1651" s="62" t="str">
        <f>IF(AND('领用录入（明细）'!D:D=$F$4,'领用录入（明细）'!C:C&gt;=$J$4,'领用录入（明细）'!C:C&lt;=$L$4),ROW(),"-")</f>
        <v>-</v>
      </c>
    </row>
    <row r="1652" customHeight="1" spans="2:2">
      <c r="B1652" s="62" t="str">
        <f>IF(AND('领用录入（明细）'!D:D=$F$4,'领用录入（明细）'!C:C&gt;=$J$4,'领用录入（明细）'!C:C&lt;=$L$4),ROW(),"-")</f>
        <v>-</v>
      </c>
    </row>
    <row r="1653" customHeight="1" spans="2:2">
      <c r="B1653" s="62" t="str">
        <f>IF(AND('领用录入（明细）'!D:D=$F$4,'领用录入（明细）'!C:C&gt;=$J$4,'领用录入（明细）'!C:C&lt;=$L$4),ROW(),"-")</f>
        <v>-</v>
      </c>
    </row>
    <row r="1654" customHeight="1" spans="2:2">
      <c r="B1654" s="62" t="str">
        <f>IF(AND('领用录入（明细）'!D:D=$F$4,'领用录入（明细）'!C:C&gt;=$J$4,'领用录入（明细）'!C:C&lt;=$L$4),ROW(),"-")</f>
        <v>-</v>
      </c>
    </row>
    <row r="1655" customHeight="1" spans="2:2">
      <c r="B1655" s="62" t="str">
        <f>IF(AND('领用录入（明细）'!D:D=$F$4,'领用录入（明细）'!C:C&gt;=$J$4,'领用录入（明细）'!C:C&lt;=$L$4),ROW(),"-")</f>
        <v>-</v>
      </c>
    </row>
    <row r="1656" customHeight="1" spans="2:2">
      <c r="B1656" s="62" t="str">
        <f>IF(AND('领用录入（明细）'!D:D=$F$4,'领用录入（明细）'!C:C&gt;=$J$4,'领用录入（明细）'!C:C&lt;=$L$4),ROW(),"-")</f>
        <v>-</v>
      </c>
    </row>
    <row r="1657" customHeight="1" spans="2:2">
      <c r="B1657" s="62" t="str">
        <f>IF(AND('领用录入（明细）'!D:D=$F$4,'领用录入（明细）'!C:C&gt;=$J$4,'领用录入（明细）'!C:C&lt;=$L$4),ROW(),"-")</f>
        <v>-</v>
      </c>
    </row>
    <row r="1658" customHeight="1" spans="2:2">
      <c r="B1658" s="62" t="str">
        <f>IF(AND('领用录入（明细）'!D:D=$F$4,'领用录入（明细）'!C:C&gt;=$J$4,'领用录入（明细）'!C:C&lt;=$L$4),ROW(),"-")</f>
        <v>-</v>
      </c>
    </row>
    <row r="1659" customHeight="1" spans="2:2">
      <c r="B1659" s="62" t="str">
        <f>IF(AND('领用录入（明细）'!D:D=$F$4,'领用录入（明细）'!C:C&gt;=$J$4,'领用录入（明细）'!C:C&lt;=$L$4),ROW(),"-")</f>
        <v>-</v>
      </c>
    </row>
    <row r="1660" customHeight="1" spans="2:2">
      <c r="B1660" s="62" t="str">
        <f>IF(AND('领用录入（明细）'!D:D=$F$4,'领用录入（明细）'!C:C&gt;=$J$4,'领用录入（明细）'!C:C&lt;=$L$4),ROW(),"-")</f>
        <v>-</v>
      </c>
    </row>
    <row r="1661" customHeight="1" spans="2:2">
      <c r="B1661" s="62" t="str">
        <f>IF(AND('领用录入（明细）'!D:D=$F$4,'领用录入（明细）'!C:C&gt;=$J$4,'领用录入（明细）'!C:C&lt;=$L$4),ROW(),"-")</f>
        <v>-</v>
      </c>
    </row>
    <row r="1662" customHeight="1" spans="2:2">
      <c r="B1662" s="62" t="str">
        <f>IF(AND('领用录入（明细）'!D:D=$F$4,'领用录入（明细）'!C:C&gt;=$J$4,'领用录入（明细）'!C:C&lt;=$L$4),ROW(),"-")</f>
        <v>-</v>
      </c>
    </row>
    <row r="1663" customHeight="1" spans="2:2">
      <c r="B1663" s="62" t="str">
        <f>IF(AND('领用录入（明细）'!D:D=$F$4,'领用录入（明细）'!C:C&gt;=$J$4,'领用录入（明细）'!C:C&lt;=$L$4),ROW(),"-")</f>
        <v>-</v>
      </c>
    </row>
    <row r="1664" customHeight="1" spans="2:2">
      <c r="B1664" s="62" t="str">
        <f>IF(AND('领用录入（明细）'!D:D=$F$4,'领用录入（明细）'!C:C&gt;=$J$4,'领用录入（明细）'!C:C&lt;=$L$4),ROW(),"-")</f>
        <v>-</v>
      </c>
    </row>
    <row r="1665" customHeight="1" spans="2:2">
      <c r="B1665" s="62" t="str">
        <f>IF(AND('领用录入（明细）'!D:D=$F$4,'领用录入（明细）'!C:C&gt;=$J$4,'领用录入（明细）'!C:C&lt;=$L$4),ROW(),"-")</f>
        <v>-</v>
      </c>
    </row>
    <row r="1666" customHeight="1" spans="2:2">
      <c r="B1666" s="62" t="str">
        <f>IF(AND('领用录入（明细）'!D:D=$F$4,'领用录入（明细）'!C:C&gt;=$J$4,'领用录入（明细）'!C:C&lt;=$L$4),ROW(),"-")</f>
        <v>-</v>
      </c>
    </row>
    <row r="1667" customHeight="1" spans="2:2">
      <c r="B1667" s="62" t="str">
        <f>IF(AND('领用录入（明细）'!D:D=$F$4,'领用录入（明细）'!C:C&gt;=$J$4,'领用录入（明细）'!C:C&lt;=$L$4),ROW(),"-")</f>
        <v>-</v>
      </c>
    </row>
    <row r="1668" customHeight="1" spans="2:2">
      <c r="B1668" s="62" t="str">
        <f>IF(AND('领用录入（明细）'!D:D=$F$4,'领用录入（明细）'!C:C&gt;=$J$4,'领用录入（明细）'!C:C&lt;=$L$4),ROW(),"-")</f>
        <v>-</v>
      </c>
    </row>
    <row r="1669" customHeight="1" spans="2:2">
      <c r="B1669" s="62" t="str">
        <f>IF(AND('领用录入（明细）'!D:D=$F$4,'领用录入（明细）'!C:C&gt;=$J$4,'领用录入（明细）'!C:C&lt;=$L$4),ROW(),"-")</f>
        <v>-</v>
      </c>
    </row>
    <row r="1670" customHeight="1" spans="2:2">
      <c r="B1670" s="62" t="str">
        <f>IF(AND('领用录入（明细）'!D:D=$F$4,'领用录入（明细）'!C:C&gt;=$J$4,'领用录入（明细）'!C:C&lt;=$L$4),ROW(),"-")</f>
        <v>-</v>
      </c>
    </row>
    <row r="1671" customHeight="1" spans="2:2">
      <c r="B1671" s="62" t="str">
        <f>IF(AND('领用录入（明细）'!D:D=$F$4,'领用录入（明细）'!C:C&gt;=$J$4,'领用录入（明细）'!C:C&lt;=$L$4),ROW(),"-")</f>
        <v>-</v>
      </c>
    </row>
    <row r="1672" customHeight="1" spans="2:2">
      <c r="B1672" s="62" t="str">
        <f>IF(AND('领用录入（明细）'!D:D=$F$4,'领用录入（明细）'!C:C&gt;=$J$4,'领用录入（明细）'!C:C&lt;=$L$4),ROW(),"-")</f>
        <v>-</v>
      </c>
    </row>
    <row r="1673" customHeight="1" spans="2:2">
      <c r="B1673" s="62" t="str">
        <f>IF(AND('领用录入（明细）'!D:D=$F$4,'领用录入（明细）'!C:C&gt;=$J$4,'领用录入（明细）'!C:C&lt;=$L$4),ROW(),"-")</f>
        <v>-</v>
      </c>
    </row>
    <row r="1674" customHeight="1" spans="2:2">
      <c r="B1674" s="62" t="str">
        <f>IF(AND('领用录入（明细）'!D:D=$F$4,'领用录入（明细）'!C:C&gt;=$J$4,'领用录入（明细）'!C:C&lt;=$L$4),ROW(),"-")</f>
        <v>-</v>
      </c>
    </row>
    <row r="1675" customHeight="1" spans="2:2">
      <c r="B1675" s="62" t="str">
        <f>IF(AND('领用录入（明细）'!D:D=$F$4,'领用录入（明细）'!C:C&gt;=$J$4,'领用录入（明细）'!C:C&lt;=$L$4),ROW(),"-")</f>
        <v>-</v>
      </c>
    </row>
    <row r="1676" customHeight="1" spans="2:2">
      <c r="B1676" s="62" t="str">
        <f>IF(AND('领用录入（明细）'!D:D=$F$4,'领用录入（明细）'!C:C&gt;=$J$4,'领用录入（明细）'!C:C&lt;=$L$4),ROW(),"-")</f>
        <v>-</v>
      </c>
    </row>
    <row r="1677" customHeight="1" spans="2:2">
      <c r="B1677" s="62" t="str">
        <f>IF(AND('领用录入（明细）'!D:D=$F$4,'领用录入（明细）'!C:C&gt;=$J$4,'领用录入（明细）'!C:C&lt;=$L$4),ROW(),"-")</f>
        <v>-</v>
      </c>
    </row>
    <row r="1678" customHeight="1" spans="2:2">
      <c r="B1678" s="62" t="str">
        <f>IF(AND('领用录入（明细）'!D:D=$F$4,'领用录入（明细）'!C:C&gt;=$J$4,'领用录入（明细）'!C:C&lt;=$L$4),ROW(),"-")</f>
        <v>-</v>
      </c>
    </row>
    <row r="1679" customHeight="1" spans="2:2">
      <c r="B1679" s="62" t="str">
        <f>IF(AND('领用录入（明细）'!D:D=$F$4,'领用录入（明细）'!C:C&gt;=$J$4,'领用录入（明细）'!C:C&lt;=$L$4),ROW(),"-")</f>
        <v>-</v>
      </c>
    </row>
    <row r="1680" customHeight="1" spans="2:2">
      <c r="B1680" s="62" t="str">
        <f>IF(AND('领用录入（明细）'!D:D=$F$4,'领用录入（明细）'!C:C&gt;=$J$4,'领用录入（明细）'!C:C&lt;=$L$4),ROW(),"-")</f>
        <v>-</v>
      </c>
    </row>
    <row r="1681" customHeight="1" spans="2:2">
      <c r="B1681" s="62" t="str">
        <f>IF(AND('领用录入（明细）'!D:D=$F$4,'领用录入（明细）'!C:C&gt;=$J$4,'领用录入（明细）'!C:C&lt;=$L$4),ROW(),"-")</f>
        <v>-</v>
      </c>
    </row>
    <row r="1682" customHeight="1" spans="2:2">
      <c r="B1682" s="62" t="str">
        <f>IF(AND('领用录入（明细）'!D:D=$F$4,'领用录入（明细）'!C:C&gt;=$J$4,'领用录入（明细）'!C:C&lt;=$L$4),ROW(),"-")</f>
        <v>-</v>
      </c>
    </row>
    <row r="1683" customHeight="1" spans="2:2">
      <c r="B1683" s="62" t="str">
        <f>IF(AND('领用录入（明细）'!D:D=$F$4,'领用录入（明细）'!C:C&gt;=$J$4,'领用录入（明细）'!C:C&lt;=$L$4),ROW(),"-")</f>
        <v>-</v>
      </c>
    </row>
    <row r="1684" customHeight="1" spans="2:2">
      <c r="B1684" s="62" t="str">
        <f>IF(AND('领用录入（明细）'!D:D=$F$4,'领用录入（明细）'!C:C&gt;=$J$4,'领用录入（明细）'!C:C&lt;=$L$4),ROW(),"-")</f>
        <v>-</v>
      </c>
    </row>
    <row r="1685" customHeight="1" spans="2:2">
      <c r="B1685" s="62" t="str">
        <f>IF(AND('领用录入（明细）'!D:D=$F$4,'领用录入（明细）'!C:C&gt;=$J$4,'领用录入（明细）'!C:C&lt;=$L$4),ROW(),"-")</f>
        <v>-</v>
      </c>
    </row>
    <row r="1686" customHeight="1" spans="2:2">
      <c r="B1686" s="62" t="str">
        <f>IF(AND('领用录入（明细）'!D:D=$F$4,'领用录入（明细）'!C:C&gt;=$J$4,'领用录入（明细）'!C:C&lt;=$L$4),ROW(),"-")</f>
        <v>-</v>
      </c>
    </row>
    <row r="1687" customHeight="1" spans="2:2">
      <c r="B1687" s="62" t="str">
        <f>IF(AND('领用录入（明细）'!D:D=$F$4,'领用录入（明细）'!C:C&gt;=$J$4,'领用录入（明细）'!C:C&lt;=$L$4),ROW(),"-")</f>
        <v>-</v>
      </c>
    </row>
    <row r="1688" customHeight="1" spans="2:2">
      <c r="B1688" s="62" t="str">
        <f>IF(AND('领用录入（明细）'!D:D=$F$4,'领用录入（明细）'!C:C&gt;=$J$4,'领用录入（明细）'!C:C&lt;=$L$4),ROW(),"-")</f>
        <v>-</v>
      </c>
    </row>
    <row r="1689" customHeight="1" spans="2:2">
      <c r="B1689" s="62" t="str">
        <f>IF(AND('领用录入（明细）'!D:D=$F$4,'领用录入（明细）'!C:C&gt;=$J$4,'领用录入（明细）'!C:C&lt;=$L$4),ROW(),"-")</f>
        <v>-</v>
      </c>
    </row>
    <row r="1690" customHeight="1" spans="2:2">
      <c r="B1690" s="62" t="str">
        <f>IF(AND('领用录入（明细）'!D:D=$F$4,'领用录入（明细）'!C:C&gt;=$J$4,'领用录入（明细）'!C:C&lt;=$L$4),ROW(),"-")</f>
        <v>-</v>
      </c>
    </row>
    <row r="1691" customHeight="1" spans="2:2">
      <c r="B1691" s="62" t="str">
        <f>IF(AND('领用录入（明细）'!D:D=$F$4,'领用录入（明细）'!C:C&gt;=$J$4,'领用录入（明细）'!C:C&lt;=$L$4),ROW(),"-")</f>
        <v>-</v>
      </c>
    </row>
    <row r="1692" customHeight="1" spans="2:2">
      <c r="B1692" s="62" t="str">
        <f>IF(AND('领用录入（明细）'!D:D=$F$4,'领用录入（明细）'!C:C&gt;=$J$4,'领用录入（明细）'!C:C&lt;=$L$4),ROW(),"-")</f>
        <v>-</v>
      </c>
    </row>
    <row r="1693" customHeight="1" spans="2:2">
      <c r="B1693" s="62" t="str">
        <f>IF(AND('领用录入（明细）'!D:D=$F$4,'领用录入（明细）'!C:C&gt;=$J$4,'领用录入（明细）'!C:C&lt;=$L$4),ROW(),"-")</f>
        <v>-</v>
      </c>
    </row>
    <row r="1694" customHeight="1" spans="2:2">
      <c r="B1694" s="62" t="str">
        <f>IF(AND('领用录入（明细）'!D:D=$F$4,'领用录入（明细）'!C:C&gt;=$J$4,'领用录入（明细）'!C:C&lt;=$L$4),ROW(),"-")</f>
        <v>-</v>
      </c>
    </row>
    <row r="1695" customHeight="1" spans="2:2">
      <c r="B1695" s="62" t="str">
        <f>IF(AND('领用录入（明细）'!D:D=$F$4,'领用录入（明细）'!C:C&gt;=$J$4,'领用录入（明细）'!C:C&lt;=$L$4),ROW(),"-")</f>
        <v>-</v>
      </c>
    </row>
    <row r="1696" customHeight="1" spans="2:2">
      <c r="B1696" s="62" t="str">
        <f>IF(AND('领用录入（明细）'!D:D=$F$4,'领用录入（明细）'!C:C&gt;=$J$4,'领用录入（明细）'!C:C&lt;=$L$4),ROW(),"-")</f>
        <v>-</v>
      </c>
    </row>
    <row r="1697" customHeight="1" spans="2:2">
      <c r="B1697" s="62" t="str">
        <f>IF(AND('领用录入（明细）'!D:D=$F$4,'领用录入（明细）'!C:C&gt;=$J$4,'领用录入（明细）'!C:C&lt;=$L$4),ROW(),"-")</f>
        <v>-</v>
      </c>
    </row>
    <row r="1698" customHeight="1" spans="2:2">
      <c r="B1698" s="62" t="str">
        <f>IF(AND('领用录入（明细）'!D:D=$F$4,'领用录入（明细）'!C:C&gt;=$J$4,'领用录入（明细）'!C:C&lt;=$L$4),ROW(),"-")</f>
        <v>-</v>
      </c>
    </row>
    <row r="1699" customHeight="1" spans="2:2">
      <c r="B1699" s="62" t="str">
        <f>IF(AND('领用录入（明细）'!D:D=$F$4,'领用录入（明细）'!C:C&gt;=$J$4,'领用录入（明细）'!C:C&lt;=$L$4),ROW(),"-")</f>
        <v>-</v>
      </c>
    </row>
    <row r="1700" customHeight="1" spans="2:2">
      <c r="B1700" s="62" t="str">
        <f>IF(AND('领用录入（明细）'!D:D=$F$4,'领用录入（明细）'!C:C&gt;=$J$4,'领用录入（明细）'!C:C&lt;=$L$4),ROW(),"-")</f>
        <v>-</v>
      </c>
    </row>
    <row r="1701" customHeight="1" spans="2:2">
      <c r="B1701" s="62" t="str">
        <f>IF(AND('领用录入（明细）'!D:D=$F$4,'领用录入（明细）'!C:C&gt;=$J$4,'领用录入（明细）'!C:C&lt;=$L$4),ROW(),"-")</f>
        <v>-</v>
      </c>
    </row>
    <row r="1702" customHeight="1" spans="2:2">
      <c r="B1702" s="62" t="str">
        <f>IF(AND('领用录入（明细）'!D:D=$F$4,'领用录入（明细）'!C:C&gt;=$J$4,'领用录入（明细）'!C:C&lt;=$L$4),ROW(),"-")</f>
        <v>-</v>
      </c>
    </row>
    <row r="1703" customHeight="1" spans="2:2">
      <c r="B1703" s="62" t="str">
        <f>IF(AND('领用录入（明细）'!D:D=$F$4,'领用录入（明细）'!C:C&gt;=$J$4,'领用录入（明细）'!C:C&lt;=$L$4),ROW(),"-")</f>
        <v>-</v>
      </c>
    </row>
    <row r="1704" customHeight="1" spans="2:2">
      <c r="B1704" s="62" t="str">
        <f>IF(AND('领用录入（明细）'!D:D=$F$4,'领用录入（明细）'!C:C&gt;=$J$4,'领用录入（明细）'!C:C&lt;=$L$4),ROW(),"-")</f>
        <v>-</v>
      </c>
    </row>
    <row r="1705" customHeight="1" spans="2:2">
      <c r="B1705" s="62" t="str">
        <f>IF(AND('领用录入（明细）'!D:D=$F$4,'领用录入（明细）'!C:C&gt;=$J$4,'领用录入（明细）'!C:C&lt;=$L$4),ROW(),"-")</f>
        <v>-</v>
      </c>
    </row>
    <row r="1706" customHeight="1" spans="2:2">
      <c r="B1706" s="62" t="str">
        <f>IF(AND('领用录入（明细）'!D:D=$F$4,'领用录入（明细）'!C:C&gt;=$J$4,'领用录入（明细）'!C:C&lt;=$L$4),ROW(),"-")</f>
        <v>-</v>
      </c>
    </row>
    <row r="1707" customHeight="1" spans="2:2">
      <c r="B1707" s="62" t="str">
        <f>IF(AND('领用录入（明细）'!D:D=$F$4,'领用录入（明细）'!C:C&gt;=$J$4,'领用录入（明细）'!C:C&lt;=$L$4),ROW(),"-")</f>
        <v>-</v>
      </c>
    </row>
    <row r="1708" customHeight="1" spans="2:2">
      <c r="B1708" s="62" t="str">
        <f>IF(AND('领用录入（明细）'!D:D=$F$4,'领用录入（明细）'!C:C&gt;=$J$4,'领用录入（明细）'!C:C&lt;=$L$4),ROW(),"-")</f>
        <v>-</v>
      </c>
    </row>
    <row r="1709" customHeight="1" spans="2:2">
      <c r="B1709" s="62" t="str">
        <f>IF(AND('领用录入（明细）'!D:D=$F$4,'领用录入（明细）'!C:C&gt;=$J$4,'领用录入（明细）'!C:C&lt;=$L$4),ROW(),"-")</f>
        <v>-</v>
      </c>
    </row>
    <row r="1710" customHeight="1" spans="2:2">
      <c r="B1710" s="62" t="str">
        <f>IF(AND('领用录入（明细）'!D:D=$F$4,'领用录入（明细）'!C:C&gt;=$J$4,'领用录入（明细）'!C:C&lt;=$L$4),ROW(),"-")</f>
        <v>-</v>
      </c>
    </row>
    <row r="1711" customHeight="1" spans="2:2">
      <c r="B1711" s="62" t="str">
        <f>IF(AND('领用录入（明细）'!D:D=$F$4,'领用录入（明细）'!C:C&gt;=$J$4,'领用录入（明细）'!C:C&lt;=$L$4),ROW(),"-")</f>
        <v>-</v>
      </c>
    </row>
    <row r="1712" customHeight="1" spans="2:2">
      <c r="B1712" s="62" t="str">
        <f>IF(AND('领用录入（明细）'!D:D=$F$4,'领用录入（明细）'!C:C&gt;=$J$4,'领用录入（明细）'!C:C&lt;=$L$4),ROW(),"-")</f>
        <v>-</v>
      </c>
    </row>
    <row r="1713" customHeight="1" spans="2:2">
      <c r="B1713" s="62" t="str">
        <f>IF(AND('领用录入（明细）'!D:D=$F$4,'领用录入（明细）'!C:C&gt;=$J$4,'领用录入（明细）'!C:C&lt;=$L$4),ROW(),"-")</f>
        <v>-</v>
      </c>
    </row>
    <row r="1714" customHeight="1" spans="2:2">
      <c r="B1714" s="62" t="str">
        <f>IF(AND('领用录入（明细）'!D:D=$F$4,'领用录入（明细）'!C:C&gt;=$J$4,'领用录入（明细）'!C:C&lt;=$L$4),ROW(),"-")</f>
        <v>-</v>
      </c>
    </row>
    <row r="1715" customHeight="1" spans="2:2">
      <c r="B1715" s="62" t="str">
        <f>IF(AND('领用录入（明细）'!D:D=$F$4,'领用录入（明细）'!C:C&gt;=$J$4,'领用录入（明细）'!C:C&lt;=$L$4),ROW(),"-")</f>
        <v>-</v>
      </c>
    </row>
    <row r="1716" customHeight="1" spans="2:2">
      <c r="B1716" s="62" t="str">
        <f>IF(AND('领用录入（明细）'!D:D=$F$4,'领用录入（明细）'!C:C&gt;=$J$4,'领用录入（明细）'!C:C&lt;=$L$4),ROW(),"-")</f>
        <v>-</v>
      </c>
    </row>
    <row r="1717" customHeight="1" spans="2:2">
      <c r="B1717" s="62" t="str">
        <f>IF(AND('领用录入（明细）'!D:D=$F$4,'领用录入（明细）'!C:C&gt;=$J$4,'领用录入（明细）'!C:C&lt;=$L$4),ROW(),"-")</f>
        <v>-</v>
      </c>
    </row>
    <row r="1718" customHeight="1" spans="2:2">
      <c r="B1718" s="62" t="str">
        <f>IF(AND('领用录入（明细）'!D:D=$F$4,'领用录入（明细）'!C:C&gt;=$J$4,'领用录入（明细）'!C:C&lt;=$L$4),ROW(),"-")</f>
        <v>-</v>
      </c>
    </row>
    <row r="1719" customHeight="1" spans="2:2">
      <c r="B1719" s="62" t="str">
        <f>IF(AND('领用录入（明细）'!D:D=$F$4,'领用录入（明细）'!C:C&gt;=$J$4,'领用录入（明细）'!C:C&lt;=$L$4),ROW(),"-")</f>
        <v>-</v>
      </c>
    </row>
    <row r="1720" customHeight="1" spans="2:2">
      <c r="B1720" s="62" t="str">
        <f>IF(AND('领用录入（明细）'!D:D=$F$4,'领用录入（明细）'!C:C&gt;=$J$4,'领用录入（明细）'!C:C&lt;=$L$4),ROW(),"-")</f>
        <v>-</v>
      </c>
    </row>
    <row r="1721" customHeight="1" spans="2:2">
      <c r="B1721" s="62" t="str">
        <f>IF(AND('领用录入（明细）'!D:D=$F$4,'领用录入（明细）'!C:C&gt;=$J$4,'领用录入（明细）'!C:C&lt;=$L$4),ROW(),"-")</f>
        <v>-</v>
      </c>
    </row>
    <row r="1722" customHeight="1" spans="2:2">
      <c r="B1722" s="62" t="str">
        <f>IF(AND('领用录入（明细）'!D:D=$F$4,'领用录入（明细）'!C:C&gt;=$J$4,'领用录入（明细）'!C:C&lt;=$L$4),ROW(),"-")</f>
        <v>-</v>
      </c>
    </row>
    <row r="1723" customHeight="1" spans="2:2">
      <c r="B1723" s="62" t="str">
        <f>IF(AND('领用录入（明细）'!D:D=$F$4,'领用录入（明细）'!C:C&gt;=$J$4,'领用录入（明细）'!C:C&lt;=$L$4),ROW(),"-")</f>
        <v>-</v>
      </c>
    </row>
    <row r="1724" customHeight="1" spans="2:2">
      <c r="B1724" s="62" t="str">
        <f>IF(AND('领用录入（明细）'!D:D=$F$4,'领用录入（明细）'!C:C&gt;=$J$4,'领用录入（明细）'!C:C&lt;=$L$4),ROW(),"-")</f>
        <v>-</v>
      </c>
    </row>
    <row r="1725" customHeight="1" spans="2:2">
      <c r="B1725" s="62" t="str">
        <f>IF(AND('领用录入（明细）'!D:D=$F$4,'领用录入（明细）'!C:C&gt;=$J$4,'领用录入（明细）'!C:C&lt;=$L$4),ROW(),"-")</f>
        <v>-</v>
      </c>
    </row>
    <row r="1726" customHeight="1" spans="2:2">
      <c r="B1726" s="62" t="str">
        <f>IF(AND('领用录入（明细）'!D:D=$F$4,'领用录入（明细）'!C:C&gt;=$J$4,'领用录入（明细）'!C:C&lt;=$L$4),ROW(),"-")</f>
        <v>-</v>
      </c>
    </row>
    <row r="1727" customHeight="1" spans="2:2">
      <c r="B1727" s="62" t="str">
        <f>IF(AND('领用录入（明细）'!D:D=$F$4,'领用录入（明细）'!C:C&gt;=$J$4,'领用录入（明细）'!C:C&lt;=$L$4),ROW(),"-")</f>
        <v>-</v>
      </c>
    </row>
    <row r="1728" customHeight="1" spans="2:2">
      <c r="B1728" s="62" t="str">
        <f>IF(AND('领用录入（明细）'!D:D=$F$4,'领用录入（明细）'!C:C&gt;=$J$4,'领用录入（明细）'!C:C&lt;=$L$4),ROW(),"-")</f>
        <v>-</v>
      </c>
    </row>
    <row r="1729" customHeight="1" spans="2:2">
      <c r="B1729" s="62" t="str">
        <f>IF(AND('领用录入（明细）'!D:D=$F$4,'领用录入（明细）'!C:C&gt;=$J$4,'领用录入（明细）'!C:C&lt;=$L$4),ROW(),"-")</f>
        <v>-</v>
      </c>
    </row>
    <row r="1730" customHeight="1" spans="2:2">
      <c r="B1730" s="62" t="str">
        <f>IF(AND('领用录入（明细）'!D:D=$F$4,'领用录入（明细）'!C:C&gt;=$J$4,'领用录入（明细）'!C:C&lt;=$L$4),ROW(),"-")</f>
        <v>-</v>
      </c>
    </row>
    <row r="1731" customHeight="1" spans="2:2">
      <c r="B1731" s="62" t="str">
        <f>IF(AND('领用录入（明细）'!D:D=$F$4,'领用录入（明细）'!C:C&gt;=$J$4,'领用录入（明细）'!C:C&lt;=$L$4),ROW(),"-")</f>
        <v>-</v>
      </c>
    </row>
    <row r="1732" customHeight="1" spans="2:2">
      <c r="B1732" s="62" t="str">
        <f>IF(AND('领用录入（明细）'!D:D=$F$4,'领用录入（明细）'!C:C&gt;=$J$4,'领用录入（明细）'!C:C&lt;=$L$4),ROW(),"-")</f>
        <v>-</v>
      </c>
    </row>
    <row r="1733" customHeight="1" spans="2:2">
      <c r="B1733" s="62" t="str">
        <f>IF(AND('领用录入（明细）'!D:D=$F$4,'领用录入（明细）'!C:C&gt;=$J$4,'领用录入（明细）'!C:C&lt;=$L$4),ROW(),"-")</f>
        <v>-</v>
      </c>
    </row>
    <row r="1734" customHeight="1" spans="2:2">
      <c r="B1734" s="62" t="str">
        <f>IF(AND('领用录入（明细）'!D:D=$F$4,'领用录入（明细）'!C:C&gt;=$J$4,'领用录入（明细）'!C:C&lt;=$L$4),ROW(),"-")</f>
        <v>-</v>
      </c>
    </row>
    <row r="1735" customHeight="1" spans="2:2">
      <c r="B1735" s="62" t="str">
        <f>IF(AND('领用录入（明细）'!D:D=$F$4,'领用录入（明细）'!C:C&gt;=$J$4,'领用录入（明细）'!C:C&lt;=$L$4),ROW(),"-")</f>
        <v>-</v>
      </c>
    </row>
    <row r="1736" customHeight="1" spans="2:2">
      <c r="B1736" s="62" t="str">
        <f>IF(AND('领用录入（明细）'!D:D=$F$4,'领用录入（明细）'!C:C&gt;=$J$4,'领用录入（明细）'!C:C&lt;=$L$4),ROW(),"-")</f>
        <v>-</v>
      </c>
    </row>
    <row r="1737" customHeight="1" spans="2:2">
      <c r="B1737" s="62" t="str">
        <f>IF(AND('领用录入（明细）'!D:D=$F$4,'领用录入（明细）'!C:C&gt;=$J$4,'领用录入（明细）'!C:C&lt;=$L$4),ROW(),"-")</f>
        <v>-</v>
      </c>
    </row>
    <row r="1738" customHeight="1" spans="2:2">
      <c r="B1738" s="62" t="str">
        <f>IF(AND('领用录入（明细）'!D:D=$F$4,'领用录入（明细）'!C:C&gt;=$J$4,'领用录入（明细）'!C:C&lt;=$L$4),ROW(),"-")</f>
        <v>-</v>
      </c>
    </row>
    <row r="1739" customHeight="1" spans="2:2">
      <c r="B1739" s="62" t="str">
        <f>IF(AND('领用录入（明细）'!D:D=$F$4,'领用录入（明细）'!C:C&gt;=$J$4,'领用录入（明细）'!C:C&lt;=$L$4),ROW(),"-")</f>
        <v>-</v>
      </c>
    </row>
    <row r="1740" customHeight="1" spans="2:2">
      <c r="B1740" s="62" t="str">
        <f>IF(AND('领用录入（明细）'!D:D=$F$4,'领用录入（明细）'!C:C&gt;=$J$4,'领用录入（明细）'!C:C&lt;=$L$4),ROW(),"-")</f>
        <v>-</v>
      </c>
    </row>
    <row r="1741" customHeight="1" spans="2:2">
      <c r="B1741" s="62" t="str">
        <f>IF(AND('领用录入（明细）'!D:D=$F$4,'领用录入（明细）'!C:C&gt;=$J$4,'领用录入（明细）'!C:C&lt;=$L$4),ROW(),"-")</f>
        <v>-</v>
      </c>
    </row>
    <row r="1742" customHeight="1" spans="2:2">
      <c r="B1742" s="62" t="str">
        <f>IF(AND('领用录入（明细）'!D:D=$F$4,'领用录入（明细）'!C:C&gt;=$J$4,'领用录入（明细）'!C:C&lt;=$L$4),ROW(),"-")</f>
        <v>-</v>
      </c>
    </row>
    <row r="1743" customHeight="1" spans="2:2">
      <c r="B1743" s="62" t="str">
        <f>IF(AND('领用录入（明细）'!D:D=$F$4,'领用录入（明细）'!C:C&gt;=$J$4,'领用录入（明细）'!C:C&lt;=$L$4),ROW(),"-")</f>
        <v>-</v>
      </c>
    </row>
    <row r="1744" customHeight="1" spans="2:2">
      <c r="B1744" s="62" t="str">
        <f>IF(AND('领用录入（明细）'!D:D=$F$4,'领用录入（明细）'!C:C&gt;=$J$4,'领用录入（明细）'!C:C&lt;=$L$4),ROW(),"-")</f>
        <v>-</v>
      </c>
    </row>
    <row r="1745" customHeight="1" spans="2:2">
      <c r="B1745" s="62" t="str">
        <f>IF(AND('领用录入（明细）'!D:D=$F$4,'领用录入（明细）'!C:C&gt;=$J$4,'领用录入（明细）'!C:C&lt;=$L$4),ROW(),"-")</f>
        <v>-</v>
      </c>
    </row>
    <row r="1746" customHeight="1" spans="2:2">
      <c r="B1746" s="62" t="str">
        <f>IF(AND('领用录入（明细）'!D:D=$F$4,'领用录入（明细）'!C:C&gt;=$J$4,'领用录入（明细）'!C:C&lt;=$L$4),ROW(),"-")</f>
        <v>-</v>
      </c>
    </row>
    <row r="1747" customHeight="1" spans="2:2">
      <c r="B1747" s="62" t="str">
        <f>IF(AND('领用录入（明细）'!D:D=$F$4,'领用录入（明细）'!C:C&gt;=$J$4,'领用录入（明细）'!C:C&lt;=$L$4),ROW(),"-")</f>
        <v>-</v>
      </c>
    </row>
    <row r="1748" customHeight="1" spans="2:2">
      <c r="B1748" s="62" t="str">
        <f>IF(AND('领用录入（明细）'!D:D=$F$4,'领用录入（明细）'!C:C&gt;=$J$4,'领用录入（明细）'!C:C&lt;=$L$4),ROW(),"-")</f>
        <v>-</v>
      </c>
    </row>
    <row r="1749" customHeight="1" spans="2:2">
      <c r="B1749" s="62" t="str">
        <f>IF(AND('领用录入（明细）'!D:D=$F$4,'领用录入（明细）'!C:C&gt;=$J$4,'领用录入（明细）'!C:C&lt;=$L$4),ROW(),"-")</f>
        <v>-</v>
      </c>
    </row>
    <row r="1750" customHeight="1" spans="2:2">
      <c r="B1750" s="62" t="str">
        <f>IF(AND('领用录入（明细）'!D:D=$F$4,'领用录入（明细）'!C:C&gt;=$J$4,'领用录入（明细）'!C:C&lt;=$L$4),ROW(),"-")</f>
        <v>-</v>
      </c>
    </row>
    <row r="1751" customHeight="1" spans="2:2">
      <c r="B1751" s="62" t="str">
        <f>IF(AND('领用录入（明细）'!D:D=$F$4,'领用录入（明细）'!C:C&gt;=$J$4,'领用录入（明细）'!C:C&lt;=$L$4),ROW(),"-")</f>
        <v>-</v>
      </c>
    </row>
    <row r="1752" customHeight="1" spans="2:2">
      <c r="B1752" s="62" t="str">
        <f>IF(AND('领用录入（明细）'!D:D=$F$4,'领用录入（明细）'!C:C&gt;=$J$4,'领用录入（明细）'!C:C&lt;=$L$4),ROW(),"-")</f>
        <v>-</v>
      </c>
    </row>
    <row r="1753" customHeight="1" spans="2:2">
      <c r="B1753" s="62" t="str">
        <f>IF(AND('领用录入（明细）'!D:D=$F$4,'领用录入（明细）'!C:C&gt;=$J$4,'领用录入（明细）'!C:C&lt;=$L$4),ROW(),"-")</f>
        <v>-</v>
      </c>
    </row>
    <row r="1754" customHeight="1" spans="2:2">
      <c r="B1754" s="62" t="str">
        <f>IF(AND('领用录入（明细）'!D:D=$F$4,'领用录入（明细）'!C:C&gt;=$J$4,'领用录入（明细）'!C:C&lt;=$L$4),ROW(),"-")</f>
        <v>-</v>
      </c>
    </row>
    <row r="1755" customHeight="1" spans="2:2">
      <c r="B1755" s="62" t="str">
        <f>IF(AND('领用录入（明细）'!D:D=$F$4,'领用录入（明细）'!C:C&gt;=$J$4,'领用录入（明细）'!C:C&lt;=$L$4),ROW(),"-")</f>
        <v>-</v>
      </c>
    </row>
    <row r="1756" customHeight="1" spans="2:2">
      <c r="B1756" s="62" t="str">
        <f>IF(AND('领用录入（明细）'!D:D=$F$4,'领用录入（明细）'!C:C&gt;=$J$4,'领用录入（明细）'!C:C&lt;=$L$4),ROW(),"-")</f>
        <v>-</v>
      </c>
    </row>
    <row r="1757" customHeight="1" spans="2:2">
      <c r="B1757" s="62" t="str">
        <f>IF(AND('领用录入（明细）'!D:D=$F$4,'领用录入（明细）'!C:C&gt;=$J$4,'领用录入（明细）'!C:C&lt;=$L$4),ROW(),"-")</f>
        <v>-</v>
      </c>
    </row>
    <row r="1758" customHeight="1" spans="2:2">
      <c r="B1758" s="62" t="str">
        <f>IF(AND('领用录入（明细）'!D:D=$F$4,'领用录入（明细）'!C:C&gt;=$J$4,'领用录入（明细）'!C:C&lt;=$L$4),ROW(),"-")</f>
        <v>-</v>
      </c>
    </row>
    <row r="1759" customHeight="1" spans="2:2">
      <c r="B1759" s="62" t="str">
        <f>IF(AND('领用录入（明细）'!D:D=$F$4,'领用录入（明细）'!C:C&gt;=$J$4,'领用录入（明细）'!C:C&lt;=$L$4),ROW(),"-")</f>
        <v>-</v>
      </c>
    </row>
    <row r="1760" customHeight="1" spans="2:2">
      <c r="B1760" s="62" t="str">
        <f>IF(AND('领用录入（明细）'!D:D=$F$4,'领用录入（明细）'!C:C&gt;=$J$4,'领用录入（明细）'!C:C&lt;=$L$4),ROW(),"-")</f>
        <v>-</v>
      </c>
    </row>
    <row r="1761" customHeight="1" spans="2:2">
      <c r="B1761" s="62" t="str">
        <f>IF(AND('领用录入（明细）'!D:D=$F$4,'领用录入（明细）'!C:C&gt;=$J$4,'领用录入（明细）'!C:C&lt;=$L$4),ROW(),"-")</f>
        <v>-</v>
      </c>
    </row>
    <row r="1762" customHeight="1" spans="2:2">
      <c r="B1762" s="62" t="str">
        <f>IF(AND('领用录入（明细）'!D:D=$F$4,'领用录入（明细）'!C:C&gt;=$J$4,'领用录入（明细）'!C:C&lt;=$L$4),ROW(),"-")</f>
        <v>-</v>
      </c>
    </row>
    <row r="1763" customHeight="1" spans="2:2">
      <c r="B1763" s="62" t="str">
        <f>IF(AND('领用录入（明细）'!D:D=$F$4,'领用录入（明细）'!C:C&gt;=$J$4,'领用录入（明细）'!C:C&lt;=$L$4),ROW(),"-")</f>
        <v>-</v>
      </c>
    </row>
    <row r="1764" customHeight="1" spans="2:2">
      <c r="B1764" s="62" t="str">
        <f>IF(AND('领用录入（明细）'!D:D=$F$4,'领用录入（明细）'!C:C&gt;=$J$4,'领用录入（明细）'!C:C&lt;=$L$4),ROW(),"-")</f>
        <v>-</v>
      </c>
    </row>
    <row r="1765" customHeight="1" spans="2:2">
      <c r="B1765" s="62" t="str">
        <f>IF(AND('领用录入（明细）'!D:D=$F$4,'领用录入（明细）'!C:C&gt;=$J$4,'领用录入（明细）'!C:C&lt;=$L$4),ROW(),"-")</f>
        <v>-</v>
      </c>
    </row>
    <row r="1766" customHeight="1" spans="2:2">
      <c r="B1766" s="62" t="str">
        <f>IF(AND('领用录入（明细）'!D:D=$F$4,'领用录入（明细）'!C:C&gt;=$J$4,'领用录入（明细）'!C:C&lt;=$L$4),ROW(),"-")</f>
        <v>-</v>
      </c>
    </row>
    <row r="1767" customHeight="1" spans="2:2">
      <c r="B1767" s="62" t="str">
        <f>IF(AND('领用录入（明细）'!D:D=$F$4,'领用录入（明细）'!C:C&gt;=$J$4,'领用录入（明细）'!C:C&lt;=$L$4),ROW(),"-")</f>
        <v>-</v>
      </c>
    </row>
    <row r="1768" customHeight="1" spans="2:2">
      <c r="B1768" s="62" t="str">
        <f>IF(AND('领用录入（明细）'!D:D=$F$4,'领用录入（明细）'!C:C&gt;=$J$4,'领用录入（明细）'!C:C&lt;=$L$4),ROW(),"-")</f>
        <v>-</v>
      </c>
    </row>
    <row r="1769" customHeight="1" spans="2:2">
      <c r="B1769" s="62" t="str">
        <f>IF(AND('领用录入（明细）'!D:D=$F$4,'领用录入（明细）'!C:C&gt;=$J$4,'领用录入（明细）'!C:C&lt;=$L$4),ROW(),"-")</f>
        <v>-</v>
      </c>
    </row>
    <row r="1770" customHeight="1" spans="2:2">
      <c r="B1770" s="62" t="str">
        <f>IF(AND('领用录入（明细）'!D:D=$F$4,'领用录入（明细）'!C:C&gt;=$J$4,'领用录入（明细）'!C:C&lt;=$L$4),ROW(),"-")</f>
        <v>-</v>
      </c>
    </row>
    <row r="1771" customHeight="1" spans="2:2">
      <c r="B1771" s="62" t="str">
        <f>IF(AND('领用录入（明细）'!D:D=$F$4,'领用录入（明细）'!C:C&gt;=$J$4,'领用录入（明细）'!C:C&lt;=$L$4),ROW(),"-")</f>
        <v>-</v>
      </c>
    </row>
    <row r="1772" customHeight="1" spans="2:2">
      <c r="B1772" s="62" t="str">
        <f>IF(AND('领用录入（明细）'!D:D=$F$4,'领用录入（明细）'!C:C&gt;=$J$4,'领用录入（明细）'!C:C&lt;=$L$4),ROW(),"-")</f>
        <v>-</v>
      </c>
    </row>
    <row r="1773" customHeight="1" spans="2:2">
      <c r="B1773" s="62" t="str">
        <f>IF(AND('领用录入（明细）'!D:D=$F$4,'领用录入（明细）'!C:C&gt;=$J$4,'领用录入（明细）'!C:C&lt;=$L$4),ROW(),"-")</f>
        <v>-</v>
      </c>
    </row>
    <row r="1774" customHeight="1" spans="2:2">
      <c r="B1774" s="62" t="str">
        <f>IF(AND('领用录入（明细）'!D:D=$F$4,'领用录入（明细）'!C:C&gt;=$J$4,'领用录入（明细）'!C:C&lt;=$L$4),ROW(),"-")</f>
        <v>-</v>
      </c>
    </row>
    <row r="1775" customHeight="1" spans="2:2">
      <c r="B1775" s="62" t="str">
        <f>IF(AND('领用录入（明细）'!D:D=$F$4,'领用录入（明细）'!C:C&gt;=$J$4,'领用录入（明细）'!C:C&lt;=$L$4),ROW(),"-")</f>
        <v>-</v>
      </c>
    </row>
    <row r="1776" customHeight="1" spans="2:2">
      <c r="B1776" s="62" t="str">
        <f>IF(AND('领用录入（明细）'!D:D=$F$4,'领用录入（明细）'!C:C&gt;=$J$4,'领用录入（明细）'!C:C&lt;=$L$4),ROW(),"-")</f>
        <v>-</v>
      </c>
    </row>
    <row r="1777" customHeight="1" spans="2:2">
      <c r="B1777" s="62" t="str">
        <f>IF(AND('领用录入（明细）'!D:D=$F$4,'领用录入（明细）'!C:C&gt;=$J$4,'领用录入（明细）'!C:C&lt;=$L$4),ROW(),"-")</f>
        <v>-</v>
      </c>
    </row>
    <row r="1778" customHeight="1" spans="2:2">
      <c r="B1778" s="62" t="str">
        <f>IF(AND('领用录入（明细）'!D:D=$F$4,'领用录入（明细）'!C:C&gt;=$J$4,'领用录入（明细）'!C:C&lt;=$L$4),ROW(),"-")</f>
        <v>-</v>
      </c>
    </row>
    <row r="1779" customHeight="1" spans="2:2">
      <c r="B1779" s="62" t="str">
        <f>IF(AND('领用录入（明细）'!D:D=$F$4,'领用录入（明细）'!C:C&gt;=$J$4,'领用录入（明细）'!C:C&lt;=$L$4),ROW(),"-")</f>
        <v>-</v>
      </c>
    </row>
    <row r="1780" customHeight="1" spans="2:2">
      <c r="B1780" s="62" t="str">
        <f>IF(AND('领用录入（明细）'!D:D=$F$4,'领用录入（明细）'!C:C&gt;=$J$4,'领用录入（明细）'!C:C&lt;=$L$4),ROW(),"-")</f>
        <v>-</v>
      </c>
    </row>
    <row r="1781" customHeight="1" spans="2:2">
      <c r="B1781" s="62" t="str">
        <f>IF(AND('领用录入（明细）'!D:D=$F$4,'领用录入（明细）'!C:C&gt;=$J$4,'领用录入（明细）'!C:C&lt;=$L$4),ROW(),"-")</f>
        <v>-</v>
      </c>
    </row>
    <row r="1782" customHeight="1" spans="2:2">
      <c r="B1782" s="62" t="str">
        <f>IF(AND('领用录入（明细）'!D:D=$F$4,'领用录入（明细）'!C:C&gt;=$J$4,'领用录入（明细）'!C:C&lt;=$L$4),ROW(),"-")</f>
        <v>-</v>
      </c>
    </row>
    <row r="1783" customHeight="1" spans="2:2">
      <c r="B1783" s="62" t="str">
        <f>IF(AND('领用录入（明细）'!D:D=$F$4,'领用录入（明细）'!C:C&gt;=$J$4,'领用录入（明细）'!C:C&lt;=$L$4),ROW(),"-")</f>
        <v>-</v>
      </c>
    </row>
    <row r="1784" customHeight="1" spans="2:2">
      <c r="B1784" s="62" t="str">
        <f>IF(AND('领用录入（明细）'!D:D=$F$4,'领用录入（明细）'!C:C&gt;=$J$4,'领用录入（明细）'!C:C&lt;=$L$4),ROW(),"-")</f>
        <v>-</v>
      </c>
    </row>
    <row r="1785" customHeight="1" spans="2:2">
      <c r="B1785" s="62" t="str">
        <f>IF(AND('领用录入（明细）'!D:D=$F$4,'领用录入（明细）'!C:C&gt;=$J$4,'领用录入（明细）'!C:C&lt;=$L$4),ROW(),"-")</f>
        <v>-</v>
      </c>
    </row>
    <row r="1786" customHeight="1" spans="2:2">
      <c r="B1786" s="62" t="str">
        <f>IF(AND('领用录入（明细）'!D:D=$F$4,'领用录入（明细）'!C:C&gt;=$J$4,'领用录入（明细）'!C:C&lt;=$L$4),ROW(),"-")</f>
        <v>-</v>
      </c>
    </row>
    <row r="1787" customHeight="1" spans="2:2">
      <c r="B1787" s="62" t="str">
        <f>IF(AND('领用录入（明细）'!D:D=$F$4,'领用录入（明细）'!C:C&gt;=$J$4,'领用录入（明细）'!C:C&lt;=$L$4),ROW(),"-")</f>
        <v>-</v>
      </c>
    </row>
    <row r="1788" customHeight="1" spans="2:2">
      <c r="B1788" s="62" t="str">
        <f>IF(AND('领用录入（明细）'!D:D=$F$4,'领用录入（明细）'!C:C&gt;=$J$4,'领用录入（明细）'!C:C&lt;=$L$4),ROW(),"-")</f>
        <v>-</v>
      </c>
    </row>
    <row r="1789" customHeight="1" spans="2:2">
      <c r="B1789" s="62" t="str">
        <f>IF(AND('领用录入（明细）'!D:D=$F$4,'领用录入（明细）'!C:C&gt;=$J$4,'领用录入（明细）'!C:C&lt;=$L$4),ROW(),"-")</f>
        <v>-</v>
      </c>
    </row>
    <row r="1790" customHeight="1" spans="2:2">
      <c r="B1790" s="62" t="str">
        <f>IF(AND('领用录入（明细）'!D:D=$F$4,'领用录入（明细）'!C:C&gt;=$J$4,'领用录入（明细）'!C:C&lt;=$L$4),ROW(),"-")</f>
        <v>-</v>
      </c>
    </row>
    <row r="1791" customHeight="1" spans="2:2">
      <c r="B1791" s="62" t="str">
        <f>IF(AND('领用录入（明细）'!D:D=$F$4,'领用录入（明细）'!C:C&gt;=$J$4,'领用录入（明细）'!C:C&lt;=$L$4),ROW(),"-")</f>
        <v>-</v>
      </c>
    </row>
    <row r="1792" customHeight="1" spans="2:2">
      <c r="B1792" s="62" t="str">
        <f>IF(AND('领用录入（明细）'!D:D=$F$4,'领用录入（明细）'!C:C&gt;=$J$4,'领用录入（明细）'!C:C&lt;=$L$4),ROW(),"-")</f>
        <v>-</v>
      </c>
    </row>
    <row r="1793" customHeight="1" spans="2:2">
      <c r="B1793" s="62" t="str">
        <f>IF(AND('领用录入（明细）'!D:D=$F$4,'领用录入（明细）'!C:C&gt;=$J$4,'领用录入（明细）'!C:C&lt;=$L$4),ROW(),"-")</f>
        <v>-</v>
      </c>
    </row>
    <row r="1794" customHeight="1" spans="2:2">
      <c r="B1794" s="62" t="str">
        <f>IF(AND('领用录入（明细）'!D:D=$F$4,'领用录入（明细）'!C:C&gt;=$J$4,'领用录入（明细）'!C:C&lt;=$L$4),ROW(),"-")</f>
        <v>-</v>
      </c>
    </row>
    <row r="1795" customHeight="1" spans="2:2">
      <c r="B1795" s="62" t="str">
        <f>IF(AND('领用录入（明细）'!D:D=$F$4,'领用录入（明细）'!C:C&gt;=$J$4,'领用录入（明细）'!C:C&lt;=$L$4),ROW(),"-")</f>
        <v>-</v>
      </c>
    </row>
    <row r="1796" customHeight="1" spans="2:2">
      <c r="B1796" s="62" t="str">
        <f>IF(AND('领用录入（明细）'!D:D=$F$4,'领用录入（明细）'!C:C&gt;=$J$4,'领用录入（明细）'!C:C&lt;=$L$4),ROW(),"-")</f>
        <v>-</v>
      </c>
    </row>
    <row r="1797" customHeight="1" spans="2:2">
      <c r="B1797" s="62" t="str">
        <f>IF(AND('领用录入（明细）'!D:D=$F$4,'领用录入（明细）'!C:C&gt;=$J$4,'领用录入（明细）'!C:C&lt;=$L$4),ROW(),"-")</f>
        <v>-</v>
      </c>
    </row>
    <row r="1798" customHeight="1" spans="2:2">
      <c r="B1798" s="62" t="str">
        <f>IF(AND('领用录入（明细）'!D:D=$F$4,'领用录入（明细）'!C:C&gt;=$J$4,'领用录入（明细）'!C:C&lt;=$L$4),ROW(),"-")</f>
        <v>-</v>
      </c>
    </row>
    <row r="1799" customHeight="1" spans="2:2">
      <c r="B1799" s="62" t="str">
        <f>IF(AND('领用录入（明细）'!D:D=$F$4,'领用录入（明细）'!C:C&gt;=$J$4,'领用录入（明细）'!C:C&lt;=$L$4),ROW(),"-")</f>
        <v>-</v>
      </c>
    </row>
    <row r="1800" customHeight="1" spans="2:2">
      <c r="B1800" s="62" t="str">
        <f>IF(AND('领用录入（明细）'!D:D=$F$4,'领用录入（明细）'!C:C&gt;=$J$4,'领用录入（明细）'!C:C&lt;=$L$4),ROW(),"-")</f>
        <v>-</v>
      </c>
    </row>
    <row r="1801" customHeight="1" spans="2:2">
      <c r="B1801" s="62" t="str">
        <f>IF(AND('领用录入（明细）'!D:D=$F$4,'领用录入（明细）'!C:C&gt;=$J$4,'领用录入（明细）'!C:C&lt;=$L$4),ROW(),"-")</f>
        <v>-</v>
      </c>
    </row>
    <row r="1802" customHeight="1" spans="2:2">
      <c r="B1802" s="62" t="str">
        <f>IF(AND('领用录入（明细）'!D:D=$F$4,'领用录入（明细）'!C:C&gt;=$J$4,'领用录入（明细）'!C:C&lt;=$L$4),ROW(),"-")</f>
        <v>-</v>
      </c>
    </row>
    <row r="1803" customHeight="1" spans="2:2">
      <c r="B1803" s="62" t="str">
        <f>IF(AND('领用录入（明细）'!D:D=$F$4,'领用录入（明细）'!C:C&gt;=$J$4,'领用录入（明细）'!C:C&lt;=$L$4),ROW(),"-")</f>
        <v>-</v>
      </c>
    </row>
    <row r="1804" customHeight="1" spans="2:2">
      <c r="B1804" s="62" t="str">
        <f>IF(AND('领用录入（明细）'!D:D=$F$4,'领用录入（明细）'!C:C&gt;=$J$4,'领用录入（明细）'!C:C&lt;=$L$4),ROW(),"-")</f>
        <v>-</v>
      </c>
    </row>
    <row r="1805" customHeight="1" spans="2:2">
      <c r="B1805" s="62" t="str">
        <f>IF(AND('领用录入（明细）'!D:D=$F$4,'领用录入（明细）'!C:C&gt;=$J$4,'领用录入（明细）'!C:C&lt;=$L$4),ROW(),"-")</f>
        <v>-</v>
      </c>
    </row>
    <row r="1806" customHeight="1" spans="2:2">
      <c r="B1806" s="62" t="str">
        <f>IF(AND('领用录入（明细）'!D:D=$F$4,'领用录入（明细）'!C:C&gt;=$J$4,'领用录入（明细）'!C:C&lt;=$L$4),ROW(),"-")</f>
        <v>-</v>
      </c>
    </row>
    <row r="1807" customHeight="1" spans="2:2">
      <c r="B1807" s="62" t="str">
        <f>IF(AND('领用录入（明细）'!D:D=$F$4,'领用录入（明细）'!C:C&gt;=$J$4,'领用录入（明细）'!C:C&lt;=$L$4),ROW(),"-")</f>
        <v>-</v>
      </c>
    </row>
    <row r="1808" customHeight="1" spans="2:2">
      <c r="B1808" s="62" t="str">
        <f>IF(AND('领用录入（明细）'!D:D=$F$4,'领用录入（明细）'!C:C&gt;=$J$4,'领用录入（明细）'!C:C&lt;=$L$4),ROW(),"-")</f>
        <v>-</v>
      </c>
    </row>
    <row r="1809" customHeight="1" spans="2:2">
      <c r="B1809" s="62" t="str">
        <f>IF(AND('领用录入（明细）'!D:D=$F$4,'领用录入（明细）'!C:C&gt;=$J$4,'领用录入（明细）'!C:C&lt;=$L$4),ROW(),"-")</f>
        <v>-</v>
      </c>
    </row>
    <row r="1810" customHeight="1" spans="2:2">
      <c r="B1810" s="62" t="str">
        <f>IF(AND('领用录入（明细）'!D:D=$F$4,'领用录入（明细）'!C:C&gt;=$J$4,'领用录入（明细）'!C:C&lt;=$L$4),ROW(),"-")</f>
        <v>-</v>
      </c>
    </row>
    <row r="1811" customHeight="1" spans="2:2">
      <c r="B1811" s="62" t="str">
        <f>IF(AND('领用录入（明细）'!D:D=$F$4,'领用录入（明细）'!C:C&gt;=$J$4,'领用录入（明细）'!C:C&lt;=$L$4),ROW(),"-")</f>
        <v>-</v>
      </c>
    </row>
    <row r="1812" customHeight="1" spans="2:2">
      <c r="B1812" s="62" t="str">
        <f>IF(AND('领用录入（明细）'!D:D=$F$4,'领用录入（明细）'!C:C&gt;=$J$4,'领用录入（明细）'!C:C&lt;=$L$4),ROW(),"-")</f>
        <v>-</v>
      </c>
    </row>
    <row r="1813" customHeight="1" spans="2:2">
      <c r="B1813" s="62" t="str">
        <f>IF(AND('领用录入（明细）'!D:D=$F$4,'领用录入（明细）'!C:C&gt;=$J$4,'领用录入（明细）'!C:C&lt;=$L$4),ROW(),"-")</f>
        <v>-</v>
      </c>
    </row>
    <row r="1814" customHeight="1" spans="2:2">
      <c r="B1814" s="62" t="str">
        <f>IF(AND('领用录入（明细）'!D:D=$F$4,'领用录入（明细）'!C:C&gt;=$J$4,'领用录入（明细）'!C:C&lt;=$L$4),ROW(),"-")</f>
        <v>-</v>
      </c>
    </row>
    <row r="1815" customHeight="1" spans="2:2">
      <c r="B1815" s="62" t="str">
        <f>IF(AND('领用录入（明细）'!D:D=$F$4,'领用录入（明细）'!C:C&gt;=$J$4,'领用录入（明细）'!C:C&lt;=$L$4),ROW(),"-")</f>
        <v>-</v>
      </c>
    </row>
    <row r="1816" customHeight="1" spans="2:2">
      <c r="B1816" s="62" t="str">
        <f>IF(AND('领用录入（明细）'!D:D=$F$4,'领用录入（明细）'!C:C&gt;=$J$4,'领用录入（明细）'!C:C&lt;=$L$4),ROW(),"-")</f>
        <v>-</v>
      </c>
    </row>
    <row r="1817" customHeight="1" spans="2:2">
      <c r="B1817" s="62" t="str">
        <f>IF(AND('领用录入（明细）'!D:D=$F$4,'领用录入（明细）'!C:C&gt;=$J$4,'领用录入（明细）'!C:C&lt;=$L$4),ROW(),"-")</f>
        <v>-</v>
      </c>
    </row>
    <row r="1818" customHeight="1" spans="2:2">
      <c r="B1818" s="62" t="str">
        <f>IF(AND('领用录入（明细）'!D:D=$F$4,'领用录入（明细）'!C:C&gt;=$J$4,'领用录入（明细）'!C:C&lt;=$L$4),ROW(),"-")</f>
        <v>-</v>
      </c>
    </row>
    <row r="1819" customHeight="1" spans="2:2">
      <c r="B1819" s="62" t="str">
        <f>IF(AND('领用录入（明细）'!D:D=$F$4,'领用录入（明细）'!C:C&gt;=$J$4,'领用录入（明细）'!C:C&lt;=$L$4),ROW(),"-")</f>
        <v>-</v>
      </c>
    </row>
    <row r="1820" customHeight="1" spans="2:2">
      <c r="B1820" s="62" t="str">
        <f>IF(AND('领用录入（明细）'!D:D=$F$4,'领用录入（明细）'!C:C&gt;=$J$4,'领用录入（明细）'!C:C&lt;=$L$4),ROW(),"-")</f>
        <v>-</v>
      </c>
    </row>
    <row r="1821" customHeight="1" spans="2:2">
      <c r="B1821" s="62" t="str">
        <f>IF(AND('领用录入（明细）'!D:D=$F$4,'领用录入（明细）'!C:C&gt;=$J$4,'领用录入（明细）'!C:C&lt;=$L$4),ROW(),"-")</f>
        <v>-</v>
      </c>
    </row>
    <row r="1822" customHeight="1" spans="2:2">
      <c r="B1822" s="62" t="str">
        <f>IF(AND('领用录入（明细）'!D:D=$F$4,'领用录入（明细）'!C:C&gt;=$J$4,'领用录入（明细）'!C:C&lt;=$L$4),ROW(),"-")</f>
        <v>-</v>
      </c>
    </row>
    <row r="1823" customHeight="1" spans="2:2">
      <c r="B1823" s="62" t="str">
        <f>IF(AND('领用录入（明细）'!D:D=$F$4,'领用录入（明细）'!C:C&gt;=$J$4,'领用录入（明细）'!C:C&lt;=$L$4),ROW(),"-")</f>
        <v>-</v>
      </c>
    </row>
    <row r="1824" customHeight="1" spans="2:2">
      <c r="B1824" s="62" t="str">
        <f>IF(AND('领用录入（明细）'!D:D=$F$4,'领用录入（明细）'!C:C&gt;=$J$4,'领用录入（明细）'!C:C&lt;=$L$4),ROW(),"-")</f>
        <v>-</v>
      </c>
    </row>
    <row r="1825" customHeight="1" spans="2:2">
      <c r="B1825" s="62" t="str">
        <f>IF(AND('领用录入（明细）'!D:D=$F$4,'领用录入（明细）'!C:C&gt;=$J$4,'领用录入（明细）'!C:C&lt;=$L$4),ROW(),"-")</f>
        <v>-</v>
      </c>
    </row>
    <row r="1826" customHeight="1" spans="2:2">
      <c r="B1826" s="62" t="str">
        <f>IF(AND('领用录入（明细）'!D:D=$F$4,'领用录入（明细）'!C:C&gt;=$J$4,'领用录入（明细）'!C:C&lt;=$L$4),ROW(),"-")</f>
        <v>-</v>
      </c>
    </row>
    <row r="1827" customHeight="1" spans="2:2">
      <c r="B1827" s="62" t="str">
        <f>IF(AND('领用录入（明细）'!D:D=$F$4,'领用录入（明细）'!C:C&gt;=$J$4,'领用录入（明细）'!C:C&lt;=$L$4),ROW(),"-")</f>
        <v>-</v>
      </c>
    </row>
    <row r="1828" customHeight="1" spans="2:2">
      <c r="B1828" s="62" t="str">
        <f>IF(AND('领用录入（明细）'!D:D=$F$4,'领用录入（明细）'!C:C&gt;=$J$4,'领用录入（明细）'!C:C&lt;=$L$4),ROW(),"-")</f>
        <v>-</v>
      </c>
    </row>
    <row r="1829" customHeight="1" spans="2:2">
      <c r="B1829" s="62" t="str">
        <f>IF(AND('领用录入（明细）'!D:D=$F$4,'领用录入（明细）'!C:C&gt;=$J$4,'领用录入（明细）'!C:C&lt;=$L$4),ROW(),"-")</f>
        <v>-</v>
      </c>
    </row>
    <row r="1830" customHeight="1" spans="2:2">
      <c r="B1830" s="62" t="str">
        <f>IF(AND('领用录入（明细）'!D:D=$F$4,'领用录入（明细）'!C:C&gt;=$J$4,'领用录入（明细）'!C:C&lt;=$L$4),ROW(),"-")</f>
        <v>-</v>
      </c>
    </row>
    <row r="1831" customHeight="1" spans="2:2">
      <c r="B1831" s="62" t="str">
        <f>IF(AND('领用录入（明细）'!D:D=$F$4,'领用录入（明细）'!C:C&gt;=$J$4,'领用录入（明细）'!C:C&lt;=$L$4),ROW(),"-")</f>
        <v>-</v>
      </c>
    </row>
    <row r="1832" customHeight="1" spans="2:2">
      <c r="B1832" s="62" t="str">
        <f>IF(AND('领用录入（明细）'!D:D=$F$4,'领用录入（明细）'!C:C&gt;=$J$4,'领用录入（明细）'!C:C&lt;=$L$4),ROW(),"-")</f>
        <v>-</v>
      </c>
    </row>
    <row r="1833" customHeight="1" spans="2:2">
      <c r="B1833" s="62" t="str">
        <f>IF(AND('领用录入（明细）'!D:D=$F$4,'领用录入（明细）'!C:C&gt;=$J$4,'领用录入（明细）'!C:C&lt;=$L$4),ROW(),"-")</f>
        <v>-</v>
      </c>
    </row>
    <row r="1834" customHeight="1" spans="2:2">
      <c r="B1834" s="62" t="str">
        <f>IF(AND('领用录入（明细）'!D:D=$F$4,'领用录入（明细）'!C:C&gt;=$J$4,'领用录入（明细）'!C:C&lt;=$L$4),ROW(),"-")</f>
        <v>-</v>
      </c>
    </row>
    <row r="1835" customHeight="1" spans="2:2">
      <c r="B1835" s="62" t="str">
        <f>IF(AND('领用录入（明细）'!D:D=$F$4,'领用录入（明细）'!C:C&gt;=$J$4,'领用录入（明细）'!C:C&lt;=$L$4),ROW(),"-")</f>
        <v>-</v>
      </c>
    </row>
    <row r="1836" customHeight="1" spans="2:2">
      <c r="B1836" s="62" t="str">
        <f>IF(AND('领用录入（明细）'!D:D=$F$4,'领用录入（明细）'!C:C&gt;=$J$4,'领用录入（明细）'!C:C&lt;=$L$4),ROW(),"-")</f>
        <v>-</v>
      </c>
    </row>
    <row r="1837" customHeight="1" spans="2:2">
      <c r="B1837" s="62" t="str">
        <f>IF(AND('领用录入（明细）'!D:D=$F$4,'领用录入（明细）'!C:C&gt;=$J$4,'领用录入（明细）'!C:C&lt;=$L$4),ROW(),"-")</f>
        <v>-</v>
      </c>
    </row>
    <row r="1838" customHeight="1" spans="2:2">
      <c r="B1838" s="62" t="str">
        <f>IF(AND('领用录入（明细）'!D:D=$F$4,'领用录入（明细）'!C:C&gt;=$J$4,'领用录入（明细）'!C:C&lt;=$L$4),ROW(),"-")</f>
        <v>-</v>
      </c>
    </row>
    <row r="1839" customHeight="1" spans="2:2">
      <c r="B1839" s="62" t="str">
        <f>IF(AND('领用录入（明细）'!D:D=$F$4,'领用录入（明细）'!C:C&gt;=$J$4,'领用录入（明细）'!C:C&lt;=$L$4),ROW(),"-")</f>
        <v>-</v>
      </c>
    </row>
    <row r="1840" customHeight="1" spans="2:2">
      <c r="B1840" s="62" t="str">
        <f>IF(AND('领用录入（明细）'!D:D=$F$4,'领用录入（明细）'!C:C&gt;=$J$4,'领用录入（明细）'!C:C&lt;=$L$4),ROW(),"-")</f>
        <v>-</v>
      </c>
    </row>
    <row r="1841" customHeight="1" spans="2:2">
      <c r="B1841" s="62" t="str">
        <f>IF(AND('领用录入（明细）'!D:D=$F$4,'领用录入（明细）'!C:C&gt;=$J$4,'领用录入（明细）'!C:C&lt;=$L$4),ROW(),"-")</f>
        <v>-</v>
      </c>
    </row>
    <row r="1842" customHeight="1" spans="2:2">
      <c r="B1842" s="62" t="str">
        <f>IF(AND('领用录入（明细）'!D:D=$F$4,'领用录入（明细）'!C:C&gt;=$J$4,'领用录入（明细）'!C:C&lt;=$L$4),ROW(),"-")</f>
        <v>-</v>
      </c>
    </row>
    <row r="1843" customHeight="1" spans="2:2">
      <c r="B1843" s="62" t="str">
        <f>IF(AND('领用录入（明细）'!D:D=$F$4,'领用录入（明细）'!C:C&gt;=$J$4,'领用录入（明细）'!C:C&lt;=$L$4),ROW(),"-")</f>
        <v>-</v>
      </c>
    </row>
    <row r="1844" customHeight="1" spans="2:2">
      <c r="B1844" s="62" t="str">
        <f>IF(AND('领用录入（明细）'!D:D=$F$4,'领用录入（明细）'!C:C&gt;=$J$4,'领用录入（明细）'!C:C&lt;=$L$4),ROW(),"-")</f>
        <v>-</v>
      </c>
    </row>
    <row r="1845" customHeight="1" spans="2:2">
      <c r="B1845" s="62" t="str">
        <f>IF(AND('领用录入（明细）'!D:D=$F$4,'领用录入（明细）'!C:C&gt;=$J$4,'领用录入（明细）'!C:C&lt;=$L$4),ROW(),"-")</f>
        <v>-</v>
      </c>
    </row>
    <row r="1846" customHeight="1" spans="2:2">
      <c r="B1846" s="62" t="str">
        <f>IF(AND('领用录入（明细）'!D:D=$F$4,'领用录入（明细）'!C:C&gt;=$J$4,'领用录入（明细）'!C:C&lt;=$L$4),ROW(),"-")</f>
        <v>-</v>
      </c>
    </row>
    <row r="1847" customHeight="1" spans="2:2">
      <c r="B1847" s="62" t="str">
        <f>IF(AND('领用录入（明细）'!D:D=$F$4,'领用录入（明细）'!C:C&gt;=$J$4,'领用录入（明细）'!C:C&lt;=$L$4),ROW(),"-")</f>
        <v>-</v>
      </c>
    </row>
    <row r="1848" customHeight="1" spans="2:2">
      <c r="B1848" s="62" t="str">
        <f>IF(AND('领用录入（明细）'!D:D=$F$4,'领用录入（明细）'!C:C&gt;=$J$4,'领用录入（明细）'!C:C&lt;=$L$4),ROW(),"-")</f>
        <v>-</v>
      </c>
    </row>
    <row r="1849" customHeight="1" spans="2:2">
      <c r="B1849" s="62" t="str">
        <f>IF(AND('领用录入（明细）'!D:D=$F$4,'领用录入（明细）'!C:C&gt;=$J$4,'领用录入（明细）'!C:C&lt;=$L$4),ROW(),"-")</f>
        <v>-</v>
      </c>
    </row>
    <row r="1850" customHeight="1" spans="2:2">
      <c r="B1850" s="62" t="str">
        <f>IF(AND('领用录入（明细）'!D:D=$F$4,'领用录入（明细）'!C:C&gt;=$J$4,'领用录入（明细）'!C:C&lt;=$L$4),ROW(),"-")</f>
        <v>-</v>
      </c>
    </row>
    <row r="1851" customHeight="1" spans="2:2">
      <c r="B1851" s="62" t="str">
        <f>IF(AND('领用录入（明细）'!D:D=$F$4,'领用录入（明细）'!C:C&gt;=$J$4,'领用录入（明细）'!C:C&lt;=$L$4),ROW(),"-")</f>
        <v>-</v>
      </c>
    </row>
    <row r="1852" customHeight="1" spans="2:2">
      <c r="B1852" s="62" t="str">
        <f>IF(AND('领用录入（明细）'!D:D=$F$4,'领用录入（明细）'!C:C&gt;=$J$4,'领用录入（明细）'!C:C&lt;=$L$4),ROW(),"-")</f>
        <v>-</v>
      </c>
    </row>
    <row r="1853" customHeight="1" spans="2:2">
      <c r="B1853" s="62" t="str">
        <f>IF(AND('领用录入（明细）'!D:D=$F$4,'领用录入（明细）'!C:C&gt;=$J$4,'领用录入（明细）'!C:C&lt;=$L$4),ROW(),"-")</f>
        <v>-</v>
      </c>
    </row>
    <row r="1854" customHeight="1" spans="2:2">
      <c r="B1854" s="62" t="str">
        <f>IF(AND('领用录入（明细）'!D:D=$F$4,'领用录入（明细）'!C:C&gt;=$J$4,'领用录入（明细）'!C:C&lt;=$L$4),ROW(),"-")</f>
        <v>-</v>
      </c>
    </row>
    <row r="1855" customHeight="1" spans="2:2">
      <c r="B1855" s="62" t="str">
        <f>IF(AND('领用录入（明细）'!D:D=$F$4,'领用录入（明细）'!C:C&gt;=$J$4,'领用录入（明细）'!C:C&lt;=$L$4),ROW(),"-")</f>
        <v>-</v>
      </c>
    </row>
    <row r="1856" customHeight="1" spans="2:2">
      <c r="B1856" s="62" t="str">
        <f>IF(AND('领用录入（明细）'!D:D=$F$4,'领用录入（明细）'!C:C&gt;=$J$4,'领用录入（明细）'!C:C&lt;=$L$4),ROW(),"-")</f>
        <v>-</v>
      </c>
    </row>
    <row r="1857" customHeight="1" spans="2:2">
      <c r="B1857" s="62" t="str">
        <f>IF(AND('领用录入（明细）'!D:D=$F$4,'领用录入（明细）'!C:C&gt;=$J$4,'领用录入（明细）'!C:C&lt;=$L$4),ROW(),"-")</f>
        <v>-</v>
      </c>
    </row>
    <row r="1858" customHeight="1" spans="2:2">
      <c r="B1858" s="62" t="str">
        <f>IF(AND('领用录入（明细）'!D:D=$F$4,'领用录入（明细）'!C:C&gt;=$J$4,'领用录入（明细）'!C:C&lt;=$L$4),ROW(),"-")</f>
        <v>-</v>
      </c>
    </row>
    <row r="1859" customHeight="1" spans="2:2">
      <c r="B1859" s="62" t="str">
        <f>IF(AND('领用录入（明细）'!D:D=$F$4,'领用录入（明细）'!C:C&gt;=$J$4,'领用录入（明细）'!C:C&lt;=$L$4),ROW(),"-")</f>
        <v>-</v>
      </c>
    </row>
    <row r="1860" customHeight="1" spans="2:2">
      <c r="B1860" s="62" t="str">
        <f>IF(AND('领用录入（明细）'!D:D=$F$4,'领用录入（明细）'!C:C&gt;=$J$4,'领用录入（明细）'!C:C&lt;=$L$4),ROW(),"-")</f>
        <v>-</v>
      </c>
    </row>
    <row r="1861" customHeight="1" spans="2:2">
      <c r="B1861" s="62" t="str">
        <f>IF(AND('领用录入（明细）'!D:D=$F$4,'领用录入（明细）'!C:C&gt;=$J$4,'领用录入（明细）'!C:C&lt;=$L$4),ROW(),"-")</f>
        <v>-</v>
      </c>
    </row>
    <row r="1862" customHeight="1" spans="2:2">
      <c r="B1862" s="62" t="str">
        <f>IF(AND('领用录入（明细）'!D:D=$F$4,'领用录入（明细）'!C:C&gt;=$J$4,'领用录入（明细）'!C:C&lt;=$L$4),ROW(),"-")</f>
        <v>-</v>
      </c>
    </row>
    <row r="1863" customHeight="1" spans="2:2">
      <c r="B1863" s="62" t="str">
        <f>IF(AND('领用录入（明细）'!D:D=$F$4,'领用录入（明细）'!C:C&gt;=$J$4,'领用录入（明细）'!C:C&lt;=$L$4),ROW(),"-")</f>
        <v>-</v>
      </c>
    </row>
    <row r="1864" customHeight="1" spans="2:2">
      <c r="B1864" s="62" t="str">
        <f>IF(AND('领用录入（明细）'!D:D=$F$4,'领用录入（明细）'!C:C&gt;=$J$4,'领用录入（明细）'!C:C&lt;=$L$4),ROW(),"-")</f>
        <v>-</v>
      </c>
    </row>
    <row r="1865" customHeight="1" spans="2:2">
      <c r="B1865" s="62" t="str">
        <f>IF(AND('领用录入（明细）'!D:D=$F$4,'领用录入（明细）'!C:C&gt;=$J$4,'领用录入（明细）'!C:C&lt;=$L$4),ROW(),"-")</f>
        <v>-</v>
      </c>
    </row>
    <row r="1866" customHeight="1" spans="2:2">
      <c r="B1866" s="62" t="str">
        <f>IF(AND('领用录入（明细）'!D:D=$F$4,'领用录入（明细）'!C:C&gt;=$J$4,'领用录入（明细）'!C:C&lt;=$L$4),ROW(),"-")</f>
        <v>-</v>
      </c>
    </row>
    <row r="1867" customHeight="1" spans="2:2">
      <c r="B1867" s="62" t="str">
        <f>IF(AND('领用录入（明细）'!D:D=$F$4,'领用录入（明细）'!C:C&gt;=$J$4,'领用录入（明细）'!C:C&lt;=$L$4),ROW(),"-")</f>
        <v>-</v>
      </c>
    </row>
    <row r="1868" customHeight="1" spans="2:2">
      <c r="B1868" s="62" t="str">
        <f>IF(AND('领用录入（明细）'!D:D=$F$4,'领用录入（明细）'!C:C&gt;=$J$4,'领用录入（明细）'!C:C&lt;=$L$4),ROW(),"-")</f>
        <v>-</v>
      </c>
    </row>
    <row r="1869" customHeight="1" spans="2:2">
      <c r="B1869" s="62" t="str">
        <f>IF(AND('领用录入（明细）'!D:D=$F$4,'领用录入（明细）'!C:C&gt;=$J$4,'领用录入（明细）'!C:C&lt;=$L$4),ROW(),"-")</f>
        <v>-</v>
      </c>
    </row>
    <row r="1870" customHeight="1" spans="2:2">
      <c r="B1870" s="62" t="str">
        <f>IF(AND('领用录入（明细）'!D:D=$F$4,'领用录入（明细）'!C:C&gt;=$J$4,'领用录入（明细）'!C:C&lt;=$L$4),ROW(),"-")</f>
        <v>-</v>
      </c>
    </row>
    <row r="1871" customHeight="1" spans="2:2">
      <c r="B1871" s="62" t="str">
        <f>IF(AND('领用录入（明细）'!D:D=$F$4,'领用录入（明细）'!C:C&gt;=$J$4,'领用录入（明细）'!C:C&lt;=$L$4),ROW(),"-")</f>
        <v>-</v>
      </c>
    </row>
    <row r="1872" customHeight="1" spans="2:2">
      <c r="B1872" s="62" t="str">
        <f>IF(AND('领用录入（明细）'!D:D=$F$4,'领用录入（明细）'!C:C&gt;=$J$4,'领用录入（明细）'!C:C&lt;=$L$4),ROW(),"-")</f>
        <v>-</v>
      </c>
    </row>
    <row r="1873" customHeight="1" spans="2:2">
      <c r="B1873" s="62" t="str">
        <f>IF(AND('领用录入（明细）'!D:D=$F$4,'领用录入（明细）'!C:C&gt;=$J$4,'领用录入（明细）'!C:C&lt;=$L$4),ROW(),"-")</f>
        <v>-</v>
      </c>
    </row>
    <row r="1874" customHeight="1" spans="2:2">
      <c r="B1874" s="62" t="str">
        <f>IF(AND('领用录入（明细）'!D:D=$F$4,'领用录入（明细）'!C:C&gt;=$J$4,'领用录入（明细）'!C:C&lt;=$L$4),ROW(),"-")</f>
        <v>-</v>
      </c>
    </row>
    <row r="1875" customHeight="1" spans="2:2">
      <c r="B1875" s="62" t="str">
        <f>IF(AND('领用录入（明细）'!D:D=$F$4,'领用录入（明细）'!C:C&gt;=$J$4,'领用录入（明细）'!C:C&lt;=$L$4),ROW(),"-")</f>
        <v>-</v>
      </c>
    </row>
    <row r="1876" customHeight="1" spans="2:2">
      <c r="B1876" s="62" t="str">
        <f>IF(AND('领用录入（明细）'!D:D=$F$4,'领用录入（明细）'!C:C&gt;=$J$4,'领用录入（明细）'!C:C&lt;=$L$4),ROW(),"-")</f>
        <v>-</v>
      </c>
    </row>
    <row r="1877" customHeight="1" spans="2:2">
      <c r="B1877" s="62" t="str">
        <f>IF(AND('领用录入（明细）'!D:D=$F$4,'领用录入（明细）'!C:C&gt;=$J$4,'领用录入（明细）'!C:C&lt;=$L$4),ROW(),"-")</f>
        <v>-</v>
      </c>
    </row>
    <row r="1878" customHeight="1" spans="2:2">
      <c r="B1878" s="62" t="str">
        <f>IF(AND('领用录入（明细）'!D:D=$F$4,'领用录入（明细）'!C:C&gt;=$J$4,'领用录入（明细）'!C:C&lt;=$L$4),ROW(),"-")</f>
        <v>-</v>
      </c>
    </row>
    <row r="1879" customHeight="1" spans="2:2">
      <c r="B1879" s="62" t="str">
        <f>IF(AND('领用录入（明细）'!D:D=$F$4,'领用录入（明细）'!C:C&gt;=$J$4,'领用录入（明细）'!C:C&lt;=$L$4),ROW(),"-")</f>
        <v>-</v>
      </c>
    </row>
    <row r="1880" customHeight="1" spans="2:2">
      <c r="B1880" s="62" t="str">
        <f>IF(AND('领用录入（明细）'!D:D=$F$4,'领用录入（明细）'!C:C&gt;=$J$4,'领用录入（明细）'!C:C&lt;=$L$4),ROW(),"-")</f>
        <v>-</v>
      </c>
    </row>
    <row r="1881" customHeight="1" spans="2:2">
      <c r="B1881" s="62" t="str">
        <f>IF(AND('领用录入（明细）'!D:D=$F$4,'领用录入（明细）'!C:C&gt;=$J$4,'领用录入（明细）'!C:C&lt;=$L$4),ROW(),"-")</f>
        <v>-</v>
      </c>
    </row>
    <row r="1882" customHeight="1" spans="2:2">
      <c r="B1882" s="62" t="str">
        <f>IF(AND('领用录入（明细）'!D:D=$F$4,'领用录入（明细）'!C:C&gt;=$J$4,'领用录入（明细）'!C:C&lt;=$L$4),ROW(),"-")</f>
        <v>-</v>
      </c>
    </row>
    <row r="1883" customHeight="1" spans="2:2">
      <c r="B1883" s="62" t="str">
        <f>IF(AND('领用录入（明细）'!D:D=$F$4,'领用录入（明细）'!C:C&gt;=$J$4,'领用录入（明细）'!C:C&lt;=$L$4),ROW(),"-")</f>
        <v>-</v>
      </c>
    </row>
    <row r="1884" customHeight="1" spans="2:2">
      <c r="B1884" s="62" t="str">
        <f>IF(AND('领用录入（明细）'!D:D=$F$4,'领用录入（明细）'!C:C&gt;=$J$4,'领用录入（明细）'!C:C&lt;=$L$4),ROW(),"-")</f>
        <v>-</v>
      </c>
    </row>
    <row r="1885" customHeight="1" spans="2:2">
      <c r="B1885" s="62" t="str">
        <f>IF(AND('领用录入（明细）'!D:D=$F$4,'领用录入（明细）'!C:C&gt;=$J$4,'领用录入（明细）'!C:C&lt;=$L$4),ROW(),"-")</f>
        <v>-</v>
      </c>
    </row>
    <row r="1886" customHeight="1" spans="2:2">
      <c r="B1886" s="62" t="str">
        <f>IF(AND('领用录入（明细）'!D:D=$F$4,'领用录入（明细）'!C:C&gt;=$J$4,'领用录入（明细）'!C:C&lt;=$L$4),ROW(),"-")</f>
        <v>-</v>
      </c>
    </row>
    <row r="1887" customHeight="1" spans="2:2">
      <c r="B1887" s="62" t="str">
        <f>IF(AND('领用录入（明细）'!D:D=$F$4,'领用录入（明细）'!C:C&gt;=$J$4,'领用录入（明细）'!C:C&lt;=$L$4),ROW(),"-")</f>
        <v>-</v>
      </c>
    </row>
    <row r="1888" customHeight="1" spans="2:2">
      <c r="B1888" s="62" t="str">
        <f>IF(AND('领用录入（明细）'!D:D=$F$4,'领用录入（明细）'!C:C&gt;=$J$4,'领用录入（明细）'!C:C&lt;=$L$4),ROW(),"-")</f>
        <v>-</v>
      </c>
    </row>
    <row r="1889" customHeight="1" spans="2:2">
      <c r="B1889" s="62" t="str">
        <f>IF(AND('领用录入（明细）'!D:D=$F$4,'领用录入（明细）'!C:C&gt;=$J$4,'领用录入（明细）'!C:C&lt;=$L$4),ROW(),"-")</f>
        <v>-</v>
      </c>
    </row>
    <row r="1890" customHeight="1" spans="2:2">
      <c r="B1890" s="62" t="str">
        <f>IF(AND('领用录入（明细）'!D:D=$F$4,'领用录入（明细）'!C:C&gt;=$J$4,'领用录入（明细）'!C:C&lt;=$L$4),ROW(),"-")</f>
        <v>-</v>
      </c>
    </row>
    <row r="1891" customHeight="1" spans="2:2">
      <c r="B1891" s="62" t="str">
        <f>IF(AND('领用录入（明细）'!D:D=$F$4,'领用录入（明细）'!C:C&gt;=$J$4,'领用录入（明细）'!C:C&lt;=$L$4),ROW(),"-")</f>
        <v>-</v>
      </c>
    </row>
    <row r="1892" customHeight="1" spans="2:2">
      <c r="B1892" s="62" t="str">
        <f>IF(AND('领用录入（明细）'!D:D=$F$4,'领用录入（明细）'!C:C&gt;=$J$4,'领用录入（明细）'!C:C&lt;=$L$4),ROW(),"-")</f>
        <v>-</v>
      </c>
    </row>
    <row r="1893" customHeight="1" spans="2:2">
      <c r="B1893" s="62" t="str">
        <f>IF(AND('领用录入（明细）'!D:D=$F$4,'领用录入（明细）'!C:C&gt;=$J$4,'领用录入（明细）'!C:C&lt;=$L$4),ROW(),"-")</f>
        <v>-</v>
      </c>
    </row>
    <row r="1894" customHeight="1" spans="2:2">
      <c r="B1894" s="62" t="str">
        <f>IF(AND('领用录入（明细）'!D:D=$F$4,'领用录入（明细）'!C:C&gt;=$J$4,'领用录入（明细）'!C:C&lt;=$L$4),ROW(),"-")</f>
        <v>-</v>
      </c>
    </row>
    <row r="1895" customHeight="1" spans="2:2">
      <c r="B1895" s="62" t="str">
        <f>IF(AND('领用录入（明细）'!D:D=$F$4,'领用录入（明细）'!C:C&gt;=$J$4,'领用录入（明细）'!C:C&lt;=$L$4),ROW(),"-")</f>
        <v>-</v>
      </c>
    </row>
    <row r="1896" customHeight="1" spans="2:2">
      <c r="B1896" s="62" t="str">
        <f>IF(AND('领用录入（明细）'!D:D=$F$4,'领用录入（明细）'!C:C&gt;=$J$4,'领用录入（明细）'!C:C&lt;=$L$4),ROW(),"-")</f>
        <v>-</v>
      </c>
    </row>
    <row r="1897" customHeight="1" spans="2:2">
      <c r="B1897" s="62" t="str">
        <f>IF(AND('领用录入（明细）'!D:D=$F$4,'领用录入（明细）'!C:C&gt;=$J$4,'领用录入（明细）'!C:C&lt;=$L$4),ROW(),"-")</f>
        <v>-</v>
      </c>
    </row>
    <row r="1898" customHeight="1" spans="2:2">
      <c r="B1898" s="62" t="str">
        <f>IF(AND('领用录入（明细）'!D:D=$F$4,'领用录入（明细）'!C:C&gt;=$J$4,'领用录入（明细）'!C:C&lt;=$L$4),ROW(),"-")</f>
        <v>-</v>
      </c>
    </row>
    <row r="1899" customHeight="1" spans="2:2">
      <c r="B1899" s="62" t="str">
        <f>IF(AND('领用录入（明细）'!D:D=$F$4,'领用录入（明细）'!C:C&gt;=$J$4,'领用录入（明细）'!C:C&lt;=$L$4),ROW(),"-")</f>
        <v>-</v>
      </c>
    </row>
    <row r="1900" customHeight="1" spans="2:2">
      <c r="B1900" s="62" t="str">
        <f>IF(AND('领用录入（明细）'!D:D=$F$4,'领用录入（明细）'!C:C&gt;=$J$4,'领用录入（明细）'!C:C&lt;=$L$4),ROW(),"-")</f>
        <v>-</v>
      </c>
    </row>
    <row r="1901" customHeight="1" spans="2:2">
      <c r="B1901" s="62" t="str">
        <f>IF(AND('领用录入（明细）'!D:D=$F$4,'领用录入（明细）'!C:C&gt;=$J$4,'领用录入（明细）'!C:C&lt;=$L$4),ROW(),"-")</f>
        <v>-</v>
      </c>
    </row>
    <row r="1902" customHeight="1" spans="2:2">
      <c r="B1902" s="62" t="str">
        <f>IF(AND('领用录入（明细）'!D:D=$F$4,'领用录入（明细）'!C:C&gt;=$J$4,'领用录入（明细）'!C:C&lt;=$L$4),ROW(),"-")</f>
        <v>-</v>
      </c>
    </row>
    <row r="1903" customHeight="1" spans="2:2">
      <c r="B1903" s="62" t="str">
        <f>IF(AND('领用录入（明细）'!D:D=$F$4,'领用录入（明细）'!C:C&gt;=$J$4,'领用录入（明细）'!C:C&lt;=$L$4),ROW(),"-")</f>
        <v>-</v>
      </c>
    </row>
    <row r="1904" customHeight="1" spans="2:2">
      <c r="B1904" s="62" t="str">
        <f>IF(AND('领用录入（明细）'!D:D=$F$4,'领用录入（明细）'!C:C&gt;=$J$4,'领用录入（明细）'!C:C&lt;=$L$4),ROW(),"-")</f>
        <v>-</v>
      </c>
    </row>
    <row r="1905" customHeight="1" spans="2:2">
      <c r="B1905" s="62" t="str">
        <f>IF(AND('领用录入（明细）'!D:D=$F$4,'领用录入（明细）'!C:C&gt;=$J$4,'领用录入（明细）'!C:C&lt;=$L$4),ROW(),"-")</f>
        <v>-</v>
      </c>
    </row>
    <row r="1906" customHeight="1" spans="2:2">
      <c r="B1906" s="62" t="str">
        <f>IF(AND('领用录入（明细）'!D:D=$F$4,'领用录入（明细）'!C:C&gt;=$J$4,'领用录入（明细）'!C:C&lt;=$L$4),ROW(),"-")</f>
        <v>-</v>
      </c>
    </row>
    <row r="1907" customHeight="1" spans="2:2">
      <c r="B1907" s="62" t="str">
        <f>IF(AND('领用录入（明细）'!D:D=$F$4,'领用录入（明细）'!C:C&gt;=$J$4,'领用录入（明细）'!C:C&lt;=$L$4),ROW(),"-")</f>
        <v>-</v>
      </c>
    </row>
    <row r="1908" customHeight="1" spans="2:2">
      <c r="B1908" s="62" t="str">
        <f>IF(AND('领用录入（明细）'!D:D=$F$4,'领用录入（明细）'!C:C&gt;=$J$4,'领用录入（明细）'!C:C&lt;=$L$4),ROW(),"-")</f>
        <v>-</v>
      </c>
    </row>
    <row r="1909" customHeight="1" spans="2:2">
      <c r="B1909" s="62" t="str">
        <f>IF(AND('领用录入（明细）'!D:D=$F$4,'领用录入（明细）'!C:C&gt;=$J$4,'领用录入（明细）'!C:C&lt;=$L$4),ROW(),"-")</f>
        <v>-</v>
      </c>
    </row>
    <row r="1910" customHeight="1" spans="2:2">
      <c r="B1910" s="62" t="str">
        <f>IF(AND('领用录入（明细）'!D:D=$F$4,'领用录入（明细）'!C:C&gt;=$J$4,'领用录入（明细）'!C:C&lt;=$L$4),ROW(),"-")</f>
        <v>-</v>
      </c>
    </row>
    <row r="1911" customHeight="1" spans="2:2">
      <c r="B1911" s="62" t="str">
        <f>IF(AND('领用录入（明细）'!D:D=$F$4,'领用录入（明细）'!C:C&gt;=$J$4,'领用录入（明细）'!C:C&lt;=$L$4),ROW(),"-")</f>
        <v>-</v>
      </c>
    </row>
    <row r="1912" customHeight="1" spans="2:2">
      <c r="B1912" s="62" t="str">
        <f>IF(AND('领用录入（明细）'!D:D=$F$4,'领用录入（明细）'!C:C&gt;=$J$4,'领用录入（明细）'!C:C&lt;=$L$4),ROW(),"-")</f>
        <v>-</v>
      </c>
    </row>
    <row r="1913" customHeight="1" spans="2:2">
      <c r="B1913" s="62" t="str">
        <f>IF(AND('领用录入（明细）'!D:D=$F$4,'领用录入（明细）'!C:C&gt;=$J$4,'领用录入（明细）'!C:C&lt;=$L$4),ROW(),"-")</f>
        <v>-</v>
      </c>
    </row>
    <row r="1914" customHeight="1" spans="2:2">
      <c r="B1914" s="62" t="str">
        <f>IF(AND('领用录入（明细）'!D:D=$F$4,'领用录入（明细）'!C:C&gt;=$J$4,'领用录入（明细）'!C:C&lt;=$L$4),ROW(),"-")</f>
        <v>-</v>
      </c>
    </row>
    <row r="1915" customHeight="1" spans="2:2">
      <c r="B1915" s="62" t="str">
        <f>IF(AND('领用录入（明细）'!D:D=$F$4,'领用录入（明细）'!C:C&gt;=$J$4,'领用录入（明细）'!C:C&lt;=$L$4),ROW(),"-")</f>
        <v>-</v>
      </c>
    </row>
    <row r="1916" customHeight="1" spans="2:2">
      <c r="B1916" s="62" t="str">
        <f>IF(AND('领用录入（明细）'!D:D=$F$4,'领用录入（明细）'!C:C&gt;=$J$4,'领用录入（明细）'!C:C&lt;=$L$4),ROW(),"-")</f>
        <v>-</v>
      </c>
    </row>
    <row r="1917" customHeight="1" spans="2:2">
      <c r="B1917" s="62" t="str">
        <f>IF(AND('领用录入（明细）'!D:D=$F$4,'领用录入（明细）'!C:C&gt;=$J$4,'领用录入（明细）'!C:C&lt;=$L$4),ROW(),"-")</f>
        <v>-</v>
      </c>
    </row>
    <row r="1918" customHeight="1" spans="2:2">
      <c r="B1918" s="62" t="str">
        <f>IF(AND('领用录入（明细）'!D:D=$F$4,'领用录入（明细）'!C:C&gt;=$J$4,'领用录入（明细）'!C:C&lt;=$L$4),ROW(),"-")</f>
        <v>-</v>
      </c>
    </row>
    <row r="1919" customHeight="1" spans="2:2">
      <c r="B1919" s="62" t="str">
        <f>IF(AND('领用录入（明细）'!D:D=$F$4,'领用录入（明细）'!C:C&gt;=$J$4,'领用录入（明细）'!C:C&lt;=$L$4),ROW(),"-")</f>
        <v>-</v>
      </c>
    </row>
    <row r="1920" customHeight="1" spans="2:2">
      <c r="B1920" s="62" t="str">
        <f>IF(AND('领用录入（明细）'!D:D=$F$4,'领用录入（明细）'!C:C&gt;=$J$4,'领用录入（明细）'!C:C&lt;=$L$4),ROW(),"-")</f>
        <v>-</v>
      </c>
    </row>
    <row r="1921" customHeight="1" spans="2:2">
      <c r="B1921" s="62" t="str">
        <f>IF(AND('领用录入（明细）'!D:D=$F$4,'领用录入（明细）'!C:C&gt;=$J$4,'领用录入（明细）'!C:C&lt;=$L$4),ROW(),"-")</f>
        <v>-</v>
      </c>
    </row>
    <row r="1922" customHeight="1" spans="2:2">
      <c r="B1922" s="62" t="str">
        <f>IF(AND('领用录入（明细）'!D:D=$F$4,'领用录入（明细）'!C:C&gt;=$J$4,'领用录入（明细）'!C:C&lt;=$L$4),ROW(),"-")</f>
        <v>-</v>
      </c>
    </row>
    <row r="1923" customHeight="1" spans="2:2">
      <c r="B1923" s="62" t="str">
        <f>IF(AND('领用录入（明细）'!D:D=$F$4,'领用录入（明细）'!C:C&gt;=$J$4,'领用录入（明细）'!C:C&lt;=$L$4),ROW(),"-")</f>
        <v>-</v>
      </c>
    </row>
    <row r="1924" customHeight="1" spans="2:2">
      <c r="B1924" s="62" t="str">
        <f>IF(AND('领用录入（明细）'!D:D=$F$4,'领用录入（明细）'!C:C&gt;=$J$4,'领用录入（明细）'!C:C&lt;=$L$4),ROW(),"-")</f>
        <v>-</v>
      </c>
    </row>
    <row r="1925" customHeight="1" spans="2:2">
      <c r="B1925" s="62" t="str">
        <f>IF(AND('领用录入（明细）'!D:D=$F$4,'领用录入（明细）'!C:C&gt;=$J$4,'领用录入（明细）'!C:C&lt;=$L$4),ROW(),"-")</f>
        <v>-</v>
      </c>
    </row>
    <row r="1926" customHeight="1" spans="2:2">
      <c r="B1926" s="62" t="str">
        <f>IF(AND('领用录入（明细）'!D:D=$F$4,'领用录入（明细）'!C:C&gt;=$J$4,'领用录入（明细）'!C:C&lt;=$L$4),ROW(),"-")</f>
        <v>-</v>
      </c>
    </row>
    <row r="1927" customHeight="1" spans="2:2">
      <c r="B1927" s="62" t="str">
        <f>IF(AND('领用录入（明细）'!D:D=$F$4,'领用录入（明细）'!C:C&gt;=$J$4,'领用录入（明细）'!C:C&lt;=$L$4),ROW(),"-")</f>
        <v>-</v>
      </c>
    </row>
    <row r="1928" customHeight="1" spans="2:2">
      <c r="B1928" s="62" t="str">
        <f>IF(AND('领用录入（明细）'!D:D=$F$4,'领用录入（明细）'!C:C&gt;=$J$4,'领用录入（明细）'!C:C&lt;=$L$4),ROW(),"-")</f>
        <v>-</v>
      </c>
    </row>
    <row r="1929" customHeight="1" spans="2:2">
      <c r="B1929" s="62" t="str">
        <f>IF(AND('领用录入（明细）'!D:D=$F$4,'领用录入（明细）'!C:C&gt;=$J$4,'领用录入（明细）'!C:C&lt;=$L$4),ROW(),"-")</f>
        <v>-</v>
      </c>
    </row>
    <row r="1930" customHeight="1" spans="2:2">
      <c r="B1930" s="62" t="str">
        <f>IF(AND('领用录入（明细）'!D:D=$F$4,'领用录入（明细）'!C:C&gt;=$J$4,'领用录入（明细）'!C:C&lt;=$L$4),ROW(),"-")</f>
        <v>-</v>
      </c>
    </row>
    <row r="1931" customHeight="1" spans="2:2">
      <c r="B1931" s="62" t="str">
        <f>IF(AND('领用录入（明细）'!D:D=$F$4,'领用录入（明细）'!C:C&gt;=$J$4,'领用录入（明细）'!C:C&lt;=$L$4),ROW(),"-")</f>
        <v>-</v>
      </c>
    </row>
    <row r="1932" customHeight="1" spans="2:2">
      <c r="B1932" s="62" t="str">
        <f>IF(AND('领用录入（明细）'!D:D=$F$4,'领用录入（明细）'!C:C&gt;=$J$4,'领用录入（明细）'!C:C&lt;=$L$4),ROW(),"-")</f>
        <v>-</v>
      </c>
    </row>
    <row r="1933" customHeight="1" spans="2:2">
      <c r="B1933" s="62" t="str">
        <f>IF(AND('领用录入（明细）'!D:D=$F$4,'领用录入（明细）'!C:C&gt;=$J$4,'领用录入（明细）'!C:C&lt;=$L$4),ROW(),"-")</f>
        <v>-</v>
      </c>
    </row>
    <row r="1934" customHeight="1" spans="2:2">
      <c r="B1934" s="62" t="str">
        <f>IF(AND('领用录入（明细）'!D:D=$F$4,'领用录入（明细）'!C:C&gt;=$J$4,'领用录入（明细）'!C:C&lt;=$L$4),ROW(),"-")</f>
        <v>-</v>
      </c>
    </row>
    <row r="1935" customHeight="1" spans="2:2">
      <c r="B1935" s="62" t="str">
        <f>IF(AND('领用录入（明细）'!D:D=$F$4,'领用录入（明细）'!C:C&gt;=$J$4,'领用录入（明细）'!C:C&lt;=$L$4),ROW(),"-")</f>
        <v>-</v>
      </c>
    </row>
    <row r="1936" customHeight="1" spans="2:2">
      <c r="B1936" s="62" t="str">
        <f>IF(AND('领用录入（明细）'!D:D=$F$4,'领用录入（明细）'!C:C&gt;=$J$4,'领用录入（明细）'!C:C&lt;=$L$4),ROW(),"-")</f>
        <v>-</v>
      </c>
    </row>
    <row r="1937" customHeight="1" spans="2:2">
      <c r="B1937" s="62" t="str">
        <f>IF(AND('领用录入（明细）'!D:D=$F$4,'领用录入（明细）'!C:C&gt;=$J$4,'领用录入（明细）'!C:C&lt;=$L$4),ROW(),"-")</f>
        <v>-</v>
      </c>
    </row>
    <row r="1938" customHeight="1" spans="2:2">
      <c r="B1938" s="62" t="str">
        <f>IF(AND('领用录入（明细）'!D:D=$F$4,'领用录入（明细）'!C:C&gt;=$J$4,'领用录入（明细）'!C:C&lt;=$L$4),ROW(),"-")</f>
        <v>-</v>
      </c>
    </row>
    <row r="1939" customHeight="1" spans="2:2">
      <c r="B1939" s="62" t="str">
        <f>IF(AND('领用录入（明细）'!D:D=$F$4,'领用录入（明细）'!C:C&gt;=$J$4,'领用录入（明细）'!C:C&lt;=$L$4),ROW(),"-")</f>
        <v>-</v>
      </c>
    </row>
    <row r="1940" customHeight="1" spans="2:2">
      <c r="B1940" s="62" t="str">
        <f>IF(AND('领用录入（明细）'!D:D=$F$4,'领用录入（明细）'!C:C&gt;=$J$4,'领用录入（明细）'!C:C&lt;=$L$4),ROW(),"-")</f>
        <v>-</v>
      </c>
    </row>
    <row r="1941" customHeight="1" spans="2:2">
      <c r="B1941" s="62" t="str">
        <f>IF(AND('领用录入（明细）'!D:D=$F$4,'领用录入（明细）'!C:C&gt;=$J$4,'领用录入（明细）'!C:C&lt;=$L$4),ROW(),"-")</f>
        <v>-</v>
      </c>
    </row>
    <row r="1942" customHeight="1" spans="2:2">
      <c r="B1942" s="62" t="str">
        <f>IF(AND('领用录入（明细）'!D:D=$F$4,'领用录入（明细）'!C:C&gt;=$J$4,'领用录入（明细）'!C:C&lt;=$L$4),ROW(),"-")</f>
        <v>-</v>
      </c>
    </row>
    <row r="1943" customHeight="1" spans="2:2">
      <c r="B1943" s="62" t="str">
        <f>IF(AND('领用录入（明细）'!D:D=$F$4,'领用录入（明细）'!C:C&gt;=$J$4,'领用录入（明细）'!C:C&lt;=$L$4),ROW(),"-")</f>
        <v>-</v>
      </c>
    </row>
    <row r="1944" customHeight="1" spans="2:2">
      <c r="B1944" s="62" t="str">
        <f>IF(AND('领用录入（明细）'!D:D=$F$4,'领用录入（明细）'!C:C&gt;=$J$4,'领用录入（明细）'!C:C&lt;=$L$4),ROW(),"-")</f>
        <v>-</v>
      </c>
    </row>
    <row r="1945" customHeight="1" spans="2:2">
      <c r="B1945" s="62" t="str">
        <f>IF(AND('领用录入（明细）'!D:D=$F$4,'领用录入（明细）'!C:C&gt;=$J$4,'领用录入（明细）'!C:C&lt;=$L$4),ROW(),"-")</f>
        <v>-</v>
      </c>
    </row>
    <row r="1946" customHeight="1" spans="2:2">
      <c r="B1946" s="62" t="str">
        <f>IF(AND('领用录入（明细）'!D:D=$F$4,'领用录入（明细）'!C:C&gt;=$J$4,'领用录入（明细）'!C:C&lt;=$L$4),ROW(),"-")</f>
        <v>-</v>
      </c>
    </row>
    <row r="1947" customHeight="1" spans="2:2">
      <c r="B1947" s="62" t="str">
        <f>IF(AND('领用录入（明细）'!D:D=$F$4,'领用录入（明细）'!C:C&gt;=$J$4,'领用录入（明细）'!C:C&lt;=$L$4),ROW(),"-")</f>
        <v>-</v>
      </c>
    </row>
    <row r="1948" customHeight="1" spans="2:2">
      <c r="B1948" s="62" t="str">
        <f>IF(AND('领用录入（明细）'!D:D=$F$4,'领用录入（明细）'!C:C&gt;=$J$4,'领用录入（明细）'!C:C&lt;=$L$4),ROW(),"-")</f>
        <v>-</v>
      </c>
    </row>
    <row r="1949" customHeight="1" spans="2:2">
      <c r="B1949" s="62" t="str">
        <f>IF(AND('领用录入（明细）'!D:D=$F$4,'领用录入（明细）'!C:C&gt;=$J$4,'领用录入（明细）'!C:C&lt;=$L$4),ROW(),"-")</f>
        <v>-</v>
      </c>
    </row>
    <row r="1950" customHeight="1" spans="2:2">
      <c r="B1950" s="62" t="str">
        <f>IF(AND('领用录入（明细）'!D:D=$F$4,'领用录入（明细）'!C:C&gt;=$J$4,'领用录入（明细）'!C:C&lt;=$L$4),ROW(),"-")</f>
        <v>-</v>
      </c>
    </row>
    <row r="1951" customHeight="1" spans="2:2">
      <c r="B1951" s="62" t="str">
        <f>IF(AND('领用录入（明细）'!D:D=$F$4,'领用录入（明细）'!C:C&gt;=$J$4,'领用录入（明细）'!C:C&lt;=$L$4),ROW(),"-")</f>
        <v>-</v>
      </c>
    </row>
    <row r="1952" customHeight="1" spans="2:2">
      <c r="B1952" s="62" t="str">
        <f>IF(AND('领用录入（明细）'!D:D=$F$4,'领用录入（明细）'!C:C&gt;=$J$4,'领用录入（明细）'!C:C&lt;=$L$4),ROW(),"-")</f>
        <v>-</v>
      </c>
    </row>
    <row r="1953" customHeight="1" spans="2:2">
      <c r="B1953" s="62" t="str">
        <f>IF(AND('领用录入（明细）'!D:D=$F$4,'领用录入（明细）'!C:C&gt;=$J$4,'领用录入（明细）'!C:C&lt;=$L$4),ROW(),"-")</f>
        <v>-</v>
      </c>
    </row>
    <row r="1954" customHeight="1" spans="2:2">
      <c r="B1954" s="62" t="str">
        <f>IF(AND('领用录入（明细）'!D:D=$F$4,'领用录入（明细）'!C:C&gt;=$J$4,'领用录入（明细）'!C:C&lt;=$L$4),ROW(),"-")</f>
        <v>-</v>
      </c>
    </row>
    <row r="1955" customHeight="1" spans="2:2">
      <c r="B1955" s="62" t="str">
        <f>IF(AND('领用录入（明细）'!D:D=$F$4,'领用录入（明细）'!C:C&gt;=$J$4,'领用录入（明细）'!C:C&lt;=$L$4),ROW(),"-")</f>
        <v>-</v>
      </c>
    </row>
    <row r="1956" customHeight="1" spans="2:2">
      <c r="B1956" s="62" t="str">
        <f>IF(AND('领用录入（明细）'!D:D=$F$4,'领用录入（明细）'!C:C&gt;=$J$4,'领用录入（明细）'!C:C&lt;=$L$4),ROW(),"-")</f>
        <v>-</v>
      </c>
    </row>
    <row r="1957" customHeight="1" spans="2:2">
      <c r="B1957" s="62" t="str">
        <f>IF(AND('领用录入（明细）'!D:D=$F$4,'领用录入（明细）'!C:C&gt;=$J$4,'领用录入（明细）'!C:C&lt;=$L$4),ROW(),"-")</f>
        <v>-</v>
      </c>
    </row>
    <row r="1958" customHeight="1" spans="2:2">
      <c r="B1958" s="62" t="str">
        <f>IF(AND('领用录入（明细）'!D:D=$F$4,'领用录入（明细）'!C:C&gt;=$J$4,'领用录入（明细）'!C:C&lt;=$L$4),ROW(),"-")</f>
        <v>-</v>
      </c>
    </row>
    <row r="1959" customHeight="1" spans="2:2">
      <c r="B1959" s="62" t="str">
        <f>IF(AND('领用录入（明细）'!D:D=$F$4,'领用录入（明细）'!C:C&gt;=$J$4,'领用录入（明细）'!C:C&lt;=$L$4),ROW(),"-")</f>
        <v>-</v>
      </c>
    </row>
    <row r="1960" customHeight="1" spans="2:2">
      <c r="B1960" s="62" t="str">
        <f>IF(AND('领用录入（明细）'!D:D=$F$4,'领用录入（明细）'!C:C&gt;=$J$4,'领用录入（明细）'!C:C&lt;=$L$4),ROW(),"-")</f>
        <v>-</v>
      </c>
    </row>
    <row r="1961" customHeight="1" spans="2:2">
      <c r="B1961" s="62" t="str">
        <f>IF(AND('领用录入（明细）'!D:D=$F$4,'领用录入（明细）'!C:C&gt;=$J$4,'领用录入（明细）'!C:C&lt;=$L$4),ROW(),"-")</f>
        <v>-</v>
      </c>
    </row>
    <row r="1962" customHeight="1" spans="2:2">
      <c r="B1962" s="62" t="str">
        <f>IF(AND('领用录入（明细）'!D:D=$F$4,'领用录入（明细）'!C:C&gt;=$J$4,'领用录入（明细）'!C:C&lt;=$L$4),ROW(),"-")</f>
        <v>-</v>
      </c>
    </row>
    <row r="1963" customHeight="1" spans="2:2">
      <c r="B1963" s="62" t="str">
        <f>IF(AND('领用录入（明细）'!D:D=$F$4,'领用录入（明细）'!C:C&gt;=$J$4,'领用录入（明细）'!C:C&lt;=$L$4),ROW(),"-")</f>
        <v>-</v>
      </c>
    </row>
    <row r="1964" customHeight="1" spans="2:2">
      <c r="B1964" s="62" t="str">
        <f>IF(AND('领用录入（明细）'!D:D=$F$4,'领用录入（明细）'!C:C&gt;=$J$4,'领用录入（明细）'!C:C&lt;=$L$4),ROW(),"-")</f>
        <v>-</v>
      </c>
    </row>
    <row r="1965" customHeight="1" spans="2:2">
      <c r="B1965" s="62" t="str">
        <f>IF(AND('领用录入（明细）'!D:D=$F$4,'领用录入（明细）'!C:C&gt;=$J$4,'领用录入（明细）'!C:C&lt;=$L$4),ROW(),"-")</f>
        <v>-</v>
      </c>
    </row>
    <row r="1966" customHeight="1" spans="2:2">
      <c r="B1966" s="62" t="str">
        <f>IF(AND('领用录入（明细）'!D:D=$F$4,'领用录入（明细）'!C:C&gt;=$J$4,'领用录入（明细）'!C:C&lt;=$L$4),ROW(),"-")</f>
        <v>-</v>
      </c>
    </row>
    <row r="1967" customHeight="1" spans="2:2">
      <c r="B1967" s="62" t="str">
        <f>IF(AND('领用录入（明细）'!D:D=$F$4,'领用录入（明细）'!C:C&gt;=$J$4,'领用录入（明细）'!C:C&lt;=$L$4),ROW(),"-")</f>
        <v>-</v>
      </c>
    </row>
    <row r="1968" customHeight="1" spans="2:2">
      <c r="B1968" s="62" t="str">
        <f>IF(AND('领用录入（明细）'!D:D=$F$4,'领用录入（明细）'!C:C&gt;=$J$4,'领用录入（明细）'!C:C&lt;=$L$4),ROW(),"-")</f>
        <v>-</v>
      </c>
    </row>
    <row r="1969" customHeight="1" spans="2:2">
      <c r="B1969" s="62" t="str">
        <f>IF(AND('领用录入（明细）'!D:D=$F$4,'领用录入（明细）'!C:C&gt;=$J$4,'领用录入（明细）'!C:C&lt;=$L$4),ROW(),"-")</f>
        <v>-</v>
      </c>
    </row>
    <row r="1970" customHeight="1" spans="2:2">
      <c r="B1970" s="62" t="str">
        <f>IF(AND('领用录入（明细）'!D:D=$F$4,'领用录入（明细）'!C:C&gt;=$J$4,'领用录入（明细）'!C:C&lt;=$L$4),ROW(),"-")</f>
        <v>-</v>
      </c>
    </row>
    <row r="1971" customHeight="1" spans="2:2">
      <c r="B1971" s="62" t="str">
        <f>IF(AND('领用录入（明细）'!D:D=$F$4,'领用录入（明细）'!C:C&gt;=$J$4,'领用录入（明细）'!C:C&lt;=$L$4),ROW(),"-")</f>
        <v>-</v>
      </c>
    </row>
    <row r="1972" customHeight="1" spans="2:2">
      <c r="B1972" s="62" t="str">
        <f>IF(AND('领用录入（明细）'!D:D=$F$4,'领用录入（明细）'!C:C&gt;=$J$4,'领用录入（明细）'!C:C&lt;=$L$4),ROW(),"-")</f>
        <v>-</v>
      </c>
    </row>
    <row r="1973" customHeight="1" spans="2:2">
      <c r="B1973" s="62" t="str">
        <f>IF(AND('领用录入（明细）'!D:D=$F$4,'领用录入（明细）'!C:C&gt;=$J$4,'领用录入（明细）'!C:C&lt;=$L$4),ROW(),"-")</f>
        <v>-</v>
      </c>
    </row>
    <row r="1974" customHeight="1" spans="2:2">
      <c r="B1974" s="62" t="str">
        <f>IF(AND('领用录入（明细）'!D:D=$F$4,'领用录入（明细）'!C:C&gt;=$J$4,'领用录入（明细）'!C:C&lt;=$L$4),ROW(),"-")</f>
        <v>-</v>
      </c>
    </row>
    <row r="1975" customHeight="1" spans="2:2">
      <c r="B1975" s="62" t="str">
        <f>IF(AND('领用录入（明细）'!D:D=$F$4,'领用录入（明细）'!C:C&gt;=$J$4,'领用录入（明细）'!C:C&lt;=$L$4),ROW(),"-")</f>
        <v>-</v>
      </c>
    </row>
    <row r="1976" customHeight="1" spans="2:2">
      <c r="B1976" s="62" t="str">
        <f>IF(AND('领用录入（明细）'!D:D=$F$4,'领用录入（明细）'!C:C&gt;=$J$4,'领用录入（明细）'!C:C&lt;=$L$4),ROW(),"-")</f>
        <v>-</v>
      </c>
    </row>
    <row r="1977" customHeight="1" spans="2:2">
      <c r="B1977" s="62" t="str">
        <f>IF(AND('领用录入（明细）'!D:D=$F$4,'领用录入（明细）'!C:C&gt;=$J$4,'领用录入（明细）'!C:C&lt;=$L$4),ROW(),"-")</f>
        <v>-</v>
      </c>
    </row>
    <row r="1978" customHeight="1" spans="2:2">
      <c r="B1978" s="62" t="str">
        <f>IF(AND('领用录入（明细）'!D:D=$F$4,'领用录入（明细）'!C:C&gt;=$J$4,'领用录入（明细）'!C:C&lt;=$L$4),ROW(),"-")</f>
        <v>-</v>
      </c>
    </row>
    <row r="1979" customHeight="1" spans="2:2">
      <c r="B1979" s="62" t="str">
        <f>IF(AND('领用录入（明细）'!D:D=$F$4,'领用录入（明细）'!C:C&gt;=$J$4,'领用录入（明细）'!C:C&lt;=$L$4),ROW(),"-")</f>
        <v>-</v>
      </c>
    </row>
    <row r="1980" customHeight="1" spans="2:2">
      <c r="B1980" s="62" t="str">
        <f>IF(AND('领用录入（明细）'!D:D=$F$4,'领用录入（明细）'!C:C&gt;=$J$4,'领用录入（明细）'!C:C&lt;=$L$4),ROW(),"-")</f>
        <v>-</v>
      </c>
    </row>
    <row r="1981" customHeight="1" spans="2:2">
      <c r="B1981" s="62" t="str">
        <f>IF(AND('领用录入（明细）'!D:D=$F$4,'领用录入（明细）'!C:C&gt;=$J$4,'领用录入（明细）'!C:C&lt;=$L$4),ROW(),"-")</f>
        <v>-</v>
      </c>
    </row>
    <row r="1982" customHeight="1" spans="2:2">
      <c r="B1982" s="62" t="str">
        <f>IF(AND('领用录入（明细）'!D:D=$F$4,'领用录入（明细）'!C:C&gt;=$J$4,'领用录入（明细）'!C:C&lt;=$L$4),ROW(),"-")</f>
        <v>-</v>
      </c>
    </row>
    <row r="1983" customHeight="1" spans="2:2">
      <c r="B1983" s="62" t="str">
        <f>IF(AND('领用录入（明细）'!D:D=$F$4,'领用录入（明细）'!C:C&gt;=$J$4,'领用录入（明细）'!C:C&lt;=$L$4),ROW(),"-")</f>
        <v>-</v>
      </c>
    </row>
    <row r="1984" customHeight="1" spans="2:2">
      <c r="B1984" s="62" t="str">
        <f>IF(AND('领用录入（明细）'!D:D=$F$4,'领用录入（明细）'!C:C&gt;=$J$4,'领用录入（明细）'!C:C&lt;=$L$4),ROW(),"-")</f>
        <v>-</v>
      </c>
    </row>
    <row r="1985" customHeight="1" spans="2:2">
      <c r="B1985" s="62" t="str">
        <f>IF(AND('领用录入（明细）'!D:D=$F$4,'领用录入（明细）'!C:C&gt;=$J$4,'领用录入（明细）'!C:C&lt;=$L$4),ROW(),"-")</f>
        <v>-</v>
      </c>
    </row>
    <row r="1986" customHeight="1" spans="2:2">
      <c r="B1986" s="62" t="str">
        <f>IF(AND('领用录入（明细）'!D:D=$F$4,'领用录入（明细）'!C:C&gt;=$J$4,'领用录入（明细）'!C:C&lt;=$L$4),ROW(),"-")</f>
        <v>-</v>
      </c>
    </row>
    <row r="1987" customHeight="1" spans="2:2">
      <c r="B1987" s="62" t="str">
        <f>IF(AND('领用录入（明细）'!D:D=$F$4,'领用录入（明细）'!C:C&gt;=$J$4,'领用录入（明细）'!C:C&lt;=$L$4),ROW(),"-")</f>
        <v>-</v>
      </c>
    </row>
    <row r="1988" customHeight="1" spans="2:2">
      <c r="B1988" s="62" t="str">
        <f>IF(AND('领用录入（明细）'!D:D=$F$4,'领用录入（明细）'!C:C&gt;=$J$4,'领用录入（明细）'!C:C&lt;=$L$4),ROW(),"-")</f>
        <v>-</v>
      </c>
    </row>
    <row r="1989" customHeight="1" spans="2:2">
      <c r="B1989" s="62" t="str">
        <f>IF(AND('领用录入（明细）'!D:D=$F$4,'领用录入（明细）'!C:C&gt;=$J$4,'领用录入（明细）'!C:C&lt;=$L$4),ROW(),"-")</f>
        <v>-</v>
      </c>
    </row>
    <row r="1990" customHeight="1" spans="2:2">
      <c r="B1990" s="62" t="str">
        <f>IF(AND('领用录入（明细）'!D:D=$F$4,'领用录入（明细）'!C:C&gt;=$J$4,'领用录入（明细）'!C:C&lt;=$L$4),ROW(),"-")</f>
        <v>-</v>
      </c>
    </row>
    <row r="1991" customHeight="1" spans="2:2">
      <c r="B1991" s="62" t="str">
        <f>IF(AND('领用录入（明细）'!D:D=$F$4,'领用录入（明细）'!C:C&gt;=$J$4,'领用录入（明细）'!C:C&lt;=$L$4),ROW(),"-")</f>
        <v>-</v>
      </c>
    </row>
    <row r="1992" customHeight="1" spans="2:2">
      <c r="B1992" s="62" t="str">
        <f>IF(AND('领用录入（明细）'!D:D=$F$4,'领用录入（明细）'!C:C&gt;=$J$4,'领用录入（明细）'!C:C&lt;=$L$4),ROW(),"-")</f>
        <v>-</v>
      </c>
    </row>
    <row r="1993" customHeight="1" spans="2:2">
      <c r="B1993" s="62" t="str">
        <f>IF(AND('领用录入（明细）'!D:D=$F$4,'领用录入（明细）'!C:C&gt;=$J$4,'领用录入（明细）'!C:C&lt;=$L$4),ROW(),"-")</f>
        <v>-</v>
      </c>
    </row>
    <row r="1994" customHeight="1" spans="2:2">
      <c r="B1994" s="62" t="str">
        <f>IF(AND('领用录入（明细）'!D:D=$F$4,'领用录入（明细）'!C:C&gt;=$J$4,'领用录入（明细）'!C:C&lt;=$L$4),ROW(),"-")</f>
        <v>-</v>
      </c>
    </row>
    <row r="1995" customHeight="1" spans="2:2">
      <c r="B1995" s="62" t="str">
        <f>IF(AND('领用录入（明细）'!D:D=$F$4,'领用录入（明细）'!C:C&gt;=$J$4,'领用录入（明细）'!C:C&lt;=$L$4),ROW(),"-")</f>
        <v>-</v>
      </c>
    </row>
    <row r="1996" customHeight="1" spans="2:2">
      <c r="B1996" s="62" t="str">
        <f>IF(AND('领用录入（明细）'!D:D=$F$4,'领用录入（明细）'!C:C&gt;=$J$4,'领用录入（明细）'!C:C&lt;=$L$4),ROW(),"-")</f>
        <v>-</v>
      </c>
    </row>
    <row r="1997" customHeight="1" spans="2:2">
      <c r="B1997" s="62" t="str">
        <f>IF(AND('领用录入（明细）'!D:D=$F$4,'领用录入（明细）'!C:C&gt;=$J$4,'领用录入（明细）'!C:C&lt;=$L$4),ROW(),"-")</f>
        <v>-</v>
      </c>
    </row>
    <row r="1998" customHeight="1" spans="2:2">
      <c r="B1998" s="62" t="str">
        <f>IF(AND('领用录入（明细）'!D:D=$F$4,'领用录入（明细）'!C:C&gt;=$J$4,'领用录入（明细）'!C:C&lt;=$L$4),ROW(),"-")</f>
        <v>-</v>
      </c>
    </row>
    <row r="1999" customHeight="1" spans="2:2">
      <c r="B1999" s="62" t="str">
        <f>IF(AND('领用录入（明细）'!D:D=$F$4,'领用录入（明细）'!C:C&gt;=$J$4,'领用录入（明细）'!C:C&lt;=$L$4),ROW(),"-")</f>
        <v>-</v>
      </c>
    </row>
    <row r="2000" customHeight="1" spans="2:2">
      <c r="B2000" s="62" t="str">
        <f>IF(AND('领用录入（明细）'!D:D=$F$4,'领用录入（明细）'!C:C&gt;=$J$4,'领用录入（明细）'!C:C&lt;=$L$4),ROW(),"-")</f>
        <v>-</v>
      </c>
    </row>
    <row r="2001" customHeight="1" spans="2:2">
      <c r="B2001" s="62" t="str">
        <f>IF(AND('领用录入（明细）'!D:D=$F$4,'领用录入（明细）'!C:C&gt;=$J$4,'领用录入（明细）'!C:C&lt;=$L$4),ROW(),"-")</f>
        <v>-</v>
      </c>
    </row>
    <row r="2002" customHeight="1" spans="2:2">
      <c r="B2002" s="62" t="str">
        <f>IF(AND('领用录入（明细）'!D:D=$F$4,'领用录入（明细）'!C:C&gt;=$J$4,'领用录入（明细）'!C:C&lt;=$L$4),ROW(),"-")</f>
        <v>-</v>
      </c>
    </row>
    <row r="2003" customHeight="1" spans="2:2">
      <c r="B2003" s="62" t="str">
        <f>IF(AND('领用录入（明细）'!D:D=$F$4,'领用录入（明细）'!C:C&gt;=$J$4,'领用录入（明细）'!C:C&lt;=$L$4),ROW(),"-")</f>
        <v>-</v>
      </c>
    </row>
    <row r="2004" customHeight="1" spans="2:2">
      <c r="B2004" s="62" t="str">
        <f>IF(AND('领用录入（明细）'!D:D=$F$4,'领用录入（明细）'!C:C&gt;=$J$4,'领用录入（明细）'!C:C&lt;=$L$4),ROW(),"-")</f>
        <v>-</v>
      </c>
    </row>
    <row r="2005" customHeight="1" spans="2:2">
      <c r="B2005" s="62" t="str">
        <f>IF(AND('领用录入（明细）'!D:D=$F$4,'领用录入（明细）'!C:C&gt;=$J$4,'领用录入（明细）'!C:C&lt;=$L$4),ROW(),"-")</f>
        <v>-</v>
      </c>
    </row>
    <row r="2006" customHeight="1" spans="2:2">
      <c r="B2006" s="62" t="str">
        <f>IF(AND('领用录入（明细）'!D:D=$F$4,'领用录入（明细）'!C:C&gt;=$J$4,'领用录入（明细）'!C:C&lt;=$L$4),ROW(),"-")</f>
        <v>-</v>
      </c>
    </row>
    <row r="2007" customHeight="1" spans="2:2">
      <c r="B2007" s="62" t="str">
        <f>IF(AND('领用录入（明细）'!D:D=$F$4,'领用录入（明细）'!C:C&gt;=$J$4,'领用录入（明细）'!C:C&lt;=$L$4),ROW(),"-")</f>
        <v>-</v>
      </c>
    </row>
    <row r="2008" customHeight="1" spans="2:2">
      <c r="B2008" s="62" t="str">
        <f>IF(AND('领用录入（明细）'!D:D=$F$4,'领用录入（明细）'!C:C&gt;=$J$4,'领用录入（明细）'!C:C&lt;=$L$4),ROW(),"-")</f>
        <v>-</v>
      </c>
    </row>
    <row r="2009" customHeight="1" spans="2:2">
      <c r="B2009" s="62" t="str">
        <f>IF(AND('领用录入（明细）'!D:D=$F$4,'领用录入（明细）'!C:C&gt;=$J$4,'领用录入（明细）'!C:C&lt;=$L$4),ROW(),"-")</f>
        <v>-</v>
      </c>
    </row>
    <row r="2010" customHeight="1" spans="2:2">
      <c r="B2010" s="62" t="str">
        <f>IF(AND('领用录入（明细）'!D:D=$F$4,'领用录入（明细）'!C:C&gt;=$J$4,'领用录入（明细）'!C:C&lt;=$L$4),ROW(),"-")</f>
        <v>-</v>
      </c>
    </row>
    <row r="2011" customHeight="1" spans="2:2">
      <c r="B2011" s="62" t="str">
        <f>IF(AND('领用录入（明细）'!D:D=$F$4,'领用录入（明细）'!C:C&gt;=$J$4,'领用录入（明细）'!C:C&lt;=$L$4),ROW(),"-")</f>
        <v>-</v>
      </c>
    </row>
    <row r="2012" customHeight="1" spans="2:2">
      <c r="B2012" s="62" t="str">
        <f>IF(AND('领用录入（明细）'!D:D=$F$4,'领用录入（明细）'!C:C&gt;=$J$4,'领用录入（明细）'!C:C&lt;=$L$4),ROW(),"-")</f>
        <v>-</v>
      </c>
    </row>
    <row r="2013" customHeight="1" spans="2:2">
      <c r="B2013" s="62" t="str">
        <f>IF(AND('领用录入（明细）'!D:D=$F$4,'领用录入（明细）'!C:C&gt;=$J$4,'领用录入（明细）'!C:C&lt;=$L$4),ROW(),"-")</f>
        <v>-</v>
      </c>
    </row>
    <row r="2014" customHeight="1" spans="2:2">
      <c r="B2014" s="62" t="str">
        <f>IF(AND('领用录入（明细）'!D:D=$F$4,'领用录入（明细）'!C:C&gt;=$J$4,'领用录入（明细）'!C:C&lt;=$L$4),ROW(),"-")</f>
        <v>-</v>
      </c>
    </row>
    <row r="2015" customHeight="1" spans="2:2">
      <c r="B2015" s="62" t="str">
        <f>IF(AND('领用录入（明细）'!D:D=$F$4,'领用录入（明细）'!C:C&gt;=$J$4,'领用录入（明细）'!C:C&lt;=$L$4),ROW(),"-")</f>
        <v>-</v>
      </c>
    </row>
    <row r="2016" customHeight="1" spans="2:2">
      <c r="B2016" s="62" t="str">
        <f>IF(AND('领用录入（明细）'!D:D=$F$4,'领用录入（明细）'!C:C&gt;=$J$4,'领用录入（明细）'!C:C&lt;=$L$4),ROW(),"-")</f>
        <v>-</v>
      </c>
    </row>
    <row r="2017" customHeight="1" spans="2:2">
      <c r="B2017" s="62" t="str">
        <f>IF(AND('领用录入（明细）'!D:D=$F$4,'领用录入（明细）'!C:C&gt;=$J$4,'领用录入（明细）'!C:C&lt;=$L$4),ROW(),"-")</f>
        <v>-</v>
      </c>
    </row>
    <row r="2018" customHeight="1" spans="2:2">
      <c r="B2018" s="62" t="str">
        <f>IF(AND('领用录入（明细）'!D:D=$F$4,'领用录入（明细）'!C:C&gt;=$J$4,'领用录入（明细）'!C:C&lt;=$L$4),ROW(),"-")</f>
        <v>-</v>
      </c>
    </row>
    <row r="2019" customHeight="1" spans="2:2">
      <c r="B2019" s="62" t="str">
        <f>IF(AND('领用录入（明细）'!D:D=$F$4,'领用录入（明细）'!C:C&gt;=$J$4,'领用录入（明细）'!C:C&lt;=$L$4),ROW(),"-")</f>
        <v>-</v>
      </c>
    </row>
    <row r="2020" customHeight="1" spans="2:2">
      <c r="B2020" s="62" t="str">
        <f>IF(AND('领用录入（明细）'!D:D=$F$4,'领用录入（明细）'!C:C&gt;=$J$4,'领用录入（明细）'!C:C&lt;=$L$4),ROW(),"-")</f>
        <v>-</v>
      </c>
    </row>
    <row r="2021" customHeight="1" spans="2:2">
      <c r="B2021" s="62" t="str">
        <f>IF(AND('领用录入（明细）'!D:D=$F$4,'领用录入（明细）'!C:C&gt;=$J$4,'领用录入（明细）'!C:C&lt;=$L$4),ROW(),"-")</f>
        <v>-</v>
      </c>
    </row>
    <row r="2022" customHeight="1" spans="2:2">
      <c r="B2022" s="62" t="str">
        <f>IF(AND('领用录入（明细）'!D:D=$F$4,'领用录入（明细）'!C:C&gt;=$J$4,'领用录入（明细）'!C:C&lt;=$L$4),ROW(),"-")</f>
        <v>-</v>
      </c>
    </row>
    <row r="2023" customHeight="1" spans="2:2">
      <c r="B2023" s="62" t="str">
        <f>IF(AND('领用录入（明细）'!D:D=$F$4,'领用录入（明细）'!C:C&gt;=$J$4,'领用录入（明细）'!C:C&lt;=$L$4),ROW(),"-")</f>
        <v>-</v>
      </c>
    </row>
    <row r="2024" customHeight="1" spans="2:2">
      <c r="B2024" s="62" t="str">
        <f>IF(AND('领用录入（明细）'!D:D=$F$4,'领用录入（明细）'!C:C&gt;=$J$4,'领用录入（明细）'!C:C&lt;=$L$4),ROW(),"-")</f>
        <v>-</v>
      </c>
    </row>
    <row r="2025" customHeight="1" spans="2:2">
      <c r="B2025" s="62" t="str">
        <f>IF(AND('领用录入（明细）'!D:D=$F$4,'领用录入（明细）'!C:C&gt;=$J$4,'领用录入（明细）'!C:C&lt;=$L$4),ROW(),"-")</f>
        <v>-</v>
      </c>
    </row>
    <row r="2026" customHeight="1" spans="2:2">
      <c r="B2026" s="62" t="str">
        <f>IF(AND('领用录入（明细）'!D:D=$F$4,'领用录入（明细）'!C:C&gt;=$J$4,'领用录入（明细）'!C:C&lt;=$L$4),ROW(),"-")</f>
        <v>-</v>
      </c>
    </row>
    <row r="2027" customHeight="1" spans="2:2">
      <c r="B2027" s="62" t="str">
        <f>IF(AND('领用录入（明细）'!D:D=$F$4,'领用录入（明细）'!C:C&gt;=$J$4,'领用录入（明细）'!C:C&lt;=$L$4),ROW(),"-")</f>
        <v>-</v>
      </c>
    </row>
    <row r="2028" customHeight="1" spans="2:2">
      <c r="B2028" s="62" t="str">
        <f>IF(AND('领用录入（明细）'!D:D=$F$4,'领用录入（明细）'!C:C&gt;=$J$4,'领用录入（明细）'!C:C&lt;=$L$4),ROW(),"-")</f>
        <v>-</v>
      </c>
    </row>
    <row r="2029" customHeight="1" spans="2:2">
      <c r="B2029" s="62" t="str">
        <f>IF(AND('领用录入（明细）'!D:D=$F$4,'领用录入（明细）'!C:C&gt;=$J$4,'领用录入（明细）'!C:C&lt;=$L$4),ROW(),"-")</f>
        <v>-</v>
      </c>
    </row>
    <row r="2030" customHeight="1" spans="2:2">
      <c r="B2030" s="62" t="str">
        <f>IF(AND('领用录入（明细）'!D:D=$F$4,'领用录入（明细）'!C:C&gt;=$J$4,'领用录入（明细）'!C:C&lt;=$L$4),ROW(),"-")</f>
        <v>-</v>
      </c>
    </row>
    <row r="2031" customHeight="1" spans="2:2">
      <c r="B2031" s="62" t="str">
        <f>IF(AND('领用录入（明细）'!D:D=$F$4,'领用录入（明细）'!C:C&gt;=$J$4,'领用录入（明细）'!C:C&lt;=$L$4),ROW(),"-")</f>
        <v>-</v>
      </c>
    </row>
    <row r="2032" customHeight="1" spans="2:2">
      <c r="B2032" s="62" t="str">
        <f>IF(AND('领用录入（明细）'!D:D=$F$4,'领用录入（明细）'!C:C&gt;=$J$4,'领用录入（明细）'!C:C&lt;=$L$4),ROW(),"-")</f>
        <v>-</v>
      </c>
    </row>
    <row r="2033" customHeight="1" spans="2:2">
      <c r="B2033" s="62" t="str">
        <f>IF(AND('领用录入（明细）'!D:D=$F$4,'领用录入（明细）'!C:C&gt;=$J$4,'领用录入（明细）'!C:C&lt;=$L$4),ROW(),"-")</f>
        <v>-</v>
      </c>
    </row>
    <row r="2034" customHeight="1" spans="2:2">
      <c r="B2034" s="62" t="str">
        <f>IF(AND('领用录入（明细）'!D:D=$F$4,'领用录入（明细）'!C:C&gt;=$J$4,'领用录入（明细）'!C:C&lt;=$L$4),ROW(),"-")</f>
        <v>-</v>
      </c>
    </row>
    <row r="2035" customHeight="1" spans="2:2">
      <c r="B2035" s="62" t="str">
        <f>IF(AND('领用录入（明细）'!D:D=$F$4,'领用录入（明细）'!C:C&gt;=$J$4,'领用录入（明细）'!C:C&lt;=$L$4),ROW(),"-")</f>
        <v>-</v>
      </c>
    </row>
    <row r="2036" customHeight="1" spans="2:2">
      <c r="B2036" s="62" t="str">
        <f>IF(AND('领用录入（明细）'!D:D=$F$4,'领用录入（明细）'!C:C&gt;=$J$4,'领用录入（明细）'!C:C&lt;=$L$4),ROW(),"-")</f>
        <v>-</v>
      </c>
    </row>
    <row r="2037" customHeight="1" spans="2:2">
      <c r="B2037" s="62" t="str">
        <f>IF(AND('领用录入（明细）'!D:D=$F$4,'领用录入（明细）'!C:C&gt;=$J$4,'领用录入（明细）'!C:C&lt;=$L$4),ROW(),"-")</f>
        <v>-</v>
      </c>
    </row>
    <row r="2038" customHeight="1" spans="2:2">
      <c r="B2038" s="62" t="str">
        <f>IF(AND('领用录入（明细）'!D:D=$F$4,'领用录入（明细）'!C:C&gt;=$J$4,'领用录入（明细）'!C:C&lt;=$L$4),ROW(),"-")</f>
        <v>-</v>
      </c>
    </row>
    <row r="2039" customHeight="1" spans="2:2">
      <c r="B2039" s="62" t="str">
        <f>IF(AND('领用录入（明细）'!D:D=$F$4,'领用录入（明细）'!C:C&gt;=$J$4,'领用录入（明细）'!C:C&lt;=$L$4),ROW(),"-")</f>
        <v>-</v>
      </c>
    </row>
    <row r="2040" customHeight="1" spans="2:2">
      <c r="B2040" s="62" t="str">
        <f>IF(AND('领用录入（明细）'!D:D=$F$4,'领用录入（明细）'!C:C&gt;=$J$4,'领用录入（明细）'!C:C&lt;=$L$4),ROW(),"-")</f>
        <v>-</v>
      </c>
    </row>
    <row r="2041" customHeight="1" spans="2:2">
      <c r="B2041" s="62" t="str">
        <f>IF(AND('领用录入（明细）'!D:D=$F$4,'领用录入（明细）'!C:C&gt;=$J$4,'领用录入（明细）'!C:C&lt;=$L$4),ROW(),"-")</f>
        <v>-</v>
      </c>
    </row>
    <row r="2042" customHeight="1" spans="2:2">
      <c r="B2042" s="62" t="str">
        <f>IF(AND('领用录入（明细）'!D:D=$F$4,'领用录入（明细）'!C:C&gt;=$J$4,'领用录入（明细）'!C:C&lt;=$L$4),ROW(),"-")</f>
        <v>-</v>
      </c>
    </row>
    <row r="2043" customHeight="1" spans="2:2">
      <c r="B2043" s="62" t="str">
        <f>IF(AND('领用录入（明细）'!D:D=$F$4,'领用录入（明细）'!C:C&gt;=$J$4,'领用录入（明细）'!C:C&lt;=$L$4),ROW(),"-")</f>
        <v>-</v>
      </c>
    </row>
    <row r="2044" customHeight="1" spans="2:2">
      <c r="B2044" s="62" t="str">
        <f>IF(AND('领用录入（明细）'!D:D=$F$4,'领用录入（明细）'!C:C&gt;=$J$4,'领用录入（明细）'!C:C&lt;=$L$4),ROW(),"-")</f>
        <v>-</v>
      </c>
    </row>
    <row r="2045" customHeight="1" spans="2:2">
      <c r="B2045" s="62" t="str">
        <f>IF(AND('领用录入（明细）'!D:D=$F$4,'领用录入（明细）'!C:C&gt;=$J$4,'领用录入（明细）'!C:C&lt;=$L$4),ROW(),"-")</f>
        <v>-</v>
      </c>
    </row>
    <row r="2046" customHeight="1" spans="2:2">
      <c r="B2046" s="62" t="str">
        <f>IF(AND('领用录入（明细）'!D:D=$F$4,'领用录入（明细）'!C:C&gt;=$J$4,'领用录入（明细）'!C:C&lt;=$L$4),ROW(),"-")</f>
        <v>-</v>
      </c>
    </row>
    <row r="2047" customHeight="1" spans="2:2">
      <c r="B2047" s="62" t="str">
        <f>IF(AND('领用录入（明细）'!D:D=$F$4,'领用录入（明细）'!C:C&gt;=$J$4,'领用录入（明细）'!C:C&lt;=$L$4),ROW(),"-")</f>
        <v>-</v>
      </c>
    </row>
    <row r="2048" customHeight="1" spans="2:2">
      <c r="B2048" s="62" t="str">
        <f>IF(AND('领用录入（明细）'!D:D=$F$4,'领用录入（明细）'!C:C&gt;=$J$4,'领用录入（明细）'!C:C&lt;=$L$4),ROW(),"-")</f>
        <v>-</v>
      </c>
    </row>
    <row r="2049" customHeight="1" spans="2:2">
      <c r="B2049" s="62" t="str">
        <f>IF(AND('领用录入（明细）'!D:D=$F$4,'领用录入（明细）'!C:C&gt;=$J$4,'领用录入（明细）'!C:C&lt;=$L$4),ROW(),"-")</f>
        <v>-</v>
      </c>
    </row>
    <row r="2050" customHeight="1" spans="2:2">
      <c r="B2050" s="62" t="str">
        <f>IF(AND('领用录入（明细）'!D:D=$F$4,'领用录入（明细）'!C:C&gt;=$J$4,'领用录入（明细）'!C:C&lt;=$L$4),ROW(),"-")</f>
        <v>-</v>
      </c>
    </row>
    <row r="2051" customHeight="1" spans="2:2">
      <c r="B2051" s="62" t="str">
        <f>IF(AND('领用录入（明细）'!D:D=$F$4,'领用录入（明细）'!C:C&gt;=$J$4,'领用录入（明细）'!C:C&lt;=$L$4),ROW(),"-")</f>
        <v>-</v>
      </c>
    </row>
    <row r="2052" customHeight="1" spans="2:2">
      <c r="B2052" s="62" t="str">
        <f>IF(AND('领用录入（明细）'!D:D=$F$4,'领用录入（明细）'!C:C&gt;=$J$4,'领用录入（明细）'!C:C&lt;=$L$4),ROW(),"-")</f>
        <v>-</v>
      </c>
    </row>
    <row r="2053" customHeight="1" spans="2:2">
      <c r="B2053" s="62" t="str">
        <f>IF(AND('领用录入（明细）'!D:D=$F$4,'领用录入（明细）'!C:C&gt;=$J$4,'领用录入（明细）'!C:C&lt;=$L$4),ROW(),"-")</f>
        <v>-</v>
      </c>
    </row>
    <row r="2054" customHeight="1" spans="2:2">
      <c r="B2054" s="62" t="str">
        <f>IF(AND('领用录入（明细）'!D:D=$F$4,'领用录入（明细）'!C:C&gt;=$J$4,'领用录入（明细）'!C:C&lt;=$L$4),ROW(),"-")</f>
        <v>-</v>
      </c>
    </row>
    <row r="2055" customHeight="1" spans="2:2">
      <c r="B2055" s="62" t="str">
        <f>IF(AND('领用录入（明细）'!D:D=$F$4,'领用录入（明细）'!C:C&gt;=$J$4,'领用录入（明细）'!C:C&lt;=$L$4),ROW(),"-")</f>
        <v>-</v>
      </c>
    </row>
    <row r="2056" customHeight="1" spans="2:2">
      <c r="B2056" s="62" t="str">
        <f>IF(AND('领用录入（明细）'!D:D=$F$4,'领用录入（明细）'!C:C&gt;=$J$4,'领用录入（明细）'!C:C&lt;=$L$4),ROW(),"-")</f>
        <v>-</v>
      </c>
    </row>
    <row r="2057" customHeight="1" spans="2:2">
      <c r="B2057" s="62" t="str">
        <f>IF(AND('领用录入（明细）'!D:D=$F$4,'领用录入（明细）'!C:C&gt;=$J$4,'领用录入（明细）'!C:C&lt;=$L$4),ROW(),"-")</f>
        <v>-</v>
      </c>
    </row>
    <row r="2058" customHeight="1" spans="2:2">
      <c r="B2058" s="62" t="str">
        <f>IF(AND('领用录入（明细）'!D:D=$F$4,'领用录入（明细）'!C:C&gt;=$J$4,'领用录入（明细）'!C:C&lt;=$L$4),ROW(),"-")</f>
        <v>-</v>
      </c>
    </row>
    <row r="2059" customHeight="1" spans="2:2">
      <c r="B2059" s="62" t="str">
        <f>IF(AND('领用录入（明细）'!D:D=$F$4,'领用录入（明细）'!C:C&gt;=$J$4,'领用录入（明细）'!C:C&lt;=$L$4),ROW(),"-")</f>
        <v>-</v>
      </c>
    </row>
    <row r="2060" customHeight="1" spans="2:2">
      <c r="B2060" s="62" t="str">
        <f>IF(AND('领用录入（明细）'!D:D=$F$4,'领用录入（明细）'!C:C&gt;=$J$4,'领用录入（明细）'!C:C&lt;=$L$4),ROW(),"-")</f>
        <v>-</v>
      </c>
    </row>
    <row r="2061" customHeight="1" spans="2:2">
      <c r="B2061" s="62" t="str">
        <f>IF(AND('领用录入（明细）'!D:D=$F$4,'领用录入（明细）'!C:C&gt;=$J$4,'领用录入（明细）'!C:C&lt;=$L$4),ROW(),"-")</f>
        <v>-</v>
      </c>
    </row>
    <row r="2062" customHeight="1" spans="2:2">
      <c r="B2062" s="62" t="str">
        <f>IF(AND('领用录入（明细）'!D:D=$F$4,'领用录入（明细）'!C:C&gt;=$J$4,'领用录入（明细）'!C:C&lt;=$L$4),ROW(),"-")</f>
        <v>-</v>
      </c>
    </row>
    <row r="2063" customHeight="1" spans="2:2">
      <c r="B2063" s="62" t="str">
        <f>IF(AND('领用录入（明细）'!D:D=$F$4,'领用录入（明细）'!C:C&gt;=$J$4,'领用录入（明细）'!C:C&lt;=$L$4),ROW(),"-")</f>
        <v>-</v>
      </c>
    </row>
    <row r="2064" customHeight="1" spans="2:2">
      <c r="B2064" s="62" t="str">
        <f>IF(AND('领用录入（明细）'!D:D=$F$4,'领用录入（明细）'!C:C&gt;=$J$4,'领用录入（明细）'!C:C&lt;=$L$4),ROW(),"-")</f>
        <v>-</v>
      </c>
    </row>
    <row r="2065" customHeight="1" spans="2:2">
      <c r="B2065" s="62" t="str">
        <f>IF(AND('领用录入（明细）'!D:D=$F$4,'领用录入（明细）'!C:C&gt;=$J$4,'领用录入（明细）'!C:C&lt;=$L$4),ROW(),"-")</f>
        <v>-</v>
      </c>
    </row>
    <row r="2066" customHeight="1" spans="2:2">
      <c r="B2066" s="62" t="str">
        <f>IF(AND('领用录入（明细）'!D:D=$F$4,'领用录入（明细）'!C:C&gt;=$J$4,'领用录入（明细）'!C:C&lt;=$L$4),ROW(),"-")</f>
        <v>-</v>
      </c>
    </row>
    <row r="2067" customHeight="1" spans="2:2">
      <c r="B2067" s="62" t="str">
        <f>IF(AND('领用录入（明细）'!D:D=$F$4,'领用录入（明细）'!C:C&gt;=$J$4,'领用录入（明细）'!C:C&lt;=$L$4),ROW(),"-")</f>
        <v>-</v>
      </c>
    </row>
    <row r="2068" customHeight="1" spans="2:2">
      <c r="B2068" s="62" t="str">
        <f>IF(AND('领用录入（明细）'!D:D=$F$4,'领用录入（明细）'!C:C&gt;=$J$4,'领用录入（明细）'!C:C&lt;=$L$4),ROW(),"-")</f>
        <v>-</v>
      </c>
    </row>
    <row r="2069" customHeight="1" spans="2:2">
      <c r="B2069" s="62" t="str">
        <f>IF(AND('领用录入（明细）'!D:D=$F$4,'领用录入（明细）'!C:C&gt;=$J$4,'领用录入（明细）'!C:C&lt;=$L$4),ROW(),"-")</f>
        <v>-</v>
      </c>
    </row>
    <row r="2070" customHeight="1" spans="2:2">
      <c r="B2070" s="62" t="str">
        <f>IF(AND('领用录入（明细）'!D:D=$F$4,'领用录入（明细）'!C:C&gt;=$J$4,'领用录入（明细）'!C:C&lt;=$L$4),ROW(),"-")</f>
        <v>-</v>
      </c>
    </row>
    <row r="2071" customHeight="1" spans="2:2">
      <c r="B2071" s="62" t="str">
        <f>IF(AND('领用录入（明细）'!D:D=$F$4,'领用录入（明细）'!C:C&gt;=$J$4,'领用录入（明细）'!C:C&lt;=$L$4),ROW(),"-")</f>
        <v>-</v>
      </c>
    </row>
    <row r="2072" customHeight="1" spans="2:2">
      <c r="B2072" s="62" t="str">
        <f>IF(AND('领用录入（明细）'!D:D=$F$4,'领用录入（明细）'!C:C&gt;=$J$4,'领用录入（明细）'!C:C&lt;=$L$4),ROW(),"-")</f>
        <v>-</v>
      </c>
    </row>
    <row r="2073" customHeight="1" spans="2:2">
      <c r="B2073" s="62" t="str">
        <f>IF(AND('领用录入（明细）'!D:D=$F$4,'领用录入（明细）'!C:C&gt;=$J$4,'领用录入（明细）'!C:C&lt;=$L$4),ROW(),"-")</f>
        <v>-</v>
      </c>
    </row>
    <row r="2074" customHeight="1" spans="2:2">
      <c r="B2074" s="62" t="str">
        <f>IF(AND('领用录入（明细）'!D:D=$F$4,'领用录入（明细）'!C:C&gt;=$J$4,'领用录入（明细）'!C:C&lt;=$L$4),ROW(),"-")</f>
        <v>-</v>
      </c>
    </row>
    <row r="2075" customHeight="1" spans="2:2">
      <c r="B2075" s="62" t="str">
        <f>IF(AND('领用录入（明细）'!D:D=$F$4,'领用录入（明细）'!C:C&gt;=$J$4,'领用录入（明细）'!C:C&lt;=$L$4),ROW(),"-")</f>
        <v>-</v>
      </c>
    </row>
    <row r="2076" customHeight="1" spans="2:2">
      <c r="B2076" s="62" t="str">
        <f>IF(AND('领用录入（明细）'!D:D=$F$4,'领用录入（明细）'!C:C&gt;=$J$4,'领用录入（明细）'!C:C&lt;=$L$4),ROW(),"-")</f>
        <v>-</v>
      </c>
    </row>
    <row r="2077" customHeight="1" spans="2:2">
      <c r="B2077" s="62" t="str">
        <f>IF(AND('领用录入（明细）'!D:D=$F$4,'领用录入（明细）'!C:C&gt;=$J$4,'领用录入（明细）'!C:C&lt;=$L$4),ROW(),"-")</f>
        <v>-</v>
      </c>
    </row>
    <row r="2078" customHeight="1" spans="2:2">
      <c r="B2078" s="62" t="str">
        <f>IF(AND('领用录入（明细）'!D:D=$F$4,'领用录入（明细）'!C:C&gt;=$J$4,'领用录入（明细）'!C:C&lt;=$L$4),ROW(),"-")</f>
        <v>-</v>
      </c>
    </row>
    <row r="2079" customHeight="1" spans="2:2">
      <c r="B2079" s="62" t="str">
        <f>IF(AND('领用录入（明细）'!D:D=$F$4,'领用录入（明细）'!C:C&gt;=$J$4,'领用录入（明细）'!C:C&lt;=$L$4),ROW(),"-")</f>
        <v>-</v>
      </c>
    </row>
    <row r="2080" customHeight="1" spans="2:2">
      <c r="B2080" s="62" t="str">
        <f>IF(AND('领用录入（明细）'!D:D=$F$4,'领用录入（明细）'!C:C&gt;=$J$4,'领用录入（明细）'!C:C&lt;=$L$4),ROW(),"-")</f>
        <v>-</v>
      </c>
    </row>
    <row r="2081" customHeight="1" spans="2:2">
      <c r="B2081" s="62" t="str">
        <f>IF(AND('领用录入（明细）'!D:D=$F$4,'领用录入（明细）'!C:C&gt;=$J$4,'领用录入（明细）'!C:C&lt;=$L$4),ROW(),"-")</f>
        <v>-</v>
      </c>
    </row>
    <row r="2082" customHeight="1" spans="2:2">
      <c r="B2082" s="62" t="str">
        <f>IF(AND('领用录入（明细）'!D:D=$F$4,'领用录入（明细）'!C:C&gt;=$J$4,'领用录入（明细）'!C:C&lt;=$L$4),ROW(),"-")</f>
        <v>-</v>
      </c>
    </row>
    <row r="2083" customHeight="1" spans="2:2">
      <c r="B2083" s="62" t="str">
        <f>IF(AND('领用录入（明细）'!D:D=$F$4,'领用录入（明细）'!C:C&gt;=$J$4,'领用录入（明细）'!C:C&lt;=$L$4),ROW(),"-")</f>
        <v>-</v>
      </c>
    </row>
    <row r="2084" customHeight="1" spans="2:2">
      <c r="B2084" s="62" t="str">
        <f>IF(AND('领用录入（明细）'!D:D=$F$4,'领用录入（明细）'!C:C&gt;=$J$4,'领用录入（明细）'!C:C&lt;=$L$4),ROW(),"-")</f>
        <v>-</v>
      </c>
    </row>
    <row r="2085" customHeight="1" spans="2:2">
      <c r="B2085" s="62" t="str">
        <f>IF(AND('领用录入（明细）'!D:D=$F$4,'领用录入（明细）'!C:C&gt;=$J$4,'领用录入（明细）'!C:C&lt;=$L$4),ROW(),"-")</f>
        <v>-</v>
      </c>
    </row>
    <row r="2086" customHeight="1" spans="2:2">
      <c r="B2086" s="62" t="str">
        <f>IF(AND('领用录入（明细）'!D:D=$F$4,'领用录入（明细）'!C:C&gt;=$J$4,'领用录入（明细）'!C:C&lt;=$L$4),ROW(),"-")</f>
        <v>-</v>
      </c>
    </row>
    <row r="2087" customHeight="1" spans="2:2">
      <c r="B2087" s="62" t="str">
        <f>IF(AND('领用录入（明细）'!D:D=$F$4,'领用录入（明细）'!C:C&gt;=$J$4,'领用录入（明细）'!C:C&lt;=$L$4),ROW(),"-")</f>
        <v>-</v>
      </c>
    </row>
    <row r="2088" customHeight="1" spans="2:2">
      <c r="B2088" s="62" t="str">
        <f>IF(AND('领用录入（明细）'!D:D=$F$4,'领用录入（明细）'!C:C&gt;=$J$4,'领用录入（明细）'!C:C&lt;=$L$4),ROW(),"-")</f>
        <v>-</v>
      </c>
    </row>
    <row r="2089" customHeight="1" spans="2:2">
      <c r="B2089" s="62" t="str">
        <f>IF(AND('领用录入（明细）'!D:D=$F$4,'领用录入（明细）'!C:C&gt;=$J$4,'领用录入（明细）'!C:C&lt;=$L$4),ROW(),"-")</f>
        <v>-</v>
      </c>
    </row>
    <row r="2090" customHeight="1" spans="2:2">
      <c r="B2090" s="62" t="str">
        <f>IF(AND('领用录入（明细）'!D:D=$F$4,'领用录入（明细）'!C:C&gt;=$J$4,'领用录入（明细）'!C:C&lt;=$L$4),ROW(),"-")</f>
        <v>-</v>
      </c>
    </row>
    <row r="2091" customHeight="1" spans="2:2">
      <c r="B2091" s="62" t="str">
        <f>IF(AND('领用录入（明细）'!D:D=$F$4,'领用录入（明细）'!C:C&gt;=$J$4,'领用录入（明细）'!C:C&lt;=$L$4),ROW(),"-")</f>
        <v>-</v>
      </c>
    </row>
    <row r="2092" customHeight="1" spans="2:2">
      <c r="B2092" s="62" t="str">
        <f>IF(AND('领用录入（明细）'!D:D=$F$4,'领用录入（明细）'!C:C&gt;=$J$4,'领用录入（明细）'!C:C&lt;=$L$4),ROW(),"-")</f>
        <v>-</v>
      </c>
    </row>
    <row r="2093" customHeight="1" spans="2:2">
      <c r="B2093" s="62" t="str">
        <f>IF(AND('领用录入（明细）'!D:D=$F$4,'领用录入（明细）'!C:C&gt;=$J$4,'领用录入（明细）'!C:C&lt;=$L$4),ROW(),"-")</f>
        <v>-</v>
      </c>
    </row>
    <row r="2094" customHeight="1" spans="2:2">
      <c r="B2094" s="62" t="str">
        <f>IF(AND('领用录入（明细）'!D:D=$F$4,'领用录入（明细）'!C:C&gt;=$J$4,'领用录入（明细）'!C:C&lt;=$L$4),ROW(),"-")</f>
        <v>-</v>
      </c>
    </row>
    <row r="2095" customHeight="1" spans="2:2">
      <c r="B2095" s="62" t="str">
        <f>IF(AND('领用录入（明细）'!D:D=$F$4,'领用录入（明细）'!C:C&gt;=$J$4,'领用录入（明细）'!C:C&lt;=$L$4),ROW(),"-")</f>
        <v>-</v>
      </c>
    </row>
    <row r="2096" customHeight="1" spans="2:2">
      <c r="B2096" s="62" t="str">
        <f>IF(AND('领用录入（明细）'!D:D=$F$4,'领用录入（明细）'!C:C&gt;=$J$4,'领用录入（明细）'!C:C&lt;=$L$4),ROW(),"-")</f>
        <v>-</v>
      </c>
    </row>
    <row r="2097" customHeight="1" spans="2:2">
      <c r="B2097" s="62" t="str">
        <f>IF(AND('领用录入（明细）'!D:D=$F$4,'领用录入（明细）'!C:C&gt;=$J$4,'领用录入（明细）'!C:C&lt;=$L$4),ROW(),"-")</f>
        <v>-</v>
      </c>
    </row>
    <row r="2098" customHeight="1" spans="2:2">
      <c r="B2098" s="62" t="str">
        <f>IF(AND('领用录入（明细）'!D:D=$F$4,'领用录入（明细）'!C:C&gt;=$J$4,'领用录入（明细）'!C:C&lt;=$L$4),ROW(),"-")</f>
        <v>-</v>
      </c>
    </row>
    <row r="2099" customHeight="1" spans="2:2">
      <c r="B2099" s="62" t="str">
        <f>IF(AND('领用录入（明细）'!D:D=$F$4,'领用录入（明细）'!C:C&gt;=$J$4,'领用录入（明细）'!C:C&lt;=$L$4),ROW(),"-")</f>
        <v>-</v>
      </c>
    </row>
    <row r="2100" customHeight="1" spans="2:2">
      <c r="B2100" s="62" t="str">
        <f>IF(AND('领用录入（明细）'!D:D=$F$4,'领用录入（明细）'!C:C&gt;=$J$4,'领用录入（明细）'!C:C&lt;=$L$4),ROW(),"-")</f>
        <v>-</v>
      </c>
    </row>
    <row r="2101" customHeight="1" spans="2:2">
      <c r="B2101" s="62" t="str">
        <f>IF(AND('领用录入（明细）'!D:D=$F$4,'领用录入（明细）'!C:C&gt;=$J$4,'领用录入（明细）'!C:C&lt;=$L$4),ROW(),"-")</f>
        <v>-</v>
      </c>
    </row>
    <row r="2102" customHeight="1" spans="2:2">
      <c r="B2102" s="62" t="str">
        <f>IF(AND('领用录入（明细）'!D:D=$F$4,'领用录入（明细）'!C:C&gt;=$J$4,'领用录入（明细）'!C:C&lt;=$L$4),ROW(),"-")</f>
        <v>-</v>
      </c>
    </row>
    <row r="2103" customHeight="1" spans="2:2">
      <c r="B2103" s="62" t="str">
        <f>IF(AND('领用录入（明细）'!D:D=$F$4,'领用录入（明细）'!C:C&gt;=$J$4,'领用录入（明细）'!C:C&lt;=$L$4),ROW(),"-")</f>
        <v>-</v>
      </c>
    </row>
    <row r="2104" customHeight="1" spans="2:2">
      <c r="B2104" s="62" t="str">
        <f>IF(AND('领用录入（明细）'!D:D=$F$4,'领用录入（明细）'!C:C&gt;=$J$4,'领用录入（明细）'!C:C&lt;=$L$4),ROW(),"-")</f>
        <v>-</v>
      </c>
    </row>
    <row r="2105" customHeight="1" spans="2:2">
      <c r="B2105" s="62" t="str">
        <f>IF(AND('领用录入（明细）'!D:D=$F$4,'领用录入（明细）'!C:C&gt;=$J$4,'领用录入（明细）'!C:C&lt;=$L$4),ROW(),"-")</f>
        <v>-</v>
      </c>
    </row>
    <row r="2106" customHeight="1" spans="2:2">
      <c r="B2106" s="62" t="str">
        <f>IF(AND('领用录入（明细）'!D:D=$F$4,'领用录入（明细）'!C:C&gt;=$J$4,'领用录入（明细）'!C:C&lt;=$L$4),ROW(),"-")</f>
        <v>-</v>
      </c>
    </row>
    <row r="2107" customHeight="1" spans="2:2">
      <c r="B2107" s="62" t="str">
        <f>IF(AND('领用录入（明细）'!D:D=$F$4,'领用录入（明细）'!C:C&gt;=$J$4,'领用录入（明细）'!C:C&lt;=$L$4),ROW(),"-")</f>
        <v>-</v>
      </c>
    </row>
    <row r="2108" customHeight="1" spans="2:2">
      <c r="B2108" s="62" t="str">
        <f>IF(AND('领用录入（明细）'!D:D=$F$4,'领用录入（明细）'!C:C&gt;=$J$4,'领用录入（明细）'!C:C&lt;=$L$4),ROW(),"-")</f>
        <v>-</v>
      </c>
    </row>
    <row r="2109" customHeight="1" spans="2:2">
      <c r="B2109" s="62" t="str">
        <f>IF(AND('领用录入（明细）'!D:D=$F$4,'领用录入（明细）'!C:C&gt;=$J$4,'领用录入（明细）'!C:C&lt;=$L$4),ROW(),"-")</f>
        <v>-</v>
      </c>
    </row>
    <row r="2110" customHeight="1" spans="2:2">
      <c r="B2110" s="62" t="str">
        <f>IF(AND('领用录入（明细）'!D:D=$F$4,'领用录入（明细）'!C:C&gt;=$J$4,'领用录入（明细）'!C:C&lt;=$L$4),ROW(),"-")</f>
        <v>-</v>
      </c>
    </row>
    <row r="2111" customHeight="1" spans="2:2">
      <c r="B2111" s="62" t="str">
        <f>IF(AND('领用录入（明细）'!D:D=$F$4,'领用录入（明细）'!C:C&gt;=$J$4,'领用录入（明细）'!C:C&lt;=$L$4),ROW(),"-")</f>
        <v>-</v>
      </c>
    </row>
    <row r="2112" customHeight="1" spans="2:2">
      <c r="B2112" s="62" t="str">
        <f>IF(AND('领用录入（明细）'!D:D=$F$4,'领用录入（明细）'!C:C&gt;=$J$4,'领用录入（明细）'!C:C&lt;=$L$4),ROW(),"-")</f>
        <v>-</v>
      </c>
    </row>
    <row r="2113" customHeight="1" spans="2:2">
      <c r="B2113" s="62" t="str">
        <f>IF(AND('领用录入（明细）'!D:D=$F$4,'领用录入（明细）'!C:C&gt;=$J$4,'领用录入（明细）'!C:C&lt;=$L$4),ROW(),"-")</f>
        <v>-</v>
      </c>
    </row>
    <row r="2114" customHeight="1" spans="2:2">
      <c r="B2114" s="62" t="str">
        <f>IF(AND('领用录入（明细）'!D:D=$F$4,'领用录入（明细）'!C:C&gt;=$J$4,'领用录入（明细）'!C:C&lt;=$L$4),ROW(),"-")</f>
        <v>-</v>
      </c>
    </row>
    <row r="2115" customHeight="1" spans="2:2">
      <c r="B2115" s="62" t="str">
        <f>IF(AND('领用录入（明细）'!D:D=$F$4,'领用录入（明细）'!C:C&gt;=$J$4,'领用录入（明细）'!C:C&lt;=$L$4),ROW(),"-")</f>
        <v>-</v>
      </c>
    </row>
    <row r="2116" customHeight="1" spans="2:2">
      <c r="B2116" s="62" t="str">
        <f>IF(AND('领用录入（明细）'!D:D=$F$4,'领用录入（明细）'!C:C&gt;=$J$4,'领用录入（明细）'!C:C&lt;=$L$4),ROW(),"-")</f>
        <v>-</v>
      </c>
    </row>
    <row r="2117" customHeight="1" spans="2:2">
      <c r="B2117" s="62" t="str">
        <f>IF(AND('领用录入（明细）'!D:D=$F$4,'领用录入（明细）'!C:C&gt;=$J$4,'领用录入（明细）'!C:C&lt;=$L$4),ROW(),"-")</f>
        <v>-</v>
      </c>
    </row>
    <row r="2118" customHeight="1" spans="2:2">
      <c r="B2118" s="62" t="str">
        <f>IF(AND('领用录入（明细）'!D:D=$F$4,'领用录入（明细）'!C:C&gt;=$J$4,'领用录入（明细）'!C:C&lt;=$L$4),ROW(),"-")</f>
        <v>-</v>
      </c>
    </row>
    <row r="2119" customHeight="1" spans="2:2">
      <c r="B2119" s="62" t="str">
        <f>IF(AND('领用录入（明细）'!D:D=$F$4,'领用录入（明细）'!C:C&gt;=$J$4,'领用录入（明细）'!C:C&lt;=$L$4),ROW(),"-")</f>
        <v>-</v>
      </c>
    </row>
    <row r="2120" customHeight="1" spans="2:2">
      <c r="B2120" s="62" t="str">
        <f>IF(AND('领用录入（明细）'!D:D=$F$4,'领用录入（明细）'!C:C&gt;=$J$4,'领用录入（明细）'!C:C&lt;=$L$4),ROW(),"-")</f>
        <v>-</v>
      </c>
    </row>
    <row r="2121" customHeight="1" spans="2:2">
      <c r="B2121" s="62" t="str">
        <f>IF(AND('领用录入（明细）'!D:D=$F$4,'领用录入（明细）'!C:C&gt;=$J$4,'领用录入（明细）'!C:C&lt;=$L$4),ROW(),"-")</f>
        <v>-</v>
      </c>
    </row>
    <row r="2122" customHeight="1" spans="2:2">
      <c r="B2122" s="62" t="str">
        <f>IF(AND('领用录入（明细）'!D:D=$F$4,'领用录入（明细）'!C:C&gt;=$J$4,'领用录入（明细）'!C:C&lt;=$L$4),ROW(),"-")</f>
        <v>-</v>
      </c>
    </row>
    <row r="2123" customHeight="1" spans="2:2">
      <c r="B2123" s="62" t="str">
        <f>IF(AND('领用录入（明细）'!D:D=$F$4,'领用录入（明细）'!C:C&gt;=$J$4,'领用录入（明细）'!C:C&lt;=$L$4),ROW(),"-")</f>
        <v>-</v>
      </c>
    </row>
    <row r="2124" customHeight="1" spans="2:2">
      <c r="B2124" s="62" t="str">
        <f>IF(AND('领用录入（明细）'!D:D=$F$4,'领用录入（明细）'!C:C&gt;=$J$4,'领用录入（明细）'!C:C&lt;=$L$4),ROW(),"-")</f>
        <v>-</v>
      </c>
    </row>
    <row r="2125" customHeight="1" spans="2:2">
      <c r="B2125" s="62" t="str">
        <f>IF(AND('领用录入（明细）'!D:D=$F$4,'领用录入（明细）'!C:C&gt;=$J$4,'领用录入（明细）'!C:C&lt;=$L$4),ROW(),"-")</f>
        <v>-</v>
      </c>
    </row>
    <row r="2126" customHeight="1" spans="2:2">
      <c r="B2126" s="62" t="str">
        <f>IF(AND('领用录入（明细）'!D:D=$F$4,'领用录入（明细）'!C:C&gt;=$J$4,'领用录入（明细）'!C:C&lt;=$L$4),ROW(),"-")</f>
        <v>-</v>
      </c>
    </row>
    <row r="2127" customHeight="1" spans="2:2">
      <c r="B2127" s="62" t="str">
        <f>IF(AND('领用录入（明细）'!D:D=$F$4,'领用录入（明细）'!C:C&gt;=$J$4,'领用录入（明细）'!C:C&lt;=$L$4),ROW(),"-")</f>
        <v>-</v>
      </c>
    </row>
    <row r="2128" customHeight="1" spans="2:2">
      <c r="B2128" s="62" t="str">
        <f>IF(AND('领用录入（明细）'!D:D=$F$4,'领用录入（明细）'!C:C&gt;=$J$4,'领用录入（明细）'!C:C&lt;=$L$4),ROW(),"-")</f>
        <v>-</v>
      </c>
    </row>
    <row r="2129" customHeight="1" spans="2:2">
      <c r="B2129" s="62" t="str">
        <f>IF(AND('领用录入（明细）'!D:D=$F$4,'领用录入（明细）'!C:C&gt;=$J$4,'领用录入（明细）'!C:C&lt;=$L$4),ROW(),"-")</f>
        <v>-</v>
      </c>
    </row>
    <row r="2130" customHeight="1" spans="2:2">
      <c r="B2130" s="62" t="str">
        <f>IF(AND('领用录入（明细）'!D:D=$F$4,'领用录入（明细）'!C:C&gt;=$J$4,'领用录入（明细）'!C:C&lt;=$L$4),ROW(),"-")</f>
        <v>-</v>
      </c>
    </row>
    <row r="2131" customHeight="1" spans="2:2">
      <c r="B2131" s="62" t="str">
        <f>IF(AND('领用录入（明细）'!D:D=$F$4,'领用录入（明细）'!C:C&gt;=$J$4,'领用录入（明细）'!C:C&lt;=$L$4),ROW(),"-")</f>
        <v>-</v>
      </c>
    </row>
    <row r="2132" customHeight="1" spans="2:2">
      <c r="B2132" s="62" t="str">
        <f>IF(AND('领用录入（明细）'!D:D=$F$4,'领用录入（明细）'!C:C&gt;=$J$4,'领用录入（明细）'!C:C&lt;=$L$4),ROW(),"-")</f>
        <v>-</v>
      </c>
    </row>
    <row r="2133" customHeight="1" spans="2:2">
      <c r="B2133" s="62" t="str">
        <f>IF(AND('领用录入（明细）'!D:D=$F$4,'领用录入（明细）'!C:C&gt;=$J$4,'领用录入（明细）'!C:C&lt;=$L$4),ROW(),"-")</f>
        <v>-</v>
      </c>
    </row>
    <row r="2134" customHeight="1" spans="2:2">
      <c r="B2134" s="62" t="str">
        <f>IF(AND('领用录入（明细）'!D:D=$F$4,'领用录入（明细）'!C:C&gt;=$J$4,'领用录入（明细）'!C:C&lt;=$L$4),ROW(),"-")</f>
        <v>-</v>
      </c>
    </row>
    <row r="2135" customHeight="1" spans="2:2">
      <c r="B2135" s="62" t="str">
        <f>IF(AND('领用录入（明细）'!D:D=$F$4,'领用录入（明细）'!C:C&gt;=$J$4,'领用录入（明细）'!C:C&lt;=$L$4),ROW(),"-")</f>
        <v>-</v>
      </c>
    </row>
    <row r="2136" customHeight="1" spans="2:2">
      <c r="B2136" s="62" t="str">
        <f>IF(AND('领用录入（明细）'!D:D=$F$4,'领用录入（明细）'!C:C&gt;=$J$4,'领用录入（明细）'!C:C&lt;=$L$4),ROW(),"-")</f>
        <v>-</v>
      </c>
    </row>
    <row r="2137" customHeight="1" spans="2:2">
      <c r="B2137" s="62" t="str">
        <f>IF(AND('领用录入（明细）'!D:D=$F$4,'领用录入（明细）'!C:C&gt;=$J$4,'领用录入（明细）'!C:C&lt;=$L$4),ROW(),"-")</f>
        <v>-</v>
      </c>
    </row>
    <row r="2138" customHeight="1" spans="2:2">
      <c r="B2138" s="62" t="str">
        <f>IF(AND('领用录入（明细）'!D:D=$F$4,'领用录入（明细）'!C:C&gt;=$J$4,'领用录入（明细）'!C:C&lt;=$L$4),ROW(),"-")</f>
        <v>-</v>
      </c>
    </row>
    <row r="2139" customHeight="1" spans="2:2">
      <c r="B2139" s="62" t="str">
        <f>IF(AND('领用录入（明细）'!D:D=$F$4,'领用录入（明细）'!C:C&gt;=$J$4,'领用录入（明细）'!C:C&lt;=$L$4),ROW(),"-")</f>
        <v>-</v>
      </c>
    </row>
    <row r="2140" customHeight="1" spans="2:2">
      <c r="B2140" s="62" t="str">
        <f>IF(AND('领用录入（明细）'!D:D=$F$4,'领用录入（明细）'!C:C&gt;=$J$4,'领用录入（明细）'!C:C&lt;=$L$4),ROW(),"-")</f>
        <v>-</v>
      </c>
    </row>
    <row r="2141" customHeight="1" spans="2:2">
      <c r="B2141" s="62" t="str">
        <f>IF(AND('领用录入（明细）'!D:D=$F$4,'领用录入（明细）'!C:C&gt;=$J$4,'领用录入（明细）'!C:C&lt;=$L$4),ROW(),"-")</f>
        <v>-</v>
      </c>
    </row>
    <row r="2142" customHeight="1" spans="2:2">
      <c r="B2142" s="62" t="str">
        <f>IF(AND('领用录入（明细）'!D:D=$F$4,'领用录入（明细）'!C:C&gt;=$J$4,'领用录入（明细）'!C:C&lt;=$L$4),ROW(),"-")</f>
        <v>-</v>
      </c>
    </row>
    <row r="2143" customHeight="1" spans="2:2">
      <c r="B2143" s="62" t="str">
        <f>IF(AND('领用录入（明细）'!D:D=$F$4,'领用录入（明细）'!C:C&gt;=$J$4,'领用录入（明细）'!C:C&lt;=$L$4),ROW(),"-")</f>
        <v>-</v>
      </c>
    </row>
    <row r="2144" customHeight="1" spans="2:2">
      <c r="B2144" s="62" t="str">
        <f>IF(AND('领用录入（明细）'!D:D=$F$4,'领用录入（明细）'!C:C&gt;=$J$4,'领用录入（明细）'!C:C&lt;=$L$4),ROW(),"-")</f>
        <v>-</v>
      </c>
    </row>
    <row r="2145" customHeight="1" spans="2:2">
      <c r="B2145" s="62" t="str">
        <f>IF(AND('领用录入（明细）'!D:D=$F$4,'领用录入（明细）'!C:C&gt;=$J$4,'领用录入（明细）'!C:C&lt;=$L$4),ROW(),"-")</f>
        <v>-</v>
      </c>
    </row>
    <row r="2146" customHeight="1" spans="2:2">
      <c r="B2146" s="62" t="str">
        <f>IF(AND('领用录入（明细）'!D:D=$F$4,'领用录入（明细）'!C:C&gt;=$J$4,'领用录入（明细）'!C:C&lt;=$L$4),ROW(),"-")</f>
        <v>-</v>
      </c>
    </row>
    <row r="2147" customHeight="1" spans="2:2">
      <c r="B2147" s="62" t="str">
        <f>IF(AND('领用录入（明细）'!D:D=$F$4,'领用录入（明细）'!C:C&gt;=$J$4,'领用录入（明细）'!C:C&lt;=$L$4),ROW(),"-")</f>
        <v>-</v>
      </c>
    </row>
    <row r="2148" customHeight="1" spans="2:2">
      <c r="B2148" s="62" t="str">
        <f>IF(AND('领用录入（明细）'!D:D=$F$4,'领用录入（明细）'!C:C&gt;=$J$4,'领用录入（明细）'!C:C&lt;=$L$4),ROW(),"-")</f>
        <v>-</v>
      </c>
    </row>
    <row r="2149" customHeight="1" spans="2:2">
      <c r="B2149" s="62" t="str">
        <f>IF(AND('领用录入（明细）'!D:D=$F$4,'领用录入（明细）'!C:C&gt;=$J$4,'领用录入（明细）'!C:C&lt;=$L$4),ROW(),"-")</f>
        <v>-</v>
      </c>
    </row>
    <row r="2150" customHeight="1" spans="2:2">
      <c r="B2150" s="62" t="str">
        <f>IF(AND('领用录入（明细）'!D:D=$F$4,'领用录入（明细）'!C:C&gt;=$J$4,'领用录入（明细）'!C:C&lt;=$L$4),ROW(),"-")</f>
        <v>-</v>
      </c>
    </row>
    <row r="2151" customHeight="1" spans="2:2">
      <c r="B2151" s="62" t="str">
        <f>IF(AND('领用录入（明细）'!D:D=$F$4,'领用录入（明细）'!C:C&gt;=$J$4,'领用录入（明细）'!C:C&lt;=$L$4),ROW(),"-")</f>
        <v>-</v>
      </c>
    </row>
    <row r="2152" customHeight="1" spans="2:2">
      <c r="B2152" s="62" t="str">
        <f>IF(AND('领用录入（明细）'!D:D=$F$4,'领用录入（明细）'!C:C&gt;=$J$4,'领用录入（明细）'!C:C&lt;=$L$4),ROW(),"-")</f>
        <v>-</v>
      </c>
    </row>
    <row r="2153" customHeight="1" spans="2:2">
      <c r="B2153" s="62" t="str">
        <f>IF(AND('领用录入（明细）'!D:D=$F$4,'领用录入（明细）'!C:C&gt;=$J$4,'领用录入（明细）'!C:C&lt;=$L$4),ROW(),"-")</f>
        <v>-</v>
      </c>
    </row>
    <row r="2154" customHeight="1" spans="2:2">
      <c r="B2154" s="62" t="str">
        <f>IF(AND('领用录入（明细）'!D:D=$F$4,'领用录入（明细）'!C:C&gt;=$J$4,'领用录入（明细）'!C:C&lt;=$L$4),ROW(),"-")</f>
        <v>-</v>
      </c>
    </row>
    <row r="2155" customHeight="1" spans="2:2">
      <c r="B2155" s="62" t="str">
        <f>IF(AND('领用录入（明细）'!D:D=$F$4,'领用录入（明细）'!C:C&gt;=$J$4,'领用录入（明细）'!C:C&lt;=$L$4),ROW(),"-")</f>
        <v>-</v>
      </c>
    </row>
    <row r="2156" customHeight="1" spans="2:2">
      <c r="B2156" s="62" t="str">
        <f>IF(AND('领用录入（明细）'!D:D=$F$4,'领用录入（明细）'!C:C&gt;=$J$4,'领用录入（明细）'!C:C&lt;=$L$4),ROW(),"-")</f>
        <v>-</v>
      </c>
    </row>
    <row r="2157" customHeight="1" spans="2:2">
      <c r="B2157" s="62" t="str">
        <f>IF(AND('领用录入（明细）'!D:D=$F$4,'领用录入（明细）'!C:C&gt;=$J$4,'领用录入（明细）'!C:C&lt;=$L$4),ROW(),"-")</f>
        <v>-</v>
      </c>
    </row>
    <row r="2158" customHeight="1" spans="2:2">
      <c r="B2158" s="62" t="str">
        <f>IF(AND('领用录入（明细）'!D:D=$F$4,'领用录入（明细）'!C:C&gt;=$J$4,'领用录入（明细）'!C:C&lt;=$L$4),ROW(),"-")</f>
        <v>-</v>
      </c>
    </row>
    <row r="2159" customHeight="1" spans="2:2">
      <c r="B2159" s="62" t="str">
        <f>IF(AND('领用录入（明细）'!D:D=$F$4,'领用录入（明细）'!C:C&gt;=$J$4,'领用录入（明细）'!C:C&lt;=$L$4),ROW(),"-")</f>
        <v>-</v>
      </c>
    </row>
    <row r="2160" customHeight="1" spans="2:2">
      <c r="B2160" s="62" t="str">
        <f>IF(AND('领用录入（明细）'!D:D=$F$4,'领用录入（明细）'!C:C&gt;=$J$4,'领用录入（明细）'!C:C&lt;=$L$4),ROW(),"-")</f>
        <v>-</v>
      </c>
    </row>
    <row r="2161" customHeight="1" spans="2:2">
      <c r="B2161" s="62" t="str">
        <f>IF(AND('领用录入（明细）'!D:D=$F$4,'领用录入（明细）'!C:C&gt;=$J$4,'领用录入（明细）'!C:C&lt;=$L$4),ROW(),"-")</f>
        <v>-</v>
      </c>
    </row>
    <row r="2162" customHeight="1" spans="2:2">
      <c r="B2162" s="62" t="str">
        <f>IF(AND('领用录入（明细）'!D:D=$F$4,'领用录入（明细）'!C:C&gt;=$J$4,'领用录入（明细）'!C:C&lt;=$L$4),ROW(),"-")</f>
        <v>-</v>
      </c>
    </row>
    <row r="2163" customHeight="1" spans="2:2">
      <c r="B2163" s="62" t="str">
        <f>IF(AND('领用录入（明细）'!D:D=$F$4,'领用录入（明细）'!C:C&gt;=$J$4,'领用录入（明细）'!C:C&lt;=$L$4),ROW(),"-")</f>
        <v>-</v>
      </c>
    </row>
    <row r="2164" customHeight="1" spans="2:2">
      <c r="B2164" s="62" t="str">
        <f>IF(AND('领用录入（明细）'!D:D=$F$4,'领用录入（明细）'!C:C&gt;=$J$4,'领用录入（明细）'!C:C&lt;=$L$4),ROW(),"-")</f>
        <v>-</v>
      </c>
    </row>
    <row r="2165" customHeight="1" spans="2:2">
      <c r="B2165" s="62" t="str">
        <f>IF(AND('领用录入（明细）'!D:D=$F$4,'领用录入（明细）'!C:C&gt;=$J$4,'领用录入（明细）'!C:C&lt;=$L$4),ROW(),"-")</f>
        <v>-</v>
      </c>
    </row>
    <row r="2166" customHeight="1" spans="2:2">
      <c r="B2166" s="62" t="str">
        <f>IF(AND('领用录入（明细）'!D:D=$F$4,'领用录入（明细）'!C:C&gt;=$J$4,'领用录入（明细）'!C:C&lt;=$L$4),ROW(),"-")</f>
        <v>-</v>
      </c>
    </row>
    <row r="2167" customHeight="1" spans="2:2">
      <c r="B2167" s="62" t="str">
        <f>IF(AND('领用录入（明细）'!D:D=$F$4,'领用录入（明细）'!C:C&gt;=$J$4,'领用录入（明细）'!C:C&lt;=$L$4),ROW(),"-")</f>
        <v>-</v>
      </c>
    </row>
    <row r="2168" customHeight="1" spans="2:2">
      <c r="B2168" s="62" t="str">
        <f>IF(AND('领用录入（明细）'!D:D=$F$4,'领用录入（明细）'!C:C&gt;=$J$4,'领用录入（明细）'!C:C&lt;=$L$4),ROW(),"-")</f>
        <v>-</v>
      </c>
    </row>
    <row r="2169" customHeight="1" spans="2:2">
      <c r="B2169" s="62" t="str">
        <f>IF(AND('领用录入（明细）'!D:D=$F$4,'领用录入（明细）'!C:C&gt;=$J$4,'领用录入（明细）'!C:C&lt;=$L$4),ROW(),"-")</f>
        <v>-</v>
      </c>
    </row>
    <row r="2170" customHeight="1" spans="2:2">
      <c r="B2170" s="62" t="str">
        <f>IF(AND('领用录入（明细）'!D:D=$F$4,'领用录入（明细）'!C:C&gt;=$J$4,'领用录入（明细）'!C:C&lt;=$L$4),ROW(),"-")</f>
        <v>-</v>
      </c>
    </row>
    <row r="2171" customHeight="1" spans="2:2">
      <c r="B2171" s="62" t="str">
        <f>IF(AND('领用录入（明细）'!D:D=$F$4,'领用录入（明细）'!C:C&gt;=$J$4,'领用录入（明细）'!C:C&lt;=$L$4),ROW(),"-")</f>
        <v>-</v>
      </c>
    </row>
    <row r="2172" customHeight="1" spans="2:2">
      <c r="B2172" s="62" t="str">
        <f>IF(AND('领用录入（明细）'!D:D=$F$4,'领用录入（明细）'!C:C&gt;=$J$4,'领用录入（明细）'!C:C&lt;=$L$4),ROW(),"-")</f>
        <v>-</v>
      </c>
    </row>
    <row r="2173" customHeight="1" spans="2:2">
      <c r="B2173" s="62" t="str">
        <f>IF(AND('领用录入（明细）'!D:D=$F$4,'领用录入（明细）'!C:C&gt;=$J$4,'领用录入（明细）'!C:C&lt;=$L$4),ROW(),"-")</f>
        <v>-</v>
      </c>
    </row>
    <row r="2174" customHeight="1" spans="2:2">
      <c r="B2174" s="62" t="str">
        <f>IF(AND('领用录入（明细）'!D:D=$F$4,'领用录入（明细）'!C:C&gt;=$J$4,'领用录入（明细）'!C:C&lt;=$L$4),ROW(),"-")</f>
        <v>-</v>
      </c>
    </row>
    <row r="2175" customHeight="1" spans="2:2">
      <c r="B2175" s="62" t="str">
        <f>IF(AND('领用录入（明细）'!D:D=$F$4,'领用录入（明细）'!C:C&gt;=$J$4,'领用录入（明细）'!C:C&lt;=$L$4),ROW(),"-")</f>
        <v>-</v>
      </c>
    </row>
    <row r="2176" customHeight="1" spans="2:2">
      <c r="B2176" s="62" t="str">
        <f>IF(AND('领用录入（明细）'!D:D=$F$4,'领用录入（明细）'!C:C&gt;=$J$4,'领用录入（明细）'!C:C&lt;=$L$4),ROW(),"-")</f>
        <v>-</v>
      </c>
    </row>
    <row r="2177" customHeight="1" spans="2:2">
      <c r="B2177" s="62" t="str">
        <f>IF(AND('领用录入（明细）'!D:D=$F$4,'领用录入（明细）'!C:C&gt;=$J$4,'领用录入（明细）'!C:C&lt;=$L$4),ROW(),"-")</f>
        <v>-</v>
      </c>
    </row>
    <row r="2178" customHeight="1" spans="2:2">
      <c r="B2178" s="62" t="str">
        <f>IF(AND('领用录入（明细）'!D:D=$F$4,'领用录入（明细）'!C:C&gt;=$J$4,'领用录入（明细）'!C:C&lt;=$L$4),ROW(),"-")</f>
        <v>-</v>
      </c>
    </row>
    <row r="2179" customHeight="1" spans="2:2">
      <c r="B2179" s="62" t="str">
        <f>IF(AND('领用录入（明细）'!D:D=$F$4,'领用录入（明细）'!C:C&gt;=$J$4,'领用录入（明细）'!C:C&lt;=$L$4),ROW(),"-")</f>
        <v>-</v>
      </c>
    </row>
    <row r="2180" customHeight="1" spans="2:2">
      <c r="B2180" s="62" t="str">
        <f>IF(AND('领用录入（明细）'!D:D=$F$4,'领用录入（明细）'!C:C&gt;=$J$4,'领用录入（明细）'!C:C&lt;=$L$4),ROW(),"-")</f>
        <v>-</v>
      </c>
    </row>
    <row r="2181" customHeight="1" spans="2:2">
      <c r="B2181" s="62" t="str">
        <f>IF(AND('领用录入（明细）'!D:D=$F$4,'领用录入（明细）'!C:C&gt;=$J$4,'领用录入（明细）'!C:C&lt;=$L$4),ROW(),"-")</f>
        <v>-</v>
      </c>
    </row>
    <row r="2182" customHeight="1" spans="2:2">
      <c r="B2182" s="62" t="str">
        <f>IF(AND('领用录入（明细）'!D:D=$F$4,'领用录入（明细）'!C:C&gt;=$J$4,'领用录入（明细）'!C:C&lt;=$L$4),ROW(),"-")</f>
        <v>-</v>
      </c>
    </row>
    <row r="2183" customHeight="1" spans="2:2">
      <c r="B2183" s="62" t="str">
        <f>IF(AND('领用录入（明细）'!D:D=$F$4,'领用录入（明细）'!C:C&gt;=$J$4,'领用录入（明细）'!C:C&lt;=$L$4),ROW(),"-")</f>
        <v>-</v>
      </c>
    </row>
    <row r="2184" customHeight="1" spans="2:2">
      <c r="B2184" s="62" t="str">
        <f>IF(AND('领用录入（明细）'!D:D=$F$4,'领用录入（明细）'!C:C&gt;=$J$4,'领用录入（明细）'!C:C&lt;=$L$4),ROW(),"-")</f>
        <v>-</v>
      </c>
    </row>
    <row r="2185" customHeight="1" spans="2:2">
      <c r="B2185" s="62" t="str">
        <f>IF(AND('领用录入（明细）'!D:D=$F$4,'领用录入（明细）'!C:C&gt;=$J$4,'领用录入（明细）'!C:C&lt;=$L$4),ROW(),"-")</f>
        <v>-</v>
      </c>
    </row>
    <row r="2186" customHeight="1" spans="2:2">
      <c r="B2186" s="62" t="str">
        <f>IF(AND('领用录入（明细）'!D:D=$F$4,'领用录入（明细）'!C:C&gt;=$J$4,'领用录入（明细）'!C:C&lt;=$L$4),ROW(),"-")</f>
        <v>-</v>
      </c>
    </row>
    <row r="2187" customHeight="1" spans="2:2">
      <c r="B2187" s="62" t="str">
        <f>IF(AND('领用录入（明细）'!D:D=$F$4,'领用录入（明细）'!C:C&gt;=$J$4,'领用录入（明细）'!C:C&lt;=$L$4),ROW(),"-")</f>
        <v>-</v>
      </c>
    </row>
    <row r="2188" customHeight="1" spans="2:2">
      <c r="B2188" s="62" t="str">
        <f>IF(AND('领用录入（明细）'!D:D=$F$4,'领用录入（明细）'!C:C&gt;=$J$4,'领用录入（明细）'!C:C&lt;=$L$4),ROW(),"-")</f>
        <v>-</v>
      </c>
    </row>
    <row r="2189" customHeight="1" spans="2:2">
      <c r="B2189" s="62" t="str">
        <f>IF(AND('领用录入（明细）'!D:D=$F$4,'领用录入（明细）'!C:C&gt;=$J$4,'领用录入（明细）'!C:C&lt;=$L$4),ROW(),"-")</f>
        <v>-</v>
      </c>
    </row>
    <row r="2190" customHeight="1" spans="2:2">
      <c r="B2190" s="62" t="str">
        <f>IF(AND('领用录入（明细）'!D:D=$F$4,'领用录入（明细）'!C:C&gt;=$J$4,'领用录入（明细）'!C:C&lt;=$L$4),ROW(),"-")</f>
        <v>-</v>
      </c>
    </row>
    <row r="2191" customHeight="1" spans="2:2">
      <c r="B2191" s="62" t="str">
        <f>IF(AND('领用录入（明细）'!D:D=$F$4,'领用录入（明细）'!C:C&gt;=$J$4,'领用录入（明细）'!C:C&lt;=$L$4),ROW(),"-")</f>
        <v>-</v>
      </c>
    </row>
    <row r="2192" customHeight="1" spans="2:2">
      <c r="B2192" s="62" t="str">
        <f>IF(AND('领用录入（明细）'!D:D=$F$4,'领用录入（明细）'!C:C&gt;=$J$4,'领用录入（明细）'!C:C&lt;=$L$4),ROW(),"-")</f>
        <v>-</v>
      </c>
    </row>
    <row r="2193" customHeight="1" spans="2:2">
      <c r="B2193" s="62" t="str">
        <f>IF(AND('领用录入（明细）'!D:D=$F$4,'领用录入（明细）'!C:C&gt;=$J$4,'领用录入（明细）'!C:C&lt;=$L$4),ROW(),"-")</f>
        <v>-</v>
      </c>
    </row>
    <row r="2194" customHeight="1" spans="2:2">
      <c r="B2194" s="62" t="str">
        <f>IF(AND('领用录入（明细）'!D:D=$F$4,'领用录入（明细）'!C:C&gt;=$J$4,'领用录入（明细）'!C:C&lt;=$L$4),ROW(),"-")</f>
        <v>-</v>
      </c>
    </row>
    <row r="2195" customHeight="1" spans="2:2">
      <c r="B2195" s="62" t="str">
        <f>IF(AND('领用录入（明细）'!D:D=$F$4,'领用录入（明细）'!C:C&gt;=$J$4,'领用录入（明细）'!C:C&lt;=$L$4),ROW(),"-")</f>
        <v>-</v>
      </c>
    </row>
    <row r="2196" customHeight="1" spans="2:2">
      <c r="B2196" s="62" t="str">
        <f>IF(AND('领用录入（明细）'!D:D=$F$4,'领用录入（明细）'!C:C&gt;=$J$4,'领用录入（明细）'!C:C&lt;=$L$4),ROW(),"-")</f>
        <v>-</v>
      </c>
    </row>
    <row r="2197" customHeight="1" spans="2:2">
      <c r="B2197" s="62" t="str">
        <f>IF(AND('领用录入（明细）'!D:D=$F$4,'领用录入（明细）'!C:C&gt;=$J$4,'领用录入（明细）'!C:C&lt;=$L$4),ROW(),"-")</f>
        <v>-</v>
      </c>
    </row>
    <row r="2198" customHeight="1" spans="2:2">
      <c r="B2198" s="62" t="str">
        <f>IF(AND('领用录入（明细）'!D:D=$F$4,'领用录入（明细）'!C:C&gt;=$J$4,'领用录入（明细）'!C:C&lt;=$L$4),ROW(),"-")</f>
        <v>-</v>
      </c>
    </row>
    <row r="2199" customHeight="1" spans="2:2">
      <c r="B2199" s="62" t="str">
        <f>IF(AND('领用录入（明细）'!D:D=$F$4,'领用录入（明细）'!C:C&gt;=$J$4,'领用录入（明细）'!C:C&lt;=$L$4),ROW(),"-")</f>
        <v>-</v>
      </c>
    </row>
    <row r="2200" customHeight="1" spans="2:2">
      <c r="B2200" s="62" t="str">
        <f>IF(AND('领用录入（明细）'!D:D=$F$4,'领用录入（明细）'!C:C&gt;=$J$4,'领用录入（明细）'!C:C&lt;=$L$4),ROW(),"-")</f>
        <v>-</v>
      </c>
    </row>
    <row r="2201" customHeight="1" spans="2:2">
      <c r="B2201" s="62" t="str">
        <f>IF(AND('领用录入（明细）'!D:D=$F$4,'领用录入（明细）'!C:C&gt;=$J$4,'领用录入（明细）'!C:C&lt;=$L$4),ROW(),"-")</f>
        <v>-</v>
      </c>
    </row>
    <row r="2202" customHeight="1" spans="2:2">
      <c r="B2202" s="62" t="str">
        <f>IF(AND('领用录入（明细）'!D:D=$F$4,'领用录入（明细）'!C:C&gt;=$J$4,'领用录入（明细）'!C:C&lt;=$L$4),ROW(),"-")</f>
        <v>-</v>
      </c>
    </row>
    <row r="2203" customHeight="1" spans="2:2">
      <c r="B2203" s="62" t="str">
        <f>IF(AND('领用录入（明细）'!D:D=$F$4,'领用录入（明细）'!C:C&gt;=$J$4,'领用录入（明细）'!C:C&lt;=$L$4),ROW(),"-")</f>
        <v>-</v>
      </c>
    </row>
    <row r="2204" customHeight="1" spans="2:2">
      <c r="B2204" s="62" t="str">
        <f>IF(AND('领用录入（明细）'!D:D=$F$4,'领用录入（明细）'!C:C&gt;=$J$4,'领用录入（明细）'!C:C&lt;=$L$4),ROW(),"-")</f>
        <v>-</v>
      </c>
    </row>
    <row r="2205" customHeight="1" spans="2:2">
      <c r="B2205" s="62" t="str">
        <f>IF(AND('领用录入（明细）'!D:D=$F$4,'领用录入（明细）'!C:C&gt;=$J$4,'领用录入（明细）'!C:C&lt;=$L$4),ROW(),"-")</f>
        <v>-</v>
      </c>
    </row>
    <row r="2206" customHeight="1" spans="2:2">
      <c r="B2206" s="62" t="str">
        <f>IF(AND('领用录入（明细）'!D:D=$F$4,'领用录入（明细）'!C:C&gt;=$J$4,'领用录入（明细）'!C:C&lt;=$L$4),ROW(),"-")</f>
        <v>-</v>
      </c>
    </row>
    <row r="2207" customHeight="1" spans="2:2">
      <c r="B2207" s="62" t="str">
        <f>IF(AND('领用录入（明细）'!D:D=$F$4,'领用录入（明细）'!C:C&gt;=$J$4,'领用录入（明细）'!C:C&lt;=$L$4),ROW(),"-")</f>
        <v>-</v>
      </c>
    </row>
    <row r="2208" customHeight="1" spans="2:2">
      <c r="B2208" s="62" t="str">
        <f>IF(AND('领用录入（明细）'!D:D=$F$4,'领用录入（明细）'!C:C&gt;=$J$4,'领用录入（明细）'!C:C&lt;=$L$4),ROW(),"-")</f>
        <v>-</v>
      </c>
    </row>
    <row r="2209" customHeight="1" spans="2:2">
      <c r="B2209" s="62" t="str">
        <f>IF(AND('领用录入（明细）'!D:D=$F$4,'领用录入（明细）'!C:C&gt;=$J$4,'领用录入（明细）'!C:C&lt;=$L$4),ROW(),"-")</f>
        <v>-</v>
      </c>
    </row>
    <row r="2210" customHeight="1" spans="2:2">
      <c r="B2210" s="62" t="str">
        <f>IF(AND('领用录入（明细）'!D:D=$F$4,'领用录入（明细）'!C:C&gt;=$J$4,'领用录入（明细）'!C:C&lt;=$L$4),ROW(),"-")</f>
        <v>-</v>
      </c>
    </row>
    <row r="2211" customHeight="1" spans="2:2">
      <c r="B2211" s="62" t="str">
        <f>IF(AND('领用录入（明细）'!D:D=$F$4,'领用录入（明细）'!C:C&gt;=$J$4,'领用录入（明细）'!C:C&lt;=$L$4),ROW(),"-")</f>
        <v>-</v>
      </c>
    </row>
    <row r="2212" customHeight="1" spans="2:2">
      <c r="B2212" s="62" t="str">
        <f>IF(AND('领用录入（明细）'!D:D=$F$4,'领用录入（明细）'!C:C&gt;=$J$4,'领用录入（明细）'!C:C&lt;=$L$4),ROW(),"-")</f>
        <v>-</v>
      </c>
    </row>
    <row r="2213" customHeight="1" spans="2:2">
      <c r="B2213" s="62" t="str">
        <f>IF(AND('领用录入（明细）'!D:D=$F$4,'领用录入（明细）'!C:C&gt;=$J$4,'领用录入（明细）'!C:C&lt;=$L$4),ROW(),"-")</f>
        <v>-</v>
      </c>
    </row>
    <row r="2214" customHeight="1" spans="2:2">
      <c r="B2214" s="62" t="str">
        <f>IF(AND('领用录入（明细）'!D:D=$F$4,'领用录入（明细）'!C:C&gt;=$J$4,'领用录入（明细）'!C:C&lt;=$L$4),ROW(),"-")</f>
        <v>-</v>
      </c>
    </row>
    <row r="2215" customHeight="1" spans="2:2">
      <c r="B2215" s="62" t="str">
        <f>IF(AND('领用录入（明细）'!D:D=$F$4,'领用录入（明细）'!C:C&gt;=$J$4,'领用录入（明细）'!C:C&lt;=$L$4),ROW(),"-")</f>
        <v>-</v>
      </c>
    </row>
    <row r="2216" customHeight="1" spans="2:2">
      <c r="B2216" s="62" t="str">
        <f>IF(AND('领用录入（明细）'!D:D=$F$4,'领用录入（明细）'!C:C&gt;=$J$4,'领用录入（明细）'!C:C&lt;=$L$4),ROW(),"-")</f>
        <v>-</v>
      </c>
    </row>
    <row r="2217" customHeight="1" spans="2:2">
      <c r="B2217" s="62" t="str">
        <f>IF(AND('领用录入（明细）'!D:D=$F$4,'领用录入（明细）'!C:C&gt;=$J$4,'领用录入（明细）'!C:C&lt;=$L$4),ROW(),"-")</f>
        <v>-</v>
      </c>
    </row>
    <row r="2218" customHeight="1" spans="2:2">
      <c r="B2218" s="62" t="str">
        <f>IF(AND('领用录入（明细）'!D:D=$F$4,'领用录入（明细）'!C:C&gt;=$J$4,'领用录入（明细）'!C:C&lt;=$L$4),ROW(),"-")</f>
        <v>-</v>
      </c>
    </row>
    <row r="2219" customHeight="1" spans="2:2">
      <c r="B2219" s="62" t="str">
        <f>IF(AND('领用录入（明细）'!D:D=$F$4,'领用录入（明细）'!C:C&gt;=$J$4,'领用录入（明细）'!C:C&lt;=$L$4),ROW(),"-")</f>
        <v>-</v>
      </c>
    </row>
    <row r="2220" customHeight="1" spans="2:2">
      <c r="B2220" s="62" t="str">
        <f>IF(AND('领用录入（明细）'!D:D=$F$4,'领用录入（明细）'!C:C&gt;=$J$4,'领用录入（明细）'!C:C&lt;=$L$4),ROW(),"-")</f>
        <v>-</v>
      </c>
    </row>
    <row r="2221" customHeight="1" spans="2:2">
      <c r="B2221" s="62" t="str">
        <f>IF(AND('领用录入（明细）'!D:D=$F$4,'领用录入（明细）'!C:C&gt;=$J$4,'领用录入（明细）'!C:C&lt;=$L$4),ROW(),"-")</f>
        <v>-</v>
      </c>
    </row>
    <row r="2222" customHeight="1" spans="2:2">
      <c r="B2222" s="62" t="str">
        <f>IF(AND('领用录入（明细）'!D:D=$F$4,'领用录入（明细）'!C:C&gt;=$J$4,'领用录入（明细）'!C:C&lt;=$L$4),ROW(),"-")</f>
        <v>-</v>
      </c>
    </row>
    <row r="2223" customHeight="1" spans="2:2">
      <c r="B2223" s="62" t="str">
        <f>IF(AND('领用录入（明细）'!D:D=$F$4,'领用录入（明细）'!C:C&gt;=$J$4,'领用录入（明细）'!C:C&lt;=$L$4),ROW(),"-")</f>
        <v>-</v>
      </c>
    </row>
    <row r="2224" customHeight="1" spans="2:2">
      <c r="B2224" s="62" t="str">
        <f>IF(AND('领用录入（明细）'!D:D=$F$4,'领用录入（明细）'!C:C&gt;=$J$4,'领用录入（明细）'!C:C&lt;=$L$4),ROW(),"-")</f>
        <v>-</v>
      </c>
    </row>
    <row r="2225" customHeight="1" spans="2:2">
      <c r="B2225" s="62" t="str">
        <f>IF(AND('领用录入（明细）'!D:D=$F$4,'领用录入（明细）'!C:C&gt;=$J$4,'领用录入（明细）'!C:C&lt;=$L$4),ROW(),"-")</f>
        <v>-</v>
      </c>
    </row>
    <row r="2226" customHeight="1" spans="2:2">
      <c r="B2226" s="62" t="str">
        <f>IF(AND('领用录入（明细）'!D:D=$F$4,'领用录入（明细）'!C:C&gt;=$J$4,'领用录入（明细）'!C:C&lt;=$L$4),ROW(),"-")</f>
        <v>-</v>
      </c>
    </row>
    <row r="2227" customHeight="1" spans="2:2">
      <c r="B2227" s="62" t="str">
        <f>IF(AND('领用录入（明细）'!D:D=$F$4,'领用录入（明细）'!C:C&gt;=$J$4,'领用录入（明细）'!C:C&lt;=$L$4),ROW(),"-")</f>
        <v>-</v>
      </c>
    </row>
    <row r="2228" customHeight="1" spans="2:2">
      <c r="B2228" s="62" t="str">
        <f>IF(AND('领用录入（明细）'!D:D=$F$4,'领用录入（明细）'!C:C&gt;=$J$4,'领用录入（明细）'!C:C&lt;=$L$4),ROW(),"-")</f>
        <v>-</v>
      </c>
    </row>
    <row r="2229" customHeight="1" spans="2:2">
      <c r="B2229" s="62" t="str">
        <f>IF(AND('领用录入（明细）'!D:D=$F$4,'领用录入（明细）'!C:C&gt;=$J$4,'领用录入（明细）'!C:C&lt;=$L$4),ROW(),"-")</f>
        <v>-</v>
      </c>
    </row>
    <row r="2230" customHeight="1" spans="2:2">
      <c r="B2230" s="62" t="str">
        <f>IF(AND('领用录入（明细）'!D:D=$F$4,'领用录入（明细）'!C:C&gt;=$J$4,'领用录入（明细）'!C:C&lt;=$L$4),ROW(),"-")</f>
        <v>-</v>
      </c>
    </row>
    <row r="2231" customHeight="1" spans="2:2">
      <c r="B2231" s="62" t="str">
        <f>IF(AND('领用录入（明细）'!D:D=$F$4,'领用录入（明细）'!C:C&gt;=$J$4,'领用录入（明细）'!C:C&lt;=$L$4),ROW(),"-")</f>
        <v>-</v>
      </c>
    </row>
    <row r="2232" customHeight="1" spans="2:2">
      <c r="B2232" s="62" t="str">
        <f>IF(AND('领用录入（明细）'!D:D=$F$4,'领用录入（明细）'!C:C&gt;=$J$4,'领用录入（明细）'!C:C&lt;=$L$4),ROW(),"-")</f>
        <v>-</v>
      </c>
    </row>
    <row r="2233" customHeight="1" spans="2:2">
      <c r="B2233" s="62" t="str">
        <f>IF(AND('领用录入（明细）'!D:D=$F$4,'领用录入（明细）'!C:C&gt;=$J$4,'领用录入（明细）'!C:C&lt;=$L$4),ROW(),"-")</f>
        <v>-</v>
      </c>
    </row>
    <row r="2234" customHeight="1" spans="2:2">
      <c r="B2234" s="62" t="str">
        <f>IF(AND('领用录入（明细）'!D:D=$F$4,'领用录入（明细）'!C:C&gt;=$J$4,'领用录入（明细）'!C:C&lt;=$L$4),ROW(),"-")</f>
        <v>-</v>
      </c>
    </row>
    <row r="2235" customHeight="1" spans="2:2">
      <c r="B2235" s="62" t="str">
        <f>IF(AND('领用录入（明细）'!D:D=$F$4,'领用录入（明细）'!C:C&gt;=$J$4,'领用录入（明细）'!C:C&lt;=$L$4),ROW(),"-")</f>
        <v>-</v>
      </c>
    </row>
    <row r="2236" customHeight="1" spans="2:2">
      <c r="B2236" s="62" t="str">
        <f>IF(AND('领用录入（明细）'!D:D=$F$4,'领用录入（明细）'!C:C&gt;=$J$4,'领用录入（明细）'!C:C&lt;=$L$4),ROW(),"-")</f>
        <v>-</v>
      </c>
    </row>
    <row r="2237" customHeight="1" spans="2:2">
      <c r="B2237" s="62" t="str">
        <f>IF(AND('领用录入（明细）'!D:D=$F$4,'领用录入（明细）'!C:C&gt;=$J$4,'领用录入（明细）'!C:C&lt;=$L$4),ROW(),"-")</f>
        <v>-</v>
      </c>
    </row>
    <row r="2238" customHeight="1" spans="2:2">
      <c r="B2238" s="62" t="str">
        <f>IF(AND('领用录入（明细）'!D:D=$F$4,'领用录入（明细）'!C:C&gt;=$J$4,'领用录入（明细）'!C:C&lt;=$L$4),ROW(),"-")</f>
        <v>-</v>
      </c>
    </row>
    <row r="2239" customHeight="1" spans="2:2">
      <c r="B2239" s="62" t="str">
        <f>IF(AND('领用录入（明细）'!D:D=$F$4,'领用录入（明细）'!C:C&gt;=$J$4,'领用录入（明细）'!C:C&lt;=$L$4),ROW(),"-")</f>
        <v>-</v>
      </c>
    </row>
    <row r="2240" customHeight="1" spans="2:2">
      <c r="B2240" s="62" t="str">
        <f>IF(AND('领用录入（明细）'!D:D=$F$4,'领用录入（明细）'!C:C&gt;=$J$4,'领用录入（明细）'!C:C&lt;=$L$4),ROW(),"-")</f>
        <v>-</v>
      </c>
    </row>
    <row r="2241" customHeight="1" spans="2:2">
      <c r="B2241" s="62" t="str">
        <f>IF(AND('领用录入（明细）'!D:D=$F$4,'领用录入（明细）'!C:C&gt;=$J$4,'领用录入（明细）'!C:C&lt;=$L$4),ROW(),"-")</f>
        <v>-</v>
      </c>
    </row>
    <row r="2242" customHeight="1" spans="2:2">
      <c r="B2242" s="62" t="str">
        <f>IF(AND('领用录入（明细）'!D:D=$F$4,'领用录入（明细）'!C:C&gt;=$J$4,'领用录入（明细）'!C:C&lt;=$L$4),ROW(),"-")</f>
        <v>-</v>
      </c>
    </row>
    <row r="2243" customHeight="1" spans="2:2">
      <c r="B2243" s="62" t="str">
        <f>IF(AND('领用录入（明细）'!D:D=$F$4,'领用录入（明细）'!C:C&gt;=$J$4,'领用录入（明细）'!C:C&lt;=$L$4),ROW(),"-")</f>
        <v>-</v>
      </c>
    </row>
    <row r="2244" customHeight="1" spans="2:2">
      <c r="B2244" s="62" t="str">
        <f>IF(AND('领用录入（明细）'!D:D=$F$4,'领用录入（明细）'!C:C&gt;=$J$4,'领用录入（明细）'!C:C&lt;=$L$4),ROW(),"-")</f>
        <v>-</v>
      </c>
    </row>
    <row r="2245" customHeight="1" spans="2:2">
      <c r="B2245" s="62" t="str">
        <f>IF(AND('领用录入（明细）'!D:D=$F$4,'领用录入（明细）'!C:C&gt;=$J$4,'领用录入（明细）'!C:C&lt;=$L$4),ROW(),"-")</f>
        <v>-</v>
      </c>
    </row>
    <row r="2246" customHeight="1" spans="2:2">
      <c r="B2246" s="62" t="str">
        <f>IF(AND('领用录入（明细）'!D:D=$F$4,'领用录入（明细）'!C:C&gt;=$J$4,'领用录入（明细）'!C:C&lt;=$L$4),ROW(),"-")</f>
        <v>-</v>
      </c>
    </row>
    <row r="2247" customHeight="1" spans="2:2">
      <c r="B2247" s="62" t="str">
        <f>IF(AND('领用录入（明细）'!D:D=$F$4,'领用录入（明细）'!C:C&gt;=$J$4,'领用录入（明细）'!C:C&lt;=$L$4),ROW(),"-")</f>
        <v>-</v>
      </c>
    </row>
    <row r="2248" customHeight="1" spans="2:2">
      <c r="B2248" s="62" t="str">
        <f>IF(AND('领用录入（明细）'!D:D=$F$4,'领用录入（明细）'!C:C&gt;=$J$4,'领用录入（明细）'!C:C&lt;=$L$4),ROW(),"-")</f>
        <v>-</v>
      </c>
    </row>
    <row r="2249" customHeight="1" spans="2:2">
      <c r="B2249" s="62" t="str">
        <f>IF(AND('领用录入（明细）'!D:D=$F$4,'领用录入（明细）'!C:C&gt;=$J$4,'领用录入（明细）'!C:C&lt;=$L$4),ROW(),"-")</f>
        <v>-</v>
      </c>
    </row>
    <row r="2250" customHeight="1" spans="2:2">
      <c r="B2250" s="62" t="str">
        <f>IF(AND('领用录入（明细）'!D:D=$F$4,'领用录入（明细）'!C:C&gt;=$J$4,'领用录入（明细）'!C:C&lt;=$L$4),ROW(),"-")</f>
        <v>-</v>
      </c>
    </row>
    <row r="2251" customHeight="1" spans="2:2">
      <c r="B2251" s="62" t="str">
        <f>IF(AND('领用录入（明细）'!D:D=$F$4,'领用录入（明细）'!C:C&gt;=$J$4,'领用录入（明细）'!C:C&lt;=$L$4),ROW(),"-")</f>
        <v>-</v>
      </c>
    </row>
    <row r="2252" customHeight="1" spans="2:2">
      <c r="B2252" s="62" t="str">
        <f>IF(AND('领用录入（明细）'!D:D=$F$4,'领用录入（明细）'!C:C&gt;=$J$4,'领用录入（明细）'!C:C&lt;=$L$4),ROW(),"-")</f>
        <v>-</v>
      </c>
    </row>
    <row r="2253" customHeight="1" spans="2:2">
      <c r="B2253" s="62" t="str">
        <f>IF(AND('领用录入（明细）'!D:D=$F$4,'领用录入（明细）'!C:C&gt;=$J$4,'领用录入（明细）'!C:C&lt;=$L$4),ROW(),"-")</f>
        <v>-</v>
      </c>
    </row>
    <row r="2254" customHeight="1" spans="2:2">
      <c r="B2254" s="62" t="str">
        <f>IF(AND('领用录入（明细）'!D:D=$F$4,'领用录入（明细）'!C:C&gt;=$J$4,'领用录入（明细）'!C:C&lt;=$L$4),ROW(),"-")</f>
        <v>-</v>
      </c>
    </row>
    <row r="2255" customHeight="1" spans="2:2">
      <c r="B2255" s="62" t="str">
        <f>IF(AND('领用录入（明细）'!D:D=$F$4,'领用录入（明细）'!C:C&gt;=$J$4,'领用录入（明细）'!C:C&lt;=$L$4),ROW(),"-")</f>
        <v>-</v>
      </c>
    </row>
    <row r="2256" customHeight="1" spans="2:2">
      <c r="B2256" s="62" t="str">
        <f>IF(AND('领用录入（明细）'!D:D=$F$4,'领用录入（明细）'!C:C&gt;=$J$4,'领用录入（明细）'!C:C&lt;=$L$4),ROW(),"-")</f>
        <v>-</v>
      </c>
    </row>
    <row r="2257" customHeight="1" spans="2:2">
      <c r="B2257" s="62" t="str">
        <f>IF(AND('领用录入（明细）'!D:D=$F$4,'领用录入（明细）'!C:C&gt;=$J$4,'领用录入（明细）'!C:C&lt;=$L$4),ROW(),"-")</f>
        <v>-</v>
      </c>
    </row>
    <row r="2258" customHeight="1" spans="2:2">
      <c r="B2258" s="62" t="str">
        <f>IF(AND('领用录入（明细）'!D:D=$F$4,'领用录入（明细）'!C:C&gt;=$J$4,'领用录入（明细）'!C:C&lt;=$L$4),ROW(),"-")</f>
        <v>-</v>
      </c>
    </row>
    <row r="2259" customHeight="1" spans="2:2">
      <c r="B2259" s="62" t="str">
        <f>IF(AND('领用录入（明细）'!D:D=$F$4,'领用录入（明细）'!C:C&gt;=$J$4,'领用录入（明细）'!C:C&lt;=$L$4),ROW(),"-")</f>
        <v>-</v>
      </c>
    </row>
    <row r="2260" customHeight="1" spans="2:2">
      <c r="B2260" s="62" t="str">
        <f>IF(AND('领用录入（明细）'!D:D=$F$4,'领用录入（明细）'!C:C&gt;=$J$4,'领用录入（明细）'!C:C&lt;=$L$4),ROW(),"-")</f>
        <v>-</v>
      </c>
    </row>
    <row r="2261" customHeight="1" spans="2:2">
      <c r="B2261" s="62" t="str">
        <f>IF(AND('领用录入（明细）'!D:D=$F$4,'领用录入（明细）'!C:C&gt;=$J$4,'领用录入（明细）'!C:C&lt;=$L$4),ROW(),"-")</f>
        <v>-</v>
      </c>
    </row>
    <row r="2262" customHeight="1" spans="2:2">
      <c r="B2262" s="62" t="str">
        <f>IF(AND('领用录入（明细）'!D:D=$F$4,'领用录入（明细）'!C:C&gt;=$J$4,'领用录入（明细）'!C:C&lt;=$L$4),ROW(),"-")</f>
        <v>-</v>
      </c>
    </row>
    <row r="2263" customHeight="1" spans="2:2">
      <c r="B2263" s="62" t="str">
        <f>IF(AND('领用录入（明细）'!D:D=$F$4,'领用录入（明细）'!C:C&gt;=$J$4,'领用录入（明细）'!C:C&lt;=$L$4),ROW(),"-")</f>
        <v>-</v>
      </c>
    </row>
    <row r="2264" customHeight="1" spans="2:2">
      <c r="B2264" s="62" t="str">
        <f>IF(AND('领用录入（明细）'!D:D=$F$4,'领用录入（明细）'!C:C&gt;=$J$4,'领用录入（明细）'!C:C&lt;=$L$4),ROW(),"-")</f>
        <v>-</v>
      </c>
    </row>
    <row r="2265" customHeight="1" spans="2:2">
      <c r="B2265" s="62" t="str">
        <f>IF(AND('领用录入（明细）'!D:D=$F$4,'领用录入（明细）'!C:C&gt;=$J$4,'领用录入（明细）'!C:C&lt;=$L$4),ROW(),"-")</f>
        <v>-</v>
      </c>
    </row>
    <row r="2266" customHeight="1" spans="2:2">
      <c r="B2266" s="62" t="str">
        <f>IF(AND('领用录入（明细）'!D:D=$F$4,'领用录入（明细）'!C:C&gt;=$J$4,'领用录入（明细）'!C:C&lt;=$L$4),ROW(),"-")</f>
        <v>-</v>
      </c>
    </row>
    <row r="2267" customHeight="1" spans="2:2">
      <c r="B2267" s="62" t="str">
        <f>IF(AND('领用录入（明细）'!D:D=$F$4,'领用录入（明细）'!C:C&gt;=$J$4,'领用录入（明细）'!C:C&lt;=$L$4),ROW(),"-")</f>
        <v>-</v>
      </c>
    </row>
    <row r="2268" customHeight="1" spans="2:2">
      <c r="B2268" s="62" t="str">
        <f>IF(AND('领用录入（明细）'!D:D=$F$4,'领用录入（明细）'!C:C&gt;=$J$4,'领用录入（明细）'!C:C&lt;=$L$4),ROW(),"-")</f>
        <v>-</v>
      </c>
    </row>
    <row r="2269" customHeight="1" spans="2:2">
      <c r="B2269" s="62" t="str">
        <f>IF(AND('领用录入（明细）'!D:D=$F$4,'领用录入（明细）'!C:C&gt;=$J$4,'领用录入（明细）'!C:C&lt;=$L$4),ROW(),"-")</f>
        <v>-</v>
      </c>
    </row>
    <row r="2270" customHeight="1" spans="2:2">
      <c r="B2270" s="62" t="str">
        <f>IF(AND('领用录入（明细）'!D:D=$F$4,'领用录入（明细）'!C:C&gt;=$J$4,'领用录入（明细）'!C:C&lt;=$L$4),ROW(),"-")</f>
        <v>-</v>
      </c>
    </row>
    <row r="2271" customHeight="1" spans="2:2">
      <c r="B2271" s="62" t="str">
        <f>IF(AND('领用录入（明细）'!D:D=$F$4,'领用录入（明细）'!C:C&gt;=$J$4,'领用录入（明细）'!C:C&lt;=$L$4),ROW(),"-")</f>
        <v>-</v>
      </c>
    </row>
    <row r="2272" customHeight="1" spans="2:2">
      <c r="B2272" s="62" t="str">
        <f>IF(AND('领用录入（明细）'!D:D=$F$4,'领用录入（明细）'!C:C&gt;=$J$4,'领用录入（明细）'!C:C&lt;=$L$4),ROW(),"-")</f>
        <v>-</v>
      </c>
    </row>
    <row r="2273" customHeight="1" spans="2:2">
      <c r="B2273" s="62" t="str">
        <f>IF(AND('领用录入（明细）'!D:D=$F$4,'领用录入（明细）'!C:C&gt;=$J$4,'领用录入（明细）'!C:C&lt;=$L$4),ROW(),"-")</f>
        <v>-</v>
      </c>
    </row>
    <row r="2274" customHeight="1" spans="2:2">
      <c r="B2274" s="62" t="str">
        <f>IF(AND('领用录入（明细）'!D:D=$F$4,'领用录入（明细）'!C:C&gt;=$J$4,'领用录入（明细）'!C:C&lt;=$L$4),ROW(),"-")</f>
        <v>-</v>
      </c>
    </row>
    <row r="2275" customHeight="1" spans="2:2">
      <c r="B2275" s="62" t="str">
        <f>IF(AND('领用录入（明细）'!D:D=$F$4,'领用录入（明细）'!C:C&gt;=$J$4,'领用录入（明细）'!C:C&lt;=$L$4),ROW(),"-")</f>
        <v>-</v>
      </c>
    </row>
    <row r="2276" customHeight="1" spans="2:2">
      <c r="B2276" s="62" t="str">
        <f>IF(AND('领用录入（明细）'!D:D=$F$4,'领用录入（明细）'!C:C&gt;=$J$4,'领用录入（明细）'!C:C&lt;=$L$4),ROW(),"-")</f>
        <v>-</v>
      </c>
    </row>
    <row r="2277" customHeight="1" spans="2:2">
      <c r="B2277" s="62" t="str">
        <f>IF(AND('领用录入（明细）'!D:D=$F$4,'领用录入（明细）'!C:C&gt;=$J$4,'领用录入（明细）'!C:C&lt;=$L$4),ROW(),"-")</f>
        <v>-</v>
      </c>
    </row>
    <row r="2278" customHeight="1" spans="2:2">
      <c r="B2278" s="62" t="str">
        <f>IF(AND('领用录入（明细）'!D:D=$F$4,'领用录入（明细）'!C:C&gt;=$J$4,'领用录入（明细）'!C:C&lt;=$L$4),ROW(),"-")</f>
        <v>-</v>
      </c>
    </row>
    <row r="2279" customHeight="1" spans="2:2">
      <c r="B2279" s="62" t="str">
        <f>IF(AND('领用录入（明细）'!D:D=$F$4,'领用录入（明细）'!C:C&gt;=$J$4,'领用录入（明细）'!C:C&lt;=$L$4),ROW(),"-")</f>
        <v>-</v>
      </c>
    </row>
    <row r="2280" customHeight="1" spans="2:2">
      <c r="B2280" s="62" t="str">
        <f>IF(AND('领用录入（明细）'!D:D=$F$4,'领用录入（明细）'!C:C&gt;=$J$4,'领用录入（明细）'!C:C&lt;=$L$4),ROW(),"-")</f>
        <v>-</v>
      </c>
    </row>
    <row r="2281" customHeight="1" spans="2:2">
      <c r="B2281" s="62" t="str">
        <f>IF(AND('领用录入（明细）'!D:D=$F$4,'领用录入（明细）'!C:C&gt;=$J$4,'领用录入（明细）'!C:C&lt;=$L$4),ROW(),"-")</f>
        <v>-</v>
      </c>
    </row>
    <row r="2282" customHeight="1" spans="2:2">
      <c r="B2282" s="62" t="str">
        <f>IF(AND('领用录入（明细）'!D:D=$F$4,'领用录入（明细）'!C:C&gt;=$J$4,'领用录入（明细）'!C:C&lt;=$L$4),ROW(),"-")</f>
        <v>-</v>
      </c>
    </row>
    <row r="2283" customHeight="1" spans="2:2">
      <c r="B2283" s="62" t="str">
        <f>IF(AND('领用录入（明细）'!D:D=$F$4,'领用录入（明细）'!C:C&gt;=$J$4,'领用录入（明细）'!C:C&lt;=$L$4),ROW(),"-")</f>
        <v>-</v>
      </c>
    </row>
    <row r="2284" customHeight="1" spans="2:2">
      <c r="B2284" s="62" t="str">
        <f>IF(AND('领用录入（明细）'!D:D=$F$4,'领用录入（明细）'!C:C&gt;=$J$4,'领用录入（明细）'!C:C&lt;=$L$4),ROW(),"-")</f>
        <v>-</v>
      </c>
    </row>
    <row r="2285" customHeight="1" spans="2:2">
      <c r="B2285" s="62" t="str">
        <f>IF(AND('领用录入（明细）'!D:D=$F$4,'领用录入（明细）'!C:C&gt;=$J$4,'领用录入（明细）'!C:C&lt;=$L$4),ROW(),"-")</f>
        <v>-</v>
      </c>
    </row>
    <row r="2286" customHeight="1" spans="2:2">
      <c r="B2286" s="62" t="str">
        <f>IF(AND('领用录入（明细）'!D:D=$F$4,'领用录入（明细）'!C:C&gt;=$J$4,'领用录入（明细）'!C:C&lt;=$L$4),ROW(),"-")</f>
        <v>-</v>
      </c>
    </row>
    <row r="2287" customHeight="1" spans="2:2">
      <c r="B2287" s="62" t="str">
        <f>IF(AND('领用录入（明细）'!D:D=$F$4,'领用录入（明细）'!C:C&gt;=$J$4,'领用录入（明细）'!C:C&lt;=$L$4),ROW(),"-")</f>
        <v>-</v>
      </c>
    </row>
    <row r="2288" customHeight="1" spans="2:2">
      <c r="B2288" s="62" t="str">
        <f>IF(AND('领用录入（明细）'!D:D=$F$4,'领用录入（明细）'!C:C&gt;=$J$4,'领用录入（明细）'!C:C&lt;=$L$4),ROW(),"-")</f>
        <v>-</v>
      </c>
    </row>
    <row r="2289" customHeight="1" spans="2:2">
      <c r="B2289" s="62" t="str">
        <f>IF(AND('领用录入（明细）'!D:D=$F$4,'领用录入（明细）'!C:C&gt;=$J$4,'领用录入（明细）'!C:C&lt;=$L$4),ROW(),"-")</f>
        <v>-</v>
      </c>
    </row>
    <row r="2290" customHeight="1" spans="2:2">
      <c r="B2290" s="62" t="str">
        <f>IF(AND('领用录入（明细）'!D:D=$F$4,'领用录入（明细）'!C:C&gt;=$J$4,'领用录入（明细）'!C:C&lt;=$L$4),ROW(),"-")</f>
        <v>-</v>
      </c>
    </row>
    <row r="2291" customHeight="1" spans="2:2">
      <c r="B2291" s="62" t="str">
        <f>IF(AND('领用录入（明细）'!D:D=$F$4,'领用录入（明细）'!C:C&gt;=$J$4,'领用录入（明细）'!C:C&lt;=$L$4),ROW(),"-")</f>
        <v>-</v>
      </c>
    </row>
    <row r="2292" customHeight="1" spans="2:2">
      <c r="B2292" s="62" t="str">
        <f>IF(AND('领用录入（明细）'!D:D=$F$4,'领用录入（明细）'!C:C&gt;=$J$4,'领用录入（明细）'!C:C&lt;=$L$4),ROW(),"-")</f>
        <v>-</v>
      </c>
    </row>
    <row r="2293" customHeight="1" spans="2:2">
      <c r="B2293" s="62" t="str">
        <f>IF(AND('领用录入（明细）'!D:D=$F$4,'领用录入（明细）'!C:C&gt;=$J$4,'领用录入（明细）'!C:C&lt;=$L$4),ROW(),"-")</f>
        <v>-</v>
      </c>
    </row>
    <row r="2294" customHeight="1" spans="2:2">
      <c r="B2294" s="62" t="str">
        <f>IF(AND('领用录入（明细）'!D:D=$F$4,'领用录入（明细）'!C:C&gt;=$J$4,'领用录入（明细）'!C:C&lt;=$L$4),ROW(),"-")</f>
        <v>-</v>
      </c>
    </row>
    <row r="2295" customHeight="1" spans="2:2">
      <c r="B2295" s="62" t="str">
        <f>IF(AND('领用录入（明细）'!D:D=$F$4,'领用录入（明细）'!C:C&gt;=$J$4,'领用录入（明细）'!C:C&lt;=$L$4),ROW(),"-")</f>
        <v>-</v>
      </c>
    </row>
    <row r="2296" customHeight="1" spans="2:2">
      <c r="B2296" s="62" t="str">
        <f>IF(AND('领用录入（明细）'!D:D=$F$4,'领用录入（明细）'!C:C&gt;=$J$4,'领用录入（明细）'!C:C&lt;=$L$4),ROW(),"-")</f>
        <v>-</v>
      </c>
    </row>
    <row r="2297" customHeight="1" spans="2:2">
      <c r="B2297" s="62" t="str">
        <f>IF(AND('领用录入（明细）'!D:D=$F$4,'领用录入（明细）'!C:C&gt;=$J$4,'领用录入（明细）'!C:C&lt;=$L$4),ROW(),"-")</f>
        <v>-</v>
      </c>
    </row>
    <row r="2298" customHeight="1" spans="2:2">
      <c r="B2298" s="62" t="str">
        <f>IF(AND('领用录入（明细）'!D:D=$F$4,'领用录入（明细）'!C:C&gt;=$J$4,'领用录入（明细）'!C:C&lt;=$L$4),ROW(),"-")</f>
        <v>-</v>
      </c>
    </row>
    <row r="2299" customHeight="1" spans="2:2">
      <c r="B2299" s="62" t="str">
        <f>IF(AND('领用录入（明细）'!D:D=$F$4,'领用录入（明细）'!C:C&gt;=$J$4,'领用录入（明细）'!C:C&lt;=$L$4),ROW(),"-")</f>
        <v>-</v>
      </c>
    </row>
    <row r="2300" customHeight="1" spans="2:2">
      <c r="B2300" s="62" t="str">
        <f>IF(AND('领用录入（明细）'!D:D=$F$4,'领用录入（明细）'!C:C&gt;=$J$4,'领用录入（明细）'!C:C&lt;=$L$4),ROW(),"-")</f>
        <v>-</v>
      </c>
    </row>
    <row r="2301" customHeight="1" spans="2:2">
      <c r="B2301" s="62" t="str">
        <f>IF(AND('领用录入（明细）'!D:D=$F$4,'领用录入（明细）'!C:C&gt;=$J$4,'领用录入（明细）'!C:C&lt;=$L$4),ROW(),"-")</f>
        <v>-</v>
      </c>
    </row>
    <row r="2302" customHeight="1" spans="2:2">
      <c r="B2302" s="62" t="str">
        <f>IF(AND('领用录入（明细）'!D:D=$F$4,'领用录入（明细）'!C:C&gt;=$J$4,'领用录入（明细）'!C:C&lt;=$L$4),ROW(),"-")</f>
        <v>-</v>
      </c>
    </row>
    <row r="2303" customHeight="1" spans="2:2">
      <c r="B2303" s="62" t="str">
        <f>IF(AND('领用录入（明细）'!D:D=$F$4,'领用录入（明细）'!C:C&gt;=$J$4,'领用录入（明细）'!C:C&lt;=$L$4),ROW(),"-")</f>
        <v>-</v>
      </c>
    </row>
    <row r="2304" customHeight="1" spans="2:2">
      <c r="B2304" s="62" t="str">
        <f>IF(AND('领用录入（明细）'!D:D=$F$4,'领用录入（明细）'!C:C&gt;=$J$4,'领用录入（明细）'!C:C&lt;=$L$4),ROW(),"-")</f>
        <v>-</v>
      </c>
    </row>
    <row r="2305" customHeight="1" spans="2:2">
      <c r="B2305" s="62" t="str">
        <f>IF(AND('领用录入（明细）'!D:D=$F$4,'领用录入（明细）'!C:C&gt;=$J$4,'领用录入（明细）'!C:C&lt;=$L$4),ROW(),"-")</f>
        <v>-</v>
      </c>
    </row>
    <row r="2306" customHeight="1" spans="2:2">
      <c r="B2306" s="62" t="str">
        <f>IF(AND('领用录入（明细）'!D:D=$F$4,'领用录入（明细）'!C:C&gt;=$J$4,'领用录入（明细）'!C:C&lt;=$L$4),ROW(),"-")</f>
        <v>-</v>
      </c>
    </row>
    <row r="2307" customHeight="1" spans="2:2">
      <c r="B2307" s="62" t="str">
        <f>IF(AND('领用录入（明细）'!D:D=$F$4,'领用录入（明细）'!C:C&gt;=$J$4,'领用录入（明细）'!C:C&lt;=$L$4),ROW(),"-")</f>
        <v>-</v>
      </c>
    </row>
    <row r="2308" customHeight="1" spans="2:2">
      <c r="B2308" s="62" t="str">
        <f>IF(AND('领用录入（明细）'!D:D=$F$4,'领用录入（明细）'!C:C&gt;=$J$4,'领用录入（明细）'!C:C&lt;=$L$4),ROW(),"-")</f>
        <v>-</v>
      </c>
    </row>
    <row r="2309" customHeight="1" spans="2:2">
      <c r="B2309" s="62" t="str">
        <f>IF(AND('领用录入（明细）'!D:D=$F$4,'领用录入（明细）'!C:C&gt;=$J$4,'领用录入（明细）'!C:C&lt;=$L$4),ROW(),"-")</f>
        <v>-</v>
      </c>
    </row>
    <row r="2310" customHeight="1" spans="2:2">
      <c r="B2310" s="62" t="str">
        <f>IF(AND('领用录入（明细）'!D:D=$F$4,'领用录入（明细）'!C:C&gt;=$J$4,'领用录入（明细）'!C:C&lt;=$L$4),ROW(),"-")</f>
        <v>-</v>
      </c>
    </row>
    <row r="2311" customHeight="1" spans="2:2">
      <c r="B2311" s="62" t="str">
        <f>IF(AND('领用录入（明细）'!D:D=$F$4,'领用录入（明细）'!C:C&gt;=$J$4,'领用录入（明细）'!C:C&lt;=$L$4),ROW(),"-")</f>
        <v>-</v>
      </c>
    </row>
    <row r="2312" customHeight="1" spans="2:2">
      <c r="B2312" s="62" t="str">
        <f>IF(AND('领用录入（明细）'!D:D=$F$4,'领用录入（明细）'!C:C&gt;=$J$4,'领用录入（明细）'!C:C&lt;=$L$4),ROW(),"-")</f>
        <v>-</v>
      </c>
    </row>
    <row r="2313" customHeight="1" spans="2:2">
      <c r="B2313" s="62" t="str">
        <f>IF(AND('领用录入（明细）'!D:D=$F$4,'领用录入（明细）'!C:C&gt;=$J$4,'领用录入（明细）'!C:C&lt;=$L$4),ROW(),"-")</f>
        <v>-</v>
      </c>
    </row>
    <row r="2314" customHeight="1" spans="2:2">
      <c r="B2314" s="62" t="str">
        <f>IF(AND('领用录入（明细）'!D:D=$F$4,'领用录入（明细）'!C:C&gt;=$J$4,'领用录入（明细）'!C:C&lt;=$L$4),ROW(),"-")</f>
        <v>-</v>
      </c>
    </row>
    <row r="2315" customHeight="1" spans="2:2">
      <c r="B2315" s="62" t="str">
        <f>IF(AND('领用录入（明细）'!D:D=$F$4,'领用录入（明细）'!C:C&gt;=$J$4,'领用录入（明细）'!C:C&lt;=$L$4),ROW(),"-")</f>
        <v>-</v>
      </c>
    </row>
    <row r="2316" customHeight="1" spans="2:2">
      <c r="B2316" s="62" t="str">
        <f>IF(AND('领用录入（明细）'!D:D=$F$4,'领用录入（明细）'!C:C&gt;=$J$4,'领用录入（明细）'!C:C&lt;=$L$4),ROW(),"-")</f>
        <v>-</v>
      </c>
    </row>
    <row r="2317" customHeight="1" spans="2:2">
      <c r="B2317" s="62" t="str">
        <f>IF(AND('领用录入（明细）'!D:D=$F$4,'领用录入（明细）'!C:C&gt;=$J$4,'领用录入（明细）'!C:C&lt;=$L$4),ROW(),"-")</f>
        <v>-</v>
      </c>
    </row>
    <row r="2318" customHeight="1" spans="2:2">
      <c r="B2318" s="62" t="str">
        <f>IF(AND('领用录入（明细）'!D:D=$F$4,'领用录入（明细）'!C:C&gt;=$J$4,'领用录入（明细）'!C:C&lt;=$L$4),ROW(),"-")</f>
        <v>-</v>
      </c>
    </row>
    <row r="2319" customHeight="1" spans="2:2">
      <c r="B2319" s="62" t="str">
        <f>IF(AND('领用录入（明细）'!D:D=$F$4,'领用录入（明细）'!C:C&gt;=$J$4,'领用录入（明细）'!C:C&lt;=$L$4),ROW(),"-")</f>
        <v>-</v>
      </c>
    </row>
    <row r="2320" customHeight="1" spans="2:2">
      <c r="B2320" s="62" t="str">
        <f>IF(AND('领用录入（明细）'!D:D=$F$4,'领用录入（明细）'!C:C&gt;=$J$4,'领用录入（明细）'!C:C&lt;=$L$4),ROW(),"-")</f>
        <v>-</v>
      </c>
    </row>
    <row r="2321" customHeight="1" spans="2:2">
      <c r="B2321" s="62" t="str">
        <f>IF(AND('领用录入（明细）'!D:D=$F$4,'领用录入（明细）'!C:C&gt;=$J$4,'领用录入（明细）'!C:C&lt;=$L$4),ROW(),"-")</f>
        <v>-</v>
      </c>
    </row>
    <row r="2322" customHeight="1" spans="2:2">
      <c r="B2322" s="62" t="str">
        <f>IF(AND('领用录入（明细）'!D:D=$F$4,'领用录入（明细）'!C:C&gt;=$J$4,'领用录入（明细）'!C:C&lt;=$L$4),ROW(),"-")</f>
        <v>-</v>
      </c>
    </row>
    <row r="2323" customHeight="1" spans="2:2">
      <c r="B2323" s="62" t="str">
        <f>IF(AND('领用录入（明细）'!D:D=$F$4,'领用录入（明细）'!C:C&gt;=$J$4,'领用录入（明细）'!C:C&lt;=$L$4),ROW(),"-")</f>
        <v>-</v>
      </c>
    </row>
    <row r="2324" customHeight="1" spans="2:2">
      <c r="B2324" s="62" t="str">
        <f>IF(AND('领用录入（明细）'!D:D=$F$4,'领用录入（明细）'!C:C&gt;=$J$4,'领用录入（明细）'!C:C&lt;=$L$4),ROW(),"-")</f>
        <v>-</v>
      </c>
    </row>
    <row r="2325" customHeight="1" spans="2:2">
      <c r="B2325" s="62" t="str">
        <f>IF(AND('领用录入（明细）'!D:D=$F$4,'领用录入（明细）'!C:C&gt;=$J$4,'领用录入（明细）'!C:C&lt;=$L$4),ROW(),"-")</f>
        <v>-</v>
      </c>
    </row>
    <row r="2326" customHeight="1" spans="2:2">
      <c r="B2326" s="62" t="str">
        <f>IF(AND('领用录入（明细）'!D:D=$F$4,'领用录入（明细）'!C:C&gt;=$J$4,'领用录入（明细）'!C:C&lt;=$L$4),ROW(),"-")</f>
        <v>-</v>
      </c>
    </row>
    <row r="2327" customHeight="1" spans="2:2">
      <c r="B2327" s="62" t="str">
        <f>IF(AND('领用录入（明细）'!D:D=$F$4,'领用录入（明细）'!C:C&gt;=$J$4,'领用录入（明细）'!C:C&lt;=$L$4),ROW(),"-")</f>
        <v>-</v>
      </c>
    </row>
    <row r="2328" customHeight="1" spans="2:2">
      <c r="B2328" s="62" t="str">
        <f>IF(AND('领用录入（明细）'!D:D=$F$4,'领用录入（明细）'!C:C&gt;=$J$4,'领用录入（明细）'!C:C&lt;=$L$4),ROW(),"-")</f>
        <v>-</v>
      </c>
    </row>
    <row r="2329" customHeight="1" spans="2:2">
      <c r="B2329" s="62" t="str">
        <f>IF(AND('领用录入（明细）'!D:D=$F$4,'领用录入（明细）'!C:C&gt;=$J$4,'领用录入（明细）'!C:C&lt;=$L$4),ROW(),"-")</f>
        <v>-</v>
      </c>
    </row>
    <row r="2330" customHeight="1" spans="2:2">
      <c r="B2330" s="62" t="str">
        <f>IF(AND('领用录入（明细）'!D:D=$F$4,'领用录入（明细）'!C:C&gt;=$J$4,'领用录入（明细）'!C:C&lt;=$L$4),ROW(),"-")</f>
        <v>-</v>
      </c>
    </row>
    <row r="2331" customHeight="1" spans="2:2">
      <c r="B2331" s="62" t="str">
        <f>IF(AND('领用录入（明细）'!D:D=$F$4,'领用录入（明细）'!C:C&gt;=$J$4,'领用录入（明细）'!C:C&lt;=$L$4),ROW(),"-")</f>
        <v>-</v>
      </c>
    </row>
    <row r="2332" customHeight="1" spans="2:2">
      <c r="B2332" s="62" t="str">
        <f>IF(AND('领用录入（明细）'!D:D=$F$4,'领用录入（明细）'!C:C&gt;=$J$4,'领用录入（明细）'!C:C&lt;=$L$4),ROW(),"-")</f>
        <v>-</v>
      </c>
    </row>
    <row r="2333" customHeight="1" spans="2:2">
      <c r="B2333" s="62" t="str">
        <f>IF(AND('领用录入（明细）'!D:D=$F$4,'领用录入（明细）'!C:C&gt;=$J$4,'领用录入（明细）'!C:C&lt;=$L$4),ROW(),"-")</f>
        <v>-</v>
      </c>
    </row>
    <row r="2334" customHeight="1" spans="2:2">
      <c r="B2334" s="62" t="str">
        <f>IF(AND('领用录入（明细）'!D:D=$F$4,'领用录入（明细）'!C:C&gt;=$J$4,'领用录入（明细）'!C:C&lt;=$L$4),ROW(),"-")</f>
        <v>-</v>
      </c>
    </row>
    <row r="2335" customHeight="1" spans="2:2">
      <c r="B2335" s="62" t="str">
        <f>IF(AND('领用录入（明细）'!D:D=$F$4,'领用录入（明细）'!C:C&gt;=$J$4,'领用录入（明细）'!C:C&lt;=$L$4),ROW(),"-")</f>
        <v>-</v>
      </c>
    </row>
    <row r="2336" customHeight="1" spans="2:2">
      <c r="B2336" s="62" t="str">
        <f>IF(AND('领用录入（明细）'!D:D=$F$4,'领用录入（明细）'!C:C&gt;=$J$4,'领用录入（明细）'!C:C&lt;=$L$4),ROW(),"-")</f>
        <v>-</v>
      </c>
    </row>
    <row r="2337" customHeight="1" spans="2:2">
      <c r="B2337" s="62" t="str">
        <f>IF(AND('领用录入（明细）'!D:D=$F$4,'领用录入（明细）'!C:C&gt;=$J$4,'领用录入（明细）'!C:C&lt;=$L$4),ROW(),"-")</f>
        <v>-</v>
      </c>
    </row>
    <row r="2338" customHeight="1" spans="2:2">
      <c r="B2338" s="62" t="str">
        <f>IF(AND('领用录入（明细）'!D:D=$F$4,'领用录入（明细）'!C:C&gt;=$J$4,'领用录入（明细）'!C:C&lt;=$L$4),ROW(),"-")</f>
        <v>-</v>
      </c>
    </row>
    <row r="2339" customHeight="1" spans="2:2">
      <c r="B2339" s="62" t="str">
        <f>IF(AND('领用录入（明细）'!D:D=$F$4,'领用录入（明细）'!C:C&gt;=$J$4,'领用录入（明细）'!C:C&lt;=$L$4),ROW(),"-")</f>
        <v>-</v>
      </c>
    </row>
    <row r="2340" customHeight="1" spans="2:2">
      <c r="B2340" s="62" t="str">
        <f>IF(AND('领用录入（明细）'!D:D=$F$4,'领用录入（明细）'!C:C&gt;=$J$4,'领用录入（明细）'!C:C&lt;=$L$4),ROW(),"-")</f>
        <v>-</v>
      </c>
    </row>
    <row r="2341" customHeight="1" spans="2:2">
      <c r="B2341" s="62" t="str">
        <f>IF(AND('领用录入（明细）'!D:D=$F$4,'领用录入（明细）'!C:C&gt;=$J$4,'领用录入（明细）'!C:C&lt;=$L$4),ROW(),"-")</f>
        <v>-</v>
      </c>
    </row>
    <row r="2342" customHeight="1" spans="2:2">
      <c r="B2342" s="62" t="str">
        <f>IF(AND('领用录入（明细）'!D:D=$F$4,'领用录入（明细）'!C:C&gt;=$J$4,'领用录入（明细）'!C:C&lt;=$L$4),ROW(),"-")</f>
        <v>-</v>
      </c>
    </row>
    <row r="2343" customHeight="1" spans="2:2">
      <c r="B2343" s="62" t="str">
        <f>IF(AND('领用录入（明细）'!D:D=$F$4,'领用录入（明细）'!C:C&gt;=$J$4,'领用录入（明细）'!C:C&lt;=$L$4),ROW(),"-")</f>
        <v>-</v>
      </c>
    </row>
    <row r="2344" customHeight="1" spans="2:2">
      <c r="B2344" s="62" t="str">
        <f>IF(AND('领用录入（明细）'!D:D=$F$4,'领用录入（明细）'!C:C&gt;=$J$4,'领用录入（明细）'!C:C&lt;=$L$4),ROW(),"-")</f>
        <v>-</v>
      </c>
    </row>
    <row r="2345" customHeight="1" spans="2:2">
      <c r="B2345" s="62" t="str">
        <f>IF(AND('领用录入（明细）'!D:D=$F$4,'领用录入（明细）'!C:C&gt;=$J$4,'领用录入（明细）'!C:C&lt;=$L$4),ROW(),"-")</f>
        <v>-</v>
      </c>
    </row>
    <row r="2346" customHeight="1" spans="2:2">
      <c r="B2346" s="62" t="str">
        <f>IF(AND('领用录入（明细）'!D:D=$F$4,'领用录入（明细）'!C:C&gt;=$J$4,'领用录入（明细）'!C:C&lt;=$L$4),ROW(),"-")</f>
        <v>-</v>
      </c>
    </row>
    <row r="2347" customHeight="1" spans="2:2">
      <c r="B2347" s="62" t="str">
        <f>IF(AND('领用录入（明细）'!D:D=$F$4,'领用录入（明细）'!C:C&gt;=$J$4,'领用录入（明细）'!C:C&lt;=$L$4),ROW(),"-")</f>
        <v>-</v>
      </c>
    </row>
    <row r="2348" customHeight="1" spans="2:2">
      <c r="B2348" s="62" t="str">
        <f>IF(AND('领用录入（明细）'!D:D=$F$4,'领用录入（明细）'!C:C&gt;=$J$4,'领用录入（明细）'!C:C&lt;=$L$4),ROW(),"-")</f>
        <v>-</v>
      </c>
    </row>
    <row r="2349" customHeight="1" spans="2:2">
      <c r="B2349" s="62" t="str">
        <f>IF(AND('领用录入（明细）'!D:D=$F$4,'领用录入（明细）'!C:C&gt;=$J$4,'领用录入（明细）'!C:C&lt;=$L$4),ROW(),"-")</f>
        <v>-</v>
      </c>
    </row>
    <row r="2350" customHeight="1" spans="2:2">
      <c r="B2350" s="62" t="str">
        <f>IF(AND('领用录入（明细）'!D:D=$F$4,'领用录入（明细）'!C:C&gt;=$J$4,'领用录入（明细）'!C:C&lt;=$L$4),ROW(),"-")</f>
        <v>-</v>
      </c>
    </row>
    <row r="2351" customHeight="1" spans="2:2">
      <c r="B2351" s="62" t="str">
        <f>IF(AND('领用录入（明细）'!D:D=$F$4,'领用录入（明细）'!C:C&gt;=$J$4,'领用录入（明细）'!C:C&lt;=$L$4),ROW(),"-")</f>
        <v>-</v>
      </c>
    </row>
    <row r="2352" customHeight="1" spans="2:2">
      <c r="B2352" s="62" t="str">
        <f>IF(AND('领用录入（明细）'!D:D=$F$4,'领用录入（明细）'!C:C&gt;=$J$4,'领用录入（明细）'!C:C&lt;=$L$4),ROW(),"-")</f>
        <v>-</v>
      </c>
    </row>
    <row r="2353" customHeight="1" spans="2:2">
      <c r="B2353" s="62" t="str">
        <f>IF(AND('领用录入（明细）'!D:D=$F$4,'领用录入（明细）'!C:C&gt;=$J$4,'领用录入（明细）'!C:C&lt;=$L$4),ROW(),"-")</f>
        <v>-</v>
      </c>
    </row>
    <row r="2354" customHeight="1" spans="2:2">
      <c r="B2354" s="62" t="str">
        <f>IF(AND('领用录入（明细）'!D:D=$F$4,'领用录入（明细）'!C:C&gt;=$J$4,'领用录入（明细）'!C:C&lt;=$L$4),ROW(),"-")</f>
        <v>-</v>
      </c>
    </row>
    <row r="2355" customHeight="1" spans="2:2">
      <c r="B2355" s="62" t="str">
        <f>IF(AND('领用录入（明细）'!D:D=$F$4,'领用录入（明细）'!C:C&gt;=$J$4,'领用录入（明细）'!C:C&lt;=$L$4),ROW(),"-")</f>
        <v>-</v>
      </c>
    </row>
    <row r="2356" customHeight="1" spans="2:2">
      <c r="B2356" s="62" t="str">
        <f>IF(AND('领用录入（明细）'!D:D=$F$4,'领用录入（明细）'!C:C&gt;=$J$4,'领用录入（明细）'!C:C&lt;=$L$4),ROW(),"-")</f>
        <v>-</v>
      </c>
    </row>
    <row r="2357" customHeight="1" spans="2:2">
      <c r="B2357" s="62" t="str">
        <f>IF(AND('领用录入（明细）'!D:D=$F$4,'领用录入（明细）'!C:C&gt;=$J$4,'领用录入（明细）'!C:C&lt;=$L$4),ROW(),"-")</f>
        <v>-</v>
      </c>
    </row>
    <row r="2358" customHeight="1" spans="2:2">
      <c r="B2358" s="62" t="str">
        <f>IF(AND('领用录入（明细）'!D:D=$F$4,'领用录入（明细）'!C:C&gt;=$J$4,'领用录入（明细）'!C:C&lt;=$L$4),ROW(),"-")</f>
        <v>-</v>
      </c>
    </row>
    <row r="2359" customHeight="1" spans="2:2">
      <c r="B2359" s="62" t="str">
        <f>IF(AND('领用录入（明细）'!D:D=$F$4,'领用录入（明细）'!C:C&gt;=$J$4,'领用录入（明细）'!C:C&lt;=$L$4),ROW(),"-")</f>
        <v>-</v>
      </c>
    </row>
    <row r="2360" customHeight="1" spans="2:2">
      <c r="B2360" s="62" t="str">
        <f>IF(AND('领用录入（明细）'!D:D=$F$4,'领用录入（明细）'!C:C&gt;=$J$4,'领用录入（明细）'!C:C&lt;=$L$4),ROW(),"-")</f>
        <v>-</v>
      </c>
    </row>
    <row r="2361" customHeight="1" spans="2:2">
      <c r="B2361" s="62" t="str">
        <f>IF(AND('领用录入（明细）'!D:D=$F$4,'领用录入（明细）'!C:C&gt;=$J$4,'领用录入（明细）'!C:C&lt;=$L$4),ROW(),"-")</f>
        <v>-</v>
      </c>
    </row>
    <row r="2362" customHeight="1" spans="2:2">
      <c r="B2362" s="62" t="str">
        <f>IF(AND('领用录入（明细）'!D:D=$F$4,'领用录入（明细）'!C:C&gt;=$J$4,'领用录入（明细）'!C:C&lt;=$L$4),ROW(),"-")</f>
        <v>-</v>
      </c>
    </row>
    <row r="2363" customHeight="1" spans="2:2">
      <c r="B2363" s="62" t="str">
        <f>IF(AND('领用录入（明细）'!D:D=$F$4,'领用录入（明细）'!C:C&gt;=$J$4,'领用录入（明细）'!C:C&lt;=$L$4),ROW(),"-")</f>
        <v>-</v>
      </c>
    </row>
    <row r="2364" customHeight="1" spans="2:2">
      <c r="B2364" s="62" t="str">
        <f>IF(AND('领用录入（明细）'!D:D=$F$4,'领用录入（明细）'!C:C&gt;=$J$4,'领用录入（明细）'!C:C&lt;=$L$4),ROW(),"-")</f>
        <v>-</v>
      </c>
    </row>
    <row r="2365" customHeight="1" spans="2:2">
      <c r="B2365" s="62" t="str">
        <f>IF(AND('领用录入（明细）'!D:D=$F$4,'领用录入（明细）'!C:C&gt;=$J$4,'领用录入（明细）'!C:C&lt;=$L$4),ROW(),"-")</f>
        <v>-</v>
      </c>
    </row>
    <row r="2366" customHeight="1" spans="2:2">
      <c r="B2366" s="62" t="str">
        <f>IF(AND('领用录入（明细）'!D:D=$F$4,'领用录入（明细）'!C:C&gt;=$J$4,'领用录入（明细）'!C:C&lt;=$L$4),ROW(),"-")</f>
        <v>-</v>
      </c>
    </row>
    <row r="2367" customHeight="1" spans="2:2">
      <c r="B2367" s="62" t="str">
        <f>IF(AND('领用录入（明细）'!D:D=$F$4,'领用录入（明细）'!C:C&gt;=$J$4,'领用录入（明细）'!C:C&lt;=$L$4),ROW(),"-")</f>
        <v>-</v>
      </c>
    </row>
    <row r="2368" customHeight="1" spans="2:2">
      <c r="B2368" s="62" t="str">
        <f>IF(AND('领用录入（明细）'!D:D=$F$4,'领用录入（明细）'!C:C&gt;=$J$4,'领用录入（明细）'!C:C&lt;=$L$4),ROW(),"-")</f>
        <v>-</v>
      </c>
    </row>
    <row r="2369" customHeight="1" spans="2:2">
      <c r="B2369" s="62" t="str">
        <f>IF(AND('领用录入（明细）'!D:D=$F$4,'领用录入（明细）'!C:C&gt;=$J$4,'领用录入（明细）'!C:C&lt;=$L$4),ROW(),"-")</f>
        <v>-</v>
      </c>
    </row>
    <row r="2370" customHeight="1" spans="2:2">
      <c r="B2370" s="62" t="str">
        <f>IF(AND('领用录入（明细）'!D:D=$F$4,'领用录入（明细）'!C:C&gt;=$J$4,'领用录入（明细）'!C:C&lt;=$L$4),ROW(),"-")</f>
        <v>-</v>
      </c>
    </row>
    <row r="2371" customHeight="1" spans="2:2">
      <c r="B2371" s="62" t="str">
        <f>IF(AND('领用录入（明细）'!D:D=$F$4,'领用录入（明细）'!C:C&gt;=$J$4,'领用录入（明细）'!C:C&lt;=$L$4),ROW(),"-")</f>
        <v>-</v>
      </c>
    </row>
    <row r="2372" customHeight="1" spans="2:2">
      <c r="B2372" s="62" t="str">
        <f>IF(AND('领用录入（明细）'!D:D=$F$4,'领用录入（明细）'!C:C&gt;=$J$4,'领用录入（明细）'!C:C&lt;=$L$4),ROW(),"-")</f>
        <v>-</v>
      </c>
    </row>
    <row r="2373" customHeight="1" spans="2:2">
      <c r="B2373" s="62" t="str">
        <f>IF(AND('领用录入（明细）'!D:D=$F$4,'领用录入（明细）'!C:C&gt;=$J$4,'领用录入（明细）'!C:C&lt;=$L$4),ROW(),"-")</f>
        <v>-</v>
      </c>
    </row>
    <row r="2374" customHeight="1" spans="2:2">
      <c r="B2374" s="62" t="str">
        <f>IF(AND('领用录入（明细）'!D:D=$F$4,'领用录入（明细）'!C:C&gt;=$J$4,'领用录入（明细）'!C:C&lt;=$L$4),ROW(),"-")</f>
        <v>-</v>
      </c>
    </row>
    <row r="2375" customHeight="1" spans="2:2">
      <c r="B2375" s="62" t="str">
        <f>IF(AND('领用录入（明细）'!D:D=$F$4,'领用录入（明细）'!C:C&gt;=$J$4,'领用录入（明细）'!C:C&lt;=$L$4),ROW(),"-")</f>
        <v>-</v>
      </c>
    </row>
    <row r="2376" customHeight="1" spans="2:2">
      <c r="B2376" s="62" t="str">
        <f>IF(AND('领用录入（明细）'!D:D=$F$4,'领用录入（明细）'!C:C&gt;=$J$4,'领用录入（明细）'!C:C&lt;=$L$4),ROW(),"-")</f>
        <v>-</v>
      </c>
    </row>
    <row r="2377" customHeight="1" spans="2:2">
      <c r="B2377" s="62" t="str">
        <f>IF(AND('领用录入（明细）'!D:D=$F$4,'领用录入（明细）'!C:C&gt;=$J$4,'领用录入（明细）'!C:C&lt;=$L$4),ROW(),"-")</f>
        <v>-</v>
      </c>
    </row>
    <row r="2378" customHeight="1" spans="2:2">
      <c r="B2378" s="62" t="str">
        <f>IF(AND('领用录入（明细）'!D:D=$F$4,'领用录入（明细）'!C:C&gt;=$J$4,'领用录入（明细）'!C:C&lt;=$L$4),ROW(),"-")</f>
        <v>-</v>
      </c>
    </row>
    <row r="2379" customHeight="1" spans="2:2">
      <c r="B2379" s="62" t="str">
        <f>IF(AND('领用录入（明细）'!D:D=$F$4,'领用录入（明细）'!C:C&gt;=$J$4,'领用录入（明细）'!C:C&lt;=$L$4),ROW(),"-")</f>
        <v>-</v>
      </c>
    </row>
    <row r="2380" customHeight="1" spans="2:2">
      <c r="B2380" s="62" t="str">
        <f>IF(AND('领用录入（明细）'!D:D=$F$4,'领用录入（明细）'!C:C&gt;=$J$4,'领用录入（明细）'!C:C&lt;=$L$4),ROW(),"-")</f>
        <v>-</v>
      </c>
    </row>
    <row r="2381" customHeight="1" spans="2:2">
      <c r="B2381" s="62" t="str">
        <f>IF(AND('领用录入（明细）'!D:D=$F$4,'领用录入（明细）'!C:C&gt;=$J$4,'领用录入（明细）'!C:C&lt;=$L$4),ROW(),"-")</f>
        <v>-</v>
      </c>
    </row>
    <row r="2382" customHeight="1" spans="2:2">
      <c r="B2382" s="62" t="str">
        <f>IF(AND('领用录入（明细）'!D:D=$F$4,'领用录入（明细）'!C:C&gt;=$J$4,'领用录入（明细）'!C:C&lt;=$L$4),ROW(),"-")</f>
        <v>-</v>
      </c>
    </row>
    <row r="2383" customHeight="1" spans="2:2">
      <c r="B2383" s="62" t="str">
        <f>IF(AND('领用录入（明细）'!D:D=$F$4,'领用录入（明细）'!C:C&gt;=$J$4,'领用录入（明细）'!C:C&lt;=$L$4),ROW(),"-")</f>
        <v>-</v>
      </c>
    </row>
    <row r="2384" customHeight="1" spans="2:2">
      <c r="B2384" s="62" t="str">
        <f>IF(AND('领用录入（明细）'!D:D=$F$4,'领用录入（明细）'!C:C&gt;=$J$4,'领用录入（明细）'!C:C&lt;=$L$4),ROW(),"-")</f>
        <v>-</v>
      </c>
    </row>
    <row r="2385" customHeight="1" spans="2:2">
      <c r="B2385" s="62" t="str">
        <f>IF(AND('领用录入（明细）'!D:D=$F$4,'领用录入（明细）'!C:C&gt;=$J$4,'领用录入（明细）'!C:C&lt;=$L$4),ROW(),"-")</f>
        <v>-</v>
      </c>
    </row>
    <row r="2386" customHeight="1" spans="2:2">
      <c r="B2386" s="62" t="str">
        <f>IF(AND('领用录入（明细）'!D:D=$F$4,'领用录入（明细）'!C:C&gt;=$J$4,'领用录入（明细）'!C:C&lt;=$L$4),ROW(),"-")</f>
        <v>-</v>
      </c>
    </row>
    <row r="2387" customHeight="1" spans="2:2">
      <c r="B2387" s="62" t="str">
        <f>IF(AND('领用录入（明细）'!D:D=$F$4,'领用录入（明细）'!C:C&gt;=$J$4,'领用录入（明细）'!C:C&lt;=$L$4),ROW(),"-")</f>
        <v>-</v>
      </c>
    </row>
    <row r="2388" customHeight="1" spans="2:2">
      <c r="B2388" s="62" t="str">
        <f>IF(AND('领用录入（明细）'!D:D=$F$4,'领用录入（明细）'!C:C&gt;=$J$4,'领用录入（明细）'!C:C&lt;=$L$4),ROW(),"-")</f>
        <v>-</v>
      </c>
    </row>
    <row r="2389" customHeight="1" spans="2:2">
      <c r="B2389" s="62" t="str">
        <f>IF(AND('领用录入（明细）'!D:D=$F$4,'领用录入（明细）'!C:C&gt;=$J$4,'领用录入（明细）'!C:C&lt;=$L$4),ROW(),"-")</f>
        <v>-</v>
      </c>
    </row>
    <row r="2390" customHeight="1" spans="2:2">
      <c r="B2390" s="62" t="str">
        <f>IF(AND('领用录入（明细）'!D:D=$F$4,'领用录入（明细）'!C:C&gt;=$J$4,'领用录入（明细）'!C:C&lt;=$L$4),ROW(),"-")</f>
        <v>-</v>
      </c>
    </row>
    <row r="2391" customHeight="1" spans="2:2">
      <c r="B2391" s="62" t="str">
        <f>IF(AND('领用录入（明细）'!D:D=$F$4,'领用录入（明细）'!C:C&gt;=$J$4,'领用录入（明细）'!C:C&lt;=$L$4),ROW(),"-")</f>
        <v>-</v>
      </c>
    </row>
    <row r="2392" customHeight="1" spans="2:2">
      <c r="B2392" s="62" t="str">
        <f>IF(AND('领用录入（明细）'!D:D=$F$4,'领用录入（明细）'!C:C&gt;=$J$4,'领用录入（明细）'!C:C&lt;=$L$4),ROW(),"-")</f>
        <v>-</v>
      </c>
    </row>
    <row r="2393" customHeight="1" spans="2:2">
      <c r="B2393" s="62" t="str">
        <f>IF(AND('领用录入（明细）'!D:D=$F$4,'领用录入（明细）'!C:C&gt;=$J$4,'领用录入（明细）'!C:C&lt;=$L$4),ROW(),"-")</f>
        <v>-</v>
      </c>
    </row>
    <row r="2394" customHeight="1" spans="2:2">
      <c r="B2394" s="62" t="str">
        <f>IF(AND('领用录入（明细）'!D:D=$F$4,'领用录入（明细）'!C:C&gt;=$J$4,'领用录入（明细）'!C:C&lt;=$L$4),ROW(),"-")</f>
        <v>-</v>
      </c>
    </row>
    <row r="2395" customHeight="1" spans="2:2">
      <c r="B2395" s="62" t="str">
        <f>IF(AND('领用录入（明细）'!D:D=$F$4,'领用录入（明细）'!C:C&gt;=$J$4,'领用录入（明细）'!C:C&lt;=$L$4),ROW(),"-")</f>
        <v>-</v>
      </c>
    </row>
    <row r="2396" customHeight="1" spans="2:2">
      <c r="B2396" s="62" t="str">
        <f>IF(AND('领用录入（明细）'!D:D=$F$4,'领用录入（明细）'!C:C&gt;=$J$4,'领用录入（明细）'!C:C&lt;=$L$4),ROW(),"-")</f>
        <v>-</v>
      </c>
    </row>
    <row r="2397" customHeight="1" spans="2:2">
      <c r="B2397" s="62" t="str">
        <f>IF(AND('领用录入（明细）'!D:D=$F$4,'领用录入（明细）'!C:C&gt;=$J$4,'领用录入（明细）'!C:C&lt;=$L$4),ROW(),"-")</f>
        <v>-</v>
      </c>
    </row>
    <row r="2398" customHeight="1" spans="2:2">
      <c r="B2398" s="62" t="str">
        <f>IF(AND('领用录入（明细）'!D:D=$F$4,'领用录入（明细）'!C:C&gt;=$J$4,'领用录入（明细）'!C:C&lt;=$L$4),ROW(),"-")</f>
        <v>-</v>
      </c>
    </row>
    <row r="2399" customHeight="1" spans="2:2">
      <c r="B2399" s="62" t="str">
        <f>IF(AND('领用录入（明细）'!D:D=$F$4,'领用录入（明细）'!C:C&gt;=$J$4,'领用录入（明细）'!C:C&lt;=$L$4),ROW(),"-")</f>
        <v>-</v>
      </c>
    </row>
    <row r="2400" customHeight="1" spans="2:2">
      <c r="B2400" s="62" t="str">
        <f>IF(AND('领用录入（明细）'!D:D=$F$4,'领用录入（明细）'!C:C&gt;=$J$4,'领用录入（明细）'!C:C&lt;=$L$4),ROW(),"-")</f>
        <v>-</v>
      </c>
    </row>
    <row r="2401" customHeight="1" spans="2:2">
      <c r="B2401" s="62" t="str">
        <f>IF(AND('领用录入（明细）'!D:D=$F$4,'领用录入（明细）'!C:C&gt;=$J$4,'领用录入（明细）'!C:C&lt;=$L$4),ROW(),"-")</f>
        <v>-</v>
      </c>
    </row>
    <row r="2402" customHeight="1" spans="2:2">
      <c r="B2402" s="62" t="str">
        <f>IF(AND('领用录入（明细）'!D:D=$F$4,'领用录入（明细）'!C:C&gt;=$J$4,'领用录入（明细）'!C:C&lt;=$L$4),ROW(),"-")</f>
        <v>-</v>
      </c>
    </row>
    <row r="2403" customHeight="1" spans="2:2">
      <c r="B2403" s="62" t="str">
        <f>IF(AND('领用录入（明细）'!D:D=$F$4,'领用录入（明细）'!C:C&gt;=$J$4,'领用录入（明细）'!C:C&lt;=$L$4),ROW(),"-")</f>
        <v>-</v>
      </c>
    </row>
    <row r="2404" customHeight="1" spans="2:2">
      <c r="B2404" s="62" t="str">
        <f>IF(AND('领用录入（明细）'!D:D=$F$4,'领用录入（明细）'!C:C&gt;=$J$4,'领用录入（明细）'!C:C&lt;=$L$4),ROW(),"-")</f>
        <v>-</v>
      </c>
    </row>
    <row r="2405" customHeight="1" spans="2:2">
      <c r="B2405" s="62" t="str">
        <f>IF(AND('领用录入（明细）'!D:D=$F$4,'领用录入（明细）'!C:C&gt;=$J$4,'领用录入（明细）'!C:C&lt;=$L$4),ROW(),"-")</f>
        <v>-</v>
      </c>
    </row>
    <row r="2406" customHeight="1" spans="2:2">
      <c r="B2406" s="62" t="str">
        <f>IF(AND('领用录入（明细）'!D:D=$F$4,'领用录入（明细）'!C:C&gt;=$J$4,'领用录入（明细）'!C:C&lt;=$L$4),ROW(),"-")</f>
        <v>-</v>
      </c>
    </row>
    <row r="2407" customHeight="1" spans="2:2">
      <c r="B2407" s="62" t="str">
        <f>IF(AND('领用录入（明细）'!D:D=$F$4,'领用录入（明细）'!C:C&gt;=$J$4,'领用录入（明细）'!C:C&lt;=$L$4),ROW(),"-")</f>
        <v>-</v>
      </c>
    </row>
    <row r="2408" customHeight="1" spans="2:2">
      <c r="B2408" s="62" t="str">
        <f>IF(AND('领用录入（明细）'!D:D=$F$4,'领用录入（明细）'!C:C&gt;=$J$4,'领用录入（明细）'!C:C&lt;=$L$4),ROW(),"-")</f>
        <v>-</v>
      </c>
    </row>
    <row r="2409" customHeight="1" spans="2:2">
      <c r="B2409" s="62" t="str">
        <f>IF(AND('领用录入（明细）'!D:D=$F$4,'领用录入（明细）'!C:C&gt;=$J$4,'领用录入（明细）'!C:C&lt;=$L$4),ROW(),"-")</f>
        <v>-</v>
      </c>
    </row>
    <row r="2410" customHeight="1" spans="2:2">
      <c r="B2410" s="62" t="str">
        <f>IF(AND('领用录入（明细）'!D:D=$F$4,'领用录入（明细）'!C:C&gt;=$J$4,'领用录入（明细）'!C:C&lt;=$L$4),ROW(),"-")</f>
        <v>-</v>
      </c>
    </row>
    <row r="2411" customHeight="1" spans="2:2">
      <c r="B2411" s="62" t="str">
        <f>IF(AND('领用录入（明细）'!D:D=$F$4,'领用录入（明细）'!C:C&gt;=$J$4,'领用录入（明细）'!C:C&lt;=$L$4),ROW(),"-")</f>
        <v>-</v>
      </c>
    </row>
    <row r="2412" customHeight="1" spans="2:2">
      <c r="B2412" s="62" t="str">
        <f>IF(AND('领用录入（明细）'!D:D=$F$4,'领用录入（明细）'!C:C&gt;=$J$4,'领用录入（明细）'!C:C&lt;=$L$4),ROW(),"-")</f>
        <v>-</v>
      </c>
    </row>
    <row r="2413" customHeight="1" spans="2:2">
      <c r="B2413" s="62" t="str">
        <f>IF(AND('领用录入（明细）'!D:D=$F$4,'领用录入（明细）'!C:C&gt;=$J$4,'领用录入（明细）'!C:C&lt;=$L$4),ROW(),"-")</f>
        <v>-</v>
      </c>
    </row>
    <row r="2414" customHeight="1" spans="2:2">
      <c r="B2414" s="62" t="str">
        <f>IF(AND('领用录入（明细）'!D:D=$F$4,'领用录入（明细）'!C:C&gt;=$J$4,'领用录入（明细）'!C:C&lt;=$L$4),ROW(),"-")</f>
        <v>-</v>
      </c>
    </row>
    <row r="2415" customHeight="1" spans="2:2">
      <c r="B2415" s="62" t="str">
        <f>IF(AND('领用录入（明细）'!D:D=$F$4,'领用录入（明细）'!C:C&gt;=$J$4,'领用录入（明细）'!C:C&lt;=$L$4),ROW(),"-")</f>
        <v>-</v>
      </c>
    </row>
    <row r="2416" customHeight="1" spans="2:2">
      <c r="B2416" s="62" t="str">
        <f>IF(AND('领用录入（明细）'!D:D=$F$4,'领用录入（明细）'!C:C&gt;=$J$4,'领用录入（明细）'!C:C&lt;=$L$4),ROW(),"-")</f>
        <v>-</v>
      </c>
    </row>
    <row r="2417" customHeight="1" spans="2:2">
      <c r="B2417" s="62" t="str">
        <f>IF(AND('领用录入（明细）'!D:D=$F$4,'领用录入（明细）'!C:C&gt;=$J$4,'领用录入（明细）'!C:C&lt;=$L$4),ROW(),"-")</f>
        <v>-</v>
      </c>
    </row>
    <row r="2418" customHeight="1" spans="2:2">
      <c r="B2418" s="62" t="str">
        <f>IF(AND('领用录入（明细）'!D:D=$F$4,'领用录入（明细）'!C:C&gt;=$J$4,'领用录入（明细）'!C:C&lt;=$L$4),ROW(),"-")</f>
        <v>-</v>
      </c>
    </row>
    <row r="2419" customHeight="1" spans="2:2">
      <c r="B2419" s="62" t="str">
        <f>IF(AND('领用录入（明细）'!D:D=$F$4,'领用录入（明细）'!C:C&gt;=$J$4,'领用录入（明细）'!C:C&lt;=$L$4),ROW(),"-")</f>
        <v>-</v>
      </c>
    </row>
    <row r="2420" customHeight="1" spans="2:2">
      <c r="B2420" s="62" t="str">
        <f>IF(AND('领用录入（明细）'!D:D=$F$4,'领用录入（明细）'!C:C&gt;=$J$4,'领用录入（明细）'!C:C&lt;=$L$4),ROW(),"-")</f>
        <v>-</v>
      </c>
    </row>
    <row r="2421" customHeight="1" spans="2:2">
      <c r="B2421" s="62" t="str">
        <f>IF(AND('领用录入（明细）'!D:D=$F$4,'领用录入（明细）'!C:C&gt;=$J$4,'领用录入（明细）'!C:C&lt;=$L$4),ROW(),"-")</f>
        <v>-</v>
      </c>
    </row>
    <row r="2422" customHeight="1" spans="2:2">
      <c r="B2422" s="62" t="str">
        <f>IF(AND('领用录入（明细）'!D:D=$F$4,'领用录入（明细）'!C:C&gt;=$J$4,'领用录入（明细）'!C:C&lt;=$L$4),ROW(),"-")</f>
        <v>-</v>
      </c>
    </row>
    <row r="2423" customHeight="1" spans="2:2">
      <c r="B2423" s="62" t="str">
        <f>IF(AND('领用录入（明细）'!D:D=$F$4,'领用录入（明细）'!C:C&gt;=$J$4,'领用录入（明细）'!C:C&lt;=$L$4),ROW(),"-")</f>
        <v>-</v>
      </c>
    </row>
    <row r="2424" customHeight="1" spans="2:2">
      <c r="B2424" s="62" t="str">
        <f>IF(AND('领用录入（明细）'!D:D=$F$4,'领用录入（明细）'!C:C&gt;=$J$4,'领用录入（明细）'!C:C&lt;=$L$4),ROW(),"-")</f>
        <v>-</v>
      </c>
    </row>
    <row r="2425" customHeight="1" spans="2:2">
      <c r="B2425" s="62" t="str">
        <f>IF(AND('领用录入（明细）'!D:D=$F$4,'领用录入（明细）'!C:C&gt;=$J$4,'领用录入（明细）'!C:C&lt;=$L$4),ROW(),"-")</f>
        <v>-</v>
      </c>
    </row>
    <row r="2426" customHeight="1" spans="2:2">
      <c r="B2426" s="62" t="str">
        <f>IF(AND('领用录入（明细）'!D:D=$F$4,'领用录入（明细）'!C:C&gt;=$J$4,'领用录入（明细）'!C:C&lt;=$L$4),ROW(),"-")</f>
        <v>-</v>
      </c>
    </row>
    <row r="2427" customHeight="1" spans="2:2">
      <c r="B2427" s="62" t="str">
        <f>IF(AND('领用录入（明细）'!D:D=$F$4,'领用录入（明细）'!C:C&gt;=$J$4,'领用录入（明细）'!C:C&lt;=$L$4),ROW(),"-")</f>
        <v>-</v>
      </c>
    </row>
    <row r="2428" customHeight="1" spans="2:2">
      <c r="B2428" s="62" t="str">
        <f>IF(AND('领用录入（明细）'!D:D=$F$4,'领用录入（明细）'!C:C&gt;=$J$4,'领用录入（明细）'!C:C&lt;=$L$4),ROW(),"-")</f>
        <v>-</v>
      </c>
    </row>
    <row r="2429" customHeight="1" spans="2:2">
      <c r="B2429" s="62" t="str">
        <f>IF(AND('领用录入（明细）'!D:D=$F$4,'领用录入（明细）'!C:C&gt;=$J$4,'领用录入（明细）'!C:C&lt;=$L$4),ROW(),"-")</f>
        <v>-</v>
      </c>
    </row>
    <row r="2430" customHeight="1" spans="2:2">
      <c r="B2430" s="62" t="str">
        <f>IF(AND('领用录入（明细）'!D:D=$F$4,'领用录入（明细）'!C:C&gt;=$J$4,'领用录入（明细）'!C:C&lt;=$L$4),ROW(),"-")</f>
        <v>-</v>
      </c>
    </row>
    <row r="2431" customHeight="1" spans="2:2">
      <c r="B2431" s="62" t="str">
        <f>IF(AND('领用录入（明细）'!D:D=$F$4,'领用录入（明细）'!C:C&gt;=$J$4,'领用录入（明细）'!C:C&lt;=$L$4),ROW(),"-")</f>
        <v>-</v>
      </c>
    </row>
    <row r="2432" customHeight="1" spans="2:2">
      <c r="B2432" s="62" t="str">
        <f>IF(AND('领用录入（明细）'!D:D=$F$4,'领用录入（明细）'!C:C&gt;=$J$4,'领用录入（明细）'!C:C&lt;=$L$4),ROW(),"-")</f>
        <v>-</v>
      </c>
    </row>
    <row r="2433" customHeight="1" spans="2:2">
      <c r="B2433" s="62" t="str">
        <f>IF(AND('领用录入（明细）'!D:D=$F$4,'领用录入（明细）'!C:C&gt;=$J$4,'领用录入（明细）'!C:C&lt;=$L$4),ROW(),"-")</f>
        <v>-</v>
      </c>
    </row>
    <row r="2434" customHeight="1" spans="2:2">
      <c r="B2434" s="62" t="str">
        <f>IF(AND('领用录入（明细）'!D:D=$F$4,'领用录入（明细）'!C:C&gt;=$J$4,'领用录入（明细）'!C:C&lt;=$L$4),ROW(),"-")</f>
        <v>-</v>
      </c>
    </row>
    <row r="2435" customHeight="1" spans="2:2">
      <c r="B2435" s="62" t="str">
        <f>IF(AND('领用录入（明细）'!D:D=$F$4,'领用录入（明细）'!C:C&gt;=$J$4,'领用录入（明细）'!C:C&lt;=$L$4),ROW(),"-")</f>
        <v>-</v>
      </c>
    </row>
    <row r="2436" customHeight="1" spans="2:2">
      <c r="B2436" s="62" t="str">
        <f>IF(AND('领用录入（明细）'!D:D=$F$4,'领用录入（明细）'!C:C&gt;=$J$4,'领用录入（明细）'!C:C&lt;=$L$4),ROW(),"-")</f>
        <v>-</v>
      </c>
    </row>
    <row r="2437" customHeight="1" spans="2:2">
      <c r="B2437" s="62" t="str">
        <f>IF(AND('领用录入（明细）'!D:D=$F$4,'领用录入（明细）'!C:C&gt;=$J$4,'领用录入（明细）'!C:C&lt;=$L$4),ROW(),"-")</f>
        <v>-</v>
      </c>
    </row>
    <row r="2438" customHeight="1" spans="2:2">
      <c r="B2438" s="62" t="str">
        <f>IF(AND('领用录入（明细）'!D:D=$F$4,'领用录入（明细）'!C:C&gt;=$J$4,'领用录入（明细）'!C:C&lt;=$L$4),ROW(),"-")</f>
        <v>-</v>
      </c>
    </row>
    <row r="2439" customHeight="1" spans="2:2">
      <c r="B2439" s="62" t="str">
        <f>IF(AND('领用录入（明细）'!D:D=$F$4,'领用录入（明细）'!C:C&gt;=$J$4,'领用录入（明细）'!C:C&lt;=$L$4),ROW(),"-")</f>
        <v>-</v>
      </c>
    </row>
    <row r="2440" customHeight="1" spans="2:2">
      <c r="B2440" s="62" t="str">
        <f>IF(AND('领用录入（明细）'!D:D=$F$4,'领用录入（明细）'!C:C&gt;=$J$4,'领用录入（明细）'!C:C&lt;=$L$4),ROW(),"-")</f>
        <v>-</v>
      </c>
    </row>
    <row r="2441" customHeight="1" spans="2:2">
      <c r="B2441" s="62" t="str">
        <f>IF(AND('领用录入（明细）'!D:D=$F$4,'领用录入（明细）'!C:C&gt;=$J$4,'领用录入（明细）'!C:C&lt;=$L$4),ROW(),"-")</f>
        <v>-</v>
      </c>
    </row>
    <row r="2442" customHeight="1" spans="2:2">
      <c r="B2442" s="62" t="str">
        <f>IF(AND('领用录入（明细）'!D:D=$F$4,'领用录入（明细）'!C:C&gt;=$J$4,'领用录入（明细）'!C:C&lt;=$L$4),ROW(),"-")</f>
        <v>-</v>
      </c>
    </row>
    <row r="2443" customHeight="1" spans="2:2">
      <c r="B2443" s="62" t="str">
        <f>IF(AND('领用录入（明细）'!D:D=$F$4,'领用录入（明细）'!C:C&gt;=$J$4,'领用录入（明细）'!C:C&lt;=$L$4),ROW(),"-")</f>
        <v>-</v>
      </c>
    </row>
    <row r="2444" customHeight="1" spans="2:2">
      <c r="B2444" s="62" t="str">
        <f>IF(AND('领用录入（明细）'!D:D=$F$4,'领用录入（明细）'!C:C&gt;=$J$4,'领用录入（明细）'!C:C&lt;=$L$4),ROW(),"-")</f>
        <v>-</v>
      </c>
    </row>
    <row r="2445" customHeight="1" spans="2:2">
      <c r="B2445" s="62" t="str">
        <f>IF(AND('领用录入（明细）'!D:D=$F$4,'领用录入（明细）'!C:C&gt;=$J$4,'领用录入（明细）'!C:C&lt;=$L$4),ROW(),"-")</f>
        <v>-</v>
      </c>
    </row>
    <row r="2446" customHeight="1" spans="2:2">
      <c r="B2446" s="62" t="str">
        <f>IF(AND('领用录入（明细）'!D:D=$F$4,'领用录入（明细）'!C:C&gt;=$J$4,'领用录入（明细）'!C:C&lt;=$L$4),ROW(),"-")</f>
        <v>-</v>
      </c>
    </row>
    <row r="2447" customHeight="1" spans="2:2">
      <c r="B2447" s="62" t="str">
        <f>IF(AND('领用录入（明细）'!D:D=$F$4,'领用录入（明细）'!C:C&gt;=$J$4,'领用录入（明细）'!C:C&lt;=$L$4),ROW(),"-")</f>
        <v>-</v>
      </c>
    </row>
    <row r="2448" customHeight="1" spans="2:2">
      <c r="B2448" s="62" t="str">
        <f>IF(AND('领用录入（明细）'!D:D=$F$4,'领用录入（明细）'!C:C&gt;=$J$4,'领用录入（明细）'!C:C&lt;=$L$4),ROW(),"-")</f>
        <v>-</v>
      </c>
    </row>
    <row r="2449" customHeight="1" spans="2:2">
      <c r="B2449" s="62" t="str">
        <f>IF(AND('领用录入（明细）'!D:D=$F$4,'领用录入（明细）'!C:C&gt;=$J$4,'领用录入（明细）'!C:C&lt;=$L$4),ROW(),"-")</f>
        <v>-</v>
      </c>
    </row>
    <row r="2450" customHeight="1" spans="2:2">
      <c r="B2450" s="62" t="str">
        <f>IF(AND('领用录入（明细）'!D:D=$F$4,'领用录入（明细）'!C:C&gt;=$J$4,'领用录入（明细）'!C:C&lt;=$L$4),ROW(),"-")</f>
        <v>-</v>
      </c>
    </row>
    <row r="2451" customHeight="1" spans="2:2">
      <c r="B2451" s="62" t="str">
        <f>IF(AND('领用录入（明细）'!D:D=$F$4,'领用录入（明细）'!C:C&gt;=$J$4,'领用录入（明细）'!C:C&lt;=$L$4),ROW(),"-")</f>
        <v>-</v>
      </c>
    </row>
    <row r="2452" customHeight="1" spans="2:2">
      <c r="B2452" s="62" t="str">
        <f>IF(AND('领用录入（明细）'!D:D=$F$4,'领用录入（明细）'!C:C&gt;=$J$4,'领用录入（明细）'!C:C&lt;=$L$4),ROW(),"-")</f>
        <v>-</v>
      </c>
    </row>
    <row r="2453" customHeight="1" spans="2:2">
      <c r="B2453" s="62" t="str">
        <f>IF(AND('领用录入（明细）'!D:D=$F$4,'领用录入（明细）'!C:C&gt;=$J$4,'领用录入（明细）'!C:C&lt;=$L$4),ROW(),"-")</f>
        <v>-</v>
      </c>
    </row>
    <row r="2454" customHeight="1" spans="2:2">
      <c r="B2454" s="62" t="str">
        <f>IF(AND('领用录入（明细）'!D:D=$F$4,'领用录入（明细）'!C:C&gt;=$J$4,'领用录入（明细）'!C:C&lt;=$L$4),ROW(),"-")</f>
        <v>-</v>
      </c>
    </row>
    <row r="2455" customHeight="1" spans="2:2">
      <c r="B2455" s="62" t="str">
        <f>IF(AND('领用录入（明细）'!D:D=$F$4,'领用录入（明细）'!C:C&gt;=$J$4,'领用录入（明细）'!C:C&lt;=$L$4),ROW(),"-")</f>
        <v>-</v>
      </c>
    </row>
    <row r="2456" customHeight="1" spans="2:2">
      <c r="B2456" s="62" t="str">
        <f>IF(AND('领用录入（明细）'!D:D=$F$4,'领用录入（明细）'!C:C&gt;=$J$4,'领用录入（明细）'!C:C&lt;=$L$4),ROW(),"-")</f>
        <v>-</v>
      </c>
    </row>
    <row r="2457" customHeight="1" spans="2:2">
      <c r="B2457" s="62" t="str">
        <f>IF(AND('领用录入（明细）'!D:D=$F$4,'领用录入（明细）'!C:C&gt;=$J$4,'领用录入（明细）'!C:C&lt;=$L$4),ROW(),"-")</f>
        <v>-</v>
      </c>
    </row>
    <row r="2458" customHeight="1" spans="2:2">
      <c r="B2458" s="62" t="str">
        <f>IF(AND('领用录入（明细）'!D:D=$F$4,'领用录入（明细）'!C:C&gt;=$J$4,'领用录入（明细）'!C:C&lt;=$L$4),ROW(),"-")</f>
        <v>-</v>
      </c>
    </row>
    <row r="2459" customHeight="1" spans="2:2">
      <c r="B2459" s="62" t="str">
        <f>IF(AND('领用录入（明细）'!D:D=$F$4,'领用录入（明细）'!C:C&gt;=$J$4,'领用录入（明细）'!C:C&lt;=$L$4),ROW(),"-")</f>
        <v>-</v>
      </c>
    </row>
    <row r="2460" customHeight="1" spans="2:2">
      <c r="B2460" s="62" t="str">
        <f>IF(AND('领用录入（明细）'!D:D=$F$4,'领用录入（明细）'!C:C&gt;=$J$4,'领用录入（明细）'!C:C&lt;=$L$4),ROW(),"-")</f>
        <v>-</v>
      </c>
    </row>
    <row r="2461" customHeight="1" spans="2:2">
      <c r="B2461" s="62" t="str">
        <f>IF(AND('领用录入（明细）'!D:D=$F$4,'领用录入（明细）'!C:C&gt;=$J$4,'领用录入（明细）'!C:C&lt;=$L$4),ROW(),"-")</f>
        <v>-</v>
      </c>
    </row>
    <row r="2462" customHeight="1" spans="2:2">
      <c r="B2462" s="62" t="str">
        <f>IF(AND('领用录入（明细）'!D:D=$F$4,'领用录入（明细）'!C:C&gt;=$J$4,'领用录入（明细）'!C:C&lt;=$L$4),ROW(),"-")</f>
        <v>-</v>
      </c>
    </row>
    <row r="2463" customHeight="1" spans="2:2">
      <c r="B2463" s="62" t="str">
        <f>IF(AND('领用录入（明细）'!D:D=$F$4,'领用录入（明细）'!C:C&gt;=$J$4,'领用录入（明细）'!C:C&lt;=$L$4),ROW(),"-")</f>
        <v>-</v>
      </c>
    </row>
    <row r="2464" customHeight="1" spans="2:2">
      <c r="B2464" s="62" t="str">
        <f>IF(AND('领用录入（明细）'!D:D=$F$4,'领用录入（明细）'!C:C&gt;=$J$4,'领用录入（明细）'!C:C&lt;=$L$4),ROW(),"-")</f>
        <v>-</v>
      </c>
    </row>
    <row r="2465" customHeight="1" spans="2:2">
      <c r="B2465" s="62" t="str">
        <f>IF(AND('领用录入（明细）'!D:D=$F$4,'领用录入（明细）'!C:C&gt;=$J$4,'领用录入（明细）'!C:C&lt;=$L$4),ROW(),"-")</f>
        <v>-</v>
      </c>
    </row>
    <row r="2466" customHeight="1" spans="2:2">
      <c r="B2466" s="62" t="str">
        <f>IF(AND('领用录入（明细）'!D:D=$F$4,'领用录入（明细）'!C:C&gt;=$J$4,'领用录入（明细）'!C:C&lt;=$L$4),ROW(),"-")</f>
        <v>-</v>
      </c>
    </row>
    <row r="2467" customHeight="1" spans="2:2">
      <c r="B2467" s="62" t="str">
        <f>IF(AND('领用录入（明细）'!D:D=$F$4,'领用录入（明细）'!C:C&gt;=$J$4,'领用录入（明细）'!C:C&lt;=$L$4),ROW(),"-")</f>
        <v>-</v>
      </c>
    </row>
    <row r="2468" customHeight="1" spans="2:2">
      <c r="B2468" s="62" t="str">
        <f>IF(AND('领用录入（明细）'!D:D=$F$4,'领用录入（明细）'!C:C&gt;=$J$4,'领用录入（明细）'!C:C&lt;=$L$4),ROW(),"-")</f>
        <v>-</v>
      </c>
    </row>
    <row r="2469" customHeight="1" spans="2:2">
      <c r="B2469" s="62" t="str">
        <f>IF(AND('领用录入（明细）'!D:D=$F$4,'领用录入（明细）'!C:C&gt;=$J$4,'领用录入（明细）'!C:C&lt;=$L$4),ROW(),"-")</f>
        <v>-</v>
      </c>
    </row>
    <row r="2470" customHeight="1" spans="2:2">
      <c r="B2470" s="62" t="str">
        <f>IF(AND('领用录入（明细）'!D:D=$F$4,'领用录入（明细）'!C:C&gt;=$J$4,'领用录入（明细）'!C:C&lt;=$L$4),ROW(),"-")</f>
        <v>-</v>
      </c>
    </row>
    <row r="2471" customHeight="1" spans="2:2">
      <c r="B2471" s="62" t="str">
        <f>IF(AND('领用录入（明细）'!D:D=$F$4,'领用录入（明细）'!C:C&gt;=$J$4,'领用录入（明细）'!C:C&lt;=$L$4),ROW(),"-")</f>
        <v>-</v>
      </c>
    </row>
    <row r="2472" customHeight="1" spans="2:2">
      <c r="B2472" s="62" t="str">
        <f>IF(AND('领用录入（明细）'!D:D=$F$4,'领用录入（明细）'!C:C&gt;=$J$4,'领用录入（明细）'!C:C&lt;=$L$4),ROW(),"-")</f>
        <v>-</v>
      </c>
    </row>
    <row r="2473" customHeight="1" spans="2:2">
      <c r="B2473" s="62" t="str">
        <f>IF(AND('领用录入（明细）'!D:D=$F$4,'领用录入（明细）'!C:C&gt;=$J$4,'领用录入（明细）'!C:C&lt;=$L$4),ROW(),"-")</f>
        <v>-</v>
      </c>
    </row>
    <row r="2474" customHeight="1" spans="2:2">
      <c r="B2474" s="62" t="str">
        <f>IF(AND('领用录入（明细）'!D:D=$F$4,'领用录入（明细）'!C:C&gt;=$J$4,'领用录入（明细）'!C:C&lt;=$L$4),ROW(),"-")</f>
        <v>-</v>
      </c>
    </row>
    <row r="2475" customHeight="1" spans="2:2">
      <c r="B2475" s="62" t="str">
        <f>IF(AND('领用录入（明细）'!D:D=$F$4,'领用录入（明细）'!C:C&gt;=$J$4,'领用录入（明细）'!C:C&lt;=$L$4),ROW(),"-")</f>
        <v>-</v>
      </c>
    </row>
    <row r="2476" customHeight="1" spans="2:2">
      <c r="B2476" s="62" t="str">
        <f>IF(AND('领用录入（明细）'!D:D=$F$4,'领用录入（明细）'!C:C&gt;=$J$4,'领用录入（明细）'!C:C&lt;=$L$4),ROW(),"-")</f>
        <v>-</v>
      </c>
    </row>
    <row r="2477" customHeight="1" spans="2:2">
      <c r="B2477" s="62" t="str">
        <f>IF(AND('领用录入（明细）'!D:D=$F$4,'领用录入（明细）'!C:C&gt;=$J$4,'领用录入（明细）'!C:C&lt;=$L$4),ROW(),"-")</f>
        <v>-</v>
      </c>
    </row>
    <row r="2478" customHeight="1" spans="2:2">
      <c r="B2478" s="62" t="str">
        <f>IF(AND('领用录入（明细）'!D:D=$F$4,'领用录入（明细）'!C:C&gt;=$J$4,'领用录入（明细）'!C:C&lt;=$L$4),ROW(),"-")</f>
        <v>-</v>
      </c>
    </row>
    <row r="2479" customHeight="1" spans="2:2">
      <c r="B2479" s="62" t="str">
        <f>IF(AND('领用录入（明细）'!D:D=$F$4,'领用录入（明细）'!C:C&gt;=$J$4,'领用录入（明细）'!C:C&lt;=$L$4),ROW(),"-")</f>
        <v>-</v>
      </c>
    </row>
    <row r="2480" customHeight="1" spans="2:2">
      <c r="B2480" s="62" t="str">
        <f>IF(AND('领用录入（明细）'!D:D=$F$4,'领用录入（明细）'!C:C&gt;=$J$4,'领用录入（明细）'!C:C&lt;=$L$4),ROW(),"-")</f>
        <v>-</v>
      </c>
    </row>
    <row r="2481" customHeight="1" spans="2:2">
      <c r="B2481" s="62" t="str">
        <f>IF(AND('领用录入（明细）'!D:D=$F$4,'领用录入（明细）'!C:C&gt;=$J$4,'领用录入（明细）'!C:C&lt;=$L$4),ROW(),"-")</f>
        <v>-</v>
      </c>
    </row>
    <row r="2482" customHeight="1" spans="2:2">
      <c r="B2482" s="62" t="str">
        <f>IF(AND('领用录入（明细）'!D:D=$F$4,'领用录入（明细）'!C:C&gt;=$J$4,'领用录入（明细）'!C:C&lt;=$L$4),ROW(),"-")</f>
        <v>-</v>
      </c>
    </row>
    <row r="2483" customHeight="1" spans="2:2">
      <c r="B2483" s="62" t="str">
        <f>IF(AND('领用录入（明细）'!D:D=$F$4,'领用录入（明细）'!C:C&gt;=$J$4,'领用录入（明细）'!C:C&lt;=$L$4),ROW(),"-")</f>
        <v>-</v>
      </c>
    </row>
    <row r="2484" customHeight="1" spans="2:2">
      <c r="B2484" s="62" t="str">
        <f>IF(AND('领用录入（明细）'!D:D=$F$4,'领用录入（明细）'!C:C&gt;=$J$4,'领用录入（明细）'!C:C&lt;=$L$4),ROW(),"-")</f>
        <v>-</v>
      </c>
    </row>
    <row r="2485" customHeight="1" spans="2:2">
      <c r="B2485" s="62" t="str">
        <f>IF(AND('领用录入（明细）'!D:D=$F$4,'领用录入（明细）'!C:C&gt;=$J$4,'领用录入（明细）'!C:C&lt;=$L$4),ROW(),"-")</f>
        <v>-</v>
      </c>
    </row>
    <row r="2486" customHeight="1" spans="2:2">
      <c r="B2486" s="62" t="str">
        <f>IF(AND('领用录入（明细）'!D:D=$F$4,'领用录入（明细）'!C:C&gt;=$J$4,'领用录入（明细）'!C:C&lt;=$L$4),ROW(),"-")</f>
        <v>-</v>
      </c>
    </row>
    <row r="2487" customHeight="1" spans="2:2">
      <c r="B2487" s="62" t="str">
        <f>IF(AND('领用录入（明细）'!D:D=$F$4,'领用录入（明细）'!C:C&gt;=$J$4,'领用录入（明细）'!C:C&lt;=$L$4),ROW(),"-")</f>
        <v>-</v>
      </c>
    </row>
    <row r="2488" customHeight="1" spans="2:2">
      <c r="B2488" s="62" t="str">
        <f>IF(AND('领用录入（明细）'!D:D=$F$4,'领用录入（明细）'!C:C&gt;=$J$4,'领用录入（明细）'!C:C&lt;=$L$4),ROW(),"-")</f>
        <v>-</v>
      </c>
    </row>
    <row r="2489" customHeight="1" spans="2:2">
      <c r="B2489" s="62" t="str">
        <f>IF(AND('领用录入（明细）'!D:D=$F$4,'领用录入（明细）'!C:C&gt;=$J$4,'领用录入（明细）'!C:C&lt;=$L$4),ROW(),"-")</f>
        <v>-</v>
      </c>
    </row>
    <row r="2490" customHeight="1" spans="2:2">
      <c r="B2490" s="62" t="str">
        <f>IF(AND('领用录入（明细）'!D:D=$F$4,'领用录入（明细）'!C:C&gt;=$J$4,'领用录入（明细）'!C:C&lt;=$L$4),ROW(),"-")</f>
        <v>-</v>
      </c>
    </row>
    <row r="2491" customHeight="1" spans="2:2">
      <c r="B2491" s="62" t="str">
        <f>IF(AND('领用录入（明细）'!D:D=$F$4,'领用录入（明细）'!C:C&gt;=$J$4,'领用录入（明细）'!C:C&lt;=$L$4),ROW(),"-")</f>
        <v>-</v>
      </c>
    </row>
    <row r="2492" customHeight="1" spans="2:2">
      <c r="B2492" s="62" t="str">
        <f>IF(AND('领用录入（明细）'!D:D=$F$4,'领用录入（明细）'!C:C&gt;=$J$4,'领用录入（明细）'!C:C&lt;=$L$4),ROW(),"-")</f>
        <v>-</v>
      </c>
    </row>
    <row r="2493" customHeight="1" spans="2:2">
      <c r="B2493" s="62" t="str">
        <f>IF(AND('领用录入（明细）'!D:D=$F$4,'领用录入（明细）'!C:C&gt;=$J$4,'领用录入（明细）'!C:C&lt;=$L$4),ROW(),"-")</f>
        <v>-</v>
      </c>
    </row>
    <row r="2494" customHeight="1" spans="2:2">
      <c r="B2494" s="62" t="str">
        <f>IF(AND('领用录入（明细）'!D:D=$F$4,'领用录入（明细）'!C:C&gt;=$J$4,'领用录入（明细）'!C:C&lt;=$L$4),ROW(),"-")</f>
        <v>-</v>
      </c>
    </row>
    <row r="2495" customHeight="1" spans="2:2">
      <c r="B2495" s="62" t="str">
        <f>IF(AND('领用录入（明细）'!D:D=$F$4,'领用录入（明细）'!C:C&gt;=$J$4,'领用录入（明细）'!C:C&lt;=$L$4),ROW(),"-")</f>
        <v>-</v>
      </c>
    </row>
    <row r="2496" customHeight="1" spans="2:2">
      <c r="B2496" s="62" t="str">
        <f>IF(AND('领用录入（明细）'!D:D=$F$4,'领用录入（明细）'!C:C&gt;=$J$4,'领用录入（明细）'!C:C&lt;=$L$4),ROW(),"-")</f>
        <v>-</v>
      </c>
    </row>
    <row r="2497" customHeight="1" spans="2:2">
      <c r="B2497" s="62" t="str">
        <f>IF(AND('领用录入（明细）'!D:D=$F$4,'领用录入（明细）'!C:C&gt;=$J$4,'领用录入（明细）'!C:C&lt;=$L$4),ROW(),"-")</f>
        <v>-</v>
      </c>
    </row>
    <row r="2498" customHeight="1" spans="2:2">
      <c r="B2498" s="62" t="str">
        <f>IF(AND('领用录入（明细）'!D:D=$F$4,'领用录入（明细）'!C:C&gt;=$J$4,'领用录入（明细）'!C:C&lt;=$L$4),ROW(),"-")</f>
        <v>-</v>
      </c>
    </row>
    <row r="2499" customHeight="1" spans="2:2">
      <c r="B2499" s="62" t="str">
        <f>IF(AND('领用录入（明细）'!D:D=$F$4,'领用录入（明细）'!C:C&gt;=$J$4,'领用录入（明细）'!C:C&lt;=$L$4),ROW(),"-")</f>
        <v>-</v>
      </c>
    </row>
    <row r="2500" customHeight="1" spans="2:2">
      <c r="B2500" s="62" t="str">
        <f>IF(AND('领用录入（明细）'!D:D=$F$4,'领用录入（明细）'!C:C&gt;=$J$4,'领用录入（明细）'!C:C&lt;=$L$4),ROW(),"-")</f>
        <v>-</v>
      </c>
    </row>
    <row r="2501" customHeight="1" spans="2:2">
      <c r="B2501" s="62" t="str">
        <f>IF(AND('领用录入（明细）'!D:D=$F$4,'领用录入（明细）'!C:C&gt;=$J$4,'领用录入（明细）'!C:C&lt;=$L$4),ROW(),"-")</f>
        <v>-</v>
      </c>
    </row>
    <row r="2502" customHeight="1" spans="2:2">
      <c r="B2502" s="62" t="str">
        <f>IF(AND('领用录入（明细）'!D:D=$F$4,'领用录入（明细）'!C:C&gt;=$J$4,'领用录入（明细）'!C:C&lt;=$L$4),ROW(),"-")</f>
        <v>-</v>
      </c>
    </row>
    <row r="2503" customHeight="1" spans="2:2">
      <c r="B2503" s="62" t="str">
        <f>IF(AND('领用录入（明细）'!D:D=$F$4,'领用录入（明细）'!C:C&gt;=$J$4,'领用录入（明细）'!C:C&lt;=$L$4),ROW(),"-")</f>
        <v>-</v>
      </c>
    </row>
    <row r="2504" customHeight="1" spans="2:2">
      <c r="B2504" s="62" t="str">
        <f>IF(AND('领用录入（明细）'!D:D=$F$4,'领用录入（明细）'!C:C&gt;=$J$4,'领用录入（明细）'!C:C&lt;=$L$4),ROW(),"-")</f>
        <v>-</v>
      </c>
    </row>
    <row r="2505" customHeight="1" spans="2:2">
      <c r="B2505" s="62" t="str">
        <f>IF(AND('领用录入（明细）'!D:D=$F$4,'领用录入（明细）'!C:C&gt;=$J$4,'领用录入（明细）'!C:C&lt;=$L$4),ROW(),"-")</f>
        <v>-</v>
      </c>
    </row>
    <row r="2506" customHeight="1" spans="2:2">
      <c r="B2506" s="62" t="str">
        <f>IF(AND('领用录入（明细）'!D:D=$F$4,'领用录入（明细）'!C:C&gt;=$J$4,'领用录入（明细）'!C:C&lt;=$L$4),ROW(),"-")</f>
        <v>-</v>
      </c>
    </row>
    <row r="2507" customHeight="1" spans="2:2">
      <c r="B2507" s="62" t="str">
        <f>IF(AND('领用录入（明细）'!D:D=$F$4,'领用录入（明细）'!C:C&gt;=$J$4,'领用录入（明细）'!C:C&lt;=$L$4),ROW(),"-")</f>
        <v>-</v>
      </c>
    </row>
    <row r="2508" customHeight="1" spans="2:2">
      <c r="B2508" s="62" t="str">
        <f>IF(AND('领用录入（明细）'!D:D=$F$4,'领用录入（明细）'!C:C&gt;=$J$4,'领用录入（明细）'!C:C&lt;=$L$4),ROW(),"-")</f>
        <v>-</v>
      </c>
    </row>
    <row r="2509" customHeight="1" spans="2:2">
      <c r="B2509" s="62" t="str">
        <f>IF(AND('领用录入（明细）'!D:D=$F$4,'领用录入（明细）'!C:C&gt;=$J$4,'领用录入（明细）'!C:C&lt;=$L$4),ROW(),"-")</f>
        <v>-</v>
      </c>
    </row>
    <row r="2510" customHeight="1" spans="2:2">
      <c r="B2510" s="62" t="str">
        <f>IF(AND('领用录入（明细）'!D:D=$F$4,'领用录入（明细）'!C:C&gt;=$J$4,'领用录入（明细）'!C:C&lt;=$L$4),ROW(),"-")</f>
        <v>-</v>
      </c>
    </row>
    <row r="2511" customHeight="1" spans="2:2">
      <c r="B2511" s="62" t="str">
        <f>IF(AND('领用录入（明细）'!D:D=$F$4,'领用录入（明细）'!C:C&gt;=$J$4,'领用录入（明细）'!C:C&lt;=$L$4),ROW(),"-")</f>
        <v>-</v>
      </c>
    </row>
    <row r="2512" customHeight="1" spans="2:2">
      <c r="B2512" s="62" t="str">
        <f>IF(AND('领用录入（明细）'!D:D=$F$4,'领用录入（明细）'!C:C&gt;=$J$4,'领用录入（明细）'!C:C&lt;=$L$4),ROW(),"-")</f>
        <v>-</v>
      </c>
    </row>
    <row r="2513" customHeight="1" spans="2:2">
      <c r="B2513" s="62" t="str">
        <f>IF(AND('领用录入（明细）'!D:D=$F$4,'领用录入（明细）'!C:C&gt;=$J$4,'领用录入（明细）'!C:C&lt;=$L$4),ROW(),"-")</f>
        <v>-</v>
      </c>
    </row>
    <row r="2514" customHeight="1" spans="2:2">
      <c r="B2514" s="62" t="str">
        <f>IF(AND('领用录入（明细）'!D:D=$F$4,'领用录入（明细）'!C:C&gt;=$J$4,'领用录入（明细）'!C:C&lt;=$L$4),ROW(),"-")</f>
        <v>-</v>
      </c>
    </row>
    <row r="2515" customHeight="1" spans="2:2">
      <c r="B2515" s="62" t="str">
        <f>IF(AND('领用录入（明细）'!D:D=$F$4,'领用录入（明细）'!C:C&gt;=$J$4,'领用录入（明细）'!C:C&lt;=$L$4),ROW(),"-")</f>
        <v>-</v>
      </c>
    </row>
    <row r="2516" customHeight="1" spans="2:2">
      <c r="B2516" s="62" t="str">
        <f>IF(AND('领用录入（明细）'!D:D=$F$4,'领用录入（明细）'!C:C&gt;=$J$4,'领用录入（明细）'!C:C&lt;=$L$4),ROW(),"-")</f>
        <v>-</v>
      </c>
    </row>
    <row r="2517" customHeight="1" spans="2:2">
      <c r="B2517" s="62" t="str">
        <f>IF(AND('领用录入（明细）'!D:D=$F$4,'领用录入（明细）'!C:C&gt;=$J$4,'领用录入（明细）'!C:C&lt;=$L$4),ROW(),"-")</f>
        <v>-</v>
      </c>
    </row>
    <row r="2518" customHeight="1" spans="2:2">
      <c r="B2518" s="62" t="str">
        <f>IF(AND('领用录入（明细）'!D:D=$F$4,'领用录入（明细）'!C:C&gt;=$J$4,'领用录入（明细）'!C:C&lt;=$L$4),ROW(),"-")</f>
        <v>-</v>
      </c>
    </row>
    <row r="2519" customHeight="1" spans="2:2">
      <c r="B2519" s="62" t="str">
        <f>IF(AND('领用录入（明细）'!D:D=$F$4,'领用录入（明细）'!C:C&gt;=$J$4,'领用录入（明细）'!C:C&lt;=$L$4),ROW(),"-")</f>
        <v>-</v>
      </c>
    </row>
    <row r="2520" customHeight="1" spans="2:2">
      <c r="B2520" s="62" t="str">
        <f>IF(AND('领用录入（明细）'!D:D=$F$4,'领用录入（明细）'!C:C&gt;=$J$4,'领用录入（明细）'!C:C&lt;=$L$4),ROW(),"-")</f>
        <v>-</v>
      </c>
    </row>
    <row r="2521" customHeight="1" spans="2:2">
      <c r="B2521" s="62" t="str">
        <f>IF(AND('领用录入（明细）'!D:D=$F$4,'领用录入（明细）'!C:C&gt;=$J$4,'领用录入（明细）'!C:C&lt;=$L$4),ROW(),"-")</f>
        <v>-</v>
      </c>
    </row>
    <row r="2522" customHeight="1" spans="2:2">
      <c r="B2522" s="62" t="str">
        <f>IF(AND('领用录入（明细）'!D:D=$F$4,'领用录入（明细）'!C:C&gt;=$J$4,'领用录入（明细）'!C:C&lt;=$L$4),ROW(),"-")</f>
        <v>-</v>
      </c>
    </row>
    <row r="2523" customHeight="1" spans="2:2">
      <c r="B2523" s="62" t="str">
        <f>IF(AND('领用录入（明细）'!D:D=$F$4,'领用录入（明细）'!C:C&gt;=$J$4,'领用录入（明细）'!C:C&lt;=$L$4),ROW(),"-")</f>
        <v>-</v>
      </c>
    </row>
    <row r="2524" customHeight="1" spans="2:2">
      <c r="B2524" s="62" t="str">
        <f>IF(AND('领用录入（明细）'!D:D=$F$4,'领用录入（明细）'!C:C&gt;=$J$4,'领用录入（明细）'!C:C&lt;=$L$4),ROW(),"-")</f>
        <v>-</v>
      </c>
    </row>
    <row r="2525" customHeight="1" spans="2:2">
      <c r="B2525" s="62" t="str">
        <f>IF(AND('领用录入（明细）'!D:D=$F$4,'领用录入（明细）'!C:C&gt;=$J$4,'领用录入（明细）'!C:C&lt;=$L$4),ROW(),"-")</f>
        <v>-</v>
      </c>
    </row>
    <row r="2526" customHeight="1" spans="2:2">
      <c r="B2526" s="62" t="str">
        <f>IF(AND('领用录入（明细）'!D:D=$F$4,'领用录入（明细）'!C:C&gt;=$J$4,'领用录入（明细）'!C:C&lt;=$L$4),ROW(),"-")</f>
        <v>-</v>
      </c>
    </row>
    <row r="2527" customHeight="1" spans="2:2">
      <c r="B2527" s="62" t="str">
        <f>IF(AND('领用录入（明细）'!D:D=$F$4,'领用录入（明细）'!C:C&gt;=$J$4,'领用录入（明细）'!C:C&lt;=$L$4),ROW(),"-")</f>
        <v>-</v>
      </c>
    </row>
    <row r="2528" customHeight="1" spans="2:2">
      <c r="B2528" s="62" t="str">
        <f>IF(AND('领用录入（明细）'!D:D=$F$4,'领用录入（明细）'!C:C&gt;=$J$4,'领用录入（明细）'!C:C&lt;=$L$4),ROW(),"-")</f>
        <v>-</v>
      </c>
    </row>
    <row r="2529" customHeight="1" spans="2:2">
      <c r="B2529" s="62" t="str">
        <f>IF(AND('领用录入（明细）'!D:D=$F$4,'领用录入（明细）'!C:C&gt;=$J$4,'领用录入（明细）'!C:C&lt;=$L$4),ROW(),"-")</f>
        <v>-</v>
      </c>
    </row>
    <row r="2530" customHeight="1" spans="2:2">
      <c r="B2530" s="62" t="str">
        <f>IF(AND('领用录入（明细）'!D:D=$F$4,'领用录入（明细）'!C:C&gt;=$J$4,'领用录入（明细）'!C:C&lt;=$L$4),ROW(),"-")</f>
        <v>-</v>
      </c>
    </row>
    <row r="2531" customHeight="1" spans="2:2">
      <c r="B2531" s="62" t="str">
        <f>IF(AND('领用录入（明细）'!D:D=$F$4,'领用录入（明细）'!C:C&gt;=$J$4,'领用录入（明细）'!C:C&lt;=$L$4),ROW(),"-")</f>
        <v>-</v>
      </c>
    </row>
    <row r="2532" customHeight="1" spans="2:2">
      <c r="B2532" s="62" t="str">
        <f>IF(AND('领用录入（明细）'!D:D=$F$4,'领用录入（明细）'!C:C&gt;=$J$4,'领用录入（明细）'!C:C&lt;=$L$4),ROW(),"-")</f>
        <v>-</v>
      </c>
    </row>
    <row r="2533" customHeight="1" spans="2:2">
      <c r="B2533" s="62" t="str">
        <f>IF(AND('领用录入（明细）'!D:D=$F$4,'领用录入（明细）'!C:C&gt;=$J$4,'领用录入（明细）'!C:C&lt;=$L$4),ROW(),"-")</f>
        <v>-</v>
      </c>
    </row>
    <row r="2534" customHeight="1" spans="2:2">
      <c r="B2534" s="62" t="str">
        <f>IF(AND('领用录入（明细）'!D:D=$F$4,'领用录入（明细）'!C:C&gt;=$J$4,'领用录入（明细）'!C:C&lt;=$L$4),ROW(),"-")</f>
        <v>-</v>
      </c>
    </row>
    <row r="2535" customHeight="1" spans="2:2">
      <c r="B2535" s="62" t="str">
        <f>IF(AND('领用录入（明细）'!D:D=$F$4,'领用录入（明细）'!C:C&gt;=$J$4,'领用录入（明细）'!C:C&lt;=$L$4),ROW(),"-")</f>
        <v>-</v>
      </c>
    </row>
    <row r="2536" customHeight="1" spans="2:2">
      <c r="B2536" s="62" t="str">
        <f>IF(AND('领用录入（明细）'!D:D=$F$4,'领用录入（明细）'!C:C&gt;=$J$4,'领用录入（明细）'!C:C&lt;=$L$4),ROW(),"-")</f>
        <v>-</v>
      </c>
    </row>
    <row r="2537" customHeight="1" spans="2:2">
      <c r="B2537" s="62" t="str">
        <f>IF(AND('领用录入（明细）'!D:D=$F$4,'领用录入（明细）'!C:C&gt;=$J$4,'领用录入（明细）'!C:C&lt;=$L$4),ROW(),"-")</f>
        <v>-</v>
      </c>
    </row>
    <row r="2538" customHeight="1" spans="2:2">
      <c r="B2538" s="62" t="str">
        <f>IF(AND('领用录入（明细）'!D:D=$F$4,'领用录入（明细）'!C:C&gt;=$J$4,'领用录入（明细）'!C:C&lt;=$L$4),ROW(),"-")</f>
        <v>-</v>
      </c>
    </row>
    <row r="2539" customHeight="1" spans="2:2">
      <c r="B2539" s="62" t="str">
        <f>IF(AND('领用录入（明细）'!D:D=$F$4,'领用录入（明细）'!C:C&gt;=$J$4,'领用录入（明细）'!C:C&lt;=$L$4),ROW(),"-")</f>
        <v>-</v>
      </c>
    </row>
    <row r="2540" customHeight="1" spans="2:2">
      <c r="B2540" s="62" t="str">
        <f>IF(AND('领用录入（明细）'!D:D=$F$4,'领用录入（明细）'!C:C&gt;=$J$4,'领用录入（明细）'!C:C&lt;=$L$4),ROW(),"-")</f>
        <v>-</v>
      </c>
    </row>
    <row r="2541" customHeight="1" spans="2:2">
      <c r="B2541" s="62" t="str">
        <f>IF(AND('领用录入（明细）'!D:D=$F$4,'领用录入（明细）'!C:C&gt;=$J$4,'领用录入（明细）'!C:C&lt;=$L$4),ROW(),"-")</f>
        <v>-</v>
      </c>
    </row>
    <row r="2542" customHeight="1" spans="2:2">
      <c r="B2542" s="62" t="str">
        <f>IF(AND('领用录入（明细）'!D:D=$F$4,'领用录入（明细）'!C:C&gt;=$J$4,'领用录入（明细）'!C:C&lt;=$L$4),ROW(),"-")</f>
        <v>-</v>
      </c>
    </row>
    <row r="2543" customHeight="1" spans="2:2">
      <c r="B2543" s="62" t="str">
        <f>IF(AND('领用录入（明细）'!D:D=$F$4,'领用录入（明细）'!C:C&gt;=$J$4,'领用录入（明细）'!C:C&lt;=$L$4),ROW(),"-")</f>
        <v>-</v>
      </c>
    </row>
    <row r="2544" customHeight="1" spans="2:2">
      <c r="B2544" s="62" t="str">
        <f>IF(AND('领用录入（明细）'!D:D=$F$4,'领用录入（明细）'!C:C&gt;=$J$4,'领用录入（明细）'!C:C&lt;=$L$4),ROW(),"-")</f>
        <v>-</v>
      </c>
    </row>
    <row r="2545" customHeight="1" spans="2:2">
      <c r="B2545" s="62" t="str">
        <f>IF(AND('领用录入（明细）'!D:D=$F$4,'领用录入（明细）'!C:C&gt;=$J$4,'领用录入（明细）'!C:C&lt;=$L$4),ROW(),"-")</f>
        <v>-</v>
      </c>
    </row>
    <row r="2546" customHeight="1" spans="2:2">
      <c r="B2546" s="62" t="str">
        <f>IF(AND('领用录入（明细）'!D:D=$F$4,'领用录入（明细）'!C:C&gt;=$J$4,'领用录入（明细）'!C:C&lt;=$L$4),ROW(),"-")</f>
        <v>-</v>
      </c>
    </row>
    <row r="2547" customHeight="1" spans="2:2">
      <c r="B2547" s="62" t="str">
        <f>IF(AND('领用录入（明细）'!D:D=$F$4,'领用录入（明细）'!C:C&gt;=$J$4,'领用录入（明细）'!C:C&lt;=$L$4),ROW(),"-")</f>
        <v>-</v>
      </c>
    </row>
    <row r="2548" customHeight="1" spans="2:2">
      <c r="B2548" s="62" t="str">
        <f>IF(AND('领用录入（明细）'!D:D=$F$4,'领用录入（明细）'!C:C&gt;=$J$4,'领用录入（明细）'!C:C&lt;=$L$4),ROW(),"-")</f>
        <v>-</v>
      </c>
    </row>
    <row r="2549" customHeight="1" spans="2:2">
      <c r="B2549" s="62" t="str">
        <f>IF(AND('领用录入（明细）'!D:D=$F$4,'领用录入（明细）'!C:C&gt;=$J$4,'领用录入（明细）'!C:C&lt;=$L$4),ROW(),"-")</f>
        <v>-</v>
      </c>
    </row>
    <row r="2550" customHeight="1" spans="2:2">
      <c r="B2550" s="62" t="str">
        <f>IF(AND('领用录入（明细）'!D:D=$F$4,'领用录入（明细）'!C:C&gt;=$J$4,'领用录入（明细）'!C:C&lt;=$L$4),ROW(),"-")</f>
        <v>-</v>
      </c>
    </row>
    <row r="2551" customHeight="1" spans="2:2">
      <c r="B2551" s="62" t="str">
        <f>IF(AND('领用录入（明细）'!D:D=$F$4,'领用录入（明细）'!C:C&gt;=$J$4,'领用录入（明细）'!C:C&lt;=$L$4),ROW(),"-")</f>
        <v>-</v>
      </c>
    </row>
    <row r="2552" customHeight="1" spans="2:2">
      <c r="B2552" s="62" t="str">
        <f>IF(AND('领用录入（明细）'!D:D=$F$4,'领用录入（明细）'!C:C&gt;=$J$4,'领用录入（明细）'!C:C&lt;=$L$4),ROW(),"-")</f>
        <v>-</v>
      </c>
    </row>
    <row r="2553" customHeight="1" spans="2:2">
      <c r="B2553" s="62" t="str">
        <f>IF(AND('领用录入（明细）'!D:D=$F$4,'领用录入（明细）'!C:C&gt;=$J$4,'领用录入（明细）'!C:C&lt;=$L$4),ROW(),"-")</f>
        <v>-</v>
      </c>
    </row>
    <row r="2554" customHeight="1" spans="2:2">
      <c r="B2554" s="62" t="str">
        <f>IF(AND('领用录入（明细）'!D:D=$F$4,'领用录入（明细）'!C:C&gt;=$J$4,'领用录入（明细）'!C:C&lt;=$L$4),ROW(),"-")</f>
        <v>-</v>
      </c>
    </row>
    <row r="2555" customHeight="1" spans="2:2">
      <c r="B2555" s="62" t="str">
        <f>IF(AND('领用录入（明细）'!D:D=$F$4,'领用录入（明细）'!C:C&gt;=$J$4,'领用录入（明细）'!C:C&lt;=$L$4),ROW(),"-")</f>
        <v>-</v>
      </c>
    </row>
    <row r="2556" customHeight="1" spans="2:2">
      <c r="B2556" s="62" t="str">
        <f>IF(AND('领用录入（明细）'!D:D=$F$4,'领用录入（明细）'!C:C&gt;=$J$4,'领用录入（明细）'!C:C&lt;=$L$4),ROW(),"-")</f>
        <v>-</v>
      </c>
    </row>
    <row r="2557" customHeight="1" spans="2:2">
      <c r="B2557" s="62" t="str">
        <f>IF(AND('领用录入（明细）'!D:D=$F$4,'领用录入（明细）'!C:C&gt;=$J$4,'领用录入（明细）'!C:C&lt;=$L$4),ROW(),"-")</f>
        <v>-</v>
      </c>
    </row>
    <row r="2558" customHeight="1" spans="2:2">
      <c r="B2558" s="62" t="str">
        <f>IF(AND('领用录入（明细）'!D:D=$F$4,'领用录入（明细）'!C:C&gt;=$J$4,'领用录入（明细）'!C:C&lt;=$L$4),ROW(),"-")</f>
        <v>-</v>
      </c>
    </row>
    <row r="2559" customHeight="1" spans="2:2">
      <c r="B2559" s="62" t="str">
        <f>IF(AND('领用录入（明细）'!D:D=$F$4,'领用录入（明细）'!C:C&gt;=$J$4,'领用录入（明细）'!C:C&lt;=$L$4),ROW(),"-")</f>
        <v>-</v>
      </c>
    </row>
    <row r="2560" customHeight="1" spans="2:2">
      <c r="B2560" s="62" t="str">
        <f>IF(AND('领用录入（明细）'!D:D=$F$4,'领用录入（明细）'!C:C&gt;=$J$4,'领用录入（明细）'!C:C&lt;=$L$4),ROW(),"-")</f>
        <v>-</v>
      </c>
    </row>
    <row r="2561" customHeight="1" spans="2:2">
      <c r="B2561" s="62" t="str">
        <f>IF(AND('领用录入（明细）'!D:D=$F$4,'领用录入（明细）'!C:C&gt;=$J$4,'领用录入（明细）'!C:C&lt;=$L$4),ROW(),"-")</f>
        <v>-</v>
      </c>
    </row>
    <row r="2562" customHeight="1" spans="2:2">
      <c r="B2562" s="62" t="str">
        <f>IF(AND('领用录入（明细）'!D:D=$F$4,'领用录入（明细）'!C:C&gt;=$J$4,'领用录入（明细）'!C:C&lt;=$L$4),ROW(),"-")</f>
        <v>-</v>
      </c>
    </row>
    <row r="2563" customHeight="1" spans="2:2">
      <c r="B2563" s="62" t="str">
        <f>IF(AND('领用录入（明细）'!D:D=$F$4,'领用录入（明细）'!C:C&gt;=$J$4,'领用录入（明细）'!C:C&lt;=$L$4),ROW(),"-")</f>
        <v>-</v>
      </c>
    </row>
    <row r="2564" customHeight="1" spans="2:2">
      <c r="B2564" s="62" t="str">
        <f>IF(AND('领用录入（明细）'!D:D=$F$4,'领用录入（明细）'!C:C&gt;=$J$4,'领用录入（明细）'!C:C&lt;=$L$4),ROW(),"-")</f>
        <v>-</v>
      </c>
    </row>
    <row r="2565" customHeight="1" spans="2:2">
      <c r="B2565" s="62" t="str">
        <f>IF(AND('领用录入（明细）'!D:D=$F$4,'领用录入（明细）'!C:C&gt;=$J$4,'领用录入（明细）'!C:C&lt;=$L$4),ROW(),"-")</f>
        <v>-</v>
      </c>
    </row>
    <row r="2566" customHeight="1" spans="2:2">
      <c r="B2566" s="62" t="str">
        <f>IF(AND('领用录入（明细）'!D:D=$F$4,'领用录入（明细）'!C:C&gt;=$J$4,'领用录入（明细）'!C:C&lt;=$L$4),ROW(),"-")</f>
        <v>-</v>
      </c>
    </row>
    <row r="2567" customHeight="1" spans="2:2">
      <c r="B2567" s="62" t="str">
        <f>IF(AND('领用录入（明细）'!D:D=$F$4,'领用录入（明细）'!C:C&gt;=$J$4,'领用录入（明细）'!C:C&lt;=$L$4),ROW(),"-")</f>
        <v>-</v>
      </c>
    </row>
    <row r="2568" customHeight="1" spans="2:2">
      <c r="B2568" s="62" t="str">
        <f>IF(AND('领用录入（明细）'!D:D=$F$4,'领用录入（明细）'!C:C&gt;=$J$4,'领用录入（明细）'!C:C&lt;=$L$4),ROW(),"-")</f>
        <v>-</v>
      </c>
    </row>
    <row r="2569" customHeight="1" spans="2:2">
      <c r="B2569" s="62" t="str">
        <f>IF(AND('领用录入（明细）'!D:D=$F$4,'领用录入（明细）'!C:C&gt;=$J$4,'领用录入（明细）'!C:C&lt;=$L$4),ROW(),"-")</f>
        <v>-</v>
      </c>
    </row>
    <row r="2570" customHeight="1" spans="2:2">
      <c r="B2570" s="62" t="str">
        <f>IF(AND('领用录入（明细）'!D:D=$F$4,'领用录入（明细）'!C:C&gt;=$J$4,'领用录入（明细）'!C:C&lt;=$L$4),ROW(),"-")</f>
        <v>-</v>
      </c>
    </row>
    <row r="2571" customHeight="1" spans="2:2">
      <c r="B2571" s="62" t="str">
        <f>IF(AND('领用录入（明细）'!D:D=$F$4,'领用录入（明细）'!C:C&gt;=$J$4,'领用录入（明细）'!C:C&lt;=$L$4),ROW(),"-")</f>
        <v>-</v>
      </c>
    </row>
    <row r="2572" customHeight="1" spans="2:2">
      <c r="B2572" s="62" t="str">
        <f>IF(AND('领用录入（明细）'!D:D=$F$4,'领用录入（明细）'!C:C&gt;=$J$4,'领用录入（明细）'!C:C&lt;=$L$4),ROW(),"-")</f>
        <v>-</v>
      </c>
    </row>
    <row r="2573" customHeight="1" spans="2:2">
      <c r="B2573" s="62" t="str">
        <f>IF(AND('领用录入（明细）'!D:D=$F$4,'领用录入（明细）'!C:C&gt;=$J$4,'领用录入（明细）'!C:C&lt;=$L$4),ROW(),"-")</f>
        <v>-</v>
      </c>
    </row>
    <row r="2574" customHeight="1" spans="2:2">
      <c r="B2574" s="62" t="str">
        <f>IF(AND('领用录入（明细）'!D:D=$F$4,'领用录入（明细）'!C:C&gt;=$J$4,'领用录入（明细）'!C:C&lt;=$L$4),ROW(),"-")</f>
        <v>-</v>
      </c>
    </row>
    <row r="2575" customHeight="1" spans="2:2">
      <c r="B2575" s="62" t="str">
        <f>IF(AND('领用录入（明细）'!D:D=$F$4,'领用录入（明细）'!C:C&gt;=$J$4,'领用录入（明细）'!C:C&lt;=$L$4),ROW(),"-")</f>
        <v>-</v>
      </c>
    </row>
    <row r="2576" customHeight="1" spans="2:2">
      <c r="B2576" s="62" t="str">
        <f>IF(AND('领用录入（明细）'!D:D=$F$4,'领用录入（明细）'!C:C&gt;=$J$4,'领用录入（明细）'!C:C&lt;=$L$4),ROW(),"-")</f>
        <v>-</v>
      </c>
    </row>
    <row r="2577" customHeight="1" spans="2:2">
      <c r="B2577" s="62" t="str">
        <f>IF(AND('领用录入（明细）'!D:D=$F$4,'领用录入（明细）'!C:C&gt;=$J$4,'领用录入（明细）'!C:C&lt;=$L$4),ROW(),"-")</f>
        <v>-</v>
      </c>
    </row>
    <row r="2578" customHeight="1" spans="2:2">
      <c r="B2578" s="62" t="str">
        <f>IF(AND('领用录入（明细）'!D:D=$F$4,'领用录入（明细）'!C:C&gt;=$J$4,'领用录入（明细）'!C:C&lt;=$L$4),ROW(),"-")</f>
        <v>-</v>
      </c>
    </row>
    <row r="2579" customHeight="1" spans="2:2">
      <c r="B2579" s="62" t="str">
        <f>IF(AND('领用录入（明细）'!D:D=$F$4,'领用录入（明细）'!C:C&gt;=$J$4,'领用录入（明细）'!C:C&lt;=$L$4),ROW(),"-")</f>
        <v>-</v>
      </c>
    </row>
    <row r="2580" customHeight="1" spans="2:2">
      <c r="B2580" s="62" t="str">
        <f>IF(AND('领用录入（明细）'!D:D=$F$4,'领用录入（明细）'!C:C&gt;=$J$4,'领用录入（明细）'!C:C&lt;=$L$4),ROW(),"-")</f>
        <v>-</v>
      </c>
    </row>
    <row r="2581" customHeight="1" spans="2:2">
      <c r="B2581" s="62" t="str">
        <f>IF(AND('领用录入（明细）'!D:D=$F$4,'领用录入（明细）'!C:C&gt;=$J$4,'领用录入（明细）'!C:C&lt;=$L$4),ROW(),"-")</f>
        <v>-</v>
      </c>
    </row>
    <row r="2582" customHeight="1" spans="2:2">
      <c r="B2582" s="62" t="str">
        <f>IF(AND('领用录入（明细）'!D:D=$F$4,'领用录入（明细）'!C:C&gt;=$J$4,'领用录入（明细）'!C:C&lt;=$L$4),ROW(),"-")</f>
        <v>-</v>
      </c>
    </row>
    <row r="2583" customHeight="1" spans="2:2">
      <c r="B2583" s="62" t="str">
        <f>IF(AND('领用录入（明细）'!D:D=$F$4,'领用录入（明细）'!C:C&gt;=$J$4,'领用录入（明细）'!C:C&lt;=$L$4),ROW(),"-")</f>
        <v>-</v>
      </c>
    </row>
    <row r="2584" customHeight="1" spans="2:2">
      <c r="B2584" s="62" t="str">
        <f>IF(AND('领用录入（明细）'!D:D=$F$4,'领用录入（明细）'!C:C&gt;=$J$4,'领用录入（明细）'!C:C&lt;=$L$4),ROW(),"-")</f>
        <v>-</v>
      </c>
    </row>
    <row r="2585" customHeight="1" spans="2:2">
      <c r="B2585" s="62" t="str">
        <f>IF(AND('领用录入（明细）'!D:D=$F$4,'领用录入（明细）'!C:C&gt;=$J$4,'领用录入（明细）'!C:C&lt;=$L$4),ROW(),"-")</f>
        <v>-</v>
      </c>
    </row>
    <row r="2586" customHeight="1" spans="2:2">
      <c r="B2586" s="62" t="str">
        <f>IF(AND('领用录入（明细）'!D:D=$F$4,'领用录入（明细）'!C:C&gt;=$J$4,'领用录入（明细）'!C:C&lt;=$L$4),ROW(),"-")</f>
        <v>-</v>
      </c>
    </row>
    <row r="2587" customHeight="1" spans="2:2">
      <c r="B2587" s="62" t="str">
        <f>IF(AND('领用录入（明细）'!D:D=$F$4,'领用录入（明细）'!C:C&gt;=$J$4,'领用录入（明细）'!C:C&lt;=$L$4),ROW(),"-")</f>
        <v>-</v>
      </c>
    </row>
    <row r="2588" customHeight="1" spans="2:2">
      <c r="B2588" s="62" t="str">
        <f>IF(AND('领用录入（明细）'!D:D=$F$4,'领用录入（明细）'!C:C&gt;=$J$4,'领用录入（明细）'!C:C&lt;=$L$4),ROW(),"-")</f>
        <v>-</v>
      </c>
    </row>
    <row r="2589" customHeight="1" spans="2:2">
      <c r="B2589" s="62" t="str">
        <f>IF(AND('领用录入（明细）'!D:D=$F$4,'领用录入（明细）'!C:C&gt;=$J$4,'领用录入（明细）'!C:C&lt;=$L$4),ROW(),"-")</f>
        <v>-</v>
      </c>
    </row>
    <row r="2590" customHeight="1" spans="2:2">
      <c r="B2590" s="62" t="str">
        <f>IF(AND('领用录入（明细）'!D:D=$F$4,'领用录入（明细）'!C:C&gt;=$J$4,'领用录入（明细）'!C:C&lt;=$L$4),ROW(),"-")</f>
        <v>-</v>
      </c>
    </row>
    <row r="2591" customHeight="1" spans="2:2">
      <c r="B2591" s="62" t="str">
        <f>IF(AND('领用录入（明细）'!D:D=$F$4,'领用录入（明细）'!C:C&gt;=$J$4,'领用录入（明细）'!C:C&lt;=$L$4),ROW(),"-")</f>
        <v>-</v>
      </c>
    </row>
    <row r="2592" customHeight="1" spans="2:2">
      <c r="B2592" s="62" t="str">
        <f>IF(AND('领用录入（明细）'!D:D=$F$4,'领用录入（明细）'!C:C&gt;=$J$4,'领用录入（明细）'!C:C&lt;=$L$4),ROW(),"-")</f>
        <v>-</v>
      </c>
    </row>
    <row r="2593" customHeight="1" spans="2:2">
      <c r="B2593" s="62" t="str">
        <f>IF(AND('领用录入（明细）'!D:D=$F$4,'领用录入（明细）'!C:C&gt;=$J$4,'领用录入（明细）'!C:C&lt;=$L$4),ROW(),"-")</f>
        <v>-</v>
      </c>
    </row>
    <row r="2594" customHeight="1" spans="2:2">
      <c r="B2594" s="62" t="str">
        <f>IF(AND('领用录入（明细）'!D:D=$F$4,'领用录入（明细）'!C:C&gt;=$J$4,'领用录入（明细）'!C:C&lt;=$L$4),ROW(),"-")</f>
        <v>-</v>
      </c>
    </row>
    <row r="2595" customHeight="1" spans="2:2">
      <c r="B2595" s="62" t="str">
        <f>IF(AND('领用录入（明细）'!D:D=$F$4,'领用录入（明细）'!C:C&gt;=$J$4,'领用录入（明细）'!C:C&lt;=$L$4),ROW(),"-")</f>
        <v>-</v>
      </c>
    </row>
    <row r="2596" customHeight="1" spans="2:2">
      <c r="B2596" s="62" t="str">
        <f>IF(AND('领用录入（明细）'!D:D=$F$4,'领用录入（明细）'!C:C&gt;=$J$4,'领用录入（明细）'!C:C&lt;=$L$4),ROW(),"-")</f>
        <v>-</v>
      </c>
    </row>
    <row r="2597" customHeight="1" spans="2:2">
      <c r="B2597" s="62" t="str">
        <f>IF(AND('领用录入（明细）'!D:D=$F$4,'领用录入（明细）'!C:C&gt;=$J$4,'领用录入（明细）'!C:C&lt;=$L$4),ROW(),"-")</f>
        <v>-</v>
      </c>
    </row>
    <row r="2598" customHeight="1" spans="2:2">
      <c r="B2598" s="62" t="str">
        <f>IF(AND('领用录入（明细）'!D:D=$F$4,'领用录入（明细）'!C:C&gt;=$J$4,'领用录入（明细）'!C:C&lt;=$L$4),ROW(),"-")</f>
        <v>-</v>
      </c>
    </row>
    <row r="2599" customHeight="1" spans="2:2">
      <c r="B2599" s="62" t="str">
        <f>IF(AND('领用录入（明细）'!D:D=$F$4,'领用录入（明细）'!C:C&gt;=$J$4,'领用录入（明细）'!C:C&lt;=$L$4),ROW(),"-")</f>
        <v>-</v>
      </c>
    </row>
    <row r="2600" customHeight="1" spans="2:2">
      <c r="B2600" s="62" t="str">
        <f>IF(AND('领用录入（明细）'!D:D=$F$4,'领用录入（明细）'!C:C&gt;=$J$4,'领用录入（明细）'!C:C&lt;=$L$4),ROW(),"-")</f>
        <v>-</v>
      </c>
    </row>
    <row r="2601" customHeight="1" spans="2:2">
      <c r="B2601" s="62" t="str">
        <f>IF(AND('领用录入（明细）'!D:D=$F$4,'领用录入（明细）'!C:C&gt;=$J$4,'领用录入（明细）'!C:C&lt;=$L$4),ROW(),"-")</f>
        <v>-</v>
      </c>
    </row>
    <row r="2602" customHeight="1" spans="2:2">
      <c r="B2602" s="62" t="str">
        <f>IF(AND('领用录入（明细）'!D:D=$F$4,'领用录入（明细）'!C:C&gt;=$J$4,'领用录入（明细）'!C:C&lt;=$L$4),ROW(),"-")</f>
        <v>-</v>
      </c>
    </row>
    <row r="2603" customHeight="1" spans="2:2">
      <c r="B2603" s="62" t="str">
        <f>IF(AND('领用录入（明细）'!D:D=$F$4,'领用录入（明细）'!C:C&gt;=$J$4,'领用录入（明细）'!C:C&lt;=$L$4),ROW(),"-")</f>
        <v>-</v>
      </c>
    </row>
    <row r="2604" customHeight="1" spans="2:2">
      <c r="B2604" s="62" t="str">
        <f>IF(AND('领用录入（明细）'!D:D=$F$4,'领用录入（明细）'!C:C&gt;=$J$4,'领用录入（明细）'!C:C&lt;=$L$4),ROW(),"-")</f>
        <v>-</v>
      </c>
    </row>
    <row r="2605" customHeight="1" spans="2:2">
      <c r="B2605" s="62" t="str">
        <f>IF(AND('领用录入（明细）'!D:D=$F$4,'领用录入（明细）'!C:C&gt;=$J$4,'领用录入（明细）'!C:C&lt;=$L$4),ROW(),"-")</f>
        <v>-</v>
      </c>
    </row>
    <row r="2606" customHeight="1" spans="2:2">
      <c r="B2606" s="62" t="str">
        <f>IF(AND('领用录入（明细）'!D:D=$F$4,'领用录入（明细）'!C:C&gt;=$J$4,'领用录入（明细）'!C:C&lt;=$L$4),ROW(),"-")</f>
        <v>-</v>
      </c>
    </row>
    <row r="2607" customHeight="1" spans="2:2">
      <c r="B2607" s="62" t="str">
        <f>IF(AND('领用录入（明细）'!D:D=$F$4,'领用录入（明细）'!C:C&gt;=$J$4,'领用录入（明细）'!C:C&lt;=$L$4),ROW(),"-")</f>
        <v>-</v>
      </c>
    </row>
    <row r="2608" customHeight="1" spans="2:2">
      <c r="B2608" s="62" t="str">
        <f>IF(AND('领用录入（明细）'!D:D=$F$4,'领用录入（明细）'!C:C&gt;=$J$4,'领用录入（明细）'!C:C&lt;=$L$4),ROW(),"-")</f>
        <v>-</v>
      </c>
    </row>
    <row r="2609" customHeight="1" spans="2:2">
      <c r="B2609" s="62" t="str">
        <f>IF(AND('领用录入（明细）'!D:D=$F$4,'领用录入（明细）'!C:C&gt;=$J$4,'领用录入（明细）'!C:C&lt;=$L$4),ROW(),"-")</f>
        <v>-</v>
      </c>
    </row>
    <row r="2610" customHeight="1" spans="2:2">
      <c r="B2610" s="62" t="str">
        <f>IF(AND('领用录入（明细）'!D:D=$F$4,'领用录入（明细）'!C:C&gt;=$J$4,'领用录入（明细）'!C:C&lt;=$L$4),ROW(),"-")</f>
        <v>-</v>
      </c>
    </row>
    <row r="2611" customHeight="1" spans="2:2">
      <c r="B2611" s="62" t="str">
        <f>IF(AND('领用录入（明细）'!D:D=$F$4,'领用录入（明细）'!C:C&gt;=$J$4,'领用录入（明细）'!C:C&lt;=$L$4),ROW(),"-")</f>
        <v>-</v>
      </c>
    </row>
    <row r="2612" customHeight="1" spans="2:2">
      <c r="B2612" s="62" t="str">
        <f>IF(AND('领用录入（明细）'!D:D=$F$4,'领用录入（明细）'!C:C&gt;=$J$4,'领用录入（明细）'!C:C&lt;=$L$4),ROW(),"-")</f>
        <v>-</v>
      </c>
    </row>
    <row r="2613" customHeight="1" spans="2:2">
      <c r="B2613" s="62" t="str">
        <f>IF(AND('领用录入（明细）'!D:D=$F$4,'领用录入（明细）'!C:C&gt;=$J$4,'领用录入（明细）'!C:C&lt;=$L$4),ROW(),"-")</f>
        <v>-</v>
      </c>
    </row>
    <row r="2614" customHeight="1" spans="2:2">
      <c r="B2614" s="62" t="str">
        <f>IF(AND('领用录入（明细）'!D:D=$F$4,'领用录入（明细）'!C:C&gt;=$J$4,'领用录入（明细）'!C:C&lt;=$L$4),ROW(),"-")</f>
        <v>-</v>
      </c>
    </row>
    <row r="2615" customHeight="1" spans="2:2">
      <c r="B2615" s="62" t="str">
        <f>IF(AND('领用录入（明细）'!D:D=$F$4,'领用录入（明细）'!C:C&gt;=$J$4,'领用录入（明细）'!C:C&lt;=$L$4),ROW(),"-")</f>
        <v>-</v>
      </c>
    </row>
    <row r="2616" customHeight="1" spans="2:2">
      <c r="B2616" s="62" t="str">
        <f>IF(AND('领用录入（明细）'!D:D=$F$4,'领用录入（明细）'!C:C&gt;=$J$4,'领用录入（明细）'!C:C&lt;=$L$4),ROW(),"-")</f>
        <v>-</v>
      </c>
    </row>
    <row r="2617" customHeight="1" spans="2:2">
      <c r="B2617" s="62" t="str">
        <f>IF(AND('领用录入（明细）'!D:D=$F$4,'领用录入（明细）'!C:C&gt;=$J$4,'领用录入（明细）'!C:C&lt;=$L$4),ROW(),"-")</f>
        <v>-</v>
      </c>
    </row>
    <row r="2618" customHeight="1" spans="2:2">
      <c r="B2618" s="62" t="str">
        <f>IF(AND('领用录入（明细）'!D:D=$F$4,'领用录入（明细）'!C:C&gt;=$J$4,'领用录入（明细）'!C:C&lt;=$L$4),ROW(),"-")</f>
        <v>-</v>
      </c>
    </row>
    <row r="2619" customHeight="1" spans="2:2">
      <c r="B2619" s="62" t="str">
        <f>IF(AND('领用录入（明细）'!D:D=$F$4,'领用录入（明细）'!C:C&gt;=$J$4,'领用录入（明细）'!C:C&lt;=$L$4),ROW(),"-")</f>
        <v>-</v>
      </c>
    </row>
    <row r="2620" customHeight="1" spans="2:2">
      <c r="B2620" s="62" t="str">
        <f>IF(AND('领用录入（明细）'!D:D=$F$4,'领用录入（明细）'!C:C&gt;=$J$4,'领用录入（明细）'!C:C&lt;=$L$4),ROW(),"-")</f>
        <v>-</v>
      </c>
    </row>
    <row r="2621" customHeight="1" spans="2:2">
      <c r="B2621" s="62" t="str">
        <f>IF(AND('领用录入（明细）'!D:D=$F$4,'领用录入（明细）'!C:C&gt;=$J$4,'领用录入（明细）'!C:C&lt;=$L$4),ROW(),"-")</f>
        <v>-</v>
      </c>
    </row>
    <row r="2622" customHeight="1" spans="2:2">
      <c r="B2622" s="62" t="str">
        <f>IF(AND('领用录入（明细）'!D:D=$F$4,'领用录入（明细）'!C:C&gt;=$J$4,'领用录入（明细）'!C:C&lt;=$L$4),ROW(),"-")</f>
        <v>-</v>
      </c>
    </row>
    <row r="2623" customHeight="1" spans="2:2">
      <c r="B2623" s="62" t="str">
        <f>IF(AND('领用录入（明细）'!D:D=$F$4,'领用录入（明细）'!C:C&gt;=$J$4,'领用录入（明细）'!C:C&lt;=$L$4),ROW(),"-")</f>
        <v>-</v>
      </c>
    </row>
    <row r="2624" customHeight="1" spans="2:2">
      <c r="B2624" s="62" t="str">
        <f>IF(AND('领用录入（明细）'!D:D=$F$4,'领用录入（明细）'!C:C&gt;=$J$4,'领用录入（明细）'!C:C&lt;=$L$4),ROW(),"-")</f>
        <v>-</v>
      </c>
    </row>
    <row r="2625" customHeight="1" spans="2:2">
      <c r="B2625" s="62" t="str">
        <f>IF(AND('领用录入（明细）'!D:D=$F$4,'领用录入（明细）'!C:C&gt;=$J$4,'领用录入（明细）'!C:C&lt;=$L$4),ROW(),"-")</f>
        <v>-</v>
      </c>
    </row>
    <row r="2626" customHeight="1" spans="2:2">
      <c r="B2626" s="62" t="str">
        <f>IF(AND('领用录入（明细）'!D:D=$F$4,'领用录入（明细）'!C:C&gt;=$J$4,'领用录入（明细）'!C:C&lt;=$L$4),ROW(),"-")</f>
        <v>-</v>
      </c>
    </row>
    <row r="2627" customHeight="1" spans="2:2">
      <c r="B2627" s="62" t="str">
        <f>IF(AND('领用录入（明细）'!D:D=$F$4,'领用录入（明细）'!C:C&gt;=$J$4,'领用录入（明细）'!C:C&lt;=$L$4),ROW(),"-")</f>
        <v>-</v>
      </c>
    </row>
    <row r="2628" customHeight="1" spans="2:2">
      <c r="B2628" s="62" t="str">
        <f>IF(AND('领用录入（明细）'!D:D=$F$4,'领用录入（明细）'!C:C&gt;=$J$4,'领用录入（明细）'!C:C&lt;=$L$4),ROW(),"-")</f>
        <v>-</v>
      </c>
    </row>
    <row r="2629" customHeight="1" spans="2:2">
      <c r="B2629" s="62" t="str">
        <f>IF(AND('领用录入（明细）'!D:D=$F$4,'领用录入（明细）'!C:C&gt;=$J$4,'领用录入（明细）'!C:C&lt;=$L$4),ROW(),"-")</f>
        <v>-</v>
      </c>
    </row>
    <row r="2630" customHeight="1" spans="2:2">
      <c r="B2630" s="62" t="str">
        <f>IF(AND('领用录入（明细）'!D:D=$F$4,'领用录入（明细）'!C:C&gt;=$J$4,'领用录入（明细）'!C:C&lt;=$L$4),ROW(),"-")</f>
        <v>-</v>
      </c>
    </row>
    <row r="2631" customHeight="1" spans="2:2">
      <c r="B2631" s="62" t="str">
        <f>IF(AND('领用录入（明细）'!D:D=$F$4,'领用录入（明细）'!C:C&gt;=$J$4,'领用录入（明细）'!C:C&lt;=$L$4),ROW(),"-")</f>
        <v>-</v>
      </c>
    </row>
    <row r="2632" customHeight="1" spans="2:2">
      <c r="B2632" s="62" t="str">
        <f>IF(AND('领用录入（明细）'!D:D=$F$4,'领用录入（明细）'!C:C&gt;=$J$4,'领用录入（明细）'!C:C&lt;=$L$4),ROW(),"-")</f>
        <v>-</v>
      </c>
    </row>
    <row r="2633" customHeight="1" spans="2:2">
      <c r="B2633" s="62" t="str">
        <f>IF(AND('领用录入（明细）'!D:D=$F$4,'领用录入（明细）'!C:C&gt;=$J$4,'领用录入（明细）'!C:C&lt;=$L$4),ROW(),"-")</f>
        <v>-</v>
      </c>
    </row>
    <row r="2634" customHeight="1" spans="2:2">
      <c r="B2634" s="62" t="str">
        <f>IF(AND('领用录入（明细）'!D:D=$F$4,'领用录入（明细）'!C:C&gt;=$J$4,'领用录入（明细）'!C:C&lt;=$L$4),ROW(),"-")</f>
        <v>-</v>
      </c>
    </row>
    <row r="2635" customHeight="1" spans="2:2">
      <c r="B2635" s="62" t="str">
        <f>IF(AND('领用录入（明细）'!D:D=$F$4,'领用录入（明细）'!C:C&gt;=$J$4,'领用录入（明细）'!C:C&lt;=$L$4),ROW(),"-")</f>
        <v>-</v>
      </c>
    </row>
    <row r="2636" customHeight="1" spans="2:2">
      <c r="B2636" s="62" t="str">
        <f>IF(AND('领用录入（明细）'!D:D=$F$4,'领用录入（明细）'!C:C&gt;=$J$4,'领用录入（明细）'!C:C&lt;=$L$4),ROW(),"-")</f>
        <v>-</v>
      </c>
    </row>
    <row r="2637" customHeight="1" spans="2:2">
      <c r="B2637" s="62" t="str">
        <f>IF(AND('领用录入（明细）'!D:D=$F$4,'领用录入（明细）'!C:C&gt;=$J$4,'领用录入（明细）'!C:C&lt;=$L$4),ROW(),"-")</f>
        <v>-</v>
      </c>
    </row>
    <row r="2638" customHeight="1" spans="2:2">
      <c r="B2638" s="62" t="str">
        <f>IF(AND('领用录入（明细）'!D:D=$F$4,'领用录入（明细）'!C:C&gt;=$J$4,'领用录入（明细）'!C:C&lt;=$L$4),ROW(),"-")</f>
        <v>-</v>
      </c>
    </row>
    <row r="2639" customHeight="1" spans="2:2">
      <c r="B2639" s="62" t="str">
        <f>IF(AND('领用录入（明细）'!D:D=$F$4,'领用录入（明细）'!C:C&gt;=$J$4,'领用录入（明细）'!C:C&lt;=$L$4),ROW(),"-")</f>
        <v>-</v>
      </c>
    </row>
    <row r="2640" customHeight="1" spans="2:2">
      <c r="B2640" s="62" t="str">
        <f>IF(AND('领用录入（明细）'!D:D=$F$4,'领用录入（明细）'!C:C&gt;=$J$4,'领用录入（明细）'!C:C&lt;=$L$4),ROW(),"-")</f>
        <v>-</v>
      </c>
    </row>
    <row r="2641" customHeight="1" spans="2:2">
      <c r="B2641" s="62" t="str">
        <f>IF(AND('领用录入（明细）'!D:D=$F$4,'领用录入（明细）'!C:C&gt;=$J$4,'领用录入（明细）'!C:C&lt;=$L$4),ROW(),"-")</f>
        <v>-</v>
      </c>
    </row>
    <row r="2642" customHeight="1" spans="2:2">
      <c r="B2642" s="62" t="str">
        <f>IF(AND('领用录入（明细）'!D:D=$F$4,'领用录入（明细）'!C:C&gt;=$J$4,'领用录入（明细）'!C:C&lt;=$L$4),ROW(),"-")</f>
        <v>-</v>
      </c>
    </row>
    <row r="2643" customHeight="1" spans="2:2">
      <c r="B2643" s="62" t="str">
        <f>IF(AND('领用录入（明细）'!D:D=$F$4,'领用录入（明细）'!C:C&gt;=$J$4,'领用录入（明细）'!C:C&lt;=$L$4),ROW(),"-")</f>
        <v>-</v>
      </c>
    </row>
    <row r="2644" customHeight="1" spans="2:2">
      <c r="B2644" s="62" t="str">
        <f>IF(AND('领用录入（明细）'!D:D=$F$4,'领用录入（明细）'!C:C&gt;=$J$4,'领用录入（明细）'!C:C&lt;=$L$4),ROW(),"-")</f>
        <v>-</v>
      </c>
    </row>
    <row r="2645" customHeight="1" spans="2:2">
      <c r="B2645" s="62" t="str">
        <f>IF(AND('领用录入（明细）'!D:D=$F$4,'领用录入（明细）'!C:C&gt;=$J$4,'领用录入（明细）'!C:C&lt;=$L$4),ROW(),"-")</f>
        <v>-</v>
      </c>
    </row>
    <row r="2646" customHeight="1" spans="2:2">
      <c r="B2646" s="62" t="str">
        <f>IF(AND('领用录入（明细）'!D:D=$F$4,'领用录入（明细）'!C:C&gt;=$J$4,'领用录入（明细）'!C:C&lt;=$L$4),ROW(),"-")</f>
        <v>-</v>
      </c>
    </row>
    <row r="2647" customHeight="1" spans="2:2">
      <c r="B2647" s="62" t="str">
        <f>IF(AND('领用录入（明细）'!D:D=$F$4,'领用录入（明细）'!C:C&gt;=$J$4,'领用录入（明细）'!C:C&lt;=$L$4),ROW(),"-")</f>
        <v>-</v>
      </c>
    </row>
    <row r="2648" customHeight="1" spans="2:2">
      <c r="B2648" s="62" t="str">
        <f>IF(AND('领用录入（明细）'!D:D=$F$4,'领用录入（明细）'!C:C&gt;=$J$4,'领用录入（明细）'!C:C&lt;=$L$4),ROW(),"-")</f>
        <v>-</v>
      </c>
    </row>
    <row r="2649" customHeight="1" spans="2:2">
      <c r="B2649" s="62" t="str">
        <f>IF(AND('领用录入（明细）'!D:D=$F$4,'领用录入（明细）'!C:C&gt;=$J$4,'领用录入（明细）'!C:C&lt;=$L$4),ROW(),"-")</f>
        <v>-</v>
      </c>
    </row>
    <row r="2650" customHeight="1" spans="2:2">
      <c r="B2650" s="62" t="str">
        <f>IF(AND('领用录入（明细）'!D:D=$F$4,'领用录入（明细）'!C:C&gt;=$J$4,'领用录入（明细）'!C:C&lt;=$L$4),ROW(),"-")</f>
        <v>-</v>
      </c>
    </row>
    <row r="2651" customHeight="1" spans="2:2">
      <c r="B2651" s="62" t="str">
        <f>IF(AND('领用录入（明细）'!D:D=$F$4,'领用录入（明细）'!C:C&gt;=$J$4,'领用录入（明细）'!C:C&lt;=$L$4),ROW(),"-")</f>
        <v>-</v>
      </c>
    </row>
    <row r="2652" customHeight="1" spans="2:2">
      <c r="B2652" s="62" t="str">
        <f>IF(AND('领用录入（明细）'!D:D=$F$4,'领用录入（明细）'!C:C&gt;=$J$4,'领用录入（明细）'!C:C&lt;=$L$4),ROW(),"-")</f>
        <v>-</v>
      </c>
    </row>
    <row r="2653" customHeight="1" spans="2:2">
      <c r="B2653" s="62" t="str">
        <f>IF(AND('领用录入（明细）'!D:D=$F$4,'领用录入（明细）'!C:C&gt;=$J$4,'领用录入（明细）'!C:C&lt;=$L$4),ROW(),"-")</f>
        <v>-</v>
      </c>
    </row>
    <row r="2654" customHeight="1" spans="2:2">
      <c r="B2654" s="62" t="str">
        <f>IF(AND('领用录入（明细）'!D:D=$F$4,'领用录入（明细）'!C:C&gt;=$J$4,'领用录入（明细）'!C:C&lt;=$L$4),ROW(),"-")</f>
        <v>-</v>
      </c>
    </row>
    <row r="2655" customHeight="1" spans="2:2">
      <c r="B2655" s="62" t="str">
        <f>IF(AND('领用录入（明细）'!D:D=$F$4,'领用录入（明细）'!C:C&gt;=$J$4,'领用录入（明细）'!C:C&lt;=$L$4),ROW(),"-")</f>
        <v>-</v>
      </c>
    </row>
    <row r="2656" customHeight="1" spans="2:2">
      <c r="B2656" s="62" t="str">
        <f>IF(AND('领用录入（明细）'!D:D=$F$4,'领用录入（明细）'!C:C&gt;=$J$4,'领用录入（明细）'!C:C&lt;=$L$4),ROW(),"-")</f>
        <v>-</v>
      </c>
    </row>
    <row r="2657" customHeight="1" spans="2:2">
      <c r="B2657" s="62" t="str">
        <f>IF(AND('领用录入（明细）'!D:D=$F$4,'领用录入（明细）'!C:C&gt;=$J$4,'领用录入（明细）'!C:C&lt;=$L$4),ROW(),"-")</f>
        <v>-</v>
      </c>
    </row>
    <row r="2658" customHeight="1" spans="2:2">
      <c r="B2658" s="62" t="str">
        <f>IF(AND('领用录入（明细）'!D:D=$F$4,'领用录入（明细）'!C:C&gt;=$J$4,'领用录入（明细）'!C:C&lt;=$L$4),ROW(),"-")</f>
        <v>-</v>
      </c>
    </row>
    <row r="2659" customHeight="1" spans="2:2">
      <c r="B2659" s="62" t="str">
        <f>IF(AND('领用录入（明细）'!D:D=$F$4,'领用录入（明细）'!C:C&gt;=$J$4,'领用录入（明细）'!C:C&lt;=$L$4),ROW(),"-")</f>
        <v>-</v>
      </c>
    </row>
    <row r="2660" customHeight="1" spans="2:2">
      <c r="B2660" s="62" t="str">
        <f>IF(AND('领用录入（明细）'!D:D=$F$4,'领用录入（明细）'!C:C&gt;=$J$4,'领用录入（明细）'!C:C&lt;=$L$4),ROW(),"-")</f>
        <v>-</v>
      </c>
    </row>
    <row r="2661" customHeight="1" spans="2:2">
      <c r="B2661" s="62" t="str">
        <f>IF(AND('领用录入（明细）'!D:D=$F$4,'领用录入（明细）'!C:C&gt;=$J$4,'领用录入（明细）'!C:C&lt;=$L$4),ROW(),"-")</f>
        <v>-</v>
      </c>
    </row>
    <row r="2662" customHeight="1" spans="2:2">
      <c r="B2662" s="62" t="str">
        <f>IF(AND('领用录入（明细）'!D:D=$F$4,'领用录入（明细）'!C:C&gt;=$J$4,'领用录入（明细）'!C:C&lt;=$L$4),ROW(),"-")</f>
        <v>-</v>
      </c>
    </row>
    <row r="2663" customHeight="1" spans="2:2">
      <c r="B2663" s="62" t="str">
        <f>IF(AND('领用录入（明细）'!D:D=$F$4,'领用录入（明细）'!C:C&gt;=$J$4,'领用录入（明细）'!C:C&lt;=$L$4),ROW(),"-")</f>
        <v>-</v>
      </c>
    </row>
    <row r="2664" customHeight="1" spans="2:2">
      <c r="B2664" s="62" t="str">
        <f>IF(AND('领用录入（明细）'!D:D=$F$4,'领用录入（明细）'!C:C&gt;=$J$4,'领用录入（明细）'!C:C&lt;=$L$4),ROW(),"-")</f>
        <v>-</v>
      </c>
    </row>
    <row r="2665" customHeight="1" spans="2:2">
      <c r="B2665" s="62" t="str">
        <f>IF(AND('领用录入（明细）'!D:D=$F$4,'领用录入（明细）'!C:C&gt;=$J$4,'领用录入（明细）'!C:C&lt;=$L$4),ROW(),"-")</f>
        <v>-</v>
      </c>
    </row>
    <row r="2666" customHeight="1" spans="2:2">
      <c r="B2666" s="62" t="str">
        <f>IF(AND('领用录入（明细）'!D:D=$F$4,'领用录入（明细）'!C:C&gt;=$J$4,'领用录入（明细）'!C:C&lt;=$L$4),ROW(),"-")</f>
        <v>-</v>
      </c>
    </row>
    <row r="2667" customHeight="1" spans="2:2">
      <c r="B2667" s="62" t="str">
        <f>IF(AND('领用录入（明细）'!D:D=$F$4,'领用录入（明细）'!C:C&gt;=$J$4,'领用录入（明细）'!C:C&lt;=$L$4),ROW(),"-")</f>
        <v>-</v>
      </c>
    </row>
    <row r="2668" customHeight="1" spans="2:2">
      <c r="B2668" s="62" t="str">
        <f>IF(AND('领用录入（明细）'!D:D=$F$4,'领用录入（明细）'!C:C&gt;=$J$4,'领用录入（明细）'!C:C&lt;=$L$4),ROW(),"-")</f>
        <v>-</v>
      </c>
    </row>
    <row r="2669" customHeight="1" spans="2:2">
      <c r="B2669" s="62" t="str">
        <f>IF(AND('领用录入（明细）'!D:D=$F$4,'领用录入（明细）'!C:C&gt;=$J$4,'领用录入（明细）'!C:C&lt;=$L$4),ROW(),"-")</f>
        <v>-</v>
      </c>
    </row>
    <row r="2670" customHeight="1" spans="2:2">
      <c r="B2670" s="62" t="str">
        <f>IF(AND('领用录入（明细）'!D:D=$F$4,'领用录入（明细）'!C:C&gt;=$J$4,'领用录入（明细）'!C:C&lt;=$L$4),ROW(),"-")</f>
        <v>-</v>
      </c>
    </row>
    <row r="2671" customHeight="1" spans="2:2">
      <c r="B2671" s="62" t="str">
        <f>IF(AND('领用录入（明细）'!D:D=$F$4,'领用录入（明细）'!C:C&gt;=$J$4,'领用录入（明细）'!C:C&lt;=$L$4),ROW(),"-")</f>
        <v>-</v>
      </c>
    </row>
    <row r="2672" customHeight="1" spans="2:2">
      <c r="B2672" s="62" t="str">
        <f>IF(AND('领用录入（明细）'!D:D=$F$4,'领用录入（明细）'!C:C&gt;=$J$4,'领用录入（明细）'!C:C&lt;=$L$4),ROW(),"-")</f>
        <v>-</v>
      </c>
    </row>
    <row r="2673" customHeight="1" spans="2:2">
      <c r="B2673" s="62" t="str">
        <f>IF(AND('领用录入（明细）'!D:D=$F$4,'领用录入（明细）'!C:C&gt;=$J$4,'领用录入（明细）'!C:C&lt;=$L$4),ROW(),"-")</f>
        <v>-</v>
      </c>
    </row>
    <row r="2674" customHeight="1" spans="2:2">
      <c r="B2674" s="62" t="str">
        <f>IF(AND('领用录入（明细）'!D:D=$F$4,'领用录入（明细）'!C:C&gt;=$J$4,'领用录入（明细）'!C:C&lt;=$L$4),ROW(),"-")</f>
        <v>-</v>
      </c>
    </row>
    <row r="2675" customHeight="1" spans="2:2">
      <c r="B2675" s="62" t="str">
        <f>IF(AND('领用录入（明细）'!D:D=$F$4,'领用录入（明细）'!C:C&gt;=$J$4,'领用录入（明细）'!C:C&lt;=$L$4),ROW(),"-")</f>
        <v>-</v>
      </c>
    </row>
    <row r="2676" customHeight="1" spans="2:2">
      <c r="B2676" s="62" t="str">
        <f>IF(AND('领用录入（明细）'!D:D=$F$4,'领用录入（明细）'!C:C&gt;=$J$4,'领用录入（明细）'!C:C&lt;=$L$4),ROW(),"-")</f>
        <v>-</v>
      </c>
    </row>
    <row r="2677" customHeight="1" spans="2:2">
      <c r="B2677" s="62" t="str">
        <f>IF(AND('领用录入（明细）'!D:D=$F$4,'领用录入（明细）'!C:C&gt;=$J$4,'领用录入（明细）'!C:C&lt;=$L$4),ROW(),"-")</f>
        <v>-</v>
      </c>
    </row>
    <row r="2678" customHeight="1" spans="2:2">
      <c r="B2678" s="62" t="str">
        <f>IF(AND('领用录入（明细）'!D:D=$F$4,'领用录入（明细）'!C:C&gt;=$J$4,'领用录入（明细）'!C:C&lt;=$L$4),ROW(),"-")</f>
        <v>-</v>
      </c>
    </row>
    <row r="2679" customHeight="1" spans="2:2">
      <c r="B2679" s="62" t="str">
        <f>IF(AND('领用录入（明细）'!D:D=$F$4,'领用录入（明细）'!C:C&gt;=$J$4,'领用录入（明细）'!C:C&lt;=$L$4),ROW(),"-")</f>
        <v>-</v>
      </c>
    </row>
    <row r="2680" customHeight="1" spans="2:2">
      <c r="B2680" s="62" t="str">
        <f>IF(AND('领用录入（明细）'!D:D=$F$4,'领用录入（明细）'!C:C&gt;=$J$4,'领用录入（明细）'!C:C&lt;=$L$4),ROW(),"-")</f>
        <v>-</v>
      </c>
    </row>
    <row r="2681" customHeight="1" spans="2:2">
      <c r="B2681" s="62" t="str">
        <f>IF(AND('领用录入（明细）'!D:D=$F$4,'领用录入（明细）'!C:C&gt;=$J$4,'领用录入（明细）'!C:C&lt;=$L$4),ROW(),"-")</f>
        <v>-</v>
      </c>
    </row>
    <row r="2682" customHeight="1" spans="2:2">
      <c r="B2682" s="62" t="str">
        <f>IF(AND('领用录入（明细）'!D:D=$F$4,'领用录入（明细）'!C:C&gt;=$J$4,'领用录入（明细）'!C:C&lt;=$L$4),ROW(),"-")</f>
        <v>-</v>
      </c>
    </row>
    <row r="2683" customHeight="1" spans="2:2">
      <c r="B2683" s="62" t="str">
        <f>IF(AND('领用录入（明细）'!D:D=$F$4,'领用录入（明细）'!C:C&gt;=$J$4,'领用录入（明细）'!C:C&lt;=$L$4),ROW(),"-")</f>
        <v>-</v>
      </c>
    </row>
    <row r="2684" customHeight="1" spans="2:2">
      <c r="B2684" s="62" t="str">
        <f>IF(AND('领用录入（明细）'!D:D=$F$4,'领用录入（明细）'!C:C&gt;=$J$4,'领用录入（明细）'!C:C&lt;=$L$4),ROW(),"-")</f>
        <v>-</v>
      </c>
    </row>
    <row r="2685" customHeight="1" spans="2:2">
      <c r="B2685" s="62" t="str">
        <f>IF(AND('领用录入（明细）'!D:D=$F$4,'领用录入（明细）'!C:C&gt;=$J$4,'领用录入（明细）'!C:C&lt;=$L$4),ROW(),"-")</f>
        <v>-</v>
      </c>
    </row>
    <row r="2686" customHeight="1" spans="2:2">
      <c r="B2686" s="62" t="str">
        <f>IF(AND('领用录入（明细）'!D:D=$F$4,'领用录入（明细）'!C:C&gt;=$J$4,'领用录入（明细）'!C:C&lt;=$L$4),ROW(),"-")</f>
        <v>-</v>
      </c>
    </row>
    <row r="2687" customHeight="1" spans="2:2">
      <c r="B2687" s="62" t="str">
        <f>IF(AND('领用录入（明细）'!D:D=$F$4,'领用录入（明细）'!C:C&gt;=$J$4,'领用录入（明细）'!C:C&lt;=$L$4),ROW(),"-")</f>
        <v>-</v>
      </c>
    </row>
    <row r="2688" customHeight="1" spans="2:2">
      <c r="B2688" s="62" t="str">
        <f>IF(AND('领用录入（明细）'!D:D=$F$4,'领用录入（明细）'!C:C&gt;=$J$4,'领用录入（明细）'!C:C&lt;=$L$4),ROW(),"-")</f>
        <v>-</v>
      </c>
    </row>
    <row r="2689" customHeight="1" spans="2:2">
      <c r="B2689" s="62" t="str">
        <f>IF(AND('领用录入（明细）'!D:D=$F$4,'领用录入（明细）'!C:C&gt;=$J$4,'领用录入（明细）'!C:C&lt;=$L$4),ROW(),"-")</f>
        <v>-</v>
      </c>
    </row>
    <row r="2690" customHeight="1" spans="2:2">
      <c r="B2690" s="62" t="str">
        <f>IF(AND('领用录入（明细）'!D:D=$F$4,'领用录入（明细）'!C:C&gt;=$J$4,'领用录入（明细）'!C:C&lt;=$L$4),ROW(),"-")</f>
        <v>-</v>
      </c>
    </row>
    <row r="2691" customHeight="1" spans="2:2">
      <c r="B2691" s="62" t="str">
        <f>IF(AND('领用录入（明细）'!D:D=$F$4,'领用录入（明细）'!C:C&gt;=$J$4,'领用录入（明细）'!C:C&lt;=$L$4),ROW(),"-")</f>
        <v>-</v>
      </c>
    </row>
    <row r="2692" customHeight="1" spans="2:2">
      <c r="B2692" s="62" t="str">
        <f>IF(AND('领用录入（明细）'!D:D=$F$4,'领用录入（明细）'!C:C&gt;=$J$4,'领用录入（明细）'!C:C&lt;=$L$4),ROW(),"-")</f>
        <v>-</v>
      </c>
    </row>
    <row r="2693" customHeight="1" spans="2:2">
      <c r="B2693" s="62" t="str">
        <f>IF(AND('领用录入（明细）'!D:D=$F$4,'领用录入（明细）'!C:C&gt;=$J$4,'领用录入（明细）'!C:C&lt;=$L$4),ROW(),"-")</f>
        <v>-</v>
      </c>
    </row>
    <row r="2694" customHeight="1" spans="2:2">
      <c r="B2694" s="62" t="str">
        <f>IF(AND('领用录入（明细）'!D:D=$F$4,'领用录入（明细）'!C:C&gt;=$J$4,'领用录入（明细）'!C:C&lt;=$L$4),ROW(),"-")</f>
        <v>-</v>
      </c>
    </row>
    <row r="2695" customHeight="1" spans="2:2">
      <c r="B2695" s="62" t="str">
        <f>IF(AND('领用录入（明细）'!D:D=$F$4,'领用录入（明细）'!C:C&gt;=$J$4,'领用录入（明细）'!C:C&lt;=$L$4),ROW(),"-")</f>
        <v>-</v>
      </c>
    </row>
    <row r="2696" customHeight="1" spans="2:2">
      <c r="B2696" s="62" t="str">
        <f>IF(AND('领用录入（明细）'!D:D=$F$4,'领用录入（明细）'!C:C&gt;=$J$4,'领用录入（明细）'!C:C&lt;=$L$4),ROW(),"-")</f>
        <v>-</v>
      </c>
    </row>
    <row r="2697" customHeight="1" spans="2:2">
      <c r="B2697" s="62" t="str">
        <f>IF(AND('领用录入（明细）'!D:D=$F$4,'领用录入（明细）'!C:C&gt;=$J$4,'领用录入（明细）'!C:C&lt;=$L$4),ROW(),"-")</f>
        <v>-</v>
      </c>
    </row>
    <row r="2698" customHeight="1" spans="2:2">
      <c r="B2698" s="62" t="str">
        <f>IF(AND('领用录入（明细）'!D:D=$F$4,'领用录入（明细）'!C:C&gt;=$J$4,'领用录入（明细）'!C:C&lt;=$L$4),ROW(),"-")</f>
        <v>-</v>
      </c>
    </row>
    <row r="2699" customHeight="1" spans="2:2">
      <c r="B2699" s="62" t="str">
        <f>IF(AND('领用录入（明细）'!D:D=$F$4,'领用录入（明细）'!C:C&gt;=$J$4,'领用录入（明细）'!C:C&lt;=$L$4),ROW(),"-")</f>
        <v>-</v>
      </c>
    </row>
    <row r="2700" customHeight="1" spans="2:2">
      <c r="B2700" s="62" t="str">
        <f>IF(AND('领用录入（明细）'!D:D=$F$4,'领用录入（明细）'!C:C&gt;=$J$4,'领用录入（明细）'!C:C&lt;=$L$4),ROW(),"-")</f>
        <v>-</v>
      </c>
    </row>
    <row r="2701" customHeight="1" spans="2:2">
      <c r="B2701" s="62" t="str">
        <f>IF(AND('领用录入（明细）'!D:D=$F$4,'领用录入（明细）'!C:C&gt;=$J$4,'领用录入（明细）'!C:C&lt;=$L$4),ROW(),"-")</f>
        <v>-</v>
      </c>
    </row>
    <row r="2702" customHeight="1" spans="2:2">
      <c r="B2702" s="62" t="str">
        <f>IF(AND('领用录入（明细）'!D:D=$F$4,'领用录入（明细）'!C:C&gt;=$J$4,'领用录入（明细）'!C:C&lt;=$L$4),ROW(),"-")</f>
        <v>-</v>
      </c>
    </row>
    <row r="2703" customHeight="1" spans="2:2">
      <c r="B2703" s="62" t="str">
        <f>IF(AND('领用录入（明细）'!D:D=$F$4,'领用录入（明细）'!C:C&gt;=$J$4,'领用录入（明细）'!C:C&lt;=$L$4),ROW(),"-")</f>
        <v>-</v>
      </c>
    </row>
    <row r="2704" customHeight="1" spans="2:2">
      <c r="B2704" s="62" t="str">
        <f>IF(AND('领用录入（明细）'!D:D=$F$4,'领用录入（明细）'!C:C&gt;=$J$4,'领用录入（明细）'!C:C&lt;=$L$4),ROW(),"-")</f>
        <v>-</v>
      </c>
    </row>
    <row r="2705" customHeight="1" spans="2:2">
      <c r="B2705" s="62" t="str">
        <f>IF(AND('领用录入（明细）'!D:D=$F$4,'领用录入（明细）'!C:C&gt;=$J$4,'领用录入（明细）'!C:C&lt;=$L$4),ROW(),"-")</f>
        <v>-</v>
      </c>
    </row>
    <row r="2706" customHeight="1" spans="2:2">
      <c r="B2706" s="62" t="str">
        <f>IF(AND('领用录入（明细）'!D:D=$F$4,'领用录入（明细）'!C:C&gt;=$J$4,'领用录入（明细）'!C:C&lt;=$L$4),ROW(),"-")</f>
        <v>-</v>
      </c>
    </row>
    <row r="2707" customHeight="1" spans="2:2">
      <c r="B2707" s="62" t="str">
        <f>IF(AND('领用录入（明细）'!D:D=$F$4,'领用录入（明细）'!C:C&gt;=$J$4,'领用录入（明细）'!C:C&lt;=$L$4),ROW(),"-")</f>
        <v>-</v>
      </c>
    </row>
    <row r="2708" customHeight="1" spans="2:2">
      <c r="B2708" s="62" t="str">
        <f>IF(AND('领用录入（明细）'!D:D=$F$4,'领用录入（明细）'!C:C&gt;=$J$4,'领用录入（明细）'!C:C&lt;=$L$4),ROW(),"-")</f>
        <v>-</v>
      </c>
    </row>
    <row r="2709" customHeight="1" spans="2:2">
      <c r="B2709" s="62" t="str">
        <f>IF(AND('领用录入（明细）'!D:D=$F$4,'领用录入（明细）'!C:C&gt;=$J$4,'领用录入（明细）'!C:C&lt;=$L$4),ROW(),"-")</f>
        <v>-</v>
      </c>
    </row>
    <row r="2710" customHeight="1" spans="2:2">
      <c r="B2710" s="62" t="str">
        <f>IF(AND('领用录入（明细）'!D:D=$F$4,'领用录入（明细）'!C:C&gt;=$J$4,'领用录入（明细）'!C:C&lt;=$L$4),ROW(),"-")</f>
        <v>-</v>
      </c>
    </row>
    <row r="2711" customHeight="1" spans="2:2">
      <c r="B2711" s="62" t="str">
        <f>IF(AND('领用录入（明细）'!D:D=$F$4,'领用录入（明细）'!C:C&gt;=$J$4,'领用录入（明细）'!C:C&lt;=$L$4),ROW(),"-")</f>
        <v>-</v>
      </c>
    </row>
    <row r="2712" customHeight="1" spans="2:2">
      <c r="B2712" s="62" t="str">
        <f>IF(AND('领用录入（明细）'!D:D=$F$4,'领用录入（明细）'!C:C&gt;=$J$4,'领用录入（明细）'!C:C&lt;=$L$4),ROW(),"-")</f>
        <v>-</v>
      </c>
    </row>
    <row r="2713" customHeight="1" spans="2:2">
      <c r="B2713" s="62" t="str">
        <f>IF(AND('领用录入（明细）'!D:D=$F$4,'领用录入（明细）'!C:C&gt;=$J$4,'领用录入（明细）'!C:C&lt;=$L$4),ROW(),"-")</f>
        <v>-</v>
      </c>
    </row>
    <row r="2714" customHeight="1" spans="2:2">
      <c r="B2714" s="62" t="str">
        <f>IF(AND('领用录入（明细）'!D:D=$F$4,'领用录入（明细）'!C:C&gt;=$J$4,'领用录入（明细）'!C:C&lt;=$L$4),ROW(),"-")</f>
        <v>-</v>
      </c>
    </row>
    <row r="2715" customHeight="1" spans="2:2">
      <c r="B2715" s="62" t="str">
        <f>IF(AND('领用录入（明细）'!D:D=$F$4,'领用录入（明细）'!C:C&gt;=$J$4,'领用录入（明细）'!C:C&lt;=$L$4),ROW(),"-")</f>
        <v>-</v>
      </c>
    </row>
    <row r="2716" customHeight="1" spans="2:2">
      <c r="B2716" s="62" t="str">
        <f>IF(AND('领用录入（明细）'!D:D=$F$4,'领用录入（明细）'!C:C&gt;=$J$4,'领用录入（明细）'!C:C&lt;=$L$4),ROW(),"-")</f>
        <v>-</v>
      </c>
    </row>
    <row r="2717" customHeight="1" spans="2:2">
      <c r="B2717" s="62" t="str">
        <f>IF(AND('领用录入（明细）'!D:D=$F$4,'领用录入（明细）'!C:C&gt;=$J$4,'领用录入（明细）'!C:C&lt;=$L$4),ROW(),"-")</f>
        <v>-</v>
      </c>
    </row>
    <row r="2718" customHeight="1" spans="2:2">
      <c r="B2718" s="62" t="str">
        <f>IF(AND('领用录入（明细）'!D:D=$F$4,'领用录入（明细）'!C:C&gt;=$J$4,'领用录入（明细）'!C:C&lt;=$L$4),ROW(),"-")</f>
        <v>-</v>
      </c>
    </row>
    <row r="2719" customHeight="1" spans="2:2">
      <c r="B2719" s="62" t="str">
        <f>IF(AND('领用录入（明细）'!D:D=$F$4,'领用录入（明细）'!C:C&gt;=$J$4,'领用录入（明细）'!C:C&lt;=$L$4),ROW(),"-")</f>
        <v>-</v>
      </c>
    </row>
    <row r="2720" customHeight="1" spans="2:2">
      <c r="B2720" s="62" t="str">
        <f>IF(AND('领用录入（明细）'!D:D=$F$4,'领用录入（明细）'!C:C&gt;=$J$4,'领用录入（明细）'!C:C&lt;=$L$4),ROW(),"-")</f>
        <v>-</v>
      </c>
    </row>
    <row r="2721" customHeight="1" spans="2:2">
      <c r="B2721" s="62" t="str">
        <f>IF(AND('领用录入（明细）'!D:D=$F$4,'领用录入（明细）'!C:C&gt;=$J$4,'领用录入（明细）'!C:C&lt;=$L$4),ROW(),"-")</f>
        <v>-</v>
      </c>
    </row>
    <row r="2722" customHeight="1" spans="2:2">
      <c r="B2722" s="62" t="str">
        <f>IF(AND('领用录入（明细）'!D:D=$F$4,'领用录入（明细）'!C:C&gt;=$J$4,'领用录入（明细）'!C:C&lt;=$L$4),ROW(),"-")</f>
        <v>-</v>
      </c>
    </row>
    <row r="2723" customHeight="1" spans="2:2">
      <c r="B2723" s="62" t="str">
        <f>IF(AND('领用录入（明细）'!D:D=$F$4,'领用录入（明细）'!C:C&gt;=$J$4,'领用录入（明细）'!C:C&lt;=$L$4),ROW(),"-")</f>
        <v>-</v>
      </c>
    </row>
    <row r="2724" customHeight="1" spans="2:2">
      <c r="B2724" s="62" t="str">
        <f>IF(AND('领用录入（明细）'!D:D=$F$4,'领用录入（明细）'!C:C&gt;=$J$4,'领用录入（明细）'!C:C&lt;=$L$4),ROW(),"-")</f>
        <v>-</v>
      </c>
    </row>
    <row r="2725" customHeight="1" spans="2:2">
      <c r="B2725" s="62" t="str">
        <f>IF(AND('领用录入（明细）'!D:D=$F$4,'领用录入（明细）'!C:C&gt;=$J$4,'领用录入（明细）'!C:C&lt;=$L$4),ROW(),"-")</f>
        <v>-</v>
      </c>
    </row>
    <row r="2726" customHeight="1" spans="2:2">
      <c r="B2726" s="62" t="str">
        <f>IF(AND('领用录入（明细）'!D:D=$F$4,'领用录入（明细）'!C:C&gt;=$J$4,'领用录入（明细）'!C:C&lt;=$L$4),ROW(),"-")</f>
        <v>-</v>
      </c>
    </row>
    <row r="2727" customHeight="1" spans="2:2">
      <c r="B2727" s="62" t="str">
        <f>IF(AND('领用录入（明细）'!D:D=$F$4,'领用录入（明细）'!C:C&gt;=$J$4,'领用录入（明细）'!C:C&lt;=$L$4),ROW(),"-")</f>
        <v>-</v>
      </c>
    </row>
    <row r="2728" customHeight="1" spans="2:2">
      <c r="B2728" s="62" t="str">
        <f>IF(AND('领用录入（明细）'!D:D=$F$4,'领用录入（明细）'!C:C&gt;=$J$4,'领用录入（明细）'!C:C&lt;=$L$4),ROW(),"-")</f>
        <v>-</v>
      </c>
    </row>
    <row r="2729" customHeight="1" spans="2:2">
      <c r="B2729" s="62" t="str">
        <f>IF(AND('领用录入（明细）'!D:D=$F$4,'领用录入（明细）'!C:C&gt;=$J$4,'领用录入（明细）'!C:C&lt;=$L$4),ROW(),"-")</f>
        <v>-</v>
      </c>
    </row>
    <row r="2730" customHeight="1" spans="2:2">
      <c r="B2730" s="62" t="str">
        <f>IF(AND('领用录入（明细）'!D:D=$F$4,'领用录入（明细）'!C:C&gt;=$J$4,'领用录入（明细）'!C:C&lt;=$L$4),ROW(),"-")</f>
        <v>-</v>
      </c>
    </row>
    <row r="2731" customHeight="1" spans="2:2">
      <c r="B2731" s="62" t="str">
        <f>IF(AND('领用录入（明细）'!D:D=$F$4,'领用录入（明细）'!C:C&gt;=$J$4,'领用录入（明细）'!C:C&lt;=$L$4),ROW(),"-")</f>
        <v>-</v>
      </c>
    </row>
    <row r="2732" customHeight="1" spans="2:2">
      <c r="B2732" s="62" t="str">
        <f>IF(AND('领用录入（明细）'!D:D=$F$4,'领用录入（明细）'!C:C&gt;=$J$4,'领用录入（明细）'!C:C&lt;=$L$4),ROW(),"-")</f>
        <v>-</v>
      </c>
    </row>
    <row r="2733" customHeight="1" spans="2:2">
      <c r="B2733" s="62" t="str">
        <f>IF(AND('领用录入（明细）'!D:D=$F$4,'领用录入（明细）'!C:C&gt;=$J$4,'领用录入（明细）'!C:C&lt;=$L$4),ROW(),"-")</f>
        <v>-</v>
      </c>
    </row>
    <row r="2734" customHeight="1" spans="2:2">
      <c r="B2734" s="62" t="str">
        <f>IF(AND('领用录入（明细）'!D:D=$F$4,'领用录入（明细）'!C:C&gt;=$J$4,'领用录入（明细）'!C:C&lt;=$L$4),ROW(),"-")</f>
        <v>-</v>
      </c>
    </row>
    <row r="2735" customHeight="1" spans="2:2">
      <c r="B2735" s="62" t="str">
        <f>IF(AND('领用录入（明细）'!D:D=$F$4,'领用录入（明细）'!C:C&gt;=$J$4,'领用录入（明细）'!C:C&lt;=$L$4),ROW(),"-")</f>
        <v>-</v>
      </c>
    </row>
    <row r="2736" customHeight="1" spans="2:2">
      <c r="B2736" s="62" t="str">
        <f>IF(AND('领用录入（明细）'!D:D=$F$4,'领用录入（明细）'!C:C&gt;=$J$4,'领用录入（明细）'!C:C&lt;=$L$4),ROW(),"-")</f>
        <v>-</v>
      </c>
    </row>
    <row r="2737" customHeight="1" spans="2:2">
      <c r="B2737" s="62" t="str">
        <f>IF(AND('领用录入（明细）'!D:D=$F$4,'领用录入（明细）'!C:C&gt;=$J$4,'领用录入（明细）'!C:C&lt;=$L$4),ROW(),"-")</f>
        <v>-</v>
      </c>
    </row>
    <row r="2738" customHeight="1" spans="2:2">
      <c r="B2738" s="62" t="str">
        <f>IF(AND('领用录入（明细）'!D:D=$F$4,'领用录入（明细）'!C:C&gt;=$J$4,'领用录入（明细）'!C:C&lt;=$L$4),ROW(),"-")</f>
        <v>-</v>
      </c>
    </row>
    <row r="2739" customHeight="1" spans="2:2">
      <c r="B2739" s="62" t="str">
        <f>IF(AND('领用录入（明细）'!D:D=$F$4,'领用录入（明细）'!C:C&gt;=$J$4,'领用录入（明细）'!C:C&lt;=$L$4),ROW(),"-")</f>
        <v>-</v>
      </c>
    </row>
    <row r="2740" customHeight="1" spans="2:2">
      <c r="B2740" s="62" t="str">
        <f>IF(AND('领用录入（明细）'!D:D=$F$4,'领用录入（明细）'!C:C&gt;=$J$4,'领用录入（明细）'!C:C&lt;=$L$4),ROW(),"-")</f>
        <v>-</v>
      </c>
    </row>
    <row r="2741" customHeight="1" spans="2:2">
      <c r="B2741" s="62" t="str">
        <f>IF(AND('领用录入（明细）'!D:D=$F$4,'领用录入（明细）'!C:C&gt;=$J$4,'领用录入（明细）'!C:C&lt;=$L$4),ROW(),"-")</f>
        <v>-</v>
      </c>
    </row>
    <row r="2742" customHeight="1" spans="2:2">
      <c r="B2742" s="62" t="str">
        <f>IF(AND('领用录入（明细）'!D:D=$F$4,'领用录入（明细）'!C:C&gt;=$J$4,'领用录入（明细）'!C:C&lt;=$L$4),ROW(),"-")</f>
        <v>-</v>
      </c>
    </row>
    <row r="2743" customHeight="1" spans="2:2">
      <c r="B2743" s="62" t="str">
        <f>IF(AND('领用录入（明细）'!D:D=$F$4,'领用录入（明细）'!C:C&gt;=$J$4,'领用录入（明细）'!C:C&lt;=$L$4),ROW(),"-")</f>
        <v>-</v>
      </c>
    </row>
    <row r="2744" customHeight="1" spans="2:2">
      <c r="B2744" s="62" t="str">
        <f>IF(AND('领用录入（明细）'!D:D=$F$4,'领用录入（明细）'!C:C&gt;=$J$4,'领用录入（明细）'!C:C&lt;=$L$4),ROW(),"-")</f>
        <v>-</v>
      </c>
    </row>
    <row r="2745" customHeight="1" spans="2:2">
      <c r="B2745" s="62" t="str">
        <f>IF(AND('领用录入（明细）'!D:D=$F$4,'领用录入（明细）'!C:C&gt;=$J$4,'领用录入（明细）'!C:C&lt;=$L$4),ROW(),"-")</f>
        <v>-</v>
      </c>
    </row>
    <row r="2746" customHeight="1" spans="2:2">
      <c r="B2746" s="62" t="str">
        <f>IF(AND('领用录入（明细）'!D:D=$F$4,'领用录入（明细）'!C:C&gt;=$J$4,'领用录入（明细）'!C:C&lt;=$L$4),ROW(),"-")</f>
        <v>-</v>
      </c>
    </row>
    <row r="2747" customHeight="1" spans="2:2">
      <c r="B2747" s="62" t="str">
        <f>IF(AND('领用录入（明细）'!D:D=$F$4,'领用录入（明细）'!C:C&gt;=$J$4,'领用录入（明细）'!C:C&lt;=$L$4),ROW(),"-")</f>
        <v>-</v>
      </c>
    </row>
    <row r="2748" customHeight="1" spans="2:2">
      <c r="B2748" s="62" t="str">
        <f>IF(AND('领用录入（明细）'!D:D=$F$4,'领用录入（明细）'!C:C&gt;=$J$4,'领用录入（明细）'!C:C&lt;=$L$4),ROW(),"-")</f>
        <v>-</v>
      </c>
    </row>
    <row r="2749" customHeight="1" spans="2:2">
      <c r="B2749" s="62" t="str">
        <f>IF(AND('领用录入（明细）'!D:D=$F$4,'领用录入（明细）'!C:C&gt;=$J$4,'领用录入（明细）'!C:C&lt;=$L$4),ROW(),"-")</f>
        <v>-</v>
      </c>
    </row>
    <row r="2750" customHeight="1" spans="2:2">
      <c r="B2750" s="62" t="str">
        <f>IF(AND('领用录入（明细）'!D:D=$F$4,'领用录入（明细）'!C:C&gt;=$J$4,'领用录入（明细）'!C:C&lt;=$L$4),ROW(),"-")</f>
        <v>-</v>
      </c>
    </row>
    <row r="2751" customHeight="1" spans="2:2">
      <c r="B2751" s="62" t="str">
        <f>IF(AND('领用录入（明细）'!D:D=$F$4,'领用录入（明细）'!C:C&gt;=$J$4,'领用录入（明细）'!C:C&lt;=$L$4),ROW(),"-")</f>
        <v>-</v>
      </c>
    </row>
    <row r="2752" customHeight="1" spans="2:2">
      <c r="B2752" s="62" t="str">
        <f>IF(AND('领用录入（明细）'!D:D=$F$4,'领用录入（明细）'!C:C&gt;=$J$4,'领用录入（明细）'!C:C&lt;=$L$4),ROW(),"-")</f>
        <v>-</v>
      </c>
    </row>
    <row r="2753" customHeight="1" spans="2:2">
      <c r="B2753" s="62" t="str">
        <f>IF(AND('领用录入（明细）'!D:D=$F$4,'领用录入（明细）'!C:C&gt;=$J$4,'领用录入（明细）'!C:C&lt;=$L$4),ROW(),"-")</f>
        <v>-</v>
      </c>
    </row>
    <row r="2754" customHeight="1" spans="2:2">
      <c r="B2754" s="62" t="str">
        <f>IF(AND('领用录入（明细）'!D:D=$F$4,'领用录入（明细）'!C:C&gt;=$J$4,'领用录入（明细）'!C:C&lt;=$L$4),ROW(),"-")</f>
        <v>-</v>
      </c>
    </row>
    <row r="2755" customHeight="1" spans="2:2">
      <c r="B2755" s="62" t="str">
        <f>IF(AND('领用录入（明细）'!D:D=$F$4,'领用录入（明细）'!C:C&gt;=$J$4,'领用录入（明细）'!C:C&lt;=$L$4),ROW(),"-")</f>
        <v>-</v>
      </c>
    </row>
    <row r="2756" customHeight="1" spans="2:2">
      <c r="B2756" s="62" t="str">
        <f>IF(AND('领用录入（明细）'!D:D=$F$4,'领用录入（明细）'!C:C&gt;=$J$4,'领用录入（明细）'!C:C&lt;=$L$4),ROW(),"-")</f>
        <v>-</v>
      </c>
    </row>
    <row r="2757" customHeight="1" spans="2:2">
      <c r="B2757" s="62" t="str">
        <f>IF(AND('领用录入（明细）'!D:D=$F$4,'领用录入（明细）'!C:C&gt;=$J$4,'领用录入（明细）'!C:C&lt;=$L$4),ROW(),"-")</f>
        <v>-</v>
      </c>
    </row>
    <row r="2758" customHeight="1" spans="2:2">
      <c r="B2758" s="62" t="str">
        <f>IF(AND('领用录入（明细）'!D:D=$F$4,'领用录入（明细）'!C:C&gt;=$J$4,'领用录入（明细）'!C:C&lt;=$L$4),ROW(),"-")</f>
        <v>-</v>
      </c>
    </row>
    <row r="2759" customHeight="1" spans="2:2">
      <c r="B2759" s="62" t="str">
        <f>IF(AND('领用录入（明细）'!D:D=$F$4,'领用录入（明细）'!C:C&gt;=$J$4,'领用录入（明细）'!C:C&lt;=$L$4),ROW(),"-")</f>
        <v>-</v>
      </c>
    </row>
    <row r="2760" customHeight="1" spans="2:2">
      <c r="B2760" s="62" t="str">
        <f>IF(AND('领用录入（明细）'!D:D=$F$4,'领用录入（明细）'!C:C&gt;=$J$4,'领用录入（明细）'!C:C&lt;=$L$4),ROW(),"-")</f>
        <v>-</v>
      </c>
    </row>
    <row r="2761" customHeight="1" spans="2:2">
      <c r="B2761" s="62" t="str">
        <f>IF(AND('领用录入（明细）'!D:D=$F$4,'领用录入（明细）'!C:C&gt;=$J$4,'领用录入（明细）'!C:C&lt;=$L$4),ROW(),"-")</f>
        <v>-</v>
      </c>
    </row>
    <row r="2762" customHeight="1" spans="2:2">
      <c r="B2762" s="62" t="str">
        <f>IF(AND('领用录入（明细）'!D:D=$F$4,'领用录入（明细）'!C:C&gt;=$J$4,'领用录入（明细）'!C:C&lt;=$L$4),ROW(),"-")</f>
        <v>-</v>
      </c>
    </row>
    <row r="2763" customHeight="1" spans="2:2">
      <c r="B2763" s="62" t="str">
        <f>IF(AND('领用录入（明细）'!D:D=$F$4,'领用录入（明细）'!C:C&gt;=$J$4,'领用录入（明细）'!C:C&lt;=$L$4),ROW(),"-")</f>
        <v>-</v>
      </c>
    </row>
    <row r="2764" customHeight="1" spans="2:2">
      <c r="B2764" s="62" t="str">
        <f>IF(AND('领用录入（明细）'!D:D=$F$4,'领用录入（明细）'!C:C&gt;=$J$4,'领用录入（明细）'!C:C&lt;=$L$4),ROW(),"-")</f>
        <v>-</v>
      </c>
    </row>
    <row r="2765" customHeight="1" spans="2:2">
      <c r="B2765" s="62" t="str">
        <f>IF(AND('领用录入（明细）'!D:D=$F$4,'领用录入（明细）'!C:C&gt;=$J$4,'领用录入（明细）'!C:C&lt;=$L$4),ROW(),"-")</f>
        <v>-</v>
      </c>
    </row>
    <row r="2766" customHeight="1" spans="2:2">
      <c r="B2766" s="62" t="str">
        <f>IF(AND('领用录入（明细）'!D:D=$F$4,'领用录入（明细）'!C:C&gt;=$J$4,'领用录入（明细）'!C:C&lt;=$L$4),ROW(),"-")</f>
        <v>-</v>
      </c>
    </row>
    <row r="2767" customHeight="1" spans="2:2">
      <c r="B2767" s="62" t="str">
        <f>IF(AND('领用录入（明细）'!D:D=$F$4,'领用录入（明细）'!C:C&gt;=$J$4,'领用录入（明细）'!C:C&lt;=$L$4),ROW(),"-")</f>
        <v>-</v>
      </c>
    </row>
    <row r="2768" customHeight="1" spans="2:2">
      <c r="B2768" s="62" t="str">
        <f>IF(AND('领用录入（明细）'!D:D=$F$4,'领用录入（明细）'!C:C&gt;=$J$4,'领用录入（明细）'!C:C&lt;=$L$4),ROW(),"-")</f>
        <v>-</v>
      </c>
    </row>
    <row r="2769" customHeight="1" spans="2:2">
      <c r="B2769" s="62" t="str">
        <f>IF(AND('领用录入（明细）'!D:D=$F$4,'领用录入（明细）'!C:C&gt;=$J$4,'领用录入（明细）'!C:C&lt;=$L$4),ROW(),"-")</f>
        <v>-</v>
      </c>
    </row>
    <row r="2770" customHeight="1" spans="2:2">
      <c r="B2770" s="62" t="str">
        <f>IF(AND('领用录入（明细）'!D:D=$F$4,'领用录入（明细）'!C:C&gt;=$J$4,'领用录入（明细）'!C:C&lt;=$L$4),ROW(),"-")</f>
        <v>-</v>
      </c>
    </row>
    <row r="2771" customHeight="1" spans="2:2">
      <c r="B2771" s="62" t="str">
        <f>IF(AND('领用录入（明细）'!D:D=$F$4,'领用录入（明细）'!C:C&gt;=$J$4,'领用录入（明细）'!C:C&lt;=$L$4),ROW(),"-")</f>
        <v>-</v>
      </c>
    </row>
    <row r="2772" customHeight="1" spans="2:2">
      <c r="B2772" s="62" t="str">
        <f>IF(AND('领用录入（明细）'!D:D=$F$4,'领用录入（明细）'!C:C&gt;=$J$4,'领用录入（明细）'!C:C&lt;=$L$4),ROW(),"-")</f>
        <v>-</v>
      </c>
    </row>
    <row r="2773" customHeight="1" spans="2:2">
      <c r="B2773" s="62" t="str">
        <f>IF(AND('领用录入（明细）'!D:D=$F$4,'领用录入（明细）'!C:C&gt;=$J$4,'领用录入（明细）'!C:C&lt;=$L$4),ROW(),"-")</f>
        <v>-</v>
      </c>
    </row>
    <row r="2774" customHeight="1" spans="2:2">
      <c r="B2774" s="62" t="str">
        <f>IF(AND('领用录入（明细）'!D:D=$F$4,'领用录入（明细）'!C:C&gt;=$J$4,'领用录入（明细）'!C:C&lt;=$L$4),ROW(),"-")</f>
        <v>-</v>
      </c>
    </row>
    <row r="2775" customHeight="1" spans="2:2">
      <c r="B2775" s="62" t="str">
        <f>IF(AND('领用录入（明细）'!D:D=$F$4,'领用录入（明细）'!C:C&gt;=$J$4,'领用录入（明细）'!C:C&lt;=$L$4),ROW(),"-")</f>
        <v>-</v>
      </c>
    </row>
    <row r="2776" customHeight="1" spans="2:2">
      <c r="B2776" s="62" t="str">
        <f>IF(AND('领用录入（明细）'!D:D=$F$4,'领用录入（明细）'!C:C&gt;=$J$4,'领用录入（明细）'!C:C&lt;=$L$4),ROW(),"-")</f>
        <v>-</v>
      </c>
    </row>
    <row r="2777" customHeight="1" spans="2:2">
      <c r="B2777" s="62" t="str">
        <f>IF(AND('领用录入（明细）'!D:D=$F$4,'领用录入（明细）'!C:C&gt;=$J$4,'领用录入（明细）'!C:C&lt;=$L$4),ROW(),"-")</f>
        <v>-</v>
      </c>
    </row>
    <row r="2778" customHeight="1" spans="2:2">
      <c r="B2778" s="62" t="str">
        <f>IF(AND('领用录入（明细）'!D:D=$F$4,'领用录入（明细）'!C:C&gt;=$J$4,'领用录入（明细）'!C:C&lt;=$L$4),ROW(),"-")</f>
        <v>-</v>
      </c>
    </row>
    <row r="2779" customHeight="1" spans="2:2">
      <c r="B2779" s="62" t="str">
        <f>IF(AND('领用录入（明细）'!D:D=$F$4,'领用录入（明细）'!C:C&gt;=$J$4,'领用录入（明细）'!C:C&lt;=$L$4),ROW(),"-")</f>
        <v>-</v>
      </c>
    </row>
    <row r="2780" customHeight="1" spans="2:2">
      <c r="B2780" s="62" t="str">
        <f>IF(AND('领用录入（明细）'!D:D=$F$4,'领用录入（明细）'!C:C&gt;=$J$4,'领用录入（明细）'!C:C&lt;=$L$4),ROW(),"-")</f>
        <v>-</v>
      </c>
    </row>
    <row r="2781" customHeight="1" spans="2:2">
      <c r="B2781" s="62" t="str">
        <f>IF(AND('领用录入（明细）'!D:D=$F$4,'领用录入（明细）'!C:C&gt;=$J$4,'领用录入（明细）'!C:C&lt;=$L$4),ROW(),"-")</f>
        <v>-</v>
      </c>
    </row>
    <row r="2782" customHeight="1" spans="2:2">
      <c r="B2782" s="62" t="str">
        <f>IF(AND('领用录入（明细）'!D:D=$F$4,'领用录入（明细）'!C:C&gt;=$J$4,'领用录入（明细）'!C:C&lt;=$L$4),ROW(),"-")</f>
        <v>-</v>
      </c>
    </row>
    <row r="2783" customHeight="1" spans="2:2">
      <c r="B2783" s="62" t="str">
        <f>IF(AND('领用录入（明细）'!D:D=$F$4,'领用录入（明细）'!C:C&gt;=$J$4,'领用录入（明细）'!C:C&lt;=$L$4),ROW(),"-")</f>
        <v>-</v>
      </c>
    </row>
    <row r="2784" customHeight="1" spans="2:2">
      <c r="B2784" s="62" t="str">
        <f>IF(AND('领用录入（明细）'!D:D=$F$4,'领用录入（明细）'!C:C&gt;=$J$4,'领用录入（明细）'!C:C&lt;=$L$4),ROW(),"-")</f>
        <v>-</v>
      </c>
    </row>
    <row r="2785" customHeight="1" spans="2:2">
      <c r="B2785" s="62" t="str">
        <f>IF(AND('领用录入（明细）'!D:D=$F$4,'领用录入（明细）'!C:C&gt;=$J$4,'领用录入（明细）'!C:C&lt;=$L$4),ROW(),"-")</f>
        <v>-</v>
      </c>
    </row>
    <row r="2786" customHeight="1" spans="2:2">
      <c r="B2786" s="62" t="str">
        <f>IF(AND('领用录入（明细）'!D:D=$F$4,'领用录入（明细）'!C:C&gt;=$J$4,'领用录入（明细）'!C:C&lt;=$L$4),ROW(),"-")</f>
        <v>-</v>
      </c>
    </row>
    <row r="2787" customHeight="1" spans="2:2">
      <c r="B2787" s="62" t="str">
        <f>IF(AND('领用录入（明细）'!D:D=$F$4,'领用录入（明细）'!C:C&gt;=$J$4,'领用录入（明细）'!C:C&lt;=$L$4),ROW(),"-")</f>
        <v>-</v>
      </c>
    </row>
    <row r="2788" customHeight="1" spans="2:2">
      <c r="B2788" s="62" t="str">
        <f>IF(AND('领用录入（明细）'!D:D=$F$4,'领用录入（明细）'!C:C&gt;=$J$4,'领用录入（明细）'!C:C&lt;=$L$4),ROW(),"-")</f>
        <v>-</v>
      </c>
    </row>
    <row r="2789" customHeight="1" spans="2:2">
      <c r="B2789" s="62" t="str">
        <f>IF(AND('领用录入（明细）'!D:D=$F$4,'领用录入（明细）'!C:C&gt;=$J$4,'领用录入（明细）'!C:C&lt;=$L$4),ROW(),"-")</f>
        <v>-</v>
      </c>
    </row>
    <row r="2790" customHeight="1" spans="2:2">
      <c r="B2790" s="62" t="str">
        <f>IF(AND('领用录入（明细）'!D:D=$F$4,'领用录入（明细）'!C:C&gt;=$J$4,'领用录入（明细）'!C:C&lt;=$L$4),ROW(),"-")</f>
        <v>-</v>
      </c>
    </row>
    <row r="2791" customHeight="1" spans="2:2">
      <c r="B2791" s="62" t="str">
        <f>IF(AND('领用录入（明细）'!D:D=$F$4,'领用录入（明细）'!C:C&gt;=$J$4,'领用录入（明细）'!C:C&lt;=$L$4),ROW(),"-")</f>
        <v>-</v>
      </c>
    </row>
    <row r="2792" customHeight="1" spans="2:2">
      <c r="B2792" s="62" t="str">
        <f>IF(AND('领用录入（明细）'!D:D=$F$4,'领用录入（明细）'!C:C&gt;=$J$4,'领用录入（明细）'!C:C&lt;=$L$4),ROW(),"-")</f>
        <v>-</v>
      </c>
    </row>
    <row r="2793" customHeight="1" spans="2:2">
      <c r="B2793" s="62" t="str">
        <f>IF(AND('领用录入（明细）'!D:D=$F$4,'领用录入（明细）'!C:C&gt;=$J$4,'领用录入（明细）'!C:C&lt;=$L$4),ROW(),"-")</f>
        <v>-</v>
      </c>
    </row>
    <row r="2794" customHeight="1" spans="2:2">
      <c r="B2794" s="62" t="str">
        <f>IF(AND('领用录入（明细）'!D:D=$F$4,'领用录入（明细）'!C:C&gt;=$J$4,'领用录入（明细）'!C:C&lt;=$L$4),ROW(),"-")</f>
        <v>-</v>
      </c>
    </row>
    <row r="2795" customHeight="1" spans="2:2">
      <c r="B2795" s="62" t="str">
        <f>IF(AND('领用录入（明细）'!D:D=$F$4,'领用录入（明细）'!C:C&gt;=$J$4,'领用录入（明细）'!C:C&lt;=$L$4),ROW(),"-")</f>
        <v>-</v>
      </c>
    </row>
    <row r="2796" customHeight="1" spans="2:2">
      <c r="B2796" s="62" t="str">
        <f>IF(AND('领用录入（明细）'!D:D=$F$4,'领用录入（明细）'!C:C&gt;=$J$4,'领用录入（明细）'!C:C&lt;=$L$4),ROW(),"-")</f>
        <v>-</v>
      </c>
    </row>
    <row r="2797" customHeight="1" spans="2:2">
      <c r="B2797" s="62" t="str">
        <f>IF(AND('领用录入（明细）'!D:D=$F$4,'领用录入（明细）'!C:C&gt;=$J$4,'领用录入（明细）'!C:C&lt;=$L$4),ROW(),"-")</f>
        <v>-</v>
      </c>
    </row>
    <row r="2798" customHeight="1" spans="2:2">
      <c r="B2798" s="62" t="str">
        <f>IF(AND('领用录入（明细）'!D:D=$F$4,'领用录入（明细）'!C:C&gt;=$J$4,'领用录入（明细）'!C:C&lt;=$L$4),ROW(),"-")</f>
        <v>-</v>
      </c>
    </row>
    <row r="2799" customHeight="1" spans="2:2">
      <c r="B2799" s="62" t="str">
        <f>IF(AND('领用录入（明细）'!D:D=$F$4,'领用录入（明细）'!C:C&gt;=$J$4,'领用录入（明细）'!C:C&lt;=$L$4),ROW(),"-")</f>
        <v>-</v>
      </c>
    </row>
    <row r="2800" customHeight="1" spans="2:2">
      <c r="B2800" s="62" t="str">
        <f>IF(AND('领用录入（明细）'!D:D=$F$4,'领用录入（明细）'!C:C&gt;=$J$4,'领用录入（明细）'!C:C&lt;=$L$4),ROW(),"-")</f>
        <v>-</v>
      </c>
    </row>
    <row r="2801" customHeight="1" spans="2:2">
      <c r="B2801" s="62" t="str">
        <f>IF(AND('领用录入（明细）'!D:D=$F$4,'领用录入（明细）'!C:C&gt;=$J$4,'领用录入（明细）'!C:C&lt;=$L$4),ROW(),"-")</f>
        <v>-</v>
      </c>
    </row>
    <row r="2802" customHeight="1" spans="2:2">
      <c r="B2802" s="62" t="str">
        <f>IF(AND('领用录入（明细）'!D:D=$F$4,'领用录入（明细）'!C:C&gt;=$J$4,'领用录入（明细）'!C:C&lt;=$L$4),ROW(),"-")</f>
        <v>-</v>
      </c>
    </row>
    <row r="2803" customHeight="1" spans="2:2">
      <c r="B2803" s="62" t="str">
        <f>IF(AND('领用录入（明细）'!D:D=$F$4,'领用录入（明细）'!C:C&gt;=$J$4,'领用录入（明细）'!C:C&lt;=$L$4),ROW(),"-")</f>
        <v>-</v>
      </c>
    </row>
    <row r="2804" customHeight="1" spans="2:2">
      <c r="B2804" s="62" t="str">
        <f>IF(AND('领用录入（明细）'!D:D=$F$4,'领用录入（明细）'!C:C&gt;=$J$4,'领用录入（明细）'!C:C&lt;=$L$4),ROW(),"-")</f>
        <v>-</v>
      </c>
    </row>
    <row r="2805" customHeight="1" spans="2:2">
      <c r="B2805" s="62" t="str">
        <f>IF(AND('领用录入（明细）'!D:D=$F$4,'领用录入（明细）'!C:C&gt;=$J$4,'领用录入（明细）'!C:C&lt;=$L$4),ROW(),"-")</f>
        <v>-</v>
      </c>
    </row>
    <row r="2806" customHeight="1" spans="2:2">
      <c r="B2806" s="62" t="str">
        <f>IF(AND('领用录入（明细）'!D:D=$F$4,'领用录入（明细）'!C:C&gt;=$J$4,'领用录入（明细）'!C:C&lt;=$L$4),ROW(),"-")</f>
        <v>-</v>
      </c>
    </row>
    <row r="2807" customHeight="1" spans="2:2">
      <c r="B2807" s="62" t="str">
        <f>IF(AND('领用录入（明细）'!D:D=$F$4,'领用录入（明细）'!C:C&gt;=$J$4,'领用录入（明细）'!C:C&lt;=$L$4),ROW(),"-")</f>
        <v>-</v>
      </c>
    </row>
    <row r="2808" customHeight="1" spans="2:2">
      <c r="B2808" s="62" t="str">
        <f>IF(AND('领用录入（明细）'!D:D=$F$4,'领用录入（明细）'!C:C&gt;=$J$4,'领用录入（明细）'!C:C&lt;=$L$4),ROW(),"-")</f>
        <v>-</v>
      </c>
    </row>
    <row r="2809" customHeight="1" spans="2:2">
      <c r="B2809" s="62" t="str">
        <f>IF(AND('领用录入（明细）'!D:D=$F$4,'领用录入（明细）'!C:C&gt;=$J$4,'领用录入（明细）'!C:C&lt;=$L$4),ROW(),"-")</f>
        <v>-</v>
      </c>
    </row>
    <row r="2810" customHeight="1" spans="2:2">
      <c r="B2810" s="62" t="str">
        <f>IF(AND('领用录入（明细）'!D:D=$F$4,'领用录入（明细）'!C:C&gt;=$J$4,'领用录入（明细）'!C:C&lt;=$L$4),ROW(),"-")</f>
        <v>-</v>
      </c>
    </row>
    <row r="2811" customHeight="1" spans="2:2">
      <c r="B2811" s="62" t="str">
        <f>IF(AND('领用录入（明细）'!D:D=$F$4,'领用录入（明细）'!C:C&gt;=$J$4,'领用录入（明细）'!C:C&lt;=$L$4),ROW(),"-")</f>
        <v>-</v>
      </c>
    </row>
    <row r="2812" customHeight="1" spans="2:2">
      <c r="B2812" s="62" t="str">
        <f>IF(AND('领用录入（明细）'!D:D=$F$4,'领用录入（明细）'!C:C&gt;=$J$4,'领用录入（明细）'!C:C&lt;=$L$4),ROW(),"-")</f>
        <v>-</v>
      </c>
    </row>
    <row r="2813" customHeight="1" spans="2:2">
      <c r="B2813" s="62" t="str">
        <f>IF(AND('领用录入（明细）'!D:D=$F$4,'领用录入（明细）'!C:C&gt;=$J$4,'领用录入（明细）'!C:C&lt;=$L$4),ROW(),"-")</f>
        <v>-</v>
      </c>
    </row>
    <row r="2814" customHeight="1" spans="2:2">
      <c r="B2814" s="62" t="str">
        <f>IF(AND('领用录入（明细）'!D:D=$F$4,'领用录入（明细）'!C:C&gt;=$J$4,'领用录入（明细）'!C:C&lt;=$L$4),ROW(),"-")</f>
        <v>-</v>
      </c>
    </row>
    <row r="2815" customHeight="1" spans="2:2">
      <c r="B2815" s="62" t="str">
        <f>IF(AND('领用录入（明细）'!D:D=$F$4,'领用录入（明细）'!C:C&gt;=$J$4,'领用录入（明细）'!C:C&lt;=$L$4),ROW(),"-")</f>
        <v>-</v>
      </c>
    </row>
    <row r="2816" customHeight="1" spans="2:2">
      <c r="B2816" s="62" t="str">
        <f>IF(AND('领用录入（明细）'!D:D=$F$4,'领用录入（明细）'!C:C&gt;=$J$4,'领用录入（明细）'!C:C&lt;=$L$4),ROW(),"-")</f>
        <v>-</v>
      </c>
    </row>
    <row r="2817" customHeight="1" spans="2:2">
      <c r="B2817" s="62" t="str">
        <f>IF(AND('领用录入（明细）'!D:D=$F$4,'领用录入（明细）'!C:C&gt;=$J$4,'领用录入（明细）'!C:C&lt;=$L$4),ROW(),"-")</f>
        <v>-</v>
      </c>
    </row>
    <row r="2818" customHeight="1" spans="2:2">
      <c r="B2818" s="62" t="str">
        <f>IF(AND('领用录入（明细）'!D:D=$F$4,'领用录入（明细）'!C:C&gt;=$J$4,'领用录入（明细）'!C:C&lt;=$L$4),ROW(),"-")</f>
        <v>-</v>
      </c>
    </row>
    <row r="2819" customHeight="1" spans="2:2">
      <c r="B2819" s="62" t="str">
        <f>IF(AND('领用录入（明细）'!D:D=$F$4,'领用录入（明细）'!C:C&gt;=$J$4,'领用录入（明细）'!C:C&lt;=$L$4),ROW(),"-")</f>
        <v>-</v>
      </c>
    </row>
    <row r="2820" customHeight="1" spans="2:2">
      <c r="B2820" s="62" t="str">
        <f>IF(AND('领用录入（明细）'!D:D=$F$4,'领用录入（明细）'!C:C&gt;=$J$4,'领用录入（明细）'!C:C&lt;=$L$4),ROW(),"-")</f>
        <v>-</v>
      </c>
    </row>
    <row r="2821" customHeight="1" spans="2:2">
      <c r="B2821" s="62" t="str">
        <f>IF(AND('领用录入（明细）'!D:D=$F$4,'领用录入（明细）'!C:C&gt;=$J$4,'领用录入（明细）'!C:C&lt;=$L$4),ROW(),"-")</f>
        <v>-</v>
      </c>
    </row>
    <row r="2822" customHeight="1" spans="2:2">
      <c r="B2822" s="62" t="str">
        <f>IF(AND('领用录入（明细）'!D:D=$F$4,'领用录入（明细）'!C:C&gt;=$J$4,'领用录入（明细）'!C:C&lt;=$L$4),ROW(),"-")</f>
        <v>-</v>
      </c>
    </row>
    <row r="2823" customHeight="1" spans="2:2">
      <c r="B2823" s="62" t="str">
        <f>IF(AND('领用录入（明细）'!D:D=$F$4,'领用录入（明细）'!C:C&gt;=$J$4,'领用录入（明细）'!C:C&lt;=$L$4),ROW(),"-")</f>
        <v>-</v>
      </c>
    </row>
    <row r="2824" customHeight="1" spans="2:2">
      <c r="B2824" s="62" t="str">
        <f>IF(AND('领用录入（明细）'!D:D=$F$4,'领用录入（明细）'!C:C&gt;=$J$4,'领用录入（明细）'!C:C&lt;=$L$4),ROW(),"-")</f>
        <v>-</v>
      </c>
    </row>
    <row r="2825" customHeight="1" spans="2:2">
      <c r="B2825" s="62" t="str">
        <f>IF(AND('领用录入（明细）'!D:D=$F$4,'领用录入（明细）'!C:C&gt;=$J$4,'领用录入（明细）'!C:C&lt;=$L$4),ROW(),"-")</f>
        <v>-</v>
      </c>
    </row>
    <row r="2826" customHeight="1" spans="2:2">
      <c r="B2826" s="62" t="str">
        <f>IF(AND('领用录入（明细）'!D:D=$F$4,'领用录入（明细）'!C:C&gt;=$J$4,'领用录入（明细）'!C:C&lt;=$L$4),ROW(),"-")</f>
        <v>-</v>
      </c>
    </row>
    <row r="2827" customHeight="1" spans="2:2">
      <c r="B2827" s="62" t="str">
        <f>IF(AND('领用录入（明细）'!D:D=$F$4,'领用录入（明细）'!C:C&gt;=$J$4,'领用录入（明细）'!C:C&lt;=$L$4),ROW(),"-")</f>
        <v>-</v>
      </c>
    </row>
    <row r="2828" customHeight="1" spans="2:2">
      <c r="B2828" s="62" t="str">
        <f>IF(AND('领用录入（明细）'!D:D=$F$4,'领用录入（明细）'!C:C&gt;=$J$4,'领用录入（明细）'!C:C&lt;=$L$4),ROW(),"-")</f>
        <v>-</v>
      </c>
    </row>
    <row r="2829" customHeight="1" spans="2:2">
      <c r="B2829" s="62" t="str">
        <f>IF(AND('领用录入（明细）'!D:D=$F$4,'领用录入（明细）'!C:C&gt;=$J$4,'领用录入（明细）'!C:C&lt;=$L$4),ROW(),"-")</f>
        <v>-</v>
      </c>
    </row>
    <row r="2830" customHeight="1" spans="2:2">
      <c r="B2830" s="62" t="str">
        <f>IF(AND('领用录入（明细）'!D:D=$F$4,'领用录入（明细）'!C:C&gt;=$J$4,'领用录入（明细）'!C:C&lt;=$L$4),ROW(),"-")</f>
        <v>-</v>
      </c>
    </row>
    <row r="2831" customHeight="1" spans="2:2">
      <c r="B2831" s="62" t="str">
        <f>IF(AND('领用录入（明细）'!D:D=$F$4,'领用录入（明细）'!C:C&gt;=$J$4,'领用录入（明细）'!C:C&lt;=$L$4),ROW(),"-")</f>
        <v>-</v>
      </c>
    </row>
    <row r="2832" customHeight="1" spans="2:2">
      <c r="B2832" s="62" t="str">
        <f>IF(AND('领用录入（明细）'!D:D=$F$4,'领用录入（明细）'!C:C&gt;=$J$4,'领用录入（明细）'!C:C&lt;=$L$4),ROW(),"-")</f>
        <v>-</v>
      </c>
    </row>
    <row r="2833" customHeight="1" spans="2:2">
      <c r="B2833" s="62" t="str">
        <f>IF(AND('领用录入（明细）'!D:D=$F$4,'领用录入（明细）'!C:C&gt;=$J$4,'领用录入（明细）'!C:C&lt;=$L$4),ROW(),"-")</f>
        <v>-</v>
      </c>
    </row>
    <row r="2834" customHeight="1" spans="2:2">
      <c r="B2834" s="62" t="str">
        <f>IF(AND('领用录入（明细）'!D:D=$F$4,'领用录入（明细）'!C:C&gt;=$J$4,'领用录入（明细）'!C:C&lt;=$L$4),ROW(),"-")</f>
        <v>-</v>
      </c>
    </row>
    <row r="2835" customHeight="1" spans="2:2">
      <c r="B2835" s="62" t="str">
        <f>IF(AND('领用录入（明细）'!D:D=$F$4,'领用录入（明细）'!C:C&gt;=$J$4,'领用录入（明细）'!C:C&lt;=$L$4),ROW(),"-")</f>
        <v>-</v>
      </c>
    </row>
    <row r="2836" customHeight="1" spans="2:2">
      <c r="B2836" s="62" t="str">
        <f>IF(AND('领用录入（明细）'!D:D=$F$4,'领用录入（明细）'!C:C&gt;=$J$4,'领用录入（明细）'!C:C&lt;=$L$4),ROW(),"-")</f>
        <v>-</v>
      </c>
    </row>
    <row r="2837" customHeight="1" spans="2:2">
      <c r="B2837" s="62" t="str">
        <f>IF(AND('领用录入（明细）'!D:D=$F$4,'领用录入（明细）'!C:C&gt;=$J$4,'领用录入（明细）'!C:C&lt;=$L$4),ROW(),"-")</f>
        <v>-</v>
      </c>
    </row>
    <row r="2838" customHeight="1" spans="2:2">
      <c r="B2838" s="62" t="str">
        <f>IF(AND('领用录入（明细）'!D:D=$F$4,'领用录入（明细）'!C:C&gt;=$J$4,'领用录入（明细）'!C:C&lt;=$L$4),ROW(),"-")</f>
        <v>-</v>
      </c>
    </row>
    <row r="2839" customHeight="1" spans="2:2">
      <c r="B2839" s="62" t="str">
        <f>IF(AND('领用录入（明细）'!D:D=$F$4,'领用录入（明细）'!C:C&gt;=$J$4,'领用录入（明细）'!C:C&lt;=$L$4),ROW(),"-")</f>
        <v>-</v>
      </c>
    </row>
    <row r="2840" customHeight="1" spans="2:2">
      <c r="B2840" s="62" t="str">
        <f>IF(AND('领用录入（明细）'!D:D=$F$4,'领用录入（明细）'!C:C&gt;=$J$4,'领用录入（明细）'!C:C&lt;=$L$4),ROW(),"-")</f>
        <v>-</v>
      </c>
    </row>
    <row r="2841" customHeight="1" spans="2:2">
      <c r="B2841" s="62" t="str">
        <f>IF(AND('领用录入（明细）'!D:D=$F$4,'领用录入（明细）'!C:C&gt;=$J$4,'领用录入（明细）'!C:C&lt;=$L$4),ROW(),"-")</f>
        <v>-</v>
      </c>
    </row>
    <row r="2842" customHeight="1" spans="2:2">
      <c r="B2842" s="62" t="str">
        <f>IF(AND('领用录入（明细）'!D:D=$F$4,'领用录入（明细）'!C:C&gt;=$J$4,'领用录入（明细）'!C:C&lt;=$L$4),ROW(),"-")</f>
        <v>-</v>
      </c>
    </row>
    <row r="2843" customHeight="1" spans="2:2">
      <c r="B2843" s="62" t="str">
        <f>IF(AND('领用录入（明细）'!D:D=$F$4,'领用录入（明细）'!C:C&gt;=$J$4,'领用录入（明细）'!C:C&lt;=$L$4),ROW(),"-")</f>
        <v>-</v>
      </c>
    </row>
    <row r="2844" customHeight="1" spans="2:2">
      <c r="B2844" s="62" t="str">
        <f>IF(AND('领用录入（明细）'!D:D=$F$4,'领用录入（明细）'!C:C&gt;=$J$4,'领用录入（明细）'!C:C&lt;=$L$4),ROW(),"-")</f>
        <v>-</v>
      </c>
    </row>
    <row r="2845" customHeight="1" spans="2:2">
      <c r="B2845" s="62" t="str">
        <f>IF(AND('领用录入（明细）'!D:D=$F$4,'领用录入（明细）'!C:C&gt;=$J$4,'领用录入（明细）'!C:C&lt;=$L$4),ROW(),"-")</f>
        <v>-</v>
      </c>
    </row>
    <row r="2846" customHeight="1" spans="2:2">
      <c r="B2846" s="62" t="str">
        <f>IF(AND('领用录入（明细）'!D:D=$F$4,'领用录入（明细）'!C:C&gt;=$J$4,'领用录入（明细）'!C:C&lt;=$L$4),ROW(),"-")</f>
        <v>-</v>
      </c>
    </row>
    <row r="2847" customHeight="1" spans="2:2">
      <c r="B2847" s="62" t="str">
        <f>IF(AND('领用录入（明细）'!D:D=$F$4,'领用录入（明细）'!C:C&gt;=$J$4,'领用录入（明细）'!C:C&lt;=$L$4),ROW(),"-")</f>
        <v>-</v>
      </c>
    </row>
    <row r="2848" customHeight="1" spans="2:2">
      <c r="B2848" s="62" t="str">
        <f>IF(AND('领用录入（明细）'!D:D=$F$4,'领用录入（明细）'!C:C&gt;=$J$4,'领用录入（明细）'!C:C&lt;=$L$4),ROW(),"-")</f>
        <v>-</v>
      </c>
    </row>
    <row r="2849" customHeight="1" spans="2:2">
      <c r="B2849" s="62" t="str">
        <f>IF(AND('领用录入（明细）'!D:D=$F$4,'领用录入（明细）'!C:C&gt;=$J$4,'领用录入（明细）'!C:C&lt;=$L$4),ROW(),"-")</f>
        <v>-</v>
      </c>
    </row>
    <row r="2850" customHeight="1" spans="2:2">
      <c r="B2850" s="62" t="str">
        <f>IF(AND('领用录入（明细）'!D:D=$F$4,'领用录入（明细）'!C:C&gt;=$J$4,'领用录入（明细）'!C:C&lt;=$L$4),ROW(),"-")</f>
        <v>-</v>
      </c>
    </row>
    <row r="2851" customHeight="1" spans="2:2">
      <c r="B2851" s="62" t="str">
        <f>IF(AND('领用录入（明细）'!D:D=$F$4,'领用录入（明细）'!C:C&gt;=$J$4,'领用录入（明细）'!C:C&lt;=$L$4),ROW(),"-")</f>
        <v>-</v>
      </c>
    </row>
    <row r="2852" customHeight="1" spans="2:2">
      <c r="B2852" s="62" t="str">
        <f>IF(AND('领用录入（明细）'!D:D=$F$4,'领用录入（明细）'!C:C&gt;=$J$4,'领用录入（明细）'!C:C&lt;=$L$4),ROW(),"-")</f>
        <v>-</v>
      </c>
    </row>
    <row r="2853" customHeight="1" spans="2:2">
      <c r="B2853" s="62" t="str">
        <f>IF(AND('领用录入（明细）'!D:D=$F$4,'领用录入（明细）'!C:C&gt;=$J$4,'领用录入（明细）'!C:C&lt;=$L$4),ROW(),"-")</f>
        <v>-</v>
      </c>
    </row>
    <row r="2854" customHeight="1" spans="2:2">
      <c r="B2854" s="62" t="str">
        <f>IF(AND('领用录入（明细）'!D:D=$F$4,'领用录入（明细）'!C:C&gt;=$J$4,'领用录入（明细）'!C:C&lt;=$L$4),ROW(),"-")</f>
        <v>-</v>
      </c>
    </row>
    <row r="2855" customHeight="1" spans="2:2">
      <c r="B2855" s="62" t="str">
        <f>IF(AND('领用录入（明细）'!D:D=$F$4,'领用录入（明细）'!C:C&gt;=$J$4,'领用录入（明细）'!C:C&lt;=$L$4),ROW(),"-")</f>
        <v>-</v>
      </c>
    </row>
    <row r="2856" customHeight="1" spans="2:2">
      <c r="B2856" s="62" t="str">
        <f>IF(AND('领用录入（明细）'!D:D=$F$4,'领用录入（明细）'!C:C&gt;=$J$4,'领用录入（明细）'!C:C&lt;=$L$4),ROW(),"-")</f>
        <v>-</v>
      </c>
    </row>
    <row r="2857" customHeight="1" spans="2:2">
      <c r="B2857" s="62" t="str">
        <f>IF(AND('领用录入（明细）'!D:D=$F$4,'领用录入（明细）'!C:C&gt;=$J$4,'领用录入（明细）'!C:C&lt;=$L$4),ROW(),"-")</f>
        <v>-</v>
      </c>
    </row>
    <row r="2858" customHeight="1" spans="2:2">
      <c r="B2858" s="62" t="str">
        <f>IF(AND('领用录入（明细）'!D:D=$F$4,'领用录入（明细）'!C:C&gt;=$J$4,'领用录入（明细）'!C:C&lt;=$L$4),ROW(),"-")</f>
        <v>-</v>
      </c>
    </row>
    <row r="2859" customHeight="1" spans="2:2">
      <c r="B2859" s="62" t="str">
        <f>IF(AND('领用录入（明细）'!D:D=$F$4,'领用录入（明细）'!C:C&gt;=$J$4,'领用录入（明细）'!C:C&lt;=$L$4),ROW(),"-")</f>
        <v>-</v>
      </c>
    </row>
    <row r="2860" customHeight="1" spans="2:2">
      <c r="B2860" s="62" t="str">
        <f>IF(AND('领用录入（明细）'!D:D=$F$4,'领用录入（明细）'!C:C&gt;=$J$4,'领用录入（明细）'!C:C&lt;=$L$4),ROW(),"-")</f>
        <v>-</v>
      </c>
    </row>
    <row r="2861" customHeight="1" spans="2:2">
      <c r="B2861" s="62" t="str">
        <f>IF(AND('领用录入（明细）'!D:D=$F$4,'领用录入（明细）'!C:C&gt;=$J$4,'领用录入（明细）'!C:C&lt;=$L$4),ROW(),"-")</f>
        <v>-</v>
      </c>
    </row>
    <row r="2862" customHeight="1" spans="2:2">
      <c r="B2862" s="62" t="str">
        <f>IF(AND('领用录入（明细）'!D:D=$F$4,'领用录入（明细）'!C:C&gt;=$J$4,'领用录入（明细）'!C:C&lt;=$L$4),ROW(),"-")</f>
        <v>-</v>
      </c>
    </row>
    <row r="2863" customHeight="1" spans="2:2">
      <c r="B2863" s="62" t="str">
        <f>IF(AND('领用录入（明细）'!D:D=$F$4,'领用录入（明细）'!C:C&gt;=$J$4,'领用录入（明细）'!C:C&lt;=$L$4),ROW(),"-")</f>
        <v>-</v>
      </c>
    </row>
    <row r="2864" customHeight="1" spans="2:2">
      <c r="B2864" s="62" t="str">
        <f>IF(AND('领用录入（明细）'!D:D=$F$4,'领用录入（明细）'!C:C&gt;=$J$4,'领用录入（明细）'!C:C&lt;=$L$4),ROW(),"-")</f>
        <v>-</v>
      </c>
    </row>
    <row r="2865" customHeight="1" spans="2:2">
      <c r="B2865" s="62" t="str">
        <f>IF(AND('领用录入（明细）'!D:D=$F$4,'领用录入（明细）'!C:C&gt;=$J$4,'领用录入（明细）'!C:C&lt;=$L$4),ROW(),"-")</f>
        <v>-</v>
      </c>
    </row>
    <row r="2866" customHeight="1" spans="2:2">
      <c r="B2866" s="62" t="str">
        <f>IF(AND('领用录入（明细）'!D:D=$F$4,'领用录入（明细）'!C:C&gt;=$J$4,'领用录入（明细）'!C:C&lt;=$L$4),ROW(),"-")</f>
        <v>-</v>
      </c>
    </row>
    <row r="2867" customHeight="1" spans="2:2">
      <c r="B2867" s="62" t="str">
        <f>IF(AND('领用录入（明细）'!D:D=$F$4,'领用录入（明细）'!C:C&gt;=$J$4,'领用录入（明细）'!C:C&lt;=$L$4),ROW(),"-")</f>
        <v>-</v>
      </c>
    </row>
    <row r="2868" customHeight="1" spans="2:2">
      <c r="B2868" s="62" t="str">
        <f>IF(AND('领用录入（明细）'!D:D=$F$4,'领用录入（明细）'!C:C&gt;=$J$4,'领用录入（明细）'!C:C&lt;=$L$4),ROW(),"-")</f>
        <v>-</v>
      </c>
    </row>
    <row r="2869" customHeight="1" spans="2:2">
      <c r="B2869" s="62" t="str">
        <f>IF(AND('领用录入（明细）'!D:D=$F$4,'领用录入（明细）'!C:C&gt;=$J$4,'领用录入（明细）'!C:C&lt;=$L$4),ROW(),"-")</f>
        <v>-</v>
      </c>
    </row>
    <row r="2870" customHeight="1" spans="2:2">
      <c r="B2870" s="62" t="str">
        <f>IF(AND('领用录入（明细）'!D:D=$F$4,'领用录入（明细）'!C:C&gt;=$J$4,'领用录入（明细）'!C:C&lt;=$L$4),ROW(),"-")</f>
        <v>-</v>
      </c>
    </row>
    <row r="2871" customHeight="1" spans="2:2">
      <c r="B2871" s="62" t="str">
        <f>IF(AND('领用录入（明细）'!D:D=$F$4,'领用录入（明细）'!C:C&gt;=$J$4,'领用录入（明细）'!C:C&lt;=$L$4),ROW(),"-")</f>
        <v>-</v>
      </c>
    </row>
    <row r="2872" customHeight="1" spans="2:2">
      <c r="B2872" s="62" t="str">
        <f>IF(AND('领用录入（明细）'!D:D=$F$4,'领用录入（明细）'!C:C&gt;=$J$4,'领用录入（明细）'!C:C&lt;=$L$4),ROW(),"-")</f>
        <v>-</v>
      </c>
    </row>
    <row r="2873" customHeight="1" spans="2:2">
      <c r="B2873" s="62" t="str">
        <f>IF(AND('领用录入（明细）'!D:D=$F$4,'领用录入（明细）'!C:C&gt;=$J$4,'领用录入（明细）'!C:C&lt;=$L$4),ROW(),"-")</f>
        <v>-</v>
      </c>
    </row>
    <row r="2874" customHeight="1" spans="2:2">
      <c r="B2874" s="62" t="str">
        <f>IF(AND('领用录入（明细）'!D:D=$F$4,'领用录入（明细）'!C:C&gt;=$J$4,'领用录入（明细）'!C:C&lt;=$L$4),ROW(),"-")</f>
        <v>-</v>
      </c>
    </row>
    <row r="2875" customHeight="1" spans="2:2">
      <c r="B2875" s="62" t="str">
        <f>IF(AND('领用录入（明细）'!D:D=$F$4,'领用录入（明细）'!C:C&gt;=$J$4,'领用录入（明细）'!C:C&lt;=$L$4),ROW(),"-")</f>
        <v>-</v>
      </c>
    </row>
    <row r="2876" customHeight="1" spans="2:2">
      <c r="B2876" s="62" t="str">
        <f>IF(AND('领用录入（明细）'!D:D=$F$4,'领用录入（明细）'!C:C&gt;=$J$4,'领用录入（明细）'!C:C&lt;=$L$4),ROW(),"-")</f>
        <v>-</v>
      </c>
    </row>
    <row r="2877" customHeight="1" spans="2:2">
      <c r="B2877" s="62" t="str">
        <f>IF(AND('领用录入（明细）'!D:D=$F$4,'领用录入（明细）'!C:C&gt;=$J$4,'领用录入（明细）'!C:C&lt;=$L$4),ROW(),"-")</f>
        <v>-</v>
      </c>
    </row>
    <row r="2878" customHeight="1" spans="2:2">
      <c r="B2878" s="62" t="str">
        <f>IF(AND('领用录入（明细）'!D:D=$F$4,'领用录入（明细）'!C:C&gt;=$J$4,'领用录入（明细）'!C:C&lt;=$L$4),ROW(),"-")</f>
        <v>-</v>
      </c>
    </row>
    <row r="2879" customHeight="1" spans="2:2">
      <c r="B2879" s="62" t="str">
        <f>IF(AND('领用录入（明细）'!D:D=$F$4,'领用录入（明细）'!C:C&gt;=$J$4,'领用录入（明细）'!C:C&lt;=$L$4),ROW(),"-")</f>
        <v>-</v>
      </c>
    </row>
    <row r="2880" customHeight="1" spans="2:2">
      <c r="B2880" s="62" t="str">
        <f>IF(AND('领用录入（明细）'!D:D=$F$4,'领用录入（明细）'!C:C&gt;=$J$4,'领用录入（明细）'!C:C&lt;=$L$4),ROW(),"-")</f>
        <v>-</v>
      </c>
    </row>
    <row r="2881" customHeight="1" spans="2:2">
      <c r="B2881" s="62" t="str">
        <f>IF(AND('领用录入（明细）'!D:D=$F$4,'领用录入（明细）'!C:C&gt;=$J$4,'领用录入（明细）'!C:C&lt;=$L$4),ROW(),"-")</f>
        <v>-</v>
      </c>
    </row>
    <row r="2882" customHeight="1" spans="2:2">
      <c r="B2882" s="62" t="str">
        <f>IF(AND('领用录入（明细）'!D:D=$F$4,'领用录入（明细）'!C:C&gt;=$J$4,'领用录入（明细）'!C:C&lt;=$L$4),ROW(),"-")</f>
        <v>-</v>
      </c>
    </row>
    <row r="2883" customHeight="1" spans="2:2">
      <c r="B2883" s="62" t="str">
        <f>IF(AND('领用录入（明细）'!D:D=$F$4,'领用录入（明细）'!C:C&gt;=$J$4,'领用录入（明细）'!C:C&lt;=$L$4),ROW(),"-")</f>
        <v>-</v>
      </c>
    </row>
    <row r="2884" customHeight="1" spans="2:2">
      <c r="B2884" s="62" t="str">
        <f>IF(AND('领用录入（明细）'!D:D=$F$4,'领用录入（明细）'!C:C&gt;=$J$4,'领用录入（明细）'!C:C&lt;=$L$4),ROW(),"-")</f>
        <v>-</v>
      </c>
    </row>
    <row r="2885" customHeight="1" spans="2:2">
      <c r="B2885" s="62" t="str">
        <f>IF(AND('领用录入（明细）'!D:D=$F$4,'领用录入（明细）'!C:C&gt;=$J$4,'领用录入（明细）'!C:C&lt;=$L$4),ROW(),"-")</f>
        <v>-</v>
      </c>
    </row>
    <row r="2886" customHeight="1" spans="2:2">
      <c r="B2886" s="62" t="str">
        <f>IF(AND('领用录入（明细）'!D:D=$F$4,'领用录入（明细）'!C:C&gt;=$J$4,'领用录入（明细）'!C:C&lt;=$L$4),ROW(),"-")</f>
        <v>-</v>
      </c>
    </row>
    <row r="2887" customHeight="1" spans="2:2">
      <c r="B2887" s="62" t="str">
        <f>IF(AND('领用录入（明细）'!D:D=$F$4,'领用录入（明细）'!C:C&gt;=$J$4,'领用录入（明细）'!C:C&lt;=$L$4),ROW(),"-")</f>
        <v>-</v>
      </c>
    </row>
    <row r="2888" customHeight="1" spans="2:2">
      <c r="B2888" s="62" t="str">
        <f>IF(AND('领用录入（明细）'!D:D=$F$4,'领用录入（明细）'!C:C&gt;=$J$4,'领用录入（明细）'!C:C&lt;=$L$4),ROW(),"-")</f>
        <v>-</v>
      </c>
    </row>
    <row r="2889" customHeight="1" spans="2:2">
      <c r="B2889" s="62" t="str">
        <f>IF(AND('领用录入（明细）'!D:D=$F$4,'领用录入（明细）'!C:C&gt;=$J$4,'领用录入（明细）'!C:C&lt;=$L$4),ROW(),"-")</f>
        <v>-</v>
      </c>
    </row>
    <row r="2890" customHeight="1" spans="2:2">
      <c r="B2890" s="62" t="str">
        <f>IF(AND('领用录入（明细）'!D:D=$F$4,'领用录入（明细）'!C:C&gt;=$J$4,'领用录入（明细）'!C:C&lt;=$L$4),ROW(),"-")</f>
        <v>-</v>
      </c>
    </row>
    <row r="2891" customHeight="1" spans="2:2">
      <c r="B2891" s="62" t="str">
        <f>IF(AND('领用录入（明细）'!D:D=$F$4,'领用录入（明细）'!C:C&gt;=$J$4,'领用录入（明细）'!C:C&lt;=$L$4),ROW(),"-")</f>
        <v>-</v>
      </c>
    </row>
    <row r="2892" customHeight="1" spans="2:2">
      <c r="B2892" s="62" t="str">
        <f>IF(AND('领用录入（明细）'!D:D=$F$4,'领用录入（明细）'!C:C&gt;=$J$4,'领用录入（明细）'!C:C&lt;=$L$4),ROW(),"-")</f>
        <v>-</v>
      </c>
    </row>
    <row r="2893" customHeight="1" spans="2:2">
      <c r="B2893" s="62" t="str">
        <f>IF(AND('领用录入（明细）'!D:D=$F$4,'领用录入（明细）'!C:C&gt;=$J$4,'领用录入（明细）'!C:C&lt;=$L$4),ROW(),"-")</f>
        <v>-</v>
      </c>
    </row>
    <row r="2894" customHeight="1" spans="2:2">
      <c r="B2894" s="62" t="str">
        <f>IF(AND('领用录入（明细）'!D:D=$F$4,'领用录入（明细）'!C:C&gt;=$J$4,'领用录入（明细）'!C:C&lt;=$L$4),ROW(),"-")</f>
        <v>-</v>
      </c>
    </row>
    <row r="2895" customHeight="1" spans="2:2">
      <c r="B2895" s="62" t="str">
        <f>IF(AND('领用录入（明细）'!D:D=$F$4,'领用录入（明细）'!C:C&gt;=$J$4,'领用录入（明细）'!C:C&lt;=$L$4),ROW(),"-")</f>
        <v>-</v>
      </c>
    </row>
    <row r="2896" customHeight="1" spans="2:2">
      <c r="B2896" s="62" t="str">
        <f>IF(AND('领用录入（明细）'!D:D=$F$4,'领用录入（明细）'!C:C&gt;=$J$4,'领用录入（明细）'!C:C&lt;=$L$4),ROW(),"-")</f>
        <v>-</v>
      </c>
    </row>
    <row r="2897" customHeight="1" spans="2:2">
      <c r="B2897" s="62" t="str">
        <f>IF(AND('领用录入（明细）'!D:D=$F$4,'领用录入（明细）'!C:C&gt;=$J$4,'领用录入（明细）'!C:C&lt;=$L$4),ROW(),"-")</f>
        <v>-</v>
      </c>
    </row>
    <row r="2898" customHeight="1" spans="2:2">
      <c r="B2898" s="62" t="str">
        <f>IF(AND('领用录入（明细）'!D:D=$F$4,'领用录入（明细）'!C:C&gt;=$J$4,'领用录入（明细）'!C:C&lt;=$L$4),ROW(),"-")</f>
        <v>-</v>
      </c>
    </row>
    <row r="2899" customHeight="1" spans="2:2">
      <c r="B2899" s="62" t="str">
        <f>IF(AND('领用录入（明细）'!D:D=$F$4,'领用录入（明细）'!C:C&gt;=$J$4,'领用录入（明细）'!C:C&lt;=$L$4),ROW(),"-")</f>
        <v>-</v>
      </c>
    </row>
    <row r="2900" customHeight="1" spans="2:2">
      <c r="B2900" s="62" t="str">
        <f>IF(AND('领用录入（明细）'!D:D=$F$4,'领用录入（明细）'!C:C&gt;=$J$4,'领用录入（明细）'!C:C&lt;=$L$4),ROW(),"-")</f>
        <v>-</v>
      </c>
    </row>
    <row r="2901" customHeight="1" spans="2:2">
      <c r="B2901" s="62" t="str">
        <f>IF(AND('领用录入（明细）'!D:D=$F$4,'领用录入（明细）'!C:C&gt;=$J$4,'领用录入（明细）'!C:C&lt;=$L$4),ROW(),"-")</f>
        <v>-</v>
      </c>
    </row>
    <row r="2902" customHeight="1" spans="2:2">
      <c r="B2902" s="62" t="str">
        <f>IF(AND('领用录入（明细）'!D:D=$F$4,'领用录入（明细）'!C:C&gt;=$J$4,'领用录入（明细）'!C:C&lt;=$L$4),ROW(),"-")</f>
        <v>-</v>
      </c>
    </row>
    <row r="2903" customHeight="1" spans="2:2">
      <c r="B2903" s="62" t="str">
        <f>IF(AND('领用录入（明细）'!D:D=$F$4,'领用录入（明细）'!C:C&gt;=$J$4,'领用录入（明细）'!C:C&lt;=$L$4),ROW(),"-")</f>
        <v>-</v>
      </c>
    </row>
    <row r="2904" customHeight="1" spans="2:2">
      <c r="B2904" s="62" t="str">
        <f>IF(AND('领用录入（明细）'!D:D=$F$4,'领用录入（明细）'!C:C&gt;=$J$4,'领用录入（明细）'!C:C&lt;=$L$4),ROW(),"-")</f>
        <v>-</v>
      </c>
    </row>
    <row r="2905" customHeight="1" spans="2:2">
      <c r="B2905" s="62" t="str">
        <f>IF(AND('领用录入（明细）'!D:D=$F$4,'领用录入（明细）'!C:C&gt;=$J$4,'领用录入（明细）'!C:C&lt;=$L$4),ROW(),"-")</f>
        <v>-</v>
      </c>
    </row>
    <row r="2906" customHeight="1" spans="2:2">
      <c r="B2906" s="62" t="str">
        <f>IF(AND('领用录入（明细）'!D:D=$F$4,'领用录入（明细）'!C:C&gt;=$J$4,'领用录入（明细）'!C:C&lt;=$L$4),ROW(),"-")</f>
        <v>-</v>
      </c>
    </row>
    <row r="2907" customHeight="1" spans="2:2">
      <c r="B2907" s="62" t="str">
        <f>IF(AND('领用录入（明细）'!D:D=$F$4,'领用录入（明细）'!C:C&gt;=$J$4,'领用录入（明细）'!C:C&lt;=$L$4),ROW(),"-")</f>
        <v>-</v>
      </c>
    </row>
    <row r="2908" customHeight="1" spans="2:2">
      <c r="B2908" s="62" t="str">
        <f>IF(AND('领用录入（明细）'!D:D=$F$4,'领用录入（明细）'!C:C&gt;=$J$4,'领用录入（明细）'!C:C&lt;=$L$4),ROW(),"-")</f>
        <v>-</v>
      </c>
    </row>
    <row r="2909" customHeight="1" spans="2:2">
      <c r="B2909" s="62" t="str">
        <f>IF(AND('领用录入（明细）'!D:D=$F$4,'领用录入（明细）'!C:C&gt;=$J$4,'领用录入（明细）'!C:C&lt;=$L$4),ROW(),"-")</f>
        <v>-</v>
      </c>
    </row>
    <row r="2910" customHeight="1" spans="2:2">
      <c r="B2910" s="62" t="str">
        <f>IF(AND('领用录入（明细）'!D:D=$F$4,'领用录入（明细）'!C:C&gt;=$J$4,'领用录入（明细）'!C:C&lt;=$L$4),ROW(),"-")</f>
        <v>-</v>
      </c>
    </row>
    <row r="2911" customHeight="1" spans="2:2">
      <c r="B2911" s="62" t="str">
        <f>IF(AND('领用录入（明细）'!D:D=$F$4,'领用录入（明细）'!C:C&gt;=$J$4,'领用录入（明细）'!C:C&lt;=$L$4),ROW(),"-")</f>
        <v>-</v>
      </c>
    </row>
    <row r="2912" customHeight="1" spans="2:2">
      <c r="B2912" s="62" t="str">
        <f>IF(AND('领用录入（明细）'!D:D=$F$4,'领用录入（明细）'!C:C&gt;=$J$4,'领用录入（明细）'!C:C&lt;=$L$4),ROW(),"-")</f>
        <v>-</v>
      </c>
    </row>
    <row r="2913" customHeight="1" spans="2:2">
      <c r="B2913" s="62" t="str">
        <f>IF(AND('领用录入（明细）'!D:D=$F$4,'领用录入（明细）'!C:C&gt;=$J$4,'领用录入（明细）'!C:C&lt;=$L$4),ROW(),"-")</f>
        <v>-</v>
      </c>
    </row>
    <row r="2914" customHeight="1" spans="2:2">
      <c r="B2914" s="62" t="str">
        <f>IF(AND('领用录入（明细）'!D:D=$F$4,'领用录入（明细）'!C:C&gt;=$J$4,'领用录入（明细）'!C:C&lt;=$L$4),ROW(),"-")</f>
        <v>-</v>
      </c>
    </row>
    <row r="2915" customHeight="1" spans="2:2">
      <c r="B2915" s="62" t="str">
        <f>IF(AND('领用录入（明细）'!D:D=$F$4,'领用录入（明细）'!C:C&gt;=$J$4,'领用录入（明细）'!C:C&lt;=$L$4),ROW(),"-")</f>
        <v>-</v>
      </c>
    </row>
    <row r="2916" customHeight="1" spans="2:2">
      <c r="B2916" s="62" t="str">
        <f>IF(AND('领用录入（明细）'!D:D=$F$4,'领用录入（明细）'!C:C&gt;=$J$4,'领用录入（明细）'!C:C&lt;=$L$4),ROW(),"-")</f>
        <v>-</v>
      </c>
    </row>
    <row r="2917" customHeight="1" spans="2:2">
      <c r="B2917" s="62" t="str">
        <f>IF(AND('领用录入（明细）'!D:D=$F$4,'领用录入（明细）'!C:C&gt;=$J$4,'领用录入（明细）'!C:C&lt;=$L$4),ROW(),"-")</f>
        <v>-</v>
      </c>
    </row>
    <row r="2918" customHeight="1" spans="2:2">
      <c r="B2918" s="62" t="str">
        <f>IF(AND('领用录入（明细）'!D:D=$F$4,'领用录入（明细）'!C:C&gt;=$J$4,'领用录入（明细）'!C:C&lt;=$L$4),ROW(),"-")</f>
        <v>-</v>
      </c>
    </row>
    <row r="2919" customHeight="1" spans="2:2">
      <c r="B2919" s="62" t="str">
        <f>IF(AND('领用录入（明细）'!D:D=$F$4,'领用录入（明细）'!C:C&gt;=$J$4,'领用录入（明细）'!C:C&lt;=$L$4),ROW(),"-")</f>
        <v>-</v>
      </c>
    </row>
    <row r="2920" customHeight="1" spans="2:2">
      <c r="B2920" s="62" t="str">
        <f>IF(AND('领用录入（明细）'!D:D=$F$4,'领用录入（明细）'!C:C&gt;=$J$4,'领用录入（明细）'!C:C&lt;=$L$4),ROW(),"-")</f>
        <v>-</v>
      </c>
    </row>
    <row r="2921" customHeight="1" spans="2:2">
      <c r="B2921" s="62" t="str">
        <f>IF(AND('领用录入（明细）'!D:D=$F$4,'领用录入（明细）'!C:C&gt;=$J$4,'领用录入（明细）'!C:C&lt;=$L$4),ROW(),"-")</f>
        <v>-</v>
      </c>
    </row>
    <row r="2922" customHeight="1" spans="2:2">
      <c r="B2922" s="62" t="str">
        <f>IF(AND('领用录入（明细）'!D:D=$F$4,'领用录入（明细）'!C:C&gt;=$J$4,'领用录入（明细）'!C:C&lt;=$L$4),ROW(),"-")</f>
        <v>-</v>
      </c>
    </row>
    <row r="2923" customHeight="1" spans="2:2">
      <c r="B2923" s="62" t="str">
        <f>IF(AND('领用录入（明细）'!D:D=$F$4,'领用录入（明细）'!C:C&gt;=$J$4,'领用录入（明细）'!C:C&lt;=$L$4),ROW(),"-")</f>
        <v>-</v>
      </c>
    </row>
    <row r="2924" customHeight="1" spans="2:2">
      <c r="B2924" s="62" t="str">
        <f>IF(AND('领用录入（明细）'!D:D=$F$4,'领用录入（明细）'!C:C&gt;=$J$4,'领用录入（明细）'!C:C&lt;=$L$4),ROW(),"-")</f>
        <v>-</v>
      </c>
    </row>
    <row r="2925" customHeight="1" spans="2:2">
      <c r="B2925" s="62" t="str">
        <f>IF(AND('领用录入（明细）'!D:D=$F$4,'领用录入（明细）'!C:C&gt;=$J$4,'领用录入（明细）'!C:C&lt;=$L$4),ROW(),"-")</f>
        <v>-</v>
      </c>
    </row>
    <row r="2926" customHeight="1" spans="2:2">
      <c r="B2926" s="62" t="str">
        <f>IF(AND('领用录入（明细）'!D:D=$F$4,'领用录入（明细）'!C:C&gt;=$J$4,'领用录入（明细）'!C:C&lt;=$L$4),ROW(),"-")</f>
        <v>-</v>
      </c>
    </row>
    <row r="2927" customHeight="1" spans="2:2">
      <c r="B2927" s="62" t="str">
        <f>IF(AND('领用录入（明细）'!D:D=$F$4,'领用录入（明细）'!C:C&gt;=$J$4,'领用录入（明细）'!C:C&lt;=$L$4),ROW(),"-")</f>
        <v>-</v>
      </c>
    </row>
    <row r="2928" customHeight="1" spans="2:2">
      <c r="B2928" s="62" t="str">
        <f>IF(AND('领用录入（明细）'!D:D=$F$4,'领用录入（明细）'!C:C&gt;=$J$4,'领用录入（明细）'!C:C&lt;=$L$4),ROW(),"-")</f>
        <v>-</v>
      </c>
    </row>
    <row r="2929" customHeight="1" spans="2:2">
      <c r="B2929" s="62" t="str">
        <f>IF(AND('领用录入（明细）'!D:D=$F$4,'领用录入（明细）'!C:C&gt;=$J$4,'领用录入（明细）'!C:C&lt;=$L$4),ROW(),"-")</f>
        <v>-</v>
      </c>
    </row>
    <row r="2930" customHeight="1" spans="2:2">
      <c r="B2930" s="62" t="str">
        <f>IF(AND('领用录入（明细）'!D:D=$F$4,'领用录入（明细）'!C:C&gt;=$J$4,'领用录入（明细）'!C:C&lt;=$L$4),ROW(),"-")</f>
        <v>-</v>
      </c>
    </row>
    <row r="2931" customHeight="1" spans="2:2">
      <c r="B2931" s="62" t="str">
        <f>IF(AND('领用录入（明细）'!D:D=$F$4,'领用录入（明细）'!C:C&gt;=$J$4,'领用录入（明细）'!C:C&lt;=$L$4),ROW(),"-")</f>
        <v>-</v>
      </c>
    </row>
    <row r="2932" customHeight="1" spans="2:2">
      <c r="B2932" s="62" t="str">
        <f>IF(AND('领用录入（明细）'!D:D=$F$4,'领用录入（明细）'!C:C&gt;=$J$4,'领用录入（明细）'!C:C&lt;=$L$4),ROW(),"-")</f>
        <v>-</v>
      </c>
    </row>
    <row r="2933" customHeight="1" spans="2:2">
      <c r="B2933" s="62" t="str">
        <f>IF(AND('领用录入（明细）'!D:D=$F$4,'领用录入（明细）'!C:C&gt;=$J$4,'领用录入（明细）'!C:C&lt;=$L$4),ROW(),"-")</f>
        <v>-</v>
      </c>
    </row>
    <row r="2934" customHeight="1" spans="2:2">
      <c r="B2934" s="62" t="str">
        <f>IF(AND('领用录入（明细）'!D:D=$F$4,'领用录入（明细）'!C:C&gt;=$J$4,'领用录入（明细）'!C:C&lt;=$L$4),ROW(),"-")</f>
        <v>-</v>
      </c>
    </row>
    <row r="2935" customHeight="1" spans="2:2">
      <c r="B2935" s="62" t="str">
        <f>IF(AND('领用录入（明细）'!D:D=$F$4,'领用录入（明细）'!C:C&gt;=$J$4,'领用录入（明细）'!C:C&lt;=$L$4),ROW(),"-")</f>
        <v>-</v>
      </c>
    </row>
    <row r="2936" customHeight="1" spans="2:2">
      <c r="B2936" s="62" t="str">
        <f>IF(AND('领用录入（明细）'!D:D=$F$4,'领用录入（明细）'!C:C&gt;=$J$4,'领用录入（明细）'!C:C&lt;=$L$4),ROW(),"-")</f>
        <v>-</v>
      </c>
    </row>
    <row r="2937" customHeight="1" spans="2:2">
      <c r="B2937" s="62" t="str">
        <f>IF(AND('领用录入（明细）'!D:D=$F$4,'领用录入（明细）'!C:C&gt;=$J$4,'领用录入（明细）'!C:C&lt;=$L$4),ROW(),"-")</f>
        <v>-</v>
      </c>
    </row>
    <row r="2938" customHeight="1" spans="2:2">
      <c r="B2938" s="62" t="str">
        <f>IF(AND('领用录入（明细）'!D:D=$F$4,'领用录入（明细）'!C:C&gt;=$J$4,'领用录入（明细）'!C:C&lt;=$L$4),ROW(),"-")</f>
        <v>-</v>
      </c>
    </row>
    <row r="2939" customHeight="1" spans="2:2">
      <c r="B2939" s="62" t="str">
        <f>IF(AND('领用录入（明细）'!D:D=$F$4,'领用录入（明细）'!C:C&gt;=$J$4,'领用录入（明细）'!C:C&lt;=$L$4),ROW(),"-")</f>
        <v>-</v>
      </c>
    </row>
    <row r="2940" customHeight="1" spans="2:2">
      <c r="B2940" s="62" t="str">
        <f>IF(AND('领用录入（明细）'!D:D=$F$4,'领用录入（明细）'!C:C&gt;=$J$4,'领用录入（明细）'!C:C&lt;=$L$4),ROW(),"-")</f>
        <v>-</v>
      </c>
    </row>
    <row r="2941" customHeight="1" spans="2:2">
      <c r="B2941" s="62" t="str">
        <f>IF(AND('领用录入（明细）'!D:D=$F$4,'领用录入（明细）'!C:C&gt;=$J$4,'领用录入（明细）'!C:C&lt;=$L$4),ROW(),"-")</f>
        <v>-</v>
      </c>
    </row>
    <row r="2942" customHeight="1" spans="2:2">
      <c r="B2942" s="62" t="str">
        <f>IF(AND('领用录入（明细）'!D:D=$F$4,'领用录入（明细）'!C:C&gt;=$J$4,'领用录入（明细）'!C:C&lt;=$L$4),ROW(),"-")</f>
        <v>-</v>
      </c>
    </row>
    <row r="2943" customHeight="1" spans="2:2">
      <c r="B2943" s="62" t="str">
        <f>IF(AND('领用录入（明细）'!D:D=$F$4,'领用录入（明细）'!C:C&gt;=$J$4,'领用录入（明细）'!C:C&lt;=$L$4),ROW(),"-")</f>
        <v>-</v>
      </c>
    </row>
    <row r="2944" customHeight="1" spans="2:2">
      <c r="B2944" s="62" t="str">
        <f>IF(AND('领用录入（明细）'!D:D=$F$4,'领用录入（明细）'!C:C&gt;=$J$4,'领用录入（明细）'!C:C&lt;=$L$4),ROW(),"-")</f>
        <v>-</v>
      </c>
    </row>
    <row r="2945" customHeight="1" spans="2:2">
      <c r="B2945" s="62" t="str">
        <f>IF(AND('领用录入（明细）'!D:D=$F$4,'领用录入（明细）'!C:C&gt;=$J$4,'领用录入（明细）'!C:C&lt;=$L$4),ROW(),"-")</f>
        <v>-</v>
      </c>
    </row>
    <row r="2946" customHeight="1" spans="2:2">
      <c r="B2946" s="62" t="str">
        <f>IF(AND('领用录入（明细）'!D:D=$F$4,'领用录入（明细）'!C:C&gt;=$J$4,'领用录入（明细）'!C:C&lt;=$L$4),ROW(),"-")</f>
        <v>-</v>
      </c>
    </row>
    <row r="2947" customHeight="1" spans="2:2">
      <c r="B2947" s="62" t="str">
        <f>IF(AND('领用录入（明细）'!D:D=$F$4,'领用录入（明细）'!C:C&gt;=$J$4,'领用录入（明细）'!C:C&lt;=$L$4),ROW(),"-")</f>
        <v>-</v>
      </c>
    </row>
    <row r="2948" customHeight="1" spans="2:2">
      <c r="B2948" s="62" t="str">
        <f>IF(AND('领用录入（明细）'!D:D=$F$4,'领用录入（明细）'!C:C&gt;=$J$4,'领用录入（明细）'!C:C&lt;=$L$4),ROW(),"-")</f>
        <v>-</v>
      </c>
    </row>
    <row r="2949" customHeight="1" spans="2:2">
      <c r="B2949" s="62" t="str">
        <f>IF(AND('领用录入（明细）'!D:D=$F$4,'领用录入（明细）'!C:C&gt;=$J$4,'领用录入（明细）'!C:C&lt;=$L$4),ROW(),"-")</f>
        <v>-</v>
      </c>
    </row>
    <row r="2950" customHeight="1" spans="2:2">
      <c r="B2950" s="62" t="str">
        <f>IF(AND('领用录入（明细）'!D:D=$F$4,'领用录入（明细）'!C:C&gt;=$J$4,'领用录入（明细）'!C:C&lt;=$L$4),ROW(),"-")</f>
        <v>-</v>
      </c>
    </row>
    <row r="2951" customHeight="1" spans="2:2">
      <c r="B2951" s="62" t="str">
        <f>IF(AND('领用录入（明细）'!D:D=$F$4,'领用录入（明细）'!C:C&gt;=$J$4,'领用录入（明细）'!C:C&lt;=$L$4),ROW(),"-")</f>
        <v>-</v>
      </c>
    </row>
    <row r="2952" customHeight="1" spans="2:2">
      <c r="B2952" s="62" t="str">
        <f>IF(AND('领用录入（明细）'!D:D=$F$4,'领用录入（明细）'!C:C&gt;=$J$4,'领用录入（明细）'!C:C&lt;=$L$4),ROW(),"-")</f>
        <v>-</v>
      </c>
    </row>
    <row r="2953" customHeight="1" spans="2:2">
      <c r="B2953" s="62" t="str">
        <f>IF(AND('领用录入（明细）'!D:D=$F$4,'领用录入（明细）'!C:C&gt;=$J$4,'领用录入（明细）'!C:C&lt;=$L$4),ROW(),"-")</f>
        <v>-</v>
      </c>
    </row>
    <row r="2954" customHeight="1" spans="2:2">
      <c r="B2954" s="62" t="str">
        <f>IF(AND('领用录入（明细）'!D:D=$F$4,'领用录入（明细）'!C:C&gt;=$J$4,'领用录入（明细）'!C:C&lt;=$L$4),ROW(),"-")</f>
        <v>-</v>
      </c>
    </row>
    <row r="2955" customHeight="1" spans="2:2">
      <c r="B2955" s="62" t="str">
        <f>IF(AND('领用录入（明细）'!D:D=$F$4,'领用录入（明细）'!C:C&gt;=$J$4,'领用录入（明细）'!C:C&lt;=$L$4),ROW(),"-")</f>
        <v>-</v>
      </c>
    </row>
    <row r="2956" customHeight="1" spans="2:2">
      <c r="B2956" s="62" t="str">
        <f>IF(AND('领用录入（明细）'!D:D=$F$4,'领用录入（明细）'!C:C&gt;=$J$4,'领用录入（明细）'!C:C&lt;=$L$4),ROW(),"-")</f>
        <v>-</v>
      </c>
    </row>
    <row r="2957" customHeight="1" spans="2:2">
      <c r="B2957" s="62" t="str">
        <f>IF(AND('领用录入（明细）'!D:D=$F$4,'领用录入（明细）'!C:C&gt;=$J$4,'领用录入（明细）'!C:C&lt;=$L$4),ROW(),"-")</f>
        <v>-</v>
      </c>
    </row>
    <row r="2958" customHeight="1" spans="2:2">
      <c r="B2958" s="62" t="str">
        <f>IF(AND('领用录入（明细）'!D:D=$F$4,'领用录入（明细）'!C:C&gt;=$J$4,'领用录入（明细）'!C:C&lt;=$L$4),ROW(),"-")</f>
        <v>-</v>
      </c>
    </row>
    <row r="2959" customHeight="1" spans="2:2">
      <c r="B2959" s="62" t="str">
        <f>IF(AND('领用录入（明细）'!D:D=$F$4,'领用录入（明细）'!C:C&gt;=$J$4,'领用录入（明细）'!C:C&lt;=$L$4),ROW(),"-")</f>
        <v>-</v>
      </c>
    </row>
    <row r="2960" customHeight="1" spans="2:2">
      <c r="B2960" s="62" t="str">
        <f>IF(AND('领用录入（明细）'!D:D=$F$4,'领用录入（明细）'!C:C&gt;=$J$4,'领用录入（明细）'!C:C&lt;=$L$4),ROW(),"-")</f>
        <v>-</v>
      </c>
    </row>
    <row r="2961" customHeight="1" spans="2:2">
      <c r="B2961" s="62" t="str">
        <f>IF(AND('领用录入（明细）'!D:D=$F$4,'领用录入（明细）'!C:C&gt;=$J$4,'领用录入（明细）'!C:C&lt;=$L$4),ROW(),"-")</f>
        <v>-</v>
      </c>
    </row>
    <row r="2962" customHeight="1" spans="2:2">
      <c r="B2962" s="62" t="str">
        <f>IF(AND('领用录入（明细）'!D:D=$F$4,'领用录入（明细）'!C:C&gt;=$J$4,'领用录入（明细）'!C:C&lt;=$L$4),ROW(),"-")</f>
        <v>-</v>
      </c>
    </row>
    <row r="2963" customHeight="1" spans="2:2">
      <c r="B2963" s="62" t="str">
        <f>IF(AND('领用录入（明细）'!D:D=$F$4,'领用录入（明细）'!C:C&gt;=$J$4,'领用录入（明细）'!C:C&lt;=$L$4),ROW(),"-")</f>
        <v>-</v>
      </c>
    </row>
    <row r="2964" customHeight="1" spans="2:2">
      <c r="B2964" s="62" t="str">
        <f>IF(AND('领用录入（明细）'!D:D=$F$4,'领用录入（明细）'!C:C&gt;=$J$4,'领用录入（明细）'!C:C&lt;=$L$4),ROW(),"-")</f>
        <v>-</v>
      </c>
    </row>
    <row r="2965" customHeight="1" spans="2:2">
      <c r="B2965" s="62" t="str">
        <f>IF(AND('领用录入（明细）'!D:D=$F$4,'领用录入（明细）'!C:C&gt;=$J$4,'领用录入（明细）'!C:C&lt;=$L$4),ROW(),"-")</f>
        <v>-</v>
      </c>
    </row>
    <row r="2966" customHeight="1" spans="2:2">
      <c r="B2966" s="62" t="str">
        <f>IF(AND('领用录入（明细）'!D:D=$F$4,'领用录入（明细）'!C:C&gt;=$J$4,'领用录入（明细）'!C:C&lt;=$L$4),ROW(),"-")</f>
        <v>-</v>
      </c>
    </row>
    <row r="2967" customHeight="1" spans="2:2">
      <c r="B2967" s="62" t="str">
        <f>IF(AND('领用录入（明细）'!D:D=$F$4,'领用录入（明细）'!C:C&gt;=$J$4,'领用录入（明细）'!C:C&lt;=$L$4),ROW(),"-")</f>
        <v>-</v>
      </c>
    </row>
    <row r="2968" customHeight="1" spans="2:2">
      <c r="B2968" s="62" t="str">
        <f>IF(AND('领用录入（明细）'!D:D=$F$4,'领用录入（明细）'!C:C&gt;=$J$4,'领用录入（明细）'!C:C&lt;=$L$4),ROW(),"-")</f>
        <v>-</v>
      </c>
    </row>
    <row r="2969" customHeight="1" spans="2:2">
      <c r="B2969" s="62" t="str">
        <f>IF(AND('领用录入（明细）'!D:D=$F$4,'领用录入（明细）'!C:C&gt;=$J$4,'领用录入（明细）'!C:C&lt;=$L$4),ROW(),"-")</f>
        <v>-</v>
      </c>
    </row>
    <row r="2970" customHeight="1" spans="2:2">
      <c r="B2970" s="62" t="str">
        <f>IF(AND('领用录入（明细）'!D:D=$F$4,'领用录入（明细）'!C:C&gt;=$J$4,'领用录入（明细）'!C:C&lt;=$L$4),ROW(),"-")</f>
        <v>-</v>
      </c>
    </row>
    <row r="2971" customHeight="1" spans="2:2">
      <c r="B2971" s="62" t="str">
        <f>IF(AND('领用录入（明细）'!D:D=$F$4,'领用录入（明细）'!C:C&gt;=$J$4,'领用录入（明细）'!C:C&lt;=$L$4),ROW(),"-")</f>
        <v>-</v>
      </c>
    </row>
    <row r="2972" customHeight="1" spans="2:2">
      <c r="B2972" s="62" t="str">
        <f>IF(AND('领用录入（明细）'!D:D=$F$4,'领用录入（明细）'!C:C&gt;=$J$4,'领用录入（明细）'!C:C&lt;=$L$4),ROW(),"-")</f>
        <v>-</v>
      </c>
    </row>
    <row r="2973" customHeight="1" spans="2:2">
      <c r="B2973" s="62" t="str">
        <f>IF(AND('领用录入（明细）'!D:D=$F$4,'领用录入（明细）'!C:C&gt;=$J$4,'领用录入（明细）'!C:C&lt;=$L$4),ROW(),"-")</f>
        <v>-</v>
      </c>
    </row>
    <row r="2974" customHeight="1" spans="2:2">
      <c r="B2974" s="62" t="str">
        <f>IF(AND('领用录入（明细）'!D:D=$F$4,'领用录入（明细）'!C:C&gt;=$J$4,'领用录入（明细）'!C:C&lt;=$L$4),ROW(),"-")</f>
        <v>-</v>
      </c>
    </row>
    <row r="2975" customHeight="1" spans="2:2">
      <c r="B2975" s="62" t="str">
        <f>IF(AND('领用录入（明细）'!D:D=$F$4,'领用录入（明细）'!C:C&gt;=$J$4,'领用录入（明细）'!C:C&lt;=$L$4),ROW(),"-")</f>
        <v>-</v>
      </c>
    </row>
    <row r="2976" customHeight="1" spans="2:2">
      <c r="B2976" s="62" t="str">
        <f>IF(AND('领用录入（明细）'!D:D=$F$4,'领用录入（明细）'!C:C&gt;=$J$4,'领用录入（明细）'!C:C&lt;=$L$4),ROW(),"-")</f>
        <v>-</v>
      </c>
    </row>
    <row r="2977" customHeight="1" spans="2:2">
      <c r="B2977" s="62" t="str">
        <f>IF(AND('领用录入（明细）'!D:D=$F$4,'领用录入（明细）'!C:C&gt;=$J$4,'领用录入（明细）'!C:C&lt;=$L$4),ROW(),"-")</f>
        <v>-</v>
      </c>
    </row>
    <row r="2978" customHeight="1" spans="2:2">
      <c r="B2978" s="62" t="str">
        <f>IF(AND('领用录入（明细）'!D:D=$F$4,'领用录入（明细）'!C:C&gt;=$J$4,'领用录入（明细）'!C:C&lt;=$L$4),ROW(),"-")</f>
        <v>-</v>
      </c>
    </row>
    <row r="2979" customHeight="1" spans="2:2">
      <c r="B2979" s="62" t="str">
        <f>IF(AND('领用录入（明细）'!D:D=$F$4,'领用录入（明细）'!C:C&gt;=$J$4,'领用录入（明细）'!C:C&lt;=$L$4),ROW(),"-")</f>
        <v>-</v>
      </c>
    </row>
    <row r="2980" customHeight="1" spans="2:2">
      <c r="B2980" s="62" t="str">
        <f>IF(AND('领用录入（明细）'!D:D=$F$4,'领用录入（明细）'!C:C&gt;=$J$4,'领用录入（明细）'!C:C&lt;=$L$4),ROW(),"-")</f>
        <v>-</v>
      </c>
    </row>
    <row r="2981" customHeight="1" spans="2:2">
      <c r="B2981" s="62" t="str">
        <f>IF(AND('领用录入（明细）'!D:D=$F$4,'领用录入（明细）'!C:C&gt;=$J$4,'领用录入（明细）'!C:C&lt;=$L$4),ROW(),"-")</f>
        <v>-</v>
      </c>
    </row>
    <row r="2982" customHeight="1" spans="2:2">
      <c r="B2982" s="62" t="str">
        <f>IF(AND('领用录入（明细）'!D:D=$F$4,'领用录入（明细）'!C:C&gt;=$J$4,'领用录入（明细）'!C:C&lt;=$L$4),ROW(),"-")</f>
        <v>-</v>
      </c>
    </row>
    <row r="2983" customHeight="1" spans="2:2">
      <c r="B2983" s="62" t="str">
        <f>IF(AND('领用录入（明细）'!D:D=$F$4,'领用录入（明细）'!C:C&gt;=$J$4,'领用录入（明细）'!C:C&lt;=$L$4),ROW(),"-")</f>
        <v>-</v>
      </c>
    </row>
    <row r="2984" customHeight="1" spans="2:2">
      <c r="B2984" s="62" t="str">
        <f>IF(AND('领用录入（明细）'!D:D=$F$4,'领用录入（明细）'!C:C&gt;=$J$4,'领用录入（明细）'!C:C&lt;=$L$4),ROW(),"-")</f>
        <v>-</v>
      </c>
    </row>
    <row r="2985" customHeight="1" spans="2:2">
      <c r="B2985" s="62" t="str">
        <f>IF(AND('领用录入（明细）'!D:D=$F$4,'领用录入（明细）'!C:C&gt;=$J$4,'领用录入（明细）'!C:C&lt;=$L$4),ROW(),"-")</f>
        <v>-</v>
      </c>
    </row>
    <row r="2986" customHeight="1" spans="2:2">
      <c r="B2986" s="62" t="str">
        <f>IF(AND('领用录入（明细）'!D:D=$F$4,'领用录入（明细）'!C:C&gt;=$J$4,'领用录入（明细）'!C:C&lt;=$L$4),ROW(),"-")</f>
        <v>-</v>
      </c>
    </row>
    <row r="2987" customHeight="1" spans="2:2">
      <c r="B2987" s="62" t="str">
        <f>IF(AND('领用录入（明细）'!D:D=$F$4,'领用录入（明细）'!C:C&gt;=$J$4,'领用录入（明细）'!C:C&lt;=$L$4),ROW(),"-")</f>
        <v>-</v>
      </c>
    </row>
    <row r="2988" customHeight="1" spans="2:2">
      <c r="B2988" s="62" t="str">
        <f>IF(AND('领用录入（明细）'!D:D=$F$4,'领用录入（明细）'!C:C&gt;=$J$4,'领用录入（明细）'!C:C&lt;=$L$4),ROW(),"-")</f>
        <v>-</v>
      </c>
    </row>
    <row r="2989" customHeight="1" spans="2:2">
      <c r="B2989" s="62" t="str">
        <f>IF(AND('领用录入（明细）'!D:D=$F$4,'领用录入（明细）'!C:C&gt;=$J$4,'领用录入（明细）'!C:C&lt;=$L$4),ROW(),"-")</f>
        <v>-</v>
      </c>
    </row>
    <row r="2990" customHeight="1" spans="2:2">
      <c r="B2990" s="62" t="str">
        <f>IF(AND('领用录入（明细）'!D:D=$F$4,'领用录入（明细）'!C:C&gt;=$J$4,'领用录入（明细）'!C:C&lt;=$L$4),ROW(),"-")</f>
        <v>-</v>
      </c>
    </row>
    <row r="2991" customHeight="1" spans="2:2">
      <c r="B2991" s="62" t="str">
        <f>IF(AND('领用录入（明细）'!D:D=$F$4,'领用录入（明细）'!C:C&gt;=$J$4,'领用录入（明细）'!C:C&lt;=$L$4),ROW(),"-")</f>
        <v>-</v>
      </c>
    </row>
    <row r="2992" customHeight="1" spans="2:2">
      <c r="B2992" s="62" t="str">
        <f>IF(AND('领用录入（明细）'!D:D=$F$4,'领用录入（明细）'!C:C&gt;=$J$4,'领用录入（明细）'!C:C&lt;=$L$4),ROW(),"-")</f>
        <v>-</v>
      </c>
    </row>
    <row r="2993" customHeight="1" spans="2:2">
      <c r="B2993" s="62" t="str">
        <f>IF(AND('领用录入（明细）'!D:D=$F$4,'领用录入（明细）'!C:C&gt;=$J$4,'领用录入（明细）'!C:C&lt;=$L$4),ROW(),"-")</f>
        <v>-</v>
      </c>
    </row>
    <row r="2994" customHeight="1" spans="2:2">
      <c r="B2994" s="62" t="str">
        <f>IF(AND('领用录入（明细）'!D:D=$F$4,'领用录入（明细）'!C:C&gt;=$J$4,'领用录入（明细）'!C:C&lt;=$L$4),ROW(),"-")</f>
        <v>-</v>
      </c>
    </row>
    <row r="2995" customHeight="1" spans="2:2">
      <c r="B2995" s="62" t="str">
        <f>IF(AND('领用录入（明细）'!D:D=$F$4,'领用录入（明细）'!C:C&gt;=$J$4,'领用录入（明细）'!C:C&lt;=$L$4),ROW(),"-")</f>
        <v>-</v>
      </c>
    </row>
    <row r="2996" customHeight="1" spans="2:2">
      <c r="B2996" s="62" t="str">
        <f>IF(AND('领用录入（明细）'!D:D=$F$4,'领用录入（明细）'!C:C&gt;=$J$4,'领用录入（明细）'!C:C&lt;=$L$4),ROW(),"-")</f>
        <v>-</v>
      </c>
    </row>
    <row r="2997" customHeight="1" spans="2:2">
      <c r="B2997" s="62" t="str">
        <f>IF(AND('领用录入（明细）'!D:D=$F$4,'领用录入（明细）'!C:C&gt;=$J$4,'领用录入（明细）'!C:C&lt;=$L$4),ROW(),"-")</f>
        <v>-</v>
      </c>
    </row>
    <row r="2998" customHeight="1" spans="2:2">
      <c r="B2998" s="62" t="str">
        <f>IF(AND('领用录入（明细）'!D:D=$F$4,'领用录入（明细）'!C:C&gt;=$J$4,'领用录入（明细）'!C:C&lt;=$L$4),ROW(),"-")</f>
        <v>-</v>
      </c>
    </row>
    <row r="2999" customHeight="1" spans="2:2">
      <c r="B2999" s="62" t="str">
        <f>IF(AND('领用录入（明细）'!D:D=$F$4,'领用录入（明细）'!C:C&gt;=$J$4,'领用录入（明细）'!C:C&lt;=$L$4),ROW(),"-")</f>
        <v>-</v>
      </c>
    </row>
    <row r="3000" customHeight="1" spans="2:2">
      <c r="B3000" s="62" t="str">
        <f>IF(AND('领用录入（明细）'!D:D=$F$4,'领用录入（明细）'!C:C&gt;=$J$4,'领用录入（明细）'!C:C&lt;=$L$4),ROW(),"-")</f>
        <v>-</v>
      </c>
    </row>
    <row r="3001" customHeight="1" spans="2:2">
      <c r="B3001" s="62" t="str">
        <f>IF(AND('领用录入（明细）'!D:D=$F$4,'领用录入（明细）'!C:C&gt;=$J$4,'领用录入（明细）'!C:C&lt;=$L$4),ROW(),"-")</f>
        <v>-</v>
      </c>
    </row>
    <row r="3002" customHeight="1" spans="2:2">
      <c r="B3002" s="62" t="str">
        <f>IF(AND('领用录入（明细）'!D:D=$F$4,'领用录入（明细）'!C:C&gt;=$J$4,'领用录入（明细）'!C:C&lt;=$L$4),ROW(),"-")</f>
        <v>-</v>
      </c>
    </row>
    <row r="3003" customHeight="1" spans="2:2">
      <c r="B3003" s="62" t="str">
        <f>IF(AND('领用录入（明细）'!D:D=$F$4,'领用录入（明细）'!C:C&gt;=$J$4,'领用录入（明细）'!C:C&lt;=$L$4),ROW(),"-")</f>
        <v>-</v>
      </c>
    </row>
    <row r="3004" customHeight="1" spans="2:2">
      <c r="B3004" s="62" t="str">
        <f>IF(AND('领用录入（明细）'!D:D=$F$4,'领用录入（明细）'!C:C&gt;=$J$4,'领用录入（明细）'!C:C&lt;=$L$4),ROW(),"-")</f>
        <v>-</v>
      </c>
    </row>
    <row r="3005" customHeight="1" spans="2:2">
      <c r="B3005" s="62" t="str">
        <f>IF(AND('领用录入（明细）'!D:D=$F$4,'领用录入（明细）'!C:C&gt;=$J$4,'领用录入（明细）'!C:C&lt;=$L$4),ROW(),"-")</f>
        <v>-</v>
      </c>
    </row>
    <row r="3006" customHeight="1" spans="2:2">
      <c r="B3006" s="62" t="str">
        <f>IF(AND('领用录入（明细）'!D:D=$F$4,'领用录入（明细）'!C:C&gt;=$J$4,'领用录入（明细）'!C:C&lt;=$L$4),ROW(),"-")</f>
        <v>-</v>
      </c>
    </row>
    <row r="3007" customHeight="1" spans="2:2">
      <c r="B3007" s="62" t="str">
        <f>IF(AND('领用录入（明细）'!D:D=$F$4,'领用录入（明细）'!C:C&gt;=$J$4,'领用录入（明细）'!C:C&lt;=$L$4),ROW(),"-")</f>
        <v>-</v>
      </c>
    </row>
    <row r="3008" customHeight="1" spans="2:2">
      <c r="B3008" s="62" t="str">
        <f>IF(AND('领用录入（明细）'!D:D=$F$4,'领用录入（明细）'!C:C&gt;=$J$4,'领用录入（明细）'!C:C&lt;=$L$4),ROW(),"-")</f>
        <v>-</v>
      </c>
    </row>
    <row r="3009" customHeight="1" spans="2:2">
      <c r="B3009" s="62" t="str">
        <f>IF(AND('领用录入（明细）'!D:D=$F$4,'领用录入（明细）'!C:C&gt;=$J$4,'领用录入（明细）'!C:C&lt;=$L$4),ROW(),"-")</f>
        <v>-</v>
      </c>
    </row>
    <row r="3010" customHeight="1" spans="2:2">
      <c r="B3010" s="62" t="str">
        <f>IF(AND('领用录入（明细）'!D:D=$F$4,'领用录入（明细）'!C:C&gt;=$J$4,'领用录入（明细）'!C:C&lt;=$L$4),ROW(),"-")</f>
        <v>-</v>
      </c>
    </row>
    <row r="3011" customHeight="1" spans="2:2">
      <c r="B3011" s="62" t="str">
        <f>IF(AND('领用录入（明细）'!D:D=$F$4,'领用录入（明细）'!C:C&gt;=$J$4,'领用录入（明细）'!C:C&lt;=$L$4),ROW(),"-")</f>
        <v>-</v>
      </c>
    </row>
    <row r="3012" customHeight="1" spans="2:2">
      <c r="B3012" s="62" t="str">
        <f>IF(AND('领用录入（明细）'!D:D=$F$4,'领用录入（明细）'!C:C&gt;=$J$4,'领用录入（明细）'!C:C&lt;=$L$4),ROW(),"-")</f>
        <v>-</v>
      </c>
    </row>
    <row r="3013" customHeight="1" spans="2:2">
      <c r="B3013" s="62" t="str">
        <f>IF(AND('领用录入（明细）'!D:D=$F$4,'领用录入（明细）'!C:C&gt;=$J$4,'领用录入（明细）'!C:C&lt;=$L$4),ROW(),"-")</f>
        <v>-</v>
      </c>
    </row>
    <row r="3014" customHeight="1" spans="2:2">
      <c r="B3014" s="62" t="str">
        <f>IF(AND('领用录入（明细）'!D:D=$F$4,'领用录入（明细）'!C:C&gt;=$J$4,'领用录入（明细）'!C:C&lt;=$L$4),ROW(),"-")</f>
        <v>-</v>
      </c>
    </row>
    <row r="3015" customHeight="1" spans="2:2">
      <c r="B3015" s="62" t="str">
        <f>IF(AND('领用录入（明细）'!D:D=$F$4,'领用录入（明细）'!C:C&gt;=$J$4,'领用录入（明细）'!C:C&lt;=$L$4),ROW(),"-")</f>
        <v>-</v>
      </c>
    </row>
    <row r="3016" customHeight="1" spans="2:2">
      <c r="B3016" s="62" t="str">
        <f>IF(AND('领用录入（明细）'!D:D=$F$4,'领用录入（明细）'!C:C&gt;=$J$4,'领用录入（明细）'!C:C&lt;=$L$4),ROW(),"-")</f>
        <v>-</v>
      </c>
    </row>
    <row r="3017" customHeight="1" spans="2:2">
      <c r="B3017" s="62" t="str">
        <f>IF(AND('领用录入（明细）'!D:D=$F$4,'领用录入（明细）'!C:C&gt;=$J$4,'领用录入（明细）'!C:C&lt;=$L$4),ROW(),"-")</f>
        <v>-</v>
      </c>
    </row>
    <row r="3018" customHeight="1" spans="2:2">
      <c r="B3018" s="62" t="str">
        <f>IF(AND('领用录入（明细）'!D:D=$F$4,'领用录入（明细）'!C:C&gt;=$J$4,'领用录入（明细）'!C:C&lt;=$L$4),ROW(),"-")</f>
        <v>-</v>
      </c>
    </row>
    <row r="3019" customHeight="1" spans="2:2">
      <c r="B3019" s="62" t="str">
        <f>IF(AND('领用录入（明细）'!D:D=$F$4,'领用录入（明细）'!C:C&gt;=$J$4,'领用录入（明细）'!C:C&lt;=$L$4),ROW(),"-")</f>
        <v>-</v>
      </c>
    </row>
    <row r="3020" customHeight="1" spans="2:2">
      <c r="B3020" s="62" t="str">
        <f>IF(AND('领用录入（明细）'!D:D=$F$4,'领用录入（明细）'!C:C&gt;=$J$4,'领用录入（明细）'!C:C&lt;=$L$4),ROW(),"-")</f>
        <v>-</v>
      </c>
    </row>
    <row r="3021" customHeight="1" spans="2:2">
      <c r="B3021" s="62" t="str">
        <f>IF(AND('领用录入（明细）'!D:D=$F$4,'领用录入（明细）'!C:C&gt;=$J$4,'领用录入（明细）'!C:C&lt;=$L$4),ROW(),"-")</f>
        <v>-</v>
      </c>
    </row>
    <row r="3022" customHeight="1" spans="2:2">
      <c r="B3022" s="62" t="str">
        <f>IF(AND('领用录入（明细）'!D:D=$F$4,'领用录入（明细）'!C:C&gt;=$J$4,'领用录入（明细）'!C:C&lt;=$L$4),ROW(),"-")</f>
        <v>-</v>
      </c>
    </row>
    <row r="3023" customHeight="1" spans="2:2">
      <c r="B3023" s="62" t="str">
        <f>IF(AND('领用录入（明细）'!D:D=$F$4,'领用录入（明细）'!C:C&gt;=$J$4,'领用录入（明细）'!C:C&lt;=$L$4),ROW(),"-")</f>
        <v>-</v>
      </c>
    </row>
    <row r="3024" customHeight="1" spans="2:2">
      <c r="B3024" s="62" t="str">
        <f>IF(AND('领用录入（明细）'!D:D=$F$4,'领用录入（明细）'!C:C&gt;=$J$4,'领用录入（明细）'!C:C&lt;=$L$4),ROW(),"-")</f>
        <v>-</v>
      </c>
    </row>
    <row r="3025" customHeight="1" spans="2:2">
      <c r="B3025" s="62" t="str">
        <f>IF(AND('领用录入（明细）'!D:D=$F$4,'领用录入（明细）'!C:C&gt;=$J$4,'领用录入（明细）'!C:C&lt;=$L$4),ROW(),"-")</f>
        <v>-</v>
      </c>
    </row>
    <row r="3026" customHeight="1" spans="2:2">
      <c r="B3026" s="62" t="str">
        <f>IF(AND('领用录入（明细）'!D:D=$F$4,'领用录入（明细）'!C:C&gt;=$J$4,'领用录入（明细）'!C:C&lt;=$L$4),ROW(),"-")</f>
        <v>-</v>
      </c>
    </row>
    <row r="3027" customHeight="1" spans="2:2">
      <c r="B3027" s="62" t="str">
        <f>IF(AND('领用录入（明细）'!D:D=$F$4,'领用录入（明细）'!C:C&gt;=$J$4,'领用录入（明细）'!C:C&lt;=$L$4),ROW(),"-")</f>
        <v>-</v>
      </c>
    </row>
    <row r="3028" customHeight="1" spans="2:2">
      <c r="B3028" s="62" t="str">
        <f>IF(AND('领用录入（明细）'!D:D=$F$4,'领用录入（明细）'!C:C&gt;=$J$4,'领用录入（明细）'!C:C&lt;=$L$4),ROW(),"-")</f>
        <v>-</v>
      </c>
    </row>
    <row r="3029" customHeight="1" spans="2:2">
      <c r="B3029" s="62" t="str">
        <f>IF(AND('领用录入（明细）'!D:D=$F$4,'领用录入（明细）'!C:C&gt;=$J$4,'领用录入（明细）'!C:C&lt;=$L$4),ROW(),"-")</f>
        <v>-</v>
      </c>
    </row>
    <row r="3030" customHeight="1" spans="2:2">
      <c r="B3030" s="62" t="str">
        <f>IF(AND('领用录入（明细）'!D:D=$F$4,'领用录入（明细）'!C:C&gt;=$J$4,'领用录入（明细）'!C:C&lt;=$L$4),ROW(),"-")</f>
        <v>-</v>
      </c>
    </row>
    <row r="3031" customHeight="1" spans="2:2">
      <c r="B3031" s="62" t="str">
        <f>IF(AND('领用录入（明细）'!D:D=$F$4,'领用录入（明细）'!C:C&gt;=$J$4,'领用录入（明细）'!C:C&lt;=$L$4),ROW(),"-")</f>
        <v>-</v>
      </c>
    </row>
    <row r="3032" customHeight="1" spans="2:2">
      <c r="B3032" s="62" t="str">
        <f>IF(AND('领用录入（明细）'!D:D=$F$4,'领用录入（明细）'!C:C&gt;=$J$4,'领用录入（明细）'!C:C&lt;=$L$4),ROW(),"-")</f>
        <v>-</v>
      </c>
    </row>
    <row r="3033" customHeight="1" spans="2:2">
      <c r="B3033" s="62" t="str">
        <f>IF(AND('领用录入（明细）'!D:D=$F$4,'领用录入（明细）'!C:C&gt;=$J$4,'领用录入（明细）'!C:C&lt;=$L$4),ROW(),"-")</f>
        <v>-</v>
      </c>
    </row>
    <row r="3034" customHeight="1" spans="2:2">
      <c r="B3034" s="62" t="str">
        <f>IF(AND('领用录入（明细）'!D:D=$F$4,'领用录入（明细）'!C:C&gt;=$J$4,'领用录入（明细）'!C:C&lt;=$L$4),ROW(),"-")</f>
        <v>-</v>
      </c>
    </row>
    <row r="3035" customHeight="1" spans="2:2">
      <c r="B3035" s="62" t="str">
        <f>IF(AND('领用录入（明细）'!D:D=$F$4,'领用录入（明细）'!C:C&gt;=$J$4,'领用录入（明细）'!C:C&lt;=$L$4),ROW(),"-")</f>
        <v>-</v>
      </c>
    </row>
    <row r="3036" customHeight="1" spans="2:2">
      <c r="B3036" s="62" t="str">
        <f>IF(AND('领用录入（明细）'!D:D=$F$4,'领用录入（明细）'!C:C&gt;=$J$4,'领用录入（明细）'!C:C&lt;=$L$4),ROW(),"-")</f>
        <v>-</v>
      </c>
    </row>
    <row r="3037" customHeight="1" spans="2:2">
      <c r="B3037" s="62" t="str">
        <f>IF(AND('领用录入（明细）'!D:D=$F$4,'领用录入（明细）'!C:C&gt;=$J$4,'领用录入（明细）'!C:C&lt;=$L$4),ROW(),"-")</f>
        <v>-</v>
      </c>
    </row>
    <row r="3038" customHeight="1" spans="2:2">
      <c r="B3038" s="62" t="str">
        <f>IF(AND('领用录入（明细）'!D:D=$F$4,'领用录入（明细）'!C:C&gt;=$J$4,'领用录入（明细）'!C:C&lt;=$L$4),ROW(),"-")</f>
        <v>-</v>
      </c>
    </row>
    <row r="3039" customHeight="1" spans="2:2">
      <c r="B3039" s="62" t="str">
        <f>IF(AND('领用录入（明细）'!D:D=$F$4,'领用录入（明细）'!C:C&gt;=$J$4,'领用录入（明细）'!C:C&lt;=$L$4),ROW(),"-")</f>
        <v>-</v>
      </c>
    </row>
    <row r="3040" customHeight="1" spans="2:2">
      <c r="B3040" s="62" t="str">
        <f>IF(AND('领用录入（明细）'!D:D=$F$4,'领用录入（明细）'!C:C&gt;=$J$4,'领用录入（明细）'!C:C&lt;=$L$4),ROW(),"-")</f>
        <v>-</v>
      </c>
    </row>
    <row r="3041" customHeight="1" spans="2:2">
      <c r="B3041" s="62" t="str">
        <f>IF(AND('领用录入（明细）'!D:D=$F$4,'领用录入（明细）'!C:C&gt;=$J$4,'领用录入（明细）'!C:C&lt;=$L$4),ROW(),"-")</f>
        <v>-</v>
      </c>
    </row>
    <row r="3042" customHeight="1" spans="2:2">
      <c r="B3042" s="62" t="str">
        <f>IF(AND('领用录入（明细）'!D:D=$F$4,'领用录入（明细）'!C:C&gt;=$J$4,'领用录入（明细）'!C:C&lt;=$L$4),ROW(),"-")</f>
        <v>-</v>
      </c>
    </row>
    <row r="3043" customHeight="1" spans="2:2">
      <c r="B3043" s="62" t="str">
        <f>IF(AND('领用录入（明细）'!D:D=$F$4,'领用录入（明细）'!C:C&gt;=$J$4,'领用录入（明细）'!C:C&lt;=$L$4),ROW(),"-")</f>
        <v>-</v>
      </c>
    </row>
    <row r="3044" customHeight="1" spans="2:2">
      <c r="B3044" s="62" t="str">
        <f>IF(AND('领用录入（明细）'!D:D=$F$4,'领用录入（明细）'!C:C&gt;=$J$4,'领用录入（明细）'!C:C&lt;=$L$4),ROW(),"-")</f>
        <v>-</v>
      </c>
    </row>
    <row r="3045" customHeight="1" spans="2:2">
      <c r="B3045" s="62" t="str">
        <f>IF(AND('领用录入（明细）'!D:D=$F$4,'领用录入（明细）'!C:C&gt;=$J$4,'领用录入（明细）'!C:C&lt;=$L$4),ROW(),"-")</f>
        <v>-</v>
      </c>
    </row>
    <row r="3046" customHeight="1" spans="2:2">
      <c r="B3046" s="62" t="str">
        <f>IF(AND('领用录入（明细）'!D:D=$F$4,'领用录入（明细）'!C:C&gt;=$J$4,'领用录入（明细）'!C:C&lt;=$L$4),ROW(),"-")</f>
        <v>-</v>
      </c>
    </row>
    <row r="3047" customHeight="1" spans="2:2">
      <c r="B3047" s="62" t="str">
        <f>IF(AND('领用录入（明细）'!D:D=$F$4,'领用录入（明细）'!C:C&gt;=$J$4,'领用录入（明细）'!C:C&lt;=$L$4),ROW(),"-")</f>
        <v>-</v>
      </c>
    </row>
    <row r="3048" customHeight="1" spans="2:2">
      <c r="B3048" s="62" t="str">
        <f>IF(AND('领用录入（明细）'!D:D=$F$4,'领用录入（明细）'!C:C&gt;=$J$4,'领用录入（明细）'!C:C&lt;=$L$4),ROW(),"-")</f>
        <v>-</v>
      </c>
    </row>
    <row r="3049" customHeight="1" spans="2:2">
      <c r="B3049" s="62" t="str">
        <f>IF(AND('领用录入（明细）'!D:D=$F$4,'领用录入（明细）'!C:C&gt;=$J$4,'领用录入（明细）'!C:C&lt;=$L$4),ROW(),"-")</f>
        <v>-</v>
      </c>
    </row>
    <row r="3050" customHeight="1" spans="2:2">
      <c r="B3050" s="62" t="str">
        <f>IF(AND('领用录入（明细）'!D:D=$F$4,'领用录入（明细）'!C:C&gt;=$J$4,'领用录入（明细）'!C:C&lt;=$L$4),ROW(),"-")</f>
        <v>-</v>
      </c>
    </row>
    <row r="3051" customHeight="1" spans="2:2">
      <c r="B3051" s="62" t="str">
        <f>IF(AND('领用录入（明细）'!D:D=$F$4,'领用录入（明细）'!C:C&gt;=$J$4,'领用录入（明细）'!C:C&lt;=$L$4),ROW(),"-")</f>
        <v>-</v>
      </c>
    </row>
    <row r="3052" customHeight="1" spans="2:2">
      <c r="B3052" s="62" t="str">
        <f>IF(AND('领用录入（明细）'!D:D=$F$4,'领用录入（明细）'!C:C&gt;=$J$4,'领用录入（明细）'!C:C&lt;=$L$4),ROW(),"-")</f>
        <v>-</v>
      </c>
    </row>
    <row r="3053" customHeight="1" spans="2:2">
      <c r="B3053" s="62" t="str">
        <f>IF(AND('领用录入（明细）'!D:D=$F$4,'领用录入（明细）'!C:C&gt;=$J$4,'领用录入（明细）'!C:C&lt;=$L$4),ROW(),"-")</f>
        <v>-</v>
      </c>
    </row>
    <row r="3054" customHeight="1" spans="2:2">
      <c r="B3054" s="62" t="str">
        <f>IF(AND('领用录入（明细）'!D:D=$F$4,'领用录入（明细）'!C:C&gt;=$J$4,'领用录入（明细）'!C:C&lt;=$L$4),ROW(),"-")</f>
        <v>-</v>
      </c>
    </row>
    <row r="3055" customHeight="1" spans="2:2">
      <c r="B3055" s="62" t="str">
        <f>IF(AND('领用录入（明细）'!D:D=$F$4,'领用录入（明细）'!C:C&gt;=$J$4,'领用录入（明细）'!C:C&lt;=$L$4),ROW(),"-")</f>
        <v>-</v>
      </c>
    </row>
    <row r="3056" customHeight="1" spans="2:2">
      <c r="B3056" s="62" t="str">
        <f>IF(AND('领用录入（明细）'!D:D=$F$4,'领用录入（明细）'!C:C&gt;=$J$4,'领用录入（明细）'!C:C&lt;=$L$4),ROW(),"-")</f>
        <v>-</v>
      </c>
    </row>
    <row r="3057" customHeight="1" spans="2:2">
      <c r="B3057" s="62" t="str">
        <f>IF(AND('领用录入（明细）'!D:D=$F$4,'领用录入（明细）'!C:C&gt;=$J$4,'领用录入（明细）'!C:C&lt;=$L$4),ROW(),"-")</f>
        <v>-</v>
      </c>
    </row>
    <row r="3058" customHeight="1" spans="2:2">
      <c r="B3058" s="62" t="str">
        <f>IF(AND('领用录入（明细）'!D:D=$F$4,'领用录入（明细）'!C:C&gt;=$J$4,'领用录入（明细）'!C:C&lt;=$L$4),ROW(),"-")</f>
        <v>-</v>
      </c>
    </row>
    <row r="3059" customHeight="1" spans="2:2">
      <c r="B3059" s="62" t="str">
        <f>IF(AND('领用录入（明细）'!D:D=$F$4,'领用录入（明细）'!C:C&gt;=$J$4,'领用录入（明细）'!C:C&lt;=$L$4),ROW(),"-")</f>
        <v>-</v>
      </c>
    </row>
    <row r="3060" customHeight="1" spans="2:2">
      <c r="B3060" s="62" t="str">
        <f>IF(AND('领用录入（明细）'!D:D=$F$4,'领用录入（明细）'!C:C&gt;=$J$4,'领用录入（明细）'!C:C&lt;=$L$4),ROW(),"-")</f>
        <v>-</v>
      </c>
    </row>
    <row r="3061" customHeight="1" spans="2:2">
      <c r="B3061" s="62" t="str">
        <f>IF(AND('领用录入（明细）'!D:D=$F$4,'领用录入（明细）'!C:C&gt;=$J$4,'领用录入（明细）'!C:C&lt;=$L$4),ROW(),"-")</f>
        <v>-</v>
      </c>
    </row>
    <row r="3062" customHeight="1" spans="2:2">
      <c r="B3062" s="62" t="str">
        <f>IF(AND('领用录入（明细）'!D:D=$F$4,'领用录入（明细）'!C:C&gt;=$J$4,'领用录入（明细）'!C:C&lt;=$L$4),ROW(),"-")</f>
        <v>-</v>
      </c>
    </row>
    <row r="3063" customHeight="1" spans="2:2">
      <c r="B3063" s="62" t="str">
        <f>IF(AND('领用录入（明细）'!D:D=$F$4,'领用录入（明细）'!C:C&gt;=$J$4,'领用录入（明细）'!C:C&lt;=$L$4),ROW(),"-")</f>
        <v>-</v>
      </c>
    </row>
    <row r="3064" customHeight="1" spans="2:2">
      <c r="B3064" s="62" t="str">
        <f>IF(AND('领用录入（明细）'!D:D=$F$4,'领用录入（明细）'!C:C&gt;=$J$4,'领用录入（明细）'!C:C&lt;=$L$4),ROW(),"-")</f>
        <v>-</v>
      </c>
    </row>
    <row r="3065" customHeight="1" spans="2:2">
      <c r="B3065" s="62" t="str">
        <f>IF(AND('领用录入（明细）'!D:D=$F$4,'领用录入（明细）'!C:C&gt;=$J$4,'领用录入（明细）'!C:C&lt;=$L$4),ROW(),"-")</f>
        <v>-</v>
      </c>
    </row>
    <row r="3066" customHeight="1" spans="2:2">
      <c r="B3066" s="62" t="str">
        <f>IF(AND('领用录入（明细）'!D:D=$F$4,'领用录入（明细）'!C:C&gt;=$J$4,'领用录入（明细）'!C:C&lt;=$L$4),ROW(),"-")</f>
        <v>-</v>
      </c>
    </row>
    <row r="3067" customHeight="1" spans="2:2">
      <c r="B3067" s="62" t="str">
        <f>IF(AND('领用录入（明细）'!D:D=$F$4,'领用录入（明细）'!C:C&gt;=$J$4,'领用录入（明细）'!C:C&lt;=$L$4),ROW(),"-")</f>
        <v>-</v>
      </c>
    </row>
    <row r="3068" customHeight="1" spans="2:2">
      <c r="B3068" s="62" t="str">
        <f>IF(AND('领用录入（明细）'!D:D=$F$4,'领用录入（明细）'!C:C&gt;=$J$4,'领用录入（明细）'!C:C&lt;=$L$4),ROW(),"-")</f>
        <v>-</v>
      </c>
    </row>
    <row r="3069" customHeight="1" spans="2:2">
      <c r="B3069" s="62" t="str">
        <f>IF(AND('领用录入（明细）'!D:D=$F$4,'领用录入（明细）'!C:C&gt;=$J$4,'领用录入（明细）'!C:C&lt;=$L$4),ROW(),"-")</f>
        <v>-</v>
      </c>
    </row>
    <row r="3070" customHeight="1" spans="2:2">
      <c r="B3070" s="62" t="str">
        <f>IF(AND('领用录入（明细）'!D:D=$F$4,'领用录入（明细）'!C:C&gt;=$J$4,'领用录入（明细）'!C:C&lt;=$L$4),ROW(),"-")</f>
        <v>-</v>
      </c>
    </row>
    <row r="3071" customHeight="1" spans="2:2">
      <c r="B3071" s="62" t="str">
        <f>IF(AND('领用录入（明细）'!D:D=$F$4,'领用录入（明细）'!C:C&gt;=$J$4,'领用录入（明细）'!C:C&lt;=$L$4),ROW(),"-")</f>
        <v>-</v>
      </c>
    </row>
    <row r="3072" customHeight="1" spans="2:2">
      <c r="B3072" s="62" t="str">
        <f>IF(AND('领用录入（明细）'!D:D=$F$4,'领用录入（明细）'!C:C&gt;=$J$4,'领用录入（明细）'!C:C&lt;=$L$4),ROW(),"-")</f>
        <v>-</v>
      </c>
    </row>
    <row r="3073" customHeight="1" spans="2:2">
      <c r="B3073" s="62" t="str">
        <f>IF(AND('领用录入（明细）'!D:D=$F$4,'领用录入（明细）'!C:C&gt;=$J$4,'领用录入（明细）'!C:C&lt;=$L$4),ROW(),"-")</f>
        <v>-</v>
      </c>
    </row>
    <row r="3074" customHeight="1" spans="2:2">
      <c r="B3074" s="62" t="str">
        <f>IF(AND('领用录入（明细）'!D:D=$F$4,'领用录入（明细）'!C:C&gt;=$J$4,'领用录入（明细）'!C:C&lt;=$L$4),ROW(),"-")</f>
        <v>-</v>
      </c>
    </row>
    <row r="3075" customHeight="1" spans="2:2">
      <c r="B3075" s="62" t="str">
        <f>IF(AND('领用录入（明细）'!D:D=$F$4,'领用录入（明细）'!C:C&gt;=$J$4,'领用录入（明细）'!C:C&lt;=$L$4),ROW(),"-")</f>
        <v>-</v>
      </c>
    </row>
    <row r="3076" customHeight="1" spans="2:2">
      <c r="B3076" s="62" t="str">
        <f>IF(AND('领用录入（明细）'!D:D=$F$4,'领用录入（明细）'!C:C&gt;=$J$4,'领用录入（明细）'!C:C&lt;=$L$4),ROW(),"-")</f>
        <v>-</v>
      </c>
    </row>
    <row r="3077" customHeight="1" spans="2:2">
      <c r="B3077" s="62" t="str">
        <f>IF(AND('领用录入（明细）'!D:D=$F$4,'领用录入（明细）'!C:C&gt;=$J$4,'领用录入（明细）'!C:C&lt;=$L$4),ROW(),"-")</f>
        <v>-</v>
      </c>
    </row>
    <row r="3078" customHeight="1" spans="2:2">
      <c r="B3078" s="62" t="str">
        <f>IF(AND('领用录入（明细）'!D:D=$F$4,'领用录入（明细）'!C:C&gt;=$J$4,'领用录入（明细）'!C:C&lt;=$L$4),ROW(),"-")</f>
        <v>-</v>
      </c>
    </row>
    <row r="3079" customHeight="1" spans="2:2">
      <c r="B3079" s="62" t="str">
        <f>IF(AND('领用录入（明细）'!D:D=$F$4,'领用录入（明细）'!C:C&gt;=$J$4,'领用录入（明细）'!C:C&lt;=$L$4),ROW(),"-")</f>
        <v>-</v>
      </c>
    </row>
    <row r="3080" customHeight="1" spans="2:2">
      <c r="B3080" s="62" t="str">
        <f>IF(AND('领用录入（明细）'!D:D=$F$4,'领用录入（明细）'!C:C&gt;=$J$4,'领用录入（明细）'!C:C&lt;=$L$4),ROW(),"-")</f>
        <v>-</v>
      </c>
    </row>
    <row r="3081" customHeight="1" spans="2:2">
      <c r="B3081" s="62" t="str">
        <f>IF(AND('领用录入（明细）'!D:D=$F$4,'领用录入（明细）'!C:C&gt;=$J$4,'领用录入（明细）'!C:C&lt;=$L$4),ROW(),"-")</f>
        <v>-</v>
      </c>
    </row>
    <row r="3082" customHeight="1" spans="2:2">
      <c r="B3082" s="62" t="str">
        <f>IF(AND('领用录入（明细）'!D:D=$F$4,'领用录入（明细）'!C:C&gt;=$J$4,'领用录入（明细）'!C:C&lt;=$L$4),ROW(),"-")</f>
        <v>-</v>
      </c>
    </row>
    <row r="3083" customHeight="1" spans="2:2">
      <c r="B3083" s="62" t="str">
        <f>IF(AND('领用录入（明细）'!D:D=$F$4,'领用录入（明细）'!C:C&gt;=$J$4,'领用录入（明细）'!C:C&lt;=$L$4),ROW(),"-")</f>
        <v>-</v>
      </c>
    </row>
    <row r="3084" customHeight="1" spans="2:2">
      <c r="B3084" s="62" t="str">
        <f>IF(AND('领用录入（明细）'!D:D=$F$4,'领用录入（明细）'!C:C&gt;=$J$4,'领用录入（明细）'!C:C&lt;=$L$4),ROW(),"-")</f>
        <v>-</v>
      </c>
    </row>
    <row r="3085" customHeight="1" spans="2:2">
      <c r="B3085" s="62" t="str">
        <f>IF(AND('领用录入（明细）'!D:D=$F$4,'领用录入（明细）'!C:C&gt;=$J$4,'领用录入（明细）'!C:C&lt;=$L$4),ROW(),"-")</f>
        <v>-</v>
      </c>
    </row>
    <row r="3086" customHeight="1" spans="2:2">
      <c r="B3086" s="62" t="str">
        <f>IF(AND('领用录入（明细）'!D:D=$F$4,'领用录入（明细）'!C:C&gt;=$J$4,'领用录入（明细）'!C:C&lt;=$L$4),ROW(),"-")</f>
        <v>-</v>
      </c>
    </row>
    <row r="3087" customHeight="1" spans="2:2">
      <c r="B3087" s="62" t="str">
        <f>IF(AND('领用录入（明细）'!D:D=$F$4,'领用录入（明细）'!C:C&gt;=$J$4,'领用录入（明细）'!C:C&lt;=$L$4),ROW(),"-")</f>
        <v>-</v>
      </c>
    </row>
    <row r="3088" customHeight="1" spans="2:2">
      <c r="B3088" s="62" t="str">
        <f>IF(AND('领用录入（明细）'!D:D=$F$4,'领用录入（明细）'!C:C&gt;=$J$4,'领用录入（明细）'!C:C&lt;=$L$4),ROW(),"-")</f>
        <v>-</v>
      </c>
    </row>
    <row r="3089" customHeight="1" spans="2:2">
      <c r="B3089" s="62" t="str">
        <f>IF(AND('领用录入（明细）'!D:D=$F$4,'领用录入（明细）'!C:C&gt;=$J$4,'领用录入（明细）'!C:C&lt;=$L$4),ROW(),"-")</f>
        <v>-</v>
      </c>
    </row>
    <row r="3090" customHeight="1" spans="2:2">
      <c r="B3090" s="62" t="str">
        <f>IF(AND('领用录入（明细）'!D:D=$F$4,'领用录入（明细）'!C:C&gt;=$J$4,'领用录入（明细）'!C:C&lt;=$L$4),ROW(),"-")</f>
        <v>-</v>
      </c>
    </row>
    <row r="3091" customHeight="1" spans="2:2">
      <c r="B3091" s="62" t="str">
        <f>IF(AND('领用录入（明细）'!D:D=$F$4,'领用录入（明细）'!C:C&gt;=$J$4,'领用录入（明细）'!C:C&lt;=$L$4),ROW(),"-")</f>
        <v>-</v>
      </c>
    </row>
    <row r="3092" customHeight="1" spans="2:2">
      <c r="B3092" s="62" t="str">
        <f>IF(AND('领用录入（明细）'!D:D=$F$4,'领用录入（明细）'!C:C&gt;=$J$4,'领用录入（明细）'!C:C&lt;=$L$4),ROW(),"-")</f>
        <v>-</v>
      </c>
    </row>
    <row r="3093" customHeight="1" spans="2:2">
      <c r="B3093" s="62" t="str">
        <f>IF(AND('领用录入（明细）'!D:D=$F$4,'领用录入（明细）'!C:C&gt;=$J$4,'领用录入（明细）'!C:C&lt;=$L$4),ROW(),"-")</f>
        <v>-</v>
      </c>
    </row>
    <row r="3094" customHeight="1" spans="2:2">
      <c r="B3094" s="62" t="str">
        <f>IF(AND('领用录入（明细）'!D:D=$F$4,'领用录入（明细）'!C:C&gt;=$J$4,'领用录入（明细）'!C:C&lt;=$L$4),ROW(),"-")</f>
        <v>-</v>
      </c>
    </row>
    <row r="3095" customHeight="1" spans="2:2">
      <c r="B3095" s="62" t="str">
        <f>IF(AND('领用录入（明细）'!D:D=$F$4,'领用录入（明细）'!C:C&gt;=$J$4,'领用录入（明细）'!C:C&lt;=$L$4),ROW(),"-")</f>
        <v>-</v>
      </c>
    </row>
    <row r="3096" customHeight="1" spans="2:2">
      <c r="B3096" s="62" t="str">
        <f>IF(AND('领用录入（明细）'!D:D=$F$4,'领用录入（明细）'!C:C&gt;=$J$4,'领用录入（明细）'!C:C&lt;=$L$4),ROW(),"-")</f>
        <v>-</v>
      </c>
    </row>
    <row r="3097" customHeight="1" spans="2:2">
      <c r="B3097" s="62" t="str">
        <f>IF(AND('领用录入（明细）'!D:D=$F$4,'领用录入（明细）'!C:C&gt;=$J$4,'领用录入（明细）'!C:C&lt;=$L$4),ROW(),"-")</f>
        <v>-</v>
      </c>
    </row>
    <row r="3098" customHeight="1" spans="2:2">
      <c r="B3098" s="62" t="str">
        <f>IF(AND('领用录入（明细）'!D:D=$F$4,'领用录入（明细）'!C:C&gt;=$J$4,'领用录入（明细）'!C:C&lt;=$L$4),ROW(),"-")</f>
        <v>-</v>
      </c>
    </row>
    <row r="3099" customHeight="1" spans="2:2">
      <c r="B3099" s="62" t="str">
        <f>IF(AND('领用录入（明细）'!D:D=$F$4,'领用录入（明细）'!C:C&gt;=$J$4,'领用录入（明细）'!C:C&lt;=$L$4),ROW(),"-")</f>
        <v>-</v>
      </c>
    </row>
    <row r="3100" customHeight="1" spans="2:2">
      <c r="B3100" s="62" t="str">
        <f>IF(AND('领用录入（明细）'!D:D=$F$4,'领用录入（明细）'!C:C&gt;=$J$4,'领用录入（明细）'!C:C&lt;=$L$4),ROW(),"-")</f>
        <v>-</v>
      </c>
    </row>
    <row r="3101" customHeight="1" spans="2:2">
      <c r="B3101" s="62" t="str">
        <f>IF(AND('领用录入（明细）'!D:D=$F$4,'领用录入（明细）'!C:C&gt;=$J$4,'领用录入（明细）'!C:C&lt;=$L$4),ROW(),"-")</f>
        <v>-</v>
      </c>
    </row>
    <row r="3102" customHeight="1" spans="2:2">
      <c r="B3102" s="62" t="str">
        <f>IF(AND('领用录入（明细）'!D:D=$F$4,'领用录入（明细）'!C:C&gt;=$J$4,'领用录入（明细）'!C:C&lt;=$L$4),ROW(),"-")</f>
        <v>-</v>
      </c>
    </row>
    <row r="3103" customHeight="1" spans="2:2">
      <c r="B3103" s="62" t="str">
        <f>IF(AND('领用录入（明细）'!D:D=$F$4,'领用录入（明细）'!C:C&gt;=$J$4,'领用录入（明细）'!C:C&lt;=$L$4),ROW(),"-")</f>
        <v>-</v>
      </c>
    </row>
    <row r="3104" customHeight="1" spans="2:2">
      <c r="B3104" s="62" t="str">
        <f>IF(AND('领用录入（明细）'!D:D=$F$4,'领用录入（明细）'!C:C&gt;=$J$4,'领用录入（明细）'!C:C&lt;=$L$4),ROW(),"-")</f>
        <v>-</v>
      </c>
    </row>
    <row r="3105" customHeight="1" spans="2:2">
      <c r="B3105" s="62" t="str">
        <f>IF(AND('领用录入（明细）'!D:D=$F$4,'领用录入（明细）'!C:C&gt;=$J$4,'领用录入（明细）'!C:C&lt;=$L$4),ROW(),"-")</f>
        <v>-</v>
      </c>
    </row>
    <row r="3106" customHeight="1" spans="2:2">
      <c r="B3106" s="62" t="str">
        <f>IF(AND('领用录入（明细）'!D:D=$F$4,'领用录入（明细）'!C:C&gt;=$J$4,'领用录入（明细）'!C:C&lt;=$L$4),ROW(),"-")</f>
        <v>-</v>
      </c>
    </row>
    <row r="3107" customHeight="1" spans="2:2">
      <c r="B3107" s="62" t="str">
        <f>IF(AND('领用录入（明细）'!D:D=$F$4,'领用录入（明细）'!C:C&gt;=$J$4,'领用录入（明细）'!C:C&lt;=$L$4),ROW(),"-")</f>
        <v>-</v>
      </c>
    </row>
    <row r="3108" customHeight="1" spans="2:2">
      <c r="B3108" s="62" t="str">
        <f>IF(AND('领用录入（明细）'!D:D=$F$4,'领用录入（明细）'!C:C&gt;=$J$4,'领用录入（明细）'!C:C&lt;=$L$4),ROW(),"-")</f>
        <v>-</v>
      </c>
    </row>
    <row r="3109" customHeight="1" spans="2:2">
      <c r="B3109" s="62" t="str">
        <f>IF(AND('领用录入（明细）'!D:D=$F$4,'领用录入（明细）'!C:C&gt;=$J$4,'领用录入（明细）'!C:C&lt;=$L$4),ROW(),"-")</f>
        <v>-</v>
      </c>
    </row>
    <row r="3110" customHeight="1" spans="2:2">
      <c r="B3110" s="62" t="str">
        <f>IF(AND('领用录入（明细）'!D:D=$F$4,'领用录入（明细）'!C:C&gt;=$J$4,'领用录入（明细）'!C:C&lt;=$L$4),ROW(),"-")</f>
        <v>-</v>
      </c>
    </row>
    <row r="3111" customHeight="1" spans="2:2">
      <c r="B3111" s="62" t="str">
        <f>IF(AND('领用录入（明细）'!D:D=$F$4,'领用录入（明细）'!C:C&gt;=$J$4,'领用录入（明细）'!C:C&lt;=$L$4),ROW(),"-")</f>
        <v>-</v>
      </c>
    </row>
    <row r="3112" customHeight="1" spans="2:2">
      <c r="B3112" s="62" t="str">
        <f>IF(AND('领用录入（明细）'!D:D=$F$4,'领用录入（明细）'!C:C&gt;=$J$4,'领用录入（明细）'!C:C&lt;=$L$4),ROW(),"-")</f>
        <v>-</v>
      </c>
    </row>
    <row r="3113" customHeight="1" spans="2:2">
      <c r="B3113" s="62" t="str">
        <f>IF(AND('领用录入（明细）'!D:D=$F$4,'领用录入（明细）'!C:C&gt;=$J$4,'领用录入（明细）'!C:C&lt;=$L$4),ROW(),"-")</f>
        <v>-</v>
      </c>
    </row>
    <row r="3114" customHeight="1" spans="2:2">
      <c r="B3114" s="62" t="str">
        <f>IF(AND('领用录入（明细）'!D:D=$F$4,'领用录入（明细）'!C:C&gt;=$J$4,'领用录入（明细）'!C:C&lt;=$L$4),ROW(),"-")</f>
        <v>-</v>
      </c>
    </row>
    <row r="3115" customHeight="1" spans="2:2">
      <c r="B3115" s="62" t="str">
        <f>IF(AND('领用录入（明细）'!D:D=$F$4,'领用录入（明细）'!C:C&gt;=$J$4,'领用录入（明细）'!C:C&lt;=$L$4),ROW(),"-")</f>
        <v>-</v>
      </c>
    </row>
    <row r="3116" customHeight="1" spans="2:2">
      <c r="B3116" s="62" t="str">
        <f>IF(AND('领用录入（明细）'!D:D=$F$4,'领用录入（明细）'!C:C&gt;=$J$4,'领用录入（明细）'!C:C&lt;=$L$4),ROW(),"-")</f>
        <v>-</v>
      </c>
    </row>
    <row r="3117" customHeight="1" spans="2:2">
      <c r="B3117" s="62" t="str">
        <f>IF(AND('领用录入（明细）'!D:D=$F$4,'领用录入（明细）'!C:C&gt;=$J$4,'领用录入（明细）'!C:C&lt;=$L$4),ROW(),"-")</f>
        <v>-</v>
      </c>
    </row>
    <row r="3118" customHeight="1" spans="2:2">
      <c r="B3118" s="62" t="str">
        <f>IF(AND('领用录入（明细）'!D:D=$F$4,'领用录入（明细）'!C:C&gt;=$J$4,'领用录入（明细）'!C:C&lt;=$L$4),ROW(),"-")</f>
        <v>-</v>
      </c>
    </row>
    <row r="3119" customHeight="1" spans="2:2">
      <c r="B3119" s="62" t="str">
        <f>IF(AND('领用录入（明细）'!D:D=$F$4,'领用录入（明细）'!C:C&gt;=$J$4,'领用录入（明细）'!C:C&lt;=$L$4),ROW(),"-")</f>
        <v>-</v>
      </c>
    </row>
    <row r="3120" customHeight="1" spans="2:2">
      <c r="B3120" s="62" t="str">
        <f>IF(AND('领用录入（明细）'!D:D=$F$4,'领用录入（明细）'!C:C&gt;=$J$4,'领用录入（明细）'!C:C&lt;=$L$4),ROW(),"-")</f>
        <v>-</v>
      </c>
    </row>
    <row r="3121" customHeight="1" spans="2:2">
      <c r="B3121" s="62" t="str">
        <f>IF(AND('领用录入（明细）'!D:D=$F$4,'领用录入（明细）'!C:C&gt;=$J$4,'领用录入（明细）'!C:C&lt;=$L$4),ROW(),"-")</f>
        <v>-</v>
      </c>
    </row>
    <row r="3122" customHeight="1" spans="2:2">
      <c r="B3122" s="62" t="str">
        <f>IF(AND('领用录入（明细）'!D:D=$F$4,'领用录入（明细）'!C:C&gt;=$J$4,'领用录入（明细）'!C:C&lt;=$L$4),ROW(),"-")</f>
        <v>-</v>
      </c>
    </row>
    <row r="3123" customHeight="1" spans="2:2">
      <c r="B3123" s="62" t="str">
        <f>IF(AND('领用录入（明细）'!D:D=$F$4,'领用录入（明细）'!C:C&gt;=$J$4,'领用录入（明细）'!C:C&lt;=$L$4),ROW(),"-")</f>
        <v>-</v>
      </c>
    </row>
    <row r="3124" customHeight="1" spans="2:2">
      <c r="B3124" s="62" t="str">
        <f>IF(AND('领用录入（明细）'!D:D=$F$4,'领用录入（明细）'!C:C&gt;=$J$4,'领用录入（明细）'!C:C&lt;=$L$4),ROW(),"-")</f>
        <v>-</v>
      </c>
    </row>
    <row r="3125" customHeight="1" spans="2:2">
      <c r="B3125" s="62" t="str">
        <f>IF(AND('领用录入（明细）'!D:D=$F$4,'领用录入（明细）'!C:C&gt;=$J$4,'领用录入（明细）'!C:C&lt;=$L$4),ROW(),"-")</f>
        <v>-</v>
      </c>
    </row>
    <row r="3126" customHeight="1" spans="2:2">
      <c r="B3126" s="62" t="str">
        <f>IF(AND('领用录入（明细）'!D:D=$F$4,'领用录入（明细）'!C:C&gt;=$J$4,'领用录入（明细）'!C:C&lt;=$L$4),ROW(),"-")</f>
        <v>-</v>
      </c>
    </row>
    <row r="3127" customHeight="1" spans="2:2">
      <c r="B3127" s="62" t="str">
        <f>IF(AND('领用录入（明细）'!D:D=$F$4,'领用录入（明细）'!C:C&gt;=$J$4,'领用录入（明细）'!C:C&lt;=$L$4),ROW(),"-")</f>
        <v>-</v>
      </c>
    </row>
    <row r="3128" customHeight="1" spans="2:2">
      <c r="B3128" s="62" t="str">
        <f>IF(AND('领用录入（明细）'!D:D=$F$4,'领用录入（明细）'!C:C&gt;=$J$4,'领用录入（明细）'!C:C&lt;=$L$4),ROW(),"-")</f>
        <v>-</v>
      </c>
    </row>
    <row r="3129" customHeight="1" spans="2:2">
      <c r="B3129" s="62" t="str">
        <f>IF(AND('领用录入（明细）'!D:D=$F$4,'领用录入（明细）'!C:C&gt;=$J$4,'领用录入（明细）'!C:C&lt;=$L$4),ROW(),"-")</f>
        <v>-</v>
      </c>
    </row>
    <row r="3130" customHeight="1" spans="2:2">
      <c r="B3130" s="62" t="str">
        <f>IF(AND('领用录入（明细）'!D:D=$F$4,'领用录入（明细）'!C:C&gt;=$J$4,'领用录入（明细）'!C:C&lt;=$L$4),ROW(),"-")</f>
        <v>-</v>
      </c>
    </row>
    <row r="3131" customHeight="1" spans="2:2">
      <c r="B3131" s="62" t="str">
        <f>IF(AND('领用录入（明细）'!D:D=$F$4,'领用录入（明细）'!C:C&gt;=$J$4,'领用录入（明细）'!C:C&lt;=$L$4),ROW(),"-")</f>
        <v>-</v>
      </c>
    </row>
    <row r="3132" customHeight="1" spans="2:2">
      <c r="B3132" s="62" t="str">
        <f>IF(AND('领用录入（明细）'!D:D=$F$4,'领用录入（明细）'!C:C&gt;=$J$4,'领用录入（明细）'!C:C&lt;=$L$4),ROW(),"-")</f>
        <v>-</v>
      </c>
    </row>
    <row r="3133" customHeight="1" spans="2:2">
      <c r="B3133" s="62" t="str">
        <f>IF(AND('领用录入（明细）'!D:D=$F$4,'领用录入（明细）'!C:C&gt;=$J$4,'领用录入（明细）'!C:C&lt;=$L$4),ROW(),"-")</f>
        <v>-</v>
      </c>
    </row>
    <row r="3134" customHeight="1" spans="2:2">
      <c r="B3134" s="62" t="str">
        <f>IF(AND('领用录入（明细）'!D:D=$F$4,'领用录入（明细）'!C:C&gt;=$J$4,'领用录入（明细）'!C:C&lt;=$L$4),ROW(),"-")</f>
        <v>-</v>
      </c>
    </row>
    <row r="3135" customHeight="1" spans="2:2">
      <c r="B3135" s="62" t="str">
        <f>IF(AND('领用录入（明细）'!D:D=$F$4,'领用录入（明细）'!C:C&gt;=$J$4,'领用录入（明细）'!C:C&lt;=$L$4),ROW(),"-")</f>
        <v>-</v>
      </c>
    </row>
    <row r="3136" customHeight="1" spans="2:2">
      <c r="B3136" s="62" t="str">
        <f>IF(AND('领用录入（明细）'!D:D=$F$4,'领用录入（明细）'!C:C&gt;=$J$4,'领用录入（明细）'!C:C&lt;=$L$4),ROW(),"-")</f>
        <v>-</v>
      </c>
    </row>
    <row r="3137" customHeight="1" spans="2:2">
      <c r="B3137" s="62" t="str">
        <f>IF(AND('领用录入（明细）'!D:D=$F$4,'领用录入（明细）'!C:C&gt;=$J$4,'领用录入（明细）'!C:C&lt;=$L$4),ROW(),"-")</f>
        <v>-</v>
      </c>
    </row>
    <row r="3138" customHeight="1" spans="2:2">
      <c r="B3138" s="62" t="str">
        <f>IF(AND('领用录入（明细）'!D:D=$F$4,'领用录入（明细）'!C:C&gt;=$J$4,'领用录入（明细）'!C:C&lt;=$L$4),ROW(),"-")</f>
        <v>-</v>
      </c>
    </row>
    <row r="3139" customHeight="1" spans="2:2">
      <c r="B3139" s="62" t="str">
        <f>IF(AND('领用录入（明细）'!D:D=$F$4,'领用录入（明细）'!C:C&gt;=$J$4,'领用录入（明细）'!C:C&lt;=$L$4),ROW(),"-")</f>
        <v>-</v>
      </c>
    </row>
    <row r="3140" customHeight="1" spans="2:2">
      <c r="B3140" s="62" t="str">
        <f>IF(AND('领用录入（明细）'!D:D=$F$4,'领用录入（明细）'!C:C&gt;=$J$4,'领用录入（明细）'!C:C&lt;=$L$4),ROW(),"-")</f>
        <v>-</v>
      </c>
    </row>
    <row r="3141" customHeight="1" spans="2:2">
      <c r="B3141" s="62" t="str">
        <f>IF(AND('领用录入（明细）'!D:D=$F$4,'领用录入（明细）'!C:C&gt;=$J$4,'领用录入（明细）'!C:C&lt;=$L$4),ROW(),"-")</f>
        <v>-</v>
      </c>
    </row>
    <row r="3142" customHeight="1" spans="2:2">
      <c r="B3142" s="62" t="str">
        <f>IF(AND('领用录入（明细）'!D:D=$F$4,'领用录入（明细）'!C:C&gt;=$J$4,'领用录入（明细）'!C:C&lt;=$L$4),ROW(),"-")</f>
        <v>-</v>
      </c>
    </row>
    <row r="3143" customHeight="1" spans="2:2">
      <c r="B3143" s="62" t="str">
        <f>IF(AND('领用录入（明细）'!D:D=$F$4,'领用录入（明细）'!C:C&gt;=$J$4,'领用录入（明细）'!C:C&lt;=$L$4),ROW(),"-")</f>
        <v>-</v>
      </c>
    </row>
    <row r="3144" customHeight="1" spans="2:2">
      <c r="B3144" s="62" t="str">
        <f>IF(AND('领用录入（明细）'!D:D=$F$4,'领用录入（明细）'!C:C&gt;=$J$4,'领用录入（明细）'!C:C&lt;=$L$4),ROW(),"-")</f>
        <v>-</v>
      </c>
    </row>
    <row r="3145" customHeight="1" spans="2:2">
      <c r="B3145" s="62" t="str">
        <f>IF(AND('领用录入（明细）'!D:D=$F$4,'领用录入（明细）'!C:C&gt;=$J$4,'领用录入（明细）'!C:C&lt;=$L$4),ROW(),"-")</f>
        <v>-</v>
      </c>
    </row>
    <row r="3146" customHeight="1" spans="2:2">
      <c r="B3146" s="62" t="str">
        <f>IF(AND('领用录入（明细）'!D:D=$F$4,'领用录入（明细）'!C:C&gt;=$J$4,'领用录入（明细）'!C:C&lt;=$L$4),ROW(),"-")</f>
        <v>-</v>
      </c>
    </row>
    <row r="3147" customHeight="1" spans="2:2">
      <c r="B3147" s="62" t="str">
        <f>IF(AND('领用录入（明细）'!D:D=$F$4,'领用录入（明细）'!C:C&gt;=$J$4,'领用录入（明细）'!C:C&lt;=$L$4),ROW(),"-")</f>
        <v>-</v>
      </c>
    </row>
    <row r="3148" customHeight="1" spans="2:2">
      <c r="B3148" s="62" t="str">
        <f>IF(AND('领用录入（明细）'!D:D=$F$4,'领用录入（明细）'!C:C&gt;=$J$4,'领用录入（明细）'!C:C&lt;=$L$4),ROW(),"-")</f>
        <v>-</v>
      </c>
    </row>
    <row r="3149" customHeight="1" spans="2:2">
      <c r="B3149" s="62" t="str">
        <f>IF(AND('领用录入（明细）'!D:D=$F$4,'领用录入（明细）'!C:C&gt;=$J$4,'领用录入（明细）'!C:C&lt;=$L$4),ROW(),"-")</f>
        <v>-</v>
      </c>
    </row>
    <row r="3150" customHeight="1" spans="2:2">
      <c r="B3150" s="62" t="str">
        <f>IF(AND('领用录入（明细）'!D:D=$F$4,'领用录入（明细）'!C:C&gt;=$J$4,'领用录入（明细）'!C:C&lt;=$L$4),ROW(),"-")</f>
        <v>-</v>
      </c>
    </row>
    <row r="3151" customHeight="1" spans="2:2">
      <c r="B3151" s="62" t="str">
        <f>IF(AND('领用录入（明细）'!D:D=$F$4,'领用录入（明细）'!C:C&gt;=$J$4,'领用录入（明细）'!C:C&lt;=$L$4),ROW(),"-")</f>
        <v>-</v>
      </c>
    </row>
    <row r="3152" customHeight="1" spans="2:2">
      <c r="B3152" s="62" t="str">
        <f>IF(AND('领用录入（明细）'!D:D=$F$4,'领用录入（明细）'!C:C&gt;=$J$4,'领用录入（明细）'!C:C&lt;=$L$4),ROW(),"-")</f>
        <v>-</v>
      </c>
    </row>
    <row r="3153" customHeight="1" spans="2:2">
      <c r="B3153" s="62" t="str">
        <f>IF(AND('领用录入（明细）'!D:D=$F$4,'领用录入（明细）'!C:C&gt;=$J$4,'领用录入（明细）'!C:C&lt;=$L$4),ROW(),"-")</f>
        <v>-</v>
      </c>
    </row>
    <row r="3154" customHeight="1" spans="2:2">
      <c r="B3154" s="62" t="str">
        <f>IF(AND('领用录入（明细）'!D:D=$F$4,'领用录入（明细）'!C:C&gt;=$J$4,'领用录入（明细）'!C:C&lt;=$L$4),ROW(),"-")</f>
        <v>-</v>
      </c>
    </row>
    <row r="3155" customHeight="1" spans="2:2">
      <c r="B3155" s="62" t="str">
        <f>IF(AND('领用录入（明细）'!D:D=$F$4,'领用录入（明细）'!C:C&gt;=$J$4,'领用录入（明细）'!C:C&lt;=$L$4),ROW(),"-")</f>
        <v>-</v>
      </c>
    </row>
    <row r="3156" customHeight="1" spans="2:2">
      <c r="B3156" s="62" t="str">
        <f>IF(AND('领用录入（明细）'!D:D=$F$4,'领用录入（明细）'!C:C&gt;=$J$4,'领用录入（明细）'!C:C&lt;=$L$4),ROW(),"-")</f>
        <v>-</v>
      </c>
    </row>
    <row r="3157" customHeight="1" spans="2:2">
      <c r="B3157" s="62" t="str">
        <f>IF(AND('领用录入（明细）'!D:D=$F$4,'领用录入（明细）'!C:C&gt;=$J$4,'领用录入（明细）'!C:C&lt;=$L$4),ROW(),"-")</f>
        <v>-</v>
      </c>
    </row>
    <row r="3158" customHeight="1" spans="2:2">
      <c r="B3158" s="62" t="str">
        <f>IF(AND('领用录入（明细）'!D:D=$F$4,'领用录入（明细）'!C:C&gt;=$J$4,'领用录入（明细）'!C:C&lt;=$L$4),ROW(),"-")</f>
        <v>-</v>
      </c>
    </row>
    <row r="3159" customHeight="1" spans="2:2">
      <c r="B3159" s="62" t="str">
        <f>IF(AND('领用录入（明细）'!D:D=$F$4,'领用录入（明细）'!C:C&gt;=$J$4,'领用录入（明细）'!C:C&lt;=$L$4),ROW(),"-")</f>
        <v>-</v>
      </c>
    </row>
    <row r="3160" customHeight="1" spans="2:2">
      <c r="B3160" s="62" t="str">
        <f>IF(AND('领用录入（明细）'!D:D=$F$4,'领用录入（明细）'!C:C&gt;=$J$4,'领用录入（明细）'!C:C&lt;=$L$4),ROW(),"-")</f>
        <v>-</v>
      </c>
    </row>
    <row r="3161" customHeight="1" spans="2:2">
      <c r="B3161" s="62" t="str">
        <f>IF(AND('领用录入（明细）'!D:D=$F$4,'领用录入（明细）'!C:C&gt;=$J$4,'领用录入（明细）'!C:C&lt;=$L$4),ROW(),"-")</f>
        <v>-</v>
      </c>
    </row>
    <row r="3162" customHeight="1" spans="2:2">
      <c r="B3162" s="62" t="str">
        <f>IF(AND('领用录入（明细）'!D:D=$F$4,'领用录入（明细）'!C:C&gt;=$J$4,'领用录入（明细）'!C:C&lt;=$L$4),ROW(),"-")</f>
        <v>-</v>
      </c>
    </row>
    <row r="3163" customHeight="1" spans="2:2">
      <c r="B3163" s="62" t="str">
        <f>IF(AND('领用录入（明细）'!D:D=$F$4,'领用录入（明细）'!C:C&gt;=$J$4,'领用录入（明细）'!C:C&lt;=$L$4),ROW(),"-")</f>
        <v>-</v>
      </c>
    </row>
    <row r="3164" customHeight="1" spans="2:2">
      <c r="B3164" s="62" t="str">
        <f>IF(AND('领用录入（明细）'!D:D=$F$4,'领用录入（明细）'!C:C&gt;=$J$4,'领用录入（明细）'!C:C&lt;=$L$4),ROW(),"-")</f>
        <v>-</v>
      </c>
    </row>
    <row r="3165" customHeight="1" spans="2:2">
      <c r="B3165" s="62" t="str">
        <f>IF(AND('领用录入（明细）'!D:D=$F$4,'领用录入（明细）'!C:C&gt;=$J$4,'领用录入（明细）'!C:C&lt;=$L$4),ROW(),"-")</f>
        <v>-</v>
      </c>
    </row>
    <row r="3166" customHeight="1" spans="2:2">
      <c r="B3166" s="62" t="str">
        <f>IF(AND('领用录入（明细）'!D:D=$F$4,'领用录入（明细）'!C:C&gt;=$J$4,'领用录入（明细）'!C:C&lt;=$L$4),ROW(),"-")</f>
        <v>-</v>
      </c>
    </row>
    <row r="3167" customHeight="1" spans="2:2">
      <c r="B3167" s="62" t="str">
        <f>IF(AND('领用录入（明细）'!D:D=$F$4,'领用录入（明细）'!C:C&gt;=$J$4,'领用录入（明细）'!C:C&lt;=$L$4),ROW(),"-")</f>
        <v>-</v>
      </c>
    </row>
    <row r="3168" customHeight="1" spans="2:2">
      <c r="B3168" s="62" t="str">
        <f>IF(AND('领用录入（明细）'!D:D=$F$4,'领用录入（明细）'!C:C&gt;=$J$4,'领用录入（明细）'!C:C&lt;=$L$4),ROW(),"-")</f>
        <v>-</v>
      </c>
    </row>
    <row r="3169" customHeight="1" spans="2:2">
      <c r="B3169" s="62" t="str">
        <f>IF(AND('领用录入（明细）'!D:D=$F$4,'领用录入（明细）'!C:C&gt;=$J$4,'领用录入（明细）'!C:C&lt;=$L$4),ROW(),"-")</f>
        <v>-</v>
      </c>
    </row>
    <row r="3170" customHeight="1" spans="2:2">
      <c r="B3170" s="62" t="str">
        <f>IF(AND('领用录入（明细）'!D:D=$F$4,'领用录入（明细）'!C:C&gt;=$J$4,'领用录入（明细）'!C:C&lt;=$L$4),ROW(),"-")</f>
        <v>-</v>
      </c>
    </row>
    <row r="3171" customHeight="1" spans="2:2">
      <c r="B3171" s="62" t="str">
        <f>IF(AND('领用录入（明细）'!D:D=$F$4,'领用录入（明细）'!C:C&gt;=$J$4,'领用录入（明细）'!C:C&lt;=$L$4),ROW(),"-")</f>
        <v>-</v>
      </c>
    </row>
    <row r="3172" customHeight="1" spans="2:2">
      <c r="B3172" s="62" t="str">
        <f>IF(AND('领用录入（明细）'!D:D=$F$4,'领用录入（明细）'!C:C&gt;=$J$4,'领用录入（明细）'!C:C&lt;=$L$4),ROW(),"-")</f>
        <v>-</v>
      </c>
    </row>
    <row r="3173" customHeight="1" spans="2:2">
      <c r="B3173" s="62" t="str">
        <f>IF(AND('领用录入（明细）'!D:D=$F$4,'领用录入（明细）'!C:C&gt;=$J$4,'领用录入（明细）'!C:C&lt;=$L$4),ROW(),"-")</f>
        <v>-</v>
      </c>
    </row>
    <row r="3174" customHeight="1" spans="2:2">
      <c r="B3174" s="62" t="str">
        <f>IF(AND('领用录入（明细）'!D:D=$F$4,'领用录入（明细）'!C:C&gt;=$J$4,'领用录入（明细）'!C:C&lt;=$L$4),ROW(),"-")</f>
        <v>-</v>
      </c>
    </row>
    <row r="3175" customHeight="1" spans="2:2">
      <c r="B3175" s="62" t="str">
        <f>IF(AND('领用录入（明细）'!D:D=$F$4,'领用录入（明细）'!C:C&gt;=$J$4,'领用录入（明细）'!C:C&lt;=$L$4),ROW(),"-")</f>
        <v>-</v>
      </c>
    </row>
    <row r="3176" customHeight="1" spans="2:2">
      <c r="B3176" s="62" t="str">
        <f>IF(AND('领用录入（明细）'!D:D=$F$4,'领用录入（明细）'!C:C&gt;=$J$4,'领用录入（明细）'!C:C&lt;=$L$4),ROW(),"-")</f>
        <v>-</v>
      </c>
    </row>
    <row r="3177" customHeight="1" spans="2:2">
      <c r="B3177" s="62" t="str">
        <f>IF(AND('领用录入（明细）'!D:D=$F$4,'领用录入（明细）'!C:C&gt;=$J$4,'领用录入（明细）'!C:C&lt;=$L$4),ROW(),"-")</f>
        <v>-</v>
      </c>
    </row>
    <row r="3178" customHeight="1" spans="2:2">
      <c r="B3178" s="62" t="str">
        <f>IF(AND('领用录入（明细）'!D:D=$F$4,'领用录入（明细）'!C:C&gt;=$J$4,'领用录入（明细）'!C:C&lt;=$L$4),ROW(),"-")</f>
        <v>-</v>
      </c>
    </row>
    <row r="3179" customHeight="1" spans="2:2">
      <c r="B3179" s="62" t="str">
        <f>IF(AND('领用录入（明细）'!D:D=$F$4,'领用录入（明细）'!C:C&gt;=$J$4,'领用录入（明细）'!C:C&lt;=$L$4),ROW(),"-")</f>
        <v>-</v>
      </c>
    </row>
    <row r="3180" customHeight="1" spans="2:2">
      <c r="B3180" s="62" t="str">
        <f>IF(AND('领用录入（明细）'!D:D=$F$4,'领用录入（明细）'!C:C&gt;=$J$4,'领用录入（明细）'!C:C&lt;=$L$4),ROW(),"-")</f>
        <v>-</v>
      </c>
    </row>
    <row r="3181" customHeight="1" spans="2:2">
      <c r="B3181" s="62" t="str">
        <f>IF(AND('领用录入（明细）'!D:D=$F$4,'领用录入（明细）'!C:C&gt;=$J$4,'领用录入（明细）'!C:C&lt;=$L$4),ROW(),"-")</f>
        <v>-</v>
      </c>
    </row>
    <row r="3182" customHeight="1" spans="2:2">
      <c r="B3182" s="62" t="str">
        <f>IF(AND('领用录入（明细）'!D:D=$F$4,'领用录入（明细）'!C:C&gt;=$J$4,'领用录入（明细）'!C:C&lt;=$L$4),ROW(),"-")</f>
        <v>-</v>
      </c>
    </row>
    <row r="3183" customHeight="1" spans="2:2">
      <c r="B3183" s="62" t="str">
        <f>IF(AND('领用录入（明细）'!D:D=$F$4,'领用录入（明细）'!C:C&gt;=$J$4,'领用录入（明细）'!C:C&lt;=$L$4),ROW(),"-")</f>
        <v>-</v>
      </c>
    </row>
    <row r="3184" customHeight="1" spans="2:2">
      <c r="B3184" s="62" t="str">
        <f>IF(AND('领用录入（明细）'!D:D=$F$4,'领用录入（明细）'!C:C&gt;=$J$4,'领用录入（明细）'!C:C&lt;=$L$4),ROW(),"-")</f>
        <v>-</v>
      </c>
    </row>
    <row r="3185" customHeight="1" spans="2:2">
      <c r="B3185" s="62" t="str">
        <f>IF(AND('领用录入（明细）'!D:D=$F$4,'领用录入（明细）'!C:C&gt;=$J$4,'领用录入（明细）'!C:C&lt;=$L$4),ROW(),"-")</f>
        <v>-</v>
      </c>
    </row>
    <row r="3186" customHeight="1" spans="2:2">
      <c r="B3186" s="62" t="str">
        <f>IF(AND('领用录入（明细）'!D:D=$F$4,'领用录入（明细）'!C:C&gt;=$J$4,'领用录入（明细）'!C:C&lt;=$L$4),ROW(),"-")</f>
        <v>-</v>
      </c>
    </row>
    <row r="3187" customHeight="1" spans="2:2">
      <c r="B3187" s="62" t="str">
        <f>IF(AND('领用录入（明细）'!D:D=$F$4,'领用录入（明细）'!C:C&gt;=$J$4,'领用录入（明细）'!C:C&lt;=$L$4),ROW(),"-")</f>
        <v>-</v>
      </c>
    </row>
    <row r="3188" customHeight="1" spans="2:2">
      <c r="B3188" s="62" t="str">
        <f>IF(AND('领用录入（明细）'!D:D=$F$4,'领用录入（明细）'!C:C&gt;=$J$4,'领用录入（明细）'!C:C&lt;=$L$4),ROW(),"-")</f>
        <v>-</v>
      </c>
    </row>
    <row r="3189" customHeight="1" spans="2:2">
      <c r="B3189" s="62" t="str">
        <f>IF(AND('领用录入（明细）'!D:D=$F$4,'领用录入（明细）'!C:C&gt;=$J$4,'领用录入（明细）'!C:C&lt;=$L$4),ROW(),"-")</f>
        <v>-</v>
      </c>
    </row>
    <row r="3190" customHeight="1" spans="2:2">
      <c r="B3190" s="62" t="str">
        <f>IF(AND('领用录入（明细）'!D:D=$F$4,'领用录入（明细）'!C:C&gt;=$J$4,'领用录入（明细）'!C:C&lt;=$L$4),ROW(),"-")</f>
        <v>-</v>
      </c>
    </row>
    <row r="3191" customHeight="1" spans="2:2">
      <c r="B3191" s="62" t="str">
        <f>IF(AND('领用录入（明细）'!D:D=$F$4,'领用录入（明细）'!C:C&gt;=$J$4,'领用录入（明细）'!C:C&lt;=$L$4),ROW(),"-")</f>
        <v>-</v>
      </c>
    </row>
    <row r="3192" customHeight="1" spans="2:2">
      <c r="B3192" s="62" t="str">
        <f>IF(AND('领用录入（明细）'!D:D=$F$4,'领用录入（明细）'!C:C&gt;=$J$4,'领用录入（明细）'!C:C&lt;=$L$4),ROW(),"-")</f>
        <v>-</v>
      </c>
    </row>
    <row r="3193" customHeight="1" spans="2:2">
      <c r="B3193" s="62" t="str">
        <f>IF(AND('领用录入（明细）'!D:D=$F$4,'领用录入（明细）'!C:C&gt;=$J$4,'领用录入（明细）'!C:C&lt;=$L$4),ROW(),"-")</f>
        <v>-</v>
      </c>
    </row>
    <row r="3194" customHeight="1" spans="2:2">
      <c r="B3194" s="62" t="str">
        <f>IF(AND('领用录入（明细）'!D:D=$F$4,'领用录入（明细）'!C:C&gt;=$J$4,'领用录入（明细）'!C:C&lt;=$L$4),ROW(),"-")</f>
        <v>-</v>
      </c>
    </row>
    <row r="3195" customHeight="1" spans="2:2">
      <c r="B3195" s="62" t="str">
        <f>IF(AND('领用录入（明细）'!D:D=$F$4,'领用录入（明细）'!C:C&gt;=$J$4,'领用录入（明细）'!C:C&lt;=$L$4),ROW(),"-")</f>
        <v>-</v>
      </c>
    </row>
    <row r="3196" customHeight="1" spans="2:2">
      <c r="B3196" s="62" t="str">
        <f>IF(AND('领用录入（明细）'!D:D=$F$4,'领用录入（明细）'!C:C&gt;=$J$4,'领用录入（明细）'!C:C&lt;=$L$4),ROW(),"-")</f>
        <v>-</v>
      </c>
    </row>
    <row r="3197" customHeight="1" spans="2:2">
      <c r="B3197" s="62" t="str">
        <f>IF(AND('领用录入（明细）'!D:D=$F$4,'领用录入（明细）'!C:C&gt;=$J$4,'领用录入（明细）'!C:C&lt;=$L$4),ROW(),"-")</f>
        <v>-</v>
      </c>
    </row>
    <row r="3198" customHeight="1" spans="2:2">
      <c r="B3198" s="62" t="str">
        <f>IF(AND('领用录入（明细）'!D:D=$F$4,'领用录入（明细）'!C:C&gt;=$J$4,'领用录入（明细）'!C:C&lt;=$L$4),ROW(),"-")</f>
        <v>-</v>
      </c>
    </row>
    <row r="3199" customHeight="1" spans="2:2">
      <c r="B3199" s="62" t="str">
        <f>IF(AND('领用录入（明细）'!D:D=$F$4,'领用录入（明细）'!C:C&gt;=$J$4,'领用录入（明细）'!C:C&lt;=$L$4),ROW(),"-")</f>
        <v>-</v>
      </c>
    </row>
    <row r="3200" customHeight="1" spans="2:2">
      <c r="B3200" s="62" t="str">
        <f>IF(AND('领用录入（明细）'!D:D=$F$4,'领用录入（明细）'!C:C&gt;=$J$4,'领用录入（明细）'!C:C&lt;=$L$4),ROW(),"-")</f>
        <v>-</v>
      </c>
    </row>
    <row r="3201" customHeight="1" spans="2:2">
      <c r="B3201" s="62" t="str">
        <f>IF(AND('领用录入（明细）'!D:D=$F$4,'领用录入（明细）'!C:C&gt;=$J$4,'领用录入（明细）'!C:C&lt;=$L$4),ROW(),"-")</f>
        <v>-</v>
      </c>
    </row>
    <row r="3202" customHeight="1" spans="2:2">
      <c r="B3202" s="62" t="str">
        <f>IF(AND('领用录入（明细）'!D:D=$F$4,'领用录入（明细）'!C:C&gt;=$J$4,'领用录入（明细）'!C:C&lt;=$L$4),ROW(),"-")</f>
        <v>-</v>
      </c>
    </row>
    <row r="3203" customHeight="1" spans="2:2">
      <c r="B3203" s="62" t="str">
        <f>IF(AND('领用录入（明细）'!D:D=$F$4,'领用录入（明细）'!C:C&gt;=$J$4,'领用录入（明细）'!C:C&lt;=$L$4),ROW(),"-")</f>
        <v>-</v>
      </c>
    </row>
    <row r="3204" customHeight="1" spans="2:2">
      <c r="B3204" s="62" t="str">
        <f>IF(AND('领用录入（明细）'!D:D=$F$4,'领用录入（明细）'!C:C&gt;=$J$4,'领用录入（明细）'!C:C&lt;=$L$4),ROW(),"-")</f>
        <v>-</v>
      </c>
    </row>
    <row r="3205" customHeight="1" spans="2:2">
      <c r="B3205" s="62" t="str">
        <f>IF(AND('领用录入（明细）'!D:D=$F$4,'领用录入（明细）'!C:C&gt;=$J$4,'领用录入（明细）'!C:C&lt;=$L$4),ROW(),"-")</f>
        <v>-</v>
      </c>
    </row>
    <row r="3206" customHeight="1" spans="2:2">
      <c r="B3206" s="62" t="str">
        <f>IF(AND('领用录入（明细）'!D:D=$F$4,'领用录入（明细）'!C:C&gt;=$J$4,'领用录入（明细）'!C:C&lt;=$L$4),ROW(),"-")</f>
        <v>-</v>
      </c>
    </row>
    <row r="3207" customHeight="1" spans="2:2">
      <c r="B3207" s="62" t="str">
        <f>IF(AND('领用录入（明细）'!D:D=$F$4,'领用录入（明细）'!C:C&gt;=$J$4,'领用录入（明细）'!C:C&lt;=$L$4),ROW(),"-")</f>
        <v>-</v>
      </c>
    </row>
    <row r="3208" customHeight="1" spans="2:2">
      <c r="B3208" s="62" t="str">
        <f>IF(AND('领用录入（明细）'!D:D=$F$4,'领用录入（明细）'!C:C&gt;=$J$4,'领用录入（明细）'!C:C&lt;=$L$4),ROW(),"-")</f>
        <v>-</v>
      </c>
    </row>
    <row r="3209" customHeight="1" spans="2:2">
      <c r="B3209" s="62" t="str">
        <f>IF(AND('领用录入（明细）'!D:D=$F$4,'领用录入（明细）'!C:C&gt;=$J$4,'领用录入（明细）'!C:C&lt;=$L$4),ROW(),"-")</f>
        <v>-</v>
      </c>
    </row>
    <row r="3210" customHeight="1" spans="2:2">
      <c r="B3210" s="62" t="str">
        <f>IF(AND('领用录入（明细）'!D:D=$F$4,'领用录入（明细）'!C:C&gt;=$J$4,'领用录入（明细）'!C:C&lt;=$L$4),ROW(),"-")</f>
        <v>-</v>
      </c>
    </row>
    <row r="3211" customHeight="1" spans="2:2">
      <c r="B3211" s="62" t="str">
        <f>IF(AND('领用录入（明细）'!D:D=$F$4,'领用录入（明细）'!C:C&gt;=$J$4,'领用录入（明细）'!C:C&lt;=$L$4),ROW(),"-")</f>
        <v>-</v>
      </c>
    </row>
    <row r="3212" customHeight="1" spans="2:2">
      <c r="B3212" s="62" t="str">
        <f>IF(AND('领用录入（明细）'!D:D=$F$4,'领用录入（明细）'!C:C&gt;=$J$4,'领用录入（明细）'!C:C&lt;=$L$4),ROW(),"-")</f>
        <v>-</v>
      </c>
    </row>
    <row r="3213" customHeight="1" spans="2:2">
      <c r="B3213" s="62" t="str">
        <f>IF(AND('领用录入（明细）'!D:D=$F$4,'领用录入（明细）'!C:C&gt;=$J$4,'领用录入（明细）'!C:C&lt;=$L$4),ROW(),"-")</f>
        <v>-</v>
      </c>
    </row>
    <row r="3214" customHeight="1" spans="2:2">
      <c r="B3214" s="62" t="str">
        <f>IF(AND('领用录入（明细）'!D:D=$F$4,'领用录入（明细）'!C:C&gt;=$J$4,'领用录入（明细）'!C:C&lt;=$L$4),ROW(),"-")</f>
        <v>-</v>
      </c>
    </row>
    <row r="3215" customHeight="1" spans="2:2">
      <c r="B3215" s="62" t="str">
        <f>IF(AND('领用录入（明细）'!D:D=$F$4,'领用录入（明细）'!C:C&gt;=$J$4,'领用录入（明细）'!C:C&lt;=$L$4),ROW(),"-")</f>
        <v>-</v>
      </c>
    </row>
    <row r="3216" customHeight="1" spans="2:2">
      <c r="B3216" s="62" t="str">
        <f>IF(AND('领用录入（明细）'!D:D=$F$4,'领用录入（明细）'!C:C&gt;=$J$4,'领用录入（明细）'!C:C&lt;=$L$4),ROW(),"-")</f>
        <v>-</v>
      </c>
    </row>
    <row r="3217" customHeight="1" spans="2:2">
      <c r="B3217" s="62" t="str">
        <f>IF(AND('领用录入（明细）'!D:D=$F$4,'领用录入（明细）'!C:C&gt;=$J$4,'领用录入（明细）'!C:C&lt;=$L$4),ROW(),"-")</f>
        <v>-</v>
      </c>
    </row>
    <row r="3218" customHeight="1" spans="2:2">
      <c r="B3218" s="62" t="str">
        <f>IF(AND('领用录入（明细）'!D:D=$F$4,'领用录入（明细）'!C:C&gt;=$J$4,'领用录入（明细）'!C:C&lt;=$L$4),ROW(),"-")</f>
        <v>-</v>
      </c>
    </row>
    <row r="3219" customHeight="1" spans="2:2">
      <c r="B3219" s="62" t="str">
        <f>IF(AND('领用录入（明细）'!D:D=$F$4,'领用录入（明细）'!C:C&gt;=$J$4,'领用录入（明细）'!C:C&lt;=$L$4),ROW(),"-")</f>
        <v>-</v>
      </c>
    </row>
    <row r="3220" customHeight="1" spans="2:2">
      <c r="B3220" s="62" t="str">
        <f>IF(AND('领用录入（明细）'!D:D=$F$4,'领用录入（明细）'!C:C&gt;=$J$4,'领用录入（明细）'!C:C&lt;=$L$4),ROW(),"-")</f>
        <v>-</v>
      </c>
    </row>
    <row r="3221" customHeight="1" spans="2:2">
      <c r="B3221" s="62" t="str">
        <f>IF(AND('领用录入（明细）'!D:D=$F$4,'领用录入（明细）'!C:C&gt;=$J$4,'领用录入（明细）'!C:C&lt;=$L$4),ROW(),"-")</f>
        <v>-</v>
      </c>
    </row>
    <row r="3222" customHeight="1" spans="2:2">
      <c r="B3222" s="62" t="str">
        <f>IF(AND('领用录入（明细）'!D:D=$F$4,'领用录入（明细）'!C:C&gt;=$J$4,'领用录入（明细）'!C:C&lt;=$L$4),ROW(),"-")</f>
        <v>-</v>
      </c>
    </row>
    <row r="3223" customHeight="1" spans="2:2">
      <c r="B3223" s="62" t="str">
        <f>IF(AND('领用录入（明细）'!D:D=$F$4,'领用录入（明细）'!C:C&gt;=$J$4,'领用录入（明细）'!C:C&lt;=$L$4),ROW(),"-")</f>
        <v>-</v>
      </c>
    </row>
    <row r="3224" customHeight="1" spans="2:2">
      <c r="B3224" s="62" t="str">
        <f>IF(AND('领用录入（明细）'!D:D=$F$4,'领用录入（明细）'!C:C&gt;=$J$4,'领用录入（明细）'!C:C&lt;=$L$4),ROW(),"-")</f>
        <v>-</v>
      </c>
    </row>
    <row r="3225" customHeight="1" spans="2:2">
      <c r="B3225" s="62" t="str">
        <f>IF(AND('领用录入（明细）'!D:D=$F$4,'领用录入（明细）'!C:C&gt;=$J$4,'领用录入（明细）'!C:C&lt;=$L$4),ROW(),"-")</f>
        <v>-</v>
      </c>
    </row>
    <row r="3226" customHeight="1" spans="2:2">
      <c r="B3226" s="62" t="str">
        <f>IF(AND('领用录入（明细）'!D:D=$F$4,'领用录入（明细）'!C:C&gt;=$J$4,'领用录入（明细）'!C:C&lt;=$L$4),ROW(),"-")</f>
        <v>-</v>
      </c>
    </row>
    <row r="3227" customHeight="1" spans="2:2">
      <c r="B3227" s="62" t="str">
        <f>IF(AND('领用录入（明细）'!D:D=$F$4,'领用录入（明细）'!C:C&gt;=$J$4,'领用录入（明细）'!C:C&lt;=$L$4),ROW(),"-")</f>
        <v>-</v>
      </c>
    </row>
    <row r="3228" customHeight="1" spans="2:2">
      <c r="B3228" s="62" t="str">
        <f>IF(AND('领用录入（明细）'!D:D=$F$4,'领用录入（明细）'!C:C&gt;=$J$4,'领用录入（明细）'!C:C&lt;=$L$4),ROW(),"-")</f>
        <v>-</v>
      </c>
    </row>
    <row r="3229" customHeight="1" spans="2:2">
      <c r="B3229" s="62" t="str">
        <f>IF(AND('领用录入（明细）'!D:D=$F$4,'领用录入（明细）'!C:C&gt;=$J$4,'领用录入（明细）'!C:C&lt;=$L$4),ROW(),"-")</f>
        <v>-</v>
      </c>
    </row>
    <row r="3230" customHeight="1" spans="2:2">
      <c r="B3230" s="62" t="str">
        <f>IF(AND('领用录入（明细）'!D:D=$F$4,'领用录入（明细）'!C:C&gt;=$J$4,'领用录入（明细）'!C:C&lt;=$L$4),ROW(),"-")</f>
        <v>-</v>
      </c>
    </row>
    <row r="3231" customHeight="1" spans="2:2">
      <c r="B3231" s="62" t="str">
        <f>IF(AND('领用录入（明细）'!D:D=$F$4,'领用录入（明细）'!C:C&gt;=$J$4,'领用录入（明细）'!C:C&lt;=$L$4),ROW(),"-")</f>
        <v>-</v>
      </c>
    </row>
    <row r="3232" customHeight="1" spans="2:2">
      <c r="B3232" s="62" t="str">
        <f>IF(AND('领用录入（明细）'!D:D=$F$4,'领用录入（明细）'!C:C&gt;=$J$4,'领用录入（明细）'!C:C&lt;=$L$4),ROW(),"-")</f>
        <v>-</v>
      </c>
    </row>
    <row r="3233" customHeight="1" spans="2:2">
      <c r="B3233" s="62" t="str">
        <f>IF(AND('领用录入（明细）'!D:D=$F$4,'领用录入（明细）'!C:C&gt;=$J$4,'领用录入（明细）'!C:C&lt;=$L$4),ROW(),"-")</f>
        <v>-</v>
      </c>
    </row>
    <row r="3234" customHeight="1" spans="2:2">
      <c r="B3234" s="62" t="str">
        <f>IF(AND('领用录入（明细）'!D:D=$F$4,'领用录入（明细）'!C:C&gt;=$J$4,'领用录入（明细）'!C:C&lt;=$L$4),ROW(),"-")</f>
        <v>-</v>
      </c>
    </row>
    <row r="3235" customHeight="1" spans="2:2">
      <c r="B3235" s="62" t="str">
        <f>IF(AND('领用录入（明细）'!D:D=$F$4,'领用录入（明细）'!C:C&gt;=$J$4,'领用录入（明细）'!C:C&lt;=$L$4),ROW(),"-")</f>
        <v>-</v>
      </c>
    </row>
    <row r="3236" customHeight="1" spans="2:2">
      <c r="B3236" s="62" t="str">
        <f>IF(AND('领用录入（明细）'!D:D=$F$4,'领用录入（明细）'!C:C&gt;=$J$4,'领用录入（明细）'!C:C&lt;=$L$4),ROW(),"-")</f>
        <v>-</v>
      </c>
    </row>
    <row r="3237" customHeight="1" spans="2:2">
      <c r="B3237" s="62" t="str">
        <f>IF(AND('领用录入（明细）'!D:D=$F$4,'领用录入（明细）'!C:C&gt;=$J$4,'领用录入（明细）'!C:C&lt;=$L$4),ROW(),"-")</f>
        <v>-</v>
      </c>
    </row>
    <row r="3238" customHeight="1" spans="2:2">
      <c r="B3238" s="62" t="str">
        <f>IF(AND('领用录入（明细）'!D:D=$F$4,'领用录入（明细）'!C:C&gt;=$J$4,'领用录入（明细）'!C:C&lt;=$L$4),ROW(),"-")</f>
        <v>-</v>
      </c>
    </row>
    <row r="3239" customHeight="1" spans="2:2">
      <c r="B3239" s="62" t="str">
        <f>IF(AND('领用录入（明细）'!D:D=$F$4,'领用录入（明细）'!C:C&gt;=$J$4,'领用录入（明细）'!C:C&lt;=$L$4),ROW(),"-")</f>
        <v>-</v>
      </c>
    </row>
    <row r="3240" customHeight="1" spans="2:2">
      <c r="B3240" s="62" t="str">
        <f>IF(AND('领用录入（明细）'!D:D=$F$4,'领用录入（明细）'!C:C&gt;=$J$4,'领用录入（明细）'!C:C&lt;=$L$4),ROW(),"-")</f>
        <v>-</v>
      </c>
    </row>
    <row r="3241" customHeight="1" spans="2:2">
      <c r="B3241" s="62" t="str">
        <f>IF(AND('领用录入（明细）'!D:D=$F$4,'领用录入（明细）'!C:C&gt;=$J$4,'领用录入（明细）'!C:C&lt;=$L$4),ROW(),"-")</f>
        <v>-</v>
      </c>
    </row>
    <row r="3242" customHeight="1" spans="2:2">
      <c r="B3242" s="62" t="str">
        <f>IF(AND('领用录入（明细）'!D:D=$F$4,'领用录入（明细）'!C:C&gt;=$J$4,'领用录入（明细）'!C:C&lt;=$L$4),ROW(),"-")</f>
        <v>-</v>
      </c>
    </row>
    <row r="3243" customHeight="1" spans="2:2">
      <c r="B3243" s="62" t="str">
        <f>IF(AND('领用录入（明细）'!D:D=$F$4,'领用录入（明细）'!C:C&gt;=$J$4,'领用录入（明细）'!C:C&lt;=$L$4),ROW(),"-")</f>
        <v>-</v>
      </c>
    </row>
    <row r="3244" customHeight="1" spans="2:2">
      <c r="B3244" s="62" t="str">
        <f>IF(AND('领用录入（明细）'!D:D=$F$4,'领用录入（明细）'!C:C&gt;=$J$4,'领用录入（明细）'!C:C&lt;=$L$4),ROW(),"-")</f>
        <v>-</v>
      </c>
    </row>
    <row r="3245" customHeight="1" spans="2:2">
      <c r="B3245" s="62" t="str">
        <f>IF(AND('领用录入（明细）'!D:D=$F$4,'领用录入（明细）'!C:C&gt;=$J$4,'领用录入（明细）'!C:C&lt;=$L$4),ROW(),"-")</f>
        <v>-</v>
      </c>
    </row>
    <row r="3246" customHeight="1" spans="2:2">
      <c r="B3246" s="62" t="str">
        <f>IF(AND('领用录入（明细）'!D:D=$F$4,'领用录入（明细）'!C:C&gt;=$J$4,'领用录入（明细）'!C:C&lt;=$L$4),ROW(),"-")</f>
        <v>-</v>
      </c>
    </row>
    <row r="3247" customHeight="1" spans="2:2">
      <c r="B3247" s="62" t="str">
        <f>IF(AND('领用录入（明细）'!D:D=$F$4,'领用录入（明细）'!C:C&gt;=$J$4,'领用录入（明细）'!C:C&lt;=$L$4),ROW(),"-")</f>
        <v>-</v>
      </c>
    </row>
    <row r="3248" customHeight="1" spans="2:2">
      <c r="B3248" s="62" t="str">
        <f>IF(AND('领用录入（明细）'!D:D=$F$4,'领用录入（明细）'!C:C&gt;=$J$4,'领用录入（明细）'!C:C&lt;=$L$4),ROW(),"-")</f>
        <v>-</v>
      </c>
    </row>
    <row r="3249" customHeight="1" spans="2:2">
      <c r="B3249" s="62" t="str">
        <f>IF(AND('领用录入（明细）'!D:D=$F$4,'领用录入（明细）'!C:C&gt;=$J$4,'领用录入（明细）'!C:C&lt;=$L$4),ROW(),"-")</f>
        <v>-</v>
      </c>
    </row>
    <row r="3250" customHeight="1" spans="2:2">
      <c r="B3250" s="62" t="str">
        <f>IF(AND('领用录入（明细）'!D:D=$F$4,'领用录入（明细）'!C:C&gt;=$J$4,'领用录入（明细）'!C:C&lt;=$L$4),ROW(),"-")</f>
        <v>-</v>
      </c>
    </row>
    <row r="3251" customHeight="1" spans="2:2">
      <c r="B3251" s="62" t="str">
        <f>IF(AND('领用录入（明细）'!D:D=$F$4,'领用录入（明细）'!C:C&gt;=$J$4,'领用录入（明细）'!C:C&lt;=$L$4),ROW(),"-")</f>
        <v>-</v>
      </c>
    </row>
    <row r="3252" customHeight="1" spans="2:2">
      <c r="B3252" s="62" t="str">
        <f>IF(AND('领用录入（明细）'!D:D=$F$4,'领用录入（明细）'!C:C&gt;=$J$4,'领用录入（明细）'!C:C&lt;=$L$4),ROW(),"-")</f>
        <v>-</v>
      </c>
    </row>
    <row r="3253" customHeight="1" spans="2:2">
      <c r="B3253" s="62" t="str">
        <f>IF(AND('领用录入（明细）'!D:D=$F$4,'领用录入（明细）'!C:C&gt;=$J$4,'领用录入（明细）'!C:C&lt;=$L$4),ROW(),"-")</f>
        <v>-</v>
      </c>
    </row>
    <row r="3254" customHeight="1" spans="2:2">
      <c r="B3254" s="62" t="str">
        <f>IF(AND('领用录入（明细）'!D:D=$F$4,'领用录入（明细）'!C:C&gt;=$J$4,'领用录入（明细）'!C:C&lt;=$L$4),ROW(),"-")</f>
        <v>-</v>
      </c>
    </row>
    <row r="3255" customHeight="1" spans="2:2">
      <c r="B3255" s="62" t="str">
        <f>IF(AND('领用录入（明细）'!D:D=$F$4,'领用录入（明细）'!C:C&gt;=$J$4,'领用录入（明细）'!C:C&lt;=$L$4),ROW(),"-")</f>
        <v>-</v>
      </c>
    </row>
    <row r="3256" customHeight="1" spans="2:2">
      <c r="B3256" s="62" t="str">
        <f>IF(AND('领用录入（明细）'!D:D=$F$4,'领用录入（明细）'!C:C&gt;=$J$4,'领用录入（明细）'!C:C&lt;=$L$4),ROW(),"-")</f>
        <v>-</v>
      </c>
    </row>
    <row r="3257" customHeight="1" spans="2:2">
      <c r="B3257" s="62" t="str">
        <f>IF(AND('领用录入（明细）'!D:D=$F$4,'领用录入（明细）'!C:C&gt;=$J$4,'领用录入（明细）'!C:C&lt;=$L$4),ROW(),"-")</f>
        <v>-</v>
      </c>
    </row>
    <row r="3258" customHeight="1" spans="2:2">
      <c r="B3258" s="62" t="str">
        <f>IF(AND('领用录入（明细）'!D:D=$F$4,'领用录入（明细）'!C:C&gt;=$J$4,'领用录入（明细）'!C:C&lt;=$L$4),ROW(),"-")</f>
        <v>-</v>
      </c>
    </row>
    <row r="3259" customHeight="1" spans="2:2">
      <c r="B3259" s="62" t="str">
        <f>IF(AND('领用录入（明细）'!D:D=$F$4,'领用录入（明细）'!C:C&gt;=$J$4,'领用录入（明细）'!C:C&lt;=$L$4),ROW(),"-")</f>
        <v>-</v>
      </c>
    </row>
    <row r="3260" customHeight="1" spans="2:2">
      <c r="B3260" s="62" t="str">
        <f>IF(AND('领用录入（明细）'!D:D=$F$4,'领用录入（明细）'!C:C&gt;=$J$4,'领用录入（明细）'!C:C&lt;=$L$4),ROW(),"-")</f>
        <v>-</v>
      </c>
    </row>
    <row r="3261" customHeight="1" spans="2:2">
      <c r="B3261" s="62" t="str">
        <f>IF(AND('领用录入（明细）'!D:D=$F$4,'领用录入（明细）'!C:C&gt;=$J$4,'领用录入（明细）'!C:C&lt;=$L$4),ROW(),"-")</f>
        <v>-</v>
      </c>
    </row>
    <row r="3262" customHeight="1" spans="2:2">
      <c r="B3262" s="62" t="str">
        <f>IF(AND('领用录入（明细）'!D:D=$F$4,'领用录入（明细）'!C:C&gt;=$J$4,'领用录入（明细）'!C:C&lt;=$L$4),ROW(),"-")</f>
        <v>-</v>
      </c>
    </row>
    <row r="3263" customHeight="1" spans="2:2">
      <c r="B3263" s="62" t="str">
        <f>IF(AND('领用录入（明细）'!D:D=$F$4,'领用录入（明细）'!C:C&gt;=$J$4,'领用录入（明细）'!C:C&lt;=$L$4),ROW(),"-")</f>
        <v>-</v>
      </c>
    </row>
    <row r="3264" customHeight="1" spans="2:2">
      <c r="B3264" s="62" t="str">
        <f>IF(AND('领用录入（明细）'!D:D=$F$4,'领用录入（明细）'!C:C&gt;=$J$4,'领用录入（明细）'!C:C&lt;=$L$4),ROW(),"-")</f>
        <v>-</v>
      </c>
    </row>
    <row r="3265" customHeight="1" spans="2:2">
      <c r="B3265" s="62" t="str">
        <f>IF(AND('领用录入（明细）'!D:D=$F$4,'领用录入（明细）'!C:C&gt;=$J$4,'领用录入（明细）'!C:C&lt;=$L$4),ROW(),"-")</f>
        <v>-</v>
      </c>
    </row>
    <row r="3266" customHeight="1" spans="2:2">
      <c r="B3266" s="62" t="str">
        <f>IF(AND('领用录入（明细）'!D:D=$F$4,'领用录入（明细）'!C:C&gt;=$J$4,'领用录入（明细）'!C:C&lt;=$L$4),ROW(),"-")</f>
        <v>-</v>
      </c>
    </row>
    <row r="3267" customHeight="1" spans="2:2">
      <c r="B3267" s="62" t="str">
        <f>IF(AND('领用录入（明细）'!D:D=$F$4,'领用录入（明细）'!C:C&gt;=$J$4,'领用录入（明细）'!C:C&lt;=$L$4),ROW(),"-")</f>
        <v>-</v>
      </c>
    </row>
    <row r="3268" customHeight="1" spans="2:2">
      <c r="B3268" s="62" t="str">
        <f>IF(AND('领用录入（明细）'!D:D=$F$4,'领用录入（明细）'!C:C&gt;=$J$4,'领用录入（明细）'!C:C&lt;=$L$4),ROW(),"-")</f>
        <v>-</v>
      </c>
    </row>
    <row r="3269" customHeight="1" spans="2:2">
      <c r="B3269" s="62" t="str">
        <f>IF(AND('领用录入（明细）'!D:D=$F$4,'领用录入（明细）'!C:C&gt;=$J$4,'领用录入（明细）'!C:C&lt;=$L$4),ROW(),"-")</f>
        <v>-</v>
      </c>
    </row>
    <row r="3270" customHeight="1" spans="2:2">
      <c r="B3270" s="62" t="str">
        <f>IF(AND('领用录入（明细）'!D:D=$F$4,'领用录入（明细）'!C:C&gt;=$J$4,'领用录入（明细）'!C:C&lt;=$L$4),ROW(),"-")</f>
        <v>-</v>
      </c>
    </row>
    <row r="3271" customHeight="1" spans="2:2">
      <c r="B3271" s="62" t="str">
        <f>IF(AND('领用录入（明细）'!D:D=$F$4,'领用录入（明细）'!C:C&gt;=$J$4,'领用录入（明细）'!C:C&lt;=$L$4),ROW(),"-")</f>
        <v>-</v>
      </c>
    </row>
    <row r="3272" customHeight="1" spans="2:2">
      <c r="B3272" s="62" t="str">
        <f>IF(AND('领用录入（明细）'!D:D=$F$4,'领用录入（明细）'!C:C&gt;=$J$4,'领用录入（明细）'!C:C&lt;=$L$4),ROW(),"-")</f>
        <v>-</v>
      </c>
    </row>
    <row r="3273" customHeight="1" spans="2:2">
      <c r="B3273" s="62" t="str">
        <f>IF(AND('领用录入（明细）'!D:D=$F$4,'领用录入（明细）'!C:C&gt;=$J$4,'领用录入（明细）'!C:C&lt;=$L$4),ROW(),"-")</f>
        <v>-</v>
      </c>
    </row>
    <row r="3274" customHeight="1" spans="2:2">
      <c r="B3274" s="62" t="str">
        <f>IF(AND('领用录入（明细）'!D:D=$F$4,'领用录入（明细）'!C:C&gt;=$J$4,'领用录入（明细）'!C:C&lt;=$L$4),ROW(),"-")</f>
        <v>-</v>
      </c>
    </row>
    <row r="3275" customHeight="1" spans="2:2">
      <c r="B3275" s="62" t="str">
        <f>IF(AND('领用录入（明细）'!D:D=$F$4,'领用录入（明细）'!C:C&gt;=$J$4,'领用录入（明细）'!C:C&lt;=$L$4),ROW(),"-")</f>
        <v>-</v>
      </c>
    </row>
    <row r="3276" customHeight="1" spans="2:2">
      <c r="B3276" s="62" t="str">
        <f>IF(AND('领用录入（明细）'!D:D=$F$4,'领用录入（明细）'!C:C&gt;=$J$4,'领用录入（明细）'!C:C&lt;=$L$4),ROW(),"-")</f>
        <v>-</v>
      </c>
    </row>
    <row r="3277" customHeight="1" spans="2:2">
      <c r="B3277" s="62" t="str">
        <f>IF(AND('领用录入（明细）'!D:D=$F$4,'领用录入（明细）'!C:C&gt;=$J$4,'领用录入（明细）'!C:C&lt;=$L$4),ROW(),"-")</f>
        <v>-</v>
      </c>
    </row>
    <row r="3278" customHeight="1" spans="2:2">
      <c r="B3278" s="62" t="str">
        <f>IF(AND('领用录入（明细）'!D:D=$F$4,'领用录入（明细）'!C:C&gt;=$J$4,'领用录入（明细）'!C:C&lt;=$L$4),ROW(),"-")</f>
        <v>-</v>
      </c>
    </row>
    <row r="3279" customHeight="1" spans="2:2">
      <c r="B3279" s="62" t="str">
        <f>IF(AND('领用录入（明细）'!D:D=$F$4,'领用录入（明细）'!C:C&gt;=$J$4,'领用录入（明细）'!C:C&lt;=$L$4),ROW(),"-")</f>
        <v>-</v>
      </c>
    </row>
    <row r="3280" customHeight="1" spans="2:2">
      <c r="B3280" s="62" t="str">
        <f>IF(AND('领用录入（明细）'!D:D=$F$4,'领用录入（明细）'!C:C&gt;=$J$4,'领用录入（明细）'!C:C&lt;=$L$4),ROW(),"-")</f>
        <v>-</v>
      </c>
    </row>
    <row r="3281" customHeight="1" spans="2:2">
      <c r="B3281" s="62" t="str">
        <f>IF(AND('领用录入（明细）'!D:D=$F$4,'领用录入（明细）'!C:C&gt;=$J$4,'领用录入（明细）'!C:C&lt;=$L$4),ROW(),"-")</f>
        <v>-</v>
      </c>
    </row>
    <row r="3282" customHeight="1" spans="2:2">
      <c r="B3282" s="62" t="str">
        <f>IF(AND('领用录入（明细）'!D:D=$F$4,'领用录入（明细）'!C:C&gt;=$J$4,'领用录入（明细）'!C:C&lt;=$L$4),ROW(),"-")</f>
        <v>-</v>
      </c>
    </row>
    <row r="3283" customHeight="1" spans="2:2">
      <c r="B3283" s="62" t="str">
        <f>IF(AND('领用录入（明细）'!D:D=$F$4,'领用录入（明细）'!C:C&gt;=$J$4,'领用录入（明细）'!C:C&lt;=$L$4),ROW(),"-")</f>
        <v>-</v>
      </c>
    </row>
    <row r="3284" customHeight="1" spans="2:2">
      <c r="B3284" s="62" t="str">
        <f>IF(AND('领用录入（明细）'!D:D=$F$4,'领用录入（明细）'!C:C&gt;=$J$4,'领用录入（明细）'!C:C&lt;=$L$4),ROW(),"-")</f>
        <v>-</v>
      </c>
    </row>
    <row r="3285" customHeight="1" spans="2:2">
      <c r="B3285" s="62" t="str">
        <f>IF(AND('领用录入（明细）'!D:D=$F$4,'领用录入（明细）'!C:C&gt;=$J$4,'领用录入（明细）'!C:C&lt;=$L$4),ROW(),"-")</f>
        <v>-</v>
      </c>
    </row>
    <row r="3286" customHeight="1" spans="2:2">
      <c r="B3286" s="62" t="str">
        <f>IF(AND('领用录入（明细）'!D:D=$F$4,'领用录入（明细）'!C:C&gt;=$J$4,'领用录入（明细）'!C:C&lt;=$L$4),ROW(),"-")</f>
        <v>-</v>
      </c>
    </row>
    <row r="3287" customHeight="1" spans="2:2">
      <c r="B3287" s="62" t="str">
        <f>IF(AND('领用录入（明细）'!D:D=$F$4,'领用录入（明细）'!C:C&gt;=$J$4,'领用录入（明细）'!C:C&lt;=$L$4),ROW(),"-")</f>
        <v>-</v>
      </c>
    </row>
    <row r="3288" customHeight="1" spans="2:2">
      <c r="B3288" s="62" t="str">
        <f>IF(AND('领用录入（明细）'!D:D=$F$4,'领用录入（明细）'!C:C&gt;=$J$4,'领用录入（明细）'!C:C&lt;=$L$4),ROW(),"-")</f>
        <v>-</v>
      </c>
    </row>
    <row r="3289" customHeight="1" spans="2:2">
      <c r="B3289" s="62" t="str">
        <f>IF(AND('领用录入（明细）'!D:D=$F$4,'领用录入（明细）'!C:C&gt;=$J$4,'领用录入（明细）'!C:C&lt;=$L$4),ROW(),"-")</f>
        <v>-</v>
      </c>
    </row>
    <row r="3290" customHeight="1" spans="2:2">
      <c r="B3290" s="62" t="str">
        <f>IF(AND('领用录入（明细）'!D:D=$F$4,'领用录入（明细）'!C:C&gt;=$J$4,'领用录入（明细）'!C:C&lt;=$L$4),ROW(),"-")</f>
        <v>-</v>
      </c>
    </row>
    <row r="3291" customHeight="1" spans="2:2">
      <c r="B3291" s="62" t="str">
        <f>IF(AND('领用录入（明细）'!D:D=$F$4,'领用录入（明细）'!C:C&gt;=$J$4,'领用录入（明细）'!C:C&lt;=$L$4),ROW(),"-")</f>
        <v>-</v>
      </c>
    </row>
    <row r="3292" customHeight="1" spans="2:2">
      <c r="B3292" s="62" t="str">
        <f>IF(AND('领用录入（明细）'!D:D=$F$4,'领用录入（明细）'!C:C&gt;=$J$4,'领用录入（明细）'!C:C&lt;=$L$4),ROW(),"-")</f>
        <v>-</v>
      </c>
    </row>
    <row r="3293" customHeight="1" spans="2:2">
      <c r="B3293" s="62" t="str">
        <f>IF(AND('领用录入（明细）'!D:D=$F$4,'领用录入（明细）'!C:C&gt;=$J$4,'领用录入（明细）'!C:C&lt;=$L$4),ROW(),"-")</f>
        <v>-</v>
      </c>
    </row>
    <row r="3294" customHeight="1" spans="2:2">
      <c r="B3294" s="62" t="str">
        <f>IF(AND('领用录入（明细）'!D:D=$F$4,'领用录入（明细）'!C:C&gt;=$J$4,'领用录入（明细）'!C:C&lt;=$L$4),ROW(),"-")</f>
        <v>-</v>
      </c>
    </row>
    <row r="3295" customHeight="1" spans="2:2">
      <c r="B3295" s="62" t="str">
        <f>IF(AND('领用录入（明细）'!D:D=$F$4,'领用录入（明细）'!C:C&gt;=$J$4,'领用录入（明细）'!C:C&lt;=$L$4),ROW(),"-")</f>
        <v>-</v>
      </c>
    </row>
    <row r="3296" customHeight="1" spans="2:2">
      <c r="B3296" s="62" t="str">
        <f>IF(AND('领用录入（明细）'!D:D=$F$4,'领用录入（明细）'!C:C&gt;=$J$4,'领用录入（明细）'!C:C&lt;=$L$4),ROW(),"-")</f>
        <v>-</v>
      </c>
    </row>
    <row r="3297" customHeight="1" spans="2:2">
      <c r="B3297" s="62" t="str">
        <f>IF(AND('领用录入（明细）'!D:D=$F$4,'领用录入（明细）'!C:C&gt;=$J$4,'领用录入（明细）'!C:C&lt;=$L$4),ROW(),"-")</f>
        <v>-</v>
      </c>
    </row>
    <row r="3298" customHeight="1" spans="2:2">
      <c r="B3298" s="62" t="str">
        <f>IF(AND('领用录入（明细）'!D:D=$F$4,'领用录入（明细）'!C:C&gt;=$J$4,'领用录入（明细）'!C:C&lt;=$L$4),ROW(),"-")</f>
        <v>-</v>
      </c>
    </row>
    <row r="3299" customHeight="1" spans="2:2">
      <c r="B3299" s="62" t="str">
        <f>IF(AND('领用录入（明细）'!D:D=$F$4,'领用录入（明细）'!C:C&gt;=$J$4,'领用录入（明细）'!C:C&lt;=$L$4),ROW(),"-")</f>
        <v>-</v>
      </c>
    </row>
    <row r="3300" customHeight="1" spans="2:2">
      <c r="B3300" s="62" t="str">
        <f>IF(AND('领用录入（明细）'!D:D=$F$4,'领用录入（明细）'!C:C&gt;=$J$4,'领用录入（明细）'!C:C&lt;=$L$4),ROW(),"-")</f>
        <v>-</v>
      </c>
    </row>
    <row r="3301" customHeight="1" spans="2:2">
      <c r="B3301" s="62" t="str">
        <f>IF(AND('领用录入（明细）'!D:D=$F$4,'领用录入（明细）'!C:C&gt;=$J$4,'领用录入（明细）'!C:C&lt;=$L$4),ROW(),"-")</f>
        <v>-</v>
      </c>
    </row>
    <row r="3302" customHeight="1" spans="2:2">
      <c r="B3302" s="62" t="str">
        <f>IF(AND('领用录入（明细）'!D:D=$F$4,'领用录入（明细）'!C:C&gt;=$J$4,'领用录入（明细）'!C:C&lt;=$L$4),ROW(),"-")</f>
        <v>-</v>
      </c>
    </row>
    <row r="3303" customHeight="1" spans="2:2">
      <c r="B3303" s="62" t="str">
        <f>IF(AND('领用录入（明细）'!D:D=$F$4,'领用录入（明细）'!C:C&gt;=$J$4,'领用录入（明细）'!C:C&lt;=$L$4),ROW(),"-")</f>
        <v>-</v>
      </c>
    </row>
    <row r="3304" customHeight="1" spans="2:2">
      <c r="B3304" s="62" t="str">
        <f>IF(AND('领用录入（明细）'!D:D=$F$4,'领用录入（明细）'!C:C&gt;=$J$4,'领用录入（明细）'!C:C&lt;=$L$4),ROW(),"-")</f>
        <v>-</v>
      </c>
    </row>
    <row r="3305" customHeight="1" spans="2:2">
      <c r="B3305" s="62" t="str">
        <f>IF(AND('领用录入（明细）'!D:D=$F$4,'领用录入（明细）'!C:C&gt;=$J$4,'领用录入（明细）'!C:C&lt;=$L$4),ROW(),"-")</f>
        <v>-</v>
      </c>
    </row>
    <row r="3306" customHeight="1" spans="2:2">
      <c r="B3306" s="62" t="str">
        <f>IF(AND('领用录入（明细）'!D:D=$F$4,'领用录入（明细）'!C:C&gt;=$J$4,'领用录入（明细）'!C:C&lt;=$L$4),ROW(),"-")</f>
        <v>-</v>
      </c>
    </row>
    <row r="3307" customHeight="1" spans="2:2">
      <c r="B3307" s="62" t="str">
        <f>IF(AND('领用录入（明细）'!D:D=$F$4,'领用录入（明细）'!C:C&gt;=$J$4,'领用录入（明细）'!C:C&lt;=$L$4),ROW(),"-")</f>
        <v>-</v>
      </c>
    </row>
    <row r="3308" customHeight="1" spans="2:2">
      <c r="B3308" s="62" t="str">
        <f>IF(AND('领用录入（明细）'!D:D=$F$4,'领用录入（明细）'!C:C&gt;=$J$4,'领用录入（明细）'!C:C&lt;=$L$4),ROW(),"-")</f>
        <v>-</v>
      </c>
    </row>
    <row r="3309" customHeight="1" spans="2:2">
      <c r="B3309" s="62" t="str">
        <f>IF(AND('领用录入（明细）'!D:D=$F$4,'领用录入（明细）'!C:C&gt;=$J$4,'领用录入（明细）'!C:C&lt;=$L$4),ROW(),"-")</f>
        <v>-</v>
      </c>
    </row>
    <row r="3310" customHeight="1" spans="2:2">
      <c r="B3310" s="62" t="str">
        <f>IF(AND('领用录入（明细）'!D:D=$F$4,'领用录入（明细）'!C:C&gt;=$J$4,'领用录入（明细）'!C:C&lt;=$L$4),ROW(),"-")</f>
        <v>-</v>
      </c>
    </row>
    <row r="3311" customHeight="1" spans="2:2">
      <c r="B3311" s="62" t="str">
        <f>IF(AND('领用录入（明细）'!D:D=$F$4,'领用录入（明细）'!C:C&gt;=$J$4,'领用录入（明细）'!C:C&lt;=$L$4),ROW(),"-")</f>
        <v>-</v>
      </c>
    </row>
    <row r="3312" customHeight="1" spans="2:2">
      <c r="B3312" s="62" t="str">
        <f>IF(AND('领用录入（明细）'!D:D=$F$4,'领用录入（明细）'!C:C&gt;=$J$4,'领用录入（明细）'!C:C&lt;=$L$4),ROW(),"-")</f>
        <v>-</v>
      </c>
    </row>
    <row r="3313" customHeight="1" spans="2:2">
      <c r="B3313" s="62" t="str">
        <f>IF(AND('领用录入（明细）'!D:D=$F$4,'领用录入（明细）'!C:C&gt;=$J$4,'领用录入（明细）'!C:C&lt;=$L$4),ROW(),"-")</f>
        <v>-</v>
      </c>
    </row>
    <row r="3314" customHeight="1" spans="2:2">
      <c r="B3314" s="62" t="str">
        <f>IF(AND('领用录入（明细）'!D:D=$F$4,'领用录入（明细）'!C:C&gt;=$J$4,'领用录入（明细）'!C:C&lt;=$L$4),ROW(),"-")</f>
        <v>-</v>
      </c>
    </row>
    <row r="3315" customHeight="1" spans="2:2">
      <c r="B3315" s="62" t="str">
        <f>IF(AND('领用录入（明细）'!D:D=$F$4,'领用录入（明细）'!C:C&gt;=$J$4,'领用录入（明细）'!C:C&lt;=$L$4),ROW(),"-")</f>
        <v>-</v>
      </c>
    </row>
    <row r="3316" customHeight="1" spans="2:2">
      <c r="B3316" s="62" t="str">
        <f>IF(AND('领用录入（明细）'!D:D=$F$4,'领用录入（明细）'!C:C&gt;=$J$4,'领用录入（明细）'!C:C&lt;=$L$4),ROW(),"-")</f>
        <v>-</v>
      </c>
    </row>
    <row r="3317" customHeight="1" spans="2:2">
      <c r="B3317" s="62" t="str">
        <f>IF(AND('领用录入（明细）'!D:D=$F$4,'领用录入（明细）'!C:C&gt;=$J$4,'领用录入（明细）'!C:C&lt;=$L$4),ROW(),"-")</f>
        <v>-</v>
      </c>
    </row>
    <row r="3318" customHeight="1" spans="2:2">
      <c r="B3318" s="62" t="str">
        <f>IF(AND('领用录入（明细）'!D:D=$F$4,'领用录入（明细）'!C:C&gt;=$J$4,'领用录入（明细）'!C:C&lt;=$L$4),ROW(),"-")</f>
        <v>-</v>
      </c>
    </row>
    <row r="3319" customHeight="1" spans="2:2">
      <c r="B3319" s="62" t="str">
        <f>IF(AND('领用录入（明细）'!D:D=$F$4,'领用录入（明细）'!C:C&gt;=$J$4,'领用录入（明细）'!C:C&lt;=$L$4),ROW(),"-")</f>
        <v>-</v>
      </c>
    </row>
    <row r="3320" customHeight="1" spans="2:2">
      <c r="B3320" s="62" t="str">
        <f>IF(AND('领用录入（明细）'!D:D=$F$4,'领用录入（明细）'!C:C&gt;=$J$4,'领用录入（明细）'!C:C&lt;=$L$4),ROW(),"-")</f>
        <v>-</v>
      </c>
    </row>
    <row r="3321" customHeight="1" spans="2:2">
      <c r="B3321" s="62" t="str">
        <f>IF(AND('领用录入（明细）'!D:D=$F$4,'领用录入（明细）'!C:C&gt;=$J$4,'领用录入（明细）'!C:C&lt;=$L$4),ROW(),"-")</f>
        <v>-</v>
      </c>
    </row>
    <row r="3322" customHeight="1" spans="2:2">
      <c r="B3322" s="62" t="str">
        <f>IF(AND('领用录入（明细）'!D:D=$F$4,'领用录入（明细）'!C:C&gt;=$J$4,'领用录入（明细）'!C:C&lt;=$L$4),ROW(),"-")</f>
        <v>-</v>
      </c>
    </row>
    <row r="3323" customHeight="1" spans="2:2">
      <c r="B3323" s="62" t="str">
        <f>IF(AND('领用录入（明细）'!D:D=$F$4,'领用录入（明细）'!C:C&gt;=$J$4,'领用录入（明细）'!C:C&lt;=$L$4),ROW(),"-")</f>
        <v>-</v>
      </c>
    </row>
    <row r="3324" customHeight="1" spans="2:2">
      <c r="B3324" s="62" t="str">
        <f>IF(AND('领用录入（明细）'!D:D=$F$4,'领用录入（明细）'!C:C&gt;=$J$4,'领用录入（明细）'!C:C&lt;=$L$4),ROW(),"-")</f>
        <v>-</v>
      </c>
    </row>
    <row r="3325" customHeight="1" spans="2:2">
      <c r="B3325" s="62" t="str">
        <f>IF(AND('领用录入（明细）'!D:D=$F$4,'领用录入（明细）'!C:C&gt;=$J$4,'领用录入（明细）'!C:C&lt;=$L$4),ROW(),"-")</f>
        <v>-</v>
      </c>
    </row>
    <row r="3326" customHeight="1" spans="2:2">
      <c r="B3326" s="62" t="str">
        <f>IF(AND('领用录入（明细）'!D:D=$F$4,'领用录入（明细）'!C:C&gt;=$J$4,'领用录入（明细）'!C:C&lt;=$L$4),ROW(),"-")</f>
        <v>-</v>
      </c>
    </row>
    <row r="3327" customHeight="1" spans="2:2">
      <c r="B3327" s="62" t="str">
        <f>IF(AND('领用录入（明细）'!D:D=$F$4,'领用录入（明细）'!C:C&gt;=$J$4,'领用录入（明细）'!C:C&lt;=$L$4),ROW(),"-")</f>
        <v>-</v>
      </c>
    </row>
    <row r="3328" customHeight="1" spans="2:2">
      <c r="B3328" s="62" t="str">
        <f>IF(AND('领用录入（明细）'!D:D=$F$4,'领用录入（明细）'!C:C&gt;=$J$4,'领用录入（明细）'!C:C&lt;=$L$4),ROW(),"-")</f>
        <v>-</v>
      </c>
    </row>
    <row r="3329" customHeight="1" spans="2:2">
      <c r="B3329" s="62" t="str">
        <f>IF(AND('领用录入（明细）'!D:D=$F$4,'领用录入（明细）'!C:C&gt;=$J$4,'领用录入（明细）'!C:C&lt;=$L$4),ROW(),"-")</f>
        <v>-</v>
      </c>
    </row>
    <row r="3330" customHeight="1" spans="2:2">
      <c r="B3330" s="62" t="str">
        <f>IF(AND('领用录入（明细）'!D:D=$F$4,'领用录入（明细）'!C:C&gt;=$J$4,'领用录入（明细）'!C:C&lt;=$L$4),ROW(),"-")</f>
        <v>-</v>
      </c>
    </row>
    <row r="3331" customHeight="1" spans="2:2">
      <c r="B3331" s="62" t="str">
        <f>IF(AND('领用录入（明细）'!D:D=$F$4,'领用录入（明细）'!C:C&gt;=$J$4,'领用录入（明细）'!C:C&lt;=$L$4),ROW(),"-")</f>
        <v>-</v>
      </c>
    </row>
    <row r="3332" customHeight="1" spans="2:2">
      <c r="B3332" s="62" t="str">
        <f>IF(AND('领用录入（明细）'!D:D=$F$4,'领用录入（明细）'!C:C&gt;=$J$4,'领用录入（明细）'!C:C&lt;=$L$4),ROW(),"-")</f>
        <v>-</v>
      </c>
    </row>
    <row r="3333" customHeight="1" spans="2:2">
      <c r="B3333" s="62" t="str">
        <f>IF(AND('领用录入（明细）'!D:D=$F$4,'领用录入（明细）'!C:C&gt;=$J$4,'领用录入（明细）'!C:C&lt;=$L$4),ROW(),"-")</f>
        <v>-</v>
      </c>
    </row>
    <row r="3334" customHeight="1" spans="2:2">
      <c r="B3334" s="62" t="str">
        <f>IF(AND('领用录入（明细）'!D:D=$F$4,'领用录入（明细）'!C:C&gt;=$J$4,'领用录入（明细）'!C:C&lt;=$L$4),ROW(),"-")</f>
        <v>-</v>
      </c>
    </row>
    <row r="3335" customHeight="1" spans="2:2">
      <c r="B3335" s="62" t="str">
        <f>IF(AND('领用录入（明细）'!D:D=$F$4,'领用录入（明细）'!C:C&gt;=$J$4,'领用录入（明细）'!C:C&lt;=$L$4),ROW(),"-")</f>
        <v>-</v>
      </c>
    </row>
    <row r="3336" customHeight="1" spans="2:2">
      <c r="B3336" s="62" t="str">
        <f>IF(AND('领用录入（明细）'!D:D=$F$4,'领用录入（明细）'!C:C&gt;=$J$4,'领用录入（明细）'!C:C&lt;=$L$4),ROW(),"-")</f>
        <v>-</v>
      </c>
    </row>
    <row r="3337" customHeight="1" spans="2:2">
      <c r="B3337" s="62" t="str">
        <f>IF(AND('领用录入（明细）'!D:D=$F$4,'领用录入（明细）'!C:C&gt;=$J$4,'领用录入（明细）'!C:C&lt;=$L$4),ROW(),"-")</f>
        <v>-</v>
      </c>
    </row>
    <row r="3338" customHeight="1" spans="2:2">
      <c r="B3338" s="62" t="str">
        <f>IF(AND('领用录入（明细）'!D:D=$F$4,'领用录入（明细）'!C:C&gt;=$J$4,'领用录入（明细）'!C:C&lt;=$L$4),ROW(),"-")</f>
        <v>-</v>
      </c>
    </row>
    <row r="3339" customHeight="1" spans="2:2">
      <c r="B3339" s="62" t="str">
        <f>IF(AND('领用录入（明细）'!D:D=$F$4,'领用录入（明细）'!C:C&gt;=$J$4,'领用录入（明细）'!C:C&lt;=$L$4),ROW(),"-")</f>
        <v>-</v>
      </c>
    </row>
    <row r="3340" customHeight="1" spans="2:2">
      <c r="B3340" s="62" t="str">
        <f>IF(AND('领用录入（明细）'!D:D=$F$4,'领用录入（明细）'!C:C&gt;=$J$4,'领用录入（明细）'!C:C&lt;=$L$4),ROW(),"-")</f>
        <v>-</v>
      </c>
    </row>
    <row r="3341" customHeight="1" spans="2:2">
      <c r="B3341" s="62" t="str">
        <f>IF(AND('领用录入（明细）'!D:D=$F$4,'领用录入（明细）'!C:C&gt;=$J$4,'领用录入（明细）'!C:C&lt;=$L$4),ROW(),"-")</f>
        <v>-</v>
      </c>
    </row>
    <row r="3342" customHeight="1" spans="2:2">
      <c r="B3342" s="62" t="str">
        <f>IF(AND('领用录入（明细）'!D:D=$F$4,'领用录入（明细）'!C:C&gt;=$J$4,'领用录入（明细）'!C:C&lt;=$L$4),ROW(),"-")</f>
        <v>-</v>
      </c>
    </row>
    <row r="3343" customHeight="1" spans="2:2">
      <c r="B3343" s="62" t="str">
        <f>IF(AND('领用录入（明细）'!D:D=$F$4,'领用录入（明细）'!C:C&gt;=$J$4,'领用录入（明细）'!C:C&lt;=$L$4),ROW(),"-")</f>
        <v>-</v>
      </c>
    </row>
    <row r="3344" customHeight="1" spans="2:2">
      <c r="B3344" s="62" t="str">
        <f>IF(AND('领用录入（明细）'!D:D=$F$4,'领用录入（明细）'!C:C&gt;=$J$4,'领用录入（明细）'!C:C&lt;=$L$4),ROW(),"-")</f>
        <v>-</v>
      </c>
    </row>
    <row r="3345" customHeight="1" spans="2:2">
      <c r="B3345" s="62" t="str">
        <f>IF(AND('领用录入（明细）'!D:D=$F$4,'领用录入（明细）'!C:C&gt;=$J$4,'领用录入（明细）'!C:C&lt;=$L$4),ROW(),"-")</f>
        <v>-</v>
      </c>
    </row>
    <row r="3346" customHeight="1" spans="2:2">
      <c r="B3346" s="62" t="str">
        <f>IF(AND('领用录入（明细）'!D:D=$F$4,'领用录入（明细）'!C:C&gt;=$J$4,'领用录入（明细）'!C:C&lt;=$L$4),ROW(),"-")</f>
        <v>-</v>
      </c>
    </row>
    <row r="3347" customHeight="1" spans="2:2">
      <c r="B3347" s="62" t="str">
        <f>IF(AND('领用录入（明细）'!D:D=$F$4,'领用录入（明细）'!C:C&gt;=$J$4,'领用录入（明细）'!C:C&lt;=$L$4),ROW(),"-")</f>
        <v>-</v>
      </c>
    </row>
    <row r="3348" customHeight="1" spans="2:2">
      <c r="B3348" s="62" t="str">
        <f>IF(AND('领用录入（明细）'!D:D=$F$4,'领用录入（明细）'!C:C&gt;=$J$4,'领用录入（明细）'!C:C&lt;=$L$4),ROW(),"-")</f>
        <v>-</v>
      </c>
    </row>
    <row r="3349" customHeight="1" spans="2:2">
      <c r="B3349" s="62" t="str">
        <f>IF(AND('领用录入（明细）'!D:D=$F$4,'领用录入（明细）'!C:C&gt;=$J$4,'领用录入（明细）'!C:C&lt;=$L$4),ROW(),"-")</f>
        <v>-</v>
      </c>
    </row>
    <row r="3350" customHeight="1" spans="2:2">
      <c r="B3350" s="62" t="str">
        <f>IF(AND('领用录入（明细）'!D:D=$F$4,'领用录入（明细）'!C:C&gt;=$J$4,'领用录入（明细）'!C:C&lt;=$L$4),ROW(),"-")</f>
        <v>-</v>
      </c>
    </row>
    <row r="3351" customHeight="1" spans="2:2">
      <c r="B3351" s="62" t="str">
        <f>IF(AND('领用录入（明细）'!D:D=$F$4,'领用录入（明细）'!C:C&gt;=$J$4,'领用录入（明细）'!C:C&lt;=$L$4),ROW(),"-")</f>
        <v>-</v>
      </c>
    </row>
    <row r="3352" customHeight="1" spans="2:2">
      <c r="B3352" s="62" t="str">
        <f>IF(AND('领用录入（明细）'!D:D=$F$4,'领用录入（明细）'!C:C&gt;=$J$4,'领用录入（明细）'!C:C&lt;=$L$4),ROW(),"-")</f>
        <v>-</v>
      </c>
    </row>
    <row r="3353" customHeight="1" spans="2:2">
      <c r="B3353" s="62" t="str">
        <f>IF(AND('领用录入（明细）'!D:D=$F$4,'领用录入（明细）'!C:C&gt;=$J$4,'领用录入（明细）'!C:C&lt;=$L$4),ROW(),"-")</f>
        <v>-</v>
      </c>
    </row>
    <row r="3354" customHeight="1" spans="2:2">
      <c r="B3354" s="62" t="str">
        <f>IF(AND('领用录入（明细）'!D:D=$F$4,'领用录入（明细）'!C:C&gt;=$J$4,'领用录入（明细）'!C:C&lt;=$L$4),ROW(),"-")</f>
        <v>-</v>
      </c>
    </row>
    <row r="3355" customHeight="1" spans="2:2">
      <c r="B3355" s="62" t="str">
        <f>IF(AND('领用录入（明细）'!D:D=$F$4,'领用录入（明细）'!C:C&gt;=$J$4,'领用录入（明细）'!C:C&lt;=$L$4),ROW(),"-")</f>
        <v>-</v>
      </c>
    </row>
    <row r="3356" customHeight="1" spans="2:2">
      <c r="B3356" s="62" t="str">
        <f>IF(AND('领用录入（明细）'!D:D=$F$4,'领用录入（明细）'!C:C&gt;=$J$4,'领用录入（明细）'!C:C&lt;=$L$4),ROW(),"-")</f>
        <v>-</v>
      </c>
    </row>
    <row r="3357" customHeight="1" spans="2:2">
      <c r="B3357" s="62" t="str">
        <f>IF(AND('领用录入（明细）'!D:D=$F$4,'领用录入（明细）'!C:C&gt;=$J$4,'领用录入（明细）'!C:C&lt;=$L$4),ROW(),"-")</f>
        <v>-</v>
      </c>
    </row>
    <row r="3358" customHeight="1" spans="2:2">
      <c r="B3358" s="62" t="str">
        <f>IF(AND('领用录入（明细）'!D:D=$F$4,'领用录入（明细）'!C:C&gt;=$J$4,'领用录入（明细）'!C:C&lt;=$L$4),ROW(),"-")</f>
        <v>-</v>
      </c>
    </row>
    <row r="3359" customHeight="1" spans="2:2">
      <c r="B3359" s="62" t="str">
        <f>IF(AND('领用录入（明细）'!D:D=$F$4,'领用录入（明细）'!C:C&gt;=$J$4,'领用录入（明细）'!C:C&lt;=$L$4),ROW(),"-")</f>
        <v>-</v>
      </c>
    </row>
    <row r="3360" customHeight="1" spans="2:2">
      <c r="B3360" s="62" t="str">
        <f>IF(AND('领用录入（明细）'!D:D=$F$4,'领用录入（明细）'!C:C&gt;=$J$4,'领用录入（明细）'!C:C&lt;=$L$4),ROW(),"-")</f>
        <v>-</v>
      </c>
    </row>
    <row r="3361" customHeight="1" spans="2:2">
      <c r="B3361" s="62" t="str">
        <f>IF(AND('领用录入（明细）'!D:D=$F$4,'领用录入（明细）'!C:C&gt;=$J$4,'领用录入（明细）'!C:C&lt;=$L$4),ROW(),"-")</f>
        <v>-</v>
      </c>
    </row>
    <row r="3362" customHeight="1" spans="2:2">
      <c r="B3362" s="62" t="str">
        <f>IF(AND('领用录入（明细）'!D:D=$F$4,'领用录入（明细）'!C:C&gt;=$J$4,'领用录入（明细）'!C:C&lt;=$L$4),ROW(),"-")</f>
        <v>-</v>
      </c>
    </row>
    <row r="3363" customHeight="1" spans="2:2">
      <c r="B3363" s="62" t="str">
        <f>IF(AND('领用录入（明细）'!D:D=$F$4,'领用录入（明细）'!C:C&gt;=$J$4,'领用录入（明细）'!C:C&lt;=$L$4),ROW(),"-")</f>
        <v>-</v>
      </c>
    </row>
    <row r="3364" customHeight="1" spans="2:2">
      <c r="B3364" s="62" t="str">
        <f>IF(AND('领用录入（明细）'!D:D=$F$4,'领用录入（明细）'!C:C&gt;=$J$4,'领用录入（明细）'!C:C&lt;=$L$4),ROW(),"-")</f>
        <v>-</v>
      </c>
    </row>
    <row r="3365" customHeight="1" spans="2:2">
      <c r="B3365" s="62" t="str">
        <f>IF(AND('领用录入（明细）'!D:D=$F$4,'领用录入（明细）'!C:C&gt;=$J$4,'领用录入（明细）'!C:C&lt;=$L$4),ROW(),"-")</f>
        <v>-</v>
      </c>
    </row>
    <row r="3366" customHeight="1" spans="2:2">
      <c r="B3366" s="62" t="str">
        <f>IF(AND('领用录入（明细）'!D:D=$F$4,'领用录入（明细）'!C:C&gt;=$J$4,'领用录入（明细）'!C:C&lt;=$L$4),ROW(),"-")</f>
        <v>-</v>
      </c>
    </row>
    <row r="3367" customHeight="1" spans="2:2">
      <c r="B3367" s="62" t="str">
        <f>IF(AND('领用录入（明细）'!D:D=$F$4,'领用录入（明细）'!C:C&gt;=$J$4,'领用录入（明细）'!C:C&lt;=$L$4),ROW(),"-")</f>
        <v>-</v>
      </c>
    </row>
    <row r="3368" customHeight="1" spans="2:2">
      <c r="B3368" s="62" t="str">
        <f>IF(AND('领用录入（明细）'!D:D=$F$4,'领用录入（明细）'!C:C&gt;=$J$4,'领用录入（明细）'!C:C&lt;=$L$4),ROW(),"-")</f>
        <v>-</v>
      </c>
    </row>
    <row r="3369" customHeight="1" spans="2:2">
      <c r="B3369" s="62" t="str">
        <f>IF(AND('领用录入（明细）'!D:D=$F$4,'领用录入（明细）'!C:C&gt;=$J$4,'领用录入（明细）'!C:C&lt;=$L$4),ROW(),"-")</f>
        <v>-</v>
      </c>
    </row>
    <row r="3370" customHeight="1" spans="2:2">
      <c r="B3370" s="62" t="str">
        <f>IF(AND('领用录入（明细）'!D:D=$F$4,'领用录入（明细）'!C:C&gt;=$J$4,'领用录入（明细）'!C:C&lt;=$L$4),ROW(),"-")</f>
        <v>-</v>
      </c>
    </row>
    <row r="3371" customHeight="1" spans="2:2">
      <c r="B3371" s="62" t="str">
        <f>IF(AND('领用录入（明细）'!D:D=$F$4,'领用录入（明细）'!C:C&gt;=$J$4,'领用录入（明细）'!C:C&lt;=$L$4),ROW(),"-")</f>
        <v>-</v>
      </c>
    </row>
    <row r="3372" customHeight="1" spans="2:2">
      <c r="B3372" s="62" t="str">
        <f>IF(AND('领用录入（明细）'!D:D=$F$4,'领用录入（明细）'!C:C&gt;=$J$4,'领用录入（明细）'!C:C&lt;=$L$4),ROW(),"-")</f>
        <v>-</v>
      </c>
    </row>
    <row r="3373" customHeight="1" spans="2:2">
      <c r="B3373" s="62" t="str">
        <f>IF(AND('领用录入（明细）'!D:D=$F$4,'领用录入（明细）'!C:C&gt;=$J$4,'领用录入（明细）'!C:C&lt;=$L$4),ROW(),"-")</f>
        <v>-</v>
      </c>
    </row>
    <row r="3374" customHeight="1" spans="2:2">
      <c r="B3374" s="62" t="str">
        <f>IF(AND('领用录入（明细）'!D:D=$F$4,'领用录入（明细）'!C:C&gt;=$J$4,'领用录入（明细）'!C:C&lt;=$L$4),ROW(),"-")</f>
        <v>-</v>
      </c>
    </row>
    <row r="3375" customHeight="1" spans="2:2">
      <c r="B3375" s="62" t="str">
        <f>IF(AND('领用录入（明细）'!D:D=$F$4,'领用录入（明细）'!C:C&gt;=$J$4,'领用录入（明细）'!C:C&lt;=$L$4),ROW(),"-")</f>
        <v>-</v>
      </c>
    </row>
    <row r="3376" customHeight="1" spans="2:2">
      <c r="B3376" s="62" t="str">
        <f>IF(AND('领用录入（明细）'!D:D=$F$4,'领用录入（明细）'!C:C&gt;=$J$4,'领用录入（明细）'!C:C&lt;=$L$4),ROW(),"-")</f>
        <v>-</v>
      </c>
    </row>
    <row r="3377" customHeight="1" spans="2:2">
      <c r="B3377" s="62" t="str">
        <f>IF(AND('领用录入（明细）'!D:D=$F$4,'领用录入（明细）'!C:C&gt;=$J$4,'领用录入（明细）'!C:C&lt;=$L$4),ROW(),"-")</f>
        <v>-</v>
      </c>
    </row>
    <row r="3378" customHeight="1" spans="2:2">
      <c r="B3378" s="62" t="str">
        <f>IF(AND('领用录入（明细）'!D:D=$F$4,'领用录入（明细）'!C:C&gt;=$J$4,'领用录入（明细）'!C:C&lt;=$L$4),ROW(),"-")</f>
        <v>-</v>
      </c>
    </row>
    <row r="3379" customHeight="1" spans="2:2">
      <c r="B3379" s="62" t="str">
        <f>IF(AND('领用录入（明细）'!D:D=$F$4,'领用录入（明细）'!C:C&gt;=$J$4,'领用录入（明细）'!C:C&lt;=$L$4),ROW(),"-")</f>
        <v>-</v>
      </c>
    </row>
    <row r="3380" customHeight="1" spans="2:2">
      <c r="B3380" s="62" t="str">
        <f>IF(AND('领用录入（明细）'!D:D=$F$4,'领用录入（明细）'!C:C&gt;=$J$4,'领用录入（明细）'!C:C&lt;=$L$4),ROW(),"-")</f>
        <v>-</v>
      </c>
    </row>
    <row r="3381" customHeight="1" spans="2:2">
      <c r="B3381" s="62" t="str">
        <f>IF(AND('领用录入（明细）'!D:D=$F$4,'领用录入（明细）'!C:C&gt;=$J$4,'领用录入（明细）'!C:C&lt;=$L$4),ROW(),"-")</f>
        <v>-</v>
      </c>
    </row>
    <row r="3382" customHeight="1" spans="2:2">
      <c r="B3382" s="62" t="str">
        <f>IF(AND('领用录入（明细）'!D:D=$F$4,'领用录入（明细）'!C:C&gt;=$J$4,'领用录入（明细）'!C:C&lt;=$L$4),ROW(),"-")</f>
        <v>-</v>
      </c>
    </row>
    <row r="3383" customHeight="1" spans="2:2">
      <c r="B3383" s="62" t="str">
        <f>IF(AND('领用录入（明细）'!D:D=$F$4,'领用录入（明细）'!C:C&gt;=$J$4,'领用录入（明细）'!C:C&lt;=$L$4),ROW(),"-")</f>
        <v>-</v>
      </c>
    </row>
    <row r="3384" customHeight="1" spans="2:2">
      <c r="B3384" s="62" t="str">
        <f>IF(AND('领用录入（明细）'!D:D=$F$4,'领用录入（明细）'!C:C&gt;=$J$4,'领用录入（明细）'!C:C&lt;=$L$4),ROW(),"-")</f>
        <v>-</v>
      </c>
    </row>
    <row r="3385" customHeight="1" spans="2:2">
      <c r="B3385" s="62" t="str">
        <f>IF(AND('领用录入（明细）'!D:D=$F$4,'领用录入（明细）'!C:C&gt;=$J$4,'领用录入（明细）'!C:C&lt;=$L$4),ROW(),"-")</f>
        <v>-</v>
      </c>
    </row>
    <row r="3386" customHeight="1" spans="2:2">
      <c r="B3386" s="62" t="str">
        <f>IF(AND('领用录入（明细）'!D:D=$F$4,'领用录入（明细）'!C:C&gt;=$J$4,'领用录入（明细）'!C:C&lt;=$L$4),ROW(),"-")</f>
        <v>-</v>
      </c>
    </row>
    <row r="3387" customHeight="1" spans="2:2">
      <c r="B3387" s="62" t="str">
        <f>IF(AND('领用录入（明细）'!D:D=$F$4,'领用录入（明细）'!C:C&gt;=$J$4,'领用录入（明细）'!C:C&lt;=$L$4),ROW(),"-")</f>
        <v>-</v>
      </c>
    </row>
    <row r="3388" customHeight="1" spans="2:2">
      <c r="B3388" s="62" t="str">
        <f>IF(AND('领用录入（明细）'!D:D=$F$4,'领用录入（明细）'!C:C&gt;=$J$4,'领用录入（明细）'!C:C&lt;=$L$4),ROW(),"-")</f>
        <v>-</v>
      </c>
    </row>
    <row r="3389" customHeight="1" spans="2:2">
      <c r="B3389" s="62" t="str">
        <f>IF(AND('领用录入（明细）'!D:D=$F$4,'领用录入（明细）'!C:C&gt;=$J$4,'领用录入（明细）'!C:C&lt;=$L$4),ROW(),"-")</f>
        <v>-</v>
      </c>
    </row>
    <row r="3390" customHeight="1" spans="2:2">
      <c r="B3390" s="62" t="str">
        <f>IF(AND('领用录入（明细）'!D:D=$F$4,'领用录入（明细）'!C:C&gt;=$J$4,'领用录入（明细）'!C:C&lt;=$L$4),ROW(),"-")</f>
        <v>-</v>
      </c>
    </row>
    <row r="3391" customHeight="1" spans="2:2">
      <c r="B3391" s="62" t="str">
        <f>IF(AND('领用录入（明细）'!D:D=$F$4,'领用录入（明细）'!C:C&gt;=$J$4,'领用录入（明细）'!C:C&lt;=$L$4),ROW(),"-")</f>
        <v>-</v>
      </c>
    </row>
    <row r="3392" customHeight="1" spans="2:2">
      <c r="B3392" s="62" t="str">
        <f>IF(AND('领用录入（明细）'!D:D=$F$4,'领用录入（明细）'!C:C&gt;=$J$4,'领用录入（明细）'!C:C&lt;=$L$4),ROW(),"-")</f>
        <v>-</v>
      </c>
    </row>
    <row r="3393" customHeight="1" spans="2:2">
      <c r="B3393" s="62" t="str">
        <f>IF(AND('领用录入（明细）'!D:D=$F$4,'领用录入（明细）'!C:C&gt;=$J$4,'领用录入（明细）'!C:C&lt;=$L$4),ROW(),"-")</f>
        <v>-</v>
      </c>
    </row>
    <row r="3394" customHeight="1" spans="2:2">
      <c r="B3394" s="62" t="str">
        <f>IF(AND('领用录入（明细）'!D:D=$F$4,'领用录入（明细）'!C:C&gt;=$J$4,'领用录入（明细）'!C:C&lt;=$L$4),ROW(),"-")</f>
        <v>-</v>
      </c>
    </row>
    <row r="3395" customHeight="1" spans="2:2">
      <c r="B3395" s="62" t="str">
        <f>IF(AND('领用录入（明细）'!D:D=$F$4,'领用录入（明细）'!C:C&gt;=$J$4,'领用录入（明细）'!C:C&lt;=$L$4),ROW(),"-")</f>
        <v>-</v>
      </c>
    </row>
    <row r="3396" customHeight="1" spans="2:2">
      <c r="B3396" s="62" t="str">
        <f>IF(AND('领用录入（明细）'!D:D=$F$4,'领用录入（明细）'!C:C&gt;=$J$4,'领用录入（明细）'!C:C&lt;=$L$4),ROW(),"-")</f>
        <v>-</v>
      </c>
    </row>
    <row r="3397" customHeight="1" spans="2:2">
      <c r="B3397" s="62" t="str">
        <f>IF(AND('领用录入（明细）'!D:D=$F$4,'领用录入（明细）'!C:C&gt;=$J$4,'领用录入（明细）'!C:C&lt;=$L$4),ROW(),"-")</f>
        <v>-</v>
      </c>
    </row>
    <row r="3398" customHeight="1" spans="2:2">
      <c r="B3398" s="62" t="str">
        <f>IF(AND('领用录入（明细）'!D:D=$F$4,'领用录入（明细）'!C:C&gt;=$J$4,'领用录入（明细）'!C:C&lt;=$L$4),ROW(),"-")</f>
        <v>-</v>
      </c>
    </row>
    <row r="3399" customHeight="1" spans="2:2">
      <c r="B3399" s="62" t="str">
        <f>IF(AND('领用录入（明细）'!D:D=$F$4,'领用录入（明细）'!C:C&gt;=$J$4,'领用录入（明细）'!C:C&lt;=$L$4),ROW(),"-")</f>
        <v>-</v>
      </c>
    </row>
    <row r="3400" customHeight="1" spans="2:2">
      <c r="B3400" s="62" t="str">
        <f>IF(AND('领用录入（明细）'!D:D=$F$4,'领用录入（明细）'!C:C&gt;=$J$4,'领用录入（明细）'!C:C&lt;=$L$4),ROW(),"-")</f>
        <v>-</v>
      </c>
    </row>
    <row r="3401" customHeight="1" spans="2:2">
      <c r="B3401" s="62" t="str">
        <f>IF(AND('领用录入（明细）'!D:D=$F$4,'领用录入（明细）'!C:C&gt;=$J$4,'领用录入（明细）'!C:C&lt;=$L$4),ROW(),"-")</f>
        <v>-</v>
      </c>
    </row>
    <row r="3402" customHeight="1" spans="2:2">
      <c r="B3402" s="62" t="str">
        <f>IF(AND('领用录入（明细）'!D:D=$F$4,'领用录入（明细）'!C:C&gt;=$J$4,'领用录入（明细）'!C:C&lt;=$L$4),ROW(),"-")</f>
        <v>-</v>
      </c>
    </row>
    <row r="3403" customHeight="1" spans="2:2">
      <c r="B3403" s="62" t="str">
        <f>IF(AND('领用录入（明细）'!D:D=$F$4,'领用录入（明细）'!C:C&gt;=$J$4,'领用录入（明细）'!C:C&lt;=$L$4),ROW(),"-")</f>
        <v>-</v>
      </c>
    </row>
    <row r="3404" customHeight="1" spans="2:2">
      <c r="B3404" s="62" t="str">
        <f>IF(AND('领用录入（明细）'!D:D=$F$4,'领用录入（明细）'!C:C&gt;=$J$4,'领用录入（明细）'!C:C&lt;=$L$4),ROW(),"-")</f>
        <v>-</v>
      </c>
    </row>
    <row r="3405" customHeight="1" spans="2:2">
      <c r="B3405" s="62" t="str">
        <f>IF(AND('领用录入（明细）'!D:D=$F$4,'领用录入（明细）'!C:C&gt;=$J$4,'领用录入（明细）'!C:C&lt;=$L$4),ROW(),"-")</f>
        <v>-</v>
      </c>
    </row>
    <row r="3406" customHeight="1" spans="2:2">
      <c r="B3406" s="62" t="str">
        <f>IF(AND('领用录入（明细）'!D:D=$F$4,'领用录入（明细）'!C:C&gt;=$J$4,'领用录入（明细）'!C:C&lt;=$L$4),ROW(),"-")</f>
        <v>-</v>
      </c>
    </row>
    <row r="3407" customHeight="1" spans="2:2">
      <c r="B3407" s="62" t="str">
        <f>IF(AND('领用录入（明细）'!D:D=$F$4,'领用录入（明细）'!C:C&gt;=$J$4,'领用录入（明细）'!C:C&lt;=$L$4),ROW(),"-")</f>
        <v>-</v>
      </c>
    </row>
    <row r="3408" customHeight="1" spans="2:2">
      <c r="B3408" s="62" t="str">
        <f>IF(AND('领用录入（明细）'!D:D=$F$4,'领用录入（明细）'!C:C&gt;=$J$4,'领用录入（明细）'!C:C&lt;=$L$4),ROW(),"-")</f>
        <v>-</v>
      </c>
    </row>
    <row r="3409" customHeight="1" spans="2:2">
      <c r="B3409" s="62" t="str">
        <f>IF(AND('领用录入（明细）'!D:D=$F$4,'领用录入（明细）'!C:C&gt;=$J$4,'领用录入（明细）'!C:C&lt;=$L$4),ROW(),"-")</f>
        <v>-</v>
      </c>
    </row>
    <row r="3410" customHeight="1" spans="2:2">
      <c r="B3410" s="62" t="str">
        <f>IF(AND('领用录入（明细）'!D:D=$F$4,'领用录入（明细）'!C:C&gt;=$J$4,'领用录入（明细）'!C:C&lt;=$L$4),ROW(),"-")</f>
        <v>-</v>
      </c>
    </row>
    <row r="3411" customHeight="1" spans="2:2">
      <c r="B3411" s="62" t="str">
        <f>IF(AND('领用录入（明细）'!D:D=$F$4,'领用录入（明细）'!C:C&gt;=$J$4,'领用录入（明细）'!C:C&lt;=$L$4),ROW(),"-")</f>
        <v>-</v>
      </c>
    </row>
    <row r="3412" customHeight="1" spans="2:2">
      <c r="B3412" s="62" t="str">
        <f>IF(AND('领用录入（明细）'!D:D=$F$4,'领用录入（明细）'!C:C&gt;=$J$4,'领用录入（明细）'!C:C&lt;=$L$4),ROW(),"-")</f>
        <v>-</v>
      </c>
    </row>
    <row r="3413" customHeight="1" spans="2:2">
      <c r="B3413" s="62" t="str">
        <f>IF(AND('领用录入（明细）'!D:D=$F$4,'领用录入（明细）'!C:C&gt;=$J$4,'领用录入（明细）'!C:C&lt;=$L$4),ROW(),"-")</f>
        <v>-</v>
      </c>
    </row>
    <row r="3414" customHeight="1" spans="2:2">
      <c r="B3414" s="62" t="str">
        <f>IF(AND('领用录入（明细）'!D:D=$F$4,'领用录入（明细）'!C:C&gt;=$J$4,'领用录入（明细）'!C:C&lt;=$L$4),ROW(),"-")</f>
        <v>-</v>
      </c>
    </row>
    <row r="3415" customHeight="1" spans="2:2">
      <c r="B3415" s="62" t="str">
        <f>IF(AND('领用录入（明细）'!D:D=$F$4,'领用录入（明细）'!C:C&gt;=$J$4,'领用录入（明细）'!C:C&lt;=$L$4),ROW(),"-")</f>
        <v>-</v>
      </c>
    </row>
    <row r="3416" customHeight="1" spans="2:2">
      <c r="B3416" s="62" t="str">
        <f>IF(AND('领用录入（明细）'!D:D=$F$4,'领用录入（明细）'!C:C&gt;=$J$4,'领用录入（明细）'!C:C&lt;=$L$4),ROW(),"-")</f>
        <v>-</v>
      </c>
    </row>
    <row r="3417" customHeight="1" spans="2:2">
      <c r="B3417" s="62" t="str">
        <f>IF(AND('领用录入（明细）'!D:D=$F$4,'领用录入（明细）'!C:C&gt;=$J$4,'领用录入（明细）'!C:C&lt;=$L$4),ROW(),"-")</f>
        <v>-</v>
      </c>
    </row>
    <row r="3418" customHeight="1" spans="2:2">
      <c r="B3418" s="62" t="str">
        <f>IF(AND('领用录入（明细）'!D:D=$F$4,'领用录入（明细）'!C:C&gt;=$J$4,'领用录入（明细）'!C:C&lt;=$L$4),ROW(),"-")</f>
        <v>-</v>
      </c>
    </row>
    <row r="3419" customHeight="1" spans="2:2">
      <c r="B3419" s="62" t="str">
        <f>IF(AND('领用录入（明细）'!D:D=$F$4,'领用录入（明细）'!C:C&gt;=$J$4,'领用录入（明细）'!C:C&lt;=$L$4),ROW(),"-")</f>
        <v>-</v>
      </c>
    </row>
    <row r="3420" customHeight="1" spans="2:2">
      <c r="B3420" s="62" t="str">
        <f>IF(AND('领用录入（明细）'!D:D=$F$4,'领用录入（明细）'!C:C&gt;=$J$4,'领用录入（明细）'!C:C&lt;=$L$4),ROW(),"-")</f>
        <v>-</v>
      </c>
    </row>
    <row r="3421" customHeight="1" spans="2:2">
      <c r="B3421" s="62" t="str">
        <f>IF(AND('领用录入（明细）'!D:D=$F$4,'领用录入（明细）'!C:C&gt;=$J$4,'领用录入（明细）'!C:C&lt;=$L$4),ROW(),"-")</f>
        <v>-</v>
      </c>
    </row>
    <row r="3422" customHeight="1" spans="2:2">
      <c r="B3422" s="62" t="str">
        <f>IF(AND('领用录入（明细）'!D:D=$F$4,'领用录入（明细）'!C:C&gt;=$J$4,'领用录入（明细）'!C:C&lt;=$L$4),ROW(),"-")</f>
        <v>-</v>
      </c>
    </row>
    <row r="3423" customHeight="1" spans="2:2">
      <c r="B3423" s="62" t="str">
        <f>IF(AND('领用录入（明细）'!D:D=$F$4,'领用录入（明细）'!C:C&gt;=$J$4,'领用录入（明细）'!C:C&lt;=$L$4),ROW(),"-")</f>
        <v>-</v>
      </c>
    </row>
    <row r="3424" customHeight="1" spans="2:2">
      <c r="B3424" s="62" t="str">
        <f>IF(AND('领用录入（明细）'!D:D=$F$4,'领用录入（明细）'!C:C&gt;=$J$4,'领用录入（明细）'!C:C&lt;=$L$4),ROW(),"-")</f>
        <v>-</v>
      </c>
    </row>
    <row r="3425" customHeight="1" spans="2:2">
      <c r="B3425" s="62" t="str">
        <f>IF(AND('领用录入（明细）'!D:D=$F$4,'领用录入（明细）'!C:C&gt;=$J$4,'领用录入（明细）'!C:C&lt;=$L$4),ROW(),"-")</f>
        <v>-</v>
      </c>
    </row>
    <row r="3426" customHeight="1" spans="2:2">
      <c r="B3426" s="62" t="str">
        <f>IF(AND('领用录入（明细）'!D:D=$F$4,'领用录入（明细）'!C:C&gt;=$J$4,'领用录入（明细）'!C:C&lt;=$L$4),ROW(),"-")</f>
        <v>-</v>
      </c>
    </row>
    <row r="3427" customHeight="1" spans="2:2">
      <c r="B3427" s="62" t="str">
        <f>IF(AND('领用录入（明细）'!D:D=$F$4,'领用录入（明细）'!C:C&gt;=$J$4,'领用录入（明细）'!C:C&lt;=$L$4),ROW(),"-")</f>
        <v>-</v>
      </c>
    </row>
    <row r="3428" customHeight="1" spans="2:2">
      <c r="B3428" s="62" t="str">
        <f>IF(AND('领用录入（明细）'!D:D=$F$4,'领用录入（明细）'!C:C&gt;=$J$4,'领用录入（明细）'!C:C&lt;=$L$4),ROW(),"-")</f>
        <v>-</v>
      </c>
    </row>
    <row r="3429" customHeight="1" spans="2:2">
      <c r="B3429" s="62" t="str">
        <f>IF(AND('领用录入（明细）'!D:D=$F$4,'领用录入（明细）'!C:C&gt;=$J$4,'领用录入（明细）'!C:C&lt;=$L$4),ROW(),"-")</f>
        <v>-</v>
      </c>
    </row>
    <row r="3430" customHeight="1" spans="2:2">
      <c r="B3430" s="62" t="str">
        <f>IF(AND('领用录入（明细）'!D:D=$F$4,'领用录入（明细）'!C:C&gt;=$J$4,'领用录入（明细）'!C:C&lt;=$L$4),ROW(),"-")</f>
        <v>-</v>
      </c>
    </row>
    <row r="3431" customHeight="1" spans="2:2">
      <c r="B3431" s="62" t="str">
        <f>IF(AND('领用录入（明细）'!D:D=$F$4,'领用录入（明细）'!C:C&gt;=$J$4,'领用录入（明细）'!C:C&lt;=$L$4),ROW(),"-")</f>
        <v>-</v>
      </c>
    </row>
    <row r="3432" customHeight="1" spans="2:2">
      <c r="B3432" s="62" t="str">
        <f>IF(AND('领用录入（明细）'!D:D=$F$4,'领用录入（明细）'!C:C&gt;=$J$4,'领用录入（明细）'!C:C&lt;=$L$4),ROW(),"-")</f>
        <v>-</v>
      </c>
    </row>
    <row r="3433" customHeight="1" spans="2:2">
      <c r="B3433" s="62" t="str">
        <f>IF(AND('领用录入（明细）'!D:D=$F$4,'领用录入（明细）'!C:C&gt;=$J$4,'领用录入（明细）'!C:C&lt;=$L$4),ROW(),"-")</f>
        <v>-</v>
      </c>
    </row>
    <row r="3434" customHeight="1" spans="2:2">
      <c r="B3434" s="62" t="str">
        <f>IF(AND('领用录入（明细）'!D:D=$F$4,'领用录入（明细）'!C:C&gt;=$J$4,'领用录入（明细）'!C:C&lt;=$L$4),ROW(),"-")</f>
        <v>-</v>
      </c>
    </row>
    <row r="3435" customHeight="1" spans="2:2">
      <c r="B3435" s="62" t="str">
        <f>IF(AND('领用录入（明细）'!D:D=$F$4,'领用录入（明细）'!C:C&gt;=$J$4,'领用录入（明细）'!C:C&lt;=$L$4),ROW(),"-")</f>
        <v>-</v>
      </c>
    </row>
    <row r="3436" customHeight="1" spans="2:2">
      <c r="B3436" s="62" t="str">
        <f>IF(AND('领用录入（明细）'!D:D=$F$4,'领用录入（明细）'!C:C&gt;=$J$4,'领用录入（明细）'!C:C&lt;=$L$4),ROW(),"-")</f>
        <v>-</v>
      </c>
    </row>
    <row r="3437" customHeight="1" spans="2:2">
      <c r="B3437" s="62" t="str">
        <f>IF(AND('领用录入（明细）'!D:D=$F$4,'领用录入（明细）'!C:C&gt;=$J$4,'领用录入（明细）'!C:C&lt;=$L$4),ROW(),"-")</f>
        <v>-</v>
      </c>
    </row>
    <row r="3438" customHeight="1" spans="2:2">
      <c r="B3438" s="62" t="str">
        <f>IF(AND('领用录入（明细）'!D:D=$F$4,'领用录入（明细）'!C:C&gt;=$J$4,'领用录入（明细）'!C:C&lt;=$L$4),ROW(),"-")</f>
        <v>-</v>
      </c>
    </row>
    <row r="3439" customHeight="1" spans="2:2">
      <c r="B3439" s="62" t="str">
        <f>IF(AND('领用录入（明细）'!D:D=$F$4,'领用录入（明细）'!C:C&gt;=$J$4,'领用录入（明细）'!C:C&lt;=$L$4),ROW(),"-")</f>
        <v>-</v>
      </c>
    </row>
    <row r="3440" customHeight="1" spans="2:2">
      <c r="B3440" s="62" t="str">
        <f>IF(AND('领用录入（明细）'!D:D=$F$4,'领用录入（明细）'!C:C&gt;=$J$4,'领用录入（明细）'!C:C&lt;=$L$4),ROW(),"-")</f>
        <v>-</v>
      </c>
    </row>
    <row r="3441" customHeight="1" spans="2:2">
      <c r="B3441" s="62" t="str">
        <f>IF(AND('领用录入（明细）'!D:D=$F$4,'领用录入（明细）'!C:C&gt;=$J$4,'领用录入（明细）'!C:C&lt;=$L$4),ROW(),"-")</f>
        <v>-</v>
      </c>
    </row>
    <row r="3442" customHeight="1" spans="2:2">
      <c r="B3442" s="62" t="str">
        <f>IF(AND('领用录入（明细）'!D:D=$F$4,'领用录入（明细）'!C:C&gt;=$J$4,'领用录入（明细）'!C:C&lt;=$L$4),ROW(),"-")</f>
        <v>-</v>
      </c>
    </row>
    <row r="3443" customHeight="1" spans="2:2">
      <c r="B3443" s="62" t="str">
        <f>IF(AND('领用录入（明细）'!D:D=$F$4,'领用录入（明细）'!C:C&gt;=$J$4,'领用录入（明细）'!C:C&lt;=$L$4),ROW(),"-")</f>
        <v>-</v>
      </c>
    </row>
    <row r="3444" customHeight="1" spans="2:2">
      <c r="B3444" s="62" t="str">
        <f>IF(AND('领用录入（明细）'!D:D=$F$4,'领用录入（明细）'!C:C&gt;=$J$4,'领用录入（明细）'!C:C&lt;=$L$4),ROW(),"-")</f>
        <v>-</v>
      </c>
    </row>
    <row r="3445" customHeight="1" spans="2:2">
      <c r="B3445" s="62" t="str">
        <f>IF(AND('领用录入（明细）'!D:D=$F$4,'领用录入（明细）'!C:C&gt;=$J$4,'领用录入（明细）'!C:C&lt;=$L$4),ROW(),"-")</f>
        <v>-</v>
      </c>
    </row>
    <row r="3446" customHeight="1" spans="2:2">
      <c r="B3446" s="62" t="str">
        <f>IF(AND('领用录入（明细）'!D:D=$F$4,'领用录入（明细）'!C:C&gt;=$J$4,'领用录入（明细）'!C:C&lt;=$L$4),ROW(),"-")</f>
        <v>-</v>
      </c>
    </row>
    <row r="3447" customHeight="1" spans="2:2">
      <c r="B3447" s="62" t="str">
        <f>IF(AND('领用录入（明细）'!D:D=$F$4,'领用录入（明细）'!C:C&gt;=$J$4,'领用录入（明细）'!C:C&lt;=$L$4),ROW(),"-")</f>
        <v>-</v>
      </c>
    </row>
    <row r="3448" customHeight="1" spans="2:2">
      <c r="B3448" s="62" t="str">
        <f>IF(AND('领用录入（明细）'!D:D=$F$4,'领用录入（明细）'!C:C&gt;=$J$4,'领用录入（明细）'!C:C&lt;=$L$4),ROW(),"-")</f>
        <v>-</v>
      </c>
    </row>
    <row r="3449" customHeight="1" spans="2:2">
      <c r="B3449" s="62" t="str">
        <f>IF(AND('领用录入（明细）'!D:D=$F$4,'领用录入（明细）'!C:C&gt;=$J$4,'领用录入（明细）'!C:C&lt;=$L$4),ROW(),"-")</f>
        <v>-</v>
      </c>
    </row>
    <row r="3450" customHeight="1" spans="2:2">
      <c r="B3450" s="62" t="str">
        <f>IF(AND('领用录入（明细）'!D:D=$F$4,'领用录入（明细）'!C:C&gt;=$J$4,'领用录入（明细）'!C:C&lt;=$L$4),ROW(),"-")</f>
        <v>-</v>
      </c>
    </row>
    <row r="3451" customHeight="1" spans="2:2">
      <c r="B3451" s="62" t="str">
        <f>IF(AND('领用录入（明细）'!D:D=$F$4,'领用录入（明细）'!C:C&gt;=$J$4,'领用录入（明细）'!C:C&lt;=$L$4),ROW(),"-")</f>
        <v>-</v>
      </c>
    </row>
    <row r="3452" customHeight="1" spans="2:2">
      <c r="B3452" s="62" t="str">
        <f>IF(AND('领用录入（明细）'!D:D=$F$4,'领用录入（明细）'!C:C&gt;=$J$4,'领用录入（明细）'!C:C&lt;=$L$4),ROW(),"-")</f>
        <v>-</v>
      </c>
    </row>
    <row r="3453" customHeight="1" spans="2:2">
      <c r="B3453" s="62" t="str">
        <f>IF(AND('领用录入（明细）'!D:D=$F$4,'领用录入（明细）'!C:C&gt;=$J$4,'领用录入（明细）'!C:C&lt;=$L$4),ROW(),"-")</f>
        <v>-</v>
      </c>
    </row>
    <row r="3454" customHeight="1" spans="2:2">
      <c r="B3454" s="62" t="str">
        <f>IF(AND('领用录入（明细）'!D:D=$F$4,'领用录入（明细）'!C:C&gt;=$J$4,'领用录入（明细）'!C:C&lt;=$L$4),ROW(),"-")</f>
        <v>-</v>
      </c>
    </row>
    <row r="3455" customHeight="1" spans="2:2">
      <c r="B3455" s="62" t="str">
        <f>IF(AND('领用录入（明细）'!D:D=$F$4,'领用录入（明细）'!C:C&gt;=$J$4,'领用录入（明细）'!C:C&lt;=$L$4),ROW(),"-")</f>
        <v>-</v>
      </c>
    </row>
    <row r="3456" customHeight="1" spans="2:2">
      <c r="B3456" s="62" t="str">
        <f>IF(AND('领用录入（明细）'!D:D=$F$4,'领用录入（明细）'!C:C&gt;=$J$4,'领用录入（明细）'!C:C&lt;=$L$4),ROW(),"-")</f>
        <v>-</v>
      </c>
    </row>
    <row r="3457" customHeight="1" spans="2:2">
      <c r="B3457" s="62" t="str">
        <f>IF(AND('领用录入（明细）'!D:D=$F$4,'领用录入（明细）'!C:C&gt;=$J$4,'领用录入（明细）'!C:C&lt;=$L$4),ROW(),"-")</f>
        <v>-</v>
      </c>
    </row>
    <row r="3458" customHeight="1" spans="2:2">
      <c r="B3458" s="62" t="str">
        <f>IF(AND('领用录入（明细）'!D:D=$F$4,'领用录入（明细）'!C:C&gt;=$J$4,'领用录入（明细）'!C:C&lt;=$L$4),ROW(),"-")</f>
        <v>-</v>
      </c>
    </row>
    <row r="3459" customHeight="1" spans="2:2">
      <c r="B3459" s="62" t="str">
        <f>IF(AND('领用录入（明细）'!D:D=$F$4,'领用录入（明细）'!C:C&gt;=$J$4,'领用录入（明细）'!C:C&lt;=$L$4),ROW(),"-")</f>
        <v>-</v>
      </c>
    </row>
    <row r="3460" customHeight="1" spans="2:2">
      <c r="B3460" s="62" t="str">
        <f>IF(AND('领用录入（明细）'!D:D=$F$4,'领用录入（明细）'!C:C&gt;=$J$4,'领用录入（明细）'!C:C&lt;=$L$4),ROW(),"-")</f>
        <v>-</v>
      </c>
    </row>
    <row r="3461" customHeight="1" spans="2:2">
      <c r="B3461" s="62" t="str">
        <f>IF(AND('领用录入（明细）'!D:D=$F$4,'领用录入（明细）'!C:C&gt;=$J$4,'领用录入（明细）'!C:C&lt;=$L$4),ROW(),"-")</f>
        <v>-</v>
      </c>
    </row>
    <row r="3462" customHeight="1" spans="2:2">
      <c r="B3462" s="62" t="str">
        <f>IF(AND('领用录入（明细）'!D:D=$F$4,'领用录入（明细）'!C:C&gt;=$J$4,'领用录入（明细）'!C:C&lt;=$L$4),ROW(),"-")</f>
        <v>-</v>
      </c>
    </row>
    <row r="3463" customHeight="1" spans="2:2">
      <c r="B3463" s="62" t="str">
        <f>IF(AND('领用录入（明细）'!D:D=$F$4,'领用录入（明细）'!C:C&gt;=$J$4,'领用录入（明细）'!C:C&lt;=$L$4),ROW(),"-")</f>
        <v>-</v>
      </c>
    </row>
    <row r="3464" customHeight="1" spans="2:2">
      <c r="B3464" s="62" t="str">
        <f>IF(AND('领用录入（明细）'!D:D=$F$4,'领用录入（明细）'!C:C&gt;=$J$4,'领用录入（明细）'!C:C&lt;=$L$4),ROW(),"-")</f>
        <v>-</v>
      </c>
    </row>
    <row r="3465" customHeight="1" spans="2:2">
      <c r="B3465" s="62" t="str">
        <f>IF(AND('领用录入（明细）'!D:D=$F$4,'领用录入（明细）'!C:C&gt;=$J$4,'领用录入（明细）'!C:C&lt;=$L$4),ROW(),"-")</f>
        <v>-</v>
      </c>
    </row>
    <row r="3466" customHeight="1" spans="2:2">
      <c r="B3466" s="62" t="str">
        <f>IF(AND('领用录入（明细）'!D:D=$F$4,'领用录入（明细）'!C:C&gt;=$J$4,'领用录入（明细）'!C:C&lt;=$L$4),ROW(),"-")</f>
        <v>-</v>
      </c>
    </row>
    <row r="3467" customHeight="1" spans="2:2">
      <c r="B3467" s="62" t="str">
        <f>IF(AND('领用录入（明细）'!D:D=$F$4,'领用录入（明细）'!C:C&gt;=$J$4,'领用录入（明细）'!C:C&lt;=$L$4),ROW(),"-")</f>
        <v>-</v>
      </c>
    </row>
    <row r="3468" customHeight="1" spans="2:2">
      <c r="B3468" s="62" t="str">
        <f>IF(AND('领用录入（明细）'!D:D=$F$4,'领用录入（明细）'!C:C&gt;=$J$4,'领用录入（明细）'!C:C&lt;=$L$4),ROW(),"-")</f>
        <v>-</v>
      </c>
    </row>
    <row r="3469" customHeight="1" spans="2:2">
      <c r="B3469" s="62" t="str">
        <f>IF(AND('领用录入（明细）'!D:D=$F$4,'领用录入（明细）'!C:C&gt;=$J$4,'领用录入（明细）'!C:C&lt;=$L$4),ROW(),"-")</f>
        <v>-</v>
      </c>
    </row>
    <row r="3470" customHeight="1" spans="2:2">
      <c r="B3470" s="62" t="str">
        <f>IF(AND('领用录入（明细）'!D:D=$F$4,'领用录入（明细）'!C:C&gt;=$J$4,'领用录入（明细）'!C:C&lt;=$L$4),ROW(),"-")</f>
        <v>-</v>
      </c>
    </row>
    <row r="3471" customHeight="1" spans="2:2">
      <c r="B3471" s="62" t="str">
        <f>IF(AND('领用录入（明细）'!D:D=$F$4,'领用录入（明细）'!C:C&gt;=$J$4,'领用录入（明细）'!C:C&lt;=$L$4),ROW(),"-")</f>
        <v>-</v>
      </c>
    </row>
    <row r="3472" customHeight="1" spans="2:2">
      <c r="B3472" s="62" t="str">
        <f>IF(AND('领用录入（明细）'!D:D=$F$4,'领用录入（明细）'!C:C&gt;=$J$4,'领用录入（明细）'!C:C&lt;=$L$4),ROW(),"-")</f>
        <v>-</v>
      </c>
    </row>
    <row r="3473" customHeight="1" spans="2:2">
      <c r="B3473" s="62" t="str">
        <f>IF(AND('领用录入（明细）'!D:D=$F$4,'领用录入（明细）'!C:C&gt;=$J$4,'领用录入（明细）'!C:C&lt;=$L$4),ROW(),"-")</f>
        <v>-</v>
      </c>
    </row>
    <row r="3474" customHeight="1" spans="2:2">
      <c r="B3474" s="62" t="str">
        <f>IF(AND('领用录入（明细）'!D:D=$F$4,'领用录入（明细）'!C:C&gt;=$J$4,'领用录入（明细）'!C:C&lt;=$L$4),ROW(),"-")</f>
        <v>-</v>
      </c>
    </row>
    <row r="3475" customHeight="1" spans="2:2">
      <c r="B3475" s="62" t="str">
        <f>IF(AND('领用录入（明细）'!D:D=$F$4,'领用录入（明细）'!C:C&gt;=$J$4,'领用录入（明细）'!C:C&lt;=$L$4),ROW(),"-")</f>
        <v>-</v>
      </c>
    </row>
    <row r="3476" customHeight="1" spans="2:2">
      <c r="B3476" s="62" t="str">
        <f>IF(AND('领用录入（明细）'!D:D=$F$4,'领用录入（明细）'!C:C&gt;=$J$4,'领用录入（明细）'!C:C&lt;=$L$4),ROW(),"-")</f>
        <v>-</v>
      </c>
    </row>
    <row r="3477" customHeight="1" spans="2:2">
      <c r="B3477" s="62" t="str">
        <f>IF(AND('领用录入（明细）'!D:D=$F$4,'领用录入（明细）'!C:C&gt;=$J$4,'领用录入（明细）'!C:C&lt;=$L$4),ROW(),"-")</f>
        <v>-</v>
      </c>
    </row>
    <row r="3478" customHeight="1" spans="2:2">
      <c r="B3478" s="62" t="str">
        <f>IF(AND('领用录入（明细）'!D:D=$F$4,'领用录入（明细）'!C:C&gt;=$J$4,'领用录入（明细）'!C:C&lt;=$L$4),ROW(),"-")</f>
        <v>-</v>
      </c>
    </row>
    <row r="3479" customHeight="1" spans="2:2">
      <c r="B3479" s="62" t="str">
        <f>IF(AND('领用录入（明细）'!D:D=$F$4,'领用录入（明细）'!C:C&gt;=$J$4,'领用录入（明细）'!C:C&lt;=$L$4),ROW(),"-")</f>
        <v>-</v>
      </c>
    </row>
    <row r="3480" customHeight="1" spans="2:2">
      <c r="B3480" s="62" t="str">
        <f>IF(AND('领用录入（明细）'!D:D=$F$4,'领用录入（明细）'!C:C&gt;=$J$4,'领用录入（明细）'!C:C&lt;=$L$4),ROW(),"-")</f>
        <v>-</v>
      </c>
    </row>
    <row r="3481" customHeight="1" spans="2:2">
      <c r="B3481" s="62" t="str">
        <f>IF(AND('领用录入（明细）'!D:D=$F$4,'领用录入（明细）'!C:C&gt;=$J$4,'领用录入（明细）'!C:C&lt;=$L$4),ROW(),"-")</f>
        <v>-</v>
      </c>
    </row>
    <row r="3482" customHeight="1" spans="2:2">
      <c r="B3482" s="62" t="str">
        <f>IF(AND('领用录入（明细）'!D:D=$F$4,'领用录入（明细）'!C:C&gt;=$J$4,'领用录入（明细）'!C:C&lt;=$L$4),ROW(),"-")</f>
        <v>-</v>
      </c>
    </row>
    <row r="3483" customHeight="1" spans="2:2">
      <c r="B3483" s="62" t="str">
        <f>IF(AND('领用录入（明细）'!D:D=$F$4,'领用录入（明细）'!C:C&gt;=$J$4,'领用录入（明细）'!C:C&lt;=$L$4),ROW(),"-")</f>
        <v>-</v>
      </c>
    </row>
    <row r="3484" customHeight="1" spans="2:2">
      <c r="B3484" s="62" t="str">
        <f>IF(AND('领用录入（明细）'!D:D=$F$4,'领用录入（明细）'!C:C&gt;=$J$4,'领用录入（明细）'!C:C&lt;=$L$4),ROW(),"-")</f>
        <v>-</v>
      </c>
    </row>
    <row r="3485" customHeight="1" spans="2:2">
      <c r="B3485" s="62" t="str">
        <f>IF(AND('领用录入（明细）'!D:D=$F$4,'领用录入（明细）'!C:C&gt;=$J$4,'领用录入（明细）'!C:C&lt;=$L$4),ROW(),"-")</f>
        <v>-</v>
      </c>
    </row>
    <row r="3486" customHeight="1" spans="2:2">
      <c r="B3486" s="62" t="str">
        <f>IF(AND('领用录入（明细）'!D:D=$F$4,'领用录入（明细）'!C:C&gt;=$J$4,'领用录入（明细）'!C:C&lt;=$L$4),ROW(),"-")</f>
        <v>-</v>
      </c>
    </row>
    <row r="3487" customHeight="1" spans="2:2">
      <c r="B3487" s="62" t="str">
        <f>IF(AND('领用录入（明细）'!D:D=$F$4,'领用录入（明细）'!C:C&gt;=$J$4,'领用录入（明细）'!C:C&lt;=$L$4),ROW(),"-")</f>
        <v>-</v>
      </c>
    </row>
    <row r="3488" customHeight="1" spans="2:2">
      <c r="B3488" s="62" t="str">
        <f>IF(AND('领用录入（明细）'!D:D=$F$4,'领用录入（明细）'!C:C&gt;=$J$4,'领用录入（明细）'!C:C&lt;=$L$4),ROW(),"-")</f>
        <v>-</v>
      </c>
    </row>
    <row r="3489" customHeight="1" spans="2:2">
      <c r="B3489" s="62" t="str">
        <f>IF(AND('领用录入（明细）'!D:D=$F$4,'领用录入（明细）'!C:C&gt;=$J$4,'领用录入（明细）'!C:C&lt;=$L$4),ROW(),"-")</f>
        <v>-</v>
      </c>
    </row>
    <row r="3490" customHeight="1" spans="2:2">
      <c r="B3490" s="62" t="str">
        <f>IF(AND('领用录入（明细）'!D:D=$F$4,'领用录入（明细）'!C:C&gt;=$J$4,'领用录入（明细）'!C:C&lt;=$L$4),ROW(),"-")</f>
        <v>-</v>
      </c>
    </row>
    <row r="3491" customHeight="1" spans="2:2">
      <c r="B3491" s="62" t="str">
        <f>IF(AND('领用录入（明细）'!D:D=$F$4,'领用录入（明细）'!C:C&gt;=$J$4,'领用录入（明细）'!C:C&lt;=$L$4),ROW(),"-")</f>
        <v>-</v>
      </c>
    </row>
    <row r="3492" customHeight="1" spans="2:2">
      <c r="B3492" s="62" t="str">
        <f>IF(AND('领用录入（明细）'!D:D=$F$4,'领用录入（明细）'!C:C&gt;=$J$4,'领用录入（明细）'!C:C&lt;=$L$4),ROW(),"-")</f>
        <v>-</v>
      </c>
    </row>
    <row r="3493" customHeight="1" spans="2:2">
      <c r="B3493" s="62" t="str">
        <f>IF(AND('领用录入（明细）'!D:D=$F$4,'领用录入（明细）'!C:C&gt;=$J$4,'领用录入（明细）'!C:C&lt;=$L$4),ROW(),"-")</f>
        <v>-</v>
      </c>
    </row>
    <row r="3494" customHeight="1" spans="2:2">
      <c r="B3494" s="62" t="str">
        <f>IF(AND('领用录入（明细）'!D:D=$F$4,'领用录入（明细）'!C:C&gt;=$J$4,'领用录入（明细）'!C:C&lt;=$L$4),ROW(),"-")</f>
        <v>-</v>
      </c>
    </row>
    <row r="3495" customHeight="1" spans="2:2">
      <c r="B3495" s="62" t="str">
        <f>IF(AND('领用录入（明细）'!D:D=$F$4,'领用录入（明细）'!C:C&gt;=$J$4,'领用录入（明细）'!C:C&lt;=$L$4),ROW(),"-")</f>
        <v>-</v>
      </c>
    </row>
    <row r="3496" customHeight="1" spans="2:2">
      <c r="B3496" s="62" t="str">
        <f>IF(AND('领用录入（明细）'!D:D=$F$4,'领用录入（明细）'!C:C&gt;=$J$4,'领用录入（明细）'!C:C&lt;=$L$4),ROW(),"-")</f>
        <v>-</v>
      </c>
    </row>
    <row r="3497" customHeight="1" spans="2:2">
      <c r="B3497" s="62" t="str">
        <f>IF(AND('领用录入（明细）'!D:D=$F$4,'领用录入（明细）'!C:C&gt;=$J$4,'领用录入（明细）'!C:C&lt;=$L$4),ROW(),"-")</f>
        <v>-</v>
      </c>
    </row>
    <row r="3498" customHeight="1" spans="2:2">
      <c r="B3498" s="62" t="str">
        <f>IF(AND('领用录入（明细）'!D:D=$F$4,'领用录入（明细）'!C:C&gt;=$J$4,'领用录入（明细）'!C:C&lt;=$L$4),ROW(),"-")</f>
        <v>-</v>
      </c>
    </row>
    <row r="3499" customHeight="1" spans="2:2">
      <c r="B3499" s="62" t="str">
        <f>IF(AND('领用录入（明细）'!D:D=$F$4,'领用录入（明细）'!C:C&gt;=$J$4,'领用录入（明细）'!C:C&lt;=$L$4),ROW(),"-")</f>
        <v>-</v>
      </c>
    </row>
    <row r="3500" customHeight="1" spans="2:2">
      <c r="B3500" s="62" t="str">
        <f>IF(AND('领用录入（明细）'!D:D=$F$4,'领用录入（明细）'!C:C&gt;=$J$4,'领用录入（明细）'!C:C&lt;=$L$4),ROW(),"-")</f>
        <v>-</v>
      </c>
    </row>
    <row r="3501" customHeight="1" spans="2:2">
      <c r="B3501" s="62" t="str">
        <f>IF(AND('领用录入（明细）'!D:D=$F$4,'领用录入（明细）'!C:C&gt;=$J$4,'领用录入（明细）'!C:C&lt;=$L$4),ROW(),"-")</f>
        <v>-</v>
      </c>
    </row>
    <row r="3502" customHeight="1" spans="2:2">
      <c r="B3502" s="62" t="str">
        <f>IF(AND('领用录入（明细）'!D:D=$F$4,'领用录入（明细）'!C:C&gt;=$J$4,'领用录入（明细）'!C:C&lt;=$L$4),ROW(),"-")</f>
        <v>-</v>
      </c>
    </row>
    <row r="3503" customHeight="1" spans="2:2">
      <c r="B3503" s="62" t="str">
        <f>IF(AND('领用录入（明细）'!D:D=$F$4,'领用录入（明细）'!C:C&gt;=$J$4,'领用录入（明细）'!C:C&lt;=$L$4),ROW(),"-")</f>
        <v>-</v>
      </c>
    </row>
    <row r="3504" customHeight="1" spans="2:2">
      <c r="B3504" s="62" t="str">
        <f>IF(AND('领用录入（明细）'!D:D=$F$4,'领用录入（明细）'!C:C&gt;=$J$4,'领用录入（明细）'!C:C&lt;=$L$4),ROW(),"-")</f>
        <v>-</v>
      </c>
    </row>
    <row r="3505" customHeight="1" spans="2:2">
      <c r="B3505" s="62" t="str">
        <f>IF(AND('领用录入（明细）'!D:D=$F$4,'领用录入（明细）'!C:C&gt;=$J$4,'领用录入（明细）'!C:C&lt;=$L$4),ROW(),"-")</f>
        <v>-</v>
      </c>
    </row>
    <row r="3506" customHeight="1" spans="2:2">
      <c r="B3506" s="62" t="str">
        <f>IF(AND('领用录入（明细）'!D:D=$F$4,'领用录入（明细）'!C:C&gt;=$J$4,'领用录入（明细）'!C:C&lt;=$L$4),ROW(),"-")</f>
        <v>-</v>
      </c>
    </row>
    <row r="3507" customHeight="1" spans="2:2">
      <c r="B3507" s="62" t="str">
        <f>IF(AND('领用录入（明细）'!D:D=$F$4,'领用录入（明细）'!C:C&gt;=$J$4,'领用录入（明细）'!C:C&lt;=$L$4),ROW(),"-")</f>
        <v>-</v>
      </c>
    </row>
    <row r="3508" customHeight="1" spans="2:2">
      <c r="B3508" s="62" t="str">
        <f>IF(AND('领用录入（明细）'!D:D=$F$4,'领用录入（明细）'!C:C&gt;=$J$4,'领用录入（明细）'!C:C&lt;=$L$4),ROW(),"-")</f>
        <v>-</v>
      </c>
    </row>
    <row r="3509" customHeight="1" spans="2:2">
      <c r="B3509" s="62" t="str">
        <f>IF(AND('领用录入（明细）'!D:D=$F$4,'领用录入（明细）'!C:C&gt;=$J$4,'领用录入（明细）'!C:C&lt;=$L$4),ROW(),"-")</f>
        <v>-</v>
      </c>
    </row>
    <row r="3510" customHeight="1" spans="2:2">
      <c r="B3510" s="62" t="str">
        <f>IF(AND('领用录入（明细）'!D:D=$F$4,'领用录入（明细）'!C:C&gt;=$J$4,'领用录入（明细）'!C:C&lt;=$L$4),ROW(),"-")</f>
        <v>-</v>
      </c>
    </row>
    <row r="3511" customHeight="1" spans="2:2">
      <c r="B3511" s="62" t="str">
        <f>IF(AND('领用录入（明细）'!D:D=$F$4,'领用录入（明细）'!C:C&gt;=$J$4,'领用录入（明细）'!C:C&lt;=$L$4),ROW(),"-")</f>
        <v>-</v>
      </c>
    </row>
    <row r="3512" customHeight="1" spans="2:2">
      <c r="B3512" s="62" t="str">
        <f>IF(AND('领用录入（明细）'!D:D=$F$4,'领用录入（明细）'!C:C&gt;=$J$4,'领用录入（明细）'!C:C&lt;=$L$4),ROW(),"-")</f>
        <v>-</v>
      </c>
    </row>
    <row r="3513" customHeight="1" spans="2:2">
      <c r="B3513" s="62" t="str">
        <f>IF(AND('领用录入（明细）'!D:D=$F$4,'领用录入（明细）'!C:C&gt;=$J$4,'领用录入（明细）'!C:C&lt;=$L$4),ROW(),"-")</f>
        <v>-</v>
      </c>
    </row>
    <row r="3514" customHeight="1" spans="2:2">
      <c r="B3514" s="62" t="str">
        <f>IF(AND('领用录入（明细）'!D:D=$F$4,'领用录入（明细）'!C:C&gt;=$J$4,'领用录入（明细）'!C:C&lt;=$L$4),ROW(),"-")</f>
        <v>-</v>
      </c>
    </row>
    <row r="3515" customHeight="1" spans="2:2">
      <c r="B3515" s="62" t="str">
        <f>IF(AND('领用录入（明细）'!D:D=$F$4,'领用录入（明细）'!C:C&gt;=$J$4,'领用录入（明细）'!C:C&lt;=$L$4),ROW(),"-")</f>
        <v>-</v>
      </c>
    </row>
    <row r="3516" customHeight="1" spans="2:2">
      <c r="B3516" s="62" t="str">
        <f>IF(AND('领用录入（明细）'!D:D=$F$4,'领用录入（明细）'!C:C&gt;=$J$4,'领用录入（明细）'!C:C&lt;=$L$4),ROW(),"-")</f>
        <v>-</v>
      </c>
    </row>
    <row r="3517" customHeight="1" spans="2:2">
      <c r="B3517" s="62" t="str">
        <f>IF(AND('领用录入（明细）'!D:D=$F$4,'领用录入（明细）'!C:C&gt;=$J$4,'领用录入（明细）'!C:C&lt;=$L$4),ROW(),"-")</f>
        <v>-</v>
      </c>
    </row>
    <row r="3518" customHeight="1" spans="2:2">
      <c r="B3518" s="62" t="str">
        <f>IF(AND('领用录入（明细）'!D:D=$F$4,'领用录入（明细）'!C:C&gt;=$J$4,'领用录入（明细）'!C:C&lt;=$L$4),ROW(),"-")</f>
        <v>-</v>
      </c>
    </row>
    <row r="3519" customHeight="1" spans="2:2">
      <c r="B3519" s="62" t="str">
        <f>IF(AND('领用录入（明细）'!D:D=$F$4,'领用录入（明细）'!C:C&gt;=$J$4,'领用录入（明细）'!C:C&lt;=$L$4),ROW(),"-")</f>
        <v>-</v>
      </c>
    </row>
    <row r="3520" customHeight="1" spans="2:2">
      <c r="B3520" s="62" t="str">
        <f>IF(AND('领用录入（明细）'!D:D=$F$4,'领用录入（明细）'!C:C&gt;=$J$4,'领用录入（明细）'!C:C&lt;=$L$4),ROW(),"-")</f>
        <v>-</v>
      </c>
    </row>
    <row r="3521" customHeight="1" spans="2:2">
      <c r="B3521" s="62" t="str">
        <f>IF(AND('领用录入（明细）'!D:D=$F$4,'领用录入（明细）'!C:C&gt;=$J$4,'领用录入（明细）'!C:C&lt;=$L$4),ROW(),"-")</f>
        <v>-</v>
      </c>
    </row>
    <row r="3522" customHeight="1" spans="2:2">
      <c r="B3522" s="62" t="str">
        <f>IF(AND('领用录入（明细）'!D:D=$F$4,'领用录入（明细）'!C:C&gt;=$J$4,'领用录入（明细）'!C:C&lt;=$L$4),ROW(),"-")</f>
        <v>-</v>
      </c>
    </row>
    <row r="3523" customHeight="1" spans="2:2">
      <c r="B3523" s="62" t="str">
        <f>IF(AND('领用录入（明细）'!D:D=$F$4,'领用录入（明细）'!C:C&gt;=$J$4,'领用录入（明细）'!C:C&lt;=$L$4),ROW(),"-")</f>
        <v>-</v>
      </c>
    </row>
    <row r="3524" customHeight="1" spans="2:2">
      <c r="B3524" s="62" t="str">
        <f>IF(AND('领用录入（明细）'!D:D=$F$4,'领用录入（明细）'!C:C&gt;=$J$4,'领用录入（明细）'!C:C&lt;=$L$4),ROW(),"-")</f>
        <v>-</v>
      </c>
    </row>
    <row r="3525" customHeight="1" spans="2:2">
      <c r="B3525" s="62" t="str">
        <f>IF(AND('领用录入（明细）'!D:D=$F$4,'领用录入（明细）'!C:C&gt;=$J$4,'领用录入（明细）'!C:C&lt;=$L$4),ROW(),"-")</f>
        <v>-</v>
      </c>
    </row>
    <row r="3526" customHeight="1" spans="2:2">
      <c r="B3526" s="62" t="str">
        <f>IF(AND('领用录入（明细）'!D:D=$F$4,'领用录入（明细）'!C:C&gt;=$J$4,'领用录入（明细）'!C:C&lt;=$L$4),ROW(),"-")</f>
        <v>-</v>
      </c>
    </row>
    <row r="3527" customHeight="1" spans="2:2">
      <c r="B3527" s="62" t="str">
        <f>IF(AND('领用录入（明细）'!D:D=$F$4,'领用录入（明细）'!C:C&gt;=$J$4,'领用录入（明细）'!C:C&lt;=$L$4),ROW(),"-")</f>
        <v>-</v>
      </c>
    </row>
    <row r="3528" customHeight="1" spans="2:2">
      <c r="B3528" s="62" t="str">
        <f>IF(AND('领用录入（明细）'!D:D=$F$4,'领用录入（明细）'!C:C&gt;=$J$4,'领用录入（明细）'!C:C&lt;=$L$4),ROW(),"-")</f>
        <v>-</v>
      </c>
    </row>
    <row r="3529" customHeight="1" spans="2:2">
      <c r="B3529" s="62" t="str">
        <f>IF(AND('领用录入（明细）'!D:D=$F$4,'领用录入（明细）'!C:C&gt;=$J$4,'领用录入（明细）'!C:C&lt;=$L$4),ROW(),"-")</f>
        <v>-</v>
      </c>
    </row>
    <row r="3530" customHeight="1" spans="2:2">
      <c r="B3530" s="62" t="str">
        <f>IF(AND('领用录入（明细）'!D:D=$F$4,'领用录入（明细）'!C:C&gt;=$J$4,'领用录入（明细）'!C:C&lt;=$L$4),ROW(),"-")</f>
        <v>-</v>
      </c>
    </row>
    <row r="3531" customHeight="1" spans="2:2">
      <c r="B3531" s="62" t="str">
        <f>IF(AND('领用录入（明细）'!D:D=$F$4,'领用录入（明细）'!C:C&gt;=$J$4,'领用录入（明细）'!C:C&lt;=$L$4),ROW(),"-")</f>
        <v>-</v>
      </c>
    </row>
    <row r="3532" customHeight="1" spans="2:2">
      <c r="B3532" s="62" t="str">
        <f>IF(AND('领用录入（明细）'!D:D=$F$4,'领用录入（明细）'!C:C&gt;=$J$4,'领用录入（明细）'!C:C&lt;=$L$4),ROW(),"-")</f>
        <v>-</v>
      </c>
    </row>
    <row r="3533" customHeight="1" spans="2:2">
      <c r="B3533" s="62" t="str">
        <f>IF(AND('领用录入（明细）'!D:D=$F$4,'领用录入（明细）'!C:C&gt;=$J$4,'领用录入（明细）'!C:C&lt;=$L$4),ROW(),"-")</f>
        <v>-</v>
      </c>
    </row>
    <row r="3534" customHeight="1" spans="2:2">
      <c r="B3534" s="62" t="str">
        <f>IF(AND('领用录入（明细）'!D:D=$F$4,'领用录入（明细）'!C:C&gt;=$J$4,'领用录入（明细）'!C:C&lt;=$L$4),ROW(),"-")</f>
        <v>-</v>
      </c>
    </row>
    <row r="3535" customHeight="1" spans="2:2">
      <c r="B3535" s="62" t="str">
        <f>IF(AND('领用录入（明细）'!D:D=$F$4,'领用录入（明细）'!C:C&gt;=$J$4,'领用录入（明细）'!C:C&lt;=$L$4),ROW(),"-")</f>
        <v>-</v>
      </c>
    </row>
    <row r="3536" customHeight="1" spans="2:2">
      <c r="B3536" s="62" t="str">
        <f>IF(AND('领用录入（明细）'!D:D=$F$4,'领用录入（明细）'!C:C&gt;=$J$4,'领用录入（明细）'!C:C&lt;=$L$4),ROW(),"-")</f>
        <v>-</v>
      </c>
    </row>
    <row r="3537" customHeight="1" spans="2:2">
      <c r="B3537" s="62" t="str">
        <f>IF(AND('领用录入（明细）'!D:D=$F$4,'领用录入（明细）'!C:C&gt;=$J$4,'领用录入（明细）'!C:C&lt;=$L$4),ROW(),"-")</f>
        <v>-</v>
      </c>
    </row>
    <row r="3538" customHeight="1" spans="2:2">
      <c r="B3538" s="62" t="str">
        <f>IF(AND('领用录入（明细）'!D:D=$F$4,'领用录入（明细）'!C:C&gt;=$J$4,'领用录入（明细）'!C:C&lt;=$L$4),ROW(),"-")</f>
        <v>-</v>
      </c>
    </row>
    <row r="3539" customHeight="1" spans="2:2">
      <c r="B3539" s="62" t="str">
        <f>IF(AND('领用录入（明细）'!D:D=$F$4,'领用录入（明细）'!C:C&gt;=$J$4,'领用录入（明细）'!C:C&lt;=$L$4),ROW(),"-")</f>
        <v>-</v>
      </c>
    </row>
    <row r="3540" customHeight="1" spans="2:2">
      <c r="B3540" s="62" t="str">
        <f>IF(AND('领用录入（明细）'!D:D=$F$4,'领用录入（明细）'!C:C&gt;=$J$4,'领用录入（明细）'!C:C&lt;=$L$4),ROW(),"-")</f>
        <v>-</v>
      </c>
    </row>
    <row r="3541" customHeight="1" spans="2:2">
      <c r="B3541" s="62" t="str">
        <f>IF(AND('领用录入（明细）'!D:D=$F$4,'领用录入（明细）'!C:C&gt;=$J$4,'领用录入（明细）'!C:C&lt;=$L$4),ROW(),"-")</f>
        <v>-</v>
      </c>
    </row>
    <row r="3542" customHeight="1" spans="2:2">
      <c r="B3542" s="62" t="str">
        <f>IF(AND('领用录入（明细）'!D:D=$F$4,'领用录入（明细）'!C:C&gt;=$J$4,'领用录入（明细）'!C:C&lt;=$L$4),ROW(),"-")</f>
        <v>-</v>
      </c>
    </row>
    <row r="3543" customHeight="1" spans="2:2">
      <c r="B3543" s="62" t="str">
        <f>IF(AND('领用录入（明细）'!D:D=$F$4,'领用录入（明细）'!C:C&gt;=$J$4,'领用录入（明细）'!C:C&lt;=$L$4),ROW(),"-")</f>
        <v>-</v>
      </c>
    </row>
    <row r="3544" customHeight="1" spans="2:2">
      <c r="B3544" s="62" t="str">
        <f>IF(AND('领用录入（明细）'!D:D=$F$4,'领用录入（明细）'!C:C&gt;=$J$4,'领用录入（明细）'!C:C&lt;=$L$4),ROW(),"-")</f>
        <v>-</v>
      </c>
    </row>
    <row r="3545" customHeight="1" spans="2:2">
      <c r="B3545" s="62" t="str">
        <f>IF(AND('领用录入（明细）'!D:D=$F$4,'领用录入（明细）'!C:C&gt;=$J$4,'领用录入（明细）'!C:C&lt;=$L$4),ROW(),"-")</f>
        <v>-</v>
      </c>
    </row>
    <row r="3546" customHeight="1" spans="2:2">
      <c r="B3546" s="62" t="str">
        <f>IF(AND('领用录入（明细）'!D:D=$F$4,'领用录入（明细）'!C:C&gt;=$J$4,'领用录入（明细）'!C:C&lt;=$L$4),ROW(),"-")</f>
        <v>-</v>
      </c>
    </row>
    <row r="3547" customHeight="1" spans="2:2">
      <c r="B3547" s="62" t="str">
        <f>IF(AND('领用录入（明细）'!D:D=$F$4,'领用录入（明细）'!C:C&gt;=$J$4,'领用录入（明细）'!C:C&lt;=$L$4),ROW(),"-")</f>
        <v>-</v>
      </c>
    </row>
    <row r="3548" customHeight="1" spans="2:2">
      <c r="B3548" s="62" t="str">
        <f>IF(AND('领用录入（明细）'!D:D=$F$4,'领用录入（明细）'!C:C&gt;=$J$4,'领用录入（明细）'!C:C&lt;=$L$4),ROW(),"-")</f>
        <v>-</v>
      </c>
    </row>
    <row r="3549" customHeight="1" spans="2:2">
      <c r="B3549" s="62" t="str">
        <f>IF(AND('领用录入（明细）'!D:D=$F$4,'领用录入（明细）'!C:C&gt;=$J$4,'领用录入（明细）'!C:C&lt;=$L$4),ROW(),"-")</f>
        <v>-</v>
      </c>
    </row>
    <row r="3550" customHeight="1" spans="2:2">
      <c r="B3550" s="62" t="str">
        <f>IF(AND('领用录入（明细）'!D:D=$F$4,'领用录入（明细）'!C:C&gt;=$J$4,'领用录入（明细）'!C:C&lt;=$L$4),ROW(),"-")</f>
        <v>-</v>
      </c>
    </row>
    <row r="3551" customHeight="1" spans="2:2">
      <c r="B3551" s="62" t="str">
        <f>IF(AND('领用录入（明细）'!D:D=$F$4,'领用录入（明细）'!C:C&gt;=$J$4,'领用录入（明细）'!C:C&lt;=$L$4),ROW(),"-")</f>
        <v>-</v>
      </c>
    </row>
    <row r="3552" customHeight="1" spans="2:2">
      <c r="B3552" s="62" t="str">
        <f>IF(AND('领用录入（明细）'!D:D=$F$4,'领用录入（明细）'!C:C&gt;=$J$4,'领用录入（明细）'!C:C&lt;=$L$4),ROW(),"-")</f>
        <v>-</v>
      </c>
    </row>
    <row r="3553" customHeight="1" spans="2:2">
      <c r="B3553" s="62" t="str">
        <f>IF(AND('领用录入（明细）'!D:D=$F$4,'领用录入（明细）'!C:C&gt;=$J$4,'领用录入（明细）'!C:C&lt;=$L$4),ROW(),"-")</f>
        <v>-</v>
      </c>
    </row>
    <row r="3554" customHeight="1" spans="2:2">
      <c r="B3554" s="62" t="str">
        <f>IF(AND('领用录入（明细）'!D:D=$F$4,'领用录入（明细）'!C:C&gt;=$J$4,'领用录入（明细）'!C:C&lt;=$L$4),ROW(),"-")</f>
        <v>-</v>
      </c>
    </row>
    <row r="3555" customHeight="1" spans="2:2">
      <c r="B3555" s="62" t="str">
        <f>IF(AND('领用录入（明细）'!D:D=$F$4,'领用录入（明细）'!C:C&gt;=$J$4,'领用录入（明细）'!C:C&lt;=$L$4),ROW(),"-")</f>
        <v>-</v>
      </c>
    </row>
    <row r="3556" customHeight="1" spans="2:2">
      <c r="B3556" s="62" t="str">
        <f>IF(AND('领用录入（明细）'!D:D=$F$4,'领用录入（明细）'!C:C&gt;=$J$4,'领用录入（明细）'!C:C&lt;=$L$4),ROW(),"-")</f>
        <v>-</v>
      </c>
    </row>
    <row r="3557" customHeight="1" spans="2:2">
      <c r="B3557" s="62" t="str">
        <f>IF(AND('领用录入（明细）'!D:D=$F$4,'领用录入（明细）'!C:C&gt;=$J$4,'领用录入（明细）'!C:C&lt;=$L$4),ROW(),"-")</f>
        <v>-</v>
      </c>
    </row>
    <row r="3558" customHeight="1" spans="2:2">
      <c r="B3558" s="62" t="str">
        <f>IF(AND('领用录入（明细）'!D:D=$F$4,'领用录入（明细）'!C:C&gt;=$J$4,'领用录入（明细）'!C:C&lt;=$L$4),ROW(),"-")</f>
        <v>-</v>
      </c>
    </row>
    <row r="3559" customHeight="1" spans="2:2">
      <c r="B3559" s="62" t="str">
        <f>IF(AND('领用录入（明细）'!D:D=$F$4,'领用录入（明细）'!C:C&gt;=$J$4,'领用录入（明细）'!C:C&lt;=$L$4),ROW(),"-")</f>
        <v>-</v>
      </c>
    </row>
    <row r="3560" customHeight="1" spans="2:2">
      <c r="B3560" s="62" t="str">
        <f>IF(AND('领用录入（明细）'!D:D=$F$4,'领用录入（明细）'!C:C&gt;=$J$4,'领用录入（明细）'!C:C&lt;=$L$4),ROW(),"-")</f>
        <v>-</v>
      </c>
    </row>
    <row r="3561" customHeight="1" spans="2:2">
      <c r="B3561" s="62" t="str">
        <f>IF(AND('领用录入（明细）'!D:D=$F$4,'领用录入（明细）'!C:C&gt;=$J$4,'领用录入（明细）'!C:C&lt;=$L$4),ROW(),"-")</f>
        <v>-</v>
      </c>
    </row>
    <row r="3562" customHeight="1" spans="2:2">
      <c r="B3562" s="62" t="str">
        <f>IF(AND('领用录入（明细）'!D:D=$F$4,'领用录入（明细）'!C:C&gt;=$J$4,'领用录入（明细）'!C:C&lt;=$L$4),ROW(),"-")</f>
        <v>-</v>
      </c>
    </row>
    <row r="3563" customHeight="1" spans="2:2">
      <c r="B3563" s="62" t="str">
        <f>IF(AND('领用录入（明细）'!D:D=$F$4,'领用录入（明细）'!C:C&gt;=$J$4,'领用录入（明细）'!C:C&lt;=$L$4),ROW(),"-")</f>
        <v>-</v>
      </c>
    </row>
    <row r="3564" customHeight="1" spans="2:2">
      <c r="B3564" s="62" t="str">
        <f>IF(AND('领用录入（明细）'!D:D=$F$4,'领用录入（明细）'!C:C&gt;=$J$4,'领用录入（明细）'!C:C&lt;=$L$4),ROW(),"-")</f>
        <v>-</v>
      </c>
    </row>
    <row r="3565" customHeight="1" spans="2:2">
      <c r="B3565" s="62" t="str">
        <f>IF(AND('领用录入（明细）'!D:D=$F$4,'领用录入（明细）'!C:C&gt;=$J$4,'领用录入（明细）'!C:C&lt;=$L$4),ROW(),"-")</f>
        <v>-</v>
      </c>
    </row>
    <row r="3566" customHeight="1" spans="2:2">
      <c r="B3566" s="62" t="str">
        <f>IF(AND('领用录入（明细）'!D:D=$F$4,'领用录入（明细）'!C:C&gt;=$J$4,'领用录入（明细）'!C:C&lt;=$L$4),ROW(),"-")</f>
        <v>-</v>
      </c>
    </row>
    <row r="3567" customHeight="1" spans="2:2">
      <c r="B3567" s="62" t="str">
        <f>IF(AND('领用录入（明细）'!D:D=$F$4,'领用录入（明细）'!C:C&gt;=$J$4,'领用录入（明细）'!C:C&lt;=$L$4),ROW(),"-")</f>
        <v>-</v>
      </c>
    </row>
    <row r="3568" customHeight="1" spans="2:2">
      <c r="B3568" s="62" t="str">
        <f>IF(AND('领用录入（明细）'!D:D=$F$4,'领用录入（明细）'!C:C&gt;=$J$4,'领用录入（明细）'!C:C&lt;=$L$4),ROW(),"-")</f>
        <v>-</v>
      </c>
    </row>
    <row r="3569" customHeight="1" spans="2:2">
      <c r="B3569" s="62" t="str">
        <f>IF(AND('领用录入（明细）'!D:D=$F$4,'领用录入（明细）'!C:C&gt;=$J$4,'领用录入（明细）'!C:C&lt;=$L$4),ROW(),"-")</f>
        <v>-</v>
      </c>
    </row>
    <row r="3570" customHeight="1" spans="2:2">
      <c r="B3570" s="62" t="str">
        <f>IF(AND('领用录入（明细）'!D:D=$F$4,'领用录入（明细）'!C:C&gt;=$J$4,'领用录入（明细）'!C:C&lt;=$L$4),ROW(),"-")</f>
        <v>-</v>
      </c>
    </row>
    <row r="3571" customHeight="1" spans="2:2">
      <c r="B3571" s="62" t="str">
        <f>IF(AND('领用录入（明细）'!D:D=$F$4,'领用录入（明细）'!C:C&gt;=$J$4,'领用录入（明细）'!C:C&lt;=$L$4),ROW(),"-")</f>
        <v>-</v>
      </c>
    </row>
    <row r="3572" customHeight="1" spans="2:2">
      <c r="B3572" s="62" t="str">
        <f>IF(AND('领用录入（明细）'!D:D=$F$4,'领用录入（明细）'!C:C&gt;=$J$4,'领用录入（明细）'!C:C&lt;=$L$4),ROW(),"-")</f>
        <v>-</v>
      </c>
    </row>
    <row r="3573" customHeight="1" spans="2:2">
      <c r="B3573" s="62" t="str">
        <f>IF(AND('领用录入（明细）'!D:D=$F$4,'领用录入（明细）'!C:C&gt;=$J$4,'领用录入（明细）'!C:C&lt;=$L$4),ROW(),"-")</f>
        <v>-</v>
      </c>
    </row>
    <row r="3574" customHeight="1" spans="2:2">
      <c r="B3574" s="62" t="str">
        <f>IF(AND('领用录入（明细）'!D:D=$F$4,'领用录入（明细）'!C:C&gt;=$J$4,'领用录入（明细）'!C:C&lt;=$L$4),ROW(),"-")</f>
        <v>-</v>
      </c>
    </row>
    <row r="3575" customHeight="1" spans="2:2">
      <c r="B3575" s="62" t="str">
        <f>IF(AND('领用录入（明细）'!D:D=$F$4,'领用录入（明细）'!C:C&gt;=$J$4,'领用录入（明细）'!C:C&lt;=$L$4),ROW(),"-")</f>
        <v>-</v>
      </c>
    </row>
    <row r="3576" customHeight="1" spans="2:2">
      <c r="B3576" s="62" t="str">
        <f>IF(AND('领用录入（明细）'!D:D=$F$4,'领用录入（明细）'!C:C&gt;=$J$4,'领用录入（明细）'!C:C&lt;=$L$4),ROW(),"-")</f>
        <v>-</v>
      </c>
    </row>
    <row r="3577" customHeight="1" spans="2:2">
      <c r="B3577" s="62" t="str">
        <f>IF(AND('领用录入（明细）'!D:D=$F$4,'领用录入（明细）'!C:C&gt;=$J$4,'领用录入（明细）'!C:C&lt;=$L$4),ROW(),"-")</f>
        <v>-</v>
      </c>
    </row>
    <row r="3578" customHeight="1" spans="2:2">
      <c r="B3578" s="62" t="str">
        <f>IF(AND('领用录入（明细）'!D:D=$F$4,'领用录入（明细）'!C:C&gt;=$J$4,'领用录入（明细）'!C:C&lt;=$L$4),ROW(),"-")</f>
        <v>-</v>
      </c>
    </row>
    <row r="3579" customHeight="1" spans="2:2">
      <c r="B3579" s="62" t="str">
        <f>IF(AND('领用录入（明细）'!D:D=$F$4,'领用录入（明细）'!C:C&gt;=$J$4,'领用录入（明细）'!C:C&lt;=$L$4),ROW(),"-")</f>
        <v>-</v>
      </c>
    </row>
    <row r="3580" customHeight="1" spans="2:2">
      <c r="B3580" s="62" t="str">
        <f>IF(AND('领用录入（明细）'!D:D=$F$4,'领用录入（明细）'!C:C&gt;=$J$4,'领用录入（明细）'!C:C&lt;=$L$4),ROW(),"-")</f>
        <v>-</v>
      </c>
    </row>
    <row r="3581" customHeight="1" spans="2:2">
      <c r="B3581" s="62" t="str">
        <f>IF(AND('领用录入（明细）'!D:D=$F$4,'领用录入（明细）'!C:C&gt;=$J$4,'领用录入（明细）'!C:C&lt;=$L$4),ROW(),"-")</f>
        <v>-</v>
      </c>
    </row>
    <row r="3582" customHeight="1" spans="2:2">
      <c r="B3582" s="62" t="str">
        <f>IF(AND('领用录入（明细）'!D:D=$F$4,'领用录入（明细）'!C:C&gt;=$J$4,'领用录入（明细）'!C:C&lt;=$L$4),ROW(),"-")</f>
        <v>-</v>
      </c>
    </row>
    <row r="3583" customHeight="1" spans="2:2">
      <c r="B3583" s="62" t="str">
        <f>IF(AND('领用录入（明细）'!D:D=$F$4,'领用录入（明细）'!C:C&gt;=$J$4,'领用录入（明细）'!C:C&lt;=$L$4),ROW(),"-")</f>
        <v>-</v>
      </c>
    </row>
    <row r="3584" customHeight="1" spans="2:2">
      <c r="B3584" s="62" t="str">
        <f>IF(AND('领用录入（明细）'!D:D=$F$4,'领用录入（明细）'!C:C&gt;=$J$4,'领用录入（明细）'!C:C&lt;=$L$4),ROW(),"-")</f>
        <v>-</v>
      </c>
    </row>
    <row r="3585" customHeight="1" spans="2:2">
      <c r="B3585" s="62" t="str">
        <f>IF(AND('领用录入（明细）'!D:D=$F$4,'领用录入（明细）'!C:C&gt;=$J$4,'领用录入（明细）'!C:C&lt;=$L$4),ROW(),"-")</f>
        <v>-</v>
      </c>
    </row>
    <row r="3586" customHeight="1" spans="2:2">
      <c r="B3586" s="62" t="str">
        <f>IF(AND('领用录入（明细）'!D:D=$F$4,'领用录入（明细）'!C:C&gt;=$J$4,'领用录入（明细）'!C:C&lt;=$L$4),ROW(),"-")</f>
        <v>-</v>
      </c>
    </row>
    <row r="3587" customHeight="1" spans="2:2">
      <c r="B3587" s="62" t="str">
        <f>IF(AND('领用录入（明细）'!D:D=$F$4,'领用录入（明细）'!C:C&gt;=$J$4,'领用录入（明细）'!C:C&lt;=$L$4),ROW(),"-")</f>
        <v>-</v>
      </c>
    </row>
    <row r="3588" customHeight="1" spans="2:2">
      <c r="B3588" s="62" t="str">
        <f>IF(AND('领用录入（明细）'!D:D=$F$4,'领用录入（明细）'!C:C&gt;=$J$4,'领用录入（明细）'!C:C&lt;=$L$4),ROW(),"-")</f>
        <v>-</v>
      </c>
    </row>
    <row r="3589" customHeight="1" spans="2:2">
      <c r="B3589" s="62" t="str">
        <f>IF(AND('领用录入（明细）'!D:D=$F$4,'领用录入（明细）'!C:C&gt;=$J$4,'领用录入（明细）'!C:C&lt;=$L$4),ROW(),"-")</f>
        <v>-</v>
      </c>
    </row>
    <row r="3590" customHeight="1" spans="2:2">
      <c r="B3590" s="62" t="str">
        <f>IF(AND('领用录入（明细）'!D:D=$F$4,'领用录入（明细）'!C:C&gt;=$J$4,'领用录入（明细）'!C:C&lt;=$L$4),ROW(),"-")</f>
        <v>-</v>
      </c>
    </row>
    <row r="3591" customHeight="1" spans="2:2">
      <c r="B3591" s="62" t="str">
        <f>IF(AND('领用录入（明细）'!D:D=$F$4,'领用录入（明细）'!C:C&gt;=$J$4,'领用录入（明细）'!C:C&lt;=$L$4),ROW(),"-")</f>
        <v>-</v>
      </c>
    </row>
    <row r="3592" customHeight="1" spans="2:2">
      <c r="B3592" s="62" t="str">
        <f>IF(AND('领用录入（明细）'!D:D=$F$4,'领用录入（明细）'!C:C&gt;=$J$4,'领用录入（明细）'!C:C&lt;=$L$4),ROW(),"-")</f>
        <v>-</v>
      </c>
    </row>
    <row r="3593" customHeight="1" spans="2:2">
      <c r="B3593" s="62" t="str">
        <f>IF(AND('领用录入（明细）'!D:D=$F$4,'领用录入（明细）'!C:C&gt;=$J$4,'领用录入（明细）'!C:C&lt;=$L$4),ROW(),"-")</f>
        <v>-</v>
      </c>
    </row>
    <row r="3594" customHeight="1" spans="2:2">
      <c r="B3594" s="62" t="str">
        <f>IF(AND('领用录入（明细）'!D:D=$F$4,'领用录入（明细）'!C:C&gt;=$J$4,'领用录入（明细）'!C:C&lt;=$L$4),ROW(),"-")</f>
        <v>-</v>
      </c>
    </row>
    <row r="3595" customHeight="1" spans="2:2">
      <c r="B3595" s="62" t="str">
        <f>IF(AND('领用录入（明细）'!D:D=$F$4,'领用录入（明细）'!C:C&gt;=$J$4,'领用录入（明细）'!C:C&lt;=$L$4),ROW(),"-")</f>
        <v>-</v>
      </c>
    </row>
    <row r="3596" customHeight="1" spans="2:2">
      <c r="B3596" s="62" t="str">
        <f>IF(AND('领用录入（明细）'!D:D=$F$4,'领用录入（明细）'!C:C&gt;=$J$4,'领用录入（明细）'!C:C&lt;=$L$4),ROW(),"-")</f>
        <v>-</v>
      </c>
    </row>
    <row r="3597" customHeight="1" spans="2:2">
      <c r="B3597" s="62" t="str">
        <f>IF(AND('领用录入（明细）'!D:D=$F$4,'领用录入（明细）'!C:C&gt;=$J$4,'领用录入（明细）'!C:C&lt;=$L$4),ROW(),"-")</f>
        <v>-</v>
      </c>
    </row>
    <row r="3598" customHeight="1" spans="2:2">
      <c r="B3598" s="62" t="str">
        <f>IF(AND('领用录入（明细）'!D:D=$F$4,'领用录入（明细）'!C:C&gt;=$J$4,'领用录入（明细）'!C:C&lt;=$L$4),ROW(),"-")</f>
        <v>-</v>
      </c>
    </row>
    <row r="3599" customHeight="1" spans="2:2">
      <c r="B3599" s="62" t="str">
        <f>IF(AND('领用录入（明细）'!D:D=$F$4,'领用录入（明细）'!C:C&gt;=$J$4,'领用录入（明细）'!C:C&lt;=$L$4),ROW(),"-")</f>
        <v>-</v>
      </c>
    </row>
    <row r="3600" customHeight="1" spans="2:2">
      <c r="B3600" s="62" t="str">
        <f>IF(AND('领用录入（明细）'!D:D=$F$4,'领用录入（明细）'!C:C&gt;=$J$4,'领用录入（明细）'!C:C&lt;=$L$4),ROW(),"-")</f>
        <v>-</v>
      </c>
    </row>
    <row r="3601" customHeight="1" spans="2:2">
      <c r="B3601" s="62" t="str">
        <f>IF(AND('领用录入（明细）'!D:D=$F$4,'领用录入（明细）'!C:C&gt;=$J$4,'领用录入（明细）'!C:C&lt;=$L$4),ROW(),"-")</f>
        <v>-</v>
      </c>
    </row>
    <row r="3602" customHeight="1" spans="2:2">
      <c r="B3602" s="62" t="str">
        <f>IF(AND('领用录入（明细）'!D:D=$F$4,'领用录入（明细）'!C:C&gt;=$J$4,'领用录入（明细）'!C:C&lt;=$L$4),ROW(),"-")</f>
        <v>-</v>
      </c>
    </row>
    <row r="3603" customHeight="1" spans="2:2">
      <c r="B3603" s="62" t="str">
        <f>IF(AND('领用录入（明细）'!D:D=$F$4,'领用录入（明细）'!C:C&gt;=$J$4,'领用录入（明细）'!C:C&lt;=$L$4),ROW(),"-")</f>
        <v>-</v>
      </c>
    </row>
    <row r="3604" customHeight="1" spans="2:2">
      <c r="B3604" s="62" t="str">
        <f>IF(AND('领用录入（明细）'!D:D=$F$4,'领用录入（明细）'!C:C&gt;=$J$4,'领用录入（明细）'!C:C&lt;=$L$4),ROW(),"-")</f>
        <v>-</v>
      </c>
    </row>
    <row r="3605" customHeight="1" spans="2:2">
      <c r="B3605" s="62" t="str">
        <f>IF(AND('领用录入（明细）'!D:D=$F$4,'领用录入（明细）'!C:C&gt;=$J$4,'领用录入（明细）'!C:C&lt;=$L$4),ROW(),"-")</f>
        <v>-</v>
      </c>
    </row>
    <row r="3606" customHeight="1" spans="2:2">
      <c r="B3606" s="62" t="str">
        <f>IF(AND('领用录入（明细）'!D:D=$F$4,'领用录入（明细）'!C:C&gt;=$J$4,'领用录入（明细）'!C:C&lt;=$L$4),ROW(),"-")</f>
        <v>-</v>
      </c>
    </row>
    <row r="3607" customHeight="1" spans="2:2">
      <c r="B3607" s="62" t="str">
        <f>IF(AND('领用录入（明细）'!D:D=$F$4,'领用录入（明细）'!C:C&gt;=$J$4,'领用录入（明细）'!C:C&lt;=$L$4),ROW(),"-")</f>
        <v>-</v>
      </c>
    </row>
    <row r="3608" customHeight="1" spans="2:2">
      <c r="B3608" s="62" t="str">
        <f>IF(AND('领用录入（明细）'!D:D=$F$4,'领用录入（明细）'!C:C&gt;=$J$4,'领用录入（明细）'!C:C&lt;=$L$4),ROW(),"-")</f>
        <v>-</v>
      </c>
    </row>
    <row r="3609" customHeight="1" spans="2:2">
      <c r="B3609" s="62" t="str">
        <f>IF(AND('领用录入（明细）'!D:D=$F$4,'领用录入（明细）'!C:C&gt;=$J$4,'领用录入（明细）'!C:C&lt;=$L$4),ROW(),"-")</f>
        <v>-</v>
      </c>
    </row>
    <row r="3610" customHeight="1" spans="2:2">
      <c r="B3610" s="62" t="str">
        <f>IF(AND('领用录入（明细）'!D:D=$F$4,'领用录入（明细）'!C:C&gt;=$J$4,'领用录入（明细）'!C:C&lt;=$L$4),ROW(),"-")</f>
        <v>-</v>
      </c>
    </row>
    <row r="3611" customHeight="1" spans="2:2">
      <c r="B3611" s="62" t="str">
        <f>IF(AND('领用录入（明细）'!D:D=$F$4,'领用录入（明细）'!C:C&gt;=$J$4,'领用录入（明细）'!C:C&lt;=$L$4),ROW(),"-")</f>
        <v>-</v>
      </c>
    </row>
    <row r="3612" customHeight="1" spans="2:2">
      <c r="B3612" s="62" t="str">
        <f>IF(AND('领用录入（明细）'!D:D=$F$4,'领用录入（明细）'!C:C&gt;=$J$4,'领用录入（明细）'!C:C&lt;=$L$4),ROW(),"-")</f>
        <v>-</v>
      </c>
    </row>
    <row r="3613" customHeight="1" spans="2:2">
      <c r="B3613" s="62" t="str">
        <f>IF(AND('领用录入（明细）'!D:D=$F$4,'领用录入（明细）'!C:C&gt;=$J$4,'领用录入（明细）'!C:C&lt;=$L$4),ROW(),"-")</f>
        <v>-</v>
      </c>
    </row>
    <row r="3614" customHeight="1" spans="2:2">
      <c r="B3614" s="62" t="str">
        <f>IF(AND('领用录入（明细）'!D:D=$F$4,'领用录入（明细）'!C:C&gt;=$J$4,'领用录入（明细）'!C:C&lt;=$L$4),ROW(),"-")</f>
        <v>-</v>
      </c>
    </row>
    <row r="3615" customHeight="1" spans="2:2">
      <c r="B3615" s="62" t="str">
        <f>IF(AND('领用录入（明细）'!D:D=$F$4,'领用录入（明细）'!C:C&gt;=$J$4,'领用录入（明细）'!C:C&lt;=$L$4),ROW(),"-")</f>
        <v>-</v>
      </c>
    </row>
    <row r="3616" customHeight="1" spans="2:2">
      <c r="B3616" s="62" t="str">
        <f>IF(AND('领用录入（明细）'!D:D=$F$4,'领用录入（明细）'!C:C&gt;=$J$4,'领用录入（明细）'!C:C&lt;=$L$4),ROW(),"-")</f>
        <v>-</v>
      </c>
    </row>
    <row r="3617" customHeight="1" spans="2:2">
      <c r="B3617" s="62" t="str">
        <f>IF(AND('领用录入（明细）'!D:D=$F$4,'领用录入（明细）'!C:C&gt;=$J$4,'领用录入（明细）'!C:C&lt;=$L$4),ROW(),"-")</f>
        <v>-</v>
      </c>
    </row>
    <row r="3618" customHeight="1" spans="2:2">
      <c r="B3618" s="62" t="str">
        <f>IF(AND('领用录入（明细）'!D:D=$F$4,'领用录入（明细）'!C:C&gt;=$J$4,'领用录入（明细）'!C:C&lt;=$L$4),ROW(),"-")</f>
        <v>-</v>
      </c>
    </row>
    <row r="3619" customHeight="1" spans="2:2">
      <c r="B3619" s="62" t="str">
        <f>IF(AND('领用录入（明细）'!D:D=$F$4,'领用录入（明细）'!C:C&gt;=$J$4,'领用录入（明细）'!C:C&lt;=$L$4),ROW(),"-")</f>
        <v>-</v>
      </c>
    </row>
    <row r="3620" customHeight="1" spans="2:2">
      <c r="B3620" s="62" t="str">
        <f>IF(AND('领用录入（明细）'!D:D=$F$4,'领用录入（明细）'!C:C&gt;=$J$4,'领用录入（明细）'!C:C&lt;=$L$4),ROW(),"-")</f>
        <v>-</v>
      </c>
    </row>
    <row r="3621" customHeight="1" spans="2:2">
      <c r="B3621" s="62" t="str">
        <f>IF(AND('领用录入（明细）'!D:D=$F$4,'领用录入（明细）'!C:C&gt;=$J$4,'领用录入（明细）'!C:C&lt;=$L$4),ROW(),"-")</f>
        <v>-</v>
      </c>
    </row>
    <row r="3622" customHeight="1" spans="2:2">
      <c r="B3622" s="62" t="str">
        <f>IF(AND('领用录入（明细）'!D:D=$F$4,'领用录入（明细）'!C:C&gt;=$J$4,'领用录入（明细）'!C:C&lt;=$L$4),ROW(),"-")</f>
        <v>-</v>
      </c>
    </row>
    <row r="3623" customHeight="1" spans="2:2">
      <c r="B3623" s="62" t="str">
        <f>IF(AND('领用录入（明细）'!D:D=$F$4,'领用录入（明细）'!C:C&gt;=$J$4,'领用录入（明细）'!C:C&lt;=$L$4),ROW(),"-")</f>
        <v>-</v>
      </c>
    </row>
    <row r="3624" customHeight="1" spans="2:2">
      <c r="B3624" s="62" t="str">
        <f>IF(AND('领用录入（明细）'!D:D=$F$4,'领用录入（明细）'!C:C&gt;=$J$4,'领用录入（明细）'!C:C&lt;=$L$4),ROW(),"-")</f>
        <v>-</v>
      </c>
    </row>
    <row r="3625" customHeight="1" spans="2:2">
      <c r="B3625" s="62" t="str">
        <f>IF(AND('领用录入（明细）'!D:D=$F$4,'领用录入（明细）'!C:C&gt;=$J$4,'领用录入（明细）'!C:C&lt;=$L$4),ROW(),"-")</f>
        <v>-</v>
      </c>
    </row>
    <row r="3626" customHeight="1" spans="2:2">
      <c r="B3626" s="62" t="str">
        <f>IF(AND('领用录入（明细）'!D:D=$F$4,'领用录入（明细）'!C:C&gt;=$J$4,'领用录入（明细）'!C:C&lt;=$L$4),ROW(),"-")</f>
        <v>-</v>
      </c>
    </row>
    <row r="3627" customHeight="1" spans="2:2">
      <c r="B3627" s="62" t="str">
        <f>IF(AND('领用录入（明细）'!D:D=$F$4,'领用录入（明细）'!C:C&gt;=$J$4,'领用录入（明细）'!C:C&lt;=$L$4),ROW(),"-")</f>
        <v>-</v>
      </c>
    </row>
    <row r="3628" customHeight="1" spans="2:2">
      <c r="B3628" s="62" t="str">
        <f>IF(AND('领用录入（明细）'!D:D=$F$4,'领用录入（明细）'!C:C&gt;=$J$4,'领用录入（明细）'!C:C&lt;=$L$4),ROW(),"-")</f>
        <v>-</v>
      </c>
    </row>
    <row r="3629" customHeight="1" spans="2:2">
      <c r="B3629" s="62" t="str">
        <f>IF(AND('领用录入（明细）'!D:D=$F$4,'领用录入（明细）'!C:C&gt;=$J$4,'领用录入（明细）'!C:C&lt;=$L$4),ROW(),"-")</f>
        <v>-</v>
      </c>
    </row>
    <row r="3630" customHeight="1" spans="2:2">
      <c r="B3630" s="62" t="str">
        <f>IF(AND('领用录入（明细）'!D:D=$F$4,'领用录入（明细）'!C:C&gt;=$J$4,'领用录入（明细）'!C:C&lt;=$L$4),ROW(),"-")</f>
        <v>-</v>
      </c>
    </row>
    <row r="3631" customHeight="1" spans="2:2">
      <c r="B3631" s="62" t="str">
        <f>IF(AND('领用录入（明细）'!D:D=$F$4,'领用录入（明细）'!C:C&gt;=$J$4,'领用录入（明细）'!C:C&lt;=$L$4),ROW(),"-")</f>
        <v>-</v>
      </c>
    </row>
    <row r="3632" customHeight="1" spans="2:2">
      <c r="B3632" s="62" t="str">
        <f>IF(AND('领用录入（明细）'!D:D=$F$4,'领用录入（明细）'!C:C&gt;=$J$4,'领用录入（明细）'!C:C&lt;=$L$4),ROW(),"-")</f>
        <v>-</v>
      </c>
    </row>
    <row r="3633" customHeight="1" spans="2:2">
      <c r="B3633" s="62" t="str">
        <f>IF(AND('领用录入（明细）'!D:D=$F$4,'领用录入（明细）'!C:C&gt;=$J$4,'领用录入（明细）'!C:C&lt;=$L$4),ROW(),"-")</f>
        <v>-</v>
      </c>
    </row>
    <row r="3634" customHeight="1" spans="2:2">
      <c r="B3634" s="62" t="str">
        <f>IF(AND('领用录入（明细）'!D:D=$F$4,'领用录入（明细）'!C:C&gt;=$J$4,'领用录入（明细）'!C:C&lt;=$L$4),ROW(),"-")</f>
        <v>-</v>
      </c>
    </row>
    <row r="3635" customHeight="1" spans="2:2">
      <c r="B3635" s="62" t="str">
        <f>IF(AND('领用录入（明细）'!D:D=$F$4,'领用录入（明细）'!C:C&gt;=$J$4,'领用录入（明细）'!C:C&lt;=$L$4),ROW(),"-")</f>
        <v>-</v>
      </c>
    </row>
    <row r="3636" customHeight="1" spans="2:2">
      <c r="B3636" s="62" t="str">
        <f>IF(AND('领用录入（明细）'!D:D=$F$4,'领用录入（明细）'!C:C&gt;=$J$4,'领用录入（明细）'!C:C&lt;=$L$4),ROW(),"-")</f>
        <v>-</v>
      </c>
    </row>
    <row r="3637" customHeight="1" spans="2:2">
      <c r="B3637" s="62" t="str">
        <f>IF(AND('领用录入（明细）'!D:D=$F$4,'领用录入（明细）'!C:C&gt;=$J$4,'领用录入（明细）'!C:C&lt;=$L$4),ROW(),"-")</f>
        <v>-</v>
      </c>
    </row>
    <row r="3638" customHeight="1" spans="2:2">
      <c r="B3638" s="62" t="str">
        <f>IF(AND('领用录入（明细）'!D:D=$F$4,'领用录入（明细）'!C:C&gt;=$J$4,'领用录入（明细）'!C:C&lt;=$L$4),ROW(),"-")</f>
        <v>-</v>
      </c>
    </row>
    <row r="3639" customHeight="1" spans="2:2">
      <c r="B3639" s="62" t="str">
        <f>IF(AND('领用录入（明细）'!D:D=$F$4,'领用录入（明细）'!C:C&gt;=$J$4,'领用录入（明细）'!C:C&lt;=$L$4),ROW(),"-")</f>
        <v>-</v>
      </c>
    </row>
    <row r="3640" customHeight="1" spans="2:2">
      <c r="B3640" s="62" t="str">
        <f>IF(AND('领用录入（明细）'!D:D=$F$4,'领用录入（明细）'!C:C&gt;=$J$4,'领用录入（明细）'!C:C&lt;=$L$4),ROW(),"-")</f>
        <v>-</v>
      </c>
    </row>
    <row r="3641" customHeight="1" spans="2:2">
      <c r="B3641" s="62" t="str">
        <f>IF(AND('领用录入（明细）'!D:D=$F$4,'领用录入（明细）'!C:C&gt;=$J$4,'领用录入（明细）'!C:C&lt;=$L$4),ROW(),"-")</f>
        <v>-</v>
      </c>
    </row>
    <row r="3642" customHeight="1" spans="2:2">
      <c r="B3642" s="62" t="str">
        <f>IF(AND('领用录入（明细）'!D:D=$F$4,'领用录入（明细）'!C:C&gt;=$J$4,'领用录入（明细）'!C:C&lt;=$L$4),ROW(),"-")</f>
        <v>-</v>
      </c>
    </row>
    <row r="3643" customHeight="1" spans="2:2">
      <c r="B3643" s="62" t="str">
        <f>IF(AND('领用录入（明细）'!D:D=$F$4,'领用录入（明细）'!C:C&gt;=$J$4,'领用录入（明细）'!C:C&lt;=$L$4),ROW(),"-")</f>
        <v>-</v>
      </c>
    </row>
    <row r="3644" customHeight="1" spans="2:2">
      <c r="B3644" s="62" t="str">
        <f>IF(AND('领用录入（明细）'!D:D=$F$4,'领用录入（明细）'!C:C&gt;=$J$4,'领用录入（明细）'!C:C&lt;=$L$4),ROW(),"-")</f>
        <v>-</v>
      </c>
    </row>
    <row r="3645" customHeight="1" spans="2:2">
      <c r="B3645" s="62" t="str">
        <f>IF(AND('领用录入（明细）'!D:D=$F$4,'领用录入（明细）'!C:C&gt;=$J$4,'领用录入（明细）'!C:C&lt;=$L$4),ROW(),"-")</f>
        <v>-</v>
      </c>
    </row>
    <row r="3646" customHeight="1" spans="2:2">
      <c r="B3646" s="62" t="str">
        <f>IF(AND('领用录入（明细）'!D:D=$F$4,'领用录入（明细）'!C:C&gt;=$J$4,'领用录入（明细）'!C:C&lt;=$L$4),ROW(),"-")</f>
        <v>-</v>
      </c>
    </row>
    <row r="3647" customHeight="1" spans="2:2">
      <c r="B3647" s="62" t="str">
        <f>IF(AND('领用录入（明细）'!D:D=$F$4,'领用录入（明细）'!C:C&gt;=$J$4,'领用录入（明细）'!C:C&lt;=$L$4),ROW(),"-")</f>
        <v>-</v>
      </c>
    </row>
    <row r="3648" customHeight="1" spans="2:2">
      <c r="B3648" s="62" t="str">
        <f>IF(AND('领用录入（明细）'!D:D=$F$4,'领用录入（明细）'!C:C&gt;=$J$4,'领用录入（明细）'!C:C&lt;=$L$4),ROW(),"-")</f>
        <v>-</v>
      </c>
    </row>
    <row r="3649" customHeight="1" spans="2:2">
      <c r="B3649" s="62" t="str">
        <f>IF(AND('领用录入（明细）'!D:D=$F$4,'领用录入（明细）'!C:C&gt;=$J$4,'领用录入（明细）'!C:C&lt;=$L$4),ROW(),"-")</f>
        <v>-</v>
      </c>
    </row>
    <row r="3650" customHeight="1" spans="2:2">
      <c r="B3650" s="62" t="str">
        <f>IF(AND('领用录入（明细）'!D:D=$F$4,'领用录入（明细）'!C:C&gt;=$J$4,'领用录入（明细）'!C:C&lt;=$L$4),ROW(),"-")</f>
        <v>-</v>
      </c>
    </row>
    <row r="3651" customHeight="1" spans="2:2">
      <c r="B3651" s="62" t="str">
        <f>IF(AND('领用录入（明细）'!D:D=$F$4,'领用录入（明细）'!C:C&gt;=$J$4,'领用录入（明细）'!C:C&lt;=$L$4),ROW(),"-")</f>
        <v>-</v>
      </c>
    </row>
    <row r="3652" customHeight="1" spans="2:2">
      <c r="B3652" s="62" t="str">
        <f>IF(AND('领用录入（明细）'!D:D=$F$4,'领用录入（明细）'!C:C&gt;=$J$4,'领用录入（明细）'!C:C&lt;=$L$4),ROW(),"-")</f>
        <v>-</v>
      </c>
    </row>
    <row r="3653" customHeight="1" spans="2:2">
      <c r="B3653" s="62" t="str">
        <f>IF(AND('领用录入（明细）'!D:D=$F$4,'领用录入（明细）'!C:C&gt;=$J$4,'领用录入（明细）'!C:C&lt;=$L$4),ROW(),"-")</f>
        <v>-</v>
      </c>
    </row>
    <row r="3654" customHeight="1" spans="2:2">
      <c r="B3654" s="62" t="str">
        <f>IF(AND('领用录入（明细）'!D:D=$F$4,'领用录入（明细）'!C:C&gt;=$J$4,'领用录入（明细）'!C:C&lt;=$L$4),ROW(),"-")</f>
        <v>-</v>
      </c>
    </row>
    <row r="3655" customHeight="1" spans="2:2">
      <c r="B3655" s="62" t="str">
        <f>IF(AND('领用录入（明细）'!D:D=$F$4,'领用录入（明细）'!C:C&gt;=$J$4,'领用录入（明细）'!C:C&lt;=$L$4),ROW(),"-")</f>
        <v>-</v>
      </c>
    </row>
    <row r="3656" customHeight="1" spans="2:2">
      <c r="B3656" s="62" t="str">
        <f>IF(AND('领用录入（明细）'!D:D=$F$4,'领用录入（明细）'!C:C&gt;=$J$4,'领用录入（明细）'!C:C&lt;=$L$4),ROW(),"-")</f>
        <v>-</v>
      </c>
    </row>
    <row r="3657" customHeight="1" spans="2:2">
      <c r="B3657" s="62" t="str">
        <f>IF(AND('领用录入（明细）'!D:D=$F$4,'领用录入（明细）'!C:C&gt;=$J$4,'领用录入（明细）'!C:C&lt;=$L$4),ROW(),"-")</f>
        <v>-</v>
      </c>
    </row>
    <row r="3658" customHeight="1" spans="2:2">
      <c r="B3658" s="62" t="str">
        <f>IF(AND('领用录入（明细）'!D:D=$F$4,'领用录入（明细）'!C:C&gt;=$J$4,'领用录入（明细）'!C:C&lt;=$L$4),ROW(),"-")</f>
        <v>-</v>
      </c>
    </row>
    <row r="3659" customHeight="1" spans="2:2">
      <c r="B3659" s="62" t="str">
        <f>IF(AND('领用录入（明细）'!D:D=$F$4,'领用录入（明细）'!C:C&gt;=$J$4,'领用录入（明细）'!C:C&lt;=$L$4),ROW(),"-")</f>
        <v>-</v>
      </c>
    </row>
    <row r="3660" customHeight="1" spans="2:2">
      <c r="B3660" s="62" t="str">
        <f>IF(AND('领用录入（明细）'!D:D=$F$4,'领用录入（明细）'!C:C&gt;=$J$4,'领用录入（明细）'!C:C&lt;=$L$4),ROW(),"-")</f>
        <v>-</v>
      </c>
    </row>
    <row r="3661" customHeight="1" spans="2:2">
      <c r="B3661" s="62" t="str">
        <f>IF(AND('领用录入（明细）'!D:D=$F$4,'领用录入（明细）'!C:C&gt;=$J$4,'领用录入（明细）'!C:C&lt;=$L$4),ROW(),"-")</f>
        <v>-</v>
      </c>
    </row>
    <row r="3662" customHeight="1" spans="2:2">
      <c r="B3662" s="62" t="str">
        <f>IF(AND('领用录入（明细）'!D:D=$F$4,'领用录入（明细）'!C:C&gt;=$J$4,'领用录入（明细）'!C:C&lt;=$L$4),ROW(),"-")</f>
        <v>-</v>
      </c>
    </row>
    <row r="3663" customHeight="1" spans="2:2">
      <c r="B3663" s="62" t="str">
        <f>IF(AND('领用录入（明细）'!D:D=$F$4,'领用录入（明细）'!C:C&gt;=$J$4,'领用录入（明细）'!C:C&lt;=$L$4),ROW(),"-")</f>
        <v>-</v>
      </c>
    </row>
    <row r="3664" customHeight="1" spans="2:2">
      <c r="B3664" s="62" t="str">
        <f>IF(AND('领用录入（明细）'!D:D=$F$4,'领用录入（明细）'!C:C&gt;=$J$4,'领用录入（明细）'!C:C&lt;=$L$4),ROW(),"-")</f>
        <v>-</v>
      </c>
    </row>
    <row r="3665" customHeight="1" spans="2:2">
      <c r="B3665" s="62" t="str">
        <f>IF(AND('领用录入（明细）'!D:D=$F$4,'领用录入（明细）'!C:C&gt;=$J$4,'领用录入（明细）'!C:C&lt;=$L$4),ROW(),"-")</f>
        <v>-</v>
      </c>
    </row>
    <row r="3666" customHeight="1" spans="2:2">
      <c r="B3666" s="62" t="str">
        <f>IF(AND('领用录入（明细）'!D:D=$F$4,'领用录入（明细）'!C:C&gt;=$J$4,'领用录入（明细）'!C:C&lt;=$L$4),ROW(),"-")</f>
        <v>-</v>
      </c>
    </row>
    <row r="3667" customHeight="1" spans="2:2">
      <c r="B3667" s="62" t="str">
        <f>IF(AND('领用录入（明细）'!D:D=$F$4,'领用录入（明细）'!C:C&gt;=$J$4,'领用录入（明细）'!C:C&lt;=$L$4),ROW(),"-")</f>
        <v>-</v>
      </c>
    </row>
    <row r="3668" customHeight="1" spans="2:2">
      <c r="B3668" s="62" t="str">
        <f>IF(AND('领用录入（明细）'!D:D=$F$4,'领用录入（明细）'!C:C&gt;=$J$4,'领用录入（明细）'!C:C&lt;=$L$4),ROW(),"-")</f>
        <v>-</v>
      </c>
    </row>
    <row r="3669" customHeight="1" spans="2:2">
      <c r="B3669" s="62" t="str">
        <f>IF(AND('领用录入（明细）'!D:D=$F$4,'领用录入（明细）'!C:C&gt;=$J$4,'领用录入（明细）'!C:C&lt;=$L$4),ROW(),"-")</f>
        <v>-</v>
      </c>
    </row>
    <row r="3670" customHeight="1" spans="2:2">
      <c r="B3670" s="62" t="str">
        <f>IF(AND('领用录入（明细）'!D:D=$F$4,'领用录入（明细）'!C:C&gt;=$J$4,'领用录入（明细）'!C:C&lt;=$L$4),ROW(),"-")</f>
        <v>-</v>
      </c>
    </row>
    <row r="3671" customHeight="1" spans="2:2">
      <c r="B3671" s="62" t="str">
        <f>IF(AND('领用录入（明细）'!D:D=$F$4,'领用录入（明细）'!C:C&gt;=$J$4,'领用录入（明细）'!C:C&lt;=$L$4),ROW(),"-")</f>
        <v>-</v>
      </c>
    </row>
    <row r="3672" customHeight="1" spans="2:2">
      <c r="B3672" s="62" t="str">
        <f>IF(AND('领用录入（明细）'!D:D=$F$4,'领用录入（明细）'!C:C&gt;=$J$4,'领用录入（明细）'!C:C&lt;=$L$4),ROW(),"-")</f>
        <v>-</v>
      </c>
    </row>
    <row r="3673" customHeight="1" spans="2:2">
      <c r="B3673" s="62" t="str">
        <f>IF(AND('领用录入（明细）'!D:D=$F$4,'领用录入（明细）'!C:C&gt;=$J$4,'领用录入（明细）'!C:C&lt;=$L$4),ROW(),"-")</f>
        <v>-</v>
      </c>
    </row>
    <row r="3674" customHeight="1" spans="2:2">
      <c r="B3674" s="62" t="str">
        <f>IF(AND('领用录入（明细）'!D:D=$F$4,'领用录入（明细）'!C:C&gt;=$J$4,'领用录入（明细）'!C:C&lt;=$L$4),ROW(),"-")</f>
        <v>-</v>
      </c>
    </row>
    <row r="3675" customHeight="1" spans="2:2">
      <c r="B3675" s="62" t="str">
        <f>IF(AND('领用录入（明细）'!D:D=$F$4,'领用录入（明细）'!C:C&gt;=$J$4,'领用录入（明细）'!C:C&lt;=$L$4),ROW(),"-")</f>
        <v>-</v>
      </c>
    </row>
    <row r="3676" customHeight="1" spans="2:2">
      <c r="B3676" s="62" t="str">
        <f>IF(AND('领用录入（明细）'!D:D=$F$4,'领用录入（明细）'!C:C&gt;=$J$4,'领用录入（明细）'!C:C&lt;=$L$4),ROW(),"-")</f>
        <v>-</v>
      </c>
    </row>
    <row r="3677" customHeight="1" spans="2:2">
      <c r="B3677" s="62" t="str">
        <f>IF(AND('领用录入（明细）'!D:D=$F$4,'领用录入（明细）'!C:C&gt;=$J$4,'领用录入（明细）'!C:C&lt;=$L$4),ROW(),"-")</f>
        <v>-</v>
      </c>
    </row>
    <row r="3678" customHeight="1" spans="2:2">
      <c r="B3678" s="62" t="str">
        <f>IF(AND('领用录入（明细）'!D:D=$F$4,'领用录入（明细）'!C:C&gt;=$J$4,'领用录入（明细）'!C:C&lt;=$L$4),ROW(),"-")</f>
        <v>-</v>
      </c>
    </row>
    <row r="3679" customHeight="1" spans="2:2">
      <c r="B3679" s="62" t="str">
        <f>IF(AND('领用录入（明细）'!D:D=$F$4,'领用录入（明细）'!C:C&gt;=$J$4,'领用录入（明细）'!C:C&lt;=$L$4),ROW(),"-")</f>
        <v>-</v>
      </c>
    </row>
    <row r="3680" customHeight="1" spans="2:2">
      <c r="B3680" s="62" t="str">
        <f>IF(AND('领用录入（明细）'!D:D=$F$4,'领用录入（明细）'!C:C&gt;=$J$4,'领用录入（明细）'!C:C&lt;=$L$4),ROW(),"-")</f>
        <v>-</v>
      </c>
    </row>
    <row r="3681" customHeight="1" spans="2:2">
      <c r="B3681" s="62" t="str">
        <f>IF(AND('领用录入（明细）'!D:D=$F$4,'领用录入（明细）'!C:C&gt;=$J$4,'领用录入（明细）'!C:C&lt;=$L$4),ROW(),"-")</f>
        <v>-</v>
      </c>
    </row>
    <row r="3682" customHeight="1" spans="2:2">
      <c r="B3682" s="62" t="str">
        <f>IF(AND('领用录入（明细）'!D:D=$F$4,'领用录入（明细）'!C:C&gt;=$J$4,'领用录入（明细）'!C:C&lt;=$L$4),ROW(),"-")</f>
        <v>-</v>
      </c>
    </row>
    <row r="3683" customHeight="1" spans="2:2">
      <c r="B3683" s="62" t="str">
        <f>IF(AND('领用录入（明细）'!D:D=$F$4,'领用录入（明细）'!C:C&gt;=$J$4,'领用录入（明细）'!C:C&lt;=$L$4),ROW(),"-")</f>
        <v>-</v>
      </c>
    </row>
    <row r="3684" customHeight="1" spans="2:2">
      <c r="B3684" s="62" t="str">
        <f>IF(AND('领用录入（明细）'!D:D=$F$4,'领用录入（明细）'!C:C&gt;=$J$4,'领用录入（明细）'!C:C&lt;=$L$4),ROW(),"-")</f>
        <v>-</v>
      </c>
    </row>
    <row r="3685" customHeight="1" spans="2:2">
      <c r="B3685" s="62" t="str">
        <f>IF(AND('领用录入（明细）'!D:D=$F$4,'领用录入（明细）'!C:C&gt;=$J$4,'领用录入（明细）'!C:C&lt;=$L$4),ROW(),"-")</f>
        <v>-</v>
      </c>
    </row>
    <row r="3686" customHeight="1" spans="2:2">
      <c r="B3686" s="62" t="str">
        <f>IF(AND('领用录入（明细）'!D:D=$F$4,'领用录入（明细）'!C:C&gt;=$J$4,'领用录入（明细）'!C:C&lt;=$L$4),ROW(),"-")</f>
        <v>-</v>
      </c>
    </row>
    <row r="3687" customHeight="1" spans="2:2">
      <c r="B3687" s="62" t="str">
        <f>IF(AND('领用录入（明细）'!D:D=$F$4,'领用录入（明细）'!C:C&gt;=$J$4,'领用录入（明细）'!C:C&lt;=$L$4),ROW(),"-")</f>
        <v>-</v>
      </c>
    </row>
    <row r="3688" customHeight="1" spans="2:2">
      <c r="B3688" s="62" t="str">
        <f>IF(AND('领用录入（明细）'!D:D=$F$4,'领用录入（明细）'!C:C&gt;=$J$4,'领用录入（明细）'!C:C&lt;=$L$4),ROW(),"-")</f>
        <v>-</v>
      </c>
    </row>
    <row r="3689" customHeight="1" spans="2:2">
      <c r="B3689" s="62" t="str">
        <f>IF(AND('领用录入（明细）'!D:D=$F$4,'领用录入（明细）'!C:C&gt;=$J$4,'领用录入（明细）'!C:C&lt;=$L$4),ROW(),"-")</f>
        <v>-</v>
      </c>
    </row>
    <row r="3690" customHeight="1" spans="2:2">
      <c r="B3690" s="62" t="str">
        <f>IF(AND('领用录入（明细）'!D:D=$F$4,'领用录入（明细）'!C:C&gt;=$J$4,'领用录入（明细）'!C:C&lt;=$L$4),ROW(),"-")</f>
        <v>-</v>
      </c>
    </row>
    <row r="3691" customHeight="1" spans="2:2">
      <c r="B3691" s="62" t="str">
        <f>IF(AND('领用录入（明细）'!D:D=$F$4,'领用录入（明细）'!C:C&gt;=$J$4,'领用录入（明细）'!C:C&lt;=$L$4),ROW(),"-")</f>
        <v>-</v>
      </c>
    </row>
    <row r="3692" customHeight="1" spans="2:2">
      <c r="B3692" s="62" t="str">
        <f>IF(AND('领用录入（明细）'!D:D=$F$4,'领用录入（明细）'!C:C&gt;=$J$4,'领用录入（明细）'!C:C&lt;=$L$4),ROW(),"-")</f>
        <v>-</v>
      </c>
    </row>
    <row r="3693" customHeight="1" spans="2:2">
      <c r="B3693" s="62" t="str">
        <f>IF(AND('领用录入（明细）'!D:D=$F$4,'领用录入（明细）'!C:C&gt;=$J$4,'领用录入（明细）'!C:C&lt;=$L$4),ROW(),"-")</f>
        <v>-</v>
      </c>
    </row>
    <row r="3694" customHeight="1" spans="2:2">
      <c r="B3694" s="62" t="str">
        <f>IF(AND('领用录入（明细）'!D:D=$F$4,'领用录入（明细）'!C:C&gt;=$J$4,'领用录入（明细）'!C:C&lt;=$L$4),ROW(),"-")</f>
        <v>-</v>
      </c>
    </row>
    <row r="3695" customHeight="1" spans="2:2">
      <c r="B3695" s="62" t="str">
        <f>IF(AND('领用录入（明细）'!D:D=$F$4,'领用录入（明细）'!C:C&gt;=$J$4,'领用录入（明细）'!C:C&lt;=$L$4),ROW(),"-")</f>
        <v>-</v>
      </c>
    </row>
    <row r="3696" customHeight="1" spans="2:2">
      <c r="B3696" s="62" t="str">
        <f>IF(AND('领用录入（明细）'!D:D=$F$4,'领用录入（明细）'!C:C&gt;=$J$4,'领用录入（明细）'!C:C&lt;=$L$4),ROW(),"-")</f>
        <v>-</v>
      </c>
    </row>
    <row r="3697" customHeight="1" spans="2:2">
      <c r="B3697" s="62" t="str">
        <f>IF(AND('领用录入（明细）'!D:D=$F$4,'领用录入（明细）'!C:C&gt;=$J$4,'领用录入（明细）'!C:C&lt;=$L$4),ROW(),"-")</f>
        <v>-</v>
      </c>
    </row>
    <row r="3698" customHeight="1" spans="2:2">
      <c r="B3698" s="62" t="str">
        <f>IF(AND('领用录入（明细）'!D:D=$F$4,'领用录入（明细）'!C:C&gt;=$J$4,'领用录入（明细）'!C:C&lt;=$L$4),ROW(),"-")</f>
        <v>-</v>
      </c>
    </row>
    <row r="3699" customHeight="1" spans="2:2">
      <c r="B3699" s="62" t="str">
        <f>IF(AND('领用录入（明细）'!D:D=$F$4,'领用录入（明细）'!C:C&gt;=$J$4,'领用录入（明细）'!C:C&lt;=$L$4),ROW(),"-")</f>
        <v>-</v>
      </c>
    </row>
    <row r="3700" customHeight="1" spans="2:2">
      <c r="B3700" s="62" t="str">
        <f>IF(AND('领用录入（明细）'!D:D=$F$4,'领用录入（明细）'!C:C&gt;=$J$4,'领用录入（明细）'!C:C&lt;=$L$4),ROW(),"-")</f>
        <v>-</v>
      </c>
    </row>
    <row r="3701" customHeight="1" spans="2:2">
      <c r="B3701" s="62" t="str">
        <f>IF(AND('领用录入（明细）'!D:D=$F$4,'领用录入（明细）'!C:C&gt;=$J$4,'领用录入（明细）'!C:C&lt;=$L$4),ROW(),"-")</f>
        <v>-</v>
      </c>
    </row>
    <row r="3702" customHeight="1" spans="2:2">
      <c r="B3702" s="62" t="str">
        <f>IF(AND('领用录入（明细）'!D:D=$F$4,'领用录入（明细）'!C:C&gt;=$J$4,'领用录入（明细）'!C:C&lt;=$L$4),ROW(),"-")</f>
        <v>-</v>
      </c>
    </row>
    <row r="3703" customHeight="1" spans="2:2">
      <c r="B3703" s="62" t="str">
        <f>IF(AND('领用录入（明细）'!D:D=$F$4,'领用录入（明细）'!C:C&gt;=$J$4,'领用录入（明细）'!C:C&lt;=$L$4),ROW(),"-")</f>
        <v>-</v>
      </c>
    </row>
    <row r="3704" customHeight="1" spans="2:2">
      <c r="B3704" s="62" t="str">
        <f>IF(AND('领用录入（明细）'!D:D=$F$4,'领用录入（明细）'!C:C&gt;=$J$4,'领用录入（明细）'!C:C&lt;=$L$4),ROW(),"-")</f>
        <v>-</v>
      </c>
    </row>
    <row r="3705" customHeight="1" spans="2:2">
      <c r="B3705" s="62" t="str">
        <f>IF(AND('领用录入（明细）'!D:D=$F$4,'领用录入（明细）'!C:C&gt;=$J$4,'领用录入（明细）'!C:C&lt;=$L$4),ROW(),"-")</f>
        <v>-</v>
      </c>
    </row>
    <row r="3706" customHeight="1" spans="2:2">
      <c r="B3706" s="62" t="str">
        <f>IF(AND('领用录入（明细）'!D:D=$F$4,'领用录入（明细）'!C:C&gt;=$J$4,'领用录入（明细）'!C:C&lt;=$L$4),ROW(),"-")</f>
        <v>-</v>
      </c>
    </row>
    <row r="3707" customHeight="1" spans="2:2">
      <c r="B3707" s="62" t="str">
        <f>IF(AND('领用录入（明细）'!D:D=$F$4,'领用录入（明细）'!C:C&gt;=$J$4,'领用录入（明细）'!C:C&lt;=$L$4),ROW(),"-")</f>
        <v>-</v>
      </c>
    </row>
    <row r="3708" customHeight="1" spans="2:2">
      <c r="B3708" s="62" t="str">
        <f>IF(AND('领用录入（明细）'!D:D=$F$4,'领用录入（明细）'!C:C&gt;=$J$4,'领用录入（明细）'!C:C&lt;=$L$4),ROW(),"-")</f>
        <v>-</v>
      </c>
    </row>
    <row r="3709" customHeight="1" spans="2:2">
      <c r="B3709" s="62" t="str">
        <f>IF(AND('领用录入（明细）'!D:D=$F$4,'领用录入（明细）'!C:C&gt;=$J$4,'领用录入（明细）'!C:C&lt;=$L$4),ROW(),"-")</f>
        <v>-</v>
      </c>
    </row>
    <row r="3710" customHeight="1" spans="2:2">
      <c r="B3710" s="62" t="str">
        <f>IF(AND('领用录入（明细）'!D:D=$F$4,'领用录入（明细）'!C:C&gt;=$J$4,'领用录入（明细）'!C:C&lt;=$L$4),ROW(),"-")</f>
        <v>-</v>
      </c>
    </row>
    <row r="3711" customHeight="1" spans="2:2">
      <c r="B3711" s="62" t="str">
        <f>IF(AND('领用录入（明细）'!D:D=$F$4,'领用录入（明细）'!C:C&gt;=$J$4,'领用录入（明细）'!C:C&lt;=$L$4),ROW(),"-")</f>
        <v>-</v>
      </c>
    </row>
    <row r="3712" customHeight="1" spans="2:2">
      <c r="B3712" s="62" t="str">
        <f>IF(AND('领用录入（明细）'!D:D=$F$4,'领用录入（明细）'!C:C&gt;=$J$4,'领用录入（明细）'!C:C&lt;=$L$4),ROW(),"-")</f>
        <v>-</v>
      </c>
    </row>
    <row r="3713" customHeight="1" spans="2:2">
      <c r="B3713" s="62" t="str">
        <f>IF(AND('领用录入（明细）'!D:D=$F$4,'领用录入（明细）'!C:C&gt;=$J$4,'领用录入（明细）'!C:C&lt;=$L$4),ROW(),"-")</f>
        <v>-</v>
      </c>
    </row>
    <row r="3714" customHeight="1" spans="2:2">
      <c r="B3714" s="62" t="str">
        <f>IF(AND('领用录入（明细）'!D:D=$F$4,'领用录入（明细）'!C:C&gt;=$J$4,'领用录入（明细）'!C:C&lt;=$L$4),ROW(),"-")</f>
        <v>-</v>
      </c>
    </row>
    <row r="3715" customHeight="1" spans="2:2">
      <c r="B3715" s="62" t="str">
        <f>IF(AND('领用录入（明细）'!D:D=$F$4,'领用录入（明细）'!C:C&gt;=$J$4,'领用录入（明细）'!C:C&lt;=$L$4),ROW(),"-")</f>
        <v>-</v>
      </c>
    </row>
    <row r="3716" customHeight="1" spans="2:2">
      <c r="B3716" s="62" t="str">
        <f>IF(AND('领用录入（明细）'!D:D=$F$4,'领用录入（明细）'!C:C&gt;=$J$4,'领用录入（明细）'!C:C&lt;=$L$4),ROW(),"-")</f>
        <v>-</v>
      </c>
    </row>
    <row r="3717" customHeight="1" spans="2:2">
      <c r="B3717" s="62" t="str">
        <f>IF(AND('领用录入（明细）'!D:D=$F$4,'领用录入（明细）'!C:C&gt;=$J$4,'领用录入（明细）'!C:C&lt;=$L$4),ROW(),"-")</f>
        <v>-</v>
      </c>
    </row>
    <row r="3718" customHeight="1" spans="2:2">
      <c r="B3718" s="62" t="str">
        <f>IF(AND('领用录入（明细）'!D:D=$F$4,'领用录入（明细）'!C:C&gt;=$J$4,'领用录入（明细）'!C:C&lt;=$L$4),ROW(),"-")</f>
        <v>-</v>
      </c>
    </row>
    <row r="3719" customHeight="1" spans="2:2">
      <c r="B3719" s="62" t="str">
        <f>IF(AND('领用录入（明细）'!D:D=$F$4,'领用录入（明细）'!C:C&gt;=$J$4,'领用录入（明细）'!C:C&lt;=$L$4),ROW(),"-")</f>
        <v>-</v>
      </c>
    </row>
    <row r="3720" customHeight="1" spans="2:2">
      <c r="B3720" s="62" t="str">
        <f>IF(AND('领用录入（明细）'!D:D=$F$4,'领用录入（明细）'!C:C&gt;=$J$4,'领用录入（明细）'!C:C&lt;=$L$4),ROW(),"-")</f>
        <v>-</v>
      </c>
    </row>
    <row r="3721" customHeight="1" spans="2:2">
      <c r="B3721" s="62" t="str">
        <f>IF(AND('领用录入（明细）'!D:D=$F$4,'领用录入（明细）'!C:C&gt;=$J$4,'领用录入（明细）'!C:C&lt;=$L$4),ROW(),"-")</f>
        <v>-</v>
      </c>
    </row>
    <row r="3722" customHeight="1" spans="2:2">
      <c r="B3722" s="62" t="str">
        <f>IF(AND('领用录入（明细）'!D:D=$F$4,'领用录入（明细）'!C:C&gt;=$J$4,'领用录入（明细）'!C:C&lt;=$L$4),ROW(),"-")</f>
        <v>-</v>
      </c>
    </row>
    <row r="3723" customHeight="1" spans="2:2">
      <c r="B3723" s="62" t="str">
        <f>IF(AND('领用录入（明细）'!D:D=$F$4,'领用录入（明细）'!C:C&gt;=$J$4,'领用录入（明细）'!C:C&lt;=$L$4),ROW(),"-")</f>
        <v>-</v>
      </c>
    </row>
    <row r="3724" customHeight="1" spans="2:2">
      <c r="B3724" s="62" t="str">
        <f>IF(AND('领用录入（明细）'!D:D=$F$4,'领用录入（明细）'!C:C&gt;=$J$4,'领用录入（明细）'!C:C&lt;=$L$4),ROW(),"-")</f>
        <v>-</v>
      </c>
    </row>
    <row r="3725" customHeight="1" spans="2:2">
      <c r="B3725" s="62" t="str">
        <f>IF(AND('领用录入（明细）'!D:D=$F$4,'领用录入（明细）'!C:C&gt;=$J$4,'领用录入（明细）'!C:C&lt;=$L$4),ROW(),"-")</f>
        <v>-</v>
      </c>
    </row>
    <row r="3726" customHeight="1" spans="2:2">
      <c r="B3726" s="62" t="str">
        <f>IF(AND('领用录入（明细）'!D:D=$F$4,'领用录入（明细）'!C:C&gt;=$J$4,'领用录入（明细）'!C:C&lt;=$L$4),ROW(),"-")</f>
        <v>-</v>
      </c>
    </row>
    <row r="3727" customHeight="1" spans="2:2">
      <c r="B3727" s="62" t="str">
        <f>IF(AND('领用录入（明细）'!D:D=$F$4,'领用录入（明细）'!C:C&gt;=$J$4,'领用录入（明细）'!C:C&lt;=$L$4),ROW(),"-")</f>
        <v>-</v>
      </c>
    </row>
    <row r="3728" customHeight="1" spans="2:2">
      <c r="B3728" s="62" t="str">
        <f>IF(AND('领用录入（明细）'!D:D=$F$4,'领用录入（明细）'!C:C&gt;=$J$4,'领用录入（明细）'!C:C&lt;=$L$4),ROW(),"-")</f>
        <v>-</v>
      </c>
    </row>
    <row r="3729" customHeight="1" spans="2:2">
      <c r="B3729" s="62" t="str">
        <f>IF(AND('领用录入（明细）'!D:D=$F$4,'领用录入（明细）'!C:C&gt;=$J$4,'领用录入（明细）'!C:C&lt;=$L$4),ROW(),"-")</f>
        <v>-</v>
      </c>
    </row>
    <row r="3730" customHeight="1" spans="2:2">
      <c r="B3730" s="62" t="str">
        <f>IF(AND('领用录入（明细）'!D:D=$F$4,'领用录入（明细）'!C:C&gt;=$J$4,'领用录入（明细）'!C:C&lt;=$L$4),ROW(),"-")</f>
        <v>-</v>
      </c>
    </row>
    <row r="3731" customHeight="1" spans="2:2">
      <c r="B3731" s="62" t="str">
        <f>IF(AND('领用录入（明细）'!D:D=$F$4,'领用录入（明细）'!C:C&gt;=$J$4,'领用录入（明细）'!C:C&lt;=$L$4),ROW(),"-")</f>
        <v>-</v>
      </c>
    </row>
    <row r="3732" customHeight="1" spans="2:2">
      <c r="B3732" s="62" t="str">
        <f>IF(AND('领用录入（明细）'!D:D=$F$4,'领用录入（明细）'!C:C&gt;=$J$4,'领用录入（明细）'!C:C&lt;=$L$4),ROW(),"-")</f>
        <v>-</v>
      </c>
    </row>
    <row r="3733" customHeight="1" spans="2:2">
      <c r="B3733" s="62" t="str">
        <f>IF(AND('领用录入（明细）'!D:D=$F$4,'领用录入（明细）'!C:C&gt;=$J$4,'领用录入（明细）'!C:C&lt;=$L$4),ROW(),"-")</f>
        <v>-</v>
      </c>
    </row>
    <row r="3734" customHeight="1" spans="2:2">
      <c r="B3734" s="62" t="str">
        <f>IF(AND('领用录入（明细）'!D:D=$F$4,'领用录入（明细）'!C:C&gt;=$J$4,'领用录入（明细）'!C:C&lt;=$L$4),ROW(),"-")</f>
        <v>-</v>
      </c>
    </row>
    <row r="3735" customHeight="1" spans="2:2">
      <c r="B3735" s="62" t="str">
        <f>IF(AND('领用录入（明细）'!D:D=$F$4,'领用录入（明细）'!C:C&gt;=$J$4,'领用录入（明细）'!C:C&lt;=$L$4),ROW(),"-")</f>
        <v>-</v>
      </c>
    </row>
    <row r="3736" customHeight="1" spans="2:2">
      <c r="B3736" s="62" t="str">
        <f>IF(AND('领用录入（明细）'!D:D=$F$4,'领用录入（明细）'!C:C&gt;=$J$4,'领用录入（明细）'!C:C&lt;=$L$4),ROW(),"-")</f>
        <v>-</v>
      </c>
    </row>
    <row r="3737" customHeight="1" spans="2:2">
      <c r="B3737" s="62" t="str">
        <f>IF(AND('领用录入（明细）'!D:D=$F$4,'领用录入（明细）'!C:C&gt;=$J$4,'领用录入（明细）'!C:C&lt;=$L$4),ROW(),"-")</f>
        <v>-</v>
      </c>
    </row>
    <row r="3738" customHeight="1" spans="2:2">
      <c r="B3738" s="62" t="str">
        <f>IF(AND('领用录入（明细）'!D:D=$F$4,'领用录入（明细）'!C:C&gt;=$J$4,'领用录入（明细）'!C:C&lt;=$L$4),ROW(),"-")</f>
        <v>-</v>
      </c>
    </row>
    <row r="3739" customHeight="1" spans="2:2">
      <c r="B3739" s="62" t="str">
        <f>IF(AND('领用录入（明细）'!D:D=$F$4,'领用录入（明细）'!C:C&gt;=$J$4,'领用录入（明细）'!C:C&lt;=$L$4),ROW(),"-")</f>
        <v>-</v>
      </c>
    </row>
    <row r="3740" customHeight="1" spans="2:2">
      <c r="B3740" s="62" t="str">
        <f>IF(AND('领用录入（明细）'!D:D=$F$4,'领用录入（明细）'!C:C&gt;=$J$4,'领用录入（明细）'!C:C&lt;=$L$4),ROW(),"-")</f>
        <v>-</v>
      </c>
    </row>
    <row r="3741" customHeight="1" spans="2:2">
      <c r="B3741" s="62" t="str">
        <f>IF(AND('领用录入（明细）'!D:D=$F$4,'领用录入（明细）'!C:C&gt;=$J$4,'领用录入（明细）'!C:C&lt;=$L$4),ROW(),"-")</f>
        <v>-</v>
      </c>
    </row>
    <row r="3742" customHeight="1" spans="2:2">
      <c r="B3742" s="62" t="str">
        <f>IF(AND('领用录入（明细）'!D:D=$F$4,'领用录入（明细）'!C:C&gt;=$J$4,'领用录入（明细）'!C:C&lt;=$L$4),ROW(),"-")</f>
        <v>-</v>
      </c>
    </row>
    <row r="3743" customHeight="1" spans="2:2">
      <c r="B3743" s="62" t="str">
        <f>IF(AND('领用录入（明细）'!D:D=$F$4,'领用录入（明细）'!C:C&gt;=$J$4,'领用录入（明细）'!C:C&lt;=$L$4),ROW(),"-")</f>
        <v>-</v>
      </c>
    </row>
    <row r="3744" customHeight="1" spans="2:2">
      <c r="B3744" s="62" t="str">
        <f>IF(AND('领用录入（明细）'!D:D=$F$4,'领用录入（明细）'!C:C&gt;=$J$4,'领用录入（明细）'!C:C&lt;=$L$4),ROW(),"-")</f>
        <v>-</v>
      </c>
    </row>
    <row r="3745" customHeight="1" spans="2:2">
      <c r="B3745" s="62" t="str">
        <f>IF(AND('领用录入（明细）'!D:D=$F$4,'领用录入（明细）'!C:C&gt;=$J$4,'领用录入（明细）'!C:C&lt;=$L$4),ROW(),"-")</f>
        <v>-</v>
      </c>
    </row>
    <row r="3746" customHeight="1" spans="2:2">
      <c r="B3746" s="62" t="str">
        <f>IF(AND('领用录入（明细）'!D:D=$F$4,'领用录入（明细）'!C:C&gt;=$J$4,'领用录入（明细）'!C:C&lt;=$L$4),ROW(),"-")</f>
        <v>-</v>
      </c>
    </row>
    <row r="3747" customHeight="1" spans="2:2">
      <c r="B3747" s="62" t="str">
        <f>IF(AND('领用录入（明细）'!D:D=$F$4,'领用录入（明细）'!C:C&gt;=$J$4,'领用录入（明细）'!C:C&lt;=$L$4),ROW(),"-")</f>
        <v>-</v>
      </c>
    </row>
    <row r="3748" customHeight="1" spans="2:2">
      <c r="B3748" s="62" t="str">
        <f>IF(AND('领用录入（明细）'!D:D=$F$4,'领用录入（明细）'!C:C&gt;=$J$4,'领用录入（明细）'!C:C&lt;=$L$4),ROW(),"-")</f>
        <v>-</v>
      </c>
    </row>
    <row r="3749" customHeight="1" spans="2:2">
      <c r="B3749" s="62" t="str">
        <f>IF(AND('领用录入（明细）'!D:D=$F$4,'领用录入（明细）'!C:C&gt;=$J$4,'领用录入（明细）'!C:C&lt;=$L$4),ROW(),"-")</f>
        <v>-</v>
      </c>
    </row>
    <row r="3750" customHeight="1" spans="2:2">
      <c r="B3750" s="62" t="str">
        <f>IF(AND('领用录入（明细）'!D:D=$F$4,'领用录入（明细）'!C:C&gt;=$J$4,'领用录入（明细）'!C:C&lt;=$L$4),ROW(),"-")</f>
        <v>-</v>
      </c>
    </row>
    <row r="3751" customHeight="1" spans="2:2">
      <c r="B3751" s="62" t="str">
        <f>IF(AND('领用录入（明细）'!D:D=$F$4,'领用录入（明细）'!C:C&gt;=$J$4,'领用录入（明细）'!C:C&lt;=$L$4),ROW(),"-")</f>
        <v>-</v>
      </c>
    </row>
    <row r="3752" customHeight="1" spans="2:2">
      <c r="B3752" s="62" t="str">
        <f>IF(AND('领用录入（明细）'!D:D=$F$4,'领用录入（明细）'!C:C&gt;=$J$4,'领用录入（明细）'!C:C&lt;=$L$4),ROW(),"-")</f>
        <v>-</v>
      </c>
    </row>
    <row r="3753" customHeight="1" spans="2:2">
      <c r="B3753" s="62" t="str">
        <f>IF(AND('领用录入（明细）'!D:D=$F$4,'领用录入（明细）'!C:C&gt;=$J$4,'领用录入（明细）'!C:C&lt;=$L$4),ROW(),"-")</f>
        <v>-</v>
      </c>
    </row>
    <row r="3754" customHeight="1" spans="2:2">
      <c r="B3754" s="62" t="str">
        <f>IF(AND('领用录入（明细）'!D:D=$F$4,'领用录入（明细）'!C:C&gt;=$J$4,'领用录入（明细）'!C:C&lt;=$L$4),ROW(),"-")</f>
        <v>-</v>
      </c>
    </row>
    <row r="3755" customHeight="1" spans="2:2">
      <c r="B3755" s="62" t="str">
        <f>IF(AND('领用录入（明细）'!D:D=$F$4,'领用录入（明细）'!C:C&gt;=$J$4,'领用录入（明细）'!C:C&lt;=$L$4),ROW(),"-")</f>
        <v>-</v>
      </c>
    </row>
    <row r="3756" customHeight="1" spans="2:2">
      <c r="B3756" s="62" t="str">
        <f>IF(AND('领用录入（明细）'!D:D=$F$4,'领用录入（明细）'!C:C&gt;=$J$4,'领用录入（明细）'!C:C&lt;=$L$4),ROW(),"-")</f>
        <v>-</v>
      </c>
    </row>
    <row r="3757" customHeight="1" spans="2:2">
      <c r="B3757" s="62" t="str">
        <f>IF(AND('领用录入（明细）'!D:D=$F$4,'领用录入（明细）'!C:C&gt;=$J$4,'领用录入（明细）'!C:C&lt;=$L$4),ROW(),"-")</f>
        <v>-</v>
      </c>
    </row>
    <row r="3758" customHeight="1" spans="2:2">
      <c r="B3758" s="62" t="str">
        <f>IF(AND('领用录入（明细）'!D:D=$F$4,'领用录入（明细）'!C:C&gt;=$J$4,'领用录入（明细）'!C:C&lt;=$L$4),ROW(),"-")</f>
        <v>-</v>
      </c>
    </row>
    <row r="3759" customHeight="1" spans="2:2">
      <c r="B3759" s="62" t="str">
        <f>IF(AND('领用录入（明细）'!D:D=$F$4,'领用录入（明细）'!C:C&gt;=$J$4,'领用录入（明细）'!C:C&lt;=$L$4),ROW(),"-")</f>
        <v>-</v>
      </c>
    </row>
    <row r="3760" customHeight="1" spans="2:2">
      <c r="B3760" s="62" t="str">
        <f>IF(AND('领用录入（明细）'!D:D=$F$4,'领用录入（明细）'!C:C&gt;=$J$4,'领用录入（明细）'!C:C&lt;=$L$4),ROW(),"-")</f>
        <v>-</v>
      </c>
    </row>
    <row r="3761" customHeight="1" spans="2:2">
      <c r="B3761" s="62" t="str">
        <f>IF(AND('领用录入（明细）'!D:D=$F$4,'领用录入（明细）'!C:C&gt;=$J$4,'领用录入（明细）'!C:C&lt;=$L$4),ROW(),"-")</f>
        <v>-</v>
      </c>
    </row>
    <row r="3762" customHeight="1" spans="2:2">
      <c r="B3762" s="62" t="str">
        <f>IF(AND('领用录入（明细）'!D:D=$F$4,'领用录入（明细）'!C:C&gt;=$J$4,'领用录入（明细）'!C:C&lt;=$L$4),ROW(),"-")</f>
        <v>-</v>
      </c>
    </row>
    <row r="3763" customHeight="1" spans="2:2">
      <c r="B3763" s="62" t="str">
        <f>IF(AND('领用录入（明细）'!D:D=$F$4,'领用录入（明细）'!C:C&gt;=$J$4,'领用录入（明细）'!C:C&lt;=$L$4),ROW(),"-")</f>
        <v>-</v>
      </c>
    </row>
    <row r="3764" customHeight="1" spans="2:2">
      <c r="B3764" s="62" t="str">
        <f>IF(AND('领用录入（明细）'!D:D=$F$4,'领用录入（明细）'!C:C&gt;=$J$4,'领用录入（明细）'!C:C&lt;=$L$4),ROW(),"-")</f>
        <v>-</v>
      </c>
    </row>
    <row r="3765" customHeight="1" spans="2:2">
      <c r="B3765" s="62" t="str">
        <f>IF(AND('领用录入（明细）'!D:D=$F$4,'领用录入（明细）'!C:C&gt;=$J$4,'领用录入（明细）'!C:C&lt;=$L$4),ROW(),"-")</f>
        <v>-</v>
      </c>
    </row>
    <row r="3766" customHeight="1" spans="2:2">
      <c r="B3766" s="62" t="str">
        <f>IF(AND('领用录入（明细）'!D:D=$F$4,'领用录入（明细）'!C:C&gt;=$J$4,'领用录入（明细）'!C:C&lt;=$L$4),ROW(),"-")</f>
        <v>-</v>
      </c>
    </row>
    <row r="3767" customHeight="1" spans="2:2">
      <c r="B3767" s="62" t="str">
        <f>IF(AND('领用录入（明细）'!D:D=$F$4,'领用录入（明细）'!C:C&gt;=$J$4,'领用录入（明细）'!C:C&lt;=$L$4),ROW(),"-")</f>
        <v>-</v>
      </c>
    </row>
    <row r="3768" customHeight="1" spans="2:2">
      <c r="B3768" s="62" t="str">
        <f>IF(AND('领用录入（明细）'!D:D=$F$4,'领用录入（明细）'!C:C&gt;=$J$4,'领用录入（明细）'!C:C&lt;=$L$4),ROW(),"-")</f>
        <v>-</v>
      </c>
    </row>
    <row r="3769" customHeight="1" spans="2:2">
      <c r="B3769" s="62" t="str">
        <f>IF(AND('领用录入（明细）'!D:D=$F$4,'领用录入（明细）'!C:C&gt;=$J$4,'领用录入（明细）'!C:C&lt;=$L$4),ROW(),"-")</f>
        <v>-</v>
      </c>
    </row>
    <row r="3770" customHeight="1" spans="2:2">
      <c r="B3770" s="62" t="str">
        <f>IF(AND('领用录入（明细）'!D:D=$F$4,'领用录入（明细）'!C:C&gt;=$J$4,'领用录入（明细）'!C:C&lt;=$L$4),ROW(),"-")</f>
        <v>-</v>
      </c>
    </row>
    <row r="3771" customHeight="1" spans="2:2">
      <c r="B3771" s="62" t="str">
        <f>IF(AND('领用录入（明细）'!D:D=$F$4,'领用录入（明细）'!C:C&gt;=$J$4,'领用录入（明细）'!C:C&lt;=$L$4),ROW(),"-")</f>
        <v>-</v>
      </c>
    </row>
    <row r="3772" customHeight="1" spans="2:2">
      <c r="B3772" s="62" t="str">
        <f>IF(AND('领用录入（明细）'!D:D=$F$4,'领用录入（明细）'!C:C&gt;=$J$4,'领用录入（明细）'!C:C&lt;=$L$4),ROW(),"-")</f>
        <v>-</v>
      </c>
    </row>
    <row r="3773" customHeight="1" spans="2:2">
      <c r="B3773" s="62" t="str">
        <f>IF(AND('领用录入（明细）'!D:D=$F$4,'领用录入（明细）'!C:C&gt;=$J$4,'领用录入（明细）'!C:C&lt;=$L$4),ROW(),"-")</f>
        <v>-</v>
      </c>
    </row>
    <row r="3774" customHeight="1" spans="2:2">
      <c r="B3774" s="62" t="str">
        <f>IF(AND('领用录入（明细）'!D:D=$F$4,'领用录入（明细）'!C:C&gt;=$J$4,'领用录入（明细）'!C:C&lt;=$L$4),ROW(),"-")</f>
        <v>-</v>
      </c>
    </row>
    <row r="3775" customHeight="1" spans="2:2">
      <c r="B3775" s="62" t="str">
        <f>IF(AND('领用录入（明细）'!D:D=$F$4,'领用录入（明细）'!C:C&gt;=$J$4,'领用录入（明细）'!C:C&lt;=$L$4),ROW(),"-")</f>
        <v>-</v>
      </c>
    </row>
    <row r="3776" customHeight="1" spans="2:2">
      <c r="B3776" s="62" t="str">
        <f>IF(AND('领用录入（明细）'!D:D=$F$4,'领用录入（明细）'!C:C&gt;=$J$4,'领用录入（明细）'!C:C&lt;=$L$4),ROW(),"-")</f>
        <v>-</v>
      </c>
    </row>
    <row r="3777" customHeight="1" spans="2:2">
      <c r="B3777" s="62" t="str">
        <f>IF(AND('领用录入（明细）'!D:D=$F$4,'领用录入（明细）'!C:C&gt;=$J$4,'领用录入（明细）'!C:C&lt;=$L$4),ROW(),"-")</f>
        <v>-</v>
      </c>
    </row>
    <row r="3778" customHeight="1" spans="2:2">
      <c r="B3778" s="62" t="str">
        <f>IF(AND('领用录入（明细）'!D:D=$F$4,'领用录入（明细）'!C:C&gt;=$J$4,'领用录入（明细）'!C:C&lt;=$L$4),ROW(),"-")</f>
        <v>-</v>
      </c>
    </row>
    <row r="3779" customHeight="1" spans="2:2">
      <c r="B3779" s="62" t="str">
        <f>IF(AND('领用录入（明细）'!D:D=$F$4,'领用录入（明细）'!C:C&gt;=$J$4,'领用录入（明细）'!C:C&lt;=$L$4),ROW(),"-")</f>
        <v>-</v>
      </c>
    </row>
    <row r="3780" customHeight="1" spans="2:2">
      <c r="B3780" s="62" t="str">
        <f>IF(AND('领用录入（明细）'!D:D=$F$4,'领用录入（明细）'!C:C&gt;=$J$4,'领用录入（明细）'!C:C&lt;=$L$4),ROW(),"-")</f>
        <v>-</v>
      </c>
    </row>
    <row r="3781" customHeight="1" spans="2:2">
      <c r="B3781" s="62" t="str">
        <f>IF(AND('领用录入（明细）'!D:D=$F$4,'领用录入（明细）'!C:C&gt;=$J$4,'领用录入（明细）'!C:C&lt;=$L$4),ROW(),"-")</f>
        <v>-</v>
      </c>
    </row>
    <row r="3782" customHeight="1" spans="2:2">
      <c r="B3782" s="62" t="str">
        <f>IF(AND('领用录入（明细）'!D:D=$F$4,'领用录入（明细）'!C:C&gt;=$J$4,'领用录入（明细）'!C:C&lt;=$L$4),ROW(),"-")</f>
        <v>-</v>
      </c>
    </row>
    <row r="3783" customHeight="1" spans="2:2">
      <c r="B3783" s="62" t="str">
        <f>IF(AND('领用录入（明细）'!D:D=$F$4,'领用录入（明细）'!C:C&gt;=$J$4,'领用录入（明细）'!C:C&lt;=$L$4),ROW(),"-")</f>
        <v>-</v>
      </c>
    </row>
    <row r="3784" customHeight="1" spans="2:2">
      <c r="B3784" s="62" t="str">
        <f>IF(AND('领用录入（明细）'!D:D=$F$4,'领用录入（明细）'!C:C&gt;=$J$4,'领用录入（明细）'!C:C&lt;=$L$4),ROW(),"-")</f>
        <v>-</v>
      </c>
    </row>
    <row r="3785" customHeight="1" spans="2:2">
      <c r="B3785" s="62" t="str">
        <f>IF(AND('领用录入（明细）'!D:D=$F$4,'领用录入（明细）'!C:C&gt;=$J$4,'领用录入（明细）'!C:C&lt;=$L$4),ROW(),"-")</f>
        <v>-</v>
      </c>
    </row>
    <row r="3786" customHeight="1" spans="2:2">
      <c r="B3786" s="62" t="str">
        <f>IF(AND('领用录入（明细）'!D:D=$F$4,'领用录入（明细）'!C:C&gt;=$J$4,'领用录入（明细）'!C:C&lt;=$L$4),ROW(),"-")</f>
        <v>-</v>
      </c>
    </row>
    <row r="3787" customHeight="1" spans="2:2">
      <c r="B3787" s="62" t="str">
        <f>IF(AND('领用录入（明细）'!D:D=$F$4,'领用录入（明细）'!C:C&gt;=$J$4,'领用录入（明细）'!C:C&lt;=$L$4),ROW(),"-")</f>
        <v>-</v>
      </c>
    </row>
    <row r="3788" customHeight="1" spans="2:2">
      <c r="B3788" s="62" t="str">
        <f>IF(AND('领用录入（明细）'!D:D=$F$4,'领用录入（明细）'!C:C&gt;=$J$4,'领用录入（明细）'!C:C&lt;=$L$4),ROW(),"-")</f>
        <v>-</v>
      </c>
    </row>
    <row r="3789" customHeight="1" spans="2:2">
      <c r="B3789" s="62" t="str">
        <f>IF(AND('领用录入（明细）'!D:D=$F$4,'领用录入（明细）'!C:C&gt;=$J$4,'领用录入（明细）'!C:C&lt;=$L$4),ROW(),"-")</f>
        <v>-</v>
      </c>
    </row>
    <row r="3790" customHeight="1" spans="2:2">
      <c r="B3790" s="62" t="str">
        <f>IF(AND('领用录入（明细）'!D:D=$F$4,'领用录入（明细）'!C:C&gt;=$J$4,'领用录入（明细）'!C:C&lt;=$L$4),ROW(),"-")</f>
        <v>-</v>
      </c>
    </row>
    <row r="3791" customHeight="1" spans="2:2">
      <c r="B3791" s="62" t="str">
        <f>IF(AND('领用录入（明细）'!D:D=$F$4,'领用录入（明细）'!C:C&gt;=$J$4,'领用录入（明细）'!C:C&lt;=$L$4),ROW(),"-")</f>
        <v>-</v>
      </c>
    </row>
    <row r="3792" customHeight="1" spans="2:2">
      <c r="B3792" s="62" t="str">
        <f>IF(AND('领用录入（明细）'!D:D=$F$4,'领用录入（明细）'!C:C&gt;=$J$4,'领用录入（明细）'!C:C&lt;=$L$4),ROW(),"-")</f>
        <v>-</v>
      </c>
    </row>
    <row r="3793" customHeight="1" spans="2:2">
      <c r="B3793" s="62" t="str">
        <f>IF(AND('领用录入（明细）'!D:D=$F$4,'领用录入（明细）'!C:C&gt;=$J$4,'领用录入（明细）'!C:C&lt;=$L$4),ROW(),"-")</f>
        <v>-</v>
      </c>
    </row>
    <row r="3794" customHeight="1" spans="2:2">
      <c r="B3794" s="62" t="str">
        <f>IF(AND('领用录入（明细）'!D:D=$F$4,'领用录入（明细）'!C:C&gt;=$J$4,'领用录入（明细）'!C:C&lt;=$L$4),ROW(),"-")</f>
        <v>-</v>
      </c>
    </row>
    <row r="3795" customHeight="1" spans="2:2">
      <c r="B3795" s="62" t="str">
        <f>IF(AND('领用录入（明细）'!D:D=$F$4,'领用录入（明细）'!C:C&gt;=$J$4,'领用录入（明细）'!C:C&lt;=$L$4),ROW(),"-")</f>
        <v>-</v>
      </c>
    </row>
    <row r="3796" customHeight="1" spans="2:2">
      <c r="B3796" s="62" t="str">
        <f>IF(AND('领用录入（明细）'!D:D=$F$4,'领用录入（明细）'!C:C&gt;=$J$4,'领用录入（明细）'!C:C&lt;=$L$4),ROW(),"-")</f>
        <v>-</v>
      </c>
    </row>
    <row r="3797" customHeight="1" spans="2:2">
      <c r="B3797" s="62" t="str">
        <f>IF(AND('领用录入（明细）'!D:D=$F$4,'领用录入（明细）'!C:C&gt;=$J$4,'领用录入（明细）'!C:C&lt;=$L$4),ROW(),"-")</f>
        <v>-</v>
      </c>
    </row>
    <row r="3798" customHeight="1" spans="2:2">
      <c r="B3798" s="62" t="str">
        <f>IF(AND('领用录入（明细）'!D:D=$F$4,'领用录入（明细）'!C:C&gt;=$J$4,'领用录入（明细）'!C:C&lt;=$L$4),ROW(),"-")</f>
        <v>-</v>
      </c>
    </row>
    <row r="3799" customHeight="1" spans="2:2">
      <c r="B3799" s="62" t="str">
        <f>IF(AND('领用录入（明细）'!D:D=$F$4,'领用录入（明细）'!C:C&gt;=$J$4,'领用录入（明细）'!C:C&lt;=$L$4),ROW(),"-")</f>
        <v>-</v>
      </c>
    </row>
    <row r="3800" customHeight="1" spans="2:2">
      <c r="B3800" s="62" t="str">
        <f>IF(AND('领用录入（明细）'!D:D=$F$4,'领用录入（明细）'!C:C&gt;=$J$4,'领用录入（明细）'!C:C&lt;=$L$4),ROW(),"-")</f>
        <v>-</v>
      </c>
    </row>
    <row r="3801" customHeight="1" spans="2:2">
      <c r="B3801" s="62" t="str">
        <f>IF(AND('领用录入（明细）'!D:D=$F$4,'领用录入（明细）'!C:C&gt;=$J$4,'领用录入（明细）'!C:C&lt;=$L$4),ROW(),"-")</f>
        <v>-</v>
      </c>
    </row>
    <row r="3802" customHeight="1" spans="2:2">
      <c r="B3802" s="62" t="str">
        <f>IF(AND('领用录入（明细）'!D:D=$F$4,'领用录入（明细）'!C:C&gt;=$J$4,'领用录入（明细）'!C:C&lt;=$L$4),ROW(),"-")</f>
        <v>-</v>
      </c>
    </row>
    <row r="3803" customHeight="1" spans="2:2">
      <c r="B3803" s="62" t="str">
        <f>IF(AND('领用录入（明细）'!D:D=$F$4,'领用录入（明细）'!C:C&gt;=$J$4,'领用录入（明细）'!C:C&lt;=$L$4),ROW(),"-")</f>
        <v>-</v>
      </c>
    </row>
    <row r="3804" customHeight="1" spans="2:2">
      <c r="B3804" s="62" t="str">
        <f>IF(AND('领用录入（明细）'!D:D=$F$4,'领用录入（明细）'!C:C&gt;=$J$4,'领用录入（明细）'!C:C&lt;=$L$4),ROW(),"-")</f>
        <v>-</v>
      </c>
    </row>
    <row r="3805" customHeight="1" spans="2:2">
      <c r="B3805" s="62" t="str">
        <f>IF(AND('领用录入（明细）'!D:D=$F$4,'领用录入（明细）'!C:C&gt;=$J$4,'领用录入（明细）'!C:C&lt;=$L$4),ROW(),"-")</f>
        <v>-</v>
      </c>
    </row>
    <row r="3806" customHeight="1" spans="2:2">
      <c r="B3806" s="62" t="str">
        <f>IF(AND('领用录入（明细）'!D:D=$F$4,'领用录入（明细）'!C:C&gt;=$J$4,'领用录入（明细）'!C:C&lt;=$L$4),ROW(),"-")</f>
        <v>-</v>
      </c>
    </row>
    <row r="3807" customHeight="1" spans="2:2">
      <c r="B3807" s="62" t="str">
        <f>IF(AND('领用录入（明细）'!D:D=$F$4,'领用录入（明细）'!C:C&gt;=$J$4,'领用录入（明细）'!C:C&lt;=$L$4),ROW(),"-")</f>
        <v>-</v>
      </c>
    </row>
    <row r="3808" customHeight="1" spans="2:2">
      <c r="B3808" s="62" t="str">
        <f>IF(AND('领用录入（明细）'!D:D=$F$4,'领用录入（明细）'!C:C&gt;=$J$4,'领用录入（明细）'!C:C&lt;=$L$4),ROW(),"-")</f>
        <v>-</v>
      </c>
    </row>
    <row r="3809" customHeight="1" spans="2:2">
      <c r="B3809" s="62" t="str">
        <f>IF(AND('领用录入（明细）'!D:D=$F$4,'领用录入（明细）'!C:C&gt;=$J$4,'领用录入（明细）'!C:C&lt;=$L$4),ROW(),"-")</f>
        <v>-</v>
      </c>
    </row>
    <row r="3810" customHeight="1" spans="2:2">
      <c r="B3810" s="62" t="str">
        <f>IF(AND('领用录入（明细）'!D:D=$F$4,'领用录入（明细）'!C:C&gt;=$J$4,'领用录入（明细）'!C:C&lt;=$L$4),ROW(),"-")</f>
        <v>-</v>
      </c>
    </row>
    <row r="3811" customHeight="1" spans="2:2">
      <c r="B3811" s="62" t="str">
        <f>IF(AND('领用录入（明细）'!D:D=$F$4,'领用录入（明细）'!C:C&gt;=$J$4,'领用录入（明细）'!C:C&lt;=$L$4),ROW(),"-")</f>
        <v>-</v>
      </c>
    </row>
    <row r="3812" customHeight="1" spans="2:2">
      <c r="B3812" s="62" t="str">
        <f>IF(AND('领用录入（明细）'!D:D=$F$4,'领用录入（明细）'!C:C&gt;=$J$4,'领用录入（明细）'!C:C&lt;=$L$4),ROW(),"-")</f>
        <v>-</v>
      </c>
    </row>
    <row r="3813" customHeight="1" spans="2:2">
      <c r="B3813" s="62" t="str">
        <f>IF(AND('领用录入（明细）'!D:D=$F$4,'领用录入（明细）'!C:C&gt;=$J$4,'领用录入（明细）'!C:C&lt;=$L$4),ROW(),"-")</f>
        <v>-</v>
      </c>
    </row>
    <row r="3814" customHeight="1" spans="2:2">
      <c r="B3814" s="62" t="str">
        <f>IF(AND('领用录入（明细）'!D:D=$F$4,'领用录入（明细）'!C:C&gt;=$J$4,'领用录入（明细）'!C:C&lt;=$L$4),ROW(),"-")</f>
        <v>-</v>
      </c>
    </row>
    <row r="3815" customHeight="1" spans="2:2">
      <c r="B3815" s="62" t="str">
        <f>IF(AND('领用录入（明细）'!D:D=$F$4,'领用录入（明细）'!C:C&gt;=$J$4,'领用录入（明细）'!C:C&lt;=$L$4),ROW(),"-")</f>
        <v>-</v>
      </c>
    </row>
    <row r="3816" customHeight="1" spans="2:2">
      <c r="B3816" s="62" t="str">
        <f>IF(AND('领用录入（明细）'!D:D=$F$4,'领用录入（明细）'!C:C&gt;=$J$4,'领用录入（明细）'!C:C&lt;=$L$4),ROW(),"-")</f>
        <v>-</v>
      </c>
    </row>
    <row r="3817" customHeight="1" spans="2:2">
      <c r="B3817" s="62" t="str">
        <f>IF(AND('领用录入（明细）'!D:D=$F$4,'领用录入（明细）'!C:C&gt;=$J$4,'领用录入（明细）'!C:C&lt;=$L$4),ROW(),"-")</f>
        <v>-</v>
      </c>
    </row>
    <row r="3818" customHeight="1" spans="2:2">
      <c r="B3818" s="62" t="str">
        <f>IF(AND('领用录入（明细）'!D:D=$F$4,'领用录入（明细）'!C:C&gt;=$J$4,'领用录入（明细）'!C:C&lt;=$L$4),ROW(),"-")</f>
        <v>-</v>
      </c>
    </row>
    <row r="3819" customHeight="1" spans="2:2">
      <c r="B3819" s="62" t="str">
        <f>IF(AND('领用录入（明细）'!D:D=$F$4,'领用录入（明细）'!C:C&gt;=$J$4,'领用录入（明细）'!C:C&lt;=$L$4),ROW(),"-")</f>
        <v>-</v>
      </c>
    </row>
    <row r="3820" customHeight="1" spans="2:2">
      <c r="B3820" s="62" t="str">
        <f>IF(AND('领用录入（明细）'!D:D=$F$4,'领用录入（明细）'!C:C&gt;=$J$4,'领用录入（明细）'!C:C&lt;=$L$4),ROW(),"-")</f>
        <v>-</v>
      </c>
    </row>
    <row r="3821" customHeight="1" spans="2:2">
      <c r="B3821" s="62" t="str">
        <f>IF(AND('领用录入（明细）'!D:D=$F$4,'领用录入（明细）'!C:C&gt;=$J$4,'领用录入（明细）'!C:C&lt;=$L$4),ROW(),"-")</f>
        <v>-</v>
      </c>
    </row>
    <row r="3822" customHeight="1" spans="2:2">
      <c r="B3822" s="62" t="str">
        <f>IF(AND('领用录入（明细）'!D:D=$F$4,'领用录入（明细）'!C:C&gt;=$J$4,'领用录入（明细）'!C:C&lt;=$L$4),ROW(),"-")</f>
        <v>-</v>
      </c>
    </row>
    <row r="3823" customHeight="1" spans="2:2">
      <c r="B3823" s="62" t="str">
        <f>IF(AND('领用录入（明细）'!D:D=$F$4,'领用录入（明细）'!C:C&gt;=$J$4,'领用录入（明细）'!C:C&lt;=$L$4),ROW(),"-")</f>
        <v>-</v>
      </c>
    </row>
    <row r="3824" customHeight="1" spans="2:2">
      <c r="B3824" s="62" t="str">
        <f>IF(AND('领用录入（明细）'!D:D=$F$4,'领用录入（明细）'!C:C&gt;=$J$4,'领用录入（明细）'!C:C&lt;=$L$4),ROW(),"-")</f>
        <v>-</v>
      </c>
    </row>
    <row r="3825" customHeight="1" spans="2:2">
      <c r="B3825" s="62" t="str">
        <f>IF(AND('领用录入（明细）'!D:D=$F$4,'领用录入（明细）'!C:C&gt;=$J$4,'领用录入（明细）'!C:C&lt;=$L$4),ROW(),"-")</f>
        <v>-</v>
      </c>
    </row>
    <row r="3826" customHeight="1" spans="2:2">
      <c r="B3826" s="62" t="str">
        <f>IF(AND('领用录入（明细）'!D:D=$F$4,'领用录入（明细）'!C:C&gt;=$J$4,'领用录入（明细）'!C:C&lt;=$L$4),ROW(),"-")</f>
        <v>-</v>
      </c>
    </row>
    <row r="3827" customHeight="1" spans="2:2">
      <c r="B3827" s="62" t="str">
        <f>IF(AND('领用录入（明细）'!D:D=$F$4,'领用录入（明细）'!C:C&gt;=$J$4,'领用录入（明细）'!C:C&lt;=$L$4),ROW(),"-")</f>
        <v>-</v>
      </c>
    </row>
    <row r="3828" customHeight="1" spans="2:2">
      <c r="B3828" s="62" t="str">
        <f>IF(AND('领用录入（明细）'!D:D=$F$4,'领用录入（明细）'!C:C&gt;=$J$4,'领用录入（明细）'!C:C&lt;=$L$4),ROW(),"-")</f>
        <v>-</v>
      </c>
    </row>
    <row r="3829" customHeight="1" spans="2:2">
      <c r="B3829" s="62" t="str">
        <f>IF(AND('领用录入（明细）'!D:D=$F$4,'领用录入（明细）'!C:C&gt;=$J$4,'领用录入（明细）'!C:C&lt;=$L$4),ROW(),"-")</f>
        <v>-</v>
      </c>
    </row>
    <row r="3830" customHeight="1" spans="2:2">
      <c r="B3830" s="62" t="str">
        <f>IF(AND('领用录入（明细）'!D:D=$F$4,'领用录入（明细）'!C:C&gt;=$J$4,'领用录入（明细）'!C:C&lt;=$L$4),ROW(),"-")</f>
        <v>-</v>
      </c>
    </row>
    <row r="3831" customHeight="1" spans="2:2">
      <c r="B3831" s="62" t="str">
        <f>IF(AND('领用录入（明细）'!D:D=$F$4,'领用录入（明细）'!C:C&gt;=$J$4,'领用录入（明细）'!C:C&lt;=$L$4),ROW(),"-")</f>
        <v>-</v>
      </c>
    </row>
    <row r="3832" customHeight="1" spans="2:2">
      <c r="B3832" s="62" t="str">
        <f>IF(AND('领用录入（明细）'!D:D=$F$4,'领用录入（明细）'!C:C&gt;=$J$4,'领用录入（明细）'!C:C&lt;=$L$4),ROW(),"-")</f>
        <v>-</v>
      </c>
    </row>
    <row r="3833" customHeight="1" spans="2:2">
      <c r="B3833" s="62" t="str">
        <f>IF(AND('领用录入（明细）'!D:D=$F$4,'领用录入（明细）'!C:C&gt;=$J$4,'领用录入（明细）'!C:C&lt;=$L$4),ROW(),"-")</f>
        <v>-</v>
      </c>
    </row>
    <row r="3834" customHeight="1" spans="2:2">
      <c r="B3834" s="62" t="str">
        <f>IF(AND('领用录入（明细）'!D:D=$F$4,'领用录入（明细）'!C:C&gt;=$J$4,'领用录入（明细）'!C:C&lt;=$L$4),ROW(),"-")</f>
        <v>-</v>
      </c>
    </row>
    <row r="3835" customHeight="1" spans="2:2">
      <c r="B3835" s="62" t="str">
        <f>IF(AND('领用录入（明细）'!D:D=$F$4,'领用录入（明细）'!C:C&gt;=$J$4,'领用录入（明细）'!C:C&lt;=$L$4),ROW(),"-")</f>
        <v>-</v>
      </c>
    </row>
    <row r="3836" customHeight="1" spans="2:2">
      <c r="B3836" s="62" t="str">
        <f>IF(AND('领用录入（明细）'!D:D=$F$4,'领用录入（明细）'!C:C&gt;=$J$4,'领用录入（明细）'!C:C&lt;=$L$4),ROW(),"-")</f>
        <v>-</v>
      </c>
    </row>
    <row r="3837" customHeight="1" spans="2:2">
      <c r="B3837" s="62" t="str">
        <f>IF(AND('领用录入（明细）'!D:D=$F$4,'领用录入（明细）'!C:C&gt;=$J$4,'领用录入（明细）'!C:C&lt;=$L$4),ROW(),"-")</f>
        <v>-</v>
      </c>
    </row>
    <row r="3838" customHeight="1" spans="2:2">
      <c r="B3838" s="62" t="str">
        <f>IF(AND('领用录入（明细）'!D:D=$F$4,'领用录入（明细）'!C:C&gt;=$J$4,'领用录入（明细）'!C:C&lt;=$L$4),ROW(),"-")</f>
        <v>-</v>
      </c>
    </row>
    <row r="3839" customHeight="1" spans="2:2">
      <c r="B3839" s="62" t="str">
        <f>IF(AND('领用录入（明细）'!D:D=$F$4,'领用录入（明细）'!C:C&gt;=$J$4,'领用录入（明细）'!C:C&lt;=$L$4),ROW(),"-")</f>
        <v>-</v>
      </c>
    </row>
    <row r="3840" customHeight="1" spans="2:2">
      <c r="B3840" s="62" t="str">
        <f>IF(AND('领用录入（明细）'!D:D=$F$4,'领用录入（明细）'!C:C&gt;=$J$4,'领用录入（明细）'!C:C&lt;=$L$4),ROW(),"-")</f>
        <v>-</v>
      </c>
    </row>
    <row r="3841" customHeight="1" spans="2:2">
      <c r="B3841" s="62" t="str">
        <f>IF(AND('领用录入（明细）'!D:D=$F$4,'领用录入（明细）'!C:C&gt;=$J$4,'领用录入（明细）'!C:C&lt;=$L$4),ROW(),"-")</f>
        <v>-</v>
      </c>
    </row>
    <row r="3842" customHeight="1" spans="2:2">
      <c r="B3842" s="62" t="str">
        <f>IF(AND('领用录入（明细）'!D:D=$F$4,'领用录入（明细）'!C:C&gt;=$J$4,'领用录入（明细）'!C:C&lt;=$L$4),ROW(),"-")</f>
        <v>-</v>
      </c>
    </row>
    <row r="3843" customHeight="1" spans="2:2">
      <c r="B3843" s="62" t="str">
        <f>IF(AND('领用录入（明细）'!D:D=$F$4,'领用录入（明细）'!C:C&gt;=$J$4,'领用录入（明细）'!C:C&lt;=$L$4),ROW(),"-")</f>
        <v>-</v>
      </c>
    </row>
    <row r="3844" customHeight="1" spans="2:2">
      <c r="B3844" s="62" t="str">
        <f>IF(AND('领用录入（明细）'!D:D=$F$4,'领用录入（明细）'!C:C&gt;=$J$4,'领用录入（明细）'!C:C&lt;=$L$4),ROW(),"-")</f>
        <v>-</v>
      </c>
    </row>
    <row r="3845" customHeight="1" spans="2:2">
      <c r="B3845" s="62" t="str">
        <f>IF(AND('领用录入（明细）'!D:D=$F$4,'领用录入（明细）'!C:C&gt;=$J$4,'领用录入（明细）'!C:C&lt;=$L$4),ROW(),"-")</f>
        <v>-</v>
      </c>
    </row>
    <row r="3846" customHeight="1" spans="2:2">
      <c r="B3846" s="62" t="str">
        <f>IF(AND('领用录入（明细）'!D:D=$F$4,'领用录入（明细）'!C:C&gt;=$J$4,'领用录入（明细）'!C:C&lt;=$L$4),ROW(),"-")</f>
        <v>-</v>
      </c>
    </row>
    <row r="3847" customHeight="1" spans="2:2">
      <c r="B3847" s="62" t="str">
        <f>IF(AND('领用录入（明细）'!D:D=$F$4,'领用录入（明细）'!C:C&gt;=$J$4,'领用录入（明细）'!C:C&lt;=$L$4),ROW(),"-")</f>
        <v>-</v>
      </c>
    </row>
    <row r="3848" customHeight="1" spans="2:2">
      <c r="B3848" s="62" t="str">
        <f>IF(AND('领用录入（明细）'!D:D=$F$4,'领用录入（明细）'!C:C&gt;=$J$4,'领用录入（明细）'!C:C&lt;=$L$4),ROW(),"-")</f>
        <v>-</v>
      </c>
    </row>
    <row r="3849" customHeight="1" spans="2:2">
      <c r="B3849" s="62" t="str">
        <f>IF(AND('领用录入（明细）'!D:D=$F$4,'领用录入（明细）'!C:C&gt;=$J$4,'领用录入（明细）'!C:C&lt;=$L$4),ROW(),"-")</f>
        <v>-</v>
      </c>
    </row>
    <row r="3850" customHeight="1" spans="2:2">
      <c r="B3850" s="62" t="str">
        <f>IF(AND('领用录入（明细）'!D:D=$F$4,'领用录入（明细）'!C:C&gt;=$J$4,'领用录入（明细）'!C:C&lt;=$L$4),ROW(),"-")</f>
        <v>-</v>
      </c>
    </row>
    <row r="3851" customHeight="1" spans="2:2">
      <c r="B3851" s="62" t="str">
        <f>IF(AND('领用录入（明细）'!D:D=$F$4,'领用录入（明细）'!C:C&gt;=$J$4,'领用录入（明细）'!C:C&lt;=$L$4),ROW(),"-")</f>
        <v>-</v>
      </c>
    </row>
    <row r="3852" customHeight="1" spans="2:2">
      <c r="B3852" s="62" t="str">
        <f>IF(AND('领用录入（明细）'!D:D=$F$4,'领用录入（明细）'!C:C&gt;=$J$4,'领用录入（明细）'!C:C&lt;=$L$4),ROW(),"-")</f>
        <v>-</v>
      </c>
    </row>
    <row r="3853" customHeight="1" spans="2:2">
      <c r="B3853" s="62" t="str">
        <f>IF(AND('领用录入（明细）'!D:D=$F$4,'领用录入（明细）'!C:C&gt;=$J$4,'领用录入（明细）'!C:C&lt;=$L$4),ROW(),"-")</f>
        <v>-</v>
      </c>
    </row>
    <row r="3854" customHeight="1" spans="2:2">
      <c r="B3854" s="62" t="str">
        <f>IF(AND('领用录入（明细）'!D:D=$F$4,'领用录入（明细）'!C:C&gt;=$J$4,'领用录入（明细）'!C:C&lt;=$L$4),ROW(),"-")</f>
        <v>-</v>
      </c>
    </row>
    <row r="3855" customHeight="1" spans="2:2">
      <c r="B3855" s="62" t="str">
        <f>IF(AND('领用录入（明细）'!D:D=$F$4,'领用录入（明细）'!C:C&gt;=$J$4,'领用录入（明细）'!C:C&lt;=$L$4),ROW(),"-")</f>
        <v>-</v>
      </c>
    </row>
    <row r="3856" customHeight="1" spans="2:2">
      <c r="B3856" s="62" t="str">
        <f>IF(AND('领用录入（明细）'!D:D=$F$4,'领用录入（明细）'!C:C&gt;=$J$4,'领用录入（明细）'!C:C&lt;=$L$4),ROW(),"-")</f>
        <v>-</v>
      </c>
    </row>
    <row r="3857" customHeight="1" spans="2:2">
      <c r="B3857" s="62" t="str">
        <f>IF(AND('领用录入（明细）'!D:D=$F$4,'领用录入（明细）'!C:C&gt;=$J$4,'领用录入（明细）'!C:C&lt;=$L$4),ROW(),"-")</f>
        <v>-</v>
      </c>
    </row>
    <row r="3858" customHeight="1" spans="2:2">
      <c r="B3858" s="62" t="str">
        <f>IF(AND('领用录入（明细）'!D:D=$F$4,'领用录入（明细）'!C:C&gt;=$J$4,'领用录入（明细）'!C:C&lt;=$L$4),ROW(),"-")</f>
        <v>-</v>
      </c>
    </row>
    <row r="3859" customHeight="1" spans="2:2">
      <c r="B3859" s="62" t="str">
        <f>IF(AND('领用录入（明细）'!D:D=$F$4,'领用录入（明细）'!C:C&gt;=$J$4,'领用录入（明细）'!C:C&lt;=$L$4),ROW(),"-")</f>
        <v>-</v>
      </c>
    </row>
    <row r="3860" customHeight="1" spans="2:2">
      <c r="B3860" s="62" t="str">
        <f>IF(AND('领用录入（明细）'!D:D=$F$4,'领用录入（明细）'!C:C&gt;=$J$4,'领用录入（明细）'!C:C&lt;=$L$4),ROW(),"-")</f>
        <v>-</v>
      </c>
    </row>
    <row r="3861" customHeight="1" spans="2:2">
      <c r="B3861" s="62" t="str">
        <f>IF(AND('领用录入（明细）'!D:D=$F$4,'领用录入（明细）'!C:C&gt;=$J$4,'领用录入（明细）'!C:C&lt;=$L$4),ROW(),"-")</f>
        <v>-</v>
      </c>
    </row>
    <row r="3862" customHeight="1" spans="2:2">
      <c r="B3862" s="62" t="str">
        <f>IF(AND('领用录入（明细）'!D:D=$F$4,'领用录入（明细）'!C:C&gt;=$J$4,'领用录入（明细）'!C:C&lt;=$L$4),ROW(),"-")</f>
        <v>-</v>
      </c>
    </row>
    <row r="3863" customHeight="1" spans="2:2">
      <c r="B3863" s="62" t="str">
        <f>IF(AND('领用录入（明细）'!D:D=$F$4,'领用录入（明细）'!C:C&gt;=$J$4,'领用录入（明细）'!C:C&lt;=$L$4),ROW(),"-")</f>
        <v>-</v>
      </c>
    </row>
    <row r="3864" customHeight="1" spans="2:2">
      <c r="B3864" s="62" t="str">
        <f>IF(AND('领用录入（明细）'!D:D=$F$4,'领用录入（明细）'!C:C&gt;=$J$4,'领用录入（明细）'!C:C&lt;=$L$4),ROW(),"-")</f>
        <v>-</v>
      </c>
    </row>
    <row r="3865" customHeight="1" spans="2:2">
      <c r="B3865" s="62" t="str">
        <f>IF(AND('领用录入（明细）'!D:D=$F$4,'领用录入（明细）'!C:C&gt;=$J$4,'领用录入（明细）'!C:C&lt;=$L$4),ROW(),"-")</f>
        <v>-</v>
      </c>
    </row>
    <row r="3866" customHeight="1" spans="2:2">
      <c r="B3866" s="62" t="str">
        <f>IF(AND('领用录入（明细）'!D:D=$F$4,'领用录入（明细）'!C:C&gt;=$J$4,'领用录入（明细）'!C:C&lt;=$L$4),ROW(),"-")</f>
        <v>-</v>
      </c>
    </row>
    <row r="3867" customHeight="1" spans="2:2">
      <c r="B3867" s="62" t="str">
        <f>IF(AND('领用录入（明细）'!D:D=$F$4,'领用录入（明细）'!C:C&gt;=$J$4,'领用录入（明细）'!C:C&lt;=$L$4),ROW(),"-")</f>
        <v>-</v>
      </c>
    </row>
    <row r="3868" customHeight="1" spans="2:2">
      <c r="B3868" s="62" t="str">
        <f>IF(AND('领用录入（明细）'!D:D=$F$4,'领用录入（明细）'!C:C&gt;=$J$4,'领用录入（明细）'!C:C&lt;=$L$4),ROW(),"-")</f>
        <v>-</v>
      </c>
    </row>
    <row r="3869" customHeight="1" spans="2:2">
      <c r="B3869" s="62" t="str">
        <f>IF(AND('领用录入（明细）'!D:D=$F$4,'领用录入（明细）'!C:C&gt;=$J$4,'领用录入（明细）'!C:C&lt;=$L$4),ROW(),"-")</f>
        <v>-</v>
      </c>
    </row>
    <row r="3870" customHeight="1" spans="2:2">
      <c r="B3870" s="62" t="str">
        <f>IF(AND('领用录入（明细）'!D:D=$F$4,'领用录入（明细）'!C:C&gt;=$J$4,'领用录入（明细）'!C:C&lt;=$L$4),ROW(),"-")</f>
        <v>-</v>
      </c>
    </row>
    <row r="3871" customHeight="1" spans="2:2">
      <c r="B3871" s="62" t="str">
        <f>IF(AND('领用录入（明细）'!D:D=$F$4,'领用录入（明细）'!C:C&gt;=$J$4,'领用录入（明细）'!C:C&lt;=$L$4),ROW(),"-")</f>
        <v>-</v>
      </c>
    </row>
    <row r="3872" customHeight="1" spans="2:2">
      <c r="B3872" s="62" t="str">
        <f>IF(AND('领用录入（明细）'!D:D=$F$4,'领用录入（明细）'!C:C&gt;=$J$4,'领用录入（明细）'!C:C&lt;=$L$4),ROW(),"-")</f>
        <v>-</v>
      </c>
    </row>
    <row r="3873" customHeight="1" spans="2:2">
      <c r="B3873" s="62" t="str">
        <f>IF(AND('领用录入（明细）'!D:D=$F$4,'领用录入（明细）'!C:C&gt;=$J$4,'领用录入（明细）'!C:C&lt;=$L$4),ROW(),"-")</f>
        <v>-</v>
      </c>
    </row>
    <row r="3874" customHeight="1" spans="2:2">
      <c r="B3874" s="62" t="str">
        <f>IF(AND('领用录入（明细）'!D:D=$F$4,'领用录入（明细）'!C:C&gt;=$J$4,'领用录入（明细）'!C:C&lt;=$L$4),ROW(),"-")</f>
        <v>-</v>
      </c>
    </row>
    <row r="3875" customHeight="1" spans="2:2">
      <c r="B3875" s="62" t="str">
        <f>IF(AND('领用录入（明细）'!D:D=$F$4,'领用录入（明细）'!C:C&gt;=$J$4,'领用录入（明细）'!C:C&lt;=$L$4),ROW(),"-")</f>
        <v>-</v>
      </c>
    </row>
    <row r="3876" customHeight="1" spans="2:2">
      <c r="B3876" s="62" t="str">
        <f>IF(AND('领用录入（明细）'!D:D=$F$4,'领用录入（明细）'!C:C&gt;=$J$4,'领用录入（明细）'!C:C&lt;=$L$4),ROW(),"-")</f>
        <v>-</v>
      </c>
    </row>
    <row r="3877" customHeight="1" spans="2:2">
      <c r="B3877" s="62" t="str">
        <f>IF(AND('领用录入（明细）'!D:D=$F$4,'领用录入（明细）'!C:C&gt;=$J$4,'领用录入（明细）'!C:C&lt;=$L$4),ROW(),"-")</f>
        <v>-</v>
      </c>
    </row>
    <row r="3878" customHeight="1" spans="2:2">
      <c r="B3878" s="62" t="str">
        <f>IF(AND('领用录入（明细）'!D:D=$F$4,'领用录入（明细）'!C:C&gt;=$J$4,'领用录入（明细）'!C:C&lt;=$L$4),ROW(),"-")</f>
        <v>-</v>
      </c>
    </row>
    <row r="3879" customHeight="1" spans="2:2">
      <c r="B3879" s="62" t="str">
        <f>IF(AND('领用录入（明细）'!D:D=$F$4,'领用录入（明细）'!C:C&gt;=$J$4,'领用录入（明细）'!C:C&lt;=$L$4),ROW(),"-")</f>
        <v>-</v>
      </c>
    </row>
    <row r="3880" customHeight="1" spans="2:2">
      <c r="B3880" s="62" t="str">
        <f>IF(AND('领用录入（明细）'!D:D=$F$4,'领用录入（明细）'!C:C&gt;=$J$4,'领用录入（明细）'!C:C&lt;=$L$4),ROW(),"-")</f>
        <v>-</v>
      </c>
    </row>
    <row r="3881" customHeight="1" spans="2:2">
      <c r="B3881" s="62" t="str">
        <f>IF(AND('领用录入（明细）'!D:D=$F$4,'领用录入（明细）'!C:C&gt;=$J$4,'领用录入（明细）'!C:C&lt;=$L$4),ROW(),"-")</f>
        <v>-</v>
      </c>
    </row>
    <row r="3882" customHeight="1" spans="2:2">
      <c r="B3882" s="62" t="str">
        <f>IF(AND('领用录入（明细）'!D:D=$F$4,'领用录入（明细）'!C:C&gt;=$J$4,'领用录入（明细）'!C:C&lt;=$L$4),ROW(),"-")</f>
        <v>-</v>
      </c>
    </row>
    <row r="3883" customHeight="1" spans="2:2">
      <c r="B3883" s="62" t="str">
        <f>IF(AND('领用录入（明细）'!D:D=$F$4,'领用录入（明细）'!C:C&gt;=$J$4,'领用录入（明细）'!C:C&lt;=$L$4),ROW(),"-")</f>
        <v>-</v>
      </c>
    </row>
    <row r="3884" customHeight="1" spans="2:2">
      <c r="B3884" s="62" t="str">
        <f>IF(AND('领用录入（明细）'!D:D=$F$4,'领用录入（明细）'!C:C&gt;=$J$4,'领用录入（明细）'!C:C&lt;=$L$4),ROW(),"-")</f>
        <v>-</v>
      </c>
    </row>
    <row r="3885" customHeight="1" spans="2:2">
      <c r="B3885" s="62" t="str">
        <f>IF(AND('领用录入（明细）'!D:D=$F$4,'领用录入（明细）'!C:C&gt;=$J$4,'领用录入（明细）'!C:C&lt;=$L$4),ROW(),"-")</f>
        <v>-</v>
      </c>
    </row>
    <row r="3886" customHeight="1" spans="2:2">
      <c r="B3886" s="62" t="str">
        <f>IF(AND('领用录入（明细）'!D:D=$F$4,'领用录入（明细）'!C:C&gt;=$J$4,'领用录入（明细）'!C:C&lt;=$L$4),ROW(),"-")</f>
        <v>-</v>
      </c>
    </row>
    <row r="3887" customHeight="1" spans="2:2">
      <c r="B3887" s="62" t="str">
        <f>IF(AND('领用录入（明细）'!D:D=$F$4,'领用录入（明细）'!C:C&gt;=$J$4,'领用录入（明细）'!C:C&lt;=$L$4),ROW(),"-")</f>
        <v>-</v>
      </c>
    </row>
    <row r="3888" customHeight="1" spans="2:2">
      <c r="B3888" s="62" t="str">
        <f>IF(AND('领用录入（明细）'!D:D=$F$4,'领用录入（明细）'!C:C&gt;=$J$4,'领用录入（明细）'!C:C&lt;=$L$4),ROW(),"-")</f>
        <v>-</v>
      </c>
    </row>
    <row r="3889" customHeight="1" spans="2:2">
      <c r="B3889" s="62" t="str">
        <f>IF(AND('领用录入（明细）'!D:D=$F$4,'领用录入（明细）'!C:C&gt;=$J$4,'领用录入（明细）'!C:C&lt;=$L$4),ROW(),"-")</f>
        <v>-</v>
      </c>
    </row>
    <row r="3890" customHeight="1" spans="2:2">
      <c r="B3890" s="62" t="str">
        <f>IF(AND('领用录入（明细）'!D:D=$F$4,'领用录入（明细）'!C:C&gt;=$J$4,'领用录入（明细）'!C:C&lt;=$L$4),ROW(),"-")</f>
        <v>-</v>
      </c>
    </row>
    <row r="3891" customHeight="1" spans="2:2">
      <c r="B3891" s="62" t="str">
        <f>IF(AND('领用录入（明细）'!D:D=$F$4,'领用录入（明细）'!C:C&gt;=$J$4,'领用录入（明细）'!C:C&lt;=$L$4),ROW(),"-")</f>
        <v>-</v>
      </c>
    </row>
    <row r="3892" customHeight="1" spans="2:2">
      <c r="B3892" s="62" t="str">
        <f>IF(AND('领用录入（明细）'!D:D=$F$4,'领用录入（明细）'!C:C&gt;=$J$4,'领用录入（明细）'!C:C&lt;=$L$4),ROW(),"-")</f>
        <v>-</v>
      </c>
    </row>
    <row r="3893" customHeight="1" spans="2:2">
      <c r="B3893" s="62" t="str">
        <f>IF(AND('领用录入（明细）'!D:D=$F$4,'领用录入（明细）'!C:C&gt;=$J$4,'领用录入（明细）'!C:C&lt;=$L$4),ROW(),"-")</f>
        <v>-</v>
      </c>
    </row>
    <row r="3894" customHeight="1" spans="2:2">
      <c r="B3894" s="62" t="str">
        <f>IF(AND('领用录入（明细）'!D:D=$F$4,'领用录入（明细）'!C:C&gt;=$J$4,'领用录入（明细）'!C:C&lt;=$L$4),ROW(),"-")</f>
        <v>-</v>
      </c>
    </row>
    <row r="3895" customHeight="1" spans="2:2">
      <c r="B3895" s="62" t="str">
        <f>IF(AND('领用录入（明细）'!D:D=$F$4,'领用录入（明细）'!C:C&gt;=$J$4,'领用录入（明细）'!C:C&lt;=$L$4),ROW(),"-")</f>
        <v>-</v>
      </c>
    </row>
    <row r="3896" customHeight="1" spans="2:2">
      <c r="B3896" s="62" t="str">
        <f>IF(AND('领用录入（明细）'!D:D=$F$4,'领用录入（明细）'!C:C&gt;=$J$4,'领用录入（明细）'!C:C&lt;=$L$4),ROW(),"-")</f>
        <v>-</v>
      </c>
    </row>
    <row r="3897" customHeight="1" spans="2:2">
      <c r="B3897" s="62" t="str">
        <f>IF(AND('领用录入（明细）'!D:D=$F$4,'领用录入（明细）'!C:C&gt;=$J$4,'领用录入（明细）'!C:C&lt;=$L$4),ROW(),"-")</f>
        <v>-</v>
      </c>
    </row>
    <row r="3898" customHeight="1" spans="2:2">
      <c r="B3898" s="62" t="str">
        <f>IF(AND('领用录入（明细）'!D:D=$F$4,'领用录入（明细）'!C:C&gt;=$J$4,'领用录入（明细）'!C:C&lt;=$L$4),ROW(),"-")</f>
        <v>-</v>
      </c>
    </row>
    <row r="3899" customHeight="1" spans="2:2">
      <c r="B3899" s="62" t="str">
        <f>IF(AND('领用录入（明细）'!D:D=$F$4,'领用录入（明细）'!C:C&gt;=$J$4,'领用录入（明细）'!C:C&lt;=$L$4),ROW(),"-")</f>
        <v>-</v>
      </c>
    </row>
    <row r="3900" customHeight="1" spans="2:2">
      <c r="B3900" s="62" t="str">
        <f>IF(AND('领用录入（明细）'!D:D=$F$4,'领用录入（明细）'!C:C&gt;=$J$4,'领用录入（明细）'!C:C&lt;=$L$4),ROW(),"-")</f>
        <v>-</v>
      </c>
    </row>
    <row r="3901" customHeight="1" spans="2:2">
      <c r="B3901" s="62" t="str">
        <f>IF(AND('领用录入（明细）'!D:D=$F$4,'领用录入（明细）'!C:C&gt;=$J$4,'领用录入（明细）'!C:C&lt;=$L$4),ROW(),"-")</f>
        <v>-</v>
      </c>
    </row>
    <row r="3902" customHeight="1" spans="2:2">
      <c r="B3902" s="62" t="str">
        <f>IF(AND('领用录入（明细）'!D:D=$F$4,'领用录入（明细）'!C:C&gt;=$J$4,'领用录入（明细）'!C:C&lt;=$L$4),ROW(),"-")</f>
        <v>-</v>
      </c>
    </row>
    <row r="3903" customHeight="1" spans="2:2">
      <c r="B3903" s="62" t="str">
        <f>IF(AND('领用录入（明细）'!D:D=$F$4,'领用录入（明细）'!C:C&gt;=$J$4,'领用录入（明细）'!C:C&lt;=$L$4),ROW(),"-")</f>
        <v>-</v>
      </c>
    </row>
    <row r="3904" customHeight="1" spans="2:2">
      <c r="B3904" s="62" t="str">
        <f>IF(AND('领用录入（明细）'!D:D=$F$4,'领用录入（明细）'!C:C&gt;=$J$4,'领用录入（明细）'!C:C&lt;=$L$4),ROW(),"-")</f>
        <v>-</v>
      </c>
    </row>
    <row r="3905" customHeight="1" spans="2:2">
      <c r="B3905" s="62" t="str">
        <f>IF(AND('领用录入（明细）'!D:D=$F$4,'领用录入（明细）'!C:C&gt;=$J$4,'领用录入（明细）'!C:C&lt;=$L$4),ROW(),"-")</f>
        <v>-</v>
      </c>
    </row>
    <row r="3906" customHeight="1" spans="2:2">
      <c r="B3906" s="62" t="str">
        <f>IF(AND('领用录入（明细）'!D:D=$F$4,'领用录入（明细）'!C:C&gt;=$J$4,'领用录入（明细）'!C:C&lt;=$L$4),ROW(),"-")</f>
        <v>-</v>
      </c>
    </row>
    <row r="3907" customHeight="1" spans="2:2">
      <c r="B3907" s="62" t="str">
        <f>IF(AND('领用录入（明细）'!D:D=$F$4,'领用录入（明细）'!C:C&gt;=$J$4,'领用录入（明细）'!C:C&lt;=$L$4),ROW(),"-")</f>
        <v>-</v>
      </c>
    </row>
    <row r="3908" customHeight="1" spans="2:2">
      <c r="B3908" s="62" t="str">
        <f>IF(AND('领用录入（明细）'!D:D=$F$4,'领用录入（明细）'!C:C&gt;=$J$4,'领用录入（明细）'!C:C&lt;=$L$4),ROW(),"-")</f>
        <v>-</v>
      </c>
    </row>
    <row r="3909" customHeight="1" spans="2:2">
      <c r="B3909" s="62" t="str">
        <f>IF(AND('领用录入（明细）'!D:D=$F$4,'领用录入（明细）'!C:C&gt;=$J$4,'领用录入（明细）'!C:C&lt;=$L$4),ROW(),"-")</f>
        <v>-</v>
      </c>
    </row>
    <row r="3910" customHeight="1" spans="2:2">
      <c r="B3910" s="62" t="str">
        <f>IF(AND('领用录入（明细）'!D:D=$F$4,'领用录入（明细）'!C:C&gt;=$J$4,'领用录入（明细）'!C:C&lt;=$L$4),ROW(),"-")</f>
        <v>-</v>
      </c>
    </row>
    <row r="3911" customHeight="1" spans="2:2">
      <c r="B3911" s="62" t="str">
        <f>IF(AND('领用录入（明细）'!D:D=$F$4,'领用录入（明细）'!C:C&gt;=$J$4,'领用录入（明细）'!C:C&lt;=$L$4),ROW(),"-")</f>
        <v>-</v>
      </c>
    </row>
    <row r="3912" customHeight="1" spans="2:2">
      <c r="B3912" s="62" t="str">
        <f>IF(AND('领用录入（明细）'!D:D=$F$4,'领用录入（明细）'!C:C&gt;=$J$4,'领用录入（明细）'!C:C&lt;=$L$4),ROW(),"-")</f>
        <v>-</v>
      </c>
    </row>
    <row r="3913" customHeight="1" spans="2:2">
      <c r="B3913" s="62" t="str">
        <f>IF(AND('领用录入（明细）'!D:D=$F$4,'领用录入（明细）'!C:C&gt;=$J$4,'领用录入（明细）'!C:C&lt;=$L$4),ROW(),"-")</f>
        <v>-</v>
      </c>
    </row>
    <row r="3914" customHeight="1" spans="2:2">
      <c r="B3914" s="62" t="str">
        <f>IF(AND('领用录入（明细）'!D:D=$F$4,'领用录入（明细）'!C:C&gt;=$J$4,'领用录入（明细）'!C:C&lt;=$L$4),ROW(),"-")</f>
        <v>-</v>
      </c>
    </row>
    <row r="3915" customHeight="1" spans="2:2">
      <c r="B3915" s="62" t="str">
        <f>IF(AND('领用录入（明细）'!D:D=$F$4,'领用录入（明细）'!C:C&gt;=$J$4,'领用录入（明细）'!C:C&lt;=$L$4),ROW(),"-")</f>
        <v>-</v>
      </c>
    </row>
    <row r="3916" customHeight="1" spans="2:2">
      <c r="B3916" s="62" t="str">
        <f>IF(AND('领用录入（明细）'!D:D=$F$4,'领用录入（明细）'!C:C&gt;=$J$4,'领用录入（明细）'!C:C&lt;=$L$4),ROW(),"-")</f>
        <v>-</v>
      </c>
    </row>
    <row r="3917" customHeight="1" spans="2:2">
      <c r="B3917" s="62" t="str">
        <f>IF(AND('领用录入（明细）'!D:D=$F$4,'领用录入（明细）'!C:C&gt;=$J$4,'领用录入（明细）'!C:C&lt;=$L$4),ROW(),"-")</f>
        <v>-</v>
      </c>
    </row>
    <row r="3918" customHeight="1" spans="2:2">
      <c r="B3918" s="62" t="str">
        <f>IF(AND('领用录入（明细）'!D:D=$F$4,'领用录入（明细）'!C:C&gt;=$J$4,'领用录入（明细）'!C:C&lt;=$L$4),ROW(),"-")</f>
        <v>-</v>
      </c>
    </row>
    <row r="3919" customHeight="1" spans="2:2">
      <c r="B3919" s="62" t="str">
        <f>IF(AND('领用录入（明细）'!D:D=$F$4,'领用录入（明细）'!C:C&gt;=$J$4,'领用录入（明细）'!C:C&lt;=$L$4),ROW(),"-")</f>
        <v>-</v>
      </c>
    </row>
    <row r="3920" customHeight="1" spans="2:2">
      <c r="B3920" s="62" t="str">
        <f>IF(AND('领用录入（明细）'!D:D=$F$4,'领用录入（明细）'!C:C&gt;=$J$4,'领用录入（明细）'!C:C&lt;=$L$4),ROW(),"-")</f>
        <v>-</v>
      </c>
    </row>
    <row r="3921" customHeight="1" spans="2:2">
      <c r="B3921" s="62" t="str">
        <f>IF(AND('领用录入（明细）'!D:D=$F$4,'领用录入（明细）'!C:C&gt;=$J$4,'领用录入（明细）'!C:C&lt;=$L$4),ROW(),"-")</f>
        <v>-</v>
      </c>
    </row>
    <row r="3922" customHeight="1" spans="2:2">
      <c r="B3922" s="62" t="str">
        <f>IF(AND('领用录入（明细）'!D:D=$F$4,'领用录入（明细）'!C:C&gt;=$J$4,'领用录入（明细）'!C:C&lt;=$L$4),ROW(),"-")</f>
        <v>-</v>
      </c>
    </row>
    <row r="3923" customHeight="1" spans="2:2">
      <c r="B3923" s="62" t="str">
        <f>IF(AND('领用录入（明细）'!D:D=$F$4,'领用录入（明细）'!C:C&gt;=$J$4,'领用录入（明细）'!C:C&lt;=$L$4),ROW(),"-")</f>
        <v>-</v>
      </c>
    </row>
    <row r="3924" customHeight="1" spans="2:2">
      <c r="B3924" s="62" t="str">
        <f>IF(AND('领用录入（明细）'!D:D=$F$4,'领用录入（明细）'!C:C&gt;=$J$4,'领用录入（明细）'!C:C&lt;=$L$4),ROW(),"-")</f>
        <v>-</v>
      </c>
    </row>
    <row r="3925" customHeight="1" spans="2:2">
      <c r="B3925" s="62" t="str">
        <f>IF(AND('领用录入（明细）'!D:D=$F$4,'领用录入（明细）'!C:C&gt;=$J$4,'领用录入（明细）'!C:C&lt;=$L$4),ROW(),"-")</f>
        <v>-</v>
      </c>
    </row>
    <row r="3926" customHeight="1" spans="2:2">
      <c r="B3926" s="62" t="str">
        <f>IF(AND('领用录入（明细）'!D:D=$F$4,'领用录入（明细）'!C:C&gt;=$J$4,'领用录入（明细）'!C:C&lt;=$L$4),ROW(),"-")</f>
        <v>-</v>
      </c>
    </row>
    <row r="3927" customHeight="1" spans="2:2">
      <c r="B3927" s="62" t="str">
        <f>IF(AND('领用录入（明细）'!D:D=$F$4,'领用录入（明细）'!C:C&gt;=$J$4,'领用录入（明细）'!C:C&lt;=$L$4),ROW(),"-")</f>
        <v>-</v>
      </c>
    </row>
    <row r="3928" customHeight="1" spans="2:2">
      <c r="B3928" s="62" t="str">
        <f>IF(AND('领用录入（明细）'!D:D=$F$4,'领用录入（明细）'!C:C&gt;=$J$4,'领用录入（明细）'!C:C&lt;=$L$4),ROW(),"-")</f>
        <v>-</v>
      </c>
    </row>
    <row r="3929" customHeight="1" spans="2:2">
      <c r="B3929" s="62" t="str">
        <f>IF(AND('领用录入（明细）'!D:D=$F$4,'领用录入（明细）'!C:C&gt;=$J$4,'领用录入（明细）'!C:C&lt;=$L$4),ROW(),"-")</f>
        <v>-</v>
      </c>
    </row>
    <row r="3930" customHeight="1" spans="2:2">
      <c r="B3930" s="62" t="str">
        <f>IF(AND('领用录入（明细）'!D:D=$F$4,'领用录入（明细）'!C:C&gt;=$J$4,'领用录入（明细）'!C:C&lt;=$L$4),ROW(),"-")</f>
        <v>-</v>
      </c>
    </row>
    <row r="3931" customHeight="1" spans="2:2">
      <c r="B3931" s="62" t="str">
        <f>IF(AND('领用录入（明细）'!D:D=$F$4,'领用录入（明细）'!C:C&gt;=$J$4,'领用录入（明细）'!C:C&lt;=$L$4),ROW(),"-")</f>
        <v>-</v>
      </c>
    </row>
    <row r="3932" customHeight="1" spans="2:2">
      <c r="B3932" s="62" t="str">
        <f>IF(AND('领用录入（明细）'!D:D=$F$4,'领用录入（明细）'!C:C&gt;=$J$4,'领用录入（明细）'!C:C&lt;=$L$4),ROW(),"-")</f>
        <v>-</v>
      </c>
    </row>
    <row r="3933" customHeight="1" spans="2:2">
      <c r="B3933" s="62" t="str">
        <f>IF(AND('领用录入（明细）'!D:D=$F$4,'领用录入（明细）'!C:C&gt;=$J$4,'领用录入（明细）'!C:C&lt;=$L$4),ROW(),"-")</f>
        <v>-</v>
      </c>
    </row>
    <row r="3934" customHeight="1" spans="2:2">
      <c r="B3934" s="62" t="str">
        <f>IF(AND('领用录入（明细）'!D:D=$F$4,'领用录入（明细）'!C:C&gt;=$J$4,'领用录入（明细）'!C:C&lt;=$L$4),ROW(),"-")</f>
        <v>-</v>
      </c>
    </row>
    <row r="3935" customHeight="1" spans="2:2">
      <c r="B3935" s="62" t="str">
        <f>IF(AND('领用录入（明细）'!D:D=$F$4,'领用录入（明细）'!C:C&gt;=$J$4,'领用录入（明细）'!C:C&lt;=$L$4),ROW(),"-")</f>
        <v>-</v>
      </c>
    </row>
    <row r="3936" customHeight="1" spans="2:2">
      <c r="B3936" s="62" t="str">
        <f>IF(AND('领用录入（明细）'!D:D=$F$4,'领用录入（明细）'!C:C&gt;=$J$4,'领用录入（明细）'!C:C&lt;=$L$4),ROW(),"-")</f>
        <v>-</v>
      </c>
    </row>
    <row r="3937" customHeight="1" spans="2:2">
      <c r="B3937" s="62" t="str">
        <f>IF(AND('领用录入（明细）'!D:D=$F$4,'领用录入（明细）'!C:C&gt;=$J$4,'领用录入（明细）'!C:C&lt;=$L$4),ROW(),"-")</f>
        <v>-</v>
      </c>
    </row>
    <row r="3938" customHeight="1" spans="2:2">
      <c r="B3938" s="62" t="str">
        <f>IF(AND('领用录入（明细）'!D:D=$F$4,'领用录入（明细）'!C:C&gt;=$J$4,'领用录入（明细）'!C:C&lt;=$L$4),ROW(),"-")</f>
        <v>-</v>
      </c>
    </row>
    <row r="3939" customHeight="1" spans="2:2">
      <c r="B3939" s="62" t="str">
        <f>IF(AND('领用录入（明细）'!D:D=$F$4,'领用录入（明细）'!C:C&gt;=$J$4,'领用录入（明细）'!C:C&lt;=$L$4),ROW(),"-")</f>
        <v>-</v>
      </c>
    </row>
    <row r="3940" customHeight="1" spans="2:2">
      <c r="B3940" s="62" t="str">
        <f>IF(AND('领用录入（明细）'!D:D=$F$4,'领用录入（明细）'!C:C&gt;=$J$4,'领用录入（明细）'!C:C&lt;=$L$4),ROW(),"-")</f>
        <v>-</v>
      </c>
    </row>
    <row r="3941" customHeight="1" spans="2:2">
      <c r="B3941" s="62" t="str">
        <f>IF(AND('领用录入（明细）'!D:D=$F$4,'领用录入（明细）'!C:C&gt;=$J$4,'领用录入（明细）'!C:C&lt;=$L$4),ROW(),"-")</f>
        <v>-</v>
      </c>
    </row>
    <row r="3942" customHeight="1" spans="2:2">
      <c r="B3942" s="62" t="str">
        <f>IF(AND('领用录入（明细）'!D:D=$F$4,'领用录入（明细）'!C:C&gt;=$J$4,'领用录入（明细）'!C:C&lt;=$L$4),ROW(),"-")</f>
        <v>-</v>
      </c>
    </row>
    <row r="3943" customHeight="1" spans="2:2">
      <c r="B3943" s="62" t="str">
        <f>IF(AND('领用录入（明细）'!D:D=$F$4,'领用录入（明细）'!C:C&gt;=$J$4,'领用录入（明细）'!C:C&lt;=$L$4),ROW(),"-")</f>
        <v>-</v>
      </c>
    </row>
    <row r="3944" customHeight="1" spans="2:2">
      <c r="B3944" s="62" t="str">
        <f>IF(AND('领用录入（明细）'!D:D=$F$4,'领用录入（明细）'!C:C&gt;=$J$4,'领用录入（明细）'!C:C&lt;=$L$4),ROW(),"-")</f>
        <v>-</v>
      </c>
    </row>
    <row r="3945" customHeight="1" spans="2:2">
      <c r="B3945" s="62" t="str">
        <f>IF(AND('领用录入（明细）'!D:D=$F$4,'领用录入（明细）'!C:C&gt;=$J$4,'领用录入（明细）'!C:C&lt;=$L$4),ROW(),"-")</f>
        <v>-</v>
      </c>
    </row>
    <row r="3946" customHeight="1" spans="2:2">
      <c r="B3946" s="62" t="str">
        <f>IF(AND('领用录入（明细）'!D:D=$F$4,'领用录入（明细）'!C:C&gt;=$J$4,'领用录入（明细）'!C:C&lt;=$L$4),ROW(),"-")</f>
        <v>-</v>
      </c>
    </row>
    <row r="3947" customHeight="1" spans="2:2">
      <c r="B3947" s="62" t="str">
        <f>IF(AND('领用录入（明细）'!D:D=$F$4,'领用录入（明细）'!C:C&gt;=$J$4,'领用录入（明细）'!C:C&lt;=$L$4),ROW(),"-")</f>
        <v>-</v>
      </c>
    </row>
    <row r="3948" customHeight="1" spans="2:2">
      <c r="B3948" s="62" t="str">
        <f>IF(AND('领用录入（明细）'!D:D=$F$4,'领用录入（明细）'!C:C&gt;=$J$4,'领用录入（明细）'!C:C&lt;=$L$4),ROW(),"-")</f>
        <v>-</v>
      </c>
    </row>
    <row r="3949" customHeight="1" spans="2:2">
      <c r="B3949" s="62" t="str">
        <f>IF(AND('领用录入（明细）'!D:D=$F$4,'领用录入（明细）'!C:C&gt;=$J$4,'领用录入（明细）'!C:C&lt;=$L$4),ROW(),"-")</f>
        <v>-</v>
      </c>
    </row>
    <row r="3950" customHeight="1" spans="2:2">
      <c r="B3950" s="62" t="str">
        <f>IF(AND('领用录入（明细）'!D:D=$F$4,'领用录入（明细）'!C:C&gt;=$J$4,'领用录入（明细）'!C:C&lt;=$L$4),ROW(),"-")</f>
        <v>-</v>
      </c>
    </row>
    <row r="3951" customHeight="1" spans="2:2">
      <c r="B3951" s="62" t="str">
        <f>IF(AND('领用录入（明细）'!D:D=$F$4,'领用录入（明细）'!C:C&gt;=$J$4,'领用录入（明细）'!C:C&lt;=$L$4),ROW(),"-")</f>
        <v>-</v>
      </c>
    </row>
    <row r="3952" customHeight="1" spans="2:2">
      <c r="B3952" s="62" t="str">
        <f>IF(AND('领用录入（明细）'!D:D=$F$4,'领用录入（明细）'!C:C&gt;=$J$4,'领用录入（明细）'!C:C&lt;=$L$4),ROW(),"-")</f>
        <v>-</v>
      </c>
    </row>
    <row r="3953" customHeight="1" spans="2:2">
      <c r="B3953" s="62" t="str">
        <f>IF(AND('领用录入（明细）'!D:D=$F$4,'领用录入（明细）'!C:C&gt;=$J$4,'领用录入（明细）'!C:C&lt;=$L$4),ROW(),"-")</f>
        <v>-</v>
      </c>
    </row>
    <row r="3954" customHeight="1" spans="2:2">
      <c r="B3954" s="62" t="str">
        <f>IF(AND('领用录入（明细）'!D:D=$F$4,'领用录入（明细）'!C:C&gt;=$J$4,'领用录入（明细）'!C:C&lt;=$L$4),ROW(),"-")</f>
        <v>-</v>
      </c>
    </row>
    <row r="3955" customHeight="1" spans="2:2">
      <c r="B3955" s="62" t="str">
        <f>IF(AND('领用录入（明细）'!D:D=$F$4,'领用录入（明细）'!C:C&gt;=$J$4,'领用录入（明细）'!C:C&lt;=$L$4),ROW(),"-")</f>
        <v>-</v>
      </c>
    </row>
    <row r="3956" customHeight="1" spans="2:2">
      <c r="B3956" s="62" t="str">
        <f>IF(AND('领用录入（明细）'!D:D=$F$4,'领用录入（明细）'!C:C&gt;=$J$4,'领用录入（明细）'!C:C&lt;=$L$4),ROW(),"-")</f>
        <v>-</v>
      </c>
    </row>
    <row r="3957" customHeight="1" spans="2:2">
      <c r="B3957" s="62" t="str">
        <f>IF(AND('领用录入（明细）'!D:D=$F$4,'领用录入（明细）'!C:C&gt;=$J$4,'领用录入（明细）'!C:C&lt;=$L$4),ROW(),"-")</f>
        <v>-</v>
      </c>
    </row>
    <row r="3958" customHeight="1" spans="2:2">
      <c r="B3958" s="62" t="str">
        <f>IF(AND('领用录入（明细）'!D:D=$F$4,'领用录入（明细）'!C:C&gt;=$J$4,'领用录入（明细）'!C:C&lt;=$L$4),ROW(),"-")</f>
        <v>-</v>
      </c>
    </row>
    <row r="3959" customHeight="1" spans="2:2">
      <c r="B3959" s="62" t="str">
        <f>IF(AND('领用录入（明细）'!D:D=$F$4,'领用录入（明细）'!C:C&gt;=$J$4,'领用录入（明细）'!C:C&lt;=$L$4),ROW(),"-")</f>
        <v>-</v>
      </c>
    </row>
    <row r="3960" customHeight="1" spans="2:2">
      <c r="B3960" s="62" t="str">
        <f>IF(AND('领用录入（明细）'!D:D=$F$4,'领用录入（明细）'!C:C&gt;=$J$4,'领用录入（明细）'!C:C&lt;=$L$4),ROW(),"-")</f>
        <v>-</v>
      </c>
    </row>
    <row r="3961" customHeight="1" spans="2:2">
      <c r="B3961" s="62" t="str">
        <f>IF(AND('领用录入（明细）'!D:D=$F$4,'领用录入（明细）'!C:C&gt;=$J$4,'领用录入（明细）'!C:C&lt;=$L$4),ROW(),"-")</f>
        <v>-</v>
      </c>
    </row>
    <row r="3962" customHeight="1" spans="2:2">
      <c r="B3962" s="62" t="str">
        <f>IF(AND('领用录入（明细）'!D:D=$F$4,'领用录入（明细）'!C:C&gt;=$J$4,'领用录入（明细）'!C:C&lt;=$L$4),ROW(),"-")</f>
        <v>-</v>
      </c>
    </row>
    <row r="3963" customHeight="1" spans="2:2">
      <c r="B3963" s="62" t="str">
        <f>IF(AND('领用录入（明细）'!D:D=$F$4,'领用录入（明细）'!C:C&gt;=$J$4,'领用录入（明细）'!C:C&lt;=$L$4),ROW(),"-")</f>
        <v>-</v>
      </c>
    </row>
    <row r="3964" customHeight="1" spans="2:2">
      <c r="B3964" s="62" t="str">
        <f>IF(AND('领用录入（明细）'!D:D=$F$4,'领用录入（明细）'!C:C&gt;=$J$4,'领用录入（明细）'!C:C&lt;=$L$4),ROW(),"-")</f>
        <v>-</v>
      </c>
    </row>
    <row r="3965" customHeight="1" spans="2:2">
      <c r="B3965" s="62" t="str">
        <f>IF(AND('领用录入（明细）'!D:D=$F$4,'领用录入（明细）'!C:C&gt;=$J$4,'领用录入（明细）'!C:C&lt;=$L$4),ROW(),"-")</f>
        <v>-</v>
      </c>
    </row>
    <row r="3966" customHeight="1" spans="2:2">
      <c r="B3966" s="62" t="str">
        <f>IF(AND('领用录入（明细）'!D:D=$F$4,'领用录入（明细）'!C:C&gt;=$J$4,'领用录入（明细）'!C:C&lt;=$L$4),ROW(),"-")</f>
        <v>-</v>
      </c>
    </row>
    <row r="3967" customHeight="1" spans="2:2">
      <c r="B3967" s="62" t="str">
        <f>IF(AND('领用录入（明细）'!D:D=$F$4,'领用录入（明细）'!C:C&gt;=$J$4,'领用录入（明细）'!C:C&lt;=$L$4),ROW(),"-")</f>
        <v>-</v>
      </c>
    </row>
    <row r="3968" customHeight="1" spans="2:2">
      <c r="B3968" s="62" t="str">
        <f>IF(AND('领用录入（明细）'!D:D=$F$4,'领用录入（明细）'!C:C&gt;=$J$4,'领用录入（明细）'!C:C&lt;=$L$4),ROW(),"-")</f>
        <v>-</v>
      </c>
    </row>
    <row r="3969" customHeight="1" spans="2:2">
      <c r="B3969" s="62" t="str">
        <f>IF(AND('领用录入（明细）'!D:D=$F$4,'领用录入（明细）'!C:C&gt;=$J$4,'领用录入（明细）'!C:C&lt;=$L$4),ROW(),"-")</f>
        <v>-</v>
      </c>
    </row>
    <row r="3970" customHeight="1" spans="2:2">
      <c r="B3970" s="62" t="str">
        <f>IF(AND('领用录入（明细）'!D:D=$F$4,'领用录入（明细）'!C:C&gt;=$J$4,'领用录入（明细）'!C:C&lt;=$L$4),ROW(),"-")</f>
        <v>-</v>
      </c>
    </row>
    <row r="3971" customHeight="1" spans="2:2">
      <c r="B3971" s="62" t="str">
        <f>IF(AND('领用录入（明细）'!D:D=$F$4,'领用录入（明细）'!C:C&gt;=$J$4,'领用录入（明细）'!C:C&lt;=$L$4),ROW(),"-")</f>
        <v>-</v>
      </c>
    </row>
    <row r="3972" customHeight="1" spans="2:2">
      <c r="B3972" s="62" t="str">
        <f>IF(AND('领用录入（明细）'!D:D=$F$4,'领用录入（明细）'!C:C&gt;=$J$4,'领用录入（明细）'!C:C&lt;=$L$4),ROW(),"-")</f>
        <v>-</v>
      </c>
    </row>
    <row r="3973" customHeight="1" spans="2:2">
      <c r="B3973" s="62" t="str">
        <f>IF(AND('领用录入（明细）'!D:D=$F$4,'领用录入（明细）'!C:C&gt;=$J$4,'领用录入（明细）'!C:C&lt;=$L$4),ROW(),"-")</f>
        <v>-</v>
      </c>
    </row>
    <row r="3974" customHeight="1" spans="2:2">
      <c r="B3974" s="62" t="str">
        <f>IF(AND('领用录入（明细）'!D:D=$F$4,'领用录入（明细）'!C:C&gt;=$J$4,'领用录入（明细）'!C:C&lt;=$L$4),ROW(),"-")</f>
        <v>-</v>
      </c>
    </row>
    <row r="3975" customHeight="1" spans="2:2">
      <c r="B3975" s="62" t="str">
        <f>IF(AND('领用录入（明细）'!D:D=$F$4,'领用录入（明细）'!C:C&gt;=$J$4,'领用录入（明细）'!C:C&lt;=$L$4),ROW(),"-")</f>
        <v>-</v>
      </c>
    </row>
    <row r="3976" customHeight="1" spans="2:2">
      <c r="B3976" s="62" t="str">
        <f>IF(AND('领用录入（明细）'!D:D=$F$4,'领用录入（明细）'!C:C&gt;=$J$4,'领用录入（明细）'!C:C&lt;=$L$4),ROW(),"-")</f>
        <v>-</v>
      </c>
    </row>
    <row r="3977" customHeight="1" spans="2:2">
      <c r="B3977" s="62" t="str">
        <f>IF(AND('领用录入（明细）'!D:D=$F$4,'领用录入（明细）'!C:C&gt;=$J$4,'领用录入（明细）'!C:C&lt;=$L$4),ROW(),"-")</f>
        <v>-</v>
      </c>
    </row>
    <row r="3978" customHeight="1" spans="2:2">
      <c r="B3978" s="62" t="str">
        <f>IF(AND('领用录入（明细）'!D:D=$F$4,'领用录入（明细）'!C:C&gt;=$J$4,'领用录入（明细）'!C:C&lt;=$L$4),ROW(),"-")</f>
        <v>-</v>
      </c>
    </row>
    <row r="3979" customHeight="1" spans="2:2">
      <c r="B3979" s="62" t="str">
        <f>IF(AND('领用录入（明细）'!D:D=$F$4,'领用录入（明细）'!C:C&gt;=$J$4,'领用录入（明细）'!C:C&lt;=$L$4),ROW(),"-")</f>
        <v>-</v>
      </c>
    </row>
    <row r="3980" customHeight="1" spans="2:2">
      <c r="B3980" s="62" t="str">
        <f>IF(AND('领用录入（明细）'!D:D=$F$4,'领用录入（明细）'!C:C&gt;=$J$4,'领用录入（明细）'!C:C&lt;=$L$4),ROW(),"-")</f>
        <v>-</v>
      </c>
    </row>
    <row r="3981" customHeight="1" spans="2:2">
      <c r="B3981" s="62" t="str">
        <f>IF(AND('领用录入（明细）'!D:D=$F$4,'领用录入（明细）'!C:C&gt;=$J$4,'领用录入（明细）'!C:C&lt;=$L$4),ROW(),"-")</f>
        <v>-</v>
      </c>
    </row>
    <row r="3982" customHeight="1" spans="2:2">
      <c r="B3982" s="62" t="str">
        <f>IF(AND('领用录入（明细）'!D:D=$F$4,'领用录入（明细）'!C:C&gt;=$J$4,'领用录入（明细）'!C:C&lt;=$L$4),ROW(),"-")</f>
        <v>-</v>
      </c>
    </row>
    <row r="3983" customHeight="1" spans="2:2">
      <c r="B3983" s="62" t="str">
        <f>IF(AND('领用录入（明细）'!D:D=$F$4,'领用录入（明细）'!C:C&gt;=$J$4,'领用录入（明细）'!C:C&lt;=$L$4),ROW(),"-")</f>
        <v>-</v>
      </c>
    </row>
    <row r="3984" customHeight="1" spans="2:2">
      <c r="B3984" s="62" t="str">
        <f>IF(AND('领用录入（明细）'!D:D=$F$4,'领用录入（明细）'!C:C&gt;=$J$4,'领用录入（明细）'!C:C&lt;=$L$4),ROW(),"-")</f>
        <v>-</v>
      </c>
    </row>
    <row r="3985" customHeight="1" spans="2:2">
      <c r="B3985" s="62" t="str">
        <f>IF(AND('领用录入（明细）'!D:D=$F$4,'领用录入（明细）'!C:C&gt;=$J$4,'领用录入（明细）'!C:C&lt;=$L$4),ROW(),"-")</f>
        <v>-</v>
      </c>
    </row>
    <row r="3986" customHeight="1" spans="2:2">
      <c r="B3986" s="62" t="str">
        <f>IF(AND('领用录入（明细）'!D:D=$F$4,'领用录入（明细）'!C:C&gt;=$J$4,'领用录入（明细）'!C:C&lt;=$L$4),ROW(),"-")</f>
        <v>-</v>
      </c>
    </row>
    <row r="3987" customHeight="1" spans="2:2">
      <c r="B3987" s="62" t="str">
        <f>IF(AND('领用录入（明细）'!D:D=$F$4,'领用录入（明细）'!C:C&gt;=$J$4,'领用录入（明细）'!C:C&lt;=$L$4),ROW(),"-")</f>
        <v>-</v>
      </c>
    </row>
    <row r="3988" customHeight="1" spans="2:2">
      <c r="B3988" s="62" t="str">
        <f>IF(AND('领用录入（明细）'!D:D=$F$4,'领用录入（明细）'!C:C&gt;=$J$4,'领用录入（明细）'!C:C&lt;=$L$4),ROW(),"-")</f>
        <v>-</v>
      </c>
    </row>
    <row r="3989" customHeight="1" spans="2:2">
      <c r="B3989" s="62" t="str">
        <f>IF(AND('领用录入（明细）'!D:D=$F$4,'领用录入（明细）'!C:C&gt;=$J$4,'领用录入（明细）'!C:C&lt;=$L$4),ROW(),"-")</f>
        <v>-</v>
      </c>
    </row>
    <row r="3990" customHeight="1" spans="2:2">
      <c r="B3990" s="62" t="str">
        <f>IF(AND('领用录入（明细）'!D:D=$F$4,'领用录入（明细）'!C:C&gt;=$J$4,'领用录入（明细）'!C:C&lt;=$L$4),ROW(),"-")</f>
        <v>-</v>
      </c>
    </row>
    <row r="3991" customHeight="1" spans="2:2">
      <c r="B3991" s="62" t="str">
        <f>IF(AND('领用录入（明细）'!D:D=$F$4,'领用录入（明细）'!C:C&gt;=$J$4,'领用录入（明细）'!C:C&lt;=$L$4),ROW(),"-")</f>
        <v>-</v>
      </c>
    </row>
    <row r="3992" customHeight="1" spans="2:2">
      <c r="B3992" s="62" t="str">
        <f>IF(AND('领用录入（明细）'!D:D=$F$4,'领用录入（明细）'!C:C&gt;=$J$4,'领用录入（明细）'!C:C&lt;=$L$4),ROW(),"-")</f>
        <v>-</v>
      </c>
    </row>
    <row r="3993" customHeight="1" spans="2:2">
      <c r="B3993" s="62" t="str">
        <f>IF(AND('领用录入（明细）'!D:D=$F$4,'领用录入（明细）'!C:C&gt;=$J$4,'领用录入（明细）'!C:C&lt;=$L$4),ROW(),"-")</f>
        <v>-</v>
      </c>
    </row>
    <row r="3994" customHeight="1" spans="2:2">
      <c r="B3994" s="62" t="str">
        <f>IF(AND('领用录入（明细）'!D:D=$F$4,'领用录入（明细）'!C:C&gt;=$J$4,'领用录入（明细）'!C:C&lt;=$L$4),ROW(),"-")</f>
        <v>-</v>
      </c>
    </row>
    <row r="3995" customHeight="1" spans="2:2">
      <c r="B3995" s="62" t="str">
        <f>IF(AND('领用录入（明细）'!D:D=$F$4,'领用录入（明细）'!C:C&gt;=$J$4,'领用录入（明细）'!C:C&lt;=$L$4),ROW(),"-")</f>
        <v>-</v>
      </c>
    </row>
    <row r="3996" customHeight="1" spans="2:2">
      <c r="B3996" s="62" t="str">
        <f>IF(AND('领用录入（明细）'!D:D=$F$4,'领用录入（明细）'!C:C&gt;=$J$4,'领用录入（明细）'!C:C&lt;=$L$4),ROW(),"-")</f>
        <v>-</v>
      </c>
    </row>
    <row r="3997" customHeight="1" spans="2:2">
      <c r="B3997" s="62" t="str">
        <f>IF(AND('领用录入（明细）'!D:D=$F$4,'领用录入（明细）'!C:C&gt;=$J$4,'领用录入（明细）'!C:C&lt;=$L$4),ROW(),"-")</f>
        <v>-</v>
      </c>
    </row>
    <row r="3998" customHeight="1" spans="2:2">
      <c r="B3998" s="62" t="str">
        <f>IF(AND('领用录入（明细）'!D:D=$F$4,'领用录入（明细）'!C:C&gt;=$J$4,'领用录入（明细）'!C:C&lt;=$L$4),ROW(),"-")</f>
        <v>-</v>
      </c>
    </row>
    <row r="3999" customHeight="1" spans="2:2">
      <c r="B3999" s="62" t="str">
        <f>IF(AND('领用录入（明细）'!D:D=$F$4,'领用录入（明细）'!C:C&gt;=$J$4,'领用录入（明细）'!C:C&lt;=$L$4),ROW(),"-")</f>
        <v>-</v>
      </c>
    </row>
    <row r="4000" customHeight="1" spans="2:2">
      <c r="B4000" s="62" t="str">
        <f>IF(AND('领用录入（明细）'!D:D=$F$4,'领用录入（明细）'!C:C&gt;=$J$4,'领用录入（明细）'!C:C&lt;=$L$4),ROW(),"-")</f>
        <v>-</v>
      </c>
    </row>
    <row r="4001" customHeight="1" spans="2:2">
      <c r="B4001" s="62" t="str">
        <f>IF(AND('领用录入（明细）'!D:D=$F$4,'领用录入（明细）'!C:C&gt;=$J$4,'领用录入（明细）'!C:C&lt;=$L$4),ROW(),"-")</f>
        <v>-</v>
      </c>
    </row>
    <row r="4002" customHeight="1" spans="2:2">
      <c r="B4002" s="62" t="str">
        <f>IF(AND('领用录入（明细）'!D:D=$F$4,'领用录入（明细）'!C:C&gt;=$J$4,'领用录入（明细）'!C:C&lt;=$L$4),ROW(),"-")</f>
        <v>-</v>
      </c>
    </row>
    <row r="4003" customHeight="1" spans="2:2">
      <c r="B4003" s="62" t="str">
        <f>IF(AND('领用录入（明细）'!D:D=$F$4,'领用录入（明细）'!C:C&gt;=$J$4,'领用录入（明细）'!C:C&lt;=$L$4),ROW(),"-")</f>
        <v>-</v>
      </c>
    </row>
    <row r="4004" customHeight="1" spans="2:2">
      <c r="B4004" s="62" t="str">
        <f>IF(AND('领用录入（明细）'!D:D=$F$4,'领用录入（明细）'!C:C&gt;=$J$4,'领用录入（明细）'!C:C&lt;=$L$4),ROW(),"-")</f>
        <v>-</v>
      </c>
    </row>
    <row r="4005" customHeight="1" spans="2:2">
      <c r="B4005" s="62" t="str">
        <f>IF(AND('领用录入（明细）'!D:D=$F$4,'领用录入（明细）'!C:C&gt;=$J$4,'领用录入（明细）'!C:C&lt;=$L$4),ROW(),"-")</f>
        <v>-</v>
      </c>
    </row>
    <row r="4006" customHeight="1" spans="2:2">
      <c r="B4006" s="62" t="str">
        <f>IF(AND('领用录入（明细）'!D:D=$F$4,'领用录入（明细）'!C:C&gt;=$J$4,'领用录入（明细）'!C:C&lt;=$L$4),ROW(),"-")</f>
        <v>-</v>
      </c>
    </row>
    <row r="4007" customHeight="1" spans="2:2">
      <c r="B4007" s="62" t="str">
        <f>IF(AND('领用录入（明细）'!D:D=$F$4,'领用录入（明细）'!C:C&gt;=$J$4,'领用录入（明细）'!C:C&lt;=$L$4),ROW(),"-")</f>
        <v>-</v>
      </c>
    </row>
    <row r="4008" customHeight="1" spans="2:2">
      <c r="B4008" s="62" t="str">
        <f>IF(AND('领用录入（明细）'!D:D=$F$4,'领用录入（明细）'!C:C&gt;=$J$4,'领用录入（明细）'!C:C&lt;=$L$4),ROW(),"-")</f>
        <v>-</v>
      </c>
    </row>
    <row r="4009" customHeight="1" spans="2:2">
      <c r="B4009" s="62" t="str">
        <f>IF(AND('领用录入（明细）'!D:D=$F$4,'领用录入（明细）'!C:C&gt;=$J$4,'领用录入（明细）'!C:C&lt;=$L$4),ROW(),"-")</f>
        <v>-</v>
      </c>
    </row>
    <row r="4010" customHeight="1" spans="2:2">
      <c r="B4010" s="62" t="str">
        <f>IF(AND('领用录入（明细）'!D:D=$F$4,'领用录入（明细）'!C:C&gt;=$J$4,'领用录入（明细）'!C:C&lt;=$L$4),ROW(),"-")</f>
        <v>-</v>
      </c>
    </row>
    <row r="4011" customHeight="1" spans="2:2">
      <c r="B4011" s="62" t="str">
        <f>IF(AND('领用录入（明细）'!D:D=$F$4,'领用录入（明细）'!C:C&gt;=$J$4,'领用录入（明细）'!C:C&lt;=$L$4),ROW(),"-")</f>
        <v>-</v>
      </c>
    </row>
    <row r="4012" customHeight="1" spans="2:2">
      <c r="B4012" s="62" t="str">
        <f>IF(AND('领用录入（明细）'!D:D=$F$4,'领用录入（明细）'!C:C&gt;=$J$4,'领用录入（明细）'!C:C&lt;=$L$4),ROW(),"-")</f>
        <v>-</v>
      </c>
    </row>
    <row r="4013" customHeight="1" spans="2:2">
      <c r="B4013" s="62" t="str">
        <f>IF(AND('领用录入（明细）'!D:D=$F$4,'领用录入（明细）'!C:C&gt;=$J$4,'领用录入（明细）'!C:C&lt;=$L$4),ROW(),"-")</f>
        <v>-</v>
      </c>
    </row>
    <row r="4014" customHeight="1" spans="2:2">
      <c r="B4014" s="62" t="str">
        <f>IF(AND('领用录入（明细）'!D:D=$F$4,'领用录入（明细）'!C:C&gt;=$J$4,'领用录入（明细）'!C:C&lt;=$L$4),ROW(),"-")</f>
        <v>-</v>
      </c>
    </row>
    <row r="4015" customHeight="1" spans="2:2">
      <c r="B4015" s="62" t="str">
        <f>IF(AND('领用录入（明细）'!D:D=$F$4,'领用录入（明细）'!C:C&gt;=$J$4,'领用录入（明细）'!C:C&lt;=$L$4),ROW(),"-")</f>
        <v>-</v>
      </c>
    </row>
    <row r="4016" customHeight="1" spans="2:2">
      <c r="B4016" s="62" t="str">
        <f>IF(AND('领用录入（明细）'!D:D=$F$4,'领用录入（明细）'!C:C&gt;=$J$4,'领用录入（明细）'!C:C&lt;=$L$4),ROW(),"-")</f>
        <v>-</v>
      </c>
    </row>
    <row r="4017" customHeight="1" spans="2:2">
      <c r="B4017" s="62" t="str">
        <f>IF(AND('领用录入（明细）'!D:D=$F$4,'领用录入（明细）'!C:C&gt;=$J$4,'领用录入（明细）'!C:C&lt;=$L$4),ROW(),"-")</f>
        <v>-</v>
      </c>
    </row>
    <row r="4018" customHeight="1" spans="2:2">
      <c r="B4018" s="62" t="str">
        <f>IF(AND('领用录入（明细）'!D:D=$F$4,'领用录入（明细）'!C:C&gt;=$J$4,'领用录入（明细）'!C:C&lt;=$L$4),ROW(),"-")</f>
        <v>-</v>
      </c>
    </row>
    <row r="4019" customHeight="1" spans="2:2">
      <c r="B4019" s="62" t="str">
        <f>IF(AND('领用录入（明细）'!D:D=$F$4,'领用录入（明细）'!C:C&gt;=$J$4,'领用录入（明细）'!C:C&lt;=$L$4),ROW(),"-")</f>
        <v>-</v>
      </c>
    </row>
    <row r="4020" customHeight="1" spans="2:2">
      <c r="B4020" s="62" t="str">
        <f>IF(AND('领用录入（明细）'!D:D=$F$4,'领用录入（明细）'!C:C&gt;=$J$4,'领用录入（明细）'!C:C&lt;=$L$4),ROW(),"-")</f>
        <v>-</v>
      </c>
    </row>
    <row r="4021" customHeight="1" spans="2:2">
      <c r="B4021" s="62" t="str">
        <f>IF(AND('领用录入（明细）'!D:D=$F$4,'领用录入（明细）'!C:C&gt;=$J$4,'领用录入（明细）'!C:C&lt;=$L$4),ROW(),"-")</f>
        <v>-</v>
      </c>
    </row>
    <row r="4022" customHeight="1" spans="2:2">
      <c r="B4022" s="62" t="str">
        <f>IF(AND('领用录入（明细）'!D:D=$F$4,'领用录入（明细）'!C:C&gt;=$J$4,'领用录入（明细）'!C:C&lt;=$L$4),ROW(),"-")</f>
        <v>-</v>
      </c>
    </row>
    <row r="4023" customHeight="1" spans="2:2">
      <c r="B4023" s="62" t="str">
        <f>IF(AND('领用录入（明细）'!D:D=$F$4,'领用录入（明细）'!C:C&gt;=$J$4,'领用录入（明细）'!C:C&lt;=$L$4),ROW(),"-")</f>
        <v>-</v>
      </c>
    </row>
    <row r="4024" customHeight="1" spans="2:2">
      <c r="B4024" s="62" t="str">
        <f>IF(AND('领用录入（明细）'!D:D=$F$4,'领用录入（明细）'!C:C&gt;=$J$4,'领用录入（明细）'!C:C&lt;=$L$4),ROW(),"-")</f>
        <v>-</v>
      </c>
    </row>
    <row r="4025" customHeight="1" spans="2:2">
      <c r="B4025" s="62" t="str">
        <f>IF(AND('领用录入（明细）'!D:D=$F$4,'领用录入（明细）'!C:C&gt;=$J$4,'领用录入（明细）'!C:C&lt;=$L$4),ROW(),"-")</f>
        <v>-</v>
      </c>
    </row>
    <row r="4026" customHeight="1" spans="2:2">
      <c r="B4026" s="62" t="str">
        <f>IF(AND('领用录入（明细）'!D:D=$F$4,'领用录入（明细）'!C:C&gt;=$J$4,'领用录入（明细）'!C:C&lt;=$L$4),ROW(),"-")</f>
        <v>-</v>
      </c>
    </row>
    <row r="4027" customHeight="1" spans="2:2">
      <c r="B4027" s="62" t="str">
        <f>IF(AND('领用录入（明细）'!D:D=$F$4,'领用录入（明细）'!C:C&gt;=$J$4,'领用录入（明细）'!C:C&lt;=$L$4),ROW(),"-")</f>
        <v>-</v>
      </c>
    </row>
    <row r="4028" customHeight="1" spans="2:2">
      <c r="B4028" s="62" t="str">
        <f>IF(AND('领用录入（明细）'!D:D=$F$4,'领用录入（明细）'!C:C&gt;=$J$4,'领用录入（明细）'!C:C&lt;=$L$4),ROW(),"-")</f>
        <v>-</v>
      </c>
    </row>
    <row r="4029" customHeight="1" spans="2:2">
      <c r="B4029" s="62" t="str">
        <f>IF(AND('领用录入（明细）'!D:D=$F$4,'领用录入（明细）'!C:C&gt;=$J$4,'领用录入（明细）'!C:C&lt;=$L$4),ROW(),"-")</f>
        <v>-</v>
      </c>
    </row>
    <row r="4030" customHeight="1" spans="2:2">
      <c r="B4030" s="62" t="str">
        <f>IF(AND('领用录入（明细）'!D:D=$F$4,'领用录入（明细）'!C:C&gt;=$J$4,'领用录入（明细）'!C:C&lt;=$L$4),ROW(),"-")</f>
        <v>-</v>
      </c>
    </row>
    <row r="4031" customHeight="1" spans="2:2">
      <c r="B4031" s="62" t="str">
        <f>IF(AND('领用录入（明细）'!D:D=$F$4,'领用录入（明细）'!C:C&gt;=$J$4,'领用录入（明细）'!C:C&lt;=$L$4),ROW(),"-")</f>
        <v>-</v>
      </c>
    </row>
    <row r="4032" customHeight="1" spans="2:2">
      <c r="B4032" s="62" t="str">
        <f>IF(AND('领用录入（明细）'!D:D=$F$4,'领用录入（明细）'!C:C&gt;=$J$4,'领用录入（明细）'!C:C&lt;=$L$4),ROW(),"-")</f>
        <v>-</v>
      </c>
    </row>
    <row r="4033" customHeight="1" spans="2:2">
      <c r="B4033" s="62" t="str">
        <f>IF(AND('领用录入（明细）'!D:D=$F$4,'领用录入（明细）'!C:C&gt;=$J$4,'领用录入（明细）'!C:C&lt;=$L$4),ROW(),"-")</f>
        <v>-</v>
      </c>
    </row>
    <row r="4034" customHeight="1" spans="2:2">
      <c r="B4034" s="62" t="str">
        <f>IF(AND('领用录入（明细）'!D:D=$F$4,'领用录入（明细）'!C:C&gt;=$J$4,'领用录入（明细）'!C:C&lt;=$L$4),ROW(),"-")</f>
        <v>-</v>
      </c>
    </row>
    <row r="4035" customHeight="1" spans="2:2">
      <c r="B4035" s="62" t="str">
        <f>IF(AND('领用录入（明细）'!D:D=$F$4,'领用录入（明细）'!C:C&gt;=$J$4,'领用录入（明细）'!C:C&lt;=$L$4),ROW(),"-")</f>
        <v>-</v>
      </c>
    </row>
    <row r="4036" customHeight="1" spans="2:2">
      <c r="B4036" s="62" t="str">
        <f>IF(AND('领用录入（明细）'!D:D=$F$4,'领用录入（明细）'!C:C&gt;=$J$4,'领用录入（明细）'!C:C&lt;=$L$4),ROW(),"-")</f>
        <v>-</v>
      </c>
    </row>
    <row r="4037" customHeight="1" spans="2:2">
      <c r="B4037" s="62" t="str">
        <f>IF(AND('领用录入（明细）'!D:D=$F$4,'领用录入（明细）'!C:C&gt;=$J$4,'领用录入（明细）'!C:C&lt;=$L$4),ROW(),"-")</f>
        <v>-</v>
      </c>
    </row>
    <row r="4038" customHeight="1" spans="2:2">
      <c r="B4038" s="62" t="str">
        <f>IF(AND('领用录入（明细）'!D:D=$F$4,'领用录入（明细）'!C:C&gt;=$J$4,'领用录入（明细）'!C:C&lt;=$L$4),ROW(),"-")</f>
        <v>-</v>
      </c>
    </row>
    <row r="4039" customHeight="1" spans="2:2">
      <c r="B4039" s="62" t="str">
        <f>IF(AND('领用录入（明细）'!D:D=$F$4,'领用录入（明细）'!C:C&gt;=$J$4,'领用录入（明细）'!C:C&lt;=$L$4),ROW(),"-")</f>
        <v>-</v>
      </c>
    </row>
    <row r="4040" customHeight="1" spans="2:2">
      <c r="B4040" s="62" t="str">
        <f>IF(AND('领用录入（明细）'!D:D=$F$4,'领用录入（明细）'!C:C&gt;=$J$4,'领用录入（明细）'!C:C&lt;=$L$4),ROW(),"-")</f>
        <v>-</v>
      </c>
    </row>
    <row r="4041" customHeight="1" spans="2:2">
      <c r="B4041" s="62" t="str">
        <f>IF(AND('领用录入（明细）'!D:D=$F$4,'领用录入（明细）'!C:C&gt;=$J$4,'领用录入（明细）'!C:C&lt;=$L$4),ROW(),"-")</f>
        <v>-</v>
      </c>
    </row>
    <row r="4042" customHeight="1" spans="2:2">
      <c r="B4042" s="62" t="str">
        <f>IF(AND('领用录入（明细）'!D:D=$F$4,'领用录入（明细）'!C:C&gt;=$J$4,'领用录入（明细）'!C:C&lt;=$L$4),ROW(),"-")</f>
        <v>-</v>
      </c>
    </row>
    <row r="4043" customHeight="1" spans="2:2">
      <c r="B4043" s="62" t="str">
        <f>IF(AND('领用录入（明细）'!D:D=$F$4,'领用录入（明细）'!C:C&gt;=$J$4,'领用录入（明细）'!C:C&lt;=$L$4),ROW(),"-")</f>
        <v>-</v>
      </c>
    </row>
    <row r="4044" customHeight="1" spans="2:2">
      <c r="B4044" s="62" t="str">
        <f>IF(AND('领用录入（明细）'!D:D=$F$4,'领用录入（明细）'!C:C&gt;=$J$4,'领用录入（明细）'!C:C&lt;=$L$4),ROW(),"-")</f>
        <v>-</v>
      </c>
    </row>
    <row r="4045" customHeight="1" spans="2:2">
      <c r="B4045" s="62" t="str">
        <f>IF(AND('领用录入（明细）'!D:D=$F$4,'领用录入（明细）'!C:C&gt;=$J$4,'领用录入（明细）'!C:C&lt;=$L$4),ROW(),"-")</f>
        <v>-</v>
      </c>
    </row>
    <row r="4046" customHeight="1" spans="2:2">
      <c r="B4046" s="62" t="str">
        <f>IF(AND('领用录入（明细）'!D:D=$F$4,'领用录入（明细）'!C:C&gt;=$J$4,'领用录入（明细）'!C:C&lt;=$L$4),ROW(),"-")</f>
        <v>-</v>
      </c>
    </row>
    <row r="4047" customHeight="1" spans="2:2">
      <c r="B4047" s="62" t="str">
        <f>IF(AND('领用录入（明细）'!D:D=$F$4,'领用录入（明细）'!C:C&gt;=$J$4,'领用录入（明细）'!C:C&lt;=$L$4),ROW(),"-")</f>
        <v>-</v>
      </c>
    </row>
    <row r="4048" customHeight="1" spans="2:2">
      <c r="B4048" s="62" t="str">
        <f>IF(AND('领用录入（明细）'!D:D=$F$4,'领用录入（明细）'!C:C&gt;=$J$4,'领用录入（明细）'!C:C&lt;=$L$4),ROW(),"-")</f>
        <v>-</v>
      </c>
    </row>
    <row r="4049" customHeight="1" spans="2:2">
      <c r="B4049" s="62" t="str">
        <f>IF(AND('领用录入（明细）'!D:D=$F$4,'领用录入（明细）'!C:C&gt;=$J$4,'领用录入（明细）'!C:C&lt;=$L$4),ROW(),"-")</f>
        <v>-</v>
      </c>
    </row>
    <row r="4050" customHeight="1" spans="2:2">
      <c r="B4050" s="62" t="str">
        <f>IF(AND('领用录入（明细）'!D:D=$F$4,'领用录入（明细）'!C:C&gt;=$J$4,'领用录入（明细）'!C:C&lt;=$L$4),ROW(),"-")</f>
        <v>-</v>
      </c>
    </row>
    <row r="4051" customHeight="1" spans="2:2">
      <c r="B4051" s="62" t="str">
        <f>IF(AND('领用录入（明细）'!D:D=$F$4,'领用录入（明细）'!C:C&gt;=$J$4,'领用录入（明细）'!C:C&lt;=$L$4),ROW(),"-")</f>
        <v>-</v>
      </c>
    </row>
    <row r="4052" customHeight="1" spans="2:2">
      <c r="B4052" s="62" t="str">
        <f>IF(AND('领用录入（明细）'!D:D=$F$4,'领用录入（明细）'!C:C&gt;=$J$4,'领用录入（明细）'!C:C&lt;=$L$4),ROW(),"-")</f>
        <v>-</v>
      </c>
    </row>
    <row r="4053" customHeight="1" spans="2:2">
      <c r="B4053" s="62" t="str">
        <f>IF(AND('领用录入（明细）'!D:D=$F$4,'领用录入（明细）'!C:C&gt;=$J$4,'领用录入（明细）'!C:C&lt;=$L$4),ROW(),"-")</f>
        <v>-</v>
      </c>
    </row>
    <row r="4054" customHeight="1" spans="2:2">
      <c r="B4054" s="62" t="str">
        <f>IF(AND('领用录入（明细）'!D:D=$F$4,'领用录入（明细）'!C:C&gt;=$J$4,'领用录入（明细）'!C:C&lt;=$L$4),ROW(),"-")</f>
        <v>-</v>
      </c>
    </row>
    <row r="4055" customHeight="1" spans="2:2">
      <c r="B4055" s="62" t="str">
        <f>IF(AND('领用录入（明细）'!D:D=$F$4,'领用录入（明细）'!C:C&gt;=$J$4,'领用录入（明细）'!C:C&lt;=$L$4),ROW(),"-")</f>
        <v>-</v>
      </c>
    </row>
    <row r="4056" customHeight="1" spans="2:2">
      <c r="B4056" s="62" t="str">
        <f>IF(AND('领用录入（明细）'!D:D=$F$4,'领用录入（明细）'!C:C&gt;=$J$4,'领用录入（明细）'!C:C&lt;=$L$4),ROW(),"-")</f>
        <v>-</v>
      </c>
    </row>
    <row r="4057" customHeight="1" spans="2:2">
      <c r="B4057" s="62" t="str">
        <f>IF(AND('领用录入（明细）'!D:D=$F$4,'领用录入（明细）'!C:C&gt;=$J$4,'领用录入（明细）'!C:C&lt;=$L$4),ROW(),"-")</f>
        <v>-</v>
      </c>
    </row>
    <row r="4058" customHeight="1" spans="2:2">
      <c r="B4058" s="62" t="str">
        <f>IF(AND('领用录入（明细）'!D:D=$F$4,'领用录入（明细）'!C:C&gt;=$J$4,'领用录入（明细）'!C:C&lt;=$L$4),ROW(),"-")</f>
        <v>-</v>
      </c>
    </row>
    <row r="4059" customHeight="1" spans="2:2">
      <c r="B4059" s="62" t="str">
        <f>IF(AND('领用录入（明细）'!D:D=$F$4,'领用录入（明细）'!C:C&gt;=$J$4,'领用录入（明细）'!C:C&lt;=$L$4),ROW(),"-")</f>
        <v>-</v>
      </c>
    </row>
    <row r="4060" customHeight="1" spans="2:2">
      <c r="B4060" s="62" t="str">
        <f>IF(AND('领用录入（明细）'!D:D=$F$4,'领用录入（明细）'!C:C&gt;=$J$4,'领用录入（明细）'!C:C&lt;=$L$4),ROW(),"-")</f>
        <v>-</v>
      </c>
    </row>
    <row r="4061" customHeight="1" spans="2:2">
      <c r="B4061" s="62" t="str">
        <f>IF(AND('领用录入（明细）'!D:D=$F$4,'领用录入（明细）'!C:C&gt;=$J$4,'领用录入（明细）'!C:C&lt;=$L$4),ROW(),"-")</f>
        <v>-</v>
      </c>
    </row>
    <row r="4062" customHeight="1" spans="2:2">
      <c r="B4062" s="62" t="str">
        <f>IF(AND('领用录入（明细）'!D:D=$F$4,'领用录入（明细）'!C:C&gt;=$J$4,'领用录入（明细）'!C:C&lt;=$L$4),ROW(),"-")</f>
        <v>-</v>
      </c>
    </row>
    <row r="4063" customHeight="1" spans="2:2">
      <c r="B4063" s="62" t="str">
        <f>IF(AND('领用录入（明细）'!D:D=$F$4,'领用录入（明细）'!C:C&gt;=$J$4,'领用录入（明细）'!C:C&lt;=$L$4),ROW(),"-")</f>
        <v>-</v>
      </c>
    </row>
    <row r="4064" customHeight="1" spans="2:2">
      <c r="B4064" s="62" t="str">
        <f>IF(AND('领用录入（明细）'!D:D=$F$4,'领用录入（明细）'!C:C&gt;=$J$4,'领用录入（明细）'!C:C&lt;=$L$4),ROW(),"-")</f>
        <v>-</v>
      </c>
    </row>
    <row r="4065" customHeight="1" spans="2:2">
      <c r="B4065" s="62" t="str">
        <f>IF(AND('领用录入（明细）'!D:D=$F$4,'领用录入（明细）'!C:C&gt;=$J$4,'领用录入（明细）'!C:C&lt;=$L$4),ROW(),"-")</f>
        <v>-</v>
      </c>
    </row>
    <row r="4066" customHeight="1" spans="2:2">
      <c r="B4066" s="62" t="str">
        <f>IF(AND('领用录入（明细）'!D:D=$F$4,'领用录入（明细）'!C:C&gt;=$J$4,'领用录入（明细）'!C:C&lt;=$L$4),ROW(),"-")</f>
        <v>-</v>
      </c>
    </row>
    <row r="4067" customHeight="1" spans="2:2">
      <c r="B4067" s="62" t="str">
        <f>IF(AND('领用录入（明细）'!D:D=$F$4,'领用录入（明细）'!C:C&gt;=$J$4,'领用录入（明细）'!C:C&lt;=$L$4),ROW(),"-")</f>
        <v>-</v>
      </c>
    </row>
    <row r="4068" customHeight="1" spans="2:2">
      <c r="B4068" s="62" t="str">
        <f>IF(AND('领用录入（明细）'!D:D=$F$4,'领用录入（明细）'!C:C&gt;=$J$4,'领用录入（明细）'!C:C&lt;=$L$4),ROW(),"-")</f>
        <v>-</v>
      </c>
    </row>
    <row r="4069" customHeight="1" spans="2:2">
      <c r="B4069" s="62" t="str">
        <f>IF(AND('领用录入（明细）'!D:D=$F$4,'领用录入（明细）'!C:C&gt;=$J$4,'领用录入（明细）'!C:C&lt;=$L$4),ROW(),"-")</f>
        <v>-</v>
      </c>
    </row>
    <row r="4070" customHeight="1" spans="2:2">
      <c r="B4070" s="62" t="str">
        <f>IF(AND('领用录入（明细）'!D:D=$F$4,'领用录入（明细）'!C:C&gt;=$J$4,'领用录入（明细）'!C:C&lt;=$L$4),ROW(),"-")</f>
        <v>-</v>
      </c>
    </row>
    <row r="4071" customHeight="1" spans="2:2">
      <c r="B4071" s="62" t="str">
        <f>IF(AND('领用录入（明细）'!D:D=$F$4,'领用录入（明细）'!C:C&gt;=$J$4,'领用录入（明细）'!C:C&lt;=$L$4),ROW(),"-")</f>
        <v>-</v>
      </c>
    </row>
    <row r="4072" customHeight="1" spans="2:2">
      <c r="B4072" s="62" t="str">
        <f>IF(AND('领用录入（明细）'!D:D=$F$4,'领用录入（明细）'!C:C&gt;=$J$4,'领用录入（明细）'!C:C&lt;=$L$4),ROW(),"-")</f>
        <v>-</v>
      </c>
    </row>
    <row r="4073" customHeight="1" spans="2:2">
      <c r="B4073" s="62" t="str">
        <f>IF(AND('领用录入（明细）'!D:D=$F$4,'领用录入（明细）'!C:C&gt;=$J$4,'领用录入（明细）'!C:C&lt;=$L$4),ROW(),"-")</f>
        <v>-</v>
      </c>
    </row>
    <row r="4074" customHeight="1" spans="2:2">
      <c r="B4074" s="62" t="str">
        <f>IF(AND('领用录入（明细）'!D:D=$F$4,'领用录入（明细）'!C:C&gt;=$J$4,'领用录入（明细）'!C:C&lt;=$L$4),ROW(),"-")</f>
        <v>-</v>
      </c>
    </row>
    <row r="4075" customHeight="1" spans="2:2">
      <c r="B4075" s="62" t="str">
        <f>IF(AND('领用录入（明细）'!D:D=$F$4,'领用录入（明细）'!C:C&gt;=$J$4,'领用录入（明细）'!C:C&lt;=$L$4),ROW(),"-")</f>
        <v>-</v>
      </c>
    </row>
    <row r="4076" customHeight="1" spans="2:2">
      <c r="B4076" s="62" t="str">
        <f>IF(AND('领用录入（明细）'!D:D=$F$4,'领用录入（明细）'!C:C&gt;=$J$4,'领用录入（明细）'!C:C&lt;=$L$4),ROW(),"-")</f>
        <v>-</v>
      </c>
    </row>
    <row r="4077" customHeight="1" spans="2:2">
      <c r="B4077" s="62" t="str">
        <f>IF(AND('领用录入（明细）'!D:D=$F$4,'领用录入（明细）'!C:C&gt;=$J$4,'领用录入（明细）'!C:C&lt;=$L$4),ROW(),"-")</f>
        <v>-</v>
      </c>
    </row>
    <row r="4078" customHeight="1" spans="2:2">
      <c r="B4078" s="62" t="str">
        <f>IF(AND('领用录入（明细）'!D:D=$F$4,'领用录入（明细）'!C:C&gt;=$J$4,'领用录入（明细）'!C:C&lt;=$L$4),ROW(),"-")</f>
        <v>-</v>
      </c>
    </row>
    <row r="4079" customHeight="1" spans="2:2">
      <c r="B4079" s="62" t="str">
        <f>IF(AND('领用录入（明细）'!D:D=$F$4,'领用录入（明细）'!C:C&gt;=$J$4,'领用录入（明细）'!C:C&lt;=$L$4),ROW(),"-")</f>
        <v>-</v>
      </c>
    </row>
    <row r="4080" customHeight="1" spans="2:2">
      <c r="B4080" s="62" t="str">
        <f>IF(AND('领用录入（明细）'!D:D=$F$4,'领用录入（明细）'!C:C&gt;=$J$4,'领用录入（明细）'!C:C&lt;=$L$4),ROW(),"-")</f>
        <v>-</v>
      </c>
    </row>
    <row r="4081" customHeight="1" spans="2:2">
      <c r="B4081" s="62" t="str">
        <f>IF(AND('领用录入（明细）'!D:D=$F$4,'领用录入（明细）'!C:C&gt;=$J$4,'领用录入（明细）'!C:C&lt;=$L$4),ROW(),"-")</f>
        <v>-</v>
      </c>
    </row>
    <row r="4082" customHeight="1" spans="2:2">
      <c r="B4082" s="62" t="str">
        <f>IF(AND('领用录入（明细）'!D:D=$F$4,'领用录入（明细）'!C:C&gt;=$J$4,'领用录入（明细）'!C:C&lt;=$L$4),ROW(),"-")</f>
        <v>-</v>
      </c>
    </row>
    <row r="4083" customHeight="1" spans="2:2">
      <c r="B4083" s="62" t="str">
        <f>IF(AND('领用录入（明细）'!D:D=$F$4,'领用录入（明细）'!C:C&gt;=$J$4,'领用录入（明细）'!C:C&lt;=$L$4),ROW(),"-")</f>
        <v>-</v>
      </c>
    </row>
    <row r="4084" customHeight="1" spans="2:2">
      <c r="B4084" s="62" t="str">
        <f>IF(AND('领用录入（明细）'!D:D=$F$4,'领用录入（明细）'!C:C&gt;=$J$4,'领用录入（明细）'!C:C&lt;=$L$4),ROW(),"-")</f>
        <v>-</v>
      </c>
    </row>
    <row r="4085" customHeight="1" spans="2:2">
      <c r="B4085" s="62" t="str">
        <f>IF(AND('领用录入（明细）'!D:D=$F$4,'领用录入（明细）'!C:C&gt;=$J$4,'领用录入（明细）'!C:C&lt;=$L$4),ROW(),"-")</f>
        <v>-</v>
      </c>
    </row>
    <row r="4086" customHeight="1" spans="2:2">
      <c r="B4086" s="62" t="str">
        <f>IF(AND('领用录入（明细）'!D:D=$F$4,'领用录入（明细）'!C:C&gt;=$J$4,'领用录入（明细）'!C:C&lt;=$L$4),ROW(),"-")</f>
        <v>-</v>
      </c>
    </row>
    <row r="4087" customHeight="1" spans="2:2">
      <c r="B4087" s="62" t="str">
        <f>IF(AND('领用录入（明细）'!D:D=$F$4,'领用录入（明细）'!C:C&gt;=$J$4,'领用录入（明细）'!C:C&lt;=$L$4),ROW(),"-")</f>
        <v>-</v>
      </c>
    </row>
    <row r="4088" customHeight="1" spans="2:2">
      <c r="B4088" s="62" t="str">
        <f>IF(AND('领用录入（明细）'!D:D=$F$4,'领用录入（明细）'!C:C&gt;=$J$4,'领用录入（明细）'!C:C&lt;=$L$4),ROW(),"-")</f>
        <v>-</v>
      </c>
    </row>
    <row r="4089" customHeight="1" spans="2:2">
      <c r="B4089" s="62" t="str">
        <f>IF(AND('领用录入（明细）'!D:D=$F$4,'领用录入（明细）'!C:C&gt;=$J$4,'领用录入（明细）'!C:C&lt;=$L$4),ROW(),"-")</f>
        <v>-</v>
      </c>
    </row>
    <row r="4090" customHeight="1" spans="2:2">
      <c r="B4090" s="62" t="str">
        <f>IF(AND('领用录入（明细）'!D:D=$F$4,'领用录入（明细）'!C:C&gt;=$J$4,'领用录入（明细）'!C:C&lt;=$L$4),ROW(),"-")</f>
        <v>-</v>
      </c>
    </row>
    <row r="4091" customHeight="1" spans="2:2">
      <c r="B4091" s="62" t="str">
        <f>IF(AND('领用录入（明细）'!D:D=$F$4,'领用录入（明细）'!C:C&gt;=$J$4,'领用录入（明细）'!C:C&lt;=$L$4),ROW(),"-")</f>
        <v>-</v>
      </c>
    </row>
    <row r="4092" customHeight="1" spans="2:2">
      <c r="B4092" s="62" t="str">
        <f>IF(AND('领用录入（明细）'!D:D=$F$4,'领用录入（明细）'!C:C&gt;=$J$4,'领用录入（明细）'!C:C&lt;=$L$4),ROW(),"-")</f>
        <v>-</v>
      </c>
    </row>
    <row r="4093" customHeight="1" spans="2:2">
      <c r="B4093" s="62" t="str">
        <f>IF(AND('领用录入（明细）'!D:D=$F$4,'领用录入（明细）'!C:C&gt;=$J$4,'领用录入（明细）'!C:C&lt;=$L$4),ROW(),"-")</f>
        <v>-</v>
      </c>
    </row>
    <row r="4094" customHeight="1" spans="2:2">
      <c r="B4094" s="62" t="str">
        <f>IF(AND('领用录入（明细）'!D:D=$F$4,'领用录入（明细）'!C:C&gt;=$J$4,'领用录入（明细）'!C:C&lt;=$L$4),ROW(),"-")</f>
        <v>-</v>
      </c>
    </row>
    <row r="4095" customHeight="1" spans="2:2">
      <c r="B4095" s="62" t="str">
        <f>IF(AND('领用录入（明细）'!D:D=$F$4,'领用录入（明细）'!C:C&gt;=$J$4,'领用录入（明细）'!C:C&lt;=$L$4),ROW(),"-")</f>
        <v>-</v>
      </c>
    </row>
    <row r="4096" customHeight="1" spans="2:2">
      <c r="B4096" s="62" t="str">
        <f>IF(AND('领用录入（明细）'!D:D=$F$4,'领用录入（明细）'!C:C&gt;=$J$4,'领用录入（明细）'!C:C&lt;=$L$4),ROW(),"-")</f>
        <v>-</v>
      </c>
    </row>
    <row r="4097" customHeight="1" spans="2:2">
      <c r="B4097" s="62" t="str">
        <f>IF(AND('领用录入（明细）'!D:D=$F$4,'领用录入（明细）'!C:C&gt;=$J$4,'领用录入（明细）'!C:C&lt;=$L$4),ROW(),"-")</f>
        <v>-</v>
      </c>
    </row>
    <row r="4098" customHeight="1" spans="2:2">
      <c r="B4098" s="62" t="str">
        <f>IF(AND('领用录入（明细）'!D:D=$F$4,'领用录入（明细）'!C:C&gt;=$J$4,'领用录入（明细）'!C:C&lt;=$L$4),ROW(),"-")</f>
        <v>-</v>
      </c>
    </row>
    <row r="4099" customHeight="1" spans="2:2">
      <c r="B4099" s="62" t="str">
        <f>IF(AND('领用录入（明细）'!D:D=$F$4,'领用录入（明细）'!C:C&gt;=$J$4,'领用录入（明细）'!C:C&lt;=$L$4),ROW(),"-")</f>
        <v>-</v>
      </c>
    </row>
    <row r="4100" customHeight="1" spans="2:2">
      <c r="B4100" s="62" t="str">
        <f>IF(AND('领用录入（明细）'!D:D=$F$4,'领用录入（明细）'!C:C&gt;=$J$4,'领用录入（明细）'!C:C&lt;=$L$4),ROW(),"-")</f>
        <v>-</v>
      </c>
    </row>
    <row r="4101" customHeight="1" spans="2:2">
      <c r="B4101" s="62" t="str">
        <f>IF(AND('领用录入（明细）'!D:D=$F$4,'领用录入（明细）'!C:C&gt;=$J$4,'领用录入（明细）'!C:C&lt;=$L$4),ROW(),"-")</f>
        <v>-</v>
      </c>
    </row>
    <row r="4102" customHeight="1" spans="2:2">
      <c r="B4102" s="62" t="str">
        <f>IF(AND('领用录入（明细）'!D:D=$F$4,'领用录入（明细）'!C:C&gt;=$J$4,'领用录入（明细）'!C:C&lt;=$L$4),ROW(),"-")</f>
        <v>-</v>
      </c>
    </row>
    <row r="4103" customHeight="1" spans="2:2">
      <c r="B4103" s="62" t="str">
        <f>IF(AND('领用录入（明细）'!D:D=$F$4,'领用录入（明细）'!C:C&gt;=$J$4,'领用录入（明细）'!C:C&lt;=$L$4),ROW(),"-")</f>
        <v>-</v>
      </c>
    </row>
    <row r="4104" customHeight="1" spans="2:2">
      <c r="B4104" s="62" t="str">
        <f>IF(AND('领用录入（明细）'!D:D=$F$4,'领用录入（明细）'!C:C&gt;=$J$4,'领用录入（明细）'!C:C&lt;=$L$4),ROW(),"-")</f>
        <v>-</v>
      </c>
    </row>
    <row r="4105" customHeight="1" spans="2:2">
      <c r="B4105" s="62" t="str">
        <f>IF(AND('领用录入（明细）'!D:D=$F$4,'领用录入（明细）'!C:C&gt;=$J$4,'领用录入（明细）'!C:C&lt;=$L$4),ROW(),"-")</f>
        <v>-</v>
      </c>
    </row>
    <row r="4106" customHeight="1" spans="2:2">
      <c r="B4106" s="62" t="str">
        <f>IF(AND('领用录入（明细）'!D:D=$F$4,'领用录入（明细）'!C:C&gt;=$J$4,'领用录入（明细）'!C:C&lt;=$L$4),ROW(),"-")</f>
        <v>-</v>
      </c>
    </row>
    <row r="4107" customHeight="1" spans="2:2">
      <c r="B4107" s="62" t="str">
        <f>IF(AND('领用录入（明细）'!D:D=$F$4,'领用录入（明细）'!C:C&gt;=$J$4,'领用录入（明细）'!C:C&lt;=$L$4),ROW(),"-")</f>
        <v>-</v>
      </c>
    </row>
    <row r="4108" customHeight="1" spans="2:2">
      <c r="B4108" s="62" t="str">
        <f>IF(AND('领用录入（明细）'!D:D=$F$4,'领用录入（明细）'!C:C&gt;=$J$4,'领用录入（明细）'!C:C&lt;=$L$4),ROW(),"-")</f>
        <v>-</v>
      </c>
    </row>
    <row r="4109" customHeight="1" spans="2:2">
      <c r="B4109" s="62" t="str">
        <f>IF(AND('领用录入（明细）'!D:D=$F$4,'领用录入（明细）'!C:C&gt;=$J$4,'领用录入（明细）'!C:C&lt;=$L$4),ROW(),"-")</f>
        <v>-</v>
      </c>
    </row>
    <row r="4110" customHeight="1" spans="2:2">
      <c r="B4110" s="62" t="str">
        <f>IF(AND('领用录入（明细）'!D:D=$F$4,'领用录入（明细）'!C:C&gt;=$J$4,'领用录入（明细）'!C:C&lt;=$L$4),ROW(),"-")</f>
        <v>-</v>
      </c>
    </row>
    <row r="4111" customHeight="1" spans="2:2">
      <c r="B4111" s="62" t="str">
        <f>IF(AND('领用录入（明细）'!D:D=$F$4,'领用录入（明细）'!C:C&gt;=$J$4,'领用录入（明细）'!C:C&lt;=$L$4),ROW(),"-")</f>
        <v>-</v>
      </c>
    </row>
    <row r="4112" customHeight="1" spans="2:2">
      <c r="B4112" s="62" t="str">
        <f>IF(AND('领用录入（明细）'!D:D=$F$4,'领用录入（明细）'!C:C&gt;=$J$4,'领用录入（明细）'!C:C&lt;=$L$4),ROW(),"-")</f>
        <v>-</v>
      </c>
    </row>
    <row r="4113" customHeight="1" spans="2:2">
      <c r="B4113" s="62" t="str">
        <f>IF(AND('领用录入（明细）'!D:D=$F$4,'领用录入（明细）'!C:C&gt;=$J$4,'领用录入（明细）'!C:C&lt;=$L$4),ROW(),"-")</f>
        <v>-</v>
      </c>
    </row>
    <row r="4114" customHeight="1" spans="2:2">
      <c r="B4114" s="62" t="str">
        <f>IF(AND('领用录入（明细）'!D:D=$F$4,'领用录入（明细）'!C:C&gt;=$J$4,'领用录入（明细）'!C:C&lt;=$L$4),ROW(),"-")</f>
        <v>-</v>
      </c>
    </row>
    <row r="4115" customHeight="1" spans="2:2">
      <c r="B4115" s="62" t="str">
        <f>IF(AND('领用录入（明细）'!D:D=$F$4,'领用录入（明细）'!C:C&gt;=$J$4,'领用录入（明细）'!C:C&lt;=$L$4),ROW(),"-")</f>
        <v>-</v>
      </c>
    </row>
    <row r="4116" customHeight="1" spans="2:2">
      <c r="B4116" s="62" t="str">
        <f>IF(AND('领用录入（明细）'!D:D=$F$4,'领用录入（明细）'!C:C&gt;=$J$4,'领用录入（明细）'!C:C&lt;=$L$4),ROW(),"-")</f>
        <v>-</v>
      </c>
    </row>
    <row r="4117" customHeight="1" spans="2:2">
      <c r="B4117" s="62" t="str">
        <f>IF(AND('领用录入（明细）'!D:D=$F$4,'领用录入（明细）'!C:C&gt;=$J$4,'领用录入（明细）'!C:C&lt;=$L$4),ROW(),"-")</f>
        <v>-</v>
      </c>
    </row>
    <row r="4118" customHeight="1" spans="2:2">
      <c r="B4118" s="62" t="str">
        <f>IF(AND('领用录入（明细）'!D:D=$F$4,'领用录入（明细）'!C:C&gt;=$J$4,'领用录入（明细）'!C:C&lt;=$L$4),ROW(),"-")</f>
        <v>-</v>
      </c>
    </row>
    <row r="4119" customHeight="1" spans="2:2">
      <c r="B4119" s="62" t="str">
        <f>IF(AND('领用录入（明细）'!D:D=$F$4,'领用录入（明细）'!C:C&gt;=$J$4,'领用录入（明细）'!C:C&lt;=$L$4),ROW(),"-")</f>
        <v>-</v>
      </c>
    </row>
    <row r="4120" customHeight="1" spans="2:2">
      <c r="B4120" s="62" t="str">
        <f>IF(AND('领用录入（明细）'!D:D=$F$4,'领用录入（明细）'!C:C&gt;=$J$4,'领用录入（明细）'!C:C&lt;=$L$4),ROW(),"-")</f>
        <v>-</v>
      </c>
    </row>
    <row r="4121" customHeight="1" spans="2:2">
      <c r="B4121" s="62" t="str">
        <f>IF(AND('领用录入（明细）'!D:D=$F$4,'领用录入（明细）'!C:C&gt;=$J$4,'领用录入（明细）'!C:C&lt;=$L$4),ROW(),"-")</f>
        <v>-</v>
      </c>
    </row>
    <row r="4122" customHeight="1" spans="2:2">
      <c r="B4122" s="62" t="str">
        <f>IF(AND('领用录入（明细）'!D:D=$F$4,'领用录入（明细）'!C:C&gt;=$J$4,'领用录入（明细）'!C:C&lt;=$L$4),ROW(),"-")</f>
        <v>-</v>
      </c>
    </row>
    <row r="4123" customHeight="1" spans="2:2">
      <c r="B4123" s="62" t="str">
        <f>IF(AND('领用录入（明细）'!D:D=$F$4,'领用录入（明细）'!C:C&gt;=$J$4,'领用录入（明细）'!C:C&lt;=$L$4),ROW(),"-")</f>
        <v>-</v>
      </c>
    </row>
    <row r="4124" customHeight="1" spans="2:2">
      <c r="B4124" s="62" t="str">
        <f>IF(AND('领用录入（明细）'!D:D=$F$4,'领用录入（明细）'!C:C&gt;=$J$4,'领用录入（明细）'!C:C&lt;=$L$4),ROW(),"-")</f>
        <v>-</v>
      </c>
    </row>
    <row r="4125" customHeight="1" spans="2:2">
      <c r="B4125" s="62" t="str">
        <f>IF(AND('领用录入（明细）'!D:D=$F$4,'领用录入（明细）'!C:C&gt;=$J$4,'领用录入（明细）'!C:C&lt;=$L$4),ROW(),"-")</f>
        <v>-</v>
      </c>
    </row>
    <row r="4126" customHeight="1" spans="2:2">
      <c r="B4126" s="62" t="str">
        <f>IF(AND('领用录入（明细）'!D:D=$F$4,'领用录入（明细）'!C:C&gt;=$J$4,'领用录入（明细）'!C:C&lt;=$L$4),ROW(),"-")</f>
        <v>-</v>
      </c>
    </row>
    <row r="4127" customHeight="1" spans="2:2">
      <c r="B4127" s="62" t="str">
        <f>IF(AND('领用录入（明细）'!D:D=$F$4,'领用录入（明细）'!C:C&gt;=$J$4,'领用录入（明细）'!C:C&lt;=$L$4),ROW(),"-")</f>
        <v>-</v>
      </c>
    </row>
    <row r="4128" customHeight="1" spans="2:2">
      <c r="B4128" s="62" t="str">
        <f>IF(AND('领用录入（明细）'!D:D=$F$4,'领用录入（明细）'!C:C&gt;=$J$4,'领用录入（明细）'!C:C&lt;=$L$4),ROW(),"-")</f>
        <v>-</v>
      </c>
    </row>
    <row r="4129" customHeight="1" spans="2:2">
      <c r="B4129" s="62" t="str">
        <f>IF(AND('领用录入（明细）'!D:D=$F$4,'领用录入（明细）'!C:C&gt;=$J$4,'领用录入（明细）'!C:C&lt;=$L$4),ROW(),"-")</f>
        <v>-</v>
      </c>
    </row>
    <row r="4130" customHeight="1" spans="2:2">
      <c r="B4130" s="62" t="str">
        <f>IF(AND('领用录入（明细）'!D:D=$F$4,'领用录入（明细）'!C:C&gt;=$J$4,'领用录入（明细）'!C:C&lt;=$L$4),ROW(),"-")</f>
        <v>-</v>
      </c>
    </row>
    <row r="4131" customHeight="1" spans="2:2">
      <c r="B4131" s="62" t="str">
        <f>IF(AND('领用录入（明细）'!D:D=$F$4,'领用录入（明细）'!C:C&gt;=$J$4,'领用录入（明细）'!C:C&lt;=$L$4),ROW(),"-")</f>
        <v>-</v>
      </c>
    </row>
    <row r="4132" customHeight="1" spans="2:2">
      <c r="B4132" s="62" t="str">
        <f>IF(AND('领用录入（明细）'!D:D=$F$4,'领用录入（明细）'!C:C&gt;=$J$4,'领用录入（明细）'!C:C&lt;=$L$4),ROW(),"-")</f>
        <v>-</v>
      </c>
    </row>
    <row r="4133" customHeight="1" spans="2:2">
      <c r="B4133" s="62" t="str">
        <f>IF(AND('领用录入（明细）'!D:D=$F$4,'领用录入（明细）'!C:C&gt;=$J$4,'领用录入（明细）'!C:C&lt;=$L$4),ROW(),"-")</f>
        <v>-</v>
      </c>
    </row>
    <row r="4134" customHeight="1" spans="2:2">
      <c r="B4134" s="62" t="str">
        <f>IF(AND('领用录入（明细）'!D:D=$F$4,'领用录入（明细）'!C:C&gt;=$J$4,'领用录入（明细）'!C:C&lt;=$L$4),ROW(),"-")</f>
        <v>-</v>
      </c>
    </row>
    <row r="4135" customHeight="1" spans="2:2">
      <c r="B4135" s="62" t="str">
        <f>IF(AND('领用录入（明细）'!D:D=$F$4,'领用录入（明细）'!C:C&gt;=$J$4,'领用录入（明细）'!C:C&lt;=$L$4),ROW(),"-")</f>
        <v>-</v>
      </c>
    </row>
    <row r="4136" customHeight="1" spans="2:2">
      <c r="B4136" s="62" t="str">
        <f>IF(AND('领用录入（明细）'!D:D=$F$4,'领用录入（明细）'!C:C&gt;=$J$4,'领用录入（明细）'!C:C&lt;=$L$4),ROW(),"-")</f>
        <v>-</v>
      </c>
    </row>
    <row r="4137" customHeight="1" spans="2:2">
      <c r="B4137" s="62" t="str">
        <f>IF(AND('领用录入（明细）'!D:D=$F$4,'领用录入（明细）'!C:C&gt;=$J$4,'领用录入（明细）'!C:C&lt;=$L$4),ROW(),"-")</f>
        <v>-</v>
      </c>
    </row>
    <row r="4138" customHeight="1" spans="2:2">
      <c r="B4138" s="62" t="str">
        <f>IF(AND('领用录入（明细）'!D:D=$F$4,'领用录入（明细）'!C:C&gt;=$J$4,'领用录入（明细）'!C:C&lt;=$L$4),ROW(),"-")</f>
        <v>-</v>
      </c>
    </row>
    <row r="4139" customHeight="1" spans="2:2">
      <c r="B4139" s="62" t="str">
        <f>IF(AND('领用录入（明细）'!D:D=$F$4,'领用录入（明细）'!C:C&gt;=$J$4,'领用录入（明细）'!C:C&lt;=$L$4),ROW(),"-")</f>
        <v>-</v>
      </c>
    </row>
    <row r="4140" customHeight="1" spans="2:2">
      <c r="B4140" s="62" t="str">
        <f>IF(AND('领用录入（明细）'!D:D=$F$4,'领用录入（明细）'!C:C&gt;=$J$4,'领用录入（明细）'!C:C&lt;=$L$4),ROW(),"-")</f>
        <v>-</v>
      </c>
    </row>
    <row r="4141" customHeight="1" spans="2:2">
      <c r="B4141" s="62" t="str">
        <f>IF(AND('领用录入（明细）'!D:D=$F$4,'领用录入（明细）'!C:C&gt;=$J$4,'领用录入（明细）'!C:C&lt;=$L$4),ROW(),"-")</f>
        <v>-</v>
      </c>
    </row>
    <row r="4142" customHeight="1" spans="2:2">
      <c r="B4142" s="62" t="str">
        <f>IF(AND('领用录入（明细）'!D:D=$F$4,'领用录入（明细）'!C:C&gt;=$J$4,'领用录入（明细）'!C:C&lt;=$L$4),ROW(),"-")</f>
        <v>-</v>
      </c>
    </row>
    <row r="4143" customHeight="1" spans="2:2">
      <c r="B4143" s="62" t="str">
        <f>IF(AND('领用录入（明细）'!D:D=$F$4,'领用录入（明细）'!C:C&gt;=$J$4,'领用录入（明细）'!C:C&lt;=$L$4),ROW(),"-")</f>
        <v>-</v>
      </c>
    </row>
    <row r="4144" customHeight="1" spans="2:2">
      <c r="B4144" s="62" t="str">
        <f>IF(AND('领用录入（明细）'!D:D=$F$4,'领用录入（明细）'!C:C&gt;=$J$4,'领用录入（明细）'!C:C&lt;=$L$4),ROW(),"-")</f>
        <v>-</v>
      </c>
    </row>
    <row r="4145" customHeight="1" spans="2:2">
      <c r="B4145" s="62" t="str">
        <f>IF(AND('领用录入（明细）'!D:D=$F$4,'领用录入（明细）'!C:C&gt;=$J$4,'领用录入（明细）'!C:C&lt;=$L$4),ROW(),"-")</f>
        <v>-</v>
      </c>
    </row>
    <row r="4146" customHeight="1" spans="2:2">
      <c r="B4146" s="62" t="str">
        <f>IF(AND('领用录入（明细）'!D:D=$F$4,'领用录入（明细）'!C:C&gt;=$J$4,'领用录入（明细）'!C:C&lt;=$L$4),ROW(),"-")</f>
        <v>-</v>
      </c>
    </row>
    <row r="4147" customHeight="1" spans="2:2">
      <c r="B4147" s="62" t="str">
        <f>IF(AND('领用录入（明细）'!D:D=$F$4,'领用录入（明细）'!C:C&gt;=$J$4,'领用录入（明细）'!C:C&lt;=$L$4),ROW(),"-")</f>
        <v>-</v>
      </c>
    </row>
    <row r="4148" customHeight="1" spans="2:2">
      <c r="B4148" s="62" t="str">
        <f>IF(AND('领用录入（明细）'!D:D=$F$4,'领用录入（明细）'!C:C&gt;=$J$4,'领用录入（明细）'!C:C&lt;=$L$4),ROW(),"-")</f>
        <v>-</v>
      </c>
    </row>
    <row r="4149" customHeight="1" spans="2:2">
      <c r="B4149" s="62" t="str">
        <f>IF(AND('领用录入（明细）'!D:D=$F$4,'领用录入（明细）'!C:C&gt;=$J$4,'领用录入（明细）'!C:C&lt;=$L$4),ROW(),"-")</f>
        <v>-</v>
      </c>
    </row>
    <row r="4150" customHeight="1" spans="2:2">
      <c r="B4150" s="62" t="str">
        <f>IF(AND('领用录入（明细）'!D:D=$F$4,'领用录入（明细）'!C:C&gt;=$J$4,'领用录入（明细）'!C:C&lt;=$L$4),ROW(),"-")</f>
        <v>-</v>
      </c>
    </row>
    <row r="4151" customHeight="1" spans="2:2">
      <c r="B4151" s="62" t="str">
        <f>IF(AND('领用录入（明细）'!D:D=$F$4,'领用录入（明细）'!C:C&gt;=$J$4,'领用录入（明细）'!C:C&lt;=$L$4),ROW(),"-")</f>
        <v>-</v>
      </c>
    </row>
    <row r="4152" customHeight="1" spans="2:2">
      <c r="B4152" s="62" t="str">
        <f>IF(AND('领用录入（明细）'!D:D=$F$4,'领用录入（明细）'!C:C&gt;=$J$4,'领用录入（明细）'!C:C&lt;=$L$4),ROW(),"-")</f>
        <v>-</v>
      </c>
    </row>
    <row r="4153" customHeight="1" spans="2:2">
      <c r="B4153" s="62" t="str">
        <f>IF(AND('领用录入（明细）'!D:D=$F$4,'领用录入（明细）'!C:C&gt;=$J$4,'领用录入（明细）'!C:C&lt;=$L$4),ROW(),"-")</f>
        <v>-</v>
      </c>
    </row>
    <row r="4154" customHeight="1" spans="2:2">
      <c r="B4154" s="62" t="str">
        <f>IF(AND('领用录入（明细）'!D:D=$F$4,'领用录入（明细）'!C:C&gt;=$J$4,'领用录入（明细）'!C:C&lt;=$L$4),ROW(),"-")</f>
        <v>-</v>
      </c>
    </row>
    <row r="4155" customHeight="1" spans="2:2">
      <c r="B4155" s="62" t="str">
        <f>IF(AND('领用录入（明细）'!D:D=$F$4,'领用录入（明细）'!C:C&gt;=$J$4,'领用录入（明细）'!C:C&lt;=$L$4),ROW(),"-")</f>
        <v>-</v>
      </c>
    </row>
    <row r="4156" customHeight="1" spans="2:2">
      <c r="B4156" s="62" t="str">
        <f>IF(AND('领用录入（明细）'!D:D=$F$4,'领用录入（明细）'!C:C&gt;=$J$4,'领用录入（明细）'!C:C&lt;=$L$4),ROW(),"-")</f>
        <v>-</v>
      </c>
    </row>
    <row r="4157" customHeight="1" spans="2:2">
      <c r="B4157" s="62" t="str">
        <f>IF(AND('领用录入（明细）'!D:D=$F$4,'领用录入（明细）'!C:C&gt;=$J$4,'领用录入（明细）'!C:C&lt;=$L$4),ROW(),"-")</f>
        <v>-</v>
      </c>
    </row>
    <row r="4158" customHeight="1" spans="2:2">
      <c r="B4158" s="62" t="str">
        <f>IF(AND('领用录入（明细）'!D:D=$F$4,'领用录入（明细）'!C:C&gt;=$J$4,'领用录入（明细）'!C:C&lt;=$L$4),ROW(),"-")</f>
        <v>-</v>
      </c>
    </row>
    <row r="4159" customHeight="1" spans="2:2">
      <c r="B4159" s="62" t="str">
        <f>IF(AND('领用录入（明细）'!D:D=$F$4,'领用录入（明细）'!C:C&gt;=$J$4,'领用录入（明细）'!C:C&lt;=$L$4),ROW(),"-")</f>
        <v>-</v>
      </c>
    </row>
    <row r="4160" customHeight="1" spans="2:2">
      <c r="B4160" s="62" t="str">
        <f>IF(AND('领用录入（明细）'!D:D=$F$4,'领用录入（明细）'!C:C&gt;=$J$4,'领用录入（明细）'!C:C&lt;=$L$4),ROW(),"-")</f>
        <v>-</v>
      </c>
    </row>
    <row r="4161" customHeight="1" spans="2:2">
      <c r="B4161" s="62" t="str">
        <f>IF(AND('领用录入（明细）'!D:D=$F$4,'领用录入（明细）'!C:C&gt;=$J$4,'领用录入（明细）'!C:C&lt;=$L$4),ROW(),"-")</f>
        <v>-</v>
      </c>
    </row>
    <row r="4162" customHeight="1" spans="2:2">
      <c r="B4162" s="62" t="str">
        <f>IF(AND('领用录入（明细）'!D:D=$F$4,'领用录入（明细）'!C:C&gt;=$J$4,'领用录入（明细）'!C:C&lt;=$L$4),ROW(),"-")</f>
        <v>-</v>
      </c>
    </row>
    <row r="4163" customHeight="1" spans="2:2">
      <c r="B4163" s="62" t="str">
        <f>IF(AND('领用录入（明细）'!D:D=$F$4,'领用录入（明细）'!C:C&gt;=$J$4,'领用录入（明细）'!C:C&lt;=$L$4),ROW(),"-")</f>
        <v>-</v>
      </c>
    </row>
    <row r="4164" customHeight="1" spans="2:2">
      <c r="B4164" s="62" t="str">
        <f>IF(AND('领用录入（明细）'!D:D=$F$4,'领用录入（明细）'!C:C&gt;=$J$4,'领用录入（明细）'!C:C&lt;=$L$4),ROW(),"-")</f>
        <v>-</v>
      </c>
    </row>
    <row r="4165" customHeight="1" spans="2:2">
      <c r="B4165" s="62" t="str">
        <f>IF(AND('领用录入（明细）'!D:D=$F$4,'领用录入（明细）'!C:C&gt;=$J$4,'领用录入（明细）'!C:C&lt;=$L$4),ROW(),"-")</f>
        <v>-</v>
      </c>
    </row>
    <row r="4166" customHeight="1" spans="2:2">
      <c r="B4166" s="62" t="str">
        <f>IF(AND('领用录入（明细）'!D:D=$F$4,'领用录入（明细）'!C:C&gt;=$J$4,'领用录入（明细）'!C:C&lt;=$L$4),ROW(),"-")</f>
        <v>-</v>
      </c>
    </row>
    <row r="4167" customHeight="1" spans="2:2">
      <c r="B4167" s="62" t="str">
        <f>IF(AND('领用录入（明细）'!D:D=$F$4,'领用录入（明细）'!C:C&gt;=$J$4,'领用录入（明细）'!C:C&lt;=$L$4),ROW(),"-")</f>
        <v>-</v>
      </c>
    </row>
    <row r="4168" customHeight="1" spans="2:2">
      <c r="B4168" s="62" t="str">
        <f>IF(AND('领用录入（明细）'!D:D=$F$4,'领用录入（明细）'!C:C&gt;=$J$4,'领用录入（明细）'!C:C&lt;=$L$4),ROW(),"-")</f>
        <v>-</v>
      </c>
    </row>
    <row r="4169" customHeight="1" spans="2:2">
      <c r="B4169" s="62" t="str">
        <f>IF(AND('领用录入（明细）'!D:D=$F$4,'领用录入（明细）'!C:C&gt;=$J$4,'领用录入（明细）'!C:C&lt;=$L$4),ROW(),"-")</f>
        <v>-</v>
      </c>
    </row>
    <row r="4170" customHeight="1" spans="2:2">
      <c r="B4170" s="62" t="str">
        <f>IF(AND('领用录入（明细）'!D:D=$F$4,'领用录入（明细）'!C:C&gt;=$J$4,'领用录入（明细）'!C:C&lt;=$L$4),ROW(),"-")</f>
        <v>-</v>
      </c>
    </row>
    <row r="4171" customHeight="1" spans="2:2">
      <c r="B4171" s="62" t="str">
        <f>IF(AND('领用录入（明细）'!D:D=$F$4,'领用录入（明细）'!C:C&gt;=$J$4,'领用录入（明细）'!C:C&lt;=$L$4),ROW(),"-")</f>
        <v>-</v>
      </c>
    </row>
    <row r="4172" customHeight="1" spans="2:2">
      <c r="B4172" s="62" t="str">
        <f>IF(AND('领用录入（明细）'!D:D=$F$4,'领用录入（明细）'!C:C&gt;=$J$4,'领用录入（明细）'!C:C&lt;=$L$4),ROW(),"-")</f>
        <v>-</v>
      </c>
    </row>
    <row r="4173" customHeight="1" spans="2:2">
      <c r="B4173" s="62" t="str">
        <f>IF(AND('领用录入（明细）'!D:D=$F$4,'领用录入（明细）'!C:C&gt;=$J$4,'领用录入（明细）'!C:C&lt;=$L$4),ROW(),"-")</f>
        <v>-</v>
      </c>
    </row>
    <row r="4174" customHeight="1" spans="2:2">
      <c r="B4174" s="62" t="str">
        <f>IF(AND('领用录入（明细）'!D:D=$F$4,'领用录入（明细）'!C:C&gt;=$J$4,'领用录入（明细）'!C:C&lt;=$L$4),ROW(),"-")</f>
        <v>-</v>
      </c>
    </row>
    <row r="4175" customHeight="1" spans="2:2">
      <c r="B4175" s="62" t="str">
        <f>IF(AND('领用录入（明细）'!D:D=$F$4,'领用录入（明细）'!C:C&gt;=$J$4,'领用录入（明细）'!C:C&lt;=$L$4),ROW(),"-")</f>
        <v>-</v>
      </c>
    </row>
    <row r="4176" customHeight="1" spans="2:2">
      <c r="B4176" s="62" t="str">
        <f>IF(AND('领用录入（明细）'!D:D=$F$4,'领用录入（明细）'!C:C&gt;=$J$4,'领用录入（明细）'!C:C&lt;=$L$4),ROW(),"-")</f>
        <v>-</v>
      </c>
    </row>
    <row r="4177" customHeight="1" spans="2:2">
      <c r="B4177" s="62" t="str">
        <f>IF(AND('领用录入（明细）'!D:D=$F$4,'领用录入（明细）'!C:C&gt;=$J$4,'领用录入（明细）'!C:C&lt;=$L$4),ROW(),"-")</f>
        <v>-</v>
      </c>
    </row>
    <row r="4178" customHeight="1" spans="2:2">
      <c r="B4178" s="62" t="str">
        <f>IF(AND('领用录入（明细）'!D:D=$F$4,'领用录入（明细）'!C:C&gt;=$J$4,'领用录入（明细）'!C:C&lt;=$L$4),ROW(),"-")</f>
        <v>-</v>
      </c>
    </row>
    <row r="4179" customHeight="1" spans="2:2">
      <c r="B4179" s="62" t="str">
        <f>IF(AND('领用录入（明细）'!D:D=$F$4,'领用录入（明细）'!C:C&gt;=$J$4,'领用录入（明细）'!C:C&lt;=$L$4),ROW(),"-")</f>
        <v>-</v>
      </c>
    </row>
    <row r="4180" customHeight="1" spans="2:2">
      <c r="B4180" s="62" t="str">
        <f>IF(AND('领用录入（明细）'!D:D=$F$4,'领用录入（明细）'!C:C&gt;=$J$4,'领用录入（明细）'!C:C&lt;=$L$4),ROW(),"-")</f>
        <v>-</v>
      </c>
    </row>
    <row r="4181" customHeight="1" spans="2:2">
      <c r="B4181" s="62" t="str">
        <f>IF(AND('领用录入（明细）'!D:D=$F$4,'领用录入（明细）'!C:C&gt;=$J$4,'领用录入（明细）'!C:C&lt;=$L$4),ROW(),"-")</f>
        <v>-</v>
      </c>
    </row>
    <row r="4182" customHeight="1" spans="2:2">
      <c r="B4182" s="62" t="str">
        <f>IF(AND('领用录入（明细）'!D:D=$F$4,'领用录入（明细）'!C:C&gt;=$J$4,'领用录入（明细）'!C:C&lt;=$L$4),ROW(),"-")</f>
        <v>-</v>
      </c>
    </row>
    <row r="4183" customHeight="1" spans="2:2">
      <c r="B4183" s="62" t="str">
        <f>IF(AND('领用录入（明细）'!D:D=$F$4,'领用录入（明细）'!C:C&gt;=$J$4,'领用录入（明细）'!C:C&lt;=$L$4),ROW(),"-")</f>
        <v>-</v>
      </c>
    </row>
    <row r="4184" customHeight="1" spans="2:2">
      <c r="B4184" s="62" t="str">
        <f>IF(AND('领用录入（明细）'!D:D=$F$4,'领用录入（明细）'!C:C&gt;=$J$4,'领用录入（明细）'!C:C&lt;=$L$4),ROW(),"-")</f>
        <v>-</v>
      </c>
    </row>
    <row r="4185" customHeight="1" spans="2:2">
      <c r="B4185" s="62" t="str">
        <f>IF(AND('领用录入（明细）'!D:D=$F$4,'领用录入（明细）'!C:C&gt;=$J$4,'领用录入（明细）'!C:C&lt;=$L$4),ROW(),"-")</f>
        <v>-</v>
      </c>
    </row>
    <row r="4186" customHeight="1" spans="2:2">
      <c r="B4186" s="62" t="str">
        <f>IF(AND('领用录入（明细）'!D:D=$F$4,'领用录入（明细）'!C:C&gt;=$J$4,'领用录入（明细）'!C:C&lt;=$L$4),ROW(),"-")</f>
        <v>-</v>
      </c>
    </row>
    <row r="4187" customHeight="1" spans="2:2">
      <c r="B4187" s="62" t="str">
        <f>IF(AND('领用录入（明细）'!D:D=$F$4,'领用录入（明细）'!C:C&gt;=$J$4,'领用录入（明细）'!C:C&lt;=$L$4),ROW(),"-")</f>
        <v>-</v>
      </c>
    </row>
    <row r="4188" customHeight="1" spans="2:2">
      <c r="B4188" s="62" t="str">
        <f>IF(AND('领用录入（明细）'!D:D=$F$4,'领用录入（明细）'!C:C&gt;=$J$4,'领用录入（明细）'!C:C&lt;=$L$4),ROW(),"-")</f>
        <v>-</v>
      </c>
    </row>
    <row r="4189" customHeight="1" spans="2:2">
      <c r="B4189" s="62" t="str">
        <f>IF(AND('领用录入（明细）'!D:D=$F$4,'领用录入（明细）'!C:C&gt;=$J$4,'领用录入（明细）'!C:C&lt;=$L$4),ROW(),"-")</f>
        <v>-</v>
      </c>
    </row>
    <row r="4190" customHeight="1" spans="2:2">
      <c r="B4190" s="62" t="str">
        <f>IF(AND('领用录入（明细）'!D:D=$F$4,'领用录入（明细）'!C:C&gt;=$J$4,'领用录入（明细）'!C:C&lt;=$L$4),ROW(),"-")</f>
        <v>-</v>
      </c>
    </row>
    <row r="4191" customHeight="1" spans="2:2">
      <c r="B4191" s="62" t="str">
        <f>IF(AND('领用录入（明细）'!D:D=$F$4,'领用录入（明细）'!C:C&gt;=$J$4,'领用录入（明细）'!C:C&lt;=$L$4),ROW(),"-")</f>
        <v>-</v>
      </c>
    </row>
    <row r="4192" customHeight="1" spans="2:2">
      <c r="B4192" s="62" t="str">
        <f>IF(AND('领用录入（明细）'!D:D=$F$4,'领用录入（明细）'!C:C&gt;=$J$4,'领用录入（明细）'!C:C&lt;=$L$4),ROW(),"-")</f>
        <v>-</v>
      </c>
    </row>
    <row r="4193" customHeight="1" spans="2:2">
      <c r="B4193" s="62" t="str">
        <f>IF(AND('领用录入（明细）'!D:D=$F$4,'领用录入（明细）'!C:C&gt;=$J$4,'领用录入（明细）'!C:C&lt;=$L$4),ROW(),"-")</f>
        <v>-</v>
      </c>
    </row>
    <row r="4194" customHeight="1" spans="2:2">
      <c r="B4194" s="62" t="str">
        <f>IF(AND('领用录入（明细）'!D:D=$F$4,'领用录入（明细）'!C:C&gt;=$J$4,'领用录入（明细）'!C:C&lt;=$L$4),ROW(),"-")</f>
        <v>-</v>
      </c>
    </row>
    <row r="4195" customHeight="1" spans="2:2">
      <c r="B4195" s="62" t="str">
        <f>IF(AND('领用录入（明细）'!D:D=$F$4,'领用录入（明细）'!C:C&gt;=$J$4,'领用录入（明细）'!C:C&lt;=$L$4),ROW(),"-")</f>
        <v>-</v>
      </c>
    </row>
    <row r="4196" customHeight="1" spans="2:2">
      <c r="B4196" s="62" t="str">
        <f>IF(AND('领用录入（明细）'!D:D=$F$4,'领用录入（明细）'!C:C&gt;=$J$4,'领用录入（明细）'!C:C&lt;=$L$4),ROW(),"-")</f>
        <v>-</v>
      </c>
    </row>
    <row r="4197" customHeight="1" spans="2:2">
      <c r="B4197" s="62" t="str">
        <f>IF(AND('领用录入（明细）'!D:D=$F$4,'领用录入（明细）'!C:C&gt;=$J$4,'领用录入（明细）'!C:C&lt;=$L$4),ROW(),"-")</f>
        <v>-</v>
      </c>
    </row>
    <row r="4198" customHeight="1" spans="2:2">
      <c r="B4198" s="62" t="str">
        <f>IF(AND('领用录入（明细）'!D:D=$F$4,'领用录入（明细）'!C:C&gt;=$J$4,'领用录入（明细）'!C:C&lt;=$L$4),ROW(),"-")</f>
        <v>-</v>
      </c>
    </row>
    <row r="4199" customHeight="1" spans="2:2">
      <c r="B4199" s="62" t="str">
        <f>IF(AND('领用录入（明细）'!D:D=$F$4,'领用录入（明细）'!C:C&gt;=$J$4,'领用录入（明细）'!C:C&lt;=$L$4),ROW(),"-")</f>
        <v>-</v>
      </c>
    </row>
    <row r="4200" customHeight="1" spans="2:2">
      <c r="B4200" s="62" t="str">
        <f>IF(AND('领用录入（明细）'!D:D=$F$4,'领用录入（明细）'!C:C&gt;=$J$4,'领用录入（明细）'!C:C&lt;=$L$4),ROW(),"-")</f>
        <v>-</v>
      </c>
    </row>
    <row r="4201" customHeight="1" spans="2:2">
      <c r="B4201" s="62" t="str">
        <f>IF(AND('领用录入（明细）'!D:D=$F$4,'领用录入（明细）'!C:C&gt;=$J$4,'领用录入（明细）'!C:C&lt;=$L$4),ROW(),"-")</f>
        <v>-</v>
      </c>
    </row>
    <row r="4202" customHeight="1" spans="2:2">
      <c r="B4202" s="62" t="str">
        <f>IF(AND('领用录入（明细）'!D:D=$F$4,'领用录入（明细）'!C:C&gt;=$J$4,'领用录入（明细）'!C:C&lt;=$L$4),ROW(),"-")</f>
        <v>-</v>
      </c>
    </row>
    <row r="4203" customHeight="1" spans="2:2">
      <c r="B4203" s="62" t="str">
        <f>IF(AND('领用录入（明细）'!D:D=$F$4,'领用录入（明细）'!C:C&gt;=$J$4,'领用录入（明细）'!C:C&lt;=$L$4),ROW(),"-")</f>
        <v>-</v>
      </c>
    </row>
    <row r="4204" customHeight="1" spans="2:2">
      <c r="B4204" s="62" t="str">
        <f>IF(AND('领用录入（明细）'!D:D=$F$4,'领用录入（明细）'!C:C&gt;=$J$4,'领用录入（明细）'!C:C&lt;=$L$4),ROW(),"-")</f>
        <v>-</v>
      </c>
    </row>
    <row r="4205" customHeight="1" spans="2:2">
      <c r="B4205" s="62" t="str">
        <f>IF(AND('领用录入（明细）'!D:D=$F$4,'领用录入（明细）'!C:C&gt;=$J$4,'领用录入（明细）'!C:C&lt;=$L$4),ROW(),"-")</f>
        <v>-</v>
      </c>
    </row>
    <row r="4206" customHeight="1" spans="2:2">
      <c r="B4206" s="62" t="str">
        <f>IF(AND('领用录入（明细）'!D:D=$F$4,'领用录入（明细）'!C:C&gt;=$J$4,'领用录入（明细）'!C:C&lt;=$L$4),ROW(),"-")</f>
        <v>-</v>
      </c>
    </row>
    <row r="4207" customHeight="1" spans="2:2">
      <c r="B4207" s="62" t="str">
        <f>IF(AND('领用录入（明细）'!D:D=$F$4,'领用录入（明细）'!C:C&gt;=$J$4,'领用录入（明细）'!C:C&lt;=$L$4),ROW(),"-")</f>
        <v>-</v>
      </c>
    </row>
    <row r="4208" customHeight="1" spans="2:2">
      <c r="B4208" s="62" t="str">
        <f>IF(AND('领用录入（明细）'!D:D=$F$4,'领用录入（明细）'!C:C&gt;=$J$4,'领用录入（明细）'!C:C&lt;=$L$4),ROW(),"-")</f>
        <v>-</v>
      </c>
    </row>
    <row r="4209" customHeight="1" spans="2:2">
      <c r="B4209" s="62" t="str">
        <f>IF(AND('领用录入（明细）'!D:D=$F$4,'领用录入（明细）'!C:C&gt;=$J$4,'领用录入（明细）'!C:C&lt;=$L$4),ROW(),"-")</f>
        <v>-</v>
      </c>
    </row>
    <row r="4210" customHeight="1" spans="2:2">
      <c r="B4210" s="62" t="str">
        <f>IF(AND('领用录入（明细）'!D:D=$F$4,'领用录入（明细）'!C:C&gt;=$J$4,'领用录入（明细）'!C:C&lt;=$L$4),ROW(),"-")</f>
        <v>-</v>
      </c>
    </row>
    <row r="4211" customHeight="1" spans="2:2">
      <c r="B4211" s="62" t="str">
        <f>IF(AND('领用录入（明细）'!D:D=$F$4,'领用录入（明细）'!C:C&gt;=$J$4,'领用录入（明细）'!C:C&lt;=$L$4),ROW(),"-")</f>
        <v>-</v>
      </c>
    </row>
    <row r="4212" customHeight="1" spans="2:2">
      <c r="B4212" s="62" t="str">
        <f>IF(AND('领用录入（明细）'!D:D=$F$4,'领用录入（明细）'!C:C&gt;=$J$4,'领用录入（明细）'!C:C&lt;=$L$4),ROW(),"-")</f>
        <v>-</v>
      </c>
    </row>
    <row r="4213" customHeight="1" spans="2:2">
      <c r="B4213" s="62" t="str">
        <f>IF(AND('领用录入（明细）'!D:D=$F$4,'领用录入（明细）'!C:C&gt;=$J$4,'领用录入（明细）'!C:C&lt;=$L$4),ROW(),"-")</f>
        <v>-</v>
      </c>
    </row>
    <row r="4214" customHeight="1" spans="2:2">
      <c r="B4214" s="62" t="str">
        <f>IF(AND('领用录入（明细）'!D:D=$F$4,'领用录入（明细）'!C:C&gt;=$J$4,'领用录入（明细）'!C:C&lt;=$L$4),ROW(),"-")</f>
        <v>-</v>
      </c>
    </row>
    <row r="4215" customHeight="1" spans="2:2">
      <c r="B4215" s="62" t="str">
        <f>IF(AND('领用录入（明细）'!D:D=$F$4,'领用录入（明细）'!C:C&gt;=$J$4,'领用录入（明细）'!C:C&lt;=$L$4),ROW(),"-")</f>
        <v>-</v>
      </c>
    </row>
    <row r="4216" customHeight="1" spans="2:2">
      <c r="B4216" s="62" t="str">
        <f>IF(AND('领用录入（明细）'!D:D=$F$4,'领用录入（明细）'!C:C&gt;=$J$4,'领用录入（明细）'!C:C&lt;=$L$4),ROW(),"-")</f>
        <v>-</v>
      </c>
    </row>
    <row r="4217" customHeight="1" spans="2:2">
      <c r="B4217" s="62" t="str">
        <f>IF(AND('领用录入（明细）'!D:D=$F$4,'领用录入（明细）'!C:C&gt;=$J$4,'领用录入（明细）'!C:C&lt;=$L$4),ROW(),"-")</f>
        <v>-</v>
      </c>
    </row>
    <row r="4218" customHeight="1" spans="2:2">
      <c r="B4218" s="62" t="str">
        <f>IF(AND('领用录入（明细）'!D:D=$F$4,'领用录入（明细）'!C:C&gt;=$J$4,'领用录入（明细）'!C:C&lt;=$L$4),ROW(),"-")</f>
        <v>-</v>
      </c>
    </row>
    <row r="4219" customHeight="1" spans="2:2">
      <c r="B4219" s="62" t="str">
        <f>IF(AND('领用录入（明细）'!D:D=$F$4,'领用录入（明细）'!C:C&gt;=$J$4,'领用录入（明细）'!C:C&lt;=$L$4),ROW(),"-")</f>
        <v>-</v>
      </c>
    </row>
    <row r="4220" customHeight="1" spans="2:2">
      <c r="B4220" s="62" t="str">
        <f>IF(AND('领用录入（明细）'!D:D=$F$4,'领用录入（明细）'!C:C&gt;=$J$4,'领用录入（明细）'!C:C&lt;=$L$4),ROW(),"-")</f>
        <v>-</v>
      </c>
    </row>
    <row r="4221" customHeight="1" spans="2:2">
      <c r="B4221" s="62" t="str">
        <f>IF(AND('领用录入（明细）'!D:D=$F$4,'领用录入（明细）'!C:C&gt;=$J$4,'领用录入（明细）'!C:C&lt;=$L$4),ROW(),"-")</f>
        <v>-</v>
      </c>
    </row>
    <row r="4222" customHeight="1" spans="2:2">
      <c r="B4222" s="62" t="str">
        <f>IF(AND('领用录入（明细）'!D:D=$F$4,'领用录入（明细）'!C:C&gt;=$J$4,'领用录入（明细）'!C:C&lt;=$L$4),ROW(),"-")</f>
        <v>-</v>
      </c>
    </row>
    <row r="4223" customHeight="1" spans="2:2">
      <c r="B4223" s="62" t="str">
        <f>IF(AND('领用录入（明细）'!D:D=$F$4,'领用录入（明细）'!C:C&gt;=$J$4,'领用录入（明细）'!C:C&lt;=$L$4),ROW(),"-")</f>
        <v>-</v>
      </c>
    </row>
    <row r="4224" customHeight="1" spans="2:2">
      <c r="B4224" s="62" t="str">
        <f>IF(AND('领用录入（明细）'!D:D=$F$4,'领用录入（明细）'!C:C&gt;=$J$4,'领用录入（明细）'!C:C&lt;=$L$4),ROW(),"-")</f>
        <v>-</v>
      </c>
    </row>
    <row r="4225" customHeight="1" spans="2:2">
      <c r="B4225" s="62" t="str">
        <f>IF(AND('领用录入（明细）'!D:D=$F$4,'领用录入（明细）'!C:C&gt;=$J$4,'领用录入（明细）'!C:C&lt;=$L$4),ROW(),"-")</f>
        <v>-</v>
      </c>
    </row>
    <row r="4226" customHeight="1" spans="2:2">
      <c r="B4226" s="62" t="str">
        <f>IF(AND('领用录入（明细）'!D:D=$F$4,'领用录入（明细）'!C:C&gt;=$J$4,'领用录入（明细）'!C:C&lt;=$L$4),ROW(),"-")</f>
        <v>-</v>
      </c>
    </row>
    <row r="4227" customHeight="1" spans="2:2">
      <c r="B4227" s="62" t="str">
        <f>IF(AND('领用录入（明细）'!D:D=$F$4,'领用录入（明细）'!C:C&gt;=$J$4,'领用录入（明细）'!C:C&lt;=$L$4),ROW(),"-")</f>
        <v>-</v>
      </c>
    </row>
    <row r="4228" customHeight="1" spans="2:2">
      <c r="B4228" s="62" t="str">
        <f>IF(AND('领用录入（明细）'!D:D=$F$4,'领用录入（明细）'!C:C&gt;=$J$4,'领用录入（明细）'!C:C&lt;=$L$4),ROW(),"-")</f>
        <v>-</v>
      </c>
    </row>
    <row r="4229" customHeight="1" spans="2:2">
      <c r="B4229" s="62" t="str">
        <f>IF(AND('领用录入（明细）'!D:D=$F$4,'领用录入（明细）'!C:C&gt;=$J$4,'领用录入（明细）'!C:C&lt;=$L$4),ROW(),"-")</f>
        <v>-</v>
      </c>
    </row>
    <row r="4230" customHeight="1" spans="2:2">
      <c r="B4230" s="62" t="str">
        <f>IF(AND('领用录入（明细）'!D:D=$F$4,'领用录入（明细）'!C:C&gt;=$J$4,'领用录入（明细）'!C:C&lt;=$L$4),ROW(),"-")</f>
        <v>-</v>
      </c>
    </row>
    <row r="4231" customHeight="1" spans="2:2">
      <c r="B4231" s="62" t="str">
        <f>IF(AND('领用录入（明细）'!D:D=$F$4,'领用录入（明细）'!C:C&gt;=$J$4,'领用录入（明细）'!C:C&lt;=$L$4),ROW(),"-")</f>
        <v>-</v>
      </c>
    </row>
    <row r="4232" customHeight="1" spans="2:2">
      <c r="B4232" s="62" t="str">
        <f>IF(AND('领用录入（明细）'!D:D=$F$4,'领用录入（明细）'!C:C&gt;=$J$4,'领用录入（明细）'!C:C&lt;=$L$4),ROW(),"-")</f>
        <v>-</v>
      </c>
    </row>
    <row r="4233" customHeight="1" spans="2:2">
      <c r="B4233" s="62" t="str">
        <f>IF(AND('领用录入（明细）'!D:D=$F$4,'领用录入（明细）'!C:C&gt;=$J$4,'领用录入（明细）'!C:C&lt;=$L$4),ROW(),"-")</f>
        <v>-</v>
      </c>
    </row>
    <row r="4234" customHeight="1" spans="2:2">
      <c r="B4234" s="62" t="str">
        <f>IF(AND('领用录入（明细）'!D:D=$F$4,'领用录入（明细）'!C:C&gt;=$J$4,'领用录入（明细）'!C:C&lt;=$L$4),ROW(),"-")</f>
        <v>-</v>
      </c>
    </row>
    <row r="4235" customHeight="1" spans="2:2">
      <c r="B4235" s="62" t="str">
        <f>IF(AND('领用录入（明细）'!D:D=$F$4,'领用录入（明细）'!C:C&gt;=$J$4,'领用录入（明细）'!C:C&lt;=$L$4),ROW(),"-")</f>
        <v>-</v>
      </c>
    </row>
    <row r="4236" customHeight="1" spans="2:2">
      <c r="B4236" s="62" t="str">
        <f>IF(AND('领用录入（明细）'!D:D=$F$4,'领用录入（明细）'!C:C&gt;=$J$4,'领用录入（明细）'!C:C&lt;=$L$4),ROW(),"-")</f>
        <v>-</v>
      </c>
    </row>
    <row r="4237" customHeight="1" spans="2:2">
      <c r="B4237" s="62" t="str">
        <f>IF(AND('领用录入（明细）'!D:D=$F$4,'领用录入（明细）'!C:C&gt;=$J$4,'领用录入（明细）'!C:C&lt;=$L$4),ROW(),"-")</f>
        <v>-</v>
      </c>
    </row>
    <row r="4238" customHeight="1" spans="2:2">
      <c r="B4238" s="62" t="str">
        <f>IF(AND('领用录入（明细）'!D:D=$F$4,'领用录入（明细）'!C:C&gt;=$J$4,'领用录入（明细）'!C:C&lt;=$L$4),ROW(),"-")</f>
        <v>-</v>
      </c>
    </row>
    <row r="4239" customHeight="1" spans="2:2">
      <c r="B4239" s="62" t="str">
        <f>IF(AND('领用录入（明细）'!D:D=$F$4,'领用录入（明细）'!C:C&gt;=$J$4,'领用录入（明细）'!C:C&lt;=$L$4),ROW(),"-")</f>
        <v>-</v>
      </c>
    </row>
    <row r="4240" customHeight="1" spans="2:2">
      <c r="B4240" s="62" t="str">
        <f>IF(AND('领用录入（明细）'!D:D=$F$4,'领用录入（明细）'!C:C&gt;=$J$4,'领用录入（明细）'!C:C&lt;=$L$4),ROW(),"-")</f>
        <v>-</v>
      </c>
    </row>
    <row r="4241" customHeight="1" spans="2:2">
      <c r="B4241" s="62" t="str">
        <f>IF(AND('领用录入（明细）'!D:D=$F$4,'领用录入（明细）'!C:C&gt;=$J$4,'领用录入（明细）'!C:C&lt;=$L$4),ROW(),"-")</f>
        <v>-</v>
      </c>
    </row>
    <row r="4242" customHeight="1" spans="2:2">
      <c r="B4242" s="62" t="str">
        <f>IF(AND('领用录入（明细）'!D:D=$F$4,'领用录入（明细）'!C:C&gt;=$J$4,'领用录入（明细）'!C:C&lt;=$L$4),ROW(),"-")</f>
        <v>-</v>
      </c>
    </row>
    <row r="4243" customHeight="1" spans="2:2">
      <c r="B4243" s="62" t="str">
        <f>IF(AND('领用录入（明细）'!D:D=$F$4,'领用录入（明细）'!C:C&gt;=$J$4,'领用录入（明细）'!C:C&lt;=$L$4),ROW(),"-")</f>
        <v>-</v>
      </c>
    </row>
    <row r="4244" customHeight="1" spans="2:2">
      <c r="B4244" s="62" t="str">
        <f>IF(AND('领用录入（明细）'!D:D=$F$4,'领用录入（明细）'!C:C&gt;=$J$4,'领用录入（明细）'!C:C&lt;=$L$4),ROW(),"-")</f>
        <v>-</v>
      </c>
    </row>
    <row r="4245" customHeight="1" spans="2:2">
      <c r="B4245" s="62" t="str">
        <f>IF(AND('领用录入（明细）'!D:D=$F$4,'领用录入（明细）'!C:C&gt;=$J$4,'领用录入（明细）'!C:C&lt;=$L$4),ROW(),"-")</f>
        <v>-</v>
      </c>
    </row>
    <row r="4246" customHeight="1" spans="2:2">
      <c r="B4246" s="62" t="str">
        <f>IF(AND('领用录入（明细）'!D:D=$F$4,'领用录入（明细）'!C:C&gt;=$J$4,'领用录入（明细）'!C:C&lt;=$L$4),ROW(),"-")</f>
        <v>-</v>
      </c>
    </row>
    <row r="4247" customHeight="1" spans="2:2">
      <c r="B4247" s="62" t="str">
        <f>IF(AND('领用录入（明细）'!D:D=$F$4,'领用录入（明细）'!C:C&gt;=$J$4,'领用录入（明细）'!C:C&lt;=$L$4),ROW(),"-")</f>
        <v>-</v>
      </c>
    </row>
    <row r="4248" customHeight="1" spans="2:2">
      <c r="B4248" s="62" t="str">
        <f>IF(AND('领用录入（明细）'!D:D=$F$4,'领用录入（明细）'!C:C&gt;=$J$4,'领用录入（明细）'!C:C&lt;=$L$4),ROW(),"-")</f>
        <v>-</v>
      </c>
    </row>
    <row r="4249" customHeight="1" spans="2:2">
      <c r="B4249" s="62" t="str">
        <f>IF(AND('领用录入（明细）'!D:D=$F$4,'领用录入（明细）'!C:C&gt;=$J$4,'领用录入（明细）'!C:C&lt;=$L$4),ROW(),"-")</f>
        <v>-</v>
      </c>
    </row>
    <row r="4250" customHeight="1" spans="2:2">
      <c r="B4250" s="62" t="str">
        <f>IF(AND('领用录入（明细）'!D:D=$F$4,'领用录入（明细）'!C:C&gt;=$J$4,'领用录入（明细）'!C:C&lt;=$L$4),ROW(),"-")</f>
        <v>-</v>
      </c>
    </row>
    <row r="4251" customHeight="1" spans="2:2">
      <c r="B4251" s="62" t="str">
        <f>IF(AND('领用录入（明细）'!D:D=$F$4,'领用录入（明细）'!C:C&gt;=$J$4,'领用录入（明细）'!C:C&lt;=$L$4),ROW(),"-")</f>
        <v>-</v>
      </c>
    </row>
    <row r="4252" customHeight="1" spans="2:2">
      <c r="B4252" s="62" t="str">
        <f>IF(AND('领用录入（明细）'!D:D=$F$4,'领用录入（明细）'!C:C&gt;=$J$4,'领用录入（明细）'!C:C&lt;=$L$4),ROW(),"-")</f>
        <v>-</v>
      </c>
    </row>
    <row r="4253" customHeight="1" spans="2:2">
      <c r="B4253" s="62" t="str">
        <f>IF(AND('领用录入（明细）'!D:D=$F$4,'领用录入（明细）'!C:C&gt;=$J$4,'领用录入（明细）'!C:C&lt;=$L$4),ROW(),"-")</f>
        <v>-</v>
      </c>
    </row>
    <row r="4254" customHeight="1" spans="2:2">
      <c r="B4254" s="62" t="str">
        <f>IF(AND('领用录入（明细）'!D:D=$F$4,'领用录入（明细）'!C:C&gt;=$J$4,'领用录入（明细）'!C:C&lt;=$L$4),ROW(),"-")</f>
        <v>-</v>
      </c>
    </row>
    <row r="4255" customHeight="1" spans="2:2">
      <c r="B4255" s="62" t="str">
        <f>IF(AND('领用录入（明细）'!D:D=$F$4,'领用录入（明细）'!C:C&gt;=$J$4,'领用录入（明细）'!C:C&lt;=$L$4),ROW(),"-")</f>
        <v>-</v>
      </c>
    </row>
    <row r="4256" customHeight="1" spans="2:2">
      <c r="B4256" s="62" t="str">
        <f>IF(AND('领用录入（明细）'!D:D=$F$4,'领用录入（明细）'!C:C&gt;=$J$4,'领用录入（明细）'!C:C&lt;=$L$4),ROW(),"-")</f>
        <v>-</v>
      </c>
    </row>
    <row r="4257" customHeight="1" spans="2:2">
      <c r="B4257" s="62" t="str">
        <f>IF(AND('领用录入（明细）'!D:D=$F$4,'领用录入（明细）'!C:C&gt;=$J$4,'领用录入（明细）'!C:C&lt;=$L$4),ROW(),"-")</f>
        <v>-</v>
      </c>
    </row>
    <row r="4258" customHeight="1" spans="2:2">
      <c r="B4258" s="62" t="str">
        <f>IF(AND('领用录入（明细）'!D:D=$F$4,'领用录入（明细）'!C:C&gt;=$J$4,'领用录入（明细）'!C:C&lt;=$L$4),ROW(),"-")</f>
        <v>-</v>
      </c>
    </row>
    <row r="4259" customHeight="1" spans="2:2">
      <c r="B4259" s="62" t="str">
        <f>IF(AND('领用录入（明细）'!D:D=$F$4,'领用录入（明细）'!C:C&gt;=$J$4,'领用录入（明细）'!C:C&lt;=$L$4),ROW(),"-")</f>
        <v>-</v>
      </c>
    </row>
    <row r="4260" customHeight="1" spans="2:2">
      <c r="B4260" s="62" t="str">
        <f>IF(AND('领用录入（明细）'!D:D=$F$4,'领用录入（明细）'!C:C&gt;=$J$4,'领用录入（明细）'!C:C&lt;=$L$4),ROW(),"-")</f>
        <v>-</v>
      </c>
    </row>
    <row r="4261" customHeight="1" spans="2:2">
      <c r="B4261" s="62" t="str">
        <f>IF(AND('领用录入（明细）'!D:D=$F$4,'领用录入（明细）'!C:C&gt;=$J$4,'领用录入（明细）'!C:C&lt;=$L$4),ROW(),"-")</f>
        <v>-</v>
      </c>
    </row>
    <row r="4262" customHeight="1" spans="2:2">
      <c r="B4262" s="62" t="str">
        <f>IF(AND('领用录入（明细）'!D:D=$F$4,'领用录入（明细）'!C:C&gt;=$J$4,'领用录入（明细）'!C:C&lt;=$L$4),ROW(),"-")</f>
        <v>-</v>
      </c>
    </row>
    <row r="4263" customHeight="1" spans="2:2">
      <c r="B4263" s="62" t="str">
        <f>IF(AND('领用录入（明细）'!D:D=$F$4,'领用录入（明细）'!C:C&gt;=$J$4,'领用录入（明细）'!C:C&lt;=$L$4),ROW(),"-")</f>
        <v>-</v>
      </c>
    </row>
    <row r="4264" customHeight="1" spans="2:2">
      <c r="B4264" s="62" t="str">
        <f>IF(AND('领用录入（明细）'!D:D=$F$4,'领用录入（明细）'!C:C&gt;=$J$4,'领用录入（明细）'!C:C&lt;=$L$4),ROW(),"-")</f>
        <v>-</v>
      </c>
    </row>
    <row r="4265" customHeight="1" spans="2:2">
      <c r="B4265" s="62" t="str">
        <f>IF(AND('领用录入（明细）'!D:D=$F$4,'领用录入（明细）'!C:C&gt;=$J$4,'领用录入（明细）'!C:C&lt;=$L$4),ROW(),"-")</f>
        <v>-</v>
      </c>
    </row>
    <row r="4266" customHeight="1" spans="2:2">
      <c r="B4266" s="62" t="str">
        <f>IF(AND('领用录入（明细）'!D:D=$F$4,'领用录入（明细）'!C:C&gt;=$J$4,'领用录入（明细）'!C:C&lt;=$L$4),ROW(),"-")</f>
        <v>-</v>
      </c>
    </row>
    <row r="4267" customHeight="1" spans="2:2">
      <c r="B4267" s="62" t="str">
        <f>IF(AND('领用录入（明细）'!D:D=$F$4,'领用录入（明细）'!C:C&gt;=$J$4,'领用录入（明细）'!C:C&lt;=$L$4),ROW(),"-")</f>
        <v>-</v>
      </c>
    </row>
    <row r="4268" customHeight="1" spans="2:2">
      <c r="B4268" s="62" t="str">
        <f>IF(AND('领用录入（明细）'!D:D=$F$4,'领用录入（明细）'!C:C&gt;=$J$4,'领用录入（明细）'!C:C&lt;=$L$4),ROW(),"-")</f>
        <v>-</v>
      </c>
    </row>
    <row r="4269" customHeight="1" spans="2:2">
      <c r="B4269" s="62" t="str">
        <f>IF(AND('领用录入（明细）'!D:D=$F$4,'领用录入（明细）'!C:C&gt;=$J$4,'领用录入（明细）'!C:C&lt;=$L$4),ROW(),"-")</f>
        <v>-</v>
      </c>
    </row>
    <row r="4270" customHeight="1" spans="2:2">
      <c r="B4270" s="62" t="str">
        <f>IF(AND('领用录入（明细）'!D:D=$F$4,'领用录入（明细）'!C:C&gt;=$J$4,'领用录入（明细）'!C:C&lt;=$L$4),ROW(),"-")</f>
        <v>-</v>
      </c>
    </row>
    <row r="4271" customHeight="1" spans="2:2">
      <c r="B4271" s="62" t="str">
        <f>IF(AND('领用录入（明细）'!D:D=$F$4,'领用录入（明细）'!C:C&gt;=$J$4,'领用录入（明细）'!C:C&lt;=$L$4),ROW(),"-")</f>
        <v>-</v>
      </c>
    </row>
    <row r="4272" customHeight="1" spans="2:2">
      <c r="B4272" s="62" t="str">
        <f>IF(AND('领用录入（明细）'!D:D=$F$4,'领用录入（明细）'!C:C&gt;=$J$4,'领用录入（明细）'!C:C&lt;=$L$4),ROW(),"-")</f>
        <v>-</v>
      </c>
    </row>
    <row r="4273" customHeight="1" spans="2:2">
      <c r="B4273" s="62" t="str">
        <f>IF(AND('领用录入（明细）'!D:D=$F$4,'领用录入（明细）'!C:C&gt;=$J$4,'领用录入（明细）'!C:C&lt;=$L$4),ROW(),"-")</f>
        <v>-</v>
      </c>
    </row>
    <row r="4274" customHeight="1" spans="2:2">
      <c r="B4274" s="62" t="str">
        <f>IF(AND('领用录入（明细）'!D:D=$F$4,'领用录入（明细）'!C:C&gt;=$J$4,'领用录入（明细）'!C:C&lt;=$L$4),ROW(),"-")</f>
        <v>-</v>
      </c>
    </row>
    <row r="4275" customHeight="1" spans="2:2">
      <c r="B4275" s="62" t="str">
        <f>IF(AND('领用录入（明细）'!D:D=$F$4,'领用录入（明细）'!C:C&gt;=$J$4,'领用录入（明细）'!C:C&lt;=$L$4),ROW(),"-")</f>
        <v>-</v>
      </c>
    </row>
    <row r="4276" customHeight="1" spans="2:2">
      <c r="B4276" s="62" t="str">
        <f>IF(AND('领用录入（明细）'!D:D=$F$4,'领用录入（明细）'!C:C&gt;=$J$4,'领用录入（明细）'!C:C&lt;=$L$4),ROW(),"-")</f>
        <v>-</v>
      </c>
    </row>
    <row r="4277" customHeight="1" spans="2:2">
      <c r="B4277" s="62" t="str">
        <f>IF(AND('领用录入（明细）'!D:D=$F$4,'领用录入（明细）'!C:C&gt;=$J$4,'领用录入（明细）'!C:C&lt;=$L$4),ROW(),"-")</f>
        <v>-</v>
      </c>
    </row>
    <row r="4278" customHeight="1" spans="2:2">
      <c r="B4278" s="62" t="str">
        <f>IF(AND('领用录入（明细）'!D:D=$F$4,'领用录入（明细）'!C:C&gt;=$J$4,'领用录入（明细）'!C:C&lt;=$L$4),ROW(),"-")</f>
        <v>-</v>
      </c>
    </row>
    <row r="4279" customHeight="1" spans="2:2">
      <c r="B4279" s="62" t="str">
        <f>IF(AND('领用录入（明细）'!D:D=$F$4,'领用录入（明细）'!C:C&gt;=$J$4,'领用录入（明细）'!C:C&lt;=$L$4),ROW(),"-")</f>
        <v>-</v>
      </c>
    </row>
    <row r="4280" customHeight="1" spans="2:2">
      <c r="B4280" s="62" t="str">
        <f>IF(AND('领用录入（明细）'!D:D=$F$4,'领用录入（明细）'!C:C&gt;=$J$4,'领用录入（明细）'!C:C&lt;=$L$4),ROW(),"-")</f>
        <v>-</v>
      </c>
    </row>
    <row r="4281" customHeight="1" spans="2:2">
      <c r="B4281" s="62" t="str">
        <f>IF(AND('领用录入（明细）'!D:D=$F$4,'领用录入（明细）'!C:C&gt;=$J$4,'领用录入（明细）'!C:C&lt;=$L$4),ROW(),"-")</f>
        <v>-</v>
      </c>
    </row>
    <row r="4282" customHeight="1" spans="2:2">
      <c r="B4282" s="62" t="str">
        <f>IF(AND('领用录入（明细）'!D:D=$F$4,'领用录入（明细）'!C:C&gt;=$J$4,'领用录入（明细）'!C:C&lt;=$L$4),ROW(),"-")</f>
        <v>-</v>
      </c>
    </row>
    <row r="4283" customHeight="1" spans="2:2">
      <c r="B4283" s="62" t="str">
        <f>IF(AND('领用录入（明细）'!D:D=$F$4,'领用录入（明细）'!C:C&gt;=$J$4,'领用录入（明细）'!C:C&lt;=$L$4),ROW(),"-")</f>
        <v>-</v>
      </c>
    </row>
    <row r="4284" customHeight="1" spans="2:2">
      <c r="B4284" s="62" t="str">
        <f>IF(AND('领用录入（明细）'!D:D=$F$4,'领用录入（明细）'!C:C&gt;=$J$4,'领用录入（明细）'!C:C&lt;=$L$4),ROW(),"-")</f>
        <v>-</v>
      </c>
    </row>
    <row r="4285" customHeight="1" spans="2:2">
      <c r="B4285" s="62" t="str">
        <f>IF(AND('领用录入（明细）'!D:D=$F$4,'领用录入（明细）'!C:C&gt;=$J$4,'领用录入（明细）'!C:C&lt;=$L$4),ROW(),"-")</f>
        <v>-</v>
      </c>
    </row>
    <row r="4286" customHeight="1" spans="2:2">
      <c r="B4286" s="62" t="str">
        <f>IF(AND('领用录入（明细）'!D:D=$F$4,'领用录入（明细）'!C:C&gt;=$J$4,'领用录入（明细）'!C:C&lt;=$L$4),ROW(),"-")</f>
        <v>-</v>
      </c>
    </row>
    <row r="4287" customHeight="1" spans="2:2">
      <c r="B4287" s="62" t="str">
        <f>IF(AND('领用录入（明细）'!D:D=$F$4,'领用录入（明细）'!C:C&gt;=$J$4,'领用录入（明细）'!C:C&lt;=$L$4),ROW(),"-")</f>
        <v>-</v>
      </c>
    </row>
    <row r="4288" customHeight="1" spans="2:2">
      <c r="B4288" s="62" t="str">
        <f>IF(AND('领用录入（明细）'!D:D=$F$4,'领用录入（明细）'!C:C&gt;=$J$4,'领用录入（明细）'!C:C&lt;=$L$4),ROW(),"-")</f>
        <v>-</v>
      </c>
    </row>
    <row r="4289" customHeight="1" spans="2:2">
      <c r="B4289" s="62" t="str">
        <f>IF(AND('领用录入（明细）'!D:D=$F$4,'领用录入（明细）'!C:C&gt;=$J$4,'领用录入（明细）'!C:C&lt;=$L$4),ROW(),"-")</f>
        <v>-</v>
      </c>
    </row>
    <row r="4290" customHeight="1" spans="2:2">
      <c r="B4290" s="62" t="str">
        <f>IF(AND('领用录入（明细）'!D:D=$F$4,'领用录入（明细）'!C:C&gt;=$J$4,'领用录入（明细）'!C:C&lt;=$L$4),ROW(),"-")</f>
        <v>-</v>
      </c>
    </row>
    <row r="4291" customHeight="1" spans="2:2">
      <c r="B4291" s="62" t="str">
        <f>IF(AND('领用录入（明细）'!D:D=$F$4,'领用录入（明细）'!C:C&gt;=$J$4,'领用录入（明细）'!C:C&lt;=$L$4),ROW(),"-")</f>
        <v>-</v>
      </c>
    </row>
    <row r="4292" customHeight="1" spans="2:2">
      <c r="B4292" s="62" t="str">
        <f>IF(AND('领用录入（明细）'!D:D=$F$4,'领用录入（明细）'!C:C&gt;=$J$4,'领用录入（明细）'!C:C&lt;=$L$4),ROW(),"-")</f>
        <v>-</v>
      </c>
    </row>
    <row r="4293" customHeight="1" spans="2:2">
      <c r="B4293" s="62" t="str">
        <f>IF(AND('领用录入（明细）'!D:D=$F$4,'领用录入（明细）'!C:C&gt;=$J$4,'领用录入（明细）'!C:C&lt;=$L$4),ROW(),"-")</f>
        <v>-</v>
      </c>
    </row>
    <row r="4294" customHeight="1" spans="2:2">
      <c r="B4294" s="62" t="str">
        <f>IF(AND('领用录入（明细）'!D:D=$F$4,'领用录入（明细）'!C:C&gt;=$J$4,'领用录入（明细）'!C:C&lt;=$L$4),ROW(),"-")</f>
        <v>-</v>
      </c>
    </row>
    <row r="4295" customHeight="1" spans="2:2">
      <c r="B4295" s="62" t="str">
        <f>IF(AND('领用录入（明细）'!D:D=$F$4,'领用录入（明细）'!C:C&gt;=$J$4,'领用录入（明细）'!C:C&lt;=$L$4),ROW(),"-")</f>
        <v>-</v>
      </c>
    </row>
    <row r="4296" customHeight="1" spans="2:2">
      <c r="B4296" s="62" t="str">
        <f>IF(AND('领用录入（明细）'!D:D=$F$4,'领用录入（明细）'!C:C&gt;=$J$4,'领用录入（明细）'!C:C&lt;=$L$4),ROW(),"-")</f>
        <v>-</v>
      </c>
    </row>
    <row r="4297" customHeight="1" spans="2:2">
      <c r="B4297" s="62" t="str">
        <f>IF(AND('领用录入（明细）'!D:D=$F$4,'领用录入（明细）'!C:C&gt;=$J$4,'领用录入（明细）'!C:C&lt;=$L$4),ROW(),"-")</f>
        <v>-</v>
      </c>
    </row>
    <row r="4298" customHeight="1" spans="2:2">
      <c r="B4298" s="62" t="str">
        <f>IF(AND('领用录入（明细）'!D:D=$F$4,'领用录入（明细）'!C:C&gt;=$J$4,'领用录入（明细）'!C:C&lt;=$L$4),ROW(),"-")</f>
        <v>-</v>
      </c>
    </row>
    <row r="4299" customHeight="1" spans="2:2">
      <c r="B4299" s="62" t="str">
        <f>IF(AND('领用录入（明细）'!D:D=$F$4,'领用录入（明细）'!C:C&gt;=$J$4,'领用录入（明细）'!C:C&lt;=$L$4),ROW(),"-")</f>
        <v>-</v>
      </c>
    </row>
    <row r="4300" customHeight="1" spans="2:2">
      <c r="B4300" s="62" t="str">
        <f>IF(AND('领用录入（明细）'!D:D=$F$4,'领用录入（明细）'!C:C&gt;=$J$4,'领用录入（明细）'!C:C&lt;=$L$4),ROW(),"-")</f>
        <v>-</v>
      </c>
    </row>
    <row r="4301" customHeight="1" spans="2:2">
      <c r="B4301" s="62" t="str">
        <f>IF(AND('领用录入（明细）'!D:D=$F$4,'领用录入（明细）'!C:C&gt;=$J$4,'领用录入（明细）'!C:C&lt;=$L$4),ROW(),"-")</f>
        <v>-</v>
      </c>
    </row>
    <row r="4302" customHeight="1" spans="2:2">
      <c r="B4302" s="62" t="str">
        <f>IF(AND('领用录入（明细）'!D:D=$F$4,'领用录入（明细）'!C:C&gt;=$J$4,'领用录入（明细）'!C:C&lt;=$L$4),ROW(),"-")</f>
        <v>-</v>
      </c>
    </row>
    <row r="4303" customHeight="1" spans="2:2">
      <c r="B4303" s="62" t="str">
        <f>IF(AND('领用录入（明细）'!D:D=$F$4,'领用录入（明细）'!C:C&gt;=$J$4,'领用录入（明细）'!C:C&lt;=$L$4),ROW(),"-")</f>
        <v>-</v>
      </c>
    </row>
    <row r="4304" customHeight="1" spans="2:2">
      <c r="B4304" s="62" t="str">
        <f>IF(AND('领用录入（明细）'!D:D=$F$4,'领用录入（明细）'!C:C&gt;=$J$4,'领用录入（明细）'!C:C&lt;=$L$4),ROW(),"-")</f>
        <v>-</v>
      </c>
    </row>
    <row r="4305" customHeight="1" spans="2:2">
      <c r="B4305" s="62" t="str">
        <f>IF(AND('领用录入（明细）'!D:D=$F$4,'领用录入（明细）'!C:C&gt;=$J$4,'领用录入（明细）'!C:C&lt;=$L$4),ROW(),"-")</f>
        <v>-</v>
      </c>
    </row>
    <row r="4306" customHeight="1" spans="2:2">
      <c r="B4306" s="62" t="str">
        <f>IF(AND('领用录入（明细）'!D:D=$F$4,'领用录入（明细）'!C:C&gt;=$J$4,'领用录入（明细）'!C:C&lt;=$L$4),ROW(),"-")</f>
        <v>-</v>
      </c>
    </row>
    <row r="4307" customHeight="1" spans="2:2">
      <c r="B4307" s="62" t="str">
        <f>IF(AND('领用录入（明细）'!D:D=$F$4,'领用录入（明细）'!C:C&gt;=$J$4,'领用录入（明细）'!C:C&lt;=$L$4),ROW(),"-")</f>
        <v>-</v>
      </c>
    </row>
    <row r="4308" customHeight="1" spans="2:2">
      <c r="B4308" s="62" t="str">
        <f>IF(AND('领用录入（明细）'!D:D=$F$4,'领用录入（明细）'!C:C&gt;=$J$4,'领用录入（明细）'!C:C&lt;=$L$4),ROW(),"-")</f>
        <v>-</v>
      </c>
    </row>
    <row r="4309" customHeight="1" spans="2:2">
      <c r="B4309" s="62" t="str">
        <f>IF(AND('领用录入（明细）'!D:D=$F$4,'领用录入（明细）'!C:C&gt;=$J$4,'领用录入（明细）'!C:C&lt;=$L$4),ROW(),"-")</f>
        <v>-</v>
      </c>
    </row>
    <row r="4310" customHeight="1" spans="2:2">
      <c r="B4310" s="62" t="str">
        <f>IF(AND('领用录入（明细）'!D:D=$F$4,'领用录入（明细）'!C:C&gt;=$J$4,'领用录入（明细）'!C:C&lt;=$L$4),ROW(),"-")</f>
        <v>-</v>
      </c>
    </row>
    <row r="4311" customHeight="1" spans="2:2">
      <c r="B4311" s="62" t="str">
        <f>IF(AND('领用录入（明细）'!D:D=$F$4,'领用录入（明细）'!C:C&gt;=$J$4,'领用录入（明细）'!C:C&lt;=$L$4),ROW(),"-")</f>
        <v>-</v>
      </c>
    </row>
    <row r="4312" customHeight="1" spans="2:2">
      <c r="B4312" s="62" t="str">
        <f>IF(AND('领用录入（明细）'!D:D=$F$4,'领用录入（明细）'!C:C&gt;=$J$4,'领用录入（明细）'!C:C&lt;=$L$4),ROW(),"-")</f>
        <v>-</v>
      </c>
    </row>
    <row r="4313" customHeight="1" spans="2:2">
      <c r="B4313" s="62" t="str">
        <f>IF(AND('领用录入（明细）'!D:D=$F$4,'领用录入（明细）'!C:C&gt;=$J$4,'领用录入（明细）'!C:C&lt;=$L$4),ROW(),"-")</f>
        <v>-</v>
      </c>
    </row>
    <row r="4314" customHeight="1" spans="2:2">
      <c r="B4314" s="62" t="str">
        <f>IF(AND('领用录入（明细）'!D:D=$F$4,'领用录入（明细）'!C:C&gt;=$J$4,'领用录入（明细）'!C:C&lt;=$L$4),ROW(),"-")</f>
        <v>-</v>
      </c>
    </row>
    <row r="4315" customHeight="1" spans="2:2">
      <c r="B4315" s="62" t="str">
        <f>IF(AND('领用录入（明细）'!D:D=$F$4,'领用录入（明细）'!C:C&gt;=$J$4,'领用录入（明细）'!C:C&lt;=$L$4),ROW(),"-")</f>
        <v>-</v>
      </c>
    </row>
    <row r="4316" customHeight="1" spans="2:2">
      <c r="B4316" s="62" t="str">
        <f>IF(AND('领用录入（明细）'!D:D=$F$4,'领用录入（明细）'!C:C&gt;=$J$4,'领用录入（明细）'!C:C&lt;=$L$4),ROW(),"-")</f>
        <v>-</v>
      </c>
    </row>
    <row r="4317" customHeight="1" spans="2:2">
      <c r="B4317" s="62" t="str">
        <f>IF(AND('领用录入（明细）'!D:D=$F$4,'领用录入（明细）'!C:C&gt;=$J$4,'领用录入（明细）'!C:C&lt;=$L$4),ROW(),"-")</f>
        <v>-</v>
      </c>
    </row>
    <row r="4318" customHeight="1" spans="2:2">
      <c r="B4318" s="62" t="str">
        <f>IF(AND('领用录入（明细）'!D:D=$F$4,'领用录入（明细）'!C:C&gt;=$J$4,'领用录入（明细）'!C:C&lt;=$L$4),ROW(),"-")</f>
        <v>-</v>
      </c>
    </row>
    <row r="4319" customHeight="1" spans="2:2">
      <c r="B4319" s="62" t="str">
        <f>IF(AND('领用录入（明细）'!D:D=$F$4,'领用录入（明细）'!C:C&gt;=$J$4,'领用录入（明细）'!C:C&lt;=$L$4),ROW(),"-")</f>
        <v>-</v>
      </c>
    </row>
    <row r="4320" customHeight="1" spans="2:2">
      <c r="B4320" s="62" t="str">
        <f>IF(AND('领用录入（明细）'!D:D=$F$4,'领用录入（明细）'!C:C&gt;=$J$4,'领用录入（明细）'!C:C&lt;=$L$4),ROW(),"-")</f>
        <v>-</v>
      </c>
    </row>
    <row r="4321" customHeight="1" spans="2:2">
      <c r="B4321" s="62" t="str">
        <f>IF(AND('领用录入（明细）'!D:D=$F$4,'领用录入（明细）'!C:C&gt;=$J$4,'领用录入（明细）'!C:C&lt;=$L$4),ROW(),"-")</f>
        <v>-</v>
      </c>
    </row>
    <row r="4322" customHeight="1" spans="2:2">
      <c r="B4322" s="62" t="str">
        <f>IF(AND('领用录入（明细）'!D:D=$F$4,'领用录入（明细）'!C:C&gt;=$J$4,'领用录入（明细）'!C:C&lt;=$L$4),ROW(),"-")</f>
        <v>-</v>
      </c>
    </row>
    <row r="4323" customHeight="1" spans="2:2">
      <c r="B4323" s="62" t="str">
        <f>IF(AND('领用录入（明细）'!D:D=$F$4,'领用录入（明细）'!C:C&gt;=$J$4,'领用录入（明细）'!C:C&lt;=$L$4),ROW(),"-")</f>
        <v>-</v>
      </c>
    </row>
    <row r="4324" customHeight="1" spans="2:2">
      <c r="B4324" s="62" t="str">
        <f>IF(AND('领用录入（明细）'!D:D=$F$4,'领用录入（明细）'!C:C&gt;=$J$4,'领用录入（明细）'!C:C&lt;=$L$4),ROW(),"-")</f>
        <v>-</v>
      </c>
    </row>
    <row r="4325" customHeight="1" spans="2:2">
      <c r="B4325" s="62" t="str">
        <f>IF(AND('领用录入（明细）'!D:D=$F$4,'领用录入（明细）'!C:C&gt;=$J$4,'领用录入（明细）'!C:C&lt;=$L$4),ROW(),"-")</f>
        <v>-</v>
      </c>
    </row>
    <row r="4326" customHeight="1" spans="2:2">
      <c r="B4326" s="62" t="str">
        <f>IF(AND('领用录入（明细）'!D:D=$F$4,'领用录入（明细）'!C:C&gt;=$J$4,'领用录入（明细）'!C:C&lt;=$L$4),ROW(),"-")</f>
        <v>-</v>
      </c>
    </row>
    <row r="4327" customHeight="1" spans="2:2">
      <c r="B4327" s="62" t="str">
        <f>IF(AND('领用录入（明细）'!D:D=$F$4,'领用录入（明细）'!C:C&gt;=$J$4,'领用录入（明细）'!C:C&lt;=$L$4),ROW(),"-")</f>
        <v>-</v>
      </c>
    </row>
    <row r="4328" customHeight="1" spans="2:2">
      <c r="B4328" s="62" t="str">
        <f>IF(AND('领用录入（明细）'!D:D=$F$4,'领用录入（明细）'!C:C&gt;=$J$4,'领用录入（明细）'!C:C&lt;=$L$4),ROW(),"-")</f>
        <v>-</v>
      </c>
    </row>
    <row r="4329" customHeight="1" spans="2:2">
      <c r="B4329" s="62" t="str">
        <f>IF(AND('领用录入（明细）'!D:D=$F$4,'领用录入（明细）'!C:C&gt;=$J$4,'领用录入（明细）'!C:C&lt;=$L$4),ROW(),"-")</f>
        <v>-</v>
      </c>
    </row>
    <row r="4330" customHeight="1" spans="2:2">
      <c r="B4330" s="62" t="str">
        <f>IF(AND('领用录入（明细）'!D:D=$F$4,'领用录入（明细）'!C:C&gt;=$J$4,'领用录入（明细）'!C:C&lt;=$L$4),ROW(),"-")</f>
        <v>-</v>
      </c>
    </row>
    <row r="4331" customHeight="1" spans="2:2">
      <c r="B4331" s="62" t="str">
        <f>IF(AND('领用录入（明细）'!D:D=$F$4,'领用录入（明细）'!C:C&gt;=$J$4,'领用录入（明细）'!C:C&lt;=$L$4),ROW(),"-")</f>
        <v>-</v>
      </c>
    </row>
    <row r="4332" customHeight="1" spans="2:2">
      <c r="B4332" s="62" t="str">
        <f>IF(AND('领用录入（明细）'!D:D=$F$4,'领用录入（明细）'!C:C&gt;=$J$4,'领用录入（明细）'!C:C&lt;=$L$4),ROW(),"-")</f>
        <v>-</v>
      </c>
    </row>
    <row r="4333" customHeight="1" spans="2:2">
      <c r="B4333" s="62" t="str">
        <f>IF(AND('领用录入（明细）'!D:D=$F$4,'领用录入（明细）'!C:C&gt;=$J$4,'领用录入（明细）'!C:C&lt;=$L$4),ROW(),"-")</f>
        <v>-</v>
      </c>
    </row>
    <row r="4334" customHeight="1" spans="2:2">
      <c r="B4334" s="62" t="str">
        <f>IF(AND('领用录入（明细）'!D:D=$F$4,'领用录入（明细）'!C:C&gt;=$J$4,'领用录入（明细）'!C:C&lt;=$L$4),ROW(),"-")</f>
        <v>-</v>
      </c>
    </row>
    <row r="4335" customHeight="1" spans="2:2">
      <c r="B4335" s="62" t="str">
        <f>IF(AND('领用录入（明细）'!D:D=$F$4,'领用录入（明细）'!C:C&gt;=$J$4,'领用录入（明细）'!C:C&lt;=$L$4),ROW(),"-")</f>
        <v>-</v>
      </c>
    </row>
    <row r="4336" customHeight="1" spans="2:2">
      <c r="B4336" s="62" t="str">
        <f>IF(AND('领用录入（明细）'!D:D=$F$4,'领用录入（明细）'!C:C&gt;=$J$4,'领用录入（明细）'!C:C&lt;=$L$4),ROW(),"-")</f>
        <v>-</v>
      </c>
    </row>
    <row r="4337" customHeight="1" spans="2:2">
      <c r="B4337" s="62" t="str">
        <f>IF(AND('领用录入（明细）'!D:D=$F$4,'领用录入（明细）'!C:C&gt;=$J$4,'领用录入（明细）'!C:C&lt;=$L$4),ROW(),"-")</f>
        <v>-</v>
      </c>
    </row>
    <row r="4338" customHeight="1" spans="2:2">
      <c r="B4338" s="62" t="str">
        <f>IF(AND('领用录入（明细）'!D:D=$F$4,'领用录入（明细）'!C:C&gt;=$J$4,'领用录入（明细）'!C:C&lt;=$L$4),ROW(),"-")</f>
        <v>-</v>
      </c>
    </row>
    <row r="4339" customHeight="1" spans="2:2">
      <c r="B4339" s="62" t="str">
        <f>IF(AND('领用录入（明细）'!D:D=$F$4,'领用录入（明细）'!C:C&gt;=$J$4,'领用录入（明细）'!C:C&lt;=$L$4),ROW(),"-")</f>
        <v>-</v>
      </c>
    </row>
    <row r="4340" customHeight="1" spans="2:2">
      <c r="B4340" s="62" t="str">
        <f>IF(AND('领用录入（明细）'!D:D=$F$4,'领用录入（明细）'!C:C&gt;=$J$4,'领用录入（明细）'!C:C&lt;=$L$4),ROW(),"-")</f>
        <v>-</v>
      </c>
    </row>
    <row r="4341" customHeight="1" spans="2:2">
      <c r="B4341" s="62" t="str">
        <f>IF(AND('领用录入（明细）'!D:D=$F$4,'领用录入（明细）'!C:C&gt;=$J$4,'领用录入（明细）'!C:C&lt;=$L$4),ROW(),"-")</f>
        <v>-</v>
      </c>
    </row>
    <row r="4342" customHeight="1" spans="2:2">
      <c r="B4342" s="62" t="str">
        <f>IF(AND('领用录入（明细）'!D:D=$F$4,'领用录入（明细）'!C:C&gt;=$J$4,'领用录入（明细）'!C:C&lt;=$L$4),ROW(),"-")</f>
        <v>-</v>
      </c>
    </row>
    <row r="4343" customHeight="1" spans="2:2">
      <c r="B4343" s="62" t="str">
        <f>IF(AND('领用录入（明细）'!D:D=$F$4,'领用录入（明细）'!C:C&gt;=$J$4,'领用录入（明细）'!C:C&lt;=$L$4),ROW(),"-")</f>
        <v>-</v>
      </c>
    </row>
    <row r="4344" customHeight="1" spans="2:2">
      <c r="B4344" s="62" t="str">
        <f>IF(AND('领用录入（明细）'!D:D=$F$4,'领用录入（明细）'!C:C&gt;=$J$4,'领用录入（明细）'!C:C&lt;=$L$4),ROW(),"-")</f>
        <v>-</v>
      </c>
    </row>
    <row r="4345" customHeight="1" spans="2:2">
      <c r="B4345" s="62" t="str">
        <f>IF(AND('领用录入（明细）'!D:D=$F$4,'领用录入（明细）'!C:C&gt;=$J$4,'领用录入（明细）'!C:C&lt;=$L$4),ROW(),"-")</f>
        <v>-</v>
      </c>
    </row>
    <row r="4346" customHeight="1" spans="2:2">
      <c r="B4346" s="62" t="str">
        <f>IF(AND('领用录入（明细）'!D:D=$F$4,'领用录入（明细）'!C:C&gt;=$J$4,'领用录入（明细）'!C:C&lt;=$L$4),ROW(),"-")</f>
        <v>-</v>
      </c>
    </row>
    <row r="4347" customHeight="1" spans="2:2">
      <c r="B4347" s="62" t="str">
        <f>IF(AND('领用录入（明细）'!D:D=$F$4,'领用录入（明细）'!C:C&gt;=$J$4,'领用录入（明细）'!C:C&lt;=$L$4),ROW(),"-")</f>
        <v>-</v>
      </c>
    </row>
    <row r="4348" customHeight="1" spans="2:2">
      <c r="B4348" s="62" t="str">
        <f>IF(AND('领用录入（明细）'!D:D=$F$4,'领用录入（明细）'!C:C&gt;=$J$4,'领用录入（明细）'!C:C&lt;=$L$4),ROW(),"-")</f>
        <v>-</v>
      </c>
    </row>
    <row r="4349" customHeight="1" spans="2:2">
      <c r="B4349" s="62" t="str">
        <f>IF(AND('领用录入（明细）'!D:D=$F$4,'领用录入（明细）'!C:C&gt;=$J$4,'领用录入（明细）'!C:C&lt;=$L$4),ROW(),"-")</f>
        <v>-</v>
      </c>
    </row>
    <row r="4350" customHeight="1" spans="2:2">
      <c r="B4350" s="62" t="str">
        <f>IF(AND('领用录入（明细）'!D:D=$F$4,'领用录入（明细）'!C:C&gt;=$J$4,'领用录入（明细）'!C:C&lt;=$L$4),ROW(),"-")</f>
        <v>-</v>
      </c>
    </row>
    <row r="4351" customHeight="1" spans="2:2">
      <c r="B4351" s="62" t="str">
        <f>IF(AND('领用录入（明细）'!D:D=$F$4,'领用录入（明细）'!C:C&gt;=$J$4,'领用录入（明细）'!C:C&lt;=$L$4),ROW(),"-")</f>
        <v>-</v>
      </c>
    </row>
    <row r="4352" customHeight="1" spans="2:2">
      <c r="B4352" s="62" t="str">
        <f>IF(AND('领用录入（明细）'!D:D=$F$4,'领用录入（明细）'!C:C&gt;=$J$4,'领用录入（明细）'!C:C&lt;=$L$4),ROW(),"-")</f>
        <v>-</v>
      </c>
    </row>
    <row r="4353" customHeight="1" spans="2:2">
      <c r="B4353" s="62" t="str">
        <f>IF(AND('领用录入（明细）'!D:D=$F$4,'领用录入（明细）'!C:C&gt;=$J$4,'领用录入（明细）'!C:C&lt;=$L$4),ROW(),"-")</f>
        <v>-</v>
      </c>
    </row>
    <row r="4354" customHeight="1" spans="2:2">
      <c r="B4354" s="62" t="str">
        <f>IF(AND('领用录入（明细）'!D:D=$F$4,'领用录入（明细）'!C:C&gt;=$J$4,'领用录入（明细）'!C:C&lt;=$L$4),ROW(),"-")</f>
        <v>-</v>
      </c>
    </row>
    <row r="4355" customHeight="1" spans="2:2">
      <c r="B4355" s="62" t="str">
        <f>IF(AND('领用录入（明细）'!D:D=$F$4,'领用录入（明细）'!C:C&gt;=$J$4,'领用录入（明细）'!C:C&lt;=$L$4),ROW(),"-")</f>
        <v>-</v>
      </c>
    </row>
    <row r="4356" customHeight="1" spans="2:2">
      <c r="B4356" s="62" t="str">
        <f>IF(AND('领用录入（明细）'!D:D=$F$4,'领用录入（明细）'!C:C&gt;=$J$4,'领用录入（明细）'!C:C&lt;=$L$4),ROW(),"-")</f>
        <v>-</v>
      </c>
    </row>
    <row r="4357" customHeight="1" spans="2:2">
      <c r="B4357" s="62" t="str">
        <f>IF(AND('领用录入（明细）'!D:D=$F$4,'领用录入（明细）'!C:C&gt;=$J$4,'领用录入（明细）'!C:C&lt;=$L$4),ROW(),"-")</f>
        <v>-</v>
      </c>
    </row>
    <row r="4358" customHeight="1" spans="2:2">
      <c r="B4358" s="62" t="str">
        <f>IF(AND('领用录入（明细）'!D:D=$F$4,'领用录入（明细）'!C:C&gt;=$J$4,'领用录入（明细）'!C:C&lt;=$L$4),ROW(),"-")</f>
        <v>-</v>
      </c>
    </row>
    <row r="4359" customHeight="1" spans="2:2">
      <c r="B4359" s="62" t="str">
        <f>IF(AND('领用录入（明细）'!D:D=$F$4,'领用录入（明细）'!C:C&gt;=$J$4,'领用录入（明细）'!C:C&lt;=$L$4),ROW(),"-")</f>
        <v>-</v>
      </c>
    </row>
    <row r="4360" customHeight="1" spans="2:2">
      <c r="B4360" s="62" t="str">
        <f>IF(AND('领用录入（明细）'!D:D=$F$4,'领用录入（明细）'!C:C&gt;=$J$4,'领用录入（明细）'!C:C&lt;=$L$4),ROW(),"-")</f>
        <v>-</v>
      </c>
    </row>
    <row r="4361" customHeight="1" spans="2:2">
      <c r="B4361" s="62" t="str">
        <f>IF(AND('领用录入（明细）'!D:D=$F$4,'领用录入（明细）'!C:C&gt;=$J$4,'领用录入（明细）'!C:C&lt;=$L$4),ROW(),"-")</f>
        <v>-</v>
      </c>
    </row>
    <row r="4362" customHeight="1" spans="2:2">
      <c r="B4362" s="62" t="str">
        <f>IF(AND('领用录入（明细）'!D:D=$F$4,'领用录入（明细）'!C:C&gt;=$J$4,'领用录入（明细）'!C:C&lt;=$L$4),ROW(),"-")</f>
        <v>-</v>
      </c>
    </row>
    <row r="4363" customHeight="1" spans="2:2">
      <c r="B4363" s="62" t="str">
        <f>IF(AND('领用录入（明细）'!D:D=$F$4,'领用录入（明细）'!C:C&gt;=$J$4,'领用录入（明细）'!C:C&lt;=$L$4),ROW(),"-")</f>
        <v>-</v>
      </c>
    </row>
    <row r="4364" customHeight="1" spans="2:2">
      <c r="B4364" s="62" t="str">
        <f>IF(AND('领用录入（明细）'!D:D=$F$4,'领用录入（明细）'!C:C&gt;=$J$4,'领用录入（明细）'!C:C&lt;=$L$4),ROW(),"-")</f>
        <v>-</v>
      </c>
    </row>
    <row r="4365" customHeight="1" spans="2:2">
      <c r="B4365" s="62" t="str">
        <f>IF(AND('领用录入（明细）'!D:D=$F$4,'领用录入（明细）'!C:C&gt;=$J$4,'领用录入（明细）'!C:C&lt;=$L$4),ROW(),"-")</f>
        <v>-</v>
      </c>
    </row>
    <row r="4366" customHeight="1" spans="2:2">
      <c r="B4366" s="62" t="str">
        <f>IF(AND('领用录入（明细）'!D:D=$F$4,'领用录入（明细）'!C:C&gt;=$J$4,'领用录入（明细）'!C:C&lt;=$L$4),ROW(),"-")</f>
        <v>-</v>
      </c>
    </row>
    <row r="4367" customHeight="1" spans="2:2">
      <c r="B4367" s="62" t="str">
        <f>IF(AND('领用录入（明细）'!D:D=$F$4,'领用录入（明细）'!C:C&gt;=$J$4,'领用录入（明细）'!C:C&lt;=$L$4),ROW(),"-")</f>
        <v>-</v>
      </c>
    </row>
    <row r="4368" customHeight="1" spans="2:2">
      <c r="B4368" s="62" t="str">
        <f>IF(AND('领用录入（明细）'!D:D=$F$4,'领用录入（明细）'!C:C&gt;=$J$4,'领用录入（明细）'!C:C&lt;=$L$4),ROW(),"-")</f>
        <v>-</v>
      </c>
    </row>
    <row r="4369" customHeight="1" spans="2:2">
      <c r="B4369" s="62" t="str">
        <f>IF(AND('领用录入（明细）'!D:D=$F$4,'领用录入（明细）'!C:C&gt;=$J$4,'领用录入（明细）'!C:C&lt;=$L$4),ROW(),"-")</f>
        <v>-</v>
      </c>
    </row>
    <row r="4370" customHeight="1" spans="2:2">
      <c r="B4370" s="62" t="str">
        <f>IF(AND('领用录入（明细）'!D:D=$F$4,'领用录入（明细）'!C:C&gt;=$J$4,'领用录入（明细）'!C:C&lt;=$L$4),ROW(),"-")</f>
        <v>-</v>
      </c>
    </row>
    <row r="4371" customHeight="1" spans="2:2">
      <c r="B4371" s="62" t="str">
        <f>IF(AND('领用录入（明细）'!D:D=$F$4,'领用录入（明细）'!C:C&gt;=$J$4,'领用录入（明细）'!C:C&lt;=$L$4),ROW(),"-")</f>
        <v>-</v>
      </c>
    </row>
    <row r="4372" customHeight="1" spans="2:2">
      <c r="B4372" s="62" t="str">
        <f>IF(AND('领用录入（明细）'!D:D=$F$4,'领用录入（明细）'!C:C&gt;=$J$4,'领用录入（明细）'!C:C&lt;=$L$4),ROW(),"-")</f>
        <v>-</v>
      </c>
    </row>
    <row r="4373" customHeight="1" spans="2:2">
      <c r="B4373" s="62" t="str">
        <f>IF(AND('领用录入（明细）'!D:D=$F$4,'领用录入（明细）'!C:C&gt;=$J$4,'领用录入（明细）'!C:C&lt;=$L$4),ROW(),"-")</f>
        <v>-</v>
      </c>
    </row>
    <row r="4374" customHeight="1" spans="2:2">
      <c r="B4374" s="62" t="str">
        <f>IF(AND('领用录入（明细）'!D:D=$F$4,'领用录入（明细）'!C:C&gt;=$J$4,'领用录入（明细）'!C:C&lt;=$L$4),ROW(),"-")</f>
        <v>-</v>
      </c>
    </row>
    <row r="4375" customHeight="1" spans="2:2">
      <c r="B4375" s="62" t="str">
        <f>IF(AND('领用录入（明细）'!D:D=$F$4,'领用录入（明细）'!C:C&gt;=$J$4,'领用录入（明细）'!C:C&lt;=$L$4),ROW(),"-")</f>
        <v>-</v>
      </c>
    </row>
    <row r="4376" customHeight="1" spans="2:2">
      <c r="B4376" s="62" t="str">
        <f>IF(AND('领用录入（明细）'!D:D=$F$4,'领用录入（明细）'!C:C&gt;=$J$4,'领用录入（明细）'!C:C&lt;=$L$4),ROW(),"-")</f>
        <v>-</v>
      </c>
    </row>
    <row r="4377" customHeight="1" spans="2:2">
      <c r="B4377" s="62" t="str">
        <f>IF(AND('领用录入（明细）'!D:D=$F$4,'领用录入（明细）'!C:C&gt;=$J$4,'领用录入（明细）'!C:C&lt;=$L$4),ROW(),"-")</f>
        <v>-</v>
      </c>
    </row>
    <row r="4378" customHeight="1" spans="2:2">
      <c r="B4378" s="62" t="str">
        <f>IF(AND('领用录入（明细）'!D:D=$F$4,'领用录入（明细）'!C:C&gt;=$J$4,'领用录入（明细）'!C:C&lt;=$L$4),ROW(),"-")</f>
        <v>-</v>
      </c>
    </row>
    <row r="4379" customHeight="1" spans="2:2">
      <c r="B4379" s="62" t="str">
        <f>IF(AND('领用录入（明细）'!D:D=$F$4,'领用录入（明细）'!C:C&gt;=$J$4,'领用录入（明细）'!C:C&lt;=$L$4),ROW(),"-")</f>
        <v>-</v>
      </c>
    </row>
    <row r="4380" customHeight="1" spans="2:2">
      <c r="B4380" s="62" t="str">
        <f>IF(AND('领用录入（明细）'!D:D=$F$4,'领用录入（明细）'!C:C&gt;=$J$4,'领用录入（明细）'!C:C&lt;=$L$4),ROW(),"-")</f>
        <v>-</v>
      </c>
    </row>
    <row r="4381" customHeight="1" spans="2:2">
      <c r="B4381" s="62" t="str">
        <f>IF(AND('领用录入（明细）'!D:D=$F$4,'领用录入（明细）'!C:C&gt;=$J$4,'领用录入（明细）'!C:C&lt;=$L$4),ROW(),"-")</f>
        <v>-</v>
      </c>
    </row>
    <row r="4382" customHeight="1" spans="2:2">
      <c r="B4382" s="62" t="str">
        <f>IF(AND('领用录入（明细）'!D:D=$F$4,'领用录入（明细）'!C:C&gt;=$J$4,'领用录入（明细）'!C:C&lt;=$L$4),ROW(),"-")</f>
        <v>-</v>
      </c>
    </row>
    <row r="4383" customHeight="1" spans="2:2">
      <c r="B4383" s="62" t="str">
        <f>IF(AND('领用录入（明细）'!D:D=$F$4,'领用录入（明细）'!C:C&gt;=$J$4,'领用录入（明细）'!C:C&lt;=$L$4),ROW(),"-")</f>
        <v>-</v>
      </c>
    </row>
    <row r="4384" customHeight="1" spans="2:2">
      <c r="B4384" s="62" t="str">
        <f>IF(AND('领用录入（明细）'!D:D=$F$4,'领用录入（明细）'!C:C&gt;=$J$4,'领用录入（明细）'!C:C&lt;=$L$4),ROW(),"-")</f>
        <v>-</v>
      </c>
    </row>
    <row r="4385" customHeight="1" spans="2:2">
      <c r="B4385" s="62" t="str">
        <f>IF(AND('领用录入（明细）'!D:D=$F$4,'领用录入（明细）'!C:C&gt;=$J$4,'领用录入（明细）'!C:C&lt;=$L$4),ROW(),"-")</f>
        <v>-</v>
      </c>
    </row>
    <row r="4386" customHeight="1" spans="2:2">
      <c r="B4386" s="62" t="str">
        <f>IF(AND('领用录入（明细）'!D:D=$F$4,'领用录入（明细）'!C:C&gt;=$J$4,'领用录入（明细）'!C:C&lt;=$L$4),ROW(),"-")</f>
        <v>-</v>
      </c>
    </row>
    <row r="4387" customHeight="1" spans="2:2">
      <c r="B4387" s="62" t="str">
        <f>IF(AND('领用录入（明细）'!D:D=$F$4,'领用录入（明细）'!C:C&gt;=$J$4,'领用录入（明细）'!C:C&lt;=$L$4),ROW(),"-")</f>
        <v>-</v>
      </c>
    </row>
    <row r="4388" customHeight="1" spans="2:2">
      <c r="B4388" s="62" t="str">
        <f>IF(AND('领用录入（明细）'!D:D=$F$4,'领用录入（明细）'!C:C&gt;=$J$4,'领用录入（明细）'!C:C&lt;=$L$4),ROW(),"-")</f>
        <v>-</v>
      </c>
    </row>
    <row r="4389" customHeight="1" spans="2:2">
      <c r="B4389" s="62" t="str">
        <f>IF(AND('领用录入（明细）'!D:D=$F$4,'领用录入（明细）'!C:C&gt;=$J$4,'领用录入（明细）'!C:C&lt;=$L$4),ROW(),"-")</f>
        <v>-</v>
      </c>
    </row>
    <row r="4390" customHeight="1" spans="2:2">
      <c r="B4390" s="62" t="str">
        <f>IF(AND('领用录入（明细）'!D:D=$F$4,'领用录入（明细）'!C:C&gt;=$J$4,'领用录入（明细）'!C:C&lt;=$L$4),ROW(),"-")</f>
        <v>-</v>
      </c>
    </row>
    <row r="4391" customHeight="1" spans="2:2">
      <c r="B4391" s="62" t="str">
        <f>IF(AND('领用录入（明细）'!D:D=$F$4,'领用录入（明细）'!C:C&gt;=$J$4,'领用录入（明细）'!C:C&lt;=$L$4),ROW(),"-")</f>
        <v>-</v>
      </c>
    </row>
    <row r="4392" customHeight="1" spans="2:2">
      <c r="B4392" s="62" t="str">
        <f>IF(AND('领用录入（明细）'!D:D=$F$4,'领用录入（明细）'!C:C&gt;=$J$4,'领用录入（明细）'!C:C&lt;=$L$4),ROW(),"-")</f>
        <v>-</v>
      </c>
    </row>
    <row r="4393" customHeight="1" spans="2:2">
      <c r="B4393" s="62" t="str">
        <f>IF(AND('领用录入（明细）'!D:D=$F$4,'领用录入（明细）'!C:C&gt;=$J$4,'领用录入（明细）'!C:C&lt;=$L$4),ROW(),"-")</f>
        <v>-</v>
      </c>
    </row>
    <row r="4394" customHeight="1" spans="2:2">
      <c r="B4394" s="62" t="str">
        <f>IF(AND('领用录入（明细）'!D:D=$F$4,'领用录入（明细）'!C:C&gt;=$J$4,'领用录入（明细）'!C:C&lt;=$L$4),ROW(),"-")</f>
        <v>-</v>
      </c>
    </row>
    <row r="4395" customHeight="1" spans="2:2">
      <c r="B4395" s="62" t="str">
        <f>IF(AND('领用录入（明细）'!D:D=$F$4,'领用录入（明细）'!C:C&gt;=$J$4,'领用录入（明细）'!C:C&lt;=$L$4),ROW(),"-")</f>
        <v>-</v>
      </c>
    </row>
    <row r="4396" customHeight="1" spans="2:2">
      <c r="B4396" s="62" t="str">
        <f>IF(AND('领用录入（明细）'!D:D=$F$4,'领用录入（明细）'!C:C&gt;=$J$4,'领用录入（明细）'!C:C&lt;=$L$4),ROW(),"-")</f>
        <v>-</v>
      </c>
    </row>
    <row r="4397" customHeight="1" spans="2:2">
      <c r="B4397" s="62" t="str">
        <f>IF(AND('领用录入（明细）'!D:D=$F$4,'领用录入（明细）'!C:C&gt;=$J$4,'领用录入（明细）'!C:C&lt;=$L$4),ROW(),"-")</f>
        <v>-</v>
      </c>
    </row>
    <row r="4398" customHeight="1" spans="2:2">
      <c r="B4398" s="62" t="str">
        <f>IF(AND('领用录入（明细）'!D:D=$F$4,'领用录入（明细）'!C:C&gt;=$J$4,'领用录入（明细）'!C:C&lt;=$L$4),ROW(),"-")</f>
        <v>-</v>
      </c>
    </row>
    <row r="4399" customHeight="1" spans="2:2">
      <c r="B4399" s="62" t="str">
        <f>IF(AND('领用录入（明细）'!D:D=$F$4,'领用录入（明细）'!C:C&gt;=$J$4,'领用录入（明细）'!C:C&lt;=$L$4),ROW(),"-")</f>
        <v>-</v>
      </c>
    </row>
    <row r="4400" customHeight="1" spans="2:2">
      <c r="B4400" s="62" t="str">
        <f>IF(AND('领用录入（明细）'!D:D=$F$4,'领用录入（明细）'!C:C&gt;=$J$4,'领用录入（明细）'!C:C&lt;=$L$4),ROW(),"-")</f>
        <v>-</v>
      </c>
    </row>
    <row r="4401" customHeight="1" spans="2:2">
      <c r="B4401" s="62" t="str">
        <f>IF(AND('领用录入（明细）'!D:D=$F$4,'领用录入（明细）'!C:C&gt;=$J$4,'领用录入（明细）'!C:C&lt;=$L$4),ROW(),"-")</f>
        <v>-</v>
      </c>
    </row>
    <row r="4402" customHeight="1" spans="2:2">
      <c r="B4402" s="62" t="str">
        <f>IF(AND('领用录入（明细）'!D:D=$F$4,'领用录入（明细）'!C:C&gt;=$J$4,'领用录入（明细）'!C:C&lt;=$L$4),ROW(),"-")</f>
        <v>-</v>
      </c>
    </row>
    <row r="4403" customHeight="1" spans="2:2">
      <c r="B4403" s="62" t="str">
        <f>IF(AND('领用录入（明细）'!D:D=$F$4,'领用录入（明细）'!C:C&gt;=$J$4,'领用录入（明细）'!C:C&lt;=$L$4),ROW(),"-")</f>
        <v>-</v>
      </c>
    </row>
    <row r="4404" customHeight="1" spans="2:2">
      <c r="B4404" s="62" t="str">
        <f>IF(AND('领用录入（明细）'!D:D=$F$4,'领用录入（明细）'!C:C&gt;=$J$4,'领用录入（明细）'!C:C&lt;=$L$4),ROW(),"-")</f>
        <v>-</v>
      </c>
    </row>
    <row r="4405" customHeight="1" spans="2:2">
      <c r="B4405" s="62" t="str">
        <f>IF(AND('领用录入（明细）'!D:D=$F$4,'领用录入（明细）'!C:C&gt;=$J$4,'领用录入（明细）'!C:C&lt;=$L$4),ROW(),"-")</f>
        <v>-</v>
      </c>
    </row>
    <row r="4406" customHeight="1" spans="2:2">
      <c r="B4406" s="62" t="str">
        <f>IF(AND('领用录入（明细）'!D:D=$F$4,'领用录入（明细）'!C:C&gt;=$J$4,'领用录入（明细）'!C:C&lt;=$L$4),ROW(),"-")</f>
        <v>-</v>
      </c>
    </row>
    <row r="4407" customHeight="1" spans="2:2">
      <c r="B4407" s="62" t="str">
        <f>IF(AND('领用录入（明细）'!D:D=$F$4,'领用录入（明细）'!C:C&gt;=$J$4,'领用录入（明细）'!C:C&lt;=$L$4),ROW(),"-")</f>
        <v>-</v>
      </c>
    </row>
    <row r="4408" customHeight="1" spans="2:2">
      <c r="B4408" s="62" t="str">
        <f>IF(AND('领用录入（明细）'!D:D=$F$4,'领用录入（明细）'!C:C&gt;=$J$4,'领用录入（明细）'!C:C&lt;=$L$4),ROW(),"-")</f>
        <v>-</v>
      </c>
    </row>
    <row r="4409" customHeight="1" spans="2:2">
      <c r="B4409" s="62" t="str">
        <f>IF(AND('领用录入（明细）'!D:D=$F$4,'领用录入（明细）'!C:C&gt;=$J$4,'领用录入（明细）'!C:C&lt;=$L$4),ROW(),"-")</f>
        <v>-</v>
      </c>
    </row>
    <row r="4410" customHeight="1" spans="2:2">
      <c r="B4410" s="62" t="str">
        <f>IF(AND('领用录入（明细）'!D:D=$F$4,'领用录入（明细）'!C:C&gt;=$J$4,'领用录入（明细）'!C:C&lt;=$L$4),ROW(),"-")</f>
        <v>-</v>
      </c>
    </row>
    <row r="4411" customHeight="1" spans="2:2">
      <c r="B4411" s="62" t="str">
        <f>IF(AND('领用录入（明细）'!D:D=$F$4,'领用录入（明细）'!C:C&gt;=$J$4,'领用录入（明细）'!C:C&lt;=$L$4),ROW(),"-")</f>
        <v>-</v>
      </c>
    </row>
    <row r="4412" customHeight="1" spans="2:2">
      <c r="B4412" s="62" t="str">
        <f>IF(AND('领用录入（明细）'!D:D=$F$4,'领用录入（明细）'!C:C&gt;=$J$4,'领用录入（明细）'!C:C&lt;=$L$4),ROW(),"-")</f>
        <v>-</v>
      </c>
    </row>
    <row r="4413" customHeight="1" spans="2:2">
      <c r="B4413" s="62" t="str">
        <f>IF(AND('领用录入（明细）'!D:D=$F$4,'领用录入（明细）'!C:C&gt;=$J$4,'领用录入（明细）'!C:C&lt;=$L$4),ROW(),"-")</f>
        <v>-</v>
      </c>
    </row>
    <row r="4414" customHeight="1" spans="2:2">
      <c r="B4414" s="62" t="str">
        <f>IF(AND('领用录入（明细）'!D:D=$F$4,'领用录入（明细）'!C:C&gt;=$J$4,'领用录入（明细）'!C:C&lt;=$L$4),ROW(),"-")</f>
        <v>-</v>
      </c>
    </row>
    <row r="4415" customHeight="1" spans="2:2">
      <c r="B4415" s="62" t="str">
        <f>IF(AND('领用录入（明细）'!D:D=$F$4,'领用录入（明细）'!C:C&gt;=$J$4,'领用录入（明细）'!C:C&lt;=$L$4),ROW(),"-")</f>
        <v>-</v>
      </c>
    </row>
    <row r="4416" customHeight="1" spans="2:2">
      <c r="B4416" s="62" t="str">
        <f>IF(AND('领用录入（明细）'!D:D=$F$4,'领用录入（明细）'!C:C&gt;=$J$4,'领用录入（明细）'!C:C&lt;=$L$4),ROW(),"-")</f>
        <v>-</v>
      </c>
    </row>
    <row r="4417" customHeight="1" spans="2:2">
      <c r="B4417" s="62" t="str">
        <f>IF(AND('领用录入（明细）'!D:D=$F$4,'领用录入（明细）'!C:C&gt;=$J$4,'领用录入（明细）'!C:C&lt;=$L$4),ROW(),"-")</f>
        <v>-</v>
      </c>
    </row>
    <row r="4418" customHeight="1" spans="2:2">
      <c r="B4418" s="62" t="str">
        <f>IF(AND('领用录入（明细）'!D:D=$F$4,'领用录入（明细）'!C:C&gt;=$J$4,'领用录入（明细）'!C:C&lt;=$L$4),ROW(),"-")</f>
        <v>-</v>
      </c>
    </row>
    <row r="4419" customHeight="1" spans="2:2">
      <c r="B4419" s="62" t="str">
        <f>IF(AND('领用录入（明细）'!D:D=$F$4,'领用录入（明细）'!C:C&gt;=$J$4,'领用录入（明细）'!C:C&lt;=$L$4),ROW(),"-")</f>
        <v>-</v>
      </c>
    </row>
    <row r="4420" customHeight="1" spans="2:2">
      <c r="B4420" s="62" t="str">
        <f>IF(AND('领用录入（明细）'!D:D=$F$4,'领用录入（明细）'!C:C&gt;=$J$4,'领用录入（明细）'!C:C&lt;=$L$4),ROW(),"-")</f>
        <v>-</v>
      </c>
    </row>
    <row r="4421" customHeight="1" spans="2:2">
      <c r="B4421" s="62" t="str">
        <f>IF(AND('领用录入（明细）'!D:D=$F$4,'领用录入（明细）'!C:C&gt;=$J$4,'领用录入（明细）'!C:C&lt;=$L$4),ROW(),"-")</f>
        <v>-</v>
      </c>
    </row>
    <row r="4422" customHeight="1" spans="2:2">
      <c r="B4422" s="62" t="str">
        <f>IF(AND('领用录入（明细）'!D:D=$F$4,'领用录入（明细）'!C:C&gt;=$J$4,'领用录入（明细）'!C:C&lt;=$L$4),ROW(),"-")</f>
        <v>-</v>
      </c>
    </row>
    <row r="4423" customHeight="1" spans="2:2">
      <c r="B4423" s="62" t="str">
        <f>IF(AND('领用录入（明细）'!D:D=$F$4,'领用录入（明细）'!C:C&gt;=$J$4,'领用录入（明细）'!C:C&lt;=$L$4),ROW(),"-")</f>
        <v>-</v>
      </c>
    </row>
    <row r="4424" customHeight="1" spans="2:2">
      <c r="B4424" s="62" t="str">
        <f>IF(AND('领用录入（明细）'!D:D=$F$4,'领用录入（明细）'!C:C&gt;=$J$4,'领用录入（明细）'!C:C&lt;=$L$4),ROW(),"-")</f>
        <v>-</v>
      </c>
    </row>
    <row r="4425" customHeight="1" spans="2:2">
      <c r="B4425" s="62" t="str">
        <f>IF(AND('领用录入（明细）'!D:D=$F$4,'领用录入（明细）'!C:C&gt;=$J$4,'领用录入（明细）'!C:C&lt;=$L$4),ROW(),"-")</f>
        <v>-</v>
      </c>
    </row>
    <row r="4426" customHeight="1" spans="2:2">
      <c r="B4426" s="62" t="str">
        <f>IF(AND('领用录入（明细）'!D:D=$F$4,'领用录入（明细）'!C:C&gt;=$J$4,'领用录入（明细）'!C:C&lt;=$L$4),ROW(),"-")</f>
        <v>-</v>
      </c>
    </row>
    <row r="4427" customHeight="1" spans="2:2">
      <c r="B4427" s="62" t="str">
        <f>IF(AND('领用录入（明细）'!D:D=$F$4,'领用录入（明细）'!C:C&gt;=$J$4,'领用录入（明细）'!C:C&lt;=$L$4),ROW(),"-")</f>
        <v>-</v>
      </c>
    </row>
    <row r="4428" customHeight="1" spans="2:2">
      <c r="B4428" s="62" t="str">
        <f>IF(AND('领用录入（明细）'!D:D=$F$4,'领用录入（明细）'!C:C&gt;=$J$4,'领用录入（明细）'!C:C&lt;=$L$4),ROW(),"-")</f>
        <v>-</v>
      </c>
    </row>
    <row r="4429" customHeight="1" spans="2:2">
      <c r="B4429" s="62" t="str">
        <f>IF(AND('领用录入（明细）'!D:D=$F$4,'领用录入（明细）'!C:C&gt;=$J$4,'领用录入（明细）'!C:C&lt;=$L$4),ROW(),"-")</f>
        <v>-</v>
      </c>
    </row>
    <row r="4430" customHeight="1" spans="2:2">
      <c r="B4430" s="62" t="str">
        <f>IF(AND('领用录入（明细）'!D:D=$F$4,'领用录入（明细）'!C:C&gt;=$J$4,'领用录入（明细）'!C:C&lt;=$L$4),ROW(),"-")</f>
        <v>-</v>
      </c>
    </row>
    <row r="4431" customHeight="1" spans="2:2">
      <c r="B4431" s="62" t="str">
        <f>IF(AND('领用录入（明细）'!D:D=$F$4,'领用录入（明细）'!C:C&gt;=$J$4,'领用录入（明细）'!C:C&lt;=$L$4),ROW(),"-")</f>
        <v>-</v>
      </c>
    </row>
    <row r="4432" customHeight="1" spans="2:2">
      <c r="B4432" s="62" t="str">
        <f>IF(AND('领用录入（明细）'!D:D=$F$4,'领用录入（明细）'!C:C&gt;=$J$4,'领用录入（明细）'!C:C&lt;=$L$4),ROW(),"-")</f>
        <v>-</v>
      </c>
    </row>
    <row r="4433" customHeight="1" spans="2:2">
      <c r="B4433" s="62" t="str">
        <f>IF(AND('领用录入（明细）'!D:D=$F$4,'领用录入（明细）'!C:C&gt;=$J$4,'领用录入（明细）'!C:C&lt;=$L$4),ROW(),"-")</f>
        <v>-</v>
      </c>
    </row>
    <row r="4434" customHeight="1" spans="2:2">
      <c r="B4434" s="62" t="str">
        <f>IF(AND('领用录入（明细）'!D:D=$F$4,'领用录入（明细）'!C:C&gt;=$J$4,'领用录入（明细）'!C:C&lt;=$L$4),ROW(),"-")</f>
        <v>-</v>
      </c>
    </row>
    <row r="4435" customHeight="1" spans="2:2">
      <c r="B4435" s="62" t="str">
        <f>IF(AND('领用录入（明细）'!D:D=$F$4,'领用录入（明细）'!C:C&gt;=$J$4,'领用录入（明细）'!C:C&lt;=$L$4),ROW(),"-")</f>
        <v>-</v>
      </c>
    </row>
    <row r="4436" customHeight="1" spans="2:2">
      <c r="B4436" s="62" t="str">
        <f>IF(AND('领用录入（明细）'!D:D=$F$4,'领用录入（明细）'!C:C&gt;=$J$4,'领用录入（明细）'!C:C&lt;=$L$4),ROW(),"-")</f>
        <v>-</v>
      </c>
    </row>
    <row r="4437" customHeight="1" spans="2:2">
      <c r="B4437" s="62" t="str">
        <f>IF(AND('领用录入（明细）'!D:D=$F$4,'领用录入（明细）'!C:C&gt;=$J$4,'领用录入（明细）'!C:C&lt;=$L$4),ROW(),"-")</f>
        <v>-</v>
      </c>
    </row>
    <row r="4438" customHeight="1" spans="2:2">
      <c r="B4438" s="62" t="str">
        <f>IF(AND('领用录入（明细）'!D:D=$F$4,'领用录入（明细）'!C:C&gt;=$J$4,'领用录入（明细）'!C:C&lt;=$L$4),ROW(),"-")</f>
        <v>-</v>
      </c>
    </row>
    <row r="4439" customHeight="1" spans="2:2">
      <c r="B4439" s="62" t="str">
        <f>IF(AND('领用录入（明细）'!D:D=$F$4,'领用录入（明细）'!C:C&gt;=$J$4,'领用录入（明细）'!C:C&lt;=$L$4),ROW(),"-")</f>
        <v>-</v>
      </c>
    </row>
    <row r="4440" customHeight="1" spans="2:2">
      <c r="B4440" s="62" t="str">
        <f>IF(AND('领用录入（明细）'!D:D=$F$4,'领用录入（明细）'!C:C&gt;=$J$4,'领用录入（明细）'!C:C&lt;=$L$4),ROW(),"-")</f>
        <v>-</v>
      </c>
    </row>
    <row r="4441" customHeight="1" spans="2:2">
      <c r="B4441" s="62" t="str">
        <f>IF(AND('领用录入（明细）'!D:D=$F$4,'领用录入（明细）'!C:C&gt;=$J$4,'领用录入（明细）'!C:C&lt;=$L$4),ROW(),"-")</f>
        <v>-</v>
      </c>
    </row>
    <row r="4442" customHeight="1" spans="2:2">
      <c r="B4442" s="62" t="str">
        <f>IF(AND('领用录入（明细）'!D:D=$F$4,'领用录入（明细）'!C:C&gt;=$J$4,'领用录入（明细）'!C:C&lt;=$L$4),ROW(),"-")</f>
        <v>-</v>
      </c>
    </row>
    <row r="4443" customHeight="1" spans="2:2">
      <c r="B4443" s="62" t="str">
        <f>IF(AND('领用录入（明细）'!D:D=$F$4,'领用录入（明细）'!C:C&gt;=$J$4,'领用录入（明细）'!C:C&lt;=$L$4),ROW(),"-")</f>
        <v>-</v>
      </c>
    </row>
    <row r="4444" customHeight="1" spans="2:2">
      <c r="B4444" s="62" t="str">
        <f>IF(AND('领用录入（明细）'!D:D=$F$4,'领用录入（明细）'!C:C&gt;=$J$4,'领用录入（明细）'!C:C&lt;=$L$4),ROW(),"-")</f>
        <v>-</v>
      </c>
    </row>
    <row r="4445" customHeight="1" spans="2:2">
      <c r="B4445" s="62" t="str">
        <f>IF(AND('领用录入（明细）'!D:D=$F$4,'领用录入（明细）'!C:C&gt;=$J$4,'领用录入（明细）'!C:C&lt;=$L$4),ROW(),"-")</f>
        <v>-</v>
      </c>
    </row>
    <row r="4446" customHeight="1" spans="2:2">
      <c r="B4446" s="62" t="str">
        <f>IF(AND('领用录入（明细）'!D:D=$F$4,'领用录入（明细）'!C:C&gt;=$J$4,'领用录入（明细）'!C:C&lt;=$L$4),ROW(),"-")</f>
        <v>-</v>
      </c>
    </row>
    <row r="4447" customHeight="1" spans="2:2">
      <c r="B4447" s="62" t="str">
        <f>IF(AND('领用录入（明细）'!D:D=$F$4,'领用录入（明细）'!C:C&gt;=$J$4,'领用录入（明细）'!C:C&lt;=$L$4),ROW(),"-")</f>
        <v>-</v>
      </c>
    </row>
    <row r="4448" customHeight="1" spans="2:2">
      <c r="B4448" s="62" t="str">
        <f>IF(AND('领用录入（明细）'!D:D=$F$4,'领用录入（明细）'!C:C&gt;=$J$4,'领用录入（明细）'!C:C&lt;=$L$4),ROW(),"-")</f>
        <v>-</v>
      </c>
    </row>
    <row r="4449" customHeight="1" spans="2:2">
      <c r="B4449" s="62" t="str">
        <f>IF(AND('领用录入（明细）'!D:D=$F$4,'领用录入（明细）'!C:C&gt;=$J$4,'领用录入（明细）'!C:C&lt;=$L$4),ROW(),"-")</f>
        <v>-</v>
      </c>
    </row>
    <row r="4450" customHeight="1" spans="2:2">
      <c r="B4450" s="62" t="str">
        <f>IF(AND('领用录入（明细）'!D:D=$F$4,'领用录入（明细）'!C:C&gt;=$J$4,'领用录入（明细）'!C:C&lt;=$L$4),ROW(),"-")</f>
        <v>-</v>
      </c>
    </row>
    <row r="4451" customHeight="1" spans="2:2">
      <c r="B4451" s="62" t="str">
        <f>IF(AND('领用录入（明细）'!D:D=$F$4,'领用录入（明细）'!C:C&gt;=$J$4,'领用录入（明细）'!C:C&lt;=$L$4),ROW(),"-")</f>
        <v>-</v>
      </c>
    </row>
    <row r="4452" customHeight="1" spans="2:2">
      <c r="B4452" s="62" t="str">
        <f>IF(AND('领用录入（明细）'!D:D=$F$4,'领用录入（明细）'!C:C&gt;=$J$4,'领用录入（明细）'!C:C&lt;=$L$4),ROW(),"-")</f>
        <v>-</v>
      </c>
    </row>
    <row r="4453" customHeight="1" spans="2:2">
      <c r="B4453" s="62" t="str">
        <f>IF(AND('领用录入（明细）'!D:D=$F$4,'领用录入（明细）'!C:C&gt;=$J$4,'领用录入（明细）'!C:C&lt;=$L$4),ROW(),"-")</f>
        <v>-</v>
      </c>
    </row>
    <row r="4454" customHeight="1" spans="2:2">
      <c r="B4454" s="62" t="str">
        <f>IF(AND('领用录入（明细）'!D:D=$F$4,'领用录入（明细）'!C:C&gt;=$J$4,'领用录入（明细）'!C:C&lt;=$L$4),ROW(),"-")</f>
        <v>-</v>
      </c>
    </row>
    <row r="4455" customHeight="1" spans="2:2">
      <c r="B4455" s="62" t="str">
        <f>IF(AND('领用录入（明细）'!D:D=$F$4,'领用录入（明细）'!C:C&gt;=$J$4,'领用录入（明细）'!C:C&lt;=$L$4),ROW(),"-")</f>
        <v>-</v>
      </c>
    </row>
    <row r="4456" customHeight="1" spans="2:2">
      <c r="B4456" s="62" t="str">
        <f>IF(AND('领用录入（明细）'!D:D=$F$4,'领用录入（明细）'!C:C&gt;=$J$4,'领用录入（明细）'!C:C&lt;=$L$4),ROW(),"-")</f>
        <v>-</v>
      </c>
    </row>
    <row r="4457" customHeight="1" spans="2:2">
      <c r="B4457" s="62" t="str">
        <f>IF(AND('领用录入（明细）'!D:D=$F$4,'领用录入（明细）'!C:C&gt;=$J$4,'领用录入（明细）'!C:C&lt;=$L$4),ROW(),"-")</f>
        <v>-</v>
      </c>
    </row>
    <row r="4458" customHeight="1" spans="2:2">
      <c r="B4458" s="62" t="str">
        <f>IF(AND('领用录入（明细）'!D:D=$F$4,'领用录入（明细）'!C:C&gt;=$J$4,'领用录入（明细）'!C:C&lt;=$L$4),ROW(),"-")</f>
        <v>-</v>
      </c>
    </row>
    <row r="4459" customHeight="1" spans="2:2">
      <c r="B4459" s="62" t="str">
        <f>IF(AND('领用录入（明细）'!D:D=$F$4,'领用录入（明细）'!C:C&gt;=$J$4,'领用录入（明细）'!C:C&lt;=$L$4),ROW(),"-")</f>
        <v>-</v>
      </c>
    </row>
    <row r="4460" customHeight="1" spans="2:2">
      <c r="B4460" s="62" t="str">
        <f>IF(AND('领用录入（明细）'!D:D=$F$4,'领用录入（明细）'!C:C&gt;=$J$4,'领用录入（明细）'!C:C&lt;=$L$4),ROW(),"-")</f>
        <v>-</v>
      </c>
    </row>
    <row r="4461" customHeight="1" spans="2:2">
      <c r="B4461" s="62" t="str">
        <f>IF(AND('领用录入（明细）'!D:D=$F$4,'领用录入（明细）'!C:C&gt;=$J$4,'领用录入（明细）'!C:C&lt;=$L$4),ROW(),"-")</f>
        <v>-</v>
      </c>
    </row>
    <row r="4462" customHeight="1" spans="2:2">
      <c r="B4462" s="62" t="str">
        <f>IF(AND('领用录入（明细）'!D:D=$F$4,'领用录入（明细）'!C:C&gt;=$J$4,'领用录入（明细）'!C:C&lt;=$L$4),ROW(),"-")</f>
        <v>-</v>
      </c>
    </row>
    <row r="4463" customHeight="1" spans="2:2">
      <c r="B4463" s="62" t="str">
        <f>IF(AND('领用录入（明细）'!D:D=$F$4,'领用录入（明细）'!C:C&gt;=$J$4,'领用录入（明细）'!C:C&lt;=$L$4),ROW(),"-")</f>
        <v>-</v>
      </c>
    </row>
    <row r="4464" customHeight="1" spans="2:2">
      <c r="B4464" s="62" t="str">
        <f>IF(AND('领用录入（明细）'!D:D=$F$4,'领用录入（明细）'!C:C&gt;=$J$4,'领用录入（明细）'!C:C&lt;=$L$4),ROW(),"-")</f>
        <v>-</v>
      </c>
    </row>
    <row r="4465" customHeight="1" spans="2:2">
      <c r="B4465" s="62" t="str">
        <f>IF(AND('领用录入（明细）'!D:D=$F$4,'领用录入（明细）'!C:C&gt;=$J$4,'领用录入（明细）'!C:C&lt;=$L$4),ROW(),"-")</f>
        <v>-</v>
      </c>
    </row>
    <row r="4466" customHeight="1" spans="2:2">
      <c r="B4466" s="62" t="str">
        <f>IF(AND('领用录入（明细）'!D:D=$F$4,'领用录入（明细）'!C:C&gt;=$J$4,'领用录入（明细）'!C:C&lt;=$L$4),ROW(),"-")</f>
        <v>-</v>
      </c>
    </row>
    <row r="4467" customHeight="1" spans="2:2">
      <c r="B4467" s="62" t="str">
        <f>IF(AND('领用录入（明细）'!D:D=$F$4,'领用录入（明细）'!C:C&gt;=$J$4,'领用录入（明细）'!C:C&lt;=$L$4),ROW(),"-")</f>
        <v>-</v>
      </c>
    </row>
    <row r="4468" customHeight="1" spans="2:2">
      <c r="B4468" s="62" t="str">
        <f>IF(AND('领用录入（明细）'!D:D=$F$4,'领用录入（明细）'!C:C&gt;=$J$4,'领用录入（明细）'!C:C&lt;=$L$4),ROW(),"-")</f>
        <v>-</v>
      </c>
    </row>
    <row r="4469" customHeight="1" spans="2:2">
      <c r="B4469" s="62" t="str">
        <f>IF(AND('领用录入（明细）'!D:D=$F$4,'领用录入（明细）'!C:C&gt;=$J$4,'领用录入（明细）'!C:C&lt;=$L$4),ROW(),"-")</f>
        <v>-</v>
      </c>
    </row>
    <row r="4470" customHeight="1" spans="2:2">
      <c r="B4470" s="62" t="str">
        <f>IF(AND('领用录入（明细）'!D:D=$F$4,'领用录入（明细）'!C:C&gt;=$J$4,'领用录入（明细）'!C:C&lt;=$L$4),ROW(),"-")</f>
        <v>-</v>
      </c>
    </row>
    <row r="4471" customHeight="1" spans="2:2">
      <c r="B4471" s="62" t="str">
        <f>IF(AND('领用录入（明细）'!D:D=$F$4,'领用录入（明细）'!C:C&gt;=$J$4,'领用录入（明细）'!C:C&lt;=$L$4),ROW(),"-")</f>
        <v>-</v>
      </c>
    </row>
    <row r="4472" customHeight="1" spans="2:2">
      <c r="B4472" s="62" t="str">
        <f>IF(AND('领用录入（明细）'!D:D=$F$4,'领用录入（明细）'!C:C&gt;=$J$4,'领用录入（明细）'!C:C&lt;=$L$4),ROW(),"-")</f>
        <v>-</v>
      </c>
    </row>
    <row r="4473" customHeight="1" spans="2:2">
      <c r="B4473" s="62" t="str">
        <f>IF(AND('领用录入（明细）'!D:D=$F$4,'领用录入（明细）'!C:C&gt;=$J$4,'领用录入（明细）'!C:C&lt;=$L$4),ROW(),"-")</f>
        <v>-</v>
      </c>
    </row>
    <row r="4474" customHeight="1" spans="2:2">
      <c r="B4474" s="62" t="str">
        <f>IF(AND('领用录入（明细）'!D:D=$F$4,'领用录入（明细）'!C:C&gt;=$J$4,'领用录入（明细）'!C:C&lt;=$L$4),ROW(),"-")</f>
        <v>-</v>
      </c>
    </row>
    <row r="4475" customHeight="1" spans="2:2">
      <c r="B4475" s="62" t="str">
        <f>IF(AND('领用录入（明细）'!D:D=$F$4,'领用录入（明细）'!C:C&gt;=$J$4,'领用录入（明细）'!C:C&lt;=$L$4),ROW(),"-")</f>
        <v>-</v>
      </c>
    </row>
    <row r="4476" customHeight="1" spans="2:2">
      <c r="B4476" s="62" t="str">
        <f>IF(AND('领用录入（明细）'!D:D=$F$4,'领用录入（明细）'!C:C&gt;=$J$4,'领用录入（明细）'!C:C&lt;=$L$4),ROW(),"-")</f>
        <v>-</v>
      </c>
    </row>
    <row r="4477" customHeight="1" spans="2:2">
      <c r="B4477" s="62" t="str">
        <f>IF(AND('领用录入（明细）'!D:D=$F$4,'领用录入（明细）'!C:C&gt;=$J$4,'领用录入（明细）'!C:C&lt;=$L$4),ROW(),"-")</f>
        <v>-</v>
      </c>
    </row>
    <row r="4478" customHeight="1" spans="2:2">
      <c r="B4478" s="62" t="str">
        <f>IF(AND('领用录入（明细）'!D:D=$F$4,'领用录入（明细）'!C:C&gt;=$J$4,'领用录入（明细）'!C:C&lt;=$L$4),ROW(),"-")</f>
        <v>-</v>
      </c>
    </row>
    <row r="4479" customHeight="1" spans="2:2">
      <c r="B4479" s="62" t="str">
        <f>IF(AND('领用录入（明细）'!D:D=$F$4,'领用录入（明细）'!C:C&gt;=$J$4,'领用录入（明细）'!C:C&lt;=$L$4),ROW(),"-")</f>
        <v>-</v>
      </c>
    </row>
    <row r="4480" customHeight="1" spans="2:2">
      <c r="B4480" s="62" t="str">
        <f>IF(AND('领用录入（明细）'!D:D=$F$4,'领用录入（明细）'!C:C&gt;=$J$4,'领用录入（明细）'!C:C&lt;=$L$4),ROW(),"-")</f>
        <v>-</v>
      </c>
    </row>
    <row r="4481" customHeight="1" spans="2:2">
      <c r="B4481" s="62" t="str">
        <f>IF(AND('领用录入（明细）'!D:D=$F$4,'领用录入（明细）'!C:C&gt;=$J$4,'领用录入（明细）'!C:C&lt;=$L$4),ROW(),"-")</f>
        <v>-</v>
      </c>
    </row>
    <row r="4482" customHeight="1" spans="2:2">
      <c r="B4482" s="62" t="str">
        <f>IF(AND('领用录入（明细）'!D:D=$F$4,'领用录入（明细）'!C:C&gt;=$J$4,'领用录入（明细）'!C:C&lt;=$L$4),ROW(),"-")</f>
        <v>-</v>
      </c>
    </row>
    <row r="4483" customHeight="1" spans="2:2">
      <c r="B4483" s="62" t="str">
        <f>IF(AND('领用录入（明细）'!D:D=$F$4,'领用录入（明细）'!C:C&gt;=$J$4,'领用录入（明细）'!C:C&lt;=$L$4),ROW(),"-")</f>
        <v>-</v>
      </c>
    </row>
    <row r="4484" customHeight="1" spans="2:2">
      <c r="B4484" s="62" t="str">
        <f>IF(AND('领用录入（明细）'!D:D=$F$4,'领用录入（明细）'!C:C&gt;=$J$4,'领用录入（明细）'!C:C&lt;=$L$4),ROW(),"-")</f>
        <v>-</v>
      </c>
    </row>
    <row r="4485" customHeight="1" spans="2:2">
      <c r="B4485" s="62" t="str">
        <f>IF(AND('领用录入（明细）'!D:D=$F$4,'领用录入（明细）'!C:C&gt;=$J$4,'领用录入（明细）'!C:C&lt;=$L$4),ROW(),"-")</f>
        <v>-</v>
      </c>
    </row>
    <row r="4486" customHeight="1" spans="2:2">
      <c r="B4486" s="62" t="str">
        <f>IF(AND('领用录入（明细）'!D:D=$F$4,'领用录入（明细）'!C:C&gt;=$J$4,'领用录入（明细）'!C:C&lt;=$L$4),ROW(),"-")</f>
        <v>-</v>
      </c>
    </row>
    <row r="4487" customHeight="1" spans="2:2">
      <c r="B4487" s="62" t="str">
        <f>IF(AND('领用录入（明细）'!D:D=$F$4,'领用录入（明细）'!C:C&gt;=$J$4,'领用录入（明细）'!C:C&lt;=$L$4),ROW(),"-")</f>
        <v>-</v>
      </c>
    </row>
    <row r="4488" customHeight="1" spans="2:2">
      <c r="B4488" s="62" t="str">
        <f>IF(AND('领用录入（明细）'!D:D=$F$4,'领用录入（明细）'!C:C&gt;=$J$4,'领用录入（明细）'!C:C&lt;=$L$4),ROW(),"-")</f>
        <v>-</v>
      </c>
    </row>
    <row r="4489" customHeight="1" spans="2:2">
      <c r="B4489" s="62" t="str">
        <f>IF(AND('领用录入（明细）'!D:D=$F$4,'领用录入（明细）'!C:C&gt;=$J$4,'领用录入（明细）'!C:C&lt;=$L$4),ROW(),"-")</f>
        <v>-</v>
      </c>
    </row>
    <row r="4490" customHeight="1" spans="2:2">
      <c r="B4490" s="62" t="str">
        <f>IF(AND('领用录入（明细）'!D:D=$F$4,'领用录入（明细）'!C:C&gt;=$J$4,'领用录入（明细）'!C:C&lt;=$L$4),ROW(),"-")</f>
        <v>-</v>
      </c>
    </row>
    <row r="4491" customHeight="1" spans="2:2">
      <c r="B4491" s="62" t="str">
        <f>IF(AND('领用录入（明细）'!D:D=$F$4,'领用录入（明细）'!C:C&gt;=$J$4,'领用录入（明细）'!C:C&lt;=$L$4),ROW(),"-")</f>
        <v>-</v>
      </c>
    </row>
    <row r="4492" customHeight="1" spans="2:2">
      <c r="B4492" s="62" t="str">
        <f>IF(AND('领用录入（明细）'!D:D=$F$4,'领用录入（明细）'!C:C&gt;=$J$4,'领用录入（明细）'!C:C&lt;=$L$4),ROW(),"-")</f>
        <v>-</v>
      </c>
    </row>
    <row r="4493" customHeight="1" spans="2:2">
      <c r="B4493" s="62" t="str">
        <f>IF(AND('领用录入（明细）'!D:D=$F$4,'领用录入（明细）'!C:C&gt;=$J$4,'领用录入（明细）'!C:C&lt;=$L$4),ROW(),"-")</f>
        <v>-</v>
      </c>
    </row>
    <row r="4494" customHeight="1" spans="2:2">
      <c r="B4494" s="62" t="str">
        <f>IF(AND('领用录入（明细）'!D:D=$F$4,'领用录入（明细）'!C:C&gt;=$J$4,'领用录入（明细）'!C:C&lt;=$L$4),ROW(),"-")</f>
        <v>-</v>
      </c>
    </row>
    <row r="4495" customHeight="1" spans="2:2">
      <c r="B4495" s="62" t="str">
        <f>IF(AND('领用录入（明细）'!D:D=$F$4,'领用录入（明细）'!C:C&gt;=$J$4,'领用录入（明细）'!C:C&lt;=$L$4),ROW(),"-")</f>
        <v>-</v>
      </c>
    </row>
    <row r="4496" customHeight="1" spans="2:2">
      <c r="B4496" s="62" t="str">
        <f>IF(AND('领用录入（明细）'!D:D=$F$4,'领用录入（明细）'!C:C&gt;=$J$4,'领用录入（明细）'!C:C&lt;=$L$4),ROW(),"-")</f>
        <v>-</v>
      </c>
    </row>
    <row r="4497" customHeight="1" spans="2:2">
      <c r="B4497" s="62" t="str">
        <f>IF(AND('领用录入（明细）'!D:D=$F$4,'领用录入（明细）'!C:C&gt;=$J$4,'领用录入（明细）'!C:C&lt;=$L$4),ROW(),"-")</f>
        <v>-</v>
      </c>
    </row>
    <row r="4498" customHeight="1" spans="2:2">
      <c r="B4498" s="62" t="str">
        <f>IF(AND('领用录入（明细）'!D:D=$F$4,'领用录入（明细）'!C:C&gt;=$J$4,'领用录入（明细）'!C:C&lt;=$L$4),ROW(),"-")</f>
        <v>-</v>
      </c>
    </row>
    <row r="4499" customHeight="1" spans="2:2">
      <c r="B4499" s="62" t="str">
        <f>IF(AND('领用录入（明细）'!D:D=$F$4,'领用录入（明细）'!C:C&gt;=$J$4,'领用录入（明细）'!C:C&lt;=$L$4),ROW(),"-")</f>
        <v>-</v>
      </c>
    </row>
    <row r="4500" customHeight="1" spans="2:2">
      <c r="B4500" s="62" t="str">
        <f>IF(AND('领用录入（明细）'!D:D=$F$4,'领用录入（明细）'!C:C&gt;=$J$4,'领用录入（明细）'!C:C&lt;=$L$4),ROW(),"-")</f>
        <v>-</v>
      </c>
    </row>
    <row r="4501" customHeight="1" spans="2:2">
      <c r="B4501" s="62" t="str">
        <f>IF(AND('领用录入（明细）'!D:D=$F$4,'领用录入（明细）'!C:C&gt;=$J$4,'领用录入（明细）'!C:C&lt;=$L$4),ROW(),"-")</f>
        <v>-</v>
      </c>
    </row>
    <row r="4502" customHeight="1" spans="2:2">
      <c r="B4502" s="62" t="str">
        <f>IF(AND('领用录入（明细）'!D:D=$F$4,'领用录入（明细）'!C:C&gt;=$J$4,'领用录入（明细）'!C:C&lt;=$L$4),ROW(),"-")</f>
        <v>-</v>
      </c>
    </row>
    <row r="4503" customHeight="1" spans="2:2">
      <c r="B4503" s="62" t="str">
        <f>IF(AND('领用录入（明细）'!D:D=$F$4,'领用录入（明细）'!C:C&gt;=$J$4,'领用录入（明细）'!C:C&lt;=$L$4),ROW(),"-")</f>
        <v>-</v>
      </c>
    </row>
    <row r="4504" customHeight="1" spans="2:2">
      <c r="B4504" s="62" t="str">
        <f>IF(AND('领用录入（明细）'!D:D=$F$4,'领用录入（明细）'!C:C&gt;=$J$4,'领用录入（明细）'!C:C&lt;=$L$4),ROW(),"-")</f>
        <v>-</v>
      </c>
    </row>
    <row r="4505" customHeight="1" spans="2:2">
      <c r="B4505" s="62" t="str">
        <f>IF(AND('领用录入（明细）'!D:D=$F$4,'领用录入（明细）'!C:C&gt;=$J$4,'领用录入（明细）'!C:C&lt;=$L$4),ROW(),"-")</f>
        <v>-</v>
      </c>
    </row>
    <row r="4506" customHeight="1" spans="2:2">
      <c r="B4506" s="62" t="str">
        <f>IF(AND('领用录入（明细）'!D:D=$F$4,'领用录入（明细）'!C:C&gt;=$J$4,'领用录入（明细）'!C:C&lt;=$L$4),ROW(),"-")</f>
        <v>-</v>
      </c>
    </row>
    <row r="4507" customHeight="1" spans="2:2">
      <c r="B4507" s="62" t="str">
        <f>IF(AND('领用录入（明细）'!D:D=$F$4,'领用录入（明细）'!C:C&gt;=$J$4,'领用录入（明细）'!C:C&lt;=$L$4),ROW(),"-")</f>
        <v>-</v>
      </c>
    </row>
    <row r="4508" customHeight="1" spans="2:2">
      <c r="B4508" s="62" t="str">
        <f>IF(AND('领用录入（明细）'!D:D=$F$4,'领用录入（明细）'!C:C&gt;=$J$4,'领用录入（明细）'!C:C&lt;=$L$4),ROW(),"-")</f>
        <v>-</v>
      </c>
    </row>
    <row r="4509" customHeight="1" spans="2:2">
      <c r="B4509" s="62" t="str">
        <f>IF(AND('领用录入（明细）'!D:D=$F$4,'领用录入（明细）'!C:C&gt;=$J$4,'领用录入（明细）'!C:C&lt;=$L$4),ROW(),"-")</f>
        <v>-</v>
      </c>
    </row>
    <row r="4510" customHeight="1" spans="2:2">
      <c r="B4510" s="62" t="str">
        <f>IF(AND('领用录入（明细）'!D:D=$F$4,'领用录入（明细）'!C:C&gt;=$J$4,'领用录入（明细）'!C:C&lt;=$L$4),ROW(),"-")</f>
        <v>-</v>
      </c>
    </row>
    <row r="4511" customHeight="1" spans="2:2">
      <c r="B4511" s="62" t="str">
        <f>IF(AND('领用录入（明细）'!D:D=$F$4,'领用录入（明细）'!C:C&gt;=$J$4,'领用录入（明细）'!C:C&lt;=$L$4),ROW(),"-")</f>
        <v>-</v>
      </c>
    </row>
    <row r="4512" customHeight="1" spans="2:2">
      <c r="B4512" s="62" t="str">
        <f>IF(AND('领用录入（明细）'!D:D=$F$4,'领用录入（明细）'!C:C&gt;=$J$4,'领用录入（明细）'!C:C&lt;=$L$4),ROW(),"-")</f>
        <v>-</v>
      </c>
    </row>
    <row r="4513" customHeight="1" spans="2:2">
      <c r="B4513" s="62" t="str">
        <f>IF(AND('领用录入（明细）'!D:D=$F$4,'领用录入（明细）'!C:C&gt;=$J$4,'领用录入（明细）'!C:C&lt;=$L$4),ROW(),"-")</f>
        <v>-</v>
      </c>
    </row>
    <row r="4514" customHeight="1" spans="2:2">
      <c r="B4514" s="62" t="str">
        <f>IF(AND('领用录入（明细）'!D:D=$F$4,'领用录入（明细）'!C:C&gt;=$J$4,'领用录入（明细）'!C:C&lt;=$L$4),ROW(),"-")</f>
        <v>-</v>
      </c>
    </row>
    <row r="4515" customHeight="1" spans="2:2">
      <c r="B4515" s="62" t="str">
        <f>IF(AND('领用录入（明细）'!D:D=$F$4,'领用录入（明细）'!C:C&gt;=$J$4,'领用录入（明细）'!C:C&lt;=$L$4),ROW(),"-")</f>
        <v>-</v>
      </c>
    </row>
    <row r="4516" customHeight="1" spans="2:2">
      <c r="B4516" s="62" t="str">
        <f>IF(AND('领用录入（明细）'!D:D=$F$4,'领用录入（明细）'!C:C&gt;=$J$4,'领用录入（明细）'!C:C&lt;=$L$4),ROW(),"-")</f>
        <v>-</v>
      </c>
    </row>
    <row r="4517" customHeight="1" spans="2:2">
      <c r="B4517" s="62" t="str">
        <f>IF(AND('领用录入（明细）'!D:D=$F$4,'领用录入（明细）'!C:C&gt;=$J$4,'领用录入（明细）'!C:C&lt;=$L$4),ROW(),"-")</f>
        <v>-</v>
      </c>
    </row>
    <row r="4518" customHeight="1" spans="2:2">
      <c r="B4518" s="62" t="str">
        <f>IF(AND('领用录入（明细）'!D:D=$F$4,'领用录入（明细）'!C:C&gt;=$J$4,'领用录入（明细）'!C:C&lt;=$L$4),ROW(),"-")</f>
        <v>-</v>
      </c>
    </row>
    <row r="4519" customHeight="1" spans="2:2">
      <c r="B4519" s="62" t="str">
        <f>IF(AND('领用录入（明细）'!D:D=$F$4,'领用录入（明细）'!C:C&gt;=$J$4,'领用录入（明细）'!C:C&lt;=$L$4),ROW(),"-")</f>
        <v>-</v>
      </c>
    </row>
    <row r="4520" customHeight="1" spans="2:2">
      <c r="B4520" s="62" t="str">
        <f>IF(AND('领用录入（明细）'!D:D=$F$4,'领用录入（明细）'!C:C&gt;=$J$4,'领用录入（明细）'!C:C&lt;=$L$4),ROW(),"-")</f>
        <v>-</v>
      </c>
    </row>
    <row r="4521" customHeight="1" spans="2:2">
      <c r="B4521" s="62" t="str">
        <f>IF(AND('领用录入（明细）'!D:D=$F$4,'领用录入（明细）'!C:C&gt;=$J$4,'领用录入（明细）'!C:C&lt;=$L$4),ROW(),"-")</f>
        <v>-</v>
      </c>
    </row>
    <row r="4522" customHeight="1" spans="2:2">
      <c r="B4522" s="62" t="str">
        <f>IF(AND('领用录入（明细）'!D:D=$F$4,'领用录入（明细）'!C:C&gt;=$J$4,'领用录入（明细）'!C:C&lt;=$L$4),ROW(),"-")</f>
        <v>-</v>
      </c>
    </row>
    <row r="4523" customHeight="1" spans="2:2">
      <c r="B4523" s="62" t="str">
        <f>IF(AND('领用录入（明细）'!D:D=$F$4,'领用录入（明细）'!C:C&gt;=$J$4,'领用录入（明细）'!C:C&lt;=$L$4),ROW(),"-")</f>
        <v>-</v>
      </c>
    </row>
    <row r="4524" customHeight="1" spans="2:2">
      <c r="B4524" s="62" t="str">
        <f>IF(AND('领用录入（明细）'!D:D=$F$4,'领用录入（明细）'!C:C&gt;=$J$4,'领用录入（明细）'!C:C&lt;=$L$4),ROW(),"-")</f>
        <v>-</v>
      </c>
    </row>
    <row r="4525" customHeight="1" spans="2:2">
      <c r="B4525" s="62" t="str">
        <f>IF(AND('领用录入（明细）'!D:D=$F$4,'领用录入（明细）'!C:C&gt;=$J$4,'领用录入（明细）'!C:C&lt;=$L$4),ROW(),"-")</f>
        <v>-</v>
      </c>
    </row>
    <row r="4526" customHeight="1" spans="2:2">
      <c r="B4526" s="62" t="str">
        <f>IF(AND('领用录入（明细）'!D:D=$F$4,'领用录入（明细）'!C:C&gt;=$J$4,'领用录入（明细）'!C:C&lt;=$L$4),ROW(),"-")</f>
        <v>-</v>
      </c>
    </row>
    <row r="4527" customHeight="1" spans="2:2">
      <c r="B4527" s="62" t="str">
        <f>IF(AND('领用录入（明细）'!D:D=$F$4,'领用录入（明细）'!C:C&gt;=$J$4,'领用录入（明细）'!C:C&lt;=$L$4),ROW(),"-")</f>
        <v>-</v>
      </c>
    </row>
    <row r="4528" customHeight="1" spans="2:2">
      <c r="B4528" s="62" t="str">
        <f>IF(AND('领用录入（明细）'!D:D=$F$4,'领用录入（明细）'!C:C&gt;=$J$4,'领用录入（明细）'!C:C&lt;=$L$4),ROW(),"-")</f>
        <v>-</v>
      </c>
    </row>
    <row r="4529" customHeight="1" spans="2:2">
      <c r="B4529" s="62" t="str">
        <f>IF(AND('领用录入（明细）'!D:D=$F$4,'领用录入（明细）'!C:C&gt;=$J$4,'领用录入（明细）'!C:C&lt;=$L$4),ROW(),"-")</f>
        <v>-</v>
      </c>
    </row>
    <row r="4530" customHeight="1" spans="2:2">
      <c r="B4530" s="62" t="str">
        <f>IF(AND('领用录入（明细）'!D:D=$F$4,'领用录入（明细）'!C:C&gt;=$J$4,'领用录入（明细）'!C:C&lt;=$L$4),ROW(),"-")</f>
        <v>-</v>
      </c>
    </row>
    <row r="4531" customHeight="1" spans="2:2">
      <c r="B4531" s="62" t="str">
        <f>IF(AND('领用录入（明细）'!D:D=$F$4,'领用录入（明细）'!C:C&gt;=$J$4,'领用录入（明细）'!C:C&lt;=$L$4),ROW(),"-")</f>
        <v>-</v>
      </c>
    </row>
    <row r="4532" customHeight="1" spans="2:2">
      <c r="B4532" s="62" t="str">
        <f>IF(AND('领用录入（明细）'!D:D=$F$4,'领用录入（明细）'!C:C&gt;=$J$4,'领用录入（明细）'!C:C&lt;=$L$4),ROW(),"-")</f>
        <v>-</v>
      </c>
    </row>
    <row r="4533" customHeight="1" spans="2:2">
      <c r="B4533" s="62" t="str">
        <f>IF(AND('领用录入（明细）'!D:D=$F$4,'领用录入（明细）'!C:C&gt;=$J$4,'领用录入（明细）'!C:C&lt;=$L$4),ROW(),"-")</f>
        <v>-</v>
      </c>
    </row>
    <row r="4534" customHeight="1" spans="2:2">
      <c r="B4534" s="62" t="str">
        <f>IF(AND('领用录入（明细）'!D:D=$F$4,'领用录入（明细）'!C:C&gt;=$J$4,'领用录入（明细）'!C:C&lt;=$L$4),ROW(),"-")</f>
        <v>-</v>
      </c>
    </row>
    <row r="4535" customHeight="1" spans="2:2">
      <c r="B4535" s="62" t="str">
        <f>IF(AND('领用录入（明细）'!D:D=$F$4,'领用录入（明细）'!C:C&gt;=$J$4,'领用录入（明细）'!C:C&lt;=$L$4),ROW(),"-")</f>
        <v>-</v>
      </c>
    </row>
    <row r="4536" customHeight="1" spans="2:2">
      <c r="B4536" s="62" t="str">
        <f>IF(AND('领用录入（明细）'!D:D=$F$4,'领用录入（明细）'!C:C&gt;=$J$4,'领用录入（明细）'!C:C&lt;=$L$4),ROW(),"-")</f>
        <v>-</v>
      </c>
    </row>
    <row r="4537" customHeight="1" spans="2:2">
      <c r="B4537" s="62" t="str">
        <f>IF(AND('领用录入（明细）'!D:D=$F$4,'领用录入（明细）'!C:C&gt;=$J$4,'领用录入（明细）'!C:C&lt;=$L$4),ROW(),"-")</f>
        <v>-</v>
      </c>
    </row>
    <row r="4538" customHeight="1" spans="2:2">
      <c r="B4538" s="62" t="str">
        <f>IF(AND('领用录入（明细）'!D:D=$F$4,'领用录入（明细）'!C:C&gt;=$J$4,'领用录入（明细）'!C:C&lt;=$L$4),ROW(),"-")</f>
        <v>-</v>
      </c>
    </row>
    <row r="4539" customHeight="1" spans="2:2">
      <c r="B4539" s="62" t="str">
        <f>IF(AND('领用录入（明细）'!D:D=$F$4,'领用录入（明细）'!C:C&gt;=$J$4,'领用录入（明细）'!C:C&lt;=$L$4),ROW(),"-")</f>
        <v>-</v>
      </c>
    </row>
    <row r="4540" customHeight="1" spans="2:2">
      <c r="B4540" s="62" t="str">
        <f>IF(AND('领用录入（明细）'!D:D=$F$4,'领用录入（明细）'!C:C&gt;=$J$4,'领用录入（明细）'!C:C&lt;=$L$4),ROW(),"-")</f>
        <v>-</v>
      </c>
    </row>
    <row r="4541" customHeight="1" spans="2:2">
      <c r="B4541" s="62" t="str">
        <f>IF(AND('领用录入（明细）'!D:D=$F$4,'领用录入（明细）'!C:C&gt;=$J$4,'领用录入（明细）'!C:C&lt;=$L$4),ROW(),"-")</f>
        <v>-</v>
      </c>
    </row>
    <row r="4542" customHeight="1" spans="2:2">
      <c r="B4542" s="62" t="str">
        <f>IF(AND('领用录入（明细）'!D:D=$F$4,'领用录入（明细）'!C:C&gt;=$J$4,'领用录入（明细）'!C:C&lt;=$L$4),ROW(),"-")</f>
        <v>-</v>
      </c>
    </row>
    <row r="4543" customHeight="1" spans="2:2">
      <c r="B4543" s="62" t="str">
        <f>IF(AND('领用录入（明细）'!D:D=$F$4,'领用录入（明细）'!C:C&gt;=$J$4,'领用录入（明细）'!C:C&lt;=$L$4),ROW(),"-")</f>
        <v>-</v>
      </c>
    </row>
    <row r="4544" customHeight="1" spans="2:2">
      <c r="B4544" s="62" t="str">
        <f>IF(AND('领用录入（明细）'!D:D=$F$4,'领用录入（明细）'!C:C&gt;=$J$4,'领用录入（明细）'!C:C&lt;=$L$4),ROW(),"-")</f>
        <v>-</v>
      </c>
    </row>
    <row r="4545" customHeight="1" spans="2:2">
      <c r="B4545" s="62" t="str">
        <f>IF(AND('领用录入（明细）'!D:D=$F$4,'领用录入（明细）'!C:C&gt;=$J$4,'领用录入（明细）'!C:C&lt;=$L$4),ROW(),"-")</f>
        <v>-</v>
      </c>
    </row>
    <row r="4546" customHeight="1" spans="2:2">
      <c r="B4546" s="62" t="str">
        <f>IF(AND('领用录入（明细）'!D:D=$F$4,'领用录入（明细）'!C:C&gt;=$J$4,'领用录入（明细）'!C:C&lt;=$L$4),ROW(),"-")</f>
        <v>-</v>
      </c>
    </row>
    <row r="4547" customHeight="1" spans="2:2">
      <c r="B4547" s="62" t="str">
        <f>IF(AND('领用录入（明细）'!D:D=$F$4,'领用录入（明细）'!C:C&gt;=$J$4,'领用录入（明细）'!C:C&lt;=$L$4),ROW(),"-")</f>
        <v>-</v>
      </c>
    </row>
    <row r="4548" customHeight="1" spans="2:2">
      <c r="B4548" s="62" t="str">
        <f>IF(AND('领用录入（明细）'!D:D=$F$4,'领用录入（明细）'!C:C&gt;=$J$4,'领用录入（明细）'!C:C&lt;=$L$4),ROW(),"-")</f>
        <v>-</v>
      </c>
    </row>
    <row r="4549" customHeight="1" spans="2:2">
      <c r="B4549" s="62" t="str">
        <f>IF(AND('领用录入（明细）'!D:D=$F$4,'领用录入（明细）'!C:C&gt;=$J$4,'领用录入（明细）'!C:C&lt;=$L$4),ROW(),"-")</f>
        <v>-</v>
      </c>
    </row>
    <row r="4550" customHeight="1" spans="2:2">
      <c r="B4550" s="62" t="str">
        <f>IF(AND('领用录入（明细）'!D:D=$F$4,'领用录入（明细）'!C:C&gt;=$J$4,'领用录入（明细）'!C:C&lt;=$L$4),ROW(),"-")</f>
        <v>-</v>
      </c>
    </row>
    <row r="4551" customHeight="1" spans="2:2">
      <c r="B4551" s="62" t="str">
        <f>IF(AND('领用录入（明细）'!D:D=$F$4,'领用录入（明细）'!C:C&gt;=$J$4,'领用录入（明细）'!C:C&lt;=$L$4),ROW(),"-")</f>
        <v>-</v>
      </c>
    </row>
    <row r="4552" customHeight="1" spans="2:2">
      <c r="B4552" s="62" t="str">
        <f>IF(AND('领用录入（明细）'!D:D=$F$4,'领用录入（明细）'!C:C&gt;=$J$4,'领用录入（明细）'!C:C&lt;=$L$4),ROW(),"-")</f>
        <v>-</v>
      </c>
    </row>
    <row r="4553" customHeight="1" spans="2:2">
      <c r="B4553" s="62" t="str">
        <f>IF(AND('领用录入（明细）'!D:D=$F$4,'领用录入（明细）'!C:C&gt;=$J$4,'领用录入（明细）'!C:C&lt;=$L$4),ROW(),"-")</f>
        <v>-</v>
      </c>
    </row>
    <row r="4554" customHeight="1" spans="2:2">
      <c r="B4554" s="62" t="str">
        <f>IF(AND('领用录入（明细）'!D:D=$F$4,'领用录入（明细）'!C:C&gt;=$J$4,'领用录入（明细）'!C:C&lt;=$L$4),ROW(),"-")</f>
        <v>-</v>
      </c>
    </row>
    <row r="4555" customHeight="1" spans="2:2">
      <c r="B4555" s="62" t="str">
        <f>IF(AND('领用录入（明细）'!D:D=$F$4,'领用录入（明细）'!C:C&gt;=$J$4,'领用录入（明细）'!C:C&lt;=$L$4),ROW(),"-")</f>
        <v>-</v>
      </c>
    </row>
    <row r="4556" customHeight="1" spans="2:2">
      <c r="B4556" s="62" t="str">
        <f>IF(AND('领用录入（明细）'!D:D=$F$4,'领用录入（明细）'!C:C&gt;=$J$4,'领用录入（明细）'!C:C&lt;=$L$4),ROW(),"-")</f>
        <v>-</v>
      </c>
    </row>
    <row r="4557" customHeight="1" spans="2:2">
      <c r="B4557" s="62" t="str">
        <f>IF(AND('领用录入（明细）'!D:D=$F$4,'领用录入（明细）'!C:C&gt;=$J$4,'领用录入（明细）'!C:C&lt;=$L$4),ROW(),"-")</f>
        <v>-</v>
      </c>
    </row>
    <row r="4558" customHeight="1" spans="2:2">
      <c r="B4558" s="62" t="str">
        <f>IF(AND('领用录入（明细）'!D:D=$F$4,'领用录入（明细）'!C:C&gt;=$J$4,'领用录入（明细）'!C:C&lt;=$L$4),ROW(),"-")</f>
        <v>-</v>
      </c>
    </row>
    <row r="4559" customHeight="1" spans="2:2">
      <c r="B4559" s="62" t="str">
        <f>IF(AND('领用录入（明细）'!D:D=$F$4,'领用录入（明细）'!C:C&gt;=$J$4,'领用录入（明细）'!C:C&lt;=$L$4),ROW(),"-")</f>
        <v>-</v>
      </c>
    </row>
    <row r="4560" customHeight="1" spans="2:2">
      <c r="B4560" s="62" t="str">
        <f>IF(AND('领用录入（明细）'!D:D=$F$4,'领用录入（明细）'!C:C&gt;=$J$4,'领用录入（明细）'!C:C&lt;=$L$4),ROW(),"-")</f>
        <v>-</v>
      </c>
    </row>
    <row r="4561" customHeight="1" spans="2:2">
      <c r="B4561" s="62" t="str">
        <f>IF(AND('领用录入（明细）'!D:D=$F$4,'领用录入（明细）'!C:C&gt;=$J$4,'领用录入（明细）'!C:C&lt;=$L$4),ROW(),"-")</f>
        <v>-</v>
      </c>
    </row>
    <row r="4562" customHeight="1" spans="2:2">
      <c r="B4562" s="62" t="str">
        <f>IF(AND('领用录入（明细）'!D:D=$F$4,'领用录入（明细）'!C:C&gt;=$J$4,'领用录入（明细）'!C:C&lt;=$L$4),ROW(),"-")</f>
        <v>-</v>
      </c>
    </row>
    <row r="4563" customHeight="1" spans="2:2">
      <c r="B4563" s="62" t="str">
        <f>IF(AND('领用录入（明细）'!D:D=$F$4,'领用录入（明细）'!C:C&gt;=$J$4,'领用录入（明细）'!C:C&lt;=$L$4),ROW(),"-")</f>
        <v>-</v>
      </c>
    </row>
    <row r="4564" customHeight="1" spans="2:2">
      <c r="B4564" s="62" t="str">
        <f>IF(AND('领用录入（明细）'!D:D=$F$4,'领用录入（明细）'!C:C&gt;=$J$4,'领用录入（明细）'!C:C&lt;=$L$4),ROW(),"-")</f>
        <v>-</v>
      </c>
    </row>
    <row r="4565" customHeight="1" spans="2:2">
      <c r="B4565" s="62" t="str">
        <f>IF(AND('领用录入（明细）'!D:D=$F$4,'领用录入（明细）'!C:C&gt;=$J$4,'领用录入（明细）'!C:C&lt;=$L$4),ROW(),"-")</f>
        <v>-</v>
      </c>
    </row>
    <row r="4566" customHeight="1" spans="2:2">
      <c r="B4566" s="62" t="str">
        <f>IF(AND('领用录入（明细）'!D:D=$F$4,'领用录入（明细）'!C:C&gt;=$J$4,'领用录入（明细）'!C:C&lt;=$L$4),ROW(),"-")</f>
        <v>-</v>
      </c>
    </row>
    <row r="4567" customHeight="1" spans="2:2">
      <c r="B4567" s="62" t="str">
        <f>IF(AND('领用录入（明细）'!D:D=$F$4,'领用录入（明细）'!C:C&gt;=$J$4,'领用录入（明细）'!C:C&lt;=$L$4),ROW(),"-")</f>
        <v>-</v>
      </c>
    </row>
    <row r="4568" customHeight="1" spans="2:2">
      <c r="B4568" s="62" t="str">
        <f>IF(AND('领用录入（明细）'!D:D=$F$4,'领用录入（明细）'!C:C&gt;=$J$4,'领用录入（明细）'!C:C&lt;=$L$4),ROW(),"-")</f>
        <v>-</v>
      </c>
    </row>
    <row r="4569" customHeight="1" spans="2:2">
      <c r="B4569" s="62" t="str">
        <f>IF(AND('领用录入（明细）'!D:D=$F$4,'领用录入（明细）'!C:C&gt;=$J$4,'领用录入（明细）'!C:C&lt;=$L$4),ROW(),"-")</f>
        <v>-</v>
      </c>
    </row>
    <row r="4570" customHeight="1" spans="2:2">
      <c r="B4570" s="62" t="str">
        <f>IF(AND('领用录入（明细）'!D:D=$F$4,'领用录入（明细）'!C:C&gt;=$J$4,'领用录入（明细）'!C:C&lt;=$L$4),ROW(),"-")</f>
        <v>-</v>
      </c>
    </row>
    <row r="4571" customHeight="1" spans="2:2">
      <c r="B4571" s="62" t="str">
        <f>IF(AND('领用录入（明细）'!D:D=$F$4,'领用录入（明细）'!C:C&gt;=$J$4,'领用录入（明细）'!C:C&lt;=$L$4),ROW(),"-")</f>
        <v>-</v>
      </c>
    </row>
    <row r="4572" customHeight="1" spans="2:2">
      <c r="B4572" s="62" t="str">
        <f>IF(AND('领用录入（明细）'!D:D=$F$4,'领用录入（明细）'!C:C&gt;=$J$4,'领用录入（明细）'!C:C&lt;=$L$4),ROW(),"-")</f>
        <v>-</v>
      </c>
    </row>
    <row r="4573" customHeight="1" spans="2:2">
      <c r="B4573" s="62" t="str">
        <f>IF(AND('领用录入（明细）'!D:D=$F$4,'领用录入（明细）'!C:C&gt;=$J$4,'领用录入（明细）'!C:C&lt;=$L$4),ROW(),"-")</f>
        <v>-</v>
      </c>
    </row>
    <row r="4574" customHeight="1" spans="2:2">
      <c r="B4574" s="62" t="str">
        <f>IF(AND('领用录入（明细）'!D:D=$F$4,'领用录入（明细）'!C:C&gt;=$J$4,'领用录入（明细）'!C:C&lt;=$L$4),ROW(),"-")</f>
        <v>-</v>
      </c>
    </row>
    <row r="4575" customHeight="1" spans="2:2">
      <c r="B4575" s="62" t="str">
        <f>IF(AND('领用录入（明细）'!D:D=$F$4,'领用录入（明细）'!C:C&gt;=$J$4,'领用录入（明细）'!C:C&lt;=$L$4),ROW(),"-")</f>
        <v>-</v>
      </c>
    </row>
    <row r="4576" customHeight="1" spans="2:2">
      <c r="B4576" s="62" t="str">
        <f>IF(AND('领用录入（明细）'!D:D=$F$4,'领用录入（明细）'!C:C&gt;=$J$4,'领用录入（明细）'!C:C&lt;=$L$4),ROW(),"-")</f>
        <v>-</v>
      </c>
    </row>
    <row r="4577" customHeight="1" spans="2:2">
      <c r="B4577" s="62" t="str">
        <f>IF(AND('领用录入（明细）'!D:D=$F$4,'领用录入（明细）'!C:C&gt;=$J$4,'领用录入（明细）'!C:C&lt;=$L$4),ROW(),"-")</f>
        <v>-</v>
      </c>
    </row>
    <row r="4578" customHeight="1" spans="2:2">
      <c r="B4578" s="62" t="str">
        <f>IF(AND('领用录入（明细）'!D:D=$F$4,'领用录入（明细）'!C:C&gt;=$J$4,'领用录入（明细）'!C:C&lt;=$L$4),ROW(),"-")</f>
        <v>-</v>
      </c>
    </row>
    <row r="4579" customHeight="1" spans="2:2">
      <c r="B4579" s="62" t="str">
        <f>IF(AND('领用录入（明细）'!D:D=$F$4,'领用录入（明细）'!C:C&gt;=$J$4,'领用录入（明细）'!C:C&lt;=$L$4),ROW(),"-")</f>
        <v>-</v>
      </c>
    </row>
    <row r="4580" customHeight="1" spans="2:2">
      <c r="B4580" s="62" t="str">
        <f>IF(AND('领用录入（明细）'!D:D=$F$4,'领用录入（明细）'!C:C&gt;=$J$4,'领用录入（明细）'!C:C&lt;=$L$4),ROW(),"-")</f>
        <v>-</v>
      </c>
    </row>
    <row r="4581" customHeight="1" spans="2:2">
      <c r="B4581" s="62" t="str">
        <f>IF(AND('领用录入（明细）'!D:D=$F$4,'领用录入（明细）'!C:C&gt;=$J$4,'领用录入（明细）'!C:C&lt;=$L$4),ROW(),"-")</f>
        <v>-</v>
      </c>
    </row>
    <row r="4582" customHeight="1" spans="2:2">
      <c r="B4582" s="62" t="str">
        <f>IF(AND('领用录入（明细）'!D:D=$F$4,'领用录入（明细）'!C:C&gt;=$J$4,'领用录入（明细）'!C:C&lt;=$L$4),ROW(),"-")</f>
        <v>-</v>
      </c>
    </row>
    <row r="4583" customHeight="1" spans="2:2">
      <c r="B4583" s="62" t="str">
        <f>IF(AND('领用录入（明细）'!D:D=$F$4,'领用录入（明细）'!C:C&gt;=$J$4,'领用录入（明细）'!C:C&lt;=$L$4),ROW(),"-")</f>
        <v>-</v>
      </c>
    </row>
    <row r="4584" customHeight="1" spans="2:2">
      <c r="B4584" s="62" t="str">
        <f>IF(AND('领用录入（明细）'!D:D=$F$4,'领用录入（明细）'!C:C&gt;=$J$4,'领用录入（明细）'!C:C&lt;=$L$4),ROW(),"-")</f>
        <v>-</v>
      </c>
    </row>
    <row r="4585" customHeight="1" spans="2:2">
      <c r="B4585" s="62" t="str">
        <f>IF(AND('领用录入（明细）'!D:D=$F$4,'领用录入（明细）'!C:C&gt;=$J$4,'领用录入（明细）'!C:C&lt;=$L$4),ROW(),"-")</f>
        <v>-</v>
      </c>
    </row>
    <row r="4586" customHeight="1" spans="2:2">
      <c r="B4586" s="62" t="str">
        <f>IF(AND('领用录入（明细）'!D:D=$F$4,'领用录入（明细）'!C:C&gt;=$J$4,'领用录入（明细）'!C:C&lt;=$L$4),ROW(),"-")</f>
        <v>-</v>
      </c>
    </row>
    <row r="4587" customHeight="1" spans="2:2">
      <c r="B4587" s="62" t="str">
        <f>IF(AND('领用录入（明细）'!D:D=$F$4,'领用录入（明细）'!C:C&gt;=$J$4,'领用录入（明细）'!C:C&lt;=$L$4),ROW(),"-")</f>
        <v>-</v>
      </c>
    </row>
    <row r="4588" customHeight="1" spans="2:2">
      <c r="B4588" s="62" t="str">
        <f>IF(AND('领用录入（明细）'!D:D=$F$4,'领用录入（明细）'!C:C&gt;=$J$4,'领用录入（明细）'!C:C&lt;=$L$4),ROW(),"-")</f>
        <v>-</v>
      </c>
    </row>
    <row r="4589" customHeight="1" spans="2:2">
      <c r="B4589" s="62" t="str">
        <f>IF(AND('领用录入（明细）'!D:D=$F$4,'领用录入（明细）'!C:C&gt;=$J$4,'领用录入（明细）'!C:C&lt;=$L$4),ROW(),"-")</f>
        <v>-</v>
      </c>
    </row>
    <row r="4590" customHeight="1" spans="2:2">
      <c r="B4590" s="62" t="str">
        <f>IF(AND('领用录入（明细）'!D:D=$F$4,'领用录入（明细）'!C:C&gt;=$J$4,'领用录入（明细）'!C:C&lt;=$L$4),ROW(),"-")</f>
        <v>-</v>
      </c>
    </row>
    <row r="4591" customHeight="1" spans="2:2">
      <c r="B4591" s="62" t="str">
        <f>IF(AND('领用录入（明细）'!D:D=$F$4,'领用录入（明细）'!C:C&gt;=$J$4,'领用录入（明细）'!C:C&lt;=$L$4),ROW(),"-")</f>
        <v>-</v>
      </c>
    </row>
    <row r="4592" customHeight="1" spans="2:2">
      <c r="B4592" s="62" t="str">
        <f>IF(AND('领用录入（明细）'!D:D=$F$4,'领用录入（明细）'!C:C&gt;=$J$4,'领用录入（明细）'!C:C&lt;=$L$4),ROW(),"-")</f>
        <v>-</v>
      </c>
    </row>
    <row r="4593" customHeight="1" spans="2:2">
      <c r="B4593" s="62" t="str">
        <f>IF(AND('领用录入（明细）'!D:D=$F$4,'领用录入（明细）'!C:C&gt;=$J$4,'领用录入（明细）'!C:C&lt;=$L$4),ROW(),"-")</f>
        <v>-</v>
      </c>
    </row>
    <row r="4594" customHeight="1" spans="2:2">
      <c r="B4594" s="62" t="str">
        <f>IF(AND('领用录入（明细）'!D:D=$F$4,'领用录入（明细）'!C:C&gt;=$J$4,'领用录入（明细）'!C:C&lt;=$L$4),ROW(),"-")</f>
        <v>-</v>
      </c>
    </row>
    <row r="4595" customHeight="1" spans="2:2">
      <c r="B4595" s="62" t="str">
        <f>IF(AND('领用录入（明细）'!D:D=$F$4,'领用录入（明细）'!C:C&gt;=$J$4,'领用录入（明细）'!C:C&lt;=$L$4),ROW(),"-")</f>
        <v>-</v>
      </c>
    </row>
    <row r="4596" customHeight="1" spans="2:2">
      <c r="B4596" s="62" t="str">
        <f>IF(AND('领用录入（明细）'!D:D=$F$4,'领用录入（明细）'!C:C&gt;=$J$4,'领用录入（明细）'!C:C&lt;=$L$4),ROW(),"-")</f>
        <v>-</v>
      </c>
    </row>
    <row r="4597" customHeight="1" spans="2:2">
      <c r="B4597" s="62" t="str">
        <f>IF(AND('领用录入（明细）'!D:D=$F$4,'领用录入（明细）'!C:C&gt;=$J$4,'领用录入（明细）'!C:C&lt;=$L$4),ROW(),"-")</f>
        <v>-</v>
      </c>
    </row>
    <row r="4598" customHeight="1" spans="2:2">
      <c r="B4598" s="62" t="str">
        <f>IF(AND('领用录入（明细）'!D:D=$F$4,'领用录入（明细）'!C:C&gt;=$J$4,'领用录入（明细）'!C:C&lt;=$L$4),ROW(),"-")</f>
        <v>-</v>
      </c>
    </row>
    <row r="4599" customHeight="1" spans="2:2">
      <c r="B4599" s="62" t="str">
        <f>IF(AND('领用录入（明细）'!D:D=$F$4,'领用录入（明细）'!C:C&gt;=$J$4,'领用录入（明细）'!C:C&lt;=$L$4),ROW(),"-")</f>
        <v>-</v>
      </c>
    </row>
    <row r="4600" customHeight="1" spans="2:2">
      <c r="B4600" s="62" t="str">
        <f>IF(AND('领用录入（明细）'!D:D=$F$4,'领用录入（明细）'!C:C&gt;=$J$4,'领用录入（明细）'!C:C&lt;=$L$4),ROW(),"-")</f>
        <v>-</v>
      </c>
    </row>
    <row r="4601" customHeight="1" spans="2:2">
      <c r="B4601" s="62" t="str">
        <f>IF(AND('领用录入（明细）'!D:D=$F$4,'领用录入（明细）'!C:C&gt;=$J$4,'领用录入（明细）'!C:C&lt;=$L$4),ROW(),"-")</f>
        <v>-</v>
      </c>
    </row>
    <row r="4602" customHeight="1" spans="2:2">
      <c r="B4602" s="62" t="str">
        <f>IF(AND('领用录入（明细）'!D:D=$F$4,'领用录入（明细）'!C:C&gt;=$J$4,'领用录入（明细）'!C:C&lt;=$L$4),ROW(),"-")</f>
        <v>-</v>
      </c>
    </row>
    <row r="4603" customHeight="1" spans="2:2">
      <c r="B4603" s="62" t="str">
        <f>IF(AND('领用录入（明细）'!D:D=$F$4,'领用录入（明细）'!C:C&gt;=$J$4,'领用录入（明细）'!C:C&lt;=$L$4),ROW(),"-")</f>
        <v>-</v>
      </c>
    </row>
    <row r="4604" customHeight="1" spans="2:2">
      <c r="B4604" s="62" t="str">
        <f>IF(AND('领用录入（明细）'!D:D=$F$4,'领用录入（明细）'!C:C&gt;=$J$4,'领用录入（明细）'!C:C&lt;=$L$4),ROW(),"-")</f>
        <v>-</v>
      </c>
    </row>
    <row r="4605" customHeight="1" spans="2:2">
      <c r="B4605" s="62" t="str">
        <f>IF(AND('领用录入（明细）'!D:D=$F$4,'领用录入（明细）'!C:C&gt;=$J$4,'领用录入（明细）'!C:C&lt;=$L$4),ROW(),"-")</f>
        <v>-</v>
      </c>
    </row>
    <row r="4606" customHeight="1" spans="2:2">
      <c r="B4606" s="62" t="str">
        <f>IF(AND('领用录入（明细）'!D:D=$F$4,'领用录入（明细）'!C:C&gt;=$J$4,'领用录入（明细）'!C:C&lt;=$L$4),ROW(),"-")</f>
        <v>-</v>
      </c>
    </row>
    <row r="4607" customHeight="1" spans="2:2">
      <c r="B4607" s="62" t="str">
        <f>IF(AND('领用录入（明细）'!D:D=$F$4,'领用录入（明细）'!C:C&gt;=$J$4,'领用录入（明细）'!C:C&lt;=$L$4),ROW(),"-")</f>
        <v>-</v>
      </c>
    </row>
    <row r="4608" customHeight="1" spans="2:2">
      <c r="B4608" s="62" t="str">
        <f>IF(AND('领用录入（明细）'!D:D=$F$4,'领用录入（明细）'!C:C&gt;=$J$4,'领用录入（明细）'!C:C&lt;=$L$4),ROW(),"-")</f>
        <v>-</v>
      </c>
    </row>
    <row r="4609" customHeight="1" spans="2:2">
      <c r="B4609" s="62" t="str">
        <f>IF(AND('领用录入（明细）'!D:D=$F$4,'领用录入（明细）'!C:C&gt;=$J$4,'领用录入（明细）'!C:C&lt;=$L$4),ROW(),"-")</f>
        <v>-</v>
      </c>
    </row>
    <row r="4610" customHeight="1" spans="2:2">
      <c r="B4610" s="62" t="str">
        <f>IF(AND('领用录入（明细）'!D:D=$F$4,'领用录入（明细）'!C:C&gt;=$J$4,'领用录入（明细）'!C:C&lt;=$L$4),ROW(),"-")</f>
        <v>-</v>
      </c>
    </row>
    <row r="4611" customHeight="1" spans="2:2">
      <c r="B4611" s="62" t="str">
        <f>IF(AND('领用录入（明细）'!D:D=$F$4,'领用录入（明细）'!C:C&gt;=$J$4,'领用录入（明细）'!C:C&lt;=$L$4),ROW(),"-")</f>
        <v>-</v>
      </c>
    </row>
    <row r="4612" customHeight="1" spans="2:2">
      <c r="B4612" s="62" t="str">
        <f>IF(AND('领用录入（明细）'!D:D=$F$4,'领用录入（明细）'!C:C&gt;=$J$4,'领用录入（明细）'!C:C&lt;=$L$4),ROW(),"-")</f>
        <v>-</v>
      </c>
    </row>
    <row r="4613" customHeight="1" spans="2:2">
      <c r="B4613" s="62" t="str">
        <f>IF(AND('领用录入（明细）'!D:D=$F$4,'领用录入（明细）'!C:C&gt;=$J$4,'领用录入（明细）'!C:C&lt;=$L$4),ROW(),"-")</f>
        <v>-</v>
      </c>
    </row>
    <row r="4614" customHeight="1" spans="2:2">
      <c r="B4614" s="62" t="str">
        <f>IF(AND('领用录入（明细）'!D:D=$F$4,'领用录入（明细）'!C:C&gt;=$J$4,'领用录入（明细）'!C:C&lt;=$L$4),ROW(),"-")</f>
        <v>-</v>
      </c>
    </row>
    <row r="4615" customHeight="1" spans="2:2">
      <c r="B4615" s="62" t="str">
        <f>IF(AND('领用录入（明细）'!D:D=$F$4,'领用录入（明细）'!C:C&gt;=$J$4,'领用录入（明细）'!C:C&lt;=$L$4),ROW(),"-")</f>
        <v>-</v>
      </c>
    </row>
    <row r="4616" customHeight="1" spans="2:2">
      <c r="B4616" s="62" t="str">
        <f>IF(AND('领用录入（明细）'!D:D=$F$4,'领用录入（明细）'!C:C&gt;=$J$4,'领用录入（明细）'!C:C&lt;=$L$4),ROW(),"-")</f>
        <v>-</v>
      </c>
    </row>
    <row r="4617" customHeight="1" spans="2:2">
      <c r="B4617" s="62" t="str">
        <f>IF(AND('领用录入（明细）'!D:D=$F$4,'领用录入（明细）'!C:C&gt;=$J$4,'领用录入（明细）'!C:C&lt;=$L$4),ROW(),"-")</f>
        <v>-</v>
      </c>
    </row>
    <row r="4618" customHeight="1" spans="2:2">
      <c r="B4618" s="62" t="str">
        <f>IF(AND('领用录入（明细）'!D:D=$F$4,'领用录入（明细）'!C:C&gt;=$J$4,'领用录入（明细）'!C:C&lt;=$L$4),ROW(),"-")</f>
        <v>-</v>
      </c>
    </row>
    <row r="4619" customHeight="1" spans="2:2">
      <c r="B4619" s="62" t="str">
        <f>IF(AND('领用录入（明细）'!D:D=$F$4,'领用录入（明细）'!C:C&gt;=$J$4,'领用录入（明细）'!C:C&lt;=$L$4),ROW(),"-")</f>
        <v>-</v>
      </c>
    </row>
    <row r="4620" customHeight="1" spans="2:2">
      <c r="B4620" s="62" t="str">
        <f>IF(AND('领用录入（明细）'!D:D=$F$4,'领用录入（明细）'!C:C&gt;=$J$4,'领用录入（明细）'!C:C&lt;=$L$4),ROW(),"-")</f>
        <v>-</v>
      </c>
    </row>
    <row r="4621" customHeight="1" spans="2:2">
      <c r="B4621" s="62" t="str">
        <f>IF(AND('领用录入（明细）'!D:D=$F$4,'领用录入（明细）'!C:C&gt;=$J$4,'领用录入（明细）'!C:C&lt;=$L$4),ROW(),"-")</f>
        <v>-</v>
      </c>
    </row>
    <row r="4622" customHeight="1" spans="2:2">
      <c r="B4622" s="62" t="str">
        <f>IF(AND('领用录入（明细）'!D:D=$F$4,'领用录入（明细）'!C:C&gt;=$J$4,'领用录入（明细）'!C:C&lt;=$L$4),ROW(),"-")</f>
        <v>-</v>
      </c>
    </row>
    <row r="4623" customHeight="1" spans="2:2">
      <c r="B4623" s="62" t="str">
        <f>IF(AND('领用录入（明细）'!D:D=$F$4,'领用录入（明细）'!C:C&gt;=$J$4,'领用录入（明细）'!C:C&lt;=$L$4),ROW(),"-")</f>
        <v>-</v>
      </c>
    </row>
    <row r="4624" customHeight="1" spans="2:2">
      <c r="B4624" s="62" t="str">
        <f>IF(AND('领用录入（明细）'!D:D=$F$4,'领用录入（明细）'!C:C&gt;=$J$4,'领用录入（明细）'!C:C&lt;=$L$4),ROW(),"-")</f>
        <v>-</v>
      </c>
    </row>
    <row r="4625" customHeight="1" spans="2:2">
      <c r="B4625" s="62" t="str">
        <f>IF(AND('领用录入（明细）'!D:D=$F$4,'领用录入（明细）'!C:C&gt;=$J$4,'领用录入（明细）'!C:C&lt;=$L$4),ROW(),"-")</f>
        <v>-</v>
      </c>
    </row>
    <row r="4626" customHeight="1" spans="2:2">
      <c r="B4626" s="62" t="str">
        <f>IF(AND('领用录入（明细）'!D:D=$F$4,'领用录入（明细）'!C:C&gt;=$J$4,'领用录入（明细）'!C:C&lt;=$L$4),ROW(),"-")</f>
        <v>-</v>
      </c>
    </row>
    <row r="4627" customHeight="1" spans="2:2">
      <c r="B4627" s="62" t="str">
        <f>IF(AND('领用录入（明细）'!D:D=$F$4,'领用录入（明细）'!C:C&gt;=$J$4,'领用录入（明细）'!C:C&lt;=$L$4),ROW(),"-")</f>
        <v>-</v>
      </c>
    </row>
    <row r="4628" customHeight="1" spans="2:2">
      <c r="B4628" s="62" t="str">
        <f>IF(AND('领用录入（明细）'!D:D=$F$4,'领用录入（明细）'!C:C&gt;=$J$4,'领用录入（明细）'!C:C&lt;=$L$4),ROW(),"-")</f>
        <v>-</v>
      </c>
    </row>
    <row r="4629" customHeight="1" spans="2:2">
      <c r="B4629" s="62" t="str">
        <f>IF(AND('领用录入（明细）'!D:D=$F$4,'领用录入（明细）'!C:C&gt;=$J$4,'领用录入（明细）'!C:C&lt;=$L$4),ROW(),"-")</f>
        <v>-</v>
      </c>
    </row>
    <row r="4630" customHeight="1" spans="2:2">
      <c r="B4630" s="62" t="str">
        <f>IF(AND('领用录入（明细）'!D:D=$F$4,'领用录入（明细）'!C:C&gt;=$J$4,'领用录入（明细）'!C:C&lt;=$L$4),ROW(),"-")</f>
        <v>-</v>
      </c>
    </row>
    <row r="4631" customHeight="1" spans="2:2">
      <c r="B4631" s="62" t="str">
        <f>IF(AND('领用录入（明细）'!D:D=$F$4,'领用录入（明细）'!C:C&gt;=$J$4,'领用录入（明细）'!C:C&lt;=$L$4),ROW(),"-")</f>
        <v>-</v>
      </c>
    </row>
    <row r="4632" customHeight="1" spans="2:2">
      <c r="B4632" s="62" t="str">
        <f>IF(AND('领用录入（明细）'!D:D=$F$4,'领用录入（明细）'!C:C&gt;=$J$4,'领用录入（明细）'!C:C&lt;=$L$4),ROW(),"-")</f>
        <v>-</v>
      </c>
    </row>
    <row r="4633" customHeight="1" spans="2:2">
      <c r="B4633" s="62" t="str">
        <f>IF(AND('领用录入（明细）'!D:D=$F$4,'领用录入（明细）'!C:C&gt;=$J$4,'领用录入（明细）'!C:C&lt;=$L$4),ROW(),"-")</f>
        <v>-</v>
      </c>
    </row>
    <row r="4634" customHeight="1" spans="2:2">
      <c r="B4634" s="62" t="str">
        <f>IF(AND('领用录入（明细）'!D:D=$F$4,'领用录入（明细）'!C:C&gt;=$J$4,'领用录入（明细）'!C:C&lt;=$L$4),ROW(),"-")</f>
        <v>-</v>
      </c>
    </row>
    <row r="4635" customHeight="1" spans="2:2">
      <c r="B4635" s="62" t="str">
        <f>IF(AND('领用录入（明细）'!D:D=$F$4,'领用录入（明细）'!C:C&gt;=$J$4,'领用录入（明细）'!C:C&lt;=$L$4),ROW(),"-")</f>
        <v>-</v>
      </c>
    </row>
    <row r="4636" customHeight="1" spans="2:2">
      <c r="B4636" s="62" t="str">
        <f>IF(AND('领用录入（明细）'!D:D=$F$4,'领用录入（明细）'!C:C&gt;=$J$4,'领用录入（明细）'!C:C&lt;=$L$4),ROW(),"-")</f>
        <v>-</v>
      </c>
    </row>
    <row r="4637" customHeight="1" spans="2:2">
      <c r="B4637" s="62" t="str">
        <f>IF(AND('领用录入（明细）'!D:D=$F$4,'领用录入（明细）'!C:C&gt;=$J$4,'领用录入（明细）'!C:C&lt;=$L$4),ROW(),"-")</f>
        <v>-</v>
      </c>
    </row>
    <row r="4638" customHeight="1" spans="2:2">
      <c r="B4638" s="62" t="str">
        <f>IF(AND('领用录入（明细）'!D:D=$F$4,'领用录入（明细）'!C:C&gt;=$J$4,'领用录入（明细）'!C:C&lt;=$L$4),ROW(),"-")</f>
        <v>-</v>
      </c>
    </row>
    <row r="4639" customHeight="1" spans="2:2">
      <c r="B4639" s="62" t="str">
        <f>IF(AND('领用录入（明细）'!D:D=$F$4,'领用录入（明细）'!C:C&gt;=$J$4,'领用录入（明细）'!C:C&lt;=$L$4),ROW(),"-")</f>
        <v>-</v>
      </c>
    </row>
    <row r="4640" customHeight="1" spans="2:2">
      <c r="B4640" s="62" t="str">
        <f>IF(AND('领用录入（明细）'!D:D=$F$4,'领用录入（明细）'!C:C&gt;=$J$4,'领用录入（明细）'!C:C&lt;=$L$4),ROW(),"-")</f>
        <v>-</v>
      </c>
    </row>
    <row r="4641" customHeight="1" spans="2:2">
      <c r="B4641" s="62" t="str">
        <f>IF(AND('领用录入（明细）'!D:D=$F$4,'领用录入（明细）'!C:C&gt;=$J$4,'领用录入（明细）'!C:C&lt;=$L$4),ROW(),"-")</f>
        <v>-</v>
      </c>
    </row>
    <row r="4642" customHeight="1" spans="2:2">
      <c r="B4642" s="62" t="str">
        <f>IF(AND('领用录入（明细）'!D:D=$F$4,'领用录入（明细）'!C:C&gt;=$J$4,'领用录入（明细）'!C:C&lt;=$L$4),ROW(),"-")</f>
        <v>-</v>
      </c>
    </row>
    <row r="4643" customHeight="1" spans="2:2">
      <c r="B4643" s="62" t="str">
        <f>IF(AND('领用录入（明细）'!D:D=$F$4,'领用录入（明细）'!C:C&gt;=$J$4,'领用录入（明细）'!C:C&lt;=$L$4),ROW(),"-")</f>
        <v>-</v>
      </c>
    </row>
    <row r="4644" customHeight="1" spans="2:2">
      <c r="B4644" s="62" t="str">
        <f>IF(AND('领用录入（明细）'!D:D=$F$4,'领用录入（明细）'!C:C&gt;=$J$4,'领用录入（明细）'!C:C&lt;=$L$4),ROW(),"-")</f>
        <v>-</v>
      </c>
    </row>
    <row r="4645" customHeight="1" spans="2:2">
      <c r="B4645" s="62" t="str">
        <f>IF(AND('领用录入（明细）'!D:D=$F$4,'领用录入（明细）'!C:C&gt;=$J$4,'领用录入（明细）'!C:C&lt;=$L$4),ROW(),"-")</f>
        <v>-</v>
      </c>
    </row>
    <row r="4646" customHeight="1" spans="2:2">
      <c r="B4646" s="62" t="str">
        <f>IF(AND('领用录入（明细）'!D:D=$F$4,'领用录入（明细）'!C:C&gt;=$J$4,'领用录入（明细）'!C:C&lt;=$L$4),ROW(),"-")</f>
        <v>-</v>
      </c>
    </row>
    <row r="4647" customHeight="1" spans="2:2">
      <c r="B4647" s="62" t="str">
        <f>IF(AND('领用录入（明细）'!D:D=$F$4,'领用录入（明细）'!C:C&gt;=$J$4,'领用录入（明细）'!C:C&lt;=$L$4),ROW(),"-")</f>
        <v>-</v>
      </c>
    </row>
    <row r="4648" customHeight="1" spans="2:2">
      <c r="B4648" s="62" t="str">
        <f>IF(AND('领用录入（明细）'!D:D=$F$4,'领用录入（明细）'!C:C&gt;=$J$4,'领用录入（明细）'!C:C&lt;=$L$4),ROW(),"-")</f>
        <v>-</v>
      </c>
    </row>
    <row r="4649" customHeight="1" spans="2:2">
      <c r="B4649" s="62" t="str">
        <f>IF(AND('领用录入（明细）'!D:D=$F$4,'领用录入（明细）'!C:C&gt;=$J$4,'领用录入（明细）'!C:C&lt;=$L$4),ROW(),"-")</f>
        <v>-</v>
      </c>
    </row>
    <row r="4650" customHeight="1" spans="2:2">
      <c r="B4650" s="62" t="str">
        <f>IF(AND('领用录入（明细）'!D:D=$F$4,'领用录入（明细）'!C:C&gt;=$J$4,'领用录入（明细）'!C:C&lt;=$L$4),ROW(),"-")</f>
        <v>-</v>
      </c>
    </row>
    <row r="4651" customHeight="1" spans="2:2">
      <c r="B4651" s="62" t="str">
        <f>IF(AND('领用录入（明细）'!D:D=$F$4,'领用录入（明细）'!C:C&gt;=$J$4,'领用录入（明细）'!C:C&lt;=$L$4),ROW(),"-")</f>
        <v>-</v>
      </c>
    </row>
    <row r="4652" customHeight="1" spans="2:2">
      <c r="B4652" s="62" t="str">
        <f>IF(AND('领用录入（明细）'!D:D=$F$4,'领用录入（明细）'!C:C&gt;=$J$4,'领用录入（明细）'!C:C&lt;=$L$4),ROW(),"-")</f>
        <v>-</v>
      </c>
    </row>
    <row r="4653" customHeight="1" spans="2:2">
      <c r="B4653" s="62" t="str">
        <f>IF(AND('领用录入（明细）'!D:D=$F$4,'领用录入（明细）'!C:C&gt;=$J$4,'领用录入（明细）'!C:C&lt;=$L$4),ROW(),"-")</f>
        <v>-</v>
      </c>
    </row>
    <row r="4654" customHeight="1" spans="2:2">
      <c r="B4654" s="62" t="str">
        <f>IF(AND('领用录入（明细）'!D:D=$F$4,'领用录入（明细）'!C:C&gt;=$J$4,'领用录入（明细）'!C:C&lt;=$L$4),ROW(),"-")</f>
        <v>-</v>
      </c>
    </row>
    <row r="4655" customHeight="1" spans="2:2">
      <c r="B4655" s="62" t="str">
        <f>IF(AND('领用录入（明细）'!D:D=$F$4,'领用录入（明细）'!C:C&gt;=$J$4,'领用录入（明细）'!C:C&lt;=$L$4),ROW(),"-")</f>
        <v>-</v>
      </c>
    </row>
    <row r="4656" customHeight="1" spans="2:2">
      <c r="B4656" s="62" t="str">
        <f>IF(AND('领用录入（明细）'!D:D=$F$4,'领用录入（明细）'!C:C&gt;=$J$4,'领用录入（明细）'!C:C&lt;=$L$4),ROW(),"-")</f>
        <v>-</v>
      </c>
    </row>
    <row r="4657" customHeight="1" spans="2:2">
      <c r="B4657" s="62" t="str">
        <f>IF(AND('领用录入（明细）'!D:D=$F$4,'领用录入（明细）'!C:C&gt;=$J$4,'领用录入（明细）'!C:C&lt;=$L$4),ROW(),"-")</f>
        <v>-</v>
      </c>
    </row>
    <row r="4658" customHeight="1" spans="2:2">
      <c r="B4658" s="62" t="str">
        <f>IF(AND('领用录入（明细）'!D:D=$F$4,'领用录入（明细）'!C:C&gt;=$J$4,'领用录入（明细）'!C:C&lt;=$L$4),ROW(),"-")</f>
        <v>-</v>
      </c>
    </row>
    <row r="4659" customHeight="1" spans="2:2">
      <c r="B4659" s="62" t="str">
        <f>IF(AND('领用录入（明细）'!D:D=$F$4,'领用录入（明细）'!C:C&gt;=$J$4,'领用录入（明细）'!C:C&lt;=$L$4),ROW(),"-")</f>
        <v>-</v>
      </c>
    </row>
    <row r="4660" customHeight="1" spans="2:2">
      <c r="B4660" s="62" t="str">
        <f>IF(AND('领用录入（明细）'!D:D=$F$4,'领用录入（明细）'!C:C&gt;=$J$4,'领用录入（明细）'!C:C&lt;=$L$4),ROW(),"-")</f>
        <v>-</v>
      </c>
    </row>
    <row r="4661" customHeight="1" spans="2:2">
      <c r="B4661" s="62" t="str">
        <f>IF(AND('领用录入（明细）'!D:D=$F$4,'领用录入（明细）'!C:C&gt;=$J$4,'领用录入（明细）'!C:C&lt;=$L$4),ROW(),"-")</f>
        <v>-</v>
      </c>
    </row>
    <row r="4662" customHeight="1" spans="2:2">
      <c r="B4662" s="62" t="str">
        <f>IF(AND('领用录入（明细）'!D:D=$F$4,'领用录入（明细）'!C:C&gt;=$J$4,'领用录入（明细）'!C:C&lt;=$L$4),ROW(),"-")</f>
        <v>-</v>
      </c>
    </row>
    <row r="4663" customHeight="1" spans="2:2">
      <c r="B4663" s="62" t="str">
        <f>IF(AND('领用录入（明细）'!D:D=$F$4,'领用录入（明细）'!C:C&gt;=$J$4,'领用录入（明细）'!C:C&lt;=$L$4),ROW(),"-")</f>
        <v>-</v>
      </c>
    </row>
    <row r="4664" customHeight="1" spans="2:2">
      <c r="B4664" s="62" t="str">
        <f>IF(AND('领用录入（明细）'!D:D=$F$4,'领用录入（明细）'!C:C&gt;=$J$4,'领用录入（明细）'!C:C&lt;=$L$4),ROW(),"-")</f>
        <v>-</v>
      </c>
    </row>
    <row r="4665" customHeight="1" spans="2:2">
      <c r="B4665" s="62" t="str">
        <f>IF(AND('领用录入（明细）'!D:D=$F$4,'领用录入（明细）'!C:C&gt;=$J$4,'领用录入（明细）'!C:C&lt;=$L$4),ROW(),"-")</f>
        <v>-</v>
      </c>
    </row>
    <row r="4666" customHeight="1" spans="2:2">
      <c r="B4666" s="62" t="str">
        <f>IF(AND('领用录入（明细）'!D:D=$F$4,'领用录入（明细）'!C:C&gt;=$J$4,'领用录入（明细）'!C:C&lt;=$L$4),ROW(),"-")</f>
        <v>-</v>
      </c>
    </row>
    <row r="4667" customHeight="1" spans="2:2">
      <c r="B4667" s="62" t="str">
        <f>IF(AND('领用录入（明细）'!D:D=$F$4,'领用录入（明细）'!C:C&gt;=$J$4,'领用录入（明细）'!C:C&lt;=$L$4),ROW(),"-")</f>
        <v>-</v>
      </c>
    </row>
    <row r="4668" customHeight="1" spans="2:2">
      <c r="B4668" s="62" t="str">
        <f>IF(AND('领用录入（明细）'!D:D=$F$4,'领用录入（明细）'!C:C&gt;=$J$4,'领用录入（明细）'!C:C&lt;=$L$4),ROW(),"-")</f>
        <v>-</v>
      </c>
    </row>
    <row r="4669" customHeight="1" spans="2:2">
      <c r="B4669" s="62" t="str">
        <f>IF(AND('领用录入（明细）'!D:D=$F$4,'领用录入（明细）'!C:C&gt;=$J$4,'领用录入（明细）'!C:C&lt;=$L$4),ROW(),"-")</f>
        <v>-</v>
      </c>
    </row>
    <row r="4670" customHeight="1" spans="2:2">
      <c r="B4670" s="62" t="str">
        <f>IF(AND('领用录入（明细）'!D:D=$F$4,'领用录入（明细）'!C:C&gt;=$J$4,'领用录入（明细）'!C:C&lt;=$L$4),ROW(),"-")</f>
        <v>-</v>
      </c>
    </row>
    <row r="4671" customHeight="1" spans="2:2">
      <c r="B4671" s="62" t="str">
        <f>IF(AND('领用录入（明细）'!D:D=$F$4,'领用录入（明细）'!C:C&gt;=$J$4,'领用录入（明细）'!C:C&lt;=$L$4),ROW(),"-")</f>
        <v>-</v>
      </c>
    </row>
    <row r="4672" customHeight="1" spans="2:2">
      <c r="B4672" s="62" t="str">
        <f>IF(AND('领用录入（明细）'!D:D=$F$4,'领用录入（明细）'!C:C&gt;=$J$4,'领用录入（明细）'!C:C&lt;=$L$4),ROW(),"-")</f>
        <v>-</v>
      </c>
    </row>
    <row r="4673" customHeight="1" spans="2:2">
      <c r="B4673" s="62" t="str">
        <f>IF(AND('领用录入（明细）'!D:D=$F$4,'领用录入（明细）'!C:C&gt;=$J$4,'领用录入（明细）'!C:C&lt;=$L$4),ROW(),"-")</f>
        <v>-</v>
      </c>
    </row>
    <row r="4674" customHeight="1" spans="2:2">
      <c r="B4674" s="62" t="str">
        <f>IF(AND('领用录入（明细）'!D:D=$F$4,'领用录入（明细）'!C:C&gt;=$J$4,'领用录入（明细）'!C:C&lt;=$L$4),ROW(),"-")</f>
        <v>-</v>
      </c>
    </row>
    <row r="4675" customHeight="1" spans="2:2">
      <c r="B4675" s="62" t="str">
        <f>IF(AND('领用录入（明细）'!D:D=$F$4,'领用录入（明细）'!C:C&gt;=$J$4,'领用录入（明细）'!C:C&lt;=$L$4),ROW(),"-")</f>
        <v>-</v>
      </c>
    </row>
    <row r="4676" customHeight="1" spans="2:2">
      <c r="B4676" s="62" t="str">
        <f>IF(AND('领用录入（明细）'!D:D=$F$4,'领用录入（明细）'!C:C&gt;=$J$4,'领用录入（明细）'!C:C&lt;=$L$4),ROW(),"-")</f>
        <v>-</v>
      </c>
    </row>
    <row r="4677" customHeight="1" spans="2:2">
      <c r="B4677" s="62" t="str">
        <f>IF(AND('领用录入（明细）'!D:D=$F$4,'领用录入（明细）'!C:C&gt;=$J$4,'领用录入（明细）'!C:C&lt;=$L$4),ROW(),"-")</f>
        <v>-</v>
      </c>
    </row>
    <row r="4678" customHeight="1" spans="2:2">
      <c r="B4678" s="62" t="str">
        <f>IF(AND('领用录入（明细）'!D:D=$F$4,'领用录入（明细）'!C:C&gt;=$J$4,'领用录入（明细）'!C:C&lt;=$L$4),ROW(),"-")</f>
        <v>-</v>
      </c>
    </row>
    <row r="4679" customHeight="1" spans="2:2">
      <c r="B4679" s="62" t="str">
        <f>IF(AND('领用录入（明细）'!D:D=$F$4,'领用录入（明细）'!C:C&gt;=$J$4,'领用录入（明细）'!C:C&lt;=$L$4),ROW(),"-")</f>
        <v>-</v>
      </c>
    </row>
    <row r="4680" customHeight="1" spans="2:2">
      <c r="B4680" s="62" t="str">
        <f>IF(AND('领用录入（明细）'!D:D=$F$4,'领用录入（明细）'!C:C&gt;=$J$4,'领用录入（明细）'!C:C&lt;=$L$4),ROW(),"-")</f>
        <v>-</v>
      </c>
    </row>
    <row r="4681" customHeight="1" spans="2:2">
      <c r="B4681" s="62" t="str">
        <f>IF(AND('领用录入（明细）'!D:D=$F$4,'领用录入（明细）'!C:C&gt;=$J$4,'领用录入（明细）'!C:C&lt;=$L$4),ROW(),"-")</f>
        <v>-</v>
      </c>
    </row>
    <row r="4682" customHeight="1" spans="2:2">
      <c r="B4682" s="62" t="str">
        <f>IF(AND('领用录入（明细）'!D:D=$F$4,'领用录入（明细）'!C:C&gt;=$J$4,'领用录入（明细）'!C:C&lt;=$L$4),ROW(),"-")</f>
        <v>-</v>
      </c>
    </row>
    <row r="4683" customHeight="1" spans="2:2">
      <c r="B4683" s="62" t="str">
        <f>IF(AND('领用录入（明细）'!D:D=$F$4,'领用录入（明细）'!C:C&gt;=$J$4,'领用录入（明细）'!C:C&lt;=$L$4),ROW(),"-")</f>
        <v>-</v>
      </c>
    </row>
    <row r="4684" customHeight="1" spans="2:2">
      <c r="B4684" s="62" t="str">
        <f>IF(AND('领用录入（明细）'!D:D=$F$4,'领用录入（明细）'!C:C&gt;=$J$4,'领用录入（明细）'!C:C&lt;=$L$4),ROW(),"-")</f>
        <v>-</v>
      </c>
    </row>
    <row r="4685" customHeight="1" spans="2:2">
      <c r="B4685" s="62" t="str">
        <f>IF(AND('领用录入（明细）'!D:D=$F$4,'领用录入（明细）'!C:C&gt;=$J$4,'领用录入（明细）'!C:C&lt;=$L$4),ROW(),"-")</f>
        <v>-</v>
      </c>
    </row>
    <row r="4686" customHeight="1" spans="2:2">
      <c r="B4686" s="62" t="str">
        <f>IF(AND('领用录入（明细）'!D:D=$F$4,'领用录入（明细）'!C:C&gt;=$J$4,'领用录入（明细）'!C:C&lt;=$L$4),ROW(),"-")</f>
        <v>-</v>
      </c>
    </row>
    <row r="4687" customHeight="1" spans="2:2">
      <c r="B4687" s="62" t="str">
        <f>IF(AND('领用录入（明细）'!D:D=$F$4,'领用录入（明细）'!C:C&gt;=$J$4,'领用录入（明细）'!C:C&lt;=$L$4),ROW(),"-")</f>
        <v>-</v>
      </c>
    </row>
    <row r="4688" customHeight="1" spans="2:2">
      <c r="B4688" s="62" t="str">
        <f>IF(AND('领用录入（明细）'!D:D=$F$4,'领用录入（明细）'!C:C&gt;=$J$4,'领用录入（明细）'!C:C&lt;=$L$4),ROW(),"-")</f>
        <v>-</v>
      </c>
    </row>
    <row r="4689" customHeight="1" spans="2:2">
      <c r="B4689" s="62" t="str">
        <f>IF(AND('领用录入（明细）'!D:D=$F$4,'领用录入（明细）'!C:C&gt;=$J$4,'领用录入（明细）'!C:C&lt;=$L$4),ROW(),"-")</f>
        <v>-</v>
      </c>
    </row>
    <row r="4690" customHeight="1" spans="2:2">
      <c r="B4690" s="62" t="str">
        <f>IF(AND('领用录入（明细）'!D:D=$F$4,'领用录入（明细）'!C:C&gt;=$J$4,'领用录入（明细）'!C:C&lt;=$L$4),ROW(),"-")</f>
        <v>-</v>
      </c>
    </row>
    <row r="4691" customHeight="1" spans="2:2">
      <c r="B4691" s="62" t="str">
        <f>IF(AND('领用录入（明细）'!D:D=$F$4,'领用录入（明细）'!C:C&gt;=$J$4,'领用录入（明细）'!C:C&lt;=$L$4),ROW(),"-")</f>
        <v>-</v>
      </c>
    </row>
    <row r="4692" customHeight="1" spans="2:2">
      <c r="B4692" s="62" t="str">
        <f>IF(AND('领用录入（明细）'!D:D=$F$4,'领用录入（明细）'!C:C&gt;=$J$4,'领用录入（明细）'!C:C&lt;=$L$4),ROW(),"-")</f>
        <v>-</v>
      </c>
    </row>
    <row r="4693" customHeight="1" spans="2:2">
      <c r="B4693" s="62" t="str">
        <f>IF(AND('领用录入（明细）'!D:D=$F$4,'领用录入（明细）'!C:C&gt;=$J$4,'领用录入（明细）'!C:C&lt;=$L$4),ROW(),"-")</f>
        <v>-</v>
      </c>
    </row>
    <row r="4694" customHeight="1" spans="2:2">
      <c r="B4694" s="62" t="str">
        <f>IF(AND('领用录入（明细）'!D:D=$F$4,'领用录入（明细）'!C:C&gt;=$J$4,'领用录入（明细）'!C:C&lt;=$L$4),ROW(),"-")</f>
        <v>-</v>
      </c>
    </row>
    <row r="4695" customHeight="1" spans="2:2">
      <c r="B4695" s="62" t="str">
        <f>IF(AND('领用录入（明细）'!D:D=$F$4,'领用录入（明细）'!C:C&gt;=$J$4,'领用录入（明细）'!C:C&lt;=$L$4),ROW(),"-")</f>
        <v>-</v>
      </c>
    </row>
    <row r="4696" customHeight="1" spans="2:2">
      <c r="B4696" s="62" t="str">
        <f>IF(AND('领用录入（明细）'!D:D=$F$4,'领用录入（明细）'!C:C&gt;=$J$4,'领用录入（明细）'!C:C&lt;=$L$4),ROW(),"-")</f>
        <v>-</v>
      </c>
    </row>
    <row r="4697" customHeight="1" spans="2:2">
      <c r="B4697" s="62" t="str">
        <f>IF(AND('领用录入（明细）'!D:D=$F$4,'领用录入（明细）'!C:C&gt;=$J$4,'领用录入（明细）'!C:C&lt;=$L$4),ROW(),"-")</f>
        <v>-</v>
      </c>
    </row>
    <row r="4698" customHeight="1" spans="2:2">
      <c r="B4698" s="62" t="str">
        <f>IF(AND('领用录入（明细）'!D:D=$F$4,'领用录入（明细）'!C:C&gt;=$J$4,'领用录入（明细）'!C:C&lt;=$L$4),ROW(),"-")</f>
        <v>-</v>
      </c>
    </row>
    <row r="4699" customHeight="1" spans="2:2">
      <c r="B4699" s="62" t="str">
        <f>IF(AND('领用录入（明细）'!D:D=$F$4,'领用录入（明细）'!C:C&gt;=$J$4,'领用录入（明细）'!C:C&lt;=$L$4),ROW(),"-")</f>
        <v>-</v>
      </c>
    </row>
    <row r="4700" customHeight="1" spans="2:2">
      <c r="B4700" s="62" t="str">
        <f>IF(AND('领用录入（明细）'!D:D=$F$4,'领用录入（明细）'!C:C&gt;=$J$4,'领用录入（明细）'!C:C&lt;=$L$4),ROW(),"-")</f>
        <v>-</v>
      </c>
    </row>
    <row r="4701" customHeight="1" spans="2:2">
      <c r="B4701" s="62" t="str">
        <f>IF(AND('领用录入（明细）'!D:D=$F$4,'领用录入（明细）'!C:C&gt;=$J$4,'领用录入（明细）'!C:C&lt;=$L$4),ROW(),"-")</f>
        <v>-</v>
      </c>
    </row>
    <row r="4702" customHeight="1" spans="2:2">
      <c r="B4702" s="62" t="str">
        <f>IF(AND('领用录入（明细）'!D:D=$F$4,'领用录入（明细）'!C:C&gt;=$J$4,'领用录入（明细）'!C:C&lt;=$L$4),ROW(),"-")</f>
        <v>-</v>
      </c>
    </row>
    <row r="4703" customHeight="1" spans="2:2">
      <c r="B4703" s="62" t="str">
        <f>IF(AND('领用录入（明细）'!D:D=$F$4,'领用录入（明细）'!C:C&gt;=$J$4,'领用录入（明细）'!C:C&lt;=$L$4),ROW(),"-")</f>
        <v>-</v>
      </c>
    </row>
    <row r="4704" customHeight="1" spans="2:2">
      <c r="B4704" s="62" t="str">
        <f>IF(AND('领用录入（明细）'!D:D=$F$4,'领用录入（明细）'!C:C&gt;=$J$4,'领用录入（明细）'!C:C&lt;=$L$4),ROW(),"-")</f>
        <v>-</v>
      </c>
    </row>
    <row r="4705" customHeight="1" spans="2:2">
      <c r="B4705" s="62" t="str">
        <f>IF(AND('领用录入（明细）'!D:D=$F$4,'领用录入（明细）'!C:C&gt;=$J$4,'领用录入（明细）'!C:C&lt;=$L$4),ROW(),"-")</f>
        <v>-</v>
      </c>
    </row>
    <row r="4706" customHeight="1" spans="2:2">
      <c r="B4706" s="62" t="str">
        <f>IF(AND('领用录入（明细）'!D:D=$F$4,'领用录入（明细）'!C:C&gt;=$J$4,'领用录入（明细）'!C:C&lt;=$L$4),ROW(),"-")</f>
        <v>-</v>
      </c>
    </row>
    <row r="4707" customHeight="1" spans="2:2">
      <c r="B4707" s="62" t="str">
        <f>IF(AND('领用录入（明细）'!D:D=$F$4,'领用录入（明细）'!C:C&gt;=$J$4,'领用录入（明细）'!C:C&lt;=$L$4),ROW(),"-")</f>
        <v>-</v>
      </c>
    </row>
    <row r="4708" customHeight="1" spans="2:2">
      <c r="B4708" s="62" t="str">
        <f>IF(AND('领用录入（明细）'!D:D=$F$4,'领用录入（明细）'!C:C&gt;=$J$4,'领用录入（明细）'!C:C&lt;=$L$4),ROW(),"-")</f>
        <v>-</v>
      </c>
    </row>
    <row r="4709" customHeight="1" spans="2:2">
      <c r="B4709" s="62" t="str">
        <f>IF(AND('领用录入（明细）'!D:D=$F$4,'领用录入（明细）'!C:C&gt;=$J$4,'领用录入（明细）'!C:C&lt;=$L$4),ROW(),"-")</f>
        <v>-</v>
      </c>
    </row>
    <row r="4710" customHeight="1" spans="2:2">
      <c r="B4710" s="62" t="str">
        <f>IF(AND('领用录入（明细）'!D:D=$F$4,'领用录入（明细）'!C:C&gt;=$J$4,'领用录入（明细）'!C:C&lt;=$L$4),ROW(),"-")</f>
        <v>-</v>
      </c>
    </row>
    <row r="4711" customHeight="1" spans="2:2">
      <c r="B4711" s="62" t="str">
        <f>IF(AND('领用录入（明细）'!D:D=$F$4,'领用录入（明细）'!C:C&gt;=$J$4,'领用录入（明细）'!C:C&lt;=$L$4),ROW(),"-")</f>
        <v>-</v>
      </c>
    </row>
    <row r="4712" customHeight="1" spans="2:2">
      <c r="B4712" s="62" t="str">
        <f>IF(AND('领用录入（明细）'!D:D=$F$4,'领用录入（明细）'!C:C&gt;=$J$4,'领用录入（明细）'!C:C&lt;=$L$4),ROW(),"-")</f>
        <v>-</v>
      </c>
    </row>
    <row r="4713" customHeight="1" spans="2:2">
      <c r="B4713" s="62" t="str">
        <f>IF(AND('领用录入（明细）'!D:D=$F$4,'领用录入（明细）'!C:C&gt;=$J$4,'领用录入（明细）'!C:C&lt;=$L$4),ROW(),"-")</f>
        <v>-</v>
      </c>
    </row>
    <row r="4714" customHeight="1" spans="2:2">
      <c r="B4714" s="62" t="str">
        <f>IF(AND('领用录入（明细）'!D:D=$F$4,'领用录入（明细）'!C:C&gt;=$J$4,'领用录入（明细）'!C:C&lt;=$L$4),ROW(),"-")</f>
        <v>-</v>
      </c>
    </row>
    <row r="4715" customHeight="1" spans="2:2">
      <c r="B4715" s="62" t="str">
        <f>IF(AND('领用录入（明细）'!D:D=$F$4,'领用录入（明细）'!C:C&gt;=$J$4,'领用录入（明细）'!C:C&lt;=$L$4),ROW(),"-")</f>
        <v>-</v>
      </c>
    </row>
    <row r="4716" customHeight="1" spans="2:2">
      <c r="B4716" s="62" t="str">
        <f>IF(AND('领用录入（明细）'!D:D=$F$4,'领用录入（明细）'!C:C&gt;=$J$4,'领用录入（明细）'!C:C&lt;=$L$4),ROW(),"-")</f>
        <v>-</v>
      </c>
    </row>
    <row r="4717" customHeight="1" spans="2:2">
      <c r="B4717" s="62" t="str">
        <f>IF(AND('领用录入（明细）'!D:D=$F$4,'领用录入（明细）'!C:C&gt;=$J$4,'领用录入（明细）'!C:C&lt;=$L$4),ROW(),"-")</f>
        <v>-</v>
      </c>
    </row>
    <row r="4718" customHeight="1" spans="2:2">
      <c r="B4718" s="62" t="str">
        <f>IF(AND('领用录入（明细）'!D:D=$F$4,'领用录入（明细）'!C:C&gt;=$J$4,'领用录入（明细）'!C:C&lt;=$L$4),ROW(),"-")</f>
        <v>-</v>
      </c>
    </row>
    <row r="4719" customHeight="1" spans="2:2">
      <c r="B4719" s="62" t="str">
        <f>IF(AND('领用录入（明细）'!D:D=$F$4,'领用录入（明细）'!C:C&gt;=$J$4,'领用录入（明细）'!C:C&lt;=$L$4),ROW(),"-")</f>
        <v>-</v>
      </c>
    </row>
    <row r="4720" customHeight="1" spans="2:2">
      <c r="B4720" s="62" t="str">
        <f>IF(AND('领用录入（明细）'!D:D=$F$4,'领用录入（明细）'!C:C&gt;=$J$4,'领用录入（明细）'!C:C&lt;=$L$4),ROW(),"-")</f>
        <v>-</v>
      </c>
    </row>
    <row r="4721" customHeight="1" spans="2:2">
      <c r="B4721" s="62" t="str">
        <f>IF(AND('领用录入（明细）'!D:D=$F$4,'领用录入（明细）'!C:C&gt;=$J$4,'领用录入（明细）'!C:C&lt;=$L$4),ROW(),"-")</f>
        <v>-</v>
      </c>
    </row>
    <row r="4722" customHeight="1" spans="2:2">
      <c r="B4722" s="62" t="str">
        <f>IF(AND('领用录入（明细）'!D:D=$F$4,'领用录入（明细）'!C:C&gt;=$J$4,'领用录入（明细）'!C:C&lt;=$L$4),ROW(),"-")</f>
        <v>-</v>
      </c>
    </row>
    <row r="4723" customHeight="1" spans="2:2">
      <c r="B4723" s="62" t="str">
        <f>IF(AND('领用录入（明细）'!D:D=$F$4,'领用录入（明细）'!C:C&gt;=$J$4,'领用录入（明细）'!C:C&lt;=$L$4),ROW(),"-")</f>
        <v>-</v>
      </c>
    </row>
    <row r="4724" customHeight="1" spans="2:2">
      <c r="B4724" s="62" t="str">
        <f>IF(AND('领用录入（明细）'!D:D=$F$4,'领用录入（明细）'!C:C&gt;=$J$4,'领用录入（明细）'!C:C&lt;=$L$4),ROW(),"-")</f>
        <v>-</v>
      </c>
    </row>
    <row r="4725" customHeight="1" spans="2:2">
      <c r="B4725" s="62" t="str">
        <f>IF(AND('领用录入（明细）'!D:D=$F$4,'领用录入（明细）'!C:C&gt;=$J$4,'领用录入（明细）'!C:C&lt;=$L$4),ROW(),"-")</f>
        <v>-</v>
      </c>
    </row>
    <row r="4726" customHeight="1" spans="2:2">
      <c r="B4726" s="62" t="str">
        <f>IF(AND('领用录入（明细）'!D:D=$F$4,'领用录入（明细）'!C:C&gt;=$J$4,'领用录入（明细）'!C:C&lt;=$L$4),ROW(),"-")</f>
        <v>-</v>
      </c>
    </row>
    <row r="4727" customHeight="1" spans="2:2">
      <c r="B4727" s="62" t="str">
        <f>IF(AND('领用录入（明细）'!D:D=$F$4,'领用录入（明细）'!C:C&gt;=$J$4,'领用录入（明细）'!C:C&lt;=$L$4),ROW(),"-")</f>
        <v>-</v>
      </c>
    </row>
    <row r="4728" customHeight="1" spans="2:2">
      <c r="B4728" s="62" t="str">
        <f>IF(AND('领用录入（明细）'!D:D=$F$4,'领用录入（明细）'!C:C&gt;=$J$4,'领用录入（明细）'!C:C&lt;=$L$4),ROW(),"-")</f>
        <v>-</v>
      </c>
    </row>
    <row r="4729" customHeight="1" spans="2:2">
      <c r="B4729" s="62" t="str">
        <f>IF(AND('领用录入（明细）'!D:D=$F$4,'领用录入（明细）'!C:C&gt;=$J$4,'领用录入（明细）'!C:C&lt;=$L$4),ROW(),"-")</f>
        <v>-</v>
      </c>
    </row>
    <row r="4730" customHeight="1" spans="2:2">
      <c r="B4730" s="62" t="str">
        <f>IF(AND('领用录入（明细）'!D:D=$F$4,'领用录入（明细）'!C:C&gt;=$J$4,'领用录入（明细）'!C:C&lt;=$L$4),ROW(),"-")</f>
        <v>-</v>
      </c>
    </row>
    <row r="4731" customHeight="1" spans="2:2">
      <c r="B4731" s="62" t="str">
        <f>IF(AND('领用录入（明细）'!D:D=$F$4,'领用录入（明细）'!C:C&gt;=$J$4,'领用录入（明细）'!C:C&lt;=$L$4),ROW(),"-")</f>
        <v>-</v>
      </c>
    </row>
    <row r="4732" customHeight="1" spans="2:2">
      <c r="B4732" s="62" t="str">
        <f>IF(AND('领用录入（明细）'!D:D=$F$4,'领用录入（明细）'!C:C&gt;=$J$4,'领用录入（明细）'!C:C&lt;=$L$4),ROW(),"-")</f>
        <v>-</v>
      </c>
    </row>
    <row r="4733" customHeight="1" spans="2:2">
      <c r="B4733" s="62" t="str">
        <f>IF(AND('领用录入（明细）'!D:D=$F$4,'领用录入（明细）'!C:C&gt;=$J$4,'领用录入（明细）'!C:C&lt;=$L$4),ROW(),"-")</f>
        <v>-</v>
      </c>
    </row>
    <row r="4734" customHeight="1" spans="2:2">
      <c r="B4734" s="62" t="str">
        <f>IF(AND('领用录入（明细）'!D:D=$F$4,'领用录入（明细）'!C:C&gt;=$J$4,'领用录入（明细）'!C:C&lt;=$L$4),ROW(),"-")</f>
        <v>-</v>
      </c>
    </row>
    <row r="4735" customHeight="1" spans="2:2">
      <c r="B4735" s="62" t="str">
        <f>IF(AND('领用录入（明细）'!D:D=$F$4,'领用录入（明细）'!C:C&gt;=$J$4,'领用录入（明细）'!C:C&lt;=$L$4),ROW(),"-")</f>
        <v>-</v>
      </c>
    </row>
    <row r="4736" customHeight="1" spans="2:2">
      <c r="B4736" s="62" t="str">
        <f>IF(AND('领用录入（明细）'!D:D=$F$4,'领用录入（明细）'!C:C&gt;=$J$4,'领用录入（明细）'!C:C&lt;=$L$4),ROW(),"-")</f>
        <v>-</v>
      </c>
    </row>
    <row r="4737" customHeight="1" spans="2:2">
      <c r="B4737" s="62" t="str">
        <f>IF(AND('领用录入（明细）'!D:D=$F$4,'领用录入（明细）'!C:C&gt;=$J$4,'领用录入（明细）'!C:C&lt;=$L$4),ROW(),"-")</f>
        <v>-</v>
      </c>
    </row>
    <row r="4738" customHeight="1" spans="2:2">
      <c r="B4738" s="62" t="str">
        <f>IF(AND('领用录入（明细）'!D:D=$F$4,'领用录入（明细）'!C:C&gt;=$J$4,'领用录入（明细）'!C:C&lt;=$L$4),ROW(),"-")</f>
        <v>-</v>
      </c>
    </row>
    <row r="4739" customHeight="1" spans="2:2">
      <c r="B4739" s="62" t="str">
        <f>IF(AND('领用录入（明细）'!D:D=$F$4,'领用录入（明细）'!C:C&gt;=$J$4,'领用录入（明细）'!C:C&lt;=$L$4),ROW(),"-")</f>
        <v>-</v>
      </c>
    </row>
    <row r="4740" customHeight="1" spans="2:2">
      <c r="B4740" s="62" t="str">
        <f>IF(AND('领用录入（明细）'!D:D=$F$4,'领用录入（明细）'!C:C&gt;=$J$4,'领用录入（明细）'!C:C&lt;=$L$4),ROW(),"-")</f>
        <v>-</v>
      </c>
    </row>
    <row r="4741" customHeight="1" spans="2:2">
      <c r="B4741" s="62" t="str">
        <f>IF(AND('领用录入（明细）'!D:D=$F$4,'领用录入（明细）'!C:C&gt;=$J$4,'领用录入（明细）'!C:C&lt;=$L$4),ROW(),"-")</f>
        <v>-</v>
      </c>
    </row>
    <row r="4742" customHeight="1" spans="2:2">
      <c r="B4742" s="62" t="str">
        <f>IF(AND('领用录入（明细）'!D:D=$F$4,'领用录入（明细）'!C:C&gt;=$J$4,'领用录入（明细）'!C:C&lt;=$L$4),ROW(),"-")</f>
        <v>-</v>
      </c>
    </row>
    <row r="4743" customHeight="1" spans="2:2">
      <c r="B4743" s="62" t="str">
        <f>IF(AND('领用录入（明细）'!D:D=$F$4,'领用录入（明细）'!C:C&gt;=$J$4,'领用录入（明细）'!C:C&lt;=$L$4),ROW(),"-")</f>
        <v>-</v>
      </c>
    </row>
    <row r="4744" customHeight="1" spans="2:2">
      <c r="B4744" s="62" t="str">
        <f>IF(AND('领用录入（明细）'!D:D=$F$4,'领用录入（明细）'!C:C&gt;=$J$4,'领用录入（明细）'!C:C&lt;=$L$4),ROW(),"-")</f>
        <v>-</v>
      </c>
    </row>
    <row r="4745" customHeight="1" spans="2:2">
      <c r="B4745" s="62" t="str">
        <f>IF(AND('领用录入（明细）'!D:D=$F$4,'领用录入（明细）'!C:C&gt;=$J$4,'领用录入（明细）'!C:C&lt;=$L$4),ROW(),"-")</f>
        <v>-</v>
      </c>
    </row>
    <row r="4746" customHeight="1" spans="2:2">
      <c r="B4746" s="62" t="str">
        <f>IF(AND('领用录入（明细）'!D:D=$F$4,'领用录入（明细）'!C:C&gt;=$J$4,'领用录入（明细）'!C:C&lt;=$L$4),ROW(),"-")</f>
        <v>-</v>
      </c>
    </row>
    <row r="4747" customHeight="1" spans="2:2">
      <c r="B4747" s="62" t="str">
        <f>IF(AND('领用录入（明细）'!D:D=$F$4,'领用录入（明细）'!C:C&gt;=$J$4,'领用录入（明细）'!C:C&lt;=$L$4),ROW(),"-")</f>
        <v>-</v>
      </c>
    </row>
    <row r="4748" customHeight="1" spans="2:2">
      <c r="B4748" s="62" t="str">
        <f>IF(AND('领用录入（明细）'!D:D=$F$4,'领用录入（明细）'!C:C&gt;=$J$4,'领用录入（明细）'!C:C&lt;=$L$4),ROW(),"-")</f>
        <v>-</v>
      </c>
    </row>
    <row r="4749" customHeight="1" spans="2:2">
      <c r="B4749" s="62" t="str">
        <f>IF(AND('领用录入（明细）'!D:D=$F$4,'领用录入（明细）'!C:C&gt;=$J$4,'领用录入（明细）'!C:C&lt;=$L$4),ROW(),"-")</f>
        <v>-</v>
      </c>
    </row>
    <row r="4750" customHeight="1" spans="2:2">
      <c r="B4750" s="62" t="str">
        <f>IF(AND('领用录入（明细）'!D:D=$F$4,'领用录入（明细）'!C:C&gt;=$J$4,'领用录入（明细）'!C:C&lt;=$L$4),ROW(),"-")</f>
        <v>-</v>
      </c>
    </row>
    <row r="4751" customHeight="1" spans="2:2">
      <c r="B4751" s="62" t="str">
        <f>IF(AND('领用录入（明细）'!D:D=$F$4,'领用录入（明细）'!C:C&gt;=$J$4,'领用录入（明细）'!C:C&lt;=$L$4),ROW(),"-")</f>
        <v>-</v>
      </c>
    </row>
    <row r="4752" customHeight="1" spans="2:2">
      <c r="B4752" s="62" t="str">
        <f>IF(AND('领用录入（明细）'!D:D=$F$4,'领用录入（明细）'!C:C&gt;=$J$4,'领用录入（明细）'!C:C&lt;=$L$4),ROW(),"-")</f>
        <v>-</v>
      </c>
    </row>
    <row r="4753" customHeight="1" spans="2:2">
      <c r="B4753" s="62" t="str">
        <f>IF(AND('领用录入（明细）'!D:D=$F$4,'领用录入（明细）'!C:C&gt;=$J$4,'领用录入（明细）'!C:C&lt;=$L$4),ROW(),"-")</f>
        <v>-</v>
      </c>
    </row>
    <row r="4754" customHeight="1" spans="2:2">
      <c r="B4754" s="62" t="str">
        <f>IF(AND('领用录入（明细）'!D:D=$F$4,'领用录入（明细）'!C:C&gt;=$J$4,'领用录入（明细）'!C:C&lt;=$L$4),ROW(),"-")</f>
        <v>-</v>
      </c>
    </row>
    <row r="4755" customHeight="1" spans="2:2">
      <c r="B4755" s="62" t="str">
        <f>IF(AND('领用录入（明细）'!D:D=$F$4,'领用录入（明细）'!C:C&gt;=$J$4,'领用录入（明细）'!C:C&lt;=$L$4),ROW(),"-")</f>
        <v>-</v>
      </c>
    </row>
    <row r="4756" customHeight="1" spans="2:2">
      <c r="B4756" s="62" t="str">
        <f>IF(AND('领用录入（明细）'!D:D=$F$4,'领用录入（明细）'!C:C&gt;=$J$4,'领用录入（明细）'!C:C&lt;=$L$4),ROW(),"-")</f>
        <v>-</v>
      </c>
    </row>
    <row r="4757" customHeight="1" spans="2:2">
      <c r="B4757" s="62" t="str">
        <f>IF(AND('领用录入（明细）'!D:D=$F$4,'领用录入（明细）'!C:C&gt;=$J$4,'领用录入（明细）'!C:C&lt;=$L$4),ROW(),"-")</f>
        <v>-</v>
      </c>
    </row>
    <row r="4758" customHeight="1" spans="2:2">
      <c r="B4758" s="62" t="str">
        <f>IF(AND('领用录入（明细）'!D:D=$F$4,'领用录入（明细）'!C:C&gt;=$J$4,'领用录入（明细）'!C:C&lt;=$L$4),ROW(),"-")</f>
        <v>-</v>
      </c>
    </row>
    <row r="4759" customHeight="1" spans="2:2">
      <c r="B4759" s="62" t="str">
        <f>IF(AND('领用录入（明细）'!D:D=$F$4,'领用录入（明细）'!C:C&gt;=$J$4,'领用录入（明细）'!C:C&lt;=$L$4),ROW(),"-")</f>
        <v>-</v>
      </c>
    </row>
    <row r="4760" customHeight="1" spans="2:2">
      <c r="B4760" s="62" t="str">
        <f>IF(AND('领用录入（明细）'!D:D=$F$4,'领用录入（明细）'!C:C&gt;=$J$4,'领用录入（明细）'!C:C&lt;=$L$4),ROW(),"-")</f>
        <v>-</v>
      </c>
    </row>
    <row r="4761" customHeight="1" spans="2:2">
      <c r="B4761" s="62" t="str">
        <f>IF(AND('领用录入（明细）'!D:D=$F$4,'领用录入（明细）'!C:C&gt;=$J$4,'领用录入（明细）'!C:C&lt;=$L$4),ROW(),"-")</f>
        <v>-</v>
      </c>
    </row>
    <row r="4762" customHeight="1" spans="2:2">
      <c r="B4762" s="62" t="str">
        <f>IF(AND('领用录入（明细）'!D:D=$F$4,'领用录入（明细）'!C:C&gt;=$J$4,'领用录入（明细）'!C:C&lt;=$L$4),ROW(),"-")</f>
        <v>-</v>
      </c>
    </row>
    <row r="4763" customHeight="1" spans="2:2">
      <c r="B4763" s="62" t="str">
        <f>IF(AND('领用录入（明细）'!D:D=$F$4,'领用录入（明细）'!C:C&gt;=$J$4,'领用录入（明细）'!C:C&lt;=$L$4),ROW(),"-")</f>
        <v>-</v>
      </c>
    </row>
    <row r="4764" customHeight="1" spans="2:2">
      <c r="B4764" s="62" t="str">
        <f>IF(AND('领用录入（明细）'!D:D=$F$4,'领用录入（明细）'!C:C&gt;=$J$4,'领用录入（明细）'!C:C&lt;=$L$4),ROW(),"-")</f>
        <v>-</v>
      </c>
    </row>
    <row r="4765" customHeight="1" spans="2:2">
      <c r="B4765" s="62" t="str">
        <f>IF(AND('领用录入（明细）'!D:D=$F$4,'领用录入（明细）'!C:C&gt;=$J$4,'领用录入（明细）'!C:C&lt;=$L$4),ROW(),"-")</f>
        <v>-</v>
      </c>
    </row>
    <row r="4766" customHeight="1" spans="2:2">
      <c r="B4766" s="62" t="str">
        <f>IF(AND('领用录入（明细）'!D:D=$F$4,'领用录入（明细）'!C:C&gt;=$J$4,'领用录入（明细）'!C:C&lt;=$L$4),ROW(),"-")</f>
        <v>-</v>
      </c>
    </row>
    <row r="4767" customHeight="1" spans="2:2">
      <c r="B4767" s="62" t="str">
        <f>IF(AND('领用录入（明细）'!D:D=$F$4,'领用录入（明细）'!C:C&gt;=$J$4,'领用录入（明细）'!C:C&lt;=$L$4),ROW(),"-")</f>
        <v>-</v>
      </c>
    </row>
    <row r="4768" customHeight="1" spans="2:2">
      <c r="B4768" s="62" t="str">
        <f>IF(AND('领用录入（明细）'!D:D=$F$4,'领用录入（明细）'!C:C&gt;=$J$4,'领用录入（明细）'!C:C&lt;=$L$4),ROW(),"-")</f>
        <v>-</v>
      </c>
    </row>
    <row r="4769" customHeight="1" spans="2:2">
      <c r="B4769" s="62" t="str">
        <f>IF(AND('领用录入（明细）'!D:D=$F$4,'领用录入（明细）'!C:C&gt;=$J$4,'领用录入（明细）'!C:C&lt;=$L$4),ROW(),"-")</f>
        <v>-</v>
      </c>
    </row>
    <row r="4770" customHeight="1" spans="2:2">
      <c r="B4770" s="62" t="str">
        <f>IF(AND('领用录入（明细）'!D:D=$F$4,'领用录入（明细）'!C:C&gt;=$J$4,'领用录入（明细）'!C:C&lt;=$L$4),ROW(),"-")</f>
        <v>-</v>
      </c>
    </row>
    <row r="4771" customHeight="1" spans="2:2">
      <c r="B4771" s="62" t="str">
        <f>IF(AND('领用录入（明细）'!D:D=$F$4,'领用录入（明细）'!C:C&gt;=$J$4,'领用录入（明细）'!C:C&lt;=$L$4),ROW(),"-")</f>
        <v>-</v>
      </c>
    </row>
    <row r="4772" customHeight="1" spans="2:2">
      <c r="B4772" s="62" t="str">
        <f>IF(AND('领用录入（明细）'!D:D=$F$4,'领用录入（明细）'!C:C&gt;=$J$4,'领用录入（明细）'!C:C&lt;=$L$4),ROW(),"-")</f>
        <v>-</v>
      </c>
    </row>
    <row r="4773" customHeight="1" spans="2:2">
      <c r="B4773" s="62" t="str">
        <f>IF(AND('领用录入（明细）'!D:D=$F$4,'领用录入（明细）'!C:C&gt;=$J$4,'领用录入（明细）'!C:C&lt;=$L$4),ROW(),"-")</f>
        <v>-</v>
      </c>
    </row>
    <row r="4774" customHeight="1" spans="2:2">
      <c r="B4774" s="62" t="str">
        <f>IF(AND('领用录入（明细）'!D:D=$F$4,'领用录入（明细）'!C:C&gt;=$J$4,'领用录入（明细）'!C:C&lt;=$L$4),ROW(),"-")</f>
        <v>-</v>
      </c>
    </row>
    <row r="4775" customHeight="1" spans="2:2">
      <c r="B4775" s="62" t="str">
        <f>IF(AND('领用录入（明细）'!D:D=$F$4,'领用录入（明细）'!C:C&gt;=$J$4,'领用录入（明细）'!C:C&lt;=$L$4),ROW(),"-")</f>
        <v>-</v>
      </c>
    </row>
    <row r="4776" customHeight="1" spans="2:2">
      <c r="B4776" s="62" t="str">
        <f>IF(AND('领用录入（明细）'!D:D=$F$4,'领用录入（明细）'!C:C&gt;=$J$4,'领用录入（明细）'!C:C&lt;=$L$4),ROW(),"-")</f>
        <v>-</v>
      </c>
    </row>
    <row r="4777" customHeight="1" spans="2:2">
      <c r="B4777" s="62" t="str">
        <f>IF(AND('领用录入（明细）'!D:D=$F$4,'领用录入（明细）'!C:C&gt;=$J$4,'领用录入（明细）'!C:C&lt;=$L$4),ROW(),"-")</f>
        <v>-</v>
      </c>
    </row>
    <row r="4778" customHeight="1" spans="2:2">
      <c r="B4778" s="62" t="str">
        <f>IF(AND('领用录入（明细）'!D:D=$F$4,'领用录入（明细）'!C:C&gt;=$J$4,'领用录入（明细）'!C:C&lt;=$L$4),ROW(),"-")</f>
        <v>-</v>
      </c>
    </row>
    <row r="4779" customHeight="1" spans="2:2">
      <c r="B4779" s="62" t="str">
        <f>IF(AND('领用录入（明细）'!D:D=$F$4,'领用录入（明细）'!C:C&gt;=$J$4,'领用录入（明细）'!C:C&lt;=$L$4),ROW(),"-")</f>
        <v>-</v>
      </c>
    </row>
    <row r="4780" customHeight="1" spans="2:2">
      <c r="B4780" s="62" t="str">
        <f>IF(AND('领用录入（明细）'!D:D=$F$4,'领用录入（明细）'!C:C&gt;=$J$4,'领用录入（明细）'!C:C&lt;=$L$4),ROW(),"-")</f>
        <v>-</v>
      </c>
    </row>
    <row r="4781" customHeight="1" spans="2:2">
      <c r="B4781" s="62" t="str">
        <f>IF(AND('领用录入（明细）'!D:D=$F$4,'领用录入（明细）'!C:C&gt;=$J$4,'领用录入（明细）'!C:C&lt;=$L$4),ROW(),"-")</f>
        <v>-</v>
      </c>
    </row>
    <row r="4782" customHeight="1" spans="2:2">
      <c r="B4782" s="62" t="str">
        <f>IF(AND('领用录入（明细）'!D:D=$F$4,'领用录入（明细）'!C:C&gt;=$J$4,'领用录入（明细）'!C:C&lt;=$L$4),ROW(),"-")</f>
        <v>-</v>
      </c>
    </row>
    <row r="4783" customHeight="1" spans="2:2">
      <c r="B4783" s="62" t="str">
        <f>IF(AND('领用录入（明细）'!D:D=$F$4,'领用录入（明细）'!C:C&gt;=$J$4,'领用录入（明细）'!C:C&lt;=$L$4),ROW(),"-")</f>
        <v>-</v>
      </c>
    </row>
    <row r="4784" customHeight="1" spans="2:2">
      <c r="B4784" s="62" t="str">
        <f>IF(AND('领用录入（明细）'!D:D=$F$4,'领用录入（明细）'!C:C&gt;=$J$4,'领用录入（明细）'!C:C&lt;=$L$4),ROW(),"-")</f>
        <v>-</v>
      </c>
    </row>
    <row r="4785" customHeight="1" spans="2:2">
      <c r="B4785" s="62" t="str">
        <f>IF(AND('领用录入（明细）'!D:D=$F$4,'领用录入（明细）'!C:C&gt;=$J$4,'领用录入（明细）'!C:C&lt;=$L$4),ROW(),"-")</f>
        <v>-</v>
      </c>
    </row>
    <row r="4786" customHeight="1" spans="2:2">
      <c r="B4786" s="62" t="str">
        <f>IF(AND('领用录入（明细）'!D:D=$F$4,'领用录入（明细）'!C:C&gt;=$J$4,'领用录入（明细）'!C:C&lt;=$L$4),ROW(),"-")</f>
        <v>-</v>
      </c>
    </row>
    <row r="4787" customHeight="1" spans="2:2">
      <c r="B4787" s="62" t="str">
        <f>IF(AND('领用录入（明细）'!D:D=$F$4,'领用录入（明细）'!C:C&gt;=$J$4,'领用录入（明细）'!C:C&lt;=$L$4),ROW(),"-")</f>
        <v>-</v>
      </c>
    </row>
    <row r="4788" customHeight="1" spans="2:2">
      <c r="B4788" s="62" t="str">
        <f>IF(AND('领用录入（明细）'!D:D=$F$4,'领用录入（明细）'!C:C&gt;=$J$4,'领用录入（明细）'!C:C&lt;=$L$4),ROW(),"-")</f>
        <v>-</v>
      </c>
    </row>
    <row r="4789" customHeight="1" spans="2:2">
      <c r="B4789" s="62" t="str">
        <f>IF(AND('领用录入（明细）'!D:D=$F$4,'领用录入（明细）'!C:C&gt;=$J$4,'领用录入（明细）'!C:C&lt;=$L$4),ROW(),"-")</f>
        <v>-</v>
      </c>
    </row>
    <row r="4790" customHeight="1" spans="2:2">
      <c r="B4790" s="62" t="str">
        <f>IF(AND('领用录入（明细）'!D:D=$F$4,'领用录入（明细）'!C:C&gt;=$J$4,'领用录入（明细）'!C:C&lt;=$L$4),ROW(),"-")</f>
        <v>-</v>
      </c>
    </row>
    <row r="4791" customHeight="1" spans="2:2">
      <c r="B4791" s="62" t="str">
        <f>IF(AND('领用录入（明细）'!D:D=$F$4,'领用录入（明细）'!C:C&gt;=$J$4,'领用录入（明细）'!C:C&lt;=$L$4),ROW(),"-")</f>
        <v>-</v>
      </c>
    </row>
    <row r="4792" customHeight="1" spans="2:2">
      <c r="B4792" s="62" t="str">
        <f>IF(AND('领用录入（明细）'!D:D=$F$4,'领用录入（明细）'!C:C&gt;=$J$4,'领用录入（明细）'!C:C&lt;=$L$4),ROW(),"-")</f>
        <v>-</v>
      </c>
    </row>
    <row r="4793" customHeight="1" spans="2:2">
      <c r="B4793" s="62" t="str">
        <f>IF(AND('领用录入（明细）'!D:D=$F$4,'领用录入（明细）'!C:C&gt;=$J$4,'领用录入（明细）'!C:C&lt;=$L$4),ROW(),"-")</f>
        <v>-</v>
      </c>
    </row>
    <row r="4794" customHeight="1" spans="2:2">
      <c r="B4794" s="62" t="str">
        <f>IF(AND('领用录入（明细）'!D:D=$F$4,'领用录入（明细）'!C:C&gt;=$J$4,'领用录入（明细）'!C:C&lt;=$L$4),ROW(),"-")</f>
        <v>-</v>
      </c>
    </row>
    <row r="4795" customHeight="1" spans="2:2">
      <c r="B4795" s="62" t="str">
        <f>IF(AND('领用录入（明细）'!D:D=$F$4,'领用录入（明细）'!C:C&gt;=$J$4,'领用录入（明细）'!C:C&lt;=$L$4),ROW(),"-")</f>
        <v>-</v>
      </c>
    </row>
    <row r="4796" customHeight="1" spans="2:2">
      <c r="B4796" s="62" t="str">
        <f>IF(AND('领用录入（明细）'!D:D=$F$4,'领用录入（明细）'!C:C&gt;=$J$4,'领用录入（明细）'!C:C&lt;=$L$4),ROW(),"-")</f>
        <v>-</v>
      </c>
    </row>
    <row r="4797" customHeight="1" spans="2:2">
      <c r="B4797" s="62" t="str">
        <f>IF(AND('领用录入（明细）'!D:D=$F$4,'领用录入（明细）'!C:C&gt;=$J$4,'领用录入（明细）'!C:C&lt;=$L$4),ROW(),"-")</f>
        <v>-</v>
      </c>
    </row>
    <row r="4798" customHeight="1" spans="2:2">
      <c r="B4798" s="62" t="str">
        <f>IF(AND('领用录入（明细）'!D:D=$F$4,'领用录入（明细）'!C:C&gt;=$J$4,'领用录入（明细）'!C:C&lt;=$L$4),ROW(),"-")</f>
        <v>-</v>
      </c>
    </row>
    <row r="4799" customHeight="1" spans="2:2">
      <c r="B4799" s="62" t="str">
        <f>IF(AND('领用录入（明细）'!D:D=$F$4,'领用录入（明细）'!C:C&gt;=$J$4,'领用录入（明细）'!C:C&lt;=$L$4),ROW(),"-")</f>
        <v>-</v>
      </c>
    </row>
    <row r="4800" customHeight="1" spans="2:2">
      <c r="B4800" s="62" t="str">
        <f>IF(AND('领用录入（明细）'!D:D=$F$4,'领用录入（明细）'!C:C&gt;=$J$4,'领用录入（明细）'!C:C&lt;=$L$4),ROW(),"-")</f>
        <v>-</v>
      </c>
    </row>
    <row r="4801" customHeight="1" spans="2:2">
      <c r="B4801" s="62" t="str">
        <f>IF(AND('领用录入（明细）'!D:D=$F$4,'领用录入（明细）'!C:C&gt;=$J$4,'领用录入（明细）'!C:C&lt;=$L$4),ROW(),"-")</f>
        <v>-</v>
      </c>
    </row>
    <row r="4802" customHeight="1" spans="2:2">
      <c r="B4802" s="62" t="str">
        <f>IF(AND('领用录入（明细）'!D:D=$F$4,'领用录入（明细）'!C:C&gt;=$J$4,'领用录入（明细）'!C:C&lt;=$L$4),ROW(),"-")</f>
        <v>-</v>
      </c>
    </row>
    <row r="4803" customHeight="1" spans="2:2">
      <c r="B4803" s="62" t="str">
        <f>IF(AND('领用录入（明细）'!D:D=$F$4,'领用录入（明细）'!C:C&gt;=$J$4,'领用录入（明细）'!C:C&lt;=$L$4),ROW(),"-")</f>
        <v>-</v>
      </c>
    </row>
    <row r="4804" customHeight="1" spans="2:2">
      <c r="B4804" s="62" t="str">
        <f>IF(AND('领用录入（明细）'!D:D=$F$4,'领用录入（明细）'!C:C&gt;=$J$4,'领用录入（明细）'!C:C&lt;=$L$4),ROW(),"-")</f>
        <v>-</v>
      </c>
    </row>
    <row r="4805" customHeight="1" spans="2:2">
      <c r="B4805" s="62" t="str">
        <f>IF(AND('领用录入（明细）'!D:D=$F$4,'领用录入（明细）'!C:C&gt;=$J$4,'领用录入（明细）'!C:C&lt;=$L$4),ROW(),"-")</f>
        <v>-</v>
      </c>
    </row>
    <row r="4806" customHeight="1" spans="2:2">
      <c r="B4806" s="62" t="str">
        <f>IF(AND('领用录入（明细）'!D:D=$F$4,'领用录入（明细）'!C:C&gt;=$J$4,'领用录入（明细）'!C:C&lt;=$L$4),ROW(),"-")</f>
        <v>-</v>
      </c>
    </row>
    <row r="4807" customHeight="1" spans="2:2">
      <c r="B4807" s="62" t="str">
        <f>IF(AND('领用录入（明细）'!D:D=$F$4,'领用录入（明细）'!C:C&gt;=$J$4,'领用录入（明细）'!C:C&lt;=$L$4),ROW(),"-")</f>
        <v>-</v>
      </c>
    </row>
    <row r="4808" customHeight="1" spans="2:2">
      <c r="B4808" s="62" t="str">
        <f>IF(AND('领用录入（明细）'!D:D=$F$4,'领用录入（明细）'!C:C&gt;=$J$4,'领用录入（明细）'!C:C&lt;=$L$4),ROW(),"-")</f>
        <v>-</v>
      </c>
    </row>
    <row r="4809" customHeight="1" spans="2:2">
      <c r="B4809" s="62" t="str">
        <f>IF(AND('领用录入（明细）'!D:D=$F$4,'领用录入（明细）'!C:C&gt;=$J$4,'领用录入（明细）'!C:C&lt;=$L$4),ROW(),"-")</f>
        <v>-</v>
      </c>
    </row>
    <row r="4810" customHeight="1" spans="2:2">
      <c r="B4810" s="62" t="str">
        <f>IF(AND('领用录入（明细）'!D:D=$F$4,'领用录入（明细）'!C:C&gt;=$J$4,'领用录入（明细）'!C:C&lt;=$L$4),ROW(),"-")</f>
        <v>-</v>
      </c>
    </row>
    <row r="4811" customHeight="1" spans="2:2">
      <c r="B4811" s="62" t="str">
        <f>IF(AND('领用录入（明细）'!D:D=$F$4,'领用录入（明细）'!C:C&gt;=$J$4,'领用录入（明细）'!C:C&lt;=$L$4),ROW(),"-")</f>
        <v>-</v>
      </c>
    </row>
    <row r="4812" customHeight="1" spans="2:2">
      <c r="B4812" s="62" t="str">
        <f>IF(AND('领用录入（明细）'!D:D=$F$4,'领用录入（明细）'!C:C&gt;=$J$4,'领用录入（明细）'!C:C&lt;=$L$4),ROW(),"-")</f>
        <v>-</v>
      </c>
    </row>
    <row r="4813" customHeight="1" spans="2:2">
      <c r="B4813" s="62" t="str">
        <f>IF(AND('领用录入（明细）'!D:D=$F$4,'领用录入（明细）'!C:C&gt;=$J$4,'领用录入（明细）'!C:C&lt;=$L$4),ROW(),"-")</f>
        <v>-</v>
      </c>
    </row>
    <row r="4814" customHeight="1" spans="2:2">
      <c r="B4814" s="62" t="str">
        <f>IF(AND('领用录入（明细）'!D:D=$F$4,'领用录入（明细）'!C:C&gt;=$J$4,'领用录入（明细）'!C:C&lt;=$L$4),ROW(),"-")</f>
        <v>-</v>
      </c>
    </row>
    <row r="4815" customHeight="1" spans="2:2">
      <c r="B4815" s="62" t="str">
        <f>IF(AND('领用录入（明细）'!D:D=$F$4,'领用录入（明细）'!C:C&gt;=$J$4,'领用录入（明细）'!C:C&lt;=$L$4),ROW(),"-")</f>
        <v>-</v>
      </c>
    </row>
    <row r="4816" customHeight="1" spans="2:2">
      <c r="B4816" s="62" t="str">
        <f>IF(AND('领用录入（明细）'!D:D=$F$4,'领用录入（明细）'!C:C&gt;=$J$4,'领用录入（明细）'!C:C&lt;=$L$4),ROW(),"-")</f>
        <v>-</v>
      </c>
    </row>
    <row r="4817" customHeight="1" spans="2:2">
      <c r="B4817" s="62" t="str">
        <f>IF(AND('领用录入（明细）'!D:D=$F$4,'领用录入（明细）'!C:C&gt;=$J$4,'领用录入（明细）'!C:C&lt;=$L$4),ROW(),"-")</f>
        <v>-</v>
      </c>
    </row>
    <row r="4818" customHeight="1" spans="2:2">
      <c r="B4818" s="62" t="str">
        <f>IF(AND('领用录入（明细）'!D:D=$F$4,'领用录入（明细）'!C:C&gt;=$J$4,'领用录入（明细）'!C:C&lt;=$L$4),ROW(),"-")</f>
        <v>-</v>
      </c>
    </row>
    <row r="4819" customHeight="1" spans="2:2">
      <c r="B4819" s="62" t="str">
        <f>IF(AND('领用录入（明细）'!D:D=$F$4,'领用录入（明细）'!C:C&gt;=$J$4,'领用录入（明细）'!C:C&lt;=$L$4),ROW(),"-")</f>
        <v>-</v>
      </c>
    </row>
    <row r="4820" customHeight="1" spans="2:2">
      <c r="B4820" s="62" t="str">
        <f>IF(AND('领用录入（明细）'!D:D=$F$4,'领用录入（明细）'!C:C&gt;=$J$4,'领用录入（明细）'!C:C&lt;=$L$4),ROW(),"-")</f>
        <v>-</v>
      </c>
    </row>
    <row r="4821" customHeight="1" spans="2:2">
      <c r="B4821" s="62" t="str">
        <f>IF(AND('领用录入（明细）'!D:D=$F$4,'领用录入（明细）'!C:C&gt;=$J$4,'领用录入（明细）'!C:C&lt;=$L$4),ROW(),"-")</f>
        <v>-</v>
      </c>
    </row>
    <row r="4822" customHeight="1" spans="2:2">
      <c r="B4822" s="62" t="str">
        <f>IF(AND('领用录入（明细）'!D:D=$F$4,'领用录入（明细）'!C:C&gt;=$J$4,'领用录入（明细）'!C:C&lt;=$L$4),ROW(),"-")</f>
        <v>-</v>
      </c>
    </row>
    <row r="4823" customHeight="1" spans="2:2">
      <c r="B4823" s="62" t="str">
        <f>IF(AND('领用录入（明细）'!D:D=$F$4,'领用录入（明细）'!C:C&gt;=$J$4,'领用录入（明细）'!C:C&lt;=$L$4),ROW(),"-")</f>
        <v>-</v>
      </c>
    </row>
    <row r="4824" customHeight="1" spans="2:2">
      <c r="B4824" s="62" t="str">
        <f>IF(AND('领用录入（明细）'!D:D=$F$4,'领用录入（明细）'!C:C&gt;=$J$4,'领用录入（明细）'!C:C&lt;=$L$4),ROW(),"-")</f>
        <v>-</v>
      </c>
    </row>
    <row r="4825" customHeight="1" spans="2:2">
      <c r="B4825" s="62" t="str">
        <f>IF(AND('领用录入（明细）'!D:D=$F$4,'领用录入（明细）'!C:C&gt;=$J$4,'领用录入（明细）'!C:C&lt;=$L$4),ROW(),"-")</f>
        <v>-</v>
      </c>
    </row>
    <row r="4826" customHeight="1" spans="2:2">
      <c r="B4826" s="62" t="str">
        <f>IF(AND('领用录入（明细）'!D:D=$F$4,'领用录入（明细）'!C:C&gt;=$J$4,'领用录入（明细）'!C:C&lt;=$L$4),ROW(),"-")</f>
        <v>-</v>
      </c>
    </row>
    <row r="4827" customHeight="1" spans="2:2">
      <c r="B4827" s="62" t="str">
        <f>IF(AND('领用录入（明细）'!D:D=$F$4,'领用录入（明细）'!C:C&gt;=$J$4,'领用录入（明细）'!C:C&lt;=$L$4),ROW(),"-")</f>
        <v>-</v>
      </c>
    </row>
    <row r="4828" customHeight="1" spans="2:2">
      <c r="B4828" s="62" t="str">
        <f>IF(AND('领用录入（明细）'!D:D=$F$4,'领用录入（明细）'!C:C&gt;=$J$4,'领用录入（明细）'!C:C&lt;=$L$4),ROW(),"-")</f>
        <v>-</v>
      </c>
    </row>
    <row r="4829" customHeight="1" spans="2:2">
      <c r="B4829" s="62" t="str">
        <f>IF(AND('领用录入（明细）'!D:D=$F$4,'领用录入（明细）'!C:C&gt;=$J$4,'领用录入（明细）'!C:C&lt;=$L$4),ROW(),"-")</f>
        <v>-</v>
      </c>
    </row>
    <row r="4830" customHeight="1" spans="2:2">
      <c r="B4830" s="62" t="str">
        <f>IF(AND('领用录入（明细）'!D:D=$F$4,'领用录入（明细）'!C:C&gt;=$J$4,'领用录入（明细）'!C:C&lt;=$L$4),ROW(),"-")</f>
        <v>-</v>
      </c>
    </row>
    <row r="4831" customHeight="1" spans="2:2">
      <c r="B4831" s="62" t="str">
        <f>IF(AND('领用录入（明细）'!D:D=$F$4,'领用录入（明细）'!C:C&gt;=$J$4,'领用录入（明细）'!C:C&lt;=$L$4),ROW(),"-")</f>
        <v>-</v>
      </c>
    </row>
    <row r="4832" customHeight="1" spans="2:2">
      <c r="B4832" s="62" t="str">
        <f>IF(AND('领用录入（明细）'!D:D=$F$4,'领用录入（明细）'!C:C&gt;=$J$4,'领用录入（明细）'!C:C&lt;=$L$4),ROW(),"-")</f>
        <v>-</v>
      </c>
    </row>
    <row r="4833" customHeight="1" spans="2:2">
      <c r="B4833" s="62" t="str">
        <f>IF(AND('领用录入（明细）'!D:D=$F$4,'领用录入（明细）'!C:C&gt;=$J$4,'领用录入（明细）'!C:C&lt;=$L$4),ROW(),"-")</f>
        <v>-</v>
      </c>
    </row>
    <row r="4834" customHeight="1" spans="2:2">
      <c r="B4834" s="62" t="str">
        <f>IF(AND('领用录入（明细）'!D:D=$F$4,'领用录入（明细）'!C:C&gt;=$J$4,'领用录入（明细）'!C:C&lt;=$L$4),ROW(),"-")</f>
        <v>-</v>
      </c>
    </row>
    <row r="4835" customHeight="1" spans="2:2">
      <c r="B4835" s="62" t="str">
        <f>IF(AND('领用录入（明细）'!D:D=$F$4,'领用录入（明细）'!C:C&gt;=$J$4,'领用录入（明细）'!C:C&lt;=$L$4),ROW(),"-")</f>
        <v>-</v>
      </c>
    </row>
    <row r="4836" customHeight="1" spans="2:2">
      <c r="B4836" s="62" t="str">
        <f>IF(AND('领用录入（明细）'!D:D=$F$4,'领用录入（明细）'!C:C&gt;=$J$4,'领用录入（明细）'!C:C&lt;=$L$4),ROW(),"-")</f>
        <v>-</v>
      </c>
    </row>
    <row r="4837" customHeight="1" spans="2:2">
      <c r="B4837" s="62" t="str">
        <f>IF(AND('领用录入（明细）'!D:D=$F$4,'领用录入（明细）'!C:C&gt;=$J$4,'领用录入（明细）'!C:C&lt;=$L$4),ROW(),"-")</f>
        <v>-</v>
      </c>
    </row>
    <row r="4838" customHeight="1" spans="2:2">
      <c r="B4838" s="62" t="str">
        <f>IF(AND('领用录入（明细）'!D:D=$F$4,'领用录入（明细）'!C:C&gt;=$J$4,'领用录入（明细）'!C:C&lt;=$L$4),ROW(),"-")</f>
        <v>-</v>
      </c>
    </row>
    <row r="4839" customHeight="1" spans="2:2">
      <c r="B4839" s="62" t="str">
        <f>IF(AND('领用录入（明细）'!D:D=$F$4,'领用录入（明细）'!C:C&gt;=$J$4,'领用录入（明细）'!C:C&lt;=$L$4),ROW(),"-")</f>
        <v>-</v>
      </c>
    </row>
    <row r="4840" customHeight="1" spans="2:2">
      <c r="B4840" s="62" t="str">
        <f>IF(AND('领用录入（明细）'!D:D=$F$4,'领用录入（明细）'!C:C&gt;=$J$4,'领用录入（明细）'!C:C&lt;=$L$4),ROW(),"-")</f>
        <v>-</v>
      </c>
    </row>
    <row r="4841" customHeight="1" spans="2:2">
      <c r="B4841" s="62" t="str">
        <f>IF(AND('领用录入（明细）'!D:D=$F$4,'领用录入（明细）'!C:C&gt;=$J$4,'领用录入（明细）'!C:C&lt;=$L$4),ROW(),"-")</f>
        <v>-</v>
      </c>
    </row>
    <row r="4842" customHeight="1" spans="2:2">
      <c r="B4842" s="62" t="str">
        <f>IF(AND('领用录入（明细）'!D:D=$F$4,'领用录入（明细）'!C:C&gt;=$J$4,'领用录入（明细）'!C:C&lt;=$L$4),ROW(),"-")</f>
        <v>-</v>
      </c>
    </row>
    <row r="4843" customHeight="1" spans="2:2">
      <c r="B4843" s="62" t="str">
        <f>IF(AND('领用录入（明细）'!D:D=$F$4,'领用录入（明细）'!C:C&gt;=$J$4,'领用录入（明细）'!C:C&lt;=$L$4),ROW(),"-")</f>
        <v>-</v>
      </c>
    </row>
    <row r="4844" customHeight="1" spans="2:2">
      <c r="B4844" s="62" t="str">
        <f>IF(AND('领用录入（明细）'!D:D=$F$4,'领用录入（明细）'!C:C&gt;=$J$4,'领用录入（明细）'!C:C&lt;=$L$4),ROW(),"-")</f>
        <v>-</v>
      </c>
    </row>
    <row r="4845" customHeight="1" spans="2:2">
      <c r="B4845" s="62" t="str">
        <f>IF(AND('领用录入（明细）'!D:D=$F$4,'领用录入（明细）'!C:C&gt;=$J$4,'领用录入（明细）'!C:C&lt;=$L$4),ROW(),"-")</f>
        <v>-</v>
      </c>
    </row>
    <row r="4846" customHeight="1" spans="2:2">
      <c r="B4846" s="62" t="str">
        <f>IF(AND('领用录入（明细）'!D:D=$F$4,'领用录入（明细）'!C:C&gt;=$J$4,'领用录入（明细）'!C:C&lt;=$L$4),ROW(),"-")</f>
        <v>-</v>
      </c>
    </row>
    <row r="4847" customHeight="1" spans="2:2">
      <c r="B4847" s="62" t="str">
        <f>IF(AND('领用录入（明细）'!D:D=$F$4,'领用录入（明细）'!C:C&gt;=$J$4,'领用录入（明细）'!C:C&lt;=$L$4),ROW(),"-")</f>
        <v>-</v>
      </c>
    </row>
    <row r="4848" customHeight="1" spans="2:2">
      <c r="B4848" s="62" t="str">
        <f>IF(AND('领用录入（明细）'!D:D=$F$4,'领用录入（明细）'!C:C&gt;=$J$4,'领用录入（明细）'!C:C&lt;=$L$4),ROW(),"-")</f>
        <v>-</v>
      </c>
    </row>
    <row r="4849" customHeight="1" spans="2:2">
      <c r="B4849" s="62" t="str">
        <f>IF(AND('领用录入（明细）'!D:D=$F$4,'领用录入（明细）'!C:C&gt;=$J$4,'领用录入（明细）'!C:C&lt;=$L$4),ROW(),"-")</f>
        <v>-</v>
      </c>
    </row>
    <row r="4850" customHeight="1" spans="2:2">
      <c r="B4850" s="62" t="str">
        <f>IF(AND('领用录入（明细）'!D:D=$F$4,'领用录入（明细）'!C:C&gt;=$J$4,'领用录入（明细）'!C:C&lt;=$L$4),ROW(),"-")</f>
        <v>-</v>
      </c>
    </row>
    <row r="4851" customHeight="1" spans="2:2">
      <c r="B4851" s="62" t="str">
        <f>IF(AND('领用录入（明细）'!D:D=$F$4,'领用录入（明细）'!C:C&gt;=$J$4,'领用录入（明细）'!C:C&lt;=$L$4),ROW(),"-")</f>
        <v>-</v>
      </c>
    </row>
    <row r="4852" customHeight="1" spans="2:2">
      <c r="B4852" s="62" t="str">
        <f>IF(AND('领用录入（明细）'!D:D=$F$4,'领用录入（明细）'!C:C&gt;=$J$4,'领用录入（明细）'!C:C&lt;=$L$4),ROW(),"-")</f>
        <v>-</v>
      </c>
    </row>
    <row r="4853" customHeight="1" spans="2:2">
      <c r="B4853" s="62" t="str">
        <f>IF(AND('领用录入（明细）'!D:D=$F$4,'领用录入（明细）'!C:C&gt;=$J$4,'领用录入（明细）'!C:C&lt;=$L$4),ROW(),"-")</f>
        <v>-</v>
      </c>
    </row>
    <row r="4854" customHeight="1" spans="2:2">
      <c r="B4854" s="62" t="str">
        <f>IF(AND('领用录入（明细）'!D:D=$F$4,'领用录入（明细）'!C:C&gt;=$J$4,'领用录入（明细）'!C:C&lt;=$L$4),ROW(),"-")</f>
        <v>-</v>
      </c>
    </row>
    <row r="4855" customHeight="1" spans="2:2">
      <c r="B4855" s="62" t="str">
        <f>IF(AND('领用录入（明细）'!D:D=$F$4,'领用录入（明细）'!C:C&gt;=$J$4,'领用录入（明细）'!C:C&lt;=$L$4),ROW(),"-")</f>
        <v>-</v>
      </c>
    </row>
    <row r="4856" customHeight="1" spans="2:2">
      <c r="B4856" s="62" t="str">
        <f>IF(AND('领用录入（明细）'!D:D=$F$4,'领用录入（明细）'!C:C&gt;=$J$4,'领用录入（明细）'!C:C&lt;=$L$4),ROW(),"-")</f>
        <v>-</v>
      </c>
    </row>
    <row r="4857" customHeight="1" spans="2:2">
      <c r="B4857" s="62" t="str">
        <f>IF(AND('领用录入（明细）'!D:D=$F$4,'领用录入（明细）'!C:C&gt;=$J$4,'领用录入（明细）'!C:C&lt;=$L$4),ROW(),"-")</f>
        <v>-</v>
      </c>
    </row>
    <row r="4858" customHeight="1" spans="2:2">
      <c r="B4858" s="62" t="str">
        <f>IF(AND('领用录入（明细）'!D:D=$F$4,'领用录入（明细）'!C:C&gt;=$J$4,'领用录入（明细）'!C:C&lt;=$L$4),ROW(),"-")</f>
        <v>-</v>
      </c>
    </row>
    <row r="4859" customHeight="1" spans="2:2">
      <c r="B4859" s="62" t="str">
        <f>IF(AND('领用录入（明细）'!D:D=$F$4,'领用录入（明细）'!C:C&gt;=$J$4,'领用录入（明细）'!C:C&lt;=$L$4),ROW(),"-")</f>
        <v>-</v>
      </c>
    </row>
    <row r="4860" customHeight="1" spans="2:2">
      <c r="B4860" s="62" t="str">
        <f>IF(AND('领用录入（明细）'!D:D=$F$4,'领用录入（明细）'!C:C&gt;=$J$4,'领用录入（明细）'!C:C&lt;=$L$4),ROW(),"-")</f>
        <v>-</v>
      </c>
    </row>
    <row r="4861" customHeight="1" spans="2:2">
      <c r="B4861" s="62" t="str">
        <f>IF(AND('领用录入（明细）'!D:D=$F$4,'领用录入（明细）'!C:C&gt;=$J$4,'领用录入（明细）'!C:C&lt;=$L$4),ROW(),"-")</f>
        <v>-</v>
      </c>
    </row>
    <row r="4862" customHeight="1" spans="2:2">
      <c r="B4862" s="62" t="str">
        <f>IF(AND('领用录入（明细）'!D:D=$F$4,'领用录入（明细）'!C:C&gt;=$J$4,'领用录入（明细）'!C:C&lt;=$L$4),ROW(),"-")</f>
        <v>-</v>
      </c>
    </row>
    <row r="4863" customHeight="1" spans="2:2">
      <c r="B4863" s="62" t="str">
        <f>IF(AND('领用录入（明细）'!D:D=$F$4,'领用录入（明细）'!C:C&gt;=$J$4,'领用录入（明细）'!C:C&lt;=$L$4),ROW(),"-")</f>
        <v>-</v>
      </c>
    </row>
    <row r="4864" customHeight="1" spans="2:2">
      <c r="B4864" s="62" t="str">
        <f>IF(AND('领用录入（明细）'!D:D=$F$4,'领用录入（明细）'!C:C&gt;=$J$4,'领用录入（明细）'!C:C&lt;=$L$4),ROW(),"-")</f>
        <v>-</v>
      </c>
    </row>
    <row r="4865" customHeight="1" spans="2:2">
      <c r="B4865" s="62" t="str">
        <f>IF(AND('领用录入（明细）'!D:D=$F$4,'领用录入（明细）'!C:C&gt;=$J$4,'领用录入（明细）'!C:C&lt;=$L$4),ROW(),"-")</f>
        <v>-</v>
      </c>
    </row>
    <row r="4866" customHeight="1" spans="2:2">
      <c r="B4866" s="62" t="str">
        <f>IF(AND('领用录入（明细）'!D:D=$F$4,'领用录入（明细）'!C:C&gt;=$J$4,'领用录入（明细）'!C:C&lt;=$L$4),ROW(),"-")</f>
        <v>-</v>
      </c>
    </row>
    <row r="4867" customHeight="1" spans="2:2">
      <c r="B4867" s="62" t="str">
        <f>IF(AND('领用录入（明细）'!D:D=$F$4,'领用录入（明细）'!C:C&gt;=$J$4,'领用录入（明细）'!C:C&lt;=$L$4),ROW(),"-")</f>
        <v>-</v>
      </c>
    </row>
    <row r="4868" customHeight="1" spans="2:2">
      <c r="B4868" s="62" t="str">
        <f>IF(AND('领用录入（明细）'!D:D=$F$4,'领用录入（明细）'!C:C&gt;=$J$4,'领用录入（明细）'!C:C&lt;=$L$4),ROW(),"-")</f>
        <v>-</v>
      </c>
    </row>
    <row r="4869" customHeight="1" spans="2:2">
      <c r="B4869" s="62" t="str">
        <f>IF(AND('领用录入（明细）'!D:D=$F$4,'领用录入（明细）'!C:C&gt;=$J$4,'领用录入（明细）'!C:C&lt;=$L$4),ROW(),"-")</f>
        <v>-</v>
      </c>
    </row>
    <row r="4870" customHeight="1" spans="2:2">
      <c r="B4870" s="62" t="str">
        <f>IF(AND('领用录入（明细）'!D:D=$F$4,'领用录入（明细）'!C:C&gt;=$J$4,'领用录入（明细）'!C:C&lt;=$L$4),ROW(),"-")</f>
        <v>-</v>
      </c>
    </row>
    <row r="4871" customHeight="1" spans="2:2">
      <c r="B4871" s="62" t="str">
        <f>IF(AND('领用录入（明细）'!D:D=$F$4,'领用录入（明细）'!C:C&gt;=$J$4,'领用录入（明细）'!C:C&lt;=$L$4),ROW(),"-")</f>
        <v>-</v>
      </c>
    </row>
    <row r="4872" customHeight="1" spans="2:2">
      <c r="B4872" s="62" t="str">
        <f>IF(AND('领用录入（明细）'!D:D=$F$4,'领用录入（明细）'!C:C&gt;=$J$4,'领用录入（明细）'!C:C&lt;=$L$4),ROW(),"-")</f>
        <v>-</v>
      </c>
    </row>
    <row r="4873" customHeight="1" spans="2:2">
      <c r="B4873" s="62" t="str">
        <f>IF(AND('领用录入（明细）'!D:D=$F$4,'领用录入（明细）'!C:C&gt;=$J$4,'领用录入（明细）'!C:C&lt;=$L$4),ROW(),"-")</f>
        <v>-</v>
      </c>
    </row>
    <row r="4874" customHeight="1" spans="2:2">
      <c r="B4874" s="62" t="str">
        <f>IF(AND('领用录入（明细）'!D:D=$F$4,'领用录入（明细）'!C:C&gt;=$J$4,'领用录入（明细）'!C:C&lt;=$L$4),ROW(),"-")</f>
        <v>-</v>
      </c>
    </row>
    <row r="4875" customHeight="1" spans="2:2">
      <c r="B4875" s="62" t="str">
        <f>IF(AND('领用录入（明细）'!D:D=$F$4,'领用录入（明细）'!C:C&gt;=$J$4,'领用录入（明细）'!C:C&lt;=$L$4),ROW(),"-")</f>
        <v>-</v>
      </c>
    </row>
    <row r="4876" customHeight="1" spans="2:2">
      <c r="B4876" s="62" t="str">
        <f>IF(AND('领用录入（明细）'!D:D=$F$4,'领用录入（明细）'!C:C&gt;=$J$4,'领用录入（明细）'!C:C&lt;=$L$4),ROW(),"-")</f>
        <v>-</v>
      </c>
    </row>
    <row r="4877" customHeight="1" spans="2:2">
      <c r="B4877" s="62" t="str">
        <f>IF(AND('领用录入（明细）'!D:D=$F$4,'领用录入（明细）'!C:C&gt;=$J$4,'领用录入（明细）'!C:C&lt;=$L$4),ROW(),"-")</f>
        <v>-</v>
      </c>
    </row>
    <row r="4878" customHeight="1" spans="2:2">
      <c r="B4878" s="62" t="str">
        <f>IF(AND('领用录入（明细）'!D:D=$F$4,'领用录入（明细）'!C:C&gt;=$J$4,'领用录入（明细）'!C:C&lt;=$L$4),ROW(),"-")</f>
        <v>-</v>
      </c>
    </row>
    <row r="4879" customHeight="1" spans="2:2">
      <c r="B4879" s="62" t="str">
        <f>IF(AND('领用录入（明细）'!D:D=$F$4,'领用录入（明细）'!C:C&gt;=$J$4,'领用录入（明细）'!C:C&lt;=$L$4),ROW(),"-")</f>
        <v>-</v>
      </c>
    </row>
    <row r="4880" customHeight="1" spans="2:2">
      <c r="B4880" s="62" t="str">
        <f>IF(AND('领用录入（明细）'!D:D=$F$4,'领用录入（明细）'!C:C&gt;=$J$4,'领用录入（明细）'!C:C&lt;=$L$4),ROW(),"-")</f>
        <v>-</v>
      </c>
    </row>
    <row r="4881" customHeight="1" spans="2:2">
      <c r="B4881" s="62" t="str">
        <f>IF(AND('领用录入（明细）'!D:D=$F$4,'领用录入（明细）'!C:C&gt;=$J$4,'领用录入（明细）'!C:C&lt;=$L$4),ROW(),"-")</f>
        <v>-</v>
      </c>
    </row>
    <row r="4882" customHeight="1" spans="2:2">
      <c r="B4882" s="62" t="str">
        <f>IF(AND('领用录入（明细）'!D:D=$F$4,'领用录入（明细）'!C:C&gt;=$J$4,'领用录入（明细）'!C:C&lt;=$L$4),ROW(),"-")</f>
        <v>-</v>
      </c>
    </row>
    <row r="4883" customHeight="1" spans="2:2">
      <c r="B4883" s="62" t="str">
        <f>IF(AND('领用录入（明细）'!D:D=$F$4,'领用录入（明细）'!C:C&gt;=$J$4,'领用录入（明细）'!C:C&lt;=$L$4),ROW(),"-")</f>
        <v>-</v>
      </c>
    </row>
    <row r="4884" customHeight="1" spans="2:2">
      <c r="B4884" s="62" t="str">
        <f>IF(AND('领用录入（明细）'!D:D=$F$4,'领用录入（明细）'!C:C&gt;=$J$4,'领用录入（明细）'!C:C&lt;=$L$4),ROW(),"-")</f>
        <v>-</v>
      </c>
    </row>
    <row r="4885" customHeight="1" spans="2:2">
      <c r="B4885" s="62" t="str">
        <f>IF(AND('领用录入（明细）'!D:D=$F$4,'领用录入（明细）'!C:C&gt;=$J$4,'领用录入（明细）'!C:C&lt;=$L$4),ROW(),"-")</f>
        <v>-</v>
      </c>
    </row>
    <row r="4886" customHeight="1" spans="2:2">
      <c r="B4886" s="62" t="str">
        <f>IF(AND('领用录入（明细）'!D:D=$F$4,'领用录入（明细）'!C:C&gt;=$J$4,'领用录入（明细）'!C:C&lt;=$L$4),ROW(),"-")</f>
        <v>-</v>
      </c>
    </row>
    <row r="4887" customHeight="1" spans="2:2">
      <c r="B4887" s="62" t="str">
        <f>IF(AND('领用录入（明细）'!D:D=$F$4,'领用录入（明细）'!C:C&gt;=$J$4,'领用录入（明细）'!C:C&lt;=$L$4),ROW(),"-")</f>
        <v>-</v>
      </c>
    </row>
    <row r="4888" customHeight="1" spans="2:2">
      <c r="B4888" s="62" t="str">
        <f>IF(AND('领用录入（明细）'!D:D=$F$4,'领用录入（明细）'!C:C&gt;=$J$4,'领用录入（明细）'!C:C&lt;=$L$4),ROW(),"-")</f>
        <v>-</v>
      </c>
    </row>
    <row r="4889" customHeight="1" spans="2:2">
      <c r="B4889" s="62" t="str">
        <f>IF(AND('领用录入（明细）'!D:D=$F$4,'领用录入（明细）'!C:C&gt;=$J$4,'领用录入（明细）'!C:C&lt;=$L$4),ROW(),"-")</f>
        <v>-</v>
      </c>
    </row>
    <row r="4890" customHeight="1" spans="2:2">
      <c r="B4890" s="62" t="str">
        <f>IF(AND('领用录入（明细）'!D:D=$F$4,'领用录入（明细）'!C:C&gt;=$J$4,'领用录入（明细）'!C:C&lt;=$L$4),ROW(),"-")</f>
        <v>-</v>
      </c>
    </row>
    <row r="4891" customHeight="1" spans="2:2">
      <c r="B4891" s="62" t="str">
        <f>IF(AND('领用录入（明细）'!D:D=$F$4,'领用录入（明细）'!C:C&gt;=$J$4,'领用录入（明细）'!C:C&lt;=$L$4),ROW(),"-")</f>
        <v>-</v>
      </c>
    </row>
    <row r="4892" customHeight="1" spans="2:2">
      <c r="B4892" s="62" t="str">
        <f>IF(AND('领用录入（明细）'!D:D=$F$4,'领用录入（明细）'!C:C&gt;=$J$4,'领用录入（明细）'!C:C&lt;=$L$4),ROW(),"-")</f>
        <v>-</v>
      </c>
    </row>
    <row r="4893" customHeight="1" spans="2:2">
      <c r="B4893" s="62" t="str">
        <f>IF(AND('领用录入（明细）'!D:D=$F$4,'领用录入（明细）'!C:C&gt;=$J$4,'领用录入（明细）'!C:C&lt;=$L$4),ROW(),"-")</f>
        <v>-</v>
      </c>
    </row>
    <row r="4894" customHeight="1" spans="2:2">
      <c r="B4894" s="62" t="str">
        <f>IF(AND('领用录入（明细）'!D:D=$F$4,'领用录入（明细）'!C:C&gt;=$J$4,'领用录入（明细）'!C:C&lt;=$L$4),ROW(),"-")</f>
        <v>-</v>
      </c>
    </row>
    <row r="4895" customHeight="1" spans="2:2">
      <c r="B4895" s="62" t="str">
        <f>IF(AND('领用录入（明细）'!D:D=$F$4,'领用录入（明细）'!C:C&gt;=$J$4,'领用录入（明细）'!C:C&lt;=$L$4),ROW(),"-")</f>
        <v>-</v>
      </c>
    </row>
    <row r="4896" customHeight="1" spans="2:2">
      <c r="B4896" s="62" t="str">
        <f>IF(AND('领用录入（明细）'!D:D=$F$4,'领用录入（明细）'!C:C&gt;=$J$4,'领用录入（明细）'!C:C&lt;=$L$4),ROW(),"-")</f>
        <v>-</v>
      </c>
    </row>
    <row r="4897" customHeight="1" spans="2:2">
      <c r="B4897" s="62" t="str">
        <f>IF(AND('领用录入（明细）'!D:D=$F$4,'领用录入（明细）'!C:C&gt;=$J$4,'领用录入（明细）'!C:C&lt;=$L$4),ROW(),"-")</f>
        <v>-</v>
      </c>
    </row>
    <row r="4898" customHeight="1" spans="2:2">
      <c r="B4898" s="62" t="str">
        <f>IF(AND('领用录入（明细）'!D:D=$F$4,'领用录入（明细）'!C:C&gt;=$J$4,'领用录入（明细）'!C:C&lt;=$L$4),ROW(),"-")</f>
        <v>-</v>
      </c>
    </row>
    <row r="4899" customHeight="1" spans="2:2">
      <c r="B4899" s="62" t="str">
        <f>IF(AND('领用录入（明细）'!D:D=$F$4,'领用录入（明细）'!C:C&gt;=$J$4,'领用录入（明细）'!C:C&lt;=$L$4),ROW(),"-")</f>
        <v>-</v>
      </c>
    </row>
    <row r="4900" customHeight="1" spans="2:2">
      <c r="B4900" s="62" t="str">
        <f>IF(AND('领用录入（明细）'!D:D=$F$4,'领用录入（明细）'!C:C&gt;=$J$4,'领用录入（明细）'!C:C&lt;=$L$4),ROW(),"-")</f>
        <v>-</v>
      </c>
    </row>
    <row r="4901" customHeight="1" spans="2:2">
      <c r="B4901" s="62" t="str">
        <f>IF(AND('领用录入（明细）'!D:D=$F$4,'领用录入（明细）'!C:C&gt;=$J$4,'领用录入（明细）'!C:C&lt;=$L$4),ROW(),"-")</f>
        <v>-</v>
      </c>
    </row>
    <row r="4902" customHeight="1" spans="2:2">
      <c r="B4902" s="62" t="str">
        <f>IF(AND('领用录入（明细）'!D:D=$F$4,'领用录入（明细）'!C:C&gt;=$J$4,'领用录入（明细）'!C:C&lt;=$L$4),ROW(),"-")</f>
        <v>-</v>
      </c>
    </row>
    <row r="4903" customHeight="1" spans="2:2">
      <c r="B4903" s="62" t="str">
        <f>IF(AND('领用录入（明细）'!D:D=$F$4,'领用录入（明细）'!C:C&gt;=$J$4,'领用录入（明细）'!C:C&lt;=$L$4),ROW(),"-")</f>
        <v>-</v>
      </c>
    </row>
    <row r="4904" customHeight="1" spans="2:2">
      <c r="B4904" s="62" t="str">
        <f>IF(AND('领用录入（明细）'!D:D=$F$4,'领用录入（明细）'!C:C&gt;=$J$4,'领用录入（明细）'!C:C&lt;=$L$4),ROW(),"-")</f>
        <v>-</v>
      </c>
    </row>
    <row r="4905" customHeight="1" spans="2:2">
      <c r="B4905" s="62" t="str">
        <f>IF(AND('领用录入（明细）'!D:D=$F$4,'领用录入（明细）'!C:C&gt;=$J$4,'领用录入（明细）'!C:C&lt;=$L$4),ROW(),"-")</f>
        <v>-</v>
      </c>
    </row>
    <row r="4906" customHeight="1" spans="2:2">
      <c r="B4906" s="62" t="str">
        <f>IF(AND('领用录入（明细）'!D:D=$F$4,'领用录入（明细）'!C:C&gt;=$J$4,'领用录入（明细）'!C:C&lt;=$L$4),ROW(),"-")</f>
        <v>-</v>
      </c>
    </row>
    <row r="4907" customHeight="1" spans="2:2">
      <c r="B4907" s="62" t="str">
        <f>IF(AND('领用录入（明细）'!D:D=$F$4,'领用录入（明细）'!C:C&gt;=$J$4,'领用录入（明细）'!C:C&lt;=$L$4),ROW(),"-")</f>
        <v>-</v>
      </c>
    </row>
    <row r="4908" customHeight="1" spans="2:2">
      <c r="B4908" s="62" t="str">
        <f>IF(AND('领用录入（明细）'!D:D=$F$4,'领用录入（明细）'!C:C&gt;=$J$4,'领用录入（明细）'!C:C&lt;=$L$4),ROW(),"-")</f>
        <v>-</v>
      </c>
    </row>
    <row r="4909" customHeight="1" spans="2:2">
      <c r="B4909" s="62" t="str">
        <f>IF(AND('领用录入（明细）'!D:D=$F$4,'领用录入（明细）'!C:C&gt;=$J$4,'领用录入（明细）'!C:C&lt;=$L$4),ROW(),"-")</f>
        <v>-</v>
      </c>
    </row>
    <row r="4910" customHeight="1" spans="2:2">
      <c r="B4910" s="62" t="str">
        <f>IF(AND('领用录入（明细）'!D:D=$F$4,'领用录入（明细）'!C:C&gt;=$J$4,'领用录入（明细）'!C:C&lt;=$L$4),ROW(),"-")</f>
        <v>-</v>
      </c>
    </row>
    <row r="4911" customHeight="1" spans="2:2">
      <c r="B4911" s="62" t="str">
        <f>IF(AND('领用录入（明细）'!D:D=$F$4,'领用录入（明细）'!C:C&gt;=$J$4,'领用录入（明细）'!C:C&lt;=$L$4),ROW(),"-")</f>
        <v>-</v>
      </c>
    </row>
    <row r="4912" customHeight="1" spans="2:2">
      <c r="B4912" s="62" t="str">
        <f>IF(AND('领用录入（明细）'!D:D=$F$4,'领用录入（明细）'!C:C&gt;=$J$4,'领用录入（明细）'!C:C&lt;=$L$4),ROW(),"-")</f>
        <v>-</v>
      </c>
    </row>
    <row r="4913" customHeight="1" spans="2:2">
      <c r="B4913" s="62" t="str">
        <f>IF(AND('领用录入（明细）'!D:D=$F$4,'领用录入（明细）'!C:C&gt;=$J$4,'领用录入（明细）'!C:C&lt;=$L$4),ROW(),"-")</f>
        <v>-</v>
      </c>
    </row>
    <row r="4914" customHeight="1" spans="2:2">
      <c r="B4914" s="62" t="str">
        <f>IF(AND('领用录入（明细）'!D:D=$F$4,'领用录入（明细）'!C:C&gt;=$J$4,'领用录入（明细）'!C:C&lt;=$L$4),ROW(),"-")</f>
        <v>-</v>
      </c>
    </row>
    <row r="4915" customHeight="1" spans="2:2">
      <c r="B4915" s="62" t="str">
        <f>IF(AND('领用录入（明细）'!D:D=$F$4,'领用录入（明细）'!C:C&gt;=$J$4,'领用录入（明细）'!C:C&lt;=$L$4),ROW(),"-")</f>
        <v>-</v>
      </c>
    </row>
    <row r="4916" customHeight="1" spans="2:2">
      <c r="B4916" s="62" t="str">
        <f>IF(AND('领用录入（明细）'!D:D=$F$4,'领用录入（明细）'!C:C&gt;=$J$4,'领用录入（明细）'!C:C&lt;=$L$4),ROW(),"-")</f>
        <v>-</v>
      </c>
    </row>
    <row r="4917" customHeight="1" spans="2:2">
      <c r="B4917" s="62" t="str">
        <f>IF(AND('领用录入（明细）'!D:D=$F$4,'领用录入（明细）'!C:C&gt;=$J$4,'领用录入（明细）'!C:C&lt;=$L$4),ROW(),"-")</f>
        <v>-</v>
      </c>
    </row>
    <row r="4918" customHeight="1" spans="2:2">
      <c r="B4918" s="62" t="str">
        <f>IF(AND('领用录入（明细）'!D:D=$F$4,'领用录入（明细）'!C:C&gt;=$J$4,'领用录入（明细）'!C:C&lt;=$L$4),ROW(),"-")</f>
        <v>-</v>
      </c>
    </row>
    <row r="4919" customHeight="1" spans="2:2">
      <c r="B4919" s="62" t="str">
        <f>IF(AND('领用录入（明细）'!D:D=$F$4,'领用录入（明细）'!C:C&gt;=$J$4,'领用录入（明细）'!C:C&lt;=$L$4),ROW(),"-")</f>
        <v>-</v>
      </c>
    </row>
    <row r="4920" customHeight="1" spans="2:2">
      <c r="B4920" s="62" t="str">
        <f>IF(AND('领用录入（明细）'!D:D=$F$4,'领用录入（明细）'!C:C&gt;=$J$4,'领用录入（明细）'!C:C&lt;=$L$4),ROW(),"-")</f>
        <v>-</v>
      </c>
    </row>
    <row r="4921" customHeight="1" spans="2:2">
      <c r="B4921" s="62" t="str">
        <f>IF(AND('领用录入（明细）'!D:D=$F$4,'领用录入（明细）'!C:C&gt;=$J$4,'领用录入（明细）'!C:C&lt;=$L$4),ROW(),"-")</f>
        <v>-</v>
      </c>
    </row>
    <row r="4922" customHeight="1" spans="2:2">
      <c r="B4922" s="62" t="str">
        <f>IF(AND('领用录入（明细）'!D:D=$F$4,'领用录入（明细）'!C:C&gt;=$J$4,'领用录入（明细）'!C:C&lt;=$L$4),ROW(),"-")</f>
        <v>-</v>
      </c>
    </row>
    <row r="4923" customHeight="1" spans="2:2">
      <c r="B4923" s="62" t="str">
        <f>IF(AND('领用录入（明细）'!D:D=$F$4,'领用录入（明细）'!C:C&gt;=$J$4,'领用录入（明细）'!C:C&lt;=$L$4),ROW(),"-")</f>
        <v>-</v>
      </c>
    </row>
    <row r="4924" customHeight="1" spans="2:2">
      <c r="B4924" s="62" t="str">
        <f>IF(AND('领用录入（明细）'!D:D=$F$4,'领用录入（明细）'!C:C&gt;=$J$4,'领用录入（明细）'!C:C&lt;=$L$4),ROW(),"-")</f>
        <v>-</v>
      </c>
    </row>
    <row r="4925" customHeight="1" spans="2:2">
      <c r="B4925" s="62" t="str">
        <f>IF(AND('领用录入（明细）'!D:D=$F$4,'领用录入（明细）'!C:C&gt;=$J$4,'领用录入（明细）'!C:C&lt;=$L$4),ROW(),"-")</f>
        <v>-</v>
      </c>
    </row>
    <row r="4926" customHeight="1" spans="2:2">
      <c r="B4926" s="62" t="str">
        <f>IF(AND('领用录入（明细）'!D:D=$F$4,'领用录入（明细）'!C:C&gt;=$J$4,'领用录入（明细）'!C:C&lt;=$L$4),ROW(),"-")</f>
        <v>-</v>
      </c>
    </row>
    <row r="4927" customHeight="1" spans="2:2">
      <c r="B4927" s="62" t="str">
        <f>IF(AND('领用录入（明细）'!D:D=$F$4,'领用录入（明细）'!C:C&gt;=$J$4,'领用录入（明细）'!C:C&lt;=$L$4),ROW(),"-")</f>
        <v>-</v>
      </c>
    </row>
    <row r="4928" customHeight="1" spans="2:2">
      <c r="B4928" s="62" t="str">
        <f>IF(AND('领用录入（明细）'!D:D=$F$4,'领用录入（明细）'!C:C&gt;=$J$4,'领用录入（明细）'!C:C&lt;=$L$4),ROW(),"-")</f>
        <v>-</v>
      </c>
    </row>
    <row r="4929" customHeight="1" spans="2:2">
      <c r="B4929" s="62" t="str">
        <f>IF(AND('领用录入（明细）'!D:D=$F$4,'领用录入（明细）'!C:C&gt;=$J$4,'领用录入（明细）'!C:C&lt;=$L$4),ROW(),"-")</f>
        <v>-</v>
      </c>
    </row>
    <row r="4930" customHeight="1" spans="2:2">
      <c r="B4930" s="62" t="str">
        <f>IF(AND('领用录入（明细）'!D:D=$F$4,'领用录入（明细）'!C:C&gt;=$J$4,'领用录入（明细）'!C:C&lt;=$L$4),ROW(),"-")</f>
        <v>-</v>
      </c>
    </row>
    <row r="4931" customHeight="1" spans="2:2">
      <c r="B4931" s="62" t="str">
        <f>IF(AND('领用录入（明细）'!D:D=$F$4,'领用录入（明细）'!C:C&gt;=$J$4,'领用录入（明细）'!C:C&lt;=$L$4),ROW(),"-")</f>
        <v>-</v>
      </c>
    </row>
    <row r="4932" customHeight="1" spans="2:2">
      <c r="B4932" s="62" t="str">
        <f>IF(AND('领用录入（明细）'!D:D=$F$4,'领用录入（明细）'!C:C&gt;=$J$4,'领用录入（明细）'!C:C&lt;=$L$4),ROW(),"-")</f>
        <v>-</v>
      </c>
    </row>
    <row r="4933" customHeight="1" spans="2:2">
      <c r="B4933" s="62" t="str">
        <f>IF(AND('领用录入（明细）'!D:D=$F$4,'领用录入（明细）'!C:C&gt;=$J$4,'领用录入（明细）'!C:C&lt;=$L$4),ROW(),"-")</f>
        <v>-</v>
      </c>
    </row>
    <row r="4934" customHeight="1" spans="2:2">
      <c r="B4934" s="62" t="str">
        <f>IF(AND('领用录入（明细）'!D:D=$F$4,'领用录入（明细）'!C:C&gt;=$J$4,'领用录入（明细）'!C:C&lt;=$L$4),ROW(),"-")</f>
        <v>-</v>
      </c>
    </row>
    <row r="4935" customHeight="1" spans="2:2">
      <c r="B4935" s="62" t="str">
        <f>IF(AND('领用录入（明细）'!D:D=$F$4,'领用录入（明细）'!C:C&gt;=$J$4,'领用录入（明细）'!C:C&lt;=$L$4),ROW(),"-")</f>
        <v>-</v>
      </c>
    </row>
    <row r="4936" customHeight="1" spans="2:2">
      <c r="B4936" s="62" t="str">
        <f>IF(AND('领用录入（明细）'!D:D=$F$4,'领用录入（明细）'!C:C&gt;=$J$4,'领用录入（明细）'!C:C&lt;=$L$4),ROW(),"-")</f>
        <v>-</v>
      </c>
    </row>
    <row r="4937" customHeight="1" spans="2:2">
      <c r="B4937" s="62" t="str">
        <f>IF(AND('领用录入（明细）'!D:D=$F$4,'领用录入（明细）'!C:C&gt;=$J$4,'领用录入（明细）'!C:C&lt;=$L$4),ROW(),"-")</f>
        <v>-</v>
      </c>
    </row>
    <row r="4938" customHeight="1" spans="2:2">
      <c r="B4938" s="62" t="str">
        <f>IF(AND('领用录入（明细）'!D:D=$F$4,'领用录入（明细）'!C:C&gt;=$J$4,'领用录入（明细）'!C:C&lt;=$L$4),ROW(),"-")</f>
        <v>-</v>
      </c>
    </row>
    <row r="4939" customHeight="1" spans="2:2">
      <c r="B4939" s="62" t="str">
        <f>IF(AND('领用录入（明细）'!D:D=$F$4,'领用录入（明细）'!C:C&gt;=$J$4,'领用录入（明细）'!C:C&lt;=$L$4),ROW(),"-")</f>
        <v>-</v>
      </c>
    </row>
    <row r="4940" customHeight="1" spans="2:2">
      <c r="B4940" s="62" t="str">
        <f>IF(AND('领用录入（明细）'!D:D=$F$4,'领用录入（明细）'!C:C&gt;=$J$4,'领用录入（明细）'!C:C&lt;=$L$4),ROW(),"-")</f>
        <v>-</v>
      </c>
    </row>
    <row r="4941" customHeight="1" spans="2:2">
      <c r="B4941" s="62" t="str">
        <f>IF(AND('领用录入（明细）'!D:D=$F$4,'领用录入（明细）'!C:C&gt;=$J$4,'领用录入（明细）'!C:C&lt;=$L$4),ROW(),"-")</f>
        <v>-</v>
      </c>
    </row>
    <row r="4942" customHeight="1" spans="2:2">
      <c r="B4942" s="62" t="str">
        <f>IF(AND('领用录入（明细）'!D:D=$F$4,'领用录入（明细）'!C:C&gt;=$J$4,'领用录入（明细）'!C:C&lt;=$L$4),ROW(),"-")</f>
        <v>-</v>
      </c>
    </row>
    <row r="4943" customHeight="1" spans="2:2">
      <c r="B4943" s="62" t="str">
        <f>IF(AND('领用录入（明细）'!D:D=$F$4,'领用录入（明细）'!C:C&gt;=$J$4,'领用录入（明细）'!C:C&lt;=$L$4),ROW(),"-")</f>
        <v>-</v>
      </c>
    </row>
    <row r="4944" customHeight="1" spans="2:2">
      <c r="B4944" s="62" t="str">
        <f>IF(AND('领用录入（明细）'!D:D=$F$4,'领用录入（明细）'!C:C&gt;=$J$4,'领用录入（明细）'!C:C&lt;=$L$4),ROW(),"-")</f>
        <v>-</v>
      </c>
    </row>
    <row r="4945" customHeight="1" spans="2:2">
      <c r="B4945" s="62" t="str">
        <f>IF(AND('领用录入（明细）'!D:D=$F$4,'领用录入（明细）'!C:C&gt;=$J$4,'领用录入（明细）'!C:C&lt;=$L$4),ROW(),"-")</f>
        <v>-</v>
      </c>
    </row>
    <row r="4946" customHeight="1" spans="2:2">
      <c r="B4946" s="62" t="str">
        <f>IF(AND('领用录入（明细）'!D:D=$F$4,'领用录入（明细）'!C:C&gt;=$J$4,'领用录入（明细）'!C:C&lt;=$L$4),ROW(),"-")</f>
        <v>-</v>
      </c>
    </row>
    <row r="4947" customHeight="1" spans="2:2">
      <c r="B4947" s="62" t="str">
        <f>IF(AND('领用录入（明细）'!D:D=$F$4,'领用录入（明细）'!C:C&gt;=$J$4,'领用录入（明细）'!C:C&lt;=$L$4),ROW(),"-")</f>
        <v>-</v>
      </c>
    </row>
    <row r="4948" customHeight="1" spans="2:2">
      <c r="B4948" s="62" t="str">
        <f>IF(AND('领用录入（明细）'!D:D=$F$4,'领用录入（明细）'!C:C&gt;=$J$4,'领用录入（明细）'!C:C&lt;=$L$4),ROW(),"-")</f>
        <v>-</v>
      </c>
    </row>
    <row r="4949" customHeight="1" spans="2:2">
      <c r="B4949" s="62" t="str">
        <f>IF(AND('领用录入（明细）'!D:D=$F$4,'领用录入（明细）'!C:C&gt;=$J$4,'领用录入（明细）'!C:C&lt;=$L$4),ROW(),"-")</f>
        <v>-</v>
      </c>
    </row>
    <row r="4950" customHeight="1" spans="2:2">
      <c r="B4950" s="62" t="str">
        <f>IF(AND('领用录入（明细）'!D:D=$F$4,'领用录入（明细）'!C:C&gt;=$J$4,'领用录入（明细）'!C:C&lt;=$L$4),ROW(),"-")</f>
        <v>-</v>
      </c>
    </row>
    <row r="4951" customHeight="1" spans="2:2">
      <c r="B4951" s="62" t="str">
        <f>IF(AND('领用录入（明细）'!D:D=$F$4,'领用录入（明细）'!C:C&gt;=$J$4,'领用录入（明细）'!C:C&lt;=$L$4),ROW(),"-")</f>
        <v>-</v>
      </c>
    </row>
    <row r="4952" customHeight="1" spans="2:2">
      <c r="B4952" s="62" t="str">
        <f>IF(AND('领用录入（明细）'!D:D=$F$4,'领用录入（明细）'!C:C&gt;=$J$4,'领用录入（明细）'!C:C&lt;=$L$4),ROW(),"-")</f>
        <v>-</v>
      </c>
    </row>
    <row r="4953" customHeight="1" spans="2:2">
      <c r="B4953" s="62" t="str">
        <f>IF(AND('领用录入（明细）'!D:D=$F$4,'领用录入（明细）'!C:C&gt;=$J$4,'领用录入（明细）'!C:C&lt;=$L$4),ROW(),"-")</f>
        <v>-</v>
      </c>
    </row>
    <row r="4954" customHeight="1" spans="2:2">
      <c r="B4954" s="62" t="str">
        <f>IF(AND('领用录入（明细）'!D:D=$F$4,'领用录入（明细）'!C:C&gt;=$J$4,'领用录入（明细）'!C:C&lt;=$L$4),ROW(),"-")</f>
        <v>-</v>
      </c>
    </row>
    <row r="4955" customHeight="1" spans="2:2">
      <c r="B4955" s="62" t="str">
        <f>IF(AND('领用录入（明细）'!D:D=$F$4,'领用录入（明细）'!C:C&gt;=$J$4,'领用录入（明细）'!C:C&lt;=$L$4),ROW(),"-")</f>
        <v>-</v>
      </c>
    </row>
    <row r="4956" customHeight="1" spans="2:2">
      <c r="B4956" s="62" t="str">
        <f>IF(AND('领用录入（明细）'!D:D=$F$4,'领用录入（明细）'!C:C&gt;=$J$4,'领用录入（明细）'!C:C&lt;=$L$4),ROW(),"-")</f>
        <v>-</v>
      </c>
    </row>
    <row r="4957" customHeight="1" spans="2:2">
      <c r="B4957" s="62" t="str">
        <f>IF(AND('领用录入（明细）'!D:D=$F$4,'领用录入（明细）'!C:C&gt;=$J$4,'领用录入（明细）'!C:C&lt;=$L$4),ROW(),"-")</f>
        <v>-</v>
      </c>
    </row>
    <row r="4958" customHeight="1" spans="2:2">
      <c r="B4958" s="62" t="str">
        <f>IF(AND('领用录入（明细）'!D:D=$F$4,'领用录入（明细）'!C:C&gt;=$J$4,'领用录入（明细）'!C:C&lt;=$L$4),ROW(),"-")</f>
        <v>-</v>
      </c>
    </row>
    <row r="4959" customHeight="1" spans="2:2">
      <c r="B4959" s="62" t="str">
        <f>IF(AND('领用录入（明细）'!D:D=$F$4,'领用录入（明细）'!C:C&gt;=$J$4,'领用录入（明细）'!C:C&lt;=$L$4),ROW(),"-")</f>
        <v>-</v>
      </c>
    </row>
    <row r="4960" customHeight="1" spans="2:2">
      <c r="B4960" s="62" t="str">
        <f>IF(AND('领用录入（明细）'!D:D=$F$4,'领用录入（明细）'!C:C&gt;=$J$4,'领用录入（明细）'!C:C&lt;=$L$4),ROW(),"-")</f>
        <v>-</v>
      </c>
    </row>
    <row r="4961" customHeight="1" spans="2:2">
      <c r="B4961" s="62" t="str">
        <f>IF(AND('领用录入（明细）'!D:D=$F$4,'领用录入（明细）'!C:C&gt;=$J$4,'领用录入（明细）'!C:C&lt;=$L$4),ROW(),"-")</f>
        <v>-</v>
      </c>
    </row>
    <row r="4962" customHeight="1" spans="2:2">
      <c r="B4962" s="62" t="str">
        <f>IF(AND('领用录入（明细）'!D:D=$F$4,'领用录入（明细）'!C:C&gt;=$J$4,'领用录入（明细）'!C:C&lt;=$L$4),ROW(),"-")</f>
        <v>-</v>
      </c>
    </row>
    <row r="4963" customHeight="1" spans="2:2">
      <c r="B4963" s="62" t="str">
        <f>IF(AND('领用录入（明细）'!D:D=$F$4,'领用录入（明细）'!C:C&gt;=$J$4,'领用录入（明细）'!C:C&lt;=$L$4),ROW(),"-")</f>
        <v>-</v>
      </c>
    </row>
    <row r="4964" customHeight="1" spans="2:2">
      <c r="B4964" s="62" t="str">
        <f>IF(AND('领用录入（明细）'!D:D=$F$4,'领用录入（明细）'!C:C&gt;=$J$4,'领用录入（明细）'!C:C&lt;=$L$4),ROW(),"-")</f>
        <v>-</v>
      </c>
    </row>
    <row r="4965" customHeight="1" spans="2:2">
      <c r="B4965" s="62" t="str">
        <f>IF(AND('领用录入（明细）'!D:D=$F$4,'领用录入（明细）'!C:C&gt;=$J$4,'领用录入（明细）'!C:C&lt;=$L$4),ROW(),"-")</f>
        <v>-</v>
      </c>
    </row>
    <row r="4966" customHeight="1" spans="2:2">
      <c r="B4966" s="62" t="str">
        <f>IF(AND('领用录入（明细）'!D:D=$F$4,'领用录入（明细）'!C:C&gt;=$J$4,'领用录入（明细）'!C:C&lt;=$L$4),ROW(),"-")</f>
        <v>-</v>
      </c>
    </row>
    <row r="4967" customHeight="1" spans="2:2">
      <c r="B4967" s="62" t="str">
        <f>IF(AND('领用录入（明细）'!D:D=$F$4,'领用录入（明细）'!C:C&gt;=$J$4,'领用录入（明细）'!C:C&lt;=$L$4),ROW(),"-")</f>
        <v>-</v>
      </c>
    </row>
    <row r="4968" customHeight="1" spans="2:2">
      <c r="B4968" s="62" t="str">
        <f>IF(AND('领用录入（明细）'!D:D=$F$4,'领用录入（明细）'!C:C&gt;=$J$4,'领用录入（明细）'!C:C&lt;=$L$4),ROW(),"-")</f>
        <v>-</v>
      </c>
    </row>
    <row r="4969" customHeight="1" spans="2:2">
      <c r="B4969" s="62" t="str">
        <f>IF(AND('领用录入（明细）'!D:D=$F$4,'领用录入（明细）'!C:C&gt;=$J$4,'领用录入（明细）'!C:C&lt;=$L$4),ROW(),"-")</f>
        <v>-</v>
      </c>
    </row>
    <row r="4970" customHeight="1" spans="2:2">
      <c r="B4970" s="62" t="str">
        <f>IF(AND('领用录入（明细）'!D:D=$F$4,'领用录入（明细）'!C:C&gt;=$J$4,'领用录入（明细）'!C:C&lt;=$L$4),ROW(),"-")</f>
        <v>-</v>
      </c>
    </row>
    <row r="4971" customHeight="1" spans="2:2">
      <c r="B4971" s="62" t="str">
        <f>IF(AND('领用录入（明细）'!D:D=$F$4,'领用录入（明细）'!C:C&gt;=$J$4,'领用录入（明细）'!C:C&lt;=$L$4),ROW(),"-")</f>
        <v>-</v>
      </c>
    </row>
    <row r="4972" customHeight="1" spans="2:2">
      <c r="B4972" s="62" t="str">
        <f>IF(AND('领用录入（明细）'!D:D=$F$4,'领用录入（明细）'!C:C&gt;=$J$4,'领用录入（明细）'!C:C&lt;=$L$4),ROW(),"-")</f>
        <v>-</v>
      </c>
    </row>
    <row r="4973" customHeight="1" spans="2:2">
      <c r="B4973" s="62" t="str">
        <f>IF(AND('领用录入（明细）'!D:D=$F$4,'领用录入（明细）'!C:C&gt;=$J$4,'领用录入（明细）'!C:C&lt;=$L$4),ROW(),"-")</f>
        <v>-</v>
      </c>
    </row>
    <row r="4974" customHeight="1" spans="2:2">
      <c r="B4974" s="62" t="str">
        <f>IF(AND('领用录入（明细）'!D:D=$F$4,'领用录入（明细）'!C:C&gt;=$J$4,'领用录入（明细）'!C:C&lt;=$L$4),ROW(),"-")</f>
        <v>-</v>
      </c>
    </row>
    <row r="4975" customHeight="1" spans="2:2">
      <c r="B4975" s="62" t="str">
        <f>IF(AND('领用录入（明细）'!D:D=$F$4,'领用录入（明细）'!C:C&gt;=$J$4,'领用录入（明细）'!C:C&lt;=$L$4),ROW(),"-")</f>
        <v>-</v>
      </c>
    </row>
    <row r="4976" customHeight="1" spans="2:2">
      <c r="B4976" s="62" t="str">
        <f>IF(AND('领用录入（明细）'!D:D=$F$4,'领用录入（明细）'!C:C&gt;=$J$4,'领用录入（明细）'!C:C&lt;=$L$4),ROW(),"-")</f>
        <v>-</v>
      </c>
    </row>
    <row r="4977" customHeight="1" spans="2:2">
      <c r="B4977" s="62" t="str">
        <f>IF(AND('领用录入（明细）'!D:D=$F$4,'领用录入（明细）'!C:C&gt;=$J$4,'领用录入（明细）'!C:C&lt;=$L$4),ROW(),"-")</f>
        <v>-</v>
      </c>
    </row>
    <row r="4978" customHeight="1" spans="2:2">
      <c r="B4978" s="62" t="str">
        <f>IF(AND('领用录入（明细）'!D:D=$F$4,'领用录入（明细）'!C:C&gt;=$J$4,'领用录入（明细）'!C:C&lt;=$L$4),ROW(),"-")</f>
        <v>-</v>
      </c>
    </row>
    <row r="4979" customHeight="1" spans="2:2">
      <c r="B4979" s="62" t="str">
        <f>IF(AND('领用录入（明细）'!D:D=$F$4,'领用录入（明细）'!C:C&gt;=$J$4,'领用录入（明细）'!C:C&lt;=$L$4),ROW(),"-")</f>
        <v>-</v>
      </c>
    </row>
    <row r="4980" customHeight="1" spans="2:2">
      <c r="B4980" s="62" t="str">
        <f>IF(AND('领用录入（明细）'!D:D=$F$4,'领用录入（明细）'!C:C&gt;=$J$4,'领用录入（明细）'!C:C&lt;=$L$4),ROW(),"-")</f>
        <v>-</v>
      </c>
    </row>
    <row r="4981" customHeight="1" spans="2:2">
      <c r="B4981" s="62" t="str">
        <f>IF(AND('领用录入（明细）'!D:D=$F$4,'领用录入（明细）'!C:C&gt;=$J$4,'领用录入（明细）'!C:C&lt;=$L$4),ROW(),"-")</f>
        <v>-</v>
      </c>
    </row>
    <row r="4982" customHeight="1" spans="2:2">
      <c r="B4982" s="62" t="str">
        <f>IF(AND('领用录入（明细）'!D:D=$F$4,'领用录入（明细）'!C:C&gt;=$J$4,'领用录入（明细）'!C:C&lt;=$L$4),ROW(),"-")</f>
        <v>-</v>
      </c>
    </row>
    <row r="4983" customHeight="1" spans="2:2">
      <c r="B4983" s="62" t="str">
        <f>IF(AND('领用录入（明细）'!D:D=$F$4,'领用录入（明细）'!C:C&gt;=$J$4,'领用录入（明细）'!C:C&lt;=$L$4),ROW(),"-")</f>
        <v>-</v>
      </c>
    </row>
    <row r="4984" customHeight="1" spans="2:2">
      <c r="B4984" s="62" t="str">
        <f>IF(AND('领用录入（明细）'!D:D=$F$4,'领用录入（明细）'!C:C&gt;=$J$4,'领用录入（明细）'!C:C&lt;=$L$4),ROW(),"-")</f>
        <v>-</v>
      </c>
    </row>
    <row r="4985" customHeight="1" spans="2:2">
      <c r="B4985" s="62" t="str">
        <f>IF(AND('领用录入（明细）'!D:D=$F$4,'领用录入（明细）'!C:C&gt;=$J$4,'领用录入（明细）'!C:C&lt;=$L$4),ROW(),"-")</f>
        <v>-</v>
      </c>
    </row>
    <row r="4986" customHeight="1" spans="2:2">
      <c r="B4986" s="62" t="str">
        <f>IF(AND('领用录入（明细）'!D:D=$F$4,'领用录入（明细）'!C:C&gt;=$J$4,'领用录入（明细）'!C:C&lt;=$L$4),ROW(),"-")</f>
        <v>-</v>
      </c>
    </row>
    <row r="4987" customHeight="1" spans="2:2">
      <c r="B4987" s="62" t="str">
        <f>IF(AND('领用录入（明细）'!D:D=$F$4,'领用录入（明细）'!C:C&gt;=$J$4,'领用录入（明细）'!C:C&lt;=$L$4),ROW(),"-")</f>
        <v>-</v>
      </c>
    </row>
    <row r="4988" customHeight="1" spans="2:2">
      <c r="B4988" s="62" t="str">
        <f>IF(AND('领用录入（明细）'!D:D=$F$4,'领用录入（明细）'!C:C&gt;=$J$4,'领用录入（明细）'!C:C&lt;=$L$4),ROW(),"-")</f>
        <v>-</v>
      </c>
    </row>
    <row r="4989" customHeight="1" spans="2:2">
      <c r="B4989" s="62" t="str">
        <f>IF(AND('领用录入（明细）'!D:D=$F$4,'领用录入（明细）'!C:C&gt;=$J$4,'领用录入（明细）'!C:C&lt;=$L$4),ROW(),"-")</f>
        <v>-</v>
      </c>
    </row>
    <row r="4990" customHeight="1" spans="2:2">
      <c r="B4990" s="62" t="str">
        <f>IF(AND('领用录入（明细）'!D:D=$F$4,'领用录入（明细）'!C:C&gt;=$J$4,'领用录入（明细）'!C:C&lt;=$L$4),ROW(),"-")</f>
        <v>-</v>
      </c>
    </row>
    <row r="4991" customHeight="1" spans="2:2">
      <c r="B4991" s="62" t="str">
        <f>IF(AND('领用录入（明细）'!D:D=$F$4,'领用录入（明细）'!C:C&gt;=$J$4,'领用录入（明细）'!C:C&lt;=$L$4),ROW(),"-")</f>
        <v>-</v>
      </c>
    </row>
    <row r="4992" customHeight="1" spans="2:2">
      <c r="B4992" s="62" t="str">
        <f>IF(AND('领用录入（明细）'!D:D=$F$4,'领用录入（明细）'!C:C&gt;=$J$4,'领用录入（明细）'!C:C&lt;=$L$4),ROW(),"-")</f>
        <v>-</v>
      </c>
    </row>
    <row r="4993" customHeight="1" spans="2:2">
      <c r="B4993" s="62" t="str">
        <f>IF(AND('领用录入（明细）'!D:D=$F$4,'领用录入（明细）'!C:C&gt;=$J$4,'领用录入（明细）'!C:C&lt;=$L$4),ROW(),"-")</f>
        <v>-</v>
      </c>
    </row>
    <row r="4994" customHeight="1" spans="2:2">
      <c r="B4994" s="62" t="str">
        <f>IF(AND('领用录入（明细）'!D:D=$F$4,'领用录入（明细）'!C:C&gt;=$J$4,'领用录入（明细）'!C:C&lt;=$L$4),ROW(),"-")</f>
        <v>-</v>
      </c>
    </row>
    <row r="4995" customHeight="1" spans="2:2">
      <c r="B4995" s="62" t="str">
        <f>IF(AND('领用录入（明细）'!D:D=$F$4,'领用录入（明细）'!C:C&gt;=$J$4,'领用录入（明细）'!C:C&lt;=$L$4),ROW(),"-")</f>
        <v>-</v>
      </c>
    </row>
    <row r="4996" customHeight="1" spans="2:2">
      <c r="B4996" s="62" t="str">
        <f>IF(AND('领用录入（明细）'!D:D=$F$4,'领用录入（明细）'!C:C&gt;=$J$4,'领用录入（明细）'!C:C&lt;=$L$4),ROW(),"-")</f>
        <v>-</v>
      </c>
    </row>
    <row r="4997" customHeight="1" spans="2:2">
      <c r="B4997" s="62" t="str">
        <f>IF(AND('领用录入（明细）'!D:D=$F$4,'领用录入（明细）'!C:C&gt;=$J$4,'领用录入（明细）'!C:C&lt;=$L$4),ROW(),"-")</f>
        <v>-</v>
      </c>
    </row>
    <row r="4998" customHeight="1" spans="2:2">
      <c r="B4998" s="62" t="str">
        <f>IF(AND('领用录入（明细）'!D:D=$F$4,'领用录入（明细）'!C:C&gt;=$J$4,'领用录入（明细）'!C:C&lt;=$L$4),ROW(),"-")</f>
        <v>-</v>
      </c>
    </row>
    <row r="4999" customHeight="1" spans="2:2">
      <c r="B4999" s="62" t="str">
        <f>IF(AND('领用录入（明细）'!D:D=$F$4,'领用录入（明细）'!C:C&gt;=$J$4,'领用录入（明细）'!C:C&lt;=$L$4),ROW(),"-")</f>
        <v>-</v>
      </c>
    </row>
    <row r="5000" customHeight="1" spans="2:2">
      <c r="B5000" s="62" t="str">
        <f>IF(AND('领用录入（明细）'!D:D=$F$4,'领用录入（明细）'!C:C&gt;=$J$4,'领用录入（明细）'!C:C&lt;=$L$4),ROW(),"-")</f>
        <v>-</v>
      </c>
    </row>
    <row r="5001" customHeight="1" spans="2:2">
      <c r="B5001" s="62" t="str">
        <f>IF(AND('领用录入（明细）'!D:D=$F$4,'领用录入（明细）'!C:C&gt;=$J$4,'领用录入（明细）'!C:C&lt;=$L$4),ROW(),"-")</f>
        <v>-</v>
      </c>
    </row>
    <row r="5002" customHeight="1" spans="2:2">
      <c r="B5002" s="62" t="str">
        <f>IF(AND('领用录入（明细）'!D:D=$F$4,'领用录入（明细）'!C:C&gt;=$J$4,'领用录入（明细）'!C:C&lt;=$L$4),ROW(),"-")</f>
        <v>-</v>
      </c>
    </row>
    <row r="5003" customHeight="1" spans="2:2">
      <c r="B5003" s="62" t="str">
        <f>IF(AND('领用录入（明细）'!D:D=$F$4,'领用录入（明细）'!C:C&gt;=$J$4,'领用录入（明细）'!C:C&lt;=$L$4),ROW(),"-")</f>
        <v>-</v>
      </c>
    </row>
    <row r="5004" customHeight="1" spans="2:2">
      <c r="B5004" s="62" t="str">
        <f>IF(AND('领用录入（明细）'!D:D=$F$4,'领用录入（明细）'!C:C&gt;=$J$4,'领用录入（明细）'!C:C&lt;=$L$4),ROW(),"-")</f>
        <v>-</v>
      </c>
    </row>
    <row r="5005" customHeight="1" spans="2:2">
      <c r="B5005" s="62" t="str">
        <f>IF(AND('领用录入（明细）'!D:D=$F$4,'领用录入（明细）'!C:C&gt;=$J$4,'领用录入（明细）'!C:C&lt;=$L$4),ROW(),"-")</f>
        <v>-</v>
      </c>
    </row>
    <row r="5006" customHeight="1" spans="2:2">
      <c r="B5006" s="62" t="str">
        <f>IF(AND('领用录入（明细）'!D:D=$F$4,'领用录入（明细）'!C:C&gt;=$J$4,'领用录入（明细）'!C:C&lt;=$L$4),ROW(),"-")</f>
        <v>-</v>
      </c>
    </row>
    <row r="5007" customHeight="1" spans="2:2">
      <c r="B5007" s="62" t="str">
        <f>IF(AND('领用录入（明细）'!D:D=$F$4,'领用录入（明细）'!C:C&gt;=$J$4,'领用录入（明细）'!C:C&lt;=$L$4),ROW(),"-")</f>
        <v>-</v>
      </c>
    </row>
    <row r="5008" customHeight="1" spans="2:2">
      <c r="B5008" s="62" t="str">
        <f>IF(AND('领用录入（明细）'!D:D=$F$4,'领用录入（明细）'!C:C&gt;=$J$4,'领用录入（明细）'!C:C&lt;=$L$4),ROW(),"-")</f>
        <v>-</v>
      </c>
    </row>
    <row r="5009" customHeight="1" spans="2:2">
      <c r="B5009" s="62" t="str">
        <f>IF(AND('领用录入（明细）'!D:D=$F$4,'领用录入（明细）'!C:C&gt;=$J$4,'领用录入（明细）'!C:C&lt;=$L$4),ROW(),"-")</f>
        <v>-</v>
      </c>
    </row>
    <row r="5010" customHeight="1" spans="2:2">
      <c r="B5010" s="62" t="str">
        <f>IF(AND('领用录入（明细）'!D:D=$F$4,'领用录入（明细）'!C:C&gt;=$J$4,'领用录入（明细）'!C:C&lt;=$L$4),ROW(),"-")</f>
        <v>-</v>
      </c>
    </row>
    <row r="5011" customHeight="1" spans="2:2">
      <c r="B5011" s="62" t="str">
        <f>IF(AND('领用录入（明细）'!D:D=$F$4,'领用录入（明细）'!C:C&gt;=$J$4,'领用录入（明细）'!C:C&lt;=$L$4),ROW(),"-")</f>
        <v>-</v>
      </c>
    </row>
    <row r="5012" customHeight="1" spans="2:2">
      <c r="B5012" s="62" t="str">
        <f>IF(AND('领用录入（明细）'!D:D=$F$4,'领用录入（明细）'!C:C&gt;=$J$4,'领用录入（明细）'!C:C&lt;=$L$4),ROW(),"-")</f>
        <v>-</v>
      </c>
    </row>
    <row r="5013" customHeight="1" spans="2:2">
      <c r="B5013" s="62" t="str">
        <f>IF(AND('领用录入（明细）'!D:D=$F$4,'领用录入（明细）'!C:C&gt;=$J$4,'领用录入（明细）'!C:C&lt;=$L$4),ROW(),"-")</f>
        <v>-</v>
      </c>
    </row>
    <row r="5014" customHeight="1" spans="2:2">
      <c r="B5014" s="62" t="str">
        <f>IF(AND('领用录入（明细）'!D:D=$F$4,'领用录入（明细）'!C:C&gt;=$J$4,'领用录入（明细）'!C:C&lt;=$L$4),ROW(),"-")</f>
        <v>-</v>
      </c>
    </row>
    <row r="5015" customHeight="1" spans="2:2">
      <c r="B5015" s="62" t="str">
        <f>IF(AND('领用录入（明细）'!D:D=$F$4,'领用录入（明细）'!C:C&gt;=$J$4,'领用录入（明细）'!C:C&lt;=$L$4),ROW(),"-")</f>
        <v>-</v>
      </c>
    </row>
    <row r="5016" customHeight="1" spans="2:2">
      <c r="B5016" s="62" t="str">
        <f>IF(AND('领用录入（明细）'!D:D=$F$4,'领用录入（明细）'!C:C&gt;=$J$4,'领用录入（明细）'!C:C&lt;=$L$4),ROW(),"-")</f>
        <v>-</v>
      </c>
    </row>
    <row r="5017" customHeight="1" spans="2:2">
      <c r="B5017" s="62" t="str">
        <f>IF(AND('领用录入（明细）'!D:D=$F$4,'领用录入（明细）'!C:C&gt;=$J$4,'领用录入（明细）'!C:C&lt;=$L$4),ROW(),"-")</f>
        <v>-</v>
      </c>
    </row>
    <row r="5018" customHeight="1" spans="2:2">
      <c r="B5018" s="62" t="str">
        <f>IF(AND('领用录入（明细）'!D:D=$F$4,'领用录入（明细）'!C:C&gt;=$J$4,'领用录入（明细）'!C:C&lt;=$L$4),ROW(),"-")</f>
        <v>-</v>
      </c>
    </row>
    <row r="5019" customHeight="1" spans="2:2">
      <c r="B5019" s="62" t="str">
        <f>IF(AND('领用录入（明细）'!D:D=$F$4,'领用录入（明细）'!C:C&gt;=$J$4,'领用录入（明细）'!C:C&lt;=$L$4),ROW(),"-")</f>
        <v>-</v>
      </c>
    </row>
    <row r="5020" customHeight="1" spans="2:2">
      <c r="B5020" s="62" t="str">
        <f>IF(AND('领用录入（明细）'!D:D=$F$4,'领用录入（明细）'!C:C&gt;=$J$4,'领用录入（明细）'!C:C&lt;=$L$4),ROW(),"-")</f>
        <v>-</v>
      </c>
    </row>
    <row r="5021" customHeight="1" spans="2:2">
      <c r="B5021" s="62" t="str">
        <f>IF(AND('领用录入（明细）'!D:D=$F$4,'领用录入（明细）'!C:C&gt;=$J$4,'领用录入（明细）'!C:C&lt;=$L$4),ROW(),"-")</f>
        <v>-</v>
      </c>
    </row>
    <row r="5022" customHeight="1" spans="2:2">
      <c r="B5022" s="62" t="str">
        <f>IF(AND('领用录入（明细）'!D:D=$F$4,'领用录入（明细）'!C:C&gt;=$J$4,'领用录入（明细）'!C:C&lt;=$L$4),ROW(),"-")</f>
        <v>-</v>
      </c>
    </row>
    <row r="5023" customHeight="1" spans="2:2">
      <c r="B5023" s="62" t="str">
        <f>IF(AND('领用录入（明细）'!D:D=$F$4,'领用录入（明细）'!C:C&gt;=$J$4,'领用录入（明细）'!C:C&lt;=$L$4),ROW(),"-")</f>
        <v>-</v>
      </c>
    </row>
    <row r="5024" customHeight="1" spans="2:2">
      <c r="B5024" s="62" t="str">
        <f>IF(AND('领用录入（明细）'!D:D=$F$4,'领用录入（明细）'!C:C&gt;=$J$4,'领用录入（明细）'!C:C&lt;=$L$4),ROW(),"-")</f>
        <v>-</v>
      </c>
    </row>
    <row r="5025" customHeight="1" spans="2:2">
      <c r="B5025" s="62" t="str">
        <f>IF(AND('领用录入（明细）'!D:D=$F$4,'领用录入（明细）'!C:C&gt;=$J$4,'领用录入（明细）'!C:C&lt;=$L$4),ROW(),"-")</f>
        <v>-</v>
      </c>
    </row>
    <row r="5026" customHeight="1" spans="2:2">
      <c r="B5026" s="62" t="str">
        <f>IF(AND('领用录入（明细）'!D:D=$F$4,'领用录入（明细）'!C:C&gt;=$J$4,'领用录入（明细）'!C:C&lt;=$L$4),ROW(),"-")</f>
        <v>-</v>
      </c>
    </row>
    <row r="5027" customHeight="1" spans="2:2">
      <c r="B5027" s="62" t="str">
        <f>IF(AND('领用录入（明细）'!D:D=$F$4,'领用录入（明细）'!C:C&gt;=$J$4,'领用录入（明细）'!C:C&lt;=$L$4),ROW(),"-")</f>
        <v>-</v>
      </c>
    </row>
    <row r="5028" customHeight="1" spans="2:2">
      <c r="B5028" s="62" t="str">
        <f>IF(AND('领用录入（明细）'!D:D=$F$4,'领用录入（明细）'!C:C&gt;=$J$4,'领用录入（明细）'!C:C&lt;=$L$4),ROW(),"-")</f>
        <v>-</v>
      </c>
    </row>
    <row r="5029" customHeight="1" spans="2:2">
      <c r="B5029" s="62" t="str">
        <f>IF(AND('领用录入（明细）'!D:D=$F$4,'领用录入（明细）'!C:C&gt;=$J$4,'领用录入（明细）'!C:C&lt;=$L$4),ROW(),"-")</f>
        <v>-</v>
      </c>
    </row>
    <row r="5030" customHeight="1" spans="2:2">
      <c r="B5030" s="62" t="str">
        <f>IF(AND('领用录入（明细）'!D:D=$F$4,'领用录入（明细）'!C:C&gt;=$J$4,'领用录入（明细）'!C:C&lt;=$L$4),ROW(),"-")</f>
        <v>-</v>
      </c>
    </row>
    <row r="5031" customHeight="1" spans="2:2">
      <c r="B5031" s="62" t="str">
        <f>IF(AND('领用录入（明细）'!D:D=$F$4,'领用录入（明细）'!C:C&gt;=$J$4,'领用录入（明细）'!C:C&lt;=$L$4),ROW(),"-")</f>
        <v>-</v>
      </c>
    </row>
    <row r="5032" customHeight="1" spans="2:2">
      <c r="B5032" s="62" t="str">
        <f>IF(AND('领用录入（明细）'!D:D=$F$4,'领用录入（明细）'!C:C&gt;=$J$4,'领用录入（明细）'!C:C&lt;=$L$4),ROW(),"-")</f>
        <v>-</v>
      </c>
    </row>
    <row r="5033" customHeight="1" spans="2:2">
      <c r="B5033" s="62" t="str">
        <f>IF(AND('领用录入（明细）'!D:D=$F$4,'领用录入（明细）'!C:C&gt;=$J$4,'领用录入（明细）'!C:C&lt;=$L$4),ROW(),"-")</f>
        <v>-</v>
      </c>
    </row>
    <row r="5034" customHeight="1" spans="2:2">
      <c r="B5034" s="62" t="str">
        <f>IF(AND('领用录入（明细）'!D:D=$F$4,'领用录入（明细）'!C:C&gt;=$J$4,'领用录入（明细）'!C:C&lt;=$L$4),ROW(),"-")</f>
        <v>-</v>
      </c>
    </row>
    <row r="5035" customHeight="1" spans="2:2">
      <c r="B5035" s="62" t="str">
        <f>IF(AND('领用录入（明细）'!D:D=$F$4,'领用录入（明细）'!C:C&gt;=$J$4,'领用录入（明细）'!C:C&lt;=$L$4),ROW(),"-")</f>
        <v>-</v>
      </c>
    </row>
    <row r="5036" customHeight="1" spans="2:2">
      <c r="B5036" s="62" t="str">
        <f>IF(AND('领用录入（明细）'!D:D=$F$4,'领用录入（明细）'!C:C&gt;=$J$4,'领用录入（明细）'!C:C&lt;=$L$4),ROW(),"-")</f>
        <v>-</v>
      </c>
    </row>
    <row r="5037" customHeight="1" spans="2:2">
      <c r="B5037" s="62" t="str">
        <f>IF(AND('领用录入（明细）'!D:D=$F$4,'领用录入（明细）'!C:C&gt;=$J$4,'领用录入（明细）'!C:C&lt;=$L$4),ROW(),"-")</f>
        <v>-</v>
      </c>
    </row>
    <row r="5038" customHeight="1" spans="2:2">
      <c r="B5038" s="62" t="str">
        <f>IF(AND('领用录入（明细）'!D:D=$F$4,'领用录入（明细）'!C:C&gt;=$J$4,'领用录入（明细）'!C:C&lt;=$L$4),ROW(),"-")</f>
        <v>-</v>
      </c>
    </row>
    <row r="5039" customHeight="1" spans="2:2">
      <c r="B5039" s="62" t="str">
        <f>IF(AND('领用录入（明细）'!D:D=$F$4,'领用录入（明细）'!C:C&gt;=$J$4,'领用录入（明细）'!C:C&lt;=$L$4),ROW(),"-")</f>
        <v>-</v>
      </c>
    </row>
    <row r="5040" customHeight="1" spans="2:2">
      <c r="B5040" s="62" t="str">
        <f>IF(AND('领用录入（明细）'!D:D=$F$4,'领用录入（明细）'!C:C&gt;=$J$4,'领用录入（明细）'!C:C&lt;=$L$4),ROW(),"-")</f>
        <v>-</v>
      </c>
    </row>
    <row r="5041" customHeight="1" spans="2:2">
      <c r="B5041" s="62" t="str">
        <f>IF(AND('领用录入（明细）'!D:D=$F$4,'领用录入（明细）'!C:C&gt;=$J$4,'领用录入（明细）'!C:C&lt;=$L$4),ROW(),"-")</f>
        <v>-</v>
      </c>
    </row>
    <row r="5042" customHeight="1" spans="2:2">
      <c r="B5042" s="62" t="str">
        <f>IF(AND('领用录入（明细）'!D:D=$F$4,'领用录入（明细）'!C:C&gt;=$J$4,'领用录入（明细）'!C:C&lt;=$L$4),ROW(),"-")</f>
        <v>-</v>
      </c>
    </row>
    <row r="5043" customHeight="1" spans="2:2">
      <c r="B5043" s="62" t="str">
        <f>IF(AND('领用录入（明细）'!D:D=$F$4,'领用录入（明细）'!C:C&gt;=$J$4,'领用录入（明细）'!C:C&lt;=$L$4),ROW(),"-")</f>
        <v>-</v>
      </c>
    </row>
    <row r="5044" customHeight="1" spans="2:2">
      <c r="B5044" s="62" t="str">
        <f>IF(AND('领用录入（明细）'!D:D=$F$4,'领用录入（明细）'!C:C&gt;=$J$4,'领用录入（明细）'!C:C&lt;=$L$4),ROW(),"-")</f>
        <v>-</v>
      </c>
    </row>
    <row r="5045" customHeight="1" spans="2:2">
      <c r="B5045" s="62" t="str">
        <f>IF(AND('领用录入（明细）'!D:D=$F$4,'领用录入（明细）'!C:C&gt;=$J$4,'领用录入（明细）'!C:C&lt;=$L$4),ROW(),"-")</f>
        <v>-</v>
      </c>
    </row>
    <row r="5046" customHeight="1" spans="2:2">
      <c r="B5046" s="62" t="str">
        <f>IF(AND('领用录入（明细）'!D:D=$F$4,'领用录入（明细）'!C:C&gt;=$J$4,'领用录入（明细）'!C:C&lt;=$L$4),ROW(),"-")</f>
        <v>-</v>
      </c>
    </row>
    <row r="5047" customHeight="1" spans="2:2">
      <c r="B5047" s="62" t="str">
        <f>IF(AND('领用录入（明细）'!D:D=$F$4,'领用录入（明细）'!C:C&gt;=$J$4,'领用录入（明细）'!C:C&lt;=$L$4),ROW(),"-")</f>
        <v>-</v>
      </c>
    </row>
    <row r="5048" customHeight="1" spans="2:2">
      <c r="B5048" s="62" t="str">
        <f>IF(AND('领用录入（明细）'!D:D=$F$4,'领用录入（明细）'!C:C&gt;=$J$4,'领用录入（明细）'!C:C&lt;=$L$4),ROW(),"-")</f>
        <v>-</v>
      </c>
    </row>
    <row r="5049" customHeight="1" spans="2:2">
      <c r="B5049" s="62" t="str">
        <f>IF(AND('领用录入（明细）'!D:D=$F$4,'领用录入（明细）'!C:C&gt;=$J$4,'领用录入（明细）'!C:C&lt;=$L$4),ROW(),"-")</f>
        <v>-</v>
      </c>
    </row>
    <row r="5050" customHeight="1" spans="2:2">
      <c r="B5050" s="62" t="str">
        <f>IF(AND('领用录入（明细）'!D:D=$F$4,'领用录入（明细）'!C:C&gt;=$J$4,'领用录入（明细）'!C:C&lt;=$L$4),ROW(),"-")</f>
        <v>-</v>
      </c>
    </row>
    <row r="5051" customHeight="1" spans="2:2">
      <c r="B5051" s="62" t="str">
        <f>IF(AND('领用录入（明细）'!D:D=$F$4,'领用录入（明细）'!C:C&gt;=$J$4,'领用录入（明细）'!C:C&lt;=$L$4),ROW(),"-")</f>
        <v>-</v>
      </c>
    </row>
    <row r="5052" customHeight="1" spans="2:2">
      <c r="B5052" s="62" t="str">
        <f>IF(AND('领用录入（明细）'!D:D=$F$4,'领用录入（明细）'!C:C&gt;=$J$4,'领用录入（明细）'!C:C&lt;=$L$4),ROW(),"-")</f>
        <v>-</v>
      </c>
    </row>
    <row r="5053" customHeight="1" spans="2:2">
      <c r="B5053" s="62" t="str">
        <f>IF(AND('领用录入（明细）'!D:D=$F$4,'领用录入（明细）'!C:C&gt;=$J$4,'领用录入（明细）'!C:C&lt;=$L$4),ROW(),"-")</f>
        <v>-</v>
      </c>
    </row>
    <row r="5054" customHeight="1" spans="2:2">
      <c r="B5054" s="62" t="str">
        <f>IF(AND('领用录入（明细）'!D:D=$F$4,'领用录入（明细）'!C:C&gt;=$J$4,'领用录入（明细）'!C:C&lt;=$L$4),ROW(),"-")</f>
        <v>-</v>
      </c>
    </row>
    <row r="5055" customHeight="1" spans="2:2">
      <c r="B5055" s="62" t="str">
        <f>IF(AND('领用录入（明细）'!D:D=$F$4,'领用录入（明细）'!C:C&gt;=$J$4,'领用录入（明细）'!C:C&lt;=$L$4),ROW(),"-")</f>
        <v>-</v>
      </c>
    </row>
    <row r="5056" customHeight="1" spans="2:2">
      <c r="B5056" s="62" t="str">
        <f>IF(AND('领用录入（明细）'!D:D=$F$4,'领用录入（明细）'!C:C&gt;=$J$4,'领用录入（明细）'!C:C&lt;=$L$4),ROW(),"-")</f>
        <v>-</v>
      </c>
    </row>
    <row r="5057" customHeight="1" spans="2:2">
      <c r="B5057" s="62" t="str">
        <f>IF(AND('领用录入（明细）'!D:D=$F$4,'领用录入（明细）'!C:C&gt;=$J$4,'领用录入（明细）'!C:C&lt;=$L$4),ROW(),"-")</f>
        <v>-</v>
      </c>
    </row>
    <row r="5058" customHeight="1" spans="2:2">
      <c r="B5058" s="62" t="str">
        <f>IF(AND('领用录入（明细）'!D:D=$F$4,'领用录入（明细）'!C:C&gt;=$J$4,'领用录入（明细）'!C:C&lt;=$L$4),ROW(),"-")</f>
        <v>-</v>
      </c>
    </row>
    <row r="5059" customHeight="1" spans="2:2">
      <c r="B5059" s="62" t="str">
        <f>IF(AND('领用录入（明细）'!D:D=$F$4,'领用录入（明细）'!C:C&gt;=$J$4,'领用录入（明细）'!C:C&lt;=$L$4),ROW(),"-")</f>
        <v>-</v>
      </c>
    </row>
    <row r="5060" customHeight="1" spans="2:2">
      <c r="B5060" s="62" t="str">
        <f>IF(AND('领用录入（明细）'!D:D=$F$4,'领用录入（明细）'!C:C&gt;=$J$4,'领用录入（明细）'!C:C&lt;=$L$4),ROW(),"-")</f>
        <v>-</v>
      </c>
    </row>
    <row r="5061" customHeight="1" spans="2:2">
      <c r="B5061" s="62" t="str">
        <f>IF(AND('领用录入（明细）'!D:D=$F$4,'领用录入（明细）'!C:C&gt;=$J$4,'领用录入（明细）'!C:C&lt;=$L$4),ROW(),"-")</f>
        <v>-</v>
      </c>
    </row>
    <row r="5062" customHeight="1" spans="2:2">
      <c r="B5062" s="62" t="str">
        <f>IF(AND('领用录入（明细）'!D:D=$F$4,'领用录入（明细）'!C:C&gt;=$J$4,'领用录入（明细）'!C:C&lt;=$L$4),ROW(),"-")</f>
        <v>-</v>
      </c>
    </row>
    <row r="5063" customHeight="1" spans="2:2">
      <c r="B5063" s="62" t="str">
        <f>IF(AND('领用录入（明细）'!D:D=$F$4,'领用录入（明细）'!C:C&gt;=$J$4,'领用录入（明细）'!C:C&lt;=$L$4),ROW(),"-")</f>
        <v>-</v>
      </c>
    </row>
    <row r="5064" customHeight="1" spans="2:2">
      <c r="B5064" s="62" t="str">
        <f>IF(AND('领用录入（明细）'!D:D=$F$4,'领用录入（明细）'!C:C&gt;=$J$4,'领用录入（明细）'!C:C&lt;=$L$4),ROW(),"-")</f>
        <v>-</v>
      </c>
    </row>
    <row r="5065" customHeight="1" spans="2:2">
      <c r="B5065" s="62" t="str">
        <f>IF(AND('领用录入（明细）'!D:D=$F$4,'领用录入（明细）'!C:C&gt;=$J$4,'领用录入（明细）'!C:C&lt;=$L$4),ROW(),"-")</f>
        <v>-</v>
      </c>
    </row>
    <row r="5066" customHeight="1" spans="2:2">
      <c r="B5066" s="62" t="str">
        <f>IF(AND('领用录入（明细）'!D:D=$F$4,'领用录入（明细）'!C:C&gt;=$J$4,'领用录入（明细）'!C:C&lt;=$L$4),ROW(),"-")</f>
        <v>-</v>
      </c>
    </row>
    <row r="5067" customHeight="1" spans="2:2">
      <c r="B5067" s="62" t="str">
        <f>IF(AND('领用录入（明细）'!D:D=$F$4,'领用录入（明细）'!C:C&gt;=$J$4,'领用录入（明细）'!C:C&lt;=$L$4),ROW(),"-")</f>
        <v>-</v>
      </c>
    </row>
    <row r="5068" customHeight="1" spans="2:2">
      <c r="B5068" s="62" t="str">
        <f>IF(AND('领用录入（明细）'!D:D=$F$4,'领用录入（明细）'!C:C&gt;=$J$4,'领用录入（明细）'!C:C&lt;=$L$4),ROW(),"-")</f>
        <v>-</v>
      </c>
    </row>
    <row r="5069" customHeight="1" spans="2:2">
      <c r="B5069" s="62" t="str">
        <f>IF(AND('领用录入（明细）'!D:D=$F$4,'领用录入（明细）'!C:C&gt;=$J$4,'领用录入（明细）'!C:C&lt;=$L$4),ROW(),"-")</f>
        <v>-</v>
      </c>
    </row>
    <row r="5070" customHeight="1" spans="2:2">
      <c r="B5070" s="62" t="str">
        <f>IF(AND('领用录入（明细）'!D:D=$F$4,'领用录入（明细）'!C:C&gt;=$J$4,'领用录入（明细）'!C:C&lt;=$L$4),ROW(),"-")</f>
        <v>-</v>
      </c>
    </row>
    <row r="5071" customHeight="1" spans="2:2">
      <c r="B5071" s="62" t="str">
        <f>IF(AND('领用录入（明细）'!D:D=$F$4,'领用录入（明细）'!C:C&gt;=$J$4,'领用录入（明细）'!C:C&lt;=$L$4),ROW(),"-")</f>
        <v>-</v>
      </c>
    </row>
    <row r="5072" customHeight="1" spans="2:2">
      <c r="B5072" s="62" t="str">
        <f>IF(AND('领用录入（明细）'!D:D=$F$4,'领用录入（明细）'!C:C&gt;=$J$4,'领用录入（明细）'!C:C&lt;=$L$4),ROW(),"-")</f>
        <v>-</v>
      </c>
    </row>
    <row r="5073" customHeight="1" spans="2:2">
      <c r="B5073" s="62" t="str">
        <f>IF(AND('领用录入（明细）'!D:D=$F$4,'领用录入（明细）'!C:C&gt;=$J$4,'领用录入（明细）'!C:C&lt;=$L$4),ROW(),"-")</f>
        <v>-</v>
      </c>
    </row>
    <row r="5074" customHeight="1" spans="2:2">
      <c r="B5074" s="62" t="str">
        <f>IF(AND('领用录入（明细）'!D:D=$F$4,'领用录入（明细）'!C:C&gt;=$J$4,'领用录入（明细）'!C:C&lt;=$L$4),ROW(),"-")</f>
        <v>-</v>
      </c>
    </row>
    <row r="5075" customHeight="1" spans="2:2">
      <c r="B5075" s="62" t="str">
        <f>IF(AND('领用录入（明细）'!D:D=$F$4,'领用录入（明细）'!C:C&gt;=$J$4,'领用录入（明细）'!C:C&lt;=$L$4),ROW(),"-")</f>
        <v>-</v>
      </c>
    </row>
    <row r="5076" customHeight="1" spans="2:2">
      <c r="B5076" s="62" t="str">
        <f>IF(AND('领用录入（明细）'!D:D=$F$4,'领用录入（明细）'!C:C&gt;=$J$4,'领用录入（明细）'!C:C&lt;=$L$4),ROW(),"-")</f>
        <v>-</v>
      </c>
    </row>
    <row r="5077" customHeight="1" spans="2:2">
      <c r="B5077" s="62" t="str">
        <f>IF(AND('领用录入（明细）'!D:D=$F$4,'领用录入（明细）'!C:C&gt;=$J$4,'领用录入（明细）'!C:C&lt;=$L$4),ROW(),"-")</f>
        <v>-</v>
      </c>
    </row>
    <row r="5078" customHeight="1" spans="2:2">
      <c r="B5078" s="62" t="str">
        <f>IF(AND('领用录入（明细）'!D:D=$F$4,'领用录入（明细）'!C:C&gt;=$J$4,'领用录入（明细）'!C:C&lt;=$L$4),ROW(),"-")</f>
        <v>-</v>
      </c>
    </row>
    <row r="5079" customHeight="1" spans="2:2">
      <c r="B5079" s="62" t="str">
        <f>IF(AND('领用录入（明细）'!D:D=$F$4,'领用录入（明细）'!C:C&gt;=$J$4,'领用录入（明细）'!C:C&lt;=$L$4),ROW(),"-")</f>
        <v>-</v>
      </c>
    </row>
    <row r="5080" customHeight="1" spans="2:2">
      <c r="B5080" s="62" t="str">
        <f>IF(AND('领用录入（明细）'!D:D=$F$4,'领用录入（明细）'!C:C&gt;=$J$4,'领用录入（明细）'!C:C&lt;=$L$4),ROW(),"-")</f>
        <v>-</v>
      </c>
    </row>
    <row r="5081" customHeight="1" spans="2:2">
      <c r="B5081" s="62" t="str">
        <f>IF(AND('领用录入（明细）'!D:D=$F$4,'领用录入（明细）'!C:C&gt;=$J$4,'领用录入（明细）'!C:C&lt;=$L$4),ROW(),"-")</f>
        <v>-</v>
      </c>
    </row>
    <row r="5082" customHeight="1" spans="2:2">
      <c r="B5082" s="62" t="str">
        <f>IF(AND('领用录入（明细）'!D:D=$F$4,'领用录入（明细）'!C:C&gt;=$J$4,'领用录入（明细）'!C:C&lt;=$L$4),ROW(),"-")</f>
        <v>-</v>
      </c>
    </row>
    <row r="5083" customHeight="1" spans="2:2">
      <c r="B5083" s="62" t="str">
        <f>IF(AND('领用录入（明细）'!D:D=$F$4,'领用录入（明细）'!C:C&gt;=$J$4,'领用录入（明细）'!C:C&lt;=$L$4),ROW(),"-")</f>
        <v>-</v>
      </c>
    </row>
    <row r="5084" customHeight="1" spans="2:2">
      <c r="B5084" s="62" t="str">
        <f>IF(AND('领用录入（明细）'!D:D=$F$4,'领用录入（明细）'!C:C&gt;=$J$4,'领用录入（明细）'!C:C&lt;=$L$4),ROW(),"-")</f>
        <v>-</v>
      </c>
    </row>
    <row r="5085" customHeight="1" spans="2:2">
      <c r="B5085" s="62" t="str">
        <f>IF(AND('领用录入（明细）'!D:D=$F$4,'领用录入（明细）'!C:C&gt;=$J$4,'领用录入（明细）'!C:C&lt;=$L$4),ROW(),"-")</f>
        <v>-</v>
      </c>
    </row>
    <row r="5086" customHeight="1" spans="2:2">
      <c r="B5086" s="62" t="str">
        <f>IF(AND('领用录入（明细）'!D:D=$F$4,'领用录入（明细）'!C:C&gt;=$J$4,'领用录入（明细）'!C:C&lt;=$L$4),ROW(),"-")</f>
        <v>-</v>
      </c>
    </row>
    <row r="5087" customHeight="1" spans="2:2">
      <c r="B5087" s="62" t="str">
        <f>IF(AND('领用录入（明细）'!D:D=$F$4,'领用录入（明细）'!C:C&gt;=$J$4,'领用录入（明细）'!C:C&lt;=$L$4),ROW(),"-")</f>
        <v>-</v>
      </c>
    </row>
    <row r="5088" customHeight="1" spans="2:2">
      <c r="B5088" s="62" t="str">
        <f>IF(AND('领用录入（明细）'!D:D=$F$4,'领用录入（明细）'!C:C&gt;=$J$4,'领用录入（明细）'!C:C&lt;=$L$4),ROW(),"-")</f>
        <v>-</v>
      </c>
    </row>
    <row r="5089" customHeight="1" spans="2:2">
      <c r="B5089" s="62" t="str">
        <f>IF(AND('领用录入（明细）'!D:D=$F$4,'领用录入（明细）'!C:C&gt;=$J$4,'领用录入（明细）'!C:C&lt;=$L$4),ROW(),"-")</f>
        <v>-</v>
      </c>
    </row>
    <row r="5090" customHeight="1" spans="2:2">
      <c r="B5090" s="62" t="str">
        <f>IF(AND('领用录入（明细）'!D:D=$F$4,'领用录入（明细）'!C:C&gt;=$J$4,'领用录入（明细）'!C:C&lt;=$L$4),ROW(),"-")</f>
        <v>-</v>
      </c>
    </row>
    <row r="5091" customHeight="1" spans="2:2">
      <c r="B5091" s="62" t="str">
        <f>IF(AND('领用录入（明细）'!D:D=$F$4,'领用录入（明细）'!C:C&gt;=$J$4,'领用录入（明细）'!C:C&lt;=$L$4),ROW(),"-")</f>
        <v>-</v>
      </c>
    </row>
    <row r="5092" customHeight="1" spans="2:2">
      <c r="B5092" s="62" t="str">
        <f>IF(AND('领用录入（明细）'!D:D=$F$4,'领用录入（明细）'!C:C&gt;=$J$4,'领用录入（明细）'!C:C&lt;=$L$4),ROW(),"-")</f>
        <v>-</v>
      </c>
    </row>
    <row r="5093" customHeight="1" spans="2:2">
      <c r="B5093" s="62" t="str">
        <f>IF(AND('领用录入（明细）'!D:D=$F$4,'领用录入（明细）'!C:C&gt;=$J$4,'领用录入（明细）'!C:C&lt;=$L$4),ROW(),"-")</f>
        <v>-</v>
      </c>
    </row>
    <row r="5094" customHeight="1" spans="2:2">
      <c r="B5094" s="62" t="str">
        <f>IF(AND('领用录入（明细）'!D:D=$F$4,'领用录入（明细）'!C:C&gt;=$J$4,'领用录入（明细）'!C:C&lt;=$L$4),ROW(),"-")</f>
        <v>-</v>
      </c>
    </row>
    <row r="5095" customHeight="1" spans="2:2">
      <c r="B5095" s="62" t="str">
        <f>IF(AND('领用录入（明细）'!D:D=$F$4,'领用录入（明细）'!C:C&gt;=$J$4,'领用录入（明细）'!C:C&lt;=$L$4),ROW(),"-")</f>
        <v>-</v>
      </c>
    </row>
    <row r="5096" customHeight="1" spans="2:2">
      <c r="B5096" s="62" t="str">
        <f>IF(AND('领用录入（明细）'!D:D=$F$4,'领用录入（明细）'!C:C&gt;=$J$4,'领用录入（明细）'!C:C&lt;=$L$4),ROW(),"-")</f>
        <v>-</v>
      </c>
    </row>
    <row r="5097" customHeight="1" spans="2:2">
      <c r="B5097" s="62" t="str">
        <f>IF(AND('领用录入（明细）'!D:D=$F$4,'领用录入（明细）'!C:C&gt;=$J$4,'领用录入（明细）'!C:C&lt;=$L$4),ROW(),"-")</f>
        <v>-</v>
      </c>
    </row>
    <row r="5098" customHeight="1" spans="2:2">
      <c r="B5098" s="62" t="str">
        <f>IF(AND('领用录入（明细）'!D:D=$F$4,'领用录入（明细）'!C:C&gt;=$J$4,'领用录入（明细）'!C:C&lt;=$L$4),ROW(),"-")</f>
        <v>-</v>
      </c>
    </row>
    <row r="5099" customHeight="1" spans="2:2">
      <c r="B5099" s="62" t="str">
        <f>IF(AND('领用录入（明细）'!D:D=$F$4,'领用录入（明细）'!C:C&gt;=$J$4,'领用录入（明细）'!C:C&lt;=$L$4),ROW(),"-")</f>
        <v>-</v>
      </c>
    </row>
    <row r="5100" customHeight="1" spans="2:2">
      <c r="B5100" s="62" t="str">
        <f>IF(AND('领用录入（明细）'!D:D=$F$4,'领用录入（明细）'!C:C&gt;=$J$4,'领用录入（明细）'!C:C&lt;=$L$4),ROW(),"-")</f>
        <v>-</v>
      </c>
    </row>
    <row r="5101" customHeight="1" spans="2:2">
      <c r="B5101" s="62" t="str">
        <f>IF(AND('领用录入（明细）'!D:D=$F$4,'领用录入（明细）'!C:C&gt;=$J$4,'领用录入（明细）'!C:C&lt;=$L$4),ROW(),"-")</f>
        <v>-</v>
      </c>
    </row>
    <row r="5102" customHeight="1" spans="2:2">
      <c r="B5102" s="62" t="str">
        <f>IF(AND('领用录入（明细）'!D:D=$F$4,'领用录入（明细）'!C:C&gt;=$J$4,'领用录入（明细）'!C:C&lt;=$L$4),ROW(),"-")</f>
        <v>-</v>
      </c>
    </row>
    <row r="5103" customHeight="1" spans="2:2">
      <c r="B5103" s="62" t="str">
        <f>IF(AND('领用录入（明细）'!D:D=$F$4,'领用录入（明细）'!C:C&gt;=$J$4,'领用录入（明细）'!C:C&lt;=$L$4),ROW(),"-")</f>
        <v>-</v>
      </c>
    </row>
    <row r="5104" customHeight="1" spans="2:2">
      <c r="B5104" s="62" t="str">
        <f>IF(AND('领用录入（明细）'!D:D=$F$4,'领用录入（明细）'!C:C&gt;=$J$4,'领用录入（明细）'!C:C&lt;=$L$4),ROW(),"-")</f>
        <v>-</v>
      </c>
    </row>
    <row r="5105" customHeight="1" spans="2:2">
      <c r="B5105" s="62" t="str">
        <f>IF(AND('领用录入（明细）'!D:D=$F$4,'领用录入（明细）'!C:C&gt;=$J$4,'领用录入（明细）'!C:C&lt;=$L$4),ROW(),"-")</f>
        <v>-</v>
      </c>
    </row>
    <row r="5106" customHeight="1" spans="2:2">
      <c r="B5106" s="62" t="str">
        <f>IF(AND('领用录入（明细）'!D:D=$F$4,'领用录入（明细）'!C:C&gt;=$J$4,'领用录入（明细）'!C:C&lt;=$L$4),ROW(),"-")</f>
        <v>-</v>
      </c>
    </row>
    <row r="5107" customHeight="1" spans="2:2">
      <c r="B5107" s="62" t="str">
        <f>IF(AND('领用录入（明细）'!D:D=$F$4,'领用录入（明细）'!C:C&gt;=$J$4,'领用录入（明细）'!C:C&lt;=$L$4),ROW(),"-")</f>
        <v>-</v>
      </c>
    </row>
    <row r="5108" customHeight="1" spans="2:2">
      <c r="B5108" s="62" t="str">
        <f>IF(AND('领用录入（明细）'!D:D=$F$4,'领用录入（明细）'!C:C&gt;=$J$4,'领用录入（明细）'!C:C&lt;=$L$4),ROW(),"-")</f>
        <v>-</v>
      </c>
    </row>
    <row r="5109" customHeight="1" spans="2:2">
      <c r="B5109" s="62" t="str">
        <f>IF(AND('领用录入（明细）'!D:D=$F$4,'领用录入（明细）'!C:C&gt;=$J$4,'领用录入（明细）'!C:C&lt;=$L$4),ROW(),"-")</f>
        <v>-</v>
      </c>
    </row>
    <row r="5110" customHeight="1" spans="2:2">
      <c r="B5110" s="62" t="str">
        <f>IF(AND('领用录入（明细）'!D:D=$F$4,'领用录入（明细）'!C:C&gt;=$J$4,'领用录入（明细）'!C:C&lt;=$L$4),ROW(),"-")</f>
        <v>-</v>
      </c>
    </row>
    <row r="5111" customHeight="1" spans="2:2">
      <c r="B5111" s="62" t="str">
        <f>IF(AND('领用录入（明细）'!D:D=$F$4,'领用录入（明细）'!C:C&gt;=$J$4,'领用录入（明细）'!C:C&lt;=$L$4),ROW(),"-")</f>
        <v>-</v>
      </c>
    </row>
    <row r="5112" customHeight="1" spans="2:2">
      <c r="B5112" s="62" t="str">
        <f>IF(AND('领用录入（明细）'!D:D=$F$4,'领用录入（明细）'!C:C&gt;=$J$4,'领用录入（明细）'!C:C&lt;=$L$4),ROW(),"-")</f>
        <v>-</v>
      </c>
    </row>
    <row r="5113" customHeight="1" spans="2:2">
      <c r="B5113" s="62" t="str">
        <f>IF(AND('领用录入（明细）'!D:D=$F$4,'领用录入（明细）'!C:C&gt;=$J$4,'领用录入（明细）'!C:C&lt;=$L$4),ROW(),"-")</f>
        <v>-</v>
      </c>
    </row>
    <row r="5114" customHeight="1" spans="2:2">
      <c r="B5114" s="62" t="str">
        <f>IF(AND('领用录入（明细）'!D:D=$F$4,'领用录入（明细）'!C:C&gt;=$J$4,'领用录入（明细）'!C:C&lt;=$L$4),ROW(),"-")</f>
        <v>-</v>
      </c>
    </row>
    <row r="5115" customHeight="1" spans="2:2">
      <c r="B5115" s="62" t="str">
        <f>IF(AND('领用录入（明细）'!D:D=$F$4,'领用录入（明细）'!C:C&gt;=$J$4,'领用录入（明细）'!C:C&lt;=$L$4),ROW(),"-")</f>
        <v>-</v>
      </c>
    </row>
    <row r="5116" customHeight="1" spans="2:2">
      <c r="B5116" s="62" t="str">
        <f>IF(AND('领用录入（明细）'!D:D=$F$4,'领用录入（明细）'!C:C&gt;=$J$4,'领用录入（明细）'!C:C&lt;=$L$4),ROW(),"-")</f>
        <v>-</v>
      </c>
    </row>
    <row r="5117" customHeight="1" spans="2:2">
      <c r="B5117" s="62" t="str">
        <f>IF(AND('领用录入（明细）'!D:D=$F$4,'领用录入（明细）'!C:C&gt;=$J$4,'领用录入（明细）'!C:C&lt;=$L$4),ROW(),"-")</f>
        <v>-</v>
      </c>
    </row>
    <row r="5118" customHeight="1" spans="2:2">
      <c r="B5118" s="62" t="str">
        <f>IF(AND('领用录入（明细）'!D:D=$F$4,'领用录入（明细）'!C:C&gt;=$J$4,'领用录入（明细）'!C:C&lt;=$L$4),ROW(),"-")</f>
        <v>-</v>
      </c>
    </row>
    <row r="5119" customHeight="1" spans="2:2">
      <c r="B5119" s="62" t="str">
        <f>IF(AND('领用录入（明细）'!D:D=$F$4,'领用录入（明细）'!C:C&gt;=$J$4,'领用录入（明细）'!C:C&lt;=$L$4),ROW(),"-")</f>
        <v>-</v>
      </c>
    </row>
    <row r="5120" customHeight="1" spans="2:2">
      <c r="B5120" s="62" t="str">
        <f>IF(AND('领用录入（明细）'!D:D=$F$4,'领用录入（明细）'!C:C&gt;=$J$4,'领用录入（明细）'!C:C&lt;=$L$4),ROW(),"-")</f>
        <v>-</v>
      </c>
    </row>
    <row r="5121" customHeight="1" spans="2:2">
      <c r="B5121" s="62" t="str">
        <f>IF(AND('领用录入（明细）'!D:D=$F$4,'领用录入（明细）'!C:C&gt;=$J$4,'领用录入（明细）'!C:C&lt;=$L$4),ROW(),"-")</f>
        <v>-</v>
      </c>
    </row>
    <row r="5122" customHeight="1" spans="2:2">
      <c r="B5122" s="62" t="str">
        <f>IF(AND('领用录入（明细）'!D:D=$F$4,'领用录入（明细）'!C:C&gt;=$J$4,'领用录入（明细）'!C:C&lt;=$L$4),ROW(),"-")</f>
        <v>-</v>
      </c>
    </row>
    <row r="5123" customHeight="1" spans="2:2">
      <c r="B5123" s="62" t="str">
        <f>IF(AND('领用录入（明细）'!D:D=$F$4,'领用录入（明细）'!C:C&gt;=$J$4,'领用录入（明细）'!C:C&lt;=$L$4),ROW(),"-")</f>
        <v>-</v>
      </c>
    </row>
    <row r="5124" customHeight="1" spans="2:2">
      <c r="B5124" s="62" t="str">
        <f>IF(AND('领用录入（明细）'!D:D=$F$4,'领用录入（明细）'!C:C&gt;=$J$4,'领用录入（明细）'!C:C&lt;=$L$4),ROW(),"-")</f>
        <v>-</v>
      </c>
    </row>
    <row r="5125" customHeight="1" spans="2:2">
      <c r="B5125" s="62" t="str">
        <f>IF(AND('领用录入（明细）'!D:D=$F$4,'领用录入（明细）'!C:C&gt;=$J$4,'领用录入（明细）'!C:C&lt;=$L$4),ROW(),"-")</f>
        <v>-</v>
      </c>
    </row>
    <row r="5126" customHeight="1" spans="2:2">
      <c r="B5126" s="62" t="str">
        <f>IF(AND('领用录入（明细）'!D:D=$F$4,'领用录入（明细）'!C:C&gt;=$J$4,'领用录入（明细）'!C:C&lt;=$L$4),ROW(),"-")</f>
        <v>-</v>
      </c>
    </row>
    <row r="5127" customHeight="1" spans="2:2">
      <c r="B5127" s="62" t="str">
        <f>IF(AND('领用录入（明细）'!D:D=$F$4,'领用录入（明细）'!C:C&gt;=$J$4,'领用录入（明细）'!C:C&lt;=$L$4),ROW(),"-")</f>
        <v>-</v>
      </c>
    </row>
    <row r="5128" customHeight="1" spans="2:2">
      <c r="B5128" s="62" t="str">
        <f>IF(AND('领用录入（明细）'!D:D=$F$4,'领用录入（明细）'!C:C&gt;=$J$4,'领用录入（明细）'!C:C&lt;=$L$4),ROW(),"-")</f>
        <v>-</v>
      </c>
    </row>
    <row r="5129" customHeight="1" spans="2:2">
      <c r="B5129" s="62" t="str">
        <f>IF(AND('领用录入（明细）'!D:D=$F$4,'领用录入（明细）'!C:C&gt;=$J$4,'领用录入（明细）'!C:C&lt;=$L$4),ROW(),"-")</f>
        <v>-</v>
      </c>
    </row>
    <row r="5130" customHeight="1" spans="2:2">
      <c r="B5130" s="62" t="str">
        <f>IF(AND('领用录入（明细）'!D:D=$F$4,'领用录入（明细）'!C:C&gt;=$J$4,'领用录入（明细）'!C:C&lt;=$L$4),ROW(),"-")</f>
        <v>-</v>
      </c>
    </row>
    <row r="5131" customHeight="1" spans="2:2">
      <c r="B5131" s="62" t="str">
        <f>IF(AND('领用录入（明细）'!D:D=$F$4,'领用录入（明细）'!C:C&gt;=$J$4,'领用录入（明细）'!C:C&lt;=$L$4),ROW(),"-")</f>
        <v>-</v>
      </c>
    </row>
    <row r="5132" customHeight="1" spans="2:2">
      <c r="B5132" s="62" t="str">
        <f>IF(AND('领用录入（明细）'!D:D=$F$4,'领用录入（明细）'!C:C&gt;=$J$4,'领用录入（明细）'!C:C&lt;=$L$4),ROW(),"-")</f>
        <v>-</v>
      </c>
    </row>
    <row r="5133" customHeight="1" spans="2:2">
      <c r="B5133" s="62" t="str">
        <f>IF(AND('领用录入（明细）'!D:D=$F$4,'领用录入（明细）'!C:C&gt;=$J$4,'领用录入（明细）'!C:C&lt;=$L$4),ROW(),"-")</f>
        <v>-</v>
      </c>
    </row>
    <row r="5134" customHeight="1" spans="2:2">
      <c r="B5134" s="62" t="str">
        <f>IF(AND('领用录入（明细）'!D:D=$F$4,'领用录入（明细）'!C:C&gt;=$J$4,'领用录入（明细）'!C:C&lt;=$L$4),ROW(),"-")</f>
        <v>-</v>
      </c>
    </row>
    <row r="5135" customHeight="1" spans="2:2">
      <c r="B5135" s="62" t="str">
        <f>IF(AND('领用录入（明细）'!D:D=$F$4,'领用录入（明细）'!C:C&gt;=$J$4,'领用录入（明细）'!C:C&lt;=$L$4),ROW(),"-")</f>
        <v>-</v>
      </c>
    </row>
    <row r="5136" customHeight="1" spans="2:2">
      <c r="B5136" s="62" t="str">
        <f>IF(AND('领用录入（明细）'!D:D=$F$4,'领用录入（明细）'!C:C&gt;=$J$4,'领用录入（明细）'!C:C&lt;=$L$4),ROW(),"-")</f>
        <v>-</v>
      </c>
    </row>
    <row r="5137" customHeight="1" spans="2:2">
      <c r="B5137" s="62" t="str">
        <f>IF(AND('领用录入（明细）'!D:D=$F$4,'领用录入（明细）'!C:C&gt;=$J$4,'领用录入（明细）'!C:C&lt;=$L$4),ROW(),"-")</f>
        <v>-</v>
      </c>
    </row>
    <row r="5138" customHeight="1" spans="2:2">
      <c r="B5138" s="62" t="str">
        <f>IF(AND('领用录入（明细）'!D:D=$F$4,'领用录入（明细）'!C:C&gt;=$J$4,'领用录入（明细）'!C:C&lt;=$L$4),ROW(),"-")</f>
        <v>-</v>
      </c>
    </row>
    <row r="5139" customHeight="1" spans="2:2">
      <c r="B5139" s="62" t="str">
        <f>IF(AND('领用录入（明细）'!D:D=$F$4,'领用录入（明细）'!C:C&gt;=$J$4,'领用录入（明细）'!C:C&lt;=$L$4),ROW(),"-")</f>
        <v>-</v>
      </c>
    </row>
    <row r="5140" customHeight="1" spans="2:2">
      <c r="B5140" s="62" t="str">
        <f>IF(AND('领用录入（明细）'!D:D=$F$4,'领用录入（明细）'!C:C&gt;=$J$4,'领用录入（明细）'!C:C&lt;=$L$4),ROW(),"-")</f>
        <v>-</v>
      </c>
    </row>
    <row r="5141" customHeight="1" spans="2:2">
      <c r="B5141" s="62" t="str">
        <f>IF(AND('领用录入（明细）'!D:D=$F$4,'领用录入（明细）'!C:C&gt;=$J$4,'领用录入（明细）'!C:C&lt;=$L$4),ROW(),"-")</f>
        <v>-</v>
      </c>
    </row>
    <row r="5142" customHeight="1" spans="2:2">
      <c r="B5142" s="62" t="str">
        <f>IF(AND('领用录入（明细）'!D:D=$F$4,'领用录入（明细）'!C:C&gt;=$J$4,'领用录入（明细）'!C:C&lt;=$L$4),ROW(),"-")</f>
        <v>-</v>
      </c>
    </row>
    <row r="5143" customHeight="1" spans="2:2">
      <c r="B5143" s="62" t="str">
        <f>IF(AND('领用录入（明细）'!D:D=$F$4,'领用录入（明细）'!C:C&gt;=$J$4,'领用录入（明细）'!C:C&lt;=$L$4),ROW(),"-")</f>
        <v>-</v>
      </c>
    </row>
    <row r="5144" customHeight="1" spans="2:2">
      <c r="B5144" s="62" t="str">
        <f>IF(AND('领用录入（明细）'!D:D=$F$4,'领用录入（明细）'!C:C&gt;=$J$4,'领用录入（明细）'!C:C&lt;=$L$4),ROW(),"-")</f>
        <v>-</v>
      </c>
    </row>
    <row r="5145" customHeight="1" spans="2:2">
      <c r="B5145" s="62" t="str">
        <f>IF(AND('领用录入（明细）'!D:D=$F$4,'领用录入（明细）'!C:C&gt;=$J$4,'领用录入（明细）'!C:C&lt;=$L$4),ROW(),"-")</f>
        <v>-</v>
      </c>
    </row>
    <row r="5146" customHeight="1" spans="2:2">
      <c r="B5146" s="62" t="str">
        <f>IF(AND('领用录入（明细）'!D:D=$F$4,'领用录入（明细）'!C:C&gt;=$J$4,'领用录入（明细）'!C:C&lt;=$L$4),ROW(),"-")</f>
        <v>-</v>
      </c>
    </row>
    <row r="5147" customHeight="1" spans="2:2">
      <c r="B5147" s="62" t="str">
        <f>IF(AND('领用录入（明细）'!D:D=$F$4,'领用录入（明细）'!C:C&gt;=$J$4,'领用录入（明细）'!C:C&lt;=$L$4),ROW(),"-")</f>
        <v>-</v>
      </c>
    </row>
    <row r="5148" customHeight="1" spans="2:2">
      <c r="B5148" s="62" t="str">
        <f>IF(AND('领用录入（明细）'!D:D=$F$4,'领用录入（明细）'!C:C&gt;=$J$4,'领用录入（明细）'!C:C&lt;=$L$4),ROW(),"-")</f>
        <v>-</v>
      </c>
    </row>
    <row r="5149" customHeight="1" spans="2:2">
      <c r="B5149" s="62" t="str">
        <f>IF(AND('领用录入（明细）'!D:D=$F$4,'领用录入（明细）'!C:C&gt;=$J$4,'领用录入（明细）'!C:C&lt;=$L$4),ROW(),"-")</f>
        <v>-</v>
      </c>
    </row>
    <row r="5150" customHeight="1" spans="2:2">
      <c r="B5150" s="62" t="str">
        <f>IF(AND('领用录入（明细）'!D:D=$F$4,'领用录入（明细）'!C:C&gt;=$J$4,'领用录入（明细）'!C:C&lt;=$L$4),ROW(),"-")</f>
        <v>-</v>
      </c>
    </row>
    <row r="5151" customHeight="1" spans="2:2">
      <c r="B5151" s="62" t="str">
        <f>IF(AND('领用录入（明细）'!D:D=$F$4,'领用录入（明细）'!C:C&gt;=$J$4,'领用录入（明细）'!C:C&lt;=$L$4),ROW(),"-")</f>
        <v>-</v>
      </c>
    </row>
    <row r="5152" customHeight="1" spans="2:2">
      <c r="B5152" s="62" t="str">
        <f>IF(AND('领用录入（明细）'!D:D=$F$4,'领用录入（明细）'!C:C&gt;=$J$4,'领用录入（明细）'!C:C&lt;=$L$4),ROW(),"-")</f>
        <v>-</v>
      </c>
    </row>
    <row r="5153" customHeight="1" spans="2:2">
      <c r="B5153" s="62" t="str">
        <f>IF(AND('领用录入（明细）'!D:D=$F$4,'领用录入（明细）'!C:C&gt;=$J$4,'领用录入（明细）'!C:C&lt;=$L$4),ROW(),"-")</f>
        <v>-</v>
      </c>
    </row>
    <row r="5154" customHeight="1" spans="2:2">
      <c r="B5154" s="62" t="str">
        <f>IF(AND('领用录入（明细）'!D:D=$F$4,'领用录入（明细）'!C:C&gt;=$J$4,'领用录入（明细）'!C:C&lt;=$L$4),ROW(),"-")</f>
        <v>-</v>
      </c>
    </row>
    <row r="5155" customHeight="1" spans="2:2">
      <c r="B5155" s="62" t="str">
        <f>IF(AND('领用录入（明细）'!D:D=$F$4,'领用录入（明细）'!C:C&gt;=$J$4,'领用录入（明细）'!C:C&lt;=$L$4),ROW(),"-")</f>
        <v>-</v>
      </c>
    </row>
    <row r="5156" customHeight="1" spans="2:2">
      <c r="B5156" s="62" t="str">
        <f>IF(AND('领用录入（明细）'!D:D=$F$4,'领用录入（明细）'!C:C&gt;=$J$4,'领用录入（明细）'!C:C&lt;=$L$4),ROW(),"-")</f>
        <v>-</v>
      </c>
    </row>
    <row r="5157" customHeight="1" spans="2:2">
      <c r="B5157" s="62" t="str">
        <f>IF(AND('领用录入（明细）'!D:D=$F$4,'领用录入（明细）'!C:C&gt;=$J$4,'领用录入（明细）'!C:C&lt;=$L$4),ROW(),"-")</f>
        <v>-</v>
      </c>
    </row>
    <row r="5158" customHeight="1" spans="2:2">
      <c r="B5158" s="62" t="str">
        <f>IF(AND('领用录入（明细）'!D:D=$F$4,'领用录入（明细）'!C:C&gt;=$J$4,'领用录入（明细）'!C:C&lt;=$L$4),ROW(),"-")</f>
        <v>-</v>
      </c>
    </row>
    <row r="5159" customHeight="1" spans="2:2">
      <c r="B5159" s="62" t="str">
        <f>IF(AND('领用录入（明细）'!D:D=$F$4,'领用录入（明细）'!C:C&gt;=$J$4,'领用录入（明细）'!C:C&lt;=$L$4),ROW(),"-")</f>
        <v>-</v>
      </c>
    </row>
    <row r="5160" customHeight="1" spans="2:2">
      <c r="B5160" s="62" t="str">
        <f>IF(AND('领用录入（明细）'!D:D=$F$4,'领用录入（明细）'!C:C&gt;=$J$4,'领用录入（明细）'!C:C&lt;=$L$4),ROW(),"-")</f>
        <v>-</v>
      </c>
    </row>
    <row r="5161" customHeight="1" spans="2:2">
      <c r="B5161" s="62" t="str">
        <f>IF(AND('领用录入（明细）'!D:D=$F$4,'领用录入（明细）'!C:C&gt;=$J$4,'领用录入（明细）'!C:C&lt;=$L$4),ROW(),"-")</f>
        <v>-</v>
      </c>
    </row>
    <row r="5162" customHeight="1" spans="2:2">
      <c r="B5162" s="62" t="str">
        <f>IF(AND('领用录入（明细）'!D:D=$F$4,'领用录入（明细）'!C:C&gt;=$J$4,'领用录入（明细）'!C:C&lt;=$L$4),ROW(),"-")</f>
        <v>-</v>
      </c>
    </row>
    <row r="5163" customHeight="1" spans="2:2">
      <c r="B5163" s="62" t="str">
        <f>IF(AND('领用录入（明细）'!D:D=$F$4,'领用录入（明细）'!C:C&gt;=$J$4,'领用录入（明细）'!C:C&lt;=$L$4),ROW(),"-")</f>
        <v>-</v>
      </c>
    </row>
    <row r="5164" customHeight="1" spans="2:2">
      <c r="B5164" s="62" t="str">
        <f>IF(AND('领用录入（明细）'!D:D=$F$4,'领用录入（明细）'!C:C&gt;=$J$4,'领用录入（明细）'!C:C&lt;=$L$4),ROW(),"-")</f>
        <v>-</v>
      </c>
    </row>
    <row r="5165" customHeight="1" spans="2:2">
      <c r="B5165" s="62" t="str">
        <f>IF(AND('领用录入（明细）'!D:D=$F$4,'领用录入（明细）'!C:C&gt;=$J$4,'领用录入（明细）'!C:C&lt;=$L$4),ROW(),"-")</f>
        <v>-</v>
      </c>
    </row>
    <row r="5166" customHeight="1" spans="2:2">
      <c r="B5166" s="62" t="str">
        <f>IF(AND('领用录入（明细）'!D:D=$F$4,'领用录入（明细）'!C:C&gt;=$J$4,'领用录入（明细）'!C:C&lt;=$L$4),ROW(),"-")</f>
        <v>-</v>
      </c>
    </row>
    <row r="5167" customHeight="1" spans="2:2">
      <c r="B5167" s="62" t="str">
        <f>IF(AND('领用录入（明细）'!D:D=$F$4,'领用录入（明细）'!C:C&gt;=$J$4,'领用录入（明细）'!C:C&lt;=$L$4),ROW(),"-")</f>
        <v>-</v>
      </c>
    </row>
    <row r="5168" customHeight="1" spans="2:2">
      <c r="B5168" s="62" t="str">
        <f>IF(AND('领用录入（明细）'!D:D=$F$4,'领用录入（明细）'!C:C&gt;=$J$4,'领用录入（明细）'!C:C&lt;=$L$4),ROW(),"-")</f>
        <v>-</v>
      </c>
    </row>
    <row r="5169" customHeight="1" spans="2:2">
      <c r="B5169" s="62" t="str">
        <f>IF(AND('领用录入（明细）'!D:D=$F$4,'领用录入（明细）'!C:C&gt;=$J$4,'领用录入（明细）'!C:C&lt;=$L$4),ROW(),"-")</f>
        <v>-</v>
      </c>
    </row>
    <row r="5170" customHeight="1" spans="2:2">
      <c r="B5170" s="62" t="str">
        <f>IF(AND('领用录入（明细）'!D:D=$F$4,'领用录入（明细）'!C:C&gt;=$J$4,'领用录入（明细）'!C:C&lt;=$L$4),ROW(),"-")</f>
        <v>-</v>
      </c>
    </row>
    <row r="5171" customHeight="1" spans="2:2">
      <c r="B5171" s="62" t="str">
        <f>IF(AND('领用录入（明细）'!D:D=$F$4,'领用录入（明细）'!C:C&gt;=$J$4,'领用录入（明细）'!C:C&lt;=$L$4),ROW(),"-")</f>
        <v>-</v>
      </c>
    </row>
    <row r="5172" customHeight="1" spans="2:2">
      <c r="B5172" s="62" t="str">
        <f>IF(AND('领用录入（明细）'!D:D=$F$4,'领用录入（明细）'!C:C&gt;=$J$4,'领用录入（明细）'!C:C&lt;=$L$4),ROW(),"-")</f>
        <v>-</v>
      </c>
    </row>
    <row r="5173" customHeight="1" spans="2:2">
      <c r="B5173" s="62" t="str">
        <f>IF(AND('领用录入（明细）'!D:D=$F$4,'领用录入（明细）'!C:C&gt;=$J$4,'领用录入（明细）'!C:C&lt;=$L$4),ROW(),"-")</f>
        <v>-</v>
      </c>
    </row>
    <row r="5174" customHeight="1" spans="2:2">
      <c r="B5174" s="62" t="str">
        <f>IF(AND('领用录入（明细）'!D:D=$F$4,'领用录入（明细）'!C:C&gt;=$J$4,'领用录入（明细）'!C:C&lt;=$L$4),ROW(),"-")</f>
        <v>-</v>
      </c>
    </row>
    <row r="5175" customHeight="1" spans="2:2">
      <c r="B5175" s="62" t="str">
        <f>IF(AND('领用录入（明细）'!D:D=$F$4,'领用录入（明细）'!C:C&gt;=$J$4,'领用录入（明细）'!C:C&lt;=$L$4),ROW(),"-")</f>
        <v>-</v>
      </c>
    </row>
    <row r="5176" customHeight="1" spans="2:2">
      <c r="B5176" s="62" t="str">
        <f>IF(AND('领用录入（明细）'!D:D=$F$4,'领用录入（明细）'!C:C&gt;=$J$4,'领用录入（明细）'!C:C&lt;=$L$4),ROW(),"-")</f>
        <v>-</v>
      </c>
    </row>
    <row r="5177" customHeight="1" spans="2:2">
      <c r="B5177" s="62" t="str">
        <f>IF(AND('领用录入（明细）'!D:D=$F$4,'领用录入（明细）'!C:C&gt;=$J$4,'领用录入（明细）'!C:C&lt;=$L$4),ROW(),"-")</f>
        <v>-</v>
      </c>
    </row>
    <row r="5178" customHeight="1" spans="2:2">
      <c r="B5178" s="62" t="str">
        <f>IF(AND('领用录入（明细）'!D:D=$F$4,'领用录入（明细）'!C:C&gt;=$J$4,'领用录入（明细）'!C:C&lt;=$L$4),ROW(),"-")</f>
        <v>-</v>
      </c>
    </row>
    <row r="5179" customHeight="1" spans="2:2">
      <c r="B5179" s="62" t="str">
        <f>IF(AND('领用录入（明细）'!D:D=$F$4,'领用录入（明细）'!C:C&gt;=$J$4,'领用录入（明细）'!C:C&lt;=$L$4),ROW(),"-")</f>
        <v>-</v>
      </c>
    </row>
    <row r="5180" customHeight="1" spans="2:2">
      <c r="B5180" s="62" t="str">
        <f>IF(AND('领用录入（明细）'!D:D=$F$4,'领用录入（明细）'!C:C&gt;=$J$4,'领用录入（明细）'!C:C&lt;=$L$4),ROW(),"-")</f>
        <v>-</v>
      </c>
    </row>
    <row r="5181" customHeight="1" spans="2:2">
      <c r="B5181" s="62" t="str">
        <f>IF(AND('领用录入（明细）'!D:D=$F$4,'领用录入（明细）'!C:C&gt;=$J$4,'领用录入（明细）'!C:C&lt;=$L$4),ROW(),"-")</f>
        <v>-</v>
      </c>
    </row>
    <row r="5182" customHeight="1" spans="2:2">
      <c r="B5182" s="62" t="str">
        <f>IF(AND('领用录入（明细）'!D:D=$F$4,'领用录入（明细）'!C:C&gt;=$J$4,'领用录入（明细）'!C:C&lt;=$L$4),ROW(),"-")</f>
        <v>-</v>
      </c>
    </row>
    <row r="5183" customHeight="1" spans="2:2">
      <c r="B5183" s="62" t="str">
        <f>IF(AND('领用录入（明细）'!D:D=$F$4,'领用录入（明细）'!C:C&gt;=$J$4,'领用录入（明细）'!C:C&lt;=$L$4),ROW(),"-")</f>
        <v>-</v>
      </c>
    </row>
    <row r="5184" customHeight="1" spans="2:2">
      <c r="B5184" s="62" t="str">
        <f>IF(AND('领用录入（明细）'!D:D=$F$4,'领用录入（明细）'!C:C&gt;=$J$4,'领用录入（明细）'!C:C&lt;=$L$4),ROW(),"-")</f>
        <v>-</v>
      </c>
    </row>
    <row r="5185" customHeight="1" spans="2:2">
      <c r="B5185" s="62" t="str">
        <f>IF(AND('领用录入（明细）'!D:D=$F$4,'领用录入（明细）'!C:C&gt;=$J$4,'领用录入（明细）'!C:C&lt;=$L$4),ROW(),"-")</f>
        <v>-</v>
      </c>
    </row>
    <row r="5186" customHeight="1" spans="2:2">
      <c r="B5186" s="62" t="str">
        <f>IF(AND('领用录入（明细）'!D:D=$F$4,'领用录入（明细）'!C:C&gt;=$J$4,'领用录入（明细）'!C:C&lt;=$L$4),ROW(),"-")</f>
        <v>-</v>
      </c>
    </row>
    <row r="5187" customHeight="1" spans="2:2">
      <c r="B5187" s="62" t="str">
        <f>IF(AND('领用录入（明细）'!D:D=$F$4,'领用录入（明细）'!C:C&gt;=$J$4,'领用录入（明细）'!C:C&lt;=$L$4),ROW(),"-")</f>
        <v>-</v>
      </c>
    </row>
    <row r="5188" customHeight="1" spans="2:2">
      <c r="B5188" s="62" t="str">
        <f>IF(AND('领用录入（明细）'!D:D=$F$4,'领用录入（明细）'!C:C&gt;=$J$4,'领用录入（明细）'!C:C&lt;=$L$4),ROW(),"-")</f>
        <v>-</v>
      </c>
    </row>
    <row r="5189" customHeight="1" spans="2:2">
      <c r="B5189" s="62" t="str">
        <f>IF(AND('领用录入（明细）'!D:D=$F$4,'领用录入（明细）'!C:C&gt;=$J$4,'领用录入（明细）'!C:C&lt;=$L$4),ROW(),"-")</f>
        <v>-</v>
      </c>
    </row>
    <row r="5190" customHeight="1" spans="2:2">
      <c r="B5190" s="62" t="str">
        <f>IF(AND('领用录入（明细）'!D:D=$F$4,'领用录入（明细）'!C:C&gt;=$J$4,'领用录入（明细）'!C:C&lt;=$L$4),ROW(),"-")</f>
        <v>-</v>
      </c>
    </row>
    <row r="5191" customHeight="1" spans="2:2">
      <c r="B5191" s="62" t="str">
        <f>IF(AND('领用录入（明细）'!D:D=$F$4,'领用录入（明细）'!C:C&gt;=$J$4,'领用录入（明细）'!C:C&lt;=$L$4),ROW(),"-")</f>
        <v>-</v>
      </c>
    </row>
    <row r="5192" customHeight="1" spans="2:2">
      <c r="B5192" s="62" t="str">
        <f>IF(AND('领用录入（明细）'!D:D=$F$4,'领用录入（明细）'!C:C&gt;=$J$4,'领用录入（明细）'!C:C&lt;=$L$4),ROW(),"-")</f>
        <v>-</v>
      </c>
    </row>
    <row r="5193" customHeight="1" spans="2:2">
      <c r="B5193" s="62" t="str">
        <f>IF(AND('领用录入（明细）'!D:D=$F$4,'领用录入（明细）'!C:C&gt;=$J$4,'领用录入（明细）'!C:C&lt;=$L$4),ROW(),"-")</f>
        <v>-</v>
      </c>
    </row>
    <row r="5194" customHeight="1" spans="2:2">
      <c r="B5194" s="62" t="str">
        <f>IF(AND('领用录入（明细）'!D:D=$F$4,'领用录入（明细）'!C:C&gt;=$J$4,'领用录入（明细）'!C:C&lt;=$L$4),ROW(),"-")</f>
        <v>-</v>
      </c>
    </row>
    <row r="5195" customHeight="1" spans="2:2">
      <c r="B5195" s="62" t="str">
        <f>IF(AND('领用录入（明细）'!D:D=$F$4,'领用录入（明细）'!C:C&gt;=$J$4,'领用录入（明细）'!C:C&lt;=$L$4),ROW(),"-")</f>
        <v>-</v>
      </c>
    </row>
    <row r="5196" customHeight="1" spans="2:2">
      <c r="B5196" s="62" t="str">
        <f>IF(AND('领用录入（明细）'!D:D=$F$4,'领用录入（明细）'!C:C&gt;=$J$4,'领用录入（明细）'!C:C&lt;=$L$4),ROW(),"-")</f>
        <v>-</v>
      </c>
    </row>
    <row r="5197" customHeight="1" spans="2:2">
      <c r="B5197" s="62" t="str">
        <f>IF(AND('领用录入（明细）'!D:D=$F$4,'领用录入（明细）'!C:C&gt;=$J$4,'领用录入（明细）'!C:C&lt;=$L$4),ROW(),"-")</f>
        <v>-</v>
      </c>
    </row>
    <row r="5198" customHeight="1" spans="2:2">
      <c r="B5198" s="62" t="str">
        <f>IF(AND('领用录入（明细）'!D:D=$F$4,'领用录入（明细）'!C:C&gt;=$J$4,'领用录入（明细）'!C:C&lt;=$L$4),ROW(),"-")</f>
        <v>-</v>
      </c>
    </row>
    <row r="5199" customHeight="1" spans="2:2">
      <c r="B5199" s="62" t="str">
        <f>IF(AND('领用录入（明细）'!D:D=$F$4,'领用录入（明细）'!C:C&gt;=$J$4,'领用录入（明细）'!C:C&lt;=$L$4),ROW(),"-")</f>
        <v>-</v>
      </c>
    </row>
    <row r="5200" customHeight="1" spans="2:2">
      <c r="B5200" s="62" t="str">
        <f>IF(AND('领用录入（明细）'!D:D=$F$4,'领用录入（明细）'!C:C&gt;=$J$4,'领用录入（明细）'!C:C&lt;=$L$4),ROW(),"-")</f>
        <v>-</v>
      </c>
    </row>
    <row r="5201" customHeight="1" spans="2:2">
      <c r="B5201" s="62" t="str">
        <f>IF(AND('领用录入（明细）'!D:D=$F$4,'领用录入（明细）'!C:C&gt;=$J$4,'领用录入（明细）'!C:C&lt;=$L$4),ROW(),"-")</f>
        <v>-</v>
      </c>
    </row>
    <row r="5202" customHeight="1" spans="2:2">
      <c r="B5202" s="62" t="str">
        <f>IF(AND('领用录入（明细）'!D:D=$F$4,'领用录入（明细）'!C:C&gt;=$J$4,'领用录入（明细）'!C:C&lt;=$L$4),ROW(),"-")</f>
        <v>-</v>
      </c>
    </row>
    <row r="5203" customHeight="1" spans="2:2">
      <c r="B5203" s="62" t="str">
        <f>IF(AND('领用录入（明细）'!D:D=$F$4,'领用录入（明细）'!C:C&gt;=$J$4,'领用录入（明细）'!C:C&lt;=$L$4),ROW(),"-")</f>
        <v>-</v>
      </c>
    </row>
    <row r="5204" customHeight="1" spans="2:2">
      <c r="B5204" s="62" t="str">
        <f>IF(AND('领用录入（明细）'!D:D=$F$4,'领用录入（明细）'!C:C&gt;=$J$4,'领用录入（明细）'!C:C&lt;=$L$4),ROW(),"-")</f>
        <v>-</v>
      </c>
    </row>
    <row r="5205" customHeight="1" spans="2:2">
      <c r="B5205" s="62" t="str">
        <f>IF(AND('领用录入（明细）'!D:D=$F$4,'领用录入（明细）'!C:C&gt;=$J$4,'领用录入（明细）'!C:C&lt;=$L$4),ROW(),"-")</f>
        <v>-</v>
      </c>
    </row>
    <row r="5206" customHeight="1" spans="2:2">
      <c r="B5206" s="62" t="str">
        <f>IF(AND('领用录入（明细）'!D:D=$F$4,'领用录入（明细）'!C:C&gt;=$J$4,'领用录入（明细）'!C:C&lt;=$L$4),ROW(),"-")</f>
        <v>-</v>
      </c>
    </row>
    <row r="5207" customHeight="1" spans="2:2">
      <c r="B5207" s="62" t="str">
        <f>IF(AND('领用录入（明细）'!D:D=$F$4,'领用录入（明细）'!C:C&gt;=$J$4,'领用录入（明细）'!C:C&lt;=$L$4),ROW(),"-")</f>
        <v>-</v>
      </c>
    </row>
    <row r="5208" customHeight="1" spans="2:2">
      <c r="B5208" s="62" t="str">
        <f>IF(AND('领用录入（明细）'!D:D=$F$4,'领用录入（明细）'!C:C&gt;=$J$4,'领用录入（明细）'!C:C&lt;=$L$4),ROW(),"-")</f>
        <v>-</v>
      </c>
    </row>
    <row r="5209" customHeight="1" spans="2:2">
      <c r="B5209" s="62" t="str">
        <f>IF(AND('领用录入（明细）'!D:D=$F$4,'领用录入（明细）'!C:C&gt;=$J$4,'领用录入（明细）'!C:C&lt;=$L$4),ROW(),"-")</f>
        <v>-</v>
      </c>
    </row>
    <row r="5210" customHeight="1" spans="2:2">
      <c r="B5210" s="62" t="str">
        <f>IF(AND('领用录入（明细）'!D:D=$F$4,'领用录入（明细）'!C:C&gt;=$J$4,'领用录入（明细）'!C:C&lt;=$L$4),ROW(),"-")</f>
        <v>-</v>
      </c>
    </row>
    <row r="5211" customHeight="1" spans="2:2">
      <c r="B5211" s="62" t="str">
        <f>IF(AND('领用录入（明细）'!D:D=$F$4,'领用录入（明细）'!C:C&gt;=$J$4,'领用录入（明细）'!C:C&lt;=$L$4),ROW(),"-")</f>
        <v>-</v>
      </c>
    </row>
    <row r="5212" customHeight="1" spans="2:2">
      <c r="B5212" s="62" t="str">
        <f>IF(AND('领用录入（明细）'!D:D=$F$4,'领用录入（明细）'!C:C&gt;=$J$4,'领用录入（明细）'!C:C&lt;=$L$4),ROW(),"-")</f>
        <v>-</v>
      </c>
    </row>
    <row r="5213" customHeight="1" spans="2:2">
      <c r="B5213" s="62" t="str">
        <f>IF(AND('领用录入（明细）'!D:D=$F$4,'领用录入（明细）'!C:C&gt;=$J$4,'领用录入（明细）'!C:C&lt;=$L$4),ROW(),"-")</f>
        <v>-</v>
      </c>
    </row>
    <row r="5214" customHeight="1" spans="2:2">
      <c r="B5214" s="62" t="str">
        <f>IF(AND('领用录入（明细）'!D:D=$F$4,'领用录入（明细）'!C:C&gt;=$J$4,'领用录入（明细）'!C:C&lt;=$L$4),ROW(),"-")</f>
        <v>-</v>
      </c>
    </row>
    <row r="5215" customHeight="1" spans="2:2">
      <c r="B5215" s="62" t="str">
        <f>IF(AND('领用录入（明细）'!D:D=$F$4,'领用录入（明细）'!C:C&gt;=$J$4,'领用录入（明细）'!C:C&lt;=$L$4),ROW(),"-")</f>
        <v>-</v>
      </c>
    </row>
    <row r="5216" customHeight="1" spans="2:2">
      <c r="B5216" s="62" t="str">
        <f>IF(AND('领用录入（明细）'!D:D=$F$4,'领用录入（明细）'!C:C&gt;=$J$4,'领用录入（明细）'!C:C&lt;=$L$4),ROW(),"-")</f>
        <v>-</v>
      </c>
    </row>
    <row r="5217" customHeight="1" spans="2:2">
      <c r="B5217" s="62" t="str">
        <f>IF(AND('领用录入（明细）'!D:D=$F$4,'领用录入（明细）'!C:C&gt;=$J$4,'领用录入（明细）'!C:C&lt;=$L$4),ROW(),"-")</f>
        <v>-</v>
      </c>
    </row>
    <row r="5218" customHeight="1" spans="2:2">
      <c r="B5218" s="62" t="str">
        <f>IF(AND('领用录入（明细）'!D:D=$F$4,'领用录入（明细）'!C:C&gt;=$J$4,'领用录入（明细）'!C:C&lt;=$L$4),ROW(),"-")</f>
        <v>-</v>
      </c>
    </row>
    <row r="5219" customHeight="1" spans="2:2">
      <c r="B5219" s="62" t="str">
        <f>IF(AND('领用录入（明细）'!D:D=$F$4,'领用录入（明细）'!C:C&gt;=$J$4,'领用录入（明细）'!C:C&lt;=$L$4),ROW(),"-")</f>
        <v>-</v>
      </c>
    </row>
    <row r="5220" customHeight="1" spans="2:2">
      <c r="B5220" s="62" t="str">
        <f>IF(AND('领用录入（明细）'!D:D=$F$4,'领用录入（明细）'!C:C&gt;=$J$4,'领用录入（明细）'!C:C&lt;=$L$4),ROW(),"-")</f>
        <v>-</v>
      </c>
    </row>
    <row r="5221" customHeight="1" spans="2:2">
      <c r="B5221" s="62" t="str">
        <f>IF(AND('领用录入（明细）'!D:D=$F$4,'领用录入（明细）'!C:C&gt;=$J$4,'领用录入（明细）'!C:C&lt;=$L$4),ROW(),"-")</f>
        <v>-</v>
      </c>
    </row>
    <row r="5222" customHeight="1" spans="2:2">
      <c r="B5222" s="62" t="str">
        <f>IF(AND('领用录入（明细）'!D:D=$F$4,'领用录入（明细）'!C:C&gt;=$J$4,'领用录入（明细）'!C:C&lt;=$L$4),ROW(),"-")</f>
        <v>-</v>
      </c>
    </row>
    <row r="5223" customHeight="1" spans="2:2">
      <c r="B5223" s="62" t="str">
        <f>IF(AND('领用录入（明细）'!D:D=$F$4,'领用录入（明细）'!C:C&gt;=$J$4,'领用录入（明细）'!C:C&lt;=$L$4),ROW(),"-")</f>
        <v>-</v>
      </c>
    </row>
    <row r="5224" customHeight="1" spans="2:2">
      <c r="B5224" s="62" t="str">
        <f>IF(AND('领用录入（明细）'!D:D=$F$4,'领用录入（明细）'!C:C&gt;=$J$4,'领用录入（明细）'!C:C&lt;=$L$4),ROW(),"-")</f>
        <v>-</v>
      </c>
    </row>
    <row r="5225" customHeight="1" spans="2:2">
      <c r="B5225" s="62" t="str">
        <f>IF(AND('领用录入（明细）'!D:D=$F$4,'领用录入（明细）'!C:C&gt;=$J$4,'领用录入（明细）'!C:C&lt;=$L$4),ROW(),"-")</f>
        <v>-</v>
      </c>
    </row>
    <row r="5226" customHeight="1" spans="2:2">
      <c r="B5226" s="62" t="str">
        <f>IF(AND('领用录入（明细）'!D:D=$F$4,'领用录入（明细）'!C:C&gt;=$J$4,'领用录入（明细）'!C:C&lt;=$L$4),ROW(),"-")</f>
        <v>-</v>
      </c>
    </row>
    <row r="5227" customHeight="1" spans="2:2">
      <c r="B5227" s="62" t="str">
        <f>IF(AND('领用录入（明细）'!D:D=$F$4,'领用录入（明细）'!C:C&gt;=$J$4,'领用录入（明细）'!C:C&lt;=$L$4),ROW(),"-")</f>
        <v>-</v>
      </c>
    </row>
    <row r="5228" customHeight="1" spans="2:2">
      <c r="B5228" s="62" t="str">
        <f>IF(AND('领用录入（明细）'!D:D=$F$4,'领用录入（明细）'!C:C&gt;=$J$4,'领用录入（明细）'!C:C&lt;=$L$4),ROW(),"-")</f>
        <v>-</v>
      </c>
    </row>
    <row r="5229" customHeight="1" spans="2:2">
      <c r="B5229" s="62" t="str">
        <f>IF(AND('领用录入（明细）'!D:D=$F$4,'领用录入（明细）'!C:C&gt;=$J$4,'领用录入（明细）'!C:C&lt;=$L$4),ROW(),"-")</f>
        <v>-</v>
      </c>
    </row>
    <row r="5230" customHeight="1" spans="2:2">
      <c r="B5230" s="62" t="str">
        <f>IF(AND('领用录入（明细）'!D:D=$F$4,'领用录入（明细）'!C:C&gt;=$J$4,'领用录入（明细）'!C:C&lt;=$L$4),ROW(),"-")</f>
        <v>-</v>
      </c>
    </row>
    <row r="5231" customHeight="1" spans="2:2">
      <c r="B5231" s="62" t="str">
        <f>IF(AND('领用录入（明细）'!D:D=$F$4,'领用录入（明细）'!C:C&gt;=$J$4,'领用录入（明细）'!C:C&lt;=$L$4),ROW(),"-")</f>
        <v>-</v>
      </c>
    </row>
    <row r="5232" customHeight="1" spans="2:2">
      <c r="B5232" s="62" t="str">
        <f>IF(AND('领用录入（明细）'!D:D=$F$4,'领用录入（明细）'!C:C&gt;=$J$4,'领用录入（明细）'!C:C&lt;=$L$4),ROW(),"-")</f>
        <v>-</v>
      </c>
    </row>
    <row r="5233" customHeight="1" spans="2:2">
      <c r="B5233" s="62" t="str">
        <f>IF(AND('领用录入（明细）'!D:D=$F$4,'领用录入（明细）'!C:C&gt;=$J$4,'领用录入（明细）'!C:C&lt;=$L$4),ROW(),"-")</f>
        <v>-</v>
      </c>
    </row>
    <row r="5234" customHeight="1" spans="2:2">
      <c r="B5234" s="62" t="str">
        <f>IF(AND('领用录入（明细）'!D:D=$F$4,'领用录入（明细）'!C:C&gt;=$J$4,'领用录入（明细）'!C:C&lt;=$L$4),ROW(),"-")</f>
        <v>-</v>
      </c>
    </row>
    <row r="5235" customHeight="1" spans="2:2">
      <c r="B5235" s="62" t="str">
        <f>IF(AND('领用录入（明细）'!D:D=$F$4,'领用录入（明细）'!C:C&gt;=$J$4,'领用录入（明细）'!C:C&lt;=$L$4),ROW(),"-")</f>
        <v>-</v>
      </c>
    </row>
    <row r="5236" customHeight="1" spans="2:2">
      <c r="B5236" s="62" t="str">
        <f>IF(AND('领用录入（明细）'!D:D=$F$4,'领用录入（明细）'!C:C&gt;=$J$4,'领用录入（明细）'!C:C&lt;=$L$4),ROW(),"-")</f>
        <v>-</v>
      </c>
    </row>
    <row r="5237" customHeight="1" spans="2:2">
      <c r="B5237" s="62" t="str">
        <f>IF(AND('领用录入（明细）'!D:D=$F$4,'领用录入（明细）'!C:C&gt;=$J$4,'领用录入（明细）'!C:C&lt;=$L$4),ROW(),"-")</f>
        <v>-</v>
      </c>
    </row>
    <row r="5238" customHeight="1" spans="2:2">
      <c r="B5238" s="62" t="str">
        <f>IF(AND('领用录入（明细）'!D:D=$F$4,'领用录入（明细）'!C:C&gt;=$J$4,'领用录入（明细）'!C:C&lt;=$L$4),ROW(),"-")</f>
        <v>-</v>
      </c>
    </row>
    <row r="5239" customHeight="1" spans="2:2">
      <c r="B5239" s="62" t="str">
        <f>IF(AND('领用录入（明细）'!D:D=$F$4,'领用录入（明细）'!C:C&gt;=$J$4,'领用录入（明细）'!C:C&lt;=$L$4),ROW(),"-")</f>
        <v>-</v>
      </c>
    </row>
    <row r="5240" customHeight="1" spans="2:2">
      <c r="B5240" s="62" t="str">
        <f>IF(AND('领用录入（明细）'!D:D=$F$4,'领用录入（明细）'!C:C&gt;=$J$4,'领用录入（明细）'!C:C&lt;=$L$4),ROW(),"-")</f>
        <v>-</v>
      </c>
    </row>
    <row r="5241" customHeight="1" spans="2:2">
      <c r="B5241" s="62" t="str">
        <f>IF(AND('领用录入（明细）'!D:D=$F$4,'领用录入（明细）'!C:C&gt;=$J$4,'领用录入（明细）'!C:C&lt;=$L$4),ROW(),"-")</f>
        <v>-</v>
      </c>
    </row>
    <row r="5242" customHeight="1" spans="2:2">
      <c r="B5242" s="62" t="str">
        <f>IF(AND('领用录入（明细）'!D:D=$F$4,'领用录入（明细）'!C:C&gt;=$J$4,'领用录入（明细）'!C:C&lt;=$L$4),ROW(),"-")</f>
        <v>-</v>
      </c>
    </row>
    <row r="5243" customHeight="1" spans="2:2">
      <c r="B5243" s="62" t="str">
        <f>IF(AND('领用录入（明细）'!D:D=$F$4,'领用录入（明细）'!C:C&gt;=$J$4,'领用录入（明细）'!C:C&lt;=$L$4),ROW(),"-")</f>
        <v>-</v>
      </c>
    </row>
    <row r="5244" customHeight="1" spans="2:2">
      <c r="B5244" s="62" t="str">
        <f>IF(AND('领用录入（明细）'!D:D=$F$4,'领用录入（明细）'!C:C&gt;=$J$4,'领用录入（明细）'!C:C&lt;=$L$4),ROW(),"-")</f>
        <v>-</v>
      </c>
    </row>
    <row r="5245" customHeight="1" spans="2:2">
      <c r="B5245" s="62" t="str">
        <f>IF(AND('领用录入（明细）'!D:D=$F$4,'领用录入（明细）'!C:C&gt;=$J$4,'领用录入（明细）'!C:C&lt;=$L$4),ROW(),"-")</f>
        <v>-</v>
      </c>
    </row>
    <row r="5246" customHeight="1" spans="2:2">
      <c r="B5246" s="62" t="str">
        <f>IF(AND('领用录入（明细）'!D:D=$F$4,'领用录入（明细）'!C:C&gt;=$J$4,'领用录入（明细）'!C:C&lt;=$L$4),ROW(),"-")</f>
        <v>-</v>
      </c>
    </row>
    <row r="5247" customHeight="1" spans="2:2">
      <c r="B5247" s="62" t="str">
        <f>IF(AND('领用录入（明细）'!D:D=$F$4,'领用录入（明细）'!C:C&gt;=$J$4,'领用录入（明细）'!C:C&lt;=$L$4),ROW(),"-")</f>
        <v>-</v>
      </c>
    </row>
    <row r="5248" customHeight="1" spans="2:2">
      <c r="B5248" s="62" t="str">
        <f>IF(AND('领用录入（明细）'!D:D=$F$4,'领用录入（明细）'!C:C&gt;=$J$4,'领用录入（明细）'!C:C&lt;=$L$4),ROW(),"-")</f>
        <v>-</v>
      </c>
    </row>
    <row r="5249" customHeight="1" spans="2:2">
      <c r="B5249" s="62" t="str">
        <f>IF(AND('领用录入（明细）'!D:D=$F$4,'领用录入（明细）'!C:C&gt;=$J$4,'领用录入（明细）'!C:C&lt;=$L$4),ROW(),"-")</f>
        <v>-</v>
      </c>
    </row>
    <row r="5250" customHeight="1" spans="2:2">
      <c r="B5250" s="62" t="str">
        <f>IF(AND('领用录入（明细）'!D:D=$F$4,'领用录入（明细）'!C:C&gt;=$J$4,'领用录入（明细）'!C:C&lt;=$L$4),ROW(),"-")</f>
        <v>-</v>
      </c>
    </row>
    <row r="5251" customHeight="1" spans="2:2">
      <c r="B5251" s="62" t="str">
        <f>IF(AND('领用录入（明细）'!D:D=$F$4,'领用录入（明细）'!C:C&gt;=$J$4,'领用录入（明细）'!C:C&lt;=$L$4),ROW(),"-")</f>
        <v>-</v>
      </c>
    </row>
    <row r="5252" customHeight="1" spans="2:2">
      <c r="B5252" s="62" t="str">
        <f>IF(AND('领用录入（明细）'!D:D=$F$4,'领用录入（明细）'!C:C&gt;=$J$4,'领用录入（明细）'!C:C&lt;=$L$4),ROW(),"-")</f>
        <v>-</v>
      </c>
    </row>
    <row r="5253" customHeight="1" spans="2:2">
      <c r="B5253" s="62" t="str">
        <f>IF(AND('领用录入（明细）'!D:D=$F$4,'领用录入（明细）'!C:C&gt;=$J$4,'领用录入（明细）'!C:C&lt;=$L$4),ROW(),"-")</f>
        <v>-</v>
      </c>
    </row>
    <row r="5254" customHeight="1" spans="2:2">
      <c r="B5254" s="62" t="str">
        <f>IF(AND('领用录入（明细）'!D:D=$F$4,'领用录入（明细）'!C:C&gt;=$J$4,'领用录入（明细）'!C:C&lt;=$L$4),ROW(),"-")</f>
        <v>-</v>
      </c>
    </row>
    <row r="5255" customHeight="1" spans="2:2">
      <c r="B5255" s="62" t="str">
        <f>IF(AND('领用录入（明细）'!D:D=$F$4,'领用录入（明细）'!C:C&gt;=$J$4,'领用录入（明细）'!C:C&lt;=$L$4),ROW(),"-")</f>
        <v>-</v>
      </c>
    </row>
    <row r="5256" customHeight="1" spans="2:2">
      <c r="B5256" s="62" t="str">
        <f>IF(AND('领用录入（明细）'!D:D=$F$4,'领用录入（明细）'!C:C&gt;=$J$4,'领用录入（明细）'!C:C&lt;=$L$4),ROW(),"-")</f>
        <v>-</v>
      </c>
    </row>
    <row r="5257" customHeight="1" spans="2:2">
      <c r="B5257" s="62" t="str">
        <f>IF(AND('领用录入（明细）'!D:D=$F$4,'领用录入（明细）'!C:C&gt;=$J$4,'领用录入（明细）'!C:C&lt;=$L$4),ROW(),"-")</f>
        <v>-</v>
      </c>
    </row>
    <row r="5258" customHeight="1" spans="2:2">
      <c r="B5258" s="62" t="str">
        <f>IF(AND('领用录入（明细）'!D:D=$F$4,'领用录入（明细）'!C:C&gt;=$J$4,'领用录入（明细）'!C:C&lt;=$L$4),ROW(),"-")</f>
        <v>-</v>
      </c>
    </row>
    <row r="5259" customHeight="1" spans="2:2">
      <c r="B5259" s="62" t="str">
        <f>IF(AND('领用录入（明细）'!D:D=$F$4,'领用录入（明细）'!C:C&gt;=$J$4,'领用录入（明细）'!C:C&lt;=$L$4),ROW(),"-")</f>
        <v>-</v>
      </c>
    </row>
    <row r="5260" customHeight="1" spans="2:2">
      <c r="B5260" s="62" t="str">
        <f>IF(AND('领用录入（明细）'!D:D=$F$4,'领用录入（明细）'!C:C&gt;=$J$4,'领用录入（明细）'!C:C&lt;=$L$4),ROW(),"-")</f>
        <v>-</v>
      </c>
    </row>
    <row r="5261" customHeight="1" spans="2:2">
      <c r="B5261" s="62" t="str">
        <f>IF(AND('领用录入（明细）'!D:D=$F$4,'领用录入（明细）'!C:C&gt;=$J$4,'领用录入（明细）'!C:C&lt;=$L$4),ROW(),"-")</f>
        <v>-</v>
      </c>
    </row>
    <row r="5262" customHeight="1" spans="2:2">
      <c r="B5262" s="62" t="str">
        <f>IF(AND('领用录入（明细）'!D:D=$F$4,'领用录入（明细）'!C:C&gt;=$J$4,'领用录入（明细）'!C:C&lt;=$L$4),ROW(),"-")</f>
        <v>-</v>
      </c>
    </row>
    <row r="5263" customHeight="1" spans="2:2">
      <c r="B5263" s="62" t="str">
        <f>IF(AND('领用录入（明细）'!D:D=$F$4,'领用录入（明细）'!C:C&gt;=$J$4,'领用录入（明细）'!C:C&lt;=$L$4),ROW(),"-")</f>
        <v>-</v>
      </c>
    </row>
    <row r="5264" customHeight="1" spans="2:2">
      <c r="B5264" s="62" t="str">
        <f>IF(AND('领用录入（明细）'!D:D=$F$4,'领用录入（明细）'!C:C&gt;=$J$4,'领用录入（明细）'!C:C&lt;=$L$4),ROW(),"-")</f>
        <v>-</v>
      </c>
    </row>
    <row r="5265" customHeight="1" spans="2:2">
      <c r="B5265" s="62" t="str">
        <f>IF(AND('领用录入（明细）'!D:D=$F$4,'领用录入（明细）'!C:C&gt;=$J$4,'领用录入（明细）'!C:C&lt;=$L$4),ROW(),"-")</f>
        <v>-</v>
      </c>
    </row>
    <row r="5266" customHeight="1" spans="2:2">
      <c r="B5266" s="62" t="str">
        <f>IF(AND('领用录入（明细）'!D:D=$F$4,'领用录入（明细）'!C:C&gt;=$J$4,'领用录入（明细）'!C:C&lt;=$L$4),ROW(),"-")</f>
        <v>-</v>
      </c>
    </row>
    <row r="5267" customHeight="1" spans="2:2">
      <c r="B5267" s="62" t="str">
        <f>IF(AND('领用录入（明细）'!D:D=$F$4,'领用录入（明细）'!C:C&gt;=$J$4,'领用录入（明细）'!C:C&lt;=$L$4),ROW(),"-")</f>
        <v>-</v>
      </c>
    </row>
    <row r="5268" customHeight="1" spans="2:2">
      <c r="B5268" s="62" t="str">
        <f>IF(AND('领用录入（明细）'!D:D=$F$4,'领用录入（明细）'!C:C&gt;=$J$4,'领用录入（明细）'!C:C&lt;=$L$4),ROW(),"-")</f>
        <v>-</v>
      </c>
    </row>
    <row r="5269" customHeight="1" spans="2:2">
      <c r="B5269" s="62" t="str">
        <f>IF(AND('领用录入（明细）'!D:D=$F$4,'领用录入（明细）'!C:C&gt;=$J$4,'领用录入（明细）'!C:C&lt;=$L$4),ROW(),"-")</f>
        <v>-</v>
      </c>
    </row>
    <row r="5270" customHeight="1" spans="2:2">
      <c r="B5270" s="62" t="str">
        <f>IF(AND('领用录入（明细）'!D:D=$F$4,'领用录入（明细）'!C:C&gt;=$J$4,'领用录入（明细）'!C:C&lt;=$L$4),ROW(),"-")</f>
        <v>-</v>
      </c>
    </row>
    <row r="5271" customHeight="1" spans="2:2">
      <c r="B5271" s="62" t="str">
        <f>IF(AND('领用录入（明细）'!D:D=$F$4,'领用录入（明细）'!C:C&gt;=$J$4,'领用录入（明细）'!C:C&lt;=$L$4),ROW(),"-")</f>
        <v>-</v>
      </c>
    </row>
    <row r="5272" customHeight="1" spans="2:2">
      <c r="B5272" s="62" t="str">
        <f>IF(AND('领用录入（明细）'!D:D=$F$4,'领用录入（明细）'!C:C&gt;=$J$4,'领用录入（明细）'!C:C&lt;=$L$4),ROW(),"-")</f>
        <v>-</v>
      </c>
    </row>
    <row r="5273" customHeight="1" spans="2:2">
      <c r="B5273" s="62" t="str">
        <f>IF(AND('领用录入（明细）'!D:D=$F$4,'领用录入（明细）'!C:C&gt;=$J$4,'领用录入（明细）'!C:C&lt;=$L$4),ROW(),"-")</f>
        <v>-</v>
      </c>
    </row>
    <row r="5274" customHeight="1" spans="2:2">
      <c r="B5274" s="62" t="str">
        <f>IF(AND('领用录入（明细）'!D:D=$F$4,'领用录入（明细）'!C:C&gt;=$J$4,'领用录入（明细）'!C:C&lt;=$L$4),ROW(),"-")</f>
        <v>-</v>
      </c>
    </row>
    <row r="5275" customHeight="1" spans="2:2">
      <c r="B5275" s="62" t="str">
        <f>IF(AND('领用录入（明细）'!D:D=$F$4,'领用录入（明细）'!C:C&gt;=$J$4,'领用录入（明细）'!C:C&lt;=$L$4),ROW(),"-")</f>
        <v>-</v>
      </c>
    </row>
    <row r="5276" customHeight="1" spans="2:2">
      <c r="B5276" s="62" t="str">
        <f>IF(AND('领用录入（明细）'!D:D=$F$4,'领用录入（明细）'!C:C&gt;=$J$4,'领用录入（明细）'!C:C&lt;=$L$4),ROW(),"-")</f>
        <v>-</v>
      </c>
    </row>
    <row r="5277" customHeight="1" spans="2:2">
      <c r="B5277" s="62" t="str">
        <f>IF(AND('领用录入（明细）'!D:D=$F$4,'领用录入（明细）'!C:C&gt;=$J$4,'领用录入（明细）'!C:C&lt;=$L$4),ROW(),"-")</f>
        <v>-</v>
      </c>
    </row>
    <row r="5278" customHeight="1" spans="2:2">
      <c r="B5278" s="62" t="str">
        <f>IF(AND('领用录入（明细）'!D:D=$F$4,'领用录入（明细）'!C:C&gt;=$J$4,'领用录入（明细）'!C:C&lt;=$L$4),ROW(),"-")</f>
        <v>-</v>
      </c>
    </row>
    <row r="5279" customHeight="1" spans="2:2">
      <c r="B5279" s="62" t="str">
        <f>IF(AND('领用录入（明细）'!D:D=$F$4,'领用录入（明细）'!C:C&gt;=$J$4,'领用录入（明细）'!C:C&lt;=$L$4),ROW(),"-")</f>
        <v>-</v>
      </c>
    </row>
    <row r="5280" customHeight="1" spans="2:2">
      <c r="B5280" s="62" t="str">
        <f>IF(AND('领用录入（明细）'!D:D=$F$4,'领用录入（明细）'!C:C&gt;=$J$4,'领用录入（明细）'!C:C&lt;=$L$4),ROW(),"-")</f>
        <v>-</v>
      </c>
    </row>
    <row r="5281" customHeight="1" spans="2:2">
      <c r="B5281" s="62" t="str">
        <f>IF(AND('领用录入（明细）'!D:D=$F$4,'领用录入（明细）'!C:C&gt;=$J$4,'领用录入（明细）'!C:C&lt;=$L$4),ROW(),"-")</f>
        <v>-</v>
      </c>
    </row>
    <row r="5282" customHeight="1" spans="2:2">
      <c r="B5282" s="62" t="str">
        <f>IF(AND('领用录入（明细）'!D:D=$F$4,'领用录入（明细）'!C:C&gt;=$J$4,'领用录入（明细）'!C:C&lt;=$L$4),ROW(),"-")</f>
        <v>-</v>
      </c>
    </row>
    <row r="5283" customHeight="1" spans="2:2">
      <c r="B5283" s="62" t="str">
        <f>IF(AND('领用录入（明细）'!D:D=$F$4,'领用录入（明细）'!C:C&gt;=$J$4,'领用录入（明细）'!C:C&lt;=$L$4),ROW(),"-")</f>
        <v>-</v>
      </c>
    </row>
    <row r="5284" customHeight="1" spans="2:2">
      <c r="B5284" s="62" t="str">
        <f>IF(AND('领用录入（明细）'!D:D=$F$4,'领用录入（明细）'!C:C&gt;=$J$4,'领用录入（明细）'!C:C&lt;=$L$4),ROW(),"-")</f>
        <v>-</v>
      </c>
    </row>
    <row r="5285" customHeight="1" spans="2:2">
      <c r="B5285" s="62" t="str">
        <f>IF(AND('领用录入（明细）'!D:D=$F$4,'领用录入（明细）'!C:C&gt;=$J$4,'领用录入（明细）'!C:C&lt;=$L$4),ROW(),"-")</f>
        <v>-</v>
      </c>
    </row>
    <row r="5286" customHeight="1" spans="2:2">
      <c r="B5286" s="62" t="str">
        <f>IF(AND('领用录入（明细）'!D:D=$F$4,'领用录入（明细）'!C:C&gt;=$J$4,'领用录入（明细）'!C:C&lt;=$L$4),ROW(),"-")</f>
        <v>-</v>
      </c>
    </row>
    <row r="5287" customHeight="1" spans="2:2">
      <c r="B5287" s="62" t="str">
        <f>IF(AND('领用录入（明细）'!D:D=$F$4,'领用录入（明细）'!C:C&gt;=$J$4,'领用录入（明细）'!C:C&lt;=$L$4),ROW(),"-")</f>
        <v>-</v>
      </c>
    </row>
    <row r="5288" customHeight="1" spans="2:2">
      <c r="B5288" s="62" t="str">
        <f>IF(AND('领用录入（明细）'!D:D=$F$4,'领用录入（明细）'!C:C&gt;=$J$4,'领用录入（明细）'!C:C&lt;=$L$4),ROW(),"-")</f>
        <v>-</v>
      </c>
    </row>
    <row r="5289" customHeight="1" spans="2:2">
      <c r="B5289" s="62" t="str">
        <f>IF(AND('领用录入（明细）'!D:D=$F$4,'领用录入（明细）'!C:C&gt;=$J$4,'领用录入（明细）'!C:C&lt;=$L$4),ROW(),"-")</f>
        <v>-</v>
      </c>
    </row>
    <row r="5290" customHeight="1" spans="2:2">
      <c r="B5290" s="62" t="str">
        <f>IF(AND('领用录入（明细）'!D:D=$F$4,'领用录入（明细）'!C:C&gt;=$J$4,'领用录入（明细）'!C:C&lt;=$L$4),ROW(),"-")</f>
        <v>-</v>
      </c>
    </row>
    <row r="5291" customHeight="1" spans="2:2">
      <c r="B5291" s="62" t="str">
        <f>IF(AND('领用录入（明细）'!D:D=$F$4,'领用录入（明细）'!C:C&gt;=$J$4,'领用录入（明细）'!C:C&lt;=$L$4),ROW(),"-")</f>
        <v>-</v>
      </c>
    </row>
    <row r="5292" customHeight="1" spans="2:2">
      <c r="B5292" s="62" t="str">
        <f>IF(AND('领用录入（明细）'!D:D=$F$4,'领用录入（明细）'!C:C&gt;=$J$4,'领用录入（明细）'!C:C&lt;=$L$4),ROW(),"-")</f>
        <v>-</v>
      </c>
    </row>
    <row r="5293" customHeight="1" spans="2:2">
      <c r="B5293" s="62" t="str">
        <f>IF(AND('领用录入（明细）'!D:D=$F$4,'领用录入（明细）'!C:C&gt;=$J$4,'领用录入（明细）'!C:C&lt;=$L$4),ROW(),"-")</f>
        <v>-</v>
      </c>
    </row>
    <row r="5294" customHeight="1" spans="2:2">
      <c r="B5294" s="62" t="str">
        <f>IF(AND('领用录入（明细）'!D:D=$F$4,'领用录入（明细）'!C:C&gt;=$J$4,'领用录入（明细）'!C:C&lt;=$L$4),ROW(),"-")</f>
        <v>-</v>
      </c>
    </row>
    <row r="5295" customHeight="1" spans="2:2">
      <c r="B5295" s="62" t="str">
        <f>IF(AND('领用录入（明细）'!D:D=$F$4,'领用录入（明细）'!C:C&gt;=$J$4,'领用录入（明细）'!C:C&lt;=$L$4),ROW(),"-")</f>
        <v>-</v>
      </c>
    </row>
    <row r="5296" customHeight="1" spans="2:2">
      <c r="B5296" s="62" t="str">
        <f>IF(AND('领用录入（明细）'!D:D=$F$4,'领用录入（明细）'!C:C&gt;=$J$4,'领用录入（明细）'!C:C&lt;=$L$4),ROW(),"-")</f>
        <v>-</v>
      </c>
    </row>
    <row r="5297" customHeight="1" spans="2:2">
      <c r="B5297" s="62" t="str">
        <f>IF(AND('领用录入（明细）'!D:D=$F$4,'领用录入（明细）'!C:C&gt;=$J$4,'领用录入（明细）'!C:C&lt;=$L$4),ROW(),"-")</f>
        <v>-</v>
      </c>
    </row>
    <row r="5298" customHeight="1" spans="2:2">
      <c r="B5298" s="62" t="str">
        <f>IF(AND('领用录入（明细）'!D:D=$F$4,'领用录入（明细）'!C:C&gt;=$J$4,'领用录入（明细）'!C:C&lt;=$L$4),ROW(),"-")</f>
        <v>-</v>
      </c>
    </row>
    <row r="5299" customHeight="1" spans="2:2">
      <c r="B5299" s="62" t="str">
        <f>IF(AND('领用录入（明细）'!D:D=$F$4,'领用录入（明细）'!C:C&gt;=$J$4,'领用录入（明细）'!C:C&lt;=$L$4),ROW(),"-")</f>
        <v>-</v>
      </c>
    </row>
    <row r="5300" customHeight="1" spans="2:2">
      <c r="B5300" s="62" t="str">
        <f>IF(AND('领用录入（明细）'!D:D=$F$4,'领用录入（明细）'!C:C&gt;=$J$4,'领用录入（明细）'!C:C&lt;=$L$4),ROW(),"-")</f>
        <v>-</v>
      </c>
    </row>
    <row r="5301" customHeight="1" spans="2:2">
      <c r="B5301" s="62" t="str">
        <f>IF(AND('领用录入（明细）'!D:D=$F$4,'领用录入（明细）'!C:C&gt;=$J$4,'领用录入（明细）'!C:C&lt;=$L$4),ROW(),"-")</f>
        <v>-</v>
      </c>
    </row>
    <row r="5302" customHeight="1" spans="2:2">
      <c r="B5302" s="62" t="str">
        <f>IF(AND('领用录入（明细）'!D:D=$F$4,'领用录入（明细）'!C:C&gt;=$J$4,'领用录入（明细）'!C:C&lt;=$L$4),ROW(),"-")</f>
        <v>-</v>
      </c>
    </row>
    <row r="5303" customHeight="1" spans="2:2">
      <c r="B5303" s="62" t="str">
        <f>IF(AND('领用录入（明细）'!D:D=$F$4,'领用录入（明细）'!C:C&gt;=$J$4,'领用录入（明细）'!C:C&lt;=$L$4),ROW(),"-")</f>
        <v>-</v>
      </c>
    </row>
    <row r="5304" customHeight="1" spans="2:2">
      <c r="B5304" s="62" t="str">
        <f>IF(AND('领用录入（明细）'!D:D=$F$4,'领用录入（明细）'!C:C&gt;=$J$4,'领用录入（明细）'!C:C&lt;=$L$4),ROW(),"-")</f>
        <v>-</v>
      </c>
    </row>
    <row r="5305" customHeight="1" spans="2:2">
      <c r="B5305" s="62" t="str">
        <f>IF(AND('领用录入（明细）'!D:D=$F$4,'领用录入（明细）'!C:C&gt;=$J$4,'领用录入（明细）'!C:C&lt;=$L$4),ROW(),"-")</f>
        <v>-</v>
      </c>
    </row>
    <row r="5306" customHeight="1" spans="2:2">
      <c r="B5306" s="62" t="str">
        <f>IF(AND('领用录入（明细）'!D:D=$F$4,'领用录入（明细）'!C:C&gt;=$J$4,'领用录入（明细）'!C:C&lt;=$L$4),ROW(),"-")</f>
        <v>-</v>
      </c>
    </row>
    <row r="5307" customHeight="1" spans="2:2">
      <c r="B5307" s="62" t="str">
        <f>IF(AND('领用录入（明细）'!D:D=$F$4,'领用录入（明细）'!C:C&gt;=$J$4,'领用录入（明细）'!C:C&lt;=$L$4),ROW(),"-")</f>
        <v>-</v>
      </c>
    </row>
    <row r="5308" customHeight="1" spans="2:2">
      <c r="B5308" s="62" t="str">
        <f>IF(AND('领用录入（明细）'!D:D=$F$4,'领用录入（明细）'!C:C&gt;=$J$4,'领用录入（明细）'!C:C&lt;=$L$4),ROW(),"-")</f>
        <v>-</v>
      </c>
    </row>
    <row r="5309" customHeight="1" spans="2:2">
      <c r="B5309" s="62" t="str">
        <f>IF(AND('领用录入（明细）'!D:D=$F$4,'领用录入（明细）'!C:C&gt;=$J$4,'领用录入（明细）'!C:C&lt;=$L$4),ROW(),"-")</f>
        <v>-</v>
      </c>
    </row>
    <row r="5310" customHeight="1" spans="2:2">
      <c r="B5310" s="62" t="str">
        <f>IF(AND('领用录入（明细）'!D:D=$F$4,'领用录入（明细）'!C:C&gt;=$J$4,'领用录入（明细）'!C:C&lt;=$L$4),ROW(),"-")</f>
        <v>-</v>
      </c>
    </row>
    <row r="5311" customHeight="1" spans="2:2">
      <c r="B5311" s="62" t="str">
        <f>IF(AND('领用录入（明细）'!D:D=$F$4,'领用录入（明细）'!C:C&gt;=$J$4,'领用录入（明细）'!C:C&lt;=$L$4),ROW(),"-")</f>
        <v>-</v>
      </c>
    </row>
    <row r="5312" customHeight="1" spans="2:2">
      <c r="B5312" s="62" t="str">
        <f>IF(AND('领用录入（明细）'!D:D=$F$4,'领用录入（明细）'!C:C&gt;=$J$4,'领用录入（明细）'!C:C&lt;=$L$4),ROW(),"-")</f>
        <v>-</v>
      </c>
    </row>
    <row r="5313" customHeight="1" spans="2:2">
      <c r="B5313" s="62" t="str">
        <f>IF(AND('领用录入（明细）'!D:D=$F$4,'领用录入（明细）'!C:C&gt;=$J$4,'领用录入（明细）'!C:C&lt;=$L$4),ROW(),"-")</f>
        <v>-</v>
      </c>
    </row>
    <row r="5314" customHeight="1" spans="2:2">
      <c r="B5314" s="62" t="str">
        <f>IF(AND('领用录入（明细）'!D:D=$F$4,'领用录入（明细）'!C:C&gt;=$J$4,'领用录入（明细）'!C:C&lt;=$L$4),ROW(),"-")</f>
        <v>-</v>
      </c>
    </row>
    <row r="5315" customHeight="1" spans="2:2">
      <c r="B5315" s="62" t="str">
        <f>IF(AND('领用录入（明细）'!D:D=$F$4,'领用录入（明细）'!C:C&gt;=$J$4,'领用录入（明细）'!C:C&lt;=$L$4),ROW(),"-")</f>
        <v>-</v>
      </c>
    </row>
    <row r="5316" customHeight="1" spans="2:2">
      <c r="B5316" s="62" t="str">
        <f>IF(AND('领用录入（明细）'!D:D=$F$4,'领用录入（明细）'!C:C&gt;=$J$4,'领用录入（明细）'!C:C&lt;=$L$4),ROW(),"-")</f>
        <v>-</v>
      </c>
    </row>
    <row r="5317" customHeight="1" spans="2:2">
      <c r="B5317" s="62" t="str">
        <f>IF(AND('领用录入（明细）'!D:D=$F$4,'领用录入（明细）'!C:C&gt;=$J$4,'领用录入（明细）'!C:C&lt;=$L$4),ROW(),"-")</f>
        <v>-</v>
      </c>
    </row>
    <row r="5318" customHeight="1" spans="2:2">
      <c r="B5318" s="62" t="str">
        <f>IF(AND('领用录入（明细）'!D:D=$F$4,'领用录入（明细）'!C:C&gt;=$J$4,'领用录入（明细）'!C:C&lt;=$L$4),ROW(),"-")</f>
        <v>-</v>
      </c>
    </row>
    <row r="5319" customHeight="1" spans="2:2">
      <c r="B5319" s="62" t="str">
        <f>IF(AND('领用录入（明细）'!D:D=$F$4,'领用录入（明细）'!C:C&gt;=$J$4,'领用录入（明细）'!C:C&lt;=$L$4),ROW(),"-")</f>
        <v>-</v>
      </c>
    </row>
    <row r="5320" customHeight="1" spans="2:2">
      <c r="B5320" s="62" t="str">
        <f>IF(AND('领用录入（明细）'!D:D=$F$4,'领用录入（明细）'!C:C&gt;=$J$4,'领用录入（明细）'!C:C&lt;=$L$4),ROW(),"-")</f>
        <v>-</v>
      </c>
    </row>
    <row r="5321" customHeight="1" spans="2:2">
      <c r="B5321" s="62" t="str">
        <f>IF(AND('领用录入（明细）'!D:D=$F$4,'领用录入（明细）'!C:C&gt;=$J$4,'领用录入（明细）'!C:C&lt;=$L$4),ROW(),"-")</f>
        <v>-</v>
      </c>
    </row>
    <row r="5322" customHeight="1" spans="2:2">
      <c r="B5322" s="62" t="str">
        <f>IF(AND('领用录入（明细）'!D:D=$F$4,'领用录入（明细）'!C:C&gt;=$J$4,'领用录入（明细）'!C:C&lt;=$L$4),ROW(),"-")</f>
        <v>-</v>
      </c>
    </row>
    <row r="5323" customHeight="1" spans="2:2">
      <c r="B5323" s="62" t="str">
        <f>IF(AND('领用录入（明细）'!D:D=$F$4,'领用录入（明细）'!C:C&gt;=$J$4,'领用录入（明细）'!C:C&lt;=$L$4),ROW(),"-")</f>
        <v>-</v>
      </c>
    </row>
    <row r="5324" customHeight="1" spans="2:2">
      <c r="B5324" s="62" t="str">
        <f>IF(AND('领用录入（明细）'!D:D=$F$4,'领用录入（明细）'!C:C&gt;=$J$4,'领用录入（明细）'!C:C&lt;=$L$4),ROW(),"-")</f>
        <v>-</v>
      </c>
    </row>
    <row r="5325" customHeight="1" spans="2:2">
      <c r="B5325" s="62" t="str">
        <f>IF(AND('领用录入（明细）'!D:D=$F$4,'领用录入（明细）'!C:C&gt;=$J$4,'领用录入（明细）'!C:C&lt;=$L$4),ROW(),"-")</f>
        <v>-</v>
      </c>
    </row>
    <row r="5326" customHeight="1" spans="2:2">
      <c r="B5326" s="62" t="str">
        <f>IF(AND('领用录入（明细）'!D:D=$F$4,'领用录入（明细）'!C:C&gt;=$J$4,'领用录入（明细）'!C:C&lt;=$L$4),ROW(),"-")</f>
        <v>-</v>
      </c>
    </row>
    <row r="5327" customHeight="1" spans="2:2">
      <c r="B5327" s="62" t="str">
        <f>IF(AND('领用录入（明细）'!D:D=$F$4,'领用录入（明细）'!C:C&gt;=$J$4,'领用录入（明细）'!C:C&lt;=$L$4),ROW(),"-")</f>
        <v>-</v>
      </c>
    </row>
    <row r="5328" customHeight="1" spans="2:2">
      <c r="B5328" s="62" t="str">
        <f>IF(AND('领用录入（明细）'!D:D=$F$4,'领用录入（明细）'!C:C&gt;=$J$4,'领用录入（明细）'!C:C&lt;=$L$4),ROW(),"-")</f>
        <v>-</v>
      </c>
    </row>
    <row r="5329" customHeight="1" spans="2:2">
      <c r="B5329" s="62" t="str">
        <f>IF(AND('领用录入（明细）'!D:D=$F$4,'领用录入（明细）'!C:C&gt;=$J$4,'领用录入（明细）'!C:C&lt;=$L$4),ROW(),"-")</f>
        <v>-</v>
      </c>
    </row>
    <row r="5330" customHeight="1" spans="2:2">
      <c r="B5330" s="62" t="str">
        <f>IF(AND('领用录入（明细）'!D:D=$F$4,'领用录入（明细）'!C:C&gt;=$J$4,'领用录入（明细）'!C:C&lt;=$L$4),ROW(),"-")</f>
        <v>-</v>
      </c>
    </row>
    <row r="5331" customHeight="1" spans="2:2">
      <c r="B5331" s="62" t="str">
        <f>IF(AND('领用录入（明细）'!D:D=$F$4,'领用录入（明细）'!C:C&gt;=$J$4,'领用录入（明细）'!C:C&lt;=$L$4),ROW(),"-")</f>
        <v>-</v>
      </c>
    </row>
    <row r="5332" customHeight="1" spans="2:2">
      <c r="B5332" s="62" t="str">
        <f>IF(AND('领用录入（明细）'!D:D=$F$4,'领用录入（明细）'!C:C&gt;=$J$4,'领用录入（明细）'!C:C&lt;=$L$4),ROW(),"-")</f>
        <v>-</v>
      </c>
    </row>
    <row r="5333" customHeight="1" spans="2:2">
      <c r="B5333" s="62" t="str">
        <f>IF(AND('领用录入（明细）'!D:D=$F$4,'领用录入（明细）'!C:C&gt;=$J$4,'领用录入（明细）'!C:C&lt;=$L$4),ROW(),"-")</f>
        <v>-</v>
      </c>
    </row>
    <row r="5334" customHeight="1" spans="2:2">
      <c r="B5334" s="62" t="str">
        <f>IF(AND('领用录入（明细）'!D:D=$F$4,'领用录入（明细）'!C:C&gt;=$J$4,'领用录入（明细）'!C:C&lt;=$L$4),ROW(),"-")</f>
        <v>-</v>
      </c>
    </row>
    <row r="5335" customHeight="1" spans="2:2">
      <c r="B5335" s="62" t="str">
        <f>IF(AND('领用录入（明细）'!D:D=$F$4,'领用录入（明细）'!C:C&gt;=$J$4,'领用录入（明细）'!C:C&lt;=$L$4),ROW(),"-")</f>
        <v>-</v>
      </c>
    </row>
    <row r="5336" customHeight="1" spans="2:2">
      <c r="B5336" s="62" t="str">
        <f>IF(AND('领用录入（明细）'!D:D=$F$4,'领用录入（明细）'!C:C&gt;=$J$4,'领用录入（明细）'!C:C&lt;=$L$4),ROW(),"-")</f>
        <v>-</v>
      </c>
    </row>
    <row r="5337" customHeight="1" spans="2:2">
      <c r="B5337" s="62" t="str">
        <f>IF(AND('领用录入（明细）'!D:D=$F$4,'领用录入（明细）'!C:C&gt;=$J$4,'领用录入（明细）'!C:C&lt;=$L$4),ROW(),"-")</f>
        <v>-</v>
      </c>
    </row>
    <row r="5338" customHeight="1" spans="2:2">
      <c r="B5338" s="62" t="str">
        <f>IF(AND('领用录入（明细）'!D:D=$F$4,'领用录入（明细）'!C:C&gt;=$J$4,'领用录入（明细）'!C:C&lt;=$L$4),ROW(),"-")</f>
        <v>-</v>
      </c>
    </row>
    <row r="5339" customHeight="1" spans="2:2">
      <c r="B5339" s="62" t="str">
        <f>IF(AND('领用录入（明细）'!D:D=$F$4,'领用录入（明细）'!C:C&gt;=$J$4,'领用录入（明细）'!C:C&lt;=$L$4),ROW(),"-")</f>
        <v>-</v>
      </c>
    </row>
    <row r="5340" customHeight="1" spans="2:2">
      <c r="B5340" s="62" t="str">
        <f>IF(AND('领用录入（明细）'!D:D=$F$4,'领用录入（明细）'!C:C&gt;=$J$4,'领用录入（明细）'!C:C&lt;=$L$4),ROW(),"-")</f>
        <v>-</v>
      </c>
    </row>
    <row r="5341" customHeight="1" spans="2:2">
      <c r="B5341" s="62" t="str">
        <f>IF(AND('领用录入（明细）'!D:D=$F$4,'领用录入（明细）'!C:C&gt;=$J$4,'领用录入（明细）'!C:C&lt;=$L$4),ROW(),"-")</f>
        <v>-</v>
      </c>
    </row>
    <row r="5342" customHeight="1" spans="2:2">
      <c r="B5342" s="62" t="str">
        <f>IF(AND('领用录入（明细）'!D:D=$F$4,'领用录入（明细）'!C:C&gt;=$J$4,'领用录入（明细）'!C:C&lt;=$L$4),ROW(),"-")</f>
        <v>-</v>
      </c>
    </row>
    <row r="5343" customHeight="1" spans="2:2">
      <c r="B5343" s="62" t="str">
        <f>IF(AND('领用录入（明细）'!D:D=$F$4,'领用录入（明细）'!C:C&gt;=$J$4,'领用录入（明细）'!C:C&lt;=$L$4),ROW(),"-")</f>
        <v>-</v>
      </c>
    </row>
    <row r="5344" customHeight="1" spans="2:2">
      <c r="B5344" s="62" t="str">
        <f>IF(AND('领用录入（明细）'!D:D=$F$4,'领用录入（明细）'!C:C&gt;=$J$4,'领用录入（明细）'!C:C&lt;=$L$4),ROW(),"-")</f>
        <v>-</v>
      </c>
    </row>
    <row r="5345" customHeight="1" spans="2:2">
      <c r="B5345" s="62" t="str">
        <f>IF(AND('领用录入（明细）'!D:D=$F$4,'领用录入（明细）'!C:C&gt;=$J$4,'领用录入（明细）'!C:C&lt;=$L$4),ROW(),"-")</f>
        <v>-</v>
      </c>
    </row>
    <row r="5346" customHeight="1" spans="2:2">
      <c r="B5346" s="62" t="str">
        <f>IF(AND('领用录入（明细）'!D:D=$F$4,'领用录入（明细）'!C:C&gt;=$J$4,'领用录入（明细）'!C:C&lt;=$L$4),ROW(),"-")</f>
        <v>-</v>
      </c>
    </row>
    <row r="5347" customHeight="1" spans="2:2">
      <c r="B5347" s="62" t="str">
        <f>IF(AND('领用录入（明细）'!D:D=$F$4,'领用录入（明细）'!C:C&gt;=$J$4,'领用录入（明细）'!C:C&lt;=$L$4),ROW(),"-")</f>
        <v>-</v>
      </c>
    </row>
    <row r="5348" customHeight="1" spans="2:2">
      <c r="B5348" s="62" t="str">
        <f>IF(AND('领用录入（明细）'!D:D=$F$4,'领用录入（明细）'!C:C&gt;=$J$4,'领用录入（明细）'!C:C&lt;=$L$4),ROW(),"-")</f>
        <v>-</v>
      </c>
    </row>
    <row r="5349" customHeight="1" spans="2:2">
      <c r="B5349" s="62" t="str">
        <f>IF(AND('领用录入（明细）'!D:D=$F$4,'领用录入（明细）'!C:C&gt;=$J$4,'领用录入（明细）'!C:C&lt;=$L$4),ROW(),"-")</f>
        <v>-</v>
      </c>
    </row>
    <row r="5350" customHeight="1" spans="2:2">
      <c r="B5350" s="62" t="str">
        <f>IF(AND('领用录入（明细）'!D:D=$F$4,'领用录入（明细）'!C:C&gt;=$J$4,'领用录入（明细）'!C:C&lt;=$L$4),ROW(),"-")</f>
        <v>-</v>
      </c>
    </row>
    <row r="5351" customHeight="1" spans="2:2">
      <c r="B5351" s="62" t="str">
        <f>IF(AND('领用录入（明细）'!D:D=$F$4,'领用录入（明细）'!C:C&gt;=$J$4,'领用录入（明细）'!C:C&lt;=$L$4),ROW(),"-")</f>
        <v>-</v>
      </c>
    </row>
    <row r="5352" customHeight="1" spans="2:2">
      <c r="B5352" s="62" t="str">
        <f>IF(AND('领用录入（明细）'!D:D=$F$4,'领用录入（明细）'!C:C&gt;=$J$4,'领用录入（明细）'!C:C&lt;=$L$4),ROW(),"-")</f>
        <v>-</v>
      </c>
    </row>
    <row r="5353" customHeight="1" spans="2:2">
      <c r="B5353" s="62" t="str">
        <f>IF(AND('领用录入（明细）'!D:D=$F$4,'领用录入（明细）'!C:C&gt;=$J$4,'领用录入（明细）'!C:C&lt;=$L$4),ROW(),"-")</f>
        <v>-</v>
      </c>
    </row>
    <row r="5354" customHeight="1" spans="2:2">
      <c r="B5354" s="62" t="str">
        <f>IF(AND('领用录入（明细）'!D:D=$F$4,'领用录入（明细）'!C:C&gt;=$J$4,'领用录入（明细）'!C:C&lt;=$L$4),ROW(),"-")</f>
        <v>-</v>
      </c>
    </row>
    <row r="5355" customHeight="1" spans="2:2">
      <c r="B5355" s="62" t="str">
        <f>IF(AND('领用录入（明细）'!D:D=$F$4,'领用录入（明细）'!C:C&gt;=$J$4,'领用录入（明细）'!C:C&lt;=$L$4),ROW(),"-")</f>
        <v>-</v>
      </c>
    </row>
    <row r="5356" customHeight="1" spans="2:2">
      <c r="B5356" s="62" t="str">
        <f>IF(AND('领用录入（明细）'!D:D=$F$4,'领用录入（明细）'!C:C&gt;=$J$4,'领用录入（明细）'!C:C&lt;=$L$4),ROW(),"-")</f>
        <v>-</v>
      </c>
    </row>
    <row r="5357" customHeight="1" spans="2:2">
      <c r="B5357" s="62" t="str">
        <f>IF(AND('领用录入（明细）'!D:D=$F$4,'领用录入（明细）'!C:C&gt;=$J$4,'领用录入（明细）'!C:C&lt;=$L$4),ROW(),"-")</f>
        <v>-</v>
      </c>
    </row>
    <row r="5358" customHeight="1" spans="2:2">
      <c r="B5358" s="62" t="str">
        <f>IF(AND('领用录入（明细）'!D:D=$F$4,'领用录入（明细）'!C:C&gt;=$J$4,'领用录入（明细）'!C:C&lt;=$L$4),ROW(),"-")</f>
        <v>-</v>
      </c>
    </row>
    <row r="5359" customHeight="1" spans="2:2">
      <c r="B5359" s="62" t="str">
        <f>IF(AND('领用录入（明细）'!D:D=$F$4,'领用录入（明细）'!C:C&gt;=$J$4,'领用录入（明细）'!C:C&lt;=$L$4),ROW(),"-")</f>
        <v>-</v>
      </c>
    </row>
    <row r="5360" customHeight="1" spans="2:2">
      <c r="B5360" s="62" t="str">
        <f>IF(AND('领用录入（明细）'!D:D=$F$4,'领用录入（明细）'!C:C&gt;=$J$4,'领用录入（明细）'!C:C&lt;=$L$4),ROW(),"-")</f>
        <v>-</v>
      </c>
    </row>
    <row r="5361" customHeight="1" spans="2:2">
      <c r="B5361" s="62" t="str">
        <f>IF(AND('领用录入（明细）'!D:D=$F$4,'领用录入（明细）'!C:C&gt;=$J$4,'领用录入（明细）'!C:C&lt;=$L$4),ROW(),"-")</f>
        <v>-</v>
      </c>
    </row>
    <row r="5362" customHeight="1" spans="2:2">
      <c r="B5362" s="62" t="str">
        <f>IF(AND('领用录入（明细）'!D:D=$F$4,'领用录入（明细）'!C:C&gt;=$J$4,'领用录入（明细）'!C:C&lt;=$L$4),ROW(),"-")</f>
        <v>-</v>
      </c>
    </row>
    <row r="5363" customHeight="1" spans="2:2">
      <c r="B5363" s="62" t="str">
        <f>IF(AND('领用录入（明细）'!D:D=$F$4,'领用录入（明细）'!C:C&gt;=$J$4,'领用录入（明细）'!C:C&lt;=$L$4),ROW(),"-")</f>
        <v>-</v>
      </c>
    </row>
    <row r="5364" customHeight="1" spans="2:2">
      <c r="B5364" s="62" t="str">
        <f>IF(AND('领用录入（明细）'!D:D=$F$4,'领用录入（明细）'!C:C&gt;=$J$4,'领用录入（明细）'!C:C&lt;=$L$4),ROW(),"-")</f>
        <v>-</v>
      </c>
    </row>
    <row r="5365" customHeight="1" spans="2:2">
      <c r="B5365" s="62" t="str">
        <f>IF(AND('领用录入（明细）'!D:D=$F$4,'领用录入（明细）'!C:C&gt;=$J$4,'领用录入（明细）'!C:C&lt;=$L$4),ROW(),"-")</f>
        <v>-</v>
      </c>
    </row>
    <row r="5366" customHeight="1" spans="2:2">
      <c r="B5366" s="62" t="str">
        <f>IF(AND('领用录入（明细）'!D:D=$F$4,'领用录入（明细）'!C:C&gt;=$J$4,'领用录入（明细）'!C:C&lt;=$L$4),ROW(),"-")</f>
        <v>-</v>
      </c>
    </row>
    <row r="5367" customHeight="1" spans="2:2">
      <c r="B5367" s="62" t="str">
        <f>IF(AND('领用录入（明细）'!D:D=$F$4,'领用录入（明细）'!C:C&gt;=$J$4,'领用录入（明细）'!C:C&lt;=$L$4),ROW(),"-")</f>
        <v>-</v>
      </c>
    </row>
    <row r="5368" customHeight="1" spans="2:2">
      <c r="B5368" s="62" t="str">
        <f>IF(AND('领用录入（明细）'!D:D=$F$4,'领用录入（明细）'!C:C&gt;=$J$4,'领用录入（明细）'!C:C&lt;=$L$4),ROW(),"-")</f>
        <v>-</v>
      </c>
    </row>
    <row r="5369" customHeight="1" spans="2:2">
      <c r="B5369" s="62" t="str">
        <f>IF(AND('领用录入（明细）'!D:D=$F$4,'领用录入（明细）'!C:C&gt;=$J$4,'领用录入（明细）'!C:C&lt;=$L$4),ROW(),"-")</f>
        <v>-</v>
      </c>
    </row>
    <row r="5370" customHeight="1" spans="2:2">
      <c r="B5370" s="62" t="str">
        <f>IF(AND('领用录入（明细）'!D:D=$F$4,'领用录入（明细）'!C:C&gt;=$J$4,'领用录入（明细）'!C:C&lt;=$L$4),ROW(),"-")</f>
        <v>-</v>
      </c>
    </row>
    <row r="5371" customHeight="1" spans="2:2">
      <c r="B5371" s="62" t="str">
        <f>IF(AND('领用录入（明细）'!D:D=$F$4,'领用录入（明细）'!C:C&gt;=$J$4,'领用录入（明细）'!C:C&lt;=$L$4),ROW(),"-")</f>
        <v>-</v>
      </c>
    </row>
    <row r="5372" customHeight="1" spans="2:2">
      <c r="B5372" s="62" t="str">
        <f>IF(AND('领用录入（明细）'!D:D=$F$4,'领用录入（明细）'!C:C&gt;=$J$4,'领用录入（明细）'!C:C&lt;=$L$4),ROW(),"-")</f>
        <v>-</v>
      </c>
    </row>
    <row r="5373" customHeight="1" spans="2:2">
      <c r="B5373" s="62" t="str">
        <f>IF(AND('领用录入（明细）'!D:D=$F$4,'领用录入（明细）'!C:C&gt;=$J$4,'领用录入（明细）'!C:C&lt;=$L$4),ROW(),"-")</f>
        <v>-</v>
      </c>
    </row>
    <row r="5374" customHeight="1" spans="2:2">
      <c r="B5374" s="62" t="str">
        <f>IF(AND('领用录入（明细）'!D:D=$F$4,'领用录入（明细）'!C:C&gt;=$J$4,'领用录入（明细）'!C:C&lt;=$L$4),ROW(),"-")</f>
        <v>-</v>
      </c>
    </row>
    <row r="5375" customHeight="1" spans="2:2">
      <c r="B5375" s="62" t="str">
        <f>IF(AND('领用录入（明细）'!D:D=$F$4,'领用录入（明细）'!C:C&gt;=$J$4,'领用录入（明细）'!C:C&lt;=$L$4),ROW(),"-")</f>
        <v>-</v>
      </c>
    </row>
    <row r="5376" customHeight="1" spans="2:2">
      <c r="B5376" s="62" t="str">
        <f>IF(AND('领用录入（明细）'!D:D=$F$4,'领用录入（明细）'!C:C&gt;=$J$4,'领用录入（明细）'!C:C&lt;=$L$4),ROW(),"-")</f>
        <v>-</v>
      </c>
    </row>
    <row r="5377" customHeight="1" spans="2:2">
      <c r="B5377" s="62" t="str">
        <f>IF(AND('领用录入（明细）'!D:D=$F$4,'领用录入（明细）'!C:C&gt;=$J$4,'领用录入（明细）'!C:C&lt;=$L$4),ROW(),"-")</f>
        <v>-</v>
      </c>
    </row>
    <row r="5378" customHeight="1" spans="2:2">
      <c r="B5378" s="62" t="str">
        <f>IF(AND('领用录入（明细）'!D:D=$F$4,'领用录入（明细）'!C:C&gt;=$J$4,'领用录入（明细）'!C:C&lt;=$L$4),ROW(),"-")</f>
        <v>-</v>
      </c>
    </row>
    <row r="5379" customHeight="1" spans="2:2">
      <c r="B5379" s="62" t="str">
        <f>IF(AND('领用录入（明细）'!D:D=$F$4,'领用录入（明细）'!C:C&gt;=$J$4,'领用录入（明细）'!C:C&lt;=$L$4),ROW(),"-")</f>
        <v>-</v>
      </c>
    </row>
    <row r="5380" customHeight="1" spans="2:2">
      <c r="B5380" s="62" t="str">
        <f>IF(AND('领用录入（明细）'!D:D=$F$4,'领用录入（明细）'!C:C&gt;=$J$4,'领用录入（明细）'!C:C&lt;=$L$4),ROW(),"-")</f>
        <v>-</v>
      </c>
    </row>
    <row r="5381" customHeight="1" spans="2:2">
      <c r="B5381" s="62" t="str">
        <f>IF(AND('领用录入（明细）'!D:D=$F$4,'领用录入（明细）'!C:C&gt;=$J$4,'领用录入（明细）'!C:C&lt;=$L$4),ROW(),"-")</f>
        <v>-</v>
      </c>
    </row>
    <row r="5382" customHeight="1" spans="2:2">
      <c r="B5382" s="62" t="str">
        <f>IF(AND('领用录入（明细）'!D:D=$F$4,'领用录入（明细）'!C:C&gt;=$J$4,'领用录入（明细）'!C:C&lt;=$L$4),ROW(),"-")</f>
        <v>-</v>
      </c>
    </row>
    <row r="5383" customHeight="1" spans="2:2">
      <c r="B5383" s="62" t="str">
        <f>IF(AND('领用录入（明细）'!D:D=$F$4,'领用录入（明细）'!C:C&gt;=$J$4,'领用录入（明细）'!C:C&lt;=$L$4),ROW(),"-")</f>
        <v>-</v>
      </c>
    </row>
    <row r="5384" customHeight="1" spans="2:2">
      <c r="B5384" s="62" t="str">
        <f>IF(AND('领用录入（明细）'!D:D=$F$4,'领用录入（明细）'!C:C&gt;=$J$4,'领用录入（明细）'!C:C&lt;=$L$4),ROW(),"-")</f>
        <v>-</v>
      </c>
    </row>
    <row r="5385" customHeight="1" spans="2:2">
      <c r="B5385" s="62" t="str">
        <f>IF(AND('领用录入（明细）'!D:D=$F$4,'领用录入（明细）'!C:C&gt;=$J$4,'领用录入（明细）'!C:C&lt;=$L$4),ROW(),"-")</f>
        <v>-</v>
      </c>
    </row>
    <row r="5386" customHeight="1" spans="2:2">
      <c r="B5386" s="62" t="str">
        <f>IF(AND('领用录入（明细）'!D:D=$F$4,'领用录入（明细）'!C:C&gt;=$J$4,'领用录入（明细）'!C:C&lt;=$L$4),ROW(),"-")</f>
        <v>-</v>
      </c>
    </row>
    <row r="5387" customHeight="1" spans="2:2">
      <c r="B5387" s="62" t="str">
        <f>IF(AND('领用录入（明细）'!D:D=$F$4,'领用录入（明细）'!C:C&gt;=$J$4,'领用录入（明细）'!C:C&lt;=$L$4),ROW(),"-")</f>
        <v>-</v>
      </c>
    </row>
    <row r="5388" customHeight="1" spans="2:2">
      <c r="B5388" s="62" t="str">
        <f>IF(AND('领用录入（明细）'!D:D=$F$4,'领用录入（明细）'!C:C&gt;=$J$4,'领用录入（明细）'!C:C&lt;=$L$4),ROW(),"-")</f>
        <v>-</v>
      </c>
    </row>
    <row r="5389" customHeight="1" spans="2:2">
      <c r="B5389" s="62" t="str">
        <f>IF(AND('领用录入（明细）'!D:D=$F$4,'领用录入（明细）'!C:C&gt;=$J$4,'领用录入（明细）'!C:C&lt;=$L$4),ROW(),"-")</f>
        <v>-</v>
      </c>
    </row>
    <row r="5390" customHeight="1" spans="2:2">
      <c r="B5390" s="62" t="str">
        <f>IF(AND('领用录入（明细）'!D:D=$F$4,'领用录入（明细）'!C:C&gt;=$J$4,'领用录入（明细）'!C:C&lt;=$L$4),ROW(),"-")</f>
        <v>-</v>
      </c>
    </row>
    <row r="5391" customHeight="1" spans="2:2">
      <c r="B5391" s="62" t="str">
        <f>IF(AND('领用录入（明细）'!D:D=$F$4,'领用录入（明细）'!C:C&gt;=$J$4,'领用录入（明细）'!C:C&lt;=$L$4),ROW(),"-")</f>
        <v>-</v>
      </c>
    </row>
    <row r="5392" customHeight="1" spans="2:2">
      <c r="B5392" s="62" t="str">
        <f>IF(AND('领用录入（明细）'!D:D=$F$4,'领用录入（明细）'!C:C&gt;=$J$4,'领用录入（明细）'!C:C&lt;=$L$4),ROW(),"-")</f>
        <v>-</v>
      </c>
    </row>
    <row r="5393" customHeight="1" spans="2:2">
      <c r="B5393" s="62" t="str">
        <f>IF(AND('领用录入（明细）'!D:D=$F$4,'领用录入（明细）'!C:C&gt;=$J$4,'领用录入（明细）'!C:C&lt;=$L$4),ROW(),"-")</f>
        <v>-</v>
      </c>
    </row>
    <row r="5394" customHeight="1" spans="2:2">
      <c r="B5394" s="62" t="str">
        <f>IF(AND('领用录入（明细）'!D:D=$F$4,'领用录入（明细）'!C:C&gt;=$J$4,'领用录入（明细）'!C:C&lt;=$L$4),ROW(),"-")</f>
        <v>-</v>
      </c>
    </row>
    <row r="5395" customHeight="1" spans="2:2">
      <c r="B5395" s="62" t="str">
        <f>IF(AND('领用录入（明细）'!D:D=$F$4,'领用录入（明细）'!C:C&gt;=$J$4,'领用录入（明细）'!C:C&lt;=$L$4),ROW(),"-")</f>
        <v>-</v>
      </c>
    </row>
    <row r="5396" customHeight="1" spans="2:2">
      <c r="B5396" s="62" t="str">
        <f>IF(AND('领用录入（明细）'!D:D=$F$4,'领用录入（明细）'!C:C&gt;=$J$4,'领用录入（明细）'!C:C&lt;=$L$4),ROW(),"-")</f>
        <v>-</v>
      </c>
    </row>
    <row r="5397" customHeight="1" spans="2:2">
      <c r="B5397" s="62" t="str">
        <f>IF(AND('领用录入（明细）'!D:D=$F$4,'领用录入（明细）'!C:C&gt;=$J$4,'领用录入（明细）'!C:C&lt;=$L$4),ROW(),"-")</f>
        <v>-</v>
      </c>
    </row>
    <row r="5398" customHeight="1" spans="2:2">
      <c r="B5398" s="62" t="str">
        <f>IF(AND('领用录入（明细）'!D:D=$F$4,'领用录入（明细）'!C:C&gt;=$J$4,'领用录入（明细）'!C:C&lt;=$L$4),ROW(),"-")</f>
        <v>-</v>
      </c>
    </row>
    <row r="5399" customHeight="1" spans="2:2">
      <c r="B5399" s="62" t="str">
        <f>IF(AND('领用录入（明细）'!D:D=$F$4,'领用录入（明细）'!C:C&gt;=$J$4,'领用录入（明细）'!C:C&lt;=$L$4),ROW(),"-")</f>
        <v>-</v>
      </c>
    </row>
    <row r="5400" customHeight="1" spans="2:2">
      <c r="B5400" s="62" t="str">
        <f>IF(AND('领用录入（明细）'!D:D=$F$4,'领用录入（明细）'!C:C&gt;=$J$4,'领用录入（明细）'!C:C&lt;=$L$4),ROW(),"-")</f>
        <v>-</v>
      </c>
    </row>
    <row r="5401" customHeight="1" spans="2:2">
      <c r="B5401" s="62" t="str">
        <f>IF(AND('领用录入（明细）'!D:D=$F$4,'领用录入（明细）'!C:C&gt;=$J$4,'领用录入（明细）'!C:C&lt;=$L$4),ROW(),"-")</f>
        <v>-</v>
      </c>
    </row>
    <row r="5402" customHeight="1" spans="2:2">
      <c r="B5402" s="62" t="str">
        <f>IF(AND('领用录入（明细）'!D:D=$F$4,'领用录入（明细）'!C:C&gt;=$J$4,'领用录入（明细）'!C:C&lt;=$L$4),ROW(),"-")</f>
        <v>-</v>
      </c>
    </row>
    <row r="5403" customHeight="1" spans="2:2">
      <c r="B5403" s="62" t="str">
        <f>IF(AND('领用录入（明细）'!D:D=$F$4,'领用录入（明细）'!C:C&gt;=$J$4,'领用录入（明细）'!C:C&lt;=$L$4),ROW(),"-")</f>
        <v>-</v>
      </c>
    </row>
    <row r="5404" customHeight="1" spans="2:2">
      <c r="B5404" s="62" t="str">
        <f>IF(AND('领用录入（明细）'!D:D=$F$4,'领用录入（明细）'!C:C&gt;=$J$4,'领用录入（明细）'!C:C&lt;=$L$4),ROW(),"-")</f>
        <v>-</v>
      </c>
    </row>
    <row r="5405" customHeight="1" spans="2:2">
      <c r="B5405" s="62" t="str">
        <f>IF(AND('领用录入（明细）'!D:D=$F$4,'领用录入（明细）'!C:C&gt;=$J$4,'领用录入（明细）'!C:C&lt;=$L$4),ROW(),"-")</f>
        <v>-</v>
      </c>
    </row>
    <row r="5406" customHeight="1" spans="2:2">
      <c r="B5406" s="62" t="str">
        <f>IF(AND('领用录入（明细）'!D:D=$F$4,'领用录入（明细）'!C:C&gt;=$J$4,'领用录入（明细）'!C:C&lt;=$L$4),ROW(),"-")</f>
        <v>-</v>
      </c>
    </row>
    <row r="5407" customHeight="1" spans="2:2">
      <c r="B5407" s="62" t="str">
        <f>IF(AND('领用录入（明细）'!D:D=$F$4,'领用录入（明细）'!C:C&gt;=$J$4,'领用录入（明细）'!C:C&lt;=$L$4),ROW(),"-")</f>
        <v>-</v>
      </c>
    </row>
    <row r="5408" customHeight="1" spans="2:2">
      <c r="B5408" s="62" t="str">
        <f>IF(AND('领用录入（明细）'!D:D=$F$4,'领用录入（明细）'!C:C&gt;=$J$4,'领用录入（明细）'!C:C&lt;=$L$4),ROW(),"-")</f>
        <v>-</v>
      </c>
    </row>
    <row r="5409" customHeight="1" spans="2:2">
      <c r="B5409" s="62" t="str">
        <f>IF(AND('领用录入（明细）'!D:D=$F$4,'领用录入（明细）'!C:C&gt;=$J$4,'领用录入（明细）'!C:C&lt;=$L$4),ROW(),"-")</f>
        <v>-</v>
      </c>
    </row>
    <row r="5410" customHeight="1" spans="2:2">
      <c r="B5410" s="62" t="str">
        <f>IF(AND('领用录入（明细）'!D:D=$F$4,'领用录入（明细）'!C:C&gt;=$J$4,'领用录入（明细）'!C:C&lt;=$L$4),ROW(),"-")</f>
        <v>-</v>
      </c>
    </row>
    <row r="5411" customHeight="1" spans="2:2">
      <c r="B5411" s="62" t="str">
        <f>IF(AND('领用录入（明细）'!D:D=$F$4,'领用录入（明细）'!C:C&gt;=$J$4,'领用录入（明细）'!C:C&lt;=$L$4),ROW(),"-")</f>
        <v>-</v>
      </c>
    </row>
    <row r="5412" customHeight="1" spans="2:2">
      <c r="B5412" s="62" t="str">
        <f>IF(AND('领用录入（明细）'!D:D=$F$4,'领用录入（明细）'!C:C&gt;=$J$4,'领用录入（明细）'!C:C&lt;=$L$4),ROW(),"-")</f>
        <v>-</v>
      </c>
    </row>
    <row r="5413" customHeight="1" spans="2:2">
      <c r="B5413" s="62" t="str">
        <f>IF(AND('领用录入（明细）'!D:D=$F$4,'领用录入（明细）'!C:C&gt;=$J$4,'领用录入（明细）'!C:C&lt;=$L$4),ROW(),"-")</f>
        <v>-</v>
      </c>
    </row>
    <row r="5414" customHeight="1" spans="2:2">
      <c r="B5414" s="62" t="str">
        <f>IF(AND('领用录入（明细）'!D:D=$F$4,'领用录入（明细）'!C:C&gt;=$J$4,'领用录入（明细）'!C:C&lt;=$L$4),ROW(),"-")</f>
        <v>-</v>
      </c>
    </row>
    <row r="5415" customHeight="1" spans="2:2">
      <c r="B5415" s="62" t="str">
        <f>IF(AND('领用录入（明细）'!D:D=$F$4,'领用录入（明细）'!C:C&gt;=$J$4,'领用录入（明细）'!C:C&lt;=$L$4),ROW(),"-")</f>
        <v>-</v>
      </c>
    </row>
    <row r="5416" customHeight="1" spans="2:2">
      <c r="B5416" s="62" t="str">
        <f>IF(AND('领用录入（明细）'!D:D=$F$4,'领用录入（明细）'!C:C&gt;=$J$4,'领用录入（明细）'!C:C&lt;=$L$4),ROW(),"-")</f>
        <v>-</v>
      </c>
    </row>
    <row r="5417" customHeight="1" spans="2:2">
      <c r="B5417" s="62" t="str">
        <f>IF(AND('领用录入（明细）'!D:D=$F$4,'领用录入（明细）'!C:C&gt;=$J$4,'领用录入（明细）'!C:C&lt;=$L$4),ROW(),"-")</f>
        <v>-</v>
      </c>
    </row>
    <row r="5418" customHeight="1" spans="2:2">
      <c r="B5418" s="62" t="str">
        <f>IF(AND('领用录入（明细）'!D:D=$F$4,'领用录入（明细）'!C:C&gt;=$J$4,'领用录入（明细）'!C:C&lt;=$L$4),ROW(),"-")</f>
        <v>-</v>
      </c>
    </row>
    <row r="5419" customHeight="1" spans="2:2">
      <c r="B5419" s="62" t="str">
        <f>IF(AND('领用录入（明细）'!D:D=$F$4,'领用录入（明细）'!C:C&gt;=$J$4,'领用录入（明细）'!C:C&lt;=$L$4),ROW(),"-")</f>
        <v>-</v>
      </c>
    </row>
    <row r="5420" customHeight="1" spans="2:2">
      <c r="B5420" s="62" t="str">
        <f>IF(AND('领用录入（明细）'!D:D=$F$4,'领用录入（明细）'!C:C&gt;=$J$4,'领用录入（明细）'!C:C&lt;=$L$4),ROW(),"-")</f>
        <v>-</v>
      </c>
    </row>
    <row r="5421" customHeight="1" spans="2:2">
      <c r="B5421" s="62" t="str">
        <f>IF(AND('领用录入（明细）'!D:D=$F$4,'领用录入（明细）'!C:C&gt;=$J$4,'领用录入（明细）'!C:C&lt;=$L$4),ROW(),"-")</f>
        <v>-</v>
      </c>
    </row>
    <row r="5422" customHeight="1" spans="2:2">
      <c r="B5422" s="62" t="str">
        <f>IF(AND('领用录入（明细）'!D:D=$F$4,'领用录入（明细）'!C:C&gt;=$J$4,'领用录入（明细）'!C:C&lt;=$L$4),ROW(),"-")</f>
        <v>-</v>
      </c>
    </row>
    <row r="5423" customHeight="1" spans="2:2">
      <c r="B5423" s="62" t="str">
        <f>IF(AND('领用录入（明细）'!D:D=$F$4,'领用录入（明细）'!C:C&gt;=$J$4,'领用录入（明细）'!C:C&lt;=$L$4),ROW(),"-")</f>
        <v>-</v>
      </c>
    </row>
    <row r="5424" customHeight="1" spans="2:2">
      <c r="B5424" s="62" t="str">
        <f>IF(AND('领用录入（明细）'!D:D=$F$4,'领用录入（明细）'!C:C&gt;=$J$4,'领用录入（明细）'!C:C&lt;=$L$4),ROW(),"-")</f>
        <v>-</v>
      </c>
    </row>
    <row r="5425" customHeight="1" spans="2:2">
      <c r="B5425" s="62" t="str">
        <f>IF(AND('领用录入（明细）'!D:D=$F$4,'领用录入（明细）'!C:C&gt;=$J$4,'领用录入（明细）'!C:C&lt;=$L$4),ROW(),"-")</f>
        <v>-</v>
      </c>
    </row>
    <row r="5426" customHeight="1" spans="2:2">
      <c r="B5426" s="62" t="str">
        <f>IF(AND('领用录入（明细）'!D:D=$F$4,'领用录入（明细）'!C:C&gt;=$J$4,'领用录入（明细）'!C:C&lt;=$L$4),ROW(),"-")</f>
        <v>-</v>
      </c>
    </row>
    <row r="5427" customHeight="1" spans="2:2">
      <c r="B5427" s="62" t="str">
        <f>IF(AND('领用录入（明细）'!D:D=$F$4,'领用录入（明细）'!C:C&gt;=$J$4,'领用录入（明细）'!C:C&lt;=$L$4),ROW(),"-")</f>
        <v>-</v>
      </c>
    </row>
    <row r="5428" customHeight="1" spans="2:2">
      <c r="B5428" s="62" t="str">
        <f>IF(AND('领用录入（明细）'!D:D=$F$4,'领用录入（明细）'!C:C&gt;=$J$4,'领用录入（明细）'!C:C&lt;=$L$4),ROW(),"-")</f>
        <v>-</v>
      </c>
    </row>
    <row r="5429" customHeight="1" spans="2:2">
      <c r="B5429" s="62" t="str">
        <f>IF(AND('领用录入（明细）'!D:D=$F$4,'领用录入（明细）'!C:C&gt;=$J$4,'领用录入（明细）'!C:C&lt;=$L$4),ROW(),"-")</f>
        <v>-</v>
      </c>
    </row>
    <row r="5430" customHeight="1" spans="2:2">
      <c r="B5430" s="62" t="str">
        <f>IF(AND('领用录入（明细）'!D:D=$F$4,'领用录入（明细）'!C:C&gt;=$J$4,'领用录入（明细）'!C:C&lt;=$L$4),ROW(),"-")</f>
        <v>-</v>
      </c>
    </row>
    <row r="5431" customHeight="1" spans="2:2">
      <c r="B5431" s="62" t="str">
        <f>IF(AND('领用录入（明细）'!D:D=$F$4,'领用录入（明细）'!C:C&gt;=$J$4,'领用录入（明细）'!C:C&lt;=$L$4),ROW(),"-")</f>
        <v>-</v>
      </c>
    </row>
    <row r="5432" customHeight="1" spans="2:2">
      <c r="B5432" s="62" t="str">
        <f>IF(AND('领用录入（明细）'!D:D=$F$4,'领用录入（明细）'!C:C&gt;=$J$4,'领用录入（明细）'!C:C&lt;=$L$4),ROW(),"-")</f>
        <v>-</v>
      </c>
    </row>
    <row r="5433" customHeight="1" spans="2:2">
      <c r="B5433" s="62" t="str">
        <f>IF(AND('领用录入（明细）'!D:D=$F$4,'领用录入（明细）'!C:C&gt;=$J$4,'领用录入（明细）'!C:C&lt;=$L$4),ROW(),"-")</f>
        <v>-</v>
      </c>
    </row>
    <row r="5434" customHeight="1" spans="2:2">
      <c r="B5434" s="62" t="str">
        <f>IF(AND('领用录入（明细）'!D:D=$F$4,'领用录入（明细）'!C:C&gt;=$J$4,'领用录入（明细）'!C:C&lt;=$L$4),ROW(),"-")</f>
        <v>-</v>
      </c>
    </row>
    <row r="5435" customHeight="1" spans="2:2">
      <c r="B5435" s="62" t="str">
        <f>IF(AND('领用录入（明细）'!D:D=$F$4,'领用录入（明细）'!C:C&gt;=$J$4,'领用录入（明细）'!C:C&lt;=$L$4),ROW(),"-")</f>
        <v>-</v>
      </c>
    </row>
    <row r="5436" customHeight="1" spans="2:2">
      <c r="B5436" s="62" t="str">
        <f>IF(AND('领用录入（明细）'!D:D=$F$4,'领用录入（明细）'!C:C&gt;=$J$4,'领用录入（明细）'!C:C&lt;=$L$4),ROW(),"-")</f>
        <v>-</v>
      </c>
    </row>
    <row r="5437" customHeight="1" spans="2:2">
      <c r="B5437" s="62" t="str">
        <f>IF(AND('领用录入（明细）'!D:D=$F$4,'领用录入（明细）'!C:C&gt;=$J$4,'领用录入（明细）'!C:C&lt;=$L$4),ROW(),"-")</f>
        <v>-</v>
      </c>
    </row>
    <row r="5438" customHeight="1" spans="2:2">
      <c r="B5438" s="62" t="str">
        <f>IF(AND('领用录入（明细）'!D:D=$F$4,'领用录入（明细）'!C:C&gt;=$J$4,'领用录入（明细）'!C:C&lt;=$L$4),ROW(),"-")</f>
        <v>-</v>
      </c>
    </row>
    <row r="5439" customHeight="1" spans="2:2">
      <c r="B5439" s="62" t="str">
        <f>IF(AND('领用录入（明细）'!D:D=$F$4,'领用录入（明细）'!C:C&gt;=$J$4,'领用录入（明细）'!C:C&lt;=$L$4),ROW(),"-")</f>
        <v>-</v>
      </c>
    </row>
    <row r="5440" customHeight="1" spans="2:2">
      <c r="B5440" s="62" t="str">
        <f>IF(AND('领用录入（明细）'!D:D=$F$4,'领用录入（明细）'!C:C&gt;=$J$4,'领用录入（明细）'!C:C&lt;=$L$4),ROW(),"-")</f>
        <v>-</v>
      </c>
    </row>
    <row r="5441" customHeight="1" spans="2:2">
      <c r="B5441" s="62" t="str">
        <f>IF(AND('领用录入（明细）'!D:D=$F$4,'领用录入（明细）'!C:C&gt;=$J$4,'领用录入（明细）'!C:C&lt;=$L$4),ROW(),"-")</f>
        <v>-</v>
      </c>
    </row>
    <row r="5442" customHeight="1" spans="2:2">
      <c r="B5442" s="62" t="str">
        <f>IF(AND('领用录入（明细）'!D:D=$F$4,'领用录入（明细）'!C:C&gt;=$J$4,'领用录入（明细）'!C:C&lt;=$L$4),ROW(),"-")</f>
        <v>-</v>
      </c>
    </row>
    <row r="5443" customHeight="1" spans="2:2">
      <c r="B5443" s="62" t="str">
        <f>IF(AND('领用录入（明细）'!D:D=$F$4,'领用录入（明细）'!C:C&gt;=$J$4,'领用录入（明细）'!C:C&lt;=$L$4),ROW(),"-")</f>
        <v>-</v>
      </c>
    </row>
    <row r="5444" customHeight="1" spans="2:2">
      <c r="B5444" s="62" t="str">
        <f>IF(AND('领用录入（明细）'!D:D=$F$4,'领用录入（明细）'!C:C&gt;=$J$4,'领用录入（明细）'!C:C&lt;=$L$4),ROW(),"-")</f>
        <v>-</v>
      </c>
    </row>
    <row r="5445" customHeight="1" spans="2:2">
      <c r="B5445" s="62" t="str">
        <f>IF(AND('领用录入（明细）'!D:D=$F$4,'领用录入（明细）'!C:C&gt;=$J$4,'领用录入（明细）'!C:C&lt;=$L$4),ROW(),"-")</f>
        <v>-</v>
      </c>
    </row>
    <row r="5446" customHeight="1" spans="2:2">
      <c r="B5446" s="62" t="str">
        <f>IF(AND('领用录入（明细）'!D:D=$F$4,'领用录入（明细）'!C:C&gt;=$J$4,'领用录入（明细）'!C:C&lt;=$L$4),ROW(),"-")</f>
        <v>-</v>
      </c>
    </row>
    <row r="5447" customHeight="1" spans="2:2">
      <c r="B5447" s="62" t="str">
        <f>IF(AND('领用录入（明细）'!D:D=$F$4,'领用录入（明细）'!C:C&gt;=$J$4,'领用录入（明细）'!C:C&lt;=$L$4),ROW(),"-")</f>
        <v>-</v>
      </c>
    </row>
    <row r="5448" customHeight="1" spans="2:2">
      <c r="B5448" s="62" t="str">
        <f>IF(AND('领用录入（明细）'!D:D=$F$4,'领用录入（明细）'!C:C&gt;=$J$4,'领用录入（明细）'!C:C&lt;=$L$4),ROW(),"-")</f>
        <v>-</v>
      </c>
    </row>
    <row r="5449" customHeight="1" spans="2:2">
      <c r="B5449" s="62" t="str">
        <f>IF(AND('领用录入（明细）'!D:D=$F$4,'领用录入（明细）'!C:C&gt;=$J$4,'领用录入（明细）'!C:C&lt;=$L$4),ROW(),"-")</f>
        <v>-</v>
      </c>
    </row>
    <row r="5450" customHeight="1" spans="2:2">
      <c r="B5450" s="62" t="str">
        <f>IF(AND('领用录入（明细）'!D:D=$F$4,'领用录入（明细）'!C:C&gt;=$J$4,'领用录入（明细）'!C:C&lt;=$L$4),ROW(),"-")</f>
        <v>-</v>
      </c>
    </row>
    <row r="5451" customHeight="1" spans="2:2">
      <c r="B5451" s="62" t="str">
        <f>IF(AND('领用录入（明细）'!D:D=$F$4,'领用录入（明细）'!C:C&gt;=$J$4,'领用录入（明细）'!C:C&lt;=$L$4),ROW(),"-")</f>
        <v>-</v>
      </c>
    </row>
    <row r="5452" customHeight="1" spans="2:2">
      <c r="B5452" s="62" t="str">
        <f>IF(AND('领用录入（明细）'!D:D=$F$4,'领用录入（明细）'!C:C&gt;=$J$4,'领用录入（明细）'!C:C&lt;=$L$4),ROW(),"-")</f>
        <v>-</v>
      </c>
    </row>
    <row r="5453" customHeight="1" spans="2:2">
      <c r="B5453" s="62" t="str">
        <f>IF(AND('领用录入（明细）'!D:D=$F$4,'领用录入（明细）'!C:C&gt;=$J$4,'领用录入（明细）'!C:C&lt;=$L$4),ROW(),"-")</f>
        <v>-</v>
      </c>
    </row>
    <row r="5454" customHeight="1" spans="2:2">
      <c r="B5454" s="62" t="str">
        <f>IF(AND('领用录入（明细）'!D:D=$F$4,'领用录入（明细）'!C:C&gt;=$J$4,'领用录入（明细）'!C:C&lt;=$L$4),ROW(),"-")</f>
        <v>-</v>
      </c>
    </row>
    <row r="5455" customHeight="1" spans="2:2">
      <c r="B5455" s="62" t="str">
        <f>IF(AND('领用录入（明细）'!D:D=$F$4,'领用录入（明细）'!C:C&gt;=$J$4,'领用录入（明细）'!C:C&lt;=$L$4),ROW(),"-")</f>
        <v>-</v>
      </c>
    </row>
    <row r="5456" customHeight="1" spans="2:2">
      <c r="B5456" s="62" t="str">
        <f>IF(AND('领用录入（明细）'!D:D=$F$4,'领用录入（明细）'!C:C&gt;=$J$4,'领用录入（明细）'!C:C&lt;=$L$4),ROW(),"-")</f>
        <v>-</v>
      </c>
    </row>
    <row r="5457" customHeight="1" spans="2:2">
      <c r="B5457" s="62" t="str">
        <f>IF(AND('领用录入（明细）'!D:D=$F$4,'领用录入（明细）'!C:C&gt;=$J$4,'领用录入（明细）'!C:C&lt;=$L$4),ROW(),"-")</f>
        <v>-</v>
      </c>
    </row>
    <row r="5458" customHeight="1" spans="2:2">
      <c r="B5458" s="62" t="str">
        <f>IF(AND('领用录入（明细）'!D:D=$F$4,'领用录入（明细）'!C:C&gt;=$J$4,'领用录入（明细）'!C:C&lt;=$L$4),ROW(),"-")</f>
        <v>-</v>
      </c>
    </row>
    <row r="5459" customHeight="1" spans="2:2">
      <c r="B5459" s="62" t="str">
        <f>IF(AND('领用录入（明细）'!D:D=$F$4,'领用录入（明细）'!C:C&gt;=$J$4,'领用录入（明细）'!C:C&lt;=$L$4),ROW(),"-")</f>
        <v>-</v>
      </c>
    </row>
    <row r="5460" customHeight="1" spans="2:2">
      <c r="B5460" s="62" t="str">
        <f>IF(AND('领用录入（明细）'!D:D=$F$4,'领用录入（明细）'!C:C&gt;=$J$4,'领用录入（明细）'!C:C&lt;=$L$4),ROW(),"-")</f>
        <v>-</v>
      </c>
    </row>
    <row r="5461" customHeight="1" spans="2:2">
      <c r="B5461" s="62" t="str">
        <f>IF(AND('领用录入（明细）'!D:D=$F$4,'领用录入（明细）'!C:C&gt;=$J$4,'领用录入（明细）'!C:C&lt;=$L$4),ROW(),"-")</f>
        <v>-</v>
      </c>
    </row>
    <row r="5462" customHeight="1" spans="2:2">
      <c r="B5462" s="62" t="str">
        <f>IF(AND('领用录入（明细）'!D:D=$F$4,'领用录入（明细）'!C:C&gt;=$J$4,'领用录入（明细）'!C:C&lt;=$L$4),ROW(),"-")</f>
        <v>-</v>
      </c>
    </row>
    <row r="5463" customHeight="1" spans="2:2">
      <c r="B5463" s="62" t="str">
        <f>IF(AND('领用录入（明细）'!D:D=$F$4,'领用录入（明细）'!C:C&gt;=$J$4,'领用录入（明细）'!C:C&lt;=$L$4),ROW(),"-")</f>
        <v>-</v>
      </c>
    </row>
    <row r="5464" customHeight="1" spans="2:2">
      <c r="B5464" s="62" t="str">
        <f>IF(AND('领用录入（明细）'!D:D=$F$4,'领用录入（明细）'!C:C&gt;=$J$4,'领用录入（明细）'!C:C&lt;=$L$4),ROW(),"-")</f>
        <v>-</v>
      </c>
    </row>
    <row r="5465" customHeight="1" spans="2:2">
      <c r="B5465" s="62" t="str">
        <f>IF(AND('领用录入（明细）'!D:D=$F$4,'领用录入（明细）'!C:C&gt;=$J$4,'领用录入（明细）'!C:C&lt;=$L$4),ROW(),"-")</f>
        <v>-</v>
      </c>
    </row>
    <row r="5466" customHeight="1" spans="2:2">
      <c r="B5466" s="62" t="str">
        <f>IF(AND('领用录入（明细）'!D:D=$F$4,'领用录入（明细）'!C:C&gt;=$J$4,'领用录入（明细）'!C:C&lt;=$L$4),ROW(),"-")</f>
        <v>-</v>
      </c>
    </row>
    <row r="5467" customHeight="1" spans="2:2">
      <c r="B5467" s="62" t="str">
        <f>IF(AND('领用录入（明细）'!D:D=$F$4,'领用录入（明细）'!C:C&gt;=$J$4,'领用录入（明细）'!C:C&lt;=$L$4),ROW(),"-")</f>
        <v>-</v>
      </c>
    </row>
    <row r="5468" customHeight="1" spans="2:2">
      <c r="B5468" s="62" t="str">
        <f>IF(AND('领用录入（明细）'!D:D=$F$4,'领用录入（明细）'!C:C&gt;=$J$4,'领用录入（明细）'!C:C&lt;=$L$4),ROW(),"-")</f>
        <v>-</v>
      </c>
    </row>
    <row r="5469" customHeight="1" spans="2:2">
      <c r="B5469" s="62" t="str">
        <f>IF(AND('领用录入（明细）'!D:D=$F$4,'领用录入（明细）'!C:C&gt;=$J$4,'领用录入（明细）'!C:C&lt;=$L$4),ROW(),"-")</f>
        <v>-</v>
      </c>
    </row>
    <row r="5470" customHeight="1" spans="2:2">
      <c r="B5470" s="62" t="str">
        <f>IF(AND('领用录入（明细）'!D:D=$F$4,'领用录入（明细）'!C:C&gt;=$J$4,'领用录入（明细）'!C:C&lt;=$L$4),ROW(),"-")</f>
        <v>-</v>
      </c>
    </row>
    <row r="5471" customHeight="1" spans="2:2">
      <c r="B5471" s="62" t="str">
        <f>IF(AND('领用录入（明细）'!D:D=$F$4,'领用录入（明细）'!C:C&gt;=$J$4,'领用录入（明细）'!C:C&lt;=$L$4),ROW(),"-")</f>
        <v>-</v>
      </c>
    </row>
    <row r="5472" customHeight="1" spans="2:2">
      <c r="B5472" s="62" t="str">
        <f>IF(AND('领用录入（明细）'!D:D=$F$4,'领用录入（明细）'!C:C&gt;=$J$4,'领用录入（明细）'!C:C&lt;=$L$4),ROW(),"-")</f>
        <v>-</v>
      </c>
    </row>
    <row r="5473" customHeight="1" spans="2:2">
      <c r="B5473" s="62" t="str">
        <f>IF(AND('领用录入（明细）'!D:D=$F$4,'领用录入（明细）'!C:C&gt;=$J$4,'领用录入（明细）'!C:C&lt;=$L$4),ROW(),"-")</f>
        <v>-</v>
      </c>
    </row>
    <row r="5474" customHeight="1" spans="2:2">
      <c r="B5474" s="62" t="str">
        <f>IF(AND('领用录入（明细）'!D:D=$F$4,'领用录入（明细）'!C:C&gt;=$J$4,'领用录入（明细）'!C:C&lt;=$L$4),ROW(),"-")</f>
        <v>-</v>
      </c>
    </row>
    <row r="5475" customHeight="1" spans="2:2">
      <c r="B5475" s="62" t="str">
        <f>IF(AND('领用录入（明细）'!D:D=$F$4,'领用录入（明细）'!C:C&gt;=$J$4,'领用录入（明细）'!C:C&lt;=$L$4),ROW(),"-")</f>
        <v>-</v>
      </c>
    </row>
    <row r="5476" customHeight="1" spans="2:2">
      <c r="B5476" s="62" t="str">
        <f>IF(AND('领用录入（明细）'!D:D=$F$4,'领用录入（明细）'!C:C&gt;=$J$4,'领用录入（明细）'!C:C&lt;=$L$4),ROW(),"-")</f>
        <v>-</v>
      </c>
    </row>
    <row r="5477" customHeight="1" spans="2:2">
      <c r="B5477" s="62" t="str">
        <f>IF(AND('领用录入（明细）'!D:D=$F$4,'领用录入（明细）'!C:C&gt;=$J$4,'领用录入（明细）'!C:C&lt;=$L$4),ROW(),"-")</f>
        <v>-</v>
      </c>
    </row>
    <row r="5478" customHeight="1" spans="2:2">
      <c r="B5478" s="62" t="str">
        <f>IF(AND('领用录入（明细）'!D:D=$F$4,'领用录入（明细）'!C:C&gt;=$J$4,'领用录入（明细）'!C:C&lt;=$L$4),ROW(),"-")</f>
        <v>-</v>
      </c>
    </row>
    <row r="5479" customHeight="1" spans="2:2">
      <c r="B5479" s="62" t="str">
        <f>IF(AND('领用录入（明细）'!D:D=$F$4,'领用录入（明细）'!C:C&gt;=$J$4,'领用录入（明细）'!C:C&lt;=$L$4),ROW(),"-")</f>
        <v>-</v>
      </c>
    </row>
    <row r="5480" customHeight="1" spans="2:2">
      <c r="B5480" s="62" t="str">
        <f>IF(AND('领用录入（明细）'!D:D=$F$4,'领用录入（明细）'!C:C&gt;=$J$4,'领用录入（明细）'!C:C&lt;=$L$4),ROW(),"-")</f>
        <v>-</v>
      </c>
    </row>
    <row r="5481" customHeight="1" spans="2:2">
      <c r="B5481" s="62" t="str">
        <f>IF(AND('领用录入（明细）'!D:D=$F$4,'领用录入（明细）'!C:C&gt;=$J$4,'领用录入（明细）'!C:C&lt;=$L$4),ROW(),"-")</f>
        <v>-</v>
      </c>
    </row>
    <row r="5482" customHeight="1" spans="2:2">
      <c r="B5482" s="62" t="str">
        <f>IF(AND('领用录入（明细）'!D:D=$F$4,'领用录入（明细）'!C:C&gt;=$J$4,'领用录入（明细）'!C:C&lt;=$L$4),ROW(),"-")</f>
        <v>-</v>
      </c>
    </row>
    <row r="5483" customHeight="1" spans="2:2">
      <c r="B5483" s="62" t="str">
        <f>IF(AND('领用录入（明细）'!D:D=$F$4,'领用录入（明细）'!C:C&gt;=$J$4,'领用录入（明细）'!C:C&lt;=$L$4),ROW(),"-")</f>
        <v>-</v>
      </c>
    </row>
    <row r="5484" customHeight="1" spans="2:2">
      <c r="B5484" s="62" t="str">
        <f>IF(AND('领用录入（明细）'!D:D=$F$4,'领用录入（明细）'!C:C&gt;=$J$4,'领用录入（明细）'!C:C&lt;=$L$4),ROW(),"-")</f>
        <v>-</v>
      </c>
    </row>
    <row r="5485" customHeight="1" spans="2:2">
      <c r="B5485" s="62" t="str">
        <f>IF(AND('领用录入（明细）'!D:D=$F$4,'领用录入（明细）'!C:C&gt;=$J$4,'领用录入（明细）'!C:C&lt;=$L$4),ROW(),"-")</f>
        <v>-</v>
      </c>
    </row>
    <row r="5486" customHeight="1" spans="2:2">
      <c r="B5486" s="62" t="str">
        <f>IF(AND('领用录入（明细）'!D:D=$F$4,'领用录入（明细）'!C:C&gt;=$J$4,'领用录入（明细）'!C:C&lt;=$L$4),ROW(),"-")</f>
        <v>-</v>
      </c>
    </row>
    <row r="5487" customHeight="1" spans="2:2">
      <c r="B5487" s="62" t="str">
        <f>IF(AND('领用录入（明细）'!D:D=$F$4,'领用录入（明细）'!C:C&gt;=$J$4,'领用录入（明细）'!C:C&lt;=$L$4),ROW(),"-")</f>
        <v>-</v>
      </c>
    </row>
    <row r="5488" customHeight="1" spans="2:2">
      <c r="B5488" s="62" t="str">
        <f>IF(AND('领用录入（明细）'!D:D=$F$4,'领用录入（明细）'!C:C&gt;=$J$4,'领用录入（明细）'!C:C&lt;=$L$4),ROW(),"-")</f>
        <v>-</v>
      </c>
    </row>
    <row r="5489" customHeight="1" spans="2:2">
      <c r="B5489" s="62" t="str">
        <f>IF(AND('领用录入（明细）'!D:D=$F$4,'领用录入（明细）'!C:C&gt;=$J$4,'领用录入（明细）'!C:C&lt;=$L$4),ROW(),"-")</f>
        <v>-</v>
      </c>
    </row>
    <row r="5490" customHeight="1" spans="2:2">
      <c r="B5490" s="62" t="str">
        <f>IF(AND('领用录入（明细）'!D:D=$F$4,'领用录入（明细）'!C:C&gt;=$J$4,'领用录入（明细）'!C:C&lt;=$L$4),ROW(),"-")</f>
        <v>-</v>
      </c>
    </row>
    <row r="5491" customHeight="1" spans="2:2">
      <c r="B5491" s="62" t="str">
        <f>IF(AND('领用录入（明细）'!D:D=$F$4,'领用录入（明细）'!C:C&gt;=$J$4,'领用录入（明细）'!C:C&lt;=$L$4),ROW(),"-")</f>
        <v>-</v>
      </c>
    </row>
    <row r="5492" customHeight="1" spans="2:2">
      <c r="B5492" s="62" t="str">
        <f>IF(AND('领用录入（明细）'!D:D=$F$4,'领用录入（明细）'!C:C&gt;=$J$4,'领用录入（明细）'!C:C&lt;=$L$4),ROW(),"-")</f>
        <v>-</v>
      </c>
    </row>
    <row r="5493" customHeight="1" spans="2:2">
      <c r="B5493" s="62" t="str">
        <f>IF(AND('领用录入（明细）'!D:D=$F$4,'领用录入（明细）'!C:C&gt;=$J$4,'领用录入（明细）'!C:C&lt;=$L$4),ROW(),"-")</f>
        <v>-</v>
      </c>
    </row>
    <row r="5494" customHeight="1" spans="2:2">
      <c r="B5494" s="62" t="str">
        <f>IF(AND('领用录入（明细）'!D:D=$F$4,'领用录入（明细）'!C:C&gt;=$J$4,'领用录入（明细）'!C:C&lt;=$L$4),ROW(),"-")</f>
        <v>-</v>
      </c>
    </row>
    <row r="5495" customHeight="1" spans="2:2">
      <c r="B5495" s="62" t="str">
        <f>IF(AND('领用录入（明细）'!D:D=$F$4,'领用录入（明细）'!C:C&gt;=$J$4,'领用录入（明细）'!C:C&lt;=$L$4),ROW(),"-")</f>
        <v>-</v>
      </c>
    </row>
    <row r="5496" customHeight="1" spans="2:2">
      <c r="B5496" s="62" t="str">
        <f>IF(AND('领用录入（明细）'!D:D=$F$4,'领用录入（明细）'!C:C&gt;=$J$4,'领用录入（明细）'!C:C&lt;=$L$4),ROW(),"-")</f>
        <v>-</v>
      </c>
    </row>
    <row r="5497" customHeight="1" spans="2:2">
      <c r="B5497" s="62" t="str">
        <f>IF(AND('领用录入（明细）'!D:D=$F$4,'领用录入（明细）'!C:C&gt;=$J$4,'领用录入（明细）'!C:C&lt;=$L$4),ROW(),"-")</f>
        <v>-</v>
      </c>
    </row>
    <row r="5498" customHeight="1" spans="2:2">
      <c r="B5498" s="62" t="str">
        <f>IF(AND('领用录入（明细）'!D:D=$F$4,'领用录入（明细）'!C:C&gt;=$J$4,'领用录入（明细）'!C:C&lt;=$L$4),ROW(),"-")</f>
        <v>-</v>
      </c>
    </row>
    <row r="5499" customHeight="1" spans="2:2">
      <c r="B5499" s="62" t="str">
        <f>IF(AND('领用录入（明细）'!D:D=$F$4,'领用录入（明细）'!C:C&gt;=$J$4,'领用录入（明细）'!C:C&lt;=$L$4),ROW(),"-")</f>
        <v>-</v>
      </c>
    </row>
    <row r="5500" customHeight="1" spans="2:2">
      <c r="B5500" s="62" t="str">
        <f>IF(AND('领用录入（明细）'!D:D=$F$4,'领用录入（明细）'!C:C&gt;=$J$4,'领用录入（明细）'!C:C&lt;=$L$4),ROW(),"-")</f>
        <v>-</v>
      </c>
    </row>
    <row r="5501" customHeight="1" spans="2:2">
      <c r="B5501" s="62" t="str">
        <f>IF(AND('领用录入（明细）'!D:D=$F$4,'领用录入（明细）'!C:C&gt;=$J$4,'领用录入（明细）'!C:C&lt;=$L$4),ROW(),"-")</f>
        <v>-</v>
      </c>
    </row>
    <row r="5502" customHeight="1" spans="2:2">
      <c r="B5502" s="62" t="str">
        <f>IF(AND('领用录入（明细）'!D:D=$F$4,'领用录入（明细）'!C:C&gt;=$J$4,'领用录入（明细）'!C:C&lt;=$L$4),ROW(),"-")</f>
        <v>-</v>
      </c>
    </row>
    <row r="5503" customHeight="1" spans="2:2">
      <c r="B5503" s="62" t="str">
        <f>IF(AND('领用录入（明细）'!D:D=$F$4,'领用录入（明细）'!C:C&gt;=$J$4,'领用录入（明细）'!C:C&lt;=$L$4),ROW(),"-")</f>
        <v>-</v>
      </c>
    </row>
    <row r="5504" customHeight="1" spans="2:2">
      <c r="B5504" s="62" t="str">
        <f>IF(AND('领用录入（明细）'!D:D=$F$4,'领用录入（明细）'!C:C&gt;=$J$4,'领用录入（明细）'!C:C&lt;=$L$4),ROW(),"-")</f>
        <v>-</v>
      </c>
    </row>
    <row r="5505" customHeight="1" spans="2:2">
      <c r="B5505" s="62" t="str">
        <f>IF(AND('领用录入（明细）'!D:D=$F$4,'领用录入（明细）'!C:C&gt;=$J$4,'领用录入（明细）'!C:C&lt;=$L$4),ROW(),"-")</f>
        <v>-</v>
      </c>
    </row>
    <row r="5506" customHeight="1" spans="2:2">
      <c r="B5506" s="62" t="str">
        <f>IF(AND('领用录入（明细）'!D:D=$F$4,'领用录入（明细）'!C:C&gt;=$J$4,'领用录入（明细）'!C:C&lt;=$L$4),ROW(),"-")</f>
        <v>-</v>
      </c>
    </row>
    <row r="5507" customHeight="1" spans="2:2">
      <c r="B5507" s="62" t="str">
        <f>IF(AND('领用录入（明细）'!D:D=$F$4,'领用录入（明细）'!C:C&gt;=$J$4,'领用录入（明细）'!C:C&lt;=$L$4),ROW(),"-")</f>
        <v>-</v>
      </c>
    </row>
    <row r="5508" customHeight="1" spans="2:2">
      <c r="B5508" s="62" t="str">
        <f>IF(AND('领用录入（明细）'!D:D=$F$4,'领用录入（明细）'!C:C&gt;=$J$4,'领用录入（明细）'!C:C&lt;=$L$4),ROW(),"-")</f>
        <v>-</v>
      </c>
    </row>
    <row r="5509" customHeight="1" spans="2:2">
      <c r="B5509" s="62" t="str">
        <f>IF(AND('领用录入（明细）'!D:D=$F$4,'领用录入（明细）'!C:C&gt;=$J$4,'领用录入（明细）'!C:C&lt;=$L$4),ROW(),"-")</f>
        <v>-</v>
      </c>
    </row>
    <row r="5510" customHeight="1" spans="2:2">
      <c r="B5510" s="62" t="str">
        <f>IF(AND('领用录入（明细）'!D:D=$F$4,'领用录入（明细）'!C:C&gt;=$J$4,'领用录入（明细）'!C:C&lt;=$L$4),ROW(),"-")</f>
        <v>-</v>
      </c>
    </row>
    <row r="5511" customHeight="1" spans="2:2">
      <c r="B5511" s="62" t="str">
        <f>IF(AND('领用录入（明细）'!D:D=$F$4,'领用录入（明细）'!C:C&gt;=$J$4,'领用录入（明细）'!C:C&lt;=$L$4),ROW(),"-")</f>
        <v>-</v>
      </c>
    </row>
    <row r="5512" customHeight="1" spans="2:2">
      <c r="B5512" s="62" t="str">
        <f>IF(AND('领用录入（明细）'!D:D=$F$4,'领用录入（明细）'!C:C&gt;=$J$4,'领用录入（明细）'!C:C&lt;=$L$4),ROW(),"-")</f>
        <v>-</v>
      </c>
    </row>
    <row r="5513" customHeight="1" spans="2:2">
      <c r="B5513" s="62" t="str">
        <f>IF(AND('领用录入（明细）'!D:D=$F$4,'领用录入（明细）'!C:C&gt;=$J$4,'领用录入（明细）'!C:C&lt;=$L$4),ROW(),"-")</f>
        <v>-</v>
      </c>
    </row>
    <row r="5514" customHeight="1" spans="2:2">
      <c r="B5514" s="62" t="str">
        <f>IF(AND('领用录入（明细）'!D:D=$F$4,'领用录入（明细）'!C:C&gt;=$J$4,'领用录入（明细）'!C:C&lt;=$L$4),ROW(),"-")</f>
        <v>-</v>
      </c>
    </row>
    <row r="5515" customHeight="1" spans="2:2">
      <c r="B5515" s="62" t="str">
        <f>IF(AND('领用录入（明细）'!D:D=$F$4,'领用录入（明细）'!C:C&gt;=$J$4,'领用录入（明细）'!C:C&lt;=$L$4),ROW(),"-")</f>
        <v>-</v>
      </c>
    </row>
    <row r="5516" customHeight="1" spans="2:2">
      <c r="B5516" s="62" t="str">
        <f>IF(AND('领用录入（明细）'!D:D=$F$4,'领用录入（明细）'!C:C&gt;=$J$4,'领用录入（明细）'!C:C&lt;=$L$4),ROW(),"-")</f>
        <v>-</v>
      </c>
    </row>
    <row r="5517" customHeight="1" spans="2:2">
      <c r="B5517" s="62" t="str">
        <f>IF(AND('领用录入（明细）'!D:D=$F$4,'领用录入（明细）'!C:C&gt;=$J$4,'领用录入（明细）'!C:C&lt;=$L$4),ROW(),"-")</f>
        <v>-</v>
      </c>
    </row>
    <row r="5518" customHeight="1" spans="2:2">
      <c r="B5518" s="62" t="str">
        <f>IF(AND('领用录入（明细）'!D:D=$F$4,'领用录入（明细）'!C:C&gt;=$J$4,'领用录入（明细）'!C:C&lt;=$L$4),ROW(),"-")</f>
        <v>-</v>
      </c>
    </row>
    <row r="5519" customHeight="1" spans="2:2">
      <c r="B5519" s="62" t="str">
        <f>IF(AND('领用录入（明细）'!D:D=$F$4,'领用录入（明细）'!C:C&gt;=$J$4,'领用录入（明细）'!C:C&lt;=$L$4),ROW(),"-")</f>
        <v>-</v>
      </c>
    </row>
    <row r="5520" customHeight="1" spans="2:2">
      <c r="B5520" s="62" t="str">
        <f>IF(AND('领用录入（明细）'!D:D=$F$4,'领用录入（明细）'!C:C&gt;=$J$4,'领用录入（明细）'!C:C&lt;=$L$4),ROW(),"-")</f>
        <v>-</v>
      </c>
    </row>
    <row r="5521" customHeight="1" spans="2:2">
      <c r="B5521" s="62" t="str">
        <f>IF(AND('领用录入（明细）'!D:D=$F$4,'领用录入（明细）'!C:C&gt;=$J$4,'领用录入（明细）'!C:C&lt;=$L$4),ROW(),"-")</f>
        <v>-</v>
      </c>
    </row>
    <row r="5522" customHeight="1" spans="2:2">
      <c r="B5522" s="62" t="str">
        <f>IF(AND('领用录入（明细）'!D:D=$F$4,'领用录入（明细）'!C:C&gt;=$J$4,'领用录入（明细）'!C:C&lt;=$L$4),ROW(),"-")</f>
        <v>-</v>
      </c>
    </row>
    <row r="5523" customHeight="1" spans="2:2">
      <c r="B5523" s="62" t="str">
        <f>IF(AND('领用录入（明细）'!D:D=$F$4,'领用录入（明细）'!C:C&gt;=$J$4,'领用录入（明细）'!C:C&lt;=$L$4),ROW(),"-")</f>
        <v>-</v>
      </c>
    </row>
    <row r="5524" customHeight="1" spans="2:2">
      <c r="B5524" s="62" t="str">
        <f>IF(AND('领用录入（明细）'!D:D=$F$4,'领用录入（明细）'!C:C&gt;=$J$4,'领用录入（明细）'!C:C&lt;=$L$4),ROW(),"-")</f>
        <v>-</v>
      </c>
    </row>
    <row r="5525" customHeight="1" spans="2:2">
      <c r="B5525" s="62" t="str">
        <f>IF(AND('领用录入（明细）'!D:D=$F$4,'领用录入（明细）'!C:C&gt;=$J$4,'领用录入（明细）'!C:C&lt;=$L$4),ROW(),"-")</f>
        <v>-</v>
      </c>
    </row>
    <row r="5526" customHeight="1" spans="2:2">
      <c r="B5526" s="62" t="str">
        <f>IF(AND('领用录入（明细）'!D:D=$F$4,'领用录入（明细）'!C:C&gt;=$J$4,'领用录入（明细）'!C:C&lt;=$L$4),ROW(),"-")</f>
        <v>-</v>
      </c>
    </row>
    <row r="5527" customHeight="1" spans="2:2">
      <c r="B5527" s="62" t="str">
        <f>IF(AND('领用录入（明细）'!D:D=$F$4,'领用录入（明细）'!C:C&gt;=$J$4,'领用录入（明细）'!C:C&lt;=$L$4),ROW(),"-")</f>
        <v>-</v>
      </c>
    </row>
    <row r="5528" customHeight="1" spans="2:2">
      <c r="B5528" s="62" t="str">
        <f>IF(AND('领用录入（明细）'!D:D=$F$4,'领用录入（明细）'!C:C&gt;=$J$4,'领用录入（明细）'!C:C&lt;=$L$4),ROW(),"-")</f>
        <v>-</v>
      </c>
    </row>
    <row r="5529" customHeight="1" spans="2:2">
      <c r="B5529" s="62" t="str">
        <f>IF(AND('领用录入（明细）'!D:D=$F$4,'领用录入（明细）'!C:C&gt;=$J$4,'领用录入（明细）'!C:C&lt;=$L$4),ROW(),"-")</f>
        <v>-</v>
      </c>
    </row>
    <row r="5530" customHeight="1" spans="2:2">
      <c r="B5530" s="62" t="str">
        <f>IF(AND('领用录入（明细）'!D:D=$F$4,'领用录入（明细）'!C:C&gt;=$J$4,'领用录入（明细）'!C:C&lt;=$L$4),ROW(),"-")</f>
        <v>-</v>
      </c>
    </row>
    <row r="5531" customHeight="1" spans="2:2">
      <c r="B5531" s="62" t="str">
        <f>IF(AND('领用录入（明细）'!D:D=$F$4,'领用录入（明细）'!C:C&gt;=$J$4,'领用录入（明细）'!C:C&lt;=$L$4),ROW(),"-")</f>
        <v>-</v>
      </c>
    </row>
    <row r="5532" customHeight="1" spans="2:2">
      <c r="B5532" s="62" t="str">
        <f>IF(AND('领用录入（明细）'!D:D=$F$4,'领用录入（明细）'!C:C&gt;=$J$4,'领用录入（明细）'!C:C&lt;=$L$4),ROW(),"-")</f>
        <v>-</v>
      </c>
    </row>
    <row r="5533" customHeight="1" spans="2:2">
      <c r="B5533" s="62" t="str">
        <f>IF(AND('领用录入（明细）'!D:D=$F$4,'领用录入（明细）'!C:C&gt;=$J$4,'领用录入（明细）'!C:C&lt;=$L$4),ROW(),"-")</f>
        <v>-</v>
      </c>
    </row>
    <row r="5534" customHeight="1" spans="2:2">
      <c r="B5534" s="62" t="str">
        <f>IF(AND('领用录入（明细）'!D:D=$F$4,'领用录入（明细）'!C:C&gt;=$J$4,'领用录入（明细）'!C:C&lt;=$L$4),ROW(),"-")</f>
        <v>-</v>
      </c>
    </row>
    <row r="5535" customHeight="1" spans="2:2">
      <c r="B5535" s="62" t="str">
        <f>IF(AND('领用录入（明细）'!D:D=$F$4,'领用录入（明细）'!C:C&gt;=$J$4,'领用录入（明细）'!C:C&lt;=$L$4),ROW(),"-")</f>
        <v>-</v>
      </c>
    </row>
    <row r="5536" customHeight="1" spans="2:2">
      <c r="B5536" s="62" t="str">
        <f>IF(AND('领用录入（明细）'!D:D=$F$4,'领用录入（明细）'!C:C&gt;=$J$4,'领用录入（明细）'!C:C&lt;=$L$4),ROW(),"-")</f>
        <v>-</v>
      </c>
    </row>
    <row r="5537" customHeight="1" spans="2:2">
      <c r="B5537" s="62" t="str">
        <f>IF(AND('领用录入（明细）'!D:D=$F$4,'领用录入（明细）'!C:C&gt;=$J$4,'领用录入（明细）'!C:C&lt;=$L$4),ROW(),"-")</f>
        <v>-</v>
      </c>
    </row>
    <row r="5538" customHeight="1" spans="2:2">
      <c r="B5538" s="62" t="str">
        <f>IF(AND('领用录入（明细）'!D:D=$F$4,'领用录入（明细）'!C:C&gt;=$J$4,'领用录入（明细）'!C:C&lt;=$L$4),ROW(),"-")</f>
        <v>-</v>
      </c>
    </row>
    <row r="5539" customHeight="1" spans="2:2">
      <c r="B5539" s="62" t="str">
        <f>IF(AND('领用录入（明细）'!D:D=$F$4,'领用录入（明细）'!C:C&gt;=$J$4,'领用录入（明细）'!C:C&lt;=$L$4),ROW(),"-")</f>
        <v>-</v>
      </c>
    </row>
    <row r="5540" customHeight="1" spans="2:2">
      <c r="B5540" s="62" t="str">
        <f>IF(AND('领用录入（明细）'!D:D=$F$4,'领用录入（明细）'!C:C&gt;=$J$4,'领用录入（明细）'!C:C&lt;=$L$4),ROW(),"-")</f>
        <v>-</v>
      </c>
    </row>
    <row r="5541" customHeight="1" spans="2:2">
      <c r="B5541" s="62" t="str">
        <f>IF(AND('领用录入（明细）'!D:D=$F$4,'领用录入（明细）'!C:C&gt;=$J$4,'领用录入（明细）'!C:C&lt;=$L$4),ROW(),"-")</f>
        <v>-</v>
      </c>
    </row>
    <row r="5542" customHeight="1" spans="2:2">
      <c r="B5542" s="62" t="str">
        <f>IF(AND('领用录入（明细）'!D:D=$F$4,'领用录入（明细）'!C:C&gt;=$J$4,'领用录入（明细）'!C:C&lt;=$L$4),ROW(),"-")</f>
        <v>-</v>
      </c>
    </row>
    <row r="5543" customHeight="1" spans="2:2">
      <c r="B5543" s="62" t="str">
        <f>IF(AND('领用录入（明细）'!D:D=$F$4,'领用录入（明细）'!C:C&gt;=$J$4,'领用录入（明细）'!C:C&lt;=$L$4),ROW(),"-")</f>
        <v>-</v>
      </c>
    </row>
    <row r="5544" customHeight="1" spans="2:2">
      <c r="B5544" s="62" t="str">
        <f>IF(AND('领用录入（明细）'!D:D=$F$4,'领用录入（明细）'!C:C&gt;=$J$4,'领用录入（明细）'!C:C&lt;=$L$4),ROW(),"-")</f>
        <v>-</v>
      </c>
    </row>
    <row r="5545" customHeight="1" spans="2:2">
      <c r="B5545" s="62" t="str">
        <f>IF(AND('领用录入（明细）'!D:D=$F$4,'领用录入（明细）'!C:C&gt;=$J$4,'领用录入（明细）'!C:C&lt;=$L$4),ROW(),"-")</f>
        <v>-</v>
      </c>
    </row>
    <row r="5546" customHeight="1" spans="2:2">
      <c r="B5546" s="62" t="str">
        <f>IF(AND('领用录入（明细）'!D:D=$F$4,'领用录入（明细）'!C:C&gt;=$J$4,'领用录入（明细）'!C:C&lt;=$L$4),ROW(),"-")</f>
        <v>-</v>
      </c>
    </row>
    <row r="5547" customHeight="1" spans="2:2">
      <c r="B5547" s="62" t="str">
        <f>IF(AND('领用录入（明细）'!D:D=$F$4,'领用录入（明细）'!C:C&gt;=$J$4,'领用录入（明细）'!C:C&lt;=$L$4),ROW(),"-")</f>
        <v>-</v>
      </c>
    </row>
    <row r="5548" customHeight="1" spans="2:2">
      <c r="B5548" s="62" t="str">
        <f>IF(AND('领用录入（明细）'!D:D=$F$4,'领用录入（明细）'!C:C&gt;=$J$4,'领用录入（明细）'!C:C&lt;=$L$4),ROW(),"-")</f>
        <v>-</v>
      </c>
    </row>
    <row r="5549" customHeight="1" spans="2:2">
      <c r="B5549" s="62" t="str">
        <f>IF(AND('领用录入（明细）'!D:D=$F$4,'领用录入（明细）'!C:C&gt;=$J$4,'领用录入（明细）'!C:C&lt;=$L$4),ROW(),"-")</f>
        <v>-</v>
      </c>
    </row>
    <row r="5550" customHeight="1" spans="2:2">
      <c r="B5550" s="62" t="str">
        <f>IF(AND('领用录入（明细）'!D:D=$F$4,'领用录入（明细）'!C:C&gt;=$J$4,'领用录入（明细）'!C:C&lt;=$L$4),ROW(),"-")</f>
        <v>-</v>
      </c>
    </row>
    <row r="5551" customHeight="1" spans="2:2">
      <c r="B5551" s="62" t="str">
        <f>IF(AND('领用录入（明细）'!D:D=$F$4,'领用录入（明细）'!C:C&gt;=$J$4,'领用录入（明细）'!C:C&lt;=$L$4),ROW(),"-")</f>
        <v>-</v>
      </c>
    </row>
    <row r="5552" customHeight="1" spans="2:2">
      <c r="B5552" s="62" t="str">
        <f>IF(AND('领用录入（明细）'!D:D=$F$4,'领用录入（明细）'!C:C&gt;=$J$4,'领用录入（明细）'!C:C&lt;=$L$4),ROW(),"-")</f>
        <v>-</v>
      </c>
    </row>
    <row r="5553" customHeight="1" spans="2:2">
      <c r="B5553" s="62" t="str">
        <f>IF(AND('领用录入（明细）'!D:D=$F$4,'领用录入（明细）'!C:C&gt;=$J$4,'领用录入（明细）'!C:C&lt;=$L$4),ROW(),"-")</f>
        <v>-</v>
      </c>
    </row>
    <row r="5554" customHeight="1" spans="2:2">
      <c r="B5554" s="62" t="str">
        <f>IF(AND('领用录入（明细）'!D:D=$F$4,'领用录入（明细）'!C:C&gt;=$J$4,'领用录入（明细）'!C:C&lt;=$L$4),ROW(),"-")</f>
        <v>-</v>
      </c>
    </row>
    <row r="5555" customHeight="1" spans="2:2">
      <c r="B5555" s="62" t="str">
        <f>IF(AND('领用录入（明细）'!D:D=$F$4,'领用录入（明细）'!C:C&gt;=$J$4,'领用录入（明细）'!C:C&lt;=$L$4),ROW(),"-")</f>
        <v>-</v>
      </c>
    </row>
    <row r="5556" customHeight="1" spans="2:2">
      <c r="B5556" s="62" t="str">
        <f>IF(AND('领用录入（明细）'!D:D=$F$4,'领用录入（明细）'!C:C&gt;=$J$4,'领用录入（明细）'!C:C&lt;=$L$4),ROW(),"-")</f>
        <v>-</v>
      </c>
    </row>
    <row r="5557" customHeight="1" spans="2:2">
      <c r="B5557" s="62" t="str">
        <f>IF(AND('领用录入（明细）'!D:D=$F$4,'领用录入（明细）'!C:C&gt;=$J$4,'领用录入（明细）'!C:C&lt;=$L$4),ROW(),"-")</f>
        <v>-</v>
      </c>
    </row>
    <row r="5558" customHeight="1" spans="2:2">
      <c r="B5558" s="62" t="str">
        <f>IF(AND('领用录入（明细）'!D:D=$F$4,'领用录入（明细）'!C:C&gt;=$J$4,'领用录入（明细）'!C:C&lt;=$L$4),ROW(),"-")</f>
        <v>-</v>
      </c>
    </row>
    <row r="5559" customHeight="1" spans="2:2">
      <c r="B5559" s="62" t="str">
        <f>IF(AND('领用录入（明细）'!D:D=$F$4,'领用录入（明细）'!C:C&gt;=$J$4,'领用录入（明细）'!C:C&lt;=$L$4),ROW(),"-")</f>
        <v>-</v>
      </c>
    </row>
    <row r="5560" customHeight="1" spans="2:2">
      <c r="B5560" s="62" t="str">
        <f>IF(AND('领用录入（明细）'!D:D=$F$4,'领用录入（明细）'!C:C&gt;=$J$4,'领用录入（明细）'!C:C&lt;=$L$4),ROW(),"-")</f>
        <v>-</v>
      </c>
    </row>
    <row r="5561" customHeight="1" spans="2:2">
      <c r="B5561" s="62" t="str">
        <f>IF(AND('领用录入（明细）'!D:D=$F$4,'领用录入（明细）'!C:C&gt;=$J$4,'领用录入（明细）'!C:C&lt;=$L$4),ROW(),"-")</f>
        <v>-</v>
      </c>
    </row>
    <row r="5562" customHeight="1" spans="2:2">
      <c r="B5562" s="62" t="str">
        <f>IF(AND('领用录入（明细）'!D:D=$F$4,'领用录入（明细）'!C:C&gt;=$J$4,'领用录入（明细）'!C:C&lt;=$L$4),ROW(),"-")</f>
        <v>-</v>
      </c>
    </row>
    <row r="5563" customHeight="1" spans="2:2">
      <c r="B5563" s="62" t="str">
        <f>IF(AND('领用录入（明细）'!D:D=$F$4,'领用录入（明细）'!C:C&gt;=$J$4,'领用录入（明细）'!C:C&lt;=$L$4),ROW(),"-")</f>
        <v>-</v>
      </c>
    </row>
    <row r="5564" customHeight="1" spans="2:2">
      <c r="B5564" s="62" t="str">
        <f>IF(AND('领用录入（明细）'!D:D=$F$4,'领用录入（明细）'!C:C&gt;=$J$4,'领用录入（明细）'!C:C&lt;=$L$4),ROW(),"-")</f>
        <v>-</v>
      </c>
    </row>
    <row r="5565" customHeight="1" spans="2:2">
      <c r="B5565" s="62" t="str">
        <f>IF(AND('领用录入（明细）'!D:D=$F$4,'领用录入（明细）'!C:C&gt;=$J$4,'领用录入（明细）'!C:C&lt;=$L$4),ROW(),"-")</f>
        <v>-</v>
      </c>
    </row>
    <row r="5566" customHeight="1" spans="2:2">
      <c r="B5566" s="62" t="str">
        <f>IF(AND('领用录入（明细）'!D:D=$F$4,'领用录入（明细）'!C:C&gt;=$J$4,'领用录入（明细）'!C:C&lt;=$L$4),ROW(),"-")</f>
        <v>-</v>
      </c>
    </row>
    <row r="5567" customHeight="1" spans="2:2">
      <c r="B5567" s="62" t="str">
        <f>IF(AND('领用录入（明细）'!D:D=$F$4,'领用录入（明细）'!C:C&gt;=$J$4,'领用录入（明细）'!C:C&lt;=$L$4),ROW(),"-")</f>
        <v>-</v>
      </c>
    </row>
    <row r="5568" customHeight="1" spans="2:2">
      <c r="B5568" s="62" t="str">
        <f>IF(AND('领用录入（明细）'!D:D=$F$4,'领用录入（明细）'!C:C&gt;=$J$4,'领用录入（明细）'!C:C&lt;=$L$4),ROW(),"-")</f>
        <v>-</v>
      </c>
    </row>
    <row r="5569" customHeight="1" spans="2:2">
      <c r="B5569" s="62" t="str">
        <f>IF(AND('领用录入（明细）'!D:D=$F$4,'领用录入（明细）'!C:C&gt;=$J$4,'领用录入（明细）'!C:C&lt;=$L$4),ROW(),"-")</f>
        <v>-</v>
      </c>
    </row>
    <row r="5570" customHeight="1" spans="2:2">
      <c r="B5570" s="62" t="str">
        <f>IF(AND('领用录入（明细）'!D:D=$F$4,'领用录入（明细）'!C:C&gt;=$J$4,'领用录入（明细）'!C:C&lt;=$L$4),ROW(),"-")</f>
        <v>-</v>
      </c>
    </row>
    <row r="5571" customHeight="1" spans="2:2">
      <c r="B5571" s="62" t="str">
        <f>IF(AND('领用录入（明细）'!D:D=$F$4,'领用录入（明细）'!C:C&gt;=$J$4,'领用录入（明细）'!C:C&lt;=$L$4),ROW(),"-")</f>
        <v>-</v>
      </c>
    </row>
    <row r="5572" customHeight="1" spans="2:2">
      <c r="B5572" s="62" t="str">
        <f>IF(AND('领用录入（明细）'!D:D=$F$4,'领用录入（明细）'!C:C&gt;=$J$4,'领用录入（明细）'!C:C&lt;=$L$4),ROW(),"-")</f>
        <v>-</v>
      </c>
    </row>
    <row r="5573" customHeight="1" spans="2:2">
      <c r="B5573" s="62" t="str">
        <f>IF(AND('领用录入（明细）'!D:D=$F$4,'领用录入（明细）'!C:C&gt;=$J$4,'领用录入（明细）'!C:C&lt;=$L$4),ROW(),"-")</f>
        <v>-</v>
      </c>
    </row>
    <row r="5574" customHeight="1" spans="2:2">
      <c r="B5574" s="62" t="str">
        <f>IF(AND('领用录入（明细）'!D:D=$F$4,'领用录入（明细）'!C:C&gt;=$J$4,'领用录入（明细）'!C:C&lt;=$L$4),ROW(),"-")</f>
        <v>-</v>
      </c>
    </row>
    <row r="5575" customHeight="1" spans="2:2">
      <c r="B5575" s="62" t="str">
        <f>IF(AND('领用录入（明细）'!D:D=$F$4,'领用录入（明细）'!C:C&gt;=$J$4,'领用录入（明细）'!C:C&lt;=$L$4),ROW(),"-")</f>
        <v>-</v>
      </c>
    </row>
    <row r="5576" customHeight="1" spans="2:2">
      <c r="B5576" s="62" t="str">
        <f>IF(AND('领用录入（明细）'!D:D=$F$4,'领用录入（明细）'!C:C&gt;=$J$4,'领用录入（明细）'!C:C&lt;=$L$4),ROW(),"-")</f>
        <v>-</v>
      </c>
    </row>
    <row r="5577" customHeight="1" spans="2:2">
      <c r="B5577" s="62" t="str">
        <f>IF(AND('领用录入（明细）'!D:D=$F$4,'领用录入（明细）'!C:C&gt;=$J$4,'领用录入（明细）'!C:C&lt;=$L$4),ROW(),"-")</f>
        <v>-</v>
      </c>
    </row>
    <row r="5578" customHeight="1" spans="2:2">
      <c r="B5578" s="62" t="str">
        <f>IF(AND('领用录入（明细）'!D:D=$F$4,'领用录入（明细）'!C:C&gt;=$J$4,'领用录入（明细）'!C:C&lt;=$L$4),ROW(),"-")</f>
        <v>-</v>
      </c>
    </row>
    <row r="5579" customHeight="1" spans="2:2">
      <c r="B5579" s="62" t="str">
        <f>IF(AND('领用录入（明细）'!D:D=$F$4,'领用录入（明细）'!C:C&gt;=$J$4,'领用录入（明细）'!C:C&lt;=$L$4),ROW(),"-")</f>
        <v>-</v>
      </c>
    </row>
    <row r="5580" customHeight="1" spans="2:2">
      <c r="B5580" s="62" t="str">
        <f>IF(AND('领用录入（明细）'!D:D=$F$4,'领用录入（明细）'!C:C&gt;=$J$4,'领用录入（明细）'!C:C&lt;=$L$4),ROW(),"-")</f>
        <v>-</v>
      </c>
    </row>
    <row r="5581" customHeight="1" spans="2:2">
      <c r="B5581" s="62" t="str">
        <f>IF(AND('领用录入（明细）'!D:D=$F$4,'领用录入（明细）'!C:C&gt;=$J$4,'领用录入（明细）'!C:C&lt;=$L$4),ROW(),"-")</f>
        <v>-</v>
      </c>
    </row>
    <row r="5582" customHeight="1" spans="2:2">
      <c r="B5582" s="62" t="str">
        <f>IF(AND('领用录入（明细）'!D:D=$F$4,'领用录入（明细）'!C:C&gt;=$J$4,'领用录入（明细）'!C:C&lt;=$L$4),ROW(),"-")</f>
        <v>-</v>
      </c>
    </row>
    <row r="5583" customHeight="1" spans="2:2">
      <c r="B5583" s="62" t="str">
        <f>IF(AND('领用录入（明细）'!D:D=$F$4,'领用录入（明细）'!C:C&gt;=$J$4,'领用录入（明细）'!C:C&lt;=$L$4),ROW(),"-")</f>
        <v>-</v>
      </c>
    </row>
    <row r="5584" customHeight="1" spans="2:2">
      <c r="B5584" s="62" t="str">
        <f>IF(AND('领用录入（明细）'!D:D=$F$4,'领用录入（明细）'!C:C&gt;=$J$4,'领用录入（明细）'!C:C&lt;=$L$4),ROW(),"-")</f>
        <v>-</v>
      </c>
    </row>
    <row r="5585" customHeight="1" spans="2:2">
      <c r="B5585" s="62" t="str">
        <f>IF(AND('领用录入（明细）'!D:D=$F$4,'领用录入（明细）'!C:C&gt;=$J$4,'领用录入（明细）'!C:C&lt;=$L$4),ROW(),"-")</f>
        <v>-</v>
      </c>
    </row>
    <row r="5586" customHeight="1" spans="2:2">
      <c r="B5586" s="62" t="str">
        <f>IF(AND('领用录入（明细）'!D:D=$F$4,'领用录入（明细）'!C:C&gt;=$J$4,'领用录入（明细）'!C:C&lt;=$L$4),ROW(),"-")</f>
        <v>-</v>
      </c>
    </row>
    <row r="5587" customHeight="1" spans="2:2">
      <c r="B5587" s="62" t="str">
        <f>IF(AND('领用录入（明细）'!D:D=$F$4,'领用录入（明细）'!C:C&gt;=$J$4,'领用录入（明细）'!C:C&lt;=$L$4),ROW(),"-")</f>
        <v>-</v>
      </c>
    </row>
    <row r="5588" customHeight="1" spans="2:2">
      <c r="B5588" s="62" t="str">
        <f>IF(AND('领用录入（明细）'!D:D=$F$4,'领用录入（明细）'!C:C&gt;=$J$4,'领用录入（明细）'!C:C&lt;=$L$4),ROW(),"-")</f>
        <v>-</v>
      </c>
    </row>
    <row r="5589" customHeight="1" spans="2:2">
      <c r="B5589" s="62" t="str">
        <f>IF(AND('领用录入（明细）'!D:D=$F$4,'领用录入（明细）'!C:C&gt;=$J$4,'领用录入（明细）'!C:C&lt;=$L$4),ROW(),"-")</f>
        <v>-</v>
      </c>
    </row>
    <row r="5590" customHeight="1" spans="2:2">
      <c r="B5590" s="62" t="str">
        <f>IF(AND('领用录入（明细）'!D:D=$F$4,'领用录入（明细）'!C:C&gt;=$J$4,'领用录入（明细）'!C:C&lt;=$L$4),ROW(),"-")</f>
        <v>-</v>
      </c>
    </row>
    <row r="5591" customHeight="1" spans="2:2">
      <c r="B5591" s="62" t="str">
        <f>IF(AND('领用录入（明细）'!D:D=$F$4,'领用录入（明细）'!C:C&gt;=$J$4,'领用录入（明细）'!C:C&lt;=$L$4),ROW(),"-")</f>
        <v>-</v>
      </c>
    </row>
    <row r="5592" customHeight="1" spans="2:2">
      <c r="B5592" s="62" t="str">
        <f>IF(AND('领用录入（明细）'!D:D=$F$4,'领用录入（明细）'!C:C&gt;=$J$4,'领用录入（明细）'!C:C&lt;=$L$4),ROW(),"-")</f>
        <v>-</v>
      </c>
    </row>
    <row r="5593" customHeight="1" spans="2:2">
      <c r="B5593" s="62" t="str">
        <f>IF(AND('领用录入（明细）'!D:D=$F$4,'领用录入（明细）'!C:C&gt;=$J$4,'领用录入（明细）'!C:C&lt;=$L$4),ROW(),"-")</f>
        <v>-</v>
      </c>
    </row>
    <row r="5594" customHeight="1" spans="2:2">
      <c r="B5594" s="62" t="str">
        <f>IF(AND('领用录入（明细）'!D:D=$F$4,'领用录入（明细）'!C:C&gt;=$J$4,'领用录入（明细）'!C:C&lt;=$L$4),ROW(),"-")</f>
        <v>-</v>
      </c>
    </row>
    <row r="5595" customHeight="1" spans="2:2">
      <c r="B5595" s="62" t="str">
        <f>IF(AND('领用录入（明细）'!D:D=$F$4,'领用录入（明细）'!C:C&gt;=$J$4,'领用录入（明细）'!C:C&lt;=$L$4),ROW(),"-")</f>
        <v>-</v>
      </c>
    </row>
    <row r="5596" customHeight="1" spans="2:2">
      <c r="B5596" s="62" t="str">
        <f>IF(AND('领用录入（明细）'!D:D=$F$4,'领用录入（明细）'!C:C&gt;=$J$4,'领用录入（明细）'!C:C&lt;=$L$4),ROW(),"-")</f>
        <v>-</v>
      </c>
    </row>
    <row r="5597" customHeight="1" spans="2:2">
      <c r="B5597" s="62" t="str">
        <f>IF(AND('领用录入（明细）'!D:D=$F$4,'领用录入（明细）'!C:C&gt;=$J$4,'领用录入（明细）'!C:C&lt;=$L$4),ROW(),"-")</f>
        <v>-</v>
      </c>
    </row>
    <row r="5598" customHeight="1" spans="2:2">
      <c r="B5598" s="62" t="str">
        <f>IF(AND('领用录入（明细）'!D:D=$F$4,'领用录入（明细）'!C:C&gt;=$J$4,'领用录入（明细）'!C:C&lt;=$L$4),ROW(),"-")</f>
        <v>-</v>
      </c>
    </row>
    <row r="5599" customHeight="1" spans="2:2">
      <c r="B5599" s="62" t="str">
        <f>IF(AND('领用录入（明细）'!D:D=$F$4,'领用录入（明细）'!C:C&gt;=$J$4,'领用录入（明细）'!C:C&lt;=$L$4),ROW(),"-")</f>
        <v>-</v>
      </c>
    </row>
    <row r="5600" customHeight="1" spans="2:2">
      <c r="B5600" s="62" t="str">
        <f>IF(AND('领用录入（明细）'!D:D=$F$4,'领用录入（明细）'!C:C&gt;=$J$4,'领用录入（明细）'!C:C&lt;=$L$4),ROW(),"-")</f>
        <v>-</v>
      </c>
    </row>
    <row r="5601" customHeight="1" spans="2:2">
      <c r="B5601" s="62" t="str">
        <f>IF(AND('领用录入（明细）'!D:D=$F$4,'领用录入（明细）'!C:C&gt;=$J$4,'领用录入（明细）'!C:C&lt;=$L$4),ROW(),"-")</f>
        <v>-</v>
      </c>
    </row>
    <row r="5602" customHeight="1" spans="2:2">
      <c r="B5602" s="62" t="str">
        <f>IF(AND('领用录入（明细）'!D:D=$F$4,'领用录入（明细）'!C:C&gt;=$J$4,'领用录入（明细）'!C:C&lt;=$L$4),ROW(),"-")</f>
        <v>-</v>
      </c>
    </row>
    <row r="5603" customHeight="1" spans="2:2">
      <c r="B5603" s="62" t="str">
        <f>IF(AND('领用录入（明细）'!D:D=$F$4,'领用录入（明细）'!C:C&gt;=$J$4,'领用录入（明细）'!C:C&lt;=$L$4),ROW(),"-")</f>
        <v>-</v>
      </c>
    </row>
    <row r="5604" customHeight="1" spans="2:2">
      <c r="B5604" s="62" t="str">
        <f>IF(AND('领用录入（明细）'!D:D=$F$4,'领用录入（明细）'!C:C&gt;=$J$4,'领用录入（明细）'!C:C&lt;=$L$4),ROW(),"-")</f>
        <v>-</v>
      </c>
    </row>
    <row r="5605" customHeight="1" spans="2:2">
      <c r="B5605" s="62" t="str">
        <f>IF(AND('领用录入（明细）'!D:D=$F$4,'领用录入（明细）'!C:C&gt;=$J$4,'领用录入（明细）'!C:C&lt;=$L$4),ROW(),"-")</f>
        <v>-</v>
      </c>
    </row>
    <row r="5606" customHeight="1" spans="2:2">
      <c r="B5606" s="62" t="str">
        <f>IF(AND('领用录入（明细）'!D:D=$F$4,'领用录入（明细）'!C:C&gt;=$J$4,'领用录入（明细）'!C:C&lt;=$L$4),ROW(),"-")</f>
        <v>-</v>
      </c>
    </row>
    <row r="5607" customHeight="1" spans="2:2">
      <c r="B5607" s="62" t="str">
        <f>IF(AND('领用录入（明细）'!D:D=$F$4,'领用录入（明细）'!C:C&gt;=$J$4,'领用录入（明细）'!C:C&lt;=$L$4),ROW(),"-")</f>
        <v>-</v>
      </c>
    </row>
    <row r="5608" customHeight="1" spans="2:2">
      <c r="B5608" s="62" t="str">
        <f>IF(AND('领用录入（明细）'!D:D=$F$4,'领用录入（明细）'!C:C&gt;=$J$4,'领用录入（明细）'!C:C&lt;=$L$4),ROW(),"-")</f>
        <v>-</v>
      </c>
    </row>
    <row r="5609" customHeight="1" spans="2:2">
      <c r="B5609" s="62" t="str">
        <f>IF(AND('领用录入（明细）'!D:D=$F$4,'领用录入（明细）'!C:C&gt;=$J$4,'领用录入（明细）'!C:C&lt;=$L$4),ROW(),"-")</f>
        <v>-</v>
      </c>
    </row>
    <row r="5610" customHeight="1" spans="2:2">
      <c r="B5610" s="62" t="str">
        <f>IF(AND('领用录入（明细）'!D:D=$F$4,'领用录入（明细）'!C:C&gt;=$J$4,'领用录入（明细）'!C:C&lt;=$L$4),ROW(),"-")</f>
        <v>-</v>
      </c>
    </row>
    <row r="5611" customHeight="1" spans="2:2">
      <c r="B5611" s="62" t="str">
        <f>IF(AND('领用录入（明细）'!D:D=$F$4,'领用录入（明细）'!C:C&gt;=$J$4,'领用录入（明细）'!C:C&lt;=$L$4),ROW(),"-")</f>
        <v>-</v>
      </c>
    </row>
    <row r="5612" customHeight="1" spans="2:2">
      <c r="B5612" s="62" t="str">
        <f>IF(AND('领用录入（明细）'!D:D=$F$4,'领用录入（明细）'!C:C&gt;=$J$4,'领用录入（明细）'!C:C&lt;=$L$4),ROW(),"-")</f>
        <v>-</v>
      </c>
    </row>
    <row r="5613" customHeight="1" spans="2:2">
      <c r="B5613" s="62" t="str">
        <f>IF(AND('领用录入（明细）'!D:D=$F$4,'领用录入（明细）'!C:C&gt;=$J$4,'领用录入（明细）'!C:C&lt;=$L$4),ROW(),"-")</f>
        <v>-</v>
      </c>
    </row>
    <row r="5614" customHeight="1" spans="2:2">
      <c r="B5614" s="62" t="str">
        <f>IF(AND('领用录入（明细）'!D:D=$F$4,'领用录入（明细）'!C:C&gt;=$J$4,'领用录入（明细）'!C:C&lt;=$L$4),ROW(),"-")</f>
        <v>-</v>
      </c>
    </row>
    <row r="5615" customHeight="1" spans="2:2">
      <c r="B5615" s="62" t="str">
        <f>IF(AND('领用录入（明细）'!D:D=$F$4,'领用录入（明细）'!C:C&gt;=$J$4,'领用录入（明细）'!C:C&lt;=$L$4),ROW(),"-")</f>
        <v>-</v>
      </c>
    </row>
    <row r="5616" customHeight="1" spans="2:2">
      <c r="B5616" s="62" t="str">
        <f>IF(AND('领用录入（明细）'!D:D=$F$4,'领用录入（明细）'!C:C&gt;=$J$4,'领用录入（明细）'!C:C&lt;=$L$4),ROW(),"-")</f>
        <v>-</v>
      </c>
    </row>
    <row r="5617" customHeight="1" spans="2:2">
      <c r="B5617" s="62" t="str">
        <f>IF(AND('领用录入（明细）'!D:D=$F$4,'领用录入（明细）'!C:C&gt;=$J$4,'领用录入（明细）'!C:C&lt;=$L$4),ROW(),"-")</f>
        <v>-</v>
      </c>
    </row>
    <row r="5618" customHeight="1" spans="2:2">
      <c r="B5618" s="62" t="str">
        <f>IF(AND('领用录入（明细）'!D:D=$F$4,'领用录入（明细）'!C:C&gt;=$J$4,'领用录入（明细）'!C:C&lt;=$L$4),ROW(),"-")</f>
        <v>-</v>
      </c>
    </row>
    <row r="5619" customHeight="1" spans="2:2">
      <c r="B5619" s="62" t="str">
        <f>IF(AND('领用录入（明细）'!D:D=$F$4,'领用录入（明细）'!C:C&gt;=$J$4,'领用录入（明细）'!C:C&lt;=$L$4),ROW(),"-")</f>
        <v>-</v>
      </c>
    </row>
    <row r="5620" customHeight="1" spans="2:2">
      <c r="B5620" s="62" t="str">
        <f>IF(AND('领用录入（明细）'!D:D=$F$4,'领用录入（明细）'!C:C&gt;=$J$4,'领用录入（明细）'!C:C&lt;=$L$4),ROW(),"-")</f>
        <v>-</v>
      </c>
    </row>
    <row r="5621" customHeight="1" spans="2:2">
      <c r="B5621" s="62" t="str">
        <f>IF(AND('领用录入（明细）'!D:D=$F$4,'领用录入（明细）'!C:C&gt;=$J$4,'领用录入（明细）'!C:C&lt;=$L$4),ROW(),"-")</f>
        <v>-</v>
      </c>
    </row>
    <row r="5622" customHeight="1" spans="2:2">
      <c r="B5622" s="62" t="str">
        <f>IF(AND('领用录入（明细）'!D:D=$F$4,'领用录入（明细）'!C:C&gt;=$J$4,'领用录入（明细）'!C:C&lt;=$L$4),ROW(),"-")</f>
        <v>-</v>
      </c>
    </row>
    <row r="5623" customHeight="1" spans="2:2">
      <c r="B5623" s="62" t="str">
        <f>IF(AND('领用录入（明细）'!D:D=$F$4,'领用录入（明细）'!C:C&gt;=$J$4,'领用录入（明细）'!C:C&lt;=$L$4),ROW(),"-")</f>
        <v>-</v>
      </c>
    </row>
    <row r="5624" customHeight="1" spans="2:2">
      <c r="B5624" s="62" t="str">
        <f>IF(AND('领用录入（明细）'!D:D=$F$4,'领用录入（明细）'!C:C&gt;=$J$4,'领用录入（明细）'!C:C&lt;=$L$4),ROW(),"-")</f>
        <v>-</v>
      </c>
    </row>
    <row r="5625" customHeight="1" spans="2:2">
      <c r="B5625" s="62" t="str">
        <f>IF(AND('领用录入（明细）'!D:D=$F$4,'领用录入（明细）'!C:C&gt;=$J$4,'领用录入（明细）'!C:C&lt;=$L$4),ROW(),"-")</f>
        <v>-</v>
      </c>
    </row>
    <row r="5626" customHeight="1" spans="2:2">
      <c r="B5626" s="62" t="str">
        <f>IF(AND('领用录入（明细）'!D:D=$F$4,'领用录入（明细）'!C:C&gt;=$J$4,'领用录入（明细）'!C:C&lt;=$L$4),ROW(),"-")</f>
        <v>-</v>
      </c>
    </row>
    <row r="5627" customHeight="1" spans="2:2">
      <c r="B5627" s="62" t="str">
        <f>IF(AND('领用录入（明细）'!D:D=$F$4,'领用录入（明细）'!C:C&gt;=$J$4,'领用录入（明细）'!C:C&lt;=$L$4),ROW(),"-")</f>
        <v>-</v>
      </c>
    </row>
    <row r="5628" customHeight="1" spans="2:2">
      <c r="B5628" s="62" t="str">
        <f>IF(AND('领用录入（明细）'!D:D=$F$4,'领用录入（明细）'!C:C&gt;=$J$4,'领用录入（明细）'!C:C&lt;=$L$4),ROW(),"-")</f>
        <v>-</v>
      </c>
    </row>
    <row r="5629" customHeight="1" spans="2:2">
      <c r="B5629" s="62" t="str">
        <f>IF(AND('领用录入（明细）'!D:D=$F$4,'领用录入（明细）'!C:C&gt;=$J$4,'领用录入（明细）'!C:C&lt;=$L$4),ROW(),"-")</f>
        <v>-</v>
      </c>
    </row>
    <row r="5630" customHeight="1" spans="2:2">
      <c r="B5630" s="62" t="str">
        <f>IF(AND('领用录入（明细）'!D:D=$F$4,'领用录入（明细）'!C:C&gt;=$J$4,'领用录入（明细）'!C:C&lt;=$L$4),ROW(),"-")</f>
        <v>-</v>
      </c>
    </row>
    <row r="5631" customHeight="1" spans="2:2">
      <c r="B5631" s="62" t="str">
        <f>IF(AND('领用录入（明细）'!D:D=$F$4,'领用录入（明细）'!C:C&gt;=$J$4,'领用录入（明细）'!C:C&lt;=$L$4),ROW(),"-")</f>
        <v>-</v>
      </c>
    </row>
    <row r="5632" customHeight="1" spans="2:2">
      <c r="B5632" s="62" t="str">
        <f>IF(AND('领用录入（明细）'!D:D=$F$4,'领用录入（明细）'!C:C&gt;=$J$4,'领用录入（明细）'!C:C&lt;=$L$4),ROW(),"-")</f>
        <v>-</v>
      </c>
    </row>
    <row r="5633" customHeight="1" spans="2:2">
      <c r="B5633" s="62" t="str">
        <f>IF(AND('领用录入（明细）'!D:D=$F$4,'领用录入（明细）'!C:C&gt;=$J$4,'领用录入（明细）'!C:C&lt;=$L$4),ROW(),"-")</f>
        <v>-</v>
      </c>
    </row>
    <row r="5634" customHeight="1" spans="2:2">
      <c r="B5634" s="62" t="str">
        <f>IF(AND('领用录入（明细）'!D:D=$F$4,'领用录入（明细）'!C:C&gt;=$J$4,'领用录入（明细）'!C:C&lt;=$L$4),ROW(),"-")</f>
        <v>-</v>
      </c>
    </row>
    <row r="5635" customHeight="1" spans="2:2">
      <c r="B5635" s="62" t="str">
        <f>IF(AND('领用录入（明细）'!D:D=$F$4,'领用录入（明细）'!C:C&gt;=$J$4,'领用录入（明细）'!C:C&lt;=$L$4),ROW(),"-")</f>
        <v>-</v>
      </c>
    </row>
    <row r="5636" customHeight="1" spans="2:2">
      <c r="B5636" s="62" t="str">
        <f>IF(AND('领用录入（明细）'!D:D=$F$4,'领用录入（明细）'!C:C&gt;=$J$4,'领用录入（明细）'!C:C&lt;=$L$4),ROW(),"-")</f>
        <v>-</v>
      </c>
    </row>
    <row r="5637" customHeight="1" spans="2:2">
      <c r="B5637" s="62" t="str">
        <f>IF(AND('领用录入（明细）'!D:D=$F$4,'领用录入（明细）'!C:C&gt;=$J$4,'领用录入（明细）'!C:C&lt;=$L$4),ROW(),"-")</f>
        <v>-</v>
      </c>
    </row>
    <row r="5638" customHeight="1" spans="2:2">
      <c r="B5638" s="62" t="str">
        <f>IF(AND('领用录入（明细）'!D:D=$F$4,'领用录入（明细）'!C:C&gt;=$J$4,'领用录入（明细）'!C:C&lt;=$L$4),ROW(),"-")</f>
        <v>-</v>
      </c>
    </row>
    <row r="5639" customHeight="1" spans="2:2">
      <c r="B5639" s="62" t="str">
        <f>IF(AND('领用录入（明细）'!D:D=$F$4,'领用录入（明细）'!C:C&gt;=$J$4,'领用录入（明细）'!C:C&lt;=$L$4),ROW(),"-")</f>
        <v>-</v>
      </c>
    </row>
    <row r="5640" customHeight="1" spans="2:2">
      <c r="B5640" s="62" t="str">
        <f>IF(AND('领用录入（明细）'!D:D=$F$4,'领用录入（明细）'!C:C&gt;=$J$4,'领用录入（明细）'!C:C&lt;=$L$4),ROW(),"-")</f>
        <v>-</v>
      </c>
    </row>
    <row r="5641" customHeight="1" spans="2:2">
      <c r="B5641" s="62" t="str">
        <f>IF(AND('领用录入（明细）'!D:D=$F$4,'领用录入（明细）'!C:C&gt;=$J$4,'领用录入（明细）'!C:C&lt;=$L$4),ROW(),"-")</f>
        <v>-</v>
      </c>
    </row>
    <row r="5642" customHeight="1" spans="2:2">
      <c r="B5642" s="62" t="str">
        <f>IF(AND('领用录入（明细）'!D:D=$F$4,'领用录入（明细）'!C:C&gt;=$J$4,'领用录入（明细）'!C:C&lt;=$L$4),ROW(),"-")</f>
        <v>-</v>
      </c>
    </row>
    <row r="5643" customHeight="1" spans="2:2">
      <c r="B5643" s="62" t="str">
        <f>IF(AND('领用录入（明细）'!D:D=$F$4,'领用录入（明细）'!C:C&gt;=$J$4,'领用录入（明细）'!C:C&lt;=$L$4),ROW(),"-")</f>
        <v>-</v>
      </c>
    </row>
    <row r="5644" customHeight="1" spans="2:2">
      <c r="B5644" s="62" t="str">
        <f>IF(AND('领用录入（明细）'!D:D=$F$4,'领用录入（明细）'!C:C&gt;=$J$4,'领用录入（明细）'!C:C&lt;=$L$4),ROW(),"-")</f>
        <v>-</v>
      </c>
    </row>
    <row r="5645" customHeight="1" spans="2:2">
      <c r="B5645" s="62" t="str">
        <f>IF(AND('领用录入（明细）'!D:D=$F$4,'领用录入（明细）'!C:C&gt;=$J$4,'领用录入（明细）'!C:C&lt;=$L$4),ROW(),"-")</f>
        <v>-</v>
      </c>
    </row>
    <row r="5646" customHeight="1" spans="2:2">
      <c r="B5646" s="62" t="str">
        <f>IF(AND('领用录入（明细）'!D:D=$F$4,'领用录入（明细）'!C:C&gt;=$J$4,'领用录入（明细）'!C:C&lt;=$L$4),ROW(),"-")</f>
        <v>-</v>
      </c>
    </row>
    <row r="5647" customHeight="1" spans="2:2">
      <c r="B5647" s="62" t="str">
        <f>IF(AND('领用录入（明细）'!D:D=$F$4,'领用录入（明细）'!C:C&gt;=$J$4,'领用录入（明细）'!C:C&lt;=$L$4),ROW(),"-")</f>
        <v>-</v>
      </c>
    </row>
    <row r="5648" customHeight="1" spans="2:2">
      <c r="B5648" s="62" t="str">
        <f>IF(AND('领用录入（明细）'!D:D=$F$4,'领用录入（明细）'!C:C&gt;=$J$4,'领用录入（明细）'!C:C&lt;=$L$4),ROW(),"-")</f>
        <v>-</v>
      </c>
    </row>
    <row r="5649" customHeight="1" spans="2:2">
      <c r="B5649" s="62" t="str">
        <f>IF(AND('领用录入（明细）'!D:D=$F$4,'领用录入（明细）'!C:C&gt;=$J$4,'领用录入（明细）'!C:C&lt;=$L$4),ROW(),"-")</f>
        <v>-</v>
      </c>
    </row>
    <row r="5650" customHeight="1" spans="2:2">
      <c r="B5650" s="62" t="str">
        <f>IF(AND('领用录入（明细）'!D:D=$F$4,'领用录入（明细）'!C:C&gt;=$J$4,'领用录入（明细）'!C:C&lt;=$L$4),ROW(),"-")</f>
        <v>-</v>
      </c>
    </row>
    <row r="5651" customHeight="1" spans="2:2">
      <c r="B5651" s="62" t="str">
        <f>IF(AND('领用录入（明细）'!D:D=$F$4,'领用录入（明细）'!C:C&gt;=$J$4,'领用录入（明细）'!C:C&lt;=$L$4),ROW(),"-")</f>
        <v>-</v>
      </c>
    </row>
    <row r="5652" customHeight="1" spans="2:2">
      <c r="B5652" s="62" t="str">
        <f>IF(AND('领用录入（明细）'!D:D=$F$4,'领用录入（明细）'!C:C&gt;=$J$4,'领用录入（明细）'!C:C&lt;=$L$4),ROW(),"-")</f>
        <v>-</v>
      </c>
    </row>
    <row r="5653" customHeight="1" spans="2:2">
      <c r="B5653" s="62" t="str">
        <f>IF(AND('领用录入（明细）'!D:D=$F$4,'领用录入（明细）'!C:C&gt;=$J$4,'领用录入（明细）'!C:C&lt;=$L$4),ROW(),"-")</f>
        <v>-</v>
      </c>
    </row>
    <row r="5654" customHeight="1" spans="2:2">
      <c r="B5654" s="62" t="str">
        <f>IF(AND('领用录入（明细）'!D:D=$F$4,'领用录入（明细）'!C:C&gt;=$J$4,'领用录入（明细）'!C:C&lt;=$L$4),ROW(),"-")</f>
        <v>-</v>
      </c>
    </row>
    <row r="5655" customHeight="1" spans="2:2">
      <c r="B5655" s="62" t="str">
        <f>IF(AND('领用录入（明细）'!D:D=$F$4,'领用录入（明细）'!C:C&gt;=$J$4,'领用录入（明细）'!C:C&lt;=$L$4),ROW(),"-")</f>
        <v>-</v>
      </c>
    </row>
    <row r="5656" customHeight="1" spans="2:2">
      <c r="B5656" s="62" t="str">
        <f>IF(AND('领用录入（明细）'!D:D=$F$4,'领用录入（明细）'!C:C&gt;=$J$4,'领用录入（明细）'!C:C&lt;=$L$4),ROW(),"-")</f>
        <v>-</v>
      </c>
    </row>
    <row r="5657" customHeight="1" spans="2:2">
      <c r="B5657" s="62" t="str">
        <f>IF(AND('领用录入（明细）'!D:D=$F$4,'领用录入（明细）'!C:C&gt;=$J$4,'领用录入（明细）'!C:C&lt;=$L$4),ROW(),"-")</f>
        <v>-</v>
      </c>
    </row>
    <row r="5658" customHeight="1" spans="2:2">
      <c r="B5658" s="62" t="str">
        <f>IF(AND('领用录入（明细）'!D:D=$F$4,'领用录入（明细）'!C:C&gt;=$J$4,'领用录入（明细）'!C:C&lt;=$L$4),ROW(),"-")</f>
        <v>-</v>
      </c>
    </row>
    <row r="5659" customHeight="1" spans="2:2">
      <c r="B5659" s="62" t="str">
        <f>IF(AND('领用录入（明细）'!D:D=$F$4,'领用录入（明细）'!C:C&gt;=$J$4,'领用录入（明细）'!C:C&lt;=$L$4),ROW(),"-")</f>
        <v>-</v>
      </c>
    </row>
    <row r="5660" customHeight="1" spans="2:2">
      <c r="B5660" s="62" t="str">
        <f>IF(AND('领用录入（明细）'!D:D=$F$4,'领用录入（明细）'!C:C&gt;=$J$4,'领用录入（明细）'!C:C&lt;=$L$4),ROW(),"-")</f>
        <v>-</v>
      </c>
    </row>
    <row r="5661" customHeight="1" spans="2:2">
      <c r="B5661" s="62" t="str">
        <f>IF(AND('领用录入（明细）'!D:D=$F$4,'领用录入（明细）'!C:C&gt;=$J$4,'领用录入（明细）'!C:C&lt;=$L$4),ROW(),"-")</f>
        <v>-</v>
      </c>
    </row>
    <row r="5662" customHeight="1" spans="2:2">
      <c r="B5662" s="62" t="str">
        <f>IF(AND('领用录入（明细）'!D:D=$F$4,'领用录入（明细）'!C:C&gt;=$J$4,'领用录入（明细）'!C:C&lt;=$L$4),ROW(),"-")</f>
        <v>-</v>
      </c>
    </row>
    <row r="5663" customHeight="1" spans="2:2">
      <c r="B5663" s="62" t="str">
        <f>IF(AND('领用录入（明细）'!D:D=$F$4,'领用录入（明细）'!C:C&gt;=$J$4,'领用录入（明细）'!C:C&lt;=$L$4),ROW(),"-")</f>
        <v>-</v>
      </c>
    </row>
    <row r="5664" customHeight="1" spans="2:2">
      <c r="B5664" s="62" t="str">
        <f>IF(AND('领用录入（明细）'!D:D=$F$4,'领用录入（明细）'!C:C&gt;=$J$4,'领用录入（明细）'!C:C&lt;=$L$4),ROW(),"-")</f>
        <v>-</v>
      </c>
    </row>
    <row r="5665" customHeight="1" spans="2:2">
      <c r="B5665" s="62" t="str">
        <f>IF(AND('领用录入（明细）'!D:D=$F$4,'领用录入（明细）'!C:C&gt;=$J$4,'领用录入（明细）'!C:C&lt;=$L$4),ROW(),"-")</f>
        <v>-</v>
      </c>
    </row>
    <row r="5666" customHeight="1" spans="2:2">
      <c r="B5666" s="62" t="str">
        <f>IF(AND('领用录入（明细）'!D:D=$F$4,'领用录入（明细）'!C:C&gt;=$J$4,'领用录入（明细）'!C:C&lt;=$L$4),ROW(),"-")</f>
        <v>-</v>
      </c>
    </row>
    <row r="5667" customHeight="1" spans="2:2">
      <c r="B5667" s="62" t="str">
        <f>IF(AND('领用录入（明细）'!D:D=$F$4,'领用录入（明细）'!C:C&gt;=$J$4,'领用录入（明细）'!C:C&lt;=$L$4),ROW(),"-")</f>
        <v>-</v>
      </c>
    </row>
    <row r="5668" customHeight="1" spans="2:2">
      <c r="B5668" s="62" t="str">
        <f>IF(AND('领用录入（明细）'!D:D=$F$4,'领用录入（明细）'!C:C&gt;=$J$4,'领用录入（明细）'!C:C&lt;=$L$4),ROW(),"-")</f>
        <v>-</v>
      </c>
    </row>
    <row r="5669" customHeight="1" spans="2:2">
      <c r="B5669" s="62" t="str">
        <f>IF(AND('领用录入（明细）'!D:D=$F$4,'领用录入（明细）'!C:C&gt;=$J$4,'领用录入（明细）'!C:C&lt;=$L$4),ROW(),"-")</f>
        <v>-</v>
      </c>
    </row>
    <row r="5670" customHeight="1" spans="2:2">
      <c r="B5670" s="62" t="str">
        <f>IF(AND('领用录入（明细）'!D:D=$F$4,'领用录入（明细）'!C:C&gt;=$J$4,'领用录入（明细）'!C:C&lt;=$L$4),ROW(),"-")</f>
        <v>-</v>
      </c>
    </row>
    <row r="5671" customHeight="1" spans="2:2">
      <c r="B5671" s="62" t="str">
        <f>IF(AND('领用录入（明细）'!D:D=$F$4,'领用录入（明细）'!C:C&gt;=$J$4,'领用录入（明细）'!C:C&lt;=$L$4),ROW(),"-")</f>
        <v>-</v>
      </c>
    </row>
    <row r="5672" customHeight="1" spans="2:2">
      <c r="B5672" s="62" t="str">
        <f>IF(AND('领用录入（明细）'!D:D=$F$4,'领用录入（明细）'!C:C&gt;=$J$4,'领用录入（明细）'!C:C&lt;=$L$4),ROW(),"-")</f>
        <v>-</v>
      </c>
    </row>
    <row r="5673" customHeight="1" spans="2:2">
      <c r="B5673" s="62" t="str">
        <f>IF(AND('领用录入（明细）'!D:D=$F$4,'领用录入（明细）'!C:C&gt;=$J$4,'领用录入（明细）'!C:C&lt;=$L$4),ROW(),"-")</f>
        <v>-</v>
      </c>
    </row>
    <row r="5674" customHeight="1" spans="2:2">
      <c r="B5674" s="62" t="str">
        <f>IF(AND('领用录入（明细）'!D:D=$F$4,'领用录入（明细）'!C:C&gt;=$J$4,'领用录入（明细）'!C:C&lt;=$L$4),ROW(),"-")</f>
        <v>-</v>
      </c>
    </row>
    <row r="5675" customHeight="1" spans="2:2">
      <c r="B5675" s="62" t="str">
        <f>IF(AND('领用录入（明细）'!D:D=$F$4,'领用录入（明细）'!C:C&gt;=$J$4,'领用录入（明细）'!C:C&lt;=$L$4),ROW(),"-")</f>
        <v>-</v>
      </c>
    </row>
    <row r="5676" customHeight="1" spans="2:2">
      <c r="B5676" s="62" t="str">
        <f>IF(AND('领用录入（明细）'!D:D=$F$4,'领用录入（明细）'!C:C&gt;=$J$4,'领用录入（明细）'!C:C&lt;=$L$4),ROW(),"-")</f>
        <v>-</v>
      </c>
    </row>
    <row r="5677" customHeight="1" spans="2:2">
      <c r="B5677" s="62" t="str">
        <f>IF(AND('领用录入（明细）'!D:D=$F$4,'领用录入（明细）'!C:C&gt;=$J$4,'领用录入（明细）'!C:C&lt;=$L$4),ROW(),"-")</f>
        <v>-</v>
      </c>
    </row>
    <row r="5678" customHeight="1" spans="2:2">
      <c r="B5678" s="62" t="str">
        <f>IF(AND('领用录入（明细）'!D:D=$F$4,'领用录入（明细）'!C:C&gt;=$J$4,'领用录入（明细）'!C:C&lt;=$L$4),ROW(),"-")</f>
        <v>-</v>
      </c>
    </row>
    <row r="5679" customHeight="1" spans="2:2">
      <c r="B5679" s="62" t="str">
        <f>IF(AND('领用录入（明细）'!D:D=$F$4,'领用录入（明细）'!C:C&gt;=$J$4,'领用录入（明细）'!C:C&lt;=$L$4),ROW(),"-")</f>
        <v>-</v>
      </c>
    </row>
    <row r="5680" customHeight="1" spans="2:2">
      <c r="B5680" s="62" t="str">
        <f>IF(AND('领用录入（明细）'!D:D=$F$4,'领用录入（明细）'!C:C&gt;=$J$4,'领用录入（明细）'!C:C&lt;=$L$4),ROW(),"-")</f>
        <v>-</v>
      </c>
    </row>
    <row r="5681" customHeight="1" spans="2:2">
      <c r="B5681" s="62" t="str">
        <f>IF(AND('领用录入（明细）'!D:D=$F$4,'领用录入（明细）'!C:C&gt;=$J$4,'领用录入（明细）'!C:C&lt;=$L$4),ROW(),"-")</f>
        <v>-</v>
      </c>
    </row>
    <row r="5682" customHeight="1" spans="2:2">
      <c r="B5682" s="62" t="str">
        <f>IF(AND('领用录入（明细）'!D:D=$F$4,'领用录入（明细）'!C:C&gt;=$J$4,'领用录入（明细）'!C:C&lt;=$L$4),ROW(),"-")</f>
        <v>-</v>
      </c>
    </row>
    <row r="5683" customHeight="1" spans="2:2">
      <c r="B5683" s="62" t="str">
        <f>IF(AND('领用录入（明细）'!D:D=$F$4,'领用录入（明细）'!C:C&gt;=$J$4,'领用录入（明细）'!C:C&lt;=$L$4),ROW(),"-")</f>
        <v>-</v>
      </c>
    </row>
    <row r="5684" customHeight="1" spans="2:2">
      <c r="B5684" s="62" t="str">
        <f>IF(AND('领用录入（明细）'!D:D=$F$4,'领用录入（明细）'!C:C&gt;=$J$4,'领用录入（明细）'!C:C&lt;=$L$4),ROW(),"-")</f>
        <v>-</v>
      </c>
    </row>
    <row r="5685" customHeight="1" spans="2:2">
      <c r="B5685" s="62" t="str">
        <f>IF(AND('领用录入（明细）'!D:D=$F$4,'领用录入（明细）'!C:C&gt;=$J$4,'领用录入（明细）'!C:C&lt;=$L$4),ROW(),"-")</f>
        <v>-</v>
      </c>
    </row>
    <row r="5686" customHeight="1" spans="2:2">
      <c r="B5686" s="62" t="str">
        <f>IF(AND('领用录入（明细）'!D:D=$F$4,'领用录入（明细）'!C:C&gt;=$J$4,'领用录入（明细）'!C:C&lt;=$L$4),ROW(),"-")</f>
        <v>-</v>
      </c>
    </row>
    <row r="5687" customHeight="1" spans="2:2">
      <c r="B5687" s="62" t="str">
        <f>IF(AND('领用录入（明细）'!D:D=$F$4,'领用录入（明细）'!C:C&gt;=$J$4,'领用录入（明细）'!C:C&lt;=$L$4),ROW(),"-")</f>
        <v>-</v>
      </c>
    </row>
    <row r="5688" customHeight="1" spans="2:2">
      <c r="B5688" s="62" t="str">
        <f>IF(AND('领用录入（明细）'!D:D=$F$4,'领用录入（明细）'!C:C&gt;=$J$4,'领用录入（明细）'!C:C&lt;=$L$4),ROW(),"-")</f>
        <v>-</v>
      </c>
    </row>
    <row r="5689" customHeight="1" spans="2:2">
      <c r="B5689" s="62" t="str">
        <f>IF(AND('领用录入（明细）'!D:D=$F$4,'领用录入（明细）'!C:C&gt;=$J$4,'领用录入（明细）'!C:C&lt;=$L$4),ROW(),"-")</f>
        <v>-</v>
      </c>
    </row>
    <row r="5690" customHeight="1" spans="2:2">
      <c r="B5690" s="62" t="str">
        <f>IF(AND('领用录入（明细）'!D:D=$F$4,'领用录入（明细）'!C:C&gt;=$J$4,'领用录入（明细）'!C:C&lt;=$L$4),ROW(),"-")</f>
        <v>-</v>
      </c>
    </row>
    <row r="5691" customHeight="1" spans="2:2">
      <c r="B5691" s="62" t="str">
        <f>IF(AND('领用录入（明细）'!D:D=$F$4,'领用录入（明细）'!C:C&gt;=$J$4,'领用录入（明细）'!C:C&lt;=$L$4),ROW(),"-")</f>
        <v>-</v>
      </c>
    </row>
    <row r="5692" customHeight="1" spans="2:2">
      <c r="B5692" s="62" t="str">
        <f>IF(AND('领用录入（明细）'!D:D=$F$4,'领用录入（明细）'!C:C&gt;=$J$4,'领用录入（明细）'!C:C&lt;=$L$4),ROW(),"-")</f>
        <v>-</v>
      </c>
    </row>
    <row r="5693" customHeight="1" spans="2:2">
      <c r="B5693" s="62" t="str">
        <f>IF(AND('领用录入（明细）'!D:D=$F$4,'领用录入（明细）'!C:C&gt;=$J$4,'领用录入（明细）'!C:C&lt;=$L$4),ROW(),"-")</f>
        <v>-</v>
      </c>
    </row>
    <row r="5694" customHeight="1" spans="2:2">
      <c r="B5694" s="62" t="str">
        <f>IF(AND('领用录入（明细）'!D:D=$F$4,'领用录入（明细）'!C:C&gt;=$J$4,'领用录入（明细）'!C:C&lt;=$L$4),ROW(),"-")</f>
        <v>-</v>
      </c>
    </row>
    <row r="5695" customHeight="1" spans="2:2">
      <c r="B5695" s="62" t="str">
        <f>IF(AND('领用录入（明细）'!D:D=$F$4,'领用录入（明细）'!C:C&gt;=$J$4,'领用录入（明细）'!C:C&lt;=$L$4),ROW(),"-")</f>
        <v>-</v>
      </c>
    </row>
    <row r="5696" customHeight="1" spans="2:2">
      <c r="B5696" s="62" t="str">
        <f>IF(AND('领用录入（明细）'!D:D=$F$4,'领用录入（明细）'!C:C&gt;=$J$4,'领用录入（明细）'!C:C&lt;=$L$4),ROW(),"-")</f>
        <v>-</v>
      </c>
    </row>
    <row r="5697" customHeight="1" spans="2:2">
      <c r="B5697" s="62" t="str">
        <f>IF(AND('领用录入（明细）'!D:D=$F$4,'领用录入（明细）'!C:C&gt;=$J$4,'领用录入（明细）'!C:C&lt;=$L$4),ROW(),"-")</f>
        <v>-</v>
      </c>
    </row>
    <row r="5698" customHeight="1" spans="2:2">
      <c r="B5698" s="62" t="str">
        <f>IF(AND('领用录入（明细）'!D:D=$F$4,'领用录入（明细）'!C:C&gt;=$J$4,'领用录入（明细）'!C:C&lt;=$L$4),ROW(),"-")</f>
        <v>-</v>
      </c>
    </row>
    <row r="5699" customHeight="1" spans="2:2">
      <c r="B5699" s="62" t="str">
        <f>IF(AND('领用录入（明细）'!D:D=$F$4,'领用录入（明细）'!C:C&gt;=$J$4,'领用录入（明细）'!C:C&lt;=$L$4),ROW(),"-")</f>
        <v>-</v>
      </c>
    </row>
    <row r="5700" customHeight="1" spans="2:2">
      <c r="B5700" s="62" t="str">
        <f>IF(AND('领用录入（明细）'!D:D=$F$4,'领用录入（明细）'!C:C&gt;=$J$4,'领用录入（明细）'!C:C&lt;=$L$4),ROW(),"-")</f>
        <v>-</v>
      </c>
    </row>
    <row r="5701" customHeight="1" spans="2:2">
      <c r="B5701" s="62" t="str">
        <f>IF(AND('领用录入（明细）'!D:D=$F$4,'领用录入（明细）'!C:C&gt;=$J$4,'领用录入（明细）'!C:C&lt;=$L$4),ROW(),"-")</f>
        <v>-</v>
      </c>
    </row>
    <row r="5702" customHeight="1" spans="2:2">
      <c r="B5702" s="62" t="str">
        <f>IF(AND('领用录入（明细）'!D:D=$F$4,'领用录入（明细）'!C:C&gt;=$J$4,'领用录入（明细）'!C:C&lt;=$L$4),ROW(),"-")</f>
        <v>-</v>
      </c>
    </row>
    <row r="5703" customHeight="1" spans="2:2">
      <c r="B5703" s="62" t="str">
        <f>IF(AND('领用录入（明细）'!D:D=$F$4,'领用录入（明细）'!C:C&gt;=$J$4,'领用录入（明细）'!C:C&lt;=$L$4),ROW(),"-")</f>
        <v>-</v>
      </c>
    </row>
    <row r="5704" customHeight="1" spans="2:2">
      <c r="B5704" s="62" t="str">
        <f>IF(AND('领用录入（明细）'!D:D=$F$4,'领用录入（明细）'!C:C&gt;=$J$4,'领用录入（明细）'!C:C&lt;=$L$4),ROW(),"-")</f>
        <v>-</v>
      </c>
    </row>
    <row r="5705" customHeight="1" spans="2:2">
      <c r="B5705" s="62" t="str">
        <f>IF(AND('领用录入（明细）'!D:D=$F$4,'领用录入（明细）'!C:C&gt;=$J$4,'领用录入（明细）'!C:C&lt;=$L$4),ROW(),"-")</f>
        <v>-</v>
      </c>
    </row>
    <row r="5706" customHeight="1" spans="2:2">
      <c r="B5706" s="62" t="str">
        <f>IF(AND('领用录入（明细）'!D:D=$F$4,'领用录入（明细）'!C:C&gt;=$J$4,'领用录入（明细）'!C:C&lt;=$L$4),ROW(),"-")</f>
        <v>-</v>
      </c>
    </row>
    <row r="5707" customHeight="1" spans="2:2">
      <c r="B5707" s="62" t="str">
        <f>IF(AND('领用录入（明细）'!D:D=$F$4,'领用录入（明细）'!C:C&gt;=$J$4,'领用录入（明细）'!C:C&lt;=$L$4),ROW(),"-")</f>
        <v>-</v>
      </c>
    </row>
    <row r="5708" customHeight="1" spans="2:2">
      <c r="B5708" s="62" t="str">
        <f>IF(AND('领用录入（明细）'!D:D=$F$4,'领用录入（明细）'!C:C&gt;=$J$4,'领用录入（明细）'!C:C&lt;=$L$4),ROW(),"-")</f>
        <v>-</v>
      </c>
    </row>
    <row r="5709" customHeight="1" spans="2:2">
      <c r="B5709" s="62" t="str">
        <f>IF(AND('领用录入（明细）'!D:D=$F$4,'领用录入（明细）'!C:C&gt;=$J$4,'领用录入（明细）'!C:C&lt;=$L$4),ROW(),"-")</f>
        <v>-</v>
      </c>
    </row>
    <row r="5710" customHeight="1" spans="2:2">
      <c r="B5710" s="62" t="str">
        <f>IF(AND('领用录入（明细）'!D:D=$F$4,'领用录入（明细）'!C:C&gt;=$J$4,'领用录入（明细）'!C:C&lt;=$L$4),ROW(),"-")</f>
        <v>-</v>
      </c>
    </row>
    <row r="5711" customHeight="1" spans="2:2">
      <c r="B5711" s="62" t="str">
        <f>IF(AND('领用录入（明细）'!D:D=$F$4,'领用录入（明细）'!C:C&gt;=$J$4,'领用录入（明细）'!C:C&lt;=$L$4),ROW(),"-")</f>
        <v>-</v>
      </c>
    </row>
    <row r="5712" customHeight="1" spans="2:2">
      <c r="B5712" s="62" t="str">
        <f>IF(AND('领用录入（明细）'!D:D=$F$4,'领用录入（明细）'!C:C&gt;=$J$4,'领用录入（明细）'!C:C&lt;=$L$4),ROW(),"-")</f>
        <v>-</v>
      </c>
    </row>
    <row r="5713" customHeight="1" spans="2:2">
      <c r="B5713" s="62" t="str">
        <f>IF(AND('领用录入（明细）'!D:D=$F$4,'领用录入（明细）'!C:C&gt;=$J$4,'领用录入（明细）'!C:C&lt;=$L$4),ROW(),"-")</f>
        <v>-</v>
      </c>
    </row>
    <row r="5714" customHeight="1" spans="2:2">
      <c r="B5714" s="62" t="str">
        <f>IF(AND('领用录入（明细）'!D:D=$F$4,'领用录入（明细）'!C:C&gt;=$J$4,'领用录入（明细）'!C:C&lt;=$L$4),ROW(),"-")</f>
        <v>-</v>
      </c>
    </row>
    <row r="5715" customHeight="1" spans="2:2">
      <c r="B5715" s="62" t="str">
        <f>IF(AND('领用录入（明细）'!D:D=$F$4,'领用录入（明细）'!C:C&gt;=$J$4,'领用录入（明细）'!C:C&lt;=$L$4),ROW(),"-")</f>
        <v>-</v>
      </c>
    </row>
    <row r="5716" customHeight="1" spans="2:2">
      <c r="B5716" s="62" t="str">
        <f>IF(AND('领用录入（明细）'!D:D=$F$4,'领用录入（明细）'!C:C&gt;=$J$4,'领用录入（明细）'!C:C&lt;=$L$4),ROW(),"-")</f>
        <v>-</v>
      </c>
    </row>
    <row r="5717" customHeight="1" spans="2:2">
      <c r="B5717" s="62" t="str">
        <f>IF(AND('领用录入（明细）'!D:D=$F$4,'领用录入（明细）'!C:C&gt;=$J$4,'领用录入（明细）'!C:C&lt;=$L$4),ROW(),"-")</f>
        <v>-</v>
      </c>
    </row>
    <row r="5718" customHeight="1" spans="2:2">
      <c r="B5718" s="62" t="str">
        <f>IF(AND('领用录入（明细）'!D:D=$F$4,'领用录入（明细）'!C:C&gt;=$J$4,'领用录入（明细）'!C:C&lt;=$L$4),ROW(),"-")</f>
        <v>-</v>
      </c>
    </row>
    <row r="5719" customHeight="1" spans="2:2">
      <c r="B5719" s="62" t="str">
        <f>IF(AND('领用录入（明细）'!D:D=$F$4,'领用录入（明细）'!C:C&gt;=$J$4,'领用录入（明细）'!C:C&lt;=$L$4),ROW(),"-")</f>
        <v>-</v>
      </c>
    </row>
    <row r="5720" customHeight="1" spans="2:2">
      <c r="B5720" s="62" t="str">
        <f>IF(AND('领用录入（明细）'!D:D=$F$4,'领用录入（明细）'!C:C&gt;=$J$4,'领用录入（明细）'!C:C&lt;=$L$4),ROW(),"-")</f>
        <v>-</v>
      </c>
    </row>
    <row r="5721" customHeight="1" spans="2:2">
      <c r="B5721" s="62" t="str">
        <f>IF(AND('领用录入（明细）'!D:D=$F$4,'领用录入（明细）'!C:C&gt;=$J$4,'领用录入（明细）'!C:C&lt;=$L$4),ROW(),"-")</f>
        <v>-</v>
      </c>
    </row>
    <row r="5722" customHeight="1" spans="2:2">
      <c r="B5722" s="62" t="str">
        <f>IF(AND('领用录入（明细）'!D:D=$F$4,'领用录入（明细）'!C:C&gt;=$J$4,'领用录入（明细）'!C:C&lt;=$L$4),ROW(),"-")</f>
        <v>-</v>
      </c>
    </row>
    <row r="5723" customHeight="1" spans="2:2">
      <c r="B5723" s="62" t="str">
        <f>IF(AND('领用录入（明细）'!D:D=$F$4,'领用录入（明细）'!C:C&gt;=$J$4,'领用录入（明细）'!C:C&lt;=$L$4),ROW(),"-")</f>
        <v>-</v>
      </c>
    </row>
    <row r="5724" customHeight="1" spans="2:2">
      <c r="B5724" s="62" t="str">
        <f>IF(AND('领用录入（明细）'!D:D=$F$4,'领用录入（明细）'!C:C&gt;=$J$4,'领用录入（明细）'!C:C&lt;=$L$4),ROW(),"-")</f>
        <v>-</v>
      </c>
    </row>
    <row r="5725" customHeight="1" spans="2:2">
      <c r="B5725" s="62" t="str">
        <f>IF(AND('领用录入（明细）'!D:D=$F$4,'领用录入（明细）'!C:C&gt;=$J$4,'领用录入（明细）'!C:C&lt;=$L$4),ROW(),"-")</f>
        <v>-</v>
      </c>
    </row>
    <row r="5726" customHeight="1" spans="2:2">
      <c r="B5726" s="62" t="str">
        <f>IF(AND('领用录入（明细）'!D:D=$F$4,'领用录入（明细）'!C:C&gt;=$J$4,'领用录入（明细）'!C:C&lt;=$L$4),ROW(),"-")</f>
        <v>-</v>
      </c>
    </row>
    <row r="5727" customHeight="1" spans="2:2">
      <c r="B5727" s="62" t="str">
        <f>IF(AND('领用录入（明细）'!D:D=$F$4,'领用录入（明细）'!C:C&gt;=$J$4,'领用录入（明细）'!C:C&lt;=$L$4),ROW(),"-")</f>
        <v>-</v>
      </c>
    </row>
    <row r="5728" customHeight="1" spans="2:2">
      <c r="B5728" s="62" t="str">
        <f>IF(AND('领用录入（明细）'!D:D=$F$4,'领用录入（明细）'!C:C&gt;=$J$4,'领用录入（明细）'!C:C&lt;=$L$4),ROW(),"-")</f>
        <v>-</v>
      </c>
    </row>
    <row r="5729" customHeight="1" spans="2:2">
      <c r="B5729" s="62" t="str">
        <f>IF(AND('领用录入（明细）'!D:D=$F$4,'领用录入（明细）'!C:C&gt;=$J$4,'领用录入（明细）'!C:C&lt;=$L$4),ROW(),"-")</f>
        <v>-</v>
      </c>
    </row>
    <row r="5730" customHeight="1" spans="2:2">
      <c r="B5730" s="62" t="str">
        <f>IF(AND('领用录入（明细）'!D:D=$F$4,'领用录入（明细）'!C:C&gt;=$J$4,'领用录入（明细）'!C:C&lt;=$L$4),ROW(),"-")</f>
        <v>-</v>
      </c>
    </row>
    <row r="5731" customHeight="1" spans="2:2">
      <c r="B5731" s="62" t="str">
        <f>IF(AND('领用录入（明细）'!D:D=$F$4,'领用录入（明细）'!C:C&gt;=$J$4,'领用录入（明细）'!C:C&lt;=$L$4),ROW(),"-")</f>
        <v>-</v>
      </c>
    </row>
    <row r="5732" customHeight="1" spans="2:2">
      <c r="B5732" s="62" t="str">
        <f>IF(AND('领用录入（明细）'!D:D=$F$4,'领用录入（明细）'!C:C&gt;=$J$4,'领用录入（明细）'!C:C&lt;=$L$4),ROW(),"-")</f>
        <v>-</v>
      </c>
    </row>
    <row r="5733" customHeight="1" spans="2:2">
      <c r="B5733" s="62" t="str">
        <f>IF(AND('领用录入（明细）'!D:D=$F$4,'领用录入（明细）'!C:C&gt;=$J$4,'领用录入（明细）'!C:C&lt;=$L$4),ROW(),"-")</f>
        <v>-</v>
      </c>
    </row>
    <row r="5734" customHeight="1" spans="2:2">
      <c r="B5734" s="62" t="str">
        <f>IF(AND('领用录入（明细）'!D:D=$F$4,'领用录入（明细）'!C:C&gt;=$J$4,'领用录入（明细）'!C:C&lt;=$L$4),ROW(),"-")</f>
        <v>-</v>
      </c>
    </row>
    <row r="5735" customHeight="1" spans="2:2">
      <c r="B5735" s="62" t="str">
        <f>IF(AND('领用录入（明细）'!D:D=$F$4,'领用录入（明细）'!C:C&gt;=$J$4,'领用录入（明细）'!C:C&lt;=$L$4),ROW(),"-")</f>
        <v>-</v>
      </c>
    </row>
    <row r="5736" customHeight="1" spans="2:2">
      <c r="B5736" s="62" t="str">
        <f>IF(AND('领用录入（明细）'!D:D=$F$4,'领用录入（明细）'!C:C&gt;=$J$4,'领用录入（明细）'!C:C&lt;=$L$4),ROW(),"-")</f>
        <v>-</v>
      </c>
    </row>
    <row r="5737" customHeight="1" spans="2:2">
      <c r="B5737" s="62" t="str">
        <f>IF(AND('领用录入（明细）'!D:D=$F$4,'领用录入（明细）'!C:C&gt;=$J$4,'领用录入（明细）'!C:C&lt;=$L$4),ROW(),"-")</f>
        <v>-</v>
      </c>
    </row>
    <row r="5738" customHeight="1" spans="2:2">
      <c r="B5738" s="62" t="str">
        <f>IF(AND('领用录入（明细）'!D:D=$F$4,'领用录入（明细）'!C:C&gt;=$J$4,'领用录入（明细）'!C:C&lt;=$L$4),ROW(),"-")</f>
        <v>-</v>
      </c>
    </row>
    <row r="5739" customHeight="1" spans="2:2">
      <c r="B5739" s="62" t="str">
        <f>IF(AND('领用录入（明细）'!D:D=$F$4,'领用录入（明细）'!C:C&gt;=$J$4,'领用录入（明细）'!C:C&lt;=$L$4),ROW(),"-")</f>
        <v>-</v>
      </c>
    </row>
    <row r="5740" customHeight="1" spans="2:2">
      <c r="B5740" s="62" t="str">
        <f>IF(AND('领用录入（明细）'!D:D=$F$4,'领用录入（明细）'!C:C&gt;=$J$4,'领用录入（明细）'!C:C&lt;=$L$4),ROW(),"-")</f>
        <v>-</v>
      </c>
    </row>
    <row r="5741" customHeight="1" spans="2:2">
      <c r="B5741" s="62" t="str">
        <f>IF(AND('领用录入（明细）'!D:D=$F$4,'领用录入（明细）'!C:C&gt;=$J$4,'领用录入（明细）'!C:C&lt;=$L$4),ROW(),"-")</f>
        <v>-</v>
      </c>
    </row>
    <row r="5742" customHeight="1" spans="2:2">
      <c r="B5742" s="62" t="str">
        <f>IF(AND('领用录入（明细）'!D:D=$F$4,'领用录入（明细）'!C:C&gt;=$J$4,'领用录入（明细）'!C:C&lt;=$L$4),ROW(),"-")</f>
        <v>-</v>
      </c>
    </row>
    <row r="5743" customHeight="1" spans="2:2">
      <c r="B5743" s="62" t="str">
        <f>IF(AND('领用录入（明细）'!D:D=$F$4,'领用录入（明细）'!C:C&gt;=$J$4,'领用录入（明细）'!C:C&lt;=$L$4),ROW(),"-")</f>
        <v>-</v>
      </c>
    </row>
    <row r="5744" customHeight="1" spans="2:2">
      <c r="B5744" s="62" t="str">
        <f>IF(AND('领用录入（明细）'!D:D=$F$4,'领用录入（明细）'!C:C&gt;=$J$4,'领用录入（明细）'!C:C&lt;=$L$4),ROW(),"-")</f>
        <v>-</v>
      </c>
    </row>
    <row r="5745" customHeight="1" spans="2:2">
      <c r="B5745" s="62" t="str">
        <f>IF(AND('领用录入（明细）'!D:D=$F$4,'领用录入（明细）'!C:C&gt;=$J$4,'领用录入（明细）'!C:C&lt;=$L$4),ROW(),"-")</f>
        <v>-</v>
      </c>
    </row>
    <row r="5746" customHeight="1" spans="2:2">
      <c r="B5746" s="62" t="str">
        <f>IF(AND('领用录入（明细）'!D:D=$F$4,'领用录入（明细）'!C:C&gt;=$J$4,'领用录入（明细）'!C:C&lt;=$L$4),ROW(),"-")</f>
        <v>-</v>
      </c>
    </row>
    <row r="5747" customHeight="1" spans="2:2">
      <c r="B5747" s="62" t="str">
        <f>IF(AND('领用录入（明细）'!D:D=$F$4,'领用录入（明细）'!C:C&gt;=$J$4,'领用录入（明细）'!C:C&lt;=$L$4),ROW(),"-")</f>
        <v>-</v>
      </c>
    </row>
    <row r="5748" customHeight="1" spans="2:2">
      <c r="B5748" s="62" t="str">
        <f>IF(AND('领用录入（明细）'!D:D=$F$4,'领用录入（明细）'!C:C&gt;=$J$4,'领用录入（明细）'!C:C&lt;=$L$4),ROW(),"-")</f>
        <v>-</v>
      </c>
    </row>
    <row r="5749" customHeight="1" spans="2:2">
      <c r="B5749" s="62" t="str">
        <f>IF(AND('领用录入（明细）'!D:D=$F$4,'领用录入（明细）'!C:C&gt;=$J$4,'领用录入（明细）'!C:C&lt;=$L$4),ROW(),"-")</f>
        <v>-</v>
      </c>
    </row>
    <row r="5750" customHeight="1" spans="2:2">
      <c r="B5750" s="62" t="str">
        <f>IF(AND('领用录入（明细）'!D:D=$F$4,'领用录入（明细）'!C:C&gt;=$J$4,'领用录入（明细）'!C:C&lt;=$L$4),ROW(),"-")</f>
        <v>-</v>
      </c>
    </row>
    <row r="5751" customHeight="1" spans="2:2">
      <c r="B5751" s="62" t="str">
        <f>IF(AND('领用录入（明细）'!D:D=$F$4,'领用录入（明细）'!C:C&gt;=$J$4,'领用录入（明细）'!C:C&lt;=$L$4),ROW(),"-")</f>
        <v>-</v>
      </c>
    </row>
    <row r="5752" customHeight="1" spans="2:2">
      <c r="B5752" s="62" t="str">
        <f>IF(AND('领用录入（明细）'!D:D=$F$4,'领用录入（明细）'!C:C&gt;=$J$4,'领用录入（明细）'!C:C&lt;=$L$4),ROW(),"-")</f>
        <v>-</v>
      </c>
    </row>
    <row r="5753" customHeight="1" spans="2:2">
      <c r="B5753" s="62" t="str">
        <f>IF(AND('领用录入（明细）'!D:D=$F$4,'领用录入（明细）'!C:C&gt;=$J$4,'领用录入（明细）'!C:C&lt;=$L$4),ROW(),"-")</f>
        <v>-</v>
      </c>
    </row>
    <row r="5754" customHeight="1" spans="2:2">
      <c r="B5754" s="62" t="str">
        <f>IF(AND('领用录入（明细）'!D:D=$F$4,'领用录入（明细）'!C:C&gt;=$J$4,'领用录入（明细）'!C:C&lt;=$L$4),ROW(),"-")</f>
        <v>-</v>
      </c>
    </row>
    <row r="5755" customHeight="1" spans="2:2">
      <c r="B5755" s="62" t="str">
        <f>IF(AND('领用录入（明细）'!D:D=$F$4,'领用录入（明细）'!C:C&gt;=$J$4,'领用录入（明细）'!C:C&lt;=$L$4),ROW(),"-")</f>
        <v>-</v>
      </c>
    </row>
    <row r="5756" customHeight="1" spans="2:2">
      <c r="B5756" s="62" t="str">
        <f>IF(AND('领用录入（明细）'!D:D=$F$4,'领用录入（明细）'!C:C&gt;=$J$4,'领用录入（明细）'!C:C&lt;=$L$4),ROW(),"-")</f>
        <v>-</v>
      </c>
    </row>
    <row r="5757" customHeight="1" spans="2:2">
      <c r="B5757" s="62" t="str">
        <f>IF(AND('领用录入（明细）'!D:D=$F$4,'领用录入（明细）'!C:C&gt;=$J$4,'领用录入（明细）'!C:C&lt;=$L$4),ROW(),"-")</f>
        <v>-</v>
      </c>
    </row>
    <row r="5758" customHeight="1" spans="2:2">
      <c r="B5758" s="62" t="str">
        <f>IF(AND('领用录入（明细）'!D:D=$F$4,'领用录入（明细）'!C:C&gt;=$J$4,'领用录入（明细）'!C:C&lt;=$L$4),ROW(),"-")</f>
        <v>-</v>
      </c>
    </row>
    <row r="5759" customHeight="1" spans="2:2">
      <c r="B5759" s="62" t="str">
        <f>IF(AND('领用录入（明细）'!D:D=$F$4,'领用录入（明细）'!C:C&gt;=$J$4,'领用录入（明细）'!C:C&lt;=$L$4),ROW(),"-")</f>
        <v>-</v>
      </c>
    </row>
    <row r="5760" customHeight="1" spans="2:2">
      <c r="B5760" s="62" t="str">
        <f>IF(AND('领用录入（明细）'!D:D=$F$4,'领用录入（明细）'!C:C&gt;=$J$4,'领用录入（明细）'!C:C&lt;=$L$4),ROW(),"-")</f>
        <v>-</v>
      </c>
    </row>
    <row r="5761" customHeight="1" spans="2:2">
      <c r="B5761" s="62" t="str">
        <f>IF(AND('领用录入（明细）'!D:D=$F$4,'领用录入（明细）'!C:C&gt;=$J$4,'领用录入（明细）'!C:C&lt;=$L$4),ROW(),"-")</f>
        <v>-</v>
      </c>
    </row>
    <row r="5762" customHeight="1" spans="2:2">
      <c r="B5762" s="62" t="str">
        <f>IF(AND('领用录入（明细）'!D:D=$F$4,'领用录入（明细）'!C:C&gt;=$J$4,'领用录入（明细）'!C:C&lt;=$L$4),ROW(),"-")</f>
        <v>-</v>
      </c>
    </row>
    <row r="5763" customHeight="1" spans="2:2">
      <c r="B5763" s="62" t="str">
        <f>IF(AND('领用录入（明细）'!D:D=$F$4,'领用录入（明细）'!C:C&gt;=$J$4,'领用录入（明细）'!C:C&lt;=$L$4),ROW(),"-")</f>
        <v>-</v>
      </c>
    </row>
    <row r="5764" customHeight="1" spans="2:2">
      <c r="B5764" s="62" t="str">
        <f>IF(AND('领用录入（明细）'!D:D=$F$4,'领用录入（明细）'!C:C&gt;=$J$4,'领用录入（明细）'!C:C&lt;=$L$4),ROW(),"-")</f>
        <v>-</v>
      </c>
    </row>
    <row r="5765" customHeight="1" spans="2:2">
      <c r="B5765" s="62" t="str">
        <f>IF(AND('领用录入（明细）'!D:D=$F$4,'领用录入（明细）'!C:C&gt;=$J$4,'领用录入（明细）'!C:C&lt;=$L$4),ROW(),"-")</f>
        <v>-</v>
      </c>
    </row>
    <row r="5766" customHeight="1" spans="2:2">
      <c r="B5766" s="62" t="str">
        <f>IF(AND('领用录入（明细）'!D:D=$F$4,'领用录入（明细）'!C:C&gt;=$J$4,'领用录入（明细）'!C:C&lt;=$L$4),ROW(),"-")</f>
        <v>-</v>
      </c>
    </row>
    <row r="5767" customHeight="1" spans="2:2">
      <c r="B5767" s="62" t="str">
        <f>IF(AND('领用录入（明细）'!D:D=$F$4,'领用录入（明细）'!C:C&gt;=$J$4,'领用录入（明细）'!C:C&lt;=$L$4),ROW(),"-")</f>
        <v>-</v>
      </c>
    </row>
    <row r="5768" customHeight="1" spans="2:2">
      <c r="B5768" s="62" t="str">
        <f>IF(AND('领用录入（明细）'!D:D=$F$4,'领用录入（明细）'!C:C&gt;=$J$4,'领用录入（明细）'!C:C&lt;=$L$4),ROW(),"-")</f>
        <v>-</v>
      </c>
    </row>
    <row r="5769" customHeight="1" spans="2:2">
      <c r="B5769" s="62" t="str">
        <f>IF(AND('领用录入（明细）'!D:D=$F$4,'领用录入（明细）'!C:C&gt;=$J$4,'领用录入（明细）'!C:C&lt;=$L$4),ROW(),"-")</f>
        <v>-</v>
      </c>
    </row>
    <row r="5770" customHeight="1" spans="2:2">
      <c r="B5770" s="62" t="str">
        <f>IF(AND('领用录入（明细）'!D:D=$F$4,'领用录入（明细）'!C:C&gt;=$J$4,'领用录入（明细）'!C:C&lt;=$L$4),ROW(),"-")</f>
        <v>-</v>
      </c>
    </row>
    <row r="5771" customHeight="1" spans="2:2">
      <c r="B5771" s="62" t="str">
        <f>IF(AND('领用录入（明细）'!D:D=$F$4,'领用录入（明细）'!C:C&gt;=$J$4,'领用录入（明细）'!C:C&lt;=$L$4),ROW(),"-")</f>
        <v>-</v>
      </c>
    </row>
    <row r="5772" customHeight="1" spans="2:2">
      <c r="B5772" s="62" t="str">
        <f>IF(AND('领用录入（明细）'!D:D=$F$4,'领用录入（明细）'!C:C&gt;=$J$4,'领用录入（明细）'!C:C&lt;=$L$4),ROW(),"-")</f>
        <v>-</v>
      </c>
    </row>
    <row r="5773" customHeight="1" spans="2:2">
      <c r="B5773" s="62" t="str">
        <f>IF(AND('领用录入（明细）'!D:D=$F$4,'领用录入（明细）'!C:C&gt;=$J$4,'领用录入（明细）'!C:C&lt;=$L$4),ROW(),"-")</f>
        <v>-</v>
      </c>
    </row>
    <row r="5774" customHeight="1" spans="2:2">
      <c r="B5774" s="62" t="str">
        <f>IF(AND('领用录入（明细）'!D:D=$F$4,'领用录入（明细）'!C:C&gt;=$J$4,'领用录入（明细）'!C:C&lt;=$L$4),ROW(),"-")</f>
        <v>-</v>
      </c>
    </row>
    <row r="5775" customHeight="1" spans="2:2">
      <c r="B5775" s="62" t="str">
        <f>IF(AND('领用录入（明细）'!D:D=$F$4,'领用录入（明细）'!C:C&gt;=$J$4,'领用录入（明细）'!C:C&lt;=$L$4),ROW(),"-")</f>
        <v>-</v>
      </c>
    </row>
    <row r="5776" customHeight="1" spans="2:2">
      <c r="B5776" s="62" t="str">
        <f>IF(AND('领用录入（明细）'!D:D=$F$4,'领用录入（明细）'!C:C&gt;=$J$4,'领用录入（明细）'!C:C&lt;=$L$4),ROW(),"-")</f>
        <v>-</v>
      </c>
    </row>
    <row r="5777" customHeight="1" spans="2:2">
      <c r="B5777" s="62" t="str">
        <f>IF(AND('领用录入（明细）'!D:D=$F$4,'领用录入（明细）'!C:C&gt;=$J$4,'领用录入（明细）'!C:C&lt;=$L$4),ROW(),"-")</f>
        <v>-</v>
      </c>
    </row>
    <row r="5778" customHeight="1" spans="2:2">
      <c r="B5778" s="62" t="str">
        <f>IF(AND('领用录入（明细）'!D:D=$F$4,'领用录入（明细）'!C:C&gt;=$J$4,'领用录入（明细）'!C:C&lt;=$L$4),ROW(),"-")</f>
        <v>-</v>
      </c>
    </row>
    <row r="5779" customHeight="1" spans="2:2">
      <c r="B5779" s="62" t="str">
        <f>IF(AND('领用录入（明细）'!D:D=$F$4,'领用录入（明细）'!C:C&gt;=$J$4,'领用录入（明细）'!C:C&lt;=$L$4),ROW(),"-")</f>
        <v>-</v>
      </c>
    </row>
    <row r="5780" customHeight="1" spans="2:2">
      <c r="B5780" s="62" t="str">
        <f>IF(AND('领用录入（明细）'!D:D=$F$4,'领用录入（明细）'!C:C&gt;=$J$4,'领用录入（明细）'!C:C&lt;=$L$4),ROW(),"-")</f>
        <v>-</v>
      </c>
    </row>
    <row r="5781" customHeight="1" spans="2:2">
      <c r="B5781" s="62" t="str">
        <f>IF(AND('领用录入（明细）'!D:D=$F$4,'领用录入（明细）'!C:C&gt;=$J$4,'领用录入（明细）'!C:C&lt;=$L$4),ROW(),"-")</f>
        <v>-</v>
      </c>
    </row>
    <row r="5782" customHeight="1" spans="2:2">
      <c r="B5782" s="62" t="str">
        <f>IF(AND('领用录入（明细）'!D:D=$F$4,'领用录入（明细）'!C:C&gt;=$J$4,'领用录入（明细）'!C:C&lt;=$L$4),ROW(),"-")</f>
        <v>-</v>
      </c>
    </row>
    <row r="5783" customHeight="1" spans="2:2">
      <c r="B5783" s="62" t="str">
        <f>IF(AND('领用录入（明细）'!D:D=$F$4,'领用录入（明细）'!C:C&gt;=$J$4,'领用录入（明细）'!C:C&lt;=$L$4),ROW(),"-")</f>
        <v>-</v>
      </c>
    </row>
    <row r="5784" customHeight="1" spans="2:2">
      <c r="B5784" s="62" t="str">
        <f>IF(AND('领用录入（明细）'!D:D=$F$4,'领用录入（明细）'!C:C&gt;=$J$4,'领用录入（明细）'!C:C&lt;=$L$4),ROW(),"-")</f>
        <v>-</v>
      </c>
    </row>
    <row r="5785" customHeight="1" spans="2:2">
      <c r="B5785" s="62" t="str">
        <f>IF(AND('领用录入（明细）'!D:D=$F$4,'领用录入（明细）'!C:C&gt;=$J$4,'领用录入（明细）'!C:C&lt;=$L$4),ROW(),"-")</f>
        <v>-</v>
      </c>
    </row>
    <row r="5786" customHeight="1" spans="2:2">
      <c r="B5786" s="62" t="str">
        <f>IF(AND('领用录入（明细）'!D:D=$F$4,'领用录入（明细）'!C:C&gt;=$J$4,'领用录入（明细）'!C:C&lt;=$L$4),ROW(),"-")</f>
        <v>-</v>
      </c>
    </row>
    <row r="5787" customHeight="1" spans="2:2">
      <c r="B5787" s="62" t="str">
        <f>IF(AND('领用录入（明细）'!D:D=$F$4,'领用录入（明细）'!C:C&gt;=$J$4,'领用录入（明细）'!C:C&lt;=$L$4),ROW(),"-")</f>
        <v>-</v>
      </c>
    </row>
    <row r="5788" customHeight="1" spans="2:2">
      <c r="B5788" s="62" t="str">
        <f>IF(AND('领用录入（明细）'!D:D=$F$4,'领用录入（明细）'!C:C&gt;=$J$4,'领用录入（明细）'!C:C&lt;=$L$4),ROW(),"-")</f>
        <v>-</v>
      </c>
    </row>
    <row r="5789" customHeight="1" spans="2:2">
      <c r="B5789" s="62" t="str">
        <f>IF(AND('领用录入（明细）'!D:D=$F$4,'领用录入（明细）'!C:C&gt;=$J$4,'领用录入（明细）'!C:C&lt;=$L$4),ROW(),"-")</f>
        <v>-</v>
      </c>
    </row>
    <row r="5790" customHeight="1" spans="2:2">
      <c r="B5790" s="62" t="str">
        <f>IF(AND('领用录入（明细）'!D:D=$F$4,'领用录入（明细）'!C:C&gt;=$J$4,'领用录入（明细）'!C:C&lt;=$L$4),ROW(),"-")</f>
        <v>-</v>
      </c>
    </row>
    <row r="5791" customHeight="1" spans="2:2">
      <c r="B5791" s="62" t="str">
        <f>IF(AND('领用录入（明细）'!D:D=$F$4,'领用录入（明细）'!C:C&gt;=$J$4,'领用录入（明细）'!C:C&lt;=$L$4),ROW(),"-")</f>
        <v>-</v>
      </c>
    </row>
    <row r="5792" customHeight="1" spans="2:2">
      <c r="B5792" s="62" t="str">
        <f>IF(AND('领用录入（明细）'!D:D=$F$4,'领用录入（明细）'!C:C&gt;=$J$4,'领用录入（明细）'!C:C&lt;=$L$4),ROW(),"-")</f>
        <v>-</v>
      </c>
    </row>
    <row r="5793" customHeight="1" spans="2:2">
      <c r="B5793" s="62" t="str">
        <f>IF(AND('领用录入（明细）'!D:D=$F$4,'领用录入（明细）'!C:C&gt;=$J$4,'领用录入（明细）'!C:C&lt;=$L$4),ROW(),"-")</f>
        <v>-</v>
      </c>
    </row>
    <row r="5794" customHeight="1" spans="2:2">
      <c r="B5794" s="62" t="str">
        <f>IF(AND('领用录入（明细）'!D:D=$F$4,'领用录入（明细）'!C:C&gt;=$J$4,'领用录入（明细）'!C:C&lt;=$L$4),ROW(),"-")</f>
        <v>-</v>
      </c>
    </row>
    <row r="5795" customHeight="1" spans="2:2">
      <c r="B5795" s="62" t="str">
        <f>IF(AND('领用录入（明细）'!D:D=$F$4,'领用录入（明细）'!C:C&gt;=$J$4,'领用录入（明细）'!C:C&lt;=$L$4),ROW(),"-")</f>
        <v>-</v>
      </c>
    </row>
    <row r="5796" customHeight="1" spans="2:2">
      <c r="B5796" s="62" t="str">
        <f>IF(AND('领用录入（明细）'!D:D=$F$4,'领用录入（明细）'!C:C&gt;=$J$4,'领用录入（明细）'!C:C&lt;=$L$4),ROW(),"-")</f>
        <v>-</v>
      </c>
    </row>
    <row r="5797" customHeight="1" spans="2:2">
      <c r="B5797" s="62" t="str">
        <f>IF(AND('领用录入（明细）'!D:D=$F$4,'领用录入（明细）'!C:C&gt;=$J$4,'领用录入（明细）'!C:C&lt;=$L$4),ROW(),"-")</f>
        <v>-</v>
      </c>
    </row>
    <row r="5798" customHeight="1" spans="2:2">
      <c r="B5798" s="62" t="str">
        <f>IF(AND('领用录入（明细）'!D:D=$F$4,'领用录入（明细）'!C:C&gt;=$J$4,'领用录入（明细）'!C:C&lt;=$L$4),ROW(),"-")</f>
        <v>-</v>
      </c>
    </row>
    <row r="5799" customHeight="1" spans="2:2">
      <c r="B5799" s="62" t="str">
        <f>IF(AND('领用录入（明细）'!D:D=$F$4,'领用录入（明细）'!C:C&gt;=$J$4,'领用录入（明细）'!C:C&lt;=$L$4),ROW(),"-")</f>
        <v>-</v>
      </c>
    </row>
    <row r="5800" customHeight="1" spans="2:2">
      <c r="B5800" s="62" t="str">
        <f>IF(AND('领用录入（明细）'!D:D=$F$4,'领用录入（明细）'!C:C&gt;=$J$4,'领用录入（明细）'!C:C&lt;=$L$4),ROW(),"-")</f>
        <v>-</v>
      </c>
    </row>
    <row r="5801" customHeight="1" spans="2:2">
      <c r="B5801" s="62" t="str">
        <f>IF(AND('领用录入（明细）'!D:D=$F$4,'领用录入（明细）'!C:C&gt;=$J$4,'领用录入（明细）'!C:C&lt;=$L$4),ROW(),"-")</f>
        <v>-</v>
      </c>
    </row>
    <row r="5802" customHeight="1" spans="2:2">
      <c r="B5802" s="62" t="str">
        <f>IF(AND('领用录入（明细）'!D:D=$F$4,'领用录入（明细）'!C:C&gt;=$J$4,'领用录入（明细）'!C:C&lt;=$L$4),ROW(),"-")</f>
        <v>-</v>
      </c>
    </row>
    <row r="5803" customHeight="1" spans="2:2">
      <c r="B5803" s="62" t="str">
        <f>IF(AND('领用录入（明细）'!D:D=$F$4,'领用录入（明细）'!C:C&gt;=$J$4,'领用录入（明细）'!C:C&lt;=$L$4),ROW(),"-")</f>
        <v>-</v>
      </c>
    </row>
    <row r="5804" customHeight="1" spans="2:2">
      <c r="B5804" s="62" t="str">
        <f>IF(AND('领用录入（明细）'!D:D=$F$4,'领用录入（明细）'!C:C&gt;=$J$4,'领用录入（明细）'!C:C&lt;=$L$4),ROW(),"-")</f>
        <v>-</v>
      </c>
    </row>
    <row r="5805" customHeight="1" spans="2:2">
      <c r="B5805" s="62" t="str">
        <f>IF(AND('领用录入（明细）'!D:D=$F$4,'领用录入（明细）'!C:C&gt;=$J$4,'领用录入（明细）'!C:C&lt;=$L$4),ROW(),"-")</f>
        <v>-</v>
      </c>
    </row>
    <row r="5806" customHeight="1" spans="2:2">
      <c r="B5806" s="62" t="str">
        <f>IF(AND('领用录入（明细）'!D:D=$F$4,'领用录入（明细）'!C:C&gt;=$J$4,'领用录入（明细）'!C:C&lt;=$L$4),ROW(),"-")</f>
        <v>-</v>
      </c>
    </row>
    <row r="5807" customHeight="1" spans="2:2">
      <c r="B5807" s="62" t="str">
        <f>IF(AND('领用录入（明细）'!D:D=$F$4,'领用录入（明细）'!C:C&gt;=$J$4,'领用录入（明细）'!C:C&lt;=$L$4),ROW(),"-")</f>
        <v>-</v>
      </c>
    </row>
    <row r="5808" customHeight="1" spans="2:2">
      <c r="B5808" s="62" t="str">
        <f>IF(AND('领用录入（明细）'!D:D=$F$4,'领用录入（明细）'!C:C&gt;=$J$4,'领用录入（明细）'!C:C&lt;=$L$4),ROW(),"-")</f>
        <v>-</v>
      </c>
    </row>
    <row r="5809" customHeight="1" spans="2:2">
      <c r="B5809" s="62" t="str">
        <f>IF(AND('领用录入（明细）'!D:D=$F$4,'领用录入（明细）'!C:C&gt;=$J$4,'领用录入（明细）'!C:C&lt;=$L$4),ROW(),"-")</f>
        <v>-</v>
      </c>
    </row>
    <row r="5810" customHeight="1" spans="2:2">
      <c r="B5810" s="62" t="str">
        <f>IF(AND('领用录入（明细）'!D:D=$F$4,'领用录入（明细）'!C:C&gt;=$J$4,'领用录入（明细）'!C:C&lt;=$L$4),ROW(),"-")</f>
        <v>-</v>
      </c>
    </row>
    <row r="5811" customHeight="1" spans="2:2">
      <c r="B5811" s="62" t="str">
        <f>IF(AND('领用录入（明细）'!D:D=$F$4,'领用录入（明细）'!C:C&gt;=$J$4,'领用录入（明细）'!C:C&lt;=$L$4),ROW(),"-")</f>
        <v>-</v>
      </c>
    </row>
    <row r="5812" customHeight="1" spans="2:2">
      <c r="B5812" s="62" t="str">
        <f>IF(AND('领用录入（明细）'!D:D=$F$4,'领用录入（明细）'!C:C&gt;=$J$4,'领用录入（明细）'!C:C&lt;=$L$4),ROW(),"-")</f>
        <v>-</v>
      </c>
    </row>
    <row r="5813" customHeight="1" spans="2:2">
      <c r="B5813" s="62" t="str">
        <f>IF(AND('领用录入（明细）'!D:D=$F$4,'领用录入（明细）'!C:C&gt;=$J$4,'领用录入（明细）'!C:C&lt;=$L$4),ROW(),"-")</f>
        <v>-</v>
      </c>
    </row>
    <row r="5814" customHeight="1" spans="2:2">
      <c r="B5814" s="62" t="str">
        <f>IF(AND('领用录入（明细）'!D:D=$F$4,'领用录入（明细）'!C:C&gt;=$J$4,'领用录入（明细）'!C:C&lt;=$L$4),ROW(),"-")</f>
        <v>-</v>
      </c>
    </row>
    <row r="5815" customHeight="1" spans="2:2">
      <c r="B5815" s="62" t="str">
        <f>IF(AND('领用录入（明细）'!D:D=$F$4,'领用录入（明细）'!C:C&gt;=$J$4,'领用录入（明细）'!C:C&lt;=$L$4),ROW(),"-")</f>
        <v>-</v>
      </c>
    </row>
    <row r="5816" customHeight="1" spans="2:2">
      <c r="B5816" s="62" t="str">
        <f>IF(AND('领用录入（明细）'!D:D=$F$4,'领用录入（明细）'!C:C&gt;=$J$4,'领用录入（明细）'!C:C&lt;=$L$4),ROW(),"-")</f>
        <v>-</v>
      </c>
    </row>
    <row r="5817" customHeight="1" spans="2:2">
      <c r="B5817" s="62" t="str">
        <f>IF(AND('领用录入（明细）'!D:D=$F$4,'领用录入（明细）'!C:C&gt;=$J$4,'领用录入（明细）'!C:C&lt;=$L$4),ROW(),"-")</f>
        <v>-</v>
      </c>
    </row>
    <row r="5818" customHeight="1" spans="2:2">
      <c r="B5818" s="62" t="str">
        <f>IF(AND('领用录入（明细）'!D:D=$F$4,'领用录入（明细）'!C:C&gt;=$J$4,'领用录入（明细）'!C:C&lt;=$L$4),ROW(),"-")</f>
        <v>-</v>
      </c>
    </row>
    <row r="5819" customHeight="1" spans="2:2">
      <c r="B5819" s="62" t="str">
        <f>IF(AND('领用录入（明细）'!D:D=$F$4,'领用录入（明细）'!C:C&gt;=$J$4,'领用录入（明细）'!C:C&lt;=$L$4),ROW(),"-")</f>
        <v>-</v>
      </c>
    </row>
    <row r="5820" customHeight="1" spans="2:2">
      <c r="B5820" s="62" t="str">
        <f>IF(AND('领用录入（明细）'!D:D=$F$4,'领用录入（明细）'!C:C&gt;=$J$4,'领用录入（明细）'!C:C&lt;=$L$4),ROW(),"-")</f>
        <v>-</v>
      </c>
    </row>
    <row r="5821" customHeight="1" spans="2:2">
      <c r="B5821" s="62" t="str">
        <f>IF(AND('领用录入（明细）'!D:D=$F$4,'领用录入（明细）'!C:C&gt;=$J$4,'领用录入（明细）'!C:C&lt;=$L$4),ROW(),"-")</f>
        <v>-</v>
      </c>
    </row>
    <row r="5822" customHeight="1" spans="2:2">
      <c r="B5822" s="62" t="str">
        <f>IF(AND('领用录入（明细）'!D:D=$F$4,'领用录入（明细）'!C:C&gt;=$J$4,'领用录入（明细）'!C:C&lt;=$L$4),ROW(),"-")</f>
        <v>-</v>
      </c>
    </row>
    <row r="5823" customHeight="1" spans="2:2">
      <c r="B5823" s="62" t="str">
        <f>IF(AND('领用录入（明细）'!D:D=$F$4,'领用录入（明细）'!C:C&gt;=$J$4,'领用录入（明细）'!C:C&lt;=$L$4),ROW(),"-")</f>
        <v>-</v>
      </c>
    </row>
    <row r="5824" customHeight="1" spans="2:2">
      <c r="B5824" s="62" t="str">
        <f>IF(AND('领用录入（明细）'!D:D=$F$4,'领用录入（明细）'!C:C&gt;=$J$4,'领用录入（明细）'!C:C&lt;=$L$4),ROW(),"-")</f>
        <v>-</v>
      </c>
    </row>
    <row r="5825" customHeight="1" spans="2:2">
      <c r="B5825" s="62" t="str">
        <f>IF(AND('领用录入（明细）'!D:D=$F$4,'领用录入（明细）'!C:C&gt;=$J$4,'领用录入（明细）'!C:C&lt;=$L$4),ROW(),"-")</f>
        <v>-</v>
      </c>
    </row>
    <row r="5826" customHeight="1" spans="2:2">
      <c r="B5826" s="62" t="str">
        <f>IF(AND('领用录入（明细）'!D:D=$F$4,'领用录入（明细）'!C:C&gt;=$J$4,'领用录入（明细）'!C:C&lt;=$L$4),ROW(),"-")</f>
        <v>-</v>
      </c>
    </row>
    <row r="5827" customHeight="1" spans="2:2">
      <c r="B5827" s="62" t="str">
        <f>IF(AND('领用录入（明细）'!D:D=$F$4,'领用录入（明细）'!C:C&gt;=$J$4,'领用录入（明细）'!C:C&lt;=$L$4),ROW(),"-")</f>
        <v>-</v>
      </c>
    </row>
    <row r="5828" customHeight="1" spans="2:2">
      <c r="B5828" s="62" t="str">
        <f>IF(AND('领用录入（明细）'!D:D=$F$4,'领用录入（明细）'!C:C&gt;=$J$4,'领用录入（明细）'!C:C&lt;=$L$4),ROW(),"-")</f>
        <v>-</v>
      </c>
    </row>
    <row r="5829" customHeight="1" spans="2:2">
      <c r="B5829" s="62" t="str">
        <f>IF(AND('领用录入（明细）'!D:D=$F$4,'领用录入（明细）'!C:C&gt;=$J$4,'领用录入（明细）'!C:C&lt;=$L$4),ROW(),"-")</f>
        <v>-</v>
      </c>
    </row>
    <row r="5830" customHeight="1" spans="2:2">
      <c r="B5830" s="62" t="str">
        <f>IF(AND('领用录入（明细）'!D:D=$F$4,'领用录入（明细）'!C:C&gt;=$J$4,'领用录入（明细）'!C:C&lt;=$L$4),ROW(),"-")</f>
        <v>-</v>
      </c>
    </row>
    <row r="5831" customHeight="1" spans="2:2">
      <c r="B5831" s="62" t="str">
        <f>IF(AND('领用录入（明细）'!D:D=$F$4,'领用录入（明细）'!C:C&gt;=$J$4,'领用录入（明细）'!C:C&lt;=$L$4),ROW(),"-")</f>
        <v>-</v>
      </c>
    </row>
    <row r="5832" customHeight="1" spans="2:2">
      <c r="B5832" s="62" t="str">
        <f>IF(AND('领用录入（明细）'!D:D=$F$4,'领用录入（明细）'!C:C&gt;=$J$4,'领用录入（明细）'!C:C&lt;=$L$4),ROW(),"-")</f>
        <v>-</v>
      </c>
    </row>
    <row r="5833" customHeight="1" spans="2:2">
      <c r="B5833" s="62" t="str">
        <f>IF(AND('领用录入（明细）'!D:D=$F$4,'领用录入（明细）'!C:C&gt;=$J$4,'领用录入（明细）'!C:C&lt;=$L$4),ROW(),"-")</f>
        <v>-</v>
      </c>
    </row>
    <row r="5834" customHeight="1" spans="2:2">
      <c r="B5834" s="62" t="str">
        <f>IF(AND('领用录入（明细）'!D:D=$F$4,'领用录入（明细）'!C:C&gt;=$J$4,'领用录入（明细）'!C:C&lt;=$L$4),ROW(),"-")</f>
        <v>-</v>
      </c>
    </row>
    <row r="5835" customHeight="1" spans="2:2">
      <c r="B5835" s="62" t="str">
        <f>IF(AND('领用录入（明细）'!D:D=$F$4,'领用录入（明细）'!C:C&gt;=$J$4,'领用录入（明细）'!C:C&lt;=$L$4),ROW(),"-")</f>
        <v>-</v>
      </c>
    </row>
    <row r="5836" customHeight="1" spans="2:2">
      <c r="B5836" s="62" t="str">
        <f>IF(AND('领用录入（明细）'!D:D=$F$4,'领用录入（明细）'!C:C&gt;=$J$4,'领用录入（明细）'!C:C&lt;=$L$4),ROW(),"-")</f>
        <v>-</v>
      </c>
    </row>
    <row r="5837" customHeight="1" spans="2:2">
      <c r="B5837" s="62" t="str">
        <f>IF(AND('领用录入（明细）'!D:D=$F$4,'领用录入（明细）'!C:C&gt;=$J$4,'领用录入（明细）'!C:C&lt;=$L$4),ROW(),"-")</f>
        <v>-</v>
      </c>
    </row>
    <row r="5838" customHeight="1" spans="2:2">
      <c r="B5838" s="62" t="str">
        <f>IF(AND('领用录入（明细）'!D:D=$F$4,'领用录入（明细）'!C:C&gt;=$J$4,'领用录入（明细）'!C:C&lt;=$L$4),ROW(),"-")</f>
        <v>-</v>
      </c>
    </row>
    <row r="5839" customHeight="1" spans="2:2">
      <c r="B5839" s="62" t="str">
        <f>IF(AND('领用录入（明细）'!D:D=$F$4,'领用录入（明细）'!C:C&gt;=$J$4,'领用录入（明细）'!C:C&lt;=$L$4),ROW(),"-")</f>
        <v>-</v>
      </c>
    </row>
    <row r="5840" customHeight="1" spans="2:2">
      <c r="B5840" s="62" t="str">
        <f>IF(AND('领用录入（明细）'!D:D=$F$4,'领用录入（明细）'!C:C&gt;=$J$4,'领用录入（明细）'!C:C&lt;=$L$4),ROW(),"-")</f>
        <v>-</v>
      </c>
    </row>
    <row r="5841" customHeight="1" spans="2:2">
      <c r="B5841" s="62" t="str">
        <f>IF(AND('领用录入（明细）'!D:D=$F$4,'领用录入（明细）'!C:C&gt;=$J$4,'领用录入（明细）'!C:C&lt;=$L$4),ROW(),"-")</f>
        <v>-</v>
      </c>
    </row>
    <row r="5842" customHeight="1" spans="2:2">
      <c r="B5842" s="62" t="str">
        <f>IF(AND('领用录入（明细）'!D:D=$F$4,'领用录入（明细）'!C:C&gt;=$J$4,'领用录入（明细）'!C:C&lt;=$L$4),ROW(),"-")</f>
        <v>-</v>
      </c>
    </row>
    <row r="5843" customHeight="1" spans="2:2">
      <c r="B5843" s="62" t="str">
        <f>IF(AND('领用录入（明细）'!D:D=$F$4,'领用录入（明细）'!C:C&gt;=$J$4,'领用录入（明细）'!C:C&lt;=$L$4),ROW(),"-")</f>
        <v>-</v>
      </c>
    </row>
    <row r="5844" customHeight="1" spans="2:2">
      <c r="B5844" s="62" t="str">
        <f>IF(AND('领用录入（明细）'!D:D=$F$4,'领用录入（明细）'!C:C&gt;=$J$4,'领用录入（明细）'!C:C&lt;=$L$4),ROW(),"-")</f>
        <v>-</v>
      </c>
    </row>
    <row r="5845" customHeight="1" spans="2:2">
      <c r="B5845" s="62" t="str">
        <f>IF(AND('领用录入（明细）'!D:D=$F$4,'领用录入（明细）'!C:C&gt;=$J$4,'领用录入（明细）'!C:C&lt;=$L$4),ROW(),"-")</f>
        <v>-</v>
      </c>
    </row>
    <row r="5846" customHeight="1" spans="2:2">
      <c r="B5846" s="62" t="str">
        <f>IF(AND('领用录入（明细）'!D:D=$F$4,'领用录入（明细）'!C:C&gt;=$J$4,'领用录入（明细）'!C:C&lt;=$L$4),ROW(),"-")</f>
        <v>-</v>
      </c>
    </row>
    <row r="5847" customHeight="1" spans="2:2">
      <c r="B5847" s="62" t="str">
        <f>IF(AND('领用录入（明细）'!D:D=$F$4,'领用录入（明细）'!C:C&gt;=$J$4,'领用录入（明细）'!C:C&lt;=$L$4),ROW(),"-")</f>
        <v>-</v>
      </c>
    </row>
    <row r="5848" customHeight="1" spans="2:2">
      <c r="B5848" s="62" t="str">
        <f>IF(AND('领用录入（明细）'!D:D=$F$4,'领用录入（明细）'!C:C&gt;=$J$4,'领用录入（明细）'!C:C&lt;=$L$4),ROW(),"-")</f>
        <v>-</v>
      </c>
    </row>
    <row r="5849" customHeight="1" spans="2:2">
      <c r="B5849" s="62" t="str">
        <f>IF(AND('领用录入（明细）'!D:D=$F$4,'领用录入（明细）'!C:C&gt;=$J$4,'领用录入（明细）'!C:C&lt;=$L$4),ROW(),"-")</f>
        <v>-</v>
      </c>
    </row>
    <row r="5850" customHeight="1" spans="2:2">
      <c r="B5850" s="62" t="str">
        <f>IF(AND('领用录入（明细）'!D:D=$F$4,'领用录入（明细）'!C:C&gt;=$J$4,'领用录入（明细）'!C:C&lt;=$L$4),ROW(),"-")</f>
        <v>-</v>
      </c>
    </row>
    <row r="5851" customHeight="1" spans="2:2">
      <c r="B5851" s="62" t="str">
        <f>IF(AND('领用录入（明细）'!D:D=$F$4,'领用录入（明细）'!C:C&gt;=$J$4,'领用录入（明细）'!C:C&lt;=$L$4),ROW(),"-")</f>
        <v>-</v>
      </c>
    </row>
    <row r="5852" customHeight="1" spans="2:2">
      <c r="B5852" s="62" t="str">
        <f>IF(AND('领用录入（明细）'!D:D=$F$4,'领用录入（明细）'!C:C&gt;=$J$4,'领用录入（明细）'!C:C&lt;=$L$4),ROW(),"-")</f>
        <v>-</v>
      </c>
    </row>
    <row r="5853" customHeight="1" spans="2:2">
      <c r="B5853" s="62" t="str">
        <f>IF(AND('领用录入（明细）'!D:D=$F$4,'领用录入（明细）'!C:C&gt;=$J$4,'领用录入（明细）'!C:C&lt;=$L$4),ROW(),"-")</f>
        <v>-</v>
      </c>
    </row>
    <row r="5854" customHeight="1" spans="2:2">
      <c r="B5854" s="62" t="str">
        <f>IF(AND('领用录入（明细）'!D:D=$F$4,'领用录入（明细）'!C:C&gt;=$J$4,'领用录入（明细）'!C:C&lt;=$L$4),ROW(),"-")</f>
        <v>-</v>
      </c>
    </row>
    <row r="5855" customHeight="1" spans="2:2">
      <c r="B5855" s="62" t="str">
        <f>IF(AND('领用录入（明细）'!D:D=$F$4,'领用录入（明细）'!C:C&gt;=$J$4,'领用录入（明细）'!C:C&lt;=$L$4),ROW(),"-")</f>
        <v>-</v>
      </c>
    </row>
    <row r="5856" customHeight="1" spans="2:2">
      <c r="B5856" s="62" t="str">
        <f>IF(AND('领用录入（明细）'!D:D=$F$4,'领用录入（明细）'!C:C&gt;=$J$4,'领用录入（明细）'!C:C&lt;=$L$4),ROW(),"-")</f>
        <v>-</v>
      </c>
    </row>
    <row r="5857" customHeight="1" spans="2:2">
      <c r="B5857" s="62" t="str">
        <f>IF(AND('领用录入（明细）'!D:D=$F$4,'领用录入（明细）'!C:C&gt;=$J$4,'领用录入（明细）'!C:C&lt;=$L$4),ROW(),"-")</f>
        <v>-</v>
      </c>
    </row>
    <row r="5858" customHeight="1" spans="2:2">
      <c r="B5858" s="62" t="str">
        <f>IF(AND('领用录入（明细）'!D:D=$F$4,'领用录入（明细）'!C:C&gt;=$J$4,'领用录入（明细）'!C:C&lt;=$L$4),ROW(),"-")</f>
        <v>-</v>
      </c>
    </row>
    <row r="5859" customHeight="1" spans="2:2">
      <c r="B5859" s="62" t="str">
        <f>IF(AND('领用录入（明细）'!D:D=$F$4,'领用录入（明细）'!C:C&gt;=$J$4,'领用录入（明细）'!C:C&lt;=$L$4),ROW(),"-")</f>
        <v>-</v>
      </c>
    </row>
    <row r="5860" customHeight="1" spans="2:2">
      <c r="B5860" s="62" t="str">
        <f>IF(AND('领用录入（明细）'!D:D=$F$4,'领用录入（明细）'!C:C&gt;=$J$4,'领用录入（明细）'!C:C&lt;=$L$4),ROW(),"-")</f>
        <v>-</v>
      </c>
    </row>
    <row r="5861" customHeight="1" spans="2:2">
      <c r="B5861" s="62" t="str">
        <f>IF(AND('领用录入（明细）'!D:D=$F$4,'领用录入（明细）'!C:C&gt;=$J$4,'领用录入（明细）'!C:C&lt;=$L$4),ROW(),"-")</f>
        <v>-</v>
      </c>
    </row>
    <row r="5862" customHeight="1" spans="2:2">
      <c r="B5862" s="62" t="str">
        <f>IF(AND('领用录入（明细）'!D:D=$F$4,'领用录入（明细）'!C:C&gt;=$J$4,'领用录入（明细）'!C:C&lt;=$L$4),ROW(),"-")</f>
        <v>-</v>
      </c>
    </row>
    <row r="5863" customHeight="1" spans="2:2">
      <c r="B5863" s="62" t="str">
        <f>IF(AND('领用录入（明细）'!D:D=$F$4,'领用录入（明细）'!C:C&gt;=$J$4,'领用录入（明细）'!C:C&lt;=$L$4),ROW(),"-")</f>
        <v>-</v>
      </c>
    </row>
    <row r="5864" customHeight="1" spans="2:2">
      <c r="B5864" s="62" t="str">
        <f>IF(AND('领用录入（明细）'!D:D=$F$4,'领用录入（明细）'!C:C&gt;=$J$4,'领用录入（明细）'!C:C&lt;=$L$4),ROW(),"-")</f>
        <v>-</v>
      </c>
    </row>
    <row r="5865" customHeight="1" spans="2:2">
      <c r="B5865" s="62" t="str">
        <f>IF(AND('领用录入（明细）'!D:D=$F$4,'领用录入（明细）'!C:C&gt;=$J$4,'领用录入（明细）'!C:C&lt;=$L$4),ROW(),"-")</f>
        <v>-</v>
      </c>
    </row>
    <row r="5866" customHeight="1" spans="2:2">
      <c r="B5866" s="62" t="str">
        <f>IF(AND('领用录入（明细）'!D:D=$F$4,'领用录入（明细）'!C:C&gt;=$J$4,'领用录入（明细）'!C:C&lt;=$L$4),ROW(),"-")</f>
        <v>-</v>
      </c>
    </row>
    <row r="5867" customHeight="1" spans="2:2">
      <c r="B5867" s="62" t="str">
        <f>IF(AND('领用录入（明细）'!D:D=$F$4,'领用录入（明细）'!C:C&gt;=$J$4,'领用录入（明细）'!C:C&lt;=$L$4),ROW(),"-")</f>
        <v>-</v>
      </c>
    </row>
    <row r="5868" customHeight="1" spans="2:2">
      <c r="B5868" s="62" t="str">
        <f>IF(AND('领用录入（明细）'!D:D=$F$4,'领用录入（明细）'!C:C&gt;=$J$4,'领用录入（明细）'!C:C&lt;=$L$4),ROW(),"-")</f>
        <v>-</v>
      </c>
    </row>
    <row r="5869" customHeight="1" spans="2:2">
      <c r="B5869" s="62" t="str">
        <f>IF(AND('领用录入（明细）'!D:D=$F$4,'领用录入（明细）'!C:C&gt;=$J$4,'领用录入（明细）'!C:C&lt;=$L$4),ROW(),"-")</f>
        <v>-</v>
      </c>
    </row>
    <row r="5870" customHeight="1" spans="2:2">
      <c r="B5870" s="62" t="str">
        <f>IF(AND('领用录入（明细）'!D:D=$F$4,'领用录入（明细）'!C:C&gt;=$J$4,'领用录入（明细）'!C:C&lt;=$L$4),ROW(),"-")</f>
        <v>-</v>
      </c>
    </row>
    <row r="5871" customHeight="1" spans="2:2">
      <c r="B5871" s="62" t="str">
        <f>IF(AND('领用录入（明细）'!D:D=$F$4,'领用录入（明细）'!C:C&gt;=$J$4,'领用录入（明细）'!C:C&lt;=$L$4),ROW(),"-")</f>
        <v>-</v>
      </c>
    </row>
    <row r="5872" customHeight="1" spans="2:2">
      <c r="B5872" s="62" t="str">
        <f>IF(AND('领用录入（明细）'!D:D=$F$4,'领用录入（明细）'!C:C&gt;=$J$4,'领用录入（明细）'!C:C&lt;=$L$4),ROW(),"-")</f>
        <v>-</v>
      </c>
    </row>
    <row r="5873" customHeight="1" spans="2:2">
      <c r="B5873" s="62" t="str">
        <f>IF(AND('领用录入（明细）'!D:D=$F$4,'领用录入（明细）'!C:C&gt;=$J$4,'领用录入（明细）'!C:C&lt;=$L$4),ROW(),"-")</f>
        <v>-</v>
      </c>
    </row>
    <row r="5874" customHeight="1" spans="2:2">
      <c r="B5874" s="62" t="str">
        <f>IF(AND('领用录入（明细）'!D:D=$F$4,'领用录入（明细）'!C:C&gt;=$J$4,'领用录入（明细）'!C:C&lt;=$L$4),ROW(),"-")</f>
        <v>-</v>
      </c>
    </row>
    <row r="5875" customHeight="1" spans="2:2">
      <c r="B5875" s="62" t="str">
        <f>IF(AND('领用录入（明细）'!D:D=$F$4,'领用录入（明细）'!C:C&gt;=$J$4,'领用录入（明细）'!C:C&lt;=$L$4),ROW(),"-")</f>
        <v>-</v>
      </c>
    </row>
    <row r="5876" customHeight="1" spans="2:2">
      <c r="B5876" s="62" t="str">
        <f>IF(AND('领用录入（明细）'!D:D=$F$4,'领用录入（明细）'!C:C&gt;=$J$4,'领用录入（明细）'!C:C&lt;=$L$4),ROW(),"-")</f>
        <v>-</v>
      </c>
    </row>
    <row r="5877" customHeight="1" spans="2:2">
      <c r="B5877" s="62" t="str">
        <f>IF(AND('领用录入（明细）'!D:D=$F$4,'领用录入（明细）'!C:C&gt;=$J$4,'领用录入（明细）'!C:C&lt;=$L$4),ROW(),"-")</f>
        <v>-</v>
      </c>
    </row>
    <row r="5878" customHeight="1" spans="2:2">
      <c r="B5878" s="62" t="str">
        <f>IF(AND('领用录入（明细）'!D:D=$F$4,'领用录入（明细）'!C:C&gt;=$J$4,'领用录入（明细）'!C:C&lt;=$L$4),ROW(),"-")</f>
        <v>-</v>
      </c>
    </row>
    <row r="5879" customHeight="1" spans="2:2">
      <c r="B5879" s="62" t="str">
        <f>IF(AND('领用录入（明细）'!D:D=$F$4,'领用录入（明细）'!C:C&gt;=$J$4,'领用录入（明细）'!C:C&lt;=$L$4),ROW(),"-")</f>
        <v>-</v>
      </c>
    </row>
    <row r="5880" customHeight="1" spans="2:2">
      <c r="B5880" s="62" t="str">
        <f>IF(AND('领用录入（明细）'!D:D=$F$4,'领用录入（明细）'!C:C&gt;=$J$4,'领用录入（明细）'!C:C&lt;=$L$4),ROW(),"-")</f>
        <v>-</v>
      </c>
    </row>
    <row r="5881" customHeight="1" spans="2:2">
      <c r="B5881" s="62" t="str">
        <f>IF(AND('领用录入（明细）'!D:D=$F$4,'领用录入（明细）'!C:C&gt;=$J$4,'领用录入（明细）'!C:C&lt;=$L$4),ROW(),"-")</f>
        <v>-</v>
      </c>
    </row>
    <row r="5882" customHeight="1" spans="2:2">
      <c r="B5882" s="62" t="str">
        <f>IF(AND('领用录入（明细）'!D:D=$F$4,'领用录入（明细）'!C:C&gt;=$J$4,'领用录入（明细）'!C:C&lt;=$L$4),ROW(),"-")</f>
        <v>-</v>
      </c>
    </row>
    <row r="5883" customHeight="1" spans="2:2">
      <c r="B5883" s="62" t="str">
        <f>IF(AND('领用录入（明细）'!D:D=$F$4,'领用录入（明细）'!C:C&gt;=$J$4,'领用录入（明细）'!C:C&lt;=$L$4),ROW(),"-")</f>
        <v>-</v>
      </c>
    </row>
    <row r="5884" customHeight="1" spans="2:2">
      <c r="B5884" s="62" t="str">
        <f>IF(AND('领用录入（明细）'!D:D=$F$4,'领用录入（明细）'!C:C&gt;=$J$4,'领用录入（明细）'!C:C&lt;=$L$4),ROW(),"-")</f>
        <v>-</v>
      </c>
    </row>
    <row r="5885" customHeight="1" spans="2:2">
      <c r="B5885" s="62" t="str">
        <f>IF(AND('领用录入（明细）'!D:D=$F$4,'领用录入（明细）'!C:C&gt;=$J$4,'领用录入（明细）'!C:C&lt;=$L$4),ROW(),"-")</f>
        <v>-</v>
      </c>
    </row>
    <row r="5886" customHeight="1" spans="2:2">
      <c r="B5886" s="62" t="str">
        <f>IF(AND('领用录入（明细）'!D:D=$F$4,'领用录入（明细）'!C:C&gt;=$J$4,'领用录入（明细）'!C:C&lt;=$L$4),ROW(),"-")</f>
        <v>-</v>
      </c>
    </row>
    <row r="5887" customHeight="1" spans="2:2">
      <c r="B5887" s="62" t="str">
        <f>IF(AND('领用录入（明细）'!D:D=$F$4,'领用录入（明细）'!C:C&gt;=$J$4,'领用录入（明细）'!C:C&lt;=$L$4),ROW(),"-")</f>
        <v>-</v>
      </c>
    </row>
    <row r="5888" customHeight="1" spans="2:2">
      <c r="B5888" s="62" t="str">
        <f>IF(AND('领用录入（明细）'!D:D=$F$4,'领用录入（明细）'!C:C&gt;=$J$4,'领用录入（明细）'!C:C&lt;=$L$4),ROW(),"-")</f>
        <v>-</v>
      </c>
    </row>
    <row r="5889" customHeight="1" spans="2:2">
      <c r="B5889" s="62" t="str">
        <f>IF(AND('领用录入（明细）'!D:D=$F$4,'领用录入（明细）'!C:C&gt;=$J$4,'领用录入（明细）'!C:C&lt;=$L$4),ROW(),"-")</f>
        <v>-</v>
      </c>
    </row>
    <row r="5890" customHeight="1" spans="2:2">
      <c r="B5890" s="62" t="str">
        <f>IF(AND('领用录入（明细）'!D:D=$F$4,'领用录入（明细）'!C:C&gt;=$J$4,'领用录入（明细）'!C:C&lt;=$L$4),ROW(),"-")</f>
        <v>-</v>
      </c>
    </row>
    <row r="5891" customHeight="1" spans="2:2">
      <c r="B5891" s="62" t="str">
        <f>IF(AND('领用录入（明细）'!D:D=$F$4,'领用录入（明细）'!C:C&gt;=$J$4,'领用录入（明细）'!C:C&lt;=$L$4),ROW(),"-")</f>
        <v>-</v>
      </c>
    </row>
    <row r="5892" customHeight="1" spans="2:2">
      <c r="B5892" s="62" t="str">
        <f>IF(AND('领用录入（明细）'!D:D=$F$4,'领用录入（明细）'!C:C&gt;=$J$4,'领用录入（明细）'!C:C&lt;=$L$4),ROW(),"-")</f>
        <v>-</v>
      </c>
    </row>
    <row r="5893" customHeight="1" spans="2:2">
      <c r="B5893" s="62" t="str">
        <f>IF(AND('领用录入（明细）'!D:D=$F$4,'领用录入（明细）'!C:C&gt;=$J$4,'领用录入（明细）'!C:C&lt;=$L$4),ROW(),"-")</f>
        <v>-</v>
      </c>
    </row>
    <row r="5894" customHeight="1" spans="2:2">
      <c r="B5894" s="62" t="str">
        <f>IF(AND('领用录入（明细）'!D:D=$F$4,'领用录入（明细）'!C:C&gt;=$J$4,'领用录入（明细）'!C:C&lt;=$L$4),ROW(),"-")</f>
        <v>-</v>
      </c>
    </row>
    <row r="5895" customHeight="1" spans="2:2">
      <c r="B5895" s="62" t="str">
        <f>IF(AND('领用录入（明细）'!D:D=$F$4,'领用录入（明细）'!C:C&gt;=$J$4,'领用录入（明细）'!C:C&lt;=$L$4),ROW(),"-")</f>
        <v>-</v>
      </c>
    </row>
    <row r="5896" customHeight="1" spans="2:2">
      <c r="B5896" s="62" t="str">
        <f>IF(AND('领用录入（明细）'!D:D=$F$4,'领用录入（明细）'!C:C&gt;=$J$4,'领用录入（明细）'!C:C&lt;=$L$4),ROW(),"-")</f>
        <v>-</v>
      </c>
    </row>
    <row r="5897" customHeight="1" spans="2:2">
      <c r="B5897" s="62" t="str">
        <f>IF(AND('领用录入（明细）'!D:D=$F$4,'领用录入（明细）'!C:C&gt;=$J$4,'领用录入（明细）'!C:C&lt;=$L$4),ROW(),"-")</f>
        <v>-</v>
      </c>
    </row>
    <row r="5898" customHeight="1" spans="2:2">
      <c r="B5898" s="62" t="str">
        <f>IF(AND('领用录入（明细）'!D:D=$F$4,'领用录入（明细）'!C:C&gt;=$J$4,'领用录入（明细）'!C:C&lt;=$L$4),ROW(),"-")</f>
        <v>-</v>
      </c>
    </row>
    <row r="5899" customHeight="1" spans="2:2">
      <c r="B5899" s="62" t="str">
        <f>IF(AND('领用录入（明细）'!D:D=$F$4,'领用录入（明细）'!C:C&gt;=$J$4,'领用录入（明细）'!C:C&lt;=$L$4),ROW(),"-")</f>
        <v>-</v>
      </c>
    </row>
    <row r="5900" customHeight="1" spans="2:2">
      <c r="B5900" s="62" t="str">
        <f>IF(AND('领用录入（明细）'!D:D=$F$4,'领用录入（明细）'!C:C&gt;=$J$4,'领用录入（明细）'!C:C&lt;=$L$4),ROW(),"-")</f>
        <v>-</v>
      </c>
    </row>
    <row r="5901" customHeight="1" spans="2:2">
      <c r="B5901" s="62" t="str">
        <f>IF(AND('领用录入（明细）'!D:D=$F$4,'领用录入（明细）'!C:C&gt;=$J$4,'领用录入（明细）'!C:C&lt;=$L$4),ROW(),"-")</f>
        <v>-</v>
      </c>
    </row>
    <row r="5902" customHeight="1" spans="2:2">
      <c r="B5902" s="62" t="str">
        <f>IF(AND('领用录入（明细）'!D:D=$F$4,'领用录入（明细）'!C:C&gt;=$J$4,'领用录入（明细）'!C:C&lt;=$L$4),ROW(),"-")</f>
        <v>-</v>
      </c>
    </row>
    <row r="5903" customHeight="1" spans="2:2">
      <c r="B5903" s="62" t="str">
        <f>IF(AND('领用录入（明细）'!D:D=$F$4,'领用录入（明细）'!C:C&gt;=$J$4,'领用录入（明细）'!C:C&lt;=$L$4),ROW(),"-")</f>
        <v>-</v>
      </c>
    </row>
    <row r="5904" customHeight="1" spans="2:2">
      <c r="B5904" s="62" t="str">
        <f>IF(AND('领用录入（明细）'!D:D=$F$4,'领用录入（明细）'!C:C&gt;=$J$4,'领用录入（明细）'!C:C&lt;=$L$4),ROW(),"-")</f>
        <v>-</v>
      </c>
    </row>
    <row r="5905" customHeight="1" spans="2:2">
      <c r="B5905" s="62" t="str">
        <f>IF(AND('领用录入（明细）'!D:D=$F$4,'领用录入（明细）'!C:C&gt;=$J$4,'领用录入（明细）'!C:C&lt;=$L$4),ROW(),"-")</f>
        <v>-</v>
      </c>
    </row>
    <row r="5906" customHeight="1" spans="2:2">
      <c r="B5906" s="62" t="str">
        <f>IF(AND('领用录入（明细）'!D:D=$F$4,'领用录入（明细）'!C:C&gt;=$J$4,'领用录入（明细）'!C:C&lt;=$L$4),ROW(),"-")</f>
        <v>-</v>
      </c>
    </row>
    <row r="5907" customHeight="1" spans="2:2">
      <c r="B5907" s="62" t="str">
        <f>IF(AND('领用录入（明细）'!D:D=$F$4,'领用录入（明细）'!C:C&gt;=$J$4,'领用录入（明细）'!C:C&lt;=$L$4),ROW(),"-")</f>
        <v>-</v>
      </c>
    </row>
    <row r="5908" customHeight="1" spans="2:2">
      <c r="B5908" s="62" t="str">
        <f>IF(AND('领用录入（明细）'!D:D=$F$4,'领用录入（明细）'!C:C&gt;=$J$4,'领用录入（明细）'!C:C&lt;=$L$4),ROW(),"-")</f>
        <v>-</v>
      </c>
    </row>
    <row r="5909" customHeight="1" spans="2:2">
      <c r="B5909" s="62" t="str">
        <f>IF(AND('领用录入（明细）'!D:D=$F$4,'领用录入（明细）'!C:C&gt;=$J$4,'领用录入（明细）'!C:C&lt;=$L$4),ROW(),"-")</f>
        <v>-</v>
      </c>
    </row>
    <row r="5910" customHeight="1" spans="2:2">
      <c r="B5910" s="62" t="str">
        <f>IF(AND('领用录入（明细）'!D:D=$F$4,'领用录入（明细）'!C:C&gt;=$J$4,'领用录入（明细）'!C:C&lt;=$L$4),ROW(),"-")</f>
        <v>-</v>
      </c>
    </row>
    <row r="5911" customHeight="1" spans="2:2">
      <c r="B5911" s="62" t="str">
        <f>IF(AND('领用录入（明细）'!D:D=$F$4,'领用录入（明细）'!C:C&gt;=$J$4,'领用录入（明细）'!C:C&lt;=$L$4),ROW(),"-")</f>
        <v>-</v>
      </c>
    </row>
    <row r="5912" customHeight="1" spans="2:2">
      <c r="B5912" s="62" t="str">
        <f>IF(AND('领用录入（明细）'!D:D=$F$4,'领用录入（明细）'!C:C&gt;=$J$4,'领用录入（明细）'!C:C&lt;=$L$4),ROW(),"-")</f>
        <v>-</v>
      </c>
    </row>
    <row r="5913" customHeight="1" spans="2:2">
      <c r="B5913" s="62" t="str">
        <f>IF(AND('领用录入（明细）'!D:D=$F$4,'领用录入（明细）'!C:C&gt;=$J$4,'领用录入（明细）'!C:C&lt;=$L$4),ROW(),"-")</f>
        <v>-</v>
      </c>
    </row>
    <row r="5914" customHeight="1" spans="2:2">
      <c r="B5914" s="62" t="str">
        <f>IF(AND('领用录入（明细）'!D:D=$F$4,'领用录入（明细）'!C:C&gt;=$J$4,'领用录入（明细）'!C:C&lt;=$L$4),ROW(),"-")</f>
        <v>-</v>
      </c>
    </row>
    <row r="5915" customHeight="1" spans="2:2">
      <c r="B5915" s="62" t="str">
        <f>IF(AND('领用录入（明细）'!D:D=$F$4,'领用录入（明细）'!C:C&gt;=$J$4,'领用录入（明细）'!C:C&lt;=$L$4),ROW(),"-")</f>
        <v>-</v>
      </c>
    </row>
    <row r="5916" customHeight="1" spans="2:2">
      <c r="B5916" s="62" t="str">
        <f>IF(AND('领用录入（明细）'!D:D=$F$4,'领用录入（明细）'!C:C&gt;=$J$4,'领用录入（明细）'!C:C&lt;=$L$4),ROW(),"-")</f>
        <v>-</v>
      </c>
    </row>
    <row r="5917" customHeight="1" spans="2:2">
      <c r="B5917" s="62" t="str">
        <f>IF(AND('领用录入（明细）'!D:D=$F$4,'领用录入（明细）'!C:C&gt;=$J$4,'领用录入（明细）'!C:C&lt;=$L$4),ROW(),"-")</f>
        <v>-</v>
      </c>
    </row>
    <row r="5918" customHeight="1" spans="2:2">
      <c r="B5918" s="62" t="str">
        <f>IF(AND('领用录入（明细）'!D:D=$F$4,'领用录入（明细）'!C:C&gt;=$J$4,'领用录入（明细）'!C:C&lt;=$L$4),ROW(),"-")</f>
        <v>-</v>
      </c>
    </row>
    <row r="5919" customHeight="1" spans="2:2">
      <c r="B5919" s="62" t="str">
        <f>IF(AND('领用录入（明细）'!D:D=$F$4,'领用录入（明细）'!C:C&gt;=$J$4,'领用录入（明细）'!C:C&lt;=$L$4),ROW(),"-")</f>
        <v>-</v>
      </c>
    </row>
    <row r="5920" customHeight="1" spans="2:2">
      <c r="B5920" s="62" t="str">
        <f>IF(AND('领用录入（明细）'!D:D=$F$4,'领用录入（明细）'!C:C&gt;=$J$4,'领用录入（明细）'!C:C&lt;=$L$4),ROW(),"-")</f>
        <v>-</v>
      </c>
    </row>
    <row r="5921" customHeight="1" spans="2:2">
      <c r="B5921" s="62" t="str">
        <f>IF(AND('领用录入（明细）'!D:D=$F$4,'领用录入（明细）'!C:C&gt;=$J$4,'领用录入（明细）'!C:C&lt;=$L$4),ROW(),"-")</f>
        <v>-</v>
      </c>
    </row>
    <row r="5922" customHeight="1" spans="2:2">
      <c r="B5922" s="62" t="str">
        <f>IF(AND('领用录入（明细）'!D:D=$F$4,'领用录入（明细）'!C:C&gt;=$J$4,'领用录入（明细）'!C:C&lt;=$L$4),ROW(),"-")</f>
        <v>-</v>
      </c>
    </row>
    <row r="5923" customHeight="1" spans="2:2">
      <c r="B5923" s="62" t="str">
        <f>IF(AND('领用录入（明细）'!D:D=$F$4,'领用录入（明细）'!C:C&gt;=$J$4,'领用录入（明细）'!C:C&lt;=$L$4),ROW(),"-")</f>
        <v>-</v>
      </c>
    </row>
    <row r="5924" customHeight="1" spans="2:2">
      <c r="B5924" s="62" t="str">
        <f>IF(AND('领用录入（明细）'!D:D=$F$4,'领用录入（明细）'!C:C&gt;=$J$4,'领用录入（明细）'!C:C&lt;=$L$4),ROW(),"-")</f>
        <v>-</v>
      </c>
    </row>
    <row r="5925" customHeight="1" spans="2:2">
      <c r="B5925" s="62" t="str">
        <f>IF(AND('领用录入（明细）'!D:D=$F$4,'领用录入（明细）'!C:C&gt;=$J$4,'领用录入（明细）'!C:C&lt;=$L$4),ROW(),"-")</f>
        <v>-</v>
      </c>
    </row>
    <row r="5926" customHeight="1" spans="2:2">
      <c r="B5926" s="62" t="str">
        <f>IF(AND('领用录入（明细）'!D:D=$F$4,'领用录入（明细）'!C:C&gt;=$J$4,'领用录入（明细）'!C:C&lt;=$L$4),ROW(),"-")</f>
        <v>-</v>
      </c>
    </row>
    <row r="5927" customHeight="1" spans="2:2">
      <c r="B5927" s="62" t="str">
        <f>IF(AND('领用录入（明细）'!D:D=$F$4,'领用录入（明细）'!C:C&gt;=$J$4,'领用录入（明细）'!C:C&lt;=$L$4),ROW(),"-")</f>
        <v>-</v>
      </c>
    </row>
    <row r="5928" customHeight="1" spans="2:2">
      <c r="B5928" s="62" t="str">
        <f>IF(AND('领用录入（明细）'!D:D=$F$4,'领用录入（明细）'!C:C&gt;=$J$4,'领用录入（明细）'!C:C&lt;=$L$4),ROW(),"-")</f>
        <v>-</v>
      </c>
    </row>
    <row r="5929" customHeight="1" spans="2:2">
      <c r="B5929" s="62" t="str">
        <f>IF(AND('领用录入（明细）'!D:D=$F$4,'领用录入（明细）'!C:C&gt;=$J$4,'领用录入（明细）'!C:C&lt;=$L$4),ROW(),"-")</f>
        <v>-</v>
      </c>
    </row>
    <row r="5930" customHeight="1" spans="2:2">
      <c r="B5930" s="62" t="str">
        <f>IF(AND('领用录入（明细）'!D:D=$F$4,'领用录入（明细）'!C:C&gt;=$J$4,'领用录入（明细）'!C:C&lt;=$L$4),ROW(),"-")</f>
        <v>-</v>
      </c>
    </row>
    <row r="5931" customHeight="1" spans="2:2">
      <c r="B5931" s="62" t="str">
        <f>IF(AND('领用录入（明细）'!D:D=$F$4,'领用录入（明细）'!C:C&gt;=$J$4,'领用录入（明细）'!C:C&lt;=$L$4),ROW(),"-")</f>
        <v>-</v>
      </c>
    </row>
    <row r="5932" customHeight="1" spans="2:2">
      <c r="B5932" s="62" t="str">
        <f>IF(AND('领用录入（明细）'!D:D=$F$4,'领用录入（明细）'!C:C&gt;=$J$4,'领用录入（明细）'!C:C&lt;=$L$4),ROW(),"-")</f>
        <v>-</v>
      </c>
    </row>
    <row r="5933" customHeight="1" spans="2:2">
      <c r="B5933" s="62" t="str">
        <f>IF(AND('领用录入（明细）'!D:D=$F$4,'领用录入（明细）'!C:C&gt;=$J$4,'领用录入（明细）'!C:C&lt;=$L$4),ROW(),"-")</f>
        <v>-</v>
      </c>
    </row>
    <row r="5934" customHeight="1" spans="2:2">
      <c r="B5934" s="62" t="str">
        <f>IF(AND('领用录入（明细）'!D:D=$F$4,'领用录入（明细）'!C:C&gt;=$J$4,'领用录入（明细）'!C:C&lt;=$L$4),ROW(),"-")</f>
        <v>-</v>
      </c>
    </row>
    <row r="5935" customHeight="1" spans="2:2">
      <c r="B5935" s="62" t="str">
        <f>IF(AND('领用录入（明细）'!D:D=$F$4,'领用录入（明细）'!C:C&gt;=$J$4,'领用录入（明细）'!C:C&lt;=$L$4),ROW(),"-")</f>
        <v>-</v>
      </c>
    </row>
    <row r="5936" customHeight="1" spans="2:2">
      <c r="B5936" s="62" t="str">
        <f>IF(AND('领用录入（明细）'!D:D=$F$4,'领用录入（明细）'!C:C&gt;=$J$4,'领用录入（明细）'!C:C&lt;=$L$4),ROW(),"-")</f>
        <v>-</v>
      </c>
    </row>
    <row r="5937" customHeight="1" spans="2:2">
      <c r="B5937" s="62" t="str">
        <f>IF(AND('领用录入（明细）'!D:D=$F$4,'领用录入（明细）'!C:C&gt;=$J$4,'领用录入（明细）'!C:C&lt;=$L$4),ROW(),"-")</f>
        <v>-</v>
      </c>
    </row>
    <row r="5938" customHeight="1" spans="2:2">
      <c r="B5938" s="62" t="str">
        <f>IF(AND('领用录入（明细）'!D:D=$F$4,'领用录入（明细）'!C:C&gt;=$J$4,'领用录入（明细）'!C:C&lt;=$L$4),ROW(),"-")</f>
        <v>-</v>
      </c>
    </row>
    <row r="5939" customHeight="1" spans="2:2">
      <c r="B5939" s="62" t="str">
        <f>IF(AND('领用录入（明细）'!D:D=$F$4,'领用录入（明细）'!C:C&gt;=$J$4,'领用录入（明细）'!C:C&lt;=$L$4),ROW(),"-")</f>
        <v>-</v>
      </c>
    </row>
    <row r="5940" customHeight="1" spans="2:2">
      <c r="B5940" s="62" t="str">
        <f>IF(AND('领用录入（明细）'!D:D=$F$4,'领用录入（明细）'!C:C&gt;=$J$4,'领用录入（明细）'!C:C&lt;=$L$4),ROW(),"-")</f>
        <v>-</v>
      </c>
    </row>
    <row r="5941" customHeight="1" spans="2:2">
      <c r="B5941" s="62" t="str">
        <f>IF(AND('领用录入（明细）'!D:D=$F$4,'领用录入（明细）'!C:C&gt;=$J$4,'领用录入（明细）'!C:C&lt;=$L$4),ROW(),"-")</f>
        <v>-</v>
      </c>
    </row>
    <row r="5942" customHeight="1" spans="2:2">
      <c r="B5942" s="62" t="str">
        <f>IF(AND('领用录入（明细）'!D:D=$F$4,'领用录入（明细）'!C:C&gt;=$J$4,'领用录入（明细）'!C:C&lt;=$L$4),ROW(),"-")</f>
        <v>-</v>
      </c>
    </row>
    <row r="5943" customHeight="1" spans="2:2">
      <c r="B5943" s="62" t="str">
        <f>IF(AND('领用录入（明细）'!D:D=$F$4,'领用录入（明细）'!C:C&gt;=$J$4,'领用录入（明细）'!C:C&lt;=$L$4),ROW(),"-")</f>
        <v>-</v>
      </c>
    </row>
    <row r="5944" customHeight="1" spans="2:2">
      <c r="B5944" s="62" t="str">
        <f>IF(AND('领用录入（明细）'!D:D=$F$4,'领用录入（明细）'!C:C&gt;=$J$4,'领用录入（明细）'!C:C&lt;=$L$4),ROW(),"-")</f>
        <v>-</v>
      </c>
    </row>
    <row r="5945" customHeight="1" spans="2:2">
      <c r="B5945" s="62" t="str">
        <f>IF(AND('领用录入（明细）'!D:D=$F$4,'领用录入（明细）'!C:C&gt;=$J$4,'领用录入（明细）'!C:C&lt;=$L$4),ROW(),"-")</f>
        <v>-</v>
      </c>
    </row>
    <row r="5946" customHeight="1" spans="2:2">
      <c r="B5946" s="62" t="str">
        <f>IF(AND('领用录入（明细）'!D:D=$F$4,'领用录入（明细）'!C:C&gt;=$J$4,'领用录入（明细）'!C:C&lt;=$L$4),ROW(),"-")</f>
        <v>-</v>
      </c>
    </row>
    <row r="5947" customHeight="1" spans="2:2">
      <c r="B5947" s="62" t="str">
        <f>IF(AND('领用录入（明细）'!D:D=$F$4,'领用录入（明细）'!C:C&gt;=$J$4,'领用录入（明细）'!C:C&lt;=$L$4),ROW(),"-")</f>
        <v>-</v>
      </c>
    </row>
    <row r="5948" customHeight="1" spans="2:2">
      <c r="B5948" s="62" t="str">
        <f>IF(AND('领用录入（明细）'!D:D=$F$4,'领用录入（明细）'!C:C&gt;=$J$4,'领用录入（明细）'!C:C&lt;=$L$4),ROW(),"-")</f>
        <v>-</v>
      </c>
    </row>
    <row r="5949" customHeight="1" spans="2:2">
      <c r="B5949" s="62" t="str">
        <f>IF(AND('领用录入（明细）'!D:D=$F$4,'领用录入（明细）'!C:C&gt;=$J$4,'领用录入（明细）'!C:C&lt;=$L$4),ROW(),"-")</f>
        <v>-</v>
      </c>
    </row>
    <row r="5950" customHeight="1" spans="2:2">
      <c r="B5950" s="62" t="str">
        <f>IF(AND('领用录入（明细）'!D:D=$F$4,'领用录入（明细）'!C:C&gt;=$J$4,'领用录入（明细）'!C:C&lt;=$L$4),ROW(),"-")</f>
        <v>-</v>
      </c>
    </row>
    <row r="5951" customHeight="1" spans="2:2">
      <c r="B5951" s="62" t="str">
        <f>IF(AND('领用录入（明细）'!D:D=$F$4,'领用录入（明细）'!C:C&gt;=$J$4,'领用录入（明细）'!C:C&lt;=$L$4),ROW(),"-")</f>
        <v>-</v>
      </c>
    </row>
    <row r="5952" customHeight="1" spans="2:2">
      <c r="B5952" s="62" t="str">
        <f>IF(AND('领用录入（明细）'!D:D=$F$4,'领用录入（明细）'!C:C&gt;=$J$4,'领用录入（明细）'!C:C&lt;=$L$4),ROW(),"-")</f>
        <v>-</v>
      </c>
    </row>
    <row r="5953" customHeight="1" spans="2:2">
      <c r="B5953" s="62" t="str">
        <f>IF(AND('领用录入（明细）'!D:D=$F$4,'领用录入（明细）'!C:C&gt;=$J$4,'领用录入（明细）'!C:C&lt;=$L$4),ROW(),"-")</f>
        <v>-</v>
      </c>
    </row>
    <row r="5954" customHeight="1" spans="2:2">
      <c r="B5954" s="62" t="str">
        <f>IF(AND('领用录入（明细）'!D:D=$F$4,'领用录入（明细）'!C:C&gt;=$J$4,'领用录入（明细）'!C:C&lt;=$L$4),ROW(),"-")</f>
        <v>-</v>
      </c>
    </row>
    <row r="5955" customHeight="1" spans="2:2">
      <c r="B5955" s="62" t="str">
        <f>IF(AND('领用录入（明细）'!D:D=$F$4,'领用录入（明细）'!C:C&gt;=$J$4,'领用录入（明细）'!C:C&lt;=$L$4),ROW(),"-")</f>
        <v>-</v>
      </c>
    </row>
    <row r="5956" customHeight="1" spans="2:2">
      <c r="B5956" s="62" t="str">
        <f>IF(AND('领用录入（明细）'!D:D=$F$4,'领用录入（明细）'!C:C&gt;=$J$4,'领用录入（明细）'!C:C&lt;=$L$4),ROW(),"-")</f>
        <v>-</v>
      </c>
    </row>
    <row r="5957" customHeight="1" spans="2:2">
      <c r="B5957" s="62" t="str">
        <f>IF(AND('领用录入（明细）'!D:D=$F$4,'领用录入（明细）'!C:C&gt;=$J$4,'领用录入（明细）'!C:C&lt;=$L$4),ROW(),"-")</f>
        <v>-</v>
      </c>
    </row>
    <row r="5958" customHeight="1" spans="2:2">
      <c r="B5958" s="62" t="str">
        <f>IF(AND('领用录入（明细）'!D:D=$F$4,'领用录入（明细）'!C:C&gt;=$J$4,'领用录入（明细）'!C:C&lt;=$L$4),ROW(),"-")</f>
        <v>-</v>
      </c>
    </row>
    <row r="5959" customHeight="1" spans="2:2">
      <c r="B5959" s="62" t="str">
        <f>IF(AND('领用录入（明细）'!D:D=$F$4,'领用录入（明细）'!C:C&gt;=$J$4,'领用录入（明细）'!C:C&lt;=$L$4),ROW(),"-")</f>
        <v>-</v>
      </c>
    </row>
    <row r="5960" customHeight="1" spans="2:2">
      <c r="B5960" s="62" t="str">
        <f>IF(AND('领用录入（明细）'!D:D=$F$4,'领用录入（明细）'!C:C&gt;=$J$4,'领用录入（明细）'!C:C&lt;=$L$4),ROW(),"-")</f>
        <v>-</v>
      </c>
    </row>
    <row r="5961" customHeight="1" spans="2:2">
      <c r="B5961" s="62" t="str">
        <f>IF(AND('领用录入（明细）'!D:D=$F$4,'领用录入（明细）'!C:C&gt;=$J$4,'领用录入（明细）'!C:C&lt;=$L$4),ROW(),"-")</f>
        <v>-</v>
      </c>
    </row>
    <row r="5962" customHeight="1" spans="2:2">
      <c r="B5962" s="62" t="str">
        <f>IF(AND('领用录入（明细）'!D:D=$F$4,'领用录入（明细）'!C:C&gt;=$J$4,'领用录入（明细）'!C:C&lt;=$L$4),ROW(),"-")</f>
        <v>-</v>
      </c>
    </row>
    <row r="5963" customHeight="1" spans="2:2">
      <c r="B5963" s="62" t="str">
        <f>IF(AND('领用录入（明细）'!D:D=$F$4,'领用录入（明细）'!C:C&gt;=$J$4,'领用录入（明细）'!C:C&lt;=$L$4),ROW(),"-")</f>
        <v>-</v>
      </c>
    </row>
    <row r="5964" customHeight="1" spans="2:2">
      <c r="B5964" s="62" t="str">
        <f>IF(AND('领用录入（明细）'!D:D=$F$4,'领用录入（明细）'!C:C&gt;=$J$4,'领用录入（明细）'!C:C&lt;=$L$4),ROW(),"-")</f>
        <v>-</v>
      </c>
    </row>
    <row r="5965" customHeight="1" spans="2:2">
      <c r="B5965" s="62" t="str">
        <f>IF(AND('领用录入（明细）'!D:D=$F$4,'领用录入（明细）'!C:C&gt;=$J$4,'领用录入（明细）'!C:C&lt;=$L$4),ROW(),"-")</f>
        <v>-</v>
      </c>
    </row>
    <row r="5966" customHeight="1" spans="2:2">
      <c r="B5966" s="62" t="str">
        <f>IF(AND('领用录入（明细）'!D:D=$F$4,'领用录入（明细）'!C:C&gt;=$J$4,'领用录入（明细）'!C:C&lt;=$L$4),ROW(),"-")</f>
        <v>-</v>
      </c>
    </row>
    <row r="5967" customHeight="1" spans="2:2">
      <c r="B5967" s="62" t="str">
        <f>IF(AND('领用录入（明细）'!D:D=$F$4,'领用录入（明细）'!C:C&gt;=$J$4,'领用录入（明细）'!C:C&lt;=$L$4),ROW(),"-")</f>
        <v>-</v>
      </c>
    </row>
    <row r="5968" customHeight="1" spans="2:2">
      <c r="B5968" s="62" t="str">
        <f>IF(AND('领用录入（明细）'!D:D=$F$4,'领用录入（明细）'!C:C&gt;=$J$4,'领用录入（明细）'!C:C&lt;=$L$4),ROW(),"-")</f>
        <v>-</v>
      </c>
    </row>
    <row r="5969" customHeight="1" spans="2:2">
      <c r="B5969" s="62" t="str">
        <f>IF(AND('领用录入（明细）'!D:D=$F$4,'领用录入（明细）'!C:C&gt;=$J$4,'领用录入（明细）'!C:C&lt;=$L$4),ROW(),"-")</f>
        <v>-</v>
      </c>
    </row>
    <row r="5970" customHeight="1" spans="2:2">
      <c r="B5970" s="62" t="str">
        <f>IF(AND('领用录入（明细）'!D:D=$F$4,'领用录入（明细）'!C:C&gt;=$J$4,'领用录入（明细）'!C:C&lt;=$L$4),ROW(),"-")</f>
        <v>-</v>
      </c>
    </row>
    <row r="5971" customHeight="1" spans="2:2">
      <c r="B5971" s="62" t="str">
        <f>IF(AND('领用录入（明细）'!D:D=$F$4,'领用录入（明细）'!C:C&gt;=$J$4,'领用录入（明细）'!C:C&lt;=$L$4),ROW(),"-")</f>
        <v>-</v>
      </c>
    </row>
    <row r="5972" customHeight="1" spans="2:2">
      <c r="B5972" s="62" t="str">
        <f>IF(AND('领用录入（明细）'!D:D=$F$4,'领用录入（明细）'!C:C&gt;=$J$4,'领用录入（明细）'!C:C&lt;=$L$4),ROW(),"-")</f>
        <v>-</v>
      </c>
    </row>
    <row r="5973" customHeight="1" spans="2:2">
      <c r="B5973" s="62" t="str">
        <f>IF(AND('领用录入（明细）'!D:D=$F$4,'领用录入（明细）'!C:C&gt;=$J$4,'领用录入（明细）'!C:C&lt;=$L$4),ROW(),"-")</f>
        <v>-</v>
      </c>
    </row>
    <row r="5974" customHeight="1" spans="2:2">
      <c r="B5974" s="62" t="str">
        <f>IF(AND('领用录入（明细）'!D:D=$F$4,'领用录入（明细）'!C:C&gt;=$J$4,'领用录入（明细）'!C:C&lt;=$L$4),ROW(),"-")</f>
        <v>-</v>
      </c>
    </row>
    <row r="5975" customHeight="1" spans="2:2">
      <c r="B5975" s="62" t="str">
        <f>IF(AND('领用录入（明细）'!D:D=$F$4,'领用录入（明细）'!C:C&gt;=$J$4,'领用录入（明细）'!C:C&lt;=$L$4),ROW(),"-")</f>
        <v>-</v>
      </c>
    </row>
    <row r="5976" customHeight="1" spans="2:2">
      <c r="B5976" s="62" t="str">
        <f>IF(AND('领用录入（明细）'!D:D=$F$4,'领用录入（明细）'!C:C&gt;=$J$4,'领用录入（明细）'!C:C&lt;=$L$4),ROW(),"-")</f>
        <v>-</v>
      </c>
    </row>
    <row r="5977" customHeight="1" spans="2:2">
      <c r="B5977" s="62" t="str">
        <f>IF(AND('领用录入（明细）'!D:D=$F$4,'领用录入（明细）'!C:C&gt;=$J$4,'领用录入（明细）'!C:C&lt;=$L$4),ROW(),"-")</f>
        <v>-</v>
      </c>
    </row>
    <row r="5978" customHeight="1" spans="2:2">
      <c r="B5978" s="62" t="str">
        <f>IF(AND('领用录入（明细）'!D:D=$F$4,'领用录入（明细）'!C:C&gt;=$J$4,'领用录入（明细）'!C:C&lt;=$L$4),ROW(),"-")</f>
        <v>-</v>
      </c>
    </row>
    <row r="5979" customHeight="1" spans="2:2">
      <c r="B5979" s="62" t="str">
        <f>IF(AND('领用录入（明细）'!D:D=$F$4,'领用录入（明细）'!C:C&gt;=$J$4,'领用录入（明细）'!C:C&lt;=$L$4),ROW(),"-")</f>
        <v>-</v>
      </c>
    </row>
    <row r="5980" customHeight="1" spans="2:2">
      <c r="B5980" s="62" t="str">
        <f>IF(AND('领用录入（明细）'!D:D=$F$4,'领用录入（明细）'!C:C&gt;=$J$4,'领用录入（明细）'!C:C&lt;=$L$4),ROW(),"-")</f>
        <v>-</v>
      </c>
    </row>
    <row r="5981" customHeight="1" spans="2:2">
      <c r="B5981" s="62" t="str">
        <f>IF(AND('领用录入（明细）'!D:D=$F$4,'领用录入（明细）'!C:C&gt;=$J$4,'领用录入（明细）'!C:C&lt;=$L$4),ROW(),"-")</f>
        <v>-</v>
      </c>
    </row>
    <row r="5982" customHeight="1" spans="2:2">
      <c r="B5982" s="62" t="str">
        <f>IF(AND('领用录入（明细）'!D:D=$F$4,'领用录入（明细）'!C:C&gt;=$J$4,'领用录入（明细）'!C:C&lt;=$L$4),ROW(),"-")</f>
        <v>-</v>
      </c>
    </row>
    <row r="5983" customHeight="1" spans="2:2">
      <c r="B5983" s="62" t="str">
        <f>IF(AND('领用录入（明细）'!D:D=$F$4,'领用录入（明细）'!C:C&gt;=$J$4,'领用录入（明细）'!C:C&lt;=$L$4),ROW(),"-")</f>
        <v>-</v>
      </c>
    </row>
    <row r="5984" customHeight="1" spans="2:2">
      <c r="B5984" s="62" t="str">
        <f>IF(AND('领用录入（明细）'!D:D=$F$4,'领用录入（明细）'!C:C&gt;=$J$4,'领用录入（明细）'!C:C&lt;=$L$4),ROW(),"-")</f>
        <v>-</v>
      </c>
    </row>
    <row r="5985" customHeight="1" spans="2:2">
      <c r="B5985" s="62" t="str">
        <f>IF(AND('领用录入（明细）'!D:D=$F$4,'领用录入（明细）'!C:C&gt;=$J$4,'领用录入（明细）'!C:C&lt;=$L$4),ROW(),"-")</f>
        <v>-</v>
      </c>
    </row>
    <row r="5986" customHeight="1" spans="2:2">
      <c r="B5986" s="62" t="str">
        <f>IF(AND('领用录入（明细）'!D:D=$F$4,'领用录入（明细）'!C:C&gt;=$J$4,'领用录入（明细）'!C:C&lt;=$L$4),ROW(),"-")</f>
        <v>-</v>
      </c>
    </row>
    <row r="5987" customHeight="1" spans="2:2">
      <c r="B5987" s="62" t="str">
        <f>IF(AND('领用录入（明细）'!D:D=$F$4,'领用录入（明细）'!C:C&gt;=$J$4,'领用录入（明细）'!C:C&lt;=$L$4),ROW(),"-")</f>
        <v>-</v>
      </c>
    </row>
    <row r="5988" customHeight="1" spans="2:2">
      <c r="B5988" s="62" t="str">
        <f>IF(AND('领用录入（明细）'!D:D=$F$4,'领用录入（明细）'!C:C&gt;=$J$4,'领用录入（明细）'!C:C&lt;=$L$4),ROW(),"-")</f>
        <v>-</v>
      </c>
    </row>
    <row r="5989" customHeight="1" spans="2:2">
      <c r="B5989" s="62" t="str">
        <f>IF(AND('领用录入（明细）'!D:D=$F$4,'领用录入（明细）'!C:C&gt;=$J$4,'领用录入（明细）'!C:C&lt;=$L$4),ROW(),"-")</f>
        <v>-</v>
      </c>
    </row>
    <row r="5990" customHeight="1" spans="2:2">
      <c r="B5990" s="62" t="str">
        <f>IF(AND('领用录入（明细）'!D:D=$F$4,'领用录入（明细）'!C:C&gt;=$J$4,'领用录入（明细）'!C:C&lt;=$L$4),ROW(),"-")</f>
        <v>-</v>
      </c>
    </row>
    <row r="5991" customHeight="1" spans="2:2">
      <c r="B5991" s="62" t="str">
        <f>IF(AND('领用录入（明细）'!D:D=$F$4,'领用录入（明细）'!C:C&gt;=$J$4,'领用录入（明细）'!C:C&lt;=$L$4),ROW(),"-")</f>
        <v>-</v>
      </c>
    </row>
    <row r="5992" customHeight="1" spans="2:2">
      <c r="B5992" s="62" t="str">
        <f>IF(AND('领用录入（明细）'!D:D=$F$4,'领用录入（明细）'!C:C&gt;=$J$4,'领用录入（明细）'!C:C&lt;=$L$4),ROW(),"-")</f>
        <v>-</v>
      </c>
    </row>
    <row r="5993" customHeight="1" spans="2:2">
      <c r="B5993" s="62" t="str">
        <f>IF(AND('领用录入（明细）'!D:D=$F$4,'领用录入（明细）'!C:C&gt;=$J$4,'领用录入（明细）'!C:C&lt;=$L$4),ROW(),"-")</f>
        <v>-</v>
      </c>
    </row>
    <row r="5994" customHeight="1" spans="2:2">
      <c r="B5994" s="62" t="str">
        <f>IF(AND('领用录入（明细）'!D:D=$F$4,'领用录入（明细）'!C:C&gt;=$J$4,'领用录入（明细）'!C:C&lt;=$L$4),ROW(),"-")</f>
        <v>-</v>
      </c>
    </row>
    <row r="5995" customHeight="1" spans="2:2">
      <c r="B5995" s="62" t="str">
        <f>IF(AND('领用录入（明细）'!D:D=$F$4,'领用录入（明细）'!C:C&gt;=$J$4,'领用录入（明细）'!C:C&lt;=$L$4),ROW(),"-")</f>
        <v>-</v>
      </c>
    </row>
    <row r="5996" customHeight="1" spans="2:2">
      <c r="B5996" s="62" t="str">
        <f>IF(AND('领用录入（明细）'!D:D=$F$4,'领用录入（明细）'!C:C&gt;=$J$4,'领用录入（明细）'!C:C&lt;=$L$4),ROW(),"-")</f>
        <v>-</v>
      </c>
    </row>
    <row r="5997" customHeight="1" spans="2:2">
      <c r="B5997" s="62" t="str">
        <f>IF(AND('领用录入（明细）'!D:D=$F$4,'领用录入（明细）'!C:C&gt;=$J$4,'领用录入（明细）'!C:C&lt;=$L$4),ROW(),"-")</f>
        <v>-</v>
      </c>
    </row>
    <row r="5998" customHeight="1" spans="2:2">
      <c r="B5998" s="62" t="str">
        <f>IF(AND('领用录入（明细）'!D:D=$F$4,'领用录入（明细）'!C:C&gt;=$J$4,'领用录入（明细）'!C:C&lt;=$L$4),ROW(),"-")</f>
        <v>-</v>
      </c>
    </row>
    <row r="5999" customHeight="1" spans="2:2">
      <c r="B5999" s="62" t="str">
        <f>IF(AND('领用录入（明细）'!D:D=$F$4,'领用录入（明细）'!C:C&gt;=$J$4,'领用录入（明细）'!C:C&lt;=$L$4),ROW(),"-")</f>
        <v>-</v>
      </c>
    </row>
    <row r="6000" customHeight="1" spans="2:2">
      <c r="B6000" s="62" t="str">
        <f>IF(AND('领用录入（明细）'!D:D=$F$4,'领用录入（明细）'!C:C&gt;=$J$4,'领用录入（明细）'!C:C&lt;=$L$4),ROW(),"-")</f>
        <v>-</v>
      </c>
    </row>
    <row r="6001" customHeight="1" spans="2:2">
      <c r="B6001" s="62" t="str">
        <f>IF(AND('领用录入（明细）'!D:D=$F$4,'领用录入（明细）'!C:C&gt;=$J$4,'领用录入（明细）'!C:C&lt;=$L$4),ROW(),"-")</f>
        <v>-</v>
      </c>
    </row>
    <row r="6002" customHeight="1" spans="2:2">
      <c r="B6002" s="62" t="str">
        <f>IF(AND('领用录入（明细）'!D:D=$F$4,'领用录入（明细）'!C:C&gt;=$J$4,'领用录入（明细）'!C:C&lt;=$L$4),ROW(),"-")</f>
        <v>-</v>
      </c>
    </row>
    <row r="6003" customHeight="1" spans="2:2">
      <c r="B6003" s="62" t="str">
        <f>IF(AND('领用录入（明细）'!D:D=$F$4,'领用录入（明细）'!C:C&gt;=$J$4,'领用录入（明细）'!C:C&lt;=$L$4),ROW(),"-")</f>
        <v>-</v>
      </c>
    </row>
    <row r="6004" customHeight="1" spans="2:2">
      <c r="B6004" s="62" t="str">
        <f>IF(AND('领用录入（明细）'!D:D=$F$4,'领用录入（明细）'!C:C&gt;=$J$4,'领用录入（明细）'!C:C&lt;=$L$4),ROW(),"-")</f>
        <v>-</v>
      </c>
    </row>
    <row r="6005" customHeight="1" spans="2:2">
      <c r="B6005" s="62" t="str">
        <f>IF(AND('领用录入（明细）'!D:D=$F$4,'领用录入（明细）'!C:C&gt;=$J$4,'领用录入（明细）'!C:C&lt;=$L$4),ROW(),"-")</f>
        <v>-</v>
      </c>
    </row>
    <row r="6006" customHeight="1" spans="2:2">
      <c r="B6006" s="62" t="str">
        <f>IF(AND('领用录入（明细）'!D:D=$F$4,'领用录入（明细）'!C:C&gt;=$J$4,'领用录入（明细）'!C:C&lt;=$L$4),ROW(),"-")</f>
        <v>-</v>
      </c>
    </row>
    <row r="6007" customHeight="1" spans="2:2">
      <c r="B6007" s="62" t="str">
        <f>IF(AND('领用录入（明细）'!D:D=$F$4,'领用录入（明细）'!C:C&gt;=$J$4,'领用录入（明细）'!C:C&lt;=$L$4),ROW(),"-")</f>
        <v>-</v>
      </c>
    </row>
    <row r="6008" customHeight="1" spans="2:2">
      <c r="B6008" s="62" t="str">
        <f>IF(AND('领用录入（明细）'!D:D=$F$4,'领用录入（明细）'!C:C&gt;=$J$4,'领用录入（明细）'!C:C&lt;=$L$4),ROW(),"-")</f>
        <v>-</v>
      </c>
    </row>
    <row r="6009" customHeight="1" spans="2:2">
      <c r="B6009" s="62" t="str">
        <f>IF(AND('领用录入（明细）'!D:D=$F$4,'领用录入（明细）'!C:C&gt;=$J$4,'领用录入（明细）'!C:C&lt;=$L$4),ROW(),"-")</f>
        <v>-</v>
      </c>
    </row>
    <row r="6010" customHeight="1" spans="2:2">
      <c r="B6010" s="62" t="str">
        <f>IF(AND('领用录入（明细）'!D:D=$F$4,'领用录入（明细）'!C:C&gt;=$J$4,'领用录入（明细）'!C:C&lt;=$L$4),ROW(),"-")</f>
        <v>-</v>
      </c>
    </row>
    <row r="6011" customHeight="1" spans="2:2">
      <c r="B6011" s="62" t="str">
        <f>IF(AND('领用录入（明细）'!D:D=$F$4,'领用录入（明细）'!C:C&gt;=$J$4,'领用录入（明细）'!C:C&lt;=$L$4),ROW(),"-")</f>
        <v>-</v>
      </c>
    </row>
    <row r="6012" customHeight="1" spans="2:2">
      <c r="B6012" s="62" t="str">
        <f>IF(AND('领用录入（明细）'!D:D=$F$4,'领用录入（明细）'!C:C&gt;=$J$4,'领用录入（明细）'!C:C&lt;=$L$4),ROW(),"-")</f>
        <v>-</v>
      </c>
    </row>
    <row r="6013" customHeight="1" spans="2:2">
      <c r="B6013" s="62" t="str">
        <f>IF(AND('领用录入（明细）'!D:D=$F$4,'领用录入（明细）'!C:C&gt;=$J$4,'领用录入（明细）'!C:C&lt;=$L$4),ROW(),"-")</f>
        <v>-</v>
      </c>
    </row>
    <row r="6014" customHeight="1" spans="2:2">
      <c r="B6014" s="62" t="str">
        <f>IF(AND('领用录入（明细）'!D:D=$F$4,'领用录入（明细）'!C:C&gt;=$J$4,'领用录入（明细）'!C:C&lt;=$L$4),ROW(),"-")</f>
        <v>-</v>
      </c>
    </row>
    <row r="6015" customHeight="1" spans="2:2">
      <c r="B6015" s="62" t="str">
        <f>IF(AND('领用录入（明细）'!D:D=$F$4,'领用录入（明细）'!C:C&gt;=$J$4,'领用录入（明细）'!C:C&lt;=$L$4),ROW(),"-")</f>
        <v>-</v>
      </c>
    </row>
    <row r="6016" customHeight="1" spans="2:2">
      <c r="B6016" s="62" t="str">
        <f>IF(AND('领用录入（明细）'!D:D=$F$4,'领用录入（明细）'!C:C&gt;=$J$4,'领用录入（明细）'!C:C&lt;=$L$4),ROW(),"-")</f>
        <v>-</v>
      </c>
    </row>
    <row r="6017" customHeight="1" spans="2:2">
      <c r="B6017" s="62" t="str">
        <f>IF(AND('领用录入（明细）'!D:D=$F$4,'领用录入（明细）'!C:C&gt;=$J$4,'领用录入（明细）'!C:C&lt;=$L$4),ROW(),"-")</f>
        <v>-</v>
      </c>
    </row>
    <row r="6018" customHeight="1" spans="2:2">
      <c r="B6018" s="62" t="str">
        <f>IF(AND('领用录入（明细）'!D:D=$F$4,'领用录入（明细）'!C:C&gt;=$J$4,'领用录入（明细）'!C:C&lt;=$L$4),ROW(),"-")</f>
        <v>-</v>
      </c>
    </row>
    <row r="6019" customHeight="1" spans="2:2">
      <c r="B6019" s="62" t="str">
        <f>IF(AND('领用录入（明细）'!D:D=$F$4,'领用录入（明细）'!C:C&gt;=$J$4,'领用录入（明细）'!C:C&lt;=$L$4),ROW(),"-")</f>
        <v>-</v>
      </c>
    </row>
    <row r="6020" customHeight="1" spans="2:2">
      <c r="B6020" s="62" t="str">
        <f>IF(AND('领用录入（明细）'!D:D=$F$4,'领用录入（明细）'!C:C&gt;=$J$4,'领用录入（明细）'!C:C&lt;=$L$4),ROW(),"-")</f>
        <v>-</v>
      </c>
    </row>
    <row r="6021" customHeight="1" spans="2:2">
      <c r="B6021" s="62" t="str">
        <f>IF(AND('领用录入（明细）'!D:D=$F$4,'领用录入（明细）'!C:C&gt;=$J$4,'领用录入（明细）'!C:C&lt;=$L$4),ROW(),"-")</f>
        <v>-</v>
      </c>
    </row>
    <row r="6022" customHeight="1" spans="2:2">
      <c r="B6022" s="62" t="str">
        <f>IF(AND('领用录入（明细）'!D:D=$F$4,'领用录入（明细）'!C:C&gt;=$J$4,'领用录入（明细）'!C:C&lt;=$L$4),ROW(),"-")</f>
        <v>-</v>
      </c>
    </row>
    <row r="6023" customHeight="1" spans="2:2">
      <c r="B6023" s="62" t="str">
        <f>IF(AND('领用录入（明细）'!D:D=$F$4,'领用录入（明细）'!C:C&gt;=$J$4,'领用录入（明细）'!C:C&lt;=$L$4),ROW(),"-")</f>
        <v>-</v>
      </c>
    </row>
    <row r="6024" customHeight="1" spans="2:2">
      <c r="B6024" s="62" t="str">
        <f>IF(AND('领用录入（明细）'!D:D=$F$4,'领用录入（明细）'!C:C&gt;=$J$4,'领用录入（明细）'!C:C&lt;=$L$4),ROW(),"-")</f>
        <v>-</v>
      </c>
    </row>
    <row r="6025" customHeight="1" spans="2:2">
      <c r="B6025" s="62" t="str">
        <f>IF(AND('领用录入（明细）'!D:D=$F$4,'领用录入（明细）'!C:C&gt;=$J$4,'领用录入（明细）'!C:C&lt;=$L$4),ROW(),"-")</f>
        <v>-</v>
      </c>
    </row>
    <row r="6026" customHeight="1" spans="2:2">
      <c r="B6026" s="62" t="str">
        <f>IF(AND('领用录入（明细）'!D:D=$F$4,'领用录入（明细）'!C:C&gt;=$J$4,'领用录入（明细）'!C:C&lt;=$L$4),ROW(),"-")</f>
        <v>-</v>
      </c>
    </row>
    <row r="6027" customHeight="1" spans="2:2">
      <c r="B6027" s="62" t="str">
        <f>IF(AND('领用录入（明细）'!D:D=$F$4,'领用录入（明细）'!C:C&gt;=$J$4,'领用录入（明细）'!C:C&lt;=$L$4),ROW(),"-")</f>
        <v>-</v>
      </c>
    </row>
    <row r="6028" customHeight="1" spans="2:2">
      <c r="B6028" s="62" t="str">
        <f>IF(AND('领用录入（明细）'!D:D=$F$4,'领用录入（明细）'!C:C&gt;=$J$4,'领用录入（明细）'!C:C&lt;=$L$4),ROW(),"-")</f>
        <v>-</v>
      </c>
    </row>
    <row r="6029" customHeight="1" spans="2:2">
      <c r="B6029" s="62" t="str">
        <f>IF(AND('领用录入（明细）'!D:D=$F$4,'领用录入（明细）'!C:C&gt;=$J$4,'领用录入（明细）'!C:C&lt;=$L$4),ROW(),"-")</f>
        <v>-</v>
      </c>
    </row>
    <row r="6030" customHeight="1" spans="2:2">
      <c r="B6030" s="62" t="str">
        <f>IF(AND('领用录入（明细）'!D:D=$F$4,'领用录入（明细）'!C:C&gt;=$J$4,'领用录入（明细）'!C:C&lt;=$L$4),ROW(),"-")</f>
        <v>-</v>
      </c>
    </row>
    <row r="6031" customHeight="1" spans="2:2">
      <c r="B6031" s="62" t="str">
        <f>IF(AND('领用录入（明细）'!D:D=$F$4,'领用录入（明细）'!C:C&gt;=$J$4,'领用录入（明细）'!C:C&lt;=$L$4),ROW(),"-")</f>
        <v>-</v>
      </c>
    </row>
    <row r="6032" customHeight="1" spans="2:2">
      <c r="B6032" s="62" t="str">
        <f>IF(AND('领用录入（明细）'!D:D=$F$4,'领用录入（明细）'!C:C&gt;=$J$4,'领用录入（明细）'!C:C&lt;=$L$4),ROW(),"-")</f>
        <v>-</v>
      </c>
    </row>
    <row r="6033" customHeight="1" spans="2:2">
      <c r="B6033" s="62" t="str">
        <f>IF(AND('领用录入（明细）'!D:D=$F$4,'领用录入（明细）'!C:C&gt;=$J$4,'领用录入（明细）'!C:C&lt;=$L$4),ROW(),"-")</f>
        <v>-</v>
      </c>
    </row>
    <row r="6034" customHeight="1" spans="2:2">
      <c r="B6034" s="62" t="str">
        <f>IF(AND('领用录入（明细）'!D:D=$F$4,'领用录入（明细）'!C:C&gt;=$J$4,'领用录入（明细）'!C:C&lt;=$L$4),ROW(),"-")</f>
        <v>-</v>
      </c>
    </row>
    <row r="6035" customHeight="1" spans="2:2">
      <c r="B6035" s="62" t="str">
        <f>IF(AND('领用录入（明细）'!D:D=$F$4,'领用录入（明细）'!C:C&gt;=$J$4,'领用录入（明细）'!C:C&lt;=$L$4),ROW(),"-")</f>
        <v>-</v>
      </c>
    </row>
    <row r="6036" customHeight="1" spans="2:2">
      <c r="B6036" s="62" t="str">
        <f>IF(AND('领用录入（明细）'!D:D=$F$4,'领用录入（明细）'!C:C&gt;=$J$4,'领用录入（明细）'!C:C&lt;=$L$4),ROW(),"-")</f>
        <v>-</v>
      </c>
    </row>
    <row r="6037" customHeight="1" spans="2:2">
      <c r="B6037" s="62" t="str">
        <f>IF(AND('领用录入（明细）'!D:D=$F$4,'领用录入（明细）'!C:C&gt;=$J$4,'领用录入（明细）'!C:C&lt;=$L$4),ROW(),"-")</f>
        <v>-</v>
      </c>
    </row>
    <row r="6038" customHeight="1" spans="2:2">
      <c r="B6038" s="62" t="str">
        <f>IF(AND('领用录入（明细）'!D:D=$F$4,'领用录入（明细）'!C:C&gt;=$J$4,'领用录入（明细）'!C:C&lt;=$L$4),ROW(),"-")</f>
        <v>-</v>
      </c>
    </row>
    <row r="6039" customHeight="1" spans="2:2">
      <c r="B6039" s="62" t="str">
        <f>IF(AND('领用录入（明细）'!D:D=$F$4,'领用录入（明细）'!C:C&gt;=$J$4,'领用录入（明细）'!C:C&lt;=$L$4),ROW(),"-")</f>
        <v>-</v>
      </c>
    </row>
    <row r="6040" customHeight="1" spans="2:2">
      <c r="B6040" s="62" t="str">
        <f>IF(AND('领用录入（明细）'!D:D=$F$4,'领用录入（明细）'!C:C&gt;=$J$4,'领用录入（明细）'!C:C&lt;=$L$4),ROW(),"-")</f>
        <v>-</v>
      </c>
    </row>
    <row r="6041" customHeight="1" spans="2:2">
      <c r="B6041" s="62" t="str">
        <f>IF(AND('领用录入（明细）'!D:D=$F$4,'领用录入（明细）'!C:C&gt;=$J$4,'领用录入（明细）'!C:C&lt;=$L$4),ROW(),"-")</f>
        <v>-</v>
      </c>
    </row>
    <row r="6042" customHeight="1" spans="2:2">
      <c r="B6042" s="62" t="str">
        <f>IF(AND('领用录入（明细）'!D:D=$F$4,'领用录入（明细）'!C:C&gt;=$J$4,'领用录入（明细）'!C:C&lt;=$L$4),ROW(),"-")</f>
        <v>-</v>
      </c>
    </row>
    <row r="6043" customHeight="1" spans="2:2">
      <c r="B6043" s="62" t="str">
        <f>IF(AND('领用录入（明细）'!D:D=$F$4,'领用录入（明细）'!C:C&gt;=$J$4,'领用录入（明细）'!C:C&lt;=$L$4),ROW(),"-")</f>
        <v>-</v>
      </c>
    </row>
    <row r="6044" customHeight="1" spans="2:2">
      <c r="B6044" s="62" t="str">
        <f>IF(AND('领用录入（明细）'!D:D=$F$4,'领用录入（明细）'!C:C&gt;=$J$4,'领用录入（明细）'!C:C&lt;=$L$4),ROW(),"-")</f>
        <v>-</v>
      </c>
    </row>
    <row r="6045" customHeight="1" spans="2:2">
      <c r="B6045" s="62" t="str">
        <f>IF(AND('领用录入（明细）'!D:D=$F$4,'领用录入（明细）'!C:C&gt;=$J$4,'领用录入（明细）'!C:C&lt;=$L$4),ROW(),"-")</f>
        <v>-</v>
      </c>
    </row>
    <row r="6046" customHeight="1" spans="2:2">
      <c r="B6046" s="62" t="str">
        <f>IF(AND('领用录入（明细）'!D:D=$F$4,'领用录入（明细）'!C:C&gt;=$J$4,'领用录入（明细）'!C:C&lt;=$L$4),ROW(),"-")</f>
        <v>-</v>
      </c>
    </row>
    <row r="6047" customHeight="1" spans="2:2">
      <c r="B6047" s="62" t="str">
        <f>IF(AND('领用录入（明细）'!D:D=$F$4,'领用录入（明细）'!C:C&gt;=$J$4,'领用录入（明细）'!C:C&lt;=$L$4),ROW(),"-")</f>
        <v>-</v>
      </c>
    </row>
    <row r="6048" customHeight="1" spans="2:2">
      <c r="B6048" s="62" t="str">
        <f>IF(AND('领用录入（明细）'!D:D=$F$4,'领用录入（明细）'!C:C&gt;=$J$4,'领用录入（明细）'!C:C&lt;=$L$4),ROW(),"-")</f>
        <v>-</v>
      </c>
    </row>
    <row r="6049" customHeight="1" spans="2:2">
      <c r="B6049" s="62" t="str">
        <f>IF(AND('领用录入（明细）'!D:D=$F$4,'领用录入（明细）'!C:C&gt;=$J$4,'领用录入（明细）'!C:C&lt;=$L$4),ROW(),"-")</f>
        <v>-</v>
      </c>
    </row>
    <row r="6050" customHeight="1" spans="2:2">
      <c r="B6050" s="62" t="str">
        <f>IF(AND('领用录入（明细）'!D:D=$F$4,'领用录入（明细）'!C:C&gt;=$J$4,'领用录入（明细）'!C:C&lt;=$L$4),ROW(),"-")</f>
        <v>-</v>
      </c>
    </row>
    <row r="6051" customHeight="1" spans="2:2">
      <c r="B6051" s="62" t="str">
        <f>IF(AND('领用录入（明细）'!D:D=$F$4,'领用录入（明细）'!C:C&gt;=$J$4,'领用录入（明细）'!C:C&lt;=$L$4),ROW(),"-")</f>
        <v>-</v>
      </c>
    </row>
    <row r="6052" customHeight="1" spans="2:2">
      <c r="B6052" s="62" t="str">
        <f>IF(AND('领用录入（明细）'!D:D=$F$4,'领用录入（明细）'!C:C&gt;=$J$4,'领用录入（明细）'!C:C&lt;=$L$4),ROW(),"-")</f>
        <v>-</v>
      </c>
    </row>
    <row r="6053" customHeight="1" spans="2:2">
      <c r="B6053" s="62" t="str">
        <f>IF(AND('领用录入（明细）'!D:D=$F$4,'领用录入（明细）'!C:C&gt;=$J$4,'领用录入（明细）'!C:C&lt;=$L$4),ROW(),"-")</f>
        <v>-</v>
      </c>
    </row>
    <row r="6054" customHeight="1" spans="2:2">
      <c r="B6054" s="62" t="str">
        <f>IF(AND('领用录入（明细）'!D:D=$F$4,'领用录入（明细）'!C:C&gt;=$J$4,'领用录入（明细）'!C:C&lt;=$L$4),ROW(),"-")</f>
        <v>-</v>
      </c>
    </row>
    <row r="6055" customHeight="1" spans="2:2">
      <c r="B6055" s="62" t="str">
        <f>IF(AND('领用录入（明细）'!D:D=$F$4,'领用录入（明细）'!C:C&gt;=$J$4,'领用录入（明细）'!C:C&lt;=$L$4),ROW(),"-")</f>
        <v>-</v>
      </c>
    </row>
    <row r="6056" customHeight="1" spans="2:2">
      <c r="B6056" s="62" t="str">
        <f>IF(AND('领用录入（明细）'!D:D=$F$4,'领用录入（明细）'!C:C&gt;=$J$4,'领用录入（明细）'!C:C&lt;=$L$4),ROW(),"-")</f>
        <v>-</v>
      </c>
    </row>
    <row r="6057" customHeight="1" spans="2:2">
      <c r="B6057" s="62" t="str">
        <f>IF(AND('领用录入（明细）'!D:D=$F$4,'领用录入（明细）'!C:C&gt;=$J$4,'领用录入（明细）'!C:C&lt;=$L$4),ROW(),"-")</f>
        <v>-</v>
      </c>
    </row>
    <row r="6058" customHeight="1" spans="2:2">
      <c r="B6058" s="62" t="str">
        <f>IF(AND('领用录入（明细）'!D:D=$F$4,'领用录入（明细）'!C:C&gt;=$J$4,'领用录入（明细）'!C:C&lt;=$L$4),ROW(),"-")</f>
        <v>-</v>
      </c>
    </row>
    <row r="6059" customHeight="1" spans="2:2">
      <c r="B6059" s="62" t="str">
        <f>IF(AND('领用录入（明细）'!D:D=$F$4,'领用录入（明细）'!C:C&gt;=$J$4,'领用录入（明细）'!C:C&lt;=$L$4),ROW(),"-")</f>
        <v>-</v>
      </c>
    </row>
    <row r="6060" customHeight="1" spans="2:2">
      <c r="B6060" s="62" t="str">
        <f>IF(AND('领用录入（明细）'!D:D=$F$4,'领用录入（明细）'!C:C&gt;=$J$4,'领用录入（明细）'!C:C&lt;=$L$4),ROW(),"-")</f>
        <v>-</v>
      </c>
    </row>
    <row r="6061" customHeight="1" spans="2:2">
      <c r="B6061" s="62" t="str">
        <f>IF(AND('领用录入（明细）'!D:D=$F$4,'领用录入（明细）'!C:C&gt;=$J$4,'领用录入（明细）'!C:C&lt;=$L$4),ROW(),"-")</f>
        <v>-</v>
      </c>
    </row>
    <row r="6062" customHeight="1" spans="2:2">
      <c r="B6062" s="62" t="str">
        <f>IF(AND('领用录入（明细）'!D:D=$F$4,'领用录入（明细）'!C:C&gt;=$J$4,'领用录入（明细）'!C:C&lt;=$L$4),ROW(),"-")</f>
        <v>-</v>
      </c>
    </row>
    <row r="6063" customHeight="1" spans="2:2">
      <c r="B6063" s="62" t="str">
        <f>IF(AND('领用录入（明细）'!D:D=$F$4,'领用录入（明细）'!C:C&gt;=$J$4,'领用录入（明细）'!C:C&lt;=$L$4),ROW(),"-")</f>
        <v>-</v>
      </c>
    </row>
    <row r="6064" customHeight="1" spans="2:2">
      <c r="B6064" s="62" t="str">
        <f>IF(AND('领用录入（明细）'!D:D=$F$4,'领用录入（明细）'!C:C&gt;=$J$4,'领用录入（明细）'!C:C&lt;=$L$4),ROW(),"-")</f>
        <v>-</v>
      </c>
    </row>
    <row r="6065" customHeight="1" spans="2:2">
      <c r="B6065" s="62" t="str">
        <f>IF(AND('领用录入（明细）'!D:D=$F$4,'领用录入（明细）'!C:C&gt;=$J$4,'领用录入（明细）'!C:C&lt;=$L$4),ROW(),"-")</f>
        <v>-</v>
      </c>
    </row>
    <row r="6066" customHeight="1" spans="2:2">
      <c r="B6066" s="62" t="str">
        <f>IF(AND('领用录入（明细）'!D:D=$F$4,'领用录入（明细）'!C:C&gt;=$J$4,'领用录入（明细）'!C:C&lt;=$L$4),ROW(),"-")</f>
        <v>-</v>
      </c>
    </row>
    <row r="6067" customHeight="1" spans="2:2">
      <c r="B6067" s="62" t="str">
        <f>IF(AND('领用录入（明细）'!D:D=$F$4,'领用录入（明细）'!C:C&gt;=$J$4,'领用录入（明细）'!C:C&lt;=$L$4),ROW(),"-")</f>
        <v>-</v>
      </c>
    </row>
    <row r="6068" customHeight="1" spans="2:2">
      <c r="B6068" s="62" t="str">
        <f>IF(AND('领用录入（明细）'!D:D=$F$4,'领用录入（明细）'!C:C&gt;=$J$4,'领用录入（明细）'!C:C&lt;=$L$4),ROW(),"-")</f>
        <v>-</v>
      </c>
    </row>
    <row r="6069" customHeight="1" spans="2:2">
      <c r="B6069" s="62" t="str">
        <f>IF(AND('领用录入（明细）'!D:D=$F$4,'领用录入（明细）'!C:C&gt;=$J$4,'领用录入（明细）'!C:C&lt;=$L$4),ROW(),"-")</f>
        <v>-</v>
      </c>
    </row>
    <row r="6070" customHeight="1" spans="2:2">
      <c r="B6070" s="62" t="str">
        <f>IF(AND('领用录入（明细）'!D:D=$F$4,'领用录入（明细）'!C:C&gt;=$J$4,'领用录入（明细）'!C:C&lt;=$L$4),ROW(),"-")</f>
        <v>-</v>
      </c>
    </row>
    <row r="6071" customHeight="1" spans="2:2">
      <c r="B6071" s="62" t="str">
        <f>IF(AND('领用录入（明细）'!D:D=$F$4,'领用录入（明细）'!C:C&gt;=$J$4,'领用录入（明细）'!C:C&lt;=$L$4),ROW(),"-")</f>
        <v>-</v>
      </c>
    </row>
    <row r="6072" customHeight="1" spans="2:2">
      <c r="B6072" s="62" t="str">
        <f>IF(AND('领用录入（明细）'!D:D=$F$4,'领用录入（明细）'!C:C&gt;=$J$4,'领用录入（明细）'!C:C&lt;=$L$4),ROW(),"-")</f>
        <v>-</v>
      </c>
    </row>
    <row r="6073" customHeight="1" spans="2:2">
      <c r="B6073" s="62" t="str">
        <f>IF(AND('领用录入（明细）'!D:D=$F$4,'领用录入（明细）'!C:C&gt;=$J$4,'领用录入（明细）'!C:C&lt;=$L$4),ROW(),"-")</f>
        <v>-</v>
      </c>
    </row>
    <row r="6074" customHeight="1" spans="2:2">
      <c r="B6074" s="62" t="str">
        <f>IF(AND('领用录入（明细）'!D:D=$F$4,'领用录入（明细）'!C:C&gt;=$J$4,'领用录入（明细）'!C:C&lt;=$L$4),ROW(),"-")</f>
        <v>-</v>
      </c>
    </row>
    <row r="6075" customHeight="1" spans="2:2">
      <c r="B6075" s="62" t="str">
        <f>IF(AND('领用录入（明细）'!D:D=$F$4,'领用录入（明细）'!C:C&gt;=$J$4,'领用录入（明细）'!C:C&lt;=$L$4),ROW(),"-")</f>
        <v>-</v>
      </c>
    </row>
    <row r="6076" customHeight="1" spans="2:2">
      <c r="B6076" s="62" t="str">
        <f>IF(AND('领用录入（明细）'!D:D=$F$4,'领用录入（明细）'!C:C&gt;=$J$4,'领用录入（明细）'!C:C&lt;=$L$4),ROW(),"-")</f>
        <v>-</v>
      </c>
    </row>
    <row r="6077" customHeight="1" spans="2:2">
      <c r="B6077" s="62" t="str">
        <f>IF(AND('领用录入（明细）'!D:D=$F$4,'领用录入（明细）'!C:C&gt;=$J$4,'领用录入（明细）'!C:C&lt;=$L$4),ROW(),"-")</f>
        <v>-</v>
      </c>
    </row>
    <row r="6078" customHeight="1" spans="2:2">
      <c r="B6078" s="62" t="str">
        <f>IF(AND('领用录入（明细）'!D:D=$F$4,'领用录入（明细）'!C:C&gt;=$J$4,'领用录入（明细）'!C:C&lt;=$L$4),ROW(),"-")</f>
        <v>-</v>
      </c>
    </row>
    <row r="6079" customHeight="1" spans="2:2">
      <c r="B6079" s="62" t="str">
        <f>IF(AND('领用录入（明细）'!D:D=$F$4,'领用录入（明细）'!C:C&gt;=$J$4,'领用录入（明细）'!C:C&lt;=$L$4),ROW(),"-")</f>
        <v>-</v>
      </c>
    </row>
    <row r="6080" customHeight="1" spans="2:2">
      <c r="B6080" s="62" t="str">
        <f>IF(AND('领用录入（明细）'!D:D=$F$4,'领用录入（明细）'!C:C&gt;=$J$4,'领用录入（明细）'!C:C&lt;=$L$4),ROW(),"-")</f>
        <v>-</v>
      </c>
    </row>
    <row r="6081" customHeight="1" spans="2:2">
      <c r="B6081" s="62" t="str">
        <f>IF(AND('领用录入（明细）'!D:D=$F$4,'领用录入（明细）'!C:C&gt;=$J$4,'领用录入（明细）'!C:C&lt;=$L$4),ROW(),"-")</f>
        <v>-</v>
      </c>
    </row>
    <row r="6082" customHeight="1" spans="2:2">
      <c r="B6082" s="62" t="str">
        <f>IF(AND('领用录入（明细）'!D:D=$F$4,'领用录入（明细）'!C:C&gt;=$J$4,'领用录入（明细）'!C:C&lt;=$L$4),ROW(),"-")</f>
        <v>-</v>
      </c>
    </row>
    <row r="6083" customHeight="1" spans="2:2">
      <c r="B6083" s="62" t="str">
        <f>IF(AND('领用录入（明细）'!D:D=$F$4,'领用录入（明细）'!C:C&gt;=$J$4,'领用录入（明细）'!C:C&lt;=$L$4),ROW(),"-")</f>
        <v>-</v>
      </c>
    </row>
    <row r="6084" customHeight="1" spans="2:2">
      <c r="B6084" s="62" t="str">
        <f>IF(AND('领用录入（明细）'!D:D=$F$4,'领用录入（明细）'!C:C&gt;=$J$4,'领用录入（明细）'!C:C&lt;=$L$4),ROW(),"-")</f>
        <v>-</v>
      </c>
    </row>
    <row r="6085" customHeight="1" spans="2:2">
      <c r="B6085" s="62" t="str">
        <f>IF(AND('领用录入（明细）'!D:D=$F$4,'领用录入（明细）'!C:C&gt;=$J$4,'领用录入（明细）'!C:C&lt;=$L$4),ROW(),"-")</f>
        <v>-</v>
      </c>
    </row>
    <row r="6086" customHeight="1" spans="2:2">
      <c r="B6086" s="62" t="str">
        <f>IF(AND('领用录入（明细）'!D:D=$F$4,'领用录入（明细）'!C:C&gt;=$J$4,'领用录入（明细）'!C:C&lt;=$L$4),ROW(),"-")</f>
        <v>-</v>
      </c>
    </row>
    <row r="6087" customHeight="1" spans="2:2">
      <c r="B6087" s="62" t="str">
        <f>IF(AND('领用录入（明细）'!D:D=$F$4,'领用录入（明细）'!C:C&gt;=$J$4,'领用录入（明细）'!C:C&lt;=$L$4),ROW(),"-")</f>
        <v>-</v>
      </c>
    </row>
    <row r="6088" customHeight="1" spans="2:2">
      <c r="B6088" s="62" t="str">
        <f>IF(AND('领用录入（明细）'!D:D=$F$4,'领用录入（明细）'!C:C&gt;=$J$4,'领用录入（明细）'!C:C&lt;=$L$4),ROW(),"-")</f>
        <v>-</v>
      </c>
    </row>
    <row r="6089" customHeight="1" spans="2:2">
      <c r="B6089" s="62" t="str">
        <f>IF(AND('领用录入（明细）'!D:D=$F$4,'领用录入（明细）'!C:C&gt;=$J$4,'领用录入（明细）'!C:C&lt;=$L$4),ROW(),"-")</f>
        <v>-</v>
      </c>
    </row>
    <row r="6090" customHeight="1" spans="2:2">
      <c r="B6090" s="62" t="str">
        <f>IF(AND('领用录入（明细）'!D:D=$F$4,'领用录入（明细）'!C:C&gt;=$J$4,'领用录入（明细）'!C:C&lt;=$L$4),ROW(),"-")</f>
        <v>-</v>
      </c>
    </row>
    <row r="6091" customHeight="1" spans="2:2">
      <c r="B6091" s="62" t="str">
        <f>IF(AND('领用录入（明细）'!D:D=$F$4,'领用录入（明细）'!C:C&gt;=$J$4,'领用录入（明细）'!C:C&lt;=$L$4),ROW(),"-")</f>
        <v>-</v>
      </c>
    </row>
    <row r="6092" customHeight="1" spans="2:2">
      <c r="B6092" s="62" t="str">
        <f>IF(AND('领用录入（明细）'!D:D=$F$4,'领用录入（明细）'!C:C&gt;=$J$4,'领用录入（明细）'!C:C&lt;=$L$4),ROW(),"-")</f>
        <v>-</v>
      </c>
    </row>
    <row r="6093" customHeight="1" spans="2:2">
      <c r="B6093" s="62" t="str">
        <f>IF(AND('领用录入（明细）'!D:D=$F$4,'领用录入（明细）'!C:C&gt;=$J$4,'领用录入（明细）'!C:C&lt;=$L$4),ROW(),"-")</f>
        <v>-</v>
      </c>
    </row>
    <row r="6094" customHeight="1" spans="2:2">
      <c r="B6094" s="62" t="str">
        <f>IF(AND('领用录入（明细）'!D:D=$F$4,'领用录入（明细）'!C:C&gt;=$J$4,'领用录入（明细）'!C:C&lt;=$L$4),ROW(),"-")</f>
        <v>-</v>
      </c>
    </row>
    <row r="6095" customHeight="1" spans="2:2">
      <c r="B6095" s="62" t="str">
        <f>IF(AND('领用录入（明细）'!D:D=$F$4,'领用录入（明细）'!C:C&gt;=$J$4,'领用录入（明细）'!C:C&lt;=$L$4),ROW(),"-")</f>
        <v>-</v>
      </c>
    </row>
    <row r="6096" customHeight="1" spans="2:2">
      <c r="B6096" s="62" t="str">
        <f>IF(AND('领用录入（明细）'!D:D=$F$4,'领用录入（明细）'!C:C&gt;=$J$4,'领用录入（明细）'!C:C&lt;=$L$4),ROW(),"-")</f>
        <v>-</v>
      </c>
    </row>
    <row r="6097" customHeight="1" spans="2:2">
      <c r="B6097" s="62" t="str">
        <f>IF(AND('领用录入（明细）'!D:D=$F$4,'领用录入（明细）'!C:C&gt;=$J$4,'领用录入（明细）'!C:C&lt;=$L$4),ROW(),"-")</f>
        <v>-</v>
      </c>
    </row>
    <row r="6098" customHeight="1" spans="2:2">
      <c r="B6098" s="62" t="str">
        <f>IF(AND('领用录入（明细）'!D:D=$F$4,'领用录入（明细）'!C:C&gt;=$J$4,'领用录入（明细）'!C:C&lt;=$L$4),ROW(),"-")</f>
        <v>-</v>
      </c>
    </row>
    <row r="6099" customHeight="1" spans="2:2">
      <c r="B6099" s="62" t="str">
        <f>IF(AND('领用录入（明细）'!D:D=$F$4,'领用录入（明细）'!C:C&gt;=$J$4,'领用录入（明细）'!C:C&lt;=$L$4),ROW(),"-")</f>
        <v>-</v>
      </c>
    </row>
    <row r="6100" customHeight="1" spans="2:2">
      <c r="B6100" s="62" t="str">
        <f>IF(AND('领用录入（明细）'!D:D=$F$4,'领用录入（明细）'!C:C&gt;=$J$4,'领用录入（明细）'!C:C&lt;=$L$4),ROW(),"-")</f>
        <v>-</v>
      </c>
    </row>
    <row r="6101" customHeight="1" spans="2:2">
      <c r="B6101" s="62" t="str">
        <f>IF(AND('领用录入（明细）'!D:D=$F$4,'领用录入（明细）'!C:C&gt;=$J$4,'领用录入（明细）'!C:C&lt;=$L$4),ROW(),"-")</f>
        <v>-</v>
      </c>
    </row>
    <row r="6102" customHeight="1" spans="2:2">
      <c r="B6102" s="62" t="str">
        <f>IF(AND('领用录入（明细）'!D:D=$F$4,'领用录入（明细）'!C:C&gt;=$J$4,'领用录入（明细）'!C:C&lt;=$L$4),ROW(),"-")</f>
        <v>-</v>
      </c>
    </row>
    <row r="6103" customHeight="1" spans="2:2">
      <c r="B6103" s="62" t="str">
        <f>IF(AND('领用录入（明细）'!D:D=$F$4,'领用录入（明细）'!C:C&gt;=$J$4,'领用录入（明细）'!C:C&lt;=$L$4),ROW(),"-")</f>
        <v>-</v>
      </c>
    </row>
    <row r="6104" customHeight="1" spans="2:2">
      <c r="B6104" s="62" t="str">
        <f>IF(AND('领用录入（明细）'!D:D=$F$4,'领用录入（明细）'!C:C&gt;=$J$4,'领用录入（明细）'!C:C&lt;=$L$4),ROW(),"-")</f>
        <v>-</v>
      </c>
    </row>
    <row r="6105" customHeight="1" spans="2:2">
      <c r="B6105" s="62" t="str">
        <f>IF(AND('领用录入（明细）'!D:D=$F$4,'领用录入（明细）'!C:C&gt;=$J$4,'领用录入（明细）'!C:C&lt;=$L$4),ROW(),"-")</f>
        <v>-</v>
      </c>
    </row>
    <row r="6106" customHeight="1" spans="2:2">
      <c r="B6106" s="62" t="str">
        <f>IF(AND('领用录入（明细）'!D:D=$F$4,'领用录入（明细）'!C:C&gt;=$J$4,'领用录入（明细）'!C:C&lt;=$L$4),ROW(),"-")</f>
        <v>-</v>
      </c>
    </row>
    <row r="6107" customHeight="1" spans="2:2">
      <c r="B6107" s="62" t="str">
        <f>IF(AND('领用录入（明细）'!D:D=$F$4,'领用录入（明细）'!C:C&gt;=$J$4,'领用录入（明细）'!C:C&lt;=$L$4),ROW(),"-")</f>
        <v>-</v>
      </c>
    </row>
    <row r="6108" customHeight="1" spans="2:2">
      <c r="B6108" s="62" t="str">
        <f>IF(AND('领用录入（明细）'!D:D=$F$4,'领用录入（明细）'!C:C&gt;=$J$4,'领用录入（明细）'!C:C&lt;=$L$4),ROW(),"-")</f>
        <v>-</v>
      </c>
    </row>
    <row r="6109" customHeight="1" spans="2:2">
      <c r="B6109" s="62" t="str">
        <f>IF(AND('领用录入（明细）'!D:D=$F$4,'领用录入（明细）'!C:C&gt;=$J$4,'领用录入（明细）'!C:C&lt;=$L$4),ROW(),"-")</f>
        <v>-</v>
      </c>
    </row>
    <row r="6110" customHeight="1" spans="2:2">
      <c r="B6110" s="62" t="str">
        <f>IF(AND('领用录入（明细）'!D:D=$F$4,'领用录入（明细）'!C:C&gt;=$J$4,'领用录入（明细）'!C:C&lt;=$L$4),ROW(),"-")</f>
        <v>-</v>
      </c>
    </row>
    <row r="6111" customHeight="1" spans="2:2">
      <c r="B6111" s="62" t="str">
        <f>IF(AND('领用录入（明细）'!D:D=$F$4,'领用录入（明细）'!C:C&gt;=$J$4,'领用录入（明细）'!C:C&lt;=$L$4),ROW(),"-")</f>
        <v>-</v>
      </c>
    </row>
    <row r="6112" customHeight="1" spans="2:2">
      <c r="B6112" s="62" t="str">
        <f>IF(AND('领用录入（明细）'!D:D=$F$4,'领用录入（明细）'!C:C&gt;=$J$4,'领用录入（明细）'!C:C&lt;=$L$4),ROW(),"-")</f>
        <v>-</v>
      </c>
    </row>
    <row r="6113" customHeight="1" spans="2:2">
      <c r="B6113" s="62" t="str">
        <f>IF(AND('领用录入（明细）'!D:D=$F$4,'领用录入（明细）'!C:C&gt;=$J$4,'领用录入（明细）'!C:C&lt;=$L$4),ROW(),"-")</f>
        <v>-</v>
      </c>
    </row>
    <row r="6114" customHeight="1" spans="2:2">
      <c r="B6114" s="62" t="str">
        <f>IF(AND('领用录入（明细）'!D:D=$F$4,'领用录入（明细）'!C:C&gt;=$J$4,'领用录入（明细）'!C:C&lt;=$L$4),ROW(),"-")</f>
        <v>-</v>
      </c>
    </row>
    <row r="6115" customHeight="1" spans="2:2">
      <c r="B6115" s="62" t="str">
        <f>IF(AND('领用录入（明细）'!D:D=$F$4,'领用录入（明细）'!C:C&gt;=$J$4,'领用录入（明细）'!C:C&lt;=$L$4),ROW(),"-")</f>
        <v>-</v>
      </c>
    </row>
    <row r="6116" customHeight="1" spans="2:2">
      <c r="B6116" s="62" t="str">
        <f>IF(AND('领用录入（明细）'!D:D=$F$4,'领用录入（明细）'!C:C&gt;=$J$4,'领用录入（明细）'!C:C&lt;=$L$4),ROW(),"-")</f>
        <v>-</v>
      </c>
    </row>
    <row r="6117" customHeight="1" spans="2:2">
      <c r="B6117" s="62" t="str">
        <f>IF(AND('领用录入（明细）'!D:D=$F$4,'领用录入（明细）'!C:C&gt;=$J$4,'领用录入（明细）'!C:C&lt;=$L$4),ROW(),"-")</f>
        <v>-</v>
      </c>
    </row>
    <row r="6118" customHeight="1" spans="2:2">
      <c r="B6118" s="62" t="str">
        <f>IF(AND('领用录入（明细）'!D:D=$F$4,'领用录入（明细）'!C:C&gt;=$J$4,'领用录入（明细）'!C:C&lt;=$L$4),ROW(),"-")</f>
        <v>-</v>
      </c>
    </row>
    <row r="6119" customHeight="1" spans="2:2">
      <c r="B6119" s="62" t="str">
        <f>IF(AND('领用录入（明细）'!D:D=$F$4,'领用录入（明细）'!C:C&gt;=$J$4,'领用录入（明细）'!C:C&lt;=$L$4),ROW(),"-")</f>
        <v>-</v>
      </c>
    </row>
    <row r="6120" customHeight="1" spans="2:2">
      <c r="B6120" s="62" t="str">
        <f>IF(AND('领用录入（明细）'!D:D=$F$4,'领用录入（明细）'!C:C&gt;=$J$4,'领用录入（明细）'!C:C&lt;=$L$4),ROW(),"-")</f>
        <v>-</v>
      </c>
    </row>
    <row r="6121" customHeight="1" spans="2:2">
      <c r="B6121" s="62" t="str">
        <f>IF(AND('领用录入（明细）'!D:D=$F$4,'领用录入（明细）'!C:C&gt;=$J$4,'领用录入（明细）'!C:C&lt;=$L$4),ROW(),"-")</f>
        <v>-</v>
      </c>
    </row>
    <row r="6122" customHeight="1" spans="2:2">
      <c r="B6122" s="62" t="str">
        <f>IF(AND('领用录入（明细）'!D:D=$F$4,'领用录入（明细）'!C:C&gt;=$J$4,'领用录入（明细）'!C:C&lt;=$L$4),ROW(),"-")</f>
        <v>-</v>
      </c>
    </row>
    <row r="6123" customHeight="1" spans="2:2">
      <c r="B6123" s="62" t="str">
        <f>IF(AND('领用录入（明细）'!D:D=$F$4,'领用录入（明细）'!C:C&gt;=$J$4,'领用录入（明细）'!C:C&lt;=$L$4),ROW(),"-")</f>
        <v>-</v>
      </c>
    </row>
    <row r="6124" customHeight="1" spans="2:2">
      <c r="B6124" s="62" t="str">
        <f>IF(AND('领用录入（明细）'!D:D=$F$4,'领用录入（明细）'!C:C&gt;=$J$4,'领用录入（明细）'!C:C&lt;=$L$4),ROW(),"-")</f>
        <v>-</v>
      </c>
    </row>
    <row r="6125" customHeight="1" spans="2:2">
      <c r="B6125" s="62" t="str">
        <f>IF(AND('领用录入（明细）'!D:D=$F$4,'领用录入（明细）'!C:C&gt;=$J$4,'领用录入（明细）'!C:C&lt;=$L$4),ROW(),"-")</f>
        <v>-</v>
      </c>
    </row>
    <row r="6126" customHeight="1" spans="2:2">
      <c r="B6126" s="62" t="str">
        <f>IF(AND('领用录入（明细）'!D:D=$F$4,'领用录入（明细）'!C:C&gt;=$J$4,'领用录入（明细）'!C:C&lt;=$L$4),ROW(),"-")</f>
        <v>-</v>
      </c>
    </row>
    <row r="6127" customHeight="1" spans="2:2">
      <c r="B6127" s="62" t="str">
        <f>IF(AND('领用录入（明细）'!D:D=$F$4,'领用录入（明细）'!C:C&gt;=$J$4,'领用录入（明细）'!C:C&lt;=$L$4),ROW(),"-")</f>
        <v>-</v>
      </c>
    </row>
    <row r="6128" customHeight="1" spans="2:2">
      <c r="B6128" s="62" t="str">
        <f>IF(AND('领用录入（明细）'!D:D=$F$4,'领用录入（明细）'!C:C&gt;=$J$4,'领用录入（明细）'!C:C&lt;=$L$4),ROW(),"-")</f>
        <v>-</v>
      </c>
    </row>
    <row r="6129" customHeight="1" spans="2:2">
      <c r="B6129" s="62" t="str">
        <f>IF(AND('领用录入（明细）'!D:D=$F$4,'领用录入（明细）'!C:C&gt;=$J$4,'领用录入（明细）'!C:C&lt;=$L$4),ROW(),"-")</f>
        <v>-</v>
      </c>
    </row>
    <row r="6130" customHeight="1" spans="2:2">
      <c r="B6130" s="62" t="str">
        <f>IF(AND('领用录入（明细）'!D:D=$F$4,'领用录入（明细）'!C:C&gt;=$J$4,'领用录入（明细）'!C:C&lt;=$L$4),ROW(),"-")</f>
        <v>-</v>
      </c>
    </row>
    <row r="6131" customHeight="1" spans="2:2">
      <c r="B6131" s="62" t="str">
        <f>IF(AND('领用录入（明细）'!D:D=$F$4,'领用录入（明细）'!C:C&gt;=$J$4,'领用录入（明细）'!C:C&lt;=$L$4),ROW(),"-")</f>
        <v>-</v>
      </c>
    </row>
    <row r="6132" customHeight="1" spans="2:2">
      <c r="B6132" s="62" t="str">
        <f>IF(AND('领用录入（明细）'!D:D=$F$4,'领用录入（明细）'!C:C&gt;=$J$4,'领用录入（明细）'!C:C&lt;=$L$4),ROW(),"-")</f>
        <v>-</v>
      </c>
    </row>
    <row r="6133" customHeight="1" spans="2:2">
      <c r="B6133" s="62" t="str">
        <f>IF(AND('领用录入（明细）'!D:D=$F$4,'领用录入（明细）'!C:C&gt;=$J$4,'领用录入（明细）'!C:C&lt;=$L$4),ROW(),"-")</f>
        <v>-</v>
      </c>
    </row>
    <row r="6134" customHeight="1" spans="2:2">
      <c r="B6134" s="62" t="str">
        <f>IF(AND('领用录入（明细）'!D:D=$F$4,'领用录入（明细）'!C:C&gt;=$J$4,'领用录入（明细）'!C:C&lt;=$L$4),ROW(),"-")</f>
        <v>-</v>
      </c>
    </row>
    <row r="6135" customHeight="1" spans="2:2">
      <c r="B6135" s="62" t="str">
        <f>IF(AND('领用录入（明细）'!D:D=$F$4,'领用录入（明细）'!C:C&gt;=$J$4,'领用录入（明细）'!C:C&lt;=$L$4),ROW(),"-")</f>
        <v>-</v>
      </c>
    </row>
    <row r="6136" customHeight="1" spans="2:2">
      <c r="B6136" s="62" t="str">
        <f>IF(AND('领用录入（明细）'!D:D=$F$4,'领用录入（明细）'!C:C&gt;=$J$4,'领用录入（明细）'!C:C&lt;=$L$4),ROW(),"-")</f>
        <v>-</v>
      </c>
    </row>
    <row r="6137" customHeight="1" spans="2:2">
      <c r="B6137" s="62" t="str">
        <f>IF(AND('领用录入（明细）'!D:D=$F$4,'领用录入（明细）'!C:C&gt;=$J$4,'领用录入（明细）'!C:C&lt;=$L$4),ROW(),"-")</f>
        <v>-</v>
      </c>
    </row>
    <row r="6138" customHeight="1" spans="2:2">
      <c r="B6138" s="62" t="str">
        <f>IF(AND('领用录入（明细）'!D:D=$F$4,'领用录入（明细）'!C:C&gt;=$J$4,'领用录入（明细）'!C:C&lt;=$L$4),ROW(),"-")</f>
        <v>-</v>
      </c>
    </row>
    <row r="6139" customHeight="1" spans="2:2">
      <c r="B6139" s="62" t="str">
        <f>IF(AND('领用录入（明细）'!D:D=$F$4,'领用录入（明细）'!C:C&gt;=$J$4,'领用录入（明细）'!C:C&lt;=$L$4),ROW(),"-")</f>
        <v>-</v>
      </c>
    </row>
    <row r="6140" customHeight="1" spans="2:2">
      <c r="B6140" s="62" t="str">
        <f>IF(AND('领用录入（明细）'!D:D=$F$4,'领用录入（明细）'!C:C&gt;=$J$4,'领用录入（明细）'!C:C&lt;=$L$4),ROW(),"-")</f>
        <v>-</v>
      </c>
    </row>
    <row r="6141" customHeight="1" spans="2:2">
      <c r="B6141" s="62" t="str">
        <f>IF(AND('领用录入（明细）'!D:D=$F$4,'领用录入（明细）'!C:C&gt;=$J$4,'领用录入（明细）'!C:C&lt;=$L$4),ROW(),"-")</f>
        <v>-</v>
      </c>
    </row>
    <row r="6142" customHeight="1" spans="2:2">
      <c r="B6142" s="62" t="str">
        <f>IF(AND('领用录入（明细）'!D:D=$F$4,'领用录入（明细）'!C:C&gt;=$J$4,'领用录入（明细）'!C:C&lt;=$L$4),ROW(),"-")</f>
        <v>-</v>
      </c>
    </row>
    <row r="6143" customHeight="1" spans="2:2">
      <c r="B6143" s="62" t="str">
        <f>IF(AND('领用录入（明细）'!D:D=$F$4,'领用录入（明细）'!C:C&gt;=$J$4,'领用录入（明细）'!C:C&lt;=$L$4),ROW(),"-")</f>
        <v>-</v>
      </c>
    </row>
    <row r="6144" customHeight="1" spans="2:2">
      <c r="B6144" s="62" t="str">
        <f>IF(AND('领用录入（明细）'!D:D=$F$4,'领用录入（明细）'!C:C&gt;=$J$4,'领用录入（明细）'!C:C&lt;=$L$4),ROW(),"-")</f>
        <v>-</v>
      </c>
    </row>
    <row r="6145" customHeight="1" spans="2:2">
      <c r="B6145" s="62" t="str">
        <f>IF(AND('领用录入（明细）'!D:D=$F$4,'领用录入（明细）'!C:C&gt;=$J$4,'领用录入（明细）'!C:C&lt;=$L$4),ROW(),"-")</f>
        <v>-</v>
      </c>
    </row>
    <row r="6146" customHeight="1" spans="2:2">
      <c r="B6146" s="62" t="str">
        <f>IF(AND('领用录入（明细）'!D:D=$F$4,'领用录入（明细）'!C:C&gt;=$J$4,'领用录入（明细）'!C:C&lt;=$L$4),ROW(),"-")</f>
        <v>-</v>
      </c>
    </row>
    <row r="6147" customHeight="1" spans="2:2">
      <c r="B6147" s="62" t="str">
        <f>IF(AND('领用录入（明细）'!D:D=$F$4,'领用录入（明细）'!C:C&gt;=$J$4,'领用录入（明细）'!C:C&lt;=$L$4),ROW(),"-")</f>
        <v>-</v>
      </c>
    </row>
    <row r="6148" customHeight="1" spans="2:2">
      <c r="B6148" s="62" t="str">
        <f>IF(AND('领用录入（明细）'!D:D=$F$4,'领用录入（明细）'!C:C&gt;=$J$4,'领用录入（明细）'!C:C&lt;=$L$4),ROW(),"-")</f>
        <v>-</v>
      </c>
    </row>
    <row r="6149" customHeight="1" spans="2:2">
      <c r="B6149" s="62" t="str">
        <f>IF(AND('领用录入（明细）'!D:D=$F$4,'领用录入（明细）'!C:C&gt;=$J$4,'领用录入（明细）'!C:C&lt;=$L$4),ROW(),"-")</f>
        <v>-</v>
      </c>
    </row>
    <row r="6150" customHeight="1" spans="2:2">
      <c r="B6150" s="62" t="str">
        <f>IF(AND('领用录入（明细）'!D:D=$F$4,'领用录入（明细）'!C:C&gt;=$J$4,'领用录入（明细）'!C:C&lt;=$L$4),ROW(),"-")</f>
        <v>-</v>
      </c>
    </row>
    <row r="6151" customHeight="1" spans="2:2">
      <c r="B6151" s="62" t="str">
        <f>IF(AND('领用录入（明细）'!D:D=$F$4,'领用录入（明细）'!C:C&gt;=$J$4,'领用录入（明细）'!C:C&lt;=$L$4),ROW(),"-")</f>
        <v>-</v>
      </c>
    </row>
    <row r="6152" customHeight="1" spans="2:2">
      <c r="B6152" s="62" t="str">
        <f>IF(AND('领用录入（明细）'!D:D=$F$4,'领用录入（明细）'!C:C&gt;=$J$4,'领用录入（明细）'!C:C&lt;=$L$4),ROW(),"-")</f>
        <v>-</v>
      </c>
    </row>
    <row r="6153" customHeight="1" spans="2:2">
      <c r="B6153" s="62" t="str">
        <f>IF(AND('领用录入（明细）'!D:D=$F$4,'领用录入（明细）'!C:C&gt;=$J$4,'领用录入（明细）'!C:C&lt;=$L$4),ROW(),"-")</f>
        <v>-</v>
      </c>
    </row>
    <row r="6154" customHeight="1" spans="2:2">
      <c r="B6154" s="62" t="str">
        <f>IF(AND('领用录入（明细）'!D:D=$F$4,'领用录入（明细）'!C:C&gt;=$J$4,'领用录入（明细）'!C:C&lt;=$L$4),ROW(),"-")</f>
        <v>-</v>
      </c>
    </row>
    <row r="6155" customHeight="1" spans="2:2">
      <c r="B6155" s="62" t="str">
        <f>IF(AND('领用录入（明细）'!D:D=$F$4,'领用录入（明细）'!C:C&gt;=$J$4,'领用录入（明细）'!C:C&lt;=$L$4),ROW(),"-")</f>
        <v>-</v>
      </c>
    </row>
    <row r="6156" customHeight="1" spans="2:2">
      <c r="B6156" s="62" t="str">
        <f>IF(AND('领用录入（明细）'!D:D=$F$4,'领用录入（明细）'!C:C&gt;=$J$4,'领用录入（明细）'!C:C&lt;=$L$4),ROW(),"-")</f>
        <v>-</v>
      </c>
    </row>
    <row r="6157" customHeight="1" spans="2:2">
      <c r="B6157" s="62" t="str">
        <f>IF(AND('领用录入（明细）'!D:D=$F$4,'领用录入（明细）'!C:C&gt;=$J$4,'领用录入（明细）'!C:C&lt;=$L$4),ROW(),"-")</f>
        <v>-</v>
      </c>
    </row>
    <row r="6158" customHeight="1" spans="2:2">
      <c r="B6158" s="62" t="str">
        <f>IF(AND('领用录入（明细）'!D:D=$F$4,'领用录入（明细）'!C:C&gt;=$J$4,'领用录入（明细）'!C:C&lt;=$L$4),ROW(),"-")</f>
        <v>-</v>
      </c>
    </row>
    <row r="6159" customHeight="1" spans="2:2">
      <c r="B6159" s="62" t="str">
        <f>IF(AND('领用录入（明细）'!D:D=$F$4,'领用录入（明细）'!C:C&gt;=$J$4,'领用录入（明细）'!C:C&lt;=$L$4),ROW(),"-")</f>
        <v>-</v>
      </c>
    </row>
    <row r="6160" customHeight="1" spans="2:2">
      <c r="B6160" s="62" t="str">
        <f>IF(AND('领用录入（明细）'!D:D=$F$4,'领用录入（明细）'!C:C&gt;=$J$4,'领用录入（明细）'!C:C&lt;=$L$4),ROW(),"-")</f>
        <v>-</v>
      </c>
    </row>
    <row r="6161" customHeight="1" spans="2:2">
      <c r="B6161" s="62" t="str">
        <f>IF(AND('领用录入（明细）'!D:D=$F$4,'领用录入（明细）'!C:C&gt;=$J$4,'领用录入（明细）'!C:C&lt;=$L$4),ROW(),"-")</f>
        <v>-</v>
      </c>
    </row>
    <row r="6162" customHeight="1" spans="2:2">
      <c r="B6162" s="62" t="str">
        <f>IF(AND('领用录入（明细）'!D:D=$F$4,'领用录入（明细）'!C:C&gt;=$J$4,'领用录入（明细）'!C:C&lt;=$L$4),ROW(),"-")</f>
        <v>-</v>
      </c>
    </row>
    <row r="6163" customHeight="1" spans="2:2">
      <c r="B6163" s="62" t="str">
        <f>IF(AND('领用录入（明细）'!D:D=$F$4,'领用录入（明细）'!C:C&gt;=$J$4,'领用录入（明细）'!C:C&lt;=$L$4),ROW(),"-")</f>
        <v>-</v>
      </c>
    </row>
    <row r="6164" customHeight="1" spans="2:2">
      <c r="B6164" s="62" t="str">
        <f>IF(AND('领用录入（明细）'!D:D=$F$4,'领用录入（明细）'!C:C&gt;=$J$4,'领用录入（明细）'!C:C&lt;=$L$4),ROW(),"-")</f>
        <v>-</v>
      </c>
    </row>
    <row r="6165" customHeight="1" spans="2:2">
      <c r="B6165" s="62" t="str">
        <f>IF(AND('领用录入（明细）'!D:D=$F$4,'领用录入（明细）'!C:C&gt;=$J$4,'领用录入（明细）'!C:C&lt;=$L$4),ROW(),"-")</f>
        <v>-</v>
      </c>
    </row>
    <row r="6166" customHeight="1" spans="2:2">
      <c r="B6166" s="62" t="str">
        <f>IF(AND('领用录入（明细）'!D:D=$F$4,'领用录入（明细）'!C:C&gt;=$J$4,'领用录入（明细）'!C:C&lt;=$L$4),ROW(),"-")</f>
        <v>-</v>
      </c>
    </row>
    <row r="6167" customHeight="1" spans="2:2">
      <c r="B6167" s="62" t="str">
        <f>IF(AND('领用录入（明细）'!D:D=$F$4,'领用录入（明细）'!C:C&gt;=$J$4,'领用录入（明细）'!C:C&lt;=$L$4),ROW(),"-")</f>
        <v>-</v>
      </c>
    </row>
    <row r="6168" customHeight="1" spans="2:2">
      <c r="B6168" s="62" t="str">
        <f>IF(AND('领用录入（明细）'!D:D=$F$4,'领用录入（明细）'!C:C&gt;=$J$4,'领用录入（明细）'!C:C&lt;=$L$4),ROW(),"-")</f>
        <v>-</v>
      </c>
    </row>
    <row r="6169" customHeight="1" spans="2:2">
      <c r="B6169" s="62" t="str">
        <f>IF(AND('领用录入（明细）'!D:D=$F$4,'领用录入（明细）'!C:C&gt;=$J$4,'领用录入（明细）'!C:C&lt;=$L$4),ROW(),"-")</f>
        <v>-</v>
      </c>
    </row>
    <row r="6170" customHeight="1" spans="2:2">
      <c r="B6170" s="62" t="str">
        <f>IF(AND('领用录入（明细）'!D:D=$F$4,'领用录入（明细）'!C:C&gt;=$J$4,'领用录入（明细）'!C:C&lt;=$L$4),ROW(),"-")</f>
        <v>-</v>
      </c>
    </row>
    <row r="6171" customHeight="1" spans="2:2">
      <c r="B6171" s="62" t="str">
        <f>IF(AND('领用录入（明细）'!D:D=$F$4,'领用录入（明细）'!C:C&gt;=$J$4,'领用录入（明细）'!C:C&lt;=$L$4),ROW(),"-")</f>
        <v>-</v>
      </c>
    </row>
    <row r="6172" customHeight="1" spans="2:2">
      <c r="B6172" s="62" t="str">
        <f>IF(AND('领用录入（明细）'!D:D=$F$4,'领用录入（明细）'!C:C&gt;=$J$4,'领用录入（明细）'!C:C&lt;=$L$4),ROW(),"-")</f>
        <v>-</v>
      </c>
    </row>
    <row r="6173" customHeight="1" spans="2:2">
      <c r="B6173" s="62" t="str">
        <f>IF(AND('领用录入（明细）'!D:D=$F$4,'领用录入（明细）'!C:C&gt;=$J$4,'领用录入（明细）'!C:C&lt;=$L$4),ROW(),"-")</f>
        <v>-</v>
      </c>
    </row>
    <row r="6174" customHeight="1" spans="2:2">
      <c r="B6174" s="62" t="str">
        <f>IF(AND('领用录入（明细）'!D:D=$F$4,'领用录入（明细）'!C:C&gt;=$J$4,'领用录入（明细）'!C:C&lt;=$L$4),ROW(),"-")</f>
        <v>-</v>
      </c>
    </row>
    <row r="6175" customHeight="1" spans="2:2">
      <c r="B6175" s="62" t="str">
        <f>IF(AND('领用录入（明细）'!D:D=$F$4,'领用录入（明细）'!C:C&gt;=$J$4,'领用录入（明细）'!C:C&lt;=$L$4),ROW(),"-")</f>
        <v>-</v>
      </c>
    </row>
    <row r="6176" customHeight="1" spans="2:2">
      <c r="B6176" s="62" t="str">
        <f>IF(AND('领用录入（明细）'!D:D=$F$4,'领用录入（明细）'!C:C&gt;=$J$4,'领用录入（明细）'!C:C&lt;=$L$4),ROW(),"-")</f>
        <v>-</v>
      </c>
    </row>
    <row r="6177" customHeight="1" spans="2:2">
      <c r="B6177" s="62" t="str">
        <f>IF(AND('领用录入（明细）'!D:D=$F$4,'领用录入（明细）'!C:C&gt;=$J$4,'领用录入（明细）'!C:C&lt;=$L$4),ROW(),"-")</f>
        <v>-</v>
      </c>
    </row>
    <row r="6178" customHeight="1" spans="2:2">
      <c r="B6178" s="62" t="str">
        <f>IF(AND('领用录入（明细）'!D:D=$F$4,'领用录入（明细）'!C:C&gt;=$J$4,'领用录入（明细）'!C:C&lt;=$L$4),ROW(),"-")</f>
        <v>-</v>
      </c>
    </row>
    <row r="6179" customHeight="1" spans="2:2">
      <c r="B6179" s="62" t="str">
        <f>IF(AND('领用录入（明细）'!D:D=$F$4,'领用录入（明细）'!C:C&gt;=$J$4,'领用录入（明细）'!C:C&lt;=$L$4),ROW(),"-")</f>
        <v>-</v>
      </c>
    </row>
    <row r="6180" customHeight="1" spans="2:2">
      <c r="B6180" s="62" t="str">
        <f>IF(AND('领用录入（明细）'!D:D=$F$4,'领用录入（明细）'!C:C&gt;=$J$4,'领用录入（明细）'!C:C&lt;=$L$4),ROW(),"-")</f>
        <v>-</v>
      </c>
    </row>
    <row r="6181" customHeight="1" spans="2:2">
      <c r="B6181" s="62" t="str">
        <f>IF(AND('领用录入（明细）'!D:D=$F$4,'领用录入（明细）'!C:C&gt;=$J$4,'领用录入（明细）'!C:C&lt;=$L$4),ROW(),"-")</f>
        <v>-</v>
      </c>
    </row>
    <row r="6182" customHeight="1" spans="2:2">
      <c r="B6182" s="62" t="str">
        <f>IF(AND('领用录入（明细）'!D:D=$F$4,'领用录入（明细）'!C:C&gt;=$J$4,'领用录入（明细）'!C:C&lt;=$L$4),ROW(),"-")</f>
        <v>-</v>
      </c>
    </row>
    <row r="6183" customHeight="1" spans="2:2">
      <c r="B6183" s="62" t="str">
        <f>IF(AND('领用录入（明细）'!D:D=$F$4,'领用录入（明细）'!C:C&gt;=$J$4,'领用录入（明细）'!C:C&lt;=$L$4),ROW(),"-")</f>
        <v>-</v>
      </c>
    </row>
    <row r="6184" customHeight="1" spans="2:2">
      <c r="B6184" s="62" t="str">
        <f>IF(AND('领用录入（明细）'!D:D=$F$4,'领用录入（明细）'!C:C&gt;=$J$4,'领用录入（明细）'!C:C&lt;=$L$4),ROW(),"-")</f>
        <v>-</v>
      </c>
    </row>
    <row r="6185" customHeight="1" spans="2:2">
      <c r="B6185" s="62" t="str">
        <f>IF(AND('领用录入（明细）'!D:D=$F$4,'领用录入（明细）'!C:C&gt;=$J$4,'领用录入（明细）'!C:C&lt;=$L$4),ROW(),"-")</f>
        <v>-</v>
      </c>
    </row>
    <row r="6186" customHeight="1" spans="2:2">
      <c r="B6186" s="62" t="str">
        <f>IF(AND('领用录入（明细）'!D:D=$F$4,'领用录入（明细）'!C:C&gt;=$J$4,'领用录入（明细）'!C:C&lt;=$L$4),ROW(),"-")</f>
        <v>-</v>
      </c>
    </row>
    <row r="6187" customHeight="1" spans="2:2">
      <c r="B6187" s="62" t="str">
        <f>IF(AND('领用录入（明细）'!D:D=$F$4,'领用录入（明细）'!C:C&gt;=$J$4,'领用录入（明细）'!C:C&lt;=$L$4),ROW(),"-")</f>
        <v>-</v>
      </c>
    </row>
    <row r="6188" customHeight="1" spans="2:2">
      <c r="B6188" s="62" t="str">
        <f>IF(AND('领用录入（明细）'!D:D=$F$4,'领用录入（明细）'!C:C&gt;=$J$4,'领用录入（明细）'!C:C&lt;=$L$4),ROW(),"-")</f>
        <v>-</v>
      </c>
    </row>
    <row r="6189" customHeight="1" spans="2:2">
      <c r="B6189" s="62" t="str">
        <f>IF(AND('领用录入（明细）'!D:D=$F$4,'领用录入（明细）'!C:C&gt;=$J$4,'领用录入（明细）'!C:C&lt;=$L$4),ROW(),"-")</f>
        <v>-</v>
      </c>
    </row>
    <row r="6190" customHeight="1" spans="2:2">
      <c r="B6190" s="62" t="str">
        <f>IF(AND('领用录入（明细）'!D:D=$F$4,'领用录入（明细）'!C:C&gt;=$J$4,'领用录入（明细）'!C:C&lt;=$L$4),ROW(),"-")</f>
        <v>-</v>
      </c>
    </row>
    <row r="6191" customHeight="1" spans="2:2">
      <c r="B6191" s="62" t="str">
        <f>IF(AND('领用录入（明细）'!D:D=$F$4,'领用录入（明细）'!C:C&gt;=$J$4,'领用录入（明细）'!C:C&lt;=$L$4),ROW(),"-")</f>
        <v>-</v>
      </c>
    </row>
    <row r="6192" customHeight="1" spans="2:2">
      <c r="B6192" s="62" t="str">
        <f>IF(AND('领用录入（明细）'!D:D=$F$4,'领用录入（明细）'!C:C&gt;=$J$4,'领用录入（明细）'!C:C&lt;=$L$4),ROW(),"-")</f>
        <v>-</v>
      </c>
    </row>
    <row r="6193" customHeight="1" spans="2:2">
      <c r="B6193" s="62" t="str">
        <f>IF(AND('领用录入（明细）'!D:D=$F$4,'领用录入（明细）'!C:C&gt;=$J$4,'领用录入（明细）'!C:C&lt;=$L$4),ROW(),"-")</f>
        <v>-</v>
      </c>
    </row>
    <row r="6194" customHeight="1" spans="2:2">
      <c r="B6194" s="62" t="str">
        <f>IF(AND('领用录入（明细）'!D:D=$F$4,'领用录入（明细）'!C:C&gt;=$J$4,'领用录入（明细）'!C:C&lt;=$L$4),ROW(),"-")</f>
        <v>-</v>
      </c>
    </row>
    <row r="6195" customHeight="1" spans="2:2">
      <c r="B6195" s="62" t="str">
        <f>IF(AND('领用录入（明细）'!D:D=$F$4,'领用录入（明细）'!C:C&gt;=$J$4,'领用录入（明细）'!C:C&lt;=$L$4),ROW(),"-")</f>
        <v>-</v>
      </c>
    </row>
    <row r="6196" customHeight="1" spans="2:2">
      <c r="B6196" s="62" t="str">
        <f>IF(AND('领用录入（明细）'!D:D=$F$4,'领用录入（明细）'!C:C&gt;=$J$4,'领用录入（明细）'!C:C&lt;=$L$4),ROW(),"-")</f>
        <v>-</v>
      </c>
    </row>
    <row r="6197" customHeight="1" spans="2:2">
      <c r="B6197" s="62" t="str">
        <f>IF(AND('领用录入（明细）'!D:D=$F$4,'领用录入（明细）'!C:C&gt;=$J$4,'领用录入（明细）'!C:C&lt;=$L$4),ROW(),"-")</f>
        <v>-</v>
      </c>
    </row>
    <row r="6198" customHeight="1" spans="2:2">
      <c r="B6198" s="62" t="str">
        <f>IF(AND('领用录入（明细）'!D:D=$F$4,'领用录入（明细）'!C:C&gt;=$J$4,'领用录入（明细）'!C:C&lt;=$L$4),ROW(),"-")</f>
        <v>-</v>
      </c>
    </row>
    <row r="6199" customHeight="1" spans="2:2">
      <c r="B6199" s="62" t="str">
        <f>IF(AND('领用录入（明细）'!D:D=$F$4,'领用录入（明细）'!C:C&gt;=$J$4,'领用录入（明细）'!C:C&lt;=$L$4),ROW(),"-")</f>
        <v>-</v>
      </c>
    </row>
    <row r="6200" customHeight="1" spans="2:2">
      <c r="B6200" s="62" t="str">
        <f>IF(AND('领用录入（明细）'!D:D=$F$4,'领用录入（明细）'!C:C&gt;=$J$4,'领用录入（明细）'!C:C&lt;=$L$4),ROW(),"-")</f>
        <v>-</v>
      </c>
    </row>
    <row r="6201" customHeight="1" spans="2:2">
      <c r="B6201" s="62" t="str">
        <f>IF(AND('领用录入（明细）'!D:D=$F$4,'领用录入（明细）'!C:C&gt;=$J$4,'领用录入（明细）'!C:C&lt;=$L$4),ROW(),"-")</f>
        <v>-</v>
      </c>
    </row>
    <row r="6202" customHeight="1" spans="2:2">
      <c r="B6202" s="62" t="str">
        <f>IF(AND('领用录入（明细）'!D:D=$F$4,'领用录入（明细）'!C:C&gt;=$J$4,'领用录入（明细）'!C:C&lt;=$L$4),ROW(),"-")</f>
        <v>-</v>
      </c>
    </row>
    <row r="6203" customHeight="1" spans="2:2">
      <c r="B6203" s="62" t="str">
        <f>IF(AND('领用录入（明细）'!D:D=$F$4,'领用录入（明细）'!C:C&gt;=$J$4,'领用录入（明细）'!C:C&lt;=$L$4),ROW(),"-")</f>
        <v>-</v>
      </c>
    </row>
    <row r="6204" customHeight="1" spans="2:2">
      <c r="B6204" s="62" t="str">
        <f>IF(AND('领用录入（明细）'!D:D=$F$4,'领用录入（明细）'!C:C&gt;=$J$4,'领用录入（明细）'!C:C&lt;=$L$4),ROW(),"-")</f>
        <v>-</v>
      </c>
    </row>
    <row r="6205" customHeight="1" spans="2:2">
      <c r="B6205" s="62" t="str">
        <f>IF(AND('领用录入（明细）'!D:D=$F$4,'领用录入（明细）'!C:C&gt;=$J$4,'领用录入（明细）'!C:C&lt;=$L$4),ROW(),"-")</f>
        <v>-</v>
      </c>
    </row>
    <row r="6206" customHeight="1" spans="2:2">
      <c r="B6206" s="62" t="str">
        <f>IF(AND('领用录入（明细）'!D:D=$F$4,'领用录入（明细）'!C:C&gt;=$J$4,'领用录入（明细）'!C:C&lt;=$L$4),ROW(),"-")</f>
        <v>-</v>
      </c>
    </row>
    <row r="6207" customHeight="1" spans="2:2">
      <c r="B6207" s="62" t="str">
        <f>IF(AND('领用录入（明细）'!D:D=$F$4,'领用录入（明细）'!C:C&gt;=$J$4,'领用录入（明细）'!C:C&lt;=$L$4),ROW(),"-")</f>
        <v>-</v>
      </c>
    </row>
    <row r="6208" customHeight="1" spans="2:2">
      <c r="B6208" s="62" t="str">
        <f>IF(AND('领用录入（明细）'!D:D=$F$4,'领用录入（明细）'!C:C&gt;=$J$4,'领用录入（明细）'!C:C&lt;=$L$4),ROW(),"-")</f>
        <v>-</v>
      </c>
    </row>
    <row r="6209" customHeight="1" spans="2:2">
      <c r="B6209" s="62" t="str">
        <f>IF(AND('领用录入（明细）'!D:D=$F$4,'领用录入（明细）'!C:C&gt;=$J$4,'领用录入（明细）'!C:C&lt;=$L$4),ROW(),"-")</f>
        <v>-</v>
      </c>
    </row>
    <row r="6210" customHeight="1" spans="2:2">
      <c r="B6210" s="62" t="str">
        <f>IF(AND('领用录入（明细）'!D:D=$F$4,'领用录入（明细）'!C:C&gt;=$J$4,'领用录入（明细）'!C:C&lt;=$L$4),ROW(),"-")</f>
        <v>-</v>
      </c>
    </row>
    <row r="6211" customHeight="1" spans="2:2">
      <c r="B6211" s="62" t="str">
        <f>IF(AND('领用录入（明细）'!D:D=$F$4,'领用录入（明细）'!C:C&gt;=$J$4,'领用录入（明细）'!C:C&lt;=$L$4),ROW(),"-")</f>
        <v>-</v>
      </c>
    </row>
    <row r="6212" customHeight="1" spans="2:2">
      <c r="B6212" s="62" t="str">
        <f>IF(AND('领用录入（明细）'!D:D=$F$4,'领用录入（明细）'!C:C&gt;=$J$4,'领用录入（明细）'!C:C&lt;=$L$4),ROW(),"-")</f>
        <v>-</v>
      </c>
    </row>
    <row r="6213" customHeight="1" spans="2:2">
      <c r="B6213" s="62" t="str">
        <f>IF(AND('领用录入（明细）'!D:D=$F$4,'领用录入（明细）'!C:C&gt;=$J$4,'领用录入（明细）'!C:C&lt;=$L$4),ROW(),"-")</f>
        <v>-</v>
      </c>
    </row>
    <row r="6214" customHeight="1" spans="2:2">
      <c r="B6214" s="62" t="str">
        <f>IF(AND('领用录入（明细）'!D:D=$F$4,'领用录入（明细）'!C:C&gt;=$J$4,'领用录入（明细）'!C:C&lt;=$L$4),ROW(),"-")</f>
        <v>-</v>
      </c>
    </row>
    <row r="6215" customHeight="1" spans="2:2">
      <c r="B6215" s="62" t="str">
        <f>IF(AND('领用录入（明细）'!D:D=$F$4,'领用录入（明细）'!C:C&gt;=$J$4,'领用录入（明细）'!C:C&lt;=$L$4),ROW(),"-")</f>
        <v>-</v>
      </c>
    </row>
    <row r="6216" customHeight="1" spans="2:2">
      <c r="B6216" s="62" t="str">
        <f>IF(AND('领用录入（明细）'!D:D=$F$4,'领用录入（明细）'!C:C&gt;=$J$4,'领用录入（明细）'!C:C&lt;=$L$4),ROW(),"-")</f>
        <v>-</v>
      </c>
    </row>
    <row r="6217" customHeight="1" spans="2:2">
      <c r="B6217" s="62" t="str">
        <f>IF(AND('领用录入（明细）'!D:D=$F$4,'领用录入（明细）'!C:C&gt;=$J$4,'领用录入（明细）'!C:C&lt;=$L$4),ROW(),"-")</f>
        <v>-</v>
      </c>
    </row>
    <row r="6218" customHeight="1" spans="2:2">
      <c r="B6218" s="62" t="str">
        <f>IF(AND('领用录入（明细）'!D:D=$F$4,'领用录入（明细）'!C:C&gt;=$J$4,'领用录入（明细）'!C:C&lt;=$L$4),ROW(),"-")</f>
        <v>-</v>
      </c>
    </row>
    <row r="6219" customHeight="1" spans="2:2">
      <c r="B6219" s="62" t="str">
        <f>IF(AND('领用录入（明细）'!D:D=$F$4,'领用录入（明细）'!C:C&gt;=$J$4,'领用录入（明细）'!C:C&lt;=$L$4),ROW(),"-")</f>
        <v>-</v>
      </c>
    </row>
    <row r="6220" customHeight="1" spans="2:2">
      <c r="B6220" s="62" t="str">
        <f>IF(AND('领用录入（明细）'!D:D=$F$4,'领用录入（明细）'!C:C&gt;=$J$4,'领用录入（明细）'!C:C&lt;=$L$4),ROW(),"-")</f>
        <v>-</v>
      </c>
    </row>
    <row r="6221" customHeight="1" spans="2:2">
      <c r="B6221" s="62" t="str">
        <f>IF(AND('领用录入（明细）'!D:D=$F$4,'领用录入（明细）'!C:C&gt;=$J$4,'领用录入（明细）'!C:C&lt;=$L$4),ROW(),"-")</f>
        <v>-</v>
      </c>
    </row>
    <row r="6222" customHeight="1" spans="2:2">
      <c r="B6222" s="62" t="str">
        <f>IF(AND('领用录入（明细）'!D:D=$F$4,'领用录入（明细）'!C:C&gt;=$J$4,'领用录入（明细）'!C:C&lt;=$L$4),ROW(),"-")</f>
        <v>-</v>
      </c>
    </row>
    <row r="6223" customHeight="1" spans="2:2">
      <c r="B6223" s="62" t="str">
        <f>IF(AND('领用录入（明细）'!D:D=$F$4,'领用录入（明细）'!C:C&gt;=$J$4,'领用录入（明细）'!C:C&lt;=$L$4),ROW(),"-")</f>
        <v>-</v>
      </c>
    </row>
    <row r="6224" customHeight="1" spans="2:2">
      <c r="B6224" s="62" t="str">
        <f>IF(AND('领用录入（明细）'!D:D=$F$4,'领用录入（明细）'!C:C&gt;=$J$4,'领用录入（明细）'!C:C&lt;=$L$4),ROW(),"-")</f>
        <v>-</v>
      </c>
    </row>
    <row r="6225" customHeight="1" spans="2:2">
      <c r="B6225" s="62" t="str">
        <f>IF(AND('领用录入（明细）'!D:D=$F$4,'领用录入（明细）'!C:C&gt;=$J$4,'领用录入（明细）'!C:C&lt;=$L$4),ROW(),"-")</f>
        <v>-</v>
      </c>
    </row>
    <row r="6226" customHeight="1" spans="2:2">
      <c r="B6226" s="62" t="str">
        <f>IF(AND('领用录入（明细）'!D:D=$F$4,'领用录入（明细）'!C:C&gt;=$J$4,'领用录入（明细）'!C:C&lt;=$L$4),ROW(),"-")</f>
        <v>-</v>
      </c>
    </row>
    <row r="6227" customHeight="1" spans="2:2">
      <c r="B6227" s="62" t="str">
        <f>IF(AND('领用录入（明细）'!D:D=$F$4,'领用录入（明细）'!C:C&gt;=$J$4,'领用录入（明细）'!C:C&lt;=$L$4),ROW(),"-")</f>
        <v>-</v>
      </c>
    </row>
    <row r="6228" customHeight="1" spans="2:2">
      <c r="B6228" s="62" t="str">
        <f>IF(AND('领用录入（明细）'!D:D=$F$4,'领用录入（明细）'!C:C&gt;=$J$4,'领用录入（明细）'!C:C&lt;=$L$4),ROW(),"-")</f>
        <v>-</v>
      </c>
    </row>
    <row r="6229" customHeight="1" spans="2:2">
      <c r="B6229" s="62" t="str">
        <f>IF(AND('领用录入（明细）'!D:D=$F$4,'领用录入（明细）'!C:C&gt;=$J$4,'领用录入（明细）'!C:C&lt;=$L$4),ROW(),"-")</f>
        <v>-</v>
      </c>
    </row>
    <row r="6230" customHeight="1" spans="2:2">
      <c r="B6230" s="62" t="str">
        <f>IF(AND('领用录入（明细）'!D:D=$F$4,'领用录入（明细）'!C:C&gt;=$J$4,'领用录入（明细）'!C:C&lt;=$L$4),ROW(),"-")</f>
        <v>-</v>
      </c>
    </row>
    <row r="6231" customHeight="1" spans="2:2">
      <c r="B6231" s="62" t="str">
        <f>IF(AND('领用录入（明细）'!D:D=$F$4,'领用录入（明细）'!C:C&gt;=$J$4,'领用录入（明细）'!C:C&lt;=$L$4),ROW(),"-")</f>
        <v>-</v>
      </c>
    </row>
    <row r="6232" customHeight="1" spans="2:2">
      <c r="B6232" s="62" t="str">
        <f>IF(AND('领用录入（明细）'!D:D=$F$4,'领用录入（明细）'!C:C&gt;=$J$4,'领用录入（明细）'!C:C&lt;=$L$4),ROW(),"-")</f>
        <v>-</v>
      </c>
    </row>
    <row r="6233" customHeight="1" spans="2:2">
      <c r="B6233" s="62" t="str">
        <f>IF(AND('领用录入（明细）'!D:D=$F$4,'领用录入（明细）'!C:C&gt;=$J$4,'领用录入（明细）'!C:C&lt;=$L$4),ROW(),"-")</f>
        <v>-</v>
      </c>
    </row>
    <row r="6234" customHeight="1" spans="2:2">
      <c r="B6234" s="62" t="str">
        <f>IF(AND('领用录入（明细）'!D:D=$F$4,'领用录入（明细）'!C:C&gt;=$J$4,'领用录入（明细）'!C:C&lt;=$L$4),ROW(),"-")</f>
        <v>-</v>
      </c>
    </row>
    <row r="6235" customHeight="1" spans="2:2">
      <c r="B6235" s="62" t="str">
        <f>IF(AND('领用录入（明细）'!D:D=$F$4,'领用录入（明细）'!C:C&gt;=$J$4,'领用录入（明细）'!C:C&lt;=$L$4),ROW(),"-")</f>
        <v>-</v>
      </c>
    </row>
    <row r="6236" customHeight="1" spans="2:2">
      <c r="B6236" s="62" t="str">
        <f>IF(AND('领用录入（明细）'!D:D=$F$4,'领用录入（明细）'!C:C&gt;=$J$4,'领用录入（明细）'!C:C&lt;=$L$4),ROW(),"-")</f>
        <v>-</v>
      </c>
    </row>
    <row r="6237" customHeight="1" spans="2:2">
      <c r="B6237" s="62" t="str">
        <f>IF(AND('领用录入（明细）'!D:D=$F$4,'领用录入（明细）'!C:C&gt;=$J$4,'领用录入（明细）'!C:C&lt;=$L$4),ROW(),"-")</f>
        <v>-</v>
      </c>
    </row>
    <row r="6238" customHeight="1" spans="2:2">
      <c r="B6238" s="62" t="str">
        <f>IF(AND('领用录入（明细）'!D:D=$F$4,'领用录入（明细）'!C:C&gt;=$J$4,'领用录入（明细）'!C:C&lt;=$L$4),ROW(),"-")</f>
        <v>-</v>
      </c>
    </row>
    <row r="6239" customHeight="1" spans="2:2">
      <c r="B6239" s="62" t="str">
        <f>IF(AND('领用录入（明细）'!D:D=$F$4,'领用录入（明细）'!C:C&gt;=$J$4,'领用录入（明细）'!C:C&lt;=$L$4),ROW(),"-")</f>
        <v>-</v>
      </c>
    </row>
    <row r="6240" customHeight="1" spans="2:2">
      <c r="B6240" s="62" t="str">
        <f>IF(AND('领用录入（明细）'!D:D=$F$4,'领用录入（明细）'!C:C&gt;=$J$4,'领用录入（明细）'!C:C&lt;=$L$4),ROW(),"-")</f>
        <v>-</v>
      </c>
    </row>
    <row r="6241" customHeight="1" spans="2:2">
      <c r="B6241" s="62" t="str">
        <f>IF(AND('领用录入（明细）'!D:D=$F$4,'领用录入（明细）'!C:C&gt;=$J$4,'领用录入（明细）'!C:C&lt;=$L$4),ROW(),"-")</f>
        <v>-</v>
      </c>
    </row>
    <row r="6242" customHeight="1" spans="2:2">
      <c r="B6242" s="62" t="str">
        <f>IF(AND('领用录入（明细）'!D:D=$F$4,'领用录入（明细）'!C:C&gt;=$J$4,'领用录入（明细）'!C:C&lt;=$L$4),ROW(),"-")</f>
        <v>-</v>
      </c>
    </row>
    <row r="6243" customHeight="1" spans="2:2">
      <c r="B6243" s="62" t="str">
        <f>IF(AND('领用录入（明细）'!D:D=$F$4,'领用录入（明细）'!C:C&gt;=$J$4,'领用录入（明细）'!C:C&lt;=$L$4),ROW(),"-")</f>
        <v>-</v>
      </c>
    </row>
    <row r="6244" customHeight="1" spans="2:2">
      <c r="B6244" s="62" t="str">
        <f>IF(AND('领用录入（明细）'!D:D=$F$4,'领用录入（明细）'!C:C&gt;=$J$4,'领用录入（明细）'!C:C&lt;=$L$4),ROW(),"-")</f>
        <v>-</v>
      </c>
    </row>
    <row r="6245" customHeight="1" spans="2:2">
      <c r="B6245" s="62" t="str">
        <f>IF(AND('领用录入（明细）'!D:D=$F$4,'领用录入（明细）'!C:C&gt;=$J$4,'领用录入（明细）'!C:C&lt;=$L$4),ROW(),"-")</f>
        <v>-</v>
      </c>
    </row>
    <row r="6246" customHeight="1" spans="2:2">
      <c r="B6246" s="62" t="str">
        <f>IF(AND('领用录入（明细）'!D:D=$F$4,'领用录入（明细）'!C:C&gt;=$J$4,'领用录入（明细）'!C:C&lt;=$L$4),ROW(),"-")</f>
        <v>-</v>
      </c>
    </row>
    <row r="6247" customHeight="1" spans="2:2">
      <c r="B6247" s="62" t="str">
        <f>IF(AND('领用录入（明细）'!D:D=$F$4,'领用录入（明细）'!C:C&gt;=$J$4,'领用录入（明细）'!C:C&lt;=$L$4),ROW(),"-")</f>
        <v>-</v>
      </c>
    </row>
    <row r="6248" customHeight="1" spans="2:2">
      <c r="B6248" s="62" t="str">
        <f>IF(AND('领用录入（明细）'!D:D=$F$4,'领用录入（明细）'!C:C&gt;=$J$4,'领用录入（明细）'!C:C&lt;=$L$4),ROW(),"-")</f>
        <v>-</v>
      </c>
    </row>
    <row r="6249" customHeight="1" spans="2:2">
      <c r="B6249" s="62" t="str">
        <f>IF(AND('领用录入（明细）'!D:D=$F$4,'领用录入（明细）'!C:C&gt;=$J$4,'领用录入（明细）'!C:C&lt;=$L$4),ROW(),"-")</f>
        <v>-</v>
      </c>
    </row>
    <row r="6250" customHeight="1" spans="2:2">
      <c r="B6250" s="62" t="str">
        <f>IF(AND('领用录入（明细）'!D:D=$F$4,'领用录入（明细）'!C:C&gt;=$J$4,'领用录入（明细）'!C:C&lt;=$L$4),ROW(),"-")</f>
        <v>-</v>
      </c>
    </row>
    <row r="6251" customHeight="1" spans="2:2">
      <c r="B6251" s="62" t="str">
        <f>IF(AND('领用录入（明细）'!D:D=$F$4,'领用录入（明细）'!C:C&gt;=$J$4,'领用录入（明细）'!C:C&lt;=$L$4),ROW(),"-")</f>
        <v>-</v>
      </c>
    </row>
    <row r="6252" customHeight="1" spans="2:2">
      <c r="B6252" s="62" t="str">
        <f>IF(AND('领用录入（明细）'!D:D=$F$4,'领用录入（明细）'!C:C&gt;=$J$4,'领用录入（明细）'!C:C&lt;=$L$4),ROW(),"-")</f>
        <v>-</v>
      </c>
    </row>
    <row r="6253" customHeight="1" spans="2:2">
      <c r="B6253" s="62" t="str">
        <f>IF(AND('领用录入（明细）'!D:D=$F$4,'领用录入（明细）'!C:C&gt;=$J$4,'领用录入（明细）'!C:C&lt;=$L$4),ROW(),"-")</f>
        <v>-</v>
      </c>
    </row>
    <row r="6254" customHeight="1" spans="2:2">
      <c r="B6254" s="62" t="str">
        <f>IF(AND('领用录入（明细）'!D:D=$F$4,'领用录入（明细）'!C:C&gt;=$J$4,'领用录入（明细）'!C:C&lt;=$L$4),ROW(),"-")</f>
        <v>-</v>
      </c>
    </row>
    <row r="6255" customHeight="1" spans="2:2">
      <c r="B6255" s="62" t="str">
        <f>IF(AND('领用录入（明细）'!D:D=$F$4,'领用录入（明细）'!C:C&gt;=$J$4,'领用录入（明细）'!C:C&lt;=$L$4),ROW(),"-")</f>
        <v>-</v>
      </c>
    </row>
    <row r="6256" customHeight="1" spans="2:2">
      <c r="B6256" s="62" t="str">
        <f>IF(AND('领用录入（明细）'!D:D=$F$4,'领用录入（明细）'!C:C&gt;=$J$4,'领用录入（明细）'!C:C&lt;=$L$4),ROW(),"-")</f>
        <v>-</v>
      </c>
    </row>
    <row r="6257" customHeight="1" spans="2:2">
      <c r="B6257" s="62" t="str">
        <f>IF(AND('领用录入（明细）'!D:D=$F$4,'领用录入（明细）'!C:C&gt;=$J$4,'领用录入（明细）'!C:C&lt;=$L$4),ROW(),"-")</f>
        <v>-</v>
      </c>
    </row>
    <row r="6258" customHeight="1" spans="2:2">
      <c r="B6258" s="62" t="str">
        <f>IF(AND('领用录入（明细）'!D:D=$F$4,'领用录入（明细）'!C:C&gt;=$J$4,'领用录入（明细）'!C:C&lt;=$L$4),ROW(),"-")</f>
        <v>-</v>
      </c>
    </row>
    <row r="6259" customHeight="1" spans="2:2">
      <c r="B6259" s="62" t="str">
        <f>IF(AND('领用录入（明细）'!D:D=$F$4,'领用录入（明细）'!C:C&gt;=$J$4,'领用录入（明细）'!C:C&lt;=$L$4),ROW(),"-")</f>
        <v>-</v>
      </c>
    </row>
    <row r="6260" customHeight="1" spans="2:2">
      <c r="B6260" s="62" t="str">
        <f>IF(AND('领用录入（明细）'!D:D=$F$4,'领用录入（明细）'!C:C&gt;=$J$4,'领用录入（明细）'!C:C&lt;=$L$4),ROW(),"-")</f>
        <v>-</v>
      </c>
    </row>
    <row r="6261" customHeight="1" spans="2:2">
      <c r="B6261" s="62" t="str">
        <f>IF(AND('领用录入（明细）'!D:D=$F$4,'领用录入（明细）'!C:C&gt;=$J$4,'领用录入（明细）'!C:C&lt;=$L$4),ROW(),"-")</f>
        <v>-</v>
      </c>
    </row>
    <row r="6262" customHeight="1" spans="2:2">
      <c r="B6262" s="62" t="str">
        <f>IF(AND('领用录入（明细）'!D:D=$F$4,'领用录入（明细）'!C:C&gt;=$J$4,'领用录入（明细）'!C:C&lt;=$L$4),ROW(),"-")</f>
        <v>-</v>
      </c>
    </row>
    <row r="6263" customHeight="1" spans="2:2">
      <c r="B6263" s="62" t="str">
        <f>IF(AND('领用录入（明细）'!D:D=$F$4,'领用录入（明细）'!C:C&gt;=$J$4,'领用录入（明细）'!C:C&lt;=$L$4),ROW(),"-")</f>
        <v>-</v>
      </c>
    </row>
    <row r="6264" customHeight="1" spans="2:2">
      <c r="B6264" s="62" t="str">
        <f>IF(AND('领用录入（明细）'!D:D=$F$4,'领用录入（明细）'!C:C&gt;=$J$4,'领用录入（明细）'!C:C&lt;=$L$4),ROW(),"-")</f>
        <v>-</v>
      </c>
    </row>
    <row r="6265" customHeight="1" spans="2:2">
      <c r="B6265" s="62" t="str">
        <f>IF(AND('领用录入（明细）'!D:D=$F$4,'领用录入（明细）'!C:C&gt;=$J$4,'领用录入（明细）'!C:C&lt;=$L$4),ROW(),"-")</f>
        <v>-</v>
      </c>
    </row>
    <row r="6266" customHeight="1" spans="2:2">
      <c r="B6266" s="62" t="str">
        <f>IF(AND('领用录入（明细）'!D:D=$F$4,'领用录入（明细）'!C:C&gt;=$J$4,'领用录入（明细）'!C:C&lt;=$L$4),ROW(),"-")</f>
        <v>-</v>
      </c>
    </row>
    <row r="6267" customHeight="1" spans="2:2">
      <c r="B6267" s="62" t="str">
        <f>IF(AND('领用录入（明细）'!D:D=$F$4,'领用录入（明细）'!C:C&gt;=$J$4,'领用录入（明细）'!C:C&lt;=$L$4),ROW(),"-")</f>
        <v>-</v>
      </c>
    </row>
    <row r="6268" customHeight="1" spans="2:2">
      <c r="B6268" s="62" t="str">
        <f>IF(AND('领用录入（明细）'!D:D=$F$4,'领用录入（明细）'!C:C&gt;=$J$4,'领用录入（明细）'!C:C&lt;=$L$4),ROW(),"-")</f>
        <v>-</v>
      </c>
    </row>
    <row r="6269" customHeight="1" spans="2:2">
      <c r="B6269" s="62" t="str">
        <f>IF(AND('领用录入（明细）'!D:D=$F$4,'领用录入（明细）'!C:C&gt;=$J$4,'领用录入（明细）'!C:C&lt;=$L$4),ROW(),"-")</f>
        <v>-</v>
      </c>
    </row>
    <row r="6270" customHeight="1" spans="2:2">
      <c r="B6270" s="62" t="str">
        <f>IF(AND('领用录入（明细）'!D:D=$F$4,'领用录入（明细）'!C:C&gt;=$J$4,'领用录入（明细）'!C:C&lt;=$L$4),ROW(),"-")</f>
        <v>-</v>
      </c>
    </row>
    <row r="6271" customHeight="1" spans="2:2">
      <c r="B6271" s="62" t="str">
        <f>IF(AND('领用录入（明细）'!D:D=$F$4,'领用录入（明细）'!C:C&gt;=$J$4,'领用录入（明细）'!C:C&lt;=$L$4),ROW(),"-")</f>
        <v>-</v>
      </c>
    </row>
    <row r="6272" customHeight="1" spans="2:2">
      <c r="B6272" s="62" t="str">
        <f>IF(AND('领用录入（明细）'!D:D=$F$4,'领用录入（明细）'!C:C&gt;=$J$4,'领用录入（明细）'!C:C&lt;=$L$4),ROW(),"-")</f>
        <v>-</v>
      </c>
    </row>
    <row r="6273" customHeight="1" spans="2:2">
      <c r="B6273" s="62" t="str">
        <f>IF(AND('领用录入（明细）'!D:D=$F$4,'领用录入（明细）'!C:C&gt;=$J$4,'领用录入（明细）'!C:C&lt;=$L$4),ROW(),"-")</f>
        <v>-</v>
      </c>
    </row>
    <row r="6274" customHeight="1" spans="2:2">
      <c r="B6274" s="62" t="str">
        <f>IF(AND('领用录入（明细）'!D:D=$F$4,'领用录入（明细）'!C:C&gt;=$J$4,'领用录入（明细）'!C:C&lt;=$L$4),ROW(),"-")</f>
        <v>-</v>
      </c>
    </row>
    <row r="6275" customHeight="1" spans="2:2">
      <c r="B6275" s="62" t="str">
        <f>IF(AND('领用录入（明细）'!D:D=$F$4,'领用录入（明细）'!C:C&gt;=$J$4,'领用录入（明细）'!C:C&lt;=$L$4),ROW(),"-")</f>
        <v>-</v>
      </c>
    </row>
    <row r="6276" customHeight="1" spans="2:2">
      <c r="B6276" s="62" t="str">
        <f>IF(AND('领用录入（明细）'!D:D=$F$4,'领用录入（明细）'!C:C&gt;=$J$4,'领用录入（明细）'!C:C&lt;=$L$4),ROW(),"-")</f>
        <v>-</v>
      </c>
    </row>
    <row r="6277" customHeight="1" spans="2:2">
      <c r="B6277" s="62" t="str">
        <f>IF(AND('领用录入（明细）'!D:D=$F$4,'领用录入（明细）'!C:C&gt;=$J$4,'领用录入（明细）'!C:C&lt;=$L$4),ROW(),"-")</f>
        <v>-</v>
      </c>
    </row>
    <row r="6278" customHeight="1" spans="2:2">
      <c r="B6278" s="62" t="str">
        <f>IF(AND('领用录入（明细）'!D:D=$F$4,'领用录入（明细）'!C:C&gt;=$J$4,'领用录入（明细）'!C:C&lt;=$L$4),ROW(),"-")</f>
        <v>-</v>
      </c>
    </row>
    <row r="6279" customHeight="1" spans="2:2">
      <c r="B6279" s="62" t="str">
        <f>IF(AND('领用录入（明细）'!D:D=$F$4,'领用录入（明细）'!C:C&gt;=$J$4,'领用录入（明细）'!C:C&lt;=$L$4),ROW(),"-")</f>
        <v>-</v>
      </c>
    </row>
    <row r="6280" customHeight="1" spans="2:2">
      <c r="B6280" s="62" t="str">
        <f>IF(AND('领用录入（明细）'!D:D=$F$4,'领用录入（明细）'!C:C&gt;=$J$4,'领用录入（明细）'!C:C&lt;=$L$4),ROW(),"-")</f>
        <v>-</v>
      </c>
    </row>
    <row r="6281" customHeight="1" spans="2:2">
      <c r="B6281" s="62" t="str">
        <f>IF(AND('领用录入（明细）'!D:D=$F$4,'领用录入（明细）'!C:C&gt;=$J$4,'领用录入（明细）'!C:C&lt;=$L$4),ROW(),"-")</f>
        <v>-</v>
      </c>
    </row>
    <row r="6282" customHeight="1" spans="2:2">
      <c r="B6282" s="62" t="str">
        <f>IF(AND('领用录入（明细）'!D:D=$F$4,'领用录入（明细）'!C:C&gt;=$J$4,'领用录入（明细）'!C:C&lt;=$L$4),ROW(),"-")</f>
        <v>-</v>
      </c>
    </row>
    <row r="6283" customHeight="1" spans="2:2">
      <c r="B6283" s="62" t="str">
        <f>IF(AND('领用录入（明细）'!D:D=$F$4,'领用录入（明细）'!C:C&gt;=$J$4,'领用录入（明细）'!C:C&lt;=$L$4),ROW(),"-")</f>
        <v>-</v>
      </c>
    </row>
    <row r="6284" customHeight="1" spans="2:2">
      <c r="B6284" s="62" t="str">
        <f>IF(AND('领用录入（明细）'!D:D=$F$4,'领用录入（明细）'!C:C&gt;=$J$4,'领用录入（明细）'!C:C&lt;=$L$4),ROW(),"-")</f>
        <v>-</v>
      </c>
    </row>
    <row r="6285" customHeight="1" spans="2:2">
      <c r="B6285" s="62" t="str">
        <f>IF(AND('领用录入（明细）'!D:D=$F$4,'领用录入（明细）'!C:C&gt;=$J$4,'领用录入（明细）'!C:C&lt;=$L$4),ROW(),"-")</f>
        <v>-</v>
      </c>
    </row>
    <row r="6286" customHeight="1" spans="2:2">
      <c r="B6286" s="62" t="str">
        <f>IF(AND('领用录入（明细）'!D:D=$F$4,'领用录入（明细）'!C:C&gt;=$J$4,'领用录入（明细）'!C:C&lt;=$L$4),ROW(),"-")</f>
        <v>-</v>
      </c>
    </row>
    <row r="6287" customHeight="1" spans="2:2">
      <c r="B6287" s="62" t="str">
        <f>IF(AND('领用录入（明细）'!D:D=$F$4,'领用录入（明细）'!C:C&gt;=$J$4,'领用录入（明细）'!C:C&lt;=$L$4),ROW(),"-")</f>
        <v>-</v>
      </c>
    </row>
    <row r="6288" customHeight="1" spans="2:2">
      <c r="B6288" s="62" t="str">
        <f>IF(AND('领用录入（明细）'!D:D=$F$4,'领用录入（明细）'!C:C&gt;=$J$4,'领用录入（明细）'!C:C&lt;=$L$4),ROW(),"-")</f>
        <v>-</v>
      </c>
    </row>
    <row r="6289" customHeight="1" spans="2:2">
      <c r="B6289" s="62" t="str">
        <f>IF(AND('领用录入（明细）'!D:D=$F$4,'领用录入（明细）'!C:C&gt;=$J$4,'领用录入（明细）'!C:C&lt;=$L$4),ROW(),"-")</f>
        <v>-</v>
      </c>
    </row>
    <row r="6290" customHeight="1" spans="2:2">
      <c r="B6290" s="62" t="str">
        <f>IF(AND('领用录入（明细）'!D:D=$F$4,'领用录入（明细）'!C:C&gt;=$J$4,'领用录入（明细）'!C:C&lt;=$L$4),ROW(),"-")</f>
        <v>-</v>
      </c>
    </row>
    <row r="6291" customHeight="1" spans="2:2">
      <c r="B6291" s="62" t="str">
        <f>IF(AND('领用录入（明细）'!D:D=$F$4,'领用录入（明细）'!C:C&gt;=$J$4,'领用录入（明细）'!C:C&lt;=$L$4),ROW(),"-")</f>
        <v>-</v>
      </c>
    </row>
    <row r="6292" customHeight="1" spans="2:2">
      <c r="B6292" s="62" t="str">
        <f>IF(AND('领用录入（明细）'!D:D=$F$4,'领用录入（明细）'!C:C&gt;=$J$4,'领用录入（明细）'!C:C&lt;=$L$4),ROW(),"-")</f>
        <v>-</v>
      </c>
    </row>
    <row r="6293" customHeight="1" spans="2:2">
      <c r="B6293" s="62" t="str">
        <f>IF(AND('领用录入（明细）'!D:D=$F$4,'领用录入（明细）'!C:C&gt;=$J$4,'领用录入（明细）'!C:C&lt;=$L$4),ROW(),"-")</f>
        <v>-</v>
      </c>
    </row>
    <row r="6294" customHeight="1" spans="2:2">
      <c r="B6294" s="62" t="str">
        <f>IF(AND('领用录入（明细）'!D:D=$F$4,'领用录入（明细）'!C:C&gt;=$J$4,'领用录入（明细）'!C:C&lt;=$L$4),ROW(),"-")</f>
        <v>-</v>
      </c>
    </row>
    <row r="6295" customHeight="1" spans="2:2">
      <c r="B6295" s="62" t="str">
        <f>IF(AND('领用录入（明细）'!D:D=$F$4,'领用录入（明细）'!C:C&gt;=$J$4,'领用录入（明细）'!C:C&lt;=$L$4),ROW(),"-")</f>
        <v>-</v>
      </c>
    </row>
    <row r="6296" customHeight="1" spans="2:2">
      <c r="B6296" s="62" t="str">
        <f>IF(AND('领用录入（明细）'!D:D=$F$4,'领用录入（明细）'!C:C&gt;=$J$4,'领用录入（明细）'!C:C&lt;=$L$4),ROW(),"-")</f>
        <v>-</v>
      </c>
    </row>
    <row r="6297" customHeight="1" spans="2:2">
      <c r="B6297" s="62" t="str">
        <f>IF(AND('领用录入（明细）'!D:D=$F$4,'领用录入（明细）'!C:C&gt;=$J$4,'领用录入（明细）'!C:C&lt;=$L$4),ROW(),"-")</f>
        <v>-</v>
      </c>
    </row>
    <row r="6298" customHeight="1" spans="2:2">
      <c r="B6298" s="62" t="str">
        <f>IF(AND('领用录入（明细）'!D:D=$F$4,'领用录入（明细）'!C:C&gt;=$J$4,'领用录入（明细）'!C:C&lt;=$L$4),ROW(),"-")</f>
        <v>-</v>
      </c>
    </row>
    <row r="6299" customHeight="1" spans="2:2">
      <c r="B6299" s="62" t="str">
        <f>IF(AND('领用录入（明细）'!D:D=$F$4,'领用录入（明细）'!C:C&gt;=$J$4,'领用录入（明细）'!C:C&lt;=$L$4),ROW(),"-")</f>
        <v>-</v>
      </c>
    </row>
    <row r="6300" customHeight="1" spans="2:2">
      <c r="B6300" s="62" t="str">
        <f>IF(AND('领用录入（明细）'!D:D=$F$4,'领用录入（明细）'!C:C&gt;=$J$4,'领用录入（明细）'!C:C&lt;=$L$4),ROW(),"-")</f>
        <v>-</v>
      </c>
    </row>
    <row r="6301" customHeight="1" spans="2:2">
      <c r="B6301" s="62" t="str">
        <f>IF(AND('领用录入（明细）'!D:D=$F$4,'领用录入（明细）'!C:C&gt;=$J$4,'领用录入（明细）'!C:C&lt;=$L$4),ROW(),"-")</f>
        <v>-</v>
      </c>
    </row>
    <row r="6302" customHeight="1" spans="2:2">
      <c r="B6302" s="62" t="str">
        <f>IF(AND('领用录入（明细）'!D:D=$F$4,'领用录入（明细）'!C:C&gt;=$J$4,'领用录入（明细）'!C:C&lt;=$L$4),ROW(),"-")</f>
        <v>-</v>
      </c>
    </row>
    <row r="6303" customHeight="1" spans="2:2">
      <c r="B6303" s="62" t="str">
        <f>IF(AND('领用录入（明细）'!D:D=$F$4,'领用录入（明细）'!C:C&gt;=$J$4,'领用录入（明细）'!C:C&lt;=$L$4),ROW(),"-")</f>
        <v>-</v>
      </c>
    </row>
    <row r="6304" customHeight="1" spans="2:2">
      <c r="B6304" s="62" t="str">
        <f>IF(AND('领用录入（明细）'!D:D=$F$4,'领用录入（明细）'!C:C&gt;=$J$4,'领用录入（明细）'!C:C&lt;=$L$4),ROW(),"-")</f>
        <v>-</v>
      </c>
    </row>
    <row r="6305" customHeight="1" spans="2:2">
      <c r="B6305" s="62" t="str">
        <f>IF(AND('领用录入（明细）'!D:D=$F$4,'领用录入（明细）'!C:C&gt;=$J$4,'领用录入（明细）'!C:C&lt;=$L$4),ROW(),"-")</f>
        <v>-</v>
      </c>
    </row>
    <row r="6306" customHeight="1" spans="2:2">
      <c r="B6306" s="62" t="str">
        <f>IF(AND('领用录入（明细）'!D:D=$F$4,'领用录入（明细）'!C:C&gt;=$J$4,'领用录入（明细）'!C:C&lt;=$L$4),ROW(),"-")</f>
        <v>-</v>
      </c>
    </row>
    <row r="6307" customHeight="1" spans="2:2">
      <c r="B6307" s="62" t="str">
        <f>IF(AND('领用录入（明细）'!D:D=$F$4,'领用录入（明细）'!C:C&gt;=$J$4,'领用录入（明细）'!C:C&lt;=$L$4),ROW(),"-")</f>
        <v>-</v>
      </c>
    </row>
    <row r="6308" customHeight="1" spans="2:2">
      <c r="B6308" s="62" t="str">
        <f>IF(AND('领用录入（明细）'!D:D=$F$4,'领用录入（明细）'!C:C&gt;=$J$4,'领用录入（明细）'!C:C&lt;=$L$4),ROW(),"-")</f>
        <v>-</v>
      </c>
    </row>
    <row r="6309" customHeight="1" spans="2:2">
      <c r="B6309" s="62" t="str">
        <f>IF(AND('领用录入（明细）'!D:D=$F$4,'领用录入（明细）'!C:C&gt;=$J$4,'领用录入（明细）'!C:C&lt;=$L$4),ROW(),"-")</f>
        <v>-</v>
      </c>
    </row>
    <row r="6310" customHeight="1" spans="2:2">
      <c r="B6310" s="62" t="str">
        <f>IF(AND('领用录入（明细）'!D:D=$F$4,'领用录入（明细）'!C:C&gt;=$J$4,'领用录入（明细）'!C:C&lt;=$L$4),ROW(),"-")</f>
        <v>-</v>
      </c>
    </row>
    <row r="6311" customHeight="1" spans="2:2">
      <c r="B6311" s="62" t="str">
        <f>IF(AND('领用录入（明细）'!D:D=$F$4,'领用录入（明细）'!C:C&gt;=$J$4,'领用录入（明细）'!C:C&lt;=$L$4),ROW(),"-")</f>
        <v>-</v>
      </c>
    </row>
    <row r="6312" customHeight="1" spans="2:2">
      <c r="B6312" s="62" t="str">
        <f>IF(AND('领用录入（明细）'!D:D=$F$4,'领用录入（明细）'!C:C&gt;=$J$4,'领用录入（明细）'!C:C&lt;=$L$4),ROW(),"-")</f>
        <v>-</v>
      </c>
    </row>
    <row r="6313" customHeight="1" spans="2:2">
      <c r="B6313" s="62" t="str">
        <f>IF(AND('领用录入（明细）'!D:D=$F$4,'领用录入（明细）'!C:C&gt;=$J$4,'领用录入（明细）'!C:C&lt;=$L$4),ROW(),"-")</f>
        <v>-</v>
      </c>
    </row>
    <row r="6314" customHeight="1" spans="2:2">
      <c r="B6314" s="62" t="str">
        <f>IF(AND('领用录入（明细）'!D:D=$F$4,'领用录入（明细）'!C:C&gt;=$J$4,'领用录入（明细）'!C:C&lt;=$L$4),ROW(),"-")</f>
        <v>-</v>
      </c>
    </row>
    <row r="6315" customHeight="1" spans="2:2">
      <c r="B6315" s="62" t="str">
        <f>IF(AND('领用录入（明细）'!D:D=$F$4,'领用录入（明细）'!C:C&gt;=$J$4,'领用录入（明细）'!C:C&lt;=$L$4),ROW(),"-")</f>
        <v>-</v>
      </c>
    </row>
    <row r="6316" customHeight="1" spans="2:2">
      <c r="B6316" s="62" t="str">
        <f>IF(AND('领用录入（明细）'!D:D=$F$4,'领用录入（明细）'!C:C&gt;=$J$4,'领用录入（明细）'!C:C&lt;=$L$4),ROW(),"-")</f>
        <v>-</v>
      </c>
    </row>
    <row r="6317" customHeight="1" spans="2:2">
      <c r="B6317" s="62" t="str">
        <f>IF(AND('领用录入（明细）'!D:D=$F$4,'领用录入（明细）'!C:C&gt;=$J$4,'领用录入（明细）'!C:C&lt;=$L$4),ROW(),"-")</f>
        <v>-</v>
      </c>
    </row>
    <row r="6318" customHeight="1" spans="2:2">
      <c r="B6318" s="62" t="str">
        <f>IF(AND('领用录入（明细）'!D:D=$F$4,'领用录入（明细）'!C:C&gt;=$J$4,'领用录入（明细）'!C:C&lt;=$L$4),ROW(),"-")</f>
        <v>-</v>
      </c>
    </row>
    <row r="6319" customHeight="1" spans="2:2">
      <c r="B6319" s="62" t="str">
        <f>IF(AND('领用录入（明细）'!D:D=$F$4,'领用录入（明细）'!C:C&gt;=$J$4,'领用录入（明细）'!C:C&lt;=$L$4),ROW(),"-")</f>
        <v>-</v>
      </c>
    </row>
    <row r="6320" customHeight="1" spans="2:2">
      <c r="B6320" s="62" t="str">
        <f>IF(AND('领用录入（明细）'!D:D=$F$4,'领用录入（明细）'!C:C&gt;=$J$4,'领用录入（明细）'!C:C&lt;=$L$4),ROW(),"-")</f>
        <v>-</v>
      </c>
    </row>
    <row r="6321" customHeight="1" spans="2:2">
      <c r="B6321" s="62" t="str">
        <f>IF(AND('领用录入（明细）'!D:D=$F$4,'领用录入（明细）'!C:C&gt;=$J$4,'领用录入（明细）'!C:C&lt;=$L$4),ROW(),"-")</f>
        <v>-</v>
      </c>
    </row>
    <row r="6322" customHeight="1" spans="2:2">
      <c r="B6322" s="62" t="str">
        <f>IF(AND('领用录入（明细）'!D:D=$F$4,'领用录入（明细）'!C:C&gt;=$J$4,'领用录入（明细）'!C:C&lt;=$L$4),ROW(),"-")</f>
        <v>-</v>
      </c>
    </row>
    <row r="6323" customHeight="1" spans="2:2">
      <c r="B6323" s="62" t="str">
        <f>IF(AND('领用录入（明细）'!D:D=$F$4,'领用录入（明细）'!C:C&gt;=$J$4,'领用录入（明细）'!C:C&lt;=$L$4),ROW(),"-")</f>
        <v>-</v>
      </c>
    </row>
    <row r="6324" customHeight="1" spans="2:2">
      <c r="B6324" s="62" t="str">
        <f>IF(AND('领用录入（明细）'!D:D=$F$4,'领用录入（明细）'!C:C&gt;=$J$4,'领用录入（明细）'!C:C&lt;=$L$4),ROW(),"-")</f>
        <v>-</v>
      </c>
    </row>
    <row r="6325" customHeight="1" spans="2:2">
      <c r="B6325" s="62" t="str">
        <f>IF(AND('领用录入（明细）'!D:D=$F$4,'领用录入（明细）'!C:C&gt;=$J$4,'领用录入（明细）'!C:C&lt;=$L$4),ROW(),"-")</f>
        <v>-</v>
      </c>
    </row>
    <row r="6326" customHeight="1" spans="2:2">
      <c r="B6326" s="62" t="str">
        <f>IF(AND('领用录入（明细）'!D:D=$F$4,'领用录入（明细）'!C:C&gt;=$J$4,'领用录入（明细）'!C:C&lt;=$L$4),ROW(),"-")</f>
        <v>-</v>
      </c>
    </row>
    <row r="6327" customHeight="1" spans="2:2">
      <c r="B6327" s="62" t="str">
        <f>IF(AND('领用录入（明细）'!D:D=$F$4,'领用录入（明细）'!C:C&gt;=$J$4,'领用录入（明细）'!C:C&lt;=$L$4),ROW(),"-")</f>
        <v>-</v>
      </c>
    </row>
    <row r="6328" customHeight="1" spans="2:2">
      <c r="B6328" s="62" t="str">
        <f>IF(AND('领用录入（明细）'!D:D=$F$4,'领用录入（明细）'!C:C&gt;=$J$4,'领用录入（明细）'!C:C&lt;=$L$4),ROW(),"-")</f>
        <v>-</v>
      </c>
    </row>
    <row r="6329" customHeight="1" spans="2:2">
      <c r="B6329" s="62" t="str">
        <f>IF(AND('领用录入（明细）'!D:D=$F$4,'领用录入（明细）'!C:C&gt;=$J$4,'领用录入（明细）'!C:C&lt;=$L$4),ROW(),"-")</f>
        <v>-</v>
      </c>
    </row>
    <row r="6330" customHeight="1" spans="2:2">
      <c r="B6330" s="62" t="str">
        <f>IF(AND('领用录入（明细）'!D:D=$F$4,'领用录入（明细）'!C:C&gt;=$J$4,'领用录入（明细）'!C:C&lt;=$L$4),ROW(),"-")</f>
        <v>-</v>
      </c>
    </row>
    <row r="6331" customHeight="1" spans="2:2">
      <c r="B6331" s="62" t="str">
        <f>IF(AND('领用录入（明细）'!D:D=$F$4,'领用录入（明细）'!C:C&gt;=$J$4,'领用录入（明细）'!C:C&lt;=$L$4),ROW(),"-")</f>
        <v>-</v>
      </c>
    </row>
    <row r="6332" customHeight="1" spans="2:2">
      <c r="B6332" s="62" t="str">
        <f>IF(AND('领用录入（明细）'!D:D=$F$4,'领用录入（明细）'!C:C&gt;=$J$4,'领用录入（明细）'!C:C&lt;=$L$4),ROW(),"-")</f>
        <v>-</v>
      </c>
    </row>
    <row r="6333" customHeight="1" spans="2:2">
      <c r="B6333" s="62" t="str">
        <f>IF(AND('领用录入（明细）'!D:D=$F$4,'领用录入（明细）'!C:C&gt;=$J$4,'领用录入（明细）'!C:C&lt;=$L$4),ROW(),"-")</f>
        <v>-</v>
      </c>
    </row>
    <row r="6334" customHeight="1" spans="2:2">
      <c r="B6334" s="62" t="str">
        <f>IF(AND('领用录入（明细）'!D:D=$F$4,'领用录入（明细）'!C:C&gt;=$J$4,'领用录入（明细）'!C:C&lt;=$L$4),ROW(),"-")</f>
        <v>-</v>
      </c>
    </row>
    <row r="6335" customHeight="1" spans="2:2">
      <c r="B6335" s="62" t="str">
        <f>IF(AND('领用录入（明细）'!D:D=$F$4,'领用录入（明细）'!C:C&gt;=$J$4,'领用录入（明细）'!C:C&lt;=$L$4),ROW(),"-")</f>
        <v>-</v>
      </c>
    </row>
    <row r="6336" customHeight="1" spans="2:2">
      <c r="B6336" s="62" t="str">
        <f>IF(AND('领用录入（明细）'!D:D=$F$4,'领用录入（明细）'!C:C&gt;=$J$4,'领用录入（明细）'!C:C&lt;=$L$4),ROW(),"-")</f>
        <v>-</v>
      </c>
    </row>
    <row r="6337" customHeight="1" spans="2:2">
      <c r="B6337" s="62" t="str">
        <f>IF(AND('领用录入（明细）'!D:D=$F$4,'领用录入（明细）'!C:C&gt;=$J$4,'领用录入（明细）'!C:C&lt;=$L$4),ROW(),"-")</f>
        <v>-</v>
      </c>
    </row>
    <row r="6338" customHeight="1" spans="2:2">
      <c r="B6338" s="62" t="str">
        <f>IF(AND('领用录入（明细）'!D:D=$F$4,'领用录入（明细）'!C:C&gt;=$J$4,'领用录入（明细）'!C:C&lt;=$L$4),ROW(),"-")</f>
        <v>-</v>
      </c>
    </row>
    <row r="6339" customHeight="1" spans="2:2">
      <c r="B6339" s="62" t="str">
        <f>IF(AND('领用录入（明细）'!D:D=$F$4,'领用录入（明细）'!C:C&gt;=$J$4,'领用录入（明细）'!C:C&lt;=$L$4),ROW(),"-")</f>
        <v>-</v>
      </c>
    </row>
    <row r="6340" customHeight="1" spans="2:2">
      <c r="B6340" s="62" t="str">
        <f>IF(AND('领用录入（明细）'!D:D=$F$4,'领用录入（明细）'!C:C&gt;=$J$4,'领用录入（明细）'!C:C&lt;=$L$4),ROW(),"-")</f>
        <v>-</v>
      </c>
    </row>
    <row r="6341" customHeight="1" spans="2:2">
      <c r="B6341" s="62" t="str">
        <f>IF(AND('领用录入（明细）'!D:D=$F$4,'领用录入（明细）'!C:C&gt;=$J$4,'领用录入（明细）'!C:C&lt;=$L$4),ROW(),"-")</f>
        <v>-</v>
      </c>
    </row>
    <row r="6342" customHeight="1" spans="2:2">
      <c r="B6342" s="62" t="str">
        <f>IF(AND('领用录入（明细）'!D:D=$F$4,'领用录入（明细）'!C:C&gt;=$J$4,'领用录入（明细）'!C:C&lt;=$L$4),ROW(),"-")</f>
        <v>-</v>
      </c>
    </row>
    <row r="6343" customHeight="1" spans="2:2">
      <c r="B6343" s="62" t="str">
        <f>IF(AND('领用录入（明细）'!D:D=$F$4,'领用录入（明细）'!C:C&gt;=$J$4,'领用录入（明细）'!C:C&lt;=$L$4),ROW(),"-")</f>
        <v>-</v>
      </c>
    </row>
    <row r="6344" customHeight="1" spans="2:2">
      <c r="B6344" s="62" t="str">
        <f>IF(AND('领用录入（明细）'!D:D=$F$4,'领用录入（明细）'!C:C&gt;=$J$4,'领用录入（明细）'!C:C&lt;=$L$4),ROW(),"-")</f>
        <v>-</v>
      </c>
    </row>
    <row r="6345" customHeight="1" spans="2:2">
      <c r="B6345" s="62" t="str">
        <f>IF(AND('领用录入（明细）'!D:D=$F$4,'领用录入（明细）'!C:C&gt;=$J$4,'领用录入（明细）'!C:C&lt;=$L$4),ROW(),"-")</f>
        <v>-</v>
      </c>
    </row>
    <row r="6346" customHeight="1" spans="2:2">
      <c r="B6346" s="62" t="str">
        <f>IF(AND('领用录入（明细）'!D:D=$F$4,'领用录入（明细）'!C:C&gt;=$J$4,'领用录入（明细）'!C:C&lt;=$L$4),ROW(),"-")</f>
        <v>-</v>
      </c>
    </row>
    <row r="6347" customHeight="1" spans="2:2">
      <c r="B6347" s="62" t="str">
        <f>IF(AND('领用录入（明细）'!D:D=$F$4,'领用录入（明细）'!C:C&gt;=$J$4,'领用录入（明细）'!C:C&lt;=$L$4),ROW(),"-")</f>
        <v>-</v>
      </c>
    </row>
    <row r="6348" customHeight="1" spans="2:2">
      <c r="B6348" s="62" t="str">
        <f>IF(AND('领用录入（明细）'!D:D=$F$4,'领用录入（明细）'!C:C&gt;=$J$4,'领用录入（明细）'!C:C&lt;=$L$4),ROW(),"-")</f>
        <v>-</v>
      </c>
    </row>
    <row r="6349" customHeight="1" spans="2:2">
      <c r="B6349" s="62" t="str">
        <f>IF(AND('领用录入（明细）'!D:D=$F$4,'领用录入（明细）'!C:C&gt;=$J$4,'领用录入（明细）'!C:C&lt;=$L$4),ROW(),"-")</f>
        <v>-</v>
      </c>
    </row>
    <row r="6350" customHeight="1" spans="2:2">
      <c r="B6350" s="62" t="str">
        <f>IF(AND('领用录入（明细）'!D:D=$F$4,'领用录入（明细）'!C:C&gt;=$J$4,'领用录入（明细）'!C:C&lt;=$L$4),ROW(),"-")</f>
        <v>-</v>
      </c>
    </row>
    <row r="6351" customHeight="1" spans="2:2">
      <c r="B6351" s="62" t="str">
        <f>IF(AND('领用录入（明细）'!D:D=$F$4,'领用录入（明细）'!C:C&gt;=$J$4,'领用录入（明细）'!C:C&lt;=$L$4),ROW(),"-")</f>
        <v>-</v>
      </c>
    </row>
    <row r="6352" customHeight="1" spans="2:2">
      <c r="B6352" s="62" t="str">
        <f>IF(AND('领用录入（明细）'!D:D=$F$4,'领用录入（明细）'!C:C&gt;=$J$4,'领用录入（明细）'!C:C&lt;=$L$4),ROW(),"-")</f>
        <v>-</v>
      </c>
    </row>
    <row r="6353" customHeight="1" spans="2:2">
      <c r="B6353" s="62" t="str">
        <f>IF(AND('领用录入（明细）'!D:D=$F$4,'领用录入（明细）'!C:C&gt;=$J$4,'领用录入（明细）'!C:C&lt;=$L$4),ROW(),"-")</f>
        <v>-</v>
      </c>
    </row>
    <row r="6354" customHeight="1" spans="2:2">
      <c r="B6354" s="62" t="str">
        <f>IF(AND('领用录入（明细）'!D:D=$F$4,'领用录入（明细）'!C:C&gt;=$J$4,'领用录入（明细）'!C:C&lt;=$L$4),ROW(),"-")</f>
        <v>-</v>
      </c>
    </row>
    <row r="6355" customHeight="1" spans="2:2">
      <c r="B6355" s="62" t="str">
        <f>IF(AND('领用录入（明细）'!D:D=$F$4,'领用录入（明细）'!C:C&gt;=$J$4,'领用录入（明细）'!C:C&lt;=$L$4),ROW(),"-")</f>
        <v>-</v>
      </c>
    </row>
    <row r="6356" customHeight="1" spans="2:2">
      <c r="B6356" s="62" t="str">
        <f>IF(AND('领用录入（明细）'!D:D=$F$4,'领用录入（明细）'!C:C&gt;=$J$4,'领用录入（明细）'!C:C&lt;=$L$4),ROW(),"-")</f>
        <v>-</v>
      </c>
    </row>
    <row r="6357" customHeight="1" spans="2:2">
      <c r="B6357" s="62" t="str">
        <f>IF(AND('领用录入（明细）'!D:D=$F$4,'领用录入（明细）'!C:C&gt;=$J$4,'领用录入（明细）'!C:C&lt;=$L$4),ROW(),"-")</f>
        <v>-</v>
      </c>
    </row>
    <row r="6358" customHeight="1" spans="2:2">
      <c r="B6358" s="62" t="str">
        <f>IF(AND('领用录入（明细）'!D:D=$F$4,'领用录入（明细）'!C:C&gt;=$J$4,'领用录入（明细）'!C:C&lt;=$L$4),ROW(),"-")</f>
        <v>-</v>
      </c>
    </row>
    <row r="6359" customHeight="1" spans="2:2">
      <c r="B6359" s="62" t="str">
        <f>IF(AND('领用录入（明细）'!D:D=$F$4,'领用录入（明细）'!C:C&gt;=$J$4,'领用录入（明细）'!C:C&lt;=$L$4),ROW(),"-")</f>
        <v>-</v>
      </c>
    </row>
    <row r="6360" customHeight="1" spans="2:2">
      <c r="B6360" s="62" t="str">
        <f>IF(AND('领用录入（明细）'!D:D=$F$4,'领用录入（明细）'!C:C&gt;=$J$4,'领用录入（明细）'!C:C&lt;=$L$4),ROW(),"-")</f>
        <v>-</v>
      </c>
    </row>
    <row r="6361" customHeight="1" spans="2:2">
      <c r="B6361" s="62" t="str">
        <f>IF(AND('领用录入（明细）'!D:D=$F$4,'领用录入（明细）'!C:C&gt;=$J$4,'领用录入（明细）'!C:C&lt;=$L$4),ROW(),"-")</f>
        <v>-</v>
      </c>
    </row>
    <row r="6362" customHeight="1" spans="2:2">
      <c r="B6362" s="62" t="str">
        <f>IF(AND('领用录入（明细）'!D:D=$F$4,'领用录入（明细）'!C:C&gt;=$J$4,'领用录入（明细）'!C:C&lt;=$L$4),ROW(),"-")</f>
        <v>-</v>
      </c>
    </row>
    <row r="6363" customHeight="1" spans="2:2">
      <c r="B6363" s="62" t="str">
        <f>IF(AND('领用录入（明细）'!D:D=$F$4,'领用录入（明细）'!C:C&gt;=$J$4,'领用录入（明细）'!C:C&lt;=$L$4),ROW(),"-")</f>
        <v>-</v>
      </c>
    </row>
    <row r="6364" customHeight="1" spans="2:2">
      <c r="B6364" s="62" t="str">
        <f>IF(AND('领用录入（明细）'!D:D=$F$4,'领用录入（明细）'!C:C&gt;=$J$4,'领用录入（明细）'!C:C&lt;=$L$4),ROW(),"-")</f>
        <v>-</v>
      </c>
    </row>
    <row r="6365" customHeight="1" spans="2:2">
      <c r="B6365" s="62" t="str">
        <f>IF(AND('领用录入（明细）'!D:D=$F$4,'领用录入（明细）'!C:C&gt;=$J$4,'领用录入（明细）'!C:C&lt;=$L$4),ROW(),"-")</f>
        <v>-</v>
      </c>
    </row>
    <row r="6366" customHeight="1" spans="2:2">
      <c r="B6366" s="62" t="str">
        <f>IF(AND('领用录入（明细）'!D:D=$F$4,'领用录入（明细）'!C:C&gt;=$J$4,'领用录入（明细）'!C:C&lt;=$L$4),ROW(),"-")</f>
        <v>-</v>
      </c>
    </row>
    <row r="6367" customHeight="1" spans="2:2">
      <c r="B6367" s="62" t="str">
        <f>IF(AND('领用录入（明细）'!D:D=$F$4,'领用录入（明细）'!C:C&gt;=$J$4,'领用录入（明细）'!C:C&lt;=$L$4),ROW(),"-")</f>
        <v>-</v>
      </c>
    </row>
    <row r="6368" customHeight="1" spans="2:2">
      <c r="B6368" s="62" t="str">
        <f>IF(AND('领用录入（明细）'!D:D=$F$4,'领用录入（明细）'!C:C&gt;=$J$4,'领用录入（明细）'!C:C&lt;=$L$4),ROW(),"-")</f>
        <v>-</v>
      </c>
    </row>
    <row r="6369" customHeight="1" spans="2:2">
      <c r="B6369" s="62" t="str">
        <f>IF(AND('领用录入（明细）'!D:D=$F$4,'领用录入（明细）'!C:C&gt;=$J$4,'领用录入（明细）'!C:C&lt;=$L$4),ROW(),"-")</f>
        <v>-</v>
      </c>
    </row>
    <row r="6370" customHeight="1" spans="2:2">
      <c r="B6370" s="62" t="str">
        <f>IF(AND('领用录入（明细）'!D:D=$F$4,'领用录入（明细）'!C:C&gt;=$J$4,'领用录入（明细）'!C:C&lt;=$L$4),ROW(),"-")</f>
        <v>-</v>
      </c>
    </row>
    <row r="6371" customHeight="1" spans="2:2">
      <c r="B6371" s="62" t="str">
        <f>IF(AND('领用录入（明细）'!D:D=$F$4,'领用录入（明细）'!C:C&gt;=$J$4,'领用录入（明细）'!C:C&lt;=$L$4),ROW(),"-")</f>
        <v>-</v>
      </c>
    </row>
    <row r="6372" customHeight="1" spans="2:2">
      <c r="B6372" s="62" t="str">
        <f>IF(AND('领用录入（明细）'!D:D=$F$4,'领用录入（明细）'!C:C&gt;=$J$4,'领用录入（明细）'!C:C&lt;=$L$4),ROW(),"-")</f>
        <v>-</v>
      </c>
    </row>
    <row r="6373" customHeight="1" spans="2:2">
      <c r="B6373" s="62" t="str">
        <f>IF(AND('领用录入（明细）'!D:D=$F$4,'领用录入（明细）'!C:C&gt;=$J$4,'领用录入（明细）'!C:C&lt;=$L$4),ROW(),"-")</f>
        <v>-</v>
      </c>
    </row>
    <row r="6374" customHeight="1" spans="2:2">
      <c r="B6374" s="62" t="str">
        <f>IF(AND('领用录入（明细）'!D:D=$F$4,'领用录入（明细）'!C:C&gt;=$J$4,'领用录入（明细）'!C:C&lt;=$L$4),ROW(),"-")</f>
        <v>-</v>
      </c>
    </row>
    <row r="6375" customHeight="1" spans="2:2">
      <c r="B6375" s="62" t="str">
        <f>IF(AND('领用录入（明细）'!D:D=$F$4,'领用录入（明细）'!C:C&gt;=$J$4,'领用录入（明细）'!C:C&lt;=$L$4),ROW(),"-")</f>
        <v>-</v>
      </c>
    </row>
    <row r="6376" customHeight="1" spans="2:2">
      <c r="B6376" s="62" t="str">
        <f>IF(AND('领用录入（明细）'!D:D=$F$4,'领用录入（明细）'!C:C&gt;=$J$4,'领用录入（明细）'!C:C&lt;=$L$4),ROW(),"-")</f>
        <v>-</v>
      </c>
    </row>
    <row r="6377" customHeight="1" spans="2:2">
      <c r="B6377" s="62" t="str">
        <f>IF(AND('领用录入（明细）'!D:D=$F$4,'领用录入（明细）'!C:C&gt;=$J$4,'领用录入（明细）'!C:C&lt;=$L$4),ROW(),"-")</f>
        <v>-</v>
      </c>
    </row>
    <row r="6378" customHeight="1" spans="2:2">
      <c r="B6378" s="62" t="str">
        <f>IF(AND('领用录入（明细）'!D:D=$F$4,'领用录入（明细）'!C:C&gt;=$J$4,'领用录入（明细）'!C:C&lt;=$L$4),ROW(),"-")</f>
        <v>-</v>
      </c>
    </row>
    <row r="6379" customHeight="1" spans="2:2">
      <c r="B6379" s="62" t="str">
        <f>IF(AND('领用录入（明细）'!D:D=$F$4,'领用录入（明细）'!C:C&gt;=$J$4,'领用录入（明细）'!C:C&lt;=$L$4),ROW(),"-")</f>
        <v>-</v>
      </c>
    </row>
    <row r="6380" customHeight="1" spans="2:2">
      <c r="B6380" s="62" t="str">
        <f>IF(AND('领用录入（明细）'!D:D=$F$4,'领用录入（明细）'!C:C&gt;=$J$4,'领用录入（明细）'!C:C&lt;=$L$4),ROW(),"-")</f>
        <v>-</v>
      </c>
    </row>
    <row r="6381" customHeight="1" spans="2:2">
      <c r="B6381" s="62" t="str">
        <f>IF(AND('领用录入（明细）'!D:D=$F$4,'领用录入（明细）'!C:C&gt;=$J$4,'领用录入（明细）'!C:C&lt;=$L$4),ROW(),"-")</f>
        <v>-</v>
      </c>
    </row>
    <row r="6382" customHeight="1" spans="2:2">
      <c r="B6382" s="62" t="str">
        <f>IF(AND('领用录入（明细）'!D:D=$F$4,'领用录入（明细）'!C:C&gt;=$J$4,'领用录入（明细）'!C:C&lt;=$L$4),ROW(),"-")</f>
        <v>-</v>
      </c>
    </row>
    <row r="6383" customHeight="1" spans="2:2">
      <c r="B6383" s="62" t="str">
        <f>IF(AND('领用录入（明细）'!D:D=$F$4,'领用录入（明细）'!C:C&gt;=$J$4,'领用录入（明细）'!C:C&lt;=$L$4),ROW(),"-")</f>
        <v>-</v>
      </c>
    </row>
    <row r="6384" customHeight="1" spans="2:2">
      <c r="B6384" s="62" t="str">
        <f>IF(AND('领用录入（明细）'!D:D=$F$4,'领用录入（明细）'!C:C&gt;=$J$4,'领用录入（明细）'!C:C&lt;=$L$4),ROW(),"-")</f>
        <v>-</v>
      </c>
    </row>
    <row r="6385" customHeight="1" spans="2:2">
      <c r="B6385" s="62" t="str">
        <f>IF(AND('领用录入（明细）'!D:D=$F$4,'领用录入（明细）'!C:C&gt;=$J$4,'领用录入（明细）'!C:C&lt;=$L$4),ROW(),"-")</f>
        <v>-</v>
      </c>
    </row>
    <row r="6386" customHeight="1" spans="2:2">
      <c r="B6386" s="62" t="str">
        <f>IF(AND('领用录入（明细）'!D:D=$F$4,'领用录入（明细）'!C:C&gt;=$J$4,'领用录入（明细）'!C:C&lt;=$L$4),ROW(),"-")</f>
        <v>-</v>
      </c>
    </row>
    <row r="6387" customHeight="1" spans="2:2">
      <c r="B6387" s="62" t="str">
        <f>IF(AND('领用录入（明细）'!D:D=$F$4,'领用录入（明细）'!C:C&gt;=$J$4,'领用录入（明细）'!C:C&lt;=$L$4),ROW(),"-")</f>
        <v>-</v>
      </c>
    </row>
    <row r="6388" customHeight="1" spans="2:2">
      <c r="B6388" s="62" t="str">
        <f>IF(AND('领用录入（明细）'!D:D=$F$4,'领用录入（明细）'!C:C&gt;=$J$4,'领用录入（明细）'!C:C&lt;=$L$4),ROW(),"-")</f>
        <v>-</v>
      </c>
    </row>
    <row r="6389" customHeight="1" spans="2:2">
      <c r="B6389" s="62" t="str">
        <f>IF(AND('领用录入（明细）'!D:D=$F$4,'领用录入（明细）'!C:C&gt;=$J$4,'领用录入（明细）'!C:C&lt;=$L$4),ROW(),"-")</f>
        <v>-</v>
      </c>
    </row>
    <row r="6390" customHeight="1" spans="2:2">
      <c r="B6390" s="62" t="str">
        <f>IF(AND('领用录入（明细）'!D:D=$F$4,'领用录入（明细）'!C:C&gt;=$J$4,'领用录入（明细）'!C:C&lt;=$L$4),ROW(),"-")</f>
        <v>-</v>
      </c>
    </row>
    <row r="6391" customHeight="1" spans="2:2">
      <c r="B6391" s="62" t="str">
        <f>IF(AND('领用录入（明细）'!D:D=$F$4,'领用录入（明细）'!C:C&gt;=$J$4,'领用录入（明细）'!C:C&lt;=$L$4),ROW(),"-")</f>
        <v>-</v>
      </c>
    </row>
    <row r="6392" customHeight="1" spans="2:2">
      <c r="B6392" s="62" t="str">
        <f>IF(AND('领用录入（明细）'!D:D=$F$4,'领用录入（明细）'!C:C&gt;=$J$4,'领用录入（明细）'!C:C&lt;=$L$4),ROW(),"-")</f>
        <v>-</v>
      </c>
    </row>
    <row r="6393" customHeight="1" spans="2:2">
      <c r="B6393" s="62" t="str">
        <f>IF(AND('领用录入（明细）'!D:D=$F$4,'领用录入（明细）'!C:C&gt;=$J$4,'领用录入（明细）'!C:C&lt;=$L$4),ROW(),"-")</f>
        <v>-</v>
      </c>
    </row>
    <row r="6394" customHeight="1" spans="2:2">
      <c r="B6394" s="62" t="str">
        <f>IF(AND('领用录入（明细）'!D:D=$F$4,'领用录入（明细）'!C:C&gt;=$J$4,'领用录入（明细）'!C:C&lt;=$L$4),ROW(),"-")</f>
        <v>-</v>
      </c>
    </row>
    <row r="6395" customHeight="1" spans="2:2">
      <c r="B6395" s="62" t="str">
        <f>IF(AND('领用录入（明细）'!D:D=$F$4,'领用录入（明细）'!C:C&gt;=$J$4,'领用录入（明细）'!C:C&lt;=$L$4),ROW(),"-")</f>
        <v>-</v>
      </c>
    </row>
    <row r="6396" customHeight="1" spans="2:2">
      <c r="B6396" s="62" t="str">
        <f>IF(AND('领用录入（明细）'!D:D=$F$4,'领用录入（明细）'!C:C&gt;=$J$4,'领用录入（明细）'!C:C&lt;=$L$4),ROW(),"-")</f>
        <v>-</v>
      </c>
    </row>
    <row r="6397" customHeight="1" spans="2:2">
      <c r="B6397" s="62" t="str">
        <f>IF(AND('领用录入（明细）'!D:D=$F$4,'领用录入（明细）'!C:C&gt;=$J$4,'领用录入（明细）'!C:C&lt;=$L$4),ROW(),"-")</f>
        <v>-</v>
      </c>
    </row>
    <row r="6398" customHeight="1" spans="2:2">
      <c r="B6398" s="62" t="str">
        <f>IF(AND('领用录入（明细）'!D:D=$F$4,'领用录入（明细）'!C:C&gt;=$J$4,'领用录入（明细）'!C:C&lt;=$L$4),ROW(),"-")</f>
        <v>-</v>
      </c>
    </row>
    <row r="6399" customHeight="1" spans="2:2">
      <c r="B6399" s="62" t="str">
        <f>IF(AND('领用录入（明细）'!D:D=$F$4,'领用录入（明细）'!C:C&gt;=$J$4,'领用录入（明细）'!C:C&lt;=$L$4),ROW(),"-")</f>
        <v>-</v>
      </c>
    </row>
    <row r="6400" customHeight="1" spans="2:2">
      <c r="B6400" s="62" t="str">
        <f>IF(AND('领用录入（明细）'!D:D=$F$4,'领用录入（明细）'!C:C&gt;=$J$4,'领用录入（明细）'!C:C&lt;=$L$4),ROW(),"-")</f>
        <v>-</v>
      </c>
    </row>
    <row r="6401" customHeight="1" spans="2:2">
      <c r="B6401" s="62" t="str">
        <f>IF(AND('领用录入（明细）'!D:D=$F$4,'领用录入（明细）'!C:C&gt;=$J$4,'领用录入（明细）'!C:C&lt;=$L$4),ROW(),"-")</f>
        <v>-</v>
      </c>
    </row>
    <row r="6402" customHeight="1" spans="2:2">
      <c r="B6402" s="62" t="str">
        <f>IF(AND('领用录入（明细）'!D:D=$F$4,'领用录入（明细）'!C:C&gt;=$J$4,'领用录入（明细）'!C:C&lt;=$L$4),ROW(),"-")</f>
        <v>-</v>
      </c>
    </row>
    <row r="6403" customHeight="1" spans="2:2">
      <c r="B6403" s="62" t="str">
        <f>IF(AND('领用录入（明细）'!D:D=$F$4,'领用录入（明细）'!C:C&gt;=$J$4,'领用录入（明细）'!C:C&lt;=$L$4),ROW(),"-")</f>
        <v>-</v>
      </c>
    </row>
    <row r="6404" customHeight="1" spans="2:2">
      <c r="B6404" s="62" t="str">
        <f>IF(AND('领用录入（明细）'!D:D=$F$4,'领用录入（明细）'!C:C&gt;=$J$4,'领用录入（明细）'!C:C&lt;=$L$4),ROW(),"-")</f>
        <v>-</v>
      </c>
    </row>
    <row r="6405" customHeight="1" spans="2:2">
      <c r="B6405" s="62" t="str">
        <f>IF(AND('领用录入（明细）'!D:D=$F$4,'领用录入（明细）'!C:C&gt;=$J$4,'领用录入（明细）'!C:C&lt;=$L$4),ROW(),"-")</f>
        <v>-</v>
      </c>
    </row>
    <row r="6406" customHeight="1" spans="2:2">
      <c r="B6406" s="62" t="str">
        <f>IF(AND('领用录入（明细）'!D:D=$F$4,'领用录入（明细）'!C:C&gt;=$J$4,'领用录入（明细）'!C:C&lt;=$L$4),ROW(),"-")</f>
        <v>-</v>
      </c>
    </row>
    <row r="6407" customHeight="1" spans="2:2">
      <c r="B6407" s="62" t="str">
        <f>IF(AND('领用录入（明细）'!D:D=$F$4,'领用录入（明细）'!C:C&gt;=$J$4,'领用录入（明细）'!C:C&lt;=$L$4),ROW(),"-")</f>
        <v>-</v>
      </c>
    </row>
    <row r="6408" customHeight="1" spans="2:2">
      <c r="B6408" s="62" t="str">
        <f>IF(AND('领用录入（明细）'!D:D=$F$4,'领用录入（明细）'!C:C&gt;=$J$4,'领用录入（明细）'!C:C&lt;=$L$4),ROW(),"-")</f>
        <v>-</v>
      </c>
    </row>
    <row r="6409" customHeight="1" spans="2:2">
      <c r="B6409" s="62" t="str">
        <f>IF(AND('领用录入（明细）'!D:D=$F$4,'领用录入（明细）'!C:C&gt;=$J$4,'领用录入（明细）'!C:C&lt;=$L$4),ROW(),"-")</f>
        <v>-</v>
      </c>
    </row>
    <row r="6410" customHeight="1" spans="2:2">
      <c r="B6410" s="62" t="str">
        <f>IF(AND('领用录入（明细）'!D:D=$F$4,'领用录入（明细）'!C:C&gt;=$J$4,'领用录入（明细）'!C:C&lt;=$L$4),ROW(),"-")</f>
        <v>-</v>
      </c>
    </row>
    <row r="6411" customHeight="1" spans="2:2">
      <c r="B6411" s="62" t="str">
        <f>IF(AND('领用录入（明细）'!D:D=$F$4,'领用录入（明细）'!C:C&gt;=$J$4,'领用录入（明细）'!C:C&lt;=$L$4),ROW(),"-")</f>
        <v>-</v>
      </c>
    </row>
    <row r="6412" customHeight="1" spans="2:2">
      <c r="B6412" s="62" t="str">
        <f>IF(AND('领用录入（明细）'!D:D=$F$4,'领用录入（明细）'!C:C&gt;=$J$4,'领用录入（明细）'!C:C&lt;=$L$4),ROW(),"-")</f>
        <v>-</v>
      </c>
    </row>
    <row r="6413" customHeight="1" spans="2:2">
      <c r="B6413" s="62" t="str">
        <f>IF(AND('领用录入（明细）'!D:D=$F$4,'领用录入（明细）'!C:C&gt;=$J$4,'领用录入（明细）'!C:C&lt;=$L$4),ROW(),"-")</f>
        <v>-</v>
      </c>
    </row>
    <row r="6414" customHeight="1" spans="2:2">
      <c r="B6414" s="62" t="str">
        <f>IF(AND('领用录入（明细）'!D:D=$F$4,'领用录入（明细）'!C:C&gt;=$J$4,'领用录入（明细）'!C:C&lt;=$L$4),ROW(),"-")</f>
        <v>-</v>
      </c>
    </row>
    <row r="6415" customHeight="1" spans="2:2">
      <c r="B6415" s="62" t="str">
        <f>IF(AND('领用录入（明细）'!D:D=$F$4,'领用录入（明细）'!C:C&gt;=$J$4,'领用录入（明细）'!C:C&lt;=$L$4),ROW(),"-")</f>
        <v>-</v>
      </c>
    </row>
    <row r="6416" customHeight="1" spans="2:2">
      <c r="B6416" s="62" t="str">
        <f>IF(AND('领用录入（明细）'!D:D=$F$4,'领用录入（明细）'!C:C&gt;=$J$4,'领用录入（明细）'!C:C&lt;=$L$4),ROW(),"-")</f>
        <v>-</v>
      </c>
    </row>
    <row r="6417" customHeight="1" spans="2:2">
      <c r="B6417" s="62" t="str">
        <f>IF(AND('领用录入（明细）'!D:D=$F$4,'领用录入（明细）'!C:C&gt;=$J$4,'领用录入（明细）'!C:C&lt;=$L$4),ROW(),"-")</f>
        <v>-</v>
      </c>
    </row>
    <row r="6418" customHeight="1" spans="2:2">
      <c r="B6418" s="62" t="str">
        <f>IF(AND('领用录入（明细）'!D:D=$F$4,'领用录入（明细）'!C:C&gt;=$J$4,'领用录入（明细）'!C:C&lt;=$L$4),ROW(),"-")</f>
        <v>-</v>
      </c>
    </row>
    <row r="6419" customHeight="1" spans="2:2">
      <c r="B6419" s="62" t="str">
        <f>IF(AND('领用录入（明细）'!D:D=$F$4,'领用录入（明细）'!C:C&gt;=$J$4,'领用录入（明细）'!C:C&lt;=$L$4),ROW(),"-")</f>
        <v>-</v>
      </c>
    </row>
    <row r="6420" customHeight="1" spans="2:2">
      <c r="B6420" s="62" t="str">
        <f>IF(AND('领用录入（明细）'!D:D=$F$4,'领用录入（明细）'!C:C&gt;=$J$4,'领用录入（明细）'!C:C&lt;=$L$4),ROW(),"-")</f>
        <v>-</v>
      </c>
    </row>
    <row r="6421" customHeight="1" spans="2:2">
      <c r="B6421" s="62" t="str">
        <f>IF(AND('领用录入（明细）'!D:D=$F$4,'领用录入（明细）'!C:C&gt;=$J$4,'领用录入（明细）'!C:C&lt;=$L$4),ROW(),"-")</f>
        <v>-</v>
      </c>
    </row>
    <row r="6422" customHeight="1" spans="2:2">
      <c r="B6422" s="62" t="str">
        <f>IF(AND('领用录入（明细）'!D:D=$F$4,'领用录入（明细）'!C:C&gt;=$J$4,'领用录入（明细）'!C:C&lt;=$L$4),ROW(),"-")</f>
        <v>-</v>
      </c>
    </row>
    <row r="6423" customHeight="1" spans="2:2">
      <c r="B6423" s="62" t="str">
        <f>IF(AND('领用录入（明细）'!D:D=$F$4,'领用录入（明细）'!C:C&gt;=$J$4,'领用录入（明细）'!C:C&lt;=$L$4),ROW(),"-")</f>
        <v>-</v>
      </c>
    </row>
    <row r="6424" customHeight="1" spans="2:2">
      <c r="B6424" s="62" t="str">
        <f>IF(AND('领用录入（明细）'!D:D=$F$4,'领用录入（明细）'!C:C&gt;=$J$4,'领用录入（明细）'!C:C&lt;=$L$4),ROW(),"-")</f>
        <v>-</v>
      </c>
    </row>
    <row r="6425" customHeight="1" spans="2:2">
      <c r="B6425" s="62" t="str">
        <f>IF(AND('领用录入（明细）'!D:D=$F$4,'领用录入（明细）'!C:C&gt;=$J$4,'领用录入（明细）'!C:C&lt;=$L$4),ROW(),"-")</f>
        <v>-</v>
      </c>
    </row>
    <row r="6426" customHeight="1" spans="2:2">
      <c r="B6426" s="62" t="str">
        <f>IF(AND('领用录入（明细）'!D:D=$F$4,'领用录入（明细）'!C:C&gt;=$J$4,'领用录入（明细）'!C:C&lt;=$L$4),ROW(),"-")</f>
        <v>-</v>
      </c>
    </row>
    <row r="6427" customHeight="1" spans="2:2">
      <c r="B6427" s="62" t="str">
        <f>IF(AND('领用录入（明细）'!D:D=$F$4,'领用录入（明细）'!C:C&gt;=$J$4,'领用录入（明细）'!C:C&lt;=$L$4),ROW(),"-")</f>
        <v>-</v>
      </c>
    </row>
    <row r="6428" customHeight="1" spans="2:2">
      <c r="B6428" s="62" t="str">
        <f>IF(AND('领用录入（明细）'!D:D=$F$4,'领用录入（明细）'!C:C&gt;=$J$4,'领用录入（明细）'!C:C&lt;=$L$4),ROW(),"-")</f>
        <v>-</v>
      </c>
    </row>
    <row r="6429" customHeight="1" spans="2:2">
      <c r="B6429" s="62" t="str">
        <f>IF(AND('领用录入（明细）'!D:D=$F$4,'领用录入（明细）'!C:C&gt;=$J$4,'领用录入（明细）'!C:C&lt;=$L$4),ROW(),"-")</f>
        <v>-</v>
      </c>
    </row>
    <row r="6430" customHeight="1" spans="2:2">
      <c r="B6430" s="62" t="str">
        <f>IF(AND('领用录入（明细）'!D:D=$F$4,'领用录入（明细）'!C:C&gt;=$J$4,'领用录入（明细）'!C:C&lt;=$L$4),ROW(),"-")</f>
        <v>-</v>
      </c>
    </row>
    <row r="6431" customHeight="1" spans="2:2">
      <c r="B6431" s="62" t="str">
        <f>IF(AND('领用录入（明细）'!D:D=$F$4,'领用录入（明细）'!C:C&gt;=$J$4,'领用录入（明细）'!C:C&lt;=$L$4),ROW(),"-")</f>
        <v>-</v>
      </c>
    </row>
    <row r="6432" customHeight="1" spans="2:2">
      <c r="B6432" s="62" t="str">
        <f>IF(AND('领用录入（明细）'!D:D=$F$4,'领用录入（明细）'!C:C&gt;=$J$4,'领用录入（明细）'!C:C&lt;=$L$4),ROW(),"-")</f>
        <v>-</v>
      </c>
    </row>
    <row r="6433" customHeight="1" spans="2:2">
      <c r="B6433" s="62" t="str">
        <f>IF(AND('领用录入（明细）'!D:D=$F$4,'领用录入（明细）'!C:C&gt;=$J$4,'领用录入（明细）'!C:C&lt;=$L$4),ROW(),"-")</f>
        <v>-</v>
      </c>
    </row>
    <row r="6434" customHeight="1" spans="2:2">
      <c r="B6434" s="62" t="str">
        <f>IF(AND('领用录入（明细）'!D:D=$F$4,'领用录入（明细）'!C:C&gt;=$J$4,'领用录入（明细）'!C:C&lt;=$L$4),ROW(),"-")</f>
        <v>-</v>
      </c>
    </row>
    <row r="6435" customHeight="1" spans="2:2">
      <c r="B6435" s="62" t="str">
        <f>IF(AND('领用录入（明细）'!D:D=$F$4,'领用录入（明细）'!C:C&gt;=$J$4,'领用录入（明细）'!C:C&lt;=$L$4),ROW(),"-")</f>
        <v>-</v>
      </c>
    </row>
    <row r="6436" customHeight="1" spans="2:2">
      <c r="B6436" s="62" t="str">
        <f>IF(AND('领用录入（明细）'!D:D=$F$4,'领用录入（明细）'!C:C&gt;=$J$4,'领用录入（明细）'!C:C&lt;=$L$4),ROW(),"-")</f>
        <v>-</v>
      </c>
    </row>
    <row r="6437" customHeight="1" spans="2:2">
      <c r="B6437" s="62" t="str">
        <f>IF(AND('领用录入（明细）'!D:D=$F$4,'领用录入（明细）'!C:C&gt;=$J$4,'领用录入（明细）'!C:C&lt;=$L$4),ROW(),"-")</f>
        <v>-</v>
      </c>
    </row>
    <row r="6438" customHeight="1" spans="2:2">
      <c r="B6438" s="62" t="str">
        <f>IF(AND('领用录入（明细）'!D:D=$F$4,'领用录入（明细）'!C:C&gt;=$J$4,'领用录入（明细）'!C:C&lt;=$L$4),ROW(),"-")</f>
        <v>-</v>
      </c>
    </row>
    <row r="6439" customHeight="1" spans="2:2">
      <c r="B6439" s="62" t="str">
        <f>IF(AND('领用录入（明细）'!D:D=$F$4,'领用录入（明细）'!C:C&gt;=$J$4,'领用录入（明细）'!C:C&lt;=$L$4),ROW(),"-")</f>
        <v>-</v>
      </c>
    </row>
    <row r="6440" customHeight="1" spans="2:2">
      <c r="B6440" s="62" t="str">
        <f>IF(AND('领用录入（明细）'!D:D=$F$4,'领用录入（明细）'!C:C&gt;=$J$4,'领用录入（明细）'!C:C&lt;=$L$4),ROW(),"-")</f>
        <v>-</v>
      </c>
    </row>
    <row r="6441" customHeight="1" spans="2:2">
      <c r="B6441" s="62" t="str">
        <f>IF(AND('领用录入（明细）'!D:D=$F$4,'领用录入（明细）'!C:C&gt;=$J$4,'领用录入（明细）'!C:C&lt;=$L$4),ROW(),"-")</f>
        <v>-</v>
      </c>
    </row>
    <row r="6442" customHeight="1" spans="2:2">
      <c r="B6442" s="62" t="str">
        <f>IF(AND('领用录入（明细）'!D:D=$F$4,'领用录入（明细）'!C:C&gt;=$J$4,'领用录入（明细）'!C:C&lt;=$L$4),ROW(),"-")</f>
        <v>-</v>
      </c>
    </row>
    <row r="6443" customHeight="1" spans="2:2">
      <c r="B6443" s="62" t="str">
        <f>IF(AND('领用录入（明细）'!D:D=$F$4,'领用录入（明细）'!C:C&gt;=$J$4,'领用录入（明细）'!C:C&lt;=$L$4),ROW(),"-")</f>
        <v>-</v>
      </c>
    </row>
    <row r="6444" customHeight="1" spans="2:2">
      <c r="B6444" s="62" t="str">
        <f>IF(AND('领用录入（明细）'!D:D=$F$4,'领用录入（明细）'!C:C&gt;=$J$4,'领用录入（明细）'!C:C&lt;=$L$4),ROW(),"-")</f>
        <v>-</v>
      </c>
    </row>
    <row r="6445" customHeight="1" spans="2:2">
      <c r="B6445" s="62" t="str">
        <f>IF(AND('领用录入（明细）'!D:D=$F$4,'领用录入（明细）'!C:C&gt;=$J$4,'领用录入（明细）'!C:C&lt;=$L$4),ROW(),"-")</f>
        <v>-</v>
      </c>
    </row>
    <row r="6446" customHeight="1" spans="2:2">
      <c r="B6446" s="62" t="str">
        <f>IF(AND('领用录入（明细）'!D:D=$F$4,'领用录入（明细）'!C:C&gt;=$J$4,'领用录入（明细）'!C:C&lt;=$L$4),ROW(),"-")</f>
        <v>-</v>
      </c>
    </row>
    <row r="6447" customHeight="1" spans="2:2">
      <c r="B6447" s="62" t="str">
        <f>IF(AND('领用录入（明细）'!D:D=$F$4,'领用录入（明细）'!C:C&gt;=$J$4,'领用录入（明细）'!C:C&lt;=$L$4),ROW(),"-")</f>
        <v>-</v>
      </c>
    </row>
    <row r="6448" customHeight="1" spans="2:2">
      <c r="B6448" s="62" t="str">
        <f>IF(AND('领用录入（明细）'!D:D=$F$4,'领用录入（明细）'!C:C&gt;=$J$4,'领用录入（明细）'!C:C&lt;=$L$4),ROW(),"-")</f>
        <v>-</v>
      </c>
    </row>
    <row r="6449" customHeight="1" spans="2:2">
      <c r="B6449" s="62" t="str">
        <f>IF(AND('领用录入（明细）'!D:D=$F$4,'领用录入（明细）'!C:C&gt;=$J$4,'领用录入（明细）'!C:C&lt;=$L$4),ROW(),"-")</f>
        <v>-</v>
      </c>
    </row>
    <row r="6450" customHeight="1" spans="2:2">
      <c r="B6450" s="62" t="str">
        <f>IF(AND('领用录入（明细）'!D:D=$F$4,'领用录入（明细）'!C:C&gt;=$J$4,'领用录入（明细）'!C:C&lt;=$L$4),ROW(),"-")</f>
        <v>-</v>
      </c>
    </row>
    <row r="6451" customHeight="1" spans="2:2">
      <c r="B6451" s="62" t="str">
        <f>IF(AND('领用录入（明细）'!D:D=$F$4,'领用录入（明细）'!C:C&gt;=$J$4,'领用录入（明细）'!C:C&lt;=$L$4),ROW(),"-")</f>
        <v>-</v>
      </c>
    </row>
    <row r="6452" customHeight="1" spans="2:2">
      <c r="B6452" s="62" t="str">
        <f>IF(AND('领用录入（明细）'!D:D=$F$4,'领用录入（明细）'!C:C&gt;=$J$4,'领用录入（明细）'!C:C&lt;=$L$4),ROW(),"-")</f>
        <v>-</v>
      </c>
    </row>
    <row r="6453" customHeight="1" spans="2:2">
      <c r="B6453" s="62" t="str">
        <f>IF(AND('领用录入（明细）'!D:D=$F$4,'领用录入（明细）'!C:C&gt;=$J$4,'领用录入（明细）'!C:C&lt;=$L$4),ROW(),"-")</f>
        <v>-</v>
      </c>
    </row>
    <row r="6454" customHeight="1" spans="2:2">
      <c r="B6454" s="62" t="str">
        <f>IF(AND('领用录入（明细）'!D:D=$F$4,'领用录入（明细）'!C:C&gt;=$J$4,'领用录入（明细）'!C:C&lt;=$L$4),ROW(),"-")</f>
        <v>-</v>
      </c>
    </row>
    <row r="6455" customHeight="1" spans="2:2">
      <c r="B6455" s="62" t="str">
        <f>IF(AND('领用录入（明细）'!D:D=$F$4,'领用录入（明细）'!C:C&gt;=$J$4,'领用录入（明细）'!C:C&lt;=$L$4),ROW(),"-")</f>
        <v>-</v>
      </c>
    </row>
    <row r="6456" customHeight="1" spans="2:2">
      <c r="B6456" s="62" t="str">
        <f>IF(AND('领用录入（明细）'!D:D=$F$4,'领用录入（明细）'!C:C&gt;=$J$4,'领用录入（明细）'!C:C&lt;=$L$4),ROW(),"-")</f>
        <v>-</v>
      </c>
    </row>
    <row r="6457" customHeight="1" spans="2:2">
      <c r="B6457" s="62" t="str">
        <f>IF(AND('领用录入（明细）'!D:D=$F$4,'领用录入（明细）'!C:C&gt;=$J$4,'领用录入（明细）'!C:C&lt;=$L$4),ROW(),"-")</f>
        <v>-</v>
      </c>
    </row>
    <row r="6458" customHeight="1" spans="2:2">
      <c r="B6458" s="62" t="str">
        <f>IF(AND('领用录入（明细）'!D:D=$F$4,'领用录入（明细）'!C:C&gt;=$J$4,'领用录入（明细）'!C:C&lt;=$L$4),ROW(),"-")</f>
        <v>-</v>
      </c>
    </row>
    <row r="6459" customHeight="1" spans="2:2">
      <c r="B6459" s="62" t="str">
        <f>IF(AND('领用录入（明细）'!D:D=$F$4,'领用录入（明细）'!C:C&gt;=$J$4,'领用录入（明细）'!C:C&lt;=$L$4),ROW(),"-")</f>
        <v>-</v>
      </c>
    </row>
    <row r="6460" customHeight="1" spans="2:2">
      <c r="B6460" s="62" t="str">
        <f>IF(AND('领用录入（明细）'!D:D=$F$4,'领用录入（明细）'!C:C&gt;=$J$4,'领用录入（明细）'!C:C&lt;=$L$4),ROW(),"-")</f>
        <v>-</v>
      </c>
    </row>
    <row r="6461" customHeight="1" spans="2:2">
      <c r="B6461" s="62" t="str">
        <f>IF(AND('领用录入（明细）'!D:D=$F$4,'领用录入（明细）'!C:C&gt;=$J$4,'领用录入（明细）'!C:C&lt;=$L$4),ROW(),"-")</f>
        <v>-</v>
      </c>
    </row>
    <row r="6462" customHeight="1" spans="2:2">
      <c r="B6462" s="62" t="str">
        <f>IF(AND('领用录入（明细）'!D:D=$F$4,'领用录入（明细）'!C:C&gt;=$J$4,'领用录入（明细）'!C:C&lt;=$L$4),ROW(),"-")</f>
        <v>-</v>
      </c>
    </row>
    <row r="6463" customHeight="1" spans="2:2">
      <c r="B6463" s="62" t="str">
        <f>IF(AND('领用录入（明细）'!D:D=$F$4,'领用录入（明细）'!C:C&gt;=$J$4,'领用录入（明细）'!C:C&lt;=$L$4),ROW(),"-")</f>
        <v>-</v>
      </c>
    </row>
    <row r="6464" customHeight="1" spans="2:2">
      <c r="B6464" s="62" t="str">
        <f>IF(AND('领用录入（明细）'!D:D=$F$4,'领用录入（明细）'!C:C&gt;=$J$4,'领用录入（明细）'!C:C&lt;=$L$4),ROW(),"-")</f>
        <v>-</v>
      </c>
    </row>
    <row r="6465" customHeight="1" spans="2:2">
      <c r="B6465" s="62" t="str">
        <f>IF(AND('领用录入（明细）'!D:D=$F$4,'领用录入（明细）'!C:C&gt;=$J$4,'领用录入（明细）'!C:C&lt;=$L$4),ROW(),"-")</f>
        <v>-</v>
      </c>
    </row>
    <row r="6466" customHeight="1" spans="2:2">
      <c r="B6466" s="62" t="str">
        <f>IF(AND('领用录入（明细）'!D:D=$F$4,'领用录入（明细）'!C:C&gt;=$J$4,'领用录入（明细）'!C:C&lt;=$L$4),ROW(),"-")</f>
        <v>-</v>
      </c>
    </row>
    <row r="6467" customHeight="1" spans="2:2">
      <c r="B6467" s="62" t="str">
        <f>IF(AND('领用录入（明细）'!D:D=$F$4,'领用录入（明细）'!C:C&gt;=$J$4,'领用录入（明细）'!C:C&lt;=$L$4),ROW(),"-")</f>
        <v>-</v>
      </c>
    </row>
    <row r="6468" customHeight="1" spans="2:2">
      <c r="B6468" s="62" t="str">
        <f>IF(AND('领用录入（明细）'!D:D=$F$4,'领用录入（明细）'!C:C&gt;=$J$4,'领用录入（明细）'!C:C&lt;=$L$4),ROW(),"-")</f>
        <v>-</v>
      </c>
    </row>
    <row r="6469" customHeight="1" spans="2:2">
      <c r="B6469" s="62" t="str">
        <f>IF(AND('领用录入（明细）'!D:D=$F$4,'领用录入（明细）'!C:C&gt;=$J$4,'领用录入（明细）'!C:C&lt;=$L$4),ROW(),"-")</f>
        <v>-</v>
      </c>
    </row>
    <row r="6470" customHeight="1" spans="2:2">
      <c r="B6470" s="62" t="str">
        <f>IF(AND('领用录入（明细）'!D:D=$F$4,'领用录入（明细）'!C:C&gt;=$J$4,'领用录入（明细）'!C:C&lt;=$L$4),ROW(),"-")</f>
        <v>-</v>
      </c>
    </row>
    <row r="6471" customHeight="1" spans="2:2">
      <c r="B6471" s="62" t="str">
        <f>IF(AND('领用录入（明细）'!D:D=$F$4,'领用录入（明细）'!C:C&gt;=$J$4,'领用录入（明细）'!C:C&lt;=$L$4),ROW(),"-")</f>
        <v>-</v>
      </c>
    </row>
    <row r="6472" customHeight="1" spans="2:2">
      <c r="B6472" s="62" t="str">
        <f>IF(AND('领用录入（明细）'!D:D=$F$4,'领用录入（明细）'!C:C&gt;=$J$4,'领用录入（明细）'!C:C&lt;=$L$4),ROW(),"-")</f>
        <v>-</v>
      </c>
    </row>
    <row r="6473" customHeight="1" spans="2:2">
      <c r="B6473" s="62" t="str">
        <f>IF(AND('领用录入（明细）'!D:D=$F$4,'领用录入（明细）'!C:C&gt;=$J$4,'领用录入（明细）'!C:C&lt;=$L$4),ROW(),"-")</f>
        <v>-</v>
      </c>
    </row>
    <row r="6474" customHeight="1" spans="2:2">
      <c r="B6474" s="62" t="str">
        <f>IF(AND('领用录入（明细）'!D:D=$F$4,'领用录入（明细）'!C:C&gt;=$J$4,'领用录入（明细）'!C:C&lt;=$L$4),ROW(),"-")</f>
        <v>-</v>
      </c>
    </row>
    <row r="6475" customHeight="1" spans="2:2">
      <c r="B6475" s="62" t="str">
        <f>IF(AND('领用录入（明细）'!D:D=$F$4,'领用录入（明细）'!C:C&gt;=$J$4,'领用录入（明细）'!C:C&lt;=$L$4),ROW(),"-")</f>
        <v>-</v>
      </c>
    </row>
    <row r="6476" customHeight="1" spans="2:2">
      <c r="B6476" s="62" t="str">
        <f>IF(AND('领用录入（明细）'!D:D=$F$4,'领用录入（明细）'!C:C&gt;=$J$4,'领用录入（明细）'!C:C&lt;=$L$4),ROW(),"-")</f>
        <v>-</v>
      </c>
    </row>
    <row r="6477" customHeight="1" spans="2:2">
      <c r="B6477" s="62" t="str">
        <f>IF(AND('领用录入（明细）'!D:D=$F$4,'领用录入（明细）'!C:C&gt;=$J$4,'领用录入（明细）'!C:C&lt;=$L$4),ROW(),"-")</f>
        <v>-</v>
      </c>
    </row>
    <row r="6478" customHeight="1" spans="2:2">
      <c r="B6478" s="62" t="str">
        <f>IF(AND('领用录入（明细）'!D:D=$F$4,'领用录入（明细）'!C:C&gt;=$J$4,'领用录入（明细）'!C:C&lt;=$L$4),ROW(),"-")</f>
        <v>-</v>
      </c>
    </row>
    <row r="6479" customHeight="1" spans="2:2">
      <c r="B6479" s="62" t="str">
        <f>IF(AND('领用录入（明细）'!D:D=$F$4,'领用录入（明细）'!C:C&gt;=$J$4,'领用录入（明细）'!C:C&lt;=$L$4),ROW(),"-")</f>
        <v>-</v>
      </c>
    </row>
    <row r="6480" customHeight="1" spans="2:2">
      <c r="B6480" s="62" t="str">
        <f>IF(AND('领用录入（明细）'!D:D=$F$4,'领用录入（明细）'!C:C&gt;=$J$4,'领用录入（明细）'!C:C&lt;=$L$4),ROW(),"-")</f>
        <v>-</v>
      </c>
    </row>
    <row r="6481" customHeight="1" spans="2:2">
      <c r="B6481" s="62" t="str">
        <f>IF(AND('领用录入（明细）'!D:D=$F$4,'领用录入（明细）'!C:C&gt;=$J$4,'领用录入（明细）'!C:C&lt;=$L$4),ROW(),"-")</f>
        <v>-</v>
      </c>
    </row>
    <row r="6482" customHeight="1" spans="2:2">
      <c r="B6482" s="62" t="str">
        <f>IF(AND('领用录入（明细）'!D:D=$F$4,'领用录入（明细）'!C:C&gt;=$J$4,'领用录入（明细）'!C:C&lt;=$L$4),ROW(),"-")</f>
        <v>-</v>
      </c>
    </row>
    <row r="6483" customHeight="1" spans="2:2">
      <c r="B6483" s="62" t="str">
        <f>IF(AND('领用录入（明细）'!D:D=$F$4,'领用录入（明细）'!C:C&gt;=$J$4,'领用录入（明细）'!C:C&lt;=$L$4),ROW(),"-")</f>
        <v>-</v>
      </c>
    </row>
    <row r="6484" customHeight="1" spans="2:2">
      <c r="B6484" s="62" t="str">
        <f>IF(AND('领用录入（明细）'!D:D=$F$4,'领用录入（明细）'!C:C&gt;=$J$4,'领用录入（明细）'!C:C&lt;=$L$4),ROW(),"-")</f>
        <v>-</v>
      </c>
    </row>
    <row r="6485" customHeight="1" spans="2:2">
      <c r="B6485" s="62" t="str">
        <f>IF(AND('领用录入（明细）'!D:D=$F$4,'领用录入（明细）'!C:C&gt;=$J$4,'领用录入（明细）'!C:C&lt;=$L$4),ROW(),"-")</f>
        <v>-</v>
      </c>
    </row>
    <row r="6486" customHeight="1" spans="2:2">
      <c r="B6486" s="62" t="str">
        <f>IF(AND('领用录入（明细）'!D:D=$F$4,'领用录入（明细）'!C:C&gt;=$J$4,'领用录入（明细）'!C:C&lt;=$L$4),ROW(),"-")</f>
        <v>-</v>
      </c>
    </row>
    <row r="6487" customHeight="1" spans="2:2">
      <c r="B6487" s="62" t="str">
        <f>IF(AND('领用录入（明细）'!D:D=$F$4,'领用录入（明细）'!C:C&gt;=$J$4,'领用录入（明细）'!C:C&lt;=$L$4),ROW(),"-")</f>
        <v>-</v>
      </c>
    </row>
    <row r="6488" customHeight="1" spans="2:2">
      <c r="B6488" s="62" t="str">
        <f>IF(AND('领用录入（明细）'!D:D=$F$4,'领用录入（明细）'!C:C&gt;=$J$4,'领用录入（明细）'!C:C&lt;=$L$4),ROW(),"-")</f>
        <v>-</v>
      </c>
    </row>
    <row r="6489" customHeight="1" spans="2:2">
      <c r="B6489" s="62" t="str">
        <f>IF(AND('领用录入（明细）'!D:D=$F$4,'领用录入（明细）'!C:C&gt;=$J$4,'领用录入（明细）'!C:C&lt;=$L$4),ROW(),"-")</f>
        <v>-</v>
      </c>
    </row>
    <row r="6490" customHeight="1" spans="2:2">
      <c r="B6490" s="62" t="str">
        <f>IF(AND('领用录入（明细）'!D:D=$F$4,'领用录入（明细）'!C:C&gt;=$J$4,'领用录入（明细）'!C:C&lt;=$L$4),ROW(),"-")</f>
        <v>-</v>
      </c>
    </row>
    <row r="6491" customHeight="1" spans="2:2">
      <c r="B6491" s="62" t="str">
        <f>IF(AND('领用录入（明细）'!D:D=$F$4,'领用录入（明细）'!C:C&gt;=$J$4,'领用录入（明细）'!C:C&lt;=$L$4),ROW(),"-")</f>
        <v>-</v>
      </c>
    </row>
    <row r="6492" customHeight="1" spans="2:2">
      <c r="B6492" s="62" t="str">
        <f>IF(AND('领用录入（明细）'!D:D=$F$4,'领用录入（明细）'!C:C&gt;=$J$4,'领用录入（明细）'!C:C&lt;=$L$4),ROW(),"-")</f>
        <v>-</v>
      </c>
    </row>
    <row r="6493" customHeight="1" spans="2:2">
      <c r="B6493" s="62" t="str">
        <f>IF(AND('领用录入（明细）'!D:D=$F$4,'领用录入（明细）'!C:C&gt;=$J$4,'领用录入（明细）'!C:C&lt;=$L$4),ROW(),"-")</f>
        <v>-</v>
      </c>
    </row>
    <row r="6494" customHeight="1" spans="2:2">
      <c r="B6494" s="62" t="str">
        <f>IF(AND('领用录入（明细）'!D:D=$F$4,'领用录入（明细）'!C:C&gt;=$J$4,'领用录入（明细）'!C:C&lt;=$L$4),ROW(),"-")</f>
        <v>-</v>
      </c>
    </row>
    <row r="6495" customHeight="1" spans="2:2">
      <c r="B6495" s="62" t="str">
        <f>IF(AND('领用录入（明细）'!D:D=$F$4,'领用录入（明细）'!C:C&gt;=$J$4,'领用录入（明细）'!C:C&lt;=$L$4),ROW(),"-")</f>
        <v>-</v>
      </c>
    </row>
    <row r="6496" customHeight="1" spans="2:2">
      <c r="B6496" s="62" t="str">
        <f>IF(AND('领用录入（明细）'!D:D=$F$4,'领用录入（明细）'!C:C&gt;=$J$4,'领用录入（明细）'!C:C&lt;=$L$4),ROW(),"-")</f>
        <v>-</v>
      </c>
    </row>
    <row r="6497" customHeight="1" spans="2:2">
      <c r="B6497" s="62" t="str">
        <f>IF(AND('领用录入（明细）'!D:D=$F$4,'领用录入（明细）'!C:C&gt;=$J$4,'领用录入（明细）'!C:C&lt;=$L$4),ROW(),"-")</f>
        <v>-</v>
      </c>
    </row>
    <row r="6498" customHeight="1" spans="2:2">
      <c r="B6498" s="62" t="str">
        <f>IF(AND('领用录入（明细）'!D:D=$F$4,'领用录入（明细）'!C:C&gt;=$J$4,'领用录入（明细）'!C:C&lt;=$L$4),ROW(),"-")</f>
        <v>-</v>
      </c>
    </row>
    <row r="6499" customHeight="1" spans="2:2">
      <c r="B6499" s="62" t="str">
        <f>IF(AND('领用录入（明细）'!D:D=$F$4,'领用录入（明细）'!C:C&gt;=$J$4,'领用录入（明细）'!C:C&lt;=$L$4),ROW(),"-")</f>
        <v>-</v>
      </c>
    </row>
    <row r="6500" customHeight="1" spans="2:2">
      <c r="B6500" s="62" t="str">
        <f>IF(AND('领用录入（明细）'!D:D=$F$4,'领用录入（明细）'!C:C&gt;=$J$4,'领用录入（明细）'!C:C&lt;=$L$4),ROW(),"-")</f>
        <v>-</v>
      </c>
    </row>
    <row r="6501" customHeight="1" spans="2:2">
      <c r="B6501" s="62" t="str">
        <f>IF(AND('领用录入（明细）'!D:D=$F$4,'领用录入（明细）'!C:C&gt;=$J$4,'领用录入（明细）'!C:C&lt;=$L$4),ROW(),"-")</f>
        <v>-</v>
      </c>
    </row>
    <row r="6502" customHeight="1" spans="2:2">
      <c r="B6502" s="62" t="str">
        <f>IF(AND('领用录入（明细）'!D:D=$F$4,'领用录入（明细）'!C:C&gt;=$J$4,'领用录入（明细）'!C:C&lt;=$L$4),ROW(),"-")</f>
        <v>-</v>
      </c>
    </row>
    <row r="6503" customHeight="1" spans="2:2">
      <c r="B6503" s="62" t="str">
        <f>IF(AND('领用录入（明细）'!D:D=$F$4,'领用录入（明细）'!C:C&gt;=$J$4,'领用录入（明细）'!C:C&lt;=$L$4),ROW(),"-")</f>
        <v>-</v>
      </c>
    </row>
    <row r="6504" customHeight="1" spans="2:2">
      <c r="B6504" s="62" t="str">
        <f>IF(AND('领用录入（明细）'!D:D=$F$4,'领用录入（明细）'!C:C&gt;=$J$4,'领用录入（明细）'!C:C&lt;=$L$4),ROW(),"-")</f>
        <v>-</v>
      </c>
    </row>
    <row r="6505" customHeight="1" spans="2:2">
      <c r="B6505" s="62" t="str">
        <f>IF(AND('领用录入（明细）'!D:D=$F$4,'领用录入（明细）'!C:C&gt;=$J$4,'领用录入（明细）'!C:C&lt;=$L$4),ROW(),"-")</f>
        <v>-</v>
      </c>
    </row>
    <row r="6506" customHeight="1" spans="2:2">
      <c r="B6506" s="62" t="str">
        <f>IF(AND('领用录入（明细）'!D:D=$F$4,'领用录入（明细）'!C:C&gt;=$J$4,'领用录入（明细）'!C:C&lt;=$L$4),ROW(),"-")</f>
        <v>-</v>
      </c>
    </row>
    <row r="6507" customHeight="1" spans="2:2">
      <c r="B6507" s="62" t="str">
        <f>IF(AND('领用录入（明细）'!D:D=$F$4,'领用录入（明细）'!C:C&gt;=$J$4,'领用录入（明细）'!C:C&lt;=$L$4),ROW(),"-")</f>
        <v>-</v>
      </c>
    </row>
    <row r="6508" customHeight="1" spans="2:2">
      <c r="B6508" s="62" t="str">
        <f>IF(AND('领用录入（明细）'!D:D=$F$4,'领用录入（明细）'!C:C&gt;=$J$4,'领用录入（明细）'!C:C&lt;=$L$4),ROW(),"-")</f>
        <v>-</v>
      </c>
    </row>
    <row r="6509" customHeight="1" spans="2:2">
      <c r="B6509" s="62" t="str">
        <f>IF(AND('领用录入（明细）'!D:D=$F$4,'领用录入（明细）'!C:C&gt;=$J$4,'领用录入（明细）'!C:C&lt;=$L$4),ROW(),"-")</f>
        <v>-</v>
      </c>
    </row>
    <row r="6510" customHeight="1" spans="2:2">
      <c r="B6510" s="62" t="str">
        <f>IF(AND('领用录入（明细）'!D:D=$F$4,'领用录入（明细）'!C:C&gt;=$J$4,'领用录入（明细）'!C:C&lt;=$L$4),ROW(),"-")</f>
        <v>-</v>
      </c>
    </row>
    <row r="6511" customHeight="1" spans="2:2">
      <c r="B6511" s="62" t="str">
        <f>IF(AND('领用录入（明细）'!D:D=$F$4,'领用录入（明细）'!C:C&gt;=$J$4,'领用录入（明细）'!C:C&lt;=$L$4),ROW(),"-")</f>
        <v>-</v>
      </c>
    </row>
    <row r="6512" customHeight="1" spans="2:2">
      <c r="B6512" s="62" t="str">
        <f>IF(AND('领用录入（明细）'!D:D=$F$4,'领用录入（明细）'!C:C&gt;=$J$4,'领用录入（明细）'!C:C&lt;=$L$4),ROW(),"-")</f>
        <v>-</v>
      </c>
    </row>
    <row r="6513" customHeight="1" spans="2:2">
      <c r="B6513" s="62" t="str">
        <f>IF(AND('领用录入（明细）'!D:D=$F$4,'领用录入（明细）'!C:C&gt;=$J$4,'领用录入（明细）'!C:C&lt;=$L$4),ROW(),"-")</f>
        <v>-</v>
      </c>
    </row>
    <row r="6514" customHeight="1" spans="2:2">
      <c r="B6514" s="62" t="str">
        <f>IF(AND('领用录入（明细）'!D:D=$F$4,'领用录入（明细）'!C:C&gt;=$J$4,'领用录入（明细）'!C:C&lt;=$L$4),ROW(),"-")</f>
        <v>-</v>
      </c>
    </row>
    <row r="6515" customHeight="1" spans="2:2">
      <c r="B6515" s="62" t="str">
        <f>IF(AND('领用录入（明细）'!D:D=$F$4,'领用录入（明细）'!C:C&gt;=$J$4,'领用录入（明细）'!C:C&lt;=$L$4),ROW(),"-")</f>
        <v>-</v>
      </c>
    </row>
    <row r="6516" customHeight="1" spans="2:2">
      <c r="B6516" s="62" t="str">
        <f>IF(AND('领用录入（明细）'!D:D=$F$4,'领用录入（明细）'!C:C&gt;=$J$4,'领用录入（明细）'!C:C&lt;=$L$4),ROW(),"-")</f>
        <v>-</v>
      </c>
    </row>
    <row r="6517" customHeight="1" spans="2:2">
      <c r="B6517" s="62" t="str">
        <f>IF(AND('领用录入（明细）'!D:D=$F$4,'领用录入（明细）'!C:C&gt;=$J$4,'领用录入（明细）'!C:C&lt;=$L$4),ROW(),"-")</f>
        <v>-</v>
      </c>
    </row>
    <row r="6518" customHeight="1" spans="2:2">
      <c r="B6518" s="62" t="str">
        <f>IF(AND('领用录入（明细）'!D:D=$F$4,'领用录入（明细）'!C:C&gt;=$J$4,'领用录入（明细）'!C:C&lt;=$L$4),ROW(),"-")</f>
        <v>-</v>
      </c>
    </row>
    <row r="6519" customHeight="1" spans="2:2">
      <c r="B6519" s="62" t="str">
        <f>IF(AND('领用录入（明细）'!D:D=$F$4,'领用录入（明细）'!C:C&gt;=$J$4,'领用录入（明细）'!C:C&lt;=$L$4),ROW(),"-")</f>
        <v>-</v>
      </c>
    </row>
    <row r="6520" customHeight="1" spans="2:2">
      <c r="B6520" s="62" t="str">
        <f>IF(AND('领用录入（明细）'!D:D=$F$4,'领用录入（明细）'!C:C&gt;=$J$4,'领用录入（明细）'!C:C&lt;=$L$4),ROW(),"-")</f>
        <v>-</v>
      </c>
    </row>
    <row r="6521" customHeight="1" spans="2:2">
      <c r="B6521" s="62" t="str">
        <f>IF(AND('领用录入（明细）'!D:D=$F$4,'领用录入（明细）'!C:C&gt;=$J$4,'领用录入（明细）'!C:C&lt;=$L$4),ROW(),"-")</f>
        <v>-</v>
      </c>
    </row>
    <row r="6522" customHeight="1" spans="2:2">
      <c r="B6522" s="62" t="str">
        <f>IF(AND('领用录入（明细）'!D:D=$F$4,'领用录入（明细）'!C:C&gt;=$J$4,'领用录入（明细）'!C:C&lt;=$L$4),ROW(),"-")</f>
        <v>-</v>
      </c>
    </row>
    <row r="6523" customHeight="1" spans="2:2">
      <c r="B6523" s="62" t="str">
        <f>IF(AND('领用录入（明细）'!D:D=$F$4,'领用录入（明细）'!C:C&gt;=$J$4,'领用录入（明细）'!C:C&lt;=$L$4),ROW(),"-")</f>
        <v>-</v>
      </c>
    </row>
    <row r="6524" customHeight="1" spans="2:2">
      <c r="B6524" s="62" t="str">
        <f>IF(AND('领用录入（明细）'!D:D=$F$4,'领用录入（明细）'!C:C&gt;=$J$4,'领用录入（明细）'!C:C&lt;=$L$4),ROW(),"-")</f>
        <v>-</v>
      </c>
    </row>
    <row r="6525" customHeight="1" spans="2:2">
      <c r="B6525" s="62" t="str">
        <f>IF(AND('领用录入（明细）'!D:D=$F$4,'领用录入（明细）'!C:C&gt;=$J$4,'领用录入（明细）'!C:C&lt;=$L$4),ROW(),"-")</f>
        <v>-</v>
      </c>
    </row>
    <row r="6526" customHeight="1" spans="2:2">
      <c r="B6526" s="62" t="str">
        <f>IF(AND('领用录入（明细）'!D:D=$F$4,'领用录入（明细）'!C:C&gt;=$J$4,'领用录入（明细）'!C:C&lt;=$L$4),ROW(),"-")</f>
        <v>-</v>
      </c>
    </row>
    <row r="6527" customHeight="1" spans="2:2">
      <c r="B6527" s="62" t="str">
        <f>IF(AND('领用录入（明细）'!D:D=$F$4,'领用录入（明细）'!C:C&gt;=$J$4,'领用录入（明细）'!C:C&lt;=$L$4),ROW(),"-")</f>
        <v>-</v>
      </c>
    </row>
    <row r="6528" customHeight="1" spans="2:2">
      <c r="B6528" s="62" t="str">
        <f>IF(AND('领用录入（明细）'!D:D=$F$4,'领用录入（明细）'!C:C&gt;=$J$4,'领用录入（明细）'!C:C&lt;=$L$4),ROW(),"-")</f>
        <v>-</v>
      </c>
    </row>
    <row r="6529" customHeight="1" spans="2:2">
      <c r="B6529" s="62" t="str">
        <f>IF(AND('领用录入（明细）'!D:D=$F$4,'领用录入（明细）'!C:C&gt;=$J$4,'领用录入（明细）'!C:C&lt;=$L$4),ROW(),"-")</f>
        <v>-</v>
      </c>
    </row>
    <row r="6530" customHeight="1" spans="2:2">
      <c r="B6530" s="62" t="str">
        <f>IF(AND('领用录入（明细）'!D:D=$F$4,'领用录入（明细）'!C:C&gt;=$J$4,'领用录入（明细）'!C:C&lt;=$L$4),ROW(),"-")</f>
        <v>-</v>
      </c>
    </row>
    <row r="6531" customHeight="1" spans="2:2">
      <c r="B6531" s="62" t="str">
        <f>IF(AND('领用录入（明细）'!D:D=$F$4,'领用录入（明细）'!C:C&gt;=$J$4,'领用录入（明细）'!C:C&lt;=$L$4),ROW(),"-")</f>
        <v>-</v>
      </c>
    </row>
    <row r="6532" customHeight="1" spans="2:2">
      <c r="B6532" s="62" t="str">
        <f>IF(AND('领用录入（明细）'!D:D=$F$4,'领用录入（明细）'!C:C&gt;=$J$4,'领用录入（明细）'!C:C&lt;=$L$4),ROW(),"-")</f>
        <v>-</v>
      </c>
    </row>
    <row r="6533" customHeight="1" spans="2:2">
      <c r="B6533" s="62" t="str">
        <f>IF(AND('领用录入（明细）'!D:D=$F$4,'领用录入（明细）'!C:C&gt;=$J$4,'领用录入（明细）'!C:C&lt;=$L$4),ROW(),"-")</f>
        <v>-</v>
      </c>
    </row>
    <row r="6534" customHeight="1" spans="2:2">
      <c r="B6534" s="62" t="str">
        <f>IF(AND('领用录入（明细）'!D:D=$F$4,'领用录入（明细）'!C:C&gt;=$J$4,'领用录入（明细）'!C:C&lt;=$L$4),ROW(),"-")</f>
        <v>-</v>
      </c>
    </row>
    <row r="6535" customHeight="1" spans="2:2">
      <c r="B6535" s="62" t="str">
        <f>IF(AND('领用录入（明细）'!D:D=$F$4,'领用录入（明细）'!C:C&gt;=$J$4,'领用录入（明细）'!C:C&lt;=$L$4),ROW(),"-")</f>
        <v>-</v>
      </c>
    </row>
    <row r="6536" customHeight="1" spans="2:2">
      <c r="B6536" s="62" t="str">
        <f>IF(AND('领用录入（明细）'!D:D=$F$4,'领用录入（明细）'!C:C&gt;=$J$4,'领用录入（明细）'!C:C&lt;=$L$4),ROW(),"-")</f>
        <v>-</v>
      </c>
    </row>
    <row r="6537" customHeight="1" spans="2:2">
      <c r="B6537" s="62" t="str">
        <f>IF(AND('领用录入（明细）'!D:D=$F$4,'领用录入（明细）'!C:C&gt;=$J$4,'领用录入（明细）'!C:C&lt;=$L$4),ROW(),"-")</f>
        <v>-</v>
      </c>
    </row>
    <row r="6538" customHeight="1" spans="2:2">
      <c r="B6538" s="62" t="str">
        <f>IF(AND('领用录入（明细）'!D:D=$F$4,'领用录入（明细）'!C:C&gt;=$J$4,'领用录入（明细）'!C:C&lt;=$L$4),ROW(),"-")</f>
        <v>-</v>
      </c>
    </row>
    <row r="6539" customHeight="1" spans="2:2">
      <c r="B6539" s="62" t="str">
        <f>IF(AND('领用录入（明细）'!D:D=$F$4,'领用录入（明细）'!C:C&gt;=$J$4,'领用录入（明细）'!C:C&lt;=$L$4),ROW(),"-")</f>
        <v>-</v>
      </c>
    </row>
    <row r="6540" customHeight="1" spans="2:2">
      <c r="B6540" s="62" t="str">
        <f>IF(AND('领用录入（明细）'!D:D=$F$4,'领用录入（明细）'!C:C&gt;=$J$4,'领用录入（明细）'!C:C&lt;=$L$4),ROW(),"-")</f>
        <v>-</v>
      </c>
    </row>
    <row r="6541" customHeight="1" spans="2:2">
      <c r="B6541" s="62" t="str">
        <f>IF(AND('领用录入（明细）'!D:D=$F$4,'领用录入（明细）'!C:C&gt;=$J$4,'领用录入（明细）'!C:C&lt;=$L$4),ROW(),"-")</f>
        <v>-</v>
      </c>
    </row>
    <row r="6542" customHeight="1" spans="2:2">
      <c r="B6542" s="62" t="str">
        <f>IF(AND('领用录入（明细）'!D:D=$F$4,'领用录入（明细）'!C:C&gt;=$J$4,'领用录入（明细）'!C:C&lt;=$L$4),ROW(),"-")</f>
        <v>-</v>
      </c>
    </row>
    <row r="6543" customHeight="1" spans="2:2">
      <c r="B6543" s="62" t="str">
        <f>IF(AND('领用录入（明细）'!D:D=$F$4,'领用录入（明细）'!C:C&gt;=$J$4,'领用录入（明细）'!C:C&lt;=$L$4),ROW(),"-")</f>
        <v>-</v>
      </c>
    </row>
    <row r="6544" customHeight="1" spans="2:2">
      <c r="B6544" s="62" t="str">
        <f>IF(AND('领用录入（明细）'!D:D=$F$4,'领用录入（明细）'!C:C&gt;=$J$4,'领用录入（明细）'!C:C&lt;=$L$4),ROW(),"-")</f>
        <v>-</v>
      </c>
    </row>
    <row r="6545" customHeight="1" spans="2:2">
      <c r="B6545" s="62" t="str">
        <f>IF(AND('领用录入（明细）'!D:D=$F$4,'领用录入（明细）'!C:C&gt;=$J$4,'领用录入（明细）'!C:C&lt;=$L$4),ROW(),"-")</f>
        <v>-</v>
      </c>
    </row>
    <row r="6546" customHeight="1" spans="2:2">
      <c r="B6546" s="62" t="str">
        <f>IF(AND('领用录入（明细）'!D:D=$F$4,'领用录入（明细）'!C:C&gt;=$J$4,'领用录入（明细）'!C:C&lt;=$L$4),ROW(),"-")</f>
        <v>-</v>
      </c>
    </row>
    <row r="6547" customHeight="1" spans="2:2">
      <c r="B6547" s="62" t="str">
        <f>IF(AND('领用录入（明细）'!D:D=$F$4,'领用录入（明细）'!C:C&gt;=$J$4,'领用录入（明细）'!C:C&lt;=$L$4),ROW(),"-")</f>
        <v>-</v>
      </c>
    </row>
    <row r="6548" customHeight="1" spans="2:2">
      <c r="B6548" s="62" t="str">
        <f>IF(AND('领用录入（明细）'!D:D=$F$4,'领用录入（明细）'!C:C&gt;=$J$4,'领用录入（明细）'!C:C&lt;=$L$4),ROW(),"-")</f>
        <v>-</v>
      </c>
    </row>
    <row r="6549" customHeight="1" spans="2:2">
      <c r="B6549" s="62" t="str">
        <f>IF(AND('领用录入（明细）'!D:D=$F$4,'领用录入（明细）'!C:C&gt;=$J$4,'领用录入（明细）'!C:C&lt;=$L$4),ROW(),"-")</f>
        <v>-</v>
      </c>
    </row>
    <row r="6550" customHeight="1" spans="2:2">
      <c r="B6550" s="62" t="str">
        <f>IF(AND('领用录入（明细）'!D:D=$F$4,'领用录入（明细）'!C:C&gt;=$J$4,'领用录入（明细）'!C:C&lt;=$L$4),ROW(),"-")</f>
        <v>-</v>
      </c>
    </row>
    <row r="6551" customHeight="1" spans="2:2">
      <c r="B6551" s="62" t="str">
        <f>IF(AND('领用录入（明细）'!D:D=$F$4,'领用录入（明细）'!C:C&gt;=$J$4,'领用录入（明细）'!C:C&lt;=$L$4),ROW(),"-")</f>
        <v>-</v>
      </c>
    </row>
    <row r="6552" customHeight="1" spans="2:2">
      <c r="B6552" s="62" t="str">
        <f>IF(AND('领用录入（明细）'!D:D=$F$4,'领用录入（明细）'!C:C&gt;=$J$4,'领用录入（明细）'!C:C&lt;=$L$4),ROW(),"-")</f>
        <v>-</v>
      </c>
    </row>
    <row r="6553" customHeight="1" spans="2:2">
      <c r="B6553" s="62" t="str">
        <f>IF(AND('领用录入（明细）'!D:D=$F$4,'领用录入（明细）'!C:C&gt;=$J$4,'领用录入（明细）'!C:C&lt;=$L$4),ROW(),"-")</f>
        <v>-</v>
      </c>
    </row>
    <row r="6554" customHeight="1" spans="2:2">
      <c r="B6554" s="62" t="str">
        <f>IF(AND('领用录入（明细）'!D:D=$F$4,'领用录入（明细）'!C:C&gt;=$J$4,'领用录入（明细）'!C:C&lt;=$L$4),ROW(),"-")</f>
        <v>-</v>
      </c>
    </row>
    <row r="6555" customHeight="1" spans="2:2">
      <c r="B6555" s="62" t="str">
        <f>IF(AND('领用录入（明细）'!D:D=$F$4,'领用录入（明细）'!C:C&gt;=$J$4,'领用录入（明细）'!C:C&lt;=$L$4),ROW(),"-")</f>
        <v>-</v>
      </c>
    </row>
    <row r="6556" customHeight="1" spans="2:2">
      <c r="B6556" s="62" t="str">
        <f>IF(AND('领用录入（明细）'!D:D=$F$4,'领用录入（明细）'!C:C&gt;=$J$4,'领用录入（明细）'!C:C&lt;=$L$4),ROW(),"-")</f>
        <v>-</v>
      </c>
    </row>
    <row r="6557" customHeight="1" spans="2:2">
      <c r="B6557" s="62" t="str">
        <f>IF(AND('领用录入（明细）'!D:D=$F$4,'领用录入（明细）'!C:C&gt;=$J$4,'领用录入（明细）'!C:C&lt;=$L$4),ROW(),"-")</f>
        <v>-</v>
      </c>
    </row>
    <row r="6558" customHeight="1" spans="2:2">
      <c r="B6558" s="62" t="str">
        <f>IF(AND('领用录入（明细）'!D:D=$F$4,'领用录入（明细）'!C:C&gt;=$J$4,'领用录入（明细）'!C:C&lt;=$L$4),ROW(),"-")</f>
        <v>-</v>
      </c>
    </row>
    <row r="6559" customHeight="1" spans="2:2">
      <c r="B6559" s="62" t="str">
        <f>IF(AND('领用录入（明细）'!D:D=$F$4,'领用录入（明细）'!C:C&gt;=$J$4,'领用录入（明细）'!C:C&lt;=$L$4),ROW(),"-")</f>
        <v>-</v>
      </c>
    </row>
    <row r="6560" customHeight="1" spans="2:2">
      <c r="B6560" s="62" t="str">
        <f>IF(AND('领用录入（明细）'!D:D=$F$4,'领用录入（明细）'!C:C&gt;=$J$4,'领用录入（明细）'!C:C&lt;=$L$4),ROW(),"-")</f>
        <v>-</v>
      </c>
    </row>
    <row r="6561" customHeight="1" spans="2:2">
      <c r="B6561" s="62" t="str">
        <f>IF(AND('领用录入（明细）'!D:D=$F$4,'领用录入（明细）'!C:C&gt;=$J$4,'领用录入（明细）'!C:C&lt;=$L$4),ROW(),"-")</f>
        <v>-</v>
      </c>
    </row>
    <row r="6562" customHeight="1" spans="2:2">
      <c r="B6562" s="62" t="str">
        <f>IF(AND('领用录入（明细）'!D:D=$F$4,'领用录入（明细）'!C:C&gt;=$J$4,'领用录入（明细）'!C:C&lt;=$L$4),ROW(),"-")</f>
        <v>-</v>
      </c>
    </row>
    <row r="6563" customHeight="1" spans="2:2">
      <c r="B6563" s="62" t="str">
        <f>IF(AND('领用录入（明细）'!D:D=$F$4,'领用录入（明细）'!C:C&gt;=$J$4,'领用录入（明细）'!C:C&lt;=$L$4),ROW(),"-")</f>
        <v>-</v>
      </c>
    </row>
    <row r="6564" customHeight="1" spans="2:2">
      <c r="B6564" s="62" t="str">
        <f>IF(AND('领用录入（明细）'!D:D=$F$4,'领用录入（明细）'!C:C&gt;=$J$4,'领用录入（明细）'!C:C&lt;=$L$4),ROW(),"-")</f>
        <v>-</v>
      </c>
    </row>
    <row r="6565" customHeight="1" spans="2:2">
      <c r="B6565" s="62" t="str">
        <f>IF(AND('领用录入（明细）'!D:D=$F$4,'领用录入（明细）'!C:C&gt;=$J$4,'领用录入（明细）'!C:C&lt;=$L$4),ROW(),"-")</f>
        <v>-</v>
      </c>
    </row>
    <row r="6566" customHeight="1" spans="2:2">
      <c r="B6566" s="62" t="str">
        <f>IF(AND('领用录入（明细）'!D:D=$F$4,'领用录入（明细）'!C:C&gt;=$J$4,'领用录入（明细）'!C:C&lt;=$L$4),ROW(),"-")</f>
        <v>-</v>
      </c>
    </row>
    <row r="6567" customHeight="1" spans="2:2">
      <c r="B6567" s="62" t="str">
        <f>IF(AND('领用录入（明细）'!D:D=$F$4,'领用录入（明细）'!C:C&gt;=$J$4,'领用录入（明细）'!C:C&lt;=$L$4),ROW(),"-")</f>
        <v>-</v>
      </c>
    </row>
    <row r="6568" customHeight="1" spans="2:2">
      <c r="B6568" s="62" t="str">
        <f>IF(AND('领用录入（明细）'!D:D=$F$4,'领用录入（明细）'!C:C&gt;=$J$4,'领用录入（明细）'!C:C&lt;=$L$4),ROW(),"-")</f>
        <v>-</v>
      </c>
    </row>
    <row r="6569" customHeight="1" spans="2:2">
      <c r="B6569" s="62" t="str">
        <f>IF(AND('领用录入（明细）'!D:D=$F$4,'领用录入（明细）'!C:C&gt;=$J$4,'领用录入（明细）'!C:C&lt;=$L$4),ROW(),"-")</f>
        <v>-</v>
      </c>
    </row>
    <row r="6570" customHeight="1" spans="2:2">
      <c r="B6570" s="62" t="str">
        <f>IF(AND('领用录入（明细）'!D:D=$F$4,'领用录入（明细）'!C:C&gt;=$J$4,'领用录入（明细）'!C:C&lt;=$L$4),ROW(),"-")</f>
        <v>-</v>
      </c>
    </row>
    <row r="6571" customHeight="1" spans="2:2">
      <c r="B6571" s="62" t="str">
        <f>IF(AND('领用录入（明细）'!D:D=$F$4,'领用录入（明细）'!C:C&gt;=$J$4,'领用录入（明细）'!C:C&lt;=$L$4),ROW(),"-")</f>
        <v>-</v>
      </c>
    </row>
    <row r="6572" customHeight="1" spans="2:2">
      <c r="B6572" s="62" t="str">
        <f>IF(AND('领用录入（明细）'!D:D=$F$4,'领用录入（明细）'!C:C&gt;=$J$4,'领用录入（明细）'!C:C&lt;=$L$4),ROW(),"-")</f>
        <v>-</v>
      </c>
    </row>
    <row r="6573" customHeight="1" spans="2:2">
      <c r="B6573" s="62" t="str">
        <f>IF(AND('领用录入（明细）'!D:D=$F$4,'领用录入（明细）'!C:C&gt;=$J$4,'领用录入（明细）'!C:C&lt;=$L$4),ROW(),"-")</f>
        <v>-</v>
      </c>
    </row>
    <row r="6574" customHeight="1" spans="2:2">
      <c r="B6574" s="62" t="str">
        <f>IF(AND('领用录入（明细）'!D:D=$F$4,'领用录入（明细）'!C:C&gt;=$J$4,'领用录入（明细）'!C:C&lt;=$L$4),ROW(),"-")</f>
        <v>-</v>
      </c>
    </row>
    <row r="6575" customHeight="1" spans="2:2">
      <c r="B6575" s="62" t="str">
        <f>IF(AND('领用录入（明细）'!D:D=$F$4,'领用录入（明细）'!C:C&gt;=$J$4,'领用录入（明细）'!C:C&lt;=$L$4),ROW(),"-")</f>
        <v>-</v>
      </c>
    </row>
    <row r="6576" customHeight="1" spans="2:2">
      <c r="B6576" s="62" t="str">
        <f>IF(AND('领用录入（明细）'!D:D=$F$4,'领用录入（明细）'!C:C&gt;=$J$4,'领用录入（明细）'!C:C&lt;=$L$4),ROW(),"-")</f>
        <v>-</v>
      </c>
    </row>
    <row r="6577" customHeight="1" spans="2:2">
      <c r="B6577" s="62" t="str">
        <f>IF(AND('领用录入（明细）'!D:D=$F$4,'领用录入（明细）'!C:C&gt;=$J$4,'领用录入（明细）'!C:C&lt;=$L$4),ROW(),"-")</f>
        <v>-</v>
      </c>
    </row>
    <row r="6578" customHeight="1" spans="2:2">
      <c r="B6578" s="62" t="str">
        <f>IF(AND('领用录入（明细）'!D:D=$F$4,'领用录入（明细）'!C:C&gt;=$J$4,'领用录入（明细）'!C:C&lt;=$L$4),ROW(),"-")</f>
        <v>-</v>
      </c>
    </row>
    <row r="6579" customHeight="1" spans="2:2">
      <c r="B6579" s="62" t="str">
        <f>IF(AND('领用录入（明细）'!D:D=$F$4,'领用录入（明细）'!C:C&gt;=$J$4,'领用录入（明细）'!C:C&lt;=$L$4),ROW(),"-")</f>
        <v>-</v>
      </c>
    </row>
    <row r="6580" customHeight="1" spans="2:2">
      <c r="B6580" s="62" t="str">
        <f>IF(AND('领用录入（明细）'!D:D=$F$4,'领用录入（明细）'!C:C&gt;=$J$4,'领用录入（明细）'!C:C&lt;=$L$4),ROW(),"-")</f>
        <v>-</v>
      </c>
    </row>
    <row r="6581" customHeight="1" spans="2:2">
      <c r="B6581" s="62" t="str">
        <f>IF(AND('领用录入（明细）'!D:D=$F$4,'领用录入（明细）'!C:C&gt;=$J$4,'领用录入（明细）'!C:C&lt;=$L$4),ROW(),"-")</f>
        <v>-</v>
      </c>
    </row>
    <row r="6582" customHeight="1" spans="2:2">
      <c r="B6582" s="62" t="str">
        <f>IF(AND('领用录入（明细）'!D:D=$F$4,'领用录入（明细）'!C:C&gt;=$J$4,'领用录入（明细）'!C:C&lt;=$L$4),ROW(),"-")</f>
        <v>-</v>
      </c>
    </row>
    <row r="6583" customHeight="1" spans="2:2">
      <c r="B6583" s="62" t="str">
        <f>IF(AND('领用录入（明细）'!D:D=$F$4,'领用录入（明细）'!C:C&gt;=$J$4,'领用录入（明细）'!C:C&lt;=$L$4),ROW(),"-")</f>
        <v>-</v>
      </c>
    </row>
    <row r="6584" customHeight="1" spans="2:2">
      <c r="B6584" s="62" t="str">
        <f>IF(AND('领用录入（明细）'!D:D=$F$4,'领用录入（明细）'!C:C&gt;=$J$4,'领用录入（明细）'!C:C&lt;=$L$4),ROW(),"-")</f>
        <v>-</v>
      </c>
    </row>
    <row r="6585" customHeight="1" spans="2:2">
      <c r="B6585" s="62" t="str">
        <f>IF(AND('领用录入（明细）'!D:D=$F$4,'领用录入（明细）'!C:C&gt;=$J$4,'领用录入（明细）'!C:C&lt;=$L$4),ROW(),"-")</f>
        <v>-</v>
      </c>
    </row>
    <row r="6586" customHeight="1" spans="2:2">
      <c r="B6586" s="62" t="str">
        <f>IF(AND('领用录入（明细）'!D:D=$F$4,'领用录入（明细）'!C:C&gt;=$J$4,'领用录入（明细）'!C:C&lt;=$L$4),ROW(),"-")</f>
        <v>-</v>
      </c>
    </row>
    <row r="6587" customHeight="1" spans="2:2">
      <c r="B6587" s="62" t="str">
        <f>IF(AND('领用录入（明细）'!D:D=$F$4,'领用录入（明细）'!C:C&gt;=$J$4,'领用录入（明细）'!C:C&lt;=$L$4),ROW(),"-")</f>
        <v>-</v>
      </c>
    </row>
    <row r="6588" customHeight="1" spans="2:2">
      <c r="B6588" s="62" t="str">
        <f>IF(AND('领用录入（明细）'!D:D=$F$4,'领用录入（明细）'!C:C&gt;=$J$4,'领用录入（明细）'!C:C&lt;=$L$4),ROW(),"-")</f>
        <v>-</v>
      </c>
    </row>
    <row r="6589" customHeight="1" spans="2:2">
      <c r="B6589" s="62" t="str">
        <f>IF(AND('领用录入（明细）'!D:D=$F$4,'领用录入（明细）'!C:C&gt;=$J$4,'领用录入（明细）'!C:C&lt;=$L$4),ROW(),"-")</f>
        <v>-</v>
      </c>
    </row>
    <row r="6590" customHeight="1" spans="2:2">
      <c r="B6590" s="62" t="str">
        <f>IF(AND('领用录入（明细）'!D:D=$F$4,'领用录入（明细）'!C:C&gt;=$J$4,'领用录入（明细）'!C:C&lt;=$L$4),ROW(),"-")</f>
        <v>-</v>
      </c>
    </row>
    <row r="6591" customHeight="1" spans="2:2">
      <c r="B6591" s="62" t="str">
        <f>IF(AND('领用录入（明细）'!D:D=$F$4,'领用录入（明细）'!C:C&gt;=$J$4,'领用录入（明细）'!C:C&lt;=$L$4),ROW(),"-")</f>
        <v>-</v>
      </c>
    </row>
    <row r="6592" customHeight="1" spans="2:2">
      <c r="B6592" s="62" t="str">
        <f>IF(AND('领用录入（明细）'!D:D=$F$4,'领用录入（明细）'!C:C&gt;=$J$4,'领用录入（明细）'!C:C&lt;=$L$4),ROW(),"-")</f>
        <v>-</v>
      </c>
    </row>
    <row r="6593" customHeight="1" spans="2:2">
      <c r="B6593" s="62" t="str">
        <f>IF(AND('领用录入（明细）'!D:D=$F$4,'领用录入（明细）'!C:C&gt;=$J$4,'领用录入（明细）'!C:C&lt;=$L$4),ROW(),"-")</f>
        <v>-</v>
      </c>
    </row>
    <row r="6594" customHeight="1" spans="2:2">
      <c r="B6594" s="62" t="str">
        <f>IF(AND('领用录入（明细）'!D:D=$F$4,'领用录入（明细）'!C:C&gt;=$J$4,'领用录入（明细）'!C:C&lt;=$L$4),ROW(),"-")</f>
        <v>-</v>
      </c>
    </row>
    <row r="6595" customHeight="1" spans="2:2">
      <c r="B6595" s="62" t="str">
        <f>IF(AND('领用录入（明细）'!D:D=$F$4,'领用录入（明细）'!C:C&gt;=$J$4,'领用录入（明细）'!C:C&lt;=$L$4),ROW(),"-")</f>
        <v>-</v>
      </c>
    </row>
    <row r="6596" customHeight="1" spans="2:2">
      <c r="B6596" s="62" t="str">
        <f>IF(AND('领用录入（明细）'!D:D=$F$4,'领用录入（明细）'!C:C&gt;=$J$4,'领用录入（明细）'!C:C&lt;=$L$4),ROW(),"-")</f>
        <v>-</v>
      </c>
    </row>
    <row r="6597" customHeight="1" spans="2:2">
      <c r="B6597" s="62" t="str">
        <f>IF(AND('领用录入（明细）'!D:D=$F$4,'领用录入（明细）'!C:C&gt;=$J$4,'领用录入（明细）'!C:C&lt;=$L$4),ROW(),"-")</f>
        <v>-</v>
      </c>
    </row>
    <row r="6598" customHeight="1" spans="2:2">
      <c r="B6598" s="62" t="str">
        <f>IF(AND('领用录入（明细）'!D:D=$F$4,'领用录入（明细）'!C:C&gt;=$J$4,'领用录入（明细）'!C:C&lt;=$L$4),ROW(),"-")</f>
        <v>-</v>
      </c>
    </row>
    <row r="6599" customHeight="1" spans="2:2">
      <c r="B6599" s="62" t="str">
        <f>IF(AND('领用录入（明细）'!D:D=$F$4,'领用录入（明细）'!C:C&gt;=$J$4,'领用录入（明细）'!C:C&lt;=$L$4),ROW(),"-")</f>
        <v>-</v>
      </c>
    </row>
    <row r="6600" customHeight="1" spans="2:2">
      <c r="B6600" s="62" t="str">
        <f>IF(AND('领用录入（明细）'!D:D=$F$4,'领用录入（明细）'!C:C&gt;=$J$4,'领用录入（明细）'!C:C&lt;=$L$4),ROW(),"-")</f>
        <v>-</v>
      </c>
    </row>
    <row r="6601" customHeight="1" spans="2:2">
      <c r="B6601" s="62" t="str">
        <f>IF(AND('领用录入（明细）'!D:D=$F$4,'领用录入（明细）'!C:C&gt;=$J$4,'领用录入（明细）'!C:C&lt;=$L$4),ROW(),"-")</f>
        <v>-</v>
      </c>
    </row>
    <row r="6602" customHeight="1" spans="2:2">
      <c r="B6602" s="62" t="str">
        <f>IF(AND('领用录入（明细）'!D:D=$F$4,'领用录入（明细）'!C:C&gt;=$J$4,'领用录入（明细）'!C:C&lt;=$L$4),ROW(),"-")</f>
        <v>-</v>
      </c>
    </row>
    <row r="6603" customHeight="1" spans="2:2">
      <c r="B6603" s="62" t="str">
        <f>IF(AND('领用录入（明细）'!D:D=$F$4,'领用录入（明细）'!C:C&gt;=$J$4,'领用录入（明细）'!C:C&lt;=$L$4),ROW(),"-")</f>
        <v>-</v>
      </c>
    </row>
    <row r="6604" customHeight="1" spans="2:2">
      <c r="B6604" s="62" t="str">
        <f>IF(AND('领用录入（明细）'!D:D=$F$4,'领用录入（明细）'!C:C&gt;=$J$4,'领用录入（明细）'!C:C&lt;=$L$4),ROW(),"-")</f>
        <v>-</v>
      </c>
    </row>
    <row r="6605" customHeight="1" spans="2:2">
      <c r="B6605" s="62" t="str">
        <f>IF(AND('领用录入（明细）'!D:D=$F$4,'领用录入（明细）'!C:C&gt;=$J$4,'领用录入（明细）'!C:C&lt;=$L$4),ROW(),"-")</f>
        <v>-</v>
      </c>
    </row>
    <row r="6606" customHeight="1" spans="2:2">
      <c r="B6606" s="62" t="str">
        <f>IF(AND('领用录入（明细）'!D:D=$F$4,'领用录入（明细）'!C:C&gt;=$J$4,'领用录入（明细）'!C:C&lt;=$L$4),ROW(),"-")</f>
        <v>-</v>
      </c>
    </row>
    <row r="6607" customHeight="1" spans="2:2">
      <c r="B6607" s="62" t="str">
        <f>IF(AND('领用录入（明细）'!D:D=$F$4,'领用录入（明细）'!C:C&gt;=$J$4,'领用录入（明细）'!C:C&lt;=$L$4),ROW(),"-")</f>
        <v>-</v>
      </c>
    </row>
    <row r="6608" customHeight="1" spans="2:2">
      <c r="B6608" s="62" t="str">
        <f>IF(AND('领用录入（明细）'!D:D=$F$4,'领用录入（明细）'!C:C&gt;=$J$4,'领用录入（明细）'!C:C&lt;=$L$4),ROW(),"-")</f>
        <v>-</v>
      </c>
    </row>
    <row r="6609" customHeight="1" spans="2:2">
      <c r="B6609" s="62" t="str">
        <f>IF(AND('领用录入（明细）'!D:D=$F$4,'领用录入（明细）'!C:C&gt;=$J$4,'领用录入（明细）'!C:C&lt;=$L$4),ROW(),"-")</f>
        <v>-</v>
      </c>
    </row>
    <row r="6610" customHeight="1" spans="2:2">
      <c r="B6610" s="62" t="str">
        <f>IF(AND('领用录入（明细）'!D:D=$F$4,'领用录入（明细）'!C:C&gt;=$J$4,'领用录入（明细）'!C:C&lt;=$L$4),ROW(),"-")</f>
        <v>-</v>
      </c>
    </row>
    <row r="6611" customHeight="1" spans="2:2">
      <c r="B6611" s="62" t="str">
        <f>IF(AND('领用录入（明细）'!D:D=$F$4,'领用录入（明细）'!C:C&gt;=$J$4,'领用录入（明细）'!C:C&lt;=$L$4),ROW(),"-")</f>
        <v>-</v>
      </c>
    </row>
    <row r="6612" customHeight="1" spans="2:2">
      <c r="B6612" s="62" t="str">
        <f>IF(AND('领用录入（明细）'!D:D=$F$4,'领用录入（明细）'!C:C&gt;=$J$4,'领用录入（明细）'!C:C&lt;=$L$4),ROW(),"-")</f>
        <v>-</v>
      </c>
    </row>
    <row r="6613" customHeight="1" spans="2:2">
      <c r="B6613" s="62" t="str">
        <f>IF(AND('领用录入（明细）'!D:D=$F$4,'领用录入（明细）'!C:C&gt;=$J$4,'领用录入（明细）'!C:C&lt;=$L$4),ROW(),"-")</f>
        <v>-</v>
      </c>
    </row>
    <row r="6614" customHeight="1" spans="2:2">
      <c r="B6614" s="62" t="str">
        <f>IF(AND('领用录入（明细）'!D:D=$F$4,'领用录入（明细）'!C:C&gt;=$J$4,'领用录入（明细）'!C:C&lt;=$L$4),ROW(),"-")</f>
        <v>-</v>
      </c>
    </row>
    <row r="6615" customHeight="1" spans="2:2">
      <c r="B6615" s="62" t="str">
        <f>IF(AND('领用录入（明细）'!D:D=$F$4,'领用录入（明细）'!C:C&gt;=$J$4,'领用录入（明细）'!C:C&lt;=$L$4),ROW(),"-")</f>
        <v>-</v>
      </c>
    </row>
    <row r="6616" customHeight="1" spans="2:2">
      <c r="B6616" s="62" t="str">
        <f>IF(AND('领用录入（明细）'!D:D=$F$4,'领用录入（明细）'!C:C&gt;=$J$4,'领用录入（明细）'!C:C&lt;=$L$4),ROW(),"-")</f>
        <v>-</v>
      </c>
    </row>
    <row r="6617" customHeight="1" spans="2:2">
      <c r="B6617" s="62" t="str">
        <f>IF(AND('领用录入（明细）'!D:D=$F$4,'领用录入（明细）'!C:C&gt;=$J$4,'领用录入（明细）'!C:C&lt;=$L$4),ROW(),"-")</f>
        <v>-</v>
      </c>
    </row>
    <row r="6618" customHeight="1" spans="2:2">
      <c r="B6618" s="62" t="str">
        <f>IF(AND('领用录入（明细）'!D:D=$F$4,'领用录入（明细）'!C:C&gt;=$J$4,'领用录入（明细）'!C:C&lt;=$L$4),ROW(),"-")</f>
        <v>-</v>
      </c>
    </row>
    <row r="6619" customHeight="1" spans="2:2">
      <c r="B6619" s="62" t="str">
        <f>IF(AND('领用录入（明细）'!D:D=$F$4,'领用录入（明细）'!C:C&gt;=$J$4,'领用录入（明细）'!C:C&lt;=$L$4),ROW(),"-")</f>
        <v>-</v>
      </c>
    </row>
    <row r="6620" customHeight="1" spans="2:2">
      <c r="B6620" s="62" t="str">
        <f>IF(AND('领用录入（明细）'!D:D=$F$4,'领用录入（明细）'!C:C&gt;=$J$4,'领用录入（明细）'!C:C&lt;=$L$4),ROW(),"-")</f>
        <v>-</v>
      </c>
    </row>
    <row r="6621" customHeight="1" spans="2:2">
      <c r="B6621" s="62" t="str">
        <f>IF(AND('领用录入（明细）'!D:D=$F$4,'领用录入（明细）'!C:C&gt;=$J$4,'领用录入（明细）'!C:C&lt;=$L$4),ROW(),"-")</f>
        <v>-</v>
      </c>
    </row>
    <row r="6622" customHeight="1" spans="2:2">
      <c r="B6622" s="62" t="str">
        <f>IF(AND('领用录入（明细）'!D:D=$F$4,'领用录入（明细）'!C:C&gt;=$J$4,'领用录入（明细）'!C:C&lt;=$L$4),ROW(),"-")</f>
        <v>-</v>
      </c>
    </row>
    <row r="6623" customHeight="1" spans="2:2">
      <c r="B6623" s="62" t="str">
        <f>IF(AND('领用录入（明细）'!D:D=$F$4,'领用录入（明细）'!C:C&gt;=$J$4,'领用录入（明细）'!C:C&lt;=$L$4),ROW(),"-")</f>
        <v>-</v>
      </c>
    </row>
    <row r="6624" customHeight="1" spans="2:2">
      <c r="B6624" s="62" t="str">
        <f>IF(AND('领用录入（明细）'!D:D=$F$4,'领用录入（明细）'!C:C&gt;=$J$4,'领用录入（明细）'!C:C&lt;=$L$4),ROW(),"-")</f>
        <v>-</v>
      </c>
    </row>
    <row r="6625" customHeight="1" spans="2:2">
      <c r="B6625" s="62" t="str">
        <f>IF(AND('领用录入（明细）'!D:D=$F$4,'领用录入（明细）'!C:C&gt;=$J$4,'领用录入（明细）'!C:C&lt;=$L$4),ROW(),"-")</f>
        <v>-</v>
      </c>
    </row>
    <row r="6626" customHeight="1" spans="2:2">
      <c r="B6626" s="62" t="str">
        <f>IF(AND('领用录入（明细）'!D:D=$F$4,'领用录入（明细）'!C:C&gt;=$J$4,'领用录入（明细）'!C:C&lt;=$L$4),ROW(),"-")</f>
        <v>-</v>
      </c>
    </row>
    <row r="6627" customHeight="1" spans="2:2">
      <c r="B6627" s="62" t="str">
        <f>IF(AND('领用录入（明细）'!D:D=$F$4,'领用录入（明细）'!C:C&gt;=$J$4,'领用录入（明细）'!C:C&lt;=$L$4),ROW(),"-")</f>
        <v>-</v>
      </c>
    </row>
    <row r="6628" customHeight="1" spans="2:2">
      <c r="B6628" s="62" t="str">
        <f>IF(AND('领用录入（明细）'!D:D=$F$4,'领用录入（明细）'!C:C&gt;=$J$4,'领用录入（明细）'!C:C&lt;=$L$4),ROW(),"-")</f>
        <v>-</v>
      </c>
    </row>
    <row r="6629" customHeight="1" spans="2:2">
      <c r="B6629" s="62" t="str">
        <f>IF(AND('领用录入（明细）'!D:D=$F$4,'领用录入（明细）'!C:C&gt;=$J$4,'领用录入（明细）'!C:C&lt;=$L$4),ROW(),"-")</f>
        <v>-</v>
      </c>
    </row>
    <row r="6630" customHeight="1" spans="2:2">
      <c r="B6630" s="62" t="str">
        <f>IF(AND('领用录入（明细）'!D:D=$F$4,'领用录入（明细）'!C:C&gt;=$J$4,'领用录入（明细）'!C:C&lt;=$L$4),ROW(),"-")</f>
        <v>-</v>
      </c>
    </row>
    <row r="6631" customHeight="1" spans="2:2">
      <c r="B6631" s="62" t="str">
        <f>IF(AND('领用录入（明细）'!D:D=$F$4,'领用录入（明细）'!C:C&gt;=$J$4,'领用录入（明细）'!C:C&lt;=$L$4),ROW(),"-")</f>
        <v>-</v>
      </c>
    </row>
    <row r="6632" customHeight="1" spans="2:2">
      <c r="B6632" s="62" t="str">
        <f>IF(AND('领用录入（明细）'!D:D=$F$4,'领用录入（明细）'!C:C&gt;=$J$4,'领用录入（明细）'!C:C&lt;=$L$4),ROW(),"-")</f>
        <v>-</v>
      </c>
    </row>
    <row r="6633" customHeight="1" spans="2:2">
      <c r="B6633" s="62" t="str">
        <f>IF(AND('领用录入（明细）'!D:D=$F$4,'领用录入（明细）'!C:C&gt;=$J$4,'领用录入（明细）'!C:C&lt;=$L$4),ROW(),"-")</f>
        <v>-</v>
      </c>
    </row>
    <row r="6634" customHeight="1" spans="2:2">
      <c r="B6634" s="62" t="str">
        <f>IF(AND('领用录入（明细）'!D:D=$F$4,'领用录入（明细）'!C:C&gt;=$J$4,'领用录入（明细）'!C:C&lt;=$L$4),ROW(),"-")</f>
        <v>-</v>
      </c>
    </row>
    <row r="6635" customHeight="1" spans="2:2">
      <c r="B6635" s="62" t="str">
        <f>IF(AND('领用录入（明细）'!D:D=$F$4,'领用录入（明细）'!C:C&gt;=$J$4,'领用录入（明细）'!C:C&lt;=$L$4),ROW(),"-")</f>
        <v>-</v>
      </c>
    </row>
    <row r="6636" customHeight="1" spans="2:2">
      <c r="B6636" s="62" t="str">
        <f>IF(AND('领用录入（明细）'!D:D=$F$4,'领用录入（明细）'!C:C&gt;=$J$4,'领用录入（明细）'!C:C&lt;=$L$4),ROW(),"-")</f>
        <v>-</v>
      </c>
    </row>
    <row r="6637" customHeight="1" spans="2:2">
      <c r="B6637" s="62" t="str">
        <f>IF(AND('领用录入（明细）'!D:D=$F$4,'领用录入（明细）'!C:C&gt;=$J$4,'领用录入（明细）'!C:C&lt;=$L$4),ROW(),"-")</f>
        <v>-</v>
      </c>
    </row>
    <row r="6638" customHeight="1" spans="2:2">
      <c r="B6638" s="62" t="str">
        <f>IF(AND('领用录入（明细）'!D:D=$F$4,'领用录入（明细）'!C:C&gt;=$J$4,'领用录入（明细）'!C:C&lt;=$L$4),ROW(),"-")</f>
        <v>-</v>
      </c>
    </row>
    <row r="6639" customHeight="1" spans="2:2">
      <c r="B6639" s="62" t="str">
        <f>IF(AND('领用录入（明细）'!D:D=$F$4,'领用录入（明细）'!C:C&gt;=$J$4,'领用录入（明细）'!C:C&lt;=$L$4),ROW(),"-")</f>
        <v>-</v>
      </c>
    </row>
    <row r="6640" customHeight="1" spans="2:2">
      <c r="B6640" s="62" t="str">
        <f>IF(AND('领用录入（明细）'!D:D=$F$4,'领用录入（明细）'!C:C&gt;=$J$4,'领用录入（明细）'!C:C&lt;=$L$4),ROW(),"-")</f>
        <v>-</v>
      </c>
    </row>
    <row r="6641" customHeight="1" spans="2:2">
      <c r="B6641" s="62" t="str">
        <f>IF(AND('领用录入（明细）'!D:D=$F$4,'领用录入（明细）'!C:C&gt;=$J$4,'领用录入（明细）'!C:C&lt;=$L$4),ROW(),"-")</f>
        <v>-</v>
      </c>
    </row>
    <row r="6642" customHeight="1" spans="2:2">
      <c r="B6642" s="62" t="str">
        <f>IF(AND('领用录入（明细）'!D:D=$F$4,'领用录入（明细）'!C:C&gt;=$J$4,'领用录入（明细）'!C:C&lt;=$L$4),ROW(),"-")</f>
        <v>-</v>
      </c>
    </row>
    <row r="6643" customHeight="1" spans="2:2">
      <c r="B6643" s="62" t="str">
        <f>IF(AND('领用录入（明细）'!D:D=$F$4,'领用录入（明细）'!C:C&gt;=$J$4,'领用录入（明细）'!C:C&lt;=$L$4),ROW(),"-")</f>
        <v>-</v>
      </c>
    </row>
    <row r="6644" customHeight="1" spans="2:2">
      <c r="B6644" s="62" t="str">
        <f>IF(AND('领用录入（明细）'!D:D=$F$4,'领用录入（明细）'!C:C&gt;=$J$4,'领用录入（明细）'!C:C&lt;=$L$4),ROW(),"-")</f>
        <v>-</v>
      </c>
    </row>
    <row r="6645" customHeight="1" spans="2:2">
      <c r="B6645" s="62" t="str">
        <f>IF(AND('领用录入（明细）'!D:D=$F$4,'领用录入（明细）'!C:C&gt;=$J$4,'领用录入（明细）'!C:C&lt;=$L$4),ROW(),"-")</f>
        <v>-</v>
      </c>
    </row>
    <row r="6646" customHeight="1" spans="2:2">
      <c r="B6646" s="62" t="str">
        <f>IF(AND('领用录入（明细）'!D:D=$F$4,'领用录入（明细）'!C:C&gt;=$J$4,'领用录入（明细）'!C:C&lt;=$L$4),ROW(),"-")</f>
        <v>-</v>
      </c>
    </row>
    <row r="6647" customHeight="1" spans="2:2">
      <c r="B6647" s="62" t="str">
        <f>IF(AND('领用录入（明细）'!D:D=$F$4,'领用录入（明细）'!C:C&gt;=$J$4,'领用录入（明细）'!C:C&lt;=$L$4),ROW(),"-")</f>
        <v>-</v>
      </c>
    </row>
    <row r="6648" customHeight="1" spans="2:2">
      <c r="B6648" s="62" t="str">
        <f>IF(AND('领用录入（明细）'!D:D=$F$4,'领用录入（明细）'!C:C&gt;=$J$4,'领用录入（明细）'!C:C&lt;=$L$4),ROW(),"-")</f>
        <v>-</v>
      </c>
    </row>
    <row r="6649" customHeight="1" spans="2:2">
      <c r="B6649" s="62" t="str">
        <f>IF(AND('领用录入（明细）'!D:D=$F$4,'领用录入（明细）'!C:C&gt;=$J$4,'领用录入（明细）'!C:C&lt;=$L$4),ROW(),"-")</f>
        <v>-</v>
      </c>
    </row>
    <row r="6650" customHeight="1" spans="2:2">
      <c r="B6650" s="62" t="str">
        <f>IF(AND('领用录入（明细）'!D:D=$F$4,'领用录入（明细）'!C:C&gt;=$J$4,'领用录入（明细）'!C:C&lt;=$L$4),ROW(),"-")</f>
        <v>-</v>
      </c>
    </row>
    <row r="6651" customHeight="1" spans="2:2">
      <c r="B6651" s="62" t="str">
        <f>IF(AND('领用录入（明细）'!D:D=$F$4,'领用录入（明细）'!C:C&gt;=$J$4,'领用录入（明细）'!C:C&lt;=$L$4),ROW(),"-")</f>
        <v>-</v>
      </c>
    </row>
    <row r="6652" customHeight="1" spans="2:2">
      <c r="B6652" s="62" t="str">
        <f>IF(AND('领用录入（明细）'!D:D=$F$4,'领用录入（明细）'!C:C&gt;=$J$4,'领用录入（明细）'!C:C&lt;=$L$4),ROW(),"-")</f>
        <v>-</v>
      </c>
    </row>
    <row r="6653" customHeight="1" spans="2:2">
      <c r="B6653" s="62" t="str">
        <f>IF(AND('领用录入（明细）'!D:D=$F$4,'领用录入（明细）'!C:C&gt;=$J$4,'领用录入（明细）'!C:C&lt;=$L$4),ROW(),"-")</f>
        <v>-</v>
      </c>
    </row>
    <row r="6654" customHeight="1" spans="2:2">
      <c r="B6654" s="62" t="str">
        <f>IF(AND('领用录入（明细）'!D:D=$F$4,'领用录入（明细）'!C:C&gt;=$J$4,'领用录入（明细）'!C:C&lt;=$L$4),ROW(),"-")</f>
        <v>-</v>
      </c>
    </row>
    <row r="6655" customHeight="1" spans="2:2">
      <c r="B6655" s="62" t="str">
        <f>IF(AND('领用录入（明细）'!D:D=$F$4,'领用录入（明细）'!C:C&gt;=$J$4,'领用录入（明细）'!C:C&lt;=$L$4),ROW(),"-")</f>
        <v>-</v>
      </c>
    </row>
    <row r="6656" customHeight="1" spans="2:2">
      <c r="B6656" s="62" t="str">
        <f>IF(AND('领用录入（明细）'!D:D=$F$4,'领用录入（明细）'!C:C&gt;=$J$4,'领用录入（明细）'!C:C&lt;=$L$4),ROW(),"-")</f>
        <v>-</v>
      </c>
    </row>
    <row r="6657" customHeight="1" spans="2:2">
      <c r="B6657" s="62" t="str">
        <f>IF(AND('领用录入（明细）'!D:D=$F$4,'领用录入（明细）'!C:C&gt;=$J$4,'领用录入（明细）'!C:C&lt;=$L$4),ROW(),"-")</f>
        <v>-</v>
      </c>
    </row>
    <row r="6658" customHeight="1" spans="2:2">
      <c r="B6658" s="62" t="str">
        <f>IF(AND('领用录入（明细）'!D:D=$F$4,'领用录入（明细）'!C:C&gt;=$J$4,'领用录入（明细）'!C:C&lt;=$L$4),ROW(),"-")</f>
        <v>-</v>
      </c>
    </row>
    <row r="6659" customHeight="1" spans="2:2">
      <c r="B6659" s="62" t="str">
        <f>IF(AND('领用录入（明细）'!D:D=$F$4,'领用录入（明细）'!C:C&gt;=$J$4,'领用录入（明细）'!C:C&lt;=$L$4),ROW(),"-")</f>
        <v>-</v>
      </c>
    </row>
    <row r="6660" customHeight="1" spans="2:2">
      <c r="B6660" s="62" t="str">
        <f>IF(AND('领用录入（明细）'!D:D=$F$4,'领用录入（明细）'!C:C&gt;=$J$4,'领用录入（明细）'!C:C&lt;=$L$4),ROW(),"-")</f>
        <v>-</v>
      </c>
    </row>
    <row r="6661" customHeight="1" spans="2:2">
      <c r="B6661" s="62" t="str">
        <f>IF(AND('领用录入（明细）'!D:D=$F$4,'领用录入（明细）'!C:C&gt;=$J$4,'领用录入（明细）'!C:C&lt;=$L$4),ROW(),"-")</f>
        <v>-</v>
      </c>
    </row>
    <row r="6662" customHeight="1" spans="2:2">
      <c r="B6662" s="62" t="str">
        <f>IF(AND('领用录入（明细）'!D:D=$F$4,'领用录入（明细）'!C:C&gt;=$J$4,'领用录入（明细）'!C:C&lt;=$L$4),ROW(),"-")</f>
        <v>-</v>
      </c>
    </row>
    <row r="6663" customHeight="1" spans="2:2">
      <c r="B6663" s="62" t="str">
        <f>IF(AND('领用录入（明细）'!D:D=$F$4,'领用录入（明细）'!C:C&gt;=$J$4,'领用录入（明细）'!C:C&lt;=$L$4),ROW(),"-")</f>
        <v>-</v>
      </c>
    </row>
    <row r="6664" customHeight="1" spans="2:2">
      <c r="B6664" s="62" t="str">
        <f>IF(AND('领用录入（明细）'!D:D=$F$4,'领用录入（明细）'!C:C&gt;=$J$4,'领用录入（明细）'!C:C&lt;=$L$4),ROW(),"-")</f>
        <v>-</v>
      </c>
    </row>
    <row r="6665" customHeight="1" spans="2:2">
      <c r="B6665" s="62" t="str">
        <f>IF(AND('领用录入（明细）'!D:D=$F$4,'领用录入（明细）'!C:C&gt;=$J$4,'领用录入（明细）'!C:C&lt;=$L$4),ROW(),"-")</f>
        <v>-</v>
      </c>
    </row>
    <row r="6666" customHeight="1" spans="2:2">
      <c r="B6666" s="62" t="str">
        <f>IF(AND('领用录入（明细）'!D:D=$F$4,'领用录入（明细）'!C:C&gt;=$J$4,'领用录入（明细）'!C:C&lt;=$L$4),ROW(),"-")</f>
        <v>-</v>
      </c>
    </row>
    <row r="6667" customHeight="1" spans="2:2">
      <c r="B6667" s="62" t="str">
        <f>IF(AND('领用录入（明细）'!D:D=$F$4,'领用录入（明细）'!C:C&gt;=$J$4,'领用录入（明细）'!C:C&lt;=$L$4),ROW(),"-")</f>
        <v>-</v>
      </c>
    </row>
    <row r="6668" customHeight="1" spans="2:2">
      <c r="B6668" s="62" t="str">
        <f>IF(AND('领用录入（明细）'!D:D=$F$4,'领用录入（明细）'!C:C&gt;=$J$4,'领用录入（明细）'!C:C&lt;=$L$4),ROW(),"-")</f>
        <v>-</v>
      </c>
    </row>
    <row r="6669" customHeight="1" spans="2:2">
      <c r="B6669" s="62" t="str">
        <f>IF(AND('领用录入（明细）'!D:D=$F$4,'领用录入（明细）'!C:C&gt;=$J$4,'领用录入（明细）'!C:C&lt;=$L$4),ROW(),"-")</f>
        <v>-</v>
      </c>
    </row>
    <row r="6670" customHeight="1" spans="2:2">
      <c r="B6670" s="62" t="str">
        <f>IF(AND('领用录入（明细）'!D:D=$F$4,'领用录入（明细）'!C:C&gt;=$J$4,'领用录入（明细）'!C:C&lt;=$L$4),ROW(),"-")</f>
        <v>-</v>
      </c>
    </row>
    <row r="6671" customHeight="1" spans="2:2">
      <c r="B6671" s="62" t="str">
        <f>IF(AND('领用录入（明细）'!D:D=$F$4,'领用录入（明细）'!C:C&gt;=$J$4,'领用录入（明细）'!C:C&lt;=$L$4),ROW(),"-")</f>
        <v>-</v>
      </c>
    </row>
    <row r="6672" customHeight="1" spans="2:2">
      <c r="B6672" s="62" t="str">
        <f>IF(AND('领用录入（明细）'!D:D=$F$4,'领用录入（明细）'!C:C&gt;=$J$4,'领用录入（明细）'!C:C&lt;=$L$4),ROW(),"-")</f>
        <v>-</v>
      </c>
    </row>
    <row r="6673" customHeight="1" spans="2:2">
      <c r="B6673" s="62" t="str">
        <f>IF(AND('领用录入（明细）'!D:D=$F$4,'领用录入（明细）'!C:C&gt;=$J$4,'领用录入（明细）'!C:C&lt;=$L$4),ROW(),"-")</f>
        <v>-</v>
      </c>
    </row>
    <row r="6674" customHeight="1" spans="2:2">
      <c r="B6674" s="62" t="str">
        <f>IF(AND('领用录入（明细）'!D:D=$F$4,'领用录入（明细）'!C:C&gt;=$J$4,'领用录入（明细）'!C:C&lt;=$L$4),ROW(),"-")</f>
        <v>-</v>
      </c>
    </row>
    <row r="6675" customHeight="1" spans="2:2">
      <c r="B6675" s="62" t="str">
        <f>IF(AND('领用录入（明细）'!D:D=$F$4,'领用录入（明细）'!C:C&gt;=$J$4,'领用录入（明细）'!C:C&lt;=$L$4),ROW(),"-")</f>
        <v>-</v>
      </c>
    </row>
    <row r="6676" customHeight="1" spans="2:2">
      <c r="B6676" s="62" t="str">
        <f>IF(AND('领用录入（明细）'!D:D=$F$4,'领用录入（明细）'!C:C&gt;=$J$4,'领用录入（明细）'!C:C&lt;=$L$4),ROW(),"-")</f>
        <v>-</v>
      </c>
    </row>
    <row r="6677" customHeight="1" spans="2:2">
      <c r="B6677" s="62" t="str">
        <f>IF(AND('领用录入（明细）'!D:D=$F$4,'领用录入（明细）'!C:C&gt;=$J$4,'领用录入（明细）'!C:C&lt;=$L$4),ROW(),"-")</f>
        <v>-</v>
      </c>
    </row>
    <row r="6678" customHeight="1" spans="2:2">
      <c r="B6678" s="62" t="str">
        <f>IF(AND('领用录入（明细）'!D:D=$F$4,'领用录入（明细）'!C:C&gt;=$J$4,'领用录入（明细）'!C:C&lt;=$L$4),ROW(),"-")</f>
        <v>-</v>
      </c>
    </row>
    <row r="6679" customHeight="1" spans="2:2">
      <c r="B6679" s="62" t="str">
        <f>IF(AND('领用录入（明细）'!D:D=$F$4,'领用录入（明细）'!C:C&gt;=$J$4,'领用录入（明细）'!C:C&lt;=$L$4),ROW(),"-")</f>
        <v>-</v>
      </c>
    </row>
    <row r="6680" customHeight="1" spans="2:2">
      <c r="B6680" s="62" t="str">
        <f>IF(AND('领用录入（明细）'!D:D=$F$4,'领用录入（明细）'!C:C&gt;=$J$4,'领用录入（明细）'!C:C&lt;=$L$4),ROW(),"-")</f>
        <v>-</v>
      </c>
    </row>
    <row r="6681" customHeight="1" spans="2:2">
      <c r="B6681" s="62" t="str">
        <f>IF(AND('领用录入（明细）'!D:D=$F$4,'领用录入（明细）'!C:C&gt;=$J$4,'领用录入（明细）'!C:C&lt;=$L$4),ROW(),"-")</f>
        <v>-</v>
      </c>
    </row>
    <row r="6682" customHeight="1" spans="2:2">
      <c r="B6682" s="62" t="str">
        <f>IF(AND('领用录入（明细）'!D:D=$F$4,'领用录入（明细）'!C:C&gt;=$J$4,'领用录入（明细）'!C:C&lt;=$L$4),ROW(),"-")</f>
        <v>-</v>
      </c>
    </row>
    <row r="6683" customHeight="1" spans="2:2">
      <c r="B6683" s="62" t="str">
        <f>IF(AND('领用录入（明细）'!D:D=$F$4,'领用录入（明细）'!C:C&gt;=$J$4,'领用录入（明细）'!C:C&lt;=$L$4),ROW(),"-")</f>
        <v>-</v>
      </c>
    </row>
    <row r="6684" customHeight="1" spans="2:2">
      <c r="B6684" s="62" t="str">
        <f>IF(AND('领用录入（明细）'!D:D=$F$4,'领用录入（明细）'!C:C&gt;=$J$4,'领用录入（明细）'!C:C&lt;=$L$4),ROW(),"-")</f>
        <v>-</v>
      </c>
    </row>
    <row r="6685" customHeight="1" spans="2:2">
      <c r="B6685" s="62" t="str">
        <f>IF(AND('领用录入（明细）'!D:D=$F$4,'领用录入（明细）'!C:C&gt;=$J$4,'领用录入（明细）'!C:C&lt;=$L$4),ROW(),"-")</f>
        <v>-</v>
      </c>
    </row>
    <row r="6686" customHeight="1" spans="2:2">
      <c r="B6686" s="62" t="str">
        <f>IF(AND('领用录入（明细）'!D:D=$F$4,'领用录入（明细）'!C:C&gt;=$J$4,'领用录入（明细）'!C:C&lt;=$L$4),ROW(),"-")</f>
        <v>-</v>
      </c>
    </row>
    <row r="6687" customHeight="1" spans="2:2">
      <c r="B6687" s="62" t="str">
        <f>IF(AND('领用录入（明细）'!D:D=$F$4,'领用录入（明细）'!C:C&gt;=$J$4,'领用录入（明细）'!C:C&lt;=$L$4),ROW(),"-")</f>
        <v>-</v>
      </c>
    </row>
    <row r="6688" customHeight="1" spans="2:2">
      <c r="B6688" s="62" t="str">
        <f>IF(AND('领用录入（明细）'!D:D=$F$4,'领用录入（明细）'!C:C&gt;=$J$4,'领用录入（明细）'!C:C&lt;=$L$4),ROW(),"-")</f>
        <v>-</v>
      </c>
    </row>
    <row r="6689" customHeight="1" spans="2:2">
      <c r="B6689" s="62" t="str">
        <f>IF(AND('领用录入（明细）'!D:D=$F$4,'领用录入（明细）'!C:C&gt;=$J$4,'领用录入（明细）'!C:C&lt;=$L$4),ROW(),"-")</f>
        <v>-</v>
      </c>
    </row>
    <row r="6690" customHeight="1" spans="2:2">
      <c r="B6690" s="62" t="str">
        <f>IF(AND('领用录入（明细）'!D:D=$F$4,'领用录入（明细）'!C:C&gt;=$J$4,'领用录入（明细）'!C:C&lt;=$L$4),ROW(),"-")</f>
        <v>-</v>
      </c>
    </row>
    <row r="6691" customHeight="1" spans="2:2">
      <c r="B6691" s="62" t="str">
        <f>IF(AND('领用录入（明细）'!D:D=$F$4,'领用录入（明细）'!C:C&gt;=$J$4,'领用录入（明细）'!C:C&lt;=$L$4),ROW(),"-")</f>
        <v>-</v>
      </c>
    </row>
    <row r="6692" customHeight="1" spans="2:2">
      <c r="B6692" s="62" t="str">
        <f>IF(AND('领用录入（明细）'!D:D=$F$4,'领用录入（明细）'!C:C&gt;=$J$4,'领用录入（明细）'!C:C&lt;=$L$4),ROW(),"-")</f>
        <v>-</v>
      </c>
    </row>
    <row r="6693" customHeight="1" spans="2:2">
      <c r="B6693" s="62" t="str">
        <f>IF(AND('领用录入（明细）'!D:D=$F$4,'领用录入（明细）'!C:C&gt;=$J$4,'领用录入（明细）'!C:C&lt;=$L$4),ROW(),"-")</f>
        <v>-</v>
      </c>
    </row>
    <row r="6694" customHeight="1" spans="2:2">
      <c r="B6694" s="62" t="str">
        <f>IF(AND('领用录入（明细）'!D:D=$F$4,'领用录入（明细）'!C:C&gt;=$J$4,'领用录入（明细）'!C:C&lt;=$L$4),ROW(),"-")</f>
        <v>-</v>
      </c>
    </row>
    <row r="6695" customHeight="1" spans="2:2">
      <c r="B6695" s="62" t="str">
        <f>IF(AND('领用录入（明细）'!D:D=$F$4,'领用录入（明细）'!C:C&gt;=$J$4,'领用录入（明细）'!C:C&lt;=$L$4),ROW(),"-")</f>
        <v>-</v>
      </c>
    </row>
    <row r="6696" customHeight="1" spans="2:2">
      <c r="B6696" s="62" t="str">
        <f>IF(AND('领用录入（明细）'!D:D=$F$4,'领用录入（明细）'!C:C&gt;=$J$4,'领用录入（明细）'!C:C&lt;=$L$4),ROW(),"-")</f>
        <v>-</v>
      </c>
    </row>
    <row r="6697" customHeight="1" spans="2:2">
      <c r="B6697" s="62" t="str">
        <f>IF(AND('领用录入（明细）'!D:D=$F$4,'领用录入（明细）'!C:C&gt;=$J$4,'领用录入（明细）'!C:C&lt;=$L$4),ROW(),"-")</f>
        <v>-</v>
      </c>
    </row>
    <row r="6698" customHeight="1" spans="2:2">
      <c r="B6698" s="62" t="str">
        <f>IF(AND('领用录入（明细）'!D:D=$F$4,'领用录入（明细）'!C:C&gt;=$J$4,'领用录入（明细）'!C:C&lt;=$L$4),ROW(),"-")</f>
        <v>-</v>
      </c>
    </row>
    <row r="6699" customHeight="1" spans="2:2">
      <c r="B6699" s="62" t="str">
        <f>IF(AND('领用录入（明细）'!D:D=$F$4,'领用录入（明细）'!C:C&gt;=$J$4,'领用录入（明细）'!C:C&lt;=$L$4),ROW(),"-")</f>
        <v>-</v>
      </c>
    </row>
    <row r="6700" customHeight="1" spans="2:2">
      <c r="B6700" s="62" t="str">
        <f>IF(AND('领用录入（明细）'!D:D=$F$4,'领用录入（明细）'!C:C&gt;=$J$4,'领用录入（明细）'!C:C&lt;=$L$4),ROW(),"-")</f>
        <v>-</v>
      </c>
    </row>
    <row r="6701" customHeight="1" spans="2:2">
      <c r="B6701" s="62" t="str">
        <f>IF(AND('领用录入（明细）'!D:D=$F$4,'领用录入（明细）'!C:C&gt;=$J$4,'领用录入（明细）'!C:C&lt;=$L$4),ROW(),"-")</f>
        <v>-</v>
      </c>
    </row>
    <row r="6702" customHeight="1" spans="2:2">
      <c r="B6702" s="62" t="str">
        <f>IF(AND('领用录入（明细）'!D:D=$F$4,'领用录入（明细）'!C:C&gt;=$J$4,'领用录入（明细）'!C:C&lt;=$L$4),ROW(),"-")</f>
        <v>-</v>
      </c>
    </row>
    <row r="6703" customHeight="1" spans="2:2">
      <c r="B6703" s="62" t="str">
        <f>IF(AND('领用录入（明细）'!D:D=$F$4,'领用录入（明细）'!C:C&gt;=$J$4,'领用录入（明细）'!C:C&lt;=$L$4),ROW(),"-")</f>
        <v>-</v>
      </c>
    </row>
    <row r="6704" customHeight="1" spans="2:2">
      <c r="B6704" s="62" t="str">
        <f>IF(AND('领用录入（明细）'!D:D=$F$4,'领用录入（明细）'!C:C&gt;=$J$4,'领用录入（明细）'!C:C&lt;=$L$4),ROW(),"-")</f>
        <v>-</v>
      </c>
    </row>
    <row r="6705" customHeight="1" spans="2:2">
      <c r="B6705" s="62" t="str">
        <f>IF(AND('领用录入（明细）'!D:D=$F$4,'领用录入（明细）'!C:C&gt;=$J$4,'领用录入（明细）'!C:C&lt;=$L$4),ROW(),"-")</f>
        <v>-</v>
      </c>
    </row>
    <row r="6706" customHeight="1" spans="2:2">
      <c r="B6706" s="62" t="str">
        <f>IF(AND('领用录入（明细）'!D:D=$F$4,'领用录入（明细）'!C:C&gt;=$J$4,'领用录入（明细）'!C:C&lt;=$L$4),ROW(),"-")</f>
        <v>-</v>
      </c>
    </row>
    <row r="6707" customHeight="1" spans="2:2">
      <c r="B6707" s="62" t="str">
        <f>IF(AND('领用录入（明细）'!D:D=$F$4,'领用录入（明细）'!C:C&gt;=$J$4,'领用录入（明细）'!C:C&lt;=$L$4),ROW(),"-")</f>
        <v>-</v>
      </c>
    </row>
    <row r="6708" customHeight="1" spans="2:2">
      <c r="B6708" s="62" t="str">
        <f>IF(AND('领用录入（明细）'!D:D=$F$4,'领用录入（明细）'!C:C&gt;=$J$4,'领用录入（明细）'!C:C&lt;=$L$4),ROW(),"-")</f>
        <v>-</v>
      </c>
    </row>
    <row r="6709" customHeight="1" spans="2:2">
      <c r="B6709" s="62" t="str">
        <f>IF(AND('领用录入（明细）'!D:D=$F$4,'领用录入（明细）'!C:C&gt;=$J$4,'领用录入（明细）'!C:C&lt;=$L$4),ROW(),"-")</f>
        <v>-</v>
      </c>
    </row>
    <row r="6710" customHeight="1" spans="2:2">
      <c r="B6710" s="62" t="str">
        <f>IF(AND('领用录入（明细）'!D:D=$F$4,'领用录入（明细）'!C:C&gt;=$J$4,'领用录入（明细）'!C:C&lt;=$L$4),ROW(),"-")</f>
        <v>-</v>
      </c>
    </row>
    <row r="6711" customHeight="1" spans="2:2">
      <c r="B6711" s="62" t="str">
        <f>IF(AND('领用录入（明细）'!D:D=$F$4,'领用录入（明细）'!C:C&gt;=$J$4,'领用录入（明细）'!C:C&lt;=$L$4),ROW(),"-")</f>
        <v>-</v>
      </c>
    </row>
    <row r="6712" customHeight="1" spans="2:2">
      <c r="B6712" s="62" t="str">
        <f>IF(AND('领用录入（明细）'!D:D=$F$4,'领用录入（明细）'!C:C&gt;=$J$4,'领用录入（明细）'!C:C&lt;=$L$4),ROW(),"-")</f>
        <v>-</v>
      </c>
    </row>
    <row r="6713" customHeight="1" spans="2:2">
      <c r="B6713" s="62" t="str">
        <f>IF(AND('领用录入（明细）'!D:D=$F$4,'领用录入（明细）'!C:C&gt;=$J$4,'领用录入（明细）'!C:C&lt;=$L$4),ROW(),"-")</f>
        <v>-</v>
      </c>
    </row>
    <row r="6714" customHeight="1" spans="2:2">
      <c r="B6714" s="62" t="str">
        <f>IF(AND('领用录入（明细）'!D:D=$F$4,'领用录入（明细）'!C:C&gt;=$J$4,'领用录入（明细）'!C:C&lt;=$L$4),ROW(),"-")</f>
        <v>-</v>
      </c>
    </row>
    <row r="6715" customHeight="1" spans="2:2">
      <c r="B6715" s="62" t="str">
        <f>IF(AND('领用录入（明细）'!D:D=$F$4,'领用录入（明细）'!C:C&gt;=$J$4,'领用录入（明细）'!C:C&lt;=$L$4),ROW(),"-")</f>
        <v>-</v>
      </c>
    </row>
    <row r="6716" customHeight="1" spans="2:2">
      <c r="B6716" s="62" t="str">
        <f>IF(AND('领用录入（明细）'!D:D=$F$4,'领用录入（明细）'!C:C&gt;=$J$4,'领用录入（明细）'!C:C&lt;=$L$4),ROW(),"-")</f>
        <v>-</v>
      </c>
    </row>
    <row r="6717" customHeight="1" spans="2:2">
      <c r="B6717" s="62" t="str">
        <f>IF(AND('领用录入（明细）'!D:D=$F$4,'领用录入（明细）'!C:C&gt;=$J$4,'领用录入（明细）'!C:C&lt;=$L$4),ROW(),"-")</f>
        <v>-</v>
      </c>
    </row>
    <row r="6718" customHeight="1" spans="2:2">
      <c r="B6718" s="62" t="str">
        <f>IF(AND('领用录入（明细）'!D:D=$F$4,'领用录入（明细）'!C:C&gt;=$J$4,'领用录入（明细）'!C:C&lt;=$L$4),ROW(),"-")</f>
        <v>-</v>
      </c>
    </row>
    <row r="6719" customHeight="1" spans="2:2">
      <c r="B6719" s="62" t="str">
        <f>IF(AND('领用录入（明细）'!D:D=$F$4,'领用录入（明细）'!C:C&gt;=$J$4,'领用录入（明细）'!C:C&lt;=$L$4),ROW(),"-")</f>
        <v>-</v>
      </c>
    </row>
    <row r="6720" customHeight="1" spans="2:2">
      <c r="B6720" s="62" t="str">
        <f>IF(AND('领用录入（明细）'!D:D=$F$4,'领用录入（明细）'!C:C&gt;=$J$4,'领用录入（明细）'!C:C&lt;=$L$4),ROW(),"-")</f>
        <v>-</v>
      </c>
    </row>
    <row r="6721" customHeight="1" spans="2:2">
      <c r="B6721" s="62" t="str">
        <f>IF(AND('领用录入（明细）'!D:D=$F$4,'领用录入（明细）'!C:C&gt;=$J$4,'领用录入（明细）'!C:C&lt;=$L$4),ROW(),"-")</f>
        <v>-</v>
      </c>
    </row>
    <row r="6722" customHeight="1" spans="2:2">
      <c r="B6722" s="62" t="str">
        <f>IF(AND('领用录入（明细）'!D:D=$F$4,'领用录入（明细）'!C:C&gt;=$J$4,'领用录入（明细）'!C:C&lt;=$L$4),ROW(),"-")</f>
        <v>-</v>
      </c>
    </row>
    <row r="6723" customHeight="1" spans="2:2">
      <c r="B6723" s="62" t="str">
        <f>IF(AND('领用录入（明细）'!D:D=$F$4,'领用录入（明细）'!C:C&gt;=$J$4,'领用录入（明细）'!C:C&lt;=$L$4),ROW(),"-")</f>
        <v>-</v>
      </c>
    </row>
    <row r="6724" customHeight="1" spans="2:2">
      <c r="B6724" s="62" t="str">
        <f>IF(AND('领用录入（明细）'!D:D=$F$4,'领用录入（明细）'!C:C&gt;=$J$4,'领用录入（明细）'!C:C&lt;=$L$4),ROW(),"-")</f>
        <v>-</v>
      </c>
    </row>
    <row r="6725" customHeight="1" spans="2:2">
      <c r="B6725" s="62" t="str">
        <f>IF(AND('领用录入（明细）'!D:D=$F$4,'领用录入（明细）'!C:C&gt;=$J$4,'领用录入（明细）'!C:C&lt;=$L$4),ROW(),"-")</f>
        <v>-</v>
      </c>
    </row>
    <row r="6726" customHeight="1" spans="2:2">
      <c r="B6726" s="62" t="str">
        <f>IF(AND('领用录入（明细）'!D:D=$F$4,'领用录入（明细）'!C:C&gt;=$J$4,'领用录入（明细）'!C:C&lt;=$L$4),ROW(),"-")</f>
        <v>-</v>
      </c>
    </row>
    <row r="6727" customHeight="1" spans="2:2">
      <c r="B6727" s="62" t="str">
        <f>IF(AND('领用录入（明细）'!D:D=$F$4,'领用录入（明细）'!C:C&gt;=$J$4,'领用录入（明细）'!C:C&lt;=$L$4),ROW(),"-")</f>
        <v>-</v>
      </c>
    </row>
    <row r="6728" customHeight="1" spans="2:2">
      <c r="B6728" s="62" t="str">
        <f>IF(AND('领用录入（明细）'!D:D=$F$4,'领用录入（明细）'!C:C&gt;=$J$4,'领用录入（明细）'!C:C&lt;=$L$4),ROW(),"-")</f>
        <v>-</v>
      </c>
    </row>
    <row r="6729" customHeight="1" spans="2:2">
      <c r="B6729" s="62" t="str">
        <f>IF(AND('领用录入（明细）'!D:D=$F$4,'领用录入（明细）'!C:C&gt;=$J$4,'领用录入（明细）'!C:C&lt;=$L$4),ROW(),"-")</f>
        <v>-</v>
      </c>
    </row>
    <row r="6730" customHeight="1" spans="2:2">
      <c r="B6730" s="62" t="str">
        <f>IF(AND('领用录入（明细）'!D:D=$F$4,'领用录入（明细）'!C:C&gt;=$J$4,'领用录入（明细）'!C:C&lt;=$L$4),ROW(),"-")</f>
        <v>-</v>
      </c>
    </row>
    <row r="6731" customHeight="1" spans="2:2">
      <c r="B6731" s="62" t="str">
        <f>IF(AND('领用录入（明细）'!D:D=$F$4,'领用录入（明细）'!C:C&gt;=$J$4,'领用录入（明细）'!C:C&lt;=$L$4),ROW(),"-")</f>
        <v>-</v>
      </c>
    </row>
    <row r="6732" customHeight="1" spans="2:2">
      <c r="B6732" s="62" t="str">
        <f>IF(AND('领用录入（明细）'!D:D=$F$4,'领用录入（明细）'!C:C&gt;=$J$4,'领用录入（明细）'!C:C&lt;=$L$4),ROW(),"-")</f>
        <v>-</v>
      </c>
    </row>
    <row r="6733" customHeight="1" spans="2:2">
      <c r="B6733" s="62" t="str">
        <f>IF(AND('领用录入（明细）'!D:D=$F$4,'领用录入（明细）'!C:C&gt;=$J$4,'领用录入（明细）'!C:C&lt;=$L$4),ROW(),"-")</f>
        <v>-</v>
      </c>
    </row>
    <row r="6734" customHeight="1" spans="2:2">
      <c r="B6734" s="62" t="str">
        <f>IF(AND('领用录入（明细）'!D:D=$F$4,'领用录入（明细）'!C:C&gt;=$J$4,'领用录入（明细）'!C:C&lt;=$L$4),ROW(),"-")</f>
        <v>-</v>
      </c>
    </row>
    <row r="6735" customHeight="1" spans="2:2">
      <c r="B6735" s="62" t="str">
        <f>IF(AND('领用录入（明细）'!D:D=$F$4,'领用录入（明细）'!C:C&gt;=$J$4,'领用录入（明细）'!C:C&lt;=$L$4),ROW(),"-")</f>
        <v>-</v>
      </c>
    </row>
    <row r="6736" customHeight="1" spans="2:2">
      <c r="B6736" s="62" t="str">
        <f>IF(AND('领用录入（明细）'!D:D=$F$4,'领用录入（明细）'!C:C&gt;=$J$4,'领用录入（明细）'!C:C&lt;=$L$4),ROW(),"-")</f>
        <v>-</v>
      </c>
    </row>
    <row r="6737" customHeight="1" spans="2:2">
      <c r="B6737" s="62" t="str">
        <f>IF(AND('领用录入（明细）'!D:D=$F$4,'领用录入（明细）'!C:C&gt;=$J$4,'领用录入（明细）'!C:C&lt;=$L$4),ROW(),"-")</f>
        <v>-</v>
      </c>
    </row>
    <row r="6738" customHeight="1" spans="2:2">
      <c r="B6738" s="62" t="str">
        <f>IF(AND('领用录入（明细）'!D:D=$F$4,'领用录入（明细）'!C:C&gt;=$J$4,'领用录入（明细）'!C:C&lt;=$L$4),ROW(),"-")</f>
        <v>-</v>
      </c>
    </row>
    <row r="6739" customHeight="1" spans="2:2">
      <c r="B6739" s="62" t="str">
        <f>IF(AND('领用录入（明细）'!D:D=$F$4,'领用录入（明细）'!C:C&gt;=$J$4,'领用录入（明细）'!C:C&lt;=$L$4),ROW(),"-")</f>
        <v>-</v>
      </c>
    </row>
    <row r="6740" customHeight="1" spans="2:2">
      <c r="B6740" s="62" t="str">
        <f>IF(AND('领用录入（明细）'!D:D=$F$4,'领用录入（明细）'!C:C&gt;=$J$4,'领用录入（明细）'!C:C&lt;=$L$4),ROW(),"-")</f>
        <v>-</v>
      </c>
    </row>
    <row r="6741" customHeight="1" spans="2:2">
      <c r="B6741" s="62" t="str">
        <f>IF(AND('领用录入（明细）'!D:D=$F$4,'领用录入（明细）'!C:C&gt;=$J$4,'领用录入（明细）'!C:C&lt;=$L$4),ROW(),"-")</f>
        <v>-</v>
      </c>
    </row>
    <row r="6742" customHeight="1" spans="2:2">
      <c r="B6742" s="62" t="str">
        <f>IF(AND('领用录入（明细）'!D:D=$F$4,'领用录入（明细）'!C:C&gt;=$J$4,'领用录入（明细）'!C:C&lt;=$L$4),ROW(),"-")</f>
        <v>-</v>
      </c>
    </row>
    <row r="6743" customHeight="1" spans="2:2">
      <c r="B6743" s="62" t="str">
        <f>IF(AND('领用录入（明细）'!D:D=$F$4,'领用录入（明细）'!C:C&gt;=$J$4,'领用录入（明细）'!C:C&lt;=$L$4),ROW(),"-")</f>
        <v>-</v>
      </c>
    </row>
    <row r="6744" customHeight="1" spans="2:2">
      <c r="B6744" s="62" t="str">
        <f>IF(AND('领用录入（明细）'!D:D=$F$4,'领用录入（明细）'!C:C&gt;=$J$4,'领用录入（明细）'!C:C&lt;=$L$4),ROW(),"-")</f>
        <v>-</v>
      </c>
    </row>
    <row r="6745" customHeight="1" spans="2:2">
      <c r="B6745" s="62" t="str">
        <f>IF(AND('领用录入（明细）'!D:D=$F$4,'领用录入（明细）'!C:C&gt;=$J$4,'领用录入（明细）'!C:C&lt;=$L$4),ROW(),"-")</f>
        <v>-</v>
      </c>
    </row>
    <row r="6746" customHeight="1" spans="2:2">
      <c r="B6746" s="62" t="str">
        <f>IF(AND('领用录入（明细）'!D:D=$F$4,'领用录入（明细）'!C:C&gt;=$J$4,'领用录入（明细）'!C:C&lt;=$L$4),ROW(),"-")</f>
        <v>-</v>
      </c>
    </row>
    <row r="6747" customHeight="1" spans="2:2">
      <c r="B6747" s="62" t="str">
        <f>IF(AND('领用录入（明细）'!D:D=$F$4,'领用录入（明细）'!C:C&gt;=$J$4,'领用录入（明细）'!C:C&lt;=$L$4),ROW(),"-")</f>
        <v>-</v>
      </c>
    </row>
    <row r="6748" customHeight="1" spans="2:2">
      <c r="B6748" s="62" t="str">
        <f>IF(AND('领用录入（明细）'!D:D=$F$4,'领用录入（明细）'!C:C&gt;=$J$4,'领用录入（明细）'!C:C&lt;=$L$4),ROW(),"-")</f>
        <v>-</v>
      </c>
    </row>
    <row r="6749" customHeight="1" spans="2:2">
      <c r="B6749" s="62" t="str">
        <f>IF(AND('领用录入（明细）'!D:D=$F$4,'领用录入（明细）'!C:C&gt;=$J$4,'领用录入（明细）'!C:C&lt;=$L$4),ROW(),"-")</f>
        <v>-</v>
      </c>
    </row>
    <row r="6750" customHeight="1" spans="2:2">
      <c r="B6750" s="62" t="str">
        <f>IF(AND('领用录入（明细）'!D:D=$F$4,'领用录入（明细）'!C:C&gt;=$J$4,'领用录入（明细）'!C:C&lt;=$L$4),ROW(),"-")</f>
        <v>-</v>
      </c>
    </row>
    <row r="6751" customHeight="1" spans="2:2">
      <c r="B6751" s="62" t="str">
        <f>IF(AND('领用录入（明细）'!D:D=$F$4,'领用录入（明细）'!C:C&gt;=$J$4,'领用录入（明细）'!C:C&lt;=$L$4),ROW(),"-")</f>
        <v>-</v>
      </c>
    </row>
    <row r="6752" customHeight="1" spans="2:2">
      <c r="B6752" s="62" t="str">
        <f>IF(AND('领用录入（明细）'!D:D=$F$4,'领用录入（明细）'!C:C&gt;=$J$4,'领用录入（明细）'!C:C&lt;=$L$4),ROW(),"-")</f>
        <v>-</v>
      </c>
    </row>
    <row r="6753" customHeight="1" spans="2:2">
      <c r="B6753" s="62" t="str">
        <f>IF(AND('领用录入（明细）'!D:D=$F$4,'领用录入（明细）'!C:C&gt;=$J$4,'领用录入（明细）'!C:C&lt;=$L$4),ROW(),"-")</f>
        <v>-</v>
      </c>
    </row>
    <row r="6754" customHeight="1" spans="2:2">
      <c r="B6754" s="62" t="str">
        <f>IF(AND('领用录入（明细）'!D:D=$F$4,'领用录入（明细）'!C:C&gt;=$J$4,'领用录入（明细）'!C:C&lt;=$L$4),ROW(),"-")</f>
        <v>-</v>
      </c>
    </row>
    <row r="6755" customHeight="1" spans="2:2">
      <c r="B6755" s="62" t="str">
        <f>IF(AND('领用录入（明细）'!D:D=$F$4,'领用录入（明细）'!C:C&gt;=$J$4,'领用录入（明细）'!C:C&lt;=$L$4),ROW(),"-")</f>
        <v>-</v>
      </c>
    </row>
    <row r="6756" customHeight="1" spans="2:2">
      <c r="B6756" s="62" t="str">
        <f>IF(AND('领用录入（明细）'!D:D=$F$4,'领用录入（明细）'!C:C&gt;=$J$4,'领用录入（明细）'!C:C&lt;=$L$4),ROW(),"-")</f>
        <v>-</v>
      </c>
    </row>
    <row r="6757" customHeight="1" spans="2:2">
      <c r="B6757" s="62" t="str">
        <f>IF(AND('领用录入（明细）'!D:D=$F$4,'领用录入（明细）'!C:C&gt;=$J$4,'领用录入（明细）'!C:C&lt;=$L$4),ROW(),"-")</f>
        <v>-</v>
      </c>
    </row>
    <row r="6758" customHeight="1" spans="2:2">
      <c r="B6758" s="62" t="str">
        <f>IF(AND('领用录入（明细）'!D:D=$F$4,'领用录入（明细）'!C:C&gt;=$J$4,'领用录入（明细）'!C:C&lt;=$L$4),ROW(),"-")</f>
        <v>-</v>
      </c>
    </row>
    <row r="6759" customHeight="1" spans="2:2">
      <c r="B6759" s="62" t="str">
        <f>IF(AND('领用录入（明细）'!D:D=$F$4,'领用录入（明细）'!C:C&gt;=$J$4,'领用录入（明细）'!C:C&lt;=$L$4),ROW(),"-")</f>
        <v>-</v>
      </c>
    </row>
    <row r="6760" customHeight="1" spans="2:2">
      <c r="B6760" s="62" t="str">
        <f>IF(AND('领用录入（明细）'!D:D=$F$4,'领用录入（明细）'!C:C&gt;=$J$4,'领用录入（明细）'!C:C&lt;=$L$4),ROW(),"-")</f>
        <v>-</v>
      </c>
    </row>
    <row r="6761" customHeight="1" spans="2:2">
      <c r="B6761" s="62" t="str">
        <f>IF(AND('领用录入（明细）'!D:D=$F$4,'领用录入（明细）'!C:C&gt;=$J$4,'领用录入（明细）'!C:C&lt;=$L$4),ROW(),"-")</f>
        <v>-</v>
      </c>
    </row>
    <row r="6762" customHeight="1" spans="2:2">
      <c r="B6762" s="62" t="str">
        <f>IF(AND('领用录入（明细）'!D:D=$F$4,'领用录入（明细）'!C:C&gt;=$J$4,'领用录入（明细）'!C:C&lt;=$L$4),ROW(),"-")</f>
        <v>-</v>
      </c>
    </row>
    <row r="6763" customHeight="1" spans="2:2">
      <c r="B6763" s="62" t="str">
        <f>IF(AND('领用录入（明细）'!D:D=$F$4,'领用录入（明细）'!C:C&gt;=$J$4,'领用录入（明细）'!C:C&lt;=$L$4),ROW(),"-")</f>
        <v>-</v>
      </c>
    </row>
    <row r="6764" customHeight="1" spans="2:2">
      <c r="B6764" s="62" t="str">
        <f>IF(AND('领用录入（明细）'!D:D=$F$4,'领用录入（明细）'!C:C&gt;=$J$4,'领用录入（明细）'!C:C&lt;=$L$4),ROW(),"-")</f>
        <v>-</v>
      </c>
    </row>
    <row r="6765" customHeight="1" spans="2:2">
      <c r="B6765" s="62" t="str">
        <f>IF(AND('领用录入（明细）'!D:D=$F$4,'领用录入（明细）'!C:C&gt;=$J$4,'领用录入（明细）'!C:C&lt;=$L$4),ROW(),"-")</f>
        <v>-</v>
      </c>
    </row>
    <row r="6766" customHeight="1" spans="2:2">
      <c r="B6766" s="62" t="str">
        <f>IF(AND('领用录入（明细）'!D:D=$F$4,'领用录入（明细）'!C:C&gt;=$J$4,'领用录入（明细）'!C:C&lt;=$L$4),ROW(),"-")</f>
        <v>-</v>
      </c>
    </row>
    <row r="6767" customHeight="1" spans="2:2">
      <c r="B6767" s="62" t="str">
        <f>IF(AND('领用录入（明细）'!D:D=$F$4,'领用录入（明细）'!C:C&gt;=$J$4,'领用录入（明细）'!C:C&lt;=$L$4),ROW(),"-")</f>
        <v>-</v>
      </c>
    </row>
    <row r="6768" customHeight="1" spans="2:2">
      <c r="B6768" s="62" t="str">
        <f>IF(AND('领用录入（明细）'!D:D=$F$4,'领用录入（明细）'!C:C&gt;=$J$4,'领用录入（明细）'!C:C&lt;=$L$4),ROW(),"-")</f>
        <v>-</v>
      </c>
    </row>
    <row r="6769" customHeight="1" spans="2:2">
      <c r="B6769" s="62" t="str">
        <f>IF(AND('领用录入（明细）'!D:D=$F$4,'领用录入（明细）'!C:C&gt;=$J$4,'领用录入（明细）'!C:C&lt;=$L$4),ROW(),"-")</f>
        <v>-</v>
      </c>
    </row>
    <row r="6770" customHeight="1" spans="2:2">
      <c r="B6770" s="62" t="str">
        <f>IF(AND('领用录入（明细）'!D:D=$F$4,'领用录入（明细）'!C:C&gt;=$J$4,'领用录入（明细）'!C:C&lt;=$L$4),ROW(),"-")</f>
        <v>-</v>
      </c>
    </row>
    <row r="6771" customHeight="1" spans="2:2">
      <c r="B6771" s="62" t="str">
        <f>IF(AND('领用录入（明细）'!D:D=$F$4,'领用录入（明细）'!C:C&gt;=$J$4,'领用录入（明细）'!C:C&lt;=$L$4),ROW(),"-")</f>
        <v>-</v>
      </c>
    </row>
    <row r="6772" customHeight="1" spans="2:2">
      <c r="B6772" s="62" t="str">
        <f>IF(AND('领用录入（明细）'!D:D=$F$4,'领用录入（明细）'!C:C&gt;=$J$4,'领用录入（明细）'!C:C&lt;=$L$4),ROW(),"-")</f>
        <v>-</v>
      </c>
    </row>
    <row r="6773" customHeight="1" spans="2:2">
      <c r="B6773" s="62" t="str">
        <f>IF(AND('领用录入（明细）'!D:D=$F$4,'领用录入（明细）'!C:C&gt;=$J$4,'领用录入（明细）'!C:C&lt;=$L$4),ROW(),"-")</f>
        <v>-</v>
      </c>
    </row>
    <row r="6774" customHeight="1" spans="2:2">
      <c r="B6774" s="62" t="str">
        <f>IF(AND('领用录入（明细）'!D:D=$F$4,'领用录入（明细）'!C:C&gt;=$J$4,'领用录入（明细）'!C:C&lt;=$L$4),ROW(),"-")</f>
        <v>-</v>
      </c>
    </row>
    <row r="6775" customHeight="1" spans="2:2">
      <c r="B6775" s="62" t="str">
        <f>IF(AND('领用录入（明细）'!D:D=$F$4,'领用录入（明细）'!C:C&gt;=$J$4,'领用录入（明细）'!C:C&lt;=$L$4),ROW(),"-")</f>
        <v>-</v>
      </c>
    </row>
    <row r="6776" customHeight="1" spans="2:2">
      <c r="B6776" s="62" t="str">
        <f>IF(AND('领用录入（明细）'!D:D=$F$4,'领用录入（明细）'!C:C&gt;=$J$4,'领用录入（明细）'!C:C&lt;=$L$4),ROW(),"-")</f>
        <v>-</v>
      </c>
    </row>
    <row r="6777" customHeight="1" spans="2:2">
      <c r="B6777" s="62" t="str">
        <f>IF(AND('领用录入（明细）'!D:D=$F$4,'领用录入（明细）'!C:C&gt;=$J$4,'领用录入（明细）'!C:C&lt;=$L$4),ROW(),"-")</f>
        <v>-</v>
      </c>
    </row>
    <row r="6778" customHeight="1" spans="2:2">
      <c r="B6778" s="62" t="str">
        <f>IF(AND('领用录入（明细）'!D:D=$F$4,'领用录入（明细）'!C:C&gt;=$J$4,'领用录入（明细）'!C:C&lt;=$L$4),ROW(),"-")</f>
        <v>-</v>
      </c>
    </row>
    <row r="6779" customHeight="1" spans="2:2">
      <c r="B6779" s="62" t="str">
        <f>IF(AND('领用录入（明细）'!D:D=$F$4,'领用录入（明细）'!C:C&gt;=$J$4,'领用录入（明细）'!C:C&lt;=$L$4),ROW(),"-")</f>
        <v>-</v>
      </c>
    </row>
    <row r="6780" customHeight="1" spans="2:2">
      <c r="B6780" s="62" t="str">
        <f>IF(AND('领用录入（明细）'!D:D=$F$4,'领用录入（明细）'!C:C&gt;=$J$4,'领用录入（明细）'!C:C&lt;=$L$4),ROW(),"-")</f>
        <v>-</v>
      </c>
    </row>
    <row r="6781" customHeight="1" spans="2:2">
      <c r="B6781" s="62" t="str">
        <f>IF(AND('领用录入（明细）'!D:D=$F$4,'领用录入（明细）'!C:C&gt;=$J$4,'领用录入（明细）'!C:C&lt;=$L$4),ROW(),"-")</f>
        <v>-</v>
      </c>
    </row>
    <row r="6782" customHeight="1" spans="2:2">
      <c r="B6782" s="62" t="str">
        <f>IF(AND('领用录入（明细）'!D:D=$F$4,'领用录入（明细）'!C:C&gt;=$J$4,'领用录入（明细）'!C:C&lt;=$L$4),ROW(),"-")</f>
        <v>-</v>
      </c>
    </row>
    <row r="6783" customHeight="1" spans="2:2">
      <c r="B6783" s="62" t="str">
        <f>IF(AND('领用录入（明细）'!D:D=$F$4,'领用录入（明细）'!C:C&gt;=$J$4,'领用录入（明细）'!C:C&lt;=$L$4),ROW(),"-")</f>
        <v>-</v>
      </c>
    </row>
    <row r="6784" customHeight="1" spans="2:2">
      <c r="B6784" s="62" t="str">
        <f>IF(AND('领用录入（明细）'!D:D=$F$4,'领用录入（明细）'!C:C&gt;=$J$4,'领用录入（明细）'!C:C&lt;=$L$4),ROW(),"-")</f>
        <v>-</v>
      </c>
    </row>
    <row r="6785" customHeight="1" spans="2:2">
      <c r="B6785" s="62" t="str">
        <f>IF(AND('领用录入（明细）'!D:D=$F$4,'领用录入（明细）'!C:C&gt;=$J$4,'领用录入（明细）'!C:C&lt;=$L$4),ROW(),"-")</f>
        <v>-</v>
      </c>
    </row>
    <row r="6786" customHeight="1" spans="2:2">
      <c r="B6786" s="62" t="str">
        <f>IF(AND('领用录入（明细）'!D:D=$F$4,'领用录入（明细）'!C:C&gt;=$J$4,'领用录入（明细）'!C:C&lt;=$L$4),ROW(),"-")</f>
        <v>-</v>
      </c>
    </row>
    <row r="6787" customHeight="1" spans="2:2">
      <c r="B6787" s="62" t="str">
        <f>IF(AND('领用录入（明细）'!D:D=$F$4,'领用录入（明细）'!C:C&gt;=$J$4,'领用录入（明细）'!C:C&lt;=$L$4),ROW(),"-")</f>
        <v>-</v>
      </c>
    </row>
    <row r="6788" customHeight="1" spans="2:2">
      <c r="B6788" s="62" t="str">
        <f>IF(AND('领用录入（明细）'!D:D=$F$4,'领用录入（明细）'!C:C&gt;=$J$4,'领用录入（明细）'!C:C&lt;=$L$4),ROW(),"-")</f>
        <v>-</v>
      </c>
    </row>
    <row r="6789" customHeight="1" spans="2:2">
      <c r="B6789" s="62" t="str">
        <f>IF(AND('领用录入（明细）'!D:D=$F$4,'领用录入（明细）'!C:C&gt;=$J$4,'领用录入（明细）'!C:C&lt;=$L$4),ROW(),"-")</f>
        <v>-</v>
      </c>
    </row>
    <row r="6790" customHeight="1" spans="2:2">
      <c r="B6790" s="62" t="str">
        <f>IF(AND('领用录入（明细）'!D:D=$F$4,'领用录入（明细）'!C:C&gt;=$J$4,'领用录入（明细）'!C:C&lt;=$L$4),ROW(),"-")</f>
        <v>-</v>
      </c>
    </row>
    <row r="6791" customHeight="1" spans="2:2">
      <c r="B6791" s="62" t="str">
        <f>IF(AND('领用录入（明细）'!D:D=$F$4,'领用录入（明细）'!C:C&gt;=$J$4,'领用录入（明细）'!C:C&lt;=$L$4),ROW(),"-")</f>
        <v>-</v>
      </c>
    </row>
    <row r="6792" customHeight="1" spans="2:2">
      <c r="B6792" s="62" t="str">
        <f>IF(AND('领用录入（明细）'!D:D=$F$4,'领用录入（明细）'!C:C&gt;=$J$4,'领用录入（明细）'!C:C&lt;=$L$4),ROW(),"-")</f>
        <v>-</v>
      </c>
    </row>
    <row r="6793" customHeight="1" spans="2:2">
      <c r="B6793" s="62" t="str">
        <f>IF(AND('领用录入（明细）'!D:D=$F$4,'领用录入（明细）'!C:C&gt;=$J$4,'领用录入（明细）'!C:C&lt;=$L$4),ROW(),"-")</f>
        <v>-</v>
      </c>
    </row>
    <row r="6794" customHeight="1" spans="2:2">
      <c r="B6794" s="62" t="str">
        <f>IF(AND('领用录入（明细）'!D:D=$F$4,'领用录入（明细）'!C:C&gt;=$J$4,'领用录入（明细）'!C:C&lt;=$L$4),ROW(),"-")</f>
        <v>-</v>
      </c>
    </row>
    <row r="6795" customHeight="1" spans="2:2">
      <c r="B6795" s="62" t="str">
        <f>IF(AND('领用录入（明细）'!D:D=$F$4,'领用录入（明细）'!C:C&gt;=$J$4,'领用录入（明细）'!C:C&lt;=$L$4),ROW(),"-")</f>
        <v>-</v>
      </c>
    </row>
    <row r="6796" customHeight="1" spans="2:2">
      <c r="B6796" s="62" t="str">
        <f>IF(AND('领用录入（明细）'!D:D=$F$4,'领用录入（明细）'!C:C&gt;=$J$4,'领用录入（明细）'!C:C&lt;=$L$4),ROW(),"-")</f>
        <v>-</v>
      </c>
    </row>
    <row r="6797" customHeight="1" spans="2:2">
      <c r="B6797" s="62" t="str">
        <f>IF(AND('领用录入（明细）'!D:D=$F$4,'领用录入（明细）'!C:C&gt;=$J$4,'领用录入（明细）'!C:C&lt;=$L$4),ROW(),"-")</f>
        <v>-</v>
      </c>
    </row>
    <row r="6798" customHeight="1" spans="2:2">
      <c r="B6798" s="62" t="str">
        <f>IF(AND('领用录入（明细）'!D:D=$F$4,'领用录入（明细）'!C:C&gt;=$J$4,'领用录入（明细）'!C:C&lt;=$L$4),ROW(),"-")</f>
        <v>-</v>
      </c>
    </row>
    <row r="6799" customHeight="1" spans="2:2">
      <c r="B6799" s="62" t="str">
        <f>IF(AND('领用录入（明细）'!D:D=$F$4,'领用录入（明细）'!C:C&gt;=$J$4,'领用录入（明细）'!C:C&lt;=$L$4),ROW(),"-")</f>
        <v>-</v>
      </c>
    </row>
    <row r="6800" customHeight="1" spans="2:2">
      <c r="B6800" s="62" t="str">
        <f>IF(AND('领用录入（明细）'!D:D=$F$4,'领用录入（明细）'!C:C&gt;=$J$4,'领用录入（明细）'!C:C&lt;=$L$4),ROW(),"-")</f>
        <v>-</v>
      </c>
    </row>
    <row r="6801" customHeight="1" spans="2:2">
      <c r="B6801" s="62" t="str">
        <f>IF(AND('领用录入（明细）'!D:D=$F$4,'领用录入（明细）'!C:C&gt;=$J$4,'领用录入（明细）'!C:C&lt;=$L$4),ROW(),"-")</f>
        <v>-</v>
      </c>
    </row>
    <row r="6802" customHeight="1" spans="2:2">
      <c r="B6802" s="62" t="str">
        <f>IF(AND('领用录入（明细）'!D:D=$F$4,'领用录入（明细）'!C:C&gt;=$J$4,'领用录入（明细）'!C:C&lt;=$L$4),ROW(),"-")</f>
        <v>-</v>
      </c>
    </row>
    <row r="6803" customHeight="1" spans="2:2">
      <c r="B6803" s="62" t="str">
        <f>IF(AND('领用录入（明细）'!D:D=$F$4,'领用录入（明细）'!C:C&gt;=$J$4,'领用录入（明细）'!C:C&lt;=$L$4),ROW(),"-")</f>
        <v>-</v>
      </c>
    </row>
    <row r="6804" customHeight="1" spans="2:2">
      <c r="B6804" s="62" t="str">
        <f>IF(AND('领用录入（明细）'!D:D=$F$4,'领用录入（明细）'!C:C&gt;=$J$4,'领用录入（明细）'!C:C&lt;=$L$4),ROW(),"-")</f>
        <v>-</v>
      </c>
    </row>
    <row r="6805" customHeight="1" spans="2:2">
      <c r="B6805" s="62" t="str">
        <f>IF(AND('领用录入（明细）'!D:D=$F$4,'领用录入（明细）'!C:C&gt;=$J$4,'领用录入（明细）'!C:C&lt;=$L$4),ROW(),"-")</f>
        <v>-</v>
      </c>
    </row>
    <row r="6806" customHeight="1" spans="2:2">
      <c r="B6806" s="62" t="str">
        <f>IF(AND('领用录入（明细）'!D:D=$F$4,'领用录入（明细）'!C:C&gt;=$J$4,'领用录入（明细）'!C:C&lt;=$L$4),ROW(),"-")</f>
        <v>-</v>
      </c>
    </row>
    <row r="6807" customHeight="1" spans="2:2">
      <c r="B6807" s="62" t="str">
        <f>IF(AND('领用录入（明细）'!D:D=$F$4,'领用录入（明细）'!C:C&gt;=$J$4,'领用录入（明细）'!C:C&lt;=$L$4),ROW(),"-")</f>
        <v>-</v>
      </c>
    </row>
    <row r="6808" customHeight="1" spans="2:2">
      <c r="B6808" s="62" t="str">
        <f>IF(AND('领用录入（明细）'!D:D=$F$4,'领用录入（明细）'!C:C&gt;=$J$4,'领用录入（明细）'!C:C&lt;=$L$4),ROW(),"-")</f>
        <v>-</v>
      </c>
    </row>
    <row r="6809" customHeight="1" spans="2:2">
      <c r="B6809" s="62" t="str">
        <f>IF(AND('领用录入（明细）'!D:D=$F$4,'领用录入（明细）'!C:C&gt;=$J$4,'领用录入（明细）'!C:C&lt;=$L$4),ROW(),"-")</f>
        <v>-</v>
      </c>
    </row>
    <row r="6810" customHeight="1" spans="2:2">
      <c r="B6810" s="62" t="str">
        <f>IF(AND('领用录入（明细）'!D:D=$F$4,'领用录入（明细）'!C:C&gt;=$J$4,'领用录入（明细）'!C:C&lt;=$L$4),ROW(),"-")</f>
        <v>-</v>
      </c>
    </row>
    <row r="6811" customHeight="1" spans="2:2">
      <c r="B6811" s="62" t="str">
        <f>IF(AND('领用录入（明细）'!D:D=$F$4,'领用录入（明细）'!C:C&gt;=$J$4,'领用录入（明细）'!C:C&lt;=$L$4),ROW(),"-")</f>
        <v>-</v>
      </c>
    </row>
    <row r="6812" customHeight="1" spans="2:2">
      <c r="B6812" s="62" t="str">
        <f>IF(AND('领用录入（明细）'!D:D=$F$4,'领用录入（明细）'!C:C&gt;=$J$4,'领用录入（明细）'!C:C&lt;=$L$4),ROW(),"-")</f>
        <v>-</v>
      </c>
    </row>
    <row r="6813" customHeight="1" spans="2:2">
      <c r="B6813" s="62" t="str">
        <f>IF(AND('领用录入（明细）'!D:D=$F$4,'领用录入（明细）'!C:C&gt;=$J$4,'领用录入（明细）'!C:C&lt;=$L$4),ROW(),"-")</f>
        <v>-</v>
      </c>
    </row>
    <row r="6814" customHeight="1" spans="2:2">
      <c r="B6814" s="62" t="str">
        <f>IF(AND('领用录入（明细）'!D:D=$F$4,'领用录入（明细）'!C:C&gt;=$J$4,'领用录入（明细）'!C:C&lt;=$L$4),ROW(),"-")</f>
        <v>-</v>
      </c>
    </row>
    <row r="6815" customHeight="1" spans="2:2">
      <c r="B6815" s="62" t="str">
        <f>IF(AND('领用录入（明细）'!D:D=$F$4,'领用录入（明细）'!C:C&gt;=$J$4,'领用录入（明细）'!C:C&lt;=$L$4),ROW(),"-")</f>
        <v>-</v>
      </c>
    </row>
    <row r="6816" customHeight="1" spans="2:2">
      <c r="B6816" s="62" t="str">
        <f>IF(AND('领用录入（明细）'!D:D=$F$4,'领用录入（明细）'!C:C&gt;=$J$4,'领用录入（明细）'!C:C&lt;=$L$4),ROW(),"-")</f>
        <v>-</v>
      </c>
    </row>
    <row r="6817" customHeight="1" spans="2:2">
      <c r="B6817" s="62" t="str">
        <f>IF(AND('领用录入（明细）'!D:D=$F$4,'领用录入（明细）'!C:C&gt;=$J$4,'领用录入（明细）'!C:C&lt;=$L$4),ROW(),"-")</f>
        <v>-</v>
      </c>
    </row>
    <row r="6818" customHeight="1" spans="2:2">
      <c r="B6818" s="62" t="str">
        <f>IF(AND('领用录入（明细）'!D:D=$F$4,'领用录入（明细）'!C:C&gt;=$J$4,'领用录入（明细）'!C:C&lt;=$L$4),ROW(),"-")</f>
        <v>-</v>
      </c>
    </row>
    <row r="6819" customHeight="1" spans="2:2">
      <c r="B6819" s="62" t="str">
        <f>IF(AND('领用录入（明细）'!D:D=$F$4,'领用录入（明细）'!C:C&gt;=$J$4,'领用录入（明细）'!C:C&lt;=$L$4),ROW(),"-")</f>
        <v>-</v>
      </c>
    </row>
    <row r="6820" customHeight="1" spans="2:2">
      <c r="B6820" s="62" t="str">
        <f>IF(AND('领用录入（明细）'!D:D=$F$4,'领用录入（明细）'!C:C&gt;=$J$4,'领用录入（明细）'!C:C&lt;=$L$4),ROW(),"-")</f>
        <v>-</v>
      </c>
    </row>
    <row r="6821" customHeight="1" spans="2:2">
      <c r="B6821" s="62" t="str">
        <f>IF(AND('领用录入（明细）'!D:D=$F$4,'领用录入（明细）'!C:C&gt;=$J$4,'领用录入（明细）'!C:C&lt;=$L$4),ROW(),"-")</f>
        <v>-</v>
      </c>
    </row>
    <row r="6822" customHeight="1" spans="2:2">
      <c r="B6822" s="62" t="str">
        <f>IF(AND('领用录入（明细）'!D:D=$F$4,'领用录入（明细）'!C:C&gt;=$J$4,'领用录入（明细）'!C:C&lt;=$L$4),ROW(),"-")</f>
        <v>-</v>
      </c>
    </row>
    <row r="6823" customHeight="1" spans="2:2">
      <c r="B6823" s="62" t="str">
        <f>IF(AND('领用录入（明细）'!D:D=$F$4,'领用录入（明细）'!C:C&gt;=$J$4,'领用录入（明细）'!C:C&lt;=$L$4),ROW(),"-")</f>
        <v>-</v>
      </c>
    </row>
    <row r="6824" customHeight="1" spans="2:2">
      <c r="B6824" s="62" t="str">
        <f>IF(AND('领用录入（明细）'!D:D=$F$4,'领用录入（明细）'!C:C&gt;=$J$4,'领用录入（明细）'!C:C&lt;=$L$4),ROW(),"-")</f>
        <v>-</v>
      </c>
    </row>
    <row r="6825" customHeight="1" spans="2:2">
      <c r="B6825" s="62" t="str">
        <f>IF(AND('领用录入（明细）'!D:D=$F$4,'领用录入（明细）'!C:C&gt;=$J$4,'领用录入（明细）'!C:C&lt;=$L$4),ROW(),"-")</f>
        <v>-</v>
      </c>
    </row>
    <row r="6826" customHeight="1" spans="2:2">
      <c r="B6826" s="62" t="str">
        <f>IF(AND('领用录入（明细）'!D:D=$F$4,'领用录入（明细）'!C:C&gt;=$J$4,'领用录入（明细）'!C:C&lt;=$L$4),ROW(),"-")</f>
        <v>-</v>
      </c>
    </row>
    <row r="6827" customHeight="1" spans="2:2">
      <c r="B6827" s="62" t="str">
        <f>IF(AND('领用录入（明细）'!D:D=$F$4,'领用录入（明细）'!C:C&gt;=$J$4,'领用录入（明细）'!C:C&lt;=$L$4),ROW(),"-")</f>
        <v>-</v>
      </c>
    </row>
    <row r="6828" customHeight="1" spans="2:2">
      <c r="B6828" s="62" t="str">
        <f>IF(AND('领用录入（明细）'!D:D=$F$4,'领用录入（明细）'!C:C&gt;=$J$4,'领用录入（明细）'!C:C&lt;=$L$4),ROW(),"-")</f>
        <v>-</v>
      </c>
    </row>
    <row r="6829" customHeight="1" spans="2:2">
      <c r="B6829" s="62" t="str">
        <f>IF(AND('领用录入（明细）'!D:D=$F$4,'领用录入（明细）'!C:C&gt;=$J$4,'领用录入（明细）'!C:C&lt;=$L$4),ROW(),"-")</f>
        <v>-</v>
      </c>
    </row>
    <row r="6830" customHeight="1" spans="2:2">
      <c r="B6830" s="62" t="str">
        <f>IF(AND('领用录入（明细）'!D:D=$F$4,'领用录入（明细）'!C:C&gt;=$J$4,'领用录入（明细）'!C:C&lt;=$L$4),ROW(),"-")</f>
        <v>-</v>
      </c>
    </row>
    <row r="6831" customHeight="1" spans="2:2">
      <c r="B6831" s="62" t="str">
        <f>IF(AND('领用录入（明细）'!D:D=$F$4,'领用录入（明细）'!C:C&gt;=$J$4,'领用录入（明细）'!C:C&lt;=$L$4),ROW(),"-")</f>
        <v>-</v>
      </c>
    </row>
    <row r="6832" customHeight="1" spans="2:2">
      <c r="B6832" s="62" t="str">
        <f>IF(AND('领用录入（明细）'!D:D=$F$4,'领用录入（明细）'!C:C&gt;=$J$4,'领用录入（明细）'!C:C&lt;=$L$4),ROW(),"-")</f>
        <v>-</v>
      </c>
    </row>
    <row r="6833" customHeight="1" spans="2:2">
      <c r="B6833" s="62" t="str">
        <f>IF(AND('领用录入（明细）'!D:D=$F$4,'领用录入（明细）'!C:C&gt;=$J$4,'领用录入（明细）'!C:C&lt;=$L$4),ROW(),"-")</f>
        <v>-</v>
      </c>
    </row>
    <row r="6834" customHeight="1" spans="2:2">
      <c r="B6834" s="62" t="str">
        <f>IF(AND('领用录入（明细）'!D:D=$F$4,'领用录入（明细）'!C:C&gt;=$J$4,'领用录入（明细）'!C:C&lt;=$L$4),ROW(),"-")</f>
        <v>-</v>
      </c>
    </row>
    <row r="6835" customHeight="1" spans="2:2">
      <c r="B6835" s="62" t="str">
        <f>IF(AND('领用录入（明细）'!D:D=$F$4,'领用录入（明细）'!C:C&gt;=$J$4,'领用录入（明细）'!C:C&lt;=$L$4),ROW(),"-")</f>
        <v>-</v>
      </c>
    </row>
    <row r="6836" customHeight="1" spans="2:2">
      <c r="B6836" s="62" t="str">
        <f>IF(AND('领用录入（明细）'!D:D=$F$4,'领用录入（明细）'!C:C&gt;=$J$4,'领用录入（明细）'!C:C&lt;=$L$4),ROW(),"-")</f>
        <v>-</v>
      </c>
    </row>
    <row r="6837" customHeight="1" spans="2:2">
      <c r="B6837" s="62" t="str">
        <f>IF(AND('领用录入（明细）'!D:D=$F$4,'领用录入（明细）'!C:C&gt;=$J$4,'领用录入（明细）'!C:C&lt;=$L$4),ROW(),"-")</f>
        <v>-</v>
      </c>
    </row>
    <row r="6838" customHeight="1" spans="2:2">
      <c r="B6838" s="62" t="str">
        <f>IF(AND('领用录入（明细）'!D:D=$F$4,'领用录入（明细）'!C:C&gt;=$J$4,'领用录入（明细）'!C:C&lt;=$L$4),ROW(),"-")</f>
        <v>-</v>
      </c>
    </row>
    <row r="6839" customHeight="1" spans="2:2">
      <c r="B6839" s="62" t="str">
        <f>IF(AND('领用录入（明细）'!D:D=$F$4,'领用录入（明细）'!C:C&gt;=$J$4,'领用录入（明细）'!C:C&lt;=$L$4),ROW(),"-")</f>
        <v>-</v>
      </c>
    </row>
    <row r="6840" customHeight="1" spans="2:2">
      <c r="B6840" s="62" t="str">
        <f>IF(AND('领用录入（明细）'!D:D=$F$4,'领用录入（明细）'!C:C&gt;=$J$4,'领用录入（明细）'!C:C&lt;=$L$4),ROW(),"-")</f>
        <v>-</v>
      </c>
    </row>
    <row r="6841" customHeight="1" spans="2:2">
      <c r="B6841" s="62" t="str">
        <f>IF(AND('领用录入（明细）'!D:D=$F$4,'领用录入（明细）'!C:C&gt;=$J$4,'领用录入（明细）'!C:C&lt;=$L$4),ROW(),"-")</f>
        <v>-</v>
      </c>
    </row>
    <row r="6842" customHeight="1" spans="2:2">
      <c r="B6842" s="62" t="str">
        <f>IF(AND('领用录入（明细）'!D:D=$F$4,'领用录入（明细）'!C:C&gt;=$J$4,'领用录入（明细）'!C:C&lt;=$L$4),ROW(),"-")</f>
        <v>-</v>
      </c>
    </row>
    <row r="6843" customHeight="1" spans="2:2">
      <c r="B6843" s="62" t="str">
        <f>IF(AND('领用录入（明细）'!D:D=$F$4,'领用录入（明细）'!C:C&gt;=$J$4,'领用录入（明细）'!C:C&lt;=$L$4),ROW(),"-")</f>
        <v>-</v>
      </c>
    </row>
    <row r="6844" customHeight="1" spans="2:2">
      <c r="B6844" s="62" t="str">
        <f>IF(AND('领用录入（明细）'!D:D=$F$4,'领用录入（明细）'!C:C&gt;=$J$4,'领用录入（明细）'!C:C&lt;=$L$4),ROW(),"-")</f>
        <v>-</v>
      </c>
    </row>
    <row r="6845" customHeight="1" spans="2:2">
      <c r="B6845" s="62" t="str">
        <f>IF(AND('领用录入（明细）'!D:D=$F$4,'领用录入（明细）'!C:C&gt;=$J$4,'领用录入（明细）'!C:C&lt;=$L$4),ROW(),"-")</f>
        <v>-</v>
      </c>
    </row>
    <row r="6846" customHeight="1" spans="2:2">
      <c r="B6846" s="62" t="str">
        <f>IF(AND('领用录入（明细）'!D:D=$F$4,'领用录入（明细）'!C:C&gt;=$J$4,'领用录入（明细）'!C:C&lt;=$L$4),ROW(),"-")</f>
        <v>-</v>
      </c>
    </row>
    <row r="6847" customHeight="1" spans="2:2">
      <c r="B6847" s="62" t="str">
        <f>IF(AND('领用录入（明细）'!D:D=$F$4,'领用录入（明细）'!C:C&gt;=$J$4,'领用录入（明细）'!C:C&lt;=$L$4),ROW(),"-")</f>
        <v>-</v>
      </c>
    </row>
    <row r="6848" customHeight="1" spans="2:2">
      <c r="B6848" s="62" t="str">
        <f>IF(AND('领用录入（明细）'!D:D=$F$4,'领用录入（明细）'!C:C&gt;=$J$4,'领用录入（明细）'!C:C&lt;=$L$4),ROW(),"-")</f>
        <v>-</v>
      </c>
    </row>
    <row r="6849" customHeight="1" spans="2:2">
      <c r="B6849" s="62" t="str">
        <f>IF(AND('领用录入（明细）'!D:D=$F$4,'领用录入（明细）'!C:C&gt;=$J$4,'领用录入（明细）'!C:C&lt;=$L$4),ROW(),"-")</f>
        <v>-</v>
      </c>
    </row>
    <row r="6850" customHeight="1" spans="2:2">
      <c r="B6850" s="62" t="str">
        <f>IF(AND('领用录入（明细）'!D:D=$F$4,'领用录入（明细）'!C:C&gt;=$J$4,'领用录入（明细）'!C:C&lt;=$L$4),ROW(),"-")</f>
        <v>-</v>
      </c>
    </row>
    <row r="6851" customHeight="1" spans="2:2">
      <c r="B6851" s="62" t="str">
        <f>IF(AND('领用录入（明细）'!D:D=$F$4,'领用录入（明细）'!C:C&gt;=$J$4,'领用录入（明细）'!C:C&lt;=$L$4),ROW(),"-")</f>
        <v>-</v>
      </c>
    </row>
    <row r="6852" customHeight="1" spans="2:2">
      <c r="B6852" s="62" t="str">
        <f>IF(AND('领用录入（明细）'!D:D=$F$4,'领用录入（明细）'!C:C&gt;=$J$4,'领用录入（明细）'!C:C&lt;=$L$4),ROW(),"-")</f>
        <v>-</v>
      </c>
    </row>
    <row r="6853" customHeight="1" spans="2:2">
      <c r="B6853" s="62" t="str">
        <f>IF(AND('领用录入（明细）'!D:D=$F$4,'领用录入（明细）'!C:C&gt;=$J$4,'领用录入（明细）'!C:C&lt;=$L$4),ROW(),"-")</f>
        <v>-</v>
      </c>
    </row>
    <row r="6854" customHeight="1" spans="2:2">
      <c r="B6854" s="62" t="str">
        <f>IF(AND('领用录入（明细）'!D:D=$F$4,'领用录入（明细）'!C:C&gt;=$J$4,'领用录入（明细）'!C:C&lt;=$L$4),ROW(),"-")</f>
        <v>-</v>
      </c>
    </row>
    <row r="6855" customHeight="1" spans="2:2">
      <c r="B6855" s="62" t="str">
        <f>IF(AND('领用录入（明细）'!D:D=$F$4,'领用录入（明细）'!C:C&gt;=$J$4,'领用录入（明细）'!C:C&lt;=$L$4),ROW(),"-")</f>
        <v>-</v>
      </c>
    </row>
    <row r="6856" customHeight="1" spans="2:2">
      <c r="B6856" s="62" t="str">
        <f>IF(AND('领用录入（明细）'!D:D=$F$4,'领用录入（明细）'!C:C&gt;=$J$4,'领用录入（明细）'!C:C&lt;=$L$4),ROW(),"-")</f>
        <v>-</v>
      </c>
    </row>
    <row r="6857" customHeight="1" spans="2:2">
      <c r="B6857" s="62" t="str">
        <f>IF(AND('领用录入（明细）'!D:D=$F$4,'领用录入（明细）'!C:C&gt;=$J$4,'领用录入（明细）'!C:C&lt;=$L$4),ROW(),"-")</f>
        <v>-</v>
      </c>
    </row>
    <row r="6858" customHeight="1" spans="2:2">
      <c r="B6858" s="62" t="str">
        <f>IF(AND('领用录入（明细）'!D:D=$F$4,'领用录入（明细）'!C:C&gt;=$J$4,'领用录入（明细）'!C:C&lt;=$L$4),ROW(),"-")</f>
        <v>-</v>
      </c>
    </row>
    <row r="6859" customHeight="1" spans="2:2">
      <c r="B6859" s="62" t="str">
        <f>IF(AND('领用录入（明细）'!D:D=$F$4,'领用录入（明细）'!C:C&gt;=$J$4,'领用录入（明细）'!C:C&lt;=$L$4),ROW(),"-")</f>
        <v>-</v>
      </c>
    </row>
    <row r="6860" customHeight="1" spans="2:2">
      <c r="B6860" s="62" t="str">
        <f>IF(AND('领用录入（明细）'!D:D=$F$4,'领用录入（明细）'!C:C&gt;=$J$4,'领用录入（明细）'!C:C&lt;=$L$4),ROW(),"-")</f>
        <v>-</v>
      </c>
    </row>
    <row r="6861" customHeight="1" spans="2:2">
      <c r="B6861" s="62" t="str">
        <f>IF(AND('领用录入（明细）'!D:D=$F$4,'领用录入（明细）'!C:C&gt;=$J$4,'领用录入（明细）'!C:C&lt;=$L$4),ROW(),"-")</f>
        <v>-</v>
      </c>
    </row>
    <row r="6862" customHeight="1" spans="2:2">
      <c r="B6862" s="62" t="str">
        <f>IF(AND('领用录入（明细）'!D:D=$F$4,'领用录入（明细）'!C:C&gt;=$J$4,'领用录入（明细）'!C:C&lt;=$L$4),ROW(),"-")</f>
        <v>-</v>
      </c>
    </row>
    <row r="6863" customHeight="1" spans="2:2">
      <c r="B6863" s="62" t="str">
        <f>IF(AND('领用录入（明细）'!D:D=$F$4,'领用录入（明细）'!C:C&gt;=$J$4,'领用录入（明细）'!C:C&lt;=$L$4),ROW(),"-")</f>
        <v>-</v>
      </c>
    </row>
    <row r="6864" customHeight="1" spans="2:2">
      <c r="B6864" s="62" t="str">
        <f>IF(AND('领用录入（明细）'!D:D=$F$4,'领用录入（明细）'!C:C&gt;=$J$4,'领用录入（明细）'!C:C&lt;=$L$4),ROW(),"-")</f>
        <v>-</v>
      </c>
    </row>
    <row r="6865" customHeight="1" spans="2:2">
      <c r="B6865" s="62" t="str">
        <f>IF(AND('领用录入（明细）'!D:D=$F$4,'领用录入（明细）'!C:C&gt;=$J$4,'领用录入（明细）'!C:C&lt;=$L$4),ROW(),"-")</f>
        <v>-</v>
      </c>
    </row>
    <row r="6866" customHeight="1" spans="2:2">
      <c r="B6866" s="62" t="str">
        <f>IF(AND('领用录入（明细）'!D:D=$F$4,'领用录入（明细）'!C:C&gt;=$J$4,'领用录入（明细）'!C:C&lt;=$L$4),ROW(),"-")</f>
        <v>-</v>
      </c>
    </row>
    <row r="6867" customHeight="1" spans="2:2">
      <c r="B6867" s="62" t="str">
        <f>IF(AND('领用录入（明细）'!D:D=$F$4,'领用录入（明细）'!C:C&gt;=$J$4,'领用录入（明细）'!C:C&lt;=$L$4),ROW(),"-")</f>
        <v>-</v>
      </c>
    </row>
    <row r="6868" customHeight="1" spans="2:2">
      <c r="B6868" s="62" t="str">
        <f>IF(AND('领用录入（明细）'!D:D=$F$4,'领用录入（明细）'!C:C&gt;=$J$4,'领用录入（明细）'!C:C&lt;=$L$4),ROW(),"-")</f>
        <v>-</v>
      </c>
    </row>
    <row r="6869" customHeight="1" spans="2:2">
      <c r="B6869" s="62" t="str">
        <f>IF(AND('领用录入（明细）'!D:D=$F$4,'领用录入（明细）'!C:C&gt;=$J$4,'领用录入（明细）'!C:C&lt;=$L$4),ROW(),"-")</f>
        <v>-</v>
      </c>
    </row>
    <row r="6870" customHeight="1" spans="2:2">
      <c r="B6870" s="62" t="str">
        <f>IF(AND('领用录入（明细）'!D:D=$F$4,'领用录入（明细）'!C:C&gt;=$J$4,'领用录入（明细）'!C:C&lt;=$L$4),ROW(),"-")</f>
        <v>-</v>
      </c>
    </row>
    <row r="6871" customHeight="1" spans="2:2">
      <c r="B6871" s="62" t="str">
        <f>IF(AND('领用录入（明细）'!D:D=$F$4,'领用录入（明细）'!C:C&gt;=$J$4,'领用录入（明细）'!C:C&lt;=$L$4),ROW(),"-")</f>
        <v>-</v>
      </c>
    </row>
    <row r="6872" customHeight="1" spans="2:2">
      <c r="B6872" s="62" t="str">
        <f>IF(AND('领用录入（明细）'!D:D=$F$4,'领用录入（明细）'!C:C&gt;=$J$4,'领用录入（明细）'!C:C&lt;=$L$4),ROW(),"-")</f>
        <v>-</v>
      </c>
    </row>
    <row r="6873" customHeight="1" spans="2:2">
      <c r="B6873" s="62" t="str">
        <f>IF(AND('领用录入（明细）'!D:D=$F$4,'领用录入（明细）'!C:C&gt;=$J$4,'领用录入（明细）'!C:C&lt;=$L$4),ROW(),"-")</f>
        <v>-</v>
      </c>
    </row>
    <row r="6874" customHeight="1" spans="2:2">
      <c r="B6874" s="62" t="str">
        <f>IF(AND('领用录入（明细）'!D:D=$F$4,'领用录入（明细）'!C:C&gt;=$J$4,'领用录入（明细）'!C:C&lt;=$L$4),ROW(),"-")</f>
        <v>-</v>
      </c>
    </row>
    <row r="6875" customHeight="1" spans="2:2">
      <c r="B6875" s="62" t="str">
        <f>IF(AND('领用录入（明细）'!D:D=$F$4,'领用录入（明细）'!C:C&gt;=$J$4,'领用录入（明细）'!C:C&lt;=$L$4),ROW(),"-")</f>
        <v>-</v>
      </c>
    </row>
    <row r="6876" customHeight="1" spans="2:2">
      <c r="B6876" s="62" t="str">
        <f>IF(AND('领用录入（明细）'!D:D=$F$4,'领用录入（明细）'!C:C&gt;=$J$4,'领用录入（明细）'!C:C&lt;=$L$4),ROW(),"-")</f>
        <v>-</v>
      </c>
    </row>
    <row r="6877" customHeight="1" spans="2:2">
      <c r="B6877" s="62" t="str">
        <f>IF(AND('领用录入（明细）'!D:D=$F$4,'领用录入（明细）'!C:C&gt;=$J$4,'领用录入（明细）'!C:C&lt;=$L$4),ROW(),"-")</f>
        <v>-</v>
      </c>
    </row>
    <row r="6878" customHeight="1" spans="2:2">
      <c r="B6878" s="62" t="str">
        <f>IF(AND('领用录入（明细）'!D:D=$F$4,'领用录入（明细）'!C:C&gt;=$J$4,'领用录入（明细）'!C:C&lt;=$L$4),ROW(),"-")</f>
        <v>-</v>
      </c>
    </row>
    <row r="6879" customHeight="1" spans="2:2">
      <c r="B6879" s="62" t="str">
        <f>IF(AND('领用录入（明细）'!D:D=$F$4,'领用录入（明细）'!C:C&gt;=$J$4,'领用录入（明细）'!C:C&lt;=$L$4),ROW(),"-")</f>
        <v>-</v>
      </c>
    </row>
    <row r="6880" customHeight="1" spans="2:2">
      <c r="B6880" s="62" t="str">
        <f>IF(AND('领用录入（明细）'!D:D=$F$4,'领用录入（明细）'!C:C&gt;=$J$4,'领用录入（明细）'!C:C&lt;=$L$4),ROW(),"-")</f>
        <v>-</v>
      </c>
    </row>
    <row r="6881" customHeight="1" spans="2:2">
      <c r="B6881" s="62" t="str">
        <f>IF(AND('领用录入（明细）'!D:D=$F$4,'领用录入（明细）'!C:C&gt;=$J$4,'领用录入（明细）'!C:C&lt;=$L$4),ROW(),"-")</f>
        <v>-</v>
      </c>
    </row>
    <row r="6882" customHeight="1" spans="2:2">
      <c r="B6882" s="62" t="str">
        <f>IF(AND('领用录入（明细）'!D:D=$F$4,'领用录入（明细）'!C:C&gt;=$J$4,'领用录入（明细）'!C:C&lt;=$L$4),ROW(),"-")</f>
        <v>-</v>
      </c>
    </row>
    <row r="6883" customHeight="1" spans="2:2">
      <c r="B6883" s="62" t="str">
        <f>IF(AND('领用录入（明细）'!D:D=$F$4,'领用录入（明细）'!C:C&gt;=$J$4,'领用录入（明细）'!C:C&lt;=$L$4),ROW(),"-")</f>
        <v>-</v>
      </c>
    </row>
    <row r="6884" customHeight="1" spans="2:2">
      <c r="B6884" s="62" t="str">
        <f>IF(AND('领用录入（明细）'!D:D=$F$4,'领用录入（明细）'!C:C&gt;=$J$4,'领用录入（明细）'!C:C&lt;=$L$4),ROW(),"-")</f>
        <v>-</v>
      </c>
    </row>
    <row r="6885" customHeight="1" spans="2:2">
      <c r="B6885" s="62" t="str">
        <f>IF(AND('领用录入（明细）'!D:D=$F$4,'领用录入（明细）'!C:C&gt;=$J$4,'领用录入（明细）'!C:C&lt;=$L$4),ROW(),"-")</f>
        <v>-</v>
      </c>
    </row>
    <row r="6886" customHeight="1" spans="2:2">
      <c r="B6886" s="62" t="str">
        <f>IF(AND('领用录入（明细）'!D:D=$F$4,'领用录入（明细）'!C:C&gt;=$J$4,'领用录入（明细）'!C:C&lt;=$L$4),ROW(),"-")</f>
        <v>-</v>
      </c>
    </row>
    <row r="6887" customHeight="1" spans="2:2">
      <c r="B6887" s="62" t="str">
        <f>IF(AND('领用录入（明细）'!D:D=$F$4,'领用录入（明细）'!C:C&gt;=$J$4,'领用录入（明细）'!C:C&lt;=$L$4),ROW(),"-")</f>
        <v>-</v>
      </c>
    </row>
    <row r="6888" customHeight="1" spans="2:2">
      <c r="B6888" s="62" t="str">
        <f>IF(AND('领用录入（明细）'!D:D=$F$4,'领用录入（明细）'!C:C&gt;=$J$4,'领用录入（明细）'!C:C&lt;=$L$4),ROW(),"-")</f>
        <v>-</v>
      </c>
    </row>
    <row r="6889" customHeight="1" spans="2:2">
      <c r="B6889" s="62" t="str">
        <f>IF(AND('领用录入（明细）'!D:D=$F$4,'领用录入（明细）'!C:C&gt;=$J$4,'领用录入（明细）'!C:C&lt;=$L$4),ROW(),"-")</f>
        <v>-</v>
      </c>
    </row>
    <row r="6890" customHeight="1" spans="2:2">
      <c r="B6890" s="62" t="str">
        <f>IF(AND('领用录入（明细）'!D:D=$F$4,'领用录入（明细）'!C:C&gt;=$J$4,'领用录入（明细）'!C:C&lt;=$L$4),ROW(),"-")</f>
        <v>-</v>
      </c>
    </row>
    <row r="6891" customHeight="1" spans="2:2">
      <c r="B6891" s="62" t="str">
        <f>IF(AND('领用录入（明细）'!D:D=$F$4,'领用录入（明细）'!C:C&gt;=$J$4,'领用录入（明细）'!C:C&lt;=$L$4),ROW(),"-")</f>
        <v>-</v>
      </c>
    </row>
    <row r="6892" customHeight="1" spans="2:2">
      <c r="B6892" s="62" t="str">
        <f>IF(AND('领用录入（明细）'!D:D=$F$4,'领用录入（明细）'!C:C&gt;=$J$4,'领用录入（明细）'!C:C&lt;=$L$4),ROW(),"-")</f>
        <v>-</v>
      </c>
    </row>
    <row r="6893" customHeight="1" spans="2:2">
      <c r="B6893" s="62" t="str">
        <f>IF(AND('领用录入（明细）'!D:D=$F$4,'领用录入（明细）'!C:C&gt;=$J$4,'领用录入（明细）'!C:C&lt;=$L$4),ROW(),"-")</f>
        <v>-</v>
      </c>
    </row>
    <row r="6894" customHeight="1" spans="2:2">
      <c r="B6894" s="62" t="str">
        <f>IF(AND('领用录入（明细）'!D:D=$F$4,'领用录入（明细）'!C:C&gt;=$J$4,'领用录入（明细）'!C:C&lt;=$L$4),ROW(),"-")</f>
        <v>-</v>
      </c>
    </row>
    <row r="6895" customHeight="1" spans="2:2">
      <c r="B6895" s="62" t="str">
        <f>IF(AND('领用录入（明细）'!D:D=$F$4,'领用录入（明细）'!C:C&gt;=$J$4,'领用录入（明细）'!C:C&lt;=$L$4),ROW(),"-")</f>
        <v>-</v>
      </c>
    </row>
    <row r="6896" customHeight="1" spans="2:2">
      <c r="B6896" s="62" t="str">
        <f>IF(AND('领用录入（明细）'!D:D=$F$4,'领用录入（明细）'!C:C&gt;=$J$4,'领用录入（明细）'!C:C&lt;=$L$4),ROW(),"-")</f>
        <v>-</v>
      </c>
    </row>
    <row r="6897" customHeight="1" spans="2:2">
      <c r="B6897" s="62" t="str">
        <f>IF(AND('领用录入（明细）'!D:D=$F$4,'领用录入（明细）'!C:C&gt;=$J$4,'领用录入（明细）'!C:C&lt;=$L$4),ROW(),"-")</f>
        <v>-</v>
      </c>
    </row>
    <row r="6898" customHeight="1" spans="2:2">
      <c r="B6898" s="62" t="str">
        <f>IF(AND('领用录入（明细）'!D:D=$F$4,'领用录入（明细）'!C:C&gt;=$J$4,'领用录入（明细）'!C:C&lt;=$L$4),ROW(),"-")</f>
        <v>-</v>
      </c>
    </row>
    <row r="6899" customHeight="1" spans="2:2">
      <c r="B6899" s="62" t="str">
        <f>IF(AND('领用录入（明细）'!D:D=$F$4,'领用录入（明细）'!C:C&gt;=$J$4,'领用录入（明细）'!C:C&lt;=$L$4),ROW(),"-")</f>
        <v>-</v>
      </c>
    </row>
    <row r="6900" customHeight="1" spans="2:2">
      <c r="B6900" s="62" t="str">
        <f>IF(AND('领用录入（明细）'!D:D=$F$4,'领用录入（明细）'!C:C&gt;=$J$4,'领用录入（明细）'!C:C&lt;=$L$4),ROW(),"-")</f>
        <v>-</v>
      </c>
    </row>
    <row r="6901" customHeight="1" spans="2:2">
      <c r="B6901" s="62" t="str">
        <f>IF(AND('领用录入（明细）'!D:D=$F$4,'领用录入（明细）'!C:C&gt;=$J$4,'领用录入（明细）'!C:C&lt;=$L$4),ROW(),"-")</f>
        <v>-</v>
      </c>
    </row>
    <row r="6902" customHeight="1" spans="2:2">
      <c r="B6902" s="62" t="str">
        <f>IF(AND('领用录入（明细）'!D:D=$F$4,'领用录入（明细）'!C:C&gt;=$J$4,'领用录入（明细）'!C:C&lt;=$L$4),ROW(),"-")</f>
        <v>-</v>
      </c>
    </row>
    <row r="6903" customHeight="1" spans="2:2">
      <c r="B6903" s="62" t="str">
        <f>IF(AND('领用录入（明细）'!D:D=$F$4,'领用录入（明细）'!C:C&gt;=$J$4,'领用录入（明细）'!C:C&lt;=$L$4),ROW(),"-")</f>
        <v>-</v>
      </c>
    </row>
    <row r="6904" customHeight="1" spans="2:2">
      <c r="B6904" s="62" t="str">
        <f>IF(AND('领用录入（明细）'!D:D=$F$4,'领用录入（明细）'!C:C&gt;=$J$4,'领用录入（明细）'!C:C&lt;=$L$4),ROW(),"-")</f>
        <v>-</v>
      </c>
    </row>
    <row r="6905" customHeight="1" spans="2:2">
      <c r="B6905" s="62" t="str">
        <f>IF(AND('领用录入（明细）'!D:D=$F$4,'领用录入（明细）'!C:C&gt;=$J$4,'领用录入（明细）'!C:C&lt;=$L$4),ROW(),"-")</f>
        <v>-</v>
      </c>
    </row>
    <row r="6906" customHeight="1" spans="2:2">
      <c r="B6906" s="62" t="str">
        <f>IF(AND('领用录入（明细）'!D:D=$F$4,'领用录入（明细）'!C:C&gt;=$J$4,'领用录入（明细）'!C:C&lt;=$L$4),ROW(),"-")</f>
        <v>-</v>
      </c>
    </row>
    <row r="6907" customHeight="1" spans="2:2">
      <c r="B6907" s="62" t="str">
        <f>IF(AND('领用录入（明细）'!D:D=$F$4,'领用录入（明细）'!C:C&gt;=$J$4,'领用录入（明细）'!C:C&lt;=$L$4),ROW(),"-")</f>
        <v>-</v>
      </c>
    </row>
    <row r="6908" customHeight="1" spans="2:2">
      <c r="B6908" s="62" t="str">
        <f>IF(AND('领用录入（明细）'!D:D=$F$4,'领用录入（明细）'!C:C&gt;=$J$4,'领用录入（明细）'!C:C&lt;=$L$4),ROW(),"-")</f>
        <v>-</v>
      </c>
    </row>
    <row r="6909" customHeight="1" spans="2:2">
      <c r="B6909" s="62" t="str">
        <f>IF(AND('领用录入（明细）'!D:D=$F$4,'领用录入（明细）'!C:C&gt;=$J$4,'领用录入（明细）'!C:C&lt;=$L$4),ROW(),"-")</f>
        <v>-</v>
      </c>
    </row>
    <row r="6910" customHeight="1" spans="2:2">
      <c r="B6910" s="62" t="str">
        <f>IF(AND('领用录入（明细）'!D:D=$F$4,'领用录入（明细）'!C:C&gt;=$J$4,'领用录入（明细）'!C:C&lt;=$L$4),ROW(),"-")</f>
        <v>-</v>
      </c>
    </row>
    <row r="6911" customHeight="1" spans="2:2">
      <c r="B6911" s="62" t="str">
        <f>IF(AND('领用录入（明细）'!D:D=$F$4,'领用录入（明细）'!C:C&gt;=$J$4,'领用录入（明细）'!C:C&lt;=$L$4),ROW(),"-")</f>
        <v>-</v>
      </c>
    </row>
    <row r="6912" customHeight="1" spans="2:2">
      <c r="B6912" s="62" t="str">
        <f>IF(AND('领用录入（明细）'!D:D=$F$4,'领用录入（明细）'!C:C&gt;=$J$4,'领用录入（明细）'!C:C&lt;=$L$4),ROW(),"-")</f>
        <v>-</v>
      </c>
    </row>
    <row r="6913" customHeight="1" spans="2:2">
      <c r="B6913" s="62" t="str">
        <f>IF(AND('领用录入（明细）'!D:D=$F$4,'领用录入（明细）'!C:C&gt;=$J$4,'领用录入（明细）'!C:C&lt;=$L$4),ROW(),"-")</f>
        <v>-</v>
      </c>
    </row>
    <row r="6914" customHeight="1" spans="2:2">
      <c r="B6914" s="62" t="str">
        <f>IF(AND('领用录入（明细）'!D:D=$F$4,'领用录入（明细）'!C:C&gt;=$J$4,'领用录入（明细）'!C:C&lt;=$L$4),ROW(),"-")</f>
        <v>-</v>
      </c>
    </row>
    <row r="6915" customHeight="1" spans="2:2">
      <c r="B6915" s="62" t="str">
        <f>IF(AND('领用录入（明细）'!D:D=$F$4,'领用录入（明细）'!C:C&gt;=$J$4,'领用录入（明细）'!C:C&lt;=$L$4),ROW(),"-")</f>
        <v>-</v>
      </c>
    </row>
    <row r="6916" customHeight="1" spans="2:2">
      <c r="B6916" s="62" t="str">
        <f>IF(AND('领用录入（明细）'!D:D=$F$4,'领用录入（明细）'!C:C&gt;=$J$4,'领用录入（明细）'!C:C&lt;=$L$4),ROW(),"-")</f>
        <v>-</v>
      </c>
    </row>
    <row r="6917" customHeight="1" spans="2:2">
      <c r="B6917" s="62" t="str">
        <f>IF(AND('领用录入（明细）'!D:D=$F$4,'领用录入（明细）'!C:C&gt;=$J$4,'领用录入（明细）'!C:C&lt;=$L$4),ROW(),"-")</f>
        <v>-</v>
      </c>
    </row>
    <row r="6918" customHeight="1" spans="2:2">
      <c r="B6918" s="62" t="str">
        <f>IF(AND('领用录入（明细）'!D:D=$F$4,'领用录入（明细）'!C:C&gt;=$J$4,'领用录入（明细）'!C:C&lt;=$L$4),ROW(),"-")</f>
        <v>-</v>
      </c>
    </row>
    <row r="6919" customHeight="1" spans="2:2">
      <c r="B6919" s="62" t="str">
        <f>IF(AND('领用录入（明细）'!D:D=$F$4,'领用录入（明细）'!C:C&gt;=$J$4,'领用录入（明细）'!C:C&lt;=$L$4),ROW(),"-")</f>
        <v>-</v>
      </c>
    </row>
    <row r="6920" customHeight="1" spans="2:2">
      <c r="B6920" s="62" t="str">
        <f>IF(AND('领用录入（明细）'!D:D=$F$4,'领用录入（明细）'!C:C&gt;=$J$4,'领用录入（明细）'!C:C&lt;=$L$4),ROW(),"-")</f>
        <v>-</v>
      </c>
    </row>
    <row r="6921" customHeight="1" spans="2:2">
      <c r="B6921" s="62" t="str">
        <f>IF(AND('领用录入（明细）'!D:D=$F$4,'领用录入（明细）'!C:C&gt;=$J$4,'领用录入（明细）'!C:C&lt;=$L$4),ROW(),"-")</f>
        <v>-</v>
      </c>
    </row>
    <row r="6922" customHeight="1" spans="2:2">
      <c r="B6922" s="62" t="str">
        <f>IF(AND('领用录入（明细）'!D:D=$F$4,'领用录入（明细）'!C:C&gt;=$J$4,'领用录入（明细）'!C:C&lt;=$L$4),ROW(),"-")</f>
        <v>-</v>
      </c>
    </row>
    <row r="6923" customHeight="1" spans="2:2">
      <c r="B6923" s="62" t="str">
        <f>IF(AND('领用录入（明细）'!D:D=$F$4,'领用录入（明细）'!C:C&gt;=$J$4,'领用录入（明细）'!C:C&lt;=$L$4),ROW(),"-")</f>
        <v>-</v>
      </c>
    </row>
    <row r="6924" customHeight="1" spans="2:2">
      <c r="B6924" s="62" t="str">
        <f>IF(AND('领用录入（明细）'!D:D=$F$4,'领用录入（明细）'!C:C&gt;=$J$4,'领用录入（明细）'!C:C&lt;=$L$4),ROW(),"-")</f>
        <v>-</v>
      </c>
    </row>
    <row r="6925" customHeight="1" spans="2:2">
      <c r="B6925" s="62" t="str">
        <f>IF(AND('领用录入（明细）'!D:D=$F$4,'领用录入（明细）'!C:C&gt;=$J$4,'领用录入（明细）'!C:C&lt;=$L$4),ROW(),"-")</f>
        <v>-</v>
      </c>
    </row>
    <row r="6926" customHeight="1" spans="2:2">
      <c r="B6926" s="62" t="str">
        <f>IF(AND('领用录入（明细）'!D:D=$F$4,'领用录入（明细）'!C:C&gt;=$J$4,'领用录入（明细）'!C:C&lt;=$L$4),ROW(),"-")</f>
        <v>-</v>
      </c>
    </row>
    <row r="6927" customHeight="1" spans="2:2">
      <c r="B6927" s="62" t="str">
        <f>IF(AND('领用录入（明细）'!D:D=$F$4,'领用录入（明细）'!C:C&gt;=$J$4,'领用录入（明细）'!C:C&lt;=$L$4),ROW(),"-")</f>
        <v>-</v>
      </c>
    </row>
    <row r="6928" customHeight="1" spans="2:2">
      <c r="B6928" s="62" t="str">
        <f>IF(AND('领用录入（明细）'!D:D=$F$4,'领用录入（明细）'!C:C&gt;=$J$4,'领用录入（明细）'!C:C&lt;=$L$4),ROW(),"-")</f>
        <v>-</v>
      </c>
    </row>
    <row r="6929" customHeight="1" spans="2:2">
      <c r="B6929" s="62" t="str">
        <f>IF(AND('领用录入（明细）'!D:D=$F$4,'领用录入（明细）'!C:C&gt;=$J$4,'领用录入（明细）'!C:C&lt;=$L$4),ROW(),"-")</f>
        <v>-</v>
      </c>
    </row>
    <row r="6930" customHeight="1" spans="2:2">
      <c r="B6930" s="62" t="str">
        <f>IF(AND('领用录入（明细）'!D:D=$F$4,'领用录入（明细）'!C:C&gt;=$J$4,'领用录入（明细）'!C:C&lt;=$L$4),ROW(),"-")</f>
        <v>-</v>
      </c>
    </row>
    <row r="6931" customHeight="1" spans="2:2">
      <c r="B6931" s="62" t="str">
        <f>IF(AND('领用录入（明细）'!D:D=$F$4,'领用录入（明细）'!C:C&gt;=$J$4,'领用录入（明细）'!C:C&lt;=$L$4),ROW(),"-")</f>
        <v>-</v>
      </c>
    </row>
    <row r="6932" customHeight="1" spans="2:2">
      <c r="B6932" s="62" t="str">
        <f>IF(AND('领用录入（明细）'!D:D=$F$4,'领用录入（明细）'!C:C&gt;=$J$4,'领用录入（明细）'!C:C&lt;=$L$4),ROW(),"-")</f>
        <v>-</v>
      </c>
    </row>
    <row r="6933" customHeight="1" spans="2:2">
      <c r="B6933" s="62" t="str">
        <f>IF(AND('领用录入（明细）'!D:D=$F$4,'领用录入（明细）'!C:C&gt;=$J$4,'领用录入（明细）'!C:C&lt;=$L$4),ROW(),"-")</f>
        <v>-</v>
      </c>
    </row>
    <row r="6934" customHeight="1" spans="2:2">
      <c r="B6934" s="62" t="str">
        <f>IF(AND('领用录入（明细）'!D:D=$F$4,'领用录入（明细）'!C:C&gt;=$J$4,'领用录入（明细）'!C:C&lt;=$L$4),ROW(),"-")</f>
        <v>-</v>
      </c>
    </row>
    <row r="6935" customHeight="1" spans="2:2">
      <c r="B6935" s="62" t="str">
        <f>IF(AND('领用录入（明细）'!D:D=$F$4,'领用录入（明细）'!C:C&gt;=$J$4,'领用录入（明细）'!C:C&lt;=$L$4),ROW(),"-")</f>
        <v>-</v>
      </c>
    </row>
    <row r="6936" customHeight="1" spans="2:2">
      <c r="B6936" s="62" t="str">
        <f>IF(AND('领用录入（明细）'!D:D=$F$4,'领用录入（明细）'!C:C&gt;=$J$4,'领用录入（明细）'!C:C&lt;=$L$4),ROW(),"-")</f>
        <v>-</v>
      </c>
    </row>
    <row r="6937" customHeight="1" spans="2:2">
      <c r="B6937" s="62" t="str">
        <f>IF(AND('领用录入（明细）'!D:D=$F$4,'领用录入（明细）'!C:C&gt;=$J$4,'领用录入（明细）'!C:C&lt;=$L$4),ROW(),"-")</f>
        <v>-</v>
      </c>
    </row>
    <row r="6938" customHeight="1" spans="2:2">
      <c r="B6938" s="62" t="str">
        <f>IF(AND('领用录入（明细）'!D:D=$F$4,'领用录入（明细）'!C:C&gt;=$J$4,'领用录入（明细）'!C:C&lt;=$L$4),ROW(),"-")</f>
        <v>-</v>
      </c>
    </row>
    <row r="6939" customHeight="1" spans="2:2">
      <c r="B6939" s="62" t="str">
        <f>IF(AND('领用录入（明细）'!D:D=$F$4,'领用录入（明细）'!C:C&gt;=$J$4,'领用录入（明细）'!C:C&lt;=$L$4),ROW(),"-")</f>
        <v>-</v>
      </c>
    </row>
    <row r="6940" customHeight="1" spans="2:2">
      <c r="B6940" s="62" t="str">
        <f>IF(AND('领用录入（明细）'!D:D=$F$4,'领用录入（明细）'!C:C&gt;=$J$4,'领用录入（明细）'!C:C&lt;=$L$4),ROW(),"-")</f>
        <v>-</v>
      </c>
    </row>
    <row r="6941" customHeight="1" spans="2:2">
      <c r="B6941" s="62" t="str">
        <f>IF(AND('领用录入（明细）'!D:D=$F$4,'领用录入（明细）'!C:C&gt;=$J$4,'领用录入（明细）'!C:C&lt;=$L$4),ROW(),"-")</f>
        <v>-</v>
      </c>
    </row>
    <row r="6942" customHeight="1" spans="2:2">
      <c r="B6942" s="62" t="str">
        <f>IF(AND('领用录入（明细）'!D:D=$F$4,'领用录入（明细）'!C:C&gt;=$J$4,'领用录入（明细）'!C:C&lt;=$L$4),ROW(),"-")</f>
        <v>-</v>
      </c>
    </row>
    <row r="6943" customHeight="1" spans="2:2">
      <c r="B6943" s="62" t="str">
        <f>IF(AND('领用录入（明细）'!D:D=$F$4,'领用录入（明细）'!C:C&gt;=$J$4,'领用录入（明细）'!C:C&lt;=$L$4),ROW(),"-")</f>
        <v>-</v>
      </c>
    </row>
    <row r="6944" customHeight="1" spans="2:2">
      <c r="B6944" s="62" t="str">
        <f>IF(AND('领用录入（明细）'!D:D=$F$4,'领用录入（明细）'!C:C&gt;=$J$4,'领用录入（明细）'!C:C&lt;=$L$4),ROW(),"-")</f>
        <v>-</v>
      </c>
    </row>
    <row r="6945" customHeight="1" spans="2:2">
      <c r="B6945" s="62" t="str">
        <f>IF(AND('领用录入（明细）'!D:D=$F$4,'领用录入（明细）'!C:C&gt;=$J$4,'领用录入（明细）'!C:C&lt;=$L$4),ROW(),"-")</f>
        <v>-</v>
      </c>
    </row>
    <row r="6946" customHeight="1" spans="2:2">
      <c r="B6946" s="62" t="str">
        <f>IF(AND('领用录入（明细）'!D:D=$F$4,'领用录入（明细）'!C:C&gt;=$J$4,'领用录入（明细）'!C:C&lt;=$L$4),ROW(),"-")</f>
        <v>-</v>
      </c>
    </row>
    <row r="6947" customHeight="1" spans="2:2">
      <c r="B6947" s="62" t="str">
        <f>IF(AND('领用录入（明细）'!D:D=$F$4,'领用录入（明细）'!C:C&gt;=$J$4,'领用录入（明细）'!C:C&lt;=$L$4),ROW(),"-")</f>
        <v>-</v>
      </c>
    </row>
    <row r="6948" customHeight="1" spans="2:2">
      <c r="B6948" s="62" t="str">
        <f>IF(AND('领用录入（明细）'!D:D=$F$4,'领用录入（明细）'!C:C&gt;=$J$4,'领用录入（明细）'!C:C&lt;=$L$4),ROW(),"-")</f>
        <v>-</v>
      </c>
    </row>
    <row r="6949" customHeight="1" spans="2:2">
      <c r="B6949" s="62" t="str">
        <f>IF(AND('领用录入（明细）'!D:D=$F$4,'领用录入（明细）'!C:C&gt;=$J$4,'领用录入（明细）'!C:C&lt;=$L$4),ROW(),"-")</f>
        <v>-</v>
      </c>
    </row>
    <row r="6950" customHeight="1" spans="2:2">
      <c r="B6950" s="62" t="str">
        <f>IF(AND('领用录入（明细）'!D:D=$F$4,'领用录入（明细）'!C:C&gt;=$J$4,'领用录入（明细）'!C:C&lt;=$L$4),ROW(),"-")</f>
        <v>-</v>
      </c>
    </row>
    <row r="6951" customHeight="1" spans="2:2">
      <c r="B6951" s="62" t="str">
        <f>IF(AND('领用录入（明细）'!D:D=$F$4,'领用录入（明细）'!C:C&gt;=$J$4,'领用录入（明细）'!C:C&lt;=$L$4),ROW(),"-")</f>
        <v>-</v>
      </c>
    </row>
    <row r="6952" customHeight="1" spans="2:2">
      <c r="B6952" s="62" t="str">
        <f>IF(AND('领用录入（明细）'!D:D=$F$4,'领用录入（明细）'!C:C&gt;=$J$4,'领用录入（明细）'!C:C&lt;=$L$4),ROW(),"-")</f>
        <v>-</v>
      </c>
    </row>
    <row r="6953" customHeight="1" spans="2:2">
      <c r="B6953" s="62" t="str">
        <f>IF(AND('领用录入（明细）'!D:D=$F$4,'领用录入（明细）'!C:C&gt;=$J$4,'领用录入（明细）'!C:C&lt;=$L$4),ROW(),"-")</f>
        <v>-</v>
      </c>
    </row>
    <row r="6954" customHeight="1" spans="2:2">
      <c r="B6954" s="62" t="str">
        <f>IF(AND('领用录入（明细）'!D:D=$F$4,'领用录入（明细）'!C:C&gt;=$J$4,'领用录入（明细）'!C:C&lt;=$L$4),ROW(),"-")</f>
        <v>-</v>
      </c>
    </row>
    <row r="6955" customHeight="1" spans="2:2">
      <c r="B6955" s="62" t="str">
        <f>IF(AND('领用录入（明细）'!D:D=$F$4,'领用录入（明细）'!C:C&gt;=$J$4,'领用录入（明细）'!C:C&lt;=$L$4),ROW(),"-")</f>
        <v>-</v>
      </c>
    </row>
    <row r="6956" customHeight="1" spans="2:2">
      <c r="B6956" s="62" t="str">
        <f>IF(AND('领用录入（明细）'!D:D=$F$4,'领用录入（明细）'!C:C&gt;=$J$4,'领用录入（明细）'!C:C&lt;=$L$4),ROW(),"-")</f>
        <v>-</v>
      </c>
    </row>
    <row r="6957" customHeight="1" spans="2:2">
      <c r="B6957" s="62" t="str">
        <f>IF(AND('领用录入（明细）'!D:D=$F$4,'领用录入（明细）'!C:C&gt;=$J$4,'领用录入（明细）'!C:C&lt;=$L$4),ROW(),"-")</f>
        <v>-</v>
      </c>
    </row>
    <row r="6958" customHeight="1" spans="2:2">
      <c r="B6958" s="62" t="str">
        <f>IF(AND('领用录入（明细）'!D:D=$F$4,'领用录入（明细）'!C:C&gt;=$J$4,'领用录入（明细）'!C:C&lt;=$L$4),ROW(),"-")</f>
        <v>-</v>
      </c>
    </row>
    <row r="6959" customHeight="1" spans="2:2">
      <c r="B6959" s="62" t="str">
        <f>IF(AND('领用录入（明细）'!D:D=$F$4,'领用录入（明细）'!C:C&gt;=$J$4,'领用录入（明细）'!C:C&lt;=$L$4),ROW(),"-")</f>
        <v>-</v>
      </c>
    </row>
    <row r="6960" customHeight="1" spans="2:2">
      <c r="B6960" s="62" t="str">
        <f>IF(AND('领用录入（明细）'!D:D=$F$4,'领用录入（明细）'!C:C&gt;=$J$4,'领用录入（明细）'!C:C&lt;=$L$4),ROW(),"-")</f>
        <v>-</v>
      </c>
    </row>
    <row r="6961" customHeight="1" spans="2:2">
      <c r="B6961" s="62" t="str">
        <f>IF(AND('领用录入（明细）'!D:D=$F$4,'领用录入（明细）'!C:C&gt;=$J$4,'领用录入（明细）'!C:C&lt;=$L$4),ROW(),"-")</f>
        <v>-</v>
      </c>
    </row>
    <row r="6962" customHeight="1" spans="2:2">
      <c r="B6962" s="62" t="str">
        <f>IF(AND('领用录入（明细）'!D:D=$F$4,'领用录入（明细）'!C:C&gt;=$J$4,'领用录入（明细）'!C:C&lt;=$L$4),ROW(),"-")</f>
        <v>-</v>
      </c>
    </row>
    <row r="6963" customHeight="1" spans="2:2">
      <c r="B6963" s="62" t="str">
        <f>IF(AND('领用录入（明细）'!D:D=$F$4,'领用录入（明细）'!C:C&gt;=$J$4,'领用录入（明细）'!C:C&lt;=$L$4),ROW(),"-")</f>
        <v>-</v>
      </c>
    </row>
    <row r="6964" customHeight="1" spans="2:2">
      <c r="B6964" s="62" t="str">
        <f>IF(AND('领用录入（明细）'!D:D=$F$4,'领用录入（明细）'!C:C&gt;=$J$4,'领用录入（明细）'!C:C&lt;=$L$4),ROW(),"-")</f>
        <v>-</v>
      </c>
    </row>
    <row r="6965" customHeight="1" spans="2:2">
      <c r="B6965" s="62" t="str">
        <f>IF(AND('领用录入（明细）'!D:D=$F$4,'领用录入（明细）'!C:C&gt;=$J$4,'领用录入（明细）'!C:C&lt;=$L$4),ROW(),"-")</f>
        <v>-</v>
      </c>
    </row>
    <row r="6966" customHeight="1" spans="2:2">
      <c r="B6966" s="62" t="str">
        <f>IF(AND('领用录入（明细）'!D:D=$F$4,'领用录入（明细）'!C:C&gt;=$J$4,'领用录入（明细）'!C:C&lt;=$L$4),ROW(),"-")</f>
        <v>-</v>
      </c>
    </row>
    <row r="6967" customHeight="1" spans="2:2">
      <c r="B6967" s="62" t="str">
        <f>IF(AND('领用录入（明细）'!D:D=$F$4,'领用录入（明细）'!C:C&gt;=$J$4,'领用录入（明细）'!C:C&lt;=$L$4),ROW(),"-")</f>
        <v>-</v>
      </c>
    </row>
    <row r="6968" customHeight="1" spans="2:2">
      <c r="B6968" s="62" t="str">
        <f>IF(AND('领用录入（明细）'!D:D=$F$4,'领用录入（明细）'!C:C&gt;=$J$4,'领用录入（明细）'!C:C&lt;=$L$4),ROW(),"-")</f>
        <v>-</v>
      </c>
    </row>
    <row r="6969" customHeight="1" spans="2:2">
      <c r="B6969" s="62" t="str">
        <f>IF(AND('领用录入（明细）'!D:D=$F$4,'领用录入（明细）'!C:C&gt;=$J$4,'领用录入（明细）'!C:C&lt;=$L$4),ROW(),"-")</f>
        <v>-</v>
      </c>
    </row>
    <row r="6970" customHeight="1" spans="2:2">
      <c r="B6970" s="62" t="str">
        <f>IF(AND('领用录入（明细）'!D:D=$F$4,'领用录入（明细）'!C:C&gt;=$J$4,'领用录入（明细）'!C:C&lt;=$L$4),ROW(),"-")</f>
        <v>-</v>
      </c>
    </row>
    <row r="6971" customHeight="1" spans="2:2">
      <c r="B6971" s="62" t="str">
        <f>IF(AND('领用录入（明细）'!D:D=$F$4,'领用录入（明细）'!C:C&gt;=$J$4,'领用录入（明细）'!C:C&lt;=$L$4),ROW(),"-")</f>
        <v>-</v>
      </c>
    </row>
    <row r="6972" customHeight="1" spans="2:2">
      <c r="B6972" s="62" t="str">
        <f>IF(AND('领用录入（明细）'!D:D=$F$4,'领用录入（明细）'!C:C&gt;=$J$4,'领用录入（明细）'!C:C&lt;=$L$4),ROW(),"-")</f>
        <v>-</v>
      </c>
    </row>
    <row r="6973" customHeight="1" spans="2:2">
      <c r="B6973" s="62" t="str">
        <f>IF(AND('领用录入（明细）'!D:D=$F$4,'领用录入（明细）'!C:C&gt;=$J$4,'领用录入（明细）'!C:C&lt;=$L$4),ROW(),"-")</f>
        <v>-</v>
      </c>
    </row>
    <row r="6974" customHeight="1" spans="2:2">
      <c r="B6974" s="62" t="str">
        <f>IF(AND('领用录入（明细）'!D:D=$F$4,'领用录入（明细）'!C:C&gt;=$J$4,'领用录入（明细）'!C:C&lt;=$L$4),ROW(),"-")</f>
        <v>-</v>
      </c>
    </row>
    <row r="6975" customHeight="1" spans="2:2">
      <c r="B6975" s="62" t="str">
        <f>IF(AND('领用录入（明细）'!D:D=$F$4,'领用录入（明细）'!C:C&gt;=$J$4,'领用录入（明细）'!C:C&lt;=$L$4),ROW(),"-")</f>
        <v>-</v>
      </c>
    </row>
    <row r="6976" customHeight="1" spans="2:2">
      <c r="B6976" s="62" t="str">
        <f>IF(AND('领用录入（明细）'!D:D=$F$4,'领用录入（明细）'!C:C&gt;=$J$4,'领用录入（明细）'!C:C&lt;=$L$4),ROW(),"-")</f>
        <v>-</v>
      </c>
    </row>
    <row r="6977" customHeight="1" spans="2:2">
      <c r="B6977" s="62" t="str">
        <f>IF(AND('领用录入（明细）'!D:D=$F$4,'领用录入（明细）'!C:C&gt;=$J$4,'领用录入（明细）'!C:C&lt;=$L$4),ROW(),"-")</f>
        <v>-</v>
      </c>
    </row>
    <row r="6978" customHeight="1" spans="2:2">
      <c r="B6978" s="62" t="str">
        <f>IF(AND('领用录入（明细）'!D:D=$F$4,'领用录入（明细）'!C:C&gt;=$J$4,'领用录入（明细）'!C:C&lt;=$L$4),ROW(),"-")</f>
        <v>-</v>
      </c>
    </row>
    <row r="6979" customHeight="1" spans="2:2">
      <c r="B6979" s="62" t="str">
        <f>IF(AND('领用录入（明细）'!D:D=$F$4,'领用录入（明细）'!C:C&gt;=$J$4,'领用录入（明细）'!C:C&lt;=$L$4),ROW(),"-")</f>
        <v>-</v>
      </c>
    </row>
    <row r="6980" customHeight="1" spans="2:2">
      <c r="B6980" s="62" t="str">
        <f>IF(AND('领用录入（明细）'!D:D=$F$4,'领用录入（明细）'!C:C&gt;=$J$4,'领用录入（明细）'!C:C&lt;=$L$4),ROW(),"-")</f>
        <v>-</v>
      </c>
    </row>
    <row r="6981" customHeight="1" spans="2:2">
      <c r="B6981" s="62" t="str">
        <f>IF(AND('领用录入（明细）'!D:D=$F$4,'领用录入（明细）'!C:C&gt;=$J$4,'领用录入（明细）'!C:C&lt;=$L$4),ROW(),"-")</f>
        <v>-</v>
      </c>
    </row>
    <row r="6982" customHeight="1" spans="2:2">
      <c r="B6982" s="62" t="str">
        <f>IF(AND('领用录入（明细）'!D:D=$F$4,'领用录入（明细）'!C:C&gt;=$J$4,'领用录入（明细）'!C:C&lt;=$L$4),ROW(),"-")</f>
        <v>-</v>
      </c>
    </row>
    <row r="6983" customHeight="1" spans="2:2">
      <c r="B6983" s="62" t="str">
        <f>IF(AND('领用录入（明细）'!D:D=$F$4,'领用录入（明细）'!C:C&gt;=$J$4,'领用录入（明细）'!C:C&lt;=$L$4),ROW(),"-")</f>
        <v>-</v>
      </c>
    </row>
    <row r="6984" customHeight="1" spans="2:2">
      <c r="B6984" s="62" t="str">
        <f>IF(AND('领用录入（明细）'!D:D=$F$4,'领用录入（明细）'!C:C&gt;=$J$4,'领用录入（明细）'!C:C&lt;=$L$4),ROW(),"-")</f>
        <v>-</v>
      </c>
    </row>
    <row r="6985" customHeight="1" spans="2:2">
      <c r="B6985" s="62" t="str">
        <f>IF(AND('领用录入（明细）'!D:D=$F$4,'领用录入（明细）'!C:C&gt;=$J$4,'领用录入（明细）'!C:C&lt;=$L$4),ROW(),"-")</f>
        <v>-</v>
      </c>
    </row>
    <row r="6986" customHeight="1" spans="2:2">
      <c r="B6986" s="62" t="str">
        <f>IF(AND('领用录入（明细）'!D:D=$F$4,'领用录入（明细）'!C:C&gt;=$J$4,'领用录入（明细）'!C:C&lt;=$L$4),ROW(),"-")</f>
        <v>-</v>
      </c>
    </row>
    <row r="6987" customHeight="1" spans="2:2">
      <c r="B6987" s="62" t="str">
        <f>IF(AND('领用录入（明细）'!D:D=$F$4,'领用录入（明细）'!C:C&gt;=$J$4,'领用录入（明细）'!C:C&lt;=$L$4),ROW(),"-")</f>
        <v>-</v>
      </c>
    </row>
    <row r="6988" customHeight="1" spans="2:2">
      <c r="B6988" s="62" t="str">
        <f>IF(AND('领用录入（明细）'!D:D=$F$4,'领用录入（明细）'!C:C&gt;=$J$4,'领用录入（明细）'!C:C&lt;=$L$4),ROW(),"-")</f>
        <v>-</v>
      </c>
    </row>
    <row r="6989" customHeight="1" spans="2:2">
      <c r="B6989" s="62" t="str">
        <f>IF(AND('领用录入（明细）'!D:D=$F$4,'领用录入（明细）'!C:C&gt;=$J$4,'领用录入（明细）'!C:C&lt;=$L$4),ROW(),"-")</f>
        <v>-</v>
      </c>
    </row>
    <row r="6990" customHeight="1" spans="2:2">
      <c r="B6990" s="62" t="str">
        <f>IF(AND('领用录入（明细）'!D:D=$F$4,'领用录入（明细）'!C:C&gt;=$J$4,'领用录入（明细）'!C:C&lt;=$L$4),ROW(),"-")</f>
        <v>-</v>
      </c>
    </row>
    <row r="6991" customHeight="1" spans="2:2">
      <c r="B6991" s="62" t="str">
        <f>IF(AND('领用录入（明细）'!D:D=$F$4,'领用录入（明细）'!C:C&gt;=$J$4,'领用录入（明细）'!C:C&lt;=$L$4),ROW(),"-")</f>
        <v>-</v>
      </c>
    </row>
    <row r="6992" customHeight="1" spans="2:2">
      <c r="B6992" s="62" t="str">
        <f>IF(AND('领用录入（明细）'!D:D=$F$4,'领用录入（明细）'!C:C&gt;=$J$4,'领用录入（明细）'!C:C&lt;=$L$4),ROW(),"-")</f>
        <v>-</v>
      </c>
    </row>
    <row r="6993" customHeight="1" spans="2:2">
      <c r="B6993" s="62" t="str">
        <f>IF(AND('领用录入（明细）'!D:D=$F$4,'领用录入（明细）'!C:C&gt;=$J$4,'领用录入（明细）'!C:C&lt;=$L$4),ROW(),"-")</f>
        <v>-</v>
      </c>
    </row>
    <row r="6994" customHeight="1" spans="2:2">
      <c r="B6994" s="62" t="str">
        <f>IF(AND('领用录入（明细）'!D:D=$F$4,'领用录入（明细）'!C:C&gt;=$J$4,'领用录入（明细）'!C:C&lt;=$L$4),ROW(),"-")</f>
        <v>-</v>
      </c>
    </row>
    <row r="6995" customHeight="1" spans="2:2">
      <c r="B6995" s="62" t="str">
        <f>IF(AND('领用录入（明细）'!D:D=$F$4,'领用录入（明细）'!C:C&gt;=$J$4,'领用录入（明细）'!C:C&lt;=$L$4),ROW(),"-")</f>
        <v>-</v>
      </c>
    </row>
    <row r="6996" customHeight="1" spans="2:2">
      <c r="B6996" s="62" t="str">
        <f>IF(AND('领用录入（明细）'!D:D=$F$4,'领用录入（明细）'!C:C&gt;=$J$4,'领用录入（明细）'!C:C&lt;=$L$4),ROW(),"-")</f>
        <v>-</v>
      </c>
    </row>
    <row r="6997" customHeight="1" spans="2:2">
      <c r="B6997" s="62" t="str">
        <f>IF(AND('领用录入（明细）'!D:D=$F$4,'领用录入（明细）'!C:C&gt;=$J$4,'领用录入（明细）'!C:C&lt;=$L$4),ROW(),"-")</f>
        <v>-</v>
      </c>
    </row>
    <row r="6998" customHeight="1" spans="2:2">
      <c r="B6998" s="62" t="str">
        <f>IF(AND('领用录入（明细）'!D:D=$F$4,'领用录入（明细）'!C:C&gt;=$J$4,'领用录入（明细）'!C:C&lt;=$L$4),ROW(),"-")</f>
        <v>-</v>
      </c>
    </row>
    <row r="6999" customHeight="1" spans="2:2">
      <c r="B6999" s="62" t="str">
        <f>IF(AND('领用录入（明细）'!D:D=$F$4,'领用录入（明细）'!C:C&gt;=$J$4,'领用录入（明细）'!C:C&lt;=$L$4),ROW(),"-")</f>
        <v>-</v>
      </c>
    </row>
    <row r="7000" customHeight="1" spans="2:2">
      <c r="B7000" s="62" t="str">
        <f>IF(AND('领用录入（明细）'!D:D=$F$4,'领用录入（明细）'!C:C&gt;=$J$4,'领用录入（明细）'!C:C&lt;=$L$4),ROW(),"-")</f>
        <v>-</v>
      </c>
    </row>
    <row r="7001" customHeight="1" spans="2:2">
      <c r="B7001" s="62" t="str">
        <f>IF(AND('领用录入（明细）'!D:D=$F$4,'领用录入（明细）'!C:C&gt;=$J$4,'领用录入（明细）'!C:C&lt;=$L$4),ROW(),"-")</f>
        <v>-</v>
      </c>
    </row>
    <row r="7002" customHeight="1" spans="2:2">
      <c r="B7002" s="62" t="str">
        <f>IF(AND('领用录入（明细）'!D:D=$F$4,'领用录入（明细）'!C:C&gt;=$J$4,'领用录入（明细）'!C:C&lt;=$L$4),ROW(),"-")</f>
        <v>-</v>
      </c>
    </row>
    <row r="7003" customHeight="1" spans="2:2">
      <c r="B7003" s="62" t="str">
        <f>IF(AND('领用录入（明细）'!D:D=$F$4,'领用录入（明细）'!C:C&gt;=$J$4,'领用录入（明细）'!C:C&lt;=$L$4),ROW(),"-")</f>
        <v>-</v>
      </c>
    </row>
    <row r="7004" customHeight="1" spans="2:2">
      <c r="B7004" s="62" t="str">
        <f>IF(AND('领用录入（明细）'!D:D=$F$4,'领用录入（明细）'!C:C&gt;=$J$4,'领用录入（明细）'!C:C&lt;=$L$4),ROW(),"-")</f>
        <v>-</v>
      </c>
    </row>
    <row r="7005" customHeight="1" spans="2:2">
      <c r="B7005" s="62" t="str">
        <f>IF(AND('领用录入（明细）'!D:D=$F$4,'领用录入（明细）'!C:C&gt;=$J$4,'领用录入（明细）'!C:C&lt;=$L$4),ROW(),"-")</f>
        <v>-</v>
      </c>
    </row>
    <row r="7006" customHeight="1" spans="2:2">
      <c r="B7006" s="62" t="str">
        <f>IF(AND('领用录入（明细）'!D:D=$F$4,'领用录入（明细）'!C:C&gt;=$J$4,'领用录入（明细）'!C:C&lt;=$L$4),ROW(),"-")</f>
        <v>-</v>
      </c>
    </row>
    <row r="7007" customHeight="1" spans="2:2">
      <c r="B7007" s="62" t="str">
        <f>IF(AND('领用录入（明细）'!D:D=$F$4,'领用录入（明细）'!C:C&gt;=$J$4,'领用录入（明细）'!C:C&lt;=$L$4),ROW(),"-")</f>
        <v>-</v>
      </c>
    </row>
    <row r="7008" customHeight="1" spans="2:2">
      <c r="B7008" s="62" t="str">
        <f>IF(AND('领用录入（明细）'!D:D=$F$4,'领用录入（明细）'!C:C&gt;=$J$4,'领用录入（明细）'!C:C&lt;=$L$4),ROW(),"-")</f>
        <v>-</v>
      </c>
    </row>
    <row r="7009" customHeight="1" spans="2:2">
      <c r="B7009" s="62" t="str">
        <f>IF(AND('领用录入（明细）'!D:D=$F$4,'领用录入（明细）'!C:C&gt;=$J$4,'领用录入（明细）'!C:C&lt;=$L$4),ROW(),"-")</f>
        <v>-</v>
      </c>
    </row>
    <row r="7010" customHeight="1" spans="2:2">
      <c r="B7010" s="62" t="str">
        <f>IF(AND('领用录入（明细）'!D:D=$F$4,'领用录入（明细）'!C:C&gt;=$J$4,'领用录入（明细）'!C:C&lt;=$L$4),ROW(),"-")</f>
        <v>-</v>
      </c>
    </row>
    <row r="7011" customHeight="1" spans="2:2">
      <c r="B7011" s="62" t="str">
        <f>IF(AND('领用录入（明细）'!D:D=$F$4,'领用录入（明细）'!C:C&gt;=$J$4,'领用录入（明细）'!C:C&lt;=$L$4),ROW(),"-")</f>
        <v>-</v>
      </c>
    </row>
    <row r="7012" customHeight="1" spans="2:2">
      <c r="B7012" s="62" t="str">
        <f>IF(AND('领用录入（明细）'!D:D=$F$4,'领用录入（明细）'!C:C&gt;=$J$4,'领用录入（明细）'!C:C&lt;=$L$4),ROW(),"-")</f>
        <v>-</v>
      </c>
    </row>
    <row r="7013" customHeight="1" spans="2:2">
      <c r="B7013" s="62" t="str">
        <f>IF(AND('领用录入（明细）'!D:D=$F$4,'领用录入（明细）'!C:C&gt;=$J$4,'领用录入（明细）'!C:C&lt;=$L$4),ROW(),"-")</f>
        <v>-</v>
      </c>
    </row>
    <row r="7014" customHeight="1" spans="2:2">
      <c r="B7014" s="62" t="str">
        <f>IF(AND('领用录入（明细）'!D:D=$F$4,'领用录入（明细）'!C:C&gt;=$J$4,'领用录入（明细）'!C:C&lt;=$L$4),ROW(),"-")</f>
        <v>-</v>
      </c>
    </row>
    <row r="7015" customHeight="1" spans="2:2">
      <c r="B7015" s="62" t="str">
        <f>IF(AND('领用录入（明细）'!D:D=$F$4,'领用录入（明细）'!C:C&gt;=$J$4,'领用录入（明细）'!C:C&lt;=$L$4),ROW(),"-")</f>
        <v>-</v>
      </c>
    </row>
    <row r="7016" customHeight="1" spans="2:2">
      <c r="B7016" s="62" t="str">
        <f>IF(AND('领用录入（明细）'!D:D=$F$4,'领用录入（明细）'!C:C&gt;=$J$4,'领用录入（明细）'!C:C&lt;=$L$4),ROW(),"-")</f>
        <v>-</v>
      </c>
    </row>
    <row r="7017" customHeight="1" spans="2:2">
      <c r="B7017" s="62" t="str">
        <f>IF(AND('领用录入（明细）'!D:D=$F$4,'领用录入（明细）'!C:C&gt;=$J$4,'领用录入（明细）'!C:C&lt;=$L$4),ROW(),"-")</f>
        <v>-</v>
      </c>
    </row>
    <row r="7018" customHeight="1" spans="2:2">
      <c r="B7018" s="62" t="str">
        <f>IF(AND('领用录入（明细）'!D:D=$F$4,'领用录入（明细）'!C:C&gt;=$J$4,'领用录入（明细）'!C:C&lt;=$L$4),ROW(),"-")</f>
        <v>-</v>
      </c>
    </row>
    <row r="7019" customHeight="1" spans="2:2">
      <c r="B7019" s="62" t="str">
        <f>IF(AND('领用录入（明细）'!D:D=$F$4,'领用录入（明细）'!C:C&gt;=$J$4,'领用录入（明细）'!C:C&lt;=$L$4),ROW(),"-")</f>
        <v>-</v>
      </c>
    </row>
    <row r="7020" customHeight="1" spans="2:2">
      <c r="B7020" s="62" t="str">
        <f>IF(AND('领用录入（明细）'!D:D=$F$4,'领用录入（明细）'!C:C&gt;=$J$4,'领用录入（明细）'!C:C&lt;=$L$4),ROW(),"-")</f>
        <v>-</v>
      </c>
    </row>
    <row r="7021" customHeight="1" spans="2:2">
      <c r="B7021" s="62" t="str">
        <f>IF(AND('领用录入（明细）'!D:D=$F$4,'领用录入（明细）'!C:C&gt;=$J$4,'领用录入（明细）'!C:C&lt;=$L$4),ROW(),"-")</f>
        <v>-</v>
      </c>
    </row>
    <row r="7022" customHeight="1" spans="2:2">
      <c r="B7022" s="62" t="str">
        <f>IF(AND('领用录入（明细）'!D:D=$F$4,'领用录入（明细）'!C:C&gt;=$J$4,'领用录入（明细）'!C:C&lt;=$L$4),ROW(),"-")</f>
        <v>-</v>
      </c>
    </row>
    <row r="7023" customHeight="1" spans="2:2">
      <c r="B7023" s="62" t="str">
        <f>IF(AND('领用录入（明细）'!D:D=$F$4,'领用录入（明细）'!C:C&gt;=$J$4,'领用录入（明细）'!C:C&lt;=$L$4),ROW(),"-")</f>
        <v>-</v>
      </c>
    </row>
    <row r="7024" customHeight="1" spans="2:2">
      <c r="B7024" s="62" t="str">
        <f>IF(AND('领用录入（明细）'!D:D=$F$4,'领用录入（明细）'!C:C&gt;=$J$4,'领用录入（明细）'!C:C&lt;=$L$4),ROW(),"-")</f>
        <v>-</v>
      </c>
    </row>
    <row r="7025" customHeight="1" spans="2:2">
      <c r="B7025" s="62" t="str">
        <f>IF(AND('领用录入（明细）'!D:D=$F$4,'领用录入（明细）'!C:C&gt;=$J$4,'领用录入（明细）'!C:C&lt;=$L$4),ROW(),"-")</f>
        <v>-</v>
      </c>
    </row>
    <row r="7026" customHeight="1" spans="2:2">
      <c r="B7026" s="62" t="str">
        <f>IF(AND('领用录入（明细）'!D:D=$F$4,'领用录入（明细）'!C:C&gt;=$J$4,'领用录入（明细）'!C:C&lt;=$L$4),ROW(),"-")</f>
        <v>-</v>
      </c>
    </row>
    <row r="7027" customHeight="1" spans="2:2">
      <c r="B7027" s="62" t="str">
        <f>IF(AND('领用录入（明细）'!D:D=$F$4,'领用录入（明细）'!C:C&gt;=$J$4,'领用录入（明细）'!C:C&lt;=$L$4),ROW(),"-")</f>
        <v>-</v>
      </c>
    </row>
    <row r="7028" customHeight="1" spans="2:2">
      <c r="B7028" s="62" t="str">
        <f>IF(AND('领用录入（明细）'!D:D=$F$4,'领用录入（明细）'!C:C&gt;=$J$4,'领用录入（明细）'!C:C&lt;=$L$4),ROW(),"-")</f>
        <v>-</v>
      </c>
    </row>
    <row r="7029" customHeight="1" spans="2:2">
      <c r="B7029" s="62" t="str">
        <f>IF(AND('领用录入（明细）'!D:D=$F$4,'领用录入（明细）'!C:C&gt;=$J$4,'领用录入（明细）'!C:C&lt;=$L$4),ROW(),"-")</f>
        <v>-</v>
      </c>
    </row>
    <row r="7030" customHeight="1" spans="2:2">
      <c r="B7030" s="62" t="str">
        <f>IF(AND('领用录入（明细）'!D:D=$F$4,'领用录入（明细）'!C:C&gt;=$J$4,'领用录入（明细）'!C:C&lt;=$L$4),ROW(),"-")</f>
        <v>-</v>
      </c>
    </row>
    <row r="7031" customHeight="1" spans="2:2">
      <c r="B7031" s="62" t="str">
        <f>IF(AND('领用录入（明细）'!D:D=$F$4,'领用录入（明细）'!C:C&gt;=$J$4,'领用录入（明细）'!C:C&lt;=$L$4),ROW(),"-")</f>
        <v>-</v>
      </c>
    </row>
    <row r="7032" customHeight="1" spans="2:2">
      <c r="B7032" s="62" t="str">
        <f>IF(AND('领用录入（明细）'!D:D=$F$4,'领用录入（明细）'!C:C&gt;=$J$4,'领用录入（明细）'!C:C&lt;=$L$4),ROW(),"-")</f>
        <v>-</v>
      </c>
    </row>
    <row r="7033" customHeight="1" spans="2:2">
      <c r="B7033" s="62" t="str">
        <f>IF(AND('领用录入（明细）'!D:D=$F$4,'领用录入（明细）'!C:C&gt;=$J$4,'领用录入（明细）'!C:C&lt;=$L$4),ROW(),"-")</f>
        <v>-</v>
      </c>
    </row>
    <row r="7034" customHeight="1" spans="2:2">
      <c r="B7034" s="62" t="str">
        <f>IF(AND('领用录入（明细）'!D:D=$F$4,'领用录入（明细）'!C:C&gt;=$J$4,'领用录入（明细）'!C:C&lt;=$L$4),ROW(),"-")</f>
        <v>-</v>
      </c>
    </row>
    <row r="7035" customHeight="1" spans="2:2">
      <c r="B7035" s="62" t="str">
        <f>IF(AND('领用录入（明细）'!D:D=$F$4,'领用录入（明细）'!C:C&gt;=$J$4,'领用录入（明细）'!C:C&lt;=$L$4),ROW(),"-")</f>
        <v>-</v>
      </c>
    </row>
    <row r="7036" customHeight="1" spans="2:2">
      <c r="B7036" s="62" t="str">
        <f>IF(AND('领用录入（明细）'!D:D=$F$4,'领用录入（明细）'!C:C&gt;=$J$4,'领用录入（明细）'!C:C&lt;=$L$4),ROW(),"-")</f>
        <v>-</v>
      </c>
    </row>
    <row r="7037" customHeight="1" spans="2:2">
      <c r="B7037" s="62" t="str">
        <f>IF(AND('领用录入（明细）'!D:D=$F$4,'领用录入（明细）'!C:C&gt;=$J$4,'领用录入（明细）'!C:C&lt;=$L$4),ROW(),"-")</f>
        <v>-</v>
      </c>
    </row>
    <row r="7038" customHeight="1" spans="2:2">
      <c r="B7038" s="62" t="str">
        <f>IF(AND('领用录入（明细）'!D:D=$F$4,'领用录入（明细）'!C:C&gt;=$J$4,'领用录入（明细）'!C:C&lt;=$L$4),ROW(),"-")</f>
        <v>-</v>
      </c>
    </row>
    <row r="7039" customHeight="1" spans="2:2">
      <c r="B7039" s="62" t="str">
        <f>IF(AND('领用录入（明细）'!D:D=$F$4,'领用录入（明细）'!C:C&gt;=$J$4,'领用录入（明细）'!C:C&lt;=$L$4),ROW(),"-")</f>
        <v>-</v>
      </c>
    </row>
    <row r="7040" customHeight="1" spans="2:2">
      <c r="B7040" s="62" t="str">
        <f>IF(AND('领用录入（明细）'!D:D=$F$4,'领用录入（明细）'!C:C&gt;=$J$4,'领用录入（明细）'!C:C&lt;=$L$4),ROW(),"-")</f>
        <v>-</v>
      </c>
    </row>
    <row r="7041" customHeight="1" spans="2:2">
      <c r="B7041" s="62" t="str">
        <f>IF(AND('领用录入（明细）'!D:D=$F$4,'领用录入（明细）'!C:C&gt;=$J$4,'领用录入（明细）'!C:C&lt;=$L$4),ROW(),"-")</f>
        <v>-</v>
      </c>
    </row>
    <row r="7042" customHeight="1" spans="2:2">
      <c r="B7042" s="62" t="str">
        <f>IF(AND('领用录入（明细）'!D:D=$F$4,'领用录入（明细）'!C:C&gt;=$J$4,'领用录入（明细）'!C:C&lt;=$L$4),ROW(),"-")</f>
        <v>-</v>
      </c>
    </row>
    <row r="7043" customHeight="1" spans="2:2">
      <c r="B7043" s="62" t="str">
        <f>IF(AND('领用录入（明细）'!D:D=$F$4,'领用录入（明细）'!C:C&gt;=$J$4,'领用录入（明细）'!C:C&lt;=$L$4),ROW(),"-")</f>
        <v>-</v>
      </c>
    </row>
    <row r="7044" customHeight="1" spans="2:2">
      <c r="B7044" s="62" t="str">
        <f>IF(AND('领用录入（明细）'!D:D=$F$4,'领用录入（明细）'!C:C&gt;=$J$4,'领用录入（明细）'!C:C&lt;=$L$4),ROW(),"-")</f>
        <v>-</v>
      </c>
    </row>
    <row r="7045" customHeight="1" spans="2:2">
      <c r="B7045" s="62" t="str">
        <f>IF(AND('领用录入（明细）'!D:D=$F$4,'领用录入（明细）'!C:C&gt;=$J$4,'领用录入（明细）'!C:C&lt;=$L$4),ROW(),"-")</f>
        <v>-</v>
      </c>
    </row>
    <row r="7046" customHeight="1" spans="2:2">
      <c r="B7046" s="62" t="str">
        <f>IF(AND('领用录入（明细）'!D:D=$F$4,'领用录入（明细）'!C:C&gt;=$J$4,'领用录入（明细）'!C:C&lt;=$L$4),ROW(),"-")</f>
        <v>-</v>
      </c>
    </row>
    <row r="7047" customHeight="1" spans="2:2">
      <c r="B7047" s="62" t="str">
        <f>IF(AND('领用录入（明细）'!D:D=$F$4,'领用录入（明细）'!C:C&gt;=$J$4,'领用录入（明细）'!C:C&lt;=$L$4),ROW(),"-")</f>
        <v>-</v>
      </c>
    </row>
    <row r="7048" customHeight="1" spans="2:2">
      <c r="B7048" s="62" t="str">
        <f>IF(AND('领用录入（明细）'!D:D=$F$4,'领用录入（明细）'!C:C&gt;=$J$4,'领用录入（明细）'!C:C&lt;=$L$4),ROW(),"-")</f>
        <v>-</v>
      </c>
    </row>
    <row r="7049" customHeight="1" spans="2:2">
      <c r="B7049" s="62" t="str">
        <f>IF(AND('领用录入（明细）'!D:D=$F$4,'领用录入（明细）'!C:C&gt;=$J$4,'领用录入（明细）'!C:C&lt;=$L$4),ROW(),"-")</f>
        <v>-</v>
      </c>
    </row>
    <row r="7050" customHeight="1" spans="2:2">
      <c r="B7050" s="62" t="str">
        <f>IF(AND('领用录入（明细）'!D:D=$F$4,'领用录入（明细）'!C:C&gt;=$J$4,'领用录入（明细）'!C:C&lt;=$L$4),ROW(),"-")</f>
        <v>-</v>
      </c>
    </row>
    <row r="7051" customHeight="1" spans="2:2">
      <c r="B7051" s="62" t="str">
        <f>IF(AND('领用录入（明细）'!D:D=$F$4,'领用录入（明细）'!C:C&gt;=$J$4,'领用录入（明细）'!C:C&lt;=$L$4),ROW(),"-")</f>
        <v>-</v>
      </c>
    </row>
    <row r="7052" customHeight="1" spans="2:2">
      <c r="B7052" s="62" t="str">
        <f>IF(AND('领用录入（明细）'!D:D=$F$4,'领用录入（明细）'!C:C&gt;=$J$4,'领用录入（明细）'!C:C&lt;=$L$4),ROW(),"-")</f>
        <v>-</v>
      </c>
    </row>
    <row r="7053" customHeight="1" spans="2:2">
      <c r="B7053" s="62" t="str">
        <f>IF(AND('领用录入（明细）'!D:D=$F$4,'领用录入（明细）'!C:C&gt;=$J$4,'领用录入（明细）'!C:C&lt;=$L$4),ROW(),"-")</f>
        <v>-</v>
      </c>
    </row>
    <row r="7054" customHeight="1" spans="2:2">
      <c r="B7054" s="62" t="str">
        <f>IF(AND('领用录入（明细）'!D:D=$F$4,'领用录入（明细）'!C:C&gt;=$J$4,'领用录入（明细）'!C:C&lt;=$L$4),ROW(),"-")</f>
        <v>-</v>
      </c>
    </row>
    <row r="7055" customHeight="1" spans="2:2">
      <c r="B7055" s="62" t="str">
        <f>IF(AND('领用录入（明细）'!D:D=$F$4,'领用录入（明细）'!C:C&gt;=$J$4,'领用录入（明细）'!C:C&lt;=$L$4),ROW(),"-")</f>
        <v>-</v>
      </c>
    </row>
    <row r="7056" customHeight="1" spans="2:2">
      <c r="B7056" s="62" t="str">
        <f>IF(AND('领用录入（明细）'!D:D=$F$4,'领用录入（明细）'!C:C&gt;=$J$4,'领用录入（明细）'!C:C&lt;=$L$4),ROW(),"-")</f>
        <v>-</v>
      </c>
    </row>
    <row r="7057" customHeight="1" spans="2:2">
      <c r="B7057" s="62" t="str">
        <f>IF(AND('领用录入（明细）'!D:D=$F$4,'领用录入（明细）'!C:C&gt;=$J$4,'领用录入（明细）'!C:C&lt;=$L$4),ROW(),"-")</f>
        <v>-</v>
      </c>
    </row>
    <row r="7058" customHeight="1" spans="2:2">
      <c r="B7058" s="62" t="str">
        <f>IF(AND('领用录入（明细）'!D:D=$F$4,'领用录入（明细）'!C:C&gt;=$J$4,'领用录入（明细）'!C:C&lt;=$L$4),ROW(),"-")</f>
        <v>-</v>
      </c>
    </row>
    <row r="7059" customHeight="1" spans="2:2">
      <c r="B7059" s="62" t="str">
        <f>IF(AND('领用录入（明细）'!D:D=$F$4,'领用录入（明细）'!C:C&gt;=$J$4,'领用录入（明细）'!C:C&lt;=$L$4),ROW(),"-")</f>
        <v>-</v>
      </c>
    </row>
    <row r="7060" customHeight="1" spans="2:2">
      <c r="B7060" s="62" t="str">
        <f>IF(AND('领用录入（明细）'!D:D=$F$4,'领用录入（明细）'!C:C&gt;=$J$4,'领用录入（明细）'!C:C&lt;=$L$4),ROW(),"-")</f>
        <v>-</v>
      </c>
    </row>
    <row r="7061" customHeight="1" spans="2:2">
      <c r="B7061" s="62" t="str">
        <f>IF(AND('领用录入（明细）'!D:D=$F$4,'领用录入（明细）'!C:C&gt;=$J$4,'领用录入（明细）'!C:C&lt;=$L$4),ROW(),"-")</f>
        <v>-</v>
      </c>
    </row>
    <row r="7062" customHeight="1" spans="2:2">
      <c r="B7062" s="62" t="str">
        <f>IF(AND('领用录入（明细）'!D:D=$F$4,'领用录入（明细）'!C:C&gt;=$J$4,'领用录入（明细）'!C:C&lt;=$L$4),ROW(),"-")</f>
        <v>-</v>
      </c>
    </row>
    <row r="7063" customHeight="1" spans="2:2">
      <c r="B7063" s="62" t="str">
        <f>IF(AND('领用录入（明细）'!D:D=$F$4,'领用录入（明细）'!C:C&gt;=$J$4,'领用录入（明细）'!C:C&lt;=$L$4),ROW(),"-")</f>
        <v>-</v>
      </c>
    </row>
    <row r="7064" customHeight="1" spans="2:2">
      <c r="B7064" s="62" t="str">
        <f>IF(AND('领用录入（明细）'!D:D=$F$4,'领用录入（明细）'!C:C&gt;=$J$4,'领用录入（明细）'!C:C&lt;=$L$4),ROW(),"-")</f>
        <v>-</v>
      </c>
    </row>
    <row r="7065" customHeight="1" spans="2:2">
      <c r="B7065" s="62" t="str">
        <f>IF(AND('领用录入（明细）'!D:D=$F$4,'领用录入（明细）'!C:C&gt;=$J$4,'领用录入（明细）'!C:C&lt;=$L$4),ROW(),"-")</f>
        <v>-</v>
      </c>
    </row>
    <row r="7066" customHeight="1" spans="2:2">
      <c r="B7066" s="62" t="str">
        <f>IF(AND('领用录入（明细）'!D:D=$F$4,'领用录入（明细）'!C:C&gt;=$J$4,'领用录入（明细）'!C:C&lt;=$L$4),ROW(),"-")</f>
        <v>-</v>
      </c>
    </row>
    <row r="7067" customHeight="1" spans="2:2">
      <c r="B7067" s="62" t="str">
        <f>IF(AND('领用录入（明细）'!D:D=$F$4,'领用录入（明细）'!C:C&gt;=$J$4,'领用录入（明细）'!C:C&lt;=$L$4),ROW(),"-")</f>
        <v>-</v>
      </c>
    </row>
    <row r="7068" customHeight="1" spans="2:2">
      <c r="B7068" s="62" t="str">
        <f>IF(AND('领用录入（明细）'!D:D=$F$4,'领用录入（明细）'!C:C&gt;=$J$4,'领用录入（明细）'!C:C&lt;=$L$4),ROW(),"-")</f>
        <v>-</v>
      </c>
    </row>
    <row r="7069" customHeight="1" spans="2:2">
      <c r="B7069" s="62" t="str">
        <f>IF(AND('领用录入（明细）'!D:D=$F$4,'领用录入（明细）'!C:C&gt;=$J$4,'领用录入（明细）'!C:C&lt;=$L$4),ROW(),"-")</f>
        <v>-</v>
      </c>
    </row>
    <row r="7070" customHeight="1" spans="2:2">
      <c r="B7070" s="62" t="str">
        <f>IF(AND('领用录入（明细）'!D:D=$F$4,'领用录入（明细）'!C:C&gt;=$J$4,'领用录入（明细）'!C:C&lt;=$L$4),ROW(),"-")</f>
        <v>-</v>
      </c>
    </row>
    <row r="7071" customHeight="1" spans="2:2">
      <c r="B7071" s="62" t="str">
        <f>IF(AND('领用录入（明细）'!D:D=$F$4,'领用录入（明细）'!C:C&gt;=$J$4,'领用录入（明细）'!C:C&lt;=$L$4),ROW(),"-")</f>
        <v>-</v>
      </c>
    </row>
    <row r="7072" customHeight="1" spans="2:2">
      <c r="B7072" s="62" t="str">
        <f>IF(AND('领用录入（明细）'!D:D=$F$4,'领用录入（明细）'!C:C&gt;=$J$4,'领用录入（明细）'!C:C&lt;=$L$4),ROW(),"-")</f>
        <v>-</v>
      </c>
    </row>
    <row r="7073" customHeight="1" spans="2:2">
      <c r="B7073" s="62" t="str">
        <f>IF(AND('领用录入（明细）'!D:D=$F$4,'领用录入（明细）'!C:C&gt;=$J$4,'领用录入（明细）'!C:C&lt;=$L$4),ROW(),"-")</f>
        <v>-</v>
      </c>
    </row>
    <row r="7074" customHeight="1" spans="2:2">
      <c r="B7074" s="62" t="str">
        <f>IF(AND('领用录入（明细）'!D:D=$F$4,'领用录入（明细）'!C:C&gt;=$J$4,'领用录入（明细）'!C:C&lt;=$L$4),ROW(),"-")</f>
        <v>-</v>
      </c>
    </row>
    <row r="7075" customHeight="1" spans="2:2">
      <c r="B7075" s="62" t="str">
        <f>IF(AND('领用录入（明细）'!D:D=$F$4,'领用录入（明细）'!C:C&gt;=$J$4,'领用录入（明细）'!C:C&lt;=$L$4),ROW(),"-")</f>
        <v>-</v>
      </c>
    </row>
    <row r="7076" customHeight="1" spans="2:2">
      <c r="B7076" s="62" t="str">
        <f>IF(AND('领用录入（明细）'!D:D=$F$4,'领用录入（明细）'!C:C&gt;=$J$4,'领用录入（明细）'!C:C&lt;=$L$4),ROW(),"-")</f>
        <v>-</v>
      </c>
    </row>
    <row r="7077" customHeight="1" spans="2:2">
      <c r="B7077" s="62" t="str">
        <f>IF(AND('领用录入（明细）'!D:D=$F$4,'领用录入（明细）'!C:C&gt;=$J$4,'领用录入（明细）'!C:C&lt;=$L$4),ROW(),"-")</f>
        <v>-</v>
      </c>
    </row>
    <row r="7078" customHeight="1" spans="2:2">
      <c r="B7078" s="62" t="str">
        <f>IF(AND('领用录入（明细）'!D:D=$F$4,'领用录入（明细）'!C:C&gt;=$J$4,'领用录入（明细）'!C:C&lt;=$L$4),ROW(),"-")</f>
        <v>-</v>
      </c>
    </row>
    <row r="7079" customHeight="1" spans="2:2">
      <c r="B7079" s="62" t="str">
        <f>IF(AND('领用录入（明细）'!D:D=$F$4,'领用录入（明细）'!C:C&gt;=$J$4,'领用录入（明细）'!C:C&lt;=$L$4),ROW(),"-")</f>
        <v>-</v>
      </c>
    </row>
    <row r="7080" customHeight="1" spans="2:2">
      <c r="B7080" s="62" t="str">
        <f>IF(AND('领用录入（明细）'!D:D=$F$4,'领用录入（明细）'!C:C&gt;=$J$4,'领用录入（明细）'!C:C&lt;=$L$4),ROW(),"-")</f>
        <v>-</v>
      </c>
    </row>
    <row r="7081" customHeight="1" spans="2:2">
      <c r="B7081" s="62" t="str">
        <f>IF(AND('领用录入（明细）'!D:D=$F$4,'领用录入（明细）'!C:C&gt;=$J$4,'领用录入（明细）'!C:C&lt;=$L$4),ROW(),"-")</f>
        <v>-</v>
      </c>
    </row>
    <row r="7082" customHeight="1" spans="2:2">
      <c r="B7082" s="62" t="str">
        <f>IF(AND('领用录入（明细）'!D:D=$F$4,'领用录入（明细）'!C:C&gt;=$J$4,'领用录入（明细）'!C:C&lt;=$L$4),ROW(),"-")</f>
        <v>-</v>
      </c>
    </row>
    <row r="7083" customHeight="1" spans="2:2">
      <c r="B7083" s="62" t="str">
        <f>IF(AND('领用录入（明细）'!D:D=$F$4,'领用录入（明细）'!C:C&gt;=$J$4,'领用录入（明细）'!C:C&lt;=$L$4),ROW(),"-")</f>
        <v>-</v>
      </c>
    </row>
    <row r="7084" customHeight="1" spans="2:2">
      <c r="B7084" s="62" t="str">
        <f>IF(AND('领用录入（明细）'!D:D=$F$4,'领用录入（明细）'!C:C&gt;=$J$4,'领用录入（明细）'!C:C&lt;=$L$4),ROW(),"-")</f>
        <v>-</v>
      </c>
    </row>
    <row r="7085" customHeight="1" spans="2:2">
      <c r="B7085" s="62" t="str">
        <f>IF(AND('领用录入（明细）'!D:D=$F$4,'领用录入（明细）'!C:C&gt;=$J$4,'领用录入（明细）'!C:C&lt;=$L$4),ROW(),"-")</f>
        <v>-</v>
      </c>
    </row>
    <row r="7086" customHeight="1" spans="2:2">
      <c r="B7086" s="62" t="str">
        <f>IF(AND('领用录入（明细）'!D:D=$F$4,'领用录入（明细）'!C:C&gt;=$J$4,'领用录入（明细）'!C:C&lt;=$L$4),ROW(),"-")</f>
        <v>-</v>
      </c>
    </row>
    <row r="7087" customHeight="1" spans="2:2">
      <c r="B7087" s="62" t="str">
        <f>IF(AND('领用录入（明细）'!D:D=$F$4,'领用录入（明细）'!C:C&gt;=$J$4,'领用录入（明细）'!C:C&lt;=$L$4),ROW(),"-")</f>
        <v>-</v>
      </c>
    </row>
    <row r="7088" customHeight="1" spans="2:2">
      <c r="B7088" s="62" t="str">
        <f>IF(AND('领用录入（明细）'!D:D=$F$4,'领用录入（明细）'!C:C&gt;=$J$4,'领用录入（明细）'!C:C&lt;=$L$4),ROW(),"-")</f>
        <v>-</v>
      </c>
    </row>
    <row r="7089" customHeight="1" spans="2:2">
      <c r="B7089" s="62" t="str">
        <f>IF(AND('领用录入（明细）'!D:D=$F$4,'领用录入（明细）'!C:C&gt;=$J$4,'领用录入（明细）'!C:C&lt;=$L$4),ROW(),"-")</f>
        <v>-</v>
      </c>
    </row>
    <row r="7090" customHeight="1" spans="2:2">
      <c r="B7090" s="62" t="str">
        <f>IF(AND('领用录入（明细）'!D:D=$F$4,'领用录入（明细）'!C:C&gt;=$J$4,'领用录入（明细）'!C:C&lt;=$L$4),ROW(),"-")</f>
        <v>-</v>
      </c>
    </row>
    <row r="7091" customHeight="1" spans="2:2">
      <c r="B7091" s="62" t="str">
        <f>IF(AND('领用录入（明细）'!D:D=$F$4,'领用录入（明细）'!C:C&gt;=$J$4,'领用录入（明细）'!C:C&lt;=$L$4),ROW(),"-")</f>
        <v>-</v>
      </c>
    </row>
    <row r="7092" customHeight="1" spans="2:2">
      <c r="B7092" s="62" t="str">
        <f>IF(AND('领用录入（明细）'!D:D=$F$4,'领用录入（明细）'!C:C&gt;=$J$4,'领用录入（明细）'!C:C&lt;=$L$4),ROW(),"-")</f>
        <v>-</v>
      </c>
    </row>
    <row r="7093" customHeight="1" spans="2:2">
      <c r="B7093" s="62" t="str">
        <f>IF(AND('领用录入（明细）'!D:D=$F$4,'领用录入（明细）'!C:C&gt;=$J$4,'领用录入（明细）'!C:C&lt;=$L$4),ROW(),"-")</f>
        <v>-</v>
      </c>
    </row>
    <row r="7094" customHeight="1" spans="2:2">
      <c r="B7094" s="62" t="str">
        <f>IF(AND('领用录入（明细）'!D:D=$F$4,'领用录入（明细）'!C:C&gt;=$J$4,'领用录入（明细）'!C:C&lt;=$L$4),ROW(),"-")</f>
        <v>-</v>
      </c>
    </row>
    <row r="7095" customHeight="1" spans="2:2">
      <c r="B7095" s="62" t="str">
        <f>IF(AND('领用录入（明细）'!D:D=$F$4,'领用录入（明细）'!C:C&gt;=$J$4,'领用录入（明细）'!C:C&lt;=$L$4),ROW(),"-")</f>
        <v>-</v>
      </c>
    </row>
    <row r="7096" customHeight="1" spans="2:2">
      <c r="B7096" s="62" t="str">
        <f>IF(AND('领用录入（明细）'!D:D=$F$4,'领用录入（明细）'!C:C&gt;=$J$4,'领用录入（明细）'!C:C&lt;=$L$4),ROW(),"-")</f>
        <v>-</v>
      </c>
    </row>
    <row r="7097" customHeight="1" spans="2:2">
      <c r="B7097" s="62" t="str">
        <f>IF(AND('领用录入（明细）'!D:D=$F$4,'领用录入（明细）'!C:C&gt;=$J$4,'领用录入（明细）'!C:C&lt;=$L$4),ROW(),"-")</f>
        <v>-</v>
      </c>
    </row>
    <row r="7098" customHeight="1" spans="2:2">
      <c r="B7098" s="62" t="str">
        <f>IF(AND('领用录入（明细）'!D:D=$F$4,'领用录入（明细）'!C:C&gt;=$J$4,'领用录入（明细）'!C:C&lt;=$L$4),ROW(),"-")</f>
        <v>-</v>
      </c>
    </row>
    <row r="7099" customHeight="1" spans="2:2">
      <c r="B7099" s="62" t="str">
        <f>IF(AND('领用录入（明细）'!D:D=$F$4,'领用录入（明细）'!C:C&gt;=$J$4,'领用录入（明细）'!C:C&lt;=$L$4),ROW(),"-")</f>
        <v>-</v>
      </c>
    </row>
    <row r="7100" customHeight="1" spans="2:2">
      <c r="B7100" s="62" t="str">
        <f>IF(AND('领用录入（明细）'!D:D=$F$4,'领用录入（明细）'!C:C&gt;=$J$4,'领用录入（明细）'!C:C&lt;=$L$4),ROW(),"-")</f>
        <v>-</v>
      </c>
    </row>
    <row r="7101" customHeight="1" spans="2:2">
      <c r="B7101" s="62" t="str">
        <f>IF(AND('领用录入（明细）'!D:D=$F$4,'领用录入（明细）'!C:C&gt;=$J$4,'领用录入（明细）'!C:C&lt;=$L$4),ROW(),"-")</f>
        <v>-</v>
      </c>
    </row>
    <row r="7102" customHeight="1" spans="2:2">
      <c r="B7102" s="62" t="str">
        <f>IF(AND('领用录入（明细）'!D:D=$F$4,'领用录入（明细）'!C:C&gt;=$J$4,'领用录入（明细）'!C:C&lt;=$L$4),ROW(),"-")</f>
        <v>-</v>
      </c>
    </row>
    <row r="7103" customHeight="1" spans="2:2">
      <c r="B7103" s="62" t="str">
        <f>IF(AND('领用录入（明细）'!D:D=$F$4,'领用录入（明细）'!C:C&gt;=$J$4,'领用录入（明细）'!C:C&lt;=$L$4),ROW(),"-")</f>
        <v>-</v>
      </c>
    </row>
    <row r="7104" customHeight="1" spans="2:2">
      <c r="B7104" s="62" t="str">
        <f>IF(AND('领用录入（明细）'!D:D=$F$4,'领用录入（明细）'!C:C&gt;=$J$4,'领用录入（明细）'!C:C&lt;=$L$4),ROW(),"-")</f>
        <v>-</v>
      </c>
    </row>
    <row r="7105" customHeight="1" spans="2:2">
      <c r="B7105" s="62" t="str">
        <f>IF(AND('领用录入（明细）'!D:D=$F$4,'领用录入（明细）'!C:C&gt;=$J$4,'领用录入（明细）'!C:C&lt;=$L$4),ROW(),"-")</f>
        <v>-</v>
      </c>
    </row>
    <row r="7106" customHeight="1" spans="2:2">
      <c r="B7106" s="62" t="str">
        <f>IF(AND('领用录入（明细）'!D:D=$F$4,'领用录入（明细）'!C:C&gt;=$J$4,'领用录入（明细）'!C:C&lt;=$L$4),ROW(),"-")</f>
        <v>-</v>
      </c>
    </row>
    <row r="7107" customHeight="1" spans="2:2">
      <c r="B7107" s="62" t="str">
        <f>IF(AND('领用录入（明细）'!D:D=$F$4,'领用录入（明细）'!C:C&gt;=$J$4,'领用录入（明细）'!C:C&lt;=$L$4),ROW(),"-")</f>
        <v>-</v>
      </c>
    </row>
    <row r="7108" customHeight="1" spans="2:2">
      <c r="B7108" s="62" t="str">
        <f>IF(AND('领用录入（明细）'!D:D=$F$4,'领用录入（明细）'!C:C&gt;=$J$4,'领用录入（明细）'!C:C&lt;=$L$4),ROW(),"-")</f>
        <v>-</v>
      </c>
    </row>
    <row r="7109" customHeight="1" spans="2:2">
      <c r="B7109" s="62" t="str">
        <f>IF(AND('领用录入（明细）'!D:D=$F$4,'领用录入（明细）'!C:C&gt;=$J$4,'领用录入（明细）'!C:C&lt;=$L$4),ROW(),"-")</f>
        <v>-</v>
      </c>
    </row>
    <row r="7110" customHeight="1" spans="2:2">
      <c r="B7110" s="62" t="str">
        <f>IF(AND('领用录入（明细）'!D:D=$F$4,'领用录入（明细）'!C:C&gt;=$J$4,'领用录入（明细）'!C:C&lt;=$L$4),ROW(),"-")</f>
        <v>-</v>
      </c>
    </row>
    <row r="7111" customHeight="1" spans="2:2">
      <c r="B7111" s="62" t="str">
        <f>IF(AND('领用录入（明细）'!D:D=$F$4,'领用录入（明细）'!C:C&gt;=$J$4,'领用录入（明细）'!C:C&lt;=$L$4),ROW(),"-")</f>
        <v>-</v>
      </c>
    </row>
    <row r="7112" customHeight="1" spans="2:2">
      <c r="B7112" s="62" t="str">
        <f>IF(AND('领用录入（明细）'!D:D=$F$4,'领用录入（明细）'!C:C&gt;=$J$4,'领用录入（明细）'!C:C&lt;=$L$4),ROW(),"-")</f>
        <v>-</v>
      </c>
    </row>
    <row r="7113" customHeight="1" spans="2:2">
      <c r="B7113" s="62" t="str">
        <f>IF(AND('领用录入（明细）'!D:D=$F$4,'领用录入（明细）'!C:C&gt;=$J$4,'领用录入（明细）'!C:C&lt;=$L$4),ROW(),"-")</f>
        <v>-</v>
      </c>
    </row>
    <row r="7114" customHeight="1" spans="2:2">
      <c r="B7114" s="62" t="str">
        <f>IF(AND('领用录入（明细）'!D:D=$F$4,'领用录入（明细）'!C:C&gt;=$J$4,'领用录入（明细）'!C:C&lt;=$L$4),ROW(),"-")</f>
        <v>-</v>
      </c>
    </row>
    <row r="7115" customHeight="1" spans="2:2">
      <c r="B7115" s="62" t="str">
        <f>IF(AND('领用录入（明细）'!D:D=$F$4,'领用录入（明细）'!C:C&gt;=$J$4,'领用录入（明细）'!C:C&lt;=$L$4),ROW(),"-")</f>
        <v>-</v>
      </c>
    </row>
    <row r="7116" customHeight="1" spans="2:2">
      <c r="B7116" s="62" t="str">
        <f>IF(AND('领用录入（明细）'!D:D=$F$4,'领用录入（明细）'!C:C&gt;=$J$4,'领用录入（明细）'!C:C&lt;=$L$4),ROW(),"-")</f>
        <v>-</v>
      </c>
    </row>
    <row r="7117" customHeight="1" spans="2:2">
      <c r="B7117" s="62" t="str">
        <f>IF(AND('领用录入（明细）'!D:D=$F$4,'领用录入（明细）'!C:C&gt;=$J$4,'领用录入（明细）'!C:C&lt;=$L$4),ROW(),"-")</f>
        <v>-</v>
      </c>
    </row>
    <row r="7118" customHeight="1" spans="2:2">
      <c r="B7118" s="62" t="str">
        <f>IF(AND('领用录入（明细）'!D:D=$F$4,'领用录入（明细）'!C:C&gt;=$J$4,'领用录入（明细）'!C:C&lt;=$L$4),ROW(),"-")</f>
        <v>-</v>
      </c>
    </row>
    <row r="7119" customHeight="1" spans="2:2">
      <c r="B7119" s="62" t="str">
        <f>IF(AND('领用录入（明细）'!D:D=$F$4,'领用录入（明细）'!C:C&gt;=$J$4,'领用录入（明细）'!C:C&lt;=$L$4),ROW(),"-")</f>
        <v>-</v>
      </c>
    </row>
    <row r="7120" customHeight="1" spans="2:2">
      <c r="B7120" s="62" t="str">
        <f>IF(AND('领用录入（明细）'!D:D=$F$4,'领用录入（明细）'!C:C&gt;=$J$4,'领用录入（明细）'!C:C&lt;=$L$4),ROW(),"-")</f>
        <v>-</v>
      </c>
    </row>
    <row r="7121" customHeight="1" spans="2:2">
      <c r="B7121" s="62" t="str">
        <f>IF(AND('领用录入（明细）'!D:D=$F$4,'领用录入（明细）'!C:C&gt;=$J$4,'领用录入（明细）'!C:C&lt;=$L$4),ROW(),"-")</f>
        <v>-</v>
      </c>
    </row>
    <row r="7122" customHeight="1" spans="2:2">
      <c r="B7122" s="62" t="str">
        <f>IF(AND('领用录入（明细）'!D:D=$F$4,'领用录入（明细）'!C:C&gt;=$J$4,'领用录入（明细）'!C:C&lt;=$L$4),ROW(),"-")</f>
        <v>-</v>
      </c>
    </row>
    <row r="7123" customHeight="1" spans="2:2">
      <c r="B7123" s="62" t="str">
        <f>IF(AND('领用录入（明细）'!D:D=$F$4,'领用录入（明细）'!C:C&gt;=$J$4,'领用录入（明细）'!C:C&lt;=$L$4),ROW(),"-")</f>
        <v>-</v>
      </c>
    </row>
    <row r="7124" customHeight="1" spans="2:2">
      <c r="B7124" s="62" t="str">
        <f>IF(AND('领用录入（明细）'!D:D=$F$4,'领用录入（明细）'!C:C&gt;=$J$4,'领用录入（明细）'!C:C&lt;=$L$4),ROW(),"-")</f>
        <v>-</v>
      </c>
    </row>
    <row r="7125" customHeight="1" spans="2:2">
      <c r="B7125" s="62" t="str">
        <f>IF(AND('领用录入（明细）'!D:D=$F$4,'领用录入（明细）'!C:C&gt;=$J$4,'领用录入（明细）'!C:C&lt;=$L$4),ROW(),"-")</f>
        <v>-</v>
      </c>
    </row>
    <row r="7126" customHeight="1" spans="2:2">
      <c r="B7126" s="62" t="str">
        <f>IF(AND('领用录入（明细）'!D:D=$F$4,'领用录入（明细）'!C:C&gt;=$J$4,'领用录入（明细）'!C:C&lt;=$L$4),ROW(),"-")</f>
        <v>-</v>
      </c>
    </row>
    <row r="7127" customHeight="1" spans="2:2">
      <c r="B7127" s="62" t="str">
        <f>IF(AND('领用录入（明细）'!D:D=$F$4,'领用录入（明细）'!C:C&gt;=$J$4,'领用录入（明细）'!C:C&lt;=$L$4),ROW(),"-")</f>
        <v>-</v>
      </c>
    </row>
    <row r="7128" customHeight="1" spans="2:2">
      <c r="B7128" s="62" t="str">
        <f>IF(AND('领用录入（明细）'!D:D=$F$4,'领用录入（明细）'!C:C&gt;=$J$4,'领用录入（明细）'!C:C&lt;=$L$4),ROW(),"-")</f>
        <v>-</v>
      </c>
    </row>
    <row r="7129" customHeight="1" spans="2:2">
      <c r="B7129" s="62" t="str">
        <f>IF(AND('领用录入（明细）'!D:D=$F$4,'领用录入（明细）'!C:C&gt;=$J$4,'领用录入（明细）'!C:C&lt;=$L$4),ROW(),"-")</f>
        <v>-</v>
      </c>
    </row>
    <row r="7130" customHeight="1" spans="2:2">
      <c r="B7130" s="62" t="str">
        <f>IF(AND('领用录入（明细）'!D:D=$F$4,'领用录入（明细）'!C:C&gt;=$J$4,'领用录入（明细）'!C:C&lt;=$L$4),ROW(),"-")</f>
        <v>-</v>
      </c>
    </row>
    <row r="7131" customHeight="1" spans="2:2">
      <c r="B7131" s="62" t="str">
        <f>IF(AND('领用录入（明细）'!D:D=$F$4,'领用录入（明细）'!C:C&gt;=$J$4,'领用录入（明细）'!C:C&lt;=$L$4),ROW(),"-")</f>
        <v>-</v>
      </c>
    </row>
    <row r="7132" customHeight="1" spans="2:2">
      <c r="B7132" s="62" t="str">
        <f>IF(AND('领用录入（明细）'!D:D=$F$4,'领用录入（明细）'!C:C&gt;=$J$4,'领用录入（明细）'!C:C&lt;=$L$4),ROW(),"-")</f>
        <v>-</v>
      </c>
    </row>
    <row r="7133" customHeight="1" spans="2:2">
      <c r="B7133" s="62" t="str">
        <f>IF(AND('领用录入（明细）'!D:D=$F$4,'领用录入（明细）'!C:C&gt;=$J$4,'领用录入（明细）'!C:C&lt;=$L$4),ROW(),"-")</f>
        <v>-</v>
      </c>
    </row>
    <row r="7134" customHeight="1" spans="2:2">
      <c r="B7134" s="62" t="str">
        <f>IF(AND('领用录入（明细）'!D:D=$F$4,'领用录入（明细）'!C:C&gt;=$J$4,'领用录入（明细）'!C:C&lt;=$L$4),ROW(),"-")</f>
        <v>-</v>
      </c>
    </row>
    <row r="7135" customHeight="1" spans="2:2">
      <c r="B7135" s="62" t="str">
        <f>IF(AND('领用录入（明细）'!D:D=$F$4,'领用录入（明细）'!C:C&gt;=$J$4,'领用录入（明细）'!C:C&lt;=$L$4),ROW(),"-")</f>
        <v>-</v>
      </c>
    </row>
    <row r="7136" customHeight="1" spans="2:2">
      <c r="B7136" s="62" t="str">
        <f>IF(AND('领用录入（明细）'!D:D=$F$4,'领用录入（明细）'!C:C&gt;=$J$4,'领用录入（明细）'!C:C&lt;=$L$4),ROW(),"-")</f>
        <v>-</v>
      </c>
    </row>
    <row r="7137" customHeight="1" spans="2:2">
      <c r="B7137" s="62" t="str">
        <f>IF(AND('领用录入（明细）'!D:D=$F$4,'领用录入（明细）'!C:C&gt;=$J$4,'领用录入（明细）'!C:C&lt;=$L$4),ROW(),"-")</f>
        <v>-</v>
      </c>
    </row>
    <row r="7138" customHeight="1" spans="2:2">
      <c r="B7138" s="62" t="str">
        <f>IF(AND('领用录入（明细）'!D:D=$F$4,'领用录入（明细）'!C:C&gt;=$J$4,'领用录入（明细）'!C:C&lt;=$L$4),ROW(),"-")</f>
        <v>-</v>
      </c>
    </row>
    <row r="7139" customHeight="1" spans="2:2">
      <c r="B7139" s="62" t="str">
        <f>IF(AND('领用录入（明细）'!D:D=$F$4,'领用录入（明细）'!C:C&gt;=$J$4,'领用录入（明细）'!C:C&lt;=$L$4),ROW(),"-")</f>
        <v>-</v>
      </c>
    </row>
    <row r="7140" customHeight="1" spans="2:2">
      <c r="B7140" s="62" t="str">
        <f>IF(AND('领用录入（明细）'!D:D=$F$4,'领用录入（明细）'!C:C&gt;=$J$4,'领用录入（明细）'!C:C&lt;=$L$4),ROW(),"-")</f>
        <v>-</v>
      </c>
    </row>
    <row r="7141" customHeight="1" spans="2:2">
      <c r="B7141" s="62" t="str">
        <f>IF(AND('领用录入（明细）'!D:D=$F$4,'领用录入（明细）'!C:C&gt;=$J$4,'领用录入（明细）'!C:C&lt;=$L$4),ROW(),"-")</f>
        <v>-</v>
      </c>
    </row>
    <row r="7142" customHeight="1" spans="2:2">
      <c r="B7142" s="62" t="str">
        <f>IF(AND('领用录入（明细）'!D:D=$F$4,'领用录入（明细）'!C:C&gt;=$J$4,'领用录入（明细）'!C:C&lt;=$L$4),ROW(),"-")</f>
        <v>-</v>
      </c>
    </row>
    <row r="7143" customHeight="1" spans="2:2">
      <c r="B7143" s="62" t="str">
        <f>IF(AND('领用录入（明细）'!D:D=$F$4,'领用录入（明细）'!C:C&gt;=$J$4,'领用录入（明细）'!C:C&lt;=$L$4),ROW(),"-")</f>
        <v>-</v>
      </c>
    </row>
    <row r="7144" customHeight="1" spans="2:2">
      <c r="B7144" s="62" t="str">
        <f>IF(AND('领用录入（明细）'!D:D=$F$4,'领用录入（明细）'!C:C&gt;=$J$4,'领用录入（明细）'!C:C&lt;=$L$4),ROW(),"-")</f>
        <v>-</v>
      </c>
    </row>
    <row r="7145" customHeight="1" spans="2:2">
      <c r="B7145" s="62" t="str">
        <f>IF(AND('领用录入（明细）'!D:D=$F$4,'领用录入（明细）'!C:C&gt;=$J$4,'领用录入（明细）'!C:C&lt;=$L$4),ROW(),"-")</f>
        <v>-</v>
      </c>
    </row>
    <row r="7146" customHeight="1" spans="2:2">
      <c r="B7146" s="62" t="str">
        <f>IF(AND('领用录入（明细）'!D:D=$F$4,'领用录入（明细）'!C:C&gt;=$J$4,'领用录入（明细）'!C:C&lt;=$L$4),ROW(),"-")</f>
        <v>-</v>
      </c>
    </row>
    <row r="7147" customHeight="1" spans="2:2">
      <c r="B7147" s="62" t="str">
        <f>IF(AND('领用录入（明细）'!D:D=$F$4,'领用录入（明细）'!C:C&gt;=$J$4,'领用录入（明细）'!C:C&lt;=$L$4),ROW(),"-")</f>
        <v>-</v>
      </c>
    </row>
    <row r="7148" customHeight="1" spans="2:2">
      <c r="B7148" s="62" t="str">
        <f>IF(AND('领用录入（明细）'!D:D=$F$4,'领用录入（明细）'!C:C&gt;=$J$4,'领用录入（明细）'!C:C&lt;=$L$4),ROW(),"-")</f>
        <v>-</v>
      </c>
    </row>
    <row r="7149" customHeight="1" spans="2:2">
      <c r="B7149" s="62" t="str">
        <f>IF(AND('领用录入（明细）'!D:D=$F$4,'领用录入（明细）'!C:C&gt;=$J$4,'领用录入（明细）'!C:C&lt;=$L$4),ROW(),"-")</f>
        <v>-</v>
      </c>
    </row>
    <row r="7150" customHeight="1" spans="2:2">
      <c r="B7150" s="62" t="str">
        <f>IF(AND('领用录入（明细）'!D:D=$F$4,'领用录入（明细）'!C:C&gt;=$J$4,'领用录入（明细）'!C:C&lt;=$L$4),ROW(),"-")</f>
        <v>-</v>
      </c>
    </row>
    <row r="7151" customHeight="1" spans="2:2">
      <c r="B7151" s="62" t="str">
        <f>IF(AND('领用录入（明细）'!D:D=$F$4,'领用录入（明细）'!C:C&gt;=$J$4,'领用录入（明细）'!C:C&lt;=$L$4),ROW(),"-")</f>
        <v>-</v>
      </c>
    </row>
    <row r="7152" customHeight="1" spans="2:2">
      <c r="B7152" s="62" t="str">
        <f>IF(AND('领用录入（明细）'!D:D=$F$4,'领用录入（明细）'!C:C&gt;=$J$4,'领用录入（明细）'!C:C&lt;=$L$4),ROW(),"-")</f>
        <v>-</v>
      </c>
    </row>
    <row r="7153" customHeight="1" spans="2:2">
      <c r="B7153" s="62" t="str">
        <f>IF(AND('领用录入（明细）'!D:D=$F$4,'领用录入（明细）'!C:C&gt;=$J$4,'领用录入（明细）'!C:C&lt;=$L$4),ROW(),"-")</f>
        <v>-</v>
      </c>
    </row>
    <row r="7154" customHeight="1" spans="2:2">
      <c r="B7154" s="62" t="str">
        <f>IF(AND('领用录入（明细）'!D:D=$F$4,'领用录入（明细）'!C:C&gt;=$J$4,'领用录入（明细）'!C:C&lt;=$L$4),ROW(),"-")</f>
        <v>-</v>
      </c>
    </row>
    <row r="7155" customHeight="1" spans="2:2">
      <c r="B7155" s="62" t="str">
        <f>IF(AND('领用录入（明细）'!D:D=$F$4,'领用录入（明细）'!C:C&gt;=$J$4,'领用录入（明细）'!C:C&lt;=$L$4),ROW(),"-")</f>
        <v>-</v>
      </c>
    </row>
    <row r="7156" customHeight="1" spans="2:2">
      <c r="B7156" s="62" t="str">
        <f>IF(AND('领用录入（明细）'!D:D=$F$4,'领用录入（明细）'!C:C&gt;=$J$4,'领用录入（明细）'!C:C&lt;=$L$4),ROW(),"-")</f>
        <v>-</v>
      </c>
    </row>
    <row r="7157" customHeight="1" spans="2:2">
      <c r="B7157" s="62" t="str">
        <f>IF(AND('领用录入（明细）'!D:D=$F$4,'领用录入（明细）'!C:C&gt;=$J$4,'领用录入（明细）'!C:C&lt;=$L$4),ROW(),"-")</f>
        <v>-</v>
      </c>
    </row>
    <row r="7158" customHeight="1" spans="2:2">
      <c r="B7158" s="62" t="str">
        <f>IF(AND('领用录入（明细）'!D:D=$F$4,'领用录入（明细）'!C:C&gt;=$J$4,'领用录入（明细）'!C:C&lt;=$L$4),ROW(),"-")</f>
        <v>-</v>
      </c>
    </row>
    <row r="7159" customHeight="1" spans="2:2">
      <c r="B7159" s="62" t="str">
        <f>IF(AND('领用录入（明细）'!D:D=$F$4,'领用录入（明细）'!C:C&gt;=$J$4,'领用录入（明细）'!C:C&lt;=$L$4),ROW(),"-")</f>
        <v>-</v>
      </c>
    </row>
    <row r="7160" customHeight="1" spans="2:2">
      <c r="B7160" s="62" t="str">
        <f>IF(AND('领用录入（明细）'!D:D=$F$4,'领用录入（明细）'!C:C&gt;=$J$4,'领用录入（明细）'!C:C&lt;=$L$4),ROW(),"-")</f>
        <v>-</v>
      </c>
    </row>
    <row r="7161" customHeight="1" spans="2:2">
      <c r="B7161" s="62" t="str">
        <f>IF(AND('领用录入（明细）'!D:D=$F$4,'领用录入（明细）'!C:C&gt;=$J$4,'领用录入（明细）'!C:C&lt;=$L$4),ROW(),"-")</f>
        <v>-</v>
      </c>
    </row>
    <row r="7162" customHeight="1" spans="2:2">
      <c r="B7162" s="62" t="str">
        <f>IF(AND('领用录入（明细）'!D:D=$F$4,'领用录入（明细）'!C:C&gt;=$J$4,'领用录入（明细）'!C:C&lt;=$L$4),ROW(),"-")</f>
        <v>-</v>
      </c>
    </row>
    <row r="7163" customHeight="1" spans="2:2">
      <c r="B7163" s="62" t="str">
        <f>IF(AND('领用录入（明细）'!D:D=$F$4,'领用录入（明细）'!C:C&gt;=$J$4,'领用录入（明细）'!C:C&lt;=$L$4),ROW(),"-")</f>
        <v>-</v>
      </c>
    </row>
    <row r="7164" customHeight="1" spans="2:2">
      <c r="B7164" s="62" t="str">
        <f>IF(AND('领用录入（明细）'!D:D=$F$4,'领用录入（明细）'!C:C&gt;=$J$4,'领用录入（明细）'!C:C&lt;=$L$4),ROW(),"-")</f>
        <v>-</v>
      </c>
    </row>
    <row r="7165" customHeight="1" spans="2:2">
      <c r="B7165" s="62" t="str">
        <f>IF(AND('领用录入（明细）'!D:D=$F$4,'领用录入（明细）'!C:C&gt;=$J$4,'领用录入（明细）'!C:C&lt;=$L$4),ROW(),"-")</f>
        <v>-</v>
      </c>
    </row>
    <row r="7166" customHeight="1" spans="2:2">
      <c r="B7166" s="62" t="str">
        <f>IF(AND('领用录入（明细）'!D:D=$F$4,'领用录入（明细）'!C:C&gt;=$J$4,'领用录入（明细）'!C:C&lt;=$L$4),ROW(),"-")</f>
        <v>-</v>
      </c>
    </row>
    <row r="7167" customHeight="1" spans="2:2">
      <c r="B7167" s="62" t="str">
        <f>IF(AND('领用录入（明细）'!D:D=$F$4,'领用录入（明细）'!C:C&gt;=$J$4,'领用录入（明细）'!C:C&lt;=$L$4),ROW(),"-")</f>
        <v>-</v>
      </c>
    </row>
    <row r="7168" customHeight="1" spans="2:2">
      <c r="B7168" s="62" t="str">
        <f>IF(AND('领用录入（明细）'!D:D=$F$4,'领用录入（明细）'!C:C&gt;=$J$4,'领用录入（明细）'!C:C&lt;=$L$4),ROW(),"-")</f>
        <v>-</v>
      </c>
    </row>
    <row r="7169" customHeight="1" spans="2:2">
      <c r="B7169" s="62" t="str">
        <f>IF(AND('领用录入（明细）'!D:D=$F$4,'领用录入（明细）'!C:C&gt;=$J$4,'领用录入（明细）'!C:C&lt;=$L$4),ROW(),"-")</f>
        <v>-</v>
      </c>
    </row>
    <row r="7170" customHeight="1" spans="2:2">
      <c r="B7170" s="62" t="str">
        <f>IF(AND('领用录入（明细）'!D:D=$F$4,'领用录入（明细）'!C:C&gt;=$J$4,'领用录入（明细）'!C:C&lt;=$L$4),ROW(),"-")</f>
        <v>-</v>
      </c>
    </row>
    <row r="7171" customHeight="1" spans="2:2">
      <c r="B7171" s="62" t="str">
        <f>IF(AND('领用录入（明细）'!D:D=$F$4,'领用录入（明细）'!C:C&gt;=$J$4,'领用录入（明细）'!C:C&lt;=$L$4),ROW(),"-")</f>
        <v>-</v>
      </c>
    </row>
    <row r="7172" customHeight="1" spans="2:2">
      <c r="B7172" s="62" t="str">
        <f>IF(AND('领用录入（明细）'!D:D=$F$4,'领用录入（明细）'!C:C&gt;=$J$4,'领用录入（明细）'!C:C&lt;=$L$4),ROW(),"-")</f>
        <v>-</v>
      </c>
    </row>
    <row r="7173" customHeight="1" spans="2:2">
      <c r="B7173" s="62" t="str">
        <f>IF(AND('领用录入（明细）'!D:D=$F$4,'领用录入（明细）'!C:C&gt;=$J$4,'领用录入（明细）'!C:C&lt;=$L$4),ROW(),"-")</f>
        <v>-</v>
      </c>
    </row>
    <row r="7174" customHeight="1" spans="2:2">
      <c r="B7174" s="62" t="str">
        <f>IF(AND('领用录入（明细）'!D:D=$F$4,'领用录入（明细）'!C:C&gt;=$J$4,'领用录入（明细）'!C:C&lt;=$L$4),ROW(),"-")</f>
        <v>-</v>
      </c>
    </row>
    <row r="7175" customHeight="1" spans="2:2">
      <c r="B7175" s="62" t="str">
        <f>IF(AND('领用录入（明细）'!D:D=$F$4,'领用录入（明细）'!C:C&gt;=$J$4,'领用录入（明细）'!C:C&lt;=$L$4),ROW(),"-")</f>
        <v>-</v>
      </c>
    </row>
    <row r="7176" customHeight="1" spans="2:2">
      <c r="B7176" s="62" t="str">
        <f>IF(AND('领用录入（明细）'!D:D=$F$4,'领用录入（明细）'!C:C&gt;=$J$4,'领用录入（明细）'!C:C&lt;=$L$4),ROW(),"-")</f>
        <v>-</v>
      </c>
    </row>
    <row r="7177" customHeight="1" spans="2:2">
      <c r="B7177" s="62" t="str">
        <f>IF(AND('领用录入（明细）'!D:D=$F$4,'领用录入（明细）'!C:C&gt;=$J$4,'领用录入（明细）'!C:C&lt;=$L$4),ROW(),"-")</f>
        <v>-</v>
      </c>
    </row>
    <row r="7178" customHeight="1" spans="2:2">
      <c r="B7178" s="62" t="str">
        <f>IF(AND('领用录入（明细）'!D:D=$F$4,'领用录入（明细）'!C:C&gt;=$J$4,'领用录入（明细）'!C:C&lt;=$L$4),ROW(),"-")</f>
        <v>-</v>
      </c>
    </row>
    <row r="7179" customHeight="1" spans="2:2">
      <c r="B7179" s="62" t="str">
        <f>IF(AND('领用录入（明细）'!D:D=$F$4,'领用录入（明细）'!C:C&gt;=$J$4,'领用录入（明细）'!C:C&lt;=$L$4),ROW(),"-")</f>
        <v>-</v>
      </c>
    </row>
    <row r="7180" customHeight="1" spans="2:2">
      <c r="B7180" s="62" t="str">
        <f>IF(AND('领用录入（明细）'!D:D=$F$4,'领用录入（明细）'!C:C&gt;=$J$4,'领用录入（明细）'!C:C&lt;=$L$4),ROW(),"-")</f>
        <v>-</v>
      </c>
    </row>
    <row r="7181" customHeight="1" spans="2:2">
      <c r="B7181" s="62" t="str">
        <f>IF(AND('领用录入（明细）'!D:D=$F$4,'领用录入（明细）'!C:C&gt;=$J$4,'领用录入（明细）'!C:C&lt;=$L$4),ROW(),"-")</f>
        <v>-</v>
      </c>
    </row>
    <row r="7182" customHeight="1" spans="2:2">
      <c r="B7182" s="62" t="str">
        <f>IF(AND('领用录入（明细）'!D:D=$F$4,'领用录入（明细）'!C:C&gt;=$J$4,'领用录入（明细）'!C:C&lt;=$L$4),ROW(),"-")</f>
        <v>-</v>
      </c>
    </row>
    <row r="7183" customHeight="1" spans="2:2">
      <c r="B7183" s="62" t="str">
        <f>IF(AND('领用录入（明细）'!D:D=$F$4,'领用录入（明细）'!C:C&gt;=$J$4,'领用录入（明细）'!C:C&lt;=$L$4),ROW(),"-")</f>
        <v>-</v>
      </c>
    </row>
    <row r="7184" customHeight="1" spans="2:2">
      <c r="B7184" s="62" t="str">
        <f>IF(AND('领用录入（明细）'!D:D=$F$4,'领用录入（明细）'!C:C&gt;=$J$4,'领用录入（明细）'!C:C&lt;=$L$4),ROW(),"-")</f>
        <v>-</v>
      </c>
    </row>
    <row r="7185" customHeight="1" spans="2:2">
      <c r="B7185" s="62" t="str">
        <f>IF(AND('领用录入（明细）'!D:D=$F$4,'领用录入（明细）'!C:C&gt;=$J$4,'领用录入（明细）'!C:C&lt;=$L$4),ROW(),"-")</f>
        <v>-</v>
      </c>
    </row>
    <row r="7186" customHeight="1" spans="2:2">
      <c r="B7186" s="62" t="str">
        <f>IF(AND('领用录入（明细）'!D:D=$F$4,'领用录入（明细）'!C:C&gt;=$J$4,'领用录入（明细）'!C:C&lt;=$L$4),ROW(),"-")</f>
        <v>-</v>
      </c>
    </row>
    <row r="7187" customHeight="1" spans="2:2">
      <c r="B7187" s="62" t="str">
        <f>IF(AND('领用录入（明细）'!D:D=$F$4,'领用录入（明细）'!C:C&gt;=$J$4,'领用录入（明细）'!C:C&lt;=$L$4),ROW(),"-")</f>
        <v>-</v>
      </c>
    </row>
    <row r="7188" customHeight="1" spans="2:2">
      <c r="B7188" s="62" t="str">
        <f>IF(AND('领用录入（明细）'!D:D=$F$4,'领用录入（明细）'!C:C&gt;=$J$4,'领用录入（明细）'!C:C&lt;=$L$4),ROW(),"-")</f>
        <v>-</v>
      </c>
    </row>
    <row r="7189" customHeight="1" spans="2:2">
      <c r="B7189" s="62" t="str">
        <f>IF(AND('领用录入（明细）'!D:D=$F$4,'领用录入（明细）'!C:C&gt;=$J$4,'领用录入（明细）'!C:C&lt;=$L$4),ROW(),"-")</f>
        <v>-</v>
      </c>
    </row>
    <row r="7190" customHeight="1" spans="2:2">
      <c r="B7190" s="62" t="str">
        <f>IF(AND('领用录入（明细）'!D:D=$F$4,'领用录入（明细）'!C:C&gt;=$J$4,'领用录入（明细）'!C:C&lt;=$L$4),ROW(),"-")</f>
        <v>-</v>
      </c>
    </row>
    <row r="7191" customHeight="1" spans="2:2">
      <c r="B7191" s="62" t="str">
        <f>IF(AND('领用录入（明细）'!D:D=$F$4,'领用录入（明细）'!C:C&gt;=$J$4,'领用录入（明细）'!C:C&lt;=$L$4),ROW(),"-")</f>
        <v>-</v>
      </c>
    </row>
    <row r="7192" customHeight="1" spans="2:2">
      <c r="B7192" s="62" t="str">
        <f>IF(AND('领用录入（明细）'!D:D=$F$4,'领用录入（明细）'!C:C&gt;=$J$4,'领用录入（明细）'!C:C&lt;=$L$4),ROW(),"-")</f>
        <v>-</v>
      </c>
    </row>
    <row r="7193" customHeight="1" spans="2:2">
      <c r="B7193" s="62" t="str">
        <f>IF(AND('领用录入（明细）'!D:D=$F$4,'领用录入（明细）'!C:C&gt;=$J$4,'领用录入（明细）'!C:C&lt;=$L$4),ROW(),"-")</f>
        <v>-</v>
      </c>
    </row>
    <row r="7194" customHeight="1" spans="2:2">
      <c r="B7194" s="62" t="str">
        <f>IF(AND('领用录入（明细）'!D:D=$F$4,'领用录入（明细）'!C:C&gt;=$J$4,'领用录入（明细）'!C:C&lt;=$L$4),ROW(),"-")</f>
        <v>-</v>
      </c>
    </row>
    <row r="7195" customHeight="1" spans="2:2">
      <c r="B7195" s="62" t="str">
        <f>IF(AND('领用录入（明细）'!D:D=$F$4,'领用录入（明细）'!C:C&gt;=$J$4,'领用录入（明细）'!C:C&lt;=$L$4),ROW(),"-")</f>
        <v>-</v>
      </c>
    </row>
    <row r="7196" customHeight="1" spans="2:2">
      <c r="B7196" s="62" t="str">
        <f>IF(AND('领用录入（明细）'!D:D=$F$4,'领用录入（明细）'!C:C&gt;=$J$4,'领用录入（明细）'!C:C&lt;=$L$4),ROW(),"-")</f>
        <v>-</v>
      </c>
    </row>
    <row r="7197" customHeight="1" spans="2:2">
      <c r="B7197" s="62" t="str">
        <f>IF(AND('领用录入（明细）'!D:D=$F$4,'领用录入（明细）'!C:C&gt;=$J$4,'领用录入（明细）'!C:C&lt;=$L$4),ROW(),"-")</f>
        <v>-</v>
      </c>
    </row>
    <row r="7198" customHeight="1" spans="2:2">
      <c r="B7198" s="62" t="str">
        <f>IF(AND('领用录入（明细）'!D:D=$F$4,'领用录入（明细）'!C:C&gt;=$J$4,'领用录入（明细）'!C:C&lt;=$L$4),ROW(),"-")</f>
        <v>-</v>
      </c>
    </row>
    <row r="7199" customHeight="1" spans="2:2">
      <c r="B7199" s="62" t="str">
        <f>IF(AND('领用录入（明细）'!D:D=$F$4,'领用录入（明细）'!C:C&gt;=$J$4,'领用录入（明细）'!C:C&lt;=$L$4),ROW(),"-")</f>
        <v>-</v>
      </c>
    </row>
    <row r="7200" customHeight="1" spans="2:2">
      <c r="B7200" s="62" t="str">
        <f>IF(AND('领用录入（明细）'!D:D=$F$4,'领用录入（明细）'!C:C&gt;=$J$4,'领用录入（明细）'!C:C&lt;=$L$4),ROW(),"-")</f>
        <v>-</v>
      </c>
    </row>
    <row r="7201" customHeight="1" spans="2:2">
      <c r="B7201" s="62" t="str">
        <f>IF(AND('领用录入（明细）'!D:D=$F$4,'领用录入（明细）'!C:C&gt;=$J$4,'领用录入（明细）'!C:C&lt;=$L$4),ROW(),"-")</f>
        <v>-</v>
      </c>
    </row>
    <row r="7202" customHeight="1" spans="2:2">
      <c r="B7202" s="62" t="str">
        <f>IF(AND('领用录入（明细）'!D:D=$F$4,'领用录入（明细）'!C:C&gt;=$J$4,'领用录入（明细）'!C:C&lt;=$L$4),ROW(),"-")</f>
        <v>-</v>
      </c>
    </row>
    <row r="7203" customHeight="1" spans="2:2">
      <c r="B7203" s="62" t="str">
        <f>IF(AND('领用录入（明细）'!D:D=$F$4,'领用录入（明细）'!C:C&gt;=$J$4,'领用录入（明细）'!C:C&lt;=$L$4),ROW(),"-")</f>
        <v>-</v>
      </c>
    </row>
    <row r="7204" customHeight="1" spans="2:2">
      <c r="B7204" s="62" t="str">
        <f>IF(AND('领用录入（明细）'!D:D=$F$4,'领用录入（明细）'!C:C&gt;=$J$4,'领用录入（明细）'!C:C&lt;=$L$4),ROW(),"-")</f>
        <v>-</v>
      </c>
    </row>
    <row r="7205" customHeight="1" spans="2:2">
      <c r="B7205" s="62" t="str">
        <f>IF(AND('领用录入（明细）'!D:D=$F$4,'领用录入（明细）'!C:C&gt;=$J$4,'领用录入（明细）'!C:C&lt;=$L$4),ROW(),"-")</f>
        <v>-</v>
      </c>
    </row>
    <row r="7206" customHeight="1" spans="2:2">
      <c r="B7206" s="62" t="str">
        <f>IF(AND('领用录入（明细）'!D:D=$F$4,'领用录入（明细）'!C:C&gt;=$J$4,'领用录入（明细）'!C:C&lt;=$L$4),ROW(),"-")</f>
        <v>-</v>
      </c>
    </row>
    <row r="7207" customHeight="1" spans="2:2">
      <c r="B7207" s="62" t="str">
        <f>IF(AND('领用录入（明细）'!D:D=$F$4,'领用录入（明细）'!C:C&gt;=$J$4,'领用录入（明细）'!C:C&lt;=$L$4),ROW(),"-")</f>
        <v>-</v>
      </c>
    </row>
    <row r="7208" customHeight="1" spans="2:2">
      <c r="B7208" s="62" t="str">
        <f>IF(AND('领用录入（明细）'!D:D=$F$4,'领用录入（明细）'!C:C&gt;=$J$4,'领用录入（明细）'!C:C&lt;=$L$4),ROW(),"-")</f>
        <v>-</v>
      </c>
    </row>
    <row r="7209" customHeight="1" spans="2:2">
      <c r="B7209" s="62" t="str">
        <f>IF(AND('领用录入（明细）'!D:D=$F$4,'领用录入（明细）'!C:C&gt;=$J$4,'领用录入（明细）'!C:C&lt;=$L$4),ROW(),"-")</f>
        <v>-</v>
      </c>
    </row>
    <row r="7210" customHeight="1" spans="2:2">
      <c r="B7210" s="62" t="str">
        <f>IF(AND('领用录入（明细）'!D:D=$F$4,'领用录入（明细）'!C:C&gt;=$J$4,'领用录入（明细）'!C:C&lt;=$L$4),ROW(),"-")</f>
        <v>-</v>
      </c>
    </row>
    <row r="7211" customHeight="1" spans="2:2">
      <c r="B7211" s="62" t="str">
        <f>IF(AND('领用录入（明细）'!D:D=$F$4,'领用录入（明细）'!C:C&gt;=$J$4,'领用录入（明细）'!C:C&lt;=$L$4),ROW(),"-")</f>
        <v>-</v>
      </c>
    </row>
    <row r="7212" customHeight="1" spans="2:2">
      <c r="B7212" s="62" t="str">
        <f>IF(AND('领用录入（明细）'!D:D=$F$4,'领用录入（明细）'!C:C&gt;=$J$4,'领用录入（明细）'!C:C&lt;=$L$4),ROW(),"-")</f>
        <v>-</v>
      </c>
    </row>
    <row r="7213" customHeight="1" spans="2:2">
      <c r="B7213" s="62" t="str">
        <f>IF(AND('领用录入（明细）'!D:D=$F$4,'领用录入（明细）'!C:C&gt;=$J$4,'领用录入（明细）'!C:C&lt;=$L$4),ROW(),"-")</f>
        <v>-</v>
      </c>
    </row>
    <row r="7214" customHeight="1" spans="2:2">
      <c r="B7214" s="62" t="str">
        <f>IF(AND('领用录入（明细）'!D:D=$F$4,'领用录入（明细）'!C:C&gt;=$J$4,'领用录入（明细）'!C:C&lt;=$L$4),ROW(),"-")</f>
        <v>-</v>
      </c>
    </row>
    <row r="7215" customHeight="1" spans="2:2">
      <c r="B7215" s="62" t="str">
        <f>IF(AND('领用录入（明细）'!D:D=$F$4,'领用录入（明细）'!C:C&gt;=$J$4,'领用录入（明细）'!C:C&lt;=$L$4),ROW(),"-")</f>
        <v>-</v>
      </c>
    </row>
    <row r="7216" customHeight="1" spans="2:2">
      <c r="B7216" s="62" t="str">
        <f>IF(AND('领用录入（明细）'!D:D=$F$4,'领用录入（明细）'!C:C&gt;=$J$4,'领用录入（明细）'!C:C&lt;=$L$4),ROW(),"-")</f>
        <v>-</v>
      </c>
    </row>
    <row r="7217" customHeight="1" spans="2:2">
      <c r="B7217" s="62" t="str">
        <f>IF(AND('领用录入（明细）'!D:D=$F$4,'领用录入（明细）'!C:C&gt;=$J$4,'领用录入（明细）'!C:C&lt;=$L$4),ROW(),"-")</f>
        <v>-</v>
      </c>
    </row>
    <row r="7218" customHeight="1" spans="2:2">
      <c r="B7218" s="62" t="str">
        <f>IF(AND('领用录入（明细）'!D:D=$F$4,'领用录入（明细）'!C:C&gt;=$J$4,'领用录入（明细）'!C:C&lt;=$L$4),ROW(),"-")</f>
        <v>-</v>
      </c>
    </row>
    <row r="7219" customHeight="1" spans="2:2">
      <c r="B7219" s="62" t="str">
        <f>IF(AND('领用录入（明细）'!D:D=$F$4,'领用录入（明细）'!C:C&gt;=$J$4,'领用录入（明细）'!C:C&lt;=$L$4),ROW(),"-")</f>
        <v>-</v>
      </c>
    </row>
    <row r="7220" customHeight="1" spans="2:2">
      <c r="B7220" s="62" t="str">
        <f>IF(AND('领用录入（明细）'!D:D=$F$4,'领用录入（明细）'!C:C&gt;=$J$4,'领用录入（明细）'!C:C&lt;=$L$4),ROW(),"-")</f>
        <v>-</v>
      </c>
    </row>
    <row r="7221" customHeight="1" spans="2:2">
      <c r="B7221" s="62" t="str">
        <f>IF(AND('领用录入（明细）'!D:D=$F$4,'领用录入（明细）'!C:C&gt;=$J$4,'领用录入（明细）'!C:C&lt;=$L$4),ROW(),"-")</f>
        <v>-</v>
      </c>
    </row>
    <row r="7222" customHeight="1" spans="2:2">
      <c r="B7222" s="62" t="str">
        <f>IF(AND('领用录入（明细）'!D:D=$F$4,'领用录入（明细）'!C:C&gt;=$J$4,'领用录入（明细）'!C:C&lt;=$L$4),ROW(),"-")</f>
        <v>-</v>
      </c>
    </row>
    <row r="7223" customHeight="1" spans="2:2">
      <c r="B7223" s="62" t="str">
        <f>IF(AND('领用录入（明细）'!D:D=$F$4,'领用录入（明细）'!C:C&gt;=$J$4,'领用录入（明细）'!C:C&lt;=$L$4),ROW(),"-")</f>
        <v>-</v>
      </c>
    </row>
    <row r="7224" customHeight="1" spans="2:2">
      <c r="B7224" s="62" t="str">
        <f>IF(AND('领用录入（明细）'!D:D=$F$4,'领用录入（明细）'!C:C&gt;=$J$4,'领用录入（明细）'!C:C&lt;=$L$4),ROW(),"-")</f>
        <v>-</v>
      </c>
    </row>
    <row r="7225" customHeight="1" spans="2:2">
      <c r="B7225" s="62" t="str">
        <f>IF(AND('领用录入（明细）'!D:D=$F$4,'领用录入（明细）'!C:C&gt;=$J$4,'领用录入（明细）'!C:C&lt;=$L$4),ROW(),"-")</f>
        <v>-</v>
      </c>
    </row>
    <row r="7226" customHeight="1" spans="2:2">
      <c r="B7226" s="62" t="str">
        <f>IF(AND('领用录入（明细）'!D:D=$F$4,'领用录入（明细）'!C:C&gt;=$J$4,'领用录入（明细）'!C:C&lt;=$L$4),ROW(),"-")</f>
        <v>-</v>
      </c>
    </row>
    <row r="7227" customHeight="1" spans="2:2">
      <c r="B7227" s="62" t="str">
        <f>IF(AND('领用录入（明细）'!D:D=$F$4,'领用录入（明细）'!C:C&gt;=$J$4,'领用录入（明细）'!C:C&lt;=$L$4),ROW(),"-")</f>
        <v>-</v>
      </c>
    </row>
    <row r="7228" customHeight="1" spans="2:2">
      <c r="B7228" s="62" t="str">
        <f>IF(AND('领用录入（明细）'!D:D=$F$4,'领用录入（明细）'!C:C&gt;=$J$4,'领用录入（明细）'!C:C&lt;=$L$4),ROW(),"-")</f>
        <v>-</v>
      </c>
    </row>
    <row r="7229" customHeight="1" spans="2:2">
      <c r="B7229" s="62" t="str">
        <f>IF(AND('领用录入（明细）'!D:D=$F$4,'领用录入（明细）'!C:C&gt;=$J$4,'领用录入（明细）'!C:C&lt;=$L$4),ROW(),"-")</f>
        <v>-</v>
      </c>
    </row>
    <row r="7230" customHeight="1" spans="2:2">
      <c r="B7230" s="62" t="str">
        <f>IF(AND('领用录入（明细）'!D:D=$F$4,'领用录入（明细）'!C:C&gt;=$J$4,'领用录入（明细）'!C:C&lt;=$L$4),ROW(),"-")</f>
        <v>-</v>
      </c>
    </row>
    <row r="7231" customHeight="1" spans="2:2">
      <c r="B7231" s="62" t="str">
        <f>IF(AND('领用录入（明细）'!D:D=$F$4,'领用录入（明细）'!C:C&gt;=$J$4,'领用录入（明细）'!C:C&lt;=$L$4),ROW(),"-")</f>
        <v>-</v>
      </c>
    </row>
    <row r="7232" customHeight="1" spans="2:2">
      <c r="B7232" s="62" t="str">
        <f>IF(AND('领用录入（明细）'!D:D=$F$4,'领用录入（明细）'!C:C&gt;=$J$4,'领用录入（明细）'!C:C&lt;=$L$4),ROW(),"-")</f>
        <v>-</v>
      </c>
    </row>
    <row r="7233" customHeight="1" spans="2:2">
      <c r="B7233" s="62" t="str">
        <f>IF(AND('领用录入（明细）'!D:D=$F$4,'领用录入（明细）'!C:C&gt;=$J$4,'领用录入（明细）'!C:C&lt;=$L$4),ROW(),"-")</f>
        <v>-</v>
      </c>
    </row>
    <row r="7234" customHeight="1" spans="2:2">
      <c r="B7234" s="62" t="str">
        <f>IF(AND('领用录入（明细）'!D:D=$F$4,'领用录入（明细）'!C:C&gt;=$J$4,'领用录入（明细）'!C:C&lt;=$L$4),ROW(),"-")</f>
        <v>-</v>
      </c>
    </row>
    <row r="7235" customHeight="1" spans="2:2">
      <c r="B7235" s="62" t="str">
        <f>IF(AND('领用录入（明细）'!D:D=$F$4,'领用录入（明细）'!C:C&gt;=$J$4,'领用录入（明细）'!C:C&lt;=$L$4),ROW(),"-")</f>
        <v>-</v>
      </c>
    </row>
    <row r="7236" customHeight="1" spans="2:2">
      <c r="B7236" s="62" t="str">
        <f>IF(AND('领用录入（明细）'!D:D=$F$4,'领用录入（明细）'!C:C&gt;=$J$4,'领用录入（明细）'!C:C&lt;=$L$4),ROW(),"-")</f>
        <v>-</v>
      </c>
    </row>
    <row r="7237" customHeight="1" spans="2:2">
      <c r="B7237" s="62" t="str">
        <f>IF(AND('领用录入（明细）'!D:D=$F$4,'领用录入（明细）'!C:C&gt;=$J$4,'领用录入（明细）'!C:C&lt;=$L$4),ROW(),"-")</f>
        <v>-</v>
      </c>
    </row>
    <row r="7238" customHeight="1" spans="2:2">
      <c r="B7238" s="62" t="str">
        <f>IF(AND('领用录入（明细）'!D:D=$F$4,'领用录入（明细）'!C:C&gt;=$J$4,'领用录入（明细）'!C:C&lt;=$L$4),ROW(),"-")</f>
        <v>-</v>
      </c>
    </row>
    <row r="7239" customHeight="1" spans="2:2">
      <c r="B7239" s="62" t="str">
        <f>IF(AND('领用录入（明细）'!D:D=$F$4,'领用录入（明细）'!C:C&gt;=$J$4,'领用录入（明细）'!C:C&lt;=$L$4),ROW(),"-")</f>
        <v>-</v>
      </c>
    </row>
    <row r="7240" customHeight="1" spans="2:2">
      <c r="B7240" s="62" t="str">
        <f>IF(AND('领用录入（明细）'!D:D=$F$4,'领用录入（明细）'!C:C&gt;=$J$4,'领用录入（明细）'!C:C&lt;=$L$4),ROW(),"-")</f>
        <v>-</v>
      </c>
    </row>
    <row r="7241" customHeight="1" spans="2:2">
      <c r="B7241" s="62" t="str">
        <f>IF(AND('领用录入（明细）'!D:D=$F$4,'领用录入（明细）'!C:C&gt;=$J$4,'领用录入（明细）'!C:C&lt;=$L$4),ROW(),"-")</f>
        <v>-</v>
      </c>
    </row>
    <row r="7242" customHeight="1" spans="2:2">
      <c r="B7242" s="62" t="str">
        <f>IF(AND('领用录入（明细）'!D:D=$F$4,'领用录入（明细）'!C:C&gt;=$J$4,'领用录入（明细）'!C:C&lt;=$L$4),ROW(),"-")</f>
        <v>-</v>
      </c>
    </row>
    <row r="7243" customHeight="1" spans="2:2">
      <c r="B7243" s="62" t="str">
        <f>IF(AND('领用录入（明细）'!D:D=$F$4,'领用录入（明细）'!C:C&gt;=$J$4,'领用录入（明细）'!C:C&lt;=$L$4),ROW(),"-")</f>
        <v>-</v>
      </c>
    </row>
    <row r="7244" customHeight="1" spans="2:2">
      <c r="B7244" s="62" t="str">
        <f>IF(AND('领用录入（明细）'!D:D=$F$4,'领用录入（明细）'!C:C&gt;=$J$4,'领用录入（明细）'!C:C&lt;=$L$4),ROW(),"-")</f>
        <v>-</v>
      </c>
    </row>
    <row r="7245" customHeight="1" spans="2:2">
      <c r="B7245" s="62" t="str">
        <f>IF(AND('领用录入（明细）'!D:D=$F$4,'领用录入（明细）'!C:C&gt;=$J$4,'领用录入（明细）'!C:C&lt;=$L$4),ROW(),"-")</f>
        <v>-</v>
      </c>
    </row>
    <row r="7246" customHeight="1" spans="2:2">
      <c r="B7246" s="62" t="str">
        <f>IF(AND('领用录入（明细）'!D:D=$F$4,'领用录入（明细）'!C:C&gt;=$J$4,'领用录入（明细）'!C:C&lt;=$L$4),ROW(),"-")</f>
        <v>-</v>
      </c>
    </row>
    <row r="7247" customHeight="1" spans="2:2">
      <c r="B7247" s="62" t="str">
        <f>IF(AND('领用录入（明细）'!D:D=$F$4,'领用录入（明细）'!C:C&gt;=$J$4,'领用录入（明细）'!C:C&lt;=$L$4),ROW(),"-")</f>
        <v>-</v>
      </c>
    </row>
    <row r="7248" customHeight="1" spans="2:2">
      <c r="B7248" s="62" t="str">
        <f>IF(AND('领用录入（明细）'!D:D=$F$4,'领用录入（明细）'!C:C&gt;=$J$4,'领用录入（明细）'!C:C&lt;=$L$4),ROW(),"-")</f>
        <v>-</v>
      </c>
    </row>
    <row r="7249" customHeight="1" spans="2:2">
      <c r="B7249" s="62" t="str">
        <f>IF(AND('领用录入（明细）'!D:D=$F$4,'领用录入（明细）'!C:C&gt;=$J$4,'领用录入（明细）'!C:C&lt;=$L$4),ROW(),"-")</f>
        <v>-</v>
      </c>
    </row>
    <row r="7250" customHeight="1" spans="2:2">
      <c r="B7250" s="62" t="str">
        <f>IF(AND('领用录入（明细）'!D:D=$F$4,'领用录入（明细）'!C:C&gt;=$J$4,'领用录入（明细）'!C:C&lt;=$L$4),ROW(),"-")</f>
        <v>-</v>
      </c>
    </row>
    <row r="7251" customHeight="1" spans="2:2">
      <c r="B7251" s="62" t="str">
        <f>IF(AND('领用录入（明细）'!D:D=$F$4,'领用录入（明细）'!C:C&gt;=$J$4,'领用录入（明细）'!C:C&lt;=$L$4),ROW(),"-")</f>
        <v>-</v>
      </c>
    </row>
    <row r="7252" customHeight="1" spans="2:2">
      <c r="B7252" s="62" t="str">
        <f>IF(AND('领用录入（明细）'!D:D=$F$4,'领用录入（明细）'!C:C&gt;=$J$4,'领用录入（明细）'!C:C&lt;=$L$4),ROW(),"-")</f>
        <v>-</v>
      </c>
    </row>
    <row r="7253" customHeight="1" spans="2:2">
      <c r="B7253" s="62" t="str">
        <f>IF(AND('领用录入（明细）'!D:D=$F$4,'领用录入（明细）'!C:C&gt;=$J$4,'领用录入（明细）'!C:C&lt;=$L$4),ROW(),"-")</f>
        <v>-</v>
      </c>
    </row>
    <row r="7254" customHeight="1" spans="2:2">
      <c r="B7254" s="62" t="str">
        <f>IF(AND('领用录入（明细）'!D:D=$F$4,'领用录入（明细）'!C:C&gt;=$J$4,'领用录入（明细）'!C:C&lt;=$L$4),ROW(),"-")</f>
        <v>-</v>
      </c>
    </row>
    <row r="7255" customHeight="1" spans="2:2">
      <c r="B7255" s="62" t="str">
        <f>IF(AND('领用录入（明细）'!D:D=$F$4,'领用录入（明细）'!C:C&gt;=$J$4,'领用录入（明细）'!C:C&lt;=$L$4),ROW(),"-")</f>
        <v>-</v>
      </c>
    </row>
    <row r="7256" customHeight="1" spans="2:2">
      <c r="B7256" s="62" t="str">
        <f>IF(AND('领用录入（明细）'!D:D=$F$4,'领用录入（明细）'!C:C&gt;=$J$4,'领用录入（明细）'!C:C&lt;=$L$4),ROW(),"-")</f>
        <v>-</v>
      </c>
    </row>
    <row r="7257" customHeight="1" spans="2:2">
      <c r="B7257" s="62" t="str">
        <f>IF(AND('领用录入（明细）'!D:D=$F$4,'领用录入（明细）'!C:C&gt;=$J$4,'领用录入（明细）'!C:C&lt;=$L$4),ROW(),"-")</f>
        <v>-</v>
      </c>
    </row>
    <row r="7258" customHeight="1" spans="2:2">
      <c r="B7258" s="62" t="str">
        <f>IF(AND('领用录入（明细）'!D:D=$F$4,'领用录入（明细）'!C:C&gt;=$J$4,'领用录入（明细）'!C:C&lt;=$L$4),ROW(),"-")</f>
        <v>-</v>
      </c>
    </row>
    <row r="7259" customHeight="1" spans="2:2">
      <c r="B7259" s="62" t="str">
        <f>IF(AND('领用录入（明细）'!D:D=$F$4,'领用录入（明细）'!C:C&gt;=$J$4,'领用录入（明细）'!C:C&lt;=$L$4),ROW(),"-")</f>
        <v>-</v>
      </c>
    </row>
    <row r="7260" customHeight="1" spans="2:2">
      <c r="B7260" s="62" t="str">
        <f>IF(AND('领用录入（明细）'!D:D=$F$4,'领用录入（明细）'!C:C&gt;=$J$4,'领用录入（明细）'!C:C&lt;=$L$4),ROW(),"-")</f>
        <v>-</v>
      </c>
    </row>
    <row r="7261" customHeight="1" spans="2:2">
      <c r="B7261" s="62" t="str">
        <f>IF(AND('领用录入（明细）'!D:D=$F$4,'领用录入（明细）'!C:C&gt;=$J$4,'领用录入（明细）'!C:C&lt;=$L$4),ROW(),"-")</f>
        <v>-</v>
      </c>
    </row>
    <row r="7262" customHeight="1" spans="2:2">
      <c r="B7262" s="62" t="str">
        <f>IF(AND('领用录入（明细）'!D:D=$F$4,'领用录入（明细）'!C:C&gt;=$J$4,'领用录入（明细）'!C:C&lt;=$L$4),ROW(),"-")</f>
        <v>-</v>
      </c>
    </row>
    <row r="7263" customHeight="1" spans="2:2">
      <c r="B7263" s="62" t="str">
        <f>IF(AND('领用录入（明细）'!D:D=$F$4,'领用录入（明细）'!C:C&gt;=$J$4,'领用录入（明细）'!C:C&lt;=$L$4),ROW(),"-")</f>
        <v>-</v>
      </c>
    </row>
    <row r="7264" customHeight="1" spans="2:2">
      <c r="B7264" s="62" t="str">
        <f>IF(AND('领用录入（明细）'!D:D=$F$4,'领用录入（明细）'!C:C&gt;=$J$4,'领用录入（明细）'!C:C&lt;=$L$4),ROW(),"-")</f>
        <v>-</v>
      </c>
    </row>
    <row r="7265" customHeight="1" spans="2:2">
      <c r="B7265" s="62" t="str">
        <f>IF(AND('领用录入（明细）'!D:D=$F$4,'领用录入（明细）'!C:C&gt;=$J$4,'领用录入（明细）'!C:C&lt;=$L$4),ROW(),"-")</f>
        <v>-</v>
      </c>
    </row>
    <row r="7266" customHeight="1" spans="2:2">
      <c r="B7266" s="62" t="str">
        <f>IF(AND('领用录入（明细）'!D:D=$F$4,'领用录入（明细）'!C:C&gt;=$J$4,'领用录入（明细）'!C:C&lt;=$L$4),ROW(),"-")</f>
        <v>-</v>
      </c>
    </row>
    <row r="7267" customHeight="1" spans="2:2">
      <c r="B7267" s="62" t="str">
        <f>IF(AND('领用录入（明细）'!D:D=$F$4,'领用录入（明细）'!C:C&gt;=$J$4,'领用录入（明细）'!C:C&lt;=$L$4),ROW(),"-")</f>
        <v>-</v>
      </c>
    </row>
    <row r="7268" customHeight="1" spans="2:2">
      <c r="B7268" s="62" t="str">
        <f>IF(AND('领用录入（明细）'!D:D=$F$4,'领用录入（明细）'!C:C&gt;=$J$4,'领用录入（明细）'!C:C&lt;=$L$4),ROW(),"-")</f>
        <v>-</v>
      </c>
    </row>
    <row r="7269" customHeight="1" spans="2:2">
      <c r="B7269" s="62" t="str">
        <f>IF(AND('领用录入（明细）'!D:D=$F$4,'领用录入（明细）'!C:C&gt;=$J$4,'领用录入（明细）'!C:C&lt;=$L$4),ROW(),"-")</f>
        <v>-</v>
      </c>
    </row>
    <row r="7270" customHeight="1" spans="2:2">
      <c r="B7270" s="62" t="str">
        <f>IF(AND('领用录入（明细）'!D:D=$F$4,'领用录入（明细）'!C:C&gt;=$J$4,'领用录入（明细）'!C:C&lt;=$L$4),ROW(),"-")</f>
        <v>-</v>
      </c>
    </row>
    <row r="7271" customHeight="1" spans="2:2">
      <c r="B7271" s="62" t="str">
        <f>IF(AND('领用录入（明细）'!D:D=$F$4,'领用录入（明细）'!C:C&gt;=$J$4,'领用录入（明细）'!C:C&lt;=$L$4),ROW(),"-")</f>
        <v>-</v>
      </c>
    </row>
    <row r="7272" customHeight="1" spans="2:2">
      <c r="B7272" s="62" t="str">
        <f>IF(AND('领用录入（明细）'!D:D=$F$4,'领用录入（明细）'!C:C&gt;=$J$4,'领用录入（明细）'!C:C&lt;=$L$4),ROW(),"-")</f>
        <v>-</v>
      </c>
    </row>
    <row r="7273" customHeight="1" spans="2:2">
      <c r="B7273" s="62" t="str">
        <f>IF(AND('领用录入（明细）'!D:D=$F$4,'领用录入（明细）'!C:C&gt;=$J$4,'领用录入（明细）'!C:C&lt;=$L$4),ROW(),"-")</f>
        <v>-</v>
      </c>
    </row>
    <row r="7274" customHeight="1" spans="2:2">
      <c r="B7274" s="62" t="str">
        <f>IF(AND('领用录入（明细）'!D:D=$F$4,'领用录入（明细）'!C:C&gt;=$J$4,'领用录入（明细）'!C:C&lt;=$L$4),ROW(),"-")</f>
        <v>-</v>
      </c>
    </row>
    <row r="7275" customHeight="1" spans="2:2">
      <c r="B7275" s="62" t="str">
        <f>IF(AND('领用录入（明细）'!D:D=$F$4,'领用录入（明细）'!C:C&gt;=$J$4,'领用录入（明细）'!C:C&lt;=$L$4),ROW(),"-")</f>
        <v>-</v>
      </c>
    </row>
    <row r="7276" customHeight="1" spans="2:2">
      <c r="B7276" s="62" t="str">
        <f>IF(AND('领用录入（明细）'!D:D=$F$4,'领用录入（明细）'!C:C&gt;=$J$4,'领用录入（明细）'!C:C&lt;=$L$4),ROW(),"-")</f>
        <v>-</v>
      </c>
    </row>
    <row r="7277" customHeight="1" spans="2:2">
      <c r="B7277" s="62" t="str">
        <f>IF(AND('领用录入（明细）'!D:D=$F$4,'领用录入（明细）'!C:C&gt;=$J$4,'领用录入（明细）'!C:C&lt;=$L$4),ROW(),"-")</f>
        <v>-</v>
      </c>
    </row>
    <row r="7278" customHeight="1" spans="2:2">
      <c r="B7278" s="62" t="str">
        <f>IF(AND('领用录入（明细）'!D:D=$F$4,'领用录入（明细）'!C:C&gt;=$J$4,'领用录入（明细）'!C:C&lt;=$L$4),ROW(),"-")</f>
        <v>-</v>
      </c>
    </row>
    <row r="7279" customHeight="1" spans="2:2">
      <c r="B7279" s="62" t="str">
        <f>IF(AND('领用录入（明细）'!D:D=$F$4,'领用录入（明细）'!C:C&gt;=$J$4,'领用录入（明细）'!C:C&lt;=$L$4),ROW(),"-")</f>
        <v>-</v>
      </c>
    </row>
    <row r="7280" customHeight="1" spans="2:2">
      <c r="B7280" s="62" t="str">
        <f>IF(AND('领用录入（明细）'!D:D=$F$4,'领用录入（明细）'!C:C&gt;=$J$4,'领用录入（明细）'!C:C&lt;=$L$4),ROW(),"-")</f>
        <v>-</v>
      </c>
    </row>
    <row r="7281" customHeight="1" spans="2:2">
      <c r="B7281" s="62" t="str">
        <f>IF(AND('领用录入（明细）'!D:D=$F$4,'领用录入（明细）'!C:C&gt;=$J$4,'领用录入（明细）'!C:C&lt;=$L$4),ROW(),"-")</f>
        <v>-</v>
      </c>
    </row>
    <row r="7282" customHeight="1" spans="2:2">
      <c r="B7282" s="62" t="str">
        <f>IF(AND('领用录入（明细）'!D:D=$F$4,'领用录入（明细）'!C:C&gt;=$J$4,'领用录入（明细）'!C:C&lt;=$L$4),ROW(),"-")</f>
        <v>-</v>
      </c>
    </row>
    <row r="7283" customHeight="1" spans="2:2">
      <c r="B7283" s="62" t="str">
        <f>IF(AND('领用录入（明细）'!D:D=$F$4,'领用录入（明细）'!C:C&gt;=$J$4,'领用录入（明细）'!C:C&lt;=$L$4),ROW(),"-")</f>
        <v>-</v>
      </c>
    </row>
    <row r="7284" customHeight="1" spans="2:2">
      <c r="B7284" s="62" t="str">
        <f>IF(AND('领用录入（明细）'!D:D=$F$4,'领用录入（明细）'!C:C&gt;=$J$4,'领用录入（明细）'!C:C&lt;=$L$4),ROW(),"-")</f>
        <v>-</v>
      </c>
    </row>
    <row r="7285" customHeight="1" spans="2:2">
      <c r="B7285" s="62" t="str">
        <f>IF(AND('领用录入（明细）'!D:D=$F$4,'领用录入（明细）'!C:C&gt;=$J$4,'领用录入（明细）'!C:C&lt;=$L$4),ROW(),"-")</f>
        <v>-</v>
      </c>
    </row>
    <row r="7286" customHeight="1" spans="2:2">
      <c r="B7286" s="62" t="str">
        <f>IF(AND('领用录入（明细）'!D:D=$F$4,'领用录入（明细）'!C:C&gt;=$J$4,'领用录入（明细）'!C:C&lt;=$L$4),ROW(),"-")</f>
        <v>-</v>
      </c>
    </row>
    <row r="7287" customHeight="1" spans="2:2">
      <c r="B7287" s="62" t="str">
        <f>IF(AND('领用录入（明细）'!D:D=$F$4,'领用录入（明细）'!C:C&gt;=$J$4,'领用录入（明细）'!C:C&lt;=$L$4),ROW(),"-")</f>
        <v>-</v>
      </c>
    </row>
    <row r="7288" customHeight="1" spans="2:2">
      <c r="B7288" s="62" t="str">
        <f>IF(AND('领用录入（明细）'!D:D=$F$4,'领用录入（明细）'!C:C&gt;=$J$4,'领用录入（明细）'!C:C&lt;=$L$4),ROW(),"-")</f>
        <v>-</v>
      </c>
    </row>
    <row r="7289" customHeight="1" spans="2:2">
      <c r="B7289" s="62" t="str">
        <f>IF(AND('领用录入（明细）'!D:D=$F$4,'领用录入（明细）'!C:C&gt;=$J$4,'领用录入（明细）'!C:C&lt;=$L$4),ROW(),"-")</f>
        <v>-</v>
      </c>
    </row>
    <row r="7290" customHeight="1" spans="2:2">
      <c r="B7290" s="62" t="str">
        <f>IF(AND('领用录入（明细）'!D:D=$F$4,'领用录入（明细）'!C:C&gt;=$J$4,'领用录入（明细）'!C:C&lt;=$L$4),ROW(),"-")</f>
        <v>-</v>
      </c>
    </row>
    <row r="7291" customHeight="1" spans="2:2">
      <c r="B7291" s="62" t="str">
        <f>IF(AND('领用录入（明细）'!D:D=$F$4,'领用录入（明细）'!C:C&gt;=$J$4,'领用录入（明细）'!C:C&lt;=$L$4),ROW(),"-")</f>
        <v>-</v>
      </c>
    </row>
    <row r="7292" customHeight="1" spans="2:2">
      <c r="B7292" s="62" t="str">
        <f>IF(AND('领用录入（明细）'!D:D=$F$4,'领用录入（明细）'!C:C&gt;=$J$4,'领用录入（明细）'!C:C&lt;=$L$4),ROW(),"-")</f>
        <v>-</v>
      </c>
    </row>
    <row r="7293" customHeight="1" spans="2:2">
      <c r="B7293" s="62" t="str">
        <f>IF(AND('领用录入（明细）'!D:D=$F$4,'领用录入（明细）'!C:C&gt;=$J$4,'领用录入（明细）'!C:C&lt;=$L$4),ROW(),"-")</f>
        <v>-</v>
      </c>
    </row>
    <row r="7294" customHeight="1" spans="2:2">
      <c r="B7294" s="62" t="str">
        <f>IF(AND('领用录入（明细）'!D:D=$F$4,'领用录入（明细）'!C:C&gt;=$J$4,'领用录入（明细）'!C:C&lt;=$L$4),ROW(),"-")</f>
        <v>-</v>
      </c>
    </row>
    <row r="7295" customHeight="1" spans="2:2">
      <c r="B7295" s="62" t="str">
        <f>IF(AND('领用录入（明细）'!D:D=$F$4,'领用录入（明细）'!C:C&gt;=$J$4,'领用录入（明细）'!C:C&lt;=$L$4),ROW(),"-")</f>
        <v>-</v>
      </c>
    </row>
    <row r="7296" customHeight="1" spans="2:2">
      <c r="B7296" s="62" t="str">
        <f>IF(AND('领用录入（明细）'!D:D=$F$4,'领用录入（明细）'!C:C&gt;=$J$4,'领用录入（明细）'!C:C&lt;=$L$4),ROW(),"-")</f>
        <v>-</v>
      </c>
    </row>
    <row r="7297" customHeight="1" spans="2:2">
      <c r="B7297" s="62" t="str">
        <f>IF(AND('领用录入（明细）'!D:D=$F$4,'领用录入（明细）'!C:C&gt;=$J$4,'领用录入（明细）'!C:C&lt;=$L$4),ROW(),"-")</f>
        <v>-</v>
      </c>
    </row>
    <row r="7298" customHeight="1" spans="2:2">
      <c r="B7298" s="62" t="str">
        <f>IF(AND('领用录入（明细）'!D:D=$F$4,'领用录入（明细）'!C:C&gt;=$J$4,'领用录入（明细）'!C:C&lt;=$L$4),ROW(),"-")</f>
        <v>-</v>
      </c>
    </row>
    <row r="7299" customHeight="1" spans="2:2">
      <c r="B7299" s="62" t="str">
        <f>IF(AND('领用录入（明细）'!D:D=$F$4,'领用录入（明细）'!C:C&gt;=$J$4,'领用录入（明细）'!C:C&lt;=$L$4),ROW(),"-")</f>
        <v>-</v>
      </c>
    </row>
    <row r="7300" customHeight="1" spans="2:2">
      <c r="B7300" s="62" t="str">
        <f>IF(AND('领用录入（明细）'!D:D=$F$4,'领用录入（明细）'!C:C&gt;=$J$4,'领用录入（明细）'!C:C&lt;=$L$4),ROW(),"-")</f>
        <v>-</v>
      </c>
    </row>
    <row r="7301" customHeight="1" spans="2:2">
      <c r="B7301" s="62" t="str">
        <f>IF(AND('领用录入（明细）'!D:D=$F$4,'领用录入（明细）'!C:C&gt;=$J$4,'领用录入（明细）'!C:C&lt;=$L$4),ROW(),"-")</f>
        <v>-</v>
      </c>
    </row>
    <row r="7302" customHeight="1" spans="2:2">
      <c r="B7302" s="62" t="str">
        <f>IF(AND('领用录入（明细）'!D:D=$F$4,'领用录入（明细）'!C:C&gt;=$J$4,'领用录入（明细）'!C:C&lt;=$L$4),ROW(),"-")</f>
        <v>-</v>
      </c>
    </row>
    <row r="7303" customHeight="1" spans="2:2">
      <c r="B7303" s="62" t="str">
        <f>IF(AND('领用录入（明细）'!D:D=$F$4,'领用录入（明细）'!C:C&gt;=$J$4,'领用录入（明细）'!C:C&lt;=$L$4),ROW(),"-")</f>
        <v>-</v>
      </c>
    </row>
    <row r="7304" customHeight="1" spans="2:2">
      <c r="B7304" s="62" t="str">
        <f>IF(AND('领用录入（明细）'!D:D=$F$4,'领用录入（明细）'!C:C&gt;=$J$4,'领用录入（明细）'!C:C&lt;=$L$4),ROW(),"-")</f>
        <v>-</v>
      </c>
    </row>
    <row r="7305" customHeight="1" spans="2:2">
      <c r="B7305" s="62" t="str">
        <f>IF(AND('领用录入（明细）'!D:D=$F$4,'领用录入（明细）'!C:C&gt;=$J$4,'领用录入（明细）'!C:C&lt;=$L$4),ROW(),"-")</f>
        <v>-</v>
      </c>
    </row>
    <row r="7306" customHeight="1" spans="2:2">
      <c r="B7306" s="62" t="str">
        <f>IF(AND('领用录入（明细）'!D:D=$F$4,'领用录入（明细）'!C:C&gt;=$J$4,'领用录入（明细）'!C:C&lt;=$L$4),ROW(),"-")</f>
        <v>-</v>
      </c>
    </row>
    <row r="7307" customHeight="1" spans="2:2">
      <c r="B7307" s="62" t="str">
        <f>IF(AND('领用录入（明细）'!D:D=$F$4,'领用录入（明细）'!C:C&gt;=$J$4,'领用录入（明细）'!C:C&lt;=$L$4),ROW(),"-")</f>
        <v>-</v>
      </c>
    </row>
    <row r="7308" customHeight="1" spans="2:2">
      <c r="B7308" s="62" t="str">
        <f>IF(AND('领用录入（明细）'!D:D=$F$4,'领用录入（明细）'!C:C&gt;=$J$4,'领用录入（明细）'!C:C&lt;=$L$4),ROW(),"-")</f>
        <v>-</v>
      </c>
    </row>
    <row r="7309" customHeight="1" spans="2:2">
      <c r="B7309" s="62" t="str">
        <f>IF(AND('领用录入（明细）'!D:D=$F$4,'领用录入（明细）'!C:C&gt;=$J$4,'领用录入（明细）'!C:C&lt;=$L$4),ROW(),"-")</f>
        <v>-</v>
      </c>
    </row>
    <row r="7310" customHeight="1" spans="2:2">
      <c r="B7310" s="62" t="str">
        <f>IF(AND('领用录入（明细）'!D:D=$F$4,'领用录入（明细）'!C:C&gt;=$J$4,'领用录入（明细）'!C:C&lt;=$L$4),ROW(),"-")</f>
        <v>-</v>
      </c>
    </row>
    <row r="7311" customHeight="1" spans="2:2">
      <c r="B7311" s="62" t="str">
        <f>IF(AND('领用录入（明细）'!D:D=$F$4,'领用录入（明细）'!C:C&gt;=$J$4,'领用录入（明细）'!C:C&lt;=$L$4),ROW(),"-")</f>
        <v>-</v>
      </c>
    </row>
    <row r="7312" customHeight="1" spans="2:2">
      <c r="B7312" s="62" t="str">
        <f>IF(AND('领用录入（明细）'!D:D=$F$4,'领用录入（明细）'!C:C&gt;=$J$4,'领用录入（明细）'!C:C&lt;=$L$4),ROW(),"-")</f>
        <v>-</v>
      </c>
    </row>
    <row r="7313" customHeight="1" spans="2:2">
      <c r="B7313" s="62" t="str">
        <f>IF(AND('领用录入（明细）'!D:D=$F$4,'领用录入（明细）'!C:C&gt;=$J$4,'领用录入（明细）'!C:C&lt;=$L$4),ROW(),"-")</f>
        <v>-</v>
      </c>
    </row>
    <row r="7314" customHeight="1" spans="2:2">
      <c r="B7314" s="62" t="str">
        <f>IF(AND('领用录入（明细）'!D:D=$F$4,'领用录入（明细）'!C:C&gt;=$J$4,'领用录入（明细）'!C:C&lt;=$L$4),ROW(),"-")</f>
        <v>-</v>
      </c>
    </row>
    <row r="7315" customHeight="1" spans="2:2">
      <c r="B7315" s="62" t="str">
        <f>IF(AND('领用录入（明细）'!D:D=$F$4,'领用录入（明细）'!C:C&gt;=$J$4,'领用录入（明细）'!C:C&lt;=$L$4),ROW(),"-")</f>
        <v>-</v>
      </c>
    </row>
    <row r="7316" customHeight="1" spans="2:2">
      <c r="B7316" s="62" t="str">
        <f>IF(AND('领用录入（明细）'!D:D=$F$4,'领用录入（明细）'!C:C&gt;=$J$4,'领用录入（明细）'!C:C&lt;=$L$4),ROW(),"-")</f>
        <v>-</v>
      </c>
    </row>
    <row r="7317" customHeight="1" spans="2:2">
      <c r="B7317" s="62" t="str">
        <f>IF(AND('领用录入（明细）'!D:D=$F$4,'领用录入（明细）'!C:C&gt;=$J$4,'领用录入（明细）'!C:C&lt;=$L$4),ROW(),"-")</f>
        <v>-</v>
      </c>
    </row>
    <row r="7318" customHeight="1" spans="2:2">
      <c r="B7318" s="62" t="str">
        <f>IF(AND('领用录入（明细）'!D:D=$F$4,'领用录入（明细）'!C:C&gt;=$J$4,'领用录入（明细）'!C:C&lt;=$L$4),ROW(),"-")</f>
        <v>-</v>
      </c>
    </row>
    <row r="7319" customHeight="1" spans="2:2">
      <c r="B7319" s="62" t="str">
        <f>IF(AND('领用录入（明细）'!D:D=$F$4,'领用录入（明细）'!C:C&gt;=$J$4,'领用录入（明细）'!C:C&lt;=$L$4),ROW(),"-")</f>
        <v>-</v>
      </c>
    </row>
    <row r="7320" customHeight="1" spans="2:2">
      <c r="B7320" s="62" t="str">
        <f>IF(AND('领用录入（明细）'!D:D=$F$4,'领用录入（明细）'!C:C&gt;=$J$4,'领用录入（明细）'!C:C&lt;=$L$4),ROW(),"-")</f>
        <v>-</v>
      </c>
    </row>
    <row r="7321" customHeight="1" spans="2:2">
      <c r="B7321" s="62" t="str">
        <f>IF(AND('领用录入（明细）'!D:D=$F$4,'领用录入（明细）'!C:C&gt;=$J$4,'领用录入（明细）'!C:C&lt;=$L$4),ROW(),"-")</f>
        <v>-</v>
      </c>
    </row>
    <row r="7322" customHeight="1" spans="2:2">
      <c r="B7322" s="62" t="str">
        <f>IF(AND('领用录入（明细）'!D:D=$F$4,'领用录入（明细）'!C:C&gt;=$J$4,'领用录入（明细）'!C:C&lt;=$L$4),ROW(),"-")</f>
        <v>-</v>
      </c>
    </row>
    <row r="7323" customHeight="1" spans="2:2">
      <c r="B7323" s="62" t="str">
        <f>IF(AND('领用录入（明细）'!D:D=$F$4,'领用录入（明细）'!C:C&gt;=$J$4,'领用录入（明细）'!C:C&lt;=$L$4),ROW(),"-")</f>
        <v>-</v>
      </c>
    </row>
    <row r="7324" customHeight="1" spans="2:2">
      <c r="B7324" s="62" t="str">
        <f>IF(AND('领用录入（明细）'!D:D=$F$4,'领用录入（明细）'!C:C&gt;=$J$4,'领用录入（明细）'!C:C&lt;=$L$4),ROW(),"-")</f>
        <v>-</v>
      </c>
    </row>
    <row r="7325" customHeight="1" spans="2:2">
      <c r="B7325" s="62" t="str">
        <f>IF(AND('领用录入（明细）'!D:D=$F$4,'领用录入（明细）'!C:C&gt;=$J$4,'领用录入（明细）'!C:C&lt;=$L$4),ROW(),"-")</f>
        <v>-</v>
      </c>
    </row>
    <row r="7326" customHeight="1" spans="2:2">
      <c r="B7326" s="62" t="str">
        <f>IF(AND('领用录入（明细）'!D:D=$F$4,'领用录入（明细）'!C:C&gt;=$J$4,'领用录入（明细）'!C:C&lt;=$L$4),ROW(),"-")</f>
        <v>-</v>
      </c>
    </row>
    <row r="7327" customHeight="1" spans="2:2">
      <c r="B7327" s="62" t="str">
        <f>IF(AND('领用录入（明细）'!D:D=$F$4,'领用录入（明细）'!C:C&gt;=$J$4,'领用录入（明细）'!C:C&lt;=$L$4),ROW(),"-")</f>
        <v>-</v>
      </c>
    </row>
    <row r="7328" customHeight="1" spans="2:2">
      <c r="B7328" s="62" t="str">
        <f>IF(AND('领用录入（明细）'!D:D=$F$4,'领用录入（明细）'!C:C&gt;=$J$4,'领用录入（明细）'!C:C&lt;=$L$4),ROW(),"-")</f>
        <v>-</v>
      </c>
    </row>
    <row r="7329" customHeight="1" spans="2:2">
      <c r="B7329" s="62" t="str">
        <f>IF(AND('领用录入（明细）'!D:D=$F$4,'领用录入（明细）'!C:C&gt;=$J$4,'领用录入（明细）'!C:C&lt;=$L$4),ROW(),"-")</f>
        <v>-</v>
      </c>
    </row>
    <row r="7330" customHeight="1" spans="2:2">
      <c r="B7330" s="62" t="str">
        <f>IF(AND('领用录入（明细）'!D:D=$F$4,'领用录入（明细）'!C:C&gt;=$J$4,'领用录入（明细）'!C:C&lt;=$L$4),ROW(),"-")</f>
        <v>-</v>
      </c>
    </row>
    <row r="7331" customHeight="1" spans="2:2">
      <c r="B7331" s="62" t="str">
        <f>IF(AND('领用录入（明细）'!D:D=$F$4,'领用录入（明细）'!C:C&gt;=$J$4,'领用录入（明细）'!C:C&lt;=$L$4),ROW(),"-")</f>
        <v>-</v>
      </c>
    </row>
    <row r="7332" customHeight="1" spans="2:2">
      <c r="B7332" s="62" t="str">
        <f>IF(AND('领用录入（明细）'!D:D=$F$4,'领用录入（明细）'!C:C&gt;=$J$4,'领用录入（明细）'!C:C&lt;=$L$4),ROW(),"-")</f>
        <v>-</v>
      </c>
    </row>
    <row r="7333" customHeight="1" spans="2:2">
      <c r="B7333" s="62" t="str">
        <f>IF(AND('领用录入（明细）'!D:D=$F$4,'领用录入（明细）'!C:C&gt;=$J$4,'领用录入（明细）'!C:C&lt;=$L$4),ROW(),"-")</f>
        <v>-</v>
      </c>
    </row>
    <row r="7334" customHeight="1" spans="2:2">
      <c r="B7334" s="62" t="str">
        <f>IF(AND('领用录入（明细）'!D:D=$F$4,'领用录入（明细）'!C:C&gt;=$J$4,'领用录入（明细）'!C:C&lt;=$L$4),ROW(),"-")</f>
        <v>-</v>
      </c>
    </row>
    <row r="7335" customHeight="1" spans="2:2">
      <c r="B7335" s="62" t="str">
        <f>IF(AND('领用录入（明细）'!D:D=$F$4,'领用录入（明细）'!C:C&gt;=$J$4,'领用录入（明细）'!C:C&lt;=$L$4),ROW(),"-")</f>
        <v>-</v>
      </c>
    </row>
    <row r="7336" customHeight="1" spans="2:2">
      <c r="B7336" s="62" t="str">
        <f>IF(AND('领用录入（明细）'!D:D=$F$4,'领用录入（明细）'!C:C&gt;=$J$4,'领用录入（明细）'!C:C&lt;=$L$4),ROW(),"-")</f>
        <v>-</v>
      </c>
    </row>
    <row r="7337" customHeight="1" spans="2:2">
      <c r="B7337" s="62" t="str">
        <f>IF(AND('领用录入（明细）'!D:D=$F$4,'领用录入（明细）'!C:C&gt;=$J$4,'领用录入（明细）'!C:C&lt;=$L$4),ROW(),"-")</f>
        <v>-</v>
      </c>
    </row>
    <row r="7338" customHeight="1" spans="2:2">
      <c r="B7338" s="62" t="str">
        <f>IF(AND('领用录入（明细）'!D:D=$F$4,'领用录入（明细）'!C:C&gt;=$J$4,'领用录入（明细）'!C:C&lt;=$L$4),ROW(),"-")</f>
        <v>-</v>
      </c>
    </row>
    <row r="7339" customHeight="1" spans="2:2">
      <c r="B7339" s="62" t="str">
        <f>IF(AND('领用录入（明细）'!D:D=$F$4,'领用录入（明细）'!C:C&gt;=$J$4,'领用录入（明细）'!C:C&lt;=$L$4),ROW(),"-")</f>
        <v>-</v>
      </c>
    </row>
    <row r="7340" customHeight="1" spans="2:2">
      <c r="B7340" s="62" t="str">
        <f>IF(AND('领用录入（明细）'!D:D=$F$4,'领用录入（明细）'!C:C&gt;=$J$4,'领用录入（明细）'!C:C&lt;=$L$4),ROW(),"-")</f>
        <v>-</v>
      </c>
    </row>
    <row r="7341" customHeight="1" spans="2:2">
      <c r="B7341" s="62" t="str">
        <f>IF(AND('领用录入（明细）'!D:D=$F$4,'领用录入（明细）'!C:C&gt;=$J$4,'领用录入（明细）'!C:C&lt;=$L$4),ROW(),"-")</f>
        <v>-</v>
      </c>
    </row>
    <row r="7342" customHeight="1" spans="2:2">
      <c r="B7342" s="62" t="str">
        <f>IF(AND('领用录入（明细）'!D:D=$F$4,'领用录入（明细）'!C:C&gt;=$J$4,'领用录入（明细）'!C:C&lt;=$L$4),ROW(),"-")</f>
        <v>-</v>
      </c>
    </row>
    <row r="7343" customHeight="1" spans="2:2">
      <c r="B7343" s="62" t="str">
        <f>IF(AND('领用录入（明细）'!D:D=$F$4,'领用录入（明细）'!C:C&gt;=$J$4,'领用录入（明细）'!C:C&lt;=$L$4),ROW(),"-")</f>
        <v>-</v>
      </c>
    </row>
    <row r="7344" customHeight="1" spans="2:2">
      <c r="B7344" s="62" t="str">
        <f>IF(AND('领用录入（明细）'!D:D=$F$4,'领用录入（明细）'!C:C&gt;=$J$4,'领用录入（明细）'!C:C&lt;=$L$4),ROW(),"-")</f>
        <v>-</v>
      </c>
    </row>
    <row r="7345" customHeight="1" spans="2:2">
      <c r="B7345" s="62" t="str">
        <f>IF(AND('领用录入（明细）'!D:D=$F$4,'领用录入（明细）'!C:C&gt;=$J$4,'领用录入（明细）'!C:C&lt;=$L$4),ROW(),"-")</f>
        <v>-</v>
      </c>
    </row>
    <row r="7346" customHeight="1" spans="2:2">
      <c r="B7346" s="62" t="str">
        <f>IF(AND('领用录入（明细）'!D:D=$F$4,'领用录入（明细）'!C:C&gt;=$J$4,'领用录入（明细）'!C:C&lt;=$L$4),ROW(),"-")</f>
        <v>-</v>
      </c>
    </row>
    <row r="7347" customHeight="1" spans="2:2">
      <c r="B7347" s="62" t="str">
        <f>IF(AND('领用录入（明细）'!D:D=$F$4,'领用录入（明细）'!C:C&gt;=$J$4,'领用录入（明细）'!C:C&lt;=$L$4),ROW(),"-")</f>
        <v>-</v>
      </c>
    </row>
    <row r="7348" customHeight="1" spans="2:2">
      <c r="B7348" s="62" t="str">
        <f>IF(AND('领用录入（明细）'!D:D=$F$4,'领用录入（明细）'!C:C&gt;=$J$4,'领用录入（明细）'!C:C&lt;=$L$4),ROW(),"-")</f>
        <v>-</v>
      </c>
    </row>
    <row r="7349" customHeight="1" spans="2:2">
      <c r="B7349" s="62" t="str">
        <f>IF(AND('领用录入（明细）'!D:D=$F$4,'领用录入（明细）'!C:C&gt;=$J$4,'领用录入（明细）'!C:C&lt;=$L$4),ROW(),"-")</f>
        <v>-</v>
      </c>
    </row>
    <row r="7350" customHeight="1" spans="2:2">
      <c r="B7350" s="62" t="str">
        <f>IF(AND('领用录入（明细）'!D:D=$F$4,'领用录入（明细）'!C:C&gt;=$J$4,'领用录入（明细）'!C:C&lt;=$L$4),ROW(),"-")</f>
        <v>-</v>
      </c>
    </row>
    <row r="7351" customHeight="1" spans="2:2">
      <c r="B7351" s="62" t="str">
        <f>IF(AND('领用录入（明细）'!D:D=$F$4,'领用录入（明细）'!C:C&gt;=$J$4,'领用录入（明细）'!C:C&lt;=$L$4),ROW(),"-")</f>
        <v>-</v>
      </c>
    </row>
    <row r="7352" customHeight="1" spans="2:2">
      <c r="B7352" s="62" t="str">
        <f>IF(AND('领用录入（明细）'!D:D=$F$4,'领用录入（明细）'!C:C&gt;=$J$4,'领用录入（明细）'!C:C&lt;=$L$4),ROW(),"-")</f>
        <v>-</v>
      </c>
    </row>
    <row r="7353" customHeight="1" spans="2:2">
      <c r="B7353" s="62" t="str">
        <f>IF(AND('领用录入（明细）'!D:D=$F$4,'领用录入（明细）'!C:C&gt;=$J$4,'领用录入（明细）'!C:C&lt;=$L$4),ROW(),"-")</f>
        <v>-</v>
      </c>
    </row>
    <row r="7354" customHeight="1" spans="2:2">
      <c r="B7354" s="62" t="str">
        <f>IF(AND('领用录入（明细）'!D:D=$F$4,'领用录入（明细）'!C:C&gt;=$J$4,'领用录入（明细）'!C:C&lt;=$L$4),ROW(),"-")</f>
        <v>-</v>
      </c>
    </row>
    <row r="7355" customHeight="1" spans="2:2">
      <c r="B7355" s="62" t="str">
        <f>IF(AND('领用录入（明细）'!D:D=$F$4,'领用录入（明细）'!C:C&gt;=$J$4,'领用录入（明细）'!C:C&lt;=$L$4),ROW(),"-")</f>
        <v>-</v>
      </c>
    </row>
    <row r="7356" customHeight="1" spans="2:2">
      <c r="B7356" s="62" t="str">
        <f>IF(AND('领用录入（明细）'!D:D=$F$4,'领用录入（明细）'!C:C&gt;=$J$4,'领用录入（明细）'!C:C&lt;=$L$4),ROW(),"-")</f>
        <v>-</v>
      </c>
    </row>
    <row r="7357" customHeight="1" spans="2:2">
      <c r="B7357" s="62" t="str">
        <f>IF(AND('领用录入（明细）'!D:D=$F$4,'领用录入（明细）'!C:C&gt;=$J$4,'领用录入（明细）'!C:C&lt;=$L$4),ROW(),"-")</f>
        <v>-</v>
      </c>
    </row>
    <row r="7358" customHeight="1" spans="2:2">
      <c r="B7358" s="62" t="str">
        <f>IF(AND('领用录入（明细）'!D:D=$F$4,'领用录入（明细）'!C:C&gt;=$J$4,'领用录入（明细）'!C:C&lt;=$L$4),ROW(),"-")</f>
        <v>-</v>
      </c>
    </row>
    <row r="7359" customHeight="1" spans="2:2">
      <c r="B7359" s="62" t="str">
        <f>IF(AND('领用录入（明细）'!D:D=$F$4,'领用录入（明细）'!C:C&gt;=$J$4,'领用录入（明细）'!C:C&lt;=$L$4),ROW(),"-")</f>
        <v>-</v>
      </c>
    </row>
    <row r="7360" customHeight="1" spans="2:2">
      <c r="B7360" s="62" t="str">
        <f>IF(AND('领用录入（明细）'!D:D=$F$4,'领用录入（明细）'!C:C&gt;=$J$4,'领用录入（明细）'!C:C&lt;=$L$4),ROW(),"-")</f>
        <v>-</v>
      </c>
    </row>
    <row r="7361" customHeight="1" spans="2:2">
      <c r="B7361" s="62" t="str">
        <f>IF(AND('领用录入（明细）'!D:D=$F$4,'领用录入（明细）'!C:C&gt;=$J$4,'领用录入（明细）'!C:C&lt;=$L$4),ROW(),"-")</f>
        <v>-</v>
      </c>
    </row>
    <row r="7362" customHeight="1" spans="2:2">
      <c r="B7362" s="62" t="str">
        <f>IF(AND('领用录入（明细）'!D:D=$F$4,'领用录入（明细）'!C:C&gt;=$J$4,'领用录入（明细）'!C:C&lt;=$L$4),ROW(),"-")</f>
        <v>-</v>
      </c>
    </row>
    <row r="7363" customHeight="1" spans="2:2">
      <c r="B7363" s="62" t="str">
        <f>IF(AND('领用录入（明细）'!D:D=$F$4,'领用录入（明细）'!C:C&gt;=$J$4,'领用录入（明细）'!C:C&lt;=$L$4),ROW(),"-")</f>
        <v>-</v>
      </c>
    </row>
    <row r="7364" customHeight="1" spans="2:2">
      <c r="B7364" s="62" t="str">
        <f>IF(AND('领用录入（明细）'!D:D=$F$4,'领用录入（明细）'!C:C&gt;=$J$4,'领用录入（明细）'!C:C&lt;=$L$4),ROW(),"-")</f>
        <v>-</v>
      </c>
    </row>
    <row r="7365" customHeight="1" spans="2:2">
      <c r="B7365" s="62" t="str">
        <f>IF(AND('领用录入（明细）'!D:D=$F$4,'领用录入（明细）'!C:C&gt;=$J$4,'领用录入（明细）'!C:C&lt;=$L$4),ROW(),"-")</f>
        <v>-</v>
      </c>
    </row>
    <row r="7366" customHeight="1" spans="2:2">
      <c r="B7366" s="62" t="str">
        <f>IF(AND('领用录入（明细）'!D:D=$F$4,'领用录入（明细）'!C:C&gt;=$J$4,'领用录入（明细）'!C:C&lt;=$L$4),ROW(),"-")</f>
        <v>-</v>
      </c>
    </row>
    <row r="7367" customHeight="1" spans="2:2">
      <c r="B7367" s="62" t="str">
        <f>IF(AND('领用录入（明细）'!D:D=$F$4,'领用录入（明细）'!C:C&gt;=$J$4,'领用录入（明细）'!C:C&lt;=$L$4),ROW(),"-")</f>
        <v>-</v>
      </c>
    </row>
    <row r="7368" customHeight="1" spans="2:2">
      <c r="B7368" s="62" t="str">
        <f>IF(AND('领用录入（明细）'!D:D=$F$4,'领用录入（明细）'!C:C&gt;=$J$4,'领用录入（明细）'!C:C&lt;=$L$4),ROW(),"-")</f>
        <v>-</v>
      </c>
    </row>
    <row r="7369" customHeight="1" spans="2:2">
      <c r="B7369" s="62" t="str">
        <f>IF(AND('领用录入（明细）'!D:D=$F$4,'领用录入（明细）'!C:C&gt;=$J$4,'领用录入（明细）'!C:C&lt;=$L$4),ROW(),"-")</f>
        <v>-</v>
      </c>
    </row>
    <row r="7370" customHeight="1" spans="2:2">
      <c r="B7370" s="62" t="str">
        <f>IF(AND('领用录入（明细）'!D:D=$F$4,'领用录入（明细）'!C:C&gt;=$J$4,'领用录入（明细）'!C:C&lt;=$L$4),ROW(),"-")</f>
        <v>-</v>
      </c>
    </row>
    <row r="7371" customHeight="1" spans="2:2">
      <c r="B7371" s="62" t="str">
        <f>IF(AND('领用录入（明细）'!D:D=$F$4,'领用录入（明细）'!C:C&gt;=$J$4,'领用录入（明细）'!C:C&lt;=$L$4),ROW(),"-")</f>
        <v>-</v>
      </c>
    </row>
    <row r="7372" customHeight="1" spans="2:2">
      <c r="B7372" s="62" t="str">
        <f>IF(AND('领用录入（明细）'!D:D=$F$4,'领用录入（明细）'!C:C&gt;=$J$4,'领用录入（明细）'!C:C&lt;=$L$4),ROW(),"-")</f>
        <v>-</v>
      </c>
    </row>
    <row r="7373" customHeight="1" spans="2:2">
      <c r="B7373" s="62" t="str">
        <f>IF(AND('领用录入（明细）'!D:D=$F$4,'领用录入（明细）'!C:C&gt;=$J$4,'领用录入（明细）'!C:C&lt;=$L$4),ROW(),"-")</f>
        <v>-</v>
      </c>
    </row>
    <row r="7374" customHeight="1" spans="2:2">
      <c r="B7374" s="62" t="str">
        <f>IF(AND('领用录入（明细）'!D:D=$F$4,'领用录入（明细）'!C:C&gt;=$J$4,'领用录入（明细）'!C:C&lt;=$L$4),ROW(),"-")</f>
        <v>-</v>
      </c>
    </row>
    <row r="7375" customHeight="1" spans="2:2">
      <c r="B7375" s="62" t="str">
        <f>IF(AND('领用录入（明细）'!D:D=$F$4,'领用录入（明细）'!C:C&gt;=$J$4,'领用录入（明细）'!C:C&lt;=$L$4),ROW(),"-")</f>
        <v>-</v>
      </c>
    </row>
    <row r="7376" customHeight="1" spans="2:2">
      <c r="B7376" s="62" t="str">
        <f>IF(AND('领用录入（明细）'!D:D=$F$4,'领用录入（明细）'!C:C&gt;=$J$4,'领用录入（明细）'!C:C&lt;=$L$4),ROW(),"-")</f>
        <v>-</v>
      </c>
    </row>
    <row r="7377" customHeight="1" spans="2:2">
      <c r="B7377" s="62" t="str">
        <f>IF(AND('领用录入（明细）'!D:D=$F$4,'领用录入（明细）'!C:C&gt;=$J$4,'领用录入（明细）'!C:C&lt;=$L$4),ROW(),"-")</f>
        <v>-</v>
      </c>
    </row>
    <row r="7378" customHeight="1" spans="2:2">
      <c r="B7378" s="62" t="str">
        <f>IF(AND('领用录入（明细）'!D:D=$F$4,'领用录入（明细）'!C:C&gt;=$J$4,'领用录入（明细）'!C:C&lt;=$L$4),ROW(),"-")</f>
        <v>-</v>
      </c>
    </row>
    <row r="7379" customHeight="1" spans="2:2">
      <c r="B7379" s="62" t="str">
        <f>IF(AND('领用录入（明细）'!D:D=$F$4,'领用录入（明细）'!C:C&gt;=$J$4,'领用录入（明细）'!C:C&lt;=$L$4),ROW(),"-")</f>
        <v>-</v>
      </c>
    </row>
    <row r="7380" customHeight="1" spans="2:2">
      <c r="B7380" s="62" t="str">
        <f>IF(AND('领用录入（明细）'!D:D=$F$4,'领用录入（明细）'!C:C&gt;=$J$4,'领用录入（明细）'!C:C&lt;=$L$4),ROW(),"-")</f>
        <v>-</v>
      </c>
    </row>
    <row r="7381" customHeight="1" spans="2:2">
      <c r="B7381" s="62" t="str">
        <f>IF(AND('领用录入（明细）'!D:D=$F$4,'领用录入（明细）'!C:C&gt;=$J$4,'领用录入（明细）'!C:C&lt;=$L$4),ROW(),"-")</f>
        <v>-</v>
      </c>
    </row>
    <row r="7382" customHeight="1" spans="2:2">
      <c r="B7382" s="62" t="str">
        <f>IF(AND('领用录入（明细）'!D:D=$F$4,'领用录入（明细）'!C:C&gt;=$J$4,'领用录入（明细）'!C:C&lt;=$L$4),ROW(),"-")</f>
        <v>-</v>
      </c>
    </row>
    <row r="7383" customHeight="1" spans="2:2">
      <c r="B7383" s="62" t="str">
        <f>IF(AND('领用录入（明细）'!D:D=$F$4,'领用录入（明细）'!C:C&gt;=$J$4,'领用录入（明细）'!C:C&lt;=$L$4),ROW(),"-")</f>
        <v>-</v>
      </c>
    </row>
    <row r="7384" customHeight="1" spans="2:2">
      <c r="B7384" s="62" t="str">
        <f>IF(AND('领用录入（明细）'!D:D=$F$4,'领用录入（明细）'!C:C&gt;=$J$4,'领用录入（明细）'!C:C&lt;=$L$4),ROW(),"-")</f>
        <v>-</v>
      </c>
    </row>
    <row r="7385" customHeight="1" spans="2:2">
      <c r="B7385" s="62" t="str">
        <f>IF(AND('领用录入（明细）'!D:D=$F$4,'领用录入（明细）'!C:C&gt;=$J$4,'领用录入（明细）'!C:C&lt;=$L$4),ROW(),"-")</f>
        <v>-</v>
      </c>
    </row>
    <row r="7386" customHeight="1" spans="2:2">
      <c r="B7386" s="62" t="str">
        <f>IF(AND('领用录入（明细）'!D:D=$F$4,'领用录入（明细）'!C:C&gt;=$J$4,'领用录入（明细）'!C:C&lt;=$L$4),ROW(),"-")</f>
        <v>-</v>
      </c>
    </row>
    <row r="7387" customHeight="1" spans="2:2">
      <c r="B7387" s="62" t="str">
        <f>IF(AND('领用录入（明细）'!D:D=$F$4,'领用录入（明细）'!C:C&gt;=$J$4,'领用录入（明细）'!C:C&lt;=$L$4),ROW(),"-")</f>
        <v>-</v>
      </c>
    </row>
    <row r="7388" customHeight="1" spans="2:2">
      <c r="B7388" s="62" t="str">
        <f>IF(AND('领用录入（明细）'!D:D=$F$4,'领用录入（明细）'!C:C&gt;=$J$4,'领用录入（明细）'!C:C&lt;=$L$4),ROW(),"-")</f>
        <v>-</v>
      </c>
    </row>
    <row r="7389" customHeight="1" spans="2:2">
      <c r="B7389" s="62" t="str">
        <f>IF(AND('领用录入（明细）'!D:D=$F$4,'领用录入（明细）'!C:C&gt;=$J$4,'领用录入（明细）'!C:C&lt;=$L$4),ROW(),"-")</f>
        <v>-</v>
      </c>
    </row>
    <row r="7390" customHeight="1" spans="2:2">
      <c r="B7390" s="62" t="str">
        <f>IF(AND('领用录入（明细）'!D:D=$F$4,'领用录入（明细）'!C:C&gt;=$J$4,'领用录入（明细）'!C:C&lt;=$L$4),ROW(),"-")</f>
        <v>-</v>
      </c>
    </row>
    <row r="7391" customHeight="1" spans="2:2">
      <c r="B7391" s="62" t="str">
        <f>IF(AND('领用录入（明细）'!D:D=$F$4,'领用录入（明细）'!C:C&gt;=$J$4,'领用录入（明细）'!C:C&lt;=$L$4),ROW(),"-")</f>
        <v>-</v>
      </c>
    </row>
    <row r="7392" customHeight="1" spans="2:2">
      <c r="B7392" s="62" t="str">
        <f>IF(AND('领用录入（明细）'!D:D=$F$4,'领用录入（明细）'!C:C&gt;=$J$4,'领用录入（明细）'!C:C&lt;=$L$4),ROW(),"-")</f>
        <v>-</v>
      </c>
    </row>
    <row r="7393" customHeight="1" spans="2:2">
      <c r="B7393" s="62" t="str">
        <f>IF(AND('领用录入（明细）'!D:D=$F$4,'领用录入（明细）'!C:C&gt;=$J$4,'领用录入（明细）'!C:C&lt;=$L$4),ROW(),"-")</f>
        <v>-</v>
      </c>
    </row>
    <row r="7394" customHeight="1" spans="2:2">
      <c r="B7394" s="62" t="str">
        <f>IF(AND('领用录入（明细）'!D:D=$F$4,'领用录入（明细）'!C:C&gt;=$J$4,'领用录入（明细）'!C:C&lt;=$L$4),ROW(),"-")</f>
        <v>-</v>
      </c>
    </row>
    <row r="7395" customHeight="1" spans="2:2">
      <c r="B7395" s="62" t="str">
        <f>IF(AND('领用录入（明细）'!D:D=$F$4,'领用录入（明细）'!C:C&gt;=$J$4,'领用录入（明细）'!C:C&lt;=$L$4),ROW(),"-")</f>
        <v>-</v>
      </c>
    </row>
    <row r="7396" customHeight="1" spans="2:2">
      <c r="B7396" s="62" t="str">
        <f>IF(AND('领用录入（明细）'!D:D=$F$4,'领用录入（明细）'!C:C&gt;=$J$4,'领用录入（明细）'!C:C&lt;=$L$4),ROW(),"-")</f>
        <v>-</v>
      </c>
    </row>
    <row r="7397" customHeight="1" spans="2:2">
      <c r="B7397" s="62" t="str">
        <f>IF(AND('领用录入（明细）'!D:D=$F$4,'领用录入（明细）'!C:C&gt;=$J$4,'领用录入（明细）'!C:C&lt;=$L$4),ROW(),"-")</f>
        <v>-</v>
      </c>
    </row>
    <row r="7398" customHeight="1" spans="2:2">
      <c r="B7398" s="62" t="str">
        <f>IF(AND('领用录入（明细）'!D:D=$F$4,'领用录入（明细）'!C:C&gt;=$J$4,'领用录入（明细）'!C:C&lt;=$L$4),ROW(),"-")</f>
        <v>-</v>
      </c>
    </row>
    <row r="7399" customHeight="1" spans="2:2">
      <c r="B7399" s="62" t="str">
        <f>IF(AND('领用录入（明细）'!D:D=$F$4,'领用录入（明细）'!C:C&gt;=$J$4,'领用录入（明细）'!C:C&lt;=$L$4),ROW(),"-")</f>
        <v>-</v>
      </c>
    </row>
    <row r="7400" customHeight="1" spans="2:2">
      <c r="B7400" s="62" t="str">
        <f>IF(AND('领用录入（明细）'!D:D=$F$4,'领用录入（明细）'!C:C&gt;=$J$4,'领用录入（明细）'!C:C&lt;=$L$4),ROW(),"-")</f>
        <v>-</v>
      </c>
    </row>
    <row r="7401" customHeight="1" spans="2:2">
      <c r="B7401" s="62" t="str">
        <f>IF(AND('领用录入（明细）'!D:D=$F$4,'领用录入（明细）'!C:C&gt;=$J$4,'领用录入（明细）'!C:C&lt;=$L$4),ROW(),"-")</f>
        <v>-</v>
      </c>
    </row>
    <row r="7402" customHeight="1" spans="2:2">
      <c r="B7402" s="62" t="str">
        <f>IF(AND('领用录入（明细）'!D:D=$F$4,'领用录入（明细）'!C:C&gt;=$J$4,'领用录入（明细）'!C:C&lt;=$L$4),ROW(),"-")</f>
        <v>-</v>
      </c>
    </row>
    <row r="7403" customHeight="1" spans="2:2">
      <c r="B7403" s="62" t="str">
        <f>IF(AND('领用录入（明细）'!D:D=$F$4,'领用录入（明细）'!C:C&gt;=$J$4,'领用录入（明细）'!C:C&lt;=$L$4),ROW(),"-")</f>
        <v>-</v>
      </c>
    </row>
    <row r="7404" customHeight="1" spans="2:2">
      <c r="B7404" s="62" t="str">
        <f>IF(AND('领用录入（明细）'!D:D=$F$4,'领用录入（明细）'!C:C&gt;=$J$4,'领用录入（明细）'!C:C&lt;=$L$4),ROW(),"-")</f>
        <v>-</v>
      </c>
    </row>
    <row r="7405" customHeight="1" spans="2:2">
      <c r="B7405" s="62" t="str">
        <f>IF(AND('领用录入（明细）'!D:D=$F$4,'领用录入（明细）'!C:C&gt;=$J$4,'领用录入（明细）'!C:C&lt;=$L$4),ROW(),"-")</f>
        <v>-</v>
      </c>
    </row>
    <row r="7406" customHeight="1" spans="2:2">
      <c r="B7406" s="62" t="str">
        <f>IF(AND('领用录入（明细）'!D:D=$F$4,'领用录入（明细）'!C:C&gt;=$J$4,'领用录入（明细）'!C:C&lt;=$L$4),ROW(),"-")</f>
        <v>-</v>
      </c>
    </row>
    <row r="7407" customHeight="1" spans="2:2">
      <c r="B7407" s="62" t="str">
        <f>IF(AND('领用录入（明细）'!D:D=$F$4,'领用录入（明细）'!C:C&gt;=$J$4,'领用录入（明细）'!C:C&lt;=$L$4),ROW(),"-")</f>
        <v>-</v>
      </c>
    </row>
    <row r="7408" customHeight="1" spans="2:2">
      <c r="B7408" s="62" t="str">
        <f>IF(AND('领用录入（明细）'!D:D=$F$4,'领用录入（明细）'!C:C&gt;=$J$4,'领用录入（明细）'!C:C&lt;=$L$4),ROW(),"-")</f>
        <v>-</v>
      </c>
    </row>
    <row r="7409" customHeight="1" spans="2:2">
      <c r="B7409" s="62" t="str">
        <f>IF(AND('领用录入（明细）'!D:D=$F$4,'领用录入（明细）'!C:C&gt;=$J$4,'领用录入（明细）'!C:C&lt;=$L$4),ROW(),"-")</f>
        <v>-</v>
      </c>
    </row>
    <row r="7410" customHeight="1" spans="2:2">
      <c r="B7410" s="62" t="str">
        <f>IF(AND('领用录入（明细）'!D:D=$F$4,'领用录入（明细）'!C:C&gt;=$J$4,'领用录入（明细）'!C:C&lt;=$L$4),ROW(),"-")</f>
        <v>-</v>
      </c>
    </row>
    <row r="7411" customHeight="1" spans="2:2">
      <c r="B7411" s="62" t="str">
        <f>IF(AND('领用录入（明细）'!D:D=$F$4,'领用录入（明细）'!C:C&gt;=$J$4,'领用录入（明细）'!C:C&lt;=$L$4),ROW(),"-")</f>
        <v>-</v>
      </c>
    </row>
    <row r="7412" customHeight="1" spans="2:2">
      <c r="B7412" s="62" t="str">
        <f>IF(AND('领用录入（明细）'!D:D=$F$4,'领用录入（明细）'!C:C&gt;=$J$4,'领用录入（明细）'!C:C&lt;=$L$4),ROW(),"-")</f>
        <v>-</v>
      </c>
    </row>
    <row r="7413" customHeight="1" spans="2:2">
      <c r="B7413" s="62" t="str">
        <f>IF(AND('领用录入（明细）'!D:D=$F$4,'领用录入（明细）'!C:C&gt;=$J$4,'领用录入（明细）'!C:C&lt;=$L$4),ROW(),"-")</f>
        <v>-</v>
      </c>
    </row>
    <row r="7414" customHeight="1" spans="2:2">
      <c r="B7414" s="62" t="str">
        <f>IF(AND('领用录入（明细）'!D:D=$F$4,'领用录入（明细）'!C:C&gt;=$J$4,'领用录入（明细）'!C:C&lt;=$L$4),ROW(),"-")</f>
        <v>-</v>
      </c>
    </row>
    <row r="7415" customHeight="1" spans="2:2">
      <c r="B7415" s="62" t="str">
        <f>IF(AND('领用录入（明细）'!D:D=$F$4,'领用录入（明细）'!C:C&gt;=$J$4,'领用录入（明细）'!C:C&lt;=$L$4),ROW(),"-")</f>
        <v>-</v>
      </c>
    </row>
    <row r="7416" customHeight="1" spans="2:2">
      <c r="B7416" s="62" t="str">
        <f>IF(AND('领用录入（明细）'!D:D=$F$4,'领用录入（明细）'!C:C&gt;=$J$4,'领用录入（明细）'!C:C&lt;=$L$4),ROW(),"-")</f>
        <v>-</v>
      </c>
    </row>
    <row r="7417" customHeight="1" spans="2:2">
      <c r="B7417" s="62" t="str">
        <f>IF(AND('领用录入（明细）'!D:D=$F$4,'领用录入（明细）'!C:C&gt;=$J$4,'领用录入（明细）'!C:C&lt;=$L$4),ROW(),"-")</f>
        <v>-</v>
      </c>
    </row>
    <row r="7418" customHeight="1" spans="2:2">
      <c r="B7418" s="62" t="str">
        <f>IF(AND('领用录入（明细）'!D:D=$F$4,'领用录入（明细）'!C:C&gt;=$J$4,'领用录入（明细）'!C:C&lt;=$L$4),ROW(),"-")</f>
        <v>-</v>
      </c>
    </row>
    <row r="7419" customHeight="1" spans="2:2">
      <c r="B7419" s="62" t="str">
        <f>IF(AND('领用录入（明细）'!D:D=$F$4,'领用录入（明细）'!C:C&gt;=$J$4,'领用录入（明细）'!C:C&lt;=$L$4),ROW(),"-")</f>
        <v>-</v>
      </c>
    </row>
    <row r="7420" customHeight="1" spans="2:2">
      <c r="B7420" s="62" t="str">
        <f>IF(AND('领用录入（明细）'!D:D=$F$4,'领用录入（明细）'!C:C&gt;=$J$4,'领用录入（明细）'!C:C&lt;=$L$4),ROW(),"-")</f>
        <v>-</v>
      </c>
    </row>
    <row r="7421" customHeight="1" spans="2:2">
      <c r="B7421" s="62" t="str">
        <f>IF(AND('领用录入（明细）'!D:D=$F$4,'领用录入（明细）'!C:C&gt;=$J$4,'领用录入（明细）'!C:C&lt;=$L$4),ROW(),"-")</f>
        <v>-</v>
      </c>
    </row>
    <row r="7422" customHeight="1" spans="2:2">
      <c r="B7422" s="62" t="str">
        <f>IF(AND('领用录入（明细）'!D:D=$F$4,'领用录入（明细）'!C:C&gt;=$J$4,'领用录入（明细）'!C:C&lt;=$L$4),ROW(),"-")</f>
        <v>-</v>
      </c>
    </row>
    <row r="7423" customHeight="1" spans="2:2">
      <c r="B7423" s="62" t="str">
        <f>IF(AND('领用录入（明细）'!D:D=$F$4,'领用录入（明细）'!C:C&gt;=$J$4,'领用录入（明细）'!C:C&lt;=$L$4),ROW(),"-")</f>
        <v>-</v>
      </c>
    </row>
    <row r="7424" customHeight="1" spans="2:2">
      <c r="B7424" s="62" t="str">
        <f>IF(AND('领用录入（明细）'!D:D=$F$4,'领用录入（明细）'!C:C&gt;=$J$4,'领用录入（明细）'!C:C&lt;=$L$4),ROW(),"-")</f>
        <v>-</v>
      </c>
    </row>
    <row r="7425" customHeight="1" spans="2:2">
      <c r="B7425" s="62" t="str">
        <f>IF(AND('领用录入（明细）'!D:D=$F$4,'领用录入（明细）'!C:C&gt;=$J$4,'领用录入（明细）'!C:C&lt;=$L$4),ROW(),"-")</f>
        <v>-</v>
      </c>
    </row>
    <row r="7426" customHeight="1" spans="2:2">
      <c r="B7426" s="62" t="str">
        <f>IF(AND('领用录入（明细）'!D:D=$F$4,'领用录入（明细）'!C:C&gt;=$J$4,'领用录入（明细）'!C:C&lt;=$L$4),ROW(),"-")</f>
        <v>-</v>
      </c>
    </row>
    <row r="7427" customHeight="1" spans="2:2">
      <c r="B7427" s="62" t="str">
        <f>IF(AND('领用录入（明细）'!D:D=$F$4,'领用录入（明细）'!C:C&gt;=$J$4,'领用录入（明细）'!C:C&lt;=$L$4),ROW(),"-")</f>
        <v>-</v>
      </c>
    </row>
    <row r="7428" customHeight="1" spans="2:2">
      <c r="B7428" s="62" t="str">
        <f>IF(AND('领用录入（明细）'!D:D=$F$4,'领用录入（明细）'!C:C&gt;=$J$4,'领用录入（明细）'!C:C&lt;=$L$4),ROW(),"-")</f>
        <v>-</v>
      </c>
    </row>
    <row r="7429" customHeight="1" spans="2:2">
      <c r="B7429" s="62" t="str">
        <f>IF(AND('领用录入（明细）'!D:D=$F$4,'领用录入（明细）'!C:C&gt;=$J$4,'领用录入（明细）'!C:C&lt;=$L$4),ROW(),"-")</f>
        <v>-</v>
      </c>
    </row>
    <row r="7430" customHeight="1" spans="2:2">
      <c r="B7430" s="62" t="str">
        <f>IF(AND('领用录入（明细）'!D:D=$F$4,'领用录入（明细）'!C:C&gt;=$J$4,'领用录入（明细）'!C:C&lt;=$L$4),ROW(),"-")</f>
        <v>-</v>
      </c>
    </row>
    <row r="7431" customHeight="1" spans="2:2">
      <c r="B7431" s="62" t="str">
        <f>IF(AND('领用录入（明细）'!D:D=$F$4,'领用录入（明细）'!C:C&gt;=$J$4,'领用录入（明细）'!C:C&lt;=$L$4),ROW(),"-")</f>
        <v>-</v>
      </c>
    </row>
    <row r="7432" customHeight="1" spans="2:2">
      <c r="B7432" s="62" t="str">
        <f>IF(AND('领用录入（明细）'!D:D=$F$4,'领用录入（明细）'!C:C&gt;=$J$4,'领用录入（明细）'!C:C&lt;=$L$4),ROW(),"-")</f>
        <v>-</v>
      </c>
    </row>
    <row r="7433" customHeight="1" spans="2:2">
      <c r="B7433" s="62" t="str">
        <f>IF(AND('领用录入（明细）'!D:D=$F$4,'领用录入（明细）'!C:C&gt;=$J$4,'领用录入（明细）'!C:C&lt;=$L$4),ROW(),"-")</f>
        <v>-</v>
      </c>
    </row>
    <row r="7434" customHeight="1" spans="2:2">
      <c r="B7434" s="62" t="str">
        <f>IF(AND('领用录入（明细）'!D:D=$F$4,'领用录入（明细）'!C:C&gt;=$J$4,'领用录入（明细）'!C:C&lt;=$L$4),ROW(),"-")</f>
        <v>-</v>
      </c>
    </row>
    <row r="7435" customHeight="1" spans="2:2">
      <c r="B7435" s="62" t="str">
        <f>IF(AND('领用录入（明细）'!D:D=$F$4,'领用录入（明细）'!C:C&gt;=$J$4,'领用录入（明细）'!C:C&lt;=$L$4),ROW(),"-")</f>
        <v>-</v>
      </c>
    </row>
    <row r="7436" customHeight="1" spans="2:2">
      <c r="B7436" s="62" t="str">
        <f>IF(AND('领用录入（明细）'!D:D=$F$4,'领用录入（明细）'!C:C&gt;=$J$4,'领用录入（明细）'!C:C&lt;=$L$4),ROW(),"-")</f>
        <v>-</v>
      </c>
    </row>
    <row r="7437" customHeight="1" spans="2:2">
      <c r="B7437" s="62" t="str">
        <f>IF(AND('领用录入（明细）'!D:D=$F$4,'领用录入（明细）'!C:C&gt;=$J$4,'领用录入（明细）'!C:C&lt;=$L$4),ROW(),"-")</f>
        <v>-</v>
      </c>
    </row>
    <row r="7438" customHeight="1" spans="2:2">
      <c r="B7438" s="62" t="str">
        <f>IF(AND('领用录入（明细）'!D:D=$F$4,'领用录入（明细）'!C:C&gt;=$J$4,'领用录入（明细）'!C:C&lt;=$L$4),ROW(),"-")</f>
        <v>-</v>
      </c>
    </row>
    <row r="7439" customHeight="1" spans="2:2">
      <c r="B7439" s="62" t="str">
        <f>IF(AND('领用录入（明细）'!D:D=$F$4,'领用录入（明细）'!C:C&gt;=$J$4,'领用录入（明细）'!C:C&lt;=$L$4),ROW(),"-")</f>
        <v>-</v>
      </c>
    </row>
    <row r="7440" customHeight="1" spans="2:2">
      <c r="B7440" s="62" t="str">
        <f>IF(AND('领用录入（明细）'!D:D=$F$4,'领用录入（明细）'!C:C&gt;=$J$4,'领用录入（明细）'!C:C&lt;=$L$4),ROW(),"-")</f>
        <v>-</v>
      </c>
    </row>
    <row r="7441" customHeight="1" spans="2:2">
      <c r="B7441" s="62" t="str">
        <f>IF(AND('领用录入（明细）'!D:D=$F$4,'领用录入（明细）'!C:C&gt;=$J$4,'领用录入（明细）'!C:C&lt;=$L$4),ROW(),"-")</f>
        <v>-</v>
      </c>
    </row>
    <row r="7442" customHeight="1" spans="2:2">
      <c r="B7442" s="62" t="str">
        <f>IF(AND('领用录入（明细）'!D:D=$F$4,'领用录入（明细）'!C:C&gt;=$J$4,'领用录入（明细）'!C:C&lt;=$L$4),ROW(),"-")</f>
        <v>-</v>
      </c>
    </row>
    <row r="7443" customHeight="1" spans="2:2">
      <c r="B7443" s="62" t="str">
        <f>IF(AND('领用录入（明细）'!D:D=$F$4,'领用录入（明细）'!C:C&gt;=$J$4,'领用录入（明细）'!C:C&lt;=$L$4),ROW(),"-")</f>
        <v>-</v>
      </c>
    </row>
    <row r="7444" customHeight="1" spans="2:2">
      <c r="B7444" s="62" t="str">
        <f>IF(AND('领用录入（明细）'!D:D=$F$4,'领用录入（明细）'!C:C&gt;=$J$4,'领用录入（明细）'!C:C&lt;=$L$4),ROW(),"-")</f>
        <v>-</v>
      </c>
    </row>
    <row r="7445" customHeight="1" spans="2:2">
      <c r="B7445" s="62" t="str">
        <f>IF(AND('领用录入（明细）'!D:D=$F$4,'领用录入（明细）'!C:C&gt;=$J$4,'领用录入（明细）'!C:C&lt;=$L$4),ROW(),"-")</f>
        <v>-</v>
      </c>
    </row>
    <row r="7446" customHeight="1" spans="2:2">
      <c r="B7446" s="62" t="str">
        <f>IF(AND('领用录入（明细）'!D:D=$F$4,'领用录入（明细）'!C:C&gt;=$J$4,'领用录入（明细）'!C:C&lt;=$L$4),ROW(),"-")</f>
        <v>-</v>
      </c>
    </row>
    <row r="7447" customHeight="1" spans="2:2">
      <c r="B7447" s="62" t="str">
        <f>IF(AND('领用录入（明细）'!D:D=$F$4,'领用录入（明细）'!C:C&gt;=$J$4,'领用录入（明细）'!C:C&lt;=$L$4),ROW(),"-")</f>
        <v>-</v>
      </c>
    </row>
    <row r="7448" customHeight="1" spans="2:2">
      <c r="B7448" s="62" t="str">
        <f>IF(AND('领用录入（明细）'!D:D=$F$4,'领用录入（明细）'!C:C&gt;=$J$4,'领用录入（明细）'!C:C&lt;=$L$4),ROW(),"-")</f>
        <v>-</v>
      </c>
    </row>
    <row r="7449" customHeight="1" spans="2:2">
      <c r="B7449" s="62" t="str">
        <f>IF(AND('领用录入（明细）'!D:D=$F$4,'领用录入（明细）'!C:C&gt;=$J$4,'领用录入（明细）'!C:C&lt;=$L$4),ROW(),"-")</f>
        <v>-</v>
      </c>
    </row>
    <row r="7450" customHeight="1" spans="2:2">
      <c r="B7450" s="62" t="str">
        <f>IF(AND('领用录入（明细）'!D:D=$F$4,'领用录入（明细）'!C:C&gt;=$J$4,'领用录入（明细）'!C:C&lt;=$L$4),ROW(),"-")</f>
        <v>-</v>
      </c>
    </row>
    <row r="7451" customHeight="1" spans="2:2">
      <c r="B7451" s="62" t="str">
        <f>IF(AND('领用录入（明细）'!D:D=$F$4,'领用录入（明细）'!C:C&gt;=$J$4,'领用录入（明细）'!C:C&lt;=$L$4),ROW(),"-")</f>
        <v>-</v>
      </c>
    </row>
    <row r="7452" customHeight="1" spans="2:2">
      <c r="B7452" s="62" t="str">
        <f>IF(AND('领用录入（明细）'!D:D=$F$4,'领用录入（明细）'!C:C&gt;=$J$4,'领用录入（明细）'!C:C&lt;=$L$4),ROW(),"-")</f>
        <v>-</v>
      </c>
    </row>
    <row r="7453" customHeight="1" spans="2:2">
      <c r="B7453" s="62" t="str">
        <f>IF(AND('领用录入（明细）'!D:D=$F$4,'领用录入（明细）'!C:C&gt;=$J$4,'领用录入（明细）'!C:C&lt;=$L$4),ROW(),"-")</f>
        <v>-</v>
      </c>
    </row>
    <row r="7454" customHeight="1" spans="2:2">
      <c r="B7454" s="62" t="str">
        <f>IF(AND('领用录入（明细）'!D:D=$F$4,'领用录入（明细）'!C:C&gt;=$J$4,'领用录入（明细）'!C:C&lt;=$L$4),ROW(),"-")</f>
        <v>-</v>
      </c>
    </row>
    <row r="7455" customHeight="1" spans="2:2">
      <c r="B7455" s="62" t="str">
        <f>IF(AND('领用录入（明细）'!D:D=$F$4,'领用录入（明细）'!C:C&gt;=$J$4,'领用录入（明细）'!C:C&lt;=$L$4),ROW(),"-")</f>
        <v>-</v>
      </c>
    </row>
    <row r="7456" customHeight="1" spans="2:2">
      <c r="B7456" s="62" t="str">
        <f>IF(AND('领用录入（明细）'!D:D=$F$4,'领用录入（明细）'!C:C&gt;=$J$4,'领用录入（明细）'!C:C&lt;=$L$4),ROW(),"-")</f>
        <v>-</v>
      </c>
    </row>
    <row r="7457" customHeight="1" spans="2:2">
      <c r="B7457" s="62" t="str">
        <f>IF(AND('领用录入（明细）'!D:D=$F$4,'领用录入（明细）'!C:C&gt;=$J$4,'领用录入（明细）'!C:C&lt;=$L$4),ROW(),"-")</f>
        <v>-</v>
      </c>
    </row>
    <row r="7458" customHeight="1" spans="2:2">
      <c r="B7458" s="62" t="str">
        <f>IF(AND('领用录入（明细）'!D:D=$F$4,'领用录入（明细）'!C:C&gt;=$J$4,'领用录入（明细）'!C:C&lt;=$L$4),ROW(),"-")</f>
        <v>-</v>
      </c>
    </row>
    <row r="7459" customHeight="1" spans="2:2">
      <c r="B7459" s="62" t="str">
        <f>IF(AND('领用录入（明细）'!D:D=$F$4,'领用录入（明细）'!C:C&gt;=$J$4,'领用录入（明细）'!C:C&lt;=$L$4),ROW(),"-")</f>
        <v>-</v>
      </c>
    </row>
    <row r="7460" customHeight="1" spans="2:2">
      <c r="B7460" s="62" t="str">
        <f>IF(AND('领用录入（明细）'!D:D=$F$4,'领用录入（明细）'!C:C&gt;=$J$4,'领用录入（明细）'!C:C&lt;=$L$4),ROW(),"-")</f>
        <v>-</v>
      </c>
    </row>
    <row r="7461" customHeight="1" spans="2:2">
      <c r="B7461" s="62" t="str">
        <f>IF(AND('领用录入（明细）'!D:D=$F$4,'领用录入（明细）'!C:C&gt;=$J$4,'领用录入（明细）'!C:C&lt;=$L$4),ROW(),"-")</f>
        <v>-</v>
      </c>
    </row>
    <row r="7462" customHeight="1" spans="2:2">
      <c r="B7462" s="62" t="str">
        <f>IF(AND('领用录入（明细）'!D:D=$F$4,'领用录入（明细）'!C:C&gt;=$J$4,'领用录入（明细）'!C:C&lt;=$L$4),ROW(),"-")</f>
        <v>-</v>
      </c>
    </row>
    <row r="7463" customHeight="1" spans="2:2">
      <c r="B7463" s="62" t="str">
        <f>IF(AND('领用录入（明细）'!D:D=$F$4,'领用录入（明细）'!C:C&gt;=$J$4,'领用录入（明细）'!C:C&lt;=$L$4),ROW(),"-")</f>
        <v>-</v>
      </c>
    </row>
    <row r="7464" customHeight="1" spans="2:2">
      <c r="B7464" s="62" t="str">
        <f>IF(AND('领用录入（明细）'!D:D=$F$4,'领用录入（明细）'!C:C&gt;=$J$4,'领用录入（明细）'!C:C&lt;=$L$4),ROW(),"-")</f>
        <v>-</v>
      </c>
    </row>
    <row r="7465" customHeight="1" spans="2:2">
      <c r="B7465" s="62" t="str">
        <f>IF(AND('领用录入（明细）'!D:D=$F$4,'领用录入（明细）'!C:C&gt;=$J$4,'领用录入（明细）'!C:C&lt;=$L$4),ROW(),"-")</f>
        <v>-</v>
      </c>
    </row>
    <row r="7466" customHeight="1" spans="2:2">
      <c r="B7466" s="62" t="str">
        <f>IF(AND('领用录入（明细）'!D:D=$F$4,'领用录入（明细）'!C:C&gt;=$J$4,'领用录入（明细）'!C:C&lt;=$L$4),ROW(),"-")</f>
        <v>-</v>
      </c>
    </row>
    <row r="7467" customHeight="1" spans="2:2">
      <c r="B7467" s="62" t="str">
        <f>IF(AND('领用录入（明细）'!D:D=$F$4,'领用录入（明细）'!C:C&gt;=$J$4,'领用录入（明细）'!C:C&lt;=$L$4),ROW(),"-")</f>
        <v>-</v>
      </c>
    </row>
    <row r="7468" customHeight="1" spans="2:2">
      <c r="B7468" s="62" t="str">
        <f>IF(AND('领用录入（明细）'!D:D=$F$4,'领用录入（明细）'!C:C&gt;=$J$4,'领用录入（明细）'!C:C&lt;=$L$4),ROW(),"-")</f>
        <v>-</v>
      </c>
    </row>
    <row r="7469" customHeight="1" spans="2:2">
      <c r="B7469" s="62" t="str">
        <f>IF(AND('领用录入（明细）'!D:D=$F$4,'领用录入（明细）'!C:C&gt;=$J$4,'领用录入（明细）'!C:C&lt;=$L$4),ROW(),"-")</f>
        <v>-</v>
      </c>
    </row>
    <row r="7470" customHeight="1" spans="2:2">
      <c r="B7470" s="62" t="str">
        <f>IF(AND('领用录入（明细）'!D:D=$F$4,'领用录入（明细）'!C:C&gt;=$J$4,'领用录入（明细）'!C:C&lt;=$L$4),ROW(),"-")</f>
        <v>-</v>
      </c>
    </row>
    <row r="7471" customHeight="1" spans="2:2">
      <c r="B7471" s="62" t="str">
        <f>IF(AND('领用录入（明细）'!D:D=$F$4,'领用录入（明细）'!C:C&gt;=$J$4,'领用录入（明细）'!C:C&lt;=$L$4),ROW(),"-")</f>
        <v>-</v>
      </c>
    </row>
    <row r="7472" customHeight="1" spans="2:2">
      <c r="B7472" s="62" t="str">
        <f>IF(AND('领用录入（明细）'!D:D=$F$4,'领用录入（明细）'!C:C&gt;=$J$4,'领用录入（明细）'!C:C&lt;=$L$4),ROW(),"-")</f>
        <v>-</v>
      </c>
    </row>
    <row r="7473" customHeight="1" spans="2:2">
      <c r="B7473" s="62" t="str">
        <f>IF(AND('领用录入（明细）'!D:D=$F$4,'领用录入（明细）'!C:C&gt;=$J$4,'领用录入（明细）'!C:C&lt;=$L$4),ROW(),"-")</f>
        <v>-</v>
      </c>
    </row>
    <row r="7474" customHeight="1" spans="2:2">
      <c r="B7474" s="62" t="str">
        <f>IF(AND('领用录入（明细）'!D:D=$F$4,'领用录入（明细）'!C:C&gt;=$J$4,'领用录入（明细）'!C:C&lt;=$L$4),ROW(),"-")</f>
        <v>-</v>
      </c>
    </row>
    <row r="7475" customHeight="1" spans="2:2">
      <c r="B7475" s="62" t="str">
        <f>IF(AND('领用录入（明细）'!D:D=$F$4,'领用录入（明细）'!C:C&gt;=$J$4,'领用录入（明细）'!C:C&lt;=$L$4),ROW(),"-")</f>
        <v>-</v>
      </c>
    </row>
    <row r="7476" customHeight="1" spans="2:2">
      <c r="B7476" s="62" t="str">
        <f>IF(AND('领用录入（明细）'!D:D=$F$4,'领用录入（明细）'!C:C&gt;=$J$4,'领用录入（明细）'!C:C&lt;=$L$4),ROW(),"-")</f>
        <v>-</v>
      </c>
    </row>
    <row r="7477" customHeight="1" spans="2:2">
      <c r="B7477" s="62" t="str">
        <f>IF(AND('领用录入（明细）'!D:D=$F$4,'领用录入（明细）'!C:C&gt;=$J$4,'领用录入（明细）'!C:C&lt;=$L$4),ROW(),"-")</f>
        <v>-</v>
      </c>
    </row>
    <row r="7478" customHeight="1" spans="2:2">
      <c r="B7478" s="62" t="str">
        <f>IF(AND('领用录入（明细）'!D:D=$F$4,'领用录入（明细）'!C:C&gt;=$J$4,'领用录入（明细）'!C:C&lt;=$L$4),ROW(),"-")</f>
        <v>-</v>
      </c>
    </row>
    <row r="7479" customHeight="1" spans="2:2">
      <c r="B7479" s="62" t="str">
        <f>IF(AND('领用录入（明细）'!D:D=$F$4,'领用录入（明细）'!C:C&gt;=$J$4,'领用录入（明细）'!C:C&lt;=$L$4),ROW(),"-")</f>
        <v>-</v>
      </c>
    </row>
    <row r="7480" customHeight="1" spans="2:2">
      <c r="B7480" s="62" t="str">
        <f>IF(AND('领用录入（明细）'!D:D=$F$4,'领用录入（明细）'!C:C&gt;=$J$4,'领用录入（明细）'!C:C&lt;=$L$4),ROW(),"-")</f>
        <v>-</v>
      </c>
    </row>
    <row r="7481" customHeight="1" spans="2:2">
      <c r="B7481" s="62" t="str">
        <f>IF(AND('领用录入（明细）'!D:D=$F$4,'领用录入（明细）'!C:C&gt;=$J$4,'领用录入（明细）'!C:C&lt;=$L$4),ROW(),"-")</f>
        <v>-</v>
      </c>
    </row>
    <row r="7482" customHeight="1" spans="2:2">
      <c r="B7482" s="62" t="str">
        <f>IF(AND('领用录入（明细）'!D:D=$F$4,'领用录入（明细）'!C:C&gt;=$J$4,'领用录入（明细）'!C:C&lt;=$L$4),ROW(),"-")</f>
        <v>-</v>
      </c>
    </row>
    <row r="7483" customHeight="1" spans="2:2">
      <c r="B7483" s="62" t="str">
        <f>IF(AND('领用录入（明细）'!D:D=$F$4,'领用录入（明细）'!C:C&gt;=$J$4,'领用录入（明细）'!C:C&lt;=$L$4),ROW(),"-")</f>
        <v>-</v>
      </c>
    </row>
    <row r="7484" customHeight="1" spans="2:2">
      <c r="B7484" s="62" t="str">
        <f>IF(AND('领用录入（明细）'!D:D=$F$4,'领用录入（明细）'!C:C&gt;=$J$4,'领用录入（明细）'!C:C&lt;=$L$4),ROW(),"-")</f>
        <v>-</v>
      </c>
    </row>
    <row r="7485" customHeight="1" spans="2:2">
      <c r="B7485" s="62" t="str">
        <f>IF(AND('领用录入（明细）'!D:D=$F$4,'领用录入（明细）'!C:C&gt;=$J$4,'领用录入（明细）'!C:C&lt;=$L$4),ROW(),"-")</f>
        <v>-</v>
      </c>
    </row>
    <row r="7486" customHeight="1" spans="2:2">
      <c r="B7486" s="62" t="str">
        <f>IF(AND('领用录入（明细）'!D:D=$F$4,'领用录入（明细）'!C:C&gt;=$J$4,'领用录入（明细）'!C:C&lt;=$L$4),ROW(),"-")</f>
        <v>-</v>
      </c>
    </row>
    <row r="7487" customHeight="1" spans="2:2">
      <c r="B7487" s="62" t="str">
        <f>IF(AND('领用录入（明细）'!D:D=$F$4,'领用录入（明细）'!C:C&gt;=$J$4,'领用录入（明细）'!C:C&lt;=$L$4),ROW(),"-")</f>
        <v>-</v>
      </c>
    </row>
    <row r="7488" customHeight="1" spans="2:2">
      <c r="B7488" s="62" t="str">
        <f>IF(AND('领用录入（明细）'!D:D=$F$4,'领用录入（明细）'!C:C&gt;=$J$4,'领用录入（明细）'!C:C&lt;=$L$4),ROW(),"-")</f>
        <v>-</v>
      </c>
    </row>
    <row r="7489" customHeight="1" spans="2:2">
      <c r="B7489" s="62" t="str">
        <f>IF(AND('领用录入（明细）'!D:D=$F$4,'领用录入（明细）'!C:C&gt;=$J$4,'领用录入（明细）'!C:C&lt;=$L$4),ROW(),"-")</f>
        <v>-</v>
      </c>
    </row>
    <row r="7490" customHeight="1" spans="2:2">
      <c r="B7490" s="62" t="str">
        <f>IF(AND('领用录入（明细）'!D:D=$F$4,'领用录入（明细）'!C:C&gt;=$J$4,'领用录入（明细）'!C:C&lt;=$L$4),ROW(),"-")</f>
        <v>-</v>
      </c>
    </row>
    <row r="7491" customHeight="1" spans="2:2">
      <c r="B7491" s="62" t="str">
        <f>IF(AND('领用录入（明细）'!D:D=$F$4,'领用录入（明细）'!C:C&gt;=$J$4,'领用录入（明细）'!C:C&lt;=$L$4),ROW(),"-")</f>
        <v>-</v>
      </c>
    </row>
    <row r="7492" customHeight="1" spans="2:2">
      <c r="B7492" s="62" t="str">
        <f>IF(AND('领用录入（明细）'!D:D=$F$4,'领用录入（明细）'!C:C&gt;=$J$4,'领用录入（明细）'!C:C&lt;=$L$4),ROW(),"-")</f>
        <v>-</v>
      </c>
    </row>
    <row r="7493" customHeight="1" spans="2:2">
      <c r="B7493" s="62" t="str">
        <f>IF(AND('领用录入（明细）'!D:D=$F$4,'领用录入（明细）'!C:C&gt;=$J$4,'领用录入（明细）'!C:C&lt;=$L$4),ROW(),"-")</f>
        <v>-</v>
      </c>
    </row>
    <row r="7494" customHeight="1" spans="2:2">
      <c r="B7494" s="62" t="str">
        <f>IF(AND('领用录入（明细）'!D:D=$F$4,'领用录入（明细）'!C:C&gt;=$J$4,'领用录入（明细）'!C:C&lt;=$L$4),ROW(),"-")</f>
        <v>-</v>
      </c>
    </row>
    <row r="7495" customHeight="1" spans="2:2">
      <c r="B7495" s="62" t="str">
        <f>IF(AND('领用录入（明细）'!D:D=$F$4,'领用录入（明细）'!C:C&gt;=$J$4,'领用录入（明细）'!C:C&lt;=$L$4),ROW(),"-")</f>
        <v>-</v>
      </c>
    </row>
    <row r="7496" customHeight="1" spans="2:2">
      <c r="B7496" s="62" t="str">
        <f>IF(AND('领用录入（明细）'!D:D=$F$4,'领用录入（明细）'!C:C&gt;=$J$4,'领用录入（明细）'!C:C&lt;=$L$4),ROW(),"-")</f>
        <v>-</v>
      </c>
    </row>
    <row r="7497" customHeight="1" spans="2:2">
      <c r="B7497" s="62" t="str">
        <f>IF(AND('领用录入（明细）'!D:D=$F$4,'领用录入（明细）'!C:C&gt;=$J$4,'领用录入（明细）'!C:C&lt;=$L$4),ROW(),"-")</f>
        <v>-</v>
      </c>
    </row>
    <row r="7498" customHeight="1" spans="2:2">
      <c r="B7498" s="62" t="str">
        <f>IF(AND('领用录入（明细）'!D:D=$F$4,'领用录入（明细）'!C:C&gt;=$J$4,'领用录入（明细）'!C:C&lt;=$L$4),ROW(),"-")</f>
        <v>-</v>
      </c>
    </row>
    <row r="7499" customHeight="1" spans="2:2">
      <c r="B7499" s="62" t="str">
        <f>IF(AND('领用录入（明细）'!D:D=$F$4,'领用录入（明细）'!C:C&gt;=$J$4,'领用录入（明细）'!C:C&lt;=$L$4),ROW(),"-")</f>
        <v>-</v>
      </c>
    </row>
    <row r="7500" customHeight="1" spans="2:2">
      <c r="B7500" s="62" t="str">
        <f>IF(AND('领用录入（明细）'!D:D=$F$4,'领用录入（明细）'!C:C&gt;=$J$4,'领用录入（明细）'!C:C&lt;=$L$4),ROW(),"-")</f>
        <v>-</v>
      </c>
    </row>
    <row r="7501" customHeight="1" spans="2:2">
      <c r="B7501" s="62" t="str">
        <f>IF(AND('领用录入（明细）'!D:D=$F$4,'领用录入（明细）'!C:C&gt;=$J$4,'领用录入（明细）'!C:C&lt;=$L$4),ROW(),"-")</f>
        <v>-</v>
      </c>
    </row>
    <row r="7502" customHeight="1" spans="2:2">
      <c r="B7502" s="62" t="str">
        <f>IF(AND('领用录入（明细）'!D:D=$F$4,'领用录入（明细）'!C:C&gt;=$J$4,'领用录入（明细）'!C:C&lt;=$L$4),ROW(),"-")</f>
        <v>-</v>
      </c>
    </row>
    <row r="7503" customHeight="1" spans="2:2">
      <c r="B7503" s="62" t="str">
        <f>IF(AND('领用录入（明细）'!D:D=$F$4,'领用录入（明细）'!C:C&gt;=$J$4,'领用录入（明细）'!C:C&lt;=$L$4),ROW(),"-")</f>
        <v>-</v>
      </c>
    </row>
    <row r="7504" customHeight="1" spans="2:2">
      <c r="B7504" s="62" t="str">
        <f>IF(AND('领用录入（明细）'!D:D=$F$4,'领用录入（明细）'!C:C&gt;=$J$4,'领用录入（明细）'!C:C&lt;=$L$4),ROW(),"-")</f>
        <v>-</v>
      </c>
    </row>
    <row r="7505" customHeight="1" spans="2:2">
      <c r="B7505" s="62" t="str">
        <f>IF(AND('领用录入（明细）'!D:D=$F$4,'领用录入（明细）'!C:C&gt;=$J$4,'领用录入（明细）'!C:C&lt;=$L$4),ROW(),"-")</f>
        <v>-</v>
      </c>
    </row>
    <row r="7506" customHeight="1" spans="2:2">
      <c r="B7506" s="62" t="str">
        <f>IF(AND('领用录入（明细）'!D:D=$F$4,'领用录入（明细）'!C:C&gt;=$J$4,'领用录入（明细）'!C:C&lt;=$L$4),ROW(),"-")</f>
        <v>-</v>
      </c>
    </row>
    <row r="7507" customHeight="1" spans="2:2">
      <c r="B7507" s="62" t="str">
        <f>IF(AND('领用录入（明细）'!D:D=$F$4,'领用录入（明细）'!C:C&gt;=$J$4,'领用录入（明细）'!C:C&lt;=$L$4),ROW(),"-")</f>
        <v>-</v>
      </c>
    </row>
    <row r="7508" customHeight="1" spans="2:2">
      <c r="B7508" s="62" t="str">
        <f>IF(AND('领用录入（明细）'!D:D=$F$4,'领用录入（明细）'!C:C&gt;=$J$4,'领用录入（明细）'!C:C&lt;=$L$4),ROW(),"-")</f>
        <v>-</v>
      </c>
    </row>
    <row r="7509" customHeight="1" spans="2:2">
      <c r="B7509" s="62" t="str">
        <f>IF(AND('领用录入（明细）'!D:D=$F$4,'领用录入（明细）'!C:C&gt;=$J$4,'领用录入（明细）'!C:C&lt;=$L$4),ROW(),"-")</f>
        <v>-</v>
      </c>
    </row>
    <row r="7510" customHeight="1" spans="2:2">
      <c r="B7510" s="62" t="str">
        <f>IF(AND('领用录入（明细）'!D:D=$F$4,'领用录入（明细）'!C:C&gt;=$J$4,'领用录入（明细）'!C:C&lt;=$L$4),ROW(),"-")</f>
        <v>-</v>
      </c>
    </row>
    <row r="7511" customHeight="1" spans="2:2">
      <c r="B7511" s="62" t="str">
        <f>IF(AND('领用录入（明细）'!D:D=$F$4,'领用录入（明细）'!C:C&gt;=$J$4,'领用录入（明细）'!C:C&lt;=$L$4),ROW(),"-")</f>
        <v>-</v>
      </c>
    </row>
    <row r="7512" customHeight="1" spans="2:2">
      <c r="B7512" s="62" t="str">
        <f>IF(AND('领用录入（明细）'!D:D=$F$4,'领用录入（明细）'!C:C&gt;=$J$4,'领用录入（明细）'!C:C&lt;=$L$4),ROW(),"-")</f>
        <v>-</v>
      </c>
    </row>
    <row r="7513" customHeight="1" spans="2:2">
      <c r="B7513" s="62" t="str">
        <f>IF(AND('领用录入（明细）'!D:D=$F$4,'领用录入（明细）'!C:C&gt;=$J$4,'领用录入（明细）'!C:C&lt;=$L$4),ROW(),"-")</f>
        <v>-</v>
      </c>
    </row>
    <row r="7514" customHeight="1" spans="2:2">
      <c r="B7514" s="62" t="str">
        <f>IF(AND('领用录入（明细）'!D:D=$F$4,'领用录入（明细）'!C:C&gt;=$J$4,'领用录入（明细）'!C:C&lt;=$L$4),ROW(),"-")</f>
        <v>-</v>
      </c>
    </row>
    <row r="7515" customHeight="1" spans="2:2">
      <c r="B7515" s="62" t="str">
        <f>IF(AND('领用录入（明细）'!D:D=$F$4,'领用录入（明细）'!C:C&gt;=$J$4,'领用录入（明细）'!C:C&lt;=$L$4),ROW(),"-")</f>
        <v>-</v>
      </c>
    </row>
    <row r="7516" customHeight="1" spans="2:2">
      <c r="B7516" s="62" t="str">
        <f>IF(AND('领用录入（明细）'!D:D=$F$4,'领用录入（明细）'!C:C&gt;=$J$4,'领用录入（明细）'!C:C&lt;=$L$4),ROW(),"-")</f>
        <v>-</v>
      </c>
    </row>
    <row r="7517" customHeight="1" spans="2:2">
      <c r="B7517" s="62" t="str">
        <f>IF(AND('领用录入（明细）'!D:D=$F$4,'领用录入（明细）'!C:C&gt;=$J$4,'领用录入（明细）'!C:C&lt;=$L$4),ROW(),"-")</f>
        <v>-</v>
      </c>
    </row>
    <row r="7518" customHeight="1" spans="2:2">
      <c r="B7518" s="62" t="str">
        <f>IF(AND('领用录入（明细）'!D:D=$F$4,'领用录入（明细）'!C:C&gt;=$J$4,'领用录入（明细）'!C:C&lt;=$L$4),ROW(),"-")</f>
        <v>-</v>
      </c>
    </row>
    <row r="7519" customHeight="1" spans="2:2">
      <c r="B7519" s="62" t="str">
        <f>IF(AND('领用录入（明细）'!D:D=$F$4,'领用录入（明细）'!C:C&gt;=$J$4,'领用录入（明细）'!C:C&lt;=$L$4),ROW(),"-")</f>
        <v>-</v>
      </c>
    </row>
    <row r="7520" customHeight="1" spans="2:2">
      <c r="B7520" s="62" t="str">
        <f>IF(AND('领用录入（明细）'!D:D=$F$4,'领用录入（明细）'!C:C&gt;=$J$4,'领用录入（明细）'!C:C&lt;=$L$4),ROW(),"-")</f>
        <v>-</v>
      </c>
    </row>
    <row r="7521" customHeight="1" spans="2:2">
      <c r="B7521" s="62" t="str">
        <f>IF(AND('领用录入（明细）'!D:D=$F$4,'领用录入（明细）'!C:C&gt;=$J$4,'领用录入（明细）'!C:C&lt;=$L$4),ROW(),"-")</f>
        <v>-</v>
      </c>
    </row>
    <row r="7522" customHeight="1" spans="2:2">
      <c r="B7522" s="62" t="str">
        <f>IF(AND('领用录入（明细）'!D:D=$F$4,'领用录入（明细）'!C:C&gt;=$J$4,'领用录入（明细）'!C:C&lt;=$L$4),ROW(),"-")</f>
        <v>-</v>
      </c>
    </row>
    <row r="7523" customHeight="1" spans="2:2">
      <c r="B7523" s="62" t="str">
        <f>IF(AND('领用录入（明细）'!D:D=$F$4,'领用录入（明细）'!C:C&gt;=$J$4,'领用录入（明细）'!C:C&lt;=$L$4),ROW(),"-")</f>
        <v>-</v>
      </c>
    </row>
    <row r="7524" customHeight="1" spans="2:2">
      <c r="B7524" s="62" t="str">
        <f>IF(AND('领用录入（明细）'!D:D=$F$4,'领用录入（明细）'!C:C&gt;=$J$4,'领用录入（明细）'!C:C&lt;=$L$4),ROW(),"-")</f>
        <v>-</v>
      </c>
    </row>
    <row r="7525" customHeight="1" spans="2:2">
      <c r="B7525" s="62" t="str">
        <f>IF(AND('领用录入（明细）'!D:D=$F$4,'领用录入（明细）'!C:C&gt;=$J$4,'领用录入（明细）'!C:C&lt;=$L$4),ROW(),"-")</f>
        <v>-</v>
      </c>
    </row>
    <row r="7526" customHeight="1" spans="2:2">
      <c r="B7526" s="62" t="str">
        <f>IF(AND('领用录入（明细）'!D:D=$F$4,'领用录入（明细）'!C:C&gt;=$J$4,'领用录入（明细）'!C:C&lt;=$L$4),ROW(),"-")</f>
        <v>-</v>
      </c>
    </row>
    <row r="7527" customHeight="1" spans="2:2">
      <c r="B7527" s="62" t="str">
        <f>IF(AND('领用录入（明细）'!D:D=$F$4,'领用录入（明细）'!C:C&gt;=$J$4,'领用录入（明细）'!C:C&lt;=$L$4),ROW(),"-")</f>
        <v>-</v>
      </c>
    </row>
    <row r="7528" customHeight="1" spans="2:2">
      <c r="B7528" s="62" t="str">
        <f>IF(AND('领用录入（明细）'!D:D=$F$4,'领用录入（明细）'!C:C&gt;=$J$4,'领用录入（明细）'!C:C&lt;=$L$4),ROW(),"-")</f>
        <v>-</v>
      </c>
    </row>
    <row r="7529" customHeight="1" spans="2:2">
      <c r="B7529" s="62" t="str">
        <f>IF(AND('领用录入（明细）'!D:D=$F$4,'领用录入（明细）'!C:C&gt;=$J$4,'领用录入（明细）'!C:C&lt;=$L$4),ROW(),"-")</f>
        <v>-</v>
      </c>
    </row>
    <row r="7530" customHeight="1" spans="2:2">
      <c r="B7530" s="62" t="str">
        <f>IF(AND('领用录入（明细）'!D:D=$F$4,'领用录入（明细）'!C:C&gt;=$J$4,'领用录入（明细）'!C:C&lt;=$L$4),ROW(),"-")</f>
        <v>-</v>
      </c>
    </row>
    <row r="7531" customHeight="1" spans="2:2">
      <c r="B7531" s="62" t="str">
        <f>IF(AND('领用录入（明细）'!D:D=$F$4,'领用录入（明细）'!C:C&gt;=$J$4,'领用录入（明细）'!C:C&lt;=$L$4),ROW(),"-")</f>
        <v>-</v>
      </c>
    </row>
    <row r="7532" customHeight="1" spans="2:2">
      <c r="B7532" s="62" t="str">
        <f>IF(AND('领用录入（明细）'!D:D=$F$4,'领用录入（明细）'!C:C&gt;=$J$4,'领用录入（明细）'!C:C&lt;=$L$4),ROW(),"-")</f>
        <v>-</v>
      </c>
    </row>
    <row r="7533" customHeight="1" spans="2:2">
      <c r="B7533" s="62" t="str">
        <f>IF(AND('领用录入（明细）'!D:D=$F$4,'领用录入（明细）'!C:C&gt;=$J$4,'领用录入（明细）'!C:C&lt;=$L$4),ROW(),"-")</f>
        <v>-</v>
      </c>
    </row>
    <row r="7534" customHeight="1" spans="2:2">
      <c r="B7534" s="62" t="str">
        <f>IF(AND('领用录入（明细）'!D:D=$F$4,'领用录入（明细）'!C:C&gt;=$J$4,'领用录入（明细）'!C:C&lt;=$L$4),ROW(),"-")</f>
        <v>-</v>
      </c>
    </row>
    <row r="7535" customHeight="1" spans="2:2">
      <c r="B7535" s="62" t="str">
        <f>IF(AND('领用录入（明细）'!D:D=$F$4,'领用录入（明细）'!C:C&gt;=$J$4,'领用录入（明细）'!C:C&lt;=$L$4),ROW(),"-")</f>
        <v>-</v>
      </c>
    </row>
    <row r="7536" customHeight="1" spans="2:2">
      <c r="B7536" s="62" t="str">
        <f>IF(AND('领用录入（明细）'!D:D=$F$4,'领用录入（明细）'!C:C&gt;=$J$4,'领用录入（明细）'!C:C&lt;=$L$4),ROW(),"-")</f>
        <v>-</v>
      </c>
    </row>
    <row r="7537" customHeight="1" spans="2:2">
      <c r="B7537" s="62" t="str">
        <f>IF(AND('领用录入（明细）'!D:D=$F$4,'领用录入（明细）'!C:C&gt;=$J$4,'领用录入（明细）'!C:C&lt;=$L$4),ROW(),"-")</f>
        <v>-</v>
      </c>
    </row>
    <row r="7538" customHeight="1" spans="2:2">
      <c r="B7538" s="62" t="str">
        <f>IF(AND('领用录入（明细）'!D:D=$F$4,'领用录入（明细）'!C:C&gt;=$J$4,'领用录入（明细）'!C:C&lt;=$L$4),ROW(),"-")</f>
        <v>-</v>
      </c>
    </row>
    <row r="7539" customHeight="1" spans="2:2">
      <c r="B7539" s="62" t="str">
        <f>IF(AND('领用录入（明细）'!D:D=$F$4,'领用录入（明细）'!C:C&gt;=$J$4,'领用录入（明细）'!C:C&lt;=$L$4),ROW(),"-")</f>
        <v>-</v>
      </c>
    </row>
    <row r="7540" customHeight="1" spans="2:2">
      <c r="B7540" s="62" t="str">
        <f>IF(AND('领用录入（明细）'!D:D=$F$4,'领用录入（明细）'!C:C&gt;=$J$4,'领用录入（明细）'!C:C&lt;=$L$4),ROW(),"-")</f>
        <v>-</v>
      </c>
    </row>
    <row r="7541" customHeight="1" spans="2:2">
      <c r="B7541" s="62" t="str">
        <f>IF(AND('领用录入（明细）'!D:D=$F$4,'领用录入（明细）'!C:C&gt;=$J$4,'领用录入（明细）'!C:C&lt;=$L$4),ROW(),"-")</f>
        <v>-</v>
      </c>
    </row>
    <row r="7542" customHeight="1" spans="2:2">
      <c r="B7542" s="62" t="str">
        <f>IF(AND('领用录入（明细）'!D:D=$F$4,'领用录入（明细）'!C:C&gt;=$J$4,'领用录入（明细）'!C:C&lt;=$L$4),ROW(),"-")</f>
        <v>-</v>
      </c>
    </row>
    <row r="7543" customHeight="1" spans="2:2">
      <c r="B7543" s="62" t="str">
        <f>IF(AND('领用录入（明细）'!D:D=$F$4,'领用录入（明细）'!C:C&gt;=$J$4,'领用录入（明细）'!C:C&lt;=$L$4),ROW(),"-")</f>
        <v>-</v>
      </c>
    </row>
    <row r="7544" customHeight="1" spans="2:2">
      <c r="B7544" s="62" t="str">
        <f>IF(AND('领用录入（明细）'!D:D=$F$4,'领用录入（明细）'!C:C&gt;=$J$4,'领用录入（明细）'!C:C&lt;=$L$4),ROW(),"-")</f>
        <v>-</v>
      </c>
    </row>
    <row r="7545" customHeight="1" spans="2:2">
      <c r="B7545" s="62" t="str">
        <f>IF(AND('领用录入（明细）'!D:D=$F$4,'领用录入（明细）'!C:C&gt;=$J$4,'领用录入（明细）'!C:C&lt;=$L$4),ROW(),"-")</f>
        <v>-</v>
      </c>
    </row>
    <row r="7546" customHeight="1" spans="2:2">
      <c r="B7546" s="62" t="str">
        <f>IF(AND('领用录入（明细）'!D:D=$F$4,'领用录入（明细）'!C:C&gt;=$J$4,'领用录入（明细）'!C:C&lt;=$L$4),ROW(),"-")</f>
        <v>-</v>
      </c>
    </row>
    <row r="7547" customHeight="1" spans="2:2">
      <c r="B7547" s="62" t="str">
        <f>IF(AND('领用录入（明细）'!D:D=$F$4,'领用录入（明细）'!C:C&gt;=$J$4,'领用录入（明细）'!C:C&lt;=$L$4),ROW(),"-")</f>
        <v>-</v>
      </c>
    </row>
    <row r="7548" customHeight="1" spans="2:2">
      <c r="B7548" s="62" t="str">
        <f>IF(AND('领用录入（明细）'!D:D=$F$4,'领用录入（明细）'!C:C&gt;=$J$4,'领用录入（明细）'!C:C&lt;=$L$4),ROW(),"-")</f>
        <v>-</v>
      </c>
    </row>
    <row r="7549" customHeight="1" spans="2:2">
      <c r="B7549" s="62" t="str">
        <f>IF(AND('领用录入（明细）'!D:D=$F$4,'领用录入（明细）'!C:C&gt;=$J$4,'领用录入（明细）'!C:C&lt;=$L$4),ROW(),"-")</f>
        <v>-</v>
      </c>
    </row>
    <row r="7550" customHeight="1" spans="2:2">
      <c r="B7550" s="62" t="str">
        <f>IF(AND('领用录入（明细）'!D:D=$F$4,'领用录入（明细）'!C:C&gt;=$J$4,'领用录入（明细）'!C:C&lt;=$L$4),ROW(),"-")</f>
        <v>-</v>
      </c>
    </row>
    <row r="7551" customHeight="1" spans="2:2">
      <c r="B7551" s="62" t="str">
        <f>IF(AND('领用录入（明细）'!D:D=$F$4,'领用录入（明细）'!C:C&gt;=$J$4,'领用录入（明细）'!C:C&lt;=$L$4),ROW(),"-")</f>
        <v>-</v>
      </c>
    </row>
    <row r="7552" customHeight="1" spans="2:2">
      <c r="B7552" s="62" t="str">
        <f>IF(AND('领用录入（明细）'!D:D=$F$4,'领用录入（明细）'!C:C&gt;=$J$4,'领用录入（明细）'!C:C&lt;=$L$4),ROW(),"-")</f>
        <v>-</v>
      </c>
    </row>
    <row r="7553" customHeight="1" spans="2:2">
      <c r="B7553" s="62" t="str">
        <f>IF(AND('领用录入（明细）'!D:D=$F$4,'领用录入（明细）'!C:C&gt;=$J$4,'领用录入（明细）'!C:C&lt;=$L$4),ROW(),"-")</f>
        <v>-</v>
      </c>
    </row>
    <row r="7554" customHeight="1" spans="2:2">
      <c r="B7554" s="62" t="str">
        <f>IF(AND('领用录入（明细）'!D:D=$F$4,'领用录入（明细）'!C:C&gt;=$J$4,'领用录入（明细）'!C:C&lt;=$L$4),ROW(),"-")</f>
        <v>-</v>
      </c>
    </row>
    <row r="7555" customHeight="1" spans="2:2">
      <c r="B7555" s="62" t="str">
        <f>IF(AND('领用录入（明细）'!D:D=$F$4,'领用录入（明细）'!C:C&gt;=$J$4,'领用录入（明细）'!C:C&lt;=$L$4),ROW(),"-")</f>
        <v>-</v>
      </c>
    </row>
    <row r="7556" customHeight="1" spans="2:2">
      <c r="B7556" s="62" t="str">
        <f>IF(AND('领用录入（明细）'!D:D=$F$4,'领用录入（明细）'!C:C&gt;=$J$4,'领用录入（明细）'!C:C&lt;=$L$4),ROW(),"-")</f>
        <v>-</v>
      </c>
    </row>
    <row r="7557" customHeight="1" spans="2:2">
      <c r="B7557" s="62" t="str">
        <f>IF(AND('领用录入（明细）'!D:D=$F$4,'领用录入（明细）'!C:C&gt;=$J$4,'领用录入（明细）'!C:C&lt;=$L$4),ROW(),"-")</f>
        <v>-</v>
      </c>
    </row>
    <row r="7558" customHeight="1" spans="2:2">
      <c r="B7558" s="62" t="str">
        <f>IF(AND('领用录入（明细）'!D:D=$F$4,'领用录入（明细）'!C:C&gt;=$J$4,'领用录入（明细）'!C:C&lt;=$L$4),ROW(),"-")</f>
        <v>-</v>
      </c>
    </row>
    <row r="7559" customHeight="1" spans="2:2">
      <c r="B7559" s="62" t="str">
        <f>IF(AND('领用录入（明细）'!D:D=$F$4,'领用录入（明细）'!C:C&gt;=$J$4,'领用录入（明细）'!C:C&lt;=$L$4),ROW(),"-")</f>
        <v>-</v>
      </c>
    </row>
    <row r="7560" customHeight="1" spans="2:2">
      <c r="B7560" s="62" t="str">
        <f>IF(AND('领用录入（明细）'!D:D=$F$4,'领用录入（明细）'!C:C&gt;=$J$4,'领用录入（明细）'!C:C&lt;=$L$4),ROW(),"-")</f>
        <v>-</v>
      </c>
    </row>
    <row r="7561" customHeight="1" spans="2:2">
      <c r="B7561" s="62" t="str">
        <f>IF(AND('领用录入（明细）'!D:D=$F$4,'领用录入（明细）'!C:C&gt;=$J$4,'领用录入（明细）'!C:C&lt;=$L$4),ROW(),"-")</f>
        <v>-</v>
      </c>
    </row>
    <row r="7562" customHeight="1" spans="2:2">
      <c r="B7562" s="62" t="str">
        <f>IF(AND('领用录入（明细）'!D:D=$F$4,'领用录入（明细）'!C:C&gt;=$J$4,'领用录入（明细）'!C:C&lt;=$L$4),ROW(),"-")</f>
        <v>-</v>
      </c>
    </row>
    <row r="7563" customHeight="1" spans="2:2">
      <c r="B7563" s="62" t="str">
        <f>IF(AND('领用录入（明细）'!D:D=$F$4,'领用录入（明细）'!C:C&gt;=$J$4,'领用录入（明细）'!C:C&lt;=$L$4),ROW(),"-")</f>
        <v>-</v>
      </c>
    </row>
    <row r="7564" customHeight="1" spans="2:2">
      <c r="B7564" s="62" t="str">
        <f>IF(AND('领用录入（明细）'!D:D=$F$4,'领用录入（明细）'!C:C&gt;=$J$4,'领用录入（明细）'!C:C&lt;=$L$4),ROW(),"-")</f>
        <v>-</v>
      </c>
    </row>
    <row r="7565" customHeight="1" spans="2:2">
      <c r="B7565" s="62" t="str">
        <f>IF(AND('领用录入（明细）'!D:D=$F$4,'领用录入（明细）'!C:C&gt;=$J$4,'领用录入（明细）'!C:C&lt;=$L$4),ROW(),"-")</f>
        <v>-</v>
      </c>
    </row>
    <row r="7566" customHeight="1" spans="2:2">
      <c r="B7566" s="62" t="str">
        <f>IF(AND('领用录入（明细）'!D:D=$F$4,'领用录入（明细）'!C:C&gt;=$J$4,'领用录入（明细）'!C:C&lt;=$L$4),ROW(),"-")</f>
        <v>-</v>
      </c>
    </row>
    <row r="7567" customHeight="1" spans="2:2">
      <c r="B7567" s="62" t="str">
        <f>IF(AND('领用录入（明细）'!D:D=$F$4,'领用录入（明细）'!C:C&gt;=$J$4,'领用录入（明细）'!C:C&lt;=$L$4),ROW(),"-")</f>
        <v>-</v>
      </c>
    </row>
    <row r="7568" customHeight="1" spans="2:2">
      <c r="B7568" s="62" t="str">
        <f>IF(AND('领用录入（明细）'!D:D=$F$4,'领用录入（明细）'!C:C&gt;=$J$4,'领用录入（明细）'!C:C&lt;=$L$4),ROW(),"-")</f>
        <v>-</v>
      </c>
    </row>
    <row r="7569" customHeight="1" spans="2:2">
      <c r="B7569" s="62" t="str">
        <f>IF(AND('领用录入（明细）'!D:D=$F$4,'领用录入（明细）'!C:C&gt;=$J$4,'领用录入（明细）'!C:C&lt;=$L$4),ROW(),"-")</f>
        <v>-</v>
      </c>
    </row>
    <row r="7570" customHeight="1" spans="2:2">
      <c r="B7570" s="62" t="str">
        <f>IF(AND('领用录入（明细）'!D:D=$F$4,'领用录入（明细）'!C:C&gt;=$J$4,'领用录入（明细）'!C:C&lt;=$L$4),ROW(),"-")</f>
        <v>-</v>
      </c>
    </row>
    <row r="7571" customHeight="1" spans="2:2">
      <c r="B7571" s="62" t="str">
        <f>IF(AND('领用录入（明细）'!D:D=$F$4,'领用录入（明细）'!C:C&gt;=$J$4,'领用录入（明细）'!C:C&lt;=$L$4),ROW(),"-")</f>
        <v>-</v>
      </c>
    </row>
    <row r="7572" customHeight="1" spans="2:2">
      <c r="B7572" s="62" t="str">
        <f>IF(AND('领用录入（明细）'!D:D=$F$4,'领用录入（明细）'!C:C&gt;=$J$4,'领用录入（明细）'!C:C&lt;=$L$4),ROW(),"-")</f>
        <v>-</v>
      </c>
    </row>
    <row r="7573" customHeight="1" spans="2:2">
      <c r="B7573" s="62" t="str">
        <f>IF(AND('领用录入（明细）'!D:D=$F$4,'领用录入（明细）'!C:C&gt;=$J$4,'领用录入（明细）'!C:C&lt;=$L$4),ROW(),"-")</f>
        <v>-</v>
      </c>
    </row>
    <row r="7574" customHeight="1" spans="2:2">
      <c r="B7574" s="62" t="str">
        <f>IF(AND('领用录入（明细）'!D:D=$F$4,'领用录入（明细）'!C:C&gt;=$J$4,'领用录入（明细）'!C:C&lt;=$L$4),ROW(),"-")</f>
        <v>-</v>
      </c>
    </row>
    <row r="7575" customHeight="1" spans="2:2">
      <c r="B7575" s="62" t="str">
        <f>IF(AND('领用录入（明细）'!D:D=$F$4,'领用录入（明细）'!C:C&gt;=$J$4,'领用录入（明细）'!C:C&lt;=$L$4),ROW(),"-")</f>
        <v>-</v>
      </c>
    </row>
    <row r="7576" customHeight="1" spans="2:2">
      <c r="B7576" s="62" t="str">
        <f>IF(AND('领用录入（明细）'!D:D=$F$4,'领用录入（明细）'!C:C&gt;=$J$4,'领用录入（明细）'!C:C&lt;=$L$4),ROW(),"-")</f>
        <v>-</v>
      </c>
    </row>
    <row r="7577" customHeight="1" spans="2:2">
      <c r="B7577" s="62" t="str">
        <f>IF(AND('领用录入（明细）'!D:D=$F$4,'领用录入（明细）'!C:C&gt;=$J$4,'领用录入（明细）'!C:C&lt;=$L$4),ROW(),"-")</f>
        <v>-</v>
      </c>
    </row>
    <row r="7578" customHeight="1" spans="2:2">
      <c r="B7578" s="62" t="str">
        <f>IF(AND('领用录入（明细）'!D:D=$F$4,'领用录入（明细）'!C:C&gt;=$J$4,'领用录入（明细）'!C:C&lt;=$L$4),ROW(),"-")</f>
        <v>-</v>
      </c>
    </row>
    <row r="7579" customHeight="1" spans="2:2">
      <c r="B7579" s="62" t="str">
        <f>IF(AND('领用录入（明细）'!D:D=$F$4,'领用录入（明细）'!C:C&gt;=$J$4,'领用录入（明细）'!C:C&lt;=$L$4),ROW(),"-")</f>
        <v>-</v>
      </c>
    </row>
    <row r="7580" customHeight="1" spans="2:2">
      <c r="B7580" s="62" t="str">
        <f>IF(AND('领用录入（明细）'!D:D=$F$4,'领用录入（明细）'!C:C&gt;=$J$4,'领用录入（明细）'!C:C&lt;=$L$4),ROW(),"-")</f>
        <v>-</v>
      </c>
    </row>
    <row r="7581" customHeight="1" spans="2:2">
      <c r="B7581" s="62" t="str">
        <f>IF(AND('领用录入（明细）'!D:D=$F$4,'领用录入（明细）'!C:C&gt;=$J$4,'领用录入（明细）'!C:C&lt;=$L$4),ROW(),"-")</f>
        <v>-</v>
      </c>
    </row>
    <row r="7582" customHeight="1" spans="2:2">
      <c r="B7582" s="62" t="str">
        <f>IF(AND('领用录入（明细）'!D:D=$F$4,'领用录入（明细）'!C:C&gt;=$J$4,'领用录入（明细）'!C:C&lt;=$L$4),ROW(),"-")</f>
        <v>-</v>
      </c>
    </row>
    <row r="7583" customHeight="1" spans="2:2">
      <c r="B7583" s="62" t="str">
        <f>IF(AND('领用录入（明细）'!D:D=$F$4,'领用录入（明细）'!C:C&gt;=$J$4,'领用录入（明细）'!C:C&lt;=$L$4),ROW(),"-")</f>
        <v>-</v>
      </c>
    </row>
    <row r="7584" customHeight="1" spans="2:2">
      <c r="B7584" s="62" t="str">
        <f>IF(AND('领用录入（明细）'!D:D=$F$4,'领用录入（明细）'!C:C&gt;=$J$4,'领用录入（明细）'!C:C&lt;=$L$4),ROW(),"-")</f>
        <v>-</v>
      </c>
    </row>
    <row r="7585" customHeight="1" spans="2:2">
      <c r="B7585" s="62" t="str">
        <f>IF(AND('领用录入（明细）'!D:D=$F$4,'领用录入（明细）'!C:C&gt;=$J$4,'领用录入（明细）'!C:C&lt;=$L$4),ROW(),"-")</f>
        <v>-</v>
      </c>
    </row>
    <row r="7586" customHeight="1" spans="2:2">
      <c r="B7586" s="62" t="str">
        <f>IF(AND('领用录入（明细）'!D:D=$F$4,'领用录入（明细）'!C:C&gt;=$J$4,'领用录入（明细）'!C:C&lt;=$L$4),ROW(),"-")</f>
        <v>-</v>
      </c>
    </row>
    <row r="7587" customHeight="1" spans="2:2">
      <c r="B7587" s="62" t="str">
        <f>IF(AND('领用录入（明细）'!D:D=$F$4,'领用录入（明细）'!C:C&gt;=$J$4,'领用录入（明细）'!C:C&lt;=$L$4),ROW(),"-")</f>
        <v>-</v>
      </c>
    </row>
    <row r="7588" customHeight="1" spans="2:2">
      <c r="B7588" s="62" t="str">
        <f>IF(AND('领用录入（明细）'!D:D=$F$4,'领用录入（明细）'!C:C&gt;=$J$4,'领用录入（明细）'!C:C&lt;=$L$4),ROW(),"-")</f>
        <v>-</v>
      </c>
    </row>
    <row r="7589" customHeight="1" spans="2:2">
      <c r="B7589" s="62" t="str">
        <f>IF(AND('领用录入（明细）'!D:D=$F$4,'领用录入（明细）'!C:C&gt;=$J$4,'领用录入（明细）'!C:C&lt;=$L$4),ROW(),"-")</f>
        <v>-</v>
      </c>
    </row>
    <row r="7590" customHeight="1" spans="2:2">
      <c r="B7590" s="62" t="str">
        <f>IF(AND('领用录入（明细）'!D:D=$F$4,'领用录入（明细）'!C:C&gt;=$J$4,'领用录入（明细）'!C:C&lt;=$L$4),ROW(),"-")</f>
        <v>-</v>
      </c>
    </row>
    <row r="7591" customHeight="1" spans="2:2">
      <c r="B7591" s="62" t="str">
        <f>IF(AND('领用录入（明细）'!D:D=$F$4,'领用录入（明细）'!C:C&gt;=$J$4,'领用录入（明细）'!C:C&lt;=$L$4),ROW(),"-")</f>
        <v>-</v>
      </c>
    </row>
    <row r="7592" customHeight="1" spans="2:2">
      <c r="B7592" s="62" t="str">
        <f>IF(AND('领用录入（明细）'!D:D=$F$4,'领用录入（明细）'!C:C&gt;=$J$4,'领用录入（明细）'!C:C&lt;=$L$4),ROW(),"-")</f>
        <v>-</v>
      </c>
    </row>
    <row r="7593" customHeight="1" spans="2:2">
      <c r="B7593" s="62" t="str">
        <f>IF(AND('领用录入（明细）'!D:D=$F$4,'领用录入（明细）'!C:C&gt;=$J$4,'领用录入（明细）'!C:C&lt;=$L$4),ROW(),"-")</f>
        <v>-</v>
      </c>
    </row>
    <row r="7594" customHeight="1" spans="2:2">
      <c r="B7594" s="62" t="str">
        <f>IF(AND('领用录入（明细）'!D:D=$F$4,'领用录入（明细）'!C:C&gt;=$J$4,'领用录入（明细）'!C:C&lt;=$L$4),ROW(),"-")</f>
        <v>-</v>
      </c>
    </row>
    <row r="7595" customHeight="1" spans="2:2">
      <c r="B7595" s="62" t="str">
        <f>IF(AND('领用录入（明细）'!D:D=$F$4,'领用录入（明细）'!C:C&gt;=$J$4,'领用录入（明细）'!C:C&lt;=$L$4),ROW(),"-")</f>
        <v>-</v>
      </c>
    </row>
    <row r="7596" customHeight="1" spans="2:2">
      <c r="B7596" s="62" t="str">
        <f>IF(AND('领用录入（明细）'!D:D=$F$4,'领用录入（明细）'!C:C&gt;=$J$4,'领用录入（明细）'!C:C&lt;=$L$4),ROW(),"-")</f>
        <v>-</v>
      </c>
    </row>
    <row r="7597" customHeight="1" spans="2:2">
      <c r="B7597" s="62" t="str">
        <f>IF(AND('领用录入（明细）'!D:D=$F$4,'领用录入（明细）'!C:C&gt;=$J$4,'领用录入（明细）'!C:C&lt;=$L$4),ROW(),"-")</f>
        <v>-</v>
      </c>
    </row>
    <row r="7598" customHeight="1" spans="2:2">
      <c r="B7598" s="62" t="str">
        <f>IF(AND('领用录入（明细）'!D:D=$F$4,'领用录入（明细）'!C:C&gt;=$J$4,'领用录入（明细）'!C:C&lt;=$L$4),ROW(),"-")</f>
        <v>-</v>
      </c>
    </row>
    <row r="7599" customHeight="1" spans="2:2">
      <c r="B7599" s="62" t="str">
        <f>IF(AND('领用录入（明细）'!D:D=$F$4,'领用录入（明细）'!C:C&gt;=$J$4,'领用录入（明细）'!C:C&lt;=$L$4),ROW(),"-")</f>
        <v>-</v>
      </c>
    </row>
    <row r="7600" customHeight="1" spans="2:2">
      <c r="B7600" s="62" t="str">
        <f>IF(AND('领用录入（明细）'!D:D=$F$4,'领用录入（明细）'!C:C&gt;=$J$4,'领用录入（明细）'!C:C&lt;=$L$4),ROW(),"-")</f>
        <v>-</v>
      </c>
    </row>
    <row r="7601" customHeight="1" spans="2:2">
      <c r="B7601" s="62" t="str">
        <f>IF(AND('领用录入（明细）'!D:D=$F$4,'领用录入（明细）'!C:C&gt;=$J$4,'领用录入（明细）'!C:C&lt;=$L$4),ROW(),"-")</f>
        <v>-</v>
      </c>
    </row>
    <row r="7602" customHeight="1" spans="2:2">
      <c r="B7602" s="62" t="str">
        <f>IF(AND('领用录入（明细）'!D:D=$F$4,'领用录入（明细）'!C:C&gt;=$J$4,'领用录入（明细）'!C:C&lt;=$L$4),ROW(),"-")</f>
        <v>-</v>
      </c>
    </row>
    <row r="7603" customHeight="1" spans="2:2">
      <c r="B7603" s="62" t="str">
        <f>IF(AND('领用录入（明细）'!D:D=$F$4,'领用录入（明细）'!C:C&gt;=$J$4,'领用录入（明细）'!C:C&lt;=$L$4),ROW(),"-")</f>
        <v>-</v>
      </c>
    </row>
    <row r="7604" customHeight="1" spans="2:2">
      <c r="B7604" s="62" t="str">
        <f>IF(AND('领用录入（明细）'!D:D=$F$4,'领用录入（明细）'!C:C&gt;=$J$4,'领用录入（明细）'!C:C&lt;=$L$4),ROW(),"-")</f>
        <v>-</v>
      </c>
    </row>
    <row r="7605" customHeight="1" spans="2:2">
      <c r="B7605" s="62" t="str">
        <f>IF(AND('领用录入（明细）'!D:D=$F$4,'领用录入（明细）'!C:C&gt;=$J$4,'领用录入（明细）'!C:C&lt;=$L$4),ROW(),"-")</f>
        <v>-</v>
      </c>
    </row>
    <row r="7606" customHeight="1" spans="2:2">
      <c r="B7606" s="62" t="str">
        <f>IF(AND('领用录入（明细）'!D:D=$F$4,'领用录入（明细）'!C:C&gt;=$J$4,'领用录入（明细）'!C:C&lt;=$L$4),ROW(),"-")</f>
        <v>-</v>
      </c>
    </row>
    <row r="7607" customHeight="1" spans="2:2">
      <c r="B7607" s="62" t="str">
        <f>IF(AND('领用录入（明细）'!D:D=$F$4,'领用录入（明细）'!C:C&gt;=$J$4,'领用录入（明细）'!C:C&lt;=$L$4),ROW(),"-")</f>
        <v>-</v>
      </c>
    </row>
    <row r="7608" customHeight="1" spans="2:2">
      <c r="B7608" s="62" t="str">
        <f>IF(AND('领用录入（明细）'!D:D=$F$4,'领用录入（明细）'!C:C&gt;=$J$4,'领用录入（明细）'!C:C&lt;=$L$4),ROW(),"-")</f>
        <v>-</v>
      </c>
    </row>
    <row r="7609" customHeight="1" spans="2:2">
      <c r="B7609" s="62" t="str">
        <f>IF(AND('领用录入（明细）'!D:D=$F$4,'领用录入（明细）'!C:C&gt;=$J$4,'领用录入（明细）'!C:C&lt;=$L$4),ROW(),"-")</f>
        <v>-</v>
      </c>
    </row>
    <row r="7610" customHeight="1" spans="2:2">
      <c r="B7610" s="62" t="str">
        <f>IF(AND('领用录入（明细）'!D:D=$F$4,'领用录入（明细）'!C:C&gt;=$J$4,'领用录入（明细）'!C:C&lt;=$L$4),ROW(),"-")</f>
        <v>-</v>
      </c>
    </row>
    <row r="7611" customHeight="1" spans="2:2">
      <c r="B7611" s="62" t="str">
        <f>IF(AND('领用录入（明细）'!D:D=$F$4,'领用录入（明细）'!C:C&gt;=$J$4,'领用录入（明细）'!C:C&lt;=$L$4),ROW(),"-")</f>
        <v>-</v>
      </c>
    </row>
    <row r="7612" customHeight="1" spans="2:2">
      <c r="B7612" s="62" t="str">
        <f>IF(AND('领用录入（明细）'!D:D=$F$4,'领用录入（明细）'!C:C&gt;=$J$4,'领用录入（明细）'!C:C&lt;=$L$4),ROW(),"-")</f>
        <v>-</v>
      </c>
    </row>
    <row r="7613" customHeight="1" spans="2:2">
      <c r="B7613" s="62" t="str">
        <f>IF(AND('领用录入（明细）'!D:D=$F$4,'领用录入（明细）'!C:C&gt;=$J$4,'领用录入（明细）'!C:C&lt;=$L$4),ROW(),"-")</f>
        <v>-</v>
      </c>
    </row>
    <row r="7614" customHeight="1" spans="2:2">
      <c r="B7614" s="62" t="str">
        <f>IF(AND('领用录入（明细）'!D:D=$F$4,'领用录入（明细）'!C:C&gt;=$J$4,'领用录入（明细）'!C:C&lt;=$L$4),ROW(),"-")</f>
        <v>-</v>
      </c>
    </row>
    <row r="7615" customHeight="1" spans="2:2">
      <c r="B7615" s="62" t="str">
        <f>IF(AND('领用录入（明细）'!D:D=$F$4,'领用录入（明细）'!C:C&gt;=$J$4,'领用录入（明细）'!C:C&lt;=$L$4),ROW(),"-")</f>
        <v>-</v>
      </c>
    </row>
    <row r="7616" customHeight="1" spans="2:2">
      <c r="B7616" s="62" t="str">
        <f>IF(AND('领用录入（明细）'!D:D=$F$4,'领用录入（明细）'!C:C&gt;=$J$4,'领用录入（明细）'!C:C&lt;=$L$4),ROW(),"-")</f>
        <v>-</v>
      </c>
    </row>
    <row r="7617" customHeight="1" spans="2:2">
      <c r="B7617" s="62" t="str">
        <f>IF(AND('领用录入（明细）'!D:D=$F$4,'领用录入（明细）'!C:C&gt;=$J$4,'领用录入（明细）'!C:C&lt;=$L$4),ROW(),"-")</f>
        <v>-</v>
      </c>
    </row>
    <row r="7618" customHeight="1" spans="2:2">
      <c r="B7618" s="62" t="str">
        <f>IF(AND('领用录入（明细）'!D:D=$F$4,'领用录入（明细）'!C:C&gt;=$J$4,'领用录入（明细）'!C:C&lt;=$L$4),ROW(),"-")</f>
        <v>-</v>
      </c>
    </row>
    <row r="7619" customHeight="1" spans="2:2">
      <c r="B7619" s="62" t="str">
        <f>IF(AND('领用录入（明细）'!D:D=$F$4,'领用录入（明细）'!C:C&gt;=$J$4,'领用录入（明细）'!C:C&lt;=$L$4),ROW(),"-")</f>
        <v>-</v>
      </c>
    </row>
    <row r="7620" customHeight="1" spans="2:2">
      <c r="B7620" s="62" t="str">
        <f>IF(AND('领用录入（明细）'!D:D=$F$4,'领用录入（明细）'!C:C&gt;=$J$4,'领用录入（明细）'!C:C&lt;=$L$4),ROW(),"-")</f>
        <v>-</v>
      </c>
    </row>
    <row r="7621" customHeight="1" spans="2:2">
      <c r="B7621" s="62" t="str">
        <f>IF(AND('领用录入（明细）'!D:D=$F$4,'领用录入（明细）'!C:C&gt;=$J$4,'领用录入（明细）'!C:C&lt;=$L$4),ROW(),"-")</f>
        <v>-</v>
      </c>
    </row>
    <row r="7622" customHeight="1" spans="2:2">
      <c r="B7622" s="62" t="str">
        <f>IF(AND('领用录入（明细）'!D:D=$F$4,'领用录入（明细）'!C:C&gt;=$J$4,'领用录入（明细）'!C:C&lt;=$L$4),ROW(),"-")</f>
        <v>-</v>
      </c>
    </row>
    <row r="7623" customHeight="1" spans="2:2">
      <c r="B7623" s="62" t="str">
        <f>IF(AND('领用录入（明细）'!D:D=$F$4,'领用录入（明细）'!C:C&gt;=$J$4,'领用录入（明细）'!C:C&lt;=$L$4),ROW(),"-")</f>
        <v>-</v>
      </c>
    </row>
    <row r="7624" customHeight="1" spans="2:2">
      <c r="B7624" s="62" t="str">
        <f>IF(AND('领用录入（明细）'!D:D=$F$4,'领用录入（明细）'!C:C&gt;=$J$4,'领用录入（明细）'!C:C&lt;=$L$4),ROW(),"-")</f>
        <v>-</v>
      </c>
    </row>
    <row r="7625" customHeight="1" spans="2:2">
      <c r="B7625" s="62" t="str">
        <f>IF(AND('领用录入（明细）'!D:D=$F$4,'领用录入（明细）'!C:C&gt;=$J$4,'领用录入（明细）'!C:C&lt;=$L$4),ROW(),"-")</f>
        <v>-</v>
      </c>
    </row>
    <row r="7626" customHeight="1" spans="2:2">
      <c r="B7626" s="62" t="str">
        <f>IF(AND('领用录入（明细）'!D:D=$F$4,'领用录入（明细）'!C:C&gt;=$J$4,'领用录入（明细）'!C:C&lt;=$L$4),ROW(),"-")</f>
        <v>-</v>
      </c>
    </row>
    <row r="7627" customHeight="1" spans="2:2">
      <c r="B7627" s="62" t="str">
        <f>IF(AND('领用录入（明细）'!D:D=$F$4,'领用录入（明细）'!C:C&gt;=$J$4,'领用录入（明细）'!C:C&lt;=$L$4),ROW(),"-")</f>
        <v>-</v>
      </c>
    </row>
    <row r="7628" customHeight="1" spans="2:2">
      <c r="B7628" s="62" t="str">
        <f>IF(AND('领用录入（明细）'!D:D=$F$4,'领用录入（明细）'!C:C&gt;=$J$4,'领用录入（明细）'!C:C&lt;=$L$4),ROW(),"-")</f>
        <v>-</v>
      </c>
    </row>
    <row r="7629" customHeight="1" spans="2:2">
      <c r="B7629" s="62" t="str">
        <f>IF(AND('领用录入（明细）'!D:D=$F$4,'领用录入（明细）'!C:C&gt;=$J$4,'领用录入（明细）'!C:C&lt;=$L$4),ROW(),"-")</f>
        <v>-</v>
      </c>
    </row>
    <row r="7630" customHeight="1" spans="2:2">
      <c r="B7630" s="62" t="str">
        <f>IF(AND('领用录入（明细）'!D:D=$F$4,'领用录入（明细）'!C:C&gt;=$J$4,'领用录入（明细）'!C:C&lt;=$L$4),ROW(),"-")</f>
        <v>-</v>
      </c>
    </row>
    <row r="7631" customHeight="1" spans="2:2">
      <c r="B7631" s="62" t="str">
        <f>IF(AND('领用录入（明细）'!D:D=$F$4,'领用录入（明细）'!C:C&gt;=$J$4,'领用录入（明细）'!C:C&lt;=$L$4),ROW(),"-")</f>
        <v>-</v>
      </c>
    </row>
    <row r="7632" customHeight="1" spans="2:2">
      <c r="B7632" s="62" t="str">
        <f>IF(AND('领用录入（明细）'!D:D=$F$4,'领用录入（明细）'!C:C&gt;=$J$4,'领用录入（明细）'!C:C&lt;=$L$4),ROW(),"-")</f>
        <v>-</v>
      </c>
    </row>
    <row r="7633" customHeight="1" spans="2:2">
      <c r="B7633" s="62" t="str">
        <f>IF(AND('领用录入（明细）'!D:D=$F$4,'领用录入（明细）'!C:C&gt;=$J$4,'领用录入（明细）'!C:C&lt;=$L$4),ROW(),"-")</f>
        <v>-</v>
      </c>
    </row>
    <row r="7634" customHeight="1" spans="2:2">
      <c r="B7634" s="62" t="str">
        <f>IF(AND('领用录入（明细）'!D:D=$F$4,'领用录入（明细）'!C:C&gt;=$J$4,'领用录入（明细）'!C:C&lt;=$L$4),ROW(),"-")</f>
        <v>-</v>
      </c>
    </row>
    <row r="7635" customHeight="1" spans="2:2">
      <c r="B7635" s="62" t="str">
        <f>IF(AND('领用录入（明细）'!D:D=$F$4,'领用录入（明细）'!C:C&gt;=$J$4,'领用录入（明细）'!C:C&lt;=$L$4),ROW(),"-")</f>
        <v>-</v>
      </c>
    </row>
    <row r="7636" customHeight="1" spans="2:2">
      <c r="B7636" s="62" t="str">
        <f>IF(AND('领用录入（明细）'!D:D=$F$4,'领用录入（明细）'!C:C&gt;=$J$4,'领用录入（明细）'!C:C&lt;=$L$4),ROW(),"-")</f>
        <v>-</v>
      </c>
    </row>
    <row r="7637" customHeight="1" spans="2:2">
      <c r="B7637" s="62" t="str">
        <f>IF(AND('领用录入（明细）'!D:D=$F$4,'领用录入（明细）'!C:C&gt;=$J$4,'领用录入（明细）'!C:C&lt;=$L$4),ROW(),"-")</f>
        <v>-</v>
      </c>
    </row>
    <row r="7638" customHeight="1" spans="2:2">
      <c r="B7638" s="62" t="str">
        <f>IF(AND('领用录入（明细）'!D:D=$F$4,'领用录入（明细）'!C:C&gt;=$J$4,'领用录入（明细）'!C:C&lt;=$L$4),ROW(),"-")</f>
        <v>-</v>
      </c>
    </row>
    <row r="7639" customHeight="1" spans="2:2">
      <c r="B7639" s="62" t="str">
        <f>IF(AND('领用录入（明细）'!D:D=$F$4,'领用录入（明细）'!C:C&gt;=$J$4,'领用录入（明细）'!C:C&lt;=$L$4),ROW(),"-")</f>
        <v>-</v>
      </c>
    </row>
    <row r="7640" customHeight="1" spans="2:2">
      <c r="B7640" s="62" t="str">
        <f>IF(AND('领用录入（明细）'!D:D=$F$4,'领用录入（明细）'!C:C&gt;=$J$4,'领用录入（明细）'!C:C&lt;=$L$4),ROW(),"-")</f>
        <v>-</v>
      </c>
    </row>
    <row r="7641" customHeight="1" spans="2:2">
      <c r="B7641" s="62" t="str">
        <f>IF(AND('领用录入（明细）'!D:D=$F$4,'领用录入（明细）'!C:C&gt;=$J$4,'领用录入（明细）'!C:C&lt;=$L$4),ROW(),"-")</f>
        <v>-</v>
      </c>
    </row>
    <row r="7642" customHeight="1" spans="2:2">
      <c r="B7642" s="62" t="str">
        <f>IF(AND('领用录入（明细）'!D:D=$F$4,'领用录入（明细）'!C:C&gt;=$J$4,'领用录入（明细）'!C:C&lt;=$L$4),ROW(),"-")</f>
        <v>-</v>
      </c>
    </row>
    <row r="7643" customHeight="1" spans="2:2">
      <c r="B7643" s="62" t="str">
        <f>IF(AND('领用录入（明细）'!D:D=$F$4,'领用录入（明细）'!C:C&gt;=$J$4,'领用录入（明细）'!C:C&lt;=$L$4),ROW(),"-")</f>
        <v>-</v>
      </c>
    </row>
    <row r="7644" customHeight="1" spans="2:2">
      <c r="B7644" s="62" t="str">
        <f>IF(AND('领用录入（明细）'!D:D=$F$4,'领用录入（明细）'!C:C&gt;=$J$4,'领用录入（明细）'!C:C&lt;=$L$4),ROW(),"-")</f>
        <v>-</v>
      </c>
    </row>
    <row r="7645" customHeight="1" spans="2:2">
      <c r="B7645" s="62" t="str">
        <f>IF(AND('领用录入（明细）'!D:D=$F$4,'领用录入（明细）'!C:C&gt;=$J$4,'领用录入（明细）'!C:C&lt;=$L$4),ROW(),"-")</f>
        <v>-</v>
      </c>
    </row>
    <row r="7646" customHeight="1" spans="2:2">
      <c r="B7646" s="62" t="str">
        <f>IF(AND('领用录入（明细）'!D:D=$F$4,'领用录入（明细）'!C:C&gt;=$J$4,'领用录入（明细）'!C:C&lt;=$L$4),ROW(),"-")</f>
        <v>-</v>
      </c>
    </row>
    <row r="7647" customHeight="1" spans="2:2">
      <c r="B7647" s="62" t="str">
        <f>IF(AND('领用录入（明细）'!D:D=$F$4,'领用录入（明细）'!C:C&gt;=$J$4,'领用录入（明细）'!C:C&lt;=$L$4),ROW(),"-")</f>
        <v>-</v>
      </c>
    </row>
    <row r="7648" customHeight="1" spans="2:2">
      <c r="B7648" s="62" t="str">
        <f>IF(AND('领用录入（明细）'!D:D=$F$4,'领用录入（明细）'!C:C&gt;=$J$4,'领用录入（明细）'!C:C&lt;=$L$4),ROW(),"-")</f>
        <v>-</v>
      </c>
    </row>
    <row r="7649" customHeight="1" spans="2:2">
      <c r="B7649" s="62" t="str">
        <f>IF(AND('领用录入（明细）'!D:D=$F$4,'领用录入（明细）'!C:C&gt;=$J$4,'领用录入（明细）'!C:C&lt;=$L$4),ROW(),"-")</f>
        <v>-</v>
      </c>
    </row>
    <row r="7650" customHeight="1" spans="2:2">
      <c r="B7650" s="62" t="str">
        <f>IF(AND('领用录入（明细）'!D:D=$F$4,'领用录入（明细）'!C:C&gt;=$J$4,'领用录入（明细）'!C:C&lt;=$L$4),ROW(),"-")</f>
        <v>-</v>
      </c>
    </row>
    <row r="7651" customHeight="1" spans="2:2">
      <c r="B7651" s="62" t="str">
        <f>IF(AND('领用录入（明细）'!D:D=$F$4,'领用录入（明细）'!C:C&gt;=$J$4,'领用录入（明细）'!C:C&lt;=$L$4),ROW(),"-")</f>
        <v>-</v>
      </c>
    </row>
    <row r="7652" customHeight="1" spans="2:2">
      <c r="B7652" s="62" t="str">
        <f>IF(AND('领用录入（明细）'!D:D=$F$4,'领用录入（明细）'!C:C&gt;=$J$4,'领用录入（明细）'!C:C&lt;=$L$4),ROW(),"-")</f>
        <v>-</v>
      </c>
    </row>
    <row r="7653" customHeight="1" spans="2:2">
      <c r="B7653" s="62" t="str">
        <f>IF(AND('领用录入（明细）'!D:D=$F$4,'领用录入（明细）'!C:C&gt;=$J$4,'领用录入（明细）'!C:C&lt;=$L$4),ROW(),"-")</f>
        <v>-</v>
      </c>
    </row>
    <row r="7654" customHeight="1" spans="2:2">
      <c r="B7654" s="62" t="str">
        <f>IF(AND('领用录入（明细）'!D:D=$F$4,'领用录入（明细）'!C:C&gt;=$J$4,'领用录入（明细）'!C:C&lt;=$L$4),ROW(),"-")</f>
        <v>-</v>
      </c>
    </row>
    <row r="7655" customHeight="1" spans="2:2">
      <c r="B7655" s="62" t="str">
        <f>IF(AND('领用录入（明细）'!D:D=$F$4,'领用录入（明细）'!C:C&gt;=$J$4,'领用录入（明细）'!C:C&lt;=$L$4),ROW(),"-")</f>
        <v>-</v>
      </c>
    </row>
    <row r="7656" customHeight="1" spans="2:2">
      <c r="B7656" s="62" t="str">
        <f>IF(AND('领用录入（明细）'!D:D=$F$4,'领用录入（明细）'!C:C&gt;=$J$4,'领用录入（明细）'!C:C&lt;=$L$4),ROW(),"-")</f>
        <v>-</v>
      </c>
    </row>
    <row r="7657" customHeight="1" spans="2:2">
      <c r="B7657" s="62" t="str">
        <f>IF(AND('领用录入（明细）'!D:D=$F$4,'领用录入（明细）'!C:C&gt;=$J$4,'领用录入（明细）'!C:C&lt;=$L$4),ROW(),"-")</f>
        <v>-</v>
      </c>
    </row>
    <row r="7658" customHeight="1" spans="2:2">
      <c r="B7658" s="62" t="str">
        <f>IF(AND('领用录入（明细）'!D:D=$F$4,'领用录入（明细）'!C:C&gt;=$J$4,'领用录入（明细）'!C:C&lt;=$L$4),ROW(),"-")</f>
        <v>-</v>
      </c>
    </row>
    <row r="7659" customHeight="1" spans="2:2">
      <c r="B7659" s="62" t="str">
        <f>IF(AND('领用录入（明细）'!D:D=$F$4,'领用录入（明细）'!C:C&gt;=$J$4,'领用录入（明细）'!C:C&lt;=$L$4),ROW(),"-")</f>
        <v>-</v>
      </c>
    </row>
    <row r="7660" customHeight="1" spans="2:2">
      <c r="B7660" s="62" t="str">
        <f>IF(AND('领用录入（明细）'!D:D=$F$4,'领用录入（明细）'!C:C&gt;=$J$4,'领用录入（明细）'!C:C&lt;=$L$4),ROW(),"-")</f>
        <v>-</v>
      </c>
    </row>
    <row r="7661" customHeight="1" spans="2:2">
      <c r="B7661" s="62" t="str">
        <f>IF(AND('领用录入（明细）'!D:D=$F$4,'领用录入（明细）'!C:C&gt;=$J$4,'领用录入（明细）'!C:C&lt;=$L$4),ROW(),"-")</f>
        <v>-</v>
      </c>
    </row>
    <row r="7662" customHeight="1" spans="2:2">
      <c r="B7662" s="62" t="str">
        <f>IF(AND('领用录入（明细）'!D:D=$F$4,'领用录入（明细）'!C:C&gt;=$J$4,'领用录入（明细）'!C:C&lt;=$L$4),ROW(),"-")</f>
        <v>-</v>
      </c>
    </row>
    <row r="7663" customHeight="1" spans="2:2">
      <c r="B7663" s="62" t="str">
        <f>IF(AND('领用录入（明细）'!D:D=$F$4,'领用录入（明细）'!C:C&gt;=$J$4,'领用录入（明细）'!C:C&lt;=$L$4),ROW(),"-")</f>
        <v>-</v>
      </c>
    </row>
    <row r="7664" customHeight="1" spans="2:2">
      <c r="B7664" s="62" t="str">
        <f>IF(AND('领用录入（明细）'!D:D=$F$4,'领用录入（明细）'!C:C&gt;=$J$4,'领用录入（明细）'!C:C&lt;=$L$4),ROW(),"-")</f>
        <v>-</v>
      </c>
    </row>
    <row r="7665" customHeight="1" spans="2:2">
      <c r="B7665" s="62" t="str">
        <f>IF(AND('领用录入（明细）'!D:D=$F$4,'领用录入（明细）'!C:C&gt;=$J$4,'领用录入（明细）'!C:C&lt;=$L$4),ROW(),"-")</f>
        <v>-</v>
      </c>
    </row>
    <row r="7666" customHeight="1" spans="2:2">
      <c r="B7666" s="62" t="str">
        <f>IF(AND('领用录入（明细）'!D:D=$F$4,'领用录入（明细）'!C:C&gt;=$J$4,'领用录入（明细）'!C:C&lt;=$L$4),ROW(),"-")</f>
        <v>-</v>
      </c>
    </row>
    <row r="7667" customHeight="1" spans="2:2">
      <c r="B7667" s="62" t="str">
        <f>IF(AND('领用录入（明细）'!D:D=$F$4,'领用录入（明细）'!C:C&gt;=$J$4,'领用录入（明细）'!C:C&lt;=$L$4),ROW(),"-")</f>
        <v>-</v>
      </c>
    </row>
    <row r="7668" customHeight="1" spans="2:2">
      <c r="B7668" s="62" t="str">
        <f>IF(AND('领用录入（明细）'!D:D=$F$4,'领用录入（明细）'!C:C&gt;=$J$4,'领用录入（明细）'!C:C&lt;=$L$4),ROW(),"-")</f>
        <v>-</v>
      </c>
    </row>
    <row r="7669" customHeight="1" spans="2:2">
      <c r="B7669" s="62" t="str">
        <f>IF(AND('领用录入（明细）'!D:D=$F$4,'领用录入（明细）'!C:C&gt;=$J$4,'领用录入（明细）'!C:C&lt;=$L$4),ROW(),"-")</f>
        <v>-</v>
      </c>
    </row>
    <row r="7670" customHeight="1" spans="2:2">
      <c r="B7670" s="62" t="str">
        <f>IF(AND('领用录入（明细）'!D:D=$F$4,'领用录入（明细）'!C:C&gt;=$J$4,'领用录入（明细）'!C:C&lt;=$L$4),ROW(),"-")</f>
        <v>-</v>
      </c>
    </row>
    <row r="7671" customHeight="1" spans="2:2">
      <c r="B7671" s="62" t="str">
        <f>IF(AND('领用录入（明细）'!D:D=$F$4,'领用录入（明细）'!C:C&gt;=$J$4,'领用录入（明细）'!C:C&lt;=$L$4),ROW(),"-")</f>
        <v>-</v>
      </c>
    </row>
    <row r="7672" customHeight="1" spans="2:2">
      <c r="B7672" s="62" t="str">
        <f>IF(AND('领用录入（明细）'!D:D=$F$4,'领用录入（明细）'!C:C&gt;=$J$4,'领用录入（明细）'!C:C&lt;=$L$4),ROW(),"-")</f>
        <v>-</v>
      </c>
    </row>
    <row r="7673" customHeight="1" spans="2:2">
      <c r="B7673" s="62" t="str">
        <f>IF(AND('领用录入（明细）'!D:D=$F$4,'领用录入（明细）'!C:C&gt;=$J$4,'领用录入（明细）'!C:C&lt;=$L$4),ROW(),"-")</f>
        <v>-</v>
      </c>
    </row>
    <row r="7674" customHeight="1" spans="2:2">
      <c r="B7674" s="62" t="str">
        <f>IF(AND('领用录入（明细）'!D:D=$F$4,'领用录入（明细）'!C:C&gt;=$J$4,'领用录入（明细）'!C:C&lt;=$L$4),ROW(),"-")</f>
        <v>-</v>
      </c>
    </row>
    <row r="7675" customHeight="1" spans="2:2">
      <c r="B7675" s="62" t="str">
        <f>IF(AND('领用录入（明细）'!D:D=$F$4,'领用录入（明细）'!C:C&gt;=$J$4,'领用录入（明细）'!C:C&lt;=$L$4),ROW(),"-")</f>
        <v>-</v>
      </c>
    </row>
    <row r="7676" customHeight="1" spans="2:2">
      <c r="B7676" s="62" t="str">
        <f>IF(AND('领用录入（明细）'!D:D=$F$4,'领用录入（明细）'!C:C&gt;=$J$4,'领用录入（明细）'!C:C&lt;=$L$4),ROW(),"-")</f>
        <v>-</v>
      </c>
    </row>
    <row r="7677" customHeight="1" spans="2:2">
      <c r="B7677" s="62" t="str">
        <f>IF(AND('领用录入（明细）'!D:D=$F$4,'领用录入（明细）'!C:C&gt;=$J$4,'领用录入（明细）'!C:C&lt;=$L$4),ROW(),"-")</f>
        <v>-</v>
      </c>
    </row>
    <row r="7678" customHeight="1" spans="2:2">
      <c r="B7678" s="62" t="str">
        <f>IF(AND('领用录入（明细）'!D:D=$F$4,'领用录入（明细）'!C:C&gt;=$J$4,'领用录入（明细）'!C:C&lt;=$L$4),ROW(),"-")</f>
        <v>-</v>
      </c>
    </row>
    <row r="7679" customHeight="1" spans="2:2">
      <c r="B7679" s="62" t="str">
        <f>IF(AND('领用录入（明细）'!D:D=$F$4,'领用录入（明细）'!C:C&gt;=$J$4,'领用录入（明细）'!C:C&lt;=$L$4),ROW(),"-")</f>
        <v>-</v>
      </c>
    </row>
    <row r="7680" customHeight="1" spans="2:2">
      <c r="B7680" s="62" t="str">
        <f>IF(AND('领用录入（明细）'!D:D=$F$4,'领用录入（明细）'!C:C&gt;=$J$4,'领用录入（明细）'!C:C&lt;=$L$4),ROW(),"-")</f>
        <v>-</v>
      </c>
    </row>
    <row r="7681" customHeight="1" spans="2:2">
      <c r="B7681" s="62" t="str">
        <f>IF(AND('领用录入（明细）'!D:D=$F$4,'领用录入（明细）'!C:C&gt;=$J$4,'领用录入（明细）'!C:C&lt;=$L$4),ROW(),"-")</f>
        <v>-</v>
      </c>
    </row>
    <row r="7682" customHeight="1" spans="2:2">
      <c r="B7682" s="62" t="str">
        <f>IF(AND('领用录入（明细）'!D:D=$F$4,'领用录入（明细）'!C:C&gt;=$J$4,'领用录入（明细）'!C:C&lt;=$L$4),ROW(),"-")</f>
        <v>-</v>
      </c>
    </row>
    <row r="7683" customHeight="1" spans="2:2">
      <c r="B7683" s="62" t="str">
        <f>IF(AND('领用录入（明细）'!D:D=$F$4,'领用录入（明细）'!C:C&gt;=$J$4,'领用录入（明细）'!C:C&lt;=$L$4),ROW(),"-")</f>
        <v>-</v>
      </c>
    </row>
    <row r="7684" customHeight="1" spans="2:2">
      <c r="B7684" s="62" t="str">
        <f>IF(AND('领用录入（明细）'!D:D=$F$4,'领用录入（明细）'!C:C&gt;=$J$4,'领用录入（明细）'!C:C&lt;=$L$4),ROW(),"-")</f>
        <v>-</v>
      </c>
    </row>
    <row r="7685" customHeight="1" spans="2:2">
      <c r="B7685" s="62" t="str">
        <f>IF(AND('领用录入（明细）'!D:D=$F$4,'领用录入（明细）'!C:C&gt;=$J$4,'领用录入（明细）'!C:C&lt;=$L$4),ROW(),"-")</f>
        <v>-</v>
      </c>
    </row>
    <row r="7686" customHeight="1" spans="2:2">
      <c r="B7686" s="62" t="str">
        <f>IF(AND('领用录入（明细）'!D:D=$F$4,'领用录入（明细）'!C:C&gt;=$J$4,'领用录入（明细）'!C:C&lt;=$L$4),ROW(),"-")</f>
        <v>-</v>
      </c>
    </row>
    <row r="7687" customHeight="1" spans="2:2">
      <c r="B7687" s="62" t="str">
        <f>IF(AND('领用录入（明细）'!D:D=$F$4,'领用录入（明细）'!C:C&gt;=$J$4,'领用录入（明细）'!C:C&lt;=$L$4),ROW(),"-")</f>
        <v>-</v>
      </c>
    </row>
    <row r="7688" customHeight="1" spans="2:2">
      <c r="B7688" s="62" t="str">
        <f>IF(AND('领用录入（明细）'!D:D=$F$4,'领用录入（明细）'!C:C&gt;=$J$4,'领用录入（明细）'!C:C&lt;=$L$4),ROW(),"-")</f>
        <v>-</v>
      </c>
    </row>
    <row r="7689" customHeight="1" spans="2:2">
      <c r="B7689" s="62" t="str">
        <f>IF(AND('领用录入（明细）'!D:D=$F$4,'领用录入（明细）'!C:C&gt;=$J$4,'领用录入（明细）'!C:C&lt;=$L$4),ROW(),"-")</f>
        <v>-</v>
      </c>
    </row>
    <row r="7690" customHeight="1" spans="2:2">
      <c r="B7690" s="62" t="str">
        <f>IF(AND('领用录入（明细）'!D:D=$F$4,'领用录入（明细）'!C:C&gt;=$J$4,'领用录入（明细）'!C:C&lt;=$L$4),ROW(),"-")</f>
        <v>-</v>
      </c>
    </row>
    <row r="7691" customHeight="1" spans="2:2">
      <c r="B7691" s="62" t="str">
        <f>IF(AND('领用录入（明细）'!D:D=$F$4,'领用录入（明细）'!C:C&gt;=$J$4,'领用录入（明细）'!C:C&lt;=$L$4),ROW(),"-")</f>
        <v>-</v>
      </c>
    </row>
    <row r="7692" customHeight="1" spans="2:2">
      <c r="B7692" s="62" t="str">
        <f>IF(AND('领用录入（明细）'!D:D=$F$4,'领用录入（明细）'!C:C&gt;=$J$4,'领用录入（明细）'!C:C&lt;=$L$4),ROW(),"-")</f>
        <v>-</v>
      </c>
    </row>
    <row r="7693" customHeight="1" spans="2:2">
      <c r="B7693" s="62" t="str">
        <f>IF(AND('领用录入（明细）'!D:D=$F$4,'领用录入（明细）'!C:C&gt;=$J$4,'领用录入（明细）'!C:C&lt;=$L$4),ROW(),"-")</f>
        <v>-</v>
      </c>
    </row>
    <row r="7694" customHeight="1" spans="2:2">
      <c r="B7694" s="62" t="str">
        <f>IF(AND('领用录入（明细）'!D:D=$F$4,'领用录入（明细）'!C:C&gt;=$J$4,'领用录入（明细）'!C:C&lt;=$L$4),ROW(),"-")</f>
        <v>-</v>
      </c>
    </row>
    <row r="7695" customHeight="1" spans="2:2">
      <c r="B7695" s="62" t="str">
        <f>IF(AND('领用录入（明细）'!D:D=$F$4,'领用录入（明细）'!C:C&gt;=$J$4,'领用录入（明细）'!C:C&lt;=$L$4),ROW(),"-")</f>
        <v>-</v>
      </c>
    </row>
    <row r="7696" customHeight="1" spans="2:2">
      <c r="B7696" s="62" t="str">
        <f>IF(AND('领用录入（明细）'!D:D=$F$4,'领用录入（明细）'!C:C&gt;=$J$4,'领用录入（明细）'!C:C&lt;=$L$4),ROW(),"-")</f>
        <v>-</v>
      </c>
    </row>
    <row r="7697" customHeight="1" spans="2:2">
      <c r="B7697" s="62" t="str">
        <f>IF(AND('领用录入（明细）'!D:D=$F$4,'领用录入（明细）'!C:C&gt;=$J$4,'领用录入（明细）'!C:C&lt;=$L$4),ROW(),"-")</f>
        <v>-</v>
      </c>
    </row>
    <row r="7698" customHeight="1" spans="2:2">
      <c r="B7698" s="62" t="str">
        <f>IF(AND('领用录入（明细）'!D:D=$F$4,'领用录入（明细）'!C:C&gt;=$J$4,'领用录入（明细）'!C:C&lt;=$L$4),ROW(),"-")</f>
        <v>-</v>
      </c>
    </row>
    <row r="7699" customHeight="1" spans="2:2">
      <c r="B7699" s="62" t="str">
        <f>IF(AND('领用录入（明细）'!D:D=$F$4,'领用录入（明细）'!C:C&gt;=$J$4,'领用录入（明细）'!C:C&lt;=$L$4),ROW(),"-")</f>
        <v>-</v>
      </c>
    </row>
    <row r="7700" customHeight="1" spans="2:2">
      <c r="B7700" s="62" t="str">
        <f>IF(AND('领用录入（明细）'!D:D=$F$4,'领用录入（明细）'!C:C&gt;=$J$4,'领用录入（明细）'!C:C&lt;=$L$4),ROW(),"-")</f>
        <v>-</v>
      </c>
    </row>
    <row r="7701" customHeight="1" spans="2:2">
      <c r="B7701" s="62" t="str">
        <f>IF(AND('领用录入（明细）'!D:D=$F$4,'领用录入（明细）'!C:C&gt;=$J$4,'领用录入（明细）'!C:C&lt;=$L$4),ROW(),"-")</f>
        <v>-</v>
      </c>
    </row>
    <row r="7702" customHeight="1" spans="2:2">
      <c r="B7702" s="62" t="str">
        <f>IF(AND('领用录入（明细）'!D:D=$F$4,'领用录入（明细）'!C:C&gt;=$J$4,'领用录入（明细）'!C:C&lt;=$L$4),ROW(),"-")</f>
        <v>-</v>
      </c>
    </row>
    <row r="7703" customHeight="1" spans="2:2">
      <c r="B7703" s="62" t="str">
        <f>IF(AND('领用录入（明细）'!D:D=$F$4,'领用录入（明细）'!C:C&gt;=$J$4,'领用录入（明细）'!C:C&lt;=$L$4),ROW(),"-")</f>
        <v>-</v>
      </c>
    </row>
    <row r="7704" customHeight="1" spans="2:2">
      <c r="B7704" s="62" t="str">
        <f>IF(AND('领用录入（明细）'!D:D=$F$4,'领用录入（明细）'!C:C&gt;=$J$4,'领用录入（明细）'!C:C&lt;=$L$4),ROW(),"-")</f>
        <v>-</v>
      </c>
    </row>
    <row r="7705" customHeight="1" spans="2:2">
      <c r="B7705" s="62" t="str">
        <f>IF(AND('领用录入（明细）'!D:D=$F$4,'领用录入（明细）'!C:C&gt;=$J$4,'领用录入（明细）'!C:C&lt;=$L$4),ROW(),"-")</f>
        <v>-</v>
      </c>
    </row>
    <row r="7706" customHeight="1" spans="2:2">
      <c r="B7706" s="62" t="str">
        <f>IF(AND('领用录入（明细）'!D:D=$F$4,'领用录入（明细）'!C:C&gt;=$J$4,'领用录入（明细）'!C:C&lt;=$L$4),ROW(),"-")</f>
        <v>-</v>
      </c>
    </row>
    <row r="7707" customHeight="1" spans="2:2">
      <c r="B7707" s="62" t="str">
        <f>IF(AND('领用录入（明细）'!D:D=$F$4,'领用录入（明细）'!C:C&gt;=$J$4,'领用录入（明细）'!C:C&lt;=$L$4),ROW(),"-")</f>
        <v>-</v>
      </c>
    </row>
    <row r="7708" customHeight="1" spans="2:2">
      <c r="B7708" s="62" t="str">
        <f>IF(AND('领用录入（明细）'!D:D=$F$4,'领用录入（明细）'!C:C&gt;=$J$4,'领用录入（明细）'!C:C&lt;=$L$4),ROW(),"-")</f>
        <v>-</v>
      </c>
    </row>
    <row r="7709" customHeight="1" spans="2:2">
      <c r="B7709" s="62" t="str">
        <f>IF(AND('领用录入（明细）'!D:D=$F$4,'领用录入（明细）'!C:C&gt;=$J$4,'领用录入（明细）'!C:C&lt;=$L$4),ROW(),"-")</f>
        <v>-</v>
      </c>
    </row>
    <row r="7710" customHeight="1" spans="2:2">
      <c r="B7710" s="62" t="str">
        <f>IF(AND('领用录入（明细）'!D:D=$F$4,'领用录入（明细）'!C:C&gt;=$J$4,'领用录入（明细）'!C:C&lt;=$L$4),ROW(),"-")</f>
        <v>-</v>
      </c>
    </row>
    <row r="7711" customHeight="1" spans="2:2">
      <c r="B7711" s="62" t="str">
        <f>IF(AND('领用录入（明细）'!D:D=$F$4,'领用录入（明细）'!C:C&gt;=$J$4,'领用录入（明细）'!C:C&lt;=$L$4),ROW(),"-")</f>
        <v>-</v>
      </c>
    </row>
    <row r="7712" customHeight="1" spans="2:2">
      <c r="B7712" s="62" t="str">
        <f>IF(AND('领用录入（明细）'!D:D=$F$4,'领用录入（明细）'!C:C&gt;=$J$4,'领用录入（明细）'!C:C&lt;=$L$4),ROW(),"-")</f>
        <v>-</v>
      </c>
    </row>
    <row r="7713" customHeight="1" spans="2:2">
      <c r="B7713" s="62" t="str">
        <f>IF(AND('领用录入（明细）'!D:D=$F$4,'领用录入（明细）'!C:C&gt;=$J$4,'领用录入（明细）'!C:C&lt;=$L$4),ROW(),"-")</f>
        <v>-</v>
      </c>
    </row>
    <row r="7714" customHeight="1" spans="2:2">
      <c r="B7714" s="62" t="str">
        <f>IF(AND('领用录入（明细）'!D:D=$F$4,'领用录入（明细）'!C:C&gt;=$J$4,'领用录入（明细）'!C:C&lt;=$L$4),ROW(),"-")</f>
        <v>-</v>
      </c>
    </row>
    <row r="7715" customHeight="1" spans="2:2">
      <c r="B7715" s="62" t="str">
        <f>IF(AND('领用录入（明细）'!D:D=$F$4,'领用录入（明细）'!C:C&gt;=$J$4,'领用录入（明细）'!C:C&lt;=$L$4),ROW(),"-")</f>
        <v>-</v>
      </c>
    </row>
    <row r="7716" customHeight="1" spans="2:2">
      <c r="B7716" s="62" t="str">
        <f>IF(AND('领用录入（明细）'!D:D=$F$4,'领用录入（明细）'!C:C&gt;=$J$4,'领用录入（明细）'!C:C&lt;=$L$4),ROW(),"-")</f>
        <v>-</v>
      </c>
    </row>
    <row r="7717" customHeight="1" spans="2:2">
      <c r="B7717" s="62" t="str">
        <f>IF(AND('领用录入（明细）'!D:D=$F$4,'领用录入（明细）'!C:C&gt;=$J$4,'领用录入（明细）'!C:C&lt;=$L$4),ROW(),"-")</f>
        <v>-</v>
      </c>
    </row>
    <row r="7718" customHeight="1" spans="2:2">
      <c r="B7718" s="62" t="str">
        <f>IF(AND('领用录入（明细）'!D:D=$F$4,'领用录入（明细）'!C:C&gt;=$J$4,'领用录入（明细）'!C:C&lt;=$L$4),ROW(),"-")</f>
        <v>-</v>
      </c>
    </row>
    <row r="7719" customHeight="1" spans="2:2">
      <c r="B7719" s="62" t="str">
        <f>IF(AND('领用录入（明细）'!D:D=$F$4,'领用录入（明细）'!C:C&gt;=$J$4,'领用录入（明细）'!C:C&lt;=$L$4),ROW(),"-")</f>
        <v>-</v>
      </c>
    </row>
    <row r="7720" customHeight="1" spans="2:2">
      <c r="B7720" s="62" t="str">
        <f>IF(AND('领用录入（明细）'!D:D=$F$4,'领用录入（明细）'!C:C&gt;=$J$4,'领用录入（明细）'!C:C&lt;=$L$4),ROW(),"-")</f>
        <v>-</v>
      </c>
    </row>
    <row r="7721" customHeight="1" spans="2:2">
      <c r="B7721" s="62" t="str">
        <f>IF(AND('领用录入（明细）'!D:D=$F$4,'领用录入（明细）'!C:C&gt;=$J$4,'领用录入（明细）'!C:C&lt;=$L$4),ROW(),"-")</f>
        <v>-</v>
      </c>
    </row>
    <row r="7722" customHeight="1" spans="2:2">
      <c r="B7722" s="62" t="str">
        <f>IF(AND('领用录入（明细）'!D:D=$F$4,'领用录入（明细）'!C:C&gt;=$J$4,'领用录入（明细）'!C:C&lt;=$L$4),ROW(),"-")</f>
        <v>-</v>
      </c>
    </row>
    <row r="7723" customHeight="1" spans="2:2">
      <c r="B7723" s="62" t="str">
        <f>IF(AND('领用录入（明细）'!D:D=$F$4,'领用录入（明细）'!C:C&gt;=$J$4,'领用录入（明细）'!C:C&lt;=$L$4),ROW(),"-")</f>
        <v>-</v>
      </c>
    </row>
    <row r="7724" customHeight="1" spans="2:2">
      <c r="B7724" s="62" t="str">
        <f>IF(AND('领用录入（明细）'!D:D=$F$4,'领用录入（明细）'!C:C&gt;=$J$4,'领用录入（明细）'!C:C&lt;=$L$4),ROW(),"-")</f>
        <v>-</v>
      </c>
    </row>
    <row r="7725" customHeight="1" spans="2:2">
      <c r="B7725" s="62" t="str">
        <f>IF(AND('领用录入（明细）'!D:D=$F$4,'领用录入（明细）'!C:C&gt;=$J$4,'领用录入（明细）'!C:C&lt;=$L$4),ROW(),"-")</f>
        <v>-</v>
      </c>
    </row>
    <row r="7726" customHeight="1" spans="2:2">
      <c r="B7726" s="62" t="str">
        <f>IF(AND('领用录入（明细）'!D:D=$F$4,'领用录入（明细）'!C:C&gt;=$J$4,'领用录入（明细）'!C:C&lt;=$L$4),ROW(),"-")</f>
        <v>-</v>
      </c>
    </row>
    <row r="7727" customHeight="1" spans="2:2">
      <c r="B7727" s="62" t="str">
        <f>IF(AND('领用录入（明细）'!D:D=$F$4,'领用录入（明细）'!C:C&gt;=$J$4,'领用录入（明细）'!C:C&lt;=$L$4),ROW(),"-")</f>
        <v>-</v>
      </c>
    </row>
    <row r="7728" customHeight="1" spans="2:2">
      <c r="B7728" s="62" t="str">
        <f>IF(AND('领用录入（明细）'!D:D=$F$4,'领用录入（明细）'!C:C&gt;=$J$4,'领用录入（明细）'!C:C&lt;=$L$4),ROW(),"-")</f>
        <v>-</v>
      </c>
    </row>
    <row r="7729" customHeight="1" spans="2:2">
      <c r="B7729" s="62" t="str">
        <f>IF(AND('领用录入（明细）'!D:D=$F$4,'领用录入（明细）'!C:C&gt;=$J$4,'领用录入（明细）'!C:C&lt;=$L$4),ROW(),"-")</f>
        <v>-</v>
      </c>
    </row>
    <row r="7730" customHeight="1" spans="2:2">
      <c r="B7730" s="62" t="str">
        <f>IF(AND('领用录入（明细）'!D:D=$F$4,'领用录入（明细）'!C:C&gt;=$J$4,'领用录入（明细）'!C:C&lt;=$L$4),ROW(),"-")</f>
        <v>-</v>
      </c>
    </row>
    <row r="7731" customHeight="1" spans="2:2">
      <c r="B7731" s="62" t="str">
        <f>IF(AND('领用录入（明细）'!D:D=$F$4,'领用录入（明细）'!C:C&gt;=$J$4,'领用录入（明细）'!C:C&lt;=$L$4),ROW(),"-")</f>
        <v>-</v>
      </c>
    </row>
    <row r="7732" customHeight="1" spans="2:2">
      <c r="B7732" s="62" t="str">
        <f>IF(AND('领用录入（明细）'!D:D=$F$4,'领用录入（明细）'!C:C&gt;=$J$4,'领用录入（明细）'!C:C&lt;=$L$4),ROW(),"-")</f>
        <v>-</v>
      </c>
    </row>
    <row r="7733" customHeight="1" spans="2:2">
      <c r="B7733" s="62" t="str">
        <f>IF(AND('领用录入（明细）'!D:D=$F$4,'领用录入（明细）'!C:C&gt;=$J$4,'领用录入（明细）'!C:C&lt;=$L$4),ROW(),"-")</f>
        <v>-</v>
      </c>
    </row>
    <row r="7734" customHeight="1" spans="2:2">
      <c r="B7734" s="62" t="str">
        <f>IF(AND('领用录入（明细）'!D:D=$F$4,'领用录入（明细）'!C:C&gt;=$J$4,'领用录入（明细）'!C:C&lt;=$L$4),ROW(),"-")</f>
        <v>-</v>
      </c>
    </row>
    <row r="7735" customHeight="1" spans="2:2">
      <c r="B7735" s="62" t="str">
        <f>IF(AND('领用录入（明细）'!D:D=$F$4,'领用录入（明细）'!C:C&gt;=$J$4,'领用录入（明细）'!C:C&lt;=$L$4),ROW(),"-")</f>
        <v>-</v>
      </c>
    </row>
    <row r="7736" customHeight="1" spans="2:2">
      <c r="B7736" s="62" t="str">
        <f>IF(AND('领用录入（明细）'!D:D=$F$4,'领用录入（明细）'!C:C&gt;=$J$4,'领用录入（明细）'!C:C&lt;=$L$4),ROW(),"-")</f>
        <v>-</v>
      </c>
    </row>
    <row r="7737" customHeight="1" spans="2:2">
      <c r="B7737" s="62" t="str">
        <f>IF(AND('领用录入（明细）'!D:D=$F$4,'领用录入（明细）'!C:C&gt;=$J$4,'领用录入（明细）'!C:C&lt;=$L$4),ROW(),"-")</f>
        <v>-</v>
      </c>
    </row>
    <row r="7738" customHeight="1" spans="2:2">
      <c r="B7738" s="62" t="str">
        <f>IF(AND('领用录入（明细）'!D:D=$F$4,'领用录入（明细）'!C:C&gt;=$J$4,'领用录入（明细）'!C:C&lt;=$L$4),ROW(),"-")</f>
        <v>-</v>
      </c>
    </row>
    <row r="7739" customHeight="1" spans="2:2">
      <c r="B7739" s="62" t="str">
        <f>IF(AND('领用录入（明细）'!D:D=$F$4,'领用录入（明细）'!C:C&gt;=$J$4,'领用录入（明细）'!C:C&lt;=$L$4),ROW(),"-")</f>
        <v>-</v>
      </c>
    </row>
    <row r="7740" customHeight="1" spans="2:2">
      <c r="B7740" s="62" t="str">
        <f>IF(AND('领用录入（明细）'!D:D=$F$4,'领用录入（明细）'!C:C&gt;=$J$4,'领用录入（明细）'!C:C&lt;=$L$4),ROW(),"-")</f>
        <v>-</v>
      </c>
    </row>
    <row r="7741" customHeight="1" spans="2:2">
      <c r="B7741" s="62" t="str">
        <f>IF(AND('领用录入（明细）'!D:D=$F$4,'领用录入（明细）'!C:C&gt;=$J$4,'领用录入（明细）'!C:C&lt;=$L$4),ROW(),"-")</f>
        <v>-</v>
      </c>
    </row>
    <row r="7742" customHeight="1" spans="2:2">
      <c r="B7742" s="62" t="str">
        <f>IF(AND('领用录入（明细）'!D:D=$F$4,'领用录入（明细）'!C:C&gt;=$J$4,'领用录入（明细）'!C:C&lt;=$L$4),ROW(),"-")</f>
        <v>-</v>
      </c>
    </row>
    <row r="7743" customHeight="1" spans="2:2">
      <c r="B7743" s="62" t="str">
        <f>IF(AND('领用录入（明细）'!D:D=$F$4,'领用录入（明细）'!C:C&gt;=$J$4,'领用录入（明细）'!C:C&lt;=$L$4),ROW(),"-")</f>
        <v>-</v>
      </c>
    </row>
    <row r="7744" customHeight="1" spans="2:2">
      <c r="B7744" s="62" t="str">
        <f>IF(AND('领用录入（明细）'!D:D=$F$4,'领用录入（明细）'!C:C&gt;=$J$4,'领用录入（明细）'!C:C&lt;=$L$4),ROW(),"-")</f>
        <v>-</v>
      </c>
    </row>
    <row r="7745" customHeight="1" spans="2:2">
      <c r="B7745" s="62" t="str">
        <f>IF(AND('领用录入（明细）'!D:D=$F$4,'领用录入（明细）'!C:C&gt;=$J$4,'领用录入（明细）'!C:C&lt;=$L$4),ROW(),"-")</f>
        <v>-</v>
      </c>
    </row>
    <row r="7746" customHeight="1" spans="2:2">
      <c r="B7746" s="62" t="str">
        <f>IF(AND('领用录入（明细）'!D:D=$F$4,'领用录入（明细）'!C:C&gt;=$J$4,'领用录入（明细）'!C:C&lt;=$L$4),ROW(),"-")</f>
        <v>-</v>
      </c>
    </row>
    <row r="7747" customHeight="1" spans="2:2">
      <c r="B7747" s="62" t="str">
        <f>IF(AND('领用录入（明细）'!D:D=$F$4,'领用录入（明细）'!C:C&gt;=$J$4,'领用录入（明细）'!C:C&lt;=$L$4),ROW(),"-")</f>
        <v>-</v>
      </c>
    </row>
    <row r="7748" customHeight="1" spans="2:2">
      <c r="B7748" s="62" t="str">
        <f>IF(AND('领用录入（明细）'!D:D=$F$4,'领用录入（明细）'!C:C&gt;=$J$4,'领用录入（明细）'!C:C&lt;=$L$4),ROW(),"-")</f>
        <v>-</v>
      </c>
    </row>
    <row r="7749" customHeight="1" spans="2:2">
      <c r="B7749" s="62" t="str">
        <f>IF(AND('领用录入（明细）'!D:D=$F$4,'领用录入（明细）'!C:C&gt;=$J$4,'领用录入（明细）'!C:C&lt;=$L$4),ROW(),"-")</f>
        <v>-</v>
      </c>
    </row>
    <row r="7750" customHeight="1" spans="2:2">
      <c r="B7750" s="62" t="str">
        <f>IF(AND('领用录入（明细）'!D:D=$F$4,'领用录入（明细）'!C:C&gt;=$J$4,'领用录入（明细）'!C:C&lt;=$L$4),ROW(),"-")</f>
        <v>-</v>
      </c>
    </row>
    <row r="7751" customHeight="1" spans="2:2">
      <c r="B7751" s="62" t="str">
        <f>IF(AND('领用录入（明细）'!D:D=$F$4,'领用录入（明细）'!C:C&gt;=$J$4,'领用录入（明细）'!C:C&lt;=$L$4),ROW(),"-")</f>
        <v>-</v>
      </c>
    </row>
    <row r="7752" customHeight="1" spans="2:2">
      <c r="B7752" s="62" t="str">
        <f>IF(AND('领用录入（明细）'!D:D=$F$4,'领用录入（明细）'!C:C&gt;=$J$4,'领用录入（明细）'!C:C&lt;=$L$4),ROW(),"-")</f>
        <v>-</v>
      </c>
    </row>
    <row r="7753" customHeight="1" spans="2:2">
      <c r="B7753" s="62" t="str">
        <f>IF(AND('领用录入（明细）'!D:D=$F$4,'领用录入（明细）'!C:C&gt;=$J$4,'领用录入（明细）'!C:C&lt;=$L$4),ROW(),"-")</f>
        <v>-</v>
      </c>
    </row>
    <row r="7754" customHeight="1" spans="2:2">
      <c r="B7754" s="62" t="str">
        <f>IF(AND('领用录入（明细）'!D:D=$F$4,'领用录入（明细）'!C:C&gt;=$J$4,'领用录入（明细）'!C:C&lt;=$L$4),ROW(),"-")</f>
        <v>-</v>
      </c>
    </row>
    <row r="7755" customHeight="1" spans="2:2">
      <c r="B7755" s="62" t="str">
        <f>IF(AND('领用录入（明细）'!D:D=$F$4,'领用录入（明细）'!C:C&gt;=$J$4,'领用录入（明细）'!C:C&lt;=$L$4),ROW(),"-")</f>
        <v>-</v>
      </c>
    </row>
    <row r="7756" customHeight="1" spans="2:2">
      <c r="B7756" s="62" t="str">
        <f>IF(AND('领用录入（明细）'!D:D=$F$4,'领用录入（明细）'!C:C&gt;=$J$4,'领用录入（明细）'!C:C&lt;=$L$4),ROW(),"-")</f>
        <v>-</v>
      </c>
    </row>
    <row r="7757" customHeight="1" spans="2:2">
      <c r="B7757" s="62" t="str">
        <f>IF(AND('领用录入（明细）'!D:D=$F$4,'领用录入（明细）'!C:C&gt;=$J$4,'领用录入（明细）'!C:C&lt;=$L$4),ROW(),"-")</f>
        <v>-</v>
      </c>
    </row>
    <row r="7758" customHeight="1" spans="2:2">
      <c r="B7758" s="62" t="str">
        <f>IF(AND('领用录入（明细）'!D:D=$F$4,'领用录入（明细）'!C:C&gt;=$J$4,'领用录入（明细）'!C:C&lt;=$L$4),ROW(),"-")</f>
        <v>-</v>
      </c>
    </row>
    <row r="7759" customHeight="1" spans="2:2">
      <c r="B7759" s="62" t="str">
        <f>IF(AND('领用录入（明细）'!D:D=$F$4,'领用录入（明细）'!C:C&gt;=$J$4,'领用录入（明细）'!C:C&lt;=$L$4),ROW(),"-")</f>
        <v>-</v>
      </c>
    </row>
    <row r="7760" customHeight="1" spans="2:2">
      <c r="B7760" s="62" t="str">
        <f>IF(AND('领用录入（明细）'!D:D=$F$4,'领用录入（明细）'!C:C&gt;=$J$4,'领用录入（明细）'!C:C&lt;=$L$4),ROW(),"-")</f>
        <v>-</v>
      </c>
    </row>
    <row r="7761" customHeight="1" spans="2:2">
      <c r="B7761" s="62" t="str">
        <f>IF(AND('领用录入（明细）'!D:D=$F$4,'领用录入（明细）'!C:C&gt;=$J$4,'领用录入（明细）'!C:C&lt;=$L$4),ROW(),"-")</f>
        <v>-</v>
      </c>
    </row>
    <row r="7762" customHeight="1" spans="2:2">
      <c r="B7762" s="62" t="str">
        <f>IF(AND('领用录入（明细）'!D:D=$F$4,'领用录入（明细）'!C:C&gt;=$J$4,'领用录入（明细）'!C:C&lt;=$L$4),ROW(),"-")</f>
        <v>-</v>
      </c>
    </row>
    <row r="7763" customHeight="1" spans="2:2">
      <c r="B7763" s="62" t="str">
        <f>IF(AND('领用录入（明细）'!D:D=$F$4,'领用录入（明细）'!C:C&gt;=$J$4,'领用录入（明细）'!C:C&lt;=$L$4),ROW(),"-")</f>
        <v>-</v>
      </c>
    </row>
    <row r="7764" customHeight="1" spans="2:2">
      <c r="B7764" s="62" t="str">
        <f>IF(AND('领用录入（明细）'!D:D=$F$4,'领用录入（明细）'!C:C&gt;=$J$4,'领用录入（明细）'!C:C&lt;=$L$4),ROW(),"-")</f>
        <v>-</v>
      </c>
    </row>
    <row r="7765" customHeight="1" spans="2:2">
      <c r="B7765" s="62" t="str">
        <f>IF(AND('领用录入（明细）'!D:D=$F$4,'领用录入（明细）'!C:C&gt;=$J$4,'领用录入（明细）'!C:C&lt;=$L$4),ROW(),"-")</f>
        <v>-</v>
      </c>
    </row>
    <row r="7766" customHeight="1" spans="2:2">
      <c r="B7766" s="62" t="str">
        <f>IF(AND('领用录入（明细）'!D:D=$F$4,'领用录入（明细）'!C:C&gt;=$J$4,'领用录入（明细）'!C:C&lt;=$L$4),ROW(),"-")</f>
        <v>-</v>
      </c>
    </row>
    <row r="7767" customHeight="1" spans="2:2">
      <c r="B7767" s="62" t="str">
        <f>IF(AND('领用录入（明细）'!D:D=$F$4,'领用录入（明细）'!C:C&gt;=$J$4,'领用录入（明细）'!C:C&lt;=$L$4),ROW(),"-")</f>
        <v>-</v>
      </c>
    </row>
    <row r="7768" customHeight="1" spans="2:2">
      <c r="B7768" s="62" t="str">
        <f>IF(AND('领用录入（明细）'!D:D=$F$4,'领用录入（明细）'!C:C&gt;=$J$4,'领用录入（明细）'!C:C&lt;=$L$4),ROW(),"-")</f>
        <v>-</v>
      </c>
    </row>
    <row r="7769" customHeight="1" spans="2:2">
      <c r="B7769" s="62" t="str">
        <f>IF(AND('领用录入（明细）'!D:D=$F$4,'领用录入（明细）'!C:C&gt;=$J$4,'领用录入（明细）'!C:C&lt;=$L$4),ROW(),"-")</f>
        <v>-</v>
      </c>
    </row>
    <row r="7770" customHeight="1" spans="2:2">
      <c r="B7770" s="62" t="str">
        <f>IF(AND('领用录入（明细）'!D:D=$F$4,'领用录入（明细）'!C:C&gt;=$J$4,'领用录入（明细）'!C:C&lt;=$L$4),ROW(),"-")</f>
        <v>-</v>
      </c>
    </row>
    <row r="7771" customHeight="1" spans="2:2">
      <c r="B7771" s="62" t="str">
        <f>IF(AND('领用录入（明细）'!D:D=$F$4,'领用录入（明细）'!C:C&gt;=$J$4,'领用录入（明细）'!C:C&lt;=$L$4),ROW(),"-")</f>
        <v>-</v>
      </c>
    </row>
    <row r="7772" customHeight="1" spans="2:2">
      <c r="B7772" s="62" t="str">
        <f>IF(AND('领用录入（明细）'!D:D=$F$4,'领用录入（明细）'!C:C&gt;=$J$4,'领用录入（明细）'!C:C&lt;=$L$4),ROW(),"-")</f>
        <v>-</v>
      </c>
    </row>
    <row r="7773" customHeight="1" spans="2:2">
      <c r="B7773" s="62" t="str">
        <f>IF(AND('领用录入（明细）'!D:D=$F$4,'领用录入（明细）'!C:C&gt;=$J$4,'领用录入（明细）'!C:C&lt;=$L$4),ROW(),"-")</f>
        <v>-</v>
      </c>
    </row>
    <row r="7774" customHeight="1" spans="2:2">
      <c r="B7774" s="62" t="str">
        <f>IF(AND('领用录入（明细）'!D:D=$F$4,'领用录入（明细）'!C:C&gt;=$J$4,'领用录入（明细）'!C:C&lt;=$L$4),ROW(),"-")</f>
        <v>-</v>
      </c>
    </row>
    <row r="7775" customHeight="1" spans="2:2">
      <c r="B7775" s="62" t="str">
        <f>IF(AND('领用录入（明细）'!D:D=$F$4,'领用录入（明细）'!C:C&gt;=$J$4,'领用录入（明细）'!C:C&lt;=$L$4),ROW(),"-")</f>
        <v>-</v>
      </c>
    </row>
    <row r="7776" customHeight="1" spans="2:2">
      <c r="B7776" s="62" t="str">
        <f>IF(AND('领用录入（明细）'!D:D=$F$4,'领用录入（明细）'!C:C&gt;=$J$4,'领用录入（明细）'!C:C&lt;=$L$4),ROW(),"-")</f>
        <v>-</v>
      </c>
    </row>
    <row r="7777" customHeight="1" spans="2:2">
      <c r="B7777" s="62" t="str">
        <f>IF(AND('领用录入（明细）'!D:D=$F$4,'领用录入（明细）'!C:C&gt;=$J$4,'领用录入（明细）'!C:C&lt;=$L$4),ROW(),"-")</f>
        <v>-</v>
      </c>
    </row>
    <row r="7778" customHeight="1" spans="2:2">
      <c r="B7778" s="62" t="str">
        <f>IF(AND('领用录入（明细）'!D:D=$F$4,'领用录入（明细）'!C:C&gt;=$J$4,'领用录入（明细）'!C:C&lt;=$L$4),ROW(),"-")</f>
        <v>-</v>
      </c>
    </row>
    <row r="7779" customHeight="1" spans="2:2">
      <c r="B7779" s="62" t="str">
        <f>IF(AND('领用录入（明细）'!D:D=$F$4,'领用录入（明细）'!C:C&gt;=$J$4,'领用录入（明细）'!C:C&lt;=$L$4),ROW(),"-")</f>
        <v>-</v>
      </c>
    </row>
    <row r="7780" customHeight="1" spans="2:2">
      <c r="B7780" s="62" t="str">
        <f>IF(AND('领用录入（明细）'!D:D=$F$4,'领用录入（明细）'!C:C&gt;=$J$4,'领用录入（明细）'!C:C&lt;=$L$4),ROW(),"-")</f>
        <v>-</v>
      </c>
    </row>
    <row r="7781" customHeight="1" spans="2:2">
      <c r="B7781" s="62" t="str">
        <f>IF(AND('领用录入（明细）'!D:D=$F$4,'领用录入（明细）'!C:C&gt;=$J$4,'领用录入（明细）'!C:C&lt;=$L$4),ROW(),"-")</f>
        <v>-</v>
      </c>
    </row>
    <row r="7782" customHeight="1" spans="2:2">
      <c r="B7782" s="62" t="str">
        <f>IF(AND('领用录入（明细）'!D:D=$F$4,'领用录入（明细）'!C:C&gt;=$J$4,'领用录入（明细）'!C:C&lt;=$L$4),ROW(),"-")</f>
        <v>-</v>
      </c>
    </row>
    <row r="7783" customHeight="1" spans="2:2">
      <c r="B7783" s="62" t="str">
        <f>IF(AND('领用录入（明细）'!D:D=$F$4,'领用录入（明细）'!C:C&gt;=$J$4,'领用录入（明细）'!C:C&lt;=$L$4),ROW(),"-")</f>
        <v>-</v>
      </c>
    </row>
    <row r="7784" customHeight="1" spans="2:2">
      <c r="B7784" s="62" t="str">
        <f>IF(AND('领用录入（明细）'!D:D=$F$4,'领用录入（明细）'!C:C&gt;=$J$4,'领用录入（明细）'!C:C&lt;=$L$4),ROW(),"-")</f>
        <v>-</v>
      </c>
    </row>
    <row r="7785" customHeight="1" spans="2:2">
      <c r="B7785" s="62" t="str">
        <f>IF(AND('领用录入（明细）'!D:D=$F$4,'领用录入（明细）'!C:C&gt;=$J$4,'领用录入（明细）'!C:C&lt;=$L$4),ROW(),"-")</f>
        <v>-</v>
      </c>
    </row>
    <row r="7786" customHeight="1" spans="2:2">
      <c r="B7786" s="62" t="str">
        <f>IF(AND('领用录入（明细）'!D:D=$F$4,'领用录入（明细）'!C:C&gt;=$J$4,'领用录入（明细）'!C:C&lt;=$L$4),ROW(),"-")</f>
        <v>-</v>
      </c>
    </row>
    <row r="7787" customHeight="1" spans="2:2">
      <c r="B7787" s="62" t="str">
        <f>IF(AND('领用录入（明细）'!D:D=$F$4,'领用录入（明细）'!C:C&gt;=$J$4,'领用录入（明细）'!C:C&lt;=$L$4),ROW(),"-")</f>
        <v>-</v>
      </c>
    </row>
    <row r="7788" customHeight="1" spans="2:2">
      <c r="B7788" s="62" t="str">
        <f>IF(AND('领用录入（明细）'!D:D=$F$4,'领用录入（明细）'!C:C&gt;=$J$4,'领用录入（明细）'!C:C&lt;=$L$4),ROW(),"-")</f>
        <v>-</v>
      </c>
    </row>
    <row r="7789" customHeight="1" spans="2:2">
      <c r="B7789" s="62" t="str">
        <f>IF(AND('领用录入（明细）'!D:D=$F$4,'领用录入（明细）'!C:C&gt;=$J$4,'领用录入（明细）'!C:C&lt;=$L$4),ROW(),"-")</f>
        <v>-</v>
      </c>
    </row>
    <row r="7790" customHeight="1" spans="2:2">
      <c r="B7790" s="62" t="str">
        <f>IF(AND('领用录入（明细）'!D:D=$F$4,'领用录入（明细）'!C:C&gt;=$J$4,'领用录入（明细）'!C:C&lt;=$L$4),ROW(),"-")</f>
        <v>-</v>
      </c>
    </row>
    <row r="7791" customHeight="1" spans="2:2">
      <c r="B7791" s="62" t="str">
        <f>IF(AND('领用录入（明细）'!D:D=$F$4,'领用录入（明细）'!C:C&gt;=$J$4,'领用录入（明细）'!C:C&lt;=$L$4),ROW(),"-")</f>
        <v>-</v>
      </c>
    </row>
    <row r="7792" customHeight="1" spans="2:2">
      <c r="B7792" s="62" t="str">
        <f>IF(AND('领用录入（明细）'!D:D=$F$4,'领用录入（明细）'!C:C&gt;=$J$4,'领用录入（明细）'!C:C&lt;=$L$4),ROW(),"-")</f>
        <v>-</v>
      </c>
    </row>
    <row r="7793" customHeight="1" spans="2:2">
      <c r="B7793" s="62" t="str">
        <f>IF(AND('领用录入（明细）'!D:D=$F$4,'领用录入（明细）'!C:C&gt;=$J$4,'领用录入（明细）'!C:C&lt;=$L$4),ROW(),"-")</f>
        <v>-</v>
      </c>
    </row>
    <row r="7794" customHeight="1" spans="2:2">
      <c r="B7794" s="62" t="str">
        <f>IF(AND('领用录入（明细）'!D:D=$F$4,'领用录入（明细）'!C:C&gt;=$J$4,'领用录入（明细）'!C:C&lt;=$L$4),ROW(),"-")</f>
        <v>-</v>
      </c>
    </row>
    <row r="7795" customHeight="1" spans="2:2">
      <c r="B7795" s="62" t="str">
        <f>IF(AND('领用录入（明细）'!D:D=$F$4,'领用录入（明细）'!C:C&gt;=$J$4,'领用录入（明细）'!C:C&lt;=$L$4),ROW(),"-")</f>
        <v>-</v>
      </c>
    </row>
    <row r="7796" customHeight="1" spans="2:2">
      <c r="B7796" s="62" t="str">
        <f>IF(AND('领用录入（明细）'!D:D=$F$4,'领用录入（明细）'!C:C&gt;=$J$4,'领用录入（明细）'!C:C&lt;=$L$4),ROW(),"-")</f>
        <v>-</v>
      </c>
    </row>
    <row r="7797" customHeight="1" spans="2:2">
      <c r="B7797" s="62" t="str">
        <f>IF(AND('领用录入（明细）'!D:D=$F$4,'领用录入（明细）'!C:C&gt;=$J$4,'领用录入（明细）'!C:C&lt;=$L$4),ROW(),"-")</f>
        <v>-</v>
      </c>
    </row>
    <row r="7798" customHeight="1" spans="2:2">
      <c r="B7798" s="62" t="str">
        <f>IF(AND('领用录入（明细）'!D:D=$F$4,'领用录入（明细）'!C:C&gt;=$J$4,'领用录入（明细）'!C:C&lt;=$L$4),ROW(),"-")</f>
        <v>-</v>
      </c>
    </row>
    <row r="7799" customHeight="1" spans="2:2">
      <c r="B7799" s="62" t="str">
        <f>IF(AND('领用录入（明细）'!D:D=$F$4,'领用录入（明细）'!C:C&gt;=$J$4,'领用录入（明细）'!C:C&lt;=$L$4),ROW(),"-")</f>
        <v>-</v>
      </c>
    </row>
    <row r="7800" customHeight="1" spans="2:2">
      <c r="B7800" s="62" t="str">
        <f>IF(AND('领用录入（明细）'!D:D=$F$4,'领用录入（明细）'!C:C&gt;=$J$4,'领用录入（明细）'!C:C&lt;=$L$4),ROW(),"-")</f>
        <v>-</v>
      </c>
    </row>
    <row r="7801" customHeight="1" spans="2:2">
      <c r="B7801" s="62" t="str">
        <f>IF(AND('领用录入（明细）'!D:D=$F$4,'领用录入（明细）'!C:C&gt;=$J$4,'领用录入（明细）'!C:C&lt;=$L$4),ROW(),"-")</f>
        <v>-</v>
      </c>
    </row>
    <row r="7802" customHeight="1" spans="2:2">
      <c r="B7802" s="62" t="str">
        <f>IF(AND('领用录入（明细）'!D:D=$F$4,'领用录入（明细）'!C:C&gt;=$J$4,'领用录入（明细）'!C:C&lt;=$L$4),ROW(),"-")</f>
        <v>-</v>
      </c>
    </row>
    <row r="7803" customHeight="1" spans="2:2">
      <c r="B7803" s="62" t="str">
        <f>IF(AND('领用录入（明细）'!D:D=$F$4,'领用录入（明细）'!C:C&gt;=$J$4,'领用录入（明细）'!C:C&lt;=$L$4),ROW(),"-")</f>
        <v>-</v>
      </c>
    </row>
    <row r="7804" customHeight="1" spans="2:2">
      <c r="B7804" s="62" t="str">
        <f>IF(AND('领用录入（明细）'!D:D=$F$4,'领用录入（明细）'!C:C&gt;=$J$4,'领用录入（明细）'!C:C&lt;=$L$4),ROW(),"-")</f>
        <v>-</v>
      </c>
    </row>
    <row r="7805" customHeight="1" spans="2:2">
      <c r="B7805" s="62" t="str">
        <f>IF(AND('领用录入（明细）'!D:D=$F$4,'领用录入（明细）'!C:C&gt;=$J$4,'领用录入（明细）'!C:C&lt;=$L$4),ROW(),"-")</f>
        <v>-</v>
      </c>
    </row>
    <row r="7806" customHeight="1" spans="2:2">
      <c r="B7806" s="62" t="str">
        <f>IF(AND('领用录入（明细）'!D:D=$F$4,'领用录入（明细）'!C:C&gt;=$J$4,'领用录入（明细）'!C:C&lt;=$L$4),ROW(),"-")</f>
        <v>-</v>
      </c>
    </row>
    <row r="7807" customHeight="1" spans="2:2">
      <c r="B7807" s="62" t="str">
        <f>IF(AND('领用录入（明细）'!D:D=$F$4,'领用录入（明细）'!C:C&gt;=$J$4,'领用录入（明细）'!C:C&lt;=$L$4),ROW(),"-")</f>
        <v>-</v>
      </c>
    </row>
    <row r="7808" customHeight="1" spans="2:2">
      <c r="B7808" s="62" t="str">
        <f>IF(AND('领用录入（明细）'!D:D=$F$4,'领用录入（明细）'!C:C&gt;=$J$4,'领用录入（明细）'!C:C&lt;=$L$4),ROW(),"-")</f>
        <v>-</v>
      </c>
    </row>
    <row r="7809" customHeight="1" spans="2:2">
      <c r="B7809" s="62" t="str">
        <f>IF(AND('领用录入（明细）'!D:D=$F$4,'领用录入（明细）'!C:C&gt;=$J$4,'领用录入（明细）'!C:C&lt;=$L$4),ROW(),"-")</f>
        <v>-</v>
      </c>
    </row>
    <row r="7810" customHeight="1" spans="2:2">
      <c r="B7810" s="62" t="str">
        <f>IF(AND('领用录入（明细）'!D:D=$F$4,'领用录入（明细）'!C:C&gt;=$J$4,'领用录入（明细）'!C:C&lt;=$L$4),ROW(),"-")</f>
        <v>-</v>
      </c>
    </row>
    <row r="7811" customHeight="1" spans="2:2">
      <c r="B7811" s="62" t="str">
        <f>IF(AND('领用录入（明细）'!D:D=$F$4,'领用录入（明细）'!C:C&gt;=$J$4,'领用录入（明细）'!C:C&lt;=$L$4),ROW(),"-")</f>
        <v>-</v>
      </c>
    </row>
    <row r="7812" customHeight="1" spans="2:2">
      <c r="B7812" s="62" t="str">
        <f>IF(AND('领用录入（明细）'!D:D=$F$4,'领用录入（明细）'!C:C&gt;=$J$4,'领用录入（明细）'!C:C&lt;=$L$4),ROW(),"-")</f>
        <v>-</v>
      </c>
    </row>
    <row r="7813" customHeight="1" spans="2:2">
      <c r="B7813" s="62" t="str">
        <f>IF(AND('领用录入（明细）'!D:D=$F$4,'领用录入（明细）'!C:C&gt;=$J$4,'领用录入（明细）'!C:C&lt;=$L$4),ROW(),"-")</f>
        <v>-</v>
      </c>
    </row>
    <row r="7814" customHeight="1" spans="2:2">
      <c r="B7814" s="62" t="str">
        <f>IF(AND('领用录入（明细）'!D:D=$F$4,'领用录入（明细）'!C:C&gt;=$J$4,'领用录入（明细）'!C:C&lt;=$L$4),ROW(),"-")</f>
        <v>-</v>
      </c>
    </row>
    <row r="7815" customHeight="1" spans="2:2">
      <c r="B7815" s="62" t="str">
        <f>IF(AND('领用录入（明细）'!D:D=$F$4,'领用录入（明细）'!C:C&gt;=$J$4,'领用录入（明细）'!C:C&lt;=$L$4),ROW(),"-")</f>
        <v>-</v>
      </c>
    </row>
    <row r="7816" customHeight="1" spans="2:2">
      <c r="B7816" s="62" t="str">
        <f>IF(AND('领用录入（明细）'!D:D=$F$4,'领用录入（明细）'!C:C&gt;=$J$4,'领用录入（明细）'!C:C&lt;=$L$4),ROW(),"-")</f>
        <v>-</v>
      </c>
    </row>
    <row r="7817" customHeight="1" spans="2:2">
      <c r="B7817" s="62" t="str">
        <f>IF(AND('领用录入（明细）'!D:D=$F$4,'领用录入（明细）'!C:C&gt;=$J$4,'领用录入（明细）'!C:C&lt;=$L$4),ROW(),"-")</f>
        <v>-</v>
      </c>
    </row>
    <row r="7818" customHeight="1" spans="2:2">
      <c r="B7818" s="62" t="str">
        <f>IF(AND('领用录入（明细）'!D:D=$F$4,'领用录入（明细）'!C:C&gt;=$J$4,'领用录入（明细）'!C:C&lt;=$L$4),ROW(),"-")</f>
        <v>-</v>
      </c>
    </row>
    <row r="7819" customHeight="1" spans="2:2">
      <c r="B7819" s="62" t="str">
        <f>IF(AND('领用录入（明细）'!D:D=$F$4,'领用录入（明细）'!C:C&gt;=$J$4,'领用录入（明细）'!C:C&lt;=$L$4),ROW(),"-")</f>
        <v>-</v>
      </c>
    </row>
    <row r="7820" customHeight="1" spans="2:2">
      <c r="B7820" s="62" t="str">
        <f>IF(AND('领用录入（明细）'!D:D=$F$4,'领用录入（明细）'!C:C&gt;=$J$4,'领用录入（明细）'!C:C&lt;=$L$4),ROW(),"-")</f>
        <v>-</v>
      </c>
    </row>
    <row r="7821" customHeight="1" spans="2:2">
      <c r="B7821" s="62" t="str">
        <f>IF(AND('领用录入（明细）'!D:D=$F$4,'领用录入（明细）'!C:C&gt;=$J$4,'领用录入（明细）'!C:C&lt;=$L$4),ROW(),"-")</f>
        <v>-</v>
      </c>
    </row>
    <row r="7822" customHeight="1" spans="2:2">
      <c r="B7822" s="62" t="str">
        <f>IF(AND('领用录入（明细）'!D:D=$F$4,'领用录入（明细）'!C:C&gt;=$J$4,'领用录入（明细）'!C:C&lt;=$L$4),ROW(),"-")</f>
        <v>-</v>
      </c>
    </row>
    <row r="7823" customHeight="1" spans="2:2">
      <c r="B7823" s="62" t="str">
        <f>IF(AND('领用录入（明细）'!D:D=$F$4,'领用录入（明细）'!C:C&gt;=$J$4,'领用录入（明细）'!C:C&lt;=$L$4),ROW(),"-")</f>
        <v>-</v>
      </c>
    </row>
    <row r="7824" customHeight="1" spans="2:2">
      <c r="B7824" s="62" t="str">
        <f>IF(AND('领用录入（明细）'!D:D=$F$4,'领用录入（明细）'!C:C&gt;=$J$4,'领用录入（明细）'!C:C&lt;=$L$4),ROW(),"-")</f>
        <v>-</v>
      </c>
    </row>
    <row r="7825" customHeight="1" spans="2:2">
      <c r="B7825" s="62" t="str">
        <f>IF(AND('领用录入（明细）'!D:D=$F$4,'领用录入（明细）'!C:C&gt;=$J$4,'领用录入（明细）'!C:C&lt;=$L$4),ROW(),"-")</f>
        <v>-</v>
      </c>
    </row>
    <row r="7826" customHeight="1" spans="2:2">
      <c r="B7826" s="62" t="str">
        <f>IF(AND('领用录入（明细）'!D:D=$F$4,'领用录入（明细）'!C:C&gt;=$J$4,'领用录入（明细）'!C:C&lt;=$L$4),ROW(),"-")</f>
        <v>-</v>
      </c>
    </row>
    <row r="7827" customHeight="1" spans="2:2">
      <c r="B7827" s="62" t="str">
        <f>IF(AND('领用录入（明细）'!D:D=$F$4,'领用录入（明细）'!C:C&gt;=$J$4,'领用录入（明细）'!C:C&lt;=$L$4),ROW(),"-")</f>
        <v>-</v>
      </c>
    </row>
    <row r="7828" customHeight="1" spans="2:2">
      <c r="B7828" s="62" t="str">
        <f>IF(AND('领用录入（明细）'!D:D=$F$4,'领用录入（明细）'!C:C&gt;=$J$4,'领用录入（明细）'!C:C&lt;=$L$4),ROW(),"-")</f>
        <v>-</v>
      </c>
    </row>
    <row r="7829" customHeight="1" spans="2:2">
      <c r="B7829" s="62" t="str">
        <f>IF(AND('领用录入（明细）'!D:D=$F$4,'领用录入（明细）'!C:C&gt;=$J$4,'领用录入（明细）'!C:C&lt;=$L$4),ROW(),"-")</f>
        <v>-</v>
      </c>
    </row>
    <row r="7830" customHeight="1" spans="2:2">
      <c r="B7830" s="62" t="str">
        <f>IF(AND('领用录入（明细）'!D:D=$F$4,'领用录入（明细）'!C:C&gt;=$J$4,'领用录入（明细）'!C:C&lt;=$L$4),ROW(),"-")</f>
        <v>-</v>
      </c>
    </row>
    <row r="7831" customHeight="1" spans="2:2">
      <c r="B7831" s="62" t="str">
        <f>IF(AND('领用录入（明细）'!D:D=$F$4,'领用录入（明细）'!C:C&gt;=$J$4,'领用录入（明细）'!C:C&lt;=$L$4),ROW(),"-")</f>
        <v>-</v>
      </c>
    </row>
    <row r="7832" customHeight="1" spans="2:2">
      <c r="B7832" s="62" t="str">
        <f>IF(AND('领用录入（明细）'!D:D=$F$4,'领用录入（明细）'!C:C&gt;=$J$4,'领用录入（明细）'!C:C&lt;=$L$4),ROW(),"-")</f>
        <v>-</v>
      </c>
    </row>
    <row r="7833" customHeight="1" spans="2:2">
      <c r="B7833" s="62" t="str">
        <f>IF(AND('领用录入（明细）'!D:D=$F$4,'领用录入（明细）'!C:C&gt;=$J$4,'领用录入（明细）'!C:C&lt;=$L$4),ROW(),"-")</f>
        <v>-</v>
      </c>
    </row>
    <row r="7834" customHeight="1" spans="2:2">
      <c r="B7834" s="62" t="str">
        <f>IF(AND('领用录入（明细）'!D:D=$F$4,'领用录入（明细）'!C:C&gt;=$J$4,'领用录入（明细）'!C:C&lt;=$L$4),ROW(),"-")</f>
        <v>-</v>
      </c>
    </row>
    <row r="7835" customHeight="1" spans="2:2">
      <c r="B7835" s="62" t="str">
        <f>IF(AND('领用录入（明细）'!D:D=$F$4,'领用录入（明细）'!C:C&gt;=$J$4,'领用录入（明细）'!C:C&lt;=$L$4),ROW(),"-")</f>
        <v>-</v>
      </c>
    </row>
    <row r="7836" customHeight="1" spans="2:2">
      <c r="B7836" s="62" t="str">
        <f>IF(AND('领用录入（明细）'!D:D=$F$4,'领用录入（明细）'!C:C&gt;=$J$4,'领用录入（明细）'!C:C&lt;=$L$4),ROW(),"-")</f>
        <v>-</v>
      </c>
    </row>
    <row r="7837" customHeight="1" spans="2:2">
      <c r="B7837" s="62" t="str">
        <f>IF(AND('领用录入（明细）'!D:D=$F$4,'领用录入（明细）'!C:C&gt;=$J$4,'领用录入（明细）'!C:C&lt;=$L$4),ROW(),"-")</f>
        <v>-</v>
      </c>
    </row>
    <row r="7838" customHeight="1" spans="2:2">
      <c r="B7838" s="62" t="str">
        <f>IF(AND('领用录入（明细）'!D:D=$F$4,'领用录入（明细）'!C:C&gt;=$J$4,'领用录入（明细）'!C:C&lt;=$L$4),ROW(),"-")</f>
        <v>-</v>
      </c>
    </row>
    <row r="7839" customHeight="1" spans="2:2">
      <c r="B7839" s="62" t="str">
        <f>IF(AND('领用录入（明细）'!D:D=$F$4,'领用录入（明细）'!C:C&gt;=$J$4,'领用录入（明细）'!C:C&lt;=$L$4),ROW(),"-")</f>
        <v>-</v>
      </c>
    </row>
    <row r="7840" customHeight="1" spans="2:2">
      <c r="B7840" s="62" t="str">
        <f>IF(AND('领用录入（明细）'!D:D=$F$4,'领用录入（明细）'!C:C&gt;=$J$4,'领用录入（明细）'!C:C&lt;=$L$4),ROW(),"-")</f>
        <v>-</v>
      </c>
    </row>
    <row r="7841" customHeight="1" spans="2:2">
      <c r="B7841" s="62" t="str">
        <f>IF(AND('领用录入（明细）'!D:D=$F$4,'领用录入（明细）'!C:C&gt;=$J$4,'领用录入（明细）'!C:C&lt;=$L$4),ROW(),"-")</f>
        <v>-</v>
      </c>
    </row>
    <row r="7842" customHeight="1" spans="2:2">
      <c r="B7842" s="62" t="str">
        <f>IF(AND('领用录入（明细）'!D:D=$F$4,'领用录入（明细）'!C:C&gt;=$J$4,'领用录入（明细）'!C:C&lt;=$L$4),ROW(),"-")</f>
        <v>-</v>
      </c>
    </row>
    <row r="7843" customHeight="1" spans="2:2">
      <c r="B7843" s="62" t="str">
        <f>IF(AND('领用录入（明细）'!D:D=$F$4,'领用录入（明细）'!C:C&gt;=$J$4,'领用录入（明细）'!C:C&lt;=$L$4),ROW(),"-")</f>
        <v>-</v>
      </c>
    </row>
    <row r="7844" customHeight="1" spans="2:2">
      <c r="B7844" s="62" t="str">
        <f>IF(AND('领用录入（明细）'!D:D=$F$4,'领用录入（明细）'!C:C&gt;=$J$4,'领用录入（明细）'!C:C&lt;=$L$4),ROW(),"-")</f>
        <v>-</v>
      </c>
    </row>
    <row r="7845" customHeight="1" spans="2:2">
      <c r="B7845" s="62" t="str">
        <f>IF(AND('领用录入（明细）'!D:D=$F$4,'领用录入（明细）'!C:C&gt;=$J$4,'领用录入（明细）'!C:C&lt;=$L$4),ROW(),"-")</f>
        <v>-</v>
      </c>
    </row>
    <row r="7846" customHeight="1" spans="2:2">
      <c r="B7846" s="62" t="str">
        <f>IF(AND('领用录入（明细）'!D:D=$F$4,'领用录入（明细）'!C:C&gt;=$J$4,'领用录入（明细）'!C:C&lt;=$L$4),ROW(),"-")</f>
        <v>-</v>
      </c>
    </row>
    <row r="7847" customHeight="1" spans="2:2">
      <c r="B7847" s="62" t="str">
        <f>IF(AND('领用录入（明细）'!D:D=$F$4,'领用录入（明细）'!C:C&gt;=$J$4,'领用录入（明细）'!C:C&lt;=$L$4),ROW(),"-")</f>
        <v>-</v>
      </c>
    </row>
    <row r="7848" customHeight="1" spans="2:2">
      <c r="B7848" s="62" t="str">
        <f>IF(AND('领用录入（明细）'!D:D=$F$4,'领用录入（明细）'!C:C&gt;=$J$4,'领用录入（明细）'!C:C&lt;=$L$4),ROW(),"-")</f>
        <v>-</v>
      </c>
    </row>
    <row r="7849" customHeight="1" spans="2:2">
      <c r="B7849" s="62" t="str">
        <f>IF(AND('领用录入（明细）'!D:D=$F$4,'领用录入（明细）'!C:C&gt;=$J$4,'领用录入（明细）'!C:C&lt;=$L$4),ROW(),"-")</f>
        <v>-</v>
      </c>
    </row>
    <row r="7850" customHeight="1" spans="2:2">
      <c r="B7850" s="62" t="str">
        <f>IF(AND('领用录入（明细）'!D:D=$F$4,'领用录入（明细）'!C:C&gt;=$J$4,'领用录入（明细）'!C:C&lt;=$L$4),ROW(),"-")</f>
        <v>-</v>
      </c>
    </row>
    <row r="7851" customHeight="1" spans="2:2">
      <c r="B7851" s="62" t="str">
        <f>IF(AND('领用录入（明细）'!D:D=$F$4,'领用录入（明细）'!C:C&gt;=$J$4,'领用录入（明细）'!C:C&lt;=$L$4),ROW(),"-")</f>
        <v>-</v>
      </c>
    </row>
    <row r="7852" customHeight="1" spans="2:2">
      <c r="B7852" s="62" t="str">
        <f>IF(AND('领用录入（明细）'!D:D=$F$4,'领用录入（明细）'!C:C&gt;=$J$4,'领用录入（明细）'!C:C&lt;=$L$4),ROW(),"-")</f>
        <v>-</v>
      </c>
    </row>
    <row r="7853" customHeight="1" spans="2:2">
      <c r="B7853" s="62" t="str">
        <f>IF(AND('领用录入（明细）'!D:D=$F$4,'领用录入（明细）'!C:C&gt;=$J$4,'领用录入（明细）'!C:C&lt;=$L$4),ROW(),"-")</f>
        <v>-</v>
      </c>
    </row>
    <row r="7854" customHeight="1" spans="2:2">
      <c r="B7854" s="62" t="str">
        <f>IF(AND('领用录入（明细）'!D:D=$F$4,'领用录入（明细）'!C:C&gt;=$J$4,'领用录入（明细）'!C:C&lt;=$L$4),ROW(),"-")</f>
        <v>-</v>
      </c>
    </row>
    <row r="7855" customHeight="1" spans="2:2">
      <c r="B7855" s="62" t="str">
        <f>IF(AND('领用录入（明细）'!D:D=$F$4,'领用录入（明细）'!C:C&gt;=$J$4,'领用录入（明细）'!C:C&lt;=$L$4),ROW(),"-")</f>
        <v>-</v>
      </c>
    </row>
    <row r="7856" customHeight="1" spans="2:2">
      <c r="B7856" s="62" t="str">
        <f>IF(AND('领用录入（明细）'!D:D=$F$4,'领用录入（明细）'!C:C&gt;=$J$4,'领用录入（明细）'!C:C&lt;=$L$4),ROW(),"-")</f>
        <v>-</v>
      </c>
    </row>
    <row r="7857" customHeight="1" spans="2:2">
      <c r="B7857" s="62" t="str">
        <f>IF(AND('领用录入（明细）'!D:D=$F$4,'领用录入（明细）'!C:C&gt;=$J$4,'领用录入（明细）'!C:C&lt;=$L$4),ROW(),"-")</f>
        <v>-</v>
      </c>
    </row>
    <row r="7858" customHeight="1" spans="2:2">
      <c r="B7858" s="62" t="str">
        <f>IF(AND('领用录入（明细）'!D:D=$F$4,'领用录入（明细）'!C:C&gt;=$J$4,'领用录入（明细）'!C:C&lt;=$L$4),ROW(),"-")</f>
        <v>-</v>
      </c>
    </row>
    <row r="7859" customHeight="1" spans="2:2">
      <c r="B7859" s="62" t="str">
        <f>IF(AND('领用录入（明细）'!D:D=$F$4,'领用录入（明细）'!C:C&gt;=$J$4,'领用录入（明细）'!C:C&lt;=$L$4),ROW(),"-")</f>
        <v>-</v>
      </c>
    </row>
    <row r="7860" customHeight="1" spans="2:2">
      <c r="B7860" s="62" t="str">
        <f>IF(AND('领用录入（明细）'!D:D=$F$4,'领用录入（明细）'!C:C&gt;=$J$4,'领用录入（明细）'!C:C&lt;=$L$4),ROW(),"-")</f>
        <v>-</v>
      </c>
    </row>
    <row r="7861" customHeight="1" spans="2:2">
      <c r="B7861" s="62" t="str">
        <f>IF(AND('领用录入（明细）'!D:D=$F$4,'领用录入（明细）'!C:C&gt;=$J$4,'领用录入（明细）'!C:C&lt;=$L$4),ROW(),"-")</f>
        <v>-</v>
      </c>
    </row>
    <row r="7862" customHeight="1" spans="2:2">
      <c r="B7862" s="62" t="str">
        <f>IF(AND('领用录入（明细）'!D:D=$F$4,'领用录入（明细）'!C:C&gt;=$J$4,'领用录入（明细）'!C:C&lt;=$L$4),ROW(),"-")</f>
        <v>-</v>
      </c>
    </row>
    <row r="7863" customHeight="1" spans="2:2">
      <c r="B7863" s="62" t="str">
        <f>IF(AND('领用录入（明细）'!D:D=$F$4,'领用录入（明细）'!C:C&gt;=$J$4,'领用录入（明细）'!C:C&lt;=$L$4),ROW(),"-")</f>
        <v>-</v>
      </c>
    </row>
    <row r="7864" customHeight="1" spans="2:2">
      <c r="B7864" s="62" t="str">
        <f>IF(AND('领用录入（明细）'!D:D=$F$4,'领用录入（明细）'!C:C&gt;=$J$4,'领用录入（明细）'!C:C&lt;=$L$4),ROW(),"-")</f>
        <v>-</v>
      </c>
    </row>
    <row r="7865" customHeight="1" spans="2:2">
      <c r="B7865" s="62" t="str">
        <f>IF(AND('领用录入（明细）'!D:D=$F$4,'领用录入（明细）'!C:C&gt;=$J$4,'领用录入（明细）'!C:C&lt;=$L$4),ROW(),"-")</f>
        <v>-</v>
      </c>
    </row>
    <row r="7866" customHeight="1" spans="2:2">
      <c r="B7866" s="62" t="str">
        <f>IF(AND('领用录入（明细）'!D:D=$F$4,'领用录入（明细）'!C:C&gt;=$J$4,'领用录入（明细）'!C:C&lt;=$L$4),ROW(),"-")</f>
        <v>-</v>
      </c>
    </row>
    <row r="7867" customHeight="1" spans="2:2">
      <c r="B7867" s="62" t="str">
        <f>IF(AND('领用录入（明细）'!D:D=$F$4,'领用录入（明细）'!C:C&gt;=$J$4,'领用录入（明细）'!C:C&lt;=$L$4),ROW(),"-")</f>
        <v>-</v>
      </c>
    </row>
    <row r="7868" customHeight="1" spans="2:2">
      <c r="B7868" s="62" t="str">
        <f>IF(AND('领用录入（明细）'!D:D=$F$4,'领用录入（明细）'!C:C&gt;=$J$4,'领用录入（明细）'!C:C&lt;=$L$4),ROW(),"-")</f>
        <v>-</v>
      </c>
    </row>
    <row r="7869" customHeight="1" spans="2:2">
      <c r="B7869" s="62" t="str">
        <f>IF(AND('领用录入（明细）'!D:D=$F$4,'领用录入（明细）'!C:C&gt;=$J$4,'领用录入（明细）'!C:C&lt;=$L$4),ROW(),"-")</f>
        <v>-</v>
      </c>
    </row>
    <row r="7870" customHeight="1" spans="2:2">
      <c r="B7870" s="62" t="str">
        <f>IF(AND('领用录入（明细）'!D:D=$F$4,'领用录入（明细）'!C:C&gt;=$J$4,'领用录入（明细）'!C:C&lt;=$L$4),ROW(),"-")</f>
        <v>-</v>
      </c>
    </row>
    <row r="7871" customHeight="1" spans="2:2">
      <c r="B7871" s="62" t="str">
        <f>IF(AND('领用录入（明细）'!D:D=$F$4,'领用录入（明细）'!C:C&gt;=$J$4,'领用录入（明细）'!C:C&lt;=$L$4),ROW(),"-")</f>
        <v>-</v>
      </c>
    </row>
    <row r="7872" customHeight="1" spans="2:2">
      <c r="B7872" s="62" t="str">
        <f>IF(AND('领用录入（明细）'!D:D=$F$4,'领用录入（明细）'!C:C&gt;=$J$4,'领用录入（明细）'!C:C&lt;=$L$4),ROW(),"-")</f>
        <v>-</v>
      </c>
    </row>
    <row r="7873" customHeight="1" spans="2:2">
      <c r="B7873" s="62" t="str">
        <f>IF(AND('领用录入（明细）'!D:D=$F$4,'领用录入（明细）'!C:C&gt;=$J$4,'领用录入（明细）'!C:C&lt;=$L$4),ROW(),"-")</f>
        <v>-</v>
      </c>
    </row>
    <row r="7874" customHeight="1" spans="2:2">
      <c r="B7874" s="62" t="str">
        <f>IF(AND('领用录入（明细）'!D:D=$F$4,'领用录入（明细）'!C:C&gt;=$J$4,'领用录入（明细）'!C:C&lt;=$L$4),ROW(),"-")</f>
        <v>-</v>
      </c>
    </row>
    <row r="7875" customHeight="1" spans="2:2">
      <c r="B7875" s="62" t="str">
        <f>IF(AND('领用录入（明细）'!D:D=$F$4,'领用录入（明细）'!C:C&gt;=$J$4,'领用录入（明细）'!C:C&lt;=$L$4),ROW(),"-")</f>
        <v>-</v>
      </c>
    </row>
    <row r="7876" customHeight="1" spans="2:2">
      <c r="B7876" s="62" t="str">
        <f>IF(AND('领用录入（明细）'!D:D=$F$4,'领用录入（明细）'!C:C&gt;=$J$4,'领用录入（明细）'!C:C&lt;=$L$4),ROW(),"-")</f>
        <v>-</v>
      </c>
    </row>
    <row r="7877" customHeight="1" spans="2:2">
      <c r="B7877" s="62" t="str">
        <f>IF(AND('领用录入（明细）'!D:D=$F$4,'领用录入（明细）'!C:C&gt;=$J$4,'领用录入（明细）'!C:C&lt;=$L$4),ROW(),"-")</f>
        <v>-</v>
      </c>
    </row>
    <row r="7878" customHeight="1" spans="2:2">
      <c r="B7878" s="62" t="str">
        <f>IF(AND('领用录入（明细）'!D:D=$F$4,'领用录入（明细）'!C:C&gt;=$J$4,'领用录入（明细）'!C:C&lt;=$L$4),ROW(),"-")</f>
        <v>-</v>
      </c>
    </row>
    <row r="7879" customHeight="1" spans="2:2">
      <c r="B7879" s="62" t="str">
        <f>IF(AND('领用录入（明细）'!D:D=$F$4,'领用录入（明细）'!C:C&gt;=$J$4,'领用录入（明细）'!C:C&lt;=$L$4),ROW(),"-")</f>
        <v>-</v>
      </c>
    </row>
    <row r="7880" customHeight="1" spans="2:2">
      <c r="B7880" s="62" t="str">
        <f>IF(AND('领用录入（明细）'!D:D=$F$4,'领用录入（明细）'!C:C&gt;=$J$4,'领用录入（明细）'!C:C&lt;=$L$4),ROW(),"-")</f>
        <v>-</v>
      </c>
    </row>
    <row r="7881" customHeight="1" spans="2:2">
      <c r="B7881" s="62" t="str">
        <f>IF(AND('领用录入（明细）'!D:D=$F$4,'领用录入（明细）'!C:C&gt;=$J$4,'领用录入（明细）'!C:C&lt;=$L$4),ROW(),"-")</f>
        <v>-</v>
      </c>
    </row>
    <row r="7882" customHeight="1" spans="2:2">
      <c r="B7882" s="62" t="str">
        <f>IF(AND('领用录入（明细）'!D:D=$F$4,'领用录入（明细）'!C:C&gt;=$J$4,'领用录入（明细）'!C:C&lt;=$L$4),ROW(),"-")</f>
        <v>-</v>
      </c>
    </row>
    <row r="7883" customHeight="1" spans="2:2">
      <c r="B7883" s="62" t="str">
        <f>IF(AND('领用录入（明细）'!D:D=$F$4,'领用录入（明细）'!C:C&gt;=$J$4,'领用录入（明细）'!C:C&lt;=$L$4),ROW(),"-")</f>
        <v>-</v>
      </c>
    </row>
    <row r="7884" customHeight="1" spans="2:2">
      <c r="B7884" s="62" t="str">
        <f>IF(AND('领用录入（明细）'!D:D=$F$4,'领用录入（明细）'!C:C&gt;=$J$4,'领用录入（明细）'!C:C&lt;=$L$4),ROW(),"-")</f>
        <v>-</v>
      </c>
    </row>
    <row r="7885" customHeight="1" spans="2:2">
      <c r="B7885" s="62" t="str">
        <f>IF(AND('领用录入（明细）'!D:D=$F$4,'领用录入（明细）'!C:C&gt;=$J$4,'领用录入（明细）'!C:C&lt;=$L$4),ROW(),"-")</f>
        <v>-</v>
      </c>
    </row>
    <row r="7886" customHeight="1" spans="2:2">
      <c r="B7886" s="62" t="str">
        <f>IF(AND('领用录入（明细）'!D:D=$F$4,'领用录入（明细）'!C:C&gt;=$J$4,'领用录入（明细）'!C:C&lt;=$L$4),ROW(),"-")</f>
        <v>-</v>
      </c>
    </row>
    <row r="7887" customHeight="1" spans="2:2">
      <c r="B7887" s="62" t="str">
        <f>IF(AND('领用录入（明细）'!D:D=$F$4,'领用录入（明细）'!C:C&gt;=$J$4,'领用录入（明细）'!C:C&lt;=$L$4),ROW(),"-")</f>
        <v>-</v>
      </c>
    </row>
    <row r="7888" customHeight="1" spans="2:2">
      <c r="B7888" s="62" t="str">
        <f>IF(AND('领用录入（明细）'!D:D=$F$4,'领用录入（明细）'!C:C&gt;=$J$4,'领用录入（明细）'!C:C&lt;=$L$4),ROW(),"-")</f>
        <v>-</v>
      </c>
    </row>
    <row r="7889" customHeight="1" spans="2:2">
      <c r="B7889" s="62" t="str">
        <f>IF(AND('领用录入（明细）'!D:D=$F$4,'领用录入（明细）'!C:C&gt;=$J$4,'领用录入（明细）'!C:C&lt;=$L$4),ROW(),"-")</f>
        <v>-</v>
      </c>
    </row>
    <row r="7890" customHeight="1" spans="2:2">
      <c r="B7890" s="62" t="str">
        <f>IF(AND('领用录入（明细）'!D:D=$F$4,'领用录入（明细）'!C:C&gt;=$J$4,'领用录入（明细）'!C:C&lt;=$L$4),ROW(),"-")</f>
        <v>-</v>
      </c>
    </row>
    <row r="7891" customHeight="1" spans="2:2">
      <c r="B7891" s="62" t="str">
        <f>IF(AND('领用录入（明细）'!D:D=$F$4,'领用录入（明细）'!C:C&gt;=$J$4,'领用录入（明细）'!C:C&lt;=$L$4),ROW(),"-")</f>
        <v>-</v>
      </c>
    </row>
    <row r="7892" customHeight="1" spans="2:2">
      <c r="B7892" s="62" t="str">
        <f>IF(AND('领用录入（明细）'!D:D=$F$4,'领用录入（明细）'!C:C&gt;=$J$4,'领用录入（明细）'!C:C&lt;=$L$4),ROW(),"-")</f>
        <v>-</v>
      </c>
    </row>
    <row r="7893" customHeight="1" spans="2:2">
      <c r="B7893" s="62" t="str">
        <f>IF(AND('领用录入（明细）'!D:D=$F$4,'领用录入（明细）'!C:C&gt;=$J$4,'领用录入（明细）'!C:C&lt;=$L$4),ROW(),"-")</f>
        <v>-</v>
      </c>
    </row>
    <row r="7894" customHeight="1" spans="2:2">
      <c r="B7894" s="62" t="str">
        <f>IF(AND('领用录入（明细）'!D:D=$F$4,'领用录入（明细）'!C:C&gt;=$J$4,'领用录入（明细）'!C:C&lt;=$L$4),ROW(),"-")</f>
        <v>-</v>
      </c>
    </row>
    <row r="7895" customHeight="1" spans="2:2">
      <c r="B7895" s="62" t="str">
        <f>IF(AND('领用录入（明细）'!D:D=$F$4,'领用录入（明细）'!C:C&gt;=$J$4,'领用录入（明细）'!C:C&lt;=$L$4),ROW(),"-")</f>
        <v>-</v>
      </c>
    </row>
    <row r="7896" customHeight="1" spans="2:2">
      <c r="B7896" s="62" t="str">
        <f>IF(AND('领用录入（明细）'!D:D=$F$4,'领用录入（明细）'!C:C&gt;=$J$4,'领用录入（明细）'!C:C&lt;=$L$4),ROW(),"-")</f>
        <v>-</v>
      </c>
    </row>
    <row r="7897" customHeight="1" spans="2:2">
      <c r="B7897" s="62" t="str">
        <f>IF(AND('领用录入（明细）'!D:D=$F$4,'领用录入（明细）'!C:C&gt;=$J$4,'领用录入（明细）'!C:C&lt;=$L$4),ROW(),"-")</f>
        <v>-</v>
      </c>
    </row>
    <row r="7898" customHeight="1" spans="2:2">
      <c r="B7898" s="62" t="str">
        <f>IF(AND('领用录入（明细）'!D:D=$F$4,'领用录入（明细）'!C:C&gt;=$J$4,'领用录入（明细）'!C:C&lt;=$L$4),ROW(),"-")</f>
        <v>-</v>
      </c>
    </row>
    <row r="7899" customHeight="1" spans="2:2">
      <c r="B7899" s="62" t="str">
        <f>IF(AND('领用录入（明细）'!D:D=$F$4,'领用录入（明细）'!C:C&gt;=$J$4,'领用录入（明细）'!C:C&lt;=$L$4),ROW(),"-")</f>
        <v>-</v>
      </c>
    </row>
    <row r="7900" customHeight="1" spans="2:2">
      <c r="B7900" s="62" t="str">
        <f>IF(AND('领用录入（明细）'!D:D=$F$4,'领用录入（明细）'!C:C&gt;=$J$4,'领用录入（明细）'!C:C&lt;=$L$4),ROW(),"-")</f>
        <v>-</v>
      </c>
    </row>
    <row r="7901" customHeight="1" spans="2:2">
      <c r="B7901" s="62" t="str">
        <f>IF(AND('领用录入（明细）'!D:D=$F$4,'领用录入（明细）'!C:C&gt;=$J$4,'领用录入（明细）'!C:C&lt;=$L$4),ROW(),"-")</f>
        <v>-</v>
      </c>
    </row>
    <row r="7902" customHeight="1" spans="2:2">
      <c r="B7902" s="62" t="str">
        <f>IF(AND('领用录入（明细）'!D:D=$F$4,'领用录入（明细）'!C:C&gt;=$J$4,'领用录入（明细）'!C:C&lt;=$L$4),ROW(),"-")</f>
        <v>-</v>
      </c>
    </row>
    <row r="7903" customHeight="1" spans="2:2">
      <c r="B7903" s="62" t="str">
        <f>IF(AND('领用录入（明细）'!D:D=$F$4,'领用录入（明细）'!C:C&gt;=$J$4,'领用录入（明细）'!C:C&lt;=$L$4),ROW(),"-")</f>
        <v>-</v>
      </c>
    </row>
    <row r="7904" customHeight="1" spans="2:2">
      <c r="B7904" s="62" t="str">
        <f>IF(AND('领用录入（明细）'!D:D=$F$4,'领用录入（明细）'!C:C&gt;=$J$4,'领用录入（明细）'!C:C&lt;=$L$4),ROW(),"-")</f>
        <v>-</v>
      </c>
    </row>
    <row r="7905" customHeight="1" spans="2:2">
      <c r="B7905" s="62" t="str">
        <f>IF(AND('领用录入（明细）'!D:D=$F$4,'领用录入（明细）'!C:C&gt;=$J$4,'领用录入（明细）'!C:C&lt;=$L$4),ROW(),"-")</f>
        <v>-</v>
      </c>
    </row>
    <row r="7906" customHeight="1" spans="2:2">
      <c r="B7906" s="62" t="str">
        <f>IF(AND('领用录入（明细）'!D:D=$F$4,'领用录入（明细）'!C:C&gt;=$J$4,'领用录入（明细）'!C:C&lt;=$L$4),ROW(),"-")</f>
        <v>-</v>
      </c>
    </row>
    <row r="7907" customHeight="1" spans="2:2">
      <c r="B7907" s="62" t="str">
        <f>IF(AND('领用录入（明细）'!D:D=$F$4,'领用录入（明细）'!C:C&gt;=$J$4,'领用录入（明细）'!C:C&lt;=$L$4),ROW(),"-")</f>
        <v>-</v>
      </c>
    </row>
    <row r="7908" customHeight="1" spans="2:2">
      <c r="B7908" s="62" t="str">
        <f>IF(AND('领用录入（明细）'!D:D=$F$4,'领用录入（明细）'!C:C&gt;=$J$4,'领用录入（明细）'!C:C&lt;=$L$4),ROW(),"-")</f>
        <v>-</v>
      </c>
    </row>
    <row r="7909" customHeight="1" spans="2:2">
      <c r="B7909" s="62" t="str">
        <f>IF(AND('领用录入（明细）'!D:D=$F$4,'领用录入（明细）'!C:C&gt;=$J$4,'领用录入（明细）'!C:C&lt;=$L$4),ROW(),"-")</f>
        <v>-</v>
      </c>
    </row>
    <row r="7910" customHeight="1" spans="2:2">
      <c r="B7910" s="62" t="str">
        <f>IF(AND('领用录入（明细）'!D:D=$F$4,'领用录入（明细）'!C:C&gt;=$J$4,'领用录入（明细）'!C:C&lt;=$L$4),ROW(),"-")</f>
        <v>-</v>
      </c>
    </row>
    <row r="7911" customHeight="1" spans="2:2">
      <c r="B7911" s="62" t="str">
        <f>IF(AND('领用录入（明细）'!D:D=$F$4,'领用录入（明细）'!C:C&gt;=$J$4,'领用录入（明细）'!C:C&lt;=$L$4),ROW(),"-")</f>
        <v>-</v>
      </c>
    </row>
    <row r="7912" customHeight="1" spans="2:2">
      <c r="B7912" s="62" t="str">
        <f>IF(AND('领用录入（明细）'!D:D=$F$4,'领用录入（明细）'!C:C&gt;=$J$4,'领用录入（明细）'!C:C&lt;=$L$4),ROW(),"-")</f>
        <v>-</v>
      </c>
    </row>
    <row r="7913" customHeight="1" spans="2:2">
      <c r="B7913" s="62" t="str">
        <f>IF(AND('领用录入（明细）'!D:D=$F$4,'领用录入（明细）'!C:C&gt;=$J$4,'领用录入（明细）'!C:C&lt;=$L$4),ROW(),"-")</f>
        <v>-</v>
      </c>
    </row>
    <row r="7914" customHeight="1" spans="2:2">
      <c r="B7914" s="62" t="str">
        <f>IF(AND('领用录入（明细）'!D:D=$F$4,'领用录入（明细）'!C:C&gt;=$J$4,'领用录入（明细）'!C:C&lt;=$L$4),ROW(),"-")</f>
        <v>-</v>
      </c>
    </row>
    <row r="7915" customHeight="1" spans="2:2">
      <c r="B7915" s="62" t="str">
        <f>IF(AND('领用录入（明细）'!D:D=$F$4,'领用录入（明细）'!C:C&gt;=$J$4,'领用录入（明细）'!C:C&lt;=$L$4),ROW(),"-")</f>
        <v>-</v>
      </c>
    </row>
    <row r="7916" customHeight="1" spans="2:2">
      <c r="B7916" s="62" t="str">
        <f>IF(AND('领用录入（明细）'!D:D=$F$4,'领用录入（明细）'!C:C&gt;=$J$4,'领用录入（明细）'!C:C&lt;=$L$4),ROW(),"-")</f>
        <v>-</v>
      </c>
    </row>
    <row r="7917" customHeight="1" spans="2:2">
      <c r="B7917" s="62" t="str">
        <f>IF(AND('领用录入（明细）'!D:D=$F$4,'领用录入（明细）'!C:C&gt;=$J$4,'领用录入（明细）'!C:C&lt;=$L$4),ROW(),"-")</f>
        <v>-</v>
      </c>
    </row>
    <row r="7918" customHeight="1" spans="2:2">
      <c r="B7918" s="62" t="str">
        <f>IF(AND('领用录入（明细）'!D:D=$F$4,'领用录入（明细）'!C:C&gt;=$J$4,'领用录入（明细）'!C:C&lt;=$L$4),ROW(),"-")</f>
        <v>-</v>
      </c>
    </row>
    <row r="7919" customHeight="1" spans="2:2">
      <c r="B7919" s="62" t="str">
        <f>IF(AND('领用录入（明细）'!D:D=$F$4,'领用录入（明细）'!C:C&gt;=$J$4,'领用录入（明细）'!C:C&lt;=$L$4),ROW(),"-")</f>
        <v>-</v>
      </c>
    </row>
    <row r="7920" customHeight="1" spans="2:2">
      <c r="B7920" s="62" t="str">
        <f>IF(AND('领用录入（明细）'!D:D=$F$4,'领用录入（明细）'!C:C&gt;=$J$4,'领用录入（明细）'!C:C&lt;=$L$4),ROW(),"-")</f>
        <v>-</v>
      </c>
    </row>
    <row r="7921" customHeight="1" spans="2:2">
      <c r="B7921" s="62" t="str">
        <f>IF(AND('领用录入（明细）'!D:D=$F$4,'领用录入（明细）'!C:C&gt;=$J$4,'领用录入（明细）'!C:C&lt;=$L$4),ROW(),"-")</f>
        <v>-</v>
      </c>
    </row>
    <row r="7922" customHeight="1" spans="2:2">
      <c r="B7922" s="62" t="str">
        <f>IF(AND('领用录入（明细）'!D:D=$F$4,'领用录入（明细）'!C:C&gt;=$J$4,'领用录入（明细）'!C:C&lt;=$L$4),ROW(),"-")</f>
        <v>-</v>
      </c>
    </row>
    <row r="7923" customHeight="1" spans="2:2">
      <c r="B7923" s="62" t="str">
        <f>IF(AND('领用录入（明细）'!D:D=$F$4,'领用录入（明细）'!C:C&gt;=$J$4,'领用录入（明细）'!C:C&lt;=$L$4),ROW(),"-")</f>
        <v>-</v>
      </c>
    </row>
    <row r="7924" customHeight="1" spans="2:2">
      <c r="B7924" s="62" t="str">
        <f>IF(AND('领用录入（明细）'!D:D=$F$4,'领用录入（明细）'!C:C&gt;=$J$4,'领用录入（明细）'!C:C&lt;=$L$4),ROW(),"-")</f>
        <v>-</v>
      </c>
    </row>
    <row r="7925" customHeight="1" spans="2:2">
      <c r="B7925" s="62" t="str">
        <f>IF(AND('领用录入（明细）'!D:D=$F$4,'领用录入（明细）'!C:C&gt;=$J$4,'领用录入（明细）'!C:C&lt;=$L$4),ROW(),"-")</f>
        <v>-</v>
      </c>
    </row>
    <row r="7926" customHeight="1" spans="2:2">
      <c r="B7926" s="62" t="str">
        <f>IF(AND('领用录入（明细）'!D:D=$F$4,'领用录入（明细）'!C:C&gt;=$J$4,'领用录入（明细）'!C:C&lt;=$L$4),ROW(),"-")</f>
        <v>-</v>
      </c>
    </row>
    <row r="7927" customHeight="1" spans="2:2">
      <c r="B7927" s="62" t="str">
        <f>IF(AND('领用录入（明细）'!D:D=$F$4,'领用录入（明细）'!C:C&gt;=$J$4,'领用录入（明细）'!C:C&lt;=$L$4),ROW(),"-")</f>
        <v>-</v>
      </c>
    </row>
    <row r="7928" customHeight="1" spans="2:2">
      <c r="B7928" s="62" t="str">
        <f>IF(AND('领用录入（明细）'!D:D=$F$4,'领用录入（明细）'!C:C&gt;=$J$4,'领用录入（明细）'!C:C&lt;=$L$4),ROW(),"-")</f>
        <v>-</v>
      </c>
    </row>
    <row r="7929" customHeight="1" spans="2:2">
      <c r="B7929" s="62" t="str">
        <f>IF(AND('领用录入（明细）'!D:D=$F$4,'领用录入（明细）'!C:C&gt;=$J$4,'领用录入（明细）'!C:C&lt;=$L$4),ROW(),"-")</f>
        <v>-</v>
      </c>
    </row>
    <row r="7930" customHeight="1" spans="2:2">
      <c r="B7930" s="62" t="str">
        <f>IF(AND('领用录入（明细）'!D:D=$F$4,'领用录入（明细）'!C:C&gt;=$J$4,'领用录入（明细）'!C:C&lt;=$L$4),ROW(),"-")</f>
        <v>-</v>
      </c>
    </row>
    <row r="7931" customHeight="1" spans="2:2">
      <c r="B7931" s="62" t="str">
        <f>IF(AND('领用录入（明细）'!D:D=$F$4,'领用录入（明细）'!C:C&gt;=$J$4,'领用录入（明细）'!C:C&lt;=$L$4),ROW(),"-")</f>
        <v>-</v>
      </c>
    </row>
    <row r="7932" customHeight="1" spans="2:2">
      <c r="B7932" s="62" t="str">
        <f>IF(AND('领用录入（明细）'!D:D=$F$4,'领用录入（明细）'!C:C&gt;=$J$4,'领用录入（明细）'!C:C&lt;=$L$4),ROW(),"-")</f>
        <v>-</v>
      </c>
    </row>
    <row r="7933" customHeight="1" spans="2:2">
      <c r="B7933" s="62" t="str">
        <f>IF(AND('领用录入（明细）'!D:D=$F$4,'领用录入（明细）'!C:C&gt;=$J$4,'领用录入（明细）'!C:C&lt;=$L$4),ROW(),"-")</f>
        <v>-</v>
      </c>
    </row>
    <row r="7934" customHeight="1" spans="2:2">
      <c r="B7934" s="62" t="str">
        <f>IF(AND('领用录入（明细）'!D:D=$F$4,'领用录入（明细）'!C:C&gt;=$J$4,'领用录入（明细）'!C:C&lt;=$L$4),ROW(),"-")</f>
        <v>-</v>
      </c>
    </row>
    <row r="7935" customHeight="1" spans="2:2">
      <c r="B7935" s="62" t="str">
        <f>IF(AND('领用录入（明细）'!D:D=$F$4,'领用录入（明细）'!C:C&gt;=$J$4,'领用录入（明细）'!C:C&lt;=$L$4),ROW(),"-")</f>
        <v>-</v>
      </c>
    </row>
    <row r="7936" customHeight="1" spans="2:2">
      <c r="B7936" s="62" t="str">
        <f>IF(AND('领用录入（明细）'!D:D=$F$4,'领用录入（明细）'!C:C&gt;=$J$4,'领用录入（明细）'!C:C&lt;=$L$4),ROW(),"-")</f>
        <v>-</v>
      </c>
    </row>
    <row r="7937" customHeight="1" spans="2:2">
      <c r="B7937" s="62" t="str">
        <f>IF(AND('领用录入（明细）'!D:D=$F$4,'领用录入（明细）'!C:C&gt;=$J$4,'领用录入（明细）'!C:C&lt;=$L$4),ROW(),"-")</f>
        <v>-</v>
      </c>
    </row>
    <row r="7938" customHeight="1" spans="2:2">
      <c r="B7938" s="62" t="str">
        <f>IF(AND('领用录入（明细）'!D:D=$F$4,'领用录入（明细）'!C:C&gt;=$J$4,'领用录入（明细）'!C:C&lt;=$L$4),ROW(),"-")</f>
        <v>-</v>
      </c>
    </row>
    <row r="7939" customHeight="1" spans="2:2">
      <c r="B7939" s="62" t="str">
        <f>IF(AND('领用录入（明细）'!D:D=$F$4,'领用录入（明细）'!C:C&gt;=$J$4,'领用录入（明细）'!C:C&lt;=$L$4),ROW(),"-")</f>
        <v>-</v>
      </c>
    </row>
    <row r="7940" customHeight="1" spans="2:2">
      <c r="B7940" s="62" t="str">
        <f>IF(AND('领用录入（明细）'!D:D=$F$4,'领用录入（明细）'!C:C&gt;=$J$4,'领用录入（明细）'!C:C&lt;=$L$4),ROW(),"-")</f>
        <v>-</v>
      </c>
    </row>
    <row r="7941" customHeight="1" spans="2:2">
      <c r="B7941" s="62" t="str">
        <f>IF(AND('领用录入（明细）'!D:D=$F$4,'领用录入（明细）'!C:C&gt;=$J$4,'领用录入（明细）'!C:C&lt;=$L$4),ROW(),"-")</f>
        <v>-</v>
      </c>
    </row>
    <row r="7942" customHeight="1" spans="2:2">
      <c r="B7942" s="62" t="str">
        <f>IF(AND('领用录入（明细）'!D:D=$F$4,'领用录入（明细）'!C:C&gt;=$J$4,'领用录入（明细）'!C:C&lt;=$L$4),ROW(),"-")</f>
        <v>-</v>
      </c>
    </row>
    <row r="7943" customHeight="1" spans="2:2">
      <c r="B7943" s="62" t="str">
        <f>IF(AND('领用录入（明细）'!D:D=$F$4,'领用录入（明细）'!C:C&gt;=$J$4,'领用录入（明细）'!C:C&lt;=$L$4),ROW(),"-")</f>
        <v>-</v>
      </c>
    </row>
    <row r="7944" customHeight="1" spans="2:2">
      <c r="B7944" s="62" t="str">
        <f>IF(AND('领用录入（明细）'!D:D=$F$4,'领用录入（明细）'!C:C&gt;=$J$4,'领用录入（明细）'!C:C&lt;=$L$4),ROW(),"-")</f>
        <v>-</v>
      </c>
    </row>
    <row r="7945" customHeight="1" spans="2:2">
      <c r="B7945" s="62" t="str">
        <f>IF(AND('领用录入（明细）'!D:D=$F$4,'领用录入（明细）'!C:C&gt;=$J$4,'领用录入（明细）'!C:C&lt;=$L$4),ROW(),"-")</f>
        <v>-</v>
      </c>
    </row>
    <row r="7946" customHeight="1" spans="2:2">
      <c r="B7946" s="62" t="str">
        <f>IF(AND('领用录入（明细）'!D:D=$F$4,'领用录入（明细）'!C:C&gt;=$J$4,'领用录入（明细）'!C:C&lt;=$L$4),ROW(),"-")</f>
        <v>-</v>
      </c>
    </row>
    <row r="7947" customHeight="1" spans="2:2">
      <c r="B7947" s="62" t="str">
        <f>IF(AND('领用录入（明细）'!D:D=$F$4,'领用录入（明细）'!C:C&gt;=$J$4,'领用录入（明细）'!C:C&lt;=$L$4),ROW(),"-")</f>
        <v>-</v>
      </c>
    </row>
    <row r="7948" customHeight="1" spans="2:2">
      <c r="B7948" s="62" t="str">
        <f>IF(AND('领用录入（明细）'!D:D=$F$4,'领用录入（明细）'!C:C&gt;=$J$4,'领用录入（明细）'!C:C&lt;=$L$4),ROW(),"-")</f>
        <v>-</v>
      </c>
    </row>
    <row r="7949" customHeight="1" spans="2:2">
      <c r="B7949" s="62" t="str">
        <f>IF(AND('领用录入（明细）'!D:D=$F$4,'领用录入（明细）'!C:C&gt;=$J$4,'领用录入（明细）'!C:C&lt;=$L$4),ROW(),"-")</f>
        <v>-</v>
      </c>
    </row>
    <row r="7950" customHeight="1" spans="2:2">
      <c r="B7950" s="62" t="str">
        <f>IF(AND('领用录入（明细）'!D:D=$F$4,'领用录入（明细）'!C:C&gt;=$J$4,'领用录入（明细）'!C:C&lt;=$L$4),ROW(),"-")</f>
        <v>-</v>
      </c>
    </row>
    <row r="7951" customHeight="1" spans="2:2">
      <c r="B7951" s="62" t="str">
        <f>IF(AND('领用录入（明细）'!D:D=$F$4,'领用录入（明细）'!C:C&gt;=$J$4,'领用录入（明细）'!C:C&lt;=$L$4),ROW(),"-")</f>
        <v>-</v>
      </c>
    </row>
    <row r="7952" customHeight="1" spans="2:2">
      <c r="B7952" s="62" t="str">
        <f>IF(AND('领用录入（明细）'!D:D=$F$4,'领用录入（明细）'!C:C&gt;=$J$4,'领用录入（明细）'!C:C&lt;=$L$4),ROW(),"-")</f>
        <v>-</v>
      </c>
    </row>
    <row r="7953" customHeight="1" spans="2:2">
      <c r="B7953" s="62" t="str">
        <f>IF(AND('领用录入（明细）'!D:D=$F$4,'领用录入（明细）'!C:C&gt;=$J$4,'领用录入（明细）'!C:C&lt;=$L$4),ROW(),"-")</f>
        <v>-</v>
      </c>
    </row>
    <row r="7954" customHeight="1" spans="2:2">
      <c r="B7954" s="62" t="str">
        <f>IF(AND('领用录入（明细）'!D:D=$F$4,'领用录入（明细）'!C:C&gt;=$J$4,'领用录入（明细）'!C:C&lt;=$L$4),ROW(),"-")</f>
        <v>-</v>
      </c>
    </row>
    <row r="7955" customHeight="1" spans="2:2">
      <c r="B7955" s="62" t="str">
        <f>IF(AND('领用录入（明细）'!D:D=$F$4,'领用录入（明细）'!C:C&gt;=$J$4,'领用录入（明细）'!C:C&lt;=$L$4),ROW(),"-")</f>
        <v>-</v>
      </c>
    </row>
    <row r="7956" customHeight="1" spans="2:2">
      <c r="B7956" s="62" t="str">
        <f>IF(AND('领用录入（明细）'!D:D=$F$4,'领用录入（明细）'!C:C&gt;=$J$4,'领用录入（明细）'!C:C&lt;=$L$4),ROW(),"-")</f>
        <v>-</v>
      </c>
    </row>
    <row r="7957" customHeight="1" spans="2:2">
      <c r="B7957" s="62" t="str">
        <f>IF(AND('领用录入（明细）'!D:D=$F$4,'领用录入（明细）'!C:C&gt;=$J$4,'领用录入（明细）'!C:C&lt;=$L$4),ROW(),"-")</f>
        <v>-</v>
      </c>
    </row>
    <row r="7958" customHeight="1" spans="2:2">
      <c r="B7958" s="62" t="str">
        <f>IF(AND('领用录入（明细）'!D:D=$F$4,'领用录入（明细）'!C:C&gt;=$J$4,'领用录入（明细）'!C:C&lt;=$L$4),ROW(),"-")</f>
        <v>-</v>
      </c>
    </row>
    <row r="7959" customHeight="1" spans="2:2">
      <c r="B7959" s="62" t="str">
        <f>IF(AND('领用录入（明细）'!D:D=$F$4,'领用录入（明细）'!C:C&gt;=$J$4,'领用录入（明细）'!C:C&lt;=$L$4),ROW(),"-")</f>
        <v>-</v>
      </c>
    </row>
    <row r="7960" customHeight="1" spans="2:2">
      <c r="B7960" s="62" t="str">
        <f>IF(AND('领用录入（明细）'!D:D=$F$4,'领用录入（明细）'!C:C&gt;=$J$4,'领用录入（明细）'!C:C&lt;=$L$4),ROW(),"-")</f>
        <v>-</v>
      </c>
    </row>
    <row r="7961" customHeight="1" spans="2:2">
      <c r="B7961" s="62" t="str">
        <f>IF(AND('领用录入（明细）'!D:D=$F$4,'领用录入（明细）'!C:C&gt;=$J$4,'领用录入（明细）'!C:C&lt;=$L$4),ROW(),"-")</f>
        <v>-</v>
      </c>
    </row>
    <row r="7962" customHeight="1" spans="2:2">
      <c r="B7962" s="62" t="str">
        <f>IF(AND('领用录入（明细）'!D:D=$F$4,'领用录入（明细）'!C:C&gt;=$J$4,'领用录入（明细）'!C:C&lt;=$L$4),ROW(),"-")</f>
        <v>-</v>
      </c>
    </row>
    <row r="7963" customHeight="1" spans="2:2">
      <c r="B7963" s="62" t="str">
        <f>IF(AND('领用录入（明细）'!D:D=$F$4,'领用录入（明细）'!C:C&gt;=$J$4,'领用录入（明细）'!C:C&lt;=$L$4),ROW(),"-")</f>
        <v>-</v>
      </c>
    </row>
    <row r="7964" customHeight="1" spans="2:2">
      <c r="B7964" s="62" t="str">
        <f>IF(AND('领用录入（明细）'!D:D=$F$4,'领用录入（明细）'!C:C&gt;=$J$4,'领用录入（明细）'!C:C&lt;=$L$4),ROW(),"-")</f>
        <v>-</v>
      </c>
    </row>
    <row r="7965" customHeight="1" spans="2:2">
      <c r="B7965" s="62" t="str">
        <f>IF(AND('领用录入（明细）'!D:D=$F$4,'领用录入（明细）'!C:C&gt;=$J$4,'领用录入（明细）'!C:C&lt;=$L$4),ROW(),"-")</f>
        <v>-</v>
      </c>
    </row>
    <row r="7966" customHeight="1" spans="2:2">
      <c r="B7966" s="62" t="str">
        <f>IF(AND('领用录入（明细）'!D:D=$F$4,'领用录入（明细）'!C:C&gt;=$J$4,'领用录入（明细）'!C:C&lt;=$L$4),ROW(),"-")</f>
        <v>-</v>
      </c>
    </row>
    <row r="7967" customHeight="1" spans="2:2">
      <c r="B7967" s="62" t="str">
        <f>IF(AND('领用录入（明细）'!D:D=$F$4,'领用录入（明细）'!C:C&gt;=$J$4,'领用录入（明细）'!C:C&lt;=$L$4),ROW(),"-")</f>
        <v>-</v>
      </c>
    </row>
    <row r="7968" customHeight="1" spans="2:2">
      <c r="B7968" s="62" t="str">
        <f>IF(AND('领用录入（明细）'!D:D=$F$4,'领用录入（明细）'!C:C&gt;=$J$4,'领用录入（明细）'!C:C&lt;=$L$4),ROW(),"-")</f>
        <v>-</v>
      </c>
    </row>
    <row r="7969" customHeight="1" spans="2:2">
      <c r="B7969" s="62" t="str">
        <f>IF(AND('领用录入（明细）'!D:D=$F$4,'领用录入（明细）'!C:C&gt;=$J$4,'领用录入（明细）'!C:C&lt;=$L$4),ROW(),"-")</f>
        <v>-</v>
      </c>
    </row>
    <row r="7970" customHeight="1" spans="2:2">
      <c r="B7970" s="62" t="str">
        <f>IF(AND('领用录入（明细）'!D:D=$F$4,'领用录入（明细）'!C:C&gt;=$J$4,'领用录入（明细）'!C:C&lt;=$L$4),ROW(),"-")</f>
        <v>-</v>
      </c>
    </row>
    <row r="7971" customHeight="1" spans="2:2">
      <c r="B7971" s="62" t="str">
        <f>IF(AND('领用录入（明细）'!D:D=$F$4,'领用录入（明细）'!C:C&gt;=$J$4,'领用录入（明细）'!C:C&lt;=$L$4),ROW(),"-")</f>
        <v>-</v>
      </c>
    </row>
    <row r="7972" customHeight="1" spans="2:2">
      <c r="B7972" s="62" t="str">
        <f>IF(AND('领用录入（明细）'!D:D=$F$4,'领用录入（明细）'!C:C&gt;=$J$4,'领用录入（明细）'!C:C&lt;=$L$4),ROW(),"-")</f>
        <v>-</v>
      </c>
    </row>
    <row r="7973" customHeight="1" spans="2:2">
      <c r="B7973" s="62" t="str">
        <f>IF(AND('领用录入（明细）'!D:D=$F$4,'领用录入（明细）'!C:C&gt;=$J$4,'领用录入（明细）'!C:C&lt;=$L$4),ROW(),"-")</f>
        <v>-</v>
      </c>
    </row>
    <row r="7974" customHeight="1" spans="2:2">
      <c r="B7974" s="62" t="str">
        <f>IF(AND('领用录入（明细）'!D:D=$F$4,'领用录入（明细）'!C:C&gt;=$J$4,'领用录入（明细）'!C:C&lt;=$L$4),ROW(),"-")</f>
        <v>-</v>
      </c>
    </row>
    <row r="7975" customHeight="1" spans="2:2">
      <c r="B7975" s="62" t="str">
        <f>IF(AND('领用录入（明细）'!D:D=$F$4,'领用录入（明细）'!C:C&gt;=$J$4,'领用录入（明细）'!C:C&lt;=$L$4),ROW(),"-")</f>
        <v>-</v>
      </c>
    </row>
    <row r="7976" customHeight="1" spans="2:2">
      <c r="B7976" s="62" t="str">
        <f>IF(AND('领用录入（明细）'!D:D=$F$4,'领用录入（明细）'!C:C&gt;=$J$4,'领用录入（明细）'!C:C&lt;=$L$4),ROW(),"-")</f>
        <v>-</v>
      </c>
    </row>
    <row r="7977" customHeight="1" spans="2:2">
      <c r="B7977" s="62" t="str">
        <f>IF(AND('领用录入（明细）'!D:D=$F$4,'领用录入（明细）'!C:C&gt;=$J$4,'领用录入（明细）'!C:C&lt;=$L$4),ROW(),"-")</f>
        <v>-</v>
      </c>
    </row>
    <row r="7978" customHeight="1" spans="2:2">
      <c r="B7978" s="62" t="str">
        <f>IF(AND('领用录入（明细）'!D:D=$F$4,'领用录入（明细）'!C:C&gt;=$J$4,'领用录入（明细）'!C:C&lt;=$L$4),ROW(),"-")</f>
        <v>-</v>
      </c>
    </row>
    <row r="7979" customHeight="1" spans="2:2">
      <c r="B7979" s="62" t="str">
        <f>IF(AND('领用录入（明细）'!D:D=$F$4,'领用录入（明细）'!C:C&gt;=$J$4,'领用录入（明细）'!C:C&lt;=$L$4),ROW(),"-")</f>
        <v>-</v>
      </c>
    </row>
    <row r="7980" customHeight="1" spans="2:2">
      <c r="B7980" s="62" t="str">
        <f>IF(AND('领用录入（明细）'!D:D=$F$4,'领用录入（明细）'!C:C&gt;=$J$4,'领用录入（明细）'!C:C&lt;=$L$4),ROW(),"-")</f>
        <v>-</v>
      </c>
    </row>
    <row r="7981" customHeight="1" spans="2:2">
      <c r="B7981" s="62" t="str">
        <f>IF(AND('领用录入（明细）'!D:D=$F$4,'领用录入（明细）'!C:C&gt;=$J$4,'领用录入（明细）'!C:C&lt;=$L$4),ROW(),"-")</f>
        <v>-</v>
      </c>
    </row>
    <row r="7982" customHeight="1" spans="2:2">
      <c r="B7982" s="62" t="str">
        <f>IF(AND('领用录入（明细）'!D:D=$F$4,'领用录入（明细）'!C:C&gt;=$J$4,'领用录入（明细）'!C:C&lt;=$L$4),ROW(),"-")</f>
        <v>-</v>
      </c>
    </row>
    <row r="7983" customHeight="1" spans="2:2">
      <c r="B7983" s="62" t="str">
        <f>IF(AND('领用录入（明细）'!D:D=$F$4,'领用录入（明细）'!C:C&gt;=$J$4,'领用录入（明细）'!C:C&lt;=$L$4),ROW(),"-")</f>
        <v>-</v>
      </c>
    </row>
    <row r="7984" customHeight="1" spans="2:2">
      <c r="B7984" s="62" t="str">
        <f>IF(AND('领用录入（明细）'!D:D=$F$4,'领用录入（明细）'!C:C&gt;=$J$4,'领用录入（明细）'!C:C&lt;=$L$4),ROW(),"-")</f>
        <v>-</v>
      </c>
    </row>
    <row r="7985" customHeight="1" spans="2:2">
      <c r="B7985" s="62" t="str">
        <f>IF(AND('领用录入（明细）'!D:D=$F$4,'领用录入（明细）'!C:C&gt;=$J$4,'领用录入（明细）'!C:C&lt;=$L$4),ROW(),"-")</f>
        <v>-</v>
      </c>
    </row>
    <row r="7986" customHeight="1" spans="2:2">
      <c r="B7986" s="62" t="str">
        <f>IF(AND('领用录入（明细）'!D:D=$F$4,'领用录入（明细）'!C:C&gt;=$J$4,'领用录入（明细）'!C:C&lt;=$L$4),ROW(),"-")</f>
        <v>-</v>
      </c>
    </row>
    <row r="7987" customHeight="1" spans="2:2">
      <c r="B7987" s="62" t="str">
        <f>IF(AND('领用录入（明细）'!D:D=$F$4,'领用录入（明细）'!C:C&gt;=$J$4,'领用录入（明细）'!C:C&lt;=$L$4),ROW(),"-")</f>
        <v>-</v>
      </c>
    </row>
    <row r="7988" customHeight="1" spans="2:2">
      <c r="B7988" s="62" t="str">
        <f>IF(AND('领用录入（明细）'!D:D=$F$4,'领用录入（明细）'!C:C&gt;=$J$4,'领用录入（明细）'!C:C&lt;=$L$4),ROW(),"-")</f>
        <v>-</v>
      </c>
    </row>
    <row r="7989" customHeight="1" spans="2:2">
      <c r="B7989" s="62" t="str">
        <f>IF(AND('领用录入（明细）'!D:D=$F$4,'领用录入（明细）'!C:C&gt;=$J$4,'领用录入（明细）'!C:C&lt;=$L$4),ROW(),"-")</f>
        <v>-</v>
      </c>
    </row>
    <row r="7990" customHeight="1" spans="2:2">
      <c r="B7990" s="62" t="str">
        <f>IF(AND('领用录入（明细）'!D:D=$F$4,'领用录入（明细）'!C:C&gt;=$J$4,'领用录入（明细）'!C:C&lt;=$L$4),ROW(),"-")</f>
        <v>-</v>
      </c>
    </row>
    <row r="7991" customHeight="1" spans="2:2">
      <c r="B7991" s="62" t="str">
        <f>IF(AND('领用录入（明细）'!D:D=$F$4,'领用录入（明细）'!C:C&gt;=$J$4,'领用录入（明细）'!C:C&lt;=$L$4),ROW(),"-")</f>
        <v>-</v>
      </c>
    </row>
    <row r="7992" customHeight="1" spans="2:2">
      <c r="B7992" s="62" t="str">
        <f>IF(AND('领用录入（明细）'!D:D=$F$4,'领用录入（明细）'!C:C&gt;=$J$4,'领用录入（明细）'!C:C&lt;=$L$4),ROW(),"-")</f>
        <v>-</v>
      </c>
    </row>
    <row r="7993" customHeight="1" spans="2:2">
      <c r="B7993" s="62" t="str">
        <f>IF(AND('领用录入（明细）'!D:D=$F$4,'领用录入（明细）'!C:C&gt;=$J$4,'领用录入（明细）'!C:C&lt;=$L$4),ROW(),"-")</f>
        <v>-</v>
      </c>
    </row>
    <row r="7994" customHeight="1" spans="2:2">
      <c r="B7994" s="62" t="str">
        <f>IF(AND('领用录入（明细）'!D:D=$F$4,'领用录入（明细）'!C:C&gt;=$J$4,'领用录入（明细）'!C:C&lt;=$L$4),ROW(),"-")</f>
        <v>-</v>
      </c>
    </row>
    <row r="7995" customHeight="1" spans="2:2">
      <c r="B7995" s="62" t="str">
        <f>IF(AND('领用录入（明细）'!D:D=$F$4,'领用录入（明细）'!C:C&gt;=$J$4,'领用录入（明细）'!C:C&lt;=$L$4),ROW(),"-")</f>
        <v>-</v>
      </c>
    </row>
    <row r="7996" customHeight="1" spans="2:2">
      <c r="B7996" s="62" t="str">
        <f>IF(AND('领用录入（明细）'!D:D=$F$4,'领用录入（明细）'!C:C&gt;=$J$4,'领用录入（明细）'!C:C&lt;=$L$4),ROW(),"-")</f>
        <v>-</v>
      </c>
    </row>
    <row r="7997" customHeight="1" spans="2:2">
      <c r="B7997" s="62" t="str">
        <f>IF(AND('领用录入（明细）'!D:D=$F$4,'领用录入（明细）'!C:C&gt;=$J$4,'领用录入（明细）'!C:C&lt;=$L$4),ROW(),"-")</f>
        <v>-</v>
      </c>
    </row>
    <row r="7998" customHeight="1" spans="2:2">
      <c r="B7998" s="62" t="str">
        <f>IF(AND('领用录入（明细）'!D:D=$F$4,'领用录入（明细）'!C:C&gt;=$J$4,'领用录入（明细）'!C:C&lt;=$L$4),ROW(),"-")</f>
        <v>-</v>
      </c>
    </row>
    <row r="7999" customHeight="1" spans="2:2">
      <c r="B7999" s="62" t="str">
        <f>IF(AND('领用录入（明细）'!D:D=$F$4,'领用录入（明细）'!C:C&gt;=$J$4,'领用录入（明细）'!C:C&lt;=$L$4),ROW(),"-")</f>
        <v>-</v>
      </c>
    </row>
    <row r="8000" customHeight="1" spans="2:2">
      <c r="B8000" s="62" t="str">
        <f>IF(AND('领用录入（明细）'!D:D=$F$4,'领用录入（明细）'!C:C&gt;=$J$4,'领用录入（明细）'!C:C&lt;=$L$4),ROW(),"-")</f>
        <v>-</v>
      </c>
    </row>
    <row r="8001" customHeight="1" spans="2:2">
      <c r="B8001" s="62" t="str">
        <f>IF(AND('领用录入（明细）'!D:D=$F$4,'领用录入（明细）'!C:C&gt;=$J$4,'领用录入（明细）'!C:C&lt;=$L$4),ROW(),"-")</f>
        <v>-</v>
      </c>
    </row>
    <row r="8002" customHeight="1" spans="2:2">
      <c r="B8002" s="62" t="str">
        <f>IF(AND('领用录入（明细）'!D:D=$F$4,'领用录入（明细）'!C:C&gt;=$J$4,'领用录入（明细）'!C:C&lt;=$L$4),ROW(),"-")</f>
        <v>-</v>
      </c>
    </row>
    <row r="8003" customHeight="1" spans="2:2">
      <c r="B8003" s="62" t="str">
        <f>IF(AND('领用录入（明细）'!D:D=$F$4,'领用录入（明细）'!C:C&gt;=$J$4,'领用录入（明细）'!C:C&lt;=$L$4),ROW(),"-")</f>
        <v>-</v>
      </c>
    </row>
    <row r="8004" customHeight="1" spans="2:2">
      <c r="B8004" s="62" t="str">
        <f>IF(AND('领用录入（明细）'!D:D=$F$4,'领用录入（明细）'!C:C&gt;=$J$4,'领用录入（明细）'!C:C&lt;=$L$4),ROW(),"-")</f>
        <v>-</v>
      </c>
    </row>
    <row r="8005" customHeight="1" spans="2:2">
      <c r="B8005" s="62" t="str">
        <f>IF(AND('领用录入（明细）'!D:D=$F$4,'领用录入（明细）'!C:C&gt;=$J$4,'领用录入（明细）'!C:C&lt;=$L$4),ROW(),"-")</f>
        <v>-</v>
      </c>
    </row>
    <row r="8006" customHeight="1" spans="2:2">
      <c r="B8006" s="62" t="str">
        <f>IF(AND('领用录入（明细）'!D:D=$F$4,'领用录入（明细）'!C:C&gt;=$J$4,'领用录入（明细）'!C:C&lt;=$L$4),ROW(),"-")</f>
        <v>-</v>
      </c>
    </row>
    <row r="8007" customHeight="1" spans="2:2">
      <c r="B8007" s="62" t="str">
        <f>IF(AND('领用录入（明细）'!D:D=$F$4,'领用录入（明细）'!C:C&gt;=$J$4,'领用录入（明细）'!C:C&lt;=$L$4),ROW(),"-")</f>
        <v>-</v>
      </c>
    </row>
    <row r="8008" customHeight="1" spans="2:2">
      <c r="B8008" s="62" t="str">
        <f>IF(AND('领用录入（明细）'!D:D=$F$4,'领用录入（明细）'!C:C&gt;=$J$4,'领用录入（明细）'!C:C&lt;=$L$4),ROW(),"-")</f>
        <v>-</v>
      </c>
    </row>
    <row r="8009" customHeight="1" spans="2:2">
      <c r="B8009" s="62" t="str">
        <f>IF(AND('领用录入（明细）'!D:D=$F$4,'领用录入（明细）'!C:C&gt;=$J$4,'领用录入（明细）'!C:C&lt;=$L$4),ROW(),"-")</f>
        <v>-</v>
      </c>
    </row>
    <row r="8010" customHeight="1" spans="2:2">
      <c r="B8010" s="62" t="str">
        <f>IF(AND('领用录入（明细）'!D:D=$F$4,'领用录入（明细）'!C:C&gt;=$J$4,'领用录入（明细）'!C:C&lt;=$L$4),ROW(),"-")</f>
        <v>-</v>
      </c>
    </row>
    <row r="8011" customHeight="1" spans="2:2">
      <c r="B8011" s="62" t="str">
        <f>IF(AND('领用录入（明细）'!D:D=$F$4,'领用录入（明细）'!C:C&gt;=$J$4,'领用录入（明细）'!C:C&lt;=$L$4),ROW(),"-")</f>
        <v>-</v>
      </c>
    </row>
    <row r="8012" customHeight="1" spans="2:2">
      <c r="B8012" s="62" t="str">
        <f>IF(AND('领用录入（明细）'!D:D=$F$4,'领用录入（明细）'!C:C&gt;=$J$4,'领用录入（明细）'!C:C&lt;=$L$4),ROW(),"-")</f>
        <v>-</v>
      </c>
    </row>
    <row r="8013" customHeight="1" spans="2:2">
      <c r="B8013" s="62" t="str">
        <f>IF(AND('领用录入（明细）'!D:D=$F$4,'领用录入（明细）'!C:C&gt;=$J$4,'领用录入（明细）'!C:C&lt;=$L$4),ROW(),"-")</f>
        <v>-</v>
      </c>
    </row>
    <row r="8014" customHeight="1" spans="2:2">
      <c r="B8014" s="62" t="str">
        <f>IF(AND('领用录入（明细）'!D:D=$F$4,'领用录入（明细）'!C:C&gt;=$J$4,'领用录入（明细）'!C:C&lt;=$L$4),ROW(),"-")</f>
        <v>-</v>
      </c>
    </row>
    <row r="8015" customHeight="1" spans="2:2">
      <c r="B8015" s="62" t="str">
        <f>IF(AND('领用录入（明细）'!D:D=$F$4,'领用录入（明细）'!C:C&gt;=$J$4,'领用录入（明细）'!C:C&lt;=$L$4),ROW(),"-")</f>
        <v>-</v>
      </c>
    </row>
    <row r="8016" customHeight="1" spans="2:2">
      <c r="B8016" s="62" t="str">
        <f>IF(AND('领用录入（明细）'!D:D=$F$4,'领用录入（明细）'!C:C&gt;=$J$4,'领用录入（明细）'!C:C&lt;=$L$4),ROW(),"-")</f>
        <v>-</v>
      </c>
    </row>
    <row r="8017" customHeight="1" spans="2:2">
      <c r="B8017" s="62" t="str">
        <f>IF(AND('领用录入（明细）'!D:D=$F$4,'领用录入（明细）'!C:C&gt;=$J$4,'领用录入（明细）'!C:C&lt;=$L$4),ROW(),"-")</f>
        <v>-</v>
      </c>
    </row>
    <row r="8018" customHeight="1" spans="2:2">
      <c r="B8018" s="62" t="str">
        <f>IF(AND('领用录入（明细）'!D:D=$F$4,'领用录入（明细）'!C:C&gt;=$J$4,'领用录入（明细）'!C:C&lt;=$L$4),ROW(),"-")</f>
        <v>-</v>
      </c>
    </row>
    <row r="8019" customHeight="1" spans="2:2">
      <c r="B8019" s="62" t="str">
        <f>IF(AND('领用录入（明细）'!D:D=$F$4,'领用录入（明细）'!C:C&gt;=$J$4,'领用录入（明细）'!C:C&lt;=$L$4),ROW(),"-")</f>
        <v>-</v>
      </c>
    </row>
    <row r="8020" customHeight="1" spans="2:2">
      <c r="B8020" s="62" t="str">
        <f>IF(AND('领用录入（明细）'!D:D=$F$4,'领用录入（明细）'!C:C&gt;=$J$4,'领用录入（明细）'!C:C&lt;=$L$4),ROW(),"-")</f>
        <v>-</v>
      </c>
    </row>
    <row r="8021" customHeight="1" spans="2:2">
      <c r="B8021" s="62" t="str">
        <f>IF(AND('领用录入（明细）'!D:D=$F$4,'领用录入（明细）'!C:C&gt;=$J$4,'领用录入（明细）'!C:C&lt;=$L$4),ROW(),"-")</f>
        <v>-</v>
      </c>
    </row>
    <row r="8022" customHeight="1" spans="2:2">
      <c r="B8022" s="62" t="str">
        <f>IF(AND('领用录入（明细）'!D:D=$F$4,'领用录入（明细）'!C:C&gt;=$J$4,'领用录入（明细）'!C:C&lt;=$L$4),ROW(),"-")</f>
        <v>-</v>
      </c>
    </row>
    <row r="8023" customHeight="1" spans="2:2">
      <c r="B8023" s="62" t="str">
        <f>IF(AND('领用录入（明细）'!D:D=$F$4,'领用录入（明细）'!C:C&gt;=$J$4,'领用录入（明细）'!C:C&lt;=$L$4),ROW(),"-")</f>
        <v>-</v>
      </c>
    </row>
    <row r="8024" customHeight="1" spans="2:2">
      <c r="B8024" s="62" t="str">
        <f>IF(AND('领用录入（明细）'!D:D=$F$4,'领用录入（明细）'!C:C&gt;=$J$4,'领用录入（明细）'!C:C&lt;=$L$4),ROW(),"-")</f>
        <v>-</v>
      </c>
    </row>
    <row r="8025" customHeight="1" spans="2:2">
      <c r="B8025" s="62" t="str">
        <f>IF(AND('领用录入（明细）'!D:D=$F$4,'领用录入（明细）'!C:C&gt;=$J$4,'领用录入（明细）'!C:C&lt;=$L$4),ROW(),"-")</f>
        <v>-</v>
      </c>
    </row>
    <row r="8026" customHeight="1" spans="2:2">
      <c r="B8026" s="62" t="str">
        <f>IF(AND('领用录入（明细）'!D:D=$F$4,'领用录入（明细）'!C:C&gt;=$J$4,'领用录入（明细）'!C:C&lt;=$L$4),ROW(),"-")</f>
        <v>-</v>
      </c>
    </row>
    <row r="8027" customHeight="1" spans="2:2">
      <c r="B8027" s="62" t="str">
        <f>IF(AND('领用录入（明细）'!D:D=$F$4,'领用录入（明细）'!C:C&gt;=$J$4,'领用录入（明细）'!C:C&lt;=$L$4),ROW(),"-")</f>
        <v>-</v>
      </c>
    </row>
    <row r="8028" customHeight="1" spans="2:2">
      <c r="B8028" s="62" t="str">
        <f>IF(AND('领用录入（明细）'!D:D=$F$4,'领用录入（明细）'!C:C&gt;=$J$4,'领用录入（明细）'!C:C&lt;=$L$4),ROW(),"-")</f>
        <v>-</v>
      </c>
    </row>
    <row r="8029" customHeight="1" spans="2:2">
      <c r="B8029" s="62" t="str">
        <f>IF(AND('领用录入（明细）'!D:D=$F$4,'领用录入（明细）'!C:C&gt;=$J$4,'领用录入（明细）'!C:C&lt;=$L$4),ROW(),"-")</f>
        <v>-</v>
      </c>
    </row>
    <row r="8030" customHeight="1" spans="2:2">
      <c r="B8030" s="62" t="str">
        <f>IF(AND('领用录入（明细）'!D:D=$F$4,'领用录入（明细）'!C:C&gt;=$J$4,'领用录入（明细）'!C:C&lt;=$L$4),ROW(),"-")</f>
        <v>-</v>
      </c>
    </row>
    <row r="8031" customHeight="1" spans="2:2">
      <c r="B8031" s="62" t="str">
        <f>IF(AND('领用录入（明细）'!D:D=$F$4,'领用录入（明细）'!C:C&gt;=$J$4,'领用录入（明细）'!C:C&lt;=$L$4),ROW(),"-")</f>
        <v>-</v>
      </c>
    </row>
    <row r="8032" customHeight="1" spans="2:2">
      <c r="B8032" s="62" t="str">
        <f>IF(AND('领用录入（明细）'!D:D=$F$4,'领用录入（明细）'!C:C&gt;=$J$4,'领用录入（明细）'!C:C&lt;=$L$4),ROW(),"-")</f>
        <v>-</v>
      </c>
    </row>
    <row r="8033" customHeight="1" spans="2:2">
      <c r="B8033" s="62" t="str">
        <f>IF(AND('领用录入（明细）'!D:D=$F$4,'领用录入（明细）'!C:C&gt;=$J$4,'领用录入（明细）'!C:C&lt;=$L$4),ROW(),"-")</f>
        <v>-</v>
      </c>
    </row>
    <row r="8034" customHeight="1" spans="2:2">
      <c r="B8034" s="62" t="str">
        <f>IF(AND('领用录入（明细）'!D:D=$F$4,'领用录入（明细）'!C:C&gt;=$J$4,'领用录入（明细）'!C:C&lt;=$L$4),ROW(),"-")</f>
        <v>-</v>
      </c>
    </row>
    <row r="8035" customHeight="1" spans="2:2">
      <c r="B8035" s="62" t="str">
        <f>IF(AND('领用录入（明细）'!D:D=$F$4,'领用录入（明细）'!C:C&gt;=$J$4,'领用录入（明细）'!C:C&lt;=$L$4),ROW(),"-")</f>
        <v>-</v>
      </c>
    </row>
    <row r="8036" customHeight="1" spans="2:2">
      <c r="B8036" s="62" t="str">
        <f>IF(AND('领用录入（明细）'!D:D=$F$4,'领用录入（明细）'!C:C&gt;=$J$4,'领用录入（明细）'!C:C&lt;=$L$4),ROW(),"-")</f>
        <v>-</v>
      </c>
    </row>
    <row r="8037" customHeight="1" spans="2:2">
      <c r="B8037" s="62" t="str">
        <f>IF(AND('领用录入（明细）'!D:D=$F$4,'领用录入（明细）'!C:C&gt;=$J$4,'领用录入（明细）'!C:C&lt;=$L$4),ROW(),"-")</f>
        <v>-</v>
      </c>
    </row>
    <row r="8038" customHeight="1" spans="2:2">
      <c r="B8038" s="62" t="str">
        <f>IF(AND('领用录入（明细）'!D:D=$F$4,'领用录入（明细）'!C:C&gt;=$J$4,'领用录入（明细）'!C:C&lt;=$L$4),ROW(),"-")</f>
        <v>-</v>
      </c>
    </row>
    <row r="8039" customHeight="1" spans="2:2">
      <c r="B8039" s="62" t="str">
        <f>IF(AND('领用录入（明细）'!D:D=$F$4,'领用录入（明细）'!C:C&gt;=$J$4,'领用录入（明细）'!C:C&lt;=$L$4),ROW(),"-")</f>
        <v>-</v>
      </c>
    </row>
    <row r="8040" customHeight="1" spans="2:2">
      <c r="B8040" s="62" t="str">
        <f>IF(AND('领用录入（明细）'!D:D=$F$4,'领用录入（明细）'!C:C&gt;=$J$4,'领用录入（明细）'!C:C&lt;=$L$4),ROW(),"-")</f>
        <v>-</v>
      </c>
    </row>
    <row r="8041" customHeight="1" spans="2:2">
      <c r="B8041" s="62" t="str">
        <f>IF(AND('领用录入（明细）'!D:D=$F$4,'领用录入（明细）'!C:C&gt;=$J$4,'领用录入（明细）'!C:C&lt;=$L$4),ROW(),"-")</f>
        <v>-</v>
      </c>
    </row>
    <row r="8042" customHeight="1" spans="2:2">
      <c r="B8042" s="62" t="str">
        <f>IF(AND('领用录入（明细）'!D:D=$F$4,'领用录入（明细）'!C:C&gt;=$J$4,'领用录入（明细）'!C:C&lt;=$L$4),ROW(),"-")</f>
        <v>-</v>
      </c>
    </row>
    <row r="8043" customHeight="1" spans="2:2">
      <c r="B8043" s="62" t="str">
        <f>IF(AND('领用录入（明细）'!D:D=$F$4,'领用录入（明细）'!C:C&gt;=$J$4,'领用录入（明细）'!C:C&lt;=$L$4),ROW(),"-")</f>
        <v>-</v>
      </c>
    </row>
    <row r="8044" customHeight="1" spans="2:2">
      <c r="B8044" s="62" t="str">
        <f>IF(AND('领用录入（明细）'!D:D=$F$4,'领用录入（明细）'!C:C&gt;=$J$4,'领用录入（明细）'!C:C&lt;=$L$4),ROW(),"-")</f>
        <v>-</v>
      </c>
    </row>
    <row r="8045" customHeight="1" spans="2:2">
      <c r="B8045" s="62" t="str">
        <f>IF(AND('领用录入（明细）'!D:D=$F$4,'领用录入（明细）'!C:C&gt;=$J$4,'领用录入（明细）'!C:C&lt;=$L$4),ROW(),"-")</f>
        <v>-</v>
      </c>
    </row>
    <row r="8046" customHeight="1" spans="2:2">
      <c r="B8046" s="62" t="str">
        <f>IF(AND('领用录入（明细）'!D:D=$F$4,'领用录入（明细）'!C:C&gt;=$J$4,'领用录入（明细）'!C:C&lt;=$L$4),ROW(),"-")</f>
        <v>-</v>
      </c>
    </row>
    <row r="8047" customHeight="1" spans="2:2">
      <c r="B8047" s="62" t="str">
        <f>IF(AND('领用录入（明细）'!D:D=$F$4,'领用录入（明细）'!C:C&gt;=$J$4,'领用录入（明细）'!C:C&lt;=$L$4),ROW(),"-")</f>
        <v>-</v>
      </c>
    </row>
    <row r="8048" customHeight="1" spans="2:2">
      <c r="B8048" s="62" t="str">
        <f>IF(AND('领用录入（明细）'!D:D=$F$4,'领用录入（明细）'!C:C&gt;=$J$4,'领用录入（明细）'!C:C&lt;=$L$4),ROW(),"-")</f>
        <v>-</v>
      </c>
    </row>
    <row r="8049" customHeight="1" spans="2:2">
      <c r="B8049" s="62" t="str">
        <f>IF(AND('领用录入（明细）'!D:D=$F$4,'领用录入（明细）'!C:C&gt;=$J$4,'领用录入（明细）'!C:C&lt;=$L$4),ROW(),"-")</f>
        <v>-</v>
      </c>
    </row>
    <row r="8050" customHeight="1" spans="2:2">
      <c r="B8050" s="62" t="str">
        <f>IF(AND('领用录入（明细）'!D:D=$F$4,'领用录入（明细）'!C:C&gt;=$J$4,'领用录入（明细）'!C:C&lt;=$L$4),ROW(),"-")</f>
        <v>-</v>
      </c>
    </row>
    <row r="8051" customHeight="1" spans="2:2">
      <c r="B8051" s="62" t="str">
        <f>IF(AND('领用录入（明细）'!D:D=$F$4,'领用录入（明细）'!C:C&gt;=$J$4,'领用录入（明细）'!C:C&lt;=$L$4),ROW(),"-")</f>
        <v>-</v>
      </c>
    </row>
    <row r="8052" customHeight="1" spans="2:2">
      <c r="B8052" s="62" t="str">
        <f>IF(AND('领用录入（明细）'!D:D=$F$4,'领用录入（明细）'!C:C&gt;=$J$4,'领用录入（明细）'!C:C&lt;=$L$4),ROW(),"-")</f>
        <v>-</v>
      </c>
    </row>
    <row r="8053" customHeight="1" spans="2:2">
      <c r="B8053" s="62" t="str">
        <f>IF(AND('领用录入（明细）'!D:D=$F$4,'领用录入（明细）'!C:C&gt;=$J$4,'领用录入（明细）'!C:C&lt;=$L$4),ROW(),"-")</f>
        <v>-</v>
      </c>
    </row>
    <row r="8054" customHeight="1" spans="2:2">
      <c r="B8054" s="62" t="str">
        <f>IF(AND('领用录入（明细）'!D:D=$F$4,'领用录入（明细）'!C:C&gt;=$J$4,'领用录入（明细）'!C:C&lt;=$L$4),ROW(),"-")</f>
        <v>-</v>
      </c>
    </row>
    <row r="8055" customHeight="1" spans="2:2">
      <c r="B8055" s="62" t="str">
        <f>IF(AND('领用录入（明细）'!D:D=$F$4,'领用录入（明细）'!C:C&gt;=$J$4,'领用录入（明细）'!C:C&lt;=$L$4),ROW(),"-")</f>
        <v>-</v>
      </c>
    </row>
    <row r="8056" customHeight="1" spans="2:2">
      <c r="B8056" s="62" t="str">
        <f>IF(AND('领用录入（明细）'!D:D=$F$4,'领用录入（明细）'!C:C&gt;=$J$4,'领用录入（明细）'!C:C&lt;=$L$4),ROW(),"-")</f>
        <v>-</v>
      </c>
    </row>
    <row r="8057" customHeight="1" spans="2:2">
      <c r="B8057" s="62" t="str">
        <f>IF(AND('领用录入（明细）'!D:D=$F$4,'领用录入（明细）'!C:C&gt;=$J$4,'领用录入（明细）'!C:C&lt;=$L$4),ROW(),"-")</f>
        <v>-</v>
      </c>
    </row>
    <row r="8058" customHeight="1" spans="2:2">
      <c r="B8058" s="62" t="str">
        <f>IF(AND('领用录入（明细）'!D:D=$F$4,'领用录入（明细）'!C:C&gt;=$J$4,'领用录入（明细）'!C:C&lt;=$L$4),ROW(),"-")</f>
        <v>-</v>
      </c>
    </row>
    <row r="8059" customHeight="1" spans="2:2">
      <c r="B8059" s="62" t="str">
        <f>IF(AND('领用录入（明细）'!D:D=$F$4,'领用录入（明细）'!C:C&gt;=$J$4,'领用录入（明细）'!C:C&lt;=$L$4),ROW(),"-")</f>
        <v>-</v>
      </c>
    </row>
    <row r="8060" customHeight="1" spans="2:2">
      <c r="B8060" s="62" t="str">
        <f>IF(AND('领用录入（明细）'!D:D=$F$4,'领用录入（明细）'!C:C&gt;=$J$4,'领用录入（明细）'!C:C&lt;=$L$4),ROW(),"-")</f>
        <v>-</v>
      </c>
    </row>
    <row r="8061" customHeight="1" spans="2:2">
      <c r="B8061" s="62" t="str">
        <f>IF(AND('领用录入（明细）'!D:D=$F$4,'领用录入（明细）'!C:C&gt;=$J$4,'领用录入（明细）'!C:C&lt;=$L$4),ROW(),"-")</f>
        <v>-</v>
      </c>
    </row>
    <row r="8062" customHeight="1" spans="2:2">
      <c r="B8062" s="62" t="str">
        <f>IF(AND('领用录入（明细）'!D:D=$F$4,'领用录入（明细）'!C:C&gt;=$J$4,'领用录入（明细）'!C:C&lt;=$L$4),ROW(),"-")</f>
        <v>-</v>
      </c>
    </row>
    <row r="8063" customHeight="1" spans="2:2">
      <c r="B8063" s="62" t="str">
        <f>IF(AND('领用录入（明细）'!D:D=$F$4,'领用录入（明细）'!C:C&gt;=$J$4,'领用录入（明细）'!C:C&lt;=$L$4),ROW(),"-")</f>
        <v>-</v>
      </c>
    </row>
    <row r="8064" customHeight="1" spans="2:2">
      <c r="B8064" s="62" t="str">
        <f>IF(AND('领用录入（明细）'!D:D=$F$4,'领用录入（明细）'!C:C&gt;=$J$4,'领用录入（明细）'!C:C&lt;=$L$4),ROW(),"-")</f>
        <v>-</v>
      </c>
    </row>
    <row r="8065" customHeight="1" spans="2:2">
      <c r="B8065" s="62" t="str">
        <f>IF(AND('领用录入（明细）'!D:D=$F$4,'领用录入（明细）'!C:C&gt;=$J$4,'领用录入（明细）'!C:C&lt;=$L$4),ROW(),"-")</f>
        <v>-</v>
      </c>
    </row>
    <row r="8066" customHeight="1" spans="2:2">
      <c r="B8066" s="62" t="str">
        <f>IF(AND('领用录入（明细）'!D:D=$F$4,'领用录入（明细）'!C:C&gt;=$J$4,'领用录入（明细）'!C:C&lt;=$L$4),ROW(),"-")</f>
        <v>-</v>
      </c>
    </row>
    <row r="8067" customHeight="1" spans="2:2">
      <c r="B8067" s="62" t="str">
        <f>IF(AND('领用录入（明细）'!D:D=$F$4,'领用录入（明细）'!C:C&gt;=$J$4,'领用录入（明细）'!C:C&lt;=$L$4),ROW(),"-")</f>
        <v>-</v>
      </c>
    </row>
    <row r="8068" customHeight="1" spans="2:2">
      <c r="B8068" s="62" t="str">
        <f>IF(AND('领用录入（明细）'!D:D=$F$4,'领用录入（明细）'!C:C&gt;=$J$4,'领用录入（明细）'!C:C&lt;=$L$4),ROW(),"-")</f>
        <v>-</v>
      </c>
    </row>
    <row r="8069" customHeight="1" spans="2:2">
      <c r="B8069" s="62" t="str">
        <f>IF(AND('领用录入（明细）'!D:D=$F$4,'领用录入（明细）'!C:C&gt;=$J$4,'领用录入（明细）'!C:C&lt;=$L$4),ROW(),"-")</f>
        <v>-</v>
      </c>
    </row>
    <row r="8070" customHeight="1" spans="2:2">
      <c r="B8070" s="62" t="str">
        <f>IF(AND('领用录入（明细）'!D:D=$F$4,'领用录入（明细）'!C:C&gt;=$J$4,'领用录入（明细）'!C:C&lt;=$L$4),ROW(),"-")</f>
        <v>-</v>
      </c>
    </row>
    <row r="8071" customHeight="1" spans="2:2">
      <c r="B8071" s="62" t="str">
        <f>IF(AND('领用录入（明细）'!D:D=$F$4,'领用录入（明细）'!C:C&gt;=$J$4,'领用录入（明细）'!C:C&lt;=$L$4),ROW(),"-")</f>
        <v>-</v>
      </c>
    </row>
    <row r="8072" customHeight="1" spans="2:2">
      <c r="B8072" s="62" t="str">
        <f>IF(AND('领用录入（明细）'!D:D=$F$4,'领用录入（明细）'!C:C&gt;=$J$4,'领用录入（明细）'!C:C&lt;=$L$4),ROW(),"-")</f>
        <v>-</v>
      </c>
    </row>
    <row r="8073" customHeight="1" spans="2:2">
      <c r="B8073" s="62" t="str">
        <f>IF(AND('领用录入（明细）'!D:D=$F$4,'领用录入（明细）'!C:C&gt;=$J$4,'领用录入（明细）'!C:C&lt;=$L$4),ROW(),"-")</f>
        <v>-</v>
      </c>
    </row>
    <row r="8074" customHeight="1" spans="2:2">
      <c r="B8074" s="62" t="str">
        <f>IF(AND('领用录入（明细）'!D:D=$F$4,'领用录入（明细）'!C:C&gt;=$J$4,'领用录入（明细）'!C:C&lt;=$L$4),ROW(),"-")</f>
        <v>-</v>
      </c>
    </row>
    <row r="8075" customHeight="1" spans="2:2">
      <c r="B8075" s="62" t="str">
        <f>IF(AND('领用录入（明细）'!D:D=$F$4,'领用录入（明细）'!C:C&gt;=$J$4,'领用录入（明细）'!C:C&lt;=$L$4),ROW(),"-")</f>
        <v>-</v>
      </c>
    </row>
    <row r="8076" customHeight="1" spans="2:2">
      <c r="B8076" s="62" t="str">
        <f>IF(AND('领用录入（明细）'!D:D=$F$4,'领用录入（明细）'!C:C&gt;=$J$4,'领用录入（明细）'!C:C&lt;=$L$4),ROW(),"-")</f>
        <v>-</v>
      </c>
    </row>
    <row r="8077" customHeight="1" spans="2:2">
      <c r="B8077" s="62" t="str">
        <f>IF(AND('领用录入（明细）'!D:D=$F$4,'领用录入（明细）'!C:C&gt;=$J$4,'领用录入（明细）'!C:C&lt;=$L$4),ROW(),"-")</f>
        <v>-</v>
      </c>
    </row>
    <row r="8078" customHeight="1" spans="2:2">
      <c r="B8078" s="62" t="str">
        <f>IF(AND('领用录入（明细）'!D:D=$F$4,'领用录入（明细）'!C:C&gt;=$J$4,'领用录入（明细）'!C:C&lt;=$L$4),ROW(),"-")</f>
        <v>-</v>
      </c>
    </row>
    <row r="8079" customHeight="1" spans="2:2">
      <c r="B8079" s="62" t="str">
        <f>IF(AND('领用录入（明细）'!D:D=$F$4,'领用录入（明细）'!C:C&gt;=$J$4,'领用录入（明细）'!C:C&lt;=$L$4),ROW(),"-")</f>
        <v>-</v>
      </c>
    </row>
    <row r="8080" customHeight="1" spans="2:2">
      <c r="B8080" s="62" t="str">
        <f>IF(AND('领用录入（明细）'!D:D=$F$4,'领用录入（明细）'!C:C&gt;=$J$4,'领用录入（明细）'!C:C&lt;=$L$4),ROW(),"-")</f>
        <v>-</v>
      </c>
    </row>
    <row r="8081" customHeight="1" spans="2:2">
      <c r="B8081" s="62" t="str">
        <f>IF(AND('领用录入（明细）'!D:D=$F$4,'领用录入（明细）'!C:C&gt;=$J$4,'领用录入（明细）'!C:C&lt;=$L$4),ROW(),"-")</f>
        <v>-</v>
      </c>
    </row>
    <row r="8082" customHeight="1" spans="2:2">
      <c r="B8082" s="62" t="str">
        <f>IF(AND('领用录入（明细）'!D:D=$F$4,'领用录入（明细）'!C:C&gt;=$J$4,'领用录入（明细）'!C:C&lt;=$L$4),ROW(),"-")</f>
        <v>-</v>
      </c>
    </row>
    <row r="8083" customHeight="1" spans="2:2">
      <c r="B8083" s="62" t="str">
        <f>IF(AND('领用录入（明细）'!D:D=$F$4,'领用录入（明细）'!C:C&gt;=$J$4,'领用录入（明细）'!C:C&lt;=$L$4),ROW(),"-")</f>
        <v>-</v>
      </c>
    </row>
    <row r="8084" customHeight="1" spans="2:2">
      <c r="B8084" s="62" t="str">
        <f>IF(AND('领用录入（明细）'!D:D=$F$4,'领用录入（明细）'!C:C&gt;=$J$4,'领用录入（明细）'!C:C&lt;=$L$4),ROW(),"-")</f>
        <v>-</v>
      </c>
    </row>
    <row r="8085" customHeight="1" spans="2:2">
      <c r="B8085" s="62" t="str">
        <f>IF(AND('领用录入（明细）'!D:D=$F$4,'领用录入（明细）'!C:C&gt;=$J$4,'领用录入（明细）'!C:C&lt;=$L$4),ROW(),"-")</f>
        <v>-</v>
      </c>
    </row>
    <row r="8086" customHeight="1" spans="2:2">
      <c r="B8086" s="62" t="str">
        <f>IF(AND('领用录入（明细）'!D:D=$F$4,'领用录入（明细）'!C:C&gt;=$J$4,'领用录入（明细）'!C:C&lt;=$L$4),ROW(),"-")</f>
        <v>-</v>
      </c>
    </row>
    <row r="8087" customHeight="1" spans="2:2">
      <c r="B8087" s="62" t="str">
        <f>IF(AND('领用录入（明细）'!D:D=$F$4,'领用录入（明细）'!C:C&gt;=$J$4,'领用录入（明细）'!C:C&lt;=$L$4),ROW(),"-")</f>
        <v>-</v>
      </c>
    </row>
    <row r="8088" customHeight="1" spans="2:2">
      <c r="B8088" s="62" t="str">
        <f>IF(AND('领用录入（明细）'!D:D=$F$4,'领用录入（明细）'!C:C&gt;=$J$4,'领用录入（明细）'!C:C&lt;=$L$4),ROW(),"-")</f>
        <v>-</v>
      </c>
    </row>
    <row r="8089" customHeight="1" spans="2:2">
      <c r="B8089" s="62" t="str">
        <f>IF(AND('领用录入（明细）'!D:D=$F$4,'领用录入（明细）'!C:C&gt;=$J$4,'领用录入（明细）'!C:C&lt;=$L$4),ROW(),"-")</f>
        <v>-</v>
      </c>
    </row>
    <row r="8090" customHeight="1" spans="2:2">
      <c r="B8090" s="62" t="str">
        <f>IF(AND('领用录入（明细）'!D:D=$F$4,'领用录入（明细）'!C:C&gt;=$J$4,'领用录入（明细）'!C:C&lt;=$L$4),ROW(),"-")</f>
        <v>-</v>
      </c>
    </row>
    <row r="8091" customHeight="1" spans="2:2">
      <c r="B8091" s="62" t="str">
        <f>IF(AND('领用录入（明细）'!D:D=$F$4,'领用录入（明细）'!C:C&gt;=$J$4,'领用录入（明细）'!C:C&lt;=$L$4),ROW(),"-")</f>
        <v>-</v>
      </c>
    </row>
    <row r="8092" customHeight="1" spans="2:2">
      <c r="B8092" s="62" t="str">
        <f>IF(AND('领用录入（明细）'!D:D=$F$4,'领用录入（明细）'!C:C&gt;=$J$4,'领用录入（明细）'!C:C&lt;=$L$4),ROW(),"-")</f>
        <v>-</v>
      </c>
    </row>
    <row r="8093" customHeight="1" spans="2:2">
      <c r="B8093" s="62" t="str">
        <f>IF(AND('领用录入（明细）'!D:D=$F$4,'领用录入（明细）'!C:C&gt;=$J$4,'领用录入（明细）'!C:C&lt;=$L$4),ROW(),"-")</f>
        <v>-</v>
      </c>
    </row>
    <row r="8094" customHeight="1" spans="2:2">
      <c r="B8094" s="62" t="str">
        <f>IF(AND('领用录入（明细）'!D:D=$F$4,'领用录入（明细）'!C:C&gt;=$J$4,'领用录入（明细）'!C:C&lt;=$L$4),ROW(),"-")</f>
        <v>-</v>
      </c>
    </row>
    <row r="8095" customHeight="1" spans="2:2">
      <c r="B8095" s="62" t="str">
        <f>IF(AND('领用录入（明细）'!D:D=$F$4,'领用录入（明细）'!C:C&gt;=$J$4,'领用录入（明细）'!C:C&lt;=$L$4),ROW(),"-")</f>
        <v>-</v>
      </c>
    </row>
    <row r="8096" customHeight="1" spans="2:2">
      <c r="B8096" s="62" t="str">
        <f>IF(AND('领用录入（明细）'!D:D=$F$4,'领用录入（明细）'!C:C&gt;=$J$4,'领用录入（明细）'!C:C&lt;=$L$4),ROW(),"-")</f>
        <v>-</v>
      </c>
    </row>
    <row r="8097" customHeight="1" spans="2:2">
      <c r="B8097" s="62" t="str">
        <f>IF(AND('领用录入（明细）'!D:D=$F$4,'领用录入（明细）'!C:C&gt;=$J$4,'领用录入（明细）'!C:C&lt;=$L$4),ROW(),"-")</f>
        <v>-</v>
      </c>
    </row>
    <row r="8098" customHeight="1" spans="2:2">
      <c r="B8098" s="62" t="str">
        <f>IF(AND('领用录入（明细）'!D:D=$F$4,'领用录入（明细）'!C:C&gt;=$J$4,'领用录入（明细）'!C:C&lt;=$L$4),ROW(),"-")</f>
        <v>-</v>
      </c>
    </row>
    <row r="8099" customHeight="1" spans="2:2">
      <c r="B8099" s="62" t="str">
        <f>IF(AND('领用录入（明细）'!D:D=$F$4,'领用录入（明细）'!C:C&gt;=$J$4,'领用录入（明细）'!C:C&lt;=$L$4),ROW(),"-")</f>
        <v>-</v>
      </c>
    </row>
    <row r="8100" customHeight="1" spans="2:2">
      <c r="B8100" s="62" t="str">
        <f>IF(AND('领用录入（明细）'!D:D=$F$4,'领用录入（明细）'!C:C&gt;=$J$4,'领用录入（明细）'!C:C&lt;=$L$4),ROW(),"-")</f>
        <v>-</v>
      </c>
    </row>
    <row r="8101" customHeight="1" spans="2:2">
      <c r="B8101" s="62" t="str">
        <f>IF(AND('领用录入（明细）'!D:D=$F$4,'领用录入（明细）'!C:C&gt;=$J$4,'领用录入（明细）'!C:C&lt;=$L$4),ROW(),"-")</f>
        <v>-</v>
      </c>
    </row>
    <row r="8102" customHeight="1" spans="2:2">
      <c r="B8102" s="62" t="str">
        <f>IF(AND('领用录入（明细）'!D:D=$F$4,'领用录入（明细）'!C:C&gt;=$J$4,'领用录入（明细）'!C:C&lt;=$L$4),ROW(),"-")</f>
        <v>-</v>
      </c>
    </row>
    <row r="8103" customHeight="1" spans="2:2">
      <c r="B8103" s="62" t="str">
        <f>IF(AND('领用录入（明细）'!D:D=$F$4,'领用录入（明细）'!C:C&gt;=$J$4,'领用录入（明细）'!C:C&lt;=$L$4),ROW(),"-")</f>
        <v>-</v>
      </c>
    </row>
    <row r="8104" customHeight="1" spans="2:2">
      <c r="B8104" s="62" t="str">
        <f>IF(AND('领用录入（明细）'!D:D=$F$4,'领用录入（明细）'!C:C&gt;=$J$4,'领用录入（明细）'!C:C&lt;=$L$4),ROW(),"-")</f>
        <v>-</v>
      </c>
    </row>
    <row r="8105" customHeight="1" spans="2:2">
      <c r="B8105" s="62" t="str">
        <f>IF(AND('领用录入（明细）'!D:D=$F$4,'领用录入（明细）'!C:C&gt;=$J$4,'领用录入（明细）'!C:C&lt;=$L$4),ROW(),"-")</f>
        <v>-</v>
      </c>
    </row>
    <row r="8106" customHeight="1" spans="2:2">
      <c r="B8106" s="62" t="str">
        <f>IF(AND('领用录入（明细）'!D:D=$F$4,'领用录入（明细）'!C:C&gt;=$J$4,'领用录入（明细）'!C:C&lt;=$L$4),ROW(),"-")</f>
        <v>-</v>
      </c>
    </row>
    <row r="8107" customHeight="1" spans="2:2">
      <c r="B8107" s="62" t="str">
        <f>IF(AND('领用录入（明细）'!D:D=$F$4,'领用录入（明细）'!C:C&gt;=$J$4,'领用录入（明细）'!C:C&lt;=$L$4),ROW(),"-")</f>
        <v>-</v>
      </c>
    </row>
    <row r="8108" customHeight="1" spans="2:2">
      <c r="B8108" s="62" t="str">
        <f>IF(AND('领用录入（明细）'!D:D=$F$4,'领用录入（明细）'!C:C&gt;=$J$4,'领用录入（明细）'!C:C&lt;=$L$4),ROW(),"-")</f>
        <v>-</v>
      </c>
    </row>
    <row r="8109" customHeight="1" spans="2:2">
      <c r="B8109" s="62" t="str">
        <f>IF(AND('领用录入（明细）'!D:D=$F$4,'领用录入（明细）'!C:C&gt;=$J$4,'领用录入（明细）'!C:C&lt;=$L$4),ROW(),"-")</f>
        <v>-</v>
      </c>
    </row>
    <row r="8110" customHeight="1" spans="2:2">
      <c r="B8110" s="62" t="str">
        <f>IF(AND('领用录入（明细）'!D:D=$F$4,'领用录入（明细）'!C:C&gt;=$J$4,'领用录入（明细）'!C:C&lt;=$L$4),ROW(),"-")</f>
        <v>-</v>
      </c>
    </row>
    <row r="8111" customHeight="1" spans="2:2">
      <c r="B8111" s="62" t="str">
        <f>IF(AND('领用录入（明细）'!D:D=$F$4,'领用录入（明细）'!C:C&gt;=$J$4,'领用录入（明细）'!C:C&lt;=$L$4),ROW(),"-")</f>
        <v>-</v>
      </c>
    </row>
    <row r="8112" customHeight="1" spans="2:2">
      <c r="B8112" s="62" t="str">
        <f>IF(AND('领用录入（明细）'!D:D=$F$4,'领用录入（明细）'!C:C&gt;=$J$4,'领用录入（明细）'!C:C&lt;=$L$4),ROW(),"-")</f>
        <v>-</v>
      </c>
    </row>
    <row r="8113" customHeight="1" spans="2:2">
      <c r="B8113" s="62" t="str">
        <f>IF(AND('领用录入（明细）'!D:D=$F$4,'领用录入（明细）'!C:C&gt;=$J$4,'领用录入（明细）'!C:C&lt;=$L$4),ROW(),"-")</f>
        <v>-</v>
      </c>
    </row>
    <row r="8114" customHeight="1" spans="2:2">
      <c r="B8114" s="62" t="str">
        <f>IF(AND('领用录入（明细）'!D:D=$F$4,'领用录入（明细）'!C:C&gt;=$J$4,'领用录入（明细）'!C:C&lt;=$L$4),ROW(),"-")</f>
        <v>-</v>
      </c>
    </row>
    <row r="8115" customHeight="1" spans="2:2">
      <c r="B8115" s="62" t="str">
        <f>IF(AND('领用录入（明细）'!D:D=$F$4,'领用录入（明细）'!C:C&gt;=$J$4,'领用录入（明细）'!C:C&lt;=$L$4),ROW(),"-")</f>
        <v>-</v>
      </c>
    </row>
    <row r="8116" customHeight="1" spans="2:2">
      <c r="B8116" s="62" t="str">
        <f>IF(AND('领用录入（明细）'!D:D=$F$4,'领用录入（明细）'!C:C&gt;=$J$4,'领用录入（明细）'!C:C&lt;=$L$4),ROW(),"-")</f>
        <v>-</v>
      </c>
    </row>
    <row r="8117" customHeight="1" spans="2:2">
      <c r="B8117" s="62" t="str">
        <f>IF(AND('领用录入（明细）'!D:D=$F$4,'领用录入（明细）'!C:C&gt;=$J$4,'领用录入（明细）'!C:C&lt;=$L$4),ROW(),"-")</f>
        <v>-</v>
      </c>
    </row>
    <row r="8118" customHeight="1" spans="2:2">
      <c r="B8118" s="62" t="str">
        <f>IF(AND('领用录入（明细）'!D:D=$F$4,'领用录入（明细）'!C:C&gt;=$J$4,'领用录入（明细）'!C:C&lt;=$L$4),ROW(),"-")</f>
        <v>-</v>
      </c>
    </row>
    <row r="8119" customHeight="1" spans="2:2">
      <c r="B8119" s="62" t="str">
        <f>IF(AND('领用录入（明细）'!D:D=$F$4,'领用录入（明细）'!C:C&gt;=$J$4,'领用录入（明细）'!C:C&lt;=$L$4),ROW(),"-")</f>
        <v>-</v>
      </c>
    </row>
    <row r="8120" customHeight="1" spans="2:2">
      <c r="B8120" s="62" t="str">
        <f>IF(AND('领用录入（明细）'!D:D=$F$4,'领用录入（明细）'!C:C&gt;=$J$4,'领用录入（明细）'!C:C&lt;=$L$4),ROW(),"-")</f>
        <v>-</v>
      </c>
    </row>
    <row r="8121" customHeight="1" spans="2:2">
      <c r="B8121" s="62" t="str">
        <f>IF(AND('领用录入（明细）'!D:D=$F$4,'领用录入（明细）'!C:C&gt;=$J$4,'领用录入（明细）'!C:C&lt;=$L$4),ROW(),"-")</f>
        <v>-</v>
      </c>
    </row>
    <row r="8122" customHeight="1" spans="2:2">
      <c r="B8122" s="62" t="str">
        <f>IF(AND('领用录入（明细）'!D:D=$F$4,'领用录入（明细）'!C:C&gt;=$J$4,'领用录入（明细）'!C:C&lt;=$L$4),ROW(),"-")</f>
        <v>-</v>
      </c>
    </row>
    <row r="8123" customHeight="1" spans="2:2">
      <c r="B8123" s="62" t="str">
        <f>IF(AND('领用录入（明细）'!D:D=$F$4,'领用录入（明细）'!C:C&gt;=$J$4,'领用录入（明细）'!C:C&lt;=$L$4),ROW(),"-")</f>
        <v>-</v>
      </c>
    </row>
    <row r="8124" customHeight="1" spans="2:2">
      <c r="B8124" s="62" t="str">
        <f>IF(AND('领用录入（明细）'!D:D=$F$4,'领用录入（明细）'!C:C&gt;=$J$4,'领用录入（明细）'!C:C&lt;=$L$4),ROW(),"-")</f>
        <v>-</v>
      </c>
    </row>
    <row r="8125" customHeight="1" spans="2:2">
      <c r="B8125" s="62" t="str">
        <f>IF(AND('领用录入（明细）'!D:D=$F$4,'领用录入（明细）'!C:C&gt;=$J$4,'领用录入（明细）'!C:C&lt;=$L$4),ROW(),"-")</f>
        <v>-</v>
      </c>
    </row>
    <row r="8126" customHeight="1" spans="2:2">
      <c r="B8126" s="62" t="str">
        <f>IF(AND('领用录入（明细）'!D:D=$F$4,'领用录入（明细）'!C:C&gt;=$J$4,'领用录入（明细）'!C:C&lt;=$L$4),ROW(),"-")</f>
        <v>-</v>
      </c>
    </row>
    <row r="8127" customHeight="1" spans="2:2">
      <c r="B8127" s="62" t="str">
        <f>IF(AND('领用录入（明细）'!D:D=$F$4,'领用录入（明细）'!C:C&gt;=$J$4,'领用录入（明细）'!C:C&lt;=$L$4),ROW(),"-")</f>
        <v>-</v>
      </c>
    </row>
    <row r="8128" customHeight="1" spans="2:2">
      <c r="B8128" s="62" t="str">
        <f>IF(AND('领用录入（明细）'!D:D=$F$4,'领用录入（明细）'!C:C&gt;=$J$4,'领用录入（明细）'!C:C&lt;=$L$4),ROW(),"-")</f>
        <v>-</v>
      </c>
    </row>
    <row r="8129" customHeight="1" spans="2:2">
      <c r="B8129" s="62" t="str">
        <f>IF(AND('领用录入（明细）'!D:D=$F$4,'领用录入（明细）'!C:C&gt;=$J$4,'领用录入（明细）'!C:C&lt;=$L$4),ROW(),"-")</f>
        <v>-</v>
      </c>
    </row>
    <row r="8130" customHeight="1" spans="2:2">
      <c r="B8130" s="62" t="str">
        <f>IF(AND('领用录入（明细）'!D:D=$F$4,'领用录入（明细）'!C:C&gt;=$J$4,'领用录入（明细）'!C:C&lt;=$L$4),ROW(),"-")</f>
        <v>-</v>
      </c>
    </row>
    <row r="8131" customHeight="1" spans="2:2">
      <c r="B8131" s="62" t="str">
        <f>IF(AND('领用录入（明细）'!D:D=$F$4,'领用录入（明细）'!C:C&gt;=$J$4,'领用录入（明细）'!C:C&lt;=$L$4),ROW(),"-")</f>
        <v>-</v>
      </c>
    </row>
    <row r="8132" customHeight="1" spans="2:2">
      <c r="B8132" s="62" t="str">
        <f>IF(AND('领用录入（明细）'!D:D=$F$4,'领用录入（明细）'!C:C&gt;=$J$4,'领用录入（明细）'!C:C&lt;=$L$4),ROW(),"-")</f>
        <v>-</v>
      </c>
    </row>
    <row r="8133" customHeight="1" spans="2:2">
      <c r="B8133" s="62" t="str">
        <f>IF(AND('领用录入（明细）'!D:D=$F$4,'领用录入（明细）'!C:C&gt;=$J$4,'领用录入（明细）'!C:C&lt;=$L$4),ROW(),"-")</f>
        <v>-</v>
      </c>
    </row>
    <row r="8134" customHeight="1" spans="2:2">
      <c r="B8134" s="62" t="str">
        <f>IF(AND('领用录入（明细）'!D:D=$F$4,'领用录入（明细）'!C:C&gt;=$J$4,'领用录入（明细）'!C:C&lt;=$L$4),ROW(),"-")</f>
        <v>-</v>
      </c>
    </row>
    <row r="8135" customHeight="1" spans="2:2">
      <c r="B8135" s="62" t="str">
        <f>IF(AND('领用录入（明细）'!D:D=$F$4,'领用录入（明细）'!C:C&gt;=$J$4,'领用录入（明细）'!C:C&lt;=$L$4),ROW(),"-")</f>
        <v>-</v>
      </c>
    </row>
    <row r="8136" customHeight="1" spans="2:2">
      <c r="B8136" s="62" t="str">
        <f>IF(AND('领用录入（明细）'!D:D=$F$4,'领用录入（明细）'!C:C&gt;=$J$4,'领用录入（明细）'!C:C&lt;=$L$4),ROW(),"-")</f>
        <v>-</v>
      </c>
    </row>
    <row r="8137" customHeight="1" spans="2:2">
      <c r="B8137" s="62" t="str">
        <f>IF(AND('领用录入（明细）'!D:D=$F$4,'领用录入（明细）'!C:C&gt;=$J$4,'领用录入（明细）'!C:C&lt;=$L$4),ROW(),"-")</f>
        <v>-</v>
      </c>
    </row>
    <row r="8138" customHeight="1" spans="2:2">
      <c r="B8138" s="62" t="str">
        <f>IF(AND('领用录入（明细）'!D:D=$F$4,'领用录入（明细）'!C:C&gt;=$J$4,'领用录入（明细）'!C:C&lt;=$L$4),ROW(),"-")</f>
        <v>-</v>
      </c>
    </row>
    <row r="8139" customHeight="1" spans="2:2">
      <c r="B8139" s="62" t="str">
        <f>IF(AND('领用录入（明细）'!D:D=$F$4,'领用录入（明细）'!C:C&gt;=$J$4,'领用录入（明细）'!C:C&lt;=$L$4),ROW(),"-")</f>
        <v>-</v>
      </c>
    </row>
    <row r="8140" customHeight="1" spans="2:2">
      <c r="B8140" s="62" t="str">
        <f>IF(AND('领用录入（明细）'!D:D=$F$4,'领用录入（明细）'!C:C&gt;=$J$4,'领用录入（明细）'!C:C&lt;=$L$4),ROW(),"-")</f>
        <v>-</v>
      </c>
    </row>
    <row r="8141" customHeight="1" spans="2:2">
      <c r="B8141" s="62" t="str">
        <f>IF(AND('领用录入（明细）'!D:D=$F$4,'领用录入（明细）'!C:C&gt;=$J$4,'领用录入（明细）'!C:C&lt;=$L$4),ROW(),"-")</f>
        <v>-</v>
      </c>
    </row>
    <row r="8142" customHeight="1" spans="2:2">
      <c r="B8142" s="62" t="str">
        <f>IF(AND('领用录入（明细）'!D:D=$F$4,'领用录入（明细）'!C:C&gt;=$J$4,'领用录入（明细）'!C:C&lt;=$L$4),ROW(),"-")</f>
        <v>-</v>
      </c>
    </row>
    <row r="8143" customHeight="1" spans="2:2">
      <c r="B8143" s="62" t="str">
        <f>IF(AND('领用录入（明细）'!D:D=$F$4,'领用录入（明细）'!C:C&gt;=$J$4,'领用录入（明细）'!C:C&lt;=$L$4),ROW(),"-")</f>
        <v>-</v>
      </c>
    </row>
    <row r="8144" customHeight="1" spans="2:2">
      <c r="B8144" s="62" t="str">
        <f>IF(AND('领用录入（明细）'!D:D=$F$4,'领用录入（明细）'!C:C&gt;=$J$4,'领用录入（明细）'!C:C&lt;=$L$4),ROW(),"-")</f>
        <v>-</v>
      </c>
    </row>
    <row r="8145" customHeight="1" spans="2:2">
      <c r="B8145" s="62" t="str">
        <f>IF(AND('领用录入（明细）'!D:D=$F$4,'领用录入（明细）'!C:C&gt;=$J$4,'领用录入（明细）'!C:C&lt;=$L$4),ROW(),"-")</f>
        <v>-</v>
      </c>
    </row>
    <row r="8146" customHeight="1" spans="2:2">
      <c r="B8146" s="62" t="str">
        <f>IF(AND('领用录入（明细）'!D:D=$F$4,'领用录入（明细）'!C:C&gt;=$J$4,'领用录入（明细）'!C:C&lt;=$L$4),ROW(),"-")</f>
        <v>-</v>
      </c>
    </row>
    <row r="8147" customHeight="1" spans="2:2">
      <c r="B8147" s="62" t="str">
        <f>IF(AND('领用录入（明细）'!D:D=$F$4,'领用录入（明细）'!C:C&gt;=$J$4,'领用录入（明细）'!C:C&lt;=$L$4),ROW(),"-")</f>
        <v>-</v>
      </c>
    </row>
    <row r="8148" customHeight="1" spans="2:2">
      <c r="B8148" s="62" t="str">
        <f>IF(AND('领用录入（明细）'!D:D=$F$4,'领用录入（明细）'!C:C&gt;=$J$4,'领用录入（明细）'!C:C&lt;=$L$4),ROW(),"-")</f>
        <v>-</v>
      </c>
    </row>
    <row r="8149" customHeight="1" spans="2:2">
      <c r="B8149" s="62" t="str">
        <f>IF(AND('领用录入（明细）'!D:D=$F$4,'领用录入（明细）'!C:C&gt;=$J$4,'领用录入（明细）'!C:C&lt;=$L$4),ROW(),"-")</f>
        <v>-</v>
      </c>
    </row>
    <row r="8150" customHeight="1" spans="2:2">
      <c r="B8150" s="62" t="str">
        <f>IF(AND('领用录入（明细）'!D:D=$F$4,'领用录入（明细）'!C:C&gt;=$J$4,'领用录入（明细）'!C:C&lt;=$L$4),ROW(),"-")</f>
        <v>-</v>
      </c>
    </row>
    <row r="8151" customHeight="1" spans="2:2">
      <c r="B8151" s="62" t="str">
        <f>IF(AND('领用录入（明细）'!D:D=$F$4,'领用录入（明细）'!C:C&gt;=$J$4,'领用录入（明细）'!C:C&lt;=$L$4),ROW(),"-")</f>
        <v>-</v>
      </c>
    </row>
    <row r="8152" customHeight="1" spans="2:2">
      <c r="B8152" s="62" t="str">
        <f>IF(AND('领用录入（明细）'!D:D=$F$4,'领用录入（明细）'!C:C&gt;=$J$4,'领用录入（明细）'!C:C&lt;=$L$4),ROW(),"-")</f>
        <v>-</v>
      </c>
    </row>
    <row r="8153" customHeight="1" spans="2:2">
      <c r="B8153" s="62" t="str">
        <f>IF(AND('领用录入（明细）'!D:D=$F$4,'领用录入（明细）'!C:C&gt;=$J$4,'领用录入（明细）'!C:C&lt;=$L$4),ROW(),"-")</f>
        <v>-</v>
      </c>
    </row>
    <row r="8154" customHeight="1" spans="2:2">
      <c r="B8154" s="62" t="str">
        <f>IF(AND('领用录入（明细）'!D:D=$F$4,'领用录入（明细）'!C:C&gt;=$J$4,'领用录入（明细）'!C:C&lt;=$L$4),ROW(),"-")</f>
        <v>-</v>
      </c>
    </row>
    <row r="8155" customHeight="1" spans="2:2">
      <c r="B8155" s="62" t="str">
        <f>IF(AND('领用录入（明细）'!D:D=$F$4,'领用录入（明细）'!C:C&gt;=$J$4,'领用录入（明细）'!C:C&lt;=$L$4),ROW(),"-")</f>
        <v>-</v>
      </c>
    </row>
    <row r="8156" customHeight="1" spans="2:2">
      <c r="B8156" s="62" t="str">
        <f>IF(AND('领用录入（明细）'!D:D=$F$4,'领用录入（明细）'!C:C&gt;=$J$4,'领用录入（明细）'!C:C&lt;=$L$4),ROW(),"-")</f>
        <v>-</v>
      </c>
    </row>
    <row r="8157" customHeight="1" spans="2:2">
      <c r="B8157" s="62" t="str">
        <f>IF(AND('领用录入（明细）'!D:D=$F$4,'领用录入（明细）'!C:C&gt;=$J$4,'领用录入（明细）'!C:C&lt;=$L$4),ROW(),"-")</f>
        <v>-</v>
      </c>
    </row>
    <row r="8158" customHeight="1" spans="2:2">
      <c r="B8158" s="62" t="str">
        <f>IF(AND('领用录入（明细）'!D:D=$F$4,'领用录入（明细）'!C:C&gt;=$J$4,'领用录入（明细）'!C:C&lt;=$L$4),ROW(),"-")</f>
        <v>-</v>
      </c>
    </row>
    <row r="8159" customHeight="1" spans="2:2">
      <c r="B8159" s="62" t="str">
        <f>IF(AND('领用录入（明细）'!D:D=$F$4,'领用录入（明细）'!C:C&gt;=$J$4,'领用录入（明细）'!C:C&lt;=$L$4),ROW(),"-")</f>
        <v>-</v>
      </c>
    </row>
    <row r="8160" customHeight="1" spans="2:2">
      <c r="B8160" s="62" t="str">
        <f>IF(AND('领用录入（明细）'!D:D=$F$4,'领用录入（明细）'!C:C&gt;=$J$4,'领用录入（明细）'!C:C&lt;=$L$4),ROW(),"-")</f>
        <v>-</v>
      </c>
    </row>
    <row r="8161" customHeight="1" spans="2:2">
      <c r="B8161" s="62" t="str">
        <f>IF(AND('领用录入（明细）'!D:D=$F$4,'领用录入（明细）'!C:C&gt;=$J$4,'领用录入（明细）'!C:C&lt;=$L$4),ROW(),"-")</f>
        <v>-</v>
      </c>
    </row>
    <row r="8162" customHeight="1" spans="2:2">
      <c r="B8162" s="62" t="str">
        <f>IF(AND('领用录入（明细）'!D:D=$F$4,'领用录入（明细）'!C:C&gt;=$J$4,'领用录入（明细）'!C:C&lt;=$L$4),ROW(),"-")</f>
        <v>-</v>
      </c>
    </row>
    <row r="8163" customHeight="1" spans="2:2">
      <c r="B8163" s="62" t="str">
        <f>IF(AND('领用录入（明细）'!D:D=$F$4,'领用录入（明细）'!C:C&gt;=$J$4,'领用录入（明细）'!C:C&lt;=$L$4),ROW(),"-")</f>
        <v>-</v>
      </c>
    </row>
    <row r="8164" customHeight="1" spans="2:2">
      <c r="B8164" s="62" t="str">
        <f>IF(AND('领用录入（明细）'!D:D=$F$4,'领用录入（明细）'!C:C&gt;=$J$4,'领用录入（明细）'!C:C&lt;=$L$4),ROW(),"-")</f>
        <v>-</v>
      </c>
    </row>
    <row r="8165" customHeight="1" spans="2:2">
      <c r="B8165" s="62" t="str">
        <f>IF(AND('领用录入（明细）'!D:D=$F$4,'领用录入（明细）'!C:C&gt;=$J$4,'领用录入（明细）'!C:C&lt;=$L$4),ROW(),"-")</f>
        <v>-</v>
      </c>
    </row>
    <row r="8166" customHeight="1" spans="2:2">
      <c r="B8166" s="62" t="str">
        <f>IF(AND('领用录入（明细）'!D:D=$F$4,'领用录入（明细）'!C:C&gt;=$J$4,'领用录入（明细）'!C:C&lt;=$L$4),ROW(),"-")</f>
        <v>-</v>
      </c>
    </row>
    <row r="8167" customHeight="1" spans="2:2">
      <c r="B8167" s="62" t="str">
        <f>IF(AND('领用录入（明细）'!D:D=$F$4,'领用录入（明细）'!C:C&gt;=$J$4,'领用录入（明细）'!C:C&lt;=$L$4),ROW(),"-")</f>
        <v>-</v>
      </c>
    </row>
    <row r="8168" customHeight="1" spans="2:2">
      <c r="B8168" s="62" t="str">
        <f>IF(AND('领用录入（明细）'!D:D=$F$4,'领用录入（明细）'!C:C&gt;=$J$4,'领用录入（明细）'!C:C&lt;=$L$4),ROW(),"-")</f>
        <v>-</v>
      </c>
    </row>
    <row r="8169" customHeight="1" spans="2:2">
      <c r="B8169" s="62" t="str">
        <f>IF(AND('领用录入（明细）'!D:D=$F$4,'领用录入（明细）'!C:C&gt;=$J$4,'领用录入（明细）'!C:C&lt;=$L$4),ROW(),"-")</f>
        <v>-</v>
      </c>
    </row>
    <row r="8170" customHeight="1" spans="2:2">
      <c r="B8170" s="62" t="str">
        <f>IF(AND('领用录入（明细）'!D:D=$F$4,'领用录入（明细）'!C:C&gt;=$J$4,'领用录入（明细）'!C:C&lt;=$L$4),ROW(),"-")</f>
        <v>-</v>
      </c>
    </row>
    <row r="8171" customHeight="1" spans="2:2">
      <c r="B8171" s="62" t="str">
        <f>IF(AND('领用录入（明细）'!D:D=$F$4,'领用录入（明细）'!C:C&gt;=$J$4,'领用录入（明细）'!C:C&lt;=$L$4),ROW(),"-")</f>
        <v>-</v>
      </c>
    </row>
    <row r="8172" customHeight="1" spans="2:2">
      <c r="B8172" s="62" t="str">
        <f>IF(AND('领用录入（明细）'!D:D=$F$4,'领用录入（明细）'!C:C&gt;=$J$4,'领用录入（明细）'!C:C&lt;=$L$4),ROW(),"-")</f>
        <v>-</v>
      </c>
    </row>
    <row r="8173" customHeight="1" spans="2:2">
      <c r="B8173" s="62" t="str">
        <f>IF(AND('领用录入（明细）'!D:D=$F$4,'领用录入（明细）'!C:C&gt;=$J$4,'领用录入（明细）'!C:C&lt;=$L$4),ROW(),"-")</f>
        <v>-</v>
      </c>
    </row>
    <row r="8174" customHeight="1" spans="2:2">
      <c r="B8174" s="62" t="str">
        <f>IF(AND('领用录入（明细）'!D:D=$F$4,'领用录入（明细）'!C:C&gt;=$J$4,'领用录入（明细）'!C:C&lt;=$L$4),ROW(),"-")</f>
        <v>-</v>
      </c>
    </row>
    <row r="8175" customHeight="1" spans="2:2">
      <c r="B8175" s="62" t="str">
        <f>IF(AND('领用录入（明细）'!D:D=$F$4,'领用录入（明细）'!C:C&gt;=$J$4,'领用录入（明细）'!C:C&lt;=$L$4),ROW(),"-")</f>
        <v>-</v>
      </c>
    </row>
    <row r="8176" customHeight="1" spans="2:2">
      <c r="B8176" s="62" t="str">
        <f>IF(AND('领用录入（明细）'!D:D=$F$4,'领用录入（明细）'!C:C&gt;=$J$4,'领用录入（明细）'!C:C&lt;=$L$4),ROW(),"-")</f>
        <v>-</v>
      </c>
    </row>
    <row r="8177" customHeight="1" spans="2:2">
      <c r="B8177" s="62" t="str">
        <f>IF(AND('领用录入（明细）'!D:D=$F$4,'领用录入（明细）'!C:C&gt;=$J$4,'领用录入（明细）'!C:C&lt;=$L$4),ROW(),"-")</f>
        <v>-</v>
      </c>
    </row>
    <row r="8178" customHeight="1" spans="2:2">
      <c r="B8178" s="62" t="str">
        <f>IF(AND('领用录入（明细）'!D:D=$F$4,'领用录入（明细）'!C:C&gt;=$J$4,'领用录入（明细）'!C:C&lt;=$L$4),ROW(),"-")</f>
        <v>-</v>
      </c>
    </row>
    <row r="8179" customHeight="1" spans="2:2">
      <c r="B8179" s="62" t="str">
        <f>IF(AND('领用录入（明细）'!D:D=$F$4,'领用录入（明细）'!C:C&gt;=$J$4,'领用录入（明细）'!C:C&lt;=$L$4),ROW(),"-")</f>
        <v>-</v>
      </c>
    </row>
    <row r="8180" customHeight="1" spans="2:2">
      <c r="B8180" s="62" t="str">
        <f>IF(AND('领用录入（明细）'!D:D=$F$4,'领用录入（明细）'!C:C&gt;=$J$4,'领用录入（明细）'!C:C&lt;=$L$4),ROW(),"-")</f>
        <v>-</v>
      </c>
    </row>
    <row r="8181" customHeight="1" spans="2:2">
      <c r="B8181" s="62" t="str">
        <f>IF(AND('领用录入（明细）'!D:D=$F$4,'领用录入（明细）'!C:C&gt;=$J$4,'领用录入（明细）'!C:C&lt;=$L$4),ROW(),"-")</f>
        <v>-</v>
      </c>
    </row>
    <row r="8182" customHeight="1" spans="2:2">
      <c r="B8182" s="62" t="str">
        <f>IF(AND('领用录入（明细）'!D:D=$F$4,'领用录入（明细）'!C:C&gt;=$J$4,'领用录入（明细）'!C:C&lt;=$L$4),ROW(),"-")</f>
        <v>-</v>
      </c>
    </row>
    <row r="8183" customHeight="1" spans="2:2">
      <c r="B8183" s="62" t="str">
        <f>IF(AND('领用录入（明细）'!D:D=$F$4,'领用录入（明细）'!C:C&gt;=$J$4,'领用录入（明细）'!C:C&lt;=$L$4),ROW(),"-")</f>
        <v>-</v>
      </c>
    </row>
    <row r="8184" customHeight="1" spans="2:2">
      <c r="B8184" s="62" t="str">
        <f>IF(AND('领用录入（明细）'!D:D=$F$4,'领用录入（明细）'!C:C&gt;=$J$4,'领用录入（明细）'!C:C&lt;=$L$4),ROW(),"-")</f>
        <v>-</v>
      </c>
    </row>
    <row r="8185" customHeight="1" spans="2:2">
      <c r="B8185" s="62" t="str">
        <f>IF(AND('领用录入（明细）'!D:D=$F$4,'领用录入（明细）'!C:C&gt;=$J$4,'领用录入（明细）'!C:C&lt;=$L$4),ROW(),"-")</f>
        <v>-</v>
      </c>
    </row>
    <row r="8186" customHeight="1" spans="2:2">
      <c r="B8186" s="62" t="str">
        <f>IF(AND('领用录入（明细）'!D:D=$F$4,'领用录入（明细）'!C:C&gt;=$J$4,'领用录入（明细）'!C:C&lt;=$L$4),ROW(),"-")</f>
        <v>-</v>
      </c>
    </row>
    <row r="8187" customHeight="1" spans="2:2">
      <c r="B8187" s="62" t="str">
        <f>IF(AND('领用录入（明细）'!D:D=$F$4,'领用录入（明细）'!C:C&gt;=$J$4,'领用录入（明细）'!C:C&lt;=$L$4),ROW(),"-")</f>
        <v>-</v>
      </c>
    </row>
    <row r="8188" customHeight="1" spans="2:2">
      <c r="B8188" s="62" t="str">
        <f>IF(AND('领用录入（明细）'!D:D=$F$4,'领用录入（明细）'!C:C&gt;=$J$4,'领用录入（明细）'!C:C&lt;=$L$4),ROW(),"-")</f>
        <v>-</v>
      </c>
    </row>
    <row r="8189" customHeight="1" spans="2:2">
      <c r="B8189" s="62" t="str">
        <f>IF(AND('领用录入（明细）'!D:D=$F$4,'领用录入（明细）'!C:C&gt;=$J$4,'领用录入（明细）'!C:C&lt;=$L$4),ROW(),"-")</f>
        <v>-</v>
      </c>
    </row>
    <row r="8190" customHeight="1" spans="2:2">
      <c r="B8190" s="62" t="str">
        <f>IF(AND('领用录入（明细）'!D:D=$F$4,'领用录入（明细）'!C:C&gt;=$J$4,'领用录入（明细）'!C:C&lt;=$L$4),ROW(),"-")</f>
        <v>-</v>
      </c>
    </row>
    <row r="8191" customHeight="1" spans="2:2">
      <c r="B8191" s="62" t="str">
        <f>IF(AND('领用录入（明细）'!D:D=$F$4,'领用录入（明细）'!C:C&gt;=$J$4,'领用录入（明细）'!C:C&lt;=$L$4),ROW(),"-")</f>
        <v>-</v>
      </c>
    </row>
    <row r="8192" customHeight="1" spans="2:2">
      <c r="B8192" s="62" t="str">
        <f>IF(AND('领用录入（明细）'!D:D=$F$4,'领用录入（明细）'!C:C&gt;=$J$4,'领用录入（明细）'!C:C&lt;=$L$4),ROW(),"-")</f>
        <v>-</v>
      </c>
    </row>
    <row r="8193" customHeight="1" spans="2:2">
      <c r="B8193" s="62" t="str">
        <f>IF(AND('领用录入（明细）'!D:D=$F$4,'领用录入（明细）'!C:C&gt;=$J$4,'领用录入（明细）'!C:C&lt;=$L$4),ROW(),"-")</f>
        <v>-</v>
      </c>
    </row>
    <row r="8194" customHeight="1" spans="2:2">
      <c r="B8194" s="62" t="str">
        <f>IF(AND('领用录入（明细）'!D:D=$F$4,'领用录入（明细）'!C:C&gt;=$J$4,'领用录入（明细）'!C:C&lt;=$L$4),ROW(),"-")</f>
        <v>-</v>
      </c>
    </row>
    <row r="8195" customHeight="1" spans="2:2">
      <c r="B8195" s="62" t="str">
        <f>IF(AND('领用录入（明细）'!D:D=$F$4,'领用录入（明细）'!C:C&gt;=$J$4,'领用录入（明细）'!C:C&lt;=$L$4),ROW(),"-")</f>
        <v>-</v>
      </c>
    </row>
    <row r="8196" customHeight="1" spans="2:2">
      <c r="B8196" s="62" t="str">
        <f>IF(AND('领用录入（明细）'!D:D=$F$4,'领用录入（明细）'!C:C&gt;=$J$4,'领用录入（明细）'!C:C&lt;=$L$4),ROW(),"-")</f>
        <v>-</v>
      </c>
    </row>
    <row r="8197" customHeight="1" spans="2:2">
      <c r="B8197" s="62" t="str">
        <f>IF(AND('领用录入（明细）'!D:D=$F$4,'领用录入（明细）'!C:C&gt;=$J$4,'领用录入（明细）'!C:C&lt;=$L$4),ROW(),"-")</f>
        <v>-</v>
      </c>
    </row>
    <row r="8198" customHeight="1" spans="2:2">
      <c r="B8198" s="62" t="str">
        <f>IF(AND('领用录入（明细）'!D:D=$F$4,'领用录入（明细）'!C:C&gt;=$J$4,'领用录入（明细）'!C:C&lt;=$L$4),ROW(),"-")</f>
        <v>-</v>
      </c>
    </row>
    <row r="8199" customHeight="1" spans="2:2">
      <c r="B8199" s="62" t="str">
        <f>IF(AND('领用录入（明细）'!D:D=$F$4,'领用录入（明细）'!C:C&gt;=$J$4,'领用录入（明细）'!C:C&lt;=$L$4),ROW(),"-")</f>
        <v>-</v>
      </c>
    </row>
    <row r="8200" customHeight="1" spans="2:2">
      <c r="B8200" s="62" t="str">
        <f>IF(AND('领用录入（明细）'!D:D=$F$4,'领用录入（明细）'!C:C&gt;=$J$4,'领用录入（明细）'!C:C&lt;=$L$4),ROW(),"-")</f>
        <v>-</v>
      </c>
    </row>
    <row r="8201" customHeight="1" spans="2:2">
      <c r="B8201" s="62" t="str">
        <f>IF(AND('领用录入（明细）'!D:D=$F$4,'领用录入（明细）'!C:C&gt;=$J$4,'领用录入（明细）'!C:C&lt;=$L$4),ROW(),"-")</f>
        <v>-</v>
      </c>
    </row>
    <row r="8202" customHeight="1" spans="2:2">
      <c r="B8202" s="62" t="str">
        <f>IF(AND('领用录入（明细）'!D:D=$F$4,'领用录入（明细）'!C:C&gt;=$J$4,'领用录入（明细）'!C:C&lt;=$L$4),ROW(),"-")</f>
        <v>-</v>
      </c>
    </row>
    <row r="8203" customHeight="1" spans="2:2">
      <c r="B8203" s="62" t="str">
        <f>IF(AND('领用录入（明细）'!D:D=$F$4,'领用录入（明细）'!C:C&gt;=$J$4,'领用录入（明细）'!C:C&lt;=$L$4),ROW(),"-")</f>
        <v>-</v>
      </c>
    </row>
    <row r="8204" customHeight="1" spans="2:2">
      <c r="B8204" s="62" t="str">
        <f>IF(AND('领用录入（明细）'!D:D=$F$4,'领用录入（明细）'!C:C&gt;=$J$4,'领用录入（明细）'!C:C&lt;=$L$4),ROW(),"-")</f>
        <v>-</v>
      </c>
    </row>
    <row r="8205" customHeight="1" spans="2:2">
      <c r="B8205" s="62" t="str">
        <f>IF(AND('领用录入（明细）'!D:D=$F$4,'领用录入（明细）'!C:C&gt;=$J$4,'领用录入（明细）'!C:C&lt;=$L$4),ROW(),"-")</f>
        <v>-</v>
      </c>
    </row>
    <row r="8206" customHeight="1" spans="2:2">
      <c r="B8206" s="62" t="str">
        <f>IF(AND('领用录入（明细）'!D:D=$F$4,'领用录入（明细）'!C:C&gt;=$J$4,'领用录入（明细）'!C:C&lt;=$L$4),ROW(),"-")</f>
        <v>-</v>
      </c>
    </row>
    <row r="8207" customHeight="1" spans="2:2">
      <c r="B8207" s="62" t="str">
        <f>IF(AND('领用录入（明细）'!D:D=$F$4,'领用录入（明细）'!C:C&gt;=$J$4,'领用录入（明细）'!C:C&lt;=$L$4),ROW(),"-")</f>
        <v>-</v>
      </c>
    </row>
    <row r="8208" customHeight="1" spans="2:2">
      <c r="B8208" s="62" t="str">
        <f>IF(AND('领用录入（明细）'!D:D=$F$4,'领用录入（明细）'!C:C&gt;=$J$4,'领用录入（明细）'!C:C&lt;=$L$4),ROW(),"-")</f>
        <v>-</v>
      </c>
    </row>
    <row r="8209" customHeight="1" spans="2:2">
      <c r="B8209" s="62" t="str">
        <f>IF(AND('领用录入（明细）'!D:D=$F$4,'领用录入（明细）'!C:C&gt;=$J$4,'领用录入（明细）'!C:C&lt;=$L$4),ROW(),"-")</f>
        <v>-</v>
      </c>
    </row>
    <row r="8210" customHeight="1" spans="2:2">
      <c r="B8210" s="62" t="str">
        <f>IF(AND('领用录入（明细）'!D:D=$F$4,'领用录入（明细）'!C:C&gt;=$J$4,'领用录入（明细）'!C:C&lt;=$L$4),ROW(),"-")</f>
        <v>-</v>
      </c>
    </row>
    <row r="8211" customHeight="1" spans="2:2">
      <c r="B8211" s="62" t="str">
        <f>IF(AND('领用录入（明细）'!D:D=$F$4,'领用录入（明细）'!C:C&gt;=$J$4,'领用录入（明细）'!C:C&lt;=$L$4),ROW(),"-")</f>
        <v>-</v>
      </c>
    </row>
    <row r="8212" customHeight="1" spans="2:2">
      <c r="B8212" s="62" t="str">
        <f>IF(AND('领用录入（明细）'!D:D=$F$4,'领用录入（明细）'!C:C&gt;=$J$4,'领用录入（明细）'!C:C&lt;=$L$4),ROW(),"-")</f>
        <v>-</v>
      </c>
    </row>
    <row r="8213" customHeight="1" spans="2:2">
      <c r="B8213" s="62" t="str">
        <f>IF(AND('领用录入（明细）'!D:D=$F$4,'领用录入（明细）'!C:C&gt;=$J$4,'领用录入（明细）'!C:C&lt;=$L$4),ROW(),"-")</f>
        <v>-</v>
      </c>
    </row>
    <row r="8214" customHeight="1" spans="2:2">
      <c r="B8214" s="62" t="str">
        <f>IF(AND('领用录入（明细）'!D:D=$F$4,'领用录入（明细）'!C:C&gt;=$J$4,'领用录入（明细）'!C:C&lt;=$L$4),ROW(),"-")</f>
        <v>-</v>
      </c>
    </row>
    <row r="8215" customHeight="1" spans="2:2">
      <c r="B8215" s="62" t="str">
        <f>IF(AND('领用录入（明细）'!D:D=$F$4,'领用录入（明细）'!C:C&gt;=$J$4,'领用录入（明细）'!C:C&lt;=$L$4),ROW(),"-")</f>
        <v>-</v>
      </c>
    </row>
    <row r="8216" customHeight="1" spans="2:2">
      <c r="B8216" s="62" t="str">
        <f>IF(AND('领用录入（明细）'!D:D=$F$4,'领用录入（明细）'!C:C&gt;=$J$4,'领用录入（明细）'!C:C&lt;=$L$4),ROW(),"-")</f>
        <v>-</v>
      </c>
    </row>
    <row r="8217" customHeight="1" spans="2:2">
      <c r="B8217" s="62" t="str">
        <f>IF(AND('领用录入（明细）'!D:D=$F$4,'领用录入（明细）'!C:C&gt;=$J$4,'领用录入（明细）'!C:C&lt;=$L$4),ROW(),"-")</f>
        <v>-</v>
      </c>
    </row>
    <row r="8218" customHeight="1" spans="2:2">
      <c r="B8218" s="62" t="str">
        <f>IF(AND('领用录入（明细）'!D:D=$F$4,'领用录入（明细）'!C:C&gt;=$J$4,'领用录入（明细）'!C:C&lt;=$L$4),ROW(),"-")</f>
        <v>-</v>
      </c>
    </row>
    <row r="8219" customHeight="1" spans="2:2">
      <c r="B8219" s="62" t="str">
        <f>IF(AND('领用录入（明细）'!D:D=$F$4,'领用录入（明细）'!C:C&gt;=$J$4,'领用录入（明细）'!C:C&lt;=$L$4),ROW(),"-")</f>
        <v>-</v>
      </c>
    </row>
    <row r="8220" customHeight="1" spans="2:2">
      <c r="B8220" s="62" t="str">
        <f>IF(AND('领用录入（明细）'!D:D=$F$4,'领用录入（明细）'!C:C&gt;=$J$4,'领用录入（明细）'!C:C&lt;=$L$4),ROW(),"-")</f>
        <v>-</v>
      </c>
    </row>
    <row r="8221" customHeight="1" spans="2:2">
      <c r="B8221" s="62" t="str">
        <f>IF(AND('领用录入（明细）'!D:D=$F$4,'领用录入（明细）'!C:C&gt;=$J$4,'领用录入（明细）'!C:C&lt;=$L$4),ROW(),"-")</f>
        <v>-</v>
      </c>
    </row>
    <row r="8222" customHeight="1" spans="2:2">
      <c r="B8222" s="62" t="str">
        <f>IF(AND('领用录入（明细）'!D:D=$F$4,'领用录入（明细）'!C:C&gt;=$J$4,'领用录入（明细）'!C:C&lt;=$L$4),ROW(),"-")</f>
        <v>-</v>
      </c>
    </row>
    <row r="8223" customHeight="1" spans="2:2">
      <c r="B8223" s="62" t="str">
        <f>IF(AND('领用录入（明细）'!D:D=$F$4,'领用录入（明细）'!C:C&gt;=$J$4,'领用录入（明细）'!C:C&lt;=$L$4),ROW(),"-")</f>
        <v>-</v>
      </c>
    </row>
    <row r="8224" customHeight="1" spans="2:2">
      <c r="B8224" s="62" t="str">
        <f>IF(AND('领用录入（明细）'!D:D=$F$4,'领用录入（明细）'!C:C&gt;=$J$4,'领用录入（明细）'!C:C&lt;=$L$4),ROW(),"-")</f>
        <v>-</v>
      </c>
    </row>
    <row r="8225" customHeight="1" spans="2:2">
      <c r="B8225" s="62" t="str">
        <f>IF(AND('领用录入（明细）'!D:D=$F$4,'领用录入（明细）'!C:C&gt;=$J$4,'领用录入（明细）'!C:C&lt;=$L$4),ROW(),"-")</f>
        <v>-</v>
      </c>
    </row>
    <row r="8226" customHeight="1" spans="2:2">
      <c r="B8226" s="62" t="str">
        <f>IF(AND('领用录入（明细）'!D:D=$F$4,'领用录入（明细）'!C:C&gt;=$J$4,'领用录入（明细）'!C:C&lt;=$L$4),ROW(),"-")</f>
        <v>-</v>
      </c>
    </row>
    <row r="8227" customHeight="1" spans="2:2">
      <c r="B8227" s="62" t="str">
        <f>IF(AND('领用录入（明细）'!D:D=$F$4,'领用录入（明细）'!C:C&gt;=$J$4,'领用录入（明细）'!C:C&lt;=$L$4),ROW(),"-")</f>
        <v>-</v>
      </c>
    </row>
    <row r="8228" customHeight="1" spans="2:2">
      <c r="B8228" s="62" t="str">
        <f>IF(AND('领用录入（明细）'!D:D=$F$4,'领用录入（明细）'!C:C&gt;=$J$4,'领用录入（明细）'!C:C&lt;=$L$4),ROW(),"-")</f>
        <v>-</v>
      </c>
    </row>
    <row r="8229" customHeight="1" spans="2:2">
      <c r="B8229" s="62" t="str">
        <f>IF(AND('领用录入（明细）'!D:D=$F$4,'领用录入（明细）'!C:C&gt;=$J$4,'领用录入（明细）'!C:C&lt;=$L$4),ROW(),"-")</f>
        <v>-</v>
      </c>
    </row>
    <row r="8230" customHeight="1" spans="2:2">
      <c r="B8230" s="62" t="str">
        <f>IF(AND('领用录入（明细）'!D:D=$F$4,'领用录入（明细）'!C:C&gt;=$J$4,'领用录入（明细）'!C:C&lt;=$L$4),ROW(),"-")</f>
        <v>-</v>
      </c>
    </row>
    <row r="8231" customHeight="1" spans="2:2">
      <c r="B8231" s="62" t="str">
        <f>IF(AND('领用录入（明细）'!D:D=$F$4,'领用录入（明细）'!C:C&gt;=$J$4,'领用录入（明细）'!C:C&lt;=$L$4),ROW(),"-")</f>
        <v>-</v>
      </c>
    </row>
    <row r="8232" customHeight="1" spans="2:2">
      <c r="B8232" s="62" t="str">
        <f>IF(AND('领用录入（明细）'!D:D=$F$4,'领用录入（明细）'!C:C&gt;=$J$4,'领用录入（明细）'!C:C&lt;=$L$4),ROW(),"-")</f>
        <v>-</v>
      </c>
    </row>
    <row r="8233" customHeight="1" spans="2:2">
      <c r="B8233" s="62" t="str">
        <f>IF(AND('领用录入（明细）'!D:D=$F$4,'领用录入（明细）'!C:C&gt;=$J$4,'领用录入（明细）'!C:C&lt;=$L$4),ROW(),"-")</f>
        <v>-</v>
      </c>
    </row>
    <row r="8234" customHeight="1" spans="2:2">
      <c r="B8234" s="62" t="str">
        <f>IF(AND('领用录入（明细）'!D:D=$F$4,'领用录入（明细）'!C:C&gt;=$J$4,'领用录入（明细）'!C:C&lt;=$L$4),ROW(),"-")</f>
        <v>-</v>
      </c>
    </row>
    <row r="8235" customHeight="1" spans="2:2">
      <c r="B8235" s="62" t="str">
        <f>IF(AND('领用录入（明细）'!D:D=$F$4,'领用录入（明细）'!C:C&gt;=$J$4,'领用录入（明细）'!C:C&lt;=$L$4),ROW(),"-")</f>
        <v>-</v>
      </c>
    </row>
    <row r="8236" customHeight="1" spans="2:2">
      <c r="B8236" s="62" t="str">
        <f>IF(AND('领用录入（明细）'!D:D=$F$4,'领用录入（明细）'!C:C&gt;=$J$4,'领用录入（明细）'!C:C&lt;=$L$4),ROW(),"-")</f>
        <v>-</v>
      </c>
    </row>
    <row r="8237" customHeight="1" spans="2:2">
      <c r="B8237" s="62" t="str">
        <f>IF(AND('领用录入（明细）'!D:D=$F$4,'领用录入（明细）'!C:C&gt;=$J$4,'领用录入（明细）'!C:C&lt;=$L$4),ROW(),"-")</f>
        <v>-</v>
      </c>
    </row>
    <row r="8238" customHeight="1" spans="2:2">
      <c r="B8238" s="62" t="str">
        <f>IF(AND('领用录入（明细）'!D:D=$F$4,'领用录入（明细）'!C:C&gt;=$J$4,'领用录入（明细）'!C:C&lt;=$L$4),ROW(),"-")</f>
        <v>-</v>
      </c>
    </row>
    <row r="8239" customHeight="1" spans="2:2">
      <c r="B8239" s="62" t="str">
        <f>IF(AND('领用录入（明细）'!D:D=$F$4,'领用录入（明细）'!C:C&gt;=$J$4,'领用录入（明细）'!C:C&lt;=$L$4),ROW(),"-")</f>
        <v>-</v>
      </c>
    </row>
    <row r="8240" customHeight="1" spans="2:2">
      <c r="B8240" s="62" t="str">
        <f>IF(AND('领用录入（明细）'!D:D=$F$4,'领用录入（明细）'!C:C&gt;=$J$4,'领用录入（明细）'!C:C&lt;=$L$4),ROW(),"-")</f>
        <v>-</v>
      </c>
    </row>
    <row r="8241" customHeight="1" spans="2:2">
      <c r="B8241" s="62" t="str">
        <f>IF(AND('领用录入（明细）'!D:D=$F$4,'领用录入（明细）'!C:C&gt;=$J$4,'领用录入（明细）'!C:C&lt;=$L$4),ROW(),"-")</f>
        <v>-</v>
      </c>
    </row>
    <row r="8242" customHeight="1" spans="2:2">
      <c r="B8242" s="62" t="str">
        <f>IF(AND('领用录入（明细）'!D:D=$F$4,'领用录入（明细）'!C:C&gt;=$J$4,'领用录入（明细）'!C:C&lt;=$L$4),ROW(),"-")</f>
        <v>-</v>
      </c>
    </row>
    <row r="8243" customHeight="1" spans="2:2">
      <c r="B8243" s="62" t="str">
        <f>IF(AND('领用录入（明细）'!D:D=$F$4,'领用录入（明细）'!C:C&gt;=$J$4,'领用录入（明细）'!C:C&lt;=$L$4),ROW(),"-")</f>
        <v>-</v>
      </c>
    </row>
    <row r="8244" customHeight="1" spans="2:2">
      <c r="B8244" s="62" t="str">
        <f>IF(AND('领用录入（明细）'!D:D=$F$4,'领用录入（明细）'!C:C&gt;=$J$4,'领用录入（明细）'!C:C&lt;=$L$4),ROW(),"-")</f>
        <v>-</v>
      </c>
    </row>
    <row r="8245" customHeight="1" spans="2:2">
      <c r="B8245" s="62" t="str">
        <f>IF(AND('领用录入（明细）'!D:D=$F$4,'领用录入（明细）'!C:C&gt;=$J$4,'领用录入（明细）'!C:C&lt;=$L$4),ROW(),"-")</f>
        <v>-</v>
      </c>
    </row>
    <row r="8246" customHeight="1" spans="2:2">
      <c r="B8246" s="62" t="str">
        <f>IF(AND('领用录入（明细）'!D:D=$F$4,'领用录入（明细）'!C:C&gt;=$J$4,'领用录入（明细）'!C:C&lt;=$L$4),ROW(),"-")</f>
        <v>-</v>
      </c>
    </row>
    <row r="8247" customHeight="1" spans="2:2">
      <c r="B8247" s="62" t="str">
        <f>IF(AND('领用录入（明细）'!D:D=$F$4,'领用录入（明细）'!C:C&gt;=$J$4,'领用录入（明细）'!C:C&lt;=$L$4),ROW(),"-")</f>
        <v>-</v>
      </c>
    </row>
    <row r="8248" customHeight="1" spans="2:2">
      <c r="B8248" s="62" t="str">
        <f>IF(AND('领用录入（明细）'!D:D=$F$4,'领用录入（明细）'!C:C&gt;=$J$4,'领用录入（明细）'!C:C&lt;=$L$4),ROW(),"-")</f>
        <v>-</v>
      </c>
    </row>
    <row r="8249" customHeight="1" spans="2:2">
      <c r="B8249" s="62" t="str">
        <f>IF(AND('领用录入（明细）'!D:D=$F$4,'领用录入（明细）'!C:C&gt;=$J$4,'领用录入（明细）'!C:C&lt;=$L$4),ROW(),"-")</f>
        <v>-</v>
      </c>
    </row>
    <row r="8250" customHeight="1" spans="2:2">
      <c r="B8250" s="62" t="str">
        <f>IF(AND('领用录入（明细）'!D:D=$F$4,'领用录入（明细）'!C:C&gt;=$J$4,'领用录入（明细）'!C:C&lt;=$L$4),ROW(),"-")</f>
        <v>-</v>
      </c>
    </row>
    <row r="8251" customHeight="1" spans="2:2">
      <c r="B8251" s="62" t="str">
        <f>IF(AND('领用录入（明细）'!D:D=$F$4,'领用录入（明细）'!C:C&gt;=$J$4,'领用录入（明细）'!C:C&lt;=$L$4),ROW(),"-")</f>
        <v>-</v>
      </c>
    </row>
    <row r="8252" customHeight="1" spans="2:2">
      <c r="B8252" s="62" t="str">
        <f>IF(AND('领用录入（明细）'!D:D=$F$4,'领用录入（明细）'!C:C&gt;=$J$4,'领用录入（明细）'!C:C&lt;=$L$4),ROW(),"-")</f>
        <v>-</v>
      </c>
    </row>
    <row r="8253" customHeight="1" spans="2:2">
      <c r="B8253" s="62" t="str">
        <f>IF(AND('领用录入（明细）'!D:D=$F$4,'领用录入（明细）'!C:C&gt;=$J$4,'领用录入（明细）'!C:C&lt;=$L$4),ROW(),"-")</f>
        <v>-</v>
      </c>
    </row>
    <row r="8254" customHeight="1" spans="2:2">
      <c r="B8254" s="62" t="str">
        <f>IF(AND('领用录入（明细）'!D:D=$F$4,'领用录入（明细）'!C:C&gt;=$J$4,'领用录入（明细）'!C:C&lt;=$L$4),ROW(),"-")</f>
        <v>-</v>
      </c>
    </row>
    <row r="8255" customHeight="1" spans="2:2">
      <c r="B8255" s="62" t="str">
        <f>IF(AND('领用录入（明细）'!D:D=$F$4,'领用录入（明细）'!C:C&gt;=$J$4,'领用录入（明细）'!C:C&lt;=$L$4),ROW(),"-")</f>
        <v>-</v>
      </c>
    </row>
    <row r="8256" customHeight="1" spans="2:2">
      <c r="B8256" s="62" t="str">
        <f>IF(AND('领用录入（明细）'!D:D=$F$4,'领用录入（明细）'!C:C&gt;=$J$4,'领用录入（明细）'!C:C&lt;=$L$4),ROW(),"-")</f>
        <v>-</v>
      </c>
    </row>
    <row r="8257" customHeight="1" spans="2:2">
      <c r="B8257" s="62" t="str">
        <f>IF(AND('领用录入（明细）'!D:D=$F$4,'领用录入（明细）'!C:C&gt;=$J$4,'领用录入（明细）'!C:C&lt;=$L$4),ROW(),"-")</f>
        <v>-</v>
      </c>
    </row>
    <row r="8258" customHeight="1" spans="2:2">
      <c r="B8258" s="62" t="str">
        <f>IF(AND('领用录入（明细）'!D:D=$F$4,'领用录入（明细）'!C:C&gt;=$J$4,'领用录入（明细）'!C:C&lt;=$L$4),ROW(),"-")</f>
        <v>-</v>
      </c>
    </row>
    <row r="8259" customHeight="1" spans="2:2">
      <c r="B8259" s="62" t="str">
        <f>IF(AND('领用录入（明细）'!D:D=$F$4,'领用录入（明细）'!C:C&gt;=$J$4,'领用录入（明细）'!C:C&lt;=$L$4),ROW(),"-")</f>
        <v>-</v>
      </c>
    </row>
    <row r="8260" customHeight="1" spans="2:2">
      <c r="B8260" s="62" t="str">
        <f>IF(AND('领用录入（明细）'!D:D=$F$4,'领用录入（明细）'!C:C&gt;=$J$4,'领用录入（明细）'!C:C&lt;=$L$4),ROW(),"-")</f>
        <v>-</v>
      </c>
    </row>
    <row r="8261" customHeight="1" spans="2:2">
      <c r="B8261" s="62" t="str">
        <f>IF(AND('领用录入（明细）'!D:D=$F$4,'领用录入（明细）'!C:C&gt;=$J$4,'领用录入（明细）'!C:C&lt;=$L$4),ROW(),"-")</f>
        <v>-</v>
      </c>
    </row>
    <row r="8262" customHeight="1" spans="2:2">
      <c r="B8262" s="62" t="str">
        <f>IF(AND('领用录入（明细）'!D:D=$F$4,'领用录入（明细）'!C:C&gt;=$J$4,'领用录入（明细）'!C:C&lt;=$L$4),ROW(),"-")</f>
        <v>-</v>
      </c>
    </row>
    <row r="8263" customHeight="1" spans="2:2">
      <c r="B8263" s="62" t="str">
        <f>IF(AND('领用录入（明细）'!D:D=$F$4,'领用录入（明细）'!C:C&gt;=$J$4,'领用录入（明细）'!C:C&lt;=$L$4),ROW(),"-")</f>
        <v>-</v>
      </c>
    </row>
    <row r="8264" customHeight="1" spans="2:2">
      <c r="B8264" s="62" t="str">
        <f>IF(AND('领用录入（明细）'!D:D=$F$4,'领用录入（明细）'!C:C&gt;=$J$4,'领用录入（明细）'!C:C&lt;=$L$4),ROW(),"-")</f>
        <v>-</v>
      </c>
    </row>
    <row r="8265" customHeight="1" spans="2:2">
      <c r="B8265" s="62" t="str">
        <f>IF(AND('领用录入（明细）'!D:D=$F$4,'领用录入（明细）'!C:C&gt;=$J$4,'领用录入（明细）'!C:C&lt;=$L$4),ROW(),"-")</f>
        <v>-</v>
      </c>
    </row>
    <row r="8266" customHeight="1" spans="2:2">
      <c r="B8266" s="62" t="str">
        <f>IF(AND('领用录入（明细）'!D:D=$F$4,'领用录入（明细）'!C:C&gt;=$J$4,'领用录入（明细）'!C:C&lt;=$L$4),ROW(),"-")</f>
        <v>-</v>
      </c>
    </row>
    <row r="8267" customHeight="1" spans="2:2">
      <c r="B8267" s="62" t="str">
        <f>IF(AND('领用录入（明细）'!D:D=$F$4,'领用录入（明细）'!C:C&gt;=$J$4,'领用录入（明细）'!C:C&lt;=$L$4),ROW(),"-")</f>
        <v>-</v>
      </c>
    </row>
    <row r="8268" customHeight="1" spans="2:2">
      <c r="B8268" s="62" t="str">
        <f>IF(AND('领用录入（明细）'!D:D=$F$4,'领用录入（明细）'!C:C&gt;=$J$4,'领用录入（明细）'!C:C&lt;=$L$4),ROW(),"-")</f>
        <v>-</v>
      </c>
    </row>
    <row r="8269" customHeight="1" spans="2:2">
      <c r="B8269" s="62" t="str">
        <f>IF(AND('领用录入（明细）'!D:D=$F$4,'领用录入（明细）'!C:C&gt;=$J$4,'领用录入（明细）'!C:C&lt;=$L$4),ROW(),"-")</f>
        <v>-</v>
      </c>
    </row>
    <row r="8270" customHeight="1" spans="2:2">
      <c r="B8270" s="62" t="str">
        <f>IF(AND('领用录入（明细）'!D:D=$F$4,'领用录入（明细）'!C:C&gt;=$J$4,'领用录入（明细）'!C:C&lt;=$L$4),ROW(),"-")</f>
        <v>-</v>
      </c>
    </row>
    <row r="8271" customHeight="1" spans="2:2">
      <c r="B8271" s="62" t="str">
        <f>IF(AND('领用录入（明细）'!D:D=$F$4,'领用录入（明细）'!C:C&gt;=$J$4,'领用录入（明细）'!C:C&lt;=$L$4),ROW(),"-")</f>
        <v>-</v>
      </c>
    </row>
    <row r="8272" customHeight="1" spans="2:2">
      <c r="B8272" s="62" t="str">
        <f>IF(AND('领用录入（明细）'!D:D=$F$4,'领用录入（明细）'!C:C&gt;=$J$4,'领用录入（明细）'!C:C&lt;=$L$4),ROW(),"-")</f>
        <v>-</v>
      </c>
    </row>
    <row r="8273" customHeight="1" spans="2:2">
      <c r="B8273" s="62" t="str">
        <f>IF(AND('领用录入（明细）'!D:D=$F$4,'领用录入（明细）'!C:C&gt;=$J$4,'领用录入（明细）'!C:C&lt;=$L$4),ROW(),"-")</f>
        <v>-</v>
      </c>
    </row>
    <row r="8274" customHeight="1" spans="2:2">
      <c r="B8274" s="62" t="str">
        <f>IF(AND('领用录入（明细）'!D:D=$F$4,'领用录入（明细）'!C:C&gt;=$J$4,'领用录入（明细）'!C:C&lt;=$L$4),ROW(),"-")</f>
        <v>-</v>
      </c>
    </row>
    <row r="8275" customHeight="1" spans="2:2">
      <c r="B8275" s="62" t="str">
        <f>IF(AND('领用录入（明细）'!D:D=$F$4,'领用录入（明细）'!C:C&gt;=$J$4,'领用录入（明细）'!C:C&lt;=$L$4),ROW(),"-")</f>
        <v>-</v>
      </c>
    </row>
    <row r="8276" customHeight="1" spans="2:2">
      <c r="B8276" s="62" t="str">
        <f>IF(AND('领用录入（明细）'!D:D=$F$4,'领用录入（明细）'!C:C&gt;=$J$4,'领用录入（明细）'!C:C&lt;=$L$4),ROW(),"-")</f>
        <v>-</v>
      </c>
    </row>
    <row r="8277" customHeight="1" spans="2:2">
      <c r="B8277" s="62" t="str">
        <f>IF(AND('领用录入（明细）'!D:D=$F$4,'领用录入（明细）'!C:C&gt;=$J$4,'领用录入（明细）'!C:C&lt;=$L$4),ROW(),"-")</f>
        <v>-</v>
      </c>
    </row>
    <row r="8278" customHeight="1" spans="2:2">
      <c r="B8278" s="62" t="str">
        <f>IF(AND('领用录入（明细）'!D:D=$F$4,'领用录入（明细）'!C:C&gt;=$J$4,'领用录入（明细）'!C:C&lt;=$L$4),ROW(),"-")</f>
        <v>-</v>
      </c>
    </row>
    <row r="8279" customHeight="1" spans="2:2">
      <c r="B8279" s="62" t="str">
        <f>IF(AND('领用录入（明细）'!D:D=$F$4,'领用录入（明细）'!C:C&gt;=$J$4,'领用录入（明细）'!C:C&lt;=$L$4),ROW(),"-")</f>
        <v>-</v>
      </c>
    </row>
    <row r="8280" customHeight="1" spans="2:2">
      <c r="B8280" s="62" t="str">
        <f>IF(AND('领用录入（明细）'!D:D=$F$4,'领用录入（明细）'!C:C&gt;=$J$4,'领用录入（明细）'!C:C&lt;=$L$4),ROW(),"-")</f>
        <v>-</v>
      </c>
    </row>
    <row r="8281" customHeight="1" spans="2:2">
      <c r="B8281" s="62" t="str">
        <f>IF(AND('领用录入（明细）'!D:D=$F$4,'领用录入（明细）'!C:C&gt;=$J$4,'领用录入（明细）'!C:C&lt;=$L$4),ROW(),"-")</f>
        <v>-</v>
      </c>
    </row>
    <row r="8282" customHeight="1" spans="2:2">
      <c r="B8282" s="62" t="str">
        <f>IF(AND('领用录入（明细）'!D:D=$F$4,'领用录入（明细）'!C:C&gt;=$J$4,'领用录入（明细）'!C:C&lt;=$L$4),ROW(),"-")</f>
        <v>-</v>
      </c>
    </row>
    <row r="8283" customHeight="1" spans="2:2">
      <c r="B8283" s="62" t="str">
        <f>IF(AND('领用录入（明细）'!D:D=$F$4,'领用录入（明细）'!C:C&gt;=$J$4,'领用录入（明细）'!C:C&lt;=$L$4),ROW(),"-")</f>
        <v>-</v>
      </c>
    </row>
    <row r="8284" customHeight="1" spans="2:2">
      <c r="B8284" s="62" t="str">
        <f>IF(AND('领用录入（明细）'!D:D=$F$4,'领用录入（明细）'!C:C&gt;=$J$4,'领用录入（明细）'!C:C&lt;=$L$4),ROW(),"-")</f>
        <v>-</v>
      </c>
    </row>
    <row r="8285" customHeight="1" spans="2:2">
      <c r="B8285" s="62" t="str">
        <f>IF(AND('领用录入（明细）'!D:D=$F$4,'领用录入（明细）'!C:C&gt;=$J$4,'领用录入（明细）'!C:C&lt;=$L$4),ROW(),"-")</f>
        <v>-</v>
      </c>
    </row>
    <row r="8286" customHeight="1" spans="2:2">
      <c r="B8286" s="62" t="str">
        <f>IF(AND('领用录入（明细）'!D:D=$F$4,'领用录入（明细）'!C:C&gt;=$J$4,'领用录入（明细）'!C:C&lt;=$L$4),ROW(),"-")</f>
        <v>-</v>
      </c>
    </row>
    <row r="8287" customHeight="1" spans="2:2">
      <c r="B8287" s="62" t="str">
        <f>IF(AND('领用录入（明细）'!D:D=$F$4,'领用录入（明细）'!C:C&gt;=$J$4,'领用录入（明细）'!C:C&lt;=$L$4),ROW(),"-")</f>
        <v>-</v>
      </c>
    </row>
    <row r="8288" customHeight="1" spans="2:2">
      <c r="B8288" s="62" t="str">
        <f>IF(AND('领用录入（明细）'!D:D=$F$4,'领用录入（明细）'!C:C&gt;=$J$4,'领用录入（明细）'!C:C&lt;=$L$4),ROW(),"-")</f>
        <v>-</v>
      </c>
    </row>
    <row r="8289" customHeight="1" spans="2:2">
      <c r="B8289" s="62" t="str">
        <f>IF(AND('领用录入（明细）'!D:D=$F$4,'领用录入（明细）'!C:C&gt;=$J$4,'领用录入（明细）'!C:C&lt;=$L$4),ROW(),"-")</f>
        <v>-</v>
      </c>
    </row>
    <row r="8290" customHeight="1" spans="2:2">
      <c r="B8290" s="62" t="str">
        <f>IF(AND('领用录入（明细）'!D:D=$F$4,'领用录入（明细）'!C:C&gt;=$J$4,'领用录入（明细）'!C:C&lt;=$L$4),ROW(),"-")</f>
        <v>-</v>
      </c>
    </row>
    <row r="8291" customHeight="1" spans="2:2">
      <c r="B8291" s="62" t="str">
        <f>IF(AND('领用录入（明细）'!D:D=$F$4,'领用录入（明细）'!C:C&gt;=$J$4,'领用录入（明细）'!C:C&lt;=$L$4),ROW(),"-")</f>
        <v>-</v>
      </c>
    </row>
    <row r="8292" customHeight="1" spans="2:2">
      <c r="B8292" s="62" t="str">
        <f>IF(AND('领用录入（明细）'!D:D=$F$4,'领用录入（明细）'!C:C&gt;=$J$4,'领用录入（明细）'!C:C&lt;=$L$4),ROW(),"-")</f>
        <v>-</v>
      </c>
    </row>
    <row r="8293" customHeight="1" spans="2:2">
      <c r="B8293" s="62" t="str">
        <f>IF(AND('领用录入（明细）'!D:D=$F$4,'领用录入（明细）'!C:C&gt;=$J$4,'领用录入（明细）'!C:C&lt;=$L$4),ROW(),"-")</f>
        <v>-</v>
      </c>
    </row>
    <row r="8294" customHeight="1" spans="2:2">
      <c r="B8294" s="62" t="str">
        <f>IF(AND('领用录入（明细）'!D:D=$F$4,'领用录入（明细）'!C:C&gt;=$J$4,'领用录入（明细）'!C:C&lt;=$L$4),ROW(),"-")</f>
        <v>-</v>
      </c>
    </row>
    <row r="8295" customHeight="1" spans="2:2">
      <c r="B8295" s="62" t="str">
        <f>IF(AND('领用录入（明细）'!D:D=$F$4,'领用录入（明细）'!C:C&gt;=$J$4,'领用录入（明细）'!C:C&lt;=$L$4),ROW(),"-")</f>
        <v>-</v>
      </c>
    </row>
    <row r="8296" customHeight="1" spans="2:2">
      <c r="B8296" s="62" t="str">
        <f>IF(AND('领用录入（明细）'!D:D=$F$4,'领用录入（明细）'!C:C&gt;=$J$4,'领用录入（明细）'!C:C&lt;=$L$4),ROW(),"-")</f>
        <v>-</v>
      </c>
    </row>
    <row r="8297" customHeight="1" spans="2:2">
      <c r="B8297" s="62" t="str">
        <f>IF(AND('领用录入（明细）'!D:D=$F$4,'领用录入（明细）'!C:C&gt;=$J$4,'领用录入（明细）'!C:C&lt;=$L$4),ROW(),"-")</f>
        <v>-</v>
      </c>
    </row>
    <row r="8298" customHeight="1" spans="2:2">
      <c r="B8298" s="62" t="str">
        <f>IF(AND('领用录入（明细）'!D:D=$F$4,'领用录入（明细）'!C:C&gt;=$J$4,'领用录入（明细）'!C:C&lt;=$L$4),ROW(),"-")</f>
        <v>-</v>
      </c>
    </row>
    <row r="8299" customHeight="1" spans="2:2">
      <c r="B8299" s="62" t="str">
        <f>IF(AND('领用录入（明细）'!D:D=$F$4,'领用录入（明细）'!C:C&gt;=$J$4,'领用录入（明细）'!C:C&lt;=$L$4),ROW(),"-")</f>
        <v>-</v>
      </c>
    </row>
    <row r="8300" customHeight="1" spans="2:2">
      <c r="B8300" s="62" t="str">
        <f>IF(AND('领用录入（明细）'!D:D=$F$4,'领用录入（明细）'!C:C&gt;=$J$4,'领用录入（明细）'!C:C&lt;=$L$4),ROW(),"-")</f>
        <v>-</v>
      </c>
    </row>
    <row r="8301" customHeight="1" spans="2:2">
      <c r="B8301" s="62" t="str">
        <f>IF(AND('领用录入（明细）'!D:D=$F$4,'领用录入（明细）'!C:C&gt;=$J$4,'领用录入（明细）'!C:C&lt;=$L$4),ROW(),"-")</f>
        <v>-</v>
      </c>
    </row>
    <row r="8302" customHeight="1" spans="2:2">
      <c r="B8302" s="62" t="str">
        <f>IF(AND('领用录入（明细）'!D:D=$F$4,'领用录入（明细）'!C:C&gt;=$J$4,'领用录入（明细）'!C:C&lt;=$L$4),ROW(),"-")</f>
        <v>-</v>
      </c>
    </row>
    <row r="8303" customHeight="1" spans="2:2">
      <c r="B8303" s="62" t="str">
        <f>IF(AND('领用录入（明细）'!D:D=$F$4,'领用录入（明细）'!C:C&gt;=$J$4,'领用录入（明细）'!C:C&lt;=$L$4),ROW(),"-")</f>
        <v>-</v>
      </c>
    </row>
    <row r="8304" customHeight="1" spans="2:2">
      <c r="B8304" s="62" t="str">
        <f>IF(AND('领用录入（明细）'!D:D=$F$4,'领用录入（明细）'!C:C&gt;=$J$4,'领用录入（明细）'!C:C&lt;=$L$4),ROW(),"-")</f>
        <v>-</v>
      </c>
    </row>
    <row r="8305" customHeight="1" spans="2:2">
      <c r="B8305" s="62" t="str">
        <f>IF(AND('领用录入（明细）'!D:D=$F$4,'领用录入（明细）'!C:C&gt;=$J$4,'领用录入（明细）'!C:C&lt;=$L$4),ROW(),"-")</f>
        <v>-</v>
      </c>
    </row>
    <row r="8306" customHeight="1" spans="2:2">
      <c r="B8306" s="62" t="str">
        <f>IF(AND('领用录入（明细）'!D:D=$F$4,'领用录入（明细）'!C:C&gt;=$J$4,'领用录入（明细）'!C:C&lt;=$L$4),ROW(),"-")</f>
        <v>-</v>
      </c>
    </row>
    <row r="8307" customHeight="1" spans="2:2">
      <c r="B8307" s="62" t="str">
        <f>IF(AND('领用录入（明细）'!D:D=$F$4,'领用录入（明细）'!C:C&gt;=$J$4,'领用录入（明细）'!C:C&lt;=$L$4),ROW(),"-")</f>
        <v>-</v>
      </c>
    </row>
    <row r="8308" customHeight="1" spans="2:2">
      <c r="B8308" s="62" t="str">
        <f>IF(AND('领用录入（明细）'!D:D=$F$4,'领用录入（明细）'!C:C&gt;=$J$4,'领用录入（明细）'!C:C&lt;=$L$4),ROW(),"-")</f>
        <v>-</v>
      </c>
    </row>
    <row r="8309" customHeight="1" spans="2:2">
      <c r="B8309" s="62" t="str">
        <f>IF(AND('领用录入（明细）'!D:D=$F$4,'领用录入（明细）'!C:C&gt;=$J$4,'领用录入（明细）'!C:C&lt;=$L$4),ROW(),"-")</f>
        <v>-</v>
      </c>
    </row>
    <row r="8310" customHeight="1" spans="2:2">
      <c r="B8310" s="62" t="str">
        <f>IF(AND('领用录入（明细）'!D:D=$F$4,'领用录入（明细）'!C:C&gt;=$J$4,'领用录入（明细）'!C:C&lt;=$L$4),ROW(),"-")</f>
        <v>-</v>
      </c>
    </row>
    <row r="8311" customHeight="1" spans="2:2">
      <c r="B8311" s="62" t="str">
        <f>IF(AND('领用录入（明细）'!D:D=$F$4,'领用录入（明细）'!C:C&gt;=$J$4,'领用录入（明细）'!C:C&lt;=$L$4),ROW(),"-")</f>
        <v>-</v>
      </c>
    </row>
    <row r="8312" customHeight="1" spans="2:2">
      <c r="B8312" s="62" t="str">
        <f>IF(AND('领用录入（明细）'!D:D=$F$4,'领用录入（明细）'!C:C&gt;=$J$4,'领用录入（明细）'!C:C&lt;=$L$4),ROW(),"-")</f>
        <v>-</v>
      </c>
    </row>
    <row r="8313" customHeight="1" spans="2:2">
      <c r="B8313" s="62" t="str">
        <f>IF(AND('领用录入（明细）'!D:D=$F$4,'领用录入（明细）'!C:C&gt;=$J$4,'领用录入（明细）'!C:C&lt;=$L$4),ROW(),"-")</f>
        <v>-</v>
      </c>
    </row>
    <row r="8314" customHeight="1" spans="2:2">
      <c r="B8314" s="62" t="str">
        <f>IF(AND('领用录入（明细）'!D:D=$F$4,'领用录入（明细）'!C:C&gt;=$J$4,'领用录入（明细）'!C:C&lt;=$L$4),ROW(),"-")</f>
        <v>-</v>
      </c>
    </row>
    <row r="8315" customHeight="1" spans="2:2">
      <c r="B8315" s="62" t="str">
        <f>IF(AND('领用录入（明细）'!D:D=$F$4,'领用录入（明细）'!C:C&gt;=$J$4,'领用录入（明细）'!C:C&lt;=$L$4),ROW(),"-")</f>
        <v>-</v>
      </c>
    </row>
    <row r="8316" customHeight="1" spans="2:2">
      <c r="B8316" s="62" t="str">
        <f>IF(AND('领用录入（明细）'!D:D=$F$4,'领用录入（明细）'!C:C&gt;=$J$4,'领用录入（明细）'!C:C&lt;=$L$4),ROW(),"-")</f>
        <v>-</v>
      </c>
    </row>
    <row r="8317" customHeight="1" spans="2:2">
      <c r="B8317" s="62" t="str">
        <f>IF(AND('领用录入（明细）'!D:D=$F$4,'领用录入（明细）'!C:C&gt;=$J$4,'领用录入（明细）'!C:C&lt;=$L$4),ROW(),"-")</f>
        <v>-</v>
      </c>
    </row>
    <row r="8318" customHeight="1" spans="2:2">
      <c r="B8318" s="62" t="str">
        <f>IF(AND('领用录入（明细）'!D:D=$F$4,'领用录入（明细）'!C:C&gt;=$J$4,'领用录入（明细）'!C:C&lt;=$L$4),ROW(),"-")</f>
        <v>-</v>
      </c>
    </row>
    <row r="8319" customHeight="1" spans="2:2">
      <c r="B8319" s="62" t="str">
        <f>IF(AND('领用录入（明细）'!D:D=$F$4,'领用录入（明细）'!C:C&gt;=$J$4,'领用录入（明细）'!C:C&lt;=$L$4),ROW(),"-")</f>
        <v>-</v>
      </c>
    </row>
    <row r="8320" customHeight="1" spans="2:2">
      <c r="B8320" s="62" t="str">
        <f>IF(AND('领用录入（明细）'!D:D=$F$4,'领用录入（明细）'!C:C&gt;=$J$4,'领用录入（明细）'!C:C&lt;=$L$4),ROW(),"-")</f>
        <v>-</v>
      </c>
    </row>
    <row r="8321" customHeight="1" spans="2:2">
      <c r="B8321" s="62" t="str">
        <f>IF(AND('领用录入（明细）'!D:D=$F$4,'领用录入（明细）'!C:C&gt;=$J$4,'领用录入（明细）'!C:C&lt;=$L$4),ROW(),"-")</f>
        <v>-</v>
      </c>
    </row>
    <row r="8322" customHeight="1" spans="2:2">
      <c r="B8322" s="62" t="str">
        <f>IF(AND('领用录入（明细）'!D:D=$F$4,'领用录入（明细）'!C:C&gt;=$J$4,'领用录入（明细）'!C:C&lt;=$L$4),ROW(),"-")</f>
        <v>-</v>
      </c>
    </row>
    <row r="8323" customHeight="1" spans="2:2">
      <c r="B8323" s="62" t="str">
        <f>IF(AND('领用录入（明细）'!D:D=$F$4,'领用录入（明细）'!C:C&gt;=$J$4,'领用录入（明细）'!C:C&lt;=$L$4),ROW(),"-")</f>
        <v>-</v>
      </c>
    </row>
    <row r="8324" customHeight="1" spans="2:2">
      <c r="B8324" s="62" t="str">
        <f>IF(AND('领用录入（明细）'!D:D=$F$4,'领用录入（明细）'!C:C&gt;=$J$4,'领用录入（明细）'!C:C&lt;=$L$4),ROW(),"-")</f>
        <v>-</v>
      </c>
    </row>
    <row r="8325" customHeight="1" spans="2:2">
      <c r="B8325" s="62" t="str">
        <f>IF(AND('领用录入（明细）'!D:D=$F$4,'领用录入（明细）'!C:C&gt;=$J$4,'领用录入（明细）'!C:C&lt;=$L$4),ROW(),"-")</f>
        <v>-</v>
      </c>
    </row>
    <row r="8326" customHeight="1" spans="2:2">
      <c r="B8326" s="62" t="str">
        <f>IF(AND('领用录入（明细）'!D:D=$F$4,'领用录入（明细）'!C:C&gt;=$J$4,'领用录入（明细）'!C:C&lt;=$L$4),ROW(),"-")</f>
        <v>-</v>
      </c>
    </row>
    <row r="8327" customHeight="1" spans="2:2">
      <c r="B8327" s="62" t="str">
        <f>IF(AND('领用录入（明细）'!D:D=$F$4,'领用录入（明细）'!C:C&gt;=$J$4,'领用录入（明细）'!C:C&lt;=$L$4),ROW(),"-")</f>
        <v>-</v>
      </c>
    </row>
    <row r="8328" customHeight="1" spans="2:2">
      <c r="B8328" s="62" t="str">
        <f>IF(AND('领用录入（明细）'!D:D=$F$4,'领用录入（明细）'!C:C&gt;=$J$4,'领用录入（明细）'!C:C&lt;=$L$4),ROW(),"-")</f>
        <v>-</v>
      </c>
    </row>
    <row r="8329" customHeight="1" spans="2:2">
      <c r="B8329" s="62" t="str">
        <f>IF(AND('领用录入（明细）'!D:D=$F$4,'领用录入（明细）'!C:C&gt;=$J$4,'领用录入（明细）'!C:C&lt;=$L$4),ROW(),"-")</f>
        <v>-</v>
      </c>
    </row>
    <row r="8330" customHeight="1" spans="2:2">
      <c r="B8330" s="62" t="str">
        <f>IF(AND('领用录入（明细）'!D:D=$F$4,'领用录入（明细）'!C:C&gt;=$J$4,'领用录入（明细）'!C:C&lt;=$L$4),ROW(),"-")</f>
        <v>-</v>
      </c>
    </row>
    <row r="8331" customHeight="1" spans="2:2">
      <c r="B8331" s="62" t="str">
        <f>IF(AND('领用录入（明细）'!D:D=$F$4,'领用录入（明细）'!C:C&gt;=$J$4,'领用录入（明细）'!C:C&lt;=$L$4),ROW(),"-")</f>
        <v>-</v>
      </c>
    </row>
    <row r="8332" customHeight="1" spans="2:2">
      <c r="B8332" s="62" t="str">
        <f>IF(AND('领用录入（明细）'!D:D=$F$4,'领用录入（明细）'!C:C&gt;=$J$4,'领用录入（明细）'!C:C&lt;=$L$4),ROW(),"-")</f>
        <v>-</v>
      </c>
    </row>
    <row r="8333" customHeight="1" spans="2:2">
      <c r="B8333" s="62" t="str">
        <f>IF(AND('领用录入（明细）'!D:D=$F$4,'领用录入（明细）'!C:C&gt;=$J$4,'领用录入（明细）'!C:C&lt;=$L$4),ROW(),"-")</f>
        <v>-</v>
      </c>
    </row>
    <row r="8334" customHeight="1" spans="2:2">
      <c r="B8334" s="62" t="str">
        <f>IF(AND('领用录入（明细）'!D:D=$F$4,'领用录入（明细）'!C:C&gt;=$J$4,'领用录入（明细）'!C:C&lt;=$L$4),ROW(),"-")</f>
        <v>-</v>
      </c>
    </row>
    <row r="8335" customHeight="1" spans="2:2">
      <c r="B8335" s="62" t="str">
        <f>IF(AND('领用录入（明细）'!D:D=$F$4,'领用录入（明细）'!C:C&gt;=$J$4,'领用录入（明细）'!C:C&lt;=$L$4),ROW(),"-")</f>
        <v>-</v>
      </c>
    </row>
    <row r="8336" customHeight="1" spans="2:2">
      <c r="B8336" s="62" t="str">
        <f>IF(AND('领用录入（明细）'!D:D=$F$4,'领用录入（明细）'!C:C&gt;=$J$4,'领用录入（明细）'!C:C&lt;=$L$4),ROW(),"-")</f>
        <v>-</v>
      </c>
    </row>
    <row r="8337" customHeight="1" spans="2:2">
      <c r="B8337" s="62" t="str">
        <f>IF(AND('领用录入（明细）'!D:D=$F$4,'领用录入（明细）'!C:C&gt;=$J$4,'领用录入（明细）'!C:C&lt;=$L$4),ROW(),"-")</f>
        <v>-</v>
      </c>
    </row>
    <row r="8338" customHeight="1" spans="2:2">
      <c r="B8338" s="62" t="str">
        <f>IF(AND('领用录入（明细）'!D:D=$F$4,'领用录入（明细）'!C:C&gt;=$J$4,'领用录入（明细）'!C:C&lt;=$L$4),ROW(),"-")</f>
        <v>-</v>
      </c>
    </row>
    <row r="8339" customHeight="1" spans="2:2">
      <c r="B8339" s="62" t="str">
        <f>IF(AND('领用录入（明细）'!D:D=$F$4,'领用录入（明细）'!C:C&gt;=$J$4,'领用录入（明细）'!C:C&lt;=$L$4),ROW(),"-")</f>
        <v>-</v>
      </c>
    </row>
    <row r="8340" customHeight="1" spans="2:2">
      <c r="B8340" s="62" t="str">
        <f>IF(AND('领用录入（明细）'!D:D=$F$4,'领用录入（明细）'!C:C&gt;=$J$4,'领用录入（明细）'!C:C&lt;=$L$4),ROW(),"-")</f>
        <v>-</v>
      </c>
    </row>
    <row r="8341" customHeight="1" spans="2:2">
      <c r="B8341" s="62" t="str">
        <f>IF(AND('领用录入（明细）'!D:D=$F$4,'领用录入（明细）'!C:C&gt;=$J$4,'领用录入（明细）'!C:C&lt;=$L$4),ROW(),"-")</f>
        <v>-</v>
      </c>
    </row>
    <row r="8342" customHeight="1" spans="2:2">
      <c r="B8342" s="62" t="str">
        <f>IF(AND('领用录入（明细）'!D:D=$F$4,'领用录入（明细）'!C:C&gt;=$J$4,'领用录入（明细）'!C:C&lt;=$L$4),ROW(),"-")</f>
        <v>-</v>
      </c>
    </row>
    <row r="8343" customHeight="1" spans="2:2">
      <c r="B8343" s="62" t="str">
        <f>IF(AND('领用录入（明细）'!D:D=$F$4,'领用录入（明细）'!C:C&gt;=$J$4,'领用录入（明细）'!C:C&lt;=$L$4),ROW(),"-")</f>
        <v>-</v>
      </c>
    </row>
    <row r="8344" customHeight="1" spans="2:2">
      <c r="B8344" s="62" t="str">
        <f>IF(AND('领用录入（明细）'!D:D=$F$4,'领用录入（明细）'!C:C&gt;=$J$4,'领用录入（明细）'!C:C&lt;=$L$4),ROW(),"-")</f>
        <v>-</v>
      </c>
    </row>
    <row r="8345" customHeight="1" spans="2:2">
      <c r="B8345" s="62" t="str">
        <f>IF(AND('领用录入（明细）'!D:D=$F$4,'领用录入（明细）'!C:C&gt;=$J$4,'领用录入（明细）'!C:C&lt;=$L$4),ROW(),"-")</f>
        <v>-</v>
      </c>
    </row>
    <row r="8346" customHeight="1" spans="2:2">
      <c r="B8346" s="62" t="str">
        <f>IF(AND('领用录入（明细）'!D:D=$F$4,'领用录入（明细）'!C:C&gt;=$J$4,'领用录入（明细）'!C:C&lt;=$L$4),ROW(),"-")</f>
        <v>-</v>
      </c>
    </row>
    <row r="8347" customHeight="1" spans="2:2">
      <c r="B8347" s="62" t="str">
        <f>IF(AND('领用录入（明细）'!D:D=$F$4,'领用录入（明细）'!C:C&gt;=$J$4,'领用录入（明细）'!C:C&lt;=$L$4),ROW(),"-")</f>
        <v>-</v>
      </c>
    </row>
    <row r="8348" customHeight="1" spans="2:2">
      <c r="B8348" s="62" t="str">
        <f>IF(AND('领用录入（明细）'!D:D=$F$4,'领用录入（明细）'!C:C&gt;=$J$4,'领用录入（明细）'!C:C&lt;=$L$4),ROW(),"-")</f>
        <v>-</v>
      </c>
    </row>
    <row r="8349" customHeight="1" spans="2:2">
      <c r="B8349" s="62" t="str">
        <f>IF(AND('领用录入（明细）'!D:D=$F$4,'领用录入（明细）'!C:C&gt;=$J$4,'领用录入（明细）'!C:C&lt;=$L$4),ROW(),"-")</f>
        <v>-</v>
      </c>
    </row>
    <row r="8350" customHeight="1" spans="2:2">
      <c r="B8350" s="62" t="str">
        <f>IF(AND('领用录入（明细）'!D:D=$F$4,'领用录入（明细）'!C:C&gt;=$J$4,'领用录入（明细）'!C:C&lt;=$L$4),ROW(),"-")</f>
        <v>-</v>
      </c>
    </row>
    <row r="8351" customHeight="1" spans="2:2">
      <c r="B8351" s="62" t="str">
        <f>IF(AND('领用录入（明细）'!D:D=$F$4,'领用录入（明细）'!C:C&gt;=$J$4,'领用录入（明细）'!C:C&lt;=$L$4),ROW(),"-")</f>
        <v>-</v>
      </c>
    </row>
    <row r="8352" customHeight="1" spans="2:2">
      <c r="B8352" s="62" t="str">
        <f>IF(AND('领用录入（明细）'!D:D=$F$4,'领用录入（明细）'!C:C&gt;=$J$4,'领用录入（明细）'!C:C&lt;=$L$4),ROW(),"-")</f>
        <v>-</v>
      </c>
    </row>
    <row r="8353" customHeight="1" spans="2:2">
      <c r="B8353" s="62" t="str">
        <f>IF(AND('领用录入（明细）'!D:D=$F$4,'领用录入（明细）'!C:C&gt;=$J$4,'领用录入（明细）'!C:C&lt;=$L$4),ROW(),"-")</f>
        <v>-</v>
      </c>
    </row>
    <row r="8354" customHeight="1" spans="2:2">
      <c r="B8354" s="62" t="str">
        <f>IF(AND('领用录入（明细）'!D:D=$F$4,'领用录入（明细）'!C:C&gt;=$J$4,'领用录入（明细）'!C:C&lt;=$L$4),ROW(),"-")</f>
        <v>-</v>
      </c>
    </row>
    <row r="8355" customHeight="1" spans="2:2">
      <c r="B8355" s="62" t="str">
        <f>IF(AND('领用录入（明细）'!D:D=$F$4,'领用录入（明细）'!C:C&gt;=$J$4,'领用录入（明细）'!C:C&lt;=$L$4),ROW(),"-")</f>
        <v>-</v>
      </c>
    </row>
    <row r="8356" customHeight="1" spans="2:2">
      <c r="B8356" s="62" t="str">
        <f>IF(AND('领用录入（明细）'!D:D=$F$4,'领用录入（明细）'!C:C&gt;=$J$4,'领用录入（明细）'!C:C&lt;=$L$4),ROW(),"-")</f>
        <v>-</v>
      </c>
    </row>
    <row r="8357" customHeight="1" spans="2:2">
      <c r="B8357" s="62" t="str">
        <f>IF(AND('领用录入（明细）'!D:D=$F$4,'领用录入（明细）'!C:C&gt;=$J$4,'领用录入（明细）'!C:C&lt;=$L$4),ROW(),"-")</f>
        <v>-</v>
      </c>
    </row>
    <row r="8358" customHeight="1" spans="2:2">
      <c r="B8358" s="62" t="str">
        <f>IF(AND('领用录入（明细）'!D:D=$F$4,'领用录入（明细）'!C:C&gt;=$J$4,'领用录入（明细）'!C:C&lt;=$L$4),ROW(),"-")</f>
        <v>-</v>
      </c>
    </row>
    <row r="8359" customHeight="1" spans="2:2">
      <c r="B8359" s="62" t="str">
        <f>IF(AND('领用录入（明细）'!D:D=$F$4,'领用录入（明细）'!C:C&gt;=$J$4,'领用录入（明细）'!C:C&lt;=$L$4),ROW(),"-")</f>
        <v>-</v>
      </c>
    </row>
    <row r="8360" customHeight="1" spans="2:2">
      <c r="B8360" s="62" t="str">
        <f>IF(AND('领用录入（明细）'!D:D=$F$4,'领用录入（明细）'!C:C&gt;=$J$4,'领用录入（明细）'!C:C&lt;=$L$4),ROW(),"-")</f>
        <v>-</v>
      </c>
    </row>
    <row r="8361" customHeight="1" spans="2:2">
      <c r="B8361" s="62" t="str">
        <f>IF(AND('领用录入（明细）'!D:D=$F$4,'领用录入（明细）'!C:C&gt;=$J$4,'领用录入（明细）'!C:C&lt;=$L$4),ROW(),"-")</f>
        <v>-</v>
      </c>
    </row>
    <row r="8362" customHeight="1" spans="2:2">
      <c r="B8362" s="62" t="str">
        <f>IF(AND('领用录入（明细）'!D:D=$F$4,'领用录入（明细）'!C:C&gt;=$J$4,'领用录入（明细）'!C:C&lt;=$L$4),ROW(),"-")</f>
        <v>-</v>
      </c>
    </row>
    <row r="8363" customHeight="1" spans="2:2">
      <c r="B8363" s="62" t="str">
        <f>IF(AND('领用录入（明细）'!D:D=$F$4,'领用录入（明细）'!C:C&gt;=$J$4,'领用录入（明细）'!C:C&lt;=$L$4),ROW(),"-")</f>
        <v>-</v>
      </c>
    </row>
    <row r="8364" customHeight="1" spans="2:2">
      <c r="B8364" s="62" t="str">
        <f>IF(AND('领用录入（明细）'!D:D=$F$4,'领用录入（明细）'!C:C&gt;=$J$4,'领用录入（明细）'!C:C&lt;=$L$4),ROW(),"-")</f>
        <v>-</v>
      </c>
    </row>
    <row r="8365" customHeight="1" spans="2:2">
      <c r="B8365" s="62" t="str">
        <f>IF(AND('领用录入（明细）'!D:D=$F$4,'领用录入（明细）'!C:C&gt;=$J$4,'领用录入（明细）'!C:C&lt;=$L$4),ROW(),"-")</f>
        <v>-</v>
      </c>
    </row>
    <row r="8366" customHeight="1" spans="2:2">
      <c r="B8366" s="62" t="str">
        <f>IF(AND('领用录入（明细）'!D:D=$F$4,'领用录入（明细）'!C:C&gt;=$J$4,'领用录入（明细）'!C:C&lt;=$L$4),ROW(),"-")</f>
        <v>-</v>
      </c>
    </row>
    <row r="8367" customHeight="1" spans="2:2">
      <c r="B8367" s="62" t="str">
        <f>IF(AND('领用录入（明细）'!D:D=$F$4,'领用录入（明细）'!C:C&gt;=$J$4,'领用录入（明细）'!C:C&lt;=$L$4),ROW(),"-")</f>
        <v>-</v>
      </c>
    </row>
    <row r="8368" customHeight="1" spans="2:2">
      <c r="B8368" s="62" t="str">
        <f>IF(AND('领用录入（明细）'!D:D=$F$4,'领用录入（明细）'!C:C&gt;=$J$4,'领用录入（明细）'!C:C&lt;=$L$4),ROW(),"-")</f>
        <v>-</v>
      </c>
    </row>
    <row r="8369" customHeight="1" spans="2:2">
      <c r="B8369" s="62" t="str">
        <f>IF(AND('领用录入（明细）'!D:D=$F$4,'领用录入（明细）'!C:C&gt;=$J$4,'领用录入（明细）'!C:C&lt;=$L$4),ROW(),"-")</f>
        <v>-</v>
      </c>
    </row>
    <row r="8370" customHeight="1" spans="2:2">
      <c r="B8370" s="62" t="str">
        <f>IF(AND('领用录入（明细）'!D:D=$F$4,'领用录入（明细）'!C:C&gt;=$J$4,'领用录入（明细）'!C:C&lt;=$L$4),ROW(),"-")</f>
        <v>-</v>
      </c>
    </row>
    <row r="8371" customHeight="1" spans="2:2">
      <c r="B8371" s="62" t="str">
        <f>IF(AND('领用录入（明细）'!D:D=$F$4,'领用录入（明细）'!C:C&gt;=$J$4,'领用录入（明细）'!C:C&lt;=$L$4),ROW(),"-")</f>
        <v>-</v>
      </c>
    </row>
    <row r="8372" customHeight="1" spans="2:2">
      <c r="B8372" s="62" t="str">
        <f>IF(AND('领用录入（明细）'!D:D=$F$4,'领用录入（明细）'!C:C&gt;=$J$4,'领用录入（明细）'!C:C&lt;=$L$4),ROW(),"-")</f>
        <v>-</v>
      </c>
    </row>
    <row r="8373" customHeight="1" spans="2:2">
      <c r="B8373" s="62" t="str">
        <f>IF(AND('领用录入（明细）'!D:D=$F$4,'领用录入（明细）'!C:C&gt;=$J$4,'领用录入（明细）'!C:C&lt;=$L$4),ROW(),"-")</f>
        <v>-</v>
      </c>
    </row>
    <row r="8374" customHeight="1" spans="2:2">
      <c r="B8374" s="62" t="str">
        <f>IF(AND('领用录入（明细）'!D:D=$F$4,'领用录入（明细）'!C:C&gt;=$J$4,'领用录入（明细）'!C:C&lt;=$L$4),ROW(),"-")</f>
        <v>-</v>
      </c>
    </row>
    <row r="8375" customHeight="1" spans="2:2">
      <c r="B8375" s="62" t="str">
        <f>IF(AND('领用录入（明细）'!D:D=$F$4,'领用录入（明细）'!C:C&gt;=$J$4,'领用录入（明细）'!C:C&lt;=$L$4),ROW(),"-")</f>
        <v>-</v>
      </c>
    </row>
    <row r="8376" customHeight="1" spans="2:2">
      <c r="B8376" s="62" t="str">
        <f>IF(AND('领用录入（明细）'!D:D=$F$4,'领用录入（明细）'!C:C&gt;=$J$4,'领用录入（明细）'!C:C&lt;=$L$4),ROW(),"-")</f>
        <v>-</v>
      </c>
    </row>
    <row r="8377" customHeight="1" spans="2:2">
      <c r="B8377" s="62" t="str">
        <f>IF(AND('领用录入（明细）'!D:D=$F$4,'领用录入（明细）'!C:C&gt;=$J$4,'领用录入（明细）'!C:C&lt;=$L$4),ROW(),"-")</f>
        <v>-</v>
      </c>
    </row>
    <row r="8378" customHeight="1" spans="2:2">
      <c r="B8378" s="62" t="str">
        <f>IF(AND('领用录入（明细）'!D:D=$F$4,'领用录入（明细）'!C:C&gt;=$J$4,'领用录入（明细）'!C:C&lt;=$L$4),ROW(),"-")</f>
        <v>-</v>
      </c>
    </row>
    <row r="8379" customHeight="1" spans="2:2">
      <c r="B8379" s="62" t="str">
        <f>IF(AND('领用录入（明细）'!D:D=$F$4,'领用录入（明细）'!C:C&gt;=$J$4,'领用录入（明细）'!C:C&lt;=$L$4),ROW(),"-")</f>
        <v>-</v>
      </c>
    </row>
    <row r="8380" customHeight="1" spans="2:2">
      <c r="B8380" s="62" t="str">
        <f>IF(AND('领用录入（明细）'!D:D=$F$4,'领用录入（明细）'!C:C&gt;=$J$4,'领用录入（明细）'!C:C&lt;=$L$4),ROW(),"-")</f>
        <v>-</v>
      </c>
    </row>
    <row r="8381" customHeight="1" spans="2:2">
      <c r="B8381" s="62" t="str">
        <f>IF(AND('领用录入（明细）'!D:D=$F$4,'领用录入（明细）'!C:C&gt;=$J$4,'领用录入（明细）'!C:C&lt;=$L$4),ROW(),"-")</f>
        <v>-</v>
      </c>
    </row>
    <row r="8382" customHeight="1" spans="2:2">
      <c r="B8382" s="62" t="str">
        <f>IF(AND('领用录入（明细）'!D:D=$F$4,'领用录入（明细）'!C:C&gt;=$J$4,'领用录入（明细）'!C:C&lt;=$L$4),ROW(),"-")</f>
        <v>-</v>
      </c>
    </row>
    <row r="8383" customHeight="1" spans="2:2">
      <c r="B8383" s="62" t="str">
        <f>IF(AND('领用录入（明细）'!D:D=$F$4,'领用录入（明细）'!C:C&gt;=$J$4,'领用录入（明细）'!C:C&lt;=$L$4),ROW(),"-")</f>
        <v>-</v>
      </c>
    </row>
    <row r="8384" customHeight="1" spans="2:2">
      <c r="B8384" s="62" t="str">
        <f>IF(AND('领用录入（明细）'!D:D=$F$4,'领用录入（明细）'!C:C&gt;=$J$4,'领用录入（明细）'!C:C&lt;=$L$4),ROW(),"-")</f>
        <v>-</v>
      </c>
    </row>
    <row r="8385" customHeight="1" spans="2:2">
      <c r="B8385" s="62" t="str">
        <f>IF(AND('领用录入（明细）'!D:D=$F$4,'领用录入（明细）'!C:C&gt;=$J$4,'领用录入（明细）'!C:C&lt;=$L$4),ROW(),"-")</f>
        <v>-</v>
      </c>
    </row>
    <row r="8386" customHeight="1" spans="2:2">
      <c r="B8386" s="62" t="str">
        <f>IF(AND('领用录入（明细）'!D:D=$F$4,'领用录入（明细）'!C:C&gt;=$J$4,'领用录入（明细）'!C:C&lt;=$L$4),ROW(),"-")</f>
        <v>-</v>
      </c>
    </row>
    <row r="8387" customHeight="1" spans="2:2">
      <c r="B8387" s="62" t="str">
        <f>IF(AND('领用录入（明细）'!D:D=$F$4,'领用录入（明细）'!C:C&gt;=$J$4,'领用录入（明细）'!C:C&lt;=$L$4),ROW(),"-")</f>
        <v>-</v>
      </c>
    </row>
    <row r="8388" customHeight="1" spans="2:2">
      <c r="B8388" s="62" t="str">
        <f>IF(AND('领用录入（明细）'!D:D=$F$4,'领用录入（明细）'!C:C&gt;=$J$4,'领用录入（明细）'!C:C&lt;=$L$4),ROW(),"-")</f>
        <v>-</v>
      </c>
    </row>
    <row r="8389" customHeight="1" spans="2:2">
      <c r="B8389" s="62" t="str">
        <f>IF(AND('领用录入（明细）'!D:D=$F$4,'领用录入（明细）'!C:C&gt;=$J$4,'领用录入（明细）'!C:C&lt;=$L$4),ROW(),"-")</f>
        <v>-</v>
      </c>
    </row>
    <row r="8390" customHeight="1" spans="2:2">
      <c r="B8390" s="62" t="str">
        <f>IF(AND('领用录入（明细）'!D:D=$F$4,'领用录入（明细）'!C:C&gt;=$J$4,'领用录入（明细）'!C:C&lt;=$L$4),ROW(),"-")</f>
        <v>-</v>
      </c>
    </row>
    <row r="8391" customHeight="1" spans="2:2">
      <c r="B8391" s="62" t="str">
        <f>IF(AND('领用录入（明细）'!D:D=$F$4,'领用录入（明细）'!C:C&gt;=$J$4,'领用录入（明细）'!C:C&lt;=$L$4),ROW(),"-")</f>
        <v>-</v>
      </c>
    </row>
    <row r="8392" customHeight="1" spans="2:2">
      <c r="B8392" s="62" t="str">
        <f>IF(AND('领用录入（明细）'!D:D=$F$4,'领用录入（明细）'!C:C&gt;=$J$4,'领用录入（明细）'!C:C&lt;=$L$4),ROW(),"-")</f>
        <v>-</v>
      </c>
    </row>
    <row r="8393" customHeight="1" spans="2:2">
      <c r="B8393" s="62" t="str">
        <f>IF(AND('领用录入（明细）'!D:D=$F$4,'领用录入（明细）'!C:C&gt;=$J$4,'领用录入（明细）'!C:C&lt;=$L$4),ROW(),"-")</f>
        <v>-</v>
      </c>
    </row>
    <row r="8394" customHeight="1" spans="2:2">
      <c r="B8394" s="62" t="str">
        <f>IF(AND('领用录入（明细）'!D:D=$F$4,'领用录入（明细）'!C:C&gt;=$J$4,'领用录入（明细）'!C:C&lt;=$L$4),ROW(),"-")</f>
        <v>-</v>
      </c>
    </row>
    <row r="8395" customHeight="1" spans="2:2">
      <c r="B8395" s="62" t="str">
        <f>IF(AND('领用录入（明细）'!D:D=$F$4,'领用录入（明细）'!C:C&gt;=$J$4,'领用录入（明细）'!C:C&lt;=$L$4),ROW(),"-")</f>
        <v>-</v>
      </c>
    </row>
    <row r="8396" customHeight="1" spans="2:2">
      <c r="B8396" s="62" t="str">
        <f>IF(AND('领用录入（明细）'!D:D=$F$4,'领用录入（明细）'!C:C&gt;=$J$4,'领用录入（明细）'!C:C&lt;=$L$4),ROW(),"-")</f>
        <v>-</v>
      </c>
    </row>
    <row r="8397" customHeight="1" spans="2:2">
      <c r="B8397" s="62" t="str">
        <f>IF(AND('领用录入（明细）'!D:D=$F$4,'领用录入（明细）'!C:C&gt;=$J$4,'领用录入（明细）'!C:C&lt;=$L$4),ROW(),"-")</f>
        <v>-</v>
      </c>
    </row>
    <row r="8398" customHeight="1" spans="2:2">
      <c r="B8398" s="62" t="str">
        <f>IF(AND('领用录入（明细）'!D:D=$F$4,'领用录入（明细）'!C:C&gt;=$J$4,'领用录入（明细）'!C:C&lt;=$L$4),ROW(),"-")</f>
        <v>-</v>
      </c>
    </row>
    <row r="8399" customHeight="1" spans="2:2">
      <c r="B8399" s="62" t="str">
        <f>IF(AND('领用录入（明细）'!D:D=$F$4,'领用录入（明细）'!C:C&gt;=$J$4,'领用录入（明细）'!C:C&lt;=$L$4),ROW(),"-")</f>
        <v>-</v>
      </c>
    </row>
    <row r="8400" customHeight="1" spans="2:2">
      <c r="B8400" s="62" t="str">
        <f>IF(AND('领用录入（明细）'!D:D=$F$4,'领用录入（明细）'!C:C&gt;=$J$4,'领用录入（明细）'!C:C&lt;=$L$4),ROW(),"-")</f>
        <v>-</v>
      </c>
    </row>
    <row r="8401" customHeight="1" spans="2:2">
      <c r="B8401" s="62" t="str">
        <f>IF(AND('领用录入（明细）'!D:D=$F$4,'领用录入（明细）'!C:C&gt;=$J$4,'领用录入（明细）'!C:C&lt;=$L$4),ROW(),"-")</f>
        <v>-</v>
      </c>
    </row>
    <row r="8402" customHeight="1" spans="2:2">
      <c r="B8402" s="62" t="str">
        <f>IF(AND('领用录入（明细）'!D:D=$F$4,'领用录入（明细）'!C:C&gt;=$J$4,'领用录入（明细）'!C:C&lt;=$L$4),ROW(),"-")</f>
        <v>-</v>
      </c>
    </row>
    <row r="8403" customHeight="1" spans="2:2">
      <c r="B8403" s="62" t="str">
        <f>IF(AND('领用录入（明细）'!D:D=$F$4,'领用录入（明细）'!C:C&gt;=$J$4,'领用录入（明细）'!C:C&lt;=$L$4),ROW(),"-")</f>
        <v>-</v>
      </c>
    </row>
    <row r="8404" customHeight="1" spans="2:2">
      <c r="B8404" s="62" t="str">
        <f>IF(AND('领用录入（明细）'!D:D=$F$4,'领用录入（明细）'!C:C&gt;=$J$4,'领用录入（明细）'!C:C&lt;=$L$4),ROW(),"-")</f>
        <v>-</v>
      </c>
    </row>
    <row r="8405" customHeight="1" spans="2:2">
      <c r="B8405" s="62" t="str">
        <f>IF(AND('领用录入（明细）'!D:D=$F$4,'领用录入（明细）'!C:C&gt;=$J$4,'领用录入（明细）'!C:C&lt;=$L$4),ROW(),"-")</f>
        <v>-</v>
      </c>
    </row>
    <row r="8406" customHeight="1" spans="2:2">
      <c r="B8406" s="62" t="str">
        <f>IF(AND('领用录入（明细）'!D:D=$F$4,'领用录入（明细）'!C:C&gt;=$J$4,'领用录入（明细）'!C:C&lt;=$L$4),ROW(),"-")</f>
        <v>-</v>
      </c>
    </row>
    <row r="8407" customHeight="1" spans="2:2">
      <c r="B8407" s="62" t="str">
        <f>IF(AND('领用录入（明细）'!D:D=$F$4,'领用录入（明细）'!C:C&gt;=$J$4,'领用录入（明细）'!C:C&lt;=$L$4),ROW(),"-")</f>
        <v>-</v>
      </c>
    </row>
    <row r="8408" customHeight="1" spans="2:2">
      <c r="B8408" s="62" t="str">
        <f>IF(AND('领用录入（明细）'!D:D=$F$4,'领用录入（明细）'!C:C&gt;=$J$4,'领用录入（明细）'!C:C&lt;=$L$4),ROW(),"-")</f>
        <v>-</v>
      </c>
    </row>
    <row r="8409" customHeight="1" spans="2:2">
      <c r="B8409" s="62" t="str">
        <f>IF(AND('领用录入（明细）'!D:D=$F$4,'领用录入（明细）'!C:C&gt;=$J$4,'领用录入（明细）'!C:C&lt;=$L$4),ROW(),"-")</f>
        <v>-</v>
      </c>
    </row>
    <row r="8410" customHeight="1" spans="2:2">
      <c r="B8410" s="62" t="str">
        <f>IF(AND('领用录入（明细）'!D:D=$F$4,'领用录入（明细）'!C:C&gt;=$J$4,'领用录入（明细）'!C:C&lt;=$L$4),ROW(),"-")</f>
        <v>-</v>
      </c>
    </row>
    <row r="8411" customHeight="1" spans="2:2">
      <c r="B8411" s="62" t="str">
        <f>IF(AND('领用录入（明细）'!D:D=$F$4,'领用录入（明细）'!C:C&gt;=$J$4,'领用录入（明细）'!C:C&lt;=$L$4),ROW(),"-")</f>
        <v>-</v>
      </c>
    </row>
    <row r="8412" customHeight="1" spans="2:2">
      <c r="B8412" s="62" t="str">
        <f>IF(AND('领用录入（明细）'!D:D=$F$4,'领用录入（明细）'!C:C&gt;=$J$4,'领用录入（明细）'!C:C&lt;=$L$4),ROW(),"-")</f>
        <v>-</v>
      </c>
    </row>
    <row r="8413" customHeight="1" spans="2:2">
      <c r="B8413" s="62" t="str">
        <f>IF(AND('领用录入（明细）'!D:D=$F$4,'领用录入（明细）'!C:C&gt;=$J$4,'领用录入（明细）'!C:C&lt;=$L$4),ROW(),"-")</f>
        <v>-</v>
      </c>
    </row>
    <row r="8414" customHeight="1" spans="2:2">
      <c r="B8414" s="62" t="str">
        <f>IF(AND('领用录入（明细）'!D:D=$F$4,'领用录入（明细）'!C:C&gt;=$J$4,'领用录入（明细）'!C:C&lt;=$L$4),ROW(),"-")</f>
        <v>-</v>
      </c>
    </row>
    <row r="8415" customHeight="1" spans="2:2">
      <c r="B8415" s="62" t="str">
        <f>IF(AND('领用录入（明细）'!D:D=$F$4,'领用录入（明细）'!C:C&gt;=$J$4,'领用录入（明细）'!C:C&lt;=$L$4),ROW(),"-")</f>
        <v>-</v>
      </c>
    </row>
    <row r="8416" customHeight="1" spans="2:2">
      <c r="B8416" s="62" t="str">
        <f>IF(AND('领用录入（明细）'!D:D=$F$4,'领用录入（明细）'!C:C&gt;=$J$4,'领用录入（明细）'!C:C&lt;=$L$4),ROW(),"-")</f>
        <v>-</v>
      </c>
    </row>
    <row r="8417" customHeight="1" spans="2:2">
      <c r="B8417" s="62" t="str">
        <f>IF(AND('领用录入（明细）'!D:D=$F$4,'领用录入（明细）'!C:C&gt;=$J$4,'领用录入（明细）'!C:C&lt;=$L$4),ROW(),"-")</f>
        <v>-</v>
      </c>
    </row>
    <row r="8418" customHeight="1" spans="2:2">
      <c r="B8418" s="62" t="str">
        <f>IF(AND('领用录入（明细）'!D:D=$F$4,'领用录入（明细）'!C:C&gt;=$J$4,'领用录入（明细）'!C:C&lt;=$L$4),ROW(),"-")</f>
        <v>-</v>
      </c>
    </row>
    <row r="8419" customHeight="1" spans="2:2">
      <c r="B8419" s="62" t="str">
        <f>IF(AND('领用录入（明细）'!D:D=$F$4,'领用录入（明细）'!C:C&gt;=$J$4,'领用录入（明细）'!C:C&lt;=$L$4),ROW(),"-")</f>
        <v>-</v>
      </c>
    </row>
    <row r="8420" customHeight="1" spans="2:2">
      <c r="B8420" s="62" t="str">
        <f>IF(AND('领用录入（明细）'!D:D=$F$4,'领用录入（明细）'!C:C&gt;=$J$4,'领用录入（明细）'!C:C&lt;=$L$4),ROW(),"-")</f>
        <v>-</v>
      </c>
    </row>
    <row r="8421" customHeight="1" spans="2:2">
      <c r="B8421" s="62" t="str">
        <f>IF(AND('领用录入（明细）'!D:D=$F$4,'领用录入（明细）'!C:C&gt;=$J$4,'领用录入（明细）'!C:C&lt;=$L$4),ROW(),"-")</f>
        <v>-</v>
      </c>
    </row>
    <row r="8422" customHeight="1" spans="2:2">
      <c r="B8422" s="62" t="str">
        <f>IF(AND('领用录入（明细）'!D:D=$F$4,'领用录入（明细）'!C:C&gt;=$J$4,'领用录入（明细）'!C:C&lt;=$L$4),ROW(),"-")</f>
        <v>-</v>
      </c>
    </row>
    <row r="8423" customHeight="1" spans="2:2">
      <c r="B8423" s="62" t="str">
        <f>IF(AND('领用录入（明细）'!D:D=$F$4,'领用录入（明细）'!C:C&gt;=$J$4,'领用录入（明细）'!C:C&lt;=$L$4),ROW(),"-")</f>
        <v>-</v>
      </c>
    </row>
    <row r="8424" customHeight="1" spans="2:2">
      <c r="B8424" s="62" t="str">
        <f>IF(AND('领用录入（明细）'!D:D=$F$4,'领用录入（明细）'!C:C&gt;=$J$4,'领用录入（明细）'!C:C&lt;=$L$4),ROW(),"-")</f>
        <v>-</v>
      </c>
    </row>
    <row r="8425" customHeight="1" spans="2:2">
      <c r="B8425" s="62" t="str">
        <f>IF(AND('领用录入（明细）'!D:D=$F$4,'领用录入（明细）'!C:C&gt;=$J$4,'领用录入（明细）'!C:C&lt;=$L$4),ROW(),"-")</f>
        <v>-</v>
      </c>
    </row>
    <row r="8426" customHeight="1" spans="2:2">
      <c r="B8426" s="62" t="str">
        <f>IF(AND('领用录入（明细）'!D:D=$F$4,'领用录入（明细）'!C:C&gt;=$J$4,'领用录入（明细）'!C:C&lt;=$L$4),ROW(),"-")</f>
        <v>-</v>
      </c>
    </row>
    <row r="8427" customHeight="1" spans="2:2">
      <c r="B8427" s="62" t="str">
        <f>IF(AND('领用录入（明细）'!D:D=$F$4,'领用录入（明细）'!C:C&gt;=$J$4,'领用录入（明细）'!C:C&lt;=$L$4),ROW(),"-")</f>
        <v>-</v>
      </c>
    </row>
    <row r="8428" customHeight="1" spans="2:2">
      <c r="B8428" s="62" t="str">
        <f>IF(AND('领用录入（明细）'!D:D=$F$4,'领用录入（明细）'!C:C&gt;=$J$4,'领用录入（明细）'!C:C&lt;=$L$4),ROW(),"-")</f>
        <v>-</v>
      </c>
    </row>
    <row r="8429" customHeight="1" spans="2:2">
      <c r="B8429" s="62" t="str">
        <f>IF(AND('领用录入（明细）'!D:D=$F$4,'领用录入（明细）'!C:C&gt;=$J$4,'领用录入（明细）'!C:C&lt;=$L$4),ROW(),"-")</f>
        <v>-</v>
      </c>
    </row>
    <row r="8430" customHeight="1" spans="2:2">
      <c r="B8430" s="62" t="str">
        <f>IF(AND('领用录入（明细）'!D:D=$F$4,'领用录入（明细）'!C:C&gt;=$J$4,'领用录入（明细）'!C:C&lt;=$L$4),ROW(),"-")</f>
        <v>-</v>
      </c>
    </row>
    <row r="8431" customHeight="1" spans="2:2">
      <c r="B8431" s="62" t="str">
        <f>IF(AND('领用录入（明细）'!D:D=$F$4,'领用录入（明细）'!C:C&gt;=$J$4,'领用录入（明细）'!C:C&lt;=$L$4),ROW(),"-")</f>
        <v>-</v>
      </c>
    </row>
    <row r="8432" customHeight="1" spans="2:2">
      <c r="B8432" s="62" t="str">
        <f>IF(AND('领用录入（明细）'!D:D=$F$4,'领用录入（明细）'!C:C&gt;=$J$4,'领用录入（明细）'!C:C&lt;=$L$4),ROW(),"-")</f>
        <v>-</v>
      </c>
    </row>
    <row r="8433" customHeight="1" spans="2:2">
      <c r="B8433" s="62" t="str">
        <f>IF(AND('领用录入（明细）'!D:D=$F$4,'领用录入（明细）'!C:C&gt;=$J$4,'领用录入（明细）'!C:C&lt;=$L$4),ROW(),"-")</f>
        <v>-</v>
      </c>
    </row>
    <row r="8434" customHeight="1" spans="2:2">
      <c r="B8434" s="62" t="str">
        <f>IF(AND('领用录入（明细）'!D:D=$F$4,'领用录入（明细）'!C:C&gt;=$J$4,'领用录入（明细）'!C:C&lt;=$L$4),ROW(),"-")</f>
        <v>-</v>
      </c>
    </row>
    <row r="8435" customHeight="1" spans="2:2">
      <c r="B8435" s="62" t="str">
        <f>IF(AND('领用录入（明细）'!D:D=$F$4,'领用录入（明细）'!C:C&gt;=$J$4,'领用录入（明细）'!C:C&lt;=$L$4),ROW(),"-")</f>
        <v>-</v>
      </c>
    </row>
    <row r="8436" customHeight="1" spans="2:2">
      <c r="B8436" s="62" t="str">
        <f>IF(AND('领用录入（明细）'!D:D=$F$4,'领用录入（明细）'!C:C&gt;=$J$4,'领用录入（明细）'!C:C&lt;=$L$4),ROW(),"-")</f>
        <v>-</v>
      </c>
    </row>
    <row r="8437" customHeight="1" spans="2:2">
      <c r="B8437" s="62" t="str">
        <f>IF(AND('领用录入（明细）'!D:D=$F$4,'领用录入（明细）'!C:C&gt;=$J$4,'领用录入（明细）'!C:C&lt;=$L$4),ROW(),"-")</f>
        <v>-</v>
      </c>
    </row>
    <row r="8438" customHeight="1" spans="2:2">
      <c r="B8438" s="62" t="str">
        <f>IF(AND('领用录入（明细）'!D:D=$F$4,'领用录入（明细）'!C:C&gt;=$J$4,'领用录入（明细）'!C:C&lt;=$L$4),ROW(),"-")</f>
        <v>-</v>
      </c>
    </row>
    <row r="8439" customHeight="1" spans="2:2">
      <c r="B8439" s="62" t="str">
        <f>IF(AND('领用录入（明细）'!D:D=$F$4,'领用录入（明细）'!C:C&gt;=$J$4,'领用录入（明细）'!C:C&lt;=$L$4),ROW(),"-")</f>
        <v>-</v>
      </c>
    </row>
    <row r="8440" customHeight="1" spans="2:2">
      <c r="B8440" s="62" t="str">
        <f>IF(AND('领用录入（明细）'!D:D=$F$4,'领用录入（明细）'!C:C&gt;=$J$4,'领用录入（明细）'!C:C&lt;=$L$4),ROW(),"-")</f>
        <v>-</v>
      </c>
    </row>
    <row r="8441" customHeight="1" spans="2:2">
      <c r="B8441" s="62" t="str">
        <f>IF(AND('领用录入（明细）'!D:D=$F$4,'领用录入（明细）'!C:C&gt;=$J$4,'领用录入（明细）'!C:C&lt;=$L$4),ROW(),"-")</f>
        <v>-</v>
      </c>
    </row>
    <row r="8442" customHeight="1" spans="2:2">
      <c r="B8442" s="62" t="str">
        <f>IF(AND('领用录入（明细）'!D:D=$F$4,'领用录入（明细）'!C:C&gt;=$J$4,'领用录入（明细）'!C:C&lt;=$L$4),ROW(),"-")</f>
        <v>-</v>
      </c>
    </row>
    <row r="8443" customHeight="1" spans="2:2">
      <c r="B8443" s="62" t="str">
        <f>IF(AND('领用录入（明细）'!D:D=$F$4,'领用录入（明细）'!C:C&gt;=$J$4,'领用录入（明细）'!C:C&lt;=$L$4),ROW(),"-")</f>
        <v>-</v>
      </c>
    </row>
    <row r="8444" customHeight="1" spans="2:2">
      <c r="B8444" s="62" t="str">
        <f>IF(AND('领用录入（明细）'!D:D=$F$4,'领用录入（明细）'!C:C&gt;=$J$4,'领用录入（明细）'!C:C&lt;=$L$4),ROW(),"-")</f>
        <v>-</v>
      </c>
    </row>
    <row r="8445" customHeight="1" spans="2:2">
      <c r="B8445" s="62" t="str">
        <f>IF(AND('领用录入（明细）'!D:D=$F$4,'领用录入（明细）'!C:C&gt;=$J$4,'领用录入（明细）'!C:C&lt;=$L$4),ROW(),"-")</f>
        <v>-</v>
      </c>
    </row>
    <row r="8446" customHeight="1" spans="2:2">
      <c r="B8446" s="62" t="str">
        <f>IF(AND('领用录入（明细）'!D:D=$F$4,'领用录入（明细）'!C:C&gt;=$J$4,'领用录入（明细）'!C:C&lt;=$L$4),ROW(),"-")</f>
        <v>-</v>
      </c>
    </row>
    <row r="8447" customHeight="1" spans="2:2">
      <c r="B8447" s="62" t="str">
        <f>IF(AND('领用录入（明细）'!D:D=$F$4,'领用录入（明细）'!C:C&gt;=$J$4,'领用录入（明细）'!C:C&lt;=$L$4),ROW(),"-")</f>
        <v>-</v>
      </c>
    </row>
    <row r="8448" customHeight="1" spans="2:2">
      <c r="B8448" s="62" t="str">
        <f>IF(AND('领用录入（明细）'!D:D=$F$4,'领用录入（明细）'!C:C&gt;=$J$4,'领用录入（明细）'!C:C&lt;=$L$4),ROW(),"-")</f>
        <v>-</v>
      </c>
    </row>
    <row r="8449" customHeight="1" spans="2:2">
      <c r="B8449" s="62" t="str">
        <f>IF(AND('领用录入（明细）'!D:D=$F$4,'领用录入（明细）'!C:C&gt;=$J$4,'领用录入（明细）'!C:C&lt;=$L$4),ROW(),"-")</f>
        <v>-</v>
      </c>
    </row>
    <row r="8450" customHeight="1" spans="2:2">
      <c r="B8450" s="62" t="str">
        <f>IF(AND('领用录入（明细）'!D:D=$F$4,'领用录入（明细）'!C:C&gt;=$J$4,'领用录入（明细）'!C:C&lt;=$L$4),ROW(),"-")</f>
        <v>-</v>
      </c>
    </row>
    <row r="8451" customHeight="1" spans="2:2">
      <c r="B8451" s="62" t="str">
        <f>IF(AND('领用录入（明细）'!D:D=$F$4,'领用录入（明细）'!C:C&gt;=$J$4,'领用录入（明细）'!C:C&lt;=$L$4),ROW(),"-")</f>
        <v>-</v>
      </c>
    </row>
    <row r="8452" customHeight="1" spans="2:2">
      <c r="B8452" s="62" t="str">
        <f>IF(AND('领用录入（明细）'!D:D=$F$4,'领用录入（明细）'!C:C&gt;=$J$4,'领用录入（明细）'!C:C&lt;=$L$4),ROW(),"-")</f>
        <v>-</v>
      </c>
    </row>
    <row r="8453" customHeight="1" spans="2:2">
      <c r="B8453" s="62" t="str">
        <f>IF(AND('领用录入（明细）'!D:D=$F$4,'领用录入（明细）'!C:C&gt;=$J$4,'领用录入（明细）'!C:C&lt;=$L$4),ROW(),"-")</f>
        <v>-</v>
      </c>
    </row>
    <row r="8454" customHeight="1" spans="2:2">
      <c r="B8454" s="62" t="str">
        <f>IF(AND('领用录入（明细）'!D:D=$F$4,'领用录入（明细）'!C:C&gt;=$J$4,'领用录入（明细）'!C:C&lt;=$L$4),ROW(),"-")</f>
        <v>-</v>
      </c>
    </row>
    <row r="8455" customHeight="1" spans="2:2">
      <c r="B8455" s="62" t="str">
        <f>IF(AND('领用录入（明细）'!D:D=$F$4,'领用录入（明细）'!C:C&gt;=$J$4,'领用录入（明细）'!C:C&lt;=$L$4),ROW(),"-")</f>
        <v>-</v>
      </c>
    </row>
    <row r="8456" customHeight="1" spans="2:2">
      <c r="B8456" s="62" t="str">
        <f>IF(AND('领用录入（明细）'!D:D=$F$4,'领用录入（明细）'!C:C&gt;=$J$4,'领用录入（明细）'!C:C&lt;=$L$4),ROW(),"-")</f>
        <v>-</v>
      </c>
    </row>
    <row r="8457" customHeight="1" spans="2:2">
      <c r="B8457" s="62" t="str">
        <f>IF(AND('领用录入（明细）'!D:D=$F$4,'领用录入（明细）'!C:C&gt;=$J$4,'领用录入（明细）'!C:C&lt;=$L$4),ROW(),"-")</f>
        <v>-</v>
      </c>
    </row>
    <row r="8458" customHeight="1" spans="2:2">
      <c r="B8458" s="62" t="str">
        <f>IF(AND('领用录入（明细）'!D:D=$F$4,'领用录入（明细）'!C:C&gt;=$J$4,'领用录入（明细）'!C:C&lt;=$L$4),ROW(),"-")</f>
        <v>-</v>
      </c>
    </row>
    <row r="8459" customHeight="1" spans="2:2">
      <c r="B8459" s="62" t="str">
        <f>IF(AND('领用录入（明细）'!D:D=$F$4,'领用录入（明细）'!C:C&gt;=$J$4,'领用录入（明细）'!C:C&lt;=$L$4),ROW(),"-")</f>
        <v>-</v>
      </c>
    </row>
    <row r="8460" customHeight="1" spans="2:2">
      <c r="B8460" s="62" t="str">
        <f>IF(AND('领用录入（明细）'!D:D=$F$4,'领用录入（明细）'!C:C&gt;=$J$4,'领用录入（明细）'!C:C&lt;=$L$4),ROW(),"-")</f>
        <v>-</v>
      </c>
    </row>
    <row r="8461" customHeight="1" spans="2:2">
      <c r="B8461" s="62" t="str">
        <f>IF(AND('领用录入（明细）'!D:D=$F$4,'领用录入（明细）'!C:C&gt;=$J$4,'领用录入（明细）'!C:C&lt;=$L$4),ROW(),"-")</f>
        <v>-</v>
      </c>
    </row>
    <row r="8462" customHeight="1" spans="2:2">
      <c r="B8462" s="62" t="str">
        <f>IF(AND('领用录入（明细）'!D:D=$F$4,'领用录入（明细）'!C:C&gt;=$J$4,'领用录入（明细）'!C:C&lt;=$L$4),ROW(),"-")</f>
        <v>-</v>
      </c>
    </row>
    <row r="8463" customHeight="1" spans="2:2">
      <c r="B8463" s="62" t="str">
        <f>IF(AND('领用录入（明细）'!D:D=$F$4,'领用录入（明细）'!C:C&gt;=$J$4,'领用录入（明细）'!C:C&lt;=$L$4),ROW(),"-")</f>
        <v>-</v>
      </c>
    </row>
    <row r="8464" customHeight="1" spans="2:2">
      <c r="B8464" s="62" t="str">
        <f>IF(AND('领用录入（明细）'!D:D=$F$4,'领用录入（明细）'!C:C&gt;=$J$4,'领用录入（明细）'!C:C&lt;=$L$4),ROW(),"-")</f>
        <v>-</v>
      </c>
    </row>
    <row r="8465" customHeight="1" spans="2:2">
      <c r="B8465" s="62" t="str">
        <f>IF(AND('领用录入（明细）'!D:D=$F$4,'领用录入（明细）'!C:C&gt;=$J$4,'领用录入（明细）'!C:C&lt;=$L$4),ROW(),"-")</f>
        <v>-</v>
      </c>
    </row>
    <row r="8466" customHeight="1" spans="2:2">
      <c r="B8466" s="62" t="str">
        <f>IF(AND('领用录入（明细）'!D:D=$F$4,'领用录入（明细）'!C:C&gt;=$J$4,'领用录入（明细）'!C:C&lt;=$L$4),ROW(),"-")</f>
        <v>-</v>
      </c>
    </row>
    <row r="8467" customHeight="1" spans="2:2">
      <c r="B8467" s="62" t="str">
        <f>IF(AND('领用录入（明细）'!D:D=$F$4,'领用录入（明细）'!C:C&gt;=$J$4,'领用录入（明细）'!C:C&lt;=$L$4),ROW(),"-")</f>
        <v>-</v>
      </c>
    </row>
    <row r="8468" customHeight="1" spans="2:2">
      <c r="B8468" s="62" t="str">
        <f>IF(AND('领用录入（明细）'!D:D=$F$4,'领用录入（明细）'!C:C&gt;=$J$4,'领用录入（明细）'!C:C&lt;=$L$4),ROW(),"-")</f>
        <v>-</v>
      </c>
    </row>
    <row r="8469" customHeight="1" spans="2:2">
      <c r="B8469" s="62" t="str">
        <f>IF(AND('领用录入（明细）'!D:D=$F$4,'领用录入（明细）'!C:C&gt;=$J$4,'领用录入（明细）'!C:C&lt;=$L$4),ROW(),"-")</f>
        <v>-</v>
      </c>
    </row>
    <row r="8470" customHeight="1" spans="2:2">
      <c r="B8470" s="62" t="str">
        <f>IF(AND('领用录入（明细）'!D:D=$F$4,'领用录入（明细）'!C:C&gt;=$J$4,'领用录入（明细）'!C:C&lt;=$L$4),ROW(),"-")</f>
        <v>-</v>
      </c>
    </row>
    <row r="8471" customHeight="1" spans="2:2">
      <c r="B8471" s="62" t="str">
        <f>IF(AND('领用录入（明细）'!D:D=$F$4,'领用录入（明细）'!C:C&gt;=$J$4,'领用录入（明细）'!C:C&lt;=$L$4),ROW(),"-")</f>
        <v>-</v>
      </c>
    </row>
    <row r="8472" customHeight="1" spans="2:2">
      <c r="B8472" s="62" t="str">
        <f>IF(AND('领用录入（明细）'!D:D=$F$4,'领用录入（明细）'!C:C&gt;=$J$4,'领用录入（明细）'!C:C&lt;=$L$4),ROW(),"-")</f>
        <v>-</v>
      </c>
    </row>
    <row r="8473" customHeight="1" spans="2:2">
      <c r="B8473" s="62" t="str">
        <f>IF(AND('领用录入（明细）'!D:D=$F$4,'领用录入（明细）'!C:C&gt;=$J$4,'领用录入（明细）'!C:C&lt;=$L$4),ROW(),"-")</f>
        <v>-</v>
      </c>
    </row>
    <row r="8474" customHeight="1" spans="2:2">
      <c r="B8474" s="62" t="str">
        <f>IF(AND('领用录入（明细）'!D:D=$F$4,'领用录入（明细）'!C:C&gt;=$J$4,'领用录入（明细）'!C:C&lt;=$L$4),ROW(),"-")</f>
        <v>-</v>
      </c>
    </row>
    <row r="8475" customHeight="1" spans="2:2">
      <c r="B8475" s="62" t="str">
        <f>IF(AND('领用录入（明细）'!D:D=$F$4,'领用录入（明细）'!C:C&gt;=$J$4,'领用录入（明细）'!C:C&lt;=$L$4),ROW(),"-")</f>
        <v>-</v>
      </c>
    </row>
    <row r="8476" customHeight="1" spans="2:2">
      <c r="B8476" s="62" t="str">
        <f>IF(AND('领用录入（明细）'!D:D=$F$4,'领用录入（明细）'!C:C&gt;=$J$4,'领用录入（明细）'!C:C&lt;=$L$4),ROW(),"-")</f>
        <v>-</v>
      </c>
    </row>
    <row r="8477" customHeight="1" spans="2:2">
      <c r="B8477" s="62" t="str">
        <f>IF(AND('领用录入（明细）'!D:D=$F$4,'领用录入（明细）'!C:C&gt;=$J$4,'领用录入（明细）'!C:C&lt;=$L$4),ROW(),"-")</f>
        <v>-</v>
      </c>
    </row>
    <row r="8478" customHeight="1" spans="2:2">
      <c r="B8478" s="62" t="str">
        <f>IF(AND('领用录入（明细）'!D:D=$F$4,'领用录入（明细）'!C:C&gt;=$J$4,'领用录入（明细）'!C:C&lt;=$L$4),ROW(),"-")</f>
        <v>-</v>
      </c>
    </row>
    <row r="8479" customHeight="1" spans="2:2">
      <c r="B8479" s="62" t="str">
        <f>IF(AND('领用录入（明细）'!D:D=$F$4,'领用录入（明细）'!C:C&gt;=$J$4,'领用录入（明细）'!C:C&lt;=$L$4),ROW(),"-")</f>
        <v>-</v>
      </c>
    </row>
    <row r="8480" customHeight="1" spans="2:2">
      <c r="B8480" s="62" t="str">
        <f>IF(AND('领用录入（明细）'!D:D=$F$4,'领用录入（明细）'!C:C&gt;=$J$4,'领用录入（明细）'!C:C&lt;=$L$4),ROW(),"-")</f>
        <v>-</v>
      </c>
    </row>
    <row r="8481" customHeight="1" spans="2:2">
      <c r="B8481" s="62" t="str">
        <f>IF(AND('领用录入（明细）'!D:D=$F$4,'领用录入（明细）'!C:C&gt;=$J$4,'领用录入（明细）'!C:C&lt;=$L$4),ROW(),"-")</f>
        <v>-</v>
      </c>
    </row>
    <row r="8482" customHeight="1" spans="2:2">
      <c r="B8482" s="62" t="str">
        <f>IF(AND('领用录入（明细）'!D:D=$F$4,'领用录入（明细）'!C:C&gt;=$J$4,'领用录入（明细）'!C:C&lt;=$L$4),ROW(),"-")</f>
        <v>-</v>
      </c>
    </row>
    <row r="8483" customHeight="1" spans="2:2">
      <c r="B8483" s="62" t="str">
        <f>IF(AND('领用录入（明细）'!D:D=$F$4,'领用录入（明细）'!C:C&gt;=$J$4,'领用录入（明细）'!C:C&lt;=$L$4),ROW(),"-")</f>
        <v>-</v>
      </c>
    </row>
    <row r="8484" customHeight="1" spans="2:2">
      <c r="B8484" s="62" t="str">
        <f>IF(AND('领用录入（明细）'!D:D=$F$4,'领用录入（明细）'!C:C&gt;=$J$4,'领用录入（明细）'!C:C&lt;=$L$4),ROW(),"-")</f>
        <v>-</v>
      </c>
    </row>
    <row r="8485" customHeight="1" spans="2:2">
      <c r="B8485" s="62" t="str">
        <f>IF(AND('领用录入（明细）'!D:D=$F$4,'领用录入（明细）'!C:C&gt;=$J$4,'领用录入（明细）'!C:C&lt;=$L$4),ROW(),"-")</f>
        <v>-</v>
      </c>
    </row>
    <row r="8486" customHeight="1" spans="2:2">
      <c r="B8486" s="62" t="str">
        <f>IF(AND('领用录入（明细）'!D:D=$F$4,'领用录入（明细）'!C:C&gt;=$J$4,'领用录入（明细）'!C:C&lt;=$L$4),ROW(),"-")</f>
        <v>-</v>
      </c>
    </row>
    <row r="8487" customHeight="1" spans="2:2">
      <c r="B8487" s="62" t="str">
        <f>IF(AND('领用录入（明细）'!D:D=$F$4,'领用录入（明细）'!C:C&gt;=$J$4,'领用录入（明细）'!C:C&lt;=$L$4),ROW(),"-")</f>
        <v>-</v>
      </c>
    </row>
    <row r="8488" customHeight="1" spans="2:2">
      <c r="B8488" s="62" t="str">
        <f>IF(AND('领用录入（明细）'!D:D=$F$4,'领用录入（明细）'!C:C&gt;=$J$4,'领用录入（明细）'!C:C&lt;=$L$4),ROW(),"-")</f>
        <v>-</v>
      </c>
    </row>
    <row r="8489" customHeight="1" spans="2:2">
      <c r="B8489" s="62" t="str">
        <f>IF(AND('领用录入（明细）'!D:D=$F$4,'领用录入（明细）'!C:C&gt;=$J$4,'领用录入（明细）'!C:C&lt;=$L$4),ROW(),"-")</f>
        <v>-</v>
      </c>
    </row>
    <row r="8490" customHeight="1" spans="2:2">
      <c r="B8490" s="62" t="str">
        <f>IF(AND('领用录入（明细）'!D:D=$F$4,'领用录入（明细）'!C:C&gt;=$J$4,'领用录入（明细）'!C:C&lt;=$L$4),ROW(),"-")</f>
        <v>-</v>
      </c>
    </row>
    <row r="8491" customHeight="1" spans="2:2">
      <c r="B8491" s="62" t="str">
        <f>IF(AND('领用录入（明细）'!D:D=$F$4,'领用录入（明细）'!C:C&gt;=$J$4,'领用录入（明细）'!C:C&lt;=$L$4),ROW(),"-")</f>
        <v>-</v>
      </c>
    </row>
    <row r="8492" customHeight="1" spans="2:2">
      <c r="B8492" s="62" t="str">
        <f>IF(AND('领用录入（明细）'!D:D=$F$4,'领用录入（明细）'!C:C&gt;=$J$4,'领用录入（明细）'!C:C&lt;=$L$4),ROW(),"-")</f>
        <v>-</v>
      </c>
    </row>
    <row r="8493" customHeight="1" spans="2:2">
      <c r="B8493" s="62" t="str">
        <f>IF(AND('领用录入（明细）'!D:D=$F$4,'领用录入（明细）'!C:C&gt;=$J$4,'领用录入（明细）'!C:C&lt;=$L$4),ROW(),"-")</f>
        <v>-</v>
      </c>
    </row>
    <row r="8494" customHeight="1" spans="2:2">
      <c r="B8494" s="62" t="str">
        <f>IF(AND('领用录入（明细）'!D:D=$F$4,'领用录入（明细）'!C:C&gt;=$J$4,'领用录入（明细）'!C:C&lt;=$L$4),ROW(),"-")</f>
        <v>-</v>
      </c>
    </row>
    <row r="8495" customHeight="1" spans="2:2">
      <c r="B8495" s="62" t="str">
        <f>IF(AND('领用录入（明细）'!D:D=$F$4,'领用录入（明细）'!C:C&gt;=$J$4,'领用录入（明细）'!C:C&lt;=$L$4),ROW(),"-")</f>
        <v>-</v>
      </c>
    </row>
    <row r="8496" customHeight="1" spans="2:2">
      <c r="B8496" s="62" t="str">
        <f>IF(AND('领用录入（明细）'!D:D=$F$4,'领用录入（明细）'!C:C&gt;=$J$4,'领用录入（明细）'!C:C&lt;=$L$4),ROW(),"-")</f>
        <v>-</v>
      </c>
    </row>
    <row r="8497" customHeight="1" spans="2:2">
      <c r="B8497" s="62" t="str">
        <f>IF(AND('领用录入（明细）'!D:D=$F$4,'领用录入（明细）'!C:C&gt;=$J$4,'领用录入（明细）'!C:C&lt;=$L$4),ROW(),"-")</f>
        <v>-</v>
      </c>
    </row>
    <row r="8498" customHeight="1" spans="2:2">
      <c r="B8498" s="62" t="str">
        <f>IF(AND('领用录入（明细）'!D:D=$F$4,'领用录入（明细）'!C:C&gt;=$J$4,'领用录入（明细）'!C:C&lt;=$L$4),ROW(),"-")</f>
        <v>-</v>
      </c>
    </row>
    <row r="8499" customHeight="1" spans="2:2">
      <c r="B8499" s="62" t="str">
        <f>IF(AND('领用录入（明细）'!D:D=$F$4,'领用录入（明细）'!C:C&gt;=$J$4,'领用录入（明细）'!C:C&lt;=$L$4),ROW(),"-")</f>
        <v>-</v>
      </c>
    </row>
    <row r="8500" customHeight="1" spans="2:2">
      <c r="B8500" s="62" t="str">
        <f>IF(AND('领用录入（明细）'!D:D=$F$4,'领用录入（明细）'!C:C&gt;=$J$4,'领用录入（明细）'!C:C&lt;=$L$4),ROW(),"-")</f>
        <v>-</v>
      </c>
    </row>
    <row r="8501" customHeight="1" spans="2:2">
      <c r="B8501" s="62" t="str">
        <f>IF(AND('领用录入（明细）'!D:D=$F$4,'领用录入（明细）'!C:C&gt;=$J$4,'领用录入（明细）'!C:C&lt;=$L$4),ROW(),"-")</f>
        <v>-</v>
      </c>
    </row>
    <row r="8502" customHeight="1" spans="2:2">
      <c r="B8502" s="62" t="str">
        <f>IF(AND('领用录入（明细）'!D:D=$F$4,'领用录入（明细）'!C:C&gt;=$J$4,'领用录入（明细）'!C:C&lt;=$L$4),ROW(),"-")</f>
        <v>-</v>
      </c>
    </row>
    <row r="8503" customHeight="1" spans="2:2">
      <c r="B8503" s="62" t="str">
        <f>IF(AND('领用录入（明细）'!D:D=$F$4,'领用录入（明细）'!C:C&gt;=$J$4,'领用录入（明细）'!C:C&lt;=$L$4),ROW(),"-")</f>
        <v>-</v>
      </c>
    </row>
    <row r="8504" customHeight="1" spans="2:2">
      <c r="B8504" s="62" t="str">
        <f>IF(AND('领用录入（明细）'!D:D=$F$4,'领用录入（明细）'!C:C&gt;=$J$4,'领用录入（明细）'!C:C&lt;=$L$4),ROW(),"-")</f>
        <v>-</v>
      </c>
    </row>
    <row r="8505" customHeight="1" spans="2:2">
      <c r="B8505" s="62" t="str">
        <f>IF(AND('领用录入（明细）'!D:D=$F$4,'领用录入（明细）'!C:C&gt;=$J$4,'领用录入（明细）'!C:C&lt;=$L$4),ROW(),"-")</f>
        <v>-</v>
      </c>
    </row>
    <row r="8506" customHeight="1" spans="2:2">
      <c r="B8506" s="62" t="str">
        <f>IF(AND('领用录入（明细）'!D:D=$F$4,'领用录入（明细）'!C:C&gt;=$J$4,'领用录入（明细）'!C:C&lt;=$L$4),ROW(),"-")</f>
        <v>-</v>
      </c>
    </row>
    <row r="8507" customHeight="1" spans="2:2">
      <c r="B8507" s="62" t="str">
        <f>IF(AND('领用录入（明细）'!D:D=$F$4,'领用录入（明细）'!C:C&gt;=$J$4,'领用录入（明细）'!C:C&lt;=$L$4),ROW(),"-")</f>
        <v>-</v>
      </c>
    </row>
    <row r="8508" customHeight="1" spans="2:2">
      <c r="B8508" s="62" t="str">
        <f>IF(AND('领用录入（明细）'!D:D=$F$4,'领用录入（明细）'!C:C&gt;=$J$4,'领用录入（明细）'!C:C&lt;=$L$4),ROW(),"-")</f>
        <v>-</v>
      </c>
    </row>
    <row r="8509" customHeight="1" spans="2:2">
      <c r="B8509" s="62" t="str">
        <f>IF(AND('领用录入（明细）'!D:D=$F$4,'领用录入（明细）'!C:C&gt;=$J$4,'领用录入（明细）'!C:C&lt;=$L$4),ROW(),"-")</f>
        <v>-</v>
      </c>
    </row>
    <row r="8510" customHeight="1" spans="2:2">
      <c r="B8510" s="62" t="str">
        <f>IF(AND('领用录入（明细）'!D:D=$F$4,'领用录入（明细）'!C:C&gt;=$J$4,'领用录入（明细）'!C:C&lt;=$L$4),ROW(),"-")</f>
        <v>-</v>
      </c>
    </row>
    <row r="8511" customHeight="1" spans="2:2">
      <c r="B8511" s="62" t="str">
        <f>IF(AND('领用录入（明细）'!D:D=$F$4,'领用录入（明细）'!C:C&gt;=$J$4,'领用录入（明细）'!C:C&lt;=$L$4),ROW(),"-")</f>
        <v>-</v>
      </c>
    </row>
    <row r="8512" customHeight="1" spans="2:2">
      <c r="B8512" s="62" t="str">
        <f>IF(AND('领用录入（明细）'!D:D=$F$4,'领用录入（明细）'!C:C&gt;=$J$4,'领用录入（明细）'!C:C&lt;=$L$4),ROW(),"-")</f>
        <v>-</v>
      </c>
    </row>
    <row r="8513" customHeight="1" spans="2:2">
      <c r="B8513" s="62" t="str">
        <f>IF(AND('领用录入（明细）'!D:D=$F$4,'领用录入（明细）'!C:C&gt;=$J$4,'领用录入（明细）'!C:C&lt;=$L$4),ROW(),"-")</f>
        <v>-</v>
      </c>
    </row>
    <row r="8514" customHeight="1" spans="2:2">
      <c r="B8514" s="62" t="str">
        <f>IF(AND('领用录入（明细）'!D:D=$F$4,'领用录入（明细）'!C:C&gt;=$J$4,'领用录入（明细）'!C:C&lt;=$L$4),ROW(),"-")</f>
        <v>-</v>
      </c>
    </row>
    <row r="8515" customHeight="1" spans="2:2">
      <c r="B8515" s="62" t="str">
        <f>IF(AND('领用录入（明细）'!D:D=$F$4,'领用录入（明细）'!C:C&gt;=$J$4,'领用录入（明细）'!C:C&lt;=$L$4),ROW(),"-")</f>
        <v>-</v>
      </c>
    </row>
    <row r="8516" customHeight="1" spans="2:2">
      <c r="B8516" s="62" t="str">
        <f>IF(AND('领用录入（明细）'!D:D=$F$4,'领用录入（明细）'!C:C&gt;=$J$4,'领用录入（明细）'!C:C&lt;=$L$4),ROW(),"-")</f>
        <v>-</v>
      </c>
    </row>
    <row r="8517" customHeight="1" spans="2:2">
      <c r="B8517" s="62" t="str">
        <f>IF(AND('领用录入（明细）'!D:D=$F$4,'领用录入（明细）'!C:C&gt;=$J$4,'领用录入（明细）'!C:C&lt;=$L$4),ROW(),"-")</f>
        <v>-</v>
      </c>
    </row>
    <row r="8518" customHeight="1" spans="2:2">
      <c r="B8518" s="62" t="str">
        <f>IF(AND('领用录入（明细）'!D:D=$F$4,'领用录入（明细）'!C:C&gt;=$J$4,'领用录入（明细）'!C:C&lt;=$L$4),ROW(),"-")</f>
        <v>-</v>
      </c>
    </row>
    <row r="8519" customHeight="1" spans="2:2">
      <c r="B8519" s="62" t="str">
        <f>IF(AND('领用录入（明细）'!D:D=$F$4,'领用录入（明细）'!C:C&gt;=$J$4,'领用录入（明细）'!C:C&lt;=$L$4),ROW(),"-")</f>
        <v>-</v>
      </c>
    </row>
    <row r="8520" customHeight="1" spans="2:2">
      <c r="B8520" s="62" t="str">
        <f>IF(AND('领用录入（明细）'!D:D=$F$4,'领用录入（明细）'!C:C&gt;=$J$4,'领用录入（明细）'!C:C&lt;=$L$4),ROW(),"-")</f>
        <v>-</v>
      </c>
    </row>
    <row r="8521" customHeight="1" spans="2:2">
      <c r="B8521" s="62" t="str">
        <f>IF(AND('领用录入（明细）'!D:D=$F$4,'领用录入（明细）'!C:C&gt;=$J$4,'领用录入（明细）'!C:C&lt;=$L$4),ROW(),"-")</f>
        <v>-</v>
      </c>
    </row>
    <row r="8522" customHeight="1" spans="2:2">
      <c r="B8522" s="62" t="str">
        <f>IF(AND('领用录入（明细）'!D:D=$F$4,'领用录入（明细）'!C:C&gt;=$J$4,'领用录入（明细）'!C:C&lt;=$L$4),ROW(),"-")</f>
        <v>-</v>
      </c>
    </row>
    <row r="8523" customHeight="1" spans="2:2">
      <c r="B8523" s="62" t="str">
        <f>IF(AND('领用录入（明细）'!D:D=$F$4,'领用录入（明细）'!C:C&gt;=$J$4,'领用录入（明细）'!C:C&lt;=$L$4),ROW(),"-")</f>
        <v>-</v>
      </c>
    </row>
    <row r="8524" customHeight="1" spans="2:2">
      <c r="B8524" s="62" t="str">
        <f>IF(AND('领用录入（明细）'!D:D=$F$4,'领用录入（明细）'!C:C&gt;=$J$4,'领用录入（明细）'!C:C&lt;=$L$4),ROW(),"-")</f>
        <v>-</v>
      </c>
    </row>
    <row r="8525" customHeight="1" spans="2:2">
      <c r="B8525" s="62" t="str">
        <f>IF(AND('领用录入（明细）'!D:D=$F$4,'领用录入（明细）'!C:C&gt;=$J$4,'领用录入（明细）'!C:C&lt;=$L$4),ROW(),"-")</f>
        <v>-</v>
      </c>
    </row>
    <row r="8526" customHeight="1" spans="2:2">
      <c r="B8526" s="62" t="str">
        <f>IF(AND('领用录入（明细）'!D:D=$F$4,'领用录入（明细）'!C:C&gt;=$J$4,'领用录入（明细）'!C:C&lt;=$L$4),ROW(),"-")</f>
        <v>-</v>
      </c>
    </row>
    <row r="8527" customHeight="1" spans="2:2">
      <c r="B8527" s="62" t="str">
        <f>IF(AND('领用录入（明细）'!D:D=$F$4,'领用录入（明细）'!C:C&gt;=$J$4,'领用录入（明细）'!C:C&lt;=$L$4),ROW(),"-")</f>
        <v>-</v>
      </c>
    </row>
    <row r="8528" customHeight="1" spans="2:2">
      <c r="B8528" s="62" t="str">
        <f>IF(AND('领用录入（明细）'!D:D=$F$4,'领用录入（明细）'!C:C&gt;=$J$4,'领用录入（明细）'!C:C&lt;=$L$4),ROW(),"-")</f>
        <v>-</v>
      </c>
    </row>
    <row r="8529" customHeight="1" spans="2:2">
      <c r="B8529" s="62" t="str">
        <f>IF(AND('领用录入（明细）'!D:D=$F$4,'领用录入（明细）'!C:C&gt;=$J$4,'领用录入（明细）'!C:C&lt;=$L$4),ROW(),"-")</f>
        <v>-</v>
      </c>
    </row>
    <row r="8530" customHeight="1" spans="2:2">
      <c r="B8530" s="62" t="str">
        <f>IF(AND('领用录入（明细）'!D:D=$F$4,'领用录入（明细）'!C:C&gt;=$J$4,'领用录入（明细）'!C:C&lt;=$L$4),ROW(),"-")</f>
        <v>-</v>
      </c>
    </row>
    <row r="8531" customHeight="1" spans="2:2">
      <c r="B8531" s="62" t="str">
        <f>IF(AND('领用录入（明细）'!D:D=$F$4,'领用录入（明细）'!C:C&gt;=$J$4,'领用录入（明细）'!C:C&lt;=$L$4),ROW(),"-")</f>
        <v>-</v>
      </c>
    </row>
    <row r="8532" customHeight="1" spans="2:2">
      <c r="B8532" s="62" t="str">
        <f>IF(AND('领用录入（明细）'!D:D=$F$4,'领用录入（明细）'!C:C&gt;=$J$4,'领用录入（明细）'!C:C&lt;=$L$4),ROW(),"-")</f>
        <v>-</v>
      </c>
    </row>
    <row r="8533" customHeight="1" spans="2:2">
      <c r="B8533" s="62" t="str">
        <f>IF(AND('领用录入（明细）'!D:D=$F$4,'领用录入（明细）'!C:C&gt;=$J$4,'领用录入（明细）'!C:C&lt;=$L$4),ROW(),"-")</f>
        <v>-</v>
      </c>
    </row>
    <row r="8534" customHeight="1" spans="2:2">
      <c r="B8534" s="62" t="str">
        <f>IF(AND('领用录入（明细）'!D:D=$F$4,'领用录入（明细）'!C:C&gt;=$J$4,'领用录入（明细）'!C:C&lt;=$L$4),ROW(),"-")</f>
        <v>-</v>
      </c>
    </row>
    <row r="8535" customHeight="1" spans="2:2">
      <c r="B8535" s="62" t="str">
        <f>IF(AND('领用录入（明细）'!D:D=$F$4,'领用录入（明细）'!C:C&gt;=$J$4,'领用录入（明细）'!C:C&lt;=$L$4),ROW(),"-")</f>
        <v>-</v>
      </c>
    </row>
    <row r="8536" customHeight="1" spans="2:2">
      <c r="B8536" s="62" t="str">
        <f>IF(AND('领用录入（明细）'!D:D=$F$4,'领用录入（明细）'!C:C&gt;=$J$4,'领用录入（明细）'!C:C&lt;=$L$4),ROW(),"-")</f>
        <v>-</v>
      </c>
    </row>
    <row r="8537" customHeight="1" spans="2:2">
      <c r="B8537" s="62" t="str">
        <f>IF(AND('领用录入（明细）'!D:D=$F$4,'领用录入（明细）'!C:C&gt;=$J$4,'领用录入（明细）'!C:C&lt;=$L$4),ROW(),"-")</f>
        <v>-</v>
      </c>
    </row>
    <row r="8538" customHeight="1" spans="2:2">
      <c r="B8538" s="62" t="str">
        <f>IF(AND('领用录入（明细）'!D:D=$F$4,'领用录入（明细）'!C:C&gt;=$J$4,'领用录入（明细）'!C:C&lt;=$L$4),ROW(),"-")</f>
        <v>-</v>
      </c>
    </row>
    <row r="8539" customHeight="1" spans="2:2">
      <c r="B8539" s="62" t="str">
        <f>IF(AND('领用录入（明细）'!D:D=$F$4,'领用录入（明细）'!C:C&gt;=$J$4,'领用录入（明细）'!C:C&lt;=$L$4),ROW(),"-")</f>
        <v>-</v>
      </c>
    </row>
    <row r="8540" customHeight="1" spans="2:2">
      <c r="B8540" s="62" t="str">
        <f>IF(AND('领用录入（明细）'!D:D=$F$4,'领用录入（明细）'!C:C&gt;=$J$4,'领用录入（明细）'!C:C&lt;=$L$4),ROW(),"-")</f>
        <v>-</v>
      </c>
    </row>
    <row r="8541" customHeight="1" spans="2:2">
      <c r="B8541" s="62" t="str">
        <f>IF(AND('领用录入（明细）'!D:D=$F$4,'领用录入（明细）'!C:C&gt;=$J$4,'领用录入（明细）'!C:C&lt;=$L$4),ROW(),"-")</f>
        <v>-</v>
      </c>
    </row>
    <row r="8542" customHeight="1" spans="2:2">
      <c r="B8542" s="62" t="str">
        <f>IF(AND('领用录入（明细）'!D:D=$F$4,'领用录入（明细）'!C:C&gt;=$J$4,'领用录入（明细）'!C:C&lt;=$L$4),ROW(),"-")</f>
        <v>-</v>
      </c>
    </row>
    <row r="8543" customHeight="1" spans="2:2">
      <c r="B8543" s="62" t="str">
        <f>IF(AND('领用录入（明细）'!D:D=$F$4,'领用录入（明细）'!C:C&gt;=$J$4,'领用录入（明细）'!C:C&lt;=$L$4),ROW(),"-")</f>
        <v>-</v>
      </c>
    </row>
    <row r="8544" customHeight="1" spans="2:2">
      <c r="B8544" s="62" t="str">
        <f>IF(AND('领用录入（明细）'!D:D=$F$4,'领用录入（明细）'!C:C&gt;=$J$4,'领用录入（明细）'!C:C&lt;=$L$4),ROW(),"-")</f>
        <v>-</v>
      </c>
    </row>
    <row r="8545" customHeight="1" spans="2:2">
      <c r="B8545" s="62" t="str">
        <f>IF(AND('领用录入（明细）'!D:D=$F$4,'领用录入（明细）'!C:C&gt;=$J$4,'领用录入（明细）'!C:C&lt;=$L$4),ROW(),"-")</f>
        <v>-</v>
      </c>
    </row>
    <row r="8546" customHeight="1" spans="2:2">
      <c r="B8546" s="62" t="str">
        <f>IF(AND('领用录入（明细）'!D:D=$F$4,'领用录入（明细）'!C:C&gt;=$J$4,'领用录入（明细）'!C:C&lt;=$L$4),ROW(),"-")</f>
        <v>-</v>
      </c>
    </row>
    <row r="8547" customHeight="1" spans="2:2">
      <c r="B8547" s="62" t="str">
        <f>IF(AND('领用录入（明细）'!D:D=$F$4,'领用录入（明细）'!C:C&gt;=$J$4,'领用录入（明细）'!C:C&lt;=$L$4),ROW(),"-")</f>
        <v>-</v>
      </c>
    </row>
    <row r="8548" customHeight="1" spans="2:2">
      <c r="B8548" s="62" t="str">
        <f>IF(AND('领用录入（明细）'!D:D=$F$4,'领用录入（明细）'!C:C&gt;=$J$4,'领用录入（明细）'!C:C&lt;=$L$4),ROW(),"-")</f>
        <v>-</v>
      </c>
    </row>
    <row r="8549" customHeight="1" spans="2:2">
      <c r="B8549" s="62" t="str">
        <f>IF(AND('领用录入（明细）'!D:D=$F$4,'领用录入（明细）'!C:C&gt;=$J$4,'领用录入（明细）'!C:C&lt;=$L$4),ROW(),"-")</f>
        <v>-</v>
      </c>
    </row>
    <row r="8550" customHeight="1" spans="2:2">
      <c r="B8550" s="62" t="str">
        <f>IF(AND('领用录入（明细）'!D:D=$F$4,'领用录入（明细）'!C:C&gt;=$J$4,'领用录入（明细）'!C:C&lt;=$L$4),ROW(),"-")</f>
        <v>-</v>
      </c>
    </row>
    <row r="8551" customHeight="1" spans="2:2">
      <c r="B8551" s="62" t="str">
        <f>IF(AND('领用录入（明细）'!D:D=$F$4,'领用录入（明细）'!C:C&gt;=$J$4,'领用录入（明细）'!C:C&lt;=$L$4),ROW(),"-")</f>
        <v>-</v>
      </c>
    </row>
    <row r="8552" customHeight="1" spans="2:2">
      <c r="B8552" s="62" t="str">
        <f>IF(AND('领用录入（明细）'!D:D=$F$4,'领用录入（明细）'!C:C&gt;=$J$4,'领用录入（明细）'!C:C&lt;=$L$4),ROW(),"-")</f>
        <v>-</v>
      </c>
    </row>
    <row r="8553" customHeight="1" spans="2:2">
      <c r="B8553" s="62" t="str">
        <f>IF(AND('领用录入（明细）'!D:D=$F$4,'领用录入（明细）'!C:C&gt;=$J$4,'领用录入（明细）'!C:C&lt;=$L$4),ROW(),"-")</f>
        <v>-</v>
      </c>
    </row>
    <row r="8554" customHeight="1" spans="2:2">
      <c r="B8554" s="62" t="str">
        <f>IF(AND('领用录入（明细）'!D:D=$F$4,'领用录入（明细）'!C:C&gt;=$J$4,'领用录入（明细）'!C:C&lt;=$L$4),ROW(),"-")</f>
        <v>-</v>
      </c>
    </row>
    <row r="8555" customHeight="1" spans="2:2">
      <c r="B8555" s="62" t="str">
        <f>IF(AND('领用录入（明细）'!D:D=$F$4,'领用录入（明细）'!C:C&gt;=$J$4,'领用录入（明细）'!C:C&lt;=$L$4),ROW(),"-")</f>
        <v>-</v>
      </c>
    </row>
    <row r="8556" customHeight="1" spans="2:2">
      <c r="B8556" s="62" t="str">
        <f>IF(AND('领用录入（明细）'!D:D=$F$4,'领用录入（明细）'!C:C&gt;=$J$4,'领用录入（明细）'!C:C&lt;=$L$4),ROW(),"-")</f>
        <v>-</v>
      </c>
    </row>
    <row r="8557" customHeight="1" spans="2:2">
      <c r="B8557" s="62" t="str">
        <f>IF(AND('领用录入（明细）'!D:D=$F$4,'领用录入（明细）'!C:C&gt;=$J$4,'领用录入（明细）'!C:C&lt;=$L$4),ROW(),"-")</f>
        <v>-</v>
      </c>
    </row>
    <row r="8558" customHeight="1" spans="2:2">
      <c r="B8558" s="62" t="str">
        <f>IF(AND('领用录入（明细）'!D:D=$F$4,'领用录入（明细）'!C:C&gt;=$J$4,'领用录入（明细）'!C:C&lt;=$L$4),ROW(),"-")</f>
        <v>-</v>
      </c>
    </row>
    <row r="8559" customHeight="1" spans="2:2">
      <c r="B8559" s="62" t="str">
        <f>IF(AND('领用录入（明细）'!D:D=$F$4,'领用录入（明细）'!C:C&gt;=$J$4,'领用录入（明细）'!C:C&lt;=$L$4),ROW(),"-")</f>
        <v>-</v>
      </c>
    </row>
    <row r="8560" customHeight="1" spans="2:2">
      <c r="B8560" s="62" t="str">
        <f>IF(AND('领用录入（明细）'!D:D=$F$4,'领用录入（明细）'!C:C&gt;=$J$4,'领用录入（明细）'!C:C&lt;=$L$4),ROW(),"-")</f>
        <v>-</v>
      </c>
    </row>
    <row r="8561" customHeight="1" spans="2:2">
      <c r="B8561" s="62" t="str">
        <f>IF(AND('领用录入（明细）'!D:D=$F$4,'领用录入（明细）'!C:C&gt;=$J$4,'领用录入（明细）'!C:C&lt;=$L$4),ROW(),"-")</f>
        <v>-</v>
      </c>
    </row>
    <row r="8562" customHeight="1" spans="2:2">
      <c r="B8562" s="62" t="str">
        <f>IF(AND('领用录入（明细）'!D:D=$F$4,'领用录入（明细）'!C:C&gt;=$J$4,'领用录入（明细）'!C:C&lt;=$L$4),ROW(),"-")</f>
        <v>-</v>
      </c>
    </row>
    <row r="8563" customHeight="1" spans="2:2">
      <c r="B8563" s="62" t="str">
        <f>IF(AND('领用录入（明细）'!D:D=$F$4,'领用录入（明细）'!C:C&gt;=$J$4,'领用录入（明细）'!C:C&lt;=$L$4),ROW(),"-")</f>
        <v>-</v>
      </c>
    </row>
    <row r="8564" customHeight="1" spans="2:2">
      <c r="B8564" s="62" t="str">
        <f>IF(AND('领用录入（明细）'!D:D=$F$4,'领用录入（明细）'!C:C&gt;=$J$4,'领用录入（明细）'!C:C&lt;=$L$4),ROW(),"-")</f>
        <v>-</v>
      </c>
    </row>
    <row r="8565" customHeight="1" spans="2:2">
      <c r="B8565" s="62" t="str">
        <f>IF(AND('领用录入（明细）'!D:D=$F$4,'领用录入（明细）'!C:C&gt;=$J$4,'领用录入（明细）'!C:C&lt;=$L$4),ROW(),"-")</f>
        <v>-</v>
      </c>
    </row>
    <row r="8566" customHeight="1" spans="2:2">
      <c r="B8566" s="62" t="str">
        <f>IF(AND('领用录入（明细）'!D:D=$F$4,'领用录入（明细）'!C:C&gt;=$J$4,'领用录入（明细）'!C:C&lt;=$L$4),ROW(),"-")</f>
        <v>-</v>
      </c>
    </row>
    <row r="8567" customHeight="1" spans="2:2">
      <c r="B8567" s="62" t="str">
        <f>IF(AND('领用录入（明细）'!D:D=$F$4,'领用录入（明细）'!C:C&gt;=$J$4,'领用录入（明细）'!C:C&lt;=$L$4),ROW(),"-")</f>
        <v>-</v>
      </c>
    </row>
    <row r="8568" customHeight="1" spans="2:2">
      <c r="B8568" s="62" t="str">
        <f>IF(AND('领用录入（明细）'!D:D=$F$4,'领用录入（明细）'!C:C&gt;=$J$4,'领用录入（明细）'!C:C&lt;=$L$4),ROW(),"-")</f>
        <v>-</v>
      </c>
    </row>
    <row r="8569" customHeight="1" spans="2:2">
      <c r="B8569" s="62" t="str">
        <f>IF(AND('领用录入（明细）'!D:D=$F$4,'领用录入（明细）'!C:C&gt;=$J$4,'领用录入（明细）'!C:C&lt;=$L$4),ROW(),"-")</f>
        <v>-</v>
      </c>
    </row>
    <row r="8570" customHeight="1" spans="2:2">
      <c r="B8570" s="62" t="str">
        <f>IF(AND('领用录入（明细）'!D:D=$F$4,'领用录入（明细）'!C:C&gt;=$J$4,'领用录入（明细）'!C:C&lt;=$L$4),ROW(),"-")</f>
        <v>-</v>
      </c>
    </row>
    <row r="8571" customHeight="1" spans="2:2">
      <c r="B8571" s="62" t="str">
        <f>IF(AND('领用录入（明细）'!D:D=$F$4,'领用录入（明细）'!C:C&gt;=$J$4,'领用录入（明细）'!C:C&lt;=$L$4),ROW(),"-")</f>
        <v>-</v>
      </c>
    </row>
    <row r="8572" customHeight="1" spans="2:2">
      <c r="B8572" s="62" t="str">
        <f>IF(AND('领用录入（明细）'!D:D=$F$4,'领用录入（明细）'!C:C&gt;=$J$4,'领用录入（明细）'!C:C&lt;=$L$4),ROW(),"-")</f>
        <v>-</v>
      </c>
    </row>
    <row r="8573" customHeight="1" spans="2:2">
      <c r="B8573" s="62" t="str">
        <f>IF(AND('领用录入（明细）'!D:D=$F$4,'领用录入（明细）'!C:C&gt;=$J$4,'领用录入（明细）'!C:C&lt;=$L$4),ROW(),"-")</f>
        <v>-</v>
      </c>
    </row>
    <row r="8574" customHeight="1" spans="2:2">
      <c r="B8574" s="62" t="str">
        <f>IF(AND('领用录入（明细）'!D:D=$F$4,'领用录入（明细）'!C:C&gt;=$J$4,'领用录入（明细）'!C:C&lt;=$L$4),ROW(),"-")</f>
        <v>-</v>
      </c>
    </row>
    <row r="8575" customHeight="1" spans="2:2">
      <c r="B8575" s="62" t="str">
        <f>IF(AND('领用录入（明细）'!D:D=$F$4,'领用录入（明细）'!C:C&gt;=$J$4,'领用录入（明细）'!C:C&lt;=$L$4),ROW(),"-")</f>
        <v>-</v>
      </c>
    </row>
    <row r="8576" customHeight="1" spans="2:2">
      <c r="B8576" s="62" t="str">
        <f>IF(AND('领用录入（明细）'!D:D=$F$4,'领用录入（明细）'!C:C&gt;=$J$4,'领用录入（明细）'!C:C&lt;=$L$4),ROW(),"-")</f>
        <v>-</v>
      </c>
    </row>
    <row r="8577" customHeight="1" spans="2:2">
      <c r="B8577" s="62" t="str">
        <f>IF(AND('领用录入（明细）'!D:D=$F$4,'领用录入（明细）'!C:C&gt;=$J$4,'领用录入（明细）'!C:C&lt;=$L$4),ROW(),"-")</f>
        <v>-</v>
      </c>
    </row>
    <row r="8578" customHeight="1" spans="2:2">
      <c r="B8578" s="62" t="str">
        <f>IF(AND('领用录入（明细）'!D:D=$F$4,'领用录入（明细）'!C:C&gt;=$J$4,'领用录入（明细）'!C:C&lt;=$L$4),ROW(),"-")</f>
        <v>-</v>
      </c>
    </row>
    <row r="8579" customHeight="1" spans="2:2">
      <c r="B8579" s="62" t="str">
        <f>IF(AND('领用录入（明细）'!D:D=$F$4,'领用录入（明细）'!C:C&gt;=$J$4,'领用录入（明细）'!C:C&lt;=$L$4),ROW(),"-")</f>
        <v>-</v>
      </c>
    </row>
    <row r="8580" customHeight="1" spans="2:2">
      <c r="B8580" s="62" t="str">
        <f>IF(AND('领用录入（明细）'!D:D=$F$4,'领用录入（明细）'!C:C&gt;=$J$4,'领用录入（明细）'!C:C&lt;=$L$4),ROW(),"-")</f>
        <v>-</v>
      </c>
    </row>
    <row r="8581" customHeight="1" spans="2:2">
      <c r="B8581" s="62" t="str">
        <f>IF(AND('领用录入（明细）'!D:D=$F$4,'领用录入（明细）'!C:C&gt;=$J$4,'领用录入（明细）'!C:C&lt;=$L$4),ROW(),"-")</f>
        <v>-</v>
      </c>
    </row>
    <row r="8582" customHeight="1" spans="2:2">
      <c r="B8582" s="62" t="str">
        <f>IF(AND('领用录入（明细）'!D:D=$F$4,'领用录入（明细）'!C:C&gt;=$J$4,'领用录入（明细）'!C:C&lt;=$L$4),ROW(),"-")</f>
        <v>-</v>
      </c>
    </row>
    <row r="8583" customHeight="1" spans="2:2">
      <c r="B8583" s="62" t="str">
        <f>IF(AND('领用录入（明细）'!D:D=$F$4,'领用录入（明细）'!C:C&gt;=$J$4,'领用录入（明细）'!C:C&lt;=$L$4),ROW(),"-")</f>
        <v>-</v>
      </c>
    </row>
    <row r="8584" customHeight="1" spans="2:2">
      <c r="B8584" s="62" t="str">
        <f>IF(AND('领用录入（明细）'!D:D=$F$4,'领用录入（明细）'!C:C&gt;=$J$4,'领用录入（明细）'!C:C&lt;=$L$4),ROW(),"-")</f>
        <v>-</v>
      </c>
    </row>
    <row r="8585" customHeight="1" spans="2:2">
      <c r="B8585" s="62" t="str">
        <f>IF(AND('领用录入（明细）'!D:D=$F$4,'领用录入（明细）'!C:C&gt;=$J$4,'领用录入（明细）'!C:C&lt;=$L$4),ROW(),"-")</f>
        <v>-</v>
      </c>
    </row>
    <row r="8586" customHeight="1" spans="2:2">
      <c r="B8586" s="62" t="str">
        <f>IF(AND('领用录入（明细）'!D:D=$F$4,'领用录入（明细）'!C:C&gt;=$J$4,'领用录入（明细）'!C:C&lt;=$L$4),ROW(),"-")</f>
        <v>-</v>
      </c>
    </row>
    <row r="8587" customHeight="1" spans="2:2">
      <c r="B8587" s="62" t="str">
        <f>IF(AND('领用录入（明细）'!D:D=$F$4,'领用录入（明细）'!C:C&gt;=$J$4,'领用录入（明细）'!C:C&lt;=$L$4),ROW(),"-")</f>
        <v>-</v>
      </c>
    </row>
    <row r="8588" customHeight="1" spans="2:2">
      <c r="B8588" s="62" t="str">
        <f>IF(AND('领用录入（明细）'!D:D=$F$4,'领用录入（明细）'!C:C&gt;=$J$4,'领用录入（明细）'!C:C&lt;=$L$4),ROW(),"-")</f>
        <v>-</v>
      </c>
    </row>
    <row r="8589" customHeight="1" spans="2:2">
      <c r="B8589" s="62" t="str">
        <f>IF(AND('领用录入（明细）'!D:D=$F$4,'领用录入（明细）'!C:C&gt;=$J$4,'领用录入（明细）'!C:C&lt;=$L$4),ROW(),"-")</f>
        <v>-</v>
      </c>
    </row>
    <row r="8590" customHeight="1" spans="2:2">
      <c r="B8590" s="62" t="str">
        <f>IF(AND('领用录入（明细）'!D:D=$F$4,'领用录入（明细）'!C:C&gt;=$J$4,'领用录入（明细）'!C:C&lt;=$L$4),ROW(),"-")</f>
        <v>-</v>
      </c>
    </row>
    <row r="8591" customHeight="1" spans="2:2">
      <c r="B8591" s="62" t="str">
        <f>IF(AND('领用录入（明细）'!D:D=$F$4,'领用录入（明细）'!C:C&gt;=$J$4,'领用录入（明细）'!C:C&lt;=$L$4),ROW(),"-")</f>
        <v>-</v>
      </c>
    </row>
    <row r="8592" customHeight="1" spans="2:2">
      <c r="B8592" s="62" t="str">
        <f>IF(AND('领用录入（明细）'!D:D=$F$4,'领用录入（明细）'!C:C&gt;=$J$4,'领用录入（明细）'!C:C&lt;=$L$4),ROW(),"-")</f>
        <v>-</v>
      </c>
    </row>
    <row r="8593" customHeight="1" spans="2:2">
      <c r="B8593" s="62" t="str">
        <f>IF(AND('领用录入（明细）'!D:D=$F$4,'领用录入（明细）'!C:C&gt;=$J$4,'领用录入（明细）'!C:C&lt;=$L$4),ROW(),"-")</f>
        <v>-</v>
      </c>
    </row>
    <row r="8594" customHeight="1" spans="2:2">
      <c r="B8594" s="62" t="str">
        <f>IF(AND('领用录入（明细）'!D:D=$F$4,'领用录入（明细）'!C:C&gt;=$J$4,'领用录入（明细）'!C:C&lt;=$L$4),ROW(),"-")</f>
        <v>-</v>
      </c>
    </row>
    <row r="8595" customHeight="1" spans="2:2">
      <c r="B8595" s="62" t="str">
        <f>IF(AND('领用录入（明细）'!D:D=$F$4,'领用录入（明细）'!C:C&gt;=$J$4,'领用录入（明细）'!C:C&lt;=$L$4),ROW(),"-")</f>
        <v>-</v>
      </c>
    </row>
    <row r="8596" customHeight="1" spans="2:2">
      <c r="B8596" s="62" t="str">
        <f>IF(AND('领用录入（明细）'!D:D=$F$4,'领用录入（明细）'!C:C&gt;=$J$4,'领用录入（明细）'!C:C&lt;=$L$4),ROW(),"-")</f>
        <v>-</v>
      </c>
    </row>
    <row r="8597" customHeight="1" spans="2:2">
      <c r="B8597" s="62" t="str">
        <f>IF(AND('领用录入（明细）'!D:D=$F$4,'领用录入（明细）'!C:C&gt;=$J$4,'领用录入（明细）'!C:C&lt;=$L$4),ROW(),"-")</f>
        <v>-</v>
      </c>
    </row>
    <row r="8598" customHeight="1" spans="2:2">
      <c r="B8598" s="62" t="str">
        <f>IF(AND('领用录入（明细）'!D:D=$F$4,'领用录入（明细）'!C:C&gt;=$J$4,'领用录入（明细）'!C:C&lt;=$L$4),ROW(),"-")</f>
        <v>-</v>
      </c>
    </row>
    <row r="8599" customHeight="1" spans="2:2">
      <c r="B8599" s="62" t="str">
        <f>IF(AND('领用录入（明细）'!D:D=$F$4,'领用录入（明细）'!C:C&gt;=$J$4,'领用录入（明细）'!C:C&lt;=$L$4),ROW(),"-")</f>
        <v>-</v>
      </c>
    </row>
    <row r="8600" customHeight="1" spans="2:2">
      <c r="B8600" s="62" t="str">
        <f>IF(AND('领用录入（明细）'!D:D=$F$4,'领用录入（明细）'!C:C&gt;=$J$4,'领用录入（明细）'!C:C&lt;=$L$4),ROW(),"-")</f>
        <v>-</v>
      </c>
    </row>
    <row r="8601" customHeight="1" spans="2:2">
      <c r="B8601" s="62" t="str">
        <f>IF(AND('领用录入（明细）'!D:D=$F$4,'领用录入（明细）'!C:C&gt;=$J$4,'领用录入（明细）'!C:C&lt;=$L$4),ROW(),"-")</f>
        <v>-</v>
      </c>
    </row>
    <row r="8602" customHeight="1" spans="2:2">
      <c r="B8602" s="62" t="str">
        <f>IF(AND('领用录入（明细）'!D:D=$F$4,'领用录入（明细）'!C:C&gt;=$J$4,'领用录入（明细）'!C:C&lt;=$L$4),ROW(),"-")</f>
        <v>-</v>
      </c>
    </row>
    <row r="8603" customHeight="1" spans="2:2">
      <c r="B8603" s="62" t="str">
        <f>IF(AND('领用录入（明细）'!D:D=$F$4,'领用录入（明细）'!C:C&gt;=$J$4,'领用录入（明细）'!C:C&lt;=$L$4),ROW(),"-")</f>
        <v>-</v>
      </c>
    </row>
    <row r="8604" customHeight="1" spans="2:2">
      <c r="B8604" s="62" t="str">
        <f>IF(AND('领用录入（明细）'!D:D=$F$4,'领用录入（明细）'!C:C&gt;=$J$4,'领用录入（明细）'!C:C&lt;=$L$4),ROW(),"-")</f>
        <v>-</v>
      </c>
    </row>
    <row r="8605" customHeight="1" spans="2:2">
      <c r="B8605" s="62" t="str">
        <f>IF(AND('领用录入（明细）'!D:D=$F$4,'领用录入（明细）'!C:C&gt;=$J$4,'领用录入（明细）'!C:C&lt;=$L$4),ROW(),"-")</f>
        <v>-</v>
      </c>
    </row>
    <row r="8606" customHeight="1" spans="2:2">
      <c r="B8606" s="62" t="str">
        <f>IF(AND('领用录入（明细）'!D:D=$F$4,'领用录入（明细）'!C:C&gt;=$J$4,'领用录入（明细）'!C:C&lt;=$L$4),ROW(),"-")</f>
        <v>-</v>
      </c>
    </row>
    <row r="8607" customHeight="1" spans="2:2">
      <c r="B8607" s="62" t="str">
        <f>IF(AND('领用录入（明细）'!D:D=$F$4,'领用录入（明细）'!C:C&gt;=$J$4,'领用录入（明细）'!C:C&lt;=$L$4),ROW(),"-")</f>
        <v>-</v>
      </c>
    </row>
    <row r="8608" customHeight="1" spans="2:2">
      <c r="B8608" s="62" t="str">
        <f>IF(AND('领用录入（明细）'!D:D=$F$4,'领用录入（明细）'!C:C&gt;=$J$4,'领用录入（明细）'!C:C&lt;=$L$4),ROW(),"-")</f>
        <v>-</v>
      </c>
    </row>
    <row r="8609" customHeight="1" spans="2:2">
      <c r="B8609" s="62" t="str">
        <f>IF(AND('领用录入（明细）'!D:D=$F$4,'领用录入（明细）'!C:C&gt;=$J$4,'领用录入（明细）'!C:C&lt;=$L$4),ROW(),"-")</f>
        <v>-</v>
      </c>
    </row>
    <row r="8610" customHeight="1" spans="2:2">
      <c r="B8610" s="62" t="str">
        <f>IF(AND('领用录入（明细）'!D:D=$F$4,'领用录入（明细）'!C:C&gt;=$J$4,'领用录入（明细）'!C:C&lt;=$L$4),ROW(),"-")</f>
        <v>-</v>
      </c>
    </row>
    <row r="8611" customHeight="1" spans="2:2">
      <c r="B8611" s="62" t="str">
        <f>IF(AND('领用录入（明细）'!D:D=$F$4,'领用录入（明细）'!C:C&gt;=$J$4,'领用录入（明细）'!C:C&lt;=$L$4),ROW(),"-")</f>
        <v>-</v>
      </c>
    </row>
    <row r="8612" customHeight="1" spans="2:2">
      <c r="B8612" s="62" t="str">
        <f>IF(AND('领用录入（明细）'!D:D=$F$4,'领用录入（明细）'!C:C&gt;=$J$4,'领用录入（明细）'!C:C&lt;=$L$4),ROW(),"-")</f>
        <v>-</v>
      </c>
    </row>
    <row r="8613" customHeight="1" spans="2:2">
      <c r="B8613" s="62" t="str">
        <f>IF(AND('领用录入（明细）'!D:D=$F$4,'领用录入（明细）'!C:C&gt;=$J$4,'领用录入（明细）'!C:C&lt;=$L$4),ROW(),"-")</f>
        <v>-</v>
      </c>
    </row>
    <row r="8614" customHeight="1" spans="2:2">
      <c r="B8614" s="62" t="str">
        <f>IF(AND('领用录入（明细）'!D:D=$F$4,'领用录入（明细）'!C:C&gt;=$J$4,'领用录入（明细）'!C:C&lt;=$L$4),ROW(),"-")</f>
        <v>-</v>
      </c>
    </row>
    <row r="8615" customHeight="1" spans="2:2">
      <c r="B8615" s="62" t="str">
        <f>IF(AND('领用录入（明细）'!D:D=$F$4,'领用录入（明细）'!C:C&gt;=$J$4,'领用录入（明细）'!C:C&lt;=$L$4),ROW(),"-")</f>
        <v>-</v>
      </c>
    </row>
    <row r="8616" customHeight="1" spans="2:2">
      <c r="B8616" s="62" t="str">
        <f>IF(AND('领用录入（明细）'!D:D=$F$4,'领用录入（明细）'!C:C&gt;=$J$4,'领用录入（明细）'!C:C&lt;=$L$4),ROW(),"-")</f>
        <v>-</v>
      </c>
    </row>
    <row r="8617" customHeight="1" spans="2:2">
      <c r="B8617" s="62" t="str">
        <f>IF(AND('领用录入（明细）'!D:D=$F$4,'领用录入（明细）'!C:C&gt;=$J$4,'领用录入（明细）'!C:C&lt;=$L$4),ROW(),"-")</f>
        <v>-</v>
      </c>
    </row>
    <row r="8618" customHeight="1" spans="2:2">
      <c r="B8618" s="62" t="str">
        <f>IF(AND('领用录入（明细）'!D:D=$F$4,'领用录入（明细）'!C:C&gt;=$J$4,'领用录入（明细）'!C:C&lt;=$L$4),ROW(),"-")</f>
        <v>-</v>
      </c>
    </row>
    <row r="8619" customHeight="1" spans="2:2">
      <c r="B8619" s="62" t="str">
        <f>IF(AND('领用录入（明细）'!D:D=$F$4,'领用录入（明细）'!C:C&gt;=$J$4,'领用录入（明细）'!C:C&lt;=$L$4),ROW(),"-")</f>
        <v>-</v>
      </c>
    </row>
    <row r="8620" customHeight="1" spans="2:2">
      <c r="B8620" s="62" t="str">
        <f>IF(AND('领用录入（明细）'!D:D=$F$4,'领用录入（明细）'!C:C&gt;=$J$4,'领用录入（明细）'!C:C&lt;=$L$4),ROW(),"-")</f>
        <v>-</v>
      </c>
    </row>
    <row r="8621" customHeight="1" spans="2:2">
      <c r="B8621" s="62" t="str">
        <f>IF(AND('领用录入（明细）'!D:D=$F$4,'领用录入（明细）'!C:C&gt;=$J$4,'领用录入（明细）'!C:C&lt;=$L$4),ROW(),"-")</f>
        <v>-</v>
      </c>
    </row>
    <row r="8622" customHeight="1" spans="2:2">
      <c r="B8622" s="62" t="str">
        <f>IF(AND('领用录入（明细）'!D:D=$F$4,'领用录入（明细）'!C:C&gt;=$J$4,'领用录入（明细）'!C:C&lt;=$L$4),ROW(),"-")</f>
        <v>-</v>
      </c>
    </row>
    <row r="8623" customHeight="1" spans="2:2">
      <c r="B8623" s="62" t="str">
        <f>IF(AND('领用录入（明细）'!D:D=$F$4,'领用录入（明细）'!C:C&gt;=$J$4,'领用录入（明细）'!C:C&lt;=$L$4),ROW(),"-")</f>
        <v>-</v>
      </c>
    </row>
    <row r="8624" customHeight="1" spans="2:2">
      <c r="B8624" s="62" t="str">
        <f>IF(AND('领用录入（明细）'!D:D=$F$4,'领用录入（明细）'!C:C&gt;=$J$4,'领用录入（明细）'!C:C&lt;=$L$4),ROW(),"-")</f>
        <v>-</v>
      </c>
    </row>
    <row r="8625" customHeight="1" spans="2:2">
      <c r="B8625" s="62" t="str">
        <f>IF(AND('领用录入（明细）'!D:D=$F$4,'领用录入（明细）'!C:C&gt;=$J$4,'领用录入（明细）'!C:C&lt;=$L$4),ROW(),"-")</f>
        <v>-</v>
      </c>
    </row>
    <row r="8626" customHeight="1" spans="2:2">
      <c r="B8626" s="62" t="str">
        <f>IF(AND('领用录入（明细）'!D:D=$F$4,'领用录入（明细）'!C:C&gt;=$J$4,'领用录入（明细）'!C:C&lt;=$L$4),ROW(),"-")</f>
        <v>-</v>
      </c>
    </row>
    <row r="8627" customHeight="1" spans="2:2">
      <c r="B8627" s="62" t="str">
        <f>IF(AND('领用录入（明细）'!D:D=$F$4,'领用录入（明细）'!C:C&gt;=$J$4,'领用录入（明细）'!C:C&lt;=$L$4),ROW(),"-")</f>
        <v>-</v>
      </c>
    </row>
    <row r="8628" customHeight="1" spans="2:2">
      <c r="B8628" s="62" t="str">
        <f>IF(AND('领用录入（明细）'!D:D=$F$4,'领用录入（明细）'!C:C&gt;=$J$4,'领用录入（明细）'!C:C&lt;=$L$4),ROW(),"-")</f>
        <v>-</v>
      </c>
    </row>
    <row r="8629" customHeight="1" spans="2:2">
      <c r="B8629" s="62" t="str">
        <f>IF(AND('领用录入（明细）'!D:D=$F$4,'领用录入（明细）'!C:C&gt;=$J$4,'领用录入（明细）'!C:C&lt;=$L$4),ROW(),"-")</f>
        <v>-</v>
      </c>
    </row>
    <row r="8630" customHeight="1" spans="2:2">
      <c r="B8630" s="62" t="str">
        <f>IF(AND('领用录入（明细）'!D:D=$F$4,'领用录入（明细）'!C:C&gt;=$J$4,'领用录入（明细）'!C:C&lt;=$L$4),ROW(),"-")</f>
        <v>-</v>
      </c>
    </row>
    <row r="8631" customHeight="1" spans="2:2">
      <c r="B8631" s="62" t="str">
        <f>IF(AND('领用录入（明细）'!D:D=$F$4,'领用录入（明细）'!C:C&gt;=$J$4,'领用录入（明细）'!C:C&lt;=$L$4),ROW(),"-")</f>
        <v>-</v>
      </c>
    </row>
    <row r="8632" customHeight="1" spans="2:2">
      <c r="B8632" s="62" t="str">
        <f>IF(AND('领用录入（明细）'!D:D=$F$4,'领用录入（明细）'!C:C&gt;=$J$4,'领用录入（明细）'!C:C&lt;=$L$4),ROW(),"-")</f>
        <v>-</v>
      </c>
    </row>
    <row r="8633" customHeight="1" spans="2:2">
      <c r="B8633" s="62" t="str">
        <f>IF(AND('领用录入（明细）'!D:D=$F$4,'领用录入（明细）'!C:C&gt;=$J$4,'领用录入（明细）'!C:C&lt;=$L$4),ROW(),"-")</f>
        <v>-</v>
      </c>
    </row>
    <row r="8634" customHeight="1" spans="2:2">
      <c r="B8634" s="62" t="str">
        <f>IF(AND('领用录入（明细）'!D:D=$F$4,'领用录入（明细）'!C:C&gt;=$J$4,'领用录入（明细）'!C:C&lt;=$L$4),ROW(),"-")</f>
        <v>-</v>
      </c>
    </row>
    <row r="8635" customHeight="1" spans="2:2">
      <c r="B8635" s="62" t="str">
        <f>IF(AND('领用录入（明细）'!D:D=$F$4,'领用录入（明细）'!C:C&gt;=$J$4,'领用录入（明细）'!C:C&lt;=$L$4),ROW(),"-")</f>
        <v>-</v>
      </c>
    </row>
    <row r="8636" customHeight="1" spans="2:2">
      <c r="B8636" s="62" t="str">
        <f>IF(AND('领用录入（明细）'!D:D=$F$4,'领用录入（明细）'!C:C&gt;=$J$4,'领用录入（明细）'!C:C&lt;=$L$4),ROW(),"-")</f>
        <v>-</v>
      </c>
    </row>
    <row r="8637" customHeight="1" spans="2:2">
      <c r="B8637" s="62" t="str">
        <f>IF(AND('领用录入（明细）'!D:D=$F$4,'领用录入（明细）'!C:C&gt;=$J$4,'领用录入（明细）'!C:C&lt;=$L$4),ROW(),"-")</f>
        <v>-</v>
      </c>
    </row>
    <row r="8638" customHeight="1" spans="2:2">
      <c r="B8638" s="62" t="str">
        <f>IF(AND('领用录入（明细）'!D:D=$F$4,'领用录入（明细）'!C:C&gt;=$J$4,'领用录入（明细）'!C:C&lt;=$L$4),ROW(),"-")</f>
        <v>-</v>
      </c>
    </row>
    <row r="8639" customHeight="1" spans="2:2">
      <c r="B8639" s="62" t="str">
        <f>IF(AND('领用录入（明细）'!D:D=$F$4,'领用录入（明细）'!C:C&gt;=$J$4,'领用录入（明细）'!C:C&lt;=$L$4),ROW(),"-")</f>
        <v>-</v>
      </c>
    </row>
    <row r="8640" customHeight="1" spans="2:2">
      <c r="B8640" s="62" t="str">
        <f>IF(AND('领用录入（明细）'!D:D=$F$4,'领用录入（明细）'!C:C&gt;=$J$4,'领用录入（明细）'!C:C&lt;=$L$4),ROW(),"-")</f>
        <v>-</v>
      </c>
    </row>
    <row r="8641" customHeight="1" spans="2:2">
      <c r="B8641" s="62" t="str">
        <f>IF(AND('领用录入（明细）'!D:D=$F$4,'领用录入（明细）'!C:C&gt;=$J$4,'领用录入（明细）'!C:C&lt;=$L$4),ROW(),"-")</f>
        <v>-</v>
      </c>
    </row>
    <row r="8642" customHeight="1" spans="2:2">
      <c r="B8642" s="62" t="str">
        <f>IF(AND('领用录入（明细）'!D:D=$F$4,'领用录入（明细）'!C:C&gt;=$J$4,'领用录入（明细）'!C:C&lt;=$L$4),ROW(),"-")</f>
        <v>-</v>
      </c>
    </row>
    <row r="8643" customHeight="1" spans="2:2">
      <c r="B8643" s="62" t="str">
        <f>IF(AND('领用录入（明细）'!D:D=$F$4,'领用录入（明细）'!C:C&gt;=$J$4,'领用录入（明细）'!C:C&lt;=$L$4),ROW(),"-")</f>
        <v>-</v>
      </c>
    </row>
    <row r="8644" customHeight="1" spans="2:2">
      <c r="B8644" s="62" t="str">
        <f>IF(AND('领用录入（明细）'!D:D=$F$4,'领用录入（明细）'!C:C&gt;=$J$4,'领用录入（明细）'!C:C&lt;=$L$4),ROW(),"-")</f>
        <v>-</v>
      </c>
    </row>
    <row r="8645" customHeight="1" spans="2:2">
      <c r="B8645" s="62" t="str">
        <f>IF(AND('领用录入（明细）'!D:D=$F$4,'领用录入（明细）'!C:C&gt;=$J$4,'领用录入（明细）'!C:C&lt;=$L$4),ROW(),"-")</f>
        <v>-</v>
      </c>
    </row>
    <row r="8646" customHeight="1" spans="2:2">
      <c r="B8646" s="62" t="str">
        <f>IF(AND('领用录入（明细）'!D:D=$F$4,'领用录入（明细）'!C:C&gt;=$J$4,'领用录入（明细）'!C:C&lt;=$L$4),ROW(),"-")</f>
        <v>-</v>
      </c>
    </row>
    <row r="8647" customHeight="1" spans="2:2">
      <c r="B8647" s="62" t="str">
        <f>IF(AND('领用录入（明细）'!D:D=$F$4,'领用录入（明细）'!C:C&gt;=$J$4,'领用录入（明细）'!C:C&lt;=$L$4),ROW(),"-")</f>
        <v>-</v>
      </c>
    </row>
    <row r="8648" customHeight="1" spans="2:2">
      <c r="B8648" s="62" t="str">
        <f>IF(AND('领用录入（明细）'!D:D=$F$4,'领用录入（明细）'!C:C&gt;=$J$4,'领用录入（明细）'!C:C&lt;=$L$4),ROW(),"-")</f>
        <v>-</v>
      </c>
    </row>
    <row r="8649" customHeight="1" spans="2:2">
      <c r="B8649" s="62" t="str">
        <f>IF(AND('领用录入（明细）'!D:D=$F$4,'领用录入（明细）'!C:C&gt;=$J$4,'领用录入（明细）'!C:C&lt;=$L$4),ROW(),"-")</f>
        <v>-</v>
      </c>
    </row>
    <row r="8650" customHeight="1" spans="2:2">
      <c r="B8650" s="62" t="str">
        <f>IF(AND('领用录入（明细）'!D:D=$F$4,'领用录入（明细）'!C:C&gt;=$J$4,'领用录入（明细）'!C:C&lt;=$L$4),ROW(),"-")</f>
        <v>-</v>
      </c>
    </row>
    <row r="8651" customHeight="1" spans="2:2">
      <c r="B8651" s="62" t="str">
        <f>IF(AND('领用录入（明细）'!D:D=$F$4,'领用录入（明细）'!C:C&gt;=$J$4,'领用录入（明细）'!C:C&lt;=$L$4),ROW(),"-")</f>
        <v>-</v>
      </c>
    </row>
    <row r="8652" customHeight="1" spans="2:2">
      <c r="B8652" s="62" t="str">
        <f>IF(AND('领用录入（明细）'!D:D=$F$4,'领用录入（明细）'!C:C&gt;=$J$4,'领用录入（明细）'!C:C&lt;=$L$4),ROW(),"-")</f>
        <v>-</v>
      </c>
    </row>
    <row r="8653" customHeight="1" spans="2:2">
      <c r="B8653" s="62" t="str">
        <f>IF(AND('领用录入（明细）'!D:D=$F$4,'领用录入（明细）'!C:C&gt;=$J$4,'领用录入（明细）'!C:C&lt;=$L$4),ROW(),"-")</f>
        <v>-</v>
      </c>
    </row>
    <row r="8654" customHeight="1" spans="2:2">
      <c r="B8654" s="62" t="str">
        <f>IF(AND('领用录入（明细）'!D:D=$F$4,'领用录入（明细）'!C:C&gt;=$J$4,'领用录入（明细）'!C:C&lt;=$L$4),ROW(),"-")</f>
        <v>-</v>
      </c>
    </row>
    <row r="8655" customHeight="1" spans="2:2">
      <c r="B8655" s="62" t="str">
        <f>IF(AND('领用录入（明细）'!D:D=$F$4,'领用录入（明细）'!C:C&gt;=$J$4,'领用录入（明细）'!C:C&lt;=$L$4),ROW(),"-")</f>
        <v>-</v>
      </c>
    </row>
    <row r="8656" customHeight="1" spans="2:2">
      <c r="B8656" s="62" t="str">
        <f>IF(AND('领用录入（明细）'!D:D=$F$4,'领用录入（明细）'!C:C&gt;=$J$4,'领用录入（明细）'!C:C&lt;=$L$4),ROW(),"-")</f>
        <v>-</v>
      </c>
    </row>
    <row r="8657" customHeight="1" spans="2:2">
      <c r="B8657" s="62" t="str">
        <f>IF(AND('领用录入（明细）'!D:D=$F$4,'领用录入（明细）'!C:C&gt;=$J$4,'领用录入（明细）'!C:C&lt;=$L$4),ROW(),"-")</f>
        <v>-</v>
      </c>
    </row>
    <row r="8658" customHeight="1" spans="2:2">
      <c r="B8658" s="62" t="str">
        <f>IF(AND('领用录入（明细）'!D:D=$F$4,'领用录入（明细）'!C:C&gt;=$J$4,'领用录入（明细）'!C:C&lt;=$L$4),ROW(),"-")</f>
        <v>-</v>
      </c>
    </row>
    <row r="8659" customHeight="1" spans="2:2">
      <c r="B8659" s="62" t="str">
        <f>IF(AND('领用录入（明细）'!D:D=$F$4,'领用录入（明细）'!C:C&gt;=$J$4,'领用录入（明细）'!C:C&lt;=$L$4),ROW(),"-")</f>
        <v>-</v>
      </c>
    </row>
    <row r="8660" customHeight="1" spans="2:2">
      <c r="B8660" s="62" t="str">
        <f>IF(AND('领用录入（明细）'!D:D=$F$4,'领用录入（明细）'!C:C&gt;=$J$4,'领用录入（明细）'!C:C&lt;=$L$4),ROW(),"-")</f>
        <v>-</v>
      </c>
    </row>
    <row r="8661" customHeight="1" spans="2:2">
      <c r="B8661" s="62" t="str">
        <f>IF(AND('领用录入（明细）'!D:D=$F$4,'领用录入（明细）'!C:C&gt;=$J$4,'领用录入（明细）'!C:C&lt;=$L$4),ROW(),"-")</f>
        <v>-</v>
      </c>
    </row>
    <row r="8662" customHeight="1" spans="2:2">
      <c r="B8662" s="62" t="str">
        <f>IF(AND('领用录入（明细）'!D:D=$F$4,'领用录入（明细）'!C:C&gt;=$J$4,'领用录入（明细）'!C:C&lt;=$L$4),ROW(),"-")</f>
        <v>-</v>
      </c>
    </row>
    <row r="8663" customHeight="1" spans="2:2">
      <c r="B8663" s="62" t="str">
        <f>IF(AND('领用录入（明细）'!D:D=$F$4,'领用录入（明细）'!C:C&gt;=$J$4,'领用录入（明细）'!C:C&lt;=$L$4),ROW(),"-")</f>
        <v>-</v>
      </c>
    </row>
    <row r="8664" customHeight="1" spans="2:2">
      <c r="B8664" s="62" t="str">
        <f>IF(AND('领用录入（明细）'!D:D=$F$4,'领用录入（明细）'!C:C&gt;=$J$4,'领用录入（明细）'!C:C&lt;=$L$4),ROW(),"-")</f>
        <v>-</v>
      </c>
    </row>
    <row r="8665" customHeight="1" spans="2:2">
      <c r="B8665" s="62" t="str">
        <f>IF(AND('领用录入（明细）'!D:D=$F$4,'领用录入（明细）'!C:C&gt;=$J$4,'领用录入（明细）'!C:C&lt;=$L$4),ROW(),"-")</f>
        <v>-</v>
      </c>
    </row>
    <row r="8666" customHeight="1" spans="2:2">
      <c r="B8666" s="62" t="str">
        <f>IF(AND('领用录入（明细）'!D:D=$F$4,'领用录入（明细）'!C:C&gt;=$J$4,'领用录入（明细）'!C:C&lt;=$L$4),ROW(),"-")</f>
        <v>-</v>
      </c>
    </row>
    <row r="8667" customHeight="1" spans="2:2">
      <c r="B8667" s="62" t="str">
        <f>IF(AND('领用录入（明细）'!D:D=$F$4,'领用录入（明细）'!C:C&gt;=$J$4,'领用录入（明细）'!C:C&lt;=$L$4),ROW(),"-")</f>
        <v>-</v>
      </c>
    </row>
    <row r="8668" customHeight="1" spans="2:2">
      <c r="B8668" s="62" t="str">
        <f>IF(AND('领用录入（明细）'!D:D=$F$4,'领用录入（明细）'!C:C&gt;=$J$4,'领用录入（明细）'!C:C&lt;=$L$4),ROW(),"-")</f>
        <v>-</v>
      </c>
    </row>
    <row r="8669" customHeight="1" spans="2:2">
      <c r="B8669" s="62" t="str">
        <f>IF(AND('领用录入（明细）'!D:D=$F$4,'领用录入（明细）'!C:C&gt;=$J$4,'领用录入（明细）'!C:C&lt;=$L$4),ROW(),"-")</f>
        <v>-</v>
      </c>
    </row>
    <row r="8670" customHeight="1" spans="2:2">
      <c r="B8670" s="62" t="str">
        <f>IF(AND('领用录入（明细）'!D:D=$F$4,'领用录入（明细）'!C:C&gt;=$J$4,'领用录入（明细）'!C:C&lt;=$L$4),ROW(),"-")</f>
        <v>-</v>
      </c>
    </row>
    <row r="8671" customHeight="1" spans="2:2">
      <c r="B8671" s="62" t="str">
        <f>IF(AND('领用录入（明细）'!D:D=$F$4,'领用录入（明细）'!C:C&gt;=$J$4,'领用录入（明细）'!C:C&lt;=$L$4),ROW(),"-")</f>
        <v>-</v>
      </c>
    </row>
    <row r="8672" customHeight="1" spans="2:2">
      <c r="B8672" s="62" t="str">
        <f>IF(AND('领用录入（明细）'!D:D=$F$4,'领用录入（明细）'!C:C&gt;=$J$4,'领用录入（明细）'!C:C&lt;=$L$4),ROW(),"-")</f>
        <v>-</v>
      </c>
    </row>
    <row r="8673" customHeight="1" spans="2:2">
      <c r="B8673" s="62" t="str">
        <f>IF(AND('领用录入（明细）'!D:D=$F$4,'领用录入（明细）'!C:C&gt;=$J$4,'领用录入（明细）'!C:C&lt;=$L$4),ROW(),"-")</f>
        <v>-</v>
      </c>
    </row>
    <row r="8674" customHeight="1" spans="2:2">
      <c r="B8674" s="62" t="str">
        <f>IF(AND('领用录入（明细）'!D:D=$F$4,'领用录入（明细）'!C:C&gt;=$J$4,'领用录入（明细）'!C:C&lt;=$L$4),ROW(),"-")</f>
        <v>-</v>
      </c>
    </row>
    <row r="8675" customHeight="1" spans="2:2">
      <c r="B8675" s="62" t="str">
        <f>IF(AND('领用录入（明细）'!D:D=$F$4,'领用录入（明细）'!C:C&gt;=$J$4,'领用录入（明细）'!C:C&lt;=$L$4),ROW(),"-")</f>
        <v>-</v>
      </c>
    </row>
    <row r="8676" customHeight="1" spans="2:2">
      <c r="B8676" s="62" t="str">
        <f>IF(AND('领用录入（明细）'!D:D=$F$4,'领用录入（明细）'!C:C&gt;=$J$4,'领用录入（明细）'!C:C&lt;=$L$4),ROW(),"-")</f>
        <v>-</v>
      </c>
    </row>
    <row r="8677" customHeight="1" spans="2:2">
      <c r="B8677" s="62" t="str">
        <f>IF(AND('领用录入（明细）'!D:D=$F$4,'领用录入（明细）'!C:C&gt;=$J$4,'领用录入（明细）'!C:C&lt;=$L$4),ROW(),"-")</f>
        <v>-</v>
      </c>
    </row>
    <row r="8678" customHeight="1" spans="2:2">
      <c r="B8678" s="62" t="str">
        <f>IF(AND('领用录入（明细）'!D:D=$F$4,'领用录入（明细）'!C:C&gt;=$J$4,'领用录入（明细）'!C:C&lt;=$L$4),ROW(),"-")</f>
        <v>-</v>
      </c>
    </row>
    <row r="8679" customHeight="1" spans="2:2">
      <c r="B8679" s="62" t="str">
        <f>IF(AND('领用录入（明细）'!D:D=$F$4,'领用录入（明细）'!C:C&gt;=$J$4,'领用录入（明细）'!C:C&lt;=$L$4),ROW(),"-")</f>
        <v>-</v>
      </c>
    </row>
    <row r="8680" customHeight="1" spans="2:2">
      <c r="B8680" s="62" t="str">
        <f>IF(AND('领用录入（明细）'!D:D=$F$4,'领用录入（明细）'!C:C&gt;=$J$4,'领用录入（明细）'!C:C&lt;=$L$4),ROW(),"-")</f>
        <v>-</v>
      </c>
    </row>
    <row r="8681" customHeight="1" spans="2:2">
      <c r="B8681" s="62" t="str">
        <f>IF(AND('领用录入（明细）'!D:D=$F$4,'领用录入（明细）'!C:C&gt;=$J$4,'领用录入（明细）'!C:C&lt;=$L$4),ROW(),"-")</f>
        <v>-</v>
      </c>
    </row>
    <row r="8682" customHeight="1" spans="2:2">
      <c r="B8682" s="62" t="str">
        <f>IF(AND('领用录入（明细）'!D:D=$F$4,'领用录入（明细）'!C:C&gt;=$J$4,'领用录入（明细）'!C:C&lt;=$L$4),ROW(),"-")</f>
        <v>-</v>
      </c>
    </row>
    <row r="8683" customHeight="1" spans="2:2">
      <c r="B8683" s="62" t="str">
        <f>IF(AND('领用录入（明细）'!D:D=$F$4,'领用录入（明细）'!C:C&gt;=$J$4,'领用录入（明细）'!C:C&lt;=$L$4),ROW(),"-")</f>
        <v>-</v>
      </c>
    </row>
    <row r="8684" customHeight="1" spans="2:2">
      <c r="B8684" s="62" t="str">
        <f>IF(AND('领用录入（明细）'!D:D=$F$4,'领用录入（明细）'!C:C&gt;=$J$4,'领用录入（明细）'!C:C&lt;=$L$4),ROW(),"-")</f>
        <v>-</v>
      </c>
    </row>
    <row r="8685" customHeight="1" spans="2:2">
      <c r="B8685" s="62" t="str">
        <f>IF(AND('领用录入（明细）'!D:D=$F$4,'领用录入（明细）'!C:C&gt;=$J$4,'领用录入（明细）'!C:C&lt;=$L$4),ROW(),"-")</f>
        <v>-</v>
      </c>
    </row>
    <row r="8686" customHeight="1" spans="2:2">
      <c r="B8686" s="62" t="str">
        <f>IF(AND('领用录入（明细）'!D:D=$F$4,'领用录入（明细）'!C:C&gt;=$J$4,'领用录入（明细）'!C:C&lt;=$L$4),ROW(),"-")</f>
        <v>-</v>
      </c>
    </row>
    <row r="8687" customHeight="1" spans="2:2">
      <c r="B8687" s="62" t="str">
        <f>IF(AND('领用录入（明细）'!D:D=$F$4,'领用录入（明细）'!C:C&gt;=$J$4,'领用录入（明细）'!C:C&lt;=$L$4),ROW(),"-")</f>
        <v>-</v>
      </c>
    </row>
    <row r="8688" customHeight="1" spans="2:2">
      <c r="B8688" s="62" t="str">
        <f>IF(AND('领用录入（明细）'!D:D=$F$4,'领用录入（明细）'!C:C&gt;=$J$4,'领用录入（明细）'!C:C&lt;=$L$4),ROW(),"-")</f>
        <v>-</v>
      </c>
    </row>
    <row r="8689" customHeight="1" spans="2:2">
      <c r="B8689" s="62" t="str">
        <f>IF(AND('领用录入（明细）'!D:D=$F$4,'领用录入（明细）'!C:C&gt;=$J$4,'领用录入（明细）'!C:C&lt;=$L$4),ROW(),"-")</f>
        <v>-</v>
      </c>
    </row>
    <row r="8690" customHeight="1" spans="2:2">
      <c r="B8690" s="62" t="str">
        <f>IF(AND('领用录入（明细）'!D:D=$F$4,'领用录入（明细）'!C:C&gt;=$J$4,'领用录入（明细）'!C:C&lt;=$L$4),ROW(),"-")</f>
        <v>-</v>
      </c>
    </row>
    <row r="8691" customHeight="1" spans="2:2">
      <c r="B8691" s="62" t="str">
        <f>IF(AND('领用录入（明细）'!D:D=$F$4,'领用录入（明细）'!C:C&gt;=$J$4,'领用录入（明细）'!C:C&lt;=$L$4),ROW(),"-")</f>
        <v>-</v>
      </c>
    </row>
    <row r="8692" customHeight="1" spans="2:2">
      <c r="B8692" s="62" t="str">
        <f>IF(AND('领用录入（明细）'!D:D=$F$4,'领用录入（明细）'!C:C&gt;=$J$4,'领用录入（明细）'!C:C&lt;=$L$4),ROW(),"-")</f>
        <v>-</v>
      </c>
    </row>
    <row r="8693" customHeight="1" spans="2:2">
      <c r="B8693" s="62" t="str">
        <f>IF(AND('领用录入（明细）'!D:D=$F$4,'领用录入（明细）'!C:C&gt;=$J$4,'领用录入（明细）'!C:C&lt;=$L$4),ROW(),"-")</f>
        <v>-</v>
      </c>
    </row>
    <row r="8694" customHeight="1" spans="2:2">
      <c r="B8694" s="62" t="str">
        <f>IF(AND('领用录入（明细）'!D:D=$F$4,'领用录入（明细）'!C:C&gt;=$J$4,'领用录入（明细）'!C:C&lt;=$L$4),ROW(),"-")</f>
        <v>-</v>
      </c>
    </row>
    <row r="8695" customHeight="1" spans="2:2">
      <c r="B8695" s="62" t="str">
        <f>IF(AND('领用录入（明细）'!D:D=$F$4,'领用录入（明细）'!C:C&gt;=$J$4,'领用录入（明细）'!C:C&lt;=$L$4),ROW(),"-")</f>
        <v>-</v>
      </c>
    </row>
    <row r="8696" customHeight="1" spans="2:2">
      <c r="B8696" s="62" t="str">
        <f>IF(AND('领用录入（明细）'!D:D=$F$4,'领用录入（明细）'!C:C&gt;=$J$4,'领用录入（明细）'!C:C&lt;=$L$4),ROW(),"-")</f>
        <v>-</v>
      </c>
    </row>
    <row r="8697" customHeight="1" spans="2:2">
      <c r="B8697" s="62" t="str">
        <f>IF(AND('领用录入（明细）'!D:D=$F$4,'领用录入（明细）'!C:C&gt;=$J$4,'领用录入（明细）'!C:C&lt;=$L$4),ROW(),"-")</f>
        <v>-</v>
      </c>
    </row>
    <row r="8698" customHeight="1" spans="2:2">
      <c r="B8698" s="62" t="str">
        <f>IF(AND('领用录入（明细）'!D:D=$F$4,'领用录入（明细）'!C:C&gt;=$J$4,'领用录入（明细）'!C:C&lt;=$L$4),ROW(),"-")</f>
        <v>-</v>
      </c>
    </row>
    <row r="8699" customHeight="1" spans="2:2">
      <c r="B8699" s="62" t="str">
        <f>IF(AND('领用录入（明细）'!D:D=$F$4,'领用录入（明细）'!C:C&gt;=$J$4,'领用录入（明细）'!C:C&lt;=$L$4),ROW(),"-")</f>
        <v>-</v>
      </c>
    </row>
    <row r="8700" customHeight="1" spans="2:2">
      <c r="B8700" s="62" t="str">
        <f>IF(AND('领用录入（明细）'!D:D=$F$4,'领用录入（明细）'!C:C&gt;=$J$4,'领用录入（明细）'!C:C&lt;=$L$4),ROW(),"-")</f>
        <v>-</v>
      </c>
    </row>
    <row r="8701" customHeight="1" spans="2:2">
      <c r="B8701" s="62" t="str">
        <f>IF(AND('领用录入（明细）'!D:D=$F$4,'领用录入（明细）'!C:C&gt;=$J$4,'领用录入（明细）'!C:C&lt;=$L$4),ROW(),"-")</f>
        <v>-</v>
      </c>
    </row>
    <row r="8702" customHeight="1" spans="2:2">
      <c r="B8702" s="62" t="str">
        <f>IF(AND('领用录入（明细）'!D:D=$F$4,'领用录入（明细）'!C:C&gt;=$J$4,'领用录入（明细）'!C:C&lt;=$L$4),ROW(),"-")</f>
        <v>-</v>
      </c>
    </row>
    <row r="8703" customHeight="1" spans="2:2">
      <c r="B8703" s="62" t="str">
        <f>IF(AND('领用录入（明细）'!D:D=$F$4,'领用录入（明细）'!C:C&gt;=$J$4,'领用录入（明细）'!C:C&lt;=$L$4),ROW(),"-")</f>
        <v>-</v>
      </c>
    </row>
    <row r="8704" customHeight="1" spans="2:2">
      <c r="B8704" s="62" t="str">
        <f>IF(AND('领用录入（明细）'!D:D=$F$4,'领用录入（明细）'!C:C&gt;=$J$4,'领用录入（明细）'!C:C&lt;=$L$4),ROW(),"-")</f>
        <v>-</v>
      </c>
    </row>
    <row r="8705" customHeight="1" spans="2:2">
      <c r="B8705" s="62" t="str">
        <f>IF(AND('领用录入（明细）'!D:D=$F$4,'领用录入（明细）'!C:C&gt;=$J$4,'领用录入（明细）'!C:C&lt;=$L$4),ROW(),"-")</f>
        <v>-</v>
      </c>
    </row>
    <row r="8706" customHeight="1" spans="2:2">
      <c r="B8706" s="62" t="str">
        <f>IF(AND('领用录入（明细）'!D:D=$F$4,'领用录入（明细）'!C:C&gt;=$J$4,'领用录入（明细）'!C:C&lt;=$L$4),ROW(),"-")</f>
        <v>-</v>
      </c>
    </row>
    <row r="8707" customHeight="1" spans="2:2">
      <c r="B8707" s="62" t="str">
        <f>IF(AND('领用录入（明细）'!D:D=$F$4,'领用录入（明细）'!C:C&gt;=$J$4,'领用录入（明细）'!C:C&lt;=$L$4),ROW(),"-")</f>
        <v>-</v>
      </c>
    </row>
    <row r="8708" customHeight="1" spans="2:2">
      <c r="B8708" s="62" t="str">
        <f>IF(AND('领用录入（明细）'!D:D=$F$4,'领用录入（明细）'!C:C&gt;=$J$4,'领用录入（明细）'!C:C&lt;=$L$4),ROW(),"-")</f>
        <v>-</v>
      </c>
    </row>
    <row r="8709" customHeight="1" spans="2:2">
      <c r="B8709" s="62" t="str">
        <f>IF(AND('领用录入（明细）'!D:D=$F$4,'领用录入（明细）'!C:C&gt;=$J$4,'领用录入（明细）'!C:C&lt;=$L$4),ROW(),"-")</f>
        <v>-</v>
      </c>
    </row>
    <row r="8710" customHeight="1" spans="2:2">
      <c r="B8710" s="62" t="str">
        <f>IF(AND('领用录入（明细）'!D:D=$F$4,'领用录入（明细）'!C:C&gt;=$J$4,'领用录入（明细）'!C:C&lt;=$L$4),ROW(),"-")</f>
        <v>-</v>
      </c>
    </row>
    <row r="8711" customHeight="1" spans="2:2">
      <c r="B8711" s="62" t="str">
        <f>IF(AND('领用录入（明细）'!D:D=$F$4,'领用录入（明细）'!C:C&gt;=$J$4,'领用录入（明细）'!C:C&lt;=$L$4),ROW(),"-")</f>
        <v>-</v>
      </c>
    </row>
    <row r="8712" customHeight="1" spans="2:2">
      <c r="B8712" s="62" t="str">
        <f>IF(AND('领用录入（明细）'!D:D=$F$4,'领用录入（明细）'!C:C&gt;=$J$4,'领用录入（明细）'!C:C&lt;=$L$4),ROW(),"-")</f>
        <v>-</v>
      </c>
    </row>
    <row r="8713" customHeight="1" spans="2:2">
      <c r="B8713" s="62" t="str">
        <f>IF(AND('领用录入（明细）'!D:D=$F$4,'领用录入（明细）'!C:C&gt;=$J$4,'领用录入（明细）'!C:C&lt;=$L$4),ROW(),"-")</f>
        <v>-</v>
      </c>
    </row>
    <row r="8714" customHeight="1" spans="2:2">
      <c r="B8714" s="62" t="str">
        <f>IF(AND('领用录入（明细）'!D:D=$F$4,'领用录入（明细）'!C:C&gt;=$J$4,'领用录入（明细）'!C:C&lt;=$L$4),ROW(),"-")</f>
        <v>-</v>
      </c>
    </row>
    <row r="8715" customHeight="1" spans="2:2">
      <c r="B8715" s="62" t="str">
        <f>IF(AND('领用录入（明细）'!D:D=$F$4,'领用录入（明细）'!C:C&gt;=$J$4,'领用录入（明细）'!C:C&lt;=$L$4),ROW(),"-")</f>
        <v>-</v>
      </c>
    </row>
    <row r="8716" customHeight="1" spans="2:2">
      <c r="B8716" s="62" t="str">
        <f>IF(AND('领用录入（明细）'!D:D=$F$4,'领用录入（明细）'!C:C&gt;=$J$4,'领用录入（明细）'!C:C&lt;=$L$4),ROW(),"-")</f>
        <v>-</v>
      </c>
    </row>
    <row r="8717" customHeight="1" spans="2:2">
      <c r="B8717" s="62" t="str">
        <f>IF(AND('领用录入（明细）'!D:D=$F$4,'领用录入（明细）'!C:C&gt;=$J$4,'领用录入（明细）'!C:C&lt;=$L$4),ROW(),"-")</f>
        <v>-</v>
      </c>
    </row>
    <row r="8718" customHeight="1" spans="2:2">
      <c r="B8718" s="62" t="str">
        <f>IF(AND('领用录入（明细）'!D:D=$F$4,'领用录入（明细）'!C:C&gt;=$J$4,'领用录入（明细）'!C:C&lt;=$L$4),ROW(),"-")</f>
        <v>-</v>
      </c>
    </row>
    <row r="8719" customHeight="1" spans="2:2">
      <c r="B8719" s="62" t="str">
        <f>IF(AND('领用录入（明细）'!D:D=$F$4,'领用录入（明细）'!C:C&gt;=$J$4,'领用录入（明细）'!C:C&lt;=$L$4),ROW(),"-")</f>
        <v>-</v>
      </c>
    </row>
    <row r="8720" customHeight="1" spans="2:2">
      <c r="B8720" s="62" t="str">
        <f>IF(AND('领用录入（明细）'!D:D=$F$4,'领用录入（明细）'!C:C&gt;=$J$4,'领用录入（明细）'!C:C&lt;=$L$4),ROW(),"-")</f>
        <v>-</v>
      </c>
    </row>
    <row r="8721" customHeight="1" spans="2:2">
      <c r="B8721" s="62" t="str">
        <f>IF(AND('领用录入（明细）'!D:D=$F$4,'领用录入（明细）'!C:C&gt;=$J$4,'领用录入（明细）'!C:C&lt;=$L$4),ROW(),"-")</f>
        <v>-</v>
      </c>
    </row>
    <row r="8722" customHeight="1" spans="2:2">
      <c r="B8722" s="62" t="str">
        <f>IF(AND('领用录入（明细）'!D:D=$F$4,'领用录入（明细）'!C:C&gt;=$J$4,'领用录入（明细）'!C:C&lt;=$L$4),ROW(),"-")</f>
        <v>-</v>
      </c>
    </row>
    <row r="8723" customHeight="1" spans="2:2">
      <c r="B8723" s="62" t="str">
        <f>IF(AND('领用录入（明细）'!D:D=$F$4,'领用录入（明细）'!C:C&gt;=$J$4,'领用录入（明细）'!C:C&lt;=$L$4),ROW(),"-")</f>
        <v>-</v>
      </c>
    </row>
    <row r="8724" customHeight="1" spans="2:2">
      <c r="B8724" s="62" t="str">
        <f>IF(AND('领用录入（明细）'!D:D=$F$4,'领用录入（明细）'!C:C&gt;=$J$4,'领用录入（明细）'!C:C&lt;=$L$4),ROW(),"-")</f>
        <v>-</v>
      </c>
    </row>
    <row r="8725" customHeight="1" spans="2:2">
      <c r="B8725" s="62" t="str">
        <f>IF(AND('领用录入（明细）'!D:D=$F$4,'领用录入（明细）'!C:C&gt;=$J$4,'领用录入（明细）'!C:C&lt;=$L$4),ROW(),"-")</f>
        <v>-</v>
      </c>
    </row>
    <row r="8726" customHeight="1" spans="2:2">
      <c r="B8726" s="62" t="str">
        <f>IF(AND('领用录入（明细）'!D:D=$F$4,'领用录入（明细）'!C:C&gt;=$J$4,'领用录入（明细）'!C:C&lt;=$L$4),ROW(),"-")</f>
        <v>-</v>
      </c>
    </row>
    <row r="8727" customHeight="1" spans="2:2">
      <c r="B8727" s="62" t="str">
        <f>IF(AND('领用录入（明细）'!D:D=$F$4,'领用录入（明细）'!C:C&gt;=$J$4,'领用录入（明细）'!C:C&lt;=$L$4),ROW(),"-")</f>
        <v>-</v>
      </c>
    </row>
    <row r="8728" customHeight="1" spans="2:2">
      <c r="B8728" s="62" t="str">
        <f>IF(AND('领用录入（明细）'!D:D=$F$4,'领用录入（明细）'!C:C&gt;=$J$4,'领用录入（明细）'!C:C&lt;=$L$4),ROW(),"-")</f>
        <v>-</v>
      </c>
    </row>
    <row r="8729" customHeight="1" spans="2:2">
      <c r="B8729" s="62" t="str">
        <f>IF(AND('领用录入（明细）'!D:D=$F$4,'领用录入（明细）'!C:C&gt;=$J$4,'领用录入（明细）'!C:C&lt;=$L$4),ROW(),"-")</f>
        <v>-</v>
      </c>
    </row>
    <row r="8730" customHeight="1" spans="2:2">
      <c r="B8730" s="62" t="str">
        <f>IF(AND('领用录入（明细）'!D:D=$F$4,'领用录入（明细）'!C:C&gt;=$J$4,'领用录入（明细）'!C:C&lt;=$L$4),ROW(),"-")</f>
        <v>-</v>
      </c>
    </row>
    <row r="8731" customHeight="1" spans="2:2">
      <c r="B8731" s="62" t="str">
        <f>IF(AND('领用录入（明细）'!D:D=$F$4,'领用录入（明细）'!C:C&gt;=$J$4,'领用录入（明细）'!C:C&lt;=$L$4),ROW(),"-")</f>
        <v>-</v>
      </c>
    </row>
    <row r="8732" customHeight="1" spans="2:2">
      <c r="B8732" s="62" t="str">
        <f>IF(AND('领用录入（明细）'!D:D=$F$4,'领用录入（明细）'!C:C&gt;=$J$4,'领用录入（明细）'!C:C&lt;=$L$4),ROW(),"-")</f>
        <v>-</v>
      </c>
    </row>
    <row r="8733" customHeight="1" spans="2:2">
      <c r="B8733" s="62" t="str">
        <f>IF(AND('领用录入（明细）'!D:D=$F$4,'领用录入（明细）'!C:C&gt;=$J$4,'领用录入（明细）'!C:C&lt;=$L$4),ROW(),"-")</f>
        <v>-</v>
      </c>
    </row>
    <row r="8734" customHeight="1" spans="2:2">
      <c r="B8734" s="62" t="str">
        <f>IF(AND('领用录入（明细）'!D:D=$F$4,'领用录入（明细）'!C:C&gt;=$J$4,'领用录入（明细）'!C:C&lt;=$L$4),ROW(),"-")</f>
        <v>-</v>
      </c>
    </row>
    <row r="8735" customHeight="1" spans="2:2">
      <c r="B8735" s="62" t="str">
        <f>IF(AND('领用录入（明细）'!D:D=$F$4,'领用录入（明细）'!C:C&gt;=$J$4,'领用录入（明细）'!C:C&lt;=$L$4),ROW(),"-")</f>
        <v>-</v>
      </c>
    </row>
    <row r="8736" customHeight="1" spans="2:2">
      <c r="B8736" s="62" t="str">
        <f>IF(AND('领用录入（明细）'!D:D=$F$4,'领用录入（明细）'!C:C&gt;=$J$4,'领用录入（明细）'!C:C&lt;=$L$4),ROW(),"-")</f>
        <v>-</v>
      </c>
    </row>
    <row r="8737" customHeight="1" spans="2:2">
      <c r="B8737" s="62" t="str">
        <f>IF(AND('领用录入（明细）'!D:D=$F$4,'领用录入（明细）'!C:C&gt;=$J$4,'领用录入（明细）'!C:C&lt;=$L$4),ROW(),"-")</f>
        <v>-</v>
      </c>
    </row>
    <row r="8738" customHeight="1" spans="2:2">
      <c r="B8738" s="62" t="str">
        <f>IF(AND('领用录入（明细）'!D:D=$F$4,'领用录入（明细）'!C:C&gt;=$J$4,'领用录入（明细）'!C:C&lt;=$L$4),ROW(),"-")</f>
        <v>-</v>
      </c>
    </row>
    <row r="8739" customHeight="1" spans="2:2">
      <c r="B8739" s="62" t="str">
        <f>IF(AND('领用录入（明细）'!D:D=$F$4,'领用录入（明细）'!C:C&gt;=$J$4,'领用录入（明细）'!C:C&lt;=$L$4),ROW(),"-")</f>
        <v>-</v>
      </c>
    </row>
    <row r="8740" customHeight="1" spans="2:2">
      <c r="B8740" s="62" t="str">
        <f>IF(AND('领用录入（明细）'!D:D=$F$4,'领用录入（明细）'!C:C&gt;=$J$4,'领用录入（明细）'!C:C&lt;=$L$4),ROW(),"-")</f>
        <v>-</v>
      </c>
    </row>
    <row r="8741" customHeight="1" spans="2:2">
      <c r="B8741" s="62" t="str">
        <f>IF(AND('领用录入（明细）'!D:D=$F$4,'领用录入（明细）'!C:C&gt;=$J$4,'领用录入（明细）'!C:C&lt;=$L$4),ROW(),"-")</f>
        <v>-</v>
      </c>
    </row>
    <row r="8742" customHeight="1" spans="2:2">
      <c r="B8742" s="62" t="str">
        <f>IF(AND('领用录入（明细）'!D:D=$F$4,'领用录入（明细）'!C:C&gt;=$J$4,'领用录入（明细）'!C:C&lt;=$L$4),ROW(),"-")</f>
        <v>-</v>
      </c>
    </row>
    <row r="8743" customHeight="1" spans="2:2">
      <c r="B8743" s="62" t="str">
        <f>IF(AND('领用录入（明细）'!D:D=$F$4,'领用录入（明细）'!C:C&gt;=$J$4,'领用录入（明细）'!C:C&lt;=$L$4),ROW(),"-")</f>
        <v>-</v>
      </c>
    </row>
    <row r="8744" customHeight="1" spans="2:2">
      <c r="B8744" s="62" t="str">
        <f>IF(AND('领用录入（明细）'!D:D=$F$4,'领用录入（明细）'!C:C&gt;=$J$4,'领用录入（明细）'!C:C&lt;=$L$4),ROW(),"-")</f>
        <v>-</v>
      </c>
    </row>
    <row r="8745" customHeight="1" spans="2:2">
      <c r="B8745" s="62" t="str">
        <f>IF(AND('领用录入（明细）'!D:D=$F$4,'领用录入（明细）'!C:C&gt;=$J$4,'领用录入（明细）'!C:C&lt;=$L$4),ROW(),"-")</f>
        <v>-</v>
      </c>
    </row>
    <row r="8746" customHeight="1" spans="2:2">
      <c r="B8746" s="62" t="str">
        <f>IF(AND('领用录入（明细）'!D:D=$F$4,'领用录入（明细）'!C:C&gt;=$J$4,'领用录入（明细）'!C:C&lt;=$L$4),ROW(),"-")</f>
        <v>-</v>
      </c>
    </row>
    <row r="8747" customHeight="1" spans="2:2">
      <c r="B8747" s="62" t="str">
        <f>IF(AND('领用录入（明细）'!D:D=$F$4,'领用录入（明细）'!C:C&gt;=$J$4,'领用录入（明细）'!C:C&lt;=$L$4),ROW(),"-")</f>
        <v>-</v>
      </c>
    </row>
    <row r="8748" customHeight="1" spans="2:2">
      <c r="B8748" s="62" t="str">
        <f>IF(AND('领用录入（明细）'!D:D=$F$4,'领用录入（明细）'!C:C&gt;=$J$4,'领用录入（明细）'!C:C&lt;=$L$4),ROW(),"-")</f>
        <v>-</v>
      </c>
    </row>
    <row r="8749" customHeight="1" spans="2:2">
      <c r="B8749" s="62" t="str">
        <f>IF(AND('领用录入（明细）'!D:D=$F$4,'领用录入（明细）'!C:C&gt;=$J$4,'领用录入（明细）'!C:C&lt;=$L$4),ROW(),"-")</f>
        <v>-</v>
      </c>
    </row>
    <row r="8750" customHeight="1" spans="2:2">
      <c r="B8750" s="62" t="str">
        <f>IF(AND('领用录入（明细）'!D:D=$F$4,'领用录入（明细）'!C:C&gt;=$J$4,'领用录入（明细）'!C:C&lt;=$L$4),ROW(),"-")</f>
        <v>-</v>
      </c>
    </row>
    <row r="8751" customHeight="1" spans="2:2">
      <c r="B8751" s="62" t="str">
        <f>IF(AND('领用录入（明细）'!D:D=$F$4,'领用录入（明细）'!C:C&gt;=$J$4,'领用录入（明细）'!C:C&lt;=$L$4),ROW(),"-")</f>
        <v>-</v>
      </c>
    </row>
    <row r="8752" customHeight="1" spans="2:2">
      <c r="B8752" s="62" t="str">
        <f>IF(AND('领用录入（明细）'!D:D=$F$4,'领用录入（明细）'!C:C&gt;=$J$4,'领用录入（明细）'!C:C&lt;=$L$4),ROW(),"-")</f>
        <v>-</v>
      </c>
    </row>
    <row r="8753" customHeight="1" spans="2:2">
      <c r="B8753" s="62" t="str">
        <f>IF(AND('领用录入（明细）'!D:D=$F$4,'领用录入（明细）'!C:C&gt;=$J$4,'领用录入（明细）'!C:C&lt;=$L$4),ROW(),"-")</f>
        <v>-</v>
      </c>
    </row>
    <row r="8754" customHeight="1" spans="2:2">
      <c r="B8754" s="62" t="str">
        <f>IF(AND('领用录入（明细）'!D:D=$F$4,'领用录入（明细）'!C:C&gt;=$J$4,'领用录入（明细）'!C:C&lt;=$L$4),ROW(),"-")</f>
        <v>-</v>
      </c>
    </row>
    <row r="8755" customHeight="1" spans="2:2">
      <c r="B8755" s="62" t="str">
        <f>IF(AND('领用录入（明细）'!D:D=$F$4,'领用录入（明细）'!C:C&gt;=$J$4,'领用录入（明细）'!C:C&lt;=$L$4),ROW(),"-")</f>
        <v>-</v>
      </c>
    </row>
    <row r="8756" customHeight="1" spans="2:2">
      <c r="B8756" s="62" t="str">
        <f>IF(AND('领用录入（明细）'!D:D=$F$4,'领用录入（明细）'!C:C&gt;=$J$4,'领用录入（明细）'!C:C&lt;=$L$4),ROW(),"-")</f>
        <v>-</v>
      </c>
    </row>
    <row r="8757" customHeight="1" spans="2:2">
      <c r="B8757" s="62" t="str">
        <f>IF(AND('领用录入（明细）'!D:D=$F$4,'领用录入（明细）'!C:C&gt;=$J$4,'领用录入（明细）'!C:C&lt;=$L$4),ROW(),"-")</f>
        <v>-</v>
      </c>
    </row>
    <row r="8758" customHeight="1" spans="2:2">
      <c r="B8758" s="62" t="str">
        <f>IF(AND('领用录入（明细）'!D:D=$F$4,'领用录入（明细）'!C:C&gt;=$J$4,'领用录入（明细）'!C:C&lt;=$L$4),ROW(),"-")</f>
        <v>-</v>
      </c>
    </row>
    <row r="8759" customHeight="1" spans="2:2">
      <c r="B8759" s="62" t="str">
        <f>IF(AND('领用录入（明细）'!D:D=$F$4,'领用录入（明细）'!C:C&gt;=$J$4,'领用录入（明细）'!C:C&lt;=$L$4),ROW(),"-")</f>
        <v>-</v>
      </c>
    </row>
    <row r="8760" customHeight="1" spans="2:2">
      <c r="B8760" s="62" t="str">
        <f>IF(AND('领用录入（明细）'!D:D=$F$4,'领用录入（明细）'!C:C&gt;=$J$4,'领用录入（明细）'!C:C&lt;=$L$4),ROW(),"-")</f>
        <v>-</v>
      </c>
    </row>
    <row r="8761" customHeight="1" spans="2:2">
      <c r="B8761" s="62" t="str">
        <f>IF(AND('领用录入（明细）'!D:D=$F$4,'领用录入（明细）'!C:C&gt;=$J$4,'领用录入（明细）'!C:C&lt;=$L$4),ROW(),"-")</f>
        <v>-</v>
      </c>
    </row>
    <row r="8762" customHeight="1" spans="2:2">
      <c r="B8762" s="62" t="str">
        <f>IF(AND('领用录入（明细）'!D:D=$F$4,'领用录入（明细）'!C:C&gt;=$J$4,'领用录入（明细）'!C:C&lt;=$L$4),ROW(),"-")</f>
        <v>-</v>
      </c>
    </row>
    <row r="8763" customHeight="1" spans="2:2">
      <c r="B8763" s="62" t="str">
        <f>IF(AND('领用录入（明细）'!D:D=$F$4,'领用录入（明细）'!C:C&gt;=$J$4,'领用录入（明细）'!C:C&lt;=$L$4),ROW(),"-")</f>
        <v>-</v>
      </c>
    </row>
    <row r="8764" customHeight="1" spans="2:2">
      <c r="B8764" s="62" t="str">
        <f>IF(AND('领用录入（明细）'!D:D=$F$4,'领用录入（明细）'!C:C&gt;=$J$4,'领用录入（明细）'!C:C&lt;=$L$4),ROW(),"-")</f>
        <v>-</v>
      </c>
    </row>
    <row r="8765" customHeight="1" spans="2:2">
      <c r="B8765" s="62" t="str">
        <f>IF(AND('领用录入（明细）'!D:D=$F$4,'领用录入（明细）'!C:C&gt;=$J$4,'领用录入（明细）'!C:C&lt;=$L$4),ROW(),"-")</f>
        <v>-</v>
      </c>
    </row>
    <row r="8766" customHeight="1" spans="2:2">
      <c r="B8766" s="62" t="str">
        <f>IF(AND('领用录入（明细）'!D:D=$F$4,'领用录入（明细）'!C:C&gt;=$J$4,'领用录入（明细）'!C:C&lt;=$L$4),ROW(),"-")</f>
        <v>-</v>
      </c>
    </row>
    <row r="8767" customHeight="1" spans="2:2">
      <c r="B8767" s="62" t="str">
        <f>IF(AND('领用录入（明细）'!D:D=$F$4,'领用录入（明细）'!C:C&gt;=$J$4,'领用录入（明细）'!C:C&lt;=$L$4),ROW(),"-")</f>
        <v>-</v>
      </c>
    </row>
    <row r="8768" customHeight="1" spans="2:2">
      <c r="B8768" s="62" t="str">
        <f>IF(AND('领用录入（明细）'!D:D=$F$4,'领用录入（明细）'!C:C&gt;=$J$4,'领用录入（明细）'!C:C&lt;=$L$4),ROW(),"-")</f>
        <v>-</v>
      </c>
    </row>
    <row r="8769" customHeight="1" spans="2:2">
      <c r="B8769" s="62" t="str">
        <f>IF(AND('领用录入（明细）'!D:D=$F$4,'领用录入（明细）'!C:C&gt;=$J$4,'领用录入（明细）'!C:C&lt;=$L$4),ROW(),"-")</f>
        <v>-</v>
      </c>
    </row>
    <row r="8770" customHeight="1" spans="2:2">
      <c r="B8770" s="62" t="str">
        <f>IF(AND('领用录入（明细）'!D:D=$F$4,'领用录入（明细）'!C:C&gt;=$J$4,'领用录入（明细）'!C:C&lt;=$L$4),ROW(),"-")</f>
        <v>-</v>
      </c>
    </row>
    <row r="8771" customHeight="1" spans="2:2">
      <c r="B8771" s="62" t="str">
        <f>IF(AND('领用录入（明细）'!D:D=$F$4,'领用录入（明细）'!C:C&gt;=$J$4,'领用录入（明细）'!C:C&lt;=$L$4),ROW(),"-")</f>
        <v>-</v>
      </c>
    </row>
    <row r="8772" customHeight="1" spans="2:2">
      <c r="B8772" s="62" t="str">
        <f>IF(AND('领用录入（明细）'!D:D=$F$4,'领用录入（明细）'!C:C&gt;=$J$4,'领用录入（明细）'!C:C&lt;=$L$4),ROW(),"-")</f>
        <v>-</v>
      </c>
    </row>
    <row r="8773" customHeight="1" spans="2:2">
      <c r="B8773" s="62" t="str">
        <f>IF(AND('领用录入（明细）'!D:D=$F$4,'领用录入（明细）'!C:C&gt;=$J$4,'领用录入（明细）'!C:C&lt;=$L$4),ROW(),"-")</f>
        <v>-</v>
      </c>
    </row>
    <row r="8774" customHeight="1" spans="2:2">
      <c r="B8774" s="62" t="str">
        <f>IF(AND('领用录入（明细）'!D:D=$F$4,'领用录入（明细）'!C:C&gt;=$J$4,'领用录入（明细）'!C:C&lt;=$L$4),ROW(),"-")</f>
        <v>-</v>
      </c>
    </row>
    <row r="8775" customHeight="1" spans="2:2">
      <c r="B8775" s="62" t="str">
        <f>IF(AND('领用录入（明细）'!D:D=$F$4,'领用录入（明细）'!C:C&gt;=$J$4,'领用录入（明细）'!C:C&lt;=$L$4),ROW(),"-")</f>
        <v>-</v>
      </c>
    </row>
    <row r="8776" customHeight="1" spans="2:2">
      <c r="B8776" s="62" t="str">
        <f>IF(AND('领用录入（明细）'!D:D=$F$4,'领用录入（明细）'!C:C&gt;=$J$4,'领用录入（明细）'!C:C&lt;=$L$4),ROW(),"-")</f>
        <v>-</v>
      </c>
    </row>
    <row r="8777" customHeight="1" spans="2:2">
      <c r="B8777" s="62" t="str">
        <f>IF(AND('领用录入（明细）'!D:D=$F$4,'领用录入（明细）'!C:C&gt;=$J$4,'领用录入（明细）'!C:C&lt;=$L$4),ROW(),"-")</f>
        <v>-</v>
      </c>
    </row>
    <row r="8778" customHeight="1" spans="2:2">
      <c r="B8778" s="62" t="str">
        <f>IF(AND('领用录入（明细）'!D:D=$F$4,'领用录入（明细）'!C:C&gt;=$J$4,'领用录入（明细）'!C:C&lt;=$L$4),ROW(),"-")</f>
        <v>-</v>
      </c>
    </row>
    <row r="8779" customHeight="1" spans="2:2">
      <c r="B8779" s="62" t="str">
        <f>IF(AND('领用录入（明细）'!D:D=$F$4,'领用录入（明细）'!C:C&gt;=$J$4,'领用录入（明细）'!C:C&lt;=$L$4),ROW(),"-")</f>
        <v>-</v>
      </c>
    </row>
    <row r="8780" customHeight="1" spans="2:2">
      <c r="B8780" s="62" t="str">
        <f>IF(AND('领用录入（明细）'!D:D=$F$4,'领用录入（明细）'!C:C&gt;=$J$4,'领用录入（明细）'!C:C&lt;=$L$4),ROW(),"-")</f>
        <v>-</v>
      </c>
    </row>
    <row r="8781" customHeight="1" spans="2:2">
      <c r="B8781" s="62" t="str">
        <f>IF(AND('领用录入（明细）'!D:D=$F$4,'领用录入（明细）'!C:C&gt;=$J$4,'领用录入（明细）'!C:C&lt;=$L$4),ROW(),"-")</f>
        <v>-</v>
      </c>
    </row>
    <row r="8782" customHeight="1" spans="2:2">
      <c r="B8782" s="62" t="str">
        <f>IF(AND('领用录入（明细）'!D:D=$F$4,'领用录入（明细）'!C:C&gt;=$J$4,'领用录入（明细）'!C:C&lt;=$L$4),ROW(),"-")</f>
        <v>-</v>
      </c>
    </row>
    <row r="8783" customHeight="1" spans="2:2">
      <c r="B8783" s="62" t="str">
        <f>IF(AND('领用录入（明细）'!D:D=$F$4,'领用录入（明细）'!C:C&gt;=$J$4,'领用录入（明细）'!C:C&lt;=$L$4),ROW(),"-")</f>
        <v>-</v>
      </c>
    </row>
    <row r="8784" customHeight="1" spans="2:2">
      <c r="B8784" s="62" t="str">
        <f>IF(AND('领用录入（明细）'!D:D=$F$4,'领用录入（明细）'!C:C&gt;=$J$4,'领用录入（明细）'!C:C&lt;=$L$4),ROW(),"-")</f>
        <v>-</v>
      </c>
    </row>
    <row r="8785" customHeight="1" spans="2:2">
      <c r="B8785" s="62" t="str">
        <f>IF(AND('领用录入（明细）'!D:D=$F$4,'领用录入（明细）'!C:C&gt;=$J$4,'领用录入（明细）'!C:C&lt;=$L$4),ROW(),"-")</f>
        <v>-</v>
      </c>
    </row>
    <row r="8786" customHeight="1" spans="2:2">
      <c r="B8786" s="62" t="str">
        <f>IF(AND('领用录入（明细）'!D:D=$F$4,'领用录入（明细）'!C:C&gt;=$J$4,'领用录入（明细）'!C:C&lt;=$L$4),ROW(),"-")</f>
        <v>-</v>
      </c>
    </row>
    <row r="8787" customHeight="1" spans="2:2">
      <c r="B8787" s="62" t="str">
        <f>IF(AND('领用录入（明细）'!D:D=$F$4,'领用录入（明细）'!C:C&gt;=$J$4,'领用录入（明细）'!C:C&lt;=$L$4),ROW(),"-")</f>
        <v>-</v>
      </c>
    </row>
    <row r="8788" customHeight="1" spans="2:2">
      <c r="B8788" s="62" t="str">
        <f>IF(AND('领用录入（明细）'!D:D=$F$4,'领用录入（明细）'!C:C&gt;=$J$4,'领用录入（明细）'!C:C&lt;=$L$4),ROW(),"-")</f>
        <v>-</v>
      </c>
    </row>
    <row r="8789" customHeight="1" spans="2:2">
      <c r="B8789" s="62" t="str">
        <f>IF(AND('领用录入（明细）'!D:D=$F$4,'领用录入（明细）'!C:C&gt;=$J$4,'领用录入（明细）'!C:C&lt;=$L$4),ROW(),"-")</f>
        <v>-</v>
      </c>
    </row>
    <row r="8790" customHeight="1" spans="2:2">
      <c r="B8790" s="62" t="str">
        <f>IF(AND('领用录入（明细）'!D:D=$F$4,'领用录入（明细）'!C:C&gt;=$J$4,'领用录入（明细）'!C:C&lt;=$L$4),ROW(),"-")</f>
        <v>-</v>
      </c>
    </row>
    <row r="8791" customHeight="1" spans="2:2">
      <c r="B8791" s="62" t="str">
        <f>IF(AND('领用录入（明细）'!D:D=$F$4,'领用录入（明细）'!C:C&gt;=$J$4,'领用录入（明细）'!C:C&lt;=$L$4),ROW(),"-")</f>
        <v>-</v>
      </c>
    </row>
    <row r="8792" customHeight="1" spans="2:2">
      <c r="B8792" s="62" t="str">
        <f>IF(AND('领用录入（明细）'!D:D=$F$4,'领用录入（明细）'!C:C&gt;=$J$4,'领用录入（明细）'!C:C&lt;=$L$4),ROW(),"-")</f>
        <v>-</v>
      </c>
    </row>
    <row r="8793" customHeight="1" spans="2:2">
      <c r="B8793" s="62" t="str">
        <f>IF(AND('领用录入（明细）'!D:D=$F$4,'领用录入（明细）'!C:C&gt;=$J$4,'领用录入（明细）'!C:C&lt;=$L$4),ROW(),"-")</f>
        <v>-</v>
      </c>
    </row>
    <row r="8794" customHeight="1" spans="2:2">
      <c r="B8794" s="62" t="str">
        <f>IF(AND('领用录入（明细）'!D:D=$F$4,'领用录入（明细）'!C:C&gt;=$J$4,'领用录入（明细）'!C:C&lt;=$L$4),ROW(),"-")</f>
        <v>-</v>
      </c>
    </row>
    <row r="8795" customHeight="1" spans="2:2">
      <c r="B8795" s="62" t="str">
        <f>IF(AND('领用录入（明细）'!D:D=$F$4,'领用录入（明细）'!C:C&gt;=$J$4,'领用录入（明细）'!C:C&lt;=$L$4),ROW(),"-")</f>
        <v>-</v>
      </c>
    </row>
    <row r="8796" customHeight="1" spans="2:2">
      <c r="B8796" s="62" t="str">
        <f>IF(AND('领用录入（明细）'!D:D=$F$4,'领用录入（明细）'!C:C&gt;=$J$4,'领用录入（明细）'!C:C&lt;=$L$4),ROW(),"-")</f>
        <v>-</v>
      </c>
    </row>
    <row r="8797" customHeight="1" spans="2:2">
      <c r="B8797" s="62" t="str">
        <f>IF(AND('领用录入（明细）'!D:D=$F$4,'领用录入（明细）'!C:C&gt;=$J$4,'领用录入（明细）'!C:C&lt;=$L$4),ROW(),"-")</f>
        <v>-</v>
      </c>
    </row>
    <row r="8798" customHeight="1" spans="2:2">
      <c r="B8798" s="62" t="str">
        <f>IF(AND('领用录入（明细）'!D:D=$F$4,'领用录入（明细）'!C:C&gt;=$J$4,'领用录入（明细）'!C:C&lt;=$L$4),ROW(),"-")</f>
        <v>-</v>
      </c>
    </row>
    <row r="8799" customHeight="1" spans="2:2">
      <c r="B8799" s="62" t="str">
        <f>IF(AND('领用录入（明细）'!D:D=$F$4,'领用录入（明细）'!C:C&gt;=$J$4,'领用录入（明细）'!C:C&lt;=$L$4),ROW(),"-")</f>
        <v>-</v>
      </c>
    </row>
    <row r="8800" customHeight="1" spans="2:2">
      <c r="B8800" s="62" t="str">
        <f>IF(AND('领用录入（明细）'!D:D=$F$4,'领用录入（明细）'!C:C&gt;=$J$4,'领用录入（明细）'!C:C&lt;=$L$4),ROW(),"-")</f>
        <v>-</v>
      </c>
    </row>
    <row r="8801" customHeight="1" spans="2:2">
      <c r="B8801" s="62" t="str">
        <f>IF(AND('领用录入（明细）'!D:D=$F$4,'领用录入（明细）'!C:C&gt;=$J$4,'领用录入（明细）'!C:C&lt;=$L$4),ROW(),"-")</f>
        <v>-</v>
      </c>
    </row>
    <row r="8802" customHeight="1" spans="2:2">
      <c r="B8802" s="62" t="str">
        <f>IF(AND('领用录入（明细）'!D:D=$F$4,'领用录入（明细）'!C:C&gt;=$J$4,'领用录入（明细）'!C:C&lt;=$L$4),ROW(),"-")</f>
        <v>-</v>
      </c>
    </row>
    <row r="8803" customHeight="1" spans="2:2">
      <c r="B8803" s="62" t="str">
        <f>IF(AND('领用录入（明细）'!D:D=$F$4,'领用录入（明细）'!C:C&gt;=$J$4,'领用录入（明细）'!C:C&lt;=$L$4),ROW(),"-")</f>
        <v>-</v>
      </c>
    </row>
    <row r="8804" customHeight="1" spans="2:2">
      <c r="B8804" s="62" t="str">
        <f>IF(AND('领用录入（明细）'!D:D=$F$4,'领用录入（明细）'!C:C&gt;=$J$4,'领用录入（明细）'!C:C&lt;=$L$4),ROW(),"-")</f>
        <v>-</v>
      </c>
    </row>
    <row r="8805" customHeight="1" spans="2:2">
      <c r="B8805" s="62" t="str">
        <f>IF(AND('领用录入（明细）'!D:D=$F$4,'领用录入（明细）'!C:C&gt;=$J$4,'领用录入（明细）'!C:C&lt;=$L$4),ROW(),"-")</f>
        <v>-</v>
      </c>
    </row>
    <row r="8806" customHeight="1" spans="2:2">
      <c r="B8806" s="62" t="str">
        <f>IF(AND('领用录入（明细）'!D:D=$F$4,'领用录入（明细）'!C:C&gt;=$J$4,'领用录入（明细）'!C:C&lt;=$L$4),ROW(),"-")</f>
        <v>-</v>
      </c>
    </row>
    <row r="8807" customHeight="1" spans="2:2">
      <c r="B8807" s="62" t="str">
        <f>IF(AND('领用录入（明细）'!D:D=$F$4,'领用录入（明细）'!C:C&gt;=$J$4,'领用录入（明细）'!C:C&lt;=$L$4),ROW(),"-")</f>
        <v>-</v>
      </c>
    </row>
    <row r="8808" customHeight="1" spans="2:2">
      <c r="B8808" s="62" t="str">
        <f>IF(AND('领用录入（明细）'!D:D=$F$4,'领用录入（明细）'!C:C&gt;=$J$4,'领用录入（明细）'!C:C&lt;=$L$4),ROW(),"-")</f>
        <v>-</v>
      </c>
    </row>
    <row r="8809" customHeight="1" spans="2:2">
      <c r="B8809" s="62" t="str">
        <f>IF(AND('领用录入（明细）'!D:D=$F$4,'领用录入（明细）'!C:C&gt;=$J$4,'领用录入（明细）'!C:C&lt;=$L$4),ROW(),"-")</f>
        <v>-</v>
      </c>
    </row>
    <row r="8810" customHeight="1" spans="2:2">
      <c r="B8810" s="62" t="str">
        <f>IF(AND('领用录入（明细）'!D:D=$F$4,'领用录入（明细）'!C:C&gt;=$J$4,'领用录入（明细）'!C:C&lt;=$L$4),ROW(),"-")</f>
        <v>-</v>
      </c>
    </row>
    <row r="8811" customHeight="1" spans="2:2">
      <c r="B8811" s="62" t="str">
        <f>IF(AND('领用录入（明细）'!D:D=$F$4,'领用录入（明细）'!C:C&gt;=$J$4,'领用录入（明细）'!C:C&lt;=$L$4),ROW(),"-")</f>
        <v>-</v>
      </c>
    </row>
    <row r="8812" customHeight="1" spans="2:2">
      <c r="B8812" s="62" t="str">
        <f>IF(AND('领用录入（明细）'!D:D=$F$4,'领用录入（明细）'!C:C&gt;=$J$4,'领用录入（明细）'!C:C&lt;=$L$4),ROW(),"-")</f>
        <v>-</v>
      </c>
    </row>
    <row r="8813" customHeight="1" spans="2:2">
      <c r="B8813" s="62" t="str">
        <f>IF(AND('领用录入（明细）'!D:D=$F$4,'领用录入（明细）'!C:C&gt;=$J$4,'领用录入（明细）'!C:C&lt;=$L$4),ROW(),"-")</f>
        <v>-</v>
      </c>
    </row>
    <row r="8814" customHeight="1" spans="2:2">
      <c r="B8814" s="62" t="str">
        <f>IF(AND('领用录入（明细）'!D:D=$F$4,'领用录入（明细）'!C:C&gt;=$J$4,'领用录入（明细）'!C:C&lt;=$L$4),ROW(),"-")</f>
        <v>-</v>
      </c>
    </row>
    <row r="8815" customHeight="1" spans="2:2">
      <c r="B8815" s="62" t="str">
        <f>IF(AND('领用录入（明细）'!D:D=$F$4,'领用录入（明细）'!C:C&gt;=$J$4,'领用录入（明细）'!C:C&lt;=$L$4),ROW(),"-")</f>
        <v>-</v>
      </c>
    </row>
    <row r="8816" customHeight="1" spans="2:2">
      <c r="B8816" s="62" t="str">
        <f>IF(AND('领用录入（明细）'!D:D=$F$4,'领用录入（明细）'!C:C&gt;=$J$4,'领用录入（明细）'!C:C&lt;=$L$4),ROW(),"-")</f>
        <v>-</v>
      </c>
    </row>
    <row r="8817" customHeight="1" spans="2:2">
      <c r="B8817" s="62" t="str">
        <f>IF(AND('领用录入（明细）'!D:D=$F$4,'领用录入（明细）'!C:C&gt;=$J$4,'领用录入（明细）'!C:C&lt;=$L$4),ROW(),"-")</f>
        <v>-</v>
      </c>
    </row>
    <row r="8818" customHeight="1" spans="2:2">
      <c r="B8818" s="62" t="str">
        <f>IF(AND('领用录入（明细）'!D:D=$F$4,'领用录入（明细）'!C:C&gt;=$J$4,'领用录入（明细）'!C:C&lt;=$L$4),ROW(),"-")</f>
        <v>-</v>
      </c>
    </row>
    <row r="8819" customHeight="1" spans="2:2">
      <c r="B8819" s="62" t="str">
        <f>IF(AND('领用录入（明细）'!D:D=$F$4,'领用录入（明细）'!C:C&gt;=$J$4,'领用录入（明细）'!C:C&lt;=$L$4),ROW(),"-")</f>
        <v>-</v>
      </c>
    </row>
    <row r="8820" customHeight="1" spans="2:2">
      <c r="B8820" s="62" t="str">
        <f>IF(AND('领用录入（明细）'!D:D=$F$4,'领用录入（明细）'!C:C&gt;=$J$4,'领用录入（明细）'!C:C&lt;=$L$4),ROW(),"-")</f>
        <v>-</v>
      </c>
    </row>
    <row r="8821" customHeight="1" spans="2:2">
      <c r="B8821" s="62" t="str">
        <f>IF(AND('领用录入（明细）'!D:D=$F$4,'领用录入（明细）'!C:C&gt;=$J$4,'领用录入（明细）'!C:C&lt;=$L$4),ROW(),"-")</f>
        <v>-</v>
      </c>
    </row>
    <row r="8822" customHeight="1" spans="2:2">
      <c r="B8822" s="62" t="str">
        <f>IF(AND('领用录入（明细）'!D:D=$F$4,'领用录入（明细）'!C:C&gt;=$J$4,'领用录入（明细）'!C:C&lt;=$L$4),ROW(),"-")</f>
        <v>-</v>
      </c>
    </row>
    <row r="8823" customHeight="1" spans="2:2">
      <c r="B8823" s="62" t="str">
        <f>IF(AND('领用录入（明细）'!D:D=$F$4,'领用录入（明细）'!C:C&gt;=$J$4,'领用录入（明细）'!C:C&lt;=$L$4),ROW(),"-")</f>
        <v>-</v>
      </c>
    </row>
    <row r="8824" customHeight="1" spans="2:2">
      <c r="B8824" s="62" t="str">
        <f>IF(AND('领用录入（明细）'!D:D=$F$4,'领用录入（明细）'!C:C&gt;=$J$4,'领用录入（明细）'!C:C&lt;=$L$4),ROW(),"-")</f>
        <v>-</v>
      </c>
    </row>
    <row r="8825" customHeight="1" spans="2:2">
      <c r="B8825" s="62" t="str">
        <f>IF(AND('领用录入（明细）'!D:D=$F$4,'领用录入（明细）'!C:C&gt;=$J$4,'领用录入（明细）'!C:C&lt;=$L$4),ROW(),"-")</f>
        <v>-</v>
      </c>
    </row>
    <row r="8826" customHeight="1" spans="2:2">
      <c r="B8826" s="62" t="str">
        <f>IF(AND('领用录入（明细）'!D:D=$F$4,'领用录入（明细）'!C:C&gt;=$J$4,'领用录入（明细）'!C:C&lt;=$L$4),ROW(),"-")</f>
        <v>-</v>
      </c>
    </row>
    <row r="8827" customHeight="1" spans="2:2">
      <c r="B8827" s="62" t="str">
        <f>IF(AND('领用录入（明细）'!D:D=$F$4,'领用录入（明细）'!C:C&gt;=$J$4,'领用录入（明细）'!C:C&lt;=$L$4),ROW(),"-")</f>
        <v>-</v>
      </c>
    </row>
    <row r="8828" customHeight="1" spans="2:2">
      <c r="B8828" s="62" t="str">
        <f>IF(AND('领用录入（明细）'!D:D=$F$4,'领用录入（明细）'!C:C&gt;=$J$4,'领用录入（明细）'!C:C&lt;=$L$4),ROW(),"-")</f>
        <v>-</v>
      </c>
    </row>
    <row r="8829" customHeight="1" spans="2:2">
      <c r="B8829" s="62" t="str">
        <f>IF(AND('领用录入（明细）'!D:D=$F$4,'领用录入（明细）'!C:C&gt;=$J$4,'领用录入（明细）'!C:C&lt;=$L$4),ROW(),"-")</f>
        <v>-</v>
      </c>
    </row>
    <row r="8830" customHeight="1" spans="2:2">
      <c r="B8830" s="62" t="str">
        <f>IF(AND('领用录入（明细）'!D:D=$F$4,'领用录入（明细）'!C:C&gt;=$J$4,'领用录入（明细）'!C:C&lt;=$L$4),ROW(),"-")</f>
        <v>-</v>
      </c>
    </row>
    <row r="8831" customHeight="1" spans="2:2">
      <c r="B8831" s="62" t="str">
        <f>IF(AND('领用录入（明细）'!D:D=$F$4,'领用录入（明细）'!C:C&gt;=$J$4,'领用录入（明细）'!C:C&lt;=$L$4),ROW(),"-")</f>
        <v>-</v>
      </c>
    </row>
    <row r="8832" customHeight="1" spans="2:2">
      <c r="B8832" s="62" t="str">
        <f>IF(AND('领用录入（明细）'!D:D=$F$4,'领用录入（明细）'!C:C&gt;=$J$4,'领用录入（明细）'!C:C&lt;=$L$4),ROW(),"-")</f>
        <v>-</v>
      </c>
    </row>
    <row r="8833" customHeight="1" spans="2:2">
      <c r="B8833" s="62" t="str">
        <f>IF(AND('领用录入（明细）'!D:D=$F$4,'领用录入（明细）'!C:C&gt;=$J$4,'领用录入（明细）'!C:C&lt;=$L$4),ROW(),"-")</f>
        <v>-</v>
      </c>
    </row>
    <row r="8834" customHeight="1" spans="2:2">
      <c r="B8834" s="62" t="str">
        <f>IF(AND('领用录入（明细）'!D:D=$F$4,'领用录入（明细）'!C:C&gt;=$J$4,'领用录入（明细）'!C:C&lt;=$L$4),ROW(),"-")</f>
        <v>-</v>
      </c>
    </row>
    <row r="8835" customHeight="1" spans="2:2">
      <c r="B8835" s="62" t="str">
        <f>IF(AND('领用录入（明细）'!D:D=$F$4,'领用录入（明细）'!C:C&gt;=$J$4,'领用录入（明细）'!C:C&lt;=$L$4),ROW(),"-")</f>
        <v>-</v>
      </c>
    </row>
    <row r="8836" customHeight="1" spans="2:2">
      <c r="B8836" s="62" t="str">
        <f>IF(AND('领用录入（明细）'!D:D=$F$4,'领用录入（明细）'!C:C&gt;=$J$4,'领用录入（明细）'!C:C&lt;=$L$4),ROW(),"-")</f>
        <v>-</v>
      </c>
    </row>
    <row r="8837" customHeight="1" spans="2:2">
      <c r="B8837" s="62" t="str">
        <f>IF(AND('领用录入（明细）'!D:D=$F$4,'领用录入（明细）'!C:C&gt;=$J$4,'领用录入（明细）'!C:C&lt;=$L$4),ROW(),"-")</f>
        <v>-</v>
      </c>
    </row>
    <row r="8838" customHeight="1" spans="2:2">
      <c r="B8838" s="62" t="str">
        <f>IF(AND('领用录入（明细）'!D:D=$F$4,'领用录入（明细）'!C:C&gt;=$J$4,'领用录入（明细）'!C:C&lt;=$L$4),ROW(),"-")</f>
        <v>-</v>
      </c>
    </row>
    <row r="8839" customHeight="1" spans="2:2">
      <c r="B8839" s="62" t="str">
        <f>IF(AND('领用录入（明细）'!D:D=$F$4,'领用录入（明细）'!C:C&gt;=$J$4,'领用录入（明细）'!C:C&lt;=$L$4),ROW(),"-")</f>
        <v>-</v>
      </c>
    </row>
    <row r="8840" customHeight="1" spans="2:2">
      <c r="B8840" s="62" t="str">
        <f>IF(AND('领用录入（明细）'!D:D=$F$4,'领用录入（明细）'!C:C&gt;=$J$4,'领用录入（明细）'!C:C&lt;=$L$4),ROW(),"-")</f>
        <v>-</v>
      </c>
    </row>
    <row r="8841" customHeight="1" spans="2:2">
      <c r="B8841" s="62" t="str">
        <f>IF(AND('领用录入（明细）'!D:D=$F$4,'领用录入（明细）'!C:C&gt;=$J$4,'领用录入（明细）'!C:C&lt;=$L$4),ROW(),"-")</f>
        <v>-</v>
      </c>
    </row>
    <row r="8842" customHeight="1" spans="2:2">
      <c r="B8842" s="62" t="str">
        <f>IF(AND('领用录入（明细）'!D:D=$F$4,'领用录入（明细）'!C:C&gt;=$J$4,'领用录入（明细）'!C:C&lt;=$L$4),ROW(),"-")</f>
        <v>-</v>
      </c>
    </row>
    <row r="8843" customHeight="1" spans="2:2">
      <c r="B8843" s="62" t="str">
        <f>IF(AND('领用录入（明细）'!D:D=$F$4,'领用录入（明细）'!C:C&gt;=$J$4,'领用录入（明细）'!C:C&lt;=$L$4),ROW(),"-")</f>
        <v>-</v>
      </c>
    </row>
    <row r="8844" customHeight="1" spans="2:2">
      <c r="B8844" s="62" t="str">
        <f>IF(AND('领用录入（明细）'!D:D=$F$4,'领用录入（明细）'!C:C&gt;=$J$4,'领用录入（明细）'!C:C&lt;=$L$4),ROW(),"-")</f>
        <v>-</v>
      </c>
    </row>
    <row r="8845" customHeight="1" spans="2:2">
      <c r="B8845" s="62" t="str">
        <f>IF(AND('领用录入（明细）'!D:D=$F$4,'领用录入（明细）'!C:C&gt;=$J$4,'领用录入（明细）'!C:C&lt;=$L$4),ROW(),"-")</f>
        <v>-</v>
      </c>
    </row>
    <row r="8846" customHeight="1" spans="2:2">
      <c r="B8846" s="62" t="str">
        <f>IF(AND('领用录入（明细）'!D:D=$F$4,'领用录入（明细）'!C:C&gt;=$J$4,'领用录入（明细）'!C:C&lt;=$L$4),ROW(),"-")</f>
        <v>-</v>
      </c>
    </row>
    <row r="8847" customHeight="1" spans="2:2">
      <c r="B8847" s="62" t="str">
        <f>IF(AND('领用录入（明细）'!D:D=$F$4,'领用录入（明细）'!C:C&gt;=$J$4,'领用录入（明细）'!C:C&lt;=$L$4),ROW(),"-")</f>
        <v>-</v>
      </c>
    </row>
    <row r="8848" customHeight="1" spans="2:2">
      <c r="B8848" s="62" t="str">
        <f>IF(AND('领用录入（明细）'!D:D=$F$4,'领用录入（明细）'!C:C&gt;=$J$4,'领用录入（明细）'!C:C&lt;=$L$4),ROW(),"-")</f>
        <v>-</v>
      </c>
    </row>
    <row r="8849" customHeight="1" spans="2:2">
      <c r="B8849" s="62" t="str">
        <f>IF(AND('领用录入（明细）'!D:D=$F$4,'领用录入（明细）'!C:C&gt;=$J$4,'领用录入（明细）'!C:C&lt;=$L$4),ROW(),"-")</f>
        <v>-</v>
      </c>
    </row>
    <row r="8850" customHeight="1" spans="2:2">
      <c r="B8850" s="62" t="str">
        <f>IF(AND('领用录入（明细）'!D:D=$F$4,'领用录入（明细）'!C:C&gt;=$J$4,'领用录入（明细）'!C:C&lt;=$L$4),ROW(),"-")</f>
        <v>-</v>
      </c>
    </row>
    <row r="8851" customHeight="1" spans="2:2">
      <c r="B8851" s="62" t="str">
        <f>IF(AND('领用录入（明细）'!D:D=$F$4,'领用录入（明细）'!C:C&gt;=$J$4,'领用录入（明细）'!C:C&lt;=$L$4),ROW(),"-")</f>
        <v>-</v>
      </c>
    </row>
    <row r="8852" customHeight="1" spans="2:2">
      <c r="B8852" s="62" t="str">
        <f>IF(AND('领用录入（明细）'!D:D=$F$4,'领用录入（明细）'!C:C&gt;=$J$4,'领用录入（明细）'!C:C&lt;=$L$4),ROW(),"-")</f>
        <v>-</v>
      </c>
    </row>
    <row r="8853" customHeight="1" spans="2:2">
      <c r="B8853" s="62" t="str">
        <f>IF(AND('领用录入（明细）'!D:D=$F$4,'领用录入（明细）'!C:C&gt;=$J$4,'领用录入（明细）'!C:C&lt;=$L$4),ROW(),"-")</f>
        <v>-</v>
      </c>
    </row>
    <row r="8854" customHeight="1" spans="2:2">
      <c r="B8854" s="62" t="str">
        <f>IF(AND('领用录入（明细）'!D:D=$F$4,'领用录入（明细）'!C:C&gt;=$J$4,'领用录入（明细）'!C:C&lt;=$L$4),ROW(),"-")</f>
        <v>-</v>
      </c>
    </row>
    <row r="8855" customHeight="1" spans="2:2">
      <c r="B8855" s="62" t="str">
        <f>IF(AND('领用录入（明细）'!D:D=$F$4,'领用录入（明细）'!C:C&gt;=$J$4,'领用录入（明细）'!C:C&lt;=$L$4),ROW(),"-")</f>
        <v>-</v>
      </c>
    </row>
    <row r="8856" customHeight="1" spans="2:2">
      <c r="B8856" s="62" t="str">
        <f>IF(AND('领用录入（明细）'!D:D=$F$4,'领用录入（明细）'!C:C&gt;=$J$4,'领用录入（明细）'!C:C&lt;=$L$4),ROW(),"-")</f>
        <v>-</v>
      </c>
    </row>
    <row r="8857" customHeight="1" spans="2:2">
      <c r="B8857" s="62" t="str">
        <f>IF(AND('领用录入（明细）'!D:D=$F$4,'领用录入（明细）'!C:C&gt;=$J$4,'领用录入（明细）'!C:C&lt;=$L$4),ROW(),"-")</f>
        <v>-</v>
      </c>
    </row>
    <row r="8858" customHeight="1" spans="2:2">
      <c r="B8858" s="62" t="str">
        <f>IF(AND('领用录入（明细）'!D:D=$F$4,'领用录入（明细）'!C:C&gt;=$J$4,'领用录入（明细）'!C:C&lt;=$L$4),ROW(),"-")</f>
        <v>-</v>
      </c>
    </row>
    <row r="8859" customHeight="1" spans="2:2">
      <c r="B8859" s="62" t="str">
        <f>IF(AND('领用录入（明细）'!D:D=$F$4,'领用录入（明细）'!C:C&gt;=$J$4,'领用录入（明细）'!C:C&lt;=$L$4),ROW(),"-")</f>
        <v>-</v>
      </c>
    </row>
    <row r="8860" customHeight="1" spans="2:2">
      <c r="B8860" s="62" t="str">
        <f>IF(AND('领用录入（明细）'!D:D=$F$4,'领用录入（明细）'!C:C&gt;=$J$4,'领用录入（明细）'!C:C&lt;=$L$4),ROW(),"-")</f>
        <v>-</v>
      </c>
    </row>
    <row r="8861" customHeight="1" spans="2:2">
      <c r="B8861" s="62" t="str">
        <f>IF(AND('领用录入（明细）'!D:D=$F$4,'领用录入（明细）'!C:C&gt;=$J$4,'领用录入（明细）'!C:C&lt;=$L$4),ROW(),"-")</f>
        <v>-</v>
      </c>
    </row>
    <row r="8862" customHeight="1" spans="2:2">
      <c r="B8862" s="62" t="str">
        <f>IF(AND('领用录入（明细）'!D:D=$F$4,'领用录入（明细）'!C:C&gt;=$J$4,'领用录入（明细）'!C:C&lt;=$L$4),ROW(),"-")</f>
        <v>-</v>
      </c>
    </row>
    <row r="8863" customHeight="1" spans="2:2">
      <c r="B8863" s="62" t="str">
        <f>IF(AND('领用录入（明细）'!D:D=$F$4,'领用录入（明细）'!C:C&gt;=$J$4,'领用录入（明细）'!C:C&lt;=$L$4),ROW(),"-")</f>
        <v>-</v>
      </c>
    </row>
    <row r="8864" customHeight="1" spans="2:2">
      <c r="B8864" s="62" t="str">
        <f>IF(AND('领用录入（明细）'!D:D=$F$4,'领用录入（明细）'!C:C&gt;=$J$4,'领用录入（明细）'!C:C&lt;=$L$4),ROW(),"-")</f>
        <v>-</v>
      </c>
    </row>
    <row r="8865" customHeight="1" spans="2:2">
      <c r="B8865" s="62" t="str">
        <f>IF(AND('领用录入（明细）'!D:D=$F$4,'领用录入（明细）'!C:C&gt;=$J$4,'领用录入（明细）'!C:C&lt;=$L$4),ROW(),"-")</f>
        <v>-</v>
      </c>
    </row>
    <row r="8866" customHeight="1" spans="2:2">
      <c r="B8866" s="62" t="str">
        <f>IF(AND('领用录入（明细）'!D:D=$F$4,'领用录入（明细）'!C:C&gt;=$J$4,'领用录入（明细）'!C:C&lt;=$L$4),ROW(),"-")</f>
        <v>-</v>
      </c>
    </row>
    <row r="8867" customHeight="1" spans="2:2">
      <c r="B8867" s="62" t="str">
        <f>IF(AND('领用录入（明细）'!D:D=$F$4,'领用录入（明细）'!C:C&gt;=$J$4,'领用录入（明细）'!C:C&lt;=$L$4),ROW(),"-")</f>
        <v>-</v>
      </c>
    </row>
    <row r="8868" customHeight="1" spans="2:2">
      <c r="B8868" s="62" t="str">
        <f>IF(AND('领用录入（明细）'!D:D=$F$4,'领用录入（明细）'!C:C&gt;=$J$4,'领用录入（明细）'!C:C&lt;=$L$4),ROW(),"-")</f>
        <v>-</v>
      </c>
    </row>
    <row r="8869" customHeight="1" spans="2:2">
      <c r="B8869" s="62" t="str">
        <f>IF(AND('领用录入（明细）'!D:D=$F$4,'领用录入（明细）'!C:C&gt;=$J$4,'领用录入（明细）'!C:C&lt;=$L$4),ROW(),"-")</f>
        <v>-</v>
      </c>
    </row>
    <row r="8870" customHeight="1" spans="2:2">
      <c r="B8870" s="62" t="str">
        <f>IF(AND('领用录入（明细）'!D:D=$F$4,'领用录入（明细）'!C:C&gt;=$J$4,'领用录入（明细）'!C:C&lt;=$L$4),ROW(),"-")</f>
        <v>-</v>
      </c>
    </row>
    <row r="8871" customHeight="1" spans="2:2">
      <c r="B8871" s="62" t="str">
        <f>IF(AND('领用录入（明细）'!D:D=$F$4,'领用录入（明细）'!C:C&gt;=$J$4,'领用录入（明细）'!C:C&lt;=$L$4),ROW(),"-")</f>
        <v>-</v>
      </c>
    </row>
    <row r="8872" customHeight="1" spans="2:2">
      <c r="B8872" s="62" t="str">
        <f>IF(AND('领用录入（明细）'!D:D=$F$4,'领用录入（明细）'!C:C&gt;=$J$4,'领用录入（明细）'!C:C&lt;=$L$4),ROW(),"-")</f>
        <v>-</v>
      </c>
    </row>
    <row r="8873" customHeight="1" spans="2:2">
      <c r="B8873" s="62" t="str">
        <f>IF(AND('领用录入（明细）'!D:D=$F$4,'领用录入（明细）'!C:C&gt;=$J$4,'领用录入（明细）'!C:C&lt;=$L$4),ROW(),"-")</f>
        <v>-</v>
      </c>
    </row>
    <row r="8874" customHeight="1" spans="2:2">
      <c r="B8874" s="62" t="str">
        <f>IF(AND('领用录入（明细）'!D:D=$F$4,'领用录入（明细）'!C:C&gt;=$J$4,'领用录入（明细）'!C:C&lt;=$L$4),ROW(),"-")</f>
        <v>-</v>
      </c>
    </row>
    <row r="8875" customHeight="1" spans="2:2">
      <c r="B8875" s="62" t="str">
        <f>IF(AND('领用录入（明细）'!D:D=$F$4,'领用录入（明细）'!C:C&gt;=$J$4,'领用录入（明细）'!C:C&lt;=$L$4),ROW(),"-")</f>
        <v>-</v>
      </c>
    </row>
    <row r="8876" customHeight="1" spans="2:2">
      <c r="B8876" s="62" t="str">
        <f>IF(AND('领用录入（明细）'!D:D=$F$4,'领用录入（明细）'!C:C&gt;=$J$4,'领用录入（明细）'!C:C&lt;=$L$4),ROW(),"-")</f>
        <v>-</v>
      </c>
    </row>
    <row r="8877" customHeight="1" spans="2:2">
      <c r="B8877" s="62" t="str">
        <f>IF(AND('领用录入（明细）'!D:D=$F$4,'领用录入（明细）'!C:C&gt;=$J$4,'领用录入（明细）'!C:C&lt;=$L$4),ROW(),"-")</f>
        <v>-</v>
      </c>
    </row>
    <row r="8878" customHeight="1" spans="2:2">
      <c r="B8878" s="62" t="str">
        <f>IF(AND('领用录入（明细）'!D:D=$F$4,'领用录入（明细）'!C:C&gt;=$J$4,'领用录入（明细）'!C:C&lt;=$L$4),ROW(),"-")</f>
        <v>-</v>
      </c>
    </row>
    <row r="8879" customHeight="1" spans="2:2">
      <c r="B8879" s="62" t="str">
        <f>IF(AND('领用录入（明细）'!D:D=$F$4,'领用录入（明细）'!C:C&gt;=$J$4,'领用录入（明细）'!C:C&lt;=$L$4),ROW(),"-")</f>
        <v>-</v>
      </c>
    </row>
    <row r="8880" customHeight="1" spans="2:2">
      <c r="B8880" s="62" t="str">
        <f>IF(AND('领用录入（明细）'!D:D=$F$4,'领用录入（明细）'!C:C&gt;=$J$4,'领用录入（明细）'!C:C&lt;=$L$4),ROW(),"-")</f>
        <v>-</v>
      </c>
    </row>
    <row r="8881" customHeight="1" spans="2:2">
      <c r="B8881" s="62" t="str">
        <f>IF(AND('领用录入（明细）'!D:D=$F$4,'领用录入（明细）'!C:C&gt;=$J$4,'领用录入（明细）'!C:C&lt;=$L$4),ROW(),"-")</f>
        <v>-</v>
      </c>
    </row>
    <row r="8882" customHeight="1" spans="2:2">
      <c r="B8882" s="62" t="str">
        <f>IF(AND('领用录入（明细）'!D:D=$F$4,'领用录入（明细）'!C:C&gt;=$J$4,'领用录入（明细）'!C:C&lt;=$L$4),ROW(),"-")</f>
        <v>-</v>
      </c>
    </row>
    <row r="8883" customHeight="1" spans="2:2">
      <c r="B8883" s="62" t="str">
        <f>IF(AND('领用录入（明细）'!D:D=$F$4,'领用录入（明细）'!C:C&gt;=$J$4,'领用录入（明细）'!C:C&lt;=$L$4),ROW(),"-")</f>
        <v>-</v>
      </c>
    </row>
    <row r="8884" customHeight="1" spans="2:2">
      <c r="B8884" s="62" t="str">
        <f>IF(AND('领用录入（明细）'!D:D=$F$4,'领用录入（明细）'!C:C&gt;=$J$4,'领用录入（明细）'!C:C&lt;=$L$4),ROW(),"-")</f>
        <v>-</v>
      </c>
    </row>
    <row r="8885" customHeight="1" spans="2:2">
      <c r="B8885" s="62" t="str">
        <f>IF(AND('领用录入（明细）'!D:D=$F$4,'领用录入（明细）'!C:C&gt;=$J$4,'领用录入（明细）'!C:C&lt;=$L$4),ROW(),"-")</f>
        <v>-</v>
      </c>
    </row>
    <row r="8886" customHeight="1" spans="2:2">
      <c r="B8886" s="62" t="str">
        <f>IF(AND('领用录入（明细）'!D:D=$F$4,'领用录入（明细）'!C:C&gt;=$J$4,'领用录入（明细）'!C:C&lt;=$L$4),ROW(),"-")</f>
        <v>-</v>
      </c>
    </row>
    <row r="8887" customHeight="1" spans="2:2">
      <c r="B8887" s="62" t="str">
        <f>IF(AND('领用录入（明细）'!D:D=$F$4,'领用录入（明细）'!C:C&gt;=$J$4,'领用录入（明细）'!C:C&lt;=$L$4),ROW(),"-")</f>
        <v>-</v>
      </c>
    </row>
    <row r="8888" customHeight="1" spans="2:2">
      <c r="B8888" s="62" t="str">
        <f>IF(AND('领用录入（明细）'!D:D=$F$4,'领用录入（明细）'!C:C&gt;=$J$4,'领用录入（明细）'!C:C&lt;=$L$4),ROW(),"-")</f>
        <v>-</v>
      </c>
    </row>
    <row r="8889" customHeight="1" spans="2:2">
      <c r="B8889" s="62" t="str">
        <f>IF(AND('领用录入（明细）'!D:D=$F$4,'领用录入（明细）'!C:C&gt;=$J$4,'领用录入（明细）'!C:C&lt;=$L$4),ROW(),"-")</f>
        <v>-</v>
      </c>
    </row>
    <row r="8890" customHeight="1" spans="2:2">
      <c r="B8890" s="62" t="str">
        <f>IF(AND('领用录入（明细）'!D:D=$F$4,'领用录入（明细）'!C:C&gt;=$J$4,'领用录入（明细）'!C:C&lt;=$L$4),ROW(),"-")</f>
        <v>-</v>
      </c>
    </row>
    <row r="8891" customHeight="1" spans="2:2">
      <c r="B8891" s="62" t="str">
        <f>IF(AND('领用录入（明细）'!D:D=$F$4,'领用录入（明细）'!C:C&gt;=$J$4,'领用录入（明细）'!C:C&lt;=$L$4),ROW(),"-")</f>
        <v>-</v>
      </c>
    </row>
    <row r="8892" customHeight="1" spans="2:2">
      <c r="B8892" s="62" t="str">
        <f>IF(AND('领用录入（明细）'!D:D=$F$4,'领用录入（明细）'!C:C&gt;=$J$4,'领用录入（明细）'!C:C&lt;=$L$4),ROW(),"-")</f>
        <v>-</v>
      </c>
    </row>
    <row r="8893" customHeight="1" spans="2:2">
      <c r="B8893" s="62" t="str">
        <f>IF(AND('领用录入（明细）'!D:D=$F$4,'领用录入（明细）'!C:C&gt;=$J$4,'领用录入（明细）'!C:C&lt;=$L$4),ROW(),"-")</f>
        <v>-</v>
      </c>
    </row>
    <row r="8894" customHeight="1" spans="2:2">
      <c r="B8894" s="62" t="str">
        <f>IF(AND('领用录入（明细）'!D:D=$F$4,'领用录入（明细）'!C:C&gt;=$J$4,'领用录入（明细）'!C:C&lt;=$L$4),ROW(),"-")</f>
        <v>-</v>
      </c>
    </row>
    <row r="8895" customHeight="1" spans="2:2">
      <c r="B8895" s="62" t="str">
        <f>IF(AND('领用录入（明细）'!D:D=$F$4,'领用录入（明细）'!C:C&gt;=$J$4,'领用录入（明细）'!C:C&lt;=$L$4),ROW(),"-")</f>
        <v>-</v>
      </c>
    </row>
    <row r="8896" customHeight="1" spans="2:2">
      <c r="B8896" s="62" t="str">
        <f>IF(AND('领用录入（明细）'!D:D=$F$4,'领用录入（明细）'!C:C&gt;=$J$4,'领用录入（明细）'!C:C&lt;=$L$4),ROW(),"-")</f>
        <v>-</v>
      </c>
    </row>
    <row r="8897" customHeight="1" spans="2:2">
      <c r="B8897" s="62" t="str">
        <f>IF(AND('领用录入（明细）'!D:D=$F$4,'领用录入（明细）'!C:C&gt;=$J$4,'领用录入（明细）'!C:C&lt;=$L$4),ROW(),"-")</f>
        <v>-</v>
      </c>
    </row>
    <row r="8898" customHeight="1" spans="2:2">
      <c r="B8898" s="62" t="str">
        <f>IF(AND('领用录入（明细）'!D:D=$F$4,'领用录入（明细）'!C:C&gt;=$J$4,'领用录入（明细）'!C:C&lt;=$L$4),ROW(),"-")</f>
        <v>-</v>
      </c>
    </row>
    <row r="8899" customHeight="1" spans="2:2">
      <c r="B8899" s="62" t="str">
        <f>IF(AND('领用录入（明细）'!D:D=$F$4,'领用录入（明细）'!C:C&gt;=$J$4,'领用录入（明细）'!C:C&lt;=$L$4),ROW(),"-")</f>
        <v>-</v>
      </c>
    </row>
    <row r="8900" customHeight="1" spans="2:2">
      <c r="B8900" s="62" t="str">
        <f>IF(AND('领用录入（明细）'!D:D=$F$4,'领用录入（明细）'!C:C&gt;=$J$4,'领用录入（明细）'!C:C&lt;=$L$4),ROW(),"-")</f>
        <v>-</v>
      </c>
    </row>
    <row r="8901" customHeight="1" spans="2:2">
      <c r="B8901" s="62" t="str">
        <f>IF(AND('领用录入（明细）'!D:D=$F$4,'领用录入（明细）'!C:C&gt;=$J$4,'领用录入（明细）'!C:C&lt;=$L$4),ROW(),"-")</f>
        <v>-</v>
      </c>
    </row>
    <row r="8902" customHeight="1" spans="2:2">
      <c r="B8902" s="62" t="str">
        <f>IF(AND('领用录入（明细）'!D:D=$F$4,'领用录入（明细）'!C:C&gt;=$J$4,'领用录入（明细）'!C:C&lt;=$L$4),ROW(),"-")</f>
        <v>-</v>
      </c>
    </row>
    <row r="8903" customHeight="1" spans="2:2">
      <c r="B8903" s="62" t="str">
        <f>IF(AND('领用录入（明细）'!D:D=$F$4,'领用录入（明细）'!C:C&gt;=$J$4,'领用录入（明细）'!C:C&lt;=$L$4),ROW(),"-")</f>
        <v>-</v>
      </c>
    </row>
    <row r="8904" customHeight="1" spans="2:2">
      <c r="B8904" s="62" t="str">
        <f>IF(AND('领用录入（明细）'!D:D=$F$4,'领用录入（明细）'!C:C&gt;=$J$4,'领用录入（明细）'!C:C&lt;=$L$4),ROW(),"-")</f>
        <v>-</v>
      </c>
    </row>
    <row r="8905" customHeight="1" spans="2:2">
      <c r="B8905" s="62" t="str">
        <f>IF(AND('领用录入（明细）'!D:D=$F$4,'领用录入（明细）'!C:C&gt;=$J$4,'领用录入（明细）'!C:C&lt;=$L$4),ROW(),"-")</f>
        <v>-</v>
      </c>
    </row>
    <row r="8906" customHeight="1" spans="2:2">
      <c r="B8906" s="62" t="str">
        <f>IF(AND('领用录入（明细）'!D:D=$F$4,'领用录入（明细）'!C:C&gt;=$J$4,'领用录入（明细）'!C:C&lt;=$L$4),ROW(),"-")</f>
        <v>-</v>
      </c>
    </row>
    <row r="8907" customHeight="1" spans="2:2">
      <c r="B8907" s="62" t="str">
        <f>IF(AND('领用录入（明细）'!D:D=$F$4,'领用录入（明细）'!C:C&gt;=$J$4,'领用录入（明细）'!C:C&lt;=$L$4),ROW(),"-")</f>
        <v>-</v>
      </c>
    </row>
    <row r="8908" customHeight="1" spans="2:2">
      <c r="B8908" s="62" t="str">
        <f>IF(AND('领用录入（明细）'!D:D=$F$4,'领用录入（明细）'!C:C&gt;=$J$4,'领用录入（明细）'!C:C&lt;=$L$4),ROW(),"-")</f>
        <v>-</v>
      </c>
    </row>
    <row r="8909" customHeight="1" spans="2:2">
      <c r="B8909" s="62" t="str">
        <f>IF(AND('领用录入（明细）'!D:D=$F$4,'领用录入（明细）'!C:C&gt;=$J$4,'领用录入（明细）'!C:C&lt;=$L$4),ROW(),"-")</f>
        <v>-</v>
      </c>
    </row>
    <row r="8910" customHeight="1" spans="2:2">
      <c r="B8910" s="62" t="str">
        <f>IF(AND('领用录入（明细）'!D:D=$F$4,'领用录入（明细）'!C:C&gt;=$J$4,'领用录入（明细）'!C:C&lt;=$L$4),ROW(),"-")</f>
        <v>-</v>
      </c>
    </row>
    <row r="8911" customHeight="1" spans="2:2">
      <c r="B8911" s="62" t="str">
        <f>IF(AND('领用录入（明细）'!D:D=$F$4,'领用录入（明细）'!C:C&gt;=$J$4,'领用录入（明细）'!C:C&lt;=$L$4),ROW(),"-")</f>
        <v>-</v>
      </c>
    </row>
    <row r="8912" customHeight="1" spans="2:2">
      <c r="B8912" s="62" t="str">
        <f>IF(AND('领用录入（明细）'!D:D=$F$4,'领用录入（明细）'!C:C&gt;=$J$4,'领用录入（明细）'!C:C&lt;=$L$4),ROW(),"-")</f>
        <v>-</v>
      </c>
    </row>
    <row r="8913" customHeight="1" spans="2:2">
      <c r="B8913" s="62" t="str">
        <f>IF(AND('领用录入（明细）'!D:D=$F$4,'领用录入（明细）'!C:C&gt;=$J$4,'领用录入（明细）'!C:C&lt;=$L$4),ROW(),"-")</f>
        <v>-</v>
      </c>
    </row>
    <row r="8914" customHeight="1" spans="2:2">
      <c r="B8914" s="62" t="str">
        <f>IF(AND('领用录入（明细）'!D:D=$F$4,'领用录入（明细）'!C:C&gt;=$J$4,'领用录入（明细）'!C:C&lt;=$L$4),ROW(),"-")</f>
        <v>-</v>
      </c>
    </row>
    <row r="8915" customHeight="1" spans="2:2">
      <c r="B8915" s="62" t="str">
        <f>IF(AND('领用录入（明细）'!D:D=$F$4,'领用录入（明细）'!C:C&gt;=$J$4,'领用录入（明细）'!C:C&lt;=$L$4),ROW(),"-")</f>
        <v>-</v>
      </c>
    </row>
    <row r="8916" customHeight="1" spans="2:2">
      <c r="B8916" s="62" t="str">
        <f>IF(AND('领用录入（明细）'!D:D=$F$4,'领用录入（明细）'!C:C&gt;=$J$4,'领用录入（明细）'!C:C&lt;=$L$4),ROW(),"-")</f>
        <v>-</v>
      </c>
    </row>
    <row r="8917" customHeight="1" spans="2:2">
      <c r="B8917" s="62" t="str">
        <f>IF(AND('领用录入（明细）'!D:D=$F$4,'领用录入（明细）'!C:C&gt;=$J$4,'领用录入（明细）'!C:C&lt;=$L$4),ROW(),"-")</f>
        <v>-</v>
      </c>
    </row>
    <row r="8918" customHeight="1" spans="2:2">
      <c r="B8918" s="62" t="str">
        <f>IF(AND('领用录入（明细）'!D:D=$F$4,'领用录入（明细）'!C:C&gt;=$J$4,'领用录入（明细）'!C:C&lt;=$L$4),ROW(),"-")</f>
        <v>-</v>
      </c>
    </row>
    <row r="8919" customHeight="1" spans="2:2">
      <c r="B8919" s="62" t="str">
        <f>IF(AND('领用录入（明细）'!D:D=$F$4,'领用录入（明细）'!C:C&gt;=$J$4,'领用录入（明细）'!C:C&lt;=$L$4),ROW(),"-")</f>
        <v>-</v>
      </c>
    </row>
    <row r="8920" customHeight="1" spans="2:2">
      <c r="B8920" s="62" t="str">
        <f>IF(AND('领用录入（明细）'!D:D=$F$4,'领用录入（明细）'!C:C&gt;=$J$4,'领用录入（明细）'!C:C&lt;=$L$4),ROW(),"-")</f>
        <v>-</v>
      </c>
    </row>
    <row r="8921" customHeight="1" spans="2:2">
      <c r="B8921" s="62" t="str">
        <f>IF(AND('领用录入（明细）'!D:D=$F$4,'领用录入（明细）'!C:C&gt;=$J$4,'领用录入（明细）'!C:C&lt;=$L$4),ROW(),"-")</f>
        <v>-</v>
      </c>
    </row>
    <row r="8922" customHeight="1" spans="2:2">
      <c r="B8922" s="62" t="str">
        <f>IF(AND('领用录入（明细）'!D:D=$F$4,'领用录入（明细）'!C:C&gt;=$J$4,'领用录入（明细）'!C:C&lt;=$L$4),ROW(),"-")</f>
        <v>-</v>
      </c>
    </row>
    <row r="8923" customHeight="1" spans="2:2">
      <c r="B8923" s="62" t="str">
        <f>IF(AND('领用录入（明细）'!D:D=$F$4,'领用录入（明细）'!C:C&gt;=$J$4,'领用录入（明细）'!C:C&lt;=$L$4),ROW(),"-")</f>
        <v>-</v>
      </c>
    </row>
    <row r="8924" customHeight="1" spans="2:2">
      <c r="B8924" s="62" t="str">
        <f>IF(AND('领用录入（明细）'!D:D=$F$4,'领用录入（明细）'!C:C&gt;=$J$4,'领用录入（明细）'!C:C&lt;=$L$4),ROW(),"-")</f>
        <v>-</v>
      </c>
    </row>
    <row r="8925" customHeight="1" spans="2:2">
      <c r="B8925" s="62" t="str">
        <f>IF(AND('领用录入（明细）'!D:D=$F$4,'领用录入（明细）'!C:C&gt;=$J$4,'领用录入（明细）'!C:C&lt;=$L$4),ROW(),"-")</f>
        <v>-</v>
      </c>
    </row>
    <row r="8926" customHeight="1" spans="2:2">
      <c r="B8926" s="62" t="str">
        <f>IF(AND('领用录入（明细）'!D:D=$F$4,'领用录入（明细）'!C:C&gt;=$J$4,'领用录入（明细）'!C:C&lt;=$L$4),ROW(),"-")</f>
        <v>-</v>
      </c>
    </row>
    <row r="8927" customHeight="1" spans="2:2">
      <c r="B8927" s="62" t="str">
        <f>IF(AND('领用录入（明细）'!D:D=$F$4,'领用录入（明细）'!C:C&gt;=$J$4,'领用录入（明细）'!C:C&lt;=$L$4),ROW(),"-")</f>
        <v>-</v>
      </c>
    </row>
    <row r="8928" customHeight="1" spans="2:2">
      <c r="B8928" s="62" t="str">
        <f>IF(AND('领用录入（明细）'!D:D=$F$4,'领用录入（明细）'!C:C&gt;=$J$4,'领用录入（明细）'!C:C&lt;=$L$4),ROW(),"-")</f>
        <v>-</v>
      </c>
    </row>
    <row r="8929" customHeight="1" spans="2:2">
      <c r="B8929" s="62" t="str">
        <f>IF(AND('领用录入（明细）'!D:D=$F$4,'领用录入（明细）'!C:C&gt;=$J$4,'领用录入（明细）'!C:C&lt;=$L$4),ROW(),"-")</f>
        <v>-</v>
      </c>
    </row>
    <row r="8930" customHeight="1" spans="2:2">
      <c r="B8930" s="62" t="str">
        <f>IF(AND('领用录入（明细）'!D:D=$F$4,'领用录入（明细）'!C:C&gt;=$J$4,'领用录入（明细）'!C:C&lt;=$L$4),ROW(),"-")</f>
        <v>-</v>
      </c>
    </row>
    <row r="8931" customHeight="1" spans="2:2">
      <c r="B8931" s="62" t="str">
        <f>IF(AND('领用录入（明细）'!D:D=$F$4,'领用录入（明细）'!C:C&gt;=$J$4,'领用录入（明细）'!C:C&lt;=$L$4),ROW(),"-")</f>
        <v>-</v>
      </c>
    </row>
    <row r="8932" customHeight="1" spans="2:2">
      <c r="B8932" s="62" t="str">
        <f>IF(AND('领用录入（明细）'!D:D=$F$4,'领用录入（明细）'!C:C&gt;=$J$4,'领用录入（明细）'!C:C&lt;=$L$4),ROW(),"-")</f>
        <v>-</v>
      </c>
    </row>
    <row r="8933" customHeight="1" spans="2:2">
      <c r="B8933" s="62" t="str">
        <f>IF(AND('领用录入（明细）'!D:D=$F$4,'领用录入（明细）'!C:C&gt;=$J$4,'领用录入（明细）'!C:C&lt;=$L$4),ROW(),"-")</f>
        <v>-</v>
      </c>
    </row>
    <row r="8934" customHeight="1" spans="2:2">
      <c r="B8934" s="62" t="str">
        <f>IF(AND('领用录入（明细）'!D:D=$F$4,'领用录入（明细）'!C:C&gt;=$J$4,'领用录入（明细）'!C:C&lt;=$L$4),ROW(),"-")</f>
        <v>-</v>
      </c>
    </row>
    <row r="8935" customHeight="1" spans="2:2">
      <c r="B8935" s="62" t="str">
        <f>IF(AND('领用录入（明细）'!D:D=$F$4,'领用录入（明细）'!C:C&gt;=$J$4,'领用录入（明细）'!C:C&lt;=$L$4),ROW(),"-")</f>
        <v>-</v>
      </c>
    </row>
    <row r="8936" customHeight="1" spans="2:2">
      <c r="B8936" s="62" t="str">
        <f>IF(AND('领用录入（明细）'!D:D=$F$4,'领用录入（明细）'!C:C&gt;=$J$4,'领用录入（明细）'!C:C&lt;=$L$4),ROW(),"-")</f>
        <v>-</v>
      </c>
    </row>
    <row r="8937" customHeight="1" spans="2:2">
      <c r="B8937" s="62" t="str">
        <f>IF(AND('领用录入（明细）'!D:D=$F$4,'领用录入（明细）'!C:C&gt;=$J$4,'领用录入（明细）'!C:C&lt;=$L$4),ROW(),"-")</f>
        <v>-</v>
      </c>
    </row>
    <row r="8938" customHeight="1" spans="2:2">
      <c r="B8938" s="62" t="str">
        <f>IF(AND('领用录入（明细）'!D:D=$F$4,'领用录入（明细）'!C:C&gt;=$J$4,'领用录入（明细）'!C:C&lt;=$L$4),ROW(),"-")</f>
        <v>-</v>
      </c>
    </row>
    <row r="8939" customHeight="1" spans="2:2">
      <c r="B8939" s="62" t="str">
        <f>IF(AND('领用录入（明细）'!D:D=$F$4,'领用录入（明细）'!C:C&gt;=$J$4,'领用录入（明细）'!C:C&lt;=$L$4),ROW(),"-")</f>
        <v>-</v>
      </c>
    </row>
    <row r="8940" customHeight="1" spans="2:2">
      <c r="B8940" s="62" t="str">
        <f>IF(AND('领用录入（明细）'!D:D=$F$4,'领用录入（明细）'!C:C&gt;=$J$4,'领用录入（明细）'!C:C&lt;=$L$4),ROW(),"-")</f>
        <v>-</v>
      </c>
    </row>
    <row r="8941" customHeight="1" spans="2:2">
      <c r="B8941" s="62" t="str">
        <f>IF(AND('领用录入（明细）'!D:D=$F$4,'领用录入（明细）'!C:C&gt;=$J$4,'领用录入（明细）'!C:C&lt;=$L$4),ROW(),"-")</f>
        <v>-</v>
      </c>
    </row>
    <row r="8942" customHeight="1" spans="2:2">
      <c r="B8942" s="62" t="str">
        <f>IF(AND('领用录入（明细）'!D:D=$F$4,'领用录入（明细）'!C:C&gt;=$J$4,'领用录入（明细）'!C:C&lt;=$L$4),ROW(),"-")</f>
        <v>-</v>
      </c>
    </row>
    <row r="8943" customHeight="1" spans="2:2">
      <c r="B8943" s="62" t="str">
        <f>IF(AND('领用录入（明细）'!D:D=$F$4,'领用录入（明细）'!C:C&gt;=$J$4,'领用录入（明细）'!C:C&lt;=$L$4),ROW(),"-")</f>
        <v>-</v>
      </c>
    </row>
    <row r="8944" customHeight="1" spans="2:2">
      <c r="B8944" s="62" t="str">
        <f>IF(AND('领用录入（明细）'!D:D=$F$4,'领用录入（明细）'!C:C&gt;=$J$4,'领用录入（明细）'!C:C&lt;=$L$4),ROW(),"-")</f>
        <v>-</v>
      </c>
    </row>
    <row r="8945" customHeight="1" spans="2:2">
      <c r="B8945" s="62" t="str">
        <f>IF(AND('领用录入（明细）'!D:D=$F$4,'领用录入（明细）'!C:C&gt;=$J$4,'领用录入（明细）'!C:C&lt;=$L$4),ROW(),"-")</f>
        <v>-</v>
      </c>
    </row>
    <row r="8946" customHeight="1" spans="2:2">
      <c r="B8946" s="62" t="str">
        <f>IF(AND('领用录入（明细）'!D:D=$F$4,'领用录入（明细）'!C:C&gt;=$J$4,'领用录入（明细）'!C:C&lt;=$L$4),ROW(),"-")</f>
        <v>-</v>
      </c>
    </row>
    <row r="8947" customHeight="1" spans="2:2">
      <c r="B8947" s="62" t="str">
        <f>IF(AND('领用录入（明细）'!D:D=$F$4,'领用录入（明细）'!C:C&gt;=$J$4,'领用录入（明细）'!C:C&lt;=$L$4),ROW(),"-")</f>
        <v>-</v>
      </c>
    </row>
    <row r="8948" customHeight="1" spans="2:2">
      <c r="B8948" s="62" t="str">
        <f>IF(AND('领用录入（明细）'!D:D=$F$4,'领用录入（明细）'!C:C&gt;=$J$4,'领用录入（明细）'!C:C&lt;=$L$4),ROW(),"-")</f>
        <v>-</v>
      </c>
    </row>
    <row r="8949" customHeight="1" spans="2:2">
      <c r="B8949" s="62" t="str">
        <f>IF(AND('领用录入（明细）'!D:D=$F$4,'领用录入（明细）'!C:C&gt;=$J$4,'领用录入（明细）'!C:C&lt;=$L$4),ROW(),"-")</f>
        <v>-</v>
      </c>
    </row>
    <row r="8950" customHeight="1" spans="2:2">
      <c r="B8950" s="62" t="str">
        <f>IF(AND('领用录入（明细）'!D:D=$F$4,'领用录入（明细）'!C:C&gt;=$J$4,'领用录入（明细）'!C:C&lt;=$L$4),ROW(),"-")</f>
        <v>-</v>
      </c>
    </row>
    <row r="8951" customHeight="1" spans="2:2">
      <c r="B8951" s="62" t="str">
        <f>IF(AND('领用录入（明细）'!D:D=$F$4,'领用录入（明细）'!C:C&gt;=$J$4,'领用录入（明细）'!C:C&lt;=$L$4),ROW(),"-")</f>
        <v>-</v>
      </c>
    </row>
    <row r="8952" customHeight="1" spans="2:2">
      <c r="B8952" s="62" t="str">
        <f>IF(AND('领用录入（明细）'!D:D=$F$4,'领用录入（明细）'!C:C&gt;=$J$4,'领用录入（明细）'!C:C&lt;=$L$4),ROW(),"-")</f>
        <v>-</v>
      </c>
    </row>
    <row r="8953" customHeight="1" spans="2:2">
      <c r="B8953" s="62" t="str">
        <f>IF(AND('领用录入（明细）'!D:D=$F$4,'领用录入（明细）'!C:C&gt;=$J$4,'领用录入（明细）'!C:C&lt;=$L$4),ROW(),"-")</f>
        <v>-</v>
      </c>
    </row>
    <row r="8954" customHeight="1" spans="2:2">
      <c r="B8954" s="62" t="str">
        <f>IF(AND('领用录入（明细）'!D:D=$F$4,'领用录入（明细）'!C:C&gt;=$J$4,'领用录入（明细）'!C:C&lt;=$L$4),ROW(),"-")</f>
        <v>-</v>
      </c>
    </row>
    <row r="8955" customHeight="1" spans="2:2">
      <c r="B8955" s="62" t="str">
        <f>IF(AND('领用录入（明细）'!D:D=$F$4,'领用录入（明细）'!C:C&gt;=$J$4,'领用录入（明细）'!C:C&lt;=$L$4),ROW(),"-")</f>
        <v>-</v>
      </c>
    </row>
    <row r="8956" customHeight="1" spans="2:2">
      <c r="B8956" s="62" t="str">
        <f>IF(AND('领用录入（明细）'!D:D=$F$4,'领用录入（明细）'!C:C&gt;=$J$4,'领用录入（明细）'!C:C&lt;=$L$4),ROW(),"-")</f>
        <v>-</v>
      </c>
    </row>
    <row r="8957" customHeight="1" spans="2:2">
      <c r="B8957" s="62" t="str">
        <f>IF(AND('领用录入（明细）'!D:D=$F$4,'领用录入（明细）'!C:C&gt;=$J$4,'领用录入（明细）'!C:C&lt;=$L$4),ROW(),"-")</f>
        <v>-</v>
      </c>
    </row>
    <row r="8958" customHeight="1" spans="2:2">
      <c r="B8958" s="62" t="str">
        <f>IF(AND('领用录入（明细）'!D:D=$F$4,'领用录入（明细）'!C:C&gt;=$J$4,'领用录入（明细）'!C:C&lt;=$L$4),ROW(),"-")</f>
        <v>-</v>
      </c>
    </row>
    <row r="8959" customHeight="1" spans="2:2">
      <c r="B8959" s="62" t="str">
        <f>IF(AND('领用录入（明细）'!D:D=$F$4,'领用录入（明细）'!C:C&gt;=$J$4,'领用录入（明细）'!C:C&lt;=$L$4),ROW(),"-")</f>
        <v>-</v>
      </c>
    </row>
    <row r="8960" customHeight="1" spans="2:2">
      <c r="B8960" s="62" t="str">
        <f>IF(AND('领用录入（明细）'!D:D=$F$4,'领用录入（明细）'!C:C&gt;=$J$4,'领用录入（明细）'!C:C&lt;=$L$4),ROW(),"-")</f>
        <v>-</v>
      </c>
    </row>
    <row r="8961" customHeight="1" spans="2:2">
      <c r="B8961" s="62" t="str">
        <f>IF(AND('领用录入（明细）'!D:D=$F$4,'领用录入（明细）'!C:C&gt;=$J$4,'领用录入（明细）'!C:C&lt;=$L$4),ROW(),"-")</f>
        <v>-</v>
      </c>
    </row>
    <row r="8962" customHeight="1" spans="2:2">
      <c r="B8962" s="62" t="str">
        <f>IF(AND('领用录入（明细）'!D:D=$F$4,'领用录入（明细）'!C:C&gt;=$J$4,'领用录入（明细）'!C:C&lt;=$L$4),ROW(),"-")</f>
        <v>-</v>
      </c>
    </row>
    <row r="8963" customHeight="1" spans="2:2">
      <c r="B8963" s="62" t="str">
        <f>IF(AND('领用录入（明细）'!D:D=$F$4,'领用录入（明细）'!C:C&gt;=$J$4,'领用录入（明细）'!C:C&lt;=$L$4),ROW(),"-")</f>
        <v>-</v>
      </c>
    </row>
    <row r="8964" customHeight="1" spans="2:2">
      <c r="B8964" s="62" t="str">
        <f>IF(AND('领用录入（明细）'!D:D=$F$4,'领用录入（明细）'!C:C&gt;=$J$4,'领用录入（明细）'!C:C&lt;=$L$4),ROW(),"-")</f>
        <v>-</v>
      </c>
    </row>
    <row r="8965" customHeight="1" spans="2:2">
      <c r="B8965" s="62" t="str">
        <f>IF(AND('领用录入（明细）'!D:D=$F$4,'领用录入（明细）'!C:C&gt;=$J$4,'领用录入（明细）'!C:C&lt;=$L$4),ROW(),"-")</f>
        <v>-</v>
      </c>
    </row>
    <row r="8966" customHeight="1" spans="2:2">
      <c r="B8966" s="62" t="str">
        <f>IF(AND('领用录入（明细）'!D:D=$F$4,'领用录入（明细）'!C:C&gt;=$J$4,'领用录入（明细）'!C:C&lt;=$L$4),ROW(),"-")</f>
        <v>-</v>
      </c>
    </row>
    <row r="8967" customHeight="1" spans="2:2">
      <c r="B8967" s="62" t="str">
        <f>IF(AND('领用录入（明细）'!D:D=$F$4,'领用录入（明细）'!C:C&gt;=$J$4,'领用录入（明细）'!C:C&lt;=$L$4),ROW(),"-")</f>
        <v>-</v>
      </c>
    </row>
    <row r="8968" customHeight="1" spans="2:2">
      <c r="B8968" s="62" t="str">
        <f>IF(AND('领用录入（明细）'!D:D=$F$4,'领用录入（明细）'!C:C&gt;=$J$4,'领用录入（明细）'!C:C&lt;=$L$4),ROW(),"-")</f>
        <v>-</v>
      </c>
    </row>
    <row r="8969" customHeight="1" spans="2:2">
      <c r="B8969" s="62" t="str">
        <f>IF(AND('领用录入（明细）'!D:D=$F$4,'领用录入（明细）'!C:C&gt;=$J$4,'领用录入（明细）'!C:C&lt;=$L$4),ROW(),"-")</f>
        <v>-</v>
      </c>
    </row>
    <row r="8970" customHeight="1" spans="2:2">
      <c r="B8970" s="62" t="str">
        <f>IF(AND('领用录入（明细）'!D:D=$F$4,'领用录入（明细）'!C:C&gt;=$J$4,'领用录入（明细）'!C:C&lt;=$L$4),ROW(),"-")</f>
        <v>-</v>
      </c>
    </row>
    <row r="8971" customHeight="1" spans="2:2">
      <c r="B8971" s="62" t="str">
        <f>IF(AND('领用录入（明细）'!D:D=$F$4,'领用录入（明细）'!C:C&gt;=$J$4,'领用录入（明细）'!C:C&lt;=$L$4),ROW(),"-")</f>
        <v>-</v>
      </c>
    </row>
    <row r="8972" customHeight="1" spans="2:2">
      <c r="B8972" s="62" t="str">
        <f>IF(AND('领用录入（明细）'!D:D=$F$4,'领用录入（明细）'!C:C&gt;=$J$4,'领用录入（明细）'!C:C&lt;=$L$4),ROW(),"-")</f>
        <v>-</v>
      </c>
    </row>
    <row r="8973" customHeight="1" spans="2:2">
      <c r="B8973" s="62" t="str">
        <f>IF(AND('领用录入（明细）'!D:D=$F$4,'领用录入（明细）'!C:C&gt;=$J$4,'领用录入（明细）'!C:C&lt;=$L$4),ROW(),"-")</f>
        <v>-</v>
      </c>
    </row>
    <row r="8974" customHeight="1" spans="2:2">
      <c r="B8974" s="62" t="str">
        <f>IF(AND('领用录入（明细）'!D:D=$F$4,'领用录入（明细）'!C:C&gt;=$J$4,'领用录入（明细）'!C:C&lt;=$L$4),ROW(),"-")</f>
        <v>-</v>
      </c>
    </row>
    <row r="8975" customHeight="1" spans="2:2">
      <c r="B8975" s="62" t="str">
        <f>IF(AND('领用录入（明细）'!D:D=$F$4,'领用录入（明细）'!C:C&gt;=$J$4,'领用录入（明细）'!C:C&lt;=$L$4),ROW(),"-")</f>
        <v>-</v>
      </c>
    </row>
    <row r="8976" customHeight="1" spans="2:2">
      <c r="B8976" s="62" t="str">
        <f>IF(AND('领用录入（明细）'!D:D=$F$4,'领用录入（明细）'!C:C&gt;=$J$4,'领用录入（明细）'!C:C&lt;=$L$4),ROW(),"-")</f>
        <v>-</v>
      </c>
    </row>
    <row r="8977" customHeight="1" spans="2:2">
      <c r="B8977" s="62" t="str">
        <f>IF(AND('领用录入（明细）'!D:D=$F$4,'领用录入（明细）'!C:C&gt;=$J$4,'领用录入（明细）'!C:C&lt;=$L$4),ROW(),"-")</f>
        <v>-</v>
      </c>
    </row>
    <row r="8978" customHeight="1" spans="2:2">
      <c r="B8978" s="62" t="str">
        <f>IF(AND('领用录入（明细）'!D:D=$F$4,'领用录入（明细）'!C:C&gt;=$J$4,'领用录入（明细）'!C:C&lt;=$L$4),ROW(),"-")</f>
        <v>-</v>
      </c>
    </row>
    <row r="8979" customHeight="1" spans="2:2">
      <c r="B8979" s="62" t="str">
        <f>IF(AND('领用录入（明细）'!D:D=$F$4,'领用录入（明细）'!C:C&gt;=$J$4,'领用录入（明细）'!C:C&lt;=$L$4),ROW(),"-")</f>
        <v>-</v>
      </c>
    </row>
    <row r="8980" customHeight="1" spans="2:2">
      <c r="B8980" s="62" t="str">
        <f>IF(AND('领用录入（明细）'!D:D=$F$4,'领用录入（明细）'!C:C&gt;=$J$4,'领用录入（明细）'!C:C&lt;=$L$4),ROW(),"-")</f>
        <v>-</v>
      </c>
    </row>
    <row r="8981" customHeight="1" spans="2:2">
      <c r="B8981" s="62" t="str">
        <f>IF(AND('领用录入（明细）'!D:D=$F$4,'领用录入（明细）'!C:C&gt;=$J$4,'领用录入（明细）'!C:C&lt;=$L$4),ROW(),"-")</f>
        <v>-</v>
      </c>
    </row>
    <row r="8982" customHeight="1" spans="2:2">
      <c r="B8982" s="62" t="str">
        <f>IF(AND('领用录入（明细）'!D:D=$F$4,'领用录入（明细）'!C:C&gt;=$J$4,'领用录入（明细）'!C:C&lt;=$L$4),ROW(),"-")</f>
        <v>-</v>
      </c>
    </row>
    <row r="8983" customHeight="1" spans="2:2">
      <c r="B8983" s="62" t="str">
        <f>IF(AND('领用录入（明细）'!D:D=$F$4,'领用录入（明细）'!C:C&gt;=$J$4,'领用录入（明细）'!C:C&lt;=$L$4),ROW(),"-")</f>
        <v>-</v>
      </c>
    </row>
    <row r="8984" customHeight="1" spans="2:2">
      <c r="B8984" s="62" t="str">
        <f>IF(AND('领用录入（明细）'!D:D=$F$4,'领用录入（明细）'!C:C&gt;=$J$4,'领用录入（明细）'!C:C&lt;=$L$4),ROW(),"-")</f>
        <v>-</v>
      </c>
    </row>
    <row r="8985" customHeight="1" spans="2:2">
      <c r="B8985" s="62" t="str">
        <f>IF(AND('领用录入（明细）'!D:D=$F$4,'领用录入（明细）'!C:C&gt;=$J$4,'领用录入（明细）'!C:C&lt;=$L$4),ROW(),"-")</f>
        <v>-</v>
      </c>
    </row>
    <row r="8986" customHeight="1" spans="2:2">
      <c r="B8986" s="62" t="str">
        <f>IF(AND('领用录入（明细）'!D:D=$F$4,'领用录入（明细）'!C:C&gt;=$J$4,'领用录入（明细）'!C:C&lt;=$L$4),ROW(),"-")</f>
        <v>-</v>
      </c>
    </row>
    <row r="8987" customHeight="1" spans="2:2">
      <c r="B8987" s="62" t="str">
        <f>IF(AND('领用录入（明细）'!D:D=$F$4,'领用录入（明细）'!C:C&gt;=$J$4,'领用录入（明细）'!C:C&lt;=$L$4),ROW(),"-")</f>
        <v>-</v>
      </c>
    </row>
    <row r="8988" customHeight="1" spans="2:2">
      <c r="B8988" s="62" t="str">
        <f>IF(AND('领用录入（明细）'!D:D=$F$4,'领用录入（明细）'!C:C&gt;=$J$4,'领用录入（明细）'!C:C&lt;=$L$4),ROW(),"-")</f>
        <v>-</v>
      </c>
    </row>
    <row r="8989" customHeight="1" spans="2:2">
      <c r="B8989" s="62" t="str">
        <f>IF(AND('领用录入（明细）'!D:D=$F$4,'领用录入（明细）'!C:C&gt;=$J$4,'领用录入（明细）'!C:C&lt;=$L$4),ROW(),"-")</f>
        <v>-</v>
      </c>
    </row>
    <row r="8990" customHeight="1" spans="2:2">
      <c r="B8990" s="62" t="str">
        <f>IF(AND('领用录入（明细）'!D:D=$F$4,'领用录入（明细）'!C:C&gt;=$J$4,'领用录入（明细）'!C:C&lt;=$L$4),ROW(),"-")</f>
        <v>-</v>
      </c>
    </row>
    <row r="8991" customHeight="1" spans="2:2">
      <c r="B8991" s="62" t="str">
        <f>IF(AND('领用录入（明细）'!D:D=$F$4,'领用录入（明细）'!C:C&gt;=$J$4,'领用录入（明细）'!C:C&lt;=$L$4),ROW(),"-")</f>
        <v>-</v>
      </c>
    </row>
    <row r="8992" customHeight="1" spans="2:2">
      <c r="B8992" s="62" t="str">
        <f>IF(AND('领用录入（明细）'!D:D=$F$4,'领用录入（明细）'!C:C&gt;=$J$4,'领用录入（明细）'!C:C&lt;=$L$4),ROW(),"-")</f>
        <v>-</v>
      </c>
    </row>
    <row r="8993" customHeight="1" spans="2:2">
      <c r="B8993" s="62" t="str">
        <f>IF(AND('领用录入（明细）'!D:D=$F$4,'领用录入（明细）'!C:C&gt;=$J$4,'领用录入（明细）'!C:C&lt;=$L$4),ROW(),"-")</f>
        <v>-</v>
      </c>
    </row>
    <row r="8994" customHeight="1" spans="2:2">
      <c r="B8994" s="62" t="str">
        <f>IF(AND('领用录入（明细）'!D:D=$F$4,'领用录入（明细）'!C:C&gt;=$J$4,'领用录入（明细）'!C:C&lt;=$L$4),ROW(),"-")</f>
        <v>-</v>
      </c>
    </row>
    <row r="8995" customHeight="1" spans="2:2">
      <c r="B8995" s="62" t="str">
        <f>IF(AND('领用录入（明细）'!D:D=$F$4,'领用录入（明细）'!C:C&gt;=$J$4,'领用录入（明细）'!C:C&lt;=$L$4),ROW(),"-")</f>
        <v>-</v>
      </c>
    </row>
    <row r="8996" customHeight="1" spans="2:2">
      <c r="B8996" s="62" t="str">
        <f>IF(AND('领用录入（明细）'!D:D=$F$4,'领用录入（明细）'!C:C&gt;=$J$4,'领用录入（明细）'!C:C&lt;=$L$4),ROW(),"-")</f>
        <v>-</v>
      </c>
    </row>
    <row r="8997" customHeight="1" spans="2:2">
      <c r="B8997" s="62" t="str">
        <f>IF(AND('领用录入（明细）'!D:D=$F$4,'领用录入（明细）'!C:C&gt;=$J$4,'领用录入（明细）'!C:C&lt;=$L$4),ROW(),"-")</f>
        <v>-</v>
      </c>
    </row>
    <row r="8998" customHeight="1" spans="2:2">
      <c r="B8998" s="62" t="str">
        <f>IF(AND('领用录入（明细）'!D:D=$F$4,'领用录入（明细）'!C:C&gt;=$J$4,'领用录入（明细）'!C:C&lt;=$L$4),ROW(),"-")</f>
        <v>-</v>
      </c>
    </row>
    <row r="8999" customHeight="1" spans="2:2">
      <c r="B8999" s="62" t="str">
        <f>IF(AND('领用录入（明细）'!D:D=$F$4,'领用录入（明细）'!C:C&gt;=$J$4,'领用录入（明细）'!C:C&lt;=$L$4),ROW(),"-")</f>
        <v>-</v>
      </c>
    </row>
    <row r="9000" customHeight="1" spans="2:2">
      <c r="B9000" s="62" t="str">
        <f>IF(AND('领用录入（明细）'!D:D=$F$4,'领用录入（明细）'!C:C&gt;=$J$4,'领用录入（明细）'!C:C&lt;=$L$4),ROW(),"-")</f>
        <v>-</v>
      </c>
    </row>
    <row r="9001" customHeight="1" spans="2:2">
      <c r="B9001" s="62" t="str">
        <f>IF(AND('领用录入（明细）'!D:D=$F$4,'领用录入（明细）'!C:C&gt;=$J$4,'领用录入（明细）'!C:C&lt;=$L$4),ROW(),"-")</f>
        <v>-</v>
      </c>
    </row>
    <row r="9002" customHeight="1" spans="2:2">
      <c r="B9002" s="62" t="str">
        <f>IF(AND('领用录入（明细）'!D:D=$F$4,'领用录入（明细）'!C:C&gt;=$J$4,'领用录入（明细）'!C:C&lt;=$L$4),ROW(),"-")</f>
        <v>-</v>
      </c>
    </row>
    <row r="9003" customHeight="1" spans="2:2">
      <c r="B9003" s="62" t="str">
        <f>IF(AND('领用录入（明细）'!D:D=$F$4,'领用录入（明细）'!C:C&gt;=$J$4,'领用录入（明细）'!C:C&lt;=$L$4),ROW(),"-")</f>
        <v>-</v>
      </c>
    </row>
    <row r="9004" customHeight="1" spans="2:2">
      <c r="B9004" s="62" t="str">
        <f>IF(AND('领用录入（明细）'!D:D=$F$4,'领用录入（明细）'!C:C&gt;=$J$4,'领用录入（明细）'!C:C&lt;=$L$4),ROW(),"-")</f>
        <v>-</v>
      </c>
    </row>
    <row r="9005" customHeight="1" spans="2:2">
      <c r="B9005" s="62" t="str">
        <f>IF(AND('领用录入（明细）'!D:D=$F$4,'领用录入（明细）'!C:C&gt;=$J$4,'领用录入（明细）'!C:C&lt;=$L$4),ROW(),"-")</f>
        <v>-</v>
      </c>
    </row>
    <row r="9006" customHeight="1" spans="2:2">
      <c r="B9006" s="62" t="str">
        <f>IF(AND('领用录入（明细）'!D:D=$F$4,'领用录入（明细）'!C:C&gt;=$J$4,'领用录入（明细）'!C:C&lt;=$L$4),ROW(),"-")</f>
        <v>-</v>
      </c>
    </row>
    <row r="9007" customHeight="1" spans="2:2">
      <c r="B9007" s="62" t="str">
        <f>IF(AND('领用录入（明细）'!D:D=$F$4,'领用录入（明细）'!C:C&gt;=$J$4,'领用录入（明细）'!C:C&lt;=$L$4),ROW(),"-")</f>
        <v>-</v>
      </c>
    </row>
    <row r="9008" customHeight="1" spans="2:2">
      <c r="B9008" s="62" t="str">
        <f>IF(AND('领用录入（明细）'!D:D=$F$4,'领用录入（明细）'!C:C&gt;=$J$4,'领用录入（明细）'!C:C&lt;=$L$4),ROW(),"-")</f>
        <v>-</v>
      </c>
    </row>
    <row r="9009" customHeight="1" spans="2:2">
      <c r="B9009" s="62" t="str">
        <f>IF(AND('领用录入（明细）'!D:D=$F$4,'领用录入（明细）'!C:C&gt;=$J$4,'领用录入（明细）'!C:C&lt;=$L$4),ROW(),"-")</f>
        <v>-</v>
      </c>
    </row>
    <row r="9010" customHeight="1" spans="2:2">
      <c r="B9010" s="62" t="str">
        <f>IF(AND('领用录入（明细）'!D:D=$F$4,'领用录入（明细）'!C:C&gt;=$J$4,'领用录入（明细）'!C:C&lt;=$L$4),ROW(),"-")</f>
        <v>-</v>
      </c>
    </row>
    <row r="9011" customHeight="1" spans="2:2">
      <c r="B9011" s="62" t="str">
        <f>IF(AND('领用录入（明细）'!D:D=$F$4,'领用录入（明细）'!C:C&gt;=$J$4,'领用录入（明细）'!C:C&lt;=$L$4),ROW(),"-")</f>
        <v>-</v>
      </c>
    </row>
    <row r="9012" customHeight="1" spans="2:2">
      <c r="B9012" s="62" t="str">
        <f>IF(AND('领用录入（明细）'!D:D=$F$4,'领用录入（明细）'!C:C&gt;=$J$4,'领用录入（明细）'!C:C&lt;=$L$4),ROW(),"-")</f>
        <v>-</v>
      </c>
    </row>
    <row r="9013" customHeight="1" spans="2:2">
      <c r="B9013" s="62" t="str">
        <f>IF(AND('领用录入（明细）'!D:D=$F$4,'领用录入（明细）'!C:C&gt;=$J$4,'领用录入（明细）'!C:C&lt;=$L$4),ROW(),"-")</f>
        <v>-</v>
      </c>
    </row>
    <row r="9014" customHeight="1" spans="2:2">
      <c r="B9014" s="62" t="str">
        <f>IF(AND('领用录入（明细）'!D:D=$F$4,'领用录入（明细）'!C:C&gt;=$J$4,'领用录入（明细）'!C:C&lt;=$L$4),ROW(),"-")</f>
        <v>-</v>
      </c>
    </row>
    <row r="9015" customHeight="1" spans="2:2">
      <c r="B9015" s="62" t="str">
        <f>IF(AND('领用录入（明细）'!D:D=$F$4,'领用录入（明细）'!C:C&gt;=$J$4,'领用录入（明细）'!C:C&lt;=$L$4),ROW(),"-")</f>
        <v>-</v>
      </c>
    </row>
    <row r="9016" customHeight="1" spans="2:2">
      <c r="B9016" s="62" t="str">
        <f>IF(AND('领用录入（明细）'!D:D=$F$4,'领用录入（明细）'!C:C&gt;=$J$4,'领用录入（明细）'!C:C&lt;=$L$4),ROW(),"-")</f>
        <v>-</v>
      </c>
    </row>
    <row r="9017" customHeight="1" spans="2:2">
      <c r="B9017" s="62" t="str">
        <f>IF(AND('领用录入（明细）'!D:D=$F$4,'领用录入（明细）'!C:C&gt;=$J$4,'领用录入（明细）'!C:C&lt;=$L$4),ROW(),"-")</f>
        <v>-</v>
      </c>
    </row>
    <row r="9018" customHeight="1" spans="2:2">
      <c r="B9018" s="62" t="str">
        <f>IF(AND('领用录入（明细）'!D:D=$F$4,'领用录入（明细）'!C:C&gt;=$J$4,'领用录入（明细）'!C:C&lt;=$L$4),ROW(),"-")</f>
        <v>-</v>
      </c>
    </row>
    <row r="9019" customHeight="1" spans="2:2">
      <c r="B9019" s="62" t="str">
        <f>IF(AND('领用录入（明细）'!D:D=$F$4,'领用录入（明细）'!C:C&gt;=$J$4,'领用录入（明细）'!C:C&lt;=$L$4),ROW(),"-")</f>
        <v>-</v>
      </c>
    </row>
    <row r="9020" customHeight="1" spans="2:2">
      <c r="B9020" s="62" t="str">
        <f>IF(AND('领用录入（明细）'!D:D=$F$4,'领用录入（明细）'!C:C&gt;=$J$4,'领用录入（明细）'!C:C&lt;=$L$4),ROW(),"-")</f>
        <v>-</v>
      </c>
    </row>
    <row r="9021" customHeight="1" spans="2:2">
      <c r="B9021" s="62" t="str">
        <f>IF(AND('领用录入（明细）'!D:D=$F$4,'领用录入（明细）'!C:C&gt;=$J$4,'领用录入（明细）'!C:C&lt;=$L$4),ROW(),"-")</f>
        <v>-</v>
      </c>
    </row>
    <row r="9022" customHeight="1" spans="2:2">
      <c r="B9022" s="62" t="str">
        <f>IF(AND('领用录入（明细）'!D:D=$F$4,'领用录入（明细）'!C:C&gt;=$J$4,'领用录入（明细）'!C:C&lt;=$L$4),ROW(),"-")</f>
        <v>-</v>
      </c>
    </row>
    <row r="9023" customHeight="1" spans="2:2">
      <c r="B9023" s="62" t="str">
        <f>IF(AND('领用录入（明细）'!D:D=$F$4,'领用录入（明细）'!C:C&gt;=$J$4,'领用录入（明细）'!C:C&lt;=$L$4),ROW(),"-")</f>
        <v>-</v>
      </c>
    </row>
    <row r="9024" customHeight="1" spans="2:2">
      <c r="B9024" s="62" t="str">
        <f>IF(AND('领用录入（明细）'!D:D=$F$4,'领用录入（明细）'!C:C&gt;=$J$4,'领用录入（明细）'!C:C&lt;=$L$4),ROW(),"-")</f>
        <v>-</v>
      </c>
    </row>
    <row r="9025" customHeight="1" spans="2:2">
      <c r="B9025" s="62" t="str">
        <f>IF(AND('领用录入（明细）'!D:D=$F$4,'领用录入（明细）'!C:C&gt;=$J$4,'领用录入（明细）'!C:C&lt;=$L$4),ROW(),"-")</f>
        <v>-</v>
      </c>
    </row>
    <row r="9026" customHeight="1" spans="2:2">
      <c r="B9026" s="62" t="str">
        <f>IF(AND('领用录入（明细）'!D:D=$F$4,'领用录入（明细）'!C:C&gt;=$J$4,'领用录入（明细）'!C:C&lt;=$L$4),ROW(),"-")</f>
        <v>-</v>
      </c>
    </row>
    <row r="9027" customHeight="1" spans="2:2">
      <c r="B9027" s="62" t="str">
        <f>IF(AND('领用录入（明细）'!D:D=$F$4,'领用录入（明细）'!C:C&gt;=$J$4,'领用录入（明细）'!C:C&lt;=$L$4),ROW(),"-")</f>
        <v>-</v>
      </c>
    </row>
    <row r="9028" customHeight="1" spans="2:2">
      <c r="B9028" s="62" t="str">
        <f>IF(AND('领用录入（明细）'!D:D=$F$4,'领用录入（明细）'!C:C&gt;=$J$4,'领用录入（明细）'!C:C&lt;=$L$4),ROW(),"-")</f>
        <v>-</v>
      </c>
    </row>
    <row r="9029" customHeight="1" spans="2:2">
      <c r="B9029" s="62" t="str">
        <f>IF(AND('领用录入（明细）'!D:D=$F$4,'领用录入（明细）'!C:C&gt;=$J$4,'领用录入（明细）'!C:C&lt;=$L$4),ROW(),"-")</f>
        <v>-</v>
      </c>
    </row>
    <row r="9030" customHeight="1" spans="2:2">
      <c r="B9030" s="62" t="str">
        <f>IF(AND('领用录入（明细）'!D:D=$F$4,'领用录入（明细）'!C:C&gt;=$J$4,'领用录入（明细）'!C:C&lt;=$L$4),ROW(),"-")</f>
        <v>-</v>
      </c>
    </row>
    <row r="9031" customHeight="1" spans="2:2">
      <c r="B9031" s="62" t="str">
        <f>IF(AND('领用录入（明细）'!D:D=$F$4,'领用录入（明细）'!C:C&gt;=$J$4,'领用录入（明细）'!C:C&lt;=$L$4),ROW(),"-")</f>
        <v>-</v>
      </c>
    </row>
    <row r="9032" customHeight="1" spans="2:2">
      <c r="B9032" s="62" t="str">
        <f>IF(AND('领用录入（明细）'!D:D=$F$4,'领用录入（明细）'!C:C&gt;=$J$4,'领用录入（明细）'!C:C&lt;=$L$4),ROW(),"-")</f>
        <v>-</v>
      </c>
    </row>
    <row r="9033" customHeight="1" spans="2:2">
      <c r="B9033" s="62" t="str">
        <f>IF(AND('领用录入（明细）'!D:D=$F$4,'领用录入（明细）'!C:C&gt;=$J$4,'领用录入（明细）'!C:C&lt;=$L$4),ROW(),"-")</f>
        <v>-</v>
      </c>
    </row>
    <row r="9034" customHeight="1" spans="2:2">
      <c r="B9034" s="62" t="str">
        <f>IF(AND('领用录入（明细）'!D:D=$F$4,'领用录入（明细）'!C:C&gt;=$J$4,'领用录入（明细）'!C:C&lt;=$L$4),ROW(),"-")</f>
        <v>-</v>
      </c>
    </row>
    <row r="9035" customHeight="1" spans="2:2">
      <c r="B9035" s="62" t="str">
        <f>IF(AND('领用录入（明细）'!D:D=$F$4,'领用录入（明细）'!C:C&gt;=$J$4,'领用录入（明细）'!C:C&lt;=$L$4),ROW(),"-")</f>
        <v>-</v>
      </c>
    </row>
    <row r="9036" customHeight="1" spans="2:2">
      <c r="B9036" s="62" t="str">
        <f>IF(AND('领用录入（明细）'!D:D=$F$4,'领用录入（明细）'!C:C&gt;=$J$4,'领用录入（明细）'!C:C&lt;=$L$4),ROW(),"-")</f>
        <v>-</v>
      </c>
    </row>
    <row r="9037" customHeight="1" spans="2:2">
      <c r="B9037" s="62" t="str">
        <f>IF(AND('领用录入（明细）'!D:D=$F$4,'领用录入（明细）'!C:C&gt;=$J$4,'领用录入（明细）'!C:C&lt;=$L$4),ROW(),"-")</f>
        <v>-</v>
      </c>
    </row>
    <row r="9038" customHeight="1" spans="2:2">
      <c r="B9038" s="62" t="str">
        <f>IF(AND('领用录入（明细）'!D:D=$F$4,'领用录入（明细）'!C:C&gt;=$J$4,'领用录入（明细）'!C:C&lt;=$L$4),ROW(),"-")</f>
        <v>-</v>
      </c>
    </row>
    <row r="9039" customHeight="1" spans="2:2">
      <c r="B9039" s="62" t="str">
        <f>IF(AND('领用录入（明细）'!D:D=$F$4,'领用录入（明细）'!C:C&gt;=$J$4,'领用录入（明细）'!C:C&lt;=$L$4),ROW(),"-")</f>
        <v>-</v>
      </c>
    </row>
    <row r="9040" customHeight="1" spans="2:2">
      <c r="B9040" s="62" t="str">
        <f>IF(AND('领用录入（明细）'!D:D=$F$4,'领用录入（明细）'!C:C&gt;=$J$4,'领用录入（明细）'!C:C&lt;=$L$4),ROW(),"-")</f>
        <v>-</v>
      </c>
    </row>
    <row r="9041" customHeight="1" spans="2:2">
      <c r="B9041" s="62" t="str">
        <f>IF(AND('领用录入（明细）'!D:D=$F$4,'领用录入（明细）'!C:C&gt;=$J$4,'领用录入（明细）'!C:C&lt;=$L$4),ROW(),"-")</f>
        <v>-</v>
      </c>
    </row>
    <row r="9042" customHeight="1" spans="2:2">
      <c r="B9042" s="62" t="str">
        <f>IF(AND('领用录入（明细）'!D:D=$F$4,'领用录入（明细）'!C:C&gt;=$J$4,'领用录入（明细）'!C:C&lt;=$L$4),ROW(),"-")</f>
        <v>-</v>
      </c>
    </row>
    <row r="9043" customHeight="1" spans="2:2">
      <c r="B9043" s="62" t="str">
        <f>IF(AND('领用录入（明细）'!D:D=$F$4,'领用录入（明细）'!C:C&gt;=$J$4,'领用录入（明细）'!C:C&lt;=$L$4),ROW(),"-")</f>
        <v>-</v>
      </c>
    </row>
    <row r="9044" customHeight="1" spans="2:2">
      <c r="B9044" s="62" t="str">
        <f>IF(AND('领用录入（明细）'!D:D=$F$4,'领用录入（明细）'!C:C&gt;=$J$4,'领用录入（明细）'!C:C&lt;=$L$4),ROW(),"-")</f>
        <v>-</v>
      </c>
    </row>
    <row r="9045" customHeight="1" spans="2:2">
      <c r="B9045" s="62" t="str">
        <f>IF(AND('领用录入（明细）'!D:D=$F$4,'领用录入（明细）'!C:C&gt;=$J$4,'领用录入（明细）'!C:C&lt;=$L$4),ROW(),"-")</f>
        <v>-</v>
      </c>
    </row>
    <row r="9046" customHeight="1" spans="2:2">
      <c r="B9046" s="62" t="str">
        <f>IF(AND('领用录入（明细）'!D:D=$F$4,'领用录入（明细）'!C:C&gt;=$J$4,'领用录入（明细）'!C:C&lt;=$L$4),ROW(),"-")</f>
        <v>-</v>
      </c>
    </row>
    <row r="9047" customHeight="1" spans="2:2">
      <c r="B9047" s="62" t="str">
        <f>IF(AND('领用录入（明细）'!D:D=$F$4,'领用录入（明细）'!C:C&gt;=$J$4,'领用录入（明细）'!C:C&lt;=$L$4),ROW(),"-")</f>
        <v>-</v>
      </c>
    </row>
    <row r="9048" customHeight="1" spans="2:2">
      <c r="B9048" s="62" t="str">
        <f>IF(AND('领用录入（明细）'!D:D=$F$4,'领用录入（明细）'!C:C&gt;=$J$4,'领用录入（明细）'!C:C&lt;=$L$4),ROW(),"-")</f>
        <v>-</v>
      </c>
    </row>
    <row r="9049" customHeight="1" spans="2:2">
      <c r="B9049" s="62" t="str">
        <f>IF(AND('领用录入（明细）'!D:D=$F$4,'领用录入（明细）'!C:C&gt;=$J$4,'领用录入（明细）'!C:C&lt;=$L$4),ROW(),"-")</f>
        <v>-</v>
      </c>
    </row>
    <row r="9050" customHeight="1" spans="2:2">
      <c r="B9050" s="62" t="str">
        <f>IF(AND('领用录入（明细）'!D:D=$F$4,'领用录入（明细）'!C:C&gt;=$J$4,'领用录入（明细）'!C:C&lt;=$L$4),ROW(),"-")</f>
        <v>-</v>
      </c>
    </row>
    <row r="9051" customHeight="1" spans="2:2">
      <c r="B9051" s="62" t="str">
        <f>IF(AND('领用录入（明细）'!D:D=$F$4,'领用录入（明细）'!C:C&gt;=$J$4,'领用录入（明细）'!C:C&lt;=$L$4),ROW(),"-")</f>
        <v>-</v>
      </c>
    </row>
    <row r="9052" customHeight="1" spans="2:2">
      <c r="B9052" s="62" t="str">
        <f>IF(AND('领用录入（明细）'!D:D=$F$4,'领用录入（明细）'!C:C&gt;=$J$4,'领用录入（明细）'!C:C&lt;=$L$4),ROW(),"-")</f>
        <v>-</v>
      </c>
    </row>
    <row r="9053" customHeight="1" spans="2:2">
      <c r="B9053" s="62" t="str">
        <f>IF(AND('领用录入（明细）'!D:D=$F$4,'领用录入（明细）'!C:C&gt;=$J$4,'领用录入（明细）'!C:C&lt;=$L$4),ROW(),"-")</f>
        <v>-</v>
      </c>
    </row>
    <row r="9054" customHeight="1" spans="2:2">
      <c r="B9054" s="62" t="str">
        <f>IF(AND('领用录入（明细）'!D:D=$F$4,'领用录入（明细）'!C:C&gt;=$J$4,'领用录入（明细）'!C:C&lt;=$L$4),ROW(),"-")</f>
        <v>-</v>
      </c>
    </row>
    <row r="9055" customHeight="1" spans="2:2">
      <c r="B9055" s="62" t="str">
        <f>IF(AND('领用录入（明细）'!D:D=$F$4,'领用录入（明细）'!C:C&gt;=$J$4,'领用录入（明细）'!C:C&lt;=$L$4),ROW(),"-")</f>
        <v>-</v>
      </c>
    </row>
    <row r="9056" customHeight="1" spans="2:2">
      <c r="B9056" s="62" t="str">
        <f>IF(AND('领用录入（明细）'!D:D=$F$4,'领用录入（明细）'!C:C&gt;=$J$4,'领用录入（明细）'!C:C&lt;=$L$4),ROW(),"-")</f>
        <v>-</v>
      </c>
    </row>
    <row r="9057" customHeight="1" spans="2:2">
      <c r="B9057" s="62" t="str">
        <f>IF(AND('领用录入（明细）'!D:D=$F$4,'领用录入（明细）'!C:C&gt;=$J$4,'领用录入（明细）'!C:C&lt;=$L$4),ROW(),"-")</f>
        <v>-</v>
      </c>
    </row>
    <row r="9058" customHeight="1" spans="2:2">
      <c r="B9058" s="62" t="str">
        <f>IF(AND('领用录入（明细）'!D:D=$F$4,'领用录入（明细）'!C:C&gt;=$J$4,'领用录入（明细）'!C:C&lt;=$L$4),ROW(),"-")</f>
        <v>-</v>
      </c>
    </row>
    <row r="9059" customHeight="1" spans="2:2">
      <c r="B9059" s="62" t="str">
        <f>IF(AND('领用录入（明细）'!D:D=$F$4,'领用录入（明细）'!C:C&gt;=$J$4,'领用录入（明细）'!C:C&lt;=$L$4),ROW(),"-")</f>
        <v>-</v>
      </c>
    </row>
    <row r="9060" customHeight="1" spans="2:2">
      <c r="B9060" s="62" t="str">
        <f>IF(AND('领用录入（明细）'!D:D=$F$4,'领用录入（明细）'!C:C&gt;=$J$4,'领用录入（明细）'!C:C&lt;=$L$4),ROW(),"-")</f>
        <v>-</v>
      </c>
    </row>
    <row r="9061" customHeight="1" spans="2:2">
      <c r="B9061" s="62" t="str">
        <f>IF(AND('领用录入（明细）'!D:D=$F$4,'领用录入（明细）'!C:C&gt;=$J$4,'领用录入（明细）'!C:C&lt;=$L$4),ROW(),"-")</f>
        <v>-</v>
      </c>
    </row>
    <row r="9062" customHeight="1" spans="2:2">
      <c r="B9062" s="62" t="str">
        <f>IF(AND('领用录入（明细）'!D:D=$F$4,'领用录入（明细）'!C:C&gt;=$J$4,'领用录入（明细）'!C:C&lt;=$L$4),ROW(),"-")</f>
        <v>-</v>
      </c>
    </row>
    <row r="9063" customHeight="1" spans="2:2">
      <c r="B9063" s="62" t="str">
        <f>IF(AND('领用录入（明细）'!D:D=$F$4,'领用录入（明细）'!C:C&gt;=$J$4,'领用录入（明细）'!C:C&lt;=$L$4),ROW(),"-")</f>
        <v>-</v>
      </c>
    </row>
    <row r="9064" customHeight="1" spans="2:2">
      <c r="B9064" s="62" t="str">
        <f>IF(AND('领用录入（明细）'!D:D=$F$4,'领用录入（明细）'!C:C&gt;=$J$4,'领用录入（明细）'!C:C&lt;=$L$4),ROW(),"-")</f>
        <v>-</v>
      </c>
    </row>
    <row r="9065" customHeight="1" spans="2:2">
      <c r="B9065" s="62" t="str">
        <f>IF(AND('领用录入（明细）'!D:D=$F$4,'领用录入（明细）'!C:C&gt;=$J$4,'领用录入（明细）'!C:C&lt;=$L$4),ROW(),"-")</f>
        <v>-</v>
      </c>
    </row>
    <row r="9066" customHeight="1" spans="2:2">
      <c r="B9066" s="62" t="str">
        <f>IF(AND('领用录入（明细）'!D:D=$F$4,'领用录入（明细）'!C:C&gt;=$J$4,'领用录入（明细）'!C:C&lt;=$L$4),ROW(),"-")</f>
        <v>-</v>
      </c>
    </row>
    <row r="9067" customHeight="1" spans="2:2">
      <c r="B9067" s="62" t="str">
        <f>IF(AND('领用录入（明细）'!D:D=$F$4,'领用录入（明细）'!C:C&gt;=$J$4,'领用录入（明细）'!C:C&lt;=$L$4),ROW(),"-")</f>
        <v>-</v>
      </c>
    </row>
    <row r="9068" customHeight="1" spans="2:2">
      <c r="B9068" s="62" t="str">
        <f>IF(AND('领用录入（明细）'!D:D=$F$4,'领用录入（明细）'!C:C&gt;=$J$4,'领用录入（明细）'!C:C&lt;=$L$4),ROW(),"-")</f>
        <v>-</v>
      </c>
    </row>
    <row r="9069" customHeight="1" spans="2:2">
      <c r="B9069" s="62" t="str">
        <f>IF(AND('领用录入（明细）'!D:D=$F$4,'领用录入（明细）'!C:C&gt;=$J$4,'领用录入（明细）'!C:C&lt;=$L$4),ROW(),"-")</f>
        <v>-</v>
      </c>
    </row>
    <row r="9070" customHeight="1" spans="2:2">
      <c r="B9070" s="62" t="str">
        <f>IF(AND('领用录入（明细）'!D:D=$F$4,'领用录入（明细）'!C:C&gt;=$J$4,'领用录入（明细）'!C:C&lt;=$L$4),ROW(),"-")</f>
        <v>-</v>
      </c>
    </row>
    <row r="9071" customHeight="1" spans="2:2">
      <c r="B9071" s="62" t="str">
        <f>IF(AND('领用录入（明细）'!D:D=$F$4,'领用录入（明细）'!C:C&gt;=$J$4,'领用录入（明细）'!C:C&lt;=$L$4),ROW(),"-")</f>
        <v>-</v>
      </c>
    </row>
    <row r="9072" customHeight="1" spans="2:2">
      <c r="B9072" s="62" t="str">
        <f>IF(AND('领用录入（明细）'!D:D=$F$4,'领用录入（明细）'!C:C&gt;=$J$4,'领用录入（明细）'!C:C&lt;=$L$4),ROW(),"-")</f>
        <v>-</v>
      </c>
    </row>
    <row r="9073" customHeight="1" spans="2:2">
      <c r="B9073" s="62" t="str">
        <f>IF(AND('领用录入（明细）'!D:D=$F$4,'领用录入（明细）'!C:C&gt;=$J$4,'领用录入（明细）'!C:C&lt;=$L$4),ROW(),"-")</f>
        <v>-</v>
      </c>
    </row>
    <row r="9074" customHeight="1" spans="2:2">
      <c r="B9074" s="62" t="str">
        <f>IF(AND('领用录入（明细）'!D:D=$F$4,'领用录入（明细）'!C:C&gt;=$J$4,'领用录入（明细）'!C:C&lt;=$L$4),ROW(),"-")</f>
        <v>-</v>
      </c>
    </row>
    <row r="9075" customHeight="1" spans="2:2">
      <c r="B9075" s="62" t="str">
        <f>IF(AND('领用录入（明细）'!D:D=$F$4,'领用录入（明细）'!C:C&gt;=$J$4,'领用录入（明细）'!C:C&lt;=$L$4),ROW(),"-")</f>
        <v>-</v>
      </c>
    </row>
    <row r="9076" customHeight="1" spans="2:2">
      <c r="B9076" s="62" t="str">
        <f>IF(AND('领用录入（明细）'!D:D=$F$4,'领用录入（明细）'!C:C&gt;=$J$4,'领用录入（明细）'!C:C&lt;=$L$4),ROW(),"-")</f>
        <v>-</v>
      </c>
    </row>
    <row r="9077" customHeight="1" spans="2:2">
      <c r="B9077" s="62" t="str">
        <f>IF(AND('领用录入（明细）'!D:D=$F$4,'领用录入（明细）'!C:C&gt;=$J$4,'领用录入（明细）'!C:C&lt;=$L$4),ROW(),"-")</f>
        <v>-</v>
      </c>
    </row>
    <row r="9078" customHeight="1" spans="2:2">
      <c r="B9078" s="62" t="str">
        <f>IF(AND('领用录入（明细）'!D:D=$F$4,'领用录入（明细）'!C:C&gt;=$J$4,'领用录入（明细）'!C:C&lt;=$L$4),ROW(),"-")</f>
        <v>-</v>
      </c>
    </row>
    <row r="9079" customHeight="1" spans="2:2">
      <c r="B9079" s="62" t="str">
        <f>IF(AND('领用录入（明细）'!D:D=$F$4,'领用录入（明细）'!C:C&gt;=$J$4,'领用录入（明细）'!C:C&lt;=$L$4),ROW(),"-")</f>
        <v>-</v>
      </c>
    </row>
    <row r="9080" customHeight="1" spans="2:2">
      <c r="B9080" s="62" t="str">
        <f>IF(AND('领用录入（明细）'!D:D=$F$4,'领用录入（明细）'!C:C&gt;=$J$4,'领用录入（明细）'!C:C&lt;=$L$4),ROW(),"-")</f>
        <v>-</v>
      </c>
    </row>
    <row r="9081" customHeight="1" spans="2:2">
      <c r="B9081" s="62" t="str">
        <f>IF(AND('领用录入（明细）'!D:D=$F$4,'领用录入（明细）'!C:C&gt;=$J$4,'领用录入（明细）'!C:C&lt;=$L$4),ROW(),"-")</f>
        <v>-</v>
      </c>
    </row>
    <row r="9082" customHeight="1" spans="2:2">
      <c r="B9082" s="62" t="str">
        <f>IF(AND('领用录入（明细）'!D:D=$F$4,'领用录入（明细）'!C:C&gt;=$J$4,'领用录入（明细）'!C:C&lt;=$L$4),ROW(),"-")</f>
        <v>-</v>
      </c>
    </row>
    <row r="9083" customHeight="1" spans="2:2">
      <c r="B9083" s="62" t="str">
        <f>IF(AND('领用录入（明细）'!D:D=$F$4,'领用录入（明细）'!C:C&gt;=$J$4,'领用录入（明细）'!C:C&lt;=$L$4),ROW(),"-")</f>
        <v>-</v>
      </c>
    </row>
    <row r="9084" customHeight="1" spans="2:2">
      <c r="B9084" s="62" t="str">
        <f>IF(AND('领用录入（明细）'!D:D=$F$4,'领用录入（明细）'!C:C&gt;=$J$4,'领用录入（明细）'!C:C&lt;=$L$4),ROW(),"-")</f>
        <v>-</v>
      </c>
    </row>
    <row r="9085" customHeight="1" spans="2:2">
      <c r="B9085" s="62" t="str">
        <f>IF(AND('领用录入（明细）'!D:D=$F$4,'领用录入（明细）'!C:C&gt;=$J$4,'领用录入（明细）'!C:C&lt;=$L$4),ROW(),"-")</f>
        <v>-</v>
      </c>
    </row>
    <row r="9086" customHeight="1" spans="2:2">
      <c r="B9086" s="62" t="str">
        <f>IF(AND('领用录入（明细）'!D:D=$F$4,'领用录入（明细）'!C:C&gt;=$J$4,'领用录入（明细）'!C:C&lt;=$L$4),ROW(),"-")</f>
        <v>-</v>
      </c>
    </row>
    <row r="9087" customHeight="1" spans="2:2">
      <c r="B9087" s="62" t="str">
        <f>IF(AND('领用录入（明细）'!D:D=$F$4,'领用录入（明细）'!C:C&gt;=$J$4,'领用录入（明细）'!C:C&lt;=$L$4),ROW(),"-")</f>
        <v>-</v>
      </c>
    </row>
    <row r="9088" customHeight="1" spans="2:2">
      <c r="B9088" s="62" t="str">
        <f>IF(AND('领用录入（明细）'!D:D=$F$4,'领用录入（明细）'!C:C&gt;=$J$4,'领用录入（明细）'!C:C&lt;=$L$4),ROW(),"-")</f>
        <v>-</v>
      </c>
    </row>
    <row r="9089" customHeight="1" spans="2:2">
      <c r="B9089" s="62" t="str">
        <f>IF(AND('领用录入（明细）'!D:D=$F$4,'领用录入（明细）'!C:C&gt;=$J$4,'领用录入（明细）'!C:C&lt;=$L$4),ROW(),"-")</f>
        <v>-</v>
      </c>
    </row>
    <row r="9090" customHeight="1" spans="2:2">
      <c r="B9090" s="62" t="str">
        <f>IF(AND('领用录入（明细）'!D:D=$F$4,'领用录入（明细）'!C:C&gt;=$J$4,'领用录入（明细）'!C:C&lt;=$L$4),ROW(),"-")</f>
        <v>-</v>
      </c>
    </row>
    <row r="9091" customHeight="1" spans="2:2">
      <c r="B9091" s="62" t="str">
        <f>IF(AND('领用录入（明细）'!D:D=$F$4,'领用录入（明细）'!C:C&gt;=$J$4,'领用录入（明细）'!C:C&lt;=$L$4),ROW(),"-")</f>
        <v>-</v>
      </c>
    </row>
    <row r="9092" customHeight="1" spans="2:2">
      <c r="B9092" s="62" t="str">
        <f>IF(AND('领用录入（明细）'!D:D=$F$4,'领用录入（明细）'!C:C&gt;=$J$4,'领用录入（明细）'!C:C&lt;=$L$4),ROW(),"-")</f>
        <v>-</v>
      </c>
    </row>
    <row r="9093" customHeight="1" spans="2:2">
      <c r="B9093" s="62" t="str">
        <f>IF(AND('领用录入（明细）'!D:D=$F$4,'领用录入（明细）'!C:C&gt;=$J$4,'领用录入（明细）'!C:C&lt;=$L$4),ROW(),"-")</f>
        <v>-</v>
      </c>
    </row>
    <row r="9094" customHeight="1" spans="2:2">
      <c r="B9094" s="62" t="str">
        <f>IF(AND('领用录入（明细）'!D:D=$F$4,'领用录入（明细）'!C:C&gt;=$J$4,'领用录入（明细）'!C:C&lt;=$L$4),ROW(),"-")</f>
        <v>-</v>
      </c>
    </row>
    <row r="9095" customHeight="1" spans="2:2">
      <c r="B9095" s="62" t="str">
        <f>IF(AND('领用录入（明细）'!D:D=$F$4,'领用录入（明细）'!C:C&gt;=$J$4,'领用录入（明细）'!C:C&lt;=$L$4),ROW(),"-")</f>
        <v>-</v>
      </c>
    </row>
    <row r="9096" customHeight="1" spans="2:2">
      <c r="B9096" s="62" t="str">
        <f>IF(AND('领用录入（明细）'!D:D=$F$4,'领用录入（明细）'!C:C&gt;=$J$4,'领用录入（明细）'!C:C&lt;=$L$4),ROW(),"-")</f>
        <v>-</v>
      </c>
    </row>
    <row r="9097" customHeight="1" spans="2:2">
      <c r="B9097" s="62" t="str">
        <f>IF(AND('领用录入（明细）'!D:D=$F$4,'领用录入（明细）'!C:C&gt;=$J$4,'领用录入（明细）'!C:C&lt;=$L$4),ROW(),"-")</f>
        <v>-</v>
      </c>
    </row>
    <row r="9098" customHeight="1" spans="2:2">
      <c r="B9098" s="62" t="str">
        <f>IF(AND('领用录入（明细）'!D:D=$F$4,'领用录入（明细）'!C:C&gt;=$J$4,'领用录入（明细）'!C:C&lt;=$L$4),ROW(),"-")</f>
        <v>-</v>
      </c>
    </row>
    <row r="9099" customHeight="1" spans="2:2">
      <c r="B9099" s="62" t="str">
        <f>IF(AND('领用录入（明细）'!D:D=$F$4,'领用录入（明细）'!C:C&gt;=$J$4,'领用录入（明细）'!C:C&lt;=$L$4),ROW(),"-")</f>
        <v>-</v>
      </c>
    </row>
    <row r="9100" customHeight="1" spans="2:2">
      <c r="B9100" s="62" t="str">
        <f>IF(AND('领用录入（明细）'!D:D=$F$4,'领用录入（明细）'!C:C&gt;=$J$4,'领用录入（明细）'!C:C&lt;=$L$4),ROW(),"-")</f>
        <v>-</v>
      </c>
    </row>
    <row r="9101" customHeight="1" spans="2:2">
      <c r="B9101" s="62" t="str">
        <f>IF(AND('领用录入（明细）'!D:D=$F$4,'领用录入（明细）'!C:C&gt;=$J$4,'领用录入（明细）'!C:C&lt;=$L$4),ROW(),"-")</f>
        <v>-</v>
      </c>
    </row>
    <row r="9102" customHeight="1" spans="2:2">
      <c r="B9102" s="62" t="str">
        <f>IF(AND('领用录入（明细）'!D:D=$F$4,'领用录入（明细）'!C:C&gt;=$J$4,'领用录入（明细）'!C:C&lt;=$L$4),ROW(),"-")</f>
        <v>-</v>
      </c>
    </row>
    <row r="9103" customHeight="1" spans="2:2">
      <c r="B9103" s="62" t="str">
        <f>IF(AND('领用录入（明细）'!D:D=$F$4,'领用录入（明细）'!C:C&gt;=$J$4,'领用录入（明细）'!C:C&lt;=$L$4),ROW(),"-")</f>
        <v>-</v>
      </c>
    </row>
    <row r="9104" customHeight="1" spans="2:2">
      <c r="B9104" s="62" t="str">
        <f>IF(AND('领用录入（明细）'!D:D=$F$4,'领用录入（明细）'!C:C&gt;=$J$4,'领用录入（明细）'!C:C&lt;=$L$4),ROW(),"-")</f>
        <v>-</v>
      </c>
    </row>
    <row r="9105" customHeight="1" spans="2:2">
      <c r="B9105" s="62" t="str">
        <f>IF(AND('领用录入（明细）'!D:D=$F$4,'领用录入（明细）'!C:C&gt;=$J$4,'领用录入（明细）'!C:C&lt;=$L$4),ROW(),"-")</f>
        <v>-</v>
      </c>
    </row>
    <row r="9106" customHeight="1" spans="2:2">
      <c r="B9106" s="62" t="str">
        <f>IF(AND('领用录入（明细）'!D:D=$F$4,'领用录入（明细）'!C:C&gt;=$J$4,'领用录入（明细）'!C:C&lt;=$L$4),ROW(),"-")</f>
        <v>-</v>
      </c>
    </row>
    <row r="9107" customHeight="1" spans="2:2">
      <c r="B9107" s="62" t="str">
        <f>IF(AND('领用录入（明细）'!D:D=$F$4,'领用录入（明细）'!C:C&gt;=$J$4,'领用录入（明细）'!C:C&lt;=$L$4),ROW(),"-")</f>
        <v>-</v>
      </c>
    </row>
    <row r="9108" customHeight="1" spans="2:2">
      <c r="B9108" s="62" t="str">
        <f>IF(AND('领用录入（明细）'!D:D=$F$4,'领用录入（明细）'!C:C&gt;=$J$4,'领用录入（明细）'!C:C&lt;=$L$4),ROW(),"-")</f>
        <v>-</v>
      </c>
    </row>
    <row r="9109" customHeight="1" spans="2:2">
      <c r="B9109" s="62" t="str">
        <f>IF(AND('领用录入（明细）'!D:D=$F$4,'领用录入（明细）'!C:C&gt;=$J$4,'领用录入（明细）'!C:C&lt;=$L$4),ROW(),"-")</f>
        <v>-</v>
      </c>
    </row>
    <row r="9110" customHeight="1" spans="2:2">
      <c r="B9110" s="62" t="str">
        <f>IF(AND('领用录入（明细）'!D:D=$F$4,'领用录入（明细）'!C:C&gt;=$J$4,'领用录入（明细）'!C:C&lt;=$L$4),ROW(),"-")</f>
        <v>-</v>
      </c>
    </row>
    <row r="9111" customHeight="1" spans="2:2">
      <c r="B9111" s="62" t="str">
        <f>IF(AND('领用录入（明细）'!D:D=$F$4,'领用录入（明细）'!C:C&gt;=$J$4,'领用录入（明细）'!C:C&lt;=$L$4),ROW(),"-")</f>
        <v>-</v>
      </c>
    </row>
    <row r="9112" customHeight="1" spans="2:2">
      <c r="B9112" s="62" t="str">
        <f>IF(AND('领用录入（明细）'!D:D=$F$4,'领用录入（明细）'!C:C&gt;=$J$4,'领用录入（明细）'!C:C&lt;=$L$4),ROW(),"-")</f>
        <v>-</v>
      </c>
    </row>
    <row r="9113" customHeight="1" spans="2:2">
      <c r="B9113" s="62" t="str">
        <f>IF(AND('领用录入（明细）'!D:D=$F$4,'领用录入（明细）'!C:C&gt;=$J$4,'领用录入（明细）'!C:C&lt;=$L$4),ROW(),"-")</f>
        <v>-</v>
      </c>
    </row>
    <row r="9114" customHeight="1" spans="2:2">
      <c r="B9114" s="62" t="str">
        <f>IF(AND('领用录入（明细）'!D:D=$F$4,'领用录入（明细）'!C:C&gt;=$J$4,'领用录入（明细）'!C:C&lt;=$L$4),ROW(),"-")</f>
        <v>-</v>
      </c>
    </row>
    <row r="9115" customHeight="1" spans="2:2">
      <c r="B9115" s="62" t="str">
        <f>IF(AND('领用录入（明细）'!D:D=$F$4,'领用录入（明细）'!C:C&gt;=$J$4,'领用录入（明细）'!C:C&lt;=$L$4),ROW(),"-")</f>
        <v>-</v>
      </c>
    </row>
    <row r="9116" customHeight="1" spans="2:2">
      <c r="B9116" s="62" t="str">
        <f>IF(AND('领用录入（明细）'!D:D=$F$4,'领用录入（明细）'!C:C&gt;=$J$4,'领用录入（明细）'!C:C&lt;=$L$4),ROW(),"-")</f>
        <v>-</v>
      </c>
    </row>
    <row r="9117" customHeight="1" spans="2:2">
      <c r="B9117" s="62" t="str">
        <f>IF(AND('领用录入（明细）'!D:D=$F$4,'领用录入（明细）'!C:C&gt;=$J$4,'领用录入（明细）'!C:C&lt;=$L$4),ROW(),"-")</f>
        <v>-</v>
      </c>
    </row>
    <row r="9118" customHeight="1" spans="2:2">
      <c r="B9118" s="62" t="str">
        <f>IF(AND('领用录入（明细）'!D:D=$F$4,'领用录入（明细）'!C:C&gt;=$J$4,'领用录入（明细）'!C:C&lt;=$L$4),ROW(),"-")</f>
        <v>-</v>
      </c>
    </row>
    <row r="9119" customHeight="1" spans="2:2">
      <c r="B9119" s="62" t="str">
        <f>IF(AND('领用录入（明细）'!D:D=$F$4,'领用录入（明细）'!C:C&gt;=$J$4,'领用录入（明细）'!C:C&lt;=$L$4),ROW(),"-")</f>
        <v>-</v>
      </c>
    </row>
    <row r="9120" customHeight="1" spans="2:2">
      <c r="B9120" s="62" t="str">
        <f>IF(AND('领用录入（明细）'!D:D=$F$4,'领用录入（明细）'!C:C&gt;=$J$4,'领用录入（明细）'!C:C&lt;=$L$4),ROW(),"-")</f>
        <v>-</v>
      </c>
    </row>
    <row r="9121" customHeight="1" spans="2:2">
      <c r="B9121" s="62" t="str">
        <f>IF(AND('领用录入（明细）'!D:D=$F$4,'领用录入（明细）'!C:C&gt;=$J$4,'领用录入（明细）'!C:C&lt;=$L$4),ROW(),"-")</f>
        <v>-</v>
      </c>
    </row>
    <row r="9122" customHeight="1" spans="2:2">
      <c r="B9122" s="62" t="str">
        <f>IF(AND('领用录入（明细）'!D:D=$F$4,'领用录入（明细）'!C:C&gt;=$J$4,'领用录入（明细）'!C:C&lt;=$L$4),ROW(),"-")</f>
        <v>-</v>
      </c>
    </row>
    <row r="9123" customHeight="1" spans="2:2">
      <c r="B9123" s="62" t="str">
        <f>IF(AND('领用录入（明细）'!D:D=$F$4,'领用录入（明细）'!C:C&gt;=$J$4,'领用录入（明细）'!C:C&lt;=$L$4),ROW(),"-")</f>
        <v>-</v>
      </c>
    </row>
    <row r="9124" customHeight="1" spans="2:2">
      <c r="B9124" s="62" t="str">
        <f>IF(AND('领用录入（明细）'!D:D=$F$4,'领用录入（明细）'!C:C&gt;=$J$4,'领用录入（明细）'!C:C&lt;=$L$4),ROW(),"-")</f>
        <v>-</v>
      </c>
    </row>
    <row r="9125" customHeight="1" spans="2:2">
      <c r="B9125" s="62" t="str">
        <f>IF(AND('领用录入（明细）'!D:D=$F$4,'领用录入（明细）'!C:C&gt;=$J$4,'领用录入（明细）'!C:C&lt;=$L$4),ROW(),"-")</f>
        <v>-</v>
      </c>
    </row>
    <row r="9126" customHeight="1" spans="2:2">
      <c r="B9126" s="62" t="str">
        <f>IF(AND('领用录入（明细）'!D:D=$F$4,'领用录入（明细）'!C:C&gt;=$J$4,'领用录入（明细）'!C:C&lt;=$L$4),ROW(),"-")</f>
        <v>-</v>
      </c>
    </row>
    <row r="9127" customHeight="1" spans="2:2">
      <c r="B9127" s="62" t="str">
        <f>IF(AND('领用录入（明细）'!D:D=$F$4,'领用录入（明细）'!C:C&gt;=$J$4,'领用录入（明细）'!C:C&lt;=$L$4),ROW(),"-")</f>
        <v>-</v>
      </c>
    </row>
    <row r="9128" customHeight="1" spans="2:2">
      <c r="B9128" s="62" t="str">
        <f>IF(AND('领用录入（明细）'!D:D=$F$4,'领用录入（明细）'!C:C&gt;=$J$4,'领用录入（明细）'!C:C&lt;=$L$4),ROW(),"-")</f>
        <v>-</v>
      </c>
    </row>
    <row r="9129" customHeight="1" spans="2:2">
      <c r="B9129" s="62" t="str">
        <f>IF(AND('领用录入（明细）'!D:D=$F$4,'领用录入（明细）'!C:C&gt;=$J$4,'领用录入（明细）'!C:C&lt;=$L$4),ROW(),"-")</f>
        <v>-</v>
      </c>
    </row>
    <row r="9130" customHeight="1" spans="2:2">
      <c r="B9130" s="62" t="str">
        <f>IF(AND('领用录入（明细）'!D:D=$F$4,'领用录入（明细）'!C:C&gt;=$J$4,'领用录入（明细）'!C:C&lt;=$L$4),ROW(),"-")</f>
        <v>-</v>
      </c>
    </row>
    <row r="9131" customHeight="1" spans="2:2">
      <c r="B9131" s="62" t="str">
        <f>IF(AND('领用录入（明细）'!D:D=$F$4,'领用录入（明细）'!C:C&gt;=$J$4,'领用录入（明细）'!C:C&lt;=$L$4),ROW(),"-")</f>
        <v>-</v>
      </c>
    </row>
    <row r="9132" customHeight="1" spans="2:2">
      <c r="B9132" s="62" t="str">
        <f>IF(AND('领用录入（明细）'!D:D=$F$4,'领用录入（明细）'!C:C&gt;=$J$4,'领用录入（明细）'!C:C&lt;=$L$4),ROW(),"-")</f>
        <v>-</v>
      </c>
    </row>
    <row r="9133" customHeight="1" spans="2:2">
      <c r="B9133" s="62" t="str">
        <f>IF(AND('领用录入（明细）'!D:D=$F$4,'领用录入（明细）'!C:C&gt;=$J$4,'领用录入（明细）'!C:C&lt;=$L$4),ROW(),"-")</f>
        <v>-</v>
      </c>
    </row>
    <row r="9134" customHeight="1" spans="2:2">
      <c r="B9134" s="62" t="str">
        <f>IF(AND('领用录入（明细）'!D:D=$F$4,'领用录入（明细）'!C:C&gt;=$J$4,'领用录入（明细）'!C:C&lt;=$L$4),ROW(),"-")</f>
        <v>-</v>
      </c>
    </row>
    <row r="9135" customHeight="1" spans="2:2">
      <c r="B9135" s="62" t="str">
        <f>IF(AND('领用录入（明细）'!D:D=$F$4,'领用录入（明细）'!C:C&gt;=$J$4,'领用录入（明细）'!C:C&lt;=$L$4),ROW(),"-")</f>
        <v>-</v>
      </c>
    </row>
    <row r="9136" customHeight="1" spans="2:2">
      <c r="B9136" s="62" t="str">
        <f>IF(AND('领用录入（明细）'!D:D=$F$4,'领用录入（明细）'!C:C&gt;=$J$4,'领用录入（明细）'!C:C&lt;=$L$4),ROW(),"-")</f>
        <v>-</v>
      </c>
    </row>
    <row r="9137" customHeight="1" spans="2:2">
      <c r="B9137" s="62" t="str">
        <f>IF(AND('领用录入（明细）'!D:D=$F$4,'领用录入（明细）'!C:C&gt;=$J$4,'领用录入（明细）'!C:C&lt;=$L$4),ROW(),"-")</f>
        <v>-</v>
      </c>
    </row>
    <row r="9138" customHeight="1" spans="2:2">
      <c r="B9138" s="62" t="str">
        <f>IF(AND('领用录入（明细）'!D:D=$F$4,'领用录入（明细）'!C:C&gt;=$J$4,'领用录入（明细）'!C:C&lt;=$L$4),ROW(),"-")</f>
        <v>-</v>
      </c>
    </row>
    <row r="9139" customHeight="1" spans="2:2">
      <c r="B9139" s="62" t="str">
        <f>IF(AND('领用录入（明细）'!D:D=$F$4,'领用录入（明细）'!C:C&gt;=$J$4,'领用录入（明细）'!C:C&lt;=$L$4),ROW(),"-")</f>
        <v>-</v>
      </c>
    </row>
    <row r="9140" customHeight="1" spans="2:2">
      <c r="B9140" s="62" t="str">
        <f>IF(AND('领用录入（明细）'!D:D=$F$4,'领用录入（明细）'!C:C&gt;=$J$4,'领用录入（明细）'!C:C&lt;=$L$4),ROW(),"-")</f>
        <v>-</v>
      </c>
    </row>
    <row r="9141" customHeight="1" spans="2:2">
      <c r="B9141" s="62" t="str">
        <f>IF(AND('领用录入（明细）'!D:D=$F$4,'领用录入（明细）'!C:C&gt;=$J$4,'领用录入（明细）'!C:C&lt;=$L$4),ROW(),"-")</f>
        <v>-</v>
      </c>
    </row>
    <row r="9142" customHeight="1" spans="2:2">
      <c r="B9142" s="62" t="str">
        <f>IF(AND('领用录入（明细）'!D:D=$F$4,'领用录入（明细）'!C:C&gt;=$J$4,'领用录入（明细）'!C:C&lt;=$L$4),ROW(),"-")</f>
        <v>-</v>
      </c>
    </row>
    <row r="9143" customHeight="1" spans="2:2">
      <c r="B9143" s="62" t="str">
        <f>IF(AND('领用录入（明细）'!D:D=$F$4,'领用录入（明细）'!C:C&gt;=$J$4,'领用录入（明细）'!C:C&lt;=$L$4),ROW(),"-")</f>
        <v>-</v>
      </c>
    </row>
    <row r="9144" customHeight="1" spans="2:2">
      <c r="B9144" s="62" t="str">
        <f>IF(AND('领用录入（明细）'!D:D=$F$4,'领用录入（明细）'!C:C&gt;=$J$4,'领用录入（明细）'!C:C&lt;=$L$4),ROW(),"-")</f>
        <v>-</v>
      </c>
    </row>
    <row r="9145" customHeight="1" spans="2:2">
      <c r="B9145" s="62" t="str">
        <f>IF(AND('领用录入（明细）'!D:D=$F$4,'领用录入（明细）'!C:C&gt;=$J$4,'领用录入（明细）'!C:C&lt;=$L$4),ROW(),"-")</f>
        <v>-</v>
      </c>
    </row>
    <row r="9146" customHeight="1" spans="2:2">
      <c r="B9146" s="62" t="str">
        <f>IF(AND('领用录入（明细）'!D:D=$F$4,'领用录入（明细）'!C:C&gt;=$J$4,'领用录入（明细）'!C:C&lt;=$L$4),ROW(),"-")</f>
        <v>-</v>
      </c>
    </row>
    <row r="9147" customHeight="1" spans="2:2">
      <c r="B9147" s="62" t="str">
        <f>IF(AND('领用录入（明细）'!D:D=$F$4,'领用录入（明细）'!C:C&gt;=$J$4,'领用录入（明细）'!C:C&lt;=$L$4),ROW(),"-")</f>
        <v>-</v>
      </c>
    </row>
    <row r="9148" customHeight="1" spans="2:2">
      <c r="B9148" s="62" t="str">
        <f>IF(AND('领用录入（明细）'!D:D=$F$4,'领用录入（明细）'!C:C&gt;=$J$4,'领用录入（明细）'!C:C&lt;=$L$4),ROW(),"-")</f>
        <v>-</v>
      </c>
    </row>
    <row r="9149" customHeight="1" spans="2:2">
      <c r="B9149" s="62" t="str">
        <f>IF(AND('领用录入（明细）'!D:D=$F$4,'领用录入（明细）'!C:C&gt;=$J$4,'领用录入（明细）'!C:C&lt;=$L$4),ROW(),"-")</f>
        <v>-</v>
      </c>
    </row>
    <row r="9150" customHeight="1" spans="2:2">
      <c r="B9150" s="62" t="str">
        <f>IF(AND('领用录入（明细）'!D:D=$F$4,'领用录入（明细）'!C:C&gt;=$J$4,'领用录入（明细）'!C:C&lt;=$L$4),ROW(),"-")</f>
        <v>-</v>
      </c>
    </row>
    <row r="9151" customHeight="1" spans="2:2">
      <c r="B9151" s="62" t="str">
        <f>IF(AND('领用录入（明细）'!D:D=$F$4,'领用录入（明细）'!C:C&gt;=$J$4,'领用录入（明细）'!C:C&lt;=$L$4),ROW(),"-")</f>
        <v>-</v>
      </c>
    </row>
    <row r="9152" customHeight="1" spans="2:2">
      <c r="B9152" s="62" t="str">
        <f>IF(AND('领用录入（明细）'!D:D=$F$4,'领用录入（明细）'!C:C&gt;=$J$4,'领用录入（明细）'!C:C&lt;=$L$4),ROW(),"-")</f>
        <v>-</v>
      </c>
    </row>
    <row r="9153" customHeight="1" spans="2:2">
      <c r="B9153" s="62" t="str">
        <f>IF(AND('领用录入（明细）'!D:D=$F$4,'领用录入（明细）'!C:C&gt;=$J$4,'领用录入（明细）'!C:C&lt;=$L$4),ROW(),"-")</f>
        <v>-</v>
      </c>
    </row>
    <row r="9154" customHeight="1" spans="2:2">
      <c r="B9154" s="62" t="str">
        <f>IF(AND('领用录入（明细）'!D:D=$F$4,'领用录入（明细）'!C:C&gt;=$J$4,'领用录入（明细）'!C:C&lt;=$L$4),ROW(),"-")</f>
        <v>-</v>
      </c>
    </row>
    <row r="9155" customHeight="1" spans="2:2">
      <c r="B9155" s="62" t="str">
        <f>IF(AND('领用录入（明细）'!D:D=$F$4,'领用录入（明细）'!C:C&gt;=$J$4,'领用录入（明细）'!C:C&lt;=$L$4),ROW(),"-")</f>
        <v>-</v>
      </c>
    </row>
    <row r="9156" customHeight="1" spans="2:2">
      <c r="B9156" s="62" t="str">
        <f>IF(AND('领用录入（明细）'!D:D=$F$4,'领用录入（明细）'!C:C&gt;=$J$4,'领用录入（明细）'!C:C&lt;=$L$4),ROW(),"-")</f>
        <v>-</v>
      </c>
    </row>
    <row r="9157" customHeight="1" spans="2:2">
      <c r="B9157" s="62" t="str">
        <f>IF(AND('领用录入（明细）'!D:D=$F$4,'领用录入（明细）'!C:C&gt;=$J$4,'领用录入（明细）'!C:C&lt;=$L$4),ROW(),"-")</f>
        <v>-</v>
      </c>
    </row>
    <row r="9158" customHeight="1" spans="2:2">
      <c r="B9158" s="62" t="str">
        <f>IF(AND('领用录入（明细）'!D:D=$F$4,'领用录入（明细）'!C:C&gt;=$J$4,'领用录入（明细）'!C:C&lt;=$L$4),ROW(),"-")</f>
        <v>-</v>
      </c>
    </row>
    <row r="9159" customHeight="1" spans="2:2">
      <c r="B9159" s="62" t="str">
        <f>IF(AND('领用录入（明细）'!D:D=$F$4,'领用录入（明细）'!C:C&gt;=$J$4,'领用录入（明细）'!C:C&lt;=$L$4),ROW(),"-")</f>
        <v>-</v>
      </c>
    </row>
    <row r="9160" customHeight="1" spans="2:2">
      <c r="B9160" s="62" t="str">
        <f>IF(AND('领用录入（明细）'!D:D=$F$4,'领用录入（明细）'!C:C&gt;=$J$4,'领用录入（明细）'!C:C&lt;=$L$4),ROW(),"-")</f>
        <v>-</v>
      </c>
    </row>
    <row r="9161" customHeight="1" spans="2:2">
      <c r="B9161" s="62" t="str">
        <f>IF(AND('领用录入（明细）'!D:D=$F$4,'领用录入（明细）'!C:C&gt;=$J$4,'领用录入（明细）'!C:C&lt;=$L$4),ROW(),"-")</f>
        <v>-</v>
      </c>
    </row>
    <row r="9162" customHeight="1" spans="2:2">
      <c r="B9162" s="62" t="str">
        <f>IF(AND('领用录入（明细）'!D:D=$F$4,'领用录入（明细）'!C:C&gt;=$J$4,'领用录入（明细）'!C:C&lt;=$L$4),ROW(),"-")</f>
        <v>-</v>
      </c>
    </row>
    <row r="9163" customHeight="1" spans="2:2">
      <c r="B9163" s="62" t="str">
        <f>IF(AND('领用录入（明细）'!D:D=$F$4,'领用录入（明细）'!C:C&gt;=$J$4,'领用录入（明细）'!C:C&lt;=$L$4),ROW(),"-")</f>
        <v>-</v>
      </c>
    </row>
    <row r="9164" customHeight="1" spans="2:2">
      <c r="B9164" s="62" t="str">
        <f>IF(AND('领用录入（明细）'!D:D=$F$4,'领用录入（明细）'!C:C&gt;=$J$4,'领用录入（明细）'!C:C&lt;=$L$4),ROW(),"-")</f>
        <v>-</v>
      </c>
    </row>
    <row r="9165" customHeight="1" spans="2:2">
      <c r="B9165" s="62" t="str">
        <f>IF(AND('领用录入（明细）'!D:D=$F$4,'领用录入（明细）'!C:C&gt;=$J$4,'领用录入（明细）'!C:C&lt;=$L$4),ROW(),"-")</f>
        <v>-</v>
      </c>
    </row>
    <row r="9166" customHeight="1" spans="2:2">
      <c r="B9166" s="62" t="str">
        <f>IF(AND('领用录入（明细）'!D:D=$F$4,'领用录入（明细）'!C:C&gt;=$J$4,'领用录入（明细）'!C:C&lt;=$L$4),ROW(),"-")</f>
        <v>-</v>
      </c>
    </row>
    <row r="9167" customHeight="1" spans="2:2">
      <c r="B9167" s="62" t="str">
        <f>IF(AND('领用录入（明细）'!D:D=$F$4,'领用录入（明细）'!C:C&gt;=$J$4,'领用录入（明细）'!C:C&lt;=$L$4),ROW(),"-")</f>
        <v>-</v>
      </c>
    </row>
    <row r="9168" customHeight="1" spans="2:2">
      <c r="B9168" s="62" t="str">
        <f>IF(AND('领用录入（明细）'!D:D=$F$4,'领用录入（明细）'!C:C&gt;=$J$4,'领用录入（明细）'!C:C&lt;=$L$4),ROW(),"-")</f>
        <v>-</v>
      </c>
    </row>
    <row r="9169" customHeight="1" spans="2:2">
      <c r="B9169" s="62" t="str">
        <f>IF(AND('领用录入（明细）'!D:D=$F$4,'领用录入（明细）'!C:C&gt;=$J$4,'领用录入（明细）'!C:C&lt;=$L$4),ROW(),"-")</f>
        <v>-</v>
      </c>
    </row>
    <row r="9170" customHeight="1" spans="2:2">
      <c r="B9170" s="62" t="str">
        <f>IF(AND('领用录入（明细）'!D:D=$F$4,'领用录入（明细）'!C:C&gt;=$J$4,'领用录入（明细）'!C:C&lt;=$L$4),ROW(),"-")</f>
        <v>-</v>
      </c>
    </row>
    <row r="9171" customHeight="1" spans="2:2">
      <c r="B9171" s="62" t="str">
        <f>IF(AND('领用录入（明细）'!D:D=$F$4,'领用录入（明细）'!C:C&gt;=$J$4,'领用录入（明细）'!C:C&lt;=$L$4),ROW(),"-")</f>
        <v>-</v>
      </c>
    </row>
    <row r="9172" customHeight="1" spans="2:2">
      <c r="B9172" s="62" t="str">
        <f>IF(AND('领用录入（明细）'!D:D=$F$4,'领用录入（明细）'!C:C&gt;=$J$4,'领用录入（明细）'!C:C&lt;=$L$4),ROW(),"-")</f>
        <v>-</v>
      </c>
    </row>
    <row r="9173" customHeight="1" spans="2:2">
      <c r="B9173" s="62" t="str">
        <f>IF(AND('领用录入（明细）'!D:D=$F$4,'领用录入（明细）'!C:C&gt;=$J$4,'领用录入（明细）'!C:C&lt;=$L$4),ROW(),"-")</f>
        <v>-</v>
      </c>
    </row>
    <row r="9174" customHeight="1" spans="2:2">
      <c r="B9174" s="62" t="str">
        <f>IF(AND('领用录入（明细）'!D:D=$F$4,'领用录入（明细）'!C:C&gt;=$J$4,'领用录入（明细）'!C:C&lt;=$L$4),ROW(),"-")</f>
        <v>-</v>
      </c>
    </row>
    <row r="9175" customHeight="1" spans="2:2">
      <c r="B9175" s="62" t="str">
        <f>IF(AND('领用录入（明细）'!D:D=$F$4,'领用录入（明细）'!C:C&gt;=$J$4,'领用录入（明细）'!C:C&lt;=$L$4),ROW(),"-")</f>
        <v>-</v>
      </c>
    </row>
    <row r="9176" customHeight="1" spans="2:2">
      <c r="B9176" s="62" t="str">
        <f>IF(AND('领用录入（明细）'!D:D=$F$4,'领用录入（明细）'!C:C&gt;=$J$4,'领用录入（明细）'!C:C&lt;=$L$4),ROW(),"-")</f>
        <v>-</v>
      </c>
    </row>
    <row r="9177" customHeight="1" spans="2:2">
      <c r="B9177" s="62" t="str">
        <f>IF(AND('领用录入（明细）'!D:D=$F$4,'领用录入（明细）'!C:C&gt;=$J$4,'领用录入（明细）'!C:C&lt;=$L$4),ROW(),"-")</f>
        <v>-</v>
      </c>
    </row>
    <row r="9178" customHeight="1" spans="2:2">
      <c r="B9178" s="62" t="str">
        <f>IF(AND('领用录入（明细）'!D:D=$F$4,'领用录入（明细）'!C:C&gt;=$J$4,'领用录入（明细）'!C:C&lt;=$L$4),ROW(),"-")</f>
        <v>-</v>
      </c>
    </row>
    <row r="9179" customHeight="1" spans="2:2">
      <c r="B9179" s="62" t="str">
        <f>IF(AND('领用录入（明细）'!D:D=$F$4,'领用录入（明细）'!C:C&gt;=$J$4,'领用录入（明细）'!C:C&lt;=$L$4),ROW(),"-")</f>
        <v>-</v>
      </c>
    </row>
    <row r="9180" customHeight="1" spans="2:2">
      <c r="B9180" s="62" t="str">
        <f>IF(AND('领用录入（明细）'!D:D=$F$4,'领用录入（明细）'!C:C&gt;=$J$4,'领用录入（明细）'!C:C&lt;=$L$4),ROW(),"-")</f>
        <v>-</v>
      </c>
    </row>
    <row r="9181" customHeight="1" spans="2:2">
      <c r="B9181" s="62" t="str">
        <f>IF(AND('领用录入（明细）'!D:D=$F$4,'领用录入（明细）'!C:C&gt;=$J$4,'领用录入（明细）'!C:C&lt;=$L$4),ROW(),"-")</f>
        <v>-</v>
      </c>
    </row>
    <row r="9182" customHeight="1" spans="2:2">
      <c r="B9182" s="62" t="str">
        <f>IF(AND('领用录入（明细）'!D:D=$F$4,'领用录入（明细）'!C:C&gt;=$J$4,'领用录入（明细）'!C:C&lt;=$L$4),ROW(),"-")</f>
        <v>-</v>
      </c>
    </row>
    <row r="9183" customHeight="1" spans="2:2">
      <c r="B9183" s="62" t="str">
        <f>IF(AND('领用录入（明细）'!D:D=$F$4,'领用录入（明细）'!C:C&gt;=$J$4,'领用录入（明细）'!C:C&lt;=$L$4),ROW(),"-")</f>
        <v>-</v>
      </c>
    </row>
    <row r="9184" customHeight="1" spans="2:2">
      <c r="B9184" s="62" t="str">
        <f>IF(AND('领用录入（明细）'!D:D=$F$4,'领用录入（明细）'!C:C&gt;=$J$4,'领用录入（明细）'!C:C&lt;=$L$4),ROW(),"-")</f>
        <v>-</v>
      </c>
    </row>
    <row r="9185" customHeight="1" spans="2:2">
      <c r="B9185" s="62" t="str">
        <f>IF(AND('领用录入（明细）'!D:D=$F$4,'领用录入（明细）'!C:C&gt;=$J$4,'领用录入（明细）'!C:C&lt;=$L$4),ROW(),"-")</f>
        <v>-</v>
      </c>
    </row>
    <row r="9186" customHeight="1" spans="2:2">
      <c r="B9186" s="62" t="str">
        <f>IF(AND('领用录入（明细）'!D:D=$F$4,'领用录入（明细）'!C:C&gt;=$J$4,'领用录入（明细）'!C:C&lt;=$L$4),ROW(),"-")</f>
        <v>-</v>
      </c>
    </row>
    <row r="9187" customHeight="1" spans="2:2">
      <c r="B9187" s="62" t="str">
        <f>IF(AND('领用录入（明细）'!D:D=$F$4,'领用录入（明细）'!C:C&gt;=$J$4,'领用录入（明细）'!C:C&lt;=$L$4),ROW(),"-")</f>
        <v>-</v>
      </c>
    </row>
    <row r="9188" customHeight="1" spans="2:2">
      <c r="B9188" s="62" t="str">
        <f>IF(AND('领用录入（明细）'!D:D=$F$4,'领用录入（明细）'!C:C&gt;=$J$4,'领用录入（明细）'!C:C&lt;=$L$4),ROW(),"-")</f>
        <v>-</v>
      </c>
    </row>
    <row r="9189" customHeight="1" spans="2:2">
      <c r="B9189" s="62" t="str">
        <f>IF(AND('领用录入（明细）'!D:D=$F$4,'领用录入（明细）'!C:C&gt;=$J$4,'领用录入（明细）'!C:C&lt;=$L$4),ROW(),"-")</f>
        <v>-</v>
      </c>
    </row>
    <row r="9190" customHeight="1" spans="2:2">
      <c r="B9190" s="62" t="str">
        <f>IF(AND('领用录入（明细）'!D:D=$F$4,'领用录入（明细）'!C:C&gt;=$J$4,'领用录入（明细）'!C:C&lt;=$L$4),ROW(),"-")</f>
        <v>-</v>
      </c>
    </row>
    <row r="9191" customHeight="1" spans="2:2">
      <c r="B9191" s="62" t="str">
        <f>IF(AND('领用录入（明细）'!D:D=$F$4,'领用录入（明细）'!C:C&gt;=$J$4,'领用录入（明细）'!C:C&lt;=$L$4),ROW(),"-")</f>
        <v>-</v>
      </c>
    </row>
    <row r="9192" customHeight="1" spans="2:2">
      <c r="B9192" s="62" t="str">
        <f>IF(AND('领用录入（明细）'!D:D=$F$4,'领用录入（明细）'!C:C&gt;=$J$4,'领用录入（明细）'!C:C&lt;=$L$4),ROW(),"-")</f>
        <v>-</v>
      </c>
    </row>
    <row r="9193" customHeight="1" spans="2:2">
      <c r="B9193" s="62" t="str">
        <f>IF(AND('领用录入（明细）'!D:D=$F$4,'领用录入（明细）'!C:C&gt;=$J$4,'领用录入（明细）'!C:C&lt;=$L$4),ROW(),"-")</f>
        <v>-</v>
      </c>
    </row>
    <row r="9194" customHeight="1" spans="2:2">
      <c r="B9194" s="62" t="str">
        <f>IF(AND('领用录入（明细）'!D:D=$F$4,'领用录入（明细）'!C:C&gt;=$J$4,'领用录入（明细）'!C:C&lt;=$L$4),ROW(),"-")</f>
        <v>-</v>
      </c>
    </row>
    <row r="9195" customHeight="1" spans="2:2">
      <c r="B9195" s="62" t="str">
        <f>IF(AND('领用录入（明细）'!D:D=$F$4,'领用录入（明细）'!C:C&gt;=$J$4,'领用录入（明细）'!C:C&lt;=$L$4),ROW(),"-")</f>
        <v>-</v>
      </c>
    </row>
    <row r="9196" customHeight="1" spans="2:2">
      <c r="B9196" s="62" t="str">
        <f>IF(AND('领用录入（明细）'!D:D=$F$4,'领用录入（明细）'!C:C&gt;=$J$4,'领用录入（明细）'!C:C&lt;=$L$4),ROW(),"-")</f>
        <v>-</v>
      </c>
    </row>
    <row r="9197" customHeight="1" spans="2:2">
      <c r="B9197" s="62" t="str">
        <f>IF(AND('领用录入（明细）'!D:D=$F$4,'领用录入（明细）'!C:C&gt;=$J$4,'领用录入（明细）'!C:C&lt;=$L$4),ROW(),"-")</f>
        <v>-</v>
      </c>
    </row>
    <row r="9198" customHeight="1" spans="2:2">
      <c r="B9198" s="62" t="str">
        <f>IF(AND('领用录入（明细）'!D:D=$F$4,'领用录入（明细）'!C:C&gt;=$J$4,'领用录入（明细）'!C:C&lt;=$L$4),ROW(),"-")</f>
        <v>-</v>
      </c>
    </row>
    <row r="9199" customHeight="1" spans="2:2">
      <c r="B9199" s="62" t="str">
        <f>IF(AND('领用录入（明细）'!D:D=$F$4,'领用录入（明细）'!C:C&gt;=$J$4,'领用录入（明细）'!C:C&lt;=$L$4),ROW(),"-")</f>
        <v>-</v>
      </c>
    </row>
    <row r="9200" customHeight="1" spans="2:2">
      <c r="B9200" s="62" t="str">
        <f>IF(AND('领用录入（明细）'!D:D=$F$4,'领用录入（明细）'!C:C&gt;=$J$4,'领用录入（明细）'!C:C&lt;=$L$4),ROW(),"-")</f>
        <v>-</v>
      </c>
    </row>
    <row r="9201" customHeight="1" spans="2:2">
      <c r="B9201" s="62" t="str">
        <f>IF(AND('领用录入（明细）'!D:D=$F$4,'领用录入（明细）'!C:C&gt;=$J$4,'领用录入（明细）'!C:C&lt;=$L$4),ROW(),"-")</f>
        <v>-</v>
      </c>
    </row>
    <row r="9202" customHeight="1" spans="2:2">
      <c r="B9202" s="62" t="str">
        <f>IF(AND('领用录入（明细）'!D:D=$F$4,'领用录入（明细）'!C:C&gt;=$J$4,'领用录入（明细）'!C:C&lt;=$L$4),ROW(),"-")</f>
        <v>-</v>
      </c>
    </row>
    <row r="9203" customHeight="1" spans="2:2">
      <c r="B9203" s="62" t="str">
        <f>IF(AND('领用录入（明细）'!D:D=$F$4,'领用录入（明细）'!C:C&gt;=$J$4,'领用录入（明细）'!C:C&lt;=$L$4),ROW(),"-")</f>
        <v>-</v>
      </c>
    </row>
    <row r="9204" customHeight="1" spans="2:2">
      <c r="B9204" s="62" t="str">
        <f>IF(AND('领用录入（明细）'!D:D=$F$4,'领用录入（明细）'!C:C&gt;=$J$4,'领用录入（明细）'!C:C&lt;=$L$4),ROW(),"-")</f>
        <v>-</v>
      </c>
    </row>
    <row r="9205" customHeight="1" spans="2:2">
      <c r="B9205" s="62" t="str">
        <f>IF(AND('领用录入（明细）'!D:D=$F$4,'领用录入（明细）'!C:C&gt;=$J$4,'领用录入（明细）'!C:C&lt;=$L$4),ROW(),"-")</f>
        <v>-</v>
      </c>
    </row>
    <row r="9206" customHeight="1" spans="2:2">
      <c r="B9206" s="62" t="str">
        <f>IF(AND('领用录入（明细）'!D:D=$F$4,'领用录入（明细）'!C:C&gt;=$J$4,'领用录入（明细）'!C:C&lt;=$L$4),ROW(),"-")</f>
        <v>-</v>
      </c>
    </row>
    <row r="9207" customHeight="1" spans="2:2">
      <c r="B9207" s="62" t="str">
        <f>IF(AND('领用录入（明细）'!D:D=$F$4,'领用录入（明细）'!C:C&gt;=$J$4,'领用录入（明细）'!C:C&lt;=$L$4),ROW(),"-")</f>
        <v>-</v>
      </c>
    </row>
    <row r="9208" customHeight="1" spans="2:2">
      <c r="B9208" s="62" t="str">
        <f>IF(AND('领用录入（明细）'!D:D=$F$4,'领用录入（明细）'!C:C&gt;=$J$4,'领用录入（明细）'!C:C&lt;=$L$4),ROW(),"-")</f>
        <v>-</v>
      </c>
    </row>
    <row r="9209" customHeight="1" spans="2:2">
      <c r="B9209" s="62" t="str">
        <f>IF(AND('领用录入（明细）'!D:D=$F$4,'领用录入（明细）'!C:C&gt;=$J$4,'领用录入（明细）'!C:C&lt;=$L$4),ROW(),"-")</f>
        <v>-</v>
      </c>
    </row>
    <row r="9210" customHeight="1" spans="2:2">
      <c r="B9210" s="62" t="str">
        <f>IF(AND('领用录入（明细）'!D:D=$F$4,'领用录入（明细）'!C:C&gt;=$J$4,'领用录入（明细）'!C:C&lt;=$L$4),ROW(),"-")</f>
        <v>-</v>
      </c>
    </row>
    <row r="9211" customHeight="1" spans="2:2">
      <c r="B9211" s="62" t="str">
        <f>IF(AND('领用录入（明细）'!D:D=$F$4,'领用录入（明细）'!C:C&gt;=$J$4,'领用录入（明细）'!C:C&lt;=$L$4),ROW(),"-")</f>
        <v>-</v>
      </c>
    </row>
    <row r="9212" customHeight="1" spans="2:2">
      <c r="B9212" s="62" t="str">
        <f>IF(AND('领用录入（明细）'!D:D=$F$4,'领用录入（明细）'!C:C&gt;=$J$4,'领用录入（明细）'!C:C&lt;=$L$4),ROW(),"-")</f>
        <v>-</v>
      </c>
    </row>
    <row r="9213" customHeight="1" spans="2:2">
      <c r="B9213" s="62" t="str">
        <f>IF(AND('领用录入（明细）'!D:D=$F$4,'领用录入（明细）'!C:C&gt;=$J$4,'领用录入（明细）'!C:C&lt;=$L$4),ROW(),"-")</f>
        <v>-</v>
      </c>
    </row>
    <row r="9214" customHeight="1" spans="2:2">
      <c r="B9214" s="62" t="str">
        <f>IF(AND('领用录入（明细）'!D:D=$F$4,'领用录入（明细）'!C:C&gt;=$J$4,'领用录入（明细）'!C:C&lt;=$L$4),ROW(),"-")</f>
        <v>-</v>
      </c>
    </row>
    <row r="9215" customHeight="1" spans="2:2">
      <c r="B9215" s="62" t="str">
        <f>IF(AND('领用录入（明细）'!D:D=$F$4,'领用录入（明细）'!C:C&gt;=$J$4,'领用录入（明细）'!C:C&lt;=$L$4),ROW(),"-")</f>
        <v>-</v>
      </c>
    </row>
    <row r="9216" customHeight="1" spans="2:2">
      <c r="B9216" s="62" t="str">
        <f>IF(AND('领用录入（明细）'!D:D=$F$4,'领用录入（明细）'!C:C&gt;=$J$4,'领用录入（明细）'!C:C&lt;=$L$4),ROW(),"-")</f>
        <v>-</v>
      </c>
    </row>
    <row r="9217" customHeight="1" spans="2:2">
      <c r="B9217" s="62" t="str">
        <f>IF(AND('领用录入（明细）'!D:D=$F$4,'领用录入（明细）'!C:C&gt;=$J$4,'领用录入（明细）'!C:C&lt;=$L$4),ROW(),"-")</f>
        <v>-</v>
      </c>
    </row>
    <row r="9218" customHeight="1" spans="2:2">
      <c r="B9218" s="62" t="str">
        <f>IF(AND('领用录入（明细）'!D:D=$F$4,'领用录入（明细）'!C:C&gt;=$J$4,'领用录入（明细）'!C:C&lt;=$L$4),ROW(),"-")</f>
        <v>-</v>
      </c>
    </row>
    <row r="9219" customHeight="1" spans="2:2">
      <c r="B9219" s="62" t="str">
        <f>IF(AND('领用录入（明细）'!D:D=$F$4,'领用录入（明细）'!C:C&gt;=$J$4,'领用录入（明细）'!C:C&lt;=$L$4),ROW(),"-")</f>
        <v>-</v>
      </c>
    </row>
    <row r="9220" customHeight="1" spans="2:2">
      <c r="B9220" s="62" t="str">
        <f>IF(AND('领用录入（明细）'!D:D=$F$4,'领用录入（明细）'!C:C&gt;=$J$4,'领用录入（明细）'!C:C&lt;=$L$4),ROW(),"-")</f>
        <v>-</v>
      </c>
    </row>
    <row r="9221" customHeight="1" spans="2:2">
      <c r="B9221" s="62" t="str">
        <f>IF(AND('领用录入（明细）'!D:D=$F$4,'领用录入（明细）'!C:C&gt;=$J$4,'领用录入（明细）'!C:C&lt;=$L$4),ROW(),"-")</f>
        <v>-</v>
      </c>
    </row>
    <row r="9222" customHeight="1" spans="2:2">
      <c r="B9222" s="62" t="str">
        <f>IF(AND('领用录入（明细）'!D:D=$F$4,'领用录入（明细）'!C:C&gt;=$J$4,'领用录入（明细）'!C:C&lt;=$L$4),ROW(),"-")</f>
        <v>-</v>
      </c>
    </row>
    <row r="9223" customHeight="1" spans="2:2">
      <c r="B9223" s="62" t="str">
        <f>IF(AND('领用录入（明细）'!D:D=$F$4,'领用录入（明细）'!C:C&gt;=$J$4,'领用录入（明细）'!C:C&lt;=$L$4),ROW(),"-")</f>
        <v>-</v>
      </c>
    </row>
    <row r="9224" customHeight="1" spans="2:2">
      <c r="B9224" s="62" t="str">
        <f>IF(AND('领用录入（明细）'!D:D=$F$4,'领用录入（明细）'!C:C&gt;=$J$4,'领用录入（明细）'!C:C&lt;=$L$4),ROW(),"-")</f>
        <v>-</v>
      </c>
    </row>
    <row r="9225" customHeight="1" spans="2:2">
      <c r="B9225" s="62" t="str">
        <f>IF(AND('领用录入（明细）'!D:D=$F$4,'领用录入（明细）'!C:C&gt;=$J$4,'领用录入（明细）'!C:C&lt;=$L$4),ROW(),"-")</f>
        <v>-</v>
      </c>
    </row>
    <row r="9226" customHeight="1" spans="2:2">
      <c r="B9226" s="62" t="str">
        <f>IF(AND('领用录入（明细）'!D:D=$F$4,'领用录入（明细）'!C:C&gt;=$J$4,'领用录入（明细）'!C:C&lt;=$L$4),ROW(),"-")</f>
        <v>-</v>
      </c>
    </row>
    <row r="9227" customHeight="1" spans="2:2">
      <c r="B9227" s="62" t="str">
        <f>IF(AND('领用录入（明细）'!D:D=$F$4,'领用录入（明细）'!C:C&gt;=$J$4,'领用录入（明细）'!C:C&lt;=$L$4),ROW(),"-")</f>
        <v>-</v>
      </c>
    </row>
    <row r="9228" customHeight="1" spans="2:2">
      <c r="B9228" s="62" t="str">
        <f>IF(AND('领用录入（明细）'!D:D=$F$4,'领用录入（明细）'!C:C&gt;=$J$4,'领用录入（明细）'!C:C&lt;=$L$4),ROW(),"-")</f>
        <v>-</v>
      </c>
    </row>
    <row r="9229" customHeight="1" spans="2:2">
      <c r="B9229" s="62" t="str">
        <f>IF(AND('领用录入（明细）'!D:D=$F$4,'领用录入（明细）'!C:C&gt;=$J$4,'领用录入（明细）'!C:C&lt;=$L$4),ROW(),"-")</f>
        <v>-</v>
      </c>
    </row>
    <row r="9230" customHeight="1" spans="2:2">
      <c r="B9230" s="62" t="str">
        <f>IF(AND('领用录入（明细）'!D:D=$F$4,'领用录入（明细）'!C:C&gt;=$J$4,'领用录入（明细）'!C:C&lt;=$L$4),ROW(),"-")</f>
        <v>-</v>
      </c>
    </row>
    <row r="9231" customHeight="1" spans="2:2">
      <c r="B9231" s="62" t="str">
        <f>IF(AND('领用录入（明细）'!D:D=$F$4,'领用录入（明细）'!C:C&gt;=$J$4,'领用录入（明细）'!C:C&lt;=$L$4),ROW(),"-")</f>
        <v>-</v>
      </c>
    </row>
    <row r="9232" customHeight="1" spans="2:2">
      <c r="B9232" s="62" t="str">
        <f>IF(AND('领用录入（明细）'!D:D=$F$4,'领用录入（明细）'!C:C&gt;=$J$4,'领用录入（明细）'!C:C&lt;=$L$4),ROW(),"-")</f>
        <v>-</v>
      </c>
    </row>
    <row r="9233" customHeight="1" spans="2:2">
      <c r="B9233" s="62" t="str">
        <f>IF(AND('领用录入（明细）'!D:D=$F$4,'领用录入（明细）'!C:C&gt;=$J$4,'领用录入（明细）'!C:C&lt;=$L$4),ROW(),"-")</f>
        <v>-</v>
      </c>
    </row>
    <row r="9234" customHeight="1" spans="2:2">
      <c r="B9234" s="62" t="str">
        <f>IF(AND('领用录入（明细）'!D:D=$F$4,'领用录入（明细）'!C:C&gt;=$J$4,'领用录入（明细）'!C:C&lt;=$L$4),ROW(),"-")</f>
        <v>-</v>
      </c>
    </row>
    <row r="9235" customHeight="1" spans="2:2">
      <c r="B9235" s="62" t="str">
        <f>IF(AND('领用录入（明细）'!D:D=$F$4,'领用录入（明细）'!C:C&gt;=$J$4,'领用录入（明细）'!C:C&lt;=$L$4),ROW(),"-")</f>
        <v>-</v>
      </c>
    </row>
    <row r="9236" customHeight="1" spans="2:2">
      <c r="B9236" s="62" t="str">
        <f>IF(AND('领用录入（明细）'!D:D=$F$4,'领用录入（明细）'!C:C&gt;=$J$4,'领用录入（明细）'!C:C&lt;=$L$4),ROW(),"-")</f>
        <v>-</v>
      </c>
    </row>
    <row r="9237" customHeight="1" spans="2:2">
      <c r="B9237" s="62" t="str">
        <f>IF(AND('领用录入（明细）'!D:D=$F$4,'领用录入（明细）'!C:C&gt;=$J$4,'领用录入（明细）'!C:C&lt;=$L$4),ROW(),"-")</f>
        <v>-</v>
      </c>
    </row>
    <row r="9238" customHeight="1" spans="2:2">
      <c r="B9238" s="62" t="str">
        <f>IF(AND('领用录入（明细）'!D:D=$F$4,'领用录入（明细）'!C:C&gt;=$J$4,'领用录入（明细）'!C:C&lt;=$L$4),ROW(),"-")</f>
        <v>-</v>
      </c>
    </row>
    <row r="9239" customHeight="1" spans="2:2">
      <c r="B9239" s="62" t="str">
        <f>IF(AND('领用录入（明细）'!D:D=$F$4,'领用录入（明细）'!C:C&gt;=$J$4,'领用录入（明细）'!C:C&lt;=$L$4),ROW(),"-")</f>
        <v>-</v>
      </c>
    </row>
    <row r="9240" customHeight="1" spans="2:2">
      <c r="B9240" s="62" t="str">
        <f>IF(AND('领用录入（明细）'!D:D=$F$4,'领用录入（明细）'!C:C&gt;=$J$4,'领用录入（明细）'!C:C&lt;=$L$4),ROW(),"-")</f>
        <v>-</v>
      </c>
    </row>
    <row r="9241" customHeight="1" spans="2:2">
      <c r="B9241" s="62" t="str">
        <f>IF(AND('领用录入（明细）'!D:D=$F$4,'领用录入（明细）'!C:C&gt;=$J$4,'领用录入（明细）'!C:C&lt;=$L$4),ROW(),"-")</f>
        <v>-</v>
      </c>
    </row>
    <row r="9242" customHeight="1" spans="2:2">
      <c r="B9242" s="62" t="str">
        <f>IF(AND('领用录入（明细）'!D:D=$F$4,'领用录入（明细）'!C:C&gt;=$J$4,'领用录入（明细）'!C:C&lt;=$L$4),ROW(),"-")</f>
        <v>-</v>
      </c>
    </row>
    <row r="9243" customHeight="1" spans="2:2">
      <c r="B9243" s="62" t="str">
        <f>IF(AND('领用录入（明细）'!D:D=$F$4,'领用录入（明细）'!C:C&gt;=$J$4,'领用录入（明细）'!C:C&lt;=$L$4),ROW(),"-")</f>
        <v>-</v>
      </c>
    </row>
    <row r="9244" customHeight="1" spans="2:2">
      <c r="B9244" s="62" t="str">
        <f>IF(AND('领用录入（明细）'!D:D=$F$4,'领用录入（明细）'!C:C&gt;=$J$4,'领用录入（明细）'!C:C&lt;=$L$4),ROW(),"-")</f>
        <v>-</v>
      </c>
    </row>
    <row r="9245" customHeight="1" spans="2:2">
      <c r="B9245" s="62" t="str">
        <f>IF(AND('领用录入（明细）'!D:D=$F$4,'领用录入（明细）'!C:C&gt;=$J$4,'领用录入（明细）'!C:C&lt;=$L$4),ROW(),"-")</f>
        <v>-</v>
      </c>
    </row>
    <row r="9246" customHeight="1" spans="2:2">
      <c r="B9246" s="62" t="str">
        <f>IF(AND('领用录入（明细）'!D:D=$F$4,'领用录入（明细）'!C:C&gt;=$J$4,'领用录入（明细）'!C:C&lt;=$L$4),ROW(),"-")</f>
        <v>-</v>
      </c>
    </row>
    <row r="9247" customHeight="1" spans="2:2">
      <c r="B9247" s="62" t="str">
        <f>IF(AND('领用录入（明细）'!D:D=$F$4,'领用录入（明细）'!C:C&gt;=$J$4,'领用录入（明细）'!C:C&lt;=$L$4),ROW(),"-")</f>
        <v>-</v>
      </c>
    </row>
    <row r="9248" customHeight="1" spans="2:2">
      <c r="B9248" s="62" t="str">
        <f>IF(AND('领用录入（明细）'!D:D=$F$4,'领用录入（明细）'!C:C&gt;=$J$4,'领用录入（明细）'!C:C&lt;=$L$4),ROW(),"-")</f>
        <v>-</v>
      </c>
    </row>
    <row r="9249" customHeight="1" spans="2:2">
      <c r="B9249" s="62" t="str">
        <f>IF(AND('领用录入（明细）'!D:D=$F$4,'领用录入（明细）'!C:C&gt;=$J$4,'领用录入（明细）'!C:C&lt;=$L$4),ROW(),"-")</f>
        <v>-</v>
      </c>
    </row>
    <row r="9250" customHeight="1" spans="2:2">
      <c r="B9250" s="62" t="str">
        <f>IF(AND('领用录入（明细）'!D:D=$F$4,'领用录入（明细）'!C:C&gt;=$J$4,'领用录入（明细）'!C:C&lt;=$L$4),ROW(),"-")</f>
        <v>-</v>
      </c>
    </row>
    <row r="9251" customHeight="1" spans="2:2">
      <c r="B9251" s="62" t="str">
        <f>IF(AND('领用录入（明细）'!D:D=$F$4,'领用录入（明细）'!C:C&gt;=$J$4,'领用录入（明细）'!C:C&lt;=$L$4),ROW(),"-")</f>
        <v>-</v>
      </c>
    </row>
    <row r="9252" customHeight="1" spans="2:2">
      <c r="B9252" s="62" t="str">
        <f>IF(AND('领用录入（明细）'!D:D=$F$4,'领用录入（明细）'!C:C&gt;=$J$4,'领用录入（明细）'!C:C&lt;=$L$4),ROW(),"-")</f>
        <v>-</v>
      </c>
    </row>
    <row r="9253" customHeight="1" spans="2:2">
      <c r="B9253" s="62" t="str">
        <f>IF(AND('领用录入（明细）'!D:D=$F$4,'领用录入（明细）'!C:C&gt;=$J$4,'领用录入（明细）'!C:C&lt;=$L$4),ROW(),"-")</f>
        <v>-</v>
      </c>
    </row>
    <row r="9254" customHeight="1" spans="2:2">
      <c r="B9254" s="62" t="str">
        <f>IF(AND('领用录入（明细）'!D:D=$F$4,'领用录入（明细）'!C:C&gt;=$J$4,'领用录入（明细）'!C:C&lt;=$L$4),ROW(),"-")</f>
        <v>-</v>
      </c>
    </row>
    <row r="9255" customHeight="1" spans="2:2">
      <c r="B9255" s="62" t="str">
        <f>IF(AND('领用录入（明细）'!D:D=$F$4,'领用录入（明细）'!C:C&gt;=$J$4,'领用录入（明细）'!C:C&lt;=$L$4),ROW(),"-")</f>
        <v>-</v>
      </c>
    </row>
    <row r="9256" customHeight="1" spans="2:2">
      <c r="B9256" s="62" t="str">
        <f>IF(AND('领用录入（明细）'!D:D=$F$4,'领用录入（明细）'!C:C&gt;=$J$4,'领用录入（明细）'!C:C&lt;=$L$4),ROW(),"-")</f>
        <v>-</v>
      </c>
    </row>
    <row r="9257" customHeight="1" spans="2:2">
      <c r="B9257" s="62" t="str">
        <f>IF(AND('领用录入（明细）'!D:D=$F$4,'领用录入（明细）'!C:C&gt;=$J$4,'领用录入（明细）'!C:C&lt;=$L$4),ROW(),"-")</f>
        <v>-</v>
      </c>
    </row>
    <row r="9258" customHeight="1" spans="2:2">
      <c r="B9258" s="62" t="str">
        <f>IF(AND('领用录入（明细）'!D:D=$F$4,'领用录入（明细）'!C:C&gt;=$J$4,'领用录入（明细）'!C:C&lt;=$L$4),ROW(),"-")</f>
        <v>-</v>
      </c>
    </row>
    <row r="9259" customHeight="1" spans="2:2">
      <c r="B9259" s="62" t="str">
        <f>IF(AND('领用录入（明细）'!D:D=$F$4,'领用录入（明细）'!C:C&gt;=$J$4,'领用录入（明细）'!C:C&lt;=$L$4),ROW(),"-")</f>
        <v>-</v>
      </c>
    </row>
    <row r="9260" customHeight="1" spans="2:2">
      <c r="B9260" s="62" t="str">
        <f>IF(AND('领用录入（明细）'!D:D=$F$4,'领用录入（明细）'!C:C&gt;=$J$4,'领用录入（明细）'!C:C&lt;=$L$4),ROW(),"-")</f>
        <v>-</v>
      </c>
    </row>
    <row r="9261" customHeight="1" spans="2:2">
      <c r="B9261" s="62" t="str">
        <f>IF(AND('领用录入（明细）'!D:D=$F$4,'领用录入（明细）'!C:C&gt;=$J$4,'领用录入（明细）'!C:C&lt;=$L$4),ROW(),"-")</f>
        <v>-</v>
      </c>
    </row>
    <row r="9262" customHeight="1" spans="2:2">
      <c r="B9262" s="62" t="str">
        <f>IF(AND('领用录入（明细）'!D:D=$F$4,'领用录入（明细）'!C:C&gt;=$J$4,'领用录入（明细）'!C:C&lt;=$L$4),ROW(),"-")</f>
        <v>-</v>
      </c>
    </row>
    <row r="9263" customHeight="1" spans="2:2">
      <c r="B9263" s="62" t="str">
        <f>IF(AND('领用录入（明细）'!D:D=$F$4,'领用录入（明细）'!C:C&gt;=$J$4,'领用录入（明细）'!C:C&lt;=$L$4),ROW(),"-")</f>
        <v>-</v>
      </c>
    </row>
    <row r="9264" customHeight="1" spans="2:2">
      <c r="B9264" s="62" t="str">
        <f>IF(AND('领用录入（明细）'!D:D=$F$4,'领用录入（明细）'!C:C&gt;=$J$4,'领用录入（明细）'!C:C&lt;=$L$4),ROW(),"-")</f>
        <v>-</v>
      </c>
    </row>
    <row r="9265" customHeight="1" spans="2:2">
      <c r="B9265" s="62" t="str">
        <f>IF(AND('领用录入（明细）'!D:D=$F$4,'领用录入（明细）'!C:C&gt;=$J$4,'领用录入（明细）'!C:C&lt;=$L$4),ROW(),"-")</f>
        <v>-</v>
      </c>
    </row>
    <row r="9266" customHeight="1" spans="2:2">
      <c r="B9266" s="62" t="str">
        <f>IF(AND('领用录入（明细）'!D:D=$F$4,'领用录入（明细）'!C:C&gt;=$J$4,'领用录入（明细）'!C:C&lt;=$L$4),ROW(),"-")</f>
        <v>-</v>
      </c>
    </row>
    <row r="9267" customHeight="1" spans="2:2">
      <c r="B9267" s="62" t="str">
        <f>IF(AND('领用录入（明细）'!D:D=$F$4,'领用录入（明细）'!C:C&gt;=$J$4,'领用录入（明细）'!C:C&lt;=$L$4),ROW(),"-")</f>
        <v>-</v>
      </c>
    </row>
    <row r="9268" customHeight="1" spans="2:2">
      <c r="B9268" s="62" t="str">
        <f>IF(AND('领用录入（明细）'!D:D=$F$4,'领用录入（明细）'!C:C&gt;=$J$4,'领用录入（明细）'!C:C&lt;=$L$4),ROW(),"-")</f>
        <v>-</v>
      </c>
    </row>
    <row r="9269" customHeight="1" spans="2:2">
      <c r="B9269" s="62" t="str">
        <f>IF(AND('领用录入（明细）'!D:D=$F$4,'领用录入（明细）'!C:C&gt;=$J$4,'领用录入（明细）'!C:C&lt;=$L$4),ROW(),"-")</f>
        <v>-</v>
      </c>
    </row>
    <row r="9270" customHeight="1" spans="2:2">
      <c r="B9270" s="62" t="str">
        <f>IF(AND('领用录入（明细）'!D:D=$F$4,'领用录入（明细）'!C:C&gt;=$J$4,'领用录入（明细）'!C:C&lt;=$L$4),ROW(),"-")</f>
        <v>-</v>
      </c>
    </row>
    <row r="9271" customHeight="1" spans="2:2">
      <c r="B9271" s="62" t="str">
        <f>IF(AND('领用录入（明细）'!D:D=$F$4,'领用录入（明细）'!C:C&gt;=$J$4,'领用录入（明细）'!C:C&lt;=$L$4),ROW(),"-")</f>
        <v>-</v>
      </c>
    </row>
    <row r="9272" customHeight="1" spans="2:2">
      <c r="B9272" s="62" t="str">
        <f>IF(AND('领用录入（明细）'!D:D=$F$4,'领用录入（明细）'!C:C&gt;=$J$4,'领用录入（明细）'!C:C&lt;=$L$4),ROW(),"-")</f>
        <v>-</v>
      </c>
    </row>
    <row r="9273" customHeight="1" spans="2:2">
      <c r="B9273" s="62" t="str">
        <f>IF(AND('领用录入（明细）'!D:D=$F$4,'领用录入（明细）'!C:C&gt;=$J$4,'领用录入（明细）'!C:C&lt;=$L$4),ROW(),"-")</f>
        <v>-</v>
      </c>
    </row>
    <row r="9274" customHeight="1" spans="2:2">
      <c r="B9274" s="62" t="str">
        <f>IF(AND('领用录入（明细）'!D:D=$F$4,'领用录入（明细）'!C:C&gt;=$J$4,'领用录入（明细）'!C:C&lt;=$L$4),ROW(),"-")</f>
        <v>-</v>
      </c>
    </row>
    <row r="9275" customHeight="1" spans="2:2">
      <c r="B9275" s="62" t="str">
        <f>IF(AND('领用录入（明细）'!D:D=$F$4,'领用录入（明细）'!C:C&gt;=$J$4,'领用录入（明细）'!C:C&lt;=$L$4),ROW(),"-")</f>
        <v>-</v>
      </c>
    </row>
    <row r="9276" customHeight="1" spans="2:2">
      <c r="B9276" s="62" t="str">
        <f>IF(AND('领用录入（明细）'!D:D=$F$4,'领用录入（明细）'!C:C&gt;=$J$4,'领用录入（明细）'!C:C&lt;=$L$4),ROW(),"-")</f>
        <v>-</v>
      </c>
    </row>
    <row r="9277" customHeight="1" spans="2:2">
      <c r="B9277" s="62" t="str">
        <f>IF(AND('领用录入（明细）'!D:D=$F$4,'领用录入（明细）'!C:C&gt;=$J$4,'领用录入（明细）'!C:C&lt;=$L$4),ROW(),"-")</f>
        <v>-</v>
      </c>
    </row>
    <row r="9278" customHeight="1" spans="2:2">
      <c r="B9278" s="62" t="str">
        <f>IF(AND('领用录入（明细）'!D:D=$F$4,'领用录入（明细）'!C:C&gt;=$J$4,'领用录入（明细）'!C:C&lt;=$L$4),ROW(),"-")</f>
        <v>-</v>
      </c>
    </row>
    <row r="9279" customHeight="1" spans="2:2">
      <c r="B9279" s="62" t="str">
        <f>IF(AND('领用录入（明细）'!D:D=$F$4,'领用录入（明细）'!C:C&gt;=$J$4,'领用录入（明细）'!C:C&lt;=$L$4),ROW(),"-")</f>
        <v>-</v>
      </c>
    </row>
    <row r="9280" customHeight="1" spans="2:2">
      <c r="B9280" s="62" t="str">
        <f>IF(AND('领用录入（明细）'!D:D=$F$4,'领用录入（明细）'!C:C&gt;=$J$4,'领用录入（明细）'!C:C&lt;=$L$4),ROW(),"-")</f>
        <v>-</v>
      </c>
    </row>
    <row r="9281" customHeight="1" spans="2:2">
      <c r="B9281" s="62" t="str">
        <f>IF(AND('领用录入（明细）'!D:D=$F$4,'领用录入（明细）'!C:C&gt;=$J$4,'领用录入（明细）'!C:C&lt;=$L$4),ROW(),"-")</f>
        <v>-</v>
      </c>
    </row>
    <row r="9282" customHeight="1" spans="2:2">
      <c r="B9282" s="62" t="str">
        <f>IF(AND('领用录入（明细）'!D:D=$F$4,'领用录入（明细）'!C:C&gt;=$J$4,'领用录入（明细）'!C:C&lt;=$L$4),ROW(),"-")</f>
        <v>-</v>
      </c>
    </row>
    <row r="9283" customHeight="1" spans="2:2">
      <c r="B9283" s="62" t="str">
        <f>IF(AND('领用录入（明细）'!D:D=$F$4,'领用录入（明细）'!C:C&gt;=$J$4,'领用录入（明细）'!C:C&lt;=$L$4),ROW(),"-")</f>
        <v>-</v>
      </c>
    </row>
    <row r="9284" customHeight="1" spans="2:2">
      <c r="B9284" s="62" t="str">
        <f>IF(AND('领用录入（明细）'!D:D=$F$4,'领用录入（明细）'!C:C&gt;=$J$4,'领用录入（明细）'!C:C&lt;=$L$4),ROW(),"-")</f>
        <v>-</v>
      </c>
    </row>
    <row r="9285" customHeight="1" spans="2:2">
      <c r="B9285" s="62" t="str">
        <f>IF(AND('领用录入（明细）'!D:D=$F$4,'领用录入（明细）'!C:C&gt;=$J$4,'领用录入（明细）'!C:C&lt;=$L$4),ROW(),"-")</f>
        <v>-</v>
      </c>
    </row>
    <row r="9286" customHeight="1" spans="2:2">
      <c r="B9286" s="62" t="str">
        <f>IF(AND('领用录入（明细）'!D:D=$F$4,'领用录入（明细）'!C:C&gt;=$J$4,'领用录入（明细）'!C:C&lt;=$L$4),ROW(),"-")</f>
        <v>-</v>
      </c>
    </row>
    <row r="9287" customHeight="1" spans="2:2">
      <c r="B9287" s="62" t="str">
        <f>IF(AND('领用录入（明细）'!D:D=$F$4,'领用录入（明细）'!C:C&gt;=$J$4,'领用录入（明细）'!C:C&lt;=$L$4),ROW(),"-")</f>
        <v>-</v>
      </c>
    </row>
    <row r="9288" customHeight="1" spans="2:2">
      <c r="B9288" s="62" t="str">
        <f>IF(AND('领用录入（明细）'!D:D=$F$4,'领用录入（明细）'!C:C&gt;=$J$4,'领用录入（明细）'!C:C&lt;=$L$4),ROW(),"-")</f>
        <v>-</v>
      </c>
    </row>
    <row r="9289" customHeight="1" spans="2:2">
      <c r="B9289" s="62" t="str">
        <f>IF(AND('领用录入（明细）'!D:D=$F$4,'领用录入（明细）'!C:C&gt;=$J$4,'领用录入（明细）'!C:C&lt;=$L$4),ROW(),"-")</f>
        <v>-</v>
      </c>
    </row>
    <row r="9290" customHeight="1" spans="2:2">
      <c r="B9290" s="62" t="str">
        <f>IF(AND('领用录入（明细）'!D:D=$F$4,'领用录入（明细）'!C:C&gt;=$J$4,'领用录入（明细）'!C:C&lt;=$L$4),ROW(),"-")</f>
        <v>-</v>
      </c>
    </row>
    <row r="9291" customHeight="1" spans="2:2">
      <c r="B9291" s="62" t="str">
        <f>IF(AND('领用录入（明细）'!D:D=$F$4,'领用录入（明细）'!C:C&gt;=$J$4,'领用录入（明细）'!C:C&lt;=$L$4),ROW(),"-")</f>
        <v>-</v>
      </c>
    </row>
    <row r="9292" customHeight="1" spans="2:2">
      <c r="B9292" s="62" t="str">
        <f>IF(AND('领用录入（明细）'!D:D=$F$4,'领用录入（明细）'!C:C&gt;=$J$4,'领用录入（明细）'!C:C&lt;=$L$4),ROW(),"-")</f>
        <v>-</v>
      </c>
    </row>
    <row r="9293" customHeight="1" spans="2:2">
      <c r="B9293" s="62" t="str">
        <f>IF(AND('领用录入（明细）'!D:D=$F$4,'领用录入（明细）'!C:C&gt;=$J$4,'领用录入（明细）'!C:C&lt;=$L$4),ROW(),"-")</f>
        <v>-</v>
      </c>
    </row>
    <row r="9294" customHeight="1" spans="2:2">
      <c r="B9294" s="62" t="str">
        <f>IF(AND('领用录入（明细）'!D:D=$F$4,'领用录入（明细）'!C:C&gt;=$J$4,'领用录入（明细）'!C:C&lt;=$L$4),ROW(),"-")</f>
        <v>-</v>
      </c>
    </row>
    <row r="9295" customHeight="1" spans="2:2">
      <c r="B9295" s="62" t="str">
        <f>IF(AND('领用录入（明细）'!D:D=$F$4,'领用录入（明细）'!C:C&gt;=$J$4,'领用录入（明细）'!C:C&lt;=$L$4),ROW(),"-")</f>
        <v>-</v>
      </c>
    </row>
    <row r="9296" customHeight="1" spans="2:2">
      <c r="B9296" s="62" t="str">
        <f>IF(AND('领用录入（明细）'!D:D=$F$4,'领用录入（明细）'!C:C&gt;=$J$4,'领用录入（明细）'!C:C&lt;=$L$4),ROW(),"-")</f>
        <v>-</v>
      </c>
    </row>
    <row r="9297" customHeight="1" spans="2:2">
      <c r="B9297" s="62" t="str">
        <f>IF(AND('领用录入（明细）'!D:D=$F$4,'领用录入（明细）'!C:C&gt;=$J$4,'领用录入（明细）'!C:C&lt;=$L$4),ROW(),"-")</f>
        <v>-</v>
      </c>
    </row>
    <row r="9298" customHeight="1" spans="2:2">
      <c r="B9298" s="62" t="str">
        <f>IF(AND('领用录入（明细）'!D:D=$F$4,'领用录入（明细）'!C:C&gt;=$J$4,'领用录入（明细）'!C:C&lt;=$L$4),ROW(),"-")</f>
        <v>-</v>
      </c>
    </row>
    <row r="9299" customHeight="1" spans="2:2">
      <c r="B9299" s="62" t="str">
        <f>IF(AND('领用录入（明细）'!D:D=$F$4,'领用录入（明细）'!C:C&gt;=$J$4,'领用录入（明细）'!C:C&lt;=$L$4),ROW(),"-")</f>
        <v>-</v>
      </c>
    </row>
    <row r="9300" customHeight="1" spans="2:2">
      <c r="B9300" s="62" t="str">
        <f>IF(AND('领用录入（明细）'!D:D=$F$4,'领用录入（明细）'!C:C&gt;=$J$4,'领用录入（明细）'!C:C&lt;=$L$4),ROW(),"-")</f>
        <v>-</v>
      </c>
    </row>
    <row r="9301" customHeight="1" spans="2:2">
      <c r="B9301" s="62" t="str">
        <f>IF(AND('领用录入（明细）'!D:D=$F$4,'领用录入（明细）'!C:C&gt;=$J$4,'领用录入（明细）'!C:C&lt;=$L$4),ROW(),"-")</f>
        <v>-</v>
      </c>
    </row>
    <row r="9302" customHeight="1" spans="2:2">
      <c r="B9302" s="62" t="str">
        <f>IF(AND('领用录入（明细）'!D:D=$F$4,'领用录入（明细）'!C:C&gt;=$J$4,'领用录入（明细）'!C:C&lt;=$L$4),ROW(),"-")</f>
        <v>-</v>
      </c>
    </row>
    <row r="9303" customHeight="1" spans="2:2">
      <c r="B9303" s="62" t="str">
        <f>IF(AND('领用录入（明细）'!D:D=$F$4,'领用录入（明细）'!C:C&gt;=$J$4,'领用录入（明细）'!C:C&lt;=$L$4),ROW(),"-")</f>
        <v>-</v>
      </c>
    </row>
    <row r="9304" customHeight="1" spans="2:2">
      <c r="B9304" s="62" t="str">
        <f>IF(AND('领用录入（明细）'!D:D=$F$4,'领用录入（明细）'!C:C&gt;=$J$4,'领用录入（明细）'!C:C&lt;=$L$4),ROW(),"-")</f>
        <v>-</v>
      </c>
    </row>
    <row r="9305" customHeight="1" spans="2:2">
      <c r="B9305" s="62" t="str">
        <f>IF(AND('领用录入（明细）'!D:D=$F$4,'领用录入（明细）'!C:C&gt;=$J$4,'领用录入（明细）'!C:C&lt;=$L$4),ROW(),"-")</f>
        <v>-</v>
      </c>
    </row>
    <row r="9306" customHeight="1" spans="2:2">
      <c r="B9306" s="62" t="str">
        <f>IF(AND('领用录入（明细）'!D:D=$F$4,'领用录入（明细）'!C:C&gt;=$J$4,'领用录入（明细）'!C:C&lt;=$L$4),ROW(),"-")</f>
        <v>-</v>
      </c>
    </row>
    <row r="9307" customHeight="1" spans="2:2">
      <c r="B9307" s="62" t="str">
        <f>IF(AND('领用录入（明细）'!D:D=$F$4,'领用录入（明细）'!C:C&gt;=$J$4,'领用录入（明细）'!C:C&lt;=$L$4),ROW(),"-")</f>
        <v>-</v>
      </c>
    </row>
    <row r="9308" customHeight="1" spans="2:2">
      <c r="B9308" s="62" t="str">
        <f>IF(AND('领用录入（明细）'!D:D=$F$4,'领用录入（明细）'!C:C&gt;=$J$4,'领用录入（明细）'!C:C&lt;=$L$4),ROW(),"-")</f>
        <v>-</v>
      </c>
    </row>
    <row r="9309" customHeight="1" spans="2:2">
      <c r="B9309" s="62" t="str">
        <f>IF(AND('领用录入（明细）'!D:D=$F$4,'领用录入（明细）'!C:C&gt;=$J$4,'领用录入（明细）'!C:C&lt;=$L$4),ROW(),"-")</f>
        <v>-</v>
      </c>
    </row>
    <row r="9310" customHeight="1" spans="2:2">
      <c r="B9310" s="62" t="str">
        <f>IF(AND('领用录入（明细）'!D:D=$F$4,'领用录入（明细）'!C:C&gt;=$J$4,'领用录入（明细）'!C:C&lt;=$L$4),ROW(),"-")</f>
        <v>-</v>
      </c>
    </row>
    <row r="9311" customHeight="1" spans="2:2">
      <c r="B9311" s="62" t="str">
        <f>IF(AND('领用录入（明细）'!D:D=$F$4,'领用录入（明细）'!C:C&gt;=$J$4,'领用录入（明细）'!C:C&lt;=$L$4),ROW(),"-")</f>
        <v>-</v>
      </c>
    </row>
    <row r="9312" customHeight="1" spans="2:2">
      <c r="B9312" s="62" t="str">
        <f>IF(AND('领用录入（明细）'!D:D=$F$4,'领用录入（明细）'!C:C&gt;=$J$4,'领用录入（明细）'!C:C&lt;=$L$4),ROW(),"-")</f>
        <v>-</v>
      </c>
    </row>
    <row r="9313" customHeight="1" spans="2:2">
      <c r="B9313" s="62" t="str">
        <f>IF(AND('领用录入（明细）'!D:D=$F$4,'领用录入（明细）'!C:C&gt;=$J$4,'领用录入（明细）'!C:C&lt;=$L$4),ROW(),"-")</f>
        <v>-</v>
      </c>
    </row>
    <row r="9314" customHeight="1" spans="2:2">
      <c r="B9314" s="62" t="str">
        <f>IF(AND('领用录入（明细）'!D:D=$F$4,'领用录入（明细）'!C:C&gt;=$J$4,'领用录入（明细）'!C:C&lt;=$L$4),ROW(),"-")</f>
        <v>-</v>
      </c>
    </row>
    <row r="9315" customHeight="1" spans="2:2">
      <c r="B9315" s="62" t="str">
        <f>IF(AND('领用录入（明细）'!D:D=$F$4,'领用录入（明细）'!C:C&gt;=$J$4,'领用录入（明细）'!C:C&lt;=$L$4),ROW(),"-")</f>
        <v>-</v>
      </c>
    </row>
    <row r="9316" customHeight="1" spans="2:2">
      <c r="B9316" s="62" t="str">
        <f>IF(AND('领用录入（明细）'!D:D=$F$4,'领用录入（明细）'!C:C&gt;=$J$4,'领用录入（明细）'!C:C&lt;=$L$4),ROW(),"-")</f>
        <v>-</v>
      </c>
    </row>
    <row r="9317" customHeight="1" spans="2:2">
      <c r="B9317" s="62" t="str">
        <f>IF(AND('领用录入（明细）'!D:D=$F$4,'领用录入（明细）'!C:C&gt;=$J$4,'领用录入（明细）'!C:C&lt;=$L$4),ROW(),"-")</f>
        <v>-</v>
      </c>
    </row>
    <row r="9318" customHeight="1" spans="2:2">
      <c r="B9318" s="62" t="str">
        <f>IF(AND('领用录入（明细）'!D:D=$F$4,'领用录入（明细）'!C:C&gt;=$J$4,'领用录入（明细）'!C:C&lt;=$L$4),ROW(),"-")</f>
        <v>-</v>
      </c>
    </row>
    <row r="9319" customHeight="1" spans="2:2">
      <c r="B9319" s="62" t="str">
        <f>IF(AND('领用录入（明细）'!D:D=$F$4,'领用录入（明细）'!C:C&gt;=$J$4,'领用录入（明细）'!C:C&lt;=$L$4),ROW(),"-")</f>
        <v>-</v>
      </c>
    </row>
    <row r="9320" customHeight="1" spans="2:2">
      <c r="B9320" s="62" t="str">
        <f>IF(AND('领用录入（明细）'!D:D=$F$4,'领用录入（明细）'!C:C&gt;=$J$4,'领用录入（明细）'!C:C&lt;=$L$4),ROW(),"-")</f>
        <v>-</v>
      </c>
    </row>
    <row r="9321" customHeight="1" spans="2:2">
      <c r="B9321" s="62" t="str">
        <f>IF(AND('领用录入（明细）'!D:D=$F$4,'领用录入（明细）'!C:C&gt;=$J$4,'领用录入（明细）'!C:C&lt;=$L$4),ROW(),"-")</f>
        <v>-</v>
      </c>
    </row>
    <row r="9322" customHeight="1" spans="2:2">
      <c r="B9322" s="62" t="str">
        <f>IF(AND('领用录入（明细）'!D:D=$F$4,'领用录入（明细）'!C:C&gt;=$J$4,'领用录入（明细）'!C:C&lt;=$L$4),ROW(),"-")</f>
        <v>-</v>
      </c>
    </row>
    <row r="9323" customHeight="1" spans="2:2">
      <c r="B9323" s="62" t="str">
        <f>IF(AND('领用录入（明细）'!D:D=$F$4,'领用录入（明细）'!C:C&gt;=$J$4,'领用录入（明细）'!C:C&lt;=$L$4),ROW(),"-")</f>
        <v>-</v>
      </c>
    </row>
    <row r="9324" customHeight="1" spans="2:2">
      <c r="B9324" s="62" t="str">
        <f>IF(AND('领用录入（明细）'!D:D=$F$4,'领用录入（明细）'!C:C&gt;=$J$4,'领用录入（明细）'!C:C&lt;=$L$4),ROW(),"-")</f>
        <v>-</v>
      </c>
    </row>
    <row r="9325" customHeight="1" spans="2:2">
      <c r="B9325" s="62" t="str">
        <f>IF(AND('领用录入（明细）'!D:D=$F$4,'领用录入（明细）'!C:C&gt;=$J$4,'领用录入（明细）'!C:C&lt;=$L$4),ROW(),"-")</f>
        <v>-</v>
      </c>
    </row>
    <row r="9326" customHeight="1" spans="2:2">
      <c r="B9326" s="62" t="str">
        <f>IF(AND('领用录入（明细）'!D:D=$F$4,'领用录入（明细）'!C:C&gt;=$J$4,'领用录入（明细）'!C:C&lt;=$L$4),ROW(),"-")</f>
        <v>-</v>
      </c>
    </row>
    <row r="9327" customHeight="1" spans="2:2">
      <c r="B9327" s="62" t="str">
        <f>IF(AND('领用录入（明细）'!D:D=$F$4,'领用录入（明细）'!C:C&gt;=$J$4,'领用录入（明细）'!C:C&lt;=$L$4),ROW(),"-")</f>
        <v>-</v>
      </c>
    </row>
    <row r="9328" customHeight="1" spans="2:2">
      <c r="B9328" s="62" t="str">
        <f>IF(AND('领用录入（明细）'!D:D=$F$4,'领用录入（明细）'!C:C&gt;=$J$4,'领用录入（明细）'!C:C&lt;=$L$4),ROW(),"-")</f>
        <v>-</v>
      </c>
    </row>
    <row r="9329" customHeight="1" spans="2:2">
      <c r="B9329" s="62" t="str">
        <f>IF(AND('领用录入（明细）'!D:D=$F$4,'领用录入（明细）'!C:C&gt;=$J$4,'领用录入（明细）'!C:C&lt;=$L$4),ROW(),"-")</f>
        <v>-</v>
      </c>
    </row>
    <row r="9330" customHeight="1" spans="2:2">
      <c r="B9330" s="62" t="str">
        <f>IF(AND('领用录入（明细）'!D:D=$F$4,'领用录入（明细）'!C:C&gt;=$J$4,'领用录入（明细）'!C:C&lt;=$L$4),ROW(),"-")</f>
        <v>-</v>
      </c>
    </row>
    <row r="9331" customHeight="1" spans="2:2">
      <c r="B9331" s="62" t="str">
        <f>IF(AND('领用录入（明细）'!D:D=$F$4,'领用录入（明细）'!C:C&gt;=$J$4,'领用录入（明细）'!C:C&lt;=$L$4),ROW(),"-")</f>
        <v>-</v>
      </c>
    </row>
    <row r="9332" customHeight="1" spans="2:2">
      <c r="B9332" s="62" t="str">
        <f>IF(AND('领用录入（明细）'!D:D=$F$4,'领用录入（明细）'!C:C&gt;=$J$4,'领用录入（明细）'!C:C&lt;=$L$4),ROW(),"-")</f>
        <v>-</v>
      </c>
    </row>
    <row r="9333" customHeight="1" spans="2:2">
      <c r="B9333" s="62" t="str">
        <f>IF(AND('领用录入（明细）'!D:D=$F$4,'领用录入（明细）'!C:C&gt;=$J$4,'领用录入（明细）'!C:C&lt;=$L$4),ROW(),"-")</f>
        <v>-</v>
      </c>
    </row>
    <row r="9334" customHeight="1" spans="2:2">
      <c r="B9334" s="62" t="str">
        <f>IF(AND('领用录入（明细）'!D:D=$F$4,'领用录入（明细）'!C:C&gt;=$J$4,'领用录入（明细）'!C:C&lt;=$L$4),ROW(),"-")</f>
        <v>-</v>
      </c>
    </row>
    <row r="9335" customHeight="1" spans="2:2">
      <c r="B9335" s="62" t="str">
        <f>IF(AND('领用录入（明细）'!D:D=$F$4,'领用录入（明细）'!C:C&gt;=$J$4,'领用录入（明细）'!C:C&lt;=$L$4),ROW(),"-")</f>
        <v>-</v>
      </c>
    </row>
    <row r="9336" customHeight="1" spans="2:2">
      <c r="B9336" s="62" t="str">
        <f>IF(AND('领用录入（明细）'!D:D=$F$4,'领用录入（明细）'!C:C&gt;=$J$4,'领用录入（明细）'!C:C&lt;=$L$4),ROW(),"-")</f>
        <v>-</v>
      </c>
    </row>
    <row r="9337" customHeight="1" spans="2:2">
      <c r="B9337" s="62" t="str">
        <f>IF(AND('领用录入（明细）'!D:D=$F$4,'领用录入（明细）'!C:C&gt;=$J$4,'领用录入（明细）'!C:C&lt;=$L$4),ROW(),"-")</f>
        <v>-</v>
      </c>
    </row>
    <row r="9338" customHeight="1" spans="2:2">
      <c r="B9338" s="62" t="str">
        <f>IF(AND('领用录入（明细）'!D:D=$F$4,'领用录入（明细）'!C:C&gt;=$J$4,'领用录入（明细）'!C:C&lt;=$L$4),ROW(),"-")</f>
        <v>-</v>
      </c>
    </row>
    <row r="9339" customHeight="1" spans="2:2">
      <c r="B9339" s="62" t="str">
        <f>IF(AND('领用录入（明细）'!D:D=$F$4,'领用录入（明细）'!C:C&gt;=$J$4,'领用录入（明细）'!C:C&lt;=$L$4),ROW(),"-")</f>
        <v>-</v>
      </c>
    </row>
    <row r="9340" customHeight="1" spans="2:2">
      <c r="B9340" s="62" t="str">
        <f>IF(AND('领用录入（明细）'!D:D=$F$4,'领用录入（明细）'!C:C&gt;=$J$4,'领用录入（明细）'!C:C&lt;=$L$4),ROW(),"-")</f>
        <v>-</v>
      </c>
    </row>
    <row r="9341" customHeight="1" spans="2:2">
      <c r="B9341" s="62" t="str">
        <f>IF(AND('领用录入（明细）'!D:D=$F$4,'领用录入（明细）'!C:C&gt;=$J$4,'领用录入（明细）'!C:C&lt;=$L$4),ROW(),"-")</f>
        <v>-</v>
      </c>
    </row>
    <row r="9342" customHeight="1" spans="2:2">
      <c r="B9342" s="62" t="str">
        <f>IF(AND('领用录入（明细）'!D:D=$F$4,'领用录入（明细）'!C:C&gt;=$J$4,'领用录入（明细）'!C:C&lt;=$L$4),ROW(),"-")</f>
        <v>-</v>
      </c>
    </row>
    <row r="9343" customHeight="1" spans="2:2">
      <c r="B9343" s="62" t="str">
        <f>IF(AND('领用录入（明细）'!D:D=$F$4,'领用录入（明细）'!C:C&gt;=$J$4,'领用录入（明细）'!C:C&lt;=$L$4),ROW(),"-")</f>
        <v>-</v>
      </c>
    </row>
    <row r="9344" customHeight="1" spans="2:2">
      <c r="B9344" s="62" t="str">
        <f>IF(AND('领用录入（明细）'!D:D=$F$4,'领用录入（明细）'!C:C&gt;=$J$4,'领用录入（明细）'!C:C&lt;=$L$4),ROW(),"-")</f>
        <v>-</v>
      </c>
    </row>
    <row r="9345" customHeight="1" spans="2:2">
      <c r="B9345" s="62" t="str">
        <f>IF(AND('领用录入（明细）'!D:D=$F$4,'领用录入（明细）'!C:C&gt;=$J$4,'领用录入（明细）'!C:C&lt;=$L$4),ROW(),"-")</f>
        <v>-</v>
      </c>
    </row>
    <row r="9346" customHeight="1" spans="2:2">
      <c r="B9346" s="62" t="str">
        <f>IF(AND('领用录入（明细）'!D:D=$F$4,'领用录入（明细）'!C:C&gt;=$J$4,'领用录入（明细）'!C:C&lt;=$L$4),ROW(),"-")</f>
        <v>-</v>
      </c>
    </row>
    <row r="9347" customHeight="1" spans="2:2">
      <c r="B9347" s="62" t="str">
        <f>IF(AND('领用录入（明细）'!D:D=$F$4,'领用录入（明细）'!C:C&gt;=$J$4,'领用录入（明细）'!C:C&lt;=$L$4),ROW(),"-")</f>
        <v>-</v>
      </c>
    </row>
    <row r="9348" customHeight="1" spans="2:2">
      <c r="B9348" s="62" t="str">
        <f>IF(AND('领用录入（明细）'!D:D=$F$4,'领用录入（明细）'!C:C&gt;=$J$4,'领用录入（明细）'!C:C&lt;=$L$4),ROW(),"-")</f>
        <v>-</v>
      </c>
    </row>
    <row r="9349" customHeight="1" spans="2:2">
      <c r="B9349" s="62" t="str">
        <f>IF(AND('领用录入（明细）'!D:D=$F$4,'领用录入（明细）'!C:C&gt;=$J$4,'领用录入（明细）'!C:C&lt;=$L$4),ROW(),"-")</f>
        <v>-</v>
      </c>
    </row>
    <row r="9350" customHeight="1" spans="2:2">
      <c r="B9350" s="62" t="str">
        <f>IF(AND('领用录入（明细）'!D:D=$F$4,'领用录入（明细）'!C:C&gt;=$J$4,'领用录入（明细）'!C:C&lt;=$L$4),ROW(),"-")</f>
        <v>-</v>
      </c>
    </row>
    <row r="9351" customHeight="1" spans="2:2">
      <c r="B9351" s="62" t="str">
        <f>IF(AND('领用录入（明细）'!D:D=$F$4,'领用录入（明细）'!C:C&gt;=$J$4,'领用录入（明细）'!C:C&lt;=$L$4),ROW(),"-")</f>
        <v>-</v>
      </c>
    </row>
    <row r="9352" customHeight="1" spans="2:2">
      <c r="B9352" s="62" t="str">
        <f>IF(AND('领用录入（明细）'!D:D=$F$4,'领用录入（明细）'!C:C&gt;=$J$4,'领用录入（明细）'!C:C&lt;=$L$4),ROW(),"-")</f>
        <v>-</v>
      </c>
    </row>
    <row r="9353" customHeight="1" spans="2:2">
      <c r="B9353" s="62" t="str">
        <f>IF(AND('领用录入（明细）'!D:D=$F$4,'领用录入（明细）'!C:C&gt;=$J$4,'领用录入（明细）'!C:C&lt;=$L$4),ROW(),"-")</f>
        <v>-</v>
      </c>
    </row>
    <row r="9354" customHeight="1" spans="2:2">
      <c r="B9354" s="62" t="str">
        <f>IF(AND('领用录入（明细）'!D:D=$F$4,'领用录入（明细）'!C:C&gt;=$J$4,'领用录入（明细）'!C:C&lt;=$L$4),ROW(),"-")</f>
        <v>-</v>
      </c>
    </row>
    <row r="9355" customHeight="1" spans="2:2">
      <c r="B9355" s="62" t="str">
        <f>IF(AND('领用录入（明细）'!D:D=$F$4,'领用录入（明细）'!C:C&gt;=$J$4,'领用录入（明细）'!C:C&lt;=$L$4),ROW(),"-")</f>
        <v>-</v>
      </c>
    </row>
    <row r="9356" customHeight="1" spans="2:2">
      <c r="B9356" s="62" t="str">
        <f>IF(AND('领用录入（明细）'!D:D=$F$4,'领用录入（明细）'!C:C&gt;=$J$4,'领用录入（明细）'!C:C&lt;=$L$4),ROW(),"-")</f>
        <v>-</v>
      </c>
    </row>
    <row r="9357" customHeight="1" spans="2:2">
      <c r="B9357" s="62" t="str">
        <f>IF(AND('领用录入（明细）'!D:D=$F$4,'领用录入（明细）'!C:C&gt;=$J$4,'领用录入（明细）'!C:C&lt;=$L$4),ROW(),"-")</f>
        <v>-</v>
      </c>
    </row>
    <row r="9358" customHeight="1" spans="2:2">
      <c r="B9358" s="62" t="str">
        <f>IF(AND('领用录入（明细）'!D:D=$F$4,'领用录入（明细）'!C:C&gt;=$J$4,'领用录入（明细）'!C:C&lt;=$L$4),ROW(),"-")</f>
        <v>-</v>
      </c>
    </row>
    <row r="9359" customHeight="1" spans="2:2">
      <c r="B9359" s="62" t="str">
        <f>IF(AND('领用录入（明细）'!D:D=$F$4,'领用录入（明细）'!C:C&gt;=$J$4,'领用录入（明细）'!C:C&lt;=$L$4),ROW(),"-")</f>
        <v>-</v>
      </c>
    </row>
    <row r="9360" customHeight="1" spans="2:2">
      <c r="B9360" s="62" t="str">
        <f>IF(AND('领用录入（明细）'!D:D=$F$4,'领用录入（明细）'!C:C&gt;=$J$4,'领用录入（明细）'!C:C&lt;=$L$4),ROW(),"-")</f>
        <v>-</v>
      </c>
    </row>
    <row r="9361" customHeight="1" spans="2:2">
      <c r="B9361" s="62" t="str">
        <f>IF(AND('领用录入（明细）'!D:D=$F$4,'领用录入（明细）'!C:C&gt;=$J$4,'领用录入（明细）'!C:C&lt;=$L$4),ROW(),"-")</f>
        <v>-</v>
      </c>
    </row>
    <row r="9362" customHeight="1" spans="2:2">
      <c r="B9362" s="62" t="str">
        <f>IF(AND('领用录入（明细）'!D:D=$F$4,'领用录入（明细）'!C:C&gt;=$J$4,'领用录入（明细）'!C:C&lt;=$L$4),ROW(),"-")</f>
        <v>-</v>
      </c>
    </row>
    <row r="9363" customHeight="1" spans="2:2">
      <c r="B9363" s="62" t="str">
        <f>IF(AND('领用录入（明细）'!D:D=$F$4,'领用录入（明细）'!C:C&gt;=$J$4,'领用录入（明细）'!C:C&lt;=$L$4),ROW(),"-")</f>
        <v>-</v>
      </c>
    </row>
    <row r="9364" customHeight="1" spans="2:2">
      <c r="B9364" s="62" t="str">
        <f>IF(AND('领用录入（明细）'!D:D=$F$4,'领用录入（明细）'!C:C&gt;=$J$4,'领用录入（明细）'!C:C&lt;=$L$4),ROW(),"-")</f>
        <v>-</v>
      </c>
    </row>
    <row r="9365" customHeight="1" spans="2:2">
      <c r="B9365" s="62" t="str">
        <f>IF(AND('领用录入（明细）'!D:D=$F$4,'领用录入（明细）'!C:C&gt;=$J$4,'领用录入（明细）'!C:C&lt;=$L$4),ROW(),"-")</f>
        <v>-</v>
      </c>
    </row>
    <row r="9366" customHeight="1" spans="2:2">
      <c r="B9366" s="62" t="str">
        <f>IF(AND('领用录入（明细）'!D:D=$F$4,'领用录入（明细）'!C:C&gt;=$J$4,'领用录入（明细）'!C:C&lt;=$L$4),ROW(),"-")</f>
        <v>-</v>
      </c>
    </row>
    <row r="9367" customHeight="1" spans="2:2">
      <c r="B9367" s="62" t="str">
        <f>IF(AND('领用录入（明细）'!D:D=$F$4,'领用录入（明细）'!C:C&gt;=$J$4,'领用录入（明细）'!C:C&lt;=$L$4),ROW(),"-")</f>
        <v>-</v>
      </c>
    </row>
    <row r="9368" customHeight="1" spans="2:2">
      <c r="B9368" s="62" t="str">
        <f>IF(AND('领用录入（明细）'!D:D=$F$4,'领用录入（明细）'!C:C&gt;=$J$4,'领用录入（明细）'!C:C&lt;=$L$4),ROW(),"-")</f>
        <v>-</v>
      </c>
    </row>
    <row r="9369" customHeight="1" spans="2:2">
      <c r="B9369" s="62" t="str">
        <f>IF(AND('领用录入（明细）'!D:D=$F$4,'领用录入（明细）'!C:C&gt;=$J$4,'领用录入（明细）'!C:C&lt;=$L$4),ROW(),"-")</f>
        <v>-</v>
      </c>
    </row>
    <row r="9370" customHeight="1" spans="2:2">
      <c r="B9370" s="62" t="str">
        <f>IF(AND('领用录入（明细）'!D:D=$F$4,'领用录入（明细）'!C:C&gt;=$J$4,'领用录入（明细）'!C:C&lt;=$L$4),ROW(),"-")</f>
        <v>-</v>
      </c>
    </row>
    <row r="9371" customHeight="1" spans="2:2">
      <c r="B9371" s="62" t="str">
        <f>IF(AND('领用录入（明细）'!D:D=$F$4,'领用录入（明细）'!C:C&gt;=$J$4,'领用录入（明细）'!C:C&lt;=$L$4),ROW(),"-")</f>
        <v>-</v>
      </c>
    </row>
    <row r="9372" customHeight="1" spans="2:2">
      <c r="B9372" s="62" t="str">
        <f>IF(AND('领用录入（明细）'!D:D=$F$4,'领用录入（明细）'!C:C&gt;=$J$4,'领用录入（明细）'!C:C&lt;=$L$4),ROW(),"-")</f>
        <v>-</v>
      </c>
    </row>
    <row r="9373" customHeight="1" spans="2:2">
      <c r="B9373" s="62" t="str">
        <f>IF(AND('领用录入（明细）'!D:D=$F$4,'领用录入（明细）'!C:C&gt;=$J$4,'领用录入（明细）'!C:C&lt;=$L$4),ROW(),"-")</f>
        <v>-</v>
      </c>
    </row>
    <row r="9374" customHeight="1" spans="2:2">
      <c r="B9374" s="62" t="str">
        <f>IF(AND('领用录入（明细）'!D:D=$F$4,'领用录入（明细）'!C:C&gt;=$J$4,'领用录入（明细）'!C:C&lt;=$L$4),ROW(),"-")</f>
        <v>-</v>
      </c>
    </row>
    <row r="9375" customHeight="1" spans="2:2">
      <c r="B9375" s="62" t="str">
        <f>IF(AND('领用录入（明细）'!D:D=$F$4,'领用录入（明细）'!C:C&gt;=$J$4,'领用录入（明细）'!C:C&lt;=$L$4),ROW(),"-")</f>
        <v>-</v>
      </c>
    </row>
    <row r="9376" customHeight="1" spans="2:2">
      <c r="B9376" s="62" t="str">
        <f>IF(AND('领用录入（明细）'!D:D=$F$4,'领用录入（明细）'!C:C&gt;=$J$4,'领用录入（明细）'!C:C&lt;=$L$4),ROW(),"-")</f>
        <v>-</v>
      </c>
    </row>
    <row r="9377" customHeight="1" spans="2:2">
      <c r="B9377" s="62" t="str">
        <f>IF(AND('领用录入（明细）'!D:D=$F$4,'领用录入（明细）'!C:C&gt;=$J$4,'领用录入（明细）'!C:C&lt;=$L$4),ROW(),"-")</f>
        <v>-</v>
      </c>
    </row>
    <row r="9378" customHeight="1" spans="2:2">
      <c r="B9378" s="62" t="str">
        <f>IF(AND('领用录入（明细）'!D:D=$F$4,'领用录入（明细）'!C:C&gt;=$J$4,'领用录入（明细）'!C:C&lt;=$L$4),ROW(),"-")</f>
        <v>-</v>
      </c>
    </row>
    <row r="9379" customHeight="1" spans="2:2">
      <c r="B9379" s="62" t="str">
        <f>IF(AND('领用录入（明细）'!D:D=$F$4,'领用录入（明细）'!C:C&gt;=$J$4,'领用录入（明细）'!C:C&lt;=$L$4),ROW(),"-")</f>
        <v>-</v>
      </c>
    </row>
    <row r="9380" customHeight="1" spans="2:2">
      <c r="B9380" s="62" t="str">
        <f>IF(AND('领用录入（明细）'!D:D=$F$4,'领用录入（明细）'!C:C&gt;=$J$4,'领用录入（明细）'!C:C&lt;=$L$4),ROW(),"-")</f>
        <v>-</v>
      </c>
    </row>
    <row r="9381" customHeight="1" spans="2:2">
      <c r="B9381" s="62" t="str">
        <f>IF(AND('领用录入（明细）'!D:D=$F$4,'领用录入（明细）'!C:C&gt;=$J$4,'领用录入（明细）'!C:C&lt;=$L$4),ROW(),"-")</f>
        <v>-</v>
      </c>
    </row>
    <row r="9382" customHeight="1" spans="2:2">
      <c r="B9382" s="62" t="str">
        <f>IF(AND('领用录入（明细）'!D:D=$F$4,'领用录入（明细）'!C:C&gt;=$J$4,'领用录入（明细）'!C:C&lt;=$L$4),ROW(),"-")</f>
        <v>-</v>
      </c>
    </row>
    <row r="9383" customHeight="1" spans="2:2">
      <c r="B9383" s="62" t="str">
        <f>IF(AND('领用录入（明细）'!D:D=$F$4,'领用录入（明细）'!C:C&gt;=$J$4,'领用录入（明细）'!C:C&lt;=$L$4),ROW(),"-")</f>
        <v>-</v>
      </c>
    </row>
    <row r="9384" customHeight="1" spans="2:2">
      <c r="B9384" s="62" t="str">
        <f>IF(AND('领用录入（明细）'!D:D=$F$4,'领用录入（明细）'!C:C&gt;=$J$4,'领用录入（明细）'!C:C&lt;=$L$4),ROW(),"-")</f>
        <v>-</v>
      </c>
    </row>
    <row r="9385" customHeight="1" spans="2:2">
      <c r="B9385" s="62" t="str">
        <f>IF(AND('领用录入（明细）'!D:D=$F$4,'领用录入（明细）'!C:C&gt;=$J$4,'领用录入（明细）'!C:C&lt;=$L$4),ROW(),"-")</f>
        <v>-</v>
      </c>
    </row>
    <row r="9386" customHeight="1" spans="2:2">
      <c r="B9386" s="62" t="str">
        <f>IF(AND('领用录入（明细）'!D:D=$F$4,'领用录入（明细）'!C:C&gt;=$J$4,'领用录入（明细）'!C:C&lt;=$L$4),ROW(),"-")</f>
        <v>-</v>
      </c>
    </row>
    <row r="9387" customHeight="1" spans="2:2">
      <c r="B9387" s="62" t="str">
        <f>IF(AND('领用录入（明细）'!D:D=$F$4,'领用录入（明细）'!C:C&gt;=$J$4,'领用录入（明细）'!C:C&lt;=$L$4),ROW(),"-")</f>
        <v>-</v>
      </c>
    </row>
    <row r="9388" customHeight="1" spans="2:2">
      <c r="B9388" s="62" t="str">
        <f>IF(AND('领用录入（明细）'!D:D=$F$4,'领用录入（明细）'!C:C&gt;=$J$4,'领用录入（明细）'!C:C&lt;=$L$4),ROW(),"-")</f>
        <v>-</v>
      </c>
    </row>
    <row r="9389" customHeight="1" spans="2:2">
      <c r="B9389" s="62" t="str">
        <f>IF(AND('领用录入（明细）'!D:D=$F$4,'领用录入（明细）'!C:C&gt;=$J$4,'领用录入（明细）'!C:C&lt;=$L$4),ROW(),"-")</f>
        <v>-</v>
      </c>
    </row>
    <row r="9390" customHeight="1" spans="2:2">
      <c r="B9390" s="62" t="str">
        <f>IF(AND('领用录入（明细）'!D:D=$F$4,'领用录入（明细）'!C:C&gt;=$J$4,'领用录入（明细）'!C:C&lt;=$L$4),ROW(),"-")</f>
        <v>-</v>
      </c>
    </row>
    <row r="9391" customHeight="1" spans="2:2">
      <c r="B9391" s="62" t="str">
        <f>IF(AND('领用录入（明细）'!D:D=$F$4,'领用录入（明细）'!C:C&gt;=$J$4,'领用录入（明细）'!C:C&lt;=$L$4),ROW(),"-")</f>
        <v>-</v>
      </c>
    </row>
    <row r="9392" customHeight="1" spans="2:2">
      <c r="B9392" s="62" t="str">
        <f>IF(AND('领用录入（明细）'!D:D=$F$4,'领用录入（明细）'!C:C&gt;=$J$4,'领用录入（明细）'!C:C&lt;=$L$4),ROW(),"-")</f>
        <v>-</v>
      </c>
    </row>
    <row r="9393" customHeight="1" spans="2:2">
      <c r="B9393" s="62" t="str">
        <f>IF(AND('领用录入（明细）'!D:D=$F$4,'领用录入（明细）'!C:C&gt;=$J$4,'领用录入（明细）'!C:C&lt;=$L$4),ROW(),"-")</f>
        <v>-</v>
      </c>
    </row>
    <row r="9394" customHeight="1" spans="2:2">
      <c r="B9394" s="62" t="str">
        <f>IF(AND('领用录入（明细）'!D:D=$F$4,'领用录入（明细）'!C:C&gt;=$J$4,'领用录入（明细）'!C:C&lt;=$L$4),ROW(),"-")</f>
        <v>-</v>
      </c>
    </row>
    <row r="9395" customHeight="1" spans="2:2">
      <c r="B9395" s="62" t="str">
        <f>IF(AND('领用录入（明细）'!D:D=$F$4,'领用录入（明细）'!C:C&gt;=$J$4,'领用录入（明细）'!C:C&lt;=$L$4),ROW(),"-")</f>
        <v>-</v>
      </c>
    </row>
    <row r="9396" customHeight="1" spans="2:2">
      <c r="B9396" s="62" t="str">
        <f>IF(AND('领用录入（明细）'!D:D=$F$4,'领用录入（明细）'!C:C&gt;=$J$4,'领用录入（明细）'!C:C&lt;=$L$4),ROW(),"-")</f>
        <v>-</v>
      </c>
    </row>
    <row r="9397" customHeight="1" spans="2:2">
      <c r="B9397" s="62" t="str">
        <f>IF(AND('领用录入（明细）'!D:D=$F$4,'领用录入（明细）'!C:C&gt;=$J$4,'领用录入（明细）'!C:C&lt;=$L$4),ROW(),"-")</f>
        <v>-</v>
      </c>
    </row>
    <row r="9398" customHeight="1" spans="2:2">
      <c r="B9398" s="62" t="str">
        <f>IF(AND('领用录入（明细）'!D:D=$F$4,'领用录入（明细）'!C:C&gt;=$J$4,'领用录入（明细）'!C:C&lt;=$L$4),ROW(),"-")</f>
        <v>-</v>
      </c>
    </row>
    <row r="9399" customHeight="1" spans="2:2">
      <c r="B9399" s="62" t="str">
        <f>IF(AND('领用录入（明细）'!D:D=$F$4,'领用录入（明细）'!C:C&gt;=$J$4,'领用录入（明细）'!C:C&lt;=$L$4),ROW(),"-")</f>
        <v>-</v>
      </c>
    </row>
    <row r="9400" customHeight="1" spans="2:2">
      <c r="B9400" s="62" t="str">
        <f>IF(AND('领用录入（明细）'!D:D=$F$4,'领用录入（明细）'!C:C&gt;=$J$4,'领用录入（明细）'!C:C&lt;=$L$4),ROW(),"-")</f>
        <v>-</v>
      </c>
    </row>
    <row r="9401" customHeight="1" spans="2:2">
      <c r="B9401" s="62" t="str">
        <f>IF(AND('领用录入（明细）'!D:D=$F$4,'领用录入（明细）'!C:C&gt;=$J$4,'领用录入（明细）'!C:C&lt;=$L$4),ROW(),"-")</f>
        <v>-</v>
      </c>
    </row>
    <row r="9402" customHeight="1" spans="2:2">
      <c r="B9402" s="62" t="str">
        <f>IF(AND('领用录入（明细）'!D:D=$F$4,'领用录入（明细）'!C:C&gt;=$J$4,'领用录入（明细）'!C:C&lt;=$L$4),ROW(),"-")</f>
        <v>-</v>
      </c>
    </row>
    <row r="9403" customHeight="1" spans="2:2">
      <c r="B9403" s="62" t="str">
        <f>IF(AND('领用录入（明细）'!D:D=$F$4,'领用录入（明细）'!C:C&gt;=$J$4,'领用录入（明细）'!C:C&lt;=$L$4),ROW(),"-")</f>
        <v>-</v>
      </c>
    </row>
    <row r="9404" customHeight="1" spans="2:2">
      <c r="B9404" s="62" t="str">
        <f>IF(AND('领用录入（明细）'!D:D=$F$4,'领用录入（明细）'!C:C&gt;=$J$4,'领用录入（明细）'!C:C&lt;=$L$4),ROW(),"-")</f>
        <v>-</v>
      </c>
    </row>
    <row r="9405" customHeight="1" spans="2:2">
      <c r="B9405" s="62" t="str">
        <f>IF(AND('领用录入（明细）'!D:D=$F$4,'领用录入（明细）'!C:C&gt;=$J$4,'领用录入（明细）'!C:C&lt;=$L$4),ROW(),"-")</f>
        <v>-</v>
      </c>
    </row>
    <row r="9406" customHeight="1" spans="2:2">
      <c r="B9406" s="62" t="str">
        <f>IF(AND('领用录入（明细）'!D:D=$F$4,'领用录入（明细）'!C:C&gt;=$J$4,'领用录入（明细）'!C:C&lt;=$L$4),ROW(),"-")</f>
        <v>-</v>
      </c>
    </row>
    <row r="9407" customHeight="1" spans="2:2">
      <c r="B9407" s="62" t="str">
        <f>IF(AND('领用录入（明细）'!D:D=$F$4,'领用录入（明细）'!C:C&gt;=$J$4,'领用录入（明细）'!C:C&lt;=$L$4),ROW(),"-")</f>
        <v>-</v>
      </c>
    </row>
    <row r="9408" customHeight="1" spans="2:2">
      <c r="B9408" s="62" t="str">
        <f>IF(AND('领用录入（明细）'!D:D=$F$4,'领用录入（明细）'!C:C&gt;=$J$4,'领用录入（明细）'!C:C&lt;=$L$4),ROW(),"-")</f>
        <v>-</v>
      </c>
    </row>
    <row r="9409" customHeight="1" spans="2:2">
      <c r="B9409" s="62" t="str">
        <f>IF(AND('领用录入（明细）'!D:D=$F$4,'领用录入（明细）'!C:C&gt;=$J$4,'领用录入（明细）'!C:C&lt;=$L$4),ROW(),"-")</f>
        <v>-</v>
      </c>
    </row>
    <row r="9410" customHeight="1" spans="2:2">
      <c r="B9410" s="62" t="str">
        <f>IF(AND('领用录入（明细）'!D:D=$F$4,'领用录入（明细）'!C:C&gt;=$J$4,'领用录入（明细）'!C:C&lt;=$L$4),ROW(),"-")</f>
        <v>-</v>
      </c>
    </row>
    <row r="9411" customHeight="1" spans="2:2">
      <c r="B9411" s="62" t="str">
        <f>IF(AND('领用录入（明细）'!D:D=$F$4,'领用录入（明细）'!C:C&gt;=$J$4,'领用录入（明细）'!C:C&lt;=$L$4),ROW(),"-")</f>
        <v>-</v>
      </c>
    </row>
    <row r="9412" customHeight="1" spans="2:2">
      <c r="B9412" s="62" t="str">
        <f>IF(AND('领用录入（明细）'!D:D=$F$4,'领用录入（明细）'!C:C&gt;=$J$4,'领用录入（明细）'!C:C&lt;=$L$4),ROW(),"-")</f>
        <v>-</v>
      </c>
    </row>
    <row r="9413" customHeight="1" spans="2:2">
      <c r="B9413" s="62" t="str">
        <f>IF(AND('领用录入（明细）'!D:D=$F$4,'领用录入（明细）'!C:C&gt;=$J$4,'领用录入（明细）'!C:C&lt;=$L$4),ROW(),"-")</f>
        <v>-</v>
      </c>
    </row>
    <row r="9414" customHeight="1" spans="2:2">
      <c r="B9414" s="62" t="str">
        <f>IF(AND('领用录入（明细）'!D:D=$F$4,'领用录入（明细）'!C:C&gt;=$J$4,'领用录入（明细）'!C:C&lt;=$L$4),ROW(),"-")</f>
        <v>-</v>
      </c>
    </row>
    <row r="9415" customHeight="1" spans="2:2">
      <c r="B9415" s="62" t="str">
        <f>IF(AND('领用录入（明细）'!D:D=$F$4,'领用录入（明细）'!C:C&gt;=$J$4,'领用录入（明细）'!C:C&lt;=$L$4),ROW(),"-")</f>
        <v>-</v>
      </c>
    </row>
    <row r="9416" customHeight="1" spans="2:2">
      <c r="B9416" s="62" t="str">
        <f>IF(AND('领用录入（明细）'!D:D=$F$4,'领用录入（明细）'!C:C&gt;=$J$4,'领用录入（明细）'!C:C&lt;=$L$4),ROW(),"-")</f>
        <v>-</v>
      </c>
    </row>
    <row r="9417" customHeight="1" spans="2:2">
      <c r="B9417" s="62" t="str">
        <f>IF(AND('领用录入（明细）'!D:D=$F$4,'领用录入（明细）'!C:C&gt;=$J$4,'领用录入（明细）'!C:C&lt;=$L$4),ROW(),"-")</f>
        <v>-</v>
      </c>
    </row>
    <row r="9418" customHeight="1" spans="2:2">
      <c r="B9418" s="62" t="str">
        <f>IF(AND('领用录入（明细）'!D:D=$F$4,'领用录入（明细）'!C:C&gt;=$J$4,'领用录入（明细）'!C:C&lt;=$L$4),ROW(),"-")</f>
        <v>-</v>
      </c>
    </row>
    <row r="9419" customHeight="1" spans="2:2">
      <c r="B9419" s="62" t="str">
        <f>IF(AND('领用录入（明细）'!D:D=$F$4,'领用录入（明细）'!C:C&gt;=$J$4,'领用录入（明细）'!C:C&lt;=$L$4),ROW(),"-")</f>
        <v>-</v>
      </c>
    </row>
    <row r="9420" customHeight="1" spans="2:2">
      <c r="B9420" s="62" t="str">
        <f>IF(AND('领用录入（明细）'!D:D=$F$4,'领用录入（明细）'!C:C&gt;=$J$4,'领用录入（明细）'!C:C&lt;=$L$4),ROW(),"-")</f>
        <v>-</v>
      </c>
    </row>
    <row r="9421" customHeight="1" spans="2:2">
      <c r="B9421" s="62" t="str">
        <f>IF(AND('领用录入（明细）'!D:D=$F$4,'领用录入（明细）'!C:C&gt;=$J$4,'领用录入（明细）'!C:C&lt;=$L$4),ROW(),"-")</f>
        <v>-</v>
      </c>
    </row>
    <row r="9422" customHeight="1" spans="2:2">
      <c r="B9422" s="62" t="str">
        <f>IF(AND('领用录入（明细）'!D:D=$F$4,'领用录入（明细）'!C:C&gt;=$J$4,'领用录入（明细）'!C:C&lt;=$L$4),ROW(),"-")</f>
        <v>-</v>
      </c>
    </row>
    <row r="9423" customHeight="1" spans="2:2">
      <c r="B9423" s="62" t="str">
        <f>IF(AND('领用录入（明细）'!D:D=$F$4,'领用录入（明细）'!C:C&gt;=$J$4,'领用录入（明细）'!C:C&lt;=$L$4),ROW(),"-")</f>
        <v>-</v>
      </c>
    </row>
    <row r="9424" customHeight="1" spans="2:2">
      <c r="B9424" s="62" t="str">
        <f>IF(AND('领用录入（明细）'!D:D=$F$4,'领用录入（明细）'!C:C&gt;=$J$4,'领用录入（明细）'!C:C&lt;=$L$4),ROW(),"-")</f>
        <v>-</v>
      </c>
    </row>
    <row r="9425" customHeight="1" spans="2:2">
      <c r="B9425" s="62" t="str">
        <f>IF(AND('领用录入（明细）'!D:D=$F$4,'领用录入（明细）'!C:C&gt;=$J$4,'领用录入（明细）'!C:C&lt;=$L$4),ROW(),"-")</f>
        <v>-</v>
      </c>
    </row>
    <row r="9426" customHeight="1" spans="2:2">
      <c r="B9426" s="62" t="str">
        <f>IF(AND('领用录入（明细）'!D:D=$F$4,'领用录入（明细）'!C:C&gt;=$J$4,'领用录入（明细）'!C:C&lt;=$L$4),ROW(),"-")</f>
        <v>-</v>
      </c>
    </row>
    <row r="9427" customHeight="1" spans="2:2">
      <c r="B9427" s="62" t="str">
        <f>IF(AND('领用录入（明细）'!D:D=$F$4,'领用录入（明细）'!C:C&gt;=$J$4,'领用录入（明细）'!C:C&lt;=$L$4),ROW(),"-")</f>
        <v>-</v>
      </c>
    </row>
    <row r="9428" customHeight="1" spans="2:2">
      <c r="B9428" s="62" t="str">
        <f>IF(AND('领用录入（明细）'!D:D=$F$4,'领用录入（明细）'!C:C&gt;=$J$4,'领用录入（明细）'!C:C&lt;=$L$4),ROW(),"-")</f>
        <v>-</v>
      </c>
    </row>
    <row r="9429" customHeight="1" spans="2:2">
      <c r="B9429" s="62" t="str">
        <f>IF(AND('领用录入（明细）'!D:D=$F$4,'领用录入（明细）'!C:C&gt;=$J$4,'领用录入（明细）'!C:C&lt;=$L$4),ROW(),"-")</f>
        <v>-</v>
      </c>
    </row>
    <row r="9430" customHeight="1" spans="2:2">
      <c r="B9430" s="62" t="str">
        <f>IF(AND('领用录入（明细）'!D:D=$F$4,'领用录入（明细）'!C:C&gt;=$J$4,'领用录入（明细）'!C:C&lt;=$L$4),ROW(),"-")</f>
        <v>-</v>
      </c>
    </row>
    <row r="9431" customHeight="1" spans="2:2">
      <c r="B9431" s="62" t="str">
        <f>IF(AND('领用录入（明细）'!D:D=$F$4,'领用录入（明细）'!C:C&gt;=$J$4,'领用录入（明细）'!C:C&lt;=$L$4),ROW(),"-")</f>
        <v>-</v>
      </c>
    </row>
    <row r="9432" customHeight="1" spans="2:2">
      <c r="B9432" s="62" t="str">
        <f>IF(AND('领用录入（明细）'!D:D=$F$4,'领用录入（明细）'!C:C&gt;=$J$4,'领用录入（明细）'!C:C&lt;=$L$4),ROW(),"-")</f>
        <v>-</v>
      </c>
    </row>
    <row r="9433" customHeight="1" spans="2:2">
      <c r="B9433" s="62" t="str">
        <f>IF(AND('领用录入（明细）'!D:D=$F$4,'领用录入（明细）'!C:C&gt;=$J$4,'领用录入（明细）'!C:C&lt;=$L$4),ROW(),"-")</f>
        <v>-</v>
      </c>
    </row>
    <row r="9434" customHeight="1" spans="2:2">
      <c r="B9434" s="62" t="str">
        <f>IF(AND('领用录入（明细）'!D:D=$F$4,'领用录入（明细）'!C:C&gt;=$J$4,'领用录入（明细）'!C:C&lt;=$L$4),ROW(),"-")</f>
        <v>-</v>
      </c>
    </row>
    <row r="9435" customHeight="1" spans="2:2">
      <c r="B9435" s="62" t="str">
        <f>IF(AND('领用录入（明细）'!D:D=$F$4,'领用录入（明细）'!C:C&gt;=$J$4,'领用录入（明细）'!C:C&lt;=$L$4),ROW(),"-")</f>
        <v>-</v>
      </c>
    </row>
    <row r="9436" customHeight="1" spans="2:2">
      <c r="B9436" s="62" t="str">
        <f>IF(AND('领用录入（明细）'!D:D=$F$4,'领用录入（明细）'!C:C&gt;=$J$4,'领用录入（明细）'!C:C&lt;=$L$4),ROW(),"-")</f>
        <v>-</v>
      </c>
    </row>
    <row r="9437" customHeight="1" spans="2:2">
      <c r="B9437" s="62" t="str">
        <f>IF(AND('领用录入（明细）'!D:D=$F$4,'领用录入（明细）'!C:C&gt;=$J$4,'领用录入（明细）'!C:C&lt;=$L$4),ROW(),"-")</f>
        <v>-</v>
      </c>
    </row>
    <row r="9438" customHeight="1" spans="2:2">
      <c r="B9438" s="62" t="str">
        <f>IF(AND('领用录入（明细）'!D:D=$F$4,'领用录入（明细）'!C:C&gt;=$J$4,'领用录入（明细）'!C:C&lt;=$L$4),ROW(),"-")</f>
        <v>-</v>
      </c>
    </row>
    <row r="9439" customHeight="1" spans="2:2">
      <c r="B9439" s="62" t="str">
        <f>IF(AND('领用录入（明细）'!D:D=$F$4,'领用录入（明细）'!C:C&gt;=$J$4,'领用录入（明细）'!C:C&lt;=$L$4),ROW(),"-")</f>
        <v>-</v>
      </c>
    </row>
    <row r="9440" customHeight="1" spans="2:2">
      <c r="B9440" s="62" t="str">
        <f>IF(AND('领用录入（明细）'!D:D=$F$4,'领用录入（明细）'!C:C&gt;=$J$4,'领用录入（明细）'!C:C&lt;=$L$4),ROW(),"-")</f>
        <v>-</v>
      </c>
    </row>
    <row r="9441" customHeight="1" spans="2:2">
      <c r="B9441" s="62" t="str">
        <f>IF(AND('领用录入（明细）'!D:D=$F$4,'领用录入（明细）'!C:C&gt;=$J$4,'领用录入（明细）'!C:C&lt;=$L$4),ROW(),"-")</f>
        <v>-</v>
      </c>
    </row>
    <row r="9442" customHeight="1" spans="2:2">
      <c r="B9442" s="62" t="str">
        <f>IF(AND('领用录入（明细）'!D:D=$F$4,'领用录入（明细）'!C:C&gt;=$J$4,'领用录入（明细）'!C:C&lt;=$L$4),ROW(),"-")</f>
        <v>-</v>
      </c>
    </row>
    <row r="9443" customHeight="1" spans="2:2">
      <c r="B9443" s="62" t="str">
        <f>IF(AND('领用录入（明细）'!D:D=$F$4,'领用录入（明细）'!C:C&gt;=$J$4,'领用录入（明细）'!C:C&lt;=$L$4),ROW(),"-")</f>
        <v>-</v>
      </c>
    </row>
    <row r="9444" customHeight="1" spans="2:2">
      <c r="B9444" s="62" t="str">
        <f>IF(AND('领用录入（明细）'!D:D=$F$4,'领用录入（明细）'!C:C&gt;=$J$4,'领用录入（明细）'!C:C&lt;=$L$4),ROW(),"-")</f>
        <v>-</v>
      </c>
    </row>
    <row r="9445" customHeight="1" spans="2:2">
      <c r="B9445" s="62" t="str">
        <f>IF(AND('领用录入（明细）'!D:D=$F$4,'领用录入（明细）'!C:C&gt;=$J$4,'领用录入（明细）'!C:C&lt;=$L$4),ROW(),"-")</f>
        <v>-</v>
      </c>
    </row>
    <row r="9446" customHeight="1" spans="2:2">
      <c r="B9446" s="62" t="str">
        <f>IF(AND('领用录入（明细）'!D:D=$F$4,'领用录入（明细）'!C:C&gt;=$J$4,'领用录入（明细）'!C:C&lt;=$L$4),ROW(),"-")</f>
        <v>-</v>
      </c>
    </row>
    <row r="9447" customHeight="1" spans="2:2">
      <c r="B9447" s="62" t="str">
        <f>IF(AND('领用录入（明细）'!D:D=$F$4,'领用录入（明细）'!C:C&gt;=$J$4,'领用录入（明细）'!C:C&lt;=$L$4),ROW(),"-")</f>
        <v>-</v>
      </c>
    </row>
    <row r="9448" customHeight="1" spans="2:2">
      <c r="B9448" s="62" t="str">
        <f>IF(AND('领用录入（明细）'!D:D=$F$4,'领用录入（明细）'!C:C&gt;=$J$4,'领用录入（明细）'!C:C&lt;=$L$4),ROW(),"-")</f>
        <v>-</v>
      </c>
    </row>
    <row r="9449" customHeight="1" spans="2:2">
      <c r="B9449" s="62" t="str">
        <f>IF(AND('领用录入（明细）'!D:D=$F$4,'领用录入（明细）'!C:C&gt;=$J$4,'领用录入（明细）'!C:C&lt;=$L$4),ROW(),"-")</f>
        <v>-</v>
      </c>
    </row>
    <row r="9450" customHeight="1" spans="2:2">
      <c r="B9450" s="62" t="str">
        <f>IF(AND('领用录入（明细）'!D:D=$F$4,'领用录入（明细）'!C:C&gt;=$J$4,'领用录入（明细）'!C:C&lt;=$L$4),ROW(),"-")</f>
        <v>-</v>
      </c>
    </row>
    <row r="9451" customHeight="1" spans="2:2">
      <c r="B9451" s="62" t="str">
        <f>IF(AND('领用录入（明细）'!D:D=$F$4,'领用录入（明细）'!C:C&gt;=$J$4,'领用录入（明细）'!C:C&lt;=$L$4),ROW(),"-")</f>
        <v>-</v>
      </c>
    </row>
    <row r="9452" customHeight="1" spans="2:2">
      <c r="B9452" s="62" t="str">
        <f>IF(AND('领用录入（明细）'!D:D=$F$4,'领用录入（明细）'!C:C&gt;=$J$4,'领用录入（明细）'!C:C&lt;=$L$4),ROW(),"-")</f>
        <v>-</v>
      </c>
    </row>
    <row r="9453" customHeight="1" spans="2:2">
      <c r="B9453" s="62" t="str">
        <f>IF(AND('领用录入（明细）'!D:D=$F$4,'领用录入（明细）'!C:C&gt;=$J$4,'领用录入（明细）'!C:C&lt;=$L$4),ROW(),"-")</f>
        <v>-</v>
      </c>
    </row>
    <row r="9454" customHeight="1" spans="2:2">
      <c r="B9454" s="62" t="str">
        <f>IF(AND('领用录入（明细）'!D:D=$F$4,'领用录入（明细）'!C:C&gt;=$J$4,'领用录入（明细）'!C:C&lt;=$L$4),ROW(),"-")</f>
        <v>-</v>
      </c>
    </row>
    <row r="9455" customHeight="1" spans="2:2">
      <c r="B9455" s="62" t="str">
        <f>IF(AND('领用录入（明细）'!D:D=$F$4,'领用录入（明细）'!C:C&gt;=$J$4,'领用录入（明细）'!C:C&lt;=$L$4),ROW(),"-")</f>
        <v>-</v>
      </c>
    </row>
    <row r="9456" customHeight="1" spans="2:2">
      <c r="B9456" s="62" t="str">
        <f>IF(AND('领用录入（明细）'!D:D=$F$4,'领用录入（明细）'!C:C&gt;=$J$4,'领用录入（明细）'!C:C&lt;=$L$4),ROW(),"-")</f>
        <v>-</v>
      </c>
    </row>
    <row r="9457" customHeight="1" spans="2:2">
      <c r="B9457" s="62" t="str">
        <f>IF(AND('领用录入（明细）'!D:D=$F$4,'领用录入（明细）'!C:C&gt;=$J$4,'领用录入（明细）'!C:C&lt;=$L$4),ROW(),"-")</f>
        <v>-</v>
      </c>
    </row>
    <row r="9458" customHeight="1" spans="2:2">
      <c r="B9458" s="62" t="str">
        <f>IF(AND('领用录入（明细）'!D:D=$F$4,'领用录入（明细）'!C:C&gt;=$J$4,'领用录入（明细）'!C:C&lt;=$L$4),ROW(),"-")</f>
        <v>-</v>
      </c>
    </row>
    <row r="9459" customHeight="1" spans="2:2">
      <c r="B9459" s="62" t="str">
        <f>IF(AND('领用录入（明细）'!D:D=$F$4,'领用录入（明细）'!C:C&gt;=$J$4,'领用录入（明细）'!C:C&lt;=$L$4),ROW(),"-")</f>
        <v>-</v>
      </c>
    </row>
    <row r="9460" customHeight="1" spans="2:2">
      <c r="B9460" s="62" t="str">
        <f>IF(AND('领用录入（明细）'!D:D=$F$4,'领用录入（明细）'!C:C&gt;=$J$4,'领用录入（明细）'!C:C&lt;=$L$4),ROW(),"-")</f>
        <v>-</v>
      </c>
    </row>
    <row r="9461" customHeight="1" spans="2:2">
      <c r="B9461" s="62" t="str">
        <f>IF(AND('领用录入（明细）'!D:D=$F$4,'领用录入（明细）'!C:C&gt;=$J$4,'领用录入（明细）'!C:C&lt;=$L$4),ROW(),"-")</f>
        <v>-</v>
      </c>
    </row>
    <row r="9462" customHeight="1" spans="2:2">
      <c r="B9462" s="62" t="str">
        <f>IF(AND('领用录入（明细）'!D:D=$F$4,'领用录入（明细）'!C:C&gt;=$J$4,'领用录入（明细）'!C:C&lt;=$L$4),ROW(),"-")</f>
        <v>-</v>
      </c>
    </row>
    <row r="9463" customHeight="1" spans="2:2">
      <c r="B9463" s="62" t="str">
        <f>IF(AND('领用录入（明细）'!D:D=$F$4,'领用录入（明细）'!C:C&gt;=$J$4,'领用录入（明细）'!C:C&lt;=$L$4),ROW(),"-")</f>
        <v>-</v>
      </c>
    </row>
    <row r="9464" customHeight="1" spans="2:2">
      <c r="B9464" s="62" t="str">
        <f>IF(AND('领用录入（明细）'!D:D=$F$4,'领用录入（明细）'!C:C&gt;=$J$4,'领用录入（明细）'!C:C&lt;=$L$4),ROW(),"-")</f>
        <v>-</v>
      </c>
    </row>
    <row r="9465" customHeight="1" spans="2:2">
      <c r="B9465" s="62" t="str">
        <f>IF(AND('领用录入（明细）'!D:D=$F$4,'领用录入（明细）'!C:C&gt;=$J$4,'领用录入（明细）'!C:C&lt;=$L$4),ROW(),"-")</f>
        <v>-</v>
      </c>
    </row>
    <row r="9466" customHeight="1" spans="2:2">
      <c r="B9466" s="62" t="str">
        <f>IF(AND('领用录入（明细）'!D:D=$F$4,'领用录入（明细）'!C:C&gt;=$J$4,'领用录入（明细）'!C:C&lt;=$L$4),ROW(),"-")</f>
        <v>-</v>
      </c>
    </row>
    <row r="9467" customHeight="1" spans="2:2">
      <c r="B9467" s="62" t="str">
        <f>IF(AND('领用录入（明细）'!D:D=$F$4,'领用录入（明细）'!C:C&gt;=$J$4,'领用录入（明细）'!C:C&lt;=$L$4),ROW(),"-")</f>
        <v>-</v>
      </c>
    </row>
    <row r="9468" customHeight="1" spans="2:2">
      <c r="B9468" s="62" t="str">
        <f>IF(AND('领用录入（明细）'!D:D=$F$4,'领用录入（明细）'!C:C&gt;=$J$4,'领用录入（明细）'!C:C&lt;=$L$4),ROW(),"-")</f>
        <v>-</v>
      </c>
    </row>
    <row r="9469" customHeight="1" spans="2:2">
      <c r="B9469" s="62" t="str">
        <f>IF(AND('领用录入（明细）'!D:D=$F$4,'领用录入（明细）'!C:C&gt;=$J$4,'领用录入（明细）'!C:C&lt;=$L$4),ROW(),"-")</f>
        <v>-</v>
      </c>
    </row>
    <row r="9470" customHeight="1" spans="2:2">
      <c r="B9470" s="62" t="str">
        <f>IF(AND('领用录入（明细）'!D:D=$F$4,'领用录入（明细）'!C:C&gt;=$J$4,'领用录入（明细）'!C:C&lt;=$L$4),ROW(),"-")</f>
        <v>-</v>
      </c>
    </row>
    <row r="9471" customHeight="1" spans="2:2">
      <c r="B9471" s="62" t="str">
        <f>IF(AND('领用录入（明细）'!D:D=$F$4,'领用录入（明细）'!C:C&gt;=$J$4,'领用录入（明细）'!C:C&lt;=$L$4),ROW(),"-")</f>
        <v>-</v>
      </c>
    </row>
    <row r="9472" customHeight="1" spans="2:2">
      <c r="B9472" s="62" t="str">
        <f>IF(AND('领用录入（明细）'!D:D=$F$4,'领用录入（明细）'!C:C&gt;=$J$4,'领用录入（明细）'!C:C&lt;=$L$4),ROW(),"-")</f>
        <v>-</v>
      </c>
    </row>
    <row r="9473" customHeight="1" spans="2:2">
      <c r="B9473" s="62" t="str">
        <f>IF(AND('领用录入（明细）'!D:D=$F$4,'领用录入（明细）'!C:C&gt;=$J$4,'领用录入（明细）'!C:C&lt;=$L$4),ROW(),"-")</f>
        <v>-</v>
      </c>
    </row>
    <row r="9474" customHeight="1" spans="2:2">
      <c r="B9474" s="62" t="str">
        <f>IF(AND('领用录入（明细）'!D:D=$F$4,'领用录入（明细）'!C:C&gt;=$J$4,'领用录入（明细）'!C:C&lt;=$L$4),ROW(),"-")</f>
        <v>-</v>
      </c>
    </row>
    <row r="9475" customHeight="1" spans="2:2">
      <c r="B9475" s="62" t="str">
        <f>IF(AND('领用录入（明细）'!D:D=$F$4,'领用录入（明细）'!C:C&gt;=$J$4,'领用录入（明细）'!C:C&lt;=$L$4),ROW(),"-")</f>
        <v>-</v>
      </c>
    </row>
    <row r="9476" customHeight="1" spans="2:2">
      <c r="B9476" s="62" t="str">
        <f>IF(AND('领用录入（明细）'!D:D=$F$4,'领用录入（明细）'!C:C&gt;=$J$4,'领用录入（明细）'!C:C&lt;=$L$4),ROW(),"-")</f>
        <v>-</v>
      </c>
    </row>
    <row r="9477" customHeight="1" spans="2:2">
      <c r="B9477" s="62" t="str">
        <f>IF(AND('领用录入（明细）'!D:D=$F$4,'领用录入（明细）'!C:C&gt;=$J$4,'领用录入（明细）'!C:C&lt;=$L$4),ROW(),"-")</f>
        <v>-</v>
      </c>
    </row>
    <row r="9478" customHeight="1" spans="2:2">
      <c r="B9478" s="62" t="str">
        <f>IF(AND('领用录入（明细）'!D:D=$F$4,'领用录入（明细）'!C:C&gt;=$J$4,'领用录入（明细）'!C:C&lt;=$L$4),ROW(),"-")</f>
        <v>-</v>
      </c>
    </row>
    <row r="9479" customHeight="1" spans="2:2">
      <c r="B9479" s="62" t="str">
        <f>IF(AND('领用录入（明细）'!D:D=$F$4,'领用录入（明细）'!C:C&gt;=$J$4,'领用录入（明细）'!C:C&lt;=$L$4),ROW(),"-")</f>
        <v>-</v>
      </c>
    </row>
    <row r="9480" customHeight="1" spans="2:2">
      <c r="B9480" s="62" t="str">
        <f>IF(AND('领用录入（明细）'!D:D=$F$4,'领用录入（明细）'!C:C&gt;=$J$4,'领用录入（明细）'!C:C&lt;=$L$4),ROW(),"-")</f>
        <v>-</v>
      </c>
    </row>
    <row r="9481" customHeight="1" spans="2:2">
      <c r="B9481" s="62" t="str">
        <f>IF(AND('领用录入（明细）'!D:D=$F$4,'领用录入（明细）'!C:C&gt;=$J$4,'领用录入（明细）'!C:C&lt;=$L$4),ROW(),"-")</f>
        <v>-</v>
      </c>
    </row>
    <row r="9482" customHeight="1" spans="2:2">
      <c r="B9482" s="62" t="str">
        <f>IF(AND('领用录入（明细）'!D:D=$F$4,'领用录入（明细）'!C:C&gt;=$J$4,'领用录入（明细）'!C:C&lt;=$L$4),ROW(),"-")</f>
        <v>-</v>
      </c>
    </row>
    <row r="9483" customHeight="1" spans="2:2">
      <c r="B9483" s="62" t="str">
        <f>IF(AND('领用录入（明细）'!D:D=$F$4,'领用录入（明细）'!C:C&gt;=$J$4,'领用录入（明细）'!C:C&lt;=$L$4),ROW(),"-")</f>
        <v>-</v>
      </c>
    </row>
    <row r="9484" customHeight="1" spans="2:2">
      <c r="B9484" s="62" t="str">
        <f>IF(AND('领用录入（明细）'!D:D=$F$4,'领用录入（明细）'!C:C&gt;=$J$4,'领用录入（明细）'!C:C&lt;=$L$4),ROW(),"-")</f>
        <v>-</v>
      </c>
    </row>
    <row r="9485" customHeight="1" spans="2:2">
      <c r="B9485" s="62" t="str">
        <f>IF(AND('领用录入（明细）'!D:D=$F$4,'领用录入（明细）'!C:C&gt;=$J$4,'领用录入（明细）'!C:C&lt;=$L$4),ROW(),"-")</f>
        <v>-</v>
      </c>
    </row>
    <row r="9486" customHeight="1" spans="2:2">
      <c r="B9486" s="62" t="str">
        <f>IF(AND('领用录入（明细）'!D:D=$F$4,'领用录入（明细）'!C:C&gt;=$J$4,'领用录入（明细）'!C:C&lt;=$L$4),ROW(),"-")</f>
        <v>-</v>
      </c>
    </row>
    <row r="9487" customHeight="1" spans="2:2">
      <c r="B9487" s="62" t="str">
        <f>IF(AND('领用录入（明细）'!D:D=$F$4,'领用录入（明细）'!C:C&gt;=$J$4,'领用录入（明细）'!C:C&lt;=$L$4),ROW(),"-")</f>
        <v>-</v>
      </c>
    </row>
    <row r="9488" customHeight="1" spans="2:2">
      <c r="B9488" s="62" t="str">
        <f>IF(AND('领用录入（明细）'!D:D=$F$4,'领用录入（明细）'!C:C&gt;=$J$4,'领用录入（明细）'!C:C&lt;=$L$4),ROW(),"-")</f>
        <v>-</v>
      </c>
    </row>
    <row r="9489" customHeight="1" spans="2:2">
      <c r="B9489" s="62" t="str">
        <f>IF(AND('领用录入（明细）'!D:D=$F$4,'领用录入（明细）'!C:C&gt;=$J$4,'领用录入（明细）'!C:C&lt;=$L$4),ROW(),"-")</f>
        <v>-</v>
      </c>
    </row>
    <row r="9490" customHeight="1" spans="2:2">
      <c r="B9490" s="62" t="str">
        <f>IF(AND('领用录入（明细）'!D:D=$F$4,'领用录入（明细）'!C:C&gt;=$J$4,'领用录入（明细）'!C:C&lt;=$L$4),ROW(),"-")</f>
        <v>-</v>
      </c>
    </row>
    <row r="9491" customHeight="1" spans="2:2">
      <c r="B9491" s="62" t="str">
        <f>IF(AND('领用录入（明细）'!D:D=$F$4,'领用录入（明细）'!C:C&gt;=$J$4,'领用录入（明细）'!C:C&lt;=$L$4),ROW(),"-")</f>
        <v>-</v>
      </c>
    </row>
    <row r="9492" customHeight="1" spans="2:2">
      <c r="B9492" s="62" t="str">
        <f>IF(AND('领用录入（明细）'!D:D=$F$4,'领用录入（明细）'!C:C&gt;=$J$4,'领用录入（明细）'!C:C&lt;=$L$4),ROW(),"-")</f>
        <v>-</v>
      </c>
    </row>
    <row r="9493" customHeight="1" spans="2:2">
      <c r="B9493" s="62" t="str">
        <f>IF(AND('领用录入（明细）'!D:D=$F$4,'领用录入（明细）'!C:C&gt;=$J$4,'领用录入（明细）'!C:C&lt;=$L$4),ROW(),"-")</f>
        <v>-</v>
      </c>
    </row>
    <row r="9494" customHeight="1" spans="2:2">
      <c r="B9494" s="62" t="str">
        <f>IF(AND('领用录入（明细）'!D:D=$F$4,'领用录入（明细）'!C:C&gt;=$J$4,'领用录入（明细）'!C:C&lt;=$L$4),ROW(),"-")</f>
        <v>-</v>
      </c>
    </row>
    <row r="9495" customHeight="1" spans="2:2">
      <c r="B9495" s="62" t="str">
        <f>IF(AND('领用录入（明细）'!D:D=$F$4,'领用录入（明细）'!C:C&gt;=$J$4,'领用录入（明细）'!C:C&lt;=$L$4),ROW(),"-")</f>
        <v>-</v>
      </c>
    </row>
    <row r="9496" customHeight="1" spans="2:2">
      <c r="B9496" s="62" t="str">
        <f>IF(AND('领用录入（明细）'!D:D=$F$4,'领用录入（明细）'!C:C&gt;=$J$4,'领用录入（明细）'!C:C&lt;=$L$4),ROW(),"-")</f>
        <v>-</v>
      </c>
    </row>
    <row r="9497" customHeight="1" spans="2:2">
      <c r="B9497" s="62" t="str">
        <f>IF(AND('领用录入（明细）'!D:D=$F$4,'领用录入（明细）'!C:C&gt;=$J$4,'领用录入（明细）'!C:C&lt;=$L$4),ROW(),"-")</f>
        <v>-</v>
      </c>
    </row>
    <row r="9498" customHeight="1" spans="2:2">
      <c r="B9498" s="62" t="str">
        <f>IF(AND('领用录入（明细）'!D:D=$F$4,'领用录入（明细）'!C:C&gt;=$J$4,'领用录入（明细）'!C:C&lt;=$L$4),ROW(),"-")</f>
        <v>-</v>
      </c>
    </row>
    <row r="9499" customHeight="1" spans="2:2">
      <c r="B9499" s="62" t="str">
        <f>IF(AND('领用录入（明细）'!D:D=$F$4,'领用录入（明细）'!C:C&gt;=$J$4,'领用录入（明细）'!C:C&lt;=$L$4),ROW(),"-")</f>
        <v>-</v>
      </c>
    </row>
    <row r="9500" customHeight="1" spans="2:2">
      <c r="B9500" s="62" t="str">
        <f>IF(AND('领用录入（明细）'!D:D=$F$4,'领用录入（明细）'!C:C&gt;=$J$4,'领用录入（明细）'!C:C&lt;=$L$4),ROW(),"-")</f>
        <v>-</v>
      </c>
    </row>
    <row r="9501" customHeight="1" spans="2:2">
      <c r="B9501" s="62" t="str">
        <f>IF(AND('领用录入（明细）'!D:D=$F$4,'领用录入（明细）'!C:C&gt;=$J$4,'领用录入（明细）'!C:C&lt;=$L$4),ROW(),"-")</f>
        <v>-</v>
      </c>
    </row>
    <row r="9502" customHeight="1" spans="2:2">
      <c r="B9502" s="62" t="str">
        <f>IF(AND('领用录入（明细）'!D:D=$F$4,'领用录入（明细）'!C:C&gt;=$J$4,'领用录入（明细）'!C:C&lt;=$L$4),ROW(),"-")</f>
        <v>-</v>
      </c>
    </row>
    <row r="9503" customHeight="1" spans="2:2">
      <c r="B9503" s="62" t="str">
        <f>IF(AND('领用录入（明细）'!D:D=$F$4,'领用录入（明细）'!C:C&gt;=$J$4,'领用录入（明细）'!C:C&lt;=$L$4),ROW(),"-")</f>
        <v>-</v>
      </c>
    </row>
    <row r="9504" customHeight="1" spans="2:2">
      <c r="B9504" s="62" t="str">
        <f>IF(AND('领用录入（明细）'!D:D=$F$4,'领用录入（明细）'!C:C&gt;=$J$4,'领用录入（明细）'!C:C&lt;=$L$4),ROW(),"-")</f>
        <v>-</v>
      </c>
    </row>
    <row r="9505" customHeight="1" spans="2:2">
      <c r="B9505" s="62" t="str">
        <f>IF(AND('领用录入（明细）'!D:D=$F$4,'领用录入（明细）'!C:C&gt;=$J$4,'领用录入（明细）'!C:C&lt;=$L$4),ROW(),"-")</f>
        <v>-</v>
      </c>
    </row>
    <row r="9506" customHeight="1" spans="2:2">
      <c r="B9506" s="62" t="str">
        <f>IF(AND('领用录入（明细）'!D:D=$F$4,'领用录入（明细）'!C:C&gt;=$J$4,'领用录入（明细）'!C:C&lt;=$L$4),ROW(),"-")</f>
        <v>-</v>
      </c>
    </row>
    <row r="9507" customHeight="1" spans="2:2">
      <c r="B9507" s="62" t="str">
        <f>IF(AND('领用录入（明细）'!D:D=$F$4,'领用录入（明细）'!C:C&gt;=$J$4,'领用录入（明细）'!C:C&lt;=$L$4),ROW(),"-")</f>
        <v>-</v>
      </c>
    </row>
    <row r="9508" customHeight="1" spans="2:2">
      <c r="B9508" s="62" t="str">
        <f>IF(AND('领用录入（明细）'!D:D=$F$4,'领用录入（明细）'!C:C&gt;=$J$4,'领用录入（明细）'!C:C&lt;=$L$4),ROW(),"-")</f>
        <v>-</v>
      </c>
    </row>
    <row r="9509" customHeight="1" spans="2:2">
      <c r="B9509" s="62" t="str">
        <f>IF(AND('领用录入（明细）'!D:D=$F$4,'领用录入（明细）'!C:C&gt;=$J$4,'领用录入（明细）'!C:C&lt;=$L$4),ROW(),"-")</f>
        <v>-</v>
      </c>
    </row>
    <row r="9510" customHeight="1" spans="2:2">
      <c r="B9510" s="62" t="str">
        <f>IF(AND('领用录入（明细）'!D:D=$F$4,'领用录入（明细）'!C:C&gt;=$J$4,'领用录入（明细）'!C:C&lt;=$L$4),ROW(),"-")</f>
        <v>-</v>
      </c>
    </row>
    <row r="9511" customHeight="1" spans="2:2">
      <c r="B9511" s="62" t="str">
        <f>IF(AND('领用录入（明细）'!D:D=$F$4,'领用录入（明细）'!C:C&gt;=$J$4,'领用录入（明细）'!C:C&lt;=$L$4),ROW(),"-")</f>
        <v>-</v>
      </c>
    </row>
    <row r="9512" customHeight="1" spans="2:2">
      <c r="B9512" s="62" t="str">
        <f>IF(AND('领用录入（明细）'!D:D=$F$4,'领用录入（明细）'!C:C&gt;=$J$4,'领用录入（明细）'!C:C&lt;=$L$4),ROW(),"-")</f>
        <v>-</v>
      </c>
    </row>
    <row r="9513" customHeight="1" spans="2:2">
      <c r="B9513" s="62" t="str">
        <f>IF(AND('领用录入（明细）'!D:D=$F$4,'领用录入（明细）'!C:C&gt;=$J$4,'领用录入（明细）'!C:C&lt;=$L$4),ROW(),"-")</f>
        <v>-</v>
      </c>
    </row>
    <row r="9514" customHeight="1" spans="2:2">
      <c r="B9514" s="62" t="str">
        <f>IF(AND('领用录入（明细）'!D:D=$F$4,'领用录入（明细）'!C:C&gt;=$J$4,'领用录入（明细）'!C:C&lt;=$L$4),ROW(),"-")</f>
        <v>-</v>
      </c>
    </row>
    <row r="9515" customHeight="1" spans="2:2">
      <c r="B9515" s="62" t="str">
        <f>IF(AND('领用录入（明细）'!D:D=$F$4,'领用录入（明细）'!C:C&gt;=$J$4,'领用录入（明细）'!C:C&lt;=$L$4),ROW(),"-")</f>
        <v>-</v>
      </c>
    </row>
    <row r="9516" customHeight="1" spans="2:2">
      <c r="B9516" s="62" t="str">
        <f>IF(AND('领用录入（明细）'!D:D=$F$4,'领用录入（明细）'!C:C&gt;=$J$4,'领用录入（明细）'!C:C&lt;=$L$4),ROW(),"-")</f>
        <v>-</v>
      </c>
    </row>
    <row r="9517" customHeight="1" spans="2:2">
      <c r="B9517" s="62" t="str">
        <f>IF(AND('领用录入（明细）'!D:D=$F$4,'领用录入（明细）'!C:C&gt;=$J$4,'领用录入（明细）'!C:C&lt;=$L$4),ROW(),"-")</f>
        <v>-</v>
      </c>
    </row>
    <row r="9518" customHeight="1" spans="2:2">
      <c r="B9518" s="62" t="str">
        <f>IF(AND('领用录入（明细）'!D:D=$F$4,'领用录入（明细）'!C:C&gt;=$J$4,'领用录入（明细）'!C:C&lt;=$L$4),ROW(),"-")</f>
        <v>-</v>
      </c>
    </row>
    <row r="9519" customHeight="1" spans="2:2">
      <c r="B9519" s="62" t="str">
        <f>IF(AND('领用录入（明细）'!D:D=$F$4,'领用录入（明细）'!C:C&gt;=$J$4,'领用录入（明细）'!C:C&lt;=$L$4),ROW(),"-")</f>
        <v>-</v>
      </c>
    </row>
    <row r="9520" customHeight="1" spans="2:2">
      <c r="B9520" s="62" t="str">
        <f>IF(AND('领用录入（明细）'!D:D=$F$4,'领用录入（明细）'!C:C&gt;=$J$4,'领用录入（明细）'!C:C&lt;=$L$4),ROW(),"-")</f>
        <v>-</v>
      </c>
    </row>
    <row r="9521" customHeight="1" spans="2:2">
      <c r="B9521" s="62" t="str">
        <f>IF(AND('领用录入（明细）'!D:D=$F$4,'领用录入（明细）'!C:C&gt;=$J$4,'领用录入（明细）'!C:C&lt;=$L$4),ROW(),"-")</f>
        <v>-</v>
      </c>
    </row>
    <row r="9522" customHeight="1" spans="2:2">
      <c r="B9522" s="62" t="str">
        <f>IF(AND('领用录入（明细）'!D:D=$F$4,'领用录入（明细）'!C:C&gt;=$J$4,'领用录入（明细）'!C:C&lt;=$L$4),ROW(),"-")</f>
        <v>-</v>
      </c>
    </row>
    <row r="9523" customHeight="1" spans="2:2">
      <c r="B9523" s="62" t="str">
        <f>IF(AND('领用录入（明细）'!D:D=$F$4,'领用录入（明细）'!C:C&gt;=$J$4,'领用录入（明细）'!C:C&lt;=$L$4),ROW(),"-")</f>
        <v>-</v>
      </c>
    </row>
    <row r="9524" customHeight="1" spans="2:2">
      <c r="B9524" s="62" t="str">
        <f>IF(AND('领用录入（明细）'!D:D=$F$4,'领用录入（明细）'!C:C&gt;=$J$4,'领用录入（明细）'!C:C&lt;=$L$4),ROW(),"-")</f>
        <v>-</v>
      </c>
    </row>
    <row r="9525" customHeight="1" spans="2:2">
      <c r="B9525" s="62" t="str">
        <f>IF(AND('领用录入（明细）'!D:D=$F$4,'领用录入（明细）'!C:C&gt;=$J$4,'领用录入（明细）'!C:C&lt;=$L$4),ROW(),"-")</f>
        <v>-</v>
      </c>
    </row>
    <row r="9526" customHeight="1" spans="2:2">
      <c r="B9526" s="62" t="str">
        <f>IF(AND('领用录入（明细）'!D:D=$F$4,'领用录入（明细）'!C:C&gt;=$J$4,'领用录入（明细）'!C:C&lt;=$L$4),ROW(),"-")</f>
        <v>-</v>
      </c>
    </row>
    <row r="9527" customHeight="1" spans="2:2">
      <c r="B9527" s="62" t="str">
        <f>IF(AND('领用录入（明细）'!D:D=$F$4,'领用录入（明细）'!C:C&gt;=$J$4,'领用录入（明细）'!C:C&lt;=$L$4),ROW(),"-")</f>
        <v>-</v>
      </c>
    </row>
    <row r="9528" customHeight="1" spans="2:2">
      <c r="B9528" s="62" t="str">
        <f>IF(AND('领用录入（明细）'!D:D=$F$4,'领用录入（明细）'!C:C&gt;=$J$4,'领用录入（明细）'!C:C&lt;=$L$4),ROW(),"-")</f>
        <v>-</v>
      </c>
    </row>
    <row r="9529" customHeight="1" spans="2:2">
      <c r="B9529" s="62" t="str">
        <f>IF(AND('领用录入（明细）'!D:D=$F$4,'领用录入（明细）'!C:C&gt;=$J$4,'领用录入（明细）'!C:C&lt;=$L$4),ROW(),"-")</f>
        <v>-</v>
      </c>
    </row>
    <row r="9530" customHeight="1" spans="2:2">
      <c r="B9530" s="62" t="str">
        <f>IF(AND('领用录入（明细）'!D:D=$F$4,'领用录入（明细）'!C:C&gt;=$J$4,'领用录入（明细）'!C:C&lt;=$L$4),ROW(),"-")</f>
        <v>-</v>
      </c>
    </row>
    <row r="9531" customHeight="1" spans="2:2">
      <c r="B9531" s="62" t="str">
        <f>IF(AND('领用录入（明细）'!D:D=$F$4,'领用录入（明细）'!C:C&gt;=$J$4,'领用录入（明细）'!C:C&lt;=$L$4),ROW(),"-")</f>
        <v>-</v>
      </c>
    </row>
    <row r="9532" customHeight="1" spans="2:2">
      <c r="B9532" s="62" t="str">
        <f>IF(AND('领用录入（明细）'!D:D=$F$4,'领用录入（明细）'!C:C&gt;=$J$4,'领用录入（明细）'!C:C&lt;=$L$4),ROW(),"-")</f>
        <v>-</v>
      </c>
    </row>
    <row r="9533" customHeight="1" spans="2:2">
      <c r="B9533" s="62" t="str">
        <f>IF(AND('领用录入（明细）'!D:D=$F$4,'领用录入（明细）'!C:C&gt;=$J$4,'领用录入（明细）'!C:C&lt;=$L$4),ROW(),"-")</f>
        <v>-</v>
      </c>
    </row>
    <row r="9534" customHeight="1" spans="2:2">
      <c r="B9534" s="62" t="str">
        <f>IF(AND('领用录入（明细）'!D:D=$F$4,'领用录入（明细）'!C:C&gt;=$J$4,'领用录入（明细）'!C:C&lt;=$L$4),ROW(),"-")</f>
        <v>-</v>
      </c>
    </row>
    <row r="9535" customHeight="1" spans="2:2">
      <c r="B9535" s="62" t="str">
        <f>IF(AND('领用录入（明细）'!D:D=$F$4,'领用录入（明细）'!C:C&gt;=$J$4,'领用录入（明细）'!C:C&lt;=$L$4),ROW(),"-")</f>
        <v>-</v>
      </c>
    </row>
    <row r="9536" customHeight="1" spans="2:2">
      <c r="B9536" s="62" t="str">
        <f>IF(AND('领用录入（明细）'!D:D=$F$4,'领用录入（明细）'!C:C&gt;=$J$4,'领用录入（明细）'!C:C&lt;=$L$4),ROW(),"-")</f>
        <v>-</v>
      </c>
    </row>
    <row r="9537" customHeight="1" spans="2:2">
      <c r="B9537" s="62" t="str">
        <f>IF(AND('领用录入（明细）'!D:D=$F$4,'领用录入（明细）'!C:C&gt;=$J$4,'领用录入（明细）'!C:C&lt;=$L$4),ROW(),"-")</f>
        <v>-</v>
      </c>
    </row>
    <row r="9538" customHeight="1" spans="2:2">
      <c r="B9538" s="62" t="str">
        <f>IF(AND('领用录入（明细）'!D:D=$F$4,'领用录入（明细）'!C:C&gt;=$J$4,'领用录入（明细）'!C:C&lt;=$L$4),ROW(),"-")</f>
        <v>-</v>
      </c>
    </row>
    <row r="9539" customHeight="1" spans="2:2">
      <c r="B9539" s="62" t="str">
        <f>IF(AND('领用录入（明细）'!D:D=$F$4,'领用录入（明细）'!C:C&gt;=$J$4,'领用录入（明细）'!C:C&lt;=$L$4),ROW(),"-")</f>
        <v>-</v>
      </c>
    </row>
    <row r="9540" customHeight="1" spans="2:2">
      <c r="B9540" s="62" t="str">
        <f>IF(AND('领用录入（明细）'!D:D=$F$4,'领用录入（明细）'!C:C&gt;=$J$4,'领用录入（明细）'!C:C&lt;=$L$4),ROW(),"-")</f>
        <v>-</v>
      </c>
    </row>
    <row r="9541" customHeight="1" spans="2:2">
      <c r="B9541" s="62" t="str">
        <f>IF(AND('领用录入（明细）'!D:D=$F$4,'领用录入（明细）'!C:C&gt;=$J$4,'领用录入（明细）'!C:C&lt;=$L$4),ROW(),"-")</f>
        <v>-</v>
      </c>
    </row>
    <row r="9542" customHeight="1" spans="2:2">
      <c r="B9542" s="62" t="str">
        <f>IF(AND('领用录入（明细）'!D:D=$F$4,'领用录入（明细）'!C:C&gt;=$J$4,'领用录入（明细）'!C:C&lt;=$L$4),ROW(),"-")</f>
        <v>-</v>
      </c>
    </row>
    <row r="9543" customHeight="1" spans="2:2">
      <c r="B9543" s="62" t="str">
        <f>IF(AND('领用录入（明细）'!D:D=$F$4,'领用录入（明细）'!C:C&gt;=$J$4,'领用录入（明细）'!C:C&lt;=$L$4),ROW(),"-")</f>
        <v>-</v>
      </c>
    </row>
    <row r="9544" customHeight="1" spans="2:2">
      <c r="B9544" s="62" t="str">
        <f>IF(AND('领用录入（明细）'!D:D=$F$4,'领用录入（明细）'!C:C&gt;=$J$4,'领用录入（明细）'!C:C&lt;=$L$4),ROW(),"-")</f>
        <v>-</v>
      </c>
    </row>
    <row r="9545" customHeight="1" spans="2:2">
      <c r="B9545" s="62" t="str">
        <f>IF(AND('领用录入（明细）'!D:D=$F$4,'领用录入（明细）'!C:C&gt;=$J$4,'领用录入（明细）'!C:C&lt;=$L$4),ROW(),"-")</f>
        <v>-</v>
      </c>
    </row>
    <row r="9546" customHeight="1" spans="2:2">
      <c r="B9546" s="62" t="str">
        <f>IF(AND('领用录入（明细）'!D:D=$F$4,'领用录入（明细）'!C:C&gt;=$J$4,'领用录入（明细）'!C:C&lt;=$L$4),ROW(),"-")</f>
        <v>-</v>
      </c>
    </row>
    <row r="9547" customHeight="1" spans="2:2">
      <c r="B9547" s="62" t="str">
        <f>IF(AND('领用录入（明细）'!D:D=$F$4,'领用录入（明细）'!C:C&gt;=$J$4,'领用录入（明细）'!C:C&lt;=$L$4),ROW(),"-")</f>
        <v>-</v>
      </c>
    </row>
    <row r="9548" customHeight="1" spans="2:2">
      <c r="B9548" s="62" t="str">
        <f>IF(AND('领用录入（明细）'!D:D=$F$4,'领用录入（明细）'!C:C&gt;=$J$4,'领用录入（明细）'!C:C&lt;=$L$4),ROW(),"-")</f>
        <v>-</v>
      </c>
    </row>
    <row r="9549" customHeight="1" spans="2:2">
      <c r="B9549" s="62" t="str">
        <f>IF(AND('领用录入（明细）'!D:D=$F$4,'领用录入（明细）'!C:C&gt;=$J$4,'领用录入（明细）'!C:C&lt;=$L$4),ROW(),"-")</f>
        <v>-</v>
      </c>
    </row>
    <row r="9550" customHeight="1" spans="2:2">
      <c r="B9550" s="62" t="str">
        <f>IF(AND('领用录入（明细）'!D:D=$F$4,'领用录入（明细）'!C:C&gt;=$J$4,'领用录入（明细）'!C:C&lt;=$L$4),ROW(),"-")</f>
        <v>-</v>
      </c>
    </row>
    <row r="9551" customHeight="1" spans="2:2">
      <c r="B9551" s="62" t="str">
        <f>IF(AND('领用录入（明细）'!D:D=$F$4,'领用录入（明细）'!C:C&gt;=$J$4,'领用录入（明细）'!C:C&lt;=$L$4),ROW(),"-")</f>
        <v>-</v>
      </c>
    </row>
    <row r="9552" customHeight="1" spans="2:2">
      <c r="B9552" s="62" t="str">
        <f>IF(AND('领用录入（明细）'!D:D=$F$4,'领用录入（明细）'!C:C&gt;=$J$4,'领用录入（明细）'!C:C&lt;=$L$4),ROW(),"-")</f>
        <v>-</v>
      </c>
    </row>
    <row r="9553" customHeight="1" spans="2:2">
      <c r="B9553" s="62" t="str">
        <f>IF(AND('领用录入（明细）'!D:D=$F$4,'领用录入（明细）'!C:C&gt;=$J$4,'领用录入（明细）'!C:C&lt;=$L$4),ROW(),"-")</f>
        <v>-</v>
      </c>
    </row>
    <row r="9554" customHeight="1" spans="2:2">
      <c r="B9554" s="62" t="str">
        <f>IF(AND('领用录入（明细）'!D:D=$F$4,'领用录入（明细）'!C:C&gt;=$J$4,'领用录入（明细）'!C:C&lt;=$L$4),ROW(),"-")</f>
        <v>-</v>
      </c>
    </row>
    <row r="9555" customHeight="1" spans="2:2">
      <c r="B9555" s="62" t="str">
        <f>IF(AND('领用录入（明细）'!D:D=$F$4,'领用录入（明细）'!C:C&gt;=$J$4,'领用录入（明细）'!C:C&lt;=$L$4),ROW(),"-")</f>
        <v>-</v>
      </c>
    </row>
    <row r="9556" customHeight="1" spans="2:2">
      <c r="B9556" s="62" t="str">
        <f>IF(AND('领用录入（明细）'!D:D=$F$4,'领用录入（明细）'!C:C&gt;=$J$4,'领用录入（明细）'!C:C&lt;=$L$4),ROW(),"-")</f>
        <v>-</v>
      </c>
    </row>
    <row r="9557" customHeight="1" spans="2:2">
      <c r="B9557" s="62" t="str">
        <f>IF(AND('领用录入（明细）'!D:D=$F$4,'领用录入（明细）'!C:C&gt;=$J$4,'领用录入（明细）'!C:C&lt;=$L$4),ROW(),"-")</f>
        <v>-</v>
      </c>
    </row>
    <row r="9558" customHeight="1" spans="2:2">
      <c r="B9558" s="62" t="str">
        <f>IF(AND('领用录入（明细）'!D:D=$F$4,'领用录入（明细）'!C:C&gt;=$J$4,'领用录入（明细）'!C:C&lt;=$L$4),ROW(),"-")</f>
        <v>-</v>
      </c>
    </row>
    <row r="9559" customHeight="1" spans="2:2">
      <c r="B9559" s="62" t="str">
        <f>IF(AND('领用录入（明细）'!D:D=$F$4,'领用录入（明细）'!C:C&gt;=$J$4,'领用录入（明细）'!C:C&lt;=$L$4),ROW(),"-")</f>
        <v>-</v>
      </c>
    </row>
    <row r="9560" customHeight="1" spans="2:2">
      <c r="B9560" s="62" t="str">
        <f>IF(AND('领用录入（明细）'!D:D=$F$4,'领用录入（明细）'!C:C&gt;=$J$4,'领用录入（明细）'!C:C&lt;=$L$4),ROW(),"-")</f>
        <v>-</v>
      </c>
    </row>
    <row r="9561" customHeight="1" spans="2:2">
      <c r="B9561" s="62" t="str">
        <f>IF(AND('领用录入（明细）'!D:D=$F$4,'领用录入（明细）'!C:C&gt;=$J$4,'领用录入（明细）'!C:C&lt;=$L$4),ROW(),"-")</f>
        <v>-</v>
      </c>
    </row>
    <row r="9562" customHeight="1" spans="2:2">
      <c r="B9562" s="62" t="str">
        <f>IF(AND('领用录入（明细）'!D:D=$F$4,'领用录入（明细）'!C:C&gt;=$J$4,'领用录入（明细）'!C:C&lt;=$L$4),ROW(),"-")</f>
        <v>-</v>
      </c>
    </row>
    <row r="9563" customHeight="1" spans="2:2">
      <c r="B9563" s="62" t="str">
        <f>IF(AND('领用录入（明细）'!D:D=$F$4,'领用录入（明细）'!C:C&gt;=$J$4,'领用录入（明细）'!C:C&lt;=$L$4),ROW(),"-")</f>
        <v>-</v>
      </c>
    </row>
    <row r="9564" customHeight="1" spans="2:2">
      <c r="B9564" s="62" t="str">
        <f>IF(AND('领用录入（明细）'!D:D=$F$4,'领用录入（明细）'!C:C&gt;=$J$4,'领用录入（明细）'!C:C&lt;=$L$4),ROW(),"-")</f>
        <v>-</v>
      </c>
    </row>
    <row r="9565" customHeight="1" spans="2:2">
      <c r="B9565" s="62" t="str">
        <f>IF(AND('领用录入（明细）'!D:D=$F$4,'领用录入（明细）'!C:C&gt;=$J$4,'领用录入（明细）'!C:C&lt;=$L$4),ROW(),"-")</f>
        <v>-</v>
      </c>
    </row>
    <row r="9566" customHeight="1" spans="2:2">
      <c r="B9566" s="62" t="str">
        <f>IF(AND('领用录入（明细）'!D:D=$F$4,'领用录入（明细）'!C:C&gt;=$J$4,'领用录入（明细）'!C:C&lt;=$L$4),ROW(),"-")</f>
        <v>-</v>
      </c>
    </row>
    <row r="9567" customHeight="1" spans="2:2">
      <c r="B9567" s="62" t="str">
        <f>IF(AND('领用录入（明细）'!D:D=$F$4,'领用录入（明细）'!C:C&gt;=$J$4,'领用录入（明细）'!C:C&lt;=$L$4),ROW(),"-")</f>
        <v>-</v>
      </c>
    </row>
    <row r="9568" customHeight="1" spans="2:2">
      <c r="B9568" s="62" t="str">
        <f>IF(AND('领用录入（明细）'!D:D=$F$4,'领用录入（明细）'!C:C&gt;=$J$4,'领用录入（明细）'!C:C&lt;=$L$4),ROW(),"-")</f>
        <v>-</v>
      </c>
    </row>
    <row r="9569" customHeight="1" spans="2:2">
      <c r="B9569" s="62" t="str">
        <f>IF(AND('领用录入（明细）'!D:D=$F$4,'领用录入（明细）'!C:C&gt;=$J$4,'领用录入（明细）'!C:C&lt;=$L$4),ROW(),"-")</f>
        <v>-</v>
      </c>
    </row>
    <row r="9570" customHeight="1" spans="2:2">
      <c r="B9570" s="62" t="str">
        <f>IF(AND('领用录入（明细）'!D:D=$F$4,'领用录入（明细）'!C:C&gt;=$J$4,'领用录入（明细）'!C:C&lt;=$L$4),ROW(),"-")</f>
        <v>-</v>
      </c>
    </row>
    <row r="9571" customHeight="1" spans="2:2">
      <c r="B9571" s="62" t="str">
        <f>IF(AND('领用录入（明细）'!D:D=$F$4,'领用录入（明细）'!C:C&gt;=$J$4,'领用录入（明细）'!C:C&lt;=$L$4),ROW(),"-")</f>
        <v>-</v>
      </c>
    </row>
    <row r="9572" customHeight="1" spans="2:2">
      <c r="B9572" s="62" t="str">
        <f>IF(AND('领用录入（明细）'!D:D=$F$4,'领用录入（明细）'!C:C&gt;=$J$4,'领用录入（明细）'!C:C&lt;=$L$4),ROW(),"-")</f>
        <v>-</v>
      </c>
    </row>
    <row r="9573" customHeight="1" spans="2:2">
      <c r="B9573" s="62" t="str">
        <f>IF(AND('领用录入（明细）'!D:D=$F$4,'领用录入（明细）'!C:C&gt;=$J$4,'领用录入（明细）'!C:C&lt;=$L$4),ROW(),"-")</f>
        <v>-</v>
      </c>
    </row>
    <row r="9574" customHeight="1" spans="2:2">
      <c r="B9574" s="62" t="str">
        <f>IF(AND('领用录入（明细）'!D:D=$F$4,'领用录入（明细）'!C:C&gt;=$J$4,'领用录入（明细）'!C:C&lt;=$L$4),ROW(),"-")</f>
        <v>-</v>
      </c>
    </row>
    <row r="9575" customHeight="1" spans="2:2">
      <c r="B9575" s="62" t="str">
        <f>IF(AND('领用录入（明细）'!D:D=$F$4,'领用录入（明细）'!C:C&gt;=$J$4,'领用录入（明细）'!C:C&lt;=$L$4),ROW(),"-")</f>
        <v>-</v>
      </c>
    </row>
    <row r="9576" customHeight="1" spans="2:2">
      <c r="B9576" s="62" t="str">
        <f>IF(AND('领用录入（明细）'!D:D=$F$4,'领用录入（明细）'!C:C&gt;=$J$4,'领用录入（明细）'!C:C&lt;=$L$4),ROW(),"-")</f>
        <v>-</v>
      </c>
    </row>
    <row r="9577" customHeight="1" spans="2:2">
      <c r="B9577" s="62" t="str">
        <f>IF(AND('领用录入（明细）'!D:D=$F$4,'领用录入（明细）'!C:C&gt;=$J$4,'领用录入（明细）'!C:C&lt;=$L$4),ROW(),"-")</f>
        <v>-</v>
      </c>
    </row>
    <row r="9578" customHeight="1" spans="2:2">
      <c r="B9578" s="62" t="str">
        <f>IF(AND('领用录入（明细）'!D:D=$F$4,'领用录入（明细）'!C:C&gt;=$J$4,'领用录入（明细）'!C:C&lt;=$L$4),ROW(),"-")</f>
        <v>-</v>
      </c>
    </row>
    <row r="9579" customHeight="1" spans="2:2">
      <c r="B9579" s="62" t="str">
        <f>IF(AND('领用录入（明细）'!D:D=$F$4,'领用录入（明细）'!C:C&gt;=$J$4,'领用录入（明细）'!C:C&lt;=$L$4),ROW(),"-")</f>
        <v>-</v>
      </c>
    </row>
    <row r="9580" customHeight="1" spans="2:2">
      <c r="B9580" s="62" t="str">
        <f>IF(AND('领用录入（明细）'!D:D=$F$4,'领用录入（明细）'!C:C&gt;=$J$4,'领用录入（明细）'!C:C&lt;=$L$4),ROW(),"-")</f>
        <v>-</v>
      </c>
    </row>
    <row r="9581" customHeight="1" spans="2:2">
      <c r="B9581" s="62" t="str">
        <f>IF(AND('领用录入（明细）'!D:D=$F$4,'领用录入（明细）'!C:C&gt;=$J$4,'领用录入（明细）'!C:C&lt;=$L$4),ROW(),"-")</f>
        <v>-</v>
      </c>
    </row>
    <row r="9582" customHeight="1" spans="2:2">
      <c r="B9582" s="62" t="str">
        <f>IF(AND('领用录入（明细）'!D:D=$F$4,'领用录入（明细）'!C:C&gt;=$J$4,'领用录入（明细）'!C:C&lt;=$L$4),ROW(),"-")</f>
        <v>-</v>
      </c>
    </row>
    <row r="9583" customHeight="1" spans="2:2">
      <c r="B9583" s="62" t="str">
        <f>IF(AND('领用录入（明细）'!D:D=$F$4,'领用录入（明细）'!C:C&gt;=$J$4,'领用录入（明细）'!C:C&lt;=$L$4),ROW(),"-")</f>
        <v>-</v>
      </c>
    </row>
    <row r="9584" customHeight="1" spans="2:2">
      <c r="B9584" s="62" t="str">
        <f>IF(AND('领用录入（明细）'!D:D=$F$4,'领用录入（明细）'!C:C&gt;=$J$4,'领用录入（明细）'!C:C&lt;=$L$4),ROW(),"-")</f>
        <v>-</v>
      </c>
    </row>
    <row r="9585" customHeight="1" spans="2:2">
      <c r="B9585" s="62" t="str">
        <f>IF(AND('领用录入（明细）'!D:D=$F$4,'领用录入（明细）'!C:C&gt;=$J$4,'领用录入（明细）'!C:C&lt;=$L$4),ROW(),"-")</f>
        <v>-</v>
      </c>
    </row>
    <row r="9586" customHeight="1" spans="2:2">
      <c r="B9586" s="62" t="str">
        <f>IF(AND('领用录入（明细）'!D:D=$F$4,'领用录入（明细）'!C:C&gt;=$J$4,'领用录入（明细）'!C:C&lt;=$L$4),ROW(),"-")</f>
        <v>-</v>
      </c>
    </row>
    <row r="9587" customHeight="1" spans="2:2">
      <c r="B9587" s="62" t="str">
        <f>IF(AND('领用录入（明细）'!D:D=$F$4,'领用录入（明细）'!C:C&gt;=$J$4,'领用录入（明细）'!C:C&lt;=$L$4),ROW(),"-")</f>
        <v>-</v>
      </c>
    </row>
    <row r="9588" customHeight="1" spans="2:2">
      <c r="B9588" s="62" t="str">
        <f>IF(AND('领用录入（明细）'!D:D=$F$4,'领用录入（明细）'!C:C&gt;=$J$4,'领用录入（明细）'!C:C&lt;=$L$4),ROW(),"-")</f>
        <v>-</v>
      </c>
    </row>
    <row r="9589" customHeight="1" spans="2:2">
      <c r="B9589" s="62" t="str">
        <f>IF(AND('领用录入（明细）'!D:D=$F$4,'领用录入（明细）'!C:C&gt;=$J$4,'领用录入（明细）'!C:C&lt;=$L$4),ROW(),"-")</f>
        <v>-</v>
      </c>
    </row>
    <row r="9590" customHeight="1" spans="2:2">
      <c r="B9590" s="62" t="str">
        <f>IF(AND('领用录入（明细）'!D:D=$F$4,'领用录入（明细）'!C:C&gt;=$J$4,'领用录入（明细）'!C:C&lt;=$L$4),ROW(),"-")</f>
        <v>-</v>
      </c>
    </row>
    <row r="9591" customHeight="1" spans="2:2">
      <c r="B9591" s="62" t="str">
        <f>IF(AND('领用录入（明细）'!D:D=$F$4,'领用录入（明细）'!C:C&gt;=$J$4,'领用录入（明细）'!C:C&lt;=$L$4),ROW(),"-")</f>
        <v>-</v>
      </c>
    </row>
    <row r="9592" customHeight="1" spans="2:2">
      <c r="B9592" s="62" t="str">
        <f>IF(AND('领用录入（明细）'!D:D=$F$4,'领用录入（明细）'!C:C&gt;=$J$4,'领用录入（明细）'!C:C&lt;=$L$4),ROW(),"-")</f>
        <v>-</v>
      </c>
    </row>
    <row r="9593" customHeight="1" spans="2:2">
      <c r="B9593" s="62" t="str">
        <f>IF(AND('领用录入（明细）'!D:D=$F$4,'领用录入（明细）'!C:C&gt;=$J$4,'领用录入（明细）'!C:C&lt;=$L$4),ROW(),"-")</f>
        <v>-</v>
      </c>
    </row>
    <row r="9594" customHeight="1" spans="2:2">
      <c r="B9594" s="62" t="str">
        <f>IF(AND('领用录入（明细）'!D:D=$F$4,'领用录入（明细）'!C:C&gt;=$J$4,'领用录入（明细）'!C:C&lt;=$L$4),ROW(),"-")</f>
        <v>-</v>
      </c>
    </row>
    <row r="9595" customHeight="1" spans="2:2">
      <c r="B9595" s="62" t="str">
        <f>IF(AND('领用录入（明细）'!D:D=$F$4,'领用录入（明细）'!C:C&gt;=$J$4,'领用录入（明细）'!C:C&lt;=$L$4),ROW(),"-")</f>
        <v>-</v>
      </c>
    </row>
    <row r="9596" customHeight="1" spans="2:2">
      <c r="B9596" s="62" t="str">
        <f>IF(AND('领用录入（明细）'!D:D=$F$4,'领用录入（明细）'!C:C&gt;=$J$4,'领用录入（明细）'!C:C&lt;=$L$4),ROW(),"-")</f>
        <v>-</v>
      </c>
    </row>
    <row r="9597" customHeight="1" spans="2:2">
      <c r="B9597" s="62" t="str">
        <f>IF(AND('领用录入（明细）'!D:D=$F$4,'领用录入（明细）'!C:C&gt;=$J$4,'领用录入（明细）'!C:C&lt;=$L$4),ROW(),"-")</f>
        <v>-</v>
      </c>
    </row>
    <row r="9598" customHeight="1" spans="2:2">
      <c r="B9598" s="62" t="str">
        <f>IF(AND('领用录入（明细）'!D:D=$F$4,'领用录入（明细）'!C:C&gt;=$J$4,'领用录入（明细）'!C:C&lt;=$L$4),ROW(),"-")</f>
        <v>-</v>
      </c>
    </row>
    <row r="9599" customHeight="1" spans="2:2">
      <c r="B9599" s="62" t="str">
        <f>IF(AND('领用录入（明细）'!D:D=$F$4,'领用录入（明细）'!C:C&gt;=$J$4,'领用录入（明细）'!C:C&lt;=$L$4),ROW(),"-")</f>
        <v>-</v>
      </c>
    </row>
    <row r="9600" customHeight="1" spans="2:2">
      <c r="B9600" s="62" t="str">
        <f>IF(AND('领用录入（明细）'!D:D=$F$4,'领用录入（明细）'!C:C&gt;=$J$4,'领用录入（明细）'!C:C&lt;=$L$4),ROW(),"-")</f>
        <v>-</v>
      </c>
    </row>
    <row r="9601" customHeight="1" spans="2:2">
      <c r="B9601" s="62" t="str">
        <f>IF(AND('领用录入（明细）'!D:D=$F$4,'领用录入（明细）'!C:C&gt;=$J$4,'领用录入（明细）'!C:C&lt;=$L$4),ROW(),"-")</f>
        <v>-</v>
      </c>
    </row>
    <row r="9602" customHeight="1" spans="2:2">
      <c r="B9602" s="62" t="str">
        <f>IF(AND('领用录入（明细）'!D:D=$F$4,'领用录入（明细）'!C:C&gt;=$J$4,'领用录入（明细）'!C:C&lt;=$L$4),ROW(),"-")</f>
        <v>-</v>
      </c>
    </row>
    <row r="9603" customHeight="1" spans="2:2">
      <c r="B9603" s="62" t="str">
        <f>IF(AND('领用录入（明细）'!D:D=$F$4,'领用录入（明细）'!C:C&gt;=$J$4,'领用录入（明细）'!C:C&lt;=$L$4),ROW(),"-")</f>
        <v>-</v>
      </c>
    </row>
    <row r="9604" customHeight="1" spans="2:2">
      <c r="B9604" s="62" t="str">
        <f>IF(AND('领用录入（明细）'!D:D=$F$4,'领用录入（明细）'!C:C&gt;=$J$4,'领用录入（明细）'!C:C&lt;=$L$4),ROW(),"-")</f>
        <v>-</v>
      </c>
    </row>
    <row r="9605" customHeight="1" spans="2:2">
      <c r="B9605" s="62" t="str">
        <f>IF(AND('领用录入（明细）'!D:D=$F$4,'领用录入（明细）'!C:C&gt;=$J$4,'领用录入（明细）'!C:C&lt;=$L$4),ROW(),"-")</f>
        <v>-</v>
      </c>
    </row>
    <row r="9606" customHeight="1" spans="2:2">
      <c r="B9606" s="62" t="str">
        <f>IF(AND('领用录入（明细）'!D:D=$F$4,'领用录入（明细）'!C:C&gt;=$J$4,'领用录入（明细）'!C:C&lt;=$L$4),ROW(),"-")</f>
        <v>-</v>
      </c>
    </row>
    <row r="9607" customHeight="1" spans="2:2">
      <c r="B9607" s="62" t="str">
        <f>IF(AND('领用录入（明细）'!D:D=$F$4,'领用录入（明细）'!C:C&gt;=$J$4,'领用录入（明细）'!C:C&lt;=$L$4),ROW(),"-")</f>
        <v>-</v>
      </c>
    </row>
    <row r="9608" customHeight="1" spans="2:2">
      <c r="B9608" s="62" t="str">
        <f>IF(AND('领用录入（明细）'!D:D=$F$4,'领用录入（明细）'!C:C&gt;=$J$4,'领用录入（明细）'!C:C&lt;=$L$4),ROW(),"-")</f>
        <v>-</v>
      </c>
    </row>
    <row r="9609" customHeight="1" spans="2:2">
      <c r="B9609" s="62" t="str">
        <f>IF(AND('领用录入（明细）'!D:D=$F$4,'领用录入（明细）'!C:C&gt;=$J$4,'领用录入（明细）'!C:C&lt;=$L$4),ROW(),"-")</f>
        <v>-</v>
      </c>
    </row>
    <row r="9610" customHeight="1" spans="2:2">
      <c r="B9610" s="62" t="str">
        <f>IF(AND('领用录入（明细）'!D:D=$F$4,'领用录入（明细）'!C:C&gt;=$J$4,'领用录入（明细）'!C:C&lt;=$L$4),ROW(),"-")</f>
        <v>-</v>
      </c>
    </row>
    <row r="9611" customHeight="1" spans="2:2">
      <c r="B9611" s="62" t="str">
        <f>IF(AND('领用录入（明细）'!D:D=$F$4,'领用录入（明细）'!C:C&gt;=$J$4,'领用录入（明细）'!C:C&lt;=$L$4),ROW(),"-")</f>
        <v>-</v>
      </c>
    </row>
    <row r="9612" customHeight="1" spans="2:2">
      <c r="B9612" s="62" t="str">
        <f>IF(AND('领用录入（明细）'!D:D=$F$4,'领用录入（明细）'!C:C&gt;=$J$4,'领用录入（明细）'!C:C&lt;=$L$4),ROW(),"-")</f>
        <v>-</v>
      </c>
    </row>
    <row r="9613" customHeight="1" spans="2:2">
      <c r="B9613" s="62" t="str">
        <f>IF(AND('领用录入（明细）'!D:D=$F$4,'领用录入（明细）'!C:C&gt;=$J$4,'领用录入（明细）'!C:C&lt;=$L$4),ROW(),"-")</f>
        <v>-</v>
      </c>
    </row>
    <row r="9614" customHeight="1" spans="2:2">
      <c r="B9614" s="62" t="str">
        <f>IF(AND('领用录入（明细）'!D:D=$F$4,'领用录入（明细）'!C:C&gt;=$J$4,'领用录入（明细）'!C:C&lt;=$L$4),ROW(),"-")</f>
        <v>-</v>
      </c>
    </row>
    <row r="9615" customHeight="1" spans="2:2">
      <c r="B9615" s="62" t="str">
        <f>IF(AND('领用录入（明细）'!D:D=$F$4,'领用录入（明细）'!C:C&gt;=$J$4,'领用录入（明细）'!C:C&lt;=$L$4),ROW(),"-")</f>
        <v>-</v>
      </c>
    </row>
    <row r="9616" customHeight="1" spans="2:2">
      <c r="B9616" s="62" t="str">
        <f>IF(AND('领用录入（明细）'!D:D=$F$4,'领用录入（明细）'!C:C&gt;=$J$4,'领用录入（明细）'!C:C&lt;=$L$4),ROW(),"-")</f>
        <v>-</v>
      </c>
    </row>
    <row r="9617" customHeight="1" spans="2:2">
      <c r="B9617" s="62" t="str">
        <f>IF(AND('领用录入（明细）'!D:D=$F$4,'领用录入（明细）'!C:C&gt;=$J$4,'领用录入（明细）'!C:C&lt;=$L$4),ROW(),"-")</f>
        <v>-</v>
      </c>
    </row>
    <row r="9618" customHeight="1" spans="2:2">
      <c r="B9618" s="62" t="str">
        <f>IF(AND('领用录入（明细）'!D:D=$F$4,'领用录入（明细）'!C:C&gt;=$J$4,'领用录入（明细）'!C:C&lt;=$L$4),ROW(),"-")</f>
        <v>-</v>
      </c>
    </row>
    <row r="9619" customHeight="1" spans="2:2">
      <c r="B9619" s="62" t="str">
        <f>IF(AND('领用录入（明细）'!D:D=$F$4,'领用录入（明细）'!C:C&gt;=$J$4,'领用录入（明细）'!C:C&lt;=$L$4),ROW(),"-")</f>
        <v>-</v>
      </c>
    </row>
    <row r="9620" customHeight="1" spans="2:2">
      <c r="B9620" s="62" t="str">
        <f>IF(AND('领用录入（明细）'!D:D=$F$4,'领用录入（明细）'!C:C&gt;=$J$4,'领用录入（明细）'!C:C&lt;=$L$4),ROW(),"-")</f>
        <v>-</v>
      </c>
    </row>
    <row r="9621" customHeight="1" spans="2:2">
      <c r="B9621" s="62" t="str">
        <f>IF(AND('领用录入（明细）'!D:D=$F$4,'领用录入（明细）'!C:C&gt;=$J$4,'领用录入（明细）'!C:C&lt;=$L$4),ROW(),"-")</f>
        <v>-</v>
      </c>
    </row>
    <row r="9622" customHeight="1" spans="2:2">
      <c r="B9622" s="62" t="str">
        <f>IF(AND('领用录入（明细）'!D:D=$F$4,'领用录入（明细）'!C:C&gt;=$J$4,'领用录入（明细）'!C:C&lt;=$L$4),ROW(),"-")</f>
        <v>-</v>
      </c>
    </row>
    <row r="9623" customHeight="1" spans="2:2">
      <c r="B9623" s="62" t="str">
        <f>IF(AND('领用录入（明细）'!D:D=$F$4,'领用录入（明细）'!C:C&gt;=$J$4,'领用录入（明细）'!C:C&lt;=$L$4),ROW(),"-")</f>
        <v>-</v>
      </c>
    </row>
    <row r="9624" customHeight="1" spans="2:2">
      <c r="B9624" s="62" t="str">
        <f>IF(AND('领用录入（明细）'!D:D=$F$4,'领用录入（明细）'!C:C&gt;=$J$4,'领用录入（明细）'!C:C&lt;=$L$4),ROW(),"-")</f>
        <v>-</v>
      </c>
    </row>
    <row r="9625" customHeight="1" spans="2:2">
      <c r="B9625" s="62" t="str">
        <f>IF(AND('领用录入（明细）'!D:D=$F$4,'领用录入（明细）'!C:C&gt;=$J$4,'领用录入（明细）'!C:C&lt;=$L$4),ROW(),"-")</f>
        <v>-</v>
      </c>
    </row>
    <row r="9626" customHeight="1" spans="2:2">
      <c r="B9626" s="62" t="str">
        <f>IF(AND('领用录入（明细）'!D:D=$F$4,'领用录入（明细）'!C:C&gt;=$J$4,'领用录入（明细）'!C:C&lt;=$L$4),ROW(),"-")</f>
        <v>-</v>
      </c>
    </row>
    <row r="9627" customHeight="1" spans="2:2">
      <c r="B9627" s="62" t="str">
        <f>IF(AND('领用录入（明细）'!D:D=$F$4,'领用录入（明细）'!C:C&gt;=$J$4,'领用录入（明细）'!C:C&lt;=$L$4),ROW(),"-")</f>
        <v>-</v>
      </c>
    </row>
    <row r="9628" customHeight="1" spans="2:2">
      <c r="B9628" s="62" t="str">
        <f>IF(AND('领用录入（明细）'!D:D=$F$4,'领用录入（明细）'!C:C&gt;=$J$4,'领用录入（明细）'!C:C&lt;=$L$4),ROW(),"-")</f>
        <v>-</v>
      </c>
    </row>
    <row r="9629" customHeight="1" spans="2:2">
      <c r="B9629" s="62" t="str">
        <f>IF(AND('领用录入（明细）'!D:D=$F$4,'领用录入（明细）'!C:C&gt;=$J$4,'领用录入（明细）'!C:C&lt;=$L$4),ROW(),"-")</f>
        <v>-</v>
      </c>
    </row>
    <row r="9630" customHeight="1" spans="2:2">
      <c r="B9630" s="62" t="str">
        <f>IF(AND('领用录入（明细）'!D:D=$F$4,'领用录入（明细）'!C:C&gt;=$J$4,'领用录入（明细）'!C:C&lt;=$L$4),ROW(),"-")</f>
        <v>-</v>
      </c>
    </row>
    <row r="9631" customHeight="1" spans="2:2">
      <c r="B9631" s="62" t="str">
        <f>IF(AND('领用录入（明细）'!D:D=$F$4,'领用录入（明细）'!C:C&gt;=$J$4,'领用录入（明细）'!C:C&lt;=$L$4),ROW(),"-")</f>
        <v>-</v>
      </c>
    </row>
    <row r="9632" customHeight="1" spans="2:2">
      <c r="B9632" s="62" t="str">
        <f>IF(AND('领用录入（明细）'!D:D=$F$4,'领用录入（明细）'!C:C&gt;=$J$4,'领用录入（明细）'!C:C&lt;=$L$4),ROW(),"-")</f>
        <v>-</v>
      </c>
    </row>
    <row r="9633" customHeight="1" spans="2:2">
      <c r="B9633" s="62" t="str">
        <f>IF(AND('领用录入（明细）'!D:D=$F$4,'领用录入（明细）'!C:C&gt;=$J$4,'领用录入（明细）'!C:C&lt;=$L$4),ROW(),"-")</f>
        <v>-</v>
      </c>
    </row>
    <row r="9634" customHeight="1" spans="2:2">
      <c r="B9634" s="62" t="str">
        <f>IF(AND('领用录入（明细）'!D:D=$F$4,'领用录入（明细）'!C:C&gt;=$J$4,'领用录入（明细）'!C:C&lt;=$L$4),ROW(),"-")</f>
        <v>-</v>
      </c>
    </row>
    <row r="9635" customHeight="1" spans="2:2">
      <c r="B9635" s="62" t="str">
        <f>IF(AND('领用录入（明细）'!D:D=$F$4,'领用录入（明细）'!C:C&gt;=$J$4,'领用录入（明细）'!C:C&lt;=$L$4),ROW(),"-")</f>
        <v>-</v>
      </c>
    </row>
    <row r="9636" customHeight="1" spans="2:2">
      <c r="B9636" s="62" t="str">
        <f>IF(AND('领用录入（明细）'!D:D=$F$4,'领用录入（明细）'!C:C&gt;=$J$4,'领用录入（明细）'!C:C&lt;=$L$4),ROW(),"-")</f>
        <v>-</v>
      </c>
    </row>
    <row r="9637" customHeight="1" spans="2:2">
      <c r="B9637" s="62" t="str">
        <f>IF(AND('领用录入（明细）'!D:D=$F$4,'领用录入（明细）'!C:C&gt;=$J$4,'领用录入（明细）'!C:C&lt;=$L$4),ROW(),"-")</f>
        <v>-</v>
      </c>
    </row>
    <row r="9638" customHeight="1" spans="2:2">
      <c r="B9638" s="62" t="str">
        <f>IF(AND('领用录入（明细）'!D:D=$F$4,'领用录入（明细）'!C:C&gt;=$J$4,'领用录入（明细）'!C:C&lt;=$L$4),ROW(),"-")</f>
        <v>-</v>
      </c>
    </row>
    <row r="9639" customHeight="1" spans="2:2">
      <c r="B9639" s="62" t="str">
        <f>IF(AND('领用录入（明细）'!D:D=$F$4,'领用录入（明细）'!C:C&gt;=$J$4,'领用录入（明细）'!C:C&lt;=$L$4),ROW(),"-")</f>
        <v>-</v>
      </c>
    </row>
    <row r="9640" customHeight="1" spans="2:2">
      <c r="B9640" s="62" t="str">
        <f>IF(AND('领用录入（明细）'!D:D=$F$4,'领用录入（明细）'!C:C&gt;=$J$4,'领用录入（明细）'!C:C&lt;=$L$4),ROW(),"-")</f>
        <v>-</v>
      </c>
    </row>
    <row r="9641" customHeight="1" spans="2:2">
      <c r="B9641" s="62" t="str">
        <f>IF(AND('领用录入（明细）'!D:D=$F$4,'领用录入（明细）'!C:C&gt;=$J$4,'领用录入（明细）'!C:C&lt;=$L$4),ROW(),"-")</f>
        <v>-</v>
      </c>
    </row>
    <row r="9642" customHeight="1" spans="2:2">
      <c r="B9642" s="62" t="str">
        <f>IF(AND('领用录入（明细）'!D:D=$F$4,'领用录入（明细）'!C:C&gt;=$J$4,'领用录入（明细）'!C:C&lt;=$L$4),ROW(),"-")</f>
        <v>-</v>
      </c>
    </row>
    <row r="9643" customHeight="1" spans="2:2">
      <c r="B9643" s="62" t="str">
        <f>IF(AND('领用录入（明细）'!D:D=$F$4,'领用录入（明细）'!C:C&gt;=$J$4,'领用录入（明细）'!C:C&lt;=$L$4),ROW(),"-")</f>
        <v>-</v>
      </c>
    </row>
    <row r="9644" customHeight="1" spans="2:2">
      <c r="B9644" s="62" t="str">
        <f>IF(AND('领用录入（明细）'!D:D=$F$4,'领用录入（明细）'!C:C&gt;=$J$4,'领用录入（明细）'!C:C&lt;=$L$4),ROW(),"-")</f>
        <v>-</v>
      </c>
    </row>
    <row r="9645" customHeight="1" spans="2:2">
      <c r="B9645" s="62" t="str">
        <f>IF(AND('领用录入（明细）'!D:D=$F$4,'领用录入（明细）'!C:C&gt;=$J$4,'领用录入（明细）'!C:C&lt;=$L$4),ROW(),"-")</f>
        <v>-</v>
      </c>
    </row>
    <row r="9646" customHeight="1" spans="2:2">
      <c r="B9646" s="62" t="str">
        <f>IF(AND('领用录入（明细）'!D:D=$F$4,'领用录入（明细）'!C:C&gt;=$J$4,'领用录入（明细）'!C:C&lt;=$L$4),ROW(),"-")</f>
        <v>-</v>
      </c>
    </row>
    <row r="9647" customHeight="1" spans="2:2">
      <c r="B9647" s="62" t="str">
        <f>IF(AND('领用录入（明细）'!D:D=$F$4,'领用录入（明细）'!C:C&gt;=$J$4,'领用录入（明细）'!C:C&lt;=$L$4),ROW(),"-")</f>
        <v>-</v>
      </c>
    </row>
    <row r="9648" customHeight="1" spans="2:2">
      <c r="B9648" s="62" t="str">
        <f>IF(AND('领用录入（明细）'!D:D=$F$4,'领用录入（明细）'!C:C&gt;=$J$4,'领用录入（明细）'!C:C&lt;=$L$4),ROW(),"-")</f>
        <v>-</v>
      </c>
    </row>
    <row r="9649" customHeight="1" spans="2:2">
      <c r="B9649" s="62" t="str">
        <f>IF(AND('领用录入（明细）'!D:D=$F$4,'领用录入（明细）'!C:C&gt;=$J$4,'领用录入（明细）'!C:C&lt;=$L$4),ROW(),"-")</f>
        <v>-</v>
      </c>
    </row>
    <row r="9650" customHeight="1" spans="2:2">
      <c r="B9650" s="62" t="str">
        <f>IF(AND('领用录入（明细）'!D:D=$F$4,'领用录入（明细）'!C:C&gt;=$J$4,'领用录入（明细）'!C:C&lt;=$L$4),ROW(),"-")</f>
        <v>-</v>
      </c>
    </row>
    <row r="9651" customHeight="1" spans="2:2">
      <c r="B9651" s="62" t="str">
        <f>IF(AND('领用录入（明细）'!D:D=$F$4,'领用录入（明细）'!C:C&gt;=$J$4,'领用录入（明细）'!C:C&lt;=$L$4),ROW(),"-")</f>
        <v>-</v>
      </c>
    </row>
    <row r="9652" customHeight="1" spans="2:2">
      <c r="B9652" s="62" t="str">
        <f>IF(AND('领用录入（明细）'!D:D=$F$4,'领用录入（明细）'!C:C&gt;=$J$4,'领用录入（明细）'!C:C&lt;=$L$4),ROW(),"-")</f>
        <v>-</v>
      </c>
    </row>
    <row r="9653" customHeight="1" spans="2:2">
      <c r="B9653" s="62" t="str">
        <f>IF(AND('领用录入（明细）'!D:D=$F$4,'领用录入（明细）'!C:C&gt;=$J$4,'领用录入（明细）'!C:C&lt;=$L$4),ROW(),"-")</f>
        <v>-</v>
      </c>
    </row>
    <row r="9654" customHeight="1" spans="2:2">
      <c r="B9654" s="62" t="str">
        <f>IF(AND('领用录入（明细）'!D:D=$F$4,'领用录入（明细）'!C:C&gt;=$J$4,'领用录入（明细）'!C:C&lt;=$L$4),ROW(),"-")</f>
        <v>-</v>
      </c>
    </row>
    <row r="9655" customHeight="1" spans="2:2">
      <c r="B9655" s="62" t="str">
        <f>IF(AND('领用录入（明细）'!D:D=$F$4,'领用录入（明细）'!C:C&gt;=$J$4,'领用录入（明细）'!C:C&lt;=$L$4),ROW(),"-")</f>
        <v>-</v>
      </c>
    </row>
    <row r="9656" customHeight="1" spans="2:2">
      <c r="B9656" s="62" t="str">
        <f>IF(AND('领用录入（明细）'!D:D=$F$4,'领用录入（明细）'!C:C&gt;=$J$4,'领用录入（明细）'!C:C&lt;=$L$4),ROW(),"-")</f>
        <v>-</v>
      </c>
    </row>
    <row r="9657" customHeight="1" spans="2:2">
      <c r="B9657" s="62" t="str">
        <f>IF(AND('领用录入（明细）'!D:D=$F$4,'领用录入（明细）'!C:C&gt;=$J$4,'领用录入（明细）'!C:C&lt;=$L$4),ROW(),"-")</f>
        <v>-</v>
      </c>
    </row>
    <row r="9658" customHeight="1" spans="2:2">
      <c r="B9658" s="62" t="str">
        <f>IF(AND('领用录入（明细）'!D:D=$F$4,'领用录入（明细）'!C:C&gt;=$J$4,'领用录入（明细）'!C:C&lt;=$L$4),ROW(),"-")</f>
        <v>-</v>
      </c>
    </row>
    <row r="9659" customHeight="1" spans="2:2">
      <c r="B9659" s="62" t="str">
        <f>IF(AND('领用录入（明细）'!D:D=$F$4,'领用录入（明细）'!C:C&gt;=$J$4,'领用录入（明细）'!C:C&lt;=$L$4),ROW(),"-")</f>
        <v>-</v>
      </c>
    </row>
    <row r="9660" customHeight="1" spans="2:2">
      <c r="B9660" s="62" t="str">
        <f>IF(AND('领用录入（明细）'!D:D=$F$4,'领用录入（明细）'!C:C&gt;=$J$4,'领用录入（明细）'!C:C&lt;=$L$4),ROW(),"-")</f>
        <v>-</v>
      </c>
    </row>
    <row r="9661" customHeight="1" spans="2:2">
      <c r="B9661" s="62" t="str">
        <f>IF(AND('领用录入（明细）'!D:D=$F$4,'领用录入（明细）'!C:C&gt;=$J$4,'领用录入（明细）'!C:C&lt;=$L$4),ROW(),"-")</f>
        <v>-</v>
      </c>
    </row>
    <row r="9662" customHeight="1" spans="2:2">
      <c r="B9662" s="62" t="str">
        <f>IF(AND('领用录入（明细）'!D:D=$F$4,'领用录入（明细）'!C:C&gt;=$J$4,'领用录入（明细）'!C:C&lt;=$L$4),ROW(),"-")</f>
        <v>-</v>
      </c>
    </row>
    <row r="9663" customHeight="1" spans="2:2">
      <c r="B9663" s="62" t="str">
        <f>IF(AND('领用录入（明细）'!D:D=$F$4,'领用录入（明细）'!C:C&gt;=$J$4,'领用录入（明细）'!C:C&lt;=$L$4),ROW(),"-")</f>
        <v>-</v>
      </c>
    </row>
    <row r="9664" customHeight="1" spans="2:2">
      <c r="B9664" s="62" t="str">
        <f>IF(AND('领用录入（明细）'!D:D=$F$4,'领用录入（明细）'!C:C&gt;=$J$4,'领用录入（明细）'!C:C&lt;=$L$4),ROW(),"-")</f>
        <v>-</v>
      </c>
    </row>
    <row r="9665" customHeight="1" spans="2:2">
      <c r="B9665" s="62" t="str">
        <f>IF(AND('领用录入（明细）'!D:D=$F$4,'领用录入（明细）'!C:C&gt;=$J$4,'领用录入（明细）'!C:C&lt;=$L$4),ROW(),"-")</f>
        <v>-</v>
      </c>
    </row>
    <row r="9666" customHeight="1" spans="2:2">
      <c r="B9666" s="62" t="str">
        <f>IF(AND('领用录入（明细）'!D:D=$F$4,'领用录入（明细）'!C:C&gt;=$J$4,'领用录入（明细）'!C:C&lt;=$L$4),ROW(),"-")</f>
        <v>-</v>
      </c>
    </row>
    <row r="9667" customHeight="1" spans="2:2">
      <c r="B9667" s="62" t="str">
        <f>IF(AND('领用录入（明细）'!D:D=$F$4,'领用录入（明细）'!C:C&gt;=$J$4,'领用录入（明细）'!C:C&lt;=$L$4),ROW(),"-")</f>
        <v>-</v>
      </c>
    </row>
    <row r="9668" customHeight="1" spans="2:2">
      <c r="B9668" s="62" t="str">
        <f>IF(AND('领用录入（明细）'!D:D=$F$4,'领用录入（明细）'!C:C&gt;=$J$4,'领用录入（明细）'!C:C&lt;=$L$4),ROW(),"-")</f>
        <v>-</v>
      </c>
    </row>
    <row r="9669" customHeight="1" spans="2:2">
      <c r="B9669" s="62" t="str">
        <f>IF(AND('领用录入（明细）'!D:D=$F$4,'领用录入（明细）'!C:C&gt;=$J$4,'领用录入（明细）'!C:C&lt;=$L$4),ROW(),"-")</f>
        <v>-</v>
      </c>
    </row>
    <row r="9670" customHeight="1" spans="2:2">
      <c r="B9670" s="62" t="str">
        <f>IF(AND('领用录入（明细）'!D:D=$F$4,'领用录入（明细）'!C:C&gt;=$J$4,'领用录入（明细）'!C:C&lt;=$L$4),ROW(),"-")</f>
        <v>-</v>
      </c>
    </row>
    <row r="9671" customHeight="1" spans="2:2">
      <c r="B9671" s="62" t="str">
        <f>IF(AND('领用录入（明细）'!D:D=$F$4,'领用录入（明细）'!C:C&gt;=$J$4,'领用录入（明细）'!C:C&lt;=$L$4),ROW(),"-")</f>
        <v>-</v>
      </c>
    </row>
    <row r="9672" customHeight="1" spans="2:2">
      <c r="B9672" s="62" t="str">
        <f>IF(AND('领用录入（明细）'!D:D=$F$4,'领用录入（明细）'!C:C&gt;=$J$4,'领用录入（明细）'!C:C&lt;=$L$4),ROW(),"-")</f>
        <v>-</v>
      </c>
    </row>
    <row r="9673" customHeight="1" spans="2:2">
      <c r="B9673" s="62" t="str">
        <f>IF(AND('领用录入（明细）'!D:D=$F$4,'领用录入（明细）'!C:C&gt;=$J$4,'领用录入（明细）'!C:C&lt;=$L$4),ROW(),"-")</f>
        <v>-</v>
      </c>
    </row>
    <row r="9674" customHeight="1" spans="2:2">
      <c r="B9674" s="62" t="str">
        <f>IF(AND('领用录入（明细）'!D:D=$F$4,'领用录入（明细）'!C:C&gt;=$J$4,'领用录入（明细）'!C:C&lt;=$L$4),ROW(),"-")</f>
        <v>-</v>
      </c>
    </row>
    <row r="9675" customHeight="1" spans="2:2">
      <c r="B9675" s="62" t="str">
        <f>IF(AND('领用录入（明细）'!D:D=$F$4,'领用录入（明细）'!C:C&gt;=$J$4,'领用录入（明细）'!C:C&lt;=$L$4),ROW(),"-")</f>
        <v>-</v>
      </c>
    </row>
    <row r="9676" customHeight="1" spans="2:2">
      <c r="B9676" s="62" t="str">
        <f>IF(AND('领用录入（明细）'!D:D=$F$4,'领用录入（明细）'!C:C&gt;=$J$4,'领用录入（明细）'!C:C&lt;=$L$4),ROW(),"-")</f>
        <v>-</v>
      </c>
    </row>
    <row r="9677" customHeight="1" spans="2:2">
      <c r="B9677" s="62" t="str">
        <f>IF(AND('领用录入（明细）'!D:D=$F$4,'领用录入（明细）'!C:C&gt;=$J$4,'领用录入（明细）'!C:C&lt;=$L$4),ROW(),"-")</f>
        <v>-</v>
      </c>
    </row>
    <row r="9678" customHeight="1" spans="2:2">
      <c r="B9678" s="62" t="str">
        <f>IF(AND('领用录入（明细）'!D:D=$F$4,'领用录入（明细）'!C:C&gt;=$J$4,'领用录入（明细）'!C:C&lt;=$L$4),ROW(),"-")</f>
        <v>-</v>
      </c>
    </row>
    <row r="9679" customHeight="1" spans="2:2">
      <c r="B9679" s="62" t="str">
        <f>IF(AND('领用录入（明细）'!D:D=$F$4,'领用录入（明细）'!C:C&gt;=$J$4,'领用录入（明细）'!C:C&lt;=$L$4),ROW(),"-")</f>
        <v>-</v>
      </c>
    </row>
    <row r="9680" customHeight="1" spans="2:2">
      <c r="B9680" s="62" t="str">
        <f>IF(AND('领用录入（明细）'!D:D=$F$4,'领用录入（明细）'!C:C&gt;=$J$4,'领用录入（明细）'!C:C&lt;=$L$4),ROW(),"-")</f>
        <v>-</v>
      </c>
    </row>
    <row r="9681" customHeight="1" spans="2:2">
      <c r="B9681" s="62" t="str">
        <f>IF(AND('领用录入（明细）'!D:D=$F$4,'领用录入（明细）'!C:C&gt;=$J$4,'领用录入（明细）'!C:C&lt;=$L$4),ROW(),"-")</f>
        <v>-</v>
      </c>
    </row>
    <row r="9682" customHeight="1" spans="2:2">
      <c r="B9682" s="62" t="str">
        <f>IF(AND('领用录入（明细）'!D:D=$F$4,'领用录入（明细）'!C:C&gt;=$J$4,'领用录入（明细）'!C:C&lt;=$L$4),ROW(),"-")</f>
        <v>-</v>
      </c>
    </row>
    <row r="9683" customHeight="1" spans="2:2">
      <c r="B9683" s="62" t="str">
        <f>IF(AND('领用录入（明细）'!D:D=$F$4,'领用录入（明细）'!C:C&gt;=$J$4,'领用录入（明细）'!C:C&lt;=$L$4),ROW(),"-")</f>
        <v>-</v>
      </c>
    </row>
    <row r="9684" customHeight="1" spans="2:2">
      <c r="B9684" s="62" t="str">
        <f>IF(AND('领用录入（明细）'!D:D=$F$4,'领用录入（明细）'!C:C&gt;=$J$4,'领用录入（明细）'!C:C&lt;=$L$4),ROW(),"-")</f>
        <v>-</v>
      </c>
    </row>
    <row r="9685" customHeight="1" spans="2:2">
      <c r="B9685" s="62" t="str">
        <f>IF(AND('领用录入（明细）'!D:D=$F$4,'领用录入（明细）'!C:C&gt;=$J$4,'领用录入（明细）'!C:C&lt;=$L$4),ROW(),"-")</f>
        <v>-</v>
      </c>
    </row>
    <row r="9686" customHeight="1" spans="2:2">
      <c r="B9686" s="62" t="str">
        <f>IF(AND('领用录入（明细）'!D:D=$F$4,'领用录入（明细）'!C:C&gt;=$J$4,'领用录入（明细）'!C:C&lt;=$L$4),ROW(),"-")</f>
        <v>-</v>
      </c>
    </row>
    <row r="9687" customHeight="1" spans="2:2">
      <c r="B9687" s="62" t="str">
        <f>IF(AND('领用录入（明细）'!D:D=$F$4,'领用录入（明细）'!C:C&gt;=$J$4,'领用录入（明细）'!C:C&lt;=$L$4),ROW(),"-")</f>
        <v>-</v>
      </c>
    </row>
    <row r="9688" customHeight="1" spans="2:2">
      <c r="B9688" s="62" t="str">
        <f>IF(AND('领用录入（明细）'!D:D=$F$4,'领用录入（明细）'!C:C&gt;=$J$4,'领用录入（明细）'!C:C&lt;=$L$4),ROW(),"-")</f>
        <v>-</v>
      </c>
    </row>
    <row r="9689" customHeight="1" spans="2:2">
      <c r="B9689" s="62" t="str">
        <f>IF(AND('领用录入（明细）'!D:D=$F$4,'领用录入（明细）'!C:C&gt;=$J$4,'领用录入（明细）'!C:C&lt;=$L$4),ROW(),"-")</f>
        <v>-</v>
      </c>
    </row>
    <row r="9690" customHeight="1" spans="2:2">
      <c r="B9690" s="62" t="str">
        <f>IF(AND('领用录入（明细）'!D:D=$F$4,'领用录入（明细）'!C:C&gt;=$J$4,'领用录入（明细）'!C:C&lt;=$L$4),ROW(),"-")</f>
        <v>-</v>
      </c>
    </row>
    <row r="9691" customHeight="1" spans="2:2">
      <c r="B9691" s="62" t="str">
        <f>IF(AND('领用录入（明细）'!D:D=$F$4,'领用录入（明细）'!C:C&gt;=$J$4,'领用录入（明细）'!C:C&lt;=$L$4),ROW(),"-")</f>
        <v>-</v>
      </c>
    </row>
    <row r="9692" customHeight="1" spans="2:2">
      <c r="B9692" s="62" t="str">
        <f>IF(AND('领用录入（明细）'!D:D=$F$4,'领用录入（明细）'!C:C&gt;=$J$4,'领用录入（明细）'!C:C&lt;=$L$4),ROW(),"-")</f>
        <v>-</v>
      </c>
    </row>
    <row r="9693" customHeight="1" spans="2:2">
      <c r="B9693" s="62" t="str">
        <f>IF(AND('领用录入（明细）'!D:D=$F$4,'领用录入（明细）'!C:C&gt;=$J$4,'领用录入（明细）'!C:C&lt;=$L$4),ROW(),"-")</f>
        <v>-</v>
      </c>
    </row>
    <row r="9694" customHeight="1" spans="2:2">
      <c r="B9694" s="62" t="str">
        <f>IF(AND('领用录入（明细）'!D:D=$F$4,'领用录入（明细）'!C:C&gt;=$J$4,'领用录入（明细）'!C:C&lt;=$L$4),ROW(),"-")</f>
        <v>-</v>
      </c>
    </row>
    <row r="9695" customHeight="1" spans="2:2">
      <c r="B9695" s="62" t="str">
        <f>IF(AND('领用录入（明细）'!D:D=$F$4,'领用录入（明细）'!C:C&gt;=$J$4,'领用录入（明细）'!C:C&lt;=$L$4),ROW(),"-")</f>
        <v>-</v>
      </c>
    </row>
    <row r="9696" customHeight="1" spans="2:2">
      <c r="B9696" s="62" t="str">
        <f>IF(AND('领用录入（明细）'!D:D=$F$4,'领用录入（明细）'!C:C&gt;=$J$4,'领用录入（明细）'!C:C&lt;=$L$4),ROW(),"-")</f>
        <v>-</v>
      </c>
    </row>
    <row r="9697" customHeight="1" spans="2:2">
      <c r="B9697" s="62" t="str">
        <f>IF(AND('领用录入（明细）'!D:D=$F$4,'领用录入（明细）'!C:C&gt;=$J$4,'领用录入（明细）'!C:C&lt;=$L$4),ROW(),"-")</f>
        <v>-</v>
      </c>
    </row>
    <row r="9698" customHeight="1" spans="2:2">
      <c r="B9698" s="62" t="str">
        <f>IF(AND('领用录入（明细）'!D:D=$F$4,'领用录入（明细）'!C:C&gt;=$J$4,'领用录入（明细）'!C:C&lt;=$L$4),ROW(),"-")</f>
        <v>-</v>
      </c>
    </row>
    <row r="9699" customHeight="1" spans="2:2">
      <c r="B9699" s="62" t="str">
        <f>IF(AND('领用录入（明细）'!D:D=$F$4,'领用录入（明细）'!C:C&gt;=$J$4,'领用录入（明细）'!C:C&lt;=$L$4),ROW(),"-")</f>
        <v>-</v>
      </c>
    </row>
    <row r="9700" customHeight="1" spans="2:2">
      <c r="B9700" s="62" t="str">
        <f>IF(AND('领用录入（明细）'!D:D=$F$4,'领用录入（明细）'!C:C&gt;=$J$4,'领用录入（明细）'!C:C&lt;=$L$4),ROW(),"-")</f>
        <v>-</v>
      </c>
    </row>
    <row r="9701" customHeight="1" spans="2:2">
      <c r="B9701" s="62" t="str">
        <f>IF(AND('领用录入（明细）'!D:D=$F$4,'领用录入（明细）'!C:C&gt;=$J$4,'领用录入（明细）'!C:C&lt;=$L$4),ROW(),"-")</f>
        <v>-</v>
      </c>
    </row>
    <row r="9702" customHeight="1" spans="2:2">
      <c r="B9702" s="62" t="str">
        <f>IF(AND('领用录入（明细）'!D:D=$F$4,'领用录入（明细）'!C:C&gt;=$J$4,'领用录入（明细）'!C:C&lt;=$L$4),ROW(),"-")</f>
        <v>-</v>
      </c>
    </row>
    <row r="9703" customHeight="1" spans="2:2">
      <c r="B9703" s="62" t="str">
        <f>IF(AND('领用录入（明细）'!D:D=$F$4,'领用录入（明细）'!C:C&gt;=$J$4,'领用录入（明细）'!C:C&lt;=$L$4),ROW(),"-")</f>
        <v>-</v>
      </c>
    </row>
    <row r="9704" customHeight="1" spans="2:2">
      <c r="B9704" s="62" t="str">
        <f>IF(AND('领用录入（明细）'!D:D=$F$4,'领用录入（明细）'!C:C&gt;=$J$4,'领用录入（明细）'!C:C&lt;=$L$4),ROW(),"-")</f>
        <v>-</v>
      </c>
    </row>
    <row r="9705" customHeight="1" spans="2:2">
      <c r="B9705" s="62" t="str">
        <f>IF(AND('领用录入（明细）'!D:D=$F$4,'领用录入（明细）'!C:C&gt;=$J$4,'领用录入（明细）'!C:C&lt;=$L$4),ROW(),"-")</f>
        <v>-</v>
      </c>
    </row>
    <row r="9706" customHeight="1" spans="2:2">
      <c r="B9706" s="62" t="str">
        <f>IF(AND('领用录入（明细）'!D:D=$F$4,'领用录入（明细）'!C:C&gt;=$J$4,'领用录入（明细）'!C:C&lt;=$L$4),ROW(),"-")</f>
        <v>-</v>
      </c>
    </row>
    <row r="9707" customHeight="1" spans="2:2">
      <c r="B9707" s="62" t="str">
        <f>IF(AND('领用录入（明细）'!D:D=$F$4,'领用录入（明细）'!C:C&gt;=$J$4,'领用录入（明细）'!C:C&lt;=$L$4),ROW(),"-")</f>
        <v>-</v>
      </c>
    </row>
    <row r="9708" customHeight="1" spans="2:2">
      <c r="B9708" s="62" t="str">
        <f>IF(AND('领用录入（明细）'!D:D=$F$4,'领用录入（明细）'!C:C&gt;=$J$4,'领用录入（明细）'!C:C&lt;=$L$4),ROW(),"-")</f>
        <v>-</v>
      </c>
    </row>
    <row r="9709" customHeight="1" spans="2:2">
      <c r="B9709" s="62" t="str">
        <f>IF(AND('领用录入（明细）'!D:D=$F$4,'领用录入（明细）'!C:C&gt;=$J$4,'领用录入（明细）'!C:C&lt;=$L$4),ROW(),"-")</f>
        <v>-</v>
      </c>
    </row>
    <row r="9710" customHeight="1" spans="2:2">
      <c r="B9710" s="62" t="str">
        <f>IF(AND('领用录入（明细）'!D:D=$F$4,'领用录入（明细）'!C:C&gt;=$J$4,'领用录入（明细）'!C:C&lt;=$L$4),ROW(),"-")</f>
        <v>-</v>
      </c>
    </row>
    <row r="9711" customHeight="1" spans="2:2">
      <c r="B9711" s="62" t="str">
        <f>IF(AND('领用录入（明细）'!D:D=$F$4,'领用录入（明细）'!C:C&gt;=$J$4,'领用录入（明细）'!C:C&lt;=$L$4),ROW(),"-")</f>
        <v>-</v>
      </c>
    </row>
    <row r="9712" customHeight="1" spans="2:2">
      <c r="B9712" s="62" t="str">
        <f>IF(AND('领用录入（明细）'!D:D=$F$4,'领用录入（明细）'!C:C&gt;=$J$4,'领用录入（明细）'!C:C&lt;=$L$4),ROW(),"-")</f>
        <v>-</v>
      </c>
    </row>
    <row r="9713" customHeight="1" spans="2:2">
      <c r="B9713" s="62" t="str">
        <f>IF(AND('领用录入（明细）'!D:D=$F$4,'领用录入（明细）'!C:C&gt;=$J$4,'领用录入（明细）'!C:C&lt;=$L$4),ROW(),"-")</f>
        <v>-</v>
      </c>
    </row>
    <row r="9714" customHeight="1" spans="2:2">
      <c r="B9714" s="62" t="str">
        <f>IF(AND('领用录入（明细）'!D:D=$F$4,'领用录入（明细）'!C:C&gt;=$J$4,'领用录入（明细）'!C:C&lt;=$L$4),ROW(),"-")</f>
        <v>-</v>
      </c>
    </row>
    <row r="9715" customHeight="1" spans="2:2">
      <c r="B9715" s="62" t="str">
        <f>IF(AND('领用录入（明细）'!D:D=$F$4,'领用录入（明细）'!C:C&gt;=$J$4,'领用录入（明细）'!C:C&lt;=$L$4),ROW(),"-")</f>
        <v>-</v>
      </c>
    </row>
    <row r="9716" customHeight="1" spans="2:2">
      <c r="B9716" s="62" t="str">
        <f>IF(AND('领用录入（明细）'!D:D=$F$4,'领用录入（明细）'!C:C&gt;=$J$4,'领用录入（明细）'!C:C&lt;=$L$4),ROW(),"-")</f>
        <v>-</v>
      </c>
    </row>
    <row r="9717" customHeight="1" spans="2:2">
      <c r="B9717" s="62" t="str">
        <f>IF(AND('领用录入（明细）'!D:D=$F$4,'领用录入（明细）'!C:C&gt;=$J$4,'领用录入（明细）'!C:C&lt;=$L$4),ROW(),"-")</f>
        <v>-</v>
      </c>
    </row>
    <row r="9718" customHeight="1" spans="2:2">
      <c r="B9718" s="62" t="str">
        <f>IF(AND('领用录入（明细）'!D:D=$F$4,'领用录入（明细）'!C:C&gt;=$J$4,'领用录入（明细）'!C:C&lt;=$L$4),ROW(),"-")</f>
        <v>-</v>
      </c>
    </row>
    <row r="9719" customHeight="1" spans="2:2">
      <c r="B9719" s="62" t="str">
        <f>IF(AND('领用录入（明细）'!D:D=$F$4,'领用录入（明细）'!C:C&gt;=$J$4,'领用录入（明细）'!C:C&lt;=$L$4),ROW(),"-")</f>
        <v>-</v>
      </c>
    </row>
    <row r="9720" customHeight="1" spans="2:2">
      <c r="B9720" s="62" t="str">
        <f>IF(AND('领用录入（明细）'!D:D=$F$4,'领用录入（明细）'!C:C&gt;=$J$4,'领用录入（明细）'!C:C&lt;=$L$4),ROW(),"-")</f>
        <v>-</v>
      </c>
    </row>
    <row r="9721" customHeight="1" spans="2:2">
      <c r="B9721" s="62" t="str">
        <f>IF(AND('领用录入（明细）'!D:D=$F$4,'领用录入（明细）'!C:C&gt;=$J$4,'领用录入（明细）'!C:C&lt;=$L$4),ROW(),"-")</f>
        <v>-</v>
      </c>
    </row>
    <row r="9722" customHeight="1" spans="2:2">
      <c r="B9722" s="62" t="str">
        <f>IF(AND('领用录入（明细）'!D:D=$F$4,'领用录入（明细）'!C:C&gt;=$J$4,'领用录入（明细）'!C:C&lt;=$L$4),ROW(),"-")</f>
        <v>-</v>
      </c>
    </row>
    <row r="9723" customHeight="1" spans="2:2">
      <c r="B9723" s="62" t="str">
        <f>IF(AND('领用录入（明细）'!D:D=$F$4,'领用录入（明细）'!C:C&gt;=$J$4,'领用录入（明细）'!C:C&lt;=$L$4),ROW(),"-")</f>
        <v>-</v>
      </c>
    </row>
    <row r="9724" customHeight="1" spans="2:2">
      <c r="B9724" s="62" t="str">
        <f>IF(AND('领用录入（明细）'!D:D=$F$4,'领用录入（明细）'!C:C&gt;=$J$4,'领用录入（明细）'!C:C&lt;=$L$4),ROW(),"-")</f>
        <v>-</v>
      </c>
    </row>
    <row r="9725" customHeight="1" spans="2:2">
      <c r="B9725" s="62" t="str">
        <f>IF(AND('领用录入（明细）'!D:D=$F$4,'领用录入（明细）'!C:C&gt;=$J$4,'领用录入（明细）'!C:C&lt;=$L$4),ROW(),"-")</f>
        <v>-</v>
      </c>
    </row>
    <row r="9726" customHeight="1" spans="2:2">
      <c r="B9726" s="62" t="str">
        <f>IF(AND('领用录入（明细）'!D:D=$F$4,'领用录入（明细）'!C:C&gt;=$J$4,'领用录入（明细）'!C:C&lt;=$L$4),ROW(),"-")</f>
        <v>-</v>
      </c>
    </row>
    <row r="9727" customHeight="1" spans="2:2">
      <c r="B9727" s="62" t="str">
        <f>IF(AND('领用录入（明细）'!D:D=$F$4,'领用录入（明细）'!C:C&gt;=$J$4,'领用录入（明细）'!C:C&lt;=$L$4),ROW(),"-")</f>
        <v>-</v>
      </c>
    </row>
    <row r="9728" customHeight="1" spans="2:2">
      <c r="B9728" s="62" t="str">
        <f>IF(AND('领用录入（明细）'!D:D=$F$4,'领用录入（明细）'!C:C&gt;=$J$4,'领用录入（明细）'!C:C&lt;=$L$4),ROW(),"-")</f>
        <v>-</v>
      </c>
    </row>
    <row r="9729" customHeight="1" spans="2:2">
      <c r="B9729" s="62" t="str">
        <f>IF(AND('领用录入（明细）'!D:D=$F$4,'领用录入（明细）'!C:C&gt;=$J$4,'领用录入（明细）'!C:C&lt;=$L$4),ROW(),"-")</f>
        <v>-</v>
      </c>
    </row>
    <row r="9730" customHeight="1" spans="2:2">
      <c r="B9730" s="62" t="str">
        <f>IF(AND('领用录入（明细）'!D:D=$F$4,'领用录入（明细）'!C:C&gt;=$J$4,'领用录入（明细）'!C:C&lt;=$L$4),ROW(),"-")</f>
        <v>-</v>
      </c>
    </row>
    <row r="9731" customHeight="1" spans="2:2">
      <c r="B9731" s="62" t="str">
        <f>IF(AND('领用录入（明细）'!D:D=$F$4,'领用录入（明细）'!C:C&gt;=$J$4,'领用录入（明细）'!C:C&lt;=$L$4),ROW(),"-")</f>
        <v>-</v>
      </c>
    </row>
    <row r="9732" customHeight="1" spans="2:2">
      <c r="B9732" s="62" t="str">
        <f>IF(AND('领用录入（明细）'!D:D=$F$4,'领用录入（明细）'!C:C&gt;=$J$4,'领用录入（明细）'!C:C&lt;=$L$4),ROW(),"-")</f>
        <v>-</v>
      </c>
    </row>
    <row r="9733" customHeight="1" spans="2:2">
      <c r="B9733" s="62" t="str">
        <f>IF(AND('领用录入（明细）'!D:D=$F$4,'领用录入（明细）'!C:C&gt;=$J$4,'领用录入（明细）'!C:C&lt;=$L$4),ROW(),"-")</f>
        <v>-</v>
      </c>
    </row>
    <row r="9734" customHeight="1" spans="2:2">
      <c r="B9734" s="62" t="str">
        <f>IF(AND('领用录入（明细）'!D:D=$F$4,'领用录入（明细）'!C:C&gt;=$J$4,'领用录入（明细）'!C:C&lt;=$L$4),ROW(),"-")</f>
        <v>-</v>
      </c>
    </row>
    <row r="9735" customHeight="1" spans="2:2">
      <c r="B9735" s="62" t="str">
        <f>IF(AND('领用录入（明细）'!D:D=$F$4,'领用录入（明细）'!C:C&gt;=$J$4,'领用录入（明细）'!C:C&lt;=$L$4),ROW(),"-")</f>
        <v>-</v>
      </c>
    </row>
    <row r="9736" customHeight="1" spans="2:2">
      <c r="B9736" s="62" t="str">
        <f>IF(AND('领用录入（明细）'!D:D=$F$4,'领用录入（明细）'!C:C&gt;=$J$4,'领用录入（明细）'!C:C&lt;=$L$4),ROW(),"-")</f>
        <v>-</v>
      </c>
    </row>
    <row r="9737" customHeight="1" spans="2:2">
      <c r="B9737" s="62" t="str">
        <f>IF(AND('领用录入（明细）'!D:D=$F$4,'领用录入（明细）'!C:C&gt;=$J$4,'领用录入（明细）'!C:C&lt;=$L$4),ROW(),"-")</f>
        <v>-</v>
      </c>
    </row>
    <row r="9738" customHeight="1" spans="2:2">
      <c r="B9738" s="62" t="str">
        <f>IF(AND('领用录入（明细）'!D:D=$F$4,'领用录入（明细）'!C:C&gt;=$J$4,'领用录入（明细）'!C:C&lt;=$L$4),ROW(),"-")</f>
        <v>-</v>
      </c>
    </row>
    <row r="9739" customHeight="1" spans="2:2">
      <c r="B9739" s="62" t="str">
        <f>IF(AND('领用录入（明细）'!D:D=$F$4,'领用录入（明细）'!C:C&gt;=$J$4,'领用录入（明细）'!C:C&lt;=$L$4),ROW(),"-")</f>
        <v>-</v>
      </c>
    </row>
    <row r="9740" customHeight="1" spans="2:2">
      <c r="B9740" s="62" t="str">
        <f>IF(AND('领用录入（明细）'!D:D=$F$4,'领用录入（明细）'!C:C&gt;=$J$4,'领用录入（明细）'!C:C&lt;=$L$4),ROW(),"-")</f>
        <v>-</v>
      </c>
    </row>
    <row r="9741" customHeight="1" spans="2:2">
      <c r="B9741" s="62" t="str">
        <f>IF(AND('领用录入（明细）'!D:D=$F$4,'领用录入（明细）'!C:C&gt;=$J$4,'领用录入（明细）'!C:C&lt;=$L$4),ROW(),"-")</f>
        <v>-</v>
      </c>
    </row>
    <row r="9742" customHeight="1" spans="2:2">
      <c r="B9742" s="62" t="str">
        <f>IF(AND('领用录入（明细）'!D:D=$F$4,'领用录入（明细）'!C:C&gt;=$J$4,'领用录入（明细）'!C:C&lt;=$L$4),ROW(),"-")</f>
        <v>-</v>
      </c>
    </row>
    <row r="9743" customHeight="1" spans="2:2">
      <c r="B9743" s="62" t="str">
        <f>IF(AND('领用录入（明细）'!D:D=$F$4,'领用录入（明细）'!C:C&gt;=$J$4,'领用录入（明细）'!C:C&lt;=$L$4),ROW(),"-")</f>
        <v>-</v>
      </c>
    </row>
    <row r="9744" customHeight="1" spans="2:2">
      <c r="B9744" s="62" t="str">
        <f>IF(AND('领用录入（明细）'!D:D=$F$4,'领用录入（明细）'!C:C&gt;=$J$4,'领用录入（明细）'!C:C&lt;=$L$4),ROW(),"-")</f>
        <v>-</v>
      </c>
    </row>
    <row r="9745" customHeight="1" spans="2:2">
      <c r="B9745" s="62" t="str">
        <f>IF(AND('领用录入（明细）'!D:D=$F$4,'领用录入（明细）'!C:C&gt;=$J$4,'领用录入（明细）'!C:C&lt;=$L$4),ROW(),"-")</f>
        <v>-</v>
      </c>
    </row>
    <row r="9746" customHeight="1" spans="2:2">
      <c r="B9746" s="62" t="str">
        <f>IF(AND('领用录入（明细）'!D:D=$F$4,'领用录入（明细）'!C:C&gt;=$J$4,'领用录入（明细）'!C:C&lt;=$L$4),ROW(),"-")</f>
        <v>-</v>
      </c>
    </row>
    <row r="9747" customHeight="1" spans="2:2">
      <c r="B9747" s="62" t="str">
        <f>IF(AND('领用录入（明细）'!D:D=$F$4,'领用录入（明细）'!C:C&gt;=$J$4,'领用录入（明细）'!C:C&lt;=$L$4),ROW(),"-")</f>
        <v>-</v>
      </c>
    </row>
    <row r="9748" customHeight="1" spans="2:2">
      <c r="B9748" s="62" t="str">
        <f>IF(AND('领用录入（明细）'!D:D=$F$4,'领用录入（明细）'!C:C&gt;=$J$4,'领用录入（明细）'!C:C&lt;=$L$4),ROW(),"-")</f>
        <v>-</v>
      </c>
    </row>
    <row r="9749" customHeight="1" spans="2:2">
      <c r="B9749" s="62" t="str">
        <f>IF(AND('领用录入（明细）'!D:D=$F$4,'领用录入（明细）'!C:C&gt;=$J$4,'领用录入（明细）'!C:C&lt;=$L$4),ROW(),"-")</f>
        <v>-</v>
      </c>
    </row>
    <row r="9750" customHeight="1" spans="2:2">
      <c r="B9750" s="62" t="str">
        <f>IF(AND('领用录入（明细）'!D:D=$F$4,'领用录入（明细）'!C:C&gt;=$J$4,'领用录入（明细）'!C:C&lt;=$L$4),ROW(),"-")</f>
        <v>-</v>
      </c>
    </row>
    <row r="9751" customHeight="1" spans="2:2">
      <c r="B9751" s="62" t="str">
        <f>IF(AND('领用录入（明细）'!D:D=$F$4,'领用录入（明细）'!C:C&gt;=$J$4,'领用录入（明细）'!C:C&lt;=$L$4),ROW(),"-")</f>
        <v>-</v>
      </c>
    </row>
    <row r="9752" customHeight="1" spans="2:2">
      <c r="B9752" s="62" t="str">
        <f>IF(AND('领用录入（明细）'!D:D=$F$4,'领用录入（明细）'!C:C&gt;=$J$4,'领用录入（明细）'!C:C&lt;=$L$4),ROW(),"-")</f>
        <v>-</v>
      </c>
    </row>
    <row r="9753" customHeight="1" spans="2:2">
      <c r="B9753" s="62" t="str">
        <f>IF(AND('领用录入（明细）'!D:D=$F$4,'领用录入（明细）'!C:C&gt;=$J$4,'领用录入（明细）'!C:C&lt;=$L$4),ROW(),"-")</f>
        <v>-</v>
      </c>
    </row>
    <row r="9754" customHeight="1" spans="2:2">
      <c r="B9754" s="62" t="str">
        <f>IF(AND('领用录入（明细）'!D:D=$F$4,'领用录入（明细）'!C:C&gt;=$J$4,'领用录入（明细）'!C:C&lt;=$L$4),ROW(),"-")</f>
        <v>-</v>
      </c>
    </row>
    <row r="9755" customHeight="1" spans="2:2">
      <c r="B9755" s="62" t="str">
        <f>IF(AND('领用录入（明细）'!D:D=$F$4,'领用录入（明细）'!C:C&gt;=$J$4,'领用录入（明细）'!C:C&lt;=$L$4),ROW(),"-")</f>
        <v>-</v>
      </c>
    </row>
    <row r="9756" customHeight="1" spans="2:2">
      <c r="B9756" s="62" t="str">
        <f>IF(AND('领用录入（明细）'!D:D=$F$4,'领用录入（明细）'!C:C&gt;=$J$4,'领用录入（明细）'!C:C&lt;=$L$4),ROW(),"-")</f>
        <v>-</v>
      </c>
    </row>
    <row r="9757" customHeight="1" spans="2:2">
      <c r="B9757" s="62" t="str">
        <f>IF(AND('领用录入（明细）'!D:D=$F$4,'领用录入（明细）'!C:C&gt;=$J$4,'领用录入（明细）'!C:C&lt;=$L$4),ROW(),"-")</f>
        <v>-</v>
      </c>
    </row>
    <row r="9758" customHeight="1" spans="2:2">
      <c r="B9758" s="62" t="str">
        <f>IF(AND('领用录入（明细）'!D:D=$F$4,'领用录入（明细）'!C:C&gt;=$J$4,'领用录入（明细）'!C:C&lt;=$L$4),ROW(),"-")</f>
        <v>-</v>
      </c>
    </row>
    <row r="9759" customHeight="1" spans="2:2">
      <c r="B9759" s="62" t="str">
        <f>IF(AND('领用录入（明细）'!D:D=$F$4,'领用录入（明细）'!C:C&gt;=$J$4,'领用录入（明细）'!C:C&lt;=$L$4),ROW(),"-")</f>
        <v>-</v>
      </c>
    </row>
    <row r="9760" customHeight="1" spans="2:2">
      <c r="B9760" s="62" t="str">
        <f>IF(AND('领用录入（明细）'!D:D=$F$4,'领用录入（明细）'!C:C&gt;=$J$4,'领用录入（明细）'!C:C&lt;=$L$4),ROW(),"-")</f>
        <v>-</v>
      </c>
    </row>
    <row r="9761" customHeight="1" spans="2:2">
      <c r="B9761" s="62" t="str">
        <f>IF(AND('领用录入（明细）'!D:D=$F$4,'领用录入（明细）'!C:C&gt;=$J$4,'领用录入（明细）'!C:C&lt;=$L$4),ROW(),"-")</f>
        <v>-</v>
      </c>
    </row>
    <row r="9762" customHeight="1" spans="2:2">
      <c r="B9762" s="62" t="str">
        <f>IF(AND('领用录入（明细）'!D:D=$F$4,'领用录入（明细）'!C:C&gt;=$J$4,'领用录入（明细）'!C:C&lt;=$L$4),ROW(),"-")</f>
        <v>-</v>
      </c>
    </row>
    <row r="9763" customHeight="1" spans="2:2">
      <c r="B9763" s="62" t="str">
        <f>IF(AND('领用录入（明细）'!D:D=$F$4,'领用录入（明细）'!C:C&gt;=$J$4,'领用录入（明细）'!C:C&lt;=$L$4),ROW(),"-")</f>
        <v>-</v>
      </c>
    </row>
    <row r="9764" customHeight="1" spans="2:2">
      <c r="B9764" s="62" t="str">
        <f>IF(AND('领用录入（明细）'!D:D=$F$4,'领用录入（明细）'!C:C&gt;=$J$4,'领用录入（明细）'!C:C&lt;=$L$4),ROW(),"-")</f>
        <v>-</v>
      </c>
    </row>
    <row r="9765" customHeight="1" spans="2:2">
      <c r="B9765" s="62" t="str">
        <f>IF(AND('领用录入（明细）'!D:D=$F$4,'领用录入（明细）'!C:C&gt;=$J$4,'领用录入（明细）'!C:C&lt;=$L$4),ROW(),"-")</f>
        <v>-</v>
      </c>
    </row>
    <row r="9766" customHeight="1" spans="2:2">
      <c r="B9766" s="62" t="str">
        <f>IF(AND('领用录入（明细）'!D:D=$F$4,'领用录入（明细）'!C:C&gt;=$J$4,'领用录入（明细）'!C:C&lt;=$L$4),ROW(),"-")</f>
        <v>-</v>
      </c>
    </row>
    <row r="9767" customHeight="1" spans="2:2">
      <c r="B9767" s="62" t="str">
        <f>IF(AND('领用录入（明细）'!D:D=$F$4,'领用录入（明细）'!C:C&gt;=$J$4,'领用录入（明细）'!C:C&lt;=$L$4),ROW(),"-")</f>
        <v>-</v>
      </c>
    </row>
    <row r="9768" customHeight="1" spans="2:2">
      <c r="B9768" s="62" t="str">
        <f>IF(AND('领用录入（明细）'!D:D=$F$4,'领用录入（明细）'!C:C&gt;=$J$4,'领用录入（明细）'!C:C&lt;=$L$4),ROW(),"-")</f>
        <v>-</v>
      </c>
    </row>
    <row r="9769" customHeight="1" spans="2:2">
      <c r="B9769" s="62" t="str">
        <f>IF(AND('领用录入（明细）'!D:D=$F$4,'领用录入（明细）'!C:C&gt;=$J$4,'领用录入（明细）'!C:C&lt;=$L$4),ROW(),"-")</f>
        <v>-</v>
      </c>
    </row>
    <row r="9770" customHeight="1" spans="2:2">
      <c r="B9770" s="62" t="str">
        <f>IF(AND('领用录入（明细）'!D:D=$F$4,'领用录入（明细）'!C:C&gt;=$J$4,'领用录入（明细）'!C:C&lt;=$L$4),ROW(),"-")</f>
        <v>-</v>
      </c>
    </row>
    <row r="9771" customHeight="1" spans="2:2">
      <c r="B9771" s="62" t="str">
        <f>IF(AND('领用录入（明细）'!D:D=$F$4,'领用录入（明细）'!C:C&gt;=$J$4,'领用录入（明细）'!C:C&lt;=$L$4),ROW(),"-")</f>
        <v>-</v>
      </c>
    </row>
    <row r="9772" customHeight="1" spans="2:2">
      <c r="B9772" s="62" t="str">
        <f>IF(AND('领用录入（明细）'!D:D=$F$4,'领用录入（明细）'!C:C&gt;=$J$4,'领用录入（明细）'!C:C&lt;=$L$4),ROW(),"-")</f>
        <v>-</v>
      </c>
    </row>
    <row r="9773" customHeight="1" spans="2:2">
      <c r="B9773" s="62" t="str">
        <f>IF(AND('领用录入（明细）'!D:D=$F$4,'领用录入（明细）'!C:C&gt;=$J$4,'领用录入（明细）'!C:C&lt;=$L$4),ROW(),"-")</f>
        <v>-</v>
      </c>
    </row>
    <row r="9774" customHeight="1" spans="2:2">
      <c r="B9774" s="62" t="str">
        <f>IF(AND('领用录入（明细）'!D:D=$F$4,'领用录入（明细）'!C:C&gt;=$J$4,'领用录入（明细）'!C:C&lt;=$L$4),ROW(),"-")</f>
        <v>-</v>
      </c>
    </row>
    <row r="9775" customHeight="1" spans="2:2">
      <c r="B9775" s="62" t="str">
        <f>IF(AND('领用录入（明细）'!D:D=$F$4,'领用录入（明细）'!C:C&gt;=$J$4,'领用录入（明细）'!C:C&lt;=$L$4),ROW(),"-")</f>
        <v>-</v>
      </c>
    </row>
    <row r="9776" customHeight="1" spans="2:2">
      <c r="B9776" s="62" t="str">
        <f>IF(AND('领用录入（明细）'!D:D=$F$4,'领用录入（明细）'!C:C&gt;=$J$4,'领用录入（明细）'!C:C&lt;=$L$4),ROW(),"-")</f>
        <v>-</v>
      </c>
    </row>
    <row r="9777" customHeight="1" spans="2:2">
      <c r="B9777" s="62" t="str">
        <f>IF(AND('领用录入（明细）'!D:D=$F$4,'领用录入（明细）'!C:C&gt;=$J$4,'领用录入（明细）'!C:C&lt;=$L$4),ROW(),"-")</f>
        <v>-</v>
      </c>
    </row>
    <row r="9778" customHeight="1" spans="2:2">
      <c r="B9778" s="62" t="str">
        <f>IF(AND('领用录入（明细）'!D:D=$F$4,'领用录入（明细）'!C:C&gt;=$J$4,'领用录入（明细）'!C:C&lt;=$L$4),ROW(),"-")</f>
        <v>-</v>
      </c>
    </row>
    <row r="9779" customHeight="1" spans="2:2">
      <c r="B9779" s="62" t="str">
        <f>IF(AND('领用录入（明细）'!D:D=$F$4,'领用录入（明细）'!C:C&gt;=$J$4,'领用录入（明细）'!C:C&lt;=$L$4),ROW(),"-")</f>
        <v>-</v>
      </c>
    </row>
    <row r="9780" customHeight="1" spans="2:2">
      <c r="B9780" s="62" t="str">
        <f>IF(AND('领用录入（明细）'!D:D=$F$4,'领用录入（明细）'!C:C&gt;=$J$4,'领用录入（明细）'!C:C&lt;=$L$4),ROW(),"-")</f>
        <v>-</v>
      </c>
    </row>
    <row r="9781" customHeight="1" spans="2:2">
      <c r="B9781" s="62" t="str">
        <f>IF(AND('领用录入（明细）'!D:D=$F$4,'领用录入（明细）'!C:C&gt;=$J$4,'领用录入（明细）'!C:C&lt;=$L$4),ROW(),"-")</f>
        <v>-</v>
      </c>
    </row>
    <row r="9782" customHeight="1" spans="2:2">
      <c r="B9782" s="62" t="str">
        <f>IF(AND('领用录入（明细）'!D:D=$F$4,'领用录入（明细）'!C:C&gt;=$J$4,'领用录入（明细）'!C:C&lt;=$L$4),ROW(),"-")</f>
        <v>-</v>
      </c>
    </row>
    <row r="9783" customHeight="1" spans="2:2">
      <c r="B9783" s="62" t="str">
        <f>IF(AND('领用录入（明细）'!D:D=$F$4,'领用录入（明细）'!C:C&gt;=$J$4,'领用录入（明细）'!C:C&lt;=$L$4),ROW(),"-")</f>
        <v>-</v>
      </c>
    </row>
    <row r="9784" customHeight="1" spans="2:2">
      <c r="B9784" s="62" t="str">
        <f>IF(AND('领用录入（明细）'!D:D=$F$4,'领用录入（明细）'!C:C&gt;=$J$4,'领用录入（明细）'!C:C&lt;=$L$4),ROW(),"-")</f>
        <v>-</v>
      </c>
    </row>
    <row r="9785" customHeight="1" spans="2:2">
      <c r="B9785" s="62" t="str">
        <f>IF(AND('领用录入（明细）'!D:D=$F$4,'领用录入（明细）'!C:C&gt;=$J$4,'领用录入（明细）'!C:C&lt;=$L$4),ROW(),"-")</f>
        <v>-</v>
      </c>
    </row>
    <row r="9786" customHeight="1" spans="2:2">
      <c r="B9786" s="62" t="str">
        <f>IF(AND('领用录入（明细）'!D:D=$F$4,'领用录入（明细）'!C:C&gt;=$J$4,'领用录入（明细）'!C:C&lt;=$L$4),ROW(),"-")</f>
        <v>-</v>
      </c>
    </row>
    <row r="9787" customHeight="1" spans="2:2">
      <c r="B9787" s="62" t="str">
        <f>IF(AND('领用录入（明细）'!D:D=$F$4,'领用录入（明细）'!C:C&gt;=$J$4,'领用录入（明细）'!C:C&lt;=$L$4),ROW(),"-")</f>
        <v>-</v>
      </c>
    </row>
    <row r="9788" customHeight="1" spans="2:2">
      <c r="B9788" s="62" t="str">
        <f>IF(AND('领用录入（明细）'!D:D=$F$4,'领用录入（明细）'!C:C&gt;=$J$4,'领用录入（明细）'!C:C&lt;=$L$4),ROW(),"-")</f>
        <v>-</v>
      </c>
    </row>
    <row r="9789" customHeight="1" spans="2:2">
      <c r="B9789" s="62" t="str">
        <f>IF(AND('领用录入（明细）'!D:D=$F$4,'领用录入（明细）'!C:C&gt;=$J$4,'领用录入（明细）'!C:C&lt;=$L$4),ROW(),"-")</f>
        <v>-</v>
      </c>
    </row>
    <row r="9790" customHeight="1" spans="2:2">
      <c r="B9790" s="62" t="str">
        <f>IF(AND('领用录入（明细）'!D:D=$F$4,'领用录入（明细）'!C:C&gt;=$J$4,'领用录入（明细）'!C:C&lt;=$L$4),ROW(),"-")</f>
        <v>-</v>
      </c>
    </row>
    <row r="9791" customHeight="1" spans="2:2">
      <c r="B9791" s="62" t="str">
        <f>IF(AND('领用录入（明细）'!D:D=$F$4,'领用录入（明细）'!C:C&gt;=$J$4,'领用录入（明细）'!C:C&lt;=$L$4),ROW(),"-")</f>
        <v>-</v>
      </c>
    </row>
    <row r="9792" customHeight="1" spans="2:2">
      <c r="B9792" s="62" t="str">
        <f>IF(AND('领用录入（明细）'!D:D=$F$4,'领用录入（明细）'!C:C&gt;=$J$4,'领用录入（明细）'!C:C&lt;=$L$4),ROW(),"-")</f>
        <v>-</v>
      </c>
    </row>
    <row r="9793" customHeight="1" spans="2:2">
      <c r="B9793" s="62" t="str">
        <f>IF(AND('领用录入（明细）'!D:D=$F$4,'领用录入（明细）'!C:C&gt;=$J$4,'领用录入（明细）'!C:C&lt;=$L$4),ROW(),"-")</f>
        <v>-</v>
      </c>
    </row>
    <row r="9794" customHeight="1" spans="2:2">
      <c r="B9794" s="62" t="str">
        <f>IF(AND('领用录入（明细）'!D:D=$F$4,'领用录入（明细）'!C:C&gt;=$J$4,'领用录入（明细）'!C:C&lt;=$L$4),ROW(),"-")</f>
        <v>-</v>
      </c>
    </row>
    <row r="9795" customHeight="1" spans="2:2">
      <c r="B9795" s="62" t="str">
        <f>IF(AND('领用录入（明细）'!D:D=$F$4,'领用录入（明细）'!C:C&gt;=$J$4,'领用录入（明细）'!C:C&lt;=$L$4),ROW(),"-")</f>
        <v>-</v>
      </c>
    </row>
    <row r="9796" customHeight="1" spans="2:2">
      <c r="B9796" s="62" t="str">
        <f>IF(AND('领用录入（明细）'!D:D=$F$4,'领用录入（明细）'!C:C&gt;=$J$4,'领用录入（明细）'!C:C&lt;=$L$4),ROW(),"-")</f>
        <v>-</v>
      </c>
    </row>
    <row r="9797" customHeight="1" spans="2:2">
      <c r="B9797" s="62" t="str">
        <f>IF(AND('领用录入（明细）'!D:D=$F$4,'领用录入（明细）'!C:C&gt;=$J$4,'领用录入（明细）'!C:C&lt;=$L$4),ROW(),"-")</f>
        <v>-</v>
      </c>
    </row>
    <row r="9798" customHeight="1" spans="2:2">
      <c r="B9798" s="62" t="str">
        <f>IF(AND('领用录入（明细）'!D:D=$F$4,'领用录入（明细）'!C:C&gt;=$J$4,'领用录入（明细）'!C:C&lt;=$L$4),ROW(),"-")</f>
        <v>-</v>
      </c>
    </row>
    <row r="9799" customHeight="1" spans="2:2">
      <c r="B9799" s="62" t="str">
        <f>IF(AND('领用录入（明细）'!D:D=$F$4,'领用录入（明细）'!C:C&gt;=$J$4,'领用录入（明细）'!C:C&lt;=$L$4),ROW(),"-")</f>
        <v>-</v>
      </c>
    </row>
    <row r="9800" customHeight="1" spans="2:2">
      <c r="B9800" s="62" t="str">
        <f>IF(AND('领用录入（明细）'!D:D=$F$4,'领用录入（明细）'!C:C&gt;=$J$4,'领用录入（明细）'!C:C&lt;=$L$4),ROW(),"-")</f>
        <v>-</v>
      </c>
    </row>
    <row r="9801" customHeight="1" spans="2:2">
      <c r="B9801" s="62" t="str">
        <f>IF(AND('领用录入（明细）'!D:D=$F$4,'领用录入（明细）'!C:C&gt;=$J$4,'领用录入（明细）'!C:C&lt;=$L$4),ROW(),"-")</f>
        <v>-</v>
      </c>
    </row>
    <row r="9802" customHeight="1" spans="2:2">
      <c r="B9802" s="62" t="str">
        <f>IF(AND('领用录入（明细）'!D:D=$F$4,'领用录入（明细）'!C:C&gt;=$J$4,'领用录入（明细）'!C:C&lt;=$L$4),ROW(),"-")</f>
        <v>-</v>
      </c>
    </row>
    <row r="9803" customHeight="1" spans="2:2">
      <c r="B9803" s="62" t="str">
        <f>IF(AND('领用录入（明细）'!D:D=$F$4,'领用录入（明细）'!C:C&gt;=$J$4,'领用录入（明细）'!C:C&lt;=$L$4),ROW(),"-")</f>
        <v>-</v>
      </c>
    </row>
    <row r="9804" customHeight="1" spans="2:2">
      <c r="B9804" s="62" t="str">
        <f>IF(AND('领用录入（明细）'!D:D=$F$4,'领用录入（明细）'!C:C&gt;=$J$4,'领用录入（明细）'!C:C&lt;=$L$4),ROW(),"-")</f>
        <v>-</v>
      </c>
    </row>
    <row r="9805" customHeight="1" spans="2:2">
      <c r="B9805" s="62" t="str">
        <f>IF(AND('领用录入（明细）'!D:D=$F$4,'领用录入（明细）'!C:C&gt;=$J$4,'领用录入（明细）'!C:C&lt;=$L$4),ROW(),"-")</f>
        <v>-</v>
      </c>
    </row>
    <row r="9806" customHeight="1" spans="2:2">
      <c r="B9806" s="62" t="str">
        <f>IF(AND('领用录入（明细）'!D:D=$F$4,'领用录入（明细）'!C:C&gt;=$J$4,'领用录入（明细）'!C:C&lt;=$L$4),ROW(),"-")</f>
        <v>-</v>
      </c>
    </row>
    <row r="9807" customHeight="1" spans="2:2">
      <c r="B9807" s="62" t="str">
        <f>IF(AND('领用录入（明细）'!D:D=$F$4,'领用录入（明细）'!C:C&gt;=$J$4,'领用录入（明细）'!C:C&lt;=$L$4),ROW(),"-")</f>
        <v>-</v>
      </c>
    </row>
    <row r="9808" customHeight="1" spans="2:2">
      <c r="B9808" s="62" t="str">
        <f>IF(AND('领用录入（明细）'!D:D=$F$4,'领用录入（明细）'!C:C&gt;=$J$4,'领用录入（明细）'!C:C&lt;=$L$4),ROW(),"-")</f>
        <v>-</v>
      </c>
    </row>
    <row r="9809" customHeight="1" spans="2:2">
      <c r="B9809" s="62" t="str">
        <f>IF(AND('领用录入（明细）'!D:D=$F$4,'领用录入（明细）'!C:C&gt;=$J$4,'领用录入（明细）'!C:C&lt;=$L$4),ROW(),"-")</f>
        <v>-</v>
      </c>
    </row>
    <row r="9810" customHeight="1" spans="2:2">
      <c r="B9810" s="62" t="str">
        <f>IF(AND('领用录入（明细）'!D:D=$F$4,'领用录入（明细）'!C:C&gt;=$J$4,'领用录入（明细）'!C:C&lt;=$L$4),ROW(),"-")</f>
        <v>-</v>
      </c>
    </row>
    <row r="9811" customHeight="1" spans="2:2">
      <c r="B9811" s="62" t="str">
        <f>IF(AND('领用录入（明细）'!D:D=$F$4,'领用录入（明细）'!C:C&gt;=$J$4,'领用录入（明细）'!C:C&lt;=$L$4),ROW(),"-")</f>
        <v>-</v>
      </c>
    </row>
    <row r="9812" customHeight="1" spans="2:2">
      <c r="B9812" s="62" t="str">
        <f>IF(AND('领用录入（明细）'!D:D=$F$4,'领用录入（明细）'!C:C&gt;=$J$4,'领用录入（明细）'!C:C&lt;=$L$4),ROW(),"-")</f>
        <v>-</v>
      </c>
    </row>
    <row r="9813" customHeight="1" spans="2:2">
      <c r="B9813" s="62" t="str">
        <f>IF(AND('领用录入（明细）'!D:D=$F$4,'领用录入（明细）'!C:C&gt;=$J$4,'领用录入（明细）'!C:C&lt;=$L$4),ROW(),"-")</f>
        <v>-</v>
      </c>
    </row>
    <row r="9814" customHeight="1" spans="2:2">
      <c r="B9814" s="62" t="str">
        <f>IF(AND('领用录入（明细）'!D:D=$F$4,'领用录入（明细）'!C:C&gt;=$J$4,'领用录入（明细）'!C:C&lt;=$L$4),ROW(),"-")</f>
        <v>-</v>
      </c>
    </row>
    <row r="9815" customHeight="1" spans="2:2">
      <c r="B9815" s="62" t="str">
        <f>IF(AND('领用录入（明细）'!D:D=$F$4,'领用录入（明细）'!C:C&gt;=$J$4,'领用录入（明细）'!C:C&lt;=$L$4),ROW(),"-")</f>
        <v>-</v>
      </c>
    </row>
    <row r="9816" customHeight="1" spans="2:2">
      <c r="B9816" s="62" t="str">
        <f>IF(AND('领用录入（明细）'!D:D=$F$4,'领用录入（明细）'!C:C&gt;=$J$4,'领用录入（明细）'!C:C&lt;=$L$4),ROW(),"-")</f>
        <v>-</v>
      </c>
    </row>
    <row r="9817" customHeight="1" spans="2:2">
      <c r="B9817" s="62" t="str">
        <f>IF(AND('领用录入（明细）'!D:D=$F$4,'领用录入（明细）'!C:C&gt;=$J$4,'领用录入（明细）'!C:C&lt;=$L$4),ROW(),"-")</f>
        <v>-</v>
      </c>
    </row>
    <row r="9818" customHeight="1" spans="2:2">
      <c r="B9818" s="62" t="str">
        <f>IF(AND('领用录入（明细）'!D:D=$F$4,'领用录入（明细）'!C:C&gt;=$J$4,'领用录入（明细）'!C:C&lt;=$L$4),ROW(),"-")</f>
        <v>-</v>
      </c>
    </row>
    <row r="9819" customHeight="1" spans="2:2">
      <c r="B9819" s="62" t="str">
        <f>IF(AND('领用录入（明细）'!D:D=$F$4,'领用录入（明细）'!C:C&gt;=$J$4,'领用录入（明细）'!C:C&lt;=$L$4),ROW(),"-")</f>
        <v>-</v>
      </c>
    </row>
    <row r="9820" customHeight="1" spans="2:2">
      <c r="B9820" s="62" t="str">
        <f>IF(AND('领用录入（明细）'!D:D=$F$4,'领用录入（明细）'!C:C&gt;=$J$4,'领用录入（明细）'!C:C&lt;=$L$4),ROW(),"-")</f>
        <v>-</v>
      </c>
    </row>
    <row r="9821" customHeight="1" spans="2:2">
      <c r="B9821" s="62" t="str">
        <f>IF(AND('领用录入（明细）'!D:D=$F$4,'领用录入（明细）'!C:C&gt;=$J$4,'领用录入（明细）'!C:C&lt;=$L$4),ROW(),"-")</f>
        <v>-</v>
      </c>
    </row>
    <row r="9822" customHeight="1" spans="2:2">
      <c r="B9822" s="62" t="str">
        <f>IF(AND('领用录入（明细）'!D:D=$F$4,'领用录入（明细）'!C:C&gt;=$J$4,'领用录入（明细）'!C:C&lt;=$L$4),ROW(),"-")</f>
        <v>-</v>
      </c>
    </row>
    <row r="9823" customHeight="1" spans="2:2">
      <c r="B9823" s="62" t="str">
        <f>IF(AND('领用录入（明细）'!D:D=$F$4,'领用录入（明细）'!C:C&gt;=$J$4,'领用录入（明细）'!C:C&lt;=$L$4),ROW(),"-")</f>
        <v>-</v>
      </c>
    </row>
    <row r="9824" customHeight="1" spans="2:2">
      <c r="B9824" s="62" t="str">
        <f>IF(AND('领用录入（明细）'!D:D=$F$4,'领用录入（明细）'!C:C&gt;=$J$4,'领用录入（明细）'!C:C&lt;=$L$4),ROW(),"-")</f>
        <v>-</v>
      </c>
    </row>
    <row r="9825" customHeight="1" spans="2:2">
      <c r="B9825" s="62" t="str">
        <f>IF(AND('领用录入（明细）'!D:D=$F$4,'领用录入（明细）'!C:C&gt;=$J$4,'领用录入（明细）'!C:C&lt;=$L$4),ROW(),"-")</f>
        <v>-</v>
      </c>
    </row>
    <row r="9826" customHeight="1" spans="2:2">
      <c r="B9826" s="62" t="str">
        <f>IF(AND('领用录入（明细）'!D:D=$F$4,'领用录入（明细）'!C:C&gt;=$J$4,'领用录入（明细）'!C:C&lt;=$L$4),ROW(),"-")</f>
        <v>-</v>
      </c>
    </row>
    <row r="9827" customHeight="1" spans="2:2">
      <c r="B9827" s="62" t="str">
        <f>IF(AND('领用录入（明细）'!D:D=$F$4,'领用录入（明细）'!C:C&gt;=$J$4,'领用录入（明细）'!C:C&lt;=$L$4),ROW(),"-")</f>
        <v>-</v>
      </c>
    </row>
    <row r="9828" customHeight="1" spans="2:2">
      <c r="B9828" s="62" t="str">
        <f>IF(AND('领用录入（明细）'!D:D=$F$4,'领用录入（明细）'!C:C&gt;=$J$4,'领用录入（明细）'!C:C&lt;=$L$4),ROW(),"-")</f>
        <v>-</v>
      </c>
    </row>
    <row r="9829" customHeight="1" spans="2:2">
      <c r="B9829" s="62" t="str">
        <f>IF(AND('领用录入（明细）'!D:D=$F$4,'领用录入（明细）'!C:C&gt;=$J$4,'领用录入（明细）'!C:C&lt;=$L$4),ROW(),"-")</f>
        <v>-</v>
      </c>
    </row>
    <row r="9830" customHeight="1" spans="2:2">
      <c r="B9830" s="62" t="str">
        <f>IF(AND('领用录入（明细）'!D:D=$F$4,'领用录入（明细）'!C:C&gt;=$J$4,'领用录入（明细）'!C:C&lt;=$L$4),ROW(),"-")</f>
        <v>-</v>
      </c>
    </row>
    <row r="9831" customHeight="1" spans="2:2">
      <c r="B9831" s="62" t="str">
        <f>IF(AND('领用录入（明细）'!D:D=$F$4,'领用录入（明细）'!C:C&gt;=$J$4,'领用录入（明细）'!C:C&lt;=$L$4),ROW(),"-")</f>
        <v>-</v>
      </c>
    </row>
    <row r="9832" customHeight="1" spans="2:2">
      <c r="B9832" s="62" t="str">
        <f>IF(AND('领用录入（明细）'!D:D=$F$4,'领用录入（明细）'!C:C&gt;=$J$4,'领用录入（明细）'!C:C&lt;=$L$4),ROW(),"-")</f>
        <v>-</v>
      </c>
    </row>
    <row r="9833" customHeight="1" spans="2:2">
      <c r="B9833" s="62" t="str">
        <f>IF(AND('领用录入（明细）'!D:D=$F$4,'领用录入（明细）'!C:C&gt;=$J$4,'领用录入（明细）'!C:C&lt;=$L$4),ROW(),"-")</f>
        <v>-</v>
      </c>
    </row>
    <row r="9834" customHeight="1" spans="2:2">
      <c r="B9834" s="62" t="str">
        <f>IF(AND('领用录入（明细）'!D:D=$F$4,'领用录入（明细）'!C:C&gt;=$J$4,'领用录入（明细）'!C:C&lt;=$L$4),ROW(),"-")</f>
        <v>-</v>
      </c>
    </row>
    <row r="9835" customHeight="1" spans="2:2">
      <c r="B9835" s="62" t="str">
        <f>IF(AND('领用录入（明细）'!D:D=$F$4,'领用录入（明细）'!C:C&gt;=$J$4,'领用录入（明细）'!C:C&lt;=$L$4),ROW(),"-")</f>
        <v>-</v>
      </c>
    </row>
    <row r="9836" customHeight="1" spans="2:2">
      <c r="B9836" s="62" t="str">
        <f>IF(AND('领用录入（明细）'!D:D=$F$4,'领用录入（明细）'!C:C&gt;=$J$4,'领用录入（明细）'!C:C&lt;=$L$4),ROW(),"-")</f>
        <v>-</v>
      </c>
    </row>
    <row r="9837" customHeight="1" spans="2:2">
      <c r="B9837" s="62" t="str">
        <f>IF(AND('领用录入（明细）'!D:D=$F$4,'领用录入（明细）'!C:C&gt;=$J$4,'领用录入（明细）'!C:C&lt;=$L$4),ROW(),"-")</f>
        <v>-</v>
      </c>
    </row>
    <row r="9838" customHeight="1" spans="2:2">
      <c r="B9838" s="62" t="str">
        <f>IF(AND('领用录入（明细）'!D:D=$F$4,'领用录入（明细）'!C:C&gt;=$J$4,'领用录入（明细）'!C:C&lt;=$L$4),ROW(),"-")</f>
        <v>-</v>
      </c>
    </row>
    <row r="9839" customHeight="1" spans="2:2">
      <c r="B9839" s="62" t="str">
        <f>IF(AND('领用录入（明细）'!D:D=$F$4,'领用录入（明细）'!C:C&gt;=$J$4,'领用录入（明细）'!C:C&lt;=$L$4),ROW(),"-")</f>
        <v>-</v>
      </c>
    </row>
    <row r="9840" customHeight="1" spans="2:2">
      <c r="B9840" s="62" t="str">
        <f>IF(AND('领用录入（明细）'!D:D=$F$4,'领用录入（明细）'!C:C&gt;=$J$4,'领用录入（明细）'!C:C&lt;=$L$4),ROW(),"-")</f>
        <v>-</v>
      </c>
    </row>
    <row r="9841" customHeight="1" spans="2:2">
      <c r="B9841" s="62" t="str">
        <f>IF(AND('领用录入（明细）'!D:D=$F$4,'领用录入（明细）'!C:C&gt;=$J$4,'领用录入（明细）'!C:C&lt;=$L$4),ROW(),"-")</f>
        <v>-</v>
      </c>
    </row>
    <row r="9842" customHeight="1" spans="2:2">
      <c r="B9842" s="62" t="str">
        <f>IF(AND('领用录入（明细）'!D:D=$F$4,'领用录入（明细）'!C:C&gt;=$J$4,'领用录入（明细）'!C:C&lt;=$L$4),ROW(),"-")</f>
        <v>-</v>
      </c>
    </row>
    <row r="9843" customHeight="1" spans="2:2">
      <c r="B9843" s="62" t="str">
        <f>IF(AND('领用录入（明细）'!D:D=$F$4,'领用录入（明细）'!C:C&gt;=$J$4,'领用录入（明细）'!C:C&lt;=$L$4),ROW(),"-")</f>
        <v>-</v>
      </c>
    </row>
    <row r="9844" customHeight="1" spans="2:2">
      <c r="B9844" s="62" t="str">
        <f>IF(AND('领用录入（明细）'!D:D=$F$4,'领用录入（明细）'!C:C&gt;=$J$4,'领用录入（明细）'!C:C&lt;=$L$4),ROW(),"-")</f>
        <v>-</v>
      </c>
    </row>
    <row r="9845" customHeight="1" spans="2:2">
      <c r="B9845" s="62" t="str">
        <f>IF(AND('领用录入（明细）'!D:D=$F$4,'领用录入（明细）'!C:C&gt;=$J$4,'领用录入（明细）'!C:C&lt;=$L$4),ROW(),"-")</f>
        <v>-</v>
      </c>
    </row>
    <row r="9846" customHeight="1" spans="2:2">
      <c r="B9846" s="62" t="str">
        <f>IF(AND('领用录入（明细）'!D:D=$F$4,'领用录入（明细）'!C:C&gt;=$J$4,'领用录入（明细）'!C:C&lt;=$L$4),ROW(),"-")</f>
        <v>-</v>
      </c>
    </row>
    <row r="9847" customHeight="1" spans="2:2">
      <c r="B9847" s="62" t="str">
        <f>IF(AND('领用录入（明细）'!D:D=$F$4,'领用录入（明细）'!C:C&gt;=$J$4,'领用录入（明细）'!C:C&lt;=$L$4),ROW(),"-")</f>
        <v>-</v>
      </c>
    </row>
    <row r="9848" customHeight="1" spans="2:2">
      <c r="B9848" s="62" t="str">
        <f>IF(AND('领用录入（明细）'!D:D=$F$4,'领用录入（明细）'!C:C&gt;=$J$4,'领用录入（明细）'!C:C&lt;=$L$4),ROW(),"-")</f>
        <v>-</v>
      </c>
    </row>
    <row r="9849" customHeight="1" spans="2:2">
      <c r="B9849" s="62" t="str">
        <f>IF(AND('领用录入（明细）'!D:D=$F$4,'领用录入（明细）'!C:C&gt;=$J$4,'领用录入（明细）'!C:C&lt;=$L$4),ROW(),"-")</f>
        <v>-</v>
      </c>
    </row>
    <row r="9850" customHeight="1" spans="2:2">
      <c r="B9850" s="62" t="str">
        <f>IF(AND('领用录入（明细）'!D:D=$F$4,'领用录入（明细）'!C:C&gt;=$J$4,'领用录入（明细）'!C:C&lt;=$L$4),ROW(),"-")</f>
        <v>-</v>
      </c>
    </row>
    <row r="9851" customHeight="1" spans="2:2">
      <c r="B9851" s="62" t="str">
        <f>IF(AND('领用录入（明细）'!D:D=$F$4,'领用录入（明细）'!C:C&gt;=$J$4,'领用录入（明细）'!C:C&lt;=$L$4),ROW(),"-")</f>
        <v>-</v>
      </c>
    </row>
    <row r="9852" customHeight="1" spans="2:2">
      <c r="B9852" s="62" t="str">
        <f>IF(AND('领用录入（明细）'!D:D=$F$4,'领用录入（明细）'!C:C&gt;=$J$4,'领用录入（明细）'!C:C&lt;=$L$4),ROW(),"-")</f>
        <v>-</v>
      </c>
    </row>
    <row r="9853" customHeight="1" spans="2:2">
      <c r="B9853" s="62" t="str">
        <f>IF(AND('领用录入（明细）'!D:D=$F$4,'领用录入（明细）'!C:C&gt;=$J$4,'领用录入（明细）'!C:C&lt;=$L$4),ROW(),"-")</f>
        <v>-</v>
      </c>
    </row>
    <row r="9854" customHeight="1" spans="2:2">
      <c r="B9854" s="62" t="str">
        <f>IF(AND('领用录入（明细）'!D:D=$F$4,'领用录入（明细）'!C:C&gt;=$J$4,'领用录入（明细）'!C:C&lt;=$L$4),ROW(),"-")</f>
        <v>-</v>
      </c>
    </row>
    <row r="9855" customHeight="1" spans="2:2">
      <c r="B9855" s="62" t="str">
        <f>IF(AND('领用录入（明细）'!D:D=$F$4,'领用录入（明细）'!C:C&gt;=$J$4,'领用录入（明细）'!C:C&lt;=$L$4),ROW(),"-")</f>
        <v>-</v>
      </c>
    </row>
    <row r="9856" customHeight="1" spans="2:2">
      <c r="B9856" s="62" t="str">
        <f>IF(AND('领用录入（明细）'!D:D=$F$4,'领用录入（明细）'!C:C&gt;=$J$4,'领用录入（明细）'!C:C&lt;=$L$4),ROW(),"-")</f>
        <v>-</v>
      </c>
    </row>
    <row r="9857" customHeight="1" spans="2:2">
      <c r="B9857" s="62" t="str">
        <f>IF(AND('领用录入（明细）'!D:D=$F$4,'领用录入（明细）'!C:C&gt;=$J$4,'领用录入（明细）'!C:C&lt;=$L$4),ROW(),"-")</f>
        <v>-</v>
      </c>
    </row>
    <row r="9858" customHeight="1" spans="2:2">
      <c r="B9858" s="62" t="str">
        <f>IF(AND('领用录入（明细）'!D:D=$F$4,'领用录入（明细）'!C:C&gt;=$J$4,'领用录入（明细）'!C:C&lt;=$L$4),ROW(),"-")</f>
        <v>-</v>
      </c>
    </row>
    <row r="9859" customHeight="1" spans="2:2">
      <c r="B9859" s="62" t="str">
        <f>IF(AND('领用录入（明细）'!D:D=$F$4,'领用录入（明细）'!C:C&gt;=$J$4,'领用录入（明细）'!C:C&lt;=$L$4),ROW(),"-")</f>
        <v>-</v>
      </c>
    </row>
    <row r="9860" customHeight="1" spans="2:2">
      <c r="B9860" s="62" t="str">
        <f>IF(AND('领用录入（明细）'!D:D=$F$4,'领用录入（明细）'!C:C&gt;=$J$4,'领用录入（明细）'!C:C&lt;=$L$4),ROW(),"-")</f>
        <v>-</v>
      </c>
    </row>
    <row r="9861" customHeight="1" spans="2:2">
      <c r="B9861" s="62" t="str">
        <f>IF(AND('领用录入（明细）'!D:D=$F$4,'领用录入（明细）'!C:C&gt;=$J$4,'领用录入（明细）'!C:C&lt;=$L$4),ROW(),"-")</f>
        <v>-</v>
      </c>
    </row>
    <row r="9862" customHeight="1" spans="2:2">
      <c r="B9862" s="62" t="str">
        <f>IF(AND('领用录入（明细）'!D:D=$F$4,'领用录入（明细）'!C:C&gt;=$J$4,'领用录入（明细）'!C:C&lt;=$L$4),ROW(),"-")</f>
        <v>-</v>
      </c>
    </row>
    <row r="9863" customHeight="1" spans="2:2">
      <c r="B9863" s="62" t="str">
        <f>IF(AND('领用录入（明细）'!D:D=$F$4,'领用录入（明细）'!C:C&gt;=$J$4,'领用录入（明细）'!C:C&lt;=$L$4),ROW(),"-")</f>
        <v>-</v>
      </c>
    </row>
    <row r="9864" customHeight="1" spans="2:2">
      <c r="B9864" s="62" t="str">
        <f>IF(AND('领用录入（明细）'!D:D=$F$4,'领用录入（明细）'!C:C&gt;=$J$4,'领用录入（明细）'!C:C&lt;=$L$4),ROW(),"-")</f>
        <v>-</v>
      </c>
    </row>
    <row r="9865" customHeight="1" spans="2:2">
      <c r="B9865" s="62" t="str">
        <f>IF(AND('领用录入（明细）'!D:D=$F$4,'领用录入（明细）'!C:C&gt;=$J$4,'领用录入（明细）'!C:C&lt;=$L$4),ROW(),"-")</f>
        <v>-</v>
      </c>
    </row>
    <row r="9866" customHeight="1" spans="2:2">
      <c r="B9866" s="62" t="str">
        <f>IF(AND('领用录入（明细）'!D:D=$F$4,'领用录入（明细）'!C:C&gt;=$J$4,'领用录入（明细）'!C:C&lt;=$L$4),ROW(),"-")</f>
        <v>-</v>
      </c>
    </row>
    <row r="9867" customHeight="1" spans="2:2">
      <c r="B9867" s="62" t="str">
        <f>IF(AND('领用录入（明细）'!D:D=$F$4,'领用录入（明细）'!C:C&gt;=$J$4,'领用录入（明细）'!C:C&lt;=$L$4),ROW(),"-")</f>
        <v>-</v>
      </c>
    </row>
    <row r="9868" customHeight="1" spans="2:2">
      <c r="B9868" s="62" t="str">
        <f>IF(AND('领用录入（明细）'!D:D=$F$4,'领用录入（明细）'!C:C&gt;=$J$4,'领用录入（明细）'!C:C&lt;=$L$4),ROW(),"-")</f>
        <v>-</v>
      </c>
    </row>
    <row r="9869" customHeight="1" spans="2:2">
      <c r="B9869" s="62" t="str">
        <f>IF(AND('领用录入（明细）'!D:D=$F$4,'领用录入（明细）'!C:C&gt;=$J$4,'领用录入（明细）'!C:C&lt;=$L$4),ROW(),"-")</f>
        <v>-</v>
      </c>
    </row>
    <row r="9870" customHeight="1" spans="2:2">
      <c r="B9870" s="62" t="str">
        <f>IF(AND('领用录入（明细）'!D:D=$F$4,'领用录入（明细）'!C:C&gt;=$J$4,'领用录入（明细）'!C:C&lt;=$L$4),ROW(),"-")</f>
        <v>-</v>
      </c>
    </row>
    <row r="9871" customHeight="1" spans="2:2">
      <c r="B9871" s="62" t="str">
        <f>IF(AND('领用录入（明细）'!D:D=$F$4,'领用录入（明细）'!C:C&gt;=$J$4,'领用录入（明细）'!C:C&lt;=$L$4),ROW(),"-")</f>
        <v>-</v>
      </c>
    </row>
    <row r="9872" customHeight="1" spans="2:2">
      <c r="B9872" s="62" t="str">
        <f>IF(AND('领用录入（明细）'!D:D=$F$4,'领用录入（明细）'!C:C&gt;=$J$4,'领用录入（明细）'!C:C&lt;=$L$4),ROW(),"-")</f>
        <v>-</v>
      </c>
    </row>
    <row r="9873" customHeight="1" spans="2:2">
      <c r="B9873" s="62" t="str">
        <f>IF(AND('领用录入（明细）'!D:D=$F$4,'领用录入（明细）'!C:C&gt;=$J$4,'领用录入（明细）'!C:C&lt;=$L$4),ROW(),"-")</f>
        <v>-</v>
      </c>
    </row>
    <row r="9874" customHeight="1" spans="2:2">
      <c r="B9874" s="62" t="str">
        <f>IF(AND('领用录入（明细）'!D:D=$F$4,'领用录入（明细）'!C:C&gt;=$J$4,'领用录入（明细）'!C:C&lt;=$L$4),ROW(),"-")</f>
        <v>-</v>
      </c>
    </row>
    <row r="9875" customHeight="1" spans="2:2">
      <c r="B9875" s="62" t="str">
        <f>IF(AND('领用录入（明细）'!D:D=$F$4,'领用录入（明细）'!C:C&gt;=$J$4,'领用录入（明细）'!C:C&lt;=$L$4),ROW(),"-")</f>
        <v>-</v>
      </c>
    </row>
    <row r="9876" customHeight="1" spans="2:2">
      <c r="B9876" s="62" t="str">
        <f>IF(AND('领用录入（明细）'!D:D=$F$4,'领用录入（明细）'!C:C&gt;=$J$4,'领用录入（明细）'!C:C&lt;=$L$4),ROW(),"-")</f>
        <v>-</v>
      </c>
    </row>
    <row r="9877" customHeight="1" spans="2:2">
      <c r="B9877" s="62" t="str">
        <f>IF(AND('领用录入（明细）'!D:D=$F$4,'领用录入（明细）'!C:C&gt;=$J$4,'领用录入（明细）'!C:C&lt;=$L$4),ROW(),"-")</f>
        <v>-</v>
      </c>
    </row>
    <row r="9878" customHeight="1" spans="2:2">
      <c r="B9878" s="62" t="str">
        <f>IF(AND('领用录入（明细）'!D:D=$F$4,'领用录入（明细）'!C:C&gt;=$J$4,'领用录入（明细）'!C:C&lt;=$L$4),ROW(),"-")</f>
        <v>-</v>
      </c>
    </row>
    <row r="9879" customHeight="1" spans="2:2">
      <c r="B9879" s="62" t="str">
        <f>IF(AND('领用录入（明细）'!D:D=$F$4,'领用录入（明细）'!C:C&gt;=$J$4,'领用录入（明细）'!C:C&lt;=$L$4),ROW(),"-")</f>
        <v>-</v>
      </c>
    </row>
    <row r="9880" customHeight="1" spans="2:2">
      <c r="B9880" s="62" t="str">
        <f>IF(AND('领用录入（明细）'!D:D=$F$4,'领用录入（明细）'!C:C&gt;=$J$4,'领用录入（明细）'!C:C&lt;=$L$4),ROW(),"-")</f>
        <v>-</v>
      </c>
    </row>
    <row r="9881" customHeight="1" spans="2:2">
      <c r="B9881" s="62" t="str">
        <f>IF(AND('领用录入（明细）'!D:D=$F$4,'领用录入（明细）'!C:C&gt;=$J$4,'领用录入（明细）'!C:C&lt;=$L$4),ROW(),"-")</f>
        <v>-</v>
      </c>
    </row>
    <row r="9882" customHeight="1" spans="2:2">
      <c r="B9882" s="62" t="str">
        <f>IF(AND('领用录入（明细）'!D:D=$F$4,'领用录入（明细）'!C:C&gt;=$J$4,'领用录入（明细）'!C:C&lt;=$L$4),ROW(),"-")</f>
        <v>-</v>
      </c>
    </row>
    <row r="9883" customHeight="1" spans="2:2">
      <c r="B9883" s="62" t="str">
        <f>IF(AND('领用录入（明细）'!D:D=$F$4,'领用录入（明细）'!C:C&gt;=$J$4,'领用录入（明细）'!C:C&lt;=$L$4),ROW(),"-")</f>
        <v>-</v>
      </c>
    </row>
    <row r="9884" customHeight="1" spans="2:2">
      <c r="B9884" s="62" t="str">
        <f>IF(AND('领用录入（明细）'!D:D=$F$4,'领用录入（明细）'!C:C&gt;=$J$4,'领用录入（明细）'!C:C&lt;=$L$4),ROW(),"-")</f>
        <v>-</v>
      </c>
    </row>
    <row r="9885" customHeight="1" spans="2:2">
      <c r="B9885" s="62" t="str">
        <f>IF(AND('领用录入（明细）'!D:D=$F$4,'领用录入（明细）'!C:C&gt;=$J$4,'领用录入（明细）'!C:C&lt;=$L$4),ROW(),"-")</f>
        <v>-</v>
      </c>
    </row>
    <row r="9886" customHeight="1" spans="2:2">
      <c r="B9886" s="62" t="str">
        <f>IF(AND('领用录入（明细）'!D:D=$F$4,'领用录入（明细）'!C:C&gt;=$J$4,'领用录入（明细）'!C:C&lt;=$L$4),ROW(),"-")</f>
        <v>-</v>
      </c>
    </row>
    <row r="9887" customHeight="1" spans="2:2">
      <c r="B9887" s="62" t="str">
        <f>IF(AND('领用录入（明细）'!D:D=$F$4,'领用录入（明细）'!C:C&gt;=$J$4,'领用录入（明细）'!C:C&lt;=$L$4),ROW(),"-")</f>
        <v>-</v>
      </c>
    </row>
    <row r="9888" customHeight="1" spans="2:2">
      <c r="B9888" s="62" t="str">
        <f>IF(AND('领用录入（明细）'!D:D=$F$4,'领用录入（明细）'!C:C&gt;=$J$4,'领用录入（明细）'!C:C&lt;=$L$4),ROW(),"-")</f>
        <v>-</v>
      </c>
    </row>
    <row r="9889" customHeight="1" spans="2:2">
      <c r="B9889" s="62" t="str">
        <f>IF(AND('领用录入（明细）'!D:D=$F$4,'领用录入（明细）'!C:C&gt;=$J$4,'领用录入（明细）'!C:C&lt;=$L$4),ROW(),"-")</f>
        <v>-</v>
      </c>
    </row>
    <row r="9890" customHeight="1" spans="2:2">
      <c r="B9890" s="62" t="str">
        <f>IF(AND('领用录入（明细）'!D:D=$F$4,'领用录入（明细）'!C:C&gt;=$J$4,'领用录入（明细）'!C:C&lt;=$L$4),ROW(),"-")</f>
        <v>-</v>
      </c>
    </row>
    <row r="9891" customHeight="1" spans="2:2">
      <c r="B9891" s="62" t="str">
        <f>IF(AND('领用录入（明细）'!D:D=$F$4,'领用录入（明细）'!C:C&gt;=$J$4,'领用录入（明细）'!C:C&lt;=$L$4),ROW(),"-")</f>
        <v>-</v>
      </c>
    </row>
    <row r="9892" customHeight="1" spans="2:2">
      <c r="B9892" s="62" t="str">
        <f>IF(AND('领用录入（明细）'!D:D=$F$4,'领用录入（明细）'!C:C&gt;=$J$4,'领用录入（明细）'!C:C&lt;=$L$4),ROW(),"-")</f>
        <v>-</v>
      </c>
    </row>
    <row r="9893" customHeight="1" spans="2:2">
      <c r="B9893" s="62" t="str">
        <f>IF(AND('领用录入（明细）'!D:D=$F$4,'领用录入（明细）'!C:C&gt;=$J$4,'领用录入（明细）'!C:C&lt;=$L$4),ROW(),"-")</f>
        <v>-</v>
      </c>
    </row>
    <row r="9894" customHeight="1" spans="2:2">
      <c r="B9894" s="62" t="str">
        <f>IF(AND('领用录入（明细）'!D:D=$F$4,'领用录入（明细）'!C:C&gt;=$J$4,'领用录入（明细）'!C:C&lt;=$L$4),ROW(),"-")</f>
        <v>-</v>
      </c>
    </row>
    <row r="9895" customHeight="1" spans="2:2">
      <c r="B9895" s="62" t="str">
        <f>IF(AND('领用录入（明细）'!D:D=$F$4,'领用录入（明细）'!C:C&gt;=$J$4,'领用录入（明细）'!C:C&lt;=$L$4),ROW(),"-")</f>
        <v>-</v>
      </c>
    </row>
    <row r="9896" customHeight="1" spans="2:2">
      <c r="B9896" s="62" t="str">
        <f>IF(AND('领用录入（明细）'!D:D=$F$4,'领用录入（明细）'!C:C&gt;=$J$4,'领用录入（明细）'!C:C&lt;=$L$4),ROW(),"-")</f>
        <v>-</v>
      </c>
    </row>
    <row r="9897" customHeight="1" spans="2:2">
      <c r="B9897" s="62" t="str">
        <f>IF(AND('领用录入（明细）'!D:D=$F$4,'领用录入（明细）'!C:C&gt;=$J$4,'领用录入（明细）'!C:C&lt;=$L$4),ROW(),"-")</f>
        <v>-</v>
      </c>
    </row>
    <row r="9898" customHeight="1" spans="2:2">
      <c r="B9898" s="62" t="str">
        <f>IF(AND('领用录入（明细）'!D:D=$F$4,'领用录入（明细）'!C:C&gt;=$J$4,'领用录入（明细）'!C:C&lt;=$L$4),ROW(),"-")</f>
        <v>-</v>
      </c>
    </row>
    <row r="9899" customHeight="1" spans="2:2">
      <c r="B9899" s="62" t="str">
        <f>IF(AND('领用录入（明细）'!D:D=$F$4,'领用录入（明细）'!C:C&gt;=$J$4,'领用录入（明细）'!C:C&lt;=$L$4),ROW(),"-")</f>
        <v>-</v>
      </c>
    </row>
    <row r="9900" customHeight="1" spans="2:2">
      <c r="B9900" s="62" t="str">
        <f>IF(AND('领用录入（明细）'!D:D=$F$4,'领用录入（明细）'!C:C&gt;=$J$4,'领用录入（明细）'!C:C&lt;=$L$4),ROW(),"-")</f>
        <v>-</v>
      </c>
    </row>
    <row r="9901" customHeight="1" spans="2:2">
      <c r="B9901" s="62" t="str">
        <f>IF(AND('领用录入（明细）'!D:D=$F$4,'领用录入（明细）'!C:C&gt;=$J$4,'领用录入（明细）'!C:C&lt;=$L$4),ROW(),"-")</f>
        <v>-</v>
      </c>
    </row>
    <row r="9902" customHeight="1" spans="2:2">
      <c r="B9902" s="62" t="str">
        <f>IF(AND('领用录入（明细）'!D:D=$F$4,'领用录入（明细）'!C:C&gt;=$J$4,'领用录入（明细）'!C:C&lt;=$L$4),ROW(),"-")</f>
        <v>-</v>
      </c>
    </row>
    <row r="9903" customHeight="1" spans="2:2">
      <c r="B9903" s="62" t="str">
        <f>IF(AND('领用录入（明细）'!D:D=$F$4,'领用录入（明细）'!C:C&gt;=$J$4,'领用录入（明细）'!C:C&lt;=$L$4),ROW(),"-")</f>
        <v>-</v>
      </c>
    </row>
    <row r="9904" customHeight="1" spans="2:2">
      <c r="B9904" s="62" t="str">
        <f>IF(AND('领用录入（明细）'!D:D=$F$4,'领用录入（明细）'!C:C&gt;=$J$4,'领用录入（明细）'!C:C&lt;=$L$4),ROW(),"-")</f>
        <v>-</v>
      </c>
    </row>
    <row r="9905" customHeight="1" spans="2:2">
      <c r="B9905" s="62" t="str">
        <f>IF(AND('领用录入（明细）'!D:D=$F$4,'领用录入（明细）'!C:C&gt;=$J$4,'领用录入（明细）'!C:C&lt;=$L$4),ROW(),"-")</f>
        <v>-</v>
      </c>
    </row>
    <row r="9906" customHeight="1" spans="2:2">
      <c r="B9906" s="62" t="str">
        <f>IF(AND('领用录入（明细）'!D:D=$F$4,'领用录入（明细）'!C:C&gt;=$J$4,'领用录入（明细）'!C:C&lt;=$L$4),ROW(),"-")</f>
        <v>-</v>
      </c>
    </row>
    <row r="9907" customHeight="1" spans="2:2">
      <c r="B9907" s="62" t="str">
        <f>IF(AND('领用录入（明细）'!D:D=$F$4,'领用录入（明细）'!C:C&gt;=$J$4,'领用录入（明细）'!C:C&lt;=$L$4),ROW(),"-")</f>
        <v>-</v>
      </c>
    </row>
    <row r="9908" customHeight="1" spans="2:2">
      <c r="B9908" s="62" t="str">
        <f>IF(AND('领用录入（明细）'!D:D=$F$4,'领用录入（明细）'!C:C&gt;=$J$4,'领用录入（明细）'!C:C&lt;=$L$4),ROW(),"-")</f>
        <v>-</v>
      </c>
    </row>
    <row r="9909" customHeight="1" spans="2:2">
      <c r="B9909" s="62" t="str">
        <f>IF(AND('领用录入（明细）'!D:D=$F$4,'领用录入（明细）'!C:C&gt;=$J$4,'领用录入（明细）'!C:C&lt;=$L$4),ROW(),"-")</f>
        <v>-</v>
      </c>
    </row>
    <row r="9910" customHeight="1" spans="2:2">
      <c r="B9910" s="62" t="str">
        <f>IF(AND('领用录入（明细）'!D:D=$F$4,'领用录入（明细）'!C:C&gt;=$J$4,'领用录入（明细）'!C:C&lt;=$L$4),ROW(),"-")</f>
        <v>-</v>
      </c>
    </row>
    <row r="9911" customHeight="1" spans="2:2">
      <c r="B9911" s="62" t="str">
        <f>IF(AND('领用录入（明细）'!D:D=$F$4,'领用录入（明细）'!C:C&gt;=$J$4,'领用录入（明细）'!C:C&lt;=$L$4),ROW(),"-")</f>
        <v>-</v>
      </c>
    </row>
    <row r="9912" customHeight="1" spans="2:2">
      <c r="B9912" s="62" t="str">
        <f>IF(AND('领用录入（明细）'!D:D=$F$4,'领用录入（明细）'!C:C&gt;=$J$4,'领用录入（明细）'!C:C&lt;=$L$4),ROW(),"-")</f>
        <v>-</v>
      </c>
    </row>
    <row r="9913" customHeight="1" spans="2:2">
      <c r="B9913" s="62" t="str">
        <f>IF(AND('领用录入（明细）'!D:D=$F$4,'领用录入（明细）'!C:C&gt;=$J$4,'领用录入（明细）'!C:C&lt;=$L$4),ROW(),"-")</f>
        <v>-</v>
      </c>
    </row>
    <row r="9914" customHeight="1" spans="2:2">
      <c r="B9914" s="62" t="str">
        <f>IF(AND('领用录入（明细）'!D:D=$F$4,'领用录入（明细）'!C:C&gt;=$J$4,'领用录入（明细）'!C:C&lt;=$L$4),ROW(),"-")</f>
        <v>-</v>
      </c>
    </row>
    <row r="9915" customHeight="1" spans="2:2">
      <c r="B9915" s="62" t="str">
        <f>IF(AND('领用录入（明细）'!D:D=$F$4,'领用录入（明细）'!C:C&gt;=$J$4,'领用录入（明细）'!C:C&lt;=$L$4),ROW(),"-")</f>
        <v>-</v>
      </c>
    </row>
    <row r="9916" customHeight="1" spans="2:2">
      <c r="B9916" s="62" t="str">
        <f>IF(AND('领用录入（明细）'!D:D=$F$4,'领用录入（明细）'!C:C&gt;=$J$4,'领用录入（明细）'!C:C&lt;=$L$4),ROW(),"-")</f>
        <v>-</v>
      </c>
    </row>
    <row r="9917" customHeight="1" spans="2:2">
      <c r="B9917" s="62" t="str">
        <f>IF(AND('领用录入（明细）'!D:D=$F$4,'领用录入（明细）'!C:C&gt;=$J$4,'领用录入（明细）'!C:C&lt;=$L$4),ROW(),"-")</f>
        <v>-</v>
      </c>
    </row>
    <row r="9918" customHeight="1" spans="2:2">
      <c r="B9918" s="62" t="str">
        <f>IF(AND('领用录入（明细）'!D:D=$F$4,'领用录入（明细）'!C:C&gt;=$J$4,'领用录入（明细）'!C:C&lt;=$L$4),ROW(),"-")</f>
        <v>-</v>
      </c>
    </row>
    <row r="9919" customHeight="1" spans="2:2">
      <c r="B9919" s="62" t="str">
        <f>IF(AND('领用录入（明细）'!D:D=$F$4,'领用录入（明细）'!C:C&gt;=$J$4,'领用录入（明细）'!C:C&lt;=$L$4),ROW(),"-")</f>
        <v>-</v>
      </c>
    </row>
    <row r="9920" customHeight="1" spans="2:2">
      <c r="B9920" s="62" t="str">
        <f>IF(AND('领用录入（明细）'!D:D=$F$4,'领用录入（明细）'!C:C&gt;=$J$4,'领用录入（明细）'!C:C&lt;=$L$4),ROW(),"-")</f>
        <v>-</v>
      </c>
    </row>
    <row r="9921" customHeight="1" spans="2:2">
      <c r="B9921" s="62" t="str">
        <f>IF(AND('领用录入（明细）'!D:D=$F$4,'领用录入（明细）'!C:C&gt;=$J$4,'领用录入（明细）'!C:C&lt;=$L$4),ROW(),"-")</f>
        <v>-</v>
      </c>
    </row>
    <row r="9922" customHeight="1" spans="2:2">
      <c r="B9922" s="62" t="str">
        <f>IF(AND('领用录入（明细）'!D:D=$F$4,'领用录入（明细）'!C:C&gt;=$J$4,'领用录入（明细）'!C:C&lt;=$L$4),ROW(),"-")</f>
        <v>-</v>
      </c>
    </row>
    <row r="9923" customHeight="1" spans="2:2">
      <c r="B9923" s="62" t="str">
        <f>IF(AND('领用录入（明细）'!D:D=$F$4,'领用录入（明细）'!C:C&gt;=$J$4,'领用录入（明细）'!C:C&lt;=$L$4),ROW(),"-")</f>
        <v>-</v>
      </c>
    </row>
    <row r="9924" customHeight="1" spans="2:2">
      <c r="B9924" s="62" t="str">
        <f>IF(AND('领用录入（明细）'!D:D=$F$4,'领用录入（明细）'!C:C&gt;=$J$4,'领用录入（明细）'!C:C&lt;=$L$4),ROW(),"-")</f>
        <v>-</v>
      </c>
    </row>
    <row r="9925" customHeight="1" spans="2:2">
      <c r="B9925" s="62" t="str">
        <f>IF(AND('领用录入（明细）'!D:D=$F$4,'领用录入（明细）'!C:C&gt;=$J$4,'领用录入（明细）'!C:C&lt;=$L$4),ROW(),"-")</f>
        <v>-</v>
      </c>
    </row>
    <row r="9926" customHeight="1" spans="2:2">
      <c r="B9926" s="62" t="str">
        <f>IF(AND('领用录入（明细）'!D:D=$F$4,'领用录入（明细）'!C:C&gt;=$J$4,'领用录入（明细）'!C:C&lt;=$L$4),ROW(),"-")</f>
        <v>-</v>
      </c>
    </row>
    <row r="9927" customHeight="1" spans="2:2">
      <c r="B9927" s="62" t="str">
        <f>IF(AND('领用录入（明细）'!D:D=$F$4,'领用录入（明细）'!C:C&gt;=$J$4,'领用录入（明细）'!C:C&lt;=$L$4),ROW(),"-")</f>
        <v>-</v>
      </c>
    </row>
    <row r="9928" customHeight="1" spans="2:2">
      <c r="B9928" s="62" t="str">
        <f>IF(AND('领用录入（明细）'!D:D=$F$4,'领用录入（明细）'!C:C&gt;=$J$4,'领用录入（明细）'!C:C&lt;=$L$4),ROW(),"-")</f>
        <v>-</v>
      </c>
    </row>
    <row r="9929" customHeight="1" spans="2:2">
      <c r="B9929" s="62" t="str">
        <f>IF(AND('领用录入（明细）'!D:D=$F$4,'领用录入（明细）'!C:C&gt;=$J$4,'领用录入（明细）'!C:C&lt;=$L$4),ROW(),"-")</f>
        <v>-</v>
      </c>
    </row>
    <row r="9930" customHeight="1" spans="2:2">
      <c r="B9930" s="62" t="str">
        <f>IF(AND('领用录入（明细）'!D:D=$F$4,'领用录入（明细）'!C:C&gt;=$J$4,'领用录入（明细）'!C:C&lt;=$L$4),ROW(),"-")</f>
        <v>-</v>
      </c>
    </row>
    <row r="9931" customHeight="1" spans="2:2">
      <c r="B9931" s="62" t="str">
        <f>IF(AND('领用录入（明细）'!D:D=$F$4,'领用录入（明细）'!C:C&gt;=$J$4,'领用录入（明细）'!C:C&lt;=$L$4),ROW(),"-")</f>
        <v>-</v>
      </c>
    </row>
    <row r="9932" customHeight="1" spans="2:2">
      <c r="B9932" s="62" t="str">
        <f>IF(AND('领用录入（明细）'!D:D=$F$4,'领用录入（明细）'!C:C&gt;=$J$4,'领用录入（明细）'!C:C&lt;=$L$4),ROW(),"-")</f>
        <v>-</v>
      </c>
    </row>
    <row r="9933" customHeight="1" spans="2:2">
      <c r="B9933" s="62" t="str">
        <f>IF(AND('领用录入（明细）'!D:D=$F$4,'领用录入（明细）'!C:C&gt;=$J$4,'领用录入（明细）'!C:C&lt;=$L$4),ROW(),"-")</f>
        <v>-</v>
      </c>
    </row>
    <row r="9934" customHeight="1" spans="2:2">
      <c r="B9934" s="62" t="str">
        <f>IF(AND('领用录入（明细）'!D:D=$F$4,'领用录入（明细）'!C:C&gt;=$J$4,'领用录入（明细）'!C:C&lt;=$L$4),ROW(),"-")</f>
        <v>-</v>
      </c>
    </row>
    <row r="9935" customHeight="1" spans="2:2">
      <c r="B9935" s="62" t="str">
        <f>IF(AND('领用录入（明细）'!D:D=$F$4,'领用录入（明细）'!C:C&gt;=$J$4,'领用录入（明细）'!C:C&lt;=$L$4),ROW(),"-")</f>
        <v>-</v>
      </c>
    </row>
    <row r="9936" customHeight="1" spans="2:2">
      <c r="B9936" s="62" t="str">
        <f>IF(AND('领用录入（明细）'!D:D=$F$4,'领用录入（明细）'!C:C&gt;=$J$4,'领用录入（明细）'!C:C&lt;=$L$4),ROW(),"-")</f>
        <v>-</v>
      </c>
    </row>
    <row r="9937" customHeight="1" spans="2:2">
      <c r="B9937" s="62" t="str">
        <f>IF(AND('领用录入（明细）'!D:D=$F$4,'领用录入（明细）'!C:C&gt;=$J$4,'领用录入（明细）'!C:C&lt;=$L$4),ROW(),"-")</f>
        <v>-</v>
      </c>
    </row>
    <row r="9938" customHeight="1" spans="2:2">
      <c r="B9938" s="62" t="str">
        <f>IF(AND('领用录入（明细）'!D:D=$F$4,'领用录入（明细）'!C:C&gt;=$J$4,'领用录入（明细）'!C:C&lt;=$L$4),ROW(),"-")</f>
        <v>-</v>
      </c>
    </row>
    <row r="9939" customHeight="1" spans="2:2">
      <c r="B9939" s="62" t="str">
        <f>IF(AND('领用录入（明细）'!D:D=$F$4,'领用录入（明细）'!C:C&gt;=$J$4,'领用录入（明细）'!C:C&lt;=$L$4),ROW(),"-")</f>
        <v>-</v>
      </c>
    </row>
    <row r="9940" customHeight="1" spans="2:2">
      <c r="B9940" s="62" t="str">
        <f>IF(AND('领用录入（明细）'!D:D=$F$4,'领用录入（明细）'!C:C&gt;=$J$4,'领用录入（明细）'!C:C&lt;=$L$4),ROW(),"-")</f>
        <v>-</v>
      </c>
    </row>
    <row r="9941" customHeight="1" spans="2:2">
      <c r="B9941" s="62" t="str">
        <f>IF(AND('领用录入（明细）'!D:D=$F$4,'领用录入（明细）'!C:C&gt;=$J$4,'领用录入（明细）'!C:C&lt;=$L$4),ROW(),"-")</f>
        <v>-</v>
      </c>
    </row>
    <row r="9942" customHeight="1" spans="2:2">
      <c r="B9942" s="62" t="str">
        <f>IF(AND('领用录入（明细）'!D:D=$F$4,'领用录入（明细）'!C:C&gt;=$J$4,'领用录入（明细）'!C:C&lt;=$L$4),ROW(),"-")</f>
        <v>-</v>
      </c>
    </row>
    <row r="9943" customHeight="1" spans="2:2">
      <c r="B9943" s="62" t="str">
        <f>IF(AND('领用录入（明细）'!D:D=$F$4,'领用录入（明细）'!C:C&gt;=$J$4,'领用录入（明细）'!C:C&lt;=$L$4),ROW(),"-")</f>
        <v>-</v>
      </c>
    </row>
    <row r="9944" customHeight="1" spans="2:2">
      <c r="B9944" s="62" t="str">
        <f>IF(AND('领用录入（明细）'!D:D=$F$4,'领用录入（明细）'!C:C&gt;=$J$4,'领用录入（明细）'!C:C&lt;=$L$4),ROW(),"-")</f>
        <v>-</v>
      </c>
    </row>
    <row r="9945" customHeight="1" spans="2:2">
      <c r="B9945" s="62" t="str">
        <f>IF(AND('领用录入（明细）'!D:D=$F$4,'领用录入（明细）'!C:C&gt;=$J$4,'领用录入（明细）'!C:C&lt;=$L$4),ROW(),"-")</f>
        <v>-</v>
      </c>
    </row>
    <row r="9946" customHeight="1" spans="2:2">
      <c r="B9946" s="62" t="str">
        <f>IF(AND('领用录入（明细）'!D:D=$F$4,'领用录入（明细）'!C:C&gt;=$J$4,'领用录入（明细）'!C:C&lt;=$L$4),ROW(),"-")</f>
        <v>-</v>
      </c>
    </row>
    <row r="9947" customHeight="1" spans="2:2">
      <c r="B9947" s="62" t="str">
        <f>IF(AND('领用录入（明细）'!D:D=$F$4,'领用录入（明细）'!C:C&gt;=$J$4,'领用录入（明细）'!C:C&lt;=$L$4),ROW(),"-")</f>
        <v>-</v>
      </c>
    </row>
    <row r="9948" customHeight="1" spans="2:2">
      <c r="B9948" s="62" t="str">
        <f>IF(AND('领用录入（明细）'!D:D=$F$4,'领用录入（明细）'!C:C&gt;=$J$4,'领用录入（明细）'!C:C&lt;=$L$4),ROW(),"-")</f>
        <v>-</v>
      </c>
    </row>
    <row r="9949" customHeight="1" spans="2:2">
      <c r="B9949" s="62" t="str">
        <f>IF(AND('领用录入（明细）'!D:D=$F$4,'领用录入（明细）'!C:C&gt;=$J$4,'领用录入（明细）'!C:C&lt;=$L$4),ROW(),"-")</f>
        <v>-</v>
      </c>
    </row>
    <row r="9950" customHeight="1" spans="2:2">
      <c r="B9950" s="62" t="str">
        <f>IF(AND('领用录入（明细）'!D:D=$F$4,'领用录入（明细）'!C:C&gt;=$J$4,'领用录入（明细）'!C:C&lt;=$L$4),ROW(),"-")</f>
        <v>-</v>
      </c>
    </row>
    <row r="9951" customHeight="1" spans="2:2">
      <c r="B9951" s="62" t="str">
        <f>IF(AND('领用录入（明细）'!D:D=$F$4,'领用录入（明细）'!C:C&gt;=$J$4,'领用录入（明细）'!C:C&lt;=$L$4),ROW(),"-")</f>
        <v>-</v>
      </c>
    </row>
    <row r="9952" customHeight="1" spans="2:2">
      <c r="B9952" s="62" t="str">
        <f>IF(AND('领用录入（明细）'!D:D=$F$4,'领用录入（明细）'!C:C&gt;=$J$4,'领用录入（明细）'!C:C&lt;=$L$4),ROW(),"-")</f>
        <v>-</v>
      </c>
    </row>
    <row r="9953" customHeight="1" spans="2:2">
      <c r="B9953" s="62" t="str">
        <f>IF(AND('领用录入（明细）'!D:D=$F$4,'领用录入（明细）'!C:C&gt;=$J$4,'领用录入（明细）'!C:C&lt;=$L$4),ROW(),"-")</f>
        <v>-</v>
      </c>
    </row>
    <row r="9954" customHeight="1" spans="2:2">
      <c r="B9954" s="62" t="str">
        <f>IF(AND('领用录入（明细）'!D:D=$F$4,'领用录入（明细）'!C:C&gt;=$J$4,'领用录入（明细）'!C:C&lt;=$L$4),ROW(),"-")</f>
        <v>-</v>
      </c>
    </row>
    <row r="9955" customHeight="1" spans="2:2">
      <c r="B9955" s="62" t="str">
        <f>IF(AND('领用录入（明细）'!D:D=$F$4,'领用录入（明细）'!C:C&gt;=$J$4,'领用录入（明细）'!C:C&lt;=$L$4),ROW(),"-")</f>
        <v>-</v>
      </c>
    </row>
    <row r="9956" customHeight="1" spans="2:2">
      <c r="B9956" s="62" t="str">
        <f>IF(AND('领用录入（明细）'!D:D=$F$4,'领用录入（明细）'!C:C&gt;=$J$4,'领用录入（明细）'!C:C&lt;=$L$4),ROW(),"-")</f>
        <v>-</v>
      </c>
    </row>
    <row r="9957" customHeight="1" spans="2:2">
      <c r="B9957" s="62" t="str">
        <f>IF(AND('领用录入（明细）'!D:D=$F$4,'领用录入（明细）'!C:C&gt;=$J$4,'领用录入（明细）'!C:C&lt;=$L$4),ROW(),"-")</f>
        <v>-</v>
      </c>
    </row>
    <row r="9958" customHeight="1" spans="2:2">
      <c r="B9958" s="62" t="str">
        <f>IF(AND('领用录入（明细）'!D:D=$F$4,'领用录入（明细）'!C:C&gt;=$J$4,'领用录入（明细）'!C:C&lt;=$L$4),ROW(),"-")</f>
        <v>-</v>
      </c>
    </row>
    <row r="9959" customHeight="1" spans="2:2">
      <c r="B9959" s="62" t="str">
        <f>IF(AND('领用录入（明细）'!D:D=$F$4,'领用录入（明细）'!C:C&gt;=$J$4,'领用录入（明细）'!C:C&lt;=$L$4),ROW(),"-")</f>
        <v>-</v>
      </c>
    </row>
    <row r="9960" customHeight="1" spans="2:2">
      <c r="B9960" s="62" t="str">
        <f>IF(AND('领用录入（明细）'!D:D=$F$4,'领用录入（明细）'!C:C&gt;=$J$4,'领用录入（明细）'!C:C&lt;=$L$4),ROW(),"-")</f>
        <v>-</v>
      </c>
    </row>
    <row r="9961" customHeight="1" spans="2:2">
      <c r="B9961" s="62" t="str">
        <f>IF(AND('领用录入（明细）'!D:D=$F$4,'领用录入（明细）'!C:C&gt;=$J$4,'领用录入（明细）'!C:C&lt;=$L$4),ROW(),"-")</f>
        <v>-</v>
      </c>
    </row>
    <row r="9962" customHeight="1" spans="2:2">
      <c r="B9962" s="62" t="str">
        <f>IF(AND('领用录入（明细）'!D:D=$F$4,'领用录入（明细）'!C:C&gt;=$J$4,'领用录入（明细）'!C:C&lt;=$L$4),ROW(),"-")</f>
        <v>-</v>
      </c>
    </row>
    <row r="9963" customHeight="1" spans="2:2">
      <c r="B9963" s="62" t="str">
        <f>IF(AND('领用录入（明细）'!D:D=$F$4,'领用录入（明细）'!C:C&gt;=$J$4,'领用录入（明细）'!C:C&lt;=$L$4),ROW(),"-")</f>
        <v>-</v>
      </c>
    </row>
    <row r="9964" customHeight="1" spans="2:2">
      <c r="B9964" s="62" t="str">
        <f>IF(AND('领用录入（明细）'!D:D=$F$4,'领用录入（明细）'!C:C&gt;=$J$4,'领用录入（明细）'!C:C&lt;=$L$4),ROW(),"-")</f>
        <v>-</v>
      </c>
    </row>
    <row r="9965" customHeight="1" spans="2:2">
      <c r="B9965" s="62" t="str">
        <f>IF(AND('领用录入（明细）'!D:D=$F$4,'领用录入（明细）'!C:C&gt;=$J$4,'领用录入（明细）'!C:C&lt;=$L$4),ROW(),"-")</f>
        <v>-</v>
      </c>
    </row>
    <row r="9966" customHeight="1" spans="2:2">
      <c r="B9966" s="62" t="str">
        <f>IF(AND('领用录入（明细）'!D:D=$F$4,'领用录入（明细）'!C:C&gt;=$J$4,'领用录入（明细）'!C:C&lt;=$L$4),ROW(),"-")</f>
        <v>-</v>
      </c>
    </row>
    <row r="9967" customHeight="1" spans="2:2">
      <c r="B9967" s="62" t="str">
        <f>IF(AND('领用录入（明细）'!D:D=$F$4,'领用录入（明细）'!C:C&gt;=$J$4,'领用录入（明细）'!C:C&lt;=$L$4),ROW(),"-")</f>
        <v>-</v>
      </c>
    </row>
    <row r="9968" customHeight="1" spans="2:2">
      <c r="B9968" s="62" t="str">
        <f>IF(AND('领用录入（明细）'!D:D=$F$4,'领用录入（明细）'!C:C&gt;=$J$4,'领用录入（明细）'!C:C&lt;=$L$4),ROW(),"-")</f>
        <v>-</v>
      </c>
    </row>
    <row r="9969" customHeight="1" spans="2:2">
      <c r="B9969" s="62" t="str">
        <f>IF(AND('领用录入（明细）'!D:D=$F$4,'领用录入（明细）'!C:C&gt;=$J$4,'领用录入（明细）'!C:C&lt;=$L$4),ROW(),"-")</f>
        <v>-</v>
      </c>
    </row>
    <row r="9970" customHeight="1" spans="2:2">
      <c r="B9970" s="62" t="str">
        <f>IF(AND('领用录入（明细）'!D:D=$F$4,'领用录入（明细）'!C:C&gt;=$J$4,'领用录入（明细）'!C:C&lt;=$L$4),ROW(),"-")</f>
        <v>-</v>
      </c>
    </row>
    <row r="9971" customHeight="1" spans="2:2">
      <c r="B9971" s="62" t="str">
        <f>IF(AND('领用录入（明细）'!D:D=$F$4,'领用录入（明细）'!C:C&gt;=$J$4,'领用录入（明细）'!C:C&lt;=$L$4),ROW(),"-")</f>
        <v>-</v>
      </c>
    </row>
    <row r="9972" customHeight="1" spans="2:2">
      <c r="B9972" s="62" t="str">
        <f>IF(AND('领用录入（明细）'!D:D=$F$4,'领用录入（明细）'!C:C&gt;=$J$4,'领用录入（明细）'!C:C&lt;=$L$4),ROW(),"-")</f>
        <v>-</v>
      </c>
    </row>
    <row r="9973" customHeight="1" spans="2:2">
      <c r="B9973" s="62" t="str">
        <f>IF(AND('领用录入（明细）'!D:D=$F$4,'领用录入（明细）'!C:C&gt;=$J$4,'领用录入（明细）'!C:C&lt;=$L$4),ROW(),"-")</f>
        <v>-</v>
      </c>
    </row>
    <row r="9974" customHeight="1" spans="2:2">
      <c r="B9974" s="62" t="str">
        <f>IF(AND('领用录入（明细）'!D:D=$F$4,'领用录入（明细）'!C:C&gt;=$J$4,'领用录入（明细）'!C:C&lt;=$L$4),ROW(),"-")</f>
        <v>-</v>
      </c>
    </row>
    <row r="9975" customHeight="1" spans="2:2">
      <c r="B9975" s="62" t="str">
        <f>IF(AND('领用录入（明细）'!D:D=$F$4,'领用录入（明细）'!C:C&gt;=$J$4,'领用录入（明细）'!C:C&lt;=$L$4),ROW(),"-")</f>
        <v>-</v>
      </c>
    </row>
    <row r="9976" customHeight="1" spans="2:2">
      <c r="B9976" s="62" t="str">
        <f>IF(AND('领用录入（明细）'!D:D=$F$4,'领用录入（明细）'!C:C&gt;=$J$4,'领用录入（明细）'!C:C&lt;=$L$4),ROW(),"-")</f>
        <v>-</v>
      </c>
    </row>
    <row r="9977" customHeight="1" spans="2:2">
      <c r="B9977" s="62" t="str">
        <f>IF(AND('领用录入（明细）'!D:D=$F$4,'领用录入（明细）'!C:C&gt;=$J$4,'领用录入（明细）'!C:C&lt;=$L$4),ROW(),"-")</f>
        <v>-</v>
      </c>
    </row>
    <row r="9978" customHeight="1" spans="2:2">
      <c r="B9978" s="62" t="str">
        <f>IF(AND('领用录入（明细）'!D:D=$F$4,'领用录入（明细）'!C:C&gt;=$J$4,'领用录入（明细）'!C:C&lt;=$L$4),ROW(),"-")</f>
        <v>-</v>
      </c>
    </row>
    <row r="9979" customHeight="1" spans="2:2">
      <c r="B9979" s="62" t="str">
        <f>IF(AND('领用录入（明细）'!D:D=$F$4,'领用录入（明细）'!C:C&gt;=$J$4,'领用录入（明细）'!C:C&lt;=$L$4),ROW(),"-")</f>
        <v>-</v>
      </c>
    </row>
    <row r="9980" customHeight="1" spans="2:2">
      <c r="B9980" s="62" t="str">
        <f>IF(AND('领用录入（明细）'!D:D=$F$4,'领用录入（明细）'!C:C&gt;=$J$4,'领用录入（明细）'!C:C&lt;=$L$4),ROW(),"-")</f>
        <v>-</v>
      </c>
    </row>
    <row r="9981" customHeight="1" spans="2:2">
      <c r="B9981" s="62" t="str">
        <f>IF(AND('领用录入（明细）'!D:D=$F$4,'领用录入（明细）'!C:C&gt;=$J$4,'领用录入（明细）'!C:C&lt;=$L$4),ROW(),"-")</f>
        <v>-</v>
      </c>
    </row>
    <row r="9982" customHeight="1" spans="2:2">
      <c r="B9982" s="62" t="str">
        <f>IF(AND('领用录入（明细）'!D:D=$F$4,'领用录入（明细）'!C:C&gt;=$J$4,'领用录入（明细）'!C:C&lt;=$L$4),ROW(),"-")</f>
        <v>-</v>
      </c>
    </row>
    <row r="9983" customHeight="1" spans="2:2">
      <c r="B9983" s="62" t="str">
        <f>IF(AND('领用录入（明细）'!D:D=$F$4,'领用录入（明细）'!C:C&gt;=$J$4,'领用录入（明细）'!C:C&lt;=$L$4),ROW(),"-")</f>
        <v>-</v>
      </c>
    </row>
    <row r="9984" customHeight="1" spans="2:2">
      <c r="B9984" s="62" t="str">
        <f>IF(AND('领用录入（明细）'!D:D=$F$4,'领用录入（明细）'!C:C&gt;=$J$4,'领用录入（明细）'!C:C&lt;=$L$4),ROW(),"-")</f>
        <v>-</v>
      </c>
    </row>
    <row r="9985" customHeight="1" spans="2:2">
      <c r="B9985" s="62" t="str">
        <f>IF(AND('领用录入（明细）'!D:D=$F$4,'领用录入（明细）'!C:C&gt;=$J$4,'领用录入（明细）'!C:C&lt;=$L$4),ROW(),"-")</f>
        <v>-</v>
      </c>
    </row>
    <row r="9986" customHeight="1" spans="2:2">
      <c r="B9986" s="62" t="str">
        <f>IF(AND('领用录入（明细）'!D:D=$F$4,'领用录入（明细）'!C:C&gt;=$J$4,'领用录入（明细）'!C:C&lt;=$L$4),ROW(),"-")</f>
        <v>-</v>
      </c>
    </row>
    <row r="9987" customHeight="1" spans="2:2">
      <c r="B9987" s="62" t="str">
        <f>IF(AND('领用录入（明细）'!D:D=$F$4,'领用录入（明细）'!C:C&gt;=$J$4,'领用录入（明细）'!C:C&lt;=$L$4),ROW(),"-")</f>
        <v>-</v>
      </c>
    </row>
    <row r="9988" customHeight="1" spans="2:2">
      <c r="B9988" s="62" t="str">
        <f>IF(AND('领用录入（明细）'!D:D=$F$4,'领用录入（明细）'!C:C&gt;=$J$4,'领用录入（明细）'!C:C&lt;=$L$4),ROW(),"-")</f>
        <v>-</v>
      </c>
    </row>
    <row r="9989" customHeight="1" spans="2:2">
      <c r="B9989" s="62" t="str">
        <f>IF(AND('领用录入（明细）'!D:D=$F$4,'领用录入（明细）'!C:C&gt;=$J$4,'领用录入（明细）'!C:C&lt;=$L$4),ROW(),"-")</f>
        <v>-</v>
      </c>
    </row>
    <row r="9990" customHeight="1" spans="2:2">
      <c r="B9990" s="62" t="str">
        <f>IF(AND('领用录入（明细）'!D:D=$F$4,'领用录入（明细）'!C:C&gt;=$J$4,'领用录入（明细）'!C:C&lt;=$L$4),ROW(),"-")</f>
        <v>-</v>
      </c>
    </row>
    <row r="9991" customHeight="1" spans="2:2">
      <c r="B9991" s="62" t="str">
        <f>IF(AND('领用录入（明细）'!D:D=$F$4,'领用录入（明细）'!C:C&gt;=$J$4,'领用录入（明细）'!C:C&lt;=$L$4),ROW(),"-")</f>
        <v>-</v>
      </c>
    </row>
    <row r="9992" customHeight="1" spans="2:2">
      <c r="B9992" s="62" t="str">
        <f>IF(AND('领用录入（明细）'!D:D=$F$4,'领用录入（明细）'!C:C&gt;=$J$4,'领用录入（明细）'!C:C&lt;=$L$4),ROW(),"-")</f>
        <v>-</v>
      </c>
    </row>
    <row r="9993" customHeight="1" spans="2:2">
      <c r="B9993" s="62" t="str">
        <f>IF(AND('领用录入（明细）'!D:D=$F$4,'领用录入（明细）'!C:C&gt;=$J$4,'领用录入（明细）'!C:C&lt;=$L$4),ROW(),"-")</f>
        <v>-</v>
      </c>
    </row>
    <row r="9994" customHeight="1" spans="2:2">
      <c r="B9994" s="62" t="str">
        <f>IF(AND('领用录入（明细）'!D:D=$F$4,'领用录入（明细）'!C:C&gt;=$J$4,'领用录入（明细）'!C:C&lt;=$L$4),ROW(),"-")</f>
        <v>-</v>
      </c>
    </row>
    <row r="9995" customHeight="1" spans="2:2">
      <c r="B9995" s="62" t="str">
        <f>IF(AND('领用录入（明细）'!D:D=$F$4,'领用录入（明细）'!C:C&gt;=$J$4,'领用录入（明细）'!C:C&lt;=$L$4),ROW(),"-")</f>
        <v>-</v>
      </c>
    </row>
    <row r="9996" customHeight="1" spans="2:2">
      <c r="B9996" s="62" t="str">
        <f>IF(AND('领用录入（明细）'!D:D=$F$4,'领用录入（明细）'!C:C&gt;=$J$4,'领用录入（明细）'!C:C&lt;=$L$4),ROW(),"-")</f>
        <v>-</v>
      </c>
    </row>
    <row r="9997" customHeight="1" spans="2:2">
      <c r="B9997" s="62" t="str">
        <f>IF(AND('领用录入（明细）'!D:D=$F$4,'领用录入（明细）'!C:C&gt;=$J$4,'领用录入（明细）'!C:C&lt;=$L$4),ROW(),"-")</f>
        <v>-</v>
      </c>
    </row>
    <row r="9998" customHeight="1" spans="2:2">
      <c r="B9998" s="62" t="str">
        <f>IF(AND('领用录入（明细）'!D:D=$F$4,'领用录入（明细）'!C:C&gt;=$J$4,'领用录入（明细）'!C:C&lt;=$L$4),ROW(),"-")</f>
        <v>-</v>
      </c>
    </row>
    <row r="9999" customHeight="1" spans="2:2">
      <c r="B9999" s="62" t="str">
        <f>IF(AND('领用录入（明细）'!D:D=$F$4,'领用录入（明细）'!C:C&gt;=$J$4,'领用录入（明细）'!C:C&lt;=$L$4),ROW(),"-")</f>
        <v>-</v>
      </c>
    </row>
    <row r="10000" customHeight="1" spans="2:2">
      <c r="B10000" s="62" t="str">
        <f>IF(AND('领用录入（明细）'!D:D=$F$4,'领用录入（明细）'!C:C&gt;=$J$4,'领用录入（明细）'!C:C&lt;=$L$4),ROW(),"-")</f>
        <v>-</v>
      </c>
    </row>
    <row r="10001" customHeight="1" spans="2:2">
      <c r="B10001" s="62" t="str">
        <f>IF(AND('领用录入（明细）'!D:D=$F$4,'领用录入（明细）'!C:C&gt;=$J$4,'领用录入（明细）'!C:C&lt;=$L$4),ROW(),"-")</f>
        <v>-</v>
      </c>
    </row>
    <row r="10002" customHeight="1" spans="2:2">
      <c r="B10002" s="62" t="str">
        <f>IF(AND('领用录入（明细）'!D:D=$F$4,'领用录入（明细）'!C:C&gt;=$J$4,'领用录入（明细）'!C:C&lt;=$L$4),ROW(),"-")</f>
        <v>-</v>
      </c>
    </row>
    <row r="10003" customHeight="1" spans="2:2">
      <c r="B10003" s="62" t="str">
        <f>IF(AND('领用录入（明细）'!D:D=$F$4,'领用录入（明细）'!C:C&gt;=$J$4,'领用录入（明细）'!C:C&lt;=$L$4),ROW(),"-")</f>
        <v>-</v>
      </c>
    </row>
    <row r="10004" customHeight="1" spans="2:2">
      <c r="B10004" s="62" t="str">
        <f>IF(AND('领用录入（明细）'!D:D=$F$4,'领用录入（明细）'!C:C&gt;=$J$4,'领用录入（明细）'!C:C&lt;=$L$4),ROW(),"-")</f>
        <v>-</v>
      </c>
    </row>
    <row r="10005" customHeight="1" spans="2:2">
      <c r="B10005" s="62" t="str">
        <f>IF(AND('领用录入（明细）'!D:D=$F$4,'领用录入（明细）'!C:C&gt;=$J$4,'领用录入（明细）'!C:C&lt;=$L$4),ROW(),"-")</f>
        <v>-</v>
      </c>
    </row>
    <row r="10006" customHeight="1" spans="2:2">
      <c r="B10006" s="62" t="str">
        <f>IF(AND('领用录入（明细）'!D:D=$F$4,'领用录入（明细）'!C:C&gt;=$J$4,'领用录入（明细）'!C:C&lt;=$L$4),ROW(),"-")</f>
        <v>-</v>
      </c>
    </row>
    <row r="10007" customHeight="1" spans="2:2">
      <c r="B10007" s="62" t="str">
        <f>IF(AND('领用录入（明细）'!D:D=$F$4,'领用录入（明细）'!C:C&gt;=$J$4,'领用录入（明细）'!C:C&lt;=$L$4),ROW(),"-")</f>
        <v>-</v>
      </c>
    </row>
    <row r="10008" customHeight="1" spans="2:2">
      <c r="B10008" s="62" t="str">
        <f>IF(AND('领用录入（明细）'!D:D=$F$4,'领用录入（明细）'!C:C&gt;=$J$4,'领用录入（明细）'!C:C&lt;=$L$4),ROW(),"-")</f>
        <v>-</v>
      </c>
    </row>
    <row r="10009" customHeight="1" spans="2:2">
      <c r="B10009" s="62" t="str">
        <f>IF(AND('领用录入（明细）'!D:D=$F$4,'领用录入（明细）'!C:C&gt;=$J$4,'领用录入（明细）'!C:C&lt;=$L$4),ROW(),"-")</f>
        <v>-</v>
      </c>
    </row>
    <row r="10010" customHeight="1" spans="2:2">
      <c r="B10010" s="62" t="str">
        <f>IF(AND('领用录入（明细）'!D:D=$F$4,'领用录入（明细）'!C:C&gt;=$J$4,'领用录入（明细）'!C:C&lt;=$L$4),ROW(),"-")</f>
        <v>-</v>
      </c>
    </row>
    <row r="10011" customHeight="1" spans="2:2">
      <c r="B10011" s="62" t="str">
        <f>IF(AND('领用录入（明细）'!D:D=$F$4,'领用录入（明细）'!C:C&gt;=$J$4,'领用录入（明细）'!C:C&lt;=$L$4),ROW(),"-")</f>
        <v>-</v>
      </c>
    </row>
    <row r="10012" customHeight="1" spans="2:2">
      <c r="B10012" s="62" t="str">
        <f>IF(AND('领用录入（明细）'!D:D=$F$4,'领用录入（明细）'!C:C&gt;=$J$4,'领用录入（明细）'!C:C&lt;=$L$4),ROW(),"-")</f>
        <v>-</v>
      </c>
    </row>
    <row r="10013" customHeight="1" spans="2:2">
      <c r="B10013" s="62" t="str">
        <f>IF(AND('领用录入（明细）'!D:D=$F$4,'领用录入（明细）'!C:C&gt;=$J$4,'领用录入（明细）'!C:C&lt;=$L$4),ROW(),"-")</f>
        <v>-</v>
      </c>
    </row>
    <row r="10014" customHeight="1" spans="2:2">
      <c r="B10014" s="62" t="str">
        <f>IF(AND('领用录入（明细）'!D:D=$F$4,'领用录入（明细）'!C:C&gt;=$J$4,'领用录入（明细）'!C:C&lt;=$L$4),ROW(),"-")</f>
        <v>-</v>
      </c>
    </row>
    <row r="10015" customHeight="1" spans="2:2">
      <c r="B10015" s="62" t="str">
        <f>IF(AND('领用录入（明细）'!D:D=$F$4,'领用录入（明细）'!C:C&gt;=$J$4,'领用录入（明细）'!C:C&lt;=$L$4),ROW(),"-")</f>
        <v>-</v>
      </c>
    </row>
    <row r="10016" customHeight="1" spans="2:2">
      <c r="B10016" s="62" t="str">
        <f>IF(AND('领用录入（明细）'!D:D=$F$4,'领用录入（明细）'!C:C&gt;=$J$4,'领用录入（明细）'!C:C&lt;=$L$4),ROW(),"-")</f>
        <v>-</v>
      </c>
    </row>
    <row r="10017" customHeight="1" spans="2:2">
      <c r="B10017" s="62" t="str">
        <f>IF(AND('领用录入（明细）'!D:D=$F$4,'领用录入（明细）'!C:C&gt;=$J$4,'领用录入（明细）'!C:C&lt;=$L$4),ROW(),"-")</f>
        <v>-</v>
      </c>
    </row>
    <row r="10018" customHeight="1" spans="2:2">
      <c r="B10018" s="62" t="str">
        <f>IF(AND('领用录入（明细）'!D:D=$F$4,'领用录入（明细）'!C:C&gt;=$J$4,'领用录入（明细）'!C:C&lt;=$L$4),ROW(),"-")</f>
        <v>-</v>
      </c>
    </row>
    <row r="10019" customHeight="1" spans="2:2">
      <c r="B10019" s="62" t="str">
        <f>IF(AND('领用录入（明细）'!D:D=$F$4,'领用录入（明细）'!C:C&gt;=$J$4,'领用录入（明细）'!C:C&lt;=$L$4),ROW(),"-")</f>
        <v>-</v>
      </c>
    </row>
    <row r="10020" customHeight="1" spans="2:2">
      <c r="B10020" s="62" t="str">
        <f>IF(AND('领用录入（明细）'!D:D=$F$4,'领用录入（明细）'!C:C&gt;=$J$4,'领用录入（明细）'!C:C&lt;=$L$4),ROW(),"-")</f>
        <v>-</v>
      </c>
    </row>
    <row r="10021" customHeight="1" spans="2:2">
      <c r="B10021" s="62" t="str">
        <f>IF(AND('领用录入（明细）'!D:D=$F$4,'领用录入（明细）'!C:C&gt;=$J$4,'领用录入（明细）'!C:C&lt;=$L$4),ROW(),"-")</f>
        <v>-</v>
      </c>
    </row>
    <row r="10022" customHeight="1" spans="2:2">
      <c r="B10022" s="62" t="str">
        <f>IF(AND('领用录入（明细）'!D:D=$F$4,'领用录入（明细）'!C:C&gt;=$J$4,'领用录入（明细）'!C:C&lt;=$L$4),ROW(),"-")</f>
        <v>-</v>
      </c>
    </row>
    <row r="10023" customHeight="1" spans="2:2">
      <c r="B10023" s="62" t="str">
        <f>IF(AND('领用录入（明细）'!D:D=$F$4,'领用录入（明细）'!C:C&gt;=$J$4,'领用录入（明细）'!C:C&lt;=$L$4),ROW(),"-")</f>
        <v>-</v>
      </c>
    </row>
    <row r="10024" customHeight="1" spans="2:2">
      <c r="B10024" s="62" t="str">
        <f>IF(AND('领用录入（明细）'!D:D=$F$4,'领用录入（明细）'!C:C&gt;=$J$4,'领用录入（明细）'!C:C&lt;=$L$4),ROW(),"-")</f>
        <v>-</v>
      </c>
    </row>
    <row r="10025" customHeight="1" spans="2:2">
      <c r="B10025" s="62" t="str">
        <f>IF(AND('领用录入（明细）'!D:D=$F$4,'领用录入（明细）'!C:C&gt;=$J$4,'领用录入（明细）'!C:C&lt;=$L$4),ROW(),"-")</f>
        <v>-</v>
      </c>
    </row>
    <row r="10026" customHeight="1" spans="2:2">
      <c r="B10026" s="62" t="str">
        <f>IF(AND('领用录入（明细）'!D:D=$F$4,'领用录入（明细）'!C:C&gt;=$J$4,'领用录入（明细）'!C:C&lt;=$L$4),ROW(),"-")</f>
        <v>-</v>
      </c>
    </row>
    <row r="10027" customHeight="1" spans="2:2">
      <c r="B10027" s="62" t="str">
        <f>IF(AND('领用录入（明细）'!D:D=$F$4,'领用录入（明细）'!C:C&gt;=$J$4,'领用录入（明细）'!C:C&lt;=$L$4),ROW(),"-")</f>
        <v>-</v>
      </c>
    </row>
    <row r="10028" customHeight="1" spans="2:2">
      <c r="B10028" s="62" t="str">
        <f>IF(AND('领用录入（明细）'!D:D=$F$4,'领用录入（明细）'!C:C&gt;=$J$4,'领用录入（明细）'!C:C&lt;=$L$4),ROW(),"-")</f>
        <v>-</v>
      </c>
    </row>
    <row r="10029" customHeight="1" spans="2:2">
      <c r="B10029" s="62" t="str">
        <f>IF(AND('领用录入（明细）'!D:D=$F$4,'领用录入（明细）'!C:C&gt;=$J$4,'领用录入（明细）'!C:C&lt;=$L$4),ROW(),"-")</f>
        <v>-</v>
      </c>
    </row>
    <row r="10030" customHeight="1" spans="2:2">
      <c r="B10030" s="62" t="str">
        <f>IF(AND('领用录入（明细）'!D:D=$F$4,'领用录入（明细）'!C:C&gt;=$J$4,'领用录入（明细）'!C:C&lt;=$L$4),ROW(),"-")</f>
        <v>-</v>
      </c>
    </row>
    <row r="10031" customHeight="1" spans="2:2">
      <c r="B10031" s="62" t="str">
        <f>IF(AND('领用录入（明细）'!D:D=$F$4,'领用录入（明细）'!C:C&gt;=$J$4,'领用录入（明细）'!C:C&lt;=$L$4),ROW(),"-")</f>
        <v>-</v>
      </c>
    </row>
    <row r="10032" customHeight="1" spans="2:2">
      <c r="B10032" s="62" t="str">
        <f>IF(AND('领用录入（明细）'!D:D=$F$4,'领用录入（明细）'!C:C&gt;=$J$4,'领用录入（明细）'!C:C&lt;=$L$4),ROW(),"-")</f>
        <v>-</v>
      </c>
    </row>
    <row r="10033" customHeight="1" spans="2:2">
      <c r="B10033" s="62" t="str">
        <f>IF(AND('领用录入（明细）'!D:D=$F$4,'领用录入（明细）'!C:C&gt;=$J$4,'领用录入（明细）'!C:C&lt;=$L$4),ROW(),"-")</f>
        <v>-</v>
      </c>
    </row>
    <row r="10034" customHeight="1" spans="2:2">
      <c r="B10034" s="62" t="str">
        <f>IF(AND('领用录入（明细）'!D:D=$F$4,'领用录入（明细）'!C:C&gt;=$J$4,'领用录入（明细）'!C:C&lt;=$L$4),ROW(),"-")</f>
        <v>-</v>
      </c>
    </row>
    <row r="10035" customHeight="1" spans="2:2">
      <c r="B10035" s="62" t="str">
        <f>IF(AND('领用录入（明细）'!D:D=$F$4,'领用录入（明细）'!C:C&gt;=$J$4,'领用录入（明细）'!C:C&lt;=$L$4),ROW(),"-")</f>
        <v>-</v>
      </c>
    </row>
    <row r="10036" customHeight="1" spans="2:2">
      <c r="B10036" s="62" t="str">
        <f>IF(AND('领用录入（明细）'!D:D=$F$4,'领用录入（明细）'!C:C&gt;=$J$4,'领用录入（明细）'!C:C&lt;=$L$4),ROW(),"-")</f>
        <v>-</v>
      </c>
    </row>
    <row r="10037" customHeight="1" spans="2:2">
      <c r="B10037" s="62" t="str">
        <f>IF(AND('领用录入（明细）'!D:D=$F$4,'领用录入（明细）'!C:C&gt;=$J$4,'领用录入（明细）'!C:C&lt;=$L$4),ROW(),"-")</f>
        <v>-</v>
      </c>
    </row>
    <row r="10038" customHeight="1" spans="2:2">
      <c r="B10038" s="62" t="str">
        <f>IF(AND('领用录入（明细）'!D:D=$F$4,'领用录入（明细）'!C:C&gt;=$J$4,'领用录入（明细）'!C:C&lt;=$L$4),ROW(),"-")</f>
        <v>-</v>
      </c>
    </row>
    <row r="10039" customHeight="1" spans="2:2">
      <c r="B10039" s="62" t="str">
        <f>IF(AND('领用录入（明细）'!D:D=$F$4,'领用录入（明细）'!C:C&gt;=$J$4,'领用录入（明细）'!C:C&lt;=$L$4),ROW(),"-")</f>
        <v>-</v>
      </c>
    </row>
    <row r="10040" customHeight="1" spans="2:2">
      <c r="B10040" s="62" t="str">
        <f>IF(AND('领用录入（明细）'!D:D=$F$4,'领用录入（明细）'!C:C&gt;=$J$4,'领用录入（明细）'!C:C&lt;=$L$4),ROW(),"-")</f>
        <v>-</v>
      </c>
    </row>
    <row r="10041" customHeight="1" spans="2:2">
      <c r="B10041" s="62" t="str">
        <f>IF(AND('领用录入（明细）'!D:D=$F$4,'领用录入（明细）'!C:C&gt;=$J$4,'领用录入（明细）'!C:C&lt;=$L$4),ROW(),"-")</f>
        <v>-</v>
      </c>
    </row>
    <row r="10042" customHeight="1" spans="2:2">
      <c r="B10042" s="62" t="str">
        <f>IF(AND('领用录入（明细）'!D:D=$F$4,'领用录入（明细）'!C:C&gt;=$J$4,'领用录入（明细）'!C:C&lt;=$L$4),ROW(),"-")</f>
        <v>-</v>
      </c>
    </row>
    <row r="10043" customHeight="1" spans="2:2">
      <c r="B10043" s="62" t="str">
        <f>IF(AND('领用录入（明细）'!D:D=$F$4,'领用录入（明细）'!C:C&gt;=$J$4,'领用录入（明细）'!C:C&lt;=$L$4),ROW(),"-")</f>
        <v>-</v>
      </c>
    </row>
    <row r="10044" customHeight="1" spans="2:2">
      <c r="B10044" s="62" t="str">
        <f>IF(AND('领用录入（明细）'!D:D=$F$4,'领用录入（明细）'!C:C&gt;=$J$4,'领用录入（明细）'!C:C&lt;=$L$4),ROW(),"-")</f>
        <v>-</v>
      </c>
    </row>
    <row r="10045" customHeight="1" spans="2:2">
      <c r="B10045" s="62" t="str">
        <f>IF(AND('领用录入（明细）'!D:D=$F$4,'领用录入（明细）'!C:C&gt;=$J$4,'领用录入（明细）'!C:C&lt;=$L$4),ROW(),"-")</f>
        <v>-</v>
      </c>
    </row>
    <row r="10046" customHeight="1" spans="2:2">
      <c r="B10046" s="62" t="str">
        <f>IF(AND('领用录入（明细）'!D:D=$F$4,'领用录入（明细）'!C:C&gt;=$J$4,'领用录入（明细）'!C:C&lt;=$L$4),ROW(),"-")</f>
        <v>-</v>
      </c>
    </row>
    <row r="10047" customHeight="1" spans="2:2">
      <c r="B10047" s="62" t="str">
        <f>IF(AND('领用录入（明细）'!D:D=$F$4,'领用录入（明细）'!C:C&gt;=$J$4,'领用录入（明细）'!C:C&lt;=$L$4),ROW(),"-")</f>
        <v>-</v>
      </c>
    </row>
    <row r="10048" customHeight="1" spans="2:2">
      <c r="B10048" s="62" t="str">
        <f>IF(AND('领用录入（明细）'!D:D=$F$4,'领用录入（明细）'!C:C&gt;=$J$4,'领用录入（明细）'!C:C&lt;=$L$4),ROW(),"-")</f>
        <v>-</v>
      </c>
    </row>
    <row r="10049" customHeight="1" spans="2:2">
      <c r="B10049" s="62" t="str">
        <f>IF(AND('领用录入（明细）'!D:D=$F$4,'领用录入（明细）'!C:C&gt;=$J$4,'领用录入（明细）'!C:C&lt;=$L$4),ROW(),"-")</f>
        <v>-</v>
      </c>
    </row>
    <row r="10050" customHeight="1" spans="2:2">
      <c r="B10050" s="62" t="str">
        <f>IF(AND('领用录入（明细）'!D:D=$F$4,'领用录入（明细）'!C:C&gt;=$J$4,'领用录入（明细）'!C:C&lt;=$L$4),ROW(),"-")</f>
        <v>-</v>
      </c>
    </row>
    <row r="10051" customHeight="1" spans="2:2">
      <c r="B10051" s="62" t="str">
        <f>IF(AND('领用录入（明细）'!D:D=$F$4,'领用录入（明细）'!C:C&gt;=$J$4,'领用录入（明细）'!C:C&lt;=$L$4),ROW(),"-")</f>
        <v>-</v>
      </c>
    </row>
    <row r="10052" customHeight="1" spans="2:2">
      <c r="B10052" s="62" t="str">
        <f>IF(AND('领用录入（明细）'!D:D=$F$4,'领用录入（明细）'!C:C&gt;=$J$4,'领用录入（明细）'!C:C&lt;=$L$4),ROW(),"-")</f>
        <v>-</v>
      </c>
    </row>
    <row r="10053" customHeight="1" spans="2:2">
      <c r="B10053" s="62" t="str">
        <f>IF(AND('领用录入（明细）'!D:D=$F$4,'领用录入（明细）'!C:C&gt;=$J$4,'领用录入（明细）'!C:C&lt;=$L$4),ROW(),"-")</f>
        <v>-</v>
      </c>
    </row>
    <row r="10054" customHeight="1" spans="2:2">
      <c r="B10054" s="62" t="str">
        <f>IF(AND('领用录入（明细）'!D:D=$F$4,'领用录入（明细）'!C:C&gt;=$J$4,'领用录入（明细）'!C:C&lt;=$L$4),ROW(),"-")</f>
        <v>-</v>
      </c>
    </row>
    <row r="10055" customHeight="1" spans="2:2">
      <c r="B10055" s="62" t="str">
        <f>IF(AND('领用录入（明细）'!D:D=$F$4,'领用录入（明细）'!C:C&gt;=$J$4,'领用录入（明细）'!C:C&lt;=$L$4),ROW(),"-")</f>
        <v>-</v>
      </c>
    </row>
    <row r="10056" customHeight="1" spans="2:2">
      <c r="B10056" s="62" t="str">
        <f>IF(AND('领用录入（明细）'!D:D=$F$4,'领用录入（明细）'!C:C&gt;=$J$4,'领用录入（明细）'!C:C&lt;=$L$4),ROW(),"-")</f>
        <v>-</v>
      </c>
    </row>
    <row r="10057" customHeight="1" spans="2:2">
      <c r="B10057" s="62" t="str">
        <f>IF(AND('领用录入（明细）'!D:D=$F$4,'领用录入（明细）'!C:C&gt;=$J$4,'领用录入（明细）'!C:C&lt;=$L$4),ROW(),"-")</f>
        <v>-</v>
      </c>
    </row>
    <row r="10058" customHeight="1" spans="2:2">
      <c r="B10058" s="62" t="str">
        <f>IF(AND('领用录入（明细）'!D:D=$F$4,'领用录入（明细）'!C:C&gt;=$J$4,'领用录入（明细）'!C:C&lt;=$L$4),ROW(),"-")</f>
        <v>-</v>
      </c>
    </row>
    <row r="10059" customHeight="1" spans="2:2">
      <c r="B10059" s="62" t="str">
        <f>IF(AND('领用录入（明细）'!D:D=$F$4,'领用录入（明细）'!C:C&gt;=$J$4,'领用录入（明细）'!C:C&lt;=$L$4),ROW(),"-")</f>
        <v>-</v>
      </c>
    </row>
    <row r="10060" customHeight="1" spans="2:2">
      <c r="B10060" s="62" t="str">
        <f>IF(AND('领用录入（明细）'!D:D=$F$4,'领用录入（明细）'!C:C&gt;=$J$4,'领用录入（明细）'!C:C&lt;=$L$4),ROW(),"-")</f>
        <v>-</v>
      </c>
    </row>
    <row r="10061" customHeight="1" spans="2:2">
      <c r="B10061" s="62" t="str">
        <f>IF(AND('领用录入（明细）'!D:D=$F$4,'领用录入（明细）'!C:C&gt;=$J$4,'领用录入（明细）'!C:C&lt;=$L$4),ROW(),"-")</f>
        <v>-</v>
      </c>
    </row>
    <row r="10062" customHeight="1" spans="2:2">
      <c r="B10062" s="62" t="str">
        <f>IF(AND('领用录入（明细）'!D:D=$F$4,'领用录入（明细）'!C:C&gt;=$J$4,'领用录入（明细）'!C:C&lt;=$L$4),ROW(),"-")</f>
        <v>-</v>
      </c>
    </row>
    <row r="10063" customHeight="1" spans="2:2">
      <c r="B10063" s="62" t="str">
        <f>IF(AND('领用录入（明细）'!D:D=$F$4,'领用录入（明细）'!C:C&gt;=$J$4,'领用录入（明细）'!C:C&lt;=$L$4),ROW(),"-")</f>
        <v>-</v>
      </c>
    </row>
    <row r="10064" customHeight="1" spans="2:2">
      <c r="B10064" s="62" t="str">
        <f>IF(AND('领用录入（明细）'!D:D=$F$4,'领用录入（明细）'!C:C&gt;=$J$4,'领用录入（明细）'!C:C&lt;=$L$4),ROW(),"-")</f>
        <v>-</v>
      </c>
    </row>
    <row r="10065" customHeight="1" spans="2:2">
      <c r="B10065" s="62" t="str">
        <f>IF(AND('领用录入（明细）'!D:D=$F$4,'领用录入（明细）'!C:C&gt;=$J$4,'领用录入（明细）'!C:C&lt;=$L$4),ROW(),"-")</f>
        <v>-</v>
      </c>
    </row>
    <row r="10066" customHeight="1" spans="2:2">
      <c r="B10066" s="62" t="str">
        <f>IF(AND('领用录入（明细）'!D:D=$F$4,'领用录入（明细）'!C:C&gt;=$J$4,'领用录入（明细）'!C:C&lt;=$L$4),ROW(),"-")</f>
        <v>-</v>
      </c>
    </row>
    <row r="10067" customHeight="1" spans="2:2">
      <c r="B10067" s="62" t="str">
        <f>IF(AND('领用录入（明细）'!D:D=$F$4,'领用录入（明细）'!C:C&gt;=$J$4,'领用录入（明细）'!C:C&lt;=$L$4),ROW(),"-")</f>
        <v>-</v>
      </c>
    </row>
    <row r="10068" customHeight="1" spans="2:2">
      <c r="B10068" s="62" t="str">
        <f>IF(AND('领用录入（明细）'!D:D=$F$4,'领用录入（明细）'!C:C&gt;=$J$4,'领用录入（明细）'!C:C&lt;=$L$4),ROW(),"-")</f>
        <v>-</v>
      </c>
    </row>
    <row r="10069" customHeight="1" spans="2:2">
      <c r="B10069" s="62" t="str">
        <f>IF(AND('领用录入（明细）'!D:D=$F$4,'领用录入（明细）'!C:C&gt;=$J$4,'领用录入（明细）'!C:C&lt;=$L$4),ROW(),"-")</f>
        <v>-</v>
      </c>
    </row>
    <row r="10070" customHeight="1" spans="2:2">
      <c r="B10070" s="62" t="str">
        <f>IF(AND('领用录入（明细）'!D:D=$F$4,'领用录入（明细）'!C:C&gt;=$J$4,'领用录入（明细）'!C:C&lt;=$L$4),ROW(),"-")</f>
        <v>-</v>
      </c>
    </row>
    <row r="10071" customHeight="1" spans="2:2">
      <c r="B10071" s="62" t="str">
        <f>IF(AND('领用录入（明细）'!D:D=$F$4,'领用录入（明细）'!C:C&gt;=$J$4,'领用录入（明细）'!C:C&lt;=$L$4),ROW(),"-")</f>
        <v>-</v>
      </c>
    </row>
    <row r="10072" customHeight="1" spans="2:2">
      <c r="B10072" s="62" t="str">
        <f>IF(AND('领用录入（明细）'!D:D=$F$4,'领用录入（明细）'!C:C&gt;=$J$4,'领用录入（明细）'!C:C&lt;=$L$4),ROW(),"-")</f>
        <v>-</v>
      </c>
    </row>
    <row r="10073" customHeight="1" spans="2:2">
      <c r="B10073" s="62" t="str">
        <f>IF(AND('领用录入（明细）'!D:D=$F$4,'领用录入（明细）'!C:C&gt;=$J$4,'领用录入（明细）'!C:C&lt;=$L$4),ROW(),"-")</f>
        <v>-</v>
      </c>
    </row>
    <row r="10074" customHeight="1" spans="2:2">
      <c r="B10074" s="62" t="str">
        <f>IF(AND('领用录入（明细）'!D:D=$F$4,'领用录入（明细）'!C:C&gt;=$J$4,'领用录入（明细）'!C:C&lt;=$L$4),ROW(),"-")</f>
        <v>-</v>
      </c>
    </row>
    <row r="10075" customHeight="1" spans="2:2">
      <c r="B10075" s="62" t="str">
        <f>IF(AND('领用录入（明细）'!D:D=$F$4,'领用录入（明细）'!C:C&gt;=$J$4,'领用录入（明细）'!C:C&lt;=$L$4),ROW(),"-")</f>
        <v>-</v>
      </c>
    </row>
    <row r="10076" customHeight="1" spans="2:2">
      <c r="B10076" s="62" t="str">
        <f>IF(AND('领用录入（明细）'!D:D=$F$4,'领用录入（明细）'!C:C&gt;=$J$4,'领用录入（明细）'!C:C&lt;=$L$4),ROW(),"-")</f>
        <v>-</v>
      </c>
    </row>
    <row r="10077" customHeight="1" spans="2:2">
      <c r="B10077" s="62" t="str">
        <f>IF(AND('领用录入（明细）'!D:D=$F$4,'领用录入（明细）'!C:C&gt;=$J$4,'领用录入（明细）'!C:C&lt;=$L$4),ROW(),"-")</f>
        <v>-</v>
      </c>
    </row>
    <row r="10078" customHeight="1" spans="2:2">
      <c r="B10078" s="62" t="str">
        <f>IF(AND('领用录入（明细）'!D:D=$F$4,'领用录入（明细）'!C:C&gt;=$J$4,'领用录入（明细）'!C:C&lt;=$L$4),ROW(),"-")</f>
        <v>-</v>
      </c>
    </row>
    <row r="10079" customHeight="1" spans="2:2">
      <c r="B10079" s="62" t="str">
        <f>IF(AND('领用录入（明细）'!D:D=$F$4,'领用录入（明细）'!C:C&gt;=$J$4,'领用录入（明细）'!C:C&lt;=$L$4),ROW(),"-")</f>
        <v>-</v>
      </c>
    </row>
    <row r="10080" customHeight="1" spans="2:2">
      <c r="B10080" s="62" t="str">
        <f>IF(AND('领用录入（明细）'!D:D=$F$4,'领用录入（明细）'!C:C&gt;=$J$4,'领用录入（明细）'!C:C&lt;=$L$4),ROW(),"-")</f>
        <v>-</v>
      </c>
    </row>
    <row r="10081" customHeight="1" spans="2:2">
      <c r="B10081" s="62" t="str">
        <f>IF(AND('领用录入（明细）'!D:D=$F$4,'领用录入（明细）'!C:C&gt;=$J$4,'领用录入（明细）'!C:C&lt;=$L$4),ROW(),"-")</f>
        <v>-</v>
      </c>
    </row>
    <row r="10082" customHeight="1" spans="2:2">
      <c r="B10082" s="62" t="str">
        <f>IF(AND('领用录入（明细）'!D:D=$F$4,'领用录入（明细）'!C:C&gt;=$J$4,'领用录入（明细）'!C:C&lt;=$L$4),ROW(),"-")</f>
        <v>-</v>
      </c>
    </row>
    <row r="10083" customHeight="1" spans="2:2">
      <c r="B10083" s="62" t="str">
        <f>IF(AND('领用录入（明细）'!D:D=$F$4,'领用录入（明细）'!C:C&gt;=$J$4,'领用录入（明细）'!C:C&lt;=$L$4),ROW(),"-")</f>
        <v>-</v>
      </c>
    </row>
    <row r="10084" customHeight="1" spans="2:2">
      <c r="B10084" s="62" t="str">
        <f>IF(AND('领用录入（明细）'!D:D=$F$4,'领用录入（明细）'!C:C&gt;=$J$4,'领用录入（明细）'!C:C&lt;=$L$4),ROW(),"-")</f>
        <v>-</v>
      </c>
    </row>
    <row r="10085" customHeight="1" spans="2:2">
      <c r="B10085" s="62" t="str">
        <f>IF(AND('领用录入（明细）'!D:D=$F$4,'领用录入（明细）'!C:C&gt;=$J$4,'领用录入（明细）'!C:C&lt;=$L$4),ROW(),"-")</f>
        <v>-</v>
      </c>
    </row>
    <row r="10086" customHeight="1" spans="2:2">
      <c r="B10086" s="62" t="str">
        <f>IF(AND('领用录入（明细）'!D:D=$F$4,'领用录入（明细）'!C:C&gt;=$J$4,'领用录入（明细）'!C:C&lt;=$L$4),ROW(),"-")</f>
        <v>-</v>
      </c>
    </row>
    <row r="10087" customHeight="1" spans="2:2">
      <c r="B10087" s="62" t="str">
        <f>IF(AND('领用录入（明细）'!D:D=$F$4,'领用录入（明细）'!C:C&gt;=$J$4,'领用录入（明细）'!C:C&lt;=$L$4),ROW(),"-")</f>
        <v>-</v>
      </c>
    </row>
    <row r="10088" customHeight="1" spans="2:2">
      <c r="B10088" s="62" t="str">
        <f>IF(AND('领用录入（明细）'!D:D=$F$4,'领用录入（明细）'!C:C&gt;=$J$4,'领用录入（明细）'!C:C&lt;=$L$4),ROW(),"-")</f>
        <v>-</v>
      </c>
    </row>
    <row r="10089" customHeight="1" spans="2:2">
      <c r="B10089" s="62" t="str">
        <f>IF(AND('领用录入（明细）'!D:D=$F$4,'领用录入（明细）'!C:C&gt;=$J$4,'领用录入（明细）'!C:C&lt;=$L$4),ROW(),"-")</f>
        <v>-</v>
      </c>
    </row>
    <row r="10090" customHeight="1" spans="2:2">
      <c r="B10090" s="62" t="str">
        <f>IF(AND('领用录入（明细）'!D:D=$F$4,'领用录入（明细）'!C:C&gt;=$J$4,'领用录入（明细）'!C:C&lt;=$L$4),ROW(),"-")</f>
        <v>-</v>
      </c>
    </row>
    <row r="10091" customHeight="1" spans="2:2">
      <c r="B10091" s="62" t="str">
        <f>IF(AND('领用录入（明细）'!D:D=$F$4,'领用录入（明细）'!C:C&gt;=$J$4,'领用录入（明细）'!C:C&lt;=$L$4),ROW(),"-")</f>
        <v>-</v>
      </c>
    </row>
    <row r="10092" customHeight="1" spans="2:2">
      <c r="B10092" s="62" t="str">
        <f>IF(AND('领用录入（明细）'!D:D=$F$4,'领用录入（明细）'!C:C&gt;=$J$4,'领用录入（明细）'!C:C&lt;=$L$4),ROW(),"-")</f>
        <v>-</v>
      </c>
    </row>
    <row r="10093" customHeight="1" spans="2:2">
      <c r="B10093" s="62" t="str">
        <f>IF(AND('领用录入（明细）'!D:D=$F$4,'领用录入（明细）'!C:C&gt;=$J$4,'领用录入（明细）'!C:C&lt;=$L$4),ROW(),"-")</f>
        <v>-</v>
      </c>
    </row>
    <row r="10094" customHeight="1" spans="2:2">
      <c r="B10094" s="62" t="str">
        <f>IF(AND('领用录入（明细）'!D:D=$F$4,'领用录入（明细）'!C:C&gt;=$J$4,'领用录入（明细）'!C:C&lt;=$L$4),ROW(),"-")</f>
        <v>-</v>
      </c>
    </row>
    <row r="10095" customHeight="1" spans="2:2">
      <c r="B10095" s="62" t="str">
        <f>IF(AND('领用录入（明细）'!D:D=$F$4,'领用录入（明细）'!C:C&gt;=$J$4,'领用录入（明细）'!C:C&lt;=$L$4),ROW(),"-")</f>
        <v>-</v>
      </c>
    </row>
    <row r="10096" customHeight="1" spans="2:2">
      <c r="B10096" s="62" t="str">
        <f>IF(AND('领用录入（明细）'!D:D=$F$4,'领用录入（明细）'!C:C&gt;=$J$4,'领用录入（明细）'!C:C&lt;=$L$4),ROW(),"-")</f>
        <v>-</v>
      </c>
    </row>
    <row r="10097" customHeight="1" spans="2:2">
      <c r="B10097" s="62" t="str">
        <f>IF(AND('领用录入（明细）'!D:D=$F$4,'领用录入（明细）'!C:C&gt;=$J$4,'领用录入（明细）'!C:C&lt;=$L$4),ROW(),"-")</f>
        <v>-</v>
      </c>
    </row>
    <row r="10098" customHeight="1" spans="2:2">
      <c r="B10098" s="62" t="str">
        <f>IF(AND('领用录入（明细）'!D:D=$F$4,'领用录入（明细）'!C:C&gt;=$J$4,'领用录入（明细）'!C:C&lt;=$L$4),ROW(),"-")</f>
        <v>-</v>
      </c>
    </row>
    <row r="10099" customHeight="1" spans="2:2">
      <c r="B10099" s="62" t="str">
        <f>IF(AND('领用录入（明细）'!D:D=$F$4,'领用录入（明细）'!C:C&gt;=$J$4,'领用录入（明细）'!C:C&lt;=$L$4),ROW(),"-")</f>
        <v>-</v>
      </c>
    </row>
    <row r="10100" customHeight="1" spans="2:2">
      <c r="B10100" s="62" t="str">
        <f>IF(AND('领用录入（明细）'!D:D=$F$4,'领用录入（明细）'!C:C&gt;=$J$4,'领用录入（明细）'!C:C&lt;=$L$4),ROW(),"-")</f>
        <v>-</v>
      </c>
    </row>
    <row r="10101" customHeight="1" spans="2:2">
      <c r="B10101" s="62" t="str">
        <f>IF(AND('领用录入（明细）'!D:D=$F$4,'领用录入（明细）'!C:C&gt;=$J$4,'领用录入（明细）'!C:C&lt;=$L$4),ROW(),"-")</f>
        <v>-</v>
      </c>
    </row>
    <row r="10102" customHeight="1" spans="2:2">
      <c r="B10102" s="62" t="str">
        <f>IF(AND('领用录入（明细）'!D:D=$F$4,'领用录入（明细）'!C:C&gt;=$J$4,'领用录入（明细）'!C:C&lt;=$L$4),ROW(),"-")</f>
        <v>-</v>
      </c>
    </row>
    <row r="10103" customHeight="1" spans="2:2">
      <c r="B10103" s="62" t="str">
        <f>IF(AND('领用录入（明细）'!D:D=$F$4,'领用录入（明细）'!C:C&gt;=$J$4,'领用录入（明细）'!C:C&lt;=$L$4),ROW(),"-")</f>
        <v>-</v>
      </c>
    </row>
    <row r="10104" customHeight="1" spans="2:2">
      <c r="B10104" s="62" t="str">
        <f>IF(AND('领用录入（明细）'!D:D=$F$4,'领用录入（明细）'!C:C&gt;=$J$4,'领用录入（明细）'!C:C&lt;=$L$4),ROW(),"-")</f>
        <v>-</v>
      </c>
    </row>
    <row r="10105" customHeight="1" spans="2:2">
      <c r="B10105" s="62" t="str">
        <f>IF(AND('领用录入（明细）'!D:D=$F$4,'领用录入（明细）'!C:C&gt;=$J$4,'领用录入（明细）'!C:C&lt;=$L$4),ROW(),"-")</f>
        <v>-</v>
      </c>
    </row>
    <row r="10106" customHeight="1" spans="2:2">
      <c r="B10106" s="62" t="str">
        <f>IF(AND('领用录入（明细）'!D:D=$F$4,'领用录入（明细）'!C:C&gt;=$J$4,'领用录入（明细）'!C:C&lt;=$L$4),ROW(),"-")</f>
        <v>-</v>
      </c>
    </row>
    <row r="10107" customHeight="1" spans="2:2">
      <c r="B10107" s="62" t="str">
        <f>IF(AND('领用录入（明细）'!D:D=$F$4,'领用录入（明细）'!C:C&gt;=$J$4,'领用录入（明细）'!C:C&lt;=$L$4),ROW(),"-")</f>
        <v>-</v>
      </c>
    </row>
    <row r="10108" customHeight="1" spans="2:2">
      <c r="B10108" s="62" t="str">
        <f>IF(AND('领用录入（明细）'!D:D=$F$4,'领用录入（明细）'!C:C&gt;=$J$4,'领用录入（明细）'!C:C&lt;=$L$4),ROW(),"-")</f>
        <v>-</v>
      </c>
    </row>
    <row r="10109" customHeight="1" spans="2:2">
      <c r="B10109" s="62" t="str">
        <f>IF(AND('领用录入（明细）'!D:D=$F$4,'领用录入（明细）'!C:C&gt;=$J$4,'领用录入（明细）'!C:C&lt;=$L$4),ROW(),"-")</f>
        <v>-</v>
      </c>
    </row>
    <row r="10110" customHeight="1" spans="2:2">
      <c r="B10110" s="62" t="str">
        <f>IF(AND('领用录入（明细）'!D:D=$F$4,'领用录入（明细）'!C:C&gt;=$J$4,'领用录入（明细）'!C:C&lt;=$L$4),ROW(),"-")</f>
        <v>-</v>
      </c>
    </row>
    <row r="10111" customHeight="1" spans="2:2">
      <c r="B10111" s="62" t="str">
        <f>IF(AND('领用录入（明细）'!D:D=$F$4,'领用录入（明细）'!C:C&gt;=$J$4,'领用录入（明细）'!C:C&lt;=$L$4),ROW(),"-")</f>
        <v>-</v>
      </c>
    </row>
    <row r="10112" customHeight="1" spans="2:2">
      <c r="B10112" s="62" t="str">
        <f>IF(AND('领用录入（明细）'!D:D=$F$4,'领用录入（明细）'!C:C&gt;=$J$4,'领用录入（明细）'!C:C&lt;=$L$4),ROW(),"-")</f>
        <v>-</v>
      </c>
    </row>
    <row r="10113" customHeight="1" spans="2:2">
      <c r="B10113" s="62" t="str">
        <f>IF(AND('领用录入（明细）'!D:D=$F$4,'领用录入（明细）'!C:C&gt;=$J$4,'领用录入（明细）'!C:C&lt;=$L$4),ROW(),"-")</f>
        <v>-</v>
      </c>
    </row>
    <row r="10114" customHeight="1" spans="2:2">
      <c r="B10114" s="62" t="str">
        <f>IF(AND('领用录入（明细）'!D:D=$F$4,'领用录入（明细）'!C:C&gt;=$J$4,'领用录入（明细）'!C:C&lt;=$L$4),ROW(),"-")</f>
        <v>-</v>
      </c>
    </row>
    <row r="10115" customHeight="1" spans="2:2">
      <c r="B10115" s="62" t="str">
        <f>IF(AND('领用录入（明细）'!D:D=$F$4,'领用录入（明细）'!C:C&gt;=$J$4,'领用录入（明细）'!C:C&lt;=$L$4),ROW(),"-")</f>
        <v>-</v>
      </c>
    </row>
    <row r="10116" customHeight="1" spans="2:2">
      <c r="B10116" s="62" t="str">
        <f>IF(AND('领用录入（明细）'!D:D=$F$4,'领用录入（明细）'!C:C&gt;=$J$4,'领用录入（明细）'!C:C&lt;=$L$4),ROW(),"-")</f>
        <v>-</v>
      </c>
    </row>
    <row r="10117" customHeight="1" spans="2:2">
      <c r="B10117" s="62" t="str">
        <f>IF(AND('领用录入（明细）'!D:D=$F$4,'领用录入（明细）'!C:C&gt;=$J$4,'领用录入（明细）'!C:C&lt;=$L$4),ROW(),"-")</f>
        <v>-</v>
      </c>
    </row>
    <row r="10118" customHeight="1" spans="2:2">
      <c r="B10118" s="62" t="str">
        <f>IF(AND('领用录入（明细）'!D:D=$F$4,'领用录入（明细）'!C:C&gt;=$J$4,'领用录入（明细）'!C:C&lt;=$L$4),ROW(),"-")</f>
        <v>-</v>
      </c>
    </row>
    <row r="10119" customHeight="1" spans="2:2">
      <c r="B10119" s="62" t="str">
        <f>IF(AND('领用录入（明细）'!D:D=$F$4,'领用录入（明细）'!C:C&gt;=$J$4,'领用录入（明细）'!C:C&lt;=$L$4),ROW(),"-")</f>
        <v>-</v>
      </c>
    </row>
    <row r="10120" customHeight="1" spans="2:2">
      <c r="B10120" s="62" t="str">
        <f>IF(AND('领用录入（明细）'!D:D=$F$4,'领用录入（明细）'!C:C&gt;=$J$4,'领用录入（明细）'!C:C&lt;=$L$4),ROW(),"-")</f>
        <v>-</v>
      </c>
    </row>
    <row r="10121" customHeight="1" spans="2:2">
      <c r="B10121" s="62" t="str">
        <f>IF(AND('领用录入（明细）'!D:D=$F$4,'领用录入（明细）'!C:C&gt;=$J$4,'领用录入（明细）'!C:C&lt;=$L$4),ROW(),"-")</f>
        <v>-</v>
      </c>
    </row>
    <row r="10122" customHeight="1" spans="2:2">
      <c r="B10122" s="62" t="str">
        <f>IF(AND('领用录入（明细）'!D:D=$F$4,'领用录入（明细）'!C:C&gt;=$J$4,'领用录入（明细）'!C:C&lt;=$L$4),ROW(),"-")</f>
        <v>-</v>
      </c>
    </row>
    <row r="10123" customHeight="1" spans="2:2">
      <c r="B10123" s="62" t="str">
        <f>IF(AND('领用录入（明细）'!D:D=$F$4,'领用录入（明细）'!C:C&gt;=$J$4,'领用录入（明细）'!C:C&lt;=$L$4),ROW(),"-")</f>
        <v>-</v>
      </c>
    </row>
    <row r="10124" customHeight="1" spans="2:2">
      <c r="B10124" s="62" t="str">
        <f>IF(AND('领用录入（明细）'!D:D=$F$4,'领用录入（明细）'!C:C&gt;=$J$4,'领用录入（明细）'!C:C&lt;=$L$4),ROW(),"-")</f>
        <v>-</v>
      </c>
    </row>
    <row r="10125" customHeight="1" spans="2:2">
      <c r="B10125" s="62" t="str">
        <f>IF(AND('领用录入（明细）'!D:D=$F$4,'领用录入（明细）'!C:C&gt;=$J$4,'领用录入（明细）'!C:C&lt;=$L$4),ROW(),"-")</f>
        <v>-</v>
      </c>
    </row>
    <row r="10126" customHeight="1" spans="2:2">
      <c r="B10126" s="62" t="str">
        <f>IF(AND('领用录入（明细）'!D:D=$F$4,'领用录入（明细）'!C:C&gt;=$J$4,'领用录入（明细）'!C:C&lt;=$L$4),ROW(),"-")</f>
        <v>-</v>
      </c>
    </row>
    <row r="10127" customHeight="1" spans="2:2">
      <c r="B10127" s="62" t="str">
        <f>IF(AND('领用录入（明细）'!D:D=$F$4,'领用录入（明细）'!C:C&gt;=$J$4,'领用录入（明细）'!C:C&lt;=$L$4),ROW(),"-")</f>
        <v>-</v>
      </c>
    </row>
    <row r="10128" customHeight="1" spans="2:2">
      <c r="B10128" s="62" t="str">
        <f>IF(AND('领用录入（明细）'!D:D=$F$4,'领用录入（明细）'!C:C&gt;=$J$4,'领用录入（明细）'!C:C&lt;=$L$4),ROW(),"-")</f>
        <v>-</v>
      </c>
    </row>
    <row r="10129" customHeight="1" spans="2:2">
      <c r="B10129" s="62" t="str">
        <f>IF(AND('领用录入（明细）'!D:D=$F$4,'领用录入（明细）'!C:C&gt;=$J$4,'领用录入（明细）'!C:C&lt;=$L$4),ROW(),"-")</f>
        <v>-</v>
      </c>
    </row>
    <row r="10130" customHeight="1" spans="2:2">
      <c r="B10130" s="62" t="str">
        <f>IF(AND('领用录入（明细）'!D:D=$F$4,'领用录入（明细）'!C:C&gt;=$J$4,'领用录入（明细）'!C:C&lt;=$L$4),ROW(),"-")</f>
        <v>-</v>
      </c>
    </row>
    <row r="10131" customHeight="1" spans="2:2">
      <c r="B10131" s="62" t="str">
        <f>IF(AND('领用录入（明细）'!D:D=$F$4,'领用录入（明细）'!C:C&gt;=$J$4,'领用录入（明细）'!C:C&lt;=$L$4),ROW(),"-")</f>
        <v>-</v>
      </c>
    </row>
    <row r="10132" customHeight="1" spans="2:2">
      <c r="B10132" s="62" t="str">
        <f>IF(AND('领用录入（明细）'!D:D=$F$4,'领用录入（明细）'!C:C&gt;=$J$4,'领用录入（明细）'!C:C&lt;=$L$4),ROW(),"-")</f>
        <v>-</v>
      </c>
    </row>
    <row r="10133" customHeight="1" spans="2:2">
      <c r="B10133" s="62" t="str">
        <f>IF(AND('领用录入（明细）'!D:D=$F$4,'领用录入（明细）'!C:C&gt;=$J$4,'领用录入（明细）'!C:C&lt;=$L$4),ROW(),"-")</f>
        <v>-</v>
      </c>
    </row>
    <row r="10134" customHeight="1" spans="2:2">
      <c r="B10134" s="62" t="str">
        <f>IF(AND('领用录入（明细）'!D:D=$F$4,'领用录入（明细）'!C:C&gt;=$J$4,'领用录入（明细）'!C:C&lt;=$L$4),ROW(),"-")</f>
        <v>-</v>
      </c>
    </row>
    <row r="10135" customHeight="1" spans="2:2">
      <c r="B10135" s="62" t="str">
        <f>IF(AND('领用录入（明细）'!D:D=$F$4,'领用录入（明细）'!C:C&gt;=$J$4,'领用录入（明细）'!C:C&lt;=$L$4),ROW(),"-")</f>
        <v>-</v>
      </c>
    </row>
    <row r="10136" customHeight="1" spans="2:2">
      <c r="B10136" s="62" t="str">
        <f>IF(AND('领用录入（明细）'!D:D=$F$4,'领用录入（明细）'!C:C&gt;=$J$4,'领用录入（明细）'!C:C&lt;=$L$4),ROW(),"-")</f>
        <v>-</v>
      </c>
    </row>
    <row r="10137" customHeight="1" spans="2:2">
      <c r="B10137" s="62" t="str">
        <f>IF(AND('领用录入（明细）'!D:D=$F$4,'领用录入（明细）'!C:C&gt;=$J$4,'领用录入（明细）'!C:C&lt;=$L$4),ROW(),"-")</f>
        <v>-</v>
      </c>
    </row>
    <row r="10138" customHeight="1" spans="2:2">
      <c r="B10138" s="62" t="str">
        <f>IF(AND('领用录入（明细）'!D:D=$F$4,'领用录入（明细）'!C:C&gt;=$J$4,'领用录入（明细）'!C:C&lt;=$L$4),ROW(),"-")</f>
        <v>-</v>
      </c>
    </row>
    <row r="10139" customHeight="1" spans="2:2">
      <c r="B10139" s="62" t="str">
        <f>IF(AND('领用录入（明细）'!D:D=$F$4,'领用录入（明细）'!C:C&gt;=$J$4,'领用录入（明细）'!C:C&lt;=$L$4),ROW(),"-")</f>
        <v>-</v>
      </c>
    </row>
    <row r="10140" customHeight="1" spans="2:2">
      <c r="B10140" s="62" t="str">
        <f>IF(AND('领用录入（明细）'!D:D=$F$4,'领用录入（明细）'!C:C&gt;=$J$4,'领用录入（明细）'!C:C&lt;=$L$4),ROW(),"-")</f>
        <v>-</v>
      </c>
    </row>
    <row r="10141" customHeight="1" spans="2:2">
      <c r="B10141" s="62" t="str">
        <f>IF(AND('领用录入（明细）'!D:D=$F$4,'领用录入（明细）'!C:C&gt;=$J$4,'领用录入（明细）'!C:C&lt;=$L$4),ROW(),"-")</f>
        <v>-</v>
      </c>
    </row>
    <row r="10142" customHeight="1" spans="2:2">
      <c r="B10142" s="62" t="str">
        <f>IF(AND('领用录入（明细）'!D:D=$F$4,'领用录入（明细）'!C:C&gt;=$J$4,'领用录入（明细）'!C:C&lt;=$L$4),ROW(),"-")</f>
        <v>-</v>
      </c>
    </row>
    <row r="10143" customHeight="1" spans="2:2">
      <c r="B10143" s="62" t="str">
        <f>IF(AND('领用录入（明细）'!D:D=$F$4,'领用录入（明细）'!C:C&gt;=$J$4,'领用录入（明细）'!C:C&lt;=$L$4),ROW(),"-")</f>
        <v>-</v>
      </c>
    </row>
    <row r="10144" customHeight="1" spans="2:2">
      <c r="B10144" s="62" t="str">
        <f>IF(AND('领用录入（明细）'!D:D=$F$4,'领用录入（明细）'!C:C&gt;=$J$4,'领用录入（明细）'!C:C&lt;=$L$4),ROW(),"-")</f>
        <v>-</v>
      </c>
    </row>
    <row r="10145" customHeight="1" spans="2:2">
      <c r="B10145" s="62" t="str">
        <f>IF(AND('领用录入（明细）'!D:D=$F$4,'领用录入（明细）'!C:C&gt;=$J$4,'领用录入（明细）'!C:C&lt;=$L$4),ROW(),"-")</f>
        <v>-</v>
      </c>
    </row>
    <row r="10146" customHeight="1" spans="2:2">
      <c r="B10146" s="62" t="str">
        <f>IF(AND('领用录入（明细）'!D:D=$F$4,'领用录入（明细）'!C:C&gt;=$J$4,'领用录入（明细）'!C:C&lt;=$L$4),ROW(),"-")</f>
        <v>-</v>
      </c>
    </row>
    <row r="10147" customHeight="1" spans="2:2">
      <c r="B10147" s="62" t="str">
        <f>IF(AND('领用录入（明细）'!D:D=$F$4,'领用录入（明细）'!C:C&gt;=$J$4,'领用录入（明细）'!C:C&lt;=$L$4),ROW(),"-")</f>
        <v>-</v>
      </c>
    </row>
    <row r="10148" customHeight="1" spans="2:2">
      <c r="B10148" s="62" t="str">
        <f>IF(AND('领用录入（明细）'!D:D=$F$4,'领用录入（明细）'!C:C&gt;=$J$4,'领用录入（明细）'!C:C&lt;=$L$4),ROW(),"-")</f>
        <v>-</v>
      </c>
    </row>
    <row r="10149" customHeight="1" spans="2:2">
      <c r="B10149" s="62" t="str">
        <f>IF(AND('领用录入（明细）'!D:D=$F$4,'领用录入（明细）'!C:C&gt;=$J$4,'领用录入（明细）'!C:C&lt;=$L$4),ROW(),"-")</f>
        <v>-</v>
      </c>
    </row>
    <row r="10150" customHeight="1" spans="2:2">
      <c r="B10150" s="62" t="str">
        <f>IF(AND('领用录入（明细）'!D:D=$F$4,'领用录入（明细）'!C:C&gt;=$J$4,'领用录入（明细）'!C:C&lt;=$L$4),ROW(),"-")</f>
        <v>-</v>
      </c>
    </row>
    <row r="10151" customHeight="1" spans="2:2">
      <c r="B10151" s="62" t="str">
        <f>IF(AND('领用录入（明细）'!D:D=$F$4,'领用录入（明细）'!C:C&gt;=$J$4,'领用录入（明细）'!C:C&lt;=$L$4),ROW(),"-")</f>
        <v>-</v>
      </c>
    </row>
    <row r="10152" customHeight="1" spans="2:2">
      <c r="B10152" s="62" t="str">
        <f>IF(AND('领用录入（明细）'!D:D=$F$4,'领用录入（明细）'!C:C&gt;=$J$4,'领用录入（明细）'!C:C&lt;=$L$4),ROW(),"-")</f>
        <v>-</v>
      </c>
    </row>
    <row r="10153" customHeight="1" spans="2:2">
      <c r="B10153" s="62" t="str">
        <f>IF(AND('领用录入（明细）'!D:D=$F$4,'领用录入（明细）'!C:C&gt;=$J$4,'领用录入（明细）'!C:C&lt;=$L$4),ROW(),"-")</f>
        <v>-</v>
      </c>
    </row>
    <row r="10154" customHeight="1" spans="2:2">
      <c r="B10154" s="62" t="str">
        <f>IF(AND('领用录入（明细）'!D:D=$F$4,'领用录入（明细）'!C:C&gt;=$J$4,'领用录入（明细）'!C:C&lt;=$L$4),ROW(),"-")</f>
        <v>-</v>
      </c>
    </row>
    <row r="10155" customHeight="1" spans="2:2">
      <c r="B10155" s="62" t="str">
        <f>IF(AND('领用录入（明细）'!D:D=$F$4,'领用录入（明细）'!C:C&gt;=$J$4,'领用录入（明细）'!C:C&lt;=$L$4),ROW(),"-")</f>
        <v>-</v>
      </c>
    </row>
    <row r="10156" customHeight="1" spans="2:2">
      <c r="B10156" s="62" t="str">
        <f>IF(AND('领用录入（明细）'!D:D=$F$4,'领用录入（明细）'!C:C&gt;=$J$4,'领用录入（明细）'!C:C&lt;=$L$4),ROW(),"-")</f>
        <v>-</v>
      </c>
    </row>
    <row r="10157" customHeight="1" spans="2:2">
      <c r="B10157" s="62" t="str">
        <f>IF(AND('领用录入（明细）'!D:D=$F$4,'领用录入（明细）'!C:C&gt;=$J$4,'领用录入（明细）'!C:C&lt;=$L$4),ROW(),"-")</f>
        <v>-</v>
      </c>
    </row>
    <row r="10158" customHeight="1" spans="2:2">
      <c r="B10158" s="62" t="str">
        <f>IF(AND('领用录入（明细）'!D:D=$F$4,'领用录入（明细）'!C:C&gt;=$J$4,'领用录入（明细）'!C:C&lt;=$L$4),ROW(),"-")</f>
        <v>-</v>
      </c>
    </row>
    <row r="10159" customHeight="1" spans="2:2">
      <c r="B10159" s="62" t="str">
        <f>IF(AND('领用录入（明细）'!D:D=$F$4,'领用录入（明细）'!C:C&gt;=$J$4,'领用录入（明细）'!C:C&lt;=$L$4),ROW(),"-")</f>
        <v>-</v>
      </c>
    </row>
    <row r="10160" customHeight="1" spans="2:2">
      <c r="B10160" s="62" t="str">
        <f>IF(AND('领用录入（明细）'!D:D=$F$4,'领用录入（明细）'!C:C&gt;=$J$4,'领用录入（明细）'!C:C&lt;=$L$4),ROW(),"-")</f>
        <v>-</v>
      </c>
    </row>
    <row r="10161" customHeight="1" spans="2:2">
      <c r="B10161" s="62" t="str">
        <f>IF(AND('领用录入（明细）'!D:D=$F$4,'领用录入（明细）'!C:C&gt;=$J$4,'领用录入（明细）'!C:C&lt;=$L$4),ROW(),"-")</f>
        <v>-</v>
      </c>
    </row>
    <row r="10162" customHeight="1" spans="2:2">
      <c r="B10162" s="62" t="str">
        <f>IF(AND('领用录入（明细）'!D:D=$F$4,'领用录入（明细）'!C:C&gt;=$J$4,'领用录入（明细）'!C:C&lt;=$L$4),ROW(),"-")</f>
        <v>-</v>
      </c>
    </row>
    <row r="10163" customHeight="1" spans="2:2">
      <c r="B10163" s="62" t="str">
        <f>IF(AND('领用录入（明细）'!D:D=$F$4,'领用录入（明细）'!C:C&gt;=$J$4,'领用录入（明细）'!C:C&lt;=$L$4),ROW(),"-")</f>
        <v>-</v>
      </c>
    </row>
    <row r="10164" customHeight="1" spans="2:2">
      <c r="B10164" s="62" t="str">
        <f>IF(AND('领用录入（明细）'!D:D=$F$4,'领用录入（明细）'!C:C&gt;=$J$4,'领用录入（明细）'!C:C&lt;=$L$4),ROW(),"-")</f>
        <v>-</v>
      </c>
    </row>
    <row r="10165" customHeight="1" spans="2:2">
      <c r="B10165" s="62" t="str">
        <f>IF(AND('领用录入（明细）'!D:D=$F$4,'领用录入（明细）'!C:C&gt;=$J$4,'领用录入（明细）'!C:C&lt;=$L$4),ROW(),"-")</f>
        <v>-</v>
      </c>
    </row>
    <row r="10166" customHeight="1" spans="2:2">
      <c r="B10166" s="62" t="str">
        <f>IF(AND('领用录入（明细）'!D:D=$F$4,'领用录入（明细）'!C:C&gt;=$J$4,'领用录入（明细）'!C:C&lt;=$L$4),ROW(),"-")</f>
        <v>-</v>
      </c>
    </row>
    <row r="10167" customHeight="1" spans="2:2">
      <c r="B10167" s="62" t="str">
        <f>IF(AND('领用录入（明细）'!D:D=$F$4,'领用录入（明细）'!C:C&gt;=$J$4,'领用录入（明细）'!C:C&lt;=$L$4),ROW(),"-")</f>
        <v>-</v>
      </c>
    </row>
    <row r="10168" customHeight="1" spans="2:2">
      <c r="B10168" s="62" t="str">
        <f>IF(AND('领用录入（明细）'!D:D=$F$4,'领用录入（明细）'!C:C&gt;=$J$4,'领用录入（明细）'!C:C&lt;=$L$4),ROW(),"-")</f>
        <v>-</v>
      </c>
    </row>
    <row r="10169" customHeight="1" spans="2:2">
      <c r="B10169" s="62" t="str">
        <f>IF(AND('领用录入（明细）'!D:D=$F$4,'领用录入（明细）'!C:C&gt;=$J$4,'领用录入（明细）'!C:C&lt;=$L$4),ROW(),"-")</f>
        <v>-</v>
      </c>
    </row>
    <row r="10170" customHeight="1" spans="2:2">
      <c r="B10170" s="62" t="str">
        <f>IF(AND('领用录入（明细）'!D:D=$F$4,'领用录入（明细）'!C:C&gt;=$J$4,'领用录入（明细）'!C:C&lt;=$L$4),ROW(),"-")</f>
        <v>-</v>
      </c>
    </row>
    <row r="10171" customHeight="1" spans="2:2">
      <c r="B10171" s="62" t="str">
        <f>IF(AND('领用录入（明细）'!D:D=$F$4,'领用录入（明细）'!C:C&gt;=$J$4,'领用录入（明细）'!C:C&lt;=$L$4),ROW(),"-")</f>
        <v>-</v>
      </c>
    </row>
    <row r="10172" customHeight="1" spans="2:2">
      <c r="B10172" s="62" t="str">
        <f>IF(AND('领用录入（明细）'!D:D=$F$4,'领用录入（明细）'!C:C&gt;=$J$4,'领用录入（明细）'!C:C&lt;=$L$4),ROW(),"-")</f>
        <v>-</v>
      </c>
    </row>
    <row r="10173" customHeight="1" spans="2:2">
      <c r="B10173" s="62" t="str">
        <f>IF(AND('领用录入（明细）'!D:D=$F$4,'领用录入（明细）'!C:C&gt;=$J$4,'领用录入（明细）'!C:C&lt;=$L$4),ROW(),"-")</f>
        <v>-</v>
      </c>
    </row>
    <row r="10174" customHeight="1" spans="2:2">
      <c r="B10174" s="62" t="str">
        <f>IF(AND('领用录入（明细）'!D:D=$F$4,'领用录入（明细）'!C:C&gt;=$J$4,'领用录入（明细）'!C:C&lt;=$L$4),ROW(),"-")</f>
        <v>-</v>
      </c>
    </row>
    <row r="10175" customHeight="1" spans="2:2">
      <c r="B10175" s="62" t="str">
        <f>IF(AND('领用录入（明细）'!D:D=$F$4,'领用录入（明细）'!C:C&gt;=$J$4,'领用录入（明细）'!C:C&lt;=$L$4),ROW(),"-")</f>
        <v>-</v>
      </c>
    </row>
    <row r="10176" customHeight="1" spans="2:2">
      <c r="B10176" s="62" t="str">
        <f>IF(AND('领用录入（明细）'!D:D=$F$4,'领用录入（明细）'!C:C&gt;=$J$4,'领用录入（明细）'!C:C&lt;=$L$4),ROW(),"-")</f>
        <v>-</v>
      </c>
    </row>
    <row r="10177" customHeight="1" spans="2:2">
      <c r="B10177" s="62" t="str">
        <f>IF(AND('领用录入（明细）'!D:D=$F$4,'领用录入（明细）'!C:C&gt;=$J$4,'领用录入（明细）'!C:C&lt;=$L$4),ROW(),"-")</f>
        <v>-</v>
      </c>
    </row>
    <row r="10178" customHeight="1" spans="2:2">
      <c r="B10178" s="62" t="str">
        <f>IF(AND('领用录入（明细）'!D:D=$F$4,'领用录入（明细）'!C:C&gt;=$J$4,'领用录入（明细）'!C:C&lt;=$L$4),ROW(),"-")</f>
        <v>-</v>
      </c>
    </row>
    <row r="10179" customHeight="1" spans="2:2">
      <c r="B10179" s="62" t="str">
        <f>IF(AND('领用录入（明细）'!D:D=$F$4,'领用录入（明细）'!C:C&gt;=$J$4,'领用录入（明细）'!C:C&lt;=$L$4),ROW(),"-")</f>
        <v>-</v>
      </c>
    </row>
    <row r="10180" customHeight="1" spans="2:2">
      <c r="B10180" s="62" t="str">
        <f>IF(AND('领用录入（明细）'!D:D=$F$4,'领用录入（明细）'!C:C&gt;=$J$4,'领用录入（明细）'!C:C&lt;=$L$4),ROW(),"-")</f>
        <v>-</v>
      </c>
    </row>
    <row r="10181" customHeight="1" spans="2:2">
      <c r="B10181" s="62" t="str">
        <f>IF(AND('领用录入（明细）'!D:D=$F$4,'领用录入（明细）'!C:C&gt;=$J$4,'领用录入（明细）'!C:C&lt;=$L$4),ROW(),"-")</f>
        <v>-</v>
      </c>
    </row>
    <row r="10182" customHeight="1" spans="2:2">
      <c r="B10182" s="62" t="str">
        <f>IF(AND('领用录入（明细）'!D:D=$F$4,'领用录入（明细）'!C:C&gt;=$J$4,'领用录入（明细）'!C:C&lt;=$L$4),ROW(),"-")</f>
        <v>-</v>
      </c>
    </row>
    <row r="10183" customHeight="1" spans="2:2">
      <c r="B10183" s="62" t="str">
        <f>IF(AND('领用录入（明细）'!D:D=$F$4,'领用录入（明细）'!C:C&gt;=$J$4,'领用录入（明细）'!C:C&lt;=$L$4),ROW(),"-")</f>
        <v>-</v>
      </c>
    </row>
    <row r="10184" customHeight="1" spans="2:2">
      <c r="B10184" s="62" t="str">
        <f>IF(AND('领用录入（明细）'!D:D=$F$4,'领用录入（明细）'!C:C&gt;=$J$4,'领用录入（明细）'!C:C&lt;=$L$4),ROW(),"-")</f>
        <v>-</v>
      </c>
    </row>
    <row r="10185" customHeight="1" spans="2:2">
      <c r="B10185" s="62" t="str">
        <f>IF(AND('领用录入（明细）'!D:D=$F$4,'领用录入（明细）'!C:C&gt;=$J$4,'领用录入（明细）'!C:C&lt;=$L$4),ROW(),"-")</f>
        <v>-</v>
      </c>
    </row>
    <row r="10186" customHeight="1" spans="2:2">
      <c r="B10186" s="62" t="str">
        <f>IF(AND('领用录入（明细）'!D:D=$F$4,'领用录入（明细）'!C:C&gt;=$J$4,'领用录入（明细）'!C:C&lt;=$L$4),ROW(),"-")</f>
        <v>-</v>
      </c>
    </row>
    <row r="10187" customHeight="1" spans="2:2">
      <c r="B10187" s="62" t="str">
        <f>IF(AND('领用录入（明细）'!D:D=$F$4,'领用录入（明细）'!C:C&gt;=$J$4,'领用录入（明细）'!C:C&lt;=$L$4),ROW(),"-")</f>
        <v>-</v>
      </c>
    </row>
    <row r="10188" customHeight="1" spans="2:2">
      <c r="B10188" s="62" t="str">
        <f>IF(AND('领用录入（明细）'!D:D=$F$4,'领用录入（明细）'!C:C&gt;=$J$4,'领用录入（明细）'!C:C&lt;=$L$4),ROW(),"-")</f>
        <v>-</v>
      </c>
    </row>
    <row r="10189" customHeight="1" spans="2:2">
      <c r="B10189" s="62" t="str">
        <f>IF(AND('领用录入（明细）'!D:D=$F$4,'领用录入（明细）'!C:C&gt;=$J$4,'领用录入（明细）'!C:C&lt;=$L$4),ROW(),"-")</f>
        <v>-</v>
      </c>
    </row>
    <row r="10190" customHeight="1" spans="2:2">
      <c r="B10190" s="62" t="str">
        <f>IF(AND('领用录入（明细）'!D:D=$F$4,'领用录入（明细）'!C:C&gt;=$J$4,'领用录入（明细）'!C:C&lt;=$L$4),ROW(),"-")</f>
        <v>-</v>
      </c>
    </row>
    <row r="10191" customHeight="1" spans="2:2">
      <c r="B10191" s="62" t="str">
        <f>IF(AND('领用录入（明细）'!D:D=$F$4,'领用录入（明细）'!C:C&gt;=$J$4,'领用录入（明细）'!C:C&lt;=$L$4),ROW(),"-")</f>
        <v>-</v>
      </c>
    </row>
    <row r="10192" customHeight="1" spans="2:2">
      <c r="B10192" s="62" t="str">
        <f>IF(AND('领用录入（明细）'!D:D=$F$4,'领用录入（明细）'!C:C&gt;=$J$4,'领用录入（明细）'!C:C&lt;=$L$4),ROW(),"-")</f>
        <v>-</v>
      </c>
    </row>
    <row r="10193" customHeight="1" spans="2:2">
      <c r="B10193" s="62" t="str">
        <f>IF(AND('领用录入（明细）'!D:D=$F$4,'领用录入（明细）'!C:C&gt;=$J$4,'领用录入（明细）'!C:C&lt;=$L$4),ROW(),"-")</f>
        <v>-</v>
      </c>
    </row>
    <row r="10194" customHeight="1" spans="2:2">
      <c r="B10194" s="62" t="str">
        <f>IF(AND('领用录入（明细）'!D:D=$F$4,'领用录入（明细）'!C:C&gt;=$J$4,'领用录入（明细）'!C:C&lt;=$L$4),ROW(),"-")</f>
        <v>-</v>
      </c>
    </row>
    <row r="10195" customHeight="1" spans="2:2">
      <c r="B10195" s="62" t="str">
        <f>IF(AND('领用录入（明细）'!D:D=$F$4,'领用录入（明细）'!C:C&gt;=$J$4,'领用录入（明细）'!C:C&lt;=$L$4),ROW(),"-")</f>
        <v>-</v>
      </c>
    </row>
    <row r="10196" customHeight="1" spans="2:2">
      <c r="B10196" s="62" t="str">
        <f>IF(AND('领用录入（明细）'!D:D=$F$4,'领用录入（明细）'!C:C&gt;=$J$4,'领用录入（明细）'!C:C&lt;=$L$4),ROW(),"-")</f>
        <v>-</v>
      </c>
    </row>
    <row r="10197" customHeight="1" spans="2:2">
      <c r="B10197" s="62" t="str">
        <f>IF(AND('领用录入（明细）'!D:D=$F$4,'领用录入（明细）'!C:C&gt;=$J$4,'领用录入（明细）'!C:C&lt;=$L$4),ROW(),"-")</f>
        <v>-</v>
      </c>
    </row>
    <row r="10198" customHeight="1" spans="2:2">
      <c r="B10198" s="62" t="str">
        <f>IF(AND('领用录入（明细）'!D:D=$F$4,'领用录入（明细）'!C:C&gt;=$J$4,'领用录入（明细）'!C:C&lt;=$L$4),ROW(),"-")</f>
        <v>-</v>
      </c>
    </row>
    <row r="10199" customHeight="1" spans="2:2">
      <c r="B10199" s="62" t="str">
        <f>IF(AND('领用录入（明细）'!D:D=$F$4,'领用录入（明细）'!C:C&gt;=$J$4,'领用录入（明细）'!C:C&lt;=$L$4),ROW(),"-")</f>
        <v>-</v>
      </c>
    </row>
    <row r="10200" customHeight="1" spans="2:2">
      <c r="B10200" s="62" t="str">
        <f>IF(AND('领用录入（明细）'!D:D=$F$4,'领用录入（明细）'!C:C&gt;=$J$4,'领用录入（明细）'!C:C&lt;=$L$4),ROW(),"-")</f>
        <v>-</v>
      </c>
    </row>
    <row r="10201" customHeight="1" spans="2:2">
      <c r="B10201" s="62" t="str">
        <f>IF(AND('领用录入（明细）'!D:D=$F$4,'领用录入（明细）'!C:C&gt;=$J$4,'领用录入（明细）'!C:C&lt;=$L$4),ROW(),"-")</f>
        <v>-</v>
      </c>
    </row>
    <row r="10202" customHeight="1" spans="2:2">
      <c r="B10202" s="62" t="str">
        <f>IF(AND('领用录入（明细）'!D:D=$F$4,'领用录入（明细）'!C:C&gt;=$J$4,'领用录入（明细）'!C:C&lt;=$L$4),ROW(),"-")</f>
        <v>-</v>
      </c>
    </row>
    <row r="10203" customHeight="1" spans="2:2">
      <c r="B10203" s="62" t="str">
        <f>IF(AND('领用录入（明细）'!D:D=$F$4,'领用录入（明细）'!C:C&gt;=$J$4,'领用录入（明细）'!C:C&lt;=$L$4),ROW(),"-")</f>
        <v>-</v>
      </c>
    </row>
    <row r="10204" customHeight="1" spans="2:2">
      <c r="B10204" s="62" t="str">
        <f>IF(AND('领用录入（明细）'!D:D=$F$4,'领用录入（明细）'!C:C&gt;=$J$4,'领用录入（明细）'!C:C&lt;=$L$4),ROW(),"-")</f>
        <v>-</v>
      </c>
    </row>
    <row r="10205" customHeight="1" spans="2:2">
      <c r="B10205" s="62" t="str">
        <f>IF(AND('领用录入（明细）'!D:D=$F$4,'领用录入（明细）'!C:C&gt;=$J$4,'领用录入（明细）'!C:C&lt;=$L$4),ROW(),"-")</f>
        <v>-</v>
      </c>
    </row>
    <row r="10206" customHeight="1" spans="2:2">
      <c r="B10206" s="62" t="str">
        <f>IF(AND('领用录入（明细）'!D:D=$F$4,'领用录入（明细）'!C:C&gt;=$J$4,'领用录入（明细）'!C:C&lt;=$L$4),ROW(),"-")</f>
        <v>-</v>
      </c>
    </row>
    <row r="10207" customHeight="1" spans="2:2">
      <c r="B10207" s="62" t="str">
        <f>IF(AND('领用录入（明细）'!D:D=$F$4,'领用录入（明细）'!C:C&gt;=$J$4,'领用录入（明细）'!C:C&lt;=$L$4),ROW(),"-")</f>
        <v>-</v>
      </c>
    </row>
    <row r="10208" customHeight="1" spans="2:2">
      <c r="B10208" s="62" t="str">
        <f>IF(AND('领用录入（明细）'!D:D=$F$4,'领用录入（明细）'!C:C&gt;=$J$4,'领用录入（明细）'!C:C&lt;=$L$4),ROW(),"-")</f>
        <v>-</v>
      </c>
    </row>
    <row r="10209" customHeight="1" spans="2:2">
      <c r="B10209" s="62" t="str">
        <f>IF(AND('领用录入（明细）'!D:D=$F$4,'领用录入（明细）'!C:C&gt;=$J$4,'领用录入（明细）'!C:C&lt;=$L$4),ROW(),"-")</f>
        <v>-</v>
      </c>
    </row>
    <row r="10210" customHeight="1" spans="2:2">
      <c r="B10210" s="62" t="str">
        <f>IF(AND('领用录入（明细）'!D:D=$F$4,'领用录入（明细）'!C:C&gt;=$J$4,'领用录入（明细）'!C:C&lt;=$L$4),ROW(),"-")</f>
        <v>-</v>
      </c>
    </row>
    <row r="10211" customHeight="1" spans="2:2">
      <c r="B10211" s="62" t="str">
        <f>IF(AND('领用录入（明细）'!D:D=$F$4,'领用录入（明细）'!C:C&gt;=$J$4,'领用录入（明细）'!C:C&lt;=$L$4),ROW(),"-")</f>
        <v>-</v>
      </c>
    </row>
    <row r="10212" customHeight="1" spans="2:2">
      <c r="B10212" s="62" t="str">
        <f>IF(AND('领用录入（明细）'!D:D=$F$4,'领用录入（明细）'!C:C&gt;=$J$4,'领用录入（明细）'!C:C&lt;=$L$4),ROW(),"-")</f>
        <v>-</v>
      </c>
    </row>
    <row r="10213" customHeight="1" spans="2:2">
      <c r="B10213" s="62" t="str">
        <f>IF(AND('领用录入（明细）'!D:D=$F$4,'领用录入（明细）'!C:C&gt;=$J$4,'领用录入（明细）'!C:C&lt;=$L$4),ROW(),"-")</f>
        <v>-</v>
      </c>
    </row>
    <row r="10214" customHeight="1" spans="2:2">
      <c r="B10214" s="62" t="str">
        <f>IF(AND('领用录入（明细）'!D:D=$F$4,'领用录入（明细）'!C:C&gt;=$J$4,'领用录入（明细）'!C:C&lt;=$L$4),ROW(),"-")</f>
        <v>-</v>
      </c>
    </row>
    <row r="10215" customHeight="1" spans="2:2">
      <c r="B10215" s="62" t="str">
        <f>IF(AND('领用录入（明细）'!D:D=$F$4,'领用录入（明细）'!C:C&gt;=$J$4,'领用录入（明细）'!C:C&lt;=$L$4),ROW(),"-")</f>
        <v>-</v>
      </c>
    </row>
    <row r="10216" customHeight="1" spans="2:2">
      <c r="B10216" s="62" t="str">
        <f>IF(AND('领用录入（明细）'!D:D=$F$4,'领用录入（明细）'!C:C&gt;=$J$4,'领用录入（明细）'!C:C&lt;=$L$4),ROW(),"-")</f>
        <v>-</v>
      </c>
    </row>
    <row r="10217" customHeight="1" spans="2:2">
      <c r="B10217" s="62" t="str">
        <f>IF(AND('领用录入（明细）'!D:D=$F$4,'领用录入（明细）'!C:C&gt;=$J$4,'领用录入（明细）'!C:C&lt;=$L$4),ROW(),"-")</f>
        <v>-</v>
      </c>
    </row>
    <row r="10218" customHeight="1" spans="2:2">
      <c r="B10218" s="62" t="str">
        <f>IF(AND('领用录入（明细）'!D:D=$F$4,'领用录入（明细）'!C:C&gt;=$J$4,'领用录入（明细）'!C:C&lt;=$L$4),ROW(),"-")</f>
        <v>-</v>
      </c>
    </row>
    <row r="10219" customHeight="1" spans="2:2">
      <c r="B10219" s="62" t="str">
        <f>IF(AND('领用录入（明细）'!D:D=$F$4,'领用录入（明细）'!C:C&gt;=$J$4,'领用录入（明细）'!C:C&lt;=$L$4),ROW(),"-")</f>
        <v>-</v>
      </c>
    </row>
    <row r="10220" customHeight="1" spans="2:2">
      <c r="B10220" s="62" t="str">
        <f>IF(AND('领用录入（明细）'!D:D=$F$4,'领用录入（明细）'!C:C&gt;=$J$4,'领用录入（明细）'!C:C&lt;=$L$4),ROW(),"-")</f>
        <v>-</v>
      </c>
    </row>
    <row r="10221" customHeight="1" spans="2:2">
      <c r="B10221" s="62" t="str">
        <f>IF(AND('领用录入（明细）'!D:D=$F$4,'领用录入（明细）'!C:C&gt;=$J$4,'领用录入（明细）'!C:C&lt;=$L$4),ROW(),"-")</f>
        <v>-</v>
      </c>
    </row>
    <row r="10222" customHeight="1" spans="2:2">
      <c r="B10222" s="62" t="str">
        <f>IF(AND('领用录入（明细）'!D:D=$F$4,'领用录入（明细）'!C:C&gt;=$J$4,'领用录入（明细）'!C:C&lt;=$L$4),ROW(),"-")</f>
        <v>-</v>
      </c>
    </row>
    <row r="10223" customHeight="1" spans="2:2">
      <c r="B10223" s="62" t="str">
        <f>IF(AND('领用录入（明细）'!D:D=$F$4,'领用录入（明细）'!C:C&gt;=$J$4,'领用录入（明细）'!C:C&lt;=$L$4),ROW(),"-")</f>
        <v>-</v>
      </c>
    </row>
    <row r="10224" customHeight="1" spans="2:2">
      <c r="B10224" s="62" t="str">
        <f>IF(AND('领用录入（明细）'!D:D=$F$4,'领用录入（明细）'!C:C&gt;=$J$4,'领用录入（明细）'!C:C&lt;=$L$4),ROW(),"-")</f>
        <v>-</v>
      </c>
    </row>
    <row r="10225" customHeight="1" spans="2:2">
      <c r="B10225" s="62" t="str">
        <f>IF(AND('领用录入（明细）'!D:D=$F$4,'领用录入（明细）'!C:C&gt;=$J$4,'领用录入（明细）'!C:C&lt;=$L$4),ROW(),"-")</f>
        <v>-</v>
      </c>
    </row>
    <row r="10226" customHeight="1" spans="2:2">
      <c r="B10226" s="62" t="str">
        <f>IF(AND('领用录入（明细）'!D:D=$F$4,'领用录入（明细）'!C:C&gt;=$J$4,'领用录入（明细）'!C:C&lt;=$L$4),ROW(),"-")</f>
        <v>-</v>
      </c>
    </row>
    <row r="10227" customHeight="1" spans="2:2">
      <c r="B10227" s="62" t="str">
        <f>IF(AND('领用录入（明细）'!D:D=$F$4,'领用录入（明细）'!C:C&gt;=$J$4,'领用录入（明细）'!C:C&lt;=$L$4),ROW(),"-")</f>
        <v>-</v>
      </c>
    </row>
    <row r="10228" customHeight="1" spans="2:2">
      <c r="B10228" s="62" t="str">
        <f>IF(AND('领用录入（明细）'!D:D=$F$4,'领用录入（明细）'!C:C&gt;=$J$4,'领用录入（明细）'!C:C&lt;=$L$4),ROW(),"-")</f>
        <v>-</v>
      </c>
    </row>
    <row r="10229" customHeight="1" spans="2:2">
      <c r="B10229" s="62" t="str">
        <f>IF(AND('领用录入（明细）'!D:D=$F$4,'领用录入（明细）'!C:C&gt;=$J$4,'领用录入（明细）'!C:C&lt;=$L$4),ROW(),"-")</f>
        <v>-</v>
      </c>
    </row>
    <row r="10230" customHeight="1" spans="2:2">
      <c r="B10230" s="62" t="str">
        <f>IF(AND('领用录入（明细）'!D:D=$F$4,'领用录入（明细）'!C:C&gt;=$J$4,'领用录入（明细）'!C:C&lt;=$L$4),ROW(),"-")</f>
        <v>-</v>
      </c>
    </row>
    <row r="10231" customHeight="1" spans="2:2">
      <c r="B10231" s="62" t="str">
        <f>IF(AND('领用录入（明细）'!D:D=$F$4,'领用录入（明细）'!C:C&gt;=$J$4,'领用录入（明细）'!C:C&lt;=$L$4),ROW(),"-")</f>
        <v>-</v>
      </c>
    </row>
    <row r="10232" customHeight="1" spans="2:2">
      <c r="B10232" s="62" t="str">
        <f>IF(AND('领用录入（明细）'!D:D=$F$4,'领用录入（明细）'!C:C&gt;=$J$4,'领用录入（明细）'!C:C&lt;=$L$4),ROW(),"-")</f>
        <v>-</v>
      </c>
    </row>
    <row r="10233" customHeight="1" spans="2:2">
      <c r="B10233" s="62" t="str">
        <f>IF(AND('领用录入（明细）'!D:D=$F$4,'领用录入（明细）'!C:C&gt;=$J$4,'领用录入（明细）'!C:C&lt;=$L$4),ROW(),"-")</f>
        <v>-</v>
      </c>
    </row>
    <row r="10234" customHeight="1" spans="2:2">
      <c r="B10234" s="62" t="str">
        <f>IF(AND('领用录入（明细）'!D:D=$F$4,'领用录入（明细）'!C:C&gt;=$J$4,'领用录入（明细）'!C:C&lt;=$L$4),ROW(),"-")</f>
        <v>-</v>
      </c>
    </row>
    <row r="10235" customHeight="1" spans="2:2">
      <c r="B10235" s="62" t="str">
        <f>IF(AND('领用录入（明细）'!D:D=$F$4,'领用录入（明细）'!C:C&gt;=$J$4,'领用录入（明细）'!C:C&lt;=$L$4),ROW(),"-")</f>
        <v>-</v>
      </c>
    </row>
    <row r="10236" customHeight="1" spans="2:2">
      <c r="B10236" s="62" t="str">
        <f>IF(AND('领用录入（明细）'!D:D=$F$4,'领用录入（明细）'!C:C&gt;=$J$4,'领用录入（明细）'!C:C&lt;=$L$4),ROW(),"-")</f>
        <v>-</v>
      </c>
    </row>
    <row r="10237" customHeight="1" spans="2:2">
      <c r="B10237" s="62" t="str">
        <f>IF(AND('领用录入（明细）'!D:D=$F$4,'领用录入（明细）'!C:C&gt;=$J$4,'领用录入（明细）'!C:C&lt;=$L$4),ROW(),"-")</f>
        <v>-</v>
      </c>
    </row>
    <row r="10238" customHeight="1" spans="2:2">
      <c r="B10238" s="62" t="str">
        <f>IF(AND('领用录入（明细）'!D:D=$F$4,'领用录入（明细）'!C:C&gt;=$J$4,'领用录入（明细）'!C:C&lt;=$L$4),ROW(),"-")</f>
        <v>-</v>
      </c>
    </row>
    <row r="10239" customHeight="1" spans="2:2">
      <c r="B10239" s="62" t="str">
        <f>IF(AND('领用录入（明细）'!D:D=$F$4,'领用录入（明细）'!C:C&gt;=$J$4,'领用录入（明细）'!C:C&lt;=$L$4),ROW(),"-")</f>
        <v>-</v>
      </c>
    </row>
    <row r="10240" customHeight="1" spans="2:2">
      <c r="B10240" s="62" t="str">
        <f>IF(AND('领用录入（明细）'!D:D=$F$4,'领用录入（明细）'!C:C&gt;=$J$4,'领用录入（明细）'!C:C&lt;=$L$4),ROW(),"-")</f>
        <v>-</v>
      </c>
    </row>
    <row r="10241" customHeight="1" spans="2:2">
      <c r="B10241" s="62" t="str">
        <f>IF(AND('领用录入（明细）'!D:D=$F$4,'领用录入（明细）'!C:C&gt;=$J$4,'领用录入（明细）'!C:C&lt;=$L$4),ROW(),"-")</f>
        <v>-</v>
      </c>
    </row>
    <row r="10242" customHeight="1" spans="2:2">
      <c r="B10242" s="62" t="str">
        <f>IF(AND('领用录入（明细）'!D:D=$F$4,'领用录入（明细）'!C:C&gt;=$J$4,'领用录入（明细）'!C:C&lt;=$L$4),ROW(),"-")</f>
        <v>-</v>
      </c>
    </row>
    <row r="10243" customHeight="1" spans="2:2">
      <c r="B10243" s="62" t="str">
        <f>IF(AND('领用录入（明细）'!D:D=$F$4,'领用录入（明细）'!C:C&gt;=$J$4,'领用录入（明细）'!C:C&lt;=$L$4),ROW(),"-")</f>
        <v>-</v>
      </c>
    </row>
    <row r="10244" customHeight="1" spans="2:2">
      <c r="B10244" s="62" t="str">
        <f>IF(AND('领用录入（明细）'!D:D=$F$4,'领用录入（明细）'!C:C&gt;=$J$4,'领用录入（明细）'!C:C&lt;=$L$4),ROW(),"-")</f>
        <v>-</v>
      </c>
    </row>
    <row r="10245" customHeight="1" spans="2:2">
      <c r="B10245" s="62" t="str">
        <f>IF(AND('领用录入（明细）'!D:D=$F$4,'领用录入（明细）'!C:C&gt;=$J$4,'领用录入（明细）'!C:C&lt;=$L$4),ROW(),"-")</f>
        <v>-</v>
      </c>
    </row>
    <row r="10246" customHeight="1" spans="2:2">
      <c r="B10246" s="62" t="str">
        <f>IF(AND('领用录入（明细）'!D:D=$F$4,'领用录入（明细）'!C:C&gt;=$J$4,'领用录入（明细）'!C:C&lt;=$L$4),ROW(),"-")</f>
        <v>-</v>
      </c>
    </row>
    <row r="10247" customHeight="1" spans="2:2">
      <c r="B10247" s="62" t="str">
        <f>IF(AND('领用录入（明细）'!D:D=$F$4,'领用录入（明细）'!C:C&gt;=$J$4,'领用录入（明细）'!C:C&lt;=$L$4),ROW(),"-")</f>
        <v>-</v>
      </c>
    </row>
    <row r="10248" customHeight="1" spans="2:2">
      <c r="B10248" s="62" t="str">
        <f>IF(AND('领用录入（明细）'!D:D=$F$4,'领用录入（明细）'!C:C&gt;=$J$4,'领用录入（明细）'!C:C&lt;=$L$4),ROW(),"-")</f>
        <v>-</v>
      </c>
    </row>
    <row r="10249" customHeight="1" spans="2:2">
      <c r="B10249" s="62" t="str">
        <f>IF(AND('领用录入（明细）'!D:D=$F$4,'领用录入（明细）'!C:C&gt;=$J$4,'领用录入（明细）'!C:C&lt;=$L$4),ROW(),"-")</f>
        <v>-</v>
      </c>
    </row>
    <row r="10250" customHeight="1" spans="2:2">
      <c r="B10250" s="62" t="str">
        <f>IF(AND('领用录入（明细）'!D:D=$F$4,'领用录入（明细）'!C:C&gt;=$J$4,'领用录入（明细）'!C:C&lt;=$L$4),ROW(),"-")</f>
        <v>-</v>
      </c>
    </row>
    <row r="10251" customHeight="1" spans="2:2">
      <c r="B10251" s="62" t="str">
        <f>IF(AND('领用录入（明细）'!D:D=$F$4,'领用录入（明细）'!C:C&gt;=$J$4,'领用录入（明细）'!C:C&lt;=$L$4),ROW(),"-")</f>
        <v>-</v>
      </c>
    </row>
    <row r="10252" customHeight="1" spans="2:2">
      <c r="B10252" s="62" t="str">
        <f>IF(AND('领用录入（明细）'!D:D=$F$4,'领用录入（明细）'!C:C&gt;=$J$4,'领用录入（明细）'!C:C&lt;=$L$4),ROW(),"-")</f>
        <v>-</v>
      </c>
    </row>
    <row r="10253" customHeight="1" spans="2:2">
      <c r="B10253" s="62" t="str">
        <f>IF(AND('领用录入（明细）'!D:D=$F$4,'领用录入（明细）'!C:C&gt;=$J$4,'领用录入（明细）'!C:C&lt;=$L$4),ROW(),"-")</f>
        <v>-</v>
      </c>
    </row>
    <row r="10254" customHeight="1" spans="2:2">
      <c r="B10254" s="62" t="str">
        <f>IF(AND('领用录入（明细）'!D:D=$F$4,'领用录入（明细）'!C:C&gt;=$J$4,'领用录入（明细）'!C:C&lt;=$L$4),ROW(),"-")</f>
        <v>-</v>
      </c>
    </row>
    <row r="10255" customHeight="1" spans="2:2">
      <c r="B10255" s="62" t="str">
        <f>IF(AND('领用录入（明细）'!D:D=$F$4,'领用录入（明细）'!C:C&gt;=$J$4,'领用录入（明细）'!C:C&lt;=$L$4),ROW(),"-")</f>
        <v>-</v>
      </c>
    </row>
    <row r="10256" customHeight="1" spans="2:2">
      <c r="B10256" s="62" t="str">
        <f>IF(AND('领用录入（明细）'!D:D=$F$4,'领用录入（明细）'!C:C&gt;=$J$4,'领用录入（明细）'!C:C&lt;=$L$4),ROW(),"-")</f>
        <v>-</v>
      </c>
    </row>
    <row r="10257" customHeight="1" spans="2:2">
      <c r="B10257" s="62" t="str">
        <f>IF(AND('领用录入（明细）'!D:D=$F$4,'领用录入（明细）'!C:C&gt;=$J$4,'领用录入（明细）'!C:C&lt;=$L$4),ROW(),"-")</f>
        <v>-</v>
      </c>
    </row>
    <row r="10258" customHeight="1" spans="2:2">
      <c r="B10258" s="62" t="str">
        <f>IF(AND('领用录入（明细）'!D:D=$F$4,'领用录入（明细）'!C:C&gt;=$J$4,'领用录入（明细）'!C:C&lt;=$L$4),ROW(),"-")</f>
        <v>-</v>
      </c>
    </row>
    <row r="10259" customHeight="1" spans="2:2">
      <c r="B10259" s="62" t="str">
        <f>IF(AND('领用录入（明细）'!D:D=$F$4,'领用录入（明细）'!C:C&gt;=$J$4,'领用录入（明细）'!C:C&lt;=$L$4),ROW(),"-")</f>
        <v>-</v>
      </c>
    </row>
    <row r="10260" customHeight="1" spans="2:2">
      <c r="B10260" s="62" t="str">
        <f>IF(AND('领用录入（明细）'!D:D=$F$4,'领用录入（明细）'!C:C&gt;=$J$4,'领用录入（明细）'!C:C&lt;=$L$4),ROW(),"-")</f>
        <v>-</v>
      </c>
    </row>
    <row r="10261" customHeight="1" spans="2:2">
      <c r="B10261" s="62" t="str">
        <f>IF(AND('领用录入（明细）'!D:D=$F$4,'领用录入（明细）'!C:C&gt;=$J$4,'领用录入（明细）'!C:C&lt;=$L$4),ROW(),"-")</f>
        <v>-</v>
      </c>
    </row>
    <row r="10262" customHeight="1" spans="2:2">
      <c r="B10262" s="62" t="str">
        <f>IF(AND('领用录入（明细）'!D:D=$F$4,'领用录入（明细）'!C:C&gt;=$J$4,'领用录入（明细）'!C:C&lt;=$L$4),ROW(),"-")</f>
        <v>-</v>
      </c>
    </row>
    <row r="10263" customHeight="1" spans="2:2">
      <c r="B10263" s="62" t="str">
        <f>IF(AND('领用录入（明细）'!D:D=$F$4,'领用录入（明细）'!C:C&gt;=$J$4,'领用录入（明细）'!C:C&lt;=$L$4),ROW(),"-")</f>
        <v>-</v>
      </c>
    </row>
    <row r="10264" customHeight="1" spans="2:2">
      <c r="B10264" s="62" t="str">
        <f>IF(AND('领用录入（明细）'!D:D=$F$4,'领用录入（明细）'!C:C&gt;=$J$4,'领用录入（明细）'!C:C&lt;=$L$4),ROW(),"-")</f>
        <v>-</v>
      </c>
    </row>
    <row r="10265" customHeight="1" spans="2:2">
      <c r="B10265" s="62" t="str">
        <f>IF(AND('领用录入（明细）'!D:D=$F$4,'领用录入（明细）'!C:C&gt;=$J$4,'领用录入（明细）'!C:C&lt;=$L$4),ROW(),"-")</f>
        <v>-</v>
      </c>
    </row>
    <row r="10266" customHeight="1" spans="2:2">
      <c r="B10266" s="62" t="str">
        <f>IF(AND('领用录入（明细）'!D:D=$F$4,'领用录入（明细）'!C:C&gt;=$J$4,'领用录入（明细）'!C:C&lt;=$L$4),ROW(),"-")</f>
        <v>-</v>
      </c>
    </row>
    <row r="10267" customHeight="1" spans="2:2">
      <c r="B10267" s="62" t="str">
        <f>IF(AND('领用录入（明细）'!D:D=$F$4,'领用录入（明细）'!C:C&gt;=$J$4,'领用录入（明细）'!C:C&lt;=$L$4),ROW(),"-")</f>
        <v>-</v>
      </c>
    </row>
    <row r="10268" customHeight="1" spans="2:2">
      <c r="B10268" s="62" t="str">
        <f>IF(AND('领用录入（明细）'!D:D=$F$4,'领用录入（明细）'!C:C&gt;=$J$4,'领用录入（明细）'!C:C&lt;=$L$4),ROW(),"-")</f>
        <v>-</v>
      </c>
    </row>
    <row r="10269" customHeight="1" spans="2:2">
      <c r="B10269" s="62" t="str">
        <f>IF(AND('领用录入（明细）'!D:D=$F$4,'领用录入（明细）'!C:C&gt;=$J$4,'领用录入（明细）'!C:C&lt;=$L$4),ROW(),"-")</f>
        <v>-</v>
      </c>
    </row>
    <row r="10270" customHeight="1" spans="2:2">
      <c r="B10270" s="62" t="str">
        <f>IF(AND('领用录入（明细）'!D:D=$F$4,'领用录入（明细）'!C:C&gt;=$J$4,'领用录入（明细）'!C:C&lt;=$L$4),ROW(),"-")</f>
        <v>-</v>
      </c>
    </row>
    <row r="10271" customHeight="1" spans="2:2">
      <c r="B10271" s="62" t="str">
        <f>IF(AND('领用录入（明细）'!D:D=$F$4,'领用录入（明细）'!C:C&gt;=$J$4,'领用录入（明细）'!C:C&lt;=$L$4),ROW(),"-")</f>
        <v>-</v>
      </c>
    </row>
    <row r="10272" customHeight="1" spans="2:2">
      <c r="B10272" s="62" t="str">
        <f>IF(AND('领用录入（明细）'!D:D=$F$4,'领用录入（明细）'!C:C&gt;=$J$4,'领用录入（明细）'!C:C&lt;=$L$4),ROW(),"-")</f>
        <v>-</v>
      </c>
    </row>
    <row r="10273" customHeight="1" spans="2:2">
      <c r="B10273" s="62" t="str">
        <f>IF(AND('领用录入（明细）'!D:D=$F$4,'领用录入（明细）'!C:C&gt;=$J$4,'领用录入（明细）'!C:C&lt;=$L$4),ROW(),"-")</f>
        <v>-</v>
      </c>
    </row>
    <row r="10274" customHeight="1" spans="2:2">
      <c r="B10274" s="62" t="str">
        <f>IF(AND('领用录入（明细）'!D:D=$F$4,'领用录入（明细）'!C:C&gt;=$J$4,'领用录入（明细）'!C:C&lt;=$L$4),ROW(),"-")</f>
        <v>-</v>
      </c>
    </row>
    <row r="10275" customHeight="1" spans="2:2">
      <c r="B10275" s="62" t="str">
        <f>IF(AND('领用录入（明细）'!D:D=$F$4,'领用录入（明细）'!C:C&gt;=$J$4,'领用录入（明细）'!C:C&lt;=$L$4),ROW(),"-")</f>
        <v>-</v>
      </c>
    </row>
    <row r="10276" customHeight="1" spans="2:2">
      <c r="B10276" s="62" t="str">
        <f>IF(AND('领用录入（明细）'!D:D=$F$4,'领用录入（明细）'!C:C&gt;=$J$4,'领用录入（明细）'!C:C&lt;=$L$4),ROW(),"-")</f>
        <v>-</v>
      </c>
    </row>
    <row r="10277" customHeight="1" spans="2:2">
      <c r="B10277" s="62" t="str">
        <f>IF(AND('领用录入（明细）'!D:D=$F$4,'领用录入（明细）'!C:C&gt;=$J$4,'领用录入（明细）'!C:C&lt;=$L$4),ROW(),"-")</f>
        <v>-</v>
      </c>
    </row>
    <row r="10278" customHeight="1" spans="2:2">
      <c r="B10278" s="62" t="str">
        <f>IF(AND('领用录入（明细）'!D:D=$F$4,'领用录入（明细）'!C:C&gt;=$J$4,'领用录入（明细）'!C:C&lt;=$L$4),ROW(),"-")</f>
        <v>-</v>
      </c>
    </row>
    <row r="10279" customHeight="1" spans="2:2">
      <c r="B10279" s="62" t="str">
        <f>IF(AND('领用录入（明细）'!D:D=$F$4,'领用录入（明细）'!C:C&gt;=$J$4,'领用录入（明细）'!C:C&lt;=$L$4),ROW(),"-")</f>
        <v>-</v>
      </c>
    </row>
    <row r="10280" customHeight="1" spans="2:2">
      <c r="B10280" s="62" t="str">
        <f>IF(AND('领用录入（明细）'!D:D=$F$4,'领用录入（明细）'!C:C&gt;=$J$4,'领用录入（明细）'!C:C&lt;=$L$4),ROW(),"-")</f>
        <v>-</v>
      </c>
    </row>
    <row r="10281" customHeight="1" spans="2:2">
      <c r="B10281" s="62" t="str">
        <f>IF(AND('领用录入（明细）'!D:D=$F$4,'领用录入（明细）'!C:C&gt;=$J$4,'领用录入（明细）'!C:C&lt;=$L$4),ROW(),"-")</f>
        <v>-</v>
      </c>
    </row>
    <row r="10282" customHeight="1" spans="2:2">
      <c r="B10282" s="62" t="str">
        <f>IF(AND('领用录入（明细）'!D:D=$F$4,'领用录入（明细）'!C:C&gt;=$J$4,'领用录入（明细）'!C:C&lt;=$L$4),ROW(),"-")</f>
        <v>-</v>
      </c>
    </row>
    <row r="10283" customHeight="1" spans="2:2">
      <c r="B10283" s="62" t="str">
        <f>IF(AND('领用录入（明细）'!D:D=$F$4,'领用录入（明细）'!C:C&gt;=$J$4,'领用录入（明细）'!C:C&lt;=$L$4),ROW(),"-")</f>
        <v>-</v>
      </c>
    </row>
    <row r="10284" customHeight="1" spans="2:2">
      <c r="B10284" s="62" t="str">
        <f>IF(AND('领用录入（明细）'!D:D=$F$4,'领用录入（明细）'!C:C&gt;=$J$4,'领用录入（明细）'!C:C&lt;=$L$4),ROW(),"-")</f>
        <v>-</v>
      </c>
    </row>
    <row r="10285" customHeight="1" spans="2:2">
      <c r="B10285" s="62" t="str">
        <f>IF(AND('领用录入（明细）'!D:D=$F$4,'领用录入（明细）'!C:C&gt;=$J$4,'领用录入（明细）'!C:C&lt;=$L$4),ROW(),"-")</f>
        <v>-</v>
      </c>
    </row>
    <row r="10286" customHeight="1" spans="2:2">
      <c r="B10286" s="62" t="str">
        <f>IF(AND('领用录入（明细）'!D:D=$F$4,'领用录入（明细）'!C:C&gt;=$J$4,'领用录入（明细）'!C:C&lt;=$L$4),ROW(),"-")</f>
        <v>-</v>
      </c>
    </row>
    <row r="10287" customHeight="1" spans="2:2">
      <c r="B10287" s="62" t="str">
        <f>IF(AND('领用录入（明细）'!D:D=$F$4,'领用录入（明细）'!C:C&gt;=$J$4,'领用录入（明细）'!C:C&lt;=$L$4),ROW(),"-")</f>
        <v>-</v>
      </c>
    </row>
    <row r="10288" customHeight="1" spans="2:2">
      <c r="B10288" s="62" t="str">
        <f>IF(AND('领用录入（明细）'!D:D=$F$4,'领用录入（明细）'!C:C&gt;=$J$4,'领用录入（明细）'!C:C&lt;=$L$4),ROW(),"-")</f>
        <v>-</v>
      </c>
    </row>
    <row r="10289" customHeight="1" spans="2:2">
      <c r="B10289" s="62" t="str">
        <f>IF(AND('领用录入（明细）'!D:D=$F$4,'领用录入（明细）'!C:C&gt;=$J$4,'领用录入（明细）'!C:C&lt;=$L$4),ROW(),"-")</f>
        <v>-</v>
      </c>
    </row>
    <row r="10290" customHeight="1" spans="2:2">
      <c r="B10290" s="62" t="str">
        <f>IF(AND('领用录入（明细）'!D:D=$F$4,'领用录入（明细）'!C:C&gt;=$J$4,'领用录入（明细）'!C:C&lt;=$L$4),ROW(),"-")</f>
        <v>-</v>
      </c>
    </row>
    <row r="10291" customHeight="1" spans="2:2">
      <c r="B10291" s="62" t="str">
        <f>IF(AND('领用录入（明细）'!D:D=$F$4,'领用录入（明细）'!C:C&gt;=$J$4,'领用录入（明细）'!C:C&lt;=$L$4),ROW(),"-")</f>
        <v>-</v>
      </c>
    </row>
    <row r="10292" customHeight="1" spans="2:2">
      <c r="B10292" s="62" t="str">
        <f>IF(AND('领用录入（明细）'!D:D=$F$4,'领用录入（明细）'!C:C&gt;=$J$4,'领用录入（明细）'!C:C&lt;=$L$4),ROW(),"-")</f>
        <v>-</v>
      </c>
    </row>
    <row r="10293" customHeight="1" spans="2:2">
      <c r="B10293" s="62" t="str">
        <f>IF(AND('领用录入（明细）'!D:D=$F$4,'领用录入（明细）'!C:C&gt;=$J$4,'领用录入（明细）'!C:C&lt;=$L$4),ROW(),"-")</f>
        <v>-</v>
      </c>
    </row>
    <row r="10294" customHeight="1" spans="2:2">
      <c r="B10294" s="62" t="str">
        <f>IF(AND('领用录入（明细）'!D:D=$F$4,'领用录入（明细）'!C:C&gt;=$J$4,'领用录入（明细）'!C:C&lt;=$L$4),ROW(),"-")</f>
        <v>-</v>
      </c>
    </row>
    <row r="10295" customHeight="1" spans="2:2">
      <c r="B10295" s="62" t="str">
        <f>IF(AND('领用录入（明细）'!D:D=$F$4,'领用录入（明细）'!C:C&gt;=$J$4,'领用录入（明细）'!C:C&lt;=$L$4),ROW(),"-")</f>
        <v>-</v>
      </c>
    </row>
    <row r="10296" customHeight="1" spans="2:2">
      <c r="B10296" s="62" t="str">
        <f>IF(AND('领用录入（明细）'!D:D=$F$4,'领用录入（明细）'!C:C&gt;=$J$4,'领用录入（明细）'!C:C&lt;=$L$4),ROW(),"-")</f>
        <v>-</v>
      </c>
    </row>
    <row r="10297" customHeight="1" spans="2:2">
      <c r="B10297" s="62" t="str">
        <f>IF(AND('领用录入（明细）'!D:D=$F$4,'领用录入（明细）'!C:C&gt;=$J$4,'领用录入（明细）'!C:C&lt;=$L$4),ROW(),"-")</f>
        <v>-</v>
      </c>
    </row>
    <row r="10298" customHeight="1" spans="2:2">
      <c r="B10298" s="62" t="str">
        <f>IF(AND('领用录入（明细）'!D:D=$F$4,'领用录入（明细）'!C:C&gt;=$J$4,'领用录入（明细）'!C:C&lt;=$L$4),ROW(),"-")</f>
        <v>-</v>
      </c>
    </row>
    <row r="10299" customHeight="1" spans="2:2">
      <c r="B10299" s="62" t="str">
        <f>IF(AND('领用录入（明细）'!D:D=$F$4,'领用录入（明细）'!C:C&gt;=$J$4,'领用录入（明细）'!C:C&lt;=$L$4),ROW(),"-")</f>
        <v>-</v>
      </c>
    </row>
    <row r="10300" customHeight="1" spans="2:2">
      <c r="B10300" s="62" t="str">
        <f>IF(AND('领用录入（明细）'!D:D=$F$4,'领用录入（明细）'!C:C&gt;=$J$4,'领用录入（明细）'!C:C&lt;=$L$4),ROW(),"-")</f>
        <v>-</v>
      </c>
    </row>
    <row r="10301" customHeight="1" spans="2:2">
      <c r="B10301" s="62" t="str">
        <f>IF(AND('领用录入（明细）'!D:D=$F$4,'领用录入（明细）'!C:C&gt;=$J$4,'领用录入（明细）'!C:C&lt;=$L$4),ROW(),"-")</f>
        <v>-</v>
      </c>
    </row>
    <row r="10302" customHeight="1" spans="2:2">
      <c r="B10302" s="62" t="str">
        <f>IF(AND('领用录入（明细）'!D:D=$F$4,'领用录入（明细）'!C:C&gt;=$J$4,'领用录入（明细）'!C:C&lt;=$L$4),ROW(),"-")</f>
        <v>-</v>
      </c>
    </row>
    <row r="10303" customHeight="1" spans="2:2">
      <c r="B10303" s="62" t="str">
        <f>IF(AND('领用录入（明细）'!D:D=$F$4,'领用录入（明细）'!C:C&gt;=$J$4,'领用录入（明细）'!C:C&lt;=$L$4),ROW(),"-")</f>
        <v>-</v>
      </c>
    </row>
    <row r="10304" customHeight="1" spans="2:2">
      <c r="B10304" s="62" t="str">
        <f>IF(AND('领用录入（明细）'!D:D=$F$4,'领用录入（明细）'!C:C&gt;=$J$4,'领用录入（明细）'!C:C&lt;=$L$4),ROW(),"-")</f>
        <v>-</v>
      </c>
    </row>
    <row r="10305" customHeight="1" spans="2:2">
      <c r="B10305" s="62" t="str">
        <f>IF(AND('领用录入（明细）'!D:D=$F$4,'领用录入（明细）'!C:C&gt;=$J$4,'领用录入（明细）'!C:C&lt;=$L$4),ROW(),"-")</f>
        <v>-</v>
      </c>
    </row>
    <row r="10306" customHeight="1" spans="2:2">
      <c r="B10306" s="62" t="str">
        <f>IF(AND('领用录入（明细）'!D:D=$F$4,'领用录入（明细）'!C:C&gt;=$J$4,'领用录入（明细）'!C:C&lt;=$L$4),ROW(),"-")</f>
        <v>-</v>
      </c>
    </row>
    <row r="10307" customHeight="1" spans="2:2">
      <c r="B10307" s="62" t="str">
        <f>IF(AND('领用录入（明细）'!D:D=$F$4,'领用录入（明细）'!C:C&gt;=$J$4,'领用录入（明细）'!C:C&lt;=$L$4),ROW(),"-")</f>
        <v>-</v>
      </c>
    </row>
    <row r="10308" customHeight="1" spans="2:2">
      <c r="B10308" s="62" t="str">
        <f>IF(AND('领用录入（明细）'!D:D=$F$4,'领用录入（明细）'!C:C&gt;=$J$4,'领用录入（明细）'!C:C&lt;=$L$4),ROW(),"-")</f>
        <v>-</v>
      </c>
    </row>
    <row r="10309" customHeight="1" spans="2:2">
      <c r="B10309" s="62" t="str">
        <f>IF(AND('领用录入（明细）'!D:D=$F$4,'领用录入（明细）'!C:C&gt;=$J$4,'领用录入（明细）'!C:C&lt;=$L$4),ROW(),"-")</f>
        <v>-</v>
      </c>
    </row>
    <row r="10310" customHeight="1" spans="2:2">
      <c r="B10310" s="62" t="str">
        <f>IF(AND('领用录入（明细）'!D:D=$F$4,'领用录入（明细）'!C:C&gt;=$J$4,'领用录入（明细）'!C:C&lt;=$L$4),ROW(),"-")</f>
        <v>-</v>
      </c>
    </row>
    <row r="10311" customHeight="1" spans="2:2">
      <c r="B10311" s="62" t="str">
        <f>IF(AND('领用录入（明细）'!D:D=$F$4,'领用录入（明细）'!C:C&gt;=$J$4,'领用录入（明细）'!C:C&lt;=$L$4),ROW(),"-")</f>
        <v>-</v>
      </c>
    </row>
    <row r="10312" customHeight="1" spans="2:2">
      <c r="B10312" s="62" t="str">
        <f>IF(AND('领用录入（明细）'!D:D=$F$4,'领用录入（明细）'!C:C&gt;=$J$4,'领用录入（明细）'!C:C&lt;=$L$4),ROW(),"-")</f>
        <v>-</v>
      </c>
    </row>
    <row r="10313" customHeight="1" spans="2:2">
      <c r="B10313" s="62" t="str">
        <f>IF(AND('领用录入（明细）'!D:D=$F$4,'领用录入（明细）'!C:C&gt;=$J$4,'领用录入（明细）'!C:C&lt;=$L$4),ROW(),"-")</f>
        <v>-</v>
      </c>
    </row>
    <row r="10314" customHeight="1" spans="2:2">
      <c r="B10314" s="62" t="str">
        <f>IF(AND('领用录入（明细）'!D:D=$F$4,'领用录入（明细）'!C:C&gt;=$J$4,'领用录入（明细）'!C:C&lt;=$L$4),ROW(),"-")</f>
        <v>-</v>
      </c>
    </row>
    <row r="10315" customHeight="1" spans="2:2">
      <c r="B10315" s="62" t="str">
        <f>IF(AND('领用录入（明细）'!D:D=$F$4,'领用录入（明细）'!C:C&gt;=$J$4,'领用录入（明细）'!C:C&lt;=$L$4),ROW(),"-")</f>
        <v>-</v>
      </c>
    </row>
    <row r="10316" customHeight="1" spans="2:2">
      <c r="B10316" s="62" t="str">
        <f>IF(AND('领用录入（明细）'!D:D=$F$4,'领用录入（明细）'!C:C&gt;=$J$4,'领用录入（明细）'!C:C&lt;=$L$4),ROW(),"-")</f>
        <v>-</v>
      </c>
    </row>
    <row r="10317" customHeight="1" spans="2:2">
      <c r="B10317" s="62" t="str">
        <f>IF(AND('领用录入（明细）'!D:D=$F$4,'领用录入（明细）'!C:C&gt;=$J$4,'领用录入（明细）'!C:C&lt;=$L$4),ROW(),"-")</f>
        <v>-</v>
      </c>
    </row>
    <row r="10318" customHeight="1" spans="2:2">
      <c r="B10318" s="62" t="str">
        <f>IF(AND('领用录入（明细）'!D:D=$F$4,'领用录入（明细）'!C:C&gt;=$J$4,'领用录入（明细）'!C:C&lt;=$L$4),ROW(),"-")</f>
        <v>-</v>
      </c>
    </row>
    <row r="10319" customHeight="1" spans="2:2">
      <c r="B10319" s="62" t="str">
        <f>IF(AND('领用录入（明细）'!D:D=$F$4,'领用录入（明细）'!C:C&gt;=$J$4,'领用录入（明细）'!C:C&lt;=$L$4),ROW(),"-")</f>
        <v>-</v>
      </c>
    </row>
    <row r="10320" customHeight="1" spans="2:2">
      <c r="B10320" s="62" t="str">
        <f>IF(AND('领用录入（明细）'!D:D=$F$4,'领用录入（明细）'!C:C&gt;=$J$4,'领用录入（明细）'!C:C&lt;=$L$4),ROW(),"-")</f>
        <v>-</v>
      </c>
    </row>
    <row r="10321" customHeight="1" spans="2:2">
      <c r="B10321" s="62" t="str">
        <f>IF(AND('领用录入（明细）'!D:D=$F$4,'领用录入（明细）'!C:C&gt;=$J$4,'领用录入（明细）'!C:C&lt;=$L$4),ROW(),"-")</f>
        <v>-</v>
      </c>
    </row>
    <row r="10322" customHeight="1" spans="2:2">
      <c r="B10322" s="62" t="str">
        <f>IF(AND('领用录入（明细）'!D:D=$F$4,'领用录入（明细）'!C:C&gt;=$J$4,'领用录入（明细）'!C:C&lt;=$L$4),ROW(),"-")</f>
        <v>-</v>
      </c>
    </row>
    <row r="10323" customHeight="1" spans="2:2">
      <c r="B10323" s="62" t="str">
        <f>IF(AND('领用录入（明细）'!D:D=$F$4,'领用录入（明细）'!C:C&gt;=$J$4,'领用录入（明细）'!C:C&lt;=$L$4),ROW(),"-")</f>
        <v>-</v>
      </c>
    </row>
    <row r="10324" customHeight="1" spans="2:2">
      <c r="B10324" s="62" t="str">
        <f>IF(AND('领用录入（明细）'!D:D=$F$4,'领用录入（明细）'!C:C&gt;=$J$4,'领用录入（明细）'!C:C&lt;=$L$4),ROW(),"-")</f>
        <v>-</v>
      </c>
    </row>
    <row r="10325" customHeight="1" spans="2:2">
      <c r="B10325" s="62" t="str">
        <f>IF(AND('领用录入（明细）'!D:D=$F$4,'领用录入（明细）'!C:C&gt;=$J$4,'领用录入（明细）'!C:C&lt;=$L$4),ROW(),"-")</f>
        <v>-</v>
      </c>
    </row>
    <row r="10326" customHeight="1" spans="2:2">
      <c r="B10326" s="62" t="str">
        <f>IF(AND('领用录入（明细）'!D:D=$F$4,'领用录入（明细）'!C:C&gt;=$J$4,'领用录入（明细）'!C:C&lt;=$L$4),ROW(),"-")</f>
        <v>-</v>
      </c>
    </row>
    <row r="10327" customHeight="1" spans="2:2">
      <c r="B10327" s="62" t="str">
        <f>IF(AND('领用录入（明细）'!D:D=$F$4,'领用录入（明细）'!C:C&gt;=$J$4,'领用录入（明细）'!C:C&lt;=$L$4),ROW(),"-")</f>
        <v>-</v>
      </c>
    </row>
    <row r="10328" customHeight="1" spans="2:2">
      <c r="B10328" s="62" t="str">
        <f>IF(AND('领用录入（明细）'!D:D=$F$4,'领用录入（明细）'!C:C&gt;=$J$4,'领用录入（明细）'!C:C&lt;=$L$4),ROW(),"-")</f>
        <v>-</v>
      </c>
    </row>
    <row r="10329" customHeight="1" spans="2:2">
      <c r="B10329" s="62" t="str">
        <f>IF(AND('领用录入（明细）'!D:D=$F$4,'领用录入（明细）'!C:C&gt;=$J$4,'领用录入（明细）'!C:C&lt;=$L$4),ROW(),"-")</f>
        <v>-</v>
      </c>
    </row>
    <row r="10330" customHeight="1" spans="2:2">
      <c r="B10330" s="62" t="str">
        <f>IF(AND('领用录入（明细）'!D:D=$F$4,'领用录入（明细）'!C:C&gt;=$J$4,'领用录入（明细）'!C:C&lt;=$L$4),ROW(),"-")</f>
        <v>-</v>
      </c>
    </row>
    <row r="10331" customHeight="1" spans="2:2">
      <c r="B10331" s="62" t="str">
        <f>IF(AND('领用录入（明细）'!D:D=$F$4,'领用录入（明细）'!C:C&gt;=$J$4,'领用录入（明细）'!C:C&lt;=$L$4),ROW(),"-")</f>
        <v>-</v>
      </c>
    </row>
    <row r="10332" customHeight="1" spans="2:2">
      <c r="B10332" s="62" t="str">
        <f>IF(AND('领用录入（明细）'!D:D=$F$4,'领用录入（明细）'!C:C&gt;=$J$4,'领用录入（明细）'!C:C&lt;=$L$4),ROW(),"-")</f>
        <v>-</v>
      </c>
    </row>
    <row r="10333" customHeight="1" spans="2:2">
      <c r="B10333" s="62" t="str">
        <f>IF(AND('领用录入（明细）'!D:D=$F$4,'领用录入（明细）'!C:C&gt;=$J$4,'领用录入（明细）'!C:C&lt;=$L$4),ROW(),"-")</f>
        <v>-</v>
      </c>
    </row>
    <row r="10334" customHeight="1" spans="2:2">
      <c r="B10334" s="62" t="str">
        <f>IF(AND('领用录入（明细）'!D:D=$F$4,'领用录入（明细）'!C:C&gt;=$J$4,'领用录入（明细）'!C:C&lt;=$L$4),ROW(),"-")</f>
        <v>-</v>
      </c>
    </row>
    <row r="10335" customHeight="1" spans="2:2">
      <c r="B10335" s="62" t="str">
        <f>IF(AND('领用录入（明细）'!D:D=$F$4,'领用录入（明细）'!C:C&gt;=$J$4,'领用录入（明细）'!C:C&lt;=$L$4),ROW(),"-")</f>
        <v>-</v>
      </c>
    </row>
    <row r="10336" customHeight="1" spans="2:2">
      <c r="B10336" s="62" t="str">
        <f>IF(AND('领用录入（明细）'!D:D=$F$4,'领用录入（明细）'!C:C&gt;=$J$4,'领用录入（明细）'!C:C&lt;=$L$4),ROW(),"-")</f>
        <v>-</v>
      </c>
    </row>
    <row r="10337" customHeight="1" spans="2:2">
      <c r="B10337" s="62" t="str">
        <f>IF(AND('领用录入（明细）'!D:D=$F$4,'领用录入（明细）'!C:C&gt;=$J$4,'领用录入（明细）'!C:C&lt;=$L$4),ROW(),"-")</f>
        <v>-</v>
      </c>
    </row>
    <row r="10338" customHeight="1" spans="2:2">
      <c r="B10338" s="62" t="str">
        <f>IF(AND('领用录入（明细）'!D:D=$F$4,'领用录入（明细）'!C:C&gt;=$J$4,'领用录入（明细）'!C:C&lt;=$L$4),ROW(),"-")</f>
        <v>-</v>
      </c>
    </row>
    <row r="10339" customHeight="1" spans="2:2">
      <c r="B10339" s="62" t="str">
        <f>IF(AND('领用录入（明细）'!D:D=$F$4,'领用录入（明细）'!C:C&gt;=$J$4,'领用录入（明细）'!C:C&lt;=$L$4),ROW(),"-")</f>
        <v>-</v>
      </c>
    </row>
    <row r="10340" customHeight="1" spans="2:2">
      <c r="B10340" s="62" t="str">
        <f>IF(AND('领用录入（明细）'!D:D=$F$4,'领用录入（明细）'!C:C&gt;=$J$4,'领用录入（明细）'!C:C&lt;=$L$4),ROW(),"-")</f>
        <v>-</v>
      </c>
    </row>
    <row r="10341" customHeight="1" spans="2:2">
      <c r="B10341" s="62" t="str">
        <f>IF(AND('领用录入（明细）'!D:D=$F$4,'领用录入（明细）'!C:C&gt;=$J$4,'领用录入（明细）'!C:C&lt;=$L$4),ROW(),"-")</f>
        <v>-</v>
      </c>
    </row>
    <row r="10342" customHeight="1" spans="2:2">
      <c r="B10342" s="62" t="str">
        <f>IF(AND('领用录入（明细）'!D:D=$F$4,'领用录入（明细）'!C:C&gt;=$J$4,'领用录入（明细）'!C:C&lt;=$L$4),ROW(),"-")</f>
        <v>-</v>
      </c>
    </row>
    <row r="10343" customHeight="1" spans="2:2">
      <c r="B10343" s="62" t="str">
        <f>IF(AND('领用录入（明细）'!D:D=$F$4,'领用录入（明细）'!C:C&gt;=$J$4,'领用录入（明细）'!C:C&lt;=$L$4),ROW(),"-")</f>
        <v>-</v>
      </c>
    </row>
    <row r="10344" customHeight="1" spans="2:2">
      <c r="B10344" s="62" t="str">
        <f>IF(AND('领用录入（明细）'!D:D=$F$4,'领用录入（明细）'!C:C&gt;=$J$4,'领用录入（明细）'!C:C&lt;=$L$4),ROW(),"-")</f>
        <v>-</v>
      </c>
    </row>
    <row r="10345" customHeight="1" spans="2:2">
      <c r="B10345" s="62" t="str">
        <f>IF(AND('领用录入（明细）'!D:D=$F$4,'领用录入（明细）'!C:C&gt;=$J$4,'领用录入（明细）'!C:C&lt;=$L$4),ROW(),"-")</f>
        <v>-</v>
      </c>
    </row>
    <row r="10346" customHeight="1" spans="2:2">
      <c r="B10346" s="62" t="str">
        <f>IF(AND('领用录入（明细）'!D:D=$F$4,'领用录入（明细）'!C:C&gt;=$J$4,'领用录入（明细）'!C:C&lt;=$L$4),ROW(),"-")</f>
        <v>-</v>
      </c>
    </row>
    <row r="10347" customHeight="1" spans="2:2">
      <c r="B10347" s="62" t="str">
        <f>IF(AND('领用录入（明细）'!D:D=$F$4,'领用录入（明细）'!C:C&gt;=$J$4,'领用录入（明细）'!C:C&lt;=$L$4),ROW(),"-")</f>
        <v>-</v>
      </c>
    </row>
    <row r="10348" customHeight="1" spans="2:2">
      <c r="B10348" s="62" t="str">
        <f>IF(AND('领用录入（明细）'!D:D=$F$4,'领用录入（明细）'!C:C&gt;=$J$4,'领用录入（明细）'!C:C&lt;=$L$4),ROW(),"-")</f>
        <v>-</v>
      </c>
    </row>
    <row r="10349" customHeight="1" spans="2:2">
      <c r="B10349" s="62" t="str">
        <f>IF(AND('领用录入（明细）'!D:D=$F$4,'领用录入（明细）'!C:C&gt;=$J$4,'领用录入（明细）'!C:C&lt;=$L$4),ROW(),"-")</f>
        <v>-</v>
      </c>
    </row>
    <row r="10350" customHeight="1" spans="2:2">
      <c r="B10350" s="62" t="str">
        <f>IF(AND('领用录入（明细）'!D:D=$F$4,'领用录入（明细）'!C:C&gt;=$J$4,'领用录入（明细）'!C:C&lt;=$L$4),ROW(),"-")</f>
        <v>-</v>
      </c>
    </row>
    <row r="10351" customHeight="1" spans="2:2">
      <c r="B10351" s="62" t="str">
        <f>IF(AND('领用录入（明细）'!D:D=$F$4,'领用录入（明细）'!C:C&gt;=$J$4,'领用录入（明细）'!C:C&lt;=$L$4),ROW(),"-")</f>
        <v>-</v>
      </c>
    </row>
    <row r="10352" customHeight="1" spans="2:2">
      <c r="B10352" s="62" t="str">
        <f>IF(AND('领用录入（明细）'!D:D=$F$4,'领用录入（明细）'!C:C&gt;=$J$4,'领用录入（明细）'!C:C&lt;=$L$4),ROW(),"-")</f>
        <v>-</v>
      </c>
    </row>
    <row r="10353" customHeight="1" spans="2:2">
      <c r="B10353" s="62" t="str">
        <f>IF(AND('领用录入（明细）'!D:D=$F$4,'领用录入（明细）'!C:C&gt;=$J$4,'领用录入（明细）'!C:C&lt;=$L$4),ROW(),"-")</f>
        <v>-</v>
      </c>
    </row>
    <row r="10354" customHeight="1" spans="2:2">
      <c r="B10354" s="62" t="str">
        <f>IF(AND('领用录入（明细）'!D:D=$F$4,'领用录入（明细）'!C:C&gt;=$J$4,'领用录入（明细）'!C:C&lt;=$L$4),ROW(),"-")</f>
        <v>-</v>
      </c>
    </row>
    <row r="10355" customHeight="1" spans="2:2">
      <c r="B10355" s="62" t="str">
        <f>IF(AND('领用录入（明细）'!D:D=$F$4,'领用录入（明细）'!C:C&gt;=$J$4,'领用录入（明细）'!C:C&lt;=$L$4),ROW(),"-")</f>
        <v>-</v>
      </c>
    </row>
    <row r="10356" customHeight="1" spans="2:2">
      <c r="B10356" s="62" t="str">
        <f>IF(AND('领用录入（明细）'!D:D=$F$4,'领用录入（明细）'!C:C&gt;=$J$4,'领用录入（明细）'!C:C&lt;=$L$4),ROW(),"-")</f>
        <v>-</v>
      </c>
    </row>
    <row r="10357" customHeight="1" spans="2:2">
      <c r="B10357" s="62" t="str">
        <f>IF(AND('领用录入（明细）'!D:D=$F$4,'领用录入（明细）'!C:C&gt;=$J$4,'领用录入（明细）'!C:C&lt;=$L$4),ROW(),"-")</f>
        <v>-</v>
      </c>
    </row>
    <row r="10358" customHeight="1" spans="2:2">
      <c r="B10358" s="62" t="str">
        <f>IF(AND('领用录入（明细）'!D:D=$F$4,'领用录入（明细）'!C:C&gt;=$J$4,'领用录入（明细）'!C:C&lt;=$L$4),ROW(),"-")</f>
        <v>-</v>
      </c>
    </row>
    <row r="10359" customHeight="1" spans="2:2">
      <c r="B10359" s="62" t="str">
        <f>IF(AND('领用录入（明细）'!D:D=$F$4,'领用录入（明细）'!C:C&gt;=$J$4,'领用录入（明细）'!C:C&lt;=$L$4),ROW(),"-")</f>
        <v>-</v>
      </c>
    </row>
    <row r="10360" customHeight="1" spans="2:2">
      <c r="B10360" s="62" t="str">
        <f>IF(AND('领用录入（明细）'!D:D=$F$4,'领用录入（明细）'!C:C&gt;=$J$4,'领用录入（明细）'!C:C&lt;=$L$4),ROW(),"-")</f>
        <v>-</v>
      </c>
    </row>
    <row r="10361" customHeight="1" spans="2:2">
      <c r="B10361" s="62" t="str">
        <f>IF(AND('领用录入（明细）'!D:D=$F$4,'领用录入（明细）'!C:C&gt;=$J$4,'领用录入（明细）'!C:C&lt;=$L$4),ROW(),"-")</f>
        <v>-</v>
      </c>
    </row>
    <row r="10362" customHeight="1" spans="2:2">
      <c r="B10362" s="62" t="str">
        <f>IF(AND('领用录入（明细）'!D:D=$F$4,'领用录入（明细）'!C:C&gt;=$J$4,'领用录入（明细）'!C:C&lt;=$L$4),ROW(),"-")</f>
        <v>-</v>
      </c>
    </row>
    <row r="10363" customHeight="1" spans="2:2">
      <c r="B10363" s="62" t="str">
        <f>IF(AND('领用录入（明细）'!D:D=$F$4,'领用录入（明细）'!C:C&gt;=$J$4,'领用录入（明细）'!C:C&lt;=$L$4),ROW(),"-")</f>
        <v>-</v>
      </c>
    </row>
    <row r="10364" customHeight="1" spans="2:2">
      <c r="B10364" s="62" t="str">
        <f>IF(AND('领用录入（明细）'!D:D=$F$4,'领用录入（明细）'!C:C&gt;=$J$4,'领用录入（明细）'!C:C&lt;=$L$4),ROW(),"-")</f>
        <v>-</v>
      </c>
    </row>
    <row r="10365" customHeight="1" spans="2:2">
      <c r="B10365" s="62" t="str">
        <f>IF(AND('领用录入（明细）'!D:D=$F$4,'领用录入（明细）'!C:C&gt;=$J$4,'领用录入（明细）'!C:C&lt;=$L$4),ROW(),"-")</f>
        <v>-</v>
      </c>
    </row>
    <row r="10366" customHeight="1" spans="2:2">
      <c r="B10366" s="62" t="str">
        <f>IF(AND('领用录入（明细）'!D:D=$F$4,'领用录入（明细）'!C:C&gt;=$J$4,'领用录入（明细）'!C:C&lt;=$L$4),ROW(),"-")</f>
        <v>-</v>
      </c>
    </row>
    <row r="10367" customHeight="1" spans="2:2">
      <c r="B10367" s="62" t="str">
        <f>IF(AND('领用录入（明细）'!D:D=$F$4,'领用录入（明细）'!C:C&gt;=$J$4,'领用录入（明细）'!C:C&lt;=$L$4),ROW(),"-")</f>
        <v>-</v>
      </c>
    </row>
    <row r="10368" customHeight="1" spans="2:2">
      <c r="B10368" s="62" t="str">
        <f>IF(AND('领用录入（明细）'!D:D=$F$4,'领用录入（明细）'!C:C&gt;=$J$4,'领用录入（明细）'!C:C&lt;=$L$4),ROW(),"-")</f>
        <v>-</v>
      </c>
    </row>
    <row r="10369" customHeight="1" spans="2:2">
      <c r="B10369" s="62" t="str">
        <f>IF(AND('领用录入（明细）'!D:D=$F$4,'领用录入（明细）'!C:C&gt;=$J$4,'领用录入（明细）'!C:C&lt;=$L$4),ROW(),"-")</f>
        <v>-</v>
      </c>
    </row>
    <row r="10370" customHeight="1" spans="2:2">
      <c r="B10370" s="62" t="str">
        <f>IF(AND('领用录入（明细）'!D:D=$F$4,'领用录入（明细）'!C:C&gt;=$J$4,'领用录入（明细）'!C:C&lt;=$L$4),ROW(),"-")</f>
        <v>-</v>
      </c>
    </row>
    <row r="10371" customHeight="1" spans="2:2">
      <c r="B10371" s="62" t="str">
        <f>IF(AND('领用录入（明细）'!D:D=$F$4,'领用录入（明细）'!C:C&gt;=$J$4,'领用录入（明细）'!C:C&lt;=$L$4),ROW(),"-")</f>
        <v>-</v>
      </c>
    </row>
    <row r="10372" customHeight="1" spans="2:2">
      <c r="B10372" s="62" t="str">
        <f>IF(AND('领用录入（明细）'!D:D=$F$4,'领用录入（明细）'!C:C&gt;=$J$4,'领用录入（明细）'!C:C&lt;=$L$4),ROW(),"-")</f>
        <v>-</v>
      </c>
    </row>
    <row r="10373" customHeight="1" spans="2:2">
      <c r="B10373" s="62" t="str">
        <f>IF(AND('领用录入（明细）'!D:D=$F$4,'领用录入（明细）'!C:C&gt;=$J$4,'领用录入（明细）'!C:C&lt;=$L$4),ROW(),"-")</f>
        <v>-</v>
      </c>
    </row>
    <row r="10374" customHeight="1" spans="2:2">
      <c r="B10374" s="62" t="str">
        <f>IF(AND('领用录入（明细）'!D:D=$F$4,'领用录入（明细）'!C:C&gt;=$J$4,'领用录入（明细）'!C:C&lt;=$L$4),ROW(),"-")</f>
        <v>-</v>
      </c>
    </row>
    <row r="10375" customHeight="1" spans="2:2">
      <c r="B10375" s="62" t="str">
        <f>IF(AND('领用录入（明细）'!D:D=$F$4,'领用录入（明细）'!C:C&gt;=$J$4,'领用录入（明细）'!C:C&lt;=$L$4),ROW(),"-")</f>
        <v>-</v>
      </c>
    </row>
    <row r="10376" customHeight="1" spans="2:2">
      <c r="B10376" s="62" t="str">
        <f>IF(AND('领用录入（明细）'!D:D=$F$4,'领用录入（明细）'!C:C&gt;=$J$4,'领用录入（明细）'!C:C&lt;=$L$4),ROW(),"-")</f>
        <v>-</v>
      </c>
    </row>
    <row r="10377" customHeight="1" spans="2:2">
      <c r="B10377" s="62" t="str">
        <f>IF(AND('领用录入（明细）'!D:D=$F$4,'领用录入（明细）'!C:C&gt;=$J$4,'领用录入（明细）'!C:C&lt;=$L$4),ROW(),"-")</f>
        <v>-</v>
      </c>
    </row>
    <row r="10378" customHeight="1" spans="2:2">
      <c r="B10378" s="62" t="str">
        <f>IF(AND('领用录入（明细）'!D:D=$F$4,'领用录入（明细）'!C:C&gt;=$J$4,'领用录入（明细）'!C:C&lt;=$L$4),ROW(),"-")</f>
        <v>-</v>
      </c>
    </row>
    <row r="10379" customHeight="1" spans="2:2">
      <c r="B10379" s="62" t="str">
        <f>IF(AND('领用录入（明细）'!D:D=$F$4,'领用录入（明细）'!C:C&gt;=$J$4,'领用录入（明细）'!C:C&lt;=$L$4),ROW(),"-")</f>
        <v>-</v>
      </c>
    </row>
    <row r="10380" customHeight="1" spans="2:2">
      <c r="B10380" s="62" t="str">
        <f>IF(AND('领用录入（明细）'!D:D=$F$4,'领用录入（明细）'!C:C&gt;=$J$4,'领用录入（明细）'!C:C&lt;=$L$4),ROW(),"-")</f>
        <v>-</v>
      </c>
    </row>
    <row r="10381" customHeight="1" spans="2:2">
      <c r="B10381" s="62" t="str">
        <f>IF(AND('领用录入（明细）'!D:D=$F$4,'领用录入（明细）'!C:C&gt;=$J$4,'领用录入（明细）'!C:C&lt;=$L$4),ROW(),"-")</f>
        <v>-</v>
      </c>
    </row>
    <row r="10382" customHeight="1" spans="2:2">
      <c r="B10382" s="62" t="str">
        <f>IF(AND('领用录入（明细）'!D:D=$F$4,'领用录入（明细）'!C:C&gt;=$J$4,'领用录入（明细）'!C:C&lt;=$L$4),ROW(),"-")</f>
        <v>-</v>
      </c>
    </row>
    <row r="10383" customHeight="1" spans="2:2">
      <c r="B10383" s="62" t="str">
        <f>IF(AND('领用录入（明细）'!D:D=$F$4,'领用录入（明细）'!C:C&gt;=$J$4,'领用录入（明细）'!C:C&lt;=$L$4),ROW(),"-")</f>
        <v>-</v>
      </c>
    </row>
    <row r="10384" customHeight="1" spans="2:2">
      <c r="B10384" s="62" t="str">
        <f>IF(AND('领用录入（明细）'!D:D=$F$4,'领用录入（明细）'!C:C&gt;=$J$4,'领用录入（明细）'!C:C&lt;=$L$4),ROW(),"-")</f>
        <v>-</v>
      </c>
    </row>
    <row r="10385" customHeight="1" spans="2:2">
      <c r="B10385" s="62" t="str">
        <f>IF(AND('领用录入（明细）'!D:D=$F$4,'领用录入（明细）'!C:C&gt;=$J$4,'领用录入（明细）'!C:C&lt;=$L$4),ROW(),"-")</f>
        <v>-</v>
      </c>
    </row>
    <row r="10386" customHeight="1" spans="2:2">
      <c r="B10386" s="62" t="str">
        <f>IF(AND('领用录入（明细）'!D:D=$F$4,'领用录入（明细）'!C:C&gt;=$J$4,'领用录入（明细）'!C:C&lt;=$L$4),ROW(),"-")</f>
        <v>-</v>
      </c>
    </row>
    <row r="10387" customHeight="1" spans="2:2">
      <c r="B10387" s="62" t="str">
        <f>IF(AND('领用录入（明细）'!D:D=$F$4,'领用录入（明细）'!C:C&gt;=$J$4,'领用录入（明细）'!C:C&lt;=$L$4),ROW(),"-")</f>
        <v>-</v>
      </c>
    </row>
    <row r="10388" customHeight="1" spans="2:2">
      <c r="B10388" s="62" t="str">
        <f>IF(AND('领用录入（明细）'!D:D=$F$4,'领用录入（明细）'!C:C&gt;=$J$4,'领用录入（明细）'!C:C&lt;=$L$4),ROW(),"-")</f>
        <v>-</v>
      </c>
    </row>
    <row r="10389" customHeight="1" spans="2:2">
      <c r="B10389" s="62" t="str">
        <f>IF(AND('领用录入（明细）'!D:D=$F$4,'领用录入（明细）'!C:C&gt;=$J$4,'领用录入（明细）'!C:C&lt;=$L$4),ROW(),"-")</f>
        <v>-</v>
      </c>
    </row>
    <row r="10390" customHeight="1" spans="2:2">
      <c r="B10390" s="62" t="str">
        <f>IF(AND('领用录入（明细）'!D:D=$F$4,'领用录入（明细）'!C:C&gt;=$J$4,'领用录入（明细）'!C:C&lt;=$L$4),ROW(),"-")</f>
        <v>-</v>
      </c>
    </row>
    <row r="10391" customHeight="1" spans="2:2">
      <c r="B10391" s="62" t="str">
        <f>IF(AND('领用录入（明细）'!D:D=$F$4,'领用录入（明细）'!C:C&gt;=$J$4,'领用录入（明细）'!C:C&lt;=$L$4),ROW(),"-")</f>
        <v>-</v>
      </c>
    </row>
    <row r="10392" customHeight="1" spans="2:2">
      <c r="B10392" s="62" t="str">
        <f>IF(AND('领用录入（明细）'!D:D=$F$4,'领用录入（明细）'!C:C&gt;=$J$4,'领用录入（明细）'!C:C&lt;=$L$4),ROW(),"-")</f>
        <v>-</v>
      </c>
    </row>
    <row r="10393" customHeight="1" spans="2:2">
      <c r="B10393" s="62" t="str">
        <f>IF(AND('领用录入（明细）'!D:D=$F$4,'领用录入（明细）'!C:C&gt;=$J$4,'领用录入（明细）'!C:C&lt;=$L$4),ROW(),"-")</f>
        <v>-</v>
      </c>
    </row>
    <row r="10394" customHeight="1" spans="2:2">
      <c r="B10394" s="62" t="str">
        <f>IF(AND('领用录入（明细）'!D:D=$F$4,'领用录入（明细）'!C:C&gt;=$J$4,'领用录入（明细）'!C:C&lt;=$L$4),ROW(),"-")</f>
        <v>-</v>
      </c>
    </row>
    <row r="10395" customHeight="1" spans="2:2">
      <c r="B10395" s="62" t="str">
        <f>IF(AND('领用录入（明细）'!D:D=$F$4,'领用录入（明细）'!C:C&gt;=$J$4,'领用录入（明细）'!C:C&lt;=$L$4),ROW(),"-")</f>
        <v>-</v>
      </c>
    </row>
    <row r="10396" customHeight="1" spans="2:2">
      <c r="B10396" s="62" t="str">
        <f>IF(AND('领用录入（明细）'!D:D=$F$4,'领用录入（明细）'!C:C&gt;=$J$4,'领用录入（明细）'!C:C&lt;=$L$4),ROW(),"-")</f>
        <v>-</v>
      </c>
    </row>
    <row r="10397" customHeight="1" spans="2:2">
      <c r="B10397" s="62" t="str">
        <f>IF(AND('领用录入（明细）'!D:D=$F$4,'领用录入（明细）'!C:C&gt;=$J$4,'领用录入（明细）'!C:C&lt;=$L$4),ROW(),"-")</f>
        <v>-</v>
      </c>
    </row>
    <row r="10398" customHeight="1" spans="2:2">
      <c r="B10398" s="62" t="str">
        <f>IF(AND('领用录入（明细）'!D:D=$F$4,'领用录入（明细）'!C:C&gt;=$J$4,'领用录入（明细）'!C:C&lt;=$L$4),ROW(),"-")</f>
        <v>-</v>
      </c>
    </row>
    <row r="10399" customHeight="1" spans="2:2">
      <c r="B10399" s="62" t="str">
        <f>IF(AND('领用录入（明细）'!D:D=$F$4,'领用录入（明细）'!C:C&gt;=$J$4,'领用录入（明细）'!C:C&lt;=$L$4),ROW(),"-")</f>
        <v>-</v>
      </c>
    </row>
    <row r="10400" customHeight="1" spans="2:2">
      <c r="B10400" s="62" t="str">
        <f>IF(AND('领用录入（明细）'!D:D=$F$4,'领用录入（明细）'!C:C&gt;=$J$4,'领用录入（明细）'!C:C&lt;=$L$4),ROW(),"-")</f>
        <v>-</v>
      </c>
    </row>
    <row r="10401" customHeight="1" spans="2:2">
      <c r="B10401" s="62" t="str">
        <f>IF(AND('领用录入（明细）'!D:D=$F$4,'领用录入（明细）'!C:C&gt;=$J$4,'领用录入（明细）'!C:C&lt;=$L$4),ROW(),"-")</f>
        <v>-</v>
      </c>
    </row>
    <row r="10402" customHeight="1" spans="2:2">
      <c r="B10402" s="62" t="str">
        <f>IF(AND('领用录入（明细）'!D:D=$F$4,'领用录入（明细）'!C:C&gt;=$J$4,'领用录入（明细）'!C:C&lt;=$L$4),ROW(),"-")</f>
        <v>-</v>
      </c>
    </row>
    <row r="10403" customHeight="1" spans="2:2">
      <c r="B10403" s="62" t="str">
        <f>IF(AND('领用录入（明细）'!D:D=$F$4,'领用录入（明细）'!C:C&gt;=$J$4,'领用录入（明细）'!C:C&lt;=$L$4),ROW(),"-")</f>
        <v>-</v>
      </c>
    </row>
    <row r="10404" customHeight="1" spans="2:2">
      <c r="B10404" s="62" t="str">
        <f>IF(AND('领用录入（明细）'!D:D=$F$4,'领用录入（明细）'!C:C&gt;=$J$4,'领用录入（明细）'!C:C&lt;=$L$4),ROW(),"-")</f>
        <v>-</v>
      </c>
    </row>
    <row r="10405" customHeight="1" spans="2:2">
      <c r="B10405" s="62" t="str">
        <f>IF(AND('领用录入（明细）'!D:D=$F$4,'领用录入（明细）'!C:C&gt;=$J$4,'领用录入（明细）'!C:C&lt;=$L$4),ROW(),"-")</f>
        <v>-</v>
      </c>
    </row>
    <row r="10406" customHeight="1" spans="2:2">
      <c r="B10406" s="62" t="str">
        <f>IF(AND('领用录入（明细）'!D:D=$F$4,'领用录入（明细）'!C:C&gt;=$J$4,'领用录入（明细）'!C:C&lt;=$L$4),ROW(),"-")</f>
        <v>-</v>
      </c>
    </row>
    <row r="10407" customHeight="1" spans="2:2">
      <c r="B10407" s="62" t="str">
        <f>IF(AND('领用录入（明细）'!D:D=$F$4,'领用录入（明细）'!C:C&gt;=$J$4,'领用录入（明细）'!C:C&lt;=$L$4),ROW(),"-")</f>
        <v>-</v>
      </c>
    </row>
    <row r="10408" customHeight="1" spans="2:2">
      <c r="B10408" s="62" t="str">
        <f>IF(AND('领用录入（明细）'!D:D=$F$4,'领用录入（明细）'!C:C&gt;=$J$4,'领用录入（明细）'!C:C&lt;=$L$4),ROW(),"-")</f>
        <v>-</v>
      </c>
    </row>
    <row r="10409" customHeight="1" spans="2:2">
      <c r="B10409" s="62" t="str">
        <f>IF(AND('领用录入（明细）'!D:D=$F$4,'领用录入（明细）'!C:C&gt;=$J$4,'领用录入（明细）'!C:C&lt;=$L$4),ROW(),"-")</f>
        <v>-</v>
      </c>
    </row>
    <row r="10410" customHeight="1" spans="2:2">
      <c r="B10410" s="62" t="str">
        <f>IF(AND('领用录入（明细）'!D:D=$F$4,'领用录入（明细）'!C:C&gt;=$J$4,'领用录入（明细）'!C:C&lt;=$L$4),ROW(),"-")</f>
        <v>-</v>
      </c>
    </row>
    <row r="10411" customHeight="1" spans="2:2">
      <c r="B10411" s="62" t="str">
        <f>IF(AND('领用录入（明细）'!D:D=$F$4,'领用录入（明细）'!C:C&gt;=$J$4,'领用录入（明细）'!C:C&lt;=$L$4),ROW(),"-")</f>
        <v>-</v>
      </c>
    </row>
    <row r="10412" customHeight="1" spans="2:2">
      <c r="B10412" s="62" t="str">
        <f>IF(AND('领用录入（明细）'!D:D=$F$4,'领用录入（明细）'!C:C&gt;=$J$4,'领用录入（明细）'!C:C&lt;=$L$4),ROW(),"-")</f>
        <v>-</v>
      </c>
    </row>
    <row r="10413" customHeight="1" spans="2:2">
      <c r="B10413" s="62" t="str">
        <f>IF(AND('领用录入（明细）'!D:D=$F$4,'领用录入（明细）'!C:C&gt;=$J$4,'领用录入（明细）'!C:C&lt;=$L$4),ROW(),"-")</f>
        <v>-</v>
      </c>
    </row>
    <row r="10414" customHeight="1" spans="2:2">
      <c r="B10414" s="62" t="str">
        <f>IF(AND('领用录入（明细）'!D:D=$F$4,'领用录入（明细）'!C:C&gt;=$J$4,'领用录入（明细）'!C:C&lt;=$L$4),ROW(),"-")</f>
        <v>-</v>
      </c>
    </row>
    <row r="10415" customHeight="1" spans="2:2">
      <c r="B10415" s="62" t="str">
        <f>IF(AND('领用录入（明细）'!D:D=$F$4,'领用录入（明细）'!C:C&gt;=$J$4,'领用录入（明细）'!C:C&lt;=$L$4),ROW(),"-")</f>
        <v>-</v>
      </c>
    </row>
    <row r="10416" customHeight="1" spans="2:2">
      <c r="B10416" s="62" t="str">
        <f>IF(AND('领用录入（明细）'!D:D=$F$4,'领用录入（明细）'!C:C&gt;=$J$4,'领用录入（明细）'!C:C&lt;=$L$4),ROW(),"-")</f>
        <v>-</v>
      </c>
    </row>
    <row r="10417" customHeight="1" spans="2:2">
      <c r="B10417" s="62" t="str">
        <f>IF(AND('领用录入（明细）'!D:D=$F$4,'领用录入（明细）'!C:C&gt;=$J$4,'领用录入（明细）'!C:C&lt;=$L$4),ROW(),"-")</f>
        <v>-</v>
      </c>
    </row>
    <row r="10418" customHeight="1" spans="2:2">
      <c r="B10418" s="62" t="str">
        <f>IF(AND('领用录入（明细）'!D:D=$F$4,'领用录入（明细）'!C:C&gt;=$J$4,'领用录入（明细）'!C:C&lt;=$L$4),ROW(),"-")</f>
        <v>-</v>
      </c>
    </row>
    <row r="10419" customHeight="1" spans="2:2">
      <c r="B10419" s="62" t="str">
        <f>IF(AND('领用录入（明细）'!D:D=$F$4,'领用录入（明细）'!C:C&gt;=$J$4,'领用录入（明细）'!C:C&lt;=$L$4),ROW(),"-")</f>
        <v>-</v>
      </c>
    </row>
    <row r="10420" customHeight="1" spans="2:2">
      <c r="B10420" s="62" t="str">
        <f>IF(AND('领用录入（明细）'!D:D=$F$4,'领用录入（明细）'!C:C&gt;=$J$4,'领用录入（明细）'!C:C&lt;=$L$4),ROW(),"-")</f>
        <v>-</v>
      </c>
    </row>
    <row r="10421" customHeight="1" spans="2:2">
      <c r="B10421" s="62" t="str">
        <f>IF(AND('领用录入（明细）'!D:D=$F$4,'领用录入（明细）'!C:C&gt;=$J$4,'领用录入（明细）'!C:C&lt;=$L$4),ROW(),"-")</f>
        <v>-</v>
      </c>
    </row>
    <row r="10422" customHeight="1" spans="2:2">
      <c r="B10422" s="62" t="str">
        <f>IF(AND('领用录入（明细）'!D:D=$F$4,'领用录入（明细）'!C:C&gt;=$J$4,'领用录入（明细）'!C:C&lt;=$L$4),ROW(),"-")</f>
        <v>-</v>
      </c>
    </row>
    <row r="10423" customHeight="1" spans="2:2">
      <c r="B10423" s="62" t="str">
        <f>IF(AND('领用录入（明细）'!D:D=$F$4,'领用录入（明细）'!C:C&gt;=$J$4,'领用录入（明细）'!C:C&lt;=$L$4),ROW(),"-")</f>
        <v>-</v>
      </c>
    </row>
    <row r="10424" customHeight="1" spans="2:2">
      <c r="B10424" s="62" t="str">
        <f>IF(AND('领用录入（明细）'!D:D=$F$4,'领用录入（明细）'!C:C&gt;=$J$4,'领用录入（明细）'!C:C&lt;=$L$4),ROW(),"-")</f>
        <v>-</v>
      </c>
    </row>
    <row r="10425" customHeight="1" spans="2:2">
      <c r="B10425" s="62" t="str">
        <f>IF(AND('领用录入（明细）'!D:D=$F$4,'领用录入（明细）'!C:C&gt;=$J$4,'领用录入（明细）'!C:C&lt;=$L$4),ROW(),"-")</f>
        <v>-</v>
      </c>
    </row>
    <row r="10426" customHeight="1" spans="2:2">
      <c r="B10426" s="62" t="str">
        <f>IF(AND('领用录入（明细）'!D:D=$F$4,'领用录入（明细）'!C:C&gt;=$J$4,'领用录入（明细）'!C:C&lt;=$L$4),ROW(),"-")</f>
        <v>-</v>
      </c>
    </row>
    <row r="10427" customHeight="1" spans="2:2">
      <c r="B10427" s="62" t="str">
        <f>IF(AND('领用录入（明细）'!D:D=$F$4,'领用录入（明细）'!C:C&gt;=$J$4,'领用录入（明细）'!C:C&lt;=$L$4),ROW(),"-")</f>
        <v>-</v>
      </c>
    </row>
    <row r="10428" customHeight="1" spans="2:2">
      <c r="B10428" s="62" t="str">
        <f>IF(AND('领用录入（明细）'!D:D=$F$4,'领用录入（明细）'!C:C&gt;=$J$4,'领用录入（明细）'!C:C&lt;=$L$4),ROW(),"-")</f>
        <v>-</v>
      </c>
    </row>
    <row r="10429" customHeight="1" spans="2:2">
      <c r="B10429" s="62" t="str">
        <f>IF(AND('领用录入（明细）'!D:D=$F$4,'领用录入（明细）'!C:C&gt;=$J$4,'领用录入（明细）'!C:C&lt;=$L$4),ROW(),"-")</f>
        <v>-</v>
      </c>
    </row>
    <row r="10430" customHeight="1" spans="2:2">
      <c r="B10430" s="62" t="str">
        <f>IF(AND('领用录入（明细）'!D:D=$F$4,'领用录入（明细）'!C:C&gt;=$J$4,'领用录入（明细）'!C:C&lt;=$L$4),ROW(),"-")</f>
        <v>-</v>
      </c>
    </row>
    <row r="10431" customHeight="1" spans="2:2">
      <c r="B10431" s="62" t="str">
        <f>IF(AND('领用录入（明细）'!D:D=$F$4,'领用录入（明细）'!C:C&gt;=$J$4,'领用录入（明细）'!C:C&lt;=$L$4),ROW(),"-")</f>
        <v>-</v>
      </c>
    </row>
    <row r="10432" customHeight="1" spans="2:2">
      <c r="B10432" s="62" t="str">
        <f>IF(AND('领用录入（明细）'!D:D=$F$4,'领用录入（明细）'!C:C&gt;=$J$4,'领用录入（明细）'!C:C&lt;=$L$4),ROW(),"-")</f>
        <v>-</v>
      </c>
    </row>
    <row r="10433" customHeight="1" spans="2:2">
      <c r="B10433" s="62" t="str">
        <f>IF(AND('领用录入（明细）'!D:D=$F$4,'领用录入（明细）'!C:C&gt;=$J$4,'领用录入（明细）'!C:C&lt;=$L$4),ROW(),"-")</f>
        <v>-</v>
      </c>
    </row>
    <row r="10434" customHeight="1" spans="2:2">
      <c r="B10434" s="62" t="str">
        <f>IF(AND('领用录入（明细）'!D:D=$F$4,'领用录入（明细）'!C:C&gt;=$J$4,'领用录入（明细）'!C:C&lt;=$L$4),ROW(),"-")</f>
        <v>-</v>
      </c>
    </row>
    <row r="10435" customHeight="1" spans="2:2">
      <c r="B10435" s="62" t="str">
        <f>IF(AND('领用录入（明细）'!D:D=$F$4,'领用录入（明细）'!C:C&gt;=$J$4,'领用录入（明细）'!C:C&lt;=$L$4),ROW(),"-")</f>
        <v>-</v>
      </c>
    </row>
    <row r="10436" customHeight="1" spans="2:2">
      <c r="B10436" s="62" t="str">
        <f>IF(AND('领用录入（明细）'!D:D=$F$4,'领用录入（明细）'!C:C&gt;=$J$4,'领用录入（明细）'!C:C&lt;=$L$4),ROW(),"-")</f>
        <v>-</v>
      </c>
    </row>
    <row r="10437" customHeight="1" spans="2:2">
      <c r="B10437" s="62" t="str">
        <f>IF(AND('领用录入（明细）'!D:D=$F$4,'领用录入（明细）'!C:C&gt;=$J$4,'领用录入（明细）'!C:C&lt;=$L$4),ROW(),"-")</f>
        <v>-</v>
      </c>
    </row>
    <row r="10438" customHeight="1" spans="2:2">
      <c r="B10438" s="62" t="str">
        <f>IF(AND('领用录入（明细）'!D:D=$F$4,'领用录入（明细）'!C:C&gt;=$J$4,'领用录入（明细）'!C:C&lt;=$L$4),ROW(),"-")</f>
        <v>-</v>
      </c>
    </row>
    <row r="10439" customHeight="1" spans="2:2">
      <c r="B10439" s="62" t="str">
        <f>IF(AND('领用录入（明细）'!D:D=$F$4,'领用录入（明细）'!C:C&gt;=$J$4,'领用录入（明细）'!C:C&lt;=$L$4),ROW(),"-")</f>
        <v>-</v>
      </c>
    </row>
    <row r="10440" customHeight="1" spans="2:2">
      <c r="B10440" s="62" t="str">
        <f>IF(AND('领用录入（明细）'!D:D=$F$4,'领用录入（明细）'!C:C&gt;=$J$4,'领用录入（明细）'!C:C&lt;=$L$4),ROW(),"-")</f>
        <v>-</v>
      </c>
    </row>
    <row r="10441" customHeight="1" spans="2:2">
      <c r="B10441" s="62" t="str">
        <f>IF(AND('领用录入（明细）'!D:D=$F$4,'领用录入（明细）'!C:C&gt;=$J$4,'领用录入（明细）'!C:C&lt;=$L$4),ROW(),"-")</f>
        <v>-</v>
      </c>
    </row>
    <row r="10442" customHeight="1" spans="2:2">
      <c r="B10442" s="62" t="str">
        <f>IF(AND('领用录入（明细）'!D:D=$F$4,'领用录入（明细）'!C:C&gt;=$J$4,'领用录入（明细）'!C:C&lt;=$L$4),ROW(),"-")</f>
        <v>-</v>
      </c>
    </row>
    <row r="10443" customHeight="1" spans="2:2">
      <c r="B10443" s="62" t="str">
        <f>IF(AND('领用录入（明细）'!D:D=$F$4,'领用录入（明细）'!C:C&gt;=$J$4,'领用录入（明细）'!C:C&lt;=$L$4),ROW(),"-")</f>
        <v>-</v>
      </c>
    </row>
    <row r="10444" customHeight="1" spans="2:2">
      <c r="B10444" s="62" t="str">
        <f>IF(AND('领用录入（明细）'!D:D=$F$4,'领用录入（明细）'!C:C&gt;=$J$4,'领用录入（明细）'!C:C&lt;=$L$4),ROW(),"-")</f>
        <v>-</v>
      </c>
    </row>
    <row r="10445" customHeight="1" spans="2:2">
      <c r="B10445" s="62" t="str">
        <f>IF(AND('领用录入（明细）'!D:D=$F$4,'领用录入（明细）'!C:C&gt;=$J$4,'领用录入（明细）'!C:C&lt;=$L$4),ROW(),"-")</f>
        <v>-</v>
      </c>
    </row>
    <row r="10446" customHeight="1" spans="2:2">
      <c r="B10446" s="62" t="str">
        <f>IF(AND('领用录入（明细）'!D:D=$F$4,'领用录入（明细）'!C:C&gt;=$J$4,'领用录入（明细）'!C:C&lt;=$L$4),ROW(),"-")</f>
        <v>-</v>
      </c>
    </row>
    <row r="10447" customHeight="1" spans="2:2">
      <c r="B10447" s="62" t="str">
        <f>IF(AND('领用录入（明细）'!D:D=$F$4,'领用录入（明细）'!C:C&gt;=$J$4,'领用录入（明细）'!C:C&lt;=$L$4),ROW(),"-")</f>
        <v>-</v>
      </c>
    </row>
    <row r="10448" customHeight="1" spans="2:2">
      <c r="B10448" s="62" t="str">
        <f>IF(AND('领用录入（明细）'!D:D=$F$4,'领用录入（明细）'!C:C&gt;=$J$4,'领用录入（明细）'!C:C&lt;=$L$4),ROW(),"-")</f>
        <v>-</v>
      </c>
    </row>
    <row r="10449" customHeight="1" spans="2:2">
      <c r="B10449" s="62" t="str">
        <f>IF(AND('领用录入（明细）'!D:D=$F$4,'领用录入（明细）'!C:C&gt;=$J$4,'领用录入（明细）'!C:C&lt;=$L$4),ROW(),"-")</f>
        <v>-</v>
      </c>
    </row>
    <row r="10450" customHeight="1" spans="2:2">
      <c r="B10450" s="62" t="str">
        <f>IF(AND('领用录入（明细）'!D:D=$F$4,'领用录入（明细）'!C:C&gt;=$J$4,'领用录入（明细）'!C:C&lt;=$L$4),ROW(),"-")</f>
        <v>-</v>
      </c>
    </row>
    <row r="10451" customHeight="1" spans="2:2">
      <c r="B10451" s="62" t="str">
        <f>IF(AND('领用录入（明细）'!D:D=$F$4,'领用录入（明细）'!C:C&gt;=$J$4,'领用录入（明细）'!C:C&lt;=$L$4),ROW(),"-")</f>
        <v>-</v>
      </c>
    </row>
    <row r="10452" customHeight="1" spans="2:2">
      <c r="B10452" s="62" t="str">
        <f>IF(AND('领用录入（明细）'!D:D=$F$4,'领用录入（明细）'!C:C&gt;=$J$4,'领用录入（明细）'!C:C&lt;=$L$4),ROW(),"-")</f>
        <v>-</v>
      </c>
    </row>
    <row r="10453" customHeight="1" spans="2:2">
      <c r="B10453" s="62" t="str">
        <f>IF(AND('领用录入（明细）'!D:D=$F$4,'领用录入（明细）'!C:C&gt;=$J$4,'领用录入（明细）'!C:C&lt;=$L$4),ROW(),"-")</f>
        <v>-</v>
      </c>
    </row>
    <row r="10454" customHeight="1" spans="2:2">
      <c r="B10454" s="62" t="str">
        <f>IF(AND('领用录入（明细）'!D:D=$F$4,'领用录入（明细）'!C:C&gt;=$J$4,'领用录入（明细）'!C:C&lt;=$L$4),ROW(),"-")</f>
        <v>-</v>
      </c>
    </row>
    <row r="10455" customHeight="1" spans="2:2">
      <c r="B10455" s="62" t="str">
        <f>IF(AND('领用录入（明细）'!D:D=$F$4,'领用录入（明细）'!C:C&gt;=$J$4,'领用录入（明细）'!C:C&lt;=$L$4),ROW(),"-")</f>
        <v>-</v>
      </c>
    </row>
    <row r="10456" customHeight="1" spans="2:2">
      <c r="B10456" s="62" t="str">
        <f>IF(AND('领用录入（明细）'!D:D=$F$4,'领用录入（明细）'!C:C&gt;=$J$4,'领用录入（明细）'!C:C&lt;=$L$4),ROW(),"-")</f>
        <v>-</v>
      </c>
    </row>
    <row r="10457" customHeight="1" spans="2:2">
      <c r="B10457" s="62" t="str">
        <f>IF(AND('领用录入（明细）'!D:D=$F$4,'领用录入（明细）'!C:C&gt;=$J$4,'领用录入（明细）'!C:C&lt;=$L$4),ROW(),"-")</f>
        <v>-</v>
      </c>
    </row>
    <row r="10458" customHeight="1" spans="2:2">
      <c r="B10458" s="62" t="str">
        <f>IF(AND('领用录入（明细）'!D:D=$F$4,'领用录入（明细）'!C:C&gt;=$J$4,'领用录入（明细）'!C:C&lt;=$L$4),ROW(),"-")</f>
        <v>-</v>
      </c>
    </row>
    <row r="10459" customHeight="1" spans="2:2">
      <c r="B10459" s="62" t="str">
        <f>IF(AND('领用录入（明细）'!D:D=$F$4,'领用录入（明细）'!C:C&gt;=$J$4,'领用录入（明细）'!C:C&lt;=$L$4),ROW(),"-")</f>
        <v>-</v>
      </c>
    </row>
    <row r="10460" customHeight="1" spans="2:2">
      <c r="B10460" s="62" t="str">
        <f>IF(AND('领用录入（明细）'!D:D=$F$4,'领用录入（明细）'!C:C&gt;=$J$4,'领用录入（明细）'!C:C&lt;=$L$4),ROW(),"-")</f>
        <v>-</v>
      </c>
    </row>
    <row r="10461" customHeight="1" spans="2:2">
      <c r="B10461" s="62" t="str">
        <f>IF(AND('领用录入（明细）'!D:D=$F$4,'领用录入（明细）'!C:C&gt;=$J$4,'领用录入（明细）'!C:C&lt;=$L$4),ROW(),"-")</f>
        <v>-</v>
      </c>
    </row>
    <row r="10462" customHeight="1" spans="2:2">
      <c r="B10462" s="62" t="str">
        <f>IF(AND('领用录入（明细）'!D:D=$F$4,'领用录入（明细）'!C:C&gt;=$J$4,'领用录入（明细）'!C:C&lt;=$L$4),ROW(),"-")</f>
        <v>-</v>
      </c>
    </row>
    <row r="10463" customHeight="1" spans="2:2">
      <c r="B10463" s="62" t="str">
        <f>IF(AND('领用录入（明细）'!D:D=$F$4,'领用录入（明细）'!C:C&gt;=$J$4,'领用录入（明细）'!C:C&lt;=$L$4),ROW(),"-")</f>
        <v>-</v>
      </c>
    </row>
    <row r="10464" customHeight="1" spans="2:2">
      <c r="B10464" s="62" t="str">
        <f>IF(AND('领用录入（明细）'!D:D=$F$4,'领用录入（明细）'!C:C&gt;=$J$4,'领用录入（明细）'!C:C&lt;=$L$4),ROW(),"-")</f>
        <v>-</v>
      </c>
    </row>
    <row r="10465" customHeight="1" spans="2:2">
      <c r="B10465" s="62" t="str">
        <f>IF(AND('领用录入（明细）'!D:D=$F$4,'领用录入（明细）'!C:C&gt;=$J$4,'领用录入（明细）'!C:C&lt;=$L$4),ROW(),"-")</f>
        <v>-</v>
      </c>
    </row>
    <row r="10466" customHeight="1" spans="2:2">
      <c r="B10466" s="62" t="str">
        <f>IF(AND('领用录入（明细）'!D:D=$F$4,'领用录入（明细）'!C:C&gt;=$J$4,'领用录入（明细）'!C:C&lt;=$L$4),ROW(),"-")</f>
        <v>-</v>
      </c>
    </row>
    <row r="10467" customHeight="1" spans="2:2">
      <c r="B10467" s="62" t="str">
        <f>IF(AND('领用录入（明细）'!D:D=$F$4,'领用录入（明细）'!C:C&gt;=$J$4,'领用录入（明细）'!C:C&lt;=$L$4),ROW(),"-")</f>
        <v>-</v>
      </c>
    </row>
    <row r="10468" customHeight="1" spans="2:2">
      <c r="B10468" s="62" t="str">
        <f>IF(AND('领用录入（明细）'!D:D=$F$4,'领用录入（明细）'!C:C&gt;=$J$4,'领用录入（明细）'!C:C&lt;=$L$4),ROW(),"-")</f>
        <v>-</v>
      </c>
    </row>
    <row r="10469" customHeight="1" spans="2:2">
      <c r="B10469" s="62" t="str">
        <f>IF(AND('领用录入（明细）'!D:D=$F$4,'领用录入（明细）'!C:C&gt;=$J$4,'领用录入（明细）'!C:C&lt;=$L$4),ROW(),"-")</f>
        <v>-</v>
      </c>
    </row>
    <row r="10470" customHeight="1" spans="2:2">
      <c r="B10470" s="62" t="str">
        <f>IF(AND('领用录入（明细）'!D:D=$F$4,'领用录入（明细）'!C:C&gt;=$J$4,'领用录入（明细）'!C:C&lt;=$L$4),ROW(),"-")</f>
        <v>-</v>
      </c>
    </row>
    <row r="10471" customHeight="1" spans="2:2">
      <c r="B10471" s="62" t="str">
        <f>IF(AND('领用录入（明细）'!D:D=$F$4,'领用录入（明细）'!C:C&gt;=$J$4,'领用录入（明细）'!C:C&lt;=$L$4),ROW(),"-")</f>
        <v>-</v>
      </c>
    </row>
    <row r="10472" customHeight="1" spans="2:2">
      <c r="B10472" s="62" t="str">
        <f>IF(AND('领用录入（明细）'!D:D=$F$4,'领用录入（明细）'!C:C&gt;=$J$4,'领用录入（明细）'!C:C&lt;=$L$4),ROW(),"-")</f>
        <v>-</v>
      </c>
    </row>
    <row r="10473" customHeight="1" spans="2:2">
      <c r="B10473" s="62" t="str">
        <f>IF(AND('领用录入（明细）'!D:D=$F$4,'领用录入（明细）'!C:C&gt;=$J$4,'领用录入（明细）'!C:C&lt;=$L$4),ROW(),"-")</f>
        <v>-</v>
      </c>
    </row>
    <row r="10474" customHeight="1" spans="2:2">
      <c r="B10474" s="62" t="str">
        <f>IF(AND('领用录入（明细）'!D:D=$F$4,'领用录入（明细）'!C:C&gt;=$J$4,'领用录入（明细）'!C:C&lt;=$L$4),ROW(),"-")</f>
        <v>-</v>
      </c>
    </row>
    <row r="10475" customHeight="1" spans="2:2">
      <c r="B10475" s="62" t="str">
        <f>IF(AND('领用录入（明细）'!D:D=$F$4,'领用录入（明细）'!C:C&gt;=$J$4,'领用录入（明细）'!C:C&lt;=$L$4),ROW(),"-")</f>
        <v>-</v>
      </c>
    </row>
    <row r="10476" customHeight="1" spans="2:2">
      <c r="B10476" s="62" t="str">
        <f>IF(AND('领用录入（明细）'!D:D=$F$4,'领用录入（明细）'!C:C&gt;=$J$4,'领用录入（明细）'!C:C&lt;=$L$4),ROW(),"-")</f>
        <v>-</v>
      </c>
    </row>
    <row r="10477" customHeight="1" spans="2:2">
      <c r="B10477" s="62" t="str">
        <f>IF(AND('领用录入（明细）'!D:D=$F$4,'领用录入（明细）'!C:C&gt;=$J$4,'领用录入（明细）'!C:C&lt;=$L$4),ROW(),"-")</f>
        <v>-</v>
      </c>
    </row>
    <row r="10478" customHeight="1" spans="2:2">
      <c r="B10478" s="62" t="str">
        <f>IF(AND('领用录入（明细）'!D:D=$F$4,'领用录入（明细）'!C:C&gt;=$J$4,'领用录入（明细）'!C:C&lt;=$L$4),ROW(),"-")</f>
        <v>-</v>
      </c>
    </row>
    <row r="10479" customHeight="1" spans="2:2">
      <c r="B10479" s="62" t="str">
        <f>IF(AND('领用录入（明细）'!D:D=$F$4,'领用录入（明细）'!C:C&gt;=$J$4,'领用录入（明细）'!C:C&lt;=$L$4),ROW(),"-")</f>
        <v>-</v>
      </c>
    </row>
    <row r="10480" customHeight="1" spans="2:2">
      <c r="B10480" s="62" t="str">
        <f>IF(AND('领用录入（明细）'!D:D=$F$4,'领用录入（明细）'!C:C&gt;=$J$4,'领用录入（明细）'!C:C&lt;=$L$4),ROW(),"-")</f>
        <v>-</v>
      </c>
    </row>
    <row r="10481" customHeight="1" spans="2:2">
      <c r="B10481" s="62" t="str">
        <f>IF(AND('领用录入（明细）'!D:D=$F$4,'领用录入（明细）'!C:C&gt;=$J$4,'领用录入（明细）'!C:C&lt;=$L$4),ROW(),"-")</f>
        <v>-</v>
      </c>
    </row>
    <row r="10482" customHeight="1" spans="2:2">
      <c r="B10482" s="62" t="str">
        <f>IF(AND('领用录入（明细）'!D:D=$F$4,'领用录入（明细）'!C:C&gt;=$J$4,'领用录入（明细）'!C:C&lt;=$L$4),ROW(),"-")</f>
        <v>-</v>
      </c>
    </row>
    <row r="10483" customHeight="1" spans="2:2">
      <c r="B10483" s="62" t="str">
        <f>IF(AND('领用录入（明细）'!D:D=$F$4,'领用录入（明细）'!C:C&gt;=$J$4,'领用录入（明细）'!C:C&lt;=$L$4),ROW(),"-")</f>
        <v>-</v>
      </c>
    </row>
    <row r="10484" customHeight="1" spans="2:2">
      <c r="B10484" s="62" t="str">
        <f>IF(AND('领用录入（明细）'!D:D=$F$4,'领用录入（明细）'!C:C&gt;=$J$4,'领用录入（明细）'!C:C&lt;=$L$4),ROW(),"-")</f>
        <v>-</v>
      </c>
    </row>
    <row r="10485" customHeight="1" spans="2:2">
      <c r="B10485" s="62" t="str">
        <f>IF(AND('领用录入（明细）'!D:D=$F$4,'领用录入（明细）'!C:C&gt;=$J$4,'领用录入（明细）'!C:C&lt;=$L$4),ROW(),"-")</f>
        <v>-</v>
      </c>
    </row>
    <row r="10486" customHeight="1" spans="2:2">
      <c r="B10486" s="62" t="str">
        <f>IF(AND('领用录入（明细）'!D:D=$F$4,'领用录入（明细）'!C:C&gt;=$J$4,'领用录入（明细）'!C:C&lt;=$L$4),ROW(),"-")</f>
        <v>-</v>
      </c>
    </row>
    <row r="10487" customHeight="1" spans="2:2">
      <c r="B10487" s="62" t="str">
        <f>IF(AND('领用录入（明细）'!D:D=$F$4,'领用录入（明细）'!C:C&gt;=$J$4,'领用录入（明细）'!C:C&lt;=$L$4),ROW(),"-")</f>
        <v>-</v>
      </c>
    </row>
    <row r="10488" customHeight="1" spans="2:2">
      <c r="B10488" s="62" t="str">
        <f>IF(AND('领用录入（明细）'!D:D=$F$4,'领用录入（明细）'!C:C&gt;=$J$4,'领用录入（明细）'!C:C&lt;=$L$4),ROW(),"-")</f>
        <v>-</v>
      </c>
    </row>
    <row r="10489" customHeight="1" spans="2:2">
      <c r="B10489" s="62" t="str">
        <f>IF(AND('领用录入（明细）'!D:D=$F$4,'领用录入（明细）'!C:C&gt;=$J$4,'领用录入（明细）'!C:C&lt;=$L$4),ROW(),"-")</f>
        <v>-</v>
      </c>
    </row>
    <row r="10490" customHeight="1" spans="2:2">
      <c r="B10490" s="62" t="str">
        <f>IF(AND('领用录入（明细）'!D:D=$F$4,'领用录入（明细）'!C:C&gt;=$J$4,'领用录入（明细）'!C:C&lt;=$L$4),ROW(),"-")</f>
        <v>-</v>
      </c>
    </row>
    <row r="10491" customHeight="1" spans="2:2">
      <c r="B10491" s="62" t="str">
        <f>IF(AND('领用录入（明细）'!D:D=$F$4,'领用录入（明细）'!C:C&gt;=$J$4,'领用录入（明细）'!C:C&lt;=$L$4),ROW(),"-")</f>
        <v>-</v>
      </c>
    </row>
    <row r="10492" customHeight="1" spans="2:2">
      <c r="B10492" s="62" t="str">
        <f>IF(AND('领用录入（明细）'!D:D=$F$4,'领用录入（明细）'!C:C&gt;=$J$4,'领用录入（明细）'!C:C&lt;=$L$4),ROW(),"-")</f>
        <v>-</v>
      </c>
    </row>
    <row r="10493" customHeight="1" spans="2:2">
      <c r="B10493" s="62" t="str">
        <f>IF(AND('领用录入（明细）'!D:D=$F$4,'领用录入（明细）'!C:C&gt;=$J$4,'领用录入（明细）'!C:C&lt;=$L$4),ROW(),"-")</f>
        <v>-</v>
      </c>
    </row>
    <row r="10494" customHeight="1" spans="2:2">
      <c r="B10494" s="62" t="str">
        <f>IF(AND('领用录入（明细）'!D:D=$F$4,'领用录入（明细）'!C:C&gt;=$J$4,'领用录入（明细）'!C:C&lt;=$L$4),ROW(),"-")</f>
        <v>-</v>
      </c>
    </row>
    <row r="10495" customHeight="1" spans="2:2">
      <c r="B10495" s="62" t="str">
        <f>IF(AND('领用录入（明细）'!D:D=$F$4,'领用录入（明细）'!C:C&gt;=$J$4,'领用录入（明细）'!C:C&lt;=$L$4),ROW(),"-")</f>
        <v>-</v>
      </c>
    </row>
    <row r="10496" customHeight="1" spans="2:2">
      <c r="B10496" s="62" t="str">
        <f>IF(AND('领用录入（明细）'!D:D=$F$4,'领用录入（明细）'!C:C&gt;=$J$4,'领用录入（明细）'!C:C&lt;=$L$4),ROW(),"-")</f>
        <v>-</v>
      </c>
    </row>
    <row r="10497" customHeight="1" spans="2:2">
      <c r="B10497" s="62" t="str">
        <f>IF(AND('领用录入（明细）'!D:D=$F$4,'领用录入（明细）'!C:C&gt;=$J$4,'领用录入（明细）'!C:C&lt;=$L$4),ROW(),"-")</f>
        <v>-</v>
      </c>
    </row>
    <row r="10498" customHeight="1" spans="2:2">
      <c r="B10498" s="62" t="str">
        <f>IF(AND('领用录入（明细）'!D:D=$F$4,'领用录入（明细）'!C:C&gt;=$J$4,'领用录入（明细）'!C:C&lt;=$L$4),ROW(),"-")</f>
        <v>-</v>
      </c>
    </row>
    <row r="10499" customHeight="1" spans="2:2">
      <c r="B10499" s="62" t="str">
        <f>IF(AND('领用录入（明细）'!D:D=$F$4,'领用录入（明细）'!C:C&gt;=$J$4,'领用录入（明细）'!C:C&lt;=$L$4),ROW(),"-")</f>
        <v>-</v>
      </c>
    </row>
    <row r="10500" customHeight="1" spans="2:2">
      <c r="B10500" s="62" t="str">
        <f>IF(AND('领用录入（明细）'!D:D=$F$4,'领用录入（明细）'!C:C&gt;=$J$4,'领用录入（明细）'!C:C&lt;=$L$4),ROW(),"-")</f>
        <v>-</v>
      </c>
    </row>
    <row r="10501" customHeight="1" spans="2:2">
      <c r="B10501" s="62" t="str">
        <f>IF(AND('领用录入（明细）'!D:D=$F$4,'领用录入（明细）'!C:C&gt;=$J$4,'领用录入（明细）'!C:C&lt;=$L$4),ROW(),"-")</f>
        <v>-</v>
      </c>
    </row>
    <row r="10502" customHeight="1" spans="2:2">
      <c r="B10502" s="62" t="str">
        <f>IF(AND('领用录入（明细）'!D:D=$F$4,'领用录入（明细）'!C:C&gt;=$J$4,'领用录入（明细）'!C:C&lt;=$L$4),ROW(),"-")</f>
        <v>-</v>
      </c>
    </row>
    <row r="10503" customHeight="1" spans="2:2">
      <c r="B10503" s="62" t="str">
        <f>IF(AND('领用录入（明细）'!D:D=$F$4,'领用录入（明细）'!C:C&gt;=$J$4,'领用录入（明细）'!C:C&lt;=$L$4),ROW(),"-")</f>
        <v>-</v>
      </c>
    </row>
    <row r="10504" customHeight="1" spans="2:2">
      <c r="B10504" s="62" t="str">
        <f>IF(AND('领用录入（明细）'!D:D=$F$4,'领用录入（明细）'!C:C&gt;=$J$4,'领用录入（明细）'!C:C&lt;=$L$4),ROW(),"-")</f>
        <v>-</v>
      </c>
    </row>
    <row r="10505" customHeight="1" spans="2:2">
      <c r="B10505" s="62" t="str">
        <f>IF(AND('领用录入（明细）'!D:D=$F$4,'领用录入（明细）'!C:C&gt;=$J$4,'领用录入（明细）'!C:C&lt;=$L$4),ROW(),"-")</f>
        <v>-</v>
      </c>
    </row>
    <row r="10506" customHeight="1" spans="2:2">
      <c r="B10506" s="62" t="str">
        <f>IF(AND('领用录入（明细）'!D:D=$F$4,'领用录入（明细）'!C:C&gt;=$J$4,'领用录入（明细）'!C:C&lt;=$L$4),ROW(),"-")</f>
        <v>-</v>
      </c>
    </row>
    <row r="10507" customHeight="1" spans="2:2">
      <c r="B10507" s="62" t="str">
        <f>IF(AND('领用录入（明细）'!D:D=$F$4,'领用录入（明细）'!C:C&gt;=$J$4,'领用录入（明细）'!C:C&lt;=$L$4),ROW(),"-")</f>
        <v>-</v>
      </c>
    </row>
    <row r="10508" customHeight="1" spans="2:2">
      <c r="B10508" s="62" t="str">
        <f>IF(AND('领用录入（明细）'!D:D=$F$4,'领用录入（明细）'!C:C&gt;=$J$4,'领用录入（明细）'!C:C&lt;=$L$4),ROW(),"-")</f>
        <v>-</v>
      </c>
    </row>
    <row r="10509" customHeight="1" spans="2:2">
      <c r="B10509" s="62" t="str">
        <f>IF(AND('领用录入（明细）'!D:D=$F$4,'领用录入（明细）'!C:C&gt;=$J$4,'领用录入（明细）'!C:C&lt;=$L$4),ROW(),"-")</f>
        <v>-</v>
      </c>
    </row>
    <row r="10510" customHeight="1" spans="2:2">
      <c r="B10510" s="62" t="str">
        <f>IF(AND('领用录入（明细）'!D:D=$F$4,'领用录入（明细）'!C:C&gt;=$J$4,'领用录入（明细）'!C:C&lt;=$L$4),ROW(),"-")</f>
        <v>-</v>
      </c>
    </row>
    <row r="10511" customHeight="1" spans="2:2">
      <c r="B10511" s="62" t="str">
        <f>IF(AND('领用录入（明细）'!D:D=$F$4,'领用录入（明细）'!C:C&gt;=$J$4,'领用录入（明细）'!C:C&lt;=$L$4),ROW(),"-")</f>
        <v>-</v>
      </c>
    </row>
    <row r="10512" customHeight="1" spans="2:2">
      <c r="B10512" s="62" t="str">
        <f>IF(AND('领用录入（明细）'!D:D=$F$4,'领用录入（明细）'!C:C&gt;=$J$4,'领用录入（明细）'!C:C&lt;=$L$4),ROW(),"-")</f>
        <v>-</v>
      </c>
    </row>
    <row r="10513" customHeight="1" spans="2:2">
      <c r="B10513" s="62" t="str">
        <f>IF(AND('领用录入（明细）'!D:D=$F$4,'领用录入（明细）'!C:C&gt;=$J$4,'领用录入（明细）'!C:C&lt;=$L$4),ROW(),"-")</f>
        <v>-</v>
      </c>
    </row>
    <row r="10514" customHeight="1" spans="2:2">
      <c r="B10514" s="62" t="str">
        <f>IF(AND('领用录入（明细）'!D:D=$F$4,'领用录入（明细）'!C:C&gt;=$J$4,'领用录入（明细）'!C:C&lt;=$L$4),ROW(),"-")</f>
        <v>-</v>
      </c>
    </row>
    <row r="10515" customHeight="1" spans="2:2">
      <c r="B10515" s="62" t="str">
        <f>IF(AND('领用录入（明细）'!D:D=$F$4,'领用录入（明细）'!C:C&gt;=$J$4,'领用录入（明细）'!C:C&lt;=$L$4),ROW(),"-")</f>
        <v>-</v>
      </c>
    </row>
    <row r="10516" customHeight="1" spans="2:2">
      <c r="B10516" s="62" t="str">
        <f>IF(AND('领用录入（明细）'!D:D=$F$4,'领用录入（明细）'!C:C&gt;=$J$4,'领用录入（明细）'!C:C&lt;=$L$4),ROW(),"-")</f>
        <v>-</v>
      </c>
    </row>
    <row r="10517" customHeight="1" spans="2:2">
      <c r="B10517" s="62" t="str">
        <f>IF(AND('领用录入（明细）'!D:D=$F$4,'领用录入（明细）'!C:C&gt;=$J$4,'领用录入（明细）'!C:C&lt;=$L$4),ROW(),"-")</f>
        <v>-</v>
      </c>
    </row>
    <row r="10518" customHeight="1" spans="2:2">
      <c r="B10518" s="62" t="str">
        <f>IF(AND('领用录入（明细）'!D:D=$F$4,'领用录入（明细）'!C:C&gt;=$J$4,'领用录入（明细）'!C:C&lt;=$L$4),ROW(),"-")</f>
        <v>-</v>
      </c>
    </row>
    <row r="10519" customHeight="1" spans="2:2">
      <c r="B10519" s="62" t="str">
        <f>IF(AND('领用录入（明细）'!D:D=$F$4,'领用录入（明细）'!C:C&gt;=$J$4,'领用录入（明细）'!C:C&lt;=$L$4),ROW(),"-")</f>
        <v>-</v>
      </c>
    </row>
    <row r="10520" customHeight="1" spans="2:2">
      <c r="B10520" s="62" t="str">
        <f>IF(AND('领用录入（明细）'!D:D=$F$4,'领用录入（明细）'!C:C&gt;=$J$4,'领用录入（明细）'!C:C&lt;=$L$4),ROW(),"-")</f>
        <v>-</v>
      </c>
    </row>
    <row r="10521" customHeight="1" spans="2:2">
      <c r="B10521" s="62" t="str">
        <f>IF(AND('领用录入（明细）'!D:D=$F$4,'领用录入（明细）'!C:C&gt;=$J$4,'领用录入（明细）'!C:C&lt;=$L$4),ROW(),"-")</f>
        <v>-</v>
      </c>
    </row>
    <row r="10522" customHeight="1" spans="2:2">
      <c r="B10522" s="62" t="str">
        <f>IF(AND('领用录入（明细）'!D:D=$F$4,'领用录入（明细）'!C:C&gt;=$J$4,'领用录入（明细）'!C:C&lt;=$L$4),ROW(),"-")</f>
        <v>-</v>
      </c>
    </row>
    <row r="10523" customHeight="1" spans="2:2">
      <c r="B10523" s="62" t="str">
        <f>IF(AND('领用录入（明细）'!D:D=$F$4,'领用录入（明细）'!C:C&gt;=$J$4,'领用录入（明细）'!C:C&lt;=$L$4),ROW(),"-")</f>
        <v>-</v>
      </c>
    </row>
    <row r="10524" customHeight="1" spans="2:2">
      <c r="B10524" s="62" t="str">
        <f>IF(AND('领用录入（明细）'!D:D=$F$4,'领用录入（明细）'!C:C&gt;=$J$4,'领用录入（明细）'!C:C&lt;=$L$4),ROW(),"-")</f>
        <v>-</v>
      </c>
    </row>
    <row r="10525" customHeight="1" spans="2:2">
      <c r="B10525" s="62" t="str">
        <f>IF(AND('领用录入（明细）'!D:D=$F$4,'领用录入（明细）'!C:C&gt;=$J$4,'领用录入（明细）'!C:C&lt;=$L$4),ROW(),"-")</f>
        <v>-</v>
      </c>
    </row>
    <row r="10526" customHeight="1" spans="2:2">
      <c r="B10526" s="62" t="str">
        <f>IF(AND('领用录入（明细）'!D:D=$F$4,'领用录入（明细）'!C:C&gt;=$J$4,'领用录入（明细）'!C:C&lt;=$L$4),ROW(),"-")</f>
        <v>-</v>
      </c>
    </row>
    <row r="10527" customHeight="1" spans="2:2">
      <c r="B10527" s="62" t="str">
        <f>IF(AND('领用录入（明细）'!D:D=$F$4,'领用录入（明细）'!C:C&gt;=$J$4,'领用录入（明细）'!C:C&lt;=$L$4),ROW(),"-")</f>
        <v>-</v>
      </c>
    </row>
    <row r="10528" customHeight="1" spans="2:2">
      <c r="B10528" s="62" t="str">
        <f>IF(AND('领用录入（明细）'!D:D=$F$4,'领用录入（明细）'!C:C&gt;=$J$4,'领用录入（明细）'!C:C&lt;=$L$4),ROW(),"-")</f>
        <v>-</v>
      </c>
    </row>
    <row r="10529" customHeight="1" spans="2:2">
      <c r="B10529" s="62" t="str">
        <f>IF(AND('领用录入（明细）'!D:D=$F$4,'领用录入（明细）'!C:C&gt;=$J$4,'领用录入（明细）'!C:C&lt;=$L$4),ROW(),"-")</f>
        <v>-</v>
      </c>
    </row>
    <row r="10530" customHeight="1" spans="2:2">
      <c r="B10530" s="62" t="str">
        <f>IF(AND('领用录入（明细）'!D:D=$F$4,'领用录入（明细）'!C:C&gt;=$J$4,'领用录入（明细）'!C:C&lt;=$L$4),ROW(),"-")</f>
        <v>-</v>
      </c>
    </row>
    <row r="10531" customHeight="1" spans="2:2">
      <c r="B10531" s="62" t="str">
        <f>IF(AND('领用录入（明细）'!D:D=$F$4,'领用录入（明细）'!C:C&gt;=$J$4,'领用录入（明细）'!C:C&lt;=$L$4),ROW(),"-")</f>
        <v>-</v>
      </c>
    </row>
    <row r="10532" customHeight="1" spans="2:2">
      <c r="B10532" s="62" t="str">
        <f>IF(AND('领用录入（明细）'!D:D=$F$4,'领用录入（明细）'!C:C&gt;=$J$4,'领用录入（明细）'!C:C&lt;=$L$4),ROW(),"-")</f>
        <v>-</v>
      </c>
    </row>
    <row r="10533" customHeight="1" spans="2:2">
      <c r="B10533" s="62" t="str">
        <f>IF(AND('领用录入（明细）'!D:D=$F$4,'领用录入（明细）'!C:C&gt;=$J$4,'领用录入（明细）'!C:C&lt;=$L$4),ROW(),"-")</f>
        <v>-</v>
      </c>
    </row>
    <row r="10534" customHeight="1" spans="2:2">
      <c r="B10534" s="62" t="str">
        <f>IF(AND('领用录入（明细）'!D:D=$F$4,'领用录入（明细）'!C:C&gt;=$J$4,'领用录入（明细）'!C:C&lt;=$L$4),ROW(),"-")</f>
        <v>-</v>
      </c>
    </row>
    <row r="10535" customHeight="1" spans="2:2">
      <c r="B10535" s="62" t="str">
        <f>IF(AND('领用录入（明细）'!D:D=$F$4,'领用录入（明细）'!C:C&gt;=$J$4,'领用录入（明细）'!C:C&lt;=$L$4),ROW(),"-")</f>
        <v>-</v>
      </c>
    </row>
    <row r="10536" customHeight="1" spans="2:2">
      <c r="B10536" s="62" t="str">
        <f>IF(AND('领用录入（明细）'!D:D=$F$4,'领用录入（明细）'!C:C&gt;=$J$4,'领用录入（明细）'!C:C&lt;=$L$4),ROW(),"-")</f>
        <v>-</v>
      </c>
    </row>
    <row r="10537" customHeight="1" spans="2:2">
      <c r="B10537" s="62" t="str">
        <f>IF(AND('领用录入（明细）'!D:D=$F$4,'领用录入（明细）'!C:C&gt;=$J$4,'领用录入（明细）'!C:C&lt;=$L$4),ROW(),"-")</f>
        <v>-</v>
      </c>
    </row>
    <row r="10538" customHeight="1" spans="2:2">
      <c r="B10538" s="62" t="str">
        <f>IF(AND('领用录入（明细）'!D:D=$F$4,'领用录入（明细）'!C:C&gt;=$J$4,'领用录入（明细）'!C:C&lt;=$L$4),ROW(),"-")</f>
        <v>-</v>
      </c>
    </row>
    <row r="10539" customHeight="1" spans="2:2">
      <c r="B10539" s="62" t="str">
        <f>IF(AND('领用录入（明细）'!D:D=$F$4,'领用录入（明细）'!C:C&gt;=$J$4,'领用录入（明细）'!C:C&lt;=$L$4),ROW(),"-")</f>
        <v>-</v>
      </c>
    </row>
    <row r="10540" customHeight="1" spans="2:2">
      <c r="B10540" s="62" t="str">
        <f>IF(AND('领用录入（明细）'!D:D=$F$4,'领用录入（明细）'!C:C&gt;=$J$4,'领用录入（明细）'!C:C&lt;=$L$4),ROW(),"-")</f>
        <v>-</v>
      </c>
    </row>
    <row r="10541" customHeight="1" spans="2:2">
      <c r="B10541" s="62" t="str">
        <f>IF(AND('领用录入（明细）'!D:D=$F$4,'领用录入（明细）'!C:C&gt;=$J$4,'领用录入（明细）'!C:C&lt;=$L$4),ROW(),"-")</f>
        <v>-</v>
      </c>
    </row>
    <row r="10542" customHeight="1" spans="2:2">
      <c r="B10542" s="62" t="str">
        <f>IF(AND('领用录入（明细）'!D:D=$F$4,'领用录入（明细）'!C:C&gt;=$J$4,'领用录入（明细）'!C:C&lt;=$L$4),ROW(),"-")</f>
        <v>-</v>
      </c>
    </row>
    <row r="10543" customHeight="1" spans="2:2">
      <c r="B10543" s="62" t="str">
        <f>IF(AND('领用录入（明细）'!D:D=$F$4,'领用录入（明细）'!C:C&gt;=$J$4,'领用录入（明细）'!C:C&lt;=$L$4),ROW(),"-")</f>
        <v>-</v>
      </c>
    </row>
    <row r="10544" customHeight="1" spans="2:2">
      <c r="B10544" s="62" t="str">
        <f>IF(AND('领用录入（明细）'!D:D=$F$4,'领用录入（明细）'!C:C&gt;=$J$4,'领用录入（明细）'!C:C&lt;=$L$4),ROW(),"-")</f>
        <v>-</v>
      </c>
    </row>
    <row r="10545" customHeight="1" spans="2:2">
      <c r="B10545" s="62" t="str">
        <f>IF(AND('领用录入（明细）'!D:D=$F$4,'领用录入（明细）'!C:C&gt;=$J$4,'领用录入（明细）'!C:C&lt;=$L$4),ROW(),"-")</f>
        <v>-</v>
      </c>
    </row>
    <row r="10546" customHeight="1" spans="2:2">
      <c r="B10546" s="62" t="str">
        <f>IF(AND('领用录入（明细）'!D:D=$F$4,'领用录入（明细）'!C:C&gt;=$J$4,'领用录入（明细）'!C:C&lt;=$L$4),ROW(),"-")</f>
        <v>-</v>
      </c>
    </row>
    <row r="10547" customHeight="1" spans="2:2">
      <c r="B10547" s="62" t="str">
        <f>IF(AND('领用录入（明细）'!D:D=$F$4,'领用录入（明细）'!C:C&gt;=$J$4,'领用录入（明细）'!C:C&lt;=$L$4),ROW(),"-")</f>
        <v>-</v>
      </c>
    </row>
    <row r="10548" customHeight="1" spans="2:2">
      <c r="B10548" s="62" t="str">
        <f>IF(AND('领用录入（明细）'!D:D=$F$4,'领用录入（明细）'!C:C&gt;=$J$4,'领用录入（明细）'!C:C&lt;=$L$4),ROW(),"-")</f>
        <v>-</v>
      </c>
    </row>
    <row r="10549" customHeight="1" spans="2:2">
      <c r="B10549" s="62" t="str">
        <f>IF(AND('领用录入（明细）'!D:D=$F$4,'领用录入（明细）'!C:C&gt;=$J$4,'领用录入（明细）'!C:C&lt;=$L$4),ROW(),"-")</f>
        <v>-</v>
      </c>
    </row>
    <row r="10550" customHeight="1" spans="2:2">
      <c r="B10550" s="62" t="str">
        <f>IF(AND('领用录入（明细）'!D:D=$F$4,'领用录入（明细）'!C:C&gt;=$J$4,'领用录入（明细）'!C:C&lt;=$L$4),ROW(),"-")</f>
        <v>-</v>
      </c>
    </row>
    <row r="10551" customHeight="1" spans="2:2">
      <c r="B10551" s="62" t="str">
        <f>IF(AND('领用录入（明细）'!D:D=$F$4,'领用录入（明细）'!C:C&gt;=$J$4,'领用录入（明细）'!C:C&lt;=$L$4),ROW(),"-")</f>
        <v>-</v>
      </c>
    </row>
    <row r="10552" customHeight="1" spans="2:2">
      <c r="B10552" s="62" t="str">
        <f>IF(AND('领用录入（明细）'!D:D=$F$4,'领用录入（明细）'!C:C&gt;=$J$4,'领用录入（明细）'!C:C&lt;=$L$4),ROW(),"-")</f>
        <v>-</v>
      </c>
    </row>
    <row r="10553" customHeight="1" spans="2:2">
      <c r="B10553" s="62" t="str">
        <f>IF(AND('领用录入（明细）'!D:D=$F$4,'领用录入（明细）'!C:C&gt;=$J$4,'领用录入（明细）'!C:C&lt;=$L$4),ROW(),"-")</f>
        <v>-</v>
      </c>
    </row>
    <row r="10554" customHeight="1" spans="2:2">
      <c r="B10554" s="62" t="str">
        <f>IF(AND('领用录入（明细）'!D:D=$F$4,'领用录入（明细）'!C:C&gt;=$J$4,'领用录入（明细）'!C:C&lt;=$L$4),ROW(),"-")</f>
        <v>-</v>
      </c>
    </row>
    <row r="10555" customHeight="1" spans="2:2">
      <c r="B10555" s="62" t="str">
        <f>IF(AND('领用录入（明细）'!D:D=$F$4,'领用录入（明细）'!C:C&gt;=$J$4,'领用录入（明细）'!C:C&lt;=$L$4),ROW(),"-")</f>
        <v>-</v>
      </c>
    </row>
    <row r="10556" customHeight="1" spans="2:2">
      <c r="B10556" s="62" t="str">
        <f>IF(AND('领用录入（明细）'!D:D=$F$4,'领用录入（明细）'!C:C&gt;=$J$4,'领用录入（明细）'!C:C&lt;=$L$4),ROW(),"-")</f>
        <v>-</v>
      </c>
    </row>
    <row r="10557" customHeight="1" spans="2:2">
      <c r="B10557" s="62" t="str">
        <f>IF(AND('领用录入（明细）'!D:D=$F$4,'领用录入（明细）'!C:C&gt;=$J$4,'领用录入（明细）'!C:C&lt;=$L$4),ROW(),"-")</f>
        <v>-</v>
      </c>
    </row>
    <row r="10558" customHeight="1" spans="2:2">
      <c r="B10558" s="62" t="str">
        <f>IF(AND('领用录入（明细）'!D:D=$F$4,'领用录入（明细）'!C:C&gt;=$J$4,'领用录入（明细）'!C:C&lt;=$L$4),ROW(),"-")</f>
        <v>-</v>
      </c>
    </row>
    <row r="10559" customHeight="1" spans="2:2">
      <c r="B10559" s="62" t="str">
        <f>IF(AND('领用录入（明细）'!D:D=$F$4,'领用录入（明细）'!C:C&gt;=$J$4,'领用录入（明细）'!C:C&lt;=$L$4),ROW(),"-")</f>
        <v>-</v>
      </c>
    </row>
    <row r="10560" customHeight="1" spans="2:2">
      <c r="B10560" s="62" t="str">
        <f>IF(AND('领用录入（明细）'!D:D=$F$4,'领用录入（明细）'!C:C&gt;=$J$4,'领用录入（明细）'!C:C&lt;=$L$4),ROW(),"-")</f>
        <v>-</v>
      </c>
    </row>
    <row r="10561" customHeight="1" spans="2:2">
      <c r="B10561" s="62" t="str">
        <f>IF(AND('领用录入（明细）'!D:D=$F$4,'领用录入（明细）'!C:C&gt;=$J$4,'领用录入（明细）'!C:C&lt;=$L$4),ROW(),"-")</f>
        <v>-</v>
      </c>
    </row>
    <row r="10562" customHeight="1" spans="2:2">
      <c r="B10562" s="62" t="str">
        <f>IF(AND('领用录入（明细）'!D:D=$F$4,'领用录入（明细）'!C:C&gt;=$J$4,'领用录入（明细）'!C:C&lt;=$L$4),ROW(),"-")</f>
        <v>-</v>
      </c>
    </row>
    <row r="10563" customHeight="1" spans="2:2">
      <c r="B10563" s="62" t="str">
        <f>IF(AND('领用录入（明细）'!D:D=$F$4,'领用录入（明细）'!C:C&gt;=$J$4,'领用录入（明细）'!C:C&lt;=$L$4),ROW(),"-")</f>
        <v>-</v>
      </c>
    </row>
    <row r="10564" customHeight="1" spans="2:2">
      <c r="B10564" s="62" t="str">
        <f>IF(AND('领用录入（明细）'!D:D=$F$4,'领用录入（明细）'!C:C&gt;=$J$4,'领用录入（明细）'!C:C&lt;=$L$4),ROW(),"-")</f>
        <v>-</v>
      </c>
    </row>
    <row r="10565" customHeight="1" spans="2:2">
      <c r="B10565" s="62" t="str">
        <f>IF(AND('领用录入（明细）'!D:D=$F$4,'领用录入（明细）'!C:C&gt;=$J$4,'领用录入（明细）'!C:C&lt;=$L$4),ROW(),"-")</f>
        <v>-</v>
      </c>
    </row>
    <row r="10566" customHeight="1" spans="2:2">
      <c r="B10566" s="62" t="str">
        <f>IF(AND('领用录入（明细）'!D:D=$F$4,'领用录入（明细）'!C:C&gt;=$J$4,'领用录入（明细）'!C:C&lt;=$L$4),ROW(),"-")</f>
        <v>-</v>
      </c>
    </row>
    <row r="10567" customHeight="1" spans="2:2">
      <c r="B10567" s="62" t="str">
        <f>IF(AND('领用录入（明细）'!D:D=$F$4,'领用录入（明细）'!C:C&gt;=$J$4,'领用录入（明细）'!C:C&lt;=$L$4),ROW(),"-")</f>
        <v>-</v>
      </c>
    </row>
    <row r="10568" customHeight="1" spans="2:2">
      <c r="B10568" s="62" t="str">
        <f>IF(AND('领用录入（明细）'!D:D=$F$4,'领用录入（明细）'!C:C&gt;=$J$4,'领用录入（明细）'!C:C&lt;=$L$4),ROW(),"-")</f>
        <v>-</v>
      </c>
    </row>
    <row r="10569" customHeight="1" spans="2:2">
      <c r="B10569" s="62" t="str">
        <f>IF(AND('领用录入（明细）'!D:D=$F$4,'领用录入（明细）'!C:C&gt;=$J$4,'领用录入（明细）'!C:C&lt;=$L$4),ROW(),"-")</f>
        <v>-</v>
      </c>
    </row>
    <row r="10570" customHeight="1" spans="2:2">
      <c r="B10570" s="62" t="str">
        <f>IF(AND('领用录入（明细）'!D:D=$F$4,'领用录入（明细）'!C:C&gt;=$J$4,'领用录入（明细）'!C:C&lt;=$L$4),ROW(),"-")</f>
        <v>-</v>
      </c>
    </row>
    <row r="10571" customHeight="1" spans="2:2">
      <c r="B10571" s="62" t="str">
        <f>IF(AND('领用录入（明细）'!D:D=$F$4,'领用录入（明细）'!C:C&gt;=$J$4,'领用录入（明细）'!C:C&lt;=$L$4),ROW(),"-")</f>
        <v>-</v>
      </c>
    </row>
    <row r="10572" customHeight="1" spans="2:2">
      <c r="B10572" s="62" t="str">
        <f>IF(AND('领用录入（明细）'!D:D=$F$4,'领用录入（明细）'!C:C&gt;=$J$4,'领用录入（明细）'!C:C&lt;=$L$4),ROW(),"-")</f>
        <v>-</v>
      </c>
    </row>
    <row r="10573" customHeight="1" spans="2:2">
      <c r="B10573" s="62" t="str">
        <f>IF(AND('领用录入（明细）'!D:D=$F$4,'领用录入（明细）'!C:C&gt;=$J$4,'领用录入（明细）'!C:C&lt;=$L$4),ROW(),"-")</f>
        <v>-</v>
      </c>
    </row>
    <row r="10574" customHeight="1" spans="2:2">
      <c r="B10574" s="62" t="str">
        <f>IF(AND('领用录入（明细）'!D:D=$F$4,'领用录入（明细）'!C:C&gt;=$J$4,'领用录入（明细）'!C:C&lt;=$L$4),ROW(),"-")</f>
        <v>-</v>
      </c>
    </row>
    <row r="10575" customHeight="1" spans="2:2">
      <c r="B10575" s="62" t="str">
        <f>IF(AND('领用录入（明细）'!D:D=$F$4,'领用录入（明细）'!C:C&gt;=$J$4,'领用录入（明细）'!C:C&lt;=$L$4),ROW(),"-")</f>
        <v>-</v>
      </c>
    </row>
    <row r="10576" customHeight="1" spans="2:2">
      <c r="B10576" s="62" t="str">
        <f>IF(AND('领用录入（明细）'!D:D=$F$4,'领用录入（明细）'!C:C&gt;=$J$4,'领用录入（明细）'!C:C&lt;=$L$4),ROW(),"-")</f>
        <v>-</v>
      </c>
    </row>
    <row r="10577" customHeight="1" spans="2:2">
      <c r="B10577" s="62" t="str">
        <f>IF(AND('领用录入（明细）'!D:D=$F$4,'领用录入（明细）'!C:C&gt;=$J$4,'领用录入（明细）'!C:C&lt;=$L$4),ROW(),"-")</f>
        <v>-</v>
      </c>
    </row>
    <row r="10578" customHeight="1" spans="2:2">
      <c r="B10578" s="62" t="str">
        <f>IF(AND('领用录入（明细）'!D:D=$F$4,'领用录入（明细）'!C:C&gt;=$J$4,'领用录入（明细）'!C:C&lt;=$L$4),ROW(),"-")</f>
        <v>-</v>
      </c>
    </row>
    <row r="10579" customHeight="1" spans="2:2">
      <c r="B10579" s="62" t="str">
        <f>IF(AND('领用录入（明细）'!D:D=$F$4,'领用录入（明细）'!C:C&gt;=$J$4,'领用录入（明细）'!C:C&lt;=$L$4),ROW(),"-")</f>
        <v>-</v>
      </c>
    </row>
    <row r="10580" customHeight="1" spans="2:2">
      <c r="B10580" s="62" t="str">
        <f>IF(AND('领用录入（明细）'!D:D=$F$4,'领用录入（明细）'!C:C&gt;=$J$4,'领用录入（明细）'!C:C&lt;=$L$4),ROW(),"-")</f>
        <v>-</v>
      </c>
    </row>
    <row r="10581" customHeight="1" spans="2:2">
      <c r="B10581" s="62" t="str">
        <f>IF(AND('领用录入（明细）'!D:D=$F$4,'领用录入（明细）'!C:C&gt;=$J$4,'领用录入（明细）'!C:C&lt;=$L$4),ROW(),"-")</f>
        <v>-</v>
      </c>
    </row>
    <row r="10582" customHeight="1" spans="2:2">
      <c r="B10582" s="62" t="str">
        <f>IF(AND('领用录入（明细）'!D:D=$F$4,'领用录入（明细）'!C:C&gt;=$J$4,'领用录入（明细）'!C:C&lt;=$L$4),ROW(),"-")</f>
        <v>-</v>
      </c>
    </row>
    <row r="10583" customHeight="1" spans="2:2">
      <c r="B10583" s="62" t="str">
        <f>IF(AND('领用录入（明细）'!D:D=$F$4,'领用录入（明细）'!C:C&gt;=$J$4,'领用录入（明细）'!C:C&lt;=$L$4),ROW(),"-")</f>
        <v>-</v>
      </c>
    </row>
    <row r="10584" customHeight="1" spans="2:2">
      <c r="B10584" s="62" t="str">
        <f>IF(AND('领用录入（明细）'!D:D=$F$4,'领用录入（明细）'!C:C&gt;=$J$4,'领用录入（明细）'!C:C&lt;=$L$4),ROW(),"-")</f>
        <v>-</v>
      </c>
    </row>
    <row r="10585" customHeight="1" spans="2:2">
      <c r="B10585" s="62" t="str">
        <f>IF(AND('领用录入（明细）'!D:D=$F$4,'领用录入（明细）'!C:C&gt;=$J$4,'领用录入（明细）'!C:C&lt;=$L$4),ROW(),"-")</f>
        <v>-</v>
      </c>
    </row>
    <row r="10586" customHeight="1" spans="2:2">
      <c r="B10586" s="62" t="str">
        <f>IF(AND('领用录入（明细）'!D:D=$F$4,'领用录入（明细）'!C:C&gt;=$J$4,'领用录入（明细）'!C:C&lt;=$L$4),ROW(),"-")</f>
        <v>-</v>
      </c>
    </row>
    <row r="10587" customHeight="1" spans="2:2">
      <c r="B10587" s="62" t="str">
        <f>IF(AND('领用录入（明细）'!D:D=$F$4,'领用录入（明细）'!C:C&gt;=$J$4,'领用录入（明细）'!C:C&lt;=$L$4),ROW(),"-")</f>
        <v>-</v>
      </c>
    </row>
    <row r="10588" customHeight="1" spans="2:2">
      <c r="B10588" s="62" t="str">
        <f>IF(AND('领用录入（明细）'!D:D=$F$4,'领用录入（明细）'!C:C&gt;=$J$4,'领用录入（明细）'!C:C&lt;=$L$4),ROW(),"-")</f>
        <v>-</v>
      </c>
    </row>
    <row r="10589" customHeight="1" spans="2:2">
      <c r="B10589" s="62" t="str">
        <f>IF(AND('领用录入（明细）'!D:D=$F$4,'领用录入（明细）'!C:C&gt;=$J$4,'领用录入（明细）'!C:C&lt;=$L$4),ROW(),"-")</f>
        <v>-</v>
      </c>
    </row>
    <row r="10590" customHeight="1" spans="2:2">
      <c r="B10590" s="62" t="str">
        <f>IF(AND('领用录入（明细）'!D:D=$F$4,'领用录入（明细）'!C:C&gt;=$J$4,'领用录入（明细）'!C:C&lt;=$L$4),ROW(),"-")</f>
        <v>-</v>
      </c>
    </row>
    <row r="10591" customHeight="1" spans="2:2">
      <c r="B10591" s="62" t="str">
        <f>IF(AND('领用录入（明细）'!D:D=$F$4,'领用录入（明细）'!C:C&gt;=$J$4,'领用录入（明细）'!C:C&lt;=$L$4),ROW(),"-")</f>
        <v>-</v>
      </c>
    </row>
    <row r="10592" customHeight="1" spans="2:2">
      <c r="B10592" s="62" t="str">
        <f>IF(AND('领用录入（明细）'!D:D=$F$4,'领用录入（明细）'!C:C&gt;=$J$4,'领用录入（明细）'!C:C&lt;=$L$4),ROW(),"-")</f>
        <v>-</v>
      </c>
    </row>
    <row r="10593" customHeight="1" spans="2:2">
      <c r="B10593" s="62" t="str">
        <f>IF(AND('领用录入（明细）'!D:D=$F$4,'领用录入（明细）'!C:C&gt;=$J$4,'领用录入（明细）'!C:C&lt;=$L$4),ROW(),"-")</f>
        <v>-</v>
      </c>
    </row>
    <row r="10594" customHeight="1" spans="2:2">
      <c r="B10594" s="62" t="str">
        <f>IF(AND('领用录入（明细）'!D:D=$F$4,'领用录入（明细）'!C:C&gt;=$J$4,'领用录入（明细）'!C:C&lt;=$L$4),ROW(),"-")</f>
        <v>-</v>
      </c>
    </row>
    <row r="10595" customHeight="1" spans="2:2">
      <c r="B10595" s="62" t="str">
        <f>IF(AND('领用录入（明细）'!D:D=$F$4,'领用录入（明细）'!C:C&gt;=$J$4,'领用录入（明细）'!C:C&lt;=$L$4),ROW(),"-")</f>
        <v>-</v>
      </c>
    </row>
    <row r="10596" customHeight="1" spans="2:2">
      <c r="B10596" s="62" t="str">
        <f>IF(AND('领用录入（明细）'!D:D=$F$4,'领用录入（明细）'!C:C&gt;=$J$4,'领用录入（明细）'!C:C&lt;=$L$4),ROW(),"-")</f>
        <v>-</v>
      </c>
    </row>
    <row r="10597" customHeight="1" spans="2:2">
      <c r="B10597" s="62" t="str">
        <f>IF(AND('领用录入（明细）'!D:D=$F$4,'领用录入（明细）'!C:C&gt;=$J$4,'领用录入（明细）'!C:C&lt;=$L$4),ROW(),"-")</f>
        <v>-</v>
      </c>
    </row>
    <row r="10598" customHeight="1" spans="2:2">
      <c r="B10598" s="62" t="str">
        <f>IF(AND('领用录入（明细）'!D:D=$F$4,'领用录入（明细）'!C:C&gt;=$J$4,'领用录入（明细）'!C:C&lt;=$L$4),ROW(),"-")</f>
        <v>-</v>
      </c>
    </row>
    <row r="10599" customHeight="1" spans="2:2">
      <c r="B10599" s="62" t="str">
        <f>IF(AND('领用录入（明细）'!D:D=$F$4,'领用录入（明细）'!C:C&gt;=$J$4,'领用录入（明细）'!C:C&lt;=$L$4),ROW(),"-")</f>
        <v>-</v>
      </c>
    </row>
    <row r="10600" customHeight="1" spans="2:2">
      <c r="B10600" s="62" t="str">
        <f>IF(AND('领用录入（明细）'!D:D=$F$4,'领用录入（明细）'!C:C&gt;=$J$4,'领用录入（明细）'!C:C&lt;=$L$4),ROW(),"-")</f>
        <v>-</v>
      </c>
    </row>
    <row r="10601" customHeight="1" spans="2:2">
      <c r="B10601" s="62" t="str">
        <f>IF(AND('领用录入（明细）'!D:D=$F$4,'领用录入（明细）'!C:C&gt;=$J$4,'领用录入（明细）'!C:C&lt;=$L$4),ROW(),"-")</f>
        <v>-</v>
      </c>
    </row>
    <row r="10602" customHeight="1" spans="2:2">
      <c r="B10602" s="62" t="str">
        <f>IF(AND('领用录入（明细）'!D:D=$F$4,'领用录入（明细）'!C:C&gt;=$J$4,'领用录入（明细）'!C:C&lt;=$L$4),ROW(),"-")</f>
        <v>-</v>
      </c>
    </row>
    <row r="10603" customHeight="1" spans="2:2">
      <c r="B10603" s="62" t="str">
        <f>IF(AND('领用录入（明细）'!D:D=$F$4,'领用录入（明细）'!C:C&gt;=$J$4,'领用录入（明细）'!C:C&lt;=$L$4),ROW(),"-")</f>
        <v>-</v>
      </c>
    </row>
    <row r="10604" customHeight="1" spans="2:2">
      <c r="B10604" s="62" t="str">
        <f>IF(AND('领用录入（明细）'!D:D=$F$4,'领用录入（明细）'!C:C&gt;=$J$4,'领用录入（明细）'!C:C&lt;=$L$4),ROW(),"-")</f>
        <v>-</v>
      </c>
    </row>
    <row r="10605" customHeight="1" spans="2:2">
      <c r="B10605" s="62" t="str">
        <f>IF(AND('领用录入（明细）'!D:D=$F$4,'领用录入（明细）'!C:C&gt;=$J$4,'领用录入（明细）'!C:C&lt;=$L$4),ROW(),"-")</f>
        <v>-</v>
      </c>
    </row>
    <row r="10606" customHeight="1" spans="2:2">
      <c r="B10606" s="62" t="str">
        <f>IF(AND('领用录入（明细）'!D:D=$F$4,'领用录入（明细）'!C:C&gt;=$J$4,'领用录入（明细）'!C:C&lt;=$L$4),ROW(),"-")</f>
        <v>-</v>
      </c>
    </row>
    <row r="10607" customHeight="1" spans="2:2">
      <c r="B10607" s="62" t="str">
        <f>IF(AND('领用录入（明细）'!D:D=$F$4,'领用录入（明细）'!C:C&gt;=$J$4,'领用录入（明细）'!C:C&lt;=$L$4),ROW(),"-")</f>
        <v>-</v>
      </c>
    </row>
    <row r="10608" customHeight="1" spans="2:2">
      <c r="B10608" s="62" t="str">
        <f>IF(AND('领用录入（明细）'!D:D=$F$4,'领用录入（明细）'!C:C&gt;=$J$4,'领用录入（明细）'!C:C&lt;=$L$4),ROW(),"-")</f>
        <v>-</v>
      </c>
    </row>
    <row r="10609" customHeight="1" spans="2:2">
      <c r="B10609" s="62" t="str">
        <f>IF(AND('领用录入（明细）'!D:D=$F$4,'领用录入（明细）'!C:C&gt;=$J$4,'领用录入（明细）'!C:C&lt;=$L$4),ROW(),"-")</f>
        <v>-</v>
      </c>
    </row>
    <row r="10610" customHeight="1" spans="2:2">
      <c r="B10610" s="62" t="str">
        <f>IF(AND('领用录入（明细）'!D:D=$F$4,'领用录入（明细）'!C:C&gt;=$J$4,'领用录入（明细）'!C:C&lt;=$L$4),ROW(),"-")</f>
        <v>-</v>
      </c>
    </row>
    <row r="10611" customHeight="1" spans="2:2">
      <c r="B10611" s="62" t="str">
        <f>IF(AND('领用录入（明细）'!D:D=$F$4,'领用录入（明细）'!C:C&gt;=$J$4,'领用录入（明细）'!C:C&lt;=$L$4),ROW(),"-")</f>
        <v>-</v>
      </c>
    </row>
    <row r="10612" customHeight="1" spans="2:2">
      <c r="B10612" s="62" t="str">
        <f>IF(AND('领用录入（明细）'!D:D=$F$4,'领用录入（明细）'!C:C&gt;=$J$4,'领用录入（明细）'!C:C&lt;=$L$4),ROW(),"-")</f>
        <v>-</v>
      </c>
    </row>
    <row r="10613" customHeight="1" spans="2:2">
      <c r="B10613" s="62" t="str">
        <f>IF(AND('领用录入（明细）'!D:D=$F$4,'领用录入（明细）'!C:C&gt;=$J$4,'领用录入（明细）'!C:C&lt;=$L$4),ROW(),"-")</f>
        <v>-</v>
      </c>
    </row>
    <row r="10614" customHeight="1" spans="2:2">
      <c r="B10614" s="62" t="str">
        <f>IF(AND('领用录入（明细）'!D:D=$F$4,'领用录入（明细）'!C:C&gt;=$J$4,'领用录入（明细）'!C:C&lt;=$L$4),ROW(),"-")</f>
        <v>-</v>
      </c>
    </row>
    <row r="10615" customHeight="1" spans="2:2">
      <c r="B10615" s="62" t="str">
        <f>IF(AND('领用录入（明细）'!D:D=$F$4,'领用录入（明细）'!C:C&gt;=$J$4,'领用录入（明细）'!C:C&lt;=$L$4),ROW(),"-")</f>
        <v>-</v>
      </c>
    </row>
    <row r="10616" customHeight="1" spans="2:2">
      <c r="B10616" s="62" t="str">
        <f>IF(AND('领用录入（明细）'!D:D=$F$4,'领用录入（明细）'!C:C&gt;=$J$4,'领用录入（明细）'!C:C&lt;=$L$4),ROW(),"-")</f>
        <v>-</v>
      </c>
    </row>
    <row r="10617" customHeight="1" spans="2:2">
      <c r="B10617" s="62" t="str">
        <f>IF(AND('领用录入（明细）'!D:D=$F$4,'领用录入（明细）'!C:C&gt;=$J$4,'领用录入（明细）'!C:C&lt;=$L$4),ROW(),"-")</f>
        <v>-</v>
      </c>
    </row>
    <row r="10618" customHeight="1" spans="2:2">
      <c r="B10618" s="62" t="str">
        <f>IF(AND('领用录入（明细）'!D:D=$F$4,'领用录入（明细）'!C:C&gt;=$J$4,'领用录入（明细）'!C:C&lt;=$L$4),ROW(),"-")</f>
        <v>-</v>
      </c>
    </row>
    <row r="10619" customHeight="1" spans="2:2">
      <c r="B10619" s="62" t="str">
        <f>IF(AND('领用录入（明细）'!D:D=$F$4,'领用录入（明细）'!C:C&gt;=$J$4,'领用录入（明细）'!C:C&lt;=$L$4),ROW(),"-")</f>
        <v>-</v>
      </c>
    </row>
    <row r="10620" customHeight="1" spans="2:2">
      <c r="B10620" s="62" t="str">
        <f>IF(AND('领用录入（明细）'!D:D=$F$4,'领用录入（明细）'!C:C&gt;=$J$4,'领用录入（明细）'!C:C&lt;=$L$4),ROW(),"-")</f>
        <v>-</v>
      </c>
    </row>
    <row r="10621" customHeight="1" spans="2:2">
      <c r="B10621" s="62" t="str">
        <f>IF(AND('领用录入（明细）'!D:D=$F$4,'领用录入（明细）'!C:C&gt;=$J$4,'领用录入（明细）'!C:C&lt;=$L$4),ROW(),"-")</f>
        <v>-</v>
      </c>
    </row>
    <row r="10622" customHeight="1" spans="2:2">
      <c r="B10622" s="62" t="str">
        <f>IF(AND('领用录入（明细）'!D:D=$F$4,'领用录入（明细）'!C:C&gt;=$J$4,'领用录入（明细）'!C:C&lt;=$L$4),ROW(),"-")</f>
        <v>-</v>
      </c>
    </row>
    <row r="10623" customHeight="1" spans="2:2">
      <c r="B10623" s="62" t="str">
        <f>IF(AND('领用录入（明细）'!D:D=$F$4,'领用录入（明细）'!C:C&gt;=$J$4,'领用录入（明细）'!C:C&lt;=$L$4),ROW(),"-")</f>
        <v>-</v>
      </c>
    </row>
    <row r="10624" customHeight="1" spans="2:2">
      <c r="B10624" s="62" t="str">
        <f>IF(AND('领用录入（明细）'!D:D=$F$4,'领用录入（明细）'!C:C&gt;=$J$4,'领用录入（明细）'!C:C&lt;=$L$4),ROW(),"-")</f>
        <v>-</v>
      </c>
    </row>
    <row r="10625" customHeight="1" spans="2:2">
      <c r="B10625" s="62" t="str">
        <f>IF(AND('领用录入（明细）'!D:D=$F$4,'领用录入（明细）'!C:C&gt;=$J$4,'领用录入（明细）'!C:C&lt;=$L$4),ROW(),"-")</f>
        <v>-</v>
      </c>
    </row>
    <row r="10626" customHeight="1" spans="2:2">
      <c r="B10626" s="62" t="str">
        <f>IF(AND('领用录入（明细）'!D:D=$F$4,'领用录入（明细）'!C:C&gt;=$J$4,'领用录入（明细）'!C:C&lt;=$L$4),ROW(),"-")</f>
        <v>-</v>
      </c>
    </row>
    <row r="10627" customHeight="1" spans="2:2">
      <c r="B10627" s="62" t="str">
        <f>IF(AND('领用录入（明细）'!D:D=$F$4,'领用录入（明细）'!C:C&gt;=$J$4,'领用录入（明细）'!C:C&lt;=$L$4),ROW(),"-")</f>
        <v>-</v>
      </c>
    </row>
    <row r="10628" customHeight="1" spans="2:2">
      <c r="B10628" s="62" t="str">
        <f>IF(AND('领用录入（明细）'!D:D=$F$4,'领用录入（明细）'!C:C&gt;=$J$4,'领用录入（明细）'!C:C&lt;=$L$4),ROW(),"-")</f>
        <v>-</v>
      </c>
    </row>
    <row r="10629" customHeight="1" spans="2:2">
      <c r="B10629" s="62" t="str">
        <f>IF(AND('领用录入（明细）'!D:D=$F$4,'领用录入（明细）'!C:C&gt;=$J$4,'领用录入（明细）'!C:C&lt;=$L$4),ROW(),"-")</f>
        <v>-</v>
      </c>
    </row>
    <row r="10630" customHeight="1" spans="2:2">
      <c r="B10630" s="62" t="str">
        <f>IF(AND('领用录入（明细）'!D:D=$F$4,'领用录入（明细）'!C:C&gt;=$J$4,'领用录入（明细）'!C:C&lt;=$L$4),ROW(),"-")</f>
        <v>-</v>
      </c>
    </row>
    <row r="10631" customHeight="1" spans="2:2">
      <c r="B10631" s="62" t="str">
        <f>IF(AND('领用录入（明细）'!D:D=$F$4,'领用录入（明细）'!C:C&gt;=$J$4,'领用录入（明细）'!C:C&lt;=$L$4),ROW(),"-")</f>
        <v>-</v>
      </c>
    </row>
    <row r="10632" customHeight="1" spans="2:2">
      <c r="B10632" s="62" t="str">
        <f>IF(AND('领用录入（明细）'!D:D=$F$4,'领用录入（明细）'!C:C&gt;=$J$4,'领用录入（明细）'!C:C&lt;=$L$4),ROW(),"-")</f>
        <v>-</v>
      </c>
    </row>
    <row r="10633" customHeight="1" spans="2:2">
      <c r="B10633" s="62" t="str">
        <f>IF(AND('领用录入（明细）'!D:D=$F$4,'领用录入（明细）'!C:C&gt;=$J$4,'领用录入（明细）'!C:C&lt;=$L$4),ROW(),"-")</f>
        <v>-</v>
      </c>
    </row>
    <row r="10634" customHeight="1" spans="2:2">
      <c r="B10634" s="62" t="str">
        <f>IF(AND('领用录入（明细）'!D:D=$F$4,'领用录入（明细）'!C:C&gt;=$J$4,'领用录入（明细）'!C:C&lt;=$L$4),ROW(),"-")</f>
        <v>-</v>
      </c>
    </row>
    <row r="10635" customHeight="1" spans="2:2">
      <c r="B10635" s="62" t="str">
        <f>IF(AND('领用录入（明细）'!D:D=$F$4,'领用录入（明细）'!C:C&gt;=$J$4,'领用录入（明细）'!C:C&lt;=$L$4),ROW(),"-")</f>
        <v>-</v>
      </c>
    </row>
    <row r="10636" customHeight="1" spans="2:2">
      <c r="B10636" s="62" t="str">
        <f>IF(AND('领用录入（明细）'!D:D=$F$4,'领用录入（明细）'!C:C&gt;=$J$4,'领用录入（明细）'!C:C&lt;=$L$4),ROW(),"-")</f>
        <v>-</v>
      </c>
    </row>
    <row r="10637" customHeight="1" spans="2:2">
      <c r="B10637" s="62" t="str">
        <f>IF(AND('领用录入（明细）'!D:D=$F$4,'领用录入（明细）'!C:C&gt;=$J$4,'领用录入（明细）'!C:C&lt;=$L$4),ROW(),"-")</f>
        <v>-</v>
      </c>
    </row>
    <row r="10638" customHeight="1" spans="2:2">
      <c r="B10638" s="62" t="str">
        <f>IF(AND('领用录入（明细）'!D:D=$F$4,'领用录入（明细）'!C:C&gt;=$J$4,'领用录入（明细）'!C:C&lt;=$L$4),ROW(),"-")</f>
        <v>-</v>
      </c>
    </row>
    <row r="10639" customHeight="1" spans="2:2">
      <c r="B10639" s="62" t="str">
        <f>IF(AND('领用录入（明细）'!D:D=$F$4,'领用录入（明细）'!C:C&gt;=$J$4,'领用录入（明细）'!C:C&lt;=$L$4),ROW(),"-")</f>
        <v>-</v>
      </c>
    </row>
    <row r="10640" customHeight="1" spans="2:2">
      <c r="B10640" s="62" t="str">
        <f>IF(AND('领用录入（明细）'!D:D=$F$4,'领用录入（明细）'!C:C&gt;=$J$4,'领用录入（明细）'!C:C&lt;=$L$4),ROW(),"-")</f>
        <v>-</v>
      </c>
    </row>
    <row r="10641" customHeight="1" spans="2:2">
      <c r="B10641" s="62" t="str">
        <f>IF(AND('领用录入（明细）'!D:D=$F$4,'领用录入（明细）'!C:C&gt;=$J$4,'领用录入（明细）'!C:C&lt;=$L$4),ROW(),"-")</f>
        <v>-</v>
      </c>
    </row>
    <row r="10642" customHeight="1" spans="2:2">
      <c r="B10642" s="62" t="str">
        <f>IF(AND('领用录入（明细）'!D:D=$F$4,'领用录入（明细）'!C:C&gt;=$J$4,'领用录入（明细）'!C:C&lt;=$L$4),ROW(),"-")</f>
        <v>-</v>
      </c>
    </row>
    <row r="10643" customHeight="1" spans="2:2">
      <c r="B10643" s="62" t="str">
        <f>IF(AND('领用录入（明细）'!D:D=$F$4,'领用录入（明细）'!C:C&gt;=$J$4,'领用录入（明细）'!C:C&lt;=$L$4),ROW(),"-")</f>
        <v>-</v>
      </c>
    </row>
    <row r="10644" customHeight="1" spans="2:2">
      <c r="B10644" s="62" t="str">
        <f>IF(AND('领用录入（明细）'!D:D=$F$4,'领用录入（明细）'!C:C&gt;=$J$4,'领用录入（明细）'!C:C&lt;=$L$4),ROW(),"-")</f>
        <v>-</v>
      </c>
    </row>
    <row r="10645" customHeight="1" spans="2:2">
      <c r="B10645" s="62" t="str">
        <f>IF(AND('领用录入（明细）'!D:D=$F$4,'领用录入（明细）'!C:C&gt;=$J$4,'领用录入（明细）'!C:C&lt;=$L$4),ROW(),"-")</f>
        <v>-</v>
      </c>
    </row>
    <row r="10646" customHeight="1" spans="2:2">
      <c r="B10646" s="62" t="str">
        <f>IF(AND('领用录入（明细）'!D:D=$F$4,'领用录入（明细）'!C:C&gt;=$J$4,'领用录入（明细）'!C:C&lt;=$L$4),ROW(),"-")</f>
        <v>-</v>
      </c>
    </row>
    <row r="10647" customHeight="1" spans="2:2">
      <c r="B10647" s="62" t="str">
        <f>IF(AND('领用录入（明细）'!D:D=$F$4,'领用录入（明细）'!C:C&gt;=$J$4,'领用录入（明细）'!C:C&lt;=$L$4),ROW(),"-")</f>
        <v>-</v>
      </c>
    </row>
    <row r="10648" customHeight="1" spans="2:2">
      <c r="B10648" s="62" t="str">
        <f>IF(AND('领用录入（明细）'!D:D=$F$4,'领用录入（明细）'!C:C&gt;=$J$4,'领用录入（明细）'!C:C&lt;=$L$4),ROW(),"-")</f>
        <v>-</v>
      </c>
    </row>
    <row r="10649" customHeight="1" spans="2:2">
      <c r="B10649" s="62" t="str">
        <f>IF(AND('领用录入（明细）'!D:D=$F$4,'领用录入（明细）'!C:C&gt;=$J$4,'领用录入（明细）'!C:C&lt;=$L$4),ROW(),"-")</f>
        <v>-</v>
      </c>
    </row>
    <row r="10650" customHeight="1" spans="2:2">
      <c r="B10650" s="62" t="str">
        <f>IF(AND('领用录入（明细）'!D:D=$F$4,'领用录入（明细）'!C:C&gt;=$J$4,'领用录入（明细）'!C:C&lt;=$L$4),ROW(),"-")</f>
        <v>-</v>
      </c>
    </row>
    <row r="10651" customHeight="1" spans="2:2">
      <c r="B10651" s="62" t="str">
        <f>IF(AND('领用录入（明细）'!D:D=$F$4,'领用录入（明细）'!C:C&gt;=$J$4,'领用录入（明细）'!C:C&lt;=$L$4),ROW(),"-")</f>
        <v>-</v>
      </c>
    </row>
    <row r="10652" customHeight="1" spans="2:2">
      <c r="B10652" s="62" t="str">
        <f>IF(AND('领用录入（明细）'!D:D=$F$4,'领用录入（明细）'!C:C&gt;=$J$4,'领用录入（明细）'!C:C&lt;=$L$4),ROW(),"-")</f>
        <v>-</v>
      </c>
    </row>
    <row r="10653" customHeight="1" spans="2:2">
      <c r="B10653" s="62" t="str">
        <f>IF(AND('领用录入（明细）'!D:D=$F$4,'领用录入（明细）'!C:C&gt;=$J$4,'领用录入（明细）'!C:C&lt;=$L$4),ROW(),"-")</f>
        <v>-</v>
      </c>
    </row>
    <row r="10654" customHeight="1" spans="2:2">
      <c r="B10654" s="62" t="str">
        <f>IF(AND('领用录入（明细）'!D:D=$F$4,'领用录入（明细）'!C:C&gt;=$J$4,'领用录入（明细）'!C:C&lt;=$L$4),ROW(),"-")</f>
        <v>-</v>
      </c>
    </row>
    <row r="10655" customHeight="1" spans="2:2">
      <c r="B10655" s="62" t="str">
        <f>IF(AND('领用录入（明细）'!D:D=$F$4,'领用录入（明细）'!C:C&gt;=$J$4,'领用录入（明细）'!C:C&lt;=$L$4),ROW(),"-")</f>
        <v>-</v>
      </c>
    </row>
    <row r="10656" customHeight="1" spans="2:2">
      <c r="B10656" s="62" t="str">
        <f>IF(AND('领用录入（明细）'!D:D=$F$4,'领用录入（明细）'!C:C&gt;=$J$4,'领用录入（明细）'!C:C&lt;=$L$4),ROW(),"-")</f>
        <v>-</v>
      </c>
    </row>
    <row r="10657" customHeight="1" spans="2:2">
      <c r="B10657" s="62" t="str">
        <f>IF(AND('领用录入（明细）'!D:D=$F$4,'领用录入（明细）'!C:C&gt;=$J$4,'领用录入（明细）'!C:C&lt;=$L$4),ROW(),"-")</f>
        <v>-</v>
      </c>
    </row>
    <row r="10658" customHeight="1" spans="2:2">
      <c r="B10658" s="62" t="str">
        <f>IF(AND('领用录入（明细）'!D:D=$F$4,'领用录入（明细）'!C:C&gt;=$J$4,'领用录入（明细）'!C:C&lt;=$L$4),ROW(),"-")</f>
        <v>-</v>
      </c>
    </row>
    <row r="10659" customHeight="1" spans="2:2">
      <c r="B10659" s="62" t="str">
        <f>IF(AND('领用录入（明细）'!D:D=$F$4,'领用录入（明细）'!C:C&gt;=$J$4,'领用录入（明细）'!C:C&lt;=$L$4),ROW(),"-")</f>
        <v>-</v>
      </c>
    </row>
    <row r="10660" customHeight="1" spans="2:2">
      <c r="B10660" s="62" t="str">
        <f>IF(AND('领用录入（明细）'!D:D=$F$4,'领用录入（明细）'!C:C&gt;=$J$4,'领用录入（明细）'!C:C&lt;=$L$4),ROW(),"-")</f>
        <v>-</v>
      </c>
    </row>
    <row r="10661" customHeight="1" spans="2:2">
      <c r="B10661" s="62" t="str">
        <f>IF(AND('领用录入（明细）'!D:D=$F$4,'领用录入（明细）'!C:C&gt;=$J$4,'领用录入（明细）'!C:C&lt;=$L$4),ROW(),"-")</f>
        <v>-</v>
      </c>
    </row>
    <row r="10662" customHeight="1" spans="2:2">
      <c r="B10662" s="62" t="str">
        <f>IF(AND('领用录入（明细）'!D:D=$F$4,'领用录入（明细）'!C:C&gt;=$J$4,'领用录入（明细）'!C:C&lt;=$L$4),ROW(),"-")</f>
        <v>-</v>
      </c>
    </row>
    <row r="10663" customHeight="1" spans="2:2">
      <c r="B10663" s="62" t="str">
        <f>IF(AND('领用录入（明细）'!D:D=$F$4,'领用录入（明细）'!C:C&gt;=$J$4,'领用录入（明细）'!C:C&lt;=$L$4),ROW(),"-")</f>
        <v>-</v>
      </c>
    </row>
    <row r="10664" customHeight="1" spans="2:2">
      <c r="B10664" s="62" t="str">
        <f>IF(AND('领用录入（明细）'!D:D=$F$4,'领用录入（明细）'!C:C&gt;=$J$4,'领用录入（明细）'!C:C&lt;=$L$4),ROW(),"-")</f>
        <v>-</v>
      </c>
    </row>
    <row r="10665" customHeight="1" spans="2:2">
      <c r="B10665" s="62" t="str">
        <f>IF(AND('领用录入（明细）'!D:D=$F$4,'领用录入（明细）'!C:C&gt;=$J$4,'领用录入（明细）'!C:C&lt;=$L$4),ROW(),"-")</f>
        <v>-</v>
      </c>
    </row>
    <row r="10666" customHeight="1" spans="2:2">
      <c r="B10666" s="62" t="str">
        <f>IF(AND('领用录入（明细）'!D:D=$F$4,'领用录入（明细）'!C:C&gt;=$J$4,'领用录入（明细）'!C:C&lt;=$L$4),ROW(),"-")</f>
        <v>-</v>
      </c>
    </row>
    <row r="10667" customHeight="1" spans="2:2">
      <c r="B10667" s="62" t="str">
        <f>IF(AND('领用录入（明细）'!D:D=$F$4,'领用录入（明细）'!C:C&gt;=$J$4,'领用录入（明细）'!C:C&lt;=$L$4),ROW(),"-")</f>
        <v>-</v>
      </c>
    </row>
    <row r="10668" customHeight="1" spans="2:2">
      <c r="B10668" s="62" t="str">
        <f>IF(AND('领用录入（明细）'!D:D=$F$4,'领用录入（明细）'!C:C&gt;=$J$4,'领用录入（明细）'!C:C&lt;=$L$4),ROW(),"-")</f>
        <v>-</v>
      </c>
    </row>
    <row r="10669" customHeight="1" spans="2:2">
      <c r="B10669" s="62" t="str">
        <f>IF(AND('领用录入（明细）'!D:D=$F$4,'领用录入（明细）'!C:C&gt;=$J$4,'领用录入（明细）'!C:C&lt;=$L$4),ROW(),"-")</f>
        <v>-</v>
      </c>
    </row>
    <row r="10670" customHeight="1" spans="2:2">
      <c r="B10670" s="62" t="str">
        <f>IF(AND('领用录入（明细）'!D:D=$F$4,'领用录入（明细）'!C:C&gt;=$J$4,'领用录入（明细）'!C:C&lt;=$L$4),ROW(),"-")</f>
        <v>-</v>
      </c>
    </row>
    <row r="10671" customHeight="1" spans="2:2">
      <c r="B10671" s="62" t="str">
        <f>IF(AND('领用录入（明细）'!D:D=$F$4,'领用录入（明细）'!C:C&gt;=$J$4,'领用录入（明细）'!C:C&lt;=$L$4),ROW(),"-")</f>
        <v>-</v>
      </c>
    </row>
    <row r="10672" customHeight="1" spans="2:2">
      <c r="B10672" s="62" t="str">
        <f>IF(AND('领用录入（明细）'!D:D=$F$4,'领用录入（明细）'!C:C&gt;=$J$4,'领用录入（明细）'!C:C&lt;=$L$4),ROW(),"-")</f>
        <v>-</v>
      </c>
    </row>
    <row r="10673" customHeight="1" spans="2:2">
      <c r="B10673" s="62" t="str">
        <f>IF(AND('领用录入（明细）'!D:D=$F$4,'领用录入（明细）'!C:C&gt;=$J$4,'领用录入（明细）'!C:C&lt;=$L$4),ROW(),"-")</f>
        <v>-</v>
      </c>
    </row>
    <row r="10674" customHeight="1" spans="2:2">
      <c r="B10674" s="62" t="str">
        <f>IF(AND('领用录入（明细）'!D:D=$F$4,'领用录入（明细）'!C:C&gt;=$J$4,'领用录入（明细）'!C:C&lt;=$L$4),ROW(),"-")</f>
        <v>-</v>
      </c>
    </row>
    <row r="10675" customHeight="1" spans="2:2">
      <c r="B10675" s="62" t="str">
        <f>IF(AND('领用录入（明细）'!D:D=$F$4,'领用录入（明细）'!C:C&gt;=$J$4,'领用录入（明细）'!C:C&lt;=$L$4),ROW(),"-")</f>
        <v>-</v>
      </c>
    </row>
    <row r="10676" customHeight="1" spans="2:2">
      <c r="B10676" s="62" t="str">
        <f>IF(AND('领用录入（明细）'!D:D=$F$4,'领用录入（明细）'!C:C&gt;=$J$4,'领用录入（明细）'!C:C&lt;=$L$4),ROW(),"-")</f>
        <v>-</v>
      </c>
    </row>
    <row r="10677" customHeight="1" spans="2:2">
      <c r="B10677" s="62" t="str">
        <f>IF(AND('领用录入（明细）'!D:D=$F$4,'领用录入（明细）'!C:C&gt;=$J$4,'领用录入（明细）'!C:C&lt;=$L$4),ROW(),"-")</f>
        <v>-</v>
      </c>
    </row>
    <row r="10678" customHeight="1" spans="2:2">
      <c r="B10678" s="62" t="str">
        <f>IF(AND('领用录入（明细）'!D:D=$F$4,'领用录入（明细）'!C:C&gt;=$J$4,'领用录入（明细）'!C:C&lt;=$L$4),ROW(),"-")</f>
        <v>-</v>
      </c>
    </row>
    <row r="10679" customHeight="1" spans="2:2">
      <c r="B10679" s="62" t="str">
        <f>IF(AND('领用录入（明细）'!D:D=$F$4,'领用录入（明细）'!C:C&gt;=$J$4,'领用录入（明细）'!C:C&lt;=$L$4),ROW(),"-")</f>
        <v>-</v>
      </c>
    </row>
    <row r="10680" customHeight="1" spans="2:2">
      <c r="B10680" s="62" t="str">
        <f>IF(AND('领用录入（明细）'!D:D=$F$4,'领用录入（明细）'!C:C&gt;=$J$4,'领用录入（明细）'!C:C&lt;=$L$4),ROW(),"-")</f>
        <v>-</v>
      </c>
    </row>
    <row r="10681" customHeight="1" spans="2:2">
      <c r="B10681" s="62" t="str">
        <f>IF(AND('领用录入（明细）'!D:D=$F$4,'领用录入（明细）'!C:C&gt;=$J$4,'领用录入（明细）'!C:C&lt;=$L$4),ROW(),"-")</f>
        <v>-</v>
      </c>
    </row>
    <row r="10682" customHeight="1" spans="2:2">
      <c r="B10682" s="62" t="str">
        <f>IF(AND('领用录入（明细）'!D:D=$F$4,'领用录入（明细）'!C:C&gt;=$J$4,'领用录入（明细）'!C:C&lt;=$L$4),ROW(),"-")</f>
        <v>-</v>
      </c>
    </row>
    <row r="10683" customHeight="1" spans="2:2">
      <c r="B10683" s="62" t="str">
        <f>IF(AND('领用录入（明细）'!D:D=$F$4,'领用录入（明细）'!C:C&gt;=$J$4,'领用录入（明细）'!C:C&lt;=$L$4),ROW(),"-")</f>
        <v>-</v>
      </c>
    </row>
    <row r="10684" customHeight="1" spans="2:2">
      <c r="B10684" s="62" t="str">
        <f>IF(AND('领用录入（明细）'!D:D=$F$4,'领用录入（明细）'!C:C&gt;=$J$4,'领用录入（明细）'!C:C&lt;=$L$4),ROW(),"-")</f>
        <v>-</v>
      </c>
    </row>
    <row r="10685" customHeight="1" spans="2:2">
      <c r="B10685" s="62" t="str">
        <f>IF(AND('领用录入（明细）'!D:D=$F$4,'领用录入（明细）'!C:C&gt;=$J$4,'领用录入（明细）'!C:C&lt;=$L$4),ROW(),"-")</f>
        <v>-</v>
      </c>
    </row>
    <row r="10686" customHeight="1" spans="2:2">
      <c r="B10686" s="62" t="str">
        <f>IF(AND('领用录入（明细）'!D:D=$F$4,'领用录入（明细）'!C:C&gt;=$J$4,'领用录入（明细）'!C:C&lt;=$L$4),ROW(),"-")</f>
        <v>-</v>
      </c>
    </row>
    <row r="10687" customHeight="1" spans="2:2">
      <c r="B10687" s="62" t="str">
        <f>IF(AND('领用录入（明细）'!D:D=$F$4,'领用录入（明细）'!C:C&gt;=$J$4,'领用录入（明细）'!C:C&lt;=$L$4),ROW(),"-")</f>
        <v>-</v>
      </c>
    </row>
    <row r="10688" customHeight="1" spans="2:2">
      <c r="B10688" s="62" t="str">
        <f>IF(AND('领用录入（明细）'!D:D=$F$4,'领用录入（明细）'!C:C&gt;=$J$4,'领用录入（明细）'!C:C&lt;=$L$4),ROW(),"-")</f>
        <v>-</v>
      </c>
    </row>
    <row r="10689" customHeight="1" spans="2:2">
      <c r="B10689" s="62" t="str">
        <f>IF(AND('领用录入（明细）'!D:D=$F$4,'领用录入（明细）'!C:C&gt;=$J$4,'领用录入（明细）'!C:C&lt;=$L$4),ROW(),"-")</f>
        <v>-</v>
      </c>
    </row>
    <row r="10690" customHeight="1" spans="2:2">
      <c r="B10690" s="62" t="str">
        <f>IF(AND('领用录入（明细）'!D:D=$F$4,'领用录入（明细）'!C:C&gt;=$J$4,'领用录入（明细）'!C:C&lt;=$L$4),ROW(),"-")</f>
        <v>-</v>
      </c>
    </row>
    <row r="10691" customHeight="1" spans="2:2">
      <c r="B10691" s="62" t="str">
        <f>IF(AND('领用录入（明细）'!D:D=$F$4,'领用录入（明细）'!C:C&gt;=$J$4,'领用录入（明细）'!C:C&lt;=$L$4),ROW(),"-")</f>
        <v>-</v>
      </c>
    </row>
    <row r="10692" customHeight="1" spans="2:2">
      <c r="B10692" s="62" t="str">
        <f>IF(AND('领用录入（明细）'!D:D=$F$4,'领用录入（明细）'!C:C&gt;=$J$4,'领用录入（明细）'!C:C&lt;=$L$4),ROW(),"-")</f>
        <v>-</v>
      </c>
    </row>
    <row r="10693" customHeight="1" spans="2:2">
      <c r="B10693" s="62" t="str">
        <f>IF(AND('领用录入（明细）'!D:D=$F$4,'领用录入（明细）'!C:C&gt;=$J$4,'领用录入（明细）'!C:C&lt;=$L$4),ROW(),"-")</f>
        <v>-</v>
      </c>
    </row>
    <row r="10694" customHeight="1" spans="2:2">
      <c r="B10694" s="62" t="str">
        <f>IF(AND('领用录入（明细）'!D:D=$F$4,'领用录入（明细）'!C:C&gt;=$J$4,'领用录入（明细）'!C:C&lt;=$L$4),ROW(),"-")</f>
        <v>-</v>
      </c>
    </row>
    <row r="10695" customHeight="1" spans="2:2">
      <c r="B10695" s="62" t="str">
        <f>IF(AND('领用录入（明细）'!D:D=$F$4,'领用录入（明细）'!C:C&gt;=$J$4,'领用录入（明细）'!C:C&lt;=$L$4),ROW(),"-")</f>
        <v>-</v>
      </c>
    </row>
    <row r="10696" customHeight="1" spans="2:2">
      <c r="B10696" s="62" t="str">
        <f>IF(AND('领用录入（明细）'!D:D=$F$4,'领用录入（明细）'!C:C&gt;=$J$4,'领用录入（明细）'!C:C&lt;=$L$4),ROW(),"-")</f>
        <v>-</v>
      </c>
    </row>
    <row r="10697" customHeight="1" spans="2:2">
      <c r="B10697" s="62" t="str">
        <f>IF(AND('领用录入（明细）'!D:D=$F$4,'领用录入（明细）'!C:C&gt;=$J$4,'领用录入（明细）'!C:C&lt;=$L$4),ROW(),"-")</f>
        <v>-</v>
      </c>
    </row>
    <row r="10698" customHeight="1" spans="2:2">
      <c r="B10698" s="62" t="str">
        <f>IF(AND('领用录入（明细）'!D:D=$F$4,'领用录入（明细）'!C:C&gt;=$J$4,'领用录入（明细）'!C:C&lt;=$L$4),ROW(),"-")</f>
        <v>-</v>
      </c>
    </row>
    <row r="10699" customHeight="1" spans="2:2">
      <c r="B10699" s="62" t="str">
        <f>IF(AND('领用录入（明细）'!D:D=$F$4,'领用录入（明细）'!C:C&gt;=$J$4,'领用录入（明细）'!C:C&lt;=$L$4),ROW(),"-")</f>
        <v>-</v>
      </c>
    </row>
    <row r="10700" customHeight="1" spans="2:2">
      <c r="B10700" s="62" t="str">
        <f>IF(AND('领用录入（明细）'!D:D=$F$4,'领用录入（明细）'!C:C&gt;=$J$4,'领用录入（明细）'!C:C&lt;=$L$4),ROW(),"-")</f>
        <v>-</v>
      </c>
    </row>
    <row r="10701" customHeight="1" spans="2:2">
      <c r="B10701" s="62" t="str">
        <f>IF(AND('领用录入（明细）'!D:D=$F$4,'领用录入（明细）'!C:C&gt;=$J$4,'领用录入（明细）'!C:C&lt;=$L$4),ROW(),"-")</f>
        <v>-</v>
      </c>
    </row>
    <row r="10702" customHeight="1" spans="2:2">
      <c r="B10702" s="62" t="str">
        <f>IF(AND('领用录入（明细）'!D:D=$F$4,'领用录入（明细）'!C:C&gt;=$J$4,'领用录入（明细）'!C:C&lt;=$L$4),ROW(),"-")</f>
        <v>-</v>
      </c>
    </row>
    <row r="10703" customHeight="1" spans="2:2">
      <c r="B10703" s="62" t="str">
        <f>IF(AND('领用录入（明细）'!D:D=$F$4,'领用录入（明细）'!C:C&gt;=$J$4,'领用录入（明细）'!C:C&lt;=$L$4),ROW(),"-")</f>
        <v>-</v>
      </c>
    </row>
    <row r="10704" customHeight="1" spans="2:2">
      <c r="B10704" s="62" t="str">
        <f>IF(AND('领用录入（明细）'!D:D=$F$4,'领用录入（明细）'!C:C&gt;=$J$4,'领用录入（明细）'!C:C&lt;=$L$4),ROW(),"-")</f>
        <v>-</v>
      </c>
    </row>
    <row r="10705" customHeight="1" spans="2:2">
      <c r="B10705" s="62" t="str">
        <f>IF(AND('领用录入（明细）'!D:D=$F$4,'领用录入（明细）'!C:C&gt;=$J$4,'领用录入（明细）'!C:C&lt;=$L$4),ROW(),"-")</f>
        <v>-</v>
      </c>
    </row>
    <row r="10706" customHeight="1" spans="2:2">
      <c r="B10706" s="62" t="str">
        <f>IF(AND('领用录入（明细）'!D:D=$F$4,'领用录入（明细）'!C:C&gt;=$J$4,'领用录入（明细）'!C:C&lt;=$L$4),ROW(),"-")</f>
        <v>-</v>
      </c>
    </row>
    <row r="10707" customHeight="1" spans="2:2">
      <c r="B10707" s="62" t="str">
        <f>IF(AND('领用录入（明细）'!D:D=$F$4,'领用录入（明细）'!C:C&gt;=$J$4,'领用录入（明细）'!C:C&lt;=$L$4),ROW(),"-")</f>
        <v>-</v>
      </c>
    </row>
    <row r="10708" customHeight="1" spans="2:2">
      <c r="B10708" s="62" t="str">
        <f>IF(AND('领用录入（明细）'!D:D=$F$4,'领用录入（明细）'!C:C&gt;=$J$4,'领用录入（明细）'!C:C&lt;=$L$4),ROW(),"-")</f>
        <v>-</v>
      </c>
    </row>
    <row r="10709" customHeight="1" spans="2:2">
      <c r="B10709" s="62" t="str">
        <f>IF(AND('领用录入（明细）'!D:D=$F$4,'领用录入（明细）'!C:C&gt;=$J$4,'领用录入（明细）'!C:C&lt;=$L$4),ROW(),"-")</f>
        <v>-</v>
      </c>
    </row>
    <row r="10710" customHeight="1" spans="2:2">
      <c r="B10710" s="62" t="str">
        <f>IF(AND('领用录入（明细）'!D:D=$F$4,'领用录入（明细）'!C:C&gt;=$J$4,'领用录入（明细）'!C:C&lt;=$L$4),ROW(),"-")</f>
        <v>-</v>
      </c>
    </row>
    <row r="10711" customHeight="1" spans="2:2">
      <c r="B10711" s="62" t="str">
        <f>IF(AND('领用录入（明细）'!D:D=$F$4,'领用录入（明细）'!C:C&gt;=$J$4,'领用录入（明细）'!C:C&lt;=$L$4),ROW(),"-")</f>
        <v>-</v>
      </c>
    </row>
    <row r="10712" customHeight="1" spans="2:2">
      <c r="B10712" s="62" t="str">
        <f>IF(AND('领用录入（明细）'!D:D=$F$4,'领用录入（明细）'!C:C&gt;=$J$4,'领用录入（明细）'!C:C&lt;=$L$4),ROW(),"-")</f>
        <v>-</v>
      </c>
    </row>
    <row r="10713" customHeight="1" spans="2:2">
      <c r="B10713" s="62" t="str">
        <f>IF(AND('领用录入（明细）'!D:D=$F$4,'领用录入（明细）'!C:C&gt;=$J$4,'领用录入（明细）'!C:C&lt;=$L$4),ROW(),"-")</f>
        <v>-</v>
      </c>
    </row>
    <row r="10714" customHeight="1" spans="2:2">
      <c r="B10714" s="62" t="str">
        <f>IF(AND('领用录入（明细）'!D:D=$F$4,'领用录入（明细）'!C:C&gt;=$J$4,'领用录入（明细）'!C:C&lt;=$L$4),ROW(),"-")</f>
        <v>-</v>
      </c>
    </row>
    <row r="10715" customHeight="1" spans="2:2">
      <c r="B10715" s="62" t="str">
        <f>IF(AND('领用录入（明细）'!D:D=$F$4,'领用录入（明细）'!C:C&gt;=$J$4,'领用录入（明细）'!C:C&lt;=$L$4),ROW(),"-")</f>
        <v>-</v>
      </c>
    </row>
    <row r="10716" customHeight="1" spans="2:2">
      <c r="B10716" s="62" t="str">
        <f>IF(AND('领用录入（明细）'!D:D=$F$4,'领用录入（明细）'!C:C&gt;=$J$4,'领用录入（明细）'!C:C&lt;=$L$4),ROW(),"-")</f>
        <v>-</v>
      </c>
    </row>
    <row r="10717" customHeight="1" spans="2:2">
      <c r="B10717" s="62" t="str">
        <f>IF(AND('领用录入（明细）'!D:D=$F$4,'领用录入（明细）'!C:C&gt;=$J$4,'领用录入（明细）'!C:C&lt;=$L$4),ROW(),"-")</f>
        <v>-</v>
      </c>
    </row>
    <row r="10718" customHeight="1" spans="2:2">
      <c r="B10718" s="62" t="str">
        <f>IF(AND('领用录入（明细）'!D:D=$F$4,'领用录入（明细）'!C:C&gt;=$J$4,'领用录入（明细）'!C:C&lt;=$L$4),ROW(),"-")</f>
        <v>-</v>
      </c>
    </row>
    <row r="10719" customHeight="1" spans="2:2">
      <c r="B10719" s="62" t="str">
        <f>IF(AND('领用录入（明细）'!D:D=$F$4,'领用录入（明细）'!C:C&gt;=$J$4,'领用录入（明细）'!C:C&lt;=$L$4),ROW(),"-")</f>
        <v>-</v>
      </c>
    </row>
    <row r="10720" customHeight="1" spans="2:2">
      <c r="B10720" s="62" t="str">
        <f>IF(AND('领用录入（明细）'!D:D=$F$4,'领用录入（明细）'!C:C&gt;=$J$4,'领用录入（明细）'!C:C&lt;=$L$4),ROW(),"-")</f>
        <v>-</v>
      </c>
    </row>
    <row r="10721" customHeight="1" spans="2:2">
      <c r="B10721" s="62" t="str">
        <f>IF(AND('领用录入（明细）'!D:D=$F$4,'领用录入（明细）'!C:C&gt;=$J$4,'领用录入（明细）'!C:C&lt;=$L$4),ROW(),"-")</f>
        <v>-</v>
      </c>
    </row>
    <row r="10722" customHeight="1" spans="2:2">
      <c r="B10722" s="62" t="str">
        <f>IF(AND('领用录入（明细）'!D:D=$F$4,'领用录入（明细）'!C:C&gt;=$J$4,'领用录入（明细）'!C:C&lt;=$L$4),ROW(),"-")</f>
        <v>-</v>
      </c>
    </row>
    <row r="10723" customHeight="1" spans="2:2">
      <c r="B10723" s="62" t="str">
        <f>IF(AND('领用录入（明细）'!D:D=$F$4,'领用录入（明细）'!C:C&gt;=$J$4,'领用录入（明细）'!C:C&lt;=$L$4),ROW(),"-")</f>
        <v>-</v>
      </c>
    </row>
    <row r="10724" customHeight="1" spans="2:2">
      <c r="B10724" s="62" t="str">
        <f>IF(AND('领用录入（明细）'!D:D=$F$4,'领用录入（明细）'!C:C&gt;=$J$4,'领用录入（明细）'!C:C&lt;=$L$4),ROW(),"-")</f>
        <v>-</v>
      </c>
    </row>
    <row r="10725" customHeight="1" spans="2:2">
      <c r="B10725" s="62" t="str">
        <f>IF(AND('领用录入（明细）'!D:D=$F$4,'领用录入（明细）'!C:C&gt;=$J$4,'领用录入（明细）'!C:C&lt;=$L$4),ROW(),"-")</f>
        <v>-</v>
      </c>
    </row>
    <row r="10726" customHeight="1" spans="2:2">
      <c r="B10726" s="62" t="str">
        <f>IF(AND('领用录入（明细）'!D:D=$F$4,'领用录入（明细）'!C:C&gt;=$J$4,'领用录入（明细）'!C:C&lt;=$L$4),ROW(),"-")</f>
        <v>-</v>
      </c>
    </row>
    <row r="10727" customHeight="1" spans="2:2">
      <c r="B10727" s="62" t="str">
        <f>IF(AND('领用录入（明细）'!D:D=$F$4,'领用录入（明细）'!C:C&gt;=$J$4,'领用录入（明细）'!C:C&lt;=$L$4),ROW(),"-")</f>
        <v>-</v>
      </c>
    </row>
    <row r="10728" customHeight="1" spans="2:2">
      <c r="B10728" s="62" t="str">
        <f>IF(AND('领用录入（明细）'!D:D=$F$4,'领用录入（明细）'!C:C&gt;=$J$4,'领用录入（明细）'!C:C&lt;=$L$4),ROW(),"-")</f>
        <v>-</v>
      </c>
    </row>
    <row r="10729" customHeight="1" spans="2:2">
      <c r="B10729" s="62" t="str">
        <f>IF(AND('领用录入（明细）'!D:D=$F$4,'领用录入（明细）'!C:C&gt;=$J$4,'领用录入（明细）'!C:C&lt;=$L$4),ROW(),"-")</f>
        <v>-</v>
      </c>
    </row>
    <row r="10730" customHeight="1" spans="2:2">
      <c r="B10730" s="62" t="str">
        <f>IF(AND('领用录入（明细）'!D:D=$F$4,'领用录入（明细）'!C:C&gt;=$J$4,'领用录入（明细）'!C:C&lt;=$L$4),ROW(),"-")</f>
        <v>-</v>
      </c>
    </row>
    <row r="10731" customHeight="1" spans="2:2">
      <c r="B10731" s="62" t="str">
        <f>IF(AND('领用录入（明细）'!D:D=$F$4,'领用录入（明细）'!C:C&gt;=$J$4,'领用录入（明细）'!C:C&lt;=$L$4),ROW(),"-")</f>
        <v>-</v>
      </c>
    </row>
    <row r="10732" customHeight="1" spans="2:2">
      <c r="B10732" s="62" t="str">
        <f>IF(AND('领用录入（明细）'!D:D=$F$4,'领用录入（明细）'!C:C&gt;=$J$4,'领用录入（明细）'!C:C&lt;=$L$4),ROW(),"-")</f>
        <v>-</v>
      </c>
    </row>
    <row r="10733" customHeight="1" spans="2:2">
      <c r="B10733" s="62" t="str">
        <f>IF(AND('领用录入（明细）'!D:D=$F$4,'领用录入（明细）'!C:C&gt;=$J$4,'领用录入（明细）'!C:C&lt;=$L$4),ROW(),"-")</f>
        <v>-</v>
      </c>
    </row>
    <row r="10734" customHeight="1" spans="2:2">
      <c r="B10734" s="62" t="str">
        <f>IF(AND('领用录入（明细）'!D:D=$F$4,'领用录入（明细）'!C:C&gt;=$J$4,'领用录入（明细）'!C:C&lt;=$L$4),ROW(),"-")</f>
        <v>-</v>
      </c>
    </row>
    <row r="10735" customHeight="1" spans="2:2">
      <c r="B10735" s="62" t="str">
        <f>IF(AND('领用录入（明细）'!D:D=$F$4,'领用录入（明细）'!C:C&gt;=$J$4,'领用录入（明细）'!C:C&lt;=$L$4),ROW(),"-")</f>
        <v>-</v>
      </c>
    </row>
    <row r="10736" customHeight="1" spans="2:2">
      <c r="B10736" s="62" t="str">
        <f>IF(AND('领用录入（明细）'!D:D=$F$4,'领用录入（明细）'!C:C&gt;=$J$4,'领用录入（明细）'!C:C&lt;=$L$4),ROW(),"-")</f>
        <v>-</v>
      </c>
    </row>
    <row r="10737" customHeight="1" spans="2:2">
      <c r="B10737" s="62" t="str">
        <f>IF(AND('领用录入（明细）'!D:D=$F$4,'领用录入（明细）'!C:C&gt;=$J$4,'领用录入（明细）'!C:C&lt;=$L$4),ROW(),"-")</f>
        <v>-</v>
      </c>
    </row>
    <row r="10738" customHeight="1" spans="2:2">
      <c r="B10738" s="62" t="str">
        <f>IF(AND('领用录入（明细）'!D:D=$F$4,'领用录入（明细）'!C:C&gt;=$J$4,'领用录入（明细）'!C:C&lt;=$L$4),ROW(),"-")</f>
        <v>-</v>
      </c>
    </row>
    <row r="10739" customHeight="1" spans="2:2">
      <c r="B10739" s="62" t="str">
        <f>IF(AND('领用录入（明细）'!D:D=$F$4,'领用录入（明细）'!C:C&gt;=$J$4,'领用录入（明细）'!C:C&lt;=$L$4),ROW(),"-")</f>
        <v>-</v>
      </c>
    </row>
    <row r="10740" customHeight="1" spans="2:2">
      <c r="B10740" s="62" t="str">
        <f>IF(AND('领用录入（明细）'!D:D=$F$4,'领用录入（明细）'!C:C&gt;=$J$4,'领用录入（明细）'!C:C&lt;=$L$4),ROW(),"-")</f>
        <v>-</v>
      </c>
    </row>
    <row r="10741" customHeight="1" spans="2:2">
      <c r="B10741" s="62" t="str">
        <f>IF(AND('领用录入（明细）'!D:D=$F$4,'领用录入（明细）'!C:C&gt;=$J$4,'领用录入（明细）'!C:C&lt;=$L$4),ROW(),"-")</f>
        <v>-</v>
      </c>
    </row>
    <row r="10742" customHeight="1" spans="2:2">
      <c r="B10742" s="62" t="str">
        <f>IF(AND('领用录入（明细）'!D:D=$F$4,'领用录入（明细）'!C:C&gt;=$J$4,'领用录入（明细）'!C:C&lt;=$L$4),ROW(),"-")</f>
        <v>-</v>
      </c>
    </row>
    <row r="10743" customHeight="1" spans="2:2">
      <c r="B10743" s="62" t="str">
        <f>IF(AND('领用录入（明细）'!D:D=$F$4,'领用录入（明细）'!C:C&gt;=$J$4,'领用录入（明细）'!C:C&lt;=$L$4),ROW(),"-")</f>
        <v>-</v>
      </c>
    </row>
    <row r="10744" customHeight="1" spans="2:2">
      <c r="B10744" s="62" t="str">
        <f>IF(AND('领用录入（明细）'!D:D=$F$4,'领用录入（明细）'!C:C&gt;=$J$4,'领用录入（明细）'!C:C&lt;=$L$4),ROW(),"-")</f>
        <v>-</v>
      </c>
    </row>
    <row r="10745" customHeight="1" spans="2:2">
      <c r="B10745" s="62" t="str">
        <f>IF(AND('领用录入（明细）'!D:D=$F$4,'领用录入（明细）'!C:C&gt;=$J$4,'领用录入（明细）'!C:C&lt;=$L$4),ROW(),"-")</f>
        <v>-</v>
      </c>
    </row>
    <row r="10746" customHeight="1" spans="2:2">
      <c r="B10746" s="62" t="str">
        <f>IF(AND('领用录入（明细）'!D:D=$F$4,'领用录入（明细）'!C:C&gt;=$J$4,'领用录入（明细）'!C:C&lt;=$L$4),ROW(),"-")</f>
        <v>-</v>
      </c>
    </row>
    <row r="10747" customHeight="1" spans="2:2">
      <c r="B10747" s="62" t="str">
        <f>IF(AND('领用录入（明细）'!D:D=$F$4,'领用录入（明细）'!C:C&gt;=$J$4,'领用录入（明细）'!C:C&lt;=$L$4),ROW(),"-")</f>
        <v>-</v>
      </c>
    </row>
    <row r="10748" customHeight="1" spans="2:2">
      <c r="B10748" s="62" t="str">
        <f>IF(AND('领用录入（明细）'!D:D=$F$4,'领用录入（明细）'!C:C&gt;=$J$4,'领用录入（明细）'!C:C&lt;=$L$4),ROW(),"-")</f>
        <v>-</v>
      </c>
    </row>
    <row r="10749" customHeight="1" spans="2:2">
      <c r="B10749" s="62" t="str">
        <f>IF(AND('领用录入（明细）'!D:D=$F$4,'领用录入（明细）'!C:C&gt;=$J$4,'领用录入（明细）'!C:C&lt;=$L$4),ROW(),"-")</f>
        <v>-</v>
      </c>
    </row>
    <row r="10750" customHeight="1" spans="2:2">
      <c r="B10750" s="62" t="str">
        <f>IF(AND('领用录入（明细）'!D:D=$F$4,'领用录入（明细）'!C:C&gt;=$J$4,'领用录入（明细）'!C:C&lt;=$L$4),ROW(),"-")</f>
        <v>-</v>
      </c>
    </row>
    <row r="10751" customHeight="1" spans="2:2">
      <c r="B10751" s="62" t="str">
        <f>IF(AND('领用录入（明细）'!D:D=$F$4,'领用录入（明细）'!C:C&gt;=$J$4,'领用录入（明细）'!C:C&lt;=$L$4),ROW(),"-")</f>
        <v>-</v>
      </c>
    </row>
    <row r="10752" customHeight="1" spans="2:2">
      <c r="B10752" s="62" t="str">
        <f>IF(AND('领用录入（明细）'!D:D=$F$4,'领用录入（明细）'!C:C&gt;=$J$4,'领用录入（明细）'!C:C&lt;=$L$4),ROW(),"-")</f>
        <v>-</v>
      </c>
    </row>
    <row r="10753" customHeight="1" spans="2:2">
      <c r="B10753" s="62" t="str">
        <f>IF(AND('领用录入（明细）'!D:D=$F$4,'领用录入（明细）'!C:C&gt;=$J$4,'领用录入（明细）'!C:C&lt;=$L$4),ROW(),"-")</f>
        <v>-</v>
      </c>
    </row>
    <row r="10754" customHeight="1" spans="2:2">
      <c r="B10754" s="62" t="str">
        <f>IF(AND('领用录入（明细）'!D:D=$F$4,'领用录入（明细）'!C:C&gt;=$J$4,'领用录入（明细）'!C:C&lt;=$L$4),ROW(),"-")</f>
        <v>-</v>
      </c>
    </row>
    <row r="10755" customHeight="1" spans="2:2">
      <c r="B10755" s="62" t="str">
        <f>IF(AND('领用录入（明细）'!D:D=$F$4,'领用录入（明细）'!C:C&gt;=$J$4,'领用录入（明细）'!C:C&lt;=$L$4),ROW(),"-")</f>
        <v>-</v>
      </c>
    </row>
    <row r="10756" customHeight="1" spans="2:2">
      <c r="B10756" s="62" t="str">
        <f>IF(AND('领用录入（明细）'!D:D=$F$4,'领用录入（明细）'!C:C&gt;=$J$4,'领用录入（明细）'!C:C&lt;=$L$4),ROW(),"-")</f>
        <v>-</v>
      </c>
    </row>
    <row r="10757" customHeight="1" spans="2:2">
      <c r="B10757" s="62" t="str">
        <f>IF(AND('领用录入（明细）'!D:D=$F$4,'领用录入（明细）'!C:C&gt;=$J$4,'领用录入（明细）'!C:C&lt;=$L$4),ROW(),"-")</f>
        <v>-</v>
      </c>
    </row>
    <row r="10758" customHeight="1" spans="2:2">
      <c r="B10758" s="62" t="str">
        <f>IF(AND('领用录入（明细）'!D:D=$F$4,'领用录入（明细）'!C:C&gt;=$J$4,'领用录入（明细）'!C:C&lt;=$L$4),ROW(),"-")</f>
        <v>-</v>
      </c>
    </row>
    <row r="10759" customHeight="1" spans="2:2">
      <c r="B10759" s="62" t="str">
        <f>IF(AND('领用录入（明细）'!D:D=$F$4,'领用录入（明细）'!C:C&gt;=$J$4,'领用录入（明细）'!C:C&lt;=$L$4),ROW(),"-")</f>
        <v>-</v>
      </c>
    </row>
    <row r="10760" customHeight="1" spans="2:2">
      <c r="B10760" s="62" t="str">
        <f>IF(AND('领用录入（明细）'!D:D=$F$4,'领用录入（明细）'!C:C&gt;=$J$4,'领用录入（明细）'!C:C&lt;=$L$4),ROW(),"-")</f>
        <v>-</v>
      </c>
    </row>
    <row r="10761" customHeight="1" spans="2:2">
      <c r="B10761" s="62" t="str">
        <f>IF(AND('领用录入（明细）'!D:D=$F$4,'领用录入（明细）'!C:C&gt;=$J$4,'领用录入（明细）'!C:C&lt;=$L$4),ROW(),"-")</f>
        <v>-</v>
      </c>
    </row>
    <row r="10762" customHeight="1" spans="2:2">
      <c r="B10762" s="62" t="str">
        <f>IF(AND('领用录入（明细）'!D:D=$F$4,'领用录入（明细）'!C:C&gt;=$J$4,'领用录入（明细）'!C:C&lt;=$L$4),ROW(),"-")</f>
        <v>-</v>
      </c>
    </row>
    <row r="10763" customHeight="1" spans="2:2">
      <c r="B10763" s="62" t="str">
        <f>IF(AND('领用录入（明细）'!D:D=$F$4,'领用录入（明细）'!C:C&gt;=$J$4,'领用录入（明细）'!C:C&lt;=$L$4),ROW(),"-")</f>
        <v>-</v>
      </c>
    </row>
    <row r="10764" customHeight="1" spans="2:2">
      <c r="B10764" s="62" t="str">
        <f>IF(AND('领用录入（明细）'!D:D=$F$4,'领用录入（明细）'!C:C&gt;=$J$4,'领用录入（明细）'!C:C&lt;=$L$4),ROW(),"-")</f>
        <v>-</v>
      </c>
    </row>
    <row r="10765" customHeight="1" spans="2:2">
      <c r="B10765" s="62" t="str">
        <f>IF(AND('领用录入（明细）'!D:D=$F$4,'领用录入（明细）'!C:C&gt;=$J$4,'领用录入（明细）'!C:C&lt;=$L$4),ROW(),"-")</f>
        <v>-</v>
      </c>
    </row>
    <row r="10766" customHeight="1" spans="2:2">
      <c r="B10766" s="62" t="str">
        <f>IF(AND('领用录入（明细）'!D:D=$F$4,'领用录入（明细）'!C:C&gt;=$J$4,'领用录入（明细）'!C:C&lt;=$L$4),ROW(),"-")</f>
        <v>-</v>
      </c>
    </row>
    <row r="10767" customHeight="1" spans="2:2">
      <c r="B10767" s="62" t="str">
        <f>IF(AND('领用录入（明细）'!D:D=$F$4,'领用录入（明细）'!C:C&gt;=$J$4,'领用录入（明细）'!C:C&lt;=$L$4),ROW(),"-")</f>
        <v>-</v>
      </c>
    </row>
    <row r="10768" customHeight="1" spans="2:2">
      <c r="B10768" s="62" t="str">
        <f>IF(AND('领用录入（明细）'!D:D=$F$4,'领用录入（明细）'!C:C&gt;=$J$4,'领用录入（明细）'!C:C&lt;=$L$4),ROW(),"-")</f>
        <v>-</v>
      </c>
    </row>
    <row r="10769" customHeight="1" spans="2:2">
      <c r="B10769" s="62" t="str">
        <f>IF(AND('领用录入（明细）'!D:D=$F$4,'领用录入（明细）'!C:C&gt;=$J$4,'领用录入（明细）'!C:C&lt;=$L$4),ROW(),"-")</f>
        <v>-</v>
      </c>
    </row>
    <row r="10770" customHeight="1" spans="2:2">
      <c r="B10770" s="62" t="str">
        <f>IF(AND('领用录入（明细）'!D:D=$F$4,'领用录入（明细）'!C:C&gt;=$J$4,'领用录入（明细）'!C:C&lt;=$L$4),ROW(),"-")</f>
        <v>-</v>
      </c>
    </row>
    <row r="10771" customHeight="1" spans="2:2">
      <c r="B10771" s="62" t="str">
        <f>IF(AND('领用录入（明细）'!D:D=$F$4,'领用录入（明细）'!C:C&gt;=$J$4,'领用录入（明细）'!C:C&lt;=$L$4),ROW(),"-")</f>
        <v>-</v>
      </c>
    </row>
    <row r="10772" customHeight="1" spans="2:2">
      <c r="B10772" s="62" t="str">
        <f>IF(AND('领用录入（明细）'!D:D=$F$4,'领用录入（明细）'!C:C&gt;=$J$4,'领用录入（明细）'!C:C&lt;=$L$4),ROW(),"-")</f>
        <v>-</v>
      </c>
    </row>
    <row r="10773" customHeight="1" spans="2:2">
      <c r="B10773" s="62" t="str">
        <f>IF(AND('领用录入（明细）'!D:D=$F$4,'领用录入（明细）'!C:C&gt;=$J$4,'领用录入（明细）'!C:C&lt;=$L$4),ROW(),"-")</f>
        <v>-</v>
      </c>
    </row>
    <row r="10774" customHeight="1" spans="2:2">
      <c r="B10774" s="62" t="str">
        <f>IF(AND('领用录入（明细）'!D:D=$F$4,'领用录入（明细）'!C:C&gt;=$J$4,'领用录入（明细）'!C:C&lt;=$L$4),ROW(),"-")</f>
        <v>-</v>
      </c>
    </row>
    <row r="10775" customHeight="1" spans="2:2">
      <c r="B10775" s="62" t="str">
        <f>IF(AND('领用录入（明细）'!D:D=$F$4,'领用录入（明细）'!C:C&gt;=$J$4,'领用录入（明细）'!C:C&lt;=$L$4),ROW(),"-")</f>
        <v>-</v>
      </c>
    </row>
    <row r="10776" customHeight="1" spans="2:2">
      <c r="B10776" s="62" t="str">
        <f>IF(AND('领用录入（明细）'!D:D=$F$4,'领用录入（明细）'!C:C&gt;=$J$4,'领用录入（明细）'!C:C&lt;=$L$4),ROW(),"-")</f>
        <v>-</v>
      </c>
    </row>
    <row r="10777" customHeight="1" spans="2:2">
      <c r="B10777" s="62" t="str">
        <f>IF(AND('领用录入（明细）'!D:D=$F$4,'领用录入（明细）'!C:C&gt;=$J$4,'领用录入（明细）'!C:C&lt;=$L$4),ROW(),"-")</f>
        <v>-</v>
      </c>
    </row>
    <row r="10778" customHeight="1" spans="2:2">
      <c r="B10778" s="62" t="str">
        <f>IF(AND('领用录入（明细）'!D:D=$F$4,'领用录入（明细）'!C:C&gt;=$J$4,'领用录入（明细）'!C:C&lt;=$L$4),ROW(),"-")</f>
        <v>-</v>
      </c>
    </row>
    <row r="10779" customHeight="1" spans="2:2">
      <c r="B10779" s="62" t="str">
        <f>IF(AND('领用录入（明细）'!D:D=$F$4,'领用录入（明细）'!C:C&gt;=$J$4,'领用录入（明细）'!C:C&lt;=$L$4),ROW(),"-")</f>
        <v>-</v>
      </c>
    </row>
    <row r="10780" customHeight="1" spans="2:2">
      <c r="B10780" s="62" t="str">
        <f>IF(AND('领用录入（明细）'!D:D=$F$4,'领用录入（明细）'!C:C&gt;=$J$4,'领用录入（明细）'!C:C&lt;=$L$4),ROW(),"-")</f>
        <v>-</v>
      </c>
    </row>
    <row r="10781" customHeight="1" spans="2:2">
      <c r="B10781" s="62" t="str">
        <f>IF(AND('领用录入（明细）'!D:D=$F$4,'领用录入（明细）'!C:C&gt;=$J$4,'领用录入（明细）'!C:C&lt;=$L$4),ROW(),"-")</f>
        <v>-</v>
      </c>
    </row>
    <row r="10782" customHeight="1" spans="2:2">
      <c r="B10782" s="62" t="str">
        <f>IF(AND('领用录入（明细）'!D:D=$F$4,'领用录入（明细）'!C:C&gt;=$J$4,'领用录入（明细）'!C:C&lt;=$L$4),ROW(),"-")</f>
        <v>-</v>
      </c>
    </row>
    <row r="10783" customHeight="1" spans="2:2">
      <c r="B10783" s="62" t="str">
        <f>IF(AND('领用录入（明细）'!D:D=$F$4,'领用录入（明细）'!C:C&gt;=$J$4,'领用录入（明细）'!C:C&lt;=$L$4),ROW(),"-")</f>
        <v>-</v>
      </c>
    </row>
    <row r="10784" customHeight="1" spans="2:2">
      <c r="B10784" s="62" t="str">
        <f>IF(AND('领用录入（明细）'!D:D=$F$4,'领用录入（明细）'!C:C&gt;=$J$4,'领用录入（明细）'!C:C&lt;=$L$4),ROW(),"-")</f>
        <v>-</v>
      </c>
    </row>
    <row r="10785" customHeight="1" spans="2:2">
      <c r="B10785" s="62" t="str">
        <f>IF(AND('领用录入（明细）'!D:D=$F$4,'领用录入（明细）'!C:C&gt;=$J$4,'领用录入（明细）'!C:C&lt;=$L$4),ROW(),"-")</f>
        <v>-</v>
      </c>
    </row>
    <row r="10786" customHeight="1" spans="2:2">
      <c r="B10786" s="62" t="str">
        <f>IF(AND('领用录入（明细）'!D:D=$F$4,'领用录入（明细）'!C:C&gt;=$J$4,'领用录入（明细）'!C:C&lt;=$L$4),ROW(),"-")</f>
        <v>-</v>
      </c>
    </row>
    <row r="10787" customHeight="1" spans="2:2">
      <c r="B10787" s="62" t="str">
        <f>IF(AND('领用录入（明细）'!D:D=$F$4,'领用录入（明细）'!C:C&gt;=$J$4,'领用录入（明细）'!C:C&lt;=$L$4),ROW(),"-")</f>
        <v>-</v>
      </c>
    </row>
    <row r="10788" customHeight="1" spans="2:2">
      <c r="B10788" s="62" t="str">
        <f>IF(AND('领用录入（明细）'!D:D=$F$4,'领用录入（明细）'!C:C&gt;=$J$4,'领用录入（明细）'!C:C&lt;=$L$4),ROW(),"-")</f>
        <v>-</v>
      </c>
    </row>
    <row r="10789" customHeight="1" spans="2:2">
      <c r="B10789" s="62" t="str">
        <f>IF(AND('领用录入（明细）'!D:D=$F$4,'领用录入（明细）'!C:C&gt;=$J$4,'领用录入（明细）'!C:C&lt;=$L$4),ROW(),"-")</f>
        <v>-</v>
      </c>
    </row>
    <row r="10790" customHeight="1" spans="2:2">
      <c r="B10790" s="62" t="str">
        <f>IF(AND('领用录入（明细）'!D:D=$F$4,'领用录入（明细）'!C:C&gt;=$J$4,'领用录入（明细）'!C:C&lt;=$L$4),ROW(),"-")</f>
        <v>-</v>
      </c>
    </row>
    <row r="10791" customHeight="1" spans="2:2">
      <c r="B10791" s="62" t="str">
        <f>IF(AND('领用录入（明细）'!D:D=$F$4,'领用录入（明细）'!C:C&gt;=$J$4,'领用录入（明细）'!C:C&lt;=$L$4),ROW(),"-")</f>
        <v>-</v>
      </c>
    </row>
    <row r="10792" customHeight="1" spans="2:2">
      <c r="B10792" s="62" t="str">
        <f>IF(AND('领用录入（明细）'!D:D=$F$4,'领用录入（明细）'!C:C&gt;=$J$4,'领用录入（明细）'!C:C&lt;=$L$4),ROW(),"-")</f>
        <v>-</v>
      </c>
    </row>
    <row r="10793" customHeight="1" spans="2:2">
      <c r="B10793" s="62" t="str">
        <f>IF(AND('领用录入（明细）'!D:D=$F$4,'领用录入（明细）'!C:C&gt;=$J$4,'领用录入（明细）'!C:C&lt;=$L$4),ROW(),"-")</f>
        <v>-</v>
      </c>
    </row>
    <row r="10794" customHeight="1" spans="2:2">
      <c r="B10794" s="62" t="str">
        <f>IF(AND('领用录入（明细）'!D:D=$F$4,'领用录入（明细）'!C:C&gt;=$J$4,'领用录入（明细）'!C:C&lt;=$L$4),ROW(),"-")</f>
        <v>-</v>
      </c>
    </row>
    <row r="10795" customHeight="1" spans="2:2">
      <c r="B10795" s="62" t="str">
        <f>IF(AND('领用录入（明细）'!D:D=$F$4,'领用录入（明细）'!C:C&gt;=$J$4,'领用录入（明细）'!C:C&lt;=$L$4),ROW(),"-")</f>
        <v>-</v>
      </c>
    </row>
    <row r="10796" customHeight="1" spans="2:2">
      <c r="B10796" s="62" t="str">
        <f>IF(AND('领用录入（明细）'!D:D=$F$4,'领用录入（明细）'!C:C&gt;=$J$4,'领用录入（明细）'!C:C&lt;=$L$4),ROW(),"-")</f>
        <v>-</v>
      </c>
    </row>
    <row r="10797" customHeight="1" spans="2:2">
      <c r="B10797" s="62" t="str">
        <f>IF(AND('领用录入（明细）'!D:D=$F$4,'领用录入（明细）'!C:C&gt;=$J$4,'领用录入（明细）'!C:C&lt;=$L$4),ROW(),"-")</f>
        <v>-</v>
      </c>
    </row>
    <row r="10798" customHeight="1" spans="2:2">
      <c r="B10798" s="62" t="str">
        <f>IF(AND('领用录入（明细）'!D:D=$F$4,'领用录入（明细）'!C:C&gt;=$J$4,'领用录入（明细）'!C:C&lt;=$L$4),ROW(),"-")</f>
        <v>-</v>
      </c>
    </row>
    <row r="10799" customHeight="1" spans="2:2">
      <c r="B10799" s="62" t="str">
        <f>IF(AND('领用录入（明细）'!D:D=$F$4,'领用录入（明细）'!C:C&gt;=$J$4,'领用录入（明细）'!C:C&lt;=$L$4),ROW(),"-")</f>
        <v>-</v>
      </c>
    </row>
    <row r="10800" customHeight="1" spans="2:2">
      <c r="B10800" s="62" t="str">
        <f>IF(AND('领用录入（明细）'!D:D=$F$4,'领用录入（明细）'!C:C&gt;=$J$4,'领用录入（明细）'!C:C&lt;=$L$4),ROW(),"-")</f>
        <v>-</v>
      </c>
    </row>
    <row r="10801" customHeight="1" spans="2:2">
      <c r="B10801" s="62" t="str">
        <f>IF(AND('领用录入（明细）'!D:D=$F$4,'领用录入（明细）'!C:C&gt;=$J$4,'领用录入（明细）'!C:C&lt;=$L$4),ROW(),"-")</f>
        <v>-</v>
      </c>
    </row>
    <row r="10802" customHeight="1" spans="2:2">
      <c r="B10802" s="62" t="str">
        <f>IF(AND('领用录入（明细）'!D:D=$F$4,'领用录入（明细）'!C:C&gt;=$J$4,'领用录入（明细）'!C:C&lt;=$L$4),ROW(),"-")</f>
        <v>-</v>
      </c>
    </row>
    <row r="10803" customHeight="1" spans="2:2">
      <c r="B10803" s="62" t="str">
        <f>IF(AND('领用录入（明细）'!D:D=$F$4,'领用录入（明细）'!C:C&gt;=$J$4,'领用录入（明细）'!C:C&lt;=$L$4),ROW(),"-")</f>
        <v>-</v>
      </c>
    </row>
    <row r="10804" customHeight="1" spans="2:2">
      <c r="B10804" s="62" t="str">
        <f>IF(AND('领用录入（明细）'!D:D=$F$4,'领用录入（明细）'!C:C&gt;=$J$4,'领用录入（明细）'!C:C&lt;=$L$4),ROW(),"-")</f>
        <v>-</v>
      </c>
    </row>
    <row r="10805" customHeight="1" spans="2:2">
      <c r="B10805" s="62" t="str">
        <f>IF(AND('领用录入（明细）'!D:D=$F$4,'领用录入（明细）'!C:C&gt;=$J$4,'领用录入（明细）'!C:C&lt;=$L$4),ROW(),"-")</f>
        <v>-</v>
      </c>
    </row>
    <row r="10806" customHeight="1" spans="2:2">
      <c r="B10806" s="62" t="str">
        <f>IF(AND('领用录入（明细）'!D:D=$F$4,'领用录入（明细）'!C:C&gt;=$J$4,'领用录入（明细）'!C:C&lt;=$L$4),ROW(),"-")</f>
        <v>-</v>
      </c>
    </row>
    <row r="10807" customHeight="1" spans="2:2">
      <c r="B10807" s="62" t="str">
        <f>IF(AND('领用录入（明细）'!D:D=$F$4,'领用录入（明细）'!C:C&gt;=$J$4,'领用录入（明细）'!C:C&lt;=$L$4),ROW(),"-")</f>
        <v>-</v>
      </c>
    </row>
    <row r="10808" customHeight="1" spans="2:2">
      <c r="B10808" s="62" t="str">
        <f>IF(AND('领用录入（明细）'!D:D=$F$4,'领用录入（明细）'!C:C&gt;=$J$4,'领用录入（明细）'!C:C&lt;=$L$4),ROW(),"-")</f>
        <v>-</v>
      </c>
    </row>
    <row r="10809" customHeight="1" spans="2:2">
      <c r="B10809" s="62" t="str">
        <f>IF(AND('领用录入（明细）'!D:D=$F$4,'领用录入（明细）'!C:C&gt;=$J$4,'领用录入（明细）'!C:C&lt;=$L$4),ROW(),"-")</f>
        <v>-</v>
      </c>
    </row>
    <row r="10810" customHeight="1" spans="2:2">
      <c r="B10810" s="62" t="str">
        <f>IF(AND('领用录入（明细）'!D:D=$F$4,'领用录入（明细）'!C:C&gt;=$J$4,'领用录入（明细）'!C:C&lt;=$L$4),ROW(),"-")</f>
        <v>-</v>
      </c>
    </row>
    <row r="10811" customHeight="1" spans="2:2">
      <c r="B10811" s="62" t="str">
        <f>IF(AND('领用录入（明细）'!D:D=$F$4,'领用录入（明细）'!C:C&gt;=$J$4,'领用录入（明细）'!C:C&lt;=$L$4),ROW(),"-")</f>
        <v>-</v>
      </c>
    </row>
    <row r="10812" customHeight="1" spans="2:2">
      <c r="B10812" s="62" t="str">
        <f>IF(AND('领用录入（明细）'!D:D=$F$4,'领用录入（明细）'!C:C&gt;=$J$4,'领用录入（明细）'!C:C&lt;=$L$4),ROW(),"-")</f>
        <v>-</v>
      </c>
    </row>
    <row r="10813" customHeight="1" spans="2:2">
      <c r="B10813" s="62" t="str">
        <f>IF(AND('领用录入（明细）'!D:D=$F$4,'领用录入（明细）'!C:C&gt;=$J$4,'领用录入（明细）'!C:C&lt;=$L$4),ROW(),"-")</f>
        <v>-</v>
      </c>
    </row>
    <row r="10814" customHeight="1" spans="2:2">
      <c r="B10814" s="62" t="str">
        <f>IF(AND('领用录入（明细）'!D:D=$F$4,'领用录入（明细）'!C:C&gt;=$J$4,'领用录入（明细）'!C:C&lt;=$L$4),ROW(),"-")</f>
        <v>-</v>
      </c>
    </row>
    <row r="10815" customHeight="1" spans="2:2">
      <c r="B10815" s="62" t="str">
        <f>IF(AND('领用录入（明细）'!D:D=$F$4,'领用录入（明细）'!C:C&gt;=$J$4,'领用录入（明细）'!C:C&lt;=$L$4),ROW(),"-")</f>
        <v>-</v>
      </c>
    </row>
    <row r="10816" customHeight="1" spans="2:2">
      <c r="B10816" s="62" t="str">
        <f>IF(AND('领用录入（明细）'!D:D=$F$4,'领用录入（明细）'!C:C&gt;=$J$4,'领用录入（明细）'!C:C&lt;=$L$4),ROW(),"-")</f>
        <v>-</v>
      </c>
    </row>
    <row r="10817" customHeight="1" spans="2:2">
      <c r="B10817" s="62" t="str">
        <f>IF(AND('领用录入（明细）'!D:D=$F$4,'领用录入（明细）'!C:C&gt;=$J$4,'领用录入（明细）'!C:C&lt;=$L$4),ROW(),"-")</f>
        <v>-</v>
      </c>
    </row>
    <row r="10818" customHeight="1" spans="2:2">
      <c r="B10818" s="62" t="str">
        <f>IF(AND('领用录入（明细）'!D:D=$F$4,'领用录入（明细）'!C:C&gt;=$J$4,'领用录入（明细）'!C:C&lt;=$L$4),ROW(),"-")</f>
        <v>-</v>
      </c>
    </row>
    <row r="10819" customHeight="1" spans="2:2">
      <c r="B10819" s="62" t="str">
        <f>IF(AND('领用录入（明细）'!D:D=$F$4,'领用录入（明细）'!C:C&gt;=$J$4,'领用录入（明细）'!C:C&lt;=$L$4),ROW(),"-")</f>
        <v>-</v>
      </c>
    </row>
    <row r="10820" customHeight="1" spans="2:2">
      <c r="B10820" s="62" t="str">
        <f>IF(AND('领用录入（明细）'!D:D=$F$4,'领用录入（明细）'!C:C&gt;=$J$4,'领用录入（明细）'!C:C&lt;=$L$4),ROW(),"-")</f>
        <v>-</v>
      </c>
    </row>
    <row r="10821" customHeight="1" spans="2:2">
      <c r="B10821" s="62" t="str">
        <f>IF(AND('领用录入（明细）'!D:D=$F$4,'领用录入（明细）'!C:C&gt;=$J$4,'领用录入（明细）'!C:C&lt;=$L$4),ROW(),"-")</f>
        <v>-</v>
      </c>
    </row>
    <row r="10822" customHeight="1" spans="2:2">
      <c r="B10822" s="62" t="str">
        <f>IF(AND('领用录入（明细）'!D:D=$F$4,'领用录入（明细）'!C:C&gt;=$J$4,'领用录入（明细）'!C:C&lt;=$L$4),ROW(),"-")</f>
        <v>-</v>
      </c>
    </row>
    <row r="10823" customHeight="1" spans="2:2">
      <c r="B10823" s="62" t="str">
        <f>IF(AND('领用录入（明细）'!D:D=$F$4,'领用录入（明细）'!C:C&gt;=$J$4,'领用录入（明细）'!C:C&lt;=$L$4),ROW(),"-")</f>
        <v>-</v>
      </c>
    </row>
    <row r="10824" customHeight="1" spans="2:2">
      <c r="B10824" s="62" t="str">
        <f>IF(AND('领用录入（明细）'!D:D=$F$4,'领用录入（明细）'!C:C&gt;=$J$4,'领用录入（明细）'!C:C&lt;=$L$4),ROW(),"-")</f>
        <v>-</v>
      </c>
    </row>
    <row r="10825" customHeight="1" spans="2:2">
      <c r="B10825" s="62" t="str">
        <f>IF(AND('领用录入（明细）'!D:D=$F$4,'领用录入（明细）'!C:C&gt;=$J$4,'领用录入（明细）'!C:C&lt;=$L$4),ROW(),"-")</f>
        <v>-</v>
      </c>
    </row>
    <row r="10826" customHeight="1" spans="2:2">
      <c r="B10826" s="62" t="str">
        <f>IF(AND('领用录入（明细）'!D:D=$F$4,'领用录入（明细）'!C:C&gt;=$J$4,'领用录入（明细）'!C:C&lt;=$L$4),ROW(),"-")</f>
        <v>-</v>
      </c>
    </row>
    <row r="10827" customHeight="1" spans="2:2">
      <c r="B10827" s="62" t="str">
        <f>IF(AND('领用录入（明细）'!D:D=$F$4,'领用录入（明细）'!C:C&gt;=$J$4,'领用录入（明细）'!C:C&lt;=$L$4),ROW(),"-")</f>
        <v>-</v>
      </c>
    </row>
    <row r="10828" customHeight="1" spans="2:2">
      <c r="B10828" s="62" t="str">
        <f>IF(AND('领用录入（明细）'!D:D=$F$4,'领用录入（明细）'!C:C&gt;=$J$4,'领用录入（明细）'!C:C&lt;=$L$4),ROW(),"-")</f>
        <v>-</v>
      </c>
    </row>
    <row r="10829" customHeight="1" spans="2:2">
      <c r="B10829" s="62" t="str">
        <f>IF(AND('领用录入（明细）'!D:D=$F$4,'领用录入（明细）'!C:C&gt;=$J$4,'领用录入（明细）'!C:C&lt;=$L$4),ROW(),"-")</f>
        <v>-</v>
      </c>
    </row>
    <row r="10830" customHeight="1" spans="2:2">
      <c r="B10830" s="62" t="str">
        <f>IF(AND('领用录入（明细）'!D:D=$F$4,'领用录入（明细）'!C:C&gt;=$J$4,'领用录入（明细）'!C:C&lt;=$L$4),ROW(),"-")</f>
        <v>-</v>
      </c>
    </row>
    <row r="10831" customHeight="1" spans="2:2">
      <c r="B10831" s="62" t="str">
        <f>IF(AND('领用录入（明细）'!D:D=$F$4,'领用录入（明细）'!C:C&gt;=$J$4,'领用录入（明细）'!C:C&lt;=$L$4),ROW(),"-")</f>
        <v>-</v>
      </c>
    </row>
    <row r="10832" customHeight="1" spans="2:2">
      <c r="B10832" s="62" t="str">
        <f>IF(AND('领用录入（明细）'!D:D=$F$4,'领用录入（明细）'!C:C&gt;=$J$4,'领用录入（明细）'!C:C&lt;=$L$4),ROW(),"-")</f>
        <v>-</v>
      </c>
    </row>
    <row r="10833" customHeight="1" spans="2:2">
      <c r="B10833" s="62" t="str">
        <f>IF(AND('领用录入（明细）'!D:D=$F$4,'领用录入（明细）'!C:C&gt;=$J$4,'领用录入（明细）'!C:C&lt;=$L$4),ROW(),"-")</f>
        <v>-</v>
      </c>
    </row>
    <row r="10834" customHeight="1" spans="2:2">
      <c r="B10834" s="62" t="str">
        <f>IF(AND('领用录入（明细）'!D:D=$F$4,'领用录入（明细）'!C:C&gt;=$J$4,'领用录入（明细）'!C:C&lt;=$L$4),ROW(),"-")</f>
        <v>-</v>
      </c>
    </row>
    <row r="10835" customHeight="1" spans="2:2">
      <c r="B10835" s="62" t="str">
        <f>IF(AND('领用录入（明细）'!D:D=$F$4,'领用录入（明细）'!C:C&gt;=$J$4,'领用录入（明细）'!C:C&lt;=$L$4),ROW(),"-")</f>
        <v>-</v>
      </c>
    </row>
    <row r="10836" customHeight="1" spans="2:2">
      <c r="B10836" s="62" t="str">
        <f>IF(AND('领用录入（明细）'!D:D=$F$4,'领用录入（明细）'!C:C&gt;=$J$4,'领用录入（明细）'!C:C&lt;=$L$4),ROW(),"-")</f>
        <v>-</v>
      </c>
    </row>
    <row r="10837" customHeight="1" spans="2:2">
      <c r="B10837" s="62" t="str">
        <f>IF(AND('领用录入（明细）'!D:D=$F$4,'领用录入（明细）'!C:C&gt;=$J$4,'领用录入（明细）'!C:C&lt;=$L$4),ROW(),"-")</f>
        <v>-</v>
      </c>
    </row>
    <row r="10838" customHeight="1" spans="2:2">
      <c r="B10838" s="62" t="str">
        <f>IF(AND('领用录入（明细）'!D:D=$F$4,'领用录入（明细）'!C:C&gt;=$J$4,'领用录入（明细）'!C:C&lt;=$L$4),ROW(),"-")</f>
        <v>-</v>
      </c>
    </row>
    <row r="10839" customHeight="1" spans="2:2">
      <c r="B10839" s="62" t="str">
        <f>IF(AND('领用录入（明细）'!D:D=$F$4,'领用录入（明细）'!C:C&gt;=$J$4,'领用录入（明细）'!C:C&lt;=$L$4),ROW(),"-")</f>
        <v>-</v>
      </c>
    </row>
    <row r="10840" customHeight="1" spans="2:2">
      <c r="B10840" s="62" t="str">
        <f>IF(AND('领用录入（明细）'!D:D=$F$4,'领用录入（明细）'!C:C&gt;=$J$4,'领用录入（明细）'!C:C&lt;=$L$4),ROW(),"-")</f>
        <v>-</v>
      </c>
    </row>
    <row r="10841" customHeight="1" spans="2:2">
      <c r="B10841" s="62" t="str">
        <f>IF(AND('领用录入（明细）'!D:D=$F$4,'领用录入（明细）'!C:C&gt;=$J$4,'领用录入（明细）'!C:C&lt;=$L$4),ROW(),"-")</f>
        <v>-</v>
      </c>
    </row>
    <row r="10842" customHeight="1" spans="2:2">
      <c r="B10842" s="62" t="str">
        <f>IF(AND('领用录入（明细）'!D:D=$F$4,'领用录入（明细）'!C:C&gt;=$J$4,'领用录入（明细）'!C:C&lt;=$L$4),ROW(),"-")</f>
        <v>-</v>
      </c>
    </row>
    <row r="10843" customHeight="1" spans="2:2">
      <c r="B10843" s="62" t="str">
        <f>IF(AND('领用录入（明细）'!D:D=$F$4,'领用录入（明细）'!C:C&gt;=$J$4,'领用录入（明细）'!C:C&lt;=$L$4),ROW(),"-")</f>
        <v>-</v>
      </c>
    </row>
    <row r="10844" customHeight="1" spans="2:2">
      <c r="B10844" s="62" t="str">
        <f>IF(AND('领用录入（明细）'!D:D=$F$4,'领用录入（明细）'!C:C&gt;=$J$4,'领用录入（明细）'!C:C&lt;=$L$4),ROW(),"-")</f>
        <v>-</v>
      </c>
    </row>
    <row r="10845" customHeight="1" spans="2:2">
      <c r="B10845" s="62" t="str">
        <f>IF(AND('领用录入（明细）'!D:D=$F$4,'领用录入（明细）'!C:C&gt;=$J$4,'领用录入（明细）'!C:C&lt;=$L$4),ROW(),"-")</f>
        <v>-</v>
      </c>
    </row>
    <row r="10846" customHeight="1" spans="2:2">
      <c r="B10846" s="62" t="str">
        <f>IF(AND('领用录入（明细）'!D:D=$F$4,'领用录入（明细）'!C:C&gt;=$J$4,'领用录入（明细）'!C:C&lt;=$L$4),ROW(),"-")</f>
        <v>-</v>
      </c>
    </row>
    <row r="10847" customHeight="1" spans="2:2">
      <c r="B10847" s="62" t="str">
        <f>IF(AND('领用录入（明细）'!D:D=$F$4,'领用录入（明细）'!C:C&gt;=$J$4,'领用录入（明细）'!C:C&lt;=$L$4),ROW(),"-")</f>
        <v>-</v>
      </c>
    </row>
    <row r="10848" customHeight="1" spans="2:2">
      <c r="B10848" s="62" t="str">
        <f>IF(AND('领用录入（明细）'!D:D=$F$4,'领用录入（明细）'!C:C&gt;=$J$4,'领用录入（明细）'!C:C&lt;=$L$4),ROW(),"-")</f>
        <v>-</v>
      </c>
    </row>
    <row r="10849" customHeight="1" spans="2:2">
      <c r="B10849" s="62" t="str">
        <f>IF(AND('领用录入（明细）'!D:D=$F$4,'领用录入（明细）'!C:C&gt;=$J$4,'领用录入（明细）'!C:C&lt;=$L$4),ROW(),"-")</f>
        <v>-</v>
      </c>
    </row>
    <row r="10850" customHeight="1" spans="2:2">
      <c r="B10850" s="62" t="str">
        <f>IF(AND('领用录入（明细）'!D:D=$F$4,'领用录入（明细）'!C:C&gt;=$J$4,'领用录入（明细）'!C:C&lt;=$L$4),ROW(),"-")</f>
        <v>-</v>
      </c>
    </row>
    <row r="10851" customHeight="1" spans="2:2">
      <c r="B10851" s="62" t="str">
        <f>IF(AND('领用录入（明细）'!D:D=$F$4,'领用录入（明细）'!C:C&gt;=$J$4,'领用录入（明细）'!C:C&lt;=$L$4),ROW(),"-")</f>
        <v>-</v>
      </c>
    </row>
    <row r="10852" customHeight="1" spans="2:2">
      <c r="B10852" s="62" t="str">
        <f>IF(AND('领用录入（明细）'!D:D=$F$4,'领用录入（明细）'!C:C&gt;=$J$4,'领用录入（明细）'!C:C&lt;=$L$4),ROW(),"-")</f>
        <v>-</v>
      </c>
    </row>
    <row r="10853" customHeight="1" spans="2:2">
      <c r="B10853" s="62" t="str">
        <f>IF(AND('领用录入（明细）'!D:D=$F$4,'领用录入（明细）'!C:C&gt;=$J$4,'领用录入（明细）'!C:C&lt;=$L$4),ROW(),"-")</f>
        <v>-</v>
      </c>
    </row>
    <row r="10854" customHeight="1" spans="2:2">
      <c r="B10854" s="62" t="str">
        <f>IF(AND('领用录入（明细）'!D:D=$F$4,'领用录入（明细）'!C:C&gt;=$J$4,'领用录入（明细）'!C:C&lt;=$L$4),ROW(),"-")</f>
        <v>-</v>
      </c>
    </row>
    <row r="10855" customHeight="1" spans="2:2">
      <c r="B10855" s="62" t="str">
        <f>IF(AND('领用录入（明细）'!D:D=$F$4,'领用录入（明细）'!C:C&gt;=$J$4,'领用录入（明细）'!C:C&lt;=$L$4),ROW(),"-")</f>
        <v>-</v>
      </c>
    </row>
    <row r="10856" customHeight="1" spans="2:2">
      <c r="B10856" s="62" t="str">
        <f>IF(AND('领用录入（明细）'!D:D=$F$4,'领用录入（明细）'!C:C&gt;=$J$4,'领用录入（明细）'!C:C&lt;=$L$4),ROW(),"-")</f>
        <v>-</v>
      </c>
    </row>
    <row r="10857" customHeight="1" spans="2:2">
      <c r="B10857" s="62" t="str">
        <f>IF(AND('领用录入（明细）'!D:D=$F$4,'领用录入（明细）'!C:C&gt;=$J$4,'领用录入（明细）'!C:C&lt;=$L$4),ROW(),"-")</f>
        <v>-</v>
      </c>
    </row>
    <row r="10858" customHeight="1" spans="2:2">
      <c r="B10858" s="62" t="str">
        <f>IF(AND('领用录入（明细）'!D:D=$F$4,'领用录入（明细）'!C:C&gt;=$J$4,'领用录入（明细）'!C:C&lt;=$L$4),ROW(),"-")</f>
        <v>-</v>
      </c>
    </row>
    <row r="10859" customHeight="1" spans="2:2">
      <c r="B10859" s="62" t="str">
        <f>IF(AND('领用录入（明细）'!D:D=$F$4,'领用录入（明细）'!C:C&gt;=$J$4,'领用录入（明细）'!C:C&lt;=$L$4),ROW(),"-")</f>
        <v>-</v>
      </c>
    </row>
    <row r="10860" customHeight="1" spans="2:2">
      <c r="B10860" s="62" t="str">
        <f>IF(AND('领用录入（明细）'!D:D=$F$4,'领用录入（明细）'!C:C&gt;=$J$4,'领用录入（明细）'!C:C&lt;=$L$4),ROW(),"-")</f>
        <v>-</v>
      </c>
    </row>
    <row r="10861" customHeight="1" spans="2:2">
      <c r="B10861" s="62" t="str">
        <f>IF(AND('领用录入（明细）'!D:D=$F$4,'领用录入（明细）'!C:C&gt;=$J$4,'领用录入（明细）'!C:C&lt;=$L$4),ROW(),"-")</f>
        <v>-</v>
      </c>
    </row>
    <row r="10862" customHeight="1" spans="2:2">
      <c r="B10862" s="62" t="str">
        <f>IF(AND('领用录入（明细）'!D:D=$F$4,'领用录入（明细）'!C:C&gt;=$J$4,'领用录入（明细）'!C:C&lt;=$L$4),ROW(),"-")</f>
        <v>-</v>
      </c>
    </row>
    <row r="10863" customHeight="1" spans="2:2">
      <c r="B10863" s="62" t="str">
        <f>IF(AND('领用录入（明细）'!D:D=$F$4,'领用录入（明细）'!C:C&gt;=$J$4,'领用录入（明细）'!C:C&lt;=$L$4),ROW(),"-")</f>
        <v>-</v>
      </c>
    </row>
    <row r="10864" customHeight="1" spans="2:2">
      <c r="B10864" s="62" t="str">
        <f>IF(AND('领用录入（明细）'!D:D=$F$4,'领用录入（明细）'!C:C&gt;=$J$4,'领用录入（明细）'!C:C&lt;=$L$4),ROW(),"-")</f>
        <v>-</v>
      </c>
    </row>
    <row r="10865" customHeight="1" spans="2:2">
      <c r="B10865" s="62" t="str">
        <f>IF(AND('领用录入（明细）'!D:D=$F$4,'领用录入（明细）'!C:C&gt;=$J$4,'领用录入（明细）'!C:C&lt;=$L$4),ROW(),"-")</f>
        <v>-</v>
      </c>
    </row>
    <row r="10866" customHeight="1" spans="2:2">
      <c r="B10866" s="62" t="str">
        <f>IF(AND('领用录入（明细）'!D:D=$F$4,'领用录入（明细）'!C:C&gt;=$J$4,'领用录入（明细）'!C:C&lt;=$L$4),ROW(),"-")</f>
        <v>-</v>
      </c>
    </row>
    <row r="10867" customHeight="1" spans="2:2">
      <c r="B10867" s="62" t="str">
        <f>IF(AND('领用录入（明细）'!D:D=$F$4,'领用录入（明细）'!C:C&gt;=$J$4,'领用录入（明细）'!C:C&lt;=$L$4),ROW(),"-")</f>
        <v>-</v>
      </c>
    </row>
    <row r="10868" customHeight="1" spans="2:2">
      <c r="B10868" s="62" t="str">
        <f>IF(AND('领用录入（明细）'!D:D=$F$4,'领用录入（明细）'!C:C&gt;=$J$4,'领用录入（明细）'!C:C&lt;=$L$4),ROW(),"-")</f>
        <v>-</v>
      </c>
    </row>
    <row r="10869" customHeight="1" spans="2:2">
      <c r="B10869" s="62" t="str">
        <f>IF(AND('领用录入（明细）'!D:D=$F$4,'领用录入（明细）'!C:C&gt;=$J$4,'领用录入（明细）'!C:C&lt;=$L$4),ROW(),"-")</f>
        <v>-</v>
      </c>
    </row>
    <row r="10870" customHeight="1" spans="2:2">
      <c r="B10870" s="62" t="str">
        <f>IF(AND('领用录入（明细）'!D:D=$F$4,'领用录入（明细）'!C:C&gt;=$J$4,'领用录入（明细）'!C:C&lt;=$L$4),ROW(),"-")</f>
        <v>-</v>
      </c>
    </row>
    <row r="10871" customHeight="1" spans="2:2">
      <c r="B10871" s="62" t="str">
        <f>IF(AND('领用录入（明细）'!D:D=$F$4,'领用录入（明细）'!C:C&gt;=$J$4,'领用录入（明细）'!C:C&lt;=$L$4),ROW(),"-")</f>
        <v>-</v>
      </c>
    </row>
    <row r="10872" customHeight="1" spans="2:2">
      <c r="B10872" s="62" t="str">
        <f>IF(AND('领用录入（明细）'!D:D=$F$4,'领用录入（明细）'!C:C&gt;=$J$4,'领用录入（明细）'!C:C&lt;=$L$4),ROW(),"-")</f>
        <v>-</v>
      </c>
    </row>
    <row r="10873" customHeight="1" spans="2:2">
      <c r="B10873" s="62" t="str">
        <f>IF(AND('领用录入（明细）'!D:D=$F$4,'领用录入（明细）'!C:C&gt;=$J$4,'领用录入（明细）'!C:C&lt;=$L$4),ROW(),"-")</f>
        <v>-</v>
      </c>
    </row>
    <row r="10874" customHeight="1" spans="2:2">
      <c r="B10874" s="62" t="str">
        <f>IF(AND('领用录入（明细）'!D:D=$F$4,'领用录入（明细）'!C:C&gt;=$J$4,'领用录入（明细）'!C:C&lt;=$L$4),ROW(),"-")</f>
        <v>-</v>
      </c>
    </row>
    <row r="10875" customHeight="1" spans="2:2">
      <c r="B10875" s="62" t="str">
        <f>IF(AND('领用录入（明细）'!D:D=$F$4,'领用录入（明细）'!C:C&gt;=$J$4,'领用录入（明细）'!C:C&lt;=$L$4),ROW(),"-")</f>
        <v>-</v>
      </c>
    </row>
    <row r="10876" customHeight="1" spans="2:2">
      <c r="B10876" s="62" t="str">
        <f>IF(AND('领用录入（明细）'!D:D=$F$4,'领用录入（明细）'!C:C&gt;=$J$4,'领用录入（明细）'!C:C&lt;=$L$4),ROW(),"-")</f>
        <v>-</v>
      </c>
    </row>
    <row r="10877" customHeight="1" spans="2:2">
      <c r="B10877" s="62" t="str">
        <f>IF(AND('领用录入（明细）'!D:D=$F$4,'领用录入（明细）'!C:C&gt;=$J$4,'领用录入（明细）'!C:C&lt;=$L$4),ROW(),"-")</f>
        <v>-</v>
      </c>
    </row>
    <row r="10878" customHeight="1" spans="2:2">
      <c r="B10878" s="62" t="str">
        <f>IF(AND('领用录入（明细）'!D:D=$F$4,'领用录入（明细）'!C:C&gt;=$J$4,'领用录入（明细）'!C:C&lt;=$L$4),ROW(),"-")</f>
        <v>-</v>
      </c>
    </row>
    <row r="10879" customHeight="1" spans="2:2">
      <c r="B10879" s="62" t="str">
        <f>IF(AND('领用录入（明细）'!D:D=$F$4,'领用录入（明细）'!C:C&gt;=$J$4,'领用录入（明细）'!C:C&lt;=$L$4),ROW(),"-")</f>
        <v>-</v>
      </c>
    </row>
    <row r="10880" customHeight="1" spans="2:2">
      <c r="B10880" s="62" t="str">
        <f>IF(AND('领用录入（明细）'!D:D=$F$4,'领用录入（明细）'!C:C&gt;=$J$4,'领用录入（明细）'!C:C&lt;=$L$4),ROW(),"-")</f>
        <v>-</v>
      </c>
    </row>
    <row r="10881" customHeight="1" spans="2:2">
      <c r="B10881" s="62" t="str">
        <f>IF(AND('领用录入（明细）'!D:D=$F$4,'领用录入（明细）'!C:C&gt;=$J$4,'领用录入（明细）'!C:C&lt;=$L$4),ROW(),"-")</f>
        <v>-</v>
      </c>
    </row>
    <row r="10882" customHeight="1" spans="2:2">
      <c r="B10882" s="62" t="str">
        <f>IF(AND('领用录入（明细）'!D:D=$F$4,'领用录入（明细）'!C:C&gt;=$J$4,'领用录入（明细）'!C:C&lt;=$L$4),ROW(),"-")</f>
        <v>-</v>
      </c>
    </row>
    <row r="10883" customHeight="1" spans="2:2">
      <c r="B10883" s="62" t="str">
        <f>IF(AND('领用录入（明细）'!D:D=$F$4,'领用录入（明细）'!C:C&gt;=$J$4,'领用录入（明细）'!C:C&lt;=$L$4),ROW(),"-")</f>
        <v>-</v>
      </c>
    </row>
    <row r="10884" customHeight="1" spans="2:2">
      <c r="B10884" s="62" t="str">
        <f>IF(AND('领用录入（明细）'!D:D=$F$4,'领用录入（明细）'!C:C&gt;=$J$4,'领用录入（明细）'!C:C&lt;=$L$4),ROW(),"-")</f>
        <v>-</v>
      </c>
    </row>
    <row r="10885" customHeight="1" spans="2:2">
      <c r="B10885" s="62" t="str">
        <f>IF(AND('领用录入（明细）'!D:D=$F$4,'领用录入（明细）'!C:C&gt;=$J$4,'领用录入（明细）'!C:C&lt;=$L$4),ROW(),"-")</f>
        <v>-</v>
      </c>
    </row>
    <row r="10886" customHeight="1" spans="2:2">
      <c r="B10886" s="62" t="str">
        <f>IF(AND('领用录入（明细）'!D:D=$F$4,'领用录入（明细）'!C:C&gt;=$J$4,'领用录入（明细）'!C:C&lt;=$L$4),ROW(),"-")</f>
        <v>-</v>
      </c>
    </row>
    <row r="10887" customHeight="1" spans="2:2">
      <c r="B10887" s="62" t="str">
        <f>IF(AND('领用录入（明细）'!D:D=$F$4,'领用录入（明细）'!C:C&gt;=$J$4,'领用录入（明细）'!C:C&lt;=$L$4),ROW(),"-")</f>
        <v>-</v>
      </c>
    </row>
    <row r="10888" customHeight="1" spans="2:2">
      <c r="B10888" s="62" t="str">
        <f>IF(AND('领用录入（明细）'!D:D=$F$4,'领用录入（明细）'!C:C&gt;=$J$4,'领用录入（明细）'!C:C&lt;=$L$4),ROW(),"-")</f>
        <v>-</v>
      </c>
    </row>
    <row r="10889" customHeight="1" spans="2:2">
      <c r="B10889" s="62" t="str">
        <f>IF(AND('领用录入（明细）'!D:D=$F$4,'领用录入（明细）'!C:C&gt;=$J$4,'领用录入（明细）'!C:C&lt;=$L$4),ROW(),"-")</f>
        <v>-</v>
      </c>
    </row>
    <row r="10890" customHeight="1" spans="2:2">
      <c r="B10890" s="62" t="str">
        <f>IF(AND('领用录入（明细）'!D:D=$F$4,'领用录入（明细）'!C:C&gt;=$J$4,'领用录入（明细）'!C:C&lt;=$L$4),ROW(),"-")</f>
        <v>-</v>
      </c>
    </row>
    <row r="10891" customHeight="1" spans="2:2">
      <c r="B10891" s="62" t="str">
        <f>IF(AND('领用录入（明细）'!D:D=$F$4,'领用录入（明细）'!C:C&gt;=$J$4,'领用录入（明细）'!C:C&lt;=$L$4),ROW(),"-")</f>
        <v>-</v>
      </c>
    </row>
    <row r="10892" customHeight="1" spans="2:2">
      <c r="B10892" s="62" t="str">
        <f>IF(AND('领用录入（明细）'!D:D=$F$4,'领用录入（明细）'!C:C&gt;=$J$4,'领用录入（明细）'!C:C&lt;=$L$4),ROW(),"-")</f>
        <v>-</v>
      </c>
    </row>
    <row r="10893" customHeight="1" spans="2:2">
      <c r="B10893" s="62" t="str">
        <f>IF(AND('领用录入（明细）'!D:D=$F$4,'领用录入（明细）'!C:C&gt;=$J$4,'领用录入（明细）'!C:C&lt;=$L$4),ROW(),"-")</f>
        <v>-</v>
      </c>
    </row>
    <row r="10894" customHeight="1" spans="2:2">
      <c r="B10894" s="62" t="str">
        <f>IF(AND('领用录入（明细）'!D:D=$F$4,'领用录入（明细）'!C:C&gt;=$J$4,'领用录入（明细）'!C:C&lt;=$L$4),ROW(),"-")</f>
        <v>-</v>
      </c>
    </row>
    <row r="10895" customHeight="1" spans="2:2">
      <c r="B10895" s="62" t="str">
        <f>IF(AND('领用录入（明细）'!D:D=$F$4,'领用录入（明细）'!C:C&gt;=$J$4,'领用录入（明细）'!C:C&lt;=$L$4),ROW(),"-")</f>
        <v>-</v>
      </c>
    </row>
    <row r="10896" customHeight="1" spans="2:2">
      <c r="B10896" s="62" t="str">
        <f>IF(AND('领用录入（明细）'!D:D=$F$4,'领用录入（明细）'!C:C&gt;=$J$4,'领用录入（明细）'!C:C&lt;=$L$4),ROW(),"-")</f>
        <v>-</v>
      </c>
    </row>
    <row r="10897" customHeight="1" spans="2:2">
      <c r="B10897" s="62" t="str">
        <f>IF(AND('领用录入（明细）'!D:D=$F$4,'领用录入（明细）'!C:C&gt;=$J$4,'领用录入（明细）'!C:C&lt;=$L$4),ROW(),"-")</f>
        <v>-</v>
      </c>
    </row>
    <row r="10898" customHeight="1" spans="2:2">
      <c r="B10898" s="62" t="str">
        <f>IF(AND('领用录入（明细）'!D:D=$F$4,'领用录入（明细）'!C:C&gt;=$J$4,'领用录入（明细）'!C:C&lt;=$L$4),ROW(),"-")</f>
        <v>-</v>
      </c>
    </row>
    <row r="10899" customHeight="1" spans="2:2">
      <c r="B10899" s="62" t="str">
        <f>IF(AND('领用录入（明细）'!D:D=$F$4,'领用录入（明细）'!C:C&gt;=$J$4,'领用录入（明细）'!C:C&lt;=$L$4),ROW(),"-")</f>
        <v>-</v>
      </c>
    </row>
    <row r="10900" customHeight="1" spans="2:2">
      <c r="B10900" s="62" t="str">
        <f>IF(AND('领用录入（明细）'!D:D=$F$4,'领用录入（明细）'!C:C&gt;=$J$4,'领用录入（明细）'!C:C&lt;=$L$4),ROW(),"-")</f>
        <v>-</v>
      </c>
    </row>
    <row r="10901" customHeight="1" spans="2:2">
      <c r="B10901" s="62" t="str">
        <f>IF(AND('领用录入（明细）'!D:D=$F$4,'领用录入（明细）'!C:C&gt;=$J$4,'领用录入（明细）'!C:C&lt;=$L$4),ROW(),"-")</f>
        <v>-</v>
      </c>
    </row>
    <row r="10902" customHeight="1" spans="2:2">
      <c r="B10902" s="62" t="str">
        <f>IF(AND('领用录入（明细）'!D:D=$F$4,'领用录入（明细）'!C:C&gt;=$J$4,'领用录入（明细）'!C:C&lt;=$L$4),ROW(),"-")</f>
        <v>-</v>
      </c>
    </row>
    <row r="10903" customHeight="1" spans="2:2">
      <c r="B10903" s="62" t="str">
        <f>IF(AND('领用录入（明细）'!D:D=$F$4,'领用录入（明细）'!C:C&gt;=$J$4,'领用录入（明细）'!C:C&lt;=$L$4),ROW(),"-")</f>
        <v>-</v>
      </c>
    </row>
    <row r="10904" customHeight="1" spans="2:2">
      <c r="B10904" s="62" t="str">
        <f>IF(AND('领用录入（明细）'!D:D=$F$4,'领用录入（明细）'!C:C&gt;=$J$4,'领用录入（明细）'!C:C&lt;=$L$4),ROW(),"-")</f>
        <v>-</v>
      </c>
    </row>
    <row r="10905" customHeight="1" spans="2:2">
      <c r="B10905" s="62" t="str">
        <f>IF(AND('领用录入（明细）'!D:D=$F$4,'领用录入（明细）'!C:C&gt;=$J$4,'领用录入（明细）'!C:C&lt;=$L$4),ROW(),"-")</f>
        <v>-</v>
      </c>
    </row>
    <row r="10906" customHeight="1" spans="2:2">
      <c r="B10906" s="62" t="str">
        <f>IF(AND('领用录入（明细）'!D:D=$F$4,'领用录入（明细）'!C:C&gt;=$J$4,'领用录入（明细）'!C:C&lt;=$L$4),ROW(),"-")</f>
        <v>-</v>
      </c>
    </row>
    <row r="10907" customHeight="1" spans="2:2">
      <c r="B10907" s="62" t="str">
        <f>IF(AND('领用录入（明细）'!D:D=$F$4,'领用录入（明细）'!C:C&gt;=$J$4,'领用录入（明细）'!C:C&lt;=$L$4),ROW(),"-")</f>
        <v>-</v>
      </c>
    </row>
    <row r="10908" customHeight="1" spans="2:2">
      <c r="B10908" s="62" t="str">
        <f>IF(AND('领用录入（明细）'!D:D=$F$4,'领用录入（明细）'!C:C&gt;=$J$4,'领用录入（明细）'!C:C&lt;=$L$4),ROW(),"-")</f>
        <v>-</v>
      </c>
    </row>
    <row r="10909" customHeight="1" spans="2:2">
      <c r="B10909" s="62" t="str">
        <f>IF(AND('领用录入（明细）'!D:D=$F$4,'领用录入（明细）'!C:C&gt;=$J$4,'领用录入（明细）'!C:C&lt;=$L$4),ROW(),"-")</f>
        <v>-</v>
      </c>
    </row>
    <row r="10910" customHeight="1" spans="2:2">
      <c r="B10910" s="62" t="str">
        <f>IF(AND('领用录入（明细）'!D:D=$F$4,'领用录入（明细）'!C:C&gt;=$J$4,'领用录入（明细）'!C:C&lt;=$L$4),ROW(),"-")</f>
        <v>-</v>
      </c>
    </row>
    <row r="10911" customHeight="1" spans="2:2">
      <c r="B10911" s="62" t="str">
        <f>IF(AND('领用录入（明细）'!D:D=$F$4,'领用录入（明细）'!C:C&gt;=$J$4,'领用录入（明细）'!C:C&lt;=$L$4),ROW(),"-")</f>
        <v>-</v>
      </c>
    </row>
    <row r="10912" customHeight="1" spans="2:2">
      <c r="B10912" s="62" t="str">
        <f>IF(AND('领用录入（明细）'!D:D=$F$4,'领用录入（明细）'!C:C&gt;=$J$4,'领用录入（明细）'!C:C&lt;=$L$4),ROW(),"-")</f>
        <v>-</v>
      </c>
    </row>
    <row r="10913" customHeight="1" spans="2:2">
      <c r="B10913" s="62" t="str">
        <f>IF(AND('领用录入（明细）'!D:D=$F$4,'领用录入（明细）'!C:C&gt;=$J$4,'领用录入（明细）'!C:C&lt;=$L$4),ROW(),"-")</f>
        <v>-</v>
      </c>
    </row>
    <row r="10914" customHeight="1" spans="2:2">
      <c r="B10914" s="62" t="str">
        <f>IF(AND('领用录入（明细）'!D:D=$F$4,'领用录入（明细）'!C:C&gt;=$J$4,'领用录入（明细）'!C:C&lt;=$L$4),ROW(),"-")</f>
        <v>-</v>
      </c>
    </row>
    <row r="10915" customHeight="1" spans="2:2">
      <c r="B10915" s="62" t="str">
        <f>IF(AND('领用录入（明细）'!D:D=$F$4,'领用录入（明细）'!C:C&gt;=$J$4,'领用录入（明细）'!C:C&lt;=$L$4),ROW(),"-")</f>
        <v>-</v>
      </c>
    </row>
    <row r="10916" customHeight="1" spans="2:2">
      <c r="B10916" s="62" t="str">
        <f>IF(AND('领用录入（明细）'!D:D=$F$4,'领用录入（明细）'!C:C&gt;=$J$4,'领用录入（明细）'!C:C&lt;=$L$4),ROW(),"-")</f>
        <v>-</v>
      </c>
    </row>
    <row r="10917" customHeight="1" spans="2:2">
      <c r="B10917" s="62" t="str">
        <f>IF(AND('领用录入（明细）'!D:D=$F$4,'领用录入（明细）'!C:C&gt;=$J$4,'领用录入（明细）'!C:C&lt;=$L$4),ROW(),"-")</f>
        <v>-</v>
      </c>
    </row>
    <row r="10918" customHeight="1" spans="2:2">
      <c r="B10918" s="62" t="str">
        <f>IF(AND('领用录入（明细）'!D:D=$F$4,'领用录入（明细）'!C:C&gt;=$J$4,'领用录入（明细）'!C:C&lt;=$L$4),ROW(),"-")</f>
        <v>-</v>
      </c>
    </row>
    <row r="10919" customHeight="1" spans="2:2">
      <c r="B10919" s="62" t="str">
        <f>IF(AND('领用录入（明细）'!D:D=$F$4,'领用录入（明细）'!C:C&gt;=$J$4,'领用录入（明细）'!C:C&lt;=$L$4),ROW(),"-")</f>
        <v>-</v>
      </c>
    </row>
    <row r="10920" customHeight="1" spans="2:2">
      <c r="B10920" s="62" t="str">
        <f>IF(AND('领用录入（明细）'!D:D=$F$4,'领用录入（明细）'!C:C&gt;=$J$4,'领用录入（明细）'!C:C&lt;=$L$4),ROW(),"-")</f>
        <v>-</v>
      </c>
    </row>
    <row r="10921" customHeight="1" spans="2:2">
      <c r="B10921" s="62" t="str">
        <f>IF(AND('领用录入（明细）'!D:D=$F$4,'领用录入（明细）'!C:C&gt;=$J$4,'领用录入（明细）'!C:C&lt;=$L$4),ROW(),"-")</f>
        <v>-</v>
      </c>
    </row>
    <row r="10922" customHeight="1" spans="2:2">
      <c r="B10922" s="62" t="str">
        <f>IF(AND('领用录入（明细）'!D:D=$F$4,'领用录入（明细）'!C:C&gt;=$J$4,'领用录入（明细）'!C:C&lt;=$L$4),ROW(),"-")</f>
        <v>-</v>
      </c>
    </row>
    <row r="10923" customHeight="1" spans="2:2">
      <c r="B10923" s="62" t="str">
        <f>IF(AND('领用录入（明细）'!D:D=$F$4,'领用录入（明细）'!C:C&gt;=$J$4,'领用录入（明细）'!C:C&lt;=$L$4),ROW(),"-")</f>
        <v>-</v>
      </c>
    </row>
    <row r="10924" customHeight="1" spans="2:2">
      <c r="B10924" s="62" t="str">
        <f>IF(AND('领用录入（明细）'!D:D=$F$4,'领用录入（明细）'!C:C&gt;=$J$4,'领用录入（明细）'!C:C&lt;=$L$4),ROW(),"-")</f>
        <v>-</v>
      </c>
    </row>
    <row r="10925" customHeight="1" spans="2:2">
      <c r="B10925" s="62" t="str">
        <f>IF(AND('领用录入（明细）'!D:D=$F$4,'领用录入（明细）'!C:C&gt;=$J$4,'领用录入（明细）'!C:C&lt;=$L$4),ROW(),"-")</f>
        <v>-</v>
      </c>
    </row>
    <row r="10926" customHeight="1" spans="2:2">
      <c r="B10926" s="62" t="str">
        <f>IF(AND('领用录入（明细）'!D:D=$F$4,'领用录入（明细）'!C:C&gt;=$J$4,'领用录入（明细）'!C:C&lt;=$L$4),ROW(),"-")</f>
        <v>-</v>
      </c>
    </row>
    <row r="10927" customHeight="1" spans="2:2">
      <c r="B10927" s="62" t="str">
        <f>IF(AND('领用录入（明细）'!D:D=$F$4,'领用录入（明细）'!C:C&gt;=$J$4,'领用录入（明细）'!C:C&lt;=$L$4),ROW(),"-")</f>
        <v>-</v>
      </c>
    </row>
    <row r="10928" customHeight="1" spans="2:2">
      <c r="B10928" s="62" t="str">
        <f>IF(AND('领用录入（明细）'!D:D=$F$4,'领用录入（明细）'!C:C&gt;=$J$4,'领用录入（明细）'!C:C&lt;=$L$4),ROW(),"-")</f>
        <v>-</v>
      </c>
    </row>
    <row r="10929" customHeight="1" spans="2:2">
      <c r="B10929" s="62" t="str">
        <f>IF(AND('领用录入（明细）'!D:D=$F$4,'领用录入（明细）'!C:C&gt;=$J$4,'领用录入（明细）'!C:C&lt;=$L$4),ROW(),"-")</f>
        <v>-</v>
      </c>
    </row>
    <row r="10930" customHeight="1" spans="2:2">
      <c r="B10930" s="62" t="str">
        <f>IF(AND('领用录入（明细）'!D:D=$F$4,'领用录入（明细）'!C:C&gt;=$J$4,'领用录入（明细）'!C:C&lt;=$L$4),ROW(),"-")</f>
        <v>-</v>
      </c>
    </row>
    <row r="10931" customHeight="1" spans="2:2">
      <c r="B10931" s="62" t="str">
        <f>IF(AND('领用录入（明细）'!D:D=$F$4,'领用录入（明细）'!C:C&gt;=$J$4,'领用录入（明细）'!C:C&lt;=$L$4),ROW(),"-")</f>
        <v>-</v>
      </c>
    </row>
    <row r="10932" customHeight="1" spans="2:2">
      <c r="B10932" s="62" t="str">
        <f>IF(AND('领用录入（明细）'!D:D=$F$4,'领用录入（明细）'!C:C&gt;=$J$4,'领用录入（明细）'!C:C&lt;=$L$4),ROW(),"-")</f>
        <v>-</v>
      </c>
    </row>
    <row r="10933" customHeight="1" spans="2:2">
      <c r="B10933" s="62" t="str">
        <f>IF(AND('领用录入（明细）'!D:D=$F$4,'领用录入（明细）'!C:C&gt;=$J$4,'领用录入（明细）'!C:C&lt;=$L$4),ROW(),"-")</f>
        <v>-</v>
      </c>
    </row>
    <row r="10934" customHeight="1" spans="2:2">
      <c r="B10934" s="62" t="str">
        <f>IF(AND('领用录入（明细）'!D:D=$F$4,'领用录入（明细）'!C:C&gt;=$J$4,'领用录入（明细）'!C:C&lt;=$L$4),ROW(),"-")</f>
        <v>-</v>
      </c>
    </row>
    <row r="10935" customHeight="1" spans="2:2">
      <c r="B10935" s="62" t="str">
        <f>IF(AND('领用录入（明细）'!D:D=$F$4,'领用录入（明细）'!C:C&gt;=$J$4,'领用录入（明细）'!C:C&lt;=$L$4),ROW(),"-")</f>
        <v>-</v>
      </c>
    </row>
    <row r="10936" customHeight="1" spans="2:2">
      <c r="B10936" s="62" t="str">
        <f>IF(AND('领用录入（明细）'!D:D=$F$4,'领用录入（明细）'!C:C&gt;=$J$4,'领用录入（明细）'!C:C&lt;=$L$4),ROW(),"-")</f>
        <v>-</v>
      </c>
    </row>
    <row r="10937" customHeight="1" spans="2:2">
      <c r="B10937" s="62" t="str">
        <f>IF(AND('领用录入（明细）'!D:D=$F$4,'领用录入（明细）'!C:C&gt;=$J$4,'领用录入（明细）'!C:C&lt;=$L$4),ROW(),"-")</f>
        <v>-</v>
      </c>
    </row>
    <row r="10938" customHeight="1" spans="2:2">
      <c r="B10938" s="62" t="str">
        <f>IF(AND('领用录入（明细）'!D:D=$F$4,'领用录入（明细）'!C:C&gt;=$J$4,'领用录入（明细）'!C:C&lt;=$L$4),ROW(),"-")</f>
        <v>-</v>
      </c>
    </row>
    <row r="10939" customHeight="1" spans="2:2">
      <c r="B10939" s="62" t="str">
        <f>IF(AND('领用录入（明细）'!D:D=$F$4,'领用录入（明细）'!C:C&gt;=$J$4,'领用录入（明细）'!C:C&lt;=$L$4),ROW(),"-")</f>
        <v>-</v>
      </c>
    </row>
    <row r="10940" customHeight="1" spans="2:2">
      <c r="B10940" s="62" t="str">
        <f>IF(AND('领用录入（明细）'!D:D=$F$4,'领用录入（明细）'!C:C&gt;=$J$4,'领用录入（明细）'!C:C&lt;=$L$4),ROW(),"-")</f>
        <v>-</v>
      </c>
    </row>
    <row r="10941" customHeight="1" spans="2:2">
      <c r="B10941" s="62" t="str">
        <f>IF(AND('领用录入（明细）'!D:D=$F$4,'领用录入（明细）'!C:C&gt;=$J$4,'领用录入（明细）'!C:C&lt;=$L$4),ROW(),"-")</f>
        <v>-</v>
      </c>
    </row>
    <row r="10942" customHeight="1" spans="2:2">
      <c r="B10942" s="62" t="str">
        <f>IF(AND('领用录入（明细）'!D:D=$F$4,'领用录入（明细）'!C:C&gt;=$J$4,'领用录入（明细）'!C:C&lt;=$L$4),ROW(),"-")</f>
        <v>-</v>
      </c>
    </row>
    <row r="10943" customHeight="1" spans="2:2">
      <c r="B10943" s="62" t="str">
        <f>IF(AND('领用录入（明细）'!D:D=$F$4,'领用录入（明细）'!C:C&gt;=$J$4,'领用录入（明细）'!C:C&lt;=$L$4),ROW(),"-")</f>
        <v>-</v>
      </c>
    </row>
    <row r="10944" customHeight="1" spans="2:2">
      <c r="B10944" s="62" t="str">
        <f>IF(AND('领用录入（明细）'!D:D=$F$4,'领用录入（明细）'!C:C&gt;=$J$4,'领用录入（明细）'!C:C&lt;=$L$4),ROW(),"-")</f>
        <v>-</v>
      </c>
    </row>
    <row r="10945" customHeight="1" spans="2:2">
      <c r="B10945" s="62" t="str">
        <f>IF(AND('领用录入（明细）'!D:D=$F$4,'领用录入（明细）'!C:C&gt;=$J$4,'领用录入（明细）'!C:C&lt;=$L$4),ROW(),"-")</f>
        <v>-</v>
      </c>
    </row>
    <row r="10946" customHeight="1" spans="2:2">
      <c r="B10946" s="62" t="str">
        <f>IF(AND('领用录入（明细）'!D:D=$F$4,'领用录入（明细）'!C:C&gt;=$J$4,'领用录入（明细）'!C:C&lt;=$L$4),ROW(),"-")</f>
        <v>-</v>
      </c>
    </row>
    <row r="10947" customHeight="1" spans="2:2">
      <c r="B10947" s="62" t="str">
        <f>IF(AND('领用录入（明细）'!D:D=$F$4,'领用录入（明细）'!C:C&gt;=$J$4,'领用录入（明细）'!C:C&lt;=$L$4),ROW(),"-")</f>
        <v>-</v>
      </c>
    </row>
    <row r="10948" customHeight="1" spans="2:2">
      <c r="B10948" s="62" t="str">
        <f>IF(AND('领用录入（明细）'!D:D=$F$4,'领用录入（明细）'!C:C&gt;=$J$4,'领用录入（明细）'!C:C&lt;=$L$4),ROW(),"-")</f>
        <v>-</v>
      </c>
    </row>
    <row r="10949" customHeight="1" spans="2:2">
      <c r="B10949" s="62" t="str">
        <f>IF(AND('领用录入（明细）'!D:D=$F$4,'领用录入（明细）'!C:C&gt;=$J$4,'领用录入（明细）'!C:C&lt;=$L$4),ROW(),"-")</f>
        <v>-</v>
      </c>
    </row>
    <row r="10950" customHeight="1" spans="2:2">
      <c r="B10950" s="62" t="str">
        <f>IF(AND('领用录入（明细）'!D:D=$F$4,'领用录入（明细）'!C:C&gt;=$J$4,'领用录入（明细）'!C:C&lt;=$L$4),ROW(),"-")</f>
        <v>-</v>
      </c>
    </row>
    <row r="10951" customHeight="1" spans="2:2">
      <c r="B10951" s="62" t="str">
        <f>IF(AND('领用录入（明细）'!D:D=$F$4,'领用录入（明细）'!C:C&gt;=$J$4,'领用录入（明细）'!C:C&lt;=$L$4),ROW(),"-")</f>
        <v>-</v>
      </c>
    </row>
    <row r="10952" customHeight="1" spans="2:2">
      <c r="B10952" s="62" t="str">
        <f>IF(AND('领用录入（明细）'!D:D=$F$4,'领用录入（明细）'!C:C&gt;=$J$4,'领用录入（明细）'!C:C&lt;=$L$4),ROW(),"-")</f>
        <v>-</v>
      </c>
    </row>
    <row r="10953" customHeight="1" spans="2:2">
      <c r="B10953" s="62" t="str">
        <f>IF(AND('领用录入（明细）'!D:D=$F$4,'领用录入（明细）'!C:C&gt;=$J$4,'领用录入（明细）'!C:C&lt;=$L$4),ROW(),"-")</f>
        <v>-</v>
      </c>
    </row>
    <row r="10954" customHeight="1" spans="2:2">
      <c r="B10954" s="62" t="str">
        <f>IF(AND('领用录入（明细）'!D:D=$F$4,'领用录入（明细）'!C:C&gt;=$J$4,'领用录入（明细）'!C:C&lt;=$L$4),ROW(),"-")</f>
        <v>-</v>
      </c>
    </row>
    <row r="10955" customHeight="1" spans="2:2">
      <c r="B10955" s="62" t="str">
        <f>IF(AND('领用录入（明细）'!D:D=$F$4,'领用录入（明细）'!C:C&gt;=$J$4,'领用录入（明细）'!C:C&lt;=$L$4),ROW(),"-")</f>
        <v>-</v>
      </c>
    </row>
    <row r="10956" customHeight="1" spans="2:2">
      <c r="B10956" s="62" t="str">
        <f>IF(AND('领用录入（明细）'!D:D=$F$4,'领用录入（明细）'!C:C&gt;=$J$4,'领用录入（明细）'!C:C&lt;=$L$4),ROW(),"-")</f>
        <v>-</v>
      </c>
    </row>
    <row r="10957" customHeight="1" spans="2:2">
      <c r="B10957" s="62" t="str">
        <f>IF(AND('领用录入（明细）'!D:D=$F$4,'领用录入（明细）'!C:C&gt;=$J$4,'领用录入（明细）'!C:C&lt;=$L$4),ROW(),"-")</f>
        <v>-</v>
      </c>
    </row>
    <row r="10958" customHeight="1" spans="2:2">
      <c r="B10958" s="62" t="str">
        <f>IF(AND('领用录入（明细）'!D:D=$F$4,'领用录入（明细）'!C:C&gt;=$J$4,'领用录入（明细）'!C:C&lt;=$L$4),ROW(),"-")</f>
        <v>-</v>
      </c>
    </row>
    <row r="10959" customHeight="1" spans="2:2">
      <c r="B10959" s="62" t="str">
        <f>IF(AND('领用录入（明细）'!D:D=$F$4,'领用录入（明细）'!C:C&gt;=$J$4,'领用录入（明细）'!C:C&lt;=$L$4),ROW(),"-")</f>
        <v>-</v>
      </c>
    </row>
    <row r="10960" customHeight="1" spans="2:2">
      <c r="B10960" s="62" t="str">
        <f>IF(AND('领用录入（明细）'!D:D=$F$4,'领用录入（明细）'!C:C&gt;=$J$4,'领用录入（明细）'!C:C&lt;=$L$4),ROW(),"-")</f>
        <v>-</v>
      </c>
    </row>
    <row r="10961" customHeight="1" spans="2:2">
      <c r="B10961" s="62" t="str">
        <f>IF(AND('领用录入（明细）'!D:D=$F$4,'领用录入（明细）'!C:C&gt;=$J$4,'领用录入（明细）'!C:C&lt;=$L$4),ROW(),"-")</f>
        <v>-</v>
      </c>
    </row>
    <row r="10962" customHeight="1" spans="2:2">
      <c r="B10962" s="62" t="str">
        <f>IF(AND('领用录入（明细）'!D:D=$F$4,'领用录入（明细）'!C:C&gt;=$J$4,'领用录入（明细）'!C:C&lt;=$L$4),ROW(),"-")</f>
        <v>-</v>
      </c>
    </row>
    <row r="10963" customHeight="1" spans="2:2">
      <c r="B10963" s="62" t="str">
        <f>IF(AND('领用录入（明细）'!D:D=$F$4,'领用录入（明细）'!C:C&gt;=$J$4,'领用录入（明细）'!C:C&lt;=$L$4),ROW(),"-")</f>
        <v>-</v>
      </c>
    </row>
    <row r="10964" customHeight="1" spans="2:2">
      <c r="B10964" s="62" t="str">
        <f>IF(AND('领用录入（明细）'!D:D=$F$4,'领用录入（明细）'!C:C&gt;=$J$4,'领用录入（明细）'!C:C&lt;=$L$4),ROW(),"-")</f>
        <v>-</v>
      </c>
    </row>
    <row r="10965" customHeight="1" spans="2:2">
      <c r="B10965" s="62" t="str">
        <f>IF(AND('领用录入（明细）'!D:D=$F$4,'领用录入（明细）'!C:C&gt;=$J$4,'领用录入（明细）'!C:C&lt;=$L$4),ROW(),"-")</f>
        <v>-</v>
      </c>
    </row>
    <row r="10966" customHeight="1" spans="2:2">
      <c r="B10966" s="62" t="str">
        <f>IF(AND('领用录入（明细）'!D:D=$F$4,'领用录入（明细）'!C:C&gt;=$J$4,'领用录入（明细）'!C:C&lt;=$L$4),ROW(),"-")</f>
        <v>-</v>
      </c>
    </row>
    <row r="10967" customHeight="1" spans="2:2">
      <c r="B10967" s="62" t="str">
        <f>IF(AND('领用录入（明细）'!D:D=$F$4,'领用录入（明细）'!C:C&gt;=$J$4,'领用录入（明细）'!C:C&lt;=$L$4),ROW(),"-")</f>
        <v>-</v>
      </c>
    </row>
    <row r="10968" customHeight="1" spans="2:2">
      <c r="B10968" s="62" t="str">
        <f>IF(AND('领用录入（明细）'!D:D=$F$4,'领用录入（明细）'!C:C&gt;=$J$4,'领用录入（明细）'!C:C&lt;=$L$4),ROW(),"-")</f>
        <v>-</v>
      </c>
    </row>
    <row r="10969" customHeight="1" spans="2:2">
      <c r="B10969" s="62" t="str">
        <f>IF(AND('领用录入（明细）'!D:D=$F$4,'领用录入（明细）'!C:C&gt;=$J$4,'领用录入（明细）'!C:C&lt;=$L$4),ROW(),"-")</f>
        <v>-</v>
      </c>
    </row>
    <row r="10970" customHeight="1" spans="2:2">
      <c r="B10970" s="62" t="str">
        <f>IF(AND('领用录入（明细）'!D:D=$F$4,'领用录入（明细）'!C:C&gt;=$J$4,'领用录入（明细）'!C:C&lt;=$L$4),ROW(),"-")</f>
        <v>-</v>
      </c>
    </row>
    <row r="10971" customHeight="1" spans="2:2">
      <c r="B10971" s="62" t="str">
        <f>IF(AND('领用录入（明细）'!D:D=$F$4,'领用录入（明细）'!C:C&gt;=$J$4,'领用录入（明细）'!C:C&lt;=$L$4),ROW(),"-")</f>
        <v>-</v>
      </c>
    </row>
    <row r="10972" customHeight="1" spans="2:2">
      <c r="B10972" s="62" t="str">
        <f>IF(AND('领用录入（明细）'!D:D=$F$4,'领用录入（明细）'!C:C&gt;=$J$4,'领用录入（明细）'!C:C&lt;=$L$4),ROW(),"-")</f>
        <v>-</v>
      </c>
    </row>
    <row r="10973" customHeight="1" spans="2:2">
      <c r="B10973" s="62" t="str">
        <f>IF(AND('领用录入（明细）'!D:D=$F$4,'领用录入（明细）'!C:C&gt;=$J$4,'领用录入（明细）'!C:C&lt;=$L$4),ROW(),"-")</f>
        <v>-</v>
      </c>
    </row>
    <row r="10974" customHeight="1" spans="2:2">
      <c r="B10974" s="62" t="str">
        <f>IF(AND('领用录入（明细）'!D:D=$F$4,'领用录入（明细）'!C:C&gt;=$J$4,'领用录入（明细）'!C:C&lt;=$L$4),ROW(),"-")</f>
        <v>-</v>
      </c>
    </row>
    <row r="10975" customHeight="1" spans="2:2">
      <c r="B10975" s="62" t="str">
        <f>IF(AND('领用录入（明细）'!D:D=$F$4,'领用录入（明细）'!C:C&gt;=$J$4,'领用录入（明细）'!C:C&lt;=$L$4),ROW(),"-")</f>
        <v>-</v>
      </c>
    </row>
    <row r="10976" customHeight="1" spans="2:2">
      <c r="B10976" s="62" t="str">
        <f>IF(AND('领用录入（明细）'!D:D=$F$4,'领用录入（明细）'!C:C&gt;=$J$4,'领用录入（明细）'!C:C&lt;=$L$4),ROW(),"-")</f>
        <v>-</v>
      </c>
    </row>
    <row r="10977" customHeight="1" spans="2:2">
      <c r="B10977" s="62" t="str">
        <f>IF(AND('领用录入（明细）'!D:D=$F$4,'领用录入（明细）'!C:C&gt;=$J$4,'领用录入（明细）'!C:C&lt;=$L$4),ROW(),"-")</f>
        <v>-</v>
      </c>
    </row>
    <row r="10978" customHeight="1" spans="2:2">
      <c r="B10978" s="62" t="str">
        <f>IF(AND('领用录入（明细）'!D:D=$F$4,'领用录入（明细）'!C:C&gt;=$J$4,'领用录入（明细）'!C:C&lt;=$L$4),ROW(),"-")</f>
        <v>-</v>
      </c>
    </row>
    <row r="10979" customHeight="1" spans="2:2">
      <c r="B10979" s="62" t="str">
        <f>IF(AND('领用录入（明细）'!D:D=$F$4,'领用录入（明细）'!C:C&gt;=$J$4,'领用录入（明细）'!C:C&lt;=$L$4),ROW(),"-")</f>
        <v>-</v>
      </c>
    </row>
    <row r="10980" customHeight="1" spans="2:2">
      <c r="B10980" s="62" t="str">
        <f>IF(AND('领用录入（明细）'!D:D=$F$4,'领用录入（明细）'!C:C&gt;=$J$4,'领用录入（明细）'!C:C&lt;=$L$4),ROW(),"-")</f>
        <v>-</v>
      </c>
    </row>
    <row r="10981" customHeight="1" spans="2:2">
      <c r="B10981" s="62" t="str">
        <f>IF(AND('领用录入（明细）'!D:D=$F$4,'领用录入（明细）'!C:C&gt;=$J$4,'领用录入（明细）'!C:C&lt;=$L$4),ROW(),"-")</f>
        <v>-</v>
      </c>
    </row>
    <row r="10982" customHeight="1" spans="2:2">
      <c r="B10982" s="62" t="str">
        <f>IF(AND('领用录入（明细）'!D:D=$F$4,'领用录入（明细）'!C:C&gt;=$J$4,'领用录入（明细）'!C:C&lt;=$L$4),ROW(),"-")</f>
        <v>-</v>
      </c>
    </row>
    <row r="10983" customHeight="1" spans="2:2">
      <c r="B10983" s="62" t="str">
        <f>IF(AND('领用录入（明细）'!D:D=$F$4,'领用录入（明细）'!C:C&gt;=$J$4,'领用录入（明细）'!C:C&lt;=$L$4),ROW(),"-")</f>
        <v>-</v>
      </c>
    </row>
    <row r="10984" customHeight="1" spans="2:2">
      <c r="B10984" s="62" t="str">
        <f>IF(AND('领用录入（明细）'!D:D=$F$4,'领用录入（明细）'!C:C&gt;=$J$4,'领用录入（明细）'!C:C&lt;=$L$4),ROW(),"-")</f>
        <v>-</v>
      </c>
    </row>
    <row r="10985" customHeight="1" spans="2:2">
      <c r="B10985" s="62" t="str">
        <f>IF(AND('领用录入（明细）'!D:D=$F$4,'领用录入（明细）'!C:C&gt;=$J$4,'领用录入（明细）'!C:C&lt;=$L$4),ROW(),"-")</f>
        <v>-</v>
      </c>
    </row>
    <row r="10986" customHeight="1" spans="2:2">
      <c r="B10986" s="62" t="str">
        <f>IF(AND('领用录入（明细）'!D:D=$F$4,'领用录入（明细）'!C:C&gt;=$J$4,'领用录入（明细）'!C:C&lt;=$L$4),ROW(),"-")</f>
        <v>-</v>
      </c>
    </row>
    <row r="10987" customHeight="1" spans="2:2">
      <c r="B10987" s="62" t="str">
        <f>IF(AND('领用录入（明细）'!D:D=$F$4,'领用录入（明细）'!C:C&gt;=$J$4,'领用录入（明细）'!C:C&lt;=$L$4),ROW(),"-")</f>
        <v>-</v>
      </c>
    </row>
    <row r="10988" customHeight="1" spans="2:2">
      <c r="B10988" s="62" t="str">
        <f>IF(AND('领用录入（明细）'!D:D=$F$4,'领用录入（明细）'!C:C&gt;=$J$4,'领用录入（明细）'!C:C&lt;=$L$4),ROW(),"-")</f>
        <v>-</v>
      </c>
    </row>
    <row r="10989" customHeight="1" spans="2:2">
      <c r="B10989" s="62" t="str">
        <f>IF(AND('领用录入（明细）'!D:D=$F$4,'领用录入（明细）'!C:C&gt;=$J$4,'领用录入（明细）'!C:C&lt;=$L$4),ROW(),"-")</f>
        <v>-</v>
      </c>
    </row>
    <row r="10990" customHeight="1" spans="2:2">
      <c r="B10990" s="62" t="str">
        <f>IF(AND('领用录入（明细）'!D:D=$F$4,'领用录入（明细）'!C:C&gt;=$J$4,'领用录入（明细）'!C:C&lt;=$L$4),ROW(),"-")</f>
        <v>-</v>
      </c>
    </row>
    <row r="10991" customHeight="1" spans="2:2">
      <c r="B10991" s="62" t="str">
        <f>IF(AND('领用录入（明细）'!D:D=$F$4,'领用录入（明细）'!C:C&gt;=$J$4,'领用录入（明细）'!C:C&lt;=$L$4),ROW(),"-")</f>
        <v>-</v>
      </c>
    </row>
    <row r="10992" customHeight="1" spans="2:2">
      <c r="B10992" s="62" t="str">
        <f>IF(AND('领用录入（明细）'!D:D=$F$4,'领用录入（明细）'!C:C&gt;=$J$4,'领用录入（明细）'!C:C&lt;=$L$4),ROW(),"-")</f>
        <v>-</v>
      </c>
    </row>
    <row r="10993" customHeight="1" spans="2:2">
      <c r="B10993" s="62" t="str">
        <f>IF(AND('领用录入（明细）'!D:D=$F$4,'领用录入（明细）'!C:C&gt;=$J$4,'领用录入（明细）'!C:C&lt;=$L$4),ROW(),"-")</f>
        <v>-</v>
      </c>
    </row>
    <row r="10994" customHeight="1" spans="2:2">
      <c r="B10994" s="62" t="str">
        <f>IF(AND('领用录入（明细）'!D:D=$F$4,'领用录入（明细）'!C:C&gt;=$J$4,'领用录入（明细）'!C:C&lt;=$L$4),ROW(),"-")</f>
        <v>-</v>
      </c>
    </row>
    <row r="10995" customHeight="1" spans="2:2">
      <c r="B10995" s="62" t="str">
        <f>IF(AND('领用录入（明细）'!D:D=$F$4,'领用录入（明细）'!C:C&gt;=$J$4,'领用录入（明细）'!C:C&lt;=$L$4),ROW(),"-")</f>
        <v>-</v>
      </c>
    </row>
    <row r="10996" customHeight="1" spans="2:2">
      <c r="B10996" s="62" t="str">
        <f>IF(AND('领用录入（明细）'!D:D=$F$4,'领用录入（明细）'!C:C&gt;=$J$4,'领用录入（明细）'!C:C&lt;=$L$4),ROW(),"-")</f>
        <v>-</v>
      </c>
    </row>
    <row r="10997" customHeight="1" spans="2:2">
      <c r="B10997" s="62" t="str">
        <f>IF(AND('领用录入（明细）'!D:D=$F$4,'领用录入（明细）'!C:C&gt;=$J$4,'领用录入（明细）'!C:C&lt;=$L$4),ROW(),"-")</f>
        <v>-</v>
      </c>
    </row>
    <row r="10998" customHeight="1" spans="2:2">
      <c r="B10998" s="62" t="str">
        <f>IF(AND('领用录入（明细）'!D:D=$F$4,'领用录入（明细）'!C:C&gt;=$J$4,'领用录入（明细）'!C:C&lt;=$L$4),ROW(),"-")</f>
        <v>-</v>
      </c>
    </row>
    <row r="10999" customHeight="1" spans="2:2">
      <c r="B10999" s="62" t="str">
        <f>IF(AND('领用录入（明细）'!D:D=$F$4,'领用录入（明细）'!C:C&gt;=$J$4,'领用录入（明细）'!C:C&lt;=$L$4),ROW(),"-")</f>
        <v>-</v>
      </c>
    </row>
    <row r="11000" customHeight="1" spans="2:2">
      <c r="B11000" s="62" t="str">
        <f>IF(AND('领用录入（明细）'!D:D=$F$4,'领用录入（明细）'!C:C&gt;=$J$4,'领用录入（明细）'!C:C&lt;=$L$4),ROW(),"-")</f>
        <v>-</v>
      </c>
    </row>
    <row r="11001" customHeight="1" spans="2:2">
      <c r="B11001" s="62" t="str">
        <f>IF(AND('领用录入（明细）'!D:D=$F$4,'领用录入（明细）'!C:C&gt;=$J$4,'领用录入（明细）'!C:C&lt;=$L$4),ROW(),"-")</f>
        <v>-</v>
      </c>
    </row>
    <row r="11002" customHeight="1" spans="2:2">
      <c r="B11002" s="62" t="str">
        <f>IF(AND('领用录入（明细）'!D:D=$F$4,'领用录入（明细）'!C:C&gt;=$J$4,'领用录入（明细）'!C:C&lt;=$L$4),ROW(),"-")</f>
        <v>-</v>
      </c>
    </row>
    <row r="11003" customHeight="1" spans="2:2">
      <c r="B11003" s="62" t="str">
        <f>IF(AND('领用录入（明细）'!D:D=$F$4,'领用录入（明细）'!C:C&gt;=$J$4,'领用录入（明细）'!C:C&lt;=$L$4),ROW(),"-")</f>
        <v>-</v>
      </c>
    </row>
    <row r="11004" customHeight="1" spans="2:2">
      <c r="B11004" s="62" t="str">
        <f>IF(AND('领用录入（明细）'!D:D=$F$4,'领用录入（明细）'!C:C&gt;=$J$4,'领用录入（明细）'!C:C&lt;=$L$4),ROW(),"-")</f>
        <v>-</v>
      </c>
    </row>
    <row r="11005" customHeight="1" spans="2:2">
      <c r="B11005" s="62" t="str">
        <f>IF(AND('领用录入（明细）'!D:D=$F$4,'领用录入（明细）'!C:C&gt;=$J$4,'领用录入（明细）'!C:C&lt;=$L$4),ROW(),"-")</f>
        <v>-</v>
      </c>
    </row>
    <row r="11006" customHeight="1" spans="2:2">
      <c r="B11006" s="62" t="str">
        <f>IF(AND('领用录入（明细）'!D:D=$F$4,'领用录入（明细）'!C:C&gt;=$J$4,'领用录入（明细）'!C:C&lt;=$L$4),ROW(),"-")</f>
        <v>-</v>
      </c>
    </row>
    <row r="11007" customHeight="1" spans="2:2">
      <c r="B11007" s="62" t="str">
        <f>IF(AND('领用录入（明细）'!D:D=$F$4,'领用录入（明细）'!C:C&gt;=$J$4,'领用录入（明细）'!C:C&lt;=$L$4),ROW(),"-")</f>
        <v>-</v>
      </c>
    </row>
    <row r="11008" customHeight="1" spans="2:2">
      <c r="B11008" s="62" t="str">
        <f>IF(AND('领用录入（明细）'!D:D=$F$4,'领用录入（明细）'!C:C&gt;=$J$4,'领用录入（明细）'!C:C&lt;=$L$4),ROW(),"-")</f>
        <v>-</v>
      </c>
    </row>
    <row r="11009" customHeight="1" spans="2:2">
      <c r="B11009" s="62" t="str">
        <f>IF(AND('领用录入（明细）'!D:D=$F$4,'领用录入（明细）'!C:C&gt;=$J$4,'领用录入（明细）'!C:C&lt;=$L$4),ROW(),"-")</f>
        <v>-</v>
      </c>
    </row>
    <row r="11010" customHeight="1" spans="2:2">
      <c r="B11010" s="62" t="str">
        <f>IF(AND('领用录入（明细）'!D:D=$F$4,'领用录入（明细）'!C:C&gt;=$J$4,'领用录入（明细）'!C:C&lt;=$L$4),ROW(),"-")</f>
        <v>-</v>
      </c>
    </row>
    <row r="11011" customHeight="1" spans="2:2">
      <c r="B11011" s="62" t="str">
        <f>IF(AND('领用录入（明细）'!D:D=$F$4,'领用录入（明细）'!C:C&gt;=$J$4,'领用录入（明细）'!C:C&lt;=$L$4),ROW(),"-")</f>
        <v>-</v>
      </c>
    </row>
    <row r="11012" customHeight="1" spans="2:2">
      <c r="B11012" s="62" t="str">
        <f>IF(AND('领用录入（明细）'!D:D=$F$4,'领用录入（明细）'!C:C&gt;=$J$4,'领用录入（明细）'!C:C&lt;=$L$4),ROW(),"-")</f>
        <v>-</v>
      </c>
    </row>
    <row r="11013" customHeight="1" spans="2:2">
      <c r="B11013" s="62" t="str">
        <f>IF(AND('领用录入（明细）'!D:D=$F$4,'领用录入（明细）'!C:C&gt;=$J$4,'领用录入（明细）'!C:C&lt;=$L$4),ROW(),"-")</f>
        <v>-</v>
      </c>
    </row>
    <row r="11014" customHeight="1" spans="2:2">
      <c r="B11014" s="62" t="str">
        <f>IF(AND('领用录入（明细）'!D:D=$F$4,'领用录入（明细）'!C:C&gt;=$J$4,'领用录入（明细）'!C:C&lt;=$L$4),ROW(),"-")</f>
        <v>-</v>
      </c>
    </row>
    <row r="11015" customHeight="1" spans="2:2">
      <c r="B11015" s="62" t="str">
        <f>IF(AND('领用录入（明细）'!D:D=$F$4,'领用录入（明细）'!C:C&gt;=$J$4,'领用录入（明细）'!C:C&lt;=$L$4),ROW(),"-")</f>
        <v>-</v>
      </c>
    </row>
    <row r="11016" customHeight="1" spans="2:2">
      <c r="B11016" s="62" t="str">
        <f>IF(AND('领用录入（明细）'!D:D=$F$4,'领用录入（明细）'!C:C&gt;=$J$4,'领用录入（明细）'!C:C&lt;=$L$4),ROW(),"-")</f>
        <v>-</v>
      </c>
    </row>
    <row r="11017" customHeight="1" spans="2:2">
      <c r="B11017" s="62" t="str">
        <f>IF(AND('领用录入（明细）'!D:D=$F$4,'领用录入（明细）'!C:C&gt;=$J$4,'领用录入（明细）'!C:C&lt;=$L$4),ROW(),"-")</f>
        <v>-</v>
      </c>
    </row>
    <row r="11018" customHeight="1" spans="2:2">
      <c r="B11018" s="62" t="str">
        <f>IF(AND('领用录入（明细）'!D:D=$F$4,'领用录入（明细）'!C:C&gt;=$J$4,'领用录入（明细）'!C:C&lt;=$L$4),ROW(),"-")</f>
        <v>-</v>
      </c>
    </row>
    <row r="11019" customHeight="1" spans="2:2">
      <c r="B11019" s="62" t="str">
        <f>IF(AND('领用录入（明细）'!D:D=$F$4,'领用录入（明细）'!C:C&gt;=$J$4,'领用录入（明细）'!C:C&lt;=$L$4),ROW(),"-")</f>
        <v>-</v>
      </c>
    </row>
    <row r="11020" customHeight="1" spans="2:2">
      <c r="B11020" s="62" t="str">
        <f>IF(AND('领用录入（明细）'!D:D=$F$4,'领用录入（明细）'!C:C&gt;=$J$4,'领用录入（明细）'!C:C&lt;=$L$4),ROW(),"-")</f>
        <v>-</v>
      </c>
    </row>
    <row r="11021" customHeight="1" spans="2:2">
      <c r="B11021" s="62" t="str">
        <f>IF(AND('领用录入（明细）'!D:D=$F$4,'领用录入（明细）'!C:C&gt;=$J$4,'领用录入（明细）'!C:C&lt;=$L$4),ROW(),"-")</f>
        <v>-</v>
      </c>
    </row>
    <row r="11022" customHeight="1" spans="2:2">
      <c r="B11022" s="62" t="str">
        <f>IF(AND('领用录入（明细）'!D:D=$F$4,'领用录入（明细）'!C:C&gt;=$J$4,'领用录入（明细）'!C:C&lt;=$L$4),ROW(),"-")</f>
        <v>-</v>
      </c>
    </row>
    <row r="11023" customHeight="1" spans="2:2">
      <c r="B11023" s="62" t="str">
        <f>IF(AND('领用录入（明细）'!D:D=$F$4,'领用录入（明细）'!C:C&gt;=$J$4,'领用录入（明细）'!C:C&lt;=$L$4),ROW(),"-")</f>
        <v>-</v>
      </c>
    </row>
    <row r="11024" customHeight="1" spans="2:2">
      <c r="B11024" s="62" t="str">
        <f>IF(AND('领用录入（明细）'!D:D=$F$4,'领用录入（明细）'!C:C&gt;=$J$4,'领用录入（明细）'!C:C&lt;=$L$4),ROW(),"-")</f>
        <v>-</v>
      </c>
    </row>
    <row r="11025" customHeight="1" spans="2:2">
      <c r="B11025" s="62" t="str">
        <f>IF(AND('领用录入（明细）'!D:D=$F$4,'领用录入（明细）'!C:C&gt;=$J$4,'领用录入（明细）'!C:C&lt;=$L$4),ROW(),"-")</f>
        <v>-</v>
      </c>
    </row>
    <row r="11026" customHeight="1" spans="2:2">
      <c r="B11026" s="62" t="str">
        <f>IF(AND('领用录入（明细）'!D:D=$F$4,'领用录入（明细）'!C:C&gt;=$J$4,'领用录入（明细）'!C:C&lt;=$L$4),ROW(),"-")</f>
        <v>-</v>
      </c>
    </row>
    <row r="11027" customHeight="1" spans="2:2">
      <c r="B11027" s="62" t="str">
        <f>IF(AND('领用录入（明细）'!D:D=$F$4,'领用录入（明细）'!C:C&gt;=$J$4,'领用录入（明细）'!C:C&lt;=$L$4),ROW(),"-")</f>
        <v>-</v>
      </c>
    </row>
    <row r="11028" customHeight="1" spans="2:2">
      <c r="B11028" s="62" t="str">
        <f>IF(AND('领用录入（明细）'!D:D=$F$4,'领用录入（明细）'!C:C&gt;=$J$4,'领用录入（明细）'!C:C&lt;=$L$4),ROW(),"-")</f>
        <v>-</v>
      </c>
    </row>
    <row r="11029" customHeight="1" spans="2:2">
      <c r="B11029" s="62" t="str">
        <f>IF(AND('领用录入（明细）'!D:D=$F$4,'领用录入（明细）'!C:C&gt;=$J$4,'领用录入（明细）'!C:C&lt;=$L$4),ROW(),"-")</f>
        <v>-</v>
      </c>
    </row>
    <row r="11030" customHeight="1" spans="2:2">
      <c r="B11030" s="62" t="str">
        <f>IF(AND('领用录入（明细）'!D:D=$F$4,'领用录入（明细）'!C:C&gt;=$J$4,'领用录入（明细）'!C:C&lt;=$L$4),ROW(),"-")</f>
        <v>-</v>
      </c>
    </row>
    <row r="11031" customHeight="1" spans="2:2">
      <c r="B11031" s="62" t="str">
        <f>IF(AND('领用录入（明细）'!D:D=$F$4,'领用录入（明细）'!C:C&gt;=$J$4,'领用录入（明细）'!C:C&lt;=$L$4),ROW(),"-")</f>
        <v>-</v>
      </c>
    </row>
    <row r="11032" customHeight="1" spans="2:2">
      <c r="B11032" s="62" t="str">
        <f>IF(AND('领用录入（明细）'!D:D=$F$4,'领用录入（明细）'!C:C&gt;=$J$4,'领用录入（明细）'!C:C&lt;=$L$4),ROW(),"-")</f>
        <v>-</v>
      </c>
    </row>
    <row r="11033" customHeight="1" spans="2:2">
      <c r="B11033" s="62" t="str">
        <f>IF(AND('领用录入（明细）'!D:D=$F$4,'领用录入（明细）'!C:C&gt;=$J$4,'领用录入（明细）'!C:C&lt;=$L$4),ROW(),"-")</f>
        <v>-</v>
      </c>
    </row>
    <row r="11034" customHeight="1" spans="2:2">
      <c r="B11034" s="62" t="str">
        <f>IF(AND('领用录入（明细）'!D:D=$F$4,'领用录入（明细）'!C:C&gt;=$J$4,'领用录入（明细）'!C:C&lt;=$L$4),ROW(),"-")</f>
        <v>-</v>
      </c>
    </row>
    <row r="11035" customHeight="1" spans="2:2">
      <c r="B11035" s="62" t="str">
        <f>IF(AND('领用录入（明细）'!D:D=$F$4,'领用录入（明细）'!C:C&gt;=$J$4,'领用录入（明细）'!C:C&lt;=$L$4),ROW(),"-")</f>
        <v>-</v>
      </c>
    </row>
    <row r="11036" customHeight="1" spans="2:2">
      <c r="B11036" s="62" t="str">
        <f>IF(AND('领用录入（明细）'!D:D=$F$4,'领用录入（明细）'!C:C&gt;=$J$4,'领用录入（明细）'!C:C&lt;=$L$4),ROW(),"-")</f>
        <v>-</v>
      </c>
    </row>
    <row r="11037" customHeight="1" spans="2:2">
      <c r="B11037" s="62" t="str">
        <f>IF(AND('领用录入（明细）'!D:D=$F$4,'领用录入（明细）'!C:C&gt;=$J$4,'领用录入（明细）'!C:C&lt;=$L$4),ROW(),"-")</f>
        <v>-</v>
      </c>
    </row>
    <row r="11038" customHeight="1" spans="2:2">
      <c r="B11038" s="62" t="str">
        <f>IF(AND('领用录入（明细）'!D:D=$F$4,'领用录入（明细）'!C:C&gt;=$J$4,'领用录入（明细）'!C:C&lt;=$L$4),ROW(),"-")</f>
        <v>-</v>
      </c>
    </row>
    <row r="11039" customHeight="1" spans="2:2">
      <c r="B11039" s="62" t="str">
        <f>IF(AND('领用录入（明细）'!D:D=$F$4,'领用录入（明细）'!C:C&gt;=$J$4,'领用录入（明细）'!C:C&lt;=$L$4),ROW(),"-")</f>
        <v>-</v>
      </c>
    </row>
    <row r="11040" customHeight="1" spans="2:2">
      <c r="B11040" s="62" t="str">
        <f>IF(AND('领用录入（明细）'!D:D=$F$4,'领用录入（明细）'!C:C&gt;=$J$4,'领用录入（明细）'!C:C&lt;=$L$4),ROW(),"-")</f>
        <v>-</v>
      </c>
    </row>
    <row r="11041" customHeight="1" spans="2:2">
      <c r="B11041" s="62" t="str">
        <f>IF(AND('领用录入（明细）'!D:D=$F$4,'领用录入（明细）'!C:C&gt;=$J$4,'领用录入（明细）'!C:C&lt;=$L$4),ROW(),"-")</f>
        <v>-</v>
      </c>
    </row>
    <row r="11042" customHeight="1" spans="2:2">
      <c r="B11042" s="62" t="str">
        <f>IF(AND('领用录入（明细）'!D:D=$F$4,'领用录入（明细）'!C:C&gt;=$J$4,'领用录入（明细）'!C:C&lt;=$L$4),ROW(),"-")</f>
        <v>-</v>
      </c>
    </row>
    <row r="11043" customHeight="1" spans="2:2">
      <c r="B11043" s="62" t="str">
        <f>IF(AND('领用录入（明细）'!D:D=$F$4,'领用录入（明细）'!C:C&gt;=$J$4,'领用录入（明细）'!C:C&lt;=$L$4),ROW(),"-")</f>
        <v>-</v>
      </c>
    </row>
    <row r="11044" customHeight="1" spans="2:2">
      <c r="B11044" s="62" t="str">
        <f>IF(AND('领用录入（明细）'!D:D=$F$4,'领用录入（明细）'!C:C&gt;=$J$4,'领用录入（明细）'!C:C&lt;=$L$4),ROW(),"-")</f>
        <v>-</v>
      </c>
    </row>
    <row r="11045" customHeight="1" spans="2:2">
      <c r="B11045" s="62" t="str">
        <f>IF(AND('领用录入（明细）'!D:D=$F$4,'领用录入（明细）'!C:C&gt;=$J$4,'领用录入（明细）'!C:C&lt;=$L$4),ROW(),"-")</f>
        <v>-</v>
      </c>
    </row>
    <row r="11046" customHeight="1" spans="2:2">
      <c r="B11046" s="62" t="str">
        <f>IF(AND('领用录入（明细）'!D:D=$F$4,'领用录入（明细）'!C:C&gt;=$J$4,'领用录入（明细）'!C:C&lt;=$L$4),ROW(),"-")</f>
        <v>-</v>
      </c>
    </row>
    <row r="11047" customHeight="1" spans="2:2">
      <c r="B11047" s="62" t="str">
        <f>IF(AND('领用录入（明细）'!D:D=$F$4,'领用录入（明细）'!C:C&gt;=$J$4,'领用录入（明细）'!C:C&lt;=$L$4),ROW(),"-")</f>
        <v>-</v>
      </c>
    </row>
    <row r="11048" customHeight="1" spans="2:2">
      <c r="B11048" s="62" t="str">
        <f>IF(AND('领用录入（明细）'!D:D=$F$4,'领用录入（明细）'!C:C&gt;=$J$4,'领用录入（明细）'!C:C&lt;=$L$4),ROW(),"-")</f>
        <v>-</v>
      </c>
    </row>
    <row r="11049" customHeight="1" spans="2:2">
      <c r="B11049" s="62" t="str">
        <f>IF(AND('领用录入（明细）'!D:D=$F$4,'领用录入（明细）'!C:C&gt;=$J$4,'领用录入（明细）'!C:C&lt;=$L$4),ROW(),"-")</f>
        <v>-</v>
      </c>
    </row>
    <row r="11050" customHeight="1" spans="2:2">
      <c r="B11050" s="62" t="str">
        <f>IF(AND('领用录入（明细）'!D:D=$F$4,'领用录入（明细）'!C:C&gt;=$J$4,'领用录入（明细）'!C:C&lt;=$L$4),ROW(),"-")</f>
        <v>-</v>
      </c>
    </row>
    <row r="11051" customHeight="1" spans="2:2">
      <c r="B11051" s="62" t="str">
        <f>IF(AND('领用录入（明细）'!D:D=$F$4,'领用录入（明细）'!C:C&gt;=$J$4,'领用录入（明细）'!C:C&lt;=$L$4),ROW(),"-")</f>
        <v>-</v>
      </c>
    </row>
    <row r="11052" customHeight="1" spans="2:2">
      <c r="B11052" s="62" t="str">
        <f>IF(AND('领用录入（明细）'!D:D=$F$4,'领用录入（明细）'!C:C&gt;=$J$4,'领用录入（明细）'!C:C&lt;=$L$4),ROW(),"-")</f>
        <v>-</v>
      </c>
    </row>
    <row r="11053" customHeight="1" spans="2:2">
      <c r="B11053" s="62" t="str">
        <f>IF(AND('领用录入（明细）'!D:D=$F$4,'领用录入（明细）'!C:C&gt;=$J$4,'领用录入（明细）'!C:C&lt;=$L$4),ROW(),"-")</f>
        <v>-</v>
      </c>
    </row>
    <row r="11054" customHeight="1" spans="2:2">
      <c r="B11054" s="62" t="str">
        <f>IF(AND('领用录入（明细）'!D:D=$F$4,'领用录入（明细）'!C:C&gt;=$J$4,'领用录入（明细）'!C:C&lt;=$L$4),ROW(),"-")</f>
        <v>-</v>
      </c>
    </row>
    <row r="11055" customHeight="1" spans="2:2">
      <c r="B11055" s="62" t="str">
        <f>IF(AND('领用录入（明细）'!D:D=$F$4,'领用录入（明细）'!C:C&gt;=$J$4,'领用录入（明细）'!C:C&lt;=$L$4),ROW(),"-")</f>
        <v>-</v>
      </c>
    </row>
    <row r="11056" customHeight="1" spans="2:2">
      <c r="B11056" s="62" t="str">
        <f>IF(AND('领用录入（明细）'!D:D=$F$4,'领用录入（明细）'!C:C&gt;=$J$4,'领用录入（明细）'!C:C&lt;=$L$4),ROW(),"-")</f>
        <v>-</v>
      </c>
    </row>
    <row r="11057" customHeight="1" spans="2:2">
      <c r="B11057" s="62" t="str">
        <f>IF(AND('领用录入（明细）'!D:D=$F$4,'领用录入（明细）'!C:C&gt;=$J$4,'领用录入（明细）'!C:C&lt;=$L$4),ROW(),"-")</f>
        <v>-</v>
      </c>
    </row>
    <row r="11058" customHeight="1" spans="2:2">
      <c r="B11058" s="62" t="str">
        <f>IF(AND('领用录入（明细）'!D:D=$F$4,'领用录入（明细）'!C:C&gt;=$J$4,'领用录入（明细）'!C:C&lt;=$L$4),ROW(),"-")</f>
        <v>-</v>
      </c>
    </row>
    <row r="11059" customHeight="1" spans="2:2">
      <c r="B11059" s="62" t="str">
        <f>IF(AND('领用录入（明细）'!D:D=$F$4,'领用录入（明细）'!C:C&gt;=$J$4,'领用录入（明细）'!C:C&lt;=$L$4),ROW(),"-")</f>
        <v>-</v>
      </c>
    </row>
    <row r="11060" customHeight="1" spans="2:2">
      <c r="B11060" s="62" t="str">
        <f>IF(AND('领用录入（明细）'!D:D=$F$4,'领用录入（明细）'!C:C&gt;=$J$4,'领用录入（明细）'!C:C&lt;=$L$4),ROW(),"-")</f>
        <v>-</v>
      </c>
    </row>
    <row r="11061" customHeight="1" spans="2:2">
      <c r="B11061" s="62" t="str">
        <f>IF(AND('领用录入（明细）'!D:D=$F$4,'领用录入（明细）'!C:C&gt;=$J$4,'领用录入（明细）'!C:C&lt;=$L$4),ROW(),"-")</f>
        <v>-</v>
      </c>
    </row>
    <row r="11062" customHeight="1" spans="2:2">
      <c r="B11062" s="62" t="str">
        <f>IF(AND('领用录入（明细）'!D:D=$F$4,'领用录入（明细）'!C:C&gt;=$J$4,'领用录入（明细）'!C:C&lt;=$L$4),ROW(),"-")</f>
        <v>-</v>
      </c>
    </row>
    <row r="11063" customHeight="1" spans="2:2">
      <c r="B11063" s="62" t="str">
        <f>IF(AND('领用录入（明细）'!D:D=$F$4,'领用录入（明细）'!C:C&gt;=$J$4,'领用录入（明细）'!C:C&lt;=$L$4),ROW(),"-")</f>
        <v>-</v>
      </c>
    </row>
    <row r="11064" customHeight="1" spans="2:2">
      <c r="B11064" s="62" t="str">
        <f>IF(AND('领用录入（明细）'!D:D=$F$4,'领用录入（明细）'!C:C&gt;=$J$4,'领用录入（明细）'!C:C&lt;=$L$4),ROW(),"-")</f>
        <v>-</v>
      </c>
    </row>
    <row r="11065" customHeight="1" spans="2:2">
      <c r="B11065" s="62" t="str">
        <f>IF(AND('领用录入（明细）'!D:D=$F$4,'领用录入（明细）'!C:C&gt;=$J$4,'领用录入（明细）'!C:C&lt;=$L$4),ROW(),"-")</f>
        <v>-</v>
      </c>
    </row>
    <row r="11066" customHeight="1" spans="2:2">
      <c r="B11066" s="62" t="str">
        <f>IF(AND('领用录入（明细）'!D:D=$F$4,'领用录入（明细）'!C:C&gt;=$J$4,'领用录入（明细）'!C:C&lt;=$L$4),ROW(),"-")</f>
        <v>-</v>
      </c>
    </row>
    <row r="11067" customHeight="1" spans="2:2">
      <c r="B11067" s="62" t="str">
        <f>IF(AND('领用录入（明细）'!D:D=$F$4,'领用录入（明细）'!C:C&gt;=$J$4,'领用录入（明细）'!C:C&lt;=$L$4),ROW(),"-")</f>
        <v>-</v>
      </c>
    </row>
    <row r="11068" customHeight="1" spans="2:2">
      <c r="B11068" s="62" t="str">
        <f>IF(AND('领用录入（明细）'!D:D=$F$4,'领用录入（明细）'!C:C&gt;=$J$4,'领用录入（明细）'!C:C&lt;=$L$4),ROW(),"-")</f>
        <v>-</v>
      </c>
    </row>
    <row r="11069" customHeight="1" spans="2:2">
      <c r="B11069" s="62" t="str">
        <f>IF(AND('领用录入（明细）'!D:D=$F$4,'领用录入（明细）'!C:C&gt;=$J$4,'领用录入（明细）'!C:C&lt;=$L$4),ROW(),"-")</f>
        <v>-</v>
      </c>
    </row>
    <row r="11070" customHeight="1" spans="2:2">
      <c r="B11070" s="62" t="str">
        <f>IF(AND('领用录入（明细）'!D:D=$F$4,'领用录入（明细）'!C:C&gt;=$J$4,'领用录入（明细）'!C:C&lt;=$L$4),ROW(),"-")</f>
        <v>-</v>
      </c>
    </row>
    <row r="11071" customHeight="1" spans="2:2">
      <c r="B11071" s="62" t="str">
        <f>IF(AND('领用录入（明细）'!D:D=$F$4,'领用录入（明细）'!C:C&gt;=$J$4,'领用录入（明细）'!C:C&lt;=$L$4),ROW(),"-")</f>
        <v>-</v>
      </c>
    </row>
    <row r="11072" customHeight="1" spans="2:2">
      <c r="B11072" s="62" t="str">
        <f>IF(AND('领用录入（明细）'!D:D=$F$4,'领用录入（明细）'!C:C&gt;=$J$4,'领用录入（明细）'!C:C&lt;=$L$4),ROW(),"-")</f>
        <v>-</v>
      </c>
    </row>
    <row r="11073" customHeight="1" spans="2:2">
      <c r="B11073" s="62" t="str">
        <f>IF(AND('领用录入（明细）'!D:D=$F$4,'领用录入（明细）'!C:C&gt;=$J$4,'领用录入（明细）'!C:C&lt;=$L$4),ROW(),"-")</f>
        <v>-</v>
      </c>
    </row>
    <row r="11074" customHeight="1" spans="2:2">
      <c r="B11074" s="62" t="str">
        <f>IF(AND('领用录入（明细）'!D:D=$F$4,'领用录入（明细）'!C:C&gt;=$J$4,'领用录入（明细）'!C:C&lt;=$L$4),ROW(),"-")</f>
        <v>-</v>
      </c>
    </row>
    <row r="11075" customHeight="1" spans="2:2">
      <c r="B11075" s="62" t="str">
        <f>IF(AND('领用录入（明细）'!D:D=$F$4,'领用录入（明细）'!C:C&gt;=$J$4,'领用录入（明细）'!C:C&lt;=$L$4),ROW(),"-")</f>
        <v>-</v>
      </c>
    </row>
    <row r="11076" customHeight="1" spans="2:2">
      <c r="B11076" s="62" t="str">
        <f>IF(AND('领用录入（明细）'!D:D=$F$4,'领用录入（明细）'!C:C&gt;=$J$4,'领用录入（明细）'!C:C&lt;=$L$4),ROW(),"-")</f>
        <v>-</v>
      </c>
    </row>
    <row r="11077" customHeight="1" spans="2:2">
      <c r="B11077" s="62" t="str">
        <f>IF(AND('领用录入（明细）'!D:D=$F$4,'领用录入（明细）'!C:C&gt;=$J$4,'领用录入（明细）'!C:C&lt;=$L$4),ROW(),"-")</f>
        <v>-</v>
      </c>
    </row>
    <row r="11078" customHeight="1" spans="2:2">
      <c r="B11078" s="62" t="str">
        <f>IF(AND('领用录入（明细）'!D:D=$F$4,'领用录入（明细）'!C:C&gt;=$J$4,'领用录入（明细）'!C:C&lt;=$L$4),ROW(),"-")</f>
        <v>-</v>
      </c>
    </row>
    <row r="11079" customHeight="1" spans="2:2">
      <c r="B11079" s="62" t="str">
        <f>IF(AND('领用录入（明细）'!D:D=$F$4,'领用录入（明细）'!C:C&gt;=$J$4,'领用录入（明细）'!C:C&lt;=$L$4),ROW(),"-")</f>
        <v>-</v>
      </c>
    </row>
    <row r="11080" customHeight="1" spans="2:2">
      <c r="B11080" s="62" t="str">
        <f>IF(AND('领用录入（明细）'!D:D=$F$4,'领用录入（明细）'!C:C&gt;=$J$4,'领用录入（明细）'!C:C&lt;=$L$4),ROW(),"-")</f>
        <v>-</v>
      </c>
    </row>
    <row r="11081" customHeight="1" spans="2:2">
      <c r="B11081" s="62" t="str">
        <f>IF(AND('领用录入（明细）'!D:D=$F$4,'领用录入（明细）'!C:C&gt;=$J$4,'领用录入（明细）'!C:C&lt;=$L$4),ROW(),"-")</f>
        <v>-</v>
      </c>
    </row>
    <row r="11082" customHeight="1" spans="2:2">
      <c r="B11082" s="62" t="str">
        <f>IF(AND('领用录入（明细）'!D:D=$F$4,'领用录入（明细）'!C:C&gt;=$J$4,'领用录入（明细）'!C:C&lt;=$L$4),ROW(),"-")</f>
        <v>-</v>
      </c>
    </row>
    <row r="11083" customHeight="1" spans="2:2">
      <c r="B11083" s="62" t="str">
        <f>IF(AND('领用录入（明细）'!D:D=$F$4,'领用录入（明细）'!C:C&gt;=$J$4,'领用录入（明细）'!C:C&lt;=$L$4),ROW(),"-")</f>
        <v>-</v>
      </c>
    </row>
    <row r="11084" customHeight="1" spans="2:2">
      <c r="B11084" s="62" t="str">
        <f>IF(AND('领用录入（明细）'!D:D=$F$4,'领用录入（明细）'!C:C&gt;=$J$4,'领用录入（明细）'!C:C&lt;=$L$4),ROW(),"-")</f>
        <v>-</v>
      </c>
    </row>
    <row r="11085" customHeight="1" spans="2:2">
      <c r="B11085" s="62" t="str">
        <f>IF(AND('领用录入（明细）'!D:D=$F$4,'领用录入（明细）'!C:C&gt;=$J$4,'领用录入（明细）'!C:C&lt;=$L$4),ROW(),"-")</f>
        <v>-</v>
      </c>
    </row>
    <row r="11086" customHeight="1" spans="2:2">
      <c r="B11086" s="62" t="str">
        <f>IF(AND('领用录入（明细）'!D:D=$F$4,'领用录入（明细）'!C:C&gt;=$J$4,'领用录入（明细）'!C:C&lt;=$L$4),ROW(),"-")</f>
        <v>-</v>
      </c>
    </row>
    <row r="11087" customHeight="1" spans="2:2">
      <c r="B11087" s="62" t="str">
        <f>IF(AND('领用录入（明细）'!D:D=$F$4,'领用录入（明细）'!C:C&gt;=$J$4,'领用录入（明细）'!C:C&lt;=$L$4),ROW(),"-")</f>
        <v>-</v>
      </c>
    </row>
    <row r="11088" customHeight="1" spans="2:2">
      <c r="B11088" s="62" t="str">
        <f>IF(AND('领用录入（明细）'!D:D=$F$4,'领用录入（明细）'!C:C&gt;=$J$4,'领用录入（明细）'!C:C&lt;=$L$4),ROW(),"-")</f>
        <v>-</v>
      </c>
    </row>
    <row r="11089" customHeight="1" spans="2:2">
      <c r="B11089" s="62" t="str">
        <f>IF(AND('领用录入（明细）'!D:D=$F$4,'领用录入（明细）'!C:C&gt;=$J$4,'领用录入（明细）'!C:C&lt;=$L$4),ROW(),"-")</f>
        <v>-</v>
      </c>
    </row>
    <row r="11090" customHeight="1" spans="2:2">
      <c r="B11090" s="62" t="str">
        <f>IF(AND('领用录入（明细）'!D:D=$F$4,'领用录入（明细）'!C:C&gt;=$J$4,'领用录入（明细）'!C:C&lt;=$L$4),ROW(),"-")</f>
        <v>-</v>
      </c>
    </row>
    <row r="11091" customHeight="1" spans="2:2">
      <c r="B11091" s="62" t="str">
        <f>IF(AND('领用录入（明细）'!D:D=$F$4,'领用录入（明细）'!C:C&gt;=$J$4,'领用录入（明细）'!C:C&lt;=$L$4),ROW(),"-")</f>
        <v>-</v>
      </c>
    </row>
    <row r="11092" customHeight="1" spans="2:2">
      <c r="B11092" s="62" t="str">
        <f>IF(AND('领用录入（明细）'!D:D=$F$4,'领用录入（明细）'!C:C&gt;=$J$4,'领用录入（明细）'!C:C&lt;=$L$4),ROW(),"-")</f>
        <v>-</v>
      </c>
    </row>
    <row r="11093" customHeight="1" spans="2:2">
      <c r="B11093" s="62" t="str">
        <f>IF(AND('领用录入（明细）'!D:D=$F$4,'领用录入（明细）'!C:C&gt;=$J$4,'领用录入（明细）'!C:C&lt;=$L$4),ROW(),"-")</f>
        <v>-</v>
      </c>
    </row>
    <row r="11094" customHeight="1" spans="2:2">
      <c r="B11094" s="62" t="str">
        <f>IF(AND('领用录入（明细）'!D:D=$F$4,'领用录入（明细）'!C:C&gt;=$J$4,'领用录入（明细）'!C:C&lt;=$L$4),ROW(),"-")</f>
        <v>-</v>
      </c>
    </row>
    <row r="11095" customHeight="1" spans="2:2">
      <c r="B11095" s="62" t="str">
        <f>IF(AND('领用录入（明细）'!D:D=$F$4,'领用录入（明细）'!C:C&gt;=$J$4,'领用录入（明细）'!C:C&lt;=$L$4),ROW(),"-")</f>
        <v>-</v>
      </c>
    </row>
    <row r="11096" customHeight="1" spans="2:2">
      <c r="B11096" s="62" t="str">
        <f>IF(AND('领用录入（明细）'!D:D=$F$4,'领用录入（明细）'!C:C&gt;=$J$4,'领用录入（明细）'!C:C&lt;=$L$4),ROW(),"-")</f>
        <v>-</v>
      </c>
    </row>
    <row r="11097" customHeight="1" spans="2:2">
      <c r="B11097" s="62" t="str">
        <f>IF(AND('领用录入（明细）'!D:D=$F$4,'领用录入（明细）'!C:C&gt;=$J$4,'领用录入（明细）'!C:C&lt;=$L$4),ROW(),"-")</f>
        <v>-</v>
      </c>
    </row>
    <row r="11098" customHeight="1" spans="2:2">
      <c r="B11098" s="62" t="str">
        <f>IF(AND('领用录入（明细）'!D:D=$F$4,'领用录入（明细）'!C:C&gt;=$J$4,'领用录入（明细）'!C:C&lt;=$L$4),ROW(),"-")</f>
        <v>-</v>
      </c>
    </row>
    <row r="11099" customHeight="1" spans="2:2">
      <c r="B11099" s="62" t="str">
        <f>IF(AND('领用录入（明细）'!D:D=$F$4,'领用录入（明细）'!C:C&gt;=$J$4,'领用录入（明细）'!C:C&lt;=$L$4),ROW(),"-")</f>
        <v>-</v>
      </c>
    </row>
    <row r="11100" customHeight="1" spans="2:2">
      <c r="B11100" s="62" t="str">
        <f>IF(AND('领用录入（明细）'!D:D=$F$4,'领用录入（明细）'!C:C&gt;=$J$4,'领用录入（明细）'!C:C&lt;=$L$4),ROW(),"-")</f>
        <v>-</v>
      </c>
    </row>
    <row r="11101" customHeight="1" spans="2:2">
      <c r="B11101" s="62" t="str">
        <f>IF(AND('领用录入（明细）'!D:D=$F$4,'领用录入（明细）'!C:C&gt;=$J$4,'领用录入（明细）'!C:C&lt;=$L$4),ROW(),"-")</f>
        <v>-</v>
      </c>
    </row>
    <row r="11102" customHeight="1" spans="2:2">
      <c r="B11102" s="62" t="str">
        <f>IF(AND('领用录入（明细）'!D:D=$F$4,'领用录入（明细）'!C:C&gt;=$J$4,'领用录入（明细）'!C:C&lt;=$L$4),ROW(),"-")</f>
        <v>-</v>
      </c>
    </row>
    <row r="11103" customHeight="1" spans="2:2">
      <c r="B11103" s="62" t="str">
        <f>IF(AND('领用录入（明细）'!D:D=$F$4,'领用录入（明细）'!C:C&gt;=$J$4,'领用录入（明细）'!C:C&lt;=$L$4),ROW(),"-")</f>
        <v>-</v>
      </c>
    </row>
    <row r="11104" customHeight="1" spans="2:2">
      <c r="B11104" s="62" t="str">
        <f>IF(AND('领用录入（明细）'!D:D=$F$4,'领用录入（明细）'!C:C&gt;=$J$4,'领用录入（明细）'!C:C&lt;=$L$4),ROW(),"-")</f>
        <v>-</v>
      </c>
    </row>
    <row r="11105" customHeight="1" spans="2:2">
      <c r="B11105" s="62" t="str">
        <f>IF(AND('领用录入（明细）'!D:D=$F$4,'领用录入（明细）'!C:C&gt;=$J$4,'领用录入（明细）'!C:C&lt;=$L$4),ROW(),"-")</f>
        <v>-</v>
      </c>
    </row>
    <row r="11106" customHeight="1" spans="2:2">
      <c r="B11106" s="62" t="str">
        <f>IF(AND('领用录入（明细）'!D:D=$F$4,'领用录入（明细）'!C:C&gt;=$J$4,'领用录入（明细）'!C:C&lt;=$L$4),ROW(),"-")</f>
        <v>-</v>
      </c>
    </row>
    <row r="11107" customHeight="1" spans="2:2">
      <c r="B11107" s="62" t="str">
        <f>IF(AND('领用录入（明细）'!D:D=$F$4,'领用录入（明细）'!C:C&gt;=$J$4,'领用录入（明细）'!C:C&lt;=$L$4),ROW(),"-")</f>
        <v>-</v>
      </c>
    </row>
    <row r="11108" customHeight="1" spans="2:2">
      <c r="B11108" s="62" t="str">
        <f>IF(AND('领用录入（明细）'!D:D=$F$4,'领用录入（明细）'!C:C&gt;=$J$4,'领用录入（明细）'!C:C&lt;=$L$4),ROW(),"-")</f>
        <v>-</v>
      </c>
    </row>
    <row r="11109" customHeight="1" spans="2:2">
      <c r="B11109" s="62" t="str">
        <f>IF(AND('领用录入（明细）'!D:D=$F$4,'领用录入（明细）'!C:C&gt;=$J$4,'领用录入（明细）'!C:C&lt;=$L$4),ROW(),"-")</f>
        <v>-</v>
      </c>
    </row>
    <row r="11110" customHeight="1" spans="2:2">
      <c r="B11110" s="62" t="str">
        <f>IF(AND('领用录入（明细）'!D:D=$F$4,'领用录入（明细）'!C:C&gt;=$J$4,'领用录入（明细）'!C:C&lt;=$L$4),ROW(),"-")</f>
        <v>-</v>
      </c>
    </row>
    <row r="11111" customHeight="1" spans="2:2">
      <c r="B11111" s="62" t="str">
        <f>IF(AND('领用录入（明细）'!D:D=$F$4,'领用录入（明细）'!C:C&gt;=$J$4,'领用录入（明细）'!C:C&lt;=$L$4),ROW(),"-")</f>
        <v>-</v>
      </c>
    </row>
    <row r="11112" customHeight="1" spans="2:2">
      <c r="B11112" s="62" t="str">
        <f>IF(AND('领用录入（明细）'!D:D=$F$4,'领用录入（明细）'!C:C&gt;=$J$4,'领用录入（明细）'!C:C&lt;=$L$4),ROW(),"-")</f>
        <v>-</v>
      </c>
    </row>
    <row r="11113" customHeight="1" spans="2:2">
      <c r="B11113" s="62" t="str">
        <f>IF(AND('领用录入（明细）'!D:D=$F$4,'领用录入（明细）'!C:C&gt;=$J$4,'领用录入（明细）'!C:C&lt;=$L$4),ROW(),"-")</f>
        <v>-</v>
      </c>
    </row>
    <row r="11114" customHeight="1" spans="2:2">
      <c r="B11114" s="62" t="str">
        <f>IF(AND('领用录入（明细）'!D:D=$F$4,'领用录入（明细）'!C:C&gt;=$J$4,'领用录入（明细）'!C:C&lt;=$L$4),ROW(),"-")</f>
        <v>-</v>
      </c>
    </row>
    <row r="11115" customHeight="1" spans="2:2">
      <c r="B11115" s="62" t="str">
        <f>IF(AND('领用录入（明细）'!D:D=$F$4,'领用录入（明细）'!C:C&gt;=$J$4,'领用录入（明细）'!C:C&lt;=$L$4),ROW(),"-")</f>
        <v>-</v>
      </c>
    </row>
    <row r="11116" customHeight="1" spans="2:2">
      <c r="B11116" s="62" t="str">
        <f>IF(AND('领用录入（明细）'!D:D=$F$4,'领用录入（明细）'!C:C&gt;=$J$4,'领用录入（明细）'!C:C&lt;=$L$4),ROW(),"-")</f>
        <v>-</v>
      </c>
    </row>
    <row r="11117" customHeight="1" spans="2:2">
      <c r="B11117" s="62" t="str">
        <f>IF(AND('领用录入（明细）'!D:D=$F$4,'领用录入（明细）'!C:C&gt;=$J$4,'领用录入（明细）'!C:C&lt;=$L$4),ROW(),"-")</f>
        <v>-</v>
      </c>
    </row>
    <row r="11118" customHeight="1" spans="2:2">
      <c r="B11118" s="62" t="str">
        <f>IF(AND('领用录入（明细）'!D:D=$F$4,'领用录入（明细）'!C:C&gt;=$J$4,'领用录入（明细）'!C:C&lt;=$L$4),ROW(),"-")</f>
        <v>-</v>
      </c>
    </row>
    <row r="11119" customHeight="1" spans="2:2">
      <c r="B11119" s="62" t="str">
        <f>IF(AND('领用录入（明细）'!D:D=$F$4,'领用录入（明细）'!C:C&gt;=$J$4,'领用录入（明细）'!C:C&lt;=$L$4),ROW(),"-")</f>
        <v>-</v>
      </c>
    </row>
    <row r="11120" customHeight="1" spans="2:2">
      <c r="B11120" s="62" t="str">
        <f>IF(AND('领用录入（明细）'!D:D=$F$4,'领用录入（明细）'!C:C&gt;=$J$4,'领用录入（明细）'!C:C&lt;=$L$4),ROW(),"-")</f>
        <v>-</v>
      </c>
    </row>
    <row r="11121" customHeight="1" spans="2:2">
      <c r="B11121" s="62" t="str">
        <f>IF(AND('领用录入（明细）'!D:D=$F$4,'领用录入（明细）'!C:C&gt;=$J$4,'领用录入（明细）'!C:C&lt;=$L$4),ROW(),"-")</f>
        <v>-</v>
      </c>
    </row>
    <row r="11122" customHeight="1" spans="2:2">
      <c r="B11122" s="62" t="str">
        <f>IF(AND('领用录入（明细）'!D:D=$F$4,'领用录入（明细）'!C:C&gt;=$J$4,'领用录入（明细）'!C:C&lt;=$L$4),ROW(),"-")</f>
        <v>-</v>
      </c>
    </row>
    <row r="11123" customHeight="1" spans="2:2">
      <c r="B11123" s="62" t="str">
        <f>IF(AND('领用录入（明细）'!D:D=$F$4,'领用录入（明细）'!C:C&gt;=$J$4,'领用录入（明细）'!C:C&lt;=$L$4),ROW(),"-")</f>
        <v>-</v>
      </c>
    </row>
    <row r="11124" customHeight="1" spans="2:2">
      <c r="B11124" s="62" t="str">
        <f>IF(AND('领用录入（明细）'!D:D=$F$4,'领用录入（明细）'!C:C&gt;=$J$4,'领用录入（明细）'!C:C&lt;=$L$4),ROW(),"-")</f>
        <v>-</v>
      </c>
    </row>
    <row r="11125" customHeight="1" spans="2:2">
      <c r="B11125" s="62" t="str">
        <f>IF(AND('领用录入（明细）'!D:D=$F$4,'领用录入（明细）'!C:C&gt;=$J$4,'领用录入（明细）'!C:C&lt;=$L$4),ROW(),"-")</f>
        <v>-</v>
      </c>
    </row>
    <row r="11126" customHeight="1" spans="2:2">
      <c r="B11126" s="62" t="str">
        <f>IF(AND('领用录入（明细）'!D:D=$F$4,'领用录入（明细）'!C:C&gt;=$J$4,'领用录入（明细）'!C:C&lt;=$L$4),ROW(),"-")</f>
        <v>-</v>
      </c>
    </row>
    <row r="11127" customHeight="1" spans="2:2">
      <c r="B11127" s="62" t="str">
        <f>IF(AND('领用录入（明细）'!D:D=$F$4,'领用录入（明细）'!C:C&gt;=$J$4,'领用录入（明细）'!C:C&lt;=$L$4),ROW(),"-")</f>
        <v>-</v>
      </c>
    </row>
    <row r="11128" customHeight="1" spans="2:2">
      <c r="B11128" s="62" t="str">
        <f>IF(AND('领用录入（明细）'!D:D=$F$4,'领用录入（明细）'!C:C&gt;=$J$4,'领用录入（明细）'!C:C&lt;=$L$4),ROW(),"-")</f>
        <v>-</v>
      </c>
    </row>
    <row r="11129" customHeight="1" spans="2:2">
      <c r="B11129" s="62" t="str">
        <f>IF(AND('领用录入（明细）'!D:D=$F$4,'领用录入（明细）'!C:C&gt;=$J$4,'领用录入（明细）'!C:C&lt;=$L$4),ROW(),"-")</f>
        <v>-</v>
      </c>
    </row>
    <row r="11130" customHeight="1" spans="2:2">
      <c r="B11130" s="62" t="str">
        <f>IF(AND('领用录入（明细）'!D:D=$F$4,'领用录入（明细）'!C:C&gt;=$J$4,'领用录入（明细）'!C:C&lt;=$L$4),ROW(),"-")</f>
        <v>-</v>
      </c>
    </row>
    <row r="11131" customHeight="1" spans="2:2">
      <c r="B11131" s="62" t="str">
        <f>IF(AND('领用录入（明细）'!D:D=$F$4,'领用录入（明细）'!C:C&gt;=$J$4,'领用录入（明细）'!C:C&lt;=$L$4),ROW(),"-")</f>
        <v>-</v>
      </c>
    </row>
    <row r="11132" customHeight="1" spans="2:2">
      <c r="B11132" s="62" t="str">
        <f>IF(AND('领用录入（明细）'!D:D=$F$4,'领用录入（明细）'!C:C&gt;=$J$4,'领用录入（明细）'!C:C&lt;=$L$4),ROW(),"-")</f>
        <v>-</v>
      </c>
    </row>
    <row r="11133" customHeight="1" spans="2:2">
      <c r="B11133" s="62" t="str">
        <f>IF(AND('领用录入（明细）'!D:D=$F$4,'领用录入（明细）'!C:C&gt;=$J$4,'领用录入（明细）'!C:C&lt;=$L$4),ROW(),"-")</f>
        <v>-</v>
      </c>
    </row>
    <row r="11134" customHeight="1" spans="2:2">
      <c r="B11134" s="62" t="str">
        <f>IF(AND('领用录入（明细）'!D:D=$F$4,'领用录入（明细）'!C:C&gt;=$J$4,'领用录入（明细）'!C:C&lt;=$L$4),ROW(),"-")</f>
        <v>-</v>
      </c>
    </row>
    <row r="11135" customHeight="1" spans="2:2">
      <c r="B11135" s="62" t="str">
        <f>IF(AND('领用录入（明细）'!D:D=$F$4,'领用录入（明细）'!C:C&gt;=$J$4,'领用录入（明细）'!C:C&lt;=$L$4),ROW(),"-")</f>
        <v>-</v>
      </c>
    </row>
    <row r="11136" customHeight="1" spans="2:2">
      <c r="B11136" s="62" t="str">
        <f>IF(AND('领用录入（明细）'!D:D=$F$4,'领用录入（明细）'!C:C&gt;=$J$4,'领用录入（明细）'!C:C&lt;=$L$4),ROW(),"-")</f>
        <v>-</v>
      </c>
    </row>
    <row r="11137" customHeight="1" spans="2:2">
      <c r="B11137" s="62" t="str">
        <f>IF(AND('领用录入（明细）'!D:D=$F$4,'领用录入（明细）'!C:C&gt;=$J$4,'领用录入（明细）'!C:C&lt;=$L$4),ROW(),"-")</f>
        <v>-</v>
      </c>
    </row>
    <row r="11138" customHeight="1" spans="2:2">
      <c r="B11138" s="62" t="str">
        <f>IF(AND('领用录入（明细）'!D:D=$F$4,'领用录入（明细）'!C:C&gt;=$J$4,'领用录入（明细）'!C:C&lt;=$L$4),ROW(),"-")</f>
        <v>-</v>
      </c>
    </row>
    <row r="11139" customHeight="1" spans="2:2">
      <c r="B11139" s="62" t="str">
        <f>IF(AND('领用录入（明细）'!D:D=$F$4,'领用录入（明细）'!C:C&gt;=$J$4,'领用录入（明细）'!C:C&lt;=$L$4),ROW(),"-")</f>
        <v>-</v>
      </c>
    </row>
    <row r="11140" customHeight="1" spans="2:2">
      <c r="B11140" s="62" t="str">
        <f>IF(AND('领用录入（明细）'!D:D=$F$4,'领用录入（明细）'!C:C&gt;=$J$4,'领用录入（明细）'!C:C&lt;=$L$4),ROW(),"-")</f>
        <v>-</v>
      </c>
    </row>
    <row r="11141" customHeight="1" spans="2:2">
      <c r="B11141" s="62" t="str">
        <f>IF(AND('领用录入（明细）'!D:D=$F$4,'领用录入（明细）'!C:C&gt;=$J$4,'领用录入（明细）'!C:C&lt;=$L$4),ROW(),"-")</f>
        <v>-</v>
      </c>
    </row>
    <row r="11142" customHeight="1" spans="2:2">
      <c r="B11142" s="62" t="str">
        <f>IF(AND('领用录入（明细）'!D:D=$F$4,'领用录入（明细）'!C:C&gt;=$J$4,'领用录入（明细）'!C:C&lt;=$L$4),ROW(),"-")</f>
        <v>-</v>
      </c>
    </row>
    <row r="11143" customHeight="1" spans="2:2">
      <c r="B11143" s="62" t="str">
        <f>IF(AND('领用录入（明细）'!D:D=$F$4,'领用录入（明细）'!C:C&gt;=$J$4,'领用录入（明细）'!C:C&lt;=$L$4),ROW(),"-")</f>
        <v>-</v>
      </c>
    </row>
    <row r="11144" customHeight="1" spans="2:2">
      <c r="B11144" s="62" t="str">
        <f>IF(AND('领用录入（明细）'!D:D=$F$4,'领用录入（明细）'!C:C&gt;=$J$4,'领用录入（明细）'!C:C&lt;=$L$4),ROW(),"-")</f>
        <v>-</v>
      </c>
    </row>
    <row r="11145" customHeight="1" spans="2:2">
      <c r="B11145" s="62" t="str">
        <f>IF(AND('领用录入（明细）'!D:D=$F$4,'领用录入（明细）'!C:C&gt;=$J$4,'领用录入（明细）'!C:C&lt;=$L$4),ROW(),"-")</f>
        <v>-</v>
      </c>
    </row>
    <row r="11146" customHeight="1" spans="2:2">
      <c r="B11146" s="62" t="str">
        <f>IF(AND('领用录入（明细）'!D:D=$F$4,'领用录入（明细）'!C:C&gt;=$J$4,'领用录入（明细）'!C:C&lt;=$L$4),ROW(),"-")</f>
        <v>-</v>
      </c>
    </row>
    <row r="11147" customHeight="1" spans="2:2">
      <c r="B11147" s="62" t="str">
        <f>IF(AND('领用录入（明细）'!D:D=$F$4,'领用录入（明细）'!C:C&gt;=$J$4,'领用录入（明细）'!C:C&lt;=$L$4),ROW(),"-")</f>
        <v>-</v>
      </c>
    </row>
    <row r="11148" customHeight="1" spans="2:2">
      <c r="B11148" s="62" t="str">
        <f>IF(AND('领用录入（明细）'!D:D=$F$4,'领用录入（明细）'!C:C&gt;=$J$4,'领用录入（明细）'!C:C&lt;=$L$4),ROW(),"-")</f>
        <v>-</v>
      </c>
    </row>
    <row r="11149" customHeight="1" spans="2:2">
      <c r="B11149" s="62" t="str">
        <f>IF(AND('领用录入（明细）'!D:D=$F$4,'领用录入（明细）'!C:C&gt;=$J$4,'领用录入（明细）'!C:C&lt;=$L$4),ROW(),"-")</f>
        <v>-</v>
      </c>
    </row>
    <row r="11150" customHeight="1" spans="2:2">
      <c r="B11150" s="62" t="str">
        <f>IF(AND('领用录入（明细）'!D:D=$F$4,'领用录入（明细）'!C:C&gt;=$J$4,'领用录入（明细）'!C:C&lt;=$L$4),ROW(),"-")</f>
        <v>-</v>
      </c>
    </row>
    <row r="11151" customHeight="1" spans="2:2">
      <c r="B11151" s="62" t="str">
        <f>IF(AND('领用录入（明细）'!D:D=$F$4,'领用录入（明细）'!C:C&gt;=$J$4,'领用录入（明细）'!C:C&lt;=$L$4),ROW(),"-")</f>
        <v>-</v>
      </c>
    </row>
    <row r="11152" customHeight="1" spans="2:2">
      <c r="B11152" s="62" t="str">
        <f>IF(AND('领用录入（明细）'!D:D=$F$4,'领用录入（明细）'!C:C&gt;=$J$4,'领用录入（明细）'!C:C&lt;=$L$4),ROW(),"-")</f>
        <v>-</v>
      </c>
    </row>
    <row r="11153" customHeight="1" spans="2:2">
      <c r="B11153" s="62" t="str">
        <f>IF(AND('领用录入（明细）'!D:D=$F$4,'领用录入（明细）'!C:C&gt;=$J$4,'领用录入（明细）'!C:C&lt;=$L$4),ROW(),"-")</f>
        <v>-</v>
      </c>
    </row>
    <row r="11154" customHeight="1" spans="2:2">
      <c r="B11154" s="62" t="str">
        <f>IF(AND('领用录入（明细）'!D:D=$F$4,'领用录入（明细）'!C:C&gt;=$J$4,'领用录入（明细）'!C:C&lt;=$L$4),ROW(),"-")</f>
        <v>-</v>
      </c>
    </row>
    <row r="11155" customHeight="1" spans="2:2">
      <c r="B11155" s="62" t="str">
        <f>IF(AND('领用录入（明细）'!D:D=$F$4,'领用录入（明细）'!C:C&gt;=$J$4,'领用录入（明细）'!C:C&lt;=$L$4),ROW(),"-")</f>
        <v>-</v>
      </c>
    </row>
    <row r="11156" customHeight="1" spans="2:2">
      <c r="B11156" s="62" t="str">
        <f>IF(AND('领用录入（明细）'!D:D=$F$4,'领用录入（明细）'!C:C&gt;=$J$4,'领用录入（明细）'!C:C&lt;=$L$4),ROW(),"-")</f>
        <v>-</v>
      </c>
    </row>
    <row r="11157" customHeight="1" spans="2:2">
      <c r="B11157" s="62" t="str">
        <f>IF(AND('领用录入（明细）'!D:D=$F$4,'领用录入（明细）'!C:C&gt;=$J$4,'领用录入（明细）'!C:C&lt;=$L$4),ROW(),"-")</f>
        <v>-</v>
      </c>
    </row>
    <row r="11158" customHeight="1" spans="2:2">
      <c r="B11158" s="62" t="str">
        <f>IF(AND('领用录入（明细）'!D:D=$F$4,'领用录入（明细）'!C:C&gt;=$J$4,'领用录入（明细）'!C:C&lt;=$L$4),ROW(),"-")</f>
        <v>-</v>
      </c>
    </row>
    <row r="11159" customHeight="1" spans="2:2">
      <c r="B11159" s="62" t="str">
        <f>IF(AND('领用录入（明细）'!D:D=$F$4,'领用录入（明细）'!C:C&gt;=$J$4,'领用录入（明细）'!C:C&lt;=$L$4),ROW(),"-")</f>
        <v>-</v>
      </c>
    </row>
    <row r="11160" customHeight="1" spans="2:2">
      <c r="B11160" s="62" t="str">
        <f>IF(AND('领用录入（明细）'!D:D=$F$4,'领用录入（明细）'!C:C&gt;=$J$4,'领用录入（明细）'!C:C&lt;=$L$4),ROW(),"-")</f>
        <v>-</v>
      </c>
    </row>
    <row r="11161" customHeight="1" spans="2:2">
      <c r="B11161" s="62" t="str">
        <f>IF(AND('领用录入（明细）'!D:D=$F$4,'领用录入（明细）'!C:C&gt;=$J$4,'领用录入（明细）'!C:C&lt;=$L$4),ROW(),"-")</f>
        <v>-</v>
      </c>
    </row>
    <row r="11162" customHeight="1" spans="2:2">
      <c r="B11162" s="62" t="str">
        <f>IF(AND('领用录入（明细）'!D:D=$F$4,'领用录入（明细）'!C:C&gt;=$J$4,'领用录入（明细）'!C:C&lt;=$L$4),ROW(),"-")</f>
        <v>-</v>
      </c>
    </row>
    <row r="11163" customHeight="1" spans="2:2">
      <c r="B11163" s="62" t="str">
        <f>IF(AND('领用录入（明细）'!D:D=$F$4,'领用录入（明细）'!C:C&gt;=$J$4,'领用录入（明细）'!C:C&lt;=$L$4),ROW(),"-")</f>
        <v>-</v>
      </c>
    </row>
    <row r="11164" customHeight="1" spans="2:2">
      <c r="B11164" s="62" t="str">
        <f>IF(AND('领用录入（明细）'!D:D=$F$4,'领用录入（明细）'!C:C&gt;=$J$4,'领用录入（明细）'!C:C&lt;=$L$4),ROW(),"-")</f>
        <v>-</v>
      </c>
    </row>
    <row r="11165" customHeight="1" spans="2:2">
      <c r="B11165" s="62" t="str">
        <f>IF(AND('领用录入（明细）'!D:D=$F$4,'领用录入（明细）'!C:C&gt;=$J$4,'领用录入（明细）'!C:C&lt;=$L$4),ROW(),"-")</f>
        <v>-</v>
      </c>
    </row>
    <row r="11166" customHeight="1" spans="2:2">
      <c r="B11166" s="62" t="str">
        <f>IF(AND('领用录入（明细）'!D:D=$F$4,'领用录入（明细）'!C:C&gt;=$J$4,'领用录入（明细）'!C:C&lt;=$L$4),ROW(),"-")</f>
        <v>-</v>
      </c>
    </row>
    <row r="11167" customHeight="1" spans="2:2">
      <c r="B11167" s="62" t="str">
        <f>IF(AND('领用录入（明细）'!D:D=$F$4,'领用录入（明细）'!C:C&gt;=$J$4,'领用录入（明细）'!C:C&lt;=$L$4),ROW(),"-")</f>
        <v>-</v>
      </c>
    </row>
    <row r="11168" customHeight="1" spans="2:2">
      <c r="B11168" s="62" t="str">
        <f>IF(AND('领用录入（明细）'!D:D=$F$4,'领用录入（明细）'!C:C&gt;=$J$4,'领用录入（明细）'!C:C&lt;=$L$4),ROW(),"-")</f>
        <v>-</v>
      </c>
    </row>
    <row r="11169" customHeight="1" spans="2:2">
      <c r="B11169" s="62" t="str">
        <f>IF(AND('领用录入（明细）'!D:D=$F$4,'领用录入（明细）'!C:C&gt;=$J$4,'领用录入（明细）'!C:C&lt;=$L$4),ROW(),"-")</f>
        <v>-</v>
      </c>
    </row>
    <row r="11170" customHeight="1" spans="2:2">
      <c r="B11170" s="62" t="str">
        <f>IF(AND('领用录入（明细）'!D:D=$F$4,'领用录入（明细）'!C:C&gt;=$J$4,'领用录入（明细）'!C:C&lt;=$L$4),ROW(),"-")</f>
        <v>-</v>
      </c>
    </row>
    <row r="11171" customHeight="1" spans="2:2">
      <c r="B11171" s="62" t="str">
        <f>IF(AND('领用录入（明细）'!D:D=$F$4,'领用录入（明细）'!C:C&gt;=$J$4,'领用录入（明细）'!C:C&lt;=$L$4),ROW(),"-")</f>
        <v>-</v>
      </c>
    </row>
    <row r="11172" customHeight="1" spans="2:2">
      <c r="B11172" s="62" t="str">
        <f>IF(AND('领用录入（明细）'!D:D=$F$4,'领用录入（明细）'!C:C&gt;=$J$4,'领用录入（明细）'!C:C&lt;=$L$4),ROW(),"-")</f>
        <v>-</v>
      </c>
    </row>
    <row r="11173" customHeight="1" spans="2:2">
      <c r="B11173" s="62" t="str">
        <f>IF(AND('领用录入（明细）'!D:D=$F$4,'领用录入（明细）'!C:C&gt;=$J$4,'领用录入（明细）'!C:C&lt;=$L$4),ROW(),"-")</f>
        <v>-</v>
      </c>
    </row>
    <row r="11174" customHeight="1" spans="2:2">
      <c r="B11174" s="62" t="str">
        <f>IF(AND('领用录入（明细）'!D:D=$F$4,'领用录入（明细）'!C:C&gt;=$J$4,'领用录入（明细）'!C:C&lt;=$L$4),ROW(),"-")</f>
        <v>-</v>
      </c>
    </row>
    <row r="11175" customHeight="1" spans="2:2">
      <c r="B11175" s="62" t="str">
        <f>IF(AND('领用录入（明细）'!D:D=$F$4,'领用录入（明细）'!C:C&gt;=$J$4,'领用录入（明细）'!C:C&lt;=$L$4),ROW(),"-")</f>
        <v>-</v>
      </c>
    </row>
    <row r="11176" customHeight="1" spans="2:2">
      <c r="B11176" s="62" t="str">
        <f>IF(AND('领用录入（明细）'!D:D=$F$4,'领用录入（明细）'!C:C&gt;=$J$4,'领用录入（明细）'!C:C&lt;=$L$4),ROW(),"-")</f>
        <v>-</v>
      </c>
    </row>
    <row r="11177" customHeight="1" spans="2:2">
      <c r="B11177" s="62" t="str">
        <f>IF(AND('领用录入（明细）'!D:D=$F$4,'领用录入（明细）'!C:C&gt;=$J$4,'领用录入（明细）'!C:C&lt;=$L$4),ROW(),"-")</f>
        <v>-</v>
      </c>
    </row>
    <row r="11178" customHeight="1" spans="2:2">
      <c r="B11178" s="62" t="str">
        <f>IF(AND('领用录入（明细）'!D:D=$F$4,'领用录入（明细）'!C:C&gt;=$J$4,'领用录入（明细）'!C:C&lt;=$L$4),ROW(),"-")</f>
        <v>-</v>
      </c>
    </row>
    <row r="11179" customHeight="1" spans="2:2">
      <c r="B11179" s="62" t="str">
        <f>IF(AND('领用录入（明细）'!D:D=$F$4,'领用录入（明细）'!C:C&gt;=$J$4,'领用录入（明细）'!C:C&lt;=$L$4),ROW(),"-")</f>
        <v>-</v>
      </c>
    </row>
    <row r="11180" customHeight="1" spans="2:2">
      <c r="B11180" s="62" t="str">
        <f>IF(AND('领用录入（明细）'!D:D=$F$4,'领用录入（明细）'!C:C&gt;=$J$4,'领用录入（明细）'!C:C&lt;=$L$4),ROW(),"-")</f>
        <v>-</v>
      </c>
    </row>
    <row r="11181" customHeight="1" spans="2:2">
      <c r="B11181" s="62" t="str">
        <f>IF(AND('领用录入（明细）'!D:D=$F$4,'领用录入（明细）'!C:C&gt;=$J$4,'领用录入（明细）'!C:C&lt;=$L$4),ROW(),"-")</f>
        <v>-</v>
      </c>
    </row>
    <row r="11182" customHeight="1" spans="2:2">
      <c r="B11182" s="62" t="str">
        <f>IF(AND('领用录入（明细）'!D:D=$F$4,'领用录入（明细）'!C:C&gt;=$J$4,'领用录入（明细）'!C:C&lt;=$L$4),ROW(),"-")</f>
        <v>-</v>
      </c>
    </row>
    <row r="11183" customHeight="1" spans="2:2">
      <c r="B11183" s="62" t="str">
        <f>IF(AND('领用录入（明细）'!D:D=$F$4,'领用录入（明细）'!C:C&gt;=$J$4,'领用录入（明细）'!C:C&lt;=$L$4),ROW(),"-")</f>
        <v>-</v>
      </c>
    </row>
    <row r="11184" customHeight="1" spans="2:2">
      <c r="B11184" s="62" t="str">
        <f>IF(AND('领用录入（明细）'!D:D=$F$4,'领用录入（明细）'!C:C&gt;=$J$4,'领用录入（明细）'!C:C&lt;=$L$4),ROW(),"-")</f>
        <v>-</v>
      </c>
    </row>
    <row r="11185" customHeight="1" spans="2:2">
      <c r="B11185" s="62" t="str">
        <f>IF(AND('领用录入（明细）'!D:D=$F$4,'领用录入（明细）'!C:C&gt;=$J$4,'领用录入（明细）'!C:C&lt;=$L$4),ROW(),"-")</f>
        <v>-</v>
      </c>
    </row>
    <row r="11186" customHeight="1" spans="2:2">
      <c r="B11186" s="62" t="str">
        <f>IF(AND('领用录入（明细）'!D:D=$F$4,'领用录入（明细）'!C:C&gt;=$J$4,'领用录入（明细）'!C:C&lt;=$L$4),ROW(),"-")</f>
        <v>-</v>
      </c>
    </row>
    <row r="11187" customHeight="1" spans="2:2">
      <c r="B11187" s="62" t="str">
        <f>IF(AND('领用录入（明细）'!D:D=$F$4,'领用录入（明细）'!C:C&gt;=$J$4,'领用录入（明细）'!C:C&lt;=$L$4),ROW(),"-")</f>
        <v>-</v>
      </c>
    </row>
    <row r="11188" customHeight="1" spans="2:2">
      <c r="B11188" s="62" t="str">
        <f>IF(AND('领用录入（明细）'!D:D=$F$4,'领用录入（明细）'!C:C&gt;=$J$4,'领用录入（明细）'!C:C&lt;=$L$4),ROW(),"-")</f>
        <v>-</v>
      </c>
    </row>
    <row r="11189" customHeight="1" spans="2:2">
      <c r="B11189" s="62" t="str">
        <f>IF(AND('领用录入（明细）'!D:D=$F$4,'领用录入（明细）'!C:C&gt;=$J$4,'领用录入（明细）'!C:C&lt;=$L$4),ROW(),"-")</f>
        <v>-</v>
      </c>
    </row>
    <row r="11190" customHeight="1" spans="2:2">
      <c r="B11190" s="62" t="str">
        <f>IF(AND('领用录入（明细）'!D:D=$F$4,'领用录入（明细）'!C:C&gt;=$J$4,'领用录入（明细）'!C:C&lt;=$L$4),ROW(),"-")</f>
        <v>-</v>
      </c>
    </row>
    <row r="11191" customHeight="1" spans="2:2">
      <c r="B11191" s="62" t="str">
        <f>IF(AND('领用录入（明细）'!D:D=$F$4,'领用录入（明细）'!C:C&gt;=$J$4,'领用录入（明细）'!C:C&lt;=$L$4),ROW(),"-")</f>
        <v>-</v>
      </c>
    </row>
    <row r="11192" customHeight="1" spans="2:2">
      <c r="B11192" s="62" t="str">
        <f>IF(AND('领用录入（明细）'!D:D=$F$4,'领用录入（明细）'!C:C&gt;=$J$4,'领用录入（明细）'!C:C&lt;=$L$4),ROW(),"-")</f>
        <v>-</v>
      </c>
    </row>
    <row r="11193" customHeight="1" spans="2:2">
      <c r="B11193" s="62" t="str">
        <f>IF(AND('领用录入（明细）'!D:D=$F$4,'领用录入（明细）'!C:C&gt;=$J$4,'领用录入（明细）'!C:C&lt;=$L$4),ROW(),"-")</f>
        <v>-</v>
      </c>
    </row>
    <row r="11194" customHeight="1" spans="2:2">
      <c r="B11194" s="62" t="str">
        <f>IF(AND('领用录入（明细）'!D:D=$F$4,'领用录入（明细）'!C:C&gt;=$J$4,'领用录入（明细）'!C:C&lt;=$L$4),ROW(),"-")</f>
        <v>-</v>
      </c>
    </row>
    <row r="11195" customHeight="1" spans="2:2">
      <c r="B11195" s="62" t="str">
        <f>IF(AND('领用录入（明细）'!D:D=$F$4,'领用录入（明细）'!C:C&gt;=$J$4,'领用录入（明细）'!C:C&lt;=$L$4),ROW(),"-")</f>
        <v>-</v>
      </c>
    </row>
    <row r="11196" customHeight="1" spans="2:2">
      <c r="B11196" s="62" t="str">
        <f>IF(AND('领用录入（明细）'!D:D=$F$4,'领用录入（明细）'!C:C&gt;=$J$4,'领用录入（明细）'!C:C&lt;=$L$4),ROW(),"-")</f>
        <v>-</v>
      </c>
    </row>
    <row r="11197" customHeight="1" spans="2:2">
      <c r="B11197" s="62" t="str">
        <f>IF(AND('领用录入（明细）'!D:D=$F$4,'领用录入（明细）'!C:C&gt;=$J$4,'领用录入（明细）'!C:C&lt;=$L$4),ROW(),"-")</f>
        <v>-</v>
      </c>
    </row>
    <row r="11198" customHeight="1" spans="2:2">
      <c r="B11198" s="62" t="str">
        <f>IF(AND('领用录入（明细）'!D:D=$F$4,'领用录入（明细）'!C:C&gt;=$J$4,'领用录入（明细）'!C:C&lt;=$L$4),ROW(),"-")</f>
        <v>-</v>
      </c>
    </row>
    <row r="11199" customHeight="1" spans="2:2">
      <c r="B11199" s="62" t="str">
        <f>IF(AND('领用录入（明细）'!D:D=$F$4,'领用录入（明细）'!C:C&gt;=$J$4,'领用录入（明细）'!C:C&lt;=$L$4),ROW(),"-")</f>
        <v>-</v>
      </c>
    </row>
    <row r="11200" customHeight="1" spans="2:2">
      <c r="B11200" s="62" t="str">
        <f>IF(AND('领用录入（明细）'!D:D=$F$4,'领用录入（明细）'!C:C&gt;=$J$4,'领用录入（明细）'!C:C&lt;=$L$4),ROW(),"-")</f>
        <v>-</v>
      </c>
    </row>
    <row r="11201" customHeight="1" spans="2:2">
      <c r="B11201" s="62" t="str">
        <f>IF(AND('领用录入（明细）'!D:D=$F$4,'领用录入（明细）'!C:C&gt;=$J$4,'领用录入（明细）'!C:C&lt;=$L$4),ROW(),"-")</f>
        <v>-</v>
      </c>
    </row>
    <row r="11202" customHeight="1" spans="2:2">
      <c r="B11202" s="62" t="str">
        <f>IF(AND('领用录入（明细）'!D:D=$F$4,'领用录入（明细）'!C:C&gt;=$J$4,'领用录入（明细）'!C:C&lt;=$L$4),ROW(),"-")</f>
        <v>-</v>
      </c>
    </row>
    <row r="11203" customHeight="1" spans="2:2">
      <c r="B11203" s="62" t="str">
        <f>IF(AND('领用录入（明细）'!D:D=$F$4,'领用录入（明细）'!C:C&gt;=$J$4,'领用录入（明细）'!C:C&lt;=$L$4),ROW(),"-")</f>
        <v>-</v>
      </c>
    </row>
    <row r="11204" customHeight="1" spans="2:2">
      <c r="B11204" s="62" t="str">
        <f>IF(AND('领用录入（明细）'!D:D=$F$4,'领用录入（明细）'!C:C&gt;=$J$4,'领用录入（明细）'!C:C&lt;=$L$4),ROW(),"-")</f>
        <v>-</v>
      </c>
    </row>
    <row r="11205" customHeight="1" spans="2:2">
      <c r="B11205" s="62" t="str">
        <f>IF(AND('领用录入（明细）'!D:D=$F$4,'领用录入（明细）'!C:C&gt;=$J$4,'领用录入（明细）'!C:C&lt;=$L$4),ROW(),"-")</f>
        <v>-</v>
      </c>
    </row>
    <row r="11206" customHeight="1" spans="2:2">
      <c r="B11206" s="62" t="str">
        <f>IF(AND('领用录入（明细）'!D:D=$F$4,'领用录入（明细）'!C:C&gt;=$J$4,'领用录入（明细）'!C:C&lt;=$L$4),ROW(),"-")</f>
        <v>-</v>
      </c>
    </row>
    <row r="11207" customHeight="1" spans="2:2">
      <c r="B11207" s="62" t="str">
        <f>IF(AND('领用录入（明细）'!D:D=$F$4,'领用录入（明细）'!C:C&gt;=$J$4,'领用录入（明细）'!C:C&lt;=$L$4),ROW(),"-")</f>
        <v>-</v>
      </c>
    </row>
    <row r="11208" customHeight="1" spans="2:2">
      <c r="B11208" s="62" t="str">
        <f>IF(AND('领用录入（明细）'!D:D=$F$4,'领用录入（明细）'!C:C&gt;=$J$4,'领用录入（明细）'!C:C&lt;=$L$4),ROW(),"-")</f>
        <v>-</v>
      </c>
    </row>
    <row r="11209" customHeight="1" spans="2:2">
      <c r="B11209" s="62" t="str">
        <f>IF(AND('领用录入（明细）'!D:D=$F$4,'领用录入（明细）'!C:C&gt;=$J$4,'领用录入（明细）'!C:C&lt;=$L$4),ROW(),"-")</f>
        <v>-</v>
      </c>
    </row>
    <row r="11210" customHeight="1" spans="2:2">
      <c r="B11210" s="62" t="str">
        <f>IF(AND('领用录入（明细）'!D:D=$F$4,'领用录入（明细）'!C:C&gt;=$J$4,'领用录入（明细）'!C:C&lt;=$L$4),ROW(),"-")</f>
        <v>-</v>
      </c>
    </row>
    <row r="11211" customHeight="1" spans="2:2">
      <c r="B11211" s="62" t="str">
        <f>IF(AND('领用录入（明细）'!D:D=$F$4,'领用录入（明细）'!C:C&gt;=$J$4,'领用录入（明细）'!C:C&lt;=$L$4),ROW(),"-")</f>
        <v>-</v>
      </c>
    </row>
    <row r="11212" customHeight="1" spans="2:2">
      <c r="B11212" s="62" t="str">
        <f>IF(AND('领用录入（明细）'!D:D=$F$4,'领用录入（明细）'!C:C&gt;=$J$4,'领用录入（明细）'!C:C&lt;=$L$4),ROW(),"-")</f>
        <v>-</v>
      </c>
    </row>
    <row r="11213" customHeight="1" spans="2:2">
      <c r="B11213" s="62" t="str">
        <f>IF(AND('领用录入（明细）'!D:D=$F$4,'领用录入（明细）'!C:C&gt;=$J$4,'领用录入（明细）'!C:C&lt;=$L$4),ROW(),"-")</f>
        <v>-</v>
      </c>
    </row>
    <row r="11214" customHeight="1" spans="2:2">
      <c r="B11214" s="62" t="str">
        <f>IF(AND('领用录入（明细）'!D:D=$F$4,'领用录入（明细）'!C:C&gt;=$J$4,'领用录入（明细）'!C:C&lt;=$L$4),ROW(),"-")</f>
        <v>-</v>
      </c>
    </row>
    <row r="11215" customHeight="1" spans="2:2">
      <c r="B11215" s="62" t="str">
        <f>IF(AND('领用录入（明细）'!D:D=$F$4,'领用录入（明细）'!C:C&gt;=$J$4,'领用录入（明细）'!C:C&lt;=$L$4),ROW(),"-")</f>
        <v>-</v>
      </c>
    </row>
    <row r="11216" customHeight="1" spans="2:2">
      <c r="B11216" s="62" t="str">
        <f>IF(AND('领用录入（明细）'!D:D=$F$4,'领用录入（明细）'!C:C&gt;=$J$4,'领用录入（明细）'!C:C&lt;=$L$4),ROW(),"-")</f>
        <v>-</v>
      </c>
    </row>
    <row r="11217" customHeight="1" spans="2:2">
      <c r="B11217" s="62" t="str">
        <f>IF(AND('领用录入（明细）'!D:D=$F$4,'领用录入（明细）'!C:C&gt;=$J$4,'领用录入（明细）'!C:C&lt;=$L$4),ROW(),"-")</f>
        <v>-</v>
      </c>
    </row>
    <row r="11218" customHeight="1" spans="2:2">
      <c r="B11218" s="62" t="str">
        <f>IF(AND('领用录入（明细）'!D:D=$F$4,'领用录入（明细）'!C:C&gt;=$J$4,'领用录入（明细）'!C:C&lt;=$L$4),ROW(),"-")</f>
        <v>-</v>
      </c>
    </row>
    <row r="11219" customHeight="1" spans="2:2">
      <c r="B11219" s="62" t="str">
        <f>IF(AND('领用录入（明细）'!D:D=$F$4,'领用录入（明细）'!C:C&gt;=$J$4,'领用录入（明细）'!C:C&lt;=$L$4),ROW(),"-")</f>
        <v>-</v>
      </c>
    </row>
    <row r="11220" customHeight="1" spans="2:2">
      <c r="B11220" s="62" t="str">
        <f>IF(AND('领用录入（明细）'!D:D=$F$4,'领用录入（明细）'!C:C&gt;=$J$4,'领用录入（明细）'!C:C&lt;=$L$4),ROW(),"-")</f>
        <v>-</v>
      </c>
    </row>
    <row r="11221" customHeight="1" spans="2:2">
      <c r="B11221" s="62" t="str">
        <f>IF(AND('领用录入（明细）'!D:D=$F$4,'领用录入（明细）'!C:C&gt;=$J$4,'领用录入（明细）'!C:C&lt;=$L$4),ROW(),"-")</f>
        <v>-</v>
      </c>
    </row>
    <row r="11222" customHeight="1" spans="2:2">
      <c r="B11222" s="62" t="str">
        <f>IF(AND('领用录入（明细）'!D:D=$F$4,'领用录入（明细）'!C:C&gt;=$J$4,'领用录入（明细）'!C:C&lt;=$L$4),ROW(),"-")</f>
        <v>-</v>
      </c>
    </row>
    <row r="11223" customHeight="1" spans="2:2">
      <c r="B11223" s="62" t="str">
        <f>IF(AND('领用录入（明细）'!D:D=$F$4,'领用录入（明细）'!C:C&gt;=$J$4,'领用录入（明细）'!C:C&lt;=$L$4),ROW(),"-")</f>
        <v>-</v>
      </c>
    </row>
    <row r="11224" customHeight="1" spans="2:2">
      <c r="B11224" s="62" t="str">
        <f>IF(AND('领用录入（明细）'!D:D=$F$4,'领用录入（明细）'!C:C&gt;=$J$4,'领用录入（明细）'!C:C&lt;=$L$4),ROW(),"-")</f>
        <v>-</v>
      </c>
    </row>
    <row r="11225" customHeight="1" spans="2:2">
      <c r="B11225" s="62" t="str">
        <f>IF(AND('领用录入（明细）'!D:D=$F$4,'领用录入（明细）'!C:C&gt;=$J$4,'领用录入（明细）'!C:C&lt;=$L$4),ROW(),"-")</f>
        <v>-</v>
      </c>
    </row>
    <row r="11226" customHeight="1" spans="2:2">
      <c r="B11226" s="62" t="str">
        <f>IF(AND('领用录入（明细）'!D:D=$F$4,'领用录入（明细）'!C:C&gt;=$J$4,'领用录入（明细）'!C:C&lt;=$L$4),ROW(),"-")</f>
        <v>-</v>
      </c>
    </row>
    <row r="11227" customHeight="1" spans="2:2">
      <c r="B11227" s="62" t="str">
        <f>IF(AND('领用录入（明细）'!D:D=$F$4,'领用录入（明细）'!C:C&gt;=$J$4,'领用录入（明细）'!C:C&lt;=$L$4),ROW(),"-")</f>
        <v>-</v>
      </c>
    </row>
    <row r="11228" customHeight="1" spans="2:2">
      <c r="B11228" s="62" t="str">
        <f>IF(AND('领用录入（明细）'!D:D=$F$4,'领用录入（明细）'!C:C&gt;=$J$4,'领用录入（明细）'!C:C&lt;=$L$4),ROW(),"-")</f>
        <v>-</v>
      </c>
    </row>
    <row r="11229" customHeight="1" spans="2:2">
      <c r="B11229" s="62" t="str">
        <f>IF(AND('领用录入（明细）'!D:D=$F$4,'领用录入（明细）'!C:C&gt;=$J$4,'领用录入（明细）'!C:C&lt;=$L$4),ROW(),"-")</f>
        <v>-</v>
      </c>
    </row>
    <row r="11230" customHeight="1" spans="2:2">
      <c r="B11230" s="62" t="str">
        <f>IF(AND('领用录入（明细）'!D:D=$F$4,'领用录入（明细）'!C:C&gt;=$J$4,'领用录入（明细）'!C:C&lt;=$L$4),ROW(),"-")</f>
        <v>-</v>
      </c>
    </row>
    <row r="11231" customHeight="1" spans="2:2">
      <c r="B11231" s="62" t="str">
        <f>IF(AND('领用录入（明细）'!D:D=$F$4,'领用录入（明细）'!C:C&gt;=$J$4,'领用录入（明细）'!C:C&lt;=$L$4),ROW(),"-")</f>
        <v>-</v>
      </c>
    </row>
    <row r="11232" customHeight="1" spans="2:2">
      <c r="B11232" s="62" t="str">
        <f>IF(AND('领用录入（明细）'!D:D=$F$4,'领用录入（明细）'!C:C&gt;=$J$4,'领用录入（明细）'!C:C&lt;=$L$4),ROW(),"-")</f>
        <v>-</v>
      </c>
    </row>
    <row r="11233" customHeight="1" spans="2:2">
      <c r="B11233" s="62" t="str">
        <f>IF(AND('领用录入（明细）'!D:D=$F$4,'领用录入（明细）'!C:C&gt;=$J$4,'领用录入（明细）'!C:C&lt;=$L$4),ROW(),"-")</f>
        <v>-</v>
      </c>
    </row>
    <row r="11234" customHeight="1" spans="2:2">
      <c r="B11234" s="62" t="str">
        <f>IF(AND('领用录入（明细）'!D:D=$F$4,'领用录入（明细）'!C:C&gt;=$J$4,'领用录入（明细）'!C:C&lt;=$L$4),ROW(),"-")</f>
        <v>-</v>
      </c>
    </row>
    <row r="11235" customHeight="1" spans="2:2">
      <c r="B11235" s="62" t="str">
        <f>IF(AND('领用录入（明细）'!D:D=$F$4,'领用录入（明细）'!C:C&gt;=$J$4,'领用录入（明细）'!C:C&lt;=$L$4),ROW(),"-")</f>
        <v>-</v>
      </c>
    </row>
    <row r="11236" customHeight="1" spans="2:2">
      <c r="B11236" s="62" t="str">
        <f>IF(AND('领用录入（明细）'!D:D=$F$4,'领用录入（明细）'!C:C&gt;=$J$4,'领用录入（明细）'!C:C&lt;=$L$4),ROW(),"-")</f>
        <v>-</v>
      </c>
    </row>
    <row r="11237" customHeight="1" spans="2:2">
      <c r="B11237" s="62" t="str">
        <f>IF(AND('领用录入（明细）'!D:D=$F$4,'领用录入（明细）'!C:C&gt;=$J$4,'领用录入（明细）'!C:C&lt;=$L$4),ROW(),"-")</f>
        <v>-</v>
      </c>
    </row>
    <row r="11238" customHeight="1" spans="2:2">
      <c r="B11238" s="62" t="str">
        <f>IF(AND('领用录入（明细）'!D:D=$F$4,'领用录入（明细）'!C:C&gt;=$J$4,'领用录入（明细）'!C:C&lt;=$L$4),ROW(),"-")</f>
        <v>-</v>
      </c>
    </row>
    <row r="11239" customHeight="1" spans="2:2">
      <c r="B11239" s="62" t="str">
        <f>IF(AND('领用录入（明细）'!D:D=$F$4,'领用录入（明细）'!C:C&gt;=$J$4,'领用录入（明细）'!C:C&lt;=$L$4),ROW(),"-")</f>
        <v>-</v>
      </c>
    </row>
    <row r="11240" customHeight="1" spans="2:2">
      <c r="B11240" s="62" t="str">
        <f>IF(AND('领用录入（明细）'!D:D=$F$4,'领用录入（明细）'!C:C&gt;=$J$4,'领用录入（明细）'!C:C&lt;=$L$4),ROW(),"-")</f>
        <v>-</v>
      </c>
    </row>
    <row r="11241" customHeight="1" spans="2:2">
      <c r="B11241" s="62" t="str">
        <f>IF(AND('领用录入（明细）'!D:D=$F$4,'领用录入（明细）'!C:C&gt;=$J$4,'领用录入（明细）'!C:C&lt;=$L$4),ROW(),"-")</f>
        <v>-</v>
      </c>
    </row>
    <row r="11242" customHeight="1" spans="2:2">
      <c r="B11242" s="62" t="str">
        <f>IF(AND('领用录入（明细）'!D:D=$F$4,'领用录入（明细）'!C:C&gt;=$J$4,'领用录入（明细）'!C:C&lt;=$L$4),ROW(),"-")</f>
        <v>-</v>
      </c>
    </row>
    <row r="11243" customHeight="1" spans="2:2">
      <c r="B11243" s="62" t="str">
        <f>IF(AND('领用录入（明细）'!D:D=$F$4,'领用录入（明细）'!C:C&gt;=$J$4,'领用录入（明细）'!C:C&lt;=$L$4),ROW(),"-")</f>
        <v>-</v>
      </c>
    </row>
    <row r="11244" customHeight="1" spans="2:2">
      <c r="B11244" s="62" t="str">
        <f>IF(AND('领用录入（明细）'!D:D=$F$4,'领用录入（明细）'!C:C&gt;=$J$4,'领用录入（明细）'!C:C&lt;=$L$4),ROW(),"-")</f>
        <v>-</v>
      </c>
    </row>
    <row r="11245" customHeight="1" spans="2:2">
      <c r="B11245" s="62" t="str">
        <f>IF(AND('领用录入（明细）'!D:D=$F$4,'领用录入（明细）'!C:C&gt;=$J$4,'领用录入（明细）'!C:C&lt;=$L$4),ROW(),"-")</f>
        <v>-</v>
      </c>
    </row>
    <row r="11246" customHeight="1" spans="2:2">
      <c r="B11246" s="62" t="str">
        <f>IF(AND('领用录入（明细）'!D:D=$F$4,'领用录入（明细）'!C:C&gt;=$J$4,'领用录入（明细）'!C:C&lt;=$L$4),ROW(),"-")</f>
        <v>-</v>
      </c>
    </row>
    <row r="11247" customHeight="1" spans="2:2">
      <c r="B11247" s="62" t="str">
        <f>IF(AND('领用录入（明细）'!D:D=$F$4,'领用录入（明细）'!C:C&gt;=$J$4,'领用录入（明细）'!C:C&lt;=$L$4),ROW(),"-")</f>
        <v>-</v>
      </c>
    </row>
    <row r="11248" customHeight="1" spans="2:2">
      <c r="B11248" s="62" t="str">
        <f>IF(AND('领用录入（明细）'!D:D=$F$4,'领用录入（明细）'!C:C&gt;=$J$4,'领用录入（明细）'!C:C&lt;=$L$4),ROW(),"-")</f>
        <v>-</v>
      </c>
    </row>
    <row r="11249" customHeight="1" spans="2:2">
      <c r="B11249" s="62" t="str">
        <f>IF(AND('领用录入（明细）'!D:D=$F$4,'领用录入（明细）'!C:C&gt;=$J$4,'领用录入（明细）'!C:C&lt;=$L$4),ROW(),"-")</f>
        <v>-</v>
      </c>
    </row>
    <row r="11250" customHeight="1" spans="2:2">
      <c r="B11250" s="62" t="str">
        <f>IF(AND('领用录入（明细）'!D:D=$F$4,'领用录入（明细）'!C:C&gt;=$J$4,'领用录入（明细）'!C:C&lt;=$L$4),ROW(),"-")</f>
        <v>-</v>
      </c>
    </row>
    <row r="11251" customHeight="1" spans="2:2">
      <c r="B11251" s="62" t="str">
        <f>IF(AND('领用录入（明细）'!D:D=$F$4,'领用录入（明细）'!C:C&gt;=$J$4,'领用录入（明细）'!C:C&lt;=$L$4),ROW(),"-")</f>
        <v>-</v>
      </c>
    </row>
    <row r="11252" customHeight="1" spans="2:2">
      <c r="B11252" s="62" t="str">
        <f>IF(AND('领用录入（明细）'!D:D=$F$4,'领用录入（明细）'!C:C&gt;=$J$4,'领用录入（明细）'!C:C&lt;=$L$4),ROW(),"-")</f>
        <v>-</v>
      </c>
    </row>
    <row r="11253" customHeight="1" spans="2:2">
      <c r="B11253" s="62" t="str">
        <f>IF(AND('领用录入（明细）'!D:D=$F$4,'领用录入（明细）'!C:C&gt;=$J$4,'领用录入（明细）'!C:C&lt;=$L$4),ROW(),"-")</f>
        <v>-</v>
      </c>
    </row>
    <row r="11254" customHeight="1" spans="2:2">
      <c r="B11254" s="62" t="str">
        <f>IF(AND('领用录入（明细）'!D:D=$F$4,'领用录入（明细）'!C:C&gt;=$J$4,'领用录入（明细）'!C:C&lt;=$L$4),ROW(),"-")</f>
        <v>-</v>
      </c>
    </row>
    <row r="11255" customHeight="1" spans="2:2">
      <c r="B11255" s="62" t="str">
        <f>IF(AND('领用录入（明细）'!D:D=$F$4,'领用录入（明细）'!C:C&gt;=$J$4,'领用录入（明细）'!C:C&lt;=$L$4),ROW(),"-")</f>
        <v>-</v>
      </c>
    </row>
    <row r="11256" customHeight="1" spans="2:2">
      <c r="B11256" s="62" t="str">
        <f>IF(AND('领用录入（明细）'!D:D=$F$4,'领用录入（明细）'!C:C&gt;=$J$4,'领用录入（明细）'!C:C&lt;=$L$4),ROW(),"-")</f>
        <v>-</v>
      </c>
    </row>
    <row r="11257" customHeight="1" spans="2:2">
      <c r="B11257" s="62" t="str">
        <f>IF(AND('领用录入（明细）'!D:D=$F$4,'领用录入（明细）'!C:C&gt;=$J$4,'领用录入（明细）'!C:C&lt;=$L$4),ROW(),"-")</f>
        <v>-</v>
      </c>
    </row>
    <row r="11258" customHeight="1" spans="2:2">
      <c r="B11258" s="62" t="str">
        <f>IF(AND('领用录入（明细）'!D:D=$F$4,'领用录入（明细）'!C:C&gt;=$J$4,'领用录入（明细）'!C:C&lt;=$L$4),ROW(),"-")</f>
        <v>-</v>
      </c>
    </row>
    <row r="11259" customHeight="1" spans="2:2">
      <c r="B11259" s="62" t="str">
        <f>IF(AND('领用录入（明细）'!D:D=$F$4,'领用录入（明细）'!C:C&gt;=$J$4,'领用录入（明细）'!C:C&lt;=$L$4),ROW(),"-")</f>
        <v>-</v>
      </c>
    </row>
    <row r="11260" customHeight="1" spans="2:2">
      <c r="B11260" s="62" t="str">
        <f>IF(AND('领用录入（明细）'!D:D=$F$4,'领用录入（明细）'!C:C&gt;=$J$4,'领用录入（明细）'!C:C&lt;=$L$4),ROW(),"-")</f>
        <v>-</v>
      </c>
    </row>
    <row r="11261" customHeight="1" spans="2:2">
      <c r="B11261" s="62" t="str">
        <f>IF(AND('领用录入（明细）'!D:D=$F$4,'领用录入（明细）'!C:C&gt;=$J$4,'领用录入（明细）'!C:C&lt;=$L$4),ROW(),"-")</f>
        <v>-</v>
      </c>
    </row>
    <row r="11262" customHeight="1" spans="2:2">
      <c r="B11262" s="62" t="str">
        <f>IF(AND('领用录入（明细）'!D:D=$F$4,'领用录入（明细）'!C:C&gt;=$J$4,'领用录入（明细）'!C:C&lt;=$L$4),ROW(),"-")</f>
        <v>-</v>
      </c>
    </row>
    <row r="11263" customHeight="1" spans="2:2">
      <c r="B11263" s="62" t="str">
        <f>IF(AND('领用录入（明细）'!D:D=$F$4,'领用录入（明细）'!C:C&gt;=$J$4,'领用录入（明细）'!C:C&lt;=$L$4),ROW(),"-")</f>
        <v>-</v>
      </c>
    </row>
    <row r="11264" customHeight="1" spans="2:2">
      <c r="B11264" s="62" t="str">
        <f>IF(AND('领用录入（明细）'!D:D=$F$4,'领用录入（明细）'!C:C&gt;=$J$4,'领用录入（明细）'!C:C&lt;=$L$4),ROW(),"-")</f>
        <v>-</v>
      </c>
    </row>
    <row r="11265" customHeight="1" spans="2:2">
      <c r="B11265" s="62" t="str">
        <f>IF(AND('领用录入（明细）'!D:D=$F$4,'领用录入（明细）'!C:C&gt;=$J$4,'领用录入（明细）'!C:C&lt;=$L$4),ROW(),"-")</f>
        <v>-</v>
      </c>
    </row>
    <row r="11266" customHeight="1" spans="2:2">
      <c r="B11266" s="62" t="str">
        <f>IF(AND('领用录入（明细）'!D:D=$F$4,'领用录入（明细）'!C:C&gt;=$J$4,'领用录入（明细）'!C:C&lt;=$L$4),ROW(),"-")</f>
        <v>-</v>
      </c>
    </row>
    <row r="11267" customHeight="1" spans="2:2">
      <c r="B11267" s="62" t="str">
        <f>IF(AND('领用录入（明细）'!D:D=$F$4,'领用录入（明细）'!C:C&gt;=$J$4,'领用录入（明细）'!C:C&lt;=$L$4),ROW(),"-")</f>
        <v>-</v>
      </c>
    </row>
    <row r="11268" customHeight="1" spans="2:2">
      <c r="B11268" s="62" t="str">
        <f>IF(AND('领用录入（明细）'!D:D=$F$4,'领用录入（明细）'!C:C&gt;=$J$4,'领用录入（明细）'!C:C&lt;=$L$4),ROW(),"-")</f>
        <v>-</v>
      </c>
    </row>
    <row r="11269" customHeight="1" spans="2:2">
      <c r="B11269" s="62" t="str">
        <f>IF(AND('领用录入（明细）'!D:D=$F$4,'领用录入（明细）'!C:C&gt;=$J$4,'领用录入（明细）'!C:C&lt;=$L$4),ROW(),"-")</f>
        <v>-</v>
      </c>
    </row>
    <row r="11270" customHeight="1" spans="2:2">
      <c r="B11270" s="62" t="str">
        <f>IF(AND('领用录入（明细）'!D:D=$F$4,'领用录入（明细）'!C:C&gt;=$J$4,'领用录入（明细）'!C:C&lt;=$L$4),ROW(),"-")</f>
        <v>-</v>
      </c>
    </row>
    <row r="11271" customHeight="1" spans="2:2">
      <c r="B11271" s="62" t="str">
        <f>IF(AND('领用录入（明细）'!D:D=$F$4,'领用录入（明细）'!C:C&gt;=$J$4,'领用录入（明细）'!C:C&lt;=$L$4),ROW(),"-")</f>
        <v>-</v>
      </c>
    </row>
    <row r="11272" customHeight="1" spans="2:2">
      <c r="B11272" s="62" t="str">
        <f>IF(AND('领用录入（明细）'!D:D=$F$4,'领用录入（明细）'!C:C&gt;=$J$4,'领用录入（明细）'!C:C&lt;=$L$4),ROW(),"-")</f>
        <v>-</v>
      </c>
    </row>
    <row r="11273" customHeight="1" spans="2:2">
      <c r="B11273" s="62" t="str">
        <f>IF(AND('领用录入（明细）'!D:D=$F$4,'领用录入（明细）'!C:C&gt;=$J$4,'领用录入（明细）'!C:C&lt;=$L$4),ROW(),"-")</f>
        <v>-</v>
      </c>
    </row>
    <row r="11274" customHeight="1" spans="2:2">
      <c r="B11274" s="62" t="str">
        <f>IF(AND('领用录入（明细）'!D:D=$F$4,'领用录入（明细）'!C:C&gt;=$J$4,'领用录入（明细）'!C:C&lt;=$L$4),ROW(),"-")</f>
        <v>-</v>
      </c>
    </row>
    <row r="11275" customHeight="1" spans="2:2">
      <c r="B11275" s="62" t="str">
        <f>IF(AND('领用录入（明细）'!D:D=$F$4,'领用录入（明细）'!C:C&gt;=$J$4,'领用录入（明细）'!C:C&lt;=$L$4),ROW(),"-")</f>
        <v>-</v>
      </c>
    </row>
    <row r="11276" customHeight="1" spans="2:2">
      <c r="B11276" s="62" t="str">
        <f>IF(AND('领用录入（明细）'!D:D=$F$4,'领用录入（明细）'!C:C&gt;=$J$4,'领用录入（明细）'!C:C&lt;=$L$4),ROW(),"-")</f>
        <v>-</v>
      </c>
    </row>
    <row r="11277" customHeight="1" spans="2:2">
      <c r="B11277" s="62" t="str">
        <f>IF(AND('领用录入（明细）'!D:D=$F$4,'领用录入（明细）'!C:C&gt;=$J$4,'领用录入（明细）'!C:C&lt;=$L$4),ROW(),"-")</f>
        <v>-</v>
      </c>
    </row>
    <row r="11278" customHeight="1" spans="2:2">
      <c r="B11278" s="62" t="str">
        <f>IF(AND('领用录入（明细）'!D:D=$F$4,'领用录入（明细）'!C:C&gt;=$J$4,'领用录入（明细）'!C:C&lt;=$L$4),ROW(),"-")</f>
        <v>-</v>
      </c>
    </row>
    <row r="11279" customHeight="1" spans="2:2">
      <c r="B11279" s="62" t="str">
        <f>IF(AND('领用录入（明细）'!D:D=$F$4,'领用录入（明细）'!C:C&gt;=$J$4,'领用录入（明细）'!C:C&lt;=$L$4),ROW(),"-")</f>
        <v>-</v>
      </c>
    </row>
    <row r="11280" customHeight="1" spans="2:2">
      <c r="B11280" s="62" t="str">
        <f>IF(AND('领用录入（明细）'!D:D=$F$4,'领用录入（明细）'!C:C&gt;=$J$4,'领用录入（明细）'!C:C&lt;=$L$4),ROW(),"-")</f>
        <v>-</v>
      </c>
    </row>
    <row r="11281" customHeight="1" spans="2:2">
      <c r="B11281" s="62" t="str">
        <f>IF(AND('领用录入（明细）'!D:D=$F$4,'领用录入（明细）'!C:C&gt;=$J$4,'领用录入（明细）'!C:C&lt;=$L$4),ROW(),"-")</f>
        <v>-</v>
      </c>
    </row>
    <row r="11282" customHeight="1" spans="2:2">
      <c r="B11282" s="62" t="str">
        <f>IF(AND('领用录入（明细）'!D:D=$F$4,'领用录入（明细）'!C:C&gt;=$J$4,'领用录入（明细）'!C:C&lt;=$L$4),ROW(),"-")</f>
        <v>-</v>
      </c>
    </row>
    <row r="11283" customHeight="1" spans="2:2">
      <c r="B11283" s="62" t="str">
        <f>IF(AND('领用录入（明细）'!D:D=$F$4,'领用录入（明细）'!C:C&gt;=$J$4,'领用录入（明细）'!C:C&lt;=$L$4),ROW(),"-")</f>
        <v>-</v>
      </c>
    </row>
    <row r="11284" customHeight="1" spans="2:2">
      <c r="B11284" s="62" t="str">
        <f>IF(AND('领用录入（明细）'!D:D=$F$4,'领用录入（明细）'!C:C&gt;=$J$4,'领用录入（明细）'!C:C&lt;=$L$4),ROW(),"-")</f>
        <v>-</v>
      </c>
    </row>
    <row r="11285" customHeight="1" spans="2:2">
      <c r="B11285" s="62" t="str">
        <f>IF(AND('领用录入（明细）'!D:D=$F$4,'领用录入（明细）'!C:C&gt;=$J$4,'领用录入（明细）'!C:C&lt;=$L$4),ROW(),"-")</f>
        <v>-</v>
      </c>
    </row>
    <row r="11286" customHeight="1" spans="2:2">
      <c r="B11286" s="62" t="str">
        <f>IF(AND('领用录入（明细）'!D:D=$F$4,'领用录入（明细）'!C:C&gt;=$J$4,'领用录入（明细）'!C:C&lt;=$L$4),ROW(),"-")</f>
        <v>-</v>
      </c>
    </row>
    <row r="11287" customHeight="1" spans="2:2">
      <c r="B11287" s="62" t="str">
        <f>IF(AND('领用录入（明细）'!D:D=$F$4,'领用录入（明细）'!C:C&gt;=$J$4,'领用录入（明细）'!C:C&lt;=$L$4),ROW(),"-")</f>
        <v>-</v>
      </c>
    </row>
    <row r="11288" customHeight="1" spans="2:2">
      <c r="B11288" s="62" t="str">
        <f>IF(AND('领用录入（明细）'!D:D=$F$4,'领用录入（明细）'!C:C&gt;=$J$4,'领用录入（明细）'!C:C&lt;=$L$4),ROW(),"-")</f>
        <v>-</v>
      </c>
    </row>
    <row r="11289" customHeight="1" spans="2:2">
      <c r="B11289" s="62" t="str">
        <f>IF(AND('领用录入（明细）'!D:D=$F$4,'领用录入（明细）'!C:C&gt;=$J$4,'领用录入（明细）'!C:C&lt;=$L$4),ROW(),"-")</f>
        <v>-</v>
      </c>
    </row>
    <row r="11290" customHeight="1" spans="2:2">
      <c r="B11290" s="62" t="str">
        <f>IF(AND('领用录入（明细）'!D:D=$F$4,'领用录入（明细）'!C:C&gt;=$J$4,'领用录入（明细）'!C:C&lt;=$L$4),ROW(),"-")</f>
        <v>-</v>
      </c>
    </row>
    <row r="11291" customHeight="1" spans="2:2">
      <c r="B11291" s="62" t="str">
        <f>IF(AND('领用录入（明细）'!D:D=$F$4,'领用录入（明细）'!C:C&gt;=$J$4,'领用录入（明细）'!C:C&lt;=$L$4),ROW(),"-")</f>
        <v>-</v>
      </c>
    </row>
    <row r="11292" customHeight="1" spans="2:2">
      <c r="B11292" s="62" t="str">
        <f>IF(AND('领用录入（明细）'!D:D=$F$4,'领用录入（明细）'!C:C&gt;=$J$4,'领用录入（明细）'!C:C&lt;=$L$4),ROW(),"-")</f>
        <v>-</v>
      </c>
    </row>
    <row r="11293" customHeight="1" spans="2:2">
      <c r="B11293" s="62" t="str">
        <f>IF(AND('领用录入（明细）'!D:D=$F$4,'领用录入（明细）'!C:C&gt;=$J$4,'领用录入（明细）'!C:C&lt;=$L$4),ROW(),"-")</f>
        <v>-</v>
      </c>
    </row>
    <row r="11294" customHeight="1" spans="2:2">
      <c r="B11294" s="62" t="str">
        <f>IF(AND('领用录入（明细）'!D:D=$F$4,'领用录入（明细）'!C:C&gt;=$J$4,'领用录入（明细）'!C:C&lt;=$L$4),ROW(),"-")</f>
        <v>-</v>
      </c>
    </row>
    <row r="11295" customHeight="1" spans="2:2">
      <c r="B11295" s="62" t="str">
        <f>IF(AND('领用录入（明细）'!D:D=$F$4,'领用录入（明细）'!C:C&gt;=$J$4,'领用录入（明细）'!C:C&lt;=$L$4),ROW(),"-")</f>
        <v>-</v>
      </c>
    </row>
    <row r="11296" customHeight="1" spans="2:2">
      <c r="B11296" s="62" t="str">
        <f>IF(AND('领用录入（明细）'!D:D=$F$4,'领用录入（明细）'!C:C&gt;=$J$4,'领用录入（明细）'!C:C&lt;=$L$4),ROW(),"-")</f>
        <v>-</v>
      </c>
    </row>
    <row r="11297" customHeight="1" spans="2:2">
      <c r="B11297" s="62" t="str">
        <f>IF(AND('领用录入（明细）'!D:D=$F$4,'领用录入（明细）'!C:C&gt;=$J$4,'领用录入（明细）'!C:C&lt;=$L$4),ROW(),"-")</f>
        <v>-</v>
      </c>
    </row>
    <row r="11298" customHeight="1" spans="2:2">
      <c r="B11298" s="62" t="str">
        <f>IF(AND('领用录入（明细）'!D:D=$F$4,'领用录入（明细）'!C:C&gt;=$J$4,'领用录入（明细）'!C:C&lt;=$L$4),ROW(),"-")</f>
        <v>-</v>
      </c>
    </row>
    <row r="11299" customHeight="1" spans="2:2">
      <c r="B11299" s="62" t="str">
        <f>IF(AND('领用录入（明细）'!D:D=$F$4,'领用录入（明细）'!C:C&gt;=$J$4,'领用录入（明细）'!C:C&lt;=$L$4),ROW(),"-")</f>
        <v>-</v>
      </c>
    </row>
    <row r="11300" customHeight="1" spans="2:2">
      <c r="B11300" s="62" t="str">
        <f>IF(AND('领用录入（明细）'!D:D=$F$4,'领用录入（明细）'!C:C&gt;=$J$4,'领用录入（明细）'!C:C&lt;=$L$4),ROW(),"-")</f>
        <v>-</v>
      </c>
    </row>
    <row r="11301" customHeight="1" spans="2:2">
      <c r="B11301" s="62" t="str">
        <f>IF(AND('领用录入（明细）'!D:D=$F$4,'领用录入（明细）'!C:C&gt;=$J$4,'领用录入（明细）'!C:C&lt;=$L$4),ROW(),"-")</f>
        <v>-</v>
      </c>
    </row>
    <row r="11302" customHeight="1" spans="2:2">
      <c r="B11302" s="62" t="str">
        <f>IF(AND('领用录入（明细）'!D:D=$F$4,'领用录入（明细）'!C:C&gt;=$J$4,'领用录入（明细）'!C:C&lt;=$L$4),ROW(),"-")</f>
        <v>-</v>
      </c>
    </row>
    <row r="11303" customHeight="1" spans="2:2">
      <c r="B11303" s="62" t="str">
        <f>IF(AND('领用录入（明细）'!D:D=$F$4,'领用录入（明细）'!C:C&gt;=$J$4,'领用录入（明细）'!C:C&lt;=$L$4),ROW(),"-")</f>
        <v>-</v>
      </c>
    </row>
    <row r="11304" customHeight="1" spans="2:2">
      <c r="B11304" s="62" t="str">
        <f>IF(AND('领用录入（明细）'!D:D=$F$4,'领用录入（明细）'!C:C&gt;=$J$4,'领用录入（明细）'!C:C&lt;=$L$4),ROW(),"-")</f>
        <v>-</v>
      </c>
    </row>
    <row r="11305" customHeight="1" spans="2:2">
      <c r="B11305" s="62" t="str">
        <f>IF(AND('领用录入（明细）'!D:D=$F$4,'领用录入（明细）'!C:C&gt;=$J$4,'领用录入（明细）'!C:C&lt;=$L$4),ROW(),"-")</f>
        <v>-</v>
      </c>
    </row>
    <row r="11306" customHeight="1" spans="2:2">
      <c r="B11306" s="62" t="str">
        <f>IF(AND('领用录入（明细）'!D:D=$F$4,'领用录入（明细）'!C:C&gt;=$J$4,'领用录入（明细）'!C:C&lt;=$L$4),ROW(),"-")</f>
        <v>-</v>
      </c>
    </row>
    <row r="11307" customHeight="1" spans="2:2">
      <c r="B11307" s="62" t="str">
        <f>IF(AND('领用录入（明细）'!D:D=$F$4,'领用录入（明细）'!C:C&gt;=$J$4,'领用录入（明细）'!C:C&lt;=$L$4),ROW(),"-")</f>
        <v>-</v>
      </c>
    </row>
    <row r="11308" customHeight="1" spans="2:2">
      <c r="B11308" s="62" t="str">
        <f>IF(AND('领用录入（明细）'!D:D=$F$4,'领用录入（明细）'!C:C&gt;=$J$4,'领用录入（明细）'!C:C&lt;=$L$4),ROW(),"-")</f>
        <v>-</v>
      </c>
    </row>
    <row r="11309" customHeight="1" spans="2:2">
      <c r="B11309" s="62" t="str">
        <f>IF(AND('领用录入（明细）'!D:D=$F$4,'领用录入（明细）'!C:C&gt;=$J$4,'领用录入（明细）'!C:C&lt;=$L$4),ROW(),"-")</f>
        <v>-</v>
      </c>
    </row>
    <row r="11310" customHeight="1" spans="2:2">
      <c r="B11310" s="62" t="str">
        <f>IF(AND('领用录入（明细）'!D:D=$F$4,'领用录入（明细）'!C:C&gt;=$J$4,'领用录入（明细）'!C:C&lt;=$L$4),ROW(),"-")</f>
        <v>-</v>
      </c>
    </row>
    <row r="11311" customHeight="1" spans="2:2">
      <c r="B11311" s="62" t="str">
        <f>IF(AND('领用录入（明细）'!D:D=$F$4,'领用录入（明细）'!C:C&gt;=$J$4,'领用录入（明细）'!C:C&lt;=$L$4),ROW(),"-")</f>
        <v>-</v>
      </c>
    </row>
    <row r="11312" customHeight="1" spans="2:2">
      <c r="B11312" s="62" t="str">
        <f>IF(AND('领用录入（明细）'!D:D=$F$4,'领用录入（明细）'!C:C&gt;=$J$4,'领用录入（明细）'!C:C&lt;=$L$4),ROW(),"-")</f>
        <v>-</v>
      </c>
    </row>
    <row r="11313" customHeight="1" spans="2:2">
      <c r="B11313" s="62" t="str">
        <f>IF(AND('领用录入（明细）'!D:D=$F$4,'领用录入（明细）'!C:C&gt;=$J$4,'领用录入（明细）'!C:C&lt;=$L$4),ROW(),"-")</f>
        <v>-</v>
      </c>
    </row>
    <row r="11314" customHeight="1" spans="2:2">
      <c r="B11314" s="62" t="str">
        <f>IF(AND('领用录入（明细）'!D:D=$F$4,'领用录入（明细）'!C:C&gt;=$J$4,'领用录入（明细）'!C:C&lt;=$L$4),ROW(),"-")</f>
        <v>-</v>
      </c>
    </row>
    <row r="11315" customHeight="1" spans="2:2">
      <c r="B11315" s="62" t="str">
        <f>IF(AND('领用录入（明细）'!D:D=$F$4,'领用录入（明细）'!C:C&gt;=$J$4,'领用录入（明细）'!C:C&lt;=$L$4),ROW(),"-")</f>
        <v>-</v>
      </c>
    </row>
    <row r="11316" customHeight="1" spans="2:2">
      <c r="B11316" s="62" t="str">
        <f>IF(AND('领用录入（明细）'!D:D=$F$4,'领用录入（明细）'!C:C&gt;=$J$4,'领用录入（明细）'!C:C&lt;=$L$4),ROW(),"-")</f>
        <v>-</v>
      </c>
    </row>
    <row r="11317" customHeight="1" spans="2:2">
      <c r="B11317" s="62" t="str">
        <f>IF(AND('领用录入（明细）'!D:D=$F$4,'领用录入（明细）'!C:C&gt;=$J$4,'领用录入（明细）'!C:C&lt;=$L$4),ROW(),"-")</f>
        <v>-</v>
      </c>
    </row>
    <row r="11318" customHeight="1" spans="2:2">
      <c r="B11318" s="62" t="str">
        <f>IF(AND('领用录入（明细）'!D:D=$F$4,'领用录入（明细）'!C:C&gt;=$J$4,'领用录入（明细）'!C:C&lt;=$L$4),ROW(),"-")</f>
        <v>-</v>
      </c>
    </row>
    <row r="11319" customHeight="1" spans="2:2">
      <c r="B11319" s="62" t="str">
        <f>IF(AND('领用录入（明细）'!D:D=$F$4,'领用录入（明细）'!C:C&gt;=$J$4,'领用录入（明细）'!C:C&lt;=$L$4),ROW(),"-")</f>
        <v>-</v>
      </c>
    </row>
    <row r="11320" customHeight="1" spans="2:2">
      <c r="B11320" s="62" t="str">
        <f>IF(AND('领用录入（明细）'!D:D=$F$4,'领用录入（明细）'!C:C&gt;=$J$4,'领用录入（明细）'!C:C&lt;=$L$4),ROW(),"-")</f>
        <v>-</v>
      </c>
    </row>
    <row r="11321" customHeight="1" spans="2:2">
      <c r="B11321" s="62" t="str">
        <f>IF(AND('领用录入（明细）'!D:D=$F$4,'领用录入（明细）'!C:C&gt;=$J$4,'领用录入（明细）'!C:C&lt;=$L$4),ROW(),"-")</f>
        <v>-</v>
      </c>
    </row>
    <row r="11322" customHeight="1" spans="2:2">
      <c r="B11322" s="62" t="str">
        <f>IF(AND('领用录入（明细）'!D:D=$F$4,'领用录入（明细）'!C:C&gt;=$J$4,'领用录入（明细）'!C:C&lt;=$L$4),ROW(),"-")</f>
        <v>-</v>
      </c>
    </row>
    <row r="11323" customHeight="1" spans="2:2">
      <c r="B11323" s="62" t="str">
        <f>IF(AND('领用录入（明细）'!D:D=$F$4,'领用录入（明细）'!C:C&gt;=$J$4,'领用录入（明细）'!C:C&lt;=$L$4),ROW(),"-")</f>
        <v>-</v>
      </c>
    </row>
    <row r="11324" customHeight="1" spans="2:2">
      <c r="B11324" s="62" t="str">
        <f>IF(AND('领用录入（明细）'!D:D=$F$4,'领用录入（明细）'!C:C&gt;=$J$4,'领用录入（明细）'!C:C&lt;=$L$4),ROW(),"-")</f>
        <v>-</v>
      </c>
    </row>
    <row r="11325" customHeight="1" spans="2:2">
      <c r="B11325" s="62" t="str">
        <f>IF(AND('领用录入（明细）'!D:D=$F$4,'领用录入（明细）'!C:C&gt;=$J$4,'领用录入（明细）'!C:C&lt;=$L$4),ROW(),"-")</f>
        <v>-</v>
      </c>
    </row>
    <row r="11326" customHeight="1" spans="2:2">
      <c r="B11326" s="62" t="str">
        <f>IF(AND('领用录入（明细）'!D:D=$F$4,'领用录入（明细）'!C:C&gt;=$J$4,'领用录入（明细）'!C:C&lt;=$L$4),ROW(),"-")</f>
        <v>-</v>
      </c>
    </row>
    <row r="11327" customHeight="1" spans="2:2">
      <c r="B11327" s="62" t="str">
        <f>IF(AND('领用录入（明细）'!D:D=$F$4,'领用录入（明细）'!C:C&gt;=$J$4,'领用录入（明细）'!C:C&lt;=$L$4),ROW(),"-")</f>
        <v>-</v>
      </c>
    </row>
    <row r="11328" customHeight="1" spans="2:2">
      <c r="B11328" s="62" t="str">
        <f>IF(AND('领用录入（明细）'!D:D=$F$4,'领用录入（明细）'!C:C&gt;=$J$4,'领用录入（明细）'!C:C&lt;=$L$4),ROW(),"-")</f>
        <v>-</v>
      </c>
    </row>
    <row r="11329" customHeight="1" spans="2:2">
      <c r="B11329" s="62" t="str">
        <f>IF(AND('领用录入（明细）'!D:D=$F$4,'领用录入（明细）'!C:C&gt;=$J$4,'领用录入（明细）'!C:C&lt;=$L$4),ROW(),"-")</f>
        <v>-</v>
      </c>
    </row>
    <row r="11330" customHeight="1" spans="2:2">
      <c r="B11330" s="62" t="str">
        <f>IF(AND('领用录入（明细）'!D:D=$F$4,'领用录入（明细）'!C:C&gt;=$J$4,'领用录入（明细）'!C:C&lt;=$L$4),ROW(),"-")</f>
        <v>-</v>
      </c>
    </row>
    <row r="11331" customHeight="1" spans="2:2">
      <c r="B11331" s="62" t="str">
        <f>IF(AND('领用录入（明细）'!D:D=$F$4,'领用录入（明细）'!C:C&gt;=$J$4,'领用录入（明细）'!C:C&lt;=$L$4),ROW(),"-")</f>
        <v>-</v>
      </c>
    </row>
    <row r="11332" customHeight="1" spans="2:2">
      <c r="B11332" s="62" t="str">
        <f>IF(AND('领用录入（明细）'!D:D=$F$4,'领用录入（明细）'!C:C&gt;=$J$4,'领用录入（明细）'!C:C&lt;=$L$4),ROW(),"-")</f>
        <v>-</v>
      </c>
    </row>
    <row r="11333" customHeight="1" spans="2:2">
      <c r="B11333" s="62" t="str">
        <f>IF(AND('领用录入（明细）'!D:D=$F$4,'领用录入（明细）'!C:C&gt;=$J$4,'领用录入（明细）'!C:C&lt;=$L$4),ROW(),"-")</f>
        <v>-</v>
      </c>
    </row>
    <row r="11334" customHeight="1" spans="2:2">
      <c r="B11334" s="62" t="str">
        <f>IF(AND('领用录入（明细）'!D:D=$F$4,'领用录入（明细）'!C:C&gt;=$J$4,'领用录入（明细）'!C:C&lt;=$L$4),ROW(),"-")</f>
        <v>-</v>
      </c>
    </row>
    <row r="11335" customHeight="1" spans="2:2">
      <c r="B11335" s="62" t="str">
        <f>IF(AND('领用录入（明细）'!D:D=$F$4,'领用录入（明细）'!C:C&gt;=$J$4,'领用录入（明细）'!C:C&lt;=$L$4),ROW(),"-")</f>
        <v>-</v>
      </c>
    </row>
    <row r="11336" customHeight="1" spans="2:2">
      <c r="B11336" s="62" t="str">
        <f>IF(AND('领用录入（明细）'!D:D=$F$4,'领用录入（明细）'!C:C&gt;=$J$4,'领用录入（明细）'!C:C&lt;=$L$4),ROW(),"-")</f>
        <v>-</v>
      </c>
    </row>
    <row r="11337" customHeight="1" spans="2:2">
      <c r="B11337" s="62" t="str">
        <f>IF(AND('领用录入（明细）'!D:D=$F$4,'领用录入（明细）'!C:C&gt;=$J$4,'领用录入（明细）'!C:C&lt;=$L$4),ROW(),"-")</f>
        <v>-</v>
      </c>
    </row>
    <row r="11338" customHeight="1" spans="2:2">
      <c r="B11338" s="62" t="str">
        <f>IF(AND('领用录入（明细）'!D:D=$F$4,'领用录入（明细）'!C:C&gt;=$J$4,'领用录入（明细）'!C:C&lt;=$L$4),ROW(),"-")</f>
        <v>-</v>
      </c>
    </row>
    <row r="11339" customHeight="1" spans="2:2">
      <c r="B11339" s="62" t="str">
        <f>IF(AND('领用录入（明细）'!D:D=$F$4,'领用录入（明细）'!C:C&gt;=$J$4,'领用录入（明细）'!C:C&lt;=$L$4),ROW(),"-")</f>
        <v>-</v>
      </c>
    </row>
    <row r="11340" customHeight="1" spans="2:2">
      <c r="B11340" s="62" t="str">
        <f>IF(AND('领用录入（明细）'!D:D=$F$4,'领用录入（明细）'!C:C&gt;=$J$4,'领用录入（明细）'!C:C&lt;=$L$4),ROW(),"-")</f>
        <v>-</v>
      </c>
    </row>
    <row r="11341" customHeight="1" spans="2:2">
      <c r="B11341" s="62" t="str">
        <f>IF(AND('领用录入（明细）'!D:D=$F$4,'领用录入（明细）'!C:C&gt;=$J$4,'领用录入（明细）'!C:C&lt;=$L$4),ROW(),"-")</f>
        <v>-</v>
      </c>
    </row>
    <row r="11342" customHeight="1" spans="2:2">
      <c r="B11342" s="62" t="str">
        <f>IF(AND('领用录入（明细）'!D:D=$F$4,'领用录入（明细）'!C:C&gt;=$J$4,'领用录入（明细）'!C:C&lt;=$L$4),ROW(),"-")</f>
        <v>-</v>
      </c>
    </row>
    <row r="11343" customHeight="1" spans="2:2">
      <c r="B11343" s="62" t="str">
        <f>IF(AND('领用录入（明细）'!D:D=$F$4,'领用录入（明细）'!C:C&gt;=$J$4,'领用录入（明细）'!C:C&lt;=$L$4),ROW(),"-")</f>
        <v>-</v>
      </c>
    </row>
    <row r="11344" customHeight="1" spans="2:2">
      <c r="B11344" s="62" t="str">
        <f>IF(AND('领用录入（明细）'!D:D=$F$4,'领用录入（明细）'!C:C&gt;=$J$4,'领用录入（明细）'!C:C&lt;=$L$4),ROW(),"-")</f>
        <v>-</v>
      </c>
    </row>
    <row r="11345" customHeight="1" spans="2:2">
      <c r="B11345" s="62" t="str">
        <f>IF(AND('领用录入（明细）'!D:D=$F$4,'领用录入（明细）'!C:C&gt;=$J$4,'领用录入（明细）'!C:C&lt;=$L$4),ROW(),"-")</f>
        <v>-</v>
      </c>
    </row>
    <row r="11346" customHeight="1" spans="2:2">
      <c r="B11346" s="62" t="str">
        <f>IF(AND('领用录入（明细）'!D:D=$F$4,'领用录入（明细）'!C:C&gt;=$J$4,'领用录入（明细）'!C:C&lt;=$L$4),ROW(),"-")</f>
        <v>-</v>
      </c>
    </row>
    <row r="11347" customHeight="1" spans="2:2">
      <c r="B11347" s="62" t="str">
        <f>IF(AND('领用录入（明细）'!D:D=$F$4,'领用录入（明细）'!C:C&gt;=$J$4,'领用录入（明细）'!C:C&lt;=$L$4),ROW(),"-")</f>
        <v>-</v>
      </c>
    </row>
    <row r="11348" customHeight="1" spans="2:2">
      <c r="B11348" s="62" t="str">
        <f>IF(AND('领用录入（明细）'!D:D=$F$4,'领用录入（明细）'!C:C&gt;=$J$4,'领用录入（明细）'!C:C&lt;=$L$4),ROW(),"-")</f>
        <v>-</v>
      </c>
    </row>
    <row r="11349" customHeight="1" spans="2:2">
      <c r="B11349" s="62" t="str">
        <f>IF(AND('领用录入（明细）'!D:D=$F$4,'领用录入（明细）'!C:C&gt;=$J$4,'领用录入（明细）'!C:C&lt;=$L$4),ROW(),"-")</f>
        <v>-</v>
      </c>
    </row>
    <row r="11350" customHeight="1" spans="2:2">
      <c r="B11350" s="62" t="str">
        <f>IF(AND('领用录入（明细）'!D:D=$F$4,'领用录入（明细）'!C:C&gt;=$J$4,'领用录入（明细）'!C:C&lt;=$L$4),ROW(),"-")</f>
        <v>-</v>
      </c>
    </row>
    <row r="11351" customHeight="1" spans="2:2">
      <c r="B11351" s="62" t="str">
        <f>IF(AND('领用录入（明细）'!D:D=$F$4,'领用录入（明细）'!C:C&gt;=$J$4,'领用录入（明细）'!C:C&lt;=$L$4),ROW(),"-")</f>
        <v>-</v>
      </c>
    </row>
    <row r="11352" customHeight="1" spans="2:2">
      <c r="B11352" s="62" t="str">
        <f>IF(AND('领用录入（明细）'!D:D=$F$4,'领用录入（明细）'!C:C&gt;=$J$4,'领用录入（明细）'!C:C&lt;=$L$4),ROW(),"-")</f>
        <v>-</v>
      </c>
    </row>
    <row r="11353" customHeight="1" spans="2:2">
      <c r="B11353" s="62" t="str">
        <f>IF(AND('领用录入（明细）'!D:D=$F$4,'领用录入（明细）'!C:C&gt;=$J$4,'领用录入（明细）'!C:C&lt;=$L$4),ROW(),"-")</f>
        <v>-</v>
      </c>
    </row>
    <row r="11354" customHeight="1" spans="2:2">
      <c r="B11354" s="62" t="str">
        <f>IF(AND('领用录入（明细）'!D:D=$F$4,'领用录入（明细）'!C:C&gt;=$J$4,'领用录入（明细）'!C:C&lt;=$L$4),ROW(),"-")</f>
        <v>-</v>
      </c>
    </row>
    <row r="11355" customHeight="1" spans="2:2">
      <c r="B11355" s="62" t="str">
        <f>IF(AND('领用录入（明细）'!D:D=$F$4,'领用录入（明细）'!C:C&gt;=$J$4,'领用录入（明细）'!C:C&lt;=$L$4),ROW(),"-")</f>
        <v>-</v>
      </c>
    </row>
    <row r="11356" customHeight="1" spans="2:2">
      <c r="B11356" s="62" t="str">
        <f>IF(AND('领用录入（明细）'!D:D=$F$4,'领用录入（明细）'!C:C&gt;=$J$4,'领用录入（明细）'!C:C&lt;=$L$4),ROW(),"-")</f>
        <v>-</v>
      </c>
    </row>
    <row r="11357" customHeight="1" spans="2:2">
      <c r="B11357" s="62" t="str">
        <f>IF(AND('领用录入（明细）'!D:D=$F$4,'领用录入（明细）'!C:C&gt;=$J$4,'领用录入（明细）'!C:C&lt;=$L$4),ROW(),"-")</f>
        <v>-</v>
      </c>
    </row>
    <row r="11358" customHeight="1" spans="2:2">
      <c r="B11358" s="62" t="str">
        <f>IF(AND('领用录入（明细）'!D:D=$F$4,'领用录入（明细）'!C:C&gt;=$J$4,'领用录入（明细）'!C:C&lt;=$L$4),ROW(),"-")</f>
        <v>-</v>
      </c>
    </row>
    <row r="11359" customHeight="1" spans="2:2">
      <c r="B11359" s="62" t="str">
        <f>IF(AND('领用录入（明细）'!D:D=$F$4,'领用录入（明细）'!C:C&gt;=$J$4,'领用录入（明细）'!C:C&lt;=$L$4),ROW(),"-")</f>
        <v>-</v>
      </c>
    </row>
    <row r="11360" customHeight="1" spans="2:2">
      <c r="B11360" s="62" t="str">
        <f>IF(AND('领用录入（明细）'!D:D=$F$4,'领用录入（明细）'!C:C&gt;=$J$4,'领用录入（明细）'!C:C&lt;=$L$4),ROW(),"-")</f>
        <v>-</v>
      </c>
    </row>
    <row r="11361" customHeight="1" spans="2:2">
      <c r="B11361" s="62" t="str">
        <f>IF(AND('领用录入（明细）'!D:D=$F$4,'领用录入（明细）'!C:C&gt;=$J$4,'领用录入（明细）'!C:C&lt;=$L$4),ROW(),"-")</f>
        <v>-</v>
      </c>
    </row>
    <row r="11362" customHeight="1" spans="2:2">
      <c r="B11362" s="62" t="str">
        <f>IF(AND('领用录入（明细）'!D:D=$F$4,'领用录入（明细）'!C:C&gt;=$J$4,'领用录入（明细）'!C:C&lt;=$L$4),ROW(),"-")</f>
        <v>-</v>
      </c>
    </row>
    <row r="11363" customHeight="1" spans="2:2">
      <c r="B11363" s="62" t="str">
        <f>IF(AND('领用录入（明细）'!D:D=$F$4,'领用录入（明细）'!C:C&gt;=$J$4,'领用录入（明细）'!C:C&lt;=$L$4),ROW(),"-")</f>
        <v>-</v>
      </c>
    </row>
    <row r="11364" customHeight="1" spans="2:2">
      <c r="B11364" s="62" t="str">
        <f>IF(AND('领用录入（明细）'!D:D=$F$4,'领用录入（明细）'!C:C&gt;=$J$4,'领用录入（明细）'!C:C&lt;=$L$4),ROW(),"-")</f>
        <v>-</v>
      </c>
    </row>
    <row r="11365" customHeight="1" spans="2:2">
      <c r="B11365" s="62" t="str">
        <f>IF(AND('领用录入（明细）'!D:D=$F$4,'领用录入（明细）'!C:C&gt;=$J$4,'领用录入（明细）'!C:C&lt;=$L$4),ROW(),"-")</f>
        <v>-</v>
      </c>
    </row>
    <row r="11366" customHeight="1" spans="2:2">
      <c r="B11366" s="62" t="str">
        <f>IF(AND('领用录入（明细）'!D:D=$F$4,'领用录入（明细）'!C:C&gt;=$J$4,'领用录入（明细）'!C:C&lt;=$L$4),ROW(),"-")</f>
        <v>-</v>
      </c>
    </row>
    <row r="11367" customHeight="1" spans="2:2">
      <c r="B11367" s="62" t="str">
        <f>IF(AND('领用录入（明细）'!D:D=$F$4,'领用录入（明细）'!C:C&gt;=$J$4,'领用录入（明细）'!C:C&lt;=$L$4),ROW(),"-")</f>
        <v>-</v>
      </c>
    </row>
    <row r="11368" customHeight="1" spans="2:2">
      <c r="B11368" s="62" t="str">
        <f>IF(AND('领用录入（明细）'!D:D=$F$4,'领用录入（明细）'!C:C&gt;=$J$4,'领用录入（明细）'!C:C&lt;=$L$4),ROW(),"-")</f>
        <v>-</v>
      </c>
    </row>
    <row r="11369" customHeight="1" spans="2:2">
      <c r="B11369" s="62" t="str">
        <f>IF(AND('领用录入（明细）'!D:D=$F$4,'领用录入（明细）'!C:C&gt;=$J$4,'领用录入（明细）'!C:C&lt;=$L$4),ROW(),"-")</f>
        <v>-</v>
      </c>
    </row>
    <row r="11370" customHeight="1" spans="2:2">
      <c r="B11370" s="62" t="str">
        <f>IF(AND('领用录入（明细）'!D:D=$F$4,'领用录入（明细）'!C:C&gt;=$J$4,'领用录入（明细）'!C:C&lt;=$L$4),ROW(),"-")</f>
        <v>-</v>
      </c>
    </row>
    <row r="11371" customHeight="1" spans="2:2">
      <c r="B11371" s="62" t="str">
        <f>IF(AND('领用录入（明细）'!D:D=$F$4,'领用录入（明细）'!C:C&gt;=$J$4,'领用录入（明细）'!C:C&lt;=$L$4),ROW(),"-")</f>
        <v>-</v>
      </c>
    </row>
    <row r="11372" customHeight="1" spans="2:2">
      <c r="B11372" s="62" t="str">
        <f>IF(AND('领用录入（明细）'!D:D=$F$4,'领用录入（明细）'!C:C&gt;=$J$4,'领用录入（明细）'!C:C&lt;=$L$4),ROW(),"-")</f>
        <v>-</v>
      </c>
    </row>
    <row r="11373" customHeight="1" spans="2:2">
      <c r="B11373" s="62" t="str">
        <f>IF(AND('领用录入（明细）'!D:D=$F$4,'领用录入（明细）'!C:C&gt;=$J$4,'领用录入（明细）'!C:C&lt;=$L$4),ROW(),"-")</f>
        <v>-</v>
      </c>
    </row>
    <row r="11374" customHeight="1" spans="2:2">
      <c r="B11374" s="62" t="str">
        <f>IF(AND('领用录入（明细）'!D:D=$F$4,'领用录入（明细）'!C:C&gt;=$J$4,'领用录入（明细）'!C:C&lt;=$L$4),ROW(),"-")</f>
        <v>-</v>
      </c>
    </row>
    <row r="11375" customHeight="1" spans="2:2">
      <c r="B11375" s="62" t="str">
        <f>IF(AND('领用录入（明细）'!D:D=$F$4,'领用录入（明细）'!C:C&gt;=$J$4,'领用录入（明细）'!C:C&lt;=$L$4),ROW(),"-")</f>
        <v>-</v>
      </c>
    </row>
    <row r="11376" customHeight="1" spans="2:2">
      <c r="B11376" s="62" t="str">
        <f>IF(AND('领用录入（明细）'!D:D=$F$4,'领用录入（明细）'!C:C&gt;=$J$4,'领用录入（明细）'!C:C&lt;=$L$4),ROW(),"-")</f>
        <v>-</v>
      </c>
    </row>
    <row r="11377" customHeight="1" spans="2:2">
      <c r="B11377" s="62" t="str">
        <f>IF(AND('领用录入（明细）'!D:D=$F$4,'领用录入（明细）'!C:C&gt;=$J$4,'领用录入（明细）'!C:C&lt;=$L$4),ROW(),"-")</f>
        <v>-</v>
      </c>
    </row>
    <row r="11378" customHeight="1" spans="2:2">
      <c r="B11378" s="62" t="str">
        <f>IF(AND('领用录入（明细）'!D:D=$F$4,'领用录入（明细）'!C:C&gt;=$J$4,'领用录入（明细）'!C:C&lt;=$L$4),ROW(),"-")</f>
        <v>-</v>
      </c>
    </row>
    <row r="11379" customHeight="1" spans="2:2">
      <c r="B11379" s="62" t="str">
        <f>IF(AND('领用录入（明细）'!D:D=$F$4,'领用录入（明细）'!C:C&gt;=$J$4,'领用录入（明细）'!C:C&lt;=$L$4),ROW(),"-")</f>
        <v>-</v>
      </c>
    </row>
    <row r="11380" customHeight="1" spans="2:2">
      <c r="B11380" s="62" t="str">
        <f>IF(AND('领用录入（明细）'!D:D=$F$4,'领用录入（明细）'!C:C&gt;=$J$4,'领用录入（明细）'!C:C&lt;=$L$4),ROW(),"-")</f>
        <v>-</v>
      </c>
    </row>
    <row r="11381" customHeight="1" spans="2:2">
      <c r="B11381" s="62" t="str">
        <f>IF(AND('领用录入（明细）'!D:D=$F$4,'领用录入（明细）'!C:C&gt;=$J$4,'领用录入（明细）'!C:C&lt;=$L$4),ROW(),"-")</f>
        <v>-</v>
      </c>
    </row>
    <row r="11382" customHeight="1" spans="2:2">
      <c r="B11382" s="62" t="str">
        <f>IF(AND('领用录入（明细）'!D:D=$F$4,'领用录入（明细）'!C:C&gt;=$J$4,'领用录入（明细）'!C:C&lt;=$L$4),ROW(),"-")</f>
        <v>-</v>
      </c>
    </row>
    <row r="11383" customHeight="1" spans="2:2">
      <c r="B11383" s="62" t="str">
        <f>IF(AND('领用录入（明细）'!D:D=$F$4,'领用录入（明细）'!C:C&gt;=$J$4,'领用录入（明细）'!C:C&lt;=$L$4),ROW(),"-")</f>
        <v>-</v>
      </c>
    </row>
    <row r="11384" customHeight="1" spans="2:2">
      <c r="B11384" s="62" t="str">
        <f>IF(AND('领用录入（明细）'!D:D=$F$4,'领用录入（明细）'!C:C&gt;=$J$4,'领用录入（明细）'!C:C&lt;=$L$4),ROW(),"-")</f>
        <v>-</v>
      </c>
    </row>
    <row r="11385" customHeight="1" spans="2:2">
      <c r="B11385" s="62" t="str">
        <f>IF(AND('领用录入（明细）'!D:D=$F$4,'领用录入（明细）'!C:C&gt;=$J$4,'领用录入（明细）'!C:C&lt;=$L$4),ROW(),"-")</f>
        <v>-</v>
      </c>
    </row>
    <row r="11386" customHeight="1" spans="2:2">
      <c r="B11386" s="62" t="str">
        <f>IF(AND('领用录入（明细）'!D:D=$F$4,'领用录入（明细）'!C:C&gt;=$J$4,'领用录入（明细）'!C:C&lt;=$L$4),ROW(),"-")</f>
        <v>-</v>
      </c>
    </row>
    <row r="11387" customHeight="1" spans="2:2">
      <c r="B11387" s="62" t="str">
        <f>IF(AND('领用录入（明细）'!D:D=$F$4,'领用录入（明细）'!C:C&gt;=$J$4,'领用录入（明细）'!C:C&lt;=$L$4),ROW(),"-")</f>
        <v>-</v>
      </c>
    </row>
    <row r="11388" customHeight="1" spans="2:2">
      <c r="B11388" s="62" t="str">
        <f>IF(AND('领用录入（明细）'!D:D=$F$4,'领用录入（明细）'!C:C&gt;=$J$4,'领用录入（明细）'!C:C&lt;=$L$4),ROW(),"-")</f>
        <v>-</v>
      </c>
    </row>
    <row r="11389" customHeight="1" spans="2:2">
      <c r="B11389" s="62" t="str">
        <f>IF(AND('领用录入（明细）'!D:D=$F$4,'领用录入（明细）'!C:C&gt;=$J$4,'领用录入（明细）'!C:C&lt;=$L$4),ROW(),"-")</f>
        <v>-</v>
      </c>
    </row>
    <row r="11390" customHeight="1" spans="2:2">
      <c r="B11390" s="62" t="str">
        <f>IF(AND('领用录入（明细）'!D:D=$F$4,'领用录入（明细）'!C:C&gt;=$J$4,'领用录入（明细）'!C:C&lt;=$L$4),ROW(),"-")</f>
        <v>-</v>
      </c>
    </row>
    <row r="11391" customHeight="1" spans="2:2">
      <c r="B11391" s="62" t="str">
        <f>IF(AND('领用录入（明细）'!D:D=$F$4,'领用录入（明细）'!C:C&gt;=$J$4,'领用录入（明细）'!C:C&lt;=$L$4),ROW(),"-")</f>
        <v>-</v>
      </c>
    </row>
    <row r="11392" customHeight="1" spans="2:2">
      <c r="B11392" s="62" t="str">
        <f>IF(AND('领用录入（明细）'!D:D=$F$4,'领用录入（明细）'!C:C&gt;=$J$4,'领用录入（明细）'!C:C&lt;=$L$4),ROW(),"-")</f>
        <v>-</v>
      </c>
    </row>
    <row r="11393" customHeight="1" spans="2:2">
      <c r="B11393" s="62" t="str">
        <f>IF(AND('领用录入（明细）'!D:D=$F$4,'领用录入（明细）'!C:C&gt;=$J$4,'领用录入（明细）'!C:C&lt;=$L$4),ROW(),"-")</f>
        <v>-</v>
      </c>
    </row>
    <row r="11394" customHeight="1" spans="2:2">
      <c r="B11394" s="62" t="str">
        <f>IF(AND('领用录入（明细）'!D:D=$F$4,'领用录入（明细）'!C:C&gt;=$J$4,'领用录入（明细）'!C:C&lt;=$L$4),ROW(),"-")</f>
        <v>-</v>
      </c>
    </row>
    <row r="11395" customHeight="1" spans="2:2">
      <c r="B11395" s="62" t="str">
        <f>IF(AND('领用录入（明细）'!D:D=$F$4,'领用录入（明细）'!C:C&gt;=$J$4,'领用录入（明细）'!C:C&lt;=$L$4),ROW(),"-")</f>
        <v>-</v>
      </c>
    </row>
    <row r="11396" customHeight="1" spans="2:2">
      <c r="B11396" s="62" t="str">
        <f>IF(AND('领用录入（明细）'!D:D=$F$4,'领用录入（明细）'!C:C&gt;=$J$4,'领用录入（明细）'!C:C&lt;=$L$4),ROW(),"-")</f>
        <v>-</v>
      </c>
    </row>
    <row r="11397" customHeight="1" spans="2:2">
      <c r="B11397" s="62" t="str">
        <f>IF(AND('领用录入（明细）'!D:D=$F$4,'领用录入（明细）'!C:C&gt;=$J$4,'领用录入（明细）'!C:C&lt;=$L$4),ROW(),"-")</f>
        <v>-</v>
      </c>
    </row>
    <row r="11398" customHeight="1" spans="2:2">
      <c r="B11398" s="62" t="str">
        <f>IF(AND('领用录入（明细）'!D:D=$F$4,'领用录入（明细）'!C:C&gt;=$J$4,'领用录入（明细）'!C:C&lt;=$L$4),ROW(),"-")</f>
        <v>-</v>
      </c>
    </row>
    <row r="11399" customHeight="1" spans="2:2">
      <c r="B11399" s="62" t="str">
        <f>IF(AND('领用录入（明细）'!D:D=$F$4,'领用录入（明细）'!C:C&gt;=$J$4,'领用录入（明细）'!C:C&lt;=$L$4),ROW(),"-")</f>
        <v>-</v>
      </c>
    </row>
    <row r="11400" customHeight="1" spans="2:2">
      <c r="B11400" s="62" t="str">
        <f>IF(AND('领用录入（明细）'!D:D=$F$4,'领用录入（明细）'!C:C&gt;=$J$4,'领用录入（明细）'!C:C&lt;=$L$4),ROW(),"-")</f>
        <v>-</v>
      </c>
    </row>
    <row r="11401" customHeight="1" spans="2:2">
      <c r="B11401" s="62" t="str">
        <f>IF(AND('领用录入（明细）'!D:D=$F$4,'领用录入（明细）'!C:C&gt;=$J$4,'领用录入（明细）'!C:C&lt;=$L$4),ROW(),"-")</f>
        <v>-</v>
      </c>
    </row>
    <row r="11402" customHeight="1" spans="2:2">
      <c r="B11402" s="62" t="str">
        <f>IF(AND('领用录入（明细）'!D:D=$F$4,'领用录入（明细）'!C:C&gt;=$J$4,'领用录入（明细）'!C:C&lt;=$L$4),ROW(),"-")</f>
        <v>-</v>
      </c>
    </row>
    <row r="11403" customHeight="1" spans="2:2">
      <c r="B11403" s="62" t="str">
        <f>IF(AND('领用录入（明细）'!D:D=$F$4,'领用录入（明细）'!C:C&gt;=$J$4,'领用录入（明细）'!C:C&lt;=$L$4),ROW(),"-")</f>
        <v>-</v>
      </c>
    </row>
    <row r="11404" customHeight="1" spans="2:2">
      <c r="B11404" s="62" t="str">
        <f>IF(AND('领用录入（明细）'!D:D=$F$4,'领用录入（明细）'!C:C&gt;=$J$4,'领用录入（明细）'!C:C&lt;=$L$4),ROW(),"-")</f>
        <v>-</v>
      </c>
    </row>
    <row r="11405" customHeight="1" spans="2:2">
      <c r="B11405" s="62" t="str">
        <f>IF(AND('领用录入（明细）'!D:D=$F$4,'领用录入（明细）'!C:C&gt;=$J$4,'领用录入（明细）'!C:C&lt;=$L$4),ROW(),"-")</f>
        <v>-</v>
      </c>
    </row>
    <row r="11406" customHeight="1" spans="2:2">
      <c r="B11406" s="62" t="str">
        <f>IF(AND('领用录入（明细）'!D:D=$F$4,'领用录入（明细）'!C:C&gt;=$J$4,'领用录入（明细）'!C:C&lt;=$L$4),ROW(),"-")</f>
        <v>-</v>
      </c>
    </row>
    <row r="11407" customHeight="1" spans="2:2">
      <c r="B11407" s="62" t="str">
        <f>IF(AND('领用录入（明细）'!D:D=$F$4,'领用录入（明细）'!C:C&gt;=$J$4,'领用录入（明细）'!C:C&lt;=$L$4),ROW(),"-")</f>
        <v>-</v>
      </c>
    </row>
    <row r="11408" customHeight="1" spans="2:2">
      <c r="B11408" s="62" t="str">
        <f>IF(AND('领用录入（明细）'!D:D=$F$4,'领用录入（明细）'!C:C&gt;=$J$4,'领用录入（明细）'!C:C&lt;=$L$4),ROW(),"-")</f>
        <v>-</v>
      </c>
    </row>
    <row r="11409" customHeight="1" spans="2:2">
      <c r="B11409" s="62" t="str">
        <f>IF(AND('领用录入（明细）'!D:D=$F$4,'领用录入（明细）'!C:C&gt;=$J$4,'领用录入（明细）'!C:C&lt;=$L$4),ROW(),"-")</f>
        <v>-</v>
      </c>
    </row>
    <row r="11410" customHeight="1" spans="2:2">
      <c r="B11410" s="62" t="str">
        <f>IF(AND('领用录入（明细）'!D:D=$F$4,'领用录入（明细）'!C:C&gt;=$J$4,'领用录入（明细）'!C:C&lt;=$L$4),ROW(),"-")</f>
        <v>-</v>
      </c>
    </row>
    <row r="11411" customHeight="1" spans="2:2">
      <c r="B11411" s="62" t="str">
        <f>IF(AND('领用录入（明细）'!D:D=$F$4,'领用录入（明细）'!C:C&gt;=$J$4,'领用录入（明细）'!C:C&lt;=$L$4),ROW(),"-")</f>
        <v>-</v>
      </c>
    </row>
    <row r="11412" customHeight="1" spans="2:2">
      <c r="B11412" s="62" t="str">
        <f>IF(AND('领用录入（明细）'!D:D=$F$4,'领用录入（明细）'!C:C&gt;=$J$4,'领用录入（明细）'!C:C&lt;=$L$4),ROW(),"-")</f>
        <v>-</v>
      </c>
    </row>
    <row r="11413" customHeight="1" spans="2:2">
      <c r="B11413" s="62" t="str">
        <f>IF(AND('领用录入（明细）'!D:D=$F$4,'领用录入（明细）'!C:C&gt;=$J$4,'领用录入（明细）'!C:C&lt;=$L$4),ROW(),"-")</f>
        <v>-</v>
      </c>
    </row>
    <row r="11414" customHeight="1" spans="2:2">
      <c r="B11414" s="62" t="str">
        <f>IF(AND('领用录入（明细）'!D:D=$F$4,'领用录入（明细）'!C:C&gt;=$J$4,'领用录入（明细）'!C:C&lt;=$L$4),ROW(),"-")</f>
        <v>-</v>
      </c>
    </row>
    <row r="11415" customHeight="1" spans="2:2">
      <c r="B11415" s="62" t="str">
        <f>IF(AND('领用录入（明细）'!D:D=$F$4,'领用录入（明细）'!C:C&gt;=$J$4,'领用录入（明细）'!C:C&lt;=$L$4),ROW(),"-")</f>
        <v>-</v>
      </c>
    </row>
    <row r="11416" customHeight="1" spans="2:2">
      <c r="B11416" s="62" t="str">
        <f>IF(AND('领用录入（明细）'!D:D=$F$4,'领用录入（明细）'!C:C&gt;=$J$4,'领用录入（明细）'!C:C&lt;=$L$4),ROW(),"-")</f>
        <v>-</v>
      </c>
    </row>
    <row r="11417" customHeight="1" spans="2:2">
      <c r="B11417" s="62" t="str">
        <f>IF(AND('领用录入（明细）'!D:D=$F$4,'领用录入（明细）'!C:C&gt;=$J$4,'领用录入（明细）'!C:C&lt;=$L$4),ROW(),"-")</f>
        <v>-</v>
      </c>
    </row>
    <row r="11418" customHeight="1" spans="2:2">
      <c r="B11418" s="62" t="str">
        <f>IF(AND('领用录入（明细）'!D:D=$F$4,'领用录入（明细）'!C:C&gt;=$J$4,'领用录入（明细）'!C:C&lt;=$L$4),ROW(),"-")</f>
        <v>-</v>
      </c>
    </row>
    <row r="11419" customHeight="1" spans="2:2">
      <c r="B11419" s="62" t="str">
        <f>IF(AND('领用录入（明细）'!D:D=$F$4,'领用录入（明细）'!C:C&gt;=$J$4,'领用录入（明细）'!C:C&lt;=$L$4),ROW(),"-")</f>
        <v>-</v>
      </c>
    </row>
    <row r="11420" customHeight="1" spans="2:2">
      <c r="B11420" s="62" t="str">
        <f>IF(AND('领用录入（明细）'!D:D=$F$4,'领用录入（明细）'!C:C&gt;=$J$4,'领用录入（明细）'!C:C&lt;=$L$4),ROW(),"-")</f>
        <v>-</v>
      </c>
    </row>
    <row r="11421" customHeight="1" spans="2:2">
      <c r="B11421" s="62" t="str">
        <f>IF(AND('领用录入（明细）'!D:D=$F$4,'领用录入（明细）'!C:C&gt;=$J$4,'领用录入（明细）'!C:C&lt;=$L$4),ROW(),"-")</f>
        <v>-</v>
      </c>
    </row>
    <row r="11422" customHeight="1" spans="2:2">
      <c r="B11422" s="62" t="str">
        <f>IF(AND('领用录入（明细）'!D:D=$F$4,'领用录入（明细）'!C:C&gt;=$J$4,'领用录入（明细）'!C:C&lt;=$L$4),ROW(),"-")</f>
        <v>-</v>
      </c>
    </row>
    <row r="11423" customHeight="1" spans="2:2">
      <c r="B11423" s="62" t="str">
        <f>IF(AND('领用录入（明细）'!D:D=$F$4,'领用录入（明细）'!C:C&gt;=$J$4,'领用录入（明细）'!C:C&lt;=$L$4),ROW(),"-")</f>
        <v>-</v>
      </c>
    </row>
    <row r="11424" customHeight="1" spans="2:2">
      <c r="B11424" s="62" t="str">
        <f>IF(AND('领用录入（明细）'!D:D=$F$4,'领用录入（明细）'!C:C&gt;=$J$4,'领用录入（明细）'!C:C&lt;=$L$4),ROW(),"-")</f>
        <v>-</v>
      </c>
    </row>
    <row r="11425" customHeight="1" spans="2:2">
      <c r="B11425" s="62" t="str">
        <f>IF(AND('领用录入（明细）'!D:D=$F$4,'领用录入（明细）'!C:C&gt;=$J$4,'领用录入（明细）'!C:C&lt;=$L$4),ROW(),"-")</f>
        <v>-</v>
      </c>
    </row>
    <row r="11426" customHeight="1" spans="2:2">
      <c r="B11426" s="62" t="str">
        <f>IF(AND('领用录入（明细）'!D:D=$F$4,'领用录入（明细）'!C:C&gt;=$J$4,'领用录入（明细）'!C:C&lt;=$L$4),ROW(),"-")</f>
        <v>-</v>
      </c>
    </row>
    <row r="11427" customHeight="1" spans="2:2">
      <c r="B11427" s="62" t="str">
        <f>IF(AND('领用录入（明细）'!D:D=$F$4,'领用录入（明细）'!C:C&gt;=$J$4,'领用录入（明细）'!C:C&lt;=$L$4),ROW(),"-")</f>
        <v>-</v>
      </c>
    </row>
    <row r="11428" customHeight="1" spans="2:2">
      <c r="B11428" s="62" t="str">
        <f>IF(AND('领用录入（明细）'!D:D=$F$4,'领用录入（明细）'!C:C&gt;=$J$4,'领用录入（明细）'!C:C&lt;=$L$4),ROW(),"-")</f>
        <v>-</v>
      </c>
    </row>
    <row r="11429" customHeight="1" spans="2:2">
      <c r="B11429" s="62" t="str">
        <f>IF(AND('领用录入（明细）'!D:D=$F$4,'领用录入（明细）'!C:C&gt;=$J$4,'领用录入（明细）'!C:C&lt;=$L$4),ROW(),"-")</f>
        <v>-</v>
      </c>
    </row>
    <row r="11430" customHeight="1" spans="2:2">
      <c r="B11430" s="62" t="str">
        <f>IF(AND('领用录入（明细）'!D:D=$F$4,'领用录入（明细）'!C:C&gt;=$J$4,'领用录入（明细）'!C:C&lt;=$L$4),ROW(),"-")</f>
        <v>-</v>
      </c>
    </row>
    <row r="11431" customHeight="1" spans="2:2">
      <c r="B11431" s="62" t="str">
        <f>IF(AND('领用录入（明细）'!D:D=$F$4,'领用录入（明细）'!C:C&gt;=$J$4,'领用录入（明细）'!C:C&lt;=$L$4),ROW(),"-")</f>
        <v>-</v>
      </c>
    </row>
    <row r="11432" customHeight="1" spans="2:2">
      <c r="B11432" s="62" t="str">
        <f>IF(AND('领用录入（明细）'!D:D=$F$4,'领用录入（明细）'!C:C&gt;=$J$4,'领用录入（明细）'!C:C&lt;=$L$4),ROW(),"-")</f>
        <v>-</v>
      </c>
    </row>
    <row r="11433" customHeight="1" spans="2:2">
      <c r="B11433" s="62" t="str">
        <f>IF(AND('领用录入（明细）'!D:D=$F$4,'领用录入（明细）'!C:C&gt;=$J$4,'领用录入（明细）'!C:C&lt;=$L$4),ROW(),"-")</f>
        <v>-</v>
      </c>
    </row>
    <row r="11434" customHeight="1" spans="2:2">
      <c r="B11434" s="62" t="str">
        <f>IF(AND('领用录入（明细）'!D:D=$F$4,'领用录入（明细）'!C:C&gt;=$J$4,'领用录入（明细）'!C:C&lt;=$L$4),ROW(),"-")</f>
        <v>-</v>
      </c>
    </row>
    <row r="11435" customHeight="1" spans="2:2">
      <c r="B11435" s="62" t="str">
        <f>IF(AND('领用录入（明细）'!D:D=$F$4,'领用录入（明细）'!C:C&gt;=$J$4,'领用录入（明细）'!C:C&lt;=$L$4),ROW(),"-")</f>
        <v>-</v>
      </c>
    </row>
    <row r="11436" customHeight="1" spans="2:2">
      <c r="B11436" s="62" t="str">
        <f>IF(AND('领用录入（明细）'!D:D=$F$4,'领用录入（明细）'!C:C&gt;=$J$4,'领用录入（明细）'!C:C&lt;=$L$4),ROW(),"-")</f>
        <v>-</v>
      </c>
    </row>
    <row r="11437" customHeight="1" spans="2:2">
      <c r="B11437" s="62" t="str">
        <f>IF(AND('领用录入（明细）'!D:D=$F$4,'领用录入（明细）'!C:C&gt;=$J$4,'领用录入（明细）'!C:C&lt;=$L$4),ROW(),"-")</f>
        <v>-</v>
      </c>
    </row>
    <row r="11438" customHeight="1" spans="2:2">
      <c r="B11438" s="62" t="str">
        <f>IF(AND('领用录入（明细）'!D:D=$F$4,'领用录入（明细）'!C:C&gt;=$J$4,'领用录入（明细）'!C:C&lt;=$L$4),ROW(),"-")</f>
        <v>-</v>
      </c>
    </row>
    <row r="11439" customHeight="1" spans="2:2">
      <c r="B11439" s="62" t="str">
        <f>IF(AND('领用录入（明细）'!D:D=$F$4,'领用录入（明细）'!C:C&gt;=$J$4,'领用录入（明细）'!C:C&lt;=$L$4),ROW(),"-")</f>
        <v>-</v>
      </c>
    </row>
    <row r="11440" customHeight="1" spans="2:2">
      <c r="B11440" s="62" t="str">
        <f>IF(AND('领用录入（明细）'!D:D=$F$4,'领用录入（明细）'!C:C&gt;=$J$4,'领用录入（明细）'!C:C&lt;=$L$4),ROW(),"-")</f>
        <v>-</v>
      </c>
    </row>
    <row r="11441" customHeight="1" spans="2:2">
      <c r="B11441" s="62" t="str">
        <f>IF(AND('领用录入（明细）'!D:D=$F$4,'领用录入（明细）'!C:C&gt;=$J$4,'领用录入（明细）'!C:C&lt;=$L$4),ROW(),"-")</f>
        <v>-</v>
      </c>
    </row>
    <row r="11442" customHeight="1" spans="2:2">
      <c r="B11442" s="62" t="str">
        <f>IF(AND('领用录入（明细）'!D:D=$F$4,'领用录入（明细）'!C:C&gt;=$J$4,'领用录入（明细）'!C:C&lt;=$L$4),ROW(),"-")</f>
        <v>-</v>
      </c>
    </row>
    <row r="11443" customHeight="1" spans="2:2">
      <c r="B11443" s="62" t="str">
        <f>IF(AND('领用录入（明细）'!D:D=$F$4,'领用录入（明细）'!C:C&gt;=$J$4,'领用录入（明细）'!C:C&lt;=$L$4),ROW(),"-")</f>
        <v>-</v>
      </c>
    </row>
    <row r="11444" customHeight="1" spans="2:2">
      <c r="B11444" s="62" t="str">
        <f>IF(AND('领用录入（明细）'!D:D=$F$4,'领用录入（明细）'!C:C&gt;=$J$4,'领用录入（明细）'!C:C&lt;=$L$4),ROW(),"-")</f>
        <v>-</v>
      </c>
    </row>
    <row r="11445" customHeight="1" spans="2:2">
      <c r="B11445" s="62" t="str">
        <f>IF(AND('领用录入（明细）'!D:D=$F$4,'领用录入（明细）'!C:C&gt;=$J$4,'领用录入（明细）'!C:C&lt;=$L$4),ROW(),"-")</f>
        <v>-</v>
      </c>
    </row>
    <row r="11446" customHeight="1" spans="2:2">
      <c r="B11446" s="62" t="str">
        <f>IF(AND('领用录入（明细）'!D:D=$F$4,'领用录入（明细）'!C:C&gt;=$J$4,'领用录入（明细）'!C:C&lt;=$L$4),ROW(),"-")</f>
        <v>-</v>
      </c>
    </row>
    <row r="11447" customHeight="1" spans="2:2">
      <c r="B11447" s="62" t="str">
        <f>IF(AND('领用录入（明细）'!D:D=$F$4,'领用录入（明细）'!C:C&gt;=$J$4,'领用录入（明细）'!C:C&lt;=$L$4),ROW(),"-")</f>
        <v>-</v>
      </c>
    </row>
    <row r="11448" customHeight="1" spans="2:2">
      <c r="B11448" s="62" t="str">
        <f>IF(AND('领用录入（明细）'!D:D=$F$4,'领用录入（明细）'!C:C&gt;=$J$4,'领用录入（明细）'!C:C&lt;=$L$4),ROW(),"-")</f>
        <v>-</v>
      </c>
    </row>
    <row r="11449" customHeight="1" spans="2:2">
      <c r="B11449" s="62" t="str">
        <f>IF(AND('领用录入（明细）'!D:D=$F$4,'领用录入（明细）'!C:C&gt;=$J$4,'领用录入（明细）'!C:C&lt;=$L$4),ROW(),"-")</f>
        <v>-</v>
      </c>
    </row>
    <row r="11450" customHeight="1" spans="2:2">
      <c r="B11450" s="62" t="str">
        <f>IF(AND('领用录入（明细）'!D:D=$F$4,'领用录入（明细）'!C:C&gt;=$J$4,'领用录入（明细）'!C:C&lt;=$L$4),ROW(),"-")</f>
        <v>-</v>
      </c>
    </row>
    <row r="11451" customHeight="1" spans="2:2">
      <c r="B11451" s="62" t="str">
        <f>IF(AND('领用录入（明细）'!D:D=$F$4,'领用录入（明细）'!C:C&gt;=$J$4,'领用录入（明细）'!C:C&lt;=$L$4),ROW(),"-")</f>
        <v>-</v>
      </c>
    </row>
    <row r="11452" customHeight="1" spans="2:2">
      <c r="B11452" s="62" t="str">
        <f>IF(AND('领用录入（明细）'!D:D=$F$4,'领用录入（明细）'!C:C&gt;=$J$4,'领用录入（明细）'!C:C&lt;=$L$4),ROW(),"-")</f>
        <v>-</v>
      </c>
    </row>
    <row r="11453" customHeight="1" spans="2:2">
      <c r="B11453" s="62" t="str">
        <f>IF(AND('领用录入（明细）'!D:D=$F$4,'领用录入（明细）'!C:C&gt;=$J$4,'领用录入（明细）'!C:C&lt;=$L$4),ROW(),"-")</f>
        <v>-</v>
      </c>
    </row>
    <row r="11454" customHeight="1" spans="2:2">
      <c r="B11454" s="62" t="str">
        <f>IF(AND('领用录入（明细）'!D:D=$F$4,'领用录入（明细）'!C:C&gt;=$J$4,'领用录入（明细）'!C:C&lt;=$L$4),ROW(),"-")</f>
        <v>-</v>
      </c>
    </row>
    <row r="11455" customHeight="1" spans="2:2">
      <c r="B11455" s="62" t="str">
        <f>IF(AND('领用录入（明细）'!D:D=$F$4,'领用录入（明细）'!C:C&gt;=$J$4,'领用录入（明细）'!C:C&lt;=$L$4),ROW(),"-")</f>
        <v>-</v>
      </c>
    </row>
    <row r="11456" customHeight="1" spans="2:2">
      <c r="B11456" s="62" t="str">
        <f>IF(AND('领用录入（明细）'!D:D=$F$4,'领用录入（明细）'!C:C&gt;=$J$4,'领用录入（明细）'!C:C&lt;=$L$4),ROW(),"-")</f>
        <v>-</v>
      </c>
    </row>
    <row r="11457" customHeight="1" spans="2:2">
      <c r="B11457" s="62" t="str">
        <f>IF(AND('领用录入（明细）'!D:D=$F$4,'领用录入（明细）'!C:C&gt;=$J$4,'领用录入（明细）'!C:C&lt;=$L$4),ROW(),"-")</f>
        <v>-</v>
      </c>
    </row>
    <row r="11458" customHeight="1" spans="2:2">
      <c r="B11458" s="62" t="str">
        <f>IF(AND('领用录入（明细）'!D:D=$F$4,'领用录入（明细）'!C:C&gt;=$J$4,'领用录入（明细）'!C:C&lt;=$L$4),ROW(),"-")</f>
        <v>-</v>
      </c>
    </row>
    <row r="11459" customHeight="1" spans="2:2">
      <c r="B11459" s="62" t="str">
        <f>IF(AND('领用录入（明细）'!D:D=$F$4,'领用录入（明细）'!C:C&gt;=$J$4,'领用录入（明细）'!C:C&lt;=$L$4),ROW(),"-")</f>
        <v>-</v>
      </c>
    </row>
    <row r="11460" customHeight="1" spans="2:2">
      <c r="B11460" s="62" t="str">
        <f>IF(AND('领用录入（明细）'!D:D=$F$4,'领用录入（明细）'!C:C&gt;=$J$4,'领用录入（明细）'!C:C&lt;=$L$4),ROW(),"-")</f>
        <v>-</v>
      </c>
    </row>
    <row r="11461" customHeight="1" spans="2:2">
      <c r="B11461" s="62" t="str">
        <f>IF(AND('领用录入（明细）'!D:D=$F$4,'领用录入（明细）'!C:C&gt;=$J$4,'领用录入（明细）'!C:C&lt;=$L$4),ROW(),"-")</f>
        <v>-</v>
      </c>
    </row>
    <row r="11462" customHeight="1" spans="2:2">
      <c r="B11462" s="62" t="str">
        <f>IF(AND('领用录入（明细）'!D:D=$F$4,'领用录入（明细）'!C:C&gt;=$J$4,'领用录入（明细）'!C:C&lt;=$L$4),ROW(),"-")</f>
        <v>-</v>
      </c>
    </row>
    <row r="11463" customHeight="1" spans="2:2">
      <c r="B11463" s="62" t="str">
        <f>IF(AND('领用录入（明细）'!D:D=$F$4,'领用录入（明细）'!C:C&gt;=$J$4,'领用录入（明细）'!C:C&lt;=$L$4),ROW(),"-")</f>
        <v>-</v>
      </c>
    </row>
    <row r="11464" customHeight="1" spans="2:2">
      <c r="B11464" s="62" t="str">
        <f>IF(AND('领用录入（明细）'!D:D=$F$4,'领用录入（明细）'!C:C&gt;=$J$4,'领用录入（明细）'!C:C&lt;=$L$4),ROW(),"-")</f>
        <v>-</v>
      </c>
    </row>
    <row r="11465" customHeight="1" spans="2:2">
      <c r="B11465" s="62" t="str">
        <f>IF(AND('领用录入（明细）'!D:D=$F$4,'领用录入（明细）'!C:C&gt;=$J$4,'领用录入（明细）'!C:C&lt;=$L$4),ROW(),"-")</f>
        <v>-</v>
      </c>
    </row>
    <row r="11466" customHeight="1" spans="2:2">
      <c r="B11466" s="62" t="str">
        <f>IF(AND('领用录入（明细）'!D:D=$F$4,'领用录入（明细）'!C:C&gt;=$J$4,'领用录入（明细）'!C:C&lt;=$L$4),ROW(),"-")</f>
        <v>-</v>
      </c>
    </row>
    <row r="11467" customHeight="1" spans="2:2">
      <c r="B11467" s="62" t="str">
        <f>IF(AND('领用录入（明细）'!D:D=$F$4,'领用录入（明细）'!C:C&gt;=$J$4,'领用录入（明细）'!C:C&lt;=$L$4),ROW(),"-")</f>
        <v>-</v>
      </c>
    </row>
    <row r="11468" customHeight="1" spans="2:2">
      <c r="B11468" s="62" t="str">
        <f>IF(AND('领用录入（明细）'!D:D=$F$4,'领用录入（明细）'!C:C&gt;=$J$4,'领用录入（明细）'!C:C&lt;=$L$4),ROW(),"-")</f>
        <v>-</v>
      </c>
    </row>
    <row r="11469" customHeight="1" spans="2:2">
      <c r="B11469" s="62" t="str">
        <f>IF(AND('领用录入（明细）'!D:D=$F$4,'领用录入（明细）'!C:C&gt;=$J$4,'领用录入（明细）'!C:C&lt;=$L$4),ROW(),"-")</f>
        <v>-</v>
      </c>
    </row>
    <row r="11470" customHeight="1" spans="2:2">
      <c r="B11470" s="62" t="str">
        <f>IF(AND('领用录入（明细）'!D:D=$F$4,'领用录入（明细）'!C:C&gt;=$J$4,'领用录入（明细）'!C:C&lt;=$L$4),ROW(),"-")</f>
        <v>-</v>
      </c>
    </row>
    <row r="11471" customHeight="1" spans="2:2">
      <c r="B11471" s="62" t="str">
        <f>IF(AND('领用录入（明细）'!D:D=$F$4,'领用录入（明细）'!C:C&gt;=$J$4,'领用录入（明细）'!C:C&lt;=$L$4),ROW(),"-")</f>
        <v>-</v>
      </c>
    </row>
    <row r="11472" customHeight="1" spans="2:2">
      <c r="B11472" s="62" t="str">
        <f>IF(AND('领用录入（明细）'!D:D=$F$4,'领用录入（明细）'!C:C&gt;=$J$4,'领用录入（明细）'!C:C&lt;=$L$4),ROW(),"-")</f>
        <v>-</v>
      </c>
    </row>
    <row r="11473" customHeight="1" spans="2:2">
      <c r="B11473" s="62" t="str">
        <f>IF(AND('领用录入（明细）'!D:D=$F$4,'领用录入（明细）'!C:C&gt;=$J$4,'领用录入（明细）'!C:C&lt;=$L$4),ROW(),"-")</f>
        <v>-</v>
      </c>
    </row>
    <row r="11474" customHeight="1" spans="2:2">
      <c r="B11474" s="62" t="str">
        <f>IF(AND('领用录入（明细）'!D:D=$F$4,'领用录入（明细）'!C:C&gt;=$J$4,'领用录入（明细）'!C:C&lt;=$L$4),ROW(),"-")</f>
        <v>-</v>
      </c>
    </row>
    <row r="11475" customHeight="1" spans="2:2">
      <c r="B11475" s="62" t="str">
        <f>IF(AND('领用录入（明细）'!D:D=$F$4,'领用录入（明细）'!C:C&gt;=$J$4,'领用录入（明细）'!C:C&lt;=$L$4),ROW(),"-")</f>
        <v>-</v>
      </c>
    </row>
    <row r="11476" customHeight="1" spans="2:2">
      <c r="B11476" s="62" t="str">
        <f>IF(AND('领用录入（明细）'!D:D=$F$4,'领用录入（明细）'!C:C&gt;=$J$4,'领用录入（明细）'!C:C&lt;=$L$4),ROW(),"-")</f>
        <v>-</v>
      </c>
    </row>
    <row r="11477" customHeight="1" spans="2:2">
      <c r="B11477" s="62" t="str">
        <f>IF(AND('领用录入（明细）'!D:D=$F$4,'领用录入（明细）'!C:C&gt;=$J$4,'领用录入（明细）'!C:C&lt;=$L$4),ROW(),"-")</f>
        <v>-</v>
      </c>
    </row>
    <row r="11478" customHeight="1" spans="2:2">
      <c r="B11478" s="62" t="str">
        <f>IF(AND('领用录入（明细）'!D:D=$F$4,'领用录入（明细）'!C:C&gt;=$J$4,'领用录入（明细）'!C:C&lt;=$L$4),ROW(),"-")</f>
        <v>-</v>
      </c>
    </row>
    <row r="11479" customHeight="1" spans="2:2">
      <c r="B11479" s="62" t="str">
        <f>IF(AND('领用录入（明细）'!D:D=$F$4,'领用录入（明细）'!C:C&gt;=$J$4,'领用录入（明细）'!C:C&lt;=$L$4),ROW(),"-")</f>
        <v>-</v>
      </c>
    </row>
    <row r="11480" customHeight="1" spans="2:2">
      <c r="B11480" s="62" t="str">
        <f>IF(AND('领用录入（明细）'!D:D=$F$4,'领用录入（明细）'!C:C&gt;=$J$4,'领用录入（明细）'!C:C&lt;=$L$4),ROW(),"-")</f>
        <v>-</v>
      </c>
    </row>
    <row r="11481" customHeight="1" spans="2:2">
      <c r="B11481" s="62" t="str">
        <f>IF(AND('领用录入（明细）'!D:D=$F$4,'领用录入（明细）'!C:C&gt;=$J$4,'领用录入（明细）'!C:C&lt;=$L$4),ROW(),"-")</f>
        <v>-</v>
      </c>
    </row>
    <row r="11482" customHeight="1" spans="2:2">
      <c r="B11482" s="62" t="str">
        <f>IF(AND('领用录入（明细）'!D:D=$F$4,'领用录入（明细）'!C:C&gt;=$J$4,'领用录入（明细）'!C:C&lt;=$L$4),ROW(),"-")</f>
        <v>-</v>
      </c>
    </row>
    <row r="11483" customHeight="1" spans="2:2">
      <c r="B11483" s="62" t="str">
        <f>IF(AND('领用录入（明细）'!D:D=$F$4,'领用录入（明细）'!C:C&gt;=$J$4,'领用录入（明细）'!C:C&lt;=$L$4),ROW(),"-")</f>
        <v>-</v>
      </c>
    </row>
    <row r="11484" customHeight="1" spans="2:2">
      <c r="B11484" s="62" t="str">
        <f>IF(AND('领用录入（明细）'!D:D=$F$4,'领用录入（明细）'!C:C&gt;=$J$4,'领用录入（明细）'!C:C&lt;=$L$4),ROW(),"-")</f>
        <v>-</v>
      </c>
    </row>
    <row r="11485" customHeight="1" spans="2:2">
      <c r="B11485" s="62" t="str">
        <f>IF(AND('领用录入（明细）'!D:D=$F$4,'领用录入（明细）'!C:C&gt;=$J$4,'领用录入（明细）'!C:C&lt;=$L$4),ROW(),"-")</f>
        <v>-</v>
      </c>
    </row>
    <row r="11486" customHeight="1" spans="2:2">
      <c r="B11486" s="62" t="str">
        <f>IF(AND('领用录入（明细）'!D:D=$F$4,'领用录入（明细）'!C:C&gt;=$J$4,'领用录入（明细）'!C:C&lt;=$L$4),ROW(),"-")</f>
        <v>-</v>
      </c>
    </row>
    <row r="11487" customHeight="1" spans="2:2">
      <c r="B11487" s="62" t="str">
        <f>IF(AND('领用录入（明细）'!D:D=$F$4,'领用录入（明细）'!C:C&gt;=$J$4,'领用录入（明细）'!C:C&lt;=$L$4),ROW(),"-")</f>
        <v>-</v>
      </c>
    </row>
    <row r="11488" customHeight="1" spans="2:2">
      <c r="B11488" s="62" t="str">
        <f>IF(AND('领用录入（明细）'!D:D=$F$4,'领用录入（明细）'!C:C&gt;=$J$4,'领用录入（明细）'!C:C&lt;=$L$4),ROW(),"-")</f>
        <v>-</v>
      </c>
    </row>
    <row r="11489" customHeight="1" spans="2:2">
      <c r="B11489" s="62" t="str">
        <f>IF(AND('领用录入（明细）'!D:D=$F$4,'领用录入（明细）'!C:C&gt;=$J$4,'领用录入（明细）'!C:C&lt;=$L$4),ROW(),"-")</f>
        <v>-</v>
      </c>
    </row>
    <row r="11490" customHeight="1" spans="2:2">
      <c r="B11490" s="62" t="str">
        <f>IF(AND('领用录入（明细）'!D:D=$F$4,'领用录入（明细）'!C:C&gt;=$J$4,'领用录入（明细）'!C:C&lt;=$L$4),ROW(),"-")</f>
        <v>-</v>
      </c>
    </row>
    <row r="11491" customHeight="1" spans="2:2">
      <c r="B11491" s="62" t="str">
        <f>IF(AND('领用录入（明细）'!D:D=$F$4,'领用录入（明细）'!C:C&gt;=$J$4,'领用录入（明细）'!C:C&lt;=$L$4),ROW(),"-")</f>
        <v>-</v>
      </c>
    </row>
    <row r="11492" customHeight="1" spans="2:2">
      <c r="B11492" s="62" t="str">
        <f>IF(AND('领用录入（明细）'!D:D=$F$4,'领用录入（明细）'!C:C&gt;=$J$4,'领用录入（明细）'!C:C&lt;=$L$4),ROW(),"-")</f>
        <v>-</v>
      </c>
    </row>
    <row r="11493" customHeight="1" spans="2:2">
      <c r="B11493" s="62" t="str">
        <f>IF(AND('领用录入（明细）'!D:D=$F$4,'领用录入（明细）'!C:C&gt;=$J$4,'领用录入（明细）'!C:C&lt;=$L$4),ROW(),"-")</f>
        <v>-</v>
      </c>
    </row>
    <row r="11494" customHeight="1" spans="2:2">
      <c r="B11494" s="62" t="str">
        <f>IF(AND('领用录入（明细）'!D:D=$F$4,'领用录入（明细）'!C:C&gt;=$J$4,'领用录入（明细）'!C:C&lt;=$L$4),ROW(),"-")</f>
        <v>-</v>
      </c>
    </row>
    <row r="11495" customHeight="1" spans="2:2">
      <c r="B11495" s="62" t="str">
        <f>IF(AND('领用录入（明细）'!D:D=$F$4,'领用录入（明细）'!C:C&gt;=$J$4,'领用录入（明细）'!C:C&lt;=$L$4),ROW(),"-")</f>
        <v>-</v>
      </c>
    </row>
    <row r="11496" customHeight="1" spans="2:2">
      <c r="B11496" s="62" t="str">
        <f>IF(AND('领用录入（明细）'!D:D=$F$4,'领用录入（明细）'!C:C&gt;=$J$4,'领用录入（明细）'!C:C&lt;=$L$4),ROW(),"-")</f>
        <v>-</v>
      </c>
    </row>
    <row r="11497" customHeight="1" spans="2:2">
      <c r="B11497" s="62" t="str">
        <f>IF(AND('领用录入（明细）'!D:D=$F$4,'领用录入（明细）'!C:C&gt;=$J$4,'领用录入（明细）'!C:C&lt;=$L$4),ROW(),"-")</f>
        <v>-</v>
      </c>
    </row>
    <row r="11498" customHeight="1" spans="2:2">
      <c r="B11498" s="62" t="str">
        <f>IF(AND('领用录入（明细）'!D:D=$F$4,'领用录入（明细）'!C:C&gt;=$J$4,'领用录入（明细）'!C:C&lt;=$L$4),ROW(),"-")</f>
        <v>-</v>
      </c>
    </row>
    <row r="11499" customHeight="1" spans="2:2">
      <c r="B11499" s="62" t="str">
        <f>IF(AND('领用录入（明细）'!D:D=$F$4,'领用录入（明细）'!C:C&gt;=$J$4,'领用录入（明细）'!C:C&lt;=$L$4),ROW(),"-")</f>
        <v>-</v>
      </c>
    </row>
    <row r="11500" customHeight="1" spans="2:2">
      <c r="B11500" s="62" t="str">
        <f>IF(AND('领用录入（明细）'!D:D=$F$4,'领用录入（明细）'!C:C&gt;=$J$4,'领用录入（明细）'!C:C&lt;=$L$4),ROW(),"-")</f>
        <v>-</v>
      </c>
    </row>
    <row r="11501" customHeight="1" spans="2:2">
      <c r="B11501" s="62" t="str">
        <f>IF(AND('领用录入（明细）'!D:D=$F$4,'领用录入（明细）'!C:C&gt;=$J$4,'领用录入（明细）'!C:C&lt;=$L$4),ROW(),"-")</f>
        <v>-</v>
      </c>
    </row>
    <row r="11502" customHeight="1" spans="2:2">
      <c r="B11502" s="62" t="str">
        <f>IF(AND('领用录入（明细）'!D:D=$F$4,'领用录入（明细）'!C:C&gt;=$J$4,'领用录入（明细）'!C:C&lt;=$L$4),ROW(),"-")</f>
        <v>-</v>
      </c>
    </row>
    <row r="11503" customHeight="1" spans="2:2">
      <c r="B11503" s="62" t="str">
        <f>IF(AND('领用录入（明细）'!D:D=$F$4,'领用录入（明细）'!C:C&gt;=$J$4,'领用录入（明细）'!C:C&lt;=$L$4),ROW(),"-")</f>
        <v>-</v>
      </c>
    </row>
    <row r="11504" customHeight="1" spans="2:2">
      <c r="B11504" s="62" t="str">
        <f>IF(AND('领用录入（明细）'!D:D=$F$4,'领用录入（明细）'!C:C&gt;=$J$4,'领用录入（明细）'!C:C&lt;=$L$4),ROW(),"-")</f>
        <v>-</v>
      </c>
    </row>
    <row r="11505" customHeight="1" spans="2:2">
      <c r="B11505" s="62" t="str">
        <f>IF(AND('领用录入（明细）'!D:D=$F$4,'领用录入（明细）'!C:C&gt;=$J$4,'领用录入（明细）'!C:C&lt;=$L$4),ROW(),"-")</f>
        <v>-</v>
      </c>
    </row>
    <row r="11506" customHeight="1" spans="2:2">
      <c r="B11506" s="62" t="str">
        <f>IF(AND('领用录入（明细）'!D:D=$F$4,'领用录入（明细）'!C:C&gt;=$J$4,'领用录入（明细）'!C:C&lt;=$L$4),ROW(),"-")</f>
        <v>-</v>
      </c>
    </row>
    <row r="11507" customHeight="1" spans="2:2">
      <c r="B11507" s="62" t="str">
        <f>IF(AND('领用录入（明细）'!D:D=$F$4,'领用录入（明细）'!C:C&gt;=$J$4,'领用录入（明细）'!C:C&lt;=$L$4),ROW(),"-")</f>
        <v>-</v>
      </c>
    </row>
    <row r="11508" customHeight="1" spans="2:2">
      <c r="B11508" s="62" t="str">
        <f>IF(AND('领用录入（明细）'!D:D=$F$4,'领用录入（明细）'!C:C&gt;=$J$4,'领用录入（明细）'!C:C&lt;=$L$4),ROW(),"-")</f>
        <v>-</v>
      </c>
    </row>
    <row r="11509" customHeight="1" spans="2:2">
      <c r="B11509" s="62" t="str">
        <f>IF(AND('领用录入（明细）'!D:D=$F$4,'领用录入（明细）'!C:C&gt;=$J$4,'领用录入（明细）'!C:C&lt;=$L$4),ROW(),"-")</f>
        <v>-</v>
      </c>
    </row>
    <row r="11510" customHeight="1" spans="2:2">
      <c r="B11510" s="62" t="str">
        <f>IF(AND('领用录入（明细）'!D:D=$F$4,'领用录入（明细）'!C:C&gt;=$J$4,'领用录入（明细）'!C:C&lt;=$L$4),ROW(),"-")</f>
        <v>-</v>
      </c>
    </row>
    <row r="11511" customHeight="1" spans="2:2">
      <c r="B11511" s="62" t="str">
        <f>IF(AND('领用录入（明细）'!D:D=$F$4,'领用录入（明细）'!C:C&gt;=$J$4,'领用录入（明细）'!C:C&lt;=$L$4),ROW(),"-")</f>
        <v>-</v>
      </c>
    </row>
    <row r="11512" customHeight="1" spans="2:2">
      <c r="B11512" s="62" t="str">
        <f>IF(AND('领用录入（明细）'!D:D=$F$4,'领用录入（明细）'!C:C&gt;=$J$4,'领用录入（明细）'!C:C&lt;=$L$4),ROW(),"-")</f>
        <v>-</v>
      </c>
    </row>
    <row r="11513" customHeight="1" spans="2:2">
      <c r="B11513" s="62" t="str">
        <f>IF(AND('领用录入（明细）'!D:D=$F$4,'领用录入（明细）'!C:C&gt;=$J$4,'领用录入（明细）'!C:C&lt;=$L$4),ROW(),"-")</f>
        <v>-</v>
      </c>
    </row>
    <row r="11514" customHeight="1" spans="2:2">
      <c r="B11514" s="62" t="str">
        <f>IF(AND('领用录入（明细）'!D:D=$F$4,'领用录入（明细）'!C:C&gt;=$J$4,'领用录入（明细）'!C:C&lt;=$L$4),ROW(),"-")</f>
        <v>-</v>
      </c>
    </row>
    <row r="11515" customHeight="1" spans="2:2">
      <c r="B11515" s="62" t="str">
        <f>IF(AND('领用录入（明细）'!D:D=$F$4,'领用录入（明细）'!C:C&gt;=$J$4,'领用录入（明细）'!C:C&lt;=$L$4),ROW(),"-")</f>
        <v>-</v>
      </c>
    </row>
    <row r="11516" customHeight="1" spans="2:2">
      <c r="B11516" s="62" t="str">
        <f>IF(AND('领用录入（明细）'!D:D=$F$4,'领用录入（明细）'!C:C&gt;=$J$4,'领用录入（明细）'!C:C&lt;=$L$4),ROW(),"-")</f>
        <v>-</v>
      </c>
    </row>
    <row r="11517" customHeight="1" spans="2:2">
      <c r="B11517" s="62" t="str">
        <f>IF(AND('领用录入（明细）'!D:D=$F$4,'领用录入（明细）'!C:C&gt;=$J$4,'领用录入（明细）'!C:C&lt;=$L$4),ROW(),"-")</f>
        <v>-</v>
      </c>
    </row>
    <row r="11518" customHeight="1" spans="2:2">
      <c r="B11518" s="62" t="str">
        <f>IF(AND('领用录入（明细）'!D:D=$F$4,'领用录入（明细）'!C:C&gt;=$J$4,'领用录入（明细）'!C:C&lt;=$L$4),ROW(),"-")</f>
        <v>-</v>
      </c>
    </row>
    <row r="11519" customHeight="1" spans="2:2">
      <c r="B11519" s="62" t="str">
        <f>IF(AND('领用录入（明细）'!D:D=$F$4,'领用录入（明细）'!C:C&gt;=$J$4,'领用录入（明细）'!C:C&lt;=$L$4),ROW(),"-")</f>
        <v>-</v>
      </c>
    </row>
    <row r="11520" customHeight="1" spans="2:2">
      <c r="B11520" s="62" t="str">
        <f>IF(AND('领用录入（明细）'!D:D=$F$4,'领用录入（明细）'!C:C&gt;=$J$4,'领用录入（明细）'!C:C&lt;=$L$4),ROW(),"-")</f>
        <v>-</v>
      </c>
    </row>
    <row r="11521" customHeight="1" spans="2:2">
      <c r="B11521" s="62" t="str">
        <f>IF(AND('领用录入（明细）'!D:D=$F$4,'领用录入（明细）'!C:C&gt;=$J$4,'领用录入（明细）'!C:C&lt;=$L$4),ROW(),"-")</f>
        <v>-</v>
      </c>
    </row>
    <row r="11522" customHeight="1" spans="2:2">
      <c r="B11522" s="62" t="str">
        <f>IF(AND('领用录入（明细）'!D:D=$F$4,'领用录入（明细）'!C:C&gt;=$J$4,'领用录入（明细）'!C:C&lt;=$L$4),ROW(),"-")</f>
        <v>-</v>
      </c>
    </row>
    <row r="11523" customHeight="1" spans="2:2">
      <c r="B11523" s="62" t="str">
        <f>IF(AND('领用录入（明细）'!D:D=$F$4,'领用录入（明细）'!C:C&gt;=$J$4,'领用录入（明细）'!C:C&lt;=$L$4),ROW(),"-")</f>
        <v>-</v>
      </c>
    </row>
    <row r="11524" customHeight="1" spans="2:2">
      <c r="B11524" s="62" t="str">
        <f>IF(AND('领用录入（明细）'!D:D=$F$4,'领用录入（明细）'!C:C&gt;=$J$4,'领用录入（明细）'!C:C&lt;=$L$4),ROW(),"-")</f>
        <v>-</v>
      </c>
    </row>
    <row r="11525" customHeight="1" spans="2:2">
      <c r="B11525" s="62" t="str">
        <f>IF(AND('领用录入（明细）'!D:D=$F$4,'领用录入（明细）'!C:C&gt;=$J$4,'领用录入（明细）'!C:C&lt;=$L$4),ROW(),"-")</f>
        <v>-</v>
      </c>
    </row>
    <row r="11526" customHeight="1" spans="2:2">
      <c r="B11526" s="62" t="str">
        <f>IF(AND('领用录入（明细）'!D:D=$F$4,'领用录入（明细）'!C:C&gt;=$J$4,'领用录入（明细）'!C:C&lt;=$L$4),ROW(),"-")</f>
        <v>-</v>
      </c>
    </row>
    <row r="11527" customHeight="1" spans="2:2">
      <c r="B11527" s="62" t="str">
        <f>IF(AND('领用录入（明细）'!D:D=$F$4,'领用录入（明细）'!C:C&gt;=$J$4,'领用录入（明细）'!C:C&lt;=$L$4),ROW(),"-")</f>
        <v>-</v>
      </c>
    </row>
    <row r="11528" customHeight="1" spans="2:2">
      <c r="B11528" s="62" t="str">
        <f>IF(AND('领用录入（明细）'!D:D=$F$4,'领用录入（明细）'!C:C&gt;=$J$4,'领用录入（明细）'!C:C&lt;=$L$4),ROW(),"-")</f>
        <v>-</v>
      </c>
    </row>
    <row r="11529" customHeight="1" spans="2:2">
      <c r="B11529" s="62" t="str">
        <f>IF(AND('领用录入（明细）'!D:D=$F$4,'领用录入（明细）'!C:C&gt;=$J$4,'领用录入（明细）'!C:C&lt;=$L$4),ROW(),"-")</f>
        <v>-</v>
      </c>
    </row>
    <row r="11530" customHeight="1" spans="2:2">
      <c r="B11530" s="62" t="str">
        <f>IF(AND('领用录入（明细）'!D:D=$F$4,'领用录入（明细）'!C:C&gt;=$J$4,'领用录入（明细）'!C:C&lt;=$L$4),ROW(),"-")</f>
        <v>-</v>
      </c>
    </row>
    <row r="11531" customHeight="1" spans="2:2">
      <c r="B11531" s="62" t="str">
        <f>IF(AND('领用录入（明细）'!D:D=$F$4,'领用录入（明细）'!C:C&gt;=$J$4,'领用录入（明细）'!C:C&lt;=$L$4),ROW(),"-")</f>
        <v>-</v>
      </c>
    </row>
    <row r="11532" customHeight="1" spans="2:2">
      <c r="B11532" s="62" t="str">
        <f>IF(AND('领用录入（明细）'!D:D=$F$4,'领用录入（明细）'!C:C&gt;=$J$4,'领用录入（明细）'!C:C&lt;=$L$4),ROW(),"-")</f>
        <v>-</v>
      </c>
    </row>
    <row r="11533" customHeight="1" spans="2:2">
      <c r="B11533" s="62" t="str">
        <f>IF(AND('领用录入（明细）'!D:D=$F$4,'领用录入（明细）'!C:C&gt;=$J$4,'领用录入（明细）'!C:C&lt;=$L$4),ROW(),"-")</f>
        <v>-</v>
      </c>
    </row>
    <row r="11534" customHeight="1" spans="2:2">
      <c r="B11534" s="62" t="str">
        <f>IF(AND('领用录入（明细）'!D:D=$F$4,'领用录入（明细）'!C:C&gt;=$J$4,'领用录入（明细）'!C:C&lt;=$L$4),ROW(),"-")</f>
        <v>-</v>
      </c>
    </row>
    <row r="11535" customHeight="1" spans="2:2">
      <c r="B11535" s="62" t="str">
        <f>IF(AND('领用录入（明细）'!D:D=$F$4,'领用录入（明细）'!C:C&gt;=$J$4,'领用录入（明细）'!C:C&lt;=$L$4),ROW(),"-")</f>
        <v>-</v>
      </c>
    </row>
    <row r="11536" customHeight="1" spans="2:2">
      <c r="B11536" s="62" t="str">
        <f>IF(AND('领用录入（明细）'!D:D=$F$4,'领用录入（明细）'!C:C&gt;=$J$4,'领用录入（明细）'!C:C&lt;=$L$4),ROW(),"-")</f>
        <v>-</v>
      </c>
    </row>
    <row r="11537" customHeight="1" spans="2:2">
      <c r="B11537" s="62" t="str">
        <f>IF(AND('领用录入（明细）'!D:D=$F$4,'领用录入（明细）'!C:C&gt;=$J$4,'领用录入（明细）'!C:C&lt;=$L$4),ROW(),"-")</f>
        <v>-</v>
      </c>
    </row>
    <row r="11538" customHeight="1" spans="2:2">
      <c r="B11538" s="62" t="str">
        <f>IF(AND('领用录入（明细）'!D:D=$F$4,'领用录入（明细）'!C:C&gt;=$J$4,'领用录入（明细）'!C:C&lt;=$L$4),ROW(),"-")</f>
        <v>-</v>
      </c>
    </row>
    <row r="11539" customHeight="1" spans="2:2">
      <c r="B11539" s="62" t="str">
        <f>IF(AND('领用录入（明细）'!D:D=$F$4,'领用录入（明细）'!C:C&gt;=$J$4,'领用录入（明细）'!C:C&lt;=$L$4),ROW(),"-")</f>
        <v>-</v>
      </c>
    </row>
    <row r="11540" customHeight="1" spans="2:2">
      <c r="B11540" s="62" t="str">
        <f>IF(AND('领用录入（明细）'!D:D=$F$4,'领用录入（明细）'!C:C&gt;=$J$4,'领用录入（明细）'!C:C&lt;=$L$4),ROW(),"-")</f>
        <v>-</v>
      </c>
    </row>
    <row r="11541" customHeight="1" spans="2:2">
      <c r="B11541" s="62" t="str">
        <f>IF(AND('领用录入（明细）'!D:D=$F$4,'领用录入（明细）'!C:C&gt;=$J$4,'领用录入（明细）'!C:C&lt;=$L$4),ROW(),"-")</f>
        <v>-</v>
      </c>
    </row>
    <row r="11542" customHeight="1" spans="2:2">
      <c r="B11542" s="62" t="str">
        <f>IF(AND('领用录入（明细）'!D:D=$F$4,'领用录入（明细）'!C:C&gt;=$J$4,'领用录入（明细）'!C:C&lt;=$L$4),ROW(),"-")</f>
        <v>-</v>
      </c>
    </row>
    <row r="11543" customHeight="1" spans="2:2">
      <c r="B11543" s="62" t="str">
        <f>IF(AND('领用录入（明细）'!D:D=$F$4,'领用录入（明细）'!C:C&gt;=$J$4,'领用录入（明细）'!C:C&lt;=$L$4),ROW(),"-")</f>
        <v>-</v>
      </c>
    </row>
    <row r="11544" customHeight="1" spans="2:2">
      <c r="B11544" s="62" t="str">
        <f>IF(AND('领用录入（明细）'!D:D=$F$4,'领用录入（明细）'!C:C&gt;=$J$4,'领用录入（明细）'!C:C&lt;=$L$4),ROW(),"-")</f>
        <v>-</v>
      </c>
    </row>
    <row r="11545" customHeight="1" spans="2:2">
      <c r="B11545" s="62" t="str">
        <f>IF(AND('领用录入（明细）'!D:D=$F$4,'领用录入（明细）'!C:C&gt;=$J$4,'领用录入（明细）'!C:C&lt;=$L$4),ROW(),"-")</f>
        <v>-</v>
      </c>
    </row>
    <row r="11546" customHeight="1" spans="2:2">
      <c r="B11546" s="62" t="str">
        <f>IF(AND('领用录入（明细）'!D:D=$F$4,'领用录入（明细）'!C:C&gt;=$J$4,'领用录入（明细）'!C:C&lt;=$L$4),ROW(),"-")</f>
        <v>-</v>
      </c>
    </row>
    <row r="11547" customHeight="1" spans="2:2">
      <c r="B11547" s="62" t="str">
        <f>IF(AND('领用录入（明细）'!D:D=$F$4,'领用录入（明细）'!C:C&gt;=$J$4,'领用录入（明细）'!C:C&lt;=$L$4),ROW(),"-")</f>
        <v>-</v>
      </c>
    </row>
    <row r="11548" customHeight="1" spans="2:2">
      <c r="B11548" s="62" t="str">
        <f>IF(AND('领用录入（明细）'!D:D=$F$4,'领用录入（明细）'!C:C&gt;=$J$4,'领用录入（明细）'!C:C&lt;=$L$4),ROW(),"-")</f>
        <v>-</v>
      </c>
    </row>
    <row r="11549" customHeight="1" spans="2:2">
      <c r="B11549" s="62" t="str">
        <f>IF(AND('领用录入（明细）'!D:D=$F$4,'领用录入（明细）'!C:C&gt;=$J$4,'领用录入（明细）'!C:C&lt;=$L$4),ROW(),"-")</f>
        <v>-</v>
      </c>
    </row>
    <row r="11550" customHeight="1" spans="2:2">
      <c r="B11550" s="62" t="str">
        <f>IF(AND('领用录入（明细）'!D:D=$F$4,'领用录入（明细）'!C:C&gt;=$J$4,'领用录入（明细）'!C:C&lt;=$L$4),ROW(),"-")</f>
        <v>-</v>
      </c>
    </row>
    <row r="11551" customHeight="1" spans="2:2">
      <c r="B11551" s="62" t="str">
        <f>IF(AND('领用录入（明细）'!D:D=$F$4,'领用录入（明细）'!C:C&gt;=$J$4,'领用录入（明细）'!C:C&lt;=$L$4),ROW(),"-")</f>
        <v>-</v>
      </c>
    </row>
    <row r="11552" customHeight="1" spans="2:2">
      <c r="B11552" s="62" t="str">
        <f>IF(AND('领用录入（明细）'!D:D=$F$4,'领用录入（明细）'!C:C&gt;=$J$4,'领用录入（明细）'!C:C&lt;=$L$4),ROW(),"-")</f>
        <v>-</v>
      </c>
    </row>
    <row r="11553" customHeight="1" spans="2:2">
      <c r="B11553" s="62" t="str">
        <f>IF(AND('领用录入（明细）'!D:D=$F$4,'领用录入（明细）'!C:C&gt;=$J$4,'领用录入（明细）'!C:C&lt;=$L$4),ROW(),"-")</f>
        <v>-</v>
      </c>
    </row>
    <row r="11554" customHeight="1" spans="2:2">
      <c r="B11554" s="62" t="str">
        <f>IF(AND('领用录入（明细）'!D:D=$F$4,'领用录入（明细）'!C:C&gt;=$J$4,'领用录入（明细）'!C:C&lt;=$L$4),ROW(),"-")</f>
        <v>-</v>
      </c>
    </row>
    <row r="11555" customHeight="1" spans="2:2">
      <c r="B11555" s="62" t="str">
        <f>IF(AND('领用录入（明细）'!D:D=$F$4,'领用录入（明细）'!C:C&gt;=$J$4,'领用录入（明细）'!C:C&lt;=$L$4),ROW(),"-")</f>
        <v>-</v>
      </c>
    </row>
    <row r="11556" customHeight="1" spans="2:2">
      <c r="B11556" s="62" t="str">
        <f>IF(AND('领用录入（明细）'!D:D=$F$4,'领用录入（明细）'!C:C&gt;=$J$4,'领用录入（明细）'!C:C&lt;=$L$4),ROW(),"-")</f>
        <v>-</v>
      </c>
    </row>
    <row r="11557" customHeight="1" spans="2:2">
      <c r="B11557" s="62" t="str">
        <f>IF(AND('领用录入（明细）'!D:D=$F$4,'领用录入（明细）'!C:C&gt;=$J$4,'领用录入（明细）'!C:C&lt;=$L$4),ROW(),"-")</f>
        <v>-</v>
      </c>
    </row>
    <row r="11558" customHeight="1" spans="2:2">
      <c r="B11558" s="62" t="str">
        <f>IF(AND('领用录入（明细）'!D:D=$F$4,'领用录入（明细）'!C:C&gt;=$J$4,'领用录入（明细）'!C:C&lt;=$L$4),ROW(),"-")</f>
        <v>-</v>
      </c>
    </row>
    <row r="11559" customHeight="1" spans="2:2">
      <c r="B11559" s="62" t="str">
        <f>IF(AND('领用录入（明细）'!D:D=$F$4,'领用录入（明细）'!C:C&gt;=$J$4,'领用录入（明细）'!C:C&lt;=$L$4),ROW(),"-")</f>
        <v>-</v>
      </c>
    </row>
    <row r="11560" customHeight="1" spans="2:2">
      <c r="B11560" s="62" t="str">
        <f>IF(AND('领用录入（明细）'!D:D=$F$4,'领用录入（明细）'!C:C&gt;=$J$4,'领用录入（明细）'!C:C&lt;=$L$4),ROW(),"-")</f>
        <v>-</v>
      </c>
    </row>
    <row r="11561" customHeight="1" spans="2:2">
      <c r="B11561" s="62" t="str">
        <f>IF(AND('领用录入（明细）'!D:D=$F$4,'领用录入（明细）'!C:C&gt;=$J$4,'领用录入（明细）'!C:C&lt;=$L$4),ROW(),"-")</f>
        <v>-</v>
      </c>
    </row>
    <row r="11562" customHeight="1" spans="2:2">
      <c r="B11562" s="62" t="str">
        <f>IF(AND('领用录入（明细）'!D:D=$F$4,'领用录入（明细）'!C:C&gt;=$J$4,'领用录入（明细）'!C:C&lt;=$L$4),ROW(),"-")</f>
        <v>-</v>
      </c>
    </row>
    <row r="11563" customHeight="1" spans="2:2">
      <c r="B11563" s="62" t="str">
        <f>IF(AND('领用录入（明细）'!D:D=$F$4,'领用录入（明细）'!C:C&gt;=$J$4,'领用录入（明细）'!C:C&lt;=$L$4),ROW(),"-")</f>
        <v>-</v>
      </c>
    </row>
    <row r="11564" customHeight="1" spans="2:2">
      <c r="B11564" s="62" t="str">
        <f>IF(AND('领用录入（明细）'!D:D=$F$4,'领用录入（明细）'!C:C&gt;=$J$4,'领用录入（明细）'!C:C&lt;=$L$4),ROW(),"-")</f>
        <v>-</v>
      </c>
    </row>
    <row r="11565" customHeight="1" spans="2:2">
      <c r="B11565" s="62" t="str">
        <f>IF(AND('领用录入（明细）'!D:D=$F$4,'领用录入（明细）'!C:C&gt;=$J$4,'领用录入（明细）'!C:C&lt;=$L$4),ROW(),"-")</f>
        <v>-</v>
      </c>
    </row>
    <row r="11566" customHeight="1" spans="2:2">
      <c r="B11566" s="62" t="str">
        <f>IF(AND('领用录入（明细）'!D:D=$F$4,'领用录入（明细）'!C:C&gt;=$J$4,'领用录入（明细）'!C:C&lt;=$L$4),ROW(),"-")</f>
        <v>-</v>
      </c>
    </row>
    <row r="11567" customHeight="1" spans="2:2">
      <c r="B11567" s="62" t="str">
        <f>IF(AND('领用录入（明细）'!D:D=$F$4,'领用录入（明细）'!C:C&gt;=$J$4,'领用录入（明细）'!C:C&lt;=$L$4),ROW(),"-")</f>
        <v>-</v>
      </c>
    </row>
    <row r="11568" customHeight="1" spans="2:2">
      <c r="B11568" s="62" t="str">
        <f>IF(AND('领用录入（明细）'!D:D=$F$4,'领用录入（明细）'!C:C&gt;=$J$4,'领用录入（明细）'!C:C&lt;=$L$4),ROW(),"-")</f>
        <v>-</v>
      </c>
    </row>
    <row r="11569" customHeight="1" spans="2:2">
      <c r="B11569" s="62" t="str">
        <f>IF(AND('领用录入（明细）'!D:D=$F$4,'领用录入（明细）'!C:C&gt;=$J$4,'领用录入（明细）'!C:C&lt;=$L$4),ROW(),"-")</f>
        <v>-</v>
      </c>
    </row>
    <row r="11570" customHeight="1" spans="2:2">
      <c r="B11570" s="62" t="str">
        <f>IF(AND('领用录入（明细）'!D:D=$F$4,'领用录入（明细）'!C:C&gt;=$J$4,'领用录入（明细）'!C:C&lt;=$L$4),ROW(),"-")</f>
        <v>-</v>
      </c>
    </row>
    <row r="11571" customHeight="1" spans="2:2">
      <c r="B11571" s="62" t="str">
        <f>IF(AND('领用录入（明细）'!D:D=$F$4,'领用录入（明细）'!C:C&gt;=$J$4,'领用录入（明细）'!C:C&lt;=$L$4),ROW(),"-")</f>
        <v>-</v>
      </c>
    </row>
    <row r="11572" customHeight="1" spans="2:2">
      <c r="B11572" s="62" t="str">
        <f>IF(AND('领用录入（明细）'!D:D=$F$4,'领用录入（明细）'!C:C&gt;=$J$4,'领用录入（明细）'!C:C&lt;=$L$4),ROW(),"-")</f>
        <v>-</v>
      </c>
    </row>
    <row r="11573" customHeight="1" spans="2:2">
      <c r="B11573" s="62" t="str">
        <f>IF(AND('领用录入（明细）'!D:D=$F$4,'领用录入（明细）'!C:C&gt;=$J$4,'领用录入（明细）'!C:C&lt;=$L$4),ROW(),"-")</f>
        <v>-</v>
      </c>
    </row>
    <row r="11574" customHeight="1" spans="2:2">
      <c r="B11574" s="62" t="str">
        <f>IF(AND('领用录入（明细）'!D:D=$F$4,'领用录入（明细）'!C:C&gt;=$J$4,'领用录入（明细）'!C:C&lt;=$L$4),ROW(),"-")</f>
        <v>-</v>
      </c>
    </row>
    <row r="11575" customHeight="1" spans="2:2">
      <c r="B11575" s="62" t="str">
        <f>IF(AND('领用录入（明细）'!D:D=$F$4,'领用录入（明细）'!C:C&gt;=$J$4,'领用录入（明细）'!C:C&lt;=$L$4),ROW(),"-")</f>
        <v>-</v>
      </c>
    </row>
    <row r="11576" customHeight="1" spans="2:2">
      <c r="B11576" s="62" t="str">
        <f>IF(AND('领用录入（明细）'!D:D=$F$4,'领用录入（明细）'!C:C&gt;=$J$4,'领用录入（明细）'!C:C&lt;=$L$4),ROW(),"-")</f>
        <v>-</v>
      </c>
    </row>
    <row r="11577" customHeight="1" spans="2:2">
      <c r="B11577" s="62" t="str">
        <f>IF(AND('领用录入（明细）'!D:D=$F$4,'领用录入（明细）'!C:C&gt;=$J$4,'领用录入（明细）'!C:C&lt;=$L$4),ROW(),"-")</f>
        <v>-</v>
      </c>
    </row>
    <row r="11578" customHeight="1" spans="2:2">
      <c r="B11578" s="62" t="str">
        <f>IF(AND('领用录入（明细）'!D:D=$F$4,'领用录入（明细）'!C:C&gt;=$J$4,'领用录入（明细）'!C:C&lt;=$L$4),ROW(),"-")</f>
        <v>-</v>
      </c>
    </row>
    <row r="11579" customHeight="1" spans="2:2">
      <c r="B11579" s="62" t="str">
        <f>IF(AND('领用录入（明细）'!D:D=$F$4,'领用录入（明细）'!C:C&gt;=$J$4,'领用录入（明细）'!C:C&lt;=$L$4),ROW(),"-")</f>
        <v>-</v>
      </c>
    </row>
    <row r="11580" customHeight="1" spans="2:2">
      <c r="B11580" s="62" t="str">
        <f>IF(AND('领用录入（明细）'!D:D=$F$4,'领用录入（明细）'!C:C&gt;=$J$4,'领用录入（明细）'!C:C&lt;=$L$4),ROW(),"-")</f>
        <v>-</v>
      </c>
    </row>
    <row r="11581" customHeight="1" spans="2:2">
      <c r="B11581" s="62" t="str">
        <f>IF(AND('领用录入（明细）'!D:D=$F$4,'领用录入（明细）'!C:C&gt;=$J$4,'领用录入（明细）'!C:C&lt;=$L$4),ROW(),"-")</f>
        <v>-</v>
      </c>
    </row>
    <row r="11582" customHeight="1" spans="2:2">
      <c r="B11582" s="62" t="str">
        <f>IF(AND('领用录入（明细）'!D:D=$F$4,'领用录入（明细）'!C:C&gt;=$J$4,'领用录入（明细）'!C:C&lt;=$L$4),ROW(),"-")</f>
        <v>-</v>
      </c>
    </row>
    <row r="11583" customHeight="1" spans="2:2">
      <c r="B11583" s="62" t="str">
        <f>IF(AND('领用录入（明细）'!D:D=$F$4,'领用录入（明细）'!C:C&gt;=$J$4,'领用录入（明细）'!C:C&lt;=$L$4),ROW(),"-")</f>
        <v>-</v>
      </c>
    </row>
    <row r="11584" customHeight="1" spans="2:2">
      <c r="B11584" s="62" t="str">
        <f>IF(AND('领用录入（明细）'!D:D=$F$4,'领用录入（明细）'!C:C&gt;=$J$4,'领用录入（明细）'!C:C&lt;=$L$4),ROW(),"-")</f>
        <v>-</v>
      </c>
    </row>
    <row r="11585" customHeight="1" spans="2:2">
      <c r="B11585" s="62" t="str">
        <f>IF(AND('领用录入（明细）'!D:D=$F$4,'领用录入（明细）'!C:C&gt;=$J$4,'领用录入（明细）'!C:C&lt;=$L$4),ROW(),"-")</f>
        <v>-</v>
      </c>
    </row>
    <row r="11586" customHeight="1" spans="2:2">
      <c r="B11586" s="62" t="str">
        <f>IF(AND('领用录入（明细）'!D:D=$F$4,'领用录入（明细）'!C:C&gt;=$J$4,'领用录入（明细）'!C:C&lt;=$L$4),ROW(),"-")</f>
        <v>-</v>
      </c>
    </row>
    <row r="11587" customHeight="1" spans="2:2">
      <c r="B11587" s="62" t="str">
        <f>IF(AND('领用录入（明细）'!D:D=$F$4,'领用录入（明细）'!C:C&gt;=$J$4,'领用录入（明细）'!C:C&lt;=$L$4),ROW(),"-")</f>
        <v>-</v>
      </c>
    </row>
    <row r="11588" customHeight="1" spans="2:2">
      <c r="B11588" s="62" t="str">
        <f>IF(AND('领用录入（明细）'!D:D=$F$4,'领用录入（明细）'!C:C&gt;=$J$4,'领用录入（明细）'!C:C&lt;=$L$4),ROW(),"-")</f>
        <v>-</v>
      </c>
    </row>
    <row r="11589" customHeight="1" spans="2:2">
      <c r="B11589" s="62" t="str">
        <f>IF(AND('领用录入（明细）'!D:D=$F$4,'领用录入（明细）'!C:C&gt;=$J$4,'领用录入（明细）'!C:C&lt;=$L$4),ROW(),"-")</f>
        <v>-</v>
      </c>
    </row>
    <row r="11590" customHeight="1" spans="2:2">
      <c r="B11590" s="62" t="str">
        <f>IF(AND('领用录入（明细）'!D:D=$F$4,'领用录入（明细）'!C:C&gt;=$J$4,'领用录入（明细）'!C:C&lt;=$L$4),ROW(),"-")</f>
        <v>-</v>
      </c>
    </row>
    <row r="11591" customHeight="1" spans="2:2">
      <c r="B11591" s="62" t="str">
        <f>IF(AND('领用录入（明细）'!D:D=$F$4,'领用录入（明细）'!C:C&gt;=$J$4,'领用录入（明细）'!C:C&lt;=$L$4),ROW(),"-")</f>
        <v>-</v>
      </c>
    </row>
    <row r="11592" customHeight="1" spans="2:2">
      <c r="B11592" s="62" t="str">
        <f>IF(AND('领用录入（明细）'!D:D=$F$4,'领用录入（明细）'!C:C&gt;=$J$4,'领用录入（明细）'!C:C&lt;=$L$4),ROW(),"-")</f>
        <v>-</v>
      </c>
    </row>
    <row r="11593" customHeight="1" spans="2:2">
      <c r="B11593" s="62" t="str">
        <f>IF(AND('领用录入（明细）'!D:D=$F$4,'领用录入（明细）'!C:C&gt;=$J$4,'领用录入（明细）'!C:C&lt;=$L$4),ROW(),"-")</f>
        <v>-</v>
      </c>
    </row>
    <row r="11594" customHeight="1" spans="2:2">
      <c r="B11594" s="62" t="str">
        <f>IF(AND('领用录入（明细）'!D:D=$F$4,'领用录入（明细）'!C:C&gt;=$J$4,'领用录入（明细）'!C:C&lt;=$L$4),ROW(),"-")</f>
        <v>-</v>
      </c>
    </row>
    <row r="11595" customHeight="1" spans="2:2">
      <c r="B11595" s="62" t="str">
        <f>IF(AND('领用录入（明细）'!D:D=$F$4,'领用录入（明细）'!C:C&gt;=$J$4,'领用录入（明细）'!C:C&lt;=$L$4),ROW(),"-")</f>
        <v>-</v>
      </c>
    </row>
    <row r="11596" customHeight="1" spans="2:2">
      <c r="B11596" s="62" t="str">
        <f>IF(AND('领用录入（明细）'!D:D=$F$4,'领用录入（明细）'!C:C&gt;=$J$4,'领用录入（明细）'!C:C&lt;=$L$4),ROW(),"-")</f>
        <v>-</v>
      </c>
    </row>
    <row r="11597" customHeight="1" spans="2:2">
      <c r="B11597" s="62" t="str">
        <f>IF(AND('领用录入（明细）'!D:D=$F$4,'领用录入（明细）'!C:C&gt;=$J$4,'领用录入（明细）'!C:C&lt;=$L$4),ROW(),"-")</f>
        <v>-</v>
      </c>
    </row>
    <row r="11598" customHeight="1" spans="2:2">
      <c r="B11598" s="62" t="str">
        <f>IF(AND('领用录入（明细）'!D:D=$F$4,'领用录入（明细）'!C:C&gt;=$J$4,'领用录入（明细）'!C:C&lt;=$L$4),ROW(),"-")</f>
        <v>-</v>
      </c>
    </row>
    <row r="11599" customHeight="1" spans="2:2">
      <c r="B11599" s="62" t="str">
        <f>IF(AND('领用录入（明细）'!D:D=$F$4,'领用录入（明细）'!C:C&gt;=$J$4,'领用录入（明细）'!C:C&lt;=$L$4),ROW(),"-")</f>
        <v>-</v>
      </c>
    </row>
    <row r="11600" customHeight="1" spans="2:2">
      <c r="B11600" s="62" t="str">
        <f>IF(AND('领用录入（明细）'!D:D=$F$4,'领用录入（明细）'!C:C&gt;=$J$4,'领用录入（明细）'!C:C&lt;=$L$4),ROW(),"-")</f>
        <v>-</v>
      </c>
    </row>
    <row r="11601" customHeight="1" spans="2:2">
      <c r="B11601" s="62" t="str">
        <f>IF(AND('领用录入（明细）'!D:D=$F$4,'领用录入（明细）'!C:C&gt;=$J$4,'领用录入（明细）'!C:C&lt;=$L$4),ROW(),"-")</f>
        <v>-</v>
      </c>
    </row>
    <row r="11602" customHeight="1" spans="2:2">
      <c r="B11602" s="62" t="str">
        <f>IF(AND('领用录入（明细）'!D:D=$F$4,'领用录入（明细）'!C:C&gt;=$J$4,'领用录入（明细）'!C:C&lt;=$L$4),ROW(),"-")</f>
        <v>-</v>
      </c>
    </row>
    <row r="11603" customHeight="1" spans="2:2">
      <c r="B11603" s="62" t="str">
        <f>IF(AND('领用录入（明细）'!D:D=$F$4,'领用录入（明细）'!C:C&gt;=$J$4,'领用录入（明细）'!C:C&lt;=$L$4),ROW(),"-")</f>
        <v>-</v>
      </c>
    </row>
    <row r="11604" customHeight="1" spans="2:2">
      <c r="B11604" s="62" t="str">
        <f>IF(AND('领用录入（明细）'!D:D=$F$4,'领用录入（明细）'!C:C&gt;=$J$4,'领用录入（明细）'!C:C&lt;=$L$4),ROW(),"-")</f>
        <v>-</v>
      </c>
    </row>
    <row r="11605" customHeight="1" spans="2:2">
      <c r="B11605" s="62" t="str">
        <f>IF(AND('领用录入（明细）'!D:D=$F$4,'领用录入（明细）'!C:C&gt;=$J$4,'领用录入（明细）'!C:C&lt;=$L$4),ROW(),"-")</f>
        <v>-</v>
      </c>
    </row>
    <row r="11606" customHeight="1" spans="2:2">
      <c r="B11606" s="62" t="str">
        <f>IF(AND('领用录入（明细）'!D:D=$F$4,'领用录入（明细）'!C:C&gt;=$J$4,'领用录入（明细）'!C:C&lt;=$L$4),ROW(),"-")</f>
        <v>-</v>
      </c>
    </row>
    <row r="11607" customHeight="1" spans="2:2">
      <c r="B11607" s="62" t="str">
        <f>IF(AND('领用录入（明细）'!D:D=$F$4,'领用录入（明细）'!C:C&gt;=$J$4,'领用录入（明细）'!C:C&lt;=$L$4),ROW(),"-")</f>
        <v>-</v>
      </c>
    </row>
    <row r="11608" customHeight="1" spans="2:2">
      <c r="B11608" s="62" t="str">
        <f>IF(AND('领用录入（明细）'!D:D=$F$4,'领用录入（明细）'!C:C&gt;=$J$4,'领用录入（明细）'!C:C&lt;=$L$4),ROW(),"-")</f>
        <v>-</v>
      </c>
    </row>
    <row r="11609" customHeight="1" spans="2:2">
      <c r="B11609" s="62" t="str">
        <f>IF(AND('领用录入（明细）'!D:D=$F$4,'领用录入（明细）'!C:C&gt;=$J$4,'领用录入（明细）'!C:C&lt;=$L$4),ROW(),"-")</f>
        <v>-</v>
      </c>
    </row>
    <row r="11610" customHeight="1" spans="2:2">
      <c r="B11610" s="62" t="str">
        <f>IF(AND('领用录入（明细）'!D:D=$F$4,'领用录入（明细）'!C:C&gt;=$J$4,'领用录入（明细）'!C:C&lt;=$L$4),ROW(),"-")</f>
        <v>-</v>
      </c>
    </row>
    <row r="11611" customHeight="1" spans="2:2">
      <c r="B11611" s="62" t="str">
        <f>IF(AND('领用录入（明细）'!D:D=$F$4,'领用录入（明细）'!C:C&gt;=$J$4,'领用录入（明细）'!C:C&lt;=$L$4),ROW(),"-")</f>
        <v>-</v>
      </c>
    </row>
    <row r="11612" customHeight="1" spans="2:2">
      <c r="B11612" s="62" t="str">
        <f>IF(AND('领用录入（明细）'!D:D=$F$4,'领用录入（明细）'!C:C&gt;=$J$4,'领用录入（明细）'!C:C&lt;=$L$4),ROW(),"-")</f>
        <v>-</v>
      </c>
    </row>
    <row r="11613" customHeight="1" spans="2:2">
      <c r="B11613" s="62" t="str">
        <f>IF(AND('领用录入（明细）'!D:D=$F$4,'领用录入（明细）'!C:C&gt;=$J$4,'领用录入（明细）'!C:C&lt;=$L$4),ROW(),"-")</f>
        <v>-</v>
      </c>
    </row>
    <row r="11614" customHeight="1" spans="2:2">
      <c r="B11614" s="62" t="str">
        <f>IF(AND('领用录入（明细）'!D:D=$F$4,'领用录入（明细）'!C:C&gt;=$J$4,'领用录入（明细）'!C:C&lt;=$L$4),ROW(),"-")</f>
        <v>-</v>
      </c>
    </row>
    <row r="11615" customHeight="1" spans="2:2">
      <c r="B11615" s="62" t="str">
        <f>IF(AND('领用录入（明细）'!D:D=$F$4,'领用录入（明细）'!C:C&gt;=$J$4,'领用录入（明细）'!C:C&lt;=$L$4),ROW(),"-")</f>
        <v>-</v>
      </c>
    </row>
    <row r="11616" customHeight="1" spans="2:2">
      <c r="B11616" s="62" t="str">
        <f>IF(AND('领用录入（明细）'!D:D=$F$4,'领用录入（明细）'!C:C&gt;=$J$4,'领用录入（明细）'!C:C&lt;=$L$4),ROW(),"-")</f>
        <v>-</v>
      </c>
    </row>
    <row r="11617" customHeight="1" spans="2:2">
      <c r="B11617" s="62" t="str">
        <f>IF(AND('领用录入（明细）'!D:D=$F$4,'领用录入（明细）'!C:C&gt;=$J$4,'领用录入（明细）'!C:C&lt;=$L$4),ROW(),"-")</f>
        <v>-</v>
      </c>
    </row>
    <row r="11618" customHeight="1" spans="2:2">
      <c r="B11618" s="62" t="str">
        <f>IF(AND('领用录入（明细）'!D:D=$F$4,'领用录入（明细）'!C:C&gt;=$J$4,'领用录入（明细）'!C:C&lt;=$L$4),ROW(),"-")</f>
        <v>-</v>
      </c>
    </row>
    <row r="11619" customHeight="1" spans="2:2">
      <c r="B11619" s="62" t="str">
        <f>IF(AND('领用录入（明细）'!D:D=$F$4,'领用录入（明细）'!C:C&gt;=$J$4,'领用录入（明细）'!C:C&lt;=$L$4),ROW(),"-")</f>
        <v>-</v>
      </c>
    </row>
    <row r="11620" customHeight="1" spans="2:2">
      <c r="B11620" s="62" t="str">
        <f>IF(AND('领用录入（明细）'!D:D=$F$4,'领用录入（明细）'!C:C&gt;=$J$4,'领用录入（明细）'!C:C&lt;=$L$4),ROW(),"-")</f>
        <v>-</v>
      </c>
    </row>
    <row r="11621" customHeight="1" spans="2:2">
      <c r="B11621" s="62" t="str">
        <f>IF(AND('领用录入（明细）'!D:D=$F$4,'领用录入（明细）'!C:C&gt;=$J$4,'领用录入（明细）'!C:C&lt;=$L$4),ROW(),"-")</f>
        <v>-</v>
      </c>
    </row>
    <row r="11622" customHeight="1" spans="2:2">
      <c r="B11622" s="62" t="str">
        <f>IF(AND('领用录入（明细）'!D:D=$F$4,'领用录入（明细）'!C:C&gt;=$J$4,'领用录入（明细）'!C:C&lt;=$L$4),ROW(),"-")</f>
        <v>-</v>
      </c>
    </row>
    <row r="11623" customHeight="1" spans="2:2">
      <c r="B11623" s="62" t="str">
        <f>IF(AND('领用录入（明细）'!D:D=$F$4,'领用录入（明细）'!C:C&gt;=$J$4,'领用录入（明细）'!C:C&lt;=$L$4),ROW(),"-")</f>
        <v>-</v>
      </c>
    </row>
    <row r="11624" customHeight="1" spans="2:2">
      <c r="B11624" s="62" t="str">
        <f>IF(AND('领用录入（明细）'!D:D=$F$4,'领用录入（明细）'!C:C&gt;=$J$4,'领用录入（明细）'!C:C&lt;=$L$4),ROW(),"-")</f>
        <v>-</v>
      </c>
    </row>
    <row r="11625" customHeight="1" spans="2:2">
      <c r="B11625" s="62" t="str">
        <f>IF(AND('领用录入（明细）'!D:D=$F$4,'领用录入（明细）'!C:C&gt;=$J$4,'领用录入（明细）'!C:C&lt;=$L$4),ROW(),"-")</f>
        <v>-</v>
      </c>
    </row>
    <row r="11626" customHeight="1" spans="2:2">
      <c r="B11626" s="62" t="str">
        <f>IF(AND('领用录入（明细）'!D:D=$F$4,'领用录入（明细）'!C:C&gt;=$J$4,'领用录入（明细）'!C:C&lt;=$L$4),ROW(),"-")</f>
        <v>-</v>
      </c>
    </row>
    <row r="11627" customHeight="1" spans="2:2">
      <c r="B11627" s="62" t="str">
        <f>IF(AND('领用录入（明细）'!D:D=$F$4,'领用录入（明细）'!C:C&gt;=$J$4,'领用录入（明细）'!C:C&lt;=$L$4),ROW(),"-")</f>
        <v>-</v>
      </c>
    </row>
    <row r="11628" customHeight="1" spans="2:2">
      <c r="B11628" s="62" t="str">
        <f>IF(AND('领用录入（明细）'!D:D=$F$4,'领用录入（明细）'!C:C&gt;=$J$4,'领用录入（明细）'!C:C&lt;=$L$4),ROW(),"-")</f>
        <v>-</v>
      </c>
    </row>
    <row r="11629" customHeight="1" spans="2:2">
      <c r="B11629" s="62" t="str">
        <f>IF(AND('领用录入（明细）'!D:D=$F$4,'领用录入（明细）'!C:C&gt;=$J$4,'领用录入（明细）'!C:C&lt;=$L$4),ROW(),"-")</f>
        <v>-</v>
      </c>
    </row>
    <row r="11630" customHeight="1" spans="2:2">
      <c r="B11630" s="62" t="str">
        <f>IF(AND('领用录入（明细）'!D:D=$F$4,'领用录入（明细）'!C:C&gt;=$J$4,'领用录入（明细）'!C:C&lt;=$L$4),ROW(),"-")</f>
        <v>-</v>
      </c>
    </row>
    <row r="11631" customHeight="1" spans="2:2">
      <c r="B11631" s="62" t="str">
        <f>IF(AND('领用录入（明细）'!D:D=$F$4,'领用录入（明细）'!C:C&gt;=$J$4,'领用录入（明细）'!C:C&lt;=$L$4),ROW(),"-")</f>
        <v>-</v>
      </c>
    </row>
    <row r="11632" customHeight="1" spans="2:2">
      <c r="B11632" s="62" t="str">
        <f>IF(AND('领用录入（明细）'!D:D=$F$4,'领用录入（明细）'!C:C&gt;=$J$4,'领用录入（明细）'!C:C&lt;=$L$4),ROW(),"-")</f>
        <v>-</v>
      </c>
    </row>
    <row r="11633" customHeight="1" spans="2:2">
      <c r="B11633" s="62" t="str">
        <f>IF(AND('领用录入（明细）'!D:D=$F$4,'领用录入（明细）'!C:C&gt;=$J$4,'领用录入（明细）'!C:C&lt;=$L$4),ROW(),"-")</f>
        <v>-</v>
      </c>
    </row>
    <row r="11634" customHeight="1" spans="2:2">
      <c r="B11634" s="62" t="str">
        <f>IF(AND('领用录入（明细）'!D:D=$F$4,'领用录入（明细）'!C:C&gt;=$J$4,'领用录入（明细）'!C:C&lt;=$L$4),ROW(),"-")</f>
        <v>-</v>
      </c>
    </row>
    <row r="11635" customHeight="1" spans="2:2">
      <c r="B11635" s="62" t="str">
        <f>IF(AND('领用录入（明细）'!D:D=$F$4,'领用录入（明细）'!C:C&gt;=$J$4,'领用录入（明细）'!C:C&lt;=$L$4),ROW(),"-")</f>
        <v>-</v>
      </c>
    </row>
    <row r="11636" customHeight="1" spans="2:2">
      <c r="B11636" s="62" t="str">
        <f>IF(AND('领用录入（明细）'!D:D=$F$4,'领用录入（明细）'!C:C&gt;=$J$4,'领用录入（明细）'!C:C&lt;=$L$4),ROW(),"-")</f>
        <v>-</v>
      </c>
    </row>
    <row r="11637" customHeight="1" spans="2:2">
      <c r="B11637" s="62" t="str">
        <f>IF(AND('领用录入（明细）'!D:D=$F$4,'领用录入（明细）'!C:C&gt;=$J$4,'领用录入（明细）'!C:C&lt;=$L$4),ROW(),"-")</f>
        <v>-</v>
      </c>
    </row>
    <row r="11638" customHeight="1" spans="2:2">
      <c r="B11638" s="62" t="str">
        <f>IF(AND('领用录入（明细）'!D:D=$F$4,'领用录入（明细）'!C:C&gt;=$J$4,'领用录入（明细）'!C:C&lt;=$L$4),ROW(),"-")</f>
        <v>-</v>
      </c>
    </row>
    <row r="11639" customHeight="1" spans="2:2">
      <c r="B11639" s="62" t="str">
        <f>IF(AND('领用录入（明细）'!D:D=$F$4,'领用录入（明细）'!C:C&gt;=$J$4,'领用录入（明细）'!C:C&lt;=$L$4),ROW(),"-")</f>
        <v>-</v>
      </c>
    </row>
    <row r="11640" customHeight="1" spans="2:2">
      <c r="B11640" s="62" t="str">
        <f>IF(AND('领用录入（明细）'!D:D=$F$4,'领用录入（明细）'!C:C&gt;=$J$4,'领用录入（明细）'!C:C&lt;=$L$4),ROW(),"-")</f>
        <v>-</v>
      </c>
    </row>
    <row r="11641" customHeight="1" spans="2:2">
      <c r="B11641" s="62" t="str">
        <f>IF(AND('领用录入（明细）'!D:D=$F$4,'领用录入（明细）'!C:C&gt;=$J$4,'领用录入（明细）'!C:C&lt;=$L$4),ROW(),"-")</f>
        <v>-</v>
      </c>
    </row>
    <row r="11642" customHeight="1" spans="2:2">
      <c r="B11642" s="62" t="str">
        <f>IF(AND('领用录入（明细）'!D:D=$F$4,'领用录入（明细）'!C:C&gt;=$J$4,'领用录入（明细）'!C:C&lt;=$L$4),ROW(),"-")</f>
        <v>-</v>
      </c>
    </row>
    <row r="11643" customHeight="1" spans="2:2">
      <c r="B11643" s="62" t="str">
        <f>IF(AND('领用录入（明细）'!D:D=$F$4,'领用录入（明细）'!C:C&gt;=$J$4,'领用录入（明细）'!C:C&lt;=$L$4),ROW(),"-")</f>
        <v>-</v>
      </c>
    </row>
    <row r="11644" customHeight="1" spans="2:2">
      <c r="B11644" s="62" t="str">
        <f>IF(AND('领用录入（明细）'!D:D=$F$4,'领用录入（明细）'!C:C&gt;=$J$4,'领用录入（明细）'!C:C&lt;=$L$4),ROW(),"-")</f>
        <v>-</v>
      </c>
    </row>
    <row r="11645" customHeight="1" spans="2:2">
      <c r="B11645" s="62" t="str">
        <f>IF(AND('领用录入（明细）'!D:D=$F$4,'领用录入（明细）'!C:C&gt;=$J$4,'领用录入（明细）'!C:C&lt;=$L$4),ROW(),"-")</f>
        <v>-</v>
      </c>
    </row>
    <row r="11646" customHeight="1" spans="2:2">
      <c r="B11646" s="62" t="str">
        <f>IF(AND('领用录入（明细）'!D:D=$F$4,'领用录入（明细）'!C:C&gt;=$J$4,'领用录入（明细）'!C:C&lt;=$L$4),ROW(),"-")</f>
        <v>-</v>
      </c>
    </row>
    <row r="11647" customHeight="1" spans="2:2">
      <c r="B11647" s="62" t="str">
        <f>IF(AND('领用录入（明细）'!D:D=$F$4,'领用录入（明细）'!C:C&gt;=$J$4,'领用录入（明细）'!C:C&lt;=$L$4),ROW(),"-")</f>
        <v>-</v>
      </c>
    </row>
    <row r="11648" customHeight="1" spans="2:2">
      <c r="B11648" s="62" t="str">
        <f>IF(AND('领用录入（明细）'!D:D=$F$4,'领用录入（明细）'!C:C&gt;=$J$4,'领用录入（明细）'!C:C&lt;=$L$4),ROW(),"-")</f>
        <v>-</v>
      </c>
    </row>
    <row r="11649" customHeight="1" spans="2:2">
      <c r="B11649" s="62" t="str">
        <f>IF(AND('领用录入（明细）'!D:D=$F$4,'领用录入（明细）'!C:C&gt;=$J$4,'领用录入（明细）'!C:C&lt;=$L$4),ROW(),"-")</f>
        <v>-</v>
      </c>
    </row>
    <row r="11650" customHeight="1" spans="2:2">
      <c r="B11650" s="62" t="str">
        <f>IF(AND('领用录入（明细）'!D:D=$F$4,'领用录入（明细）'!C:C&gt;=$J$4,'领用录入（明细）'!C:C&lt;=$L$4),ROW(),"-")</f>
        <v>-</v>
      </c>
    </row>
    <row r="11651" customHeight="1" spans="2:2">
      <c r="B11651" s="62" t="str">
        <f>IF(AND('领用录入（明细）'!D:D=$F$4,'领用录入（明细）'!C:C&gt;=$J$4,'领用录入（明细）'!C:C&lt;=$L$4),ROW(),"-")</f>
        <v>-</v>
      </c>
    </row>
    <row r="11652" customHeight="1" spans="2:2">
      <c r="B11652" s="62" t="str">
        <f>IF(AND('领用录入（明细）'!D:D=$F$4,'领用录入（明细）'!C:C&gt;=$J$4,'领用录入（明细）'!C:C&lt;=$L$4),ROW(),"-")</f>
        <v>-</v>
      </c>
    </row>
    <row r="11653" customHeight="1" spans="2:2">
      <c r="B11653" s="62" t="str">
        <f>IF(AND('领用录入（明细）'!D:D=$F$4,'领用录入（明细）'!C:C&gt;=$J$4,'领用录入（明细）'!C:C&lt;=$L$4),ROW(),"-")</f>
        <v>-</v>
      </c>
    </row>
    <row r="11654" customHeight="1" spans="2:2">
      <c r="B11654" s="62" t="str">
        <f>IF(AND('领用录入（明细）'!D:D=$F$4,'领用录入（明细）'!C:C&gt;=$J$4,'领用录入（明细）'!C:C&lt;=$L$4),ROW(),"-")</f>
        <v>-</v>
      </c>
    </row>
    <row r="11655" customHeight="1" spans="2:2">
      <c r="B11655" s="62" t="str">
        <f>IF(AND('领用录入（明细）'!D:D=$F$4,'领用录入（明细）'!C:C&gt;=$J$4,'领用录入（明细）'!C:C&lt;=$L$4),ROW(),"-")</f>
        <v>-</v>
      </c>
    </row>
    <row r="11656" customHeight="1" spans="2:2">
      <c r="B11656" s="62" t="str">
        <f>IF(AND('领用录入（明细）'!D:D=$F$4,'领用录入（明细）'!C:C&gt;=$J$4,'领用录入（明细）'!C:C&lt;=$L$4),ROW(),"-")</f>
        <v>-</v>
      </c>
    </row>
    <row r="11657" customHeight="1" spans="2:2">
      <c r="B11657" s="62" t="str">
        <f>IF(AND('领用录入（明细）'!D:D=$F$4,'领用录入（明细）'!C:C&gt;=$J$4,'领用录入（明细）'!C:C&lt;=$L$4),ROW(),"-")</f>
        <v>-</v>
      </c>
    </row>
    <row r="11658" customHeight="1" spans="2:2">
      <c r="B11658" s="62" t="str">
        <f>IF(AND('领用录入（明细）'!D:D=$F$4,'领用录入（明细）'!C:C&gt;=$J$4,'领用录入（明细）'!C:C&lt;=$L$4),ROW(),"-")</f>
        <v>-</v>
      </c>
    </row>
    <row r="11659" customHeight="1" spans="2:2">
      <c r="B11659" s="62" t="str">
        <f>IF(AND('领用录入（明细）'!D:D=$F$4,'领用录入（明细）'!C:C&gt;=$J$4,'领用录入（明细）'!C:C&lt;=$L$4),ROW(),"-")</f>
        <v>-</v>
      </c>
    </row>
    <row r="11660" customHeight="1" spans="2:2">
      <c r="B11660" s="62" t="str">
        <f>IF(AND('领用录入（明细）'!D:D=$F$4,'领用录入（明细）'!C:C&gt;=$J$4,'领用录入（明细）'!C:C&lt;=$L$4),ROW(),"-")</f>
        <v>-</v>
      </c>
    </row>
    <row r="11661" customHeight="1" spans="2:2">
      <c r="B11661" s="62" t="str">
        <f>IF(AND('领用录入（明细）'!D:D=$F$4,'领用录入（明细）'!C:C&gt;=$J$4,'领用录入（明细）'!C:C&lt;=$L$4),ROW(),"-")</f>
        <v>-</v>
      </c>
    </row>
    <row r="11662" customHeight="1" spans="2:2">
      <c r="B11662" s="62" t="str">
        <f>IF(AND('领用录入（明细）'!D:D=$F$4,'领用录入（明细）'!C:C&gt;=$J$4,'领用录入（明细）'!C:C&lt;=$L$4),ROW(),"-")</f>
        <v>-</v>
      </c>
    </row>
    <row r="11663" customHeight="1" spans="2:2">
      <c r="B11663" s="62" t="str">
        <f>IF(AND('领用录入（明细）'!D:D=$F$4,'领用录入（明细）'!C:C&gt;=$J$4,'领用录入（明细）'!C:C&lt;=$L$4),ROW(),"-")</f>
        <v>-</v>
      </c>
    </row>
    <row r="11664" customHeight="1" spans="2:2">
      <c r="B11664" s="62" t="str">
        <f>IF(AND('领用录入（明细）'!D:D=$F$4,'领用录入（明细）'!C:C&gt;=$J$4,'领用录入（明细）'!C:C&lt;=$L$4),ROW(),"-")</f>
        <v>-</v>
      </c>
    </row>
    <row r="11665" customHeight="1" spans="2:2">
      <c r="B11665" s="62" t="str">
        <f>IF(AND('领用录入（明细）'!D:D=$F$4,'领用录入（明细）'!C:C&gt;=$J$4,'领用录入（明细）'!C:C&lt;=$L$4),ROW(),"-")</f>
        <v>-</v>
      </c>
    </row>
    <row r="11666" customHeight="1" spans="2:2">
      <c r="B11666" s="62" t="str">
        <f>IF(AND('领用录入（明细）'!D:D=$F$4,'领用录入（明细）'!C:C&gt;=$J$4,'领用录入（明细）'!C:C&lt;=$L$4),ROW(),"-")</f>
        <v>-</v>
      </c>
    </row>
    <row r="11667" customHeight="1" spans="2:2">
      <c r="B11667" s="62" t="str">
        <f>IF(AND('领用录入（明细）'!D:D=$F$4,'领用录入（明细）'!C:C&gt;=$J$4,'领用录入（明细）'!C:C&lt;=$L$4),ROW(),"-")</f>
        <v>-</v>
      </c>
    </row>
    <row r="11668" customHeight="1" spans="2:2">
      <c r="B11668" s="62" t="str">
        <f>IF(AND('领用录入（明细）'!D:D=$F$4,'领用录入（明细）'!C:C&gt;=$J$4,'领用录入（明细）'!C:C&lt;=$L$4),ROW(),"-")</f>
        <v>-</v>
      </c>
    </row>
    <row r="11669" customHeight="1" spans="2:2">
      <c r="B11669" s="62" t="str">
        <f>IF(AND('领用录入（明细）'!D:D=$F$4,'领用录入（明细）'!C:C&gt;=$J$4,'领用录入（明细）'!C:C&lt;=$L$4),ROW(),"-")</f>
        <v>-</v>
      </c>
    </row>
    <row r="11670" customHeight="1" spans="2:2">
      <c r="B11670" s="62" t="str">
        <f>IF(AND('领用录入（明细）'!D:D=$F$4,'领用录入（明细）'!C:C&gt;=$J$4,'领用录入（明细）'!C:C&lt;=$L$4),ROW(),"-")</f>
        <v>-</v>
      </c>
    </row>
    <row r="11671" customHeight="1" spans="2:2">
      <c r="B11671" s="62" t="str">
        <f>IF(AND('领用录入（明细）'!D:D=$F$4,'领用录入（明细）'!C:C&gt;=$J$4,'领用录入（明细）'!C:C&lt;=$L$4),ROW(),"-")</f>
        <v>-</v>
      </c>
    </row>
    <row r="11672" customHeight="1" spans="2:2">
      <c r="B11672" s="62" t="str">
        <f>IF(AND('领用录入（明细）'!D:D=$F$4,'领用录入（明细）'!C:C&gt;=$J$4,'领用录入（明细）'!C:C&lt;=$L$4),ROW(),"-")</f>
        <v>-</v>
      </c>
    </row>
    <row r="11673" customHeight="1" spans="2:2">
      <c r="B11673" s="62" t="str">
        <f>IF(AND('领用录入（明细）'!D:D=$F$4,'领用录入（明细）'!C:C&gt;=$J$4,'领用录入（明细）'!C:C&lt;=$L$4),ROW(),"-")</f>
        <v>-</v>
      </c>
    </row>
    <row r="11674" customHeight="1" spans="2:2">
      <c r="B11674" s="62" t="str">
        <f>IF(AND('领用录入（明细）'!D:D=$F$4,'领用录入（明细）'!C:C&gt;=$J$4,'领用录入（明细）'!C:C&lt;=$L$4),ROW(),"-")</f>
        <v>-</v>
      </c>
    </row>
    <row r="11675" customHeight="1" spans="2:2">
      <c r="B11675" s="62" t="str">
        <f>IF(AND('领用录入（明细）'!D:D=$F$4,'领用录入（明细）'!C:C&gt;=$J$4,'领用录入（明细）'!C:C&lt;=$L$4),ROW(),"-")</f>
        <v>-</v>
      </c>
    </row>
    <row r="11676" customHeight="1" spans="2:2">
      <c r="B11676" s="62" t="str">
        <f>IF(AND('领用录入（明细）'!D:D=$F$4,'领用录入（明细）'!C:C&gt;=$J$4,'领用录入（明细）'!C:C&lt;=$L$4),ROW(),"-")</f>
        <v>-</v>
      </c>
    </row>
    <row r="11677" customHeight="1" spans="2:2">
      <c r="B11677" s="62" t="str">
        <f>IF(AND('领用录入（明细）'!D:D=$F$4,'领用录入（明细）'!C:C&gt;=$J$4,'领用录入（明细）'!C:C&lt;=$L$4),ROW(),"-")</f>
        <v>-</v>
      </c>
    </row>
    <row r="11678" customHeight="1" spans="2:2">
      <c r="B11678" s="62" t="str">
        <f>IF(AND('领用录入（明细）'!D:D=$F$4,'领用录入（明细）'!C:C&gt;=$J$4,'领用录入（明细）'!C:C&lt;=$L$4),ROW(),"-")</f>
        <v>-</v>
      </c>
    </row>
    <row r="11679" customHeight="1" spans="2:2">
      <c r="B11679" s="62" t="str">
        <f>IF(AND('领用录入（明细）'!D:D=$F$4,'领用录入（明细）'!C:C&gt;=$J$4,'领用录入（明细）'!C:C&lt;=$L$4),ROW(),"-")</f>
        <v>-</v>
      </c>
    </row>
    <row r="11680" customHeight="1" spans="2:2">
      <c r="B11680" s="62" t="str">
        <f>IF(AND('领用录入（明细）'!D:D=$F$4,'领用录入（明细）'!C:C&gt;=$J$4,'领用录入（明细）'!C:C&lt;=$L$4),ROW(),"-")</f>
        <v>-</v>
      </c>
    </row>
    <row r="11681" customHeight="1" spans="2:2">
      <c r="B11681" s="62" t="str">
        <f>IF(AND('领用录入（明细）'!D:D=$F$4,'领用录入（明细）'!C:C&gt;=$J$4,'领用录入（明细）'!C:C&lt;=$L$4),ROW(),"-")</f>
        <v>-</v>
      </c>
    </row>
    <row r="11682" customHeight="1" spans="2:2">
      <c r="B11682" s="62" t="str">
        <f>IF(AND('领用录入（明细）'!D:D=$F$4,'领用录入（明细）'!C:C&gt;=$J$4,'领用录入（明细）'!C:C&lt;=$L$4),ROW(),"-")</f>
        <v>-</v>
      </c>
    </row>
    <row r="11683" customHeight="1" spans="2:2">
      <c r="B11683" s="62" t="str">
        <f>IF(AND('领用录入（明细）'!D:D=$F$4,'领用录入（明细）'!C:C&gt;=$J$4,'领用录入（明细）'!C:C&lt;=$L$4),ROW(),"-")</f>
        <v>-</v>
      </c>
    </row>
    <row r="11684" customHeight="1" spans="2:2">
      <c r="B11684" s="62" t="str">
        <f>IF(AND('领用录入（明细）'!D:D=$F$4,'领用录入（明细）'!C:C&gt;=$J$4,'领用录入（明细）'!C:C&lt;=$L$4),ROW(),"-")</f>
        <v>-</v>
      </c>
    </row>
    <row r="11685" customHeight="1" spans="2:2">
      <c r="B11685" s="62" t="str">
        <f>IF(AND('领用录入（明细）'!D:D=$F$4,'领用录入（明细）'!C:C&gt;=$J$4,'领用录入（明细）'!C:C&lt;=$L$4),ROW(),"-")</f>
        <v>-</v>
      </c>
    </row>
    <row r="11686" customHeight="1" spans="2:2">
      <c r="B11686" s="62" t="str">
        <f>IF(AND('领用录入（明细）'!D:D=$F$4,'领用录入（明细）'!C:C&gt;=$J$4,'领用录入（明细）'!C:C&lt;=$L$4),ROW(),"-")</f>
        <v>-</v>
      </c>
    </row>
    <row r="11687" customHeight="1" spans="2:2">
      <c r="B11687" s="62" t="str">
        <f>IF(AND('领用录入（明细）'!D:D=$F$4,'领用录入（明细）'!C:C&gt;=$J$4,'领用录入（明细）'!C:C&lt;=$L$4),ROW(),"-")</f>
        <v>-</v>
      </c>
    </row>
    <row r="11688" customHeight="1" spans="2:2">
      <c r="B11688" s="62" t="str">
        <f>IF(AND('领用录入（明细）'!D:D=$F$4,'领用录入（明细）'!C:C&gt;=$J$4,'领用录入（明细）'!C:C&lt;=$L$4),ROW(),"-")</f>
        <v>-</v>
      </c>
    </row>
    <row r="11689" customHeight="1" spans="2:2">
      <c r="B11689" s="62" t="str">
        <f>IF(AND('领用录入（明细）'!D:D=$F$4,'领用录入（明细）'!C:C&gt;=$J$4,'领用录入（明细）'!C:C&lt;=$L$4),ROW(),"-")</f>
        <v>-</v>
      </c>
    </row>
    <row r="11690" customHeight="1" spans="2:2">
      <c r="B11690" s="62" t="str">
        <f>IF(AND('领用录入（明细）'!D:D=$F$4,'领用录入（明细）'!C:C&gt;=$J$4,'领用录入（明细）'!C:C&lt;=$L$4),ROW(),"-")</f>
        <v>-</v>
      </c>
    </row>
    <row r="11691" customHeight="1" spans="2:2">
      <c r="B11691" s="62" t="str">
        <f>IF(AND('领用录入（明细）'!D:D=$F$4,'领用录入（明细）'!C:C&gt;=$J$4,'领用录入（明细）'!C:C&lt;=$L$4),ROW(),"-")</f>
        <v>-</v>
      </c>
    </row>
    <row r="11692" customHeight="1" spans="2:2">
      <c r="B11692" s="62" t="str">
        <f>IF(AND('领用录入（明细）'!D:D=$F$4,'领用录入（明细）'!C:C&gt;=$J$4,'领用录入（明细）'!C:C&lt;=$L$4),ROW(),"-")</f>
        <v>-</v>
      </c>
    </row>
    <row r="11693" customHeight="1" spans="2:2">
      <c r="B11693" s="62" t="str">
        <f>IF(AND('领用录入（明细）'!D:D=$F$4,'领用录入（明细）'!C:C&gt;=$J$4,'领用录入（明细）'!C:C&lt;=$L$4),ROW(),"-")</f>
        <v>-</v>
      </c>
    </row>
    <row r="11694" customHeight="1" spans="2:2">
      <c r="B11694" s="62" t="str">
        <f>IF(AND('领用录入（明细）'!D:D=$F$4,'领用录入（明细）'!C:C&gt;=$J$4,'领用录入（明细）'!C:C&lt;=$L$4),ROW(),"-")</f>
        <v>-</v>
      </c>
    </row>
    <row r="11695" customHeight="1" spans="2:2">
      <c r="B11695" s="62" t="str">
        <f>IF(AND('领用录入（明细）'!D:D=$F$4,'领用录入（明细）'!C:C&gt;=$J$4,'领用录入（明细）'!C:C&lt;=$L$4),ROW(),"-")</f>
        <v>-</v>
      </c>
    </row>
    <row r="11696" customHeight="1" spans="2:2">
      <c r="B11696" s="62" t="str">
        <f>IF(AND('领用录入（明细）'!D:D=$F$4,'领用录入（明细）'!C:C&gt;=$J$4,'领用录入（明细）'!C:C&lt;=$L$4),ROW(),"-")</f>
        <v>-</v>
      </c>
    </row>
    <row r="11697" customHeight="1" spans="2:2">
      <c r="B11697" s="62" t="str">
        <f>IF(AND('领用录入（明细）'!D:D=$F$4,'领用录入（明细）'!C:C&gt;=$J$4,'领用录入（明细）'!C:C&lt;=$L$4),ROW(),"-")</f>
        <v>-</v>
      </c>
    </row>
    <row r="11698" customHeight="1" spans="2:2">
      <c r="B11698" s="62" t="str">
        <f>IF(AND('领用录入（明细）'!D:D=$F$4,'领用录入（明细）'!C:C&gt;=$J$4,'领用录入（明细）'!C:C&lt;=$L$4),ROW(),"-")</f>
        <v>-</v>
      </c>
    </row>
    <row r="11699" customHeight="1" spans="2:2">
      <c r="B11699" s="62" t="str">
        <f>IF(AND('领用录入（明细）'!D:D=$F$4,'领用录入（明细）'!C:C&gt;=$J$4,'领用录入（明细）'!C:C&lt;=$L$4),ROW(),"-")</f>
        <v>-</v>
      </c>
    </row>
    <row r="11700" customHeight="1" spans="2:2">
      <c r="B11700" s="62" t="str">
        <f>IF(AND('领用录入（明细）'!D:D=$F$4,'领用录入（明细）'!C:C&gt;=$J$4,'领用录入（明细）'!C:C&lt;=$L$4),ROW(),"-")</f>
        <v>-</v>
      </c>
    </row>
    <row r="11701" customHeight="1" spans="2:2">
      <c r="B11701" s="62" t="str">
        <f>IF(AND('领用录入（明细）'!D:D=$F$4,'领用录入（明细）'!C:C&gt;=$J$4,'领用录入（明细）'!C:C&lt;=$L$4),ROW(),"-")</f>
        <v>-</v>
      </c>
    </row>
    <row r="11702" customHeight="1" spans="2:2">
      <c r="B11702" s="62" t="str">
        <f>IF(AND('领用录入（明细）'!D:D=$F$4,'领用录入（明细）'!C:C&gt;=$J$4,'领用录入（明细）'!C:C&lt;=$L$4),ROW(),"-")</f>
        <v>-</v>
      </c>
    </row>
    <row r="11703" customHeight="1" spans="2:2">
      <c r="B11703" s="62" t="str">
        <f>IF(AND('领用录入（明细）'!D:D=$F$4,'领用录入（明细）'!C:C&gt;=$J$4,'领用录入（明细）'!C:C&lt;=$L$4),ROW(),"-")</f>
        <v>-</v>
      </c>
    </row>
    <row r="11704" customHeight="1" spans="2:2">
      <c r="B11704" s="62" t="str">
        <f>IF(AND('领用录入（明细）'!D:D=$F$4,'领用录入（明细）'!C:C&gt;=$J$4,'领用录入（明细）'!C:C&lt;=$L$4),ROW(),"-")</f>
        <v>-</v>
      </c>
    </row>
    <row r="11705" customHeight="1" spans="2:2">
      <c r="B11705" s="62" t="str">
        <f>IF(AND('领用录入（明细）'!D:D=$F$4,'领用录入（明细）'!C:C&gt;=$J$4,'领用录入（明细）'!C:C&lt;=$L$4),ROW(),"-")</f>
        <v>-</v>
      </c>
    </row>
    <row r="11706" customHeight="1" spans="2:2">
      <c r="B11706" s="62" t="str">
        <f>IF(AND('领用录入（明细）'!D:D=$F$4,'领用录入（明细）'!C:C&gt;=$J$4,'领用录入（明细）'!C:C&lt;=$L$4),ROW(),"-")</f>
        <v>-</v>
      </c>
    </row>
    <row r="11707" customHeight="1" spans="2:2">
      <c r="B11707" s="62" t="str">
        <f>IF(AND('领用录入（明细）'!D:D=$F$4,'领用录入（明细）'!C:C&gt;=$J$4,'领用录入（明细）'!C:C&lt;=$L$4),ROW(),"-")</f>
        <v>-</v>
      </c>
    </row>
    <row r="11708" customHeight="1" spans="2:2">
      <c r="B11708" s="62" t="str">
        <f>IF(AND('领用录入（明细）'!D:D=$F$4,'领用录入（明细）'!C:C&gt;=$J$4,'领用录入（明细）'!C:C&lt;=$L$4),ROW(),"-")</f>
        <v>-</v>
      </c>
    </row>
    <row r="11709" customHeight="1" spans="2:2">
      <c r="B11709" s="62" t="str">
        <f>IF(AND('领用录入（明细）'!D:D=$F$4,'领用录入（明细）'!C:C&gt;=$J$4,'领用录入（明细）'!C:C&lt;=$L$4),ROW(),"-")</f>
        <v>-</v>
      </c>
    </row>
    <row r="11710" customHeight="1" spans="2:2">
      <c r="B11710" s="62" t="str">
        <f>IF(AND('领用录入（明细）'!D:D=$F$4,'领用录入（明细）'!C:C&gt;=$J$4,'领用录入（明细）'!C:C&lt;=$L$4),ROW(),"-")</f>
        <v>-</v>
      </c>
    </row>
    <row r="11711" customHeight="1" spans="2:2">
      <c r="B11711" s="62" t="str">
        <f>IF(AND('领用录入（明细）'!D:D=$F$4,'领用录入（明细）'!C:C&gt;=$J$4,'领用录入（明细）'!C:C&lt;=$L$4),ROW(),"-")</f>
        <v>-</v>
      </c>
    </row>
    <row r="11712" customHeight="1" spans="2:2">
      <c r="B11712" s="62" t="str">
        <f>IF(AND('领用录入（明细）'!D:D=$F$4,'领用录入（明细）'!C:C&gt;=$J$4,'领用录入（明细）'!C:C&lt;=$L$4),ROW(),"-")</f>
        <v>-</v>
      </c>
    </row>
    <row r="11713" customHeight="1" spans="2:2">
      <c r="B11713" s="62" t="str">
        <f>IF(AND('领用录入（明细）'!D:D=$F$4,'领用录入（明细）'!C:C&gt;=$J$4,'领用录入（明细）'!C:C&lt;=$L$4),ROW(),"-")</f>
        <v>-</v>
      </c>
    </row>
    <row r="11714" customHeight="1" spans="2:2">
      <c r="B11714" s="62" t="str">
        <f>IF(AND('领用录入（明细）'!D:D=$F$4,'领用录入（明细）'!C:C&gt;=$J$4,'领用录入（明细）'!C:C&lt;=$L$4),ROW(),"-")</f>
        <v>-</v>
      </c>
    </row>
    <row r="11715" customHeight="1" spans="2:2">
      <c r="B11715" s="62" t="str">
        <f>IF(AND('领用录入（明细）'!D:D=$F$4,'领用录入（明细）'!C:C&gt;=$J$4,'领用录入（明细）'!C:C&lt;=$L$4),ROW(),"-")</f>
        <v>-</v>
      </c>
    </row>
    <row r="11716" customHeight="1" spans="2:2">
      <c r="B11716" s="62" t="str">
        <f>IF(AND('领用录入（明细）'!D:D=$F$4,'领用录入（明细）'!C:C&gt;=$J$4,'领用录入（明细）'!C:C&lt;=$L$4),ROW(),"-")</f>
        <v>-</v>
      </c>
    </row>
    <row r="11717" customHeight="1" spans="2:2">
      <c r="B11717" s="62" t="str">
        <f>IF(AND('领用录入（明细）'!D:D=$F$4,'领用录入（明细）'!C:C&gt;=$J$4,'领用录入（明细）'!C:C&lt;=$L$4),ROW(),"-")</f>
        <v>-</v>
      </c>
    </row>
    <row r="11718" customHeight="1" spans="2:2">
      <c r="B11718" s="62" t="str">
        <f>IF(AND('领用录入（明细）'!D:D=$F$4,'领用录入（明细）'!C:C&gt;=$J$4,'领用录入（明细）'!C:C&lt;=$L$4),ROW(),"-")</f>
        <v>-</v>
      </c>
    </row>
    <row r="11719" customHeight="1" spans="2:2">
      <c r="B11719" s="62" t="str">
        <f>IF(AND('领用录入（明细）'!D:D=$F$4,'领用录入（明细）'!C:C&gt;=$J$4,'领用录入（明细）'!C:C&lt;=$L$4),ROW(),"-")</f>
        <v>-</v>
      </c>
    </row>
    <row r="11720" customHeight="1" spans="2:2">
      <c r="B11720" s="62" t="str">
        <f>IF(AND('领用录入（明细）'!D:D=$F$4,'领用录入（明细）'!C:C&gt;=$J$4,'领用录入（明细）'!C:C&lt;=$L$4),ROW(),"-")</f>
        <v>-</v>
      </c>
    </row>
    <row r="11721" customHeight="1" spans="2:2">
      <c r="B11721" s="62" t="str">
        <f>IF(AND('领用录入（明细）'!D:D=$F$4,'领用录入（明细）'!C:C&gt;=$J$4,'领用录入（明细）'!C:C&lt;=$L$4),ROW(),"-")</f>
        <v>-</v>
      </c>
    </row>
    <row r="11722" customHeight="1" spans="2:2">
      <c r="B11722" s="62" t="str">
        <f>IF(AND('领用录入（明细）'!D:D=$F$4,'领用录入（明细）'!C:C&gt;=$J$4,'领用录入（明细）'!C:C&lt;=$L$4),ROW(),"-")</f>
        <v>-</v>
      </c>
    </row>
    <row r="11723" customHeight="1" spans="2:2">
      <c r="B11723" s="62" t="str">
        <f>IF(AND('领用录入（明细）'!D:D=$F$4,'领用录入（明细）'!C:C&gt;=$J$4,'领用录入（明细）'!C:C&lt;=$L$4),ROW(),"-")</f>
        <v>-</v>
      </c>
    </row>
    <row r="11724" customHeight="1" spans="2:2">
      <c r="B11724" s="62" t="str">
        <f>IF(AND('领用录入（明细）'!D:D=$F$4,'领用录入（明细）'!C:C&gt;=$J$4,'领用录入（明细）'!C:C&lt;=$L$4),ROW(),"-")</f>
        <v>-</v>
      </c>
    </row>
    <row r="11725" customHeight="1" spans="2:2">
      <c r="B11725" s="62" t="str">
        <f>IF(AND('领用录入（明细）'!D:D=$F$4,'领用录入（明细）'!C:C&gt;=$J$4,'领用录入（明细）'!C:C&lt;=$L$4),ROW(),"-")</f>
        <v>-</v>
      </c>
    </row>
    <row r="11726" customHeight="1" spans="2:2">
      <c r="B11726" s="62" t="str">
        <f>IF(AND('领用录入（明细）'!D:D=$F$4,'领用录入（明细）'!C:C&gt;=$J$4,'领用录入（明细）'!C:C&lt;=$L$4),ROW(),"-")</f>
        <v>-</v>
      </c>
    </row>
    <row r="11727" customHeight="1" spans="2:2">
      <c r="B11727" s="62" t="str">
        <f>IF(AND('领用录入（明细）'!D:D=$F$4,'领用录入（明细）'!C:C&gt;=$J$4,'领用录入（明细）'!C:C&lt;=$L$4),ROW(),"-")</f>
        <v>-</v>
      </c>
    </row>
    <row r="11728" customHeight="1" spans="2:2">
      <c r="B11728" s="62" t="str">
        <f>IF(AND('领用录入（明细）'!D:D=$F$4,'领用录入（明细）'!C:C&gt;=$J$4,'领用录入（明细）'!C:C&lt;=$L$4),ROW(),"-")</f>
        <v>-</v>
      </c>
    </row>
    <row r="11729" customHeight="1" spans="2:2">
      <c r="B11729" s="62" t="str">
        <f>IF(AND('领用录入（明细）'!D:D=$F$4,'领用录入（明细）'!C:C&gt;=$J$4,'领用录入（明细）'!C:C&lt;=$L$4),ROW(),"-")</f>
        <v>-</v>
      </c>
    </row>
    <row r="11730" customHeight="1" spans="2:2">
      <c r="B11730" s="62" t="str">
        <f>IF(AND('领用录入（明细）'!D:D=$F$4,'领用录入（明细）'!C:C&gt;=$J$4,'领用录入（明细）'!C:C&lt;=$L$4),ROW(),"-")</f>
        <v>-</v>
      </c>
    </row>
    <row r="11731" customHeight="1" spans="2:2">
      <c r="B11731" s="62" t="str">
        <f>IF(AND('领用录入（明细）'!D:D=$F$4,'领用录入（明细）'!C:C&gt;=$J$4,'领用录入（明细）'!C:C&lt;=$L$4),ROW(),"-")</f>
        <v>-</v>
      </c>
    </row>
    <row r="11732" customHeight="1" spans="2:2">
      <c r="B11732" s="62" t="str">
        <f>IF(AND('领用录入（明细）'!D:D=$F$4,'领用录入（明细）'!C:C&gt;=$J$4,'领用录入（明细）'!C:C&lt;=$L$4),ROW(),"-")</f>
        <v>-</v>
      </c>
    </row>
    <row r="11733" customHeight="1" spans="2:2">
      <c r="B11733" s="62" t="str">
        <f>IF(AND('领用录入（明细）'!D:D=$F$4,'领用录入（明细）'!C:C&gt;=$J$4,'领用录入（明细）'!C:C&lt;=$L$4),ROW(),"-")</f>
        <v>-</v>
      </c>
    </row>
    <row r="11734" customHeight="1" spans="2:2">
      <c r="B11734" s="62" t="str">
        <f>IF(AND('领用录入（明细）'!D:D=$F$4,'领用录入（明细）'!C:C&gt;=$J$4,'领用录入（明细）'!C:C&lt;=$L$4),ROW(),"-")</f>
        <v>-</v>
      </c>
    </row>
    <row r="11735" customHeight="1" spans="2:2">
      <c r="B11735" s="62" t="str">
        <f>IF(AND('领用录入（明细）'!D:D=$F$4,'领用录入（明细）'!C:C&gt;=$J$4,'领用录入（明细）'!C:C&lt;=$L$4),ROW(),"-")</f>
        <v>-</v>
      </c>
    </row>
    <row r="11736" customHeight="1" spans="2:2">
      <c r="B11736" s="62" t="str">
        <f>IF(AND('领用录入（明细）'!D:D=$F$4,'领用录入（明细）'!C:C&gt;=$J$4,'领用录入（明细）'!C:C&lt;=$L$4),ROW(),"-")</f>
        <v>-</v>
      </c>
    </row>
    <row r="11737" customHeight="1" spans="2:2">
      <c r="B11737" s="62" t="str">
        <f>IF(AND('领用录入（明细）'!D:D=$F$4,'领用录入（明细）'!C:C&gt;=$J$4,'领用录入（明细）'!C:C&lt;=$L$4),ROW(),"-")</f>
        <v>-</v>
      </c>
    </row>
    <row r="11738" customHeight="1" spans="2:2">
      <c r="B11738" s="62" t="str">
        <f>IF(AND('领用录入（明细）'!D:D=$F$4,'领用录入（明细）'!C:C&gt;=$J$4,'领用录入（明细）'!C:C&lt;=$L$4),ROW(),"-")</f>
        <v>-</v>
      </c>
    </row>
    <row r="11739" customHeight="1" spans="2:2">
      <c r="B11739" s="62" t="str">
        <f>IF(AND('领用录入（明细）'!D:D=$F$4,'领用录入（明细）'!C:C&gt;=$J$4,'领用录入（明细）'!C:C&lt;=$L$4),ROW(),"-")</f>
        <v>-</v>
      </c>
    </row>
    <row r="11740" customHeight="1" spans="2:2">
      <c r="B11740" s="62" t="str">
        <f>IF(AND('领用录入（明细）'!D:D=$F$4,'领用录入（明细）'!C:C&gt;=$J$4,'领用录入（明细）'!C:C&lt;=$L$4),ROW(),"-")</f>
        <v>-</v>
      </c>
    </row>
    <row r="11741" customHeight="1" spans="2:2">
      <c r="B11741" s="62" t="str">
        <f>IF(AND('领用录入（明细）'!D:D=$F$4,'领用录入（明细）'!C:C&gt;=$J$4,'领用录入（明细）'!C:C&lt;=$L$4),ROW(),"-")</f>
        <v>-</v>
      </c>
    </row>
    <row r="11742" customHeight="1" spans="2:2">
      <c r="B11742" s="62" t="str">
        <f>IF(AND('领用录入（明细）'!D:D=$F$4,'领用录入（明细）'!C:C&gt;=$J$4,'领用录入（明细）'!C:C&lt;=$L$4),ROW(),"-")</f>
        <v>-</v>
      </c>
    </row>
    <row r="11743" customHeight="1" spans="2:2">
      <c r="B11743" s="62" t="str">
        <f>IF(AND('领用录入（明细）'!D:D=$F$4,'领用录入（明细）'!C:C&gt;=$J$4,'领用录入（明细）'!C:C&lt;=$L$4),ROW(),"-")</f>
        <v>-</v>
      </c>
    </row>
    <row r="11744" customHeight="1" spans="2:2">
      <c r="B11744" s="62" t="str">
        <f>IF(AND('领用录入（明细）'!D:D=$F$4,'领用录入（明细）'!C:C&gt;=$J$4,'领用录入（明细）'!C:C&lt;=$L$4),ROW(),"-")</f>
        <v>-</v>
      </c>
    </row>
    <row r="11745" customHeight="1" spans="2:2">
      <c r="B11745" s="62" t="str">
        <f>IF(AND('领用录入（明细）'!D:D=$F$4,'领用录入（明细）'!C:C&gt;=$J$4,'领用录入（明细）'!C:C&lt;=$L$4),ROW(),"-")</f>
        <v>-</v>
      </c>
    </row>
    <row r="11746" customHeight="1" spans="2:2">
      <c r="B11746" s="62" t="str">
        <f>IF(AND('领用录入（明细）'!D:D=$F$4,'领用录入（明细）'!C:C&gt;=$J$4,'领用录入（明细）'!C:C&lt;=$L$4),ROW(),"-")</f>
        <v>-</v>
      </c>
    </row>
    <row r="11747" customHeight="1" spans="2:2">
      <c r="B11747" s="62" t="str">
        <f>IF(AND('领用录入（明细）'!D:D=$F$4,'领用录入（明细）'!C:C&gt;=$J$4,'领用录入（明细）'!C:C&lt;=$L$4),ROW(),"-")</f>
        <v>-</v>
      </c>
    </row>
    <row r="11748" customHeight="1" spans="2:2">
      <c r="B11748" s="62" t="str">
        <f>IF(AND('领用录入（明细）'!D:D=$F$4,'领用录入（明细）'!C:C&gt;=$J$4,'领用录入（明细）'!C:C&lt;=$L$4),ROW(),"-")</f>
        <v>-</v>
      </c>
    </row>
    <row r="11749" customHeight="1" spans="2:2">
      <c r="B11749" s="62" t="str">
        <f>IF(AND('领用录入（明细）'!D:D=$F$4,'领用录入（明细）'!C:C&gt;=$J$4,'领用录入（明细）'!C:C&lt;=$L$4),ROW(),"-")</f>
        <v>-</v>
      </c>
    </row>
    <row r="11750" customHeight="1" spans="2:2">
      <c r="B11750" s="62" t="str">
        <f>IF(AND('领用录入（明细）'!D:D=$F$4,'领用录入（明细）'!C:C&gt;=$J$4,'领用录入（明细）'!C:C&lt;=$L$4),ROW(),"-")</f>
        <v>-</v>
      </c>
    </row>
    <row r="11751" customHeight="1" spans="2:2">
      <c r="B11751" s="62" t="str">
        <f>IF(AND('领用录入（明细）'!D:D=$F$4,'领用录入（明细）'!C:C&gt;=$J$4,'领用录入（明细）'!C:C&lt;=$L$4),ROW(),"-")</f>
        <v>-</v>
      </c>
    </row>
    <row r="11752" customHeight="1" spans="2:2">
      <c r="B11752" s="62" t="str">
        <f>IF(AND('领用录入（明细）'!D:D=$F$4,'领用录入（明细）'!C:C&gt;=$J$4,'领用录入（明细）'!C:C&lt;=$L$4),ROW(),"-")</f>
        <v>-</v>
      </c>
    </row>
    <row r="11753" customHeight="1" spans="2:2">
      <c r="B11753" s="62" t="str">
        <f>IF(AND('领用录入（明细）'!D:D=$F$4,'领用录入（明细）'!C:C&gt;=$J$4,'领用录入（明细）'!C:C&lt;=$L$4),ROW(),"-")</f>
        <v>-</v>
      </c>
    </row>
    <row r="11754" customHeight="1" spans="2:2">
      <c r="B11754" s="62" t="str">
        <f>IF(AND('领用录入（明细）'!D:D=$F$4,'领用录入（明细）'!C:C&gt;=$J$4,'领用录入（明细）'!C:C&lt;=$L$4),ROW(),"-")</f>
        <v>-</v>
      </c>
    </row>
    <row r="11755" customHeight="1" spans="2:2">
      <c r="B11755" s="62" t="str">
        <f>IF(AND('领用录入（明细）'!D:D=$F$4,'领用录入（明细）'!C:C&gt;=$J$4,'领用录入（明细）'!C:C&lt;=$L$4),ROW(),"-")</f>
        <v>-</v>
      </c>
    </row>
    <row r="11756" customHeight="1" spans="2:2">
      <c r="B11756" s="62" t="str">
        <f>IF(AND('领用录入（明细）'!D:D=$F$4,'领用录入（明细）'!C:C&gt;=$J$4,'领用录入（明细）'!C:C&lt;=$L$4),ROW(),"-")</f>
        <v>-</v>
      </c>
    </row>
    <row r="11757" customHeight="1" spans="2:2">
      <c r="B11757" s="62" t="str">
        <f>IF(AND('领用录入（明细）'!D:D=$F$4,'领用录入（明细）'!C:C&gt;=$J$4,'领用录入（明细）'!C:C&lt;=$L$4),ROW(),"-")</f>
        <v>-</v>
      </c>
    </row>
    <row r="11758" customHeight="1" spans="2:2">
      <c r="B11758" s="62" t="str">
        <f>IF(AND('领用录入（明细）'!D:D=$F$4,'领用录入（明细）'!C:C&gt;=$J$4,'领用录入（明细）'!C:C&lt;=$L$4),ROW(),"-")</f>
        <v>-</v>
      </c>
    </row>
    <row r="11759" customHeight="1" spans="2:2">
      <c r="B11759" s="62" t="str">
        <f>IF(AND('领用录入（明细）'!D:D=$F$4,'领用录入（明细）'!C:C&gt;=$J$4,'领用录入（明细）'!C:C&lt;=$L$4),ROW(),"-")</f>
        <v>-</v>
      </c>
    </row>
    <row r="11760" customHeight="1" spans="2:2">
      <c r="B11760" s="62" t="str">
        <f>IF(AND('领用录入（明细）'!D:D=$F$4,'领用录入（明细）'!C:C&gt;=$J$4,'领用录入（明细）'!C:C&lt;=$L$4),ROW(),"-")</f>
        <v>-</v>
      </c>
    </row>
    <row r="11761" customHeight="1" spans="2:2">
      <c r="B11761" s="62" t="str">
        <f>IF(AND('领用录入（明细）'!D:D=$F$4,'领用录入（明细）'!C:C&gt;=$J$4,'领用录入（明细）'!C:C&lt;=$L$4),ROW(),"-")</f>
        <v>-</v>
      </c>
    </row>
    <row r="11762" customHeight="1" spans="2:2">
      <c r="B11762" s="62" t="str">
        <f>IF(AND('领用录入（明细）'!D:D=$F$4,'领用录入（明细）'!C:C&gt;=$J$4,'领用录入（明细）'!C:C&lt;=$L$4),ROW(),"-")</f>
        <v>-</v>
      </c>
    </row>
    <row r="11763" customHeight="1" spans="2:2">
      <c r="B11763" s="62" t="str">
        <f>IF(AND('领用录入（明细）'!D:D=$F$4,'领用录入（明细）'!C:C&gt;=$J$4,'领用录入（明细）'!C:C&lt;=$L$4),ROW(),"-")</f>
        <v>-</v>
      </c>
    </row>
    <row r="11764" customHeight="1" spans="2:2">
      <c r="B11764" s="62" t="str">
        <f>IF(AND('领用录入（明细）'!D:D=$F$4,'领用录入（明细）'!C:C&gt;=$J$4,'领用录入（明细）'!C:C&lt;=$L$4),ROW(),"-")</f>
        <v>-</v>
      </c>
    </row>
    <row r="11765" customHeight="1" spans="2:2">
      <c r="B11765" s="62" t="str">
        <f>IF(AND('领用录入（明细）'!D:D=$F$4,'领用录入（明细）'!C:C&gt;=$J$4,'领用录入（明细）'!C:C&lt;=$L$4),ROW(),"-")</f>
        <v>-</v>
      </c>
    </row>
    <row r="11766" customHeight="1" spans="2:2">
      <c r="B11766" s="62" t="str">
        <f>IF(AND('领用录入（明细）'!D:D=$F$4,'领用录入（明细）'!C:C&gt;=$J$4,'领用录入（明细）'!C:C&lt;=$L$4),ROW(),"-")</f>
        <v>-</v>
      </c>
    </row>
    <row r="11767" customHeight="1" spans="2:2">
      <c r="B11767" s="62" t="str">
        <f>IF(AND('领用录入（明细）'!D:D=$F$4,'领用录入（明细）'!C:C&gt;=$J$4,'领用录入（明细）'!C:C&lt;=$L$4),ROW(),"-")</f>
        <v>-</v>
      </c>
    </row>
    <row r="11768" customHeight="1" spans="2:2">
      <c r="B11768" s="62" t="str">
        <f>IF(AND('领用录入（明细）'!D:D=$F$4,'领用录入（明细）'!C:C&gt;=$J$4,'领用录入（明细）'!C:C&lt;=$L$4),ROW(),"-")</f>
        <v>-</v>
      </c>
    </row>
    <row r="11769" customHeight="1" spans="2:2">
      <c r="B11769" s="62" t="str">
        <f>IF(AND('领用录入（明细）'!D:D=$F$4,'领用录入（明细）'!C:C&gt;=$J$4,'领用录入（明细）'!C:C&lt;=$L$4),ROW(),"-")</f>
        <v>-</v>
      </c>
    </row>
    <row r="11770" customHeight="1" spans="2:2">
      <c r="B11770" s="62" t="str">
        <f>IF(AND('领用录入（明细）'!D:D=$F$4,'领用录入（明细）'!C:C&gt;=$J$4,'领用录入（明细）'!C:C&lt;=$L$4),ROW(),"-")</f>
        <v>-</v>
      </c>
    </row>
    <row r="11771" customHeight="1" spans="2:2">
      <c r="B11771" s="62" t="str">
        <f>IF(AND('领用录入（明细）'!D:D=$F$4,'领用录入（明细）'!C:C&gt;=$J$4,'领用录入（明细）'!C:C&lt;=$L$4),ROW(),"-")</f>
        <v>-</v>
      </c>
    </row>
    <row r="11772" customHeight="1" spans="2:2">
      <c r="B11772" s="62" t="str">
        <f>IF(AND('领用录入（明细）'!D:D=$F$4,'领用录入（明细）'!C:C&gt;=$J$4,'领用录入（明细）'!C:C&lt;=$L$4),ROW(),"-")</f>
        <v>-</v>
      </c>
    </row>
    <row r="11773" customHeight="1" spans="2:2">
      <c r="B11773" s="62" t="str">
        <f>IF(AND('领用录入（明细）'!D:D=$F$4,'领用录入（明细）'!C:C&gt;=$J$4,'领用录入（明细）'!C:C&lt;=$L$4),ROW(),"-")</f>
        <v>-</v>
      </c>
    </row>
    <row r="11774" customHeight="1" spans="2:2">
      <c r="B11774" s="62" t="str">
        <f>IF(AND('领用录入（明细）'!D:D=$F$4,'领用录入（明细）'!C:C&gt;=$J$4,'领用录入（明细）'!C:C&lt;=$L$4),ROW(),"-")</f>
        <v>-</v>
      </c>
    </row>
    <row r="11775" customHeight="1" spans="2:2">
      <c r="B11775" s="62" t="str">
        <f>IF(AND('领用录入（明细）'!D:D=$F$4,'领用录入（明细）'!C:C&gt;=$J$4,'领用录入（明细）'!C:C&lt;=$L$4),ROW(),"-")</f>
        <v>-</v>
      </c>
    </row>
    <row r="11776" customHeight="1" spans="2:2">
      <c r="B11776" s="62" t="str">
        <f>IF(AND('领用录入（明细）'!D:D=$F$4,'领用录入（明细）'!C:C&gt;=$J$4,'领用录入（明细）'!C:C&lt;=$L$4),ROW(),"-")</f>
        <v>-</v>
      </c>
    </row>
    <row r="11777" customHeight="1" spans="2:2">
      <c r="B11777" s="62" t="str">
        <f>IF(AND('领用录入（明细）'!D:D=$F$4,'领用录入（明细）'!C:C&gt;=$J$4,'领用录入（明细）'!C:C&lt;=$L$4),ROW(),"-")</f>
        <v>-</v>
      </c>
    </row>
    <row r="11778" customHeight="1" spans="2:2">
      <c r="B11778" s="62" t="str">
        <f>IF(AND('领用录入（明细）'!D:D=$F$4,'领用录入（明细）'!C:C&gt;=$J$4,'领用录入（明细）'!C:C&lt;=$L$4),ROW(),"-")</f>
        <v>-</v>
      </c>
    </row>
    <row r="11779" customHeight="1" spans="2:2">
      <c r="B11779" s="62" t="str">
        <f>IF(AND('领用录入（明细）'!D:D=$F$4,'领用录入（明细）'!C:C&gt;=$J$4,'领用录入（明细）'!C:C&lt;=$L$4),ROW(),"-")</f>
        <v>-</v>
      </c>
    </row>
    <row r="11780" customHeight="1" spans="2:2">
      <c r="B11780" s="62" t="str">
        <f>IF(AND('领用录入（明细）'!D:D=$F$4,'领用录入（明细）'!C:C&gt;=$J$4,'领用录入（明细）'!C:C&lt;=$L$4),ROW(),"-")</f>
        <v>-</v>
      </c>
    </row>
    <row r="11781" customHeight="1" spans="2:2">
      <c r="B11781" s="62" t="str">
        <f>IF(AND('领用录入（明细）'!D:D=$F$4,'领用录入（明细）'!C:C&gt;=$J$4,'领用录入（明细）'!C:C&lt;=$L$4),ROW(),"-")</f>
        <v>-</v>
      </c>
    </row>
    <row r="11782" customHeight="1" spans="2:2">
      <c r="B11782" s="62" t="str">
        <f>IF(AND('领用录入（明细）'!D:D=$F$4,'领用录入（明细）'!C:C&gt;=$J$4,'领用录入（明细）'!C:C&lt;=$L$4),ROW(),"-")</f>
        <v>-</v>
      </c>
    </row>
    <row r="11783" customHeight="1" spans="2:2">
      <c r="B11783" s="62" t="str">
        <f>IF(AND('领用录入（明细）'!D:D=$F$4,'领用录入（明细）'!C:C&gt;=$J$4,'领用录入（明细）'!C:C&lt;=$L$4),ROW(),"-")</f>
        <v>-</v>
      </c>
    </row>
    <row r="11784" customHeight="1" spans="2:2">
      <c r="B11784" s="62" t="str">
        <f>IF(AND('领用录入（明细）'!D:D=$F$4,'领用录入（明细）'!C:C&gt;=$J$4,'领用录入（明细）'!C:C&lt;=$L$4),ROW(),"-")</f>
        <v>-</v>
      </c>
    </row>
    <row r="11785" customHeight="1" spans="2:2">
      <c r="B11785" s="62" t="str">
        <f>IF(AND('领用录入（明细）'!D:D=$F$4,'领用录入（明细）'!C:C&gt;=$J$4,'领用录入（明细）'!C:C&lt;=$L$4),ROW(),"-")</f>
        <v>-</v>
      </c>
    </row>
    <row r="11786" customHeight="1" spans="2:2">
      <c r="B11786" s="62" t="str">
        <f>IF(AND('领用录入（明细）'!D:D=$F$4,'领用录入（明细）'!C:C&gt;=$J$4,'领用录入（明细）'!C:C&lt;=$L$4),ROW(),"-")</f>
        <v>-</v>
      </c>
    </row>
    <row r="11787" customHeight="1" spans="2:2">
      <c r="B11787" s="62" t="str">
        <f>IF(AND('领用录入（明细）'!D:D=$F$4,'领用录入（明细）'!C:C&gt;=$J$4,'领用录入（明细）'!C:C&lt;=$L$4),ROW(),"-")</f>
        <v>-</v>
      </c>
    </row>
    <row r="11788" customHeight="1" spans="2:2">
      <c r="B11788" s="62" t="str">
        <f>IF(AND('领用录入（明细）'!D:D=$F$4,'领用录入（明细）'!C:C&gt;=$J$4,'领用录入（明细）'!C:C&lt;=$L$4),ROW(),"-")</f>
        <v>-</v>
      </c>
    </row>
    <row r="11789" customHeight="1" spans="2:2">
      <c r="B11789" s="62" t="str">
        <f>IF(AND('领用录入（明细）'!D:D=$F$4,'领用录入（明细）'!C:C&gt;=$J$4,'领用录入（明细）'!C:C&lt;=$L$4),ROW(),"-")</f>
        <v>-</v>
      </c>
    </row>
    <row r="11790" customHeight="1" spans="2:2">
      <c r="B11790" s="62" t="str">
        <f>IF(AND('领用录入（明细）'!D:D=$F$4,'领用录入（明细）'!C:C&gt;=$J$4,'领用录入（明细）'!C:C&lt;=$L$4),ROW(),"-")</f>
        <v>-</v>
      </c>
    </row>
    <row r="11791" customHeight="1" spans="2:2">
      <c r="B11791" s="62" t="str">
        <f>IF(AND('领用录入（明细）'!D:D=$F$4,'领用录入（明细）'!C:C&gt;=$J$4,'领用录入（明细）'!C:C&lt;=$L$4),ROW(),"-")</f>
        <v>-</v>
      </c>
    </row>
    <row r="11792" customHeight="1" spans="2:2">
      <c r="B11792" s="62" t="str">
        <f>IF(AND('领用录入（明细）'!D:D=$F$4,'领用录入（明细）'!C:C&gt;=$J$4,'领用录入（明细）'!C:C&lt;=$L$4),ROW(),"-")</f>
        <v>-</v>
      </c>
    </row>
    <row r="11793" customHeight="1" spans="2:2">
      <c r="B11793" s="62" t="str">
        <f>IF(AND('领用录入（明细）'!D:D=$F$4,'领用录入（明细）'!C:C&gt;=$J$4,'领用录入（明细）'!C:C&lt;=$L$4),ROW(),"-")</f>
        <v>-</v>
      </c>
    </row>
    <row r="11794" customHeight="1" spans="2:2">
      <c r="B11794" s="62" t="str">
        <f>IF(AND('领用录入（明细）'!D:D=$F$4,'领用录入（明细）'!C:C&gt;=$J$4,'领用录入（明细）'!C:C&lt;=$L$4),ROW(),"-")</f>
        <v>-</v>
      </c>
    </row>
    <row r="11795" customHeight="1" spans="2:2">
      <c r="B11795" s="62" t="str">
        <f>IF(AND('领用录入（明细）'!D:D=$F$4,'领用录入（明细）'!C:C&gt;=$J$4,'领用录入（明细）'!C:C&lt;=$L$4),ROW(),"-")</f>
        <v>-</v>
      </c>
    </row>
    <row r="11796" customHeight="1" spans="2:2">
      <c r="B11796" s="62" t="str">
        <f>IF(AND('领用录入（明细）'!D:D=$F$4,'领用录入（明细）'!C:C&gt;=$J$4,'领用录入（明细）'!C:C&lt;=$L$4),ROW(),"-")</f>
        <v>-</v>
      </c>
    </row>
    <row r="11797" customHeight="1" spans="2:2">
      <c r="B11797" s="62" t="str">
        <f>IF(AND('领用录入（明细）'!D:D=$F$4,'领用录入（明细）'!C:C&gt;=$J$4,'领用录入（明细）'!C:C&lt;=$L$4),ROW(),"-")</f>
        <v>-</v>
      </c>
    </row>
    <row r="11798" customHeight="1" spans="2:2">
      <c r="B11798" s="62" t="str">
        <f>IF(AND('领用录入（明细）'!D:D=$F$4,'领用录入（明细）'!C:C&gt;=$J$4,'领用录入（明细）'!C:C&lt;=$L$4),ROW(),"-")</f>
        <v>-</v>
      </c>
    </row>
    <row r="11799" customHeight="1" spans="2:2">
      <c r="B11799" s="62" t="str">
        <f>IF(AND('领用录入（明细）'!D:D=$F$4,'领用录入（明细）'!C:C&gt;=$J$4,'领用录入（明细）'!C:C&lt;=$L$4),ROW(),"-")</f>
        <v>-</v>
      </c>
    </row>
    <row r="11800" customHeight="1" spans="2:2">
      <c r="B11800" s="62" t="str">
        <f>IF(AND('领用录入（明细）'!D:D=$F$4,'领用录入（明细）'!C:C&gt;=$J$4,'领用录入（明细）'!C:C&lt;=$L$4),ROW(),"-")</f>
        <v>-</v>
      </c>
    </row>
    <row r="11801" customHeight="1" spans="2:2">
      <c r="B11801" s="62" t="str">
        <f>IF(AND('领用录入（明细）'!D:D=$F$4,'领用录入（明细）'!C:C&gt;=$J$4,'领用录入（明细）'!C:C&lt;=$L$4),ROW(),"-")</f>
        <v>-</v>
      </c>
    </row>
    <row r="11802" customHeight="1" spans="2:2">
      <c r="B11802" s="62" t="str">
        <f>IF(AND('领用录入（明细）'!D:D=$F$4,'领用录入（明细）'!C:C&gt;=$J$4,'领用录入（明细）'!C:C&lt;=$L$4),ROW(),"-")</f>
        <v>-</v>
      </c>
    </row>
    <row r="11803" customHeight="1" spans="2:2">
      <c r="B11803" s="62" t="str">
        <f>IF(AND('领用录入（明细）'!D:D=$F$4,'领用录入（明细）'!C:C&gt;=$J$4,'领用录入（明细）'!C:C&lt;=$L$4),ROW(),"-")</f>
        <v>-</v>
      </c>
    </row>
    <row r="11804" customHeight="1" spans="2:2">
      <c r="B11804" s="62" t="str">
        <f>IF(AND('领用录入（明细）'!D:D=$F$4,'领用录入（明细）'!C:C&gt;=$J$4,'领用录入（明细）'!C:C&lt;=$L$4),ROW(),"-")</f>
        <v>-</v>
      </c>
    </row>
    <row r="11805" customHeight="1" spans="2:2">
      <c r="B11805" s="62" t="str">
        <f>IF(AND('领用录入（明细）'!D:D=$F$4,'领用录入（明细）'!C:C&gt;=$J$4,'领用录入（明细）'!C:C&lt;=$L$4),ROW(),"-")</f>
        <v>-</v>
      </c>
    </row>
    <row r="11806" customHeight="1" spans="2:2">
      <c r="B11806" s="62" t="str">
        <f>IF(AND('领用录入（明细）'!D:D=$F$4,'领用录入（明细）'!C:C&gt;=$J$4,'领用录入（明细）'!C:C&lt;=$L$4),ROW(),"-")</f>
        <v>-</v>
      </c>
    </row>
    <row r="11807" customHeight="1" spans="2:2">
      <c r="B11807" s="62" t="str">
        <f>IF(AND('领用录入（明细）'!D:D=$F$4,'领用录入（明细）'!C:C&gt;=$J$4,'领用录入（明细）'!C:C&lt;=$L$4),ROW(),"-")</f>
        <v>-</v>
      </c>
    </row>
    <row r="11808" customHeight="1" spans="2:2">
      <c r="B11808" s="62" t="str">
        <f>IF(AND('领用录入（明细）'!D:D=$F$4,'领用录入（明细）'!C:C&gt;=$J$4,'领用录入（明细）'!C:C&lt;=$L$4),ROW(),"-")</f>
        <v>-</v>
      </c>
    </row>
    <row r="11809" customHeight="1" spans="2:2">
      <c r="B11809" s="62" t="str">
        <f>IF(AND('领用录入（明细）'!D:D=$F$4,'领用录入（明细）'!C:C&gt;=$J$4,'领用录入（明细）'!C:C&lt;=$L$4),ROW(),"-")</f>
        <v>-</v>
      </c>
    </row>
    <row r="11810" customHeight="1" spans="2:2">
      <c r="B11810" s="62" t="str">
        <f>IF(AND('领用录入（明细）'!D:D=$F$4,'领用录入（明细）'!C:C&gt;=$J$4,'领用录入（明细）'!C:C&lt;=$L$4),ROW(),"-")</f>
        <v>-</v>
      </c>
    </row>
    <row r="11811" customHeight="1" spans="2:2">
      <c r="B11811" s="62" t="str">
        <f>IF(AND('领用录入（明细）'!D:D=$F$4,'领用录入（明细）'!C:C&gt;=$J$4,'领用录入（明细）'!C:C&lt;=$L$4),ROW(),"-")</f>
        <v>-</v>
      </c>
    </row>
    <row r="11812" customHeight="1" spans="2:2">
      <c r="B11812" s="62" t="str">
        <f>IF(AND('领用录入（明细）'!D:D=$F$4,'领用录入（明细）'!C:C&gt;=$J$4,'领用录入（明细）'!C:C&lt;=$L$4),ROW(),"-")</f>
        <v>-</v>
      </c>
    </row>
    <row r="11813" customHeight="1" spans="2:2">
      <c r="B11813" s="62" t="str">
        <f>IF(AND('领用录入（明细）'!D:D=$F$4,'领用录入（明细）'!C:C&gt;=$J$4,'领用录入（明细）'!C:C&lt;=$L$4),ROW(),"-")</f>
        <v>-</v>
      </c>
    </row>
    <row r="11814" customHeight="1" spans="2:2">
      <c r="B11814" s="62" t="str">
        <f>IF(AND('领用录入（明细）'!D:D=$F$4,'领用录入（明细）'!C:C&gt;=$J$4,'领用录入（明细）'!C:C&lt;=$L$4),ROW(),"-")</f>
        <v>-</v>
      </c>
    </row>
    <row r="11815" customHeight="1" spans="2:2">
      <c r="B11815" s="62" t="str">
        <f>IF(AND('领用录入（明细）'!D:D=$F$4,'领用录入（明细）'!C:C&gt;=$J$4,'领用录入（明细）'!C:C&lt;=$L$4),ROW(),"-")</f>
        <v>-</v>
      </c>
    </row>
    <row r="11816" customHeight="1" spans="2:2">
      <c r="B11816" s="62" t="str">
        <f>IF(AND('领用录入（明细）'!D:D=$F$4,'领用录入（明细）'!C:C&gt;=$J$4,'领用录入（明细）'!C:C&lt;=$L$4),ROW(),"-")</f>
        <v>-</v>
      </c>
    </row>
    <row r="11817" customHeight="1" spans="2:2">
      <c r="B11817" s="62" t="str">
        <f>IF(AND('领用录入（明细）'!D:D=$F$4,'领用录入（明细）'!C:C&gt;=$J$4,'领用录入（明细）'!C:C&lt;=$L$4),ROW(),"-")</f>
        <v>-</v>
      </c>
    </row>
    <row r="11818" customHeight="1" spans="2:2">
      <c r="B11818" s="62" t="str">
        <f>IF(AND('领用录入（明细）'!D:D=$F$4,'领用录入（明细）'!C:C&gt;=$J$4,'领用录入（明细）'!C:C&lt;=$L$4),ROW(),"-")</f>
        <v>-</v>
      </c>
    </row>
    <row r="11819" customHeight="1" spans="2:2">
      <c r="B11819" s="62" t="str">
        <f>IF(AND('领用录入（明细）'!D:D=$F$4,'领用录入（明细）'!C:C&gt;=$J$4,'领用录入（明细）'!C:C&lt;=$L$4),ROW(),"-")</f>
        <v>-</v>
      </c>
    </row>
    <row r="11820" customHeight="1" spans="2:2">
      <c r="B11820" s="62" t="str">
        <f>IF(AND('领用录入（明细）'!D:D=$F$4,'领用录入（明细）'!C:C&gt;=$J$4,'领用录入（明细）'!C:C&lt;=$L$4),ROW(),"-")</f>
        <v>-</v>
      </c>
    </row>
    <row r="11821" customHeight="1" spans="2:2">
      <c r="B11821" s="62" t="str">
        <f>IF(AND('领用录入（明细）'!D:D=$F$4,'领用录入（明细）'!C:C&gt;=$J$4,'领用录入（明细）'!C:C&lt;=$L$4),ROW(),"-")</f>
        <v>-</v>
      </c>
    </row>
    <row r="11822" customHeight="1" spans="2:2">
      <c r="B11822" s="62" t="str">
        <f>IF(AND('领用录入（明细）'!D:D=$F$4,'领用录入（明细）'!C:C&gt;=$J$4,'领用录入（明细）'!C:C&lt;=$L$4),ROW(),"-")</f>
        <v>-</v>
      </c>
    </row>
    <row r="11823" customHeight="1" spans="2:2">
      <c r="B11823" s="62" t="str">
        <f>IF(AND('领用录入（明细）'!D:D=$F$4,'领用录入（明细）'!C:C&gt;=$J$4,'领用录入（明细）'!C:C&lt;=$L$4),ROW(),"-")</f>
        <v>-</v>
      </c>
    </row>
    <row r="11824" customHeight="1" spans="2:2">
      <c r="B11824" s="62" t="str">
        <f>IF(AND('领用录入（明细）'!D:D=$F$4,'领用录入（明细）'!C:C&gt;=$J$4,'领用录入（明细）'!C:C&lt;=$L$4),ROW(),"-")</f>
        <v>-</v>
      </c>
    </row>
    <row r="11825" customHeight="1" spans="2:2">
      <c r="B11825" s="62" t="str">
        <f>IF(AND('领用录入（明细）'!D:D=$F$4,'领用录入（明细）'!C:C&gt;=$J$4,'领用录入（明细）'!C:C&lt;=$L$4),ROW(),"-")</f>
        <v>-</v>
      </c>
    </row>
    <row r="11826" customHeight="1" spans="2:2">
      <c r="B11826" s="62" t="str">
        <f>IF(AND('领用录入（明细）'!D:D=$F$4,'领用录入（明细）'!C:C&gt;=$J$4,'领用录入（明细）'!C:C&lt;=$L$4),ROW(),"-")</f>
        <v>-</v>
      </c>
    </row>
    <row r="11827" customHeight="1" spans="2:2">
      <c r="B11827" s="62" t="str">
        <f>IF(AND('领用录入（明细）'!D:D=$F$4,'领用录入（明细）'!C:C&gt;=$J$4,'领用录入（明细）'!C:C&lt;=$L$4),ROW(),"-")</f>
        <v>-</v>
      </c>
    </row>
    <row r="11828" customHeight="1" spans="2:2">
      <c r="B11828" s="62" t="str">
        <f>IF(AND('领用录入（明细）'!D:D=$F$4,'领用录入（明细）'!C:C&gt;=$J$4,'领用录入（明细）'!C:C&lt;=$L$4),ROW(),"-")</f>
        <v>-</v>
      </c>
    </row>
    <row r="11829" customHeight="1" spans="2:2">
      <c r="B11829" s="62" t="str">
        <f>IF(AND('领用录入（明细）'!D:D=$F$4,'领用录入（明细）'!C:C&gt;=$J$4,'领用录入（明细）'!C:C&lt;=$L$4),ROW(),"-")</f>
        <v>-</v>
      </c>
    </row>
    <row r="11830" customHeight="1" spans="2:2">
      <c r="B11830" s="62" t="str">
        <f>IF(AND('领用录入（明细）'!D:D=$F$4,'领用录入（明细）'!C:C&gt;=$J$4,'领用录入（明细）'!C:C&lt;=$L$4),ROW(),"-")</f>
        <v>-</v>
      </c>
    </row>
    <row r="11831" customHeight="1" spans="2:2">
      <c r="B11831" s="62" t="str">
        <f>IF(AND('领用录入（明细）'!D:D=$F$4,'领用录入（明细）'!C:C&gt;=$J$4,'领用录入（明细）'!C:C&lt;=$L$4),ROW(),"-")</f>
        <v>-</v>
      </c>
    </row>
    <row r="11832" customHeight="1" spans="2:2">
      <c r="B11832" s="62" t="str">
        <f>IF(AND('领用录入（明细）'!D:D=$F$4,'领用录入（明细）'!C:C&gt;=$J$4,'领用录入（明细）'!C:C&lt;=$L$4),ROW(),"-")</f>
        <v>-</v>
      </c>
    </row>
    <row r="11833" customHeight="1" spans="2:2">
      <c r="B11833" s="62" t="str">
        <f>IF(AND('领用录入（明细）'!D:D=$F$4,'领用录入（明细）'!C:C&gt;=$J$4,'领用录入（明细）'!C:C&lt;=$L$4),ROW(),"-")</f>
        <v>-</v>
      </c>
    </row>
    <row r="11834" customHeight="1" spans="2:2">
      <c r="B11834" s="62" t="str">
        <f>IF(AND('领用录入（明细）'!D:D=$F$4,'领用录入（明细）'!C:C&gt;=$J$4,'领用录入（明细）'!C:C&lt;=$L$4),ROW(),"-")</f>
        <v>-</v>
      </c>
    </row>
    <row r="11835" customHeight="1" spans="2:2">
      <c r="B11835" s="62" t="str">
        <f>IF(AND('领用录入（明细）'!D:D=$F$4,'领用录入（明细）'!C:C&gt;=$J$4,'领用录入（明细）'!C:C&lt;=$L$4),ROW(),"-")</f>
        <v>-</v>
      </c>
    </row>
    <row r="11836" customHeight="1" spans="2:2">
      <c r="B11836" s="62" t="str">
        <f>IF(AND('领用录入（明细）'!D:D=$F$4,'领用录入（明细）'!C:C&gt;=$J$4,'领用录入（明细）'!C:C&lt;=$L$4),ROW(),"-")</f>
        <v>-</v>
      </c>
    </row>
    <row r="11837" customHeight="1" spans="2:2">
      <c r="B11837" s="62" t="str">
        <f>IF(AND('领用录入（明细）'!D:D=$F$4,'领用录入（明细）'!C:C&gt;=$J$4,'领用录入（明细）'!C:C&lt;=$L$4),ROW(),"-")</f>
        <v>-</v>
      </c>
    </row>
    <row r="11838" customHeight="1" spans="2:2">
      <c r="B11838" s="62" t="str">
        <f>IF(AND('领用录入（明细）'!D:D=$F$4,'领用录入（明细）'!C:C&gt;=$J$4,'领用录入（明细）'!C:C&lt;=$L$4),ROW(),"-")</f>
        <v>-</v>
      </c>
    </row>
    <row r="11839" customHeight="1" spans="2:2">
      <c r="B11839" s="62" t="str">
        <f>IF(AND('领用录入（明细）'!D:D=$F$4,'领用录入（明细）'!C:C&gt;=$J$4,'领用录入（明细）'!C:C&lt;=$L$4),ROW(),"-")</f>
        <v>-</v>
      </c>
    </row>
    <row r="11840" customHeight="1" spans="2:2">
      <c r="B11840" s="62" t="str">
        <f>IF(AND('领用录入（明细）'!D:D=$F$4,'领用录入（明细）'!C:C&gt;=$J$4,'领用录入（明细）'!C:C&lt;=$L$4),ROW(),"-")</f>
        <v>-</v>
      </c>
    </row>
    <row r="11841" customHeight="1" spans="2:2">
      <c r="B11841" s="62" t="str">
        <f>IF(AND('领用录入（明细）'!D:D=$F$4,'领用录入（明细）'!C:C&gt;=$J$4,'领用录入（明细）'!C:C&lt;=$L$4),ROW(),"-")</f>
        <v>-</v>
      </c>
    </row>
    <row r="11842" customHeight="1" spans="2:2">
      <c r="B11842" s="62" t="str">
        <f>IF(AND('领用录入（明细）'!D:D=$F$4,'领用录入（明细）'!C:C&gt;=$J$4,'领用录入（明细）'!C:C&lt;=$L$4),ROW(),"-")</f>
        <v>-</v>
      </c>
    </row>
    <row r="11843" customHeight="1" spans="2:2">
      <c r="B11843" s="62" t="str">
        <f>IF(AND('领用录入（明细）'!D:D=$F$4,'领用录入（明细）'!C:C&gt;=$J$4,'领用录入（明细）'!C:C&lt;=$L$4),ROW(),"-")</f>
        <v>-</v>
      </c>
    </row>
    <row r="11844" customHeight="1" spans="2:2">
      <c r="B11844" s="62" t="str">
        <f>IF(AND('领用录入（明细）'!D:D=$F$4,'领用录入（明细）'!C:C&gt;=$J$4,'领用录入（明细）'!C:C&lt;=$L$4),ROW(),"-")</f>
        <v>-</v>
      </c>
    </row>
    <row r="11845" customHeight="1" spans="2:2">
      <c r="B11845" s="62" t="str">
        <f>IF(AND('领用录入（明细）'!D:D=$F$4,'领用录入（明细）'!C:C&gt;=$J$4,'领用录入（明细）'!C:C&lt;=$L$4),ROW(),"-")</f>
        <v>-</v>
      </c>
    </row>
    <row r="11846" customHeight="1" spans="2:2">
      <c r="B11846" s="62" t="str">
        <f>IF(AND('领用录入（明细）'!D:D=$F$4,'领用录入（明细）'!C:C&gt;=$J$4,'领用录入（明细）'!C:C&lt;=$L$4),ROW(),"-")</f>
        <v>-</v>
      </c>
    </row>
    <row r="11847" customHeight="1" spans="2:2">
      <c r="B11847" s="62" t="str">
        <f>IF(AND('领用录入（明细）'!D:D=$F$4,'领用录入（明细）'!C:C&gt;=$J$4,'领用录入（明细）'!C:C&lt;=$L$4),ROW(),"-")</f>
        <v>-</v>
      </c>
    </row>
    <row r="11848" customHeight="1" spans="2:2">
      <c r="B11848" s="62" t="str">
        <f>IF(AND('领用录入（明细）'!D:D=$F$4,'领用录入（明细）'!C:C&gt;=$J$4,'领用录入（明细）'!C:C&lt;=$L$4),ROW(),"-")</f>
        <v>-</v>
      </c>
    </row>
    <row r="11849" customHeight="1" spans="2:2">
      <c r="B11849" s="62" t="str">
        <f>IF(AND('领用录入（明细）'!D:D=$F$4,'领用录入（明细）'!C:C&gt;=$J$4,'领用录入（明细）'!C:C&lt;=$L$4),ROW(),"-")</f>
        <v>-</v>
      </c>
    </row>
    <row r="11850" customHeight="1" spans="2:2">
      <c r="B11850" s="62" t="str">
        <f>IF(AND('领用录入（明细）'!D:D=$F$4,'领用录入（明细）'!C:C&gt;=$J$4,'领用录入（明细）'!C:C&lt;=$L$4),ROW(),"-")</f>
        <v>-</v>
      </c>
    </row>
    <row r="11851" customHeight="1" spans="2:2">
      <c r="B11851" s="62" t="str">
        <f>IF(AND('领用录入（明细）'!D:D=$F$4,'领用录入（明细）'!C:C&gt;=$J$4,'领用录入（明细）'!C:C&lt;=$L$4),ROW(),"-")</f>
        <v>-</v>
      </c>
    </row>
    <row r="11852" customHeight="1" spans="2:2">
      <c r="B11852" s="62" t="str">
        <f>IF(AND('领用录入（明细）'!D:D=$F$4,'领用录入（明细）'!C:C&gt;=$J$4,'领用录入（明细）'!C:C&lt;=$L$4),ROW(),"-")</f>
        <v>-</v>
      </c>
    </row>
    <row r="11853" customHeight="1" spans="2:2">
      <c r="B11853" s="62" t="str">
        <f>IF(AND('领用录入（明细）'!D:D=$F$4,'领用录入（明细）'!C:C&gt;=$J$4,'领用录入（明细）'!C:C&lt;=$L$4),ROW(),"-")</f>
        <v>-</v>
      </c>
    </row>
    <row r="11854" customHeight="1" spans="2:2">
      <c r="B11854" s="62" t="str">
        <f>IF(AND('领用录入（明细）'!D:D=$F$4,'领用录入（明细）'!C:C&gt;=$J$4,'领用录入（明细）'!C:C&lt;=$L$4),ROW(),"-")</f>
        <v>-</v>
      </c>
    </row>
    <row r="11855" customHeight="1" spans="2:2">
      <c r="B11855" s="62" t="str">
        <f>IF(AND('领用录入（明细）'!D:D=$F$4,'领用录入（明细）'!C:C&gt;=$J$4,'领用录入（明细）'!C:C&lt;=$L$4),ROW(),"-")</f>
        <v>-</v>
      </c>
    </row>
    <row r="11856" customHeight="1" spans="2:2">
      <c r="B11856" s="62" t="str">
        <f>IF(AND('领用录入（明细）'!D:D=$F$4,'领用录入（明细）'!C:C&gt;=$J$4,'领用录入（明细）'!C:C&lt;=$L$4),ROW(),"-")</f>
        <v>-</v>
      </c>
    </row>
    <row r="11857" customHeight="1" spans="2:2">
      <c r="B11857" s="62" t="str">
        <f>IF(AND('领用录入（明细）'!D:D=$F$4,'领用录入（明细）'!C:C&gt;=$J$4,'领用录入（明细）'!C:C&lt;=$L$4),ROW(),"-")</f>
        <v>-</v>
      </c>
    </row>
    <row r="11858" customHeight="1" spans="2:2">
      <c r="B11858" s="62" t="str">
        <f>IF(AND('领用录入（明细）'!D:D=$F$4,'领用录入（明细）'!C:C&gt;=$J$4,'领用录入（明细）'!C:C&lt;=$L$4),ROW(),"-")</f>
        <v>-</v>
      </c>
    </row>
    <row r="11859" customHeight="1" spans="2:2">
      <c r="B11859" s="62" t="str">
        <f>IF(AND('领用录入（明细）'!D:D=$F$4,'领用录入（明细）'!C:C&gt;=$J$4,'领用录入（明细）'!C:C&lt;=$L$4),ROW(),"-")</f>
        <v>-</v>
      </c>
    </row>
    <row r="11860" customHeight="1" spans="2:2">
      <c r="B11860" s="62" t="str">
        <f>IF(AND('领用录入（明细）'!D:D=$F$4,'领用录入（明细）'!C:C&gt;=$J$4,'领用录入（明细）'!C:C&lt;=$L$4),ROW(),"-")</f>
        <v>-</v>
      </c>
    </row>
    <row r="11861" customHeight="1" spans="2:2">
      <c r="B11861" s="62" t="str">
        <f>IF(AND('领用录入（明细）'!D:D=$F$4,'领用录入（明细）'!C:C&gt;=$J$4,'领用录入（明细）'!C:C&lt;=$L$4),ROW(),"-")</f>
        <v>-</v>
      </c>
    </row>
    <row r="11862" customHeight="1" spans="2:2">
      <c r="B11862" s="62" t="str">
        <f>IF(AND('领用录入（明细）'!D:D=$F$4,'领用录入（明细）'!C:C&gt;=$J$4,'领用录入（明细）'!C:C&lt;=$L$4),ROW(),"-")</f>
        <v>-</v>
      </c>
    </row>
    <row r="11863" customHeight="1" spans="2:2">
      <c r="B11863" s="62" t="str">
        <f>IF(AND('领用录入（明细）'!D:D=$F$4,'领用录入（明细）'!C:C&gt;=$J$4,'领用录入（明细）'!C:C&lt;=$L$4),ROW(),"-")</f>
        <v>-</v>
      </c>
    </row>
    <row r="11864" customHeight="1" spans="2:2">
      <c r="B11864" s="62" t="str">
        <f>IF(AND('领用录入（明细）'!D:D=$F$4,'领用录入（明细）'!C:C&gt;=$J$4,'领用录入（明细）'!C:C&lt;=$L$4),ROW(),"-")</f>
        <v>-</v>
      </c>
    </row>
    <row r="11865" customHeight="1" spans="2:2">
      <c r="B11865" s="62" t="str">
        <f>IF(AND('领用录入（明细）'!D:D=$F$4,'领用录入（明细）'!C:C&gt;=$J$4,'领用录入（明细）'!C:C&lt;=$L$4),ROW(),"-")</f>
        <v>-</v>
      </c>
    </row>
    <row r="11866" customHeight="1" spans="2:2">
      <c r="B11866" s="62" t="str">
        <f>IF(AND('领用录入（明细）'!D:D=$F$4,'领用录入（明细）'!C:C&gt;=$J$4,'领用录入（明细）'!C:C&lt;=$L$4),ROW(),"-")</f>
        <v>-</v>
      </c>
    </row>
    <row r="11867" customHeight="1" spans="2:2">
      <c r="B11867" s="62" t="str">
        <f>IF(AND('领用录入（明细）'!D:D=$F$4,'领用录入（明细）'!C:C&gt;=$J$4,'领用录入（明细）'!C:C&lt;=$L$4),ROW(),"-")</f>
        <v>-</v>
      </c>
    </row>
    <row r="11868" customHeight="1" spans="2:2">
      <c r="B11868" s="62" t="str">
        <f>IF(AND('领用录入（明细）'!D:D=$F$4,'领用录入（明细）'!C:C&gt;=$J$4,'领用录入（明细）'!C:C&lt;=$L$4),ROW(),"-")</f>
        <v>-</v>
      </c>
    </row>
    <row r="11869" customHeight="1" spans="2:2">
      <c r="B11869" s="62" t="str">
        <f>IF(AND('领用录入（明细）'!D:D=$F$4,'领用录入（明细）'!C:C&gt;=$J$4,'领用录入（明细）'!C:C&lt;=$L$4),ROW(),"-")</f>
        <v>-</v>
      </c>
    </row>
    <row r="11870" customHeight="1" spans="2:2">
      <c r="B11870" s="62" t="str">
        <f>IF(AND('领用录入（明细）'!D:D=$F$4,'领用录入（明细）'!C:C&gt;=$J$4,'领用录入（明细）'!C:C&lt;=$L$4),ROW(),"-")</f>
        <v>-</v>
      </c>
    </row>
    <row r="11871" customHeight="1" spans="2:2">
      <c r="B11871" s="62" t="str">
        <f>IF(AND('领用录入（明细）'!D:D=$F$4,'领用录入（明细）'!C:C&gt;=$J$4,'领用录入（明细）'!C:C&lt;=$L$4),ROW(),"-")</f>
        <v>-</v>
      </c>
    </row>
    <row r="11872" customHeight="1" spans="2:2">
      <c r="B11872" s="62" t="str">
        <f>IF(AND('领用录入（明细）'!D:D=$F$4,'领用录入（明细）'!C:C&gt;=$J$4,'领用录入（明细）'!C:C&lt;=$L$4),ROW(),"-")</f>
        <v>-</v>
      </c>
    </row>
    <row r="11873" customHeight="1" spans="2:2">
      <c r="B11873" s="62" t="str">
        <f>IF(AND('领用录入（明细）'!D:D=$F$4,'领用录入（明细）'!C:C&gt;=$J$4,'领用录入（明细）'!C:C&lt;=$L$4),ROW(),"-")</f>
        <v>-</v>
      </c>
    </row>
    <row r="11874" customHeight="1" spans="2:2">
      <c r="B11874" s="62" t="str">
        <f>IF(AND('领用录入（明细）'!D:D=$F$4,'领用录入（明细）'!C:C&gt;=$J$4,'领用录入（明细）'!C:C&lt;=$L$4),ROW(),"-")</f>
        <v>-</v>
      </c>
    </row>
    <row r="11875" customHeight="1" spans="2:2">
      <c r="B11875" s="62" t="str">
        <f>IF(AND('领用录入（明细）'!D:D=$F$4,'领用录入（明细）'!C:C&gt;=$J$4,'领用录入（明细）'!C:C&lt;=$L$4),ROW(),"-")</f>
        <v>-</v>
      </c>
    </row>
    <row r="11876" customHeight="1" spans="2:2">
      <c r="B11876" s="62" t="str">
        <f>IF(AND('领用录入（明细）'!D:D=$F$4,'领用录入（明细）'!C:C&gt;=$J$4,'领用录入（明细）'!C:C&lt;=$L$4),ROW(),"-")</f>
        <v>-</v>
      </c>
    </row>
    <row r="11877" customHeight="1" spans="2:2">
      <c r="B11877" s="62" t="str">
        <f>IF(AND('领用录入（明细）'!D:D=$F$4,'领用录入（明细）'!C:C&gt;=$J$4,'领用录入（明细）'!C:C&lt;=$L$4),ROW(),"-")</f>
        <v>-</v>
      </c>
    </row>
    <row r="11878" customHeight="1" spans="2:2">
      <c r="B11878" s="62" t="str">
        <f>IF(AND('领用录入（明细）'!D:D=$F$4,'领用录入（明细）'!C:C&gt;=$J$4,'领用录入（明细）'!C:C&lt;=$L$4),ROW(),"-")</f>
        <v>-</v>
      </c>
    </row>
    <row r="11879" customHeight="1" spans="2:2">
      <c r="B11879" s="62" t="str">
        <f>IF(AND('领用录入（明细）'!D:D=$F$4,'领用录入（明细）'!C:C&gt;=$J$4,'领用录入（明细）'!C:C&lt;=$L$4),ROW(),"-")</f>
        <v>-</v>
      </c>
    </row>
    <row r="11880" customHeight="1" spans="2:2">
      <c r="B11880" s="62" t="str">
        <f>IF(AND('领用录入（明细）'!D:D=$F$4,'领用录入（明细）'!C:C&gt;=$J$4,'领用录入（明细）'!C:C&lt;=$L$4),ROW(),"-")</f>
        <v>-</v>
      </c>
    </row>
    <row r="11881" customHeight="1" spans="2:2">
      <c r="B11881" s="62" t="str">
        <f>IF(AND('领用录入（明细）'!D:D=$F$4,'领用录入（明细）'!C:C&gt;=$J$4,'领用录入（明细）'!C:C&lt;=$L$4),ROW(),"-")</f>
        <v>-</v>
      </c>
    </row>
    <row r="11882" customHeight="1" spans="2:2">
      <c r="B11882" s="62" t="str">
        <f>IF(AND('领用录入（明细）'!D:D=$F$4,'领用录入（明细）'!C:C&gt;=$J$4,'领用录入（明细）'!C:C&lt;=$L$4),ROW(),"-")</f>
        <v>-</v>
      </c>
    </row>
    <row r="11883" customHeight="1" spans="2:2">
      <c r="B11883" s="62" t="str">
        <f>IF(AND('领用录入（明细）'!D:D=$F$4,'领用录入（明细）'!C:C&gt;=$J$4,'领用录入（明细）'!C:C&lt;=$L$4),ROW(),"-")</f>
        <v>-</v>
      </c>
    </row>
    <row r="11884" customHeight="1" spans="2:2">
      <c r="B11884" s="62" t="str">
        <f>IF(AND('领用录入（明细）'!D:D=$F$4,'领用录入（明细）'!C:C&gt;=$J$4,'领用录入（明细）'!C:C&lt;=$L$4),ROW(),"-")</f>
        <v>-</v>
      </c>
    </row>
    <row r="11885" customHeight="1" spans="2:2">
      <c r="B11885" s="62" t="str">
        <f>IF(AND('领用录入（明细）'!D:D=$F$4,'领用录入（明细）'!C:C&gt;=$J$4,'领用录入（明细）'!C:C&lt;=$L$4),ROW(),"-")</f>
        <v>-</v>
      </c>
    </row>
    <row r="11886" customHeight="1" spans="2:2">
      <c r="B11886" s="62" t="str">
        <f>IF(AND('领用录入（明细）'!D:D=$F$4,'领用录入（明细）'!C:C&gt;=$J$4,'领用录入（明细）'!C:C&lt;=$L$4),ROW(),"-")</f>
        <v>-</v>
      </c>
    </row>
    <row r="11887" customHeight="1" spans="2:2">
      <c r="B11887" s="62" t="str">
        <f>IF(AND('领用录入（明细）'!D:D=$F$4,'领用录入（明细）'!C:C&gt;=$J$4,'领用录入（明细）'!C:C&lt;=$L$4),ROW(),"-")</f>
        <v>-</v>
      </c>
    </row>
    <row r="11888" customHeight="1" spans="2:2">
      <c r="B11888" s="62" t="str">
        <f>IF(AND('领用录入（明细）'!D:D=$F$4,'领用录入（明细）'!C:C&gt;=$J$4,'领用录入（明细）'!C:C&lt;=$L$4),ROW(),"-")</f>
        <v>-</v>
      </c>
    </row>
    <row r="11889" customHeight="1" spans="2:2">
      <c r="B11889" s="62" t="str">
        <f>IF(AND('领用录入（明细）'!D:D=$F$4,'领用录入（明细）'!C:C&gt;=$J$4,'领用录入（明细）'!C:C&lt;=$L$4),ROW(),"-")</f>
        <v>-</v>
      </c>
    </row>
    <row r="11890" customHeight="1" spans="2:2">
      <c r="B11890" s="62" t="str">
        <f>IF(AND('领用录入（明细）'!D:D=$F$4,'领用录入（明细）'!C:C&gt;=$J$4,'领用录入（明细）'!C:C&lt;=$L$4),ROW(),"-")</f>
        <v>-</v>
      </c>
    </row>
    <row r="11891" customHeight="1" spans="2:2">
      <c r="B11891" s="62" t="str">
        <f>IF(AND('领用录入（明细）'!D:D=$F$4,'领用录入（明细）'!C:C&gt;=$J$4,'领用录入（明细）'!C:C&lt;=$L$4),ROW(),"-")</f>
        <v>-</v>
      </c>
    </row>
    <row r="11892" customHeight="1" spans="2:2">
      <c r="B11892" s="62" t="str">
        <f>IF(AND('领用录入（明细）'!D:D=$F$4,'领用录入（明细）'!C:C&gt;=$J$4,'领用录入（明细）'!C:C&lt;=$L$4),ROW(),"-")</f>
        <v>-</v>
      </c>
    </row>
    <row r="11893" customHeight="1" spans="2:2">
      <c r="B11893" s="62" t="str">
        <f>IF(AND('领用录入（明细）'!D:D=$F$4,'领用录入（明细）'!C:C&gt;=$J$4,'领用录入（明细）'!C:C&lt;=$L$4),ROW(),"-")</f>
        <v>-</v>
      </c>
    </row>
    <row r="11894" customHeight="1" spans="2:2">
      <c r="B11894" s="62" t="str">
        <f>IF(AND('领用录入（明细）'!D:D=$F$4,'领用录入（明细）'!C:C&gt;=$J$4,'领用录入（明细）'!C:C&lt;=$L$4),ROW(),"-")</f>
        <v>-</v>
      </c>
    </row>
    <row r="11895" customHeight="1" spans="2:2">
      <c r="B11895" s="62" t="str">
        <f>IF(AND('领用录入（明细）'!D:D=$F$4,'领用录入（明细）'!C:C&gt;=$J$4,'领用录入（明细）'!C:C&lt;=$L$4),ROW(),"-")</f>
        <v>-</v>
      </c>
    </row>
    <row r="11896" customHeight="1" spans="2:2">
      <c r="B11896" s="62" t="str">
        <f>IF(AND('领用录入（明细）'!D:D=$F$4,'领用录入（明细）'!C:C&gt;=$J$4,'领用录入（明细）'!C:C&lt;=$L$4),ROW(),"-")</f>
        <v>-</v>
      </c>
    </row>
    <row r="11897" customHeight="1" spans="2:2">
      <c r="B11897" s="62" t="str">
        <f>IF(AND('领用录入（明细）'!D:D=$F$4,'领用录入（明细）'!C:C&gt;=$J$4,'领用录入（明细）'!C:C&lt;=$L$4),ROW(),"-")</f>
        <v>-</v>
      </c>
    </row>
    <row r="11898" customHeight="1" spans="2:2">
      <c r="B11898" s="62" t="str">
        <f>IF(AND('领用录入（明细）'!D:D=$F$4,'领用录入（明细）'!C:C&gt;=$J$4,'领用录入（明细）'!C:C&lt;=$L$4),ROW(),"-")</f>
        <v>-</v>
      </c>
    </row>
    <row r="11899" customHeight="1" spans="2:2">
      <c r="B11899" s="62" t="str">
        <f>IF(AND('领用录入（明细）'!D:D=$F$4,'领用录入（明细）'!C:C&gt;=$J$4,'领用录入（明细）'!C:C&lt;=$L$4),ROW(),"-")</f>
        <v>-</v>
      </c>
    </row>
    <row r="11900" customHeight="1" spans="2:2">
      <c r="B11900" s="62" t="str">
        <f>IF(AND('领用录入（明细）'!D:D=$F$4,'领用录入（明细）'!C:C&gt;=$J$4,'领用录入（明细）'!C:C&lt;=$L$4),ROW(),"-")</f>
        <v>-</v>
      </c>
    </row>
    <row r="11901" customHeight="1" spans="2:2">
      <c r="B11901" s="62" t="str">
        <f>IF(AND('领用录入（明细）'!D:D=$F$4,'领用录入（明细）'!C:C&gt;=$J$4,'领用录入（明细）'!C:C&lt;=$L$4),ROW(),"-")</f>
        <v>-</v>
      </c>
    </row>
    <row r="11902" customHeight="1" spans="2:2">
      <c r="B11902" s="62" t="str">
        <f>IF(AND('领用录入（明细）'!D:D=$F$4,'领用录入（明细）'!C:C&gt;=$J$4,'领用录入（明细）'!C:C&lt;=$L$4),ROW(),"-")</f>
        <v>-</v>
      </c>
    </row>
    <row r="11903" customHeight="1" spans="2:2">
      <c r="B11903" s="62" t="str">
        <f>IF(AND('领用录入（明细）'!D:D=$F$4,'领用录入（明细）'!C:C&gt;=$J$4,'领用录入（明细）'!C:C&lt;=$L$4),ROW(),"-")</f>
        <v>-</v>
      </c>
    </row>
    <row r="11904" customHeight="1" spans="2:2">
      <c r="B11904" s="62" t="str">
        <f>IF(AND('领用录入（明细）'!D:D=$F$4,'领用录入（明细）'!C:C&gt;=$J$4,'领用录入（明细）'!C:C&lt;=$L$4),ROW(),"-")</f>
        <v>-</v>
      </c>
    </row>
    <row r="11905" customHeight="1" spans="2:2">
      <c r="B11905" s="62" t="str">
        <f>IF(AND('领用录入（明细）'!D:D=$F$4,'领用录入（明细）'!C:C&gt;=$J$4,'领用录入（明细）'!C:C&lt;=$L$4),ROW(),"-")</f>
        <v>-</v>
      </c>
    </row>
    <row r="11906" customHeight="1" spans="2:2">
      <c r="B11906" s="62" t="str">
        <f>IF(AND('领用录入（明细）'!D:D=$F$4,'领用录入（明细）'!C:C&gt;=$J$4,'领用录入（明细）'!C:C&lt;=$L$4),ROW(),"-")</f>
        <v>-</v>
      </c>
    </row>
    <row r="11907" customHeight="1" spans="2:2">
      <c r="B11907" s="62" t="str">
        <f>IF(AND('领用录入（明细）'!D:D=$F$4,'领用录入（明细）'!C:C&gt;=$J$4,'领用录入（明细）'!C:C&lt;=$L$4),ROW(),"-")</f>
        <v>-</v>
      </c>
    </row>
    <row r="11908" customHeight="1" spans="2:2">
      <c r="B11908" s="62" t="str">
        <f>IF(AND('领用录入（明细）'!D:D=$F$4,'领用录入（明细）'!C:C&gt;=$J$4,'领用录入（明细）'!C:C&lt;=$L$4),ROW(),"-")</f>
        <v>-</v>
      </c>
    </row>
    <row r="11909" customHeight="1" spans="2:2">
      <c r="B11909" s="62" t="str">
        <f>IF(AND('领用录入（明细）'!D:D=$F$4,'领用录入（明细）'!C:C&gt;=$J$4,'领用录入（明细）'!C:C&lt;=$L$4),ROW(),"-")</f>
        <v>-</v>
      </c>
    </row>
    <row r="11910" customHeight="1" spans="2:2">
      <c r="B11910" s="62" t="str">
        <f>IF(AND('领用录入（明细）'!D:D=$F$4,'领用录入（明细）'!C:C&gt;=$J$4,'领用录入（明细）'!C:C&lt;=$L$4),ROW(),"-")</f>
        <v>-</v>
      </c>
    </row>
    <row r="11911" customHeight="1" spans="2:2">
      <c r="B11911" s="62" t="str">
        <f>IF(AND('领用录入（明细）'!D:D=$F$4,'领用录入（明细）'!C:C&gt;=$J$4,'领用录入（明细）'!C:C&lt;=$L$4),ROW(),"-")</f>
        <v>-</v>
      </c>
    </row>
    <row r="11912" customHeight="1" spans="2:2">
      <c r="B11912" s="62" t="str">
        <f>IF(AND('领用录入（明细）'!D:D=$F$4,'领用录入（明细）'!C:C&gt;=$J$4,'领用录入（明细）'!C:C&lt;=$L$4),ROW(),"-")</f>
        <v>-</v>
      </c>
    </row>
    <row r="11913" customHeight="1" spans="2:2">
      <c r="B11913" s="62" t="str">
        <f>IF(AND('领用录入（明细）'!D:D=$F$4,'领用录入（明细）'!C:C&gt;=$J$4,'领用录入（明细）'!C:C&lt;=$L$4),ROW(),"-")</f>
        <v>-</v>
      </c>
    </row>
    <row r="11914" customHeight="1" spans="2:2">
      <c r="B11914" s="62" t="str">
        <f>IF(AND('领用录入（明细）'!D:D=$F$4,'领用录入（明细）'!C:C&gt;=$J$4,'领用录入（明细）'!C:C&lt;=$L$4),ROW(),"-")</f>
        <v>-</v>
      </c>
    </row>
    <row r="11915" customHeight="1" spans="2:2">
      <c r="B11915" s="62" t="str">
        <f>IF(AND('领用录入（明细）'!D:D=$F$4,'领用录入（明细）'!C:C&gt;=$J$4,'领用录入（明细）'!C:C&lt;=$L$4),ROW(),"-")</f>
        <v>-</v>
      </c>
    </row>
    <row r="11916" customHeight="1" spans="2:2">
      <c r="B11916" s="62" t="str">
        <f>IF(AND('领用录入（明细）'!D:D=$F$4,'领用录入（明细）'!C:C&gt;=$J$4,'领用录入（明细）'!C:C&lt;=$L$4),ROW(),"-")</f>
        <v>-</v>
      </c>
    </row>
    <row r="11917" customHeight="1" spans="2:2">
      <c r="B11917" s="62" t="str">
        <f>IF(AND('领用录入（明细）'!D:D=$F$4,'领用录入（明细）'!C:C&gt;=$J$4,'领用录入（明细）'!C:C&lt;=$L$4),ROW(),"-")</f>
        <v>-</v>
      </c>
    </row>
    <row r="11918" customHeight="1" spans="2:2">
      <c r="B11918" s="62" t="str">
        <f>IF(AND('领用录入（明细）'!D:D=$F$4,'领用录入（明细）'!C:C&gt;=$J$4,'领用录入（明细）'!C:C&lt;=$L$4),ROW(),"-")</f>
        <v>-</v>
      </c>
    </row>
    <row r="11919" customHeight="1" spans="2:2">
      <c r="B11919" s="62" t="str">
        <f>IF(AND('领用录入（明细）'!D:D=$F$4,'领用录入（明细）'!C:C&gt;=$J$4,'领用录入（明细）'!C:C&lt;=$L$4),ROW(),"-")</f>
        <v>-</v>
      </c>
    </row>
    <row r="11920" customHeight="1" spans="2:2">
      <c r="B11920" s="62" t="str">
        <f>IF(AND('领用录入（明细）'!D:D=$F$4,'领用录入（明细）'!C:C&gt;=$J$4,'领用录入（明细）'!C:C&lt;=$L$4),ROW(),"-")</f>
        <v>-</v>
      </c>
    </row>
    <row r="11921" customHeight="1" spans="2:2">
      <c r="B11921" s="62" t="str">
        <f>IF(AND('领用录入（明细）'!D:D=$F$4,'领用录入（明细）'!C:C&gt;=$J$4,'领用录入（明细）'!C:C&lt;=$L$4),ROW(),"-")</f>
        <v>-</v>
      </c>
    </row>
    <row r="11922" customHeight="1" spans="2:2">
      <c r="B11922" s="62" t="str">
        <f>IF(AND('领用录入（明细）'!D:D=$F$4,'领用录入（明细）'!C:C&gt;=$J$4,'领用录入（明细）'!C:C&lt;=$L$4),ROW(),"-")</f>
        <v>-</v>
      </c>
    </row>
    <row r="11923" customHeight="1" spans="2:2">
      <c r="B11923" s="62" t="str">
        <f>IF(AND('领用录入（明细）'!D:D=$F$4,'领用录入（明细）'!C:C&gt;=$J$4,'领用录入（明细）'!C:C&lt;=$L$4),ROW(),"-")</f>
        <v>-</v>
      </c>
    </row>
    <row r="11924" customHeight="1" spans="2:2">
      <c r="B11924" s="62" t="str">
        <f>IF(AND('领用录入（明细）'!D:D=$F$4,'领用录入（明细）'!C:C&gt;=$J$4,'领用录入（明细）'!C:C&lt;=$L$4),ROW(),"-")</f>
        <v>-</v>
      </c>
    </row>
    <row r="11925" customHeight="1" spans="2:2">
      <c r="B11925" s="62" t="str">
        <f>IF(AND('领用录入（明细）'!D:D=$F$4,'领用录入（明细）'!C:C&gt;=$J$4,'领用录入（明细）'!C:C&lt;=$L$4),ROW(),"-")</f>
        <v>-</v>
      </c>
    </row>
    <row r="11926" customHeight="1" spans="2:2">
      <c r="B11926" s="62" t="str">
        <f>IF(AND('领用录入（明细）'!D:D=$F$4,'领用录入（明细）'!C:C&gt;=$J$4,'领用录入（明细）'!C:C&lt;=$L$4),ROW(),"-")</f>
        <v>-</v>
      </c>
    </row>
    <row r="11927" customHeight="1" spans="2:2">
      <c r="B11927" s="62" t="str">
        <f>IF(AND('领用录入（明细）'!D:D=$F$4,'领用录入（明细）'!C:C&gt;=$J$4,'领用录入（明细）'!C:C&lt;=$L$4),ROW(),"-")</f>
        <v>-</v>
      </c>
    </row>
    <row r="11928" customHeight="1" spans="2:2">
      <c r="B11928" s="62" t="str">
        <f>IF(AND('领用录入（明细）'!D:D=$F$4,'领用录入（明细）'!C:C&gt;=$J$4,'领用录入（明细）'!C:C&lt;=$L$4),ROW(),"-")</f>
        <v>-</v>
      </c>
    </row>
    <row r="11929" customHeight="1" spans="2:2">
      <c r="B11929" s="62" t="str">
        <f>IF(AND('领用录入（明细）'!D:D=$F$4,'领用录入（明细）'!C:C&gt;=$J$4,'领用录入（明细）'!C:C&lt;=$L$4),ROW(),"-")</f>
        <v>-</v>
      </c>
    </row>
    <row r="11930" customHeight="1" spans="2:2">
      <c r="B11930" s="62" t="str">
        <f>IF(AND('领用录入（明细）'!D:D=$F$4,'领用录入（明细）'!C:C&gt;=$J$4,'领用录入（明细）'!C:C&lt;=$L$4),ROW(),"-")</f>
        <v>-</v>
      </c>
    </row>
    <row r="11931" customHeight="1" spans="2:2">
      <c r="B11931" s="62" t="str">
        <f>IF(AND('领用录入（明细）'!D:D=$F$4,'领用录入（明细）'!C:C&gt;=$J$4,'领用录入（明细）'!C:C&lt;=$L$4),ROW(),"-")</f>
        <v>-</v>
      </c>
    </row>
    <row r="11932" customHeight="1" spans="2:2">
      <c r="B11932" s="62" t="str">
        <f>IF(AND('领用录入（明细）'!D:D=$F$4,'领用录入（明细）'!C:C&gt;=$J$4,'领用录入（明细）'!C:C&lt;=$L$4),ROW(),"-")</f>
        <v>-</v>
      </c>
    </row>
    <row r="11933" customHeight="1" spans="2:2">
      <c r="B11933" s="62" t="str">
        <f>IF(AND('领用录入（明细）'!D:D=$F$4,'领用录入（明细）'!C:C&gt;=$J$4,'领用录入（明细）'!C:C&lt;=$L$4),ROW(),"-")</f>
        <v>-</v>
      </c>
    </row>
    <row r="11934" customHeight="1" spans="2:2">
      <c r="B11934" s="62" t="str">
        <f>IF(AND('领用录入（明细）'!D:D=$F$4,'领用录入（明细）'!C:C&gt;=$J$4,'领用录入（明细）'!C:C&lt;=$L$4),ROW(),"-")</f>
        <v>-</v>
      </c>
    </row>
    <row r="11935" customHeight="1" spans="2:2">
      <c r="B11935" s="62" t="str">
        <f>IF(AND('领用录入（明细）'!D:D=$F$4,'领用录入（明细）'!C:C&gt;=$J$4,'领用录入（明细）'!C:C&lt;=$L$4),ROW(),"-")</f>
        <v>-</v>
      </c>
    </row>
    <row r="11936" customHeight="1" spans="2:2">
      <c r="B11936" s="62" t="str">
        <f>IF(AND('领用录入（明细）'!D:D=$F$4,'领用录入（明细）'!C:C&gt;=$J$4,'领用录入（明细）'!C:C&lt;=$L$4),ROW(),"-")</f>
        <v>-</v>
      </c>
    </row>
    <row r="11937" customHeight="1" spans="2:2">
      <c r="B11937" s="62" t="str">
        <f>IF(AND('领用录入（明细）'!D:D=$F$4,'领用录入（明细）'!C:C&gt;=$J$4,'领用录入（明细）'!C:C&lt;=$L$4),ROW(),"-")</f>
        <v>-</v>
      </c>
    </row>
    <row r="11938" customHeight="1" spans="2:2">
      <c r="B11938" s="62" t="str">
        <f>IF(AND('领用录入（明细）'!D:D=$F$4,'领用录入（明细）'!C:C&gt;=$J$4,'领用录入（明细）'!C:C&lt;=$L$4),ROW(),"-")</f>
        <v>-</v>
      </c>
    </row>
    <row r="11939" customHeight="1" spans="2:2">
      <c r="B11939" s="62" t="str">
        <f>IF(AND('领用录入（明细）'!D:D=$F$4,'领用录入（明细）'!C:C&gt;=$J$4,'领用录入（明细）'!C:C&lt;=$L$4),ROW(),"-")</f>
        <v>-</v>
      </c>
    </row>
    <row r="11940" customHeight="1" spans="2:2">
      <c r="B11940" s="62" t="str">
        <f>IF(AND('领用录入（明细）'!D:D=$F$4,'领用录入（明细）'!C:C&gt;=$J$4,'领用录入（明细）'!C:C&lt;=$L$4),ROW(),"-")</f>
        <v>-</v>
      </c>
    </row>
    <row r="11941" customHeight="1" spans="2:2">
      <c r="B11941" s="62" t="str">
        <f>IF(AND('领用录入（明细）'!D:D=$F$4,'领用录入（明细）'!C:C&gt;=$J$4,'领用录入（明细）'!C:C&lt;=$L$4),ROW(),"-")</f>
        <v>-</v>
      </c>
    </row>
    <row r="11942" customHeight="1" spans="2:2">
      <c r="B11942" s="62" t="str">
        <f>IF(AND('领用录入（明细）'!D:D=$F$4,'领用录入（明细）'!C:C&gt;=$J$4,'领用录入（明细）'!C:C&lt;=$L$4),ROW(),"-")</f>
        <v>-</v>
      </c>
    </row>
    <row r="11943" customHeight="1" spans="2:2">
      <c r="B11943" s="62" t="str">
        <f>IF(AND('领用录入（明细）'!D:D=$F$4,'领用录入（明细）'!C:C&gt;=$J$4,'领用录入（明细）'!C:C&lt;=$L$4),ROW(),"-")</f>
        <v>-</v>
      </c>
    </row>
    <row r="11944" customHeight="1" spans="2:2">
      <c r="B11944" s="62" t="str">
        <f>IF(AND('领用录入（明细）'!D:D=$F$4,'领用录入（明细）'!C:C&gt;=$J$4,'领用录入（明细）'!C:C&lt;=$L$4),ROW(),"-")</f>
        <v>-</v>
      </c>
    </row>
    <row r="11945" customHeight="1" spans="2:2">
      <c r="B11945" s="62" t="str">
        <f>IF(AND('领用录入（明细）'!D:D=$F$4,'领用录入（明细）'!C:C&gt;=$J$4,'领用录入（明细）'!C:C&lt;=$L$4),ROW(),"-")</f>
        <v>-</v>
      </c>
    </row>
    <row r="11946" customHeight="1" spans="2:2">
      <c r="B11946" s="62" t="str">
        <f>IF(AND('领用录入（明细）'!D:D=$F$4,'领用录入（明细）'!C:C&gt;=$J$4,'领用录入（明细）'!C:C&lt;=$L$4),ROW(),"-")</f>
        <v>-</v>
      </c>
    </row>
    <row r="11947" customHeight="1" spans="2:2">
      <c r="B11947" s="62" t="str">
        <f>IF(AND('领用录入（明细）'!D:D=$F$4,'领用录入（明细）'!C:C&gt;=$J$4,'领用录入（明细）'!C:C&lt;=$L$4),ROW(),"-")</f>
        <v>-</v>
      </c>
    </row>
    <row r="11948" customHeight="1" spans="2:2">
      <c r="B11948" s="62" t="str">
        <f>IF(AND('领用录入（明细）'!D:D=$F$4,'领用录入（明细）'!C:C&gt;=$J$4,'领用录入（明细）'!C:C&lt;=$L$4),ROW(),"-")</f>
        <v>-</v>
      </c>
    </row>
    <row r="11949" customHeight="1" spans="2:2">
      <c r="B11949" s="62" t="str">
        <f>IF(AND('领用录入（明细）'!D:D=$F$4,'领用录入（明细）'!C:C&gt;=$J$4,'领用录入（明细）'!C:C&lt;=$L$4),ROW(),"-")</f>
        <v>-</v>
      </c>
    </row>
    <row r="11950" customHeight="1" spans="2:2">
      <c r="B11950" s="62" t="str">
        <f>IF(AND('领用录入（明细）'!D:D=$F$4,'领用录入（明细）'!C:C&gt;=$J$4,'领用录入（明细）'!C:C&lt;=$L$4),ROW(),"-")</f>
        <v>-</v>
      </c>
    </row>
    <row r="11951" customHeight="1" spans="2:2">
      <c r="B11951" s="62" t="str">
        <f>IF(AND('领用录入（明细）'!D:D=$F$4,'领用录入（明细）'!C:C&gt;=$J$4,'领用录入（明细）'!C:C&lt;=$L$4),ROW(),"-")</f>
        <v>-</v>
      </c>
    </row>
    <row r="11952" customHeight="1" spans="2:2">
      <c r="B11952" s="62" t="str">
        <f>IF(AND('领用录入（明细）'!D:D=$F$4,'领用录入（明细）'!C:C&gt;=$J$4,'领用录入（明细）'!C:C&lt;=$L$4),ROW(),"-")</f>
        <v>-</v>
      </c>
    </row>
    <row r="11953" customHeight="1" spans="2:2">
      <c r="B11953" s="62" t="str">
        <f>IF(AND('领用录入（明细）'!D:D=$F$4,'领用录入（明细）'!C:C&gt;=$J$4,'领用录入（明细）'!C:C&lt;=$L$4),ROW(),"-")</f>
        <v>-</v>
      </c>
    </row>
    <row r="11954" customHeight="1" spans="2:2">
      <c r="B11954" s="62" t="str">
        <f>IF(AND('领用录入（明细）'!D:D=$F$4,'领用录入（明细）'!C:C&gt;=$J$4,'领用录入（明细）'!C:C&lt;=$L$4),ROW(),"-")</f>
        <v>-</v>
      </c>
    </row>
    <row r="11955" customHeight="1" spans="2:2">
      <c r="B11955" s="62" t="str">
        <f>IF(AND('领用录入（明细）'!D:D=$F$4,'领用录入（明细）'!C:C&gt;=$J$4,'领用录入（明细）'!C:C&lt;=$L$4),ROW(),"-")</f>
        <v>-</v>
      </c>
    </row>
    <row r="11956" customHeight="1" spans="2:2">
      <c r="B11956" s="62" t="str">
        <f>IF(AND('领用录入（明细）'!D:D=$F$4,'领用录入（明细）'!C:C&gt;=$J$4,'领用录入（明细）'!C:C&lt;=$L$4),ROW(),"-")</f>
        <v>-</v>
      </c>
    </row>
    <row r="11957" customHeight="1" spans="2:2">
      <c r="B11957" s="62" t="str">
        <f>IF(AND('领用录入（明细）'!D:D=$F$4,'领用录入（明细）'!C:C&gt;=$J$4,'领用录入（明细）'!C:C&lt;=$L$4),ROW(),"-")</f>
        <v>-</v>
      </c>
    </row>
    <row r="11958" customHeight="1" spans="2:2">
      <c r="B11958" s="62" t="str">
        <f>IF(AND('领用录入（明细）'!D:D=$F$4,'领用录入（明细）'!C:C&gt;=$J$4,'领用录入（明细）'!C:C&lt;=$L$4),ROW(),"-")</f>
        <v>-</v>
      </c>
    </row>
    <row r="11959" customHeight="1" spans="2:2">
      <c r="B11959" s="62" t="str">
        <f>IF(AND('领用录入（明细）'!D:D=$F$4,'领用录入（明细）'!C:C&gt;=$J$4,'领用录入（明细）'!C:C&lt;=$L$4),ROW(),"-")</f>
        <v>-</v>
      </c>
    </row>
    <row r="11960" customHeight="1" spans="2:2">
      <c r="B11960" s="62" t="str">
        <f>IF(AND('领用录入（明细）'!D:D=$F$4,'领用录入（明细）'!C:C&gt;=$J$4,'领用录入（明细）'!C:C&lt;=$L$4),ROW(),"-")</f>
        <v>-</v>
      </c>
    </row>
    <row r="11961" customHeight="1" spans="2:2">
      <c r="B11961" s="62" t="str">
        <f>IF(AND('领用录入（明细）'!D:D=$F$4,'领用录入（明细）'!C:C&gt;=$J$4,'领用录入（明细）'!C:C&lt;=$L$4),ROW(),"-")</f>
        <v>-</v>
      </c>
    </row>
    <row r="11962" customHeight="1" spans="2:2">
      <c r="B11962" s="62" t="str">
        <f>IF(AND('领用录入（明细）'!D:D=$F$4,'领用录入（明细）'!C:C&gt;=$J$4,'领用录入（明细）'!C:C&lt;=$L$4),ROW(),"-")</f>
        <v>-</v>
      </c>
    </row>
    <row r="11963" customHeight="1" spans="2:2">
      <c r="B11963" s="62" t="str">
        <f>IF(AND('领用录入（明细）'!D:D=$F$4,'领用录入（明细）'!C:C&gt;=$J$4,'领用录入（明细）'!C:C&lt;=$L$4),ROW(),"-")</f>
        <v>-</v>
      </c>
    </row>
    <row r="11964" customHeight="1" spans="2:2">
      <c r="B11964" s="62" t="str">
        <f>IF(AND('领用录入（明细）'!D:D=$F$4,'领用录入（明细）'!C:C&gt;=$J$4,'领用录入（明细）'!C:C&lt;=$L$4),ROW(),"-")</f>
        <v>-</v>
      </c>
    </row>
    <row r="11965" customHeight="1" spans="2:2">
      <c r="B11965" s="62" t="str">
        <f>IF(AND('领用录入（明细）'!D:D=$F$4,'领用录入（明细）'!C:C&gt;=$J$4,'领用录入（明细）'!C:C&lt;=$L$4),ROW(),"-")</f>
        <v>-</v>
      </c>
    </row>
    <row r="11966" customHeight="1" spans="2:2">
      <c r="B11966" s="62" t="str">
        <f>IF(AND('领用录入（明细）'!D:D=$F$4,'领用录入（明细）'!C:C&gt;=$J$4,'领用录入（明细）'!C:C&lt;=$L$4),ROW(),"-")</f>
        <v>-</v>
      </c>
    </row>
    <row r="11967" customHeight="1" spans="2:2">
      <c r="B11967" s="62" t="str">
        <f>IF(AND('领用录入（明细）'!D:D=$F$4,'领用录入（明细）'!C:C&gt;=$J$4,'领用录入（明细）'!C:C&lt;=$L$4),ROW(),"-")</f>
        <v>-</v>
      </c>
    </row>
    <row r="11968" customHeight="1" spans="2:2">
      <c r="B11968" s="62" t="str">
        <f>IF(AND('领用录入（明细）'!D:D=$F$4,'领用录入（明细）'!C:C&gt;=$J$4,'领用录入（明细）'!C:C&lt;=$L$4),ROW(),"-")</f>
        <v>-</v>
      </c>
    </row>
    <row r="11969" customHeight="1" spans="2:2">
      <c r="B11969" s="62" t="str">
        <f>IF(AND('领用录入（明细）'!D:D=$F$4,'领用录入（明细）'!C:C&gt;=$J$4,'领用录入（明细）'!C:C&lt;=$L$4),ROW(),"-")</f>
        <v>-</v>
      </c>
    </row>
    <row r="11970" customHeight="1" spans="2:2">
      <c r="B11970" s="62" t="str">
        <f>IF(AND('领用录入（明细）'!D:D=$F$4,'领用录入（明细）'!C:C&gt;=$J$4,'领用录入（明细）'!C:C&lt;=$L$4),ROW(),"-")</f>
        <v>-</v>
      </c>
    </row>
    <row r="11971" customHeight="1" spans="2:2">
      <c r="B11971" s="62" t="str">
        <f>IF(AND('领用录入（明细）'!D:D=$F$4,'领用录入（明细）'!C:C&gt;=$J$4,'领用录入（明细）'!C:C&lt;=$L$4),ROW(),"-")</f>
        <v>-</v>
      </c>
    </row>
    <row r="11972" customHeight="1" spans="2:2">
      <c r="B11972" s="62" t="str">
        <f>IF(AND('领用录入（明细）'!D:D=$F$4,'领用录入（明细）'!C:C&gt;=$J$4,'领用录入（明细）'!C:C&lt;=$L$4),ROW(),"-")</f>
        <v>-</v>
      </c>
    </row>
    <row r="11973" customHeight="1" spans="2:2">
      <c r="B11973" s="62" t="str">
        <f>IF(AND('领用录入（明细）'!D:D=$F$4,'领用录入（明细）'!C:C&gt;=$J$4,'领用录入（明细）'!C:C&lt;=$L$4),ROW(),"-")</f>
        <v>-</v>
      </c>
    </row>
    <row r="11974" customHeight="1" spans="2:2">
      <c r="B11974" s="62" t="str">
        <f>IF(AND('领用录入（明细）'!D:D=$F$4,'领用录入（明细）'!C:C&gt;=$J$4,'领用录入（明细）'!C:C&lt;=$L$4),ROW(),"-")</f>
        <v>-</v>
      </c>
    </row>
    <row r="11975" customHeight="1" spans="2:2">
      <c r="B11975" s="62" t="str">
        <f>IF(AND('领用录入（明细）'!D:D=$F$4,'领用录入（明细）'!C:C&gt;=$J$4,'领用录入（明细）'!C:C&lt;=$L$4),ROW(),"-")</f>
        <v>-</v>
      </c>
    </row>
    <row r="11976" customHeight="1" spans="2:2">
      <c r="B11976" s="62" t="str">
        <f>IF(AND('领用录入（明细）'!D:D=$F$4,'领用录入（明细）'!C:C&gt;=$J$4,'领用录入（明细）'!C:C&lt;=$L$4),ROW(),"-")</f>
        <v>-</v>
      </c>
    </row>
    <row r="11977" customHeight="1" spans="2:2">
      <c r="B11977" s="62" t="str">
        <f>IF(AND('领用录入（明细）'!D:D=$F$4,'领用录入（明细）'!C:C&gt;=$J$4,'领用录入（明细）'!C:C&lt;=$L$4),ROW(),"-")</f>
        <v>-</v>
      </c>
    </row>
    <row r="11978" customHeight="1" spans="2:2">
      <c r="B11978" s="62" t="str">
        <f>IF(AND('领用录入（明细）'!D:D=$F$4,'领用录入（明细）'!C:C&gt;=$J$4,'领用录入（明细）'!C:C&lt;=$L$4),ROW(),"-")</f>
        <v>-</v>
      </c>
    </row>
    <row r="11979" customHeight="1" spans="2:2">
      <c r="B11979" s="62" t="str">
        <f>IF(AND('领用录入（明细）'!D:D=$F$4,'领用录入（明细）'!C:C&gt;=$J$4,'领用录入（明细）'!C:C&lt;=$L$4),ROW(),"-")</f>
        <v>-</v>
      </c>
    </row>
    <row r="11980" customHeight="1" spans="2:2">
      <c r="B11980" s="62" t="str">
        <f>IF(AND('领用录入（明细）'!D:D=$F$4,'领用录入（明细）'!C:C&gt;=$J$4,'领用录入（明细）'!C:C&lt;=$L$4),ROW(),"-")</f>
        <v>-</v>
      </c>
    </row>
    <row r="11981" customHeight="1" spans="2:2">
      <c r="B11981" s="62" t="str">
        <f>IF(AND('领用录入（明细）'!D:D=$F$4,'领用录入（明细）'!C:C&gt;=$J$4,'领用录入（明细）'!C:C&lt;=$L$4),ROW(),"-")</f>
        <v>-</v>
      </c>
    </row>
    <row r="11982" customHeight="1" spans="2:2">
      <c r="B11982" s="62" t="str">
        <f>IF(AND('领用录入（明细）'!D:D=$F$4,'领用录入（明细）'!C:C&gt;=$J$4,'领用录入（明细）'!C:C&lt;=$L$4),ROW(),"-")</f>
        <v>-</v>
      </c>
    </row>
    <row r="11983" customHeight="1" spans="2:2">
      <c r="B11983" s="62" t="str">
        <f>IF(AND('领用录入（明细）'!D:D=$F$4,'领用录入（明细）'!C:C&gt;=$J$4,'领用录入（明细）'!C:C&lt;=$L$4),ROW(),"-")</f>
        <v>-</v>
      </c>
    </row>
    <row r="11984" customHeight="1" spans="2:2">
      <c r="B11984" s="62" t="str">
        <f>IF(AND('领用录入（明细）'!D:D=$F$4,'领用录入（明细）'!C:C&gt;=$J$4,'领用录入（明细）'!C:C&lt;=$L$4),ROW(),"-")</f>
        <v>-</v>
      </c>
    </row>
    <row r="11985" customHeight="1" spans="2:2">
      <c r="B11985" s="62" t="str">
        <f>IF(AND('领用录入（明细）'!D:D=$F$4,'领用录入（明细）'!C:C&gt;=$J$4,'领用录入（明细）'!C:C&lt;=$L$4),ROW(),"-")</f>
        <v>-</v>
      </c>
    </row>
    <row r="11986" customHeight="1" spans="2:2">
      <c r="B11986" s="62" t="str">
        <f>IF(AND('领用录入（明细）'!D:D=$F$4,'领用录入（明细）'!C:C&gt;=$J$4,'领用录入（明细）'!C:C&lt;=$L$4),ROW(),"-")</f>
        <v>-</v>
      </c>
    </row>
    <row r="11987" customHeight="1" spans="2:2">
      <c r="B11987" s="62" t="str">
        <f>IF(AND('领用录入（明细）'!D:D=$F$4,'领用录入（明细）'!C:C&gt;=$J$4,'领用录入（明细）'!C:C&lt;=$L$4),ROW(),"-")</f>
        <v>-</v>
      </c>
    </row>
    <row r="11988" customHeight="1" spans="2:2">
      <c r="B11988" s="62" t="str">
        <f>IF(AND('领用录入（明细）'!D:D=$F$4,'领用录入（明细）'!C:C&gt;=$J$4,'领用录入（明细）'!C:C&lt;=$L$4),ROW(),"-")</f>
        <v>-</v>
      </c>
    </row>
    <row r="11989" customHeight="1" spans="2:2">
      <c r="B11989" s="62" t="str">
        <f>IF(AND('领用录入（明细）'!D:D=$F$4,'领用录入（明细）'!C:C&gt;=$J$4,'领用录入（明细）'!C:C&lt;=$L$4),ROW(),"-")</f>
        <v>-</v>
      </c>
    </row>
    <row r="11990" customHeight="1" spans="2:2">
      <c r="B11990" s="62" t="str">
        <f>IF(AND('领用录入（明细）'!D:D=$F$4,'领用录入（明细）'!C:C&gt;=$J$4,'领用录入（明细）'!C:C&lt;=$L$4),ROW(),"-")</f>
        <v>-</v>
      </c>
    </row>
    <row r="11991" customHeight="1" spans="2:2">
      <c r="B11991" s="62" t="str">
        <f>IF(AND('领用录入（明细）'!D:D=$F$4,'领用录入（明细）'!C:C&gt;=$J$4,'领用录入（明细）'!C:C&lt;=$L$4),ROW(),"-")</f>
        <v>-</v>
      </c>
    </row>
    <row r="11992" customHeight="1" spans="2:2">
      <c r="B11992" s="62" t="str">
        <f>IF(AND('领用录入（明细）'!D:D=$F$4,'领用录入（明细）'!C:C&gt;=$J$4,'领用录入（明细）'!C:C&lt;=$L$4),ROW(),"-")</f>
        <v>-</v>
      </c>
    </row>
    <row r="11993" customHeight="1" spans="2:2">
      <c r="B11993" s="62" t="str">
        <f>IF(AND('领用录入（明细）'!D:D=$F$4,'领用录入（明细）'!C:C&gt;=$J$4,'领用录入（明细）'!C:C&lt;=$L$4),ROW(),"-")</f>
        <v>-</v>
      </c>
    </row>
    <row r="11994" customHeight="1" spans="2:2">
      <c r="B11994" s="62" t="str">
        <f>IF(AND('领用录入（明细）'!D:D=$F$4,'领用录入（明细）'!C:C&gt;=$J$4,'领用录入（明细）'!C:C&lt;=$L$4),ROW(),"-")</f>
        <v>-</v>
      </c>
    </row>
    <row r="11995" customHeight="1" spans="2:2">
      <c r="B11995" s="62" t="str">
        <f>IF(AND('领用录入（明细）'!D:D=$F$4,'领用录入（明细）'!C:C&gt;=$J$4,'领用录入（明细）'!C:C&lt;=$L$4),ROW(),"-")</f>
        <v>-</v>
      </c>
    </row>
    <row r="11996" customHeight="1" spans="2:2">
      <c r="B11996" s="62" t="str">
        <f>IF(AND('领用录入（明细）'!D:D=$F$4,'领用录入（明细）'!C:C&gt;=$J$4,'领用录入（明细）'!C:C&lt;=$L$4),ROW(),"-")</f>
        <v>-</v>
      </c>
    </row>
    <row r="11997" customHeight="1" spans="2:2">
      <c r="B11997" s="62" t="str">
        <f>IF(AND('领用录入（明细）'!D:D=$F$4,'领用录入（明细）'!C:C&gt;=$J$4,'领用录入（明细）'!C:C&lt;=$L$4),ROW(),"-")</f>
        <v>-</v>
      </c>
    </row>
    <row r="11998" customHeight="1" spans="2:2">
      <c r="B11998" s="62" t="str">
        <f>IF(AND('领用录入（明细）'!D:D=$F$4,'领用录入（明细）'!C:C&gt;=$J$4,'领用录入（明细）'!C:C&lt;=$L$4),ROW(),"-")</f>
        <v>-</v>
      </c>
    </row>
    <row r="11999" customHeight="1" spans="2:2">
      <c r="B11999" s="62" t="str">
        <f>IF(AND('领用录入（明细）'!D:D=$F$4,'领用录入（明细）'!C:C&gt;=$J$4,'领用录入（明细）'!C:C&lt;=$L$4),ROW(),"-")</f>
        <v>-</v>
      </c>
    </row>
    <row r="12000" customHeight="1" spans="2:2">
      <c r="B12000" s="62" t="str">
        <f>IF(AND('领用录入（明细）'!D:D=$F$4,'领用录入（明细）'!C:C&gt;=$J$4,'领用录入（明细）'!C:C&lt;=$L$4),ROW(),"-")</f>
        <v>-</v>
      </c>
    </row>
    <row r="12001" customHeight="1" spans="2:2">
      <c r="B12001" s="62" t="str">
        <f>IF(AND('领用录入（明细）'!D:D=$F$4,'领用录入（明细）'!C:C&gt;=$J$4,'领用录入（明细）'!C:C&lt;=$L$4),ROW(),"-")</f>
        <v>-</v>
      </c>
    </row>
    <row r="12002" customHeight="1" spans="2:2">
      <c r="B12002" s="62" t="str">
        <f>IF(AND('领用录入（明细）'!D:D=$F$4,'领用录入（明细）'!C:C&gt;=$J$4,'领用录入（明细）'!C:C&lt;=$L$4),ROW(),"-")</f>
        <v>-</v>
      </c>
    </row>
    <row r="12003" customHeight="1" spans="2:2">
      <c r="B12003" s="62" t="str">
        <f>IF(AND('领用录入（明细）'!D:D=$F$4,'领用录入（明细）'!C:C&gt;=$J$4,'领用录入（明细）'!C:C&lt;=$L$4),ROW(),"-")</f>
        <v>-</v>
      </c>
    </row>
    <row r="12004" customHeight="1" spans="2:2">
      <c r="B12004" s="62" t="str">
        <f>IF(AND('领用录入（明细）'!D:D=$F$4,'领用录入（明细）'!C:C&gt;=$J$4,'领用录入（明细）'!C:C&lt;=$L$4),ROW(),"-")</f>
        <v>-</v>
      </c>
    </row>
    <row r="12005" customHeight="1" spans="2:2">
      <c r="B12005" s="62" t="str">
        <f>IF(AND('领用录入（明细）'!D:D=$F$4,'领用录入（明细）'!C:C&gt;=$J$4,'领用录入（明细）'!C:C&lt;=$L$4),ROW(),"-")</f>
        <v>-</v>
      </c>
    </row>
    <row r="12006" customHeight="1" spans="2:2">
      <c r="B12006" s="62" t="str">
        <f>IF(AND('领用录入（明细）'!D:D=$F$4,'领用录入（明细）'!C:C&gt;=$J$4,'领用录入（明细）'!C:C&lt;=$L$4),ROW(),"-")</f>
        <v>-</v>
      </c>
    </row>
    <row r="12007" customHeight="1" spans="2:2">
      <c r="B12007" s="62" t="str">
        <f>IF(AND('领用录入（明细）'!D:D=$F$4,'领用录入（明细）'!C:C&gt;=$J$4,'领用录入（明细）'!C:C&lt;=$L$4),ROW(),"-")</f>
        <v>-</v>
      </c>
    </row>
    <row r="12008" customHeight="1" spans="2:2">
      <c r="B12008" s="62" t="str">
        <f>IF(AND('领用录入（明细）'!D:D=$F$4,'领用录入（明细）'!C:C&gt;=$J$4,'领用录入（明细）'!C:C&lt;=$L$4),ROW(),"-")</f>
        <v>-</v>
      </c>
    </row>
    <row r="12009" customHeight="1" spans="2:2">
      <c r="B12009" s="62" t="str">
        <f>IF(AND('领用录入（明细）'!D:D=$F$4,'领用录入（明细）'!C:C&gt;=$J$4,'领用录入（明细）'!C:C&lt;=$L$4),ROW(),"-")</f>
        <v>-</v>
      </c>
    </row>
    <row r="12010" customHeight="1" spans="2:2">
      <c r="B12010" s="62" t="str">
        <f>IF(AND('领用录入（明细）'!D:D=$F$4,'领用录入（明细）'!C:C&gt;=$J$4,'领用录入（明细）'!C:C&lt;=$L$4),ROW(),"-")</f>
        <v>-</v>
      </c>
    </row>
    <row r="12011" customHeight="1" spans="2:2">
      <c r="B12011" s="62" t="str">
        <f>IF(AND('领用录入（明细）'!D:D=$F$4,'领用录入（明细）'!C:C&gt;=$J$4,'领用录入（明细）'!C:C&lt;=$L$4),ROW(),"-")</f>
        <v>-</v>
      </c>
    </row>
    <row r="12012" customHeight="1" spans="2:2">
      <c r="B12012" s="62" t="str">
        <f>IF(AND('领用录入（明细）'!D:D=$F$4,'领用录入（明细）'!C:C&gt;=$J$4,'领用录入（明细）'!C:C&lt;=$L$4),ROW(),"-")</f>
        <v>-</v>
      </c>
    </row>
    <row r="12013" customHeight="1" spans="2:2">
      <c r="B12013" s="62" t="str">
        <f>IF(AND('领用录入（明细）'!D:D=$F$4,'领用录入（明细）'!C:C&gt;=$J$4,'领用录入（明细）'!C:C&lt;=$L$4),ROW(),"-")</f>
        <v>-</v>
      </c>
    </row>
    <row r="12014" customHeight="1" spans="2:2">
      <c r="B12014" s="62" t="str">
        <f>IF(AND('领用录入（明细）'!D:D=$F$4,'领用录入（明细）'!C:C&gt;=$J$4,'领用录入（明细）'!C:C&lt;=$L$4),ROW(),"-")</f>
        <v>-</v>
      </c>
    </row>
    <row r="12015" customHeight="1" spans="2:2">
      <c r="B12015" s="62" t="str">
        <f>IF(AND('领用录入（明细）'!D:D=$F$4,'领用录入（明细）'!C:C&gt;=$J$4,'领用录入（明细）'!C:C&lt;=$L$4),ROW(),"-")</f>
        <v>-</v>
      </c>
    </row>
    <row r="12016" customHeight="1" spans="2:2">
      <c r="B12016" s="62" t="str">
        <f>IF(AND('领用录入（明细）'!D:D=$F$4,'领用录入（明细）'!C:C&gt;=$J$4,'领用录入（明细）'!C:C&lt;=$L$4),ROW(),"-")</f>
        <v>-</v>
      </c>
    </row>
    <row r="12017" customHeight="1" spans="2:2">
      <c r="B12017" s="62" t="str">
        <f>IF(AND('领用录入（明细）'!D:D=$F$4,'领用录入（明细）'!C:C&gt;=$J$4,'领用录入（明细）'!C:C&lt;=$L$4),ROW(),"-")</f>
        <v>-</v>
      </c>
    </row>
    <row r="12018" customHeight="1" spans="2:2">
      <c r="B12018" s="62" t="str">
        <f>IF(AND('领用录入（明细）'!D:D=$F$4,'领用录入（明细）'!C:C&gt;=$J$4,'领用录入（明细）'!C:C&lt;=$L$4),ROW(),"-")</f>
        <v>-</v>
      </c>
    </row>
    <row r="12019" customHeight="1" spans="2:2">
      <c r="B12019" s="62" t="str">
        <f>IF(AND('领用录入（明细）'!D:D=$F$4,'领用录入（明细）'!C:C&gt;=$J$4,'领用录入（明细）'!C:C&lt;=$L$4),ROW(),"-")</f>
        <v>-</v>
      </c>
    </row>
    <row r="12020" customHeight="1" spans="2:2">
      <c r="B12020" s="62" t="str">
        <f>IF(AND('领用录入（明细）'!D:D=$F$4,'领用录入（明细）'!C:C&gt;=$J$4,'领用录入（明细）'!C:C&lt;=$L$4),ROW(),"-")</f>
        <v>-</v>
      </c>
    </row>
    <row r="12021" customHeight="1" spans="2:2">
      <c r="B12021" s="62" t="str">
        <f>IF(AND('领用录入（明细）'!D:D=$F$4,'领用录入（明细）'!C:C&gt;=$J$4,'领用录入（明细）'!C:C&lt;=$L$4),ROW(),"-")</f>
        <v>-</v>
      </c>
    </row>
    <row r="12022" customHeight="1" spans="2:2">
      <c r="B12022" s="62" t="str">
        <f>IF(AND('领用录入（明细）'!D:D=$F$4,'领用录入（明细）'!C:C&gt;=$J$4,'领用录入（明细）'!C:C&lt;=$L$4),ROW(),"-")</f>
        <v>-</v>
      </c>
    </row>
    <row r="12023" customHeight="1" spans="2:2">
      <c r="B12023" s="62" t="str">
        <f>IF(AND('领用录入（明细）'!D:D=$F$4,'领用录入（明细）'!C:C&gt;=$J$4,'领用录入（明细）'!C:C&lt;=$L$4),ROW(),"-")</f>
        <v>-</v>
      </c>
    </row>
    <row r="12024" customHeight="1" spans="2:2">
      <c r="B12024" s="62" t="str">
        <f>IF(AND('领用录入（明细）'!D:D=$F$4,'领用录入（明细）'!C:C&gt;=$J$4,'领用录入（明细）'!C:C&lt;=$L$4),ROW(),"-")</f>
        <v>-</v>
      </c>
    </row>
    <row r="12025" customHeight="1" spans="2:2">
      <c r="B12025" s="62" t="str">
        <f>IF(AND('领用录入（明细）'!D:D=$F$4,'领用录入（明细）'!C:C&gt;=$J$4,'领用录入（明细）'!C:C&lt;=$L$4),ROW(),"-")</f>
        <v>-</v>
      </c>
    </row>
    <row r="12026" customHeight="1" spans="2:2">
      <c r="B12026" s="62" t="str">
        <f>IF(AND('领用录入（明细）'!D:D=$F$4,'领用录入（明细）'!C:C&gt;=$J$4,'领用录入（明细）'!C:C&lt;=$L$4),ROW(),"-")</f>
        <v>-</v>
      </c>
    </row>
    <row r="12027" customHeight="1" spans="2:2">
      <c r="B12027" s="62" t="str">
        <f>IF(AND('领用录入（明细）'!D:D=$F$4,'领用录入（明细）'!C:C&gt;=$J$4,'领用录入（明细）'!C:C&lt;=$L$4),ROW(),"-")</f>
        <v>-</v>
      </c>
    </row>
    <row r="12028" customHeight="1" spans="2:2">
      <c r="B12028" s="62" t="str">
        <f>IF(AND('领用录入（明细）'!D:D=$F$4,'领用录入（明细）'!C:C&gt;=$J$4,'领用录入（明细）'!C:C&lt;=$L$4),ROW(),"-")</f>
        <v>-</v>
      </c>
    </row>
    <row r="12029" customHeight="1" spans="2:2">
      <c r="B12029" s="62" t="str">
        <f>IF(AND('领用录入（明细）'!D:D=$F$4,'领用录入（明细）'!C:C&gt;=$J$4,'领用录入（明细）'!C:C&lt;=$L$4),ROW(),"-")</f>
        <v>-</v>
      </c>
    </row>
    <row r="12030" customHeight="1" spans="2:2">
      <c r="B12030" s="62" t="str">
        <f>IF(AND('领用录入（明细）'!D:D=$F$4,'领用录入（明细）'!C:C&gt;=$J$4,'领用录入（明细）'!C:C&lt;=$L$4),ROW(),"-")</f>
        <v>-</v>
      </c>
    </row>
    <row r="12031" customHeight="1" spans="2:2">
      <c r="B12031" s="62" t="str">
        <f>IF(AND('领用录入（明细）'!D:D=$F$4,'领用录入（明细）'!C:C&gt;=$J$4,'领用录入（明细）'!C:C&lt;=$L$4),ROW(),"-")</f>
        <v>-</v>
      </c>
    </row>
    <row r="12032" customHeight="1" spans="2:2">
      <c r="B12032" s="62" t="str">
        <f>IF(AND('领用录入（明细）'!D:D=$F$4,'领用录入（明细）'!C:C&gt;=$J$4,'领用录入（明细）'!C:C&lt;=$L$4),ROW(),"-")</f>
        <v>-</v>
      </c>
    </row>
    <row r="12033" customHeight="1" spans="2:2">
      <c r="B12033" s="62" t="str">
        <f>IF(AND('领用录入（明细）'!D:D=$F$4,'领用录入（明细）'!C:C&gt;=$J$4,'领用录入（明细）'!C:C&lt;=$L$4),ROW(),"-")</f>
        <v>-</v>
      </c>
    </row>
    <row r="12034" customHeight="1" spans="2:2">
      <c r="B12034" s="62" t="str">
        <f>IF(AND('领用录入（明细）'!D:D=$F$4,'领用录入（明细）'!C:C&gt;=$J$4,'领用录入（明细）'!C:C&lt;=$L$4),ROW(),"-")</f>
        <v>-</v>
      </c>
    </row>
    <row r="12035" customHeight="1" spans="2:2">
      <c r="B12035" s="62" t="str">
        <f>IF(AND('领用录入（明细）'!D:D=$F$4,'领用录入（明细）'!C:C&gt;=$J$4,'领用录入（明细）'!C:C&lt;=$L$4),ROW(),"-")</f>
        <v>-</v>
      </c>
    </row>
    <row r="12036" customHeight="1" spans="2:2">
      <c r="B12036" s="62" t="str">
        <f>IF(AND('领用录入（明细）'!D:D=$F$4,'领用录入（明细）'!C:C&gt;=$J$4,'领用录入（明细）'!C:C&lt;=$L$4),ROW(),"-")</f>
        <v>-</v>
      </c>
    </row>
    <row r="12037" customHeight="1" spans="2:2">
      <c r="B12037" s="62" t="str">
        <f>IF(AND('领用录入（明细）'!D:D=$F$4,'领用录入（明细）'!C:C&gt;=$J$4,'领用录入（明细）'!C:C&lt;=$L$4),ROW(),"-")</f>
        <v>-</v>
      </c>
    </row>
    <row r="12038" customHeight="1" spans="2:2">
      <c r="B12038" s="62" t="str">
        <f>IF(AND('领用录入（明细）'!D:D=$F$4,'领用录入（明细）'!C:C&gt;=$J$4,'领用录入（明细）'!C:C&lt;=$L$4),ROW(),"-")</f>
        <v>-</v>
      </c>
    </row>
    <row r="12039" customHeight="1" spans="2:2">
      <c r="B12039" s="62" t="str">
        <f>IF(AND('领用录入（明细）'!D:D=$F$4,'领用录入（明细）'!C:C&gt;=$J$4,'领用录入（明细）'!C:C&lt;=$L$4),ROW(),"-")</f>
        <v>-</v>
      </c>
    </row>
    <row r="12040" customHeight="1" spans="2:2">
      <c r="B12040" s="62" t="str">
        <f>IF(AND('领用录入（明细）'!D:D=$F$4,'领用录入（明细）'!C:C&gt;=$J$4,'领用录入（明细）'!C:C&lt;=$L$4),ROW(),"-")</f>
        <v>-</v>
      </c>
    </row>
    <row r="12041" customHeight="1" spans="2:2">
      <c r="B12041" s="62" t="str">
        <f>IF(AND('领用录入（明细）'!D:D=$F$4,'领用录入（明细）'!C:C&gt;=$J$4,'领用录入（明细）'!C:C&lt;=$L$4),ROW(),"-")</f>
        <v>-</v>
      </c>
    </row>
    <row r="12042" customHeight="1" spans="2:2">
      <c r="B12042" s="62" t="str">
        <f>IF(AND('领用录入（明细）'!D:D=$F$4,'领用录入（明细）'!C:C&gt;=$J$4,'领用录入（明细）'!C:C&lt;=$L$4),ROW(),"-")</f>
        <v>-</v>
      </c>
    </row>
    <row r="12043" customHeight="1" spans="2:2">
      <c r="B12043" s="62" t="str">
        <f>IF(AND('领用录入（明细）'!D:D=$F$4,'领用录入（明细）'!C:C&gt;=$J$4,'领用录入（明细）'!C:C&lt;=$L$4),ROW(),"-")</f>
        <v>-</v>
      </c>
    </row>
    <row r="12044" customHeight="1" spans="2:2">
      <c r="B12044" s="62" t="str">
        <f>IF(AND('领用录入（明细）'!D:D=$F$4,'领用录入（明细）'!C:C&gt;=$J$4,'领用录入（明细）'!C:C&lt;=$L$4),ROW(),"-")</f>
        <v>-</v>
      </c>
    </row>
    <row r="12045" customHeight="1" spans="2:2">
      <c r="B12045" s="62" t="str">
        <f>IF(AND('领用录入（明细）'!D:D=$F$4,'领用录入（明细）'!C:C&gt;=$J$4,'领用录入（明细）'!C:C&lt;=$L$4),ROW(),"-")</f>
        <v>-</v>
      </c>
    </row>
    <row r="12046" customHeight="1" spans="2:2">
      <c r="B12046" s="62" t="str">
        <f>IF(AND('领用录入（明细）'!D:D=$F$4,'领用录入（明细）'!C:C&gt;=$J$4,'领用录入（明细）'!C:C&lt;=$L$4),ROW(),"-")</f>
        <v>-</v>
      </c>
    </row>
    <row r="12047" customHeight="1" spans="2:2">
      <c r="B12047" s="62" t="str">
        <f>IF(AND('领用录入（明细）'!D:D=$F$4,'领用录入（明细）'!C:C&gt;=$J$4,'领用录入（明细）'!C:C&lt;=$L$4),ROW(),"-")</f>
        <v>-</v>
      </c>
    </row>
    <row r="12048" customHeight="1" spans="2:2">
      <c r="B12048" s="62" t="str">
        <f>IF(AND('领用录入（明细）'!D:D=$F$4,'领用录入（明细）'!C:C&gt;=$J$4,'领用录入（明细）'!C:C&lt;=$L$4),ROW(),"-")</f>
        <v>-</v>
      </c>
    </row>
    <row r="12049" customHeight="1" spans="2:2">
      <c r="B12049" s="62" t="str">
        <f>IF(AND('领用录入（明细）'!D:D=$F$4,'领用录入（明细）'!C:C&gt;=$J$4,'领用录入（明细）'!C:C&lt;=$L$4),ROW(),"-")</f>
        <v>-</v>
      </c>
    </row>
    <row r="12050" customHeight="1" spans="2:2">
      <c r="B12050" s="62" t="str">
        <f>IF(AND('领用录入（明细）'!D:D=$F$4,'领用录入（明细）'!C:C&gt;=$J$4,'领用录入（明细）'!C:C&lt;=$L$4),ROW(),"-")</f>
        <v>-</v>
      </c>
    </row>
    <row r="12051" customHeight="1" spans="2:2">
      <c r="B12051" s="62" t="str">
        <f>IF(AND('领用录入（明细）'!D:D=$F$4,'领用录入（明细）'!C:C&gt;=$J$4,'领用录入（明细）'!C:C&lt;=$L$4),ROW(),"-")</f>
        <v>-</v>
      </c>
    </row>
    <row r="12052" customHeight="1" spans="2:2">
      <c r="B12052" s="62" t="str">
        <f>IF(AND('领用录入（明细）'!D:D=$F$4,'领用录入（明细）'!C:C&gt;=$J$4,'领用录入（明细）'!C:C&lt;=$L$4),ROW(),"-")</f>
        <v>-</v>
      </c>
    </row>
    <row r="12053" customHeight="1" spans="2:2">
      <c r="B12053" s="62" t="str">
        <f>IF(AND('领用录入（明细）'!D:D=$F$4,'领用录入（明细）'!C:C&gt;=$J$4,'领用录入（明细）'!C:C&lt;=$L$4),ROW(),"-")</f>
        <v>-</v>
      </c>
    </row>
    <row r="12054" customHeight="1" spans="2:2">
      <c r="B12054" s="62" t="str">
        <f>IF(AND('领用录入（明细）'!D:D=$F$4,'领用录入（明细）'!C:C&gt;=$J$4,'领用录入（明细）'!C:C&lt;=$L$4),ROW(),"-")</f>
        <v>-</v>
      </c>
    </row>
    <row r="12055" customHeight="1" spans="2:2">
      <c r="B12055" s="62" t="str">
        <f>IF(AND('领用录入（明细）'!D:D=$F$4,'领用录入（明细）'!C:C&gt;=$J$4,'领用录入（明细）'!C:C&lt;=$L$4),ROW(),"-")</f>
        <v>-</v>
      </c>
    </row>
    <row r="12056" customHeight="1" spans="2:2">
      <c r="B12056" s="62" t="str">
        <f>IF(AND('领用录入（明细）'!D:D=$F$4,'领用录入（明细）'!C:C&gt;=$J$4,'领用录入（明细）'!C:C&lt;=$L$4),ROW(),"-")</f>
        <v>-</v>
      </c>
    </row>
    <row r="12057" customHeight="1" spans="2:2">
      <c r="B12057" s="62" t="str">
        <f>IF(AND('领用录入（明细）'!D:D=$F$4,'领用录入（明细）'!C:C&gt;=$J$4,'领用录入（明细）'!C:C&lt;=$L$4),ROW(),"-")</f>
        <v>-</v>
      </c>
    </row>
    <row r="12058" customHeight="1" spans="2:2">
      <c r="B12058" s="62" t="str">
        <f>IF(AND('领用录入（明细）'!D:D=$F$4,'领用录入（明细）'!C:C&gt;=$J$4,'领用录入（明细）'!C:C&lt;=$L$4),ROW(),"-")</f>
        <v>-</v>
      </c>
    </row>
    <row r="12059" customHeight="1" spans="2:2">
      <c r="B12059" s="62" t="str">
        <f>IF(AND('领用录入（明细）'!D:D=$F$4,'领用录入（明细）'!C:C&gt;=$J$4,'领用录入（明细）'!C:C&lt;=$L$4),ROW(),"-")</f>
        <v>-</v>
      </c>
    </row>
    <row r="12060" customHeight="1" spans="2:2">
      <c r="B12060" s="62" t="str">
        <f>IF(AND('领用录入（明细）'!D:D=$F$4,'领用录入（明细）'!C:C&gt;=$J$4,'领用录入（明细）'!C:C&lt;=$L$4),ROW(),"-")</f>
        <v>-</v>
      </c>
    </row>
    <row r="12061" customHeight="1" spans="2:2">
      <c r="B12061" s="62" t="str">
        <f>IF(AND('领用录入（明细）'!D:D=$F$4,'领用录入（明细）'!C:C&gt;=$J$4,'领用录入（明细）'!C:C&lt;=$L$4),ROW(),"-")</f>
        <v>-</v>
      </c>
    </row>
    <row r="12062" customHeight="1" spans="2:2">
      <c r="B12062" s="62" t="str">
        <f>IF(AND('领用录入（明细）'!D:D=$F$4,'领用录入（明细）'!C:C&gt;=$J$4,'领用录入（明细）'!C:C&lt;=$L$4),ROW(),"-")</f>
        <v>-</v>
      </c>
    </row>
    <row r="12063" customHeight="1" spans="2:2">
      <c r="B12063" s="62" t="str">
        <f>IF(AND('领用录入（明细）'!D:D=$F$4,'领用录入（明细）'!C:C&gt;=$J$4,'领用录入（明细）'!C:C&lt;=$L$4),ROW(),"-")</f>
        <v>-</v>
      </c>
    </row>
    <row r="12064" customHeight="1" spans="2:2">
      <c r="B12064" s="62" t="str">
        <f>IF(AND('领用录入（明细）'!D:D=$F$4,'领用录入（明细）'!C:C&gt;=$J$4,'领用录入（明细）'!C:C&lt;=$L$4),ROW(),"-")</f>
        <v>-</v>
      </c>
    </row>
    <row r="12065" customHeight="1" spans="2:2">
      <c r="B12065" s="62" t="str">
        <f>IF(AND('领用录入（明细）'!D:D=$F$4,'领用录入（明细）'!C:C&gt;=$J$4,'领用录入（明细）'!C:C&lt;=$L$4),ROW(),"-")</f>
        <v>-</v>
      </c>
    </row>
    <row r="12066" customHeight="1" spans="2:2">
      <c r="B12066" s="62" t="str">
        <f>IF(AND('领用录入（明细）'!D:D=$F$4,'领用录入（明细）'!C:C&gt;=$J$4,'领用录入（明细）'!C:C&lt;=$L$4),ROW(),"-")</f>
        <v>-</v>
      </c>
    </row>
    <row r="12067" customHeight="1" spans="2:2">
      <c r="B12067" s="62" t="str">
        <f>IF(AND('领用录入（明细）'!D:D=$F$4,'领用录入（明细）'!C:C&gt;=$J$4,'领用录入（明细）'!C:C&lt;=$L$4),ROW(),"-")</f>
        <v>-</v>
      </c>
    </row>
    <row r="12068" customHeight="1" spans="2:2">
      <c r="B12068" s="62" t="str">
        <f>IF(AND('领用录入（明细）'!D:D=$F$4,'领用录入（明细）'!C:C&gt;=$J$4,'领用录入（明细）'!C:C&lt;=$L$4),ROW(),"-")</f>
        <v>-</v>
      </c>
    </row>
    <row r="12069" customHeight="1" spans="2:2">
      <c r="B12069" s="62" t="str">
        <f>IF(AND('领用录入（明细）'!D:D=$F$4,'领用录入（明细）'!C:C&gt;=$J$4,'领用录入（明细）'!C:C&lt;=$L$4),ROW(),"-")</f>
        <v>-</v>
      </c>
    </row>
    <row r="12070" customHeight="1" spans="2:2">
      <c r="B12070" s="62" t="str">
        <f>IF(AND('领用录入（明细）'!D:D=$F$4,'领用录入（明细）'!C:C&gt;=$J$4,'领用录入（明细）'!C:C&lt;=$L$4),ROW(),"-")</f>
        <v>-</v>
      </c>
    </row>
    <row r="12071" customHeight="1" spans="2:2">
      <c r="B12071" s="62" t="str">
        <f>IF(AND('领用录入（明细）'!D:D=$F$4,'领用录入（明细）'!C:C&gt;=$J$4,'领用录入（明细）'!C:C&lt;=$L$4),ROW(),"-")</f>
        <v>-</v>
      </c>
    </row>
    <row r="12072" customHeight="1" spans="2:2">
      <c r="B12072" s="62" t="str">
        <f>IF(AND('领用录入（明细）'!D:D=$F$4,'领用录入（明细）'!C:C&gt;=$J$4,'领用录入（明细）'!C:C&lt;=$L$4),ROW(),"-")</f>
        <v>-</v>
      </c>
    </row>
    <row r="12073" customHeight="1" spans="2:2">
      <c r="B12073" s="62" t="str">
        <f>IF(AND('领用录入（明细）'!D:D=$F$4,'领用录入（明细）'!C:C&gt;=$J$4,'领用录入（明细）'!C:C&lt;=$L$4),ROW(),"-")</f>
        <v>-</v>
      </c>
    </row>
    <row r="12074" customHeight="1" spans="2:2">
      <c r="B12074" s="62" t="str">
        <f>IF(AND('领用录入（明细）'!D:D=$F$4,'领用录入（明细）'!C:C&gt;=$J$4,'领用录入（明细）'!C:C&lt;=$L$4),ROW(),"-")</f>
        <v>-</v>
      </c>
    </row>
    <row r="12075" customHeight="1" spans="2:2">
      <c r="B12075" s="62" t="str">
        <f>IF(AND('领用录入（明细）'!D:D=$F$4,'领用录入（明细）'!C:C&gt;=$J$4,'领用录入（明细）'!C:C&lt;=$L$4),ROW(),"-")</f>
        <v>-</v>
      </c>
    </row>
    <row r="12076" customHeight="1" spans="2:2">
      <c r="B12076" s="62" t="str">
        <f>IF(AND('领用录入（明细）'!D:D=$F$4,'领用录入（明细）'!C:C&gt;=$J$4,'领用录入（明细）'!C:C&lt;=$L$4),ROW(),"-")</f>
        <v>-</v>
      </c>
    </row>
    <row r="12077" customHeight="1" spans="2:2">
      <c r="B12077" s="62" t="str">
        <f>IF(AND('领用录入（明细）'!D:D=$F$4,'领用录入（明细）'!C:C&gt;=$J$4,'领用录入（明细）'!C:C&lt;=$L$4),ROW(),"-")</f>
        <v>-</v>
      </c>
    </row>
    <row r="12078" customHeight="1" spans="2:2">
      <c r="B12078" s="62" t="str">
        <f>IF(AND('领用录入（明细）'!D:D=$F$4,'领用录入（明细）'!C:C&gt;=$J$4,'领用录入（明细）'!C:C&lt;=$L$4),ROW(),"-")</f>
        <v>-</v>
      </c>
    </row>
    <row r="12079" customHeight="1" spans="2:2">
      <c r="B12079" s="62" t="str">
        <f>IF(AND('领用录入（明细）'!D:D=$F$4,'领用录入（明细）'!C:C&gt;=$J$4,'领用录入（明细）'!C:C&lt;=$L$4),ROW(),"-")</f>
        <v>-</v>
      </c>
    </row>
    <row r="12080" customHeight="1" spans="2:2">
      <c r="B12080" s="62" t="str">
        <f>IF(AND('领用录入（明细）'!D:D=$F$4,'领用录入（明细）'!C:C&gt;=$J$4,'领用录入（明细）'!C:C&lt;=$L$4),ROW(),"-")</f>
        <v>-</v>
      </c>
    </row>
    <row r="12081" customHeight="1" spans="2:2">
      <c r="B12081" s="62" t="str">
        <f>IF(AND('领用录入（明细）'!D:D=$F$4,'领用录入（明细）'!C:C&gt;=$J$4,'领用录入（明细）'!C:C&lt;=$L$4),ROW(),"-")</f>
        <v>-</v>
      </c>
    </row>
    <row r="12082" customHeight="1" spans="2:2">
      <c r="B12082" s="62" t="str">
        <f>IF(AND('领用录入（明细）'!D:D=$F$4,'领用录入（明细）'!C:C&gt;=$J$4,'领用录入（明细）'!C:C&lt;=$L$4),ROW(),"-")</f>
        <v>-</v>
      </c>
    </row>
    <row r="12083" customHeight="1" spans="2:2">
      <c r="B12083" s="62" t="str">
        <f>IF(AND('领用录入（明细）'!D:D=$F$4,'领用录入（明细）'!C:C&gt;=$J$4,'领用录入（明细）'!C:C&lt;=$L$4),ROW(),"-")</f>
        <v>-</v>
      </c>
    </row>
    <row r="12084" customHeight="1" spans="2:2">
      <c r="B12084" s="62" t="str">
        <f>IF(AND('领用录入（明细）'!D:D=$F$4,'领用录入（明细）'!C:C&gt;=$J$4,'领用录入（明细）'!C:C&lt;=$L$4),ROW(),"-")</f>
        <v>-</v>
      </c>
    </row>
    <row r="12085" customHeight="1" spans="2:2">
      <c r="B12085" s="62" t="str">
        <f>IF(AND('领用录入（明细）'!D:D=$F$4,'领用录入（明细）'!C:C&gt;=$J$4,'领用录入（明细）'!C:C&lt;=$L$4),ROW(),"-")</f>
        <v>-</v>
      </c>
    </row>
    <row r="12086" customHeight="1" spans="2:2">
      <c r="B12086" s="62" t="str">
        <f>IF(AND('领用录入（明细）'!D:D=$F$4,'领用录入（明细）'!C:C&gt;=$J$4,'领用录入（明细）'!C:C&lt;=$L$4),ROW(),"-")</f>
        <v>-</v>
      </c>
    </row>
    <row r="12087" customHeight="1" spans="2:2">
      <c r="B12087" s="62" t="str">
        <f>IF(AND('领用录入（明细）'!D:D=$F$4,'领用录入（明细）'!C:C&gt;=$J$4,'领用录入（明细）'!C:C&lt;=$L$4),ROW(),"-")</f>
        <v>-</v>
      </c>
    </row>
    <row r="12088" customHeight="1" spans="2:2">
      <c r="B12088" s="62" t="str">
        <f>IF(AND('领用录入（明细）'!D:D=$F$4,'领用录入（明细）'!C:C&gt;=$J$4,'领用录入（明细）'!C:C&lt;=$L$4),ROW(),"-")</f>
        <v>-</v>
      </c>
    </row>
    <row r="12089" customHeight="1" spans="2:2">
      <c r="B12089" s="62" t="str">
        <f>IF(AND('领用录入（明细）'!D:D=$F$4,'领用录入（明细）'!C:C&gt;=$J$4,'领用录入（明细）'!C:C&lt;=$L$4),ROW(),"-")</f>
        <v>-</v>
      </c>
    </row>
    <row r="12090" customHeight="1" spans="2:2">
      <c r="B12090" s="62" t="str">
        <f>IF(AND('领用录入（明细）'!D:D=$F$4,'领用录入（明细）'!C:C&gt;=$J$4,'领用录入（明细）'!C:C&lt;=$L$4),ROW(),"-")</f>
        <v>-</v>
      </c>
    </row>
    <row r="12091" customHeight="1" spans="2:2">
      <c r="B12091" s="62" t="str">
        <f>IF(AND('领用录入（明细）'!D:D=$F$4,'领用录入（明细）'!C:C&gt;=$J$4,'领用录入（明细）'!C:C&lt;=$L$4),ROW(),"-")</f>
        <v>-</v>
      </c>
    </row>
    <row r="12092" customHeight="1" spans="2:2">
      <c r="B12092" s="62" t="str">
        <f>IF(AND('领用录入（明细）'!D:D=$F$4,'领用录入（明细）'!C:C&gt;=$J$4,'领用录入（明细）'!C:C&lt;=$L$4),ROW(),"-")</f>
        <v>-</v>
      </c>
    </row>
    <row r="12093" customHeight="1" spans="2:2">
      <c r="B12093" s="62" t="str">
        <f>IF(AND('领用录入（明细）'!D:D=$F$4,'领用录入（明细）'!C:C&gt;=$J$4,'领用录入（明细）'!C:C&lt;=$L$4),ROW(),"-")</f>
        <v>-</v>
      </c>
    </row>
    <row r="12094" customHeight="1" spans="2:2">
      <c r="B12094" s="62" t="str">
        <f>IF(AND('领用录入（明细）'!D:D=$F$4,'领用录入（明细）'!C:C&gt;=$J$4,'领用录入（明细）'!C:C&lt;=$L$4),ROW(),"-")</f>
        <v>-</v>
      </c>
    </row>
    <row r="12095" customHeight="1" spans="2:2">
      <c r="B12095" s="62" t="str">
        <f>IF(AND('领用录入（明细）'!D:D=$F$4,'领用录入（明细）'!C:C&gt;=$J$4,'领用录入（明细）'!C:C&lt;=$L$4),ROW(),"-")</f>
        <v>-</v>
      </c>
    </row>
    <row r="12096" customHeight="1" spans="2:2">
      <c r="B12096" s="62" t="str">
        <f>IF(AND('领用录入（明细）'!D:D=$F$4,'领用录入（明细）'!C:C&gt;=$J$4,'领用录入（明细）'!C:C&lt;=$L$4),ROW(),"-")</f>
        <v>-</v>
      </c>
    </row>
    <row r="12097" customHeight="1" spans="2:2">
      <c r="B12097" s="62" t="str">
        <f>IF(AND('领用录入（明细）'!D:D=$F$4,'领用录入（明细）'!C:C&gt;=$J$4,'领用录入（明细）'!C:C&lt;=$L$4),ROW(),"-")</f>
        <v>-</v>
      </c>
    </row>
    <row r="12098" customHeight="1" spans="2:2">
      <c r="B12098" s="62" t="str">
        <f>IF(AND('领用录入（明细）'!D:D=$F$4,'领用录入（明细）'!C:C&gt;=$J$4,'领用录入（明细）'!C:C&lt;=$L$4),ROW(),"-")</f>
        <v>-</v>
      </c>
    </row>
    <row r="12099" customHeight="1" spans="2:2">
      <c r="B12099" s="62" t="str">
        <f>IF(AND('领用录入（明细）'!D:D=$F$4,'领用录入（明细）'!C:C&gt;=$J$4,'领用录入（明细）'!C:C&lt;=$L$4),ROW(),"-")</f>
        <v>-</v>
      </c>
    </row>
    <row r="12100" customHeight="1" spans="2:2">
      <c r="B12100" s="62" t="str">
        <f>IF(AND('领用录入（明细）'!D:D=$F$4,'领用录入（明细）'!C:C&gt;=$J$4,'领用录入（明细）'!C:C&lt;=$L$4),ROW(),"-")</f>
        <v>-</v>
      </c>
    </row>
    <row r="12101" customHeight="1" spans="2:2">
      <c r="B12101" s="62" t="str">
        <f>IF(AND('领用录入（明细）'!D:D=$F$4,'领用录入（明细）'!C:C&gt;=$J$4,'领用录入（明细）'!C:C&lt;=$L$4),ROW(),"-")</f>
        <v>-</v>
      </c>
    </row>
    <row r="12102" customHeight="1" spans="2:2">
      <c r="B12102" s="62" t="str">
        <f>IF(AND('领用录入（明细）'!D:D=$F$4,'领用录入（明细）'!C:C&gt;=$J$4,'领用录入（明细）'!C:C&lt;=$L$4),ROW(),"-")</f>
        <v>-</v>
      </c>
    </row>
    <row r="12103" customHeight="1" spans="2:2">
      <c r="B12103" s="62" t="str">
        <f>IF(AND('领用录入（明细）'!D:D=$F$4,'领用录入（明细）'!C:C&gt;=$J$4,'领用录入（明细）'!C:C&lt;=$L$4),ROW(),"-")</f>
        <v>-</v>
      </c>
    </row>
    <row r="12104" customHeight="1" spans="2:2">
      <c r="B12104" s="62" t="str">
        <f>IF(AND('领用录入（明细）'!D:D=$F$4,'领用录入（明细）'!C:C&gt;=$J$4,'领用录入（明细）'!C:C&lt;=$L$4),ROW(),"-")</f>
        <v>-</v>
      </c>
    </row>
    <row r="12105" customHeight="1" spans="2:2">
      <c r="B12105" s="62" t="str">
        <f>IF(AND('领用录入（明细）'!D:D=$F$4,'领用录入（明细）'!C:C&gt;=$J$4,'领用录入（明细）'!C:C&lt;=$L$4),ROW(),"-")</f>
        <v>-</v>
      </c>
    </row>
    <row r="12106" customHeight="1" spans="2:2">
      <c r="B12106" s="62" t="str">
        <f>IF(AND('领用录入（明细）'!D:D=$F$4,'领用录入（明细）'!C:C&gt;=$J$4,'领用录入（明细）'!C:C&lt;=$L$4),ROW(),"-")</f>
        <v>-</v>
      </c>
    </row>
    <row r="12107" customHeight="1" spans="2:2">
      <c r="B12107" s="62" t="str">
        <f>IF(AND('领用录入（明细）'!D:D=$F$4,'领用录入（明细）'!C:C&gt;=$J$4,'领用录入（明细）'!C:C&lt;=$L$4),ROW(),"-")</f>
        <v>-</v>
      </c>
    </row>
    <row r="12108" customHeight="1" spans="2:2">
      <c r="B12108" s="62" t="str">
        <f>IF(AND('领用录入（明细）'!D:D=$F$4,'领用录入（明细）'!C:C&gt;=$J$4,'领用录入（明细）'!C:C&lt;=$L$4),ROW(),"-")</f>
        <v>-</v>
      </c>
    </row>
    <row r="12109" customHeight="1" spans="2:2">
      <c r="B12109" s="62" t="str">
        <f>IF(AND('领用录入（明细）'!D:D=$F$4,'领用录入（明细）'!C:C&gt;=$J$4,'领用录入（明细）'!C:C&lt;=$L$4),ROW(),"-")</f>
        <v>-</v>
      </c>
    </row>
    <row r="12110" customHeight="1" spans="2:2">
      <c r="B12110" s="62" t="str">
        <f>IF(AND('领用录入（明细）'!D:D=$F$4,'领用录入（明细）'!C:C&gt;=$J$4,'领用录入（明细）'!C:C&lt;=$L$4),ROW(),"-")</f>
        <v>-</v>
      </c>
    </row>
    <row r="12111" customHeight="1" spans="2:2">
      <c r="B12111" s="62" t="str">
        <f>IF(AND('领用录入（明细）'!D:D=$F$4,'领用录入（明细）'!C:C&gt;=$J$4,'领用录入（明细）'!C:C&lt;=$L$4),ROW(),"-")</f>
        <v>-</v>
      </c>
    </row>
    <row r="12112" customHeight="1" spans="2:2">
      <c r="B12112" s="62" t="str">
        <f>IF(AND('领用录入（明细）'!D:D=$F$4,'领用录入（明细）'!C:C&gt;=$J$4,'领用录入（明细）'!C:C&lt;=$L$4),ROW(),"-")</f>
        <v>-</v>
      </c>
    </row>
    <row r="12113" customHeight="1" spans="2:2">
      <c r="B12113" s="62" t="str">
        <f>IF(AND('领用录入（明细）'!D:D=$F$4,'领用录入（明细）'!C:C&gt;=$J$4,'领用录入（明细）'!C:C&lt;=$L$4),ROW(),"-")</f>
        <v>-</v>
      </c>
    </row>
    <row r="12114" customHeight="1" spans="2:2">
      <c r="B12114" s="62" t="str">
        <f>IF(AND('领用录入（明细）'!D:D=$F$4,'领用录入（明细）'!C:C&gt;=$J$4,'领用录入（明细）'!C:C&lt;=$L$4),ROW(),"-")</f>
        <v>-</v>
      </c>
    </row>
    <row r="12115" customHeight="1" spans="2:2">
      <c r="B12115" s="62" t="str">
        <f>IF(AND('领用录入（明细）'!D:D=$F$4,'领用录入（明细）'!C:C&gt;=$J$4,'领用录入（明细）'!C:C&lt;=$L$4),ROW(),"-")</f>
        <v>-</v>
      </c>
    </row>
    <row r="12116" customHeight="1" spans="2:2">
      <c r="B12116" s="62" t="str">
        <f>IF(AND('领用录入（明细）'!D:D=$F$4,'领用录入（明细）'!C:C&gt;=$J$4,'领用录入（明细）'!C:C&lt;=$L$4),ROW(),"-")</f>
        <v>-</v>
      </c>
    </row>
    <row r="12117" customHeight="1" spans="2:2">
      <c r="B12117" s="62" t="str">
        <f>IF(AND('领用录入（明细）'!D:D=$F$4,'领用录入（明细）'!C:C&gt;=$J$4,'领用录入（明细）'!C:C&lt;=$L$4),ROW(),"-")</f>
        <v>-</v>
      </c>
    </row>
    <row r="12118" customHeight="1" spans="2:2">
      <c r="B12118" s="62" t="str">
        <f>IF(AND('领用录入（明细）'!D:D=$F$4,'领用录入（明细）'!C:C&gt;=$J$4,'领用录入（明细）'!C:C&lt;=$L$4),ROW(),"-")</f>
        <v>-</v>
      </c>
    </row>
    <row r="12119" customHeight="1" spans="2:2">
      <c r="B12119" s="62" t="str">
        <f>IF(AND('领用录入（明细）'!D:D=$F$4,'领用录入（明细）'!C:C&gt;=$J$4,'领用录入（明细）'!C:C&lt;=$L$4),ROW(),"-")</f>
        <v>-</v>
      </c>
    </row>
    <row r="12120" customHeight="1" spans="2:2">
      <c r="B12120" s="62" t="str">
        <f>IF(AND('领用录入（明细）'!D:D=$F$4,'领用录入（明细）'!C:C&gt;=$J$4,'领用录入（明细）'!C:C&lt;=$L$4),ROW(),"-")</f>
        <v>-</v>
      </c>
    </row>
    <row r="12121" customHeight="1" spans="2:2">
      <c r="B12121" s="62" t="str">
        <f>IF(AND('领用录入（明细）'!D:D=$F$4,'领用录入（明细）'!C:C&gt;=$J$4,'领用录入（明细）'!C:C&lt;=$L$4),ROW(),"-")</f>
        <v>-</v>
      </c>
    </row>
    <row r="12122" customHeight="1" spans="2:2">
      <c r="B12122" s="62" t="str">
        <f>IF(AND('领用录入（明细）'!D:D=$F$4,'领用录入（明细）'!C:C&gt;=$J$4,'领用录入（明细）'!C:C&lt;=$L$4),ROW(),"-")</f>
        <v>-</v>
      </c>
    </row>
    <row r="12123" customHeight="1" spans="2:2">
      <c r="B12123" s="62" t="str">
        <f>IF(AND('领用录入（明细）'!D:D=$F$4,'领用录入（明细）'!C:C&gt;=$J$4,'领用录入（明细）'!C:C&lt;=$L$4),ROW(),"-")</f>
        <v>-</v>
      </c>
    </row>
    <row r="12124" customHeight="1" spans="2:2">
      <c r="B12124" s="62" t="str">
        <f>IF(AND('领用录入（明细）'!D:D=$F$4,'领用录入（明细）'!C:C&gt;=$J$4,'领用录入（明细）'!C:C&lt;=$L$4),ROW(),"-")</f>
        <v>-</v>
      </c>
    </row>
    <row r="12125" customHeight="1" spans="2:2">
      <c r="B12125" s="62" t="str">
        <f>IF(AND('领用录入（明细）'!D:D=$F$4,'领用录入（明细）'!C:C&gt;=$J$4,'领用录入（明细）'!C:C&lt;=$L$4),ROW(),"-")</f>
        <v>-</v>
      </c>
    </row>
    <row r="12126" customHeight="1" spans="2:2">
      <c r="B12126" s="62" t="str">
        <f>IF(AND('领用录入（明细）'!D:D=$F$4,'领用录入（明细）'!C:C&gt;=$J$4,'领用录入（明细）'!C:C&lt;=$L$4),ROW(),"-")</f>
        <v>-</v>
      </c>
    </row>
    <row r="12127" customHeight="1" spans="2:2">
      <c r="B12127" s="62" t="str">
        <f>IF(AND('领用录入（明细）'!D:D=$F$4,'领用录入（明细）'!C:C&gt;=$J$4,'领用录入（明细）'!C:C&lt;=$L$4),ROW(),"-")</f>
        <v>-</v>
      </c>
    </row>
    <row r="12128" customHeight="1" spans="2:2">
      <c r="B12128" s="62" t="str">
        <f>IF(AND('领用录入（明细）'!D:D=$F$4,'领用录入（明细）'!C:C&gt;=$J$4,'领用录入（明细）'!C:C&lt;=$L$4),ROW(),"-")</f>
        <v>-</v>
      </c>
    </row>
    <row r="12129" customHeight="1" spans="2:2">
      <c r="B12129" s="62" t="str">
        <f>IF(AND('领用录入（明细）'!D:D=$F$4,'领用录入（明细）'!C:C&gt;=$J$4,'领用录入（明细）'!C:C&lt;=$L$4),ROW(),"-")</f>
        <v>-</v>
      </c>
    </row>
    <row r="12130" customHeight="1" spans="2:2">
      <c r="B12130" s="62" t="str">
        <f>IF(AND('领用录入（明细）'!D:D=$F$4,'领用录入（明细）'!C:C&gt;=$J$4,'领用录入（明细）'!C:C&lt;=$L$4),ROW(),"-")</f>
        <v>-</v>
      </c>
    </row>
    <row r="12131" customHeight="1" spans="2:2">
      <c r="B12131" s="62" t="str">
        <f>IF(AND('领用录入（明细）'!D:D=$F$4,'领用录入（明细）'!C:C&gt;=$J$4,'领用录入（明细）'!C:C&lt;=$L$4),ROW(),"-")</f>
        <v>-</v>
      </c>
    </row>
    <row r="12132" customHeight="1" spans="2:2">
      <c r="B12132" s="62" t="str">
        <f>IF(AND('领用录入（明细）'!D:D=$F$4,'领用录入（明细）'!C:C&gt;=$J$4,'领用录入（明细）'!C:C&lt;=$L$4),ROW(),"-")</f>
        <v>-</v>
      </c>
    </row>
    <row r="12133" customHeight="1" spans="2:2">
      <c r="B12133" s="62" t="str">
        <f>IF(AND('领用录入（明细）'!D:D=$F$4,'领用录入（明细）'!C:C&gt;=$J$4,'领用录入（明细）'!C:C&lt;=$L$4),ROW(),"-")</f>
        <v>-</v>
      </c>
    </row>
    <row r="12134" customHeight="1" spans="2:2">
      <c r="B12134" s="62" t="str">
        <f>IF(AND('领用录入（明细）'!D:D=$F$4,'领用录入（明细）'!C:C&gt;=$J$4,'领用录入（明细）'!C:C&lt;=$L$4),ROW(),"-")</f>
        <v>-</v>
      </c>
    </row>
    <row r="12135" customHeight="1" spans="2:2">
      <c r="B12135" s="62" t="str">
        <f>IF(AND('领用录入（明细）'!D:D=$F$4,'领用录入（明细）'!C:C&gt;=$J$4,'领用录入（明细）'!C:C&lt;=$L$4),ROW(),"-")</f>
        <v>-</v>
      </c>
    </row>
    <row r="12136" customHeight="1" spans="2:2">
      <c r="B12136" s="62" t="str">
        <f>IF(AND('领用录入（明细）'!D:D=$F$4,'领用录入（明细）'!C:C&gt;=$J$4,'领用录入（明细）'!C:C&lt;=$L$4),ROW(),"-")</f>
        <v>-</v>
      </c>
    </row>
    <row r="12137" customHeight="1" spans="2:2">
      <c r="B12137" s="62" t="str">
        <f>IF(AND('领用录入（明细）'!D:D=$F$4,'领用录入（明细）'!C:C&gt;=$J$4,'领用录入（明细）'!C:C&lt;=$L$4),ROW(),"-")</f>
        <v>-</v>
      </c>
    </row>
    <row r="12138" customHeight="1" spans="2:2">
      <c r="B12138" s="62" t="str">
        <f>IF(AND('领用录入（明细）'!D:D=$F$4,'领用录入（明细）'!C:C&gt;=$J$4,'领用录入（明细）'!C:C&lt;=$L$4),ROW(),"-")</f>
        <v>-</v>
      </c>
    </row>
    <row r="12139" customHeight="1" spans="2:2">
      <c r="B12139" s="62" t="str">
        <f>IF(AND('领用录入（明细）'!D:D=$F$4,'领用录入（明细）'!C:C&gt;=$J$4,'领用录入（明细）'!C:C&lt;=$L$4),ROW(),"-")</f>
        <v>-</v>
      </c>
    </row>
    <row r="12140" customHeight="1" spans="2:2">
      <c r="B12140" s="62" t="str">
        <f>IF(AND('领用录入（明细）'!D:D=$F$4,'领用录入（明细）'!C:C&gt;=$J$4,'领用录入（明细）'!C:C&lt;=$L$4),ROW(),"-")</f>
        <v>-</v>
      </c>
    </row>
    <row r="12141" customHeight="1" spans="2:2">
      <c r="B12141" s="62" t="str">
        <f>IF(AND('领用录入（明细）'!D:D=$F$4,'领用录入（明细）'!C:C&gt;=$J$4,'领用录入（明细）'!C:C&lt;=$L$4),ROW(),"-")</f>
        <v>-</v>
      </c>
    </row>
    <row r="12142" customHeight="1" spans="2:2">
      <c r="B12142" s="62" t="str">
        <f>IF(AND('领用录入（明细）'!D:D=$F$4,'领用录入（明细）'!C:C&gt;=$J$4,'领用录入（明细）'!C:C&lt;=$L$4),ROW(),"-")</f>
        <v>-</v>
      </c>
    </row>
    <row r="12143" customHeight="1" spans="2:2">
      <c r="B12143" s="62" t="str">
        <f>IF(AND('领用录入（明细）'!D:D=$F$4,'领用录入（明细）'!C:C&gt;=$J$4,'领用录入（明细）'!C:C&lt;=$L$4),ROW(),"-")</f>
        <v>-</v>
      </c>
    </row>
    <row r="12144" customHeight="1" spans="2:2">
      <c r="B12144" s="62" t="str">
        <f>IF(AND('领用录入（明细）'!D:D=$F$4,'领用录入（明细）'!C:C&gt;=$J$4,'领用录入（明细）'!C:C&lt;=$L$4),ROW(),"-")</f>
        <v>-</v>
      </c>
    </row>
    <row r="12145" customHeight="1" spans="2:2">
      <c r="B12145" s="62" t="str">
        <f>IF(AND('领用录入（明细）'!D:D=$F$4,'领用录入（明细）'!C:C&gt;=$J$4,'领用录入（明细）'!C:C&lt;=$L$4),ROW(),"-")</f>
        <v>-</v>
      </c>
    </row>
    <row r="12146" customHeight="1" spans="2:2">
      <c r="B12146" s="62" t="str">
        <f>IF(AND('领用录入（明细）'!D:D=$F$4,'领用录入（明细）'!C:C&gt;=$J$4,'领用录入（明细）'!C:C&lt;=$L$4),ROW(),"-")</f>
        <v>-</v>
      </c>
    </row>
    <row r="12147" customHeight="1" spans="2:2">
      <c r="B12147" s="62" t="str">
        <f>IF(AND('领用录入（明细）'!D:D=$F$4,'领用录入（明细）'!C:C&gt;=$J$4,'领用录入（明细）'!C:C&lt;=$L$4),ROW(),"-")</f>
        <v>-</v>
      </c>
    </row>
    <row r="12148" customHeight="1" spans="2:2">
      <c r="B12148" s="62" t="str">
        <f>IF(AND('领用录入（明细）'!D:D=$F$4,'领用录入（明细）'!C:C&gt;=$J$4,'领用录入（明细）'!C:C&lt;=$L$4),ROW(),"-")</f>
        <v>-</v>
      </c>
    </row>
    <row r="12149" customHeight="1" spans="2:2">
      <c r="B12149" s="62" t="str">
        <f>IF(AND('领用录入（明细）'!D:D=$F$4,'领用录入（明细）'!C:C&gt;=$J$4,'领用录入（明细）'!C:C&lt;=$L$4),ROW(),"-")</f>
        <v>-</v>
      </c>
    </row>
    <row r="12150" customHeight="1" spans="2:2">
      <c r="B12150" s="62" t="str">
        <f>IF(AND('领用录入（明细）'!D:D=$F$4,'领用录入（明细）'!C:C&gt;=$J$4,'领用录入（明细）'!C:C&lt;=$L$4),ROW(),"-")</f>
        <v>-</v>
      </c>
    </row>
    <row r="12151" customHeight="1" spans="2:2">
      <c r="B12151" s="62" t="str">
        <f>IF(AND('领用录入（明细）'!D:D=$F$4,'领用录入（明细）'!C:C&gt;=$J$4,'领用录入（明细）'!C:C&lt;=$L$4),ROW(),"-")</f>
        <v>-</v>
      </c>
    </row>
    <row r="12152" customHeight="1" spans="2:2">
      <c r="B12152" s="62" t="str">
        <f>IF(AND('领用录入（明细）'!D:D=$F$4,'领用录入（明细）'!C:C&gt;=$J$4,'领用录入（明细）'!C:C&lt;=$L$4),ROW(),"-")</f>
        <v>-</v>
      </c>
    </row>
    <row r="12153" customHeight="1" spans="2:2">
      <c r="B12153" s="62" t="str">
        <f>IF(AND('领用录入（明细）'!D:D=$F$4,'领用录入（明细）'!C:C&gt;=$J$4,'领用录入（明细）'!C:C&lt;=$L$4),ROW(),"-")</f>
        <v>-</v>
      </c>
    </row>
    <row r="12154" customHeight="1" spans="2:2">
      <c r="B12154" s="62" t="str">
        <f>IF(AND('领用录入（明细）'!D:D=$F$4,'领用录入（明细）'!C:C&gt;=$J$4,'领用录入（明细）'!C:C&lt;=$L$4),ROW(),"-")</f>
        <v>-</v>
      </c>
    </row>
    <row r="12155" customHeight="1" spans="2:2">
      <c r="B12155" s="62" t="str">
        <f>IF(AND('领用录入（明细）'!D:D=$F$4,'领用录入（明细）'!C:C&gt;=$J$4,'领用录入（明细）'!C:C&lt;=$L$4),ROW(),"-")</f>
        <v>-</v>
      </c>
    </row>
    <row r="12156" customHeight="1" spans="2:2">
      <c r="B12156" s="62" t="str">
        <f>IF(AND('领用录入（明细）'!D:D=$F$4,'领用录入（明细）'!C:C&gt;=$J$4,'领用录入（明细）'!C:C&lt;=$L$4),ROW(),"-")</f>
        <v>-</v>
      </c>
    </row>
    <row r="12157" customHeight="1" spans="2:2">
      <c r="B12157" s="62" t="str">
        <f>IF(AND('领用录入（明细）'!D:D=$F$4,'领用录入（明细）'!C:C&gt;=$J$4,'领用录入（明细）'!C:C&lt;=$L$4),ROW(),"-")</f>
        <v>-</v>
      </c>
    </row>
    <row r="12158" customHeight="1" spans="2:2">
      <c r="B12158" s="62" t="str">
        <f>IF(AND('领用录入（明细）'!D:D=$F$4,'领用录入（明细）'!C:C&gt;=$J$4,'领用录入（明细）'!C:C&lt;=$L$4),ROW(),"-")</f>
        <v>-</v>
      </c>
    </row>
    <row r="12159" customHeight="1" spans="2:2">
      <c r="B12159" s="62" t="str">
        <f>IF(AND('领用录入（明细）'!D:D=$F$4,'领用录入（明细）'!C:C&gt;=$J$4,'领用录入（明细）'!C:C&lt;=$L$4),ROW(),"-")</f>
        <v>-</v>
      </c>
    </row>
    <row r="12160" customHeight="1" spans="2:2">
      <c r="B12160" s="62" t="str">
        <f>IF(AND('领用录入（明细）'!D:D=$F$4,'领用录入（明细）'!C:C&gt;=$J$4,'领用录入（明细）'!C:C&lt;=$L$4),ROW(),"-")</f>
        <v>-</v>
      </c>
    </row>
    <row r="12161" customHeight="1" spans="2:2">
      <c r="B12161" s="62" t="str">
        <f>IF(AND('领用录入（明细）'!D:D=$F$4,'领用录入（明细）'!C:C&gt;=$J$4,'领用录入（明细）'!C:C&lt;=$L$4),ROW(),"-")</f>
        <v>-</v>
      </c>
    </row>
    <row r="12162" customHeight="1" spans="2:2">
      <c r="B12162" s="62" t="str">
        <f>IF(AND('领用录入（明细）'!D:D=$F$4,'领用录入（明细）'!C:C&gt;=$J$4,'领用录入（明细）'!C:C&lt;=$L$4),ROW(),"-")</f>
        <v>-</v>
      </c>
    </row>
    <row r="12163" customHeight="1" spans="2:2">
      <c r="B12163" s="62" t="str">
        <f>IF(AND('领用录入（明细）'!D:D=$F$4,'领用录入（明细）'!C:C&gt;=$J$4,'领用录入（明细）'!C:C&lt;=$L$4),ROW(),"-")</f>
        <v>-</v>
      </c>
    </row>
    <row r="12164" customHeight="1" spans="2:2">
      <c r="B12164" s="62" t="str">
        <f>IF(AND('领用录入（明细）'!D:D=$F$4,'领用录入（明细）'!C:C&gt;=$J$4,'领用录入（明细）'!C:C&lt;=$L$4),ROW(),"-")</f>
        <v>-</v>
      </c>
    </row>
    <row r="12165" customHeight="1" spans="2:2">
      <c r="B12165" s="62" t="str">
        <f>IF(AND('领用录入（明细）'!D:D=$F$4,'领用录入（明细）'!C:C&gt;=$J$4,'领用录入（明细）'!C:C&lt;=$L$4),ROW(),"-")</f>
        <v>-</v>
      </c>
    </row>
    <row r="12166" customHeight="1" spans="2:2">
      <c r="B12166" s="62" t="str">
        <f>IF(AND('领用录入（明细）'!D:D=$F$4,'领用录入（明细）'!C:C&gt;=$J$4,'领用录入（明细）'!C:C&lt;=$L$4),ROW(),"-")</f>
        <v>-</v>
      </c>
    </row>
    <row r="12167" customHeight="1" spans="2:2">
      <c r="B12167" s="62" t="str">
        <f>IF(AND('领用录入（明细）'!D:D=$F$4,'领用录入（明细）'!C:C&gt;=$J$4,'领用录入（明细）'!C:C&lt;=$L$4),ROW(),"-")</f>
        <v>-</v>
      </c>
    </row>
    <row r="12168" customHeight="1" spans="2:2">
      <c r="B12168" s="62" t="str">
        <f>IF(AND('领用录入（明细）'!D:D=$F$4,'领用录入（明细）'!C:C&gt;=$J$4,'领用录入（明细）'!C:C&lt;=$L$4),ROW(),"-")</f>
        <v>-</v>
      </c>
    </row>
    <row r="12169" customHeight="1" spans="2:2">
      <c r="B12169" s="62" t="str">
        <f>IF(AND('领用录入（明细）'!D:D=$F$4,'领用录入（明细）'!C:C&gt;=$J$4,'领用录入（明细）'!C:C&lt;=$L$4),ROW(),"-")</f>
        <v>-</v>
      </c>
    </row>
    <row r="12170" customHeight="1" spans="2:2">
      <c r="B12170" s="62" t="str">
        <f>IF(AND('领用录入（明细）'!D:D=$F$4,'领用录入（明细）'!C:C&gt;=$J$4,'领用录入（明细）'!C:C&lt;=$L$4),ROW(),"-")</f>
        <v>-</v>
      </c>
    </row>
    <row r="12171" customHeight="1" spans="2:2">
      <c r="B12171" s="62" t="str">
        <f>IF(AND('领用录入（明细）'!D:D=$F$4,'领用录入（明细）'!C:C&gt;=$J$4,'领用录入（明细）'!C:C&lt;=$L$4),ROW(),"-")</f>
        <v>-</v>
      </c>
    </row>
    <row r="12172" customHeight="1" spans="2:2">
      <c r="B12172" s="62" t="str">
        <f>IF(AND('领用录入（明细）'!D:D=$F$4,'领用录入（明细）'!C:C&gt;=$J$4,'领用录入（明细）'!C:C&lt;=$L$4),ROW(),"-")</f>
        <v>-</v>
      </c>
    </row>
    <row r="12173" customHeight="1" spans="2:2">
      <c r="B12173" s="62" t="str">
        <f>IF(AND('领用录入（明细）'!D:D=$F$4,'领用录入（明细）'!C:C&gt;=$J$4,'领用录入（明细）'!C:C&lt;=$L$4),ROW(),"-")</f>
        <v>-</v>
      </c>
    </row>
    <row r="12174" customHeight="1" spans="2:2">
      <c r="B12174" s="62" t="str">
        <f>IF(AND('领用录入（明细）'!D:D=$F$4,'领用录入（明细）'!C:C&gt;=$J$4,'领用录入（明细）'!C:C&lt;=$L$4),ROW(),"-")</f>
        <v>-</v>
      </c>
    </row>
    <row r="12175" customHeight="1" spans="2:2">
      <c r="B12175" s="62" t="str">
        <f>IF(AND('领用录入（明细）'!D:D=$F$4,'领用录入（明细）'!C:C&gt;=$J$4,'领用录入（明细）'!C:C&lt;=$L$4),ROW(),"-")</f>
        <v>-</v>
      </c>
    </row>
    <row r="12176" customHeight="1" spans="2:2">
      <c r="B12176" s="62" t="str">
        <f>IF(AND('领用录入（明细）'!D:D=$F$4,'领用录入（明细）'!C:C&gt;=$J$4,'领用录入（明细）'!C:C&lt;=$L$4),ROW(),"-")</f>
        <v>-</v>
      </c>
    </row>
    <row r="12177" customHeight="1" spans="2:2">
      <c r="B12177" s="62" t="str">
        <f>IF(AND('领用录入（明细）'!D:D=$F$4,'领用录入（明细）'!C:C&gt;=$J$4,'领用录入（明细）'!C:C&lt;=$L$4),ROW(),"-")</f>
        <v>-</v>
      </c>
    </row>
    <row r="12178" customHeight="1" spans="2:2">
      <c r="B12178" s="62" t="str">
        <f>IF(AND('领用录入（明细）'!D:D=$F$4,'领用录入（明细）'!C:C&gt;=$J$4,'领用录入（明细）'!C:C&lt;=$L$4),ROW(),"-")</f>
        <v>-</v>
      </c>
    </row>
    <row r="12179" customHeight="1" spans="2:2">
      <c r="B12179" s="62" t="str">
        <f>IF(AND('领用录入（明细）'!D:D=$F$4,'领用录入（明细）'!C:C&gt;=$J$4,'领用录入（明细）'!C:C&lt;=$L$4),ROW(),"-")</f>
        <v>-</v>
      </c>
    </row>
    <row r="12180" customHeight="1" spans="2:2">
      <c r="B12180" s="62" t="str">
        <f>IF(AND('领用录入（明细）'!D:D=$F$4,'领用录入（明细）'!C:C&gt;=$J$4,'领用录入（明细）'!C:C&lt;=$L$4),ROW(),"-")</f>
        <v>-</v>
      </c>
    </row>
    <row r="12181" customHeight="1" spans="2:2">
      <c r="B12181" s="62" t="str">
        <f>IF(AND('领用录入（明细）'!D:D=$F$4,'领用录入（明细）'!C:C&gt;=$J$4,'领用录入（明细）'!C:C&lt;=$L$4),ROW(),"-")</f>
        <v>-</v>
      </c>
    </row>
    <row r="12182" customHeight="1" spans="2:2">
      <c r="B12182" s="62" t="str">
        <f>IF(AND('领用录入（明细）'!D:D=$F$4,'领用录入（明细）'!C:C&gt;=$J$4,'领用录入（明细）'!C:C&lt;=$L$4),ROW(),"-")</f>
        <v>-</v>
      </c>
    </row>
    <row r="12183" customHeight="1" spans="2:2">
      <c r="B12183" s="62" t="str">
        <f>IF(AND('领用录入（明细）'!D:D=$F$4,'领用录入（明细）'!C:C&gt;=$J$4,'领用录入（明细）'!C:C&lt;=$L$4),ROW(),"-")</f>
        <v>-</v>
      </c>
    </row>
    <row r="12184" customHeight="1" spans="2:2">
      <c r="B12184" s="62" t="str">
        <f>IF(AND('领用录入（明细）'!D:D=$F$4,'领用录入（明细）'!C:C&gt;=$J$4,'领用录入（明细）'!C:C&lt;=$L$4),ROW(),"-")</f>
        <v>-</v>
      </c>
    </row>
    <row r="12185" customHeight="1" spans="2:2">
      <c r="B12185" s="62" t="str">
        <f>IF(AND('领用录入（明细）'!D:D=$F$4,'领用录入（明细）'!C:C&gt;=$J$4,'领用录入（明细）'!C:C&lt;=$L$4),ROW(),"-")</f>
        <v>-</v>
      </c>
    </row>
    <row r="12186" customHeight="1" spans="2:2">
      <c r="B12186" s="62" t="str">
        <f>IF(AND('领用录入（明细）'!D:D=$F$4,'领用录入（明细）'!C:C&gt;=$J$4,'领用录入（明细）'!C:C&lt;=$L$4),ROW(),"-")</f>
        <v>-</v>
      </c>
    </row>
    <row r="12187" customHeight="1" spans="2:2">
      <c r="B12187" s="62" t="str">
        <f>IF(AND('领用录入（明细）'!D:D=$F$4,'领用录入（明细）'!C:C&gt;=$J$4,'领用录入（明细）'!C:C&lt;=$L$4),ROW(),"-")</f>
        <v>-</v>
      </c>
    </row>
    <row r="12188" customHeight="1" spans="2:2">
      <c r="B12188" s="62" t="str">
        <f>IF(AND('领用录入（明细）'!D:D=$F$4,'领用录入（明细）'!C:C&gt;=$J$4,'领用录入（明细）'!C:C&lt;=$L$4),ROW(),"-")</f>
        <v>-</v>
      </c>
    </row>
    <row r="12189" customHeight="1" spans="2:2">
      <c r="B12189" s="62" t="str">
        <f>IF(AND('领用录入（明细）'!D:D=$F$4,'领用录入（明细）'!C:C&gt;=$J$4,'领用录入（明细）'!C:C&lt;=$L$4),ROW(),"-")</f>
        <v>-</v>
      </c>
    </row>
    <row r="12190" customHeight="1" spans="2:2">
      <c r="B12190" s="62" t="str">
        <f>IF(AND('领用录入（明细）'!D:D=$F$4,'领用录入（明细）'!C:C&gt;=$J$4,'领用录入（明细）'!C:C&lt;=$L$4),ROW(),"-")</f>
        <v>-</v>
      </c>
    </row>
    <row r="12191" customHeight="1" spans="2:2">
      <c r="B12191" s="62" t="str">
        <f>IF(AND('领用录入（明细）'!D:D=$F$4,'领用录入（明细）'!C:C&gt;=$J$4,'领用录入（明细）'!C:C&lt;=$L$4),ROW(),"-")</f>
        <v>-</v>
      </c>
    </row>
    <row r="12192" customHeight="1" spans="2:2">
      <c r="B12192" s="62" t="str">
        <f>IF(AND('领用录入（明细）'!D:D=$F$4,'领用录入（明细）'!C:C&gt;=$J$4,'领用录入（明细）'!C:C&lt;=$L$4),ROW(),"-")</f>
        <v>-</v>
      </c>
    </row>
    <row r="12193" customHeight="1" spans="2:2">
      <c r="B12193" s="62" t="str">
        <f>IF(AND('领用录入（明细）'!D:D=$F$4,'领用录入（明细）'!C:C&gt;=$J$4,'领用录入（明细）'!C:C&lt;=$L$4),ROW(),"-")</f>
        <v>-</v>
      </c>
    </row>
    <row r="12194" customHeight="1" spans="2:2">
      <c r="B12194" s="62" t="str">
        <f>IF(AND('领用录入（明细）'!D:D=$F$4,'领用录入（明细）'!C:C&gt;=$J$4,'领用录入（明细）'!C:C&lt;=$L$4),ROW(),"-")</f>
        <v>-</v>
      </c>
    </row>
    <row r="12195" customHeight="1" spans="2:2">
      <c r="B12195" s="62" t="str">
        <f>IF(AND('领用录入（明细）'!D:D=$F$4,'领用录入（明细）'!C:C&gt;=$J$4,'领用录入（明细）'!C:C&lt;=$L$4),ROW(),"-")</f>
        <v>-</v>
      </c>
    </row>
    <row r="12196" customHeight="1" spans="2:2">
      <c r="B12196" s="62" t="str">
        <f>IF(AND('领用录入（明细）'!D:D=$F$4,'领用录入（明细）'!C:C&gt;=$J$4,'领用录入（明细）'!C:C&lt;=$L$4),ROW(),"-")</f>
        <v>-</v>
      </c>
    </row>
    <row r="12197" customHeight="1" spans="2:2">
      <c r="B12197" s="62" t="str">
        <f>IF(AND('领用录入（明细）'!D:D=$F$4,'领用录入（明细）'!C:C&gt;=$J$4,'领用录入（明细）'!C:C&lt;=$L$4),ROW(),"-")</f>
        <v>-</v>
      </c>
    </row>
    <row r="12198" customHeight="1" spans="2:2">
      <c r="B12198" s="62" t="str">
        <f>IF(AND('领用录入（明细）'!D:D=$F$4,'领用录入（明细）'!C:C&gt;=$J$4,'领用录入（明细）'!C:C&lt;=$L$4),ROW(),"-")</f>
        <v>-</v>
      </c>
    </row>
    <row r="12199" customHeight="1" spans="2:2">
      <c r="B12199" s="62" t="str">
        <f>IF(AND('领用录入（明细）'!D:D=$F$4,'领用录入（明细）'!C:C&gt;=$J$4,'领用录入（明细）'!C:C&lt;=$L$4),ROW(),"-")</f>
        <v>-</v>
      </c>
    </row>
    <row r="12200" customHeight="1" spans="2:2">
      <c r="B12200" s="62" t="str">
        <f>IF(AND('领用录入（明细）'!D:D=$F$4,'领用录入（明细）'!C:C&gt;=$J$4,'领用录入（明细）'!C:C&lt;=$L$4),ROW(),"-")</f>
        <v>-</v>
      </c>
    </row>
    <row r="12201" customHeight="1" spans="2:2">
      <c r="B12201" s="62" t="str">
        <f>IF(AND('领用录入（明细）'!D:D=$F$4,'领用录入（明细）'!C:C&gt;=$J$4,'领用录入（明细）'!C:C&lt;=$L$4),ROW(),"-")</f>
        <v>-</v>
      </c>
    </row>
    <row r="12202" customHeight="1" spans="2:2">
      <c r="B12202" s="62" t="str">
        <f>IF(AND('领用录入（明细）'!D:D=$F$4,'领用录入（明细）'!C:C&gt;=$J$4,'领用录入（明细）'!C:C&lt;=$L$4),ROW(),"-")</f>
        <v>-</v>
      </c>
    </row>
    <row r="12203" customHeight="1" spans="2:2">
      <c r="B12203" s="62" t="str">
        <f>IF(AND('领用录入（明细）'!D:D=$F$4,'领用录入（明细）'!C:C&gt;=$J$4,'领用录入（明细）'!C:C&lt;=$L$4),ROW(),"-")</f>
        <v>-</v>
      </c>
    </row>
    <row r="12204" customHeight="1" spans="2:2">
      <c r="B12204" s="62" t="str">
        <f>IF(AND('领用录入（明细）'!D:D=$F$4,'领用录入（明细）'!C:C&gt;=$J$4,'领用录入（明细）'!C:C&lt;=$L$4),ROW(),"-")</f>
        <v>-</v>
      </c>
    </row>
    <row r="12205" customHeight="1" spans="2:2">
      <c r="B12205" s="62" t="str">
        <f>IF(AND('领用录入（明细）'!D:D=$F$4,'领用录入（明细）'!C:C&gt;=$J$4,'领用录入（明细）'!C:C&lt;=$L$4),ROW(),"-")</f>
        <v>-</v>
      </c>
    </row>
    <row r="12206" customHeight="1" spans="2:2">
      <c r="B12206" s="62" t="str">
        <f>IF(AND('领用录入（明细）'!D:D=$F$4,'领用录入（明细）'!C:C&gt;=$J$4,'领用录入（明细）'!C:C&lt;=$L$4),ROW(),"-")</f>
        <v>-</v>
      </c>
    </row>
    <row r="12207" customHeight="1" spans="2:2">
      <c r="B12207" s="62" t="str">
        <f>IF(AND('领用录入（明细）'!D:D=$F$4,'领用录入（明细）'!C:C&gt;=$J$4,'领用录入（明细）'!C:C&lt;=$L$4),ROW(),"-")</f>
        <v>-</v>
      </c>
    </row>
    <row r="12208" customHeight="1" spans="2:2">
      <c r="B12208" s="62" t="str">
        <f>IF(AND('领用录入（明细）'!D:D=$F$4,'领用录入（明细）'!C:C&gt;=$J$4,'领用录入（明细）'!C:C&lt;=$L$4),ROW(),"-")</f>
        <v>-</v>
      </c>
    </row>
    <row r="12209" customHeight="1" spans="2:2">
      <c r="B12209" s="62" t="str">
        <f>IF(AND('领用录入（明细）'!D:D=$F$4,'领用录入（明细）'!C:C&gt;=$J$4,'领用录入（明细）'!C:C&lt;=$L$4),ROW(),"-")</f>
        <v>-</v>
      </c>
    </row>
    <row r="12210" customHeight="1" spans="2:2">
      <c r="B12210" s="62" t="str">
        <f>IF(AND('领用录入（明细）'!D:D=$F$4,'领用录入（明细）'!C:C&gt;=$J$4,'领用录入（明细）'!C:C&lt;=$L$4),ROW(),"-")</f>
        <v>-</v>
      </c>
    </row>
    <row r="12211" customHeight="1" spans="2:2">
      <c r="B12211" s="62" t="str">
        <f>IF(AND('领用录入（明细）'!D:D=$F$4,'领用录入（明细）'!C:C&gt;=$J$4,'领用录入（明细）'!C:C&lt;=$L$4),ROW(),"-")</f>
        <v>-</v>
      </c>
    </row>
    <row r="12212" customHeight="1" spans="2:2">
      <c r="B12212" s="62" t="str">
        <f>IF(AND('领用录入（明细）'!D:D=$F$4,'领用录入（明细）'!C:C&gt;=$J$4,'领用录入（明细）'!C:C&lt;=$L$4),ROW(),"-")</f>
        <v>-</v>
      </c>
    </row>
    <row r="12213" customHeight="1" spans="2:2">
      <c r="B12213" s="62" t="str">
        <f>IF(AND('领用录入（明细）'!D:D=$F$4,'领用录入（明细）'!C:C&gt;=$J$4,'领用录入（明细）'!C:C&lt;=$L$4),ROW(),"-")</f>
        <v>-</v>
      </c>
    </row>
    <row r="12214" customHeight="1" spans="2:2">
      <c r="B12214" s="62" t="str">
        <f>IF(AND('领用录入（明细）'!D:D=$F$4,'领用录入（明细）'!C:C&gt;=$J$4,'领用录入（明细）'!C:C&lt;=$L$4),ROW(),"-")</f>
        <v>-</v>
      </c>
    </row>
    <row r="12215" customHeight="1" spans="2:2">
      <c r="B12215" s="62" t="str">
        <f>IF(AND('领用录入（明细）'!D:D=$F$4,'领用录入（明细）'!C:C&gt;=$J$4,'领用录入（明细）'!C:C&lt;=$L$4),ROW(),"-")</f>
        <v>-</v>
      </c>
    </row>
    <row r="12216" customHeight="1" spans="2:2">
      <c r="B12216" s="62" t="str">
        <f>IF(AND('领用录入（明细）'!D:D=$F$4,'领用录入（明细）'!C:C&gt;=$J$4,'领用录入（明细）'!C:C&lt;=$L$4),ROW(),"-")</f>
        <v>-</v>
      </c>
    </row>
    <row r="12217" customHeight="1" spans="2:2">
      <c r="B12217" s="62" t="str">
        <f>IF(AND('领用录入（明细）'!D:D=$F$4,'领用录入（明细）'!C:C&gt;=$J$4,'领用录入（明细）'!C:C&lt;=$L$4),ROW(),"-")</f>
        <v>-</v>
      </c>
    </row>
    <row r="12218" customHeight="1" spans="2:2">
      <c r="B12218" s="62" t="str">
        <f>IF(AND('领用录入（明细）'!D:D=$F$4,'领用录入（明细）'!C:C&gt;=$J$4,'领用录入（明细）'!C:C&lt;=$L$4),ROW(),"-")</f>
        <v>-</v>
      </c>
    </row>
    <row r="12219" customHeight="1" spans="2:2">
      <c r="B12219" s="62" t="str">
        <f>IF(AND('领用录入（明细）'!D:D=$F$4,'领用录入（明细）'!C:C&gt;=$J$4,'领用录入（明细）'!C:C&lt;=$L$4),ROW(),"-")</f>
        <v>-</v>
      </c>
    </row>
    <row r="12220" customHeight="1" spans="2:2">
      <c r="B12220" s="62" t="str">
        <f>IF(AND('领用录入（明细）'!D:D=$F$4,'领用录入（明细）'!C:C&gt;=$J$4,'领用录入（明细）'!C:C&lt;=$L$4),ROW(),"-")</f>
        <v>-</v>
      </c>
    </row>
    <row r="12221" customHeight="1" spans="2:2">
      <c r="B12221" s="62" t="str">
        <f>IF(AND('领用录入（明细）'!D:D=$F$4,'领用录入（明细）'!C:C&gt;=$J$4,'领用录入（明细）'!C:C&lt;=$L$4),ROW(),"-")</f>
        <v>-</v>
      </c>
    </row>
    <row r="12222" customHeight="1" spans="2:2">
      <c r="B12222" s="62" t="str">
        <f>IF(AND('领用录入（明细）'!D:D=$F$4,'领用录入（明细）'!C:C&gt;=$J$4,'领用录入（明细）'!C:C&lt;=$L$4),ROW(),"-")</f>
        <v>-</v>
      </c>
    </row>
    <row r="12223" customHeight="1" spans="2:2">
      <c r="B12223" s="62" t="str">
        <f>IF(AND('领用录入（明细）'!D:D=$F$4,'领用录入（明细）'!C:C&gt;=$J$4,'领用录入（明细）'!C:C&lt;=$L$4),ROW(),"-")</f>
        <v>-</v>
      </c>
    </row>
    <row r="12224" customHeight="1" spans="2:2">
      <c r="B12224" s="62" t="str">
        <f>IF(AND('领用录入（明细）'!D:D=$F$4,'领用录入（明细）'!C:C&gt;=$J$4,'领用录入（明细）'!C:C&lt;=$L$4),ROW(),"-")</f>
        <v>-</v>
      </c>
    </row>
    <row r="12225" customHeight="1" spans="2:2">
      <c r="B12225" s="62" t="str">
        <f>IF(AND('领用录入（明细）'!D:D=$F$4,'领用录入（明细）'!C:C&gt;=$J$4,'领用录入（明细）'!C:C&lt;=$L$4),ROW(),"-")</f>
        <v>-</v>
      </c>
    </row>
    <row r="12226" customHeight="1" spans="2:2">
      <c r="B12226" s="62" t="str">
        <f>IF(AND('领用录入（明细）'!D:D=$F$4,'领用录入（明细）'!C:C&gt;=$J$4,'领用录入（明细）'!C:C&lt;=$L$4),ROW(),"-")</f>
        <v>-</v>
      </c>
    </row>
    <row r="12227" customHeight="1" spans="2:2">
      <c r="B12227" s="62" t="str">
        <f>IF(AND('领用录入（明细）'!D:D=$F$4,'领用录入（明细）'!C:C&gt;=$J$4,'领用录入（明细）'!C:C&lt;=$L$4),ROW(),"-")</f>
        <v>-</v>
      </c>
    </row>
    <row r="12228" customHeight="1" spans="2:2">
      <c r="B12228" s="62" t="str">
        <f>IF(AND('领用录入（明细）'!D:D=$F$4,'领用录入（明细）'!C:C&gt;=$J$4,'领用录入（明细）'!C:C&lt;=$L$4),ROW(),"-")</f>
        <v>-</v>
      </c>
    </row>
    <row r="12229" customHeight="1" spans="2:2">
      <c r="B12229" s="62" t="str">
        <f>IF(AND('领用录入（明细）'!D:D=$F$4,'领用录入（明细）'!C:C&gt;=$J$4,'领用录入（明细）'!C:C&lt;=$L$4),ROW(),"-")</f>
        <v>-</v>
      </c>
    </row>
    <row r="12230" customHeight="1" spans="2:2">
      <c r="B12230" s="62" t="str">
        <f>IF(AND('领用录入（明细）'!D:D=$F$4,'领用录入（明细）'!C:C&gt;=$J$4,'领用录入（明细）'!C:C&lt;=$L$4),ROW(),"-")</f>
        <v>-</v>
      </c>
    </row>
    <row r="12231" customHeight="1" spans="2:2">
      <c r="B12231" s="62" t="str">
        <f>IF(AND('领用录入（明细）'!D:D=$F$4,'领用录入（明细）'!C:C&gt;=$J$4,'领用录入（明细）'!C:C&lt;=$L$4),ROW(),"-")</f>
        <v>-</v>
      </c>
    </row>
    <row r="12232" customHeight="1" spans="2:2">
      <c r="B12232" s="62" t="str">
        <f>IF(AND('领用录入（明细）'!D:D=$F$4,'领用录入（明细）'!C:C&gt;=$J$4,'领用录入（明细）'!C:C&lt;=$L$4),ROW(),"-")</f>
        <v>-</v>
      </c>
    </row>
    <row r="12233" customHeight="1" spans="2:2">
      <c r="B12233" s="62" t="str">
        <f>IF(AND('领用录入（明细）'!D:D=$F$4,'领用录入（明细）'!C:C&gt;=$J$4,'领用录入（明细）'!C:C&lt;=$L$4),ROW(),"-")</f>
        <v>-</v>
      </c>
    </row>
    <row r="12234" customHeight="1" spans="2:2">
      <c r="B12234" s="62" t="str">
        <f>IF(AND('领用录入（明细）'!D:D=$F$4,'领用录入（明细）'!C:C&gt;=$J$4,'领用录入（明细）'!C:C&lt;=$L$4),ROW(),"-")</f>
        <v>-</v>
      </c>
    </row>
    <row r="12235" customHeight="1" spans="2:2">
      <c r="B12235" s="62" t="str">
        <f>IF(AND('领用录入（明细）'!D:D=$F$4,'领用录入（明细）'!C:C&gt;=$J$4,'领用录入（明细）'!C:C&lt;=$L$4),ROW(),"-")</f>
        <v>-</v>
      </c>
    </row>
    <row r="12236" customHeight="1" spans="2:2">
      <c r="B12236" s="62" t="str">
        <f>IF(AND('领用录入（明细）'!D:D=$F$4,'领用录入（明细）'!C:C&gt;=$J$4,'领用录入（明细）'!C:C&lt;=$L$4),ROW(),"-")</f>
        <v>-</v>
      </c>
    </row>
    <row r="12237" customHeight="1" spans="2:2">
      <c r="B12237" s="62" t="str">
        <f>IF(AND('领用录入（明细）'!D:D=$F$4,'领用录入（明细）'!C:C&gt;=$J$4,'领用录入（明细）'!C:C&lt;=$L$4),ROW(),"-")</f>
        <v>-</v>
      </c>
    </row>
    <row r="12238" customHeight="1" spans="2:2">
      <c r="B12238" s="62" t="str">
        <f>IF(AND('领用录入（明细）'!D:D=$F$4,'领用录入（明细）'!C:C&gt;=$J$4,'领用录入（明细）'!C:C&lt;=$L$4),ROW(),"-")</f>
        <v>-</v>
      </c>
    </row>
    <row r="12239" customHeight="1" spans="2:2">
      <c r="B12239" s="62" t="str">
        <f>IF(AND('领用录入（明细）'!D:D=$F$4,'领用录入（明细）'!C:C&gt;=$J$4,'领用录入（明细）'!C:C&lt;=$L$4),ROW(),"-")</f>
        <v>-</v>
      </c>
    </row>
    <row r="12240" customHeight="1" spans="2:2">
      <c r="B12240" s="62" t="str">
        <f>IF(AND('领用录入（明细）'!D:D=$F$4,'领用录入（明细）'!C:C&gt;=$J$4,'领用录入（明细）'!C:C&lt;=$L$4),ROW(),"-")</f>
        <v>-</v>
      </c>
    </row>
    <row r="12241" customHeight="1" spans="2:2">
      <c r="B12241" s="62" t="str">
        <f>IF(AND('领用录入（明细）'!D:D=$F$4,'领用录入（明细）'!C:C&gt;=$J$4,'领用录入（明细）'!C:C&lt;=$L$4),ROW(),"-")</f>
        <v>-</v>
      </c>
    </row>
    <row r="12242" customHeight="1" spans="2:2">
      <c r="B12242" s="62" t="str">
        <f>IF(AND('领用录入（明细）'!D:D=$F$4,'领用录入（明细）'!C:C&gt;=$J$4,'领用录入（明细）'!C:C&lt;=$L$4),ROW(),"-")</f>
        <v>-</v>
      </c>
    </row>
    <row r="12243" customHeight="1" spans="2:2">
      <c r="B12243" s="62" t="str">
        <f>IF(AND('领用录入（明细）'!D:D=$F$4,'领用录入（明细）'!C:C&gt;=$J$4,'领用录入（明细）'!C:C&lt;=$L$4),ROW(),"-")</f>
        <v>-</v>
      </c>
    </row>
    <row r="12244" customHeight="1" spans="2:2">
      <c r="B12244" s="62" t="str">
        <f>IF(AND('领用录入（明细）'!D:D=$F$4,'领用录入（明细）'!C:C&gt;=$J$4,'领用录入（明细）'!C:C&lt;=$L$4),ROW(),"-")</f>
        <v>-</v>
      </c>
    </row>
    <row r="12245" customHeight="1" spans="2:2">
      <c r="B12245" s="62" t="str">
        <f>IF(AND('领用录入（明细）'!D:D=$F$4,'领用录入（明细）'!C:C&gt;=$J$4,'领用录入（明细）'!C:C&lt;=$L$4),ROW(),"-")</f>
        <v>-</v>
      </c>
    </row>
    <row r="12246" customHeight="1" spans="2:2">
      <c r="B12246" s="62" t="str">
        <f>IF(AND('领用录入（明细）'!D:D=$F$4,'领用录入（明细）'!C:C&gt;=$J$4,'领用录入（明细）'!C:C&lt;=$L$4),ROW(),"-")</f>
        <v>-</v>
      </c>
    </row>
    <row r="12247" customHeight="1" spans="2:2">
      <c r="B12247" s="62" t="str">
        <f>IF(AND('领用录入（明细）'!D:D=$F$4,'领用录入（明细）'!C:C&gt;=$J$4,'领用录入（明细）'!C:C&lt;=$L$4),ROW(),"-")</f>
        <v>-</v>
      </c>
    </row>
    <row r="12248" customHeight="1" spans="2:2">
      <c r="B12248" s="62" t="str">
        <f>IF(AND('领用录入（明细）'!D:D=$F$4,'领用录入（明细）'!C:C&gt;=$J$4,'领用录入（明细）'!C:C&lt;=$L$4),ROW(),"-")</f>
        <v>-</v>
      </c>
    </row>
    <row r="12249" customHeight="1" spans="2:2">
      <c r="B12249" s="62" t="str">
        <f>IF(AND('领用录入（明细）'!D:D=$F$4,'领用录入（明细）'!C:C&gt;=$J$4,'领用录入（明细）'!C:C&lt;=$L$4),ROW(),"-")</f>
        <v>-</v>
      </c>
    </row>
    <row r="12250" customHeight="1" spans="2:2">
      <c r="B12250" s="62" t="str">
        <f>IF(AND('领用录入（明细）'!D:D=$F$4,'领用录入（明细）'!C:C&gt;=$J$4,'领用录入（明细）'!C:C&lt;=$L$4),ROW(),"-")</f>
        <v>-</v>
      </c>
    </row>
    <row r="12251" customHeight="1" spans="2:2">
      <c r="B12251" s="62" t="str">
        <f>IF(AND('领用录入（明细）'!D:D=$F$4,'领用录入（明细）'!C:C&gt;=$J$4,'领用录入（明细）'!C:C&lt;=$L$4),ROW(),"-")</f>
        <v>-</v>
      </c>
    </row>
    <row r="12252" customHeight="1" spans="2:2">
      <c r="B12252" s="62" t="str">
        <f>IF(AND('领用录入（明细）'!D:D=$F$4,'领用录入（明细）'!C:C&gt;=$J$4,'领用录入（明细）'!C:C&lt;=$L$4),ROW(),"-")</f>
        <v>-</v>
      </c>
    </row>
    <row r="12253" customHeight="1" spans="2:2">
      <c r="B12253" s="62" t="str">
        <f>IF(AND('领用录入（明细）'!D:D=$F$4,'领用录入（明细）'!C:C&gt;=$J$4,'领用录入（明细）'!C:C&lt;=$L$4),ROW(),"-")</f>
        <v>-</v>
      </c>
    </row>
    <row r="12254" customHeight="1" spans="2:2">
      <c r="B12254" s="62" t="str">
        <f>IF(AND('领用录入（明细）'!D:D=$F$4,'领用录入（明细）'!C:C&gt;=$J$4,'领用录入（明细）'!C:C&lt;=$L$4),ROW(),"-")</f>
        <v>-</v>
      </c>
    </row>
    <row r="12255" customHeight="1" spans="2:2">
      <c r="B12255" s="62" t="str">
        <f>IF(AND('领用录入（明细）'!D:D=$F$4,'领用录入（明细）'!C:C&gt;=$J$4,'领用录入（明细）'!C:C&lt;=$L$4),ROW(),"-")</f>
        <v>-</v>
      </c>
    </row>
    <row r="12256" customHeight="1" spans="2:2">
      <c r="B12256" s="62" t="str">
        <f>IF(AND('领用录入（明细）'!D:D=$F$4,'领用录入（明细）'!C:C&gt;=$J$4,'领用录入（明细）'!C:C&lt;=$L$4),ROW(),"-")</f>
        <v>-</v>
      </c>
    </row>
    <row r="12257" customHeight="1" spans="2:2">
      <c r="B12257" s="62" t="str">
        <f>IF(AND('领用录入（明细）'!D:D=$F$4,'领用录入（明细）'!C:C&gt;=$J$4,'领用录入（明细）'!C:C&lt;=$L$4),ROW(),"-")</f>
        <v>-</v>
      </c>
    </row>
    <row r="12258" customHeight="1" spans="2:2">
      <c r="B12258" s="62" t="str">
        <f>IF(AND('领用录入（明细）'!D:D=$F$4,'领用录入（明细）'!C:C&gt;=$J$4,'领用录入（明细）'!C:C&lt;=$L$4),ROW(),"-")</f>
        <v>-</v>
      </c>
    </row>
    <row r="12259" customHeight="1" spans="2:2">
      <c r="B12259" s="62" t="str">
        <f>IF(AND('领用录入（明细）'!D:D=$F$4,'领用录入（明细）'!C:C&gt;=$J$4,'领用录入（明细）'!C:C&lt;=$L$4),ROW(),"-")</f>
        <v>-</v>
      </c>
    </row>
    <row r="12260" customHeight="1" spans="2:2">
      <c r="B12260" s="62" t="str">
        <f>IF(AND('领用录入（明细）'!D:D=$F$4,'领用录入（明细）'!C:C&gt;=$J$4,'领用录入（明细）'!C:C&lt;=$L$4),ROW(),"-")</f>
        <v>-</v>
      </c>
    </row>
    <row r="12261" customHeight="1" spans="2:2">
      <c r="B12261" s="62" t="str">
        <f>IF(AND('领用录入（明细）'!D:D=$F$4,'领用录入（明细）'!C:C&gt;=$J$4,'领用录入（明细）'!C:C&lt;=$L$4),ROW(),"-")</f>
        <v>-</v>
      </c>
    </row>
    <row r="12262" customHeight="1" spans="2:2">
      <c r="B12262" s="62" t="str">
        <f>IF(AND('领用录入（明细）'!D:D=$F$4,'领用录入（明细）'!C:C&gt;=$J$4,'领用录入（明细）'!C:C&lt;=$L$4),ROW(),"-")</f>
        <v>-</v>
      </c>
    </row>
    <row r="12263" customHeight="1" spans="2:2">
      <c r="B12263" s="62" t="str">
        <f>IF(AND('领用录入（明细）'!D:D=$F$4,'领用录入（明细）'!C:C&gt;=$J$4,'领用录入（明细）'!C:C&lt;=$L$4),ROW(),"-")</f>
        <v>-</v>
      </c>
    </row>
    <row r="12264" customHeight="1" spans="2:2">
      <c r="B12264" s="62" t="str">
        <f>IF(AND('领用录入（明细）'!D:D=$F$4,'领用录入（明细）'!C:C&gt;=$J$4,'领用录入（明细）'!C:C&lt;=$L$4),ROW(),"-")</f>
        <v>-</v>
      </c>
    </row>
    <row r="12265" customHeight="1" spans="2:2">
      <c r="B12265" s="62" t="str">
        <f>IF(AND('领用录入（明细）'!D:D=$F$4,'领用录入（明细）'!C:C&gt;=$J$4,'领用录入（明细）'!C:C&lt;=$L$4),ROW(),"-")</f>
        <v>-</v>
      </c>
    </row>
    <row r="12266" customHeight="1" spans="2:2">
      <c r="B12266" s="62" t="str">
        <f>IF(AND('领用录入（明细）'!D:D=$F$4,'领用录入（明细）'!C:C&gt;=$J$4,'领用录入（明细）'!C:C&lt;=$L$4),ROW(),"-")</f>
        <v>-</v>
      </c>
    </row>
    <row r="12267" customHeight="1" spans="2:2">
      <c r="B12267" s="62" t="str">
        <f>IF(AND('领用录入（明细）'!D:D=$F$4,'领用录入（明细）'!C:C&gt;=$J$4,'领用录入（明细）'!C:C&lt;=$L$4),ROW(),"-")</f>
        <v>-</v>
      </c>
    </row>
    <row r="12268" customHeight="1" spans="2:2">
      <c r="B12268" s="62" t="str">
        <f>IF(AND('领用录入（明细）'!D:D=$F$4,'领用录入（明细）'!C:C&gt;=$J$4,'领用录入（明细）'!C:C&lt;=$L$4),ROW(),"-")</f>
        <v>-</v>
      </c>
    </row>
    <row r="12269" customHeight="1" spans="2:2">
      <c r="B12269" s="62" t="str">
        <f>IF(AND('领用录入（明细）'!D:D=$F$4,'领用录入（明细）'!C:C&gt;=$J$4,'领用录入（明细）'!C:C&lt;=$L$4),ROW(),"-")</f>
        <v>-</v>
      </c>
    </row>
    <row r="12270" customHeight="1" spans="2:2">
      <c r="B12270" s="62" t="str">
        <f>IF(AND('领用录入（明细）'!D:D=$F$4,'领用录入（明细）'!C:C&gt;=$J$4,'领用录入（明细）'!C:C&lt;=$L$4),ROW(),"-")</f>
        <v>-</v>
      </c>
    </row>
    <row r="12271" customHeight="1" spans="2:2">
      <c r="B12271" s="62" t="str">
        <f>IF(AND('领用录入（明细）'!D:D=$F$4,'领用录入（明细）'!C:C&gt;=$J$4,'领用录入（明细）'!C:C&lt;=$L$4),ROW(),"-")</f>
        <v>-</v>
      </c>
    </row>
    <row r="12272" customHeight="1" spans="2:2">
      <c r="B12272" s="62" t="str">
        <f>IF(AND('领用录入（明细）'!D:D=$F$4,'领用录入（明细）'!C:C&gt;=$J$4,'领用录入（明细）'!C:C&lt;=$L$4),ROW(),"-")</f>
        <v>-</v>
      </c>
    </row>
    <row r="12273" customHeight="1" spans="2:2">
      <c r="B12273" s="62" t="str">
        <f>IF(AND('领用录入（明细）'!D:D=$F$4,'领用录入（明细）'!C:C&gt;=$J$4,'领用录入（明细）'!C:C&lt;=$L$4),ROW(),"-")</f>
        <v>-</v>
      </c>
    </row>
    <row r="12274" customHeight="1" spans="2:2">
      <c r="B12274" s="62" t="str">
        <f>IF(AND('领用录入（明细）'!D:D=$F$4,'领用录入（明细）'!C:C&gt;=$J$4,'领用录入（明细）'!C:C&lt;=$L$4),ROW(),"-")</f>
        <v>-</v>
      </c>
    </row>
    <row r="12275" customHeight="1" spans="2:2">
      <c r="B12275" s="62" t="str">
        <f>IF(AND('领用录入（明细）'!D:D=$F$4,'领用录入（明细）'!C:C&gt;=$J$4,'领用录入（明细）'!C:C&lt;=$L$4),ROW(),"-")</f>
        <v>-</v>
      </c>
    </row>
    <row r="12276" customHeight="1" spans="2:2">
      <c r="B12276" s="62" t="str">
        <f>IF(AND('领用录入（明细）'!D:D=$F$4,'领用录入（明细）'!C:C&gt;=$J$4,'领用录入（明细）'!C:C&lt;=$L$4),ROW(),"-")</f>
        <v>-</v>
      </c>
    </row>
    <row r="12277" customHeight="1" spans="2:2">
      <c r="B12277" s="62" t="str">
        <f>IF(AND('领用录入（明细）'!D:D=$F$4,'领用录入（明细）'!C:C&gt;=$J$4,'领用录入（明细）'!C:C&lt;=$L$4),ROW(),"-")</f>
        <v>-</v>
      </c>
    </row>
    <row r="12278" customHeight="1" spans="2:2">
      <c r="B12278" s="62" t="str">
        <f>IF(AND('领用录入（明细）'!D:D=$F$4,'领用录入（明细）'!C:C&gt;=$J$4,'领用录入（明细）'!C:C&lt;=$L$4),ROW(),"-")</f>
        <v>-</v>
      </c>
    </row>
    <row r="12279" customHeight="1" spans="2:2">
      <c r="B12279" s="62" t="str">
        <f>IF(AND('领用录入（明细）'!D:D=$F$4,'领用录入（明细）'!C:C&gt;=$J$4,'领用录入（明细）'!C:C&lt;=$L$4),ROW(),"-")</f>
        <v>-</v>
      </c>
    </row>
    <row r="12280" customHeight="1" spans="2:2">
      <c r="B12280" s="62" t="str">
        <f>IF(AND('领用录入（明细）'!D:D=$F$4,'领用录入（明细）'!C:C&gt;=$J$4,'领用录入（明细）'!C:C&lt;=$L$4),ROW(),"-")</f>
        <v>-</v>
      </c>
    </row>
    <row r="12281" customHeight="1" spans="2:2">
      <c r="B12281" s="62" t="str">
        <f>IF(AND('领用录入（明细）'!D:D=$F$4,'领用录入（明细）'!C:C&gt;=$J$4,'领用录入（明细）'!C:C&lt;=$L$4),ROW(),"-")</f>
        <v>-</v>
      </c>
    </row>
    <row r="12282" customHeight="1" spans="2:2">
      <c r="B12282" s="62" t="str">
        <f>IF(AND('领用录入（明细）'!D:D=$F$4,'领用录入（明细）'!C:C&gt;=$J$4,'领用录入（明细）'!C:C&lt;=$L$4),ROW(),"-")</f>
        <v>-</v>
      </c>
    </row>
    <row r="12283" customHeight="1" spans="2:2">
      <c r="B12283" s="62" t="str">
        <f>IF(AND('领用录入（明细）'!D:D=$F$4,'领用录入（明细）'!C:C&gt;=$J$4,'领用录入（明细）'!C:C&lt;=$L$4),ROW(),"-")</f>
        <v>-</v>
      </c>
    </row>
    <row r="12284" customHeight="1" spans="2:2">
      <c r="B12284" s="62" t="str">
        <f>IF(AND('领用录入（明细）'!D:D=$F$4,'领用录入（明细）'!C:C&gt;=$J$4,'领用录入（明细）'!C:C&lt;=$L$4),ROW(),"-")</f>
        <v>-</v>
      </c>
    </row>
    <row r="12285" customHeight="1" spans="2:2">
      <c r="B12285" s="62" t="str">
        <f>IF(AND('领用录入（明细）'!D:D=$F$4,'领用录入（明细）'!C:C&gt;=$J$4,'领用录入（明细）'!C:C&lt;=$L$4),ROW(),"-")</f>
        <v>-</v>
      </c>
    </row>
    <row r="12286" customHeight="1" spans="2:2">
      <c r="B12286" s="62" t="str">
        <f>IF(AND('领用录入（明细）'!D:D=$F$4,'领用录入（明细）'!C:C&gt;=$J$4,'领用录入（明细）'!C:C&lt;=$L$4),ROW(),"-")</f>
        <v>-</v>
      </c>
    </row>
    <row r="12287" customHeight="1" spans="2:2">
      <c r="B12287" s="62" t="str">
        <f>IF(AND('领用录入（明细）'!D:D=$F$4,'领用录入（明细）'!C:C&gt;=$J$4,'领用录入（明细）'!C:C&lt;=$L$4),ROW(),"-")</f>
        <v>-</v>
      </c>
    </row>
    <row r="12288" customHeight="1" spans="2:2">
      <c r="B12288" s="62" t="str">
        <f>IF(AND('领用录入（明细）'!D:D=$F$4,'领用录入（明细）'!C:C&gt;=$J$4,'领用录入（明细）'!C:C&lt;=$L$4),ROW(),"-")</f>
        <v>-</v>
      </c>
    </row>
    <row r="12289" customHeight="1" spans="2:2">
      <c r="B12289" s="62" t="str">
        <f>IF(AND('领用录入（明细）'!D:D=$F$4,'领用录入（明细）'!C:C&gt;=$J$4,'领用录入（明细）'!C:C&lt;=$L$4),ROW(),"-")</f>
        <v>-</v>
      </c>
    </row>
    <row r="12290" customHeight="1" spans="2:2">
      <c r="B12290" s="62" t="str">
        <f>IF(AND('领用录入（明细）'!D:D=$F$4,'领用录入（明细）'!C:C&gt;=$J$4,'领用录入（明细）'!C:C&lt;=$L$4),ROW(),"-")</f>
        <v>-</v>
      </c>
    </row>
    <row r="12291" customHeight="1" spans="2:2">
      <c r="B12291" s="62" t="str">
        <f>IF(AND('领用录入（明细）'!D:D=$F$4,'领用录入（明细）'!C:C&gt;=$J$4,'领用录入（明细）'!C:C&lt;=$L$4),ROW(),"-")</f>
        <v>-</v>
      </c>
    </row>
    <row r="12292" customHeight="1" spans="2:2">
      <c r="B12292" s="62" t="str">
        <f>IF(AND('领用录入（明细）'!D:D=$F$4,'领用录入（明细）'!C:C&gt;=$J$4,'领用录入（明细）'!C:C&lt;=$L$4),ROW(),"-")</f>
        <v>-</v>
      </c>
    </row>
    <row r="12293" customHeight="1" spans="2:2">
      <c r="B12293" s="62" t="str">
        <f>IF(AND('领用录入（明细）'!D:D=$F$4,'领用录入（明细）'!C:C&gt;=$J$4,'领用录入（明细）'!C:C&lt;=$L$4),ROW(),"-")</f>
        <v>-</v>
      </c>
    </row>
    <row r="12294" customHeight="1" spans="2:2">
      <c r="B12294" s="62" t="str">
        <f>IF(AND('领用录入（明细）'!D:D=$F$4,'领用录入（明细）'!C:C&gt;=$J$4,'领用录入（明细）'!C:C&lt;=$L$4),ROW(),"-")</f>
        <v>-</v>
      </c>
    </row>
    <row r="12295" customHeight="1" spans="2:2">
      <c r="B12295" s="62" t="str">
        <f>IF(AND('领用录入（明细）'!D:D=$F$4,'领用录入（明细）'!C:C&gt;=$J$4,'领用录入（明细）'!C:C&lt;=$L$4),ROW(),"-")</f>
        <v>-</v>
      </c>
    </row>
    <row r="12296" customHeight="1" spans="2:2">
      <c r="B12296" s="62" t="str">
        <f>IF(AND('领用录入（明细）'!D:D=$F$4,'领用录入（明细）'!C:C&gt;=$J$4,'领用录入（明细）'!C:C&lt;=$L$4),ROW(),"-")</f>
        <v>-</v>
      </c>
    </row>
    <row r="12297" customHeight="1" spans="2:2">
      <c r="B12297" s="62" t="str">
        <f>IF(AND('领用录入（明细）'!D:D=$F$4,'领用录入（明细）'!C:C&gt;=$J$4,'领用录入（明细）'!C:C&lt;=$L$4),ROW(),"-")</f>
        <v>-</v>
      </c>
    </row>
    <row r="12298" customHeight="1" spans="2:2">
      <c r="B12298" s="62" t="str">
        <f>IF(AND('领用录入（明细）'!D:D=$F$4,'领用录入（明细）'!C:C&gt;=$J$4,'领用录入（明细）'!C:C&lt;=$L$4),ROW(),"-")</f>
        <v>-</v>
      </c>
    </row>
    <row r="12299" customHeight="1" spans="2:2">
      <c r="B12299" s="62" t="str">
        <f>IF(AND('领用录入（明细）'!D:D=$F$4,'领用录入（明细）'!C:C&gt;=$J$4,'领用录入（明细）'!C:C&lt;=$L$4),ROW(),"-")</f>
        <v>-</v>
      </c>
    </row>
    <row r="12300" customHeight="1" spans="2:2">
      <c r="B12300" s="62" t="str">
        <f>IF(AND('领用录入（明细）'!D:D=$F$4,'领用录入（明细）'!C:C&gt;=$J$4,'领用录入（明细）'!C:C&lt;=$L$4),ROW(),"-")</f>
        <v>-</v>
      </c>
    </row>
    <row r="12301" customHeight="1" spans="2:2">
      <c r="B12301" s="62" t="str">
        <f>IF(AND('领用录入（明细）'!D:D=$F$4,'领用录入（明细）'!C:C&gt;=$J$4,'领用录入（明细）'!C:C&lt;=$L$4),ROW(),"-")</f>
        <v>-</v>
      </c>
    </row>
    <row r="12302" customHeight="1" spans="2:2">
      <c r="B12302" s="62" t="str">
        <f>IF(AND('领用录入（明细）'!D:D=$F$4,'领用录入（明细）'!C:C&gt;=$J$4,'领用录入（明细）'!C:C&lt;=$L$4),ROW(),"-")</f>
        <v>-</v>
      </c>
    </row>
    <row r="12303" customHeight="1" spans="2:2">
      <c r="B12303" s="62" t="str">
        <f>IF(AND('领用录入（明细）'!D:D=$F$4,'领用录入（明细）'!C:C&gt;=$J$4,'领用录入（明细）'!C:C&lt;=$L$4),ROW(),"-")</f>
        <v>-</v>
      </c>
    </row>
    <row r="12304" customHeight="1" spans="2:2">
      <c r="B12304" s="62" t="str">
        <f>IF(AND('领用录入（明细）'!D:D=$F$4,'领用录入（明细）'!C:C&gt;=$J$4,'领用录入（明细）'!C:C&lt;=$L$4),ROW(),"-")</f>
        <v>-</v>
      </c>
    </row>
    <row r="12305" customHeight="1" spans="2:2">
      <c r="B12305" s="62" t="str">
        <f>IF(AND('领用录入（明细）'!D:D=$F$4,'领用录入（明细）'!C:C&gt;=$J$4,'领用录入（明细）'!C:C&lt;=$L$4),ROW(),"-")</f>
        <v>-</v>
      </c>
    </row>
    <row r="12306" customHeight="1" spans="2:2">
      <c r="B12306" s="62" t="str">
        <f>IF(AND('领用录入（明细）'!D:D=$F$4,'领用录入（明细）'!C:C&gt;=$J$4,'领用录入（明细）'!C:C&lt;=$L$4),ROW(),"-")</f>
        <v>-</v>
      </c>
    </row>
    <row r="12307" customHeight="1" spans="2:2">
      <c r="B12307" s="62" t="str">
        <f>IF(AND('领用录入（明细）'!D:D=$F$4,'领用录入（明细）'!C:C&gt;=$J$4,'领用录入（明细）'!C:C&lt;=$L$4),ROW(),"-")</f>
        <v>-</v>
      </c>
    </row>
    <row r="12308" customHeight="1" spans="2:2">
      <c r="B12308" s="62" t="str">
        <f>IF(AND('领用录入（明细）'!D:D=$F$4,'领用录入（明细）'!C:C&gt;=$J$4,'领用录入（明细）'!C:C&lt;=$L$4),ROW(),"-")</f>
        <v>-</v>
      </c>
    </row>
    <row r="12309" customHeight="1" spans="2:2">
      <c r="B12309" s="62" t="str">
        <f>IF(AND('领用录入（明细）'!D:D=$F$4,'领用录入（明细）'!C:C&gt;=$J$4,'领用录入（明细）'!C:C&lt;=$L$4),ROW(),"-")</f>
        <v>-</v>
      </c>
    </row>
    <row r="12310" customHeight="1" spans="2:2">
      <c r="B12310" s="62" t="str">
        <f>IF(AND('领用录入（明细）'!D:D=$F$4,'领用录入（明细）'!C:C&gt;=$J$4,'领用录入（明细）'!C:C&lt;=$L$4),ROW(),"-")</f>
        <v>-</v>
      </c>
    </row>
    <row r="12311" customHeight="1" spans="2:2">
      <c r="B12311" s="62" t="str">
        <f>IF(AND('领用录入（明细）'!D:D=$F$4,'领用录入（明细）'!C:C&gt;=$J$4,'领用录入（明细）'!C:C&lt;=$L$4),ROW(),"-")</f>
        <v>-</v>
      </c>
    </row>
    <row r="12312" customHeight="1" spans="2:2">
      <c r="B12312" s="62" t="str">
        <f>IF(AND('领用录入（明细）'!D:D=$F$4,'领用录入（明细）'!C:C&gt;=$J$4,'领用录入（明细）'!C:C&lt;=$L$4),ROW(),"-")</f>
        <v>-</v>
      </c>
    </row>
    <row r="12313" customHeight="1" spans="2:2">
      <c r="B12313" s="62" t="str">
        <f>IF(AND('领用录入（明细）'!D:D=$F$4,'领用录入（明细）'!C:C&gt;=$J$4,'领用录入（明细）'!C:C&lt;=$L$4),ROW(),"-")</f>
        <v>-</v>
      </c>
    </row>
    <row r="12314" customHeight="1" spans="2:2">
      <c r="B12314" s="62" t="str">
        <f>IF(AND('领用录入（明细）'!D:D=$F$4,'领用录入（明细）'!C:C&gt;=$J$4,'领用录入（明细）'!C:C&lt;=$L$4),ROW(),"-")</f>
        <v>-</v>
      </c>
    </row>
    <row r="12315" customHeight="1" spans="2:2">
      <c r="B12315" s="62" t="str">
        <f>IF(AND('领用录入（明细）'!D:D=$F$4,'领用录入（明细）'!C:C&gt;=$J$4,'领用录入（明细）'!C:C&lt;=$L$4),ROW(),"-")</f>
        <v>-</v>
      </c>
    </row>
    <row r="12316" customHeight="1" spans="2:2">
      <c r="B12316" s="62" t="str">
        <f>IF(AND('领用录入（明细）'!D:D=$F$4,'领用录入（明细）'!C:C&gt;=$J$4,'领用录入（明细）'!C:C&lt;=$L$4),ROW(),"-")</f>
        <v>-</v>
      </c>
    </row>
    <row r="12317" customHeight="1" spans="2:2">
      <c r="B12317" s="62" t="str">
        <f>IF(AND('领用录入（明细）'!D:D=$F$4,'领用录入（明细）'!C:C&gt;=$J$4,'领用录入（明细）'!C:C&lt;=$L$4),ROW(),"-")</f>
        <v>-</v>
      </c>
    </row>
    <row r="12318" customHeight="1" spans="2:2">
      <c r="B12318" s="62" t="str">
        <f>IF(AND('领用录入（明细）'!D:D=$F$4,'领用录入（明细）'!C:C&gt;=$J$4,'领用录入（明细）'!C:C&lt;=$L$4),ROW(),"-")</f>
        <v>-</v>
      </c>
    </row>
    <row r="12319" customHeight="1" spans="2:2">
      <c r="B12319" s="62" t="str">
        <f>IF(AND('领用录入（明细）'!D:D=$F$4,'领用录入（明细）'!C:C&gt;=$J$4,'领用录入（明细）'!C:C&lt;=$L$4),ROW(),"-")</f>
        <v>-</v>
      </c>
    </row>
    <row r="12320" customHeight="1" spans="2:2">
      <c r="B12320" s="62" t="str">
        <f>IF(AND('领用录入（明细）'!D:D=$F$4,'领用录入（明细）'!C:C&gt;=$J$4,'领用录入（明细）'!C:C&lt;=$L$4),ROW(),"-")</f>
        <v>-</v>
      </c>
    </row>
    <row r="12321" customHeight="1" spans="2:2">
      <c r="B12321" s="62" t="str">
        <f>IF(AND('领用录入（明细）'!D:D=$F$4,'领用录入（明细）'!C:C&gt;=$J$4,'领用录入（明细）'!C:C&lt;=$L$4),ROW(),"-")</f>
        <v>-</v>
      </c>
    </row>
    <row r="12322" customHeight="1" spans="2:2">
      <c r="B12322" s="62" t="str">
        <f>IF(AND('领用录入（明细）'!D:D=$F$4,'领用录入（明细）'!C:C&gt;=$J$4,'领用录入（明细）'!C:C&lt;=$L$4),ROW(),"-")</f>
        <v>-</v>
      </c>
    </row>
    <row r="12323" customHeight="1" spans="2:2">
      <c r="B12323" s="62" t="str">
        <f>IF(AND('领用录入（明细）'!D:D=$F$4,'领用录入（明细）'!C:C&gt;=$J$4,'领用录入（明细）'!C:C&lt;=$L$4),ROW(),"-")</f>
        <v>-</v>
      </c>
    </row>
    <row r="12324" customHeight="1" spans="2:2">
      <c r="B12324" s="62" t="str">
        <f>IF(AND('领用录入（明细）'!D:D=$F$4,'领用录入（明细）'!C:C&gt;=$J$4,'领用录入（明细）'!C:C&lt;=$L$4),ROW(),"-")</f>
        <v>-</v>
      </c>
    </row>
    <row r="12325" customHeight="1" spans="2:2">
      <c r="B12325" s="62" t="str">
        <f>IF(AND('领用录入（明细）'!D:D=$F$4,'领用录入（明细）'!C:C&gt;=$J$4,'领用录入（明细）'!C:C&lt;=$L$4),ROW(),"-")</f>
        <v>-</v>
      </c>
    </row>
    <row r="12326" customHeight="1" spans="2:2">
      <c r="B12326" s="62" t="str">
        <f>IF(AND('领用录入（明细）'!D:D=$F$4,'领用录入（明细）'!C:C&gt;=$J$4,'领用录入（明细）'!C:C&lt;=$L$4),ROW(),"-")</f>
        <v>-</v>
      </c>
    </row>
    <row r="12327" customHeight="1" spans="2:2">
      <c r="B12327" s="62" t="str">
        <f>IF(AND('领用录入（明细）'!D:D=$F$4,'领用录入（明细）'!C:C&gt;=$J$4,'领用录入（明细）'!C:C&lt;=$L$4),ROW(),"-")</f>
        <v>-</v>
      </c>
    </row>
    <row r="12328" customHeight="1" spans="2:2">
      <c r="B12328" s="62" t="str">
        <f>IF(AND('领用录入（明细）'!D:D=$F$4,'领用录入（明细）'!C:C&gt;=$J$4,'领用录入（明细）'!C:C&lt;=$L$4),ROW(),"-")</f>
        <v>-</v>
      </c>
    </row>
    <row r="12329" customHeight="1" spans="2:2">
      <c r="B12329" s="62" t="str">
        <f>IF(AND('领用录入（明细）'!D:D=$F$4,'领用录入（明细）'!C:C&gt;=$J$4,'领用录入（明细）'!C:C&lt;=$L$4),ROW(),"-")</f>
        <v>-</v>
      </c>
    </row>
    <row r="12330" customHeight="1" spans="2:2">
      <c r="B12330" s="62" t="str">
        <f>IF(AND('领用录入（明细）'!D:D=$F$4,'领用录入（明细）'!C:C&gt;=$J$4,'领用录入（明细）'!C:C&lt;=$L$4),ROW(),"-")</f>
        <v>-</v>
      </c>
    </row>
    <row r="12331" customHeight="1" spans="2:2">
      <c r="B12331" s="62" t="str">
        <f>IF(AND('领用录入（明细）'!D:D=$F$4,'领用录入（明细）'!C:C&gt;=$J$4,'领用录入（明细）'!C:C&lt;=$L$4),ROW(),"-")</f>
        <v>-</v>
      </c>
    </row>
    <row r="12332" customHeight="1" spans="2:2">
      <c r="B12332" s="62" t="str">
        <f>IF(AND('领用录入（明细）'!D:D=$F$4,'领用录入（明细）'!C:C&gt;=$J$4,'领用录入（明细）'!C:C&lt;=$L$4),ROW(),"-")</f>
        <v>-</v>
      </c>
    </row>
    <row r="12333" customHeight="1" spans="2:2">
      <c r="B12333" s="62" t="str">
        <f>IF(AND('领用录入（明细）'!D:D=$F$4,'领用录入（明细）'!C:C&gt;=$J$4,'领用录入（明细）'!C:C&lt;=$L$4),ROW(),"-")</f>
        <v>-</v>
      </c>
    </row>
    <row r="12334" customHeight="1" spans="2:2">
      <c r="B12334" s="62" t="str">
        <f>IF(AND('领用录入（明细）'!D:D=$F$4,'领用录入（明细）'!C:C&gt;=$J$4,'领用录入（明细）'!C:C&lt;=$L$4),ROW(),"-")</f>
        <v>-</v>
      </c>
    </row>
    <row r="12335" customHeight="1" spans="2:2">
      <c r="B12335" s="62" t="str">
        <f>IF(AND('领用录入（明细）'!D:D=$F$4,'领用录入（明细）'!C:C&gt;=$J$4,'领用录入（明细）'!C:C&lt;=$L$4),ROW(),"-")</f>
        <v>-</v>
      </c>
    </row>
    <row r="12336" customHeight="1" spans="2:2">
      <c r="B12336" s="62" t="str">
        <f>IF(AND('领用录入（明细）'!D:D=$F$4,'领用录入（明细）'!C:C&gt;=$J$4,'领用录入（明细）'!C:C&lt;=$L$4),ROW(),"-")</f>
        <v>-</v>
      </c>
    </row>
    <row r="12337" customHeight="1" spans="2:2">
      <c r="B12337" s="62" t="str">
        <f>IF(AND('领用录入（明细）'!D:D=$F$4,'领用录入（明细）'!C:C&gt;=$J$4,'领用录入（明细）'!C:C&lt;=$L$4),ROW(),"-")</f>
        <v>-</v>
      </c>
    </row>
    <row r="12338" customHeight="1" spans="2:2">
      <c r="B12338" s="62" t="str">
        <f>IF(AND('领用录入（明细）'!D:D=$F$4,'领用录入（明细）'!C:C&gt;=$J$4,'领用录入（明细）'!C:C&lt;=$L$4),ROW(),"-")</f>
        <v>-</v>
      </c>
    </row>
    <row r="12339" customHeight="1" spans="2:2">
      <c r="B12339" s="62" t="str">
        <f>IF(AND('领用录入（明细）'!D:D=$F$4,'领用录入（明细）'!C:C&gt;=$J$4,'领用录入（明细）'!C:C&lt;=$L$4),ROW(),"-")</f>
        <v>-</v>
      </c>
    </row>
    <row r="12340" customHeight="1" spans="2:2">
      <c r="B12340" s="62" t="str">
        <f>IF(AND('领用录入（明细）'!D:D=$F$4,'领用录入（明细）'!C:C&gt;=$J$4,'领用录入（明细）'!C:C&lt;=$L$4),ROW(),"-")</f>
        <v>-</v>
      </c>
    </row>
    <row r="12341" customHeight="1" spans="2:2">
      <c r="B12341" s="62" t="str">
        <f>IF(AND('领用录入（明细）'!D:D=$F$4,'领用录入（明细）'!C:C&gt;=$J$4,'领用录入（明细）'!C:C&lt;=$L$4),ROW(),"-")</f>
        <v>-</v>
      </c>
    </row>
    <row r="12342" customHeight="1" spans="2:2">
      <c r="B12342" s="62" t="str">
        <f>IF(AND('领用录入（明细）'!D:D=$F$4,'领用录入（明细）'!C:C&gt;=$J$4,'领用录入（明细）'!C:C&lt;=$L$4),ROW(),"-")</f>
        <v>-</v>
      </c>
    </row>
    <row r="12343" customHeight="1" spans="2:2">
      <c r="B12343" s="62" t="str">
        <f>IF(AND('领用录入（明细）'!D:D=$F$4,'领用录入（明细）'!C:C&gt;=$J$4,'领用录入（明细）'!C:C&lt;=$L$4),ROW(),"-")</f>
        <v>-</v>
      </c>
    </row>
    <row r="12344" customHeight="1" spans="2:2">
      <c r="B12344" s="62" t="str">
        <f>IF(AND('领用录入（明细）'!D:D=$F$4,'领用录入（明细）'!C:C&gt;=$J$4,'领用录入（明细）'!C:C&lt;=$L$4),ROW(),"-")</f>
        <v>-</v>
      </c>
    </row>
    <row r="12345" customHeight="1" spans="2:2">
      <c r="B12345" s="62" t="str">
        <f>IF(AND('领用录入（明细）'!D:D=$F$4,'领用录入（明细）'!C:C&gt;=$J$4,'领用录入（明细）'!C:C&lt;=$L$4),ROW(),"-")</f>
        <v>-</v>
      </c>
    </row>
    <row r="12346" customHeight="1" spans="2:2">
      <c r="B12346" s="62" t="str">
        <f>IF(AND('领用录入（明细）'!D:D=$F$4,'领用录入（明细）'!C:C&gt;=$J$4,'领用录入（明细）'!C:C&lt;=$L$4),ROW(),"-")</f>
        <v>-</v>
      </c>
    </row>
    <row r="12347" customHeight="1" spans="2:2">
      <c r="B12347" s="62" t="str">
        <f>IF(AND('领用录入（明细）'!D:D=$F$4,'领用录入（明细）'!C:C&gt;=$J$4,'领用录入（明细）'!C:C&lt;=$L$4),ROW(),"-")</f>
        <v>-</v>
      </c>
    </row>
    <row r="12348" customHeight="1" spans="2:2">
      <c r="B12348" s="62" t="str">
        <f>IF(AND('领用录入（明细）'!D:D=$F$4,'领用录入（明细）'!C:C&gt;=$J$4,'领用录入（明细）'!C:C&lt;=$L$4),ROW(),"-")</f>
        <v>-</v>
      </c>
    </row>
    <row r="12349" customHeight="1" spans="2:2">
      <c r="B12349" s="62" t="str">
        <f>IF(AND('领用录入（明细）'!D:D=$F$4,'领用录入（明细）'!C:C&gt;=$J$4,'领用录入（明细）'!C:C&lt;=$L$4),ROW(),"-")</f>
        <v>-</v>
      </c>
    </row>
    <row r="12350" customHeight="1" spans="2:2">
      <c r="B12350" s="62" t="str">
        <f>IF(AND('领用录入（明细）'!D:D=$F$4,'领用录入（明细）'!C:C&gt;=$J$4,'领用录入（明细）'!C:C&lt;=$L$4),ROW(),"-")</f>
        <v>-</v>
      </c>
    </row>
    <row r="12351" customHeight="1" spans="2:2">
      <c r="B12351" s="62" t="str">
        <f>IF(AND('领用录入（明细）'!D:D=$F$4,'领用录入（明细）'!C:C&gt;=$J$4,'领用录入（明细）'!C:C&lt;=$L$4),ROW(),"-")</f>
        <v>-</v>
      </c>
    </row>
    <row r="12352" customHeight="1" spans="2:2">
      <c r="B12352" s="62" t="str">
        <f>IF(AND('领用录入（明细）'!D:D=$F$4,'领用录入（明细）'!C:C&gt;=$J$4,'领用录入（明细）'!C:C&lt;=$L$4),ROW(),"-")</f>
        <v>-</v>
      </c>
    </row>
    <row r="12353" customHeight="1" spans="2:2">
      <c r="B12353" s="62" t="str">
        <f>IF(AND('领用录入（明细）'!D:D=$F$4,'领用录入（明细）'!C:C&gt;=$J$4,'领用录入（明细）'!C:C&lt;=$L$4),ROW(),"-")</f>
        <v>-</v>
      </c>
    </row>
    <row r="12354" customHeight="1" spans="2:2">
      <c r="B12354" s="62" t="str">
        <f>IF(AND('领用录入（明细）'!D:D=$F$4,'领用录入（明细）'!C:C&gt;=$J$4,'领用录入（明细）'!C:C&lt;=$L$4),ROW(),"-")</f>
        <v>-</v>
      </c>
    </row>
    <row r="12355" customHeight="1" spans="2:2">
      <c r="B12355" s="62" t="str">
        <f>IF(AND('领用录入（明细）'!D:D=$F$4,'领用录入（明细）'!C:C&gt;=$J$4,'领用录入（明细）'!C:C&lt;=$L$4),ROW(),"-")</f>
        <v>-</v>
      </c>
    </row>
    <row r="12356" customHeight="1" spans="2:2">
      <c r="B12356" s="62" t="str">
        <f>IF(AND('领用录入（明细）'!D:D=$F$4,'领用录入（明细）'!C:C&gt;=$J$4,'领用录入（明细）'!C:C&lt;=$L$4),ROW(),"-")</f>
        <v>-</v>
      </c>
    </row>
    <row r="12357" customHeight="1" spans="2:2">
      <c r="B12357" s="62" t="str">
        <f>IF(AND('领用录入（明细）'!D:D=$F$4,'领用录入（明细）'!C:C&gt;=$J$4,'领用录入（明细）'!C:C&lt;=$L$4),ROW(),"-")</f>
        <v>-</v>
      </c>
    </row>
    <row r="12358" customHeight="1" spans="2:2">
      <c r="B12358" s="62" t="str">
        <f>IF(AND('领用录入（明细）'!D:D=$F$4,'领用录入（明细）'!C:C&gt;=$J$4,'领用录入（明细）'!C:C&lt;=$L$4),ROW(),"-")</f>
        <v>-</v>
      </c>
    </row>
    <row r="12359" customHeight="1" spans="2:2">
      <c r="B12359" s="62" t="str">
        <f>IF(AND('领用录入（明细）'!D:D=$F$4,'领用录入（明细）'!C:C&gt;=$J$4,'领用录入（明细）'!C:C&lt;=$L$4),ROW(),"-")</f>
        <v>-</v>
      </c>
    </row>
    <row r="12360" customHeight="1" spans="2:2">
      <c r="B12360" s="62" t="str">
        <f>IF(AND('领用录入（明细）'!D:D=$F$4,'领用录入（明细）'!C:C&gt;=$J$4,'领用录入（明细）'!C:C&lt;=$L$4),ROW(),"-")</f>
        <v>-</v>
      </c>
    </row>
    <row r="12361" customHeight="1" spans="2:2">
      <c r="B12361" s="62" t="str">
        <f>IF(AND('领用录入（明细）'!D:D=$F$4,'领用录入（明细）'!C:C&gt;=$J$4,'领用录入（明细）'!C:C&lt;=$L$4),ROW(),"-")</f>
        <v>-</v>
      </c>
    </row>
    <row r="12362" customHeight="1" spans="2:2">
      <c r="B12362" s="62" t="str">
        <f>IF(AND('领用录入（明细）'!D:D=$F$4,'领用录入（明细）'!C:C&gt;=$J$4,'领用录入（明细）'!C:C&lt;=$L$4),ROW(),"-")</f>
        <v>-</v>
      </c>
    </row>
    <row r="12363" customHeight="1" spans="2:2">
      <c r="B12363" s="62" t="str">
        <f>IF(AND('领用录入（明细）'!D:D=$F$4,'领用录入（明细）'!C:C&gt;=$J$4,'领用录入（明细）'!C:C&lt;=$L$4),ROW(),"-")</f>
        <v>-</v>
      </c>
    </row>
    <row r="12364" customHeight="1" spans="2:2">
      <c r="B12364" s="62" t="str">
        <f>IF(AND('领用录入（明细）'!D:D=$F$4,'领用录入（明细）'!C:C&gt;=$J$4,'领用录入（明细）'!C:C&lt;=$L$4),ROW(),"-")</f>
        <v>-</v>
      </c>
    </row>
    <row r="12365" customHeight="1" spans="2:2">
      <c r="B12365" s="62" t="str">
        <f>IF(AND('领用录入（明细）'!D:D=$F$4,'领用录入（明细）'!C:C&gt;=$J$4,'领用录入（明细）'!C:C&lt;=$L$4),ROW(),"-")</f>
        <v>-</v>
      </c>
    </row>
    <row r="12366" customHeight="1" spans="2:2">
      <c r="B12366" s="62" t="str">
        <f>IF(AND('领用录入（明细）'!D:D=$F$4,'领用录入（明细）'!C:C&gt;=$J$4,'领用录入（明细）'!C:C&lt;=$L$4),ROW(),"-")</f>
        <v>-</v>
      </c>
    </row>
    <row r="12367" customHeight="1" spans="2:2">
      <c r="B12367" s="62" t="str">
        <f>IF(AND('领用录入（明细）'!D:D=$F$4,'领用录入（明细）'!C:C&gt;=$J$4,'领用录入（明细）'!C:C&lt;=$L$4),ROW(),"-")</f>
        <v>-</v>
      </c>
    </row>
    <row r="12368" customHeight="1" spans="2:2">
      <c r="B12368" s="62" t="str">
        <f>IF(AND('领用录入（明细）'!D:D=$F$4,'领用录入（明细）'!C:C&gt;=$J$4,'领用录入（明细）'!C:C&lt;=$L$4),ROW(),"-")</f>
        <v>-</v>
      </c>
    </row>
    <row r="12369" customHeight="1" spans="2:2">
      <c r="B12369" s="62" t="str">
        <f>IF(AND('领用录入（明细）'!D:D=$F$4,'领用录入（明细）'!C:C&gt;=$J$4,'领用录入（明细）'!C:C&lt;=$L$4),ROW(),"-")</f>
        <v>-</v>
      </c>
    </row>
    <row r="12370" customHeight="1" spans="2:2">
      <c r="B12370" s="62" t="str">
        <f>IF(AND('领用录入（明细）'!D:D=$F$4,'领用录入（明细）'!C:C&gt;=$J$4,'领用录入（明细）'!C:C&lt;=$L$4),ROW(),"-")</f>
        <v>-</v>
      </c>
    </row>
    <row r="12371" customHeight="1" spans="2:2">
      <c r="B12371" s="62" t="str">
        <f>IF(AND('领用录入（明细）'!D:D=$F$4,'领用录入（明细）'!C:C&gt;=$J$4,'领用录入（明细）'!C:C&lt;=$L$4),ROW(),"-")</f>
        <v>-</v>
      </c>
    </row>
    <row r="12372" customHeight="1" spans="2:2">
      <c r="B12372" s="62" t="str">
        <f>IF(AND('领用录入（明细）'!D:D=$F$4,'领用录入（明细）'!C:C&gt;=$J$4,'领用录入（明细）'!C:C&lt;=$L$4),ROW(),"-")</f>
        <v>-</v>
      </c>
    </row>
    <row r="12373" customHeight="1" spans="2:2">
      <c r="B12373" s="62" t="str">
        <f>IF(AND('领用录入（明细）'!D:D=$F$4,'领用录入（明细）'!C:C&gt;=$J$4,'领用录入（明细）'!C:C&lt;=$L$4),ROW(),"-")</f>
        <v>-</v>
      </c>
    </row>
    <row r="12374" customHeight="1" spans="2:2">
      <c r="B12374" s="62" t="str">
        <f>IF(AND('领用录入（明细）'!D:D=$F$4,'领用录入（明细）'!C:C&gt;=$J$4,'领用录入（明细）'!C:C&lt;=$L$4),ROW(),"-")</f>
        <v>-</v>
      </c>
    </row>
    <row r="12375" customHeight="1" spans="2:2">
      <c r="B12375" s="62" t="str">
        <f>IF(AND('领用录入（明细）'!D:D=$F$4,'领用录入（明细）'!C:C&gt;=$J$4,'领用录入（明细）'!C:C&lt;=$L$4),ROW(),"-")</f>
        <v>-</v>
      </c>
    </row>
    <row r="12376" customHeight="1" spans="2:2">
      <c r="B12376" s="62" t="str">
        <f>IF(AND('领用录入（明细）'!D:D=$F$4,'领用录入（明细）'!C:C&gt;=$J$4,'领用录入（明细）'!C:C&lt;=$L$4),ROW(),"-")</f>
        <v>-</v>
      </c>
    </row>
    <row r="12377" customHeight="1" spans="2:2">
      <c r="B12377" s="62" t="str">
        <f>IF(AND('领用录入（明细）'!D:D=$F$4,'领用录入（明细）'!C:C&gt;=$J$4,'领用录入（明细）'!C:C&lt;=$L$4),ROW(),"-")</f>
        <v>-</v>
      </c>
    </row>
    <row r="12378" customHeight="1" spans="2:2">
      <c r="B12378" s="62" t="str">
        <f>IF(AND('领用录入（明细）'!D:D=$F$4,'领用录入（明细）'!C:C&gt;=$J$4,'领用录入（明细）'!C:C&lt;=$L$4),ROW(),"-")</f>
        <v>-</v>
      </c>
    </row>
    <row r="12379" customHeight="1" spans="2:2">
      <c r="B12379" s="62" t="str">
        <f>IF(AND('领用录入（明细）'!D:D=$F$4,'领用录入（明细）'!C:C&gt;=$J$4,'领用录入（明细）'!C:C&lt;=$L$4),ROW(),"-")</f>
        <v>-</v>
      </c>
    </row>
    <row r="12380" customHeight="1" spans="2:2">
      <c r="B12380" s="62" t="str">
        <f>IF(AND('领用录入（明细）'!D:D=$F$4,'领用录入（明细）'!C:C&gt;=$J$4,'领用录入（明细）'!C:C&lt;=$L$4),ROW(),"-")</f>
        <v>-</v>
      </c>
    </row>
    <row r="12381" customHeight="1" spans="2:2">
      <c r="B12381" s="62" t="str">
        <f>IF(AND('领用录入（明细）'!D:D=$F$4,'领用录入（明细）'!C:C&gt;=$J$4,'领用录入（明细）'!C:C&lt;=$L$4),ROW(),"-")</f>
        <v>-</v>
      </c>
    </row>
    <row r="12382" customHeight="1" spans="2:2">
      <c r="B12382" s="62" t="str">
        <f>IF(AND('领用录入（明细）'!D:D=$F$4,'领用录入（明细）'!C:C&gt;=$J$4,'领用录入（明细）'!C:C&lt;=$L$4),ROW(),"-")</f>
        <v>-</v>
      </c>
    </row>
    <row r="12383" customHeight="1" spans="2:2">
      <c r="B12383" s="62" t="str">
        <f>IF(AND('领用录入（明细）'!D:D=$F$4,'领用录入（明细）'!C:C&gt;=$J$4,'领用录入（明细）'!C:C&lt;=$L$4),ROW(),"-")</f>
        <v>-</v>
      </c>
    </row>
    <row r="12384" customHeight="1" spans="2:2">
      <c r="B12384" s="62" t="str">
        <f>IF(AND('领用录入（明细）'!D:D=$F$4,'领用录入（明细）'!C:C&gt;=$J$4,'领用录入（明细）'!C:C&lt;=$L$4),ROW(),"-")</f>
        <v>-</v>
      </c>
    </row>
    <row r="12385" customHeight="1" spans="2:2">
      <c r="B12385" s="62" t="str">
        <f>IF(AND('领用录入（明细）'!D:D=$F$4,'领用录入（明细）'!C:C&gt;=$J$4,'领用录入（明细）'!C:C&lt;=$L$4),ROW(),"-")</f>
        <v>-</v>
      </c>
    </row>
    <row r="12386" customHeight="1" spans="2:2">
      <c r="B12386" s="62" t="str">
        <f>IF(AND('领用录入（明细）'!D:D=$F$4,'领用录入（明细）'!C:C&gt;=$J$4,'领用录入（明细）'!C:C&lt;=$L$4),ROW(),"-")</f>
        <v>-</v>
      </c>
    </row>
    <row r="12387" customHeight="1" spans="2:2">
      <c r="B12387" s="62" t="str">
        <f>IF(AND('领用录入（明细）'!D:D=$F$4,'领用录入（明细）'!C:C&gt;=$J$4,'领用录入（明细）'!C:C&lt;=$L$4),ROW(),"-")</f>
        <v>-</v>
      </c>
    </row>
    <row r="12388" customHeight="1" spans="2:2">
      <c r="B12388" s="62" t="str">
        <f>IF(AND('领用录入（明细）'!D:D=$F$4,'领用录入（明细）'!C:C&gt;=$J$4,'领用录入（明细）'!C:C&lt;=$L$4),ROW(),"-")</f>
        <v>-</v>
      </c>
    </row>
    <row r="12389" customHeight="1" spans="2:2">
      <c r="B12389" s="62" t="str">
        <f>IF(AND('领用录入（明细）'!D:D=$F$4,'领用录入（明细）'!C:C&gt;=$J$4,'领用录入（明细）'!C:C&lt;=$L$4),ROW(),"-")</f>
        <v>-</v>
      </c>
    </row>
    <row r="12390" customHeight="1" spans="2:2">
      <c r="B12390" s="62" t="str">
        <f>IF(AND('领用录入（明细）'!D:D=$F$4,'领用录入（明细）'!C:C&gt;=$J$4,'领用录入（明细）'!C:C&lt;=$L$4),ROW(),"-")</f>
        <v>-</v>
      </c>
    </row>
    <row r="12391" customHeight="1" spans="2:2">
      <c r="B12391" s="62" t="str">
        <f>IF(AND('领用录入（明细）'!D:D=$F$4,'领用录入（明细）'!C:C&gt;=$J$4,'领用录入（明细）'!C:C&lt;=$L$4),ROW(),"-")</f>
        <v>-</v>
      </c>
    </row>
    <row r="12392" customHeight="1" spans="2:2">
      <c r="B12392" s="62" t="str">
        <f>IF(AND('领用录入（明细）'!D:D=$F$4,'领用录入（明细）'!C:C&gt;=$J$4,'领用录入（明细）'!C:C&lt;=$L$4),ROW(),"-")</f>
        <v>-</v>
      </c>
    </row>
    <row r="12393" customHeight="1" spans="2:2">
      <c r="B12393" s="62" t="str">
        <f>IF(AND('领用录入（明细）'!D:D=$F$4,'领用录入（明细）'!C:C&gt;=$J$4,'领用录入（明细）'!C:C&lt;=$L$4),ROW(),"-")</f>
        <v>-</v>
      </c>
    </row>
    <row r="12394" customHeight="1" spans="2:2">
      <c r="B12394" s="62" t="str">
        <f>IF(AND('领用录入（明细）'!D:D=$F$4,'领用录入（明细）'!C:C&gt;=$J$4,'领用录入（明细）'!C:C&lt;=$L$4),ROW(),"-")</f>
        <v>-</v>
      </c>
    </row>
    <row r="12395" customHeight="1" spans="2:2">
      <c r="B12395" s="62" t="str">
        <f>IF(AND('领用录入（明细）'!D:D=$F$4,'领用录入（明细）'!C:C&gt;=$J$4,'领用录入（明细）'!C:C&lt;=$L$4),ROW(),"-")</f>
        <v>-</v>
      </c>
    </row>
    <row r="12396" customHeight="1" spans="2:2">
      <c r="B12396" s="62" t="str">
        <f>IF(AND('领用录入（明细）'!D:D=$F$4,'领用录入（明细）'!C:C&gt;=$J$4,'领用录入（明细）'!C:C&lt;=$L$4),ROW(),"-")</f>
        <v>-</v>
      </c>
    </row>
    <row r="12397" customHeight="1" spans="2:2">
      <c r="B12397" s="62" t="str">
        <f>IF(AND('领用录入（明细）'!D:D=$F$4,'领用录入（明细）'!C:C&gt;=$J$4,'领用录入（明细）'!C:C&lt;=$L$4),ROW(),"-")</f>
        <v>-</v>
      </c>
    </row>
    <row r="12398" customHeight="1" spans="2:2">
      <c r="B12398" s="62" t="str">
        <f>IF(AND('领用录入（明细）'!D:D=$F$4,'领用录入（明细）'!C:C&gt;=$J$4,'领用录入（明细）'!C:C&lt;=$L$4),ROW(),"-")</f>
        <v>-</v>
      </c>
    </row>
    <row r="12399" customHeight="1" spans="2:2">
      <c r="B12399" s="62" t="str">
        <f>IF(AND('领用录入（明细）'!D:D=$F$4,'领用录入（明细）'!C:C&gt;=$J$4,'领用录入（明细）'!C:C&lt;=$L$4),ROW(),"-")</f>
        <v>-</v>
      </c>
    </row>
    <row r="12400" customHeight="1" spans="2:2">
      <c r="B12400" s="62" t="str">
        <f>IF(AND('领用录入（明细）'!D:D=$F$4,'领用录入（明细）'!C:C&gt;=$J$4,'领用录入（明细）'!C:C&lt;=$L$4),ROW(),"-")</f>
        <v>-</v>
      </c>
    </row>
    <row r="12401" customHeight="1" spans="2:2">
      <c r="B12401" s="62" t="str">
        <f>IF(AND('领用录入（明细）'!D:D=$F$4,'领用录入（明细）'!C:C&gt;=$J$4,'领用录入（明细）'!C:C&lt;=$L$4),ROW(),"-")</f>
        <v>-</v>
      </c>
    </row>
    <row r="12402" customHeight="1" spans="2:2">
      <c r="B12402" s="62" t="str">
        <f>IF(AND('领用录入（明细）'!D:D=$F$4,'领用录入（明细）'!C:C&gt;=$J$4,'领用录入（明细）'!C:C&lt;=$L$4),ROW(),"-")</f>
        <v>-</v>
      </c>
    </row>
    <row r="12403" customHeight="1" spans="2:2">
      <c r="B12403" s="62" t="str">
        <f>IF(AND('领用录入（明细）'!D:D=$F$4,'领用录入（明细）'!C:C&gt;=$J$4,'领用录入（明细）'!C:C&lt;=$L$4),ROW(),"-")</f>
        <v>-</v>
      </c>
    </row>
    <row r="12404" customHeight="1" spans="2:2">
      <c r="B12404" s="62" t="str">
        <f>IF(AND('领用录入（明细）'!D:D=$F$4,'领用录入（明细）'!C:C&gt;=$J$4,'领用录入（明细）'!C:C&lt;=$L$4),ROW(),"-")</f>
        <v>-</v>
      </c>
    </row>
    <row r="12405" customHeight="1" spans="2:2">
      <c r="B12405" s="62" t="str">
        <f>IF(AND('领用录入（明细）'!D:D=$F$4,'领用录入（明细）'!C:C&gt;=$J$4,'领用录入（明细）'!C:C&lt;=$L$4),ROW(),"-")</f>
        <v>-</v>
      </c>
    </row>
    <row r="12406" customHeight="1" spans="2:2">
      <c r="B12406" s="62" t="str">
        <f>IF(AND('领用录入（明细）'!D:D=$F$4,'领用录入（明细）'!C:C&gt;=$J$4,'领用录入（明细）'!C:C&lt;=$L$4),ROW(),"-")</f>
        <v>-</v>
      </c>
    </row>
    <row r="12407" customHeight="1" spans="2:2">
      <c r="B12407" s="62" t="str">
        <f>IF(AND('领用录入（明细）'!D:D=$F$4,'领用录入（明细）'!C:C&gt;=$J$4,'领用录入（明细）'!C:C&lt;=$L$4),ROW(),"-")</f>
        <v>-</v>
      </c>
    </row>
    <row r="12408" customHeight="1" spans="2:2">
      <c r="B12408" s="62" t="str">
        <f>IF(AND('领用录入（明细）'!D:D=$F$4,'领用录入（明细）'!C:C&gt;=$J$4,'领用录入（明细）'!C:C&lt;=$L$4),ROW(),"-")</f>
        <v>-</v>
      </c>
    </row>
    <row r="12409" customHeight="1" spans="2:2">
      <c r="B12409" s="62" t="str">
        <f>IF(AND('领用录入（明细）'!D:D=$F$4,'领用录入（明细）'!C:C&gt;=$J$4,'领用录入（明细）'!C:C&lt;=$L$4),ROW(),"-")</f>
        <v>-</v>
      </c>
    </row>
    <row r="12410" customHeight="1" spans="2:2">
      <c r="B12410" s="62" t="str">
        <f>IF(AND('领用录入（明细）'!D:D=$F$4,'领用录入（明细）'!C:C&gt;=$J$4,'领用录入（明细）'!C:C&lt;=$L$4),ROW(),"-")</f>
        <v>-</v>
      </c>
    </row>
    <row r="12411" customHeight="1" spans="2:2">
      <c r="B12411" s="62" t="str">
        <f>IF(AND('领用录入（明细）'!D:D=$F$4,'领用录入（明细）'!C:C&gt;=$J$4,'领用录入（明细）'!C:C&lt;=$L$4),ROW(),"-")</f>
        <v>-</v>
      </c>
    </row>
    <row r="12412" customHeight="1" spans="2:2">
      <c r="B12412" s="62" t="str">
        <f>IF(AND('领用录入（明细）'!D:D=$F$4,'领用录入（明细）'!C:C&gt;=$J$4,'领用录入（明细）'!C:C&lt;=$L$4),ROW(),"-")</f>
        <v>-</v>
      </c>
    </row>
    <row r="12413" customHeight="1" spans="2:2">
      <c r="B12413" s="62" t="str">
        <f>IF(AND('领用录入（明细）'!D:D=$F$4,'领用录入（明细）'!C:C&gt;=$J$4,'领用录入（明细）'!C:C&lt;=$L$4),ROW(),"-")</f>
        <v>-</v>
      </c>
    </row>
    <row r="12414" customHeight="1" spans="2:2">
      <c r="B12414" s="62" t="str">
        <f>IF(AND('领用录入（明细）'!D:D=$F$4,'领用录入（明细）'!C:C&gt;=$J$4,'领用录入（明细）'!C:C&lt;=$L$4),ROW(),"-")</f>
        <v>-</v>
      </c>
    </row>
    <row r="12415" customHeight="1" spans="2:2">
      <c r="B12415" s="62" t="str">
        <f>IF(AND('领用录入（明细）'!D:D=$F$4,'领用录入（明细）'!C:C&gt;=$J$4,'领用录入（明细）'!C:C&lt;=$L$4),ROW(),"-")</f>
        <v>-</v>
      </c>
    </row>
    <row r="12416" customHeight="1" spans="2:2">
      <c r="B12416" s="62" t="str">
        <f>IF(AND('领用录入（明细）'!D:D=$F$4,'领用录入（明细）'!C:C&gt;=$J$4,'领用录入（明细）'!C:C&lt;=$L$4),ROW(),"-")</f>
        <v>-</v>
      </c>
    </row>
    <row r="12417" customHeight="1" spans="2:2">
      <c r="B12417" s="62" t="str">
        <f>IF(AND('领用录入（明细）'!D:D=$F$4,'领用录入（明细）'!C:C&gt;=$J$4,'领用录入（明细）'!C:C&lt;=$L$4),ROW(),"-")</f>
        <v>-</v>
      </c>
    </row>
    <row r="12418" customHeight="1" spans="2:2">
      <c r="B12418" s="62" t="str">
        <f>IF(AND('领用录入（明细）'!D:D=$F$4,'领用录入（明细）'!C:C&gt;=$J$4,'领用录入（明细）'!C:C&lt;=$L$4),ROW(),"-")</f>
        <v>-</v>
      </c>
    </row>
    <row r="12419" customHeight="1" spans="2:2">
      <c r="B12419" s="62" t="str">
        <f>IF(AND('领用录入（明细）'!D:D=$F$4,'领用录入（明细）'!C:C&gt;=$J$4,'领用录入（明细）'!C:C&lt;=$L$4),ROW(),"-")</f>
        <v>-</v>
      </c>
    </row>
    <row r="12420" customHeight="1" spans="2:2">
      <c r="B12420" s="62" t="str">
        <f>IF(AND('领用录入（明细）'!D:D=$F$4,'领用录入（明细）'!C:C&gt;=$J$4,'领用录入（明细）'!C:C&lt;=$L$4),ROW(),"-")</f>
        <v>-</v>
      </c>
    </row>
    <row r="12421" customHeight="1" spans="2:2">
      <c r="B12421" s="62" t="str">
        <f>IF(AND('领用录入（明细）'!D:D=$F$4,'领用录入（明细）'!C:C&gt;=$J$4,'领用录入（明细）'!C:C&lt;=$L$4),ROW(),"-")</f>
        <v>-</v>
      </c>
    </row>
    <row r="12422" customHeight="1" spans="2:2">
      <c r="B12422" s="62" t="str">
        <f>IF(AND('领用录入（明细）'!D:D=$F$4,'领用录入（明细）'!C:C&gt;=$J$4,'领用录入（明细）'!C:C&lt;=$L$4),ROW(),"-")</f>
        <v>-</v>
      </c>
    </row>
    <row r="12423" customHeight="1" spans="2:2">
      <c r="B12423" s="62" t="str">
        <f>IF(AND('领用录入（明细）'!D:D=$F$4,'领用录入（明细）'!C:C&gt;=$J$4,'领用录入（明细）'!C:C&lt;=$L$4),ROW(),"-")</f>
        <v>-</v>
      </c>
    </row>
    <row r="12424" customHeight="1" spans="2:2">
      <c r="B12424" s="62" t="str">
        <f>IF(AND('领用录入（明细）'!D:D=$F$4,'领用录入（明细）'!C:C&gt;=$J$4,'领用录入（明细）'!C:C&lt;=$L$4),ROW(),"-")</f>
        <v>-</v>
      </c>
    </row>
    <row r="12425" customHeight="1" spans="2:2">
      <c r="B12425" s="62" t="str">
        <f>IF(AND('领用录入（明细）'!D:D=$F$4,'领用录入（明细）'!C:C&gt;=$J$4,'领用录入（明细）'!C:C&lt;=$L$4),ROW(),"-")</f>
        <v>-</v>
      </c>
    </row>
    <row r="12426" customHeight="1" spans="2:2">
      <c r="B12426" s="62" t="str">
        <f>IF(AND('领用录入（明细）'!D:D=$F$4,'领用录入（明细）'!C:C&gt;=$J$4,'领用录入（明细）'!C:C&lt;=$L$4),ROW(),"-")</f>
        <v>-</v>
      </c>
    </row>
    <row r="12427" customHeight="1" spans="2:2">
      <c r="B12427" s="62" t="str">
        <f>IF(AND('领用录入（明细）'!D:D=$F$4,'领用录入（明细）'!C:C&gt;=$J$4,'领用录入（明细）'!C:C&lt;=$L$4),ROW(),"-")</f>
        <v>-</v>
      </c>
    </row>
    <row r="12428" customHeight="1" spans="2:2">
      <c r="B12428" s="62" t="str">
        <f>IF(AND('领用录入（明细）'!D:D=$F$4,'领用录入（明细）'!C:C&gt;=$J$4,'领用录入（明细）'!C:C&lt;=$L$4),ROW(),"-")</f>
        <v>-</v>
      </c>
    </row>
    <row r="12429" customHeight="1" spans="2:2">
      <c r="B12429" s="62" t="str">
        <f>IF(AND('领用录入（明细）'!D:D=$F$4,'领用录入（明细）'!C:C&gt;=$J$4,'领用录入（明细）'!C:C&lt;=$L$4),ROW(),"-")</f>
        <v>-</v>
      </c>
    </row>
    <row r="12430" customHeight="1" spans="2:2">
      <c r="B12430" s="62" t="str">
        <f>IF(AND('领用录入（明细）'!D:D=$F$4,'领用录入（明细）'!C:C&gt;=$J$4,'领用录入（明细）'!C:C&lt;=$L$4),ROW(),"-")</f>
        <v>-</v>
      </c>
    </row>
    <row r="12431" customHeight="1" spans="2:2">
      <c r="B12431" s="62" t="str">
        <f>IF(AND('领用录入（明细）'!D:D=$F$4,'领用录入（明细）'!C:C&gt;=$J$4,'领用录入（明细）'!C:C&lt;=$L$4),ROW(),"-")</f>
        <v>-</v>
      </c>
    </row>
    <row r="12432" customHeight="1" spans="2:2">
      <c r="B12432" s="62" t="str">
        <f>IF(AND('领用录入（明细）'!D:D=$F$4,'领用录入（明细）'!C:C&gt;=$J$4,'领用录入（明细）'!C:C&lt;=$L$4),ROW(),"-")</f>
        <v>-</v>
      </c>
    </row>
    <row r="12433" customHeight="1" spans="2:2">
      <c r="B12433" s="62" t="str">
        <f>IF(AND('领用录入（明细）'!D:D=$F$4,'领用录入（明细）'!C:C&gt;=$J$4,'领用录入（明细）'!C:C&lt;=$L$4),ROW(),"-")</f>
        <v>-</v>
      </c>
    </row>
    <row r="12434" customHeight="1" spans="2:2">
      <c r="B12434" s="62" t="str">
        <f>IF(AND('领用录入（明细）'!D:D=$F$4,'领用录入（明细）'!C:C&gt;=$J$4,'领用录入（明细）'!C:C&lt;=$L$4),ROW(),"-")</f>
        <v>-</v>
      </c>
    </row>
    <row r="12435" customHeight="1" spans="2:2">
      <c r="B12435" s="62" t="str">
        <f>IF(AND('领用录入（明细）'!D:D=$F$4,'领用录入（明细）'!C:C&gt;=$J$4,'领用录入（明细）'!C:C&lt;=$L$4),ROW(),"-")</f>
        <v>-</v>
      </c>
    </row>
    <row r="12436" customHeight="1" spans="2:2">
      <c r="B12436" s="62" t="str">
        <f>IF(AND('领用录入（明细）'!D:D=$F$4,'领用录入（明细）'!C:C&gt;=$J$4,'领用录入（明细）'!C:C&lt;=$L$4),ROW(),"-")</f>
        <v>-</v>
      </c>
    </row>
    <row r="12437" customHeight="1" spans="2:2">
      <c r="B12437" s="62" t="str">
        <f>IF(AND('领用录入（明细）'!D:D=$F$4,'领用录入（明细）'!C:C&gt;=$J$4,'领用录入（明细）'!C:C&lt;=$L$4),ROW(),"-")</f>
        <v>-</v>
      </c>
    </row>
    <row r="12438" customHeight="1" spans="2:2">
      <c r="B12438" s="62" t="str">
        <f>IF(AND('领用录入（明细）'!D:D=$F$4,'领用录入（明细）'!C:C&gt;=$J$4,'领用录入（明细）'!C:C&lt;=$L$4),ROW(),"-")</f>
        <v>-</v>
      </c>
    </row>
    <row r="12439" customHeight="1" spans="2:2">
      <c r="B12439" s="62" t="str">
        <f>IF(AND('领用录入（明细）'!D:D=$F$4,'领用录入（明细）'!C:C&gt;=$J$4,'领用录入（明细）'!C:C&lt;=$L$4),ROW(),"-")</f>
        <v>-</v>
      </c>
    </row>
    <row r="12440" customHeight="1" spans="2:2">
      <c r="B12440" s="62" t="str">
        <f>IF(AND('领用录入（明细）'!D:D=$F$4,'领用录入（明细）'!C:C&gt;=$J$4,'领用录入（明细）'!C:C&lt;=$L$4),ROW(),"-")</f>
        <v>-</v>
      </c>
    </row>
    <row r="12441" customHeight="1" spans="2:2">
      <c r="B12441" s="62" t="str">
        <f>IF(AND('领用录入（明细）'!D:D=$F$4,'领用录入（明细）'!C:C&gt;=$J$4,'领用录入（明细）'!C:C&lt;=$L$4),ROW(),"-")</f>
        <v>-</v>
      </c>
    </row>
    <row r="12442" customHeight="1" spans="2:2">
      <c r="B12442" s="62" t="str">
        <f>IF(AND('领用录入（明细）'!D:D=$F$4,'领用录入（明细）'!C:C&gt;=$J$4,'领用录入（明细）'!C:C&lt;=$L$4),ROW(),"-")</f>
        <v>-</v>
      </c>
    </row>
    <row r="12443" customHeight="1" spans="2:2">
      <c r="B12443" s="62" t="str">
        <f>IF(AND('领用录入（明细）'!D:D=$F$4,'领用录入（明细）'!C:C&gt;=$J$4,'领用录入（明细）'!C:C&lt;=$L$4),ROW(),"-")</f>
        <v>-</v>
      </c>
    </row>
    <row r="12444" customHeight="1" spans="2:2">
      <c r="B12444" s="62" t="str">
        <f>IF(AND('领用录入（明细）'!D:D=$F$4,'领用录入（明细）'!C:C&gt;=$J$4,'领用录入（明细）'!C:C&lt;=$L$4),ROW(),"-")</f>
        <v>-</v>
      </c>
    </row>
    <row r="12445" customHeight="1" spans="2:2">
      <c r="B12445" s="62" t="str">
        <f>IF(AND('领用录入（明细）'!D:D=$F$4,'领用录入（明细）'!C:C&gt;=$J$4,'领用录入（明细）'!C:C&lt;=$L$4),ROW(),"-")</f>
        <v>-</v>
      </c>
    </row>
    <row r="12446" customHeight="1" spans="2:2">
      <c r="B12446" s="62" t="str">
        <f>IF(AND('领用录入（明细）'!D:D=$F$4,'领用录入（明细）'!C:C&gt;=$J$4,'领用录入（明细）'!C:C&lt;=$L$4),ROW(),"-")</f>
        <v>-</v>
      </c>
    </row>
    <row r="12447" customHeight="1" spans="2:2">
      <c r="B12447" s="62" t="str">
        <f>IF(AND('领用录入（明细）'!D:D=$F$4,'领用录入（明细）'!C:C&gt;=$J$4,'领用录入（明细）'!C:C&lt;=$L$4),ROW(),"-")</f>
        <v>-</v>
      </c>
    </row>
    <row r="12448" customHeight="1" spans="2:2">
      <c r="B12448" s="62" t="str">
        <f>IF(AND('领用录入（明细）'!D:D=$F$4,'领用录入（明细）'!C:C&gt;=$J$4,'领用录入（明细）'!C:C&lt;=$L$4),ROW(),"-")</f>
        <v>-</v>
      </c>
    </row>
    <row r="12449" customHeight="1" spans="2:2">
      <c r="B12449" s="62" t="str">
        <f>IF(AND('领用录入（明细）'!D:D=$F$4,'领用录入（明细）'!C:C&gt;=$J$4,'领用录入（明细）'!C:C&lt;=$L$4),ROW(),"-")</f>
        <v>-</v>
      </c>
    </row>
    <row r="12450" customHeight="1" spans="2:2">
      <c r="B12450" s="62" t="str">
        <f>IF(AND('领用录入（明细）'!D:D=$F$4,'领用录入（明细）'!C:C&gt;=$J$4,'领用录入（明细）'!C:C&lt;=$L$4),ROW(),"-")</f>
        <v>-</v>
      </c>
    </row>
    <row r="12451" customHeight="1" spans="2:2">
      <c r="B12451" s="62" t="str">
        <f>IF(AND('领用录入（明细）'!D:D=$F$4,'领用录入（明细）'!C:C&gt;=$J$4,'领用录入（明细）'!C:C&lt;=$L$4),ROW(),"-")</f>
        <v>-</v>
      </c>
    </row>
    <row r="12452" customHeight="1" spans="2:2">
      <c r="B12452" s="62" t="str">
        <f>IF(AND('领用录入（明细）'!D:D=$F$4,'领用录入（明细）'!C:C&gt;=$J$4,'领用录入（明细）'!C:C&lt;=$L$4),ROW(),"-")</f>
        <v>-</v>
      </c>
    </row>
    <row r="12453" customHeight="1" spans="2:2">
      <c r="B12453" s="62" t="str">
        <f>IF(AND('领用录入（明细）'!D:D=$F$4,'领用录入（明细）'!C:C&gt;=$J$4,'领用录入（明细）'!C:C&lt;=$L$4),ROW(),"-")</f>
        <v>-</v>
      </c>
    </row>
    <row r="12454" customHeight="1" spans="2:2">
      <c r="B12454" s="62" t="str">
        <f>IF(AND('领用录入（明细）'!D:D=$F$4,'领用录入（明细）'!C:C&gt;=$J$4,'领用录入（明细）'!C:C&lt;=$L$4),ROW(),"-")</f>
        <v>-</v>
      </c>
    </row>
    <row r="12455" customHeight="1" spans="2:2">
      <c r="B12455" s="62" t="str">
        <f>IF(AND('领用录入（明细）'!D:D=$F$4,'领用录入（明细）'!C:C&gt;=$J$4,'领用录入（明细）'!C:C&lt;=$L$4),ROW(),"-")</f>
        <v>-</v>
      </c>
    </row>
    <row r="12456" customHeight="1" spans="2:2">
      <c r="B12456" s="62" t="str">
        <f>IF(AND('领用录入（明细）'!D:D=$F$4,'领用录入（明细）'!C:C&gt;=$J$4,'领用录入（明细）'!C:C&lt;=$L$4),ROW(),"-")</f>
        <v>-</v>
      </c>
    </row>
    <row r="12457" customHeight="1" spans="2:2">
      <c r="B12457" s="62" t="str">
        <f>IF(AND('领用录入（明细）'!D:D=$F$4,'领用录入（明细）'!C:C&gt;=$J$4,'领用录入（明细）'!C:C&lt;=$L$4),ROW(),"-")</f>
        <v>-</v>
      </c>
    </row>
    <row r="12458" customHeight="1" spans="2:2">
      <c r="B12458" s="62" t="str">
        <f>IF(AND('领用录入（明细）'!D:D=$F$4,'领用录入（明细）'!C:C&gt;=$J$4,'领用录入（明细）'!C:C&lt;=$L$4),ROW(),"-")</f>
        <v>-</v>
      </c>
    </row>
    <row r="12459" customHeight="1" spans="2:2">
      <c r="B12459" s="62" t="str">
        <f>IF(AND('领用录入（明细）'!D:D=$F$4,'领用录入（明细）'!C:C&gt;=$J$4,'领用录入（明细）'!C:C&lt;=$L$4),ROW(),"-")</f>
        <v>-</v>
      </c>
    </row>
    <row r="12460" customHeight="1" spans="2:2">
      <c r="B12460" s="62" t="str">
        <f>IF(AND('领用录入（明细）'!D:D=$F$4,'领用录入（明细）'!C:C&gt;=$J$4,'领用录入（明细）'!C:C&lt;=$L$4),ROW(),"-")</f>
        <v>-</v>
      </c>
    </row>
    <row r="12461" customHeight="1" spans="2:2">
      <c r="B12461" s="62" t="str">
        <f>IF(AND('领用录入（明细）'!D:D=$F$4,'领用录入（明细）'!C:C&gt;=$J$4,'领用录入（明细）'!C:C&lt;=$L$4),ROW(),"-")</f>
        <v>-</v>
      </c>
    </row>
    <row r="12462" customHeight="1" spans="2:2">
      <c r="B12462" s="62" t="str">
        <f>IF(AND('领用录入（明细）'!D:D=$F$4,'领用录入（明细）'!C:C&gt;=$J$4,'领用录入（明细）'!C:C&lt;=$L$4),ROW(),"-")</f>
        <v>-</v>
      </c>
    </row>
    <row r="12463" customHeight="1" spans="2:2">
      <c r="B12463" s="62" t="str">
        <f>IF(AND('领用录入（明细）'!D:D=$F$4,'领用录入（明细）'!C:C&gt;=$J$4,'领用录入（明细）'!C:C&lt;=$L$4),ROW(),"-")</f>
        <v>-</v>
      </c>
    </row>
    <row r="12464" customHeight="1" spans="2:2">
      <c r="B12464" s="62" t="str">
        <f>IF(AND('领用录入（明细）'!D:D=$F$4,'领用录入（明细）'!C:C&gt;=$J$4,'领用录入（明细）'!C:C&lt;=$L$4),ROW(),"-")</f>
        <v>-</v>
      </c>
    </row>
    <row r="12465" customHeight="1" spans="2:2">
      <c r="B12465" s="62" t="str">
        <f>IF(AND('领用录入（明细）'!D:D=$F$4,'领用录入（明细）'!C:C&gt;=$J$4,'领用录入（明细）'!C:C&lt;=$L$4),ROW(),"-")</f>
        <v>-</v>
      </c>
    </row>
    <row r="12466" customHeight="1" spans="2:2">
      <c r="B12466" s="62" t="str">
        <f>IF(AND('领用录入（明细）'!D:D=$F$4,'领用录入（明细）'!C:C&gt;=$J$4,'领用录入（明细）'!C:C&lt;=$L$4),ROW(),"-")</f>
        <v>-</v>
      </c>
    </row>
    <row r="12467" customHeight="1" spans="2:2">
      <c r="B12467" s="62" t="str">
        <f>IF(AND('领用录入（明细）'!D:D=$F$4,'领用录入（明细）'!C:C&gt;=$J$4,'领用录入（明细）'!C:C&lt;=$L$4),ROW(),"-")</f>
        <v>-</v>
      </c>
    </row>
    <row r="12468" customHeight="1" spans="2:2">
      <c r="B12468" s="62" t="str">
        <f>IF(AND('领用录入（明细）'!D:D=$F$4,'领用录入（明细）'!C:C&gt;=$J$4,'领用录入（明细）'!C:C&lt;=$L$4),ROW(),"-")</f>
        <v>-</v>
      </c>
    </row>
    <row r="12469" customHeight="1" spans="2:2">
      <c r="B12469" s="62" t="str">
        <f>IF(AND('领用录入（明细）'!D:D=$F$4,'领用录入（明细）'!C:C&gt;=$J$4,'领用录入（明细）'!C:C&lt;=$L$4),ROW(),"-")</f>
        <v>-</v>
      </c>
    </row>
    <row r="12470" customHeight="1" spans="2:2">
      <c r="B12470" s="62" t="str">
        <f>IF(AND('领用录入（明细）'!D:D=$F$4,'领用录入（明细）'!C:C&gt;=$J$4,'领用录入（明细）'!C:C&lt;=$L$4),ROW(),"-")</f>
        <v>-</v>
      </c>
    </row>
    <row r="12471" customHeight="1" spans="2:2">
      <c r="B12471" s="62" t="str">
        <f>IF(AND('领用录入（明细）'!D:D=$F$4,'领用录入（明细）'!C:C&gt;=$J$4,'领用录入（明细）'!C:C&lt;=$L$4),ROW(),"-")</f>
        <v>-</v>
      </c>
    </row>
    <row r="12472" customHeight="1" spans="2:2">
      <c r="B12472" s="62" t="str">
        <f>IF(AND('领用录入（明细）'!D:D=$F$4,'领用录入（明细）'!C:C&gt;=$J$4,'领用录入（明细）'!C:C&lt;=$L$4),ROW(),"-")</f>
        <v>-</v>
      </c>
    </row>
    <row r="12473" customHeight="1" spans="2:2">
      <c r="B12473" s="62" t="str">
        <f>IF(AND('领用录入（明细）'!D:D=$F$4,'领用录入（明细）'!C:C&gt;=$J$4,'领用录入（明细）'!C:C&lt;=$L$4),ROW(),"-")</f>
        <v>-</v>
      </c>
    </row>
    <row r="12474" customHeight="1" spans="2:2">
      <c r="B12474" s="62" t="str">
        <f>IF(AND('领用录入（明细）'!D:D=$F$4,'领用录入（明细）'!C:C&gt;=$J$4,'领用录入（明细）'!C:C&lt;=$L$4),ROW(),"-")</f>
        <v>-</v>
      </c>
    </row>
    <row r="12475" customHeight="1" spans="2:2">
      <c r="B12475" s="62" t="str">
        <f>IF(AND('领用录入（明细）'!D:D=$F$4,'领用录入（明细）'!C:C&gt;=$J$4,'领用录入（明细）'!C:C&lt;=$L$4),ROW(),"-")</f>
        <v>-</v>
      </c>
    </row>
    <row r="12476" customHeight="1" spans="2:2">
      <c r="B12476" s="62" t="str">
        <f>IF(AND('领用录入（明细）'!D:D=$F$4,'领用录入（明细）'!C:C&gt;=$J$4,'领用录入（明细）'!C:C&lt;=$L$4),ROW(),"-")</f>
        <v>-</v>
      </c>
    </row>
    <row r="12477" customHeight="1" spans="2:2">
      <c r="B12477" s="62" t="str">
        <f>IF(AND('领用录入（明细）'!D:D=$F$4,'领用录入（明细）'!C:C&gt;=$J$4,'领用录入（明细）'!C:C&lt;=$L$4),ROW(),"-")</f>
        <v>-</v>
      </c>
    </row>
    <row r="12478" customHeight="1" spans="2:2">
      <c r="B12478" s="62" t="str">
        <f>IF(AND('领用录入（明细）'!D:D=$F$4,'领用录入（明细）'!C:C&gt;=$J$4,'领用录入（明细）'!C:C&lt;=$L$4),ROW(),"-")</f>
        <v>-</v>
      </c>
    </row>
    <row r="12479" customHeight="1" spans="2:2">
      <c r="B12479" s="62" t="str">
        <f>IF(AND('领用录入（明细）'!D:D=$F$4,'领用录入（明细）'!C:C&gt;=$J$4,'领用录入（明细）'!C:C&lt;=$L$4),ROW(),"-")</f>
        <v>-</v>
      </c>
    </row>
    <row r="12480" customHeight="1" spans="2:2">
      <c r="B12480" s="62" t="str">
        <f>IF(AND('领用录入（明细）'!D:D=$F$4,'领用录入（明细）'!C:C&gt;=$J$4,'领用录入（明细）'!C:C&lt;=$L$4),ROW(),"-")</f>
        <v>-</v>
      </c>
    </row>
    <row r="12481" customHeight="1" spans="2:2">
      <c r="B12481" s="62" t="str">
        <f>IF(AND('领用录入（明细）'!D:D=$F$4,'领用录入（明细）'!C:C&gt;=$J$4,'领用录入（明细）'!C:C&lt;=$L$4),ROW(),"-")</f>
        <v>-</v>
      </c>
    </row>
    <row r="12482" customHeight="1" spans="2:2">
      <c r="B12482" s="62" t="str">
        <f>IF(AND('领用录入（明细）'!D:D=$F$4,'领用录入（明细）'!C:C&gt;=$J$4,'领用录入（明细）'!C:C&lt;=$L$4),ROW(),"-")</f>
        <v>-</v>
      </c>
    </row>
    <row r="12483" customHeight="1" spans="2:2">
      <c r="B12483" s="62" t="str">
        <f>IF(AND('领用录入（明细）'!D:D=$F$4,'领用录入（明细）'!C:C&gt;=$J$4,'领用录入（明细）'!C:C&lt;=$L$4),ROW(),"-")</f>
        <v>-</v>
      </c>
    </row>
    <row r="12484" customHeight="1" spans="2:2">
      <c r="B12484" s="62" t="str">
        <f>IF(AND('领用录入（明细）'!D:D=$F$4,'领用录入（明细）'!C:C&gt;=$J$4,'领用录入（明细）'!C:C&lt;=$L$4),ROW(),"-")</f>
        <v>-</v>
      </c>
    </row>
    <row r="12485" customHeight="1" spans="2:2">
      <c r="B12485" s="62" t="str">
        <f>IF(AND('领用录入（明细）'!D:D=$F$4,'领用录入（明细）'!C:C&gt;=$J$4,'领用录入（明细）'!C:C&lt;=$L$4),ROW(),"-")</f>
        <v>-</v>
      </c>
    </row>
    <row r="12486" customHeight="1" spans="2:2">
      <c r="B12486" s="62" t="str">
        <f>IF(AND('领用录入（明细）'!D:D=$F$4,'领用录入（明细）'!C:C&gt;=$J$4,'领用录入（明细）'!C:C&lt;=$L$4),ROW(),"-")</f>
        <v>-</v>
      </c>
    </row>
    <row r="12487" customHeight="1" spans="2:2">
      <c r="B12487" s="62" t="str">
        <f>IF(AND('领用录入（明细）'!D:D=$F$4,'领用录入（明细）'!C:C&gt;=$J$4,'领用录入（明细）'!C:C&lt;=$L$4),ROW(),"-")</f>
        <v>-</v>
      </c>
    </row>
    <row r="12488" customHeight="1" spans="2:2">
      <c r="B12488" s="62" t="str">
        <f>IF(AND('领用录入（明细）'!D:D=$F$4,'领用录入（明细）'!C:C&gt;=$J$4,'领用录入（明细）'!C:C&lt;=$L$4),ROW(),"-")</f>
        <v>-</v>
      </c>
    </row>
    <row r="12489" customHeight="1" spans="2:2">
      <c r="B12489" s="62" t="str">
        <f>IF(AND('领用录入（明细）'!D:D=$F$4,'领用录入（明细）'!C:C&gt;=$J$4,'领用录入（明细）'!C:C&lt;=$L$4),ROW(),"-")</f>
        <v>-</v>
      </c>
    </row>
    <row r="12490" customHeight="1" spans="2:2">
      <c r="B12490" s="62" t="str">
        <f>IF(AND('领用录入（明细）'!D:D=$F$4,'领用录入（明细）'!C:C&gt;=$J$4,'领用录入（明细）'!C:C&lt;=$L$4),ROW(),"-")</f>
        <v>-</v>
      </c>
    </row>
    <row r="12491" customHeight="1" spans="2:2">
      <c r="B12491" s="62" t="str">
        <f>IF(AND('领用录入（明细）'!D:D=$F$4,'领用录入（明细）'!C:C&gt;=$J$4,'领用录入（明细）'!C:C&lt;=$L$4),ROW(),"-")</f>
        <v>-</v>
      </c>
    </row>
    <row r="12492" customHeight="1" spans="2:2">
      <c r="B12492" s="62" t="str">
        <f>IF(AND('领用录入（明细）'!D:D=$F$4,'领用录入（明细）'!C:C&gt;=$J$4,'领用录入（明细）'!C:C&lt;=$L$4),ROW(),"-")</f>
        <v>-</v>
      </c>
    </row>
    <row r="12493" customHeight="1" spans="2:2">
      <c r="B12493" s="62" t="str">
        <f>IF(AND('领用录入（明细）'!D:D=$F$4,'领用录入（明细）'!C:C&gt;=$J$4,'领用录入（明细）'!C:C&lt;=$L$4),ROW(),"-")</f>
        <v>-</v>
      </c>
    </row>
    <row r="12494" customHeight="1" spans="2:2">
      <c r="B12494" s="62" t="str">
        <f>IF(AND('领用录入（明细）'!D:D=$F$4,'领用录入（明细）'!C:C&gt;=$J$4,'领用录入（明细）'!C:C&lt;=$L$4),ROW(),"-")</f>
        <v>-</v>
      </c>
    </row>
    <row r="12495" customHeight="1" spans="2:2">
      <c r="B12495" s="62" t="str">
        <f>IF(AND('领用录入（明细）'!D:D=$F$4,'领用录入（明细）'!C:C&gt;=$J$4,'领用录入（明细）'!C:C&lt;=$L$4),ROW(),"-")</f>
        <v>-</v>
      </c>
    </row>
    <row r="12496" customHeight="1" spans="2:2">
      <c r="B12496" s="62" t="str">
        <f>IF(AND('领用录入（明细）'!D:D=$F$4,'领用录入（明细）'!C:C&gt;=$J$4,'领用录入（明细）'!C:C&lt;=$L$4),ROW(),"-")</f>
        <v>-</v>
      </c>
    </row>
    <row r="12497" customHeight="1" spans="2:2">
      <c r="B12497" s="62" t="str">
        <f>IF(AND('领用录入（明细）'!D:D=$F$4,'领用录入（明细）'!C:C&gt;=$J$4,'领用录入（明细）'!C:C&lt;=$L$4),ROW(),"-")</f>
        <v>-</v>
      </c>
    </row>
    <row r="12498" customHeight="1" spans="2:2">
      <c r="B12498" s="62" t="str">
        <f>IF(AND('领用录入（明细）'!D:D=$F$4,'领用录入（明细）'!C:C&gt;=$J$4,'领用录入（明细）'!C:C&lt;=$L$4),ROW(),"-")</f>
        <v>-</v>
      </c>
    </row>
    <row r="12499" customHeight="1" spans="2:2">
      <c r="B12499" s="62" t="str">
        <f>IF(AND('领用录入（明细）'!D:D=$F$4,'领用录入（明细）'!C:C&gt;=$J$4,'领用录入（明细）'!C:C&lt;=$L$4),ROW(),"-")</f>
        <v>-</v>
      </c>
    </row>
    <row r="12500" customHeight="1" spans="2:2">
      <c r="B12500" s="62" t="str">
        <f>IF(AND('领用录入（明细）'!D:D=$F$4,'领用录入（明细）'!C:C&gt;=$J$4,'领用录入（明细）'!C:C&lt;=$L$4),ROW(),"-")</f>
        <v>-</v>
      </c>
    </row>
    <row r="12501" customHeight="1" spans="2:2">
      <c r="B12501" s="62" t="str">
        <f>IF(AND('领用录入（明细）'!D:D=$F$4,'领用录入（明细）'!C:C&gt;=$J$4,'领用录入（明细）'!C:C&lt;=$L$4),ROW(),"-")</f>
        <v>-</v>
      </c>
    </row>
    <row r="12502" customHeight="1" spans="2:2">
      <c r="B12502" s="62" t="str">
        <f>IF(AND('领用录入（明细）'!D:D=$F$4,'领用录入（明细）'!C:C&gt;=$J$4,'领用录入（明细）'!C:C&lt;=$L$4),ROW(),"-")</f>
        <v>-</v>
      </c>
    </row>
    <row r="12503" customHeight="1" spans="2:2">
      <c r="B12503" s="62" t="str">
        <f>IF(AND('领用录入（明细）'!D:D=$F$4,'领用录入（明细）'!C:C&gt;=$J$4,'领用录入（明细）'!C:C&lt;=$L$4),ROW(),"-")</f>
        <v>-</v>
      </c>
    </row>
    <row r="12504" customHeight="1" spans="2:2">
      <c r="B12504" s="62" t="str">
        <f>IF(AND('领用录入（明细）'!D:D=$F$4,'领用录入（明细）'!C:C&gt;=$J$4,'领用录入（明细）'!C:C&lt;=$L$4),ROW(),"-")</f>
        <v>-</v>
      </c>
    </row>
    <row r="12505" customHeight="1" spans="2:2">
      <c r="B12505" s="62" t="str">
        <f>IF(AND('领用录入（明细）'!D:D=$F$4,'领用录入（明细）'!C:C&gt;=$J$4,'领用录入（明细）'!C:C&lt;=$L$4),ROW(),"-")</f>
        <v>-</v>
      </c>
    </row>
    <row r="12506" customHeight="1" spans="2:2">
      <c r="B12506" s="62" t="str">
        <f>IF(AND('领用录入（明细）'!D:D=$F$4,'领用录入（明细）'!C:C&gt;=$J$4,'领用录入（明细）'!C:C&lt;=$L$4),ROW(),"-")</f>
        <v>-</v>
      </c>
    </row>
    <row r="12507" customHeight="1" spans="2:2">
      <c r="B12507" s="62" t="str">
        <f>IF(AND('领用录入（明细）'!D:D=$F$4,'领用录入（明细）'!C:C&gt;=$J$4,'领用录入（明细）'!C:C&lt;=$L$4),ROW(),"-")</f>
        <v>-</v>
      </c>
    </row>
    <row r="12508" customHeight="1" spans="2:2">
      <c r="B12508" s="62" t="str">
        <f>IF(AND('领用录入（明细）'!D:D=$F$4,'领用录入（明细）'!C:C&gt;=$J$4,'领用录入（明细）'!C:C&lt;=$L$4),ROW(),"-")</f>
        <v>-</v>
      </c>
    </row>
    <row r="12509" customHeight="1" spans="2:2">
      <c r="B12509" s="62" t="str">
        <f>IF(AND('领用录入（明细）'!D:D=$F$4,'领用录入（明细）'!C:C&gt;=$J$4,'领用录入（明细）'!C:C&lt;=$L$4),ROW(),"-")</f>
        <v>-</v>
      </c>
    </row>
    <row r="12510" customHeight="1" spans="2:2">
      <c r="B12510" s="62" t="str">
        <f>IF(AND('领用录入（明细）'!D:D=$F$4,'领用录入（明细）'!C:C&gt;=$J$4,'领用录入（明细）'!C:C&lt;=$L$4),ROW(),"-")</f>
        <v>-</v>
      </c>
    </row>
    <row r="12511" customHeight="1" spans="2:2">
      <c r="B12511" s="62" t="str">
        <f>IF(AND('领用录入（明细）'!D:D=$F$4,'领用录入（明细）'!C:C&gt;=$J$4,'领用录入（明细）'!C:C&lt;=$L$4),ROW(),"-")</f>
        <v>-</v>
      </c>
    </row>
    <row r="12512" customHeight="1" spans="2:2">
      <c r="B12512" s="62" t="str">
        <f>IF(AND('领用录入（明细）'!D:D=$F$4,'领用录入（明细）'!C:C&gt;=$J$4,'领用录入（明细）'!C:C&lt;=$L$4),ROW(),"-")</f>
        <v>-</v>
      </c>
    </row>
    <row r="12513" customHeight="1" spans="2:2">
      <c r="B12513" s="62" t="str">
        <f>IF(AND('领用录入（明细）'!D:D=$F$4,'领用录入（明细）'!C:C&gt;=$J$4,'领用录入（明细）'!C:C&lt;=$L$4),ROW(),"-")</f>
        <v>-</v>
      </c>
    </row>
    <row r="12514" customHeight="1" spans="2:2">
      <c r="B12514" s="62" t="str">
        <f>IF(AND('领用录入（明细）'!D:D=$F$4,'领用录入（明细）'!C:C&gt;=$J$4,'领用录入（明细）'!C:C&lt;=$L$4),ROW(),"-")</f>
        <v>-</v>
      </c>
    </row>
    <row r="12515" customHeight="1" spans="2:2">
      <c r="B12515" s="62" t="str">
        <f>IF(AND('领用录入（明细）'!D:D=$F$4,'领用录入（明细）'!C:C&gt;=$J$4,'领用录入（明细）'!C:C&lt;=$L$4),ROW(),"-")</f>
        <v>-</v>
      </c>
    </row>
    <row r="12516" customHeight="1" spans="2:2">
      <c r="B12516" s="62" t="str">
        <f>IF(AND('领用录入（明细）'!D:D=$F$4,'领用录入（明细）'!C:C&gt;=$J$4,'领用录入（明细）'!C:C&lt;=$L$4),ROW(),"-")</f>
        <v>-</v>
      </c>
    </row>
    <row r="12517" customHeight="1" spans="2:2">
      <c r="B12517" s="62" t="str">
        <f>IF(AND('领用录入（明细）'!D:D=$F$4,'领用录入（明细）'!C:C&gt;=$J$4,'领用录入（明细）'!C:C&lt;=$L$4),ROW(),"-")</f>
        <v>-</v>
      </c>
    </row>
    <row r="12518" customHeight="1" spans="2:2">
      <c r="B12518" s="62" t="str">
        <f>IF(AND('领用录入（明细）'!D:D=$F$4,'领用录入（明细）'!C:C&gt;=$J$4,'领用录入（明细）'!C:C&lt;=$L$4),ROW(),"-")</f>
        <v>-</v>
      </c>
    </row>
    <row r="12519" customHeight="1" spans="2:2">
      <c r="B12519" s="62" t="str">
        <f>IF(AND('领用录入（明细）'!D:D=$F$4,'领用录入（明细）'!C:C&gt;=$J$4,'领用录入（明细）'!C:C&lt;=$L$4),ROW(),"-")</f>
        <v>-</v>
      </c>
    </row>
    <row r="12520" customHeight="1" spans="2:2">
      <c r="B12520" s="62" t="str">
        <f>IF(AND('领用录入（明细）'!D:D=$F$4,'领用录入（明细）'!C:C&gt;=$J$4,'领用录入（明细）'!C:C&lt;=$L$4),ROW(),"-")</f>
        <v>-</v>
      </c>
    </row>
    <row r="12521" customHeight="1" spans="2:2">
      <c r="B12521" s="62" t="str">
        <f>IF(AND('领用录入（明细）'!D:D=$F$4,'领用录入（明细）'!C:C&gt;=$J$4,'领用录入（明细）'!C:C&lt;=$L$4),ROW(),"-")</f>
        <v>-</v>
      </c>
    </row>
    <row r="12522" customHeight="1" spans="2:2">
      <c r="B12522" s="62" t="str">
        <f>IF(AND('领用录入（明细）'!D:D=$F$4,'领用录入（明细）'!C:C&gt;=$J$4,'领用录入（明细）'!C:C&lt;=$L$4),ROW(),"-")</f>
        <v>-</v>
      </c>
    </row>
    <row r="12523" customHeight="1" spans="2:2">
      <c r="B12523" s="62" t="str">
        <f>IF(AND('领用录入（明细）'!D:D=$F$4,'领用录入（明细）'!C:C&gt;=$J$4,'领用录入（明细）'!C:C&lt;=$L$4),ROW(),"-")</f>
        <v>-</v>
      </c>
    </row>
    <row r="12524" customHeight="1" spans="2:2">
      <c r="B12524" s="62" t="str">
        <f>IF(AND('领用录入（明细）'!D:D=$F$4,'领用录入（明细）'!C:C&gt;=$J$4,'领用录入（明细）'!C:C&lt;=$L$4),ROW(),"-")</f>
        <v>-</v>
      </c>
    </row>
    <row r="12525" customHeight="1" spans="2:2">
      <c r="B12525" s="62" t="str">
        <f>IF(AND('领用录入（明细）'!D:D=$F$4,'领用录入（明细）'!C:C&gt;=$J$4,'领用录入（明细）'!C:C&lt;=$L$4),ROW(),"-")</f>
        <v>-</v>
      </c>
    </row>
    <row r="12526" customHeight="1" spans="2:2">
      <c r="B12526" s="62" t="str">
        <f>IF(AND('领用录入（明细）'!D:D=$F$4,'领用录入（明细）'!C:C&gt;=$J$4,'领用录入（明细）'!C:C&lt;=$L$4),ROW(),"-")</f>
        <v>-</v>
      </c>
    </row>
    <row r="12527" customHeight="1" spans="2:2">
      <c r="B12527" s="62" t="str">
        <f>IF(AND('领用录入（明细）'!D:D=$F$4,'领用录入（明细）'!C:C&gt;=$J$4,'领用录入（明细）'!C:C&lt;=$L$4),ROW(),"-")</f>
        <v>-</v>
      </c>
    </row>
    <row r="12528" customHeight="1" spans="2:2">
      <c r="B12528" s="62" t="str">
        <f>IF(AND('领用录入（明细）'!D:D=$F$4,'领用录入（明细）'!C:C&gt;=$J$4,'领用录入（明细）'!C:C&lt;=$L$4),ROW(),"-")</f>
        <v>-</v>
      </c>
    </row>
    <row r="12529" customHeight="1" spans="2:2">
      <c r="B12529" s="62" t="str">
        <f>IF(AND('领用录入（明细）'!D:D=$F$4,'领用录入（明细）'!C:C&gt;=$J$4,'领用录入（明细）'!C:C&lt;=$L$4),ROW(),"-")</f>
        <v>-</v>
      </c>
    </row>
    <row r="12530" customHeight="1" spans="2:2">
      <c r="B12530" s="62" t="str">
        <f>IF(AND('领用录入（明细）'!D:D=$F$4,'领用录入（明细）'!C:C&gt;=$J$4,'领用录入（明细）'!C:C&lt;=$L$4),ROW(),"-")</f>
        <v>-</v>
      </c>
    </row>
    <row r="12531" customHeight="1" spans="2:2">
      <c r="B12531" s="62" t="str">
        <f>IF(AND('领用录入（明细）'!D:D=$F$4,'领用录入（明细）'!C:C&gt;=$J$4,'领用录入（明细）'!C:C&lt;=$L$4),ROW(),"-")</f>
        <v>-</v>
      </c>
    </row>
    <row r="12532" customHeight="1" spans="2:2">
      <c r="B12532" s="62" t="str">
        <f>IF(AND('领用录入（明细）'!D:D=$F$4,'领用录入（明细）'!C:C&gt;=$J$4,'领用录入（明细）'!C:C&lt;=$L$4),ROW(),"-")</f>
        <v>-</v>
      </c>
    </row>
    <row r="12533" customHeight="1" spans="2:2">
      <c r="B12533" s="62" t="str">
        <f>IF(AND('领用录入（明细）'!D:D=$F$4,'领用录入（明细）'!C:C&gt;=$J$4,'领用录入（明细）'!C:C&lt;=$L$4),ROW(),"-")</f>
        <v>-</v>
      </c>
    </row>
    <row r="12534" customHeight="1" spans="2:2">
      <c r="B12534" s="62" t="str">
        <f>IF(AND('领用录入（明细）'!D:D=$F$4,'领用录入（明细）'!C:C&gt;=$J$4,'领用录入（明细）'!C:C&lt;=$L$4),ROW(),"-")</f>
        <v>-</v>
      </c>
    </row>
    <row r="12535" customHeight="1" spans="2:2">
      <c r="B12535" s="62" t="str">
        <f>IF(AND('领用录入（明细）'!D:D=$F$4,'领用录入（明细）'!C:C&gt;=$J$4,'领用录入（明细）'!C:C&lt;=$L$4),ROW(),"-")</f>
        <v>-</v>
      </c>
    </row>
    <row r="12536" customHeight="1" spans="2:2">
      <c r="B12536" s="62" t="str">
        <f>IF(AND('领用录入（明细）'!D:D=$F$4,'领用录入（明细）'!C:C&gt;=$J$4,'领用录入（明细）'!C:C&lt;=$L$4),ROW(),"-")</f>
        <v>-</v>
      </c>
    </row>
    <row r="12537" customHeight="1" spans="2:2">
      <c r="B12537" s="62" t="str">
        <f>IF(AND('领用录入（明细）'!D:D=$F$4,'领用录入（明细）'!C:C&gt;=$J$4,'领用录入（明细）'!C:C&lt;=$L$4),ROW(),"-")</f>
        <v>-</v>
      </c>
    </row>
    <row r="12538" customHeight="1" spans="2:2">
      <c r="B12538" s="62" t="str">
        <f>IF(AND('领用录入（明细）'!D:D=$F$4,'领用录入（明细）'!C:C&gt;=$J$4,'领用录入（明细）'!C:C&lt;=$L$4),ROW(),"-")</f>
        <v>-</v>
      </c>
    </row>
    <row r="12539" customHeight="1" spans="2:2">
      <c r="B12539" s="62" t="str">
        <f>IF(AND('领用录入（明细）'!D:D=$F$4,'领用录入（明细）'!C:C&gt;=$J$4,'领用录入（明细）'!C:C&lt;=$L$4),ROW(),"-")</f>
        <v>-</v>
      </c>
    </row>
    <row r="12540" customHeight="1" spans="2:2">
      <c r="B12540" s="62" t="str">
        <f>IF(AND('领用录入（明细）'!D:D=$F$4,'领用录入（明细）'!C:C&gt;=$J$4,'领用录入（明细）'!C:C&lt;=$L$4),ROW(),"-")</f>
        <v>-</v>
      </c>
    </row>
    <row r="12541" customHeight="1" spans="2:2">
      <c r="B12541" s="62" t="str">
        <f>IF(AND('领用录入（明细）'!D:D=$F$4,'领用录入（明细）'!C:C&gt;=$J$4,'领用录入（明细）'!C:C&lt;=$L$4),ROW(),"-")</f>
        <v>-</v>
      </c>
    </row>
    <row r="12542" customHeight="1" spans="2:2">
      <c r="B12542" s="62" t="str">
        <f>IF(AND('领用录入（明细）'!D:D=$F$4,'领用录入（明细）'!C:C&gt;=$J$4,'领用录入（明细）'!C:C&lt;=$L$4),ROW(),"-")</f>
        <v>-</v>
      </c>
    </row>
    <row r="12543" customHeight="1" spans="2:2">
      <c r="B12543" s="62" t="str">
        <f>IF(AND('领用录入（明细）'!D:D=$F$4,'领用录入（明细）'!C:C&gt;=$J$4,'领用录入（明细）'!C:C&lt;=$L$4),ROW(),"-")</f>
        <v>-</v>
      </c>
    </row>
    <row r="12544" customHeight="1" spans="2:2">
      <c r="B12544" s="62" t="str">
        <f>IF(AND('领用录入（明细）'!D:D=$F$4,'领用录入（明细）'!C:C&gt;=$J$4,'领用录入（明细）'!C:C&lt;=$L$4),ROW(),"-")</f>
        <v>-</v>
      </c>
    </row>
    <row r="12545" customHeight="1" spans="2:2">
      <c r="B12545" s="62" t="str">
        <f>IF(AND('领用录入（明细）'!D:D=$F$4,'领用录入（明细）'!C:C&gt;=$J$4,'领用录入（明细）'!C:C&lt;=$L$4),ROW(),"-")</f>
        <v>-</v>
      </c>
    </row>
    <row r="12546" customHeight="1" spans="2:2">
      <c r="B12546" s="62" t="str">
        <f>IF(AND('领用录入（明细）'!D:D=$F$4,'领用录入（明细）'!C:C&gt;=$J$4,'领用录入（明细）'!C:C&lt;=$L$4),ROW(),"-")</f>
        <v>-</v>
      </c>
    </row>
    <row r="12547" customHeight="1" spans="2:2">
      <c r="B12547" s="62" t="str">
        <f>IF(AND('领用录入（明细）'!D:D=$F$4,'领用录入（明细）'!C:C&gt;=$J$4,'领用录入（明细）'!C:C&lt;=$L$4),ROW(),"-")</f>
        <v>-</v>
      </c>
    </row>
    <row r="12548" customHeight="1" spans="2:2">
      <c r="B12548" s="62" t="str">
        <f>IF(AND('领用录入（明细）'!D:D=$F$4,'领用录入（明细）'!C:C&gt;=$J$4,'领用录入（明细）'!C:C&lt;=$L$4),ROW(),"-")</f>
        <v>-</v>
      </c>
    </row>
    <row r="12549" customHeight="1" spans="2:2">
      <c r="B12549" s="62" t="str">
        <f>IF(AND('领用录入（明细）'!D:D=$F$4,'领用录入（明细）'!C:C&gt;=$J$4,'领用录入（明细）'!C:C&lt;=$L$4),ROW(),"-")</f>
        <v>-</v>
      </c>
    </row>
    <row r="12550" customHeight="1" spans="2:2">
      <c r="B12550" s="62" t="str">
        <f>IF(AND('领用录入（明细）'!D:D=$F$4,'领用录入（明细）'!C:C&gt;=$J$4,'领用录入（明细）'!C:C&lt;=$L$4),ROW(),"-")</f>
        <v>-</v>
      </c>
    </row>
    <row r="12551" customHeight="1" spans="2:2">
      <c r="B12551" s="62" t="str">
        <f>IF(AND('领用录入（明细）'!D:D=$F$4,'领用录入（明细）'!C:C&gt;=$J$4,'领用录入（明细）'!C:C&lt;=$L$4),ROW(),"-")</f>
        <v>-</v>
      </c>
    </row>
    <row r="12552" customHeight="1" spans="2:2">
      <c r="B12552" s="62" t="str">
        <f>IF(AND('领用录入（明细）'!D:D=$F$4,'领用录入（明细）'!C:C&gt;=$J$4,'领用录入（明细）'!C:C&lt;=$L$4),ROW(),"-")</f>
        <v>-</v>
      </c>
    </row>
    <row r="12553" customHeight="1" spans="2:2">
      <c r="B12553" s="62" t="str">
        <f>IF(AND('领用录入（明细）'!D:D=$F$4,'领用录入（明细）'!C:C&gt;=$J$4,'领用录入（明细）'!C:C&lt;=$L$4),ROW(),"-")</f>
        <v>-</v>
      </c>
    </row>
    <row r="12554" customHeight="1" spans="2:2">
      <c r="B12554" s="62" t="str">
        <f>IF(AND('领用录入（明细）'!D:D=$F$4,'领用录入（明细）'!C:C&gt;=$J$4,'领用录入（明细）'!C:C&lt;=$L$4),ROW(),"-")</f>
        <v>-</v>
      </c>
    </row>
    <row r="12555" customHeight="1" spans="2:2">
      <c r="B12555" s="62" t="str">
        <f>IF(AND('领用录入（明细）'!D:D=$F$4,'领用录入（明细）'!C:C&gt;=$J$4,'领用录入（明细）'!C:C&lt;=$L$4),ROW(),"-")</f>
        <v>-</v>
      </c>
    </row>
    <row r="12556" customHeight="1" spans="2:2">
      <c r="B12556" s="62" t="str">
        <f>IF(AND('领用录入（明细）'!D:D=$F$4,'领用录入（明细）'!C:C&gt;=$J$4,'领用录入（明细）'!C:C&lt;=$L$4),ROW(),"-")</f>
        <v>-</v>
      </c>
    </row>
    <row r="12557" customHeight="1" spans="2:2">
      <c r="B12557" s="62" t="str">
        <f>IF(AND('领用录入（明细）'!D:D=$F$4,'领用录入（明细）'!C:C&gt;=$J$4,'领用录入（明细）'!C:C&lt;=$L$4),ROW(),"-")</f>
        <v>-</v>
      </c>
    </row>
    <row r="12558" customHeight="1" spans="2:2">
      <c r="B12558" s="62" t="str">
        <f>IF(AND('领用录入（明细）'!D:D=$F$4,'领用录入（明细）'!C:C&gt;=$J$4,'领用录入（明细）'!C:C&lt;=$L$4),ROW(),"-")</f>
        <v>-</v>
      </c>
    </row>
    <row r="12559" customHeight="1" spans="2:2">
      <c r="B12559" s="62" t="str">
        <f>IF(AND('领用录入（明细）'!D:D=$F$4,'领用录入（明细）'!C:C&gt;=$J$4,'领用录入（明细）'!C:C&lt;=$L$4),ROW(),"-")</f>
        <v>-</v>
      </c>
    </row>
    <row r="12560" customHeight="1" spans="2:2">
      <c r="B12560" s="62" t="str">
        <f>IF(AND('领用录入（明细）'!D:D=$F$4,'领用录入（明细）'!C:C&gt;=$J$4,'领用录入（明细）'!C:C&lt;=$L$4),ROW(),"-")</f>
        <v>-</v>
      </c>
    </row>
    <row r="12561" customHeight="1" spans="2:2">
      <c r="B12561" s="62" t="str">
        <f>IF(AND('领用录入（明细）'!D:D=$F$4,'领用录入（明细）'!C:C&gt;=$J$4,'领用录入（明细）'!C:C&lt;=$L$4),ROW(),"-")</f>
        <v>-</v>
      </c>
    </row>
    <row r="12562" customHeight="1" spans="2:2">
      <c r="B12562" s="62" t="str">
        <f>IF(AND('领用录入（明细）'!D:D=$F$4,'领用录入（明细）'!C:C&gt;=$J$4,'领用录入（明细）'!C:C&lt;=$L$4),ROW(),"-")</f>
        <v>-</v>
      </c>
    </row>
    <row r="12563" customHeight="1" spans="2:2">
      <c r="B12563" s="62" t="str">
        <f>IF(AND('领用录入（明细）'!D:D=$F$4,'领用录入（明细）'!C:C&gt;=$J$4,'领用录入（明细）'!C:C&lt;=$L$4),ROW(),"-")</f>
        <v>-</v>
      </c>
    </row>
    <row r="12564" customHeight="1" spans="2:2">
      <c r="B12564" s="62" t="str">
        <f>IF(AND('领用录入（明细）'!D:D=$F$4,'领用录入（明细）'!C:C&gt;=$J$4,'领用录入（明细）'!C:C&lt;=$L$4),ROW(),"-")</f>
        <v>-</v>
      </c>
    </row>
    <row r="12565" customHeight="1" spans="2:2">
      <c r="B12565" s="62" t="str">
        <f>IF(AND('领用录入（明细）'!D:D=$F$4,'领用录入（明细）'!C:C&gt;=$J$4,'领用录入（明细）'!C:C&lt;=$L$4),ROW(),"-")</f>
        <v>-</v>
      </c>
    </row>
    <row r="12566" customHeight="1" spans="2:2">
      <c r="B12566" s="62" t="str">
        <f>IF(AND('领用录入（明细）'!D:D=$F$4,'领用录入（明细）'!C:C&gt;=$J$4,'领用录入（明细）'!C:C&lt;=$L$4),ROW(),"-")</f>
        <v>-</v>
      </c>
    </row>
    <row r="12567" customHeight="1" spans="2:2">
      <c r="B12567" s="62" t="str">
        <f>IF(AND('领用录入（明细）'!D:D=$F$4,'领用录入（明细）'!C:C&gt;=$J$4,'领用录入（明细）'!C:C&lt;=$L$4),ROW(),"-")</f>
        <v>-</v>
      </c>
    </row>
    <row r="12568" customHeight="1" spans="2:2">
      <c r="B12568" s="62" t="str">
        <f>IF(AND('领用录入（明细）'!D:D=$F$4,'领用录入（明细）'!C:C&gt;=$J$4,'领用录入（明细）'!C:C&lt;=$L$4),ROW(),"-")</f>
        <v>-</v>
      </c>
    </row>
    <row r="12569" customHeight="1" spans="2:2">
      <c r="B12569" s="62" t="str">
        <f>IF(AND('领用录入（明细）'!D:D=$F$4,'领用录入（明细）'!C:C&gt;=$J$4,'领用录入（明细）'!C:C&lt;=$L$4),ROW(),"-")</f>
        <v>-</v>
      </c>
    </row>
    <row r="12570" customHeight="1" spans="2:2">
      <c r="B12570" s="62" t="str">
        <f>IF(AND('领用录入（明细）'!D:D=$F$4,'领用录入（明细）'!C:C&gt;=$J$4,'领用录入（明细）'!C:C&lt;=$L$4),ROW(),"-")</f>
        <v>-</v>
      </c>
    </row>
    <row r="12571" customHeight="1" spans="2:2">
      <c r="B12571" s="62" t="str">
        <f>IF(AND('领用录入（明细）'!D:D=$F$4,'领用录入（明细）'!C:C&gt;=$J$4,'领用录入（明细）'!C:C&lt;=$L$4),ROW(),"-")</f>
        <v>-</v>
      </c>
    </row>
    <row r="12572" customHeight="1" spans="2:2">
      <c r="B12572" s="62" t="str">
        <f>IF(AND('领用录入（明细）'!D:D=$F$4,'领用录入（明细）'!C:C&gt;=$J$4,'领用录入（明细）'!C:C&lt;=$L$4),ROW(),"-")</f>
        <v>-</v>
      </c>
    </row>
    <row r="12573" customHeight="1" spans="2:2">
      <c r="B12573" s="62" t="str">
        <f>IF(AND('领用录入（明细）'!D:D=$F$4,'领用录入（明细）'!C:C&gt;=$J$4,'领用录入（明细）'!C:C&lt;=$L$4),ROW(),"-")</f>
        <v>-</v>
      </c>
    </row>
    <row r="12574" customHeight="1" spans="2:2">
      <c r="B12574" s="62" t="str">
        <f>IF(AND('领用录入（明细）'!D:D=$F$4,'领用录入（明细）'!C:C&gt;=$J$4,'领用录入（明细）'!C:C&lt;=$L$4),ROW(),"-")</f>
        <v>-</v>
      </c>
    </row>
    <row r="12575" customHeight="1" spans="2:2">
      <c r="B12575" s="62" t="str">
        <f>IF(AND('领用录入（明细）'!D:D=$F$4,'领用录入（明细）'!C:C&gt;=$J$4,'领用录入（明细）'!C:C&lt;=$L$4),ROW(),"-")</f>
        <v>-</v>
      </c>
    </row>
    <row r="12576" customHeight="1" spans="2:2">
      <c r="B12576" s="62" t="str">
        <f>IF(AND('领用录入（明细）'!D:D=$F$4,'领用录入（明细）'!C:C&gt;=$J$4,'领用录入（明细）'!C:C&lt;=$L$4),ROW(),"-")</f>
        <v>-</v>
      </c>
    </row>
    <row r="12577" customHeight="1" spans="2:2">
      <c r="B12577" s="62" t="str">
        <f>IF(AND('领用录入（明细）'!D:D=$F$4,'领用录入（明细）'!C:C&gt;=$J$4,'领用录入（明细）'!C:C&lt;=$L$4),ROW(),"-")</f>
        <v>-</v>
      </c>
    </row>
    <row r="12578" customHeight="1" spans="2:2">
      <c r="B12578" s="62" t="str">
        <f>IF(AND('领用录入（明细）'!D:D=$F$4,'领用录入（明细）'!C:C&gt;=$J$4,'领用录入（明细）'!C:C&lt;=$L$4),ROW(),"-")</f>
        <v>-</v>
      </c>
    </row>
    <row r="12579" customHeight="1" spans="2:2">
      <c r="B12579" s="62" t="str">
        <f>IF(AND('领用录入（明细）'!D:D=$F$4,'领用录入（明细）'!C:C&gt;=$J$4,'领用录入（明细）'!C:C&lt;=$L$4),ROW(),"-")</f>
        <v>-</v>
      </c>
    </row>
    <row r="12580" customHeight="1" spans="2:2">
      <c r="B12580" s="62" t="str">
        <f>IF(AND('领用录入（明细）'!D:D=$F$4,'领用录入（明细）'!C:C&gt;=$J$4,'领用录入（明细）'!C:C&lt;=$L$4),ROW(),"-")</f>
        <v>-</v>
      </c>
    </row>
    <row r="12581" customHeight="1" spans="2:2">
      <c r="B12581" s="62" t="str">
        <f>IF(AND('领用录入（明细）'!D:D=$F$4,'领用录入（明细）'!C:C&gt;=$J$4,'领用录入（明细）'!C:C&lt;=$L$4),ROW(),"-")</f>
        <v>-</v>
      </c>
    </row>
    <row r="12582" customHeight="1" spans="2:2">
      <c r="B12582" s="62" t="str">
        <f>IF(AND('领用录入（明细）'!D:D=$F$4,'领用录入（明细）'!C:C&gt;=$J$4,'领用录入（明细）'!C:C&lt;=$L$4),ROW(),"-")</f>
        <v>-</v>
      </c>
    </row>
    <row r="12583" customHeight="1" spans="2:2">
      <c r="B12583" s="62" t="str">
        <f>IF(AND('领用录入（明细）'!D:D=$F$4,'领用录入（明细）'!C:C&gt;=$J$4,'领用录入（明细）'!C:C&lt;=$L$4),ROW(),"-")</f>
        <v>-</v>
      </c>
    </row>
    <row r="12584" customHeight="1" spans="2:2">
      <c r="B12584" s="62" t="str">
        <f>IF(AND('领用录入（明细）'!D:D=$F$4,'领用录入（明细）'!C:C&gt;=$J$4,'领用录入（明细）'!C:C&lt;=$L$4),ROW(),"-")</f>
        <v>-</v>
      </c>
    </row>
    <row r="12585" customHeight="1" spans="2:2">
      <c r="B12585" s="62" t="str">
        <f>IF(AND('领用录入（明细）'!D:D=$F$4,'领用录入（明细）'!C:C&gt;=$J$4,'领用录入（明细）'!C:C&lt;=$L$4),ROW(),"-")</f>
        <v>-</v>
      </c>
    </row>
    <row r="12586" customHeight="1" spans="2:2">
      <c r="B12586" s="62" t="str">
        <f>IF(AND('领用录入（明细）'!D:D=$F$4,'领用录入（明细）'!C:C&gt;=$J$4,'领用录入（明细）'!C:C&lt;=$L$4),ROW(),"-")</f>
        <v>-</v>
      </c>
    </row>
    <row r="12587" customHeight="1" spans="2:2">
      <c r="B12587" s="62" t="str">
        <f>IF(AND('领用录入（明细）'!D:D=$F$4,'领用录入（明细）'!C:C&gt;=$J$4,'领用录入（明细）'!C:C&lt;=$L$4),ROW(),"-")</f>
        <v>-</v>
      </c>
    </row>
    <row r="12588" customHeight="1" spans="2:2">
      <c r="B12588" s="62" t="str">
        <f>IF(AND('领用录入（明细）'!D:D=$F$4,'领用录入（明细）'!C:C&gt;=$J$4,'领用录入（明细）'!C:C&lt;=$L$4),ROW(),"-")</f>
        <v>-</v>
      </c>
    </row>
    <row r="12589" customHeight="1" spans="2:2">
      <c r="B12589" s="62" t="str">
        <f>IF(AND('领用录入（明细）'!D:D=$F$4,'领用录入（明细）'!C:C&gt;=$J$4,'领用录入（明细）'!C:C&lt;=$L$4),ROW(),"-")</f>
        <v>-</v>
      </c>
    </row>
    <row r="12590" customHeight="1" spans="2:2">
      <c r="B12590" s="62" t="str">
        <f>IF(AND('领用录入（明细）'!D:D=$F$4,'领用录入（明细）'!C:C&gt;=$J$4,'领用录入（明细）'!C:C&lt;=$L$4),ROW(),"-")</f>
        <v>-</v>
      </c>
    </row>
    <row r="12591" customHeight="1" spans="2:2">
      <c r="B12591" s="62" t="str">
        <f>IF(AND('领用录入（明细）'!D:D=$F$4,'领用录入（明细）'!C:C&gt;=$J$4,'领用录入（明细）'!C:C&lt;=$L$4),ROW(),"-")</f>
        <v>-</v>
      </c>
    </row>
    <row r="12592" customHeight="1" spans="2:2">
      <c r="B12592" s="62" t="str">
        <f>IF(AND('领用录入（明细）'!D:D=$F$4,'领用录入（明细）'!C:C&gt;=$J$4,'领用录入（明细）'!C:C&lt;=$L$4),ROW(),"-")</f>
        <v>-</v>
      </c>
    </row>
    <row r="12593" customHeight="1" spans="2:2">
      <c r="B12593" s="62" t="str">
        <f>IF(AND('领用录入（明细）'!D:D=$F$4,'领用录入（明细）'!C:C&gt;=$J$4,'领用录入（明细）'!C:C&lt;=$L$4),ROW(),"-")</f>
        <v>-</v>
      </c>
    </row>
    <row r="12594" customHeight="1" spans="2:2">
      <c r="B12594" s="62" t="str">
        <f>IF(AND('领用录入（明细）'!D:D=$F$4,'领用录入（明细）'!C:C&gt;=$J$4,'领用录入（明细）'!C:C&lt;=$L$4),ROW(),"-")</f>
        <v>-</v>
      </c>
    </row>
    <row r="12595" customHeight="1" spans="2:2">
      <c r="B12595" s="62" t="str">
        <f>IF(AND('领用录入（明细）'!D:D=$F$4,'领用录入（明细）'!C:C&gt;=$J$4,'领用录入（明细）'!C:C&lt;=$L$4),ROW(),"-")</f>
        <v>-</v>
      </c>
    </row>
    <row r="12596" customHeight="1" spans="2:2">
      <c r="B12596" s="62" t="str">
        <f>IF(AND('领用录入（明细）'!D:D=$F$4,'领用录入（明细）'!C:C&gt;=$J$4,'领用录入（明细）'!C:C&lt;=$L$4),ROW(),"-")</f>
        <v>-</v>
      </c>
    </row>
    <row r="12597" customHeight="1" spans="2:2">
      <c r="B12597" s="62" t="str">
        <f>IF(AND('领用录入（明细）'!D:D=$F$4,'领用录入（明细）'!C:C&gt;=$J$4,'领用录入（明细）'!C:C&lt;=$L$4),ROW(),"-")</f>
        <v>-</v>
      </c>
    </row>
    <row r="12598" customHeight="1" spans="2:2">
      <c r="B12598" s="62" t="str">
        <f>IF(AND('领用录入（明细）'!D:D=$F$4,'领用录入（明细）'!C:C&gt;=$J$4,'领用录入（明细）'!C:C&lt;=$L$4),ROW(),"-")</f>
        <v>-</v>
      </c>
    </row>
    <row r="12599" customHeight="1" spans="2:2">
      <c r="B12599" s="62" t="str">
        <f>IF(AND('领用录入（明细）'!D:D=$F$4,'领用录入（明细）'!C:C&gt;=$J$4,'领用录入（明细）'!C:C&lt;=$L$4),ROW(),"-")</f>
        <v>-</v>
      </c>
    </row>
    <row r="12600" customHeight="1" spans="2:2">
      <c r="B12600" s="62" t="str">
        <f>IF(AND('领用录入（明细）'!D:D=$F$4,'领用录入（明细）'!C:C&gt;=$J$4,'领用录入（明细）'!C:C&lt;=$L$4),ROW(),"-")</f>
        <v>-</v>
      </c>
    </row>
    <row r="12601" customHeight="1" spans="2:2">
      <c r="B12601" s="62" t="str">
        <f>IF(AND('领用录入（明细）'!D:D=$F$4,'领用录入（明细）'!C:C&gt;=$J$4,'领用录入（明细）'!C:C&lt;=$L$4),ROW(),"-")</f>
        <v>-</v>
      </c>
    </row>
    <row r="12602" customHeight="1" spans="2:2">
      <c r="B12602" s="62" t="str">
        <f>IF(AND('领用录入（明细）'!D:D=$F$4,'领用录入（明细）'!C:C&gt;=$J$4,'领用录入（明细）'!C:C&lt;=$L$4),ROW(),"-")</f>
        <v>-</v>
      </c>
    </row>
    <row r="12603" customHeight="1" spans="2:2">
      <c r="B12603" s="62" t="str">
        <f>IF(AND('领用录入（明细）'!D:D=$F$4,'领用录入（明细）'!C:C&gt;=$J$4,'领用录入（明细）'!C:C&lt;=$L$4),ROW(),"-")</f>
        <v>-</v>
      </c>
    </row>
    <row r="12604" customHeight="1" spans="2:2">
      <c r="B12604" s="62" t="str">
        <f>IF(AND('领用录入（明细）'!D:D=$F$4,'领用录入（明细）'!C:C&gt;=$J$4,'领用录入（明细）'!C:C&lt;=$L$4),ROW(),"-")</f>
        <v>-</v>
      </c>
    </row>
    <row r="12605" customHeight="1" spans="2:2">
      <c r="B12605" s="62" t="str">
        <f>IF(AND('领用录入（明细）'!D:D=$F$4,'领用录入（明细）'!C:C&gt;=$J$4,'领用录入（明细）'!C:C&lt;=$L$4),ROW(),"-")</f>
        <v>-</v>
      </c>
    </row>
    <row r="12606" customHeight="1" spans="2:2">
      <c r="B12606" s="62" t="str">
        <f>IF(AND('领用录入（明细）'!D:D=$F$4,'领用录入（明细）'!C:C&gt;=$J$4,'领用录入（明细）'!C:C&lt;=$L$4),ROW(),"-")</f>
        <v>-</v>
      </c>
    </row>
    <row r="12607" customHeight="1" spans="2:2">
      <c r="B12607" s="62" t="str">
        <f>IF(AND('领用录入（明细）'!D:D=$F$4,'领用录入（明细）'!C:C&gt;=$J$4,'领用录入（明细）'!C:C&lt;=$L$4),ROW(),"-")</f>
        <v>-</v>
      </c>
    </row>
    <row r="12608" customHeight="1" spans="2:2">
      <c r="B12608" s="62" t="str">
        <f>IF(AND('领用录入（明细）'!D:D=$F$4,'领用录入（明细）'!C:C&gt;=$J$4,'领用录入（明细）'!C:C&lt;=$L$4),ROW(),"-")</f>
        <v>-</v>
      </c>
    </row>
    <row r="12609" customHeight="1" spans="2:2">
      <c r="B12609" s="62" t="str">
        <f>IF(AND('领用录入（明细）'!D:D=$F$4,'领用录入（明细）'!C:C&gt;=$J$4,'领用录入（明细）'!C:C&lt;=$L$4),ROW(),"-")</f>
        <v>-</v>
      </c>
    </row>
    <row r="12610" customHeight="1" spans="2:2">
      <c r="B12610" s="62" t="str">
        <f>IF(AND('领用录入（明细）'!D:D=$F$4,'领用录入（明细）'!C:C&gt;=$J$4,'领用录入（明细）'!C:C&lt;=$L$4),ROW(),"-")</f>
        <v>-</v>
      </c>
    </row>
    <row r="12611" customHeight="1" spans="2:2">
      <c r="B12611" s="62" t="str">
        <f>IF(AND('领用录入（明细）'!D:D=$F$4,'领用录入（明细）'!C:C&gt;=$J$4,'领用录入（明细）'!C:C&lt;=$L$4),ROW(),"-")</f>
        <v>-</v>
      </c>
    </row>
    <row r="12612" customHeight="1" spans="2:2">
      <c r="B12612" s="62" t="str">
        <f>IF(AND('领用录入（明细）'!D:D=$F$4,'领用录入（明细）'!C:C&gt;=$J$4,'领用录入（明细）'!C:C&lt;=$L$4),ROW(),"-")</f>
        <v>-</v>
      </c>
    </row>
    <row r="12613" customHeight="1" spans="2:2">
      <c r="B12613" s="62" t="str">
        <f>IF(AND('领用录入（明细）'!D:D=$F$4,'领用录入（明细）'!C:C&gt;=$J$4,'领用录入（明细）'!C:C&lt;=$L$4),ROW(),"-")</f>
        <v>-</v>
      </c>
    </row>
    <row r="12614" customHeight="1" spans="2:2">
      <c r="B12614" s="62" t="str">
        <f>IF(AND('领用录入（明细）'!D:D=$F$4,'领用录入（明细）'!C:C&gt;=$J$4,'领用录入（明细）'!C:C&lt;=$L$4),ROW(),"-")</f>
        <v>-</v>
      </c>
    </row>
    <row r="12615" customHeight="1" spans="2:2">
      <c r="B12615" s="62" t="str">
        <f>IF(AND('领用录入（明细）'!D:D=$F$4,'领用录入（明细）'!C:C&gt;=$J$4,'领用录入（明细）'!C:C&lt;=$L$4),ROW(),"-")</f>
        <v>-</v>
      </c>
    </row>
    <row r="12616" customHeight="1" spans="2:2">
      <c r="B12616" s="62" t="str">
        <f>IF(AND('领用录入（明细）'!D:D=$F$4,'领用录入（明细）'!C:C&gt;=$J$4,'领用录入（明细）'!C:C&lt;=$L$4),ROW(),"-")</f>
        <v>-</v>
      </c>
    </row>
    <row r="12617" customHeight="1" spans="2:2">
      <c r="B12617" s="62" t="str">
        <f>IF(AND('领用录入（明细）'!D:D=$F$4,'领用录入（明细）'!C:C&gt;=$J$4,'领用录入（明细）'!C:C&lt;=$L$4),ROW(),"-")</f>
        <v>-</v>
      </c>
    </row>
    <row r="12618" customHeight="1" spans="2:2">
      <c r="B12618" s="62" t="str">
        <f>IF(AND('领用录入（明细）'!D:D=$F$4,'领用录入（明细）'!C:C&gt;=$J$4,'领用录入（明细）'!C:C&lt;=$L$4),ROW(),"-")</f>
        <v>-</v>
      </c>
    </row>
    <row r="12619" customHeight="1" spans="2:2">
      <c r="B12619" s="62" t="str">
        <f>IF(AND('领用录入（明细）'!D:D=$F$4,'领用录入（明细）'!C:C&gt;=$J$4,'领用录入（明细）'!C:C&lt;=$L$4),ROW(),"-")</f>
        <v>-</v>
      </c>
    </row>
    <row r="12620" customHeight="1" spans="2:2">
      <c r="B12620" s="62" t="str">
        <f>IF(AND('领用录入（明细）'!D:D=$F$4,'领用录入（明细）'!C:C&gt;=$J$4,'领用录入（明细）'!C:C&lt;=$L$4),ROW(),"-")</f>
        <v>-</v>
      </c>
    </row>
    <row r="12621" customHeight="1" spans="2:2">
      <c r="B12621" s="62" t="str">
        <f>IF(AND('领用录入（明细）'!D:D=$F$4,'领用录入（明细）'!C:C&gt;=$J$4,'领用录入（明细）'!C:C&lt;=$L$4),ROW(),"-")</f>
        <v>-</v>
      </c>
    </row>
    <row r="12622" customHeight="1" spans="2:2">
      <c r="B12622" s="62" t="str">
        <f>IF(AND('领用录入（明细）'!D:D=$F$4,'领用录入（明细）'!C:C&gt;=$J$4,'领用录入（明细）'!C:C&lt;=$L$4),ROW(),"-")</f>
        <v>-</v>
      </c>
    </row>
    <row r="12623" customHeight="1" spans="2:2">
      <c r="B12623" s="62" t="str">
        <f>IF(AND('领用录入（明细）'!D:D=$F$4,'领用录入（明细）'!C:C&gt;=$J$4,'领用录入（明细）'!C:C&lt;=$L$4),ROW(),"-")</f>
        <v>-</v>
      </c>
    </row>
    <row r="12624" customHeight="1" spans="2:2">
      <c r="B12624" s="62" t="str">
        <f>IF(AND('领用录入（明细）'!D:D=$F$4,'领用录入（明细）'!C:C&gt;=$J$4,'领用录入（明细）'!C:C&lt;=$L$4),ROW(),"-")</f>
        <v>-</v>
      </c>
    </row>
    <row r="12625" customHeight="1" spans="2:2">
      <c r="B12625" s="62" t="str">
        <f>IF(AND('领用录入（明细）'!D:D=$F$4,'领用录入（明细）'!C:C&gt;=$J$4,'领用录入（明细）'!C:C&lt;=$L$4),ROW(),"-")</f>
        <v>-</v>
      </c>
    </row>
    <row r="12626" customHeight="1" spans="2:2">
      <c r="B12626" s="62" t="str">
        <f>IF(AND('领用录入（明细）'!D:D=$F$4,'领用录入（明细）'!C:C&gt;=$J$4,'领用录入（明细）'!C:C&lt;=$L$4),ROW(),"-")</f>
        <v>-</v>
      </c>
    </row>
    <row r="12627" customHeight="1" spans="2:2">
      <c r="B12627" s="62" t="str">
        <f>IF(AND('领用录入（明细）'!D:D=$F$4,'领用录入（明细）'!C:C&gt;=$J$4,'领用录入（明细）'!C:C&lt;=$L$4),ROW(),"-")</f>
        <v>-</v>
      </c>
    </row>
    <row r="12628" customHeight="1" spans="2:2">
      <c r="B12628" s="62" t="str">
        <f>IF(AND('领用录入（明细）'!D:D=$F$4,'领用录入（明细）'!C:C&gt;=$J$4,'领用录入（明细）'!C:C&lt;=$L$4),ROW(),"-")</f>
        <v>-</v>
      </c>
    </row>
    <row r="12629" customHeight="1" spans="2:2">
      <c r="B12629" s="62" t="str">
        <f>IF(AND('领用录入（明细）'!D:D=$F$4,'领用录入（明细）'!C:C&gt;=$J$4,'领用录入（明细）'!C:C&lt;=$L$4),ROW(),"-")</f>
        <v>-</v>
      </c>
    </row>
    <row r="12630" customHeight="1" spans="2:2">
      <c r="B12630" s="62" t="str">
        <f>IF(AND('领用录入（明细）'!D:D=$F$4,'领用录入（明细）'!C:C&gt;=$J$4,'领用录入（明细）'!C:C&lt;=$L$4),ROW(),"-")</f>
        <v>-</v>
      </c>
    </row>
    <row r="12631" customHeight="1" spans="2:2">
      <c r="B12631" s="62" t="str">
        <f>IF(AND('领用录入（明细）'!D:D=$F$4,'领用录入（明细）'!C:C&gt;=$J$4,'领用录入（明细）'!C:C&lt;=$L$4),ROW(),"-")</f>
        <v>-</v>
      </c>
    </row>
    <row r="12632" customHeight="1" spans="2:2">
      <c r="B12632" s="62" t="str">
        <f>IF(AND('领用录入（明细）'!D:D=$F$4,'领用录入（明细）'!C:C&gt;=$J$4,'领用录入（明细）'!C:C&lt;=$L$4),ROW(),"-")</f>
        <v>-</v>
      </c>
    </row>
    <row r="12633" customHeight="1" spans="2:2">
      <c r="B12633" s="62" t="str">
        <f>IF(AND('领用录入（明细）'!D:D=$F$4,'领用录入（明细）'!C:C&gt;=$J$4,'领用录入（明细）'!C:C&lt;=$L$4),ROW(),"-")</f>
        <v>-</v>
      </c>
    </row>
    <row r="12634" customHeight="1" spans="2:2">
      <c r="B12634" s="62" t="str">
        <f>IF(AND('领用录入（明细）'!D:D=$F$4,'领用录入（明细）'!C:C&gt;=$J$4,'领用录入（明细）'!C:C&lt;=$L$4),ROW(),"-")</f>
        <v>-</v>
      </c>
    </row>
    <row r="12635" customHeight="1" spans="2:2">
      <c r="B12635" s="62" t="str">
        <f>IF(AND('领用录入（明细）'!D:D=$F$4,'领用录入（明细）'!C:C&gt;=$J$4,'领用录入（明细）'!C:C&lt;=$L$4),ROW(),"-")</f>
        <v>-</v>
      </c>
    </row>
    <row r="12636" customHeight="1" spans="2:2">
      <c r="B12636" s="62" t="str">
        <f>IF(AND('领用录入（明细）'!D:D=$F$4,'领用录入（明细）'!C:C&gt;=$J$4,'领用录入（明细）'!C:C&lt;=$L$4),ROW(),"-")</f>
        <v>-</v>
      </c>
    </row>
    <row r="12637" customHeight="1" spans="2:2">
      <c r="B12637" s="62" t="str">
        <f>IF(AND('领用录入（明细）'!D:D=$F$4,'领用录入（明细）'!C:C&gt;=$J$4,'领用录入（明细）'!C:C&lt;=$L$4),ROW(),"-")</f>
        <v>-</v>
      </c>
    </row>
    <row r="12638" customHeight="1" spans="2:2">
      <c r="B12638" s="62" t="str">
        <f>IF(AND('领用录入（明细）'!D:D=$F$4,'领用录入（明细）'!C:C&gt;=$J$4,'领用录入（明细）'!C:C&lt;=$L$4),ROW(),"-")</f>
        <v>-</v>
      </c>
    </row>
    <row r="12639" customHeight="1" spans="2:2">
      <c r="B12639" s="62" t="str">
        <f>IF(AND('领用录入（明细）'!D:D=$F$4,'领用录入（明细）'!C:C&gt;=$J$4,'领用录入（明细）'!C:C&lt;=$L$4),ROW(),"-")</f>
        <v>-</v>
      </c>
    </row>
    <row r="12640" customHeight="1" spans="2:2">
      <c r="B12640" s="62" t="str">
        <f>IF(AND('领用录入（明细）'!D:D=$F$4,'领用录入（明细）'!C:C&gt;=$J$4,'领用录入（明细）'!C:C&lt;=$L$4),ROW(),"-")</f>
        <v>-</v>
      </c>
    </row>
    <row r="12641" customHeight="1" spans="2:2">
      <c r="B12641" s="62" t="str">
        <f>IF(AND('领用录入（明细）'!D:D=$F$4,'领用录入（明细）'!C:C&gt;=$J$4,'领用录入（明细）'!C:C&lt;=$L$4),ROW(),"-")</f>
        <v>-</v>
      </c>
    </row>
    <row r="12642" customHeight="1" spans="2:2">
      <c r="B12642" s="62" t="str">
        <f>IF(AND('领用录入（明细）'!D:D=$F$4,'领用录入（明细）'!C:C&gt;=$J$4,'领用录入（明细）'!C:C&lt;=$L$4),ROW(),"-")</f>
        <v>-</v>
      </c>
    </row>
    <row r="12643" customHeight="1" spans="2:2">
      <c r="B12643" s="62" t="str">
        <f>IF(AND('领用录入（明细）'!D:D=$F$4,'领用录入（明细）'!C:C&gt;=$J$4,'领用录入（明细）'!C:C&lt;=$L$4),ROW(),"-")</f>
        <v>-</v>
      </c>
    </row>
    <row r="12644" customHeight="1" spans="2:2">
      <c r="B12644" s="62" t="str">
        <f>IF(AND('领用录入（明细）'!D:D=$F$4,'领用录入（明细）'!C:C&gt;=$J$4,'领用录入（明细）'!C:C&lt;=$L$4),ROW(),"-")</f>
        <v>-</v>
      </c>
    </row>
    <row r="12645" customHeight="1" spans="2:2">
      <c r="B12645" s="62" t="str">
        <f>IF(AND('领用录入（明细）'!D:D=$F$4,'领用录入（明细）'!C:C&gt;=$J$4,'领用录入（明细）'!C:C&lt;=$L$4),ROW(),"-")</f>
        <v>-</v>
      </c>
    </row>
    <row r="12646" customHeight="1" spans="2:2">
      <c r="B12646" s="62" t="str">
        <f>IF(AND('领用录入（明细）'!D:D=$F$4,'领用录入（明细）'!C:C&gt;=$J$4,'领用录入（明细）'!C:C&lt;=$L$4),ROW(),"-")</f>
        <v>-</v>
      </c>
    </row>
    <row r="12647" customHeight="1" spans="2:2">
      <c r="B12647" s="62" t="str">
        <f>IF(AND('领用录入（明细）'!D:D=$F$4,'领用录入（明细）'!C:C&gt;=$J$4,'领用录入（明细）'!C:C&lt;=$L$4),ROW(),"-")</f>
        <v>-</v>
      </c>
    </row>
    <row r="12648" customHeight="1" spans="2:2">
      <c r="B12648" s="62" t="str">
        <f>IF(AND('领用录入（明细）'!D:D=$F$4,'领用录入（明细）'!C:C&gt;=$J$4,'领用录入（明细）'!C:C&lt;=$L$4),ROW(),"-")</f>
        <v>-</v>
      </c>
    </row>
    <row r="12649" customHeight="1" spans="2:2">
      <c r="B12649" s="62" t="str">
        <f>IF(AND('领用录入（明细）'!D:D=$F$4,'领用录入（明细）'!C:C&gt;=$J$4,'领用录入（明细）'!C:C&lt;=$L$4),ROW(),"-")</f>
        <v>-</v>
      </c>
    </row>
    <row r="12650" customHeight="1" spans="2:2">
      <c r="B12650" s="62" t="str">
        <f>IF(AND('领用录入（明细）'!D:D=$F$4,'领用录入（明细）'!C:C&gt;=$J$4,'领用录入（明细）'!C:C&lt;=$L$4),ROW(),"-")</f>
        <v>-</v>
      </c>
    </row>
    <row r="12651" customHeight="1" spans="2:2">
      <c r="B12651" s="62" t="str">
        <f>IF(AND('领用录入（明细）'!D:D=$F$4,'领用录入（明细）'!C:C&gt;=$J$4,'领用录入（明细）'!C:C&lt;=$L$4),ROW(),"-")</f>
        <v>-</v>
      </c>
    </row>
    <row r="12652" customHeight="1" spans="2:2">
      <c r="B12652" s="62" t="str">
        <f>IF(AND('领用录入（明细）'!D:D=$F$4,'领用录入（明细）'!C:C&gt;=$J$4,'领用录入（明细）'!C:C&lt;=$L$4),ROW(),"-")</f>
        <v>-</v>
      </c>
    </row>
    <row r="12653" customHeight="1" spans="2:2">
      <c r="B12653" s="62" t="str">
        <f>IF(AND('领用录入（明细）'!D:D=$F$4,'领用录入（明细）'!C:C&gt;=$J$4,'领用录入（明细）'!C:C&lt;=$L$4),ROW(),"-")</f>
        <v>-</v>
      </c>
    </row>
    <row r="12654" customHeight="1" spans="2:2">
      <c r="B12654" s="62" t="str">
        <f>IF(AND('领用录入（明细）'!D:D=$F$4,'领用录入（明细）'!C:C&gt;=$J$4,'领用录入（明细）'!C:C&lt;=$L$4),ROW(),"-")</f>
        <v>-</v>
      </c>
    </row>
    <row r="12655" customHeight="1" spans="2:2">
      <c r="B12655" s="62" t="str">
        <f>IF(AND('领用录入（明细）'!D:D=$F$4,'领用录入（明细）'!C:C&gt;=$J$4,'领用录入（明细）'!C:C&lt;=$L$4),ROW(),"-")</f>
        <v>-</v>
      </c>
    </row>
    <row r="12656" customHeight="1" spans="2:2">
      <c r="B12656" s="62" t="str">
        <f>IF(AND('领用录入（明细）'!D:D=$F$4,'领用录入（明细）'!C:C&gt;=$J$4,'领用录入（明细）'!C:C&lt;=$L$4),ROW(),"-")</f>
        <v>-</v>
      </c>
    </row>
    <row r="12657" customHeight="1" spans="2:2">
      <c r="B12657" s="62" t="str">
        <f>IF(AND('领用录入（明细）'!D:D=$F$4,'领用录入（明细）'!C:C&gt;=$J$4,'领用录入（明细）'!C:C&lt;=$L$4),ROW(),"-")</f>
        <v>-</v>
      </c>
    </row>
    <row r="12658" customHeight="1" spans="2:2">
      <c r="B12658" s="62" t="str">
        <f>IF(AND('领用录入（明细）'!D:D=$F$4,'领用录入（明细）'!C:C&gt;=$J$4,'领用录入（明细）'!C:C&lt;=$L$4),ROW(),"-")</f>
        <v>-</v>
      </c>
    </row>
    <row r="12659" customHeight="1" spans="2:2">
      <c r="B12659" s="62" t="str">
        <f>IF(AND('领用录入（明细）'!D:D=$F$4,'领用录入（明细）'!C:C&gt;=$J$4,'领用录入（明细）'!C:C&lt;=$L$4),ROW(),"-")</f>
        <v>-</v>
      </c>
    </row>
    <row r="12660" customHeight="1" spans="2:2">
      <c r="B12660" s="62" t="str">
        <f>IF(AND('领用录入（明细）'!D:D=$F$4,'领用录入（明细）'!C:C&gt;=$J$4,'领用录入（明细）'!C:C&lt;=$L$4),ROW(),"-")</f>
        <v>-</v>
      </c>
    </row>
    <row r="12661" customHeight="1" spans="2:2">
      <c r="B12661" s="62" t="str">
        <f>IF(AND('领用录入（明细）'!D:D=$F$4,'领用录入（明细）'!C:C&gt;=$J$4,'领用录入（明细）'!C:C&lt;=$L$4),ROW(),"-")</f>
        <v>-</v>
      </c>
    </row>
    <row r="12662" customHeight="1" spans="2:2">
      <c r="B12662" s="62" t="str">
        <f>IF(AND('领用录入（明细）'!D:D=$F$4,'领用录入（明细）'!C:C&gt;=$J$4,'领用录入（明细）'!C:C&lt;=$L$4),ROW(),"-")</f>
        <v>-</v>
      </c>
    </row>
    <row r="12663" customHeight="1" spans="2:2">
      <c r="B12663" s="62" t="str">
        <f>IF(AND('领用录入（明细）'!D:D=$F$4,'领用录入（明细）'!C:C&gt;=$J$4,'领用录入（明细）'!C:C&lt;=$L$4),ROW(),"-")</f>
        <v>-</v>
      </c>
    </row>
    <row r="12664" customHeight="1" spans="2:2">
      <c r="B12664" s="62" t="str">
        <f>IF(AND('领用录入（明细）'!D:D=$F$4,'领用录入（明细）'!C:C&gt;=$J$4,'领用录入（明细）'!C:C&lt;=$L$4),ROW(),"-")</f>
        <v>-</v>
      </c>
    </row>
    <row r="12665" customHeight="1" spans="2:2">
      <c r="B12665" s="62" t="str">
        <f>IF(AND('领用录入（明细）'!D:D=$F$4,'领用录入（明细）'!C:C&gt;=$J$4,'领用录入（明细）'!C:C&lt;=$L$4),ROW(),"-")</f>
        <v>-</v>
      </c>
    </row>
    <row r="12666" customHeight="1" spans="2:2">
      <c r="B12666" s="62" t="str">
        <f>IF(AND('领用录入（明细）'!D:D=$F$4,'领用录入（明细）'!C:C&gt;=$J$4,'领用录入（明细）'!C:C&lt;=$L$4),ROW(),"-")</f>
        <v>-</v>
      </c>
    </row>
    <row r="12667" customHeight="1" spans="2:2">
      <c r="B12667" s="62" t="str">
        <f>IF(AND('领用录入（明细）'!D:D=$F$4,'领用录入（明细）'!C:C&gt;=$J$4,'领用录入（明细）'!C:C&lt;=$L$4),ROW(),"-")</f>
        <v>-</v>
      </c>
    </row>
    <row r="12668" customHeight="1" spans="2:2">
      <c r="B12668" s="62" t="str">
        <f>IF(AND('领用录入（明细）'!D:D=$F$4,'领用录入（明细）'!C:C&gt;=$J$4,'领用录入（明细）'!C:C&lt;=$L$4),ROW(),"-")</f>
        <v>-</v>
      </c>
    </row>
    <row r="12669" customHeight="1" spans="2:2">
      <c r="B12669" s="62" t="str">
        <f>IF(AND('领用录入（明细）'!D:D=$F$4,'领用录入（明细）'!C:C&gt;=$J$4,'领用录入（明细）'!C:C&lt;=$L$4),ROW(),"-")</f>
        <v>-</v>
      </c>
    </row>
    <row r="12670" customHeight="1" spans="2:2">
      <c r="B12670" s="62" t="str">
        <f>IF(AND('领用录入（明细）'!D:D=$F$4,'领用录入（明细）'!C:C&gt;=$J$4,'领用录入（明细）'!C:C&lt;=$L$4),ROW(),"-")</f>
        <v>-</v>
      </c>
    </row>
    <row r="12671" customHeight="1" spans="2:2">
      <c r="B12671" s="62" t="str">
        <f>IF(AND('领用录入（明细）'!D:D=$F$4,'领用录入（明细）'!C:C&gt;=$J$4,'领用录入（明细）'!C:C&lt;=$L$4),ROW(),"-")</f>
        <v>-</v>
      </c>
    </row>
    <row r="12672" customHeight="1" spans="2:2">
      <c r="B12672" s="62" t="str">
        <f>IF(AND('领用录入（明细）'!D:D=$F$4,'领用录入（明细）'!C:C&gt;=$J$4,'领用录入（明细）'!C:C&lt;=$L$4),ROW(),"-")</f>
        <v>-</v>
      </c>
    </row>
    <row r="12673" customHeight="1" spans="2:2">
      <c r="B12673" s="62" t="str">
        <f>IF(AND('领用录入（明细）'!D:D=$F$4,'领用录入（明细）'!C:C&gt;=$J$4,'领用录入（明细）'!C:C&lt;=$L$4),ROW(),"-")</f>
        <v>-</v>
      </c>
    </row>
    <row r="12674" customHeight="1" spans="2:2">
      <c r="B12674" s="62" t="str">
        <f>IF(AND('领用录入（明细）'!D:D=$F$4,'领用录入（明细）'!C:C&gt;=$J$4,'领用录入（明细）'!C:C&lt;=$L$4),ROW(),"-")</f>
        <v>-</v>
      </c>
    </row>
    <row r="12675" customHeight="1" spans="2:2">
      <c r="B12675" s="62" t="str">
        <f>IF(AND('领用录入（明细）'!D:D=$F$4,'领用录入（明细）'!C:C&gt;=$J$4,'领用录入（明细）'!C:C&lt;=$L$4),ROW(),"-")</f>
        <v>-</v>
      </c>
    </row>
    <row r="12676" customHeight="1" spans="2:2">
      <c r="B12676" s="62" t="str">
        <f>IF(AND('领用录入（明细）'!D:D=$F$4,'领用录入（明细）'!C:C&gt;=$J$4,'领用录入（明细）'!C:C&lt;=$L$4),ROW(),"-")</f>
        <v>-</v>
      </c>
    </row>
    <row r="12677" customHeight="1" spans="2:2">
      <c r="B12677" s="62" t="str">
        <f>IF(AND('领用录入（明细）'!D:D=$F$4,'领用录入（明细）'!C:C&gt;=$J$4,'领用录入（明细）'!C:C&lt;=$L$4),ROW(),"-")</f>
        <v>-</v>
      </c>
    </row>
    <row r="12678" customHeight="1" spans="2:2">
      <c r="B12678" s="62" t="str">
        <f>IF(AND('领用录入（明细）'!D:D=$F$4,'领用录入（明细）'!C:C&gt;=$J$4,'领用录入（明细）'!C:C&lt;=$L$4),ROW(),"-")</f>
        <v>-</v>
      </c>
    </row>
    <row r="12679" customHeight="1" spans="2:2">
      <c r="B12679" s="62" t="str">
        <f>IF(AND('领用录入（明细）'!D:D=$F$4,'领用录入（明细）'!C:C&gt;=$J$4,'领用录入（明细）'!C:C&lt;=$L$4),ROW(),"-")</f>
        <v>-</v>
      </c>
    </row>
    <row r="12680" customHeight="1" spans="2:2">
      <c r="B12680" s="62" t="str">
        <f>IF(AND('领用录入（明细）'!D:D=$F$4,'领用录入（明细）'!C:C&gt;=$J$4,'领用录入（明细）'!C:C&lt;=$L$4),ROW(),"-")</f>
        <v>-</v>
      </c>
    </row>
    <row r="12681" customHeight="1" spans="2:2">
      <c r="B12681" s="62" t="str">
        <f>IF(AND('领用录入（明细）'!D:D=$F$4,'领用录入（明细）'!C:C&gt;=$J$4,'领用录入（明细）'!C:C&lt;=$L$4),ROW(),"-")</f>
        <v>-</v>
      </c>
    </row>
    <row r="12682" customHeight="1" spans="2:2">
      <c r="B12682" s="62" t="str">
        <f>IF(AND('领用录入（明细）'!D:D=$F$4,'领用录入（明细）'!C:C&gt;=$J$4,'领用录入（明细）'!C:C&lt;=$L$4),ROW(),"-")</f>
        <v>-</v>
      </c>
    </row>
    <row r="12683" customHeight="1" spans="2:2">
      <c r="B12683" s="62" t="str">
        <f>IF(AND('领用录入（明细）'!D:D=$F$4,'领用录入（明细）'!C:C&gt;=$J$4,'领用录入（明细）'!C:C&lt;=$L$4),ROW(),"-")</f>
        <v>-</v>
      </c>
    </row>
    <row r="12684" customHeight="1" spans="2:2">
      <c r="B12684" s="62" t="str">
        <f>IF(AND('领用录入（明细）'!D:D=$F$4,'领用录入（明细）'!C:C&gt;=$J$4,'领用录入（明细）'!C:C&lt;=$L$4),ROW(),"-")</f>
        <v>-</v>
      </c>
    </row>
    <row r="12685" customHeight="1" spans="2:2">
      <c r="B12685" s="62" t="str">
        <f>IF(AND('领用录入（明细）'!D:D=$F$4,'领用录入（明细）'!C:C&gt;=$J$4,'领用录入（明细）'!C:C&lt;=$L$4),ROW(),"-")</f>
        <v>-</v>
      </c>
    </row>
    <row r="12686" customHeight="1" spans="2:2">
      <c r="B12686" s="62" t="str">
        <f>IF(AND('领用录入（明细）'!D:D=$F$4,'领用录入（明细）'!C:C&gt;=$J$4,'领用录入（明细）'!C:C&lt;=$L$4),ROW(),"-")</f>
        <v>-</v>
      </c>
    </row>
    <row r="12687" customHeight="1" spans="2:2">
      <c r="B12687" s="62" t="str">
        <f>IF(AND('领用录入（明细）'!D:D=$F$4,'领用录入（明细）'!C:C&gt;=$J$4,'领用录入（明细）'!C:C&lt;=$L$4),ROW(),"-")</f>
        <v>-</v>
      </c>
    </row>
    <row r="12688" customHeight="1" spans="2:2">
      <c r="B12688" s="62" t="str">
        <f>IF(AND('领用录入（明细）'!D:D=$F$4,'领用录入（明细）'!C:C&gt;=$J$4,'领用录入（明细）'!C:C&lt;=$L$4),ROW(),"-")</f>
        <v>-</v>
      </c>
    </row>
    <row r="12689" customHeight="1" spans="2:2">
      <c r="B12689" s="62" t="str">
        <f>IF(AND('领用录入（明细）'!D:D=$F$4,'领用录入（明细）'!C:C&gt;=$J$4,'领用录入（明细）'!C:C&lt;=$L$4),ROW(),"-")</f>
        <v>-</v>
      </c>
    </row>
    <row r="12690" customHeight="1" spans="2:2">
      <c r="B12690" s="62" t="str">
        <f>IF(AND('领用录入（明细）'!D:D=$F$4,'领用录入（明细）'!C:C&gt;=$J$4,'领用录入（明细）'!C:C&lt;=$L$4),ROW(),"-")</f>
        <v>-</v>
      </c>
    </row>
    <row r="12691" customHeight="1" spans="2:2">
      <c r="B12691" s="62" t="str">
        <f>IF(AND('领用录入（明细）'!D:D=$F$4,'领用录入（明细）'!C:C&gt;=$J$4,'领用录入（明细）'!C:C&lt;=$L$4),ROW(),"-")</f>
        <v>-</v>
      </c>
    </row>
    <row r="12692" customHeight="1" spans="2:2">
      <c r="B12692" s="62" t="str">
        <f>IF(AND('领用录入（明细）'!D:D=$F$4,'领用录入（明细）'!C:C&gt;=$J$4,'领用录入（明细）'!C:C&lt;=$L$4),ROW(),"-")</f>
        <v>-</v>
      </c>
    </row>
    <row r="12693" customHeight="1" spans="2:2">
      <c r="B12693" s="62" t="str">
        <f>IF(AND('领用录入（明细）'!D:D=$F$4,'领用录入（明细）'!C:C&gt;=$J$4,'领用录入（明细）'!C:C&lt;=$L$4),ROW(),"-")</f>
        <v>-</v>
      </c>
    </row>
    <row r="12694" customHeight="1" spans="2:2">
      <c r="B12694" s="62" t="str">
        <f>IF(AND('领用录入（明细）'!D:D=$F$4,'领用录入（明细）'!C:C&gt;=$J$4,'领用录入（明细）'!C:C&lt;=$L$4),ROW(),"-")</f>
        <v>-</v>
      </c>
    </row>
    <row r="12695" customHeight="1" spans="2:2">
      <c r="B12695" s="62" t="str">
        <f>IF(AND('领用录入（明细）'!D:D=$F$4,'领用录入（明细）'!C:C&gt;=$J$4,'领用录入（明细）'!C:C&lt;=$L$4),ROW(),"-")</f>
        <v>-</v>
      </c>
    </row>
    <row r="12696" customHeight="1" spans="2:2">
      <c r="B12696" s="62" t="str">
        <f>IF(AND('领用录入（明细）'!D:D=$F$4,'领用录入（明细）'!C:C&gt;=$J$4,'领用录入（明细）'!C:C&lt;=$L$4),ROW(),"-")</f>
        <v>-</v>
      </c>
    </row>
    <row r="12697" customHeight="1" spans="2:2">
      <c r="B12697" s="62" t="str">
        <f>IF(AND('领用录入（明细）'!D:D=$F$4,'领用录入（明细）'!C:C&gt;=$J$4,'领用录入（明细）'!C:C&lt;=$L$4),ROW(),"-")</f>
        <v>-</v>
      </c>
    </row>
    <row r="12698" customHeight="1" spans="2:2">
      <c r="B12698" s="62" t="str">
        <f>IF(AND('领用录入（明细）'!D:D=$F$4,'领用录入（明细）'!C:C&gt;=$J$4,'领用录入（明细）'!C:C&lt;=$L$4),ROW(),"-")</f>
        <v>-</v>
      </c>
    </row>
    <row r="12699" customHeight="1" spans="2:2">
      <c r="B12699" s="62" t="str">
        <f>IF(AND('领用录入（明细）'!D:D=$F$4,'领用录入（明细）'!C:C&gt;=$J$4,'领用录入（明细）'!C:C&lt;=$L$4),ROW(),"-")</f>
        <v>-</v>
      </c>
    </row>
    <row r="12700" customHeight="1" spans="2:2">
      <c r="B12700" s="62" t="str">
        <f>IF(AND('领用录入（明细）'!D:D=$F$4,'领用录入（明细）'!C:C&gt;=$J$4,'领用录入（明细）'!C:C&lt;=$L$4),ROW(),"-")</f>
        <v>-</v>
      </c>
    </row>
    <row r="12701" customHeight="1" spans="2:2">
      <c r="B12701" s="62" t="str">
        <f>IF(AND('领用录入（明细）'!D:D=$F$4,'领用录入（明细）'!C:C&gt;=$J$4,'领用录入（明细）'!C:C&lt;=$L$4),ROW(),"-")</f>
        <v>-</v>
      </c>
    </row>
    <row r="12702" customHeight="1" spans="2:2">
      <c r="B12702" s="62" t="str">
        <f>IF(AND('领用录入（明细）'!D:D=$F$4,'领用录入（明细）'!C:C&gt;=$J$4,'领用录入（明细）'!C:C&lt;=$L$4),ROW(),"-")</f>
        <v>-</v>
      </c>
    </row>
    <row r="12703" customHeight="1" spans="2:2">
      <c r="B12703" s="62" t="str">
        <f>IF(AND('领用录入（明细）'!D:D=$F$4,'领用录入（明细）'!C:C&gt;=$J$4,'领用录入（明细）'!C:C&lt;=$L$4),ROW(),"-")</f>
        <v>-</v>
      </c>
    </row>
    <row r="12704" customHeight="1" spans="2:2">
      <c r="B12704" s="62" t="str">
        <f>IF(AND('领用录入（明细）'!D:D=$F$4,'领用录入（明细）'!C:C&gt;=$J$4,'领用录入（明细）'!C:C&lt;=$L$4),ROW(),"-")</f>
        <v>-</v>
      </c>
    </row>
    <row r="12705" customHeight="1" spans="2:2">
      <c r="B12705" s="62" t="str">
        <f>IF(AND('领用录入（明细）'!D:D=$F$4,'领用录入（明细）'!C:C&gt;=$J$4,'领用录入（明细）'!C:C&lt;=$L$4),ROW(),"-")</f>
        <v>-</v>
      </c>
    </row>
    <row r="12706" customHeight="1" spans="2:2">
      <c r="B12706" s="62" t="str">
        <f>IF(AND('领用录入（明细）'!D:D=$F$4,'领用录入（明细）'!C:C&gt;=$J$4,'领用录入（明细）'!C:C&lt;=$L$4),ROW(),"-")</f>
        <v>-</v>
      </c>
    </row>
    <row r="12707" customHeight="1" spans="2:2">
      <c r="B12707" s="62" t="str">
        <f>IF(AND('领用录入（明细）'!D:D=$F$4,'领用录入（明细）'!C:C&gt;=$J$4,'领用录入（明细）'!C:C&lt;=$L$4),ROW(),"-")</f>
        <v>-</v>
      </c>
    </row>
    <row r="12708" customHeight="1" spans="2:2">
      <c r="B12708" s="62" t="str">
        <f>IF(AND('领用录入（明细）'!D:D=$F$4,'领用录入（明细）'!C:C&gt;=$J$4,'领用录入（明细）'!C:C&lt;=$L$4),ROW(),"-")</f>
        <v>-</v>
      </c>
    </row>
    <row r="12709" customHeight="1" spans="2:2">
      <c r="B12709" s="62" t="str">
        <f>IF(AND('领用录入（明细）'!D:D=$F$4,'领用录入（明细）'!C:C&gt;=$J$4,'领用录入（明细）'!C:C&lt;=$L$4),ROW(),"-")</f>
        <v>-</v>
      </c>
    </row>
    <row r="12710" customHeight="1" spans="2:2">
      <c r="B12710" s="62" t="str">
        <f>IF(AND('领用录入（明细）'!D:D=$F$4,'领用录入（明细）'!C:C&gt;=$J$4,'领用录入（明细）'!C:C&lt;=$L$4),ROW(),"-")</f>
        <v>-</v>
      </c>
    </row>
    <row r="12711" customHeight="1" spans="2:2">
      <c r="B12711" s="62" t="str">
        <f>IF(AND('领用录入（明细）'!D:D=$F$4,'领用录入（明细）'!C:C&gt;=$J$4,'领用录入（明细）'!C:C&lt;=$L$4),ROW(),"-")</f>
        <v>-</v>
      </c>
    </row>
    <row r="12712" customHeight="1" spans="2:2">
      <c r="B12712" s="62" t="str">
        <f>IF(AND('领用录入（明细）'!D:D=$F$4,'领用录入（明细）'!C:C&gt;=$J$4,'领用录入（明细）'!C:C&lt;=$L$4),ROW(),"-")</f>
        <v>-</v>
      </c>
    </row>
    <row r="12713" customHeight="1" spans="2:2">
      <c r="B12713" s="62" t="str">
        <f>IF(AND('领用录入（明细）'!D:D=$F$4,'领用录入（明细）'!C:C&gt;=$J$4,'领用录入（明细）'!C:C&lt;=$L$4),ROW(),"-")</f>
        <v>-</v>
      </c>
    </row>
    <row r="12714" customHeight="1" spans="2:2">
      <c r="B12714" s="62" t="str">
        <f>IF(AND('领用录入（明细）'!D:D=$F$4,'领用录入（明细）'!C:C&gt;=$J$4,'领用录入（明细）'!C:C&lt;=$L$4),ROW(),"-")</f>
        <v>-</v>
      </c>
    </row>
    <row r="12715" customHeight="1" spans="2:2">
      <c r="B12715" s="62" t="str">
        <f>IF(AND('领用录入（明细）'!D:D=$F$4,'领用录入（明细）'!C:C&gt;=$J$4,'领用录入（明细）'!C:C&lt;=$L$4),ROW(),"-")</f>
        <v>-</v>
      </c>
    </row>
    <row r="12716" customHeight="1" spans="2:2">
      <c r="B12716" s="62" t="str">
        <f>IF(AND('领用录入（明细）'!D:D=$F$4,'领用录入（明细）'!C:C&gt;=$J$4,'领用录入（明细）'!C:C&lt;=$L$4),ROW(),"-")</f>
        <v>-</v>
      </c>
    </row>
    <row r="12717" customHeight="1" spans="2:2">
      <c r="B12717" s="62" t="str">
        <f>IF(AND('领用录入（明细）'!D:D=$F$4,'领用录入（明细）'!C:C&gt;=$J$4,'领用录入（明细）'!C:C&lt;=$L$4),ROW(),"-")</f>
        <v>-</v>
      </c>
    </row>
    <row r="12718" customHeight="1" spans="2:2">
      <c r="B12718" s="62" t="str">
        <f>IF(AND('领用录入（明细）'!D:D=$F$4,'领用录入（明细）'!C:C&gt;=$J$4,'领用录入（明细）'!C:C&lt;=$L$4),ROW(),"-")</f>
        <v>-</v>
      </c>
    </row>
    <row r="12719" customHeight="1" spans="2:2">
      <c r="B12719" s="62" t="str">
        <f>IF(AND('领用录入（明细）'!D:D=$F$4,'领用录入（明细）'!C:C&gt;=$J$4,'领用录入（明细）'!C:C&lt;=$L$4),ROW(),"-")</f>
        <v>-</v>
      </c>
    </row>
    <row r="12720" customHeight="1" spans="2:2">
      <c r="B12720" s="62" t="str">
        <f>IF(AND('领用录入（明细）'!D:D=$F$4,'领用录入（明细）'!C:C&gt;=$J$4,'领用录入（明细）'!C:C&lt;=$L$4),ROW(),"-")</f>
        <v>-</v>
      </c>
    </row>
    <row r="12721" customHeight="1" spans="2:2">
      <c r="B12721" s="62" t="str">
        <f>IF(AND('领用录入（明细）'!D:D=$F$4,'领用录入（明细）'!C:C&gt;=$J$4,'领用录入（明细）'!C:C&lt;=$L$4),ROW(),"-")</f>
        <v>-</v>
      </c>
    </row>
    <row r="12722" customHeight="1" spans="2:2">
      <c r="B12722" s="62" t="str">
        <f>IF(AND('领用录入（明细）'!D:D=$F$4,'领用录入（明细）'!C:C&gt;=$J$4,'领用录入（明细）'!C:C&lt;=$L$4),ROW(),"-")</f>
        <v>-</v>
      </c>
    </row>
    <row r="12723" customHeight="1" spans="2:2">
      <c r="B12723" s="62" t="str">
        <f>IF(AND('领用录入（明细）'!D:D=$F$4,'领用录入（明细）'!C:C&gt;=$J$4,'领用录入（明细）'!C:C&lt;=$L$4),ROW(),"-")</f>
        <v>-</v>
      </c>
    </row>
    <row r="12724" customHeight="1" spans="2:2">
      <c r="B12724" s="62" t="str">
        <f>IF(AND('领用录入（明细）'!D:D=$F$4,'领用录入（明细）'!C:C&gt;=$J$4,'领用录入（明细）'!C:C&lt;=$L$4),ROW(),"-")</f>
        <v>-</v>
      </c>
    </row>
    <row r="12725" customHeight="1" spans="2:2">
      <c r="B12725" s="62" t="str">
        <f>IF(AND('领用录入（明细）'!D:D=$F$4,'领用录入（明细）'!C:C&gt;=$J$4,'领用录入（明细）'!C:C&lt;=$L$4),ROW(),"-")</f>
        <v>-</v>
      </c>
    </row>
    <row r="12726" customHeight="1" spans="2:2">
      <c r="B12726" s="62" t="str">
        <f>IF(AND('领用录入（明细）'!D:D=$F$4,'领用录入（明细）'!C:C&gt;=$J$4,'领用录入（明细）'!C:C&lt;=$L$4),ROW(),"-")</f>
        <v>-</v>
      </c>
    </row>
    <row r="12727" customHeight="1" spans="2:2">
      <c r="B12727" s="62" t="str">
        <f>IF(AND('领用录入（明细）'!D:D=$F$4,'领用录入（明细）'!C:C&gt;=$J$4,'领用录入（明细）'!C:C&lt;=$L$4),ROW(),"-")</f>
        <v>-</v>
      </c>
    </row>
    <row r="12728" customHeight="1" spans="2:2">
      <c r="B12728" s="62" t="str">
        <f>IF(AND('领用录入（明细）'!D:D=$F$4,'领用录入（明细）'!C:C&gt;=$J$4,'领用录入（明细）'!C:C&lt;=$L$4),ROW(),"-")</f>
        <v>-</v>
      </c>
    </row>
    <row r="12729" customHeight="1" spans="2:2">
      <c r="B12729" s="62" t="str">
        <f>IF(AND('领用录入（明细）'!D:D=$F$4,'领用录入（明细）'!C:C&gt;=$J$4,'领用录入（明细）'!C:C&lt;=$L$4),ROW(),"-")</f>
        <v>-</v>
      </c>
    </row>
    <row r="12730" customHeight="1" spans="2:2">
      <c r="B12730" s="62" t="str">
        <f>IF(AND('领用录入（明细）'!D:D=$F$4,'领用录入（明细）'!C:C&gt;=$J$4,'领用录入（明细）'!C:C&lt;=$L$4),ROW(),"-")</f>
        <v>-</v>
      </c>
    </row>
    <row r="12731" customHeight="1" spans="2:2">
      <c r="B12731" s="62" t="str">
        <f>IF(AND('领用录入（明细）'!D:D=$F$4,'领用录入（明细）'!C:C&gt;=$J$4,'领用录入（明细）'!C:C&lt;=$L$4),ROW(),"-")</f>
        <v>-</v>
      </c>
    </row>
    <row r="12732" customHeight="1" spans="2:2">
      <c r="B12732" s="62" t="str">
        <f>IF(AND('领用录入（明细）'!D:D=$F$4,'领用录入（明细）'!C:C&gt;=$J$4,'领用录入（明细）'!C:C&lt;=$L$4),ROW(),"-")</f>
        <v>-</v>
      </c>
    </row>
    <row r="12733" customHeight="1" spans="2:2">
      <c r="B12733" s="62" t="str">
        <f>IF(AND('领用录入（明细）'!D:D=$F$4,'领用录入（明细）'!C:C&gt;=$J$4,'领用录入（明细）'!C:C&lt;=$L$4),ROW(),"-")</f>
        <v>-</v>
      </c>
    </row>
    <row r="12734" customHeight="1" spans="2:2">
      <c r="B12734" s="62" t="str">
        <f>IF(AND('领用录入（明细）'!D:D=$F$4,'领用录入（明细）'!C:C&gt;=$J$4,'领用录入（明细）'!C:C&lt;=$L$4),ROW(),"-")</f>
        <v>-</v>
      </c>
    </row>
    <row r="12735" customHeight="1" spans="2:2">
      <c r="B12735" s="62" t="str">
        <f>IF(AND('领用录入（明细）'!D:D=$F$4,'领用录入（明细）'!C:C&gt;=$J$4,'领用录入（明细）'!C:C&lt;=$L$4),ROW(),"-")</f>
        <v>-</v>
      </c>
    </row>
    <row r="12736" customHeight="1" spans="2:2">
      <c r="B12736" s="62" t="str">
        <f>IF(AND('领用录入（明细）'!D:D=$F$4,'领用录入（明细）'!C:C&gt;=$J$4,'领用录入（明细）'!C:C&lt;=$L$4),ROW(),"-")</f>
        <v>-</v>
      </c>
    </row>
    <row r="12737" customHeight="1" spans="2:2">
      <c r="B12737" s="62" t="str">
        <f>IF(AND('领用录入（明细）'!D:D=$F$4,'领用录入（明细）'!C:C&gt;=$J$4,'领用录入（明细）'!C:C&lt;=$L$4),ROW(),"-")</f>
        <v>-</v>
      </c>
    </row>
    <row r="12738" customHeight="1" spans="2:2">
      <c r="B12738" s="62" t="str">
        <f>IF(AND('领用录入（明细）'!D:D=$F$4,'领用录入（明细）'!C:C&gt;=$J$4,'领用录入（明细）'!C:C&lt;=$L$4),ROW(),"-")</f>
        <v>-</v>
      </c>
    </row>
    <row r="12739" customHeight="1" spans="2:2">
      <c r="B12739" s="62" t="str">
        <f>IF(AND('领用录入（明细）'!D:D=$F$4,'领用录入（明细）'!C:C&gt;=$J$4,'领用录入（明细）'!C:C&lt;=$L$4),ROW(),"-")</f>
        <v>-</v>
      </c>
    </row>
    <row r="12740" customHeight="1" spans="2:2">
      <c r="B12740" s="62" t="str">
        <f>IF(AND('领用录入（明细）'!D:D=$F$4,'领用录入（明细）'!C:C&gt;=$J$4,'领用录入（明细）'!C:C&lt;=$L$4),ROW(),"-")</f>
        <v>-</v>
      </c>
    </row>
    <row r="12741" customHeight="1" spans="2:2">
      <c r="B12741" s="62" t="str">
        <f>IF(AND('领用录入（明细）'!D:D=$F$4,'领用录入（明细）'!C:C&gt;=$J$4,'领用录入（明细）'!C:C&lt;=$L$4),ROW(),"-")</f>
        <v>-</v>
      </c>
    </row>
    <row r="12742" customHeight="1" spans="2:2">
      <c r="B12742" s="62" t="str">
        <f>IF(AND('领用录入（明细）'!D:D=$F$4,'领用录入（明细）'!C:C&gt;=$J$4,'领用录入（明细）'!C:C&lt;=$L$4),ROW(),"-")</f>
        <v>-</v>
      </c>
    </row>
    <row r="12743" customHeight="1" spans="2:2">
      <c r="B12743" s="62" t="str">
        <f>IF(AND('领用录入（明细）'!D:D=$F$4,'领用录入（明细）'!C:C&gt;=$J$4,'领用录入（明细）'!C:C&lt;=$L$4),ROW(),"-")</f>
        <v>-</v>
      </c>
    </row>
    <row r="12744" customHeight="1" spans="2:2">
      <c r="B12744" s="62" t="str">
        <f>IF(AND('领用录入（明细）'!D:D=$F$4,'领用录入（明细）'!C:C&gt;=$J$4,'领用录入（明细）'!C:C&lt;=$L$4),ROW(),"-")</f>
        <v>-</v>
      </c>
    </row>
    <row r="12745" customHeight="1" spans="2:2">
      <c r="B12745" s="62" t="str">
        <f>IF(AND('领用录入（明细）'!D:D=$F$4,'领用录入（明细）'!C:C&gt;=$J$4,'领用录入（明细）'!C:C&lt;=$L$4),ROW(),"-")</f>
        <v>-</v>
      </c>
    </row>
    <row r="12746" customHeight="1" spans="2:2">
      <c r="B12746" s="62" t="str">
        <f>IF(AND('领用录入（明细）'!D:D=$F$4,'领用录入（明细）'!C:C&gt;=$J$4,'领用录入（明细）'!C:C&lt;=$L$4),ROW(),"-")</f>
        <v>-</v>
      </c>
    </row>
    <row r="12747" customHeight="1" spans="2:2">
      <c r="B12747" s="62" t="str">
        <f>IF(AND('领用录入（明细）'!D:D=$F$4,'领用录入（明细）'!C:C&gt;=$J$4,'领用录入（明细）'!C:C&lt;=$L$4),ROW(),"-")</f>
        <v>-</v>
      </c>
    </row>
    <row r="12748" customHeight="1" spans="2:2">
      <c r="B12748" s="62" t="str">
        <f>IF(AND('领用录入（明细）'!D:D=$F$4,'领用录入（明细）'!C:C&gt;=$J$4,'领用录入（明细）'!C:C&lt;=$L$4),ROW(),"-")</f>
        <v>-</v>
      </c>
    </row>
    <row r="12749" customHeight="1" spans="2:2">
      <c r="B12749" s="62" t="str">
        <f>IF(AND('领用录入（明细）'!D:D=$F$4,'领用录入（明细）'!C:C&gt;=$J$4,'领用录入（明细）'!C:C&lt;=$L$4),ROW(),"-")</f>
        <v>-</v>
      </c>
    </row>
    <row r="12750" customHeight="1" spans="2:2">
      <c r="B12750" s="62" t="str">
        <f>IF(AND('领用录入（明细）'!D:D=$F$4,'领用录入（明细）'!C:C&gt;=$J$4,'领用录入（明细）'!C:C&lt;=$L$4),ROW(),"-")</f>
        <v>-</v>
      </c>
    </row>
    <row r="12751" customHeight="1" spans="2:2">
      <c r="B12751" s="62" t="str">
        <f>IF(AND('领用录入（明细）'!D:D=$F$4,'领用录入（明细）'!C:C&gt;=$J$4,'领用录入（明细）'!C:C&lt;=$L$4),ROW(),"-")</f>
        <v>-</v>
      </c>
    </row>
    <row r="12752" customHeight="1" spans="2:2">
      <c r="B12752" s="62" t="str">
        <f>IF(AND('领用录入（明细）'!D:D=$F$4,'领用录入（明细）'!C:C&gt;=$J$4,'领用录入（明细）'!C:C&lt;=$L$4),ROW(),"-")</f>
        <v>-</v>
      </c>
    </row>
    <row r="12753" customHeight="1" spans="2:2">
      <c r="B12753" s="62" t="str">
        <f>IF(AND('领用录入（明细）'!D:D=$F$4,'领用录入（明细）'!C:C&gt;=$J$4,'领用录入（明细）'!C:C&lt;=$L$4),ROW(),"-")</f>
        <v>-</v>
      </c>
    </row>
    <row r="12754" customHeight="1" spans="2:2">
      <c r="B12754" s="62" t="str">
        <f>IF(AND('领用录入（明细）'!D:D=$F$4,'领用录入（明细）'!C:C&gt;=$J$4,'领用录入（明细）'!C:C&lt;=$L$4),ROW(),"-")</f>
        <v>-</v>
      </c>
    </row>
    <row r="12755" customHeight="1" spans="2:2">
      <c r="B12755" s="62" t="str">
        <f>IF(AND('领用录入（明细）'!D:D=$F$4,'领用录入（明细）'!C:C&gt;=$J$4,'领用录入（明细）'!C:C&lt;=$L$4),ROW(),"-")</f>
        <v>-</v>
      </c>
    </row>
    <row r="12756" customHeight="1" spans="2:2">
      <c r="B12756" s="62" t="str">
        <f>IF(AND('领用录入（明细）'!D:D=$F$4,'领用录入（明细）'!C:C&gt;=$J$4,'领用录入（明细）'!C:C&lt;=$L$4),ROW(),"-")</f>
        <v>-</v>
      </c>
    </row>
    <row r="12757" customHeight="1" spans="2:2">
      <c r="B12757" s="62" t="str">
        <f>IF(AND('领用录入（明细）'!D:D=$F$4,'领用录入（明细）'!C:C&gt;=$J$4,'领用录入（明细）'!C:C&lt;=$L$4),ROW(),"-")</f>
        <v>-</v>
      </c>
    </row>
    <row r="12758" customHeight="1" spans="2:2">
      <c r="B12758" s="62" t="str">
        <f>IF(AND('领用录入（明细）'!D:D=$F$4,'领用录入（明细）'!C:C&gt;=$J$4,'领用录入（明细）'!C:C&lt;=$L$4),ROW(),"-")</f>
        <v>-</v>
      </c>
    </row>
    <row r="12759" customHeight="1" spans="2:2">
      <c r="B12759" s="62" t="str">
        <f>IF(AND('领用录入（明细）'!D:D=$F$4,'领用录入（明细）'!C:C&gt;=$J$4,'领用录入（明细）'!C:C&lt;=$L$4),ROW(),"-")</f>
        <v>-</v>
      </c>
    </row>
    <row r="12760" customHeight="1" spans="2:2">
      <c r="B12760" s="62" t="str">
        <f>IF(AND('领用录入（明细）'!D:D=$F$4,'领用录入（明细）'!C:C&gt;=$J$4,'领用录入（明细）'!C:C&lt;=$L$4),ROW(),"-")</f>
        <v>-</v>
      </c>
    </row>
    <row r="12761" customHeight="1" spans="2:2">
      <c r="B12761" s="62" t="str">
        <f>IF(AND('领用录入（明细）'!D:D=$F$4,'领用录入（明细）'!C:C&gt;=$J$4,'领用录入（明细）'!C:C&lt;=$L$4),ROW(),"-")</f>
        <v>-</v>
      </c>
    </row>
    <row r="12762" customHeight="1" spans="2:2">
      <c r="B12762" s="62" t="str">
        <f>IF(AND('领用录入（明细）'!D:D=$F$4,'领用录入（明细）'!C:C&gt;=$J$4,'领用录入（明细）'!C:C&lt;=$L$4),ROW(),"-")</f>
        <v>-</v>
      </c>
    </row>
    <row r="12763" customHeight="1" spans="2:2">
      <c r="B12763" s="62" t="str">
        <f>IF(AND('领用录入（明细）'!D:D=$F$4,'领用录入（明细）'!C:C&gt;=$J$4,'领用录入（明细）'!C:C&lt;=$L$4),ROW(),"-")</f>
        <v>-</v>
      </c>
    </row>
    <row r="12764" customHeight="1" spans="2:2">
      <c r="B12764" s="62" t="str">
        <f>IF(AND('领用录入（明细）'!D:D=$F$4,'领用录入（明细）'!C:C&gt;=$J$4,'领用录入（明细）'!C:C&lt;=$L$4),ROW(),"-")</f>
        <v>-</v>
      </c>
    </row>
    <row r="12765" customHeight="1" spans="2:2">
      <c r="B12765" s="62" t="str">
        <f>IF(AND('领用录入（明细）'!D:D=$F$4,'领用录入（明细）'!C:C&gt;=$J$4,'领用录入（明细）'!C:C&lt;=$L$4),ROW(),"-")</f>
        <v>-</v>
      </c>
    </row>
    <row r="12766" customHeight="1" spans="2:2">
      <c r="B12766" s="62" t="str">
        <f>IF(AND('领用录入（明细）'!D:D=$F$4,'领用录入（明细）'!C:C&gt;=$J$4,'领用录入（明细）'!C:C&lt;=$L$4),ROW(),"-")</f>
        <v>-</v>
      </c>
    </row>
    <row r="12767" customHeight="1" spans="2:2">
      <c r="B12767" s="62" t="str">
        <f>IF(AND('领用录入（明细）'!D:D=$F$4,'领用录入（明细）'!C:C&gt;=$J$4,'领用录入（明细）'!C:C&lt;=$L$4),ROW(),"-")</f>
        <v>-</v>
      </c>
    </row>
    <row r="12768" customHeight="1" spans="2:2">
      <c r="B12768" s="62" t="str">
        <f>IF(AND('领用录入（明细）'!D:D=$F$4,'领用录入（明细）'!C:C&gt;=$J$4,'领用录入（明细）'!C:C&lt;=$L$4),ROW(),"-")</f>
        <v>-</v>
      </c>
    </row>
    <row r="12769" customHeight="1" spans="2:2">
      <c r="B12769" s="62" t="str">
        <f>IF(AND('领用录入（明细）'!D:D=$F$4,'领用录入（明细）'!C:C&gt;=$J$4,'领用录入（明细）'!C:C&lt;=$L$4),ROW(),"-")</f>
        <v>-</v>
      </c>
    </row>
    <row r="12770" customHeight="1" spans="2:2">
      <c r="B12770" s="62" t="str">
        <f>IF(AND('领用录入（明细）'!D:D=$F$4,'领用录入（明细）'!C:C&gt;=$J$4,'领用录入（明细）'!C:C&lt;=$L$4),ROW(),"-")</f>
        <v>-</v>
      </c>
    </row>
    <row r="12771" customHeight="1" spans="2:2">
      <c r="B12771" s="62" t="str">
        <f>IF(AND('领用录入（明细）'!D:D=$F$4,'领用录入（明细）'!C:C&gt;=$J$4,'领用录入（明细）'!C:C&lt;=$L$4),ROW(),"-")</f>
        <v>-</v>
      </c>
    </row>
    <row r="12772" customHeight="1" spans="2:2">
      <c r="B12772" s="62" t="str">
        <f>IF(AND('领用录入（明细）'!D:D=$F$4,'领用录入（明细）'!C:C&gt;=$J$4,'领用录入（明细）'!C:C&lt;=$L$4),ROW(),"-")</f>
        <v>-</v>
      </c>
    </row>
    <row r="12773" customHeight="1" spans="2:2">
      <c r="B12773" s="62" t="str">
        <f>IF(AND('领用录入（明细）'!D:D=$F$4,'领用录入（明细）'!C:C&gt;=$J$4,'领用录入（明细）'!C:C&lt;=$L$4),ROW(),"-")</f>
        <v>-</v>
      </c>
    </row>
    <row r="12774" customHeight="1" spans="2:2">
      <c r="B12774" s="62" t="str">
        <f>IF(AND('领用录入（明细）'!D:D=$F$4,'领用录入（明细）'!C:C&gt;=$J$4,'领用录入（明细）'!C:C&lt;=$L$4),ROW(),"-")</f>
        <v>-</v>
      </c>
    </row>
    <row r="12775" customHeight="1" spans="2:2">
      <c r="B12775" s="62" t="str">
        <f>IF(AND('领用录入（明细）'!D:D=$F$4,'领用录入（明细）'!C:C&gt;=$J$4,'领用录入（明细）'!C:C&lt;=$L$4),ROW(),"-")</f>
        <v>-</v>
      </c>
    </row>
    <row r="12776" customHeight="1" spans="2:2">
      <c r="B12776" s="62" t="str">
        <f>IF(AND('领用录入（明细）'!D:D=$F$4,'领用录入（明细）'!C:C&gt;=$J$4,'领用录入（明细）'!C:C&lt;=$L$4),ROW(),"-")</f>
        <v>-</v>
      </c>
    </row>
    <row r="12777" customHeight="1" spans="2:2">
      <c r="B12777" s="62" t="str">
        <f>IF(AND('领用录入（明细）'!D:D=$F$4,'领用录入（明细）'!C:C&gt;=$J$4,'领用录入（明细）'!C:C&lt;=$L$4),ROW(),"-")</f>
        <v>-</v>
      </c>
    </row>
    <row r="12778" customHeight="1" spans="2:2">
      <c r="B12778" s="62" t="str">
        <f>IF(AND('领用录入（明细）'!D:D=$F$4,'领用录入（明细）'!C:C&gt;=$J$4,'领用录入（明细）'!C:C&lt;=$L$4),ROW(),"-")</f>
        <v>-</v>
      </c>
    </row>
    <row r="12779" customHeight="1" spans="2:2">
      <c r="B12779" s="62" t="str">
        <f>IF(AND('领用录入（明细）'!D:D=$F$4,'领用录入（明细）'!C:C&gt;=$J$4,'领用录入（明细）'!C:C&lt;=$L$4),ROW(),"-")</f>
        <v>-</v>
      </c>
    </row>
    <row r="12780" customHeight="1" spans="2:2">
      <c r="B12780" s="62" t="str">
        <f>IF(AND('领用录入（明细）'!D:D=$F$4,'领用录入（明细）'!C:C&gt;=$J$4,'领用录入（明细）'!C:C&lt;=$L$4),ROW(),"-")</f>
        <v>-</v>
      </c>
    </row>
    <row r="12781" customHeight="1" spans="2:2">
      <c r="B12781" s="62" t="str">
        <f>IF(AND('领用录入（明细）'!D:D=$F$4,'领用录入（明细）'!C:C&gt;=$J$4,'领用录入（明细）'!C:C&lt;=$L$4),ROW(),"-")</f>
        <v>-</v>
      </c>
    </row>
    <row r="12782" customHeight="1" spans="2:2">
      <c r="B12782" s="62" t="str">
        <f>IF(AND('领用录入（明细）'!D:D=$F$4,'领用录入（明细）'!C:C&gt;=$J$4,'领用录入（明细）'!C:C&lt;=$L$4),ROW(),"-")</f>
        <v>-</v>
      </c>
    </row>
    <row r="12783" customHeight="1" spans="2:2">
      <c r="B12783" s="62" t="str">
        <f>IF(AND('领用录入（明细）'!D:D=$F$4,'领用录入（明细）'!C:C&gt;=$J$4,'领用录入（明细）'!C:C&lt;=$L$4),ROW(),"-")</f>
        <v>-</v>
      </c>
    </row>
    <row r="12784" customHeight="1" spans="2:2">
      <c r="B12784" s="62" t="str">
        <f>IF(AND('领用录入（明细）'!D:D=$F$4,'领用录入（明细）'!C:C&gt;=$J$4,'领用录入（明细）'!C:C&lt;=$L$4),ROW(),"-")</f>
        <v>-</v>
      </c>
    </row>
    <row r="12785" customHeight="1" spans="2:2">
      <c r="B12785" s="62" t="str">
        <f>IF(AND('领用录入（明细）'!D:D=$F$4,'领用录入（明细）'!C:C&gt;=$J$4,'领用录入（明细）'!C:C&lt;=$L$4),ROW(),"-")</f>
        <v>-</v>
      </c>
    </row>
    <row r="12786" customHeight="1" spans="2:2">
      <c r="B12786" s="62" t="str">
        <f>IF(AND('领用录入（明细）'!D:D=$F$4,'领用录入（明细）'!C:C&gt;=$J$4,'领用录入（明细）'!C:C&lt;=$L$4),ROW(),"-")</f>
        <v>-</v>
      </c>
    </row>
    <row r="12787" customHeight="1" spans="2:2">
      <c r="B12787" s="62" t="str">
        <f>IF(AND('领用录入（明细）'!D:D=$F$4,'领用录入（明细）'!C:C&gt;=$J$4,'领用录入（明细）'!C:C&lt;=$L$4),ROW(),"-")</f>
        <v>-</v>
      </c>
    </row>
    <row r="12788" customHeight="1" spans="2:2">
      <c r="B12788" s="62" t="str">
        <f>IF(AND('领用录入（明细）'!D:D=$F$4,'领用录入（明细）'!C:C&gt;=$J$4,'领用录入（明细）'!C:C&lt;=$L$4),ROW(),"-")</f>
        <v>-</v>
      </c>
    </row>
    <row r="12789" customHeight="1" spans="2:2">
      <c r="B12789" s="62" t="str">
        <f>IF(AND('领用录入（明细）'!D:D=$F$4,'领用录入（明细）'!C:C&gt;=$J$4,'领用录入（明细）'!C:C&lt;=$L$4),ROW(),"-")</f>
        <v>-</v>
      </c>
    </row>
    <row r="12790" customHeight="1" spans="2:2">
      <c r="B12790" s="62" t="str">
        <f>IF(AND('领用录入（明细）'!D:D=$F$4,'领用录入（明细）'!C:C&gt;=$J$4,'领用录入（明细）'!C:C&lt;=$L$4),ROW(),"-")</f>
        <v>-</v>
      </c>
    </row>
    <row r="12791" customHeight="1" spans="2:2">
      <c r="B12791" s="62" t="str">
        <f>IF(AND('领用录入（明细）'!D:D=$F$4,'领用录入（明细）'!C:C&gt;=$J$4,'领用录入（明细）'!C:C&lt;=$L$4),ROW(),"-")</f>
        <v>-</v>
      </c>
    </row>
    <row r="12792" customHeight="1" spans="2:2">
      <c r="B12792" s="62" t="str">
        <f>IF(AND('领用录入（明细）'!D:D=$F$4,'领用录入（明细）'!C:C&gt;=$J$4,'领用录入（明细）'!C:C&lt;=$L$4),ROW(),"-")</f>
        <v>-</v>
      </c>
    </row>
    <row r="12793" customHeight="1" spans="2:2">
      <c r="B12793" s="62" t="str">
        <f>IF(AND('领用录入（明细）'!D:D=$F$4,'领用录入（明细）'!C:C&gt;=$J$4,'领用录入（明细）'!C:C&lt;=$L$4),ROW(),"-")</f>
        <v>-</v>
      </c>
    </row>
    <row r="12794" customHeight="1" spans="2:2">
      <c r="B12794" s="62" t="str">
        <f>IF(AND('领用录入（明细）'!D:D=$F$4,'领用录入（明细）'!C:C&gt;=$J$4,'领用录入（明细）'!C:C&lt;=$L$4),ROW(),"-")</f>
        <v>-</v>
      </c>
    </row>
    <row r="12795" customHeight="1" spans="2:2">
      <c r="B12795" s="62" t="str">
        <f>IF(AND('领用录入（明细）'!D:D=$F$4,'领用录入（明细）'!C:C&gt;=$J$4,'领用录入（明细）'!C:C&lt;=$L$4),ROW(),"-")</f>
        <v>-</v>
      </c>
    </row>
    <row r="12796" customHeight="1" spans="2:2">
      <c r="B12796" s="62" t="str">
        <f>IF(AND('领用录入（明细）'!D:D=$F$4,'领用录入（明细）'!C:C&gt;=$J$4,'领用录入（明细）'!C:C&lt;=$L$4),ROW(),"-")</f>
        <v>-</v>
      </c>
    </row>
    <row r="12797" customHeight="1" spans="2:2">
      <c r="B12797" s="62" t="str">
        <f>IF(AND('领用录入（明细）'!D:D=$F$4,'领用录入（明细）'!C:C&gt;=$J$4,'领用录入（明细）'!C:C&lt;=$L$4),ROW(),"-")</f>
        <v>-</v>
      </c>
    </row>
    <row r="12798" customHeight="1" spans="2:2">
      <c r="B12798" s="62" t="str">
        <f>IF(AND('领用录入（明细）'!D:D=$F$4,'领用录入（明细）'!C:C&gt;=$J$4,'领用录入（明细）'!C:C&lt;=$L$4),ROW(),"-")</f>
        <v>-</v>
      </c>
    </row>
    <row r="12799" customHeight="1" spans="2:2">
      <c r="B12799" s="62" t="str">
        <f>IF(AND('领用录入（明细）'!D:D=$F$4,'领用录入（明细）'!C:C&gt;=$J$4,'领用录入（明细）'!C:C&lt;=$L$4),ROW(),"-")</f>
        <v>-</v>
      </c>
    </row>
    <row r="12800" customHeight="1" spans="2:2">
      <c r="B12800" s="62" t="str">
        <f>IF(AND('领用录入（明细）'!D:D=$F$4,'领用录入（明细）'!C:C&gt;=$J$4,'领用录入（明细）'!C:C&lt;=$L$4),ROW(),"-")</f>
        <v>-</v>
      </c>
    </row>
    <row r="12801" customHeight="1" spans="2:2">
      <c r="B12801" s="62" t="str">
        <f>IF(AND('领用录入（明细）'!D:D=$F$4,'领用录入（明细）'!C:C&gt;=$J$4,'领用录入（明细）'!C:C&lt;=$L$4),ROW(),"-")</f>
        <v>-</v>
      </c>
    </row>
    <row r="12802" customHeight="1" spans="2:2">
      <c r="B12802" s="62" t="str">
        <f>IF(AND('领用录入（明细）'!D:D=$F$4,'领用录入（明细）'!C:C&gt;=$J$4,'领用录入（明细）'!C:C&lt;=$L$4),ROW(),"-")</f>
        <v>-</v>
      </c>
    </row>
    <row r="12803" customHeight="1" spans="2:2">
      <c r="B12803" s="62" t="str">
        <f>IF(AND('领用录入（明细）'!D:D=$F$4,'领用录入（明细）'!C:C&gt;=$J$4,'领用录入（明细）'!C:C&lt;=$L$4),ROW(),"-")</f>
        <v>-</v>
      </c>
    </row>
    <row r="12804" customHeight="1" spans="2:2">
      <c r="B12804" s="62" t="str">
        <f>IF(AND('领用录入（明细）'!D:D=$F$4,'领用录入（明细）'!C:C&gt;=$J$4,'领用录入（明细）'!C:C&lt;=$L$4),ROW(),"-")</f>
        <v>-</v>
      </c>
    </row>
    <row r="12805" customHeight="1" spans="2:2">
      <c r="B12805" s="62" t="str">
        <f>IF(AND('领用录入（明细）'!D:D=$F$4,'领用录入（明细）'!C:C&gt;=$J$4,'领用录入（明细）'!C:C&lt;=$L$4),ROW(),"-")</f>
        <v>-</v>
      </c>
    </row>
    <row r="12806" customHeight="1" spans="2:2">
      <c r="B12806" s="62" t="str">
        <f>IF(AND('领用录入（明细）'!D:D=$F$4,'领用录入（明细）'!C:C&gt;=$J$4,'领用录入（明细）'!C:C&lt;=$L$4),ROW(),"-")</f>
        <v>-</v>
      </c>
    </row>
    <row r="12807" customHeight="1" spans="2:2">
      <c r="B12807" s="62" t="str">
        <f>IF(AND('领用录入（明细）'!D:D=$F$4,'领用录入（明细）'!C:C&gt;=$J$4,'领用录入（明细）'!C:C&lt;=$L$4),ROW(),"-")</f>
        <v>-</v>
      </c>
    </row>
    <row r="12808" customHeight="1" spans="2:2">
      <c r="B12808" s="62" t="str">
        <f>IF(AND('领用录入（明细）'!D:D=$F$4,'领用录入（明细）'!C:C&gt;=$J$4,'领用录入（明细）'!C:C&lt;=$L$4),ROW(),"-")</f>
        <v>-</v>
      </c>
    </row>
    <row r="12809" customHeight="1" spans="2:2">
      <c r="B12809" s="62" t="str">
        <f>IF(AND('领用录入（明细）'!D:D=$F$4,'领用录入（明细）'!C:C&gt;=$J$4,'领用录入（明细）'!C:C&lt;=$L$4),ROW(),"-")</f>
        <v>-</v>
      </c>
    </row>
    <row r="12810" customHeight="1" spans="2:2">
      <c r="B12810" s="62" t="str">
        <f>IF(AND('领用录入（明细）'!D:D=$F$4,'领用录入（明细）'!C:C&gt;=$J$4,'领用录入（明细）'!C:C&lt;=$L$4),ROW(),"-")</f>
        <v>-</v>
      </c>
    </row>
    <row r="12811" customHeight="1" spans="2:2">
      <c r="B12811" s="62" t="str">
        <f>IF(AND('领用录入（明细）'!D:D=$F$4,'领用录入（明细）'!C:C&gt;=$J$4,'领用录入（明细）'!C:C&lt;=$L$4),ROW(),"-")</f>
        <v>-</v>
      </c>
    </row>
    <row r="12812" customHeight="1" spans="2:2">
      <c r="B12812" s="62" t="str">
        <f>IF(AND('领用录入（明细）'!D:D=$F$4,'领用录入（明细）'!C:C&gt;=$J$4,'领用录入（明细）'!C:C&lt;=$L$4),ROW(),"-")</f>
        <v>-</v>
      </c>
    </row>
    <row r="12813" customHeight="1" spans="2:2">
      <c r="B12813" s="62" t="str">
        <f>IF(AND('领用录入（明细）'!D:D=$F$4,'领用录入（明细）'!C:C&gt;=$J$4,'领用录入（明细）'!C:C&lt;=$L$4),ROW(),"-")</f>
        <v>-</v>
      </c>
    </row>
    <row r="12814" customHeight="1" spans="2:2">
      <c r="B12814" s="62" t="str">
        <f>IF(AND('领用录入（明细）'!D:D=$F$4,'领用录入（明细）'!C:C&gt;=$J$4,'领用录入（明细）'!C:C&lt;=$L$4),ROW(),"-")</f>
        <v>-</v>
      </c>
    </row>
    <row r="12815" customHeight="1" spans="2:2">
      <c r="B12815" s="62" t="str">
        <f>IF(AND('领用录入（明细）'!D:D=$F$4,'领用录入（明细）'!C:C&gt;=$J$4,'领用录入（明细）'!C:C&lt;=$L$4),ROW(),"-")</f>
        <v>-</v>
      </c>
    </row>
    <row r="12816" customHeight="1" spans="2:2">
      <c r="B12816" s="62" t="str">
        <f>IF(AND('领用录入（明细）'!D:D=$F$4,'领用录入（明细）'!C:C&gt;=$J$4,'领用录入（明细）'!C:C&lt;=$L$4),ROW(),"-")</f>
        <v>-</v>
      </c>
    </row>
    <row r="12817" customHeight="1" spans="2:2">
      <c r="B12817" s="62" t="str">
        <f>IF(AND('领用录入（明细）'!D:D=$F$4,'领用录入（明细）'!C:C&gt;=$J$4,'领用录入（明细）'!C:C&lt;=$L$4),ROW(),"-")</f>
        <v>-</v>
      </c>
    </row>
    <row r="12818" customHeight="1" spans="2:2">
      <c r="B12818" s="62" t="str">
        <f>IF(AND('领用录入（明细）'!D:D=$F$4,'领用录入（明细）'!C:C&gt;=$J$4,'领用录入（明细）'!C:C&lt;=$L$4),ROW(),"-")</f>
        <v>-</v>
      </c>
    </row>
    <row r="12819" customHeight="1" spans="2:2">
      <c r="B12819" s="62" t="str">
        <f>IF(AND('领用录入（明细）'!D:D=$F$4,'领用录入（明细）'!C:C&gt;=$J$4,'领用录入（明细）'!C:C&lt;=$L$4),ROW(),"-")</f>
        <v>-</v>
      </c>
    </row>
    <row r="12820" customHeight="1" spans="2:2">
      <c r="B12820" s="62" t="str">
        <f>IF(AND('领用录入（明细）'!D:D=$F$4,'领用录入（明细）'!C:C&gt;=$J$4,'领用录入（明细）'!C:C&lt;=$L$4),ROW(),"-")</f>
        <v>-</v>
      </c>
    </row>
    <row r="12821" customHeight="1" spans="2:2">
      <c r="B12821" s="62" t="str">
        <f>IF(AND('领用录入（明细）'!D:D=$F$4,'领用录入（明细）'!C:C&gt;=$J$4,'领用录入（明细）'!C:C&lt;=$L$4),ROW(),"-")</f>
        <v>-</v>
      </c>
    </row>
    <row r="12822" customHeight="1" spans="2:2">
      <c r="B12822" s="62" t="str">
        <f>IF(AND('领用录入（明细）'!D:D=$F$4,'领用录入（明细）'!C:C&gt;=$J$4,'领用录入（明细）'!C:C&lt;=$L$4),ROW(),"-")</f>
        <v>-</v>
      </c>
    </row>
    <row r="12823" customHeight="1" spans="2:2">
      <c r="B12823" s="62" t="str">
        <f>IF(AND('领用录入（明细）'!D:D=$F$4,'领用录入（明细）'!C:C&gt;=$J$4,'领用录入（明细）'!C:C&lt;=$L$4),ROW(),"-")</f>
        <v>-</v>
      </c>
    </row>
    <row r="12824" customHeight="1" spans="2:2">
      <c r="B12824" s="62" t="str">
        <f>IF(AND('领用录入（明细）'!D:D=$F$4,'领用录入（明细）'!C:C&gt;=$J$4,'领用录入（明细）'!C:C&lt;=$L$4),ROW(),"-")</f>
        <v>-</v>
      </c>
    </row>
    <row r="12825" customHeight="1" spans="2:2">
      <c r="B12825" s="62" t="str">
        <f>IF(AND('领用录入（明细）'!D:D=$F$4,'领用录入（明细）'!C:C&gt;=$J$4,'领用录入（明细）'!C:C&lt;=$L$4),ROW(),"-")</f>
        <v>-</v>
      </c>
    </row>
    <row r="12826" customHeight="1" spans="2:2">
      <c r="B12826" s="62" t="str">
        <f>IF(AND('领用录入（明细）'!D:D=$F$4,'领用录入（明细）'!C:C&gt;=$J$4,'领用录入（明细）'!C:C&lt;=$L$4),ROW(),"-")</f>
        <v>-</v>
      </c>
    </row>
    <row r="12827" customHeight="1" spans="2:2">
      <c r="B12827" s="62" t="str">
        <f>IF(AND('领用录入（明细）'!D:D=$F$4,'领用录入（明细）'!C:C&gt;=$J$4,'领用录入（明细）'!C:C&lt;=$L$4),ROW(),"-")</f>
        <v>-</v>
      </c>
    </row>
    <row r="12828" customHeight="1" spans="2:2">
      <c r="B12828" s="62" t="str">
        <f>IF(AND('领用录入（明细）'!D:D=$F$4,'领用录入（明细）'!C:C&gt;=$J$4,'领用录入（明细）'!C:C&lt;=$L$4),ROW(),"-")</f>
        <v>-</v>
      </c>
    </row>
    <row r="12829" customHeight="1" spans="2:2">
      <c r="B12829" s="62" t="str">
        <f>IF(AND('领用录入（明细）'!D:D=$F$4,'领用录入（明细）'!C:C&gt;=$J$4,'领用录入（明细）'!C:C&lt;=$L$4),ROW(),"-")</f>
        <v>-</v>
      </c>
    </row>
    <row r="12830" customHeight="1" spans="2:2">
      <c r="B12830" s="62" t="str">
        <f>IF(AND('领用录入（明细）'!D:D=$F$4,'领用录入（明细）'!C:C&gt;=$J$4,'领用录入（明细）'!C:C&lt;=$L$4),ROW(),"-")</f>
        <v>-</v>
      </c>
    </row>
    <row r="12831" customHeight="1" spans="2:2">
      <c r="B12831" s="62" t="str">
        <f>IF(AND('领用录入（明细）'!D:D=$F$4,'领用录入（明细）'!C:C&gt;=$J$4,'领用录入（明细）'!C:C&lt;=$L$4),ROW(),"-")</f>
        <v>-</v>
      </c>
    </row>
    <row r="12832" customHeight="1" spans="2:2">
      <c r="B12832" s="62" t="str">
        <f>IF(AND('领用录入（明细）'!D:D=$F$4,'领用录入（明细）'!C:C&gt;=$J$4,'领用录入（明细）'!C:C&lt;=$L$4),ROW(),"-")</f>
        <v>-</v>
      </c>
    </row>
    <row r="12833" customHeight="1" spans="2:2">
      <c r="B12833" s="62" t="str">
        <f>IF(AND('领用录入（明细）'!D:D=$F$4,'领用录入（明细）'!C:C&gt;=$J$4,'领用录入（明细）'!C:C&lt;=$L$4),ROW(),"-")</f>
        <v>-</v>
      </c>
    </row>
    <row r="12834" customHeight="1" spans="2:2">
      <c r="B12834" s="62" t="str">
        <f>IF(AND('领用录入（明细）'!D:D=$F$4,'领用录入（明细）'!C:C&gt;=$J$4,'领用录入（明细）'!C:C&lt;=$L$4),ROW(),"-")</f>
        <v>-</v>
      </c>
    </row>
    <row r="12835" customHeight="1" spans="2:2">
      <c r="B12835" s="62" t="str">
        <f>IF(AND('领用录入（明细）'!D:D=$F$4,'领用录入（明细）'!C:C&gt;=$J$4,'领用录入（明细）'!C:C&lt;=$L$4),ROW(),"-")</f>
        <v>-</v>
      </c>
    </row>
    <row r="12836" customHeight="1" spans="2:2">
      <c r="B12836" s="62" t="str">
        <f>IF(AND('领用录入（明细）'!D:D=$F$4,'领用录入（明细）'!C:C&gt;=$J$4,'领用录入（明细）'!C:C&lt;=$L$4),ROW(),"-")</f>
        <v>-</v>
      </c>
    </row>
    <row r="12837" customHeight="1" spans="2:2">
      <c r="B12837" s="62" t="str">
        <f>IF(AND('领用录入（明细）'!D:D=$F$4,'领用录入（明细）'!C:C&gt;=$J$4,'领用录入（明细）'!C:C&lt;=$L$4),ROW(),"-")</f>
        <v>-</v>
      </c>
    </row>
    <row r="12838" customHeight="1" spans="2:2">
      <c r="B12838" s="62" t="str">
        <f>IF(AND('领用录入（明细）'!D:D=$F$4,'领用录入（明细）'!C:C&gt;=$J$4,'领用录入（明细）'!C:C&lt;=$L$4),ROW(),"-")</f>
        <v>-</v>
      </c>
    </row>
    <row r="12839" customHeight="1" spans="2:2">
      <c r="B12839" s="62" t="str">
        <f>IF(AND('领用录入（明细）'!D:D=$F$4,'领用录入（明细）'!C:C&gt;=$J$4,'领用录入（明细）'!C:C&lt;=$L$4),ROW(),"-")</f>
        <v>-</v>
      </c>
    </row>
    <row r="12840" customHeight="1" spans="2:2">
      <c r="B12840" s="62" t="str">
        <f>IF(AND('领用录入（明细）'!D:D=$F$4,'领用录入（明细）'!C:C&gt;=$J$4,'领用录入（明细）'!C:C&lt;=$L$4),ROW(),"-")</f>
        <v>-</v>
      </c>
    </row>
    <row r="12841" customHeight="1" spans="2:2">
      <c r="B12841" s="62" t="str">
        <f>IF(AND('领用录入（明细）'!D:D=$F$4,'领用录入（明细）'!C:C&gt;=$J$4,'领用录入（明细）'!C:C&lt;=$L$4),ROW(),"-")</f>
        <v>-</v>
      </c>
    </row>
    <row r="12842" customHeight="1" spans="2:2">
      <c r="B12842" s="62" t="str">
        <f>IF(AND('领用录入（明细）'!D:D=$F$4,'领用录入（明细）'!C:C&gt;=$J$4,'领用录入（明细）'!C:C&lt;=$L$4),ROW(),"-")</f>
        <v>-</v>
      </c>
    </row>
    <row r="12843" customHeight="1" spans="2:2">
      <c r="B12843" s="62" t="str">
        <f>IF(AND('领用录入（明细）'!D:D=$F$4,'领用录入（明细）'!C:C&gt;=$J$4,'领用录入（明细）'!C:C&lt;=$L$4),ROW(),"-")</f>
        <v>-</v>
      </c>
    </row>
    <row r="12844" customHeight="1" spans="2:2">
      <c r="B12844" s="62" t="str">
        <f>IF(AND('领用录入（明细）'!D:D=$F$4,'领用录入（明细）'!C:C&gt;=$J$4,'领用录入（明细）'!C:C&lt;=$L$4),ROW(),"-")</f>
        <v>-</v>
      </c>
    </row>
    <row r="12845" customHeight="1" spans="2:2">
      <c r="B12845" s="62" t="str">
        <f>IF(AND('领用录入（明细）'!D:D=$F$4,'领用录入（明细）'!C:C&gt;=$J$4,'领用录入（明细）'!C:C&lt;=$L$4),ROW(),"-")</f>
        <v>-</v>
      </c>
    </row>
    <row r="12846" customHeight="1" spans="2:2">
      <c r="B12846" s="62" t="str">
        <f>IF(AND('领用录入（明细）'!D:D=$F$4,'领用录入（明细）'!C:C&gt;=$J$4,'领用录入（明细）'!C:C&lt;=$L$4),ROW(),"-")</f>
        <v>-</v>
      </c>
    </row>
    <row r="12847" customHeight="1" spans="2:2">
      <c r="B12847" s="62" t="str">
        <f>IF(AND('领用录入（明细）'!D:D=$F$4,'领用录入（明细）'!C:C&gt;=$J$4,'领用录入（明细）'!C:C&lt;=$L$4),ROW(),"-")</f>
        <v>-</v>
      </c>
    </row>
    <row r="12848" customHeight="1" spans="2:2">
      <c r="B12848" s="62" t="str">
        <f>IF(AND('领用录入（明细）'!D:D=$F$4,'领用录入（明细）'!C:C&gt;=$J$4,'领用录入（明细）'!C:C&lt;=$L$4),ROW(),"-")</f>
        <v>-</v>
      </c>
    </row>
    <row r="12849" customHeight="1" spans="2:2">
      <c r="B12849" s="62" t="str">
        <f>IF(AND('领用录入（明细）'!D:D=$F$4,'领用录入（明细）'!C:C&gt;=$J$4,'领用录入（明细）'!C:C&lt;=$L$4),ROW(),"-")</f>
        <v>-</v>
      </c>
    </row>
    <row r="12850" customHeight="1" spans="2:2">
      <c r="B12850" s="62" t="str">
        <f>IF(AND('领用录入（明细）'!D:D=$F$4,'领用录入（明细）'!C:C&gt;=$J$4,'领用录入（明细）'!C:C&lt;=$L$4),ROW(),"-")</f>
        <v>-</v>
      </c>
    </row>
    <row r="12851" customHeight="1" spans="2:2">
      <c r="B12851" s="62" t="str">
        <f>IF(AND('领用录入（明细）'!D:D=$F$4,'领用录入（明细）'!C:C&gt;=$J$4,'领用录入（明细）'!C:C&lt;=$L$4),ROW(),"-")</f>
        <v>-</v>
      </c>
    </row>
    <row r="12852" customHeight="1" spans="2:2">
      <c r="B12852" s="62" t="str">
        <f>IF(AND('领用录入（明细）'!D:D=$F$4,'领用录入（明细）'!C:C&gt;=$J$4,'领用录入（明细）'!C:C&lt;=$L$4),ROW(),"-")</f>
        <v>-</v>
      </c>
    </row>
    <row r="12853" customHeight="1" spans="2:2">
      <c r="B12853" s="62" t="str">
        <f>IF(AND('领用录入（明细）'!D:D=$F$4,'领用录入（明细）'!C:C&gt;=$J$4,'领用录入（明细）'!C:C&lt;=$L$4),ROW(),"-")</f>
        <v>-</v>
      </c>
    </row>
    <row r="12854" customHeight="1" spans="2:2">
      <c r="B12854" s="62" t="str">
        <f>IF(AND('领用录入（明细）'!D:D=$F$4,'领用录入（明细）'!C:C&gt;=$J$4,'领用录入（明细）'!C:C&lt;=$L$4),ROW(),"-")</f>
        <v>-</v>
      </c>
    </row>
    <row r="12855" customHeight="1" spans="2:2">
      <c r="B12855" s="62" t="str">
        <f>IF(AND('领用录入（明细）'!D:D=$F$4,'领用录入（明细）'!C:C&gt;=$J$4,'领用录入（明细）'!C:C&lt;=$L$4),ROW(),"-")</f>
        <v>-</v>
      </c>
    </row>
    <row r="12856" customHeight="1" spans="2:2">
      <c r="B12856" s="62" t="str">
        <f>IF(AND('领用录入（明细）'!D:D=$F$4,'领用录入（明细）'!C:C&gt;=$J$4,'领用录入（明细）'!C:C&lt;=$L$4),ROW(),"-")</f>
        <v>-</v>
      </c>
    </row>
    <row r="12857" customHeight="1" spans="2:2">
      <c r="B12857" s="62" t="str">
        <f>IF(AND('领用录入（明细）'!D:D=$F$4,'领用录入（明细）'!C:C&gt;=$J$4,'领用录入（明细）'!C:C&lt;=$L$4),ROW(),"-")</f>
        <v>-</v>
      </c>
    </row>
    <row r="12858" customHeight="1" spans="2:2">
      <c r="B12858" s="62" t="str">
        <f>IF(AND('领用录入（明细）'!D:D=$F$4,'领用录入（明细）'!C:C&gt;=$J$4,'领用录入（明细）'!C:C&lt;=$L$4),ROW(),"-")</f>
        <v>-</v>
      </c>
    </row>
    <row r="12859" customHeight="1" spans="2:2">
      <c r="B12859" s="62" t="str">
        <f>IF(AND('领用录入（明细）'!D:D=$F$4,'领用录入（明细）'!C:C&gt;=$J$4,'领用录入（明细）'!C:C&lt;=$L$4),ROW(),"-")</f>
        <v>-</v>
      </c>
    </row>
    <row r="12860" customHeight="1" spans="2:2">
      <c r="B12860" s="62" t="str">
        <f>IF(AND('领用录入（明细）'!D:D=$F$4,'领用录入（明细）'!C:C&gt;=$J$4,'领用录入（明细）'!C:C&lt;=$L$4),ROW(),"-")</f>
        <v>-</v>
      </c>
    </row>
    <row r="12861" customHeight="1" spans="2:2">
      <c r="B12861" s="62" t="str">
        <f>IF(AND('领用录入（明细）'!D:D=$F$4,'领用录入（明细）'!C:C&gt;=$J$4,'领用录入（明细）'!C:C&lt;=$L$4),ROW(),"-")</f>
        <v>-</v>
      </c>
    </row>
    <row r="12862" customHeight="1" spans="2:2">
      <c r="B12862" s="62" t="str">
        <f>IF(AND('领用录入（明细）'!D:D=$F$4,'领用录入（明细）'!C:C&gt;=$J$4,'领用录入（明细）'!C:C&lt;=$L$4),ROW(),"-")</f>
        <v>-</v>
      </c>
    </row>
    <row r="12863" customHeight="1" spans="2:2">
      <c r="B12863" s="62" t="str">
        <f>IF(AND('领用录入（明细）'!D:D=$F$4,'领用录入（明细）'!C:C&gt;=$J$4,'领用录入（明细）'!C:C&lt;=$L$4),ROW(),"-")</f>
        <v>-</v>
      </c>
    </row>
    <row r="12864" customHeight="1" spans="2:2">
      <c r="B12864" s="62" t="str">
        <f>IF(AND('领用录入（明细）'!D:D=$F$4,'领用录入（明细）'!C:C&gt;=$J$4,'领用录入（明细）'!C:C&lt;=$L$4),ROW(),"-")</f>
        <v>-</v>
      </c>
    </row>
    <row r="12865" customHeight="1" spans="2:2">
      <c r="B12865" s="62" t="str">
        <f>IF(AND('领用录入（明细）'!D:D=$F$4,'领用录入（明细）'!C:C&gt;=$J$4,'领用录入（明细）'!C:C&lt;=$L$4),ROW(),"-")</f>
        <v>-</v>
      </c>
    </row>
    <row r="12866" customHeight="1" spans="2:2">
      <c r="B12866" s="62" t="str">
        <f>IF(AND('领用录入（明细）'!D:D=$F$4,'领用录入（明细）'!C:C&gt;=$J$4,'领用录入（明细）'!C:C&lt;=$L$4),ROW(),"-")</f>
        <v>-</v>
      </c>
    </row>
    <row r="12867" customHeight="1" spans="2:2">
      <c r="B12867" s="62" t="str">
        <f>IF(AND('领用录入（明细）'!D:D=$F$4,'领用录入（明细）'!C:C&gt;=$J$4,'领用录入（明细）'!C:C&lt;=$L$4),ROW(),"-")</f>
        <v>-</v>
      </c>
    </row>
    <row r="12868" customHeight="1" spans="2:2">
      <c r="B12868" s="62" t="str">
        <f>IF(AND('领用录入（明细）'!D:D=$F$4,'领用录入（明细）'!C:C&gt;=$J$4,'领用录入（明细）'!C:C&lt;=$L$4),ROW(),"-")</f>
        <v>-</v>
      </c>
    </row>
    <row r="12869" customHeight="1" spans="2:2">
      <c r="B12869" s="62" t="str">
        <f>IF(AND('领用录入（明细）'!D:D=$F$4,'领用录入（明细）'!C:C&gt;=$J$4,'领用录入（明细）'!C:C&lt;=$L$4),ROW(),"-")</f>
        <v>-</v>
      </c>
    </row>
    <row r="12870" customHeight="1" spans="2:2">
      <c r="B12870" s="62" t="str">
        <f>IF(AND('领用录入（明细）'!D:D=$F$4,'领用录入（明细）'!C:C&gt;=$J$4,'领用录入（明细）'!C:C&lt;=$L$4),ROW(),"-")</f>
        <v>-</v>
      </c>
    </row>
    <row r="12871" customHeight="1" spans="2:2">
      <c r="B12871" s="62" t="str">
        <f>IF(AND('领用录入（明细）'!D:D=$F$4,'领用录入（明细）'!C:C&gt;=$J$4,'领用录入（明细）'!C:C&lt;=$L$4),ROW(),"-")</f>
        <v>-</v>
      </c>
    </row>
    <row r="12872" customHeight="1" spans="2:2">
      <c r="B12872" s="62" t="str">
        <f>IF(AND('领用录入（明细）'!D:D=$F$4,'领用录入（明细）'!C:C&gt;=$J$4,'领用录入（明细）'!C:C&lt;=$L$4),ROW(),"-")</f>
        <v>-</v>
      </c>
    </row>
    <row r="12873" customHeight="1" spans="2:2">
      <c r="B12873" s="62" t="str">
        <f>IF(AND('领用录入（明细）'!D:D=$F$4,'领用录入（明细）'!C:C&gt;=$J$4,'领用录入（明细）'!C:C&lt;=$L$4),ROW(),"-")</f>
        <v>-</v>
      </c>
    </row>
    <row r="12874" customHeight="1" spans="2:2">
      <c r="B12874" s="62" t="str">
        <f>IF(AND('领用录入（明细）'!D:D=$F$4,'领用录入（明细）'!C:C&gt;=$J$4,'领用录入（明细）'!C:C&lt;=$L$4),ROW(),"-")</f>
        <v>-</v>
      </c>
    </row>
    <row r="12875" customHeight="1" spans="2:2">
      <c r="B12875" s="62" t="str">
        <f>IF(AND('领用录入（明细）'!D:D=$F$4,'领用录入（明细）'!C:C&gt;=$J$4,'领用录入（明细）'!C:C&lt;=$L$4),ROW(),"-")</f>
        <v>-</v>
      </c>
    </row>
    <row r="12876" customHeight="1" spans="2:2">
      <c r="B12876" s="62" t="str">
        <f>IF(AND('领用录入（明细）'!D:D=$F$4,'领用录入（明细）'!C:C&gt;=$J$4,'领用录入（明细）'!C:C&lt;=$L$4),ROW(),"-")</f>
        <v>-</v>
      </c>
    </row>
    <row r="12877" customHeight="1" spans="2:2">
      <c r="B12877" s="62" t="str">
        <f>IF(AND('领用录入（明细）'!D:D=$F$4,'领用录入（明细）'!C:C&gt;=$J$4,'领用录入（明细）'!C:C&lt;=$L$4),ROW(),"-")</f>
        <v>-</v>
      </c>
    </row>
    <row r="12878" customHeight="1" spans="2:2">
      <c r="B12878" s="62" t="str">
        <f>IF(AND('领用录入（明细）'!D:D=$F$4,'领用录入（明细）'!C:C&gt;=$J$4,'领用录入（明细）'!C:C&lt;=$L$4),ROW(),"-")</f>
        <v>-</v>
      </c>
    </row>
    <row r="12879" customHeight="1" spans="2:2">
      <c r="B12879" s="62" t="str">
        <f>IF(AND('领用录入（明细）'!D:D=$F$4,'领用录入（明细）'!C:C&gt;=$J$4,'领用录入（明细）'!C:C&lt;=$L$4),ROW(),"-")</f>
        <v>-</v>
      </c>
    </row>
    <row r="12880" customHeight="1" spans="2:2">
      <c r="B12880" s="62" t="str">
        <f>IF(AND('领用录入（明细）'!D:D=$F$4,'领用录入（明细）'!C:C&gt;=$J$4,'领用录入（明细）'!C:C&lt;=$L$4),ROW(),"-")</f>
        <v>-</v>
      </c>
    </row>
    <row r="12881" customHeight="1" spans="2:2">
      <c r="B12881" s="62" t="str">
        <f>IF(AND('领用录入（明细）'!D:D=$F$4,'领用录入（明细）'!C:C&gt;=$J$4,'领用录入（明细）'!C:C&lt;=$L$4),ROW(),"-")</f>
        <v>-</v>
      </c>
    </row>
    <row r="12882" customHeight="1" spans="2:2">
      <c r="B12882" s="62" t="str">
        <f>IF(AND('领用录入（明细）'!D:D=$F$4,'领用录入（明细）'!C:C&gt;=$J$4,'领用录入（明细）'!C:C&lt;=$L$4),ROW(),"-")</f>
        <v>-</v>
      </c>
    </row>
    <row r="12883" customHeight="1" spans="2:2">
      <c r="B12883" s="62" t="str">
        <f>IF(AND('领用录入（明细）'!D:D=$F$4,'领用录入（明细）'!C:C&gt;=$J$4,'领用录入（明细）'!C:C&lt;=$L$4),ROW(),"-")</f>
        <v>-</v>
      </c>
    </row>
    <row r="12884" customHeight="1" spans="2:2">
      <c r="B12884" s="62" t="str">
        <f>IF(AND('领用录入（明细）'!D:D=$F$4,'领用录入（明细）'!C:C&gt;=$J$4,'领用录入（明细）'!C:C&lt;=$L$4),ROW(),"-")</f>
        <v>-</v>
      </c>
    </row>
    <row r="12885" customHeight="1" spans="2:2">
      <c r="B12885" s="62" t="str">
        <f>IF(AND('领用录入（明细）'!D:D=$F$4,'领用录入（明细）'!C:C&gt;=$J$4,'领用录入（明细）'!C:C&lt;=$L$4),ROW(),"-")</f>
        <v>-</v>
      </c>
    </row>
    <row r="12886" customHeight="1" spans="2:2">
      <c r="B12886" s="62" t="str">
        <f>IF(AND('领用录入（明细）'!D:D=$F$4,'领用录入（明细）'!C:C&gt;=$J$4,'领用录入（明细）'!C:C&lt;=$L$4),ROW(),"-")</f>
        <v>-</v>
      </c>
    </row>
    <row r="12887" customHeight="1" spans="2:2">
      <c r="B12887" s="62" t="str">
        <f>IF(AND('领用录入（明细）'!D:D=$F$4,'领用录入（明细）'!C:C&gt;=$J$4,'领用录入（明细）'!C:C&lt;=$L$4),ROW(),"-")</f>
        <v>-</v>
      </c>
    </row>
    <row r="12888" customHeight="1" spans="2:2">
      <c r="B12888" s="62" t="str">
        <f>IF(AND('领用录入（明细）'!D:D=$F$4,'领用录入（明细）'!C:C&gt;=$J$4,'领用录入（明细）'!C:C&lt;=$L$4),ROW(),"-")</f>
        <v>-</v>
      </c>
    </row>
    <row r="12889" customHeight="1" spans="2:2">
      <c r="B12889" s="62" t="str">
        <f>IF(AND('领用录入（明细）'!D:D=$F$4,'领用录入（明细）'!C:C&gt;=$J$4,'领用录入（明细）'!C:C&lt;=$L$4),ROW(),"-")</f>
        <v>-</v>
      </c>
    </row>
    <row r="12890" customHeight="1" spans="2:2">
      <c r="B12890" s="62" t="str">
        <f>IF(AND('领用录入（明细）'!D:D=$F$4,'领用录入（明细）'!C:C&gt;=$J$4,'领用录入（明细）'!C:C&lt;=$L$4),ROW(),"-")</f>
        <v>-</v>
      </c>
    </row>
    <row r="12891" customHeight="1" spans="2:2">
      <c r="B12891" s="62" t="str">
        <f>IF(AND('领用录入（明细）'!D:D=$F$4,'领用录入（明细）'!C:C&gt;=$J$4,'领用录入（明细）'!C:C&lt;=$L$4),ROW(),"-")</f>
        <v>-</v>
      </c>
    </row>
    <row r="12892" customHeight="1" spans="2:2">
      <c r="B12892" s="62" t="str">
        <f>IF(AND('领用录入（明细）'!D:D=$F$4,'领用录入（明细）'!C:C&gt;=$J$4,'领用录入（明细）'!C:C&lt;=$L$4),ROW(),"-")</f>
        <v>-</v>
      </c>
    </row>
    <row r="12893" customHeight="1" spans="2:2">
      <c r="B12893" s="62" t="str">
        <f>IF(AND('领用录入（明细）'!D:D=$F$4,'领用录入（明细）'!C:C&gt;=$J$4,'领用录入（明细）'!C:C&lt;=$L$4),ROW(),"-")</f>
        <v>-</v>
      </c>
    </row>
    <row r="12894" customHeight="1" spans="2:2">
      <c r="B12894" s="62" t="str">
        <f>IF(AND('领用录入（明细）'!D:D=$F$4,'领用录入（明细）'!C:C&gt;=$J$4,'领用录入（明细）'!C:C&lt;=$L$4),ROW(),"-")</f>
        <v>-</v>
      </c>
    </row>
    <row r="12895" customHeight="1" spans="2:2">
      <c r="B12895" s="62" t="str">
        <f>IF(AND('领用录入（明细）'!D:D=$F$4,'领用录入（明细）'!C:C&gt;=$J$4,'领用录入（明细）'!C:C&lt;=$L$4),ROW(),"-")</f>
        <v>-</v>
      </c>
    </row>
    <row r="12896" customHeight="1" spans="2:2">
      <c r="B12896" s="62" t="str">
        <f>IF(AND('领用录入（明细）'!D:D=$F$4,'领用录入（明细）'!C:C&gt;=$J$4,'领用录入（明细）'!C:C&lt;=$L$4),ROW(),"-")</f>
        <v>-</v>
      </c>
    </row>
    <row r="12897" customHeight="1" spans="2:2">
      <c r="B12897" s="62" t="str">
        <f>IF(AND('领用录入（明细）'!D:D=$F$4,'领用录入（明细）'!C:C&gt;=$J$4,'领用录入（明细）'!C:C&lt;=$L$4),ROW(),"-")</f>
        <v>-</v>
      </c>
    </row>
    <row r="12898" customHeight="1" spans="2:2">
      <c r="B12898" s="62" t="str">
        <f>IF(AND('领用录入（明细）'!D:D=$F$4,'领用录入（明细）'!C:C&gt;=$J$4,'领用录入（明细）'!C:C&lt;=$L$4),ROW(),"-")</f>
        <v>-</v>
      </c>
    </row>
    <row r="12899" customHeight="1" spans="2:2">
      <c r="B12899" s="62" t="str">
        <f>IF(AND('领用录入（明细）'!D:D=$F$4,'领用录入（明细）'!C:C&gt;=$J$4,'领用录入（明细）'!C:C&lt;=$L$4),ROW(),"-")</f>
        <v>-</v>
      </c>
    </row>
    <row r="12900" customHeight="1" spans="2:2">
      <c r="B12900" s="62" t="str">
        <f>IF(AND('领用录入（明细）'!D:D=$F$4,'领用录入（明细）'!C:C&gt;=$J$4,'领用录入（明细）'!C:C&lt;=$L$4),ROW(),"-")</f>
        <v>-</v>
      </c>
    </row>
    <row r="12901" customHeight="1" spans="2:2">
      <c r="B12901" s="62" t="str">
        <f>IF(AND('领用录入（明细）'!D:D=$F$4,'领用录入（明细）'!C:C&gt;=$J$4,'领用录入（明细）'!C:C&lt;=$L$4),ROW(),"-")</f>
        <v>-</v>
      </c>
    </row>
    <row r="12902" customHeight="1" spans="2:2">
      <c r="B12902" s="62" t="str">
        <f>IF(AND('领用录入（明细）'!D:D=$F$4,'领用录入（明细）'!C:C&gt;=$J$4,'领用录入（明细）'!C:C&lt;=$L$4),ROW(),"-")</f>
        <v>-</v>
      </c>
    </row>
    <row r="12903" customHeight="1" spans="2:2">
      <c r="B12903" s="62" t="str">
        <f>IF(AND('领用录入（明细）'!D:D=$F$4,'领用录入（明细）'!C:C&gt;=$J$4,'领用录入（明细）'!C:C&lt;=$L$4),ROW(),"-")</f>
        <v>-</v>
      </c>
    </row>
    <row r="12904" customHeight="1" spans="2:2">
      <c r="B12904" s="62" t="str">
        <f>IF(AND('领用录入（明细）'!D:D=$F$4,'领用录入（明细）'!C:C&gt;=$J$4,'领用录入（明细）'!C:C&lt;=$L$4),ROW(),"-")</f>
        <v>-</v>
      </c>
    </row>
    <row r="12905" customHeight="1" spans="2:2">
      <c r="B12905" s="62" t="str">
        <f>IF(AND('领用录入（明细）'!D:D=$F$4,'领用录入（明细）'!C:C&gt;=$J$4,'领用录入（明细）'!C:C&lt;=$L$4),ROW(),"-")</f>
        <v>-</v>
      </c>
    </row>
    <row r="12906" customHeight="1" spans="2:2">
      <c r="B12906" s="62" t="str">
        <f>IF(AND('领用录入（明细）'!D:D=$F$4,'领用录入（明细）'!C:C&gt;=$J$4,'领用录入（明细）'!C:C&lt;=$L$4),ROW(),"-")</f>
        <v>-</v>
      </c>
    </row>
    <row r="12907" customHeight="1" spans="2:2">
      <c r="B12907" s="62" t="str">
        <f>IF(AND('领用录入（明细）'!D:D=$F$4,'领用录入（明细）'!C:C&gt;=$J$4,'领用录入（明细）'!C:C&lt;=$L$4),ROW(),"-")</f>
        <v>-</v>
      </c>
    </row>
    <row r="12908" customHeight="1" spans="2:2">
      <c r="B12908" s="62" t="str">
        <f>IF(AND('领用录入（明细）'!D:D=$F$4,'领用录入（明细）'!C:C&gt;=$J$4,'领用录入（明细）'!C:C&lt;=$L$4),ROW(),"-")</f>
        <v>-</v>
      </c>
    </row>
    <row r="12909" customHeight="1" spans="2:2">
      <c r="B12909" s="62" t="str">
        <f>IF(AND('领用录入（明细）'!D:D=$F$4,'领用录入（明细）'!C:C&gt;=$J$4,'领用录入（明细）'!C:C&lt;=$L$4),ROW(),"-")</f>
        <v>-</v>
      </c>
    </row>
    <row r="12910" customHeight="1" spans="2:2">
      <c r="B12910" s="62" t="str">
        <f>IF(AND('领用录入（明细）'!D:D=$F$4,'领用录入（明细）'!C:C&gt;=$J$4,'领用录入（明细）'!C:C&lt;=$L$4),ROW(),"-")</f>
        <v>-</v>
      </c>
    </row>
    <row r="12911" customHeight="1" spans="2:2">
      <c r="B12911" s="62" t="str">
        <f>IF(AND('领用录入（明细）'!D:D=$F$4,'领用录入（明细）'!C:C&gt;=$J$4,'领用录入（明细）'!C:C&lt;=$L$4),ROW(),"-")</f>
        <v>-</v>
      </c>
    </row>
    <row r="12912" customHeight="1" spans="2:2">
      <c r="B12912" s="62" t="str">
        <f>IF(AND('领用录入（明细）'!D:D=$F$4,'领用录入（明细）'!C:C&gt;=$J$4,'领用录入（明细）'!C:C&lt;=$L$4),ROW(),"-")</f>
        <v>-</v>
      </c>
    </row>
    <row r="12913" customHeight="1" spans="2:2">
      <c r="B12913" s="62" t="str">
        <f>IF(AND('领用录入（明细）'!D:D=$F$4,'领用录入（明细）'!C:C&gt;=$J$4,'领用录入（明细）'!C:C&lt;=$L$4),ROW(),"-")</f>
        <v>-</v>
      </c>
    </row>
    <row r="12914" customHeight="1" spans="2:2">
      <c r="B12914" s="62" t="str">
        <f>IF(AND('领用录入（明细）'!D:D=$F$4,'领用录入（明细）'!C:C&gt;=$J$4,'领用录入（明细）'!C:C&lt;=$L$4),ROW(),"-")</f>
        <v>-</v>
      </c>
    </row>
    <row r="12915" customHeight="1" spans="2:2">
      <c r="B12915" s="62" t="str">
        <f>IF(AND('领用录入（明细）'!D:D=$F$4,'领用录入（明细）'!C:C&gt;=$J$4,'领用录入（明细）'!C:C&lt;=$L$4),ROW(),"-")</f>
        <v>-</v>
      </c>
    </row>
    <row r="12916" customHeight="1" spans="2:2">
      <c r="B12916" s="62" t="str">
        <f>IF(AND('领用录入（明细）'!D:D=$F$4,'领用录入（明细）'!C:C&gt;=$J$4,'领用录入（明细）'!C:C&lt;=$L$4),ROW(),"-")</f>
        <v>-</v>
      </c>
    </row>
    <row r="12917" customHeight="1" spans="2:2">
      <c r="B12917" s="62" t="str">
        <f>IF(AND('领用录入（明细）'!D:D=$F$4,'领用录入（明细）'!C:C&gt;=$J$4,'领用录入（明细）'!C:C&lt;=$L$4),ROW(),"-")</f>
        <v>-</v>
      </c>
    </row>
    <row r="12918" customHeight="1" spans="2:2">
      <c r="B12918" s="62" t="str">
        <f>IF(AND('领用录入（明细）'!D:D=$F$4,'领用录入（明细）'!C:C&gt;=$J$4,'领用录入（明细）'!C:C&lt;=$L$4),ROW(),"-")</f>
        <v>-</v>
      </c>
    </row>
    <row r="12919" customHeight="1" spans="2:2">
      <c r="B12919" s="62" t="str">
        <f>IF(AND('领用录入（明细）'!D:D=$F$4,'领用录入（明细）'!C:C&gt;=$J$4,'领用录入（明细）'!C:C&lt;=$L$4),ROW(),"-")</f>
        <v>-</v>
      </c>
    </row>
    <row r="12920" customHeight="1" spans="2:2">
      <c r="B12920" s="62" t="str">
        <f>IF(AND('领用录入（明细）'!D:D=$F$4,'领用录入（明细）'!C:C&gt;=$J$4,'领用录入（明细）'!C:C&lt;=$L$4),ROW(),"-")</f>
        <v>-</v>
      </c>
    </row>
    <row r="12921" customHeight="1" spans="2:2">
      <c r="B12921" s="62" t="str">
        <f>IF(AND('领用录入（明细）'!D:D=$F$4,'领用录入（明细）'!C:C&gt;=$J$4,'领用录入（明细）'!C:C&lt;=$L$4),ROW(),"-")</f>
        <v>-</v>
      </c>
    </row>
    <row r="12922" customHeight="1" spans="2:2">
      <c r="B12922" s="62" t="str">
        <f>IF(AND('领用录入（明细）'!D:D=$F$4,'领用录入（明细）'!C:C&gt;=$J$4,'领用录入（明细）'!C:C&lt;=$L$4),ROW(),"-")</f>
        <v>-</v>
      </c>
    </row>
    <row r="12923" customHeight="1" spans="2:2">
      <c r="B12923" s="62" t="str">
        <f>IF(AND('领用录入（明细）'!D:D=$F$4,'领用录入（明细）'!C:C&gt;=$J$4,'领用录入（明细）'!C:C&lt;=$L$4),ROW(),"-")</f>
        <v>-</v>
      </c>
    </row>
    <row r="12924" customHeight="1" spans="2:2">
      <c r="B12924" s="62" t="str">
        <f>IF(AND('领用录入（明细）'!D:D=$F$4,'领用录入（明细）'!C:C&gt;=$J$4,'领用录入（明细）'!C:C&lt;=$L$4),ROW(),"-")</f>
        <v>-</v>
      </c>
    </row>
    <row r="12925" customHeight="1" spans="2:2">
      <c r="B12925" s="62" t="str">
        <f>IF(AND('领用录入（明细）'!D:D=$F$4,'领用录入（明细）'!C:C&gt;=$J$4,'领用录入（明细）'!C:C&lt;=$L$4),ROW(),"-")</f>
        <v>-</v>
      </c>
    </row>
    <row r="12926" customHeight="1" spans="2:2">
      <c r="B12926" s="62" t="str">
        <f>IF(AND('领用录入（明细）'!D:D=$F$4,'领用录入（明细）'!C:C&gt;=$J$4,'领用录入（明细）'!C:C&lt;=$L$4),ROW(),"-")</f>
        <v>-</v>
      </c>
    </row>
    <row r="12927" customHeight="1" spans="2:2">
      <c r="B12927" s="62" t="str">
        <f>IF(AND('领用录入（明细）'!D:D=$F$4,'领用录入（明细）'!C:C&gt;=$J$4,'领用录入（明细）'!C:C&lt;=$L$4),ROW(),"-")</f>
        <v>-</v>
      </c>
    </row>
    <row r="12928" customHeight="1" spans="2:2">
      <c r="B12928" s="62" t="str">
        <f>IF(AND('领用录入（明细）'!D:D=$F$4,'领用录入（明细）'!C:C&gt;=$J$4,'领用录入（明细）'!C:C&lt;=$L$4),ROW(),"-")</f>
        <v>-</v>
      </c>
    </row>
    <row r="12929" customHeight="1" spans="2:2">
      <c r="B12929" s="62" t="str">
        <f>IF(AND('领用录入（明细）'!D:D=$F$4,'领用录入（明细）'!C:C&gt;=$J$4,'领用录入（明细）'!C:C&lt;=$L$4),ROW(),"-")</f>
        <v>-</v>
      </c>
    </row>
    <row r="12930" customHeight="1" spans="2:2">
      <c r="B12930" s="62" t="str">
        <f>IF(AND('领用录入（明细）'!D:D=$F$4,'领用录入（明细）'!C:C&gt;=$J$4,'领用录入（明细）'!C:C&lt;=$L$4),ROW(),"-")</f>
        <v>-</v>
      </c>
    </row>
    <row r="12931" customHeight="1" spans="2:2">
      <c r="B12931" s="62" t="str">
        <f>IF(AND('领用录入（明细）'!D:D=$F$4,'领用录入（明细）'!C:C&gt;=$J$4,'领用录入（明细）'!C:C&lt;=$L$4),ROW(),"-")</f>
        <v>-</v>
      </c>
    </row>
    <row r="12932" customHeight="1" spans="2:2">
      <c r="B12932" s="62" t="str">
        <f>IF(AND('领用录入（明细）'!D:D=$F$4,'领用录入（明细）'!C:C&gt;=$J$4,'领用录入（明细）'!C:C&lt;=$L$4),ROW(),"-")</f>
        <v>-</v>
      </c>
    </row>
    <row r="12933" customHeight="1" spans="2:2">
      <c r="B12933" s="62" t="str">
        <f>IF(AND('领用录入（明细）'!D:D=$F$4,'领用录入（明细）'!C:C&gt;=$J$4,'领用录入（明细）'!C:C&lt;=$L$4),ROW(),"-")</f>
        <v>-</v>
      </c>
    </row>
    <row r="12934" customHeight="1" spans="2:2">
      <c r="B12934" s="62" t="str">
        <f>IF(AND('领用录入（明细）'!D:D=$F$4,'领用录入（明细）'!C:C&gt;=$J$4,'领用录入（明细）'!C:C&lt;=$L$4),ROW(),"-")</f>
        <v>-</v>
      </c>
    </row>
    <row r="12935" customHeight="1" spans="2:2">
      <c r="B12935" s="62" t="str">
        <f>IF(AND('领用录入（明细）'!D:D=$F$4,'领用录入（明细）'!C:C&gt;=$J$4,'领用录入（明细）'!C:C&lt;=$L$4),ROW(),"-")</f>
        <v>-</v>
      </c>
    </row>
    <row r="12936" customHeight="1" spans="2:2">
      <c r="B12936" s="62" t="str">
        <f>IF(AND('领用录入（明细）'!D:D=$F$4,'领用录入（明细）'!C:C&gt;=$J$4,'领用录入（明细）'!C:C&lt;=$L$4),ROW(),"-")</f>
        <v>-</v>
      </c>
    </row>
    <row r="12937" customHeight="1" spans="2:2">
      <c r="B12937" s="62" t="str">
        <f>IF(AND('领用录入（明细）'!D:D=$F$4,'领用录入（明细）'!C:C&gt;=$J$4,'领用录入（明细）'!C:C&lt;=$L$4),ROW(),"-")</f>
        <v>-</v>
      </c>
    </row>
    <row r="12938" customHeight="1" spans="2:2">
      <c r="B12938" s="62" t="str">
        <f>IF(AND('领用录入（明细）'!D:D=$F$4,'领用录入（明细）'!C:C&gt;=$J$4,'领用录入（明细）'!C:C&lt;=$L$4),ROW(),"-")</f>
        <v>-</v>
      </c>
    </row>
    <row r="12939" customHeight="1" spans="2:2">
      <c r="B12939" s="62" t="str">
        <f>IF(AND('领用录入（明细）'!D:D=$F$4,'领用录入（明细）'!C:C&gt;=$J$4,'领用录入（明细）'!C:C&lt;=$L$4),ROW(),"-")</f>
        <v>-</v>
      </c>
    </row>
    <row r="12940" customHeight="1" spans="2:2">
      <c r="B12940" s="62" t="str">
        <f>IF(AND('领用录入（明细）'!D:D=$F$4,'领用录入（明细）'!C:C&gt;=$J$4,'领用录入（明细）'!C:C&lt;=$L$4),ROW(),"-")</f>
        <v>-</v>
      </c>
    </row>
    <row r="12941" customHeight="1" spans="2:2">
      <c r="B12941" s="62" t="str">
        <f>IF(AND('领用录入（明细）'!D:D=$F$4,'领用录入（明细）'!C:C&gt;=$J$4,'领用录入（明细）'!C:C&lt;=$L$4),ROW(),"-")</f>
        <v>-</v>
      </c>
    </row>
    <row r="12942" customHeight="1" spans="2:2">
      <c r="B12942" s="62" t="str">
        <f>IF(AND('领用录入（明细）'!D:D=$F$4,'领用录入（明细）'!C:C&gt;=$J$4,'领用录入（明细）'!C:C&lt;=$L$4),ROW(),"-")</f>
        <v>-</v>
      </c>
    </row>
    <row r="12943" customHeight="1" spans="2:2">
      <c r="B12943" s="62" t="str">
        <f>IF(AND('领用录入（明细）'!D:D=$F$4,'领用录入（明细）'!C:C&gt;=$J$4,'领用录入（明细）'!C:C&lt;=$L$4),ROW(),"-")</f>
        <v>-</v>
      </c>
    </row>
    <row r="12944" customHeight="1" spans="2:2">
      <c r="B12944" s="62" t="str">
        <f>IF(AND('领用录入（明细）'!D:D=$F$4,'领用录入（明细）'!C:C&gt;=$J$4,'领用录入（明细）'!C:C&lt;=$L$4),ROW(),"-")</f>
        <v>-</v>
      </c>
    </row>
    <row r="12945" customHeight="1" spans="2:2">
      <c r="B12945" s="62" t="str">
        <f>IF(AND('领用录入（明细）'!D:D=$F$4,'领用录入（明细）'!C:C&gt;=$J$4,'领用录入（明细）'!C:C&lt;=$L$4),ROW(),"-")</f>
        <v>-</v>
      </c>
    </row>
    <row r="12946" customHeight="1" spans="2:2">
      <c r="B12946" s="62" t="str">
        <f>IF(AND('领用录入（明细）'!D:D=$F$4,'领用录入（明细）'!C:C&gt;=$J$4,'领用录入（明细）'!C:C&lt;=$L$4),ROW(),"-")</f>
        <v>-</v>
      </c>
    </row>
    <row r="12947" customHeight="1" spans="2:2">
      <c r="B12947" s="62" t="str">
        <f>IF(AND('领用录入（明细）'!D:D=$F$4,'领用录入（明细）'!C:C&gt;=$J$4,'领用录入（明细）'!C:C&lt;=$L$4),ROW(),"-")</f>
        <v>-</v>
      </c>
    </row>
    <row r="12948" customHeight="1" spans="2:2">
      <c r="B12948" s="62" t="str">
        <f>IF(AND('领用录入（明细）'!D:D=$F$4,'领用录入（明细）'!C:C&gt;=$J$4,'领用录入（明细）'!C:C&lt;=$L$4),ROW(),"-")</f>
        <v>-</v>
      </c>
    </row>
    <row r="12949" customHeight="1" spans="2:2">
      <c r="B12949" s="62" t="str">
        <f>IF(AND('领用录入（明细）'!D:D=$F$4,'领用录入（明细）'!C:C&gt;=$J$4,'领用录入（明细）'!C:C&lt;=$L$4),ROW(),"-")</f>
        <v>-</v>
      </c>
    </row>
    <row r="12950" customHeight="1" spans="2:2">
      <c r="B12950" s="62" t="str">
        <f>IF(AND('领用录入（明细）'!D:D=$F$4,'领用录入（明细）'!C:C&gt;=$J$4,'领用录入（明细）'!C:C&lt;=$L$4),ROW(),"-")</f>
        <v>-</v>
      </c>
    </row>
    <row r="12951" customHeight="1" spans="2:2">
      <c r="B12951" s="62" t="str">
        <f>IF(AND('领用录入（明细）'!D:D=$F$4,'领用录入（明细）'!C:C&gt;=$J$4,'领用录入（明细）'!C:C&lt;=$L$4),ROW(),"-")</f>
        <v>-</v>
      </c>
    </row>
    <row r="12952" customHeight="1" spans="2:2">
      <c r="B12952" s="62" t="str">
        <f>IF(AND('领用录入（明细）'!D:D=$F$4,'领用录入（明细）'!C:C&gt;=$J$4,'领用录入（明细）'!C:C&lt;=$L$4),ROW(),"-")</f>
        <v>-</v>
      </c>
    </row>
    <row r="12953" customHeight="1" spans="2:2">
      <c r="B12953" s="62" t="str">
        <f>IF(AND('领用录入（明细）'!D:D=$F$4,'领用录入（明细）'!C:C&gt;=$J$4,'领用录入（明细）'!C:C&lt;=$L$4),ROW(),"-")</f>
        <v>-</v>
      </c>
    </row>
    <row r="12954" customHeight="1" spans="2:2">
      <c r="B12954" s="62" t="str">
        <f>IF(AND('领用录入（明细）'!D:D=$F$4,'领用录入（明细）'!C:C&gt;=$J$4,'领用录入（明细）'!C:C&lt;=$L$4),ROW(),"-")</f>
        <v>-</v>
      </c>
    </row>
    <row r="12955" customHeight="1" spans="2:2">
      <c r="B12955" s="62" t="str">
        <f>IF(AND('领用录入（明细）'!D:D=$F$4,'领用录入（明细）'!C:C&gt;=$J$4,'领用录入（明细）'!C:C&lt;=$L$4),ROW(),"-")</f>
        <v>-</v>
      </c>
    </row>
    <row r="12956" customHeight="1" spans="2:2">
      <c r="B12956" s="62" t="str">
        <f>IF(AND('领用录入（明细）'!D:D=$F$4,'领用录入（明细）'!C:C&gt;=$J$4,'领用录入（明细）'!C:C&lt;=$L$4),ROW(),"-")</f>
        <v>-</v>
      </c>
    </row>
    <row r="12957" customHeight="1" spans="2:2">
      <c r="B12957" s="62" t="str">
        <f>IF(AND('领用录入（明细）'!D:D=$F$4,'领用录入（明细）'!C:C&gt;=$J$4,'领用录入（明细）'!C:C&lt;=$L$4),ROW(),"-")</f>
        <v>-</v>
      </c>
    </row>
    <row r="12958" customHeight="1" spans="2:2">
      <c r="B12958" s="62" t="str">
        <f>IF(AND('领用录入（明细）'!D:D=$F$4,'领用录入（明细）'!C:C&gt;=$J$4,'领用录入（明细）'!C:C&lt;=$L$4),ROW(),"-")</f>
        <v>-</v>
      </c>
    </row>
    <row r="12959" customHeight="1" spans="2:2">
      <c r="B12959" s="62" t="str">
        <f>IF(AND('领用录入（明细）'!D:D=$F$4,'领用录入（明细）'!C:C&gt;=$J$4,'领用录入（明细）'!C:C&lt;=$L$4),ROW(),"-")</f>
        <v>-</v>
      </c>
    </row>
    <row r="12960" customHeight="1" spans="2:2">
      <c r="B12960" s="62" t="str">
        <f>IF(AND('领用录入（明细）'!D:D=$F$4,'领用录入（明细）'!C:C&gt;=$J$4,'领用录入（明细）'!C:C&lt;=$L$4),ROW(),"-")</f>
        <v>-</v>
      </c>
    </row>
    <row r="12961" customHeight="1" spans="2:2">
      <c r="B12961" s="62" t="str">
        <f>IF(AND('领用录入（明细）'!D:D=$F$4,'领用录入（明细）'!C:C&gt;=$J$4,'领用录入（明细）'!C:C&lt;=$L$4),ROW(),"-")</f>
        <v>-</v>
      </c>
    </row>
    <row r="12962" customHeight="1" spans="2:2">
      <c r="B12962" s="62" t="str">
        <f>IF(AND('领用录入（明细）'!D:D=$F$4,'领用录入（明细）'!C:C&gt;=$J$4,'领用录入（明细）'!C:C&lt;=$L$4),ROW(),"-")</f>
        <v>-</v>
      </c>
    </row>
    <row r="12963" customHeight="1" spans="2:2">
      <c r="B12963" s="62" t="str">
        <f>IF(AND('领用录入（明细）'!D:D=$F$4,'领用录入（明细）'!C:C&gt;=$J$4,'领用录入（明细）'!C:C&lt;=$L$4),ROW(),"-")</f>
        <v>-</v>
      </c>
    </row>
    <row r="12964" customHeight="1" spans="2:2">
      <c r="B12964" s="62" t="str">
        <f>IF(AND('领用录入（明细）'!D:D=$F$4,'领用录入（明细）'!C:C&gt;=$J$4,'领用录入（明细）'!C:C&lt;=$L$4),ROW(),"-")</f>
        <v>-</v>
      </c>
    </row>
    <row r="12965" customHeight="1" spans="2:2">
      <c r="B12965" s="62" t="str">
        <f>IF(AND('领用录入（明细）'!D:D=$F$4,'领用录入（明细）'!C:C&gt;=$J$4,'领用录入（明细）'!C:C&lt;=$L$4),ROW(),"-")</f>
        <v>-</v>
      </c>
    </row>
    <row r="12966" customHeight="1" spans="2:2">
      <c r="B12966" s="62" t="str">
        <f>IF(AND('领用录入（明细）'!D:D=$F$4,'领用录入（明细）'!C:C&gt;=$J$4,'领用录入（明细）'!C:C&lt;=$L$4),ROW(),"-")</f>
        <v>-</v>
      </c>
    </row>
    <row r="12967" customHeight="1" spans="2:2">
      <c r="B12967" s="62" t="str">
        <f>IF(AND('领用录入（明细）'!D:D=$F$4,'领用录入（明细）'!C:C&gt;=$J$4,'领用录入（明细）'!C:C&lt;=$L$4),ROW(),"-")</f>
        <v>-</v>
      </c>
    </row>
    <row r="12968" customHeight="1" spans="2:2">
      <c r="B12968" s="62" t="str">
        <f>IF(AND('领用录入（明细）'!D:D=$F$4,'领用录入（明细）'!C:C&gt;=$J$4,'领用录入（明细）'!C:C&lt;=$L$4),ROW(),"-")</f>
        <v>-</v>
      </c>
    </row>
    <row r="12969" customHeight="1" spans="2:2">
      <c r="B12969" s="62" t="str">
        <f>IF(AND('领用录入（明细）'!D:D=$F$4,'领用录入（明细）'!C:C&gt;=$J$4,'领用录入（明细）'!C:C&lt;=$L$4),ROW(),"-")</f>
        <v>-</v>
      </c>
    </row>
    <row r="12970" customHeight="1" spans="2:2">
      <c r="B12970" s="62" t="str">
        <f>IF(AND('领用录入（明细）'!D:D=$F$4,'领用录入（明细）'!C:C&gt;=$J$4,'领用录入（明细）'!C:C&lt;=$L$4),ROW(),"-")</f>
        <v>-</v>
      </c>
    </row>
    <row r="12971" customHeight="1" spans="2:2">
      <c r="B12971" s="62" t="str">
        <f>IF(AND('领用录入（明细）'!D:D=$F$4,'领用录入（明细）'!C:C&gt;=$J$4,'领用录入（明细）'!C:C&lt;=$L$4),ROW(),"-")</f>
        <v>-</v>
      </c>
    </row>
    <row r="12972" customHeight="1" spans="2:2">
      <c r="B12972" s="62" t="str">
        <f>IF(AND('领用录入（明细）'!D:D=$F$4,'领用录入（明细）'!C:C&gt;=$J$4,'领用录入（明细）'!C:C&lt;=$L$4),ROW(),"-")</f>
        <v>-</v>
      </c>
    </row>
    <row r="12973" customHeight="1" spans="2:2">
      <c r="B12973" s="62" t="str">
        <f>IF(AND('领用录入（明细）'!D:D=$F$4,'领用录入（明细）'!C:C&gt;=$J$4,'领用录入（明细）'!C:C&lt;=$L$4),ROW(),"-")</f>
        <v>-</v>
      </c>
    </row>
    <row r="12974" customHeight="1" spans="2:2">
      <c r="B12974" s="62" t="str">
        <f>IF(AND('领用录入（明细）'!D:D=$F$4,'领用录入（明细）'!C:C&gt;=$J$4,'领用录入（明细）'!C:C&lt;=$L$4),ROW(),"-")</f>
        <v>-</v>
      </c>
    </row>
    <row r="12975" customHeight="1" spans="2:2">
      <c r="B12975" s="62" t="str">
        <f>IF(AND('领用录入（明细）'!D:D=$F$4,'领用录入（明细）'!C:C&gt;=$J$4,'领用录入（明细）'!C:C&lt;=$L$4),ROW(),"-")</f>
        <v>-</v>
      </c>
    </row>
    <row r="12976" customHeight="1" spans="2:2">
      <c r="B12976" s="62" t="str">
        <f>IF(AND('领用录入（明细）'!D:D=$F$4,'领用录入（明细）'!C:C&gt;=$J$4,'领用录入（明细）'!C:C&lt;=$L$4),ROW(),"-")</f>
        <v>-</v>
      </c>
    </row>
    <row r="12977" customHeight="1" spans="2:2">
      <c r="B12977" s="62" t="str">
        <f>IF(AND('领用录入（明细）'!D:D=$F$4,'领用录入（明细）'!C:C&gt;=$J$4,'领用录入（明细）'!C:C&lt;=$L$4),ROW(),"-")</f>
        <v>-</v>
      </c>
    </row>
    <row r="12978" customHeight="1" spans="2:2">
      <c r="B12978" s="62" t="str">
        <f>IF(AND('领用录入（明细）'!D:D=$F$4,'领用录入（明细）'!C:C&gt;=$J$4,'领用录入（明细）'!C:C&lt;=$L$4),ROW(),"-")</f>
        <v>-</v>
      </c>
    </row>
    <row r="12979" customHeight="1" spans="2:2">
      <c r="B12979" s="62" t="str">
        <f>IF(AND('领用录入（明细）'!D:D=$F$4,'领用录入（明细）'!C:C&gt;=$J$4,'领用录入（明细）'!C:C&lt;=$L$4),ROW(),"-")</f>
        <v>-</v>
      </c>
    </row>
    <row r="12980" customHeight="1" spans="2:2">
      <c r="B12980" s="62" t="str">
        <f>IF(AND('领用录入（明细）'!D:D=$F$4,'领用录入（明细）'!C:C&gt;=$J$4,'领用录入（明细）'!C:C&lt;=$L$4),ROW(),"-")</f>
        <v>-</v>
      </c>
    </row>
    <row r="12981" customHeight="1" spans="2:2">
      <c r="B12981" s="62" t="str">
        <f>IF(AND('领用录入（明细）'!D:D=$F$4,'领用录入（明细）'!C:C&gt;=$J$4,'领用录入（明细）'!C:C&lt;=$L$4),ROW(),"-")</f>
        <v>-</v>
      </c>
    </row>
    <row r="12982" customHeight="1" spans="2:2">
      <c r="B12982" s="62" t="str">
        <f>IF(AND('领用录入（明细）'!D:D=$F$4,'领用录入（明细）'!C:C&gt;=$J$4,'领用录入（明细）'!C:C&lt;=$L$4),ROW(),"-")</f>
        <v>-</v>
      </c>
    </row>
    <row r="12983" customHeight="1" spans="2:2">
      <c r="B12983" s="62" t="str">
        <f>IF(AND('领用录入（明细）'!D:D=$F$4,'领用录入（明细）'!C:C&gt;=$J$4,'领用录入（明细）'!C:C&lt;=$L$4),ROW(),"-")</f>
        <v>-</v>
      </c>
    </row>
    <row r="12984" customHeight="1" spans="2:2">
      <c r="B12984" s="62" t="str">
        <f>IF(AND('领用录入（明细）'!D:D=$F$4,'领用录入（明细）'!C:C&gt;=$J$4,'领用录入（明细）'!C:C&lt;=$L$4),ROW(),"-")</f>
        <v>-</v>
      </c>
    </row>
    <row r="12985" customHeight="1" spans="2:2">
      <c r="B12985" s="62" t="str">
        <f>IF(AND('领用录入（明细）'!D:D=$F$4,'领用录入（明细）'!C:C&gt;=$J$4,'领用录入（明细）'!C:C&lt;=$L$4),ROW(),"-")</f>
        <v>-</v>
      </c>
    </row>
    <row r="12986" customHeight="1" spans="2:2">
      <c r="B12986" s="62" t="str">
        <f>IF(AND('领用录入（明细）'!D:D=$F$4,'领用录入（明细）'!C:C&gt;=$J$4,'领用录入（明细）'!C:C&lt;=$L$4),ROW(),"-")</f>
        <v>-</v>
      </c>
    </row>
    <row r="12987" customHeight="1" spans="2:2">
      <c r="B12987" s="62" t="str">
        <f>IF(AND('领用录入（明细）'!D:D=$F$4,'领用录入（明细）'!C:C&gt;=$J$4,'领用录入（明细）'!C:C&lt;=$L$4),ROW(),"-")</f>
        <v>-</v>
      </c>
    </row>
    <row r="12988" customHeight="1" spans="2:2">
      <c r="B12988" s="62" t="str">
        <f>IF(AND('领用录入（明细）'!D:D=$F$4,'领用录入（明细）'!C:C&gt;=$J$4,'领用录入（明细）'!C:C&lt;=$L$4),ROW(),"-")</f>
        <v>-</v>
      </c>
    </row>
    <row r="12989" customHeight="1" spans="2:2">
      <c r="B12989" s="62" t="str">
        <f>IF(AND('领用录入（明细）'!D:D=$F$4,'领用录入（明细）'!C:C&gt;=$J$4,'领用录入（明细）'!C:C&lt;=$L$4),ROW(),"-")</f>
        <v>-</v>
      </c>
    </row>
    <row r="12990" customHeight="1" spans="2:2">
      <c r="B12990" s="62" t="str">
        <f>IF(AND('领用录入（明细）'!D:D=$F$4,'领用录入（明细）'!C:C&gt;=$J$4,'领用录入（明细）'!C:C&lt;=$L$4),ROW(),"-")</f>
        <v>-</v>
      </c>
    </row>
    <row r="12991" customHeight="1" spans="2:2">
      <c r="B12991" s="62" t="str">
        <f>IF(AND('领用录入（明细）'!D:D=$F$4,'领用录入（明细）'!C:C&gt;=$J$4,'领用录入（明细）'!C:C&lt;=$L$4),ROW(),"-")</f>
        <v>-</v>
      </c>
    </row>
    <row r="12992" customHeight="1" spans="2:2">
      <c r="B12992" s="62" t="str">
        <f>IF(AND('领用录入（明细）'!D:D=$F$4,'领用录入（明细）'!C:C&gt;=$J$4,'领用录入（明细）'!C:C&lt;=$L$4),ROW(),"-")</f>
        <v>-</v>
      </c>
    </row>
    <row r="12993" customHeight="1" spans="2:2">
      <c r="B12993" s="62" t="str">
        <f>IF(AND('领用录入（明细）'!D:D=$F$4,'领用录入（明细）'!C:C&gt;=$J$4,'领用录入（明细）'!C:C&lt;=$L$4),ROW(),"-")</f>
        <v>-</v>
      </c>
    </row>
    <row r="12994" customHeight="1" spans="2:2">
      <c r="B12994" s="62" t="str">
        <f>IF(AND('领用录入（明细）'!D:D=$F$4,'领用录入（明细）'!C:C&gt;=$J$4,'领用录入（明细）'!C:C&lt;=$L$4),ROW(),"-")</f>
        <v>-</v>
      </c>
    </row>
    <row r="12995" customHeight="1" spans="2:2">
      <c r="B12995" s="62" t="str">
        <f>IF(AND('领用录入（明细）'!D:D=$F$4,'领用录入（明细）'!C:C&gt;=$J$4,'领用录入（明细）'!C:C&lt;=$L$4),ROW(),"-")</f>
        <v>-</v>
      </c>
    </row>
    <row r="12996" customHeight="1" spans="2:2">
      <c r="B12996" s="62" t="str">
        <f>IF(AND('领用录入（明细）'!D:D=$F$4,'领用录入（明细）'!C:C&gt;=$J$4,'领用录入（明细）'!C:C&lt;=$L$4),ROW(),"-")</f>
        <v>-</v>
      </c>
    </row>
    <row r="12997" customHeight="1" spans="2:2">
      <c r="B12997" s="62" t="str">
        <f>IF(AND('领用录入（明细）'!D:D=$F$4,'领用录入（明细）'!C:C&gt;=$J$4,'领用录入（明细）'!C:C&lt;=$L$4),ROW(),"-")</f>
        <v>-</v>
      </c>
    </row>
    <row r="12998" customHeight="1" spans="2:2">
      <c r="B12998" s="62" t="str">
        <f>IF(AND('领用录入（明细）'!D:D=$F$4,'领用录入（明细）'!C:C&gt;=$J$4,'领用录入（明细）'!C:C&lt;=$L$4),ROW(),"-")</f>
        <v>-</v>
      </c>
    </row>
    <row r="12999" customHeight="1" spans="2:2">
      <c r="B12999" s="62" t="str">
        <f>IF(AND('领用录入（明细）'!D:D=$F$4,'领用录入（明细）'!C:C&gt;=$J$4,'领用录入（明细）'!C:C&lt;=$L$4),ROW(),"-")</f>
        <v>-</v>
      </c>
    </row>
    <row r="13000" customHeight="1" spans="2:2">
      <c r="B13000" s="62" t="str">
        <f>IF(AND('领用录入（明细）'!D:D=$F$4,'领用录入（明细）'!C:C&gt;=$J$4,'领用录入（明细）'!C:C&lt;=$L$4),ROW(),"-")</f>
        <v>-</v>
      </c>
    </row>
    <row r="13001" customHeight="1" spans="2:2">
      <c r="B13001" s="62" t="str">
        <f>IF(AND('领用录入（明细）'!D:D=$F$4,'领用录入（明细）'!C:C&gt;=$J$4,'领用录入（明细）'!C:C&lt;=$L$4),ROW(),"-")</f>
        <v>-</v>
      </c>
    </row>
    <row r="13002" customHeight="1" spans="2:2">
      <c r="B13002" s="62" t="str">
        <f>IF(AND('领用录入（明细）'!D:D=$F$4,'领用录入（明细）'!C:C&gt;=$J$4,'领用录入（明细）'!C:C&lt;=$L$4),ROW(),"-")</f>
        <v>-</v>
      </c>
    </row>
    <row r="13003" customHeight="1" spans="2:2">
      <c r="B13003" s="62" t="str">
        <f>IF(AND('领用录入（明细）'!D:D=$F$4,'领用录入（明细）'!C:C&gt;=$J$4,'领用录入（明细）'!C:C&lt;=$L$4),ROW(),"-")</f>
        <v>-</v>
      </c>
    </row>
    <row r="13004" customHeight="1" spans="2:2">
      <c r="B13004" s="62" t="str">
        <f>IF(AND('领用录入（明细）'!D:D=$F$4,'领用录入（明细）'!C:C&gt;=$J$4,'领用录入（明细）'!C:C&lt;=$L$4),ROW(),"-")</f>
        <v>-</v>
      </c>
    </row>
    <row r="13005" customHeight="1" spans="2:2">
      <c r="B13005" s="62" t="str">
        <f>IF(AND('领用录入（明细）'!D:D=$F$4,'领用录入（明细）'!C:C&gt;=$J$4,'领用录入（明细）'!C:C&lt;=$L$4),ROW(),"-")</f>
        <v>-</v>
      </c>
    </row>
    <row r="13006" customHeight="1" spans="2:2">
      <c r="B13006" s="62" t="str">
        <f>IF(AND('领用录入（明细）'!D:D=$F$4,'领用录入（明细）'!C:C&gt;=$J$4,'领用录入（明细）'!C:C&lt;=$L$4),ROW(),"-")</f>
        <v>-</v>
      </c>
    </row>
    <row r="13007" customHeight="1" spans="2:2">
      <c r="B13007" s="62" t="str">
        <f>IF(AND('领用录入（明细）'!D:D=$F$4,'领用录入（明细）'!C:C&gt;=$J$4,'领用录入（明细）'!C:C&lt;=$L$4),ROW(),"-")</f>
        <v>-</v>
      </c>
    </row>
    <row r="13008" customHeight="1" spans="2:2">
      <c r="B13008" s="62" t="str">
        <f>IF(AND('领用录入（明细）'!D:D=$F$4,'领用录入（明细）'!C:C&gt;=$J$4,'领用录入（明细）'!C:C&lt;=$L$4),ROW(),"-")</f>
        <v>-</v>
      </c>
    </row>
    <row r="13009" customHeight="1" spans="2:2">
      <c r="B13009" s="62" t="str">
        <f>IF(AND('领用录入（明细）'!D:D=$F$4,'领用录入（明细）'!C:C&gt;=$J$4,'领用录入（明细）'!C:C&lt;=$L$4),ROW(),"-")</f>
        <v>-</v>
      </c>
    </row>
    <row r="13010" customHeight="1" spans="2:2">
      <c r="B13010" s="62" t="str">
        <f>IF(AND('领用录入（明细）'!D:D=$F$4,'领用录入（明细）'!C:C&gt;=$J$4,'领用录入（明细）'!C:C&lt;=$L$4),ROW(),"-")</f>
        <v>-</v>
      </c>
    </row>
    <row r="13011" customHeight="1" spans="2:2">
      <c r="B13011" s="62" t="str">
        <f>IF(AND('领用录入（明细）'!D:D=$F$4,'领用录入（明细）'!C:C&gt;=$J$4,'领用录入（明细）'!C:C&lt;=$L$4),ROW(),"-")</f>
        <v>-</v>
      </c>
    </row>
    <row r="13012" customHeight="1" spans="2:2">
      <c r="B13012" s="62" t="str">
        <f>IF(AND('领用录入（明细）'!D:D=$F$4,'领用录入（明细）'!C:C&gt;=$J$4,'领用录入（明细）'!C:C&lt;=$L$4),ROW(),"-")</f>
        <v>-</v>
      </c>
    </row>
    <row r="13013" customHeight="1" spans="2:2">
      <c r="B13013" s="62" t="str">
        <f>IF(AND('领用录入（明细）'!D:D=$F$4,'领用录入（明细）'!C:C&gt;=$J$4,'领用录入（明细）'!C:C&lt;=$L$4),ROW(),"-")</f>
        <v>-</v>
      </c>
    </row>
    <row r="13014" customHeight="1" spans="2:2">
      <c r="B13014" s="62" t="str">
        <f>IF(AND('领用录入（明细）'!D:D=$F$4,'领用录入（明细）'!C:C&gt;=$J$4,'领用录入（明细）'!C:C&lt;=$L$4),ROW(),"-")</f>
        <v>-</v>
      </c>
    </row>
    <row r="13015" customHeight="1" spans="2:2">
      <c r="B13015" s="62" t="str">
        <f>IF(AND('领用录入（明细）'!D:D=$F$4,'领用录入（明细）'!C:C&gt;=$J$4,'领用录入（明细）'!C:C&lt;=$L$4),ROW(),"-")</f>
        <v>-</v>
      </c>
    </row>
    <row r="13016" customHeight="1" spans="2:2">
      <c r="B13016" s="62" t="str">
        <f>IF(AND('领用录入（明细）'!D:D=$F$4,'领用录入（明细）'!C:C&gt;=$J$4,'领用录入（明细）'!C:C&lt;=$L$4),ROW(),"-")</f>
        <v>-</v>
      </c>
    </row>
    <row r="13017" customHeight="1" spans="2:2">
      <c r="B13017" s="62" t="str">
        <f>IF(AND('领用录入（明细）'!D:D=$F$4,'领用录入（明细）'!C:C&gt;=$J$4,'领用录入（明细）'!C:C&lt;=$L$4),ROW(),"-")</f>
        <v>-</v>
      </c>
    </row>
    <row r="13018" customHeight="1" spans="2:2">
      <c r="B13018" s="62" t="str">
        <f>IF(AND('领用录入（明细）'!D:D=$F$4,'领用录入（明细）'!C:C&gt;=$J$4,'领用录入（明细）'!C:C&lt;=$L$4),ROW(),"-")</f>
        <v>-</v>
      </c>
    </row>
    <row r="13019" customHeight="1" spans="2:2">
      <c r="B13019" s="62" t="str">
        <f>IF(AND('领用录入（明细）'!D:D=$F$4,'领用录入（明细）'!C:C&gt;=$J$4,'领用录入（明细）'!C:C&lt;=$L$4),ROW(),"-")</f>
        <v>-</v>
      </c>
    </row>
    <row r="13020" customHeight="1" spans="2:2">
      <c r="B13020" s="62" t="str">
        <f>IF(AND('领用录入（明细）'!D:D=$F$4,'领用录入（明细）'!C:C&gt;=$J$4,'领用录入（明细）'!C:C&lt;=$L$4),ROW(),"-")</f>
        <v>-</v>
      </c>
    </row>
    <row r="13021" customHeight="1" spans="2:2">
      <c r="B13021" s="62" t="str">
        <f>IF(AND('领用录入（明细）'!D:D=$F$4,'领用录入（明细）'!C:C&gt;=$J$4,'领用录入（明细）'!C:C&lt;=$L$4),ROW(),"-")</f>
        <v>-</v>
      </c>
    </row>
    <row r="13022" customHeight="1" spans="2:2">
      <c r="B13022" s="62" t="str">
        <f>IF(AND('领用录入（明细）'!D:D=$F$4,'领用录入（明细）'!C:C&gt;=$J$4,'领用录入（明细）'!C:C&lt;=$L$4),ROW(),"-")</f>
        <v>-</v>
      </c>
    </row>
    <row r="13023" customHeight="1" spans="2:2">
      <c r="B13023" s="62" t="str">
        <f>IF(AND('领用录入（明细）'!D:D=$F$4,'领用录入（明细）'!C:C&gt;=$J$4,'领用录入（明细）'!C:C&lt;=$L$4),ROW(),"-")</f>
        <v>-</v>
      </c>
    </row>
    <row r="13024" customHeight="1" spans="2:2">
      <c r="B13024" s="62" t="str">
        <f>IF(AND('领用录入（明细）'!D:D=$F$4,'领用录入（明细）'!C:C&gt;=$J$4,'领用录入（明细）'!C:C&lt;=$L$4),ROW(),"-")</f>
        <v>-</v>
      </c>
    </row>
    <row r="13025" customHeight="1" spans="2:2">
      <c r="B13025" s="62" t="str">
        <f>IF(AND('领用录入（明细）'!D:D=$F$4,'领用录入（明细）'!C:C&gt;=$J$4,'领用录入（明细）'!C:C&lt;=$L$4),ROW(),"-")</f>
        <v>-</v>
      </c>
    </row>
    <row r="13026" customHeight="1" spans="2:2">
      <c r="B13026" s="62" t="str">
        <f>IF(AND('领用录入（明细）'!D:D=$F$4,'领用录入（明细）'!C:C&gt;=$J$4,'领用录入（明细）'!C:C&lt;=$L$4),ROW(),"-")</f>
        <v>-</v>
      </c>
    </row>
    <row r="13027" customHeight="1" spans="2:2">
      <c r="B13027" s="62" t="str">
        <f>IF(AND('领用录入（明细）'!D:D=$F$4,'领用录入（明细）'!C:C&gt;=$J$4,'领用录入（明细）'!C:C&lt;=$L$4),ROW(),"-")</f>
        <v>-</v>
      </c>
    </row>
    <row r="13028" customHeight="1" spans="2:2">
      <c r="B13028" s="62" t="str">
        <f>IF(AND('领用录入（明细）'!D:D=$F$4,'领用录入（明细）'!C:C&gt;=$J$4,'领用录入（明细）'!C:C&lt;=$L$4),ROW(),"-")</f>
        <v>-</v>
      </c>
    </row>
    <row r="13029" customHeight="1" spans="2:2">
      <c r="B13029" s="62" t="str">
        <f>IF(AND('领用录入（明细）'!D:D=$F$4,'领用录入（明细）'!C:C&gt;=$J$4,'领用录入（明细）'!C:C&lt;=$L$4),ROW(),"-")</f>
        <v>-</v>
      </c>
    </row>
    <row r="13030" customHeight="1" spans="2:2">
      <c r="B13030" s="62" t="str">
        <f>IF(AND('领用录入（明细）'!D:D=$F$4,'领用录入（明细）'!C:C&gt;=$J$4,'领用录入（明细）'!C:C&lt;=$L$4),ROW(),"-")</f>
        <v>-</v>
      </c>
    </row>
    <row r="13031" customHeight="1" spans="2:2">
      <c r="B13031" s="62" t="str">
        <f>IF(AND('领用录入（明细）'!D:D=$F$4,'领用录入（明细）'!C:C&gt;=$J$4,'领用录入（明细）'!C:C&lt;=$L$4),ROW(),"-")</f>
        <v>-</v>
      </c>
    </row>
    <row r="13032" customHeight="1" spans="2:2">
      <c r="B13032" s="62" t="str">
        <f>IF(AND('领用录入（明细）'!D:D=$F$4,'领用录入（明细）'!C:C&gt;=$J$4,'领用录入（明细）'!C:C&lt;=$L$4),ROW(),"-")</f>
        <v>-</v>
      </c>
    </row>
    <row r="13033" customHeight="1" spans="2:2">
      <c r="B13033" s="62" t="str">
        <f>IF(AND('领用录入（明细）'!D:D=$F$4,'领用录入（明细）'!C:C&gt;=$J$4,'领用录入（明细）'!C:C&lt;=$L$4),ROW(),"-")</f>
        <v>-</v>
      </c>
    </row>
    <row r="13034" customHeight="1" spans="2:2">
      <c r="B13034" s="62" t="str">
        <f>IF(AND('领用录入（明细）'!D:D=$F$4,'领用录入（明细）'!C:C&gt;=$J$4,'领用录入（明细）'!C:C&lt;=$L$4),ROW(),"-")</f>
        <v>-</v>
      </c>
    </row>
    <row r="13035" customHeight="1" spans="2:2">
      <c r="B13035" s="62" t="str">
        <f>IF(AND('领用录入（明细）'!D:D=$F$4,'领用录入（明细）'!C:C&gt;=$J$4,'领用录入（明细）'!C:C&lt;=$L$4),ROW(),"-")</f>
        <v>-</v>
      </c>
    </row>
    <row r="13036" customHeight="1" spans="2:2">
      <c r="B13036" s="62" t="str">
        <f>IF(AND('领用录入（明细）'!D:D=$F$4,'领用录入（明细）'!C:C&gt;=$J$4,'领用录入（明细）'!C:C&lt;=$L$4),ROW(),"-")</f>
        <v>-</v>
      </c>
    </row>
    <row r="13037" customHeight="1" spans="2:2">
      <c r="B13037" s="62" t="str">
        <f>IF(AND('领用录入（明细）'!D:D=$F$4,'领用录入（明细）'!C:C&gt;=$J$4,'领用录入（明细）'!C:C&lt;=$L$4),ROW(),"-")</f>
        <v>-</v>
      </c>
    </row>
    <row r="13038" customHeight="1" spans="2:2">
      <c r="B13038" s="62" t="str">
        <f>IF(AND('领用录入（明细）'!D:D=$F$4,'领用录入（明细）'!C:C&gt;=$J$4,'领用录入（明细）'!C:C&lt;=$L$4),ROW(),"-")</f>
        <v>-</v>
      </c>
    </row>
    <row r="13039" customHeight="1" spans="2:2">
      <c r="B13039" s="62" t="str">
        <f>IF(AND('领用录入（明细）'!D:D=$F$4,'领用录入（明细）'!C:C&gt;=$J$4,'领用录入（明细）'!C:C&lt;=$L$4),ROW(),"-")</f>
        <v>-</v>
      </c>
    </row>
    <row r="13040" customHeight="1" spans="2:2">
      <c r="B13040" s="62" t="str">
        <f>IF(AND('领用录入（明细）'!D:D=$F$4,'领用录入（明细）'!C:C&gt;=$J$4,'领用录入（明细）'!C:C&lt;=$L$4),ROW(),"-")</f>
        <v>-</v>
      </c>
    </row>
    <row r="13041" customHeight="1" spans="2:2">
      <c r="B13041" s="62" t="str">
        <f>IF(AND('领用录入（明细）'!D:D=$F$4,'领用录入（明细）'!C:C&gt;=$J$4,'领用录入（明细）'!C:C&lt;=$L$4),ROW(),"-")</f>
        <v>-</v>
      </c>
    </row>
    <row r="13042" customHeight="1" spans="2:2">
      <c r="B13042" s="62" t="str">
        <f>IF(AND('领用录入（明细）'!D:D=$F$4,'领用录入（明细）'!C:C&gt;=$J$4,'领用录入（明细）'!C:C&lt;=$L$4),ROW(),"-")</f>
        <v>-</v>
      </c>
    </row>
    <row r="13043" customHeight="1" spans="2:2">
      <c r="B13043" s="62" t="str">
        <f>IF(AND('领用录入（明细）'!D:D=$F$4,'领用录入（明细）'!C:C&gt;=$J$4,'领用录入（明细）'!C:C&lt;=$L$4),ROW(),"-")</f>
        <v>-</v>
      </c>
    </row>
    <row r="13044" customHeight="1" spans="2:2">
      <c r="B13044" s="62" t="str">
        <f>IF(AND('领用录入（明细）'!D:D=$F$4,'领用录入（明细）'!C:C&gt;=$J$4,'领用录入（明细）'!C:C&lt;=$L$4),ROW(),"-")</f>
        <v>-</v>
      </c>
    </row>
    <row r="13045" customHeight="1" spans="2:2">
      <c r="B13045" s="62" t="str">
        <f>IF(AND('领用录入（明细）'!D:D=$F$4,'领用录入（明细）'!C:C&gt;=$J$4,'领用录入（明细）'!C:C&lt;=$L$4),ROW(),"-")</f>
        <v>-</v>
      </c>
    </row>
    <row r="13046" customHeight="1" spans="2:2">
      <c r="B13046" s="62" t="str">
        <f>IF(AND('领用录入（明细）'!D:D=$F$4,'领用录入（明细）'!C:C&gt;=$J$4,'领用录入（明细）'!C:C&lt;=$L$4),ROW(),"-")</f>
        <v>-</v>
      </c>
    </row>
    <row r="13047" customHeight="1" spans="2:2">
      <c r="B13047" s="62" t="str">
        <f>IF(AND('领用录入（明细）'!D:D=$F$4,'领用录入（明细）'!C:C&gt;=$J$4,'领用录入（明细）'!C:C&lt;=$L$4),ROW(),"-")</f>
        <v>-</v>
      </c>
    </row>
    <row r="13048" customHeight="1" spans="2:2">
      <c r="B13048" s="62" t="str">
        <f>IF(AND('领用录入（明细）'!D:D=$F$4,'领用录入（明细）'!C:C&gt;=$J$4,'领用录入（明细）'!C:C&lt;=$L$4),ROW(),"-")</f>
        <v>-</v>
      </c>
    </row>
    <row r="13049" customHeight="1" spans="2:2">
      <c r="B13049" s="62" t="str">
        <f>IF(AND('领用录入（明细）'!D:D=$F$4,'领用录入（明细）'!C:C&gt;=$J$4,'领用录入（明细）'!C:C&lt;=$L$4),ROW(),"-")</f>
        <v>-</v>
      </c>
    </row>
    <row r="13050" customHeight="1" spans="2:2">
      <c r="B13050" s="62" t="str">
        <f>IF(AND('领用录入（明细）'!D:D=$F$4,'领用录入（明细）'!C:C&gt;=$J$4,'领用录入（明细）'!C:C&lt;=$L$4),ROW(),"-")</f>
        <v>-</v>
      </c>
    </row>
    <row r="13051" customHeight="1" spans="2:2">
      <c r="B13051" s="62" t="str">
        <f>IF(AND('领用录入（明细）'!D:D=$F$4,'领用录入（明细）'!C:C&gt;=$J$4,'领用录入（明细）'!C:C&lt;=$L$4),ROW(),"-")</f>
        <v>-</v>
      </c>
    </row>
    <row r="13052" customHeight="1" spans="2:2">
      <c r="B13052" s="62" t="str">
        <f>IF(AND('领用录入（明细）'!D:D=$F$4,'领用录入（明细）'!C:C&gt;=$J$4,'领用录入（明细）'!C:C&lt;=$L$4),ROW(),"-")</f>
        <v>-</v>
      </c>
    </row>
    <row r="13053" customHeight="1" spans="2:2">
      <c r="B13053" s="62" t="str">
        <f>IF(AND('领用录入（明细）'!D:D=$F$4,'领用录入（明细）'!C:C&gt;=$J$4,'领用录入（明细）'!C:C&lt;=$L$4),ROW(),"-")</f>
        <v>-</v>
      </c>
    </row>
    <row r="13054" customHeight="1" spans="2:2">
      <c r="B13054" s="62" t="str">
        <f>IF(AND('领用录入（明细）'!D:D=$F$4,'领用录入（明细）'!C:C&gt;=$J$4,'领用录入（明细）'!C:C&lt;=$L$4),ROW(),"-")</f>
        <v>-</v>
      </c>
    </row>
    <row r="13055" customHeight="1" spans="2:2">
      <c r="B13055" s="62" t="str">
        <f>IF(AND('领用录入（明细）'!D:D=$F$4,'领用录入（明细）'!C:C&gt;=$J$4,'领用录入（明细）'!C:C&lt;=$L$4),ROW(),"-")</f>
        <v>-</v>
      </c>
    </row>
    <row r="13056" customHeight="1" spans="2:2">
      <c r="B13056" s="62" t="str">
        <f>IF(AND('领用录入（明细）'!D:D=$F$4,'领用录入（明细）'!C:C&gt;=$J$4,'领用录入（明细）'!C:C&lt;=$L$4),ROW(),"-")</f>
        <v>-</v>
      </c>
    </row>
    <row r="13057" customHeight="1" spans="2:2">
      <c r="B13057" s="62" t="str">
        <f>IF(AND('领用录入（明细）'!D:D=$F$4,'领用录入（明细）'!C:C&gt;=$J$4,'领用录入（明细）'!C:C&lt;=$L$4),ROW(),"-")</f>
        <v>-</v>
      </c>
    </row>
    <row r="13058" customHeight="1" spans="2:2">
      <c r="B13058" s="62" t="str">
        <f>IF(AND('领用录入（明细）'!D:D=$F$4,'领用录入（明细）'!C:C&gt;=$J$4,'领用录入（明细）'!C:C&lt;=$L$4),ROW(),"-")</f>
        <v>-</v>
      </c>
    </row>
    <row r="13059" customHeight="1" spans="2:2">
      <c r="B13059" s="62" t="str">
        <f>IF(AND('领用录入（明细）'!D:D=$F$4,'领用录入（明细）'!C:C&gt;=$J$4,'领用录入（明细）'!C:C&lt;=$L$4),ROW(),"-")</f>
        <v>-</v>
      </c>
    </row>
    <row r="13060" customHeight="1" spans="2:2">
      <c r="B13060" s="62" t="str">
        <f>IF(AND('领用录入（明细）'!D:D=$F$4,'领用录入（明细）'!C:C&gt;=$J$4,'领用录入（明细）'!C:C&lt;=$L$4),ROW(),"-")</f>
        <v>-</v>
      </c>
    </row>
    <row r="13061" customHeight="1" spans="2:2">
      <c r="B13061" s="62" t="str">
        <f>IF(AND('领用录入（明细）'!D:D=$F$4,'领用录入（明细）'!C:C&gt;=$J$4,'领用录入（明细）'!C:C&lt;=$L$4),ROW(),"-")</f>
        <v>-</v>
      </c>
    </row>
    <row r="13062" customHeight="1" spans="2:2">
      <c r="B13062" s="62" t="str">
        <f>IF(AND('领用录入（明细）'!D:D=$F$4,'领用录入（明细）'!C:C&gt;=$J$4,'领用录入（明细）'!C:C&lt;=$L$4),ROW(),"-")</f>
        <v>-</v>
      </c>
    </row>
    <row r="13063" customHeight="1" spans="2:2">
      <c r="B13063" s="62" t="str">
        <f>IF(AND('领用录入（明细）'!D:D=$F$4,'领用录入（明细）'!C:C&gt;=$J$4,'领用录入（明细）'!C:C&lt;=$L$4),ROW(),"-")</f>
        <v>-</v>
      </c>
    </row>
    <row r="13064" customHeight="1" spans="2:2">
      <c r="B13064" s="62" t="str">
        <f>IF(AND('领用录入（明细）'!D:D=$F$4,'领用录入（明细）'!C:C&gt;=$J$4,'领用录入（明细）'!C:C&lt;=$L$4),ROW(),"-")</f>
        <v>-</v>
      </c>
    </row>
    <row r="13065" customHeight="1" spans="2:2">
      <c r="B13065" s="62" t="str">
        <f>IF(AND('领用录入（明细）'!D:D=$F$4,'领用录入（明细）'!C:C&gt;=$J$4,'领用录入（明细）'!C:C&lt;=$L$4),ROW(),"-")</f>
        <v>-</v>
      </c>
    </row>
    <row r="13066" customHeight="1" spans="2:2">
      <c r="B13066" s="62" t="str">
        <f>IF(AND('领用录入（明细）'!D:D=$F$4,'领用录入（明细）'!C:C&gt;=$J$4,'领用录入（明细）'!C:C&lt;=$L$4),ROW(),"-")</f>
        <v>-</v>
      </c>
    </row>
    <row r="13067" customHeight="1" spans="2:2">
      <c r="B13067" s="62" t="str">
        <f>IF(AND('领用录入（明细）'!D:D=$F$4,'领用录入（明细）'!C:C&gt;=$J$4,'领用录入（明细）'!C:C&lt;=$L$4),ROW(),"-")</f>
        <v>-</v>
      </c>
    </row>
    <row r="13068" customHeight="1" spans="2:2">
      <c r="B13068" s="62" t="str">
        <f>IF(AND('领用录入（明细）'!D:D=$F$4,'领用录入（明细）'!C:C&gt;=$J$4,'领用录入（明细）'!C:C&lt;=$L$4),ROW(),"-")</f>
        <v>-</v>
      </c>
    </row>
    <row r="13069" customHeight="1" spans="2:2">
      <c r="B13069" s="62" t="str">
        <f>IF(AND('领用录入（明细）'!D:D=$F$4,'领用录入（明细）'!C:C&gt;=$J$4,'领用录入（明细）'!C:C&lt;=$L$4),ROW(),"-")</f>
        <v>-</v>
      </c>
    </row>
    <row r="13070" customHeight="1" spans="2:2">
      <c r="B13070" s="62" t="str">
        <f>IF(AND('领用录入（明细）'!D:D=$F$4,'领用录入（明细）'!C:C&gt;=$J$4,'领用录入（明细）'!C:C&lt;=$L$4),ROW(),"-")</f>
        <v>-</v>
      </c>
    </row>
    <row r="13071" customHeight="1" spans="2:2">
      <c r="B13071" s="62" t="str">
        <f>IF(AND('领用录入（明细）'!D:D=$F$4,'领用录入（明细）'!C:C&gt;=$J$4,'领用录入（明细）'!C:C&lt;=$L$4),ROW(),"-")</f>
        <v>-</v>
      </c>
    </row>
    <row r="13072" customHeight="1" spans="2:2">
      <c r="B13072" s="62" t="str">
        <f>IF(AND('领用录入（明细）'!D:D=$F$4,'领用录入（明细）'!C:C&gt;=$J$4,'领用录入（明细）'!C:C&lt;=$L$4),ROW(),"-")</f>
        <v>-</v>
      </c>
    </row>
    <row r="13073" customHeight="1" spans="2:2">
      <c r="B13073" s="62" t="str">
        <f>IF(AND('领用录入（明细）'!D:D=$F$4,'领用录入（明细）'!C:C&gt;=$J$4,'领用录入（明细）'!C:C&lt;=$L$4),ROW(),"-")</f>
        <v>-</v>
      </c>
    </row>
    <row r="13074" customHeight="1" spans="2:2">
      <c r="B13074" s="62" t="str">
        <f>IF(AND('领用录入（明细）'!D:D=$F$4,'领用录入（明细）'!C:C&gt;=$J$4,'领用录入（明细）'!C:C&lt;=$L$4),ROW(),"-")</f>
        <v>-</v>
      </c>
    </row>
    <row r="13075" customHeight="1" spans="2:2">
      <c r="B13075" s="62" t="str">
        <f>IF(AND('领用录入（明细）'!D:D=$F$4,'领用录入（明细）'!C:C&gt;=$J$4,'领用录入（明细）'!C:C&lt;=$L$4),ROW(),"-")</f>
        <v>-</v>
      </c>
    </row>
    <row r="13076" customHeight="1" spans="2:2">
      <c r="B13076" s="62" t="str">
        <f>IF(AND('领用录入（明细）'!D:D=$F$4,'领用录入（明细）'!C:C&gt;=$J$4,'领用录入（明细）'!C:C&lt;=$L$4),ROW(),"-")</f>
        <v>-</v>
      </c>
    </row>
    <row r="13077" customHeight="1" spans="2:2">
      <c r="B13077" s="62" t="str">
        <f>IF(AND('领用录入（明细）'!D:D=$F$4,'领用录入（明细）'!C:C&gt;=$J$4,'领用录入（明细）'!C:C&lt;=$L$4),ROW(),"-")</f>
        <v>-</v>
      </c>
    </row>
    <row r="13078" customHeight="1" spans="2:2">
      <c r="B13078" s="62" t="str">
        <f>IF(AND('领用录入（明细）'!D:D=$F$4,'领用录入（明细）'!C:C&gt;=$J$4,'领用录入（明细）'!C:C&lt;=$L$4),ROW(),"-")</f>
        <v>-</v>
      </c>
    </row>
    <row r="13079" customHeight="1" spans="2:2">
      <c r="B13079" s="62" t="str">
        <f>IF(AND('领用录入（明细）'!D:D=$F$4,'领用录入（明细）'!C:C&gt;=$J$4,'领用录入（明细）'!C:C&lt;=$L$4),ROW(),"-")</f>
        <v>-</v>
      </c>
    </row>
    <row r="13080" customHeight="1" spans="2:2">
      <c r="B13080" s="62" t="str">
        <f>IF(AND('领用录入（明细）'!D:D=$F$4,'领用录入（明细）'!C:C&gt;=$J$4,'领用录入（明细）'!C:C&lt;=$L$4),ROW(),"-")</f>
        <v>-</v>
      </c>
    </row>
    <row r="13081" customHeight="1" spans="2:2">
      <c r="B13081" s="62" t="str">
        <f>IF(AND('领用录入（明细）'!D:D=$F$4,'领用录入（明细）'!C:C&gt;=$J$4,'领用录入（明细）'!C:C&lt;=$L$4),ROW(),"-")</f>
        <v>-</v>
      </c>
    </row>
    <row r="13082" customHeight="1" spans="2:2">
      <c r="B13082" s="62" t="str">
        <f>IF(AND('领用录入（明细）'!D:D=$F$4,'领用录入（明细）'!C:C&gt;=$J$4,'领用录入（明细）'!C:C&lt;=$L$4),ROW(),"-")</f>
        <v>-</v>
      </c>
    </row>
    <row r="13083" customHeight="1" spans="2:2">
      <c r="B13083" s="62" t="str">
        <f>IF(AND('领用录入（明细）'!D:D=$F$4,'领用录入（明细）'!C:C&gt;=$J$4,'领用录入（明细）'!C:C&lt;=$L$4),ROW(),"-")</f>
        <v>-</v>
      </c>
    </row>
    <row r="13084" customHeight="1" spans="2:2">
      <c r="B13084" s="62" t="str">
        <f>IF(AND('领用录入（明细）'!D:D=$F$4,'领用录入（明细）'!C:C&gt;=$J$4,'领用录入（明细）'!C:C&lt;=$L$4),ROW(),"-")</f>
        <v>-</v>
      </c>
    </row>
    <row r="13085" customHeight="1" spans="2:2">
      <c r="B13085" s="62" t="str">
        <f>IF(AND('领用录入（明细）'!D:D=$F$4,'领用录入（明细）'!C:C&gt;=$J$4,'领用录入（明细）'!C:C&lt;=$L$4),ROW(),"-")</f>
        <v>-</v>
      </c>
    </row>
    <row r="13086" customHeight="1" spans="2:2">
      <c r="B13086" s="62" t="str">
        <f>IF(AND('领用录入（明细）'!D:D=$F$4,'领用录入（明细）'!C:C&gt;=$J$4,'领用录入（明细）'!C:C&lt;=$L$4),ROW(),"-")</f>
        <v>-</v>
      </c>
    </row>
    <row r="13087" customHeight="1" spans="2:2">
      <c r="B13087" s="62" t="str">
        <f>IF(AND('领用录入（明细）'!D:D=$F$4,'领用录入（明细）'!C:C&gt;=$J$4,'领用录入（明细）'!C:C&lt;=$L$4),ROW(),"-")</f>
        <v>-</v>
      </c>
    </row>
    <row r="13088" customHeight="1" spans="2:2">
      <c r="B13088" s="62" t="str">
        <f>IF(AND('领用录入（明细）'!D:D=$F$4,'领用录入（明细）'!C:C&gt;=$J$4,'领用录入（明细）'!C:C&lt;=$L$4),ROW(),"-")</f>
        <v>-</v>
      </c>
    </row>
    <row r="13089" customHeight="1" spans="2:2">
      <c r="B13089" s="62" t="str">
        <f>IF(AND('领用录入（明细）'!D:D=$F$4,'领用录入（明细）'!C:C&gt;=$J$4,'领用录入（明细）'!C:C&lt;=$L$4),ROW(),"-")</f>
        <v>-</v>
      </c>
    </row>
    <row r="13090" customHeight="1" spans="2:2">
      <c r="B13090" s="62" t="str">
        <f>IF(AND('领用录入（明细）'!D:D=$F$4,'领用录入（明细）'!C:C&gt;=$J$4,'领用录入（明细）'!C:C&lt;=$L$4),ROW(),"-")</f>
        <v>-</v>
      </c>
    </row>
    <row r="13091" customHeight="1" spans="2:2">
      <c r="B13091" s="62" t="str">
        <f>IF(AND('领用录入（明细）'!D:D=$F$4,'领用录入（明细）'!C:C&gt;=$J$4,'领用录入（明细）'!C:C&lt;=$L$4),ROW(),"-")</f>
        <v>-</v>
      </c>
    </row>
    <row r="13092" customHeight="1" spans="2:2">
      <c r="B13092" s="62" t="str">
        <f>IF(AND('领用录入（明细）'!D:D=$F$4,'领用录入（明细）'!C:C&gt;=$J$4,'领用录入（明细）'!C:C&lt;=$L$4),ROW(),"-")</f>
        <v>-</v>
      </c>
    </row>
    <row r="13093" customHeight="1" spans="2:2">
      <c r="B13093" s="62" t="str">
        <f>IF(AND('领用录入（明细）'!D:D=$F$4,'领用录入（明细）'!C:C&gt;=$J$4,'领用录入（明细）'!C:C&lt;=$L$4),ROW(),"-")</f>
        <v>-</v>
      </c>
    </row>
    <row r="13094" customHeight="1" spans="2:2">
      <c r="B13094" s="62" t="str">
        <f>IF(AND('领用录入（明细）'!D:D=$F$4,'领用录入（明细）'!C:C&gt;=$J$4,'领用录入（明细）'!C:C&lt;=$L$4),ROW(),"-")</f>
        <v>-</v>
      </c>
    </row>
    <row r="13095" customHeight="1" spans="2:2">
      <c r="B13095" s="62" t="str">
        <f>IF(AND('领用录入（明细）'!D:D=$F$4,'领用录入（明细）'!C:C&gt;=$J$4,'领用录入（明细）'!C:C&lt;=$L$4),ROW(),"-")</f>
        <v>-</v>
      </c>
    </row>
    <row r="13096" customHeight="1" spans="2:2">
      <c r="B13096" s="62" t="str">
        <f>IF(AND('领用录入（明细）'!D:D=$F$4,'领用录入（明细）'!C:C&gt;=$J$4,'领用录入（明细）'!C:C&lt;=$L$4),ROW(),"-")</f>
        <v>-</v>
      </c>
    </row>
    <row r="13097" customHeight="1" spans="2:2">
      <c r="B13097" s="62" t="str">
        <f>IF(AND('领用录入（明细）'!D:D=$F$4,'领用录入（明细）'!C:C&gt;=$J$4,'领用录入（明细）'!C:C&lt;=$L$4),ROW(),"-")</f>
        <v>-</v>
      </c>
    </row>
    <row r="13098" customHeight="1" spans="2:2">
      <c r="B13098" s="62" t="str">
        <f>IF(AND('领用录入（明细）'!D:D=$F$4,'领用录入（明细）'!C:C&gt;=$J$4,'领用录入（明细）'!C:C&lt;=$L$4),ROW(),"-")</f>
        <v>-</v>
      </c>
    </row>
    <row r="13099" customHeight="1" spans="2:2">
      <c r="B13099" s="62" t="str">
        <f>IF(AND('领用录入（明细）'!D:D=$F$4,'领用录入（明细）'!C:C&gt;=$J$4,'领用录入（明细）'!C:C&lt;=$L$4),ROW(),"-")</f>
        <v>-</v>
      </c>
    </row>
    <row r="13100" customHeight="1" spans="2:2">
      <c r="B13100" s="62" t="str">
        <f>IF(AND('领用录入（明细）'!D:D=$F$4,'领用录入（明细）'!C:C&gt;=$J$4,'领用录入（明细）'!C:C&lt;=$L$4),ROW(),"-")</f>
        <v>-</v>
      </c>
    </row>
    <row r="13101" customHeight="1" spans="2:2">
      <c r="B13101" s="62" t="str">
        <f>IF(AND('领用录入（明细）'!D:D=$F$4,'领用录入（明细）'!C:C&gt;=$J$4,'领用录入（明细）'!C:C&lt;=$L$4),ROW(),"-")</f>
        <v>-</v>
      </c>
    </row>
    <row r="13102" customHeight="1" spans="2:2">
      <c r="B13102" s="62" t="str">
        <f>IF(AND('领用录入（明细）'!D:D=$F$4,'领用录入（明细）'!C:C&gt;=$J$4,'领用录入（明细）'!C:C&lt;=$L$4),ROW(),"-")</f>
        <v>-</v>
      </c>
    </row>
    <row r="13103" customHeight="1" spans="2:2">
      <c r="B13103" s="62" t="str">
        <f>IF(AND('领用录入（明细）'!D:D=$F$4,'领用录入（明细）'!C:C&gt;=$J$4,'领用录入（明细）'!C:C&lt;=$L$4),ROW(),"-")</f>
        <v>-</v>
      </c>
    </row>
    <row r="13104" customHeight="1" spans="2:2">
      <c r="B13104" s="62" t="str">
        <f>IF(AND('领用录入（明细）'!D:D=$F$4,'领用录入（明细）'!C:C&gt;=$J$4,'领用录入（明细）'!C:C&lt;=$L$4),ROW(),"-")</f>
        <v>-</v>
      </c>
    </row>
    <row r="13105" customHeight="1" spans="2:2">
      <c r="B13105" s="62" t="str">
        <f>IF(AND('领用录入（明细）'!D:D=$F$4,'领用录入（明细）'!C:C&gt;=$J$4,'领用录入（明细）'!C:C&lt;=$L$4),ROW(),"-")</f>
        <v>-</v>
      </c>
    </row>
    <row r="13106" customHeight="1" spans="2:2">
      <c r="B13106" s="62" t="str">
        <f>IF(AND('领用录入（明细）'!D:D=$F$4,'领用录入（明细）'!C:C&gt;=$J$4,'领用录入（明细）'!C:C&lt;=$L$4),ROW(),"-")</f>
        <v>-</v>
      </c>
    </row>
    <row r="13107" customHeight="1" spans="2:2">
      <c r="B13107" s="62" t="str">
        <f>IF(AND('领用录入（明细）'!D:D=$F$4,'领用录入（明细）'!C:C&gt;=$J$4,'领用录入（明细）'!C:C&lt;=$L$4),ROW(),"-")</f>
        <v>-</v>
      </c>
    </row>
    <row r="13108" customHeight="1" spans="2:2">
      <c r="B13108" s="62" t="str">
        <f>IF(AND('领用录入（明细）'!D:D=$F$4,'领用录入（明细）'!C:C&gt;=$J$4,'领用录入（明细）'!C:C&lt;=$L$4),ROW(),"-")</f>
        <v>-</v>
      </c>
    </row>
    <row r="13109" customHeight="1" spans="2:2">
      <c r="B13109" s="62" t="str">
        <f>IF(AND('领用录入（明细）'!D:D=$F$4,'领用录入（明细）'!C:C&gt;=$J$4,'领用录入（明细）'!C:C&lt;=$L$4),ROW(),"-")</f>
        <v>-</v>
      </c>
    </row>
    <row r="13110" customHeight="1" spans="2:2">
      <c r="B13110" s="62" t="str">
        <f>IF(AND('领用录入（明细）'!D:D=$F$4,'领用录入（明细）'!C:C&gt;=$J$4,'领用录入（明细）'!C:C&lt;=$L$4),ROW(),"-")</f>
        <v>-</v>
      </c>
    </row>
    <row r="13111" customHeight="1" spans="2:2">
      <c r="B13111" s="62" t="str">
        <f>IF(AND('领用录入（明细）'!D:D=$F$4,'领用录入（明细）'!C:C&gt;=$J$4,'领用录入（明细）'!C:C&lt;=$L$4),ROW(),"-")</f>
        <v>-</v>
      </c>
    </row>
    <row r="13112" customHeight="1" spans="2:2">
      <c r="B13112" s="62" t="str">
        <f>IF(AND('领用录入（明细）'!D:D=$F$4,'领用录入（明细）'!C:C&gt;=$J$4,'领用录入（明细）'!C:C&lt;=$L$4),ROW(),"-")</f>
        <v>-</v>
      </c>
    </row>
    <row r="13113" customHeight="1" spans="2:2">
      <c r="B13113" s="62" t="str">
        <f>IF(AND('领用录入（明细）'!D:D=$F$4,'领用录入（明细）'!C:C&gt;=$J$4,'领用录入（明细）'!C:C&lt;=$L$4),ROW(),"-")</f>
        <v>-</v>
      </c>
    </row>
    <row r="13114" customHeight="1" spans="2:2">
      <c r="B13114" s="62" t="str">
        <f>IF(AND('领用录入（明细）'!D:D=$F$4,'领用录入（明细）'!C:C&gt;=$J$4,'领用录入（明细）'!C:C&lt;=$L$4),ROW(),"-")</f>
        <v>-</v>
      </c>
    </row>
    <row r="13115" customHeight="1" spans="2:2">
      <c r="B13115" s="62" t="str">
        <f>IF(AND('领用录入（明细）'!D:D=$F$4,'领用录入（明细）'!C:C&gt;=$J$4,'领用录入（明细）'!C:C&lt;=$L$4),ROW(),"-")</f>
        <v>-</v>
      </c>
    </row>
    <row r="13116" customHeight="1" spans="2:2">
      <c r="B13116" s="62" t="str">
        <f>IF(AND('领用录入（明细）'!D:D=$F$4,'领用录入（明细）'!C:C&gt;=$J$4,'领用录入（明细）'!C:C&lt;=$L$4),ROW(),"-")</f>
        <v>-</v>
      </c>
    </row>
    <row r="13117" customHeight="1" spans="2:2">
      <c r="B13117" s="62" t="str">
        <f>IF(AND('领用录入（明细）'!D:D=$F$4,'领用录入（明细）'!C:C&gt;=$J$4,'领用录入（明细）'!C:C&lt;=$L$4),ROW(),"-")</f>
        <v>-</v>
      </c>
    </row>
    <row r="13118" customHeight="1" spans="2:2">
      <c r="B13118" s="62" t="str">
        <f>IF(AND('领用录入（明细）'!D:D=$F$4,'领用录入（明细）'!C:C&gt;=$J$4,'领用录入（明细）'!C:C&lt;=$L$4),ROW(),"-")</f>
        <v>-</v>
      </c>
    </row>
    <row r="13119" customHeight="1" spans="2:2">
      <c r="B13119" s="62" t="str">
        <f>IF(AND('领用录入（明细）'!D:D=$F$4,'领用录入（明细）'!C:C&gt;=$J$4,'领用录入（明细）'!C:C&lt;=$L$4),ROW(),"-")</f>
        <v>-</v>
      </c>
    </row>
    <row r="13120" customHeight="1" spans="2:2">
      <c r="B13120" s="62" t="str">
        <f>IF(AND('领用录入（明细）'!D:D=$F$4,'领用录入（明细）'!C:C&gt;=$J$4,'领用录入（明细）'!C:C&lt;=$L$4),ROW(),"-")</f>
        <v>-</v>
      </c>
    </row>
    <row r="13121" customHeight="1" spans="2:2">
      <c r="B13121" s="62" t="str">
        <f>IF(AND('领用录入（明细）'!D:D=$F$4,'领用录入（明细）'!C:C&gt;=$J$4,'领用录入（明细）'!C:C&lt;=$L$4),ROW(),"-")</f>
        <v>-</v>
      </c>
    </row>
    <row r="13122" customHeight="1" spans="2:2">
      <c r="B13122" s="62" t="str">
        <f>IF(AND('领用录入（明细）'!D:D=$F$4,'领用录入（明细）'!C:C&gt;=$J$4,'领用录入（明细）'!C:C&lt;=$L$4),ROW(),"-")</f>
        <v>-</v>
      </c>
    </row>
    <row r="13123" customHeight="1" spans="2:2">
      <c r="B13123" s="62" t="str">
        <f>IF(AND('领用录入（明细）'!D:D=$F$4,'领用录入（明细）'!C:C&gt;=$J$4,'领用录入（明细）'!C:C&lt;=$L$4),ROW(),"-")</f>
        <v>-</v>
      </c>
    </row>
    <row r="13124" customHeight="1" spans="2:2">
      <c r="B13124" s="62" t="str">
        <f>IF(AND('领用录入（明细）'!D:D=$F$4,'领用录入（明细）'!C:C&gt;=$J$4,'领用录入（明细）'!C:C&lt;=$L$4),ROW(),"-")</f>
        <v>-</v>
      </c>
    </row>
    <row r="13125" customHeight="1" spans="2:2">
      <c r="B13125" s="62" t="str">
        <f>IF(AND('领用录入（明细）'!D:D=$F$4,'领用录入（明细）'!C:C&gt;=$J$4,'领用录入（明细）'!C:C&lt;=$L$4),ROW(),"-")</f>
        <v>-</v>
      </c>
    </row>
    <row r="13126" customHeight="1" spans="2:2">
      <c r="B13126" s="62" t="str">
        <f>IF(AND('领用录入（明细）'!D:D=$F$4,'领用录入（明细）'!C:C&gt;=$J$4,'领用录入（明细）'!C:C&lt;=$L$4),ROW(),"-")</f>
        <v>-</v>
      </c>
    </row>
    <row r="13127" customHeight="1" spans="2:2">
      <c r="B13127" s="62" t="str">
        <f>IF(AND('领用录入（明细）'!D:D=$F$4,'领用录入（明细）'!C:C&gt;=$J$4,'领用录入（明细）'!C:C&lt;=$L$4),ROW(),"-")</f>
        <v>-</v>
      </c>
    </row>
    <row r="13128" customHeight="1" spans="2:2">
      <c r="B13128" s="62" t="str">
        <f>IF(AND('领用录入（明细）'!D:D=$F$4,'领用录入（明细）'!C:C&gt;=$J$4,'领用录入（明细）'!C:C&lt;=$L$4),ROW(),"-")</f>
        <v>-</v>
      </c>
    </row>
    <row r="13129" customHeight="1" spans="2:2">
      <c r="B13129" s="62" t="str">
        <f>IF(AND('领用录入（明细）'!D:D=$F$4,'领用录入（明细）'!C:C&gt;=$J$4,'领用录入（明细）'!C:C&lt;=$L$4),ROW(),"-")</f>
        <v>-</v>
      </c>
    </row>
    <row r="13130" customHeight="1" spans="2:2">
      <c r="B13130" s="62" t="str">
        <f>IF(AND('领用录入（明细）'!D:D=$F$4,'领用录入（明细）'!C:C&gt;=$J$4,'领用录入（明细）'!C:C&lt;=$L$4),ROW(),"-")</f>
        <v>-</v>
      </c>
    </row>
    <row r="13131" customHeight="1" spans="2:2">
      <c r="B13131" s="62" t="str">
        <f>IF(AND('领用录入（明细）'!D:D=$F$4,'领用录入（明细）'!C:C&gt;=$J$4,'领用录入（明细）'!C:C&lt;=$L$4),ROW(),"-")</f>
        <v>-</v>
      </c>
    </row>
    <row r="13132" customHeight="1" spans="2:2">
      <c r="B13132" s="62" t="str">
        <f>IF(AND('领用录入（明细）'!D:D=$F$4,'领用录入（明细）'!C:C&gt;=$J$4,'领用录入（明细）'!C:C&lt;=$L$4),ROW(),"-")</f>
        <v>-</v>
      </c>
    </row>
    <row r="13133" customHeight="1" spans="2:2">
      <c r="B13133" s="62" t="str">
        <f>IF(AND('领用录入（明细）'!D:D=$F$4,'领用录入（明细）'!C:C&gt;=$J$4,'领用录入（明细）'!C:C&lt;=$L$4),ROW(),"-")</f>
        <v>-</v>
      </c>
    </row>
    <row r="13134" customHeight="1" spans="2:2">
      <c r="B13134" s="62" t="str">
        <f>IF(AND('领用录入（明细）'!D:D=$F$4,'领用录入（明细）'!C:C&gt;=$J$4,'领用录入（明细）'!C:C&lt;=$L$4),ROW(),"-")</f>
        <v>-</v>
      </c>
    </row>
    <row r="13135" customHeight="1" spans="2:2">
      <c r="B13135" s="62" t="str">
        <f>IF(AND('领用录入（明细）'!D:D=$F$4,'领用录入（明细）'!C:C&gt;=$J$4,'领用录入（明细）'!C:C&lt;=$L$4),ROW(),"-")</f>
        <v>-</v>
      </c>
    </row>
    <row r="13136" customHeight="1" spans="2:2">
      <c r="B13136" s="62" t="str">
        <f>IF(AND('领用录入（明细）'!D:D=$F$4,'领用录入（明细）'!C:C&gt;=$J$4,'领用录入（明细）'!C:C&lt;=$L$4),ROW(),"-")</f>
        <v>-</v>
      </c>
    </row>
    <row r="13137" customHeight="1" spans="2:2">
      <c r="B13137" s="62" t="str">
        <f>IF(AND('领用录入（明细）'!D:D=$F$4,'领用录入（明细）'!C:C&gt;=$J$4,'领用录入（明细）'!C:C&lt;=$L$4),ROW(),"-")</f>
        <v>-</v>
      </c>
    </row>
    <row r="13138" customHeight="1" spans="2:2">
      <c r="B13138" s="62" t="str">
        <f>IF(AND('领用录入（明细）'!D:D=$F$4,'领用录入（明细）'!C:C&gt;=$J$4,'领用录入（明细）'!C:C&lt;=$L$4),ROW(),"-")</f>
        <v>-</v>
      </c>
    </row>
    <row r="13139" customHeight="1" spans="2:2">
      <c r="B13139" s="62" t="str">
        <f>IF(AND('领用录入（明细）'!D:D=$F$4,'领用录入（明细）'!C:C&gt;=$J$4,'领用录入（明细）'!C:C&lt;=$L$4),ROW(),"-")</f>
        <v>-</v>
      </c>
    </row>
    <row r="13140" customHeight="1" spans="2:2">
      <c r="B13140" s="62" t="str">
        <f>IF(AND('领用录入（明细）'!D:D=$F$4,'领用录入（明细）'!C:C&gt;=$J$4,'领用录入（明细）'!C:C&lt;=$L$4),ROW(),"-")</f>
        <v>-</v>
      </c>
    </row>
    <row r="13141" customHeight="1" spans="2:2">
      <c r="B13141" s="62" t="str">
        <f>IF(AND('领用录入（明细）'!D:D=$F$4,'领用录入（明细）'!C:C&gt;=$J$4,'领用录入（明细）'!C:C&lt;=$L$4),ROW(),"-")</f>
        <v>-</v>
      </c>
    </row>
    <row r="13142" customHeight="1" spans="2:2">
      <c r="B13142" s="62" t="str">
        <f>IF(AND('领用录入（明细）'!D:D=$F$4,'领用录入（明细）'!C:C&gt;=$J$4,'领用录入（明细）'!C:C&lt;=$L$4),ROW(),"-")</f>
        <v>-</v>
      </c>
    </row>
    <row r="13143" customHeight="1" spans="2:2">
      <c r="B13143" s="62" t="str">
        <f>IF(AND('领用录入（明细）'!D:D=$F$4,'领用录入（明细）'!C:C&gt;=$J$4,'领用录入（明细）'!C:C&lt;=$L$4),ROW(),"-")</f>
        <v>-</v>
      </c>
    </row>
    <row r="13144" customHeight="1" spans="2:2">
      <c r="B13144" s="62" t="str">
        <f>IF(AND('领用录入（明细）'!D:D=$F$4,'领用录入（明细）'!C:C&gt;=$J$4,'领用录入（明细）'!C:C&lt;=$L$4),ROW(),"-")</f>
        <v>-</v>
      </c>
    </row>
    <row r="13145" customHeight="1" spans="2:2">
      <c r="B13145" s="62" t="str">
        <f>IF(AND('领用录入（明细）'!D:D=$F$4,'领用录入（明细）'!C:C&gt;=$J$4,'领用录入（明细）'!C:C&lt;=$L$4),ROW(),"-")</f>
        <v>-</v>
      </c>
    </row>
    <row r="13146" customHeight="1" spans="2:2">
      <c r="B13146" s="62" t="str">
        <f>IF(AND('领用录入（明细）'!D:D=$F$4,'领用录入（明细）'!C:C&gt;=$J$4,'领用录入（明细）'!C:C&lt;=$L$4),ROW(),"-")</f>
        <v>-</v>
      </c>
    </row>
    <row r="13147" customHeight="1" spans="2:2">
      <c r="B13147" s="62" t="str">
        <f>IF(AND('领用录入（明细）'!D:D=$F$4,'领用录入（明细）'!C:C&gt;=$J$4,'领用录入（明细）'!C:C&lt;=$L$4),ROW(),"-")</f>
        <v>-</v>
      </c>
    </row>
    <row r="13148" customHeight="1" spans="2:2">
      <c r="B13148" s="62" t="str">
        <f>IF(AND('领用录入（明细）'!D:D=$F$4,'领用录入（明细）'!C:C&gt;=$J$4,'领用录入（明细）'!C:C&lt;=$L$4),ROW(),"-")</f>
        <v>-</v>
      </c>
    </row>
    <row r="13149" customHeight="1" spans="2:2">
      <c r="B13149" s="62" t="str">
        <f>IF(AND('领用录入（明细）'!D:D=$F$4,'领用录入（明细）'!C:C&gt;=$J$4,'领用录入（明细）'!C:C&lt;=$L$4),ROW(),"-")</f>
        <v>-</v>
      </c>
    </row>
    <row r="13150" customHeight="1" spans="2:2">
      <c r="B13150" s="62" t="str">
        <f>IF(AND('领用录入（明细）'!D:D=$F$4,'领用录入（明细）'!C:C&gt;=$J$4,'领用录入（明细）'!C:C&lt;=$L$4),ROW(),"-")</f>
        <v>-</v>
      </c>
    </row>
    <row r="13151" customHeight="1" spans="2:2">
      <c r="B13151" s="62" t="str">
        <f>IF(AND('领用录入（明细）'!D:D=$F$4,'领用录入（明细）'!C:C&gt;=$J$4,'领用录入（明细）'!C:C&lt;=$L$4),ROW(),"-")</f>
        <v>-</v>
      </c>
    </row>
    <row r="13152" customHeight="1" spans="2:2">
      <c r="B13152" s="62" t="str">
        <f>IF(AND('领用录入（明细）'!D:D=$F$4,'领用录入（明细）'!C:C&gt;=$J$4,'领用录入（明细）'!C:C&lt;=$L$4),ROW(),"-")</f>
        <v>-</v>
      </c>
    </row>
    <row r="13153" customHeight="1" spans="2:2">
      <c r="B13153" s="62" t="str">
        <f>IF(AND('领用录入（明细）'!D:D=$F$4,'领用录入（明细）'!C:C&gt;=$J$4,'领用录入（明细）'!C:C&lt;=$L$4),ROW(),"-")</f>
        <v>-</v>
      </c>
    </row>
    <row r="13154" customHeight="1" spans="2:2">
      <c r="B13154" s="62" t="str">
        <f>IF(AND('领用录入（明细）'!D:D=$F$4,'领用录入（明细）'!C:C&gt;=$J$4,'领用录入（明细）'!C:C&lt;=$L$4),ROW(),"-")</f>
        <v>-</v>
      </c>
    </row>
    <row r="13155" customHeight="1" spans="2:2">
      <c r="B13155" s="62" t="str">
        <f>IF(AND('领用录入（明细）'!D:D=$F$4,'领用录入（明细）'!C:C&gt;=$J$4,'领用录入（明细）'!C:C&lt;=$L$4),ROW(),"-")</f>
        <v>-</v>
      </c>
    </row>
    <row r="13156" customHeight="1" spans="2:2">
      <c r="B13156" s="62" t="str">
        <f>IF(AND('领用录入（明细）'!D:D=$F$4,'领用录入（明细）'!C:C&gt;=$J$4,'领用录入（明细）'!C:C&lt;=$L$4),ROW(),"-")</f>
        <v>-</v>
      </c>
    </row>
    <row r="13157" customHeight="1" spans="2:2">
      <c r="B13157" s="62" t="str">
        <f>IF(AND('领用录入（明细）'!D:D=$F$4,'领用录入（明细）'!C:C&gt;=$J$4,'领用录入（明细）'!C:C&lt;=$L$4),ROW(),"-")</f>
        <v>-</v>
      </c>
    </row>
    <row r="13158" customHeight="1" spans="2:2">
      <c r="B13158" s="62" t="str">
        <f>IF(AND('领用录入（明细）'!D:D=$F$4,'领用录入（明细）'!C:C&gt;=$J$4,'领用录入（明细）'!C:C&lt;=$L$4),ROW(),"-")</f>
        <v>-</v>
      </c>
    </row>
    <row r="13159" customHeight="1" spans="2:2">
      <c r="B13159" s="62" t="str">
        <f>IF(AND('领用录入（明细）'!D:D=$F$4,'领用录入（明细）'!C:C&gt;=$J$4,'领用录入（明细）'!C:C&lt;=$L$4),ROW(),"-")</f>
        <v>-</v>
      </c>
    </row>
    <row r="13160" customHeight="1" spans="2:2">
      <c r="B13160" s="62" t="str">
        <f>IF(AND('领用录入（明细）'!D:D=$F$4,'领用录入（明细）'!C:C&gt;=$J$4,'领用录入（明细）'!C:C&lt;=$L$4),ROW(),"-")</f>
        <v>-</v>
      </c>
    </row>
    <row r="13161" customHeight="1" spans="2:2">
      <c r="B13161" s="62" t="str">
        <f>IF(AND('领用录入（明细）'!D:D=$F$4,'领用录入（明细）'!C:C&gt;=$J$4,'领用录入（明细）'!C:C&lt;=$L$4),ROW(),"-")</f>
        <v>-</v>
      </c>
    </row>
    <row r="13162" customHeight="1" spans="2:2">
      <c r="B13162" s="62" t="str">
        <f>IF(AND('领用录入（明细）'!D:D=$F$4,'领用录入（明细）'!C:C&gt;=$J$4,'领用录入（明细）'!C:C&lt;=$L$4),ROW(),"-")</f>
        <v>-</v>
      </c>
    </row>
    <row r="13163" customHeight="1" spans="2:2">
      <c r="B13163" s="62" t="str">
        <f>IF(AND('领用录入（明细）'!D:D=$F$4,'领用录入（明细）'!C:C&gt;=$J$4,'领用录入（明细）'!C:C&lt;=$L$4),ROW(),"-")</f>
        <v>-</v>
      </c>
    </row>
    <row r="13164" customHeight="1" spans="2:2">
      <c r="B13164" s="62" t="str">
        <f>IF(AND('领用录入（明细）'!D:D=$F$4,'领用录入（明细）'!C:C&gt;=$J$4,'领用录入（明细）'!C:C&lt;=$L$4),ROW(),"-")</f>
        <v>-</v>
      </c>
    </row>
    <row r="13165" customHeight="1" spans="2:2">
      <c r="B13165" s="62" t="str">
        <f>IF(AND('领用录入（明细）'!D:D=$F$4,'领用录入（明细）'!C:C&gt;=$J$4,'领用录入（明细）'!C:C&lt;=$L$4),ROW(),"-")</f>
        <v>-</v>
      </c>
    </row>
    <row r="13166" customHeight="1" spans="2:2">
      <c r="B13166" s="62" t="str">
        <f>IF(AND('领用录入（明细）'!D:D=$F$4,'领用录入（明细）'!C:C&gt;=$J$4,'领用录入（明细）'!C:C&lt;=$L$4),ROW(),"-")</f>
        <v>-</v>
      </c>
    </row>
    <row r="13167" customHeight="1" spans="2:2">
      <c r="B13167" s="62" t="str">
        <f>IF(AND('领用录入（明细）'!D:D=$F$4,'领用录入（明细）'!C:C&gt;=$J$4,'领用录入（明细）'!C:C&lt;=$L$4),ROW(),"-")</f>
        <v>-</v>
      </c>
    </row>
    <row r="13168" customHeight="1" spans="2:2">
      <c r="B13168" s="62" t="str">
        <f>IF(AND('领用录入（明细）'!D:D=$F$4,'领用录入（明细）'!C:C&gt;=$J$4,'领用录入（明细）'!C:C&lt;=$L$4),ROW(),"-")</f>
        <v>-</v>
      </c>
    </row>
    <row r="13169" customHeight="1" spans="2:2">
      <c r="B13169" s="62" t="str">
        <f>IF(AND('领用录入（明细）'!D:D=$F$4,'领用录入（明细）'!C:C&gt;=$J$4,'领用录入（明细）'!C:C&lt;=$L$4),ROW(),"-")</f>
        <v>-</v>
      </c>
    </row>
    <row r="13170" customHeight="1" spans="2:2">
      <c r="B13170" s="62" t="str">
        <f>IF(AND('领用录入（明细）'!D:D=$F$4,'领用录入（明细）'!C:C&gt;=$J$4,'领用录入（明细）'!C:C&lt;=$L$4),ROW(),"-")</f>
        <v>-</v>
      </c>
    </row>
    <row r="13171" customHeight="1" spans="2:2">
      <c r="B13171" s="62" t="str">
        <f>IF(AND('领用录入（明细）'!D:D=$F$4,'领用录入（明细）'!C:C&gt;=$J$4,'领用录入（明细）'!C:C&lt;=$L$4),ROW(),"-")</f>
        <v>-</v>
      </c>
    </row>
    <row r="13172" customHeight="1" spans="2:2">
      <c r="B13172" s="62" t="str">
        <f>IF(AND('领用录入（明细）'!D:D=$F$4,'领用录入（明细）'!C:C&gt;=$J$4,'领用录入（明细）'!C:C&lt;=$L$4),ROW(),"-")</f>
        <v>-</v>
      </c>
    </row>
    <row r="13173" customHeight="1" spans="2:2">
      <c r="B13173" s="62" t="str">
        <f>IF(AND('领用录入（明细）'!D:D=$F$4,'领用录入（明细）'!C:C&gt;=$J$4,'领用录入（明细）'!C:C&lt;=$L$4),ROW(),"-")</f>
        <v>-</v>
      </c>
    </row>
    <row r="13174" customHeight="1" spans="2:2">
      <c r="B13174" s="62" t="str">
        <f>IF(AND('领用录入（明细）'!D:D=$F$4,'领用录入（明细）'!C:C&gt;=$J$4,'领用录入（明细）'!C:C&lt;=$L$4),ROW(),"-")</f>
        <v>-</v>
      </c>
    </row>
    <row r="13175" customHeight="1" spans="2:2">
      <c r="B13175" s="62" t="str">
        <f>IF(AND('领用录入（明细）'!D:D=$F$4,'领用录入（明细）'!C:C&gt;=$J$4,'领用录入（明细）'!C:C&lt;=$L$4),ROW(),"-")</f>
        <v>-</v>
      </c>
    </row>
    <row r="13176" customHeight="1" spans="2:2">
      <c r="B13176" s="62" t="str">
        <f>IF(AND('领用录入（明细）'!D:D=$F$4,'领用录入（明细）'!C:C&gt;=$J$4,'领用录入（明细）'!C:C&lt;=$L$4),ROW(),"-")</f>
        <v>-</v>
      </c>
    </row>
    <row r="13177" customHeight="1" spans="2:2">
      <c r="B13177" s="62" t="str">
        <f>IF(AND('领用录入（明细）'!D:D=$F$4,'领用录入（明细）'!C:C&gt;=$J$4,'领用录入（明细）'!C:C&lt;=$L$4),ROW(),"-")</f>
        <v>-</v>
      </c>
    </row>
    <row r="13178" customHeight="1" spans="2:2">
      <c r="B13178" s="62" t="str">
        <f>IF(AND('领用录入（明细）'!D:D=$F$4,'领用录入（明细）'!C:C&gt;=$J$4,'领用录入（明细）'!C:C&lt;=$L$4),ROW(),"-")</f>
        <v>-</v>
      </c>
    </row>
    <row r="13179" customHeight="1" spans="2:2">
      <c r="B13179" s="62" t="str">
        <f>IF(AND('领用录入（明细）'!D:D=$F$4,'领用录入（明细）'!C:C&gt;=$J$4,'领用录入（明细）'!C:C&lt;=$L$4),ROW(),"-")</f>
        <v>-</v>
      </c>
    </row>
    <row r="13180" customHeight="1" spans="2:2">
      <c r="B13180" s="62" t="str">
        <f>IF(AND('领用录入（明细）'!D:D=$F$4,'领用录入（明细）'!C:C&gt;=$J$4,'领用录入（明细）'!C:C&lt;=$L$4),ROW(),"-")</f>
        <v>-</v>
      </c>
    </row>
    <row r="13181" customHeight="1" spans="2:2">
      <c r="B13181" s="62" t="str">
        <f>IF(AND('领用录入（明细）'!D:D=$F$4,'领用录入（明细）'!C:C&gt;=$J$4,'领用录入（明细）'!C:C&lt;=$L$4),ROW(),"-")</f>
        <v>-</v>
      </c>
    </row>
    <row r="13182" customHeight="1" spans="2:2">
      <c r="B13182" s="62" t="str">
        <f>IF(AND('领用录入（明细）'!D:D=$F$4,'领用录入（明细）'!C:C&gt;=$J$4,'领用录入（明细）'!C:C&lt;=$L$4),ROW(),"-")</f>
        <v>-</v>
      </c>
    </row>
    <row r="13183" customHeight="1" spans="2:2">
      <c r="B13183" s="62" t="str">
        <f>IF(AND('领用录入（明细）'!D:D=$F$4,'领用录入（明细）'!C:C&gt;=$J$4,'领用录入（明细）'!C:C&lt;=$L$4),ROW(),"-")</f>
        <v>-</v>
      </c>
    </row>
    <row r="13184" customHeight="1" spans="2:2">
      <c r="B13184" s="62" t="str">
        <f>IF(AND('领用录入（明细）'!D:D=$F$4,'领用录入（明细）'!C:C&gt;=$J$4,'领用录入（明细）'!C:C&lt;=$L$4),ROW(),"-")</f>
        <v>-</v>
      </c>
    </row>
    <row r="13185" customHeight="1" spans="2:2">
      <c r="B13185" s="62" t="str">
        <f>IF(AND('领用录入（明细）'!D:D=$F$4,'领用录入（明细）'!C:C&gt;=$J$4,'领用录入（明细）'!C:C&lt;=$L$4),ROW(),"-")</f>
        <v>-</v>
      </c>
    </row>
    <row r="13186" customHeight="1" spans="2:2">
      <c r="B13186" s="62" t="str">
        <f>IF(AND('领用录入（明细）'!D:D=$F$4,'领用录入（明细）'!C:C&gt;=$J$4,'领用录入（明细）'!C:C&lt;=$L$4),ROW(),"-")</f>
        <v>-</v>
      </c>
    </row>
    <row r="13187" customHeight="1" spans="2:2">
      <c r="B13187" s="62" t="str">
        <f>IF(AND('领用录入（明细）'!D:D=$F$4,'领用录入（明细）'!C:C&gt;=$J$4,'领用录入（明细）'!C:C&lt;=$L$4),ROW(),"-")</f>
        <v>-</v>
      </c>
    </row>
    <row r="13188" customHeight="1" spans="2:2">
      <c r="B13188" s="62" t="str">
        <f>IF(AND('领用录入（明细）'!D:D=$F$4,'领用录入（明细）'!C:C&gt;=$J$4,'领用录入（明细）'!C:C&lt;=$L$4),ROW(),"-")</f>
        <v>-</v>
      </c>
    </row>
    <row r="13189" customHeight="1" spans="2:2">
      <c r="B13189" s="62" t="str">
        <f>IF(AND('领用录入（明细）'!D:D=$F$4,'领用录入（明细）'!C:C&gt;=$J$4,'领用录入（明细）'!C:C&lt;=$L$4),ROW(),"-")</f>
        <v>-</v>
      </c>
    </row>
    <row r="13190" customHeight="1" spans="2:2">
      <c r="B13190" s="62" t="str">
        <f>IF(AND('领用录入（明细）'!D:D=$F$4,'领用录入（明细）'!C:C&gt;=$J$4,'领用录入（明细）'!C:C&lt;=$L$4),ROW(),"-")</f>
        <v>-</v>
      </c>
    </row>
    <row r="13191" customHeight="1" spans="2:2">
      <c r="B13191" s="62" t="str">
        <f>IF(AND('领用录入（明细）'!D:D=$F$4,'领用录入（明细）'!C:C&gt;=$J$4,'领用录入（明细）'!C:C&lt;=$L$4),ROW(),"-")</f>
        <v>-</v>
      </c>
    </row>
    <row r="13192" customHeight="1" spans="2:2">
      <c r="B13192" s="62" t="str">
        <f>IF(AND('领用录入（明细）'!D:D=$F$4,'领用录入（明细）'!C:C&gt;=$J$4,'领用录入（明细）'!C:C&lt;=$L$4),ROW(),"-")</f>
        <v>-</v>
      </c>
    </row>
    <row r="13193" customHeight="1" spans="2:2">
      <c r="B13193" s="62" t="str">
        <f>IF(AND('领用录入（明细）'!D:D=$F$4,'领用录入（明细）'!C:C&gt;=$J$4,'领用录入（明细）'!C:C&lt;=$L$4),ROW(),"-")</f>
        <v>-</v>
      </c>
    </row>
    <row r="13194" customHeight="1" spans="2:2">
      <c r="B13194" s="62" t="str">
        <f>IF(AND('领用录入（明细）'!D:D=$F$4,'领用录入（明细）'!C:C&gt;=$J$4,'领用录入（明细）'!C:C&lt;=$L$4),ROW(),"-")</f>
        <v>-</v>
      </c>
    </row>
    <row r="13195" customHeight="1" spans="2:2">
      <c r="B13195" s="62" t="str">
        <f>IF(AND('领用录入（明细）'!D:D=$F$4,'领用录入（明细）'!C:C&gt;=$J$4,'领用录入（明细）'!C:C&lt;=$L$4),ROW(),"-")</f>
        <v>-</v>
      </c>
    </row>
    <row r="13196" customHeight="1" spans="2:2">
      <c r="B13196" s="62" t="str">
        <f>IF(AND('领用录入（明细）'!D:D=$F$4,'领用录入（明细）'!C:C&gt;=$J$4,'领用录入（明细）'!C:C&lt;=$L$4),ROW(),"-")</f>
        <v>-</v>
      </c>
    </row>
    <row r="13197" customHeight="1" spans="2:2">
      <c r="B13197" s="62" t="str">
        <f>IF(AND('领用录入（明细）'!D:D=$F$4,'领用录入（明细）'!C:C&gt;=$J$4,'领用录入（明细）'!C:C&lt;=$L$4),ROW(),"-")</f>
        <v>-</v>
      </c>
    </row>
    <row r="13198" customHeight="1" spans="2:2">
      <c r="B13198" s="62" t="str">
        <f>IF(AND('领用录入（明细）'!D:D=$F$4,'领用录入（明细）'!C:C&gt;=$J$4,'领用录入（明细）'!C:C&lt;=$L$4),ROW(),"-")</f>
        <v>-</v>
      </c>
    </row>
    <row r="13199" customHeight="1" spans="2:2">
      <c r="B13199" s="62" t="str">
        <f>IF(AND('领用录入（明细）'!D:D=$F$4,'领用录入（明细）'!C:C&gt;=$J$4,'领用录入（明细）'!C:C&lt;=$L$4),ROW(),"-")</f>
        <v>-</v>
      </c>
    </row>
    <row r="13200" customHeight="1" spans="2:2">
      <c r="B13200" s="62" t="str">
        <f>IF(AND('领用录入（明细）'!D:D=$F$4,'领用录入（明细）'!C:C&gt;=$J$4,'领用录入（明细）'!C:C&lt;=$L$4),ROW(),"-")</f>
        <v>-</v>
      </c>
    </row>
    <row r="13201" customHeight="1" spans="2:2">
      <c r="B13201" s="62" t="str">
        <f>IF(AND('领用录入（明细）'!D:D=$F$4,'领用录入（明细）'!C:C&gt;=$J$4,'领用录入（明细）'!C:C&lt;=$L$4),ROW(),"-")</f>
        <v>-</v>
      </c>
    </row>
    <row r="13202" customHeight="1" spans="2:2">
      <c r="B13202" s="62" t="str">
        <f>IF(AND('领用录入（明细）'!D:D=$F$4,'领用录入（明细）'!C:C&gt;=$J$4,'领用录入（明细）'!C:C&lt;=$L$4),ROW(),"-")</f>
        <v>-</v>
      </c>
    </row>
    <row r="13203" customHeight="1" spans="2:2">
      <c r="B13203" s="62" t="str">
        <f>IF(AND('领用录入（明细）'!D:D=$F$4,'领用录入（明细）'!C:C&gt;=$J$4,'领用录入（明细）'!C:C&lt;=$L$4),ROW(),"-")</f>
        <v>-</v>
      </c>
    </row>
    <row r="13204" customHeight="1" spans="2:2">
      <c r="B13204" s="62" t="str">
        <f>IF(AND('领用录入（明细）'!D:D=$F$4,'领用录入（明细）'!C:C&gt;=$J$4,'领用录入（明细）'!C:C&lt;=$L$4),ROW(),"-")</f>
        <v>-</v>
      </c>
    </row>
    <row r="13205" customHeight="1" spans="2:2">
      <c r="B13205" s="62" t="str">
        <f>IF(AND('领用录入（明细）'!D:D=$F$4,'领用录入（明细）'!C:C&gt;=$J$4,'领用录入（明细）'!C:C&lt;=$L$4),ROW(),"-")</f>
        <v>-</v>
      </c>
    </row>
    <row r="13206" customHeight="1" spans="2:2">
      <c r="B13206" s="62" t="str">
        <f>IF(AND('领用录入（明细）'!D:D=$F$4,'领用录入（明细）'!C:C&gt;=$J$4,'领用录入（明细）'!C:C&lt;=$L$4),ROW(),"-")</f>
        <v>-</v>
      </c>
    </row>
    <row r="13207" customHeight="1" spans="2:2">
      <c r="B13207" s="62" t="str">
        <f>IF(AND('领用录入（明细）'!D:D=$F$4,'领用录入（明细）'!C:C&gt;=$J$4,'领用录入（明细）'!C:C&lt;=$L$4),ROW(),"-")</f>
        <v>-</v>
      </c>
    </row>
    <row r="13208" customHeight="1" spans="2:2">
      <c r="B13208" s="62" t="str">
        <f>IF(AND('领用录入（明细）'!D:D=$F$4,'领用录入（明细）'!C:C&gt;=$J$4,'领用录入（明细）'!C:C&lt;=$L$4),ROW(),"-")</f>
        <v>-</v>
      </c>
    </row>
    <row r="13209" customHeight="1" spans="2:2">
      <c r="B13209" s="62" t="str">
        <f>IF(AND('领用录入（明细）'!D:D=$F$4,'领用录入（明细）'!C:C&gt;=$J$4,'领用录入（明细）'!C:C&lt;=$L$4),ROW(),"-")</f>
        <v>-</v>
      </c>
    </row>
    <row r="13210" customHeight="1" spans="2:2">
      <c r="B13210" s="62" t="str">
        <f>IF(AND('领用录入（明细）'!D:D=$F$4,'领用录入（明细）'!C:C&gt;=$J$4,'领用录入（明细）'!C:C&lt;=$L$4),ROW(),"-")</f>
        <v>-</v>
      </c>
    </row>
    <row r="13211" customHeight="1" spans="2:2">
      <c r="B13211" s="62" t="str">
        <f>IF(AND('领用录入（明细）'!D:D=$F$4,'领用录入（明细）'!C:C&gt;=$J$4,'领用录入（明细）'!C:C&lt;=$L$4),ROW(),"-")</f>
        <v>-</v>
      </c>
    </row>
    <row r="13212" customHeight="1" spans="2:2">
      <c r="B13212" s="62" t="str">
        <f>IF(AND('领用录入（明细）'!D:D=$F$4,'领用录入（明细）'!C:C&gt;=$J$4,'领用录入（明细）'!C:C&lt;=$L$4),ROW(),"-")</f>
        <v>-</v>
      </c>
    </row>
    <row r="13213" customHeight="1" spans="2:2">
      <c r="B13213" s="62" t="str">
        <f>IF(AND('领用录入（明细）'!D:D=$F$4,'领用录入（明细）'!C:C&gt;=$J$4,'领用录入（明细）'!C:C&lt;=$L$4),ROW(),"-")</f>
        <v>-</v>
      </c>
    </row>
    <row r="13214" customHeight="1" spans="2:2">
      <c r="B13214" s="62" t="str">
        <f>IF(AND('领用录入（明细）'!D:D=$F$4,'领用录入（明细）'!C:C&gt;=$J$4,'领用录入（明细）'!C:C&lt;=$L$4),ROW(),"-")</f>
        <v>-</v>
      </c>
    </row>
    <row r="13215" customHeight="1" spans="2:2">
      <c r="B13215" s="62" t="str">
        <f>IF(AND('领用录入（明细）'!D:D=$F$4,'领用录入（明细）'!C:C&gt;=$J$4,'领用录入（明细）'!C:C&lt;=$L$4),ROW(),"-")</f>
        <v>-</v>
      </c>
    </row>
    <row r="13216" customHeight="1" spans="2:2">
      <c r="B13216" s="62" t="str">
        <f>IF(AND('领用录入（明细）'!D:D=$F$4,'领用录入（明细）'!C:C&gt;=$J$4,'领用录入（明细）'!C:C&lt;=$L$4),ROW(),"-")</f>
        <v>-</v>
      </c>
    </row>
    <row r="13217" customHeight="1" spans="2:2">
      <c r="B13217" s="62" t="str">
        <f>IF(AND('领用录入（明细）'!D:D=$F$4,'领用录入（明细）'!C:C&gt;=$J$4,'领用录入（明细）'!C:C&lt;=$L$4),ROW(),"-")</f>
        <v>-</v>
      </c>
    </row>
    <row r="13218" customHeight="1" spans="2:2">
      <c r="B13218" s="62" t="str">
        <f>IF(AND('领用录入（明细）'!D:D=$F$4,'领用录入（明细）'!C:C&gt;=$J$4,'领用录入（明细）'!C:C&lt;=$L$4),ROW(),"-")</f>
        <v>-</v>
      </c>
    </row>
    <row r="13219" customHeight="1" spans="2:2">
      <c r="B13219" s="62" t="str">
        <f>IF(AND('领用录入（明细）'!D:D=$F$4,'领用录入（明细）'!C:C&gt;=$J$4,'领用录入（明细）'!C:C&lt;=$L$4),ROW(),"-")</f>
        <v>-</v>
      </c>
    </row>
    <row r="13220" customHeight="1" spans="2:2">
      <c r="B13220" s="62" t="str">
        <f>IF(AND('领用录入（明细）'!D:D=$F$4,'领用录入（明细）'!C:C&gt;=$J$4,'领用录入（明细）'!C:C&lt;=$L$4),ROW(),"-")</f>
        <v>-</v>
      </c>
    </row>
    <row r="13221" customHeight="1" spans="2:2">
      <c r="B13221" s="62" t="str">
        <f>IF(AND('领用录入（明细）'!D:D=$F$4,'领用录入（明细）'!C:C&gt;=$J$4,'领用录入（明细）'!C:C&lt;=$L$4),ROW(),"-")</f>
        <v>-</v>
      </c>
    </row>
    <row r="13222" customHeight="1" spans="2:2">
      <c r="B13222" s="62" t="str">
        <f>IF(AND('领用录入（明细）'!D:D=$F$4,'领用录入（明细）'!C:C&gt;=$J$4,'领用录入（明细）'!C:C&lt;=$L$4),ROW(),"-")</f>
        <v>-</v>
      </c>
    </row>
    <row r="13223" customHeight="1" spans="2:2">
      <c r="B13223" s="62" t="str">
        <f>IF(AND('领用录入（明细）'!D:D=$F$4,'领用录入（明细）'!C:C&gt;=$J$4,'领用录入（明细）'!C:C&lt;=$L$4),ROW(),"-")</f>
        <v>-</v>
      </c>
    </row>
    <row r="13224" customHeight="1" spans="2:2">
      <c r="B13224" s="62" t="str">
        <f>IF(AND('领用录入（明细）'!D:D=$F$4,'领用录入（明细）'!C:C&gt;=$J$4,'领用录入（明细）'!C:C&lt;=$L$4),ROW(),"-")</f>
        <v>-</v>
      </c>
    </row>
    <row r="13225" customHeight="1" spans="2:2">
      <c r="B13225" s="62" t="str">
        <f>IF(AND('领用录入（明细）'!D:D=$F$4,'领用录入（明细）'!C:C&gt;=$J$4,'领用录入（明细）'!C:C&lt;=$L$4),ROW(),"-")</f>
        <v>-</v>
      </c>
    </row>
    <row r="13226" customHeight="1" spans="2:2">
      <c r="B13226" s="62" t="str">
        <f>IF(AND('领用录入（明细）'!D:D=$F$4,'领用录入（明细）'!C:C&gt;=$J$4,'领用录入（明细）'!C:C&lt;=$L$4),ROW(),"-")</f>
        <v>-</v>
      </c>
    </row>
    <row r="13227" customHeight="1" spans="2:2">
      <c r="B13227" s="62" t="str">
        <f>IF(AND('领用录入（明细）'!D:D=$F$4,'领用录入（明细）'!C:C&gt;=$J$4,'领用录入（明细）'!C:C&lt;=$L$4),ROW(),"-")</f>
        <v>-</v>
      </c>
    </row>
    <row r="13228" customHeight="1" spans="2:2">
      <c r="B13228" s="62" t="str">
        <f>IF(AND('领用录入（明细）'!D:D=$F$4,'领用录入（明细）'!C:C&gt;=$J$4,'领用录入（明细）'!C:C&lt;=$L$4),ROW(),"-")</f>
        <v>-</v>
      </c>
    </row>
    <row r="13229" customHeight="1" spans="2:2">
      <c r="B13229" s="62" t="str">
        <f>IF(AND('领用录入（明细）'!D:D=$F$4,'领用录入（明细）'!C:C&gt;=$J$4,'领用录入（明细）'!C:C&lt;=$L$4),ROW(),"-")</f>
        <v>-</v>
      </c>
    </row>
    <row r="13230" customHeight="1" spans="2:2">
      <c r="B13230" s="62" t="str">
        <f>IF(AND('领用录入（明细）'!D:D=$F$4,'领用录入（明细）'!C:C&gt;=$J$4,'领用录入（明细）'!C:C&lt;=$L$4),ROW(),"-")</f>
        <v>-</v>
      </c>
    </row>
    <row r="13231" customHeight="1" spans="2:2">
      <c r="B13231" s="62" t="str">
        <f>IF(AND('领用录入（明细）'!D:D=$F$4,'领用录入（明细）'!C:C&gt;=$J$4,'领用录入（明细）'!C:C&lt;=$L$4),ROW(),"-")</f>
        <v>-</v>
      </c>
    </row>
    <row r="13232" customHeight="1" spans="2:2">
      <c r="B13232" s="62" t="str">
        <f>IF(AND('领用录入（明细）'!D:D=$F$4,'领用录入（明细）'!C:C&gt;=$J$4,'领用录入（明细）'!C:C&lt;=$L$4),ROW(),"-")</f>
        <v>-</v>
      </c>
    </row>
    <row r="13233" customHeight="1" spans="2:2">
      <c r="B13233" s="62" t="str">
        <f>IF(AND('领用录入（明细）'!D:D=$F$4,'领用录入（明细）'!C:C&gt;=$J$4,'领用录入（明细）'!C:C&lt;=$L$4),ROW(),"-")</f>
        <v>-</v>
      </c>
    </row>
    <row r="13234" customHeight="1" spans="2:2">
      <c r="B13234" s="62" t="str">
        <f>IF(AND('领用录入（明细）'!D:D=$F$4,'领用录入（明细）'!C:C&gt;=$J$4,'领用录入（明细）'!C:C&lt;=$L$4),ROW(),"-")</f>
        <v>-</v>
      </c>
    </row>
    <row r="13235" customHeight="1" spans="2:2">
      <c r="B13235" s="62" t="str">
        <f>IF(AND('领用录入（明细）'!D:D=$F$4,'领用录入（明细）'!C:C&gt;=$J$4,'领用录入（明细）'!C:C&lt;=$L$4),ROW(),"-")</f>
        <v>-</v>
      </c>
    </row>
    <row r="13236" customHeight="1" spans="2:2">
      <c r="B13236" s="62" t="str">
        <f>IF(AND('领用录入（明细）'!D:D=$F$4,'领用录入（明细）'!C:C&gt;=$J$4,'领用录入（明细）'!C:C&lt;=$L$4),ROW(),"-")</f>
        <v>-</v>
      </c>
    </row>
    <row r="13237" customHeight="1" spans="2:2">
      <c r="B13237" s="62" t="str">
        <f>IF(AND('领用录入（明细）'!D:D=$F$4,'领用录入（明细）'!C:C&gt;=$J$4,'领用录入（明细）'!C:C&lt;=$L$4),ROW(),"-")</f>
        <v>-</v>
      </c>
    </row>
    <row r="13238" customHeight="1" spans="2:2">
      <c r="B13238" s="62" t="str">
        <f>IF(AND('领用录入（明细）'!D:D=$F$4,'领用录入（明细）'!C:C&gt;=$J$4,'领用录入（明细）'!C:C&lt;=$L$4),ROW(),"-")</f>
        <v>-</v>
      </c>
    </row>
    <row r="13239" customHeight="1" spans="2:2">
      <c r="B13239" s="62" t="str">
        <f>IF(AND('领用录入（明细）'!D:D=$F$4,'领用录入（明细）'!C:C&gt;=$J$4,'领用录入（明细）'!C:C&lt;=$L$4),ROW(),"-")</f>
        <v>-</v>
      </c>
    </row>
    <row r="13240" customHeight="1" spans="2:2">
      <c r="B13240" s="62" t="str">
        <f>IF(AND('领用录入（明细）'!D:D=$F$4,'领用录入（明细）'!C:C&gt;=$J$4,'领用录入（明细）'!C:C&lt;=$L$4),ROW(),"-")</f>
        <v>-</v>
      </c>
    </row>
    <row r="13241" customHeight="1" spans="2:2">
      <c r="B13241" s="62" t="str">
        <f>IF(AND('领用录入（明细）'!D:D=$F$4,'领用录入（明细）'!C:C&gt;=$J$4,'领用录入（明细）'!C:C&lt;=$L$4),ROW(),"-")</f>
        <v>-</v>
      </c>
    </row>
    <row r="13242" customHeight="1" spans="2:2">
      <c r="B13242" s="62" t="str">
        <f>IF(AND('领用录入（明细）'!D:D=$F$4,'领用录入（明细）'!C:C&gt;=$J$4,'领用录入（明细）'!C:C&lt;=$L$4),ROW(),"-")</f>
        <v>-</v>
      </c>
    </row>
    <row r="13243" customHeight="1" spans="2:2">
      <c r="B13243" s="62" t="str">
        <f>IF(AND('领用录入（明细）'!D:D=$F$4,'领用录入（明细）'!C:C&gt;=$J$4,'领用录入（明细）'!C:C&lt;=$L$4),ROW(),"-")</f>
        <v>-</v>
      </c>
    </row>
    <row r="13244" customHeight="1" spans="2:2">
      <c r="B13244" s="62" t="str">
        <f>IF(AND('领用录入（明细）'!D:D=$F$4,'领用录入（明细）'!C:C&gt;=$J$4,'领用录入（明细）'!C:C&lt;=$L$4),ROW(),"-")</f>
        <v>-</v>
      </c>
    </row>
    <row r="13245" customHeight="1" spans="2:2">
      <c r="B13245" s="62" t="str">
        <f>IF(AND('领用录入（明细）'!D:D=$F$4,'领用录入（明细）'!C:C&gt;=$J$4,'领用录入（明细）'!C:C&lt;=$L$4),ROW(),"-")</f>
        <v>-</v>
      </c>
    </row>
    <row r="13246" customHeight="1" spans="2:2">
      <c r="B13246" s="62" t="str">
        <f>IF(AND('领用录入（明细）'!D:D=$F$4,'领用录入（明细）'!C:C&gt;=$J$4,'领用录入（明细）'!C:C&lt;=$L$4),ROW(),"-")</f>
        <v>-</v>
      </c>
    </row>
    <row r="13247" customHeight="1" spans="2:2">
      <c r="B13247" s="62" t="str">
        <f>IF(AND('领用录入（明细）'!D:D=$F$4,'领用录入（明细）'!C:C&gt;=$J$4,'领用录入（明细）'!C:C&lt;=$L$4),ROW(),"-")</f>
        <v>-</v>
      </c>
    </row>
    <row r="13248" customHeight="1" spans="2:2">
      <c r="B13248" s="62" t="str">
        <f>IF(AND('领用录入（明细）'!D:D=$F$4,'领用录入（明细）'!C:C&gt;=$J$4,'领用录入（明细）'!C:C&lt;=$L$4),ROW(),"-")</f>
        <v>-</v>
      </c>
    </row>
    <row r="13249" customHeight="1" spans="2:2">
      <c r="B13249" s="62" t="str">
        <f>IF(AND('领用录入（明细）'!D:D=$F$4,'领用录入（明细）'!C:C&gt;=$J$4,'领用录入（明细）'!C:C&lt;=$L$4),ROW(),"-")</f>
        <v>-</v>
      </c>
    </row>
    <row r="13250" customHeight="1" spans="2:2">
      <c r="B13250" s="62" t="str">
        <f>IF(AND('领用录入（明细）'!D:D=$F$4,'领用录入（明细）'!C:C&gt;=$J$4,'领用录入（明细）'!C:C&lt;=$L$4),ROW(),"-")</f>
        <v>-</v>
      </c>
    </row>
    <row r="13251" customHeight="1" spans="2:2">
      <c r="B13251" s="62" t="str">
        <f>IF(AND('领用录入（明细）'!D:D=$F$4,'领用录入（明细）'!C:C&gt;=$J$4,'领用录入（明细）'!C:C&lt;=$L$4),ROW(),"-")</f>
        <v>-</v>
      </c>
    </row>
    <row r="13252" customHeight="1" spans="2:2">
      <c r="B13252" s="62" t="str">
        <f>IF(AND('领用录入（明细）'!D:D=$F$4,'领用录入（明细）'!C:C&gt;=$J$4,'领用录入（明细）'!C:C&lt;=$L$4),ROW(),"-")</f>
        <v>-</v>
      </c>
    </row>
    <row r="13253" customHeight="1" spans="2:2">
      <c r="B13253" s="62" t="str">
        <f>IF(AND('领用录入（明细）'!D:D=$F$4,'领用录入（明细）'!C:C&gt;=$J$4,'领用录入（明细）'!C:C&lt;=$L$4),ROW(),"-")</f>
        <v>-</v>
      </c>
    </row>
    <row r="13254" customHeight="1" spans="2:2">
      <c r="B13254" s="62" t="str">
        <f>IF(AND('领用录入（明细）'!D:D=$F$4,'领用录入（明细）'!C:C&gt;=$J$4,'领用录入（明细）'!C:C&lt;=$L$4),ROW(),"-")</f>
        <v>-</v>
      </c>
    </row>
    <row r="13255" customHeight="1" spans="2:2">
      <c r="B13255" s="62" t="str">
        <f>IF(AND('领用录入（明细）'!D:D=$F$4,'领用录入（明细）'!C:C&gt;=$J$4,'领用录入（明细）'!C:C&lt;=$L$4),ROW(),"-")</f>
        <v>-</v>
      </c>
    </row>
    <row r="13256" customHeight="1" spans="2:2">
      <c r="B13256" s="62" t="str">
        <f>IF(AND('领用录入（明细）'!D:D=$F$4,'领用录入（明细）'!C:C&gt;=$J$4,'领用录入（明细）'!C:C&lt;=$L$4),ROW(),"-")</f>
        <v>-</v>
      </c>
    </row>
    <row r="13257" customHeight="1" spans="2:2">
      <c r="B13257" s="62" t="str">
        <f>IF(AND('领用录入（明细）'!D:D=$F$4,'领用录入（明细）'!C:C&gt;=$J$4,'领用录入（明细）'!C:C&lt;=$L$4),ROW(),"-")</f>
        <v>-</v>
      </c>
    </row>
    <row r="13258" customHeight="1" spans="2:2">
      <c r="B13258" s="62" t="str">
        <f>IF(AND('领用录入（明细）'!D:D=$F$4,'领用录入（明细）'!C:C&gt;=$J$4,'领用录入（明细）'!C:C&lt;=$L$4),ROW(),"-")</f>
        <v>-</v>
      </c>
    </row>
    <row r="13259" customHeight="1" spans="2:2">
      <c r="B13259" s="62" t="str">
        <f>IF(AND('领用录入（明细）'!D:D=$F$4,'领用录入（明细）'!C:C&gt;=$J$4,'领用录入（明细）'!C:C&lt;=$L$4),ROW(),"-")</f>
        <v>-</v>
      </c>
    </row>
    <row r="13260" customHeight="1" spans="2:2">
      <c r="B13260" s="62" t="str">
        <f>IF(AND('领用录入（明细）'!D:D=$F$4,'领用录入（明细）'!C:C&gt;=$J$4,'领用录入（明细）'!C:C&lt;=$L$4),ROW(),"-")</f>
        <v>-</v>
      </c>
    </row>
    <row r="13261" customHeight="1" spans="2:2">
      <c r="B13261" s="62" t="str">
        <f>IF(AND('领用录入（明细）'!D:D=$F$4,'领用录入（明细）'!C:C&gt;=$J$4,'领用录入（明细）'!C:C&lt;=$L$4),ROW(),"-")</f>
        <v>-</v>
      </c>
    </row>
    <row r="13262" customHeight="1" spans="2:2">
      <c r="B13262" s="62" t="str">
        <f>IF(AND('领用录入（明细）'!D:D=$F$4,'领用录入（明细）'!C:C&gt;=$J$4,'领用录入（明细）'!C:C&lt;=$L$4),ROW(),"-")</f>
        <v>-</v>
      </c>
    </row>
    <row r="13263" customHeight="1" spans="2:2">
      <c r="B13263" s="62" t="str">
        <f>IF(AND('领用录入（明细）'!D:D=$F$4,'领用录入（明细）'!C:C&gt;=$J$4,'领用录入（明细）'!C:C&lt;=$L$4),ROW(),"-")</f>
        <v>-</v>
      </c>
    </row>
    <row r="13264" customHeight="1" spans="2:2">
      <c r="B13264" s="62" t="str">
        <f>IF(AND('领用录入（明细）'!D:D=$F$4,'领用录入（明细）'!C:C&gt;=$J$4,'领用录入（明细）'!C:C&lt;=$L$4),ROW(),"-")</f>
        <v>-</v>
      </c>
    </row>
    <row r="13265" customHeight="1" spans="2:2">
      <c r="B13265" s="62" t="str">
        <f>IF(AND('领用录入（明细）'!D:D=$F$4,'领用录入（明细）'!C:C&gt;=$J$4,'领用录入（明细）'!C:C&lt;=$L$4),ROW(),"-")</f>
        <v>-</v>
      </c>
    </row>
    <row r="13266" customHeight="1" spans="2:2">
      <c r="B13266" s="62" t="str">
        <f>IF(AND('领用录入（明细）'!D:D=$F$4,'领用录入（明细）'!C:C&gt;=$J$4,'领用录入（明细）'!C:C&lt;=$L$4),ROW(),"-")</f>
        <v>-</v>
      </c>
    </row>
    <row r="13267" customHeight="1" spans="2:2">
      <c r="B13267" s="62" t="str">
        <f>IF(AND('领用录入（明细）'!D:D=$F$4,'领用录入（明细）'!C:C&gt;=$J$4,'领用录入（明细）'!C:C&lt;=$L$4),ROW(),"-")</f>
        <v>-</v>
      </c>
    </row>
    <row r="13268" customHeight="1" spans="2:2">
      <c r="B13268" s="62" t="str">
        <f>IF(AND('领用录入（明细）'!D:D=$F$4,'领用录入（明细）'!C:C&gt;=$J$4,'领用录入（明细）'!C:C&lt;=$L$4),ROW(),"-")</f>
        <v>-</v>
      </c>
    </row>
    <row r="13269" customHeight="1" spans="2:2">
      <c r="B13269" s="62" t="str">
        <f>IF(AND('领用录入（明细）'!D:D=$F$4,'领用录入（明细）'!C:C&gt;=$J$4,'领用录入（明细）'!C:C&lt;=$L$4),ROW(),"-")</f>
        <v>-</v>
      </c>
    </row>
    <row r="13270" customHeight="1" spans="2:2">
      <c r="B13270" s="62" t="str">
        <f>IF(AND('领用录入（明细）'!D:D=$F$4,'领用录入（明细）'!C:C&gt;=$J$4,'领用录入（明细）'!C:C&lt;=$L$4),ROW(),"-")</f>
        <v>-</v>
      </c>
    </row>
    <row r="13271" customHeight="1" spans="2:2">
      <c r="B13271" s="62" t="str">
        <f>IF(AND('领用录入（明细）'!D:D=$F$4,'领用录入（明细）'!C:C&gt;=$J$4,'领用录入（明细）'!C:C&lt;=$L$4),ROW(),"-")</f>
        <v>-</v>
      </c>
    </row>
    <row r="13272" customHeight="1" spans="2:2">
      <c r="B13272" s="62" t="str">
        <f>IF(AND('领用录入（明细）'!D:D=$F$4,'领用录入（明细）'!C:C&gt;=$J$4,'领用录入（明细）'!C:C&lt;=$L$4),ROW(),"-")</f>
        <v>-</v>
      </c>
    </row>
    <row r="13273" customHeight="1" spans="2:2">
      <c r="B13273" s="62" t="str">
        <f>IF(AND('领用录入（明细）'!D:D=$F$4,'领用录入（明细）'!C:C&gt;=$J$4,'领用录入（明细）'!C:C&lt;=$L$4),ROW(),"-")</f>
        <v>-</v>
      </c>
    </row>
    <row r="13274" customHeight="1" spans="2:2">
      <c r="B13274" s="62" t="str">
        <f>IF(AND('领用录入（明细）'!D:D=$F$4,'领用录入（明细）'!C:C&gt;=$J$4,'领用录入（明细）'!C:C&lt;=$L$4),ROW(),"-")</f>
        <v>-</v>
      </c>
    </row>
    <row r="13275" customHeight="1" spans="2:2">
      <c r="B13275" s="62" t="str">
        <f>IF(AND('领用录入（明细）'!D:D=$F$4,'领用录入（明细）'!C:C&gt;=$J$4,'领用录入（明细）'!C:C&lt;=$L$4),ROW(),"-")</f>
        <v>-</v>
      </c>
    </row>
    <row r="13276" customHeight="1" spans="2:2">
      <c r="B13276" s="62" t="str">
        <f>IF(AND('领用录入（明细）'!D:D=$F$4,'领用录入（明细）'!C:C&gt;=$J$4,'领用录入（明细）'!C:C&lt;=$L$4),ROW(),"-")</f>
        <v>-</v>
      </c>
    </row>
    <row r="13277" customHeight="1" spans="2:2">
      <c r="B13277" s="62" t="str">
        <f>IF(AND('领用录入（明细）'!D:D=$F$4,'领用录入（明细）'!C:C&gt;=$J$4,'领用录入（明细）'!C:C&lt;=$L$4),ROW(),"-")</f>
        <v>-</v>
      </c>
    </row>
    <row r="13278" customHeight="1" spans="2:2">
      <c r="B13278" s="62" t="str">
        <f>IF(AND('领用录入（明细）'!D:D=$F$4,'领用录入（明细）'!C:C&gt;=$J$4,'领用录入（明细）'!C:C&lt;=$L$4),ROW(),"-")</f>
        <v>-</v>
      </c>
    </row>
    <row r="13279" customHeight="1" spans="2:2">
      <c r="B13279" s="62" t="str">
        <f>IF(AND('领用录入（明细）'!D:D=$F$4,'领用录入（明细）'!C:C&gt;=$J$4,'领用录入（明细）'!C:C&lt;=$L$4),ROW(),"-")</f>
        <v>-</v>
      </c>
    </row>
    <row r="13280" customHeight="1" spans="2:2">
      <c r="B13280" s="62" t="str">
        <f>IF(AND('领用录入（明细）'!D:D=$F$4,'领用录入（明细）'!C:C&gt;=$J$4,'领用录入（明细）'!C:C&lt;=$L$4),ROW(),"-")</f>
        <v>-</v>
      </c>
    </row>
    <row r="13281" customHeight="1" spans="2:2">
      <c r="B13281" s="62" t="str">
        <f>IF(AND('领用录入（明细）'!D:D=$F$4,'领用录入（明细）'!C:C&gt;=$J$4,'领用录入（明细）'!C:C&lt;=$L$4),ROW(),"-")</f>
        <v>-</v>
      </c>
    </row>
    <row r="13282" customHeight="1" spans="2:2">
      <c r="B13282" s="62" t="str">
        <f>IF(AND('领用录入（明细）'!D:D=$F$4,'领用录入（明细）'!C:C&gt;=$J$4,'领用录入（明细）'!C:C&lt;=$L$4),ROW(),"-")</f>
        <v>-</v>
      </c>
    </row>
    <row r="13283" customHeight="1" spans="2:2">
      <c r="B13283" s="62" t="str">
        <f>IF(AND('领用录入（明细）'!D:D=$F$4,'领用录入（明细）'!C:C&gt;=$J$4,'领用录入（明细）'!C:C&lt;=$L$4),ROW(),"-")</f>
        <v>-</v>
      </c>
    </row>
    <row r="13284" customHeight="1" spans="2:2">
      <c r="B13284" s="62" t="str">
        <f>IF(AND('领用录入（明细）'!D:D=$F$4,'领用录入（明细）'!C:C&gt;=$J$4,'领用录入（明细）'!C:C&lt;=$L$4),ROW(),"-")</f>
        <v>-</v>
      </c>
    </row>
    <row r="13285" customHeight="1" spans="2:2">
      <c r="B13285" s="62" t="str">
        <f>IF(AND('领用录入（明细）'!D:D=$F$4,'领用录入（明细）'!C:C&gt;=$J$4,'领用录入（明细）'!C:C&lt;=$L$4),ROW(),"-")</f>
        <v>-</v>
      </c>
    </row>
    <row r="13286" customHeight="1" spans="2:2">
      <c r="B13286" s="62" t="str">
        <f>IF(AND('领用录入（明细）'!D:D=$F$4,'领用录入（明细）'!C:C&gt;=$J$4,'领用录入（明细）'!C:C&lt;=$L$4),ROW(),"-")</f>
        <v>-</v>
      </c>
    </row>
    <row r="13287" customHeight="1" spans="2:2">
      <c r="B13287" s="62" t="str">
        <f>IF(AND('领用录入（明细）'!D:D=$F$4,'领用录入（明细）'!C:C&gt;=$J$4,'领用录入（明细）'!C:C&lt;=$L$4),ROW(),"-")</f>
        <v>-</v>
      </c>
    </row>
    <row r="13288" customHeight="1" spans="2:2">
      <c r="B13288" s="62" t="str">
        <f>IF(AND('领用录入（明细）'!D:D=$F$4,'领用录入（明细）'!C:C&gt;=$J$4,'领用录入（明细）'!C:C&lt;=$L$4),ROW(),"-")</f>
        <v>-</v>
      </c>
    </row>
    <row r="13289" customHeight="1" spans="2:2">
      <c r="B13289" s="62" t="str">
        <f>IF(AND('领用录入（明细）'!D:D=$F$4,'领用录入（明细）'!C:C&gt;=$J$4,'领用录入（明细）'!C:C&lt;=$L$4),ROW(),"-")</f>
        <v>-</v>
      </c>
    </row>
    <row r="13290" customHeight="1" spans="2:2">
      <c r="B13290" s="62" t="str">
        <f>IF(AND('领用录入（明细）'!D:D=$F$4,'领用录入（明细）'!C:C&gt;=$J$4,'领用录入（明细）'!C:C&lt;=$L$4),ROW(),"-")</f>
        <v>-</v>
      </c>
    </row>
    <row r="13291" customHeight="1" spans="2:2">
      <c r="B13291" s="62" t="str">
        <f>IF(AND('领用录入（明细）'!D:D=$F$4,'领用录入（明细）'!C:C&gt;=$J$4,'领用录入（明细）'!C:C&lt;=$L$4),ROW(),"-")</f>
        <v>-</v>
      </c>
    </row>
    <row r="13292" customHeight="1" spans="2:2">
      <c r="B13292" s="62" t="str">
        <f>IF(AND('领用录入（明细）'!D:D=$F$4,'领用录入（明细）'!C:C&gt;=$J$4,'领用录入（明细）'!C:C&lt;=$L$4),ROW(),"-")</f>
        <v>-</v>
      </c>
    </row>
    <row r="13293" customHeight="1" spans="2:2">
      <c r="B13293" s="62" t="str">
        <f>IF(AND('领用录入（明细）'!D:D=$F$4,'领用录入（明细）'!C:C&gt;=$J$4,'领用录入（明细）'!C:C&lt;=$L$4),ROW(),"-")</f>
        <v>-</v>
      </c>
    </row>
    <row r="13294" customHeight="1" spans="2:2">
      <c r="B13294" s="62" t="str">
        <f>IF(AND('领用录入（明细）'!D:D=$F$4,'领用录入（明细）'!C:C&gt;=$J$4,'领用录入（明细）'!C:C&lt;=$L$4),ROW(),"-")</f>
        <v>-</v>
      </c>
    </row>
    <row r="13295" customHeight="1" spans="2:2">
      <c r="B13295" s="62" t="str">
        <f>IF(AND('领用录入（明细）'!D:D=$F$4,'领用录入（明细）'!C:C&gt;=$J$4,'领用录入（明细）'!C:C&lt;=$L$4),ROW(),"-")</f>
        <v>-</v>
      </c>
    </row>
    <row r="13296" customHeight="1" spans="2:2">
      <c r="B13296" s="62" t="str">
        <f>IF(AND('领用录入（明细）'!D:D=$F$4,'领用录入（明细）'!C:C&gt;=$J$4,'领用录入（明细）'!C:C&lt;=$L$4),ROW(),"-")</f>
        <v>-</v>
      </c>
    </row>
    <row r="13297" customHeight="1" spans="2:2">
      <c r="B13297" s="62" t="str">
        <f>IF(AND('领用录入（明细）'!D:D=$F$4,'领用录入（明细）'!C:C&gt;=$J$4,'领用录入（明细）'!C:C&lt;=$L$4),ROW(),"-")</f>
        <v>-</v>
      </c>
    </row>
    <row r="13298" customHeight="1" spans="2:2">
      <c r="B13298" s="62" t="str">
        <f>IF(AND('领用录入（明细）'!D:D=$F$4,'领用录入（明细）'!C:C&gt;=$J$4,'领用录入（明细）'!C:C&lt;=$L$4),ROW(),"-")</f>
        <v>-</v>
      </c>
    </row>
    <row r="13299" customHeight="1" spans="2:2">
      <c r="B13299" s="62" t="str">
        <f>IF(AND('领用录入（明细）'!D:D=$F$4,'领用录入（明细）'!C:C&gt;=$J$4,'领用录入（明细）'!C:C&lt;=$L$4),ROW(),"-")</f>
        <v>-</v>
      </c>
    </row>
    <row r="13300" customHeight="1" spans="2:2">
      <c r="B13300" s="62" t="str">
        <f>IF(AND('领用录入（明细）'!D:D=$F$4,'领用录入（明细）'!C:C&gt;=$J$4,'领用录入（明细）'!C:C&lt;=$L$4),ROW(),"-")</f>
        <v>-</v>
      </c>
    </row>
    <row r="13301" customHeight="1" spans="2:2">
      <c r="B13301" s="62" t="str">
        <f>IF(AND('领用录入（明细）'!D:D=$F$4,'领用录入（明细）'!C:C&gt;=$J$4,'领用录入（明细）'!C:C&lt;=$L$4),ROW(),"-")</f>
        <v>-</v>
      </c>
    </row>
    <row r="13302" customHeight="1" spans="2:2">
      <c r="B13302" s="62" t="str">
        <f>IF(AND('领用录入（明细）'!D:D=$F$4,'领用录入（明细）'!C:C&gt;=$J$4,'领用录入（明细）'!C:C&lt;=$L$4),ROW(),"-")</f>
        <v>-</v>
      </c>
    </row>
    <row r="13303" customHeight="1" spans="2:2">
      <c r="B13303" s="62" t="str">
        <f>IF(AND('领用录入（明细）'!D:D=$F$4,'领用录入（明细）'!C:C&gt;=$J$4,'领用录入（明细）'!C:C&lt;=$L$4),ROW(),"-")</f>
        <v>-</v>
      </c>
    </row>
    <row r="13304" customHeight="1" spans="2:2">
      <c r="B13304" s="62" t="str">
        <f>IF(AND('领用录入（明细）'!D:D=$F$4,'领用录入（明细）'!C:C&gt;=$J$4,'领用录入（明细）'!C:C&lt;=$L$4),ROW(),"-")</f>
        <v>-</v>
      </c>
    </row>
    <row r="13305" customHeight="1" spans="2:2">
      <c r="B13305" s="62" t="str">
        <f>IF(AND('领用录入（明细）'!D:D=$F$4,'领用录入（明细）'!C:C&gt;=$J$4,'领用录入（明细）'!C:C&lt;=$L$4),ROW(),"-")</f>
        <v>-</v>
      </c>
    </row>
    <row r="13306" customHeight="1" spans="2:2">
      <c r="B13306" s="62" t="str">
        <f>IF(AND('领用录入（明细）'!D:D=$F$4,'领用录入（明细）'!C:C&gt;=$J$4,'领用录入（明细）'!C:C&lt;=$L$4),ROW(),"-")</f>
        <v>-</v>
      </c>
    </row>
    <row r="13307" customHeight="1" spans="2:2">
      <c r="B13307" s="62" t="str">
        <f>IF(AND('领用录入（明细）'!D:D=$F$4,'领用录入（明细）'!C:C&gt;=$J$4,'领用录入（明细）'!C:C&lt;=$L$4),ROW(),"-")</f>
        <v>-</v>
      </c>
    </row>
    <row r="13308" customHeight="1" spans="2:2">
      <c r="B13308" s="62" t="str">
        <f>IF(AND('领用录入（明细）'!D:D=$F$4,'领用录入（明细）'!C:C&gt;=$J$4,'领用录入（明细）'!C:C&lt;=$L$4),ROW(),"-")</f>
        <v>-</v>
      </c>
    </row>
    <row r="13309" customHeight="1" spans="2:2">
      <c r="B13309" s="62" t="str">
        <f>IF(AND('领用录入（明细）'!D:D=$F$4,'领用录入（明细）'!C:C&gt;=$J$4,'领用录入（明细）'!C:C&lt;=$L$4),ROW(),"-")</f>
        <v>-</v>
      </c>
    </row>
    <row r="13310" customHeight="1" spans="2:2">
      <c r="B13310" s="62" t="str">
        <f>IF(AND('领用录入（明细）'!D:D=$F$4,'领用录入（明细）'!C:C&gt;=$J$4,'领用录入（明细）'!C:C&lt;=$L$4),ROW(),"-")</f>
        <v>-</v>
      </c>
    </row>
    <row r="13311" customHeight="1" spans="2:2">
      <c r="B13311" s="62" t="str">
        <f>IF(AND('领用录入（明细）'!D:D=$F$4,'领用录入（明细）'!C:C&gt;=$J$4,'领用录入（明细）'!C:C&lt;=$L$4),ROW(),"-")</f>
        <v>-</v>
      </c>
    </row>
    <row r="13312" customHeight="1" spans="2:2">
      <c r="B13312" s="62" t="str">
        <f>IF(AND('领用录入（明细）'!D:D=$F$4,'领用录入（明细）'!C:C&gt;=$J$4,'领用录入（明细）'!C:C&lt;=$L$4),ROW(),"-")</f>
        <v>-</v>
      </c>
    </row>
    <row r="13313" customHeight="1" spans="2:2">
      <c r="B13313" s="62" t="str">
        <f>IF(AND('领用录入（明细）'!D:D=$F$4,'领用录入（明细）'!C:C&gt;=$J$4,'领用录入（明细）'!C:C&lt;=$L$4),ROW(),"-")</f>
        <v>-</v>
      </c>
    </row>
    <row r="13314" customHeight="1" spans="2:2">
      <c r="B13314" s="62" t="str">
        <f>IF(AND('领用录入（明细）'!D:D=$F$4,'领用录入（明细）'!C:C&gt;=$J$4,'领用录入（明细）'!C:C&lt;=$L$4),ROW(),"-")</f>
        <v>-</v>
      </c>
    </row>
    <row r="13315" customHeight="1" spans="2:2">
      <c r="B13315" s="62" t="str">
        <f>IF(AND('领用录入（明细）'!D:D=$F$4,'领用录入（明细）'!C:C&gt;=$J$4,'领用录入（明细）'!C:C&lt;=$L$4),ROW(),"-")</f>
        <v>-</v>
      </c>
    </row>
    <row r="13316" customHeight="1" spans="2:2">
      <c r="B13316" s="62" t="str">
        <f>IF(AND('领用录入（明细）'!D:D=$F$4,'领用录入（明细）'!C:C&gt;=$J$4,'领用录入（明细）'!C:C&lt;=$L$4),ROW(),"-")</f>
        <v>-</v>
      </c>
    </row>
    <row r="13317" customHeight="1" spans="2:2">
      <c r="B13317" s="62" t="str">
        <f>IF(AND('领用录入（明细）'!D:D=$F$4,'领用录入（明细）'!C:C&gt;=$J$4,'领用录入（明细）'!C:C&lt;=$L$4),ROW(),"-")</f>
        <v>-</v>
      </c>
    </row>
    <row r="13318" customHeight="1" spans="2:2">
      <c r="B13318" s="62" t="str">
        <f>IF(AND('领用录入（明细）'!D:D=$F$4,'领用录入（明细）'!C:C&gt;=$J$4,'领用录入（明细）'!C:C&lt;=$L$4),ROW(),"-")</f>
        <v>-</v>
      </c>
    </row>
    <row r="13319" customHeight="1" spans="2:2">
      <c r="B13319" s="62" t="str">
        <f>IF(AND('领用录入（明细）'!D:D=$F$4,'领用录入（明细）'!C:C&gt;=$J$4,'领用录入（明细）'!C:C&lt;=$L$4),ROW(),"-")</f>
        <v>-</v>
      </c>
    </row>
    <row r="13320" customHeight="1" spans="2:2">
      <c r="B13320" s="62" t="str">
        <f>IF(AND('领用录入（明细）'!D:D=$F$4,'领用录入（明细）'!C:C&gt;=$J$4,'领用录入（明细）'!C:C&lt;=$L$4),ROW(),"-")</f>
        <v>-</v>
      </c>
    </row>
    <row r="13321" customHeight="1" spans="2:2">
      <c r="B13321" s="62" t="str">
        <f>IF(AND('领用录入（明细）'!D:D=$F$4,'领用录入（明细）'!C:C&gt;=$J$4,'领用录入（明细）'!C:C&lt;=$L$4),ROW(),"-")</f>
        <v>-</v>
      </c>
    </row>
    <row r="13322" customHeight="1" spans="2:2">
      <c r="B13322" s="62" t="str">
        <f>IF(AND('领用录入（明细）'!D:D=$F$4,'领用录入（明细）'!C:C&gt;=$J$4,'领用录入（明细）'!C:C&lt;=$L$4),ROW(),"-")</f>
        <v>-</v>
      </c>
    </row>
    <row r="13323" customHeight="1" spans="2:2">
      <c r="B13323" s="62" t="str">
        <f>IF(AND('领用录入（明细）'!D:D=$F$4,'领用录入（明细）'!C:C&gt;=$J$4,'领用录入（明细）'!C:C&lt;=$L$4),ROW(),"-")</f>
        <v>-</v>
      </c>
    </row>
    <row r="13324" customHeight="1" spans="2:2">
      <c r="B13324" s="62" t="str">
        <f>IF(AND('领用录入（明细）'!D:D=$F$4,'领用录入（明细）'!C:C&gt;=$J$4,'领用录入（明细）'!C:C&lt;=$L$4),ROW(),"-")</f>
        <v>-</v>
      </c>
    </row>
    <row r="13325" customHeight="1" spans="2:2">
      <c r="B13325" s="62" t="str">
        <f>IF(AND('领用录入（明细）'!D:D=$F$4,'领用录入（明细）'!C:C&gt;=$J$4,'领用录入（明细）'!C:C&lt;=$L$4),ROW(),"-")</f>
        <v>-</v>
      </c>
    </row>
    <row r="13326" customHeight="1" spans="2:2">
      <c r="B13326" s="62" t="str">
        <f>IF(AND('领用录入（明细）'!D:D=$F$4,'领用录入（明细）'!C:C&gt;=$J$4,'领用录入（明细）'!C:C&lt;=$L$4),ROW(),"-")</f>
        <v>-</v>
      </c>
    </row>
    <row r="13327" customHeight="1" spans="2:2">
      <c r="B13327" s="62" t="str">
        <f>IF(AND('领用录入（明细）'!D:D=$F$4,'领用录入（明细）'!C:C&gt;=$J$4,'领用录入（明细）'!C:C&lt;=$L$4),ROW(),"-")</f>
        <v>-</v>
      </c>
    </row>
    <row r="13328" customHeight="1" spans="2:2">
      <c r="B13328" s="62" t="str">
        <f>IF(AND('领用录入（明细）'!D:D=$F$4,'领用录入（明细）'!C:C&gt;=$J$4,'领用录入（明细）'!C:C&lt;=$L$4),ROW(),"-")</f>
        <v>-</v>
      </c>
    </row>
    <row r="13329" customHeight="1" spans="2:2">
      <c r="B13329" s="62" t="str">
        <f>IF(AND('领用录入（明细）'!D:D=$F$4,'领用录入（明细）'!C:C&gt;=$J$4,'领用录入（明细）'!C:C&lt;=$L$4),ROW(),"-")</f>
        <v>-</v>
      </c>
    </row>
    <row r="13330" customHeight="1" spans="2:2">
      <c r="B13330" s="62" t="str">
        <f>IF(AND('领用录入（明细）'!D:D=$F$4,'领用录入（明细）'!C:C&gt;=$J$4,'领用录入（明细）'!C:C&lt;=$L$4),ROW(),"-")</f>
        <v>-</v>
      </c>
    </row>
    <row r="13331" customHeight="1" spans="2:2">
      <c r="B13331" s="62" t="str">
        <f>IF(AND('领用录入（明细）'!D:D=$F$4,'领用录入（明细）'!C:C&gt;=$J$4,'领用录入（明细）'!C:C&lt;=$L$4),ROW(),"-")</f>
        <v>-</v>
      </c>
    </row>
    <row r="13332" customHeight="1" spans="2:2">
      <c r="B13332" s="62" t="str">
        <f>IF(AND('领用录入（明细）'!D:D=$F$4,'领用录入（明细）'!C:C&gt;=$J$4,'领用录入（明细）'!C:C&lt;=$L$4),ROW(),"-")</f>
        <v>-</v>
      </c>
    </row>
    <row r="13333" customHeight="1" spans="2:2">
      <c r="B13333" s="62" t="str">
        <f>IF(AND('领用录入（明细）'!D:D=$F$4,'领用录入（明细）'!C:C&gt;=$J$4,'领用录入（明细）'!C:C&lt;=$L$4),ROW(),"-")</f>
        <v>-</v>
      </c>
    </row>
    <row r="13334" customHeight="1" spans="2:2">
      <c r="B13334" s="62" t="str">
        <f>IF(AND('领用录入（明细）'!D:D=$F$4,'领用录入（明细）'!C:C&gt;=$J$4,'领用录入（明细）'!C:C&lt;=$L$4),ROW(),"-")</f>
        <v>-</v>
      </c>
    </row>
    <row r="13335" customHeight="1" spans="2:2">
      <c r="B13335" s="62" t="str">
        <f>IF(AND('领用录入（明细）'!D:D=$F$4,'领用录入（明细）'!C:C&gt;=$J$4,'领用录入（明细）'!C:C&lt;=$L$4),ROW(),"-")</f>
        <v>-</v>
      </c>
    </row>
    <row r="13336" customHeight="1" spans="2:2">
      <c r="B13336" s="62" t="str">
        <f>IF(AND('领用录入（明细）'!D:D=$F$4,'领用录入（明细）'!C:C&gt;=$J$4,'领用录入（明细）'!C:C&lt;=$L$4),ROW(),"-")</f>
        <v>-</v>
      </c>
    </row>
    <row r="13337" customHeight="1" spans="2:2">
      <c r="B13337" s="62" t="str">
        <f>IF(AND('领用录入（明细）'!D:D=$F$4,'领用录入（明细）'!C:C&gt;=$J$4,'领用录入（明细）'!C:C&lt;=$L$4),ROW(),"-")</f>
        <v>-</v>
      </c>
    </row>
    <row r="13338" customHeight="1" spans="2:2">
      <c r="B13338" s="62" t="str">
        <f>IF(AND('领用录入（明细）'!D:D=$F$4,'领用录入（明细）'!C:C&gt;=$J$4,'领用录入（明细）'!C:C&lt;=$L$4),ROW(),"-")</f>
        <v>-</v>
      </c>
    </row>
    <row r="13339" customHeight="1" spans="2:2">
      <c r="B13339" s="62" t="str">
        <f>IF(AND('领用录入（明细）'!D:D=$F$4,'领用录入（明细）'!C:C&gt;=$J$4,'领用录入（明细）'!C:C&lt;=$L$4),ROW(),"-")</f>
        <v>-</v>
      </c>
    </row>
    <row r="13340" customHeight="1" spans="2:2">
      <c r="B13340" s="62" t="str">
        <f>IF(AND('领用录入（明细）'!D:D=$F$4,'领用录入（明细）'!C:C&gt;=$J$4,'领用录入（明细）'!C:C&lt;=$L$4),ROW(),"-")</f>
        <v>-</v>
      </c>
    </row>
    <row r="13341" customHeight="1" spans="2:2">
      <c r="B13341" s="62" t="str">
        <f>IF(AND('领用录入（明细）'!D:D=$F$4,'领用录入（明细）'!C:C&gt;=$J$4,'领用录入（明细）'!C:C&lt;=$L$4),ROW(),"-")</f>
        <v>-</v>
      </c>
    </row>
    <row r="13342" customHeight="1" spans="2:2">
      <c r="B13342" s="62" t="str">
        <f>IF(AND('领用录入（明细）'!D:D=$F$4,'领用录入（明细）'!C:C&gt;=$J$4,'领用录入（明细）'!C:C&lt;=$L$4),ROW(),"-")</f>
        <v>-</v>
      </c>
    </row>
    <row r="13343" customHeight="1" spans="2:2">
      <c r="B13343" s="62" t="str">
        <f>IF(AND('领用录入（明细）'!D:D=$F$4,'领用录入（明细）'!C:C&gt;=$J$4,'领用录入（明细）'!C:C&lt;=$L$4),ROW(),"-")</f>
        <v>-</v>
      </c>
    </row>
    <row r="13344" customHeight="1" spans="2:2">
      <c r="B13344" s="62" t="str">
        <f>IF(AND('领用录入（明细）'!D:D=$F$4,'领用录入（明细）'!C:C&gt;=$J$4,'领用录入（明细）'!C:C&lt;=$L$4),ROW(),"-")</f>
        <v>-</v>
      </c>
    </row>
    <row r="13345" customHeight="1" spans="2:2">
      <c r="B13345" s="62" t="str">
        <f>IF(AND('领用录入（明细）'!D:D=$F$4,'领用录入（明细）'!C:C&gt;=$J$4,'领用录入（明细）'!C:C&lt;=$L$4),ROW(),"-")</f>
        <v>-</v>
      </c>
    </row>
    <row r="13346" customHeight="1" spans="2:2">
      <c r="B13346" s="62" t="str">
        <f>IF(AND('领用录入（明细）'!D:D=$F$4,'领用录入（明细）'!C:C&gt;=$J$4,'领用录入（明细）'!C:C&lt;=$L$4),ROW(),"-")</f>
        <v>-</v>
      </c>
    </row>
    <row r="13347" customHeight="1" spans="2:2">
      <c r="B13347" s="62" t="str">
        <f>IF(AND('领用录入（明细）'!D:D=$F$4,'领用录入（明细）'!C:C&gt;=$J$4,'领用录入（明细）'!C:C&lt;=$L$4),ROW(),"-")</f>
        <v>-</v>
      </c>
    </row>
    <row r="13348" customHeight="1" spans="2:2">
      <c r="B13348" s="62" t="str">
        <f>IF(AND('领用录入（明细）'!D:D=$F$4,'领用录入（明细）'!C:C&gt;=$J$4,'领用录入（明细）'!C:C&lt;=$L$4),ROW(),"-")</f>
        <v>-</v>
      </c>
    </row>
    <row r="13349" customHeight="1" spans="2:2">
      <c r="B13349" s="62" t="str">
        <f>IF(AND('领用录入（明细）'!D:D=$F$4,'领用录入（明细）'!C:C&gt;=$J$4,'领用录入（明细）'!C:C&lt;=$L$4),ROW(),"-")</f>
        <v>-</v>
      </c>
    </row>
    <row r="13350" customHeight="1" spans="2:2">
      <c r="B13350" s="62" t="str">
        <f>IF(AND('领用录入（明细）'!D:D=$F$4,'领用录入（明细）'!C:C&gt;=$J$4,'领用录入（明细）'!C:C&lt;=$L$4),ROW(),"-")</f>
        <v>-</v>
      </c>
    </row>
    <row r="13351" customHeight="1" spans="2:2">
      <c r="B13351" s="62" t="str">
        <f>IF(AND('领用录入（明细）'!D:D=$F$4,'领用录入（明细）'!C:C&gt;=$J$4,'领用录入（明细）'!C:C&lt;=$L$4),ROW(),"-")</f>
        <v>-</v>
      </c>
    </row>
    <row r="13352" customHeight="1" spans="2:2">
      <c r="B13352" s="62" t="str">
        <f>IF(AND('领用录入（明细）'!D:D=$F$4,'领用录入（明细）'!C:C&gt;=$J$4,'领用录入（明细）'!C:C&lt;=$L$4),ROW(),"-")</f>
        <v>-</v>
      </c>
    </row>
    <row r="13353" customHeight="1" spans="2:2">
      <c r="B13353" s="62" t="str">
        <f>IF(AND('领用录入（明细）'!D:D=$F$4,'领用录入（明细）'!C:C&gt;=$J$4,'领用录入（明细）'!C:C&lt;=$L$4),ROW(),"-")</f>
        <v>-</v>
      </c>
    </row>
    <row r="13354" customHeight="1" spans="2:2">
      <c r="B13354" s="62" t="str">
        <f>IF(AND('领用录入（明细）'!D:D=$F$4,'领用录入（明细）'!C:C&gt;=$J$4,'领用录入（明细）'!C:C&lt;=$L$4),ROW(),"-")</f>
        <v>-</v>
      </c>
    </row>
    <row r="13355" customHeight="1" spans="2:2">
      <c r="B13355" s="62" t="str">
        <f>IF(AND('领用录入（明细）'!D:D=$F$4,'领用录入（明细）'!C:C&gt;=$J$4,'领用录入（明细）'!C:C&lt;=$L$4),ROW(),"-")</f>
        <v>-</v>
      </c>
    </row>
    <row r="13356" customHeight="1" spans="2:2">
      <c r="B13356" s="62" t="str">
        <f>IF(AND('领用录入（明细）'!D:D=$F$4,'领用录入（明细）'!C:C&gt;=$J$4,'领用录入（明细）'!C:C&lt;=$L$4),ROW(),"-")</f>
        <v>-</v>
      </c>
    </row>
    <row r="13357" customHeight="1" spans="2:2">
      <c r="B13357" s="62" t="str">
        <f>IF(AND('领用录入（明细）'!D:D=$F$4,'领用录入（明细）'!C:C&gt;=$J$4,'领用录入（明细）'!C:C&lt;=$L$4),ROW(),"-")</f>
        <v>-</v>
      </c>
    </row>
    <row r="13358" customHeight="1" spans="2:2">
      <c r="B13358" s="62" t="str">
        <f>IF(AND('领用录入（明细）'!D:D=$F$4,'领用录入（明细）'!C:C&gt;=$J$4,'领用录入（明细）'!C:C&lt;=$L$4),ROW(),"-")</f>
        <v>-</v>
      </c>
    </row>
    <row r="13359" customHeight="1" spans="2:2">
      <c r="B13359" s="62" t="str">
        <f>IF(AND('领用录入（明细）'!D:D=$F$4,'领用录入（明细）'!C:C&gt;=$J$4,'领用录入（明细）'!C:C&lt;=$L$4),ROW(),"-")</f>
        <v>-</v>
      </c>
    </row>
    <row r="13360" customHeight="1" spans="2:2">
      <c r="B13360" s="62" t="str">
        <f>IF(AND('领用录入（明细）'!D:D=$F$4,'领用录入（明细）'!C:C&gt;=$J$4,'领用录入（明细）'!C:C&lt;=$L$4),ROW(),"-")</f>
        <v>-</v>
      </c>
    </row>
    <row r="13361" customHeight="1" spans="2:2">
      <c r="B13361" s="62" t="str">
        <f>IF(AND('领用录入（明细）'!D:D=$F$4,'领用录入（明细）'!C:C&gt;=$J$4,'领用录入（明细）'!C:C&lt;=$L$4),ROW(),"-")</f>
        <v>-</v>
      </c>
    </row>
    <row r="13362" customHeight="1" spans="2:2">
      <c r="B13362" s="62" t="str">
        <f>IF(AND('领用录入（明细）'!D:D=$F$4,'领用录入（明细）'!C:C&gt;=$J$4,'领用录入（明细）'!C:C&lt;=$L$4),ROW(),"-")</f>
        <v>-</v>
      </c>
    </row>
    <row r="13363" customHeight="1" spans="2:2">
      <c r="B13363" s="62" t="str">
        <f>IF(AND('领用录入（明细）'!D:D=$F$4,'领用录入（明细）'!C:C&gt;=$J$4,'领用录入（明细）'!C:C&lt;=$L$4),ROW(),"-")</f>
        <v>-</v>
      </c>
    </row>
    <row r="13364" customHeight="1" spans="2:2">
      <c r="B13364" s="62" t="str">
        <f>IF(AND('领用录入（明细）'!D:D=$F$4,'领用录入（明细）'!C:C&gt;=$J$4,'领用录入（明细）'!C:C&lt;=$L$4),ROW(),"-")</f>
        <v>-</v>
      </c>
    </row>
    <row r="13365" customHeight="1" spans="2:2">
      <c r="B13365" s="62" t="str">
        <f>IF(AND('领用录入（明细）'!D:D=$F$4,'领用录入（明细）'!C:C&gt;=$J$4,'领用录入（明细）'!C:C&lt;=$L$4),ROW(),"-")</f>
        <v>-</v>
      </c>
    </row>
    <row r="13366" customHeight="1" spans="2:2">
      <c r="B13366" s="62" t="str">
        <f>IF(AND('领用录入（明细）'!D:D=$F$4,'领用录入（明细）'!C:C&gt;=$J$4,'领用录入（明细）'!C:C&lt;=$L$4),ROW(),"-")</f>
        <v>-</v>
      </c>
    </row>
    <row r="13367" customHeight="1" spans="2:2">
      <c r="B13367" s="62" t="str">
        <f>IF(AND('领用录入（明细）'!D:D=$F$4,'领用录入（明细）'!C:C&gt;=$J$4,'领用录入（明细）'!C:C&lt;=$L$4),ROW(),"-")</f>
        <v>-</v>
      </c>
    </row>
    <row r="13368" customHeight="1" spans="2:2">
      <c r="B13368" s="62" t="str">
        <f>IF(AND('领用录入（明细）'!D:D=$F$4,'领用录入（明细）'!C:C&gt;=$J$4,'领用录入（明细）'!C:C&lt;=$L$4),ROW(),"-")</f>
        <v>-</v>
      </c>
    </row>
    <row r="13369" customHeight="1" spans="2:2">
      <c r="B13369" s="62" t="str">
        <f>IF(AND('领用录入（明细）'!D:D=$F$4,'领用录入（明细）'!C:C&gt;=$J$4,'领用录入（明细）'!C:C&lt;=$L$4),ROW(),"-")</f>
        <v>-</v>
      </c>
    </row>
    <row r="13370" customHeight="1" spans="2:2">
      <c r="B13370" s="62" t="str">
        <f>IF(AND('领用录入（明细）'!D:D=$F$4,'领用录入（明细）'!C:C&gt;=$J$4,'领用录入（明细）'!C:C&lt;=$L$4),ROW(),"-")</f>
        <v>-</v>
      </c>
    </row>
    <row r="13371" customHeight="1" spans="2:2">
      <c r="B13371" s="62" t="str">
        <f>IF(AND('领用录入（明细）'!D:D=$F$4,'领用录入（明细）'!C:C&gt;=$J$4,'领用录入（明细）'!C:C&lt;=$L$4),ROW(),"-")</f>
        <v>-</v>
      </c>
    </row>
    <row r="13372" customHeight="1" spans="2:2">
      <c r="B13372" s="62" t="str">
        <f>IF(AND('领用录入（明细）'!D:D=$F$4,'领用录入（明细）'!C:C&gt;=$J$4,'领用录入（明细）'!C:C&lt;=$L$4),ROW(),"-")</f>
        <v>-</v>
      </c>
    </row>
    <row r="13373" customHeight="1" spans="2:2">
      <c r="B13373" s="62" t="str">
        <f>IF(AND('领用录入（明细）'!D:D=$F$4,'领用录入（明细）'!C:C&gt;=$J$4,'领用录入（明细）'!C:C&lt;=$L$4),ROW(),"-")</f>
        <v>-</v>
      </c>
    </row>
    <row r="13374" customHeight="1" spans="2:2">
      <c r="B13374" s="62" t="str">
        <f>IF(AND('领用录入（明细）'!D:D=$F$4,'领用录入（明细）'!C:C&gt;=$J$4,'领用录入（明细）'!C:C&lt;=$L$4),ROW(),"-")</f>
        <v>-</v>
      </c>
    </row>
    <row r="13375" customHeight="1" spans="2:2">
      <c r="B13375" s="62" t="str">
        <f>IF(AND('领用录入（明细）'!D:D=$F$4,'领用录入（明细）'!C:C&gt;=$J$4,'领用录入（明细）'!C:C&lt;=$L$4),ROW(),"-")</f>
        <v>-</v>
      </c>
    </row>
    <row r="13376" customHeight="1" spans="2:2">
      <c r="B13376" s="62" t="str">
        <f>IF(AND('领用录入（明细）'!D:D=$F$4,'领用录入（明细）'!C:C&gt;=$J$4,'领用录入（明细）'!C:C&lt;=$L$4),ROW(),"-")</f>
        <v>-</v>
      </c>
    </row>
    <row r="13377" customHeight="1" spans="2:2">
      <c r="B13377" s="62" t="str">
        <f>IF(AND('领用录入（明细）'!D:D=$F$4,'领用录入（明细）'!C:C&gt;=$J$4,'领用录入（明细）'!C:C&lt;=$L$4),ROW(),"-")</f>
        <v>-</v>
      </c>
    </row>
    <row r="13378" customHeight="1" spans="2:2">
      <c r="B13378" s="62" t="str">
        <f>IF(AND('领用录入（明细）'!D:D=$F$4,'领用录入（明细）'!C:C&gt;=$J$4,'领用录入（明细）'!C:C&lt;=$L$4),ROW(),"-")</f>
        <v>-</v>
      </c>
    </row>
    <row r="13379" customHeight="1" spans="2:2">
      <c r="B13379" s="62" t="str">
        <f>IF(AND('领用录入（明细）'!D:D=$F$4,'领用录入（明细）'!C:C&gt;=$J$4,'领用录入（明细）'!C:C&lt;=$L$4),ROW(),"-")</f>
        <v>-</v>
      </c>
    </row>
    <row r="13380" customHeight="1" spans="2:2">
      <c r="B13380" s="62" t="str">
        <f>IF(AND('领用录入（明细）'!D:D=$F$4,'领用录入（明细）'!C:C&gt;=$J$4,'领用录入（明细）'!C:C&lt;=$L$4),ROW(),"-")</f>
        <v>-</v>
      </c>
    </row>
    <row r="13381" customHeight="1" spans="2:2">
      <c r="B13381" s="62" t="str">
        <f>IF(AND('领用录入（明细）'!D:D=$F$4,'领用录入（明细）'!C:C&gt;=$J$4,'领用录入（明细）'!C:C&lt;=$L$4),ROW(),"-")</f>
        <v>-</v>
      </c>
    </row>
    <row r="13382" customHeight="1" spans="2:2">
      <c r="B13382" s="62" t="str">
        <f>IF(AND('领用录入（明细）'!D:D=$F$4,'领用录入（明细）'!C:C&gt;=$J$4,'领用录入（明细）'!C:C&lt;=$L$4),ROW(),"-")</f>
        <v>-</v>
      </c>
    </row>
    <row r="13383" customHeight="1" spans="2:2">
      <c r="B13383" s="62" t="str">
        <f>IF(AND('领用录入（明细）'!D:D=$F$4,'领用录入（明细）'!C:C&gt;=$J$4,'领用录入（明细）'!C:C&lt;=$L$4),ROW(),"-")</f>
        <v>-</v>
      </c>
    </row>
    <row r="13384" customHeight="1" spans="2:2">
      <c r="B13384" s="62" t="str">
        <f>IF(AND('领用录入（明细）'!D:D=$F$4,'领用录入（明细）'!C:C&gt;=$J$4,'领用录入（明细）'!C:C&lt;=$L$4),ROW(),"-")</f>
        <v>-</v>
      </c>
    </row>
    <row r="13385" customHeight="1" spans="2:2">
      <c r="B13385" s="62" t="str">
        <f>IF(AND('领用录入（明细）'!D:D=$F$4,'领用录入（明细）'!C:C&gt;=$J$4,'领用录入（明细）'!C:C&lt;=$L$4),ROW(),"-")</f>
        <v>-</v>
      </c>
    </row>
    <row r="13386" customHeight="1" spans="2:2">
      <c r="B13386" s="62" t="str">
        <f>IF(AND('领用录入（明细）'!D:D=$F$4,'领用录入（明细）'!C:C&gt;=$J$4,'领用录入（明细）'!C:C&lt;=$L$4),ROW(),"-")</f>
        <v>-</v>
      </c>
    </row>
    <row r="13387" customHeight="1" spans="2:2">
      <c r="B13387" s="62" t="str">
        <f>IF(AND('领用录入（明细）'!D:D=$F$4,'领用录入（明细）'!C:C&gt;=$J$4,'领用录入（明细）'!C:C&lt;=$L$4),ROW(),"-")</f>
        <v>-</v>
      </c>
    </row>
    <row r="13388" customHeight="1" spans="2:2">
      <c r="B13388" s="62" t="str">
        <f>IF(AND('领用录入（明细）'!D:D=$F$4,'领用录入（明细）'!C:C&gt;=$J$4,'领用录入（明细）'!C:C&lt;=$L$4),ROW(),"-")</f>
        <v>-</v>
      </c>
    </row>
    <row r="13389" customHeight="1" spans="2:2">
      <c r="B13389" s="62" t="str">
        <f>IF(AND('领用录入（明细）'!D:D=$F$4,'领用录入（明细）'!C:C&gt;=$J$4,'领用录入（明细）'!C:C&lt;=$L$4),ROW(),"-")</f>
        <v>-</v>
      </c>
    </row>
    <row r="13390" customHeight="1" spans="2:2">
      <c r="B13390" s="62" t="str">
        <f>IF(AND('领用录入（明细）'!D:D=$F$4,'领用录入（明细）'!C:C&gt;=$J$4,'领用录入（明细）'!C:C&lt;=$L$4),ROW(),"-")</f>
        <v>-</v>
      </c>
    </row>
    <row r="13391" customHeight="1" spans="2:2">
      <c r="B13391" s="62" t="str">
        <f>IF(AND('领用录入（明细）'!D:D=$F$4,'领用录入（明细）'!C:C&gt;=$J$4,'领用录入（明细）'!C:C&lt;=$L$4),ROW(),"-")</f>
        <v>-</v>
      </c>
    </row>
    <row r="13392" customHeight="1" spans="2:2">
      <c r="B13392" s="62" t="str">
        <f>IF(AND('领用录入（明细）'!D:D=$F$4,'领用录入（明细）'!C:C&gt;=$J$4,'领用录入（明细）'!C:C&lt;=$L$4),ROW(),"-")</f>
        <v>-</v>
      </c>
    </row>
    <row r="13393" customHeight="1" spans="2:2">
      <c r="B13393" s="62" t="str">
        <f>IF(AND('领用录入（明细）'!D:D=$F$4,'领用录入（明细）'!C:C&gt;=$J$4,'领用录入（明细）'!C:C&lt;=$L$4),ROW(),"-")</f>
        <v>-</v>
      </c>
    </row>
    <row r="13394" customHeight="1" spans="2:2">
      <c r="B13394" s="62" t="str">
        <f>IF(AND('领用录入（明细）'!D:D=$F$4,'领用录入（明细）'!C:C&gt;=$J$4,'领用录入（明细）'!C:C&lt;=$L$4),ROW(),"-")</f>
        <v>-</v>
      </c>
    </row>
    <row r="13395" customHeight="1" spans="2:2">
      <c r="B13395" s="62" t="str">
        <f>IF(AND('领用录入（明细）'!D:D=$F$4,'领用录入（明细）'!C:C&gt;=$J$4,'领用录入（明细）'!C:C&lt;=$L$4),ROW(),"-")</f>
        <v>-</v>
      </c>
    </row>
    <row r="13396" customHeight="1" spans="2:2">
      <c r="B13396" s="62" t="str">
        <f>IF(AND('领用录入（明细）'!D:D=$F$4,'领用录入（明细）'!C:C&gt;=$J$4,'领用录入（明细）'!C:C&lt;=$L$4),ROW(),"-")</f>
        <v>-</v>
      </c>
    </row>
    <row r="13397" customHeight="1" spans="2:2">
      <c r="B13397" s="62" t="str">
        <f>IF(AND('领用录入（明细）'!D:D=$F$4,'领用录入（明细）'!C:C&gt;=$J$4,'领用录入（明细）'!C:C&lt;=$L$4),ROW(),"-")</f>
        <v>-</v>
      </c>
    </row>
    <row r="13398" customHeight="1" spans="2:2">
      <c r="B13398" s="62" t="str">
        <f>IF(AND('领用录入（明细）'!D:D=$F$4,'领用录入（明细）'!C:C&gt;=$J$4,'领用录入（明细）'!C:C&lt;=$L$4),ROW(),"-")</f>
        <v>-</v>
      </c>
    </row>
    <row r="13399" customHeight="1" spans="2:2">
      <c r="B13399" s="62" t="str">
        <f>IF(AND('领用录入（明细）'!D:D=$F$4,'领用录入（明细）'!C:C&gt;=$J$4,'领用录入（明细）'!C:C&lt;=$L$4),ROW(),"-")</f>
        <v>-</v>
      </c>
    </row>
    <row r="13400" customHeight="1" spans="2:2">
      <c r="B13400" s="62" t="str">
        <f>IF(AND('领用录入（明细）'!D:D=$F$4,'领用录入（明细）'!C:C&gt;=$J$4,'领用录入（明细）'!C:C&lt;=$L$4),ROW(),"-")</f>
        <v>-</v>
      </c>
    </row>
    <row r="13401" customHeight="1" spans="2:2">
      <c r="B13401" s="62" t="str">
        <f>IF(AND('领用录入（明细）'!D:D=$F$4,'领用录入（明细）'!C:C&gt;=$J$4,'领用录入（明细）'!C:C&lt;=$L$4),ROW(),"-")</f>
        <v>-</v>
      </c>
    </row>
    <row r="13402" customHeight="1" spans="2:2">
      <c r="B13402" s="62" t="str">
        <f>IF(AND('领用录入（明细）'!D:D=$F$4,'领用录入（明细）'!C:C&gt;=$J$4,'领用录入（明细）'!C:C&lt;=$L$4),ROW(),"-")</f>
        <v>-</v>
      </c>
    </row>
    <row r="13403" customHeight="1" spans="2:2">
      <c r="B13403" s="62" t="str">
        <f>IF(AND('领用录入（明细）'!D:D=$F$4,'领用录入（明细）'!C:C&gt;=$J$4,'领用录入（明细）'!C:C&lt;=$L$4),ROW(),"-")</f>
        <v>-</v>
      </c>
    </row>
    <row r="13404" customHeight="1" spans="2:2">
      <c r="B13404" s="62" t="str">
        <f>IF(AND('领用录入（明细）'!D:D=$F$4,'领用录入（明细）'!C:C&gt;=$J$4,'领用录入（明细）'!C:C&lt;=$L$4),ROW(),"-")</f>
        <v>-</v>
      </c>
    </row>
    <row r="13405" customHeight="1" spans="2:2">
      <c r="B13405" s="62" t="str">
        <f>IF(AND('领用录入（明细）'!D:D=$F$4,'领用录入（明细）'!C:C&gt;=$J$4,'领用录入（明细）'!C:C&lt;=$L$4),ROW(),"-")</f>
        <v>-</v>
      </c>
    </row>
    <row r="13406" customHeight="1" spans="2:2">
      <c r="B13406" s="62" t="str">
        <f>IF(AND('领用录入（明细）'!D:D=$F$4,'领用录入（明细）'!C:C&gt;=$J$4,'领用录入（明细）'!C:C&lt;=$L$4),ROW(),"-")</f>
        <v>-</v>
      </c>
    </row>
    <row r="13407" customHeight="1" spans="2:2">
      <c r="B13407" s="62" t="str">
        <f>IF(AND('领用录入（明细）'!D:D=$F$4,'领用录入（明细）'!C:C&gt;=$J$4,'领用录入（明细）'!C:C&lt;=$L$4),ROW(),"-")</f>
        <v>-</v>
      </c>
    </row>
    <row r="13408" customHeight="1" spans="2:2">
      <c r="B13408" s="62" t="str">
        <f>IF(AND('领用录入（明细）'!D:D=$F$4,'领用录入（明细）'!C:C&gt;=$J$4,'领用录入（明细）'!C:C&lt;=$L$4),ROW(),"-")</f>
        <v>-</v>
      </c>
    </row>
    <row r="13409" customHeight="1" spans="2:2">
      <c r="B13409" s="62" t="str">
        <f>IF(AND('领用录入（明细）'!D:D=$F$4,'领用录入（明细）'!C:C&gt;=$J$4,'领用录入（明细）'!C:C&lt;=$L$4),ROW(),"-")</f>
        <v>-</v>
      </c>
    </row>
    <row r="13410" customHeight="1" spans="2:2">
      <c r="B13410" s="62" t="str">
        <f>IF(AND('领用录入（明细）'!D:D=$F$4,'领用录入（明细）'!C:C&gt;=$J$4,'领用录入（明细）'!C:C&lt;=$L$4),ROW(),"-")</f>
        <v>-</v>
      </c>
    </row>
    <row r="13411" customHeight="1" spans="2:2">
      <c r="B13411" s="62" t="str">
        <f>IF(AND('领用录入（明细）'!D:D=$F$4,'领用录入（明细）'!C:C&gt;=$J$4,'领用录入（明细）'!C:C&lt;=$L$4),ROW(),"-")</f>
        <v>-</v>
      </c>
    </row>
    <row r="13412" customHeight="1" spans="2:2">
      <c r="B13412" s="62" t="str">
        <f>IF(AND('领用录入（明细）'!D:D=$F$4,'领用录入（明细）'!C:C&gt;=$J$4,'领用录入（明细）'!C:C&lt;=$L$4),ROW(),"-")</f>
        <v>-</v>
      </c>
    </row>
    <row r="13413" customHeight="1" spans="2:2">
      <c r="B13413" s="62" t="str">
        <f>IF(AND('领用录入（明细）'!D:D=$F$4,'领用录入（明细）'!C:C&gt;=$J$4,'领用录入（明细）'!C:C&lt;=$L$4),ROW(),"-")</f>
        <v>-</v>
      </c>
    </row>
    <row r="13414" customHeight="1" spans="2:2">
      <c r="B13414" s="62" t="str">
        <f>IF(AND('领用录入（明细）'!D:D=$F$4,'领用录入（明细）'!C:C&gt;=$J$4,'领用录入（明细）'!C:C&lt;=$L$4),ROW(),"-")</f>
        <v>-</v>
      </c>
    </row>
    <row r="13415" customHeight="1" spans="2:2">
      <c r="B13415" s="62" t="str">
        <f>IF(AND('领用录入（明细）'!D:D=$F$4,'领用录入（明细）'!C:C&gt;=$J$4,'领用录入（明细）'!C:C&lt;=$L$4),ROW(),"-")</f>
        <v>-</v>
      </c>
    </row>
    <row r="13416" customHeight="1" spans="2:2">
      <c r="B13416" s="62" t="str">
        <f>IF(AND('领用录入（明细）'!D:D=$F$4,'领用录入（明细）'!C:C&gt;=$J$4,'领用录入（明细）'!C:C&lt;=$L$4),ROW(),"-")</f>
        <v>-</v>
      </c>
    </row>
    <row r="13417" customHeight="1" spans="2:2">
      <c r="B13417" s="62" t="str">
        <f>IF(AND('领用录入（明细）'!D:D=$F$4,'领用录入（明细）'!C:C&gt;=$J$4,'领用录入（明细）'!C:C&lt;=$L$4),ROW(),"-")</f>
        <v>-</v>
      </c>
    </row>
    <row r="13418" customHeight="1" spans="2:2">
      <c r="B13418" s="62" t="str">
        <f>IF(AND('领用录入（明细）'!D:D=$F$4,'领用录入（明细）'!C:C&gt;=$J$4,'领用录入（明细）'!C:C&lt;=$L$4),ROW(),"-")</f>
        <v>-</v>
      </c>
    </row>
    <row r="13419" customHeight="1" spans="2:2">
      <c r="B13419" s="62" t="str">
        <f>IF(AND('领用录入（明细）'!D:D=$F$4,'领用录入（明细）'!C:C&gt;=$J$4,'领用录入（明细）'!C:C&lt;=$L$4),ROW(),"-")</f>
        <v>-</v>
      </c>
    </row>
    <row r="13420" customHeight="1" spans="2:2">
      <c r="B13420" s="62" t="str">
        <f>IF(AND('领用录入（明细）'!D:D=$F$4,'领用录入（明细）'!C:C&gt;=$J$4,'领用录入（明细）'!C:C&lt;=$L$4),ROW(),"-")</f>
        <v>-</v>
      </c>
    </row>
    <row r="13421" customHeight="1" spans="2:2">
      <c r="B13421" s="62" t="str">
        <f>IF(AND('领用录入（明细）'!D:D=$F$4,'领用录入（明细）'!C:C&gt;=$J$4,'领用录入（明细）'!C:C&lt;=$L$4),ROW(),"-")</f>
        <v>-</v>
      </c>
    </row>
    <row r="13422" customHeight="1" spans="2:2">
      <c r="B13422" s="62" t="str">
        <f>IF(AND('领用录入（明细）'!D:D=$F$4,'领用录入（明细）'!C:C&gt;=$J$4,'领用录入（明细）'!C:C&lt;=$L$4),ROW(),"-")</f>
        <v>-</v>
      </c>
    </row>
    <row r="13423" customHeight="1" spans="2:2">
      <c r="B13423" s="62" t="str">
        <f>IF(AND('领用录入（明细）'!D:D=$F$4,'领用录入（明细）'!C:C&gt;=$J$4,'领用录入（明细）'!C:C&lt;=$L$4),ROW(),"-")</f>
        <v>-</v>
      </c>
    </row>
    <row r="13424" customHeight="1" spans="2:2">
      <c r="B13424" s="62" t="str">
        <f>IF(AND('领用录入（明细）'!D:D=$F$4,'领用录入（明细）'!C:C&gt;=$J$4,'领用录入（明细）'!C:C&lt;=$L$4),ROW(),"-")</f>
        <v>-</v>
      </c>
    </row>
    <row r="13425" customHeight="1" spans="2:2">
      <c r="B13425" s="62" t="str">
        <f>IF(AND('领用录入（明细）'!D:D=$F$4,'领用录入（明细）'!C:C&gt;=$J$4,'领用录入（明细）'!C:C&lt;=$L$4),ROW(),"-")</f>
        <v>-</v>
      </c>
    </row>
    <row r="13426" customHeight="1" spans="2:2">
      <c r="B13426" s="62" t="str">
        <f>IF(AND('领用录入（明细）'!D:D=$F$4,'领用录入（明细）'!C:C&gt;=$J$4,'领用录入（明细）'!C:C&lt;=$L$4),ROW(),"-")</f>
        <v>-</v>
      </c>
    </row>
    <row r="13427" customHeight="1" spans="2:2">
      <c r="B13427" s="62" t="str">
        <f>IF(AND('领用录入（明细）'!D:D=$F$4,'领用录入（明细）'!C:C&gt;=$J$4,'领用录入（明细）'!C:C&lt;=$L$4),ROW(),"-")</f>
        <v>-</v>
      </c>
    </row>
    <row r="13428" customHeight="1" spans="2:2">
      <c r="B13428" s="62" t="str">
        <f>IF(AND('领用录入（明细）'!D:D=$F$4,'领用录入（明细）'!C:C&gt;=$J$4,'领用录入（明细）'!C:C&lt;=$L$4),ROW(),"-")</f>
        <v>-</v>
      </c>
    </row>
    <row r="13429" customHeight="1" spans="2:2">
      <c r="B13429" s="62" t="str">
        <f>IF(AND('领用录入（明细）'!D:D=$F$4,'领用录入（明细）'!C:C&gt;=$J$4,'领用录入（明细）'!C:C&lt;=$L$4),ROW(),"-")</f>
        <v>-</v>
      </c>
    </row>
    <row r="13430" customHeight="1" spans="2:2">
      <c r="B13430" s="62" t="str">
        <f>IF(AND('领用录入（明细）'!D:D=$F$4,'领用录入（明细）'!C:C&gt;=$J$4,'领用录入（明细）'!C:C&lt;=$L$4),ROW(),"-")</f>
        <v>-</v>
      </c>
    </row>
    <row r="13431" customHeight="1" spans="2:2">
      <c r="B13431" s="62" t="str">
        <f>IF(AND('领用录入（明细）'!D:D=$F$4,'领用录入（明细）'!C:C&gt;=$J$4,'领用录入（明细）'!C:C&lt;=$L$4),ROW(),"-")</f>
        <v>-</v>
      </c>
    </row>
    <row r="13432" customHeight="1" spans="2:2">
      <c r="B13432" s="62" t="str">
        <f>IF(AND('领用录入（明细）'!D:D=$F$4,'领用录入（明细）'!C:C&gt;=$J$4,'领用录入（明细）'!C:C&lt;=$L$4),ROW(),"-")</f>
        <v>-</v>
      </c>
    </row>
    <row r="13433" customHeight="1" spans="2:2">
      <c r="B13433" s="62" t="str">
        <f>IF(AND('领用录入（明细）'!D:D=$F$4,'领用录入（明细）'!C:C&gt;=$J$4,'领用录入（明细）'!C:C&lt;=$L$4),ROW(),"-")</f>
        <v>-</v>
      </c>
    </row>
    <row r="13434" customHeight="1" spans="2:2">
      <c r="B13434" s="62" t="str">
        <f>IF(AND('领用录入（明细）'!D:D=$F$4,'领用录入（明细）'!C:C&gt;=$J$4,'领用录入（明细）'!C:C&lt;=$L$4),ROW(),"-")</f>
        <v>-</v>
      </c>
    </row>
    <row r="13435" customHeight="1" spans="2:2">
      <c r="B13435" s="62" t="str">
        <f>IF(AND('领用录入（明细）'!D:D=$F$4,'领用录入（明细）'!C:C&gt;=$J$4,'领用录入（明细）'!C:C&lt;=$L$4),ROW(),"-")</f>
        <v>-</v>
      </c>
    </row>
    <row r="13436" customHeight="1" spans="2:2">
      <c r="B13436" s="62" t="str">
        <f>IF(AND('领用录入（明细）'!D:D=$F$4,'领用录入（明细）'!C:C&gt;=$J$4,'领用录入（明细）'!C:C&lt;=$L$4),ROW(),"-")</f>
        <v>-</v>
      </c>
    </row>
    <row r="13437" customHeight="1" spans="2:2">
      <c r="B13437" s="62" t="str">
        <f>IF(AND('领用录入（明细）'!D:D=$F$4,'领用录入（明细）'!C:C&gt;=$J$4,'领用录入（明细）'!C:C&lt;=$L$4),ROW(),"-")</f>
        <v>-</v>
      </c>
    </row>
    <row r="13438" customHeight="1" spans="2:2">
      <c r="B13438" s="62" t="str">
        <f>IF(AND('领用录入（明细）'!D:D=$F$4,'领用录入（明细）'!C:C&gt;=$J$4,'领用录入（明细）'!C:C&lt;=$L$4),ROW(),"-")</f>
        <v>-</v>
      </c>
    </row>
    <row r="13439" customHeight="1" spans="2:2">
      <c r="B13439" s="62" t="str">
        <f>IF(AND('领用录入（明细）'!D:D=$F$4,'领用录入（明细）'!C:C&gt;=$J$4,'领用录入（明细）'!C:C&lt;=$L$4),ROW(),"-")</f>
        <v>-</v>
      </c>
    </row>
    <row r="13440" customHeight="1" spans="2:2">
      <c r="B13440" s="62" t="str">
        <f>IF(AND('领用录入（明细）'!D:D=$F$4,'领用录入（明细）'!C:C&gt;=$J$4,'领用录入（明细）'!C:C&lt;=$L$4),ROW(),"-")</f>
        <v>-</v>
      </c>
    </row>
    <row r="13441" customHeight="1" spans="2:2">
      <c r="B13441" s="62" t="str">
        <f>IF(AND('领用录入（明细）'!D:D=$F$4,'领用录入（明细）'!C:C&gt;=$J$4,'领用录入（明细）'!C:C&lt;=$L$4),ROW(),"-")</f>
        <v>-</v>
      </c>
    </row>
    <row r="13442" customHeight="1" spans="2:2">
      <c r="B13442" s="62" t="str">
        <f>IF(AND('领用录入（明细）'!D:D=$F$4,'领用录入（明细）'!C:C&gt;=$J$4,'领用录入（明细）'!C:C&lt;=$L$4),ROW(),"-")</f>
        <v>-</v>
      </c>
    </row>
    <row r="13443" customHeight="1" spans="2:2">
      <c r="B13443" s="62" t="str">
        <f>IF(AND('领用录入（明细）'!D:D=$F$4,'领用录入（明细）'!C:C&gt;=$J$4,'领用录入（明细）'!C:C&lt;=$L$4),ROW(),"-")</f>
        <v>-</v>
      </c>
    </row>
    <row r="13444" customHeight="1" spans="2:2">
      <c r="B13444" s="62" t="str">
        <f>IF(AND('领用录入（明细）'!D:D=$F$4,'领用录入（明细）'!C:C&gt;=$J$4,'领用录入（明细）'!C:C&lt;=$L$4),ROW(),"-")</f>
        <v>-</v>
      </c>
    </row>
    <row r="13445" customHeight="1" spans="2:2">
      <c r="B13445" s="62" t="str">
        <f>IF(AND('领用录入（明细）'!D:D=$F$4,'领用录入（明细）'!C:C&gt;=$J$4,'领用录入（明细）'!C:C&lt;=$L$4),ROW(),"-")</f>
        <v>-</v>
      </c>
    </row>
    <row r="13446" customHeight="1" spans="2:2">
      <c r="B13446" s="62" t="str">
        <f>IF(AND('领用录入（明细）'!D:D=$F$4,'领用录入（明细）'!C:C&gt;=$J$4,'领用录入（明细）'!C:C&lt;=$L$4),ROW(),"-")</f>
        <v>-</v>
      </c>
    </row>
    <row r="13447" customHeight="1" spans="2:2">
      <c r="B13447" s="62" t="str">
        <f>IF(AND('领用录入（明细）'!D:D=$F$4,'领用录入（明细）'!C:C&gt;=$J$4,'领用录入（明细）'!C:C&lt;=$L$4),ROW(),"-")</f>
        <v>-</v>
      </c>
    </row>
    <row r="13448" customHeight="1" spans="2:2">
      <c r="B13448" s="62" t="str">
        <f>IF(AND('领用录入（明细）'!D:D=$F$4,'领用录入（明细）'!C:C&gt;=$J$4,'领用录入（明细）'!C:C&lt;=$L$4),ROW(),"-")</f>
        <v>-</v>
      </c>
    </row>
    <row r="13449" customHeight="1" spans="2:2">
      <c r="B13449" s="62" t="str">
        <f>IF(AND('领用录入（明细）'!D:D=$F$4,'领用录入（明细）'!C:C&gt;=$J$4,'领用录入（明细）'!C:C&lt;=$L$4),ROW(),"-")</f>
        <v>-</v>
      </c>
    </row>
    <row r="13450" customHeight="1" spans="2:2">
      <c r="B13450" s="62" t="str">
        <f>IF(AND('领用录入（明细）'!D:D=$F$4,'领用录入（明细）'!C:C&gt;=$J$4,'领用录入（明细）'!C:C&lt;=$L$4),ROW(),"-")</f>
        <v>-</v>
      </c>
    </row>
    <row r="13451" customHeight="1" spans="2:2">
      <c r="B13451" s="62" t="str">
        <f>IF(AND('领用录入（明细）'!D:D=$F$4,'领用录入（明细）'!C:C&gt;=$J$4,'领用录入（明细）'!C:C&lt;=$L$4),ROW(),"-")</f>
        <v>-</v>
      </c>
    </row>
    <row r="13452" customHeight="1" spans="2:2">
      <c r="B13452" s="62" t="str">
        <f>IF(AND('领用录入（明细）'!D:D=$F$4,'领用录入（明细）'!C:C&gt;=$J$4,'领用录入（明细）'!C:C&lt;=$L$4),ROW(),"-")</f>
        <v>-</v>
      </c>
    </row>
    <row r="13453" customHeight="1" spans="2:2">
      <c r="B13453" s="62" t="str">
        <f>IF(AND('领用录入（明细）'!D:D=$F$4,'领用录入（明细）'!C:C&gt;=$J$4,'领用录入（明细）'!C:C&lt;=$L$4),ROW(),"-")</f>
        <v>-</v>
      </c>
    </row>
    <row r="13454" customHeight="1" spans="2:2">
      <c r="B13454" s="62" t="str">
        <f>IF(AND('领用录入（明细）'!D:D=$F$4,'领用录入（明细）'!C:C&gt;=$J$4,'领用录入（明细）'!C:C&lt;=$L$4),ROW(),"-")</f>
        <v>-</v>
      </c>
    </row>
    <row r="13455" customHeight="1" spans="2:2">
      <c r="B13455" s="62" t="str">
        <f>IF(AND('领用录入（明细）'!D:D=$F$4,'领用录入（明细）'!C:C&gt;=$J$4,'领用录入（明细）'!C:C&lt;=$L$4),ROW(),"-")</f>
        <v>-</v>
      </c>
    </row>
    <row r="13456" customHeight="1" spans="2:2">
      <c r="B13456" s="62" t="str">
        <f>IF(AND('领用录入（明细）'!D:D=$F$4,'领用录入（明细）'!C:C&gt;=$J$4,'领用录入（明细）'!C:C&lt;=$L$4),ROW(),"-")</f>
        <v>-</v>
      </c>
    </row>
    <row r="13457" customHeight="1" spans="2:2">
      <c r="B13457" s="62" t="str">
        <f>IF(AND('领用录入（明细）'!D:D=$F$4,'领用录入（明细）'!C:C&gt;=$J$4,'领用录入（明细）'!C:C&lt;=$L$4),ROW(),"-")</f>
        <v>-</v>
      </c>
    </row>
    <row r="13458" customHeight="1" spans="2:2">
      <c r="B13458" s="62" t="str">
        <f>IF(AND('领用录入（明细）'!D:D=$F$4,'领用录入（明细）'!C:C&gt;=$J$4,'领用录入（明细）'!C:C&lt;=$L$4),ROW(),"-")</f>
        <v>-</v>
      </c>
    </row>
    <row r="13459" customHeight="1" spans="2:2">
      <c r="B13459" s="62" t="str">
        <f>IF(AND('领用录入（明细）'!D:D=$F$4,'领用录入（明细）'!C:C&gt;=$J$4,'领用录入（明细）'!C:C&lt;=$L$4),ROW(),"-")</f>
        <v>-</v>
      </c>
    </row>
    <row r="13460" customHeight="1" spans="2:2">
      <c r="B13460" s="62" t="str">
        <f>IF(AND('领用录入（明细）'!D:D=$F$4,'领用录入（明细）'!C:C&gt;=$J$4,'领用录入（明细）'!C:C&lt;=$L$4),ROW(),"-")</f>
        <v>-</v>
      </c>
    </row>
    <row r="13461" customHeight="1" spans="2:2">
      <c r="B13461" s="62" t="str">
        <f>IF(AND('领用录入（明细）'!D:D=$F$4,'领用录入（明细）'!C:C&gt;=$J$4,'领用录入（明细）'!C:C&lt;=$L$4),ROW(),"-")</f>
        <v>-</v>
      </c>
    </row>
    <row r="13462" customHeight="1" spans="2:2">
      <c r="B13462" s="62" t="str">
        <f>IF(AND('领用录入（明细）'!D:D=$F$4,'领用录入（明细）'!C:C&gt;=$J$4,'领用录入（明细）'!C:C&lt;=$L$4),ROW(),"-")</f>
        <v>-</v>
      </c>
    </row>
    <row r="13463" customHeight="1" spans="2:2">
      <c r="B13463" s="62" t="str">
        <f>IF(AND('领用录入（明细）'!D:D=$F$4,'领用录入（明细）'!C:C&gt;=$J$4,'领用录入（明细）'!C:C&lt;=$L$4),ROW(),"-")</f>
        <v>-</v>
      </c>
    </row>
    <row r="13464" customHeight="1" spans="2:2">
      <c r="B13464" s="62" t="str">
        <f>IF(AND('领用录入（明细）'!D:D=$F$4,'领用录入（明细）'!C:C&gt;=$J$4,'领用录入（明细）'!C:C&lt;=$L$4),ROW(),"-")</f>
        <v>-</v>
      </c>
    </row>
    <row r="13465" customHeight="1" spans="2:2">
      <c r="B13465" s="62" t="str">
        <f>IF(AND('领用录入（明细）'!D:D=$F$4,'领用录入（明细）'!C:C&gt;=$J$4,'领用录入（明细）'!C:C&lt;=$L$4),ROW(),"-")</f>
        <v>-</v>
      </c>
    </row>
    <row r="13466" customHeight="1" spans="2:2">
      <c r="B13466" s="62" t="str">
        <f>IF(AND('领用录入（明细）'!D:D=$F$4,'领用录入（明细）'!C:C&gt;=$J$4,'领用录入（明细）'!C:C&lt;=$L$4),ROW(),"-")</f>
        <v>-</v>
      </c>
    </row>
    <row r="13467" customHeight="1" spans="2:2">
      <c r="B13467" s="62" t="str">
        <f>IF(AND('领用录入（明细）'!D:D=$F$4,'领用录入（明细）'!C:C&gt;=$J$4,'领用录入（明细）'!C:C&lt;=$L$4),ROW(),"-")</f>
        <v>-</v>
      </c>
    </row>
    <row r="13468" customHeight="1" spans="2:2">
      <c r="B13468" s="62" t="str">
        <f>IF(AND('领用录入（明细）'!D:D=$F$4,'领用录入（明细）'!C:C&gt;=$J$4,'领用录入（明细）'!C:C&lt;=$L$4),ROW(),"-")</f>
        <v>-</v>
      </c>
    </row>
    <row r="13469" customHeight="1" spans="2:2">
      <c r="B13469" s="62" t="str">
        <f>IF(AND('领用录入（明细）'!D:D=$F$4,'领用录入（明细）'!C:C&gt;=$J$4,'领用录入（明细）'!C:C&lt;=$L$4),ROW(),"-")</f>
        <v>-</v>
      </c>
    </row>
    <row r="13470" customHeight="1" spans="2:2">
      <c r="B13470" s="62" t="str">
        <f>IF(AND('领用录入（明细）'!D:D=$F$4,'领用录入（明细）'!C:C&gt;=$J$4,'领用录入（明细）'!C:C&lt;=$L$4),ROW(),"-")</f>
        <v>-</v>
      </c>
    </row>
    <row r="13471" customHeight="1" spans="2:2">
      <c r="B13471" s="62" t="str">
        <f>IF(AND('领用录入（明细）'!D:D=$F$4,'领用录入（明细）'!C:C&gt;=$J$4,'领用录入（明细）'!C:C&lt;=$L$4),ROW(),"-")</f>
        <v>-</v>
      </c>
    </row>
    <row r="13472" customHeight="1" spans="2:2">
      <c r="B13472" s="62" t="str">
        <f>IF(AND('领用录入（明细）'!D:D=$F$4,'领用录入（明细）'!C:C&gt;=$J$4,'领用录入（明细）'!C:C&lt;=$L$4),ROW(),"-")</f>
        <v>-</v>
      </c>
    </row>
    <row r="13473" customHeight="1" spans="2:2">
      <c r="B13473" s="62" t="str">
        <f>IF(AND('领用录入（明细）'!D:D=$F$4,'领用录入（明细）'!C:C&gt;=$J$4,'领用录入（明细）'!C:C&lt;=$L$4),ROW(),"-")</f>
        <v>-</v>
      </c>
    </row>
    <row r="13474" customHeight="1" spans="2:2">
      <c r="B13474" s="62" t="str">
        <f>IF(AND('领用录入（明细）'!D:D=$F$4,'领用录入（明细）'!C:C&gt;=$J$4,'领用录入（明细）'!C:C&lt;=$L$4),ROW(),"-")</f>
        <v>-</v>
      </c>
    </row>
    <row r="13475" customHeight="1" spans="2:2">
      <c r="B13475" s="62" t="str">
        <f>IF(AND('领用录入（明细）'!D:D=$F$4,'领用录入（明细）'!C:C&gt;=$J$4,'领用录入（明细）'!C:C&lt;=$L$4),ROW(),"-")</f>
        <v>-</v>
      </c>
    </row>
    <row r="13476" customHeight="1" spans="2:2">
      <c r="B13476" s="62" t="str">
        <f>IF(AND('领用录入（明细）'!D:D=$F$4,'领用录入（明细）'!C:C&gt;=$J$4,'领用录入（明细）'!C:C&lt;=$L$4),ROW(),"-")</f>
        <v>-</v>
      </c>
    </row>
    <row r="13477" customHeight="1" spans="2:2">
      <c r="B13477" s="62" t="str">
        <f>IF(AND('领用录入（明细）'!D:D=$F$4,'领用录入（明细）'!C:C&gt;=$J$4,'领用录入（明细）'!C:C&lt;=$L$4),ROW(),"-")</f>
        <v>-</v>
      </c>
    </row>
    <row r="13478" customHeight="1" spans="2:2">
      <c r="B13478" s="62" t="str">
        <f>IF(AND('领用录入（明细）'!D:D=$F$4,'领用录入（明细）'!C:C&gt;=$J$4,'领用录入（明细）'!C:C&lt;=$L$4),ROW(),"-")</f>
        <v>-</v>
      </c>
    </row>
    <row r="13479" customHeight="1" spans="2:2">
      <c r="B13479" s="62" t="str">
        <f>IF(AND('领用录入（明细）'!D:D=$F$4,'领用录入（明细）'!C:C&gt;=$J$4,'领用录入（明细）'!C:C&lt;=$L$4),ROW(),"-")</f>
        <v>-</v>
      </c>
    </row>
    <row r="13480" customHeight="1" spans="2:2">
      <c r="B13480" s="62" t="str">
        <f>IF(AND('领用录入（明细）'!D:D=$F$4,'领用录入（明细）'!C:C&gt;=$J$4,'领用录入（明细）'!C:C&lt;=$L$4),ROW(),"-")</f>
        <v>-</v>
      </c>
    </row>
    <row r="13481" customHeight="1" spans="2:2">
      <c r="B13481" s="62" t="str">
        <f>IF(AND('领用录入（明细）'!D:D=$F$4,'领用录入（明细）'!C:C&gt;=$J$4,'领用录入（明细）'!C:C&lt;=$L$4),ROW(),"-")</f>
        <v>-</v>
      </c>
    </row>
    <row r="13482" customHeight="1" spans="2:2">
      <c r="B13482" s="62" t="str">
        <f>IF(AND('领用录入（明细）'!D:D=$F$4,'领用录入（明细）'!C:C&gt;=$J$4,'领用录入（明细）'!C:C&lt;=$L$4),ROW(),"-")</f>
        <v>-</v>
      </c>
    </row>
    <row r="13483" customHeight="1" spans="2:2">
      <c r="B13483" s="62" t="str">
        <f>IF(AND('领用录入（明细）'!D:D=$F$4,'领用录入（明细）'!C:C&gt;=$J$4,'领用录入（明细）'!C:C&lt;=$L$4),ROW(),"-")</f>
        <v>-</v>
      </c>
    </row>
    <row r="13484" customHeight="1" spans="2:2">
      <c r="B13484" s="62" t="str">
        <f>IF(AND('领用录入（明细）'!D:D=$F$4,'领用录入（明细）'!C:C&gt;=$J$4,'领用录入（明细）'!C:C&lt;=$L$4),ROW(),"-")</f>
        <v>-</v>
      </c>
    </row>
    <row r="13485" customHeight="1" spans="2:2">
      <c r="B13485" s="62" t="str">
        <f>IF(AND('领用录入（明细）'!D:D=$F$4,'领用录入（明细）'!C:C&gt;=$J$4,'领用录入（明细）'!C:C&lt;=$L$4),ROW(),"-")</f>
        <v>-</v>
      </c>
    </row>
    <row r="13486" customHeight="1" spans="2:2">
      <c r="B13486" s="62" t="str">
        <f>IF(AND('领用录入（明细）'!D:D=$F$4,'领用录入（明细）'!C:C&gt;=$J$4,'领用录入（明细）'!C:C&lt;=$L$4),ROW(),"-")</f>
        <v>-</v>
      </c>
    </row>
    <row r="13487" customHeight="1" spans="2:2">
      <c r="B13487" s="62" t="str">
        <f>IF(AND('领用录入（明细）'!D:D=$F$4,'领用录入（明细）'!C:C&gt;=$J$4,'领用录入（明细）'!C:C&lt;=$L$4),ROW(),"-")</f>
        <v>-</v>
      </c>
    </row>
    <row r="13488" customHeight="1" spans="2:2">
      <c r="B13488" s="62" t="str">
        <f>IF(AND('领用录入（明细）'!D:D=$F$4,'领用录入（明细）'!C:C&gt;=$J$4,'领用录入（明细）'!C:C&lt;=$L$4),ROW(),"-")</f>
        <v>-</v>
      </c>
    </row>
    <row r="13489" customHeight="1" spans="2:2">
      <c r="B13489" s="62" t="str">
        <f>IF(AND('领用录入（明细）'!D:D=$F$4,'领用录入（明细）'!C:C&gt;=$J$4,'领用录入（明细）'!C:C&lt;=$L$4),ROW(),"-")</f>
        <v>-</v>
      </c>
    </row>
    <row r="13490" customHeight="1" spans="2:2">
      <c r="B13490" s="62" t="str">
        <f>IF(AND('领用录入（明细）'!D:D=$F$4,'领用录入（明细）'!C:C&gt;=$J$4,'领用录入（明细）'!C:C&lt;=$L$4),ROW(),"-")</f>
        <v>-</v>
      </c>
    </row>
    <row r="13491" customHeight="1" spans="2:2">
      <c r="B13491" s="62" t="str">
        <f>IF(AND('领用录入（明细）'!D:D=$F$4,'领用录入（明细）'!C:C&gt;=$J$4,'领用录入（明细）'!C:C&lt;=$L$4),ROW(),"-")</f>
        <v>-</v>
      </c>
    </row>
    <row r="13492" customHeight="1" spans="2:2">
      <c r="B13492" s="62" t="str">
        <f>IF(AND('领用录入（明细）'!D:D=$F$4,'领用录入（明细）'!C:C&gt;=$J$4,'领用录入（明细）'!C:C&lt;=$L$4),ROW(),"-")</f>
        <v>-</v>
      </c>
    </row>
    <row r="13493" customHeight="1" spans="2:2">
      <c r="B13493" s="62" t="str">
        <f>IF(AND('领用录入（明细）'!D:D=$F$4,'领用录入（明细）'!C:C&gt;=$J$4,'领用录入（明细）'!C:C&lt;=$L$4),ROW(),"-")</f>
        <v>-</v>
      </c>
    </row>
    <row r="13494" customHeight="1" spans="2:2">
      <c r="B13494" s="62" t="str">
        <f>IF(AND('领用录入（明细）'!D:D=$F$4,'领用录入（明细）'!C:C&gt;=$J$4,'领用录入（明细）'!C:C&lt;=$L$4),ROW(),"-")</f>
        <v>-</v>
      </c>
    </row>
    <row r="13495" customHeight="1" spans="2:2">
      <c r="B13495" s="62" t="str">
        <f>IF(AND('领用录入（明细）'!D:D=$F$4,'领用录入（明细）'!C:C&gt;=$J$4,'领用录入（明细）'!C:C&lt;=$L$4),ROW(),"-")</f>
        <v>-</v>
      </c>
    </row>
    <row r="13496" customHeight="1" spans="2:2">
      <c r="B13496" s="62" t="str">
        <f>IF(AND('领用录入（明细）'!D:D=$F$4,'领用录入（明细）'!C:C&gt;=$J$4,'领用录入（明细）'!C:C&lt;=$L$4),ROW(),"-")</f>
        <v>-</v>
      </c>
    </row>
    <row r="13497" customHeight="1" spans="2:2">
      <c r="B13497" s="62" t="str">
        <f>IF(AND('领用录入（明细）'!D:D=$F$4,'领用录入（明细）'!C:C&gt;=$J$4,'领用录入（明细）'!C:C&lt;=$L$4),ROW(),"-")</f>
        <v>-</v>
      </c>
    </row>
    <row r="13498" customHeight="1" spans="2:2">
      <c r="B13498" s="62" t="str">
        <f>IF(AND('领用录入（明细）'!D:D=$F$4,'领用录入（明细）'!C:C&gt;=$J$4,'领用录入（明细）'!C:C&lt;=$L$4),ROW(),"-")</f>
        <v>-</v>
      </c>
    </row>
    <row r="13499" customHeight="1" spans="2:2">
      <c r="B13499" s="62" t="str">
        <f>IF(AND('领用录入（明细）'!D:D=$F$4,'领用录入（明细）'!C:C&gt;=$J$4,'领用录入（明细）'!C:C&lt;=$L$4),ROW(),"-")</f>
        <v>-</v>
      </c>
    </row>
    <row r="13500" customHeight="1" spans="2:2">
      <c r="B13500" s="62" t="str">
        <f>IF(AND('领用录入（明细）'!D:D=$F$4,'领用录入（明细）'!C:C&gt;=$J$4,'领用录入（明细）'!C:C&lt;=$L$4),ROW(),"-")</f>
        <v>-</v>
      </c>
    </row>
    <row r="13501" customHeight="1" spans="2:2">
      <c r="B13501" s="62" t="str">
        <f>IF(AND('领用录入（明细）'!D:D=$F$4,'领用录入（明细）'!C:C&gt;=$J$4,'领用录入（明细）'!C:C&lt;=$L$4),ROW(),"-")</f>
        <v>-</v>
      </c>
    </row>
    <row r="13502" customHeight="1" spans="2:2">
      <c r="B13502" s="62" t="str">
        <f>IF(AND('领用录入（明细）'!D:D=$F$4,'领用录入（明细）'!C:C&gt;=$J$4,'领用录入（明细）'!C:C&lt;=$L$4),ROW(),"-")</f>
        <v>-</v>
      </c>
    </row>
    <row r="13503" customHeight="1" spans="2:2">
      <c r="B13503" s="62" t="str">
        <f>IF(AND('领用录入（明细）'!D:D=$F$4,'领用录入（明细）'!C:C&gt;=$J$4,'领用录入（明细）'!C:C&lt;=$L$4),ROW(),"-")</f>
        <v>-</v>
      </c>
    </row>
    <row r="13504" customHeight="1" spans="2:2">
      <c r="B13504" s="62" t="str">
        <f>IF(AND('领用录入（明细）'!D:D=$F$4,'领用录入（明细）'!C:C&gt;=$J$4,'领用录入（明细）'!C:C&lt;=$L$4),ROW(),"-")</f>
        <v>-</v>
      </c>
    </row>
    <row r="13505" customHeight="1" spans="2:2">
      <c r="B13505" s="62" t="str">
        <f>IF(AND('领用录入（明细）'!D:D=$F$4,'领用录入（明细）'!C:C&gt;=$J$4,'领用录入（明细）'!C:C&lt;=$L$4),ROW(),"-")</f>
        <v>-</v>
      </c>
    </row>
    <row r="13506" customHeight="1" spans="2:2">
      <c r="B13506" s="62" t="str">
        <f>IF(AND('领用录入（明细）'!D:D=$F$4,'领用录入（明细）'!C:C&gt;=$J$4,'领用录入（明细）'!C:C&lt;=$L$4),ROW(),"-")</f>
        <v>-</v>
      </c>
    </row>
    <row r="13507" customHeight="1" spans="2:2">
      <c r="B13507" s="62" t="str">
        <f>IF(AND('领用录入（明细）'!D:D=$F$4,'领用录入（明细）'!C:C&gt;=$J$4,'领用录入（明细）'!C:C&lt;=$L$4),ROW(),"-")</f>
        <v>-</v>
      </c>
    </row>
    <row r="13508" customHeight="1" spans="2:2">
      <c r="B13508" s="62" t="str">
        <f>IF(AND('领用录入（明细）'!D:D=$F$4,'领用录入（明细）'!C:C&gt;=$J$4,'领用录入（明细）'!C:C&lt;=$L$4),ROW(),"-")</f>
        <v>-</v>
      </c>
    </row>
    <row r="13509" customHeight="1" spans="2:2">
      <c r="B13509" s="62" t="str">
        <f>IF(AND('领用录入（明细）'!D:D=$F$4,'领用录入（明细）'!C:C&gt;=$J$4,'领用录入（明细）'!C:C&lt;=$L$4),ROW(),"-")</f>
        <v>-</v>
      </c>
    </row>
    <row r="13510" customHeight="1" spans="2:2">
      <c r="B13510" s="62" t="str">
        <f>IF(AND('领用录入（明细）'!D:D=$F$4,'领用录入（明细）'!C:C&gt;=$J$4,'领用录入（明细）'!C:C&lt;=$L$4),ROW(),"-")</f>
        <v>-</v>
      </c>
    </row>
    <row r="13511" customHeight="1" spans="2:2">
      <c r="B13511" s="62" t="str">
        <f>IF(AND('领用录入（明细）'!D:D=$F$4,'领用录入（明细）'!C:C&gt;=$J$4,'领用录入（明细）'!C:C&lt;=$L$4),ROW(),"-")</f>
        <v>-</v>
      </c>
    </row>
    <row r="13512" customHeight="1" spans="2:2">
      <c r="B13512" s="62" t="str">
        <f>IF(AND('领用录入（明细）'!D:D=$F$4,'领用录入（明细）'!C:C&gt;=$J$4,'领用录入（明细）'!C:C&lt;=$L$4),ROW(),"-")</f>
        <v>-</v>
      </c>
    </row>
    <row r="13513" customHeight="1" spans="2:2">
      <c r="B13513" s="62" t="str">
        <f>IF(AND('领用录入（明细）'!D:D=$F$4,'领用录入（明细）'!C:C&gt;=$J$4,'领用录入（明细）'!C:C&lt;=$L$4),ROW(),"-")</f>
        <v>-</v>
      </c>
    </row>
    <row r="13514" customHeight="1" spans="2:2">
      <c r="B13514" s="62" t="str">
        <f>IF(AND('领用录入（明细）'!D:D=$F$4,'领用录入（明细）'!C:C&gt;=$J$4,'领用录入（明细）'!C:C&lt;=$L$4),ROW(),"-")</f>
        <v>-</v>
      </c>
    </row>
    <row r="13515" customHeight="1" spans="2:2">
      <c r="B13515" s="62" t="str">
        <f>IF(AND('领用录入（明细）'!D:D=$F$4,'领用录入（明细）'!C:C&gt;=$J$4,'领用录入（明细）'!C:C&lt;=$L$4),ROW(),"-")</f>
        <v>-</v>
      </c>
    </row>
    <row r="13516" customHeight="1" spans="2:2">
      <c r="B13516" s="62" t="str">
        <f>IF(AND('领用录入（明细）'!D:D=$F$4,'领用录入（明细）'!C:C&gt;=$J$4,'领用录入（明细）'!C:C&lt;=$L$4),ROW(),"-")</f>
        <v>-</v>
      </c>
    </row>
    <row r="13517" customHeight="1" spans="2:2">
      <c r="B13517" s="62" t="str">
        <f>IF(AND('领用录入（明细）'!D:D=$F$4,'领用录入（明细）'!C:C&gt;=$J$4,'领用录入（明细）'!C:C&lt;=$L$4),ROW(),"-")</f>
        <v>-</v>
      </c>
    </row>
    <row r="13518" customHeight="1" spans="2:2">
      <c r="B13518" s="62" t="str">
        <f>IF(AND('领用录入（明细）'!D:D=$F$4,'领用录入（明细）'!C:C&gt;=$J$4,'领用录入（明细）'!C:C&lt;=$L$4),ROW(),"-")</f>
        <v>-</v>
      </c>
    </row>
    <row r="13519" customHeight="1" spans="2:2">
      <c r="B13519" s="62" t="str">
        <f>IF(AND('领用录入（明细）'!D:D=$F$4,'领用录入（明细）'!C:C&gt;=$J$4,'领用录入（明细）'!C:C&lt;=$L$4),ROW(),"-")</f>
        <v>-</v>
      </c>
    </row>
    <row r="13520" customHeight="1" spans="2:2">
      <c r="B13520" s="62" t="str">
        <f>IF(AND('领用录入（明细）'!D:D=$F$4,'领用录入（明细）'!C:C&gt;=$J$4,'领用录入（明细）'!C:C&lt;=$L$4),ROW(),"-")</f>
        <v>-</v>
      </c>
    </row>
    <row r="13521" customHeight="1" spans="2:2">
      <c r="B13521" s="62" t="str">
        <f>IF(AND('领用录入（明细）'!D:D=$F$4,'领用录入（明细）'!C:C&gt;=$J$4,'领用录入（明细）'!C:C&lt;=$L$4),ROW(),"-")</f>
        <v>-</v>
      </c>
    </row>
    <row r="13522" customHeight="1" spans="2:2">
      <c r="B13522" s="62" t="str">
        <f>IF(AND('领用录入（明细）'!D:D=$F$4,'领用录入（明细）'!C:C&gt;=$J$4,'领用录入（明细）'!C:C&lt;=$L$4),ROW(),"-")</f>
        <v>-</v>
      </c>
    </row>
    <row r="13523" customHeight="1" spans="2:2">
      <c r="B13523" s="62" t="str">
        <f>IF(AND('领用录入（明细）'!D:D=$F$4,'领用录入（明细）'!C:C&gt;=$J$4,'领用录入（明细）'!C:C&lt;=$L$4),ROW(),"-")</f>
        <v>-</v>
      </c>
    </row>
    <row r="13524" customHeight="1" spans="2:2">
      <c r="B13524" s="62" t="str">
        <f>IF(AND('领用录入（明细）'!D:D=$F$4,'领用录入（明细）'!C:C&gt;=$J$4,'领用录入（明细）'!C:C&lt;=$L$4),ROW(),"-")</f>
        <v>-</v>
      </c>
    </row>
    <row r="13525" customHeight="1" spans="2:2">
      <c r="B13525" s="62" t="str">
        <f>IF(AND('领用录入（明细）'!D:D=$F$4,'领用录入（明细）'!C:C&gt;=$J$4,'领用录入（明细）'!C:C&lt;=$L$4),ROW(),"-")</f>
        <v>-</v>
      </c>
    </row>
    <row r="13526" customHeight="1" spans="2:2">
      <c r="B13526" s="62" t="str">
        <f>IF(AND('领用录入（明细）'!D:D=$F$4,'领用录入（明细）'!C:C&gt;=$J$4,'领用录入（明细）'!C:C&lt;=$L$4),ROW(),"-")</f>
        <v>-</v>
      </c>
    </row>
    <row r="13527" customHeight="1" spans="2:2">
      <c r="B13527" s="62" t="str">
        <f>IF(AND('领用录入（明细）'!D:D=$F$4,'领用录入（明细）'!C:C&gt;=$J$4,'领用录入（明细）'!C:C&lt;=$L$4),ROW(),"-")</f>
        <v>-</v>
      </c>
    </row>
    <row r="13528" customHeight="1" spans="2:2">
      <c r="B13528" s="62" t="str">
        <f>IF(AND('领用录入（明细）'!D:D=$F$4,'领用录入（明细）'!C:C&gt;=$J$4,'领用录入（明细）'!C:C&lt;=$L$4),ROW(),"-")</f>
        <v>-</v>
      </c>
    </row>
    <row r="13529" customHeight="1" spans="2:2">
      <c r="B13529" s="62" t="str">
        <f>IF(AND('领用录入（明细）'!D:D=$F$4,'领用录入（明细）'!C:C&gt;=$J$4,'领用录入（明细）'!C:C&lt;=$L$4),ROW(),"-")</f>
        <v>-</v>
      </c>
    </row>
    <row r="13530" customHeight="1" spans="2:2">
      <c r="B13530" s="62" t="str">
        <f>IF(AND('领用录入（明细）'!D:D=$F$4,'领用录入（明细）'!C:C&gt;=$J$4,'领用录入（明细）'!C:C&lt;=$L$4),ROW(),"-")</f>
        <v>-</v>
      </c>
    </row>
    <row r="13531" customHeight="1" spans="2:2">
      <c r="B13531" s="62" t="str">
        <f>IF(AND('领用录入（明细）'!D:D=$F$4,'领用录入（明细）'!C:C&gt;=$J$4,'领用录入（明细）'!C:C&lt;=$L$4),ROW(),"-")</f>
        <v>-</v>
      </c>
    </row>
    <row r="13532" customHeight="1" spans="2:2">
      <c r="B13532" s="62" t="str">
        <f>IF(AND('领用录入（明细）'!D:D=$F$4,'领用录入（明细）'!C:C&gt;=$J$4,'领用录入（明细）'!C:C&lt;=$L$4),ROW(),"-")</f>
        <v>-</v>
      </c>
    </row>
    <row r="13533" customHeight="1" spans="2:2">
      <c r="B13533" s="62" t="str">
        <f>IF(AND('领用录入（明细）'!D:D=$F$4,'领用录入（明细）'!C:C&gt;=$J$4,'领用录入（明细）'!C:C&lt;=$L$4),ROW(),"-")</f>
        <v>-</v>
      </c>
    </row>
    <row r="13534" customHeight="1" spans="2:2">
      <c r="B13534" s="62" t="str">
        <f>IF(AND('领用录入（明细）'!D:D=$F$4,'领用录入（明细）'!C:C&gt;=$J$4,'领用录入（明细）'!C:C&lt;=$L$4),ROW(),"-")</f>
        <v>-</v>
      </c>
    </row>
    <row r="13535" customHeight="1" spans="2:2">
      <c r="B13535" s="62" t="str">
        <f>IF(AND('领用录入（明细）'!D:D=$F$4,'领用录入（明细）'!C:C&gt;=$J$4,'领用录入（明细）'!C:C&lt;=$L$4),ROW(),"-")</f>
        <v>-</v>
      </c>
    </row>
    <row r="13536" customHeight="1" spans="2:2">
      <c r="B13536" s="62" t="str">
        <f>IF(AND('领用录入（明细）'!D:D=$F$4,'领用录入（明细）'!C:C&gt;=$J$4,'领用录入（明细）'!C:C&lt;=$L$4),ROW(),"-")</f>
        <v>-</v>
      </c>
    </row>
    <row r="13537" customHeight="1" spans="2:2">
      <c r="B13537" s="62" t="str">
        <f>IF(AND('领用录入（明细）'!D:D=$F$4,'领用录入（明细）'!C:C&gt;=$J$4,'领用录入（明细）'!C:C&lt;=$L$4),ROW(),"-")</f>
        <v>-</v>
      </c>
    </row>
    <row r="13538" customHeight="1" spans="2:2">
      <c r="B13538" s="62" t="str">
        <f>IF(AND('领用录入（明细）'!D:D=$F$4,'领用录入（明细）'!C:C&gt;=$J$4,'领用录入（明细）'!C:C&lt;=$L$4),ROW(),"-")</f>
        <v>-</v>
      </c>
    </row>
    <row r="13539" customHeight="1" spans="2:2">
      <c r="B13539" s="62" t="str">
        <f>IF(AND('领用录入（明细）'!D:D=$F$4,'领用录入（明细）'!C:C&gt;=$J$4,'领用录入（明细）'!C:C&lt;=$L$4),ROW(),"-")</f>
        <v>-</v>
      </c>
    </row>
    <row r="13540" customHeight="1" spans="2:2">
      <c r="B13540" s="62" t="str">
        <f>IF(AND('领用录入（明细）'!D:D=$F$4,'领用录入（明细）'!C:C&gt;=$J$4,'领用录入（明细）'!C:C&lt;=$L$4),ROW(),"-")</f>
        <v>-</v>
      </c>
    </row>
    <row r="13541" customHeight="1" spans="2:2">
      <c r="B13541" s="62" t="str">
        <f>IF(AND('领用录入（明细）'!D:D=$F$4,'领用录入（明细）'!C:C&gt;=$J$4,'领用录入（明细）'!C:C&lt;=$L$4),ROW(),"-")</f>
        <v>-</v>
      </c>
    </row>
    <row r="13542" customHeight="1" spans="2:2">
      <c r="B13542" s="62" t="str">
        <f>IF(AND('领用录入（明细）'!D:D=$F$4,'领用录入（明细）'!C:C&gt;=$J$4,'领用录入（明细）'!C:C&lt;=$L$4),ROW(),"-")</f>
        <v>-</v>
      </c>
    </row>
    <row r="13543" customHeight="1" spans="2:2">
      <c r="B13543" s="62" t="str">
        <f>IF(AND('领用录入（明细）'!D:D=$F$4,'领用录入（明细）'!C:C&gt;=$J$4,'领用录入（明细）'!C:C&lt;=$L$4),ROW(),"-")</f>
        <v>-</v>
      </c>
    </row>
    <row r="13544" customHeight="1" spans="2:2">
      <c r="B13544" s="62" t="str">
        <f>IF(AND('领用录入（明细）'!D:D=$F$4,'领用录入（明细）'!C:C&gt;=$J$4,'领用录入（明细）'!C:C&lt;=$L$4),ROW(),"-")</f>
        <v>-</v>
      </c>
    </row>
    <row r="13545" customHeight="1" spans="2:2">
      <c r="B13545" s="62" t="str">
        <f>IF(AND('领用录入（明细）'!D:D=$F$4,'领用录入（明细）'!C:C&gt;=$J$4,'领用录入（明细）'!C:C&lt;=$L$4),ROW(),"-")</f>
        <v>-</v>
      </c>
    </row>
    <row r="13546" customHeight="1" spans="2:2">
      <c r="B13546" s="62" t="str">
        <f>IF(AND('领用录入（明细）'!D:D=$F$4,'领用录入（明细）'!C:C&gt;=$J$4,'领用录入（明细）'!C:C&lt;=$L$4),ROW(),"-")</f>
        <v>-</v>
      </c>
    </row>
    <row r="13547" customHeight="1" spans="2:2">
      <c r="B13547" s="62" t="str">
        <f>IF(AND('领用录入（明细）'!D:D=$F$4,'领用录入（明细）'!C:C&gt;=$J$4,'领用录入（明细）'!C:C&lt;=$L$4),ROW(),"-")</f>
        <v>-</v>
      </c>
    </row>
    <row r="13548" customHeight="1" spans="2:2">
      <c r="B13548" s="62" t="str">
        <f>IF(AND('领用录入（明细）'!D:D=$F$4,'领用录入（明细）'!C:C&gt;=$J$4,'领用录入（明细）'!C:C&lt;=$L$4),ROW(),"-")</f>
        <v>-</v>
      </c>
    </row>
    <row r="13549" customHeight="1" spans="2:2">
      <c r="B13549" s="62" t="str">
        <f>IF(AND('领用录入（明细）'!D:D=$F$4,'领用录入（明细）'!C:C&gt;=$J$4,'领用录入（明细）'!C:C&lt;=$L$4),ROW(),"-")</f>
        <v>-</v>
      </c>
    </row>
    <row r="13550" customHeight="1" spans="2:2">
      <c r="B13550" s="62" t="str">
        <f>IF(AND('领用录入（明细）'!D:D=$F$4,'领用录入（明细）'!C:C&gt;=$J$4,'领用录入（明细）'!C:C&lt;=$L$4),ROW(),"-")</f>
        <v>-</v>
      </c>
    </row>
    <row r="13551" customHeight="1" spans="2:2">
      <c r="B13551" s="62" t="str">
        <f>IF(AND('领用录入（明细）'!D:D=$F$4,'领用录入（明细）'!C:C&gt;=$J$4,'领用录入（明细）'!C:C&lt;=$L$4),ROW(),"-")</f>
        <v>-</v>
      </c>
    </row>
    <row r="13552" customHeight="1" spans="2:2">
      <c r="B13552" s="62" t="str">
        <f>IF(AND('领用录入（明细）'!D:D=$F$4,'领用录入（明细）'!C:C&gt;=$J$4,'领用录入（明细）'!C:C&lt;=$L$4),ROW(),"-")</f>
        <v>-</v>
      </c>
    </row>
    <row r="13553" customHeight="1" spans="2:2">
      <c r="B13553" s="62" t="str">
        <f>IF(AND('领用录入（明细）'!D:D=$F$4,'领用录入（明细）'!C:C&gt;=$J$4,'领用录入（明细）'!C:C&lt;=$L$4),ROW(),"-")</f>
        <v>-</v>
      </c>
    </row>
    <row r="13554" customHeight="1" spans="2:2">
      <c r="B13554" s="62" t="str">
        <f>IF(AND('领用录入（明细）'!D:D=$F$4,'领用录入（明细）'!C:C&gt;=$J$4,'领用录入（明细）'!C:C&lt;=$L$4),ROW(),"-")</f>
        <v>-</v>
      </c>
    </row>
    <row r="13555" customHeight="1" spans="2:2">
      <c r="B13555" s="62" t="str">
        <f>IF(AND('领用录入（明细）'!D:D=$F$4,'领用录入（明细）'!C:C&gt;=$J$4,'领用录入（明细）'!C:C&lt;=$L$4),ROW(),"-")</f>
        <v>-</v>
      </c>
    </row>
    <row r="13556" customHeight="1" spans="2:2">
      <c r="B13556" s="62" t="str">
        <f>IF(AND('领用录入（明细）'!D:D=$F$4,'领用录入（明细）'!C:C&gt;=$J$4,'领用录入（明细）'!C:C&lt;=$L$4),ROW(),"-")</f>
        <v>-</v>
      </c>
    </row>
    <row r="13557" customHeight="1" spans="2:2">
      <c r="B13557" s="62" t="str">
        <f>IF(AND('领用录入（明细）'!D:D=$F$4,'领用录入（明细）'!C:C&gt;=$J$4,'领用录入（明细）'!C:C&lt;=$L$4),ROW(),"-")</f>
        <v>-</v>
      </c>
    </row>
    <row r="13558" customHeight="1" spans="2:2">
      <c r="B13558" s="62" t="str">
        <f>IF(AND('领用录入（明细）'!D:D=$F$4,'领用录入（明细）'!C:C&gt;=$J$4,'领用录入（明细）'!C:C&lt;=$L$4),ROW(),"-")</f>
        <v>-</v>
      </c>
    </row>
    <row r="13559" customHeight="1" spans="2:2">
      <c r="B13559" s="62" t="str">
        <f>IF(AND('领用录入（明细）'!D:D=$F$4,'领用录入（明细）'!C:C&gt;=$J$4,'领用录入（明细）'!C:C&lt;=$L$4),ROW(),"-")</f>
        <v>-</v>
      </c>
    </row>
    <row r="13560" customHeight="1" spans="2:2">
      <c r="B13560" s="62" t="str">
        <f>IF(AND('领用录入（明细）'!D:D=$F$4,'领用录入（明细）'!C:C&gt;=$J$4,'领用录入（明细）'!C:C&lt;=$L$4),ROW(),"-")</f>
        <v>-</v>
      </c>
    </row>
    <row r="13561" customHeight="1" spans="2:2">
      <c r="B13561" s="62" t="str">
        <f>IF(AND('领用录入（明细）'!D:D=$F$4,'领用录入（明细）'!C:C&gt;=$J$4,'领用录入（明细）'!C:C&lt;=$L$4),ROW(),"-")</f>
        <v>-</v>
      </c>
    </row>
    <row r="13562" customHeight="1" spans="2:2">
      <c r="B13562" s="62" t="str">
        <f>IF(AND('领用录入（明细）'!D:D=$F$4,'领用录入（明细）'!C:C&gt;=$J$4,'领用录入（明细）'!C:C&lt;=$L$4),ROW(),"-")</f>
        <v>-</v>
      </c>
    </row>
    <row r="13563" customHeight="1" spans="2:2">
      <c r="B13563" s="62" t="str">
        <f>IF(AND('领用录入（明细）'!D:D=$F$4,'领用录入（明细）'!C:C&gt;=$J$4,'领用录入（明细）'!C:C&lt;=$L$4),ROW(),"-")</f>
        <v>-</v>
      </c>
    </row>
    <row r="13564" customHeight="1" spans="2:2">
      <c r="B13564" s="62" t="str">
        <f>IF(AND('领用录入（明细）'!D:D=$F$4,'领用录入（明细）'!C:C&gt;=$J$4,'领用录入（明细）'!C:C&lt;=$L$4),ROW(),"-")</f>
        <v>-</v>
      </c>
    </row>
    <row r="13565" customHeight="1" spans="2:2">
      <c r="B13565" s="62" t="str">
        <f>IF(AND('领用录入（明细）'!D:D=$F$4,'领用录入（明细）'!C:C&gt;=$J$4,'领用录入（明细）'!C:C&lt;=$L$4),ROW(),"-")</f>
        <v>-</v>
      </c>
    </row>
    <row r="13566" customHeight="1" spans="2:2">
      <c r="B13566" s="62" t="str">
        <f>IF(AND('领用录入（明细）'!D:D=$F$4,'领用录入（明细）'!C:C&gt;=$J$4,'领用录入（明细）'!C:C&lt;=$L$4),ROW(),"-")</f>
        <v>-</v>
      </c>
    </row>
    <row r="13567" customHeight="1" spans="2:2">
      <c r="B13567" s="62" t="str">
        <f>IF(AND('领用录入（明细）'!D:D=$F$4,'领用录入（明细）'!C:C&gt;=$J$4,'领用录入（明细）'!C:C&lt;=$L$4),ROW(),"-")</f>
        <v>-</v>
      </c>
    </row>
    <row r="13568" customHeight="1" spans="2:2">
      <c r="B13568" s="62" t="str">
        <f>IF(AND('领用录入（明细）'!D:D=$F$4,'领用录入（明细）'!C:C&gt;=$J$4,'领用录入（明细）'!C:C&lt;=$L$4),ROW(),"-")</f>
        <v>-</v>
      </c>
    </row>
    <row r="13569" customHeight="1" spans="2:2">
      <c r="B13569" s="62" t="str">
        <f>IF(AND('领用录入（明细）'!D:D=$F$4,'领用录入（明细）'!C:C&gt;=$J$4,'领用录入（明细）'!C:C&lt;=$L$4),ROW(),"-")</f>
        <v>-</v>
      </c>
    </row>
    <row r="13570" customHeight="1" spans="2:2">
      <c r="B13570" s="62" t="str">
        <f>IF(AND('领用录入（明细）'!D:D=$F$4,'领用录入（明细）'!C:C&gt;=$J$4,'领用录入（明细）'!C:C&lt;=$L$4),ROW(),"-")</f>
        <v>-</v>
      </c>
    </row>
    <row r="13571" customHeight="1" spans="2:2">
      <c r="B13571" s="62" t="str">
        <f>IF(AND('领用录入（明细）'!D:D=$F$4,'领用录入（明细）'!C:C&gt;=$J$4,'领用录入（明细）'!C:C&lt;=$L$4),ROW(),"-")</f>
        <v>-</v>
      </c>
    </row>
    <row r="13572" customHeight="1" spans="2:2">
      <c r="B13572" s="62" t="str">
        <f>IF(AND('领用录入（明细）'!D:D=$F$4,'领用录入（明细）'!C:C&gt;=$J$4,'领用录入（明细）'!C:C&lt;=$L$4),ROW(),"-")</f>
        <v>-</v>
      </c>
    </row>
    <row r="13573" customHeight="1" spans="2:2">
      <c r="B13573" s="62" t="str">
        <f>IF(AND('领用录入（明细）'!D:D=$F$4,'领用录入（明细）'!C:C&gt;=$J$4,'领用录入（明细）'!C:C&lt;=$L$4),ROW(),"-")</f>
        <v>-</v>
      </c>
    </row>
    <row r="13574" customHeight="1" spans="2:2">
      <c r="B13574" s="62" t="str">
        <f>IF(AND('领用录入（明细）'!D:D=$F$4,'领用录入（明细）'!C:C&gt;=$J$4,'领用录入（明细）'!C:C&lt;=$L$4),ROW(),"-")</f>
        <v>-</v>
      </c>
    </row>
    <row r="13575" customHeight="1" spans="2:2">
      <c r="B13575" s="62" t="str">
        <f>IF(AND('领用录入（明细）'!D:D=$F$4,'领用录入（明细）'!C:C&gt;=$J$4,'领用录入（明细）'!C:C&lt;=$L$4),ROW(),"-")</f>
        <v>-</v>
      </c>
    </row>
    <row r="13576" customHeight="1" spans="2:2">
      <c r="B13576" s="62" t="str">
        <f>IF(AND('领用录入（明细）'!D:D=$F$4,'领用录入（明细）'!C:C&gt;=$J$4,'领用录入（明细）'!C:C&lt;=$L$4),ROW(),"-")</f>
        <v>-</v>
      </c>
    </row>
    <row r="13577" customHeight="1" spans="2:2">
      <c r="B13577" s="62" t="str">
        <f>IF(AND('领用录入（明细）'!D:D=$F$4,'领用录入（明细）'!C:C&gt;=$J$4,'领用录入（明细）'!C:C&lt;=$L$4),ROW(),"-")</f>
        <v>-</v>
      </c>
    </row>
    <row r="13578" customHeight="1" spans="2:2">
      <c r="B13578" s="62" t="str">
        <f>IF(AND('领用录入（明细）'!D:D=$F$4,'领用录入（明细）'!C:C&gt;=$J$4,'领用录入（明细）'!C:C&lt;=$L$4),ROW(),"-")</f>
        <v>-</v>
      </c>
    </row>
    <row r="13579" customHeight="1" spans="2:2">
      <c r="B13579" s="62" t="str">
        <f>IF(AND('领用录入（明细）'!D:D=$F$4,'领用录入（明细）'!C:C&gt;=$J$4,'领用录入（明细）'!C:C&lt;=$L$4),ROW(),"-")</f>
        <v>-</v>
      </c>
    </row>
    <row r="13580" customHeight="1" spans="2:2">
      <c r="B13580" s="62" t="str">
        <f>IF(AND('领用录入（明细）'!D:D=$F$4,'领用录入（明细）'!C:C&gt;=$J$4,'领用录入（明细）'!C:C&lt;=$L$4),ROW(),"-")</f>
        <v>-</v>
      </c>
    </row>
    <row r="13581" customHeight="1" spans="2:2">
      <c r="B13581" s="62" t="str">
        <f>IF(AND('领用录入（明细）'!D:D=$F$4,'领用录入（明细）'!C:C&gt;=$J$4,'领用录入（明细）'!C:C&lt;=$L$4),ROW(),"-")</f>
        <v>-</v>
      </c>
    </row>
    <row r="13582" customHeight="1" spans="2:2">
      <c r="B13582" s="62" t="str">
        <f>IF(AND('领用录入（明细）'!D:D=$F$4,'领用录入（明细）'!C:C&gt;=$J$4,'领用录入（明细）'!C:C&lt;=$L$4),ROW(),"-")</f>
        <v>-</v>
      </c>
    </row>
    <row r="13583" customHeight="1" spans="2:2">
      <c r="B13583" s="62" t="str">
        <f>IF(AND('领用录入（明细）'!D:D=$F$4,'领用录入（明细）'!C:C&gt;=$J$4,'领用录入（明细）'!C:C&lt;=$L$4),ROW(),"-")</f>
        <v>-</v>
      </c>
    </row>
    <row r="13584" customHeight="1" spans="2:2">
      <c r="B13584" s="62" t="str">
        <f>IF(AND('领用录入（明细）'!D:D=$F$4,'领用录入（明细）'!C:C&gt;=$J$4,'领用录入（明细）'!C:C&lt;=$L$4),ROW(),"-")</f>
        <v>-</v>
      </c>
    </row>
    <row r="13585" customHeight="1" spans="2:2">
      <c r="B13585" s="62" t="str">
        <f>IF(AND('领用录入（明细）'!D:D=$F$4,'领用录入（明细）'!C:C&gt;=$J$4,'领用录入（明细）'!C:C&lt;=$L$4),ROW(),"-")</f>
        <v>-</v>
      </c>
    </row>
    <row r="13586" customHeight="1" spans="2:2">
      <c r="B13586" s="62" t="str">
        <f>IF(AND('领用录入（明细）'!D:D=$F$4,'领用录入（明细）'!C:C&gt;=$J$4,'领用录入（明细）'!C:C&lt;=$L$4),ROW(),"-")</f>
        <v>-</v>
      </c>
    </row>
    <row r="13587" customHeight="1" spans="2:2">
      <c r="B13587" s="62" t="str">
        <f>IF(AND('领用录入（明细）'!D:D=$F$4,'领用录入（明细）'!C:C&gt;=$J$4,'领用录入（明细）'!C:C&lt;=$L$4),ROW(),"-")</f>
        <v>-</v>
      </c>
    </row>
    <row r="13588" customHeight="1" spans="2:2">
      <c r="B13588" s="62" t="str">
        <f>IF(AND('领用录入（明细）'!D:D=$F$4,'领用录入（明细）'!C:C&gt;=$J$4,'领用录入（明细）'!C:C&lt;=$L$4),ROW(),"-")</f>
        <v>-</v>
      </c>
    </row>
    <row r="13589" customHeight="1" spans="2:2">
      <c r="B13589" s="62" t="str">
        <f>IF(AND('领用录入（明细）'!D:D=$F$4,'领用录入（明细）'!C:C&gt;=$J$4,'领用录入（明细）'!C:C&lt;=$L$4),ROW(),"-")</f>
        <v>-</v>
      </c>
    </row>
    <row r="13590" customHeight="1" spans="2:2">
      <c r="B13590" s="62" t="str">
        <f>IF(AND('领用录入（明细）'!D:D=$F$4,'领用录入（明细）'!C:C&gt;=$J$4,'领用录入（明细）'!C:C&lt;=$L$4),ROW(),"-")</f>
        <v>-</v>
      </c>
    </row>
    <row r="13591" customHeight="1" spans="2:2">
      <c r="B13591" s="62" t="str">
        <f>IF(AND('领用录入（明细）'!D:D=$F$4,'领用录入（明细）'!C:C&gt;=$J$4,'领用录入（明细）'!C:C&lt;=$L$4),ROW(),"-")</f>
        <v>-</v>
      </c>
    </row>
    <row r="13592" customHeight="1" spans="2:2">
      <c r="B13592" s="62" t="str">
        <f>IF(AND('领用录入（明细）'!D:D=$F$4,'领用录入（明细）'!C:C&gt;=$J$4,'领用录入（明细）'!C:C&lt;=$L$4),ROW(),"-")</f>
        <v>-</v>
      </c>
    </row>
    <row r="13593" customHeight="1" spans="2:2">
      <c r="B13593" s="62" t="str">
        <f>IF(AND('领用录入（明细）'!D:D=$F$4,'领用录入（明细）'!C:C&gt;=$J$4,'领用录入（明细）'!C:C&lt;=$L$4),ROW(),"-")</f>
        <v>-</v>
      </c>
    </row>
    <row r="13594" customHeight="1" spans="2:2">
      <c r="B13594" s="62" t="str">
        <f>IF(AND('领用录入（明细）'!D:D=$F$4,'领用录入（明细）'!C:C&gt;=$J$4,'领用录入（明细）'!C:C&lt;=$L$4),ROW(),"-")</f>
        <v>-</v>
      </c>
    </row>
    <row r="13595" customHeight="1" spans="2:2">
      <c r="B13595" s="62" t="str">
        <f>IF(AND('领用录入（明细）'!D:D=$F$4,'领用录入（明细）'!C:C&gt;=$J$4,'领用录入（明细）'!C:C&lt;=$L$4),ROW(),"-")</f>
        <v>-</v>
      </c>
    </row>
    <row r="13596" customHeight="1" spans="2:2">
      <c r="B13596" s="62" t="str">
        <f>IF(AND('领用录入（明细）'!D:D=$F$4,'领用录入（明细）'!C:C&gt;=$J$4,'领用录入（明细）'!C:C&lt;=$L$4),ROW(),"-")</f>
        <v>-</v>
      </c>
    </row>
    <row r="13597" customHeight="1" spans="2:2">
      <c r="B13597" s="62" t="str">
        <f>IF(AND('领用录入（明细）'!D:D=$F$4,'领用录入（明细）'!C:C&gt;=$J$4,'领用录入（明细）'!C:C&lt;=$L$4),ROW(),"-")</f>
        <v>-</v>
      </c>
    </row>
    <row r="13598" customHeight="1" spans="2:2">
      <c r="B13598" s="62" t="str">
        <f>IF(AND('领用录入（明细）'!D:D=$F$4,'领用录入（明细）'!C:C&gt;=$J$4,'领用录入（明细）'!C:C&lt;=$L$4),ROW(),"-")</f>
        <v>-</v>
      </c>
    </row>
    <row r="13599" customHeight="1" spans="2:2">
      <c r="B13599" s="62" t="str">
        <f>IF(AND('领用录入（明细）'!D:D=$F$4,'领用录入（明细）'!C:C&gt;=$J$4,'领用录入（明细）'!C:C&lt;=$L$4),ROW(),"-")</f>
        <v>-</v>
      </c>
    </row>
    <row r="13600" customHeight="1" spans="2:2">
      <c r="B13600" s="62" t="str">
        <f>IF(AND('领用录入（明细）'!D:D=$F$4,'领用录入（明细）'!C:C&gt;=$J$4,'领用录入（明细）'!C:C&lt;=$L$4),ROW(),"-")</f>
        <v>-</v>
      </c>
    </row>
    <row r="13601" customHeight="1" spans="2:2">
      <c r="B13601" s="62" t="str">
        <f>IF(AND('领用录入（明细）'!D:D=$F$4,'领用录入（明细）'!C:C&gt;=$J$4,'领用录入（明细）'!C:C&lt;=$L$4),ROW(),"-")</f>
        <v>-</v>
      </c>
    </row>
    <row r="13602" customHeight="1" spans="2:2">
      <c r="B13602" s="62" t="str">
        <f>IF(AND('领用录入（明细）'!D:D=$F$4,'领用录入（明细）'!C:C&gt;=$J$4,'领用录入（明细）'!C:C&lt;=$L$4),ROW(),"-")</f>
        <v>-</v>
      </c>
    </row>
    <row r="13603" customHeight="1" spans="2:2">
      <c r="B13603" s="62" t="str">
        <f>IF(AND('领用录入（明细）'!D:D=$F$4,'领用录入（明细）'!C:C&gt;=$J$4,'领用录入（明细）'!C:C&lt;=$L$4),ROW(),"-")</f>
        <v>-</v>
      </c>
    </row>
    <row r="13604" customHeight="1" spans="2:2">
      <c r="B13604" s="62" t="str">
        <f>IF(AND('领用录入（明细）'!D:D=$F$4,'领用录入（明细）'!C:C&gt;=$J$4,'领用录入（明细）'!C:C&lt;=$L$4),ROW(),"-")</f>
        <v>-</v>
      </c>
    </row>
    <row r="13605" customHeight="1" spans="2:2">
      <c r="B13605" s="62" t="str">
        <f>IF(AND('领用录入（明细）'!D:D=$F$4,'领用录入（明细）'!C:C&gt;=$J$4,'领用录入（明细）'!C:C&lt;=$L$4),ROW(),"-")</f>
        <v>-</v>
      </c>
    </row>
    <row r="13606" customHeight="1" spans="2:2">
      <c r="B13606" s="62" t="str">
        <f>IF(AND('领用录入（明细）'!D:D=$F$4,'领用录入（明细）'!C:C&gt;=$J$4,'领用录入（明细）'!C:C&lt;=$L$4),ROW(),"-")</f>
        <v>-</v>
      </c>
    </row>
    <row r="13607" customHeight="1" spans="2:2">
      <c r="B13607" s="62" t="str">
        <f>IF(AND('领用录入（明细）'!D:D=$F$4,'领用录入（明细）'!C:C&gt;=$J$4,'领用录入（明细）'!C:C&lt;=$L$4),ROW(),"-")</f>
        <v>-</v>
      </c>
    </row>
    <row r="13608" customHeight="1" spans="2:2">
      <c r="B13608" s="62" t="str">
        <f>IF(AND('领用录入（明细）'!D:D=$F$4,'领用录入（明细）'!C:C&gt;=$J$4,'领用录入（明细）'!C:C&lt;=$L$4),ROW(),"-")</f>
        <v>-</v>
      </c>
    </row>
    <row r="13609" customHeight="1" spans="2:2">
      <c r="B13609" s="62" t="str">
        <f>IF(AND('领用录入（明细）'!D:D=$F$4,'领用录入（明细）'!C:C&gt;=$J$4,'领用录入（明细）'!C:C&lt;=$L$4),ROW(),"-")</f>
        <v>-</v>
      </c>
    </row>
    <row r="13610" customHeight="1" spans="2:2">
      <c r="B13610" s="62" t="str">
        <f>IF(AND('领用录入（明细）'!D:D=$F$4,'领用录入（明细）'!C:C&gt;=$J$4,'领用录入（明细）'!C:C&lt;=$L$4),ROW(),"-")</f>
        <v>-</v>
      </c>
    </row>
    <row r="13611" customHeight="1" spans="2:2">
      <c r="B13611" s="62" t="str">
        <f>IF(AND('领用录入（明细）'!D:D=$F$4,'领用录入（明细）'!C:C&gt;=$J$4,'领用录入（明细）'!C:C&lt;=$L$4),ROW(),"-")</f>
        <v>-</v>
      </c>
    </row>
    <row r="13612" customHeight="1" spans="2:2">
      <c r="B13612" s="62" t="str">
        <f>IF(AND('领用录入（明细）'!D:D=$F$4,'领用录入（明细）'!C:C&gt;=$J$4,'领用录入（明细）'!C:C&lt;=$L$4),ROW(),"-")</f>
        <v>-</v>
      </c>
    </row>
    <row r="13613" customHeight="1" spans="2:2">
      <c r="B13613" s="62" t="str">
        <f>IF(AND('领用录入（明细）'!D:D=$F$4,'领用录入（明细）'!C:C&gt;=$J$4,'领用录入（明细）'!C:C&lt;=$L$4),ROW(),"-")</f>
        <v>-</v>
      </c>
    </row>
    <row r="13614" customHeight="1" spans="2:2">
      <c r="B13614" s="62" t="str">
        <f>IF(AND('领用录入（明细）'!D:D=$F$4,'领用录入（明细）'!C:C&gt;=$J$4,'领用录入（明细）'!C:C&lt;=$L$4),ROW(),"-")</f>
        <v>-</v>
      </c>
    </row>
    <row r="13615" customHeight="1" spans="2:2">
      <c r="B13615" s="62" t="str">
        <f>IF(AND('领用录入（明细）'!D:D=$F$4,'领用录入（明细）'!C:C&gt;=$J$4,'领用录入（明细）'!C:C&lt;=$L$4),ROW(),"-")</f>
        <v>-</v>
      </c>
    </row>
    <row r="13616" customHeight="1" spans="2:2">
      <c r="B13616" s="62" t="str">
        <f>IF(AND('领用录入（明细）'!D:D=$F$4,'领用录入（明细）'!C:C&gt;=$J$4,'领用录入（明细）'!C:C&lt;=$L$4),ROW(),"-")</f>
        <v>-</v>
      </c>
    </row>
    <row r="13617" customHeight="1" spans="2:2">
      <c r="B13617" s="62" t="str">
        <f>IF(AND('领用录入（明细）'!D:D=$F$4,'领用录入（明细）'!C:C&gt;=$J$4,'领用录入（明细）'!C:C&lt;=$L$4),ROW(),"-")</f>
        <v>-</v>
      </c>
    </row>
    <row r="13618" customHeight="1" spans="2:2">
      <c r="B13618" s="62" t="str">
        <f>IF(AND('领用录入（明细）'!D:D=$F$4,'领用录入（明细）'!C:C&gt;=$J$4,'领用录入（明细）'!C:C&lt;=$L$4),ROW(),"-")</f>
        <v>-</v>
      </c>
    </row>
    <row r="13619" customHeight="1" spans="2:2">
      <c r="B13619" s="62" t="str">
        <f>IF(AND('领用录入（明细）'!D:D=$F$4,'领用录入（明细）'!C:C&gt;=$J$4,'领用录入（明细）'!C:C&lt;=$L$4),ROW(),"-")</f>
        <v>-</v>
      </c>
    </row>
    <row r="13620" customHeight="1" spans="2:2">
      <c r="B13620" s="62" t="str">
        <f>IF(AND('领用录入（明细）'!D:D=$F$4,'领用录入（明细）'!C:C&gt;=$J$4,'领用录入（明细）'!C:C&lt;=$L$4),ROW(),"-")</f>
        <v>-</v>
      </c>
    </row>
    <row r="13621" customHeight="1" spans="2:2">
      <c r="B13621" s="62" t="str">
        <f>IF(AND('领用录入（明细）'!D:D=$F$4,'领用录入（明细）'!C:C&gt;=$J$4,'领用录入（明细）'!C:C&lt;=$L$4),ROW(),"-")</f>
        <v>-</v>
      </c>
    </row>
    <row r="13622" customHeight="1" spans="2:2">
      <c r="B13622" s="62" t="str">
        <f>IF(AND('领用录入（明细）'!D:D=$F$4,'领用录入（明细）'!C:C&gt;=$J$4,'领用录入（明细）'!C:C&lt;=$L$4),ROW(),"-")</f>
        <v>-</v>
      </c>
    </row>
    <row r="13623" customHeight="1" spans="2:2">
      <c r="B13623" s="62" t="str">
        <f>IF(AND('领用录入（明细）'!D:D=$F$4,'领用录入（明细）'!C:C&gt;=$J$4,'领用录入（明细）'!C:C&lt;=$L$4),ROW(),"-")</f>
        <v>-</v>
      </c>
    </row>
    <row r="13624" customHeight="1" spans="2:2">
      <c r="B13624" s="62" t="str">
        <f>IF(AND('领用录入（明细）'!D:D=$F$4,'领用录入（明细）'!C:C&gt;=$J$4,'领用录入（明细）'!C:C&lt;=$L$4),ROW(),"-")</f>
        <v>-</v>
      </c>
    </row>
    <row r="13625" customHeight="1" spans="2:2">
      <c r="B13625" s="62" t="str">
        <f>IF(AND('领用录入（明细）'!D:D=$F$4,'领用录入（明细）'!C:C&gt;=$J$4,'领用录入（明细）'!C:C&lt;=$L$4),ROW(),"-")</f>
        <v>-</v>
      </c>
    </row>
    <row r="13626" customHeight="1" spans="2:2">
      <c r="B13626" s="62" t="str">
        <f>IF(AND('领用录入（明细）'!D:D=$F$4,'领用录入（明细）'!C:C&gt;=$J$4,'领用录入（明细）'!C:C&lt;=$L$4),ROW(),"-")</f>
        <v>-</v>
      </c>
    </row>
    <row r="13627" customHeight="1" spans="2:2">
      <c r="B13627" s="62" t="str">
        <f>IF(AND('领用录入（明细）'!D:D=$F$4,'领用录入（明细）'!C:C&gt;=$J$4,'领用录入（明细）'!C:C&lt;=$L$4),ROW(),"-")</f>
        <v>-</v>
      </c>
    </row>
    <row r="13628" customHeight="1" spans="2:2">
      <c r="B13628" s="62" t="str">
        <f>IF(AND('领用录入（明细）'!D:D=$F$4,'领用录入（明细）'!C:C&gt;=$J$4,'领用录入（明细）'!C:C&lt;=$L$4),ROW(),"-")</f>
        <v>-</v>
      </c>
    </row>
    <row r="13629" customHeight="1" spans="2:2">
      <c r="B13629" s="62" t="str">
        <f>IF(AND('领用录入（明细）'!D:D=$F$4,'领用录入（明细）'!C:C&gt;=$J$4,'领用录入（明细）'!C:C&lt;=$L$4),ROW(),"-")</f>
        <v>-</v>
      </c>
    </row>
    <row r="13630" customHeight="1" spans="2:2">
      <c r="B13630" s="62" t="str">
        <f>IF(AND('领用录入（明细）'!D:D=$F$4,'领用录入（明细）'!C:C&gt;=$J$4,'领用录入（明细）'!C:C&lt;=$L$4),ROW(),"-")</f>
        <v>-</v>
      </c>
    </row>
    <row r="13631" customHeight="1" spans="2:2">
      <c r="B13631" s="62" t="str">
        <f>IF(AND('领用录入（明细）'!D:D=$F$4,'领用录入（明细）'!C:C&gt;=$J$4,'领用录入（明细）'!C:C&lt;=$L$4),ROW(),"-")</f>
        <v>-</v>
      </c>
    </row>
    <row r="13632" customHeight="1" spans="2:2">
      <c r="B13632" s="62" t="str">
        <f>IF(AND('领用录入（明细）'!D:D=$F$4,'领用录入（明细）'!C:C&gt;=$J$4,'领用录入（明细）'!C:C&lt;=$L$4),ROW(),"-")</f>
        <v>-</v>
      </c>
    </row>
    <row r="13633" customHeight="1" spans="2:2">
      <c r="B13633" s="62" t="str">
        <f>IF(AND('领用录入（明细）'!D:D=$F$4,'领用录入（明细）'!C:C&gt;=$J$4,'领用录入（明细）'!C:C&lt;=$L$4),ROW(),"-")</f>
        <v>-</v>
      </c>
    </row>
    <row r="13634" customHeight="1" spans="2:2">
      <c r="B13634" s="62" t="str">
        <f>IF(AND('领用录入（明细）'!D:D=$F$4,'领用录入（明细）'!C:C&gt;=$J$4,'领用录入（明细）'!C:C&lt;=$L$4),ROW(),"-")</f>
        <v>-</v>
      </c>
    </row>
    <row r="13635" customHeight="1" spans="2:2">
      <c r="B13635" s="62" t="str">
        <f>IF(AND('领用录入（明细）'!D:D=$F$4,'领用录入（明细）'!C:C&gt;=$J$4,'领用录入（明细）'!C:C&lt;=$L$4),ROW(),"-")</f>
        <v>-</v>
      </c>
    </row>
    <row r="13636" customHeight="1" spans="2:2">
      <c r="B13636" s="62" t="str">
        <f>IF(AND('领用录入（明细）'!D:D=$F$4,'领用录入（明细）'!C:C&gt;=$J$4,'领用录入（明细）'!C:C&lt;=$L$4),ROW(),"-")</f>
        <v>-</v>
      </c>
    </row>
    <row r="13637" customHeight="1" spans="2:2">
      <c r="B13637" s="62" t="str">
        <f>IF(AND('领用录入（明细）'!D:D=$F$4,'领用录入（明细）'!C:C&gt;=$J$4,'领用录入（明细）'!C:C&lt;=$L$4),ROW(),"-")</f>
        <v>-</v>
      </c>
    </row>
    <row r="13638" customHeight="1" spans="2:2">
      <c r="B13638" s="62" t="str">
        <f>IF(AND('领用录入（明细）'!D:D=$F$4,'领用录入（明细）'!C:C&gt;=$J$4,'领用录入（明细）'!C:C&lt;=$L$4),ROW(),"-")</f>
        <v>-</v>
      </c>
    </row>
    <row r="13639" customHeight="1" spans="2:2">
      <c r="B13639" s="62" t="str">
        <f>IF(AND('领用录入（明细）'!D:D=$F$4,'领用录入（明细）'!C:C&gt;=$J$4,'领用录入（明细）'!C:C&lt;=$L$4),ROW(),"-")</f>
        <v>-</v>
      </c>
    </row>
    <row r="13640" customHeight="1" spans="2:2">
      <c r="B13640" s="62" t="str">
        <f>IF(AND('领用录入（明细）'!D:D=$F$4,'领用录入（明细）'!C:C&gt;=$J$4,'领用录入（明细）'!C:C&lt;=$L$4),ROW(),"-")</f>
        <v>-</v>
      </c>
    </row>
    <row r="13641" customHeight="1" spans="2:2">
      <c r="B13641" s="62" t="str">
        <f>IF(AND('领用录入（明细）'!D:D=$F$4,'领用录入（明细）'!C:C&gt;=$J$4,'领用录入（明细）'!C:C&lt;=$L$4),ROW(),"-")</f>
        <v>-</v>
      </c>
    </row>
    <row r="13642" customHeight="1" spans="2:2">
      <c r="B13642" s="62" t="str">
        <f>IF(AND('领用录入（明细）'!D:D=$F$4,'领用录入（明细）'!C:C&gt;=$J$4,'领用录入（明细）'!C:C&lt;=$L$4),ROW(),"-")</f>
        <v>-</v>
      </c>
    </row>
    <row r="13643" customHeight="1" spans="2:2">
      <c r="B13643" s="62" t="str">
        <f>IF(AND('领用录入（明细）'!D:D=$F$4,'领用录入（明细）'!C:C&gt;=$J$4,'领用录入（明细）'!C:C&lt;=$L$4),ROW(),"-")</f>
        <v>-</v>
      </c>
    </row>
    <row r="13644" customHeight="1" spans="2:2">
      <c r="B13644" s="62" t="str">
        <f>IF(AND('领用录入（明细）'!D:D=$F$4,'领用录入（明细）'!C:C&gt;=$J$4,'领用录入（明细）'!C:C&lt;=$L$4),ROW(),"-")</f>
        <v>-</v>
      </c>
    </row>
    <row r="13645" customHeight="1" spans="2:2">
      <c r="B13645" s="62" t="str">
        <f>IF(AND('领用录入（明细）'!D:D=$F$4,'领用录入（明细）'!C:C&gt;=$J$4,'领用录入（明细）'!C:C&lt;=$L$4),ROW(),"-")</f>
        <v>-</v>
      </c>
    </row>
    <row r="13646" customHeight="1" spans="2:2">
      <c r="B13646" s="62" t="str">
        <f>IF(AND('领用录入（明细）'!D:D=$F$4,'领用录入（明细）'!C:C&gt;=$J$4,'领用录入（明细）'!C:C&lt;=$L$4),ROW(),"-")</f>
        <v>-</v>
      </c>
    </row>
    <row r="13647" customHeight="1" spans="2:2">
      <c r="B13647" s="62" t="str">
        <f>IF(AND('领用录入（明细）'!D:D=$F$4,'领用录入（明细）'!C:C&gt;=$J$4,'领用录入（明细）'!C:C&lt;=$L$4),ROW(),"-")</f>
        <v>-</v>
      </c>
    </row>
    <row r="13648" customHeight="1" spans="2:2">
      <c r="B13648" s="62" t="str">
        <f>IF(AND('领用录入（明细）'!D:D=$F$4,'领用录入（明细）'!C:C&gt;=$J$4,'领用录入（明细）'!C:C&lt;=$L$4),ROW(),"-")</f>
        <v>-</v>
      </c>
    </row>
    <row r="13649" customHeight="1" spans="2:2">
      <c r="B13649" s="62" t="str">
        <f>IF(AND('领用录入（明细）'!D:D=$F$4,'领用录入（明细）'!C:C&gt;=$J$4,'领用录入（明细）'!C:C&lt;=$L$4),ROW(),"-")</f>
        <v>-</v>
      </c>
    </row>
    <row r="13650" customHeight="1" spans="2:2">
      <c r="B13650" s="62" t="str">
        <f>IF(AND('领用录入（明细）'!D:D=$F$4,'领用录入（明细）'!C:C&gt;=$J$4,'领用录入（明细）'!C:C&lt;=$L$4),ROW(),"-")</f>
        <v>-</v>
      </c>
    </row>
    <row r="13651" customHeight="1" spans="2:2">
      <c r="B13651" s="62" t="str">
        <f>IF(AND('领用录入（明细）'!D:D=$F$4,'领用录入（明细）'!C:C&gt;=$J$4,'领用录入（明细）'!C:C&lt;=$L$4),ROW(),"-")</f>
        <v>-</v>
      </c>
    </row>
    <row r="13652" customHeight="1" spans="2:2">
      <c r="B13652" s="62" t="str">
        <f>IF(AND('领用录入（明细）'!D:D=$F$4,'领用录入（明细）'!C:C&gt;=$J$4,'领用录入（明细）'!C:C&lt;=$L$4),ROW(),"-")</f>
        <v>-</v>
      </c>
    </row>
    <row r="13653" customHeight="1" spans="2:2">
      <c r="B13653" s="62" t="str">
        <f>IF(AND('领用录入（明细）'!D:D=$F$4,'领用录入（明细）'!C:C&gt;=$J$4,'领用录入（明细）'!C:C&lt;=$L$4),ROW(),"-")</f>
        <v>-</v>
      </c>
    </row>
    <row r="13654" customHeight="1" spans="2:2">
      <c r="B13654" s="62" t="str">
        <f>IF(AND('领用录入（明细）'!D:D=$F$4,'领用录入（明细）'!C:C&gt;=$J$4,'领用录入（明细）'!C:C&lt;=$L$4),ROW(),"-")</f>
        <v>-</v>
      </c>
    </row>
    <row r="13655" customHeight="1" spans="2:2">
      <c r="B13655" s="62" t="str">
        <f>IF(AND('领用录入（明细）'!D:D=$F$4,'领用录入（明细）'!C:C&gt;=$J$4,'领用录入（明细）'!C:C&lt;=$L$4),ROW(),"-")</f>
        <v>-</v>
      </c>
    </row>
    <row r="13656" customHeight="1" spans="2:2">
      <c r="B13656" s="62" t="str">
        <f>IF(AND('领用录入（明细）'!D:D=$F$4,'领用录入（明细）'!C:C&gt;=$J$4,'领用录入（明细）'!C:C&lt;=$L$4),ROW(),"-")</f>
        <v>-</v>
      </c>
    </row>
    <row r="13657" customHeight="1" spans="2:2">
      <c r="B13657" s="62" t="str">
        <f>IF(AND('领用录入（明细）'!D:D=$F$4,'领用录入（明细）'!C:C&gt;=$J$4,'领用录入（明细）'!C:C&lt;=$L$4),ROW(),"-")</f>
        <v>-</v>
      </c>
    </row>
    <row r="13658" customHeight="1" spans="2:2">
      <c r="B13658" s="62" t="str">
        <f>IF(AND('领用录入（明细）'!D:D=$F$4,'领用录入（明细）'!C:C&gt;=$J$4,'领用录入（明细）'!C:C&lt;=$L$4),ROW(),"-")</f>
        <v>-</v>
      </c>
    </row>
    <row r="13659" customHeight="1" spans="2:2">
      <c r="B13659" s="62" t="str">
        <f>IF(AND('领用录入（明细）'!D:D=$F$4,'领用录入（明细）'!C:C&gt;=$J$4,'领用录入（明细）'!C:C&lt;=$L$4),ROW(),"-")</f>
        <v>-</v>
      </c>
    </row>
    <row r="13660" customHeight="1" spans="2:2">
      <c r="B13660" s="62" t="str">
        <f>IF(AND('领用录入（明细）'!D:D=$F$4,'领用录入（明细）'!C:C&gt;=$J$4,'领用录入（明细）'!C:C&lt;=$L$4),ROW(),"-")</f>
        <v>-</v>
      </c>
    </row>
    <row r="13661" customHeight="1" spans="2:2">
      <c r="B13661" s="62" t="str">
        <f>IF(AND('领用录入（明细）'!D:D=$F$4,'领用录入（明细）'!C:C&gt;=$J$4,'领用录入（明细）'!C:C&lt;=$L$4),ROW(),"-")</f>
        <v>-</v>
      </c>
    </row>
    <row r="13662" customHeight="1" spans="2:2">
      <c r="B13662" s="62" t="str">
        <f>IF(AND('领用录入（明细）'!D:D=$F$4,'领用录入（明细）'!C:C&gt;=$J$4,'领用录入（明细）'!C:C&lt;=$L$4),ROW(),"-")</f>
        <v>-</v>
      </c>
    </row>
    <row r="13663" customHeight="1" spans="2:2">
      <c r="B13663" s="62" t="str">
        <f>IF(AND('领用录入（明细）'!D:D=$F$4,'领用录入（明细）'!C:C&gt;=$J$4,'领用录入（明细）'!C:C&lt;=$L$4),ROW(),"-")</f>
        <v>-</v>
      </c>
    </row>
    <row r="13664" customHeight="1" spans="2:2">
      <c r="B13664" s="62" t="str">
        <f>IF(AND('领用录入（明细）'!D:D=$F$4,'领用录入（明细）'!C:C&gt;=$J$4,'领用录入（明细）'!C:C&lt;=$L$4),ROW(),"-")</f>
        <v>-</v>
      </c>
    </row>
    <row r="13665" customHeight="1" spans="2:2">
      <c r="B13665" s="62" t="str">
        <f>IF(AND('领用录入（明细）'!D:D=$F$4,'领用录入（明细）'!C:C&gt;=$J$4,'领用录入（明细）'!C:C&lt;=$L$4),ROW(),"-")</f>
        <v>-</v>
      </c>
    </row>
    <row r="13666" customHeight="1" spans="2:2">
      <c r="B13666" s="62" t="str">
        <f>IF(AND('领用录入（明细）'!D:D=$F$4,'领用录入（明细）'!C:C&gt;=$J$4,'领用录入（明细）'!C:C&lt;=$L$4),ROW(),"-")</f>
        <v>-</v>
      </c>
    </row>
    <row r="13667" customHeight="1" spans="2:2">
      <c r="B13667" s="62" t="str">
        <f>IF(AND('领用录入（明细）'!D:D=$F$4,'领用录入（明细）'!C:C&gt;=$J$4,'领用录入（明细）'!C:C&lt;=$L$4),ROW(),"-")</f>
        <v>-</v>
      </c>
    </row>
    <row r="13668" customHeight="1" spans="2:2">
      <c r="B13668" s="62" t="str">
        <f>IF(AND('领用录入（明细）'!D:D=$F$4,'领用录入（明细）'!C:C&gt;=$J$4,'领用录入（明细）'!C:C&lt;=$L$4),ROW(),"-")</f>
        <v>-</v>
      </c>
    </row>
    <row r="13669" customHeight="1" spans="2:2">
      <c r="B13669" s="62" t="str">
        <f>IF(AND('领用录入（明细）'!D:D=$F$4,'领用录入（明细）'!C:C&gt;=$J$4,'领用录入（明细）'!C:C&lt;=$L$4),ROW(),"-")</f>
        <v>-</v>
      </c>
    </row>
    <row r="13670" customHeight="1" spans="2:2">
      <c r="B13670" s="62" t="str">
        <f>IF(AND('领用录入（明细）'!D:D=$F$4,'领用录入（明细）'!C:C&gt;=$J$4,'领用录入（明细）'!C:C&lt;=$L$4),ROW(),"-")</f>
        <v>-</v>
      </c>
    </row>
    <row r="13671" customHeight="1" spans="2:2">
      <c r="B13671" s="62" t="str">
        <f>IF(AND('领用录入（明细）'!D:D=$F$4,'领用录入（明细）'!C:C&gt;=$J$4,'领用录入（明细）'!C:C&lt;=$L$4),ROW(),"-")</f>
        <v>-</v>
      </c>
    </row>
    <row r="13672" customHeight="1" spans="2:2">
      <c r="B13672" s="62" t="str">
        <f>IF(AND('领用录入（明细）'!D:D=$F$4,'领用录入（明细）'!C:C&gt;=$J$4,'领用录入（明细）'!C:C&lt;=$L$4),ROW(),"-")</f>
        <v>-</v>
      </c>
    </row>
    <row r="13673" customHeight="1" spans="2:2">
      <c r="B13673" s="62" t="str">
        <f>IF(AND('领用录入（明细）'!D:D=$F$4,'领用录入（明细）'!C:C&gt;=$J$4,'领用录入（明细）'!C:C&lt;=$L$4),ROW(),"-")</f>
        <v>-</v>
      </c>
    </row>
    <row r="13674" customHeight="1" spans="2:2">
      <c r="B13674" s="62" t="str">
        <f>IF(AND('领用录入（明细）'!D:D=$F$4,'领用录入（明细）'!C:C&gt;=$J$4,'领用录入（明细）'!C:C&lt;=$L$4),ROW(),"-")</f>
        <v>-</v>
      </c>
    </row>
    <row r="13675" customHeight="1" spans="2:2">
      <c r="B13675" s="62" t="str">
        <f>IF(AND('领用录入（明细）'!D:D=$F$4,'领用录入（明细）'!C:C&gt;=$J$4,'领用录入（明细）'!C:C&lt;=$L$4),ROW(),"-")</f>
        <v>-</v>
      </c>
    </row>
    <row r="13676" customHeight="1" spans="2:2">
      <c r="B13676" s="62" t="str">
        <f>IF(AND('领用录入（明细）'!D:D=$F$4,'领用录入（明细）'!C:C&gt;=$J$4,'领用录入（明细）'!C:C&lt;=$L$4),ROW(),"-")</f>
        <v>-</v>
      </c>
    </row>
    <row r="13677" customHeight="1" spans="2:2">
      <c r="B13677" s="62" t="str">
        <f>IF(AND('领用录入（明细）'!D:D=$F$4,'领用录入（明细）'!C:C&gt;=$J$4,'领用录入（明细）'!C:C&lt;=$L$4),ROW(),"-")</f>
        <v>-</v>
      </c>
    </row>
    <row r="13678" customHeight="1" spans="2:2">
      <c r="B13678" s="62" t="str">
        <f>IF(AND('领用录入（明细）'!D:D=$F$4,'领用录入（明细）'!C:C&gt;=$J$4,'领用录入（明细）'!C:C&lt;=$L$4),ROW(),"-")</f>
        <v>-</v>
      </c>
    </row>
    <row r="13679" customHeight="1" spans="2:2">
      <c r="B13679" s="62" t="str">
        <f>IF(AND('领用录入（明细）'!D:D=$F$4,'领用录入（明细）'!C:C&gt;=$J$4,'领用录入（明细）'!C:C&lt;=$L$4),ROW(),"-")</f>
        <v>-</v>
      </c>
    </row>
    <row r="13680" customHeight="1" spans="2:2">
      <c r="B13680" s="62" t="str">
        <f>IF(AND('领用录入（明细）'!D:D=$F$4,'领用录入（明细）'!C:C&gt;=$J$4,'领用录入（明细）'!C:C&lt;=$L$4),ROW(),"-")</f>
        <v>-</v>
      </c>
    </row>
    <row r="13681" customHeight="1" spans="2:2">
      <c r="B13681" s="62" t="str">
        <f>IF(AND('领用录入（明细）'!D:D=$F$4,'领用录入（明细）'!C:C&gt;=$J$4,'领用录入（明细）'!C:C&lt;=$L$4),ROW(),"-")</f>
        <v>-</v>
      </c>
    </row>
    <row r="13682" customHeight="1" spans="2:2">
      <c r="B13682" s="62" t="str">
        <f>IF(AND('领用录入（明细）'!D:D=$F$4,'领用录入（明细）'!C:C&gt;=$J$4,'领用录入（明细）'!C:C&lt;=$L$4),ROW(),"-")</f>
        <v>-</v>
      </c>
    </row>
    <row r="13683" customHeight="1" spans="2:2">
      <c r="B13683" s="62" t="str">
        <f>IF(AND('领用录入（明细）'!D:D=$F$4,'领用录入（明细）'!C:C&gt;=$J$4,'领用录入（明细）'!C:C&lt;=$L$4),ROW(),"-")</f>
        <v>-</v>
      </c>
    </row>
    <row r="13684" customHeight="1" spans="2:2">
      <c r="B13684" s="62" t="str">
        <f>IF(AND('领用录入（明细）'!D:D=$F$4,'领用录入（明细）'!C:C&gt;=$J$4,'领用录入（明细）'!C:C&lt;=$L$4),ROW(),"-")</f>
        <v>-</v>
      </c>
    </row>
    <row r="13685" customHeight="1" spans="2:2">
      <c r="B13685" s="62" t="str">
        <f>IF(AND('领用录入（明细）'!D:D=$F$4,'领用录入（明细）'!C:C&gt;=$J$4,'领用录入（明细）'!C:C&lt;=$L$4),ROW(),"-")</f>
        <v>-</v>
      </c>
    </row>
    <row r="13686" customHeight="1" spans="2:2">
      <c r="B13686" s="62" t="str">
        <f>IF(AND('领用录入（明细）'!D:D=$F$4,'领用录入（明细）'!C:C&gt;=$J$4,'领用录入（明细）'!C:C&lt;=$L$4),ROW(),"-")</f>
        <v>-</v>
      </c>
    </row>
    <row r="13687" customHeight="1" spans="2:2">
      <c r="B13687" s="62" t="str">
        <f>IF(AND('领用录入（明细）'!D:D=$F$4,'领用录入（明细）'!C:C&gt;=$J$4,'领用录入（明细）'!C:C&lt;=$L$4),ROW(),"-")</f>
        <v>-</v>
      </c>
    </row>
    <row r="13688" customHeight="1" spans="2:2">
      <c r="B13688" s="62" t="str">
        <f>IF(AND('领用录入（明细）'!D:D=$F$4,'领用录入（明细）'!C:C&gt;=$J$4,'领用录入（明细）'!C:C&lt;=$L$4),ROW(),"-")</f>
        <v>-</v>
      </c>
    </row>
    <row r="13689" customHeight="1" spans="2:2">
      <c r="B13689" s="62" t="str">
        <f>IF(AND('领用录入（明细）'!D:D=$F$4,'领用录入（明细）'!C:C&gt;=$J$4,'领用录入（明细）'!C:C&lt;=$L$4),ROW(),"-")</f>
        <v>-</v>
      </c>
    </row>
    <row r="13690" customHeight="1" spans="2:2">
      <c r="B13690" s="62" t="str">
        <f>IF(AND('领用录入（明细）'!D:D=$F$4,'领用录入（明细）'!C:C&gt;=$J$4,'领用录入（明细）'!C:C&lt;=$L$4),ROW(),"-")</f>
        <v>-</v>
      </c>
    </row>
    <row r="13691" customHeight="1" spans="2:2">
      <c r="B13691" s="62" t="str">
        <f>IF(AND('领用录入（明细）'!D:D=$F$4,'领用录入（明细）'!C:C&gt;=$J$4,'领用录入（明细）'!C:C&lt;=$L$4),ROW(),"-")</f>
        <v>-</v>
      </c>
    </row>
    <row r="13692" customHeight="1" spans="2:2">
      <c r="B13692" s="62" t="str">
        <f>IF(AND('领用录入（明细）'!D:D=$F$4,'领用录入（明细）'!C:C&gt;=$J$4,'领用录入（明细）'!C:C&lt;=$L$4),ROW(),"-")</f>
        <v>-</v>
      </c>
    </row>
    <row r="13693" customHeight="1" spans="2:2">
      <c r="B13693" s="62" t="str">
        <f>IF(AND('领用录入（明细）'!D:D=$F$4,'领用录入（明细）'!C:C&gt;=$J$4,'领用录入（明细）'!C:C&lt;=$L$4),ROW(),"-")</f>
        <v>-</v>
      </c>
    </row>
    <row r="13694" customHeight="1" spans="2:2">
      <c r="B13694" s="62" t="str">
        <f>IF(AND('领用录入（明细）'!D:D=$F$4,'领用录入（明细）'!C:C&gt;=$J$4,'领用录入（明细）'!C:C&lt;=$L$4),ROW(),"-")</f>
        <v>-</v>
      </c>
    </row>
    <row r="13695" customHeight="1" spans="2:2">
      <c r="B13695" s="62" t="str">
        <f>IF(AND('领用录入（明细）'!D:D=$F$4,'领用录入（明细）'!C:C&gt;=$J$4,'领用录入（明细）'!C:C&lt;=$L$4),ROW(),"-")</f>
        <v>-</v>
      </c>
    </row>
    <row r="13696" customHeight="1" spans="2:2">
      <c r="B13696" s="62" t="str">
        <f>IF(AND('领用录入（明细）'!D:D=$F$4,'领用录入（明细）'!C:C&gt;=$J$4,'领用录入（明细）'!C:C&lt;=$L$4),ROW(),"-")</f>
        <v>-</v>
      </c>
    </row>
    <row r="13697" customHeight="1" spans="2:2">
      <c r="B13697" s="62" t="str">
        <f>IF(AND('领用录入（明细）'!D:D=$F$4,'领用录入（明细）'!C:C&gt;=$J$4,'领用录入（明细）'!C:C&lt;=$L$4),ROW(),"-")</f>
        <v>-</v>
      </c>
    </row>
    <row r="13698" customHeight="1" spans="2:2">
      <c r="B13698" s="62" t="str">
        <f>IF(AND('领用录入（明细）'!D:D=$F$4,'领用录入（明细）'!C:C&gt;=$J$4,'领用录入（明细）'!C:C&lt;=$L$4),ROW(),"-")</f>
        <v>-</v>
      </c>
    </row>
    <row r="13699" customHeight="1" spans="2:2">
      <c r="B13699" s="62" t="str">
        <f>IF(AND('领用录入（明细）'!D:D=$F$4,'领用录入（明细）'!C:C&gt;=$J$4,'领用录入（明细）'!C:C&lt;=$L$4),ROW(),"-")</f>
        <v>-</v>
      </c>
    </row>
    <row r="13700" customHeight="1" spans="2:2">
      <c r="B13700" s="62" t="str">
        <f>IF(AND('领用录入（明细）'!D:D=$F$4,'领用录入（明细）'!C:C&gt;=$J$4,'领用录入（明细）'!C:C&lt;=$L$4),ROW(),"-")</f>
        <v>-</v>
      </c>
    </row>
    <row r="13701" customHeight="1" spans="2:2">
      <c r="B13701" s="62" t="str">
        <f>IF(AND('领用录入（明细）'!D:D=$F$4,'领用录入（明细）'!C:C&gt;=$J$4,'领用录入（明细）'!C:C&lt;=$L$4),ROW(),"-")</f>
        <v>-</v>
      </c>
    </row>
    <row r="13702" customHeight="1" spans="2:2">
      <c r="B13702" s="62" t="str">
        <f>IF(AND('领用录入（明细）'!D:D=$F$4,'领用录入（明细）'!C:C&gt;=$J$4,'领用录入（明细）'!C:C&lt;=$L$4),ROW(),"-")</f>
        <v>-</v>
      </c>
    </row>
    <row r="13703" customHeight="1" spans="2:2">
      <c r="B13703" s="62" t="str">
        <f>IF(AND('领用录入（明细）'!D:D=$F$4,'领用录入（明细）'!C:C&gt;=$J$4,'领用录入（明细）'!C:C&lt;=$L$4),ROW(),"-")</f>
        <v>-</v>
      </c>
    </row>
    <row r="13704" customHeight="1" spans="2:2">
      <c r="B13704" s="62" t="str">
        <f>IF(AND('领用录入（明细）'!D:D=$F$4,'领用录入（明细）'!C:C&gt;=$J$4,'领用录入（明细）'!C:C&lt;=$L$4),ROW(),"-")</f>
        <v>-</v>
      </c>
    </row>
    <row r="13705" customHeight="1" spans="2:2">
      <c r="B13705" s="62" t="str">
        <f>IF(AND('领用录入（明细）'!D:D=$F$4,'领用录入（明细）'!C:C&gt;=$J$4,'领用录入（明细）'!C:C&lt;=$L$4),ROW(),"-")</f>
        <v>-</v>
      </c>
    </row>
    <row r="13706" customHeight="1" spans="2:2">
      <c r="B13706" s="62" t="str">
        <f>IF(AND('领用录入（明细）'!D:D=$F$4,'领用录入（明细）'!C:C&gt;=$J$4,'领用录入（明细）'!C:C&lt;=$L$4),ROW(),"-")</f>
        <v>-</v>
      </c>
    </row>
    <row r="13707" customHeight="1" spans="2:2">
      <c r="B13707" s="62" t="str">
        <f>IF(AND('领用录入（明细）'!D:D=$F$4,'领用录入（明细）'!C:C&gt;=$J$4,'领用录入（明细）'!C:C&lt;=$L$4),ROW(),"-")</f>
        <v>-</v>
      </c>
    </row>
    <row r="13708" customHeight="1" spans="2:2">
      <c r="B13708" s="62" t="str">
        <f>IF(AND('领用录入（明细）'!D:D=$F$4,'领用录入（明细）'!C:C&gt;=$J$4,'领用录入（明细）'!C:C&lt;=$L$4),ROW(),"-")</f>
        <v>-</v>
      </c>
    </row>
    <row r="13709" customHeight="1" spans="2:2">
      <c r="B13709" s="62" t="str">
        <f>IF(AND('领用录入（明细）'!D:D=$F$4,'领用录入（明细）'!C:C&gt;=$J$4,'领用录入（明细）'!C:C&lt;=$L$4),ROW(),"-")</f>
        <v>-</v>
      </c>
    </row>
    <row r="13710" customHeight="1" spans="2:2">
      <c r="B13710" s="62" t="str">
        <f>IF(AND('领用录入（明细）'!D:D=$F$4,'领用录入（明细）'!C:C&gt;=$J$4,'领用录入（明细）'!C:C&lt;=$L$4),ROW(),"-")</f>
        <v>-</v>
      </c>
    </row>
    <row r="13711" customHeight="1" spans="2:2">
      <c r="B13711" s="62" t="str">
        <f>IF(AND('领用录入（明细）'!D:D=$F$4,'领用录入（明细）'!C:C&gt;=$J$4,'领用录入（明细）'!C:C&lt;=$L$4),ROW(),"-")</f>
        <v>-</v>
      </c>
    </row>
    <row r="13712" customHeight="1" spans="2:2">
      <c r="B13712" s="62" t="str">
        <f>IF(AND('领用录入（明细）'!D:D=$F$4,'领用录入（明细）'!C:C&gt;=$J$4,'领用录入（明细）'!C:C&lt;=$L$4),ROW(),"-")</f>
        <v>-</v>
      </c>
    </row>
    <row r="13713" customHeight="1" spans="2:2">
      <c r="B13713" s="62" t="str">
        <f>IF(AND('领用录入（明细）'!D:D=$F$4,'领用录入（明细）'!C:C&gt;=$J$4,'领用录入（明细）'!C:C&lt;=$L$4),ROW(),"-")</f>
        <v>-</v>
      </c>
    </row>
    <row r="13714" customHeight="1" spans="2:2">
      <c r="B13714" s="62" t="str">
        <f>IF(AND('领用录入（明细）'!D:D=$F$4,'领用录入（明细）'!C:C&gt;=$J$4,'领用录入（明细）'!C:C&lt;=$L$4),ROW(),"-")</f>
        <v>-</v>
      </c>
    </row>
    <row r="13715" customHeight="1" spans="2:2">
      <c r="B13715" s="62" t="str">
        <f>IF(AND('领用录入（明细）'!D:D=$F$4,'领用录入（明细）'!C:C&gt;=$J$4,'领用录入（明细）'!C:C&lt;=$L$4),ROW(),"-")</f>
        <v>-</v>
      </c>
    </row>
    <row r="13716" customHeight="1" spans="2:2">
      <c r="B13716" s="62" t="str">
        <f>IF(AND('领用录入（明细）'!D:D=$F$4,'领用录入（明细）'!C:C&gt;=$J$4,'领用录入（明细）'!C:C&lt;=$L$4),ROW(),"-")</f>
        <v>-</v>
      </c>
    </row>
    <row r="13717" customHeight="1" spans="2:2">
      <c r="B13717" s="62" t="str">
        <f>IF(AND('领用录入（明细）'!D:D=$F$4,'领用录入（明细）'!C:C&gt;=$J$4,'领用录入（明细）'!C:C&lt;=$L$4),ROW(),"-")</f>
        <v>-</v>
      </c>
    </row>
    <row r="13718" customHeight="1" spans="2:2">
      <c r="B13718" s="62" t="str">
        <f>IF(AND('领用录入（明细）'!D:D=$F$4,'领用录入（明细）'!C:C&gt;=$J$4,'领用录入（明细）'!C:C&lt;=$L$4),ROW(),"-")</f>
        <v>-</v>
      </c>
    </row>
    <row r="13719" customHeight="1" spans="2:2">
      <c r="B13719" s="62" t="str">
        <f>IF(AND('领用录入（明细）'!D:D=$F$4,'领用录入（明细）'!C:C&gt;=$J$4,'领用录入（明细）'!C:C&lt;=$L$4),ROW(),"-")</f>
        <v>-</v>
      </c>
    </row>
    <row r="13720" customHeight="1" spans="2:2">
      <c r="B13720" s="62" t="str">
        <f>IF(AND('领用录入（明细）'!D:D=$F$4,'领用录入（明细）'!C:C&gt;=$J$4,'领用录入（明细）'!C:C&lt;=$L$4),ROW(),"-")</f>
        <v>-</v>
      </c>
    </row>
    <row r="13721" customHeight="1" spans="2:2">
      <c r="B13721" s="62" t="str">
        <f>IF(AND('领用录入（明细）'!D:D=$F$4,'领用录入（明细）'!C:C&gt;=$J$4,'领用录入（明细）'!C:C&lt;=$L$4),ROW(),"-")</f>
        <v>-</v>
      </c>
    </row>
    <row r="13722" customHeight="1" spans="2:2">
      <c r="B13722" s="62" t="str">
        <f>IF(AND('领用录入（明细）'!D:D=$F$4,'领用录入（明细）'!C:C&gt;=$J$4,'领用录入（明细）'!C:C&lt;=$L$4),ROW(),"-")</f>
        <v>-</v>
      </c>
    </row>
    <row r="13723" customHeight="1" spans="2:2">
      <c r="B13723" s="62" t="str">
        <f>IF(AND('领用录入（明细）'!D:D=$F$4,'领用录入（明细）'!C:C&gt;=$J$4,'领用录入（明细）'!C:C&lt;=$L$4),ROW(),"-")</f>
        <v>-</v>
      </c>
    </row>
    <row r="13724" customHeight="1" spans="2:2">
      <c r="B13724" s="62" t="str">
        <f>IF(AND('领用录入（明细）'!D:D=$F$4,'领用录入（明细）'!C:C&gt;=$J$4,'领用录入（明细）'!C:C&lt;=$L$4),ROW(),"-")</f>
        <v>-</v>
      </c>
    </row>
    <row r="13725" customHeight="1" spans="2:2">
      <c r="B13725" s="62" t="str">
        <f>IF(AND('领用录入（明细）'!D:D=$F$4,'领用录入（明细）'!C:C&gt;=$J$4,'领用录入（明细）'!C:C&lt;=$L$4),ROW(),"-")</f>
        <v>-</v>
      </c>
    </row>
    <row r="13726" customHeight="1" spans="2:2">
      <c r="B13726" s="62" t="str">
        <f>IF(AND('领用录入（明细）'!D:D=$F$4,'领用录入（明细）'!C:C&gt;=$J$4,'领用录入（明细）'!C:C&lt;=$L$4),ROW(),"-")</f>
        <v>-</v>
      </c>
    </row>
    <row r="13727" customHeight="1" spans="2:2">
      <c r="B13727" s="62" t="str">
        <f>IF(AND('领用录入（明细）'!D:D=$F$4,'领用录入（明细）'!C:C&gt;=$J$4,'领用录入（明细）'!C:C&lt;=$L$4),ROW(),"-")</f>
        <v>-</v>
      </c>
    </row>
    <row r="13728" customHeight="1" spans="2:2">
      <c r="B13728" s="62" t="str">
        <f>IF(AND('领用录入（明细）'!D:D=$F$4,'领用录入（明细）'!C:C&gt;=$J$4,'领用录入（明细）'!C:C&lt;=$L$4),ROW(),"-")</f>
        <v>-</v>
      </c>
    </row>
    <row r="13729" customHeight="1" spans="2:2">
      <c r="B13729" s="62" t="str">
        <f>IF(AND('领用录入（明细）'!D:D=$F$4,'领用录入（明细）'!C:C&gt;=$J$4,'领用录入（明细）'!C:C&lt;=$L$4),ROW(),"-")</f>
        <v>-</v>
      </c>
    </row>
    <row r="13730" customHeight="1" spans="2:2">
      <c r="B13730" s="62" t="str">
        <f>IF(AND('领用录入（明细）'!D:D=$F$4,'领用录入（明细）'!C:C&gt;=$J$4,'领用录入（明细）'!C:C&lt;=$L$4),ROW(),"-")</f>
        <v>-</v>
      </c>
    </row>
    <row r="13731" customHeight="1" spans="2:2">
      <c r="B13731" s="62" t="str">
        <f>IF(AND('领用录入（明细）'!D:D=$F$4,'领用录入（明细）'!C:C&gt;=$J$4,'领用录入（明细）'!C:C&lt;=$L$4),ROW(),"-")</f>
        <v>-</v>
      </c>
    </row>
    <row r="13732" customHeight="1" spans="2:2">
      <c r="B13732" s="62" t="str">
        <f>IF(AND('领用录入（明细）'!D:D=$F$4,'领用录入（明细）'!C:C&gt;=$J$4,'领用录入（明细）'!C:C&lt;=$L$4),ROW(),"-")</f>
        <v>-</v>
      </c>
    </row>
    <row r="13733" customHeight="1" spans="2:2">
      <c r="B13733" s="62" t="str">
        <f>IF(AND('领用录入（明细）'!D:D=$F$4,'领用录入（明细）'!C:C&gt;=$J$4,'领用录入（明细）'!C:C&lt;=$L$4),ROW(),"-")</f>
        <v>-</v>
      </c>
    </row>
    <row r="13734" customHeight="1" spans="2:2">
      <c r="B13734" s="62" t="str">
        <f>IF(AND('领用录入（明细）'!D:D=$F$4,'领用录入（明细）'!C:C&gt;=$J$4,'领用录入（明细）'!C:C&lt;=$L$4),ROW(),"-")</f>
        <v>-</v>
      </c>
    </row>
    <row r="13735" customHeight="1" spans="2:2">
      <c r="B13735" s="62" t="str">
        <f>IF(AND('领用录入（明细）'!D:D=$F$4,'领用录入（明细）'!C:C&gt;=$J$4,'领用录入（明细）'!C:C&lt;=$L$4),ROW(),"-")</f>
        <v>-</v>
      </c>
    </row>
    <row r="13736" customHeight="1" spans="2:2">
      <c r="B13736" s="62" t="str">
        <f>IF(AND('领用录入（明细）'!D:D=$F$4,'领用录入（明细）'!C:C&gt;=$J$4,'领用录入（明细）'!C:C&lt;=$L$4),ROW(),"-")</f>
        <v>-</v>
      </c>
    </row>
    <row r="13737" customHeight="1" spans="2:2">
      <c r="B13737" s="62" t="str">
        <f>IF(AND('领用录入（明细）'!D:D=$F$4,'领用录入（明细）'!C:C&gt;=$J$4,'领用录入（明细）'!C:C&lt;=$L$4),ROW(),"-")</f>
        <v>-</v>
      </c>
    </row>
    <row r="13738" customHeight="1" spans="2:2">
      <c r="B13738" s="62" t="str">
        <f>IF(AND('领用录入（明细）'!D:D=$F$4,'领用录入（明细）'!C:C&gt;=$J$4,'领用录入（明细）'!C:C&lt;=$L$4),ROW(),"-")</f>
        <v>-</v>
      </c>
    </row>
    <row r="13739" customHeight="1" spans="2:2">
      <c r="B13739" s="62" t="str">
        <f>IF(AND('领用录入（明细）'!D:D=$F$4,'领用录入（明细）'!C:C&gt;=$J$4,'领用录入（明细）'!C:C&lt;=$L$4),ROW(),"-")</f>
        <v>-</v>
      </c>
    </row>
    <row r="13740" customHeight="1" spans="2:2">
      <c r="B13740" s="62" t="str">
        <f>IF(AND('领用录入（明细）'!D:D=$F$4,'领用录入（明细）'!C:C&gt;=$J$4,'领用录入（明细）'!C:C&lt;=$L$4),ROW(),"-")</f>
        <v>-</v>
      </c>
    </row>
    <row r="13741" customHeight="1" spans="2:2">
      <c r="B13741" s="62" t="str">
        <f>IF(AND('领用录入（明细）'!D:D=$F$4,'领用录入（明细）'!C:C&gt;=$J$4,'领用录入（明细）'!C:C&lt;=$L$4),ROW(),"-")</f>
        <v>-</v>
      </c>
    </row>
    <row r="13742" customHeight="1" spans="2:2">
      <c r="B13742" s="62" t="str">
        <f>IF(AND('领用录入（明细）'!D:D=$F$4,'领用录入（明细）'!C:C&gt;=$J$4,'领用录入（明细）'!C:C&lt;=$L$4),ROW(),"-")</f>
        <v>-</v>
      </c>
    </row>
    <row r="13743" customHeight="1" spans="2:2">
      <c r="B13743" s="62" t="str">
        <f>IF(AND('领用录入（明细）'!D:D=$F$4,'领用录入（明细）'!C:C&gt;=$J$4,'领用录入（明细）'!C:C&lt;=$L$4),ROW(),"-")</f>
        <v>-</v>
      </c>
    </row>
    <row r="13744" customHeight="1" spans="2:2">
      <c r="B13744" s="62" t="str">
        <f>IF(AND('领用录入（明细）'!D:D=$F$4,'领用录入（明细）'!C:C&gt;=$J$4,'领用录入（明细）'!C:C&lt;=$L$4),ROW(),"-")</f>
        <v>-</v>
      </c>
    </row>
    <row r="13745" customHeight="1" spans="2:2">
      <c r="B13745" s="62" t="str">
        <f>IF(AND('领用录入（明细）'!D:D=$F$4,'领用录入（明细）'!C:C&gt;=$J$4,'领用录入（明细）'!C:C&lt;=$L$4),ROW(),"-")</f>
        <v>-</v>
      </c>
    </row>
    <row r="13746" customHeight="1" spans="2:2">
      <c r="B13746" s="62" t="str">
        <f>IF(AND('领用录入（明细）'!D:D=$F$4,'领用录入（明细）'!C:C&gt;=$J$4,'领用录入（明细）'!C:C&lt;=$L$4),ROW(),"-")</f>
        <v>-</v>
      </c>
    </row>
    <row r="13747" customHeight="1" spans="2:2">
      <c r="B13747" s="62" t="str">
        <f>IF(AND('领用录入（明细）'!D:D=$F$4,'领用录入（明细）'!C:C&gt;=$J$4,'领用录入（明细）'!C:C&lt;=$L$4),ROW(),"-")</f>
        <v>-</v>
      </c>
    </row>
    <row r="13748" customHeight="1" spans="2:2">
      <c r="B13748" s="62" t="str">
        <f>IF(AND('领用录入（明细）'!D:D=$F$4,'领用录入（明细）'!C:C&gt;=$J$4,'领用录入（明细）'!C:C&lt;=$L$4),ROW(),"-")</f>
        <v>-</v>
      </c>
    </row>
    <row r="13749" customHeight="1" spans="2:2">
      <c r="B13749" s="62" t="str">
        <f>IF(AND('领用录入（明细）'!D:D=$F$4,'领用录入（明细）'!C:C&gt;=$J$4,'领用录入（明细）'!C:C&lt;=$L$4),ROW(),"-")</f>
        <v>-</v>
      </c>
    </row>
    <row r="13750" customHeight="1" spans="2:2">
      <c r="B13750" s="62" t="str">
        <f>IF(AND('领用录入（明细）'!D:D=$F$4,'领用录入（明细）'!C:C&gt;=$J$4,'领用录入（明细）'!C:C&lt;=$L$4),ROW(),"-")</f>
        <v>-</v>
      </c>
    </row>
    <row r="13751" customHeight="1" spans="2:2">
      <c r="B13751" s="62" t="str">
        <f>IF(AND('领用录入（明细）'!D:D=$F$4,'领用录入（明细）'!C:C&gt;=$J$4,'领用录入（明细）'!C:C&lt;=$L$4),ROW(),"-")</f>
        <v>-</v>
      </c>
    </row>
    <row r="13752" customHeight="1" spans="2:2">
      <c r="B13752" s="62" t="str">
        <f>IF(AND('领用录入（明细）'!D:D=$F$4,'领用录入（明细）'!C:C&gt;=$J$4,'领用录入（明细）'!C:C&lt;=$L$4),ROW(),"-")</f>
        <v>-</v>
      </c>
    </row>
    <row r="13753" customHeight="1" spans="2:2">
      <c r="B13753" s="62" t="str">
        <f>IF(AND('领用录入（明细）'!D:D=$F$4,'领用录入（明细）'!C:C&gt;=$J$4,'领用录入（明细）'!C:C&lt;=$L$4),ROW(),"-")</f>
        <v>-</v>
      </c>
    </row>
    <row r="13754" customHeight="1" spans="2:2">
      <c r="B13754" s="62" t="str">
        <f>IF(AND('领用录入（明细）'!D:D=$F$4,'领用录入（明细）'!C:C&gt;=$J$4,'领用录入（明细）'!C:C&lt;=$L$4),ROW(),"-")</f>
        <v>-</v>
      </c>
    </row>
    <row r="13755" customHeight="1" spans="2:2">
      <c r="B13755" s="62" t="str">
        <f>IF(AND('领用录入（明细）'!D:D=$F$4,'领用录入（明细）'!C:C&gt;=$J$4,'领用录入（明细）'!C:C&lt;=$L$4),ROW(),"-")</f>
        <v>-</v>
      </c>
    </row>
    <row r="13756" customHeight="1" spans="2:2">
      <c r="B13756" s="62" t="str">
        <f>IF(AND('领用录入（明细）'!D:D=$F$4,'领用录入（明细）'!C:C&gt;=$J$4,'领用录入（明细）'!C:C&lt;=$L$4),ROW(),"-")</f>
        <v>-</v>
      </c>
    </row>
    <row r="13757" customHeight="1" spans="2:2">
      <c r="B13757" s="62" t="str">
        <f>IF(AND('领用录入（明细）'!D:D=$F$4,'领用录入（明细）'!C:C&gt;=$J$4,'领用录入（明细）'!C:C&lt;=$L$4),ROW(),"-")</f>
        <v>-</v>
      </c>
    </row>
    <row r="13758" customHeight="1" spans="2:2">
      <c r="B13758" s="62" t="str">
        <f>IF(AND('领用录入（明细）'!D:D=$F$4,'领用录入（明细）'!C:C&gt;=$J$4,'领用录入（明细）'!C:C&lt;=$L$4),ROW(),"-")</f>
        <v>-</v>
      </c>
    </row>
    <row r="13759" customHeight="1" spans="2:2">
      <c r="B13759" s="62" t="str">
        <f>IF(AND('领用录入（明细）'!D:D=$F$4,'领用录入（明细）'!C:C&gt;=$J$4,'领用录入（明细）'!C:C&lt;=$L$4),ROW(),"-")</f>
        <v>-</v>
      </c>
    </row>
    <row r="13760" customHeight="1" spans="2:2">
      <c r="B13760" s="62" t="str">
        <f>IF(AND('领用录入（明细）'!D:D=$F$4,'领用录入（明细）'!C:C&gt;=$J$4,'领用录入（明细）'!C:C&lt;=$L$4),ROW(),"-")</f>
        <v>-</v>
      </c>
    </row>
    <row r="13761" customHeight="1" spans="2:2">
      <c r="B13761" s="62" t="str">
        <f>IF(AND('领用录入（明细）'!D:D=$F$4,'领用录入（明细）'!C:C&gt;=$J$4,'领用录入（明细）'!C:C&lt;=$L$4),ROW(),"-")</f>
        <v>-</v>
      </c>
    </row>
    <row r="13762" customHeight="1" spans="2:2">
      <c r="B13762" s="62" t="str">
        <f>IF(AND('领用录入（明细）'!D:D=$F$4,'领用录入（明细）'!C:C&gt;=$J$4,'领用录入（明细）'!C:C&lt;=$L$4),ROW(),"-")</f>
        <v>-</v>
      </c>
    </row>
    <row r="13763" customHeight="1" spans="2:2">
      <c r="B13763" s="62" t="str">
        <f>IF(AND('领用录入（明细）'!D:D=$F$4,'领用录入（明细）'!C:C&gt;=$J$4,'领用录入（明细）'!C:C&lt;=$L$4),ROW(),"-")</f>
        <v>-</v>
      </c>
    </row>
    <row r="13764" customHeight="1" spans="2:2">
      <c r="B13764" s="62" t="str">
        <f>IF(AND('领用录入（明细）'!D:D=$F$4,'领用录入（明细）'!C:C&gt;=$J$4,'领用录入（明细）'!C:C&lt;=$L$4),ROW(),"-")</f>
        <v>-</v>
      </c>
    </row>
    <row r="13765" customHeight="1" spans="2:2">
      <c r="B13765" s="62" t="str">
        <f>IF(AND('领用录入（明细）'!D:D=$F$4,'领用录入（明细）'!C:C&gt;=$J$4,'领用录入（明细）'!C:C&lt;=$L$4),ROW(),"-")</f>
        <v>-</v>
      </c>
    </row>
    <row r="13766" customHeight="1" spans="2:2">
      <c r="B13766" s="62" t="str">
        <f>IF(AND('领用录入（明细）'!D:D=$F$4,'领用录入（明细）'!C:C&gt;=$J$4,'领用录入（明细）'!C:C&lt;=$L$4),ROW(),"-")</f>
        <v>-</v>
      </c>
    </row>
    <row r="13767" customHeight="1" spans="2:2">
      <c r="B13767" s="62" t="str">
        <f>IF(AND('领用录入（明细）'!D:D=$F$4,'领用录入（明细）'!C:C&gt;=$J$4,'领用录入（明细）'!C:C&lt;=$L$4),ROW(),"-")</f>
        <v>-</v>
      </c>
    </row>
    <row r="13768" customHeight="1" spans="2:2">
      <c r="B13768" s="62" t="str">
        <f>IF(AND('领用录入（明细）'!D:D=$F$4,'领用录入（明细）'!C:C&gt;=$J$4,'领用录入（明细）'!C:C&lt;=$L$4),ROW(),"-")</f>
        <v>-</v>
      </c>
    </row>
    <row r="13769" customHeight="1" spans="2:2">
      <c r="B13769" s="62" t="str">
        <f>IF(AND('领用录入（明细）'!D:D=$F$4,'领用录入（明细）'!C:C&gt;=$J$4,'领用录入（明细）'!C:C&lt;=$L$4),ROW(),"-")</f>
        <v>-</v>
      </c>
    </row>
    <row r="13770" customHeight="1" spans="2:2">
      <c r="B13770" s="62" t="str">
        <f>IF(AND('领用录入（明细）'!D:D=$F$4,'领用录入（明细）'!C:C&gt;=$J$4,'领用录入（明细）'!C:C&lt;=$L$4),ROW(),"-")</f>
        <v>-</v>
      </c>
    </row>
    <row r="13771" customHeight="1" spans="2:2">
      <c r="B13771" s="62" t="str">
        <f>IF(AND('领用录入（明细）'!D:D=$F$4,'领用录入（明细）'!C:C&gt;=$J$4,'领用录入（明细）'!C:C&lt;=$L$4),ROW(),"-")</f>
        <v>-</v>
      </c>
    </row>
    <row r="13772" customHeight="1" spans="2:2">
      <c r="B13772" s="62" t="str">
        <f>IF(AND('领用录入（明细）'!D:D=$F$4,'领用录入（明细）'!C:C&gt;=$J$4,'领用录入（明细）'!C:C&lt;=$L$4),ROW(),"-")</f>
        <v>-</v>
      </c>
    </row>
    <row r="13773" customHeight="1" spans="2:2">
      <c r="B13773" s="62" t="str">
        <f>IF(AND('领用录入（明细）'!D:D=$F$4,'领用录入（明细）'!C:C&gt;=$J$4,'领用录入（明细）'!C:C&lt;=$L$4),ROW(),"-")</f>
        <v>-</v>
      </c>
    </row>
    <row r="13774" customHeight="1" spans="2:2">
      <c r="B13774" s="62" t="str">
        <f>IF(AND('领用录入（明细）'!D:D=$F$4,'领用录入（明细）'!C:C&gt;=$J$4,'领用录入（明细）'!C:C&lt;=$L$4),ROW(),"-")</f>
        <v>-</v>
      </c>
    </row>
    <row r="13775" customHeight="1" spans="2:2">
      <c r="B13775" s="62" t="str">
        <f>IF(AND('领用录入（明细）'!D:D=$F$4,'领用录入（明细）'!C:C&gt;=$J$4,'领用录入（明细）'!C:C&lt;=$L$4),ROW(),"-")</f>
        <v>-</v>
      </c>
    </row>
    <row r="13776" customHeight="1" spans="2:2">
      <c r="B13776" s="62" t="str">
        <f>IF(AND('领用录入（明细）'!D:D=$F$4,'领用录入（明细）'!C:C&gt;=$J$4,'领用录入（明细）'!C:C&lt;=$L$4),ROW(),"-")</f>
        <v>-</v>
      </c>
    </row>
    <row r="13777" customHeight="1" spans="2:2">
      <c r="B13777" s="62" t="str">
        <f>IF(AND('领用录入（明细）'!D:D=$F$4,'领用录入（明细）'!C:C&gt;=$J$4,'领用录入（明细）'!C:C&lt;=$L$4),ROW(),"-")</f>
        <v>-</v>
      </c>
    </row>
    <row r="13778" customHeight="1" spans="2:2">
      <c r="B13778" s="62" t="str">
        <f>IF(AND('领用录入（明细）'!D:D=$F$4,'领用录入（明细）'!C:C&gt;=$J$4,'领用录入（明细）'!C:C&lt;=$L$4),ROW(),"-")</f>
        <v>-</v>
      </c>
    </row>
    <row r="13779" customHeight="1" spans="2:2">
      <c r="B13779" s="62" t="str">
        <f>IF(AND('领用录入（明细）'!D:D=$F$4,'领用录入（明细）'!C:C&gt;=$J$4,'领用录入（明细）'!C:C&lt;=$L$4),ROW(),"-")</f>
        <v>-</v>
      </c>
    </row>
    <row r="13780" customHeight="1" spans="2:2">
      <c r="B13780" s="62" t="str">
        <f>IF(AND('领用录入（明细）'!D:D=$F$4,'领用录入（明细）'!C:C&gt;=$J$4,'领用录入（明细）'!C:C&lt;=$L$4),ROW(),"-")</f>
        <v>-</v>
      </c>
    </row>
    <row r="13781" customHeight="1" spans="2:2">
      <c r="B13781" s="62" t="str">
        <f>IF(AND('领用录入（明细）'!D:D=$F$4,'领用录入（明细）'!C:C&gt;=$J$4,'领用录入（明细）'!C:C&lt;=$L$4),ROW(),"-")</f>
        <v>-</v>
      </c>
    </row>
    <row r="13782" customHeight="1" spans="2:2">
      <c r="B13782" s="62" t="str">
        <f>IF(AND('领用录入（明细）'!D:D=$F$4,'领用录入（明细）'!C:C&gt;=$J$4,'领用录入（明细）'!C:C&lt;=$L$4),ROW(),"-")</f>
        <v>-</v>
      </c>
    </row>
    <row r="13783" customHeight="1" spans="2:2">
      <c r="B13783" s="62" t="str">
        <f>IF(AND('领用录入（明细）'!D:D=$F$4,'领用录入（明细）'!C:C&gt;=$J$4,'领用录入（明细）'!C:C&lt;=$L$4),ROW(),"-")</f>
        <v>-</v>
      </c>
    </row>
    <row r="13784" customHeight="1" spans="2:2">
      <c r="B13784" s="62" t="str">
        <f>IF(AND('领用录入（明细）'!D:D=$F$4,'领用录入（明细）'!C:C&gt;=$J$4,'领用录入（明细）'!C:C&lt;=$L$4),ROW(),"-")</f>
        <v>-</v>
      </c>
    </row>
    <row r="13785" customHeight="1" spans="2:2">
      <c r="B13785" s="62" t="str">
        <f>IF(AND('领用录入（明细）'!D:D=$F$4,'领用录入（明细）'!C:C&gt;=$J$4,'领用录入（明细）'!C:C&lt;=$L$4),ROW(),"-")</f>
        <v>-</v>
      </c>
    </row>
    <row r="13786" customHeight="1" spans="2:2">
      <c r="B13786" s="62" t="str">
        <f>IF(AND('领用录入（明细）'!D:D=$F$4,'领用录入（明细）'!C:C&gt;=$J$4,'领用录入（明细）'!C:C&lt;=$L$4),ROW(),"-")</f>
        <v>-</v>
      </c>
    </row>
    <row r="13787" customHeight="1" spans="2:2">
      <c r="B13787" s="62" t="str">
        <f>IF(AND('领用录入（明细）'!D:D=$F$4,'领用录入（明细）'!C:C&gt;=$J$4,'领用录入（明细）'!C:C&lt;=$L$4),ROW(),"-")</f>
        <v>-</v>
      </c>
    </row>
    <row r="13788" customHeight="1" spans="2:2">
      <c r="B13788" s="62" t="str">
        <f>IF(AND('领用录入（明细）'!D:D=$F$4,'领用录入（明细）'!C:C&gt;=$J$4,'领用录入（明细）'!C:C&lt;=$L$4),ROW(),"-")</f>
        <v>-</v>
      </c>
    </row>
    <row r="13789" customHeight="1" spans="2:2">
      <c r="B13789" s="62" t="str">
        <f>IF(AND('领用录入（明细）'!D:D=$F$4,'领用录入（明细）'!C:C&gt;=$J$4,'领用录入（明细）'!C:C&lt;=$L$4),ROW(),"-")</f>
        <v>-</v>
      </c>
    </row>
    <row r="13790" customHeight="1" spans="2:2">
      <c r="B13790" s="62" t="str">
        <f>IF(AND('领用录入（明细）'!D:D=$F$4,'领用录入（明细）'!C:C&gt;=$J$4,'领用录入（明细）'!C:C&lt;=$L$4),ROW(),"-")</f>
        <v>-</v>
      </c>
    </row>
    <row r="13791" customHeight="1" spans="2:2">
      <c r="B13791" s="62" t="str">
        <f>IF(AND('领用录入（明细）'!D:D=$F$4,'领用录入（明细）'!C:C&gt;=$J$4,'领用录入（明细）'!C:C&lt;=$L$4),ROW(),"-")</f>
        <v>-</v>
      </c>
    </row>
    <row r="13792" customHeight="1" spans="2:2">
      <c r="B13792" s="62" t="str">
        <f>IF(AND('领用录入（明细）'!D:D=$F$4,'领用录入（明细）'!C:C&gt;=$J$4,'领用录入（明细）'!C:C&lt;=$L$4),ROW(),"-")</f>
        <v>-</v>
      </c>
    </row>
    <row r="13793" customHeight="1" spans="2:2">
      <c r="B13793" s="62" t="str">
        <f>IF(AND('领用录入（明细）'!D:D=$F$4,'领用录入（明细）'!C:C&gt;=$J$4,'领用录入（明细）'!C:C&lt;=$L$4),ROW(),"-")</f>
        <v>-</v>
      </c>
    </row>
    <row r="13794" customHeight="1" spans="2:2">
      <c r="B13794" s="62" t="str">
        <f>IF(AND('领用录入（明细）'!D:D=$F$4,'领用录入（明细）'!C:C&gt;=$J$4,'领用录入（明细）'!C:C&lt;=$L$4),ROW(),"-")</f>
        <v>-</v>
      </c>
    </row>
    <row r="13795" customHeight="1" spans="2:2">
      <c r="B13795" s="62" t="str">
        <f>IF(AND('领用录入（明细）'!D:D=$F$4,'领用录入（明细）'!C:C&gt;=$J$4,'领用录入（明细）'!C:C&lt;=$L$4),ROW(),"-")</f>
        <v>-</v>
      </c>
    </row>
    <row r="13796" customHeight="1" spans="2:2">
      <c r="B13796" s="62" t="str">
        <f>IF(AND('领用录入（明细）'!D:D=$F$4,'领用录入（明细）'!C:C&gt;=$J$4,'领用录入（明细）'!C:C&lt;=$L$4),ROW(),"-")</f>
        <v>-</v>
      </c>
    </row>
    <row r="13797" customHeight="1" spans="2:2">
      <c r="B13797" s="62" t="str">
        <f>IF(AND('领用录入（明细）'!D:D=$F$4,'领用录入（明细）'!C:C&gt;=$J$4,'领用录入（明细）'!C:C&lt;=$L$4),ROW(),"-")</f>
        <v>-</v>
      </c>
    </row>
    <row r="13798" customHeight="1" spans="2:2">
      <c r="B13798" s="62" t="str">
        <f>IF(AND('领用录入（明细）'!D:D=$F$4,'领用录入（明细）'!C:C&gt;=$J$4,'领用录入（明细）'!C:C&lt;=$L$4),ROW(),"-")</f>
        <v>-</v>
      </c>
    </row>
    <row r="13799" customHeight="1" spans="2:2">
      <c r="B13799" s="62" t="str">
        <f>IF(AND('领用录入（明细）'!D:D=$F$4,'领用录入（明细）'!C:C&gt;=$J$4,'领用录入（明细）'!C:C&lt;=$L$4),ROW(),"-")</f>
        <v>-</v>
      </c>
    </row>
    <row r="13800" customHeight="1" spans="2:2">
      <c r="B13800" s="62" t="str">
        <f>IF(AND('领用录入（明细）'!D:D=$F$4,'领用录入（明细）'!C:C&gt;=$J$4,'领用录入（明细）'!C:C&lt;=$L$4),ROW(),"-")</f>
        <v>-</v>
      </c>
    </row>
    <row r="13801" customHeight="1" spans="2:2">
      <c r="B13801" s="62" t="str">
        <f>IF(AND('领用录入（明细）'!D:D=$F$4,'领用录入（明细）'!C:C&gt;=$J$4,'领用录入（明细）'!C:C&lt;=$L$4),ROW(),"-")</f>
        <v>-</v>
      </c>
    </row>
    <row r="13802" customHeight="1" spans="2:2">
      <c r="B13802" s="62" t="str">
        <f>IF(AND('领用录入（明细）'!D:D=$F$4,'领用录入（明细）'!C:C&gt;=$J$4,'领用录入（明细）'!C:C&lt;=$L$4),ROW(),"-")</f>
        <v>-</v>
      </c>
    </row>
    <row r="13803" customHeight="1" spans="2:2">
      <c r="B13803" s="62" t="str">
        <f>IF(AND('领用录入（明细）'!D:D=$F$4,'领用录入（明细）'!C:C&gt;=$J$4,'领用录入（明细）'!C:C&lt;=$L$4),ROW(),"-")</f>
        <v>-</v>
      </c>
    </row>
    <row r="13804" customHeight="1" spans="2:2">
      <c r="B13804" s="62" t="str">
        <f>IF(AND('领用录入（明细）'!D:D=$F$4,'领用录入（明细）'!C:C&gt;=$J$4,'领用录入（明细）'!C:C&lt;=$L$4),ROW(),"-")</f>
        <v>-</v>
      </c>
    </row>
    <row r="13805" customHeight="1" spans="2:2">
      <c r="B13805" s="62" t="str">
        <f>IF(AND('领用录入（明细）'!D:D=$F$4,'领用录入（明细）'!C:C&gt;=$J$4,'领用录入（明细）'!C:C&lt;=$L$4),ROW(),"-")</f>
        <v>-</v>
      </c>
    </row>
    <row r="13806" customHeight="1" spans="2:2">
      <c r="B13806" s="62" t="str">
        <f>IF(AND('领用录入（明细）'!D:D=$F$4,'领用录入（明细）'!C:C&gt;=$J$4,'领用录入（明细）'!C:C&lt;=$L$4),ROW(),"-")</f>
        <v>-</v>
      </c>
    </row>
    <row r="13807" customHeight="1" spans="2:2">
      <c r="B13807" s="62" t="str">
        <f>IF(AND('领用录入（明细）'!D:D=$F$4,'领用录入（明细）'!C:C&gt;=$J$4,'领用录入（明细）'!C:C&lt;=$L$4),ROW(),"-")</f>
        <v>-</v>
      </c>
    </row>
    <row r="13808" customHeight="1" spans="2:2">
      <c r="B13808" s="62" t="str">
        <f>IF(AND('领用录入（明细）'!D:D=$F$4,'领用录入（明细）'!C:C&gt;=$J$4,'领用录入（明细）'!C:C&lt;=$L$4),ROW(),"-")</f>
        <v>-</v>
      </c>
    </row>
    <row r="13809" customHeight="1" spans="2:2">
      <c r="B13809" s="62" t="str">
        <f>IF(AND('领用录入（明细）'!D:D=$F$4,'领用录入（明细）'!C:C&gt;=$J$4,'领用录入（明细）'!C:C&lt;=$L$4),ROW(),"-")</f>
        <v>-</v>
      </c>
    </row>
    <row r="13810" customHeight="1" spans="2:2">
      <c r="B13810" s="62" t="str">
        <f>IF(AND('领用录入（明细）'!D:D=$F$4,'领用录入（明细）'!C:C&gt;=$J$4,'领用录入（明细）'!C:C&lt;=$L$4),ROW(),"-")</f>
        <v>-</v>
      </c>
    </row>
    <row r="13811" customHeight="1" spans="2:2">
      <c r="B13811" s="62" t="str">
        <f>IF(AND('领用录入（明细）'!D:D=$F$4,'领用录入（明细）'!C:C&gt;=$J$4,'领用录入（明细）'!C:C&lt;=$L$4),ROW(),"-")</f>
        <v>-</v>
      </c>
    </row>
    <row r="13812" customHeight="1" spans="2:2">
      <c r="B13812" s="62" t="str">
        <f>IF(AND('领用录入（明细）'!D:D=$F$4,'领用录入（明细）'!C:C&gt;=$J$4,'领用录入（明细）'!C:C&lt;=$L$4),ROW(),"-")</f>
        <v>-</v>
      </c>
    </row>
    <row r="13813" customHeight="1" spans="2:2">
      <c r="B13813" s="62" t="str">
        <f>IF(AND('领用录入（明细）'!D:D=$F$4,'领用录入（明细）'!C:C&gt;=$J$4,'领用录入（明细）'!C:C&lt;=$L$4),ROW(),"-")</f>
        <v>-</v>
      </c>
    </row>
    <row r="13814" customHeight="1" spans="2:2">
      <c r="B13814" s="62" t="str">
        <f>IF(AND('领用录入（明细）'!D:D=$F$4,'领用录入（明细）'!C:C&gt;=$J$4,'领用录入（明细）'!C:C&lt;=$L$4),ROW(),"-")</f>
        <v>-</v>
      </c>
    </row>
    <row r="13815" customHeight="1" spans="2:2">
      <c r="B13815" s="62" t="str">
        <f>IF(AND('领用录入（明细）'!D:D=$F$4,'领用录入（明细）'!C:C&gt;=$J$4,'领用录入（明细）'!C:C&lt;=$L$4),ROW(),"-")</f>
        <v>-</v>
      </c>
    </row>
    <row r="13816" customHeight="1" spans="2:2">
      <c r="B13816" s="62" t="str">
        <f>IF(AND('领用录入（明细）'!D:D=$F$4,'领用录入（明细）'!C:C&gt;=$J$4,'领用录入（明细）'!C:C&lt;=$L$4),ROW(),"-")</f>
        <v>-</v>
      </c>
    </row>
    <row r="13817" customHeight="1" spans="2:2">
      <c r="B13817" s="62" t="str">
        <f>IF(AND('领用录入（明细）'!D:D=$F$4,'领用录入（明细）'!C:C&gt;=$J$4,'领用录入（明细）'!C:C&lt;=$L$4),ROW(),"-")</f>
        <v>-</v>
      </c>
    </row>
    <row r="13818" customHeight="1" spans="2:2">
      <c r="B13818" s="62" t="str">
        <f>IF(AND('领用录入（明细）'!D:D=$F$4,'领用录入（明细）'!C:C&gt;=$J$4,'领用录入（明细）'!C:C&lt;=$L$4),ROW(),"-")</f>
        <v>-</v>
      </c>
    </row>
    <row r="13819" customHeight="1" spans="2:2">
      <c r="B13819" s="62" t="str">
        <f>IF(AND('领用录入（明细）'!D:D=$F$4,'领用录入（明细）'!C:C&gt;=$J$4,'领用录入（明细）'!C:C&lt;=$L$4),ROW(),"-")</f>
        <v>-</v>
      </c>
    </row>
    <row r="13820" customHeight="1" spans="2:2">
      <c r="B13820" s="62" t="str">
        <f>IF(AND('领用录入（明细）'!D:D=$F$4,'领用录入（明细）'!C:C&gt;=$J$4,'领用录入（明细）'!C:C&lt;=$L$4),ROW(),"-")</f>
        <v>-</v>
      </c>
    </row>
    <row r="13821" customHeight="1" spans="2:2">
      <c r="B13821" s="62" t="str">
        <f>IF(AND('领用录入（明细）'!D:D=$F$4,'领用录入（明细）'!C:C&gt;=$J$4,'领用录入（明细）'!C:C&lt;=$L$4),ROW(),"-")</f>
        <v>-</v>
      </c>
    </row>
    <row r="13822" customHeight="1" spans="2:2">
      <c r="B13822" s="62" t="str">
        <f>IF(AND('领用录入（明细）'!D:D=$F$4,'领用录入（明细）'!C:C&gt;=$J$4,'领用录入（明细）'!C:C&lt;=$L$4),ROW(),"-")</f>
        <v>-</v>
      </c>
    </row>
    <row r="13823" customHeight="1" spans="2:2">
      <c r="B13823" s="62" t="str">
        <f>IF(AND('领用录入（明细）'!D:D=$F$4,'领用录入（明细）'!C:C&gt;=$J$4,'领用录入（明细）'!C:C&lt;=$L$4),ROW(),"-")</f>
        <v>-</v>
      </c>
    </row>
    <row r="13824" customHeight="1" spans="2:2">
      <c r="B13824" s="62" t="str">
        <f>IF(AND('领用录入（明细）'!D:D=$F$4,'领用录入（明细）'!C:C&gt;=$J$4,'领用录入（明细）'!C:C&lt;=$L$4),ROW(),"-")</f>
        <v>-</v>
      </c>
    </row>
    <row r="13825" customHeight="1" spans="2:2">
      <c r="B13825" s="62" t="str">
        <f>IF(AND('领用录入（明细）'!D:D=$F$4,'领用录入（明细）'!C:C&gt;=$J$4,'领用录入（明细）'!C:C&lt;=$L$4),ROW(),"-")</f>
        <v>-</v>
      </c>
    </row>
    <row r="13826" customHeight="1" spans="2:2">
      <c r="B13826" s="62" t="str">
        <f>IF(AND('领用录入（明细）'!D:D=$F$4,'领用录入（明细）'!C:C&gt;=$J$4,'领用录入（明细）'!C:C&lt;=$L$4),ROW(),"-")</f>
        <v>-</v>
      </c>
    </row>
    <row r="13827" customHeight="1" spans="2:2">
      <c r="B13827" s="62" t="str">
        <f>IF(AND('领用录入（明细）'!D:D=$F$4,'领用录入（明细）'!C:C&gt;=$J$4,'领用录入（明细）'!C:C&lt;=$L$4),ROW(),"-")</f>
        <v>-</v>
      </c>
    </row>
    <row r="13828" customHeight="1" spans="2:2">
      <c r="B13828" s="62" t="str">
        <f>IF(AND('领用录入（明细）'!D:D=$F$4,'领用录入（明细）'!C:C&gt;=$J$4,'领用录入（明细）'!C:C&lt;=$L$4),ROW(),"-")</f>
        <v>-</v>
      </c>
    </row>
    <row r="13829" customHeight="1" spans="2:2">
      <c r="B13829" s="62" t="str">
        <f>IF(AND('领用录入（明细）'!D:D=$F$4,'领用录入（明细）'!C:C&gt;=$J$4,'领用录入（明细）'!C:C&lt;=$L$4),ROW(),"-")</f>
        <v>-</v>
      </c>
    </row>
    <row r="13830" customHeight="1" spans="2:2">
      <c r="B13830" s="62" t="str">
        <f>IF(AND('领用录入（明细）'!D:D=$F$4,'领用录入（明细）'!C:C&gt;=$J$4,'领用录入（明细）'!C:C&lt;=$L$4),ROW(),"-")</f>
        <v>-</v>
      </c>
    </row>
    <row r="13831" customHeight="1" spans="2:2">
      <c r="B13831" s="62" t="str">
        <f>IF(AND('领用录入（明细）'!D:D=$F$4,'领用录入（明细）'!C:C&gt;=$J$4,'领用录入（明细）'!C:C&lt;=$L$4),ROW(),"-")</f>
        <v>-</v>
      </c>
    </row>
    <row r="13832" customHeight="1" spans="2:2">
      <c r="B13832" s="62" t="str">
        <f>IF(AND('领用录入（明细）'!D:D=$F$4,'领用录入（明细）'!C:C&gt;=$J$4,'领用录入（明细）'!C:C&lt;=$L$4),ROW(),"-")</f>
        <v>-</v>
      </c>
    </row>
    <row r="13833" customHeight="1" spans="2:2">
      <c r="B13833" s="62" t="str">
        <f>IF(AND('领用录入（明细）'!D:D=$F$4,'领用录入（明细）'!C:C&gt;=$J$4,'领用录入（明细）'!C:C&lt;=$L$4),ROW(),"-")</f>
        <v>-</v>
      </c>
    </row>
    <row r="13834" customHeight="1" spans="2:2">
      <c r="B13834" s="62" t="str">
        <f>IF(AND('领用录入（明细）'!D:D=$F$4,'领用录入（明细）'!C:C&gt;=$J$4,'领用录入（明细）'!C:C&lt;=$L$4),ROW(),"-")</f>
        <v>-</v>
      </c>
    </row>
    <row r="13835" customHeight="1" spans="2:2">
      <c r="B13835" s="62" t="str">
        <f>IF(AND('领用录入（明细）'!D:D=$F$4,'领用录入（明细）'!C:C&gt;=$J$4,'领用录入（明细）'!C:C&lt;=$L$4),ROW(),"-")</f>
        <v>-</v>
      </c>
    </row>
    <row r="13836" customHeight="1" spans="2:2">
      <c r="B13836" s="62" t="str">
        <f>IF(AND('领用录入（明细）'!D:D=$F$4,'领用录入（明细）'!C:C&gt;=$J$4,'领用录入（明细）'!C:C&lt;=$L$4),ROW(),"-")</f>
        <v>-</v>
      </c>
    </row>
    <row r="13837" customHeight="1" spans="2:2">
      <c r="B13837" s="62" t="str">
        <f>IF(AND('领用录入（明细）'!D:D=$F$4,'领用录入（明细）'!C:C&gt;=$J$4,'领用录入（明细）'!C:C&lt;=$L$4),ROW(),"-")</f>
        <v>-</v>
      </c>
    </row>
    <row r="13838" customHeight="1" spans="2:2">
      <c r="B13838" s="62" t="str">
        <f>IF(AND('领用录入（明细）'!D:D=$F$4,'领用录入（明细）'!C:C&gt;=$J$4,'领用录入（明细）'!C:C&lt;=$L$4),ROW(),"-")</f>
        <v>-</v>
      </c>
    </row>
    <row r="13839" customHeight="1" spans="2:2">
      <c r="B13839" s="62" t="str">
        <f>IF(AND('领用录入（明细）'!D:D=$F$4,'领用录入（明细）'!C:C&gt;=$J$4,'领用录入（明细）'!C:C&lt;=$L$4),ROW(),"-")</f>
        <v>-</v>
      </c>
    </row>
    <row r="13840" customHeight="1" spans="2:2">
      <c r="B13840" s="62" t="str">
        <f>IF(AND('领用录入（明细）'!D:D=$F$4,'领用录入（明细）'!C:C&gt;=$J$4,'领用录入（明细）'!C:C&lt;=$L$4),ROW(),"-")</f>
        <v>-</v>
      </c>
    </row>
    <row r="13841" customHeight="1" spans="2:2">
      <c r="B13841" s="62" t="str">
        <f>IF(AND('领用录入（明细）'!D:D=$F$4,'领用录入（明细）'!C:C&gt;=$J$4,'领用录入（明细）'!C:C&lt;=$L$4),ROW(),"-")</f>
        <v>-</v>
      </c>
    </row>
    <row r="13842" customHeight="1" spans="2:2">
      <c r="B13842" s="62" t="str">
        <f>IF(AND('领用录入（明细）'!D:D=$F$4,'领用录入（明细）'!C:C&gt;=$J$4,'领用录入（明细）'!C:C&lt;=$L$4),ROW(),"-")</f>
        <v>-</v>
      </c>
    </row>
    <row r="13843" customHeight="1" spans="2:2">
      <c r="B13843" s="62" t="str">
        <f>IF(AND('领用录入（明细）'!D:D=$F$4,'领用录入（明细）'!C:C&gt;=$J$4,'领用录入（明细）'!C:C&lt;=$L$4),ROW(),"-")</f>
        <v>-</v>
      </c>
    </row>
    <row r="13844" customHeight="1" spans="2:2">
      <c r="B13844" s="62" t="str">
        <f>IF(AND('领用录入（明细）'!D:D=$F$4,'领用录入（明细）'!C:C&gt;=$J$4,'领用录入（明细）'!C:C&lt;=$L$4),ROW(),"-")</f>
        <v>-</v>
      </c>
    </row>
    <row r="13845" customHeight="1" spans="2:2">
      <c r="B13845" s="62" t="str">
        <f>IF(AND('领用录入（明细）'!D:D=$F$4,'领用录入（明细）'!C:C&gt;=$J$4,'领用录入（明细）'!C:C&lt;=$L$4),ROW(),"-")</f>
        <v>-</v>
      </c>
    </row>
    <row r="13846" customHeight="1" spans="2:2">
      <c r="B13846" s="62" t="str">
        <f>IF(AND('领用录入（明细）'!D:D=$F$4,'领用录入（明细）'!C:C&gt;=$J$4,'领用录入（明细）'!C:C&lt;=$L$4),ROW(),"-")</f>
        <v>-</v>
      </c>
    </row>
    <row r="13847" customHeight="1" spans="2:2">
      <c r="B13847" s="62" t="str">
        <f>IF(AND('领用录入（明细）'!D:D=$F$4,'领用录入（明细）'!C:C&gt;=$J$4,'领用录入（明细）'!C:C&lt;=$L$4),ROW(),"-")</f>
        <v>-</v>
      </c>
    </row>
    <row r="13848" customHeight="1" spans="2:2">
      <c r="B13848" s="62" t="str">
        <f>IF(AND('领用录入（明细）'!D:D=$F$4,'领用录入（明细）'!C:C&gt;=$J$4,'领用录入（明细）'!C:C&lt;=$L$4),ROW(),"-")</f>
        <v>-</v>
      </c>
    </row>
    <row r="13849" customHeight="1" spans="2:2">
      <c r="B13849" s="62" t="str">
        <f>IF(AND('领用录入（明细）'!D:D=$F$4,'领用录入（明细）'!C:C&gt;=$J$4,'领用录入（明细）'!C:C&lt;=$L$4),ROW(),"-")</f>
        <v>-</v>
      </c>
    </row>
    <row r="13850" customHeight="1" spans="2:2">
      <c r="B13850" s="62" t="str">
        <f>IF(AND('领用录入（明细）'!D:D=$F$4,'领用录入（明细）'!C:C&gt;=$J$4,'领用录入（明细）'!C:C&lt;=$L$4),ROW(),"-")</f>
        <v>-</v>
      </c>
    </row>
    <row r="13851" customHeight="1" spans="2:2">
      <c r="B13851" s="62" t="str">
        <f>IF(AND('领用录入（明细）'!D:D=$F$4,'领用录入（明细）'!C:C&gt;=$J$4,'领用录入（明细）'!C:C&lt;=$L$4),ROW(),"-")</f>
        <v>-</v>
      </c>
    </row>
    <row r="13852" customHeight="1" spans="2:2">
      <c r="B13852" s="62" t="str">
        <f>IF(AND('领用录入（明细）'!D:D=$F$4,'领用录入（明细）'!C:C&gt;=$J$4,'领用录入（明细）'!C:C&lt;=$L$4),ROW(),"-")</f>
        <v>-</v>
      </c>
    </row>
    <row r="13853" customHeight="1" spans="2:2">
      <c r="B13853" s="62" t="str">
        <f>IF(AND('领用录入（明细）'!D:D=$F$4,'领用录入（明细）'!C:C&gt;=$J$4,'领用录入（明细）'!C:C&lt;=$L$4),ROW(),"-")</f>
        <v>-</v>
      </c>
    </row>
    <row r="13854" customHeight="1" spans="2:2">
      <c r="B13854" s="62" t="str">
        <f>IF(AND('领用录入（明细）'!D:D=$F$4,'领用录入（明细）'!C:C&gt;=$J$4,'领用录入（明细）'!C:C&lt;=$L$4),ROW(),"-")</f>
        <v>-</v>
      </c>
    </row>
    <row r="13855" customHeight="1" spans="2:2">
      <c r="B13855" s="62" t="str">
        <f>IF(AND('领用录入（明细）'!D:D=$F$4,'领用录入（明细）'!C:C&gt;=$J$4,'领用录入（明细）'!C:C&lt;=$L$4),ROW(),"-")</f>
        <v>-</v>
      </c>
    </row>
    <row r="13856" customHeight="1" spans="2:2">
      <c r="B13856" s="62" t="str">
        <f>IF(AND('领用录入（明细）'!D:D=$F$4,'领用录入（明细）'!C:C&gt;=$J$4,'领用录入（明细）'!C:C&lt;=$L$4),ROW(),"-")</f>
        <v>-</v>
      </c>
    </row>
    <row r="13857" customHeight="1" spans="2:2">
      <c r="B13857" s="62" t="str">
        <f>IF(AND('领用录入（明细）'!D:D=$F$4,'领用录入（明细）'!C:C&gt;=$J$4,'领用录入（明细）'!C:C&lt;=$L$4),ROW(),"-")</f>
        <v>-</v>
      </c>
    </row>
    <row r="13858" customHeight="1" spans="2:2">
      <c r="B13858" s="62" t="str">
        <f>IF(AND('领用录入（明细）'!D:D=$F$4,'领用录入（明细）'!C:C&gt;=$J$4,'领用录入（明细）'!C:C&lt;=$L$4),ROW(),"-")</f>
        <v>-</v>
      </c>
    </row>
    <row r="13859" customHeight="1" spans="2:2">
      <c r="B13859" s="62" t="str">
        <f>IF(AND('领用录入（明细）'!D:D=$F$4,'领用录入（明细）'!C:C&gt;=$J$4,'领用录入（明细）'!C:C&lt;=$L$4),ROW(),"-")</f>
        <v>-</v>
      </c>
    </row>
    <row r="13860" customHeight="1" spans="2:2">
      <c r="B13860" s="62" t="str">
        <f>IF(AND('领用录入（明细）'!D:D=$F$4,'领用录入（明细）'!C:C&gt;=$J$4,'领用录入（明细）'!C:C&lt;=$L$4),ROW(),"-")</f>
        <v>-</v>
      </c>
    </row>
    <row r="13861" customHeight="1" spans="2:2">
      <c r="B13861" s="62" t="str">
        <f>IF(AND('领用录入（明细）'!D:D=$F$4,'领用录入（明细）'!C:C&gt;=$J$4,'领用录入（明细）'!C:C&lt;=$L$4),ROW(),"-")</f>
        <v>-</v>
      </c>
    </row>
    <row r="13862" customHeight="1" spans="2:2">
      <c r="B13862" s="62" t="str">
        <f>IF(AND('领用录入（明细）'!D:D=$F$4,'领用录入（明细）'!C:C&gt;=$J$4,'领用录入（明细）'!C:C&lt;=$L$4),ROW(),"-")</f>
        <v>-</v>
      </c>
    </row>
    <row r="13863" customHeight="1" spans="2:2">
      <c r="B13863" s="62" t="str">
        <f>IF(AND('领用录入（明细）'!D:D=$F$4,'领用录入（明细）'!C:C&gt;=$J$4,'领用录入（明细）'!C:C&lt;=$L$4),ROW(),"-")</f>
        <v>-</v>
      </c>
    </row>
    <row r="13864" customHeight="1" spans="2:2">
      <c r="B13864" s="62" t="str">
        <f>IF(AND('领用录入（明细）'!D:D=$F$4,'领用录入（明细）'!C:C&gt;=$J$4,'领用录入（明细）'!C:C&lt;=$L$4),ROW(),"-")</f>
        <v>-</v>
      </c>
    </row>
    <row r="13865" customHeight="1" spans="2:2">
      <c r="B13865" s="62" t="str">
        <f>IF(AND('领用录入（明细）'!D:D=$F$4,'领用录入（明细）'!C:C&gt;=$J$4,'领用录入（明细）'!C:C&lt;=$L$4),ROW(),"-")</f>
        <v>-</v>
      </c>
    </row>
    <row r="13866" customHeight="1" spans="2:2">
      <c r="B13866" s="62" t="str">
        <f>IF(AND('领用录入（明细）'!D:D=$F$4,'领用录入（明细）'!C:C&gt;=$J$4,'领用录入（明细）'!C:C&lt;=$L$4),ROW(),"-")</f>
        <v>-</v>
      </c>
    </row>
    <row r="13867" customHeight="1" spans="2:2">
      <c r="B13867" s="62" t="str">
        <f>IF(AND('领用录入（明细）'!D:D=$F$4,'领用录入（明细）'!C:C&gt;=$J$4,'领用录入（明细）'!C:C&lt;=$L$4),ROW(),"-")</f>
        <v>-</v>
      </c>
    </row>
    <row r="13868" customHeight="1" spans="2:2">
      <c r="B13868" s="62" t="str">
        <f>IF(AND('领用录入（明细）'!D:D=$F$4,'领用录入（明细）'!C:C&gt;=$J$4,'领用录入（明细）'!C:C&lt;=$L$4),ROW(),"-")</f>
        <v>-</v>
      </c>
    </row>
    <row r="13869" customHeight="1" spans="2:2">
      <c r="B13869" s="62" t="str">
        <f>IF(AND('领用录入（明细）'!D:D=$F$4,'领用录入（明细）'!C:C&gt;=$J$4,'领用录入（明细）'!C:C&lt;=$L$4),ROW(),"-")</f>
        <v>-</v>
      </c>
    </row>
    <row r="13870" customHeight="1" spans="2:2">
      <c r="B13870" s="62" t="str">
        <f>IF(AND('领用录入（明细）'!D:D=$F$4,'领用录入（明细）'!C:C&gt;=$J$4,'领用录入（明细）'!C:C&lt;=$L$4),ROW(),"-")</f>
        <v>-</v>
      </c>
    </row>
    <row r="13871" customHeight="1" spans="2:2">
      <c r="B13871" s="62" t="str">
        <f>IF(AND('领用录入（明细）'!D:D=$F$4,'领用录入（明细）'!C:C&gt;=$J$4,'领用录入（明细）'!C:C&lt;=$L$4),ROW(),"-")</f>
        <v>-</v>
      </c>
    </row>
    <row r="13872" customHeight="1" spans="2:2">
      <c r="B13872" s="62" t="str">
        <f>IF(AND('领用录入（明细）'!D:D=$F$4,'领用录入（明细）'!C:C&gt;=$J$4,'领用录入（明细）'!C:C&lt;=$L$4),ROW(),"-")</f>
        <v>-</v>
      </c>
    </row>
    <row r="13873" customHeight="1" spans="2:2">
      <c r="B13873" s="62" t="str">
        <f>IF(AND('领用录入（明细）'!D:D=$F$4,'领用录入（明细）'!C:C&gt;=$J$4,'领用录入（明细）'!C:C&lt;=$L$4),ROW(),"-")</f>
        <v>-</v>
      </c>
    </row>
    <row r="13874" customHeight="1" spans="2:2">
      <c r="B13874" s="62" t="str">
        <f>IF(AND('领用录入（明细）'!D:D=$F$4,'领用录入（明细）'!C:C&gt;=$J$4,'领用录入（明细）'!C:C&lt;=$L$4),ROW(),"-")</f>
        <v>-</v>
      </c>
    </row>
    <row r="13875" customHeight="1" spans="2:2">
      <c r="B13875" s="62" t="str">
        <f>IF(AND('领用录入（明细）'!D:D=$F$4,'领用录入（明细）'!C:C&gt;=$J$4,'领用录入（明细）'!C:C&lt;=$L$4),ROW(),"-")</f>
        <v>-</v>
      </c>
    </row>
    <row r="13876" customHeight="1" spans="2:2">
      <c r="B13876" s="62" t="str">
        <f>IF(AND('领用录入（明细）'!D:D=$F$4,'领用录入（明细）'!C:C&gt;=$J$4,'领用录入（明细）'!C:C&lt;=$L$4),ROW(),"-")</f>
        <v>-</v>
      </c>
    </row>
    <row r="13877" customHeight="1" spans="2:2">
      <c r="B13877" s="62" t="str">
        <f>IF(AND('领用录入（明细）'!D:D=$F$4,'领用录入（明细）'!C:C&gt;=$J$4,'领用录入（明细）'!C:C&lt;=$L$4),ROW(),"-")</f>
        <v>-</v>
      </c>
    </row>
    <row r="13878" customHeight="1" spans="2:2">
      <c r="B13878" s="62" t="str">
        <f>IF(AND('领用录入（明细）'!D:D=$F$4,'领用录入（明细）'!C:C&gt;=$J$4,'领用录入（明细）'!C:C&lt;=$L$4),ROW(),"-")</f>
        <v>-</v>
      </c>
    </row>
    <row r="13879" customHeight="1" spans="2:2">
      <c r="B13879" s="62" t="str">
        <f>IF(AND('领用录入（明细）'!D:D=$F$4,'领用录入（明细）'!C:C&gt;=$J$4,'领用录入（明细）'!C:C&lt;=$L$4),ROW(),"-")</f>
        <v>-</v>
      </c>
    </row>
    <row r="13880" customHeight="1" spans="2:2">
      <c r="B13880" s="62" t="str">
        <f>IF(AND('领用录入（明细）'!D:D=$F$4,'领用录入（明细）'!C:C&gt;=$J$4,'领用录入（明细）'!C:C&lt;=$L$4),ROW(),"-")</f>
        <v>-</v>
      </c>
    </row>
    <row r="13881" customHeight="1" spans="2:2">
      <c r="B13881" s="62" t="str">
        <f>IF(AND('领用录入（明细）'!D:D=$F$4,'领用录入（明细）'!C:C&gt;=$J$4,'领用录入（明细）'!C:C&lt;=$L$4),ROW(),"-")</f>
        <v>-</v>
      </c>
    </row>
    <row r="13882" customHeight="1" spans="2:2">
      <c r="B13882" s="62" t="str">
        <f>IF(AND('领用录入（明细）'!D:D=$F$4,'领用录入（明细）'!C:C&gt;=$J$4,'领用录入（明细）'!C:C&lt;=$L$4),ROW(),"-")</f>
        <v>-</v>
      </c>
    </row>
    <row r="13883" customHeight="1" spans="2:2">
      <c r="B13883" s="62" t="str">
        <f>IF(AND('领用录入（明细）'!D:D=$F$4,'领用录入（明细）'!C:C&gt;=$J$4,'领用录入（明细）'!C:C&lt;=$L$4),ROW(),"-")</f>
        <v>-</v>
      </c>
    </row>
    <row r="13884" customHeight="1" spans="2:2">
      <c r="B13884" s="62" t="str">
        <f>IF(AND('领用录入（明细）'!D:D=$F$4,'领用录入（明细）'!C:C&gt;=$J$4,'领用录入（明细）'!C:C&lt;=$L$4),ROW(),"-")</f>
        <v>-</v>
      </c>
    </row>
    <row r="13885" customHeight="1" spans="2:2">
      <c r="B13885" s="62" t="str">
        <f>IF(AND('领用录入（明细）'!D:D=$F$4,'领用录入（明细）'!C:C&gt;=$J$4,'领用录入（明细）'!C:C&lt;=$L$4),ROW(),"-")</f>
        <v>-</v>
      </c>
    </row>
    <row r="13886" customHeight="1" spans="2:2">
      <c r="B13886" s="62" t="str">
        <f>IF(AND('领用录入（明细）'!D:D=$F$4,'领用录入（明细）'!C:C&gt;=$J$4,'领用录入（明细）'!C:C&lt;=$L$4),ROW(),"-")</f>
        <v>-</v>
      </c>
    </row>
    <row r="13887" customHeight="1" spans="2:2">
      <c r="B13887" s="62" t="str">
        <f>IF(AND('领用录入（明细）'!D:D=$F$4,'领用录入（明细）'!C:C&gt;=$J$4,'领用录入（明细）'!C:C&lt;=$L$4),ROW(),"-")</f>
        <v>-</v>
      </c>
    </row>
    <row r="13888" customHeight="1" spans="2:2">
      <c r="B13888" s="62" t="str">
        <f>IF(AND('领用录入（明细）'!D:D=$F$4,'领用录入（明细）'!C:C&gt;=$J$4,'领用录入（明细）'!C:C&lt;=$L$4),ROW(),"-")</f>
        <v>-</v>
      </c>
    </row>
    <row r="13889" customHeight="1" spans="2:2">
      <c r="B13889" s="62" t="str">
        <f>IF(AND('领用录入（明细）'!D:D=$F$4,'领用录入（明细）'!C:C&gt;=$J$4,'领用录入（明细）'!C:C&lt;=$L$4),ROW(),"-")</f>
        <v>-</v>
      </c>
    </row>
    <row r="13890" customHeight="1" spans="2:2">
      <c r="B13890" s="62" t="str">
        <f>IF(AND('领用录入（明细）'!D:D=$F$4,'领用录入（明细）'!C:C&gt;=$J$4,'领用录入（明细）'!C:C&lt;=$L$4),ROW(),"-")</f>
        <v>-</v>
      </c>
    </row>
    <row r="13891" customHeight="1" spans="2:2">
      <c r="B13891" s="62" t="str">
        <f>IF(AND('领用录入（明细）'!D:D=$F$4,'领用录入（明细）'!C:C&gt;=$J$4,'领用录入（明细）'!C:C&lt;=$L$4),ROW(),"-")</f>
        <v>-</v>
      </c>
    </row>
    <row r="13892" customHeight="1" spans="2:2">
      <c r="B13892" s="62" t="str">
        <f>IF(AND('领用录入（明细）'!D:D=$F$4,'领用录入（明细）'!C:C&gt;=$J$4,'领用录入（明细）'!C:C&lt;=$L$4),ROW(),"-")</f>
        <v>-</v>
      </c>
    </row>
    <row r="13893" customHeight="1" spans="2:2">
      <c r="B13893" s="62" t="str">
        <f>IF(AND('领用录入（明细）'!D:D=$F$4,'领用录入（明细）'!C:C&gt;=$J$4,'领用录入（明细）'!C:C&lt;=$L$4),ROW(),"-")</f>
        <v>-</v>
      </c>
    </row>
    <row r="13894" customHeight="1" spans="2:2">
      <c r="B13894" s="62" t="str">
        <f>IF(AND('领用录入（明细）'!D:D=$F$4,'领用录入（明细）'!C:C&gt;=$J$4,'领用录入（明细）'!C:C&lt;=$L$4),ROW(),"-")</f>
        <v>-</v>
      </c>
    </row>
    <row r="13895" customHeight="1" spans="2:2">
      <c r="B13895" s="62" t="str">
        <f>IF(AND('领用录入（明细）'!D:D=$F$4,'领用录入（明细）'!C:C&gt;=$J$4,'领用录入（明细）'!C:C&lt;=$L$4),ROW(),"-")</f>
        <v>-</v>
      </c>
    </row>
    <row r="13896" customHeight="1" spans="2:2">
      <c r="B13896" s="62" t="str">
        <f>IF(AND('领用录入（明细）'!D:D=$F$4,'领用录入（明细）'!C:C&gt;=$J$4,'领用录入（明细）'!C:C&lt;=$L$4),ROW(),"-")</f>
        <v>-</v>
      </c>
    </row>
    <row r="13897" customHeight="1" spans="2:2">
      <c r="B13897" s="62" t="str">
        <f>IF(AND('领用录入（明细）'!D:D=$F$4,'领用录入（明细）'!C:C&gt;=$J$4,'领用录入（明细）'!C:C&lt;=$L$4),ROW(),"-")</f>
        <v>-</v>
      </c>
    </row>
    <row r="13898" customHeight="1" spans="2:2">
      <c r="B13898" s="62" t="str">
        <f>IF(AND('领用录入（明细）'!D:D=$F$4,'领用录入（明细）'!C:C&gt;=$J$4,'领用录入（明细）'!C:C&lt;=$L$4),ROW(),"-")</f>
        <v>-</v>
      </c>
    </row>
    <row r="13899" customHeight="1" spans="2:2">
      <c r="B13899" s="62" t="str">
        <f>IF(AND('领用录入（明细）'!D:D=$F$4,'领用录入（明细）'!C:C&gt;=$J$4,'领用录入（明细）'!C:C&lt;=$L$4),ROW(),"-")</f>
        <v>-</v>
      </c>
    </row>
    <row r="13900" customHeight="1" spans="2:2">
      <c r="B13900" s="62" t="str">
        <f>IF(AND('领用录入（明细）'!D:D=$F$4,'领用录入（明细）'!C:C&gt;=$J$4,'领用录入（明细）'!C:C&lt;=$L$4),ROW(),"-")</f>
        <v>-</v>
      </c>
    </row>
    <row r="13901" customHeight="1" spans="2:2">
      <c r="B13901" s="62" t="str">
        <f>IF(AND('领用录入（明细）'!D:D=$F$4,'领用录入（明细）'!C:C&gt;=$J$4,'领用录入（明细）'!C:C&lt;=$L$4),ROW(),"-")</f>
        <v>-</v>
      </c>
    </row>
    <row r="13902" customHeight="1" spans="2:2">
      <c r="B13902" s="62" t="str">
        <f>IF(AND('领用录入（明细）'!D:D=$F$4,'领用录入（明细）'!C:C&gt;=$J$4,'领用录入（明细）'!C:C&lt;=$L$4),ROW(),"-")</f>
        <v>-</v>
      </c>
    </row>
    <row r="13903" customHeight="1" spans="2:2">
      <c r="B13903" s="62" t="str">
        <f>IF(AND('领用录入（明细）'!D:D=$F$4,'领用录入（明细）'!C:C&gt;=$J$4,'领用录入（明细）'!C:C&lt;=$L$4),ROW(),"-")</f>
        <v>-</v>
      </c>
    </row>
    <row r="13904" customHeight="1" spans="2:2">
      <c r="B13904" s="62" t="str">
        <f>IF(AND('领用录入（明细）'!D:D=$F$4,'领用录入（明细）'!C:C&gt;=$J$4,'领用录入（明细）'!C:C&lt;=$L$4),ROW(),"-")</f>
        <v>-</v>
      </c>
    </row>
    <row r="13905" customHeight="1" spans="2:2">
      <c r="B13905" s="62" t="str">
        <f>IF(AND('领用录入（明细）'!D:D=$F$4,'领用录入（明细）'!C:C&gt;=$J$4,'领用录入（明细）'!C:C&lt;=$L$4),ROW(),"-")</f>
        <v>-</v>
      </c>
    </row>
    <row r="13906" customHeight="1" spans="2:2">
      <c r="B13906" s="62" t="str">
        <f>IF(AND('领用录入（明细）'!D:D=$F$4,'领用录入（明细）'!C:C&gt;=$J$4,'领用录入（明细）'!C:C&lt;=$L$4),ROW(),"-")</f>
        <v>-</v>
      </c>
    </row>
    <row r="13907" customHeight="1" spans="2:2">
      <c r="B13907" s="62" t="str">
        <f>IF(AND('领用录入（明细）'!D:D=$F$4,'领用录入（明细）'!C:C&gt;=$J$4,'领用录入（明细）'!C:C&lt;=$L$4),ROW(),"-")</f>
        <v>-</v>
      </c>
    </row>
    <row r="13908" customHeight="1" spans="2:2">
      <c r="B13908" s="62" t="str">
        <f>IF(AND('领用录入（明细）'!D:D=$F$4,'领用录入（明细）'!C:C&gt;=$J$4,'领用录入（明细）'!C:C&lt;=$L$4),ROW(),"-")</f>
        <v>-</v>
      </c>
    </row>
    <row r="13909" customHeight="1" spans="2:2">
      <c r="B13909" s="62" t="str">
        <f>IF(AND('领用录入（明细）'!D:D=$F$4,'领用录入（明细）'!C:C&gt;=$J$4,'领用录入（明细）'!C:C&lt;=$L$4),ROW(),"-")</f>
        <v>-</v>
      </c>
    </row>
    <row r="13910" customHeight="1" spans="2:2">
      <c r="B13910" s="62" t="str">
        <f>IF(AND('领用录入（明细）'!D:D=$F$4,'领用录入（明细）'!C:C&gt;=$J$4,'领用录入（明细）'!C:C&lt;=$L$4),ROW(),"-")</f>
        <v>-</v>
      </c>
    </row>
    <row r="13911" customHeight="1" spans="2:2">
      <c r="B13911" s="62" t="str">
        <f>IF(AND('领用录入（明细）'!D:D=$F$4,'领用录入（明细）'!C:C&gt;=$J$4,'领用录入（明细）'!C:C&lt;=$L$4),ROW(),"-")</f>
        <v>-</v>
      </c>
    </row>
    <row r="13912" customHeight="1" spans="2:2">
      <c r="B13912" s="62" t="str">
        <f>IF(AND('领用录入（明细）'!D:D=$F$4,'领用录入（明细）'!C:C&gt;=$J$4,'领用录入（明细）'!C:C&lt;=$L$4),ROW(),"-")</f>
        <v>-</v>
      </c>
    </row>
    <row r="13913" customHeight="1" spans="2:2">
      <c r="B13913" s="62" t="str">
        <f>IF(AND('领用录入（明细）'!D:D=$F$4,'领用录入（明细）'!C:C&gt;=$J$4,'领用录入（明细）'!C:C&lt;=$L$4),ROW(),"-")</f>
        <v>-</v>
      </c>
    </row>
    <row r="13914" customHeight="1" spans="2:2">
      <c r="B13914" s="62" t="str">
        <f>IF(AND('领用录入（明细）'!D:D=$F$4,'领用录入（明细）'!C:C&gt;=$J$4,'领用录入（明细）'!C:C&lt;=$L$4),ROW(),"-")</f>
        <v>-</v>
      </c>
    </row>
    <row r="13915" customHeight="1" spans="2:2">
      <c r="B13915" s="62" t="str">
        <f>IF(AND('领用录入（明细）'!D:D=$F$4,'领用录入（明细）'!C:C&gt;=$J$4,'领用录入（明细）'!C:C&lt;=$L$4),ROW(),"-")</f>
        <v>-</v>
      </c>
    </row>
    <row r="13916" customHeight="1" spans="2:2">
      <c r="B13916" s="62" t="str">
        <f>IF(AND('领用录入（明细）'!D:D=$F$4,'领用录入（明细）'!C:C&gt;=$J$4,'领用录入（明细）'!C:C&lt;=$L$4),ROW(),"-")</f>
        <v>-</v>
      </c>
    </row>
    <row r="13917" customHeight="1" spans="2:2">
      <c r="B13917" s="62" t="str">
        <f>IF(AND('领用录入（明细）'!D:D=$F$4,'领用录入（明细）'!C:C&gt;=$J$4,'领用录入（明细）'!C:C&lt;=$L$4),ROW(),"-")</f>
        <v>-</v>
      </c>
    </row>
    <row r="13918" customHeight="1" spans="2:2">
      <c r="B13918" s="62" t="str">
        <f>IF(AND('领用录入（明细）'!D:D=$F$4,'领用录入（明细）'!C:C&gt;=$J$4,'领用录入（明细）'!C:C&lt;=$L$4),ROW(),"-")</f>
        <v>-</v>
      </c>
    </row>
    <row r="13919" customHeight="1" spans="2:2">
      <c r="B13919" s="62" t="str">
        <f>IF(AND('领用录入（明细）'!D:D=$F$4,'领用录入（明细）'!C:C&gt;=$J$4,'领用录入（明细）'!C:C&lt;=$L$4),ROW(),"-")</f>
        <v>-</v>
      </c>
    </row>
    <row r="13920" customHeight="1" spans="2:2">
      <c r="B13920" s="62" t="str">
        <f>IF(AND('领用录入（明细）'!D:D=$F$4,'领用录入（明细）'!C:C&gt;=$J$4,'领用录入（明细）'!C:C&lt;=$L$4),ROW(),"-")</f>
        <v>-</v>
      </c>
    </row>
    <row r="13921" customHeight="1" spans="2:2">
      <c r="B13921" s="62" t="str">
        <f>IF(AND('领用录入（明细）'!D:D=$F$4,'领用录入（明细）'!C:C&gt;=$J$4,'领用录入（明细）'!C:C&lt;=$L$4),ROW(),"-")</f>
        <v>-</v>
      </c>
    </row>
    <row r="13922" customHeight="1" spans="2:2">
      <c r="B13922" s="62" t="str">
        <f>IF(AND('领用录入（明细）'!D:D=$F$4,'领用录入（明细）'!C:C&gt;=$J$4,'领用录入（明细）'!C:C&lt;=$L$4),ROW(),"-")</f>
        <v>-</v>
      </c>
    </row>
    <row r="13923" customHeight="1" spans="2:2">
      <c r="B13923" s="62" t="str">
        <f>IF(AND('领用录入（明细）'!D:D=$F$4,'领用录入（明细）'!C:C&gt;=$J$4,'领用录入（明细）'!C:C&lt;=$L$4),ROW(),"-")</f>
        <v>-</v>
      </c>
    </row>
    <row r="13924" customHeight="1" spans="2:2">
      <c r="B13924" s="62" t="str">
        <f>IF(AND('领用录入（明细）'!D:D=$F$4,'领用录入（明细）'!C:C&gt;=$J$4,'领用录入（明细）'!C:C&lt;=$L$4),ROW(),"-")</f>
        <v>-</v>
      </c>
    </row>
    <row r="13925" customHeight="1" spans="2:2">
      <c r="B13925" s="62" t="str">
        <f>IF(AND('领用录入（明细）'!D:D=$F$4,'领用录入（明细）'!C:C&gt;=$J$4,'领用录入（明细）'!C:C&lt;=$L$4),ROW(),"-")</f>
        <v>-</v>
      </c>
    </row>
    <row r="13926" customHeight="1" spans="2:2">
      <c r="B13926" s="62" t="str">
        <f>IF(AND('领用录入（明细）'!D:D=$F$4,'领用录入（明细）'!C:C&gt;=$J$4,'领用录入（明细）'!C:C&lt;=$L$4),ROW(),"-")</f>
        <v>-</v>
      </c>
    </row>
    <row r="13927" customHeight="1" spans="2:2">
      <c r="B13927" s="62" t="str">
        <f>IF(AND('领用录入（明细）'!D:D=$F$4,'领用录入（明细）'!C:C&gt;=$J$4,'领用录入（明细）'!C:C&lt;=$L$4),ROW(),"-")</f>
        <v>-</v>
      </c>
    </row>
    <row r="13928" customHeight="1" spans="2:2">
      <c r="B13928" s="62" t="str">
        <f>IF(AND('领用录入（明细）'!D:D=$F$4,'领用录入（明细）'!C:C&gt;=$J$4,'领用录入（明细）'!C:C&lt;=$L$4),ROW(),"-")</f>
        <v>-</v>
      </c>
    </row>
    <row r="13929" customHeight="1" spans="2:2">
      <c r="B13929" s="62" t="str">
        <f>IF(AND('领用录入（明细）'!D:D=$F$4,'领用录入（明细）'!C:C&gt;=$J$4,'领用录入（明细）'!C:C&lt;=$L$4),ROW(),"-")</f>
        <v>-</v>
      </c>
    </row>
    <row r="13930" customHeight="1" spans="2:2">
      <c r="B13930" s="62" t="str">
        <f>IF(AND('领用录入（明细）'!D:D=$F$4,'领用录入（明细）'!C:C&gt;=$J$4,'领用录入（明细）'!C:C&lt;=$L$4),ROW(),"-")</f>
        <v>-</v>
      </c>
    </row>
    <row r="13931" customHeight="1" spans="2:2">
      <c r="B13931" s="62" t="str">
        <f>IF(AND('领用录入（明细）'!D:D=$F$4,'领用录入（明细）'!C:C&gt;=$J$4,'领用录入（明细）'!C:C&lt;=$L$4),ROW(),"-")</f>
        <v>-</v>
      </c>
    </row>
    <row r="13932" customHeight="1" spans="2:2">
      <c r="B13932" s="62" t="str">
        <f>IF(AND('领用录入（明细）'!D:D=$F$4,'领用录入（明细）'!C:C&gt;=$J$4,'领用录入（明细）'!C:C&lt;=$L$4),ROW(),"-")</f>
        <v>-</v>
      </c>
    </row>
    <row r="13933" customHeight="1" spans="2:2">
      <c r="B13933" s="62" t="str">
        <f>IF(AND('领用录入（明细）'!D:D=$F$4,'领用录入（明细）'!C:C&gt;=$J$4,'领用录入（明细）'!C:C&lt;=$L$4),ROW(),"-")</f>
        <v>-</v>
      </c>
    </row>
    <row r="13934" customHeight="1" spans="2:2">
      <c r="B13934" s="62" t="str">
        <f>IF(AND('领用录入（明细）'!D:D=$F$4,'领用录入（明细）'!C:C&gt;=$J$4,'领用录入（明细）'!C:C&lt;=$L$4),ROW(),"-")</f>
        <v>-</v>
      </c>
    </row>
    <row r="13935" customHeight="1" spans="2:2">
      <c r="B13935" s="62" t="str">
        <f>IF(AND('领用录入（明细）'!D:D=$F$4,'领用录入（明细）'!C:C&gt;=$J$4,'领用录入（明细）'!C:C&lt;=$L$4),ROW(),"-")</f>
        <v>-</v>
      </c>
    </row>
    <row r="13936" customHeight="1" spans="2:2">
      <c r="B13936" s="62" t="str">
        <f>IF(AND('领用录入（明细）'!D:D=$F$4,'领用录入（明细）'!C:C&gt;=$J$4,'领用录入（明细）'!C:C&lt;=$L$4),ROW(),"-")</f>
        <v>-</v>
      </c>
    </row>
    <row r="13937" customHeight="1" spans="2:2">
      <c r="B13937" s="62" t="str">
        <f>IF(AND('领用录入（明细）'!D:D=$F$4,'领用录入（明细）'!C:C&gt;=$J$4,'领用录入（明细）'!C:C&lt;=$L$4),ROW(),"-")</f>
        <v>-</v>
      </c>
    </row>
    <row r="13938" customHeight="1" spans="2:2">
      <c r="B13938" s="62" t="str">
        <f>IF(AND('领用录入（明细）'!D:D=$F$4,'领用录入（明细）'!C:C&gt;=$J$4,'领用录入（明细）'!C:C&lt;=$L$4),ROW(),"-")</f>
        <v>-</v>
      </c>
    </row>
    <row r="13939" customHeight="1" spans="2:2">
      <c r="B13939" s="62" t="str">
        <f>IF(AND('领用录入（明细）'!D:D=$F$4,'领用录入（明细）'!C:C&gt;=$J$4,'领用录入（明细）'!C:C&lt;=$L$4),ROW(),"-")</f>
        <v>-</v>
      </c>
    </row>
    <row r="13940" customHeight="1" spans="2:2">
      <c r="B13940" s="62" t="str">
        <f>IF(AND('领用录入（明细）'!D:D=$F$4,'领用录入（明细）'!C:C&gt;=$J$4,'领用录入（明细）'!C:C&lt;=$L$4),ROW(),"-")</f>
        <v>-</v>
      </c>
    </row>
    <row r="13941" customHeight="1" spans="2:2">
      <c r="B13941" s="62" t="str">
        <f>IF(AND('领用录入（明细）'!D:D=$F$4,'领用录入（明细）'!C:C&gt;=$J$4,'领用录入（明细）'!C:C&lt;=$L$4),ROW(),"-")</f>
        <v>-</v>
      </c>
    </row>
    <row r="13942" customHeight="1" spans="2:2">
      <c r="B13942" s="62" t="str">
        <f>IF(AND('领用录入（明细）'!D:D=$F$4,'领用录入（明细）'!C:C&gt;=$J$4,'领用录入（明细）'!C:C&lt;=$L$4),ROW(),"-")</f>
        <v>-</v>
      </c>
    </row>
    <row r="13943" customHeight="1" spans="2:2">
      <c r="B13943" s="62" t="str">
        <f>IF(AND('领用录入（明细）'!D:D=$F$4,'领用录入（明细）'!C:C&gt;=$J$4,'领用录入（明细）'!C:C&lt;=$L$4),ROW(),"-")</f>
        <v>-</v>
      </c>
    </row>
    <row r="13944" customHeight="1" spans="2:2">
      <c r="B13944" s="62" t="str">
        <f>IF(AND('领用录入（明细）'!D:D=$F$4,'领用录入（明细）'!C:C&gt;=$J$4,'领用录入（明细）'!C:C&lt;=$L$4),ROW(),"-")</f>
        <v>-</v>
      </c>
    </row>
    <row r="13945" customHeight="1" spans="2:2">
      <c r="B13945" s="62" t="str">
        <f>IF(AND('领用录入（明细）'!D:D=$F$4,'领用录入（明细）'!C:C&gt;=$J$4,'领用录入（明细）'!C:C&lt;=$L$4),ROW(),"-")</f>
        <v>-</v>
      </c>
    </row>
    <row r="13946" customHeight="1" spans="2:2">
      <c r="B13946" s="62" t="str">
        <f>IF(AND('领用录入（明细）'!D:D=$F$4,'领用录入（明细）'!C:C&gt;=$J$4,'领用录入（明细）'!C:C&lt;=$L$4),ROW(),"-")</f>
        <v>-</v>
      </c>
    </row>
    <row r="13947" customHeight="1" spans="2:2">
      <c r="B13947" s="62" t="str">
        <f>IF(AND('领用录入（明细）'!D:D=$F$4,'领用录入（明细）'!C:C&gt;=$J$4,'领用录入（明细）'!C:C&lt;=$L$4),ROW(),"-")</f>
        <v>-</v>
      </c>
    </row>
    <row r="13948" customHeight="1" spans="2:2">
      <c r="B13948" s="62" t="str">
        <f>IF(AND('领用录入（明细）'!D:D=$F$4,'领用录入（明细）'!C:C&gt;=$J$4,'领用录入（明细）'!C:C&lt;=$L$4),ROW(),"-")</f>
        <v>-</v>
      </c>
    </row>
    <row r="13949" customHeight="1" spans="2:2">
      <c r="B13949" s="62" t="str">
        <f>IF(AND('领用录入（明细）'!D:D=$F$4,'领用录入（明细）'!C:C&gt;=$J$4,'领用录入（明细）'!C:C&lt;=$L$4),ROW(),"-")</f>
        <v>-</v>
      </c>
    </row>
    <row r="13950" customHeight="1" spans="2:2">
      <c r="B13950" s="62" t="str">
        <f>IF(AND('领用录入（明细）'!D:D=$F$4,'领用录入（明细）'!C:C&gt;=$J$4,'领用录入（明细）'!C:C&lt;=$L$4),ROW(),"-")</f>
        <v>-</v>
      </c>
    </row>
    <row r="13951" customHeight="1" spans="2:2">
      <c r="B13951" s="62" t="str">
        <f>IF(AND('领用录入（明细）'!D:D=$F$4,'领用录入（明细）'!C:C&gt;=$J$4,'领用录入（明细）'!C:C&lt;=$L$4),ROW(),"-")</f>
        <v>-</v>
      </c>
    </row>
    <row r="13952" customHeight="1" spans="2:2">
      <c r="B13952" s="62" t="str">
        <f>IF(AND('领用录入（明细）'!D:D=$F$4,'领用录入（明细）'!C:C&gt;=$J$4,'领用录入（明细）'!C:C&lt;=$L$4),ROW(),"-")</f>
        <v>-</v>
      </c>
    </row>
    <row r="13953" customHeight="1" spans="2:2">
      <c r="B13953" s="62" t="str">
        <f>IF(AND('领用录入（明细）'!D:D=$F$4,'领用录入（明细）'!C:C&gt;=$J$4,'领用录入（明细）'!C:C&lt;=$L$4),ROW(),"-")</f>
        <v>-</v>
      </c>
    </row>
    <row r="13954" customHeight="1" spans="2:2">
      <c r="B13954" s="62" t="str">
        <f>IF(AND('领用录入（明细）'!D:D=$F$4,'领用录入（明细）'!C:C&gt;=$J$4,'领用录入（明细）'!C:C&lt;=$L$4),ROW(),"-")</f>
        <v>-</v>
      </c>
    </row>
    <row r="13955" customHeight="1" spans="2:2">
      <c r="B13955" s="62" t="str">
        <f>IF(AND('领用录入（明细）'!D:D=$F$4,'领用录入（明细）'!C:C&gt;=$J$4,'领用录入（明细）'!C:C&lt;=$L$4),ROW(),"-")</f>
        <v>-</v>
      </c>
    </row>
    <row r="13956" customHeight="1" spans="2:2">
      <c r="B13956" s="62" t="str">
        <f>IF(AND('领用录入（明细）'!D:D=$F$4,'领用录入（明细）'!C:C&gt;=$J$4,'领用录入（明细）'!C:C&lt;=$L$4),ROW(),"-")</f>
        <v>-</v>
      </c>
    </row>
    <row r="13957" customHeight="1" spans="2:2">
      <c r="B13957" s="62" t="str">
        <f>IF(AND('领用录入（明细）'!D:D=$F$4,'领用录入（明细）'!C:C&gt;=$J$4,'领用录入（明细）'!C:C&lt;=$L$4),ROW(),"-")</f>
        <v>-</v>
      </c>
    </row>
    <row r="13958" customHeight="1" spans="2:2">
      <c r="B13958" s="62" t="str">
        <f>IF(AND('领用录入（明细）'!D:D=$F$4,'领用录入（明细）'!C:C&gt;=$J$4,'领用录入（明细）'!C:C&lt;=$L$4),ROW(),"-")</f>
        <v>-</v>
      </c>
    </row>
    <row r="13959" customHeight="1" spans="2:2">
      <c r="B13959" s="62" t="str">
        <f>IF(AND('领用录入（明细）'!D:D=$F$4,'领用录入（明细）'!C:C&gt;=$J$4,'领用录入（明细）'!C:C&lt;=$L$4),ROW(),"-")</f>
        <v>-</v>
      </c>
    </row>
    <row r="13960" customHeight="1" spans="2:2">
      <c r="B13960" s="62" t="str">
        <f>IF(AND('领用录入（明细）'!D:D=$F$4,'领用录入（明细）'!C:C&gt;=$J$4,'领用录入（明细）'!C:C&lt;=$L$4),ROW(),"-")</f>
        <v>-</v>
      </c>
    </row>
    <row r="13961" customHeight="1" spans="2:2">
      <c r="B13961" s="62" t="str">
        <f>IF(AND('领用录入（明细）'!D:D=$F$4,'领用录入（明细）'!C:C&gt;=$J$4,'领用录入（明细）'!C:C&lt;=$L$4),ROW(),"-")</f>
        <v>-</v>
      </c>
    </row>
    <row r="13962" customHeight="1" spans="2:2">
      <c r="B13962" s="62" t="str">
        <f>IF(AND('领用录入（明细）'!D:D=$F$4,'领用录入（明细）'!C:C&gt;=$J$4,'领用录入（明细）'!C:C&lt;=$L$4),ROW(),"-")</f>
        <v>-</v>
      </c>
    </row>
    <row r="13963" customHeight="1" spans="2:2">
      <c r="B13963" s="62" t="str">
        <f>IF(AND('领用录入（明细）'!D:D=$F$4,'领用录入（明细）'!C:C&gt;=$J$4,'领用录入（明细）'!C:C&lt;=$L$4),ROW(),"-")</f>
        <v>-</v>
      </c>
    </row>
    <row r="13964" customHeight="1" spans="2:2">
      <c r="B13964" s="62" t="str">
        <f>IF(AND('领用录入（明细）'!D:D=$F$4,'领用录入（明细）'!C:C&gt;=$J$4,'领用录入（明细）'!C:C&lt;=$L$4),ROW(),"-")</f>
        <v>-</v>
      </c>
    </row>
    <row r="13965" customHeight="1" spans="2:2">
      <c r="B13965" s="62" t="str">
        <f>IF(AND('领用录入（明细）'!D:D=$F$4,'领用录入（明细）'!C:C&gt;=$J$4,'领用录入（明细）'!C:C&lt;=$L$4),ROW(),"-")</f>
        <v>-</v>
      </c>
    </row>
    <row r="13966" customHeight="1" spans="2:2">
      <c r="B13966" s="62" t="str">
        <f>IF(AND('领用录入（明细）'!D:D=$F$4,'领用录入（明细）'!C:C&gt;=$J$4,'领用录入（明细）'!C:C&lt;=$L$4),ROW(),"-")</f>
        <v>-</v>
      </c>
    </row>
    <row r="13967" customHeight="1" spans="2:2">
      <c r="B13967" s="62" t="str">
        <f>IF(AND('领用录入（明细）'!D:D=$F$4,'领用录入（明细）'!C:C&gt;=$J$4,'领用录入（明细）'!C:C&lt;=$L$4),ROW(),"-")</f>
        <v>-</v>
      </c>
    </row>
    <row r="13968" customHeight="1" spans="2:2">
      <c r="B13968" s="62" t="str">
        <f>IF(AND('领用录入（明细）'!D:D=$F$4,'领用录入（明细）'!C:C&gt;=$J$4,'领用录入（明细）'!C:C&lt;=$L$4),ROW(),"-")</f>
        <v>-</v>
      </c>
    </row>
    <row r="13969" customHeight="1" spans="2:2">
      <c r="B13969" s="62" t="str">
        <f>IF(AND('领用录入（明细）'!D:D=$F$4,'领用录入（明细）'!C:C&gt;=$J$4,'领用录入（明细）'!C:C&lt;=$L$4),ROW(),"-")</f>
        <v>-</v>
      </c>
    </row>
    <row r="13970" customHeight="1" spans="2:2">
      <c r="B13970" s="62" t="str">
        <f>IF(AND('领用录入（明细）'!D:D=$F$4,'领用录入（明细）'!C:C&gt;=$J$4,'领用录入（明细）'!C:C&lt;=$L$4),ROW(),"-")</f>
        <v>-</v>
      </c>
    </row>
    <row r="13971" customHeight="1" spans="2:2">
      <c r="B13971" s="62" t="str">
        <f>IF(AND('领用录入（明细）'!D:D=$F$4,'领用录入（明细）'!C:C&gt;=$J$4,'领用录入（明细）'!C:C&lt;=$L$4),ROW(),"-")</f>
        <v>-</v>
      </c>
    </row>
    <row r="13972" customHeight="1" spans="2:2">
      <c r="B13972" s="62" t="str">
        <f>IF(AND('领用录入（明细）'!D:D=$F$4,'领用录入（明细）'!C:C&gt;=$J$4,'领用录入（明细）'!C:C&lt;=$L$4),ROW(),"-")</f>
        <v>-</v>
      </c>
    </row>
    <row r="13973" customHeight="1" spans="2:2">
      <c r="B13973" s="62" t="str">
        <f>IF(AND('领用录入（明细）'!D:D=$F$4,'领用录入（明细）'!C:C&gt;=$J$4,'领用录入（明细）'!C:C&lt;=$L$4),ROW(),"-")</f>
        <v>-</v>
      </c>
    </row>
    <row r="13974" customHeight="1" spans="2:2">
      <c r="B13974" s="62" t="str">
        <f>IF(AND('领用录入（明细）'!D:D=$F$4,'领用录入（明细）'!C:C&gt;=$J$4,'领用录入（明细）'!C:C&lt;=$L$4),ROW(),"-")</f>
        <v>-</v>
      </c>
    </row>
    <row r="13975" customHeight="1" spans="2:2">
      <c r="B13975" s="62" t="str">
        <f>IF(AND('领用录入（明细）'!D:D=$F$4,'领用录入（明细）'!C:C&gt;=$J$4,'领用录入（明细）'!C:C&lt;=$L$4),ROW(),"-")</f>
        <v>-</v>
      </c>
    </row>
    <row r="13976" customHeight="1" spans="2:2">
      <c r="B13976" s="62" t="str">
        <f>IF(AND('领用录入（明细）'!D:D=$F$4,'领用录入（明细）'!C:C&gt;=$J$4,'领用录入（明细）'!C:C&lt;=$L$4),ROW(),"-")</f>
        <v>-</v>
      </c>
    </row>
    <row r="13977" customHeight="1" spans="2:2">
      <c r="B13977" s="62" t="str">
        <f>IF(AND('领用录入（明细）'!D:D=$F$4,'领用录入（明细）'!C:C&gt;=$J$4,'领用录入（明细）'!C:C&lt;=$L$4),ROW(),"-")</f>
        <v>-</v>
      </c>
    </row>
    <row r="13978" customHeight="1" spans="2:2">
      <c r="B13978" s="62" t="str">
        <f>IF(AND('领用录入（明细）'!D:D=$F$4,'领用录入（明细）'!C:C&gt;=$J$4,'领用录入（明细）'!C:C&lt;=$L$4),ROW(),"-")</f>
        <v>-</v>
      </c>
    </row>
    <row r="13979" customHeight="1" spans="2:2">
      <c r="B13979" s="62" t="str">
        <f>IF(AND('领用录入（明细）'!D:D=$F$4,'领用录入（明细）'!C:C&gt;=$J$4,'领用录入（明细）'!C:C&lt;=$L$4),ROW(),"-")</f>
        <v>-</v>
      </c>
    </row>
    <row r="13980" customHeight="1" spans="2:2">
      <c r="B13980" s="62" t="str">
        <f>IF(AND('领用录入（明细）'!D:D=$F$4,'领用录入（明细）'!C:C&gt;=$J$4,'领用录入（明细）'!C:C&lt;=$L$4),ROW(),"-")</f>
        <v>-</v>
      </c>
    </row>
    <row r="13981" customHeight="1" spans="2:2">
      <c r="B13981" s="62" t="str">
        <f>IF(AND('领用录入（明细）'!D:D=$F$4,'领用录入（明细）'!C:C&gt;=$J$4,'领用录入（明细）'!C:C&lt;=$L$4),ROW(),"-")</f>
        <v>-</v>
      </c>
    </row>
    <row r="13982" customHeight="1" spans="2:2">
      <c r="B13982" s="62" t="str">
        <f>IF(AND('领用录入（明细）'!D:D=$F$4,'领用录入（明细）'!C:C&gt;=$J$4,'领用录入（明细）'!C:C&lt;=$L$4),ROW(),"-")</f>
        <v>-</v>
      </c>
    </row>
    <row r="13983" customHeight="1" spans="2:2">
      <c r="B13983" s="62" t="str">
        <f>IF(AND('领用录入（明细）'!D:D=$F$4,'领用录入（明细）'!C:C&gt;=$J$4,'领用录入（明细）'!C:C&lt;=$L$4),ROW(),"-")</f>
        <v>-</v>
      </c>
    </row>
    <row r="13984" customHeight="1" spans="2:2">
      <c r="B13984" s="62" t="str">
        <f>IF(AND('领用录入（明细）'!D:D=$F$4,'领用录入（明细）'!C:C&gt;=$J$4,'领用录入（明细）'!C:C&lt;=$L$4),ROW(),"-")</f>
        <v>-</v>
      </c>
    </row>
    <row r="13985" customHeight="1" spans="2:2">
      <c r="B13985" s="62" t="str">
        <f>IF(AND('领用录入（明细）'!D:D=$F$4,'领用录入（明细）'!C:C&gt;=$J$4,'领用录入（明细）'!C:C&lt;=$L$4),ROW(),"-")</f>
        <v>-</v>
      </c>
    </row>
    <row r="13986" customHeight="1" spans="2:2">
      <c r="B13986" s="62" t="str">
        <f>IF(AND('领用录入（明细）'!D:D=$F$4,'领用录入（明细）'!C:C&gt;=$J$4,'领用录入（明细）'!C:C&lt;=$L$4),ROW(),"-")</f>
        <v>-</v>
      </c>
    </row>
    <row r="13987" customHeight="1" spans="2:2">
      <c r="B13987" s="62" t="str">
        <f>IF(AND('领用录入（明细）'!D:D=$F$4,'领用录入（明细）'!C:C&gt;=$J$4,'领用录入（明细）'!C:C&lt;=$L$4),ROW(),"-")</f>
        <v>-</v>
      </c>
    </row>
    <row r="13988" customHeight="1" spans="2:2">
      <c r="B13988" s="62" t="str">
        <f>IF(AND('领用录入（明细）'!D:D=$F$4,'领用录入（明细）'!C:C&gt;=$J$4,'领用录入（明细）'!C:C&lt;=$L$4),ROW(),"-")</f>
        <v>-</v>
      </c>
    </row>
    <row r="13989" customHeight="1" spans="2:2">
      <c r="B13989" s="62" t="str">
        <f>IF(AND('领用录入（明细）'!D:D=$F$4,'领用录入（明细）'!C:C&gt;=$J$4,'领用录入（明细）'!C:C&lt;=$L$4),ROW(),"-")</f>
        <v>-</v>
      </c>
    </row>
    <row r="13990" customHeight="1" spans="2:2">
      <c r="B13990" s="62" t="str">
        <f>IF(AND('领用录入（明细）'!D:D=$F$4,'领用录入（明细）'!C:C&gt;=$J$4,'领用录入（明细）'!C:C&lt;=$L$4),ROW(),"-")</f>
        <v>-</v>
      </c>
    </row>
    <row r="13991" customHeight="1" spans="2:2">
      <c r="B13991" s="62" t="str">
        <f>IF(AND('领用录入（明细）'!D:D=$F$4,'领用录入（明细）'!C:C&gt;=$J$4,'领用录入（明细）'!C:C&lt;=$L$4),ROW(),"-")</f>
        <v>-</v>
      </c>
    </row>
    <row r="13992" customHeight="1" spans="2:2">
      <c r="B13992" s="62" t="str">
        <f>IF(AND('领用录入（明细）'!D:D=$F$4,'领用录入（明细）'!C:C&gt;=$J$4,'领用录入（明细）'!C:C&lt;=$L$4),ROW(),"-")</f>
        <v>-</v>
      </c>
    </row>
    <row r="13993" customHeight="1" spans="2:2">
      <c r="B13993" s="62" t="str">
        <f>IF(AND('领用录入（明细）'!D:D=$F$4,'领用录入（明细）'!C:C&gt;=$J$4,'领用录入（明细）'!C:C&lt;=$L$4),ROW(),"-")</f>
        <v>-</v>
      </c>
    </row>
    <row r="13994" customHeight="1" spans="2:2">
      <c r="B13994" s="62" t="str">
        <f>IF(AND('领用录入（明细）'!D:D=$F$4,'领用录入（明细）'!C:C&gt;=$J$4,'领用录入（明细）'!C:C&lt;=$L$4),ROW(),"-")</f>
        <v>-</v>
      </c>
    </row>
    <row r="13995" customHeight="1" spans="2:2">
      <c r="B13995" s="62" t="str">
        <f>IF(AND('领用录入（明细）'!D:D=$F$4,'领用录入（明细）'!C:C&gt;=$J$4,'领用录入（明细）'!C:C&lt;=$L$4),ROW(),"-")</f>
        <v>-</v>
      </c>
    </row>
    <row r="13996" customHeight="1" spans="2:2">
      <c r="B13996" s="62" t="str">
        <f>IF(AND('领用录入（明细）'!D:D=$F$4,'领用录入（明细）'!C:C&gt;=$J$4,'领用录入（明细）'!C:C&lt;=$L$4),ROW(),"-")</f>
        <v>-</v>
      </c>
    </row>
    <row r="13997" customHeight="1" spans="2:2">
      <c r="B13997" s="62" t="str">
        <f>IF(AND('领用录入（明细）'!D:D=$F$4,'领用录入（明细）'!C:C&gt;=$J$4,'领用录入（明细）'!C:C&lt;=$L$4),ROW(),"-")</f>
        <v>-</v>
      </c>
    </row>
    <row r="13998" customHeight="1" spans="2:2">
      <c r="B13998" s="62" t="str">
        <f>IF(AND('领用录入（明细）'!D:D=$F$4,'领用录入（明细）'!C:C&gt;=$J$4,'领用录入（明细）'!C:C&lt;=$L$4),ROW(),"-")</f>
        <v>-</v>
      </c>
    </row>
    <row r="13999" customHeight="1" spans="2:2">
      <c r="B13999" s="62" t="str">
        <f>IF(AND('领用录入（明细）'!D:D=$F$4,'领用录入（明细）'!C:C&gt;=$J$4,'领用录入（明细）'!C:C&lt;=$L$4),ROW(),"-")</f>
        <v>-</v>
      </c>
    </row>
    <row r="14000" customHeight="1" spans="2:2">
      <c r="B14000" s="62" t="str">
        <f>IF(AND('领用录入（明细）'!D:D=$F$4,'领用录入（明细）'!C:C&gt;=$J$4,'领用录入（明细）'!C:C&lt;=$L$4),ROW(),"-")</f>
        <v>-</v>
      </c>
    </row>
    <row r="14001" customHeight="1" spans="2:2">
      <c r="B14001" s="62" t="str">
        <f>IF(AND('领用录入（明细）'!D:D=$F$4,'领用录入（明细）'!C:C&gt;=$J$4,'领用录入（明细）'!C:C&lt;=$L$4),ROW(),"-")</f>
        <v>-</v>
      </c>
    </row>
    <row r="14002" customHeight="1" spans="2:2">
      <c r="B14002" s="62" t="str">
        <f>IF(AND('领用录入（明细）'!D:D=$F$4,'领用录入（明细）'!C:C&gt;=$J$4,'领用录入（明细）'!C:C&lt;=$L$4),ROW(),"-")</f>
        <v>-</v>
      </c>
    </row>
    <row r="14003" customHeight="1" spans="2:2">
      <c r="B14003" s="62" t="str">
        <f>IF(AND('领用录入（明细）'!D:D=$F$4,'领用录入（明细）'!C:C&gt;=$J$4,'领用录入（明细）'!C:C&lt;=$L$4),ROW(),"-")</f>
        <v>-</v>
      </c>
    </row>
    <row r="14004" customHeight="1" spans="2:2">
      <c r="B14004" s="62" t="str">
        <f>IF(AND('领用录入（明细）'!D:D=$F$4,'领用录入（明细）'!C:C&gt;=$J$4,'领用录入（明细）'!C:C&lt;=$L$4),ROW(),"-")</f>
        <v>-</v>
      </c>
    </row>
    <row r="14005" customHeight="1" spans="2:2">
      <c r="B14005" s="62" t="str">
        <f>IF(AND('领用录入（明细）'!D:D=$F$4,'领用录入（明细）'!C:C&gt;=$J$4,'领用录入（明细）'!C:C&lt;=$L$4),ROW(),"-")</f>
        <v>-</v>
      </c>
    </row>
    <row r="14006" customHeight="1" spans="2:2">
      <c r="B14006" s="62" t="str">
        <f>IF(AND('领用录入（明细）'!D:D=$F$4,'领用录入（明细）'!C:C&gt;=$J$4,'领用录入（明细）'!C:C&lt;=$L$4),ROW(),"-")</f>
        <v>-</v>
      </c>
    </row>
    <row r="14007" customHeight="1" spans="2:2">
      <c r="B14007" s="62" t="str">
        <f>IF(AND('领用录入（明细）'!D:D=$F$4,'领用录入（明细）'!C:C&gt;=$J$4,'领用录入（明细）'!C:C&lt;=$L$4),ROW(),"-")</f>
        <v>-</v>
      </c>
    </row>
    <row r="14008" customHeight="1" spans="2:2">
      <c r="B14008" s="62" t="str">
        <f>IF(AND('领用录入（明细）'!D:D=$F$4,'领用录入（明细）'!C:C&gt;=$J$4,'领用录入（明细）'!C:C&lt;=$L$4),ROW(),"-")</f>
        <v>-</v>
      </c>
    </row>
    <row r="14009" customHeight="1" spans="2:2">
      <c r="B14009" s="62" t="str">
        <f>IF(AND('领用录入（明细）'!D:D=$F$4,'领用录入（明细）'!C:C&gt;=$J$4,'领用录入（明细）'!C:C&lt;=$L$4),ROW(),"-")</f>
        <v>-</v>
      </c>
    </row>
    <row r="14010" customHeight="1" spans="2:2">
      <c r="B14010" s="62" t="str">
        <f>IF(AND('领用录入（明细）'!D:D=$F$4,'领用录入（明细）'!C:C&gt;=$J$4,'领用录入（明细）'!C:C&lt;=$L$4),ROW(),"-")</f>
        <v>-</v>
      </c>
    </row>
    <row r="14011" customHeight="1" spans="2:2">
      <c r="B14011" s="62" t="str">
        <f>IF(AND('领用录入（明细）'!D:D=$F$4,'领用录入（明细）'!C:C&gt;=$J$4,'领用录入（明细）'!C:C&lt;=$L$4),ROW(),"-")</f>
        <v>-</v>
      </c>
    </row>
    <row r="14012" customHeight="1" spans="2:2">
      <c r="B14012" s="62" t="str">
        <f>IF(AND('领用录入（明细）'!D:D=$F$4,'领用录入（明细）'!C:C&gt;=$J$4,'领用录入（明细）'!C:C&lt;=$L$4),ROW(),"-")</f>
        <v>-</v>
      </c>
    </row>
    <row r="14013" customHeight="1" spans="2:2">
      <c r="B14013" s="62" t="str">
        <f>IF(AND('领用录入（明细）'!D:D=$F$4,'领用录入（明细）'!C:C&gt;=$J$4,'领用录入（明细）'!C:C&lt;=$L$4),ROW(),"-")</f>
        <v>-</v>
      </c>
    </row>
    <row r="14014" customHeight="1" spans="2:2">
      <c r="B14014" s="62" t="str">
        <f>IF(AND('领用录入（明细）'!D:D=$F$4,'领用录入（明细）'!C:C&gt;=$J$4,'领用录入（明细）'!C:C&lt;=$L$4),ROW(),"-")</f>
        <v>-</v>
      </c>
    </row>
    <row r="14015" customHeight="1" spans="2:2">
      <c r="B14015" s="62" t="str">
        <f>IF(AND('领用录入（明细）'!D:D=$F$4,'领用录入（明细）'!C:C&gt;=$J$4,'领用录入（明细）'!C:C&lt;=$L$4),ROW(),"-")</f>
        <v>-</v>
      </c>
    </row>
    <row r="14016" customHeight="1" spans="2:2">
      <c r="B14016" s="62" t="str">
        <f>IF(AND('领用录入（明细）'!D:D=$F$4,'领用录入（明细）'!C:C&gt;=$J$4,'领用录入（明细）'!C:C&lt;=$L$4),ROW(),"-")</f>
        <v>-</v>
      </c>
    </row>
    <row r="14017" customHeight="1" spans="2:2">
      <c r="B14017" s="62" t="str">
        <f>IF(AND('领用录入（明细）'!D:D=$F$4,'领用录入（明细）'!C:C&gt;=$J$4,'领用录入（明细）'!C:C&lt;=$L$4),ROW(),"-")</f>
        <v>-</v>
      </c>
    </row>
    <row r="14018" customHeight="1" spans="2:2">
      <c r="B14018" s="62" t="str">
        <f>IF(AND('领用录入（明细）'!D:D=$F$4,'领用录入（明细）'!C:C&gt;=$J$4,'领用录入（明细）'!C:C&lt;=$L$4),ROW(),"-")</f>
        <v>-</v>
      </c>
    </row>
    <row r="14019" customHeight="1" spans="2:2">
      <c r="B14019" s="62" t="str">
        <f>IF(AND('领用录入（明细）'!D:D=$F$4,'领用录入（明细）'!C:C&gt;=$J$4,'领用录入（明细）'!C:C&lt;=$L$4),ROW(),"-")</f>
        <v>-</v>
      </c>
    </row>
    <row r="14020" customHeight="1" spans="2:2">
      <c r="B14020" s="62" t="str">
        <f>IF(AND('领用录入（明细）'!D:D=$F$4,'领用录入（明细）'!C:C&gt;=$J$4,'领用录入（明细）'!C:C&lt;=$L$4),ROW(),"-")</f>
        <v>-</v>
      </c>
    </row>
    <row r="14021" customHeight="1" spans="2:2">
      <c r="B14021" s="62" t="str">
        <f>IF(AND('领用录入（明细）'!D:D=$F$4,'领用录入（明细）'!C:C&gt;=$J$4,'领用录入（明细）'!C:C&lt;=$L$4),ROW(),"-")</f>
        <v>-</v>
      </c>
    </row>
    <row r="14022" customHeight="1" spans="2:2">
      <c r="B14022" s="62" t="str">
        <f>IF(AND('领用录入（明细）'!D:D=$F$4,'领用录入（明细）'!C:C&gt;=$J$4,'领用录入（明细）'!C:C&lt;=$L$4),ROW(),"-")</f>
        <v>-</v>
      </c>
    </row>
    <row r="14023" customHeight="1" spans="2:2">
      <c r="B14023" s="62" t="str">
        <f>IF(AND('领用录入（明细）'!D:D=$F$4,'领用录入（明细）'!C:C&gt;=$J$4,'领用录入（明细）'!C:C&lt;=$L$4),ROW(),"-")</f>
        <v>-</v>
      </c>
    </row>
    <row r="14024" customHeight="1" spans="2:2">
      <c r="B14024" s="62" t="str">
        <f>IF(AND('领用录入（明细）'!D:D=$F$4,'领用录入（明细）'!C:C&gt;=$J$4,'领用录入（明细）'!C:C&lt;=$L$4),ROW(),"-")</f>
        <v>-</v>
      </c>
    </row>
    <row r="14025" customHeight="1" spans="2:2">
      <c r="B14025" s="62" t="str">
        <f>IF(AND('领用录入（明细）'!D:D=$F$4,'领用录入（明细）'!C:C&gt;=$J$4,'领用录入（明细）'!C:C&lt;=$L$4),ROW(),"-")</f>
        <v>-</v>
      </c>
    </row>
    <row r="14026" customHeight="1" spans="2:2">
      <c r="B14026" s="62" t="str">
        <f>IF(AND('领用录入（明细）'!D:D=$F$4,'领用录入（明细）'!C:C&gt;=$J$4,'领用录入（明细）'!C:C&lt;=$L$4),ROW(),"-")</f>
        <v>-</v>
      </c>
    </row>
    <row r="14027" customHeight="1" spans="2:2">
      <c r="B14027" s="62" t="str">
        <f>IF(AND('领用录入（明细）'!D:D=$F$4,'领用录入（明细）'!C:C&gt;=$J$4,'领用录入（明细）'!C:C&lt;=$L$4),ROW(),"-")</f>
        <v>-</v>
      </c>
    </row>
    <row r="14028" customHeight="1" spans="2:2">
      <c r="B14028" s="62" t="str">
        <f>IF(AND('领用录入（明细）'!D:D=$F$4,'领用录入（明细）'!C:C&gt;=$J$4,'领用录入（明细）'!C:C&lt;=$L$4),ROW(),"-")</f>
        <v>-</v>
      </c>
    </row>
    <row r="14029" customHeight="1" spans="2:2">
      <c r="B14029" s="62" t="str">
        <f>IF(AND('领用录入（明细）'!D:D=$F$4,'领用录入（明细）'!C:C&gt;=$J$4,'领用录入（明细）'!C:C&lt;=$L$4),ROW(),"-")</f>
        <v>-</v>
      </c>
    </row>
    <row r="14030" customHeight="1" spans="2:2">
      <c r="B14030" s="62" t="str">
        <f>IF(AND('领用录入（明细）'!D:D=$F$4,'领用录入（明细）'!C:C&gt;=$J$4,'领用录入（明细）'!C:C&lt;=$L$4),ROW(),"-")</f>
        <v>-</v>
      </c>
    </row>
    <row r="14031" customHeight="1" spans="2:2">
      <c r="B14031" s="62" t="str">
        <f>IF(AND('领用录入（明细）'!D:D=$F$4,'领用录入（明细）'!C:C&gt;=$J$4,'领用录入（明细）'!C:C&lt;=$L$4),ROW(),"-")</f>
        <v>-</v>
      </c>
    </row>
    <row r="14032" customHeight="1" spans="2:2">
      <c r="B14032" s="62" t="str">
        <f>IF(AND('领用录入（明细）'!D:D=$F$4,'领用录入（明细）'!C:C&gt;=$J$4,'领用录入（明细）'!C:C&lt;=$L$4),ROW(),"-")</f>
        <v>-</v>
      </c>
    </row>
    <row r="14033" customHeight="1" spans="2:2">
      <c r="B14033" s="62" t="str">
        <f>IF(AND('领用录入（明细）'!D:D=$F$4,'领用录入（明细）'!C:C&gt;=$J$4,'领用录入（明细）'!C:C&lt;=$L$4),ROW(),"-")</f>
        <v>-</v>
      </c>
    </row>
    <row r="14034" customHeight="1" spans="2:2">
      <c r="B14034" s="62" t="str">
        <f>IF(AND('领用录入（明细）'!D:D=$F$4,'领用录入（明细）'!C:C&gt;=$J$4,'领用录入（明细）'!C:C&lt;=$L$4),ROW(),"-")</f>
        <v>-</v>
      </c>
    </row>
    <row r="14035" customHeight="1" spans="2:2">
      <c r="B14035" s="62" t="str">
        <f>IF(AND('领用录入（明细）'!D:D=$F$4,'领用录入（明细）'!C:C&gt;=$J$4,'领用录入（明细）'!C:C&lt;=$L$4),ROW(),"-")</f>
        <v>-</v>
      </c>
    </row>
    <row r="14036" customHeight="1" spans="2:2">
      <c r="B14036" s="62" t="str">
        <f>IF(AND('领用录入（明细）'!D:D=$F$4,'领用录入（明细）'!C:C&gt;=$J$4,'领用录入（明细）'!C:C&lt;=$L$4),ROW(),"-")</f>
        <v>-</v>
      </c>
    </row>
    <row r="14037" customHeight="1" spans="2:2">
      <c r="B14037" s="62" t="str">
        <f>IF(AND('领用录入（明细）'!D:D=$F$4,'领用录入（明细）'!C:C&gt;=$J$4,'领用录入（明细）'!C:C&lt;=$L$4),ROW(),"-")</f>
        <v>-</v>
      </c>
    </row>
    <row r="14038" customHeight="1" spans="2:2">
      <c r="B14038" s="62" t="str">
        <f>IF(AND('领用录入（明细）'!D:D=$F$4,'领用录入（明细）'!C:C&gt;=$J$4,'领用录入（明细）'!C:C&lt;=$L$4),ROW(),"-")</f>
        <v>-</v>
      </c>
    </row>
    <row r="14039" customHeight="1" spans="2:2">
      <c r="B14039" s="62" t="str">
        <f>IF(AND('领用录入（明细）'!D:D=$F$4,'领用录入（明细）'!C:C&gt;=$J$4,'领用录入（明细）'!C:C&lt;=$L$4),ROW(),"-")</f>
        <v>-</v>
      </c>
    </row>
    <row r="14040" customHeight="1" spans="2:2">
      <c r="B14040" s="62" t="str">
        <f>IF(AND('领用录入（明细）'!D:D=$F$4,'领用录入（明细）'!C:C&gt;=$J$4,'领用录入（明细）'!C:C&lt;=$L$4),ROW(),"-")</f>
        <v>-</v>
      </c>
    </row>
    <row r="14041" customHeight="1" spans="2:2">
      <c r="B14041" s="62" t="str">
        <f>IF(AND('领用录入（明细）'!D:D=$F$4,'领用录入（明细）'!C:C&gt;=$J$4,'领用录入（明细）'!C:C&lt;=$L$4),ROW(),"-")</f>
        <v>-</v>
      </c>
    </row>
    <row r="14042" customHeight="1" spans="2:2">
      <c r="B14042" s="62" t="str">
        <f>IF(AND('领用录入（明细）'!D:D=$F$4,'领用录入（明细）'!C:C&gt;=$J$4,'领用录入（明细）'!C:C&lt;=$L$4),ROW(),"-")</f>
        <v>-</v>
      </c>
    </row>
    <row r="14043" customHeight="1" spans="2:2">
      <c r="B14043" s="62" t="str">
        <f>IF(AND('领用录入（明细）'!D:D=$F$4,'领用录入（明细）'!C:C&gt;=$J$4,'领用录入（明细）'!C:C&lt;=$L$4),ROW(),"-")</f>
        <v>-</v>
      </c>
    </row>
    <row r="14044" customHeight="1" spans="2:2">
      <c r="B14044" s="62" t="str">
        <f>IF(AND('领用录入（明细）'!D:D=$F$4,'领用录入（明细）'!C:C&gt;=$J$4,'领用录入（明细）'!C:C&lt;=$L$4),ROW(),"-")</f>
        <v>-</v>
      </c>
    </row>
    <row r="14045" customHeight="1" spans="2:2">
      <c r="B14045" s="62" t="str">
        <f>IF(AND('领用录入（明细）'!D:D=$F$4,'领用录入（明细）'!C:C&gt;=$J$4,'领用录入（明细）'!C:C&lt;=$L$4),ROW(),"-")</f>
        <v>-</v>
      </c>
    </row>
    <row r="14046" customHeight="1" spans="2:2">
      <c r="B14046" s="62" t="str">
        <f>IF(AND('领用录入（明细）'!D:D=$F$4,'领用录入（明细）'!C:C&gt;=$J$4,'领用录入（明细）'!C:C&lt;=$L$4),ROW(),"-")</f>
        <v>-</v>
      </c>
    </row>
    <row r="14047" customHeight="1" spans="2:2">
      <c r="B14047" s="62" t="str">
        <f>IF(AND('领用录入（明细）'!D:D=$F$4,'领用录入（明细）'!C:C&gt;=$J$4,'领用录入（明细）'!C:C&lt;=$L$4),ROW(),"-")</f>
        <v>-</v>
      </c>
    </row>
    <row r="14048" customHeight="1" spans="2:2">
      <c r="B14048" s="62" t="str">
        <f>IF(AND('领用录入（明细）'!D:D=$F$4,'领用录入（明细）'!C:C&gt;=$J$4,'领用录入（明细）'!C:C&lt;=$L$4),ROW(),"-")</f>
        <v>-</v>
      </c>
    </row>
    <row r="14049" customHeight="1" spans="2:2">
      <c r="B14049" s="62" t="str">
        <f>IF(AND('领用录入（明细）'!D:D=$F$4,'领用录入（明细）'!C:C&gt;=$J$4,'领用录入（明细）'!C:C&lt;=$L$4),ROW(),"-")</f>
        <v>-</v>
      </c>
    </row>
    <row r="14050" customHeight="1" spans="2:2">
      <c r="B14050" s="62" t="str">
        <f>IF(AND('领用录入（明细）'!D:D=$F$4,'领用录入（明细）'!C:C&gt;=$J$4,'领用录入（明细）'!C:C&lt;=$L$4),ROW(),"-")</f>
        <v>-</v>
      </c>
    </row>
    <row r="14051" customHeight="1" spans="2:2">
      <c r="B14051" s="62" t="str">
        <f>IF(AND('领用录入（明细）'!D:D=$F$4,'领用录入（明细）'!C:C&gt;=$J$4,'领用录入（明细）'!C:C&lt;=$L$4),ROW(),"-")</f>
        <v>-</v>
      </c>
    </row>
    <row r="14052" customHeight="1" spans="2:2">
      <c r="B14052" s="62" t="str">
        <f>IF(AND('领用录入（明细）'!D:D=$F$4,'领用录入（明细）'!C:C&gt;=$J$4,'领用录入（明细）'!C:C&lt;=$L$4),ROW(),"-")</f>
        <v>-</v>
      </c>
    </row>
    <row r="14053" customHeight="1" spans="2:2">
      <c r="B14053" s="62" t="str">
        <f>IF(AND('领用录入（明细）'!D:D=$F$4,'领用录入（明细）'!C:C&gt;=$J$4,'领用录入（明细）'!C:C&lt;=$L$4),ROW(),"-")</f>
        <v>-</v>
      </c>
    </row>
    <row r="14054" customHeight="1" spans="2:2">
      <c r="B14054" s="62" t="str">
        <f>IF(AND('领用录入（明细）'!D:D=$F$4,'领用录入（明细）'!C:C&gt;=$J$4,'领用录入（明细）'!C:C&lt;=$L$4),ROW(),"-")</f>
        <v>-</v>
      </c>
    </row>
    <row r="14055" customHeight="1" spans="2:2">
      <c r="B14055" s="62" t="str">
        <f>IF(AND('领用录入（明细）'!D:D=$F$4,'领用录入（明细）'!C:C&gt;=$J$4,'领用录入（明细）'!C:C&lt;=$L$4),ROW(),"-")</f>
        <v>-</v>
      </c>
    </row>
    <row r="14056" customHeight="1" spans="2:2">
      <c r="B14056" s="62" t="str">
        <f>IF(AND('领用录入（明细）'!D:D=$F$4,'领用录入（明细）'!C:C&gt;=$J$4,'领用录入（明细）'!C:C&lt;=$L$4),ROW(),"-")</f>
        <v>-</v>
      </c>
    </row>
    <row r="14057" customHeight="1" spans="2:2">
      <c r="B14057" s="62" t="str">
        <f>IF(AND('领用录入（明细）'!D:D=$F$4,'领用录入（明细）'!C:C&gt;=$J$4,'领用录入（明细）'!C:C&lt;=$L$4),ROW(),"-")</f>
        <v>-</v>
      </c>
    </row>
    <row r="14058" customHeight="1" spans="2:2">
      <c r="B14058" s="62" t="str">
        <f>IF(AND('领用录入（明细）'!D:D=$F$4,'领用录入（明细）'!C:C&gt;=$J$4,'领用录入（明细）'!C:C&lt;=$L$4),ROW(),"-")</f>
        <v>-</v>
      </c>
    </row>
    <row r="14059" customHeight="1" spans="2:2">
      <c r="B14059" s="62" t="str">
        <f>IF(AND('领用录入（明细）'!D:D=$F$4,'领用录入（明细）'!C:C&gt;=$J$4,'领用录入（明细）'!C:C&lt;=$L$4),ROW(),"-")</f>
        <v>-</v>
      </c>
    </row>
    <row r="14060" customHeight="1" spans="2:2">
      <c r="B14060" s="62" t="str">
        <f>IF(AND('领用录入（明细）'!D:D=$F$4,'领用录入（明细）'!C:C&gt;=$J$4,'领用录入（明细）'!C:C&lt;=$L$4),ROW(),"-")</f>
        <v>-</v>
      </c>
    </row>
    <row r="14061" customHeight="1" spans="2:2">
      <c r="B14061" s="62" t="str">
        <f>IF(AND('领用录入（明细）'!D:D=$F$4,'领用录入（明细）'!C:C&gt;=$J$4,'领用录入（明细）'!C:C&lt;=$L$4),ROW(),"-")</f>
        <v>-</v>
      </c>
    </row>
    <row r="14062" customHeight="1" spans="2:2">
      <c r="B14062" s="62" t="str">
        <f>IF(AND('领用录入（明细）'!D:D=$F$4,'领用录入（明细）'!C:C&gt;=$J$4,'领用录入（明细）'!C:C&lt;=$L$4),ROW(),"-")</f>
        <v>-</v>
      </c>
    </row>
    <row r="14063" customHeight="1" spans="2:2">
      <c r="B14063" s="62" t="str">
        <f>IF(AND('领用录入（明细）'!D:D=$F$4,'领用录入（明细）'!C:C&gt;=$J$4,'领用录入（明细）'!C:C&lt;=$L$4),ROW(),"-")</f>
        <v>-</v>
      </c>
    </row>
    <row r="14064" customHeight="1" spans="2:2">
      <c r="B14064" s="62" t="str">
        <f>IF(AND('领用录入（明细）'!D:D=$F$4,'领用录入（明细）'!C:C&gt;=$J$4,'领用录入（明细）'!C:C&lt;=$L$4),ROW(),"-")</f>
        <v>-</v>
      </c>
    </row>
    <row r="14065" customHeight="1" spans="2:2">
      <c r="B14065" s="62" t="str">
        <f>IF(AND('领用录入（明细）'!D:D=$F$4,'领用录入（明细）'!C:C&gt;=$J$4,'领用录入（明细）'!C:C&lt;=$L$4),ROW(),"-")</f>
        <v>-</v>
      </c>
    </row>
    <row r="14066" customHeight="1" spans="2:2">
      <c r="B14066" s="62" t="str">
        <f>IF(AND('领用录入（明细）'!D:D=$F$4,'领用录入（明细）'!C:C&gt;=$J$4,'领用录入（明细）'!C:C&lt;=$L$4),ROW(),"-")</f>
        <v>-</v>
      </c>
    </row>
    <row r="14067" customHeight="1" spans="2:2">
      <c r="B14067" s="62" t="str">
        <f>IF(AND('领用录入（明细）'!D:D=$F$4,'领用录入（明细）'!C:C&gt;=$J$4,'领用录入（明细）'!C:C&lt;=$L$4),ROW(),"-")</f>
        <v>-</v>
      </c>
    </row>
    <row r="14068" customHeight="1" spans="2:2">
      <c r="B14068" s="62" t="str">
        <f>IF(AND('领用录入（明细）'!D:D=$F$4,'领用录入（明细）'!C:C&gt;=$J$4,'领用录入（明细）'!C:C&lt;=$L$4),ROW(),"-")</f>
        <v>-</v>
      </c>
    </row>
    <row r="14069" customHeight="1" spans="2:2">
      <c r="B14069" s="62" t="str">
        <f>IF(AND('领用录入（明细）'!D:D=$F$4,'领用录入（明细）'!C:C&gt;=$J$4,'领用录入（明细）'!C:C&lt;=$L$4),ROW(),"-")</f>
        <v>-</v>
      </c>
    </row>
    <row r="14070" customHeight="1" spans="2:2">
      <c r="B14070" s="62" t="str">
        <f>IF(AND('领用录入（明细）'!D:D=$F$4,'领用录入（明细）'!C:C&gt;=$J$4,'领用录入（明细）'!C:C&lt;=$L$4),ROW(),"-")</f>
        <v>-</v>
      </c>
    </row>
    <row r="14071" customHeight="1" spans="2:2">
      <c r="B14071" s="62" t="str">
        <f>IF(AND('领用录入（明细）'!D:D=$F$4,'领用录入（明细）'!C:C&gt;=$J$4,'领用录入（明细）'!C:C&lt;=$L$4),ROW(),"-")</f>
        <v>-</v>
      </c>
    </row>
    <row r="14072" customHeight="1" spans="2:2">
      <c r="B14072" s="62" t="str">
        <f>IF(AND('领用录入（明细）'!D:D=$F$4,'领用录入（明细）'!C:C&gt;=$J$4,'领用录入（明细）'!C:C&lt;=$L$4),ROW(),"-")</f>
        <v>-</v>
      </c>
    </row>
    <row r="14073" customHeight="1" spans="2:2">
      <c r="B14073" s="62" t="str">
        <f>IF(AND('领用录入（明细）'!D:D=$F$4,'领用录入（明细）'!C:C&gt;=$J$4,'领用录入（明细）'!C:C&lt;=$L$4),ROW(),"-")</f>
        <v>-</v>
      </c>
    </row>
    <row r="14074" customHeight="1" spans="2:2">
      <c r="B14074" s="62" t="str">
        <f>IF(AND('领用录入（明细）'!D:D=$F$4,'领用录入（明细）'!C:C&gt;=$J$4,'领用录入（明细）'!C:C&lt;=$L$4),ROW(),"-")</f>
        <v>-</v>
      </c>
    </row>
    <row r="14075" customHeight="1" spans="2:2">
      <c r="B14075" s="62" t="str">
        <f>IF(AND('领用录入（明细）'!D:D=$F$4,'领用录入（明细）'!C:C&gt;=$J$4,'领用录入（明细）'!C:C&lt;=$L$4),ROW(),"-")</f>
        <v>-</v>
      </c>
    </row>
    <row r="14076" customHeight="1" spans="2:2">
      <c r="B14076" s="62" t="str">
        <f>IF(AND('领用录入（明细）'!D:D=$F$4,'领用录入（明细）'!C:C&gt;=$J$4,'领用录入（明细）'!C:C&lt;=$L$4),ROW(),"-")</f>
        <v>-</v>
      </c>
    </row>
    <row r="14077" customHeight="1" spans="2:2">
      <c r="B14077" s="62" t="str">
        <f>IF(AND('领用录入（明细）'!D:D=$F$4,'领用录入（明细）'!C:C&gt;=$J$4,'领用录入（明细）'!C:C&lt;=$L$4),ROW(),"-")</f>
        <v>-</v>
      </c>
    </row>
    <row r="14078" customHeight="1" spans="2:2">
      <c r="B14078" s="62" t="str">
        <f>IF(AND('领用录入（明细）'!D:D=$F$4,'领用录入（明细）'!C:C&gt;=$J$4,'领用录入（明细）'!C:C&lt;=$L$4),ROW(),"-")</f>
        <v>-</v>
      </c>
    </row>
    <row r="14079" customHeight="1" spans="2:2">
      <c r="B14079" s="62" t="str">
        <f>IF(AND('领用录入（明细）'!D:D=$F$4,'领用录入（明细）'!C:C&gt;=$J$4,'领用录入（明细）'!C:C&lt;=$L$4),ROW(),"-")</f>
        <v>-</v>
      </c>
    </row>
    <row r="14080" customHeight="1" spans="2:2">
      <c r="B14080" s="62" t="str">
        <f>IF(AND('领用录入（明细）'!D:D=$F$4,'领用录入（明细）'!C:C&gt;=$J$4,'领用录入（明细）'!C:C&lt;=$L$4),ROW(),"-")</f>
        <v>-</v>
      </c>
    </row>
    <row r="14081" customHeight="1" spans="2:2">
      <c r="B14081" s="62" t="str">
        <f>IF(AND('领用录入（明细）'!D:D=$F$4,'领用录入（明细）'!C:C&gt;=$J$4,'领用录入（明细）'!C:C&lt;=$L$4),ROW(),"-")</f>
        <v>-</v>
      </c>
    </row>
    <row r="14082" customHeight="1" spans="2:2">
      <c r="B14082" s="62" t="str">
        <f>IF(AND('领用录入（明细）'!D:D=$F$4,'领用录入（明细）'!C:C&gt;=$J$4,'领用录入（明细）'!C:C&lt;=$L$4),ROW(),"-")</f>
        <v>-</v>
      </c>
    </row>
    <row r="14083" customHeight="1" spans="2:2">
      <c r="B14083" s="62" t="str">
        <f>IF(AND('领用录入（明细）'!D:D=$F$4,'领用录入（明细）'!C:C&gt;=$J$4,'领用录入（明细）'!C:C&lt;=$L$4),ROW(),"-")</f>
        <v>-</v>
      </c>
    </row>
    <row r="14084" customHeight="1" spans="2:2">
      <c r="B14084" s="62" t="str">
        <f>IF(AND('领用录入（明细）'!D:D=$F$4,'领用录入（明细）'!C:C&gt;=$J$4,'领用录入（明细）'!C:C&lt;=$L$4),ROW(),"-")</f>
        <v>-</v>
      </c>
    </row>
    <row r="14085" customHeight="1" spans="2:2">
      <c r="B14085" s="62" t="str">
        <f>IF(AND('领用录入（明细）'!D:D=$F$4,'领用录入（明细）'!C:C&gt;=$J$4,'领用录入（明细）'!C:C&lt;=$L$4),ROW(),"-")</f>
        <v>-</v>
      </c>
    </row>
    <row r="14086" customHeight="1" spans="2:2">
      <c r="B14086" s="62" t="str">
        <f>IF(AND('领用录入（明细）'!D:D=$F$4,'领用录入（明细）'!C:C&gt;=$J$4,'领用录入（明细）'!C:C&lt;=$L$4),ROW(),"-")</f>
        <v>-</v>
      </c>
    </row>
    <row r="14087" customHeight="1" spans="2:2">
      <c r="B14087" s="62" t="str">
        <f>IF(AND('领用录入（明细）'!D:D=$F$4,'领用录入（明细）'!C:C&gt;=$J$4,'领用录入（明细）'!C:C&lt;=$L$4),ROW(),"-")</f>
        <v>-</v>
      </c>
    </row>
    <row r="14088" customHeight="1" spans="2:2">
      <c r="B14088" s="62" t="str">
        <f>IF(AND('领用录入（明细）'!D:D=$F$4,'领用录入（明细）'!C:C&gt;=$J$4,'领用录入（明细）'!C:C&lt;=$L$4),ROW(),"-")</f>
        <v>-</v>
      </c>
    </row>
    <row r="14089" customHeight="1" spans="2:2">
      <c r="B14089" s="62" t="str">
        <f>IF(AND('领用录入（明细）'!D:D=$F$4,'领用录入（明细）'!C:C&gt;=$J$4,'领用录入（明细）'!C:C&lt;=$L$4),ROW(),"-")</f>
        <v>-</v>
      </c>
    </row>
    <row r="14090" customHeight="1" spans="2:2">
      <c r="B14090" s="62" t="str">
        <f>IF(AND('领用录入（明细）'!D:D=$F$4,'领用录入（明细）'!C:C&gt;=$J$4,'领用录入（明细）'!C:C&lt;=$L$4),ROW(),"-")</f>
        <v>-</v>
      </c>
    </row>
    <row r="14091" customHeight="1" spans="2:2">
      <c r="B14091" s="62" t="str">
        <f>IF(AND('领用录入（明细）'!D:D=$F$4,'领用录入（明细）'!C:C&gt;=$J$4,'领用录入（明细）'!C:C&lt;=$L$4),ROW(),"-")</f>
        <v>-</v>
      </c>
    </row>
    <row r="14092" customHeight="1" spans="2:2">
      <c r="B14092" s="62" t="str">
        <f>IF(AND('领用录入（明细）'!D:D=$F$4,'领用录入（明细）'!C:C&gt;=$J$4,'领用录入（明细）'!C:C&lt;=$L$4),ROW(),"-")</f>
        <v>-</v>
      </c>
    </row>
    <row r="14093" customHeight="1" spans="2:2">
      <c r="B14093" s="62" t="str">
        <f>IF(AND('领用录入（明细）'!D:D=$F$4,'领用录入（明细）'!C:C&gt;=$J$4,'领用录入（明细）'!C:C&lt;=$L$4),ROW(),"-")</f>
        <v>-</v>
      </c>
    </row>
    <row r="14094" customHeight="1" spans="2:2">
      <c r="B14094" s="62" t="str">
        <f>IF(AND('领用录入（明细）'!D:D=$F$4,'领用录入（明细）'!C:C&gt;=$J$4,'领用录入（明细）'!C:C&lt;=$L$4),ROW(),"-")</f>
        <v>-</v>
      </c>
    </row>
    <row r="14095" customHeight="1" spans="2:2">
      <c r="B14095" s="62" t="str">
        <f>IF(AND('领用录入（明细）'!D:D=$F$4,'领用录入（明细）'!C:C&gt;=$J$4,'领用录入（明细）'!C:C&lt;=$L$4),ROW(),"-")</f>
        <v>-</v>
      </c>
    </row>
    <row r="14096" customHeight="1" spans="2:2">
      <c r="B14096" s="62" t="str">
        <f>IF(AND('领用录入（明细）'!D:D=$F$4,'领用录入（明细）'!C:C&gt;=$J$4,'领用录入（明细）'!C:C&lt;=$L$4),ROW(),"-")</f>
        <v>-</v>
      </c>
    </row>
    <row r="14097" customHeight="1" spans="2:2">
      <c r="B14097" s="62" t="str">
        <f>IF(AND('领用录入（明细）'!D:D=$F$4,'领用录入（明细）'!C:C&gt;=$J$4,'领用录入（明细）'!C:C&lt;=$L$4),ROW(),"-")</f>
        <v>-</v>
      </c>
    </row>
    <row r="14098" customHeight="1" spans="2:2">
      <c r="B14098" s="62" t="str">
        <f>IF(AND('领用录入（明细）'!D:D=$F$4,'领用录入（明细）'!C:C&gt;=$J$4,'领用录入（明细）'!C:C&lt;=$L$4),ROW(),"-")</f>
        <v>-</v>
      </c>
    </row>
    <row r="14099" customHeight="1" spans="2:2">
      <c r="B14099" s="62" t="str">
        <f>IF(AND('领用录入（明细）'!D:D=$F$4,'领用录入（明细）'!C:C&gt;=$J$4,'领用录入（明细）'!C:C&lt;=$L$4),ROW(),"-")</f>
        <v>-</v>
      </c>
    </row>
    <row r="14100" customHeight="1" spans="2:2">
      <c r="B14100" s="62" t="str">
        <f>IF(AND('领用录入（明细）'!D:D=$F$4,'领用录入（明细）'!C:C&gt;=$J$4,'领用录入（明细）'!C:C&lt;=$L$4),ROW(),"-")</f>
        <v>-</v>
      </c>
    </row>
    <row r="14101" customHeight="1" spans="2:2">
      <c r="B14101" s="62" t="str">
        <f>IF(AND('领用录入（明细）'!D:D=$F$4,'领用录入（明细）'!C:C&gt;=$J$4,'领用录入（明细）'!C:C&lt;=$L$4),ROW(),"-")</f>
        <v>-</v>
      </c>
    </row>
    <row r="14102" customHeight="1" spans="2:2">
      <c r="B14102" s="62" t="str">
        <f>IF(AND('领用录入（明细）'!D:D=$F$4,'领用录入（明细）'!C:C&gt;=$J$4,'领用录入（明细）'!C:C&lt;=$L$4),ROW(),"-")</f>
        <v>-</v>
      </c>
    </row>
    <row r="14103" customHeight="1" spans="2:2">
      <c r="B14103" s="62" t="str">
        <f>IF(AND('领用录入（明细）'!D:D=$F$4,'领用录入（明细）'!C:C&gt;=$J$4,'领用录入（明细）'!C:C&lt;=$L$4),ROW(),"-")</f>
        <v>-</v>
      </c>
    </row>
    <row r="14104" customHeight="1" spans="2:2">
      <c r="B14104" s="62" t="str">
        <f>IF(AND('领用录入（明细）'!D:D=$F$4,'领用录入（明细）'!C:C&gt;=$J$4,'领用录入（明细）'!C:C&lt;=$L$4),ROW(),"-")</f>
        <v>-</v>
      </c>
    </row>
    <row r="14105" customHeight="1" spans="2:2">
      <c r="B14105" s="62" t="str">
        <f>IF(AND('领用录入（明细）'!D:D=$F$4,'领用录入（明细）'!C:C&gt;=$J$4,'领用录入（明细）'!C:C&lt;=$L$4),ROW(),"-")</f>
        <v>-</v>
      </c>
    </row>
    <row r="14106" customHeight="1" spans="2:2">
      <c r="B14106" s="62" t="str">
        <f>IF(AND('领用录入（明细）'!D:D=$F$4,'领用录入（明细）'!C:C&gt;=$J$4,'领用录入（明细）'!C:C&lt;=$L$4),ROW(),"-")</f>
        <v>-</v>
      </c>
    </row>
    <row r="14107" customHeight="1" spans="2:2">
      <c r="B14107" s="62" t="str">
        <f>IF(AND('领用录入（明细）'!D:D=$F$4,'领用录入（明细）'!C:C&gt;=$J$4,'领用录入（明细）'!C:C&lt;=$L$4),ROW(),"-")</f>
        <v>-</v>
      </c>
    </row>
    <row r="14108" customHeight="1" spans="2:2">
      <c r="B14108" s="62" t="str">
        <f>IF(AND('领用录入（明细）'!D:D=$F$4,'领用录入（明细）'!C:C&gt;=$J$4,'领用录入（明细）'!C:C&lt;=$L$4),ROW(),"-")</f>
        <v>-</v>
      </c>
    </row>
    <row r="14109" customHeight="1" spans="2:2">
      <c r="B14109" s="62" t="str">
        <f>IF(AND('领用录入（明细）'!D:D=$F$4,'领用录入（明细）'!C:C&gt;=$J$4,'领用录入（明细）'!C:C&lt;=$L$4),ROW(),"-")</f>
        <v>-</v>
      </c>
    </row>
    <row r="14110" customHeight="1" spans="2:2">
      <c r="B14110" s="62" t="str">
        <f>IF(AND('领用录入（明细）'!D:D=$F$4,'领用录入（明细）'!C:C&gt;=$J$4,'领用录入（明细）'!C:C&lt;=$L$4),ROW(),"-")</f>
        <v>-</v>
      </c>
    </row>
    <row r="14111" customHeight="1" spans="2:2">
      <c r="B14111" s="62" t="str">
        <f>IF(AND('领用录入（明细）'!D:D=$F$4,'领用录入（明细）'!C:C&gt;=$J$4,'领用录入（明细）'!C:C&lt;=$L$4),ROW(),"-")</f>
        <v>-</v>
      </c>
    </row>
    <row r="14112" customHeight="1" spans="2:2">
      <c r="B14112" s="62" t="str">
        <f>IF(AND('领用录入（明细）'!D:D=$F$4,'领用录入（明细）'!C:C&gt;=$J$4,'领用录入（明细）'!C:C&lt;=$L$4),ROW(),"-")</f>
        <v>-</v>
      </c>
    </row>
    <row r="14113" customHeight="1" spans="2:2">
      <c r="B14113" s="62" t="str">
        <f>IF(AND('领用录入（明细）'!D:D=$F$4,'领用录入（明细）'!C:C&gt;=$J$4,'领用录入（明细）'!C:C&lt;=$L$4),ROW(),"-")</f>
        <v>-</v>
      </c>
    </row>
    <row r="14114" customHeight="1" spans="2:2">
      <c r="B14114" s="62" t="str">
        <f>IF(AND('领用录入（明细）'!D:D=$F$4,'领用录入（明细）'!C:C&gt;=$J$4,'领用录入（明细）'!C:C&lt;=$L$4),ROW(),"-")</f>
        <v>-</v>
      </c>
    </row>
    <row r="14115" customHeight="1" spans="2:2">
      <c r="B14115" s="62" t="str">
        <f>IF(AND('领用录入（明细）'!D:D=$F$4,'领用录入（明细）'!C:C&gt;=$J$4,'领用录入（明细）'!C:C&lt;=$L$4),ROW(),"-")</f>
        <v>-</v>
      </c>
    </row>
    <row r="14116" customHeight="1" spans="2:2">
      <c r="B14116" s="62" t="str">
        <f>IF(AND('领用录入（明细）'!D:D=$F$4,'领用录入（明细）'!C:C&gt;=$J$4,'领用录入（明细）'!C:C&lt;=$L$4),ROW(),"-")</f>
        <v>-</v>
      </c>
    </row>
    <row r="14117" customHeight="1" spans="2:2">
      <c r="B14117" s="62" t="str">
        <f>IF(AND('领用录入（明细）'!D:D=$F$4,'领用录入（明细）'!C:C&gt;=$J$4,'领用录入（明细）'!C:C&lt;=$L$4),ROW(),"-")</f>
        <v>-</v>
      </c>
    </row>
    <row r="14118" customHeight="1" spans="2:2">
      <c r="B14118" s="62" t="str">
        <f>IF(AND('领用录入（明细）'!D:D=$F$4,'领用录入（明细）'!C:C&gt;=$J$4,'领用录入（明细）'!C:C&lt;=$L$4),ROW(),"-")</f>
        <v>-</v>
      </c>
    </row>
    <row r="14119" customHeight="1" spans="2:2">
      <c r="B14119" s="62" t="str">
        <f>IF(AND('领用录入（明细）'!D:D=$F$4,'领用录入（明细）'!C:C&gt;=$J$4,'领用录入（明细）'!C:C&lt;=$L$4),ROW(),"-")</f>
        <v>-</v>
      </c>
    </row>
    <row r="14120" customHeight="1" spans="2:2">
      <c r="B14120" s="62" t="str">
        <f>IF(AND('领用录入（明细）'!D:D=$F$4,'领用录入（明细）'!C:C&gt;=$J$4,'领用录入（明细）'!C:C&lt;=$L$4),ROW(),"-")</f>
        <v>-</v>
      </c>
    </row>
    <row r="14121" customHeight="1" spans="2:2">
      <c r="B14121" s="62" t="str">
        <f>IF(AND('领用录入（明细）'!D:D=$F$4,'领用录入（明细）'!C:C&gt;=$J$4,'领用录入（明细）'!C:C&lt;=$L$4),ROW(),"-")</f>
        <v>-</v>
      </c>
    </row>
    <row r="14122" customHeight="1" spans="2:2">
      <c r="B14122" s="62" t="str">
        <f>IF(AND('领用录入（明细）'!D:D=$F$4,'领用录入（明细）'!C:C&gt;=$J$4,'领用录入（明细）'!C:C&lt;=$L$4),ROW(),"-")</f>
        <v>-</v>
      </c>
    </row>
    <row r="14123" customHeight="1" spans="2:2">
      <c r="B14123" s="62" t="str">
        <f>IF(AND('领用录入（明细）'!D:D=$F$4,'领用录入（明细）'!C:C&gt;=$J$4,'领用录入（明细）'!C:C&lt;=$L$4),ROW(),"-")</f>
        <v>-</v>
      </c>
    </row>
    <row r="14124" customHeight="1" spans="2:2">
      <c r="B14124" s="62" t="str">
        <f>IF(AND('领用录入（明细）'!D:D=$F$4,'领用录入（明细）'!C:C&gt;=$J$4,'领用录入（明细）'!C:C&lt;=$L$4),ROW(),"-")</f>
        <v>-</v>
      </c>
    </row>
    <row r="14125" customHeight="1" spans="2:2">
      <c r="B14125" s="62" t="str">
        <f>IF(AND('领用录入（明细）'!D:D=$F$4,'领用录入（明细）'!C:C&gt;=$J$4,'领用录入（明细）'!C:C&lt;=$L$4),ROW(),"-")</f>
        <v>-</v>
      </c>
    </row>
    <row r="14126" customHeight="1" spans="2:2">
      <c r="B14126" s="62" t="str">
        <f>IF(AND('领用录入（明细）'!D:D=$F$4,'领用录入（明细）'!C:C&gt;=$J$4,'领用录入（明细）'!C:C&lt;=$L$4),ROW(),"-")</f>
        <v>-</v>
      </c>
    </row>
    <row r="14127" customHeight="1" spans="2:2">
      <c r="B14127" s="62" t="str">
        <f>IF(AND('领用录入（明细）'!D:D=$F$4,'领用录入（明细）'!C:C&gt;=$J$4,'领用录入（明细）'!C:C&lt;=$L$4),ROW(),"-")</f>
        <v>-</v>
      </c>
    </row>
    <row r="14128" customHeight="1" spans="2:2">
      <c r="B14128" s="62" t="str">
        <f>IF(AND('领用录入（明细）'!D:D=$F$4,'领用录入（明细）'!C:C&gt;=$J$4,'领用录入（明细）'!C:C&lt;=$L$4),ROW(),"-")</f>
        <v>-</v>
      </c>
    </row>
    <row r="14129" customHeight="1" spans="2:2">
      <c r="B14129" s="62" t="str">
        <f>IF(AND('领用录入（明细）'!D:D=$F$4,'领用录入（明细）'!C:C&gt;=$J$4,'领用录入（明细）'!C:C&lt;=$L$4),ROW(),"-")</f>
        <v>-</v>
      </c>
    </row>
    <row r="14130" customHeight="1" spans="2:2">
      <c r="B14130" s="62" t="str">
        <f>IF(AND('领用录入（明细）'!D:D=$F$4,'领用录入（明细）'!C:C&gt;=$J$4,'领用录入（明细）'!C:C&lt;=$L$4),ROW(),"-")</f>
        <v>-</v>
      </c>
    </row>
    <row r="14131" customHeight="1" spans="2:2">
      <c r="B14131" s="62" t="str">
        <f>IF(AND('领用录入（明细）'!D:D=$F$4,'领用录入（明细）'!C:C&gt;=$J$4,'领用录入（明细）'!C:C&lt;=$L$4),ROW(),"-")</f>
        <v>-</v>
      </c>
    </row>
    <row r="14132" customHeight="1" spans="2:2">
      <c r="B14132" s="62" t="str">
        <f>IF(AND('领用录入（明细）'!D:D=$F$4,'领用录入（明细）'!C:C&gt;=$J$4,'领用录入（明细）'!C:C&lt;=$L$4),ROW(),"-")</f>
        <v>-</v>
      </c>
    </row>
    <row r="14133" customHeight="1" spans="2:2">
      <c r="B14133" s="62" t="str">
        <f>IF(AND('领用录入（明细）'!D:D=$F$4,'领用录入（明细）'!C:C&gt;=$J$4,'领用录入（明细）'!C:C&lt;=$L$4),ROW(),"-")</f>
        <v>-</v>
      </c>
    </row>
    <row r="14134" customHeight="1" spans="2:2">
      <c r="B14134" s="62" t="str">
        <f>IF(AND('领用录入（明细）'!D:D=$F$4,'领用录入（明细）'!C:C&gt;=$J$4,'领用录入（明细）'!C:C&lt;=$L$4),ROW(),"-")</f>
        <v>-</v>
      </c>
    </row>
    <row r="14135" customHeight="1" spans="2:2">
      <c r="B14135" s="62" t="str">
        <f>IF(AND('领用录入（明细）'!D:D=$F$4,'领用录入（明细）'!C:C&gt;=$J$4,'领用录入（明细）'!C:C&lt;=$L$4),ROW(),"-")</f>
        <v>-</v>
      </c>
    </row>
    <row r="14136" customHeight="1" spans="2:2">
      <c r="B14136" s="62" t="str">
        <f>IF(AND('领用录入（明细）'!D:D=$F$4,'领用录入（明细）'!C:C&gt;=$J$4,'领用录入（明细）'!C:C&lt;=$L$4),ROW(),"-")</f>
        <v>-</v>
      </c>
    </row>
    <row r="14137" customHeight="1" spans="2:2">
      <c r="B14137" s="62" t="str">
        <f>IF(AND('领用录入（明细）'!D:D=$F$4,'领用录入（明细）'!C:C&gt;=$J$4,'领用录入（明细）'!C:C&lt;=$L$4),ROW(),"-")</f>
        <v>-</v>
      </c>
    </row>
    <row r="14138" customHeight="1" spans="2:2">
      <c r="B14138" s="62" t="str">
        <f>IF(AND('领用录入（明细）'!D:D=$F$4,'领用录入（明细）'!C:C&gt;=$J$4,'领用录入（明细）'!C:C&lt;=$L$4),ROW(),"-")</f>
        <v>-</v>
      </c>
    </row>
    <row r="14139" customHeight="1" spans="2:2">
      <c r="B14139" s="62" t="str">
        <f>IF(AND('领用录入（明细）'!D:D=$F$4,'领用录入（明细）'!C:C&gt;=$J$4,'领用录入（明细）'!C:C&lt;=$L$4),ROW(),"-")</f>
        <v>-</v>
      </c>
    </row>
    <row r="14140" customHeight="1" spans="2:2">
      <c r="B14140" s="62" t="str">
        <f>IF(AND('领用录入（明细）'!D:D=$F$4,'领用录入（明细）'!C:C&gt;=$J$4,'领用录入（明细）'!C:C&lt;=$L$4),ROW(),"-")</f>
        <v>-</v>
      </c>
    </row>
    <row r="14141" customHeight="1" spans="2:2">
      <c r="B14141" s="62" t="str">
        <f>IF(AND('领用录入（明细）'!D:D=$F$4,'领用录入（明细）'!C:C&gt;=$J$4,'领用录入（明细）'!C:C&lt;=$L$4),ROW(),"-")</f>
        <v>-</v>
      </c>
    </row>
    <row r="14142" customHeight="1" spans="2:2">
      <c r="B14142" s="62" t="str">
        <f>IF(AND('领用录入（明细）'!D:D=$F$4,'领用录入（明细）'!C:C&gt;=$J$4,'领用录入（明细）'!C:C&lt;=$L$4),ROW(),"-")</f>
        <v>-</v>
      </c>
    </row>
    <row r="14143" customHeight="1" spans="2:2">
      <c r="B14143" s="62" t="str">
        <f>IF(AND('领用录入（明细）'!D:D=$F$4,'领用录入（明细）'!C:C&gt;=$J$4,'领用录入（明细）'!C:C&lt;=$L$4),ROW(),"-")</f>
        <v>-</v>
      </c>
    </row>
    <row r="14144" customHeight="1" spans="2:2">
      <c r="B14144" s="62" t="str">
        <f>IF(AND('领用录入（明细）'!D:D=$F$4,'领用录入（明细）'!C:C&gt;=$J$4,'领用录入（明细）'!C:C&lt;=$L$4),ROW(),"-")</f>
        <v>-</v>
      </c>
    </row>
    <row r="14145" customHeight="1" spans="2:2">
      <c r="B14145" s="62" t="str">
        <f>IF(AND('领用录入（明细）'!D:D=$F$4,'领用录入（明细）'!C:C&gt;=$J$4,'领用录入（明细）'!C:C&lt;=$L$4),ROW(),"-")</f>
        <v>-</v>
      </c>
    </row>
    <row r="14146" customHeight="1" spans="2:2">
      <c r="B14146" s="62" t="str">
        <f>IF(AND('领用录入（明细）'!D:D=$F$4,'领用录入（明细）'!C:C&gt;=$J$4,'领用录入（明细）'!C:C&lt;=$L$4),ROW(),"-")</f>
        <v>-</v>
      </c>
    </row>
    <row r="14147" customHeight="1" spans="2:2">
      <c r="B14147" s="62" t="str">
        <f>IF(AND('领用录入（明细）'!D:D=$F$4,'领用录入（明细）'!C:C&gt;=$J$4,'领用录入（明细）'!C:C&lt;=$L$4),ROW(),"-")</f>
        <v>-</v>
      </c>
    </row>
    <row r="14148" customHeight="1" spans="2:2">
      <c r="B14148" s="62" t="str">
        <f>IF(AND('领用录入（明细）'!D:D=$F$4,'领用录入（明细）'!C:C&gt;=$J$4,'领用录入（明细）'!C:C&lt;=$L$4),ROW(),"-")</f>
        <v>-</v>
      </c>
    </row>
    <row r="14149" customHeight="1" spans="2:2">
      <c r="B14149" s="62" t="str">
        <f>IF(AND('领用录入（明细）'!D:D=$F$4,'领用录入（明细）'!C:C&gt;=$J$4,'领用录入（明细）'!C:C&lt;=$L$4),ROW(),"-")</f>
        <v>-</v>
      </c>
    </row>
    <row r="14150" customHeight="1" spans="2:2">
      <c r="B14150" s="62" t="str">
        <f>IF(AND('领用录入（明细）'!D:D=$F$4,'领用录入（明细）'!C:C&gt;=$J$4,'领用录入（明细）'!C:C&lt;=$L$4),ROW(),"-")</f>
        <v>-</v>
      </c>
    </row>
    <row r="14151" customHeight="1" spans="2:2">
      <c r="B14151" s="62" t="str">
        <f>IF(AND('领用录入（明细）'!D:D=$F$4,'领用录入（明细）'!C:C&gt;=$J$4,'领用录入（明细）'!C:C&lt;=$L$4),ROW(),"-")</f>
        <v>-</v>
      </c>
    </row>
    <row r="14152" customHeight="1" spans="2:2">
      <c r="B14152" s="62" t="str">
        <f>IF(AND('领用录入（明细）'!D:D=$F$4,'领用录入（明细）'!C:C&gt;=$J$4,'领用录入（明细）'!C:C&lt;=$L$4),ROW(),"-")</f>
        <v>-</v>
      </c>
    </row>
    <row r="14153" customHeight="1" spans="2:2">
      <c r="B14153" s="62" t="str">
        <f>IF(AND('领用录入（明细）'!D:D=$F$4,'领用录入（明细）'!C:C&gt;=$J$4,'领用录入（明细）'!C:C&lt;=$L$4),ROW(),"-")</f>
        <v>-</v>
      </c>
    </row>
    <row r="14154" customHeight="1" spans="2:2">
      <c r="B14154" s="62" t="str">
        <f>IF(AND('领用录入（明细）'!D:D=$F$4,'领用录入（明细）'!C:C&gt;=$J$4,'领用录入（明细）'!C:C&lt;=$L$4),ROW(),"-")</f>
        <v>-</v>
      </c>
    </row>
    <row r="14155" customHeight="1" spans="2:2">
      <c r="B14155" s="62" t="str">
        <f>IF(AND('领用录入（明细）'!D:D=$F$4,'领用录入（明细）'!C:C&gt;=$J$4,'领用录入（明细）'!C:C&lt;=$L$4),ROW(),"-")</f>
        <v>-</v>
      </c>
    </row>
    <row r="14156" customHeight="1" spans="2:2">
      <c r="B14156" s="62" t="str">
        <f>IF(AND('领用录入（明细）'!D:D=$F$4,'领用录入（明细）'!C:C&gt;=$J$4,'领用录入（明细）'!C:C&lt;=$L$4),ROW(),"-")</f>
        <v>-</v>
      </c>
    </row>
    <row r="14157" customHeight="1" spans="2:2">
      <c r="B14157" s="62" t="str">
        <f>IF(AND('领用录入（明细）'!D:D=$F$4,'领用录入（明细）'!C:C&gt;=$J$4,'领用录入（明细）'!C:C&lt;=$L$4),ROW(),"-")</f>
        <v>-</v>
      </c>
    </row>
    <row r="14158" customHeight="1" spans="2:2">
      <c r="B14158" s="62" t="str">
        <f>IF(AND('领用录入（明细）'!D:D=$F$4,'领用录入（明细）'!C:C&gt;=$J$4,'领用录入（明细）'!C:C&lt;=$L$4),ROW(),"-")</f>
        <v>-</v>
      </c>
    </row>
    <row r="14159" customHeight="1" spans="2:2">
      <c r="B14159" s="62" t="str">
        <f>IF(AND('领用录入（明细）'!D:D=$F$4,'领用录入（明细）'!C:C&gt;=$J$4,'领用录入（明细）'!C:C&lt;=$L$4),ROW(),"-")</f>
        <v>-</v>
      </c>
    </row>
    <row r="14160" customHeight="1" spans="2:2">
      <c r="B14160" s="62" t="str">
        <f>IF(AND('领用录入（明细）'!D:D=$F$4,'领用录入（明细）'!C:C&gt;=$J$4,'领用录入（明细）'!C:C&lt;=$L$4),ROW(),"-")</f>
        <v>-</v>
      </c>
    </row>
    <row r="14161" customHeight="1" spans="2:2">
      <c r="B14161" s="62" t="str">
        <f>IF(AND('领用录入（明细）'!D:D=$F$4,'领用录入（明细）'!C:C&gt;=$J$4,'领用录入（明细）'!C:C&lt;=$L$4),ROW(),"-")</f>
        <v>-</v>
      </c>
    </row>
    <row r="14162" customHeight="1" spans="2:2">
      <c r="B14162" s="62" t="str">
        <f>IF(AND('领用录入（明细）'!D:D=$F$4,'领用录入（明细）'!C:C&gt;=$J$4,'领用录入（明细）'!C:C&lt;=$L$4),ROW(),"-")</f>
        <v>-</v>
      </c>
    </row>
    <row r="14163" customHeight="1" spans="2:2">
      <c r="B14163" s="62" t="str">
        <f>IF(AND('领用录入（明细）'!D:D=$F$4,'领用录入（明细）'!C:C&gt;=$J$4,'领用录入（明细）'!C:C&lt;=$L$4),ROW(),"-")</f>
        <v>-</v>
      </c>
    </row>
    <row r="14164" customHeight="1" spans="2:2">
      <c r="B14164" s="62" t="str">
        <f>IF(AND('领用录入（明细）'!D:D=$F$4,'领用录入（明细）'!C:C&gt;=$J$4,'领用录入（明细）'!C:C&lt;=$L$4),ROW(),"-")</f>
        <v>-</v>
      </c>
    </row>
    <row r="14165" customHeight="1" spans="2:2">
      <c r="B14165" s="62" t="str">
        <f>IF(AND('领用录入（明细）'!D:D=$F$4,'领用录入（明细）'!C:C&gt;=$J$4,'领用录入（明细）'!C:C&lt;=$L$4),ROW(),"-")</f>
        <v>-</v>
      </c>
    </row>
    <row r="14166" customHeight="1" spans="2:2">
      <c r="B14166" s="62" t="str">
        <f>IF(AND('领用录入（明细）'!D:D=$F$4,'领用录入（明细）'!C:C&gt;=$J$4,'领用录入（明细）'!C:C&lt;=$L$4),ROW(),"-")</f>
        <v>-</v>
      </c>
    </row>
    <row r="14167" customHeight="1" spans="2:2">
      <c r="B14167" s="62" t="str">
        <f>IF(AND('领用录入（明细）'!D:D=$F$4,'领用录入（明细）'!C:C&gt;=$J$4,'领用录入（明细）'!C:C&lt;=$L$4),ROW(),"-")</f>
        <v>-</v>
      </c>
    </row>
    <row r="14168" customHeight="1" spans="2:2">
      <c r="B14168" s="62" t="str">
        <f>IF(AND('领用录入（明细）'!D:D=$F$4,'领用录入（明细）'!C:C&gt;=$J$4,'领用录入（明细）'!C:C&lt;=$L$4),ROW(),"-")</f>
        <v>-</v>
      </c>
    </row>
    <row r="14169" customHeight="1" spans="2:2">
      <c r="B14169" s="62" t="str">
        <f>IF(AND('领用录入（明细）'!D:D=$F$4,'领用录入（明细）'!C:C&gt;=$J$4,'领用录入（明细）'!C:C&lt;=$L$4),ROW(),"-")</f>
        <v>-</v>
      </c>
    </row>
    <row r="14170" customHeight="1" spans="2:2">
      <c r="B14170" s="62" t="str">
        <f>IF(AND('领用录入（明细）'!D:D=$F$4,'领用录入（明细）'!C:C&gt;=$J$4,'领用录入（明细）'!C:C&lt;=$L$4),ROW(),"-")</f>
        <v>-</v>
      </c>
    </row>
    <row r="14171" customHeight="1" spans="2:2">
      <c r="B14171" s="62" t="str">
        <f>IF(AND('领用录入（明细）'!D:D=$F$4,'领用录入（明细）'!C:C&gt;=$J$4,'领用录入（明细）'!C:C&lt;=$L$4),ROW(),"-")</f>
        <v>-</v>
      </c>
    </row>
    <row r="14172" customHeight="1" spans="2:2">
      <c r="B14172" s="62" t="str">
        <f>IF(AND('领用录入（明细）'!D:D=$F$4,'领用录入（明细）'!C:C&gt;=$J$4,'领用录入（明细）'!C:C&lt;=$L$4),ROW(),"-")</f>
        <v>-</v>
      </c>
    </row>
    <row r="14173" customHeight="1" spans="2:2">
      <c r="B14173" s="62" t="str">
        <f>IF(AND('领用录入（明细）'!D:D=$F$4,'领用录入（明细）'!C:C&gt;=$J$4,'领用录入（明细）'!C:C&lt;=$L$4),ROW(),"-")</f>
        <v>-</v>
      </c>
    </row>
    <row r="14174" customHeight="1" spans="2:2">
      <c r="B14174" s="62" t="str">
        <f>IF(AND('领用录入（明细）'!D:D=$F$4,'领用录入（明细）'!C:C&gt;=$J$4,'领用录入（明细）'!C:C&lt;=$L$4),ROW(),"-")</f>
        <v>-</v>
      </c>
    </row>
    <row r="14175" customHeight="1" spans="2:2">
      <c r="B14175" s="62" t="str">
        <f>IF(AND('领用录入（明细）'!D:D=$F$4,'领用录入（明细）'!C:C&gt;=$J$4,'领用录入（明细）'!C:C&lt;=$L$4),ROW(),"-")</f>
        <v>-</v>
      </c>
    </row>
    <row r="14176" customHeight="1" spans="2:2">
      <c r="B14176" s="62" t="str">
        <f>IF(AND('领用录入（明细）'!D:D=$F$4,'领用录入（明细）'!C:C&gt;=$J$4,'领用录入（明细）'!C:C&lt;=$L$4),ROW(),"-")</f>
        <v>-</v>
      </c>
    </row>
    <row r="14177" customHeight="1" spans="2:2">
      <c r="B14177" s="62" t="str">
        <f>IF(AND('领用录入（明细）'!D:D=$F$4,'领用录入（明细）'!C:C&gt;=$J$4,'领用录入（明细）'!C:C&lt;=$L$4),ROW(),"-")</f>
        <v>-</v>
      </c>
    </row>
    <row r="14178" customHeight="1" spans="2:2">
      <c r="B14178" s="62" t="str">
        <f>IF(AND('领用录入（明细）'!D:D=$F$4,'领用录入（明细）'!C:C&gt;=$J$4,'领用录入（明细）'!C:C&lt;=$L$4),ROW(),"-")</f>
        <v>-</v>
      </c>
    </row>
    <row r="14179" customHeight="1" spans="2:2">
      <c r="B14179" s="62" t="str">
        <f>IF(AND('领用录入（明细）'!D:D=$F$4,'领用录入（明细）'!C:C&gt;=$J$4,'领用录入（明细）'!C:C&lt;=$L$4),ROW(),"-")</f>
        <v>-</v>
      </c>
    </row>
    <row r="14180" customHeight="1" spans="2:2">
      <c r="B14180" s="62" t="str">
        <f>IF(AND('领用录入（明细）'!D:D=$F$4,'领用录入（明细）'!C:C&gt;=$J$4,'领用录入（明细）'!C:C&lt;=$L$4),ROW(),"-")</f>
        <v>-</v>
      </c>
    </row>
    <row r="14181" customHeight="1" spans="2:2">
      <c r="B14181" s="62" t="str">
        <f>IF(AND('领用录入（明细）'!D:D=$F$4,'领用录入（明细）'!C:C&gt;=$J$4,'领用录入（明细）'!C:C&lt;=$L$4),ROW(),"-")</f>
        <v>-</v>
      </c>
    </row>
    <row r="14182" customHeight="1" spans="2:2">
      <c r="B14182" s="62" t="str">
        <f>IF(AND('领用录入（明细）'!D:D=$F$4,'领用录入（明细）'!C:C&gt;=$J$4,'领用录入（明细）'!C:C&lt;=$L$4),ROW(),"-")</f>
        <v>-</v>
      </c>
    </row>
    <row r="14183" customHeight="1" spans="2:2">
      <c r="B14183" s="62" t="str">
        <f>IF(AND('领用录入（明细）'!D:D=$F$4,'领用录入（明细）'!C:C&gt;=$J$4,'领用录入（明细）'!C:C&lt;=$L$4),ROW(),"-")</f>
        <v>-</v>
      </c>
    </row>
    <row r="14184" customHeight="1" spans="2:2">
      <c r="B14184" s="62" t="str">
        <f>IF(AND('领用录入（明细）'!D:D=$F$4,'领用录入（明细）'!C:C&gt;=$J$4,'领用录入（明细）'!C:C&lt;=$L$4),ROW(),"-")</f>
        <v>-</v>
      </c>
    </row>
    <row r="14185" customHeight="1" spans="2:2">
      <c r="B14185" s="62" t="str">
        <f>IF(AND('领用录入（明细）'!D:D=$F$4,'领用录入（明细）'!C:C&gt;=$J$4,'领用录入（明细）'!C:C&lt;=$L$4),ROW(),"-")</f>
        <v>-</v>
      </c>
    </row>
    <row r="14186" customHeight="1" spans="2:2">
      <c r="B14186" s="62" t="str">
        <f>IF(AND('领用录入（明细）'!D:D=$F$4,'领用录入（明细）'!C:C&gt;=$J$4,'领用录入（明细）'!C:C&lt;=$L$4),ROW(),"-")</f>
        <v>-</v>
      </c>
    </row>
    <row r="14187" customHeight="1" spans="2:2">
      <c r="B14187" s="62" t="str">
        <f>IF(AND('领用录入（明细）'!D:D=$F$4,'领用录入（明细）'!C:C&gt;=$J$4,'领用录入（明细）'!C:C&lt;=$L$4),ROW(),"-")</f>
        <v>-</v>
      </c>
    </row>
    <row r="14188" customHeight="1" spans="2:2">
      <c r="B14188" s="62" t="str">
        <f>IF(AND('领用录入（明细）'!D:D=$F$4,'领用录入（明细）'!C:C&gt;=$J$4,'领用录入（明细）'!C:C&lt;=$L$4),ROW(),"-")</f>
        <v>-</v>
      </c>
    </row>
    <row r="14189" customHeight="1" spans="2:2">
      <c r="B14189" s="62" t="str">
        <f>IF(AND('领用录入（明细）'!D:D=$F$4,'领用录入（明细）'!C:C&gt;=$J$4,'领用录入（明细）'!C:C&lt;=$L$4),ROW(),"-")</f>
        <v>-</v>
      </c>
    </row>
    <row r="14190" customHeight="1" spans="2:2">
      <c r="B14190" s="62" t="str">
        <f>IF(AND('领用录入（明细）'!D:D=$F$4,'领用录入（明细）'!C:C&gt;=$J$4,'领用录入（明细）'!C:C&lt;=$L$4),ROW(),"-")</f>
        <v>-</v>
      </c>
    </row>
    <row r="14191" customHeight="1" spans="2:2">
      <c r="B14191" s="62" t="str">
        <f>IF(AND('领用录入（明细）'!D:D=$F$4,'领用录入（明细）'!C:C&gt;=$J$4,'领用录入（明细）'!C:C&lt;=$L$4),ROW(),"-")</f>
        <v>-</v>
      </c>
    </row>
    <row r="14192" customHeight="1" spans="2:2">
      <c r="B14192" s="62" t="str">
        <f>IF(AND('领用录入（明细）'!D:D=$F$4,'领用录入（明细）'!C:C&gt;=$J$4,'领用录入（明细）'!C:C&lt;=$L$4),ROW(),"-")</f>
        <v>-</v>
      </c>
    </row>
    <row r="14193" customHeight="1" spans="2:2">
      <c r="B14193" s="62" t="str">
        <f>IF(AND('领用录入（明细）'!D:D=$F$4,'领用录入（明细）'!C:C&gt;=$J$4,'领用录入（明细）'!C:C&lt;=$L$4),ROW(),"-")</f>
        <v>-</v>
      </c>
    </row>
    <row r="14194" customHeight="1" spans="2:2">
      <c r="B14194" s="62" t="str">
        <f>IF(AND('领用录入（明细）'!D:D=$F$4,'领用录入（明细）'!C:C&gt;=$J$4,'领用录入（明细）'!C:C&lt;=$L$4),ROW(),"-")</f>
        <v>-</v>
      </c>
    </row>
    <row r="14195" customHeight="1" spans="2:2">
      <c r="B14195" s="62" t="str">
        <f>IF(AND('领用录入（明细）'!D:D=$F$4,'领用录入（明细）'!C:C&gt;=$J$4,'领用录入（明细）'!C:C&lt;=$L$4),ROW(),"-")</f>
        <v>-</v>
      </c>
    </row>
    <row r="14196" customHeight="1" spans="2:2">
      <c r="B14196" s="62" t="str">
        <f>IF(AND('领用录入（明细）'!D:D=$F$4,'领用录入（明细）'!C:C&gt;=$J$4,'领用录入（明细）'!C:C&lt;=$L$4),ROW(),"-")</f>
        <v>-</v>
      </c>
    </row>
    <row r="14197" customHeight="1" spans="2:2">
      <c r="B14197" s="62" t="str">
        <f>IF(AND('领用录入（明细）'!D:D=$F$4,'领用录入（明细）'!C:C&gt;=$J$4,'领用录入（明细）'!C:C&lt;=$L$4),ROW(),"-")</f>
        <v>-</v>
      </c>
    </row>
    <row r="14198" customHeight="1" spans="2:2">
      <c r="B14198" s="62" t="str">
        <f>IF(AND('领用录入（明细）'!D:D=$F$4,'领用录入（明细）'!C:C&gt;=$J$4,'领用录入（明细）'!C:C&lt;=$L$4),ROW(),"-")</f>
        <v>-</v>
      </c>
    </row>
    <row r="14199" customHeight="1" spans="2:2">
      <c r="B14199" s="62" t="str">
        <f>IF(AND('领用录入（明细）'!D:D=$F$4,'领用录入（明细）'!C:C&gt;=$J$4,'领用录入（明细）'!C:C&lt;=$L$4),ROW(),"-")</f>
        <v>-</v>
      </c>
    </row>
    <row r="14200" customHeight="1" spans="2:2">
      <c r="B14200" s="62" t="str">
        <f>IF(AND('领用录入（明细）'!D:D=$F$4,'领用录入（明细）'!C:C&gt;=$J$4,'领用录入（明细）'!C:C&lt;=$L$4),ROW(),"-")</f>
        <v>-</v>
      </c>
    </row>
    <row r="14201" customHeight="1" spans="2:2">
      <c r="B14201" s="62" t="str">
        <f>IF(AND('领用录入（明细）'!D:D=$F$4,'领用录入（明细）'!C:C&gt;=$J$4,'领用录入（明细）'!C:C&lt;=$L$4),ROW(),"-")</f>
        <v>-</v>
      </c>
    </row>
    <row r="14202" customHeight="1" spans="2:2">
      <c r="B14202" s="62" t="str">
        <f>IF(AND('领用录入（明细）'!D:D=$F$4,'领用录入（明细）'!C:C&gt;=$J$4,'领用录入（明细）'!C:C&lt;=$L$4),ROW(),"-")</f>
        <v>-</v>
      </c>
    </row>
    <row r="14203" customHeight="1" spans="2:2">
      <c r="B14203" s="62" t="str">
        <f>IF(AND('领用录入（明细）'!D:D=$F$4,'领用录入（明细）'!C:C&gt;=$J$4,'领用录入（明细）'!C:C&lt;=$L$4),ROW(),"-")</f>
        <v>-</v>
      </c>
    </row>
    <row r="14204" customHeight="1" spans="2:2">
      <c r="B14204" s="62" t="str">
        <f>IF(AND('领用录入（明细）'!D:D=$F$4,'领用录入（明细）'!C:C&gt;=$J$4,'领用录入（明细）'!C:C&lt;=$L$4),ROW(),"-")</f>
        <v>-</v>
      </c>
    </row>
    <row r="14205" customHeight="1" spans="2:2">
      <c r="B14205" s="62" t="str">
        <f>IF(AND('领用录入（明细）'!D:D=$F$4,'领用录入（明细）'!C:C&gt;=$J$4,'领用录入（明细）'!C:C&lt;=$L$4),ROW(),"-")</f>
        <v>-</v>
      </c>
    </row>
    <row r="14206" customHeight="1" spans="2:2">
      <c r="B14206" s="62" t="str">
        <f>IF(AND('领用录入（明细）'!D:D=$F$4,'领用录入（明细）'!C:C&gt;=$J$4,'领用录入（明细）'!C:C&lt;=$L$4),ROW(),"-")</f>
        <v>-</v>
      </c>
    </row>
    <row r="14207" customHeight="1" spans="2:2">
      <c r="B14207" s="62" t="str">
        <f>IF(AND('领用录入（明细）'!D:D=$F$4,'领用录入（明细）'!C:C&gt;=$J$4,'领用录入（明细）'!C:C&lt;=$L$4),ROW(),"-")</f>
        <v>-</v>
      </c>
    </row>
    <row r="14208" customHeight="1" spans="2:2">
      <c r="B14208" s="62" t="str">
        <f>IF(AND('领用录入（明细）'!D:D=$F$4,'领用录入（明细）'!C:C&gt;=$J$4,'领用录入（明细）'!C:C&lt;=$L$4),ROW(),"-")</f>
        <v>-</v>
      </c>
    </row>
    <row r="14209" customHeight="1" spans="2:2">
      <c r="B14209" s="62" t="str">
        <f>IF(AND('领用录入（明细）'!D:D=$F$4,'领用录入（明细）'!C:C&gt;=$J$4,'领用录入（明细）'!C:C&lt;=$L$4),ROW(),"-")</f>
        <v>-</v>
      </c>
    </row>
    <row r="14210" customHeight="1" spans="2:2">
      <c r="B14210" s="62" t="str">
        <f>IF(AND('领用录入（明细）'!D:D=$F$4,'领用录入（明细）'!C:C&gt;=$J$4,'领用录入（明细）'!C:C&lt;=$L$4),ROW(),"-")</f>
        <v>-</v>
      </c>
    </row>
    <row r="14211" customHeight="1" spans="2:2">
      <c r="B14211" s="62" t="str">
        <f>IF(AND('领用录入（明细）'!D:D=$F$4,'领用录入（明细）'!C:C&gt;=$J$4,'领用录入（明细）'!C:C&lt;=$L$4),ROW(),"-")</f>
        <v>-</v>
      </c>
    </row>
    <row r="14212" customHeight="1" spans="2:2">
      <c r="B14212" s="62" t="str">
        <f>IF(AND('领用录入（明细）'!D:D=$F$4,'领用录入（明细）'!C:C&gt;=$J$4,'领用录入（明细）'!C:C&lt;=$L$4),ROW(),"-")</f>
        <v>-</v>
      </c>
    </row>
    <row r="14213" customHeight="1" spans="2:2">
      <c r="B14213" s="62" t="str">
        <f>IF(AND('领用录入（明细）'!D:D=$F$4,'领用录入（明细）'!C:C&gt;=$J$4,'领用录入（明细）'!C:C&lt;=$L$4),ROW(),"-")</f>
        <v>-</v>
      </c>
    </row>
    <row r="14214" customHeight="1" spans="2:2">
      <c r="B14214" s="62" t="str">
        <f>IF(AND('领用录入（明细）'!D:D=$F$4,'领用录入（明细）'!C:C&gt;=$J$4,'领用录入（明细）'!C:C&lt;=$L$4),ROW(),"-")</f>
        <v>-</v>
      </c>
    </row>
    <row r="14215" customHeight="1" spans="2:2">
      <c r="B14215" s="62" t="str">
        <f>IF(AND('领用录入（明细）'!D:D=$F$4,'领用录入（明细）'!C:C&gt;=$J$4,'领用录入（明细）'!C:C&lt;=$L$4),ROW(),"-")</f>
        <v>-</v>
      </c>
    </row>
    <row r="14216" customHeight="1" spans="2:2">
      <c r="B14216" s="62" t="str">
        <f>IF(AND('领用录入（明细）'!D:D=$F$4,'领用录入（明细）'!C:C&gt;=$J$4,'领用录入（明细）'!C:C&lt;=$L$4),ROW(),"-")</f>
        <v>-</v>
      </c>
    </row>
    <row r="14217" customHeight="1" spans="2:2">
      <c r="B14217" s="62" t="str">
        <f>IF(AND('领用录入（明细）'!D:D=$F$4,'领用录入（明细）'!C:C&gt;=$J$4,'领用录入（明细）'!C:C&lt;=$L$4),ROW(),"-")</f>
        <v>-</v>
      </c>
    </row>
    <row r="14218" customHeight="1" spans="2:2">
      <c r="B14218" s="62" t="str">
        <f>IF(AND('领用录入（明细）'!D:D=$F$4,'领用录入（明细）'!C:C&gt;=$J$4,'领用录入（明细）'!C:C&lt;=$L$4),ROW(),"-")</f>
        <v>-</v>
      </c>
    </row>
    <row r="14219" customHeight="1" spans="2:2">
      <c r="B14219" s="62" t="str">
        <f>IF(AND('领用录入（明细）'!D:D=$F$4,'领用录入（明细）'!C:C&gt;=$J$4,'领用录入（明细）'!C:C&lt;=$L$4),ROW(),"-")</f>
        <v>-</v>
      </c>
    </row>
    <row r="14220" customHeight="1" spans="2:2">
      <c r="B14220" s="62" t="str">
        <f>IF(AND('领用录入（明细）'!D:D=$F$4,'领用录入（明细）'!C:C&gt;=$J$4,'领用录入（明细）'!C:C&lt;=$L$4),ROW(),"-")</f>
        <v>-</v>
      </c>
    </row>
    <row r="14221" customHeight="1" spans="2:2">
      <c r="B14221" s="62" t="str">
        <f>IF(AND('领用录入（明细）'!D:D=$F$4,'领用录入（明细）'!C:C&gt;=$J$4,'领用录入（明细）'!C:C&lt;=$L$4),ROW(),"-")</f>
        <v>-</v>
      </c>
    </row>
    <row r="14222" customHeight="1" spans="2:2">
      <c r="B14222" s="62" t="str">
        <f>IF(AND('领用录入（明细）'!D:D=$F$4,'领用录入（明细）'!C:C&gt;=$J$4,'领用录入（明细）'!C:C&lt;=$L$4),ROW(),"-")</f>
        <v>-</v>
      </c>
    </row>
    <row r="14223" customHeight="1" spans="2:2">
      <c r="B14223" s="62" t="str">
        <f>IF(AND('领用录入（明细）'!D:D=$F$4,'领用录入（明细）'!C:C&gt;=$J$4,'领用录入（明细）'!C:C&lt;=$L$4),ROW(),"-")</f>
        <v>-</v>
      </c>
    </row>
    <row r="14224" customHeight="1" spans="2:2">
      <c r="B14224" s="62" t="str">
        <f>IF(AND('领用录入（明细）'!D:D=$F$4,'领用录入（明细）'!C:C&gt;=$J$4,'领用录入（明细）'!C:C&lt;=$L$4),ROW(),"-")</f>
        <v>-</v>
      </c>
    </row>
    <row r="14225" customHeight="1" spans="2:2">
      <c r="B14225" s="62" t="str">
        <f>IF(AND('领用录入（明细）'!D:D=$F$4,'领用录入（明细）'!C:C&gt;=$J$4,'领用录入（明细）'!C:C&lt;=$L$4),ROW(),"-")</f>
        <v>-</v>
      </c>
    </row>
    <row r="14226" customHeight="1" spans="2:2">
      <c r="B14226" s="62" t="str">
        <f>IF(AND('领用录入（明细）'!D:D=$F$4,'领用录入（明细）'!C:C&gt;=$J$4,'领用录入（明细）'!C:C&lt;=$L$4),ROW(),"-")</f>
        <v>-</v>
      </c>
    </row>
    <row r="14227" customHeight="1" spans="2:2">
      <c r="B14227" s="62" t="str">
        <f>IF(AND('领用录入（明细）'!D:D=$F$4,'领用录入（明细）'!C:C&gt;=$J$4,'领用录入（明细）'!C:C&lt;=$L$4),ROW(),"-")</f>
        <v>-</v>
      </c>
    </row>
    <row r="14228" customHeight="1" spans="2:2">
      <c r="B14228" s="62" t="str">
        <f>IF(AND('领用录入（明细）'!D:D=$F$4,'领用录入（明细）'!C:C&gt;=$J$4,'领用录入（明细）'!C:C&lt;=$L$4),ROW(),"-")</f>
        <v>-</v>
      </c>
    </row>
    <row r="14229" customHeight="1" spans="2:2">
      <c r="B14229" s="62" t="str">
        <f>IF(AND('领用录入（明细）'!D:D=$F$4,'领用录入（明细）'!C:C&gt;=$J$4,'领用录入（明细）'!C:C&lt;=$L$4),ROW(),"-")</f>
        <v>-</v>
      </c>
    </row>
    <row r="14230" customHeight="1" spans="2:2">
      <c r="B14230" s="62" t="str">
        <f>IF(AND('领用录入（明细）'!D:D=$F$4,'领用录入（明细）'!C:C&gt;=$J$4,'领用录入（明细）'!C:C&lt;=$L$4),ROW(),"-")</f>
        <v>-</v>
      </c>
    </row>
    <row r="14231" customHeight="1" spans="2:2">
      <c r="B14231" s="62" t="str">
        <f>IF(AND('领用录入（明细）'!D:D=$F$4,'领用录入（明细）'!C:C&gt;=$J$4,'领用录入（明细）'!C:C&lt;=$L$4),ROW(),"-")</f>
        <v>-</v>
      </c>
    </row>
    <row r="14232" customHeight="1" spans="2:2">
      <c r="B14232" s="62" t="str">
        <f>IF(AND('领用录入（明细）'!D:D=$F$4,'领用录入（明细）'!C:C&gt;=$J$4,'领用录入（明细）'!C:C&lt;=$L$4),ROW(),"-")</f>
        <v>-</v>
      </c>
    </row>
    <row r="14233" customHeight="1" spans="2:2">
      <c r="B14233" s="62" t="str">
        <f>IF(AND('领用录入（明细）'!D:D=$F$4,'领用录入（明细）'!C:C&gt;=$J$4,'领用录入（明细）'!C:C&lt;=$L$4),ROW(),"-")</f>
        <v>-</v>
      </c>
    </row>
    <row r="14234" customHeight="1" spans="2:2">
      <c r="B14234" s="62" t="str">
        <f>IF(AND('领用录入（明细）'!D:D=$F$4,'领用录入（明细）'!C:C&gt;=$J$4,'领用录入（明细）'!C:C&lt;=$L$4),ROW(),"-")</f>
        <v>-</v>
      </c>
    </row>
    <row r="14235" customHeight="1" spans="2:2">
      <c r="B14235" s="62" t="str">
        <f>IF(AND('领用录入（明细）'!D:D=$F$4,'领用录入（明细）'!C:C&gt;=$J$4,'领用录入（明细）'!C:C&lt;=$L$4),ROW(),"-")</f>
        <v>-</v>
      </c>
    </row>
    <row r="14236" customHeight="1" spans="2:2">
      <c r="B14236" s="62" t="str">
        <f>IF(AND('领用录入（明细）'!D:D=$F$4,'领用录入（明细）'!C:C&gt;=$J$4,'领用录入（明细）'!C:C&lt;=$L$4),ROW(),"-")</f>
        <v>-</v>
      </c>
    </row>
    <row r="14237" customHeight="1" spans="2:2">
      <c r="B14237" s="62" t="str">
        <f>IF(AND('领用录入（明细）'!D:D=$F$4,'领用录入（明细）'!C:C&gt;=$J$4,'领用录入（明细）'!C:C&lt;=$L$4),ROW(),"-")</f>
        <v>-</v>
      </c>
    </row>
    <row r="14238" customHeight="1" spans="2:2">
      <c r="B14238" s="62" t="str">
        <f>IF(AND('领用录入（明细）'!D:D=$F$4,'领用录入（明细）'!C:C&gt;=$J$4,'领用录入（明细）'!C:C&lt;=$L$4),ROW(),"-")</f>
        <v>-</v>
      </c>
    </row>
    <row r="14239" customHeight="1" spans="2:2">
      <c r="B14239" s="62" t="str">
        <f>IF(AND('领用录入（明细）'!D:D=$F$4,'领用录入（明细）'!C:C&gt;=$J$4,'领用录入（明细）'!C:C&lt;=$L$4),ROW(),"-")</f>
        <v>-</v>
      </c>
    </row>
    <row r="14240" customHeight="1" spans="2:2">
      <c r="B14240" s="62" t="str">
        <f>IF(AND('领用录入（明细）'!D:D=$F$4,'领用录入（明细）'!C:C&gt;=$J$4,'领用录入（明细）'!C:C&lt;=$L$4),ROW(),"-")</f>
        <v>-</v>
      </c>
    </row>
    <row r="14241" customHeight="1" spans="2:2">
      <c r="B14241" s="62" t="str">
        <f>IF(AND('领用录入（明细）'!D:D=$F$4,'领用录入（明细）'!C:C&gt;=$J$4,'领用录入（明细）'!C:C&lt;=$L$4),ROW(),"-")</f>
        <v>-</v>
      </c>
    </row>
    <row r="14242" customHeight="1" spans="2:2">
      <c r="B14242" s="62" t="str">
        <f>IF(AND('领用录入（明细）'!D:D=$F$4,'领用录入（明细）'!C:C&gt;=$J$4,'领用录入（明细）'!C:C&lt;=$L$4),ROW(),"-")</f>
        <v>-</v>
      </c>
    </row>
    <row r="14243" customHeight="1" spans="2:2">
      <c r="B14243" s="62" t="str">
        <f>IF(AND('领用录入（明细）'!D:D=$F$4,'领用录入（明细）'!C:C&gt;=$J$4,'领用录入（明细）'!C:C&lt;=$L$4),ROW(),"-")</f>
        <v>-</v>
      </c>
    </row>
    <row r="14244" customHeight="1" spans="2:2">
      <c r="B14244" s="62" t="str">
        <f>IF(AND('领用录入（明细）'!D:D=$F$4,'领用录入（明细）'!C:C&gt;=$J$4,'领用录入（明细）'!C:C&lt;=$L$4),ROW(),"-")</f>
        <v>-</v>
      </c>
    </row>
    <row r="14245" customHeight="1" spans="2:2">
      <c r="B14245" s="62" t="str">
        <f>IF(AND('领用录入（明细）'!D:D=$F$4,'领用录入（明细）'!C:C&gt;=$J$4,'领用录入（明细）'!C:C&lt;=$L$4),ROW(),"-")</f>
        <v>-</v>
      </c>
    </row>
    <row r="14246" customHeight="1" spans="2:2">
      <c r="B14246" s="62" t="str">
        <f>IF(AND('领用录入（明细）'!D:D=$F$4,'领用录入（明细）'!C:C&gt;=$J$4,'领用录入（明细）'!C:C&lt;=$L$4),ROW(),"-")</f>
        <v>-</v>
      </c>
    </row>
    <row r="14247" customHeight="1" spans="2:2">
      <c r="B14247" s="62" t="str">
        <f>IF(AND('领用录入（明细）'!D:D=$F$4,'领用录入（明细）'!C:C&gt;=$J$4,'领用录入（明细）'!C:C&lt;=$L$4),ROW(),"-")</f>
        <v>-</v>
      </c>
    </row>
    <row r="14248" customHeight="1" spans="2:2">
      <c r="B14248" s="62" t="str">
        <f>IF(AND('领用录入（明细）'!D:D=$F$4,'领用录入（明细）'!C:C&gt;=$J$4,'领用录入（明细）'!C:C&lt;=$L$4),ROW(),"-")</f>
        <v>-</v>
      </c>
    </row>
    <row r="14249" customHeight="1" spans="2:2">
      <c r="B14249" s="62" t="str">
        <f>IF(AND('领用录入（明细）'!D:D=$F$4,'领用录入（明细）'!C:C&gt;=$J$4,'领用录入（明细）'!C:C&lt;=$L$4),ROW(),"-")</f>
        <v>-</v>
      </c>
    </row>
    <row r="14250" customHeight="1" spans="2:2">
      <c r="B14250" s="62" t="str">
        <f>IF(AND('领用录入（明细）'!D:D=$F$4,'领用录入（明细）'!C:C&gt;=$J$4,'领用录入（明细）'!C:C&lt;=$L$4),ROW(),"-")</f>
        <v>-</v>
      </c>
    </row>
    <row r="14251" customHeight="1" spans="2:2">
      <c r="B14251" s="62" t="str">
        <f>IF(AND('领用录入（明细）'!D:D=$F$4,'领用录入（明细）'!C:C&gt;=$J$4,'领用录入（明细）'!C:C&lt;=$L$4),ROW(),"-")</f>
        <v>-</v>
      </c>
    </row>
    <row r="14252" customHeight="1" spans="2:2">
      <c r="B14252" s="62" t="str">
        <f>IF(AND('领用录入（明细）'!D:D=$F$4,'领用录入（明细）'!C:C&gt;=$J$4,'领用录入（明细）'!C:C&lt;=$L$4),ROW(),"-")</f>
        <v>-</v>
      </c>
    </row>
    <row r="14253" customHeight="1" spans="2:2">
      <c r="B14253" s="62" t="str">
        <f>IF(AND('领用录入（明细）'!D:D=$F$4,'领用录入（明细）'!C:C&gt;=$J$4,'领用录入（明细）'!C:C&lt;=$L$4),ROW(),"-")</f>
        <v>-</v>
      </c>
    </row>
    <row r="14254" customHeight="1" spans="2:2">
      <c r="B14254" s="62" t="str">
        <f>IF(AND('领用录入（明细）'!D:D=$F$4,'领用录入（明细）'!C:C&gt;=$J$4,'领用录入（明细）'!C:C&lt;=$L$4),ROW(),"-")</f>
        <v>-</v>
      </c>
    </row>
    <row r="14255" customHeight="1" spans="2:2">
      <c r="B14255" s="62" t="str">
        <f>IF(AND('领用录入（明细）'!D:D=$F$4,'领用录入（明细）'!C:C&gt;=$J$4,'领用录入（明细）'!C:C&lt;=$L$4),ROW(),"-")</f>
        <v>-</v>
      </c>
    </row>
    <row r="14256" customHeight="1" spans="2:2">
      <c r="B14256" s="62" t="str">
        <f>IF(AND('领用录入（明细）'!D:D=$F$4,'领用录入（明细）'!C:C&gt;=$J$4,'领用录入（明细）'!C:C&lt;=$L$4),ROW(),"-")</f>
        <v>-</v>
      </c>
    </row>
    <row r="14257" customHeight="1" spans="2:2">
      <c r="B14257" s="62" t="str">
        <f>IF(AND('领用录入（明细）'!D:D=$F$4,'领用录入（明细）'!C:C&gt;=$J$4,'领用录入（明细）'!C:C&lt;=$L$4),ROW(),"-")</f>
        <v>-</v>
      </c>
    </row>
    <row r="14258" customHeight="1" spans="2:2">
      <c r="B14258" s="62" t="str">
        <f>IF(AND('领用录入（明细）'!D:D=$F$4,'领用录入（明细）'!C:C&gt;=$J$4,'领用录入（明细）'!C:C&lt;=$L$4),ROW(),"-")</f>
        <v>-</v>
      </c>
    </row>
    <row r="14259" customHeight="1" spans="2:2">
      <c r="B14259" s="62" t="str">
        <f>IF(AND('领用录入（明细）'!D:D=$F$4,'领用录入（明细）'!C:C&gt;=$J$4,'领用录入（明细）'!C:C&lt;=$L$4),ROW(),"-")</f>
        <v>-</v>
      </c>
    </row>
    <row r="14260" customHeight="1" spans="2:2">
      <c r="B14260" s="62" t="str">
        <f>IF(AND('领用录入（明细）'!D:D=$F$4,'领用录入（明细）'!C:C&gt;=$J$4,'领用录入（明细）'!C:C&lt;=$L$4),ROW(),"-")</f>
        <v>-</v>
      </c>
    </row>
    <row r="14261" customHeight="1" spans="2:2">
      <c r="B14261" s="62" t="str">
        <f>IF(AND('领用录入（明细）'!D:D=$F$4,'领用录入（明细）'!C:C&gt;=$J$4,'领用录入（明细）'!C:C&lt;=$L$4),ROW(),"-")</f>
        <v>-</v>
      </c>
    </row>
    <row r="14262" customHeight="1" spans="2:2">
      <c r="B14262" s="62" t="str">
        <f>IF(AND('领用录入（明细）'!D:D=$F$4,'领用录入（明细）'!C:C&gt;=$J$4,'领用录入（明细）'!C:C&lt;=$L$4),ROW(),"-")</f>
        <v>-</v>
      </c>
    </row>
    <row r="14263" customHeight="1" spans="2:2">
      <c r="B14263" s="62" t="str">
        <f>IF(AND('领用录入（明细）'!D:D=$F$4,'领用录入（明细）'!C:C&gt;=$J$4,'领用录入（明细）'!C:C&lt;=$L$4),ROW(),"-")</f>
        <v>-</v>
      </c>
    </row>
    <row r="14264" customHeight="1" spans="2:2">
      <c r="B14264" s="62" t="str">
        <f>IF(AND('领用录入（明细）'!D:D=$F$4,'领用录入（明细）'!C:C&gt;=$J$4,'领用录入（明细）'!C:C&lt;=$L$4),ROW(),"-")</f>
        <v>-</v>
      </c>
    </row>
    <row r="14265" customHeight="1" spans="2:2">
      <c r="B14265" s="62" t="str">
        <f>IF(AND('领用录入（明细）'!D:D=$F$4,'领用录入（明细）'!C:C&gt;=$J$4,'领用录入（明细）'!C:C&lt;=$L$4),ROW(),"-")</f>
        <v>-</v>
      </c>
    </row>
    <row r="14266" customHeight="1" spans="2:2">
      <c r="B14266" s="62" t="str">
        <f>IF(AND('领用录入（明细）'!D:D=$F$4,'领用录入（明细）'!C:C&gt;=$J$4,'领用录入（明细）'!C:C&lt;=$L$4),ROW(),"-")</f>
        <v>-</v>
      </c>
    </row>
    <row r="14267" customHeight="1" spans="2:2">
      <c r="B14267" s="62" t="str">
        <f>IF(AND('领用录入（明细）'!D:D=$F$4,'领用录入（明细）'!C:C&gt;=$J$4,'领用录入（明细）'!C:C&lt;=$L$4),ROW(),"-")</f>
        <v>-</v>
      </c>
    </row>
    <row r="14268" customHeight="1" spans="2:2">
      <c r="B14268" s="62" t="str">
        <f>IF(AND('领用录入（明细）'!D:D=$F$4,'领用录入（明细）'!C:C&gt;=$J$4,'领用录入（明细）'!C:C&lt;=$L$4),ROW(),"-")</f>
        <v>-</v>
      </c>
    </row>
    <row r="14269" customHeight="1" spans="2:2">
      <c r="B14269" s="62" t="str">
        <f>IF(AND('领用录入（明细）'!D:D=$F$4,'领用录入（明细）'!C:C&gt;=$J$4,'领用录入（明细）'!C:C&lt;=$L$4),ROW(),"-")</f>
        <v>-</v>
      </c>
    </row>
    <row r="14270" customHeight="1" spans="2:2">
      <c r="B14270" s="62" t="str">
        <f>IF(AND('领用录入（明细）'!D:D=$F$4,'领用录入（明细）'!C:C&gt;=$J$4,'领用录入（明细）'!C:C&lt;=$L$4),ROW(),"-")</f>
        <v>-</v>
      </c>
    </row>
    <row r="14271" customHeight="1" spans="2:2">
      <c r="B14271" s="62" t="str">
        <f>IF(AND('领用录入（明细）'!D:D=$F$4,'领用录入（明细）'!C:C&gt;=$J$4,'领用录入（明细）'!C:C&lt;=$L$4),ROW(),"-")</f>
        <v>-</v>
      </c>
    </row>
    <row r="14272" customHeight="1" spans="2:2">
      <c r="B14272" s="62" t="str">
        <f>IF(AND('领用录入（明细）'!D:D=$F$4,'领用录入（明细）'!C:C&gt;=$J$4,'领用录入（明细）'!C:C&lt;=$L$4),ROW(),"-")</f>
        <v>-</v>
      </c>
    </row>
    <row r="14273" customHeight="1" spans="2:2">
      <c r="B14273" s="62" t="str">
        <f>IF(AND('领用录入（明细）'!D:D=$F$4,'领用录入（明细）'!C:C&gt;=$J$4,'领用录入（明细）'!C:C&lt;=$L$4),ROW(),"-")</f>
        <v>-</v>
      </c>
    </row>
    <row r="14274" customHeight="1" spans="2:2">
      <c r="B14274" s="62" t="str">
        <f>IF(AND('领用录入（明细）'!D:D=$F$4,'领用录入（明细）'!C:C&gt;=$J$4,'领用录入（明细）'!C:C&lt;=$L$4),ROW(),"-")</f>
        <v>-</v>
      </c>
    </row>
    <row r="14275" customHeight="1" spans="2:2">
      <c r="B14275" s="62" t="str">
        <f>IF(AND('领用录入（明细）'!D:D=$F$4,'领用录入（明细）'!C:C&gt;=$J$4,'领用录入（明细）'!C:C&lt;=$L$4),ROW(),"-")</f>
        <v>-</v>
      </c>
    </row>
    <row r="14276" customHeight="1" spans="2:2">
      <c r="B14276" s="62" t="str">
        <f>IF(AND('领用录入（明细）'!D:D=$F$4,'领用录入（明细）'!C:C&gt;=$J$4,'领用录入（明细）'!C:C&lt;=$L$4),ROW(),"-")</f>
        <v>-</v>
      </c>
    </row>
    <row r="14277" customHeight="1" spans="2:2">
      <c r="B14277" s="62" t="str">
        <f>IF(AND('领用录入（明细）'!D:D=$F$4,'领用录入（明细）'!C:C&gt;=$J$4,'领用录入（明细）'!C:C&lt;=$L$4),ROW(),"-")</f>
        <v>-</v>
      </c>
    </row>
    <row r="14278" customHeight="1" spans="2:2">
      <c r="B14278" s="62" t="str">
        <f>IF(AND('领用录入（明细）'!D:D=$F$4,'领用录入（明细）'!C:C&gt;=$J$4,'领用录入（明细）'!C:C&lt;=$L$4),ROW(),"-")</f>
        <v>-</v>
      </c>
    </row>
    <row r="14279" customHeight="1" spans="2:2">
      <c r="B14279" s="62" t="str">
        <f>IF(AND('领用录入（明细）'!D:D=$F$4,'领用录入（明细）'!C:C&gt;=$J$4,'领用录入（明细）'!C:C&lt;=$L$4),ROW(),"-")</f>
        <v>-</v>
      </c>
    </row>
    <row r="14280" customHeight="1" spans="2:2">
      <c r="B14280" s="62" t="str">
        <f>IF(AND('领用录入（明细）'!D:D=$F$4,'领用录入（明细）'!C:C&gt;=$J$4,'领用录入（明细）'!C:C&lt;=$L$4),ROW(),"-")</f>
        <v>-</v>
      </c>
    </row>
    <row r="14281" customHeight="1" spans="2:2">
      <c r="B14281" s="62" t="str">
        <f>IF(AND('领用录入（明细）'!D:D=$F$4,'领用录入（明细）'!C:C&gt;=$J$4,'领用录入（明细）'!C:C&lt;=$L$4),ROW(),"-")</f>
        <v>-</v>
      </c>
    </row>
    <row r="14282" customHeight="1" spans="2:2">
      <c r="B14282" s="62" t="str">
        <f>IF(AND('领用录入（明细）'!D:D=$F$4,'领用录入（明细）'!C:C&gt;=$J$4,'领用录入（明细）'!C:C&lt;=$L$4),ROW(),"-")</f>
        <v>-</v>
      </c>
    </row>
    <row r="14283" customHeight="1" spans="2:2">
      <c r="B14283" s="62" t="str">
        <f>IF(AND('领用录入（明细）'!D:D=$F$4,'领用录入（明细）'!C:C&gt;=$J$4,'领用录入（明细）'!C:C&lt;=$L$4),ROW(),"-")</f>
        <v>-</v>
      </c>
    </row>
    <row r="14284" customHeight="1" spans="2:2">
      <c r="B14284" s="62" t="str">
        <f>IF(AND('领用录入（明细）'!D:D=$F$4,'领用录入（明细）'!C:C&gt;=$J$4,'领用录入（明细）'!C:C&lt;=$L$4),ROW(),"-")</f>
        <v>-</v>
      </c>
    </row>
    <row r="14285" customHeight="1" spans="2:2">
      <c r="B14285" s="62" t="str">
        <f>IF(AND('领用录入（明细）'!D:D=$F$4,'领用录入（明细）'!C:C&gt;=$J$4,'领用录入（明细）'!C:C&lt;=$L$4),ROW(),"-")</f>
        <v>-</v>
      </c>
    </row>
    <row r="14286" customHeight="1" spans="2:2">
      <c r="B14286" s="62" t="str">
        <f>IF(AND('领用录入（明细）'!D:D=$F$4,'领用录入（明细）'!C:C&gt;=$J$4,'领用录入（明细）'!C:C&lt;=$L$4),ROW(),"-")</f>
        <v>-</v>
      </c>
    </row>
    <row r="14287" customHeight="1" spans="2:2">
      <c r="B14287" s="62" t="str">
        <f>IF(AND('领用录入（明细）'!D:D=$F$4,'领用录入（明细）'!C:C&gt;=$J$4,'领用录入（明细）'!C:C&lt;=$L$4),ROW(),"-")</f>
        <v>-</v>
      </c>
    </row>
    <row r="14288" customHeight="1" spans="2:2">
      <c r="B14288" s="62" t="str">
        <f>IF(AND('领用录入（明细）'!D:D=$F$4,'领用录入（明细）'!C:C&gt;=$J$4,'领用录入（明细）'!C:C&lt;=$L$4),ROW(),"-")</f>
        <v>-</v>
      </c>
    </row>
    <row r="14289" customHeight="1" spans="2:2">
      <c r="B14289" s="62" t="str">
        <f>IF(AND('领用录入（明细）'!D:D=$F$4,'领用录入（明细）'!C:C&gt;=$J$4,'领用录入（明细）'!C:C&lt;=$L$4),ROW(),"-")</f>
        <v>-</v>
      </c>
    </row>
    <row r="14290" customHeight="1" spans="2:2">
      <c r="B14290" s="62" t="str">
        <f>IF(AND('领用录入（明细）'!D:D=$F$4,'领用录入（明细）'!C:C&gt;=$J$4,'领用录入（明细）'!C:C&lt;=$L$4),ROW(),"-")</f>
        <v>-</v>
      </c>
    </row>
    <row r="14291" customHeight="1" spans="2:2">
      <c r="B14291" s="62" t="str">
        <f>IF(AND('领用录入（明细）'!D:D=$F$4,'领用录入（明细）'!C:C&gt;=$J$4,'领用录入（明细）'!C:C&lt;=$L$4),ROW(),"-")</f>
        <v>-</v>
      </c>
    </row>
    <row r="14292" customHeight="1" spans="2:2">
      <c r="B14292" s="62" t="str">
        <f>IF(AND('领用录入（明细）'!D:D=$F$4,'领用录入（明细）'!C:C&gt;=$J$4,'领用录入（明细）'!C:C&lt;=$L$4),ROW(),"-")</f>
        <v>-</v>
      </c>
    </row>
    <row r="14293" customHeight="1" spans="2:2">
      <c r="B14293" s="62" t="str">
        <f>IF(AND('领用录入（明细）'!D:D=$F$4,'领用录入（明细）'!C:C&gt;=$J$4,'领用录入（明细）'!C:C&lt;=$L$4),ROW(),"-")</f>
        <v>-</v>
      </c>
    </row>
    <row r="14294" customHeight="1" spans="2:2">
      <c r="B14294" s="62" t="str">
        <f>IF(AND('领用录入（明细）'!D:D=$F$4,'领用录入（明细）'!C:C&gt;=$J$4,'领用录入（明细）'!C:C&lt;=$L$4),ROW(),"-")</f>
        <v>-</v>
      </c>
    </row>
    <row r="14295" customHeight="1" spans="2:2">
      <c r="B14295" s="62" t="str">
        <f>IF(AND('领用录入（明细）'!D:D=$F$4,'领用录入（明细）'!C:C&gt;=$J$4,'领用录入（明细）'!C:C&lt;=$L$4),ROW(),"-")</f>
        <v>-</v>
      </c>
    </row>
    <row r="14296" customHeight="1" spans="2:2">
      <c r="B14296" s="62" t="str">
        <f>IF(AND('领用录入（明细）'!D:D=$F$4,'领用录入（明细）'!C:C&gt;=$J$4,'领用录入（明细）'!C:C&lt;=$L$4),ROW(),"-")</f>
        <v>-</v>
      </c>
    </row>
    <row r="14297" customHeight="1" spans="2:2">
      <c r="B14297" s="62" t="str">
        <f>IF(AND('领用录入（明细）'!D:D=$F$4,'领用录入（明细）'!C:C&gt;=$J$4,'领用录入（明细）'!C:C&lt;=$L$4),ROW(),"-")</f>
        <v>-</v>
      </c>
    </row>
    <row r="14298" customHeight="1" spans="2:2">
      <c r="B14298" s="62" t="str">
        <f>IF(AND('领用录入（明细）'!D:D=$F$4,'领用录入（明细）'!C:C&gt;=$J$4,'领用录入（明细）'!C:C&lt;=$L$4),ROW(),"-")</f>
        <v>-</v>
      </c>
    </row>
    <row r="14299" customHeight="1" spans="2:2">
      <c r="B14299" s="62" t="str">
        <f>IF(AND('领用录入（明细）'!D:D=$F$4,'领用录入（明细）'!C:C&gt;=$J$4,'领用录入（明细）'!C:C&lt;=$L$4),ROW(),"-")</f>
        <v>-</v>
      </c>
    </row>
    <row r="14300" customHeight="1" spans="2:2">
      <c r="B14300" s="62" t="str">
        <f>IF(AND('领用录入（明细）'!D:D=$F$4,'领用录入（明细）'!C:C&gt;=$J$4,'领用录入（明细）'!C:C&lt;=$L$4),ROW(),"-")</f>
        <v>-</v>
      </c>
    </row>
    <row r="14301" customHeight="1" spans="2:2">
      <c r="B14301" s="62" t="str">
        <f>IF(AND('领用录入（明细）'!D:D=$F$4,'领用录入（明细）'!C:C&gt;=$J$4,'领用录入（明细）'!C:C&lt;=$L$4),ROW(),"-")</f>
        <v>-</v>
      </c>
    </row>
    <row r="14302" customHeight="1" spans="2:2">
      <c r="B14302" s="62" t="str">
        <f>IF(AND('领用录入（明细）'!D:D=$F$4,'领用录入（明细）'!C:C&gt;=$J$4,'领用录入（明细）'!C:C&lt;=$L$4),ROW(),"-")</f>
        <v>-</v>
      </c>
    </row>
    <row r="14303" customHeight="1" spans="2:2">
      <c r="B14303" s="62" t="str">
        <f>IF(AND('领用录入（明细）'!D:D=$F$4,'领用录入（明细）'!C:C&gt;=$J$4,'领用录入（明细）'!C:C&lt;=$L$4),ROW(),"-")</f>
        <v>-</v>
      </c>
    </row>
    <row r="14304" customHeight="1" spans="2:2">
      <c r="B14304" s="62" t="str">
        <f>IF(AND('领用录入（明细）'!D:D=$F$4,'领用录入（明细）'!C:C&gt;=$J$4,'领用录入（明细）'!C:C&lt;=$L$4),ROW(),"-")</f>
        <v>-</v>
      </c>
    </row>
    <row r="14305" customHeight="1" spans="2:2">
      <c r="B14305" s="62" t="str">
        <f>IF(AND('领用录入（明细）'!D:D=$F$4,'领用录入（明细）'!C:C&gt;=$J$4,'领用录入（明细）'!C:C&lt;=$L$4),ROW(),"-")</f>
        <v>-</v>
      </c>
    </row>
    <row r="14306" customHeight="1" spans="2:2">
      <c r="B14306" s="62" t="str">
        <f>IF(AND('领用录入（明细）'!D:D=$F$4,'领用录入（明细）'!C:C&gt;=$J$4,'领用录入（明细）'!C:C&lt;=$L$4),ROW(),"-")</f>
        <v>-</v>
      </c>
    </row>
    <row r="14307" customHeight="1" spans="2:2">
      <c r="B14307" s="62" t="str">
        <f>IF(AND('领用录入（明细）'!D:D=$F$4,'领用录入（明细）'!C:C&gt;=$J$4,'领用录入（明细）'!C:C&lt;=$L$4),ROW(),"-")</f>
        <v>-</v>
      </c>
    </row>
    <row r="14308" customHeight="1" spans="2:2">
      <c r="B14308" s="62" t="str">
        <f>IF(AND('领用录入（明细）'!D:D=$F$4,'领用录入（明细）'!C:C&gt;=$J$4,'领用录入（明细）'!C:C&lt;=$L$4),ROW(),"-")</f>
        <v>-</v>
      </c>
    </row>
    <row r="14309" customHeight="1" spans="2:2">
      <c r="B14309" s="62" t="str">
        <f>IF(AND('领用录入（明细）'!D:D=$F$4,'领用录入（明细）'!C:C&gt;=$J$4,'领用录入（明细）'!C:C&lt;=$L$4),ROW(),"-")</f>
        <v>-</v>
      </c>
    </row>
    <row r="14310" customHeight="1" spans="2:2">
      <c r="B14310" s="62" t="str">
        <f>IF(AND('领用录入（明细）'!D:D=$F$4,'领用录入（明细）'!C:C&gt;=$J$4,'领用录入（明细）'!C:C&lt;=$L$4),ROW(),"-")</f>
        <v>-</v>
      </c>
    </row>
    <row r="14311" customHeight="1" spans="2:2">
      <c r="B14311" s="62" t="str">
        <f>IF(AND('领用录入（明细）'!D:D=$F$4,'领用录入（明细）'!C:C&gt;=$J$4,'领用录入（明细）'!C:C&lt;=$L$4),ROW(),"-")</f>
        <v>-</v>
      </c>
    </row>
    <row r="14312" customHeight="1" spans="2:2">
      <c r="B14312" s="62" t="str">
        <f>IF(AND('领用录入（明细）'!D:D=$F$4,'领用录入（明细）'!C:C&gt;=$J$4,'领用录入（明细）'!C:C&lt;=$L$4),ROW(),"-")</f>
        <v>-</v>
      </c>
    </row>
    <row r="14313" customHeight="1" spans="2:2">
      <c r="B14313" s="62" t="str">
        <f>IF(AND('领用录入（明细）'!D:D=$F$4,'领用录入（明细）'!C:C&gt;=$J$4,'领用录入（明细）'!C:C&lt;=$L$4),ROW(),"-")</f>
        <v>-</v>
      </c>
    </row>
    <row r="14314" customHeight="1" spans="2:2">
      <c r="B14314" s="62" t="str">
        <f>IF(AND('领用录入（明细）'!D:D=$F$4,'领用录入（明细）'!C:C&gt;=$J$4,'领用录入（明细）'!C:C&lt;=$L$4),ROW(),"-")</f>
        <v>-</v>
      </c>
    </row>
    <row r="14315" customHeight="1" spans="2:2">
      <c r="B14315" s="62" t="str">
        <f>IF(AND('领用录入（明细）'!D:D=$F$4,'领用录入（明细）'!C:C&gt;=$J$4,'领用录入（明细）'!C:C&lt;=$L$4),ROW(),"-")</f>
        <v>-</v>
      </c>
    </row>
    <row r="14316" customHeight="1" spans="2:2">
      <c r="B14316" s="62" t="str">
        <f>IF(AND('领用录入（明细）'!D:D=$F$4,'领用录入（明细）'!C:C&gt;=$J$4,'领用录入（明细）'!C:C&lt;=$L$4),ROW(),"-")</f>
        <v>-</v>
      </c>
    </row>
    <row r="14317" customHeight="1" spans="2:2">
      <c r="B14317" s="62" t="str">
        <f>IF(AND('领用录入（明细）'!D:D=$F$4,'领用录入（明细）'!C:C&gt;=$J$4,'领用录入（明细）'!C:C&lt;=$L$4),ROW(),"-")</f>
        <v>-</v>
      </c>
    </row>
    <row r="14318" customHeight="1" spans="2:2">
      <c r="B14318" s="62" t="str">
        <f>IF(AND('领用录入（明细）'!D:D=$F$4,'领用录入（明细）'!C:C&gt;=$J$4,'领用录入（明细）'!C:C&lt;=$L$4),ROW(),"-")</f>
        <v>-</v>
      </c>
    </row>
    <row r="14319" customHeight="1" spans="2:2">
      <c r="B14319" s="62" t="str">
        <f>IF(AND('领用录入（明细）'!D:D=$F$4,'领用录入（明细）'!C:C&gt;=$J$4,'领用录入（明细）'!C:C&lt;=$L$4),ROW(),"-")</f>
        <v>-</v>
      </c>
    </row>
    <row r="14320" customHeight="1" spans="2:2">
      <c r="B14320" s="62" t="str">
        <f>IF(AND('领用录入（明细）'!D:D=$F$4,'领用录入（明细）'!C:C&gt;=$J$4,'领用录入（明细）'!C:C&lt;=$L$4),ROW(),"-")</f>
        <v>-</v>
      </c>
    </row>
    <row r="14321" customHeight="1" spans="2:2">
      <c r="B14321" s="62" t="str">
        <f>IF(AND('领用录入（明细）'!D:D=$F$4,'领用录入（明细）'!C:C&gt;=$J$4,'领用录入（明细）'!C:C&lt;=$L$4),ROW(),"-")</f>
        <v>-</v>
      </c>
    </row>
    <row r="14322" customHeight="1" spans="2:2">
      <c r="B14322" s="62" t="str">
        <f>IF(AND('领用录入（明细）'!D:D=$F$4,'领用录入（明细）'!C:C&gt;=$J$4,'领用录入（明细）'!C:C&lt;=$L$4),ROW(),"-")</f>
        <v>-</v>
      </c>
    </row>
    <row r="14323" customHeight="1" spans="2:2">
      <c r="B14323" s="62" t="str">
        <f>IF(AND('领用录入（明细）'!D:D=$F$4,'领用录入（明细）'!C:C&gt;=$J$4,'领用录入（明细）'!C:C&lt;=$L$4),ROW(),"-")</f>
        <v>-</v>
      </c>
    </row>
    <row r="14324" customHeight="1" spans="2:2">
      <c r="B14324" s="62" t="str">
        <f>IF(AND('领用录入（明细）'!D:D=$F$4,'领用录入（明细）'!C:C&gt;=$J$4,'领用录入（明细）'!C:C&lt;=$L$4),ROW(),"-")</f>
        <v>-</v>
      </c>
    </row>
    <row r="14325" customHeight="1" spans="2:2">
      <c r="B14325" s="62" t="str">
        <f>IF(AND('领用录入（明细）'!D:D=$F$4,'领用录入（明细）'!C:C&gt;=$J$4,'领用录入（明细）'!C:C&lt;=$L$4),ROW(),"-")</f>
        <v>-</v>
      </c>
    </row>
    <row r="14326" customHeight="1" spans="2:2">
      <c r="B14326" s="62" t="str">
        <f>IF(AND('领用录入（明细）'!D:D=$F$4,'领用录入（明细）'!C:C&gt;=$J$4,'领用录入（明细）'!C:C&lt;=$L$4),ROW(),"-")</f>
        <v>-</v>
      </c>
    </row>
    <row r="14327" customHeight="1" spans="2:2">
      <c r="B14327" s="62" t="str">
        <f>IF(AND('领用录入（明细）'!D:D=$F$4,'领用录入（明细）'!C:C&gt;=$J$4,'领用录入（明细）'!C:C&lt;=$L$4),ROW(),"-")</f>
        <v>-</v>
      </c>
    </row>
    <row r="14328" customHeight="1" spans="2:2">
      <c r="B14328" s="62" t="str">
        <f>IF(AND('领用录入（明细）'!D:D=$F$4,'领用录入（明细）'!C:C&gt;=$J$4,'领用录入（明细）'!C:C&lt;=$L$4),ROW(),"-")</f>
        <v>-</v>
      </c>
    </row>
    <row r="14329" customHeight="1" spans="2:2">
      <c r="B14329" s="62" t="str">
        <f>IF(AND('领用录入（明细）'!D:D=$F$4,'领用录入（明细）'!C:C&gt;=$J$4,'领用录入（明细）'!C:C&lt;=$L$4),ROW(),"-")</f>
        <v>-</v>
      </c>
    </row>
    <row r="14330" customHeight="1" spans="2:2">
      <c r="B14330" s="62" t="str">
        <f>IF(AND('领用录入（明细）'!D:D=$F$4,'领用录入（明细）'!C:C&gt;=$J$4,'领用录入（明细）'!C:C&lt;=$L$4),ROW(),"-")</f>
        <v>-</v>
      </c>
    </row>
    <row r="14331" customHeight="1" spans="2:2">
      <c r="B14331" s="62" t="str">
        <f>IF(AND('领用录入（明细）'!D:D=$F$4,'领用录入（明细）'!C:C&gt;=$J$4,'领用录入（明细）'!C:C&lt;=$L$4),ROW(),"-")</f>
        <v>-</v>
      </c>
    </row>
    <row r="14332" customHeight="1" spans="2:2">
      <c r="B14332" s="62" t="str">
        <f>IF(AND('领用录入（明细）'!D:D=$F$4,'领用录入（明细）'!C:C&gt;=$J$4,'领用录入（明细）'!C:C&lt;=$L$4),ROW(),"-")</f>
        <v>-</v>
      </c>
    </row>
    <row r="14333" customHeight="1" spans="2:2">
      <c r="B14333" s="62" t="str">
        <f>IF(AND('领用录入（明细）'!D:D=$F$4,'领用录入（明细）'!C:C&gt;=$J$4,'领用录入（明细）'!C:C&lt;=$L$4),ROW(),"-")</f>
        <v>-</v>
      </c>
    </row>
    <row r="14334" customHeight="1" spans="2:2">
      <c r="B14334" s="62" t="str">
        <f>IF(AND('领用录入（明细）'!D:D=$F$4,'领用录入（明细）'!C:C&gt;=$J$4,'领用录入（明细）'!C:C&lt;=$L$4),ROW(),"-")</f>
        <v>-</v>
      </c>
    </row>
    <row r="14335" customHeight="1" spans="2:2">
      <c r="B14335" s="62" t="str">
        <f>IF(AND('领用录入（明细）'!D:D=$F$4,'领用录入（明细）'!C:C&gt;=$J$4,'领用录入（明细）'!C:C&lt;=$L$4),ROW(),"-")</f>
        <v>-</v>
      </c>
    </row>
    <row r="14336" customHeight="1" spans="2:2">
      <c r="B14336" s="62" t="str">
        <f>IF(AND('领用录入（明细）'!D:D=$F$4,'领用录入（明细）'!C:C&gt;=$J$4,'领用录入（明细）'!C:C&lt;=$L$4),ROW(),"-")</f>
        <v>-</v>
      </c>
    </row>
    <row r="14337" customHeight="1" spans="2:2">
      <c r="B14337" s="62" t="str">
        <f>IF(AND('领用录入（明细）'!D:D=$F$4,'领用录入（明细）'!C:C&gt;=$J$4,'领用录入（明细）'!C:C&lt;=$L$4),ROW(),"-")</f>
        <v>-</v>
      </c>
    </row>
    <row r="14338" customHeight="1" spans="2:2">
      <c r="B14338" s="62" t="str">
        <f>IF(AND('领用录入（明细）'!D:D=$F$4,'领用录入（明细）'!C:C&gt;=$J$4,'领用录入（明细）'!C:C&lt;=$L$4),ROW(),"-")</f>
        <v>-</v>
      </c>
    </row>
    <row r="14339" customHeight="1" spans="2:2">
      <c r="B14339" s="62" t="str">
        <f>IF(AND('领用录入（明细）'!D:D=$F$4,'领用录入（明细）'!C:C&gt;=$J$4,'领用录入（明细）'!C:C&lt;=$L$4),ROW(),"-")</f>
        <v>-</v>
      </c>
    </row>
    <row r="14340" customHeight="1" spans="2:2">
      <c r="B14340" s="62" t="str">
        <f>IF(AND('领用录入（明细）'!D:D=$F$4,'领用录入（明细）'!C:C&gt;=$J$4,'领用录入（明细）'!C:C&lt;=$L$4),ROW(),"-")</f>
        <v>-</v>
      </c>
    </row>
    <row r="14341" customHeight="1" spans="2:2">
      <c r="B14341" s="62" t="str">
        <f>IF(AND('领用录入（明细）'!D:D=$F$4,'领用录入（明细）'!C:C&gt;=$J$4,'领用录入（明细）'!C:C&lt;=$L$4),ROW(),"-")</f>
        <v>-</v>
      </c>
    </row>
    <row r="14342" customHeight="1" spans="2:2">
      <c r="B14342" s="62" t="str">
        <f>IF(AND('领用录入（明细）'!D:D=$F$4,'领用录入（明细）'!C:C&gt;=$J$4,'领用录入（明细）'!C:C&lt;=$L$4),ROW(),"-")</f>
        <v>-</v>
      </c>
    </row>
    <row r="14343" customHeight="1" spans="2:2">
      <c r="B14343" s="62" t="str">
        <f>IF(AND('领用录入（明细）'!D:D=$F$4,'领用录入（明细）'!C:C&gt;=$J$4,'领用录入（明细）'!C:C&lt;=$L$4),ROW(),"-")</f>
        <v>-</v>
      </c>
    </row>
    <row r="14344" customHeight="1" spans="2:2">
      <c r="B14344" s="62" t="str">
        <f>IF(AND('领用录入（明细）'!D:D=$F$4,'领用录入（明细）'!C:C&gt;=$J$4,'领用录入（明细）'!C:C&lt;=$L$4),ROW(),"-")</f>
        <v>-</v>
      </c>
    </row>
    <row r="14345" customHeight="1" spans="2:2">
      <c r="B14345" s="62" t="str">
        <f>IF(AND('领用录入（明细）'!D:D=$F$4,'领用录入（明细）'!C:C&gt;=$J$4,'领用录入（明细）'!C:C&lt;=$L$4),ROW(),"-")</f>
        <v>-</v>
      </c>
    </row>
    <row r="14346" customHeight="1" spans="2:2">
      <c r="B14346" s="62" t="str">
        <f>IF(AND('领用录入（明细）'!D:D=$F$4,'领用录入（明细）'!C:C&gt;=$J$4,'领用录入（明细）'!C:C&lt;=$L$4),ROW(),"-")</f>
        <v>-</v>
      </c>
    </row>
    <row r="14347" customHeight="1" spans="2:2">
      <c r="B14347" s="62" t="str">
        <f>IF(AND('领用录入（明细）'!D:D=$F$4,'领用录入（明细）'!C:C&gt;=$J$4,'领用录入（明细）'!C:C&lt;=$L$4),ROW(),"-")</f>
        <v>-</v>
      </c>
    </row>
    <row r="14348" customHeight="1" spans="2:2">
      <c r="B14348" s="62" t="str">
        <f>IF(AND('领用录入（明细）'!D:D=$F$4,'领用录入（明细）'!C:C&gt;=$J$4,'领用录入（明细）'!C:C&lt;=$L$4),ROW(),"-")</f>
        <v>-</v>
      </c>
    </row>
    <row r="14349" customHeight="1" spans="2:2">
      <c r="B14349" s="62" t="str">
        <f>IF(AND('领用录入（明细）'!D:D=$F$4,'领用录入（明细）'!C:C&gt;=$J$4,'领用录入（明细）'!C:C&lt;=$L$4),ROW(),"-")</f>
        <v>-</v>
      </c>
    </row>
    <row r="14350" customHeight="1" spans="2:2">
      <c r="B14350" s="62" t="str">
        <f>IF(AND('领用录入（明细）'!D:D=$F$4,'领用录入（明细）'!C:C&gt;=$J$4,'领用录入（明细）'!C:C&lt;=$L$4),ROW(),"-")</f>
        <v>-</v>
      </c>
    </row>
    <row r="14351" customHeight="1" spans="2:2">
      <c r="B14351" s="62" t="str">
        <f>IF(AND('领用录入（明细）'!D:D=$F$4,'领用录入（明细）'!C:C&gt;=$J$4,'领用录入（明细）'!C:C&lt;=$L$4),ROW(),"-")</f>
        <v>-</v>
      </c>
    </row>
    <row r="14352" customHeight="1" spans="2:2">
      <c r="B14352" s="62" t="str">
        <f>IF(AND('领用录入（明细）'!D:D=$F$4,'领用录入（明细）'!C:C&gt;=$J$4,'领用录入（明细）'!C:C&lt;=$L$4),ROW(),"-")</f>
        <v>-</v>
      </c>
    </row>
    <row r="14353" customHeight="1" spans="2:2">
      <c r="B14353" s="62" t="str">
        <f>IF(AND('领用录入（明细）'!D:D=$F$4,'领用录入（明细）'!C:C&gt;=$J$4,'领用录入（明细）'!C:C&lt;=$L$4),ROW(),"-")</f>
        <v>-</v>
      </c>
    </row>
    <row r="14354" customHeight="1" spans="2:2">
      <c r="B14354" s="62" t="str">
        <f>IF(AND('领用录入（明细）'!D:D=$F$4,'领用录入（明细）'!C:C&gt;=$J$4,'领用录入（明细）'!C:C&lt;=$L$4),ROW(),"-")</f>
        <v>-</v>
      </c>
    </row>
    <row r="14355" customHeight="1" spans="2:2">
      <c r="B14355" s="62" t="str">
        <f>IF(AND('领用录入（明细）'!D:D=$F$4,'领用录入（明细）'!C:C&gt;=$J$4,'领用录入（明细）'!C:C&lt;=$L$4),ROW(),"-")</f>
        <v>-</v>
      </c>
    </row>
    <row r="14356" customHeight="1" spans="2:2">
      <c r="B14356" s="62" t="str">
        <f>IF(AND('领用录入（明细）'!D:D=$F$4,'领用录入（明细）'!C:C&gt;=$J$4,'领用录入（明细）'!C:C&lt;=$L$4),ROW(),"-")</f>
        <v>-</v>
      </c>
    </row>
    <row r="14357" customHeight="1" spans="2:2">
      <c r="B14357" s="62" t="str">
        <f>IF(AND('领用录入（明细）'!D:D=$F$4,'领用录入（明细）'!C:C&gt;=$J$4,'领用录入（明细）'!C:C&lt;=$L$4),ROW(),"-")</f>
        <v>-</v>
      </c>
    </row>
    <row r="14358" customHeight="1" spans="2:2">
      <c r="B14358" s="62" t="str">
        <f>IF(AND('领用录入（明细）'!D:D=$F$4,'领用录入（明细）'!C:C&gt;=$J$4,'领用录入（明细）'!C:C&lt;=$L$4),ROW(),"-")</f>
        <v>-</v>
      </c>
    </row>
    <row r="14359" customHeight="1" spans="2:2">
      <c r="B14359" s="62" t="str">
        <f>IF(AND('领用录入（明细）'!D:D=$F$4,'领用录入（明细）'!C:C&gt;=$J$4,'领用录入（明细）'!C:C&lt;=$L$4),ROW(),"-")</f>
        <v>-</v>
      </c>
    </row>
    <row r="14360" customHeight="1" spans="2:2">
      <c r="B14360" s="62" t="str">
        <f>IF(AND('领用录入（明细）'!D:D=$F$4,'领用录入（明细）'!C:C&gt;=$J$4,'领用录入（明细）'!C:C&lt;=$L$4),ROW(),"-")</f>
        <v>-</v>
      </c>
    </row>
    <row r="14361" customHeight="1" spans="2:2">
      <c r="B14361" s="62" t="str">
        <f>IF(AND('领用录入（明细）'!D:D=$F$4,'领用录入（明细）'!C:C&gt;=$J$4,'领用录入（明细）'!C:C&lt;=$L$4),ROW(),"-")</f>
        <v>-</v>
      </c>
    </row>
    <row r="14362" customHeight="1" spans="2:2">
      <c r="B14362" s="62" t="str">
        <f>IF(AND('领用录入（明细）'!D:D=$F$4,'领用录入（明细）'!C:C&gt;=$J$4,'领用录入（明细）'!C:C&lt;=$L$4),ROW(),"-")</f>
        <v>-</v>
      </c>
    </row>
    <row r="14363" customHeight="1" spans="2:2">
      <c r="B14363" s="62" t="str">
        <f>IF(AND('领用录入（明细）'!D:D=$F$4,'领用录入（明细）'!C:C&gt;=$J$4,'领用录入（明细）'!C:C&lt;=$L$4),ROW(),"-")</f>
        <v>-</v>
      </c>
    </row>
    <row r="14364" customHeight="1" spans="2:2">
      <c r="B14364" s="62" t="str">
        <f>IF(AND('领用录入（明细）'!D:D=$F$4,'领用录入（明细）'!C:C&gt;=$J$4,'领用录入（明细）'!C:C&lt;=$L$4),ROW(),"-")</f>
        <v>-</v>
      </c>
    </row>
    <row r="14365" customHeight="1" spans="2:2">
      <c r="B14365" s="62" t="str">
        <f>IF(AND('领用录入（明细）'!D:D=$F$4,'领用录入（明细）'!C:C&gt;=$J$4,'领用录入（明细）'!C:C&lt;=$L$4),ROW(),"-")</f>
        <v>-</v>
      </c>
    </row>
    <row r="14366" customHeight="1" spans="2:2">
      <c r="B14366" s="62" t="str">
        <f>IF(AND('领用录入（明细）'!D:D=$F$4,'领用录入（明细）'!C:C&gt;=$J$4,'领用录入（明细）'!C:C&lt;=$L$4),ROW(),"-")</f>
        <v>-</v>
      </c>
    </row>
    <row r="14367" customHeight="1" spans="2:2">
      <c r="B14367" s="62" t="str">
        <f>IF(AND('领用录入（明细）'!D:D=$F$4,'领用录入（明细）'!C:C&gt;=$J$4,'领用录入（明细）'!C:C&lt;=$L$4),ROW(),"-")</f>
        <v>-</v>
      </c>
    </row>
    <row r="14368" customHeight="1" spans="2:2">
      <c r="B14368" s="62" t="str">
        <f>IF(AND('领用录入（明细）'!D:D=$F$4,'领用录入（明细）'!C:C&gt;=$J$4,'领用录入（明细）'!C:C&lt;=$L$4),ROW(),"-")</f>
        <v>-</v>
      </c>
    </row>
    <row r="14369" customHeight="1" spans="2:2">
      <c r="B14369" s="62" t="str">
        <f>IF(AND('领用录入（明细）'!D:D=$F$4,'领用录入（明细）'!C:C&gt;=$J$4,'领用录入（明细）'!C:C&lt;=$L$4),ROW(),"-")</f>
        <v>-</v>
      </c>
    </row>
    <row r="14370" customHeight="1" spans="2:2">
      <c r="B14370" s="62" t="str">
        <f>IF(AND('领用录入（明细）'!D:D=$F$4,'领用录入（明细）'!C:C&gt;=$J$4,'领用录入（明细）'!C:C&lt;=$L$4),ROW(),"-")</f>
        <v>-</v>
      </c>
    </row>
    <row r="14371" customHeight="1" spans="2:2">
      <c r="B14371" s="62" t="str">
        <f>IF(AND('领用录入（明细）'!D:D=$F$4,'领用录入（明细）'!C:C&gt;=$J$4,'领用录入（明细）'!C:C&lt;=$L$4),ROW(),"-")</f>
        <v>-</v>
      </c>
    </row>
    <row r="14372" customHeight="1" spans="2:2">
      <c r="B14372" s="62" t="str">
        <f>IF(AND('领用录入（明细）'!D:D=$F$4,'领用录入（明细）'!C:C&gt;=$J$4,'领用录入（明细）'!C:C&lt;=$L$4),ROW(),"-")</f>
        <v>-</v>
      </c>
    </row>
    <row r="14373" customHeight="1" spans="2:2">
      <c r="B14373" s="62" t="str">
        <f>IF(AND('领用录入（明细）'!D:D=$F$4,'领用录入（明细）'!C:C&gt;=$J$4,'领用录入（明细）'!C:C&lt;=$L$4),ROW(),"-")</f>
        <v>-</v>
      </c>
    </row>
    <row r="14374" customHeight="1" spans="2:2">
      <c r="B14374" s="62" t="str">
        <f>IF(AND('领用录入（明细）'!D:D=$F$4,'领用录入（明细）'!C:C&gt;=$J$4,'领用录入（明细）'!C:C&lt;=$L$4),ROW(),"-")</f>
        <v>-</v>
      </c>
    </row>
    <row r="14375" customHeight="1" spans="2:2">
      <c r="B14375" s="62" t="str">
        <f>IF(AND('领用录入（明细）'!D:D=$F$4,'领用录入（明细）'!C:C&gt;=$J$4,'领用录入（明细）'!C:C&lt;=$L$4),ROW(),"-")</f>
        <v>-</v>
      </c>
    </row>
    <row r="14376" customHeight="1" spans="2:2">
      <c r="B14376" s="62" t="str">
        <f>IF(AND('领用录入（明细）'!D:D=$F$4,'领用录入（明细）'!C:C&gt;=$J$4,'领用录入（明细）'!C:C&lt;=$L$4),ROW(),"-")</f>
        <v>-</v>
      </c>
    </row>
    <row r="14377" customHeight="1" spans="2:2">
      <c r="B14377" s="62" t="str">
        <f>IF(AND('领用录入（明细）'!D:D=$F$4,'领用录入（明细）'!C:C&gt;=$J$4,'领用录入（明细）'!C:C&lt;=$L$4),ROW(),"-")</f>
        <v>-</v>
      </c>
    </row>
    <row r="14378" customHeight="1" spans="2:2">
      <c r="B14378" s="62" t="str">
        <f>IF(AND('领用录入（明细）'!D:D=$F$4,'领用录入（明细）'!C:C&gt;=$J$4,'领用录入（明细）'!C:C&lt;=$L$4),ROW(),"-")</f>
        <v>-</v>
      </c>
    </row>
    <row r="14379" customHeight="1" spans="2:2">
      <c r="B14379" s="62" t="str">
        <f>IF(AND('领用录入（明细）'!D:D=$F$4,'领用录入（明细）'!C:C&gt;=$J$4,'领用录入（明细）'!C:C&lt;=$L$4),ROW(),"-")</f>
        <v>-</v>
      </c>
    </row>
    <row r="14380" customHeight="1" spans="2:2">
      <c r="B14380" s="62" t="str">
        <f>IF(AND('领用录入（明细）'!D:D=$F$4,'领用录入（明细）'!C:C&gt;=$J$4,'领用录入（明细）'!C:C&lt;=$L$4),ROW(),"-")</f>
        <v>-</v>
      </c>
    </row>
    <row r="14381" customHeight="1" spans="2:2">
      <c r="B14381" s="62" t="str">
        <f>IF(AND('领用录入（明细）'!D:D=$F$4,'领用录入（明细）'!C:C&gt;=$J$4,'领用录入（明细）'!C:C&lt;=$L$4),ROW(),"-")</f>
        <v>-</v>
      </c>
    </row>
    <row r="14382" customHeight="1" spans="2:2">
      <c r="B14382" s="62" t="str">
        <f>IF(AND('领用录入（明细）'!D:D=$F$4,'领用录入（明细）'!C:C&gt;=$J$4,'领用录入（明细）'!C:C&lt;=$L$4),ROW(),"-")</f>
        <v>-</v>
      </c>
    </row>
    <row r="14383" customHeight="1" spans="2:2">
      <c r="B14383" s="62" t="str">
        <f>IF(AND('领用录入（明细）'!D:D=$F$4,'领用录入（明细）'!C:C&gt;=$J$4,'领用录入（明细）'!C:C&lt;=$L$4),ROW(),"-")</f>
        <v>-</v>
      </c>
    </row>
    <row r="14384" customHeight="1" spans="2:2">
      <c r="B14384" s="62" t="str">
        <f>IF(AND('领用录入（明细）'!D:D=$F$4,'领用录入（明细）'!C:C&gt;=$J$4,'领用录入（明细）'!C:C&lt;=$L$4),ROW(),"-")</f>
        <v>-</v>
      </c>
    </row>
    <row r="14385" customHeight="1" spans="2:2">
      <c r="B14385" s="62" t="str">
        <f>IF(AND('领用录入（明细）'!D:D=$F$4,'领用录入（明细）'!C:C&gt;=$J$4,'领用录入（明细）'!C:C&lt;=$L$4),ROW(),"-")</f>
        <v>-</v>
      </c>
    </row>
    <row r="14386" customHeight="1" spans="2:2">
      <c r="B14386" s="62" t="str">
        <f>IF(AND('领用录入（明细）'!D:D=$F$4,'领用录入（明细）'!C:C&gt;=$J$4,'领用录入（明细）'!C:C&lt;=$L$4),ROW(),"-")</f>
        <v>-</v>
      </c>
    </row>
    <row r="14387" customHeight="1" spans="2:2">
      <c r="B14387" s="62" t="str">
        <f>IF(AND('领用录入（明细）'!D:D=$F$4,'领用录入（明细）'!C:C&gt;=$J$4,'领用录入（明细）'!C:C&lt;=$L$4),ROW(),"-")</f>
        <v>-</v>
      </c>
    </row>
    <row r="14388" customHeight="1" spans="2:2">
      <c r="B14388" s="62" t="str">
        <f>IF(AND('领用录入（明细）'!D:D=$F$4,'领用录入（明细）'!C:C&gt;=$J$4,'领用录入（明细）'!C:C&lt;=$L$4),ROW(),"-")</f>
        <v>-</v>
      </c>
    </row>
    <row r="14389" customHeight="1" spans="2:2">
      <c r="B14389" s="62" t="str">
        <f>IF(AND('领用录入（明细）'!D:D=$F$4,'领用录入（明细）'!C:C&gt;=$J$4,'领用录入（明细）'!C:C&lt;=$L$4),ROW(),"-")</f>
        <v>-</v>
      </c>
    </row>
    <row r="14390" customHeight="1" spans="2:2">
      <c r="B14390" s="62" t="str">
        <f>IF(AND('领用录入（明细）'!D:D=$F$4,'领用录入（明细）'!C:C&gt;=$J$4,'领用录入（明细）'!C:C&lt;=$L$4),ROW(),"-")</f>
        <v>-</v>
      </c>
    </row>
    <row r="14391" customHeight="1" spans="2:2">
      <c r="B14391" s="62" t="str">
        <f>IF(AND('领用录入（明细）'!D:D=$F$4,'领用录入（明细）'!C:C&gt;=$J$4,'领用录入（明细）'!C:C&lt;=$L$4),ROW(),"-")</f>
        <v>-</v>
      </c>
    </row>
    <row r="14392" customHeight="1" spans="2:2">
      <c r="B14392" s="62" t="str">
        <f>IF(AND('领用录入（明细）'!D:D=$F$4,'领用录入（明细）'!C:C&gt;=$J$4,'领用录入（明细）'!C:C&lt;=$L$4),ROW(),"-")</f>
        <v>-</v>
      </c>
    </row>
    <row r="14393" customHeight="1" spans="2:2">
      <c r="B14393" s="62" t="str">
        <f>IF(AND('领用录入（明细）'!D:D=$F$4,'领用录入（明细）'!C:C&gt;=$J$4,'领用录入（明细）'!C:C&lt;=$L$4),ROW(),"-")</f>
        <v>-</v>
      </c>
    </row>
    <row r="14394" customHeight="1" spans="2:2">
      <c r="B14394" s="62" t="str">
        <f>IF(AND('领用录入（明细）'!D:D=$F$4,'领用录入（明细）'!C:C&gt;=$J$4,'领用录入（明细）'!C:C&lt;=$L$4),ROW(),"-")</f>
        <v>-</v>
      </c>
    </row>
    <row r="14395" customHeight="1" spans="2:2">
      <c r="B14395" s="62" t="str">
        <f>IF(AND('领用录入（明细）'!D:D=$F$4,'领用录入（明细）'!C:C&gt;=$J$4,'领用录入（明细）'!C:C&lt;=$L$4),ROW(),"-")</f>
        <v>-</v>
      </c>
    </row>
    <row r="14396" customHeight="1" spans="2:2">
      <c r="B14396" s="62" t="str">
        <f>IF(AND('领用录入（明细）'!D:D=$F$4,'领用录入（明细）'!C:C&gt;=$J$4,'领用录入（明细）'!C:C&lt;=$L$4),ROW(),"-")</f>
        <v>-</v>
      </c>
    </row>
    <row r="14397" customHeight="1" spans="2:2">
      <c r="B14397" s="62" t="str">
        <f>IF(AND('领用录入（明细）'!D:D=$F$4,'领用录入（明细）'!C:C&gt;=$J$4,'领用录入（明细）'!C:C&lt;=$L$4),ROW(),"-")</f>
        <v>-</v>
      </c>
    </row>
    <row r="14398" customHeight="1" spans="2:2">
      <c r="B14398" s="62" t="str">
        <f>IF(AND('领用录入（明细）'!D:D=$F$4,'领用录入（明细）'!C:C&gt;=$J$4,'领用录入（明细）'!C:C&lt;=$L$4),ROW(),"-")</f>
        <v>-</v>
      </c>
    </row>
    <row r="14399" customHeight="1" spans="2:2">
      <c r="B14399" s="62" t="str">
        <f>IF(AND('领用录入（明细）'!D:D=$F$4,'领用录入（明细）'!C:C&gt;=$J$4,'领用录入（明细）'!C:C&lt;=$L$4),ROW(),"-")</f>
        <v>-</v>
      </c>
    </row>
    <row r="14400" customHeight="1" spans="2:2">
      <c r="B14400" s="62" t="str">
        <f>IF(AND('领用录入（明细）'!D:D=$F$4,'领用录入（明细）'!C:C&gt;=$J$4,'领用录入（明细）'!C:C&lt;=$L$4),ROW(),"-")</f>
        <v>-</v>
      </c>
    </row>
    <row r="14401" customHeight="1" spans="2:2">
      <c r="B14401" s="62" t="str">
        <f>IF(AND('领用录入（明细）'!D:D=$F$4,'领用录入（明细）'!C:C&gt;=$J$4,'领用录入（明细）'!C:C&lt;=$L$4),ROW(),"-")</f>
        <v>-</v>
      </c>
    </row>
    <row r="14402" customHeight="1" spans="2:2">
      <c r="B14402" s="62" t="str">
        <f>IF(AND('领用录入（明细）'!D:D=$F$4,'领用录入（明细）'!C:C&gt;=$J$4,'领用录入（明细）'!C:C&lt;=$L$4),ROW(),"-")</f>
        <v>-</v>
      </c>
    </row>
    <row r="14403" customHeight="1" spans="2:2">
      <c r="B14403" s="62" t="str">
        <f>IF(AND('领用录入（明细）'!D:D=$F$4,'领用录入（明细）'!C:C&gt;=$J$4,'领用录入（明细）'!C:C&lt;=$L$4),ROW(),"-")</f>
        <v>-</v>
      </c>
    </row>
    <row r="14404" customHeight="1" spans="2:2">
      <c r="B14404" s="62" t="str">
        <f>IF(AND('领用录入（明细）'!D:D=$F$4,'领用录入（明细）'!C:C&gt;=$J$4,'领用录入（明细）'!C:C&lt;=$L$4),ROW(),"-")</f>
        <v>-</v>
      </c>
    </row>
    <row r="14405" customHeight="1" spans="2:2">
      <c r="B14405" s="62" t="str">
        <f>IF(AND('领用录入（明细）'!D:D=$F$4,'领用录入（明细）'!C:C&gt;=$J$4,'领用录入（明细）'!C:C&lt;=$L$4),ROW(),"-")</f>
        <v>-</v>
      </c>
    </row>
    <row r="14406" customHeight="1" spans="2:2">
      <c r="B14406" s="62" t="str">
        <f>IF(AND('领用录入（明细）'!D:D=$F$4,'领用录入（明细）'!C:C&gt;=$J$4,'领用录入（明细）'!C:C&lt;=$L$4),ROW(),"-")</f>
        <v>-</v>
      </c>
    </row>
    <row r="14407" customHeight="1" spans="2:2">
      <c r="B14407" s="62" t="str">
        <f>IF(AND('领用录入（明细）'!D:D=$F$4,'领用录入（明细）'!C:C&gt;=$J$4,'领用录入（明细）'!C:C&lt;=$L$4),ROW(),"-")</f>
        <v>-</v>
      </c>
    </row>
    <row r="14408" customHeight="1" spans="2:2">
      <c r="B14408" s="62" t="str">
        <f>IF(AND('领用录入（明细）'!D:D=$F$4,'领用录入（明细）'!C:C&gt;=$J$4,'领用录入（明细）'!C:C&lt;=$L$4),ROW(),"-")</f>
        <v>-</v>
      </c>
    </row>
    <row r="14409" customHeight="1" spans="2:2">
      <c r="B14409" s="62" t="str">
        <f>IF(AND('领用录入（明细）'!D:D=$F$4,'领用录入（明细）'!C:C&gt;=$J$4,'领用录入（明细）'!C:C&lt;=$L$4),ROW(),"-")</f>
        <v>-</v>
      </c>
    </row>
    <row r="14410" customHeight="1" spans="2:2">
      <c r="B14410" s="62" t="str">
        <f>IF(AND('领用录入（明细）'!D:D=$F$4,'领用录入（明细）'!C:C&gt;=$J$4,'领用录入（明细）'!C:C&lt;=$L$4),ROW(),"-")</f>
        <v>-</v>
      </c>
    </row>
    <row r="14411" customHeight="1" spans="2:2">
      <c r="B14411" s="62" t="str">
        <f>IF(AND('领用录入（明细）'!D:D=$F$4,'领用录入（明细）'!C:C&gt;=$J$4,'领用录入（明细）'!C:C&lt;=$L$4),ROW(),"-")</f>
        <v>-</v>
      </c>
    </row>
    <row r="14412" customHeight="1" spans="2:2">
      <c r="B14412" s="62" t="str">
        <f>IF(AND('领用录入（明细）'!D:D=$F$4,'领用录入（明细）'!C:C&gt;=$J$4,'领用录入（明细）'!C:C&lt;=$L$4),ROW(),"-")</f>
        <v>-</v>
      </c>
    </row>
    <row r="14413" customHeight="1" spans="2:2">
      <c r="B14413" s="62" t="str">
        <f>IF(AND('领用录入（明细）'!D:D=$F$4,'领用录入（明细）'!C:C&gt;=$J$4,'领用录入（明细）'!C:C&lt;=$L$4),ROW(),"-")</f>
        <v>-</v>
      </c>
    </row>
    <row r="14414" customHeight="1" spans="2:2">
      <c r="B14414" s="62" t="str">
        <f>IF(AND('领用录入（明细）'!D:D=$F$4,'领用录入（明细）'!C:C&gt;=$J$4,'领用录入（明细）'!C:C&lt;=$L$4),ROW(),"-")</f>
        <v>-</v>
      </c>
    </row>
    <row r="14415" customHeight="1" spans="2:2">
      <c r="B14415" s="62" t="str">
        <f>IF(AND('领用录入（明细）'!D:D=$F$4,'领用录入（明细）'!C:C&gt;=$J$4,'领用录入（明细）'!C:C&lt;=$L$4),ROW(),"-")</f>
        <v>-</v>
      </c>
    </row>
    <row r="14416" customHeight="1" spans="2:2">
      <c r="B14416" s="62" t="str">
        <f>IF(AND('领用录入（明细）'!D:D=$F$4,'领用录入（明细）'!C:C&gt;=$J$4,'领用录入（明细）'!C:C&lt;=$L$4),ROW(),"-")</f>
        <v>-</v>
      </c>
    </row>
    <row r="14417" customHeight="1" spans="2:2">
      <c r="B14417" s="62" t="str">
        <f>IF(AND('领用录入（明细）'!D:D=$F$4,'领用录入（明细）'!C:C&gt;=$J$4,'领用录入（明细）'!C:C&lt;=$L$4),ROW(),"-")</f>
        <v>-</v>
      </c>
    </row>
    <row r="14418" customHeight="1" spans="2:2">
      <c r="B14418" s="62" t="str">
        <f>IF(AND('领用录入（明细）'!D:D=$F$4,'领用录入（明细）'!C:C&gt;=$J$4,'领用录入（明细）'!C:C&lt;=$L$4),ROW(),"-")</f>
        <v>-</v>
      </c>
    </row>
    <row r="14419" customHeight="1" spans="2:2">
      <c r="B14419" s="62" t="str">
        <f>IF(AND('领用录入（明细）'!D:D=$F$4,'领用录入（明细）'!C:C&gt;=$J$4,'领用录入（明细）'!C:C&lt;=$L$4),ROW(),"-")</f>
        <v>-</v>
      </c>
    </row>
    <row r="14420" customHeight="1" spans="2:2">
      <c r="B14420" s="62" t="str">
        <f>IF(AND('领用录入（明细）'!D:D=$F$4,'领用录入（明细）'!C:C&gt;=$J$4,'领用录入（明细）'!C:C&lt;=$L$4),ROW(),"-")</f>
        <v>-</v>
      </c>
    </row>
    <row r="14421" customHeight="1" spans="2:2">
      <c r="B14421" s="62" t="str">
        <f>IF(AND('领用录入（明细）'!D:D=$F$4,'领用录入（明细）'!C:C&gt;=$J$4,'领用录入（明细）'!C:C&lt;=$L$4),ROW(),"-")</f>
        <v>-</v>
      </c>
    </row>
    <row r="14422" customHeight="1" spans="2:2">
      <c r="B14422" s="62" t="str">
        <f>IF(AND('领用录入（明细）'!D:D=$F$4,'领用录入（明细）'!C:C&gt;=$J$4,'领用录入（明细）'!C:C&lt;=$L$4),ROW(),"-")</f>
        <v>-</v>
      </c>
    </row>
    <row r="14423" customHeight="1" spans="2:2">
      <c r="B14423" s="62" t="str">
        <f>IF(AND('领用录入（明细）'!D:D=$F$4,'领用录入（明细）'!C:C&gt;=$J$4,'领用录入（明细）'!C:C&lt;=$L$4),ROW(),"-")</f>
        <v>-</v>
      </c>
    </row>
    <row r="14424" customHeight="1" spans="2:2">
      <c r="B14424" s="62" t="str">
        <f>IF(AND('领用录入（明细）'!D:D=$F$4,'领用录入（明细）'!C:C&gt;=$J$4,'领用录入（明细）'!C:C&lt;=$L$4),ROW(),"-")</f>
        <v>-</v>
      </c>
    </row>
    <row r="14425" customHeight="1" spans="2:2">
      <c r="B14425" s="62" t="str">
        <f>IF(AND('领用录入（明细）'!D:D=$F$4,'领用录入（明细）'!C:C&gt;=$J$4,'领用录入（明细）'!C:C&lt;=$L$4),ROW(),"-")</f>
        <v>-</v>
      </c>
    </row>
    <row r="14426" customHeight="1" spans="2:2">
      <c r="B14426" s="62" t="str">
        <f>IF(AND('领用录入（明细）'!D:D=$F$4,'领用录入（明细）'!C:C&gt;=$J$4,'领用录入（明细）'!C:C&lt;=$L$4),ROW(),"-")</f>
        <v>-</v>
      </c>
    </row>
    <row r="14427" customHeight="1" spans="2:2">
      <c r="B14427" s="62" t="str">
        <f>IF(AND('领用录入（明细）'!D:D=$F$4,'领用录入（明细）'!C:C&gt;=$J$4,'领用录入（明细）'!C:C&lt;=$L$4),ROW(),"-")</f>
        <v>-</v>
      </c>
    </row>
    <row r="14428" customHeight="1" spans="2:2">
      <c r="B14428" s="62" t="str">
        <f>IF(AND('领用录入（明细）'!D:D=$F$4,'领用录入（明细）'!C:C&gt;=$J$4,'领用录入（明细）'!C:C&lt;=$L$4),ROW(),"-")</f>
        <v>-</v>
      </c>
    </row>
    <row r="14429" customHeight="1" spans="2:2">
      <c r="B14429" s="62" t="str">
        <f>IF(AND('领用录入（明细）'!D:D=$F$4,'领用录入（明细）'!C:C&gt;=$J$4,'领用录入（明细）'!C:C&lt;=$L$4),ROW(),"-")</f>
        <v>-</v>
      </c>
    </row>
    <row r="14430" customHeight="1" spans="2:2">
      <c r="B14430" s="62" t="str">
        <f>IF(AND('领用录入（明细）'!D:D=$F$4,'领用录入（明细）'!C:C&gt;=$J$4,'领用录入（明细）'!C:C&lt;=$L$4),ROW(),"-")</f>
        <v>-</v>
      </c>
    </row>
    <row r="14431" customHeight="1" spans="2:2">
      <c r="B14431" s="62" t="str">
        <f>IF(AND('领用录入（明细）'!D:D=$F$4,'领用录入（明细）'!C:C&gt;=$J$4,'领用录入（明细）'!C:C&lt;=$L$4),ROW(),"-")</f>
        <v>-</v>
      </c>
    </row>
    <row r="14432" customHeight="1" spans="2:2">
      <c r="B14432" s="62" t="str">
        <f>IF(AND('领用录入（明细）'!D:D=$F$4,'领用录入（明细）'!C:C&gt;=$J$4,'领用录入（明细）'!C:C&lt;=$L$4),ROW(),"-")</f>
        <v>-</v>
      </c>
    </row>
    <row r="14433" customHeight="1" spans="2:2">
      <c r="B14433" s="62" t="str">
        <f>IF(AND('领用录入（明细）'!D:D=$F$4,'领用录入（明细）'!C:C&gt;=$J$4,'领用录入（明细）'!C:C&lt;=$L$4),ROW(),"-")</f>
        <v>-</v>
      </c>
    </row>
    <row r="14434" customHeight="1" spans="2:2">
      <c r="B14434" s="62" t="str">
        <f>IF(AND('领用录入（明细）'!D:D=$F$4,'领用录入（明细）'!C:C&gt;=$J$4,'领用录入（明细）'!C:C&lt;=$L$4),ROW(),"-")</f>
        <v>-</v>
      </c>
    </row>
    <row r="14435" customHeight="1" spans="2:2">
      <c r="B14435" s="62" t="str">
        <f>IF(AND('领用录入（明细）'!D:D=$F$4,'领用录入（明细）'!C:C&gt;=$J$4,'领用录入（明细）'!C:C&lt;=$L$4),ROW(),"-")</f>
        <v>-</v>
      </c>
    </row>
    <row r="14436" customHeight="1" spans="2:2">
      <c r="B14436" s="62" t="str">
        <f>IF(AND('领用录入（明细）'!D:D=$F$4,'领用录入（明细）'!C:C&gt;=$J$4,'领用录入（明细）'!C:C&lt;=$L$4),ROW(),"-")</f>
        <v>-</v>
      </c>
    </row>
    <row r="14437" customHeight="1" spans="2:2">
      <c r="B14437" s="62" t="str">
        <f>IF(AND('领用录入（明细）'!D:D=$F$4,'领用录入（明细）'!C:C&gt;=$J$4,'领用录入（明细）'!C:C&lt;=$L$4),ROW(),"-")</f>
        <v>-</v>
      </c>
    </row>
    <row r="14438" customHeight="1" spans="2:2">
      <c r="B14438" s="62" t="str">
        <f>IF(AND('领用录入（明细）'!D:D=$F$4,'领用录入（明细）'!C:C&gt;=$J$4,'领用录入（明细）'!C:C&lt;=$L$4),ROW(),"-")</f>
        <v>-</v>
      </c>
    </row>
    <row r="14439" customHeight="1" spans="2:2">
      <c r="B14439" s="62" t="str">
        <f>IF(AND('领用录入（明细）'!D:D=$F$4,'领用录入（明细）'!C:C&gt;=$J$4,'领用录入（明细）'!C:C&lt;=$L$4),ROW(),"-")</f>
        <v>-</v>
      </c>
    </row>
    <row r="14440" customHeight="1" spans="2:2">
      <c r="B14440" s="62" t="str">
        <f>IF(AND('领用录入（明细）'!D:D=$F$4,'领用录入（明细）'!C:C&gt;=$J$4,'领用录入（明细）'!C:C&lt;=$L$4),ROW(),"-")</f>
        <v>-</v>
      </c>
    </row>
    <row r="14441" customHeight="1" spans="2:2">
      <c r="B14441" s="62" t="str">
        <f>IF(AND('领用录入（明细）'!D:D=$F$4,'领用录入（明细）'!C:C&gt;=$J$4,'领用录入（明细）'!C:C&lt;=$L$4),ROW(),"-")</f>
        <v>-</v>
      </c>
    </row>
    <row r="14442" customHeight="1" spans="2:2">
      <c r="B14442" s="62" t="str">
        <f>IF(AND('领用录入（明细）'!D:D=$F$4,'领用录入（明细）'!C:C&gt;=$J$4,'领用录入（明细）'!C:C&lt;=$L$4),ROW(),"-")</f>
        <v>-</v>
      </c>
    </row>
    <row r="14443" customHeight="1" spans="2:2">
      <c r="B14443" s="62" t="str">
        <f>IF(AND('领用录入（明细）'!D:D=$F$4,'领用录入（明细）'!C:C&gt;=$J$4,'领用录入（明细）'!C:C&lt;=$L$4),ROW(),"-")</f>
        <v>-</v>
      </c>
    </row>
    <row r="14444" customHeight="1" spans="2:2">
      <c r="B14444" s="62" t="str">
        <f>IF(AND('领用录入（明细）'!D:D=$F$4,'领用录入（明细）'!C:C&gt;=$J$4,'领用录入（明细）'!C:C&lt;=$L$4),ROW(),"-")</f>
        <v>-</v>
      </c>
    </row>
    <row r="14445" customHeight="1" spans="2:2">
      <c r="B14445" s="62" t="str">
        <f>IF(AND('领用录入（明细）'!D:D=$F$4,'领用录入（明细）'!C:C&gt;=$J$4,'领用录入（明细）'!C:C&lt;=$L$4),ROW(),"-")</f>
        <v>-</v>
      </c>
    </row>
    <row r="14446" customHeight="1" spans="2:2">
      <c r="B14446" s="62" t="str">
        <f>IF(AND('领用录入（明细）'!D:D=$F$4,'领用录入（明细）'!C:C&gt;=$J$4,'领用录入（明细）'!C:C&lt;=$L$4),ROW(),"-")</f>
        <v>-</v>
      </c>
    </row>
    <row r="14447" customHeight="1" spans="2:2">
      <c r="B14447" s="62" t="str">
        <f>IF(AND('领用录入（明细）'!D:D=$F$4,'领用录入（明细）'!C:C&gt;=$J$4,'领用录入（明细）'!C:C&lt;=$L$4),ROW(),"-")</f>
        <v>-</v>
      </c>
    </row>
    <row r="14448" customHeight="1" spans="2:2">
      <c r="B14448" s="62" t="str">
        <f>IF(AND('领用录入（明细）'!D:D=$F$4,'领用录入（明细）'!C:C&gt;=$J$4,'领用录入（明细）'!C:C&lt;=$L$4),ROW(),"-")</f>
        <v>-</v>
      </c>
    </row>
    <row r="14449" customHeight="1" spans="2:2">
      <c r="B14449" s="62" t="str">
        <f>IF(AND('领用录入（明细）'!D:D=$F$4,'领用录入（明细）'!C:C&gt;=$J$4,'领用录入（明细）'!C:C&lt;=$L$4),ROW(),"-")</f>
        <v>-</v>
      </c>
    </row>
    <row r="14450" customHeight="1" spans="2:2">
      <c r="B14450" s="62" t="str">
        <f>IF(AND('领用录入（明细）'!D:D=$F$4,'领用录入（明细）'!C:C&gt;=$J$4,'领用录入（明细）'!C:C&lt;=$L$4),ROW(),"-")</f>
        <v>-</v>
      </c>
    </row>
    <row r="14451" customHeight="1" spans="2:2">
      <c r="B14451" s="62" t="str">
        <f>IF(AND('领用录入（明细）'!D:D=$F$4,'领用录入（明细）'!C:C&gt;=$J$4,'领用录入（明细）'!C:C&lt;=$L$4),ROW(),"-")</f>
        <v>-</v>
      </c>
    </row>
    <row r="14452" customHeight="1" spans="2:2">
      <c r="B14452" s="62" t="str">
        <f>IF(AND('领用录入（明细）'!D:D=$F$4,'领用录入（明细）'!C:C&gt;=$J$4,'领用录入（明细）'!C:C&lt;=$L$4),ROW(),"-")</f>
        <v>-</v>
      </c>
    </row>
    <row r="14453" customHeight="1" spans="2:2">
      <c r="B14453" s="62" t="str">
        <f>IF(AND('领用录入（明细）'!D:D=$F$4,'领用录入（明细）'!C:C&gt;=$J$4,'领用录入（明细）'!C:C&lt;=$L$4),ROW(),"-")</f>
        <v>-</v>
      </c>
    </row>
    <row r="14454" customHeight="1" spans="2:2">
      <c r="B14454" s="62" t="str">
        <f>IF(AND('领用录入（明细）'!D:D=$F$4,'领用录入（明细）'!C:C&gt;=$J$4,'领用录入（明细）'!C:C&lt;=$L$4),ROW(),"-")</f>
        <v>-</v>
      </c>
    </row>
    <row r="14455" customHeight="1" spans="2:2">
      <c r="B14455" s="62" t="str">
        <f>IF(AND('领用录入（明细）'!D:D=$F$4,'领用录入（明细）'!C:C&gt;=$J$4,'领用录入（明细）'!C:C&lt;=$L$4),ROW(),"-")</f>
        <v>-</v>
      </c>
    </row>
    <row r="14456" customHeight="1" spans="2:2">
      <c r="B14456" s="62" t="str">
        <f>IF(AND('领用录入（明细）'!D:D=$F$4,'领用录入（明细）'!C:C&gt;=$J$4,'领用录入（明细）'!C:C&lt;=$L$4),ROW(),"-")</f>
        <v>-</v>
      </c>
    </row>
    <row r="14457" customHeight="1" spans="2:2">
      <c r="B14457" s="62" t="str">
        <f>IF(AND('领用录入（明细）'!D:D=$F$4,'领用录入（明细）'!C:C&gt;=$J$4,'领用录入（明细）'!C:C&lt;=$L$4),ROW(),"-")</f>
        <v>-</v>
      </c>
    </row>
    <row r="14458" customHeight="1" spans="2:2">
      <c r="B14458" s="62" t="str">
        <f>IF(AND('领用录入（明细）'!D:D=$F$4,'领用录入（明细）'!C:C&gt;=$J$4,'领用录入（明细）'!C:C&lt;=$L$4),ROW(),"-")</f>
        <v>-</v>
      </c>
    </row>
    <row r="14459" customHeight="1" spans="2:2">
      <c r="B14459" s="62" t="str">
        <f>IF(AND('领用录入（明细）'!D:D=$F$4,'领用录入（明细）'!C:C&gt;=$J$4,'领用录入（明细）'!C:C&lt;=$L$4),ROW(),"-")</f>
        <v>-</v>
      </c>
    </row>
    <row r="14460" customHeight="1" spans="2:2">
      <c r="B14460" s="62" t="str">
        <f>IF(AND('领用录入（明细）'!D:D=$F$4,'领用录入（明细）'!C:C&gt;=$J$4,'领用录入（明细）'!C:C&lt;=$L$4),ROW(),"-")</f>
        <v>-</v>
      </c>
    </row>
    <row r="14461" customHeight="1" spans="2:2">
      <c r="B14461" s="62" t="str">
        <f>IF(AND('领用录入（明细）'!D:D=$F$4,'领用录入（明细）'!C:C&gt;=$J$4,'领用录入（明细）'!C:C&lt;=$L$4),ROW(),"-")</f>
        <v>-</v>
      </c>
    </row>
    <row r="14462" customHeight="1" spans="2:2">
      <c r="B14462" s="62" t="str">
        <f>IF(AND('领用录入（明细）'!D:D=$F$4,'领用录入（明细）'!C:C&gt;=$J$4,'领用录入（明细）'!C:C&lt;=$L$4),ROW(),"-")</f>
        <v>-</v>
      </c>
    </row>
    <row r="14463" customHeight="1" spans="2:2">
      <c r="B14463" s="62" t="str">
        <f>IF(AND('领用录入（明细）'!D:D=$F$4,'领用录入（明细）'!C:C&gt;=$J$4,'领用录入（明细）'!C:C&lt;=$L$4),ROW(),"-")</f>
        <v>-</v>
      </c>
    </row>
    <row r="14464" customHeight="1" spans="2:2">
      <c r="B14464" s="62" t="str">
        <f>IF(AND('领用录入（明细）'!D:D=$F$4,'领用录入（明细）'!C:C&gt;=$J$4,'领用录入（明细）'!C:C&lt;=$L$4),ROW(),"-")</f>
        <v>-</v>
      </c>
    </row>
    <row r="14465" customHeight="1" spans="2:2">
      <c r="B14465" s="62" t="str">
        <f>IF(AND('领用录入（明细）'!D:D=$F$4,'领用录入（明细）'!C:C&gt;=$J$4,'领用录入（明细）'!C:C&lt;=$L$4),ROW(),"-")</f>
        <v>-</v>
      </c>
    </row>
    <row r="14466" customHeight="1" spans="2:2">
      <c r="B14466" s="62" t="str">
        <f>IF(AND('领用录入（明细）'!D:D=$F$4,'领用录入（明细）'!C:C&gt;=$J$4,'领用录入（明细）'!C:C&lt;=$L$4),ROW(),"-")</f>
        <v>-</v>
      </c>
    </row>
    <row r="14467" customHeight="1" spans="2:2">
      <c r="B14467" s="62" t="str">
        <f>IF(AND('领用录入（明细）'!D:D=$F$4,'领用录入（明细）'!C:C&gt;=$J$4,'领用录入（明细）'!C:C&lt;=$L$4),ROW(),"-")</f>
        <v>-</v>
      </c>
    </row>
    <row r="14468" customHeight="1" spans="2:2">
      <c r="B14468" s="62" t="str">
        <f>IF(AND('领用录入（明细）'!D:D=$F$4,'领用录入（明细）'!C:C&gt;=$J$4,'领用录入（明细）'!C:C&lt;=$L$4),ROW(),"-")</f>
        <v>-</v>
      </c>
    </row>
    <row r="14469" customHeight="1" spans="2:2">
      <c r="B14469" s="62" t="str">
        <f>IF(AND('领用录入（明细）'!D:D=$F$4,'领用录入（明细）'!C:C&gt;=$J$4,'领用录入（明细）'!C:C&lt;=$L$4),ROW(),"-")</f>
        <v>-</v>
      </c>
    </row>
    <row r="14470" customHeight="1" spans="2:2">
      <c r="B14470" s="62" t="str">
        <f>IF(AND('领用录入（明细）'!D:D=$F$4,'领用录入（明细）'!C:C&gt;=$J$4,'领用录入（明细）'!C:C&lt;=$L$4),ROW(),"-")</f>
        <v>-</v>
      </c>
    </row>
    <row r="14471" customHeight="1" spans="2:2">
      <c r="B14471" s="62" t="str">
        <f>IF(AND('领用录入（明细）'!D:D=$F$4,'领用录入（明细）'!C:C&gt;=$J$4,'领用录入（明细）'!C:C&lt;=$L$4),ROW(),"-")</f>
        <v>-</v>
      </c>
    </row>
    <row r="14472" customHeight="1" spans="2:2">
      <c r="B14472" s="62" t="str">
        <f>IF(AND('领用录入（明细）'!D:D=$F$4,'领用录入（明细）'!C:C&gt;=$J$4,'领用录入（明细）'!C:C&lt;=$L$4),ROW(),"-")</f>
        <v>-</v>
      </c>
    </row>
    <row r="14473" customHeight="1" spans="2:2">
      <c r="B14473" s="62" t="str">
        <f>IF(AND('领用录入（明细）'!D:D=$F$4,'领用录入（明细）'!C:C&gt;=$J$4,'领用录入（明细）'!C:C&lt;=$L$4),ROW(),"-")</f>
        <v>-</v>
      </c>
    </row>
    <row r="14474" customHeight="1" spans="2:2">
      <c r="B14474" s="62" t="str">
        <f>IF(AND('领用录入（明细）'!D:D=$F$4,'领用录入（明细）'!C:C&gt;=$J$4,'领用录入（明细）'!C:C&lt;=$L$4),ROW(),"-")</f>
        <v>-</v>
      </c>
    </row>
    <row r="14475" customHeight="1" spans="2:2">
      <c r="B14475" s="62" t="str">
        <f>IF(AND('领用录入（明细）'!D:D=$F$4,'领用录入（明细）'!C:C&gt;=$J$4,'领用录入（明细）'!C:C&lt;=$L$4),ROW(),"-")</f>
        <v>-</v>
      </c>
    </row>
    <row r="14476" customHeight="1" spans="2:2">
      <c r="B14476" s="62" t="str">
        <f>IF(AND('领用录入（明细）'!D:D=$F$4,'领用录入（明细）'!C:C&gt;=$J$4,'领用录入（明细）'!C:C&lt;=$L$4),ROW(),"-")</f>
        <v>-</v>
      </c>
    </row>
    <row r="14477" customHeight="1" spans="2:2">
      <c r="B14477" s="62" t="str">
        <f>IF(AND('领用录入（明细）'!D:D=$F$4,'领用录入（明细）'!C:C&gt;=$J$4,'领用录入（明细）'!C:C&lt;=$L$4),ROW(),"-")</f>
        <v>-</v>
      </c>
    </row>
    <row r="14478" customHeight="1" spans="2:2">
      <c r="B14478" s="62" t="str">
        <f>IF(AND('领用录入（明细）'!D:D=$F$4,'领用录入（明细）'!C:C&gt;=$J$4,'领用录入（明细）'!C:C&lt;=$L$4),ROW(),"-")</f>
        <v>-</v>
      </c>
    </row>
    <row r="14479" customHeight="1" spans="2:2">
      <c r="B14479" s="62" t="str">
        <f>IF(AND('领用录入（明细）'!D:D=$F$4,'领用录入（明细）'!C:C&gt;=$J$4,'领用录入（明细）'!C:C&lt;=$L$4),ROW(),"-")</f>
        <v>-</v>
      </c>
    </row>
    <row r="14480" customHeight="1" spans="2:2">
      <c r="B14480" s="62" t="str">
        <f>IF(AND('领用录入（明细）'!D:D=$F$4,'领用录入（明细）'!C:C&gt;=$J$4,'领用录入（明细）'!C:C&lt;=$L$4),ROW(),"-")</f>
        <v>-</v>
      </c>
    </row>
    <row r="14481" customHeight="1" spans="2:2">
      <c r="B14481" s="62" t="str">
        <f>IF(AND('领用录入（明细）'!D:D=$F$4,'领用录入（明细）'!C:C&gt;=$J$4,'领用录入（明细）'!C:C&lt;=$L$4),ROW(),"-")</f>
        <v>-</v>
      </c>
    </row>
    <row r="14482" customHeight="1" spans="2:2">
      <c r="B14482" s="62" t="str">
        <f>IF(AND('领用录入（明细）'!D:D=$F$4,'领用录入（明细）'!C:C&gt;=$J$4,'领用录入（明细）'!C:C&lt;=$L$4),ROW(),"-")</f>
        <v>-</v>
      </c>
    </row>
    <row r="14483" customHeight="1" spans="2:2">
      <c r="B14483" s="62" t="str">
        <f>IF(AND('领用录入（明细）'!D:D=$F$4,'领用录入（明细）'!C:C&gt;=$J$4,'领用录入（明细）'!C:C&lt;=$L$4),ROW(),"-")</f>
        <v>-</v>
      </c>
    </row>
    <row r="14484" customHeight="1" spans="2:2">
      <c r="B14484" s="62" t="str">
        <f>IF(AND('领用录入（明细）'!D:D=$F$4,'领用录入（明细）'!C:C&gt;=$J$4,'领用录入（明细）'!C:C&lt;=$L$4),ROW(),"-")</f>
        <v>-</v>
      </c>
    </row>
    <row r="14485" customHeight="1" spans="2:2">
      <c r="B14485" s="62" t="str">
        <f>IF(AND('领用录入（明细）'!D:D=$F$4,'领用录入（明细）'!C:C&gt;=$J$4,'领用录入（明细）'!C:C&lt;=$L$4),ROW(),"-")</f>
        <v>-</v>
      </c>
    </row>
    <row r="14486" customHeight="1" spans="2:2">
      <c r="B14486" s="62" t="str">
        <f>IF(AND('领用录入（明细）'!D:D=$F$4,'领用录入（明细）'!C:C&gt;=$J$4,'领用录入（明细）'!C:C&lt;=$L$4),ROW(),"-")</f>
        <v>-</v>
      </c>
    </row>
    <row r="14487" customHeight="1" spans="2:2">
      <c r="B14487" s="62" t="str">
        <f>IF(AND('领用录入（明细）'!D:D=$F$4,'领用录入（明细）'!C:C&gt;=$J$4,'领用录入（明细）'!C:C&lt;=$L$4),ROW(),"-")</f>
        <v>-</v>
      </c>
    </row>
    <row r="14488" customHeight="1" spans="2:2">
      <c r="B14488" s="62" t="str">
        <f>IF(AND('领用录入（明细）'!D:D=$F$4,'领用录入（明细）'!C:C&gt;=$J$4,'领用录入（明细）'!C:C&lt;=$L$4),ROW(),"-")</f>
        <v>-</v>
      </c>
    </row>
    <row r="14489" customHeight="1" spans="2:2">
      <c r="B14489" s="62" t="str">
        <f>IF(AND('领用录入（明细）'!D:D=$F$4,'领用录入（明细）'!C:C&gt;=$J$4,'领用录入（明细）'!C:C&lt;=$L$4),ROW(),"-")</f>
        <v>-</v>
      </c>
    </row>
    <row r="14490" customHeight="1" spans="2:2">
      <c r="B14490" s="62" t="str">
        <f>IF(AND('领用录入（明细）'!D:D=$F$4,'领用录入（明细）'!C:C&gt;=$J$4,'领用录入（明细）'!C:C&lt;=$L$4),ROW(),"-")</f>
        <v>-</v>
      </c>
    </row>
    <row r="14491" customHeight="1" spans="2:2">
      <c r="B14491" s="62" t="str">
        <f>IF(AND('领用录入（明细）'!D:D=$F$4,'领用录入（明细）'!C:C&gt;=$J$4,'领用录入（明细）'!C:C&lt;=$L$4),ROW(),"-")</f>
        <v>-</v>
      </c>
    </row>
    <row r="14492" customHeight="1" spans="2:2">
      <c r="B14492" s="62" t="str">
        <f>IF(AND('领用录入（明细）'!D:D=$F$4,'领用录入（明细）'!C:C&gt;=$J$4,'领用录入（明细）'!C:C&lt;=$L$4),ROW(),"-")</f>
        <v>-</v>
      </c>
    </row>
    <row r="14493" customHeight="1" spans="2:2">
      <c r="B14493" s="62" t="str">
        <f>IF(AND('领用录入（明细）'!D:D=$F$4,'领用录入（明细）'!C:C&gt;=$J$4,'领用录入（明细）'!C:C&lt;=$L$4),ROW(),"-")</f>
        <v>-</v>
      </c>
    </row>
    <row r="14494" customHeight="1" spans="2:2">
      <c r="B14494" s="62" t="str">
        <f>IF(AND('领用录入（明细）'!D:D=$F$4,'领用录入（明细）'!C:C&gt;=$J$4,'领用录入（明细）'!C:C&lt;=$L$4),ROW(),"-")</f>
        <v>-</v>
      </c>
    </row>
    <row r="14495" customHeight="1" spans="2:2">
      <c r="B14495" s="62" t="str">
        <f>IF(AND('领用录入（明细）'!D:D=$F$4,'领用录入（明细）'!C:C&gt;=$J$4,'领用录入（明细）'!C:C&lt;=$L$4),ROW(),"-")</f>
        <v>-</v>
      </c>
    </row>
    <row r="14496" customHeight="1" spans="2:2">
      <c r="B14496" s="62" t="str">
        <f>IF(AND('领用录入（明细）'!D:D=$F$4,'领用录入（明细）'!C:C&gt;=$J$4,'领用录入（明细）'!C:C&lt;=$L$4),ROW(),"-")</f>
        <v>-</v>
      </c>
    </row>
    <row r="14497" customHeight="1" spans="2:2">
      <c r="B14497" s="62" t="str">
        <f>IF(AND('领用录入（明细）'!D:D=$F$4,'领用录入（明细）'!C:C&gt;=$J$4,'领用录入（明细）'!C:C&lt;=$L$4),ROW(),"-")</f>
        <v>-</v>
      </c>
    </row>
    <row r="14498" customHeight="1" spans="2:2">
      <c r="B14498" s="62" t="str">
        <f>IF(AND('领用录入（明细）'!D:D=$F$4,'领用录入（明细）'!C:C&gt;=$J$4,'领用录入（明细）'!C:C&lt;=$L$4),ROW(),"-")</f>
        <v>-</v>
      </c>
    </row>
    <row r="14499" customHeight="1" spans="2:2">
      <c r="B14499" s="62" t="str">
        <f>IF(AND('领用录入（明细）'!D:D=$F$4,'领用录入（明细）'!C:C&gt;=$J$4,'领用录入（明细）'!C:C&lt;=$L$4),ROW(),"-")</f>
        <v>-</v>
      </c>
    </row>
    <row r="14500" customHeight="1" spans="2:2">
      <c r="B14500" s="62" t="str">
        <f>IF(AND('领用录入（明细）'!D:D=$F$4,'领用录入（明细）'!C:C&gt;=$J$4,'领用录入（明细）'!C:C&lt;=$L$4),ROW(),"-")</f>
        <v>-</v>
      </c>
    </row>
    <row r="14501" customHeight="1" spans="2:2">
      <c r="B14501" s="62" t="str">
        <f>IF(AND('领用录入（明细）'!D:D=$F$4,'领用录入（明细）'!C:C&gt;=$J$4,'领用录入（明细）'!C:C&lt;=$L$4),ROW(),"-")</f>
        <v>-</v>
      </c>
    </row>
    <row r="14502" customHeight="1" spans="2:2">
      <c r="B14502" s="62" t="str">
        <f>IF(AND('领用录入（明细）'!D:D=$F$4,'领用录入（明细）'!C:C&gt;=$J$4,'领用录入（明细）'!C:C&lt;=$L$4),ROW(),"-")</f>
        <v>-</v>
      </c>
    </row>
    <row r="14503" customHeight="1" spans="2:2">
      <c r="B14503" s="62" t="str">
        <f>IF(AND('领用录入（明细）'!D:D=$F$4,'领用录入（明细）'!C:C&gt;=$J$4,'领用录入（明细）'!C:C&lt;=$L$4),ROW(),"-")</f>
        <v>-</v>
      </c>
    </row>
    <row r="14504" customHeight="1" spans="2:2">
      <c r="B14504" s="62" t="str">
        <f>IF(AND('领用录入（明细）'!D:D=$F$4,'领用录入（明细）'!C:C&gt;=$J$4,'领用录入（明细）'!C:C&lt;=$L$4),ROW(),"-")</f>
        <v>-</v>
      </c>
    </row>
    <row r="14505" customHeight="1" spans="2:2">
      <c r="B14505" s="62" t="str">
        <f>IF(AND('领用录入（明细）'!D:D=$F$4,'领用录入（明细）'!C:C&gt;=$J$4,'领用录入（明细）'!C:C&lt;=$L$4),ROW(),"-")</f>
        <v>-</v>
      </c>
    </row>
    <row r="14506" customHeight="1" spans="2:2">
      <c r="B14506" s="62" t="str">
        <f>IF(AND('领用录入（明细）'!D:D=$F$4,'领用录入（明细）'!C:C&gt;=$J$4,'领用录入（明细）'!C:C&lt;=$L$4),ROW(),"-")</f>
        <v>-</v>
      </c>
    </row>
    <row r="14507" customHeight="1" spans="2:2">
      <c r="B14507" s="62" t="str">
        <f>IF(AND('领用录入（明细）'!D:D=$F$4,'领用录入（明细）'!C:C&gt;=$J$4,'领用录入（明细）'!C:C&lt;=$L$4),ROW(),"-")</f>
        <v>-</v>
      </c>
    </row>
    <row r="14508" customHeight="1" spans="2:2">
      <c r="B14508" s="62" t="str">
        <f>IF(AND('领用录入（明细）'!D:D=$F$4,'领用录入（明细）'!C:C&gt;=$J$4,'领用录入（明细）'!C:C&lt;=$L$4),ROW(),"-")</f>
        <v>-</v>
      </c>
    </row>
    <row r="14509" customHeight="1" spans="2:2">
      <c r="B14509" s="62" t="str">
        <f>IF(AND('领用录入（明细）'!D:D=$F$4,'领用录入（明细）'!C:C&gt;=$J$4,'领用录入（明细）'!C:C&lt;=$L$4),ROW(),"-")</f>
        <v>-</v>
      </c>
    </row>
    <row r="14510" customHeight="1" spans="2:2">
      <c r="B14510" s="62" t="str">
        <f>IF(AND('领用录入（明细）'!D:D=$F$4,'领用录入（明细）'!C:C&gt;=$J$4,'领用录入（明细）'!C:C&lt;=$L$4),ROW(),"-")</f>
        <v>-</v>
      </c>
    </row>
    <row r="14511" customHeight="1" spans="2:2">
      <c r="B14511" s="62" t="str">
        <f>IF(AND('领用录入（明细）'!D:D=$F$4,'领用录入（明细）'!C:C&gt;=$J$4,'领用录入（明细）'!C:C&lt;=$L$4),ROW(),"-")</f>
        <v>-</v>
      </c>
    </row>
    <row r="14512" customHeight="1" spans="2:2">
      <c r="B14512" s="62" t="str">
        <f>IF(AND('领用录入（明细）'!D:D=$F$4,'领用录入（明细）'!C:C&gt;=$J$4,'领用录入（明细）'!C:C&lt;=$L$4),ROW(),"-")</f>
        <v>-</v>
      </c>
    </row>
    <row r="14513" customHeight="1" spans="2:2">
      <c r="B14513" s="62" t="str">
        <f>IF(AND('领用录入（明细）'!D:D=$F$4,'领用录入（明细）'!C:C&gt;=$J$4,'领用录入（明细）'!C:C&lt;=$L$4),ROW(),"-")</f>
        <v>-</v>
      </c>
    </row>
    <row r="14514" customHeight="1" spans="2:2">
      <c r="B14514" s="62" t="str">
        <f>IF(AND('领用录入（明细）'!D:D=$F$4,'领用录入（明细）'!C:C&gt;=$J$4,'领用录入（明细）'!C:C&lt;=$L$4),ROW(),"-")</f>
        <v>-</v>
      </c>
    </row>
    <row r="14515" customHeight="1" spans="2:2">
      <c r="B14515" s="62" t="str">
        <f>IF(AND('领用录入（明细）'!D:D=$F$4,'领用录入（明细）'!C:C&gt;=$J$4,'领用录入（明细）'!C:C&lt;=$L$4),ROW(),"-")</f>
        <v>-</v>
      </c>
    </row>
    <row r="14516" customHeight="1" spans="2:2">
      <c r="B14516" s="62" t="str">
        <f>IF(AND('领用录入（明细）'!D:D=$F$4,'领用录入（明细）'!C:C&gt;=$J$4,'领用录入（明细）'!C:C&lt;=$L$4),ROW(),"-")</f>
        <v>-</v>
      </c>
    </row>
    <row r="14517" customHeight="1" spans="2:2">
      <c r="B14517" s="62" t="str">
        <f>IF(AND('领用录入（明细）'!D:D=$F$4,'领用录入（明细）'!C:C&gt;=$J$4,'领用录入（明细）'!C:C&lt;=$L$4),ROW(),"-")</f>
        <v>-</v>
      </c>
    </row>
    <row r="14518" customHeight="1" spans="2:2">
      <c r="B14518" s="62" t="str">
        <f>IF(AND('领用录入（明细）'!D:D=$F$4,'领用录入（明细）'!C:C&gt;=$J$4,'领用录入（明细）'!C:C&lt;=$L$4),ROW(),"-")</f>
        <v>-</v>
      </c>
    </row>
    <row r="14519" customHeight="1" spans="2:2">
      <c r="B14519" s="62" t="str">
        <f>IF(AND('领用录入（明细）'!D:D=$F$4,'领用录入（明细）'!C:C&gt;=$J$4,'领用录入（明细）'!C:C&lt;=$L$4),ROW(),"-")</f>
        <v>-</v>
      </c>
    </row>
    <row r="14520" customHeight="1" spans="2:2">
      <c r="B14520" s="62" t="str">
        <f>IF(AND('领用录入（明细）'!D:D=$F$4,'领用录入（明细）'!C:C&gt;=$J$4,'领用录入（明细）'!C:C&lt;=$L$4),ROW(),"-")</f>
        <v>-</v>
      </c>
    </row>
    <row r="14521" customHeight="1" spans="2:2">
      <c r="B14521" s="62" t="str">
        <f>IF(AND('领用录入（明细）'!D:D=$F$4,'领用录入（明细）'!C:C&gt;=$J$4,'领用录入（明细）'!C:C&lt;=$L$4),ROW(),"-")</f>
        <v>-</v>
      </c>
    </row>
    <row r="14522" customHeight="1" spans="2:2">
      <c r="B14522" s="62" t="str">
        <f>IF(AND('领用录入（明细）'!D:D=$F$4,'领用录入（明细）'!C:C&gt;=$J$4,'领用录入（明细）'!C:C&lt;=$L$4),ROW(),"-")</f>
        <v>-</v>
      </c>
    </row>
    <row r="14523" customHeight="1" spans="2:2">
      <c r="B14523" s="62" t="str">
        <f>IF(AND('领用录入（明细）'!D:D=$F$4,'领用录入（明细）'!C:C&gt;=$J$4,'领用录入（明细）'!C:C&lt;=$L$4),ROW(),"-")</f>
        <v>-</v>
      </c>
    </row>
    <row r="14524" customHeight="1" spans="2:2">
      <c r="B14524" s="62" t="str">
        <f>IF(AND('领用录入（明细）'!D:D=$F$4,'领用录入（明细）'!C:C&gt;=$J$4,'领用录入（明细）'!C:C&lt;=$L$4),ROW(),"-")</f>
        <v>-</v>
      </c>
    </row>
    <row r="14525" customHeight="1" spans="2:2">
      <c r="B14525" s="62" t="str">
        <f>IF(AND('领用录入（明细）'!D:D=$F$4,'领用录入（明细）'!C:C&gt;=$J$4,'领用录入（明细）'!C:C&lt;=$L$4),ROW(),"-")</f>
        <v>-</v>
      </c>
    </row>
    <row r="14526" customHeight="1" spans="2:2">
      <c r="B14526" s="62" t="str">
        <f>IF(AND('领用录入（明细）'!D:D=$F$4,'领用录入（明细）'!C:C&gt;=$J$4,'领用录入（明细）'!C:C&lt;=$L$4),ROW(),"-")</f>
        <v>-</v>
      </c>
    </row>
    <row r="14527" customHeight="1" spans="2:2">
      <c r="B14527" s="62" t="str">
        <f>IF(AND('领用录入（明细）'!D:D=$F$4,'领用录入（明细）'!C:C&gt;=$J$4,'领用录入（明细）'!C:C&lt;=$L$4),ROW(),"-")</f>
        <v>-</v>
      </c>
    </row>
    <row r="14528" customHeight="1" spans="2:2">
      <c r="B14528" s="62" t="str">
        <f>IF(AND('领用录入（明细）'!D:D=$F$4,'领用录入（明细）'!C:C&gt;=$J$4,'领用录入（明细）'!C:C&lt;=$L$4),ROW(),"-")</f>
        <v>-</v>
      </c>
    </row>
    <row r="14529" customHeight="1" spans="2:2">
      <c r="B14529" s="62" t="str">
        <f>IF(AND('领用录入（明细）'!D:D=$F$4,'领用录入（明细）'!C:C&gt;=$J$4,'领用录入（明细）'!C:C&lt;=$L$4),ROW(),"-")</f>
        <v>-</v>
      </c>
    </row>
    <row r="14530" customHeight="1" spans="2:2">
      <c r="B14530" s="62" t="str">
        <f>IF(AND('领用录入（明细）'!D:D=$F$4,'领用录入（明细）'!C:C&gt;=$J$4,'领用录入（明细）'!C:C&lt;=$L$4),ROW(),"-")</f>
        <v>-</v>
      </c>
    </row>
    <row r="14531" customHeight="1" spans="2:2">
      <c r="B14531" s="62" t="str">
        <f>IF(AND('领用录入（明细）'!D:D=$F$4,'领用录入（明细）'!C:C&gt;=$J$4,'领用录入（明细）'!C:C&lt;=$L$4),ROW(),"-")</f>
        <v>-</v>
      </c>
    </row>
    <row r="14532" customHeight="1" spans="2:2">
      <c r="B14532" s="62" t="str">
        <f>IF(AND('领用录入（明细）'!D:D=$F$4,'领用录入（明细）'!C:C&gt;=$J$4,'领用录入（明细）'!C:C&lt;=$L$4),ROW(),"-")</f>
        <v>-</v>
      </c>
    </row>
    <row r="14533" customHeight="1" spans="2:2">
      <c r="B14533" s="62" t="str">
        <f>IF(AND('领用录入（明细）'!D:D=$F$4,'领用录入（明细）'!C:C&gt;=$J$4,'领用录入（明细）'!C:C&lt;=$L$4),ROW(),"-")</f>
        <v>-</v>
      </c>
    </row>
    <row r="14534" customHeight="1" spans="2:2">
      <c r="B14534" s="62" t="str">
        <f>IF(AND('领用录入（明细）'!D:D=$F$4,'领用录入（明细）'!C:C&gt;=$J$4,'领用录入（明细）'!C:C&lt;=$L$4),ROW(),"-")</f>
        <v>-</v>
      </c>
    </row>
    <row r="14535" customHeight="1" spans="2:2">
      <c r="B14535" s="62" t="str">
        <f>IF(AND('领用录入（明细）'!D:D=$F$4,'领用录入（明细）'!C:C&gt;=$J$4,'领用录入（明细）'!C:C&lt;=$L$4),ROW(),"-")</f>
        <v>-</v>
      </c>
    </row>
    <row r="14536" customHeight="1" spans="2:2">
      <c r="B14536" s="62" t="str">
        <f>IF(AND('领用录入（明细）'!D:D=$F$4,'领用录入（明细）'!C:C&gt;=$J$4,'领用录入（明细）'!C:C&lt;=$L$4),ROW(),"-")</f>
        <v>-</v>
      </c>
    </row>
    <row r="14537" customHeight="1" spans="2:2">
      <c r="B14537" s="62" t="str">
        <f>IF(AND('领用录入（明细）'!D:D=$F$4,'领用录入（明细）'!C:C&gt;=$J$4,'领用录入（明细）'!C:C&lt;=$L$4),ROW(),"-")</f>
        <v>-</v>
      </c>
    </row>
    <row r="14538" customHeight="1" spans="2:2">
      <c r="B14538" s="62" t="str">
        <f>IF(AND('领用录入（明细）'!D:D=$F$4,'领用录入（明细）'!C:C&gt;=$J$4,'领用录入（明细）'!C:C&lt;=$L$4),ROW(),"-")</f>
        <v>-</v>
      </c>
    </row>
    <row r="14539" customHeight="1" spans="2:2">
      <c r="B14539" s="62" t="str">
        <f>IF(AND('领用录入（明细）'!D:D=$F$4,'领用录入（明细）'!C:C&gt;=$J$4,'领用录入（明细）'!C:C&lt;=$L$4),ROW(),"-")</f>
        <v>-</v>
      </c>
    </row>
    <row r="14540" customHeight="1" spans="2:2">
      <c r="B14540" s="62" t="str">
        <f>IF(AND('领用录入（明细）'!D:D=$F$4,'领用录入（明细）'!C:C&gt;=$J$4,'领用录入（明细）'!C:C&lt;=$L$4),ROW(),"-")</f>
        <v>-</v>
      </c>
    </row>
    <row r="14541" customHeight="1" spans="2:2">
      <c r="B14541" s="62" t="str">
        <f>IF(AND('领用录入（明细）'!D:D=$F$4,'领用录入（明细）'!C:C&gt;=$J$4,'领用录入（明细）'!C:C&lt;=$L$4),ROW(),"-")</f>
        <v>-</v>
      </c>
    </row>
    <row r="14542" customHeight="1" spans="2:2">
      <c r="B14542" s="62" t="str">
        <f>IF(AND('领用录入（明细）'!D:D=$F$4,'领用录入（明细）'!C:C&gt;=$J$4,'领用录入（明细）'!C:C&lt;=$L$4),ROW(),"-")</f>
        <v>-</v>
      </c>
    </row>
    <row r="14543" customHeight="1" spans="2:2">
      <c r="B14543" s="62" t="str">
        <f>IF(AND('领用录入（明细）'!D:D=$F$4,'领用录入（明细）'!C:C&gt;=$J$4,'领用录入（明细）'!C:C&lt;=$L$4),ROW(),"-")</f>
        <v>-</v>
      </c>
    </row>
    <row r="14544" customHeight="1" spans="2:2">
      <c r="B14544" s="62" t="str">
        <f>IF(AND('领用录入（明细）'!D:D=$F$4,'领用录入（明细）'!C:C&gt;=$J$4,'领用录入（明细）'!C:C&lt;=$L$4),ROW(),"-")</f>
        <v>-</v>
      </c>
    </row>
    <row r="14545" customHeight="1" spans="2:2">
      <c r="B14545" s="62" t="str">
        <f>IF(AND('领用录入（明细）'!D:D=$F$4,'领用录入（明细）'!C:C&gt;=$J$4,'领用录入（明细）'!C:C&lt;=$L$4),ROW(),"-")</f>
        <v>-</v>
      </c>
    </row>
    <row r="14546" customHeight="1" spans="2:2">
      <c r="B14546" s="62" t="str">
        <f>IF(AND('领用录入（明细）'!D:D=$F$4,'领用录入（明细）'!C:C&gt;=$J$4,'领用录入（明细）'!C:C&lt;=$L$4),ROW(),"-")</f>
        <v>-</v>
      </c>
    </row>
    <row r="14547" customHeight="1" spans="2:2">
      <c r="B14547" s="62" t="str">
        <f>IF(AND('领用录入（明细）'!D:D=$F$4,'领用录入（明细）'!C:C&gt;=$J$4,'领用录入（明细）'!C:C&lt;=$L$4),ROW(),"-")</f>
        <v>-</v>
      </c>
    </row>
    <row r="14548" customHeight="1" spans="2:2">
      <c r="B14548" s="62" t="str">
        <f>IF(AND('领用录入（明细）'!D:D=$F$4,'领用录入（明细）'!C:C&gt;=$J$4,'领用录入（明细）'!C:C&lt;=$L$4),ROW(),"-")</f>
        <v>-</v>
      </c>
    </row>
    <row r="14549" customHeight="1" spans="2:2">
      <c r="B14549" s="62" t="str">
        <f>IF(AND('领用录入（明细）'!D:D=$F$4,'领用录入（明细）'!C:C&gt;=$J$4,'领用录入（明细）'!C:C&lt;=$L$4),ROW(),"-")</f>
        <v>-</v>
      </c>
    </row>
    <row r="14550" customHeight="1" spans="2:2">
      <c r="B14550" s="62" t="str">
        <f>IF(AND('领用录入（明细）'!D:D=$F$4,'领用录入（明细）'!C:C&gt;=$J$4,'领用录入（明细）'!C:C&lt;=$L$4),ROW(),"-")</f>
        <v>-</v>
      </c>
    </row>
    <row r="14551" customHeight="1" spans="2:2">
      <c r="B14551" s="62" t="str">
        <f>IF(AND('领用录入（明细）'!D:D=$F$4,'领用录入（明细）'!C:C&gt;=$J$4,'领用录入（明细）'!C:C&lt;=$L$4),ROW(),"-")</f>
        <v>-</v>
      </c>
    </row>
    <row r="14552" customHeight="1" spans="2:2">
      <c r="B14552" s="62" t="str">
        <f>IF(AND('领用录入（明细）'!D:D=$F$4,'领用录入（明细）'!C:C&gt;=$J$4,'领用录入（明细）'!C:C&lt;=$L$4),ROW(),"-")</f>
        <v>-</v>
      </c>
    </row>
    <row r="14553" customHeight="1" spans="2:2">
      <c r="B14553" s="62" t="str">
        <f>IF(AND('领用录入（明细）'!D:D=$F$4,'领用录入（明细）'!C:C&gt;=$J$4,'领用录入（明细）'!C:C&lt;=$L$4),ROW(),"-")</f>
        <v>-</v>
      </c>
    </row>
    <row r="14554" customHeight="1" spans="2:2">
      <c r="B14554" s="62" t="str">
        <f>IF(AND('领用录入（明细）'!D:D=$F$4,'领用录入（明细）'!C:C&gt;=$J$4,'领用录入（明细）'!C:C&lt;=$L$4),ROW(),"-")</f>
        <v>-</v>
      </c>
    </row>
    <row r="14555" customHeight="1" spans="2:2">
      <c r="B14555" s="62" t="str">
        <f>IF(AND('领用录入（明细）'!D:D=$F$4,'领用录入（明细）'!C:C&gt;=$J$4,'领用录入（明细）'!C:C&lt;=$L$4),ROW(),"-")</f>
        <v>-</v>
      </c>
    </row>
    <row r="14556" customHeight="1" spans="2:2">
      <c r="B14556" s="62" t="str">
        <f>IF(AND('领用录入（明细）'!D:D=$F$4,'领用录入（明细）'!C:C&gt;=$J$4,'领用录入（明细）'!C:C&lt;=$L$4),ROW(),"-")</f>
        <v>-</v>
      </c>
    </row>
    <row r="14557" customHeight="1" spans="2:2">
      <c r="B14557" s="62" t="str">
        <f>IF(AND('领用录入（明细）'!D:D=$F$4,'领用录入（明细）'!C:C&gt;=$J$4,'领用录入（明细）'!C:C&lt;=$L$4),ROW(),"-")</f>
        <v>-</v>
      </c>
    </row>
    <row r="14558" customHeight="1" spans="2:2">
      <c r="B14558" s="62" t="str">
        <f>IF(AND('领用录入（明细）'!D:D=$F$4,'领用录入（明细）'!C:C&gt;=$J$4,'领用录入（明细）'!C:C&lt;=$L$4),ROW(),"-")</f>
        <v>-</v>
      </c>
    </row>
    <row r="14559" customHeight="1" spans="2:2">
      <c r="B14559" s="62" t="str">
        <f>IF(AND('领用录入（明细）'!D:D=$F$4,'领用录入（明细）'!C:C&gt;=$J$4,'领用录入（明细）'!C:C&lt;=$L$4),ROW(),"-")</f>
        <v>-</v>
      </c>
    </row>
    <row r="14560" customHeight="1" spans="2:2">
      <c r="B14560" s="62" t="str">
        <f>IF(AND('领用录入（明细）'!D:D=$F$4,'领用录入（明细）'!C:C&gt;=$J$4,'领用录入（明细）'!C:C&lt;=$L$4),ROW(),"-")</f>
        <v>-</v>
      </c>
    </row>
    <row r="14561" customHeight="1" spans="2:2">
      <c r="B14561" s="62" t="str">
        <f>IF(AND('领用录入（明细）'!D:D=$F$4,'领用录入（明细）'!C:C&gt;=$J$4,'领用录入（明细）'!C:C&lt;=$L$4),ROW(),"-")</f>
        <v>-</v>
      </c>
    </row>
    <row r="14562" customHeight="1" spans="2:2">
      <c r="B14562" s="62" t="str">
        <f>IF(AND('领用录入（明细）'!D:D=$F$4,'领用录入（明细）'!C:C&gt;=$J$4,'领用录入（明细）'!C:C&lt;=$L$4),ROW(),"-")</f>
        <v>-</v>
      </c>
    </row>
    <row r="14563" customHeight="1" spans="2:2">
      <c r="B14563" s="62" t="str">
        <f>IF(AND('领用录入（明细）'!D:D=$F$4,'领用录入（明细）'!C:C&gt;=$J$4,'领用录入（明细）'!C:C&lt;=$L$4),ROW(),"-")</f>
        <v>-</v>
      </c>
    </row>
    <row r="14564" customHeight="1" spans="2:2">
      <c r="B14564" s="62" t="str">
        <f>IF(AND('领用录入（明细）'!D:D=$F$4,'领用录入（明细）'!C:C&gt;=$J$4,'领用录入（明细）'!C:C&lt;=$L$4),ROW(),"-")</f>
        <v>-</v>
      </c>
    </row>
    <row r="14565" customHeight="1" spans="2:2">
      <c r="B14565" s="62" t="str">
        <f>IF(AND('领用录入（明细）'!D:D=$F$4,'领用录入（明细）'!C:C&gt;=$J$4,'领用录入（明细）'!C:C&lt;=$L$4),ROW(),"-")</f>
        <v>-</v>
      </c>
    </row>
    <row r="14566" customHeight="1" spans="2:2">
      <c r="B14566" s="62" t="str">
        <f>IF(AND('领用录入（明细）'!D:D=$F$4,'领用录入（明细）'!C:C&gt;=$J$4,'领用录入（明细）'!C:C&lt;=$L$4),ROW(),"-")</f>
        <v>-</v>
      </c>
    </row>
    <row r="14567" customHeight="1" spans="2:2">
      <c r="B14567" s="62" t="str">
        <f>IF(AND('领用录入（明细）'!D:D=$F$4,'领用录入（明细）'!C:C&gt;=$J$4,'领用录入（明细）'!C:C&lt;=$L$4),ROW(),"-")</f>
        <v>-</v>
      </c>
    </row>
    <row r="14568" customHeight="1" spans="2:2">
      <c r="B14568" s="62" t="str">
        <f>IF(AND('领用录入（明细）'!D:D=$F$4,'领用录入（明细）'!C:C&gt;=$J$4,'领用录入（明细）'!C:C&lt;=$L$4),ROW(),"-")</f>
        <v>-</v>
      </c>
    </row>
    <row r="14569" customHeight="1" spans="2:2">
      <c r="B14569" s="62" t="str">
        <f>IF(AND('领用录入（明细）'!D:D=$F$4,'领用录入（明细）'!C:C&gt;=$J$4,'领用录入（明细）'!C:C&lt;=$L$4),ROW(),"-")</f>
        <v>-</v>
      </c>
    </row>
    <row r="14570" customHeight="1" spans="2:2">
      <c r="B14570" s="62" t="str">
        <f>IF(AND('领用录入（明细）'!D:D=$F$4,'领用录入（明细）'!C:C&gt;=$J$4,'领用录入（明细）'!C:C&lt;=$L$4),ROW(),"-")</f>
        <v>-</v>
      </c>
    </row>
    <row r="14571" customHeight="1" spans="2:2">
      <c r="B14571" s="62" t="str">
        <f>IF(AND('领用录入（明细）'!D:D=$F$4,'领用录入（明细）'!C:C&gt;=$J$4,'领用录入（明细）'!C:C&lt;=$L$4),ROW(),"-")</f>
        <v>-</v>
      </c>
    </row>
    <row r="14572" customHeight="1" spans="2:2">
      <c r="B14572" s="62" t="str">
        <f>IF(AND('领用录入（明细）'!D:D=$F$4,'领用录入（明细）'!C:C&gt;=$J$4,'领用录入（明细）'!C:C&lt;=$L$4),ROW(),"-")</f>
        <v>-</v>
      </c>
    </row>
    <row r="14573" customHeight="1" spans="2:2">
      <c r="B14573" s="62" t="str">
        <f>IF(AND('领用录入（明细）'!D:D=$F$4,'领用录入（明细）'!C:C&gt;=$J$4,'领用录入（明细）'!C:C&lt;=$L$4),ROW(),"-")</f>
        <v>-</v>
      </c>
    </row>
    <row r="14574" customHeight="1" spans="2:2">
      <c r="B14574" s="62" t="str">
        <f>IF(AND('领用录入（明细）'!D:D=$F$4,'领用录入（明细）'!C:C&gt;=$J$4,'领用录入（明细）'!C:C&lt;=$L$4),ROW(),"-")</f>
        <v>-</v>
      </c>
    </row>
    <row r="14575" customHeight="1" spans="2:2">
      <c r="B14575" s="62" t="str">
        <f>IF(AND('领用录入（明细）'!D:D=$F$4,'领用录入（明细）'!C:C&gt;=$J$4,'领用录入（明细）'!C:C&lt;=$L$4),ROW(),"-")</f>
        <v>-</v>
      </c>
    </row>
    <row r="14576" customHeight="1" spans="2:2">
      <c r="B14576" s="62" t="str">
        <f>IF(AND('领用录入（明细）'!D:D=$F$4,'领用录入（明细）'!C:C&gt;=$J$4,'领用录入（明细）'!C:C&lt;=$L$4),ROW(),"-")</f>
        <v>-</v>
      </c>
    </row>
    <row r="14577" customHeight="1" spans="2:2">
      <c r="B14577" s="62" t="str">
        <f>IF(AND('领用录入（明细）'!D:D=$F$4,'领用录入（明细）'!C:C&gt;=$J$4,'领用录入（明细）'!C:C&lt;=$L$4),ROW(),"-")</f>
        <v>-</v>
      </c>
    </row>
    <row r="14578" customHeight="1" spans="2:2">
      <c r="B14578" s="62" t="str">
        <f>IF(AND('领用录入（明细）'!D:D=$F$4,'领用录入（明细）'!C:C&gt;=$J$4,'领用录入（明细）'!C:C&lt;=$L$4),ROW(),"-")</f>
        <v>-</v>
      </c>
    </row>
    <row r="14579" customHeight="1" spans="2:2">
      <c r="B14579" s="62" t="str">
        <f>IF(AND('领用录入（明细）'!D:D=$F$4,'领用录入（明细）'!C:C&gt;=$J$4,'领用录入（明细）'!C:C&lt;=$L$4),ROW(),"-")</f>
        <v>-</v>
      </c>
    </row>
    <row r="14580" customHeight="1" spans="2:2">
      <c r="B14580" s="62" t="str">
        <f>IF(AND('领用录入（明细）'!D:D=$F$4,'领用录入（明细）'!C:C&gt;=$J$4,'领用录入（明细）'!C:C&lt;=$L$4),ROW(),"-")</f>
        <v>-</v>
      </c>
    </row>
    <row r="14581" customHeight="1" spans="2:2">
      <c r="B14581" s="62" t="str">
        <f>IF(AND('领用录入（明细）'!D:D=$F$4,'领用录入（明细）'!C:C&gt;=$J$4,'领用录入（明细）'!C:C&lt;=$L$4),ROW(),"-")</f>
        <v>-</v>
      </c>
    </row>
    <row r="14582" customHeight="1" spans="2:2">
      <c r="B14582" s="62" t="str">
        <f>IF(AND('领用录入（明细）'!D:D=$F$4,'领用录入（明细）'!C:C&gt;=$J$4,'领用录入（明细）'!C:C&lt;=$L$4),ROW(),"-")</f>
        <v>-</v>
      </c>
    </row>
    <row r="14583" customHeight="1" spans="2:2">
      <c r="B14583" s="62" t="str">
        <f>IF(AND('领用录入（明细）'!D:D=$F$4,'领用录入（明细）'!C:C&gt;=$J$4,'领用录入（明细）'!C:C&lt;=$L$4),ROW(),"-")</f>
        <v>-</v>
      </c>
    </row>
    <row r="14584" customHeight="1" spans="2:2">
      <c r="B14584" s="62" t="str">
        <f>IF(AND('领用录入（明细）'!D:D=$F$4,'领用录入（明细）'!C:C&gt;=$J$4,'领用录入（明细）'!C:C&lt;=$L$4),ROW(),"-")</f>
        <v>-</v>
      </c>
    </row>
    <row r="14585" customHeight="1" spans="2:2">
      <c r="B14585" s="62" t="str">
        <f>IF(AND('领用录入（明细）'!D:D=$F$4,'领用录入（明细）'!C:C&gt;=$J$4,'领用录入（明细）'!C:C&lt;=$L$4),ROW(),"-")</f>
        <v>-</v>
      </c>
    </row>
    <row r="14586" customHeight="1" spans="2:2">
      <c r="B14586" s="62" t="str">
        <f>IF(AND('领用录入（明细）'!D:D=$F$4,'领用录入（明细）'!C:C&gt;=$J$4,'领用录入（明细）'!C:C&lt;=$L$4),ROW(),"-")</f>
        <v>-</v>
      </c>
    </row>
    <row r="14587" customHeight="1" spans="2:2">
      <c r="B14587" s="62" t="str">
        <f>IF(AND('领用录入（明细）'!D:D=$F$4,'领用录入（明细）'!C:C&gt;=$J$4,'领用录入（明细）'!C:C&lt;=$L$4),ROW(),"-")</f>
        <v>-</v>
      </c>
    </row>
    <row r="14588" customHeight="1" spans="2:2">
      <c r="B14588" s="62" t="str">
        <f>IF(AND('领用录入（明细）'!D:D=$F$4,'领用录入（明细）'!C:C&gt;=$J$4,'领用录入（明细）'!C:C&lt;=$L$4),ROW(),"-")</f>
        <v>-</v>
      </c>
    </row>
    <row r="14589" customHeight="1" spans="2:2">
      <c r="B14589" s="62" t="str">
        <f>IF(AND('领用录入（明细）'!D:D=$F$4,'领用录入（明细）'!C:C&gt;=$J$4,'领用录入（明细）'!C:C&lt;=$L$4),ROW(),"-")</f>
        <v>-</v>
      </c>
    </row>
    <row r="14590" customHeight="1" spans="2:2">
      <c r="B14590" s="62" t="str">
        <f>IF(AND('领用录入（明细）'!D:D=$F$4,'领用录入（明细）'!C:C&gt;=$J$4,'领用录入（明细）'!C:C&lt;=$L$4),ROW(),"-")</f>
        <v>-</v>
      </c>
    </row>
    <row r="14591" customHeight="1" spans="2:2">
      <c r="B14591" s="62" t="str">
        <f>IF(AND('领用录入（明细）'!D:D=$F$4,'领用录入（明细）'!C:C&gt;=$J$4,'领用录入（明细）'!C:C&lt;=$L$4),ROW(),"-")</f>
        <v>-</v>
      </c>
    </row>
    <row r="14592" customHeight="1" spans="2:2">
      <c r="B14592" s="62" t="str">
        <f>IF(AND('领用录入（明细）'!D:D=$F$4,'领用录入（明细）'!C:C&gt;=$J$4,'领用录入（明细）'!C:C&lt;=$L$4),ROW(),"-")</f>
        <v>-</v>
      </c>
    </row>
    <row r="14593" customHeight="1" spans="2:2">
      <c r="B14593" s="62" t="str">
        <f>IF(AND('领用录入（明细）'!D:D=$F$4,'领用录入（明细）'!C:C&gt;=$J$4,'领用录入（明细）'!C:C&lt;=$L$4),ROW(),"-")</f>
        <v>-</v>
      </c>
    </row>
    <row r="14594" customHeight="1" spans="2:2">
      <c r="B14594" s="62" t="str">
        <f>IF(AND('领用录入（明细）'!D:D=$F$4,'领用录入（明细）'!C:C&gt;=$J$4,'领用录入（明细）'!C:C&lt;=$L$4),ROW(),"-")</f>
        <v>-</v>
      </c>
    </row>
    <row r="14595" customHeight="1" spans="2:2">
      <c r="B14595" s="62" t="str">
        <f>IF(AND('领用录入（明细）'!D:D=$F$4,'领用录入（明细）'!C:C&gt;=$J$4,'领用录入（明细）'!C:C&lt;=$L$4),ROW(),"-")</f>
        <v>-</v>
      </c>
    </row>
    <row r="14596" customHeight="1" spans="2:2">
      <c r="B14596" s="62" t="str">
        <f>IF(AND('领用录入（明细）'!D:D=$F$4,'领用录入（明细）'!C:C&gt;=$J$4,'领用录入（明细）'!C:C&lt;=$L$4),ROW(),"-")</f>
        <v>-</v>
      </c>
    </row>
    <row r="14597" customHeight="1" spans="2:2">
      <c r="B14597" s="62" t="str">
        <f>IF(AND('领用录入（明细）'!D:D=$F$4,'领用录入（明细）'!C:C&gt;=$J$4,'领用录入（明细）'!C:C&lt;=$L$4),ROW(),"-")</f>
        <v>-</v>
      </c>
    </row>
    <row r="14598" customHeight="1" spans="2:2">
      <c r="B14598" s="62" t="str">
        <f>IF(AND('领用录入（明细）'!D:D=$F$4,'领用录入（明细）'!C:C&gt;=$J$4,'领用录入（明细）'!C:C&lt;=$L$4),ROW(),"-")</f>
        <v>-</v>
      </c>
    </row>
    <row r="14599" customHeight="1" spans="2:2">
      <c r="B14599" s="62" t="str">
        <f>IF(AND('领用录入（明细）'!D:D=$F$4,'领用录入（明细）'!C:C&gt;=$J$4,'领用录入（明细）'!C:C&lt;=$L$4),ROW(),"-")</f>
        <v>-</v>
      </c>
    </row>
    <row r="14600" customHeight="1" spans="2:2">
      <c r="B14600" s="62" t="str">
        <f>IF(AND('领用录入（明细）'!D:D=$F$4,'领用录入（明细）'!C:C&gt;=$J$4,'领用录入（明细）'!C:C&lt;=$L$4),ROW(),"-")</f>
        <v>-</v>
      </c>
    </row>
    <row r="14601" customHeight="1" spans="2:2">
      <c r="B14601" s="62" t="str">
        <f>IF(AND('领用录入（明细）'!D:D=$F$4,'领用录入（明细）'!C:C&gt;=$J$4,'领用录入（明细）'!C:C&lt;=$L$4),ROW(),"-")</f>
        <v>-</v>
      </c>
    </row>
    <row r="14602" customHeight="1" spans="2:2">
      <c r="B14602" s="62" t="str">
        <f>IF(AND('领用录入（明细）'!D:D=$F$4,'领用录入（明细）'!C:C&gt;=$J$4,'领用录入（明细）'!C:C&lt;=$L$4),ROW(),"-")</f>
        <v>-</v>
      </c>
    </row>
    <row r="14603" customHeight="1" spans="2:2">
      <c r="B14603" s="62" t="str">
        <f>IF(AND('领用录入（明细）'!D:D=$F$4,'领用录入（明细）'!C:C&gt;=$J$4,'领用录入（明细）'!C:C&lt;=$L$4),ROW(),"-")</f>
        <v>-</v>
      </c>
    </row>
    <row r="14604" customHeight="1" spans="2:2">
      <c r="B14604" s="62" t="str">
        <f>IF(AND('领用录入（明细）'!D:D=$F$4,'领用录入（明细）'!C:C&gt;=$J$4,'领用录入（明细）'!C:C&lt;=$L$4),ROW(),"-")</f>
        <v>-</v>
      </c>
    </row>
    <row r="14605" customHeight="1" spans="2:2">
      <c r="B14605" s="62" t="str">
        <f>IF(AND('领用录入（明细）'!D:D=$F$4,'领用录入（明细）'!C:C&gt;=$J$4,'领用录入（明细）'!C:C&lt;=$L$4),ROW(),"-")</f>
        <v>-</v>
      </c>
    </row>
    <row r="14606" customHeight="1" spans="2:2">
      <c r="B14606" s="62" t="str">
        <f>IF(AND('领用录入（明细）'!D:D=$F$4,'领用录入（明细）'!C:C&gt;=$J$4,'领用录入（明细）'!C:C&lt;=$L$4),ROW(),"-")</f>
        <v>-</v>
      </c>
    </row>
    <row r="14607" customHeight="1" spans="2:2">
      <c r="B14607" s="62" t="str">
        <f>IF(AND('领用录入（明细）'!D:D=$F$4,'领用录入（明细）'!C:C&gt;=$J$4,'领用录入（明细）'!C:C&lt;=$L$4),ROW(),"-")</f>
        <v>-</v>
      </c>
    </row>
    <row r="14608" customHeight="1" spans="2:2">
      <c r="B14608" s="62" t="str">
        <f>IF(AND('领用录入（明细）'!D:D=$F$4,'领用录入（明细）'!C:C&gt;=$J$4,'领用录入（明细）'!C:C&lt;=$L$4),ROW(),"-")</f>
        <v>-</v>
      </c>
    </row>
    <row r="14609" customHeight="1" spans="2:2">
      <c r="B14609" s="62" t="str">
        <f>IF(AND('领用录入（明细）'!D:D=$F$4,'领用录入（明细）'!C:C&gt;=$J$4,'领用录入（明细）'!C:C&lt;=$L$4),ROW(),"-")</f>
        <v>-</v>
      </c>
    </row>
    <row r="14610" customHeight="1" spans="2:2">
      <c r="B14610" s="62" t="str">
        <f>IF(AND('领用录入（明细）'!D:D=$F$4,'领用录入（明细）'!C:C&gt;=$J$4,'领用录入（明细）'!C:C&lt;=$L$4),ROW(),"-")</f>
        <v>-</v>
      </c>
    </row>
    <row r="14611" customHeight="1" spans="2:2">
      <c r="B14611" s="62" t="str">
        <f>IF(AND('领用录入（明细）'!D:D=$F$4,'领用录入（明细）'!C:C&gt;=$J$4,'领用录入（明细）'!C:C&lt;=$L$4),ROW(),"-")</f>
        <v>-</v>
      </c>
    </row>
    <row r="14612" customHeight="1" spans="2:2">
      <c r="B14612" s="62" t="str">
        <f>IF(AND('领用录入（明细）'!D:D=$F$4,'领用录入（明细）'!C:C&gt;=$J$4,'领用录入（明细）'!C:C&lt;=$L$4),ROW(),"-")</f>
        <v>-</v>
      </c>
    </row>
    <row r="14613" customHeight="1" spans="2:2">
      <c r="B14613" s="62" t="str">
        <f>IF(AND('领用录入（明细）'!D:D=$F$4,'领用录入（明细）'!C:C&gt;=$J$4,'领用录入（明细）'!C:C&lt;=$L$4),ROW(),"-")</f>
        <v>-</v>
      </c>
    </row>
    <row r="14614" customHeight="1" spans="2:2">
      <c r="B14614" s="62" t="str">
        <f>IF(AND('领用录入（明细）'!D:D=$F$4,'领用录入（明细）'!C:C&gt;=$J$4,'领用录入（明细）'!C:C&lt;=$L$4),ROW(),"-")</f>
        <v>-</v>
      </c>
    </row>
    <row r="14615" customHeight="1" spans="2:2">
      <c r="B14615" s="62" t="str">
        <f>IF(AND('领用录入（明细）'!D:D=$F$4,'领用录入（明细）'!C:C&gt;=$J$4,'领用录入（明细）'!C:C&lt;=$L$4),ROW(),"-")</f>
        <v>-</v>
      </c>
    </row>
    <row r="14616" customHeight="1" spans="2:2">
      <c r="B14616" s="62" t="str">
        <f>IF(AND('领用录入（明细）'!D:D=$F$4,'领用录入（明细）'!C:C&gt;=$J$4,'领用录入（明细）'!C:C&lt;=$L$4),ROW(),"-")</f>
        <v>-</v>
      </c>
    </row>
    <row r="14617" customHeight="1" spans="2:2">
      <c r="B14617" s="62" t="str">
        <f>IF(AND('领用录入（明细）'!D:D=$F$4,'领用录入（明细）'!C:C&gt;=$J$4,'领用录入（明细）'!C:C&lt;=$L$4),ROW(),"-")</f>
        <v>-</v>
      </c>
    </row>
    <row r="14618" customHeight="1" spans="2:2">
      <c r="B14618" s="62" t="str">
        <f>IF(AND('领用录入（明细）'!D:D=$F$4,'领用录入（明细）'!C:C&gt;=$J$4,'领用录入（明细）'!C:C&lt;=$L$4),ROW(),"-")</f>
        <v>-</v>
      </c>
    </row>
    <row r="14619" customHeight="1" spans="2:2">
      <c r="B14619" s="62" t="str">
        <f>IF(AND('领用录入（明细）'!D:D=$F$4,'领用录入（明细）'!C:C&gt;=$J$4,'领用录入（明细）'!C:C&lt;=$L$4),ROW(),"-")</f>
        <v>-</v>
      </c>
    </row>
    <row r="14620" customHeight="1" spans="2:2">
      <c r="B14620" s="62" t="str">
        <f>IF(AND('领用录入（明细）'!D:D=$F$4,'领用录入（明细）'!C:C&gt;=$J$4,'领用录入（明细）'!C:C&lt;=$L$4),ROW(),"-")</f>
        <v>-</v>
      </c>
    </row>
    <row r="14621" customHeight="1" spans="2:2">
      <c r="B14621" s="62" t="str">
        <f>IF(AND('领用录入（明细）'!D:D=$F$4,'领用录入（明细）'!C:C&gt;=$J$4,'领用录入（明细）'!C:C&lt;=$L$4),ROW(),"-")</f>
        <v>-</v>
      </c>
    </row>
    <row r="14622" customHeight="1" spans="2:2">
      <c r="B14622" s="62" t="str">
        <f>IF(AND('领用录入（明细）'!D:D=$F$4,'领用录入（明细）'!C:C&gt;=$J$4,'领用录入（明细）'!C:C&lt;=$L$4),ROW(),"-")</f>
        <v>-</v>
      </c>
    </row>
    <row r="14623" customHeight="1" spans="2:2">
      <c r="B14623" s="62" t="str">
        <f>IF(AND('领用录入（明细）'!D:D=$F$4,'领用录入（明细）'!C:C&gt;=$J$4,'领用录入（明细）'!C:C&lt;=$L$4),ROW(),"-")</f>
        <v>-</v>
      </c>
    </row>
    <row r="14624" customHeight="1" spans="2:2">
      <c r="B14624" s="62" t="str">
        <f>IF(AND('领用录入（明细）'!D:D=$F$4,'领用录入（明细）'!C:C&gt;=$J$4,'领用录入（明细）'!C:C&lt;=$L$4),ROW(),"-")</f>
        <v>-</v>
      </c>
    </row>
    <row r="14625" customHeight="1" spans="2:2">
      <c r="B14625" s="62" t="str">
        <f>IF(AND('领用录入（明细）'!D:D=$F$4,'领用录入（明细）'!C:C&gt;=$J$4,'领用录入（明细）'!C:C&lt;=$L$4),ROW(),"-")</f>
        <v>-</v>
      </c>
    </row>
    <row r="14626" customHeight="1" spans="2:2">
      <c r="B14626" s="62" t="str">
        <f>IF(AND('领用录入（明细）'!D:D=$F$4,'领用录入（明细）'!C:C&gt;=$J$4,'领用录入（明细）'!C:C&lt;=$L$4),ROW(),"-")</f>
        <v>-</v>
      </c>
    </row>
    <row r="14627" customHeight="1" spans="2:2">
      <c r="B14627" s="62" t="str">
        <f>IF(AND('领用录入（明细）'!D:D=$F$4,'领用录入（明细）'!C:C&gt;=$J$4,'领用录入（明细）'!C:C&lt;=$L$4),ROW(),"-")</f>
        <v>-</v>
      </c>
    </row>
    <row r="14628" customHeight="1" spans="2:2">
      <c r="B14628" s="62" t="str">
        <f>IF(AND('领用录入（明细）'!D:D=$F$4,'领用录入（明细）'!C:C&gt;=$J$4,'领用录入（明细）'!C:C&lt;=$L$4),ROW(),"-")</f>
        <v>-</v>
      </c>
    </row>
    <row r="14629" customHeight="1" spans="2:2">
      <c r="B14629" s="62" t="str">
        <f>IF(AND('领用录入（明细）'!D:D=$F$4,'领用录入（明细）'!C:C&gt;=$J$4,'领用录入（明细）'!C:C&lt;=$L$4),ROW(),"-")</f>
        <v>-</v>
      </c>
    </row>
    <row r="14630" customHeight="1" spans="2:2">
      <c r="B14630" s="62" t="str">
        <f>IF(AND('领用录入（明细）'!D:D=$F$4,'领用录入（明细）'!C:C&gt;=$J$4,'领用录入（明细）'!C:C&lt;=$L$4),ROW(),"-")</f>
        <v>-</v>
      </c>
    </row>
    <row r="14631" customHeight="1" spans="2:2">
      <c r="B14631" s="62" t="str">
        <f>IF(AND('领用录入（明细）'!D:D=$F$4,'领用录入（明细）'!C:C&gt;=$J$4,'领用录入（明细）'!C:C&lt;=$L$4),ROW(),"-")</f>
        <v>-</v>
      </c>
    </row>
    <row r="14632" customHeight="1" spans="2:2">
      <c r="B14632" s="62" t="str">
        <f>IF(AND('领用录入（明细）'!D:D=$F$4,'领用录入（明细）'!C:C&gt;=$J$4,'领用录入（明细）'!C:C&lt;=$L$4),ROW(),"-")</f>
        <v>-</v>
      </c>
    </row>
    <row r="14633" customHeight="1" spans="2:2">
      <c r="B14633" s="62" t="str">
        <f>IF(AND('领用录入（明细）'!D:D=$F$4,'领用录入（明细）'!C:C&gt;=$J$4,'领用录入（明细）'!C:C&lt;=$L$4),ROW(),"-")</f>
        <v>-</v>
      </c>
    </row>
    <row r="14634" customHeight="1" spans="2:2">
      <c r="B14634" s="62" t="str">
        <f>IF(AND('领用录入（明细）'!D:D=$F$4,'领用录入（明细）'!C:C&gt;=$J$4,'领用录入（明细）'!C:C&lt;=$L$4),ROW(),"-")</f>
        <v>-</v>
      </c>
    </row>
    <row r="14635" customHeight="1" spans="2:2">
      <c r="B14635" s="62" t="str">
        <f>IF(AND('领用录入（明细）'!D:D=$F$4,'领用录入（明细）'!C:C&gt;=$J$4,'领用录入（明细）'!C:C&lt;=$L$4),ROW(),"-")</f>
        <v>-</v>
      </c>
    </row>
    <row r="14636" customHeight="1" spans="2:2">
      <c r="B14636" s="62" t="str">
        <f>IF(AND('领用录入（明细）'!D:D=$F$4,'领用录入（明细）'!C:C&gt;=$J$4,'领用录入（明细）'!C:C&lt;=$L$4),ROW(),"-")</f>
        <v>-</v>
      </c>
    </row>
    <row r="14637" customHeight="1" spans="2:2">
      <c r="B14637" s="62" t="str">
        <f>IF(AND('领用录入（明细）'!D:D=$F$4,'领用录入（明细）'!C:C&gt;=$J$4,'领用录入（明细）'!C:C&lt;=$L$4),ROW(),"-")</f>
        <v>-</v>
      </c>
    </row>
    <row r="14638" customHeight="1" spans="2:2">
      <c r="B14638" s="62" t="str">
        <f>IF(AND('领用录入（明细）'!D:D=$F$4,'领用录入（明细）'!C:C&gt;=$J$4,'领用录入（明细）'!C:C&lt;=$L$4),ROW(),"-")</f>
        <v>-</v>
      </c>
    </row>
    <row r="14639" customHeight="1" spans="2:2">
      <c r="B14639" s="62" t="str">
        <f>IF(AND('领用录入（明细）'!D:D=$F$4,'领用录入（明细）'!C:C&gt;=$J$4,'领用录入（明细）'!C:C&lt;=$L$4),ROW(),"-")</f>
        <v>-</v>
      </c>
    </row>
    <row r="14640" customHeight="1" spans="2:2">
      <c r="B14640" s="62" t="str">
        <f>IF(AND('领用录入（明细）'!D:D=$F$4,'领用录入（明细）'!C:C&gt;=$J$4,'领用录入（明细）'!C:C&lt;=$L$4),ROW(),"-")</f>
        <v>-</v>
      </c>
    </row>
    <row r="14641" customHeight="1" spans="2:2">
      <c r="B14641" s="62" t="str">
        <f>IF(AND('领用录入（明细）'!D:D=$F$4,'领用录入（明细）'!C:C&gt;=$J$4,'领用录入（明细）'!C:C&lt;=$L$4),ROW(),"-")</f>
        <v>-</v>
      </c>
    </row>
    <row r="14642" customHeight="1" spans="2:2">
      <c r="B14642" s="62" t="str">
        <f>IF(AND('领用录入（明细）'!D:D=$F$4,'领用录入（明细）'!C:C&gt;=$J$4,'领用录入（明细）'!C:C&lt;=$L$4),ROW(),"-")</f>
        <v>-</v>
      </c>
    </row>
    <row r="14643" customHeight="1" spans="2:2">
      <c r="B14643" s="62" t="str">
        <f>IF(AND('领用录入（明细）'!D:D=$F$4,'领用录入（明细）'!C:C&gt;=$J$4,'领用录入（明细）'!C:C&lt;=$L$4),ROW(),"-")</f>
        <v>-</v>
      </c>
    </row>
    <row r="14644" customHeight="1" spans="2:2">
      <c r="B14644" s="62" t="str">
        <f>IF(AND('领用录入（明细）'!D:D=$F$4,'领用录入（明细）'!C:C&gt;=$J$4,'领用录入（明细）'!C:C&lt;=$L$4),ROW(),"-")</f>
        <v>-</v>
      </c>
    </row>
    <row r="14645" customHeight="1" spans="2:2">
      <c r="B14645" s="62" t="str">
        <f>IF(AND('领用录入（明细）'!D:D=$F$4,'领用录入（明细）'!C:C&gt;=$J$4,'领用录入（明细）'!C:C&lt;=$L$4),ROW(),"-")</f>
        <v>-</v>
      </c>
    </row>
    <row r="14646" customHeight="1" spans="2:2">
      <c r="B14646" s="62" t="str">
        <f>IF(AND('领用录入（明细）'!D:D=$F$4,'领用录入（明细）'!C:C&gt;=$J$4,'领用录入（明细）'!C:C&lt;=$L$4),ROW(),"-")</f>
        <v>-</v>
      </c>
    </row>
    <row r="14647" customHeight="1" spans="2:2">
      <c r="B14647" s="62" t="str">
        <f>IF(AND('领用录入（明细）'!D:D=$F$4,'领用录入（明细）'!C:C&gt;=$J$4,'领用录入（明细）'!C:C&lt;=$L$4),ROW(),"-")</f>
        <v>-</v>
      </c>
    </row>
    <row r="14648" customHeight="1" spans="2:2">
      <c r="B14648" s="62" t="str">
        <f>IF(AND('领用录入（明细）'!D:D=$F$4,'领用录入（明细）'!C:C&gt;=$J$4,'领用录入（明细）'!C:C&lt;=$L$4),ROW(),"-")</f>
        <v>-</v>
      </c>
    </row>
    <row r="14649" customHeight="1" spans="2:2">
      <c r="B14649" s="62" t="str">
        <f>IF(AND('领用录入（明细）'!D:D=$F$4,'领用录入（明细）'!C:C&gt;=$J$4,'领用录入（明细）'!C:C&lt;=$L$4),ROW(),"-")</f>
        <v>-</v>
      </c>
    </row>
    <row r="14650" customHeight="1" spans="2:2">
      <c r="B14650" s="62" t="str">
        <f>IF(AND('领用录入（明细）'!D:D=$F$4,'领用录入（明细）'!C:C&gt;=$J$4,'领用录入（明细）'!C:C&lt;=$L$4),ROW(),"-")</f>
        <v>-</v>
      </c>
    </row>
    <row r="14651" customHeight="1" spans="2:2">
      <c r="B14651" s="62" t="str">
        <f>IF(AND('领用录入（明细）'!D:D=$F$4,'领用录入（明细）'!C:C&gt;=$J$4,'领用录入（明细）'!C:C&lt;=$L$4),ROW(),"-")</f>
        <v>-</v>
      </c>
    </row>
    <row r="14652" customHeight="1" spans="2:2">
      <c r="B14652" s="62" t="str">
        <f>IF(AND('领用录入（明细）'!D:D=$F$4,'领用录入（明细）'!C:C&gt;=$J$4,'领用录入（明细）'!C:C&lt;=$L$4),ROW(),"-")</f>
        <v>-</v>
      </c>
    </row>
    <row r="14653" customHeight="1" spans="2:2">
      <c r="B14653" s="62" t="str">
        <f>IF(AND('领用录入（明细）'!D:D=$F$4,'领用录入（明细）'!C:C&gt;=$J$4,'领用录入（明细）'!C:C&lt;=$L$4),ROW(),"-")</f>
        <v>-</v>
      </c>
    </row>
    <row r="14654" customHeight="1" spans="2:2">
      <c r="B14654" s="62" t="str">
        <f>IF(AND('领用录入（明细）'!D:D=$F$4,'领用录入（明细）'!C:C&gt;=$J$4,'领用录入（明细）'!C:C&lt;=$L$4),ROW(),"-")</f>
        <v>-</v>
      </c>
    </row>
    <row r="14655" customHeight="1" spans="2:2">
      <c r="B14655" s="62" t="str">
        <f>IF(AND('领用录入（明细）'!D:D=$F$4,'领用录入（明细）'!C:C&gt;=$J$4,'领用录入（明细）'!C:C&lt;=$L$4),ROW(),"-")</f>
        <v>-</v>
      </c>
    </row>
    <row r="14656" customHeight="1" spans="2:2">
      <c r="B14656" s="62" t="str">
        <f>IF(AND('领用录入（明细）'!D:D=$F$4,'领用录入（明细）'!C:C&gt;=$J$4,'领用录入（明细）'!C:C&lt;=$L$4),ROW(),"-")</f>
        <v>-</v>
      </c>
    </row>
    <row r="14657" customHeight="1" spans="2:2">
      <c r="B14657" s="62" t="str">
        <f>IF(AND('领用录入（明细）'!D:D=$F$4,'领用录入（明细）'!C:C&gt;=$J$4,'领用录入（明细）'!C:C&lt;=$L$4),ROW(),"-")</f>
        <v>-</v>
      </c>
    </row>
    <row r="14658" customHeight="1" spans="2:2">
      <c r="B14658" s="62" t="str">
        <f>IF(AND('领用录入（明细）'!D:D=$F$4,'领用录入（明细）'!C:C&gt;=$J$4,'领用录入（明细）'!C:C&lt;=$L$4),ROW(),"-")</f>
        <v>-</v>
      </c>
    </row>
    <row r="14659" customHeight="1" spans="2:2">
      <c r="B14659" s="62" t="str">
        <f>IF(AND('领用录入（明细）'!D:D=$F$4,'领用录入（明细）'!C:C&gt;=$J$4,'领用录入（明细）'!C:C&lt;=$L$4),ROW(),"-")</f>
        <v>-</v>
      </c>
    </row>
    <row r="14660" customHeight="1" spans="2:2">
      <c r="B14660" s="62" t="str">
        <f>IF(AND('领用录入（明细）'!D:D=$F$4,'领用录入（明细）'!C:C&gt;=$J$4,'领用录入（明细）'!C:C&lt;=$L$4),ROW(),"-")</f>
        <v>-</v>
      </c>
    </row>
    <row r="14661" customHeight="1" spans="2:2">
      <c r="B14661" s="62" t="str">
        <f>IF(AND('领用录入（明细）'!D:D=$F$4,'领用录入（明细）'!C:C&gt;=$J$4,'领用录入（明细）'!C:C&lt;=$L$4),ROW(),"-")</f>
        <v>-</v>
      </c>
    </row>
    <row r="14662" customHeight="1" spans="2:2">
      <c r="B14662" s="62" t="str">
        <f>IF(AND('领用录入（明细）'!D:D=$F$4,'领用录入（明细）'!C:C&gt;=$J$4,'领用录入（明细）'!C:C&lt;=$L$4),ROW(),"-")</f>
        <v>-</v>
      </c>
    </row>
    <row r="14663" customHeight="1" spans="2:2">
      <c r="B14663" s="62" t="str">
        <f>IF(AND('领用录入（明细）'!D:D=$F$4,'领用录入（明细）'!C:C&gt;=$J$4,'领用录入（明细）'!C:C&lt;=$L$4),ROW(),"-")</f>
        <v>-</v>
      </c>
    </row>
    <row r="14664" customHeight="1" spans="2:2">
      <c r="B14664" s="62" t="str">
        <f>IF(AND('领用录入（明细）'!D:D=$F$4,'领用录入（明细）'!C:C&gt;=$J$4,'领用录入（明细）'!C:C&lt;=$L$4),ROW(),"-")</f>
        <v>-</v>
      </c>
    </row>
    <row r="14665" customHeight="1" spans="2:2">
      <c r="B14665" s="62" t="str">
        <f>IF(AND('领用录入（明细）'!D:D=$F$4,'领用录入（明细）'!C:C&gt;=$J$4,'领用录入（明细）'!C:C&lt;=$L$4),ROW(),"-")</f>
        <v>-</v>
      </c>
    </row>
    <row r="14666" customHeight="1" spans="2:2">
      <c r="B14666" s="62" t="str">
        <f>IF(AND('领用录入（明细）'!D:D=$F$4,'领用录入（明细）'!C:C&gt;=$J$4,'领用录入（明细）'!C:C&lt;=$L$4),ROW(),"-")</f>
        <v>-</v>
      </c>
    </row>
    <row r="14667" customHeight="1" spans="2:2">
      <c r="B14667" s="62" t="str">
        <f>IF(AND('领用录入（明细）'!D:D=$F$4,'领用录入（明细）'!C:C&gt;=$J$4,'领用录入（明细）'!C:C&lt;=$L$4),ROW(),"-")</f>
        <v>-</v>
      </c>
    </row>
    <row r="14668" customHeight="1" spans="2:2">
      <c r="B14668" s="62" t="str">
        <f>IF(AND('领用录入（明细）'!D:D=$F$4,'领用录入（明细）'!C:C&gt;=$J$4,'领用录入（明细）'!C:C&lt;=$L$4),ROW(),"-")</f>
        <v>-</v>
      </c>
    </row>
    <row r="14669" customHeight="1" spans="2:2">
      <c r="B14669" s="62" t="str">
        <f>IF(AND('领用录入（明细）'!D:D=$F$4,'领用录入（明细）'!C:C&gt;=$J$4,'领用录入（明细）'!C:C&lt;=$L$4),ROW(),"-")</f>
        <v>-</v>
      </c>
    </row>
    <row r="14670" customHeight="1" spans="2:2">
      <c r="B14670" s="62" t="str">
        <f>IF(AND('领用录入（明细）'!D:D=$F$4,'领用录入（明细）'!C:C&gt;=$J$4,'领用录入（明细）'!C:C&lt;=$L$4),ROW(),"-")</f>
        <v>-</v>
      </c>
    </row>
    <row r="14671" customHeight="1" spans="2:2">
      <c r="B14671" s="62" t="str">
        <f>IF(AND('领用录入（明细）'!D:D=$F$4,'领用录入（明细）'!C:C&gt;=$J$4,'领用录入（明细）'!C:C&lt;=$L$4),ROW(),"-")</f>
        <v>-</v>
      </c>
    </row>
    <row r="14672" customHeight="1" spans="2:2">
      <c r="B14672" s="62" t="str">
        <f>IF(AND('领用录入（明细）'!D:D=$F$4,'领用录入（明细）'!C:C&gt;=$J$4,'领用录入（明细）'!C:C&lt;=$L$4),ROW(),"-")</f>
        <v>-</v>
      </c>
    </row>
    <row r="14673" customHeight="1" spans="2:2">
      <c r="B14673" s="62" t="str">
        <f>IF(AND('领用录入（明细）'!D:D=$F$4,'领用录入（明细）'!C:C&gt;=$J$4,'领用录入（明细）'!C:C&lt;=$L$4),ROW(),"-")</f>
        <v>-</v>
      </c>
    </row>
    <row r="14674" customHeight="1" spans="2:2">
      <c r="B14674" s="62" t="str">
        <f>IF(AND('领用录入（明细）'!D:D=$F$4,'领用录入（明细）'!C:C&gt;=$J$4,'领用录入（明细）'!C:C&lt;=$L$4),ROW(),"-")</f>
        <v>-</v>
      </c>
    </row>
    <row r="14675" customHeight="1" spans="2:2">
      <c r="B14675" s="62" t="str">
        <f>IF(AND('领用录入（明细）'!D:D=$F$4,'领用录入（明细）'!C:C&gt;=$J$4,'领用录入（明细）'!C:C&lt;=$L$4),ROW(),"-")</f>
        <v>-</v>
      </c>
    </row>
    <row r="14676" customHeight="1" spans="2:2">
      <c r="B14676" s="62" t="str">
        <f>IF(AND('领用录入（明细）'!D:D=$F$4,'领用录入（明细）'!C:C&gt;=$J$4,'领用录入（明细）'!C:C&lt;=$L$4),ROW(),"-")</f>
        <v>-</v>
      </c>
    </row>
    <row r="14677" customHeight="1" spans="2:2">
      <c r="B14677" s="62" t="str">
        <f>IF(AND('领用录入（明细）'!D:D=$F$4,'领用录入（明细）'!C:C&gt;=$J$4,'领用录入（明细）'!C:C&lt;=$L$4),ROW(),"-")</f>
        <v>-</v>
      </c>
    </row>
    <row r="14678" customHeight="1" spans="2:2">
      <c r="B14678" s="62" t="str">
        <f>IF(AND('领用录入（明细）'!D:D=$F$4,'领用录入（明细）'!C:C&gt;=$J$4,'领用录入（明细）'!C:C&lt;=$L$4),ROW(),"-")</f>
        <v>-</v>
      </c>
    </row>
    <row r="14679" customHeight="1" spans="2:2">
      <c r="B14679" s="62" t="str">
        <f>IF(AND('领用录入（明细）'!D:D=$F$4,'领用录入（明细）'!C:C&gt;=$J$4,'领用录入（明细）'!C:C&lt;=$L$4),ROW(),"-")</f>
        <v>-</v>
      </c>
    </row>
    <row r="14680" customHeight="1" spans="2:2">
      <c r="B14680" s="62" t="str">
        <f>IF(AND('领用录入（明细）'!D:D=$F$4,'领用录入（明细）'!C:C&gt;=$J$4,'领用录入（明细）'!C:C&lt;=$L$4),ROW(),"-")</f>
        <v>-</v>
      </c>
    </row>
    <row r="14681" customHeight="1" spans="2:2">
      <c r="B14681" s="62" t="str">
        <f>IF(AND('领用录入（明细）'!D:D=$F$4,'领用录入（明细）'!C:C&gt;=$J$4,'领用录入（明细）'!C:C&lt;=$L$4),ROW(),"-")</f>
        <v>-</v>
      </c>
    </row>
    <row r="14682" customHeight="1" spans="2:2">
      <c r="B14682" s="62" t="str">
        <f>IF(AND('领用录入（明细）'!D:D=$F$4,'领用录入（明细）'!C:C&gt;=$J$4,'领用录入（明细）'!C:C&lt;=$L$4),ROW(),"-")</f>
        <v>-</v>
      </c>
    </row>
    <row r="14683" customHeight="1" spans="2:2">
      <c r="B14683" s="62" t="str">
        <f>IF(AND('领用录入（明细）'!D:D=$F$4,'领用录入（明细）'!C:C&gt;=$J$4,'领用录入（明细）'!C:C&lt;=$L$4),ROW(),"-")</f>
        <v>-</v>
      </c>
    </row>
    <row r="14684" customHeight="1" spans="2:2">
      <c r="B14684" s="62" t="str">
        <f>IF(AND('领用录入（明细）'!D:D=$F$4,'领用录入（明细）'!C:C&gt;=$J$4,'领用录入（明细）'!C:C&lt;=$L$4),ROW(),"-")</f>
        <v>-</v>
      </c>
    </row>
    <row r="14685" customHeight="1" spans="2:2">
      <c r="B14685" s="62" t="str">
        <f>IF(AND('领用录入（明细）'!D:D=$F$4,'领用录入（明细）'!C:C&gt;=$J$4,'领用录入（明细）'!C:C&lt;=$L$4),ROW(),"-")</f>
        <v>-</v>
      </c>
    </row>
    <row r="14686" customHeight="1" spans="2:2">
      <c r="B14686" s="62" t="str">
        <f>IF(AND('领用录入（明细）'!D:D=$F$4,'领用录入（明细）'!C:C&gt;=$J$4,'领用录入（明细）'!C:C&lt;=$L$4),ROW(),"-")</f>
        <v>-</v>
      </c>
    </row>
    <row r="14687" customHeight="1" spans="2:2">
      <c r="B14687" s="62" t="str">
        <f>IF(AND('领用录入（明细）'!D:D=$F$4,'领用录入（明细）'!C:C&gt;=$J$4,'领用录入（明细）'!C:C&lt;=$L$4),ROW(),"-")</f>
        <v>-</v>
      </c>
    </row>
    <row r="14688" customHeight="1" spans="2:2">
      <c r="B14688" s="62" t="str">
        <f>IF(AND('领用录入（明细）'!D:D=$F$4,'领用录入（明细）'!C:C&gt;=$J$4,'领用录入（明细）'!C:C&lt;=$L$4),ROW(),"-")</f>
        <v>-</v>
      </c>
    </row>
    <row r="14689" customHeight="1" spans="2:2">
      <c r="B14689" s="62" t="str">
        <f>IF(AND('领用录入（明细）'!D:D=$F$4,'领用录入（明细）'!C:C&gt;=$J$4,'领用录入（明细）'!C:C&lt;=$L$4),ROW(),"-")</f>
        <v>-</v>
      </c>
    </row>
    <row r="14690" customHeight="1" spans="2:2">
      <c r="B14690" s="62" t="str">
        <f>IF(AND('领用录入（明细）'!D:D=$F$4,'领用录入（明细）'!C:C&gt;=$J$4,'领用录入（明细）'!C:C&lt;=$L$4),ROW(),"-")</f>
        <v>-</v>
      </c>
    </row>
    <row r="14691" customHeight="1" spans="2:2">
      <c r="B14691" s="62" t="str">
        <f>IF(AND('领用录入（明细）'!D:D=$F$4,'领用录入（明细）'!C:C&gt;=$J$4,'领用录入（明细）'!C:C&lt;=$L$4),ROW(),"-")</f>
        <v>-</v>
      </c>
    </row>
    <row r="14692" customHeight="1" spans="2:2">
      <c r="B14692" s="62" t="str">
        <f>IF(AND('领用录入（明细）'!D:D=$F$4,'领用录入（明细）'!C:C&gt;=$J$4,'领用录入（明细）'!C:C&lt;=$L$4),ROW(),"-")</f>
        <v>-</v>
      </c>
    </row>
    <row r="14693" customHeight="1" spans="2:2">
      <c r="B14693" s="62" t="str">
        <f>IF(AND('领用录入（明细）'!D:D=$F$4,'领用录入（明细）'!C:C&gt;=$J$4,'领用录入（明细）'!C:C&lt;=$L$4),ROW(),"-")</f>
        <v>-</v>
      </c>
    </row>
    <row r="14694" customHeight="1" spans="2:2">
      <c r="B14694" s="62" t="str">
        <f>IF(AND('领用录入（明细）'!D:D=$F$4,'领用录入（明细）'!C:C&gt;=$J$4,'领用录入（明细）'!C:C&lt;=$L$4),ROW(),"-")</f>
        <v>-</v>
      </c>
    </row>
    <row r="14695" customHeight="1" spans="2:2">
      <c r="B14695" s="62" t="str">
        <f>IF(AND('领用录入（明细）'!D:D=$F$4,'领用录入（明细）'!C:C&gt;=$J$4,'领用录入（明细）'!C:C&lt;=$L$4),ROW(),"-")</f>
        <v>-</v>
      </c>
    </row>
    <row r="14696" customHeight="1" spans="2:2">
      <c r="B14696" s="62" t="str">
        <f>IF(AND('领用录入（明细）'!D:D=$F$4,'领用录入（明细）'!C:C&gt;=$J$4,'领用录入（明细）'!C:C&lt;=$L$4),ROW(),"-")</f>
        <v>-</v>
      </c>
    </row>
    <row r="14697" customHeight="1" spans="2:2">
      <c r="B14697" s="62" t="str">
        <f>IF(AND('领用录入（明细）'!D:D=$F$4,'领用录入（明细）'!C:C&gt;=$J$4,'领用录入（明细）'!C:C&lt;=$L$4),ROW(),"-")</f>
        <v>-</v>
      </c>
    </row>
    <row r="14698" customHeight="1" spans="2:2">
      <c r="B14698" s="62" t="str">
        <f>IF(AND('领用录入（明细）'!D:D=$F$4,'领用录入（明细）'!C:C&gt;=$J$4,'领用录入（明细）'!C:C&lt;=$L$4),ROW(),"-")</f>
        <v>-</v>
      </c>
    </row>
    <row r="14699" customHeight="1" spans="2:2">
      <c r="B14699" s="62" t="str">
        <f>IF(AND('领用录入（明细）'!D:D=$F$4,'领用录入（明细）'!C:C&gt;=$J$4,'领用录入（明细）'!C:C&lt;=$L$4),ROW(),"-")</f>
        <v>-</v>
      </c>
    </row>
    <row r="14700" customHeight="1" spans="2:2">
      <c r="B14700" s="62" t="str">
        <f>IF(AND('领用录入（明细）'!D:D=$F$4,'领用录入（明细）'!C:C&gt;=$J$4,'领用录入（明细）'!C:C&lt;=$L$4),ROW(),"-")</f>
        <v>-</v>
      </c>
    </row>
    <row r="14701" customHeight="1" spans="2:2">
      <c r="B14701" s="62" t="str">
        <f>IF(AND('领用录入（明细）'!D:D=$F$4,'领用录入（明细）'!C:C&gt;=$J$4,'领用录入（明细）'!C:C&lt;=$L$4),ROW(),"-")</f>
        <v>-</v>
      </c>
    </row>
    <row r="14702" customHeight="1" spans="2:2">
      <c r="B14702" s="62" t="str">
        <f>IF(AND('领用录入（明细）'!D:D=$F$4,'领用录入（明细）'!C:C&gt;=$J$4,'领用录入（明细）'!C:C&lt;=$L$4),ROW(),"-")</f>
        <v>-</v>
      </c>
    </row>
    <row r="14703" customHeight="1" spans="2:2">
      <c r="B14703" s="62" t="str">
        <f>IF(AND('领用录入（明细）'!D:D=$F$4,'领用录入（明细）'!C:C&gt;=$J$4,'领用录入（明细）'!C:C&lt;=$L$4),ROW(),"-")</f>
        <v>-</v>
      </c>
    </row>
    <row r="14704" customHeight="1" spans="2:2">
      <c r="B14704" s="62" t="str">
        <f>IF(AND('领用录入（明细）'!D:D=$F$4,'领用录入（明细）'!C:C&gt;=$J$4,'领用录入（明细）'!C:C&lt;=$L$4),ROW(),"-")</f>
        <v>-</v>
      </c>
    </row>
    <row r="14705" customHeight="1" spans="2:2">
      <c r="B14705" s="62" t="str">
        <f>IF(AND('领用录入（明细）'!D:D=$F$4,'领用录入（明细）'!C:C&gt;=$J$4,'领用录入（明细）'!C:C&lt;=$L$4),ROW(),"-")</f>
        <v>-</v>
      </c>
    </row>
    <row r="14706" customHeight="1" spans="2:2">
      <c r="B14706" s="62" t="str">
        <f>IF(AND('领用录入（明细）'!D:D=$F$4,'领用录入（明细）'!C:C&gt;=$J$4,'领用录入（明细）'!C:C&lt;=$L$4),ROW(),"-")</f>
        <v>-</v>
      </c>
    </row>
    <row r="14707" customHeight="1" spans="2:2">
      <c r="B14707" s="62" t="str">
        <f>IF(AND('领用录入（明细）'!D:D=$F$4,'领用录入（明细）'!C:C&gt;=$J$4,'领用录入（明细）'!C:C&lt;=$L$4),ROW(),"-")</f>
        <v>-</v>
      </c>
    </row>
    <row r="14708" customHeight="1" spans="2:2">
      <c r="B14708" s="62" t="str">
        <f>IF(AND('领用录入（明细）'!D:D=$F$4,'领用录入（明细）'!C:C&gt;=$J$4,'领用录入（明细）'!C:C&lt;=$L$4),ROW(),"-")</f>
        <v>-</v>
      </c>
    </row>
    <row r="14709" customHeight="1" spans="2:2">
      <c r="B14709" s="62" t="str">
        <f>IF(AND('领用录入（明细）'!D:D=$F$4,'领用录入（明细）'!C:C&gt;=$J$4,'领用录入（明细）'!C:C&lt;=$L$4),ROW(),"-")</f>
        <v>-</v>
      </c>
    </row>
    <row r="14710" customHeight="1" spans="2:2">
      <c r="B14710" s="62" t="str">
        <f>IF(AND('领用录入（明细）'!D:D=$F$4,'领用录入（明细）'!C:C&gt;=$J$4,'领用录入（明细）'!C:C&lt;=$L$4),ROW(),"-")</f>
        <v>-</v>
      </c>
    </row>
    <row r="14711" customHeight="1" spans="2:2">
      <c r="B14711" s="62" t="str">
        <f>IF(AND('领用录入（明细）'!D:D=$F$4,'领用录入（明细）'!C:C&gt;=$J$4,'领用录入（明细）'!C:C&lt;=$L$4),ROW(),"-")</f>
        <v>-</v>
      </c>
    </row>
    <row r="14712" customHeight="1" spans="2:2">
      <c r="B14712" s="62" t="str">
        <f>IF(AND('领用录入（明细）'!D:D=$F$4,'领用录入（明细）'!C:C&gt;=$J$4,'领用录入（明细）'!C:C&lt;=$L$4),ROW(),"-")</f>
        <v>-</v>
      </c>
    </row>
    <row r="14713" customHeight="1" spans="2:2">
      <c r="B14713" s="62" t="str">
        <f>IF(AND('领用录入（明细）'!D:D=$F$4,'领用录入（明细）'!C:C&gt;=$J$4,'领用录入（明细）'!C:C&lt;=$L$4),ROW(),"-")</f>
        <v>-</v>
      </c>
    </row>
    <row r="14714" customHeight="1" spans="2:2">
      <c r="B14714" s="62" t="str">
        <f>IF(AND('领用录入（明细）'!D:D=$F$4,'领用录入（明细）'!C:C&gt;=$J$4,'领用录入（明细）'!C:C&lt;=$L$4),ROW(),"-")</f>
        <v>-</v>
      </c>
    </row>
    <row r="14715" customHeight="1" spans="2:2">
      <c r="B14715" s="62" t="str">
        <f>IF(AND('领用录入（明细）'!D:D=$F$4,'领用录入（明细）'!C:C&gt;=$J$4,'领用录入（明细）'!C:C&lt;=$L$4),ROW(),"-")</f>
        <v>-</v>
      </c>
    </row>
    <row r="14716" customHeight="1" spans="2:2">
      <c r="B14716" s="62" t="str">
        <f>IF(AND('领用录入（明细）'!D:D=$F$4,'领用录入（明细）'!C:C&gt;=$J$4,'领用录入（明细）'!C:C&lt;=$L$4),ROW(),"-")</f>
        <v>-</v>
      </c>
    </row>
    <row r="14717" customHeight="1" spans="2:2">
      <c r="B14717" s="62" t="str">
        <f>IF(AND('领用录入（明细）'!D:D=$F$4,'领用录入（明细）'!C:C&gt;=$J$4,'领用录入（明细）'!C:C&lt;=$L$4),ROW(),"-")</f>
        <v>-</v>
      </c>
    </row>
    <row r="14718" customHeight="1" spans="2:2">
      <c r="B14718" s="62" t="str">
        <f>IF(AND('领用录入（明细）'!D:D=$F$4,'领用录入（明细）'!C:C&gt;=$J$4,'领用录入（明细）'!C:C&lt;=$L$4),ROW(),"-")</f>
        <v>-</v>
      </c>
    </row>
    <row r="14719" customHeight="1" spans="2:2">
      <c r="B14719" s="62" t="str">
        <f>IF(AND('领用录入（明细）'!D:D=$F$4,'领用录入（明细）'!C:C&gt;=$J$4,'领用录入（明细）'!C:C&lt;=$L$4),ROW(),"-")</f>
        <v>-</v>
      </c>
    </row>
    <row r="14720" customHeight="1" spans="2:2">
      <c r="B14720" s="62" t="str">
        <f>IF(AND('领用录入（明细）'!D:D=$F$4,'领用录入（明细）'!C:C&gt;=$J$4,'领用录入（明细）'!C:C&lt;=$L$4),ROW(),"-")</f>
        <v>-</v>
      </c>
    </row>
    <row r="14721" customHeight="1" spans="2:2">
      <c r="B14721" s="62" t="str">
        <f>IF(AND('领用录入（明细）'!D:D=$F$4,'领用录入（明细）'!C:C&gt;=$J$4,'领用录入（明细）'!C:C&lt;=$L$4),ROW(),"-")</f>
        <v>-</v>
      </c>
    </row>
    <row r="14722" customHeight="1" spans="2:2">
      <c r="B14722" s="62" t="str">
        <f>IF(AND('领用录入（明细）'!D:D=$F$4,'领用录入（明细）'!C:C&gt;=$J$4,'领用录入（明细）'!C:C&lt;=$L$4),ROW(),"-")</f>
        <v>-</v>
      </c>
    </row>
    <row r="14723" customHeight="1" spans="2:2">
      <c r="B14723" s="62" t="str">
        <f>IF(AND('领用录入（明细）'!D:D=$F$4,'领用录入（明细）'!C:C&gt;=$J$4,'领用录入（明细）'!C:C&lt;=$L$4),ROW(),"-")</f>
        <v>-</v>
      </c>
    </row>
    <row r="14724" customHeight="1" spans="2:2">
      <c r="B14724" s="62" t="str">
        <f>IF(AND('领用录入（明细）'!D:D=$F$4,'领用录入（明细）'!C:C&gt;=$J$4,'领用录入（明细）'!C:C&lt;=$L$4),ROW(),"-")</f>
        <v>-</v>
      </c>
    </row>
    <row r="14725" customHeight="1" spans="2:2">
      <c r="B14725" s="62" t="str">
        <f>IF(AND('领用录入（明细）'!D:D=$F$4,'领用录入（明细）'!C:C&gt;=$J$4,'领用录入（明细）'!C:C&lt;=$L$4),ROW(),"-")</f>
        <v>-</v>
      </c>
    </row>
    <row r="14726" customHeight="1" spans="2:2">
      <c r="B14726" s="62" t="str">
        <f>IF(AND('领用录入（明细）'!D:D=$F$4,'领用录入（明细）'!C:C&gt;=$J$4,'领用录入（明细）'!C:C&lt;=$L$4),ROW(),"-")</f>
        <v>-</v>
      </c>
    </row>
    <row r="14727" customHeight="1" spans="2:2">
      <c r="B14727" s="62" t="str">
        <f>IF(AND('领用录入（明细）'!D:D=$F$4,'领用录入（明细）'!C:C&gt;=$J$4,'领用录入（明细）'!C:C&lt;=$L$4),ROW(),"-")</f>
        <v>-</v>
      </c>
    </row>
    <row r="14728" customHeight="1" spans="2:2">
      <c r="B14728" s="62" t="str">
        <f>IF(AND('领用录入（明细）'!D:D=$F$4,'领用录入（明细）'!C:C&gt;=$J$4,'领用录入（明细）'!C:C&lt;=$L$4),ROW(),"-")</f>
        <v>-</v>
      </c>
    </row>
    <row r="14729" customHeight="1" spans="2:2">
      <c r="B14729" s="62" t="str">
        <f>IF(AND('领用录入（明细）'!D:D=$F$4,'领用录入（明细）'!C:C&gt;=$J$4,'领用录入（明细）'!C:C&lt;=$L$4),ROW(),"-")</f>
        <v>-</v>
      </c>
    </row>
    <row r="14730" customHeight="1" spans="2:2">
      <c r="B14730" s="62" t="str">
        <f>IF(AND('领用录入（明细）'!D:D=$F$4,'领用录入（明细）'!C:C&gt;=$J$4,'领用录入（明细）'!C:C&lt;=$L$4),ROW(),"-")</f>
        <v>-</v>
      </c>
    </row>
    <row r="14731" customHeight="1" spans="2:2">
      <c r="B14731" s="62" t="str">
        <f>IF(AND('领用录入（明细）'!D:D=$F$4,'领用录入（明细）'!C:C&gt;=$J$4,'领用录入（明细）'!C:C&lt;=$L$4),ROW(),"-")</f>
        <v>-</v>
      </c>
    </row>
    <row r="14732" customHeight="1" spans="2:2">
      <c r="B14732" s="62" t="str">
        <f>IF(AND('领用录入（明细）'!D:D=$F$4,'领用录入（明细）'!C:C&gt;=$J$4,'领用录入（明细）'!C:C&lt;=$L$4),ROW(),"-")</f>
        <v>-</v>
      </c>
    </row>
    <row r="14733" customHeight="1" spans="2:2">
      <c r="B14733" s="62" t="str">
        <f>IF(AND('领用录入（明细）'!D:D=$F$4,'领用录入（明细）'!C:C&gt;=$J$4,'领用录入（明细）'!C:C&lt;=$L$4),ROW(),"-")</f>
        <v>-</v>
      </c>
    </row>
    <row r="14734" customHeight="1" spans="2:2">
      <c r="B14734" s="62" t="str">
        <f>IF(AND('领用录入（明细）'!D:D=$F$4,'领用录入（明细）'!C:C&gt;=$J$4,'领用录入（明细）'!C:C&lt;=$L$4),ROW(),"-")</f>
        <v>-</v>
      </c>
    </row>
    <row r="14735" customHeight="1" spans="2:2">
      <c r="B14735" s="62" t="str">
        <f>IF(AND('领用录入（明细）'!D:D=$F$4,'领用录入（明细）'!C:C&gt;=$J$4,'领用录入（明细）'!C:C&lt;=$L$4),ROW(),"-")</f>
        <v>-</v>
      </c>
    </row>
    <row r="14736" customHeight="1" spans="2:2">
      <c r="B14736" s="62" t="str">
        <f>IF(AND('领用录入（明细）'!D:D=$F$4,'领用录入（明细）'!C:C&gt;=$J$4,'领用录入（明细）'!C:C&lt;=$L$4),ROW(),"-")</f>
        <v>-</v>
      </c>
    </row>
    <row r="14737" customHeight="1" spans="2:2">
      <c r="B14737" s="62" t="str">
        <f>IF(AND('领用录入（明细）'!D:D=$F$4,'领用录入（明细）'!C:C&gt;=$J$4,'领用录入（明细）'!C:C&lt;=$L$4),ROW(),"-")</f>
        <v>-</v>
      </c>
    </row>
    <row r="14738" customHeight="1" spans="2:2">
      <c r="B14738" s="62" t="str">
        <f>IF(AND('领用录入（明细）'!D:D=$F$4,'领用录入（明细）'!C:C&gt;=$J$4,'领用录入（明细）'!C:C&lt;=$L$4),ROW(),"-")</f>
        <v>-</v>
      </c>
    </row>
    <row r="14739" customHeight="1" spans="2:2">
      <c r="B14739" s="62" t="str">
        <f>IF(AND('领用录入（明细）'!D:D=$F$4,'领用录入（明细）'!C:C&gt;=$J$4,'领用录入（明细）'!C:C&lt;=$L$4),ROW(),"-")</f>
        <v>-</v>
      </c>
    </row>
    <row r="14740" customHeight="1" spans="2:2">
      <c r="B14740" s="62" t="str">
        <f>IF(AND('领用录入（明细）'!D:D=$F$4,'领用录入（明细）'!C:C&gt;=$J$4,'领用录入（明细）'!C:C&lt;=$L$4),ROW(),"-")</f>
        <v>-</v>
      </c>
    </row>
    <row r="14741" customHeight="1" spans="2:2">
      <c r="B14741" s="62" t="str">
        <f>IF(AND('领用录入（明细）'!D:D=$F$4,'领用录入（明细）'!C:C&gt;=$J$4,'领用录入（明细）'!C:C&lt;=$L$4),ROW(),"-")</f>
        <v>-</v>
      </c>
    </row>
    <row r="14742" customHeight="1" spans="2:2">
      <c r="B14742" s="62" t="str">
        <f>IF(AND('领用录入（明细）'!D:D=$F$4,'领用录入（明细）'!C:C&gt;=$J$4,'领用录入（明细）'!C:C&lt;=$L$4),ROW(),"-")</f>
        <v>-</v>
      </c>
    </row>
    <row r="14743" customHeight="1" spans="2:2">
      <c r="B14743" s="62" t="str">
        <f>IF(AND('领用录入（明细）'!D:D=$F$4,'领用录入（明细）'!C:C&gt;=$J$4,'领用录入（明细）'!C:C&lt;=$L$4),ROW(),"-")</f>
        <v>-</v>
      </c>
    </row>
    <row r="14744" customHeight="1" spans="2:2">
      <c r="B14744" s="62" t="str">
        <f>IF(AND('领用录入（明细）'!D:D=$F$4,'领用录入（明细）'!C:C&gt;=$J$4,'领用录入（明细）'!C:C&lt;=$L$4),ROW(),"-")</f>
        <v>-</v>
      </c>
    </row>
    <row r="14745" customHeight="1" spans="2:2">
      <c r="B14745" s="62" t="str">
        <f>IF(AND('领用录入（明细）'!D:D=$F$4,'领用录入（明细）'!C:C&gt;=$J$4,'领用录入（明细）'!C:C&lt;=$L$4),ROW(),"-")</f>
        <v>-</v>
      </c>
    </row>
    <row r="14746" customHeight="1" spans="2:2">
      <c r="B14746" s="62" t="str">
        <f>IF(AND('领用录入（明细）'!D:D=$F$4,'领用录入（明细）'!C:C&gt;=$J$4,'领用录入（明细）'!C:C&lt;=$L$4),ROW(),"-")</f>
        <v>-</v>
      </c>
    </row>
    <row r="14747" customHeight="1" spans="2:2">
      <c r="B14747" s="62" t="str">
        <f>IF(AND('领用录入（明细）'!D:D=$F$4,'领用录入（明细）'!C:C&gt;=$J$4,'领用录入（明细）'!C:C&lt;=$L$4),ROW(),"-")</f>
        <v>-</v>
      </c>
    </row>
    <row r="14748" customHeight="1" spans="2:2">
      <c r="B14748" s="62" t="str">
        <f>IF(AND('领用录入（明细）'!D:D=$F$4,'领用录入（明细）'!C:C&gt;=$J$4,'领用录入（明细）'!C:C&lt;=$L$4),ROW(),"-")</f>
        <v>-</v>
      </c>
    </row>
    <row r="14749" customHeight="1" spans="2:2">
      <c r="B14749" s="62" t="str">
        <f>IF(AND('领用录入（明细）'!D:D=$F$4,'领用录入（明细）'!C:C&gt;=$J$4,'领用录入（明细）'!C:C&lt;=$L$4),ROW(),"-")</f>
        <v>-</v>
      </c>
    </row>
    <row r="14750" customHeight="1" spans="2:2">
      <c r="B14750" s="62" t="str">
        <f>IF(AND('领用录入（明细）'!D:D=$F$4,'领用录入（明细）'!C:C&gt;=$J$4,'领用录入（明细）'!C:C&lt;=$L$4),ROW(),"-")</f>
        <v>-</v>
      </c>
    </row>
    <row r="14751" customHeight="1" spans="2:2">
      <c r="B14751" s="62" t="str">
        <f>IF(AND('领用录入（明细）'!D:D=$F$4,'领用录入（明细）'!C:C&gt;=$J$4,'领用录入（明细）'!C:C&lt;=$L$4),ROW(),"-")</f>
        <v>-</v>
      </c>
    </row>
    <row r="14752" customHeight="1" spans="2:2">
      <c r="B14752" s="62" t="str">
        <f>IF(AND('领用录入（明细）'!D:D=$F$4,'领用录入（明细）'!C:C&gt;=$J$4,'领用录入（明细）'!C:C&lt;=$L$4),ROW(),"-")</f>
        <v>-</v>
      </c>
    </row>
    <row r="14753" customHeight="1" spans="2:2">
      <c r="B14753" s="62" t="str">
        <f>IF(AND('领用录入（明细）'!D:D=$F$4,'领用录入（明细）'!C:C&gt;=$J$4,'领用录入（明细）'!C:C&lt;=$L$4),ROW(),"-")</f>
        <v>-</v>
      </c>
    </row>
    <row r="14754" customHeight="1" spans="2:2">
      <c r="B14754" s="62" t="str">
        <f>IF(AND('领用录入（明细）'!D:D=$F$4,'领用录入（明细）'!C:C&gt;=$J$4,'领用录入（明细）'!C:C&lt;=$L$4),ROW(),"-")</f>
        <v>-</v>
      </c>
    </row>
    <row r="14755" customHeight="1" spans="2:2">
      <c r="B14755" s="62" t="str">
        <f>IF(AND('领用录入（明细）'!D:D=$F$4,'领用录入（明细）'!C:C&gt;=$J$4,'领用录入（明细）'!C:C&lt;=$L$4),ROW(),"-")</f>
        <v>-</v>
      </c>
    </row>
    <row r="14756" customHeight="1" spans="2:2">
      <c r="B14756" s="62" t="str">
        <f>IF(AND('领用录入（明细）'!D:D=$F$4,'领用录入（明细）'!C:C&gt;=$J$4,'领用录入（明细）'!C:C&lt;=$L$4),ROW(),"-")</f>
        <v>-</v>
      </c>
    </row>
    <row r="14757" customHeight="1" spans="2:2">
      <c r="B14757" s="62" t="str">
        <f>IF(AND('领用录入（明细）'!D:D=$F$4,'领用录入（明细）'!C:C&gt;=$J$4,'领用录入（明细）'!C:C&lt;=$L$4),ROW(),"-")</f>
        <v>-</v>
      </c>
    </row>
    <row r="14758" customHeight="1" spans="2:2">
      <c r="B14758" s="62" t="str">
        <f>IF(AND('领用录入（明细）'!D:D=$F$4,'领用录入（明细）'!C:C&gt;=$J$4,'领用录入（明细）'!C:C&lt;=$L$4),ROW(),"-")</f>
        <v>-</v>
      </c>
    </row>
    <row r="14759" customHeight="1" spans="2:2">
      <c r="B14759" s="62" t="str">
        <f>IF(AND('领用录入（明细）'!D:D=$F$4,'领用录入（明细）'!C:C&gt;=$J$4,'领用录入（明细）'!C:C&lt;=$L$4),ROW(),"-")</f>
        <v>-</v>
      </c>
    </row>
    <row r="14760" customHeight="1" spans="2:2">
      <c r="B14760" s="62" t="str">
        <f>IF(AND('领用录入（明细）'!D:D=$F$4,'领用录入（明细）'!C:C&gt;=$J$4,'领用录入（明细）'!C:C&lt;=$L$4),ROW(),"-")</f>
        <v>-</v>
      </c>
    </row>
    <row r="14761" customHeight="1" spans="2:2">
      <c r="B14761" s="62" t="str">
        <f>IF(AND('领用录入（明细）'!D:D=$F$4,'领用录入（明细）'!C:C&gt;=$J$4,'领用录入（明细）'!C:C&lt;=$L$4),ROW(),"-")</f>
        <v>-</v>
      </c>
    </row>
    <row r="14762" customHeight="1" spans="2:2">
      <c r="B14762" s="62" t="str">
        <f>IF(AND('领用录入（明细）'!D:D=$F$4,'领用录入（明细）'!C:C&gt;=$J$4,'领用录入（明细）'!C:C&lt;=$L$4),ROW(),"-")</f>
        <v>-</v>
      </c>
    </row>
    <row r="14763" customHeight="1" spans="2:2">
      <c r="B14763" s="62" t="str">
        <f>IF(AND('领用录入（明细）'!D:D=$F$4,'领用录入（明细）'!C:C&gt;=$J$4,'领用录入（明细）'!C:C&lt;=$L$4),ROW(),"-")</f>
        <v>-</v>
      </c>
    </row>
    <row r="14764" customHeight="1" spans="2:2">
      <c r="B14764" s="62" t="str">
        <f>IF(AND('领用录入（明细）'!D:D=$F$4,'领用录入（明细）'!C:C&gt;=$J$4,'领用录入（明细）'!C:C&lt;=$L$4),ROW(),"-")</f>
        <v>-</v>
      </c>
    </row>
    <row r="14765" customHeight="1" spans="2:2">
      <c r="B14765" s="62" t="str">
        <f>IF(AND('领用录入（明细）'!D:D=$F$4,'领用录入（明细）'!C:C&gt;=$J$4,'领用录入（明细）'!C:C&lt;=$L$4),ROW(),"-")</f>
        <v>-</v>
      </c>
    </row>
    <row r="14766" customHeight="1" spans="2:2">
      <c r="B14766" s="62" t="str">
        <f>IF(AND('领用录入（明细）'!D:D=$F$4,'领用录入（明细）'!C:C&gt;=$J$4,'领用录入（明细）'!C:C&lt;=$L$4),ROW(),"-")</f>
        <v>-</v>
      </c>
    </row>
    <row r="14767" customHeight="1" spans="2:2">
      <c r="B14767" s="62" t="str">
        <f>IF(AND('领用录入（明细）'!D:D=$F$4,'领用录入（明细）'!C:C&gt;=$J$4,'领用录入（明细）'!C:C&lt;=$L$4),ROW(),"-")</f>
        <v>-</v>
      </c>
    </row>
    <row r="14768" customHeight="1" spans="2:2">
      <c r="B14768" s="62" t="str">
        <f>IF(AND('领用录入（明细）'!D:D=$F$4,'领用录入（明细）'!C:C&gt;=$J$4,'领用录入（明细）'!C:C&lt;=$L$4),ROW(),"-")</f>
        <v>-</v>
      </c>
    </row>
    <row r="14769" customHeight="1" spans="2:2">
      <c r="B14769" s="62" t="str">
        <f>IF(AND('领用录入（明细）'!D:D=$F$4,'领用录入（明细）'!C:C&gt;=$J$4,'领用录入（明细）'!C:C&lt;=$L$4),ROW(),"-")</f>
        <v>-</v>
      </c>
    </row>
    <row r="14770" customHeight="1" spans="2:2">
      <c r="B14770" s="62" t="str">
        <f>IF(AND('领用录入（明细）'!D:D=$F$4,'领用录入（明细）'!C:C&gt;=$J$4,'领用录入（明细）'!C:C&lt;=$L$4),ROW(),"-")</f>
        <v>-</v>
      </c>
    </row>
    <row r="14771" customHeight="1" spans="2:2">
      <c r="B14771" s="62" t="str">
        <f>IF(AND('领用录入（明细）'!D:D=$F$4,'领用录入（明细）'!C:C&gt;=$J$4,'领用录入（明细）'!C:C&lt;=$L$4),ROW(),"-")</f>
        <v>-</v>
      </c>
    </row>
    <row r="14772" customHeight="1" spans="2:2">
      <c r="B14772" s="62" t="str">
        <f>IF(AND('领用录入（明细）'!D:D=$F$4,'领用录入（明细）'!C:C&gt;=$J$4,'领用录入（明细）'!C:C&lt;=$L$4),ROW(),"-")</f>
        <v>-</v>
      </c>
    </row>
    <row r="14773" customHeight="1" spans="2:2">
      <c r="B14773" s="62" t="str">
        <f>IF(AND('领用录入（明细）'!D:D=$F$4,'领用录入（明细）'!C:C&gt;=$J$4,'领用录入（明细）'!C:C&lt;=$L$4),ROW(),"-")</f>
        <v>-</v>
      </c>
    </row>
    <row r="14774" customHeight="1" spans="2:2">
      <c r="B14774" s="62" t="str">
        <f>IF(AND('领用录入（明细）'!D:D=$F$4,'领用录入（明细）'!C:C&gt;=$J$4,'领用录入（明细）'!C:C&lt;=$L$4),ROW(),"-")</f>
        <v>-</v>
      </c>
    </row>
    <row r="14775" customHeight="1" spans="2:2">
      <c r="B14775" s="62" t="str">
        <f>IF(AND('领用录入（明细）'!D:D=$F$4,'领用录入（明细）'!C:C&gt;=$J$4,'领用录入（明细）'!C:C&lt;=$L$4),ROW(),"-")</f>
        <v>-</v>
      </c>
    </row>
    <row r="14776" customHeight="1" spans="2:2">
      <c r="B14776" s="62" t="str">
        <f>IF(AND('领用录入（明细）'!D:D=$F$4,'领用录入（明细）'!C:C&gt;=$J$4,'领用录入（明细）'!C:C&lt;=$L$4),ROW(),"-")</f>
        <v>-</v>
      </c>
    </row>
    <row r="14777" customHeight="1" spans="2:2">
      <c r="B14777" s="62" t="str">
        <f>IF(AND('领用录入（明细）'!D:D=$F$4,'领用录入（明细）'!C:C&gt;=$J$4,'领用录入（明细）'!C:C&lt;=$L$4),ROW(),"-")</f>
        <v>-</v>
      </c>
    </row>
    <row r="14778" customHeight="1" spans="2:2">
      <c r="B14778" s="62" t="str">
        <f>IF(AND('领用录入（明细）'!D:D=$F$4,'领用录入（明细）'!C:C&gt;=$J$4,'领用录入（明细）'!C:C&lt;=$L$4),ROW(),"-")</f>
        <v>-</v>
      </c>
    </row>
    <row r="14779" customHeight="1" spans="2:2">
      <c r="B14779" s="62" t="str">
        <f>IF(AND('领用录入（明细）'!D:D=$F$4,'领用录入（明细）'!C:C&gt;=$J$4,'领用录入（明细）'!C:C&lt;=$L$4),ROW(),"-")</f>
        <v>-</v>
      </c>
    </row>
    <row r="14780" customHeight="1" spans="2:2">
      <c r="B14780" s="62" t="str">
        <f>IF(AND('领用录入（明细）'!D:D=$F$4,'领用录入（明细）'!C:C&gt;=$J$4,'领用录入（明细）'!C:C&lt;=$L$4),ROW(),"-")</f>
        <v>-</v>
      </c>
    </row>
    <row r="14781" customHeight="1" spans="2:2">
      <c r="B14781" s="62" t="str">
        <f>IF(AND('领用录入（明细）'!D:D=$F$4,'领用录入（明细）'!C:C&gt;=$J$4,'领用录入（明细）'!C:C&lt;=$L$4),ROW(),"-")</f>
        <v>-</v>
      </c>
    </row>
    <row r="14782" customHeight="1" spans="2:2">
      <c r="B14782" s="62" t="str">
        <f>IF(AND('领用录入（明细）'!D:D=$F$4,'领用录入（明细）'!C:C&gt;=$J$4,'领用录入（明细）'!C:C&lt;=$L$4),ROW(),"-")</f>
        <v>-</v>
      </c>
    </row>
    <row r="14783" customHeight="1" spans="2:2">
      <c r="B14783" s="62" t="str">
        <f>IF(AND('领用录入（明细）'!D:D=$F$4,'领用录入（明细）'!C:C&gt;=$J$4,'领用录入（明细）'!C:C&lt;=$L$4),ROW(),"-")</f>
        <v>-</v>
      </c>
    </row>
    <row r="14784" customHeight="1" spans="2:2">
      <c r="B14784" s="62" t="str">
        <f>IF(AND('领用录入（明细）'!D:D=$F$4,'领用录入（明细）'!C:C&gt;=$J$4,'领用录入（明细）'!C:C&lt;=$L$4),ROW(),"-")</f>
        <v>-</v>
      </c>
    </row>
    <row r="14785" customHeight="1" spans="2:2">
      <c r="B14785" s="62" t="str">
        <f>IF(AND('领用录入（明细）'!D:D=$F$4,'领用录入（明细）'!C:C&gt;=$J$4,'领用录入（明细）'!C:C&lt;=$L$4),ROW(),"-")</f>
        <v>-</v>
      </c>
    </row>
    <row r="14786" customHeight="1" spans="2:2">
      <c r="B14786" s="62" t="str">
        <f>IF(AND('领用录入（明细）'!D:D=$F$4,'领用录入（明细）'!C:C&gt;=$J$4,'领用录入（明细）'!C:C&lt;=$L$4),ROW(),"-")</f>
        <v>-</v>
      </c>
    </row>
    <row r="14787" customHeight="1" spans="2:2">
      <c r="B14787" s="62" t="str">
        <f>IF(AND('领用录入（明细）'!D:D=$F$4,'领用录入（明细）'!C:C&gt;=$J$4,'领用录入（明细）'!C:C&lt;=$L$4),ROW(),"-")</f>
        <v>-</v>
      </c>
    </row>
    <row r="14788" customHeight="1" spans="2:2">
      <c r="B14788" s="62" t="str">
        <f>IF(AND('领用录入（明细）'!D:D=$F$4,'领用录入（明细）'!C:C&gt;=$J$4,'领用录入（明细）'!C:C&lt;=$L$4),ROW(),"-")</f>
        <v>-</v>
      </c>
    </row>
    <row r="14789" customHeight="1" spans="2:2">
      <c r="B14789" s="62" t="str">
        <f>IF(AND('领用录入（明细）'!D:D=$F$4,'领用录入（明细）'!C:C&gt;=$J$4,'领用录入（明细）'!C:C&lt;=$L$4),ROW(),"-")</f>
        <v>-</v>
      </c>
    </row>
    <row r="14790" customHeight="1" spans="2:2">
      <c r="B14790" s="62" t="str">
        <f>IF(AND('领用录入（明细）'!D:D=$F$4,'领用录入（明细）'!C:C&gt;=$J$4,'领用录入（明细）'!C:C&lt;=$L$4),ROW(),"-")</f>
        <v>-</v>
      </c>
    </row>
    <row r="14791" customHeight="1" spans="2:2">
      <c r="B14791" s="62" t="str">
        <f>IF(AND('领用录入（明细）'!D:D=$F$4,'领用录入（明细）'!C:C&gt;=$J$4,'领用录入（明细）'!C:C&lt;=$L$4),ROW(),"-")</f>
        <v>-</v>
      </c>
    </row>
    <row r="14792" customHeight="1" spans="2:2">
      <c r="B14792" s="62" t="str">
        <f>IF(AND('领用录入（明细）'!D:D=$F$4,'领用录入（明细）'!C:C&gt;=$J$4,'领用录入（明细）'!C:C&lt;=$L$4),ROW(),"-")</f>
        <v>-</v>
      </c>
    </row>
    <row r="14793" customHeight="1" spans="2:2">
      <c r="B14793" s="62" t="str">
        <f>IF(AND('领用录入（明细）'!D:D=$F$4,'领用录入（明细）'!C:C&gt;=$J$4,'领用录入（明细）'!C:C&lt;=$L$4),ROW(),"-")</f>
        <v>-</v>
      </c>
    </row>
    <row r="14794" customHeight="1" spans="2:2">
      <c r="B14794" s="62" t="str">
        <f>IF(AND('领用录入（明细）'!D:D=$F$4,'领用录入（明细）'!C:C&gt;=$J$4,'领用录入（明细）'!C:C&lt;=$L$4),ROW(),"-")</f>
        <v>-</v>
      </c>
    </row>
    <row r="14795" customHeight="1" spans="2:2">
      <c r="B14795" s="62" t="str">
        <f>IF(AND('领用录入（明细）'!D:D=$F$4,'领用录入（明细）'!C:C&gt;=$J$4,'领用录入（明细）'!C:C&lt;=$L$4),ROW(),"-")</f>
        <v>-</v>
      </c>
    </row>
    <row r="14796" customHeight="1" spans="2:2">
      <c r="B14796" s="62" t="str">
        <f>IF(AND('领用录入（明细）'!D:D=$F$4,'领用录入（明细）'!C:C&gt;=$J$4,'领用录入（明细）'!C:C&lt;=$L$4),ROW(),"-")</f>
        <v>-</v>
      </c>
    </row>
    <row r="14797" customHeight="1" spans="2:2">
      <c r="B14797" s="62" t="str">
        <f>IF(AND('领用录入（明细）'!D:D=$F$4,'领用录入（明细）'!C:C&gt;=$J$4,'领用录入（明细）'!C:C&lt;=$L$4),ROW(),"-")</f>
        <v>-</v>
      </c>
    </row>
    <row r="14798" customHeight="1" spans="2:2">
      <c r="B14798" s="62" t="str">
        <f>IF(AND('领用录入（明细）'!D:D=$F$4,'领用录入（明细）'!C:C&gt;=$J$4,'领用录入（明细）'!C:C&lt;=$L$4),ROW(),"-")</f>
        <v>-</v>
      </c>
    </row>
    <row r="14799" customHeight="1" spans="2:2">
      <c r="B14799" s="62" t="str">
        <f>IF(AND('领用录入（明细）'!D:D=$F$4,'领用录入（明细）'!C:C&gt;=$J$4,'领用录入（明细）'!C:C&lt;=$L$4),ROW(),"-")</f>
        <v>-</v>
      </c>
    </row>
    <row r="14800" customHeight="1" spans="2:2">
      <c r="B14800" s="62" t="str">
        <f>IF(AND('领用录入（明细）'!D:D=$F$4,'领用录入（明细）'!C:C&gt;=$J$4,'领用录入（明细）'!C:C&lt;=$L$4),ROW(),"-")</f>
        <v>-</v>
      </c>
    </row>
    <row r="14801" customHeight="1" spans="2:2">
      <c r="B14801" s="62" t="str">
        <f>IF(AND('领用录入（明细）'!D:D=$F$4,'领用录入（明细）'!C:C&gt;=$J$4,'领用录入（明细）'!C:C&lt;=$L$4),ROW(),"-")</f>
        <v>-</v>
      </c>
    </row>
    <row r="14802" customHeight="1" spans="2:2">
      <c r="B14802" s="62" t="str">
        <f>IF(AND('领用录入（明细）'!D:D=$F$4,'领用录入（明细）'!C:C&gt;=$J$4,'领用录入（明细）'!C:C&lt;=$L$4),ROW(),"-")</f>
        <v>-</v>
      </c>
    </row>
    <row r="14803" customHeight="1" spans="2:2">
      <c r="B14803" s="62" t="str">
        <f>IF(AND('领用录入（明细）'!D:D=$F$4,'领用录入（明细）'!C:C&gt;=$J$4,'领用录入（明细）'!C:C&lt;=$L$4),ROW(),"-")</f>
        <v>-</v>
      </c>
    </row>
    <row r="14804" customHeight="1" spans="2:2">
      <c r="B14804" s="62" t="str">
        <f>IF(AND('领用录入（明细）'!D:D=$F$4,'领用录入（明细）'!C:C&gt;=$J$4,'领用录入（明细）'!C:C&lt;=$L$4),ROW(),"-")</f>
        <v>-</v>
      </c>
    </row>
    <row r="14805" customHeight="1" spans="2:2">
      <c r="B14805" s="62" t="str">
        <f>IF(AND('领用录入（明细）'!D:D=$F$4,'领用录入（明细）'!C:C&gt;=$J$4,'领用录入（明细）'!C:C&lt;=$L$4),ROW(),"-")</f>
        <v>-</v>
      </c>
    </row>
    <row r="14806" customHeight="1" spans="2:2">
      <c r="B14806" s="62" t="str">
        <f>IF(AND('领用录入（明细）'!D:D=$F$4,'领用录入（明细）'!C:C&gt;=$J$4,'领用录入（明细）'!C:C&lt;=$L$4),ROW(),"-")</f>
        <v>-</v>
      </c>
    </row>
    <row r="14807" customHeight="1" spans="2:2">
      <c r="B14807" s="62" t="str">
        <f>IF(AND('领用录入（明细）'!D:D=$F$4,'领用录入（明细）'!C:C&gt;=$J$4,'领用录入（明细）'!C:C&lt;=$L$4),ROW(),"-")</f>
        <v>-</v>
      </c>
    </row>
    <row r="14808" customHeight="1" spans="2:2">
      <c r="B14808" s="62" t="str">
        <f>IF(AND('领用录入（明细）'!D:D=$F$4,'领用录入（明细）'!C:C&gt;=$J$4,'领用录入（明细）'!C:C&lt;=$L$4),ROW(),"-")</f>
        <v>-</v>
      </c>
    </row>
    <row r="14809" customHeight="1" spans="2:2">
      <c r="B14809" s="62" t="str">
        <f>IF(AND('领用录入（明细）'!D:D=$F$4,'领用录入（明细）'!C:C&gt;=$J$4,'领用录入（明细）'!C:C&lt;=$L$4),ROW(),"-")</f>
        <v>-</v>
      </c>
    </row>
    <row r="14810" customHeight="1" spans="2:2">
      <c r="B14810" s="62" t="str">
        <f>IF(AND('领用录入（明细）'!D:D=$F$4,'领用录入（明细）'!C:C&gt;=$J$4,'领用录入（明细）'!C:C&lt;=$L$4),ROW(),"-")</f>
        <v>-</v>
      </c>
    </row>
    <row r="14811" customHeight="1" spans="2:2">
      <c r="B14811" s="62" t="str">
        <f>IF(AND('领用录入（明细）'!D:D=$F$4,'领用录入（明细）'!C:C&gt;=$J$4,'领用录入（明细）'!C:C&lt;=$L$4),ROW(),"-")</f>
        <v>-</v>
      </c>
    </row>
    <row r="14812" customHeight="1" spans="2:2">
      <c r="B14812" s="62" t="str">
        <f>IF(AND('领用录入（明细）'!D:D=$F$4,'领用录入（明细）'!C:C&gt;=$J$4,'领用录入（明细）'!C:C&lt;=$L$4),ROW(),"-")</f>
        <v>-</v>
      </c>
    </row>
    <row r="14813" customHeight="1" spans="2:2">
      <c r="B14813" s="62" t="str">
        <f>IF(AND('领用录入（明细）'!D:D=$F$4,'领用录入（明细）'!C:C&gt;=$J$4,'领用录入（明细）'!C:C&lt;=$L$4),ROW(),"-")</f>
        <v>-</v>
      </c>
    </row>
    <row r="14814" customHeight="1" spans="2:2">
      <c r="B14814" s="62" t="str">
        <f>IF(AND('领用录入（明细）'!D:D=$F$4,'领用录入（明细）'!C:C&gt;=$J$4,'领用录入（明细）'!C:C&lt;=$L$4),ROW(),"-")</f>
        <v>-</v>
      </c>
    </row>
    <row r="14815" customHeight="1" spans="2:2">
      <c r="B14815" s="62" t="str">
        <f>IF(AND('领用录入（明细）'!D:D=$F$4,'领用录入（明细）'!C:C&gt;=$J$4,'领用录入（明细）'!C:C&lt;=$L$4),ROW(),"-")</f>
        <v>-</v>
      </c>
    </row>
    <row r="14816" customHeight="1" spans="2:2">
      <c r="B14816" s="62" t="str">
        <f>IF(AND('领用录入（明细）'!D:D=$F$4,'领用录入（明细）'!C:C&gt;=$J$4,'领用录入（明细）'!C:C&lt;=$L$4),ROW(),"-")</f>
        <v>-</v>
      </c>
    </row>
    <row r="14817" customHeight="1" spans="2:2">
      <c r="B14817" s="62" t="str">
        <f>IF(AND('领用录入（明细）'!D:D=$F$4,'领用录入（明细）'!C:C&gt;=$J$4,'领用录入（明细）'!C:C&lt;=$L$4),ROW(),"-")</f>
        <v>-</v>
      </c>
    </row>
    <row r="14818" customHeight="1" spans="2:2">
      <c r="B14818" s="62" t="str">
        <f>IF(AND('领用录入（明细）'!D:D=$F$4,'领用录入（明细）'!C:C&gt;=$J$4,'领用录入（明细）'!C:C&lt;=$L$4),ROW(),"-")</f>
        <v>-</v>
      </c>
    </row>
    <row r="14819" customHeight="1" spans="2:2">
      <c r="B14819" s="62" t="str">
        <f>IF(AND('领用录入（明细）'!D:D=$F$4,'领用录入（明细）'!C:C&gt;=$J$4,'领用录入（明细）'!C:C&lt;=$L$4),ROW(),"-")</f>
        <v>-</v>
      </c>
    </row>
    <row r="14820" customHeight="1" spans="2:2">
      <c r="B14820" s="62" t="str">
        <f>IF(AND('领用录入（明细）'!D:D=$F$4,'领用录入（明细）'!C:C&gt;=$J$4,'领用录入（明细）'!C:C&lt;=$L$4),ROW(),"-")</f>
        <v>-</v>
      </c>
    </row>
    <row r="14821" customHeight="1" spans="2:2">
      <c r="B14821" s="62" t="str">
        <f>IF(AND('领用录入（明细）'!D:D=$F$4,'领用录入（明细）'!C:C&gt;=$J$4,'领用录入（明细）'!C:C&lt;=$L$4),ROW(),"-")</f>
        <v>-</v>
      </c>
    </row>
    <row r="14822" customHeight="1" spans="2:2">
      <c r="B14822" s="62" t="str">
        <f>IF(AND('领用录入（明细）'!D:D=$F$4,'领用录入（明细）'!C:C&gt;=$J$4,'领用录入（明细）'!C:C&lt;=$L$4),ROW(),"-")</f>
        <v>-</v>
      </c>
    </row>
    <row r="14823" customHeight="1" spans="2:2">
      <c r="B14823" s="62" t="str">
        <f>IF(AND('领用录入（明细）'!D:D=$F$4,'领用录入（明细）'!C:C&gt;=$J$4,'领用录入（明细）'!C:C&lt;=$L$4),ROW(),"-")</f>
        <v>-</v>
      </c>
    </row>
    <row r="14824" customHeight="1" spans="2:2">
      <c r="B14824" s="62" t="str">
        <f>IF(AND('领用录入（明细）'!D:D=$F$4,'领用录入（明细）'!C:C&gt;=$J$4,'领用录入（明细）'!C:C&lt;=$L$4),ROW(),"-")</f>
        <v>-</v>
      </c>
    </row>
    <row r="14825" customHeight="1" spans="2:2">
      <c r="B14825" s="62" t="str">
        <f>IF(AND('领用录入（明细）'!D:D=$F$4,'领用录入（明细）'!C:C&gt;=$J$4,'领用录入（明细）'!C:C&lt;=$L$4),ROW(),"-")</f>
        <v>-</v>
      </c>
    </row>
    <row r="14826" customHeight="1" spans="2:2">
      <c r="B14826" s="62" t="str">
        <f>IF(AND('领用录入（明细）'!D:D=$F$4,'领用录入（明细）'!C:C&gt;=$J$4,'领用录入（明细）'!C:C&lt;=$L$4),ROW(),"-")</f>
        <v>-</v>
      </c>
    </row>
    <row r="14827" customHeight="1" spans="2:2">
      <c r="B14827" s="62" t="str">
        <f>IF(AND('领用录入（明细）'!D:D=$F$4,'领用录入（明细）'!C:C&gt;=$J$4,'领用录入（明细）'!C:C&lt;=$L$4),ROW(),"-")</f>
        <v>-</v>
      </c>
    </row>
    <row r="14828" customHeight="1" spans="2:2">
      <c r="B14828" s="62" t="str">
        <f>IF(AND('领用录入（明细）'!D:D=$F$4,'领用录入（明细）'!C:C&gt;=$J$4,'领用录入（明细）'!C:C&lt;=$L$4),ROW(),"-")</f>
        <v>-</v>
      </c>
    </row>
    <row r="14829" customHeight="1" spans="2:2">
      <c r="B14829" s="62" t="str">
        <f>IF(AND('领用录入（明细）'!D:D=$F$4,'领用录入（明细）'!C:C&gt;=$J$4,'领用录入（明细）'!C:C&lt;=$L$4),ROW(),"-")</f>
        <v>-</v>
      </c>
    </row>
    <row r="14830" customHeight="1" spans="2:2">
      <c r="B14830" s="62" t="str">
        <f>IF(AND('领用录入（明细）'!D:D=$F$4,'领用录入（明细）'!C:C&gt;=$J$4,'领用录入（明细）'!C:C&lt;=$L$4),ROW(),"-")</f>
        <v>-</v>
      </c>
    </row>
    <row r="14831" customHeight="1" spans="2:2">
      <c r="B14831" s="62" t="str">
        <f>IF(AND('领用录入（明细）'!D:D=$F$4,'领用录入（明细）'!C:C&gt;=$J$4,'领用录入（明细）'!C:C&lt;=$L$4),ROW(),"-")</f>
        <v>-</v>
      </c>
    </row>
    <row r="14832" customHeight="1" spans="2:2">
      <c r="B14832" s="62" t="str">
        <f>IF(AND('领用录入（明细）'!D:D=$F$4,'领用录入（明细）'!C:C&gt;=$J$4,'领用录入（明细）'!C:C&lt;=$L$4),ROW(),"-")</f>
        <v>-</v>
      </c>
    </row>
    <row r="14833" customHeight="1" spans="2:2">
      <c r="B14833" s="62" t="str">
        <f>IF(AND('领用录入（明细）'!D:D=$F$4,'领用录入（明细）'!C:C&gt;=$J$4,'领用录入（明细）'!C:C&lt;=$L$4),ROW(),"-")</f>
        <v>-</v>
      </c>
    </row>
    <row r="14834" customHeight="1" spans="2:2">
      <c r="B14834" s="62" t="str">
        <f>IF(AND('领用录入（明细）'!D:D=$F$4,'领用录入（明细）'!C:C&gt;=$J$4,'领用录入（明细）'!C:C&lt;=$L$4),ROW(),"-")</f>
        <v>-</v>
      </c>
    </row>
    <row r="14835" customHeight="1" spans="2:2">
      <c r="B14835" s="62" t="str">
        <f>IF(AND('领用录入（明细）'!D:D=$F$4,'领用录入（明细）'!C:C&gt;=$J$4,'领用录入（明细）'!C:C&lt;=$L$4),ROW(),"-")</f>
        <v>-</v>
      </c>
    </row>
    <row r="14836" customHeight="1" spans="2:2">
      <c r="B14836" s="62" t="str">
        <f>IF(AND('领用录入（明细）'!D:D=$F$4,'领用录入（明细）'!C:C&gt;=$J$4,'领用录入（明细）'!C:C&lt;=$L$4),ROW(),"-")</f>
        <v>-</v>
      </c>
    </row>
    <row r="14837" customHeight="1" spans="2:2">
      <c r="B14837" s="62" t="str">
        <f>IF(AND('领用录入（明细）'!D:D=$F$4,'领用录入（明细）'!C:C&gt;=$J$4,'领用录入（明细）'!C:C&lt;=$L$4),ROW(),"-")</f>
        <v>-</v>
      </c>
    </row>
    <row r="14838" customHeight="1" spans="2:2">
      <c r="B14838" s="62" t="str">
        <f>IF(AND('领用录入（明细）'!D:D=$F$4,'领用录入（明细）'!C:C&gt;=$J$4,'领用录入（明细）'!C:C&lt;=$L$4),ROW(),"-")</f>
        <v>-</v>
      </c>
    </row>
    <row r="14839" customHeight="1" spans="2:2">
      <c r="B14839" s="62" t="str">
        <f>IF(AND('领用录入（明细）'!D:D=$F$4,'领用录入（明细）'!C:C&gt;=$J$4,'领用录入（明细）'!C:C&lt;=$L$4),ROW(),"-")</f>
        <v>-</v>
      </c>
    </row>
    <row r="14840" customHeight="1" spans="2:2">
      <c r="B14840" s="62" t="str">
        <f>IF(AND('领用录入（明细）'!D:D=$F$4,'领用录入（明细）'!C:C&gt;=$J$4,'领用录入（明细）'!C:C&lt;=$L$4),ROW(),"-")</f>
        <v>-</v>
      </c>
    </row>
    <row r="14841" customHeight="1" spans="2:2">
      <c r="B14841" s="62" t="str">
        <f>IF(AND('领用录入（明细）'!D:D=$F$4,'领用录入（明细）'!C:C&gt;=$J$4,'领用录入（明细）'!C:C&lt;=$L$4),ROW(),"-")</f>
        <v>-</v>
      </c>
    </row>
    <row r="14842" customHeight="1" spans="2:2">
      <c r="B14842" s="62" t="str">
        <f>IF(AND('领用录入（明细）'!D:D=$F$4,'领用录入（明细）'!C:C&gt;=$J$4,'领用录入（明细）'!C:C&lt;=$L$4),ROW(),"-")</f>
        <v>-</v>
      </c>
    </row>
    <row r="14843" customHeight="1" spans="2:2">
      <c r="B14843" s="62" t="str">
        <f>IF(AND('领用录入（明细）'!D:D=$F$4,'领用录入（明细）'!C:C&gt;=$J$4,'领用录入（明细）'!C:C&lt;=$L$4),ROW(),"-")</f>
        <v>-</v>
      </c>
    </row>
    <row r="14844" customHeight="1" spans="2:2">
      <c r="B14844" s="62" t="str">
        <f>IF(AND('领用录入（明细）'!D:D=$F$4,'领用录入（明细）'!C:C&gt;=$J$4,'领用录入（明细）'!C:C&lt;=$L$4),ROW(),"-")</f>
        <v>-</v>
      </c>
    </row>
    <row r="14845" customHeight="1" spans="2:2">
      <c r="B14845" s="62" t="str">
        <f>IF(AND('领用录入（明细）'!D:D=$F$4,'领用录入（明细）'!C:C&gt;=$J$4,'领用录入（明细）'!C:C&lt;=$L$4),ROW(),"-")</f>
        <v>-</v>
      </c>
    </row>
    <row r="14846" customHeight="1" spans="2:2">
      <c r="B14846" s="62" t="str">
        <f>IF(AND('领用录入（明细）'!D:D=$F$4,'领用录入（明细）'!C:C&gt;=$J$4,'领用录入（明细）'!C:C&lt;=$L$4),ROW(),"-")</f>
        <v>-</v>
      </c>
    </row>
    <row r="14847" customHeight="1" spans="2:2">
      <c r="B14847" s="62" t="str">
        <f>IF(AND('领用录入（明细）'!D:D=$F$4,'领用录入（明细）'!C:C&gt;=$J$4,'领用录入（明细）'!C:C&lt;=$L$4),ROW(),"-")</f>
        <v>-</v>
      </c>
    </row>
    <row r="14848" customHeight="1" spans="2:2">
      <c r="B14848" s="62" t="str">
        <f>IF(AND('领用录入（明细）'!D:D=$F$4,'领用录入（明细）'!C:C&gt;=$J$4,'领用录入（明细）'!C:C&lt;=$L$4),ROW(),"-")</f>
        <v>-</v>
      </c>
    </row>
    <row r="14849" customHeight="1" spans="2:2">
      <c r="B14849" s="62" t="str">
        <f>IF(AND('领用录入（明细）'!D:D=$F$4,'领用录入（明细）'!C:C&gt;=$J$4,'领用录入（明细）'!C:C&lt;=$L$4),ROW(),"-")</f>
        <v>-</v>
      </c>
    </row>
    <row r="14850" customHeight="1" spans="2:2">
      <c r="B14850" s="62" t="str">
        <f>IF(AND('领用录入（明细）'!D:D=$F$4,'领用录入（明细）'!C:C&gt;=$J$4,'领用录入（明细）'!C:C&lt;=$L$4),ROW(),"-")</f>
        <v>-</v>
      </c>
    </row>
    <row r="14851" customHeight="1" spans="2:2">
      <c r="B14851" s="62" t="str">
        <f>IF(AND('领用录入（明细）'!D:D=$F$4,'领用录入（明细）'!C:C&gt;=$J$4,'领用录入（明细）'!C:C&lt;=$L$4),ROW(),"-")</f>
        <v>-</v>
      </c>
    </row>
    <row r="14852" customHeight="1" spans="2:2">
      <c r="B14852" s="62" t="str">
        <f>IF(AND('领用录入（明细）'!D:D=$F$4,'领用录入（明细）'!C:C&gt;=$J$4,'领用录入（明细）'!C:C&lt;=$L$4),ROW(),"-")</f>
        <v>-</v>
      </c>
    </row>
    <row r="14853" customHeight="1" spans="2:2">
      <c r="B14853" s="62" t="str">
        <f>IF(AND('领用录入（明细）'!D:D=$F$4,'领用录入（明细）'!C:C&gt;=$J$4,'领用录入（明细）'!C:C&lt;=$L$4),ROW(),"-")</f>
        <v>-</v>
      </c>
    </row>
    <row r="14854" customHeight="1" spans="2:2">
      <c r="B14854" s="62" t="str">
        <f>IF(AND('领用录入（明细）'!D:D=$F$4,'领用录入（明细）'!C:C&gt;=$J$4,'领用录入（明细）'!C:C&lt;=$L$4),ROW(),"-")</f>
        <v>-</v>
      </c>
    </row>
    <row r="14855" customHeight="1" spans="2:2">
      <c r="B14855" s="62" t="str">
        <f>IF(AND('领用录入（明细）'!D:D=$F$4,'领用录入（明细）'!C:C&gt;=$J$4,'领用录入（明细）'!C:C&lt;=$L$4),ROW(),"-")</f>
        <v>-</v>
      </c>
    </row>
    <row r="14856" customHeight="1" spans="2:2">
      <c r="B14856" s="62" t="str">
        <f>IF(AND('领用录入（明细）'!D:D=$F$4,'领用录入（明细）'!C:C&gt;=$J$4,'领用录入（明细）'!C:C&lt;=$L$4),ROW(),"-")</f>
        <v>-</v>
      </c>
    </row>
    <row r="14857" customHeight="1" spans="2:2">
      <c r="B14857" s="62" t="str">
        <f>IF(AND('领用录入（明细）'!D:D=$F$4,'领用录入（明细）'!C:C&gt;=$J$4,'领用录入（明细）'!C:C&lt;=$L$4),ROW(),"-")</f>
        <v>-</v>
      </c>
    </row>
    <row r="14858" customHeight="1" spans="2:2">
      <c r="B14858" s="62" t="str">
        <f>IF(AND('领用录入（明细）'!D:D=$F$4,'领用录入（明细）'!C:C&gt;=$J$4,'领用录入（明细）'!C:C&lt;=$L$4),ROW(),"-")</f>
        <v>-</v>
      </c>
    </row>
    <row r="14859" customHeight="1" spans="2:2">
      <c r="B14859" s="62" t="str">
        <f>IF(AND('领用录入（明细）'!D:D=$F$4,'领用录入（明细）'!C:C&gt;=$J$4,'领用录入（明细）'!C:C&lt;=$L$4),ROW(),"-")</f>
        <v>-</v>
      </c>
    </row>
    <row r="14860" customHeight="1" spans="2:2">
      <c r="B14860" s="62" t="str">
        <f>IF(AND('领用录入（明细）'!D:D=$F$4,'领用录入（明细）'!C:C&gt;=$J$4,'领用录入（明细）'!C:C&lt;=$L$4),ROW(),"-")</f>
        <v>-</v>
      </c>
    </row>
    <row r="14861" customHeight="1" spans="2:2">
      <c r="B14861" s="62" t="str">
        <f>IF(AND('领用录入（明细）'!D:D=$F$4,'领用录入（明细）'!C:C&gt;=$J$4,'领用录入（明细）'!C:C&lt;=$L$4),ROW(),"-")</f>
        <v>-</v>
      </c>
    </row>
    <row r="14862" customHeight="1" spans="2:2">
      <c r="B14862" s="62" t="str">
        <f>IF(AND('领用录入（明细）'!D:D=$F$4,'领用录入（明细）'!C:C&gt;=$J$4,'领用录入（明细）'!C:C&lt;=$L$4),ROW(),"-")</f>
        <v>-</v>
      </c>
    </row>
    <row r="14863" customHeight="1" spans="2:2">
      <c r="B14863" s="62" t="str">
        <f>IF(AND('领用录入（明细）'!D:D=$F$4,'领用录入（明细）'!C:C&gt;=$J$4,'领用录入（明细）'!C:C&lt;=$L$4),ROW(),"-")</f>
        <v>-</v>
      </c>
    </row>
    <row r="14864" customHeight="1" spans="2:2">
      <c r="B14864" s="62" t="str">
        <f>IF(AND('领用录入（明细）'!D:D=$F$4,'领用录入（明细）'!C:C&gt;=$J$4,'领用录入（明细）'!C:C&lt;=$L$4),ROW(),"-")</f>
        <v>-</v>
      </c>
    </row>
    <row r="14865" customHeight="1" spans="2:2">
      <c r="B14865" s="62" t="str">
        <f>IF(AND('领用录入（明细）'!D:D=$F$4,'领用录入（明细）'!C:C&gt;=$J$4,'领用录入（明细）'!C:C&lt;=$L$4),ROW(),"-")</f>
        <v>-</v>
      </c>
    </row>
    <row r="14866" customHeight="1" spans="2:2">
      <c r="B14866" s="62" t="str">
        <f>IF(AND('领用录入（明细）'!D:D=$F$4,'领用录入（明细）'!C:C&gt;=$J$4,'领用录入（明细）'!C:C&lt;=$L$4),ROW(),"-")</f>
        <v>-</v>
      </c>
    </row>
    <row r="14867" customHeight="1" spans="2:2">
      <c r="B14867" s="62" t="str">
        <f>IF(AND('领用录入（明细）'!D:D=$F$4,'领用录入（明细）'!C:C&gt;=$J$4,'领用录入（明细）'!C:C&lt;=$L$4),ROW(),"-")</f>
        <v>-</v>
      </c>
    </row>
    <row r="14868" customHeight="1" spans="2:2">
      <c r="B14868" s="62" t="str">
        <f>IF(AND('领用录入（明细）'!D:D=$F$4,'领用录入（明细）'!C:C&gt;=$J$4,'领用录入（明细）'!C:C&lt;=$L$4),ROW(),"-")</f>
        <v>-</v>
      </c>
    </row>
    <row r="14869" customHeight="1" spans="2:2">
      <c r="B14869" s="62" t="str">
        <f>IF(AND('领用录入（明细）'!D:D=$F$4,'领用录入（明细）'!C:C&gt;=$J$4,'领用录入（明细）'!C:C&lt;=$L$4),ROW(),"-")</f>
        <v>-</v>
      </c>
    </row>
    <row r="14870" customHeight="1" spans="2:2">
      <c r="B14870" s="62" t="str">
        <f>IF(AND('领用录入（明细）'!D:D=$F$4,'领用录入（明细）'!C:C&gt;=$J$4,'领用录入（明细）'!C:C&lt;=$L$4),ROW(),"-")</f>
        <v>-</v>
      </c>
    </row>
    <row r="14871" customHeight="1" spans="2:2">
      <c r="B14871" s="62" t="str">
        <f>IF(AND('领用录入（明细）'!D:D=$F$4,'领用录入（明细）'!C:C&gt;=$J$4,'领用录入（明细）'!C:C&lt;=$L$4),ROW(),"-")</f>
        <v>-</v>
      </c>
    </row>
    <row r="14872" customHeight="1" spans="2:2">
      <c r="B14872" s="62" t="str">
        <f>IF(AND('领用录入（明细）'!D:D=$F$4,'领用录入（明细）'!C:C&gt;=$J$4,'领用录入（明细）'!C:C&lt;=$L$4),ROW(),"-")</f>
        <v>-</v>
      </c>
    </row>
    <row r="14873" customHeight="1" spans="2:2">
      <c r="B14873" s="62" t="str">
        <f>IF(AND('领用录入（明细）'!D:D=$F$4,'领用录入（明细）'!C:C&gt;=$J$4,'领用录入（明细）'!C:C&lt;=$L$4),ROW(),"-")</f>
        <v>-</v>
      </c>
    </row>
    <row r="14874" customHeight="1" spans="2:2">
      <c r="B14874" s="62" t="str">
        <f>IF(AND('领用录入（明细）'!D:D=$F$4,'领用录入（明细）'!C:C&gt;=$J$4,'领用录入（明细）'!C:C&lt;=$L$4),ROW(),"-")</f>
        <v>-</v>
      </c>
    </row>
    <row r="14875" customHeight="1" spans="2:2">
      <c r="B14875" s="62" t="str">
        <f>IF(AND('领用录入（明细）'!D:D=$F$4,'领用录入（明细）'!C:C&gt;=$J$4,'领用录入（明细）'!C:C&lt;=$L$4),ROW(),"-")</f>
        <v>-</v>
      </c>
    </row>
    <row r="14876" customHeight="1" spans="2:2">
      <c r="B14876" s="62" t="str">
        <f>IF(AND('领用录入（明细）'!D:D=$F$4,'领用录入（明细）'!C:C&gt;=$J$4,'领用录入（明细）'!C:C&lt;=$L$4),ROW(),"-")</f>
        <v>-</v>
      </c>
    </row>
    <row r="14877" customHeight="1" spans="2:2">
      <c r="B14877" s="62" t="str">
        <f>IF(AND('领用录入（明细）'!D:D=$F$4,'领用录入（明细）'!C:C&gt;=$J$4,'领用录入（明细）'!C:C&lt;=$L$4),ROW(),"-")</f>
        <v>-</v>
      </c>
    </row>
    <row r="14878" customHeight="1" spans="2:2">
      <c r="B14878" s="62" t="str">
        <f>IF(AND('领用录入（明细）'!D:D=$F$4,'领用录入（明细）'!C:C&gt;=$J$4,'领用录入（明细）'!C:C&lt;=$L$4),ROW(),"-")</f>
        <v>-</v>
      </c>
    </row>
    <row r="14879" customHeight="1" spans="2:2">
      <c r="B14879" s="62" t="str">
        <f>IF(AND('领用录入（明细）'!D:D=$F$4,'领用录入（明细）'!C:C&gt;=$J$4,'领用录入（明细）'!C:C&lt;=$L$4),ROW(),"-")</f>
        <v>-</v>
      </c>
    </row>
    <row r="14880" customHeight="1" spans="2:2">
      <c r="B14880" s="62" t="str">
        <f>IF(AND('领用录入（明细）'!D:D=$F$4,'领用录入（明细）'!C:C&gt;=$J$4,'领用录入（明细）'!C:C&lt;=$L$4),ROW(),"-")</f>
        <v>-</v>
      </c>
    </row>
    <row r="14881" customHeight="1" spans="2:2">
      <c r="B14881" s="62" t="str">
        <f>IF(AND('领用录入（明细）'!D:D=$F$4,'领用录入（明细）'!C:C&gt;=$J$4,'领用录入（明细）'!C:C&lt;=$L$4),ROW(),"-")</f>
        <v>-</v>
      </c>
    </row>
    <row r="14882" customHeight="1" spans="2:2">
      <c r="B14882" s="62" t="str">
        <f>IF(AND('领用录入（明细）'!D:D=$F$4,'领用录入（明细）'!C:C&gt;=$J$4,'领用录入（明细）'!C:C&lt;=$L$4),ROW(),"-")</f>
        <v>-</v>
      </c>
    </row>
    <row r="14883" customHeight="1" spans="2:2">
      <c r="B14883" s="62" t="str">
        <f>IF(AND('领用录入（明细）'!D:D=$F$4,'领用录入（明细）'!C:C&gt;=$J$4,'领用录入（明细）'!C:C&lt;=$L$4),ROW(),"-")</f>
        <v>-</v>
      </c>
    </row>
    <row r="14884" customHeight="1" spans="2:2">
      <c r="B14884" s="62" t="str">
        <f>IF(AND('领用录入（明细）'!D:D=$F$4,'领用录入（明细）'!C:C&gt;=$J$4,'领用录入（明细）'!C:C&lt;=$L$4),ROW(),"-")</f>
        <v>-</v>
      </c>
    </row>
    <row r="14885" customHeight="1" spans="2:2">
      <c r="B14885" s="62" t="str">
        <f>IF(AND('领用录入（明细）'!D:D=$F$4,'领用录入（明细）'!C:C&gt;=$J$4,'领用录入（明细）'!C:C&lt;=$L$4),ROW(),"-")</f>
        <v>-</v>
      </c>
    </row>
    <row r="14886" customHeight="1" spans="2:2">
      <c r="B14886" s="62" t="str">
        <f>IF(AND('领用录入（明细）'!D:D=$F$4,'领用录入（明细）'!C:C&gt;=$J$4,'领用录入（明细）'!C:C&lt;=$L$4),ROW(),"-")</f>
        <v>-</v>
      </c>
    </row>
    <row r="14887" customHeight="1" spans="2:2">
      <c r="B14887" s="62" t="str">
        <f>IF(AND('领用录入（明细）'!D:D=$F$4,'领用录入（明细）'!C:C&gt;=$J$4,'领用录入（明细）'!C:C&lt;=$L$4),ROW(),"-")</f>
        <v>-</v>
      </c>
    </row>
    <row r="14888" customHeight="1" spans="2:2">
      <c r="B14888" s="62" t="str">
        <f>IF(AND('领用录入（明细）'!D:D=$F$4,'领用录入（明细）'!C:C&gt;=$J$4,'领用录入（明细）'!C:C&lt;=$L$4),ROW(),"-")</f>
        <v>-</v>
      </c>
    </row>
    <row r="14889" customHeight="1" spans="2:2">
      <c r="B14889" s="62" t="str">
        <f>IF(AND('领用录入（明细）'!D:D=$F$4,'领用录入（明细）'!C:C&gt;=$J$4,'领用录入（明细）'!C:C&lt;=$L$4),ROW(),"-")</f>
        <v>-</v>
      </c>
    </row>
    <row r="14890" customHeight="1" spans="2:2">
      <c r="B14890" s="62" t="str">
        <f>IF(AND('领用录入（明细）'!D:D=$F$4,'领用录入（明细）'!C:C&gt;=$J$4,'领用录入（明细）'!C:C&lt;=$L$4),ROW(),"-")</f>
        <v>-</v>
      </c>
    </row>
    <row r="14891" customHeight="1" spans="2:2">
      <c r="B14891" s="62" t="str">
        <f>IF(AND('领用录入（明细）'!D:D=$F$4,'领用录入（明细）'!C:C&gt;=$J$4,'领用录入（明细）'!C:C&lt;=$L$4),ROW(),"-")</f>
        <v>-</v>
      </c>
    </row>
    <row r="14892" customHeight="1" spans="2:2">
      <c r="B14892" s="62" t="str">
        <f>IF(AND('领用录入（明细）'!D:D=$F$4,'领用录入（明细）'!C:C&gt;=$J$4,'领用录入（明细）'!C:C&lt;=$L$4),ROW(),"-")</f>
        <v>-</v>
      </c>
    </row>
    <row r="14893" customHeight="1" spans="2:2">
      <c r="B14893" s="62" t="str">
        <f>IF(AND('领用录入（明细）'!D:D=$F$4,'领用录入（明细）'!C:C&gt;=$J$4,'领用录入（明细）'!C:C&lt;=$L$4),ROW(),"-")</f>
        <v>-</v>
      </c>
    </row>
    <row r="14894" customHeight="1" spans="2:2">
      <c r="B14894" s="62" t="str">
        <f>IF(AND('领用录入（明细）'!D:D=$F$4,'领用录入（明细）'!C:C&gt;=$J$4,'领用录入（明细）'!C:C&lt;=$L$4),ROW(),"-")</f>
        <v>-</v>
      </c>
    </row>
    <row r="14895" customHeight="1" spans="2:2">
      <c r="B14895" s="62" t="str">
        <f>IF(AND('领用录入（明细）'!D:D=$F$4,'领用录入（明细）'!C:C&gt;=$J$4,'领用录入（明细）'!C:C&lt;=$L$4),ROW(),"-")</f>
        <v>-</v>
      </c>
    </row>
    <row r="14896" customHeight="1" spans="2:2">
      <c r="B14896" s="62" t="str">
        <f>IF(AND('领用录入（明细）'!D:D=$F$4,'领用录入（明细）'!C:C&gt;=$J$4,'领用录入（明细）'!C:C&lt;=$L$4),ROW(),"-")</f>
        <v>-</v>
      </c>
    </row>
    <row r="14897" customHeight="1" spans="2:2">
      <c r="B14897" s="62" t="str">
        <f>IF(AND('领用录入（明细）'!D:D=$F$4,'领用录入（明细）'!C:C&gt;=$J$4,'领用录入（明细）'!C:C&lt;=$L$4),ROW(),"-")</f>
        <v>-</v>
      </c>
    </row>
    <row r="14898" customHeight="1" spans="2:2">
      <c r="B14898" s="62" t="str">
        <f>IF(AND('领用录入（明细）'!D:D=$F$4,'领用录入（明细）'!C:C&gt;=$J$4,'领用录入（明细）'!C:C&lt;=$L$4),ROW(),"-")</f>
        <v>-</v>
      </c>
    </row>
    <row r="14899" customHeight="1" spans="2:2">
      <c r="B14899" s="62" t="str">
        <f>IF(AND('领用录入（明细）'!D:D=$F$4,'领用录入（明细）'!C:C&gt;=$J$4,'领用录入（明细）'!C:C&lt;=$L$4),ROW(),"-")</f>
        <v>-</v>
      </c>
    </row>
    <row r="14900" customHeight="1" spans="2:2">
      <c r="B14900" s="62" t="str">
        <f>IF(AND('领用录入（明细）'!D:D=$F$4,'领用录入（明细）'!C:C&gt;=$J$4,'领用录入（明细）'!C:C&lt;=$L$4),ROW(),"-")</f>
        <v>-</v>
      </c>
    </row>
    <row r="14901" customHeight="1" spans="2:2">
      <c r="B14901" s="62" t="str">
        <f>IF(AND('领用录入（明细）'!D:D=$F$4,'领用录入（明细）'!C:C&gt;=$J$4,'领用录入（明细）'!C:C&lt;=$L$4),ROW(),"-")</f>
        <v>-</v>
      </c>
    </row>
    <row r="14902" customHeight="1" spans="2:2">
      <c r="B14902" s="62" t="str">
        <f>IF(AND('领用录入（明细）'!D:D=$F$4,'领用录入（明细）'!C:C&gt;=$J$4,'领用录入（明细）'!C:C&lt;=$L$4),ROW(),"-")</f>
        <v>-</v>
      </c>
    </row>
    <row r="14903" customHeight="1" spans="2:2">
      <c r="B14903" s="62" t="str">
        <f>IF(AND('领用录入（明细）'!D:D=$F$4,'领用录入（明细）'!C:C&gt;=$J$4,'领用录入（明细）'!C:C&lt;=$L$4),ROW(),"-")</f>
        <v>-</v>
      </c>
    </row>
    <row r="14904" customHeight="1" spans="2:2">
      <c r="B14904" s="62" t="str">
        <f>IF(AND('领用录入（明细）'!D:D=$F$4,'领用录入（明细）'!C:C&gt;=$J$4,'领用录入（明细）'!C:C&lt;=$L$4),ROW(),"-")</f>
        <v>-</v>
      </c>
    </row>
    <row r="14905" customHeight="1" spans="2:2">
      <c r="B14905" s="62" t="str">
        <f>IF(AND('领用录入（明细）'!D:D=$F$4,'领用录入（明细）'!C:C&gt;=$J$4,'领用录入（明细）'!C:C&lt;=$L$4),ROW(),"-")</f>
        <v>-</v>
      </c>
    </row>
    <row r="14906" customHeight="1" spans="2:2">
      <c r="B14906" s="62" t="str">
        <f>IF(AND('领用录入（明细）'!D:D=$F$4,'领用录入（明细）'!C:C&gt;=$J$4,'领用录入（明细）'!C:C&lt;=$L$4),ROW(),"-")</f>
        <v>-</v>
      </c>
    </row>
    <row r="14907" customHeight="1" spans="2:2">
      <c r="B14907" s="62" t="str">
        <f>IF(AND('领用录入（明细）'!D:D=$F$4,'领用录入（明细）'!C:C&gt;=$J$4,'领用录入（明细）'!C:C&lt;=$L$4),ROW(),"-")</f>
        <v>-</v>
      </c>
    </row>
    <row r="14908" customHeight="1" spans="2:2">
      <c r="B14908" s="62" t="str">
        <f>IF(AND('领用录入（明细）'!D:D=$F$4,'领用录入（明细）'!C:C&gt;=$J$4,'领用录入（明细）'!C:C&lt;=$L$4),ROW(),"-")</f>
        <v>-</v>
      </c>
    </row>
    <row r="14909" customHeight="1" spans="2:2">
      <c r="B14909" s="62" t="str">
        <f>IF(AND('领用录入（明细）'!D:D=$F$4,'领用录入（明细）'!C:C&gt;=$J$4,'领用录入（明细）'!C:C&lt;=$L$4),ROW(),"-")</f>
        <v>-</v>
      </c>
    </row>
    <row r="14910" customHeight="1" spans="2:2">
      <c r="B14910" s="62" t="str">
        <f>IF(AND('领用录入（明细）'!D:D=$F$4,'领用录入（明细）'!C:C&gt;=$J$4,'领用录入（明细）'!C:C&lt;=$L$4),ROW(),"-")</f>
        <v>-</v>
      </c>
    </row>
    <row r="14911" customHeight="1" spans="2:2">
      <c r="B14911" s="62" t="str">
        <f>IF(AND('领用录入（明细）'!D:D=$F$4,'领用录入（明细）'!C:C&gt;=$J$4,'领用录入（明细）'!C:C&lt;=$L$4),ROW(),"-")</f>
        <v>-</v>
      </c>
    </row>
    <row r="14912" customHeight="1" spans="2:2">
      <c r="B14912" s="62" t="str">
        <f>IF(AND('领用录入（明细）'!D:D=$F$4,'领用录入（明细）'!C:C&gt;=$J$4,'领用录入（明细）'!C:C&lt;=$L$4),ROW(),"-")</f>
        <v>-</v>
      </c>
    </row>
    <row r="14913" customHeight="1" spans="2:2">
      <c r="B14913" s="62" t="str">
        <f>IF(AND('领用录入（明细）'!D:D=$F$4,'领用录入（明细）'!C:C&gt;=$J$4,'领用录入（明细）'!C:C&lt;=$L$4),ROW(),"-")</f>
        <v>-</v>
      </c>
    </row>
    <row r="14914" customHeight="1" spans="2:2">
      <c r="B14914" s="62" t="str">
        <f>IF(AND('领用录入（明细）'!D:D=$F$4,'领用录入（明细）'!C:C&gt;=$J$4,'领用录入（明细）'!C:C&lt;=$L$4),ROW(),"-")</f>
        <v>-</v>
      </c>
    </row>
    <row r="14915" customHeight="1" spans="2:2">
      <c r="B14915" s="62" t="str">
        <f>IF(AND('领用录入（明细）'!D:D=$F$4,'领用录入（明细）'!C:C&gt;=$J$4,'领用录入（明细）'!C:C&lt;=$L$4),ROW(),"-")</f>
        <v>-</v>
      </c>
    </row>
    <row r="14916" customHeight="1" spans="2:2">
      <c r="B14916" s="62" t="str">
        <f>IF(AND('领用录入（明细）'!D:D=$F$4,'领用录入（明细）'!C:C&gt;=$J$4,'领用录入（明细）'!C:C&lt;=$L$4),ROW(),"-")</f>
        <v>-</v>
      </c>
    </row>
    <row r="14917" customHeight="1" spans="2:2">
      <c r="B14917" s="62" t="str">
        <f>IF(AND('领用录入（明细）'!D:D=$F$4,'领用录入（明细）'!C:C&gt;=$J$4,'领用录入（明细）'!C:C&lt;=$L$4),ROW(),"-")</f>
        <v>-</v>
      </c>
    </row>
    <row r="14918" customHeight="1" spans="2:2">
      <c r="B14918" s="62" t="str">
        <f>IF(AND('领用录入（明细）'!D:D=$F$4,'领用录入（明细）'!C:C&gt;=$J$4,'领用录入（明细）'!C:C&lt;=$L$4),ROW(),"-")</f>
        <v>-</v>
      </c>
    </row>
    <row r="14919" customHeight="1" spans="2:2">
      <c r="B14919" s="62" t="str">
        <f>IF(AND('领用录入（明细）'!D:D=$F$4,'领用录入（明细）'!C:C&gt;=$J$4,'领用录入（明细）'!C:C&lt;=$L$4),ROW(),"-")</f>
        <v>-</v>
      </c>
    </row>
    <row r="14920" customHeight="1" spans="2:2">
      <c r="B14920" s="62" t="str">
        <f>IF(AND('领用录入（明细）'!D:D=$F$4,'领用录入（明细）'!C:C&gt;=$J$4,'领用录入（明细）'!C:C&lt;=$L$4),ROW(),"-")</f>
        <v>-</v>
      </c>
    </row>
    <row r="14921" customHeight="1" spans="2:2">
      <c r="B14921" s="62" t="str">
        <f>IF(AND('领用录入（明细）'!D:D=$F$4,'领用录入（明细）'!C:C&gt;=$J$4,'领用录入（明细）'!C:C&lt;=$L$4),ROW(),"-")</f>
        <v>-</v>
      </c>
    </row>
    <row r="14922" customHeight="1" spans="2:2">
      <c r="B14922" s="62" t="str">
        <f>IF(AND('领用录入（明细）'!D:D=$F$4,'领用录入（明细）'!C:C&gt;=$J$4,'领用录入（明细）'!C:C&lt;=$L$4),ROW(),"-")</f>
        <v>-</v>
      </c>
    </row>
    <row r="14923" customHeight="1" spans="2:2">
      <c r="B14923" s="62" t="str">
        <f>IF(AND('领用录入（明细）'!D:D=$F$4,'领用录入（明细）'!C:C&gt;=$J$4,'领用录入（明细）'!C:C&lt;=$L$4),ROW(),"-")</f>
        <v>-</v>
      </c>
    </row>
    <row r="14924" customHeight="1" spans="2:2">
      <c r="B14924" s="62" t="str">
        <f>IF(AND('领用录入（明细）'!D:D=$F$4,'领用录入（明细）'!C:C&gt;=$J$4,'领用录入（明细）'!C:C&lt;=$L$4),ROW(),"-")</f>
        <v>-</v>
      </c>
    </row>
    <row r="14925" customHeight="1" spans="2:2">
      <c r="B14925" s="62" t="str">
        <f>IF(AND('领用录入（明细）'!D:D=$F$4,'领用录入（明细）'!C:C&gt;=$J$4,'领用录入（明细）'!C:C&lt;=$L$4),ROW(),"-")</f>
        <v>-</v>
      </c>
    </row>
    <row r="14926" customHeight="1" spans="2:2">
      <c r="B14926" s="62" t="str">
        <f>IF(AND('领用录入（明细）'!D:D=$F$4,'领用录入（明细）'!C:C&gt;=$J$4,'领用录入（明细）'!C:C&lt;=$L$4),ROW(),"-")</f>
        <v>-</v>
      </c>
    </row>
    <row r="14927" customHeight="1" spans="2:2">
      <c r="B14927" s="62" t="str">
        <f>IF(AND('领用录入（明细）'!D:D=$F$4,'领用录入（明细）'!C:C&gt;=$J$4,'领用录入（明细）'!C:C&lt;=$L$4),ROW(),"-")</f>
        <v>-</v>
      </c>
    </row>
    <row r="14928" customHeight="1" spans="2:2">
      <c r="B14928" s="62" t="str">
        <f>IF(AND('领用录入（明细）'!D:D=$F$4,'领用录入（明细）'!C:C&gt;=$J$4,'领用录入（明细）'!C:C&lt;=$L$4),ROW(),"-")</f>
        <v>-</v>
      </c>
    </row>
    <row r="14929" customHeight="1" spans="2:2">
      <c r="B14929" s="62" t="str">
        <f>IF(AND('领用录入（明细）'!D:D=$F$4,'领用录入（明细）'!C:C&gt;=$J$4,'领用录入（明细）'!C:C&lt;=$L$4),ROW(),"-")</f>
        <v>-</v>
      </c>
    </row>
    <row r="14930" customHeight="1" spans="2:2">
      <c r="B14930" s="62" t="str">
        <f>IF(AND('领用录入（明细）'!D:D=$F$4,'领用录入（明细）'!C:C&gt;=$J$4,'领用录入（明细）'!C:C&lt;=$L$4),ROW(),"-")</f>
        <v>-</v>
      </c>
    </row>
    <row r="14931" customHeight="1" spans="2:2">
      <c r="B14931" s="62" t="str">
        <f>IF(AND('领用录入（明细）'!D:D=$F$4,'领用录入（明细）'!C:C&gt;=$J$4,'领用录入（明细）'!C:C&lt;=$L$4),ROW(),"-")</f>
        <v>-</v>
      </c>
    </row>
    <row r="14932" customHeight="1" spans="2:2">
      <c r="B14932" s="62" t="str">
        <f>IF(AND('领用录入（明细）'!D:D=$F$4,'领用录入（明细）'!C:C&gt;=$J$4,'领用录入（明细）'!C:C&lt;=$L$4),ROW(),"-")</f>
        <v>-</v>
      </c>
    </row>
    <row r="14933" customHeight="1" spans="2:2">
      <c r="B14933" s="62" t="str">
        <f>IF(AND('领用录入（明细）'!D:D=$F$4,'领用录入（明细）'!C:C&gt;=$J$4,'领用录入（明细）'!C:C&lt;=$L$4),ROW(),"-")</f>
        <v>-</v>
      </c>
    </row>
    <row r="14934" customHeight="1" spans="2:2">
      <c r="B14934" s="62" t="str">
        <f>IF(AND('领用录入（明细）'!D:D=$F$4,'领用录入（明细）'!C:C&gt;=$J$4,'领用录入（明细）'!C:C&lt;=$L$4),ROW(),"-")</f>
        <v>-</v>
      </c>
    </row>
    <row r="14935" customHeight="1" spans="2:2">
      <c r="B14935" s="62" t="str">
        <f>IF(AND('领用录入（明细）'!D:D=$F$4,'领用录入（明细）'!C:C&gt;=$J$4,'领用录入（明细）'!C:C&lt;=$L$4),ROW(),"-")</f>
        <v>-</v>
      </c>
    </row>
    <row r="14936" customHeight="1" spans="2:2">
      <c r="B14936" s="62" t="str">
        <f>IF(AND('领用录入（明细）'!D:D=$F$4,'领用录入（明细）'!C:C&gt;=$J$4,'领用录入（明细）'!C:C&lt;=$L$4),ROW(),"-")</f>
        <v>-</v>
      </c>
    </row>
    <row r="14937" customHeight="1" spans="2:2">
      <c r="B14937" s="62" t="str">
        <f>IF(AND('领用录入（明细）'!D:D=$F$4,'领用录入（明细）'!C:C&gt;=$J$4,'领用录入（明细）'!C:C&lt;=$L$4),ROW(),"-")</f>
        <v>-</v>
      </c>
    </row>
    <row r="14938" customHeight="1" spans="2:2">
      <c r="B14938" s="62" t="str">
        <f>IF(AND('领用录入（明细）'!D:D=$F$4,'领用录入（明细）'!C:C&gt;=$J$4,'领用录入（明细）'!C:C&lt;=$L$4),ROW(),"-")</f>
        <v>-</v>
      </c>
    </row>
    <row r="14939" customHeight="1" spans="2:2">
      <c r="B14939" s="62" t="str">
        <f>IF(AND('领用录入（明细）'!D:D=$F$4,'领用录入（明细）'!C:C&gt;=$J$4,'领用录入（明细）'!C:C&lt;=$L$4),ROW(),"-")</f>
        <v>-</v>
      </c>
    </row>
    <row r="14940" customHeight="1" spans="2:2">
      <c r="B14940" s="62" t="str">
        <f>IF(AND('领用录入（明细）'!D:D=$F$4,'领用录入（明细）'!C:C&gt;=$J$4,'领用录入（明细）'!C:C&lt;=$L$4),ROW(),"-")</f>
        <v>-</v>
      </c>
    </row>
    <row r="14941" customHeight="1" spans="2:2">
      <c r="B14941" s="62" t="str">
        <f>IF(AND('领用录入（明细）'!D:D=$F$4,'领用录入（明细）'!C:C&gt;=$J$4,'领用录入（明细）'!C:C&lt;=$L$4),ROW(),"-")</f>
        <v>-</v>
      </c>
    </row>
    <row r="14942" customHeight="1" spans="2:2">
      <c r="B14942" s="62" t="str">
        <f>IF(AND('领用录入（明细）'!D:D=$F$4,'领用录入（明细）'!C:C&gt;=$J$4,'领用录入（明细）'!C:C&lt;=$L$4),ROW(),"-")</f>
        <v>-</v>
      </c>
    </row>
    <row r="14943" customHeight="1" spans="2:2">
      <c r="B14943" s="62" t="str">
        <f>IF(AND('领用录入（明细）'!D:D=$F$4,'领用录入（明细）'!C:C&gt;=$J$4,'领用录入（明细）'!C:C&lt;=$L$4),ROW(),"-")</f>
        <v>-</v>
      </c>
    </row>
    <row r="14944" customHeight="1" spans="2:2">
      <c r="B14944" s="62" t="str">
        <f>IF(AND('领用录入（明细）'!D:D=$F$4,'领用录入（明细）'!C:C&gt;=$J$4,'领用录入（明细）'!C:C&lt;=$L$4),ROW(),"-")</f>
        <v>-</v>
      </c>
    </row>
    <row r="14945" customHeight="1" spans="2:2">
      <c r="B14945" s="62" t="str">
        <f>IF(AND('领用录入（明细）'!D:D=$F$4,'领用录入（明细）'!C:C&gt;=$J$4,'领用录入（明细）'!C:C&lt;=$L$4),ROW(),"-")</f>
        <v>-</v>
      </c>
    </row>
    <row r="14946" customHeight="1" spans="2:2">
      <c r="B14946" s="62" t="str">
        <f>IF(AND('领用录入（明细）'!D:D=$F$4,'领用录入（明细）'!C:C&gt;=$J$4,'领用录入（明细）'!C:C&lt;=$L$4),ROW(),"-")</f>
        <v>-</v>
      </c>
    </row>
    <row r="14947" customHeight="1" spans="2:2">
      <c r="B14947" s="62" t="str">
        <f>IF(AND('领用录入（明细）'!D:D=$F$4,'领用录入（明细）'!C:C&gt;=$J$4,'领用录入（明细）'!C:C&lt;=$L$4),ROW(),"-")</f>
        <v>-</v>
      </c>
    </row>
    <row r="14948" customHeight="1" spans="2:2">
      <c r="B14948" s="62" t="str">
        <f>IF(AND('领用录入（明细）'!D:D=$F$4,'领用录入（明细）'!C:C&gt;=$J$4,'领用录入（明细）'!C:C&lt;=$L$4),ROW(),"-")</f>
        <v>-</v>
      </c>
    </row>
    <row r="14949" customHeight="1" spans="2:2">
      <c r="B14949" s="62" t="str">
        <f>IF(AND('领用录入（明细）'!D:D=$F$4,'领用录入（明细）'!C:C&gt;=$J$4,'领用录入（明细）'!C:C&lt;=$L$4),ROW(),"-")</f>
        <v>-</v>
      </c>
    </row>
    <row r="14950" customHeight="1" spans="2:2">
      <c r="B14950" s="62" t="str">
        <f>IF(AND('领用录入（明细）'!D:D=$F$4,'领用录入（明细）'!C:C&gt;=$J$4,'领用录入（明细）'!C:C&lt;=$L$4),ROW(),"-")</f>
        <v>-</v>
      </c>
    </row>
    <row r="14951" customHeight="1" spans="2:2">
      <c r="B14951" s="62" t="str">
        <f>IF(AND('领用录入（明细）'!D:D=$F$4,'领用录入（明细）'!C:C&gt;=$J$4,'领用录入（明细）'!C:C&lt;=$L$4),ROW(),"-")</f>
        <v>-</v>
      </c>
    </row>
    <row r="14952" customHeight="1" spans="2:2">
      <c r="B14952" s="62" t="str">
        <f>IF(AND('领用录入（明细）'!D:D=$F$4,'领用录入（明细）'!C:C&gt;=$J$4,'领用录入（明细）'!C:C&lt;=$L$4),ROW(),"-")</f>
        <v>-</v>
      </c>
    </row>
    <row r="14953" customHeight="1" spans="2:2">
      <c r="B14953" s="62" t="str">
        <f>IF(AND('领用录入（明细）'!D:D=$F$4,'领用录入（明细）'!C:C&gt;=$J$4,'领用录入（明细）'!C:C&lt;=$L$4),ROW(),"-")</f>
        <v>-</v>
      </c>
    </row>
    <row r="14954" customHeight="1" spans="2:2">
      <c r="B14954" s="62" t="str">
        <f>IF(AND('领用录入（明细）'!D:D=$F$4,'领用录入（明细）'!C:C&gt;=$J$4,'领用录入（明细）'!C:C&lt;=$L$4),ROW(),"-")</f>
        <v>-</v>
      </c>
    </row>
    <row r="14955" customHeight="1" spans="2:2">
      <c r="B14955" s="62" t="str">
        <f>IF(AND('领用录入（明细）'!D:D=$F$4,'领用录入（明细）'!C:C&gt;=$J$4,'领用录入（明细）'!C:C&lt;=$L$4),ROW(),"-")</f>
        <v>-</v>
      </c>
    </row>
    <row r="14956" customHeight="1" spans="2:2">
      <c r="B14956" s="62" t="str">
        <f>IF(AND('领用录入（明细）'!D:D=$F$4,'领用录入（明细）'!C:C&gt;=$J$4,'领用录入（明细）'!C:C&lt;=$L$4),ROW(),"-")</f>
        <v>-</v>
      </c>
    </row>
    <row r="14957" customHeight="1" spans="2:2">
      <c r="B14957" s="62" t="str">
        <f>IF(AND('领用录入（明细）'!D:D=$F$4,'领用录入（明细）'!C:C&gt;=$J$4,'领用录入（明细）'!C:C&lt;=$L$4),ROW(),"-")</f>
        <v>-</v>
      </c>
    </row>
    <row r="14958" customHeight="1" spans="2:2">
      <c r="B14958" s="62" t="str">
        <f>IF(AND('领用录入（明细）'!D:D=$F$4,'领用录入（明细）'!C:C&gt;=$J$4,'领用录入（明细）'!C:C&lt;=$L$4),ROW(),"-")</f>
        <v>-</v>
      </c>
    </row>
    <row r="14959" customHeight="1" spans="2:2">
      <c r="B14959" s="62" t="str">
        <f>IF(AND('领用录入（明细）'!D:D=$F$4,'领用录入（明细）'!C:C&gt;=$J$4,'领用录入（明细）'!C:C&lt;=$L$4),ROW(),"-")</f>
        <v>-</v>
      </c>
    </row>
    <row r="14960" customHeight="1" spans="2:2">
      <c r="B14960" s="62" t="str">
        <f>IF(AND('领用录入（明细）'!D:D=$F$4,'领用录入（明细）'!C:C&gt;=$J$4,'领用录入（明细）'!C:C&lt;=$L$4),ROW(),"-")</f>
        <v>-</v>
      </c>
    </row>
    <row r="14961" customHeight="1" spans="2:2">
      <c r="B14961" s="62" t="str">
        <f>IF(AND('领用录入（明细）'!D:D=$F$4,'领用录入（明细）'!C:C&gt;=$J$4,'领用录入（明细）'!C:C&lt;=$L$4),ROW(),"-")</f>
        <v>-</v>
      </c>
    </row>
    <row r="14962" customHeight="1" spans="2:2">
      <c r="B14962" s="62" t="str">
        <f>IF(AND('领用录入（明细）'!D:D=$F$4,'领用录入（明细）'!C:C&gt;=$J$4,'领用录入（明细）'!C:C&lt;=$L$4),ROW(),"-")</f>
        <v>-</v>
      </c>
    </row>
    <row r="14963" customHeight="1" spans="2:2">
      <c r="B14963" s="62" t="str">
        <f>IF(AND('领用录入（明细）'!D:D=$F$4,'领用录入（明细）'!C:C&gt;=$J$4,'领用录入（明细）'!C:C&lt;=$L$4),ROW(),"-")</f>
        <v>-</v>
      </c>
    </row>
    <row r="14964" customHeight="1" spans="2:2">
      <c r="B14964" s="62" t="str">
        <f>IF(AND('领用录入（明细）'!D:D=$F$4,'领用录入（明细）'!C:C&gt;=$J$4,'领用录入（明细）'!C:C&lt;=$L$4),ROW(),"-")</f>
        <v>-</v>
      </c>
    </row>
    <row r="14965" customHeight="1" spans="2:2">
      <c r="B14965" s="62" t="str">
        <f>IF(AND('领用录入（明细）'!D:D=$F$4,'领用录入（明细）'!C:C&gt;=$J$4,'领用录入（明细）'!C:C&lt;=$L$4),ROW(),"-")</f>
        <v>-</v>
      </c>
    </row>
    <row r="14966" customHeight="1" spans="2:2">
      <c r="B14966" s="62" t="str">
        <f>IF(AND('领用录入（明细）'!D:D=$F$4,'领用录入（明细）'!C:C&gt;=$J$4,'领用录入（明细）'!C:C&lt;=$L$4),ROW(),"-")</f>
        <v>-</v>
      </c>
    </row>
    <row r="14967" customHeight="1" spans="2:2">
      <c r="B14967" s="62" t="str">
        <f>IF(AND('领用录入（明细）'!D:D=$F$4,'领用录入（明细）'!C:C&gt;=$J$4,'领用录入（明细）'!C:C&lt;=$L$4),ROW(),"-")</f>
        <v>-</v>
      </c>
    </row>
    <row r="14968" customHeight="1" spans="2:2">
      <c r="B14968" s="62" t="str">
        <f>IF(AND('领用录入（明细）'!D:D=$F$4,'领用录入（明细）'!C:C&gt;=$J$4,'领用录入（明细）'!C:C&lt;=$L$4),ROW(),"-")</f>
        <v>-</v>
      </c>
    </row>
    <row r="14969" customHeight="1" spans="2:2">
      <c r="B14969" s="62" t="str">
        <f>IF(AND('领用录入（明细）'!D:D=$F$4,'领用录入（明细）'!C:C&gt;=$J$4,'领用录入（明细）'!C:C&lt;=$L$4),ROW(),"-")</f>
        <v>-</v>
      </c>
    </row>
    <row r="14970" customHeight="1" spans="2:2">
      <c r="B14970" s="62" t="str">
        <f>IF(AND('领用录入（明细）'!D:D=$F$4,'领用录入（明细）'!C:C&gt;=$J$4,'领用录入（明细）'!C:C&lt;=$L$4),ROW(),"-")</f>
        <v>-</v>
      </c>
    </row>
    <row r="14971" customHeight="1" spans="2:2">
      <c r="B14971" s="62" t="str">
        <f>IF(AND('领用录入（明细）'!D:D=$F$4,'领用录入（明细）'!C:C&gt;=$J$4,'领用录入（明细）'!C:C&lt;=$L$4),ROW(),"-")</f>
        <v>-</v>
      </c>
    </row>
    <row r="14972" customHeight="1" spans="2:2">
      <c r="B14972" s="62" t="str">
        <f>IF(AND('领用录入（明细）'!D:D=$F$4,'领用录入（明细）'!C:C&gt;=$J$4,'领用录入（明细）'!C:C&lt;=$L$4),ROW(),"-")</f>
        <v>-</v>
      </c>
    </row>
    <row r="14973" customHeight="1" spans="2:2">
      <c r="B14973" s="62" t="str">
        <f>IF(AND('领用录入（明细）'!D:D=$F$4,'领用录入（明细）'!C:C&gt;=$J$4,'领用录入（明细）'!C:C&lt;=$L$4),ROW(),"-")</f>
        <v>-</v>
      </c>
    </row>
    <row r="14974" customHeight="1" spans="2:2">
      <c r="B14974" s="62" t="str">
        <f>IF(AND('领用录入（明细）'!D:D=$F$4,'领用录入（明细）'!C:C&gt;=$J$4,'领用录入（明细）'!C:C&lt;=$L$4),ROW(),"-")</f>
        <v>-</v>
      </c>
    </row>
    <row r="14975" customHeight="1" spans="2:2">
      <c r="B14975" s="62" t="str">
        <f>IF(AND('领用录入（明细）'!D:D=$F$4,'领用录入（明细）'!C:C&gt;=$J$4,'领用录入（明细）'!C:C&lt;=$L$4),ROW(),"-")</f>
        <v>-</v>
      </c>
    </row>
    <row r="14976" customHeight="1" spans="2:2">
      <c r="B14976" s="62" t="str">
        <f>IF(AND('领用录入（明细）'!D:D=$F$4,'领用录入（明细）'!C:C&gt;=$J$4,'领用录入（明细）'!C:C&lt;=$L$4),ROW(),"-")</f>
        <v>-</v>
      </c>
    </row>
    <row r="14977" customHeight="1" spans="2:2">
      <c r="B14977" s="62" t="str">
        <f>IF(AND('领用录入（明细）'!D:D=$F$4,'领用录入（明细）'!C:C&gt;=$J$4,'领用录入（明细）'!C:C&lt;=$L$4),ROW(),"-")</f>
        <v>-</v>
      </c>
    </row>
    <row r="14978" customHeight="1" spans="2:2">
      <c r="B14978" s="62" t="str">
        <f>IF(AND('领用录入（明细）'!D:D=$F$4,'领用录入（明细）'!C:C&gt;=$J$4,'领用录入（明细）'!C:C&lt;=$L$4),ROW(),"-")</f>
        <v>-</v>
      </c>
    </row>
    <row r="14979" customHeight="1" spans="2:2">
      <c r="B14979" s="62" t="str">
        <f>IF(AND('领用录入（明细）'!D:D=$F$4,'领用录入（明细）'!C:C&gt;=$J$4,'领用录入（明细）'!C:C&lt;=$L$4),ROW(),"-")</f>
        <v>-</v>
      </c>
    </row>
    <row r="14980" customHeight="1" spans="2:2">
      <c r="B14980" s="62" t="str">
        <f>IF(AND('领用录入（明细）'!D:D=$F$4,'领用录入（明细）'!C:C&gt;=$J$4,'领用录入（明细）'!C:C&lt;=$L$4),ROW(),"-")</f>
        <v>-</v>
      </c>
    </row>
    <row r="14981" customHeight="1" spans="2:2">
      <c r="B14981" s="62" t="str">
        <f>IF(AND('领用录入（明细）'!D:D=$F$4,'领用录入（明细）'!C:C&gt;=$J$4,'领用录入（明细）'!C:C&lt;=$L$4),ROW(),"-")</f>
        <v>-</v>
      </c>
    </row>
    <row r="14982" customHeight="1" spans="2:2">
      <c r="B14982" s="62" t="str">
        <f>IF(AND('领用录入（明细）'!D:D=$F$4,'领用录入（明细）'!C:C&gt;=$J$4,'领用录入（明细）'!C:C&lt;=$L$4),ROW(),"-")</f>
        <v>-</v>
      </c>
    </row>
    <row r="14983" customHeight="1" spans="2:2">
      <c r="B14983" s="62" t="str">
        <f>IF(AND('领用录入（明细）'!D:D=$F$4,'领用录入（明细）'!C:C&gt;=$J$4,'领用录入（明细）'!C:C&lt;=$L$4),ROW(),"-")</f>
        <v>-</v>
      </c>
    </row>
    <row r="14984" customHeight="1" spans="2:2">
      <c r="B14984" s="62" t="str">
        <f>IF(AND('领用录入（明细）'!D:D=$F$4,'领用录入（明细）'!C:C&gt;=$J$4,'领用录入（明细）'!C:C&lt;=$L$4),ROW(),"-")</f>
        <v>-</v>
      </c>
    </row>
    <row r="14985" customHeight="1" spans="2:2">
      <c r="B14985" s="62" t="str">
        <f>IF(AND('领用录入（明细）'!D:D=$F$4,'领用录入（明细）'!C:C&gt;=$J$4,'领用录入（明细）'!C:C&lt;=$L$4),ROW(),"-")</f>
        <v>-</v>
      </c>
    </row>
    <row r="14986" customHeight="1" spans="2:2">
      <c r="B14986" s="62" t="str">
        <f>IF(AND('领用录入（明细）'!D:D=$F$4,'领用录入（明细）'!C:C&gt;=$J$4,'领用录入（明细）'!C:C&lt;=$L$4),ROW(),"-")</f>
        <v>-</v>
      </c>
    </row>
    <row r="14987" customHeight="1" spans="2:2">
      <c r="B14987" s="62" t="str">
        <f>IF(AND('领用录入（明细）'!D:D=$F$4,'领用录入（明细）'!C:C&gt;=$J$4,'领用录入（明细）'!C:C&lt;=$L$4),ROW(),"-")</f>
        <v>-</v>
      </c>
    </row>
    <row r="14988" customHeight="1" spans="2:2">
      <c r="B14988" s="62" t="str">
        <f>IF(AND('领用录入（明细）'!D:D=$F$4,'领用录入（明细）'!C:C&gt;=$J$4,'领用录入（明细）'!C:C&lt;=$L$4),ROW(),"-")</f>
        <v>-</v>
      </c>
    </row>
    <row r="14989" customHeight="1" spans="2:2">
      <c r="B14989" s="62" t="str">
        <f>IF(AND('领用录入（明细）'!D:D=$F$4,'领用录入（明细）'!C:C&gt;=$J$4,'领用录入（明细）'!C:C&lt;=$L$4),ROW(),"-")</f>
        <v>-</v>
      </c>
    </row>
    <row r="14990" customHeight="1" spans="2:2">
      <c r="B14990" s="62" t="str">
        <f>IF(AND('领用录入（明细）'!D:D=$F$4,'领用录入（明细）'!C:C&gt;=$J$4,'领用录入（明细）'!C:C&lt;=$L$4),ROW(),"-")</f>
        <v>-</v>
      </c>
    </row>
    <row r="14991" customHeight="1" spans="2:2">
      <c r="B14991" s="62" t="str">
        <f>IF(AND('领用录入（明细）'!D:D=$F$4,'领用录入（明细）'!C:C&gt;=$J$4,'领用录入（明细）'!C:C&lt;=$L$4),ROW(),"-")</f>
        <v>-</v>
      </c>
    </row>
    <row r="14992" customHeight="1" spans="2:2">
      <c r="B14992" s="62" t="str">
        <f>IF(AND('领用录入（明细）'!D:D=$F$4,'领用录入（明细）'!C:C&gt;=$J$4,'领用录入（明细）'!C:C&lt;=$L$4),ROW(),"-")</f>
        <v>-</v>
      </c>
    </row>
    <row r="14993" customHeight="1" spans="2:2">
      <c r="B14993" s="62" t="str">
        <f>IF(AND('领用录入（明细）'!D:D=$F$4,'领用录入（明细）'!C:C&gt;=$J$4,'领用录入（明细）'!C:C&lt;=$L$4),ROW(),"-")</f>
        <v>-</v>
      </c>
    </row>
    <row r="14994" customHeight="1" spans="2:2">
      <c r="B14994" s="62" t="str">
        <f>IF(AND('领用录入（明细）'!D:D=$F$4,'领用录入（明细）'!C:C&gt;=$J$4,'领用录入（明细）'!C:C&lt;=$L$4),ROW(),"-")</f>
        <v>-</v>
      </c>
    </row>
    <row r="14995" customHeight="1" spans="2:2">
      <c r="B14995" s="62" t="str">
        <f>IF(AND('领用录入（明细）'!D:D=$F$4,'领用录入（明细）'!C:C&gt;=$J$4,'领用录入（明细）'!C:C&lt;=$L$4),ROW(),"-")</f>
        <v>-</v>
      </c>
    </row>
    <row r="14996" customHeight="1" spans="2:2">
      <c r="B14996" s="62" t="str">
        <f>IF(AND('领用录入（明细）'!D:D=$F$4,'领用录入（明细）'!C:C&gt;=$J$4,'领用录入（明细）'!C:C&lt;=$L$4),ROW(),"-")</f>
        <v>-</v>
      </c>
    </row>
    <row r="14997" customHeight="1" spans="2:2">
      <c r="B14997" s="62" t="str">
        <f>IF(AND('领用录入（明细）'!D:D=$F$4,'领用录入（明细）'!C:C&gt;=$J$4,'领用录入（明细）'!C:C&lt;=$L$4),ROW(),"-")</f>
        <v>-</v>
      </c>
    </row>
    <row r="14998" customHeight="1" spans="2:2">
      <c r="B14998" s="62" t="str">
        <f>IF(AND('领用录入（明细）'!D:D=$F$4,'领用录入（明细）'!C:C&gt;=$J$4,'领用录入（明细）'!C:C&lt;=$L$4),ROW(),"-")</f>
        <v>-</v>
      </c>
    </row>
    <row r="14999" customHeight="1" spans="2:2">
      <c r="B14999" s="62" t="str">
        <f>IF(AND('领用录入（明细）'!D:D=$F$4,'领用录入（明细）'!C:C&gt;=$J$4,'领用录入（明细）'!C:C&lt;=$L$4),ROW(),"-")</f>
        <v>-</v>
      </c>
    </row>
    <row r="15000" customHeight="1" spans="2:2">
      <c r="B15000" s="62" t="str">
        <f>IF(AND('领用录入（明细）'!D:D=$F$4,'领用录入（明细）'!C:C&gt;=$J$4,'领用录入（明细）'!C:C&lt;=$L$4),ROW(),"-")</f>
        <v>-</v>
      </c>
    </row>
    <row r="15001" customHeight="1" spans="2:2">
      <c r="B15001" s="62" t="str">
        <f>IF(AND('领用录入（明细）'!D:D=$F$4,'领用录入（明细）'!C:C&gt;=$J$4,'领用录入（明细）'!C:C&lt;=$L$4),ROW(),"-")</f>
        <v>-</v>
      </c>
    </row>
    <row r="15002" customHeight="1" spans="2:2">
      <c r="B15002" s="62" t="str">
        <f>IF(AND('领用录入（明细）'!D:D=$F$4,'领用录入（明细）'!C:C&gt;=$J$4,'领用录入（明细）'!C:C&lt;=$L$4),ROW(),"-")</f>
        <v>-</v>
      </c>
    </row>
    <row r="15003" customHeight="1" spans="2:2">
      <c r="B15003" s="62" t="str">
        <f>IF(AND('领用录入（明细）'!D:D=$F$4,'领用录入（明细）'!C:C&gt;=$J$4,'领用录入（明细）'!C:C&lt;=$L$4),ROW(),"-")</f>
        <v>-</v>
      </c>
    </row>
    <row r="15004" customHeight="1" spans="2:2">
      <c r="B15004" s="62" t="str">
        <f>IF(AND('领用录入（明细）'!D:D=$F$4,'领用录入（明细）'!C:C&gt;=$J$4,'领用录入（明细）'!C:C&lt;=$L$4),ROW(),"-")</f>
        <v>-</v>
      </c>
    </row>
    <row r="15005" customHeight="1" spans="2:2">
      <c r="B15005" s="62" t="str">
        <f>IF(AND('领用录入（明细）'!D:D=$F$4,'领用录入（明细）'!C:C&gt;=$J$4,'领用录入（明细）'!C:C&lt;=$L$4),ROW(),"-")</f>
        <v>-</v>
      </c>
    </row>
    <row r="15006" customHeight="1" spans="2:2">
      <c r="B15006" s="62" t="str">
        <f>IF(AND('领用录入（明细）'!D:D=$F$4,'领用录入（明细）'!C:C&gt;=$J$4,'领用录入（明细）'!C:C&lt;=$L$4),ROW(),"-")</f>
        <v>-</v>
      </c>
    </row>
    <row r="15007" customHeight="1" spans="2:2">
      <c r="B15007" s="62" t="str">
        <f>IF(AND('领用录入（明细）'!D:D=$F$4,'领用录入（明细）'!C:C&gt;=$J$4,'领用录入（明细）'!C:C&lt;=$L$4),ROW(),"-")</f>
        <v>-</v>
      </c>
    </row>
    <row r="15008" customHeight="1" spans="2:2">
      <c r="B15008" s="62" t="str">
        <f>IF(AND('领用录入（明细）'!D:D=$F$4,'领用录入（明细）'!C:C&gt;=$J$4,'领用录入（明细）'!C:C&lt;=$L$4),ROW(),"-")</f>
        <v>-</v>
      </c>
    </row>
    <row r="15009" customHeight="1" spans="2:2">
      <c r="B15009" s="62" t="str">
        <f>IF(AND('领用录入（明细）'!D:D=$F$4,'领用录入（明细）'!C:C&gt;=$J$4,'领用录入（明细）'!C:C&lt;=$L$4),ROW(),"-")</f>
        <v>-</v>
      </c>
    </row>
    <row r="15010" customHeight="1" spans="2:2">
      <c r="B15010" s="62" t="str">
        <f>IF(AND('领用录入（明细）'!D:D=$F$4,'领用录入（明细）'!C:C&gt;=$J$4,'领用录入（明细）'!C:C&lt;=$L$4),ROW(),"-")</f>
        <v>-</v>
      </c>
    </row>
    <row r="15011" customHeight="1" spans="2:2">
      <c r="B15011" s="62" t="str">
        <f>IF(AND('领用录入（明细）'!D:D=$F$4,'领用录入（明细）'!C:C&gt;=$J$4,'领用录入（明细）'!C:C&lt;=$L$4),ROW(),"-")</f>
        <v>-</v>
      </c>
    </row>
    <row r="15012" customHeight="1" spans="2:2">
      <c r="B15012" s="62" t="str">
        <f>IF(AND('领用录入（明细）'!D:D=$F$4,'领用录入（明细）'!C:C&gt;=$J$4,'领用录入（明细）'!C:C&lt;=$L$4),ROW(),"-")</f>
        <v>-</v>
      </c>
    </row>
    <row r="15013" customHeight="1" spans="2:2">
      <c r="B15013" s="62" t="str">
        <f>IF(AND('领用录入（明细）'!D:D=$F$4,'领用录入（明细）'!C:C&gt;=$J$4,'领用录入（明细）'!C:C&lt;=$L$4),ROW(),"-")</f>
        <v>-</v>
      </c>
    </row>
    <row r="15014" customHeight="1" spans="2:2">
      <c r="B15014" s="62" t="str">
        <f>IF(AND('领用录入（明细）'!D:D=$F$4,'领用录入（明细）'!C:C&gt;=$J$4,'领用录入（明细）'!C:C&lt;=$L$4),ROW(),"-")</f>
        <v>-</v>
      </c>
    </row>
    <row r="15015" customHeight="1" spans="2:2">
      <c r="B15015" s="62" t="str">
        <f>IF(AND('领用录入（明细）'!D:D=$F$4,'领用录入（明细）'!C:C&gt;=$J$4,'领用录入（明细）'!C:C&lt;=$L$4),ROW(),"-")</f>
        <v>-</v>
      </c>
    </row>
    <row r="15016" customHeight="1" spans="2:2">
      <c r="B15016" s="62" t="str">
        <f>IF(AND('领用录入（明细）'!D:D=$F$4,'领用录入（明细）'!C:C&gt;=$J$4,'领用录入（明细）'!C:C&lt;=$L$4),ROW(),"-")</f>
        <v>-</v>
      </c>
    </row>
    <row r="15017" customHeight="1" spans="2:2">
      <c r="B15017" s="62" t="str">
        <f>IF(AND('领用录入（明细）'!D:D=$F$4,'领用录入（明细）'!C:C&gt;=$J$4,'领用录入（明细）'!C:C&lt;=$L$4),ROW(),"-")</f>
        <v>-</v>
      </c>
    </row>
    <row r="15018" customHeight="1" spans="2:2">
      <c r="B15018" s="62" t="str">
        <f>IF(AND('领用录入（明细）'!D:D=$F$4,'领用录入（明细）'!C:C&gt;=$J$4,'领用录入（明细）'!C:C&lt;=$L$4),ROW(),"-")</f>
        <v>-</v>
      </c>
    </row>
    <row r="15019" customHeight="1" spans="2:2">
      <c r="B15019" s="62" t="str">
        <f>IF(AND('领用录入（明细）'!D:D=$F$4,'领用录入（明细）'!C:C&gt;=$J$4,'领用录入（明细）'!C:C&lt;=$L$4),ROW(),"-")</f>
        <v>-</v>
      </c>
    </row>
    <row r="15020" customHeight="1" spans="2:2">
      <c r="B15020" s="62" t="str">
        <f>IF(AND('领用录入（明细）'!D:D=$F$4,'领用录入（明细）'!C:C&gt;=$J$4,'领用录入（明细）'!C:C&lt;=$L$4),ROW(),"-")</f>
        <v>-</v>
      </c>
    </row>
    <row r="15021" customHeight="1" spans="2:2">
      <c r="B15021" s="62" t="str">
        <f>IF(AND('领用录入（明细）'!D:D=$F$4,'领用录入（明细）'!C:C&gt;=$J$4,'领用录入（明细）'!C:C&lt;=$L$4),ROW(),"-")</f>
        <v>-</v>
      </c>
    </row>
    <row r="15022" customHeight="1" spans="2:2">
      <c r="B15022" s="62" t="str">
        <f>IF(AND('领用录入（明细）'!D:D=$F$4,'领用录入（明细）'!C:C&gt;=$J$4,'领用录入（明细）'!C:C&lt;=$L$4),ROW(),"-")</f>
        <v>-</v>
      </c>
    </row>
    <row r="15023" customHeight="1" spans="2:2">
      <c r="B15023" s="62" t="str">
        <f>IF(AND('领用录入（明细）'!D:D=$F$4,'领用录入（明细）'!C:C&gt;=$J$4,'领用录入（明细）'!C:C&lt;=$L$4),ROW(),"-")</f>
        <v>-</v>
      </c>
    </row>
    <row r="15024" customHeight="1" spans="2:2">
      <c r="B15024" s="62" t="str">
        <f>IF(AND('领用录入（明细）'!D:D=$F$4,'领用录入（明细）'!C:C&gt;=$J$4,'领用录入（明细）'!C:C&lt;=$L$4),ROW(),"-")</f>
        <v>-</v>
      </c>
    </row>
    <row r="15025" customHeight="1" spans="2:2">
      <c r="B15025" s="62" t="str">
        <f>IF(AND('领用录入（明细）'!D:D=$F$4,'领用录入（明细）'!C:C&gt;=$J$4,'领用录入（明细）'!C:C&lt;=$L$4),ROW(),"-")</f>
        <v>-</v>
      </c>
    </row>
    <row r="15026" customHeight="1" spans="2:2">
      <c r="B15026" s="62" t="str">
        <f>IF(AND('领用录入（明细）'!D:D=$F$4,'领用录入（明细）'!C:C&gt;=$J$4,'领用录入（明细）'!C:C&lt;=$L$4),ROW(),"-")</f>
        <v>-</v>
      </c>
    </row>
    <row r="15027" customHeight="1" spans="2:2">
      <c r="B15027" s="62" t="str">
        <f>IF(AND('领用录入（明细）'!D:D=$F$4,'领用录入（明细）'!C:C&gt;=$J$4,'领用录入（明细）'!C:C&lt;=$L$4),ROW(),"-")</f>
        <v>-</v>
      </c>
    </row>
    <row r="15028" customHeight="1" spans="2:2">
      <c r="B15028" s="62" t="str">
        <f>IF(AND('领用录入（明细）'!D:D=$F$4,'领用录入（明细）'!C:C&gt;=$J$4,'领用录入（明细）'!C:C&lt;=$L$4),ROW(),"-")</f>
        <v>-</v>
      </c>
    </row>
    <row r="15029" customHeight="1" spans="2:2">
      <c r="B15029" s="62" t="str">
        <f>IF(AND('领用录入（明细）'!D:D=$F$4,'领用录入（明细）'!C:C&gt;=$J$4,'领用录入（明细）'!C:C&lt;=$L$4),ROW(),"-")</f>
        <v>-</v>
      </c>
    </row>
    <row r="15030" customHeight="1" spans="2:2">
      <c r="B15030" s="62" t="str">
        <f>IF(AND('领用录入（明细）'!D:D=$F$4,'领用录入（明细）'!C:C&gt;=$J$4,'领用录入（明细）'!C:C&lt;=$L$4),ROW(),"-")</f>
        <v>-</v>
      </c>
    </row>
    <row r="15031" customHeight="1" spans="2:2">
      <c r="B15031" s="62" t="str">
        <f>IF(AND('领用录入（明细）'!D:D=$F$4,'领用录入（明细）'!C:C&gt;=$J$4,'领用录入（明细）'!C:C&lt;=$L$4),ROW(),"-")</f>
        <v>-</v>
      </c>
    </row>
    <row r="15032" customHeight="1" spans="2:2">
      <c r="B15032" s="62" t="str">
        <f>IF(AND('领用录入（明细）'!D:D=$F$4,'领用录入（明细）'!C:C&gt;=$J$4,'领用录入（明细）'!C:C&lt;=$L$4),ROW(),"-")</f>
        <v>-</v>
      </c>
    </row>
    <row r="15033" customHeight="1" spans="2:2">
      <c r="B15033" s="62" t="str">
        <f>IF(AND('领用录入（明细）'!D:D=$F$4,'领用录入（明细）'!C:C&gt;=$J$4,'领用录入（明细）'!C:C&lt;=$L$4),ROW(),"-")</f>
        <v>-</v>
      </c>
    </row>
    <row r="15034" customHeight="1" spans="2:2">
      <c r="B15034" s="62" t="str">
        <f>IF(AND('领用录入（明细）'!D:D=$F$4,'领用录入（明细）'!C:C&gt;=$J$4,'领用录入（明细）'!C:C&lt;=$L$4),ROW(),"-")</f>
        <v>-</v>
      </c>
    </row>
    <row r="15035" customHeight="1" spans="2:2">
      <c r="B15035" s="62" t="str">
        <f>IF(AND('领用录入（明细）'!D:D=$F$4,'领用录入（明细）'!C:C&gt;=$J$4,'领用录入（明细）'!C:C&lt;=$L$4),ROW(),"-")</f>
        <v>-</v>
      </c>
    </row>
    <row r="15036" customHeight="1" spans="2:2">
      <c r="B15036" s="62" t="str">
        <f>IF(AND('领用录入（明细）'!D:D=$F$4,'领用录入（明细）'!C:C&gt;=$J$4,'领用录入（明细）'!C:C&lt;=$L$4),ROW(),"-")</f>
        <v>-</v>
      </c>
    </row>
    <row r="15037" customHeight="1" spans="2:2">
      <c r="B15037" s="62" t="str">
        <f>IF(AND('领用录入（明细）'!D:D=$F$4,'领用录入（明细）'!C:C&gt;=$J$4,'领用录入（明细）'!C:C&lt;=$L$4),ROW(),"-")</f>
        <v>-</v>
      </c>
    </row>
    <row r="15038" customHeight="1" spans="2:2">
      <c r="B15038" s="62" t="str">
        <f>IF(AND('领用录入（明细）'!D:D=$F$4,'领用录入（明细）'!C:C&gt;=$J$4,'领用录入（明细）'!C:C&lt;=$L$4),ROW(),"-")</f>
        <v>-</v>
      </c>
    </row>
    <row r="15039" customHeight="1" spans="2:2">
      <c r="B15039" s="62" t="str">
        <f>IF(AND('领用录入（明细）'!D:D=$F$4,'领用录入（明细）'!C:C&gt;=$J$4,'领用录入（明细）'!C:C&lt;=$L$4),ROW(),"-")</f>
        <v>-</v>
      </c>
    </row>
    <row r="15040" customHeight="1" spans="2:2">
      <c r="B15040" s="62" t="str">
        <f>IF(AND('领用录入（明细）'!D:D=$F$4,'领用录入（明细）'!C:C&gt;=$J$4,'领用录入（明细）'!C:C&lt;=$L$4),ROW(),"-")</f>
        <v>-</v>
      </c>
    </row>
    <row r="15041" customHeight="1" spans="2:2">
      <c r="B15041" s="62" t="str">
        <f>IF(AND('领用录入（明细）'!D:D=$F$4,'领用录入（明细）'!C:C&gt;=$J$4,'领用录入（明细）'!C:C&lt;=$L$4),ROW(),"-")</f>
        <v>-</v>
      </c>
    </row>
    <row r="15042" customHeight="1" spans="2:2">
      <c r="B15042" s="62" t="str">
        <f>IF(AND('领用录入（明细）'!D:D=$F$4,'领用录入（明细）'!C:C&gt;=$J$4,'领用录入（明细）'!C:C&lt;=$L$4),ROW(),"-")</f>
        <v>-</v>
      </c>
    </row>
    <row r="15043" customHeight="1" spans="2:2">
      <c r="B15043" s="62" t="str">
        <f>IF(AND('领用录入（明细）'!D:D=$F$4,'领用录入（明细）'!C:C&gt;=$J$4,'领用录入（明细）'!C:C&lt;=$L$4),ROW(),"-")</f>
        <v>-</v>
      </c>
    </row>
    <row r="15044" customHeight="1" spans="2:2">
      <c r="B15044" s="62" t="str">
        <f>IF(AND('领用录入（明细）'!D:D=$F$4,'领用录入（明细）'!C:C&gt;=$J$4,'领用录入（明细）'!C:C&lt;=$L$4),ROW(),"-")</f>
        <v>-</v>
      </c>
    </row>
    <row r="15045" customHeight="1" spans="2:2">
      <c r="B15045" s="62" t="str">
        <f>IF(AND('领用录入（明细）'!D:D=$F$4,'领用录入（明细）'!C:C&gt;=$J$4,'领用录入（明细）'!C:C&lt;=$L$4),ROW(),"-")</f>
        <v>-</v>
      </c>
    </row>
    <row r="15046" customHeight="1" spans="2:2">
      <c r="B15046" s="62" t="str">
        <f>IF(AND('领用录入（明细）'!D:D=$F$4,'领用录入（明细）'!C:C&gt;=$J$4,'领用录入（明细）'!C:C&lt;=$L$4),ROW(),"-")</f>
        <v>-</v>
      </c>
    </row>
    <row r="15047" customHeight="1" spans="2:2">
      <c r="B15047" s="62" t="str">
        <f>IF(AND('领用录入（明细）'!D:D=$F$4,'领用录入（明细）'!C:C&gt;=$J$4,'领用录入（明细）'!C:C&lt;=$L$4),ROW(),"-")</f>
        <v>-</v>
      </c>
    </row>
    <row r="15048" customHeight="1" spans="2:2">
      <c r="B15048" s="62" t="str">
        <f>IF(AND('领用录入（明细）'!D:D=$F$4,'领用录入（明细）'!C:C&gt;=$J$4,'领用录入（明细）'!C:C&lt;=$L$4),ROW(),"-")</f>
        <v>-</v>
      </c>
    </row>
    <row r="15049" customHeight="1" spans="2:2">
      <c r="B15049" s="62" t="str">
        <f>IF(AND('领用录入（明细）'!D:D=$F$4,'领用录入（明细）'!C:C&gt;=$J$4,'领用录入（明细）'!C:C&lt;=$L$4),ROW(),"-")</f>
        <v>-</v>
      </c>
    </row>
    <row r="15050" customHeight="1" spans="2:2">
      <c r="B15050" s="62" t="str">
        <f>IF(AND('领用录入（明细）'!D:D=$F$4,'领用录入（明细）'!C:C&gt;=$J$4,'领用录入（明细）'!C:C&lt;=$L$4),ROW(),"-")</f>
        <v>-</v>
      </c>
    </row>
    <row r="15051" customHeight="1" spans="2:2">
      <c r="B15051" s="62" t="str">
        <f>IF(AND('领用录入（明细）'!D:D=$F$4,'领用录入（明细）'!C:C&gt;=$J$4,'领用录入（明细）'!C:C&lt;=$L$4),ROW(),"-")</f>
        <v>-</v>
      </c>
    </row>
    <row r="15052" customHeight="1" spans="2:2">
      <c r="B15052" s="62" t="str">
        <f>IF(AND('领用录入（明细）'!D:D=$F$4,'领用录入（明细）'!C:C&gt;=$J$4,'领用录入（明细）'!C:C&lt;=$L$4),ROW(),"-")</f>
        <v>-</v>
      </c>
    </row>
    <row r="15053" customHeight="1" spans="2:2">
      <c r="B15053" s="62" t="str">
        <f>IF(AND('领用录入（明细）'!D:D=$F$4,'领用录入（明细）'!C:C&gt;=$J$4,'领用录入（明细）'!C:C&lt;=$L$4),ROW(),"-")</f>
        <v>-</v>
      </c>
    </row>
    <row r="15054" customHeight="1" spans="2:2">
      <c r="B15054" s="62" t="str">
        <f>IF(AND('领用录入（明细）'!D:D=$F$4,'领用录入（明细）'!C:C&gt;=$J$4,'领用录入（明细）'!C:C&lt;=$L$4),ROW(),"-")</f>
        <v>-</v>
      </c>
    </row>
    <row r="15055" customHeight="1" spans="2:2">
      <c r="B15055" s="62" t="str">
        <f>IF(AND('领用录入（明细）'!D:D=$F$4,'领用录入（明细）'!C:C&gt;=$J$4,'领用录入（明细）'!C:C&lt;=$L$4),ROW(),"-")</f>
        <v>-</v>
      </c>
    </row>
    <row r="15056" customHeight="1" spans="2:2">
      <c r="B15056" s="62" t="str">
        <f>IF(AND('领用录入（明细）'!D:D=$F$4,'领用录入（明细）'!C:C&gt;=$J$4,'领用录入（明细）'!C:C&lt;=$L$4),ROW(),"-")</f>
        <v>-</v>
      </c>
    </row>
    <row r="15057" customHeight="1" spans="2:2">
      <c r="B15057" s="62" t="str">
        <f>IF(AND('领用录入（明细）'!D:D=$F$4,'领用录入（明细）'!C:C&gt;=$J$4,'领用录入（明细）'!C:C&lt;=$L$4),ROW(),"-")</f>
        <v>-</v>
      </c>
    </row>
    <row r="15058" customHeight="1" spans="2:2">
      <c r="B15058" s="62" t="str">
        <f>IF(AND('领用录入（明细）'!D:D=$F$4,'领用录入（明细）'!C:C&gt;=$J$4,'领用录入（明细）'!C:C&lt;=$L$4),ROW(),"-")</f>
        <v>-</v>
      </c>
    </row>
    <row r="15059" customHeight="1" spans="2:2">
      <c r="B15059" s="62" t="str">
        <f>IF(AND('领用录入（明细）'!D:D=$F$4,'领用录入（明细）'!C:C&gt;=$J$4,'领用录入（明细）'!C:C&lt;=$L$4),ROW(),"-")</f>
        <v>-</v>
      </c>
    </row>
    <row r="15060" customHeight="1" spans="2:2">
      <c r="B15060" s="62" t="str">
        <f>IF(AND('领用录入（明细）'!D:D=$F$4,'领用录入（明细）'!C:C&gt;=$J$4,'领用录入（明细）'!C:C&lt;=$L$4),ROW(),"-")</f>
        <v>-</v>
      </c>
    </row>
    <row r="15061" customHeight="1" spans="2:2">
      <c r="B15061" s="62" t="str">
        <f>IF(AND('领用录入（明细）'!D:D=$F$4,'领用录入（明细）'!C:C&gt;=$J$4,'领用录入（明细）'!C:C&lt;=$L$4),ROW(),"-")</f>
        <v>-</v>
      </c>
    </row>
    <row r="15062" customHeight="1" spans="2:2">
      <c r="B15062" s="62" t="str">
        <f>IF(AND('领用录入（明细）'!D:D=$F$4,'领用录入（明细）'!C:C&gt;=$J$4,'领用录入（明细）'!C:C&lt;=$L$4),ROW(),"-")</f>
        <v>-</v>
      </c>
    </row>
    <row r="15063" customHeight="1" spans="2:2">
      <c r="B15063" s="62" t="str">
        <f>IF(AND('领用录入（明细）'!D:D=$F$4,'领用录入（明细）'!C:C&gt;=$J$4,'领用录入（明细）'!C:C&lt;=$L$4),ROW(),"-")</f>
        <v>-</v>
      </c>
    </row>
    <row r="15064" customHeight="1" spans="2:2">
      <c r="B15064" s="62" t="str">
        <f>IF(AND('领用录入（明细）'!D:D=$F$4,'领用录入（明细）'!C:C&gt;=$J$4,'领用录入（明细）'!C:C&lt;=$L$4),ROW(),"-")</f>
        <v>-</v>
      </c>
    </row>
    <row r="15065" customHeight="1" spans="2:2">
      <c r="B15065" s="62" t="str">
        <f>IF(AND('领用录入（明细）'!D:D=$F$4,'领用录入（明细）'!C:C&gt;=$J$4,'领用录入（明细）'!C:C&lt;=$L$4),ROW(),"-")</f>
        <v>-</v>
      </c>
    </row>
    <row r="15066" customHeight="1" spans="2:2">
      <c r="B15066" s="62" t="str">
        <f>IF(AND('领用录入（明细）'!D:D=$F$4,'领用录入（明细）'!C:C&gt;=$J$4,'领用录入（明细）'!C:C&lt;=$L$4),ROW(),"-")</f>
        <v>-</v>
      </c>
    </row>
    <row r="15067" customHeight="1" spans="2:2">
      <c r="B15067" s="62" t="str">
        <f>IF(AND('领用录入（明细）'!D:D=$F$4,'领用录入（明细）'!C:C&gt;=$J$4,'领用录入（明细）'!C:C&lt;=$L$4),ROW(),"-")</f>
        <v>-</v>
      </c>
    </row>
    <row r="15068" customHeight="1" spans="2:2">
      <c r="B15068" s="62" t="str">
        <f>IF(AND('领用录入（明细）'!D:D=$F$4,'领用录入（明细）'!C:C&gt;=$J$4,'领用录入（明细）'!C:C&lt;=$L$4),ROW(),"-")</f>
        <v>-</v>
      </c>
    </row>
    <row r="15069" customHeight="1" spans="2:2">
      <c r="B15069" s="62" t="str">
        <f>IF(AND('领用录入（明细）'!D:D=$F$4,'领用录入（明细）'!C:C&gt;=$J$4,'领用录入（明细）'!C:C&lt;=$L$4),ROW(),"-")</f>
        <v>-</v>
      </c>
    </row>
    <row r="15070" customHeight="1" spans="2:2">
      <c r="B15070" s="62" t="str">
        <f>IF(AND('领用录入（明细）'!D:D=$F$4,'领用录入（明细）'!C:C&gt;=$J$4,'领用录入（明细）'!C:C&lt;=$L$4),ROW(),"-")</f>
        <v>-</v>
      </c>
    </row>
    <row r="15071" customHeight="1" spans="2:2">
      <c r="B15071" s="62" t="str">
        <f>IF(AND('领用录入（明细）'!D:D=$F$4,'领用录入（明细）'!C:C&gt;=$J$4,'领用录入（明细）'!C:C&lt;=$L$4),ROW(),"-")</f>
        <v>-</v>
      </c>
    </row>
    <row r="15072" customHeight="1" spans="2:2">
      <c r="B15072" s="62" t="str">
        <f>IF(AND('领用录入（明细）'!D:D=$F$4,'领用录入（明细）'!C:C&gt;=$J$4,'领用录入（明细）'!C:C&lt;=$L$4),ROW(),"-")</f>
        <v>-</v>
      </c>
    </row>
    <row r="15073" customHeight="1" spans="2:2">
      <c r="B15073" s="62" t="str">
        <f>IF(AND('领用录入（明细）'!D:D=$F$4,'领用录入（明细）'!C:C&gt;=$J$4,'领用录入（明细）'!C:C&lt;=$L$4),ROW(),"-")</f>
        <v>-</v>
      </c>
    </row>
    <row r="15074" customHeight="1" spans="2:2">
      <c r="B15074" s="62" t="str">
        <f>IF(AND('领用录入（明细）'!D:D=$F$4,'领用录入（明细）'!C:C&gt;=$J$4,'领用录入（明细）'!C:C&lt;=$L$4),ROW(),"-")</f>
        <v>-</v>
      </c>
    </row>
    <row r="15075" customHeight="1" spans="2:2">
      <c r="B15075" s="62" t="str">
        <f>IF(AND('领用录入（明细）'!D:D=$F$4,'领用录入（明细）'!C:C&gt;=$J$4,'领用录入（明细）'!C:C&lt;=$L$4),ROW(),"-")</f>
        <v>-</v>
      </c>
    </row>
    <row r="15076" customHeight="1" spans="2:2">
      <c r="B15076" s="62" t="str">
        <f>IF(AND('领用录入（明细）'!D:D=$F$4,'领用录入（明细）'!C:C&gt;=$J$4,'领用录入（明细）'!C:C&lt;=$L$4),ROW(),"-")</f>
        <v>-</v>
      </c>
    </row>
    <row r="15077" customHeight="1" spans="2:2">
      <c r="B15077" s="62" t="str">
        <f>IF(AND('领用录入（明细）'!D:D=$F$4,'领用录入（明细）'!C:C&gt;=$J$4,'领用录入（明细）'!C:C&lt;=$L$4),ROW(),"-")</f>
        <v>-</v>
      </c>
    </row>
    <row r="15078" customHeight="1" spans="2:2">
      <c r="B15078" s="62" t="str">
        <f>IF(AND('领用录入（明细）'!D:D=$F$4,'领用录入（明细）'!C:C&gt;=$J$4,'领用录入（明细）'!C:C&lt;=$L$4),ROW(),"-")</f>
        <v>-</v>
      </c>
    </row>
    <row r="15079" customHeight="1" spans="2:2">
      <c r="B15079" s="62" t="str">
        <f>IF(AND('领用录入（明细）'!D:D=$F$4,'领用录入（明细）'!C:C&gt;=$J$4,'领用录入（明细）'!C:C&lt;=$L$4),ROW(),"-")</f>
        <v>-</v>
      </c>
    </row>
    <row r="15080" customHeight="1" spans="2:2">
      <c r="B15080" s="62" t="str">
        <f>IF(AND('领用录入（明细）'!D:D=$F$4,'领用录入（明细）'!C:C&gt;=$J$4,'领用录入（明细）'!C:C&lt;=$L$4),ROW(),"-")</f>
        <v>-</v>
      </c>
    </row>
    <row r="15081" customHeight="1" spans="2:2">
      <c r="B15081" s="62" t="str">
        <f>IF(AND('领用录入（明细）'!D:D=$F$4,'领用录入（明细）'!C:C&gt;=$J$4,'领用录入（明细）'!C:C&lt;=$L$4),ROW(),"-")</f>
        <v>-</v>
      </c>
    </row>
    <row r="15082" customHeight="1" spans="2:2">
      <c r="B15082" s="62" t="str">
        <f>IF(AND('领用录入（明细）'!D:D=$F$4,'领用录入（明细）'!C:C&gt;=$J$4,'领用录入（明细）'!C:C&lt;=$L$4),ROW(),"-")</f>
        <v>-</v>
      </c>
    </row>
    <row r="15083" customHeight="1" spans="2:2">
      <c r="B15083" s="62" t="str">
        <f>IF(AND('领用录入（明细）'!D:D=$F$4,'领用录入（明细）'!C:C&gt;=$J$4,'领用录入（明细）'!C:C&lt;=$L$4),ROW(),"-")</f>
        <v>-</v>
      </c>
    </row>
    <row r="15084" customHeight="1" spans="2:2">
      <c r="B15084" s="62" t="str">
        <f>IF(AND('领用录入（明细）'!D:D=$F$4,'领用录入（明细）'!C:C&gt;=$J$4,'领用录入（明细）'!C:C&lt;=$L$4),ROW(),"-")</f>
        <v>-</v>
      </c>
    </row>
    <row r="15085" customHeight="1" spans="2:2">
      <c r="B15085" s="62" t="str">
        <f>IF(AND('领用录入（明细）'!D:D=$F$4,'领用录入（明细）'!C:C&gt;=$J$4,'领用录入（明细）'!C:C&lt;=$L$4),ROW(),"-")</f>
        <v>-</v>
      </c>
    </row>
    <row r="15086" customHeight="1" spans="2:2">
      <c r="B15086" s="62" t="str">
        <f>IF(AND('领用录入（明细）'!D:D=$F$4,'领用录入（明细）'!C:C&gt;=$J$4,'领用录入（明细）'!C:C&lt;=$L$4),ROW(),"-")</f>
        <v>-</v>
      </c>
    </row>
    <row r="15087" customHeight="1" spans="2:2">
      <c r="B15087" s="62" t="str">
        <f>IF(AND('领用录入（明细）'!D:D=$F$4,'领用录入（明细）'!C:C&gt;=$J$4,'领用录入（明细）'!C:C&lt;=$L$4),ROW(),"-")</f>
        <v>-</v>
      </c>
    </row>
    <row r="15088" customHeight="1" spans="2:2">
      <c r="B15088" s="62" t="str">
        <f>IF(AND('领用录入（明细）'!D:D=$F$4,'领用录入（明细）'!C:C&gt;=$J$4,'领用录入（明细）'!C:C&lt;=$L$4),ROW(),"-")</f>
        <v>-</v>
      </c>
    </row>
    <row r="15089" customHeight="1" spans="2:2">
      <c r="B15089" s="62" t="str">
        <f>IF(AND('领用录入（明细）'!D:D=$F$4,'领用录入（明细）'!C:C&gt;=$J$4,'领用录入（明细）'!C:C&lt;=$L$4),ROW(),"-")</f>
        <v>-</v>
      </c>
    </row>
    <row r="15090" customHeight="1" spans="2:2">
      <c r="B15090" s="62" t="str">
        <f>IF(AND('领用录入（明细）'!D:D=$F$4,'领用录入（明细）'!C:C&gt;=$J$4,'领用录入（明细）'!C:C&lt;=$L$4),ROW(),"-")</f>
        <v>-</v>
      </c>
    </row>
    <row r="15091" customHeight="1" spans="2:2">
      <c r="B15091" s="62" t="str">
        <f>IF(AND('领用录入（明细）'!D:D=$F$4,'领用录入（明细）'!C:C&gt;=$J$4,'领用录入（明细）'!C:C&lt;=$L$4),ROW(),"-")</f>
        <v>-</v>
      </c>
    </row>
    <row r="15092" customHeight="1" spans="2:2">
      <c r="B15092" s="62" t="str">
        <f>IF(AND('领用录入（明细）'!D:D=$F$4,'领用录入（明细）'!C:C&gt;=$J$4,'领用录入（明细）'!C:C&lt;=$L$4),ROW(),"-")</f>
        <v>-</v>
      </c>
    </row>
    <row r="15093" customHeight="1" spans="2:2">
      <c r="B15093" s="62" t="str">
        <f>IF(AND('领用录入（明细）'!D:D=$F$4,'领用录入（明细）'!C:C&gt;=$J$4,'领用录入（明细）'!C:C&lt;=$L$4),ROW(),"-")</f>
        <v>-</v>
      </c>
    </row>
    <row r="15094" customHeight="1" spans="2:2">
      <c r="B15094" s="62" t="str">
        <f>IF(AND('领用录入（明细）'!D:D=$F$4,'领用录入（明细）'!C:C&gt;=$J$4,'领用录入（明细）'!C:C&lt;=$L$4),ROW(),"-")</f>
        <v>-</v>
      </c>
    </row>
    <row r="15095" customHeight="1" spans="2:2">
      <c r="B15095" s="62" t="str">
        <f>IF(AND('领用录入（明细）'!D:D=$F$4,'领用录入（明细）'!C:C&gt;=$J$4,'领用录入（明细）'!C:C&lt;=$L$4),ROW(),"-")</f>
        <v>-</v>
      </c>
    </row>
    <row r="15096" customHeight="1" spans="2:2">
      <c r="B15096" s="62" t="str">
        <f>IF(AND('领用录入（明细）'!D:D=$F$4,'领用录入（明细）'!C:C&gt;=$J$4,'领用录入（明细）'!C:C&lt;=$L$4),ROW(),"-")</f>
        <v>-</v>
      </c>
    </row>
    <row r="15097" customHeight="1" spans="2:2">
      <c r="B15097" s="62" t="str">
        <f>IF(AND('领用录入（明细）'!D:D=$F$4,'领用录入（明细）'!C:C&gt;=$J$4,'领用录入（明细）'!C:C&lt;=$L$4),ROW(),"-")</f>
        <v>-</v>
      </c>
    </row>
    <row r="15098" customHeight="1" spans="2:2">
      <c r="B15098" s="62" t="str">
        <f>IF(AND('领用录入（明细）'!D:D=$F$4,'领用录入（明细）'!C:C&gt;=$J$4,'领用录入（明细）'!C:C&lt;=$L$4),ROW(),"-")</f>
        <v>-</v>
      </c>
    </row>
    <row r="15099" customHeight="1" spans="2:2">
      <c r="B15099" s="62" t="str">
        <f>IF(AND('领用录入（明细）'!D:D=$F$4,'领用录入（明细）'!C:C&gt;=$J$4,'领用录入（明细）'!C:C&lt;=$L$4),ROW(),"-")</f>
        <v>-</v>
      </c>
    </row>
    <row r="15100" customHeight="1" spans="2:2">
      <c r="B15100" s="62" t="str">
        <f>IF(AND('领用录入（明细）'!D:D=$F$4,'领用录入（明细）'!C:C&gt;=$J$4,'领用录入（明细）'!C:C&lt;=$L$4),ROW(),"-")</f>
        <v>-</v>
      </c>
    </row>
    <row r="15101" customHeight="1" spans="2:2">
      <c r="B15101" s="62" t="str">
        <f>IF(AND('领用录入（明细）'!D:D=$F$4,'领用录入（明细）'!C:C&gt;=$J$4,'领用录入（明细）'!C:C&lt;=$L$4),ROW(),"-")</f>
        <v>-</v>
      </c>
    </row>
    <row r="15102" customHeight="1" spans="2:2">
      <c r="B15102" s="62" t="str">
        <f>IF(AND('领用录入（明细）'!D:D=$F$4,'领用录入（明细）'!C:C&gt;=$J$4,'领用录入（明细）'!C:C&lt;=$L$4),ROW(),"-")</f>
        <v>-</v>
      </c>
    </row>
    <row r="15103" customHeight="1" spans="2:2">
      <c r="B15103" s="62" t="str">
        <f>IF(AND('领用录入（明细）'!D:D=$F$4,'领用录入（明细）'!C:C&gt;=$J$4,'领用录入（明细）'!C:C&lt;=$L$4),ROW(),"-")</f>
        <v>-</v>
      </c>
    </row>
    <row r="15104" customHeight="1" spans="2:2">
      <c r="B15104" s="62" t="str">
        <f>IF(AND('领用录入（明细）'!D:D=$F$4,'领用录入（明细）'!C:C&gt;=$J$4,'领用录入（明细）'!C:C&lt;=$L$4),ROW(),"-")</f>
        <v>-</v>
      </c>
    </row>
    <row r="15105" customHeight="1" spans="2:2">
      <c r="B15105" s="62" t="str">
        <f>IF(AND('领用录入（明细）'!D:D=$F$4,'领用录入（明细）'!C:C&gt;=$J$4,'领用录入（明细）'!C:C&lt;=$L$4),ROW(),"-")</f>
        <v>-</v>
      </c>
    </row>
    <row r="15106" customHeight="1" spans="2:2">
      <c r="B15106" s="62" t="str">
        <f>IF(AND('领用录入（明细）'!D:D=$F$4,'领用录入（明细）'!C:C&gt;=$J$4,'领用录入（明细）'!C:C&lt;=$L$4),ROW(),"-")</f>
        <v>-</v>
      </c>
    </row>
    <row r="15107" customHeight="1" spans="2:2">
      <c r="B15107" s="62" t="str">
        <f>IF(AND('领用录入（明细）'!D:D=$F$4,'领用录入（明细）'!C:C&gt;=$J$4,'领用录入（明细）'!C:C&lt;=$L$4),ROW(),"-")</f>
        <v>-</v>
      </c>
    </row>
    <row r="15108" customHeight="1" spans="2:2">
      <c r="B15108" s="62" t="str">
        <f>IF(AND('领用录入（明细）'!D:D=$F$4,'领用录入（明细）'!C:C&gt;=$J$4,'领用录入（明细）'!C:C&lt;=$L$4),ROW(),"-")</f>
        <v>-</v>
      </c>
    </row>
    <row r="15109" customHeight="1" spans="2:2">
      <c r="B15109" s="62" t="str">
        <f>IF(AND('领用录入（明细）'!D:D=$F$4,'领用录入（明细）'!C:C&gt;=$J$4,'领用录入（明细）'!C:C&lt;=$L$4),ROW(),"-")</f>
        <v>-</v>
      </c>
    </row>
    <row r="15110" customHeight="1" spans="2:2">
      <c r="B15110" s="62" t="str">
        <f>IF(AND('领用录入（明细）'!D:D=$F$4,'领用录入（明细）'!C:C&gt;=$J$4,'领用录入（明细）'!C:C&lt;=$L$4),ROW(),"-")</f>
        <v>-</v>
      </c>
    </row>
    <row r="15111" customHeight="1" spans="2:2">
      <c r="B15111" s="62" t="str">
        <f>IF(AND('领用录入（明细）'!D:D=$F$4,'领用录入（明细）'!C:C&gt;=$J$4,'领用录入（明细）'!C:C&lt;=$L$4),ROW(),"-")</f>
        <v>-</v>
      </c>
    </row>
    <row r="15112" customHeight="1" spans="2:2">
      <c r="B15112" s="62" t="str">
        <f>IF(AND('领用录入（明细）'!D:D=$F$4,'领用录入（明细）'!C:C&gt;=$J$4,'领用录入（明细）'!C:C&lt;=$L$4),ROW(),"-")</f>
        <v>-</v>
      </c>
    </row>
    <row r="15113" customHeight="1" spans="2:2">
      <c r="B15113" s="62" t="str">
        <f>IF(AND('领用录入（明细）'!D:D=$F$4,'领用录入（明细）'!C:C&gt;=$J$4,'领用录入（明细）'!C:C&lt;=$L$4),ROW(),"-")</f>
        <v>-</v>
      </c>
    </row>
    <row r="15114" customHeight="1" spans="2:2">
      <c r="B15114" s="62" t="str">
        <f>IF(AND('领用录入（明细）'!D:D=$F$4,'领用录入（明细）'!C:C&gt;=$J$4,'领用录入（明细）'!C:C&lt;=$L$4),ROW(),"-")</f>
        <v>-</v>
      </c>
    </row>
    <row r="15115" customHeight="1" spans="2:2">
      <c r="B15115" s="62" t="str">
        <f>IF(AND('领用录入（明细）'!D:D=$F$4,'领用录入（明细）'!C:C&gt;=$J$4,'领用录入（明细）'!C:C&lt;=$L$4),ROW(),"-")</f>
        <v>-</v>
      </c>
    </row>
    <row r="15116" customHeight="1" spans="2:2">
      <c r="B15116" s="62" t="str">
        <f>IF(AND('领用录入（明细）'!D:D=$F$4,'领用录入（明细）'!C:C&gt;=$J$4,'领用录入（明细）'!C:C&lt;=$L$4),ROW(),"-")</f>
        <v>-</v>
      </c>
    </row>
    <row r="15117" customHeight="1" spans="2:2">
      <c r="B15117" s="62" t="str">
        <f>IF(AND('领用录入（明细）'!D:D=$F$4,'领用录入（明细）'!C:C&gt;=$J$4,'领用录入（明细）'!C:C&lt;=$L$4),ROW(),"-")</f>
        <v>-</v>
      </c>
    </row>
    <row r="15118" customHeight="1" spans="2:2">
      <c r="B15118" s="62" t="str">
        <f>IF(AND('领用录入（明细）'!D:D=$F$4,'领用录入（明细）'!C:C&gt;=$J$4,'领用录入（明细）'!C:C&lt;=$L$4),ROW(),"-")</f>
        <v>-</v>
      </c>
    </row>
    <row r="15119" customHeight="1" spans="2:2">
      <c r="B15119" s="62" t="str">
        <f>IF(AND('领用录入（明细）'!D:D=$F$4,'领用录入（明细）'!C:C&gt;=$J$4,'领用录入（明细）'!C:C&lt;=$L$4),ROW(),"-")</f>
        <v>-</v>
      </c>
    </row>
    <row r="15120" customHeight="1" spans="2:2">
      <c r="B15120" s="62" t="str">
        <f>IF(AND('领用录入（明细）'!D:D=$F$4,'领用录入（明细）'!C:C&gt;=$J$4,'领用录入（明细）'!C:C&lt;=$L$4),ROW(),"-")</f>
        <v>-</v>
      </c>
    </row>
    <row r="15121" customHeight="1" spans="2:2">
      <c r="B15121" s="62" t="str">
        <f>IF(AND('领用录入（明细）'!D:D=$F$4,'领用录入（明细）'!C:C&gt;=$J$4,'领用录入（明细）'!C:C&lt;=$L$4),ROW(),"-")</f>
        <v>-</v>
      </c>
    </row>
    <row r="15122" customHeight="1" spans="2:2">
      <c r="B15122" s="62" t="str">
        <f>IF(AND('领用录入（明细）'!D:D=$F$4,'领用录入（明细）'!C:C&gt;=$J$4,'领用录入（明细）'!C:C&lt;=$L$4),ROW(),"-")</f>
        <v>-</v>
      </c>
    </row>
    <row r="15123" customHeight="1" spans="2:2">
      <c r="B15123" s="62" t="str">
        <f>IF(AND('领用录入（明细）'!D:D=$F$4,'领用录入（明细）'!C:C&gt;=$J$4,'领用录入（明细）'!C:C&lt;=$L$4),ROW(),"-")</f>
        <v>-</v>
      </c>
    </row>
    <row r="15124" customHeight="1" spans="2:2">
      <c r="B15124" s="62" t="str">
        <f>IF(AND('领用录入（明细）'!D:D=$F$4,'领用录入（明细）'!C:C&gt;=$J$4,'领用录入（明细）'!C:C&lt;=$L$4),ROW(),"-")</f>
        <v>-</v>
      </c>
    </row>
    <row r="15125" customHeight="1" spans="2:2">
      <c r="B15125" s="62" t="str">
        <f>IF(AND('领用录入（明细）'!D:D=$F$4,'领用录入（明细）'!C:C&gt;=$J$4,'领用录入（明细）'!C:C&lt;=$L$4),ROW(),"-")</f>
        <v>-</v>
      </c>
    </row>
    <row r="15126" customHeight="1" spans="2:2">
      <c r="B15126" s="62" t="str">
        <f>IF(AND('领用录入（明细）'!D:D=$F$4,'领用录入（明细）'!C:C&gt;=$J$4,'领用录入（明细）'!C:C&lt;=$L$4),ROW(),"-")</f>
        <v>-</v>
      </c>
    </row>
    <row r="15127" customHeight="1" spans="2:2">
      <c r="B15127" s="62" t="str">
        <f>IF(AND('领用录入（明细）'!D:D=$F$4,'领用录入（明细）'!C:C&gt;=$J$4,'领用录入（明细）'!C:C&lt;=$L$4),ROW(),"-")</f>
        <v>-</v>
      </c>
    </row>
    <row r="15128" customHeight="1" spans="2:2">
      <c r="B15128" s="62" t="str">
        <f>IF(AND('领用录入（明细）'!D:D=$F$4,'领用录入（明细）'!C:C&gt;=$J$4,'领用录入（明细）'!C:C&lt;=$L$4),ROW(),"-")</f>
        <v>-</v>
      </c>
    </row>
    <row r="15129" customHeight="1" spans="2:2">
      <c r="B15129" s="62" t="str">
        <f>IF(AND('领用录入（明细）'!D:D=$F$4,'领用录入（明细）'!C:C&gt;=$J$4,'领用录入（明细）'!C:C&lt;=$L$4),ROW(),"-")</f>
        <v>-</v>
      </c>
    </row>
    <row r="15130" customHeight="1" spans="2:2">
      <c r="B15130" s="62" t="str">
        <f>IF(AND('领用录入（明细）'!D:D=$F$4,'领用录入（明细）'!C:C&gt;=$J$4,'领用录入（明细）'!C:C&lt;=$L$4),ROW(),"-")</f>
        <v>-</v>
      </c>
    </row>
    <row r="15131" customHeight="1" spans="2:2">
      <c r="B15131" s="62" t="str">
        <f>IF(AND('领用录入（明细）'!D:D=$F$4,'领用录入（明细）'!C:C&gt;=$J$4,'领用录入（明细）'!C:C&lt;=$L$4),ROW(),"-")</f>
        <v>-</v>
      </c>
    </row>
    <row r="15132" customHeight="1" spans="2:2">
      <c r="B15132" s="62" t="str">
        <f>IF(AND('领用录入（明细）'!D:D=$F$4,'领用录入（明细）'!C:C&gt;=$J$4,'领用录入（明细）'!C:C&lt;=$L$4),ROW(),"-")</f>
        <v>-</v>
      </c>
    </row>
    <row r="15133" customHeight="1" spans="2:2">
      <c r="B15133" s="62" t="str">
        <f>IF(AND('领用录入（明细）'!D:D=$F$4,'领用录入（明细）'!C:C&gt;=$J$4,'领用录入（明细）'!C:C&lt;=$L$4),ROW(),"-")</f>
        <v>-</v>
      </c>
    </row>
    <row r="15134" customHeight="1" spans="2:2">
      <c r="B15134" s="62" t="str">
        <f>IF(AND('领用录入（明细）'!D:D=$F$4,'领用录入（明细）'!C:C&gt;=$J$4,'领用录入（明细）'!C:C&lt;=$L$4),ROW(),"-")</f>
        <v>-</v>
      </c>
    </row>
    <row r="15135" customHeight="1" spans="2:2">
      <c r="B15135" s="62" t="str">
        <f>IF(AND('领用录入（明细）'!D:D=$F$4,'领用录入（明细）'!C:C&gt;=$J$4,'领用录入（明细）'!C:C&lt;=$L$4),ROW(),"-")</f>
        <v>-</v>
      </c>
    </row>
    <row r="15136" customHeight="1" spans="2:2">
      <c r="B15136" s="62" t="str">
        <f>IF(AND('领用录入（明细）'!D:D=$F$4,'领用录入（明细）'!C:C&gt;=$J$4,'领用录入（明细）'!C:C&lt;=$L$4),ROW(),"-")</f>
        <v>-</v>
      </c>
    </row>
    <row r="15137" customHeight="1" spans="2:2">
      <c r="B15137" s="62" t="str">
        <f>IF(AND('领用录入（明细）'!D:D=$F$4,'领用录入（明细）'!C:C&gt;=$J$4,'领用录入（明细）'!C:C&lt;=$L$4),ROW(),"-")</f>
        <v>-</v>
      </c>
    </row>
    <row r="15138" customHeight="1" spans="2:2">
      <c r="B15138" s="62" t="str">
        <f>IF(AND('领用录入（明细）'!D:D=$F$4,'领用录入（明细）'!C:C&gt;=$J$4,'领用录入（明细）'!C:C&lt;=$L$4),ROW(),"-")</f>
        <v>-</v>
      </c>
    </row>
    <row r="15139" customHeight="1" spans="2:2">
      <c r="B15139" s="62" t="str">
        <f>IF(AND('领用录入（明细）'!D:D=$F$4,'领用录入（明细）'!C:C&gt;=$J$4,'领用录入（明细）'!C:C&lt;=$L$4),ROW(),"-")</f>
        <v>-</v>
      </c>
    </row>
    <row r="15140" customHeight="1" spans="2:2">
      <c r="B15140" s="62" t="str">
        <f>IF(AND('领用录入（明细）'!D:D=$F$4,'领用录入（明细）'!C:C&gt;=$J$4,'领用录入（明细）'!C:C&lt;=$L$4),ROW(),"-")</f>
        <v>-</v>
      </c>
    </row>
    <row r="15141" customHeight="1" spans="2:2">
      <c r="B15141" s="62" t="str">
        <f>IF(AND('领用录入（明细）'!D:D=$F$4,'领用录入（明细）'!C:C&gt;=$J$4,'领用录入（明细）'!C:C&lt;=$L$4),ROW(),"-")</f>
        <v>-</v>
      </c>
    </row>
    <row r="15142" customHeight="1" spans="2:2">
      <c r="B15142" s="62" t="str">
        <f>IF(AND('领用录入（明细）'!D:D=$F$4,'领用录入（明细）'!C:C&gt;=$J$4,'领用录入（明细）'!C:C&lt;=$L$4),ROW(),"-")</f>
        <v>-</v>
      </c>
    </row>
    <row r="15143" customHeight="1" spans="2:2">
      <c r="B15143" s="62" t="str">
        <f>IF(AND('领用录入（明细）'!D:D=$F$4,'领用录入（明细）'!C:C&gt;=$J$4,'领用录入（明细）'!C:C&lt;=$L$4),ROW(),"-")</f>
        <v>-</v>
      </c>
    </row>
    <row r="15144" customHeight="1" spans="2:2">
      <c r="B15144" s="62" t="str">
        <f>IF(AND('领用录入（明细）'!D:D=$F$4,'领用录入（明细）'!C:C&gt;=$J$4,'领用录入（明细）'!C:C&lt;=$L$4),ROW(),"-")</f>
        <v>-</v>
      </c>
    </row>
    <row r="15145" customHeight="1" spans="2:2">
      <c r="B15145" s="62" t="str">
        <f>IF(AND('领用录入（明细）'!D:D=$F$4,'领用录入（明细）'!C:C&gt;=$J$4,'领用录入（明细）'!C:C&lt;=$L$4),ROW(),"-")</f>
        <v>-</v>
      </c>
    </row>
    <row r="15146" customHeight="1" spans="2:2">
      <c r="B15146" s="62" t="str">
        <f>IF(AND('领用录入（明细）'!D:D=$F$4,'领用录入（明细）'!C:C&gt;=$J$4,'领用录入（明细）'!C:C&lt;=$L$4),ROW(),"-")</f>
        <v>-</v>
      </c>
    </row>
    <row r="15147" customHeight="1" spans="2:2">
      <c r="B15147" s="62" t="str">
        <f>IF(AND('领用录入（明细）'!D:D=$F$4,'领用录入（明细）'!C:C&gt;=$J$4,'领用录入（明细）'!C:C&lt;=$L$4),ROW(),"-")</f>
        <v>-</v>
      </c>
    </row>
    <row r="15148" customHeight="1" spans="2:2">
      <c r="B15148" s="62" t="str">
        <f>IF(AND('领用录入（明细）'!D:D=$F$4,'领用录入（明细）'!C:C&gt;=$J$4,'领用录入（明细）'!C:C&lt;=$L$4),ROW(),"-")</f>
        <v>-</v>
      </c>
    </row>
    <row r="15149" customHeight="1" spans="2:2">
      <c r="B15149" s="62" t="str">
        <f>IF(AND('领用录入（明细）'!D:D=$F$4,'领用录入（明细）'!C:C&gt;=$J$4,'领用录入（明细）'!C:C&lt;=$L$4),ROW(),"-")</f>
        <v>-</v>
      </c>
    </row>
    <row r="15150" customHeight="1" spans="2:2">
      <c r="B15150" s="62" t="str">
        <f>IF(AND('领用录入（明细）'!D:D=$F$4,'领用录入（明细）'!C:C&gt;=$J$4,'领用录入（明细）'!C:C&lt;=$L$4),ROW(),"-")</f>
        <v>-</v>
      </c>
    </row>
    <row r="15151" customHeight="1" spans="2:2">
      <c r="B15151" s="62" t="str">
        <f>IF(AND('领用录入（明细）'!D:D=$F$4,'领用录入（明细）'!C:C&gt;=$J$4,'领用录入（明细）'!C:C&lt;=$L$4),ROW(),"-")</f>
        <v>-</v>
      </c>
    </row>
    <row r="15152" customHeight="1" spans="2:2">
      <c r="B15152" s="62" t="str">
        <f>IF(AND('领用录入（明细）'!D:D=$F$4,'领用录入（明细）'!C:C&gt;=$J$4,'领用录入（明细）'!C:C&lt;=$L$4),ROW(),"-")</f>
        <v>-</v>
      </c>
    </row>
    <row r="15153" customHeight="1" spans="2:2">
      <c r="B15153" s="62" t="str">
        <f>IF(AND('领用录入（明细）'!D:D=$F$4,'领用录入（明细）'!C:C&gt;=$J$4,'领用录入（明细）'!C:C&lt;=$L$4),ROW(),"-")</f>
        <v>-</v>
      </c>
    </row>
    <row r="15154" customHeight="1" spans="2:2">
      <c r="B15154" s="62" t="str">
        <f>IF(AND('领用录入（明细）'!D:D=$F$4,'领用录入（明细）'!C:C&gt;=$J$4,'领用录入（明细）'!C:C&lt;=$L$4),ROW(),"-")</f>
        <v>-</v>
      </c>
    </row>
    <row r="15155" customHeight="1" spans="2:2">
      <c r="B15155" s="62" t="str">
        <f>IF(AND('领用录入（明细）'!D:D=$F$4,'领用录入（明细）'!C:C&gt;=$J$4,'领用录入（明细）'!C:C&lt;=$L$4),ROW(),"-")</f>
        <v>-</v>
      </c>
    </row>
    <row r="15156" customHeight="1" spans="2:2">
      <c r="B15156" s="62" t="str">
        <f>IF(AND('领用录入（明细）'!D:D=$F$4,'领用录入（明细）'!C:C&gt;=$J$4,'领用录入（明细）'!C:C&lt;=$L$4),ROW(),"-")</f>
        <v>-</v>
      </c>
    </row>
    <row r="15157" customHeight="1" spans="2:2">
      <c r="B15157" s="62" t="str">
        <f>IF(AND('领用录入（明细）'!D:D=$F$4,'领用录入（明细）'!C:C&gt;=$J$4,'领用录入（明细）'!C:C&lt;=$L$4),ROW(),"-")</f>
        <v>-</v>
      </c>
    </row>
    <row r="15158" customHeight="1" spans="2:2">
      <c r="B15158" s="62" t="str">
        <f>IF(AND('领用录入（明细）'!D:D=$F$4,'领用录入（明细）'!C:C&gt;=$J$4,'领用录入（明细）'!C:C&lt;=$L$4),ROW(),"-")</f>
        <v>-</v>
      </c>
    </row>
    <row r="15159" customHeight="1" spans="2:2">
      <c r="B15159" s="62" t="str">
        <f>IF(AND('领用录入（明细）'!D:D=$F$4,'领用录入（明细）'!C:C&gt;=$J$4,'领用录入（明细）'!C:C&lt;=$L$4),ROW(),"-")</f>
        <v>-</v>
      </c>
    </row>
    <row r="15160" customHeight="1" spans="2:2">
      <c r="B15160" s="62" t="str">
        <f>IF(AND('领用录入（明细）'!D:D=$F$4,'领用录入（明细）'!C:C&gt;=$J$4,'领用录入（明细）'!C:C&lt;=$L$4),ROW(),"-")</f>
        <v>-</v>
      </c>
    </row>
    <row r="15161" customHeight="1" spans="2:2">
      <c r="B15161" s="62" t="str">
        <f>IF(AND('领用录入（明细）'!D:D=$F$4,'领用录入（明细）'!C:C&gt;=$J$4,'领用录入（明细）'!C:C&lt;=$L$4),ROW(),"-")</f>
        <v>-</v>
      </c>
    </row>
    <row r="15162" customHeight="1" spans="2:2">
      <c r="B15162" s="62" t="str">
        <f>IF(AND('领用录入（明细）'!D:D=$F$4,'领用录入（明细）'!C:C&gt;=$J$4,'领用录入（明细）'!C:C&lt;=$L$4),ROW(),"-")</f>
        <v>-</v>
      </c>
    </row>
    <row r="15163" customHeight="1" spans="2:2">
      <c r="B15163" s="62" t="str">
        <f>IF(AND('领用录入（明细）'!D:D=$F$4,'领用录入（明细）'!C:C&gt;=$J$4,'领用录入（明细）'!C:C&lt;=$L$4),ROW(),"-")</f>
        <v>-</v>
      </c>
    </row>
    <row r="15164" customHeight="1" spans="2:2">
      <c r="B15164" s="62" t="str">
        <f>IF(AND('领用录入（明细）'!D:D=$F$4,'领用录入（明细）'!C:C&gt;=$J$4,'领用录入（明细）'!C:C&lt;=$L$4),ROW(),"-")</f>
        <v>-</v>
      </c>
    </row>
    <row r="15165" customHeight="1" spans="2:2">
      <c r="B15165" s="62" t="str">
        <f>IF(AND('领用录入（明细）'!D:D=$F$4,'领用录入（明细）'!C:C&gt;=$J$4,'领用录入（明细）'!C:C&lt;=$L$4),ROW(),"-")</f>
        <v>-</v>
      </c>
    </row>
    <row r="15166" customHeight="1" spans="2:2">
      <c r="B15166" s="62" t="str">
        <f>IF(AND('领用录入（明细）'!D:D=$F$4,'领用录入（明细）'!C:C&gt;=$J$4,'领用录入（明细）'!C:C&lt;=$L$4),ROW(),"-")</f>
        <v>-</v>
      </c>
    </row>
    <row r="15167" customHeight="1" spans="2:2">
      <c r="B15167" s="62" t="str">
        <f>IF(AND('领用录入（明细）'!D:D=$F$4,'领用录入（明细）'!C:C&gt;=$J$4,'领用录入（明细）'!C:C&lt;=$L$4),ROW(),"-")</f>
        <v>-</v>
      </c>
    </row>
    <row r="15168" customHeight="1" spans="2:2">
      <c r="B15168" s="62" t="str">
        <f>IF(AND('领用录入（明细）'!D:D=$F$4,'领用录入（明细）'!C:C&gt;=$J$4,'领用录入（明细）'!C:C&lt;=$L$4),ROW(),"-")</f>
        <v>-</v>
      </c>
    </row>
    <row r="15169" customHeight="1" spans="2:2">
      <c r="B15169" s="62" t="str">
        <f>IF(AND('领用录入（明细）'!D:D=$F$4,'领用录入（明细）'!C:C&gt;=$J$4,'领用录入（明细）'!C:C&lt;=$L$4),ROW(),"-")</f>
        <v>-</v>
      </c>
    </row>
    <row r="15170" customHeight="1" spans="2:2">
      <c r="B15170" s="62" t="str">
        <f>IF(AND('领用录入（明细）'!D:D=$F$4,'领用录入（明细）'!C:C&gt;=$J$4,'领用录入（明细）'!C:C&lt;=$L$4),ROW(),"-")</f>
        <v>-</v>
      </c>
    </row>
    <row r="15171" customHeight="1" spans="2:2">
      <c r="B15171" s="62" t="str">
        <f>IF(AND('领用录入（明细）'!D:D=$F$4,'领用录入（明细）'!C:C&gt;=$J$4,'领用录入（明细）'!C:C&lt;=$L$4),ROW(),"-")</f>
        <v>-</v>
      </c>
    </row>
    <row r="15172" customHeight="1" spans="2:2">
      <c r="B15172" s="62" t="str">
        <f>IF(AND('领用录入（明细）'!D:D=$F$4,'领用录入（明细）'!C:C&gt;=$J$4,'领用录入（明细）'!C:C&lt;=$L$4),ROW(),"-")</f>
        <v>-</v>
      </c>
    </row>
    <row r="15173" customHeight="1" spans="2:2">
      <c r="B15173" s="62" t="str">
        <f>IF(AND('领用录入（明细）'!D:D=$F$4,'领用录入（明细）'!C:C&gt;=$J$4,'领用录入（明细）'!C:C&lt;=$L$4),ROW(),"-")</f>
        <v>-</v>
      </c>
    </row>
    <row r="15174" customHeight="1" spans="2:2">
      <c r="B15174" s="62" t="str">
        <f>IF(AND('领用录入（明细）'!D:D=$F$4,'领用录入（明细）'!C:C&gt;=$J$4,'领用录入（明细）'!C:C&lt;=$L$4),ROW(),"-")</f>
        <v>-</v>
      </c>
    </row>
    <row r="15175" customHeight="1" spans="2:2">
      <c r="B15175" s="62" t="str">
        <f>IF(AND('领用录入（明细）'!D:D=$F$4,'领用录入（明细）'!C:C&gt;=$J$4,'领用录入（明细）'!C:C&lt;=$L$4),ROW(),"-")</f>
        <v>-</v>
      </c>
    </row>
    <row r="15176" customHeight="1" spans="2:2">
      <c r="B15176" s="62" t="str">
        <f>IF(AND('领用录入（明细）'!D:D=$F$4,'领用录入（明细）'!C:C&gt;=$J$4,'领用录入（明细）'!C:C&lt;=$L$4),ROW(),"-")</f>
        <v>-</v>
      </c>
    </row>
    <row r="15177" customHeight="1" spans="2:2">
      <c r="B15177" s="62" t="str">
        <f>IF(AND('领用录入（明细）'!D:D=$F$4,'领用录入（明细）'!C:C&gt;=$J$4,'领用录入（明细）'!C:C&lt;=$L$4),ROW(),"-")</f>
        <v>-</v>
      </c>
    </row>
    <row r="15178" customHeight="1" spans="2:2">
      <c r="B15178" s="62" t="str">
        <f>IF(AND('领用录入（明细）'!D:D=$F$4,'领用录入（明细）'!C:C&gt;=$J$4,'领用录入（明细）'!C:C&lt;=$L$4),ROW(),"-")</f>
        <v>-</v>
      </c>
    </row>
    <row r="15179" customHeight="1" spans="2:2">
      <c r="B15179" s="62" t="str">
        <f>IF(AND('领用录入（明细）'!D:D=$F$4,'领用录入（明细）'!C:C&gt;=$J$4,'领用录入（明细）'!C:C&lt;=$L$4),ROW(),"-")</f>
        <v>-</v>
      </c>
    </row>
    <row r="15180" customHeight="1" spans="2:2">
      <c r="B15180" s="62" t="str">
        <f>IF(AND('领用录入（明细）'!D:D=$F$4,'领用录入（明细）'!C:C&gt;=$J$4,'领用录入（明细）'!C:C&lt;=$L$4),ROW(),"-")</f>
        <v>-</v>
      </c>
    </row>
    <row r="15181" customHeight="1" spans="2:2">
      <c r="B15181" s="62" t="str">
        <f>IF(AND('领用录入（明细）'!D:D=$F$4,'领用录入（明细）'!C:C&gt;=$J$4,'领用录入（明细）'!C:C&lt;=$L$4),ROW(),"-")</f>
        <v>-</v>
      </c>
    </row>
    <row r="15182" customHeight="1" spans="2:2">
      <c r="B15182" s="62" t="str">
        <f>IF(AND('领用录入（明细）'!D:D=$F$4,'领用录入（明细）'!C:C&gt;=$J$4,'领用录入（明细）'!C:C&lt;=$L$4),ROW(),"-")</f>
        <v>-</v>
      </c>
    </row>
    <row r="15183" customHeight="1" spans="2:2">
      <c r="B15183" s="62" t="str">
        <f>IF(AND('领用录入（明细）'!D:D=$F$4,'领用录入（明细）'!C:C&gt;=$J$4,'领用录入（明细）'!C:C&lt;=$L$4),ROW(),"-")</f>
        <v>-</v>
      </c>
    </row>
    <row r="15184" customHeight="1" spans="2:2">
      <c r="B15184" s="62" t="str">
        <f>IF(AND('领用录入（明细）'!D:D=$F$4,'领用录入（明细）'!C:C&gt;=$J$4,'领用录入（明细）'!C:C&lt;=$L$4),ROW(),"-")</f>
        <v>-</v>
      </c>
    </row>
    <row r="15185" customHeight="1" spans="2:2">
      <c r="B15185" s="62" t="str">
        <f>IF(AND('领用录入（明细）'!D:D=$F$4,'领用录入（明细）'!C:C&gt;=$J$4,'领用录入（明细）'!C:C&lt;=$L$4),ROW(),"-")</f>
        <v>-</v>
      </c>
    </row>
    <row r="15186" customHeight="1" spans="2:2">
      <c r="B15186" s="62" t="str">
        <f>IF(AND('领用录入（明细）'!D:D=$F$4,'领用录入（明细）'!C:C&gt;=$J$4,'领用录入（明细）'!C:C&lt;=$L$4),ROW(),"-")</f>
        <v>-</v>
      </c>
    </row>
    <row r="15187" customHeight="1" spans="2:2">
      <c r="B15187" s="62" t="str">
        <f>IF(AND('领用录入（明细）'!D:D=$F$4,'领用录入（明细）'!C:C&gt;=$J$4,'领用录入（明细）'!C:C&lt;=$L$4),ROW(),"-")</f>
        <v>-</v>
      </c>
    </row>
    <row r="15188" customHeight="1" spans="2:2">
      <c r="B15188" s="62" t="str">
        <f>IF(AND('领用录入（明细）'!D:D=$F$4,'领用录入（明细）'!C:C&gt;=$J$4,'领用录入（明细）'!C:C&lt;=$L$4),ROW(),"-")</f>
        <v>-</v>
      </c>
    </row>
    <row r="15189" customHeight="1" spans="2:2">
      <c r="B15189" s="62" t="str">
        <f>IF(AND('领用录入（明细）'!D:D=$F$4,'领用录入（明细）'!C:C&gt;=$J$4,'领用录入（明细）'!C:C&lt;=$L$4),ROW(),"-")</f>
        <v>-</v>
      </c>
    </row>
    <row r="15190" customHeight="1" spans="2:2">
      <c r="B15190" s="62" t="str">
        <f>IF(AND('领用录入（明细）'!D:D=$F$4,'领用录入（明细）'!C:C&gt;=$J$4,'领用录入（明细）'!C:C&lt;=$L$4),ROW(),"-")</f>
        <v>-</v>
      </c>
    </row>
    <row r="15191" customHeight="1" spans="2:2">
      <c r="B15191" s="62" t="str">
        <f>IF(AND('领用录入（明细）'!D:D=$F$4,'领用录入（明细）'!C:C&gt;=$J$4,'领用录入（明细）'!C:C&lt;=$L$4),ROW(),"-")</f>
        <v>-</v>
      </c>
    </row>
    <row r="15192" customHeight="1" spans="2:2">
      <c r="B15192" s="62" t="str">
        <f>IF(AND('领用录入（明细）'!D:D=$F$4,'领用录入（明细）'!C:C&gt;=$J$4,'领用录入（明细）'!C:C&lt;=$L$4),ROW(),"-")</f>
        <v>-</v>
      </c>
    </row>
    <row r="15193" customHeight="1" spans="2:2">
      <c r="B15193" s="62" t="str">
        <f>IF(AND('领用录入（明细）'!D:D=$F$4,'领用录入（明细）'!C:C&gt;=$J$4,'领用录入（明细）'!C:C&lt;=$L$4),ROW(),"-")</f>
        <v>-</v>
      </c>
    </row>
    <row r="15194" customHeight="1" spans="2:2">
      <c r="B15194" s="62" t="str">
        <f>IF(AND('领用录入（明细）'!D:D=$F$4,'领用录入（明细）'!C:C&gt;=$J$4,'领用录入（明细）'!C:C&lt;=$L$4),ROW(),"-")</f>
        <v>-</v>
      </c>
    </row>
    <row r="15195" customHeight="1" spans="2:2">
      <c r="B15195" s="62" t="str">
        <f>IF(AND('领用录入（明细）'!D:D=$F$4,'领用录入（明细）'!C:C&gt;=$J$4,'领用录入（明细）'!C:C&lt;=$L$4),ROW(),"-")</f>
        <v>-</v>
      </c>
    </row>
    <row r="15196" customHeight="1" spans="2:2">
      <c r="B15196" s="62" t="str">
        <f>IF(AND('领用录入（明细）'!D:D=$F$4,'领用录入（明细）'!C:C&gt;=$J$4,'领用录入（明细）'!C:C&lt;=$L$4),ROW(),"-")</f>
        <v>-</v>
      </c>
    </row>
    <row r="15197" customHeight="1" spans="2:2">
      <c r="B15197" s="62" t="str">
        <f>IF(AND('领用录入（明细）'!D:D=$F$4,'领用录入（明细）'!C:C&gt;=$J$4,'领用录入（明细）'!C:C&lt;=$L$4),ROW(),"-")</f>
        <v>-</v>
      </c>
    </row>
    <row r="15198" customHeight="1" spans="2:2">
      <c r="B15198" s="62" t="str">
        <f>IF(AND('领用录入（明细）'!D:D=$F$4,'领用录入（明细）'!C:C&gt;=$J$4,'领用录入（明细）'!C:C&lt;=$L$4),ROW(),"-")</f>
        <v>-</v>
      </c>
    </row>
    <row r="15199" customHeight="1" spans="2:2">
      <c r="B15199" s="62" t="str">
        <f>IF(AND('领用录入（明细）'!D:D=$F$4,'领用录入（明细）'!C:C&gt;=$J$4,'领用录入（明细）'!C:C&lt;=$L$4),ROW(),"-")</f>
        <v>-</v>
      </c>
    </row>
    <row r="15200" customHeight="1" spans="2:2">
      <c r="B15200" s="62" t="str">
        <f>IF(AND('领用录入（明细）'!D:D=$F$4,'领用录入（明细）'!C:C&gt;=$J$4,'领用录入（明细）'!C:C&lt;=$L$4),ROW(),"-")</f>
        <v>-</v>
      </c>
    </row>
    <row r="15201" customHeight="1" spans="2:2">
      <c r="B15201" s="62" t="str">
        <f>IF(AND('领用录入（明细）'!D:D=$F$4,'领用录入（明细）'!C:C&gt;=$J$4,'领用录入（明细）'!C:C&lt;=$L$4),ROW(),"-")</f>
        <v>-</v>
      </c>
    </row>
    <row r="15202" customHeight="1" spans="2:2">
      <c r="B15202" s="62" t="str">
        <f>IF(AND('领用录入（明细）'!D:D=$F$4,'领用录入（明细）'!C:C&gt;=$J$4,'领用录入（明细）'!C:C&lt;=$L$4),ROW(),"-")</f>
        <v>-</v>
      </c>
    </row>
    <row r="15203" customHeight="1" spans="2:2">
      <c r="B15203" s="62" t="str">
        <f>IF(AND('领用录入（明细）'!D:D=$F$4,'领用录入（明细）'!C:C&gt;=$J$4,'领用录入（明细）'!C:C&lt;=$L$4),ROW(),"-")</f>
        <v>-</v>
      </c>
    </row>
    <row r="15204" customHeight="1" spans="2:2">
      <c r="B15204" s="62" t="str">
        <f>IF(AND('领用录入（明细）'!D:D=$F$4,'领用录入（明细）'!C:C&gt;=$J$4,'领用录入（明细）'!C:C&lt;=$L$4),ROW(),"-")</f>
        <v>-</v>
      </c>
    </row>
    <row r="15205" customHeight="1" spans="2:2">
      <c r="B15205" s="62" t="str">
        <f>IF(AND('领用录入（明细）'!D:D=$F$4,'领用录入（明细）'!C:C&gt;=$J$4,'领用录入（明细）'!C:C&lt;=$L$4),ROW(),"-")</f>
        <v>-</v>
      </c>
    </row>
    <row r="15206" customHeight="1" spans="2:2">
      <c r="B15206" s="62" t="str">
        <f>IF(AND('领用录入（明细）'!D:D=$F$4,'领用录入（明细）'!C:C&gt;=$J$4,'领用录入（明细）'!C:C&lt;=$L$4),ROW(),"-")</f>
        <v>-</v>
      </c>
    </row>
    <row r="15207" customHeight="1" spans="2:2">
      <c r="B15207" s="62" t="str">
        <f>IF(AND('领用录入（明细）'!D:D=$F$4,'领用录入（明细）'!C:C&gt;=$J$4,'领用录入（明细）'!C:C&lt;=$L$4),ROW(),"-")</f>
        <v>-</v>
      </c>
    </row>
    <row r="15208" customHeight="1" spans="2:2">
      <c r="B15208" s="62" t="str">
        <f>IF(AND('领用录入（明细）'!D:D=$F$4,'领用录入（明细）'!C:C&gt;=$J$4,'领用录入（明细）'!C:C&lt;=$L$4),ROW(),"-")</f>
        <v>-</v>
      </c>
    </row>
    <row r="15209" customHeight="1" spans="2:2">
      <c r="B15209" s="62" t="str">
        <f>IF(AND('领用录入（明细）'!D:D=$F$4,'领用录入（明细）'!C:C&gt;=$J$4,'领用录入（明细）'!C:C&lt;=$L$4),ROW(),"-")</f>
        <v>-</v>
      </c>
    </row>
    <row r="15210" customHeight="1" spans="2:2">
      <c r="B15210" s="62" t="str">
        <f>IF(AND('领用录入（明细）'!D:D=$F$4,'领用录入（明细）'!C:C&gt;=$J$4,'领用录入（明细）'!C:C&lt;=$L$4),ROW(),"-")</f>
        <v>-</v>
      </c>
    </row>
    <row r="15211" customHeight="1" spans="2:2">
      <c r="B15211" s="62" t="str">
        <f>IF(AND('领用录入（明细）'!D:D=$F$4,'领用录入（明细）'!C:C&gt;=$J$4,'领用录入（明细）'!C:C&lt;=$L$4),ROW(),"-")</f>
        <v>-</v>
      </c>
    </row>
    <row r="15212" customHeight="1" spans="2:2">
      <c r="B15212" s="62" t="str">
        <f>IF(AND('领用录入（明细）'!D:D=$F$4,'领用录入（明细）'!C:C&gt;=$J$4,'领用录入（明细）'!C:C&lt;=$L$4),ROW(),"-")</f>
        <v>-</v>
      </c>
    </row>
    <row r="15213" customHeight="1" spans="2:2">
      <c r="B15213" s="62" t="str">
        <f>IF(AND('领用录入（明细）'!D:D=$F$4,'领用录入（明细）'!C:C&gt;=$J$4,'领用录入（明细）'!C:C&lt;=$L$4),ROW(),"-")</f>
        <v>-</v>
      </c>
    </row>
    <row r="15214" customHeight="1" spans="2:2">
      <c r="B15214" s="62" t="str">
        <f>IF(AND('领用录入（明细）'!D:D=$F$4,'领用录入（明细）'!C:C&gt;=$J$4,'领用录入（明细）'!C:C&lt;=$L$4),ROW(),"-")</f>
        <v>-</v>
      </c>
    </row>
    <row r="15215" customHeight="1" spans="2:2">
      <c r="B15215" s="62" t="str">
        <f>IF(AND('领用录入（明细）'!D:D=$F$4,'领用录入（明细）'!C:C&gt;=$J$4,'领用录入（明细）'!C:C&lt;=$L$4),ROW(),"-")</f>
        <v>-</v>
      </c>
    </row>
    <row r="15216" customHeight="1" spans="2:2">
      <c r="B15216" s="62" t="str">
        <f>IF(AND('领用录入（明细）'!D:D=$F$4,'领用录入（明细）'!C:C&gt;=$J$4,'领用录入（明细）'!C:C&lt;=$L$4),ROW(),"-")</f>
        <v>-</v>
      </c>
    </row>
    <row r="15217" customHeight="1" spans="2:2">
      <c r="B15217" s="62" t="str">
        <f>IF(AND('领用录入（明细）'!D:D=$F$4,'领用录入（明细）'!C:C&gt;=$J$4,'领用录入（明细）'!C:C&lt;=$L$4),ROW(),"-")</f>
        <v>-</v>
      </c>
    </row>
    <row r="15218" customHeight="1" spans="2:2">
      <c r="B15218" s="62" t="str">
        <f>IF(AND('领用录入（明细）'!D:D=$F$4,'领用录入（明细）'!C:C&gt;=$J$4,'领用录入（明细）'!C:C&lt;=$L$4),ROW(),"-")</f>
        <v>-</v>
      </c>
    </row>
    <row r="15219" customHeight="1" spans="2:2">
      <c r="B15219" s="62" t="str">
        <f>IF(AND('领用录入（明细）'!D:D=$F$4,'领用录入（明细）'!C:C&gt;=$J$4,'领用录入（明细）'!C:C&lt;=$L$4),ROW(),"-")</f>
        <v>-</v>
      </c>
    </row>
    <row r="15220" customHeight="1" spans="2:2">
      <c r="B15220" s="62" t="str">
        <f>IF(AND('领用录入（明细）'!D:D=$F$4,'领用录入（明细）'!C:C&gt;=$J$4,'领用录入（明细）'!C:C&lt;=$L$4),ROW(),"-")</f>
        <v>-</v>
      </c>
    </row>
    <row r="15221" customHeight="1" spans="2:2">
      <c r="B15221" s="62" t="str">
        <f>IF(AND('领用录入（明细）'!D:D=$F$4,'领用录入（明细）'!C:C&gt;=$J$4,'领用录入（明细）'!C:C&lt;=$L$4),ROW(),"-")</f>
        <v>-</v>
      </c>
    </row>
    <row r="15222" customHeight="1" spans="2:2">
      <c r="B15222" s="62" t="str">
        <f>IF(AND('领用录入（明细）'!D:D=$F$4,'领用录入（明细）'!C:C&gt;=$J$4,'领用录入（明细）'!C:C&lt;=$L$4),ROW(),"-")</f>
        <v>-</v>
      </c>
    </row>
    <row r="15223" customHeight="1" spans="2:2">
      <c r="B15223" s="62" t="str">
        <f>IF(AND('领用录入（明细）'!D:D=$F$4,'领用录入（明细）'!C:C&gt;=$J$4,'领用录入（明细）'!C:C&lt;=$L$4),ROW(),"-")</f>
        <v>-</v>
      </c>
    </row>
    <row r="15224" customHeight="1" spans="2:2">
      <c r="B15224" s="62" t="str">
        <f>IF(AND('领用录入（明细）'!D:D=$F$4,'领用录入（明细）'!C:C&gt;=$J$4,'领用录入（明细）'!C:C&lt;=$L$4),ROW(),"-")</f>
        <v>-</v>
      </c>
    </row>
    <row r="15225" customHeight="1" spans="2:2">
      <c r="B15225" s="62" t="str">
        <f>IF(AND('领用录入（明细）'!D:D=$F$4,'领用录入（明细）'!C:C&gt;=$J$4,'领用录入（明细）'!C:C&lt;=$L$4),ROW(),"-")</f>
        <v>-</v>
      </c>
    </row>
    <row r="15226" customHeight="1" spans="2:2">
      <c r="B15226" s="62" t="str">
        <f>IF(AND('领用录入（明细）'!D:D=$F$4,'领用录入（明细）'!C:C&gt;=$J$4,'领用录入（明细）'!C:C&lt;=$L$4),ROW(),"-")</f>
        <v>-</v>
      </c>
    </row>
    <row r="15227" customHeight="1" spans="2:2">
      <c r="B15227" s="62" t="str">
        <f>IF(AND('领用录入（明细）'!D:D=$F$4,'领用录入（明细）'!C:C&gt;=$J$4,'领用录入（明细）'!C:C&lt;=$L$4),ROW(),"-")</f>
        <v>-</v>
      </c>
    </row>
    <row r="15228" customHeight="1" spans="2:2">
      <c r="B15228" s="62" t="str">
        <f>IF(AND('领用录入（明细）'!D:D=$F$4,'领用录入（明细）'!C:C&gt;=$J$4,'领用录入（明细）'!C:C&lt;=$L$4),ROW(),"-")</f>
        <v>-</v>
      </c>
    </row>
    <row r="15229" customHeight="1" spans="2:2">
      <c r="B15229" s="62" t="str">
        <f>IF(AND('领用录入（明细）'!D:D=$F$4,'领用录入（明细）'!C:C&gt;=$J$4,'领用录入（明细）'!C:C&lt;=$L$4),ROW(),"-")</f>
        <v>-</v>
      </c>
    </row>
    <row r="15230" customHeight="1" spans="2:2">
      <c r="B15230" s="62" t="str">
        <f>IF(AND('领用录入（明细）'!D:D=$F$4,'领用录入（明细）'!C:C&gt;=$J$4,'领用录入（明细）'!C:C&lt;=$L$4),ROW(),"-")</f>
        <v>-</v>
      </c>
    </row>
    <row r="15231" customHeight="1" spans="2:2">
      <c r="B15231" s="62" t="str">
        <f>IF(AND('领用录入（明细）'!D:D=$F$4,'领用录入（明细）'!C:C&gt;=$J$4,'领用录入（明细）'!C:C&lt;=$L$4),ROW(),"-")</f>
        <v>-</v>
      </c>
    </row>
    <row r="15232" customHeight="1" spans="2:2">
      <c r="B15232" s="62" t="str">
        <f>IF(AND('领用录入（明细）'!D:D=$F$4,'领用录入（明细）'!C:C&gt;=$J$4,'领用录入（明细）'!C:C&lt;=$L$4),ROW(),"-")</f>
        <v>-</v>
      </c>
    </row>
    <row r="15233" customHeight="1" spans="2:2">
      <c r="B15233" s="62" t="str">
        <f>IF(AND('领用录入（明细）'!D:D=$F$4,'领用录入（明细）'!C:C&gt;=$J$4,'领用录入（明细）'!C:C&lt;=$L$4),ROW(),"-")</f>
        <v>-</v>
      </c>
    </row>
    <row r="15234" customHeight="1" spans="2:2">
      <c r="B15234" s="62" t="str">
        <f>IF(AND('领用录入（明细）'!D:D=$F$4,'领用录入（明细）'!C:C&gt;=$J$4,'领用录入（明细）'!C:C&lt;=$L$4),ROW(),"-")</f>
        <v>-</v>
      </c>
    </row>
    <row r="15235" customHeight="1" spans="2:2">
      <c r="B15235" s="62" t="str">
        <f>IF(AND('领用录入（明细）'!D:D=$F$4,'领用录入（明细）'!C:C&gt;=$J$4,'领用录入（明细）'!C:C&lt;=$L$4),ROW(),"-")</f>
        <v>-</v>
      </c>
    </row>
    <row r="15236" customHeight="1" spans="2:2">
      <c r="B15236" s="62" t="str">
        <f>IF(AND('领用录入（明细）'!D:D=$F$4,'领用录入（明细）'!C:C&gt;=$J$4,'领用录入（明细）'!C:C&lt;=$L$4),ROW(),"-")</f>
        <v>-</v>
      </c>
    </row>
    <row r="15237" customHeight="1" spans="2:2">
      <c r="B15237" s="62" t="str">
        <f>IF(AND('领用录入（明细）'!D:D=$F$4,'领用录入（明细）'!C:C&gt;=$J$4,'领用录入（明细）'!C:C&lt;=$L$4),ROW(),"-")</f>
        <v>-</v>
      </c>
    </row>
    <row r="15238" customHeight="1" spans="2:2">
      <c r="B15238" s="62" t="str">
        <f>IF(AND('领用录入（明细）'!D:D=$F$4,'领用录入（明细）'!C:C&gt;=$J$4,'领用录入（明细）'!C:C&lt;=$L$4),ROW(),"-")</f>
        <v>-</v>
      </c>
    </row>
    <row r="15239" customHeight="1" spans="2:2">
      <c r="B15239" s="62" t="str">
        <f>IF(AND('领用录入（明细）'!D:D=$F$4,'领用录入（明细）'!C:C&gt;=$J$4,'领用录入（明细）'!C:C&lt;=$L$4),ROW(),"-")</f>
        <v>-</v>
      </c>
    </row>
    <row r="15240" customHeight="1" spans="2:2">
      <c r="B15240" s="62" t="str">
        <f>IF(AND('领用录入（明细）'!D:D=$F$4,'领用录入（明细）'!C:C&gt;=$J$4,'领用录入（明细）'!C:C&lt;=$L$4),ROW(),"-")</f>
        <v>-</v>
      </c>
    </row>
    <row r="15241" customHeight="1" spans="2:2">
      <c r="B15241" s="62" t="str">
        <f>IF(AND('领用录入（明细）'!D:D=$F$4,'领用录入（明细）'!C:C&gt;=$J$4,'领用录入（明细）'!C:C&lt;=$L$4),ROW(),"-")</f>
        <v>-</v>
      </c>
    </row>
    <row r="15242" customHeight="1" spans="2:2">
      <c r="B15242" s="62" t="str">
        <f>IF(AND('领用录入（明细）'!D:D=$F$4,'领用录入（明细）'!C:C&gt;=$J$4,'领用录入（明细）'!C:C&lt;=$L$4),ROW(),"-")</f>
        <v>-</v>
      </c>
    </row>
    <row r="15243" customHeight="1" spans="2:2">
      <c r="B15243" s="62" t="str">
        <f>IF(AND('领用录入（明细）'!D:D=$F$4,'领用录入（明细）'!C:C&gt;=$J$4,'领用录入（明细）'!C:C&lt;=$L$4),ROW(),"-")</f>
        <v>-</v>
      </c>
    </row>
    <row r="15244" customHeight="1" spans="2:2">
      <c r="B15244" s="62" t="str">
        <f>IF(AND('领用录入（明细）'!D:D=$F$4,'领用录入（明细）'!C:C&gt;=$J$4,'领用录入（明细）'!C:C&lt;=$L$4),ROW(),"-")</f>
        <v>-</v>
      </c>
    </row>
    <row r="15245" customHeight="1" spans="2:2">
      <c r="B15245" s="62" t="str">
        <f>IF(AND('领用录入（明细）'!D:D=$F$4,'领用录入（明细）'!C:C&gt;=$J$4,'领用录入（明细）'!C:C&lt;=$L$4),ROW(),"-")</f>
        <v>-</v>
      </c>
    </row>
    <row r="15246" customHeight="1" spans="2:2">
      <c r="B15246" s="62" t="str">
        <f>IF(AND('领用录入（明细）'!D:D=$F$4,'领用录入（明细）'!C:C&gt;=$J$4,'领用录入（明细）'!C:C&lt;=$L$4),ROW(),"-")</f>
        <v>-</v>
      </c>
    </row>
    <row r="15247" customHeight="1" spans="2:2">
      <c r="B15247" s="62" t="str">
        <f>IF(AND('领用录入（明细）'!D:D=$F$4,'领用录入（明细）'!C:C&gt;=$J$4,'领用录入（明细）'!C:C&lt;=$L$4),ROW(),"-")</f>
        <v>-</v>
      </c>
    </row>
    <row r="15248" customHeight="1" spans="2:2">
      <c r="B15248" s="62" t="str">
        <f>IF(AND('领用录入（明细）'!D:D=$F$4,'领用录入（明细）'!C:C&gt;=$J$4,'领用录入（明细）'!C:C&lt;=$L$4),ROW(),"-")</f>
        <v>-</v>
      </c>
    </row>
    <row r="15249" customHeight="1" spans="2:2">
      <c r="B15249" s="62" t="str">
        <f>IF(AND('领用录入（明细）'!D:D=$F$4,'领用录入（明细）'!C:C&gt;=$J$4,'领用录入（明细）'!C:C&lt;=$L$4),ROW(),"-")</f>
        <v>-</v>
      </c>
    </row>
    <row r="15250" customHeight="1" spans="2:2">
      <c r="B15250" s="62" t="str">
        <f>IF(AND('领用录入（明细）'!D:D=$F$4,'领用录入（明细）'!C:C&gt;=$J$4,'领用录入（明细）'!C:C&lt;=$L$4),ROW(),"-")</f>
        <v>-</v>
      </c>
    </row>
    <row r="15251" customHeight="1" spans="2:2">
      <c r="B15251" s="62" t="str">
        <f>IF(AND('领用录入（明细）'!D:D=$F$4,'领用录入（明细）'!C:C&gt;=$J$4,'领用录入（明细）'!C:C&lt;=$L$4),ROW(),"-")</f>
        <v>-</v>
      </c>
    </row>
    <row r="15252" customHeight="1" spans="2:2">
      <c r="B15252" s="62" t="str">
        <f>IF(AND('领用录入（明细）'!D:D=$F$4,'领用录入（明细）'!C:C&gt;=$J$4,'领用录入（明细）'!C:C&lt;=$L$4),ROW(),"-")</f>
        <v>-</v>
      </c>
    </row>
    <row r="15253" customHeight="1" spans="2:2">
      <c r="B15253" s="62" t="str">
        <f>IF(AND('领用录入（明细）'!D:D=$F$4,'领用录入（明细）'!C:C&gt;=$J$4,'领用录入（明细）'!C:C&lt;=$L$4),ROW(),"-")</f>
        <v>-</v>
      </c>
    </row>
    <row r="15254" customHeight="1" spans="2:2">
      <c r="B15254" s="62" t="str">
        <f>IF(AND('领用录入（明细）'!D:D=$F$4,'领用录入（明细）'!C:C&gt;=$J$4,'领用录入（明细）'!C:C&lt;=$L$4),ROW(),"-")</f>
        <v>-</v>
      </c>
    </row>
    <row r="15255" customHeight="1" spans="2:2">
      <c r="B15255" s="62" t="str">
        <f>IF(AND('领用录入（明细）'!D:D=$F$4,'领用录入（明细）'!C:C&gt;=$J$4,'领用录入（明细）'!C:C&lt;=$L$4),ROW(),"-")</f>
        <v>-</v>
      </c>
    </row>
    <row r="15256" customHeight="1" spans="2:2">
      <c r="B15256" s="62" t="str">
        <f>IF(AND('领用录入（明细）'!D:D=$F$4,'领用录入（明细）'!C:C&gt;=$J$4,'领用录入（明细）'!C:C&lt;=$L$4),ROW(),"-")</f>
        <v>-</v>
      </c>
    </row>
    <row r="15257" customHeight="1" spans="2:2">
      <c r="B15257" s="62" t="str">
        <f>IF(AND('领用录入（明细）'!D:D=$F$4,'领用录入（明细）'!C:C&gt;=$J$4,'领用录入（明细）'!C:C&lt;=$L$4),ROW(),"-")</f>
        <v>-</v>
      </c>
    </row>
    <row r="15258" customHeight="1" spans="2:2">
      <c r="B15258" s="62" t="str">
        <f>IF(AND('领用录入（明细）'!D:D=$F$4,'领用录入（明细）'!C:C&gt;=$J$4,'领用录入（明细）'!C:C&lt;=$L$4),ROW(),"-")</f>
        <v>-</v>
      </c>
    </row>
    <row r="15259" customHeight="1" spans="2:2">
      <c r="B15259" s="62" t="str">
        <f>IF(AND('领用录入（明细）'!D:D=$F$4,'领用录入（明细）'!C:C&gt;=$J$4,'领用录入（明细）'!C:C&lt;=$L$4),ROW(),"-")</f>
        <v>-</v>
      </c>
    </row>
    <row r="15260" customHeight="1" spans="2:2">
      <c r="B15260" s="62" t="str">
        <f>IF(AND('领用录入（明细）'!D:D=$F$4,'领用录入（明细）'!C:C&gt;=$J$4,'领用录入（明细）'!C:C&lt;=$L$4),ROW(),"-")</f>
        <v>-</v>
      </c>
    </row>
    <row r="15261" customHeight="1" spans="2:2">
      <c r="B15261" s="62" t="str">
        <f>IF(AND('领用录入（明细）'!D:D=$F$4,'领用录入（明细）'!C:C&gt;=$J$4,'领用录入（明细）'!C:C&lt;=$L$4),ROW(),"-")</f>
        <v>-</v>
      </c>
    </row>
    <row r="15262" customHeight="1" spans="2:2">
      <c r="B15262" s="62" t="str">
        <f>IF(AND('领用录入（明细）'!D:D=$F$4,'领用录入（明细）'!C:C&gt;=$J$4,'领用录入（明细）'!C:C&lt;=$L$4),ROW(),"-")</f>
        <v>-</v>
      </c>
    </row>
    <row r="15263" customHeight="1" spans="2:2">
      <c r="B15263" s="62" t="str">
        <f>IF(AND('领用录入（明细）'!D:D=$F$4,'领用录入（明细）'!C:C&gt;=$J$4,'领用录入（明细）'!C:C&lt;=$L$4),ROW(),"-")</f>
        <v>-</v>
      </c>
    </row>
    <row r="15264" customHeight="1" spans="2:2">
      <c r="B15264" s="62" t="str">
        <f>IF(AND('领用录入（明细）'!D:D=$F$4,'领用录入（明细）'!C:C&gt;=$J$4,'领用录入（明细）'!C:C&lt;=$L$4),ROW(),"-")</f>
        <v>-</v>
      </c>
    </row>
    <row r="15265" customHeight="1" spans="2:2">
      <c r="B15265" s="62" t="str">
        <f>IF(AND('领用录入（明细）'!D:D=$F$4,'领用录入（明细）'!C:C&gt;=$J$4,'领用录入（明细）'!C:C&lt;=$L$4),ROW(),"-")</f>
        <v>-</v>
      </c>
    </row>
    <row r="15266" customHeight="1" spans="2:2">
      <c r="B15266" s="62" t="str">
        <f>IF(AND('领用录入（明细）'!D:D=$F$4,'领用录入（明细）'!C:C&gt;=$J$4,'领用录入（明细）'!C:C&lt;=$L$4),ROW(),"-")</f>
        <v>-</v>
      </c>
    </row>
    <row r="15267" customHeight="1" spans="2:2">
      <c r="B15267" s="62" t="str">
        <f>IF(AND('领用录入（明细）'!D:D=$F$4,'领用录入（明细）'!C:C&gt;=$J$4,'领用录入（明细）'!C:C&lt;=$L$4),ROW(),"-")</f>
        <v>-</v>
      </c>
    </row>
    <row r="15268" customHeight="1" spans="2:2">
      <c r="B15268" s="62" t="str">
        <f>IF(AND('领用录入（明细）'!D:D=$F$4,'领用录入（明细）'!C:C&gt;=$J$4,'领用录入（明细）'!C:C&lt;=$L$4),ROW(),"-")</f>
        <v>-</v>
      </c>
    </row>
    <row r="15269" customHeight="1" spans="2:2">
      <c r="B15269" s="62" t="str">
        <f>IF(AND('领用录入（明细）'!D:D=$F$4,'领用录入（明细）'!C:C&gt;=$J$4,'领用录入（明细）'!C:C&lt;=$L$4),ROW(),"-")</f>
        <v>-</v>
      </c>
    </row>
    <row r="15270" customHeight="1" spans="2:2">
      <c r="B15270" s="62" t="str">
        <f>IF(AND('领用录入（明细）'!D:D=$F$4,'领用录入（明细）'!C:C&gt;=$J$4,'领用录入（明细）'!C:C&lt;=$L$4),ROW(),"-")</f>
        <v>-</v>
      </c>
    </row>
    <row r="15271" customHeight="1" spans="2:2">
      <c r="B15271" s="62" t="str">
        <f>IF(AND('领用录入（明细）'!D:D=$F$4,'领用录入（明细）'!C:C&gt;=$J$4,'领用录入（明细）'!C:C&lt;=$L$4),ROW(),"-")</f>
        <v>-</v>
      </c>
    </row>
    <row r="15272" customHeight="1" spans="2:2">
      <c r="B15272" s="62" t="str">
        <f>IF(AND('领用录入（明细）'!D:D=$F$4,'领用录入（明细）'!C:C&gt;=$J$4,'领用录入（明细）'!C:C&lt;=$L$4),ROW(),"-")</f>
        <v>-</v>
      </c>
    </row>
    <row r="15273" customHeight="1" spans="2:2">
      <c r="B15273" s="62" t="str">
        <f>IF(AND('领用录入（明细）'!D:D=$F$4,'领用录入（明细）'!C:C&gt;=$J$4,'领用录入（明细）'!C:C&lt;=$L$4),ROW(),"-")</f>
        <v>-</v>
      </c>
    </row>
    <row r="15274" customHeight="1" spans="2:2">
      <c r="B15274" s="62" t="str">
        <f>IF(AND('领用录入（明细）'!D:D=$F$4,'领用录入（明细）'!C:C&gt;=$J$4,'领用录入（明细）'!C:C&lt;=$L$4),ROW(),"-")</f>
        <v>-</v>
      </c>
    </row>
    <row r="15275" customHeight="1" spans="2:2">
      <c r="B15275" s="62" t="str">
        <f>IF(AND('领用录入（明细）'!D:D=$F$4,'领用录入（明细）'!C:C&gt;=$J$4,'领用录入（明细）'!C:C&lt;=$L$4),ROW(),"-")</f>
        <v>-</v>
      </c>
    </row>
    <row r="15276" customHeight="1" spans="2:2">
      <c r="B15276" s="62" t="str">
        <f>IF(AND('领用录入（明细）'!D:D=$F$4,'领用录入（明细）'!C:C&gt;=$J$4,'领用录入（明细）'!C:C&lt;=$L$4),ROW(),"-")</f>
        <v>-</v>
      </c>
    </row>
    <row r="15277" customHeight="1" spans="2:2">
      <c r="B15277" s="62" t="str">
        <f>IF(AND('领用录入（明细）'!D:D=$F$4,'领用录入（明细）'!C:C&gt;=$J$4,'领用录入（明细）'!C:C&lt;=$L$4),ROW(),"-")</f>
        <v>-</v>
      </c>
    </row>
    <row r="15278" customHeight="1" spans="2:2">
      <c r="B15278" s="62" t="str">
        <f>IF(AND('领用录入（明细）'!D:D=$F$4,'领用录入（明细）'!C:C&gt;=$J$4,'领用录入（明细）'!C:C&lt;=$L$4),ROW(),"-")</f>
        <v>-</v>
      </c>
    </row>
    <row r="15279" customHeight="1" spans="2:2">
      <c r="B15279" s="62" t="str">
        <f>IF(AND('领用录入（明细）'!D:D=$F$4,'领用录入（明细）'!C:C&gt;=$J$4,'领用录入（明细）'!C:C&lt;=$L$4),ROW(),"-")</f>
        <v>-</v>
      </c>
    </row>
    <row r="15280" customHeight="1" spans="2:2">
      <c r="B15280" s="62" t="str">
        <f>IF(AND('领用录入（明细）'!D:D=$F$4,'领用录入（明细）'!C:C&gt;=$J$4,'领用录入（明细）'!C:C&lt;=$L$4),ROW(),"-")</f>
        <v>-</v>
      </c>
    </row>
    <row r="15281" customHeight="1" spans="2:2">
      <c r="B15281" s="62" t="str">
        <f>IF(AND('领用录入（明细）'!D:D=$F$4,'领用录入（明细）'!C:C&gt;=$J$4,'领用录入（明细）'!C:C&lt;=$L$4),ROW(),"-")</f>
        <v>-</v>
      </c>
    </row>
    <row r="15282" customHeight="1" spans="2:2">
      <c r="B15282" s="62" t="str">
        <f>IF(AND('领用录入（明细）'!D:D=$F$4,'领用录入（明细）'!C:C&gt;=$J$4,'领用录入（明细）'!C:C&lt;=$L$4),ROW(),"-")</f>
        <v>-</v>
      </c>
    </row>
    <row r="15283" customHeight="1" spans="2:2">
      <c r="B15283" s="62" t="str">
        <f>IF(AND('领用录入（明细）'!D:D=$F$4,'领用录入（明细）'!C:C&gt;=$J$4,'领用录入（明细）'!C:C&lt;=$L$4),ROW(),"-")</f>
        <v>-</v>
      </c>
    </row>
    <row r="15284" customHeight="1" spans="2:2">
      <c r="B15284" s="62" t="str">
        <f>IF(AND('领用录入（明细）'!D:D=$F$4,'领用录入（明细）'!C:C&gt;=$J$4,'领用录入（明细）'!C:C&lt;=$L$4),ROW(),"-")</f>
        <v>-</v>
      </c>
    </row>
    <row r="15285" customHeight="1" spans="2:2">
      <c r="B15285" s="62" t="str">
        <f>IF(AND('领用录入（明细）'!D:D=$F$4,'领用录入（明细）'!C:C&gt;=$J$4,'领用录入（明细）'!C:C&lt;=$L$4),ROW(),"-")</f>
        <v>-</v>
      </c>
    </row>
    <row r="15286" customHeight="1" spans="2:2">
      <c r="B15286" s="62" t="str">
        <f>IF(AND('领用录入（明细）'!D:D=$F$4,'领用录入（明细）'!C:C&gt;=$J$4,'领用录入（明细）'!C:C&lt;=$L$4),ROW(),"-")</f>
        <v>-</v>
      </c>
    </row>
    <row r="15287" customHeight="1" spans="2:2">
      <c r="B15287" s="62" t="str">
        <f>IF(AND('领用录入（明细）'!D:D=$F$4,'领用录入（明细）'!C:C&gt;=$J$4,'领用录入（明细）'!C:C&lt;=$L$4),ROW(),"-")</f>
        <v>-</v>
      </c>
    </row>
    <row r="15288" customHeight="1" spans="2:2">
      <c r="B15288" s="62" t="str">
        <f>IF(AND('领用录入（明细）'!D:D=$F$4,'领用录入（明细）'!C:C&gt;=$J$4,'领用录入（明细）'!C:C&lt;=$L$4),ROW(),"-")</f>
        <v>-</v>
      </c>
    </row>
    <row r="15289" customHeight="1" spans="2:2">
      <c r="B15289" s="62" t="str">
        <f>IF(AND('领用录入（明细）'!D:D=$F$4,'领用录入（明细）'!C:C&gt;=$J$4,'领用录入（明细）'!C:C&lt;=$L$4),ROW(),"-")</f>
        <v>-</v>
      </c>
    </row>
    <row r="15290" customHeight="1" spans="2:2">
      <c r="B15290" s="62" t="str">
        <f>IF(AND('领用录入（明细）'!D:D=$F$4,'领用录入（明细）'!C:C&gt;=$J$4,'领用录入（明细）'!C:C&lt;=$L$4),ROW(),"-")</f>
        <v>-</v>
      </c>
    </row>
    <row r="15291" customHeight="1" spans="2:2">
      <c r="B15291" s="62" t="str">
        <f>IF(AND('领用录入（明细）'!D:D=$F$4,'领用录入（明细）'!C:C&gt;=$J$4,'领用录入（明细）'!C:C&lt;=$L$4),ROW(),"-")</f>
        <v>-</v>
      </c>
    </row>
    <row r="15292" customHeight="1" spans="2:2">
      <c r="B15292" s="62" t="str">
        <f>IF(AND('领用录入（明细）'!D:D=$F$4,'领用录入（明细）'!C:C&gt;=$J$4,'领用录入（明细）'!C:C&lt;=$L$4),ROW(),"-")</f>
        <v>-</v>
      </c>
    </row>
    <row r="15293" customHeight="1" spans="2:2">
      <c r="B15293" s="62" t="str">
        <f>IF(AND('领用录入（明细）'!D:D=$F$4,'领用录入（明细）'!C:C&gt;=$J$4,'领用录入（明细）'!C:C&lt;=$L$4),ROW(),"-")</f>
        <v>-</v>
      </c>
    </row>
    <row r="15294" customHeight="1" spans="2:2">
      <c r="B15294" s="62" t="str">
        <f>IF(AND('领用录入（明细）'!D:D=$F$4,'领用录入（明细）'!C:C&gt;=$J$4,'领用录入（明细）'!C:C&lt;=$L$4),ROW(),"-")</f>
        <v>-</v>
      </c>
    </row>
    <row r="15295" customHeight="1" spans="2:2">
      <c r="B15295" s="62" t="str">
        <f>IF(AND('领用录入（明细）'!D:D=$F$4,'领用录入（明细）'!C:C&gt;=$J$4,'领用录入（明细）'!C:C&lt;=$L$4),ROW(),"-")</f>
        <v>-</v>
      </c>
    </row>
    <row r="15296" customHeight="1" spans="2:2">
      <c r="B15296" s="62" t="str">
        <f>IF(AND('领用录入（明细）'!D:D=$F$4,'领用录入（明细）'!C:C&gt;=$J$4,'领用录入（明细）'!C:C&lt;=$L$4),ROW(),"-")</f>
        <v>-</v>
      </c>
    </row>
    <row r="15297" customHeight="1" spans="2:2">
      <c r="B15297" s="62" t="str">
        <f>IF(AND('领用录入（明细）'!D:D=$F$4,'领用录入（明细）'!C:C&gt;=$J$4,'领用录入（明细）'!C:C&lt;=$L$4),ROW(),"-")</f>
        <v>-</v>
      </c>
    </row>
    <row r="15298" customHeight="1" spans="2:2">
      <c r="B15298" s="62" t="str">
        <f>IF(AND('领用录入（明细）'!D:D=$F$4,'领用录入（明细）'!C:C&gt;=$J$4,'领用录入（明细）'!C:C&lt;=$L$4),ROW(),"-")</f>
        <v>-</v>
      </c>
    </row>
    <row r="15299" customHeight="1" spans="2:2">
      <c r="B15299" s="62" t="str">
        <f>IF(AND('领用录入（明细）'!D:D=$F$4,'领用录入（明细）'!C:C&gt;=$J$4,'领用录入（明细）'!C:C&lt;=$L$4),ROW(),"-")</f>
        <v>-</v>
      </c>
    </row>
    <row r="15300" customHeight="1" spans="2:2">
      <c r="B15300" s="62" t="str">
        <f>IF(AND('领用录入（明细）'!D:D=$F$4,'领用录入（明细）'!C:C&gt;=$J$4,'领用录入（明细）'!C:C&lt;=$L$4),ROW(),"-")</f>
        <v>-</v>
      </c>
    </row>
    <row r="15301" customHeight="1" spans="2:2">
      <c r="B15301" s="62" t="str">
        <f>IF(AND('领用录入（明细）'!D:D=$F$4,'领用录入（明细）'!C:C&gt;=$J$4,'领用录入（明细）'!C:C&lt;=$L$4),ROW(),"-")</f>
        <v>-</v>
      </c>
    </row>
    <row r="15302" customHeight="1" spans="2:2">
      <c r="B15302" s="62" t="str">
        <f>IF(AND('领用录入（明细）'!D:D=$F$4,'领用录入（明细）'!C:C&gt;=$J$4,'领用录入（明细）'!C:C&lt;=$L$4),ROW(),"-")</f>
        <v>-</v>
      </c>
    </row>
    <row r="15303" customHeight="1" spans="2:2">
      <c r="B15303" s="62" t="str">
        <f>IF(AND('领用录入（明细）'!D:D=$F$4,'领用录入（明细）'!C:C&gt;=$J$4,'领用录入（明细）'!C:C&lt;=$L$4),ROW(),"-")</f>
        <v>-</v>
      </c>
    </row>
    <row r="15304" customHeight="1" spans="2:2">
      <c r="B15304" s="62" t="str">
        <f>IF(AND('领用录入（明细）'!D:D=$F$4,'领用录入（明细）'!C:C&gt;=$J$4,'领用录入（明细）'!C:C&lt;=$L$4),ROW(),"-")</f>
        <v>-</v>
      </c>
    </row>
    <row r="15305" customHeight="1" spans="2:2">
      <c r="B15305" s="62" t="str">
        <f>IF(AND('领用录入（明细）'!D:D=$F$4,'领用录入（明细）'!C:C&gt;=$J$4,'领用录入（明细）'!C:C&lt;=$L$4),ROW(),"-")</f>
        <v>-</v>
      </c>
    </row>
    <row r="15306" customHeight="1" spans="2:2">
      <c r="B15306" s="62" t="str">
        <f>IF(AND('领用录入（明细）'!D:D=$F$4,'领用录入（明细）'!C:C&gt;=$J$4,'领用录入（明细）'!C:C&lt;=$L$4),ROW(),"-")</f>
        <v>-</v>
      </c>
    </row>
    <row r="15307" customHeight="1" spans="2:2">
      <c r="B15307" s="62" t="str">
        <f>IF(AND('领用录入（明细）'!D:D=$F$4,'领用录入（明细）'!C:C&gt;=$J$4,'领用录入（明细）'!C:C&lt;=$L$4),ROW(),"-")</f>
        <v>-</v>
      </c>
    </row>
    <row r="15308" customHeight="1" spans="2:2">
      <c r="B15308" s="62" t="str">
        <f>IF(AND('领用录入（明细）'!D:D=$F$4,'领用录入（明细）'!C:C&gt;=$J$4,'领用录入（明细）'!C:C&lt;=$L$4),ROW(),"-")</f>
        <v>-</v>
      </c>
    </row>
    <row r="15309" customHeight="1" spans="2:2">
      <c r="B15309" s="62" t="str">
        <f>IF(AND('领用录入（明细）'!D:D=$F$4,'领用录入（明细）'!C:C&gt;=$J$4,'领用录入（明细）'!C:C&lt;=$L$4),ROW(),"-")</f>
        <v>-</v>
      </c>
    </row>
    <row r="15310" customHeight="1" spans="2:2">
      <c r="B15310" s="62" t="str">
        <f>IF(AND('领用录入（明细）'!D:D=$F$4,'领用录入（明细）'!C:C&gt;=$J$4,'领用录入（明细）'!C:C&lt;=$L$4),ROW(),"-")</f>
        <v>-</v>
      </c>
    </row>
    <row r="15311" customHeight="1" spans="2:2">
      <c r="B15311" s="62" t="str">
        <f>IF(AND('领用录入（明细）'!D:D=$F$4,'领用录入（明细）'!C:C&gt;=$J$4,'领用录入（明细）'!C:C&lt;=$L$4),ROW(),"-")</f>
        <v>-</v>
      </c>
    </row>
    <row r="15312" customHeight="1" spans="2:2">
      <c r="B15312" s="62" t="str">
        <f>IF(AND('领用录入（明细）'!D:D=$F$4,'领用录入（明细）'!C:C&gt;=$J$4,'领用录入（明细）'!C:C&lt;=$L$4),ROW(),"-")</f>
        <v>-</v>
      </c>
    </row>
    <row r="15313" customHeight="1" spans="2:2">
      <c r="B15313" s="62" t="str">
        <f>IF(AND('领用录入（明细）'!D:D=$F$4,'领用录入（明细）'!C:C&gt;=$J$4,'领用录入（明细）'!C:C&lt;=$L$4),ROW(),"-")</f>
        <v>-</v>
      </c>
    </row>
    <row r="15314" customHeight="1" spans="2:2">
      <c r="B15314" s="62" t="str">
        <f>IF(AND('领用录入（明细）'!D:D=$F$4,'领用录入（明细）'!C:C&gt;=$J$4,'领用录入（明细）'!C:C&lt;=$L$4),ROW(),"-")</f>
        <v>-</v>
      </c>
    </row>
    <row r="15315" customHeight="1" spans="2:2">
      <c r="B15315" s="62" t="str">
        <f>IF(AND('领用录入（明细）'!D:D=$F$4,'领用录入（明细）'!C:C&gt;=$J$4,'领用录入（明细）'!C:C&lt;=$L$4),ROW(),"-")</f>
        <v>-</v>
      </c>
    </row>
    <row r="15316" customHeight="1" spans="2:2">
      <c r="B15316" s="62" t="str">
        <f>IF(AND('领用录入（明细）'!D:D=$F$4,'领用录入（明细）'!C:C&gt;=$J$4,'领用录入（明细）'!C:C&lt;=$L$4),ROW(),"-")</f>
        <v>-</v>
      </c>
    </row>
    <row r="15317" customHeight="1" spans="2:2">
      <c r="B15317" s="62" t="str">
        <f>IF(AND('领用录入（明细）'!D:D=$F$4,'领用录入（明细）'!C:C&gt;=$J$4,'领用录入（明细）'!C:C&lt;=$L$4),ROW(),"-")</f>
        <v>-</v>
      </c>
    </row>
    <row r="15318" customHeight="1" spans="2:2">
      <c r="B15318" s="62" t="str">
        <f>IF(AND('领用录入（明细）'!D:D=$F$4,'领用录入（明细）'!C:C&gt;=$J$4,'领用录入（明细）'!C:C&lt;=$L$4),ROW(),"-")</f>
        <v>-</v>
      </c>
    </row>
    <row r="15319" customHeight="1" spans="2:2">
      <c r="B15319" s="62" t="str">
        <f>IF(AND('领用录入（明细）'!D:D=$F$4,'领用录入（明细）'!C:C&gt;=$J$4,'领用录入（明细）'!C:C&lt;=$L$4),ROW(),"-")</f>
        <v>-</v>
      </c>
    </row>
    <row r="15320" customHeight="1" spans="2:2">
      <c r="B15320" s="62" t="str">
        <f>IF(AND('领用录入（明细）'!D:D=$F$4,'领用录入（明细）'!C:C&gt;=$J$4,'领用录入（明细）'!C:C&lt;=$L$4),ROW(),"-")</f>
        <v>-</v>
      </c>
    </row>
    <row r="15321" customHeight="1" spans="2:2">
      <c r="B15321" s="62" t="str">
        <f>IF(AND('领用录入（明细）'!D:D=$F$4,'领用录入（明细）'!C:C&gt;=$J$4,'领用录入（明细）'!C:C&lt;=$L$4),ROW(),"-")</f>
        <v>-</v>
      </c>
    </row>
    <row r="15322" customHeight="1" spans="2:2">
      <c r="B15322" s="62" t="str">
        <f>IF(AND('领用录入（明细）'!D:D=$F$4,'领用录入（明细）'!C:C&gt;=$J$4,'领用录入（明细）'!C:C&lt;=$L$4),ROW(),"-")</f>
        <v>-</v>
      </c>
    </row>
    <row r="15323" customHeight="1" spans="2:2">
      <c r="B15323" s="62" t="str">
        <f>IF(AND('领用录入（明细）'!D:D=$F$4,'领用录入（明细）'!C:C&gt;=$J$4,'领用录入（明细）'!C:C&lt;=$L$4),ROW(),"-")</f>
        <v>-</v>
      </c>
    </row>
    <row r="15324" customHeight="1" spans="2:2">
      <c r="B15324" s="62" t="str">
        <f>IF(AND('领用录入（明细）'!D:D=$F$4,'领用录入（明细）'!C:C&gt;=$J$4,'领用录入（明细）'!C:C&lt;=$L$4),ROW(),"-")</f>
        <v>-</v>
      </c>
    </row>
    <row r="15325" customHeight="1" spans="2:2">
      <c r="B15325" s="62" t="str">
        <f>IF(AND('领用录入（明细）'!D:D=$F$4,'领用录入（明细）'!C:C&gt;=$J$4,'领用录入（明细）'!C:C&lt;=$L$4),ROW(),"-")</f>
        <v>-</v>
      </c>
    </row>
    <row r="15326" customHeight="1" spans="2:2">
      <c r="B15326" s="62" t="str">
        <f>IF(AND('领用录入（明细）'!D:D=$F$4,'领用录入（明细）'!C:C&gt;=$J$4,'领用录入（明细）'!C:C&lt;=$L$4),ROW(),"-")</f>
        <v>-</v>
      </c>
    </row>
    <row r="15327" customHeight="1" spans="2:2">
      <c r="B15327" s="62" t="str">
        <f>IF(AND('领用录入（明细）'!D:D=$F$4,'领用录入（明细）'!C:C&gt;=$J$4,'领用录入（明细）'!C:C&lt;=$L$4),ROW(),"-")</f>
        <v>-</v>
      </c>
    </row>
    <row r="15328" customHeight="1" spans="2:2">
      <c r="B15328" s="62" t="str">
        <f>IF(AND('领用录入（明细）'!D:D=$F$4,'领用录入（明细）'!C:C&gt;=$J$4,'领用录入（明细）'!C:C&lt;=$L$4),ROW(),"-")</f>
        <v>-</v>
      </c>
    </row>
    <row r="15329" customHeight="1" spans="2:2">
      <c r="B15329" s="62" t="str">
        <f>IF(AND('领用录入（明细）'!D:D=$F$4,'领用录入（明细）'!C:C&gt;=$J$4,'领用录入（明细）'!C:C&lt;=$L$4),ROW(),"-")</f>
        <v>-</v>
      </c>
    </row>
    <row r="15330" customHeight="1" spans="2:2">
      <c r="B15330" s="62" t="str">
        <f>IF(AND('领用录入（明细）'!D:D=$F$4,'领用录入（明细）'!C:C&gt;=$J$4,'领用录入（明细）'!C:C&lt;=$L$4),ROW(),"-")</f>
        <v>-</v>
      </c>
    </row>
    <row r="15331" customHeight="1" spans="2:2">
      <c r="B15331" s="62" t="str">
        <f>IF(AND('领用录入（明细）'!D:D=$F$4,'领用录入（明细）'!C:C&gt;=$J$4,'领用录入（明细）'!C:C&lt;=$L$4),ROW(),"-")</f>
        <v>-</v>
      </c>
    </row>
    <row r="15332" customHeight="1" spans="2:2">
      <c r="B15332" s="62" t="str">
        <f>IF(AND('领用录入（明细）'!D:D=$F$4,'领用录入（明细）'!C:C&gt;=$J$4,'领用录入（明细）'!C:C&lt;=$L$4),ROW(),"-")</f>
        <v>-</v>
      </c>
    </row>
    <row r="15333" customHeight="1" spans="2:2">
      <c r="B15333" s="62" t="str">
        <f>IF(AND('领用录入（明细）'!D:D=$F$4,'领用录入（明细）'!C:C&gt;=$J$4,'领用录入（明细）'!C:C&lt;=$L$4),ROW(),"-")</f>
        <v>-</v>
      </c>
    </row>
    <row r="15334" customHeight="1" spans="2:2">
      <c r="B15334" s="62" t="str">
        <f>IF(AND('领用录入（明细）'!D:D=$F$4,'领用录入（明细）'!C:C&gt;=$J$4,'领用录入（明细）'!C:C&lt;=$L$4),ROW(),"-")</f>
        <v>-</v>
      </c>
    </row>
    <row r="15335" customHeight="1" spans="2:2">
      <c r="B15335" s="62" t="str">
        <f>IF(AND('领用录入（明细）'!D:D=$F$4,'领用录入（明细）'!C:C&gt;=$J$4,'领用录入（明细）'!C:C&lt;=$L$4),ROW(),"-")</f>
        <v>-</v>
      </c>
    </row>
    <row r="15336" customHeight="1" spans="2:2">
      <c r="B15336" s="62" t="str">
        <f>IF(AND('领用录入（明细）'!D:D=$F$4,'领用录入（明细）'!C:C&gt;=$J$4,'领用录入（明细）'!C:C&lt;=$L$4),ROW(),"-")</f>
        <v>-</v>
      </c>
    </row>
    <row r="15337" customHeight="1" spans="2:2">
      <c r="B15337" s="62" t="str">
        <f>IF(AND('领用录入（明细）'!D:D=$F$4,'领用录入（明细）'!C:C&gt;=$J$4,'领用录入（明细）'!C:C&lt;=$L$4),ROW(),"-")</f>
        <v>-</v>
      </c>
    </row>
    <row r="15338" customHeight="1" spans="2:2">
      <c r="B15338" s="62" t="str">
        <f>IF(AND('领用录入（明细）'!D:D=$F$4,'领用录入（明细）'!C:C&gt;=$J$4,'领用录入（明细）'!C:C&lt;=$L$4),ROW(),"-")</f>
        <v>-</v>
      </c>
    </row>
    <row r="15339" customHeight="1" spans="2:2">
      <c r="B15339" s="62" t="str">
        <f>IF(AND('领用录入（明细）'!D:D=$F$4,'领用录入（明细）'!C:C&gt;=$J$4,'领用录入（明细）'!C:C&lt;=$L$4),ROW(),"-")</f>
        <v>-</v>
      </c>
    </row>
    <row r="15340" customHeight="1" spans="2:2">
      <c r="B15340" s="62" t="str">
        <f>IF(AND('领用录入（明细）'!D:D=$F$4,'领用录入（明细）'!C:C&gt;=$J$4,'领用录入（明细）'!C:C&lt;=$L$4),ROW(),"-")</f>
        <v>-</v>
      </c>
    </row>
    <row r="15341" customHeight="1" spans="2:2">
      <c r="B15341" s="62" t="str">
        <f>IF(AND('领用录入（明细）'!D:D=$F$4,'领用录入（明细）'!C:C&gt;=$J$4,'领用录入（明细）'!C:C&lt;=$L$4),ROW(),"-")</f>
        <v>-</v>
      </c>
    </row>
    <row r="15342" customHeight="1" spans="2:2">
      <c r="B15342" s="62" t="str">
        <f>IF(AND('领用录入（明细）'!D:D=$F$4,'领用录入（明细）'!C:C&gt;=$J$4,'领用录入（明细）'!C:C&lt;=$L$4),ROW(),"-")</f>
        <v>-</v>
      </c>
    </row>
    <row r="15343" customHeight="1" spans="2:2">
      <c r="B15343" s="62" t="str">
        <f>IF(AND('领用录入（明细）'!D:D=$F$4,'领用录入（明细）'!C:C&gt;=$J$4,'领用录入（明细）'!C:C&lt;=$L$4),ROW(),"-")</f>
        <v>-</v>
      </c>
    </row>
    <row r="15344" customHeight="1" spans="2:2">
      <c r="B15344" s="62" t="str">
        <f>IF(AND('领用录入（明细）'!D:D=$F$4,'领用录入（明细）'!C:C&gt;=$J$4,'领用录入（明细）'!C:C&lt;=$L$4),ROW(),"-")</f>
        <v>-</v>
      </c>
    </row>
    <row r="15345" customHeight="1" spans="2:2">
      <c r="B15345" s="62" t="str">
        <f>IF(AND('领用录入（明细）'!D:D=$F$4,'领用录入（明细）'!C:C&gt;=$J$4,'领用录入（明细）'!C:C&lt;=$L$4),ROW(),"-")</f>
        <v>-</v>
      </c>
    </row>
    <row r="15346" customHeight="1" spans="2:2">
      <c r="B15346" s="62" t="str">
        <f>IF(AND('领用录入（明细）'!D:D=$F$4,'领用录入（明细）'!C:C&gt;=$J$4,'领用录入（明细）'!C:C&lt;=$L$4),ROW(),"-")</f>
        <v>-</v>
      </c>
    </row>
    <row r="15347" customHeight="1" spans="2:2">
      <c r="B15347" s="62" t="str">
        <f>IF(AND('领用录入（明细）'!D:D=$F$4,'领用录入（明细）'!C:C&gt;=$J$4,'领用录入（明细）'!C:C&lt;=$L$4),ROW(),"-")</f>
        <v>-</v>
      </c>
    </row>
    <row r="15348" customHeight="1" spans="2:2">
      <c r="B15348" s="62" t="str">
        <f>IF(AND('领用录入（明细）'!D:D=$F$4,'领用录入（明细）'!C:C&gt;=$J$4,'领用录入（明细）'!C:C&lt;=$L$4),ROW(),"-")</f>
        <v>-</v>
      </c>
    </row>
    <row r="15349" customHeight="1" spans="2:2">
      <c r="B15349" s="62" t="str">
        <f>IF(AND('领用录入（明细）'!D:D=$F$4,'领用录入（明细）'!C:C&gt;=$J$4,'领用录入（明细）'!C:C&lt;=$L$4),ROW(),"-")</f>
        <v>-</v>
      </c>
    </row>
    <row r="15350" customHeight="1" spans="2:2">
      <c r="B15350" s="62" t="str">
        <f>IF(AND('领用录入（明细）'!D:D=$F$4,'领用录入（明细）'!C:C&gt;=$J$4,'领用录入（明细）'!C:C&lt;=$L$4),ROW(),"-")</f>
        <v>-</v>
      </c>
    </row>
    <row r="15351" customHeight="1" spans="2:2">
      <c r="B15351" s="62" t="str">
        <f>IF(AND('领用录入（明细）'!D:D=$F$4,'领用录入（明细）'!C:C&gt;=$J$4,'领用录入（明细）'!C:C&lt;=$L$4),ROW(),"-")</f>
        <v>-</v>
      </c>
    </row>
    <row r="15352" customHeight="1" spans="2:2">
      <c r="B15352" s="62" t="str">
        <f>IF(AND('领用录入（明细）'!D:D=$F$4,'领用录入（明细）'!C:C&gt;=$J$4,'领用录入（明细）'!C:C&lt;=$L$4),ROW(),"-")</f>
        <v>-</v>
      </c>
    </row>
    <row r="15353" customHeight="1" spans="2:2">
      <c r="B15353" s="62" t="str">
        <f>IF(AND('领用录入（明细）'!D:D=$F$4,'领用录入（明细）'!C:C&gt;=$J$4,'领用录入（明细）'!C:C&lt;=$L$4),ROW(),"-")</f>
        <v>-</v>
      </c>
    </row>
    <row r="15354" customHeight="1" spans="2:2">
      <c r="B15354" s="62" t="str">
        <f>IF(AND('领用录入（明细）'!D:D=$F$4,'领用录入（明细）'!C:C&gt;=$J$4,'领用录入（明细）'!C:C&lt;=$L$4),ROW(),"-")</f>
        <v>-</v>
      </c>
    </row>
    <row r="15355" customHeight="1" spans="2:2">
      <c r="B15355" s="62" t="str">
        <f>IF(AND('领用录入（明细）'!D:D=$F$4,'领用录入（明细）'!C:C&gt;=$J$4,'领用录入（明细）'!C:C&lt;=$L$4),ROW(),"-")</f>
        <v>-</v>
      </c>
    </row>
    <row r="15356" customHeight="1" spans="2:2">
      <c r="B15356" s="62" t="str">
        <f>IF(AND('领用录入（明细）'!D:D=$F$4,'领用录入（明细）'!C:C&gt;=$J$4,'领用录入（明细）'!C:C&lt;=$L$4),ROW(),"-")</f>
        <v>-</v>
      </c>
    </row>
    <row r="15357" customHeight="1" spans="2:2">
      <c r="B15357" s="62" t="str">
        <f>IF(AND('领用录入（明细）'!D:D=$F$4,'领用录入（明细）'!C:C&gt;=$J$4,'领用录入（明细）'!C:C&lt;=$L$4),ROW(),"-")</f>
        <v>-</v>
      </c>
    </row>
    <row r="15358" customHeight="1" spans="2:2">
      <c r="B15358" s="62" t="str">
        <f>IF(AND('领用录入（明细）'!D:D=$F$4,'领用录入（明细）'!C:C&gt;=$J$4,'领用录入（明细）'!C:C&lt;=$L$4),ROW(),"-")</f>
        <v>-</v>
      </c>
    </row>
    <row r="15359" customHeight="1" spans="2:2">
      <c r="B15359" s="62" t="str">
        <f>IF(AND('领用录入（明细）'!D:D=$F$4,'领用录入（明细）'!C:C&gt;=$J$4,'领用录入（明细）'!C:C&lt;=$L$4),ROW(),"-")</f>
        <v>-</v>
      </c>
    </row>
    <row r="15360" customHeight="1" spans="2:2">
      <c r="B15360" s="62" t="str">
        <f>IF(AND('领用录入（明细）'!D:D=$F$4,'领用录入（明细）'!C:C&gt;=$J$4,'领用录入（明细）'!C:C&lt;=$L$4),ROW(),"-")</f>
        <v>-</v>
      </c>
    </row>
    <row r="15361" customHeight="1" spans="2:2">
      <c r="B15361" s="62" t="str">
        <f>IF(AND('领用录入（明细）'!D:D=$F$4,'领用录入（明细）'!C:C&gt;=$J$4,'领用录入（明细）'!C:C&lt;=$L$4),ROW(),"-")</f>
        <v>-</v>
      </c>
    </row>
    <row r="15362" customHeight="1" spans="2:2">
      <c r="B15362" s="62" t="str">
        <f>IF(AND('领用录入（明细）'!D:D=$F$4,'领用录入（明细）'!C:C&gt;=$J$4,'领用录入（明细）'!C:C&lt;=$L$4),ROW(),"-")</f>
        <v>-</v>
      </c>
    </row>
    <row r="15363" customHeight="1" spans="2:2">
      <c r="B15363" s="62" t="str">
        <f>IF(AND('领用录入（明细）'!D:D=$F$4,'领用录入（明细）'!C:C&gt;=$J$4,'领用录入（明细）'!C:C&lt;=$L$4),ROW(),"-")</f>
        <v>-</v>
      </c>
    </row>
    <row r="15364" customHeight="1" spans="2:2">
      <c r="B15364" s="62" t="str">
        <f>IF(AND('领用录入（明细）'!D:D=$F$4,'领用录入（明细）'!C:C&gt;=$J$4,'领用录入（明细）'!C:C&lt;=$L$4),ROW(),"-")</f>
        <v>-</v>
      </c>
    </row>
    <row r="15365" customHeight="1" spans="2:2">
      <c r="B15365" s="62" t="str">
        <f>IF(AND('领用录入（明细）'!D:D=$F$4,'领用录入（明细）'!C:C&gt;=$J$4,'领用录入（明细）'!C:C&lt;=$L$4),ROW(),"-")</f>
        <v>-</v>
      </c>
    </row>
    <row r="15366" customHeight="1" spans="2:2">
      <c r="B15366" s="62" t="str">
        <f>IF(AND('领用录入（明细）'!D:D=$F$4,'领用录入（明细）'!C:C&gt;=$J$4,'领用录入（明细）'!C:C&lt;=$L$4),ROW(),"-")</f>
        <v>-</v>
      </c>
    </row>
    <row r="15367" customHeight="1" spans="2:2">
      <c r="B15367" s="62" t="str">
        <f>IF(AND('领用录入（明细）'!D:D=$F$4,'领用录入（明细）'!C:C&gt;=$J$4,'领用录入（明细）'!C:C&lt;=$L$4),ROW(),"-")</f>
        <v>-</v>
      </c>
    </row>
    <row r="15368" customHeight="1" spans="2:2">
      <c r="B15368" s="62" t="str">
        <f>IF(AND('领用录入（明细）'!D:D=$F$4,'领用录入（明细）'!C:C&gt;=$J$4,'领用录入（明细）'!C:C&lt;=$L$4),ROW(),"-")</f>
        <v>-</v>
      </c>
    </row>
    <row r="15369" customHeight="1" spans="2:2">
      <c r="B15369" s="62" t="str">
        <f>IF(AND('领用录入（明细）'!D:D=$F$4,'领用录入（明细）'!C:C&gt;=$J$4,'领用录入（明细）'!C:C&lt;=$L$4),ROW(),"-")</f>
        <v>-</v>
      </c>
    </row>
    <row r="15370" customHeight="1" spans="2:2">
      <c r="B15370" s="62" t="str">
        <f>IF(AND('领用录入（明细）'!D:D=$F$4,'领用录入（明细）'!C:C&gt;=$J$4,'领用录入（明细）'!C:C&lt;=$L$4),ROW(),"-")</f>
        <v>-</v>
      </c>
    </row>
    <row r="15371" customHeight="1" spans="2:2">
      <c r="B15371" s="62" t="str">
        <f>IF(AND('领用录入（明细）'!D:D=$F$4,'领用录入（明细）'!C:C&gt;=$J$4,'领用录入（明细）'!C:C&lt;=$L$4),ROW(),"-")</f>
        <v>-</v>
      </c>
    </row>
    <row r="15372" customHeight="1" spans="2:2">
      <c r="B15372" s="62" t="str">
        <f>IF(AND('领用录入（明细）'!D:D=$F$4,'领用录入（明细）'!C:C&gt;=$J$4,'领用录入（明细）'!C:C&lt;=$L$4),ROW(),"-")</f>
        <v>-</v>
      </c>
    </row>
    <row r="15373" customHeight="1" spans="2:2">
      <c r="B15373" s="62" t="str">
        <f>IF(AND('领用录入（明细）'!D:D=$F$4,'领用录入（明细）'!C:C&gt;=$J$4,'领用录入（明细）'!C:C&lt;=$L$4),ROW(),"-")</f>
        <v>-</v>
      </c>
    </row>
    <row r="15374" customHeight="1" spans="2:2">
      <c r="B15374" s="62" t="str">
        <f>IF(AND('领用录入（明细）'!D:D=$F$4,'领用录入（明细）'!C:C&gt;=$J$4,'领用录入（明细）'!C:C&lt;=$L$4),ROW(),"-")</f>
        <v>-</v>
      </c>
    </row>
    <row r="15375" customHeight="1" spans="2:2">
      <c r="B15375" s="62" t="str">
        <f>IF(AND('领用录入（明细）'!D:D=$F$4,'领用录入（明细）'!C:C&gt;=$J$4,'领用录入（明细）'!C:C&lt;=$L$4),ROW(),"-")</f>
        <v>-</v>
      </c>
    </row>
    <row r="15376" customHeight="1" spans="2:2">
      <c r="B15376" s="62" t="str">
        <f>IF(AND('领用录入（明细）'!D:D=$F$4,'领用录入（明细）'!C:C&gt;=$J$4,'领用录入（明细）'!C:C&lt;=$L$4),ROW(),"-")</f>
        <v>-</v>
      </c>
    </row>
    <row r="15377" customHeight="1" spans="2:2">
      <c r="B15377" s="62" t="str">
        <f>IF(AND('领用录入（明细）'!D:D=$F$4,'领用录入（明细）'!C:C&gt;=$J$4,'领用录入（明细）'!C:C&lt;=$L$4),ROW(),"-")</f>
        <v>-</v>
      </c>
    </row>
    <row r="15378" customHeight="1" spans="2:2">
      <c r="B15378" s="62" t="str">
        <f>IF(AND('领用录入（明细）'!D:D=$F$4,'领用录入（明细）'!C:C&gt;=$J$4,'领用录入（明细）'!C:C&lt;=$L$4),ROW(),"-")</f>
        <v>-</v>
      </c>
    </row>
    <row r="15379" customHeight="1" spans="2:2">
      <c r="B15379" s="62" t="str">
        <f>IF(AND('领用录入（明细）'!D:D=$F$4,'领用录入（明细）'!C:C&gt;=$J$4,'领用录入（明细）'!C:C&lt;=$L$4),ROW(),"-")</f>
        <v>-</v>
      </c>
    </row>
    <row r="15380" customHeight="1" spans="2:2">
      <c r="B15380" s="62" t="str">
        <f>IF(AND('领用录入（明细）'!D:D=$F$4,'领用录入（明细）'!C:C&gt;=$J$4,'领用录入（明细）'!C:C&lt;=$L$4),ROW(),"-")</f>
        <v>-</v>
      </c>
    </row>
    <row r="15381" customHeight="1" spans="2:2">
      <c r="B15381" s="62" t="str">
        <f>IF(AND('领用录入（明细）'!D:D=$F$4,'领用录入（明细）'!C:C&gt;=$J$4,'领用录入（明细）'!C:C&lt;=$L$4),ROW(),"-")</f>
        <v>-</v>
      </c>
    </row>
    <row r="15382" customHeight="1" spans="2:2">
      <c r="B15382" s="62" t="str">
        <f>IF(AND('领用录入（明细）'!D:D=$F$4,'领用录入（明细）'!C:C&gt;=$J$4,'领用录入（明细）'!C:C&lt;=$L$4),ROW(),"-")</f>
        <v>-</v>
      </c>
    </row>
    <row r="15383" customHeight="1" spans="2:2">
      <c r="B15383" s="62" t="str">
        <f>IF(AND('领用录入（明细）'!D:D=$F$4,'领用录入（明细）'!C:C&gt;=$J$4,'领用录入（明细）'!C:C&lt;=$L$4),ROW(),"-")</f>
        <v>-</v>
      </c>
    </row>
    <row r="15384" customHeight="1" spans="2:2">
      <c r="B15384" s="62" t="str">
        <f>IF(AND('领用录入（明细）'!D:D=$F$4,'领用录入（明细）'!C:C&gt;=$J$4,'领用录入（明细）'!C:C&lt;=$L$4),ROW(),"-")</f>
        <v>-</v>
      </c>
    </row>
    <row r="15385" customHeight="1" spans="2:2">
      <c r="B15385" s="62" t="str">
        <f>IF(AND('领用录入（明细）'!D:D=$F$4,'领用录入（明细）'!C:C&gt;=$J$4,'领用录入（明细）'!C:C&lt;=$L$4),ROW(),"-")</f>
        <v>-</v>
      </c>
    </row>
    <row r="15386" customHeight="1" spans="2:2">
      <c r="B15386" s="62" t="str">
        <f>IF(AND('领用录入（明细）'!D:D=$F$4,'领用录入（明细）'!C:C&gt;=$J$4,'领用录入（明细）'!C:C&lt;=$L$4),ROW(),"-")</f>
        <v>-</v>
      </c>
    </row>
    <row r="15387" customHeight="1" spans="2:2">
      <c r="B15387" s="62" t="str">
        <f>IF(AND('领用录入（明细）'!D:D=$F$4,'领用录入（明细）'!C:C&gt;=$J$4,'领用录入（明细）'!C:C&lt;=$L$4),ROW(),"-")</f>
        <v>-</v>
      </c>
    </row>
    <row r="15388" customHeight="1" spans="2:2">
      <c r="B15388" s="62" t="str">
        <f>IF(AND('领用录入（明细）'!D:D=$F$4,'领用录入（明细）'!C:C&gt;=$J$4,'领用录入（明细）'!C:C&lt;=$L$4),ROW(),"-")</f>
        <v>-</v>
      </c>
    </row>
    <row r="15389" customHeight="1" spans="2:2">
      <c r="B15389" s="62" t="str">
        <f>IF(AND('领用录入（明细）'!D:D=$F$4,'领用录入（明细）'!C:C&gt;=$J$4,'领用录入（明细）'!C:C&lt;=$L$4),ROW(),"-")</f>
        <v>-</v>
      </c>
    </row>
    <row r="15390" customHeight="1" spans="2:2">
      <c r="B15390" s="62" t="str">
        <f>IF(AND('领用录入（明细）'!D:D=$F$4,'领用录入（明细）'!C:C&gt;=$J$4,'领用录入（明细）'!C:C&lt;=$L$4),ROW(),"-")</f>
        <v>-</v>
      </c>
    </row>
    <row r="15391" customHeight="1" spans="2:2">
      <c r="B15391" s="62" t="str">
        <f>IF(AND('领用录入（明细）'!D:D=$F$4,'领用录入（明细）'!C:C&gt;=$J$4,'领用录入（明细）'!C:C&lt;=$L$4),ROW(),"-")</f>
        <v>-</v>
      </c>
    </row>
    <row r="15392" customHeight="1" spans="2:2">
      <c r="B15392" s="62" t="str">
        <f>IF(AND('领用录入（明细）'!D:D=$F$4,'领用录入（明细）'!C:C&gt;=$J$4,'领用录入（明细）'!C:C&lt;=$L$4),ROW(),"-")</f>
        <v>-</v>
      </c>
    </row>
    <row r="15393" customHeight="1" spans="2:2">
      <c r="B15393" s="62" t="str">
        <f>IF(AND('领用录入（明细）'!D:D=$F$4,'领用录入（明细）'!C:C&gt;=$J$4,'领用录入（明细）'!C:C&lt;=$L$4),ROW(),"-")</f>
        <v>-</v>
      </c>
    </row>
    <row r="15394" customHeight="1" spans="2:2">
      <c r="B15394" s="62" t="str">
        <f>IF(AND('领用录入（明细）'!D:D=$F$4,'领用录入（明细）'!C:C&gt;=$J$4,'领用录入（明细）'!C:C&lt;=$L$4),ROW(),"-")</f>
        <v>-</v>
      </c>
    </row>
    <row r="15395" customHeight="1" spans="2:2">
      <c r="B15395" s="62" t="str">
        <f>IF(AND('领用录入（明细）'!D:D=$F$4,'领用录入（明细）'!C:C&gt;=$J$4,'领用录入（明细）'!C:C&lt;=$L$4),ROW(),"-")</f>
        <v>-</v>
      </c>
    </row>
    <row r="15396" customHeight="1" spans="2:2">
      <c r="B15396" s="62" t="str">
        <f>IF(AND('领用录入（明细）'!D:D=$F$4,'领用录入（明细）'!C:C&gt;=$J$4,'领用录入（明细）'!C:C&lt;=$L$4),ROW(),"-")</f>
        <v>-</v>
      </c>
    </row>
    <row r="15397" customHeight="1" spans="2:2">
      <c r="B15397" s="62" t="str">
        <f>IF(AND('领用录入（明细）'!D:D=$F$4,'领用录入（明细）'!C:C&gt;=$J$4,'领用录入（明细）'!C:C&lt;=$L$4),ROW(),"-")</f>
        <v>-</v>
      </c>
    </row>
    <row r="15398" customHeight="1" spans="2:2">
      <c r="B15398" s="62" t="str">
        <f>IF(AND('领用录入（明细）'!D:D=$F$4,'领用录入（明细）'!C:C&gt;=$J$4,'领用录入（明细）'!C:C&lt;=$L$4),ROW(),"-")</f>
        <v>-</v>
      </c>
    </row>
    <row r="15399" customHeight="1" spans="2:2">
      <c r="B15399" s="62" t="str">
        <f>IF(AND('领用录入（明细）'!D:D=$F$4,'领用录入（明细）'!C:C&gt;=$J$4,'领用录入（明细）'!C:C&lt;=$L$4),ROW(),"-")</f>
        <v>-</v>
      </c>
    </row>
    <row r="15400" customHeight="1" spans="2:2">
      <c r="B15400" s="62" t="str">
        <f>IF(AND('领用录入（明细）'!D:D=$F$4,'领用录入（明细）'!C:C&gt;=$J$4,'领用录入（明细）'!C:C&lt;=$L$4),ROW(),"-")</f>
        <v>-</v>
      </c>
    </row>
    <row r="15401" customHeight="1" spans="2:2">
      <c r="B15401" s="62" t="str">
        <f>IF(AND('领用录入（明细）'!D:D=$F$4,'领用录入（明细）'!C:C&gt;=$J$4,'领用录入（明细）'!C:C&lt;=$L$4),ROW(),"-")</f>
        <v>-</v>
      </c>
    </row>
    <row r="15402" customHeight="1" spans="2:2">
      <c r="B15402" s="62" t="str">
        <f>IF(AND('领用录入（明细）'!D:D=$F$4,'领用录入（明细）'!C:C&gt;=$J$4,'领用录入（明细）'!C:C&lt;=$L$4),ROW(),"-")</f>
        <v>-</v>
      </c>
    </row>
    <row r="15403" customHeight="1" spans="2:2">
      <c r="B15403" s="62" t="str">
        <f>IF(AND('领用录入（明细）'!D:D=$F$4,'领用录入（明细）'!C:C&gt;=$J$4,'领用录入（明细）'!C:C&lt;=$L$4),ROW(),"-")</f>
        <v>-</v>
      </c>
    </row>
    <row r="15404" customHeight="1" spans="2:2">
      <c r="B15404" s="62" t="str">
        <f>IF(AND('领用录入（明细）'!D:D=$F$4,'领用录入（明细）'!C:C&gt;=$J$4,'领用录入（明细）'!C:C&lt;=$L$4),ROW(),"-")</f>
        <v>-</v>
      </c>
    </row>
    <row r="15405" customHeight="1" spans="2:2">
      <c r="B15405" s="62" t="str">
        <f>IF(AND('领用录入（明细）'!D:D=$F$4,'领用录入（明细）'!C:C&gt;=$J$4,'领用录入（明细）'!C:C&lt;=$L$4),ROW(),"-")</f>
        <v>-</v>
      </c>
    </row>
    <row r="15406" customHeight="1" spans="2:2">
      <c r="B15406" s="62" t="str">
        <f>IF(AND('领用录入（明细）'!D:D=$F$4,'领用录入（明细）'!C:C&gt;=$J$4,'领用录入（明细）'!C:C&lt;=$L$4),ROW(),"-")</f>
        <v>-</v>
      </c>
    </row>
    <row r="15407" customHeight="1" spans="2:2">
      <c r="B15407" s="62" t="str">
        <f>IF(AND('领用录入（明细）'!D:D=$F$4,'领用录入（明细）'!C:C&gt;=$J$4,'领用录入（明细）'!C:C&lt;=$L$4),ROW(),"-")</f>
        <v>-</v>
      </c>
    </row>
    <row r="15408" customHeight="1" spans="2:2">
      <c r="B15408" s="62" t="str">
        <f>IF(AND('领用录入（明细）'!D:D=$F$4,'领用录入（明细）'!C:C&gt;=$J$4,'领用录入（明细）'!C:C&lt;=$L$4),ROW(),"-")</f>
        <v>-</v>
      </c>
    </row>
    <row r="15409" customHeight="1" spans="2:2">
      <c r="B15409" s="62" t="str">
        <f>IF(AND('领用录入（明细）'!D:D=$F$4,'领用录入（明细）'!C:C&gt;=$J$4,'领用录入（明细）'!C:C&lt;=$L$4),ROW(),"-")</f>
        <v>-</v>
      </c>
    </row>
    <row r="15410" customHeight="1" spans="2:2">
      <c r="B15410" s="62" t="str">
        <f>IF(AND('领用录入（明细）'!D:D=$F$4,'领用录入（明细）'!C:C&gt;=$J$4,'领用录入（明细）'!C:C&lt;=$L$4),ROW(),"-")</f>
        <v>-</v>
      </c>
    </row>
    <row r="15411" customHeight="1" spans="2:2">
      <c r="B15411" s="62" t="str">
        <f>IF(AND('领用录入（明细）'!D:D=$F$4,'领用录入（明细）'!C:C&gt;=$J$4,'领用录入（明细）'!C:C&lt;=$L$4),ROW(),"-")</f>
        <v>-</v>
      </c>
    </row>
    <row r="15412" customHeight="1" spans="2:2">
      <c r="B15412" s="62" t="str">
        <f>IF(AND('领用录入（明细）'!D:D=$F$4,'领用录入（明细）'!C:C&gt;=$J$4,'领用录入（明细）'!C:C&lt;=$L$4),ROW(),"-")</f>
        <v>-</v>
      </c>
    </row>
    <row r="15413" customHeight="1" spans="2:2">
      <c r="B15413" s="62" t="str">
        <f>IF(AND('领用录入（明细）'!D:D=$F$4,'领用录入（明细）'!C:C&gt;=$J$4,'领用录入（明细）'!C:C&lt;=$L$4),ROW(),"-")</f>
        <v>-</v>
      </c>
    </row>
    <row r="15414" customHeight="1" spans="2:2">
      <c r="B15414" s="62" t="str">
        <f>IF(AND('领用录入（明细）'!D:D=$F$4,'领用录入（明细）'!C:C&gt;=$J$4,'领用录入（明细）'!C:C&lt;=$L$4),ROW(),"-")</f>
        <v>-</v>
      </c>
    </row>
    <row r="15415" customHeight="1" spans="2:2">
      <c r="B15415" s="62" t="str">
        <f>IF(AND('领用录入（明细）'!D:D=$F$4,'领用录入（明细）'!C:C&gt;=$J$4,'领用录入（明细）'!C:C&lt;=$L$4),ROW(),"-")</f>
        <v>-</v>
      </c>
    </row>
    <row r="15416" customHeight="1" spans="2:2">
      <c r="B15416" s="62" t="str">
        <f>IF(AND('领用录入（明细）'!D:D=$F$4,'领用录入（明细）'!C:C&gt;=$J$4,'领用录入（明细）'!C:C&lt;=$L$4),ROW(),"-")</f>
        <v>-</v>
      </c>
    </row>
    <row r="15417" customHeight="1" spans="2:2">
      <c r="B15417" s="62" t="str">
        <f>IF(AND('领用录入（明细）'!D:D=$F$4,'领用录入（明细）'!C:C&gt;=$J$4,'领用录入（明细）'!C:C&lt;=$L$4),ROW(),"-")</f>
        <v>-</v>
      </c>
    </row>
    <row r="15418" customHeight="1" spans="2:2">
      <c r="B15418" s="62" t="str">
        <f>IF(AND('领用录入（明细）'!D:D=$F$4,'领用录入（明细）'!C:C&gt;=$J$4,'领用录入（明细）'!C:C&lt;=$L$4),ROW(),"-")</f>
        <v>-</v>
      </c>
    </row>
    <row r="15419" customHeight="1" spans="2:2">
      <c r="B15419" s="62" t="str">
        <f>IF(AND('领用录入（明细）'!D:D=$F$4,'领用录入（明细）'!C:C&gt;=$J$4,'领用录入（明细）'!C:C&lt;=$L$4),ROW(),"-")</f>
        <v>-</v>
      </c>
    </row>
    <row r="15420" customHeight="1" spans="2:2">
      <c r="B15420" s="62" t="str">
        <f>IF(AND('领用录入（明细）'!D:D=$F$4,'领用录入（明细）'!C:C&gt;=$J$4,'领用录入（明细）'!C:C&lt;=$L$4),ROW(),"-")</f>
        <v>-</v>
      </c>
    </row>
    <row r="15421" customHeight="1" spans="2:2">
      <c r="B15421" s="62" t="str">
        <f>IF(AND('领用录入（明细）'!D:D=$F$4,'领用录入（明细）'!C:C&gt;=$J$4,'领用录入（明细）'!C:C&lt;=$L$4),ROW(),"-")</f>
        <v>-</v>
      </c>
    </row>
    <row r="15422" customHeight="1" spans="2:2">
      <c r="B15422" s="62" t="str">
        <f>IF(AND('领用录入（明细）'!D:D=$F$4,'领用录入（明细）'!C:C&gt;=$J$4,'领用录入（明细）'!C:C&lt;=$L$4),ROW(),"-")</f>
        <v>-</v>
      </c>
    </row>
    <row r="15423" customHeight="1" spans="2:2">
      <c r="B15423" s="62" t="str">
        <f>IF(AND('领用录入（明细）'!D:D=$F$4,'领用录入（明细）'!C:C&gt;=$J$4,'领用录入（明细）'!C:C&lt;=$L$4),ROW(),"-")</f>
        <v>-</v>
      </c>
    </row>
    <row r="15424" customHeight="1" spans="2:2">
      <c r="B15424" s="62" t="str">
        <f>IF(AND('领用录入（明细）'!D:D=$F$4,'领用录入（明细）'!C:C&gt;=$J$4,'领用录入（明细）'!C:C&lt;=$L$4),ROW(),"-")</f>
        <v>-</v>
      </c>
    </row>
    <row r="15425" customHeight="1" spans="2:2">
      <c r="B15425" s="62" t="str">
        <f>IF(AND('领用录入（明细）'!D:D=$F$4,'领用录入（明细）'!C:C&gt;=$J$4,'领用录入（明细）'!C:C&lt;=$L$4),ROW(),"-")</f>
        <v>-</v>
      </c>
    </row>
    <row r="15426" customHeight="1" spans="2:2">
      <c r="B15426" s="62" t="str">
        <f>IF(AND('领用录入（明细）'!D:D=$F$4,'领用录入（明细）'!C:C&gt;=$J$4,'领用录入（明细）'!C:C&lt;=$L$4),ROW(),"-")</f>
        <v>-</v>
      </c>
    </row>
    <row r="15427" customHeight="1" spans="2:2">
      <c r="B15427" s="62" t="str">
        <f>IF(AND('领用录入（明细）'!D:D=$F$4,'领用录入（明细）'!C:C&gt;=$J$4,'领用录入（明细）'!C:C&lt;=$L$4),ROW(),"-")</f>
        <v>-</v>
      </c>
    </row>
    <row r="15428" customHeight="1" spans="2:2">
      <c r="B15428" s="62" t="str">
        <f>IF(AND('领用录入（明细）'!D:D=$F$4,'领用录入（明细）'!C:C&gt;=$J$4,'领用录入（明细）'!C:C&lt;=$L$4),ROW(),"-")</f>
        <v>-</v>
      </c>
    </row>
    <row r="15429" customHeight="1" spans="2:2">
      <c r="B15429" s="62" t="str">
        <f>IF(AND('领用录入（明细）'!D:D=$F$4,'领用录入（明细）'!C:C&gt;=$J$4,'领用录入（明细）'!C:C&lt;=$L$4),ROW(),"-")</f>
        <v>-</v>
      </c>
    </row>
    <row r="15430" customHeight="1" spans="2:2">
      <c r="B15430" s="62" t="str">
        <f>IF(AND('领用录入（明细）'!D:D=$F$4,'领用录入（明细）'!C:C&gt;=$J$4,'领用录入（明细）'!C:C&lt;=$L$4),ROW(),"-")</f>
        <v>-</v>
      </c>
    </row>
    <row r="15431" customHeight="1" spans="2:2">
      <c r="B15431" s="62" t="str">
        <f>IF(AND('领用录入（明细）'!D:D=$F$4,'领用录入（明细）'!C:C&gt;=$J$4,'领用录入（明细）'!C:C&lt;=$L$4),ROW(),"-")</f>
        <v>-</v>
      </c>
    </row>
    <row r="15432" customHeight="1" spans="2:2">
      <c r="B15432" s="62" t="str">
        <f>IF(AND('领用录入（明细）'!D:D=$F$4,'领用录入（明细）'!C:C&gt;=$J$4,'领用录入（明细）'!C:C&lt;=$L$4),ROW(),"-")</f>
        <v>-</v>
      </c>
    </row>
    <row r="15433" customHeight="1" spans="2:2">
      <c r="B15433" s="62" t="str">
        <f>IF(AND('领用录入（明细）'!D:D=$F$4,'领用录入（明细）'!C:C&gt;=$J$4,'领用录入（明细）'!C:C&lt;=$L$4),ROW(),"-")</f>
        <v>-</v>
      </c>
    </row>
    <row r="15434" customHeight="1" spans="2:2">
      <c r="B15434" s="62" t="str">
        <f>IF(AND('领用录入（明细）'!D:D=$F$4,'领用录入（明细）'!C:C&gt;=$J$4,'领用录入（明细）'!C:C&lt;=$L$4),ROW(),"-")</f>
        <v>-</v>
      </c>
    </row>
    <row r="15435" customHeight="1" spans="2:2">
      <c r="B15435" s="62" t="str">
        <f>IF(AND('领用录入（明细）'!D:D=$F$4,'领用录入（明细）'!C:C&gt;=$J$4,'领用录入（明细）'!C:C&lt;=$L$4),ROW(),"-")</f>
        <v>-</v>
      </c>
    </row>
    <row r="15436" customHeight="1" spans="2:2">
      <c r="B15436" s="62" t="str">
        <f>IF(AND('领用录入（明细）'!D:D=$F$4,'领用录入（明细）'!C:C&gt;=$J$4,'领用录入（明细）'!C:C&lt;=$L$4),ROW(),"-")</f>
        <v>-</v>
      </c>
    </row>
    <row r="15437" customHeight="1" spans="2:2">
      <c r="B15437" s="62" t="str">
        <f>IF(AND('领用录入（明细）'!D:D=$F$4,'领用录入（明细）'!C:C&gt;=$J$4,'领用录入（明细）'!C:C&lt;=$L$4),ROW(),"-")</f>
        <v>-</v>
      </c>
    </row>
    <row r="15438" customHeight="1" spans="2:2">
      <c r="B15438" s="62" t="str">
        <f>IF(AND('领用录入（明细）'!D:D=$F$4,'领用录入（明细）'!C:C&gt;=$J$4,'领用录入（明细）'!C:C&lt;=$L$4),ROW(),"-")</f>
        <v>-</v>
      </c>
    </row>
    <row r="15439" customHeight="1" spans="2:2">
      <c r="B15439" s="62" t="str">
        <f>IF(AND('领用录入（明细）'!D:D=$F$4,'领用录入（明细）'!C:C&gt;=$J$4,'领用录入（明细）'!C:C&lt;=$L$4),ROW(),"-")</f>
        <v>-</v>
      </c>
    </row>
    <row r="15440" customHeight="1" spans="2:2">
      <c r="B15440" s="62" t="str">
        <f>IF(AND('领用录入（明细）'!D:D=$F$4,'领用录入（明细）'!C:C&gt;=$J$4,'领用录入（明细）'!C:C&lt;=$L$4),ROW(),"-")</f>
        <v>-</v>
      </c>
    </row>
    <row r="15441" customHeight="1" spans="2:2">
      <c r="B15441" s="62" t="str">
        <f>IF(AND('领用录入（明细）'!D:D=$F$4,'领用录入（明细）'!C:C&gt;=$J$4,'领用录入（明细）'!C:C&lt;=$L$4),ROW(),"-")</f>
        <v>-</v>
      </c>
    </row>
    <row r="15442" customHeight="1" spans="2:2">
      <c r="B15442" s="62" t="str">
        <f>IF(AND('领用录入（明细）'!D:D=$F$4,'领用录入（明细）'!C:C&gt;=$J$4,'领用录入（明细）'!C:C&lt;=$L$4),ROW(),"-")</f>
        <v>-</v>
      </c>
    </row>
    <row r="15443" customHeight="1" spans="2:2">
      <c r="B15443" s="62" t="str">
        <f>IF(AND('领用录入（明细）'!D:D=$F$4,'领用录入（明细）'!C:C&gt;=$J$4,'领用录入（明细）'!C:C&lt;=$L$4),ROW(),"-")</f>
        <v>-</v>
      </c>
    </row>
    <row r="15444" customHeight="1" spans="2:2">
      <c r="B15444" s="62" t="str">
        <f>IF(AND('领用录入（明细）'!D:D=$F$4,'领用录入（明细）'!C:C&gt;=$J$4,'领用录入（明细）'!C:C&lt;=$L$4),ROW(),"-")</f>
        <v>-</v>
      </c>
    </row>
    <row r="15445" customHeight="1" spans="2:2">
      <c r="B15445" s="62" t="str">
        <f>IF(AND('领用录入（明细）'!D:D=$F$4,'领用录入（明细）'!C:C&gt;=$J$4,'领用录入（明细）'!C:C&lt;=$L$4),ROW(),"-")</f>
        <v>-</v>
      </c>
    </row>
    <row r="15446" customHeight="1" spans="2:2">
      <c r="B15446" s="62" t="str">
        <f>IF(AND('领用录入（明细）'!D:D=$F$4,'领用录入（明细）'!C:C&gt;=$J$4,'领用录入（明细）'!C:C&lt;=$L$4),ROW(),"-")</f>
        <v>-</v>
      </c>
    </row>
    <row r="15447" customHeight="1" spans="2:2">
      <c r="B15447" s="62" t="str">
        <f>IF(AND('领用录入（明细）'!D:D=$F$4,'领用录入（明细）'!C:C&gt;=$J$4,'领用录入（明细）'!C:C&lt;=$L$4),ROW(),"-")</f>
        <v>-</v>
      </c>
    </row>
    <row r="15448" customHeight="1" spans="2:2">
      <c r="B15448" s="62" t="str">
        <f>IF(AND('领用录入（明细）'!D:D=$F$4,'领用录入（明细）'!C:C&gt;=$J$4,'领用录入（明细）'!C:C&lt;=$L$4),ROW(),"-")</f>
        <v>-</v>
      </c>
    </row>
    <row r="15449" customHeight="1" spans="2:2">
      <c r="B15449" s="62" t="str">
        <f>IF(AND('领用录入（明细）'!D:D=$F$4,'领用录入（明细）'!C:C&gt;=$J$4,'领用录入（明细）'!C:C&lt;=$L$4),ROW(),"-")</f>
        <v>-</v>
      </c>
    </row>
    <row r="15450" customHeight="1" spans="2:2">
      <c r="B15450" s="62" t="str">
        <f>IF(AND('领用录入（明细）'!D:D=$F$4,'领用录入（明细）'!C:C&gt;=$J$4,'领用录入（明细）'!C:C&lt;=$L$4),ROW(),"-")</f>
        <v>-</v>
      </c>
    </row>
    <row r="15451" customHeight="1" spans="2:2">
      <c r="B15451" s="62" t="str">
        <f>IF(AND('领用录入（明细）'!D:D=$F$4,'领用录入（明细）'!C:C&gt;=$J$4,'领用录入（明细）'!C:C&lt;=$L$4),ROW(),"-")</f>
        <v>-</v>
      </c>
    </row>
    <row r="15452" customHeight="1" spans="2:2">
      <c r="B15452" s="62" t="str">
        <f>IF(AND('领用录入（明细）'!D:D=$F$4,'领用录入（明细）'!C:C&gt;=$J$4,'领用录入（明细）'!C:C&lt;=$L$4),ROW(),"-")</f>
        <v>-</v>
      </c>
    </row>
    <row r="15453" customHeight="1" spans="2:2">
      <c r="B15453" s="62" t="str">
        <f>IF(AND('领用录入（明细）'!D:D=$F$4,'领用录入（明细）'!C:C&gt;=$J$4,'领用录入（明细）'!C:C&lt;=$L$4),ROW(),"-")</f>
        <v>-</v>
      </c>
    </row>
    <row r="15454" customHeight="1" spans="2:2">
      <c r="B15454" s="62" t="str">
        <f>IF(AND('领用录入（明细）'!D:D=$F$4,'领用录入（明细）'!C:C&gt;=$J$4,'领用录入（明细）'!C:C&lt;=$L$4),ROW(),"-")</f>
        <v>-</v>
      </c>
    </row>
    <row r="15455" customHeight="1" spans="2:2">
      <c r="B15455" s="62" t="str">
        <f>IF(AND('领用录入（明细）'!D:D=$F$4,'领用录入（明细）'!C:C&gt;=$J$4,'领用录入（明细）'!C:C&lt;=$L$4),ROW(),"-")</f>
        <v>-</v>
      </c>
    </row>
    <row r="15456" customHeight="1" spans="2:2">
      <c r="B15456" s="62" t="str">
        <f>IF(AND('领用录入（明细）'!D:D=$F$4,'领用录入（明细）'!C:C&gt;=$J$4,'领用录入（明细）'!C:C&lt;=$L$4),ROW(),"-")</f>
        <v>-</v>
      </c>
    </row>
    <row r="15457" customHeight="1" spans="2:2">
      <c r="B15457" s="62" t="str">
        <f>IF(AND('领用录入（明细）'!D:D=$F$4,'领用录入（明细）'!C:C&gt;=$J$4,'领用录入（明细）'!C:C&lt;=$L$4),ROW(),"-")</f>
        <v>-</v>
      </c>
    </row>
    <row r="15458" customHeight="1" spans="2:2">
      <c r="B15458" s="62" t="str">
        <f>IF(AND('领用录入（明细）'!D:D=$F$4,'领用录入（明细）'!C:C&gt;=$J$4,'领用录入（明细）'!C:C&lt;=$L$4),ROW(),"-")</f>
        <v>-</v>
      </c>
    </row>
    <row r="15459" customHeight="1" spans="2:2">
      <c r="B15459" s="62" t="str">
        <f>IF(AND('领用录入（明细）'!D:D=$F$4,'领用录入（明细）'!C:C&gt;=$J$4,'领用录入（明细）'!C:C&lt;=$L$4),ROW(),"-")</f>
        <v>-</v>
      </c>
    </row>
    <row r="15460" customHeight="1" spans="2:2">
      <c r="B15460" s="62" t="str">
        <f>IF(AND('领用录入（明细）'!D:D=$F$4,'领用录入（明细）'!C:C&gt;=$J$4,'领用录入（明细）'!C:C&lt;=$L$4),ROW(),"-")</f>
        <v>-</v>
      </c>
    </row>
    <row r="15461" customHeight="1" spans="2:2">
      <c r="B15461" s="62" t="str">
        <f>IF(AND('领用录入（明细）'!D:D=$F$4,'领用录入（明细）'!C:C&gt;=$J$4,'领用录入（明细）'!C:C&lt;=$L$4),ROW(),"-")</f>
        <v>-</v>
      </c>
    </row>
    <row r="15462" customHeight="1" spans="2:2">
      <c r="B15462" s="62" t="str">
        <f>IF(AND('领用录入（明细）'!D:D=$F$4,'领用录入（明细）'!C:C&gt;=$J$4,'领用录入（明细）'!C:C&lt;=$L$4),ROW(),"-")</f>
        <v>-</v>
      </c>
    </row>
    <row r="15463" customHeight="1" spans="2:2">
      <c r="B15463" s="62" t="str">
        <f>IF(AND('领用录入（明细）'!D:D=$F$4,'领用录入（明细）'!C:C&gt;=$J$4,'领用录入（明细）'!C:C&lt;=$L$4),ROW(),"-")</f>
        <v>-</v>
      </c>
    </row>
    <row r="15464" customHeight="1" spans="2:2">
      <c r="B15464" s="62" t="str">
        <f>IF(AND('领用录入（明细）'!D:D=$F$4,'领用录入（明细）'!C:C&gt;=$J$4,'领用录入（明细）'!C:C&lt;=$L$4),ROW(),"-")</f>
        <v>-</v>
      </c>
    </row>
    <row r="15465" customHeight="1" spans="2:2">
      <c r="B15465" s="62" t="str">
        <f>IF(AND('领用录入（明细）'!D:D=$F$4,'领用录入（明细）'!C:C&gt;=$J$4,'领用录入（明细）'!C:C&lt;=$L$4),ROW(),"-")</f>
        <v>-</v>
      </c>
    </row>
    <row r="15466" customHeight="1" spans="2:2">
      <c r="B15466" s="62" t="str">
        <f>IF(AND('领用录入（明细）'!D:D=$F$4,'领用录入（明细）'!C:C&gt;=$J$4,'领用录入（明细）'!C:C&lt;=$L$4),ROW(),"-")</f>
        <v>-</v>
      </c>
    </row>
    <row r="15467" customHeight="1" spans="2:2">
      <c r="B15467" s="62" t="str">
        <f>IF(AND('领用录入（明细）'!D:D=$F$4,'领用录入（明细）'!C:C&gt;=$J$4,'领用录入（明细）'!C:C&lt;=$L$4),ROW(),"-")</f>
        <v>-</v>
      </c>
    </row>
    <row r="15468" customHeight="1" spans="2:2">
      <c r="B15468" s="62" t="str">
        <f>IF(AND('领用录入（明细）'!D:D=$F$4,'领用录入（明细）'!C:C&gt;=$J$4,'领用录入（明细）'!C:C&lt;=$L$4),ROW(),"-")</f>
        <v>-</v>
      </c>
    </row>
    <row r="15469" customHeight="1" spans="2:2">
      <c r="B15469" s="62" t="str">
        <f>IF(AND('领用录入（明细）'!D:D=$F$4,'领用录入（明细）'!C:C&gt;=$J$4,'领用录入（明细）'!C:C&lt;=$L$4),ROW(),"-")</f>
        <v>-</v>
      </c>
    </row>
    <row r="15470" customHeight="1" spans="2:2">
      <c r="B15470" s="62" t="str">
        <f>IF(AND('领用录入（明细）'!D:D=$F$4,'领用录入（明细）'!C:C&gt;=$J$4,'领用录入（明细）'!C:C&lt;=$L$4),ROW(),"-")</f>
        <v>-</v>
      </c>
    </row>
    <row r="15471" customHeight="1" spans="2:2">
      <c r="B15471" s="62" t="str">
        <f>IF(AND('领用录入（明细）'!D:D=$F$4,'领用录入（明细）'!C:C&gt;=$J$4,'领用录入（明细）'!C:C&lt;=$L$4),ROW(),"-")</f>
        <v>-</v>
      </c>
    </row>
    <row r="15472" customHeight="1" spans="2:2">
      <c r="B15472" s="62" t="str">
        <f>IF(AND('领用录入（明细）'!D:D=$F$4,'领用录入（明细）'!C:C&gt;=$J$4,'领用录入（明细）'!C:C&lt;=$L$4),ROW(),"-")</f>
        <v>-</v>
      </c>
    </row>
    <row r="15473" customHeight="1" spans="2:2">
      <c r="B15473" s="62" t="str">
        <f>IF(AND('领用录入（明细）'!D:D=$F$4,'领用录入（明细）'!C:C&gt;=$J$4,'领用录入（明细）'!C:C&lt;=$L$4),ROW(),"-")</f>
        <v>-</v>
      </c>
    </row>
    <row r="15474" customHeight="1" spans="2:2">
      <c r="B15474" s="62" t="str">
        <f>IF(AND('领用录入（明细）'!D:D=$F$4,'领用录入（明细）'!C:C&gt;=$J$4,'领用录入（明细）'!C:C&lt;=$L$4),ROW(),"-")</f>
        <v>-</v>
      </c>
    </row>
    <row r="15475" customHeight="1" spans="2:2">
      <c r="B15475" s="62" t="str">
        <f>IF(AND('领用录入（明细）'!D:D=$F$4,'领用录入（明细）'!C:C&gt;=$J$4,'领用录入（明细）'!C:C&lt;=$L$4),ROW(),"-")</f>
        <v>-</v>
      </c>
    </row>
    <row r="15476" customHeight="1" spans="2:2">
      <c r="B15476" s="62" t="str">
        <f>IF(AND('领用录入（明细）'!D:D=$F$4,'领用录入（明细）'!C:C&gt;=$J$4,'领用录入（明细）'!C:C&lt;=$L$4),ROW(),"-")</f>
        <v>-</v>
      </c>
    </row>
    <row r="15477" customHeight="1" spans="2:2">
      <c r="B15477" s="62" t="str">
        <f>IF(AND('领用录入（明细）'!D:D=$F$4,'领用录入（明细）'!C:C&gt;=$J$4,'领用录入（明细）'!C:C&lt;=$L$4),ROW(),"-")</f>
        <v>-</v>
      </c>
    </row>
    <row r="15478" customHeight="1" spans="2:2">
      <c r="B15478" s="62" t="str">
        <f>IF(AND('领用录入（明细）'!D:D=$F$4,'领用录入（明细）'!C:C&gt;=$J$4,'领用录入（明细）'!C:C&lt;=$L$4),ROW(),"-")</f>
        <v>-</v>
      </c>
    </row>
    <row r="15479" customHeight="1" spans="2:2">
      <c r="B15479" s="62" t="str">
        <f>IF(AND('领用录入（明细）'!D:D=$F$4,'领用录入（明细）'!C:C&gt;=$J$4,'领用录入（明细）'!C:C&lt;=$L$4),ROW(),"-")</f>
        <v>-</v>
      </c>
    </row>
    <row r="15480" customHeight="1" spans="2:2">
      <c r="B15480" s="62" t="str">
        <f>IF(AND('领用录入（明细）'!D:D=$F$4,'领用录入（明细）'!C:C&gt;=$J$4,'领用录入（明细）'!C:C&lt;=$L$4),ROW(),"-")</f>
        <v>-</v>
      </c>
    </row>
    <row r="15481" customHeight="1" spans="2:2">
      <c r="B15481" s="62" t="str">
        <f>IF(AND('领用录入（明细）'!D:D=$F$4,'领用录入（明细）'!C:C&gt;=$J$4,'领用录入（明细）'!C:C&lt;=$L$4),ROW(),"-")</f>
        <v>-</v>
      </c>
    </row>
    <row r="15482" customHeight="1" spans="2:2">
      <c r="B15482" s="62" t="str">
        <f>IF(AND('领用录入（明细）'!D:D=$F$4,'领用录入（明细）'!C:C&gt;=$J$4,'领用录入（明细）'!C:C&lt;=$L$4),ROW(),"-")</f>
        <v>-</v>
      </c>
    </row>
    <row r="15483" customHeight="1" spans="2:2">
      <c r="B15483" s="62" t="str">
        <f>IF(AND('领用录入（明细）'!D:D=$F$4,'领用录入（明细）'!C:C&gt;=$J$4,'领用录入（明细）'!C:C&lt;=$L$4),ROW(),"-")</f>
        <v>-</v>
      </c>
    </row>
    <row r="15484" customHeight="1" spans="2:2">
      <c r="B15484" s="62" t="str">
        <f>IF(AND('领用录入（明细）'!D:D=$F$4,'领用录入（明细）'!C:C&gt;=$J$4,'领用录入（明细）'!C:C&lt;=$L$4),ROW(),"-")</f>
        <v>-</v>
      </c>
    </row>
    <row r="15485" customHeight="1" spans="2:2">
      <c r="B15485" s="62" t="str">
        <f>IF(AND('领用录入（明细）'!D:D=$F$4,'领用录入（明细）'!C:C&gt;=$J$4,'领用录入（明细）'!C:C&lt;=$L$4),ROW(),"-")</f>
        <v>-</v>
      </c>
    </row>
    <row r="15486" customHeight="1" spans="2:2">
      <c r="B15486" s="62" t="str">
        <f>IF(AND('领用录入（明细）'!D:D=$F$4,'领用录入（明细）'!C:C&gt;=$J$4,'领用录入（明细）'!C:C&lt;=$L$4),ROW(),"-")</f>
        <v>-</v>
      </c>
    </row>
    <row r="15487" customHeight="1" spans="2:2">
      <c r="B15487" s="62" t="str">
        <f>IF(AND('领用录入（明细）'!D:D=$F$4,'领用录入（明细）'!C:C&gt;=$J$4,'领用录入（明细）'!C:C&lt;=$L$4),ROW(),"-")</f>
        <v>-</v>
      </c>
    </row>
    <row r="15488" customHeight="1" spans="2:2">
      <c r="B15488" s="62" t="str">
        <f>IF(AND('领用录入（明细）'!D:D=$F$4,'领用录入（明细）'!C:C&gt;=$J$4,'领用录入（明细）'!C:C&lt;=$L$4),ROW(),"-")</f>
        <v>-</v>
      </c>
    </row>
    <row r="15489" customHeight="1" spans="2:2">
      <c r="B15489" s="62" t="str">
        <f>IF(AND('领用录入（明细）'!D:D=$F$4,'领用录入（明细）'!C:C&gt;=$J$4,'领用录入（明细）'!C:C&lt;=$L$4),ROW(),"-")</f>
        <v>-</v>
      </c>
    </row>
    <row r="15490" customHeight="1" spans="2:2">
      <c r="B15490" s="62" t="str">
        <f>IF(AND('领用录入（明细）'!D:D=$F$4,'领用录入（明细）'!C:C&gt;=$J$4,'领用录入（明细）'!C:C&lt;=$L$4),ROW(),"-")</f>
        <v>-</v>
      </c>
    </row>
    <row r="15491" customHeight="1" spans="2:2">
      <c r="B15491" s="62" t="str">
        <f>IF(AND('领用录入（明细）'!D:D=$F$4,'领用录入（明细）'!C:C&gt;=$J$4,'领用录入（明细）'!C:C&lt;=$L$4),ROW(),"-")</f>
        <v>-</v>
      </c>
    </row>
    <row r="15492" customHeight="1" spans="2:2">
      <c r="B15492" s="62" t="str">
        <f>IF(AND('领用录入（明细）'!D:D=$F$4,'领用录入（明细）'!C:C&gt;=$J$4,'领用录入（明细）'!C:C&lt;=$L$4),ROW(),"-")</f>
        <v>-</v>
      </c>
    </row>
    <row r="15493" customHeight="1" spans="2:2">
      <c r="B15493" s="62" t="str">
        <f>IF(AND('领用录入（明细）'!D:D=$F$4,'领用录入（明细）'!C:C&gt;=$J$4,'领用录入（明细）'!C:C&lt;=$L$4),ROW(),"-")</f>
        <v>-</v>
      </c>
    </row>
    <row r="15494" customHeight="1" spans="2:2">
      <c r="B15494" s="62" t="str">
        <f>IF(AND('领用录入（明细）'!D:D=$F$4,'领用录入（明细）'!C:C&gt;=$J$4,'领用录入（明细）'!C:C&lt;=$L$4),ROW(),"-")</f>
        <v>-</v>
      </c>
    </row>
    <row r="15495" customHeight="1" spans="2:2">
      <c r="B15495" s="62" t="str">
        <f>IF(AND('领用录入（明细）'!D:D=$F$4,'领用录入（明细）'!C:C&gt;=$J$4,'领用录入（明细）'!C:C&lt;=$L$4),ROW(),"-")</f>
        <v>-</v>
      </c>
    </row>
    <row r="15496" customHeight="1" spans="2:2">
      <c r="B15496" s="62" t="str">
        <f>IF(AND('领用录入（明细）'!D:D=$F$4,'领用录入（明细）'!C:C&gt;=$J$4,'领用录入（明细）'!C:C&lt;=$L$4),ROW(),"-")</f>
        <v>-</v>
      </c>
    </row>
    <row r="15497" customHeight="1" spans="2:2">
      <c r="B15497" s="62" t="str">
        <f>IF(AND('领用录入（明细）'!D:D=$F$4,'领用录入（明细）'!C:C&gt;=$J$4,'领用录入（明细）'!C:C&lt;=$L$4),ROW(),"-")</f>
        <v>-</v>
      </c>
    </row>
    <row r="15498" customHeight="1" spans="2:2">
      <c r="B15498" s="62" t="str">
        <f>IF(AND('领用录入（明细）'!D:D=$F$4,'领用录入（明细）'!C:C&gt;=$J$4,'领用录入（明细）'!C:C&lt;=$L$4),ROW(),"-")</f>
        <v>-</v>
      </c>
    </row>
    <row r="15499" customHeight="1" spans="2:2">
      <c r="B15499" s="62" t="str">
        <f>IF(AND('领用录入（明细）'!D:D=$F$4,'领用录入（明细）'!C:C&gt;=$J$4,'领用录入（明细）'!C:C&lt;=$L$4),ROW(),"-")</f>
        <v>-</v>
      </c>
    </row>
    <row r="15500" customHeight="1" spans="2:2">
      <c r="B15500" s="62" t="str">
        <f>IF(AND('领用录入（明细）'!D:D=$F$4,'领用录入（明细）'!C:C&gt;=$J$4,'领用录入（明细）'!C:C&lt;=$L$4),ROW(),"-")</f>
        <v>-</v>
      </c>
    </row>
    <row r="15501" customHeight="1" spans="2:2">
      <c r="B15501" s="62" t="str">
        <f>IF(AND('领用录入（明细）'!D:D=$F$4,'领用录入（明细）'!C:C&gt;=$J$4,'领用录入（明细）'!C:C&lt;=$L$4),ROW(),"-")</f>
        <v>-</v>
      </c>
    </row>
    <row r="15502" customHeight="1" spans="2:2">
      <c r="B15502" s="62" t="str">
        <f>IF(AND('领用录入（明细）'!D:D=$F$4,'领用录入（明细）'!C:C&gt;=$J$4,'领用录入（明细）'!C:C&lt;=$L$4),ROW(),"-")</f>
        <v>-</v>
      </c>
    </row>
    <row r="15503" customHeight="1" spans="2:2">
      <c r="B15503" s="62" t="str">
        <f>IF(AND('领用录入（明细）'!D:D=$F$4,'领用录入（明细）'!C:C&gt;=$J$4,'领用录入（明细）'!C:C&lt;=$L$4),ROW(),"-")</f>
        <v>-</v>
      </c>
    </row>
    <row r="15504" customHeight="1" spans="2:2">
      <c r="B15504" s="62" t="str">
        <f>IF(AND('领用录入（明细）'!D:D=$F$4,'领用录入（明细）'!C:C&gt;=$J$4,'领用录入（明细）'!C:C&lt;=$L$4),ROW(),"-")</f>
        <v>-</v>
      </c>
    </row>
    <row r="15505" customHeight="1" spans="2:2">
      <c r="B15505" s="62" t="str">
        <f>IF(AND('领用录入（明细）'!D:D=$F$4,'领用录入（明细）'!C:C&gt;=$J$4,'领用录入（明细）'!C:C&lt;=$L$4),ROW(),"-")</f>
        <v>-</v>
      </c>
    </row>
    <row r="15506" customHeight="1" spans="2:2">
      <c r="B15506" s="62" t="str">
        <f>IF(AND('领用录入（明细）'!D:D=$F$4,'领用录入（明细）'!C:C&gt;=$J$4,'领用录入（明细）'!C:C&lt;=$L$4),ROW(),"-")</f>
        <v>-</v>
      </c>
    </row>
    <row r="15507" customHeight="1" spans="2:2">
      <c r="B15507" s="62" t="str">
        <f>IF(AND('领用录入（明细）'!D:D=$F$4,'领用录入（明细）'!C:C&gt;=$J$4,'领用录入（明细）'!C:C&lt;=$L$4),ROW(),"-")</f>
        <v>-</v>
      </c>
    </row>
    <row r="15508" customHeight="1" spans="2:2">
      <c r="B15508" s="62" t="str">
        <f>IF(AND('领用录入（明细）'!D:D=$F$4,'领用录入（明细）'!C:C&gt;=$J$4,'领用录入（明细）'!C:C&lt;=$L$4),ROW(),"-")</f>
        <v>-</v>
      </c>
    </row>
    <row r="15509" customHeight="1" spans="2:2">
      <c r="B15509" s="62" t="str">
        <f>IF(AND('领用录入（明细）'!D:D=$F$4,'领用录入（明细）'!C:C&gt;=$J$4,'领用录入（明细）'!C:C&lt;=$L$4),ROW(),"-")</f>
        <v>-</v>
      </c>
    </row>
    <row r="15510" customHeight="1" spans="2:2">
      <c r="B15510" s="62" t="str">
        <f>IF(AND('领用录入（明细）'!D:D=$F$4,'领用录入（明细）'!C:C&gt;=$J$4,'领用录入（明细）'!C:C&lt;=$L$4),ROW(),"-")</f>
        <v>-</v>
      </c>
    </row>
    <row r="15511" customHeight="1" spans="2:2">
      <c r="B15511" s="62" t="str">
        <f>IF(AND('领用录入（明细）'!D:D=$F$4,'领用录入（明细）'!C:C&gt;=$J$4,'领用录入（明细）'!C:C&lt;=$L$4),ROW(),"-")</f>
        <v>-</v>
      </c>
    </row>
    <row r="15512" customHeight="1" spans="2:2">
      <c r="B15512" s="62" t="str">
        <f>IF(AND('领用录入（明细）'!D:D=$F$4,'领用录入（明细）'!C:C&gt;=$J$4,'领用录入（明细）'!C:C&lt;=$L$4),ROW(),"-")</f>
        <v>-</v>
      </c>
    </row>
    <row r="15513" customHeight="1" spans="2:2">
      <c r="B15513" s="62" t="str">
        <f>IF(AND('领用录入（明细）'!D:D=$F$4,'领用录入（明细）'!C:C&gt;=$J$4,'领用录入（明细）'!C:C&lt;=$L$4),ROW(),"-")</f>
        <v>-</v>
      </c>
    </row>
    <row r="15514" customHeight="1" spans="2:2">
      <c r="B15514" s="62" t="str">
        <f>IF(AND('领用录入（明细）'!D:D=$F$4,'领用录入（明细）'!C:C&gt;=$J$4,'领用录入（明细）'!C:C&lt;=$L$4),ROW(),"-")</f>
        <v>-</v>
      </c>
    </row>
    <row r="15515" customHeight="1" spans="2:2">
      <c r="B15515" s="62" t="str">
        <f>IF(AND('领用录入（明细）'!D:D=$F$4,'领用录入（明细）'!C:C&gt;=$J$4,'领用录入（明细）'!C:C&lt;=$L$4),ROW(),"-")</f>
        <v>-</v>
      </c>
    </row>
    <row r="15516" customHeight="1" spans="2:2">
      <c r="B15516" s="62" t="str">
        <f>IF(AND('领用录入（明细）'!D:D=$F$4,'领用录入（明细）'!C:C&gt;=$J$4,'领用录入（明细）'!C:C&lt;=$L$4),ROW(),"-")</f>
        <v>-</v>
      </c>
    </row>
    <row r="15517" customHeight="1" spans="2:2">
      <c r="B15517" s="62" t="str">
        <f>IF(AND('领用录入（明细）'!D:D=$F$4,'领用录入（明细）'!C:C&gt;=$J$4,'领用录入（明细）'!C:C&lt;=$L$4),ROW(),"-")</f>
        <v>-</v>
      </c>
    </row>
    <row r="15518" customHeight="1" spans="2:2">
      <c r="B15518" s="62" t="str">
        <f>IF(AND('领用录入（明细）'!D:D=$F$4,'领用录入（明细）'!C:C&gt;=$J$4,'领用录入（明细）'!C:C&lt;=$L$4),ROW(),"-")</f>
        <v>-</v>
      </c>
    </row>
    <row r="15519" customHeight="1" spans="2:2">
      <c r="B15519" s="62" t="str">
        <f>IF(AND('领用录入（明细）'!D:D=$F$4,'领用录入（明细）'!C:C&gt;=$J$4,'领用录入（明细）'!C:C&lt;=$L$4),ROW(),"-")</f>
        <v>-</v>
      </c>
    </row>
    <row r="15520" customHeight="1" spans="2:2">
      <c r="B15520" s="62" t="str">
        <f>IF(AND('领用录入（明细）'!D:D=$F$4,'领用录入（明细）'!C:C&gt;=$J$4,'领用录入（明细）'!C:C&lt;=$L$4),ROW(),"-")</f>
        <v>-</v>
      </c>
    </row>
    <row r="15521" customHeight="1" spans="2:2">
      <c r="B15521" s="62" t="str">
        <f>IF(AND('领用录入（明细）'!D:D=$F$4,'领用录入（明细）'!C:C&gt;=$J$4,'领用录入（明细）'!C:C&lt;=$L$4),ROW(),"-")</f>
        <v>-</v>
      </c>
    </row>
    <row r="15522" customHeight="1" spans="2:2">
      <c r="B15522" s="62" t="str">
        <f>IF(AND('领用录入（明细）'!D:D=$F$4,'领用录入（明细）'!C:C&gt;=$J$4,'领用录入（明细）'!C:C&lt;=$L$4),ROW(),"-")</f>
        <v>-</v>
      </c>
    </row>
    <row r="15523" customHeight="1" spans="2:2">
      <c r="B15523" s="62" t="str">
        <f>IF(AND('领用录入（明细）'!D:D=$F$4,'领用录入（明细）'!C:C&gt;=$J$4,'领用录入（明细）'!C:C&lt;=$L$4),ROW(),"-")</f>
        <v>-</v>
      </c>
    </row>
    <row r="15524" customHeight="1" spans="2:2">
      <c r="B15524" s="62" t="str">
        <f>IF(AND('领用录入（明细）'!D:D=$F$4,'领用录入（明细）'!C:C&gt;=$J$4,'领用录入（明细）'!C:C&lt;=$L$4),ROW(),"-")</f>
        <v>-</v>
      </c>
    </row>
    <row r="15525" customHeight="1" spans="2:2">
      <c r="B15525" s="62" t="str">
        <f>IF(AND('领用录入（明细）'!D:D=$F$4,'领用录入（明细）'!C:C&gt;=$J$4,'领用录入（明细）'!C:C&lt;=$L$4),ROW(),"-")</f>
        <v>-</v>
      </c>
    </row>
    <row r="15526" customHeight="1" spans="2:2">
      <c r="B15526" s="62" t="str">
        <f>IF(AND('领用录入（明细）'!D:D=$F$4,'领用录入（明细）'!C:C&gt;=$J$4,'领用录入（明细）'!C:C&lt;=$L$4),ROW(),"-")</f>
        <v>-</v>
      </c>
    </row>
    <row r="15527" customHeight="1" spans="2:2">
      <c r="B15527" s="62" t="str">
        <f>IF(AND('领用录入（明细）'!D:D=$F$4,'领用录入（明细）'!C:C&gt;=$J$4,'领用录入（明细）'!C:C&lt;=$L$4),ROW(),"-")</f>
        <v>-</v>
      </c>
    </row>
    <row r="15528" customHeight="1" spans="2:2">
      <c r="B15528" s="62" t="str">
        <f>IF(AND('领用录入（明细）'!D:D=$F$4,'领用录入（明细）'!C:C&gt;=$J$4,'领用录入（明细）'!C:C&lt;=$L$4),ROW(),"-")</f>
        <v>-</v>
      </c>
    </row>
    <row r="15529" customHeight="1" spans="2:2">
      <c r="B15529" s="62" t="str">
        <f>IF(AND('领用录入（明细）'!D:D=$F$4,'领用录入（明细）'!C:C&gt;=$J$4,'领用录入（明细）'!C:C&lt;=$L$4),ROW(),"-")</f>
        <v>-</v>
      </c>
    </row>
    <row r="15530" customHeight="1" spans="2:2">
      <c r="B15530" s="62" t="str">
        <f>IF(AND('领用录入（明细）'!D:D=$F$4,'领用录入（明细）'!C:C&gt;=$J$4,'领用录入（明细）'!C:C&lt;=$L$4),ROW(),"-")</f>
        <v>-</v>
      </c>
    </row>
    <row r="15531" customHeight="1" spans="2:2">
      <c r="B15531" s="62" t="str">
        <f>IF(AND('领用录入（明细）'!D:D=$F$4,'领用录入（明细）'!C:C&gt;=$J$4,'领用录入（明细）'!C:C&lt;=$L$4),ROW(),"-")</f>
        <v>-</v>
      </c>
    </row>
    <row r="15532" customHeight="1" spans="2:2">
      <c r="B15532" s="62" t="str">
        <f>IF(AND('领用录入（明细）'!D:D=$F$4,'领用录入（明细）'!C:C&gt;=$J$4,'领用录入（明细）'!C:C&lt;=$L$4),ROW(),"-")</f>
        <v>-</v>
      </c>
    </row>
    <row r="15533" customHeight="1" spans="2:2">
      <c r="B15533" s="62" t="str">
        <f>IF(AND('领用录入（明细）'!D:D=$F$4,'领用录入（明细）'!C:C&gt;=$J$4,'领用录入（明细）'!C:C&lt;=$L$4),ROW(),"-")</f>
        <v>-</v>
      </c>
    </row>
    <row r="15534" customHeight="1" spans="2:2">
      <c r="B15534" s="62" t="str">
        <f>IF(AND('领用录入（明细）'!D:D=$F$4,'领用录入（明细）'!C:C&gt;=$J$4,'领用录入（明细）'!C:C&lt;=$L$4),ROW(),"-")</f>
        <v>-</v>
      </c>
    </row>
    <row r="15535" customHeight="1" spans="2:2">
      <c r="B15535" s="62" t="str">
        <f>IF(AND('领用录入（明细）'!D:D=$F$4,'领用录入（明细）'!C:C&gt;=$J$4,'领用录入（明细）'!C:C&lt;=$L$4),ROW(),"-")</f>
        <v>-</v>
      </c>
    </row>
    <row r="15536" customHeight="1" spans="2:2">
      <c r="B15536" s="62" t="str">
        <f>IF(AND('领用录入（明细）'!D:D=$F$4,'领用录入（明细）'!C:C&gt;=$J$4,'领用录入（明细）'!C:C&lt;=$L$4),ROW(),"-")</f>
        <v>-</v>
      </c>
    </row>
    <row r="15537" customHeight="1" spans="2:2">
      <c r="B15537" s="62" t="str">
        <f>IF(AND('领用录入（明细）'!D:D=$F$4,'领用录入（明细）'!C:C&gt;=$J$4,'领用录入（明细）'!C:C&lt;=$L$4),ROW(),"-")</f>
        <v>-</v>
      </c>
    </row>
    <row r="15538" customHeight="1" spans="2:2">
      <c r="B15538" s="62" t="str">
        <f>IF(AND('领用录入（明细）'!D:D=$F$4,'领用录入（明细）'!C:C&gt;=$J$4,'领用录入（明细）'!C:C&lt;=$L$4),ROW(),"-")</f>
        <v>-</v>
      </c>
    </row>
    <row r="15539" customHeight="1" spans="2:2">
      <c r="B15539" s="62" t="str">
        <f>IF(AND('领用录入（明细）'!D:D=$F$4,'领用录入（明细）'!C:C&gt;=$J$4,'领用录入（明细）'!C:C&lt;=$L$4),ROW(),"-")</f>
        <v>-</v>
      </c>
    </row>
    <row r="15540" customHeight="1" spans="2:2">
      <c r="B15540" s="62" t="str">
        <f>IF(AND('领用录入（明细）'!D:D=$F$4,'领用录入（明细）'!C:C&gt;=$J$4,'领用录入（明细）'!C:C&lt;=$L$4),ROW(),"-")</f>
        <v>-</v>
      </c>
    </row>
    <row r="15541" customHeight="1" spans="2:2">
      <c r="B15541" s="62" t="str">
        <f>IF(AND('领用录入（明细）'!D:D=$F$4,'领用录入（明细）'!C:C&gt;=$J$4,'领用录入（明细）'!C:C&lt;=$L$4),ROW(),"-")</f>
        <v>-</v>
      </c>
    </row>
    <row r="15542" customHeight="1" spans="2:2">
      <c r="B15542" s="62" t="str">
        <f>IF(AND('领用录入（明细）'!D:D=$F$4,'领用录入（明细）'!C:C&gt;=$J$4,'领用录入（明细）'!C:C&lt;=$L$4),ROW(),"-")</f>
        <v>-</v>
      </c>
    </row>
    <row r="15543" customHeight="1" spans="2:2">
      <c r="B15543" s="62" t="str">
        <f>IF(AND('领用录入（明细）'!D:D=$F$4,'领用录入（明细）'!C:C&gt;=$J$4,'领用录入（明细）'!C:C&lt;=$L$4),ROW(),"-")</f>
        <v>-</v>
      </c>
    </row>
    <row r="15544" customHeight="1" spans="2:2">
      <c r="B15544" s="62" t="str">
        <f>IF(AND('领用录入（明细）'!D:D=$F$4,'领用录入（明细）'!C:C&gt;=$J$4,'领用录入（明细）'!C:C&lt;=$L$4),ROW(),"-")</f>
        <v>-</v>
      </c>
    </row>
    <row r="15545" customHeight="1" spans="2:2">
      <c r="B15545" s="62" t="str">
        <f>IF(AND('领用录入（明细）'!D:D=$F$4,'领用录入（明细）'!C:C&gt;=$J$4,'领用录入（明细）'!C:C&lt;=$L$4),ROW(),"-")</f>
        <v>-</v>
      </c>
    </row>
    <row r="15546" customHeight="1" spans="2:2">
      <c r="B15546" s="62" t="str">
        <f>IF(AND('领用录入（明细）'!D:D=$F$4,'领用录入（明细）'!C:C&gt;=$J$4,'领用录入（明细）'!C:C&lt;=$L$4),ROW(),"-")</f>
        <v>-</v>
      </c>
    </row>
    <row r="15547" customHeight="1" spans="2:2">
      <c r="B15547" s="62" t="str">
        <f>IF(AND('领用录入（明细）'!D:D=$F$4,'领用录入（明细）'!C:C&gt;=$J$4,'领用录入（明细）'!C:C&lt;=$L$4),ROW(),"-")</f>
        <v>-</v>
      </c>
    </row>
    <row r="15548" customHeight="1" spans="2:2">
      <c r="B15548" s="62" t="str">
        <f>IF(AND('领用录入（明细）'!D:D=$F$4,'领用录入（明细）'!C:C&gt;=$J$4,'领用录入（明细）'!C:C&lt;=$L$4),ROW(),"-")</f>
        <v>-</v>
      </c>
    </row>
    <row r="15549" customHeight="1" spans="2:2">
      <c r="B15549" s="62" t="str">
        <f>IF(AND('领用录入（明细）'!D:D=$F$4,'领用录入（明细）'!C:C&gt;=$J$4,'领用录入（明细）'!C:C&lt;=$L$4),ROW(),"-")</f>
        <v>-</v>
      </c>
    </row>
    <row r="15550" customHeight="1" spans="2:2">
      <c r="B15550" s="62" t="str">
        <f>IF(AND('领用录入（明细）'!D:D=$F$4,'领用录入（明细）'!C:C&gt;=$J$4,'领用录入（明细）'!C:C&lt;=$L$4),ROW(),"-")</f>
        <v>-</v>
      </c>
    </row>
    <row r="15551" customHeight="1" spans="2:2">
      <c r="B15551" s="62" t="str">
        <f>IF(AND('领用录入（明细）'!D:D=$F$4,'领用录入（明细）'!C:C&gt;=$J$4,'领用录入（明细）'!C:C&lt;=$L$4),ROW(),"-")</f>
        <v>-</v>
      </c>
    </row>
    <row r="15552" customHeight="1" spans="2:2">
      <c r="B15552" s="62" t="str">
        <f>IF(AND('领用录入（明细）'!D:D=$F$4,'领用录入（明细）'!C:C&gt;=$J$4,'领用录入（明细）'!C:C&lt;=$L$4),ROW(),"-")</f>
        <v>-</v>
      </c>
    </row>
    <row r="15553" customHeight="1" spans="2:2">
      <c r="B15553" s="62" t="str">
        <f>IF(AND('领用录入（明细）'!D:D=$F$4,'领用录入（明细）'!C:C&gt;=$J$4,'领用录入（明细）'!C:C&lt;=$L$4),ROW(),"-")</f>
        <v>-</v>
      </c>
    </row>
    <row r="15554" customHeight="1" spans="2:2">
      <c r="B15554" s="62" t="str">
        <f>IF(AND('领用录入（明细）'!D:D=$F$4,'领用录入（明细）'!C:C&gt;=$J$4,'领用录入（明细）'!C:C&lt;=$L$4),ROW(),"-")</f>
        <v>-</v>
      </c>
    </row>
    <row r="15555" customHeight="1" spans="2:2">
      <c r="B15555" s="62" t="str">
        <f>IF(AND('领用录入（明细）'!D:D=$F$4,'领用录入（明细）'!C:C&gt;=$J$4,'领用录入（明细）'!C:C&lt;=$L$4),ROW(),"-")</f>
        <v>-</v>
      </c>
    </row>
    <row r="15556" customHeight="1" spans="2:2">
      <c r="B15556" s="62" t="str">
        <f>IF(AND('领用录入（明细）'!D:D=$F$4,'领用录入（明细）'!C:C&gt;=$J$4,'领用录入（明细）'!C:C&lt;=$L$4),ROW(),"-")</f>
        <v>-</v>
      </c>
    </row>
    <row r="15557" customHeight="1" spans="2:2">
      <c r="B15557" s="62" t="str">
        <f>IF(AND('领用录入（明细）'!D:D=$F$4,'领用录入（明细）'!C:C&gt;=$J$4,'领用录入（明细）'!C:C&lt;=$L$4),ROW(),"-")</f>
        <v>-</v>
      </c>
    </row>
    <row r="15558" customHeight="1" spans="2:2">
      <c r="B15558" s="62" t="str">
        <f>IF(AND('领用录入（明细）'!D:D=$F$4,'领用录入（明细）'!C:C&gt;=$J$4,'领用录入（明细）'!C:C&lt;=$L$4),ROW(),"-")</f>
        <v>-</v>
      </c>
    </row>
    <row r="15559" customHeight="1" spans="2:2">
      <c r="B15559" s="62" t="str">
        <f>IF(AND('领用录入（明细）'!D:D=$F$4,'领用录入（明细）'!C:C&gt;=$J$4,'领用录入（明细）'!C:C&lt;=$L$4),ROW(),"-")</f>
        <v>-</v>
      </c>
    </row>
    <row r="15560" customHeight="1" spans="2:2">
      <c r="B15560" s="62" t="str">
        <f>IF(AND('领用录入（明细）'!D:D=$F$4,'领用录入（明细）'!C:C&gt;=$J$4,'领用录入（明细）'!C:C&lt;=$L$4),ROW(),"-")</f>
        <v>-</v>
      </c>
    </row>
    <row r="15561" customHeight="1" spans="2:2">
      <c r="B15561" s="62" t="str">
        <f>IF(AND('领用录入（明细）'!D:D=$F$4,'领用录入（明细）'!C:C&gt;=$J$4,'领用录入（明细）'!C:C&lt;=$L$4),ROW(),"-")</f>
        <v>-</v>
      </c>
    </row>
    <row r="15562" customHeight="1" spans="2:2">
      <c r="B15562" s="62" t="str">
        <f>IF(AND('领用录入（明细）'!D:D=$F$4,'领用录入（明细）'!C:C&gt;=$J$4,'领用录入（明细）'!C:C&lt;=$L$4),ROW(),"-")</f>
        <v>-</v>
      </c>
    </row>
    <row r="15563" customHeight="1" spans="2:2">
      <c r="B15563" s="62" t="str">
        <f>IF(AND('领用录入（明细）'!D:D=$F$4,'领用录入（明细）'!C:C&gt;=$J$4,'领用录入（明细）'!C:C&lt;=$L$4),ROW(),"-")</f>
        <v>-</v>
      </c>
    </row>
    <row r="15564" customHeight="1" spans="2:2">
      <c r="B15564" s="62" t="str">
        <f>IF(AND('领用录入（明细）'!D:D=$F$4,'领用录入（明细）'!C:C&gt;=$J$4,'领用录入（明细）'!C:C&lt;=$L$4),ROW(),"-")</f>
        <v>-</v>
      </c>
    </row>
    <row r="15565" customHeight="1" spans="2:2">
      <c r="B15565" s="62" t="str">
        <f>IF(AND('领用录入（明细）'!D:D=$F$4,'领用录入（明细）'!C:C&gt;=$J$4,'领用录入（明细）'!C:C&lt;=$L$4),ROW(),"-")</f>
        <v>-</v>
      </c>
    </row>
    <row r="15566" customHeight="1" spans="2:2">
      <c r="B15566" s="62" t="str">
        <f>IF(AND('领用录入（明细）'!D:D=$F$4,'领用录入（明细）'!C:C&gt;=$J$4,'领用录入（明细）'!C:C&lt;=$L$4),ROW(),"-")</f>
        <v>-</v>
      </c>
    </row>
    <row r="15567" customHeight="1" spans="2:2">
      <c r="B15567" s="62" t="str">
        <f>IF(AND('领用录入（明细）'!D:D=$F$4,'领用录入（明细）'!C:C&gt;=$J$4,'领用录入（明细）'!C:C&lt;=$L$4),ROW(),"-")</f>
        <v>-</v>
      </c>
    </row>
    <row r="15568" customHeight="1" spans="2:2">
      <c r="B15568" s="62" t="str">
        <f>IF(AND('领用录入（明细）'!D:D=$F$4,'领用录入（明细）'!C:C&gt;=$J$4,'领用录入（明细）'!C:C&lt;=$L$4),ROW(),"-")</f>
        <v>-</v>
      </c>
    </row>
    <row r="15569" customHeight="1" spans="2:2">
      <c r="B15569" s="62" t="str">
        <f>IF(AND('领用录入（明细）'!D:D=$F$4,'领用录入（明细）'!C:C&gt;=$J$4,'领用录入（明细）'!C:C&lt;=$L$4),ROW(),"-")</f>
        <v>-</v>
      </c>
    </row>
    <row r="15570" customHeight="1" spans="2:2">
      <c r="B15570" s="62" t="str">
        <f>IF(AND('领用录入（明细）'!D:D=$F$4,'领用录入（明细）'!C:C&gt;=$J$4,'领用录入（明细）'!C:C&lt;=$L$4),ROW(),"-")</f>
        <v>-</v>
      </c>
    </row>
    <row r="15571" customHeight="1" spans="2:2">
      <c r="B15571" s="62" t="str">
        <f>IF(AND('领用录入（明细）'!D:D=$F$4,'领用录入（明细）'!C:C&gt;=$J$4,'领用录入（明细）'!C:C&lt;=$L$4),ROW(),"-")</f>
        <v>-</v>
      </c>
    </row>
    <row r="15572" customHeight="1" spans="2:2">
      <c r="B15572" s="62" t="str">
        <f>IF(AND('领用录入（明细）'!D:D=$F$4,'领用录入（明细）'!C:C&gt;=$J$4,'领用录入（明细）'!C:C&lt;=$L$4),ROW(),"-")</f>
        <v>-</v>
      </c>
    </row>
    <row r="15573" customHeight="1" spans="2:2">
      <c r="B15573" s="62" t="str">
        <f>IF(AND('领用录入（明细）'!D:D=$F$4,'领用录入（明细）'!C:C&gt;=$J$4,'领用录入（明细）'!C:C&lt;=$L$4),ROW(),"-")</f>
        <v>-</v>
      </c>
    </row>
    <row r="15574" customHeight="1" spans="2:2">
      <c r="B15574" s="62" t="str">
        <f>IF(AND('领用录入（明细）'!D:D=$F$4,'领用录入（明细）'!C:C&gt;=$J$4,'领用录入（明细）'!C:C&lt;=$L$4),ROW(),"-")</f>
        <v>-</v>
      </c>
    </row>
    <row r="15575" customHeight="1" spans="2:2">
      <c r="B15575" s="62" t="str">
        <f>IF(AND('领用录入（明细）'!D:D=$F$4,'领用录入（明细）'!C:C&gt;=$J$4,'领用录入（明细）'!C:C&lt;=$L$4),ROW(),"-")</f>
        <v>-</v>
      </c>
    </row>
    <row r="15576" customHeight="1" spans="2:2">
      <c r="B15576" s="62" t="str">
        <f>IF(AND('领用录入（明细）'!D:D=$F$4,'领用录入（明细）'!C:C&gt;=$J$4,'领用录入（明细）'!C:C&lt;=$L$4),ROW(),"-")</f>
        <v>-</v>
      </c>
    </row>
    <row r="15577" customHeight="1" spans="2:2">
      <c r="B15577" s="62" t="str">
        <f>IF(AND('领用录入（明细）'!D:D=$F$4,'领用录入（明细）'!C:C&gt;=$J$4,'领用录入（明细）'!C:C&lt;=$L$4),ROW(),"-")</f>
        <v>-</v>
      </c>
    </row>
    <row r="15578" customHeight="1" spans="2:2">
      <c r="B15578" s="62" t="str">
        <f>IF(AND('领用录入（明细）'!D:D=$F$4,'领用录入（明细）'!C:C&gt;=$J$4,'领用录入（明细）'!C:C&lt;=$L$4),ROW(),"-")</f>
        <v>-</v>
      </c>
    </row>
    <row r="15579" customHeight="1" spans="2:2">
      <c r="B15579" s="62" t="str">
        <f>IF(AND('领用录入（明细）'!D:D=$F$4,'领用录入（明细）'!C:C&gt;=$J$4,'领用录入（明细）'!C:C&lt;=$L$4),ROW(),"-")</f>
        <v>-</v>
      </c>
    </row>
    <row r="15580" customHeight="1" spans="2:2">
      <c r="B15580" s="62" t="str">
        <f>IF(AND('领用录入（明细）'!D:D=$F$4,'领用录入（明细）'!C:C&gt;=$J$4,'领用录入（明细）'!C:C&lt;=$L$4),ROW(),"-")</f>
        <v>-</v>
      </c>
    </row>
    <row r="15581" customHeight="1" spans="2:2">
      <c r="B15581" s="62" t="str">
        <f>IF(AND('领用录入（明细）'!D:D=$F$4,'领用录入（明细）'!C:C&gt;=$J$4,'领用录入（明细）'!C:C&lt;=$L$4),ROW(),"-")</f>
        <v>-</v>
      </c>
    </row>
    <row r="15582" customHeight="1" spans="2:2">
      <c r="B15582" s="62" t="str">
        <f>IF(AND('领用录入（明细）'!D:D=$F$4,'领用录入（明细）'!C:C&gt;=$J$4,'领用录入（明细）'!C:C&lt;=$L$4),ROW(),"-")</f>
        <v>-</v>
      </c>
    </row>
    <row r="15583" customHeight="1" spans="2:2">
      <c r="B15583" s="62" t="str">
        <f>IF(AND('领用录入（明细）'!D:D=$F$4,'领用录入（明细）'!C:C&gt;=$J$4,'领用录入（明细）'!C:C&lt;=$L$4),ROW(),"-")</f>
        <v>-</v>
      </c>
    </row>
    <row r="15584" customHeight="1" spans="2:2">
      <c r="B15584" s="62" t="str">
        <f>IF(AND('领用录入（明细）'!D:D=$F$4,'领用录入（明细）'!C:C&gt;=$J$4,'领用录入（明细）'!C:C&lt;=$L$4),ROW(),"-")</f>
        <v>-</v>
      </c>
    </row>
    <row r="15585" customHeight="1" spans="2:2">
      <c r="B15585" s="62" t="str">
        <f>IF(AND('领用录入（明细）'!D:D=$F$4,'领用录入（明细）'!C:C&gt;=$J$4,'领用录入（明细）'!C:C&lt;=$L$4),ROW(),"-")</f>
        <v>-</v>
      </c>
    </row>
    <row r="15586" customHeight="1" spans="2:2">
      <c r="B15586" s="62" t="str">
        <f>IF(AND('领用录入（明细）'!D:D=$F$4,'领用录入（明细）'!C:C&gt;=$J$4,'领用录入（明细）'!C:C&lt;=$L$4),ROW(),"-")</f>
        <v>-</v>
      </c>
    </row>
    <row r="15587" customHeight="1" spans="2:2">
      <c r="B15587" s="62" t="str">
        <f>IF(AND('领用录入（明细）'!D:D=$F$4,'领用录入（明细）'!C:C&gt;=$J$4,'领用录入（明细）'!C:C&lt;=$L$4),ROW(),"-")</f>
        <v>-</v>
      </c>
    </row>
    <row r="15588" customHeight="1" spans="2:2">
      <c r="B15588" s="62" t="str">
        <f>IF(AND('领用录入（明细）'!D:D=$F$4,'领用录入（明细）'!C:C&gt;=$J$4,'领用录入（明细）'!C:C&lt;=$L$4),ROW(),"-")</f>
        <v>-</v>
      </c>
    </row>
    <row r="15589" customHeight="1" spans="2:2">
      <c r="B15589" s="62" t="str">
        <f>IF(AND('领用录入（明细）'!D:D=$F$4,'领用录入（明细）'!C:C&gt;=$J$4,'领用录入（明细）'!C:C&lt;=$L$4),ROW(),"-")</f>
        <v>-</v>
      </c>
    </row>
    <row r="15590" customHeight="1" spans="2:2">
      <c r="B15590" s="62" t="str">
        <f>IF(AND('领用录入（明细）'!D:D=$F$4,'领用录入（明细）'!C:C&gt;=$J$4,'领用录入（明细）'!C:C&lt;=$L$4),ROW(),"-")</f>
        <v>-</v>
      </c>
    </row>
    <row r="15591" customHeight="1" spans="2:2">
      <c r="B15591" s="62" t="str">
        <f>IF(AND('领用录入（明细）'!D:D=$F$4,'领用录入（明细）'!C:C&gt;=$J$4,'领用录入（明细）'!C:C&lt;=$L$4),ROW(),"-")</f>
        <v>-</v>
      </c>
    </row>
    <row r="15592" customHeight="1" spans="2:2">
      <c r="B15592" s="62" t="str">
        <f>IF(AND('领用录入（明细）'!D:D=$F$4,'领用录入（明细）'!C:C&gt;=$J$4,'领用录入（明细）'!C:C&lt;=$L$4),ROW(),"-")</f>
        <v>-</v>
      </c>
    </row>
    <row r="15593" customHeight="1" spans="2:2">
      <c r="B15593" s="62" t="str">
        <f>IF(AND('领用录入（明细）'!D:D=$F$4,'领用录入（明细）'!C:C&gt;=$J$4,'领用录入（明细）'!C:C&lt;=$L$4),ROW(),"-")</f>
        <v>-</v>
      </c>
    </row>
    <row r="15594" customHeight="1" spans="2:2">
      <c r="B15594" s="62" t="str">
        <f>IF(AND('领用录入（明细）'!D:D=$F$4,'领用录入（明细）'!C:C&gt;=$J$4,'领用录入（明细）'!C:C&lt;=$L$4),ROW(),"-")</f>
        <v>-</v>
      </c>
    </row>
    <row r="15595" customHeight="1" spans="2:2">
      <c r="B15595" s="62" t="str">
        <f>IF(AND('领用录入（明细）'!D:D=$F$4,'领用录入（明细）'!C:C&gt;=$J$4,'领用录入（明细）'!C:C&lt;=$L$4),ROW(),"-")</f>
        <v>-</v>
      </c>
    </row>
    <row r="15596" customHeight="1" spans="2:2">
      <c r="B15596" s="62" t="str">
        <f>IF(AND('领用录入（明细）'!D:D=$F$4,'领用录入（明细）'!C:C&gt;=$J$4,'领用录入（明细）'!C:C&lt;=$L$4),ROW(),"-")</f>
        <v>-</v>
      </c>
    </row>
    <row r="15597" customHeight="1" spans="2:2">
      <c r="B15597" s="62" t="str">
        <f>IF(AND('领用录入（明细）'!D:D=$F$4,'领用录入（明细）'!C:C&gt;=$J$4,'领用录入（明细）'!C:C&lt;=$L$4),ROW(),"-")</f>
        <v>-</v>
      </c>
    </row>
    <row r="15598" customHeight="1" spans="2:2">
      <c r="B15598" s="62" t="str">
        <f>IF(AND('领用录入（明细）'!D:D=$F$4,'领用录入（明细）'!C:C&gt;=$J$4,'领用录入（明细）'!C:C&lt;=$L$4),ROW(),"-")</f>
        <v>-</v>
      </c>
    </row>
    <row r="15599" customHeight="1" spans="2:2">
      <c r="B15599" s="62" t="str">
        <f>IF(AND('领用录入（明细）'!D:D=$F$4,'领用录入（明细）'!C:C&gt;=$J$4,'领用录入（明细）'!C:C&lt;=$L$4),ROW(),"-")</f>
        <v>-</v>
      </c>
    </row>
    <row r="15600" customHeight="1" spans="2:2">
      <c r="B15600" s="62" t="str">
        <f>IF(AND('领用录入（明细）'!D:D=$F$4,'领用录入（明细）'!C:C&gt;=$J$4,'领用录入（明细）'!C:C&lt;=$L$4),ROW(),"-")</f>
        <v>-</v>
      </c>
    </row>
    <row r="15601" customHeight="1" spans="2:2">
      <c r="B15601" s="62" t="str">
        <f>IF(AND('领用录入（明细）'!D:D=$F$4,'领用录入（明细）'!C:C&gt;=$J$4,'领用录入（明细）'!C:C&lt;=$L$4),ROW(),"-")</f>
        <v>-</v>
      </c>
    </row>
    <row r="15602" customHeight="1" spans="2:2">
      <c r="B15602" s="62" t="str">
        <f>IF(AND('领用录入（明细）'!D:D=$F$4,'领用录入（明细）'!C:C&gt;=$J$4,'领用录入（明细）'!C:C&lt;=$L$4),ROW(),"-")</f>
        <v>-</v>
      </c>
    </row>
    <row r="15603" customHeight="1" spans="2:2">
      <c r="B15603" s="62" t="str">
        <f>IF(AND('领用录入（明细）'!D:D=$F$4,'领用录入（明细）'!C:C&gt;=$J$4,'领用录入（明细）'!C:C&lt;=$L$4),ROW(),"-")</f>
        <v>-</v>
      </c>
    </row>
    <row r="15604" customHeight="1" spans="2:2">
      <c r="B15604" s="62" t="str">
        <f>IF(AND('领用录入（明细）'!D:D=$F$4,'领用录入（明细）'!C:C&gt;=$J$4,'领用录入（明细）'!C:C&lt;=$L$4),ROW(),"-")</f>
        <v>-</v>
      </c>
    </row>
    <row r="15605" customHeight="1" spans="2:2">
      <c r="B15605" s="62" t="str">
        <f>IF(AND('领用录入（明细）'!D:D=$F$4,'领用录入（明细）'!C:C&gt;=$J$4,'领用录入（明细）'!C:C&lt;=$L$4),ROW(),"-")</f>
        <v>-</v>
      </c>
    </row>
    <row r="15606" customHeight="1" spans="2:2">
      <c r="B15606" s="62" t="str">
        <f>IF(AND('领用录入（明细）'!D:D=$F$4,'领用录入（明细）'!C:C&gt;=$J$4,'领用录入（明细）'!C:C&lt;=$L$4),ROW(),"-")</f>
        <v>-</v>
      </c>
    </row>
    <row r="15607" customHeight="1" spans="2:2">
      <c r="B15607" s="62" t="str">
        <f>IF(AND('领用录入（明细）'!D:D=$F$4,'领用录入（明细）'!C:C&gt;=$J$4,'领用录入（明细）'!C:C&lt;=$L$4),ROW(),"-")</f>
        <v>-</v>
      </c>
    </row>
    <row r="15608" customHeight="1" spans="2:2">
      <c r="B15608" s="62" t="str">
        <f>IF(AND('领用录入（明细）'!D:D=$F$4,'领用录入（明细）'!C:C&gt;=$J$4,'领用录入（明细）'!C:C&lt;=$L$4),ROW(),"-")</f>
        <v>-</v>
      </c>
    </row>
    <row r="15609" customHeight="1" spans="2:2">
      <c r="B15609" s="62" t="str">
        <f>IF(AND('领用录入（明细）'!D:D=$F$4,'领用录入（明细）'!C:C&gt;=$J$4,'领用录入（明细）'!C:C&lt;=$L$4),ROW(),"-")</f>
        <v>-</v>
      </c>
    </row>
    <row r="15610" customHeight="1" spans="2:2">
      <c r="B15610" s="62" t="str">
        <f>IF(AND('领用录入（明细）'!D:D=$F$4,'领用录入（明细）'!C:C&gt;=$J$4,'领用录入（明细）'!C:C&lt;=$L$4),ROW(),"-")</f>
        <v>-</v>
      </c>
    </row>
    <row r="15611" customHeight="1" spans="2:2">
      <c r="B15611" s="62" t="str">
        <f>IF(AND('领用录入（明细）'!D:D=$F$4,'领用录入（明细）'!C:C&gt;=$J$4,'领用录入（明细）'!C:C&lt;=$L$4),ROW(),"-")</f>
        <v>-</v>
      </c>
    </row>
    <row r="15612" customHeight="1" spans="2:2">
      <c r="B15612" s="62" t="str">
        <f>IF(AND('领用录入（明细）'!D:D=$F$4,'领用录入（明细）'!C:C&gt;=$J$4,'领用录入（明细）'!C:C&lt;=$L$4),ROW(),"-")</f>
        <v>-</v>
      </c>
    </row>
    <row r="15613" customHeight="1" spans="2:2">
      <c r="B15613" s="62" t="str">
        <f>IF(AND('领用录入（明细）'!D:D=$F$4,'领用录入（明细）'!C:C&gt;=$J$4,'领用录入（明细）'!C:C&lt;=$L$4),ROW(),"-")</f>
        <v>-</v>
      </c>
    </row>
    <row r="15614" customHeight="1" spans="2:2">
      <c r="B15614" s="62" t="str">
        <f>IF(AND('领用录入（明细）'!D:D=$F$4,'领用录入（明细）'!C:C&gt;=$J$4,'领用录入（明细）'!C:C&lt;=$L$4),ROW(),"-")</f>
        <v>-</v>
      </c>
    </row>
    <row r="15615" customHeight="1" spans="2:2">
      <c r="B15615" s="62" t="str">
        <f>IF(AND('领用录入（明细）'!D:D=$F$4,'领用录入（明细）'!C:C&gt;=$J$4,'领用录入（明细）'!C:C&lt;=$L$4),ROW(),"-")</f>
        <v>-</v>
      </c>
    </row>
    <row r="15616" customHeight="1" spans="2:2">
      <c r="B15616" s="62" t="str">
        <f>IF(AND('领用录入（明细）'!D:D=$F$4,'领用录入（明细）'!C:C&gt;=$J$4,'领用录入（明细）'!C:C&lt;=$L$4),ROW(),"-")</f>
        <v>-</v>
      </c>
    </row>
    <row r="15617" customHeight="1" spans="2:2">
      <c r="B15617" s="62" t="str">
        <f>IF(AND('领用录入（明细）'!D:D=$F$4,'领用录入（明细）'!C:C&gt;=$J$4,'领用录入（明细）'!C:C&lt;=$L$4),ROW(),"-")</f>
        <v>-</v>
      </c>
    </row>
    <row r="15618" customHeight="1" spans="2:2">
      <c r="B15618" s="62" t="str">
        <f>IF(AND('领用录入（明细）'!D:D=$F$4,'领用录入（明细）'!C:C&gt;=$J$4,'领用录入（明细）'!C:C&lt;=$L$4),ROW(),"-")</f>
        <v>-</v>
      </c>
    </row>
    <row r="15619" customHeight="1" spans="2:2">
      <c r="B15619" s="62" t="str">
        <f>IF(AND('领用录入（明细）'!D:D=$F$4,'领用录入（明细）'!C:C&gt;=$J$4,'领用录入（明细）'!C:C&lt;=$L$4),ROW(),"-")</f>
        <v>-</v>
      </c>
    </row>
    <row r="15620" customHeight="1" spans="2:2">
      <c r="B15620" s="62" t="str">
        <f>IF(AND('领用录入（明细）'!D:D=$F$4,'领用录入（明细）'!C:C&gt;=$J$4,'领用录入（明细）'!C:C&lt;=$L$4),ROW(),"-")</f>
        <v>-</v>
      </c>
    </row>
    <row r="15621" customHeight="1" spans="2:2">
      <c r="B15621" s="62" t="str">
        <f>IF(AND('领用录入（明细）'!D:D=$F$4,'领用录入（明细）'!C:C&gt;=$J$4,'领用录入（明细）'!C:C&lt;=$L$4),ROW(),"-")</f>
        <v>-</v>
      </c>
    </row>
    <row r="15622" customHeight="1" spans="2:2">
      <c r="B15622" s="62" t="str">
        <f>IF(AND('领用录入（明细）'!D:D=$F$4,'领用录入（明细）'!C:C&gt;=$J$4,'领用录入（明细）'!C:C&lt;=$L$4),ROW(),"-")</f>
        <v>-</v>
      </c>
    </row>
    <row r="15623" customHeight="1" spans="2:2">
      <c r="B15623" s="62" t="str">
        <f>IF(AND('领用录入（明细）'!D:D=$F$4,'领用录入（明细）'!C:C&gt;=$J$4,'领用录入（明细）'!C:C&lt;=$L$4),ROW(),"-")</f>
        <v>-</v>
      </c>
    </row>
    <row r="15624" customHeight="1" spans="2:2">
      <c r="B15624" s="62" t="str">
        <f>IF(AND('领用录入（明细）'!D:D=$F$4,'领用录入（明细）'!C:C&gt;=$J$4,'领用录入（明细）'!C:C&lt;=$L$4),ROW(),"-")</f>
        <v>-</v>
      </c>
    </row>
    <row r="15625" customHeight="1" spans="2:2">
      <c r="B15625" s="62" t="str">
        <f>IF(AND('领用录入（明细）'!D:D=$F$4,'领用录入（明细）'!C:C&gt;=$J$4,'领用录入（明细）'!C:C&lt;=$L$4),ROW(),"-")</f>
        <v>-</v>
      </c>
    </row>
    <row r="15626" customHeight="1" spans="2:2">
      <c r="B15626" s="62" t="str">
        <f>IF(AND('领用录入（明细）'!D:D=$F$4,'领用录入（明细）'!C:C&gt;=$J$4,'领用录入（明细）'!C:C&lt;=$L$4),ROW(),"-")</f>
        <v>-</v>
      </c>
    </row>
    <row r="15627" customHeight="1" spans="2:2">
      <c r="B15627" s="62" t="str">
        <f>IF(AND('领用录入（明细）'!D:D=$F$4,'领用录入（明细）'!C:C&gt;=$J$4,'领用录入（明细）'!C:C&lt;=$L$4),ROW(),"-")</f>
        <v>-</v>
      </c>
    </row>
    <row r="15628" customHeight="1" spans="2:2">
      <c r="B15628" s="62" t="str">
        <f>IF(AND('领用录入（明细）'!D:D=$F$4,'领用录入（明细）'!C:C&gt;=$J$4,'领用录入（明细）'!C:C&lt;=$L$4),ROW(),"-")</f>
        <v>-</v>
      </c>
    </row>
    <row r="15629" customHeight="1" spans="2:2">
      <c r="B15629" s="62" t="str">
        <f>IF(AND('领用录入（明细）'!D:D=$F$4,'领用录入（明细）'!C:C&gt;=$J$4,'领用录入（明细）'!C:C&lt;=$L$4),ROW(),"-")</f>
        <v>-</v>
      </c>
    </row>
    <row r="15630" customHeight="1" spans="2:2">
      <c r="B15630" s="62" t="str">
        <f>IF(AND('领用录入（明细）'!D:D=$F$4,'领用录入（明细）'!C:C&gt;=$J$4,'领用录入（明细）'!C:C&lt;=$L$4),ROW(),"-")</f>
        <v>-</v>
      </c>
    </row>
    <row r="15631" customHeight="1" spans="2:2">
      <c r="B15631" s="62" t="str">
        <f>IF(AND('领用录入（明细）'!D:D=$F$4,'领用录入（明细）'!C:C&gt;=$J$4,'领用录入（明细）'!C:C&lt;=$L$4),ROW(),"-")</f>
        <v>-</v>
      </c>
    </row>
    <row r="15632" customHeight="1" spans="2:2">
      <c r="B15632" s="62" t="str">
        <f>IF(AND('领用录入（明细）'!D:D=$F$4,'领用录入（明细）'!C:C&gt;=$J$4,'领用录入（明细）'!C:C&lt;=$L$4),ROW(),"-")</f>
        <v>-</v>
      </c>
    </row>
    <row r="15633" customHeight="1" spans="2:2">
      <c r="B15633" s="62" t="str">
        <f>IF(AND('领用录入（明细）'!D:D=$F$4,'领用录入（明细）'!C:C&gt;=$J$4,'领用录入（明细）'!C:C&lt;=$L$4),ROW(),"-")</f>
        <v>-</v>
      </c>
    </row>
    <row r="15634" customHeight="1" spans="2:2">
      <c r="B15634" s="62" t="str">
        <f>IF(AND('领用录入（明细）'!D:D=$F$4,'领用录入（明细）'!C:C&gt;=$J$4,'领用录入（明细）'!C:C&lt;=$L$4),ROW(),"-")</f>
        <v>-</v>
      </c>
    </row>
    <row r="15635" customHeight="1" spans="2:2">
      <c r="B15635" s="62" t="str">
        <f>IF(AND('领用录入（明细）'!D:D=$F$4,'领用录入（明细）'!C:C&gt;=$J$4,'领用录入（明细）'!C:C&lt;=$L$4),ROW(),"-")</f>
        <v>-</v>
      </c>
    </row>
    <row r="15636" customHeight="1" spans="2:2">
      <c r="B15636" s="62" t="str">
        <f>IF(AND('领用录入（明细）'!D:D=$F$4,'领用录入（明细）'!C:C&gt;=$J$4,'领用录入（明细）'!C:C&lt;=$L$4),ROW(),"-")</f>
        <v>-</v>
      </c>
    </row>
    <row r="15637" customHeight="1" spans="2:2">
      <c r="B15637" s="62" t="str">
        <f>IF(AND('领用录入（明细）'!D:D=$F$4,'领用录入（明细）'!C:C&gt;=$J$4,'领用录入（明细）'!C:C&lt;=$L$4),ROW(),"-")</f>
        <v>-</v>
      </c>
    </row>
    <row r="15638" customHeight="1" spans="2:2">
      <c r="B15638" s="62" t="str">
        <f>IF(AND('领用录入（明细）'!D:D=$F$4,'领用录入（明细）'!C:C&gt;=$J$4,'领用录入（明细）'!C:C&lt;=$L$4),ROW(),"-")</f>
        <v>-</v>
      </c>
    </row>
    <row r="15639" customHeight="1" spans="2:2">
      <c r="B15639" s="62" t="str">
        <f>IF(AND('领用录入（明细）'!D:D=$F$4,'领用录入（明细）'!C:C&gt;=$J$4,'领用录入（明细）'!C:C&lt;=$L$4),ROW(),"-")</f>
        <v>-</v>
      </c>
    </row>
    <row r="15640" customHeight="1" spans="2:2">
      <c r="B15640" s="62" t="str">
        <f>IF(AND('领用录入（明细）'!D:D=$F$4,'领用录入（明细）'!C:C&gt;=$J$4,'领用录入（明细）'!C:C&lt;=$L$4),ROW(),"-")</f>
        <v>-</v>
      </c>
    </row>
    <row r="15641" customHeight="1" spans="2:2">
      <c r="B15641" s="62" t="str">
        <f>IF(AND('领用录入（明细）'!D:D=$F$4,'领用录入（明细）'!C:C&gt;=$J$4,'领用录入（明细）'!C:C&lt;=$L$4),ROW(),"-")</f>
        <v>-</v>
      </c>
    </row>
    <row r="15642" customHeight="1" spans="2:2">
      <c r="B15642" s="62" t="str">
        <f>IF(AND('领用录入（明细）'!D:D=$F$4,'领用录入（明细）'!C:C&gt;=$J$4,'领用录入（明细）'!C:C&lt;=$L$4),ROW(),"-")</f>
        <v>-</v>
      </c>
    </row>
    <row r="15643" customHeight="1" spans="2:2">
      <c r="B15643" s="62" t="str">
        <f>IF(AND('领用录入（明细）'!D:D=$F$4,'领用录入（明细）'!C:C&gt;=$J$4,'领用录入（明细）'!C:C&lt;=$L$4),ROW(),"-")</f>
        <v>-</v>
      </c>
    </row>
    <row r="15644" customHeight="1" spans="2:2">
      <c r="B15644" s="62" t="str">
        <f>IF(AND('领用录入（明细）'!D:D=$F$4,'领用录入（明细）'!C:C&gt;=$J$4,'领用录入（明细）'!C:C&lt;=$L$4),ROW(),"-")</f>
        <v>-</v>
      </c>
    </row>
    <row r="15645" customHeight="1" spans="2:2">
      <c r="B15645" s="62" t="str">
        <f>IF(AND('领用录入（明细）'!D:D=$F$4,'领用录入（明细）'!C:C&gt;=$J$4,'领用录入（明细）'!C:C&lt;=$L$4),ROW(),"-")</f>
        <v>-</v>
      </c>
    </row>
    <row r="15646" customHeight="1" spans="2:2">
      <c r="B15646" s="62" t="str">
        <f>IF(AND('领用录入（明细）'!D:D=$F$4,'领用录入（明细）'!C:C&gt;=$J$4,'领用录入（明细）'!C:C&lt;=$L$4),ROW(),"-")</f>
        <v>-</v>
      </c>
    </row>
    <row r="15647" customHeight="1" spans="2:2">
      <c r="B15647" s="62" t="str">
        <f>IF(AND('领用录入（明细）'!D:D=$F$4,'领用录入（明细）'!C:C&gt;=$J$4,'领用录入（明细）'!C:C&lt;=$L$4),ROW(),"-")</f>
        <v>-</v>
      </c>
    </row>
    <row r="15648" customHeight="1" spans="2:2">
      <c r="B15648" s="62" t="str">
        <f>IF(AND('领用录入（明细）'!D:D=$F$4,'领用录入（明细）'!C:C&gt;=$J$4,'领用录入（明细）'!C:C&lt;=$L$4),ROW(),"-")</f>
        <v>-</v>
      </c>
    </row>
    <row r="15649" customHeight="1" spans="2:2">
      <c r="B15649" s="62" t="str">
        <f>IF(AND('领用录入（明细）'!D:D=$F$4,'领用录入（明细）'!C:C&gt;=$J$4,'领用录入（明细）'!C:C&lt;=$L$4),ROW(),"-")</f>
        <v>-</v>
      </c>
    </row>
    <row r="15650" customHeight="1" spans="2:2">
      <c r="B15650" s="62" t="str">
        <f>IF(AND('领用录入（明细）'!D:D=$F$4,'领用录入（明细）'!C:C&gt;=$J$4,'领用录入（明细）'!C:C&lt;=$L$4),ROW(),"-")</f>
        <v>-</v>
      </c>
    </row>
    <row r="15651" customHeight="1" spans="2:2">
      <c r="B15651" s="62" t="str">
        <f>IF(AND('领用录入（明细）'!D:D=$F$4,'领用录入（明细）'!C:C&gt;=$J$4,'领用录入（明细）'!C:C&lt;=$L$4),ROW(),"-")</f>
        <v>-</v>
      </c>
    </row>
    <row r="15652" customHeight="1" spans="2:2">
      <c r="B15652" s="62" t="str">
        <f>IF(AND('领用录入（明细）'!D:D=$F$4,'领用录入（明细）'!C:C&gt;=$J$4,'领用录入（明细）'!C:C&lt;=$L$4),ROW(),"-")</f>
        <v>-</v>
      </c>
    </row>
    <row r="15653" customHeight="1" spans="2:2">
      <c r="B15653" s="62" t="str">
        <f>IF(AND('领用录入（明细）'!D:D=$F$4,'领用录入（明细）'!C:C&gt;=$J$4,'领用录入（明细）'!C:C&lt;=$L$4),ROW(),"-")</f>
        <v>-</v>
      </c>
    </row>
    <row r="15654" customHeight="1" spans="2:2">
      <c r="B15654" s="62" t="str">
        <f>IF(AND('领用录入（明细）'!D:D=$F$4,'领用录入（明细）'!C:C&gt;=$J$4,'领用录入（明细）'!C:C&lt;=$L$4),ROW(),"-")</f>
        <v>-</v>
      </c>
    </row>
    <row r="15655" customHeight="1" spans="2:2">
      <c r="B15655" s="62" t="str">
        <f>IF(AND('领用录入（明细）'!D:D=$F$4,'领用录入（明细）'!C:C&gt;=$J$4,'领用录入（明细）'!C:C&lt;=$L$4),ROW(),"-")</f>
        <v>-</v>
      </c>
    </row>
    <row r="15656" customHeight="1" spans="2:2">
      <c r="B15656" s="62" t="str">
        <f>IF(AND('领用录入（明细）'!D:D=$F$4,'领用录入（明细）'!C:C&gt;=$J$4,'领用录入（明细）'!C:C&lt;=$L$4),ROW(),"-")</f>
        <v>-</v>
      </c>
    </row>
    <row r="15657" customHeight="1" spans="2:2">
      <c r="B15657" s="62" t="str">
        <f>IF(AND('领用录入（明细）'!D:D=$F$4,'领用录入（明细）'!C:C&gt;=$J$4,'领用录入（明细）'!C:C&lt;=$L$4),ROW(),"-")</f>
        <v>-</v>
      </c>
    </row>
    <row r="15658" customHeight="1" spans="2:2">
      <c r="B15658" s="62" t="str">
        <f>IF(AND('领用录入（明细）'!D:D=$F$4,'领用录入（明细）'!C:C&gt;=$J$4,'领用录入（明细）'!C:C&lt;=$L$4),ROW(),"-")</f>
        <v>-</v>
      </c>
    </row>
    <row r="15659" customHeight="1" spans="2:2">
      <c r="B15659" s="62" t="str">
        <f>IF(AND('领用录入（明细）'!D:D=$F$4,'领用录入（明细）'!C:C&gt;=$J$4,'领用录入（明细）'!C:C&lt;=$L$4),ROW(),"-")</f>
        <v>-</v>
      </c>
    </row>
    <row r="15660" customHeight="1" spans="2:2">
      <c r="B15660" s="62" t="str">
        <f>IF(AND('领用录入（明细）'!D:D=$F$4,'领用录入（明细）'!C:C&gt;=$J$4,'领用录入（明细）'!C:C&lt;=$L$4),ROW(),"-")</f>
        <v>-</v>
      </c>
    </row>
    <row r="15661" customHeight="1" spans="2:2">
      <c r="B15661" s="62" t="str">
        <f>IF(AND('领用录入（明细）'!D:D=$F$4,'领用录入（明细）'!C:C&gt;=$J$4,'领用录入（明细）'!C:C&lt;=$L$4),ROW(),"-")</f>
        <v>-</v>
      </c>
    </row>
    <row r="15662" customHeight="1" spans="2:2">
      <c r="B15662" s="62" t="str">
        <f>IF(AND('领用录入（明细）'!D:D=$F$4,'领用录入（明细）'!C:C&gt;=$J$4,'领用录入（明细）'!C:C&lt;=$L$4),ROW(),"-")</f>
        <v>-</v>
      </c>
    </row>
    <row r="15663" customHeight="1" spans="2:2">
      <c r="B15663" s="62" t="str">
        <f>IF(AND('领用录入（明细）'!D:D=$F$4,'领用录入（明细）'!C:C&gt;=$J$4,'领用录入（明细）'!C:C&lt;=$L$4),ROW(),"-")</f>
        <v>-</v>
      </c>
    </row>
    <row r="15664" customHeight="1" spans="2:2">
      <c r="B15664" s="62" t="str">
        <f>IF(AND('领用录入（明细）'!D:D=$F$4,'领用录入（明细）'!C:C&gt;=$J$4,'领用录入（明细）'!C:C&lt;=$L$4),ROW(),"-")</f>
        <v>-</v>
      </c>
    </row>
    <row r="15665" customHeight="1" spans="2:2">
      <c r="B15665" s="62" t="str">
        <f>IF(AND('领用录入（明细）'!D:D=$F$4,'领用录入（明细）'!C:C&gt;=$J$4,'领用录入（明细）'!C:C&lt;=$L$4),ROW(),"-")</f>
        <v>-</v>
      </c>
    </row>
    <row r="15666" customHeight="1" spans="2:2">
      <c r="B15666" s="62" t="str">
        <f>IF(AND('领用录入（明细）'!D:D=$F$4,'领用录入（明细）'!C:C&gt;=$J$4,'领用录入（明细）'!C:C&lt;=$L$4),ROW(),"-")</f>
        <v>-</v>
      </c>
    </row>
    <row r="15667" customHeight="1" spans="2:2">
      <c r="B15667" s="62" t="str">
        <f>IF(AND('领用录入（明细）'!D:D=$F$4,'领用录入（明细）'!C:C&gt;=$J$4,'领用录入（明细）'!C:C&lt;=$L$4),ROW(),"-")</f>
        <v>-</v>
      </c>
    </row>
    <row r="15668" customHeight="1" spans="2:2">
      <c r="B15668" s="62" t="str">
        <f>IF(AND('领用录入（明细）'!D:D=$F$4,'领用录入（明细）'!C:C&gt;=$J$4,'领用录入（明细）'!C:C&lt;=$L$4),ROW(),"-")</f>
        <v>-</v>
      </c>
    </row>
    <row r="15669" customHeight="1" spans="2:2">
      <c r="B15669" s="62" t="str">
        <f>IF(AND('领用录入（明细）'!D:D=$F$4,'领用录入（明细）'!C:C&gt;=$J$4,'领用录入（明细）'!C:C&lt;=$L$4),ROW(),"-")</f>
        <v>-</v>
      </c>
    </row>
    <row r="15670" customHeight="1" spans="2:2">
      <c r="B15670" s="62" t="str">
        <f>IF(AND('领用录入（明细）'!D:D=$F$4,'领用录入（明细）'!C:C&gt;=$J$4,'领用录入（明细）'!C:C&lt;=$L$4),ROW(),"-")</f>
        <v>-</v>
      </c>
    </row>
    <row r="15671" customHeight="1" spans="2:2">
      <c r="B15671" s="62" t="str">
        <f>IF(AND('领用录入（明细）'!D:D=$F$4,'领用录入（明细）'!C:C&gt;=$J$4,'领用录入（明细）'!C:C&lt;=$L$4),ROW(),"-")</f>
        <v>-</v>
      </c>
    </row>
    <row r="15672" customHeight="1" spans="2:2">
      <c r="B15672" s="62" t="str">
        <f>IF(AND('领用录入（明细）'!D:D=$F$4,'领用录入（明细）'!C:C&gt;=$J$4,'领用录入（明细）'!C:C&lt;=$L$4),ROW(),"-")</f>
        <v>-</v>
      </c>
    </row>
    <row r="15673" customHeight="1" spans="2:2">
      <c r="B15673" s="62" t="str">
        <f>IF(AND('领用录入（明细）'!D:D=$F$4,'领用录入（明细）'!C:C&gt;=$J$4,'领用录入（明细）'!C:C&lt;=$L$4),ROW(),"-")</f>
        <v>-</v>
      </c>
    </row>
    <row r="15674" customHeight="1" spans="2:2">
      <c r="B15674" s="62" t="str">
        <f>IF(AND('领用录入（明细）'!D:D=$F$4,'领用录入（明细）'!C:C&gt;=$J$4,'领用录入（明细）'!C:C&lt;=$L$4),ROW(),"-")</f>
        <v>-</v>
      </c>
    </row>
    <row r="15675" customHeight="1" spans="2:2">
      <c r="B15675" s="62" t="str">
        <f>IF(AND('领用录入（明细）'!D:D=$F$4,'领用录入（明细）'!C:C&gt;=$J$4,'领用录入（明细）'!C:C&lt;=$L$4),ROW(),"-")</f>
        <v>-</v>
      </c>
    </row>
    <row r="15676" customHeight="1" spans="2:2">
      <c r="B15676" s="62" t="str">
        <f>IF(AND('领用录入（明细）'!D:D=$F$4,'领用录入（明细）'!C:C&gt;=$J$4,'领用录入（明细）'!C:C&lt;=$L$4),ROW(),"-")</f>
        <v>-</v>
      </c>
    </row>
    <row r="15677" customHeight="1" spans="2:2">
      <c r="B15677" s="62" t="str">
        <f>IF(AND('领用录入（明细）'!D:D=$F$4,'领用录入（明细）'!C:C&gt;=$J$4,'领用录入（明细）'!C:C&lt;=$L$4),ROW(),"-")</f>
        <v>-</v>
      </c>
    </row>
    <row r="15678" customHeight="1" spans="2:2">
      <c r="B15678" s="62" t="str">
        <f>IF(AND('领用录入（明细）'!D:D=$F$4,'领用录入（明细）'!C:C&gt;=$J$4,'领用录入（明细）'!C:C&lt;=$L$4),ROW(),"-")</f>
        <v>-</v>
      </c>
    </row>
    <row r="15679" customHeight="1" spans="2:2">
      <c r="B15679" s="62" t="str">
        <f>IF(AND('领用录入（明细）'!D:D=$F$4,'领用录入（明细）'!C:C&gt;=$J$4,'领用录入（明细）'!C:C&lt;=$L$4),ROW(),"-")</f>
        <v>-</v>
      </c>
    </row>
    <row r="15680" customHeight="1" spans="2:2">
      <c r="B15680" s="62" t="str">
        <f>IF(AND('领用录入（明细）'!D:D=$F$4,'领用录入（明细）'!C:C&gt;=$J$4,'领用录入（明细）'!C:C&lt;=$L$4),ROW(),"-")</f>
        <v>-</v>
      </c>
    </row>
    <row r="15681" customHeight="1" spans="2:2">
      <c r="B15681" s="62" t="str">
        <f>IF(AND('领用录入（明细）'!D:D=$F$4,'领用录入（明细）'!C:C&gt;=$J$4,'领用录入（明细）'!C:C&lt;=$L$4),ROW(),"-")</f>
        <v>-</v>
      </c>
    </row>
    <row r="15682" customHeight="1" spans="2:2">
      <c r="B15682" s="62" t="str">
        <f>IF(AND('领用录入（明细）'!D:D=$F$4,'领用录入（明细）'!C:C&gt;=$J$4,'领用录入（明细）'!C:C&lt;=$L$4),ROW(),"-")</f>
        <v>-</v>
      </c>
    </row>
    <row r="15683" customHeight="1" spans="2:2">
      <c r="B15683" s="62" t="str">
        <f>IF(AND('领用录入（明细）'!D:D=$F$4,'领用录入（明细）'!C:C&gt;=$J$4,'领用录入（明细）'!C:C&lt;=$L$4),ROW(),"-")</f>
        <v>-</v>
      </c>
    </row>
    <row r="15684" customHeight="1" spans="2:2">
      <c r="B15684" s="62" t="str">
        <f>IF(AND('领用录入（明细）'!D:D=$F$4,'领用录入（明细）'!C:C&gt;=$J$4,'领用录入（明细）'!C:C&lt;=$L$4),ROW(),"-")</f>
        <v>-</v>
      </c>
    </row>
    <row r="15685" customHeight="1" spans="2:2">
      <c r="B15685" s="62" t="str">
        <f>IF(AND('领用录入（明细）'!D:D=$F$4,'领用录入（明细）'!C:C&gt;=$J$4,'领用录入（明细）'!C:C&lt;=$L$4),ROW(),"-")</f>
        <v>-</v>
      </c>
    </row>
    <row r="15686" customHeight="1" spans="2:2">
      <c r="B15686" s="62" t="str">
        <f>IF(AND('领用录入（明细）'!D:D=$F$4,'领用录入（明细）'!C:C&gt;=$J$4,'领用录入（明细）'!C:C&lt;=$L$4),ROW(),"-")</f>
        <v>-</v>
      </c>
    </row>
    <row r="15687" customHeight="1" spans="2:2">
      <c r="B15687" s="62" t="str">
        <f>IF(AND('领用录入（明细）'!D:D=$F$4,'领用录入（明细）'!C:C&gt;=$J$4,'领用录入（明细）'!C:C&lt;=$L$4),ROW(),"-")</f>
        <v>-</v>
      </c>
    </row>
    <row r="15688" customHeight="1" spans="2:2">
      <c r="B15688" s="62" t="str">
        <f>IF(AND('领用录入（明细）'!D:D=$F$4,'领用录入（明细）'!C:C&gt;=$J$4,'领用录入（明细）'!C:C&lt;=$L$4),ROW(),"-")</f>
        <v>-</v>
      </c>
    </row>
    <row r="15689" customHeight="1" spans="2:2">
      <c r="B15689" s="62" t="str">
        <f>IF(AND('领用录入（明细）'!D:D=$F$4,'领用录入（明细）'!C:C&gt;=$J$4,'领用录入（明细）'!C:C&lt;=$L$4),ROW(),"-")</f>
        <v>-</v>
      </c>
    </row>
    <row r="15690" customHeight="1" spans="2:2">
      <c r="B15690" s="62" t="str">
        <f>IF(AND('领用录入（明细）'!D:D=$F$4,'领用录入（明细）'!C:C&gt;=$J$4,'领用录入（明细）'!C:C&lt;=$L$4),ROW(),"-")</f>
        <v>-</v>
      </c>
    </row>
    <row r="15691" customHeight="1" spans="2:2">
      <c r="B15691" s="62" t="str">
        <f>IF(AND('领用录入（明细）'!D:D=$F$4,'领用录入（明细）'!C:C&gt;=$J$4,'领用录入（明细）'!C:C&lt;=$L$4),ROW(),"-")</f>
        <v>-</v>
      </c>
    </row>
    <row r="15692" customHeight="1" spans="2:2">
      <c r="B15692" s="62" t="str">
        <f>IF(AND('领用录入（明细）'!D:D=$F$4,'领用录入（明细）'!C:C&gt;=$J$4,'领用录入（明细）'!C:C&lt;=$L$4),ROW(),"-")</f>
        <v>-</v>
      </c>
    </row>
    <row r="15693" customHeight="1" spans="2:2">
      <c r="B15693" s="62" t="str">
        <f>IF(AND('领用录入（明细）'!D:D=$F$4,'领用录入（明细）'!C:C&gt;=$J$4,'领用录入（明细）'!C:C&lt;=$L$4),ROW(),"-")</f>
        <v>-</v>
      </c>
    </row>
    <row r="15694" customHeight="1" spans="2:2">
      <c r="B15694" s="62" t="str">
        <f>IF(AND('领用录入（明细）'!D:D=$F$4,'领用录入（明细）'!C:C&gt;=$J$4,'领用录入（明细）'!C:C&lt;=$L$4),ROW(),"-")</f>
        <v>-</v>
      </c>
    </row>
    <row r="15695" customHeight="1" spans="2:2">
      <c r="B15695" s="62" t="str">
        <f>IF(AND('领用录入（明细）'!D:D=$F$4,'领用录入（明细）'!C:C&gt;=$J$4,'领用录入（明细）'!C:C&lt;=$L$4),ROW(),"-")</f>
        <v>-</v>
      </c>
    </row>
    <row r="15696" customHeight="1" spans="2:2">
      <c r="B15696" s="62" t="str">
        <f>IF(AND('领用录入（明细）'!D:D=$F$4,'领用录入（明细）'!C:C&gt;=$J$4,'领用录入（明细）'!C:C&lt;=$L$4),ROW(),"-")</f>
        <v>-</v>
      </c>
    </row>
    <row r="15697" customHeight="1" spans="2:2">
      <c r="B15697" s="62" t="str">
        <f>IF(AND('领用录入（明细）'!D:D=$F$4,'领用录入（明细）'!C:C&gt;=$J$4,'领用录入（明细）'!C:C&lt;=$L$4),ROW(),"-")</f>
        <v>-</v>
      </c>
    </row>
    <row r="15698" customHeight="1" spans="2:2">
      <c r="B15698" s="62" t="str">
        <f>IF(AND('领用录入（明细）'!D:D=$F$4,'领用录入（明细）'!C:C&gt;=$J$4,'领用录入（明细）'!C:C&lt;=$L$4),ROW(),"-")</f>
        <v>-</v>
      </c>
    </row>
    <row r="15699" customHeight="1" spans="2:2">
      <c r="B15699" s="62" t="str">
        <f>IF(AND('领用录入（明细）'!D:D=$F$4,'领用录入（明细）'!C:C&gt;=$J$4,'领用录入（明细）'!C:C&lt;=$L$4),ROW(),"-")</f>
        <v>-</v>
      </c>
    </row>
    <row r="15700" customHeight="1" spans="2:2">
      <c r="B15700" s="62" t="str">
        <f>IF(AND('领用录入（明细）'!D:D=$F$4,'领用录入（明细）'!C:C&gt;=$J$4,'领用录入（明细）'!C:C&lt;=$L$4),ROW(),"-")</f>
        <v>-</v>
      </c>
    </row>
    <row r="15701" customHeight="1" spans="2:2">
      <c r="B15701" s="62" t="str">
        <f>IF(AND('领用录入（明细）'!D:D=$F$4,'领用录入（明细）'!C:C&gt;=$J$4,'领用录入（明细）'!C:C&lt;=$L$4),ROW(),"-")</f>
        <v>-</v>
      </c>
    </row>
    <row r="15702" customHeight="1" spans="2:2">
      <c r="B15702" s="62" t="str">
        <f>IF(AND('领用录入（明细）'!D:D=$F$4,'领用录入（明细）'!C:C&gt;=$J$4,'领用录入（明细）'!C:C&lt;=$L$4),ROW(),"-")</f>
        <v>-</v>
      </c>
    </row>
    <row r="15703" customHeight="1" spans="2:2">
      <c r="B15703" s="62" t="str">
        <f>IF(AND('领用录入（明细）'!D:D=$F$4,'领用录入（明细）'!C:C&gt;=$J$4,'领用录入（明细）'!C:C&lt;=$L$4),ROW(),"-")</f>
        <v>-</v>
      </c>
    </row>
    <row r="15704" customHeight="1" spans="2:2">
      <c r="B15704" s="62" t="str">
        <f>IF(AND('领用录入（明细）'!D:D=$F$4,'领用录入（明细）'!C:C&gt;=$J$4,'领用录入（明细）'!C:C&lt;=$L$4),ROW(),"-")</f>
        <v>-</v>
      </c>
    </row>
    <row r="15705" customHeight="1" spans="2:2">
      <c r="B15705" s="62" t="str">
        <f>IF(AND('领用录入（明细）'!D:D=$F$4,'领用录入（明细）'!C:C&gt;=$J$4,'领用录入（明细）'!C:C&lt;=$L$4),ROW(),"-")</f>
        <v>-</v>
      </c>
    </row>
    <row r="15706" customHeight="1" spans="2:2">
      <c r="B15706" s="62" t="str">
        <f>IF(AND('领用录入（明细）'!D:D=$F$4,'领用录入（明细）'!C:C&gt;=$J$4,'领用录入（明细）'!C:C&lt;=$L$4),ROW(),"-")</f>
        <v>-</v>
      </c>
    </row>
    <row r="15707" customHeight="1" spans="2:2">
      <c r="B15707" s="62" t="str">
        <f>IF(AND('领用录入（明细）'!D:D=$F$4,'领用录入（明细）'!C:C&gt;=$J$4,'领用录入（明细）'!C:C&lt;=$L$4),ROW(),"-")</f>
        <v>-</v>
      </c>
    </row>
    <row r="15708" customHeight="1" spans="2:2">
      <c r="B15708" s="62" t="str">
        <f>IF(AND('领用录入（明细）'!D:D=$F$4,'领用录入（明细）'!C:C&gt;=$J$4,'领用录入（明细）'!C:C&lt;=$L$4),ROW(),"-")</f>
        <v>-</v>
      </c>
    </row>
    <row r="15709" customHeight="1" spans="2:2">
      <c r="B15709" s="62" t="str">
        <f>IF(AND('领用录入（明细）'!D:D=$F$4,'领用录入（明细）'!C:C&gt;=$J$4,'领用录入（明细）'!C:C&lt;=$L$4),ROW(),"-")</f>
        <v>-</v>
      </c>
    </row>
    <row r="15710" customHeight="1" spans="2:2">
      <c r="B15710" s="62" t="str">
        <f>IF(AND('领用录入（明细）'!D:D=$F$4,'领用录入（明细）'!C:C&gt;=$J$4,'领用录入（明细）'!C:C&lt;=$L$4),ROW(),"-")</f>
        <v>-</v>
      </c>
    </row>
    <row r="15711" customHeight="1" spans="2:2">
      <c r="B15711" s="62" t="str">
        <f>IF(AND('领用录入（明细）'!D:D=$F$4,'领用录入（明细）'!C:C&gt;=$J$4,'领用录入（明细）'!C:C&lt;=$L$4),ROW(),"-")</f>
        <v>-</v>
      </c>
    </row>
    <row r="15712" customHeight="1" spans="2:2">
      <c r="B15712" s="62" t="str">
        <f>IF(AND('领用录入（明细）'!D:D=$F$4,'领用录入（明细）'!C:C&gt;=$J$4,'领用录入（明细）'!C:C&lt;=$L$4),ROW(),"-")</f>
        <v>-</v>
      </c>
    </row>
    <row r="15713" customHeight="1" spans="2:2">
      <c r="B15713" s="62" t="str">
        <f>IF(AND('领用录入（明细）'!D:D=$F$4,'领用录入（明细）'!C:C&gt;=$J$4,'领用录入（明细）'!C:C&lt;=$L$4),ROW(),"-")</f>
        <v>-</v>
      </c>
    </row>
    <row r="15714" customHeight="1" spans="2:2">
      <c r="B15714" s="62" t="str">
        <f>IF(AND('领用录入（明细）'!D:D=$F$4,'领用录入（明细）'!C:C&gt;=$J$4,'领用录入（明细）'!C:C&lt;=$L$4),ROW(),"-")</f>
        <v>-</v>
      </c>
    </row>
    <row r="15715" customHeight="1" spans="2:2">
      <c r="B15715" s="62" t="str">
        <f>IF(AND('领用录入（明细）'!D:D=$F$4,'领用录入（明细）'!C:C&gt;=$J$4,'领用录入（明细）'!C:C&lt;=$L$4),ROW(),"-")</f>
        <v>-</v>
      </c>
    </row>
    <row r="15716" customHeight="1" spans="2:2">
      <c r="B15716" s="62" t="str">
        <f>IF(AND('领用录入（明细）'!D:D=$F$4,'领用录入（明细）'!C:C&gt;=$J$4,'领用录入（明细）'!C:C&lt;=$L$4),ROW(),"-")</f>
        <v>-</v>
      </c>
    </row>
    <row r="15717" customHeight="1" spans="2:2">
      <c r="B15717" s="62" t="str">
        <f>IF(AND('领用录入（明细）'!D:D=$F$4,'领用录入（明细）'!C:C&gt;=$J$4,'领用录入（明细）'!C:C&lt;=$L$4),ROW(),"-")</f>
        <v>-</v>
      </c>
    </row>
    <row r="15718" customHeight="1" spans="2:2">
      <c r="B15718" s="62" t="str">
        <f>IF(AND('领用录入（明细）'!D:D=$F$4,'领用录入（明细）'!C:C&gt;=$J$4,'领用录入（明细）'!C:C&lt;=$L$4),ROW(),"-")</f>
        <v>-</v>
      </c>
    </row>
    <row r="15719" customHeight="1" spans="2:2">
      <c r="B15719" s="62" t="str">
        <f>IF(AND('领用录入（明细）'!D:D=$F$4,'领用录入（明细）'!C:C&gt;=$J$4,'领用录入（明细）'!C:C&lt;=$L$4),ROW(),"-")</f>
        <v>-</v>
      </c>
    </row>
    <row r="15720" customHeight="1" spans="2:2">
      <c r="B15720" s="62" t="str">
        <f>IF(AND('领用录入（明细）'!D:D=$F$4,'领用录入（明细）'!C:C&gt;=$J$4,'领用录入（明细）'!C:C&lt;=$L$4),ROW(),"-")</f>
        <v>-</v>
      </c>
    </row>
    <row r="15721" customHeight="1" spans="2:2">
      <c r="B15721" s="62" t="str">
        <f>IF(AND('领用录入（明细）'!D:D=$F$4,'领用录入（明细）'!C:C&gt;=$J$4,'领用录入（明细）'!C:C&lt;=$L$4),ROW(),"-")</f>
        <v>-</v>
      </c>
    </row>
    <row r="15722" customHeight="1" spans="2:2">
      <c r="B15722" s="62" t="str">
        <f>IF(AND('领用录入（明细）'!D:D=$F$4,'领用录入（明细）'!C:C&gt;=$J$4,'领用录入（明细）'!C:C&lt;=$L$4),ROW(),"-")</f>
        <v>-</v>
      </c>
    </row>
    <row r="15723" customHeight="1" spans="2:2">
      <c r="B15723" s="62" t="str">
        <f>IF(AND('领用录入（明细）'!D:D=$F$4,'领用录入（明细）'!C:C&gt;=$J$4,'领用录入（明细）'!C:C&lt;=$L$4),ROW(),"-")</f>
        <v>-</v>
      </c>
    </row>
    <row r="15724" customHeight="1" spans="2:2">
      <c r="B15724" s="62" t="str">
        <f>IF(AND('领用录入（明细）'!D:D=$F$4,'领用录入（明细）'!C:C&gt;=$J$4,'领用录入（明细）'!C:C&lt;=$L$4),ROW(),"-")</f>
        <v>-</v>
      </c>
    </row>
    <row r="15725" customHeight="1" spans="2:2">
      <c r="B15725" s="62" t="str">
        <f>IF(AND('领用录入（明细）'!D:D=$F$4,'领用录入（明细）'!C:C&gt;=$J$4,'领用录入（明细）'!C:C&lt;=$L$4),ROW(),"-")</f>
        <v>-</v>
      </c>
    </row>
    <row r="15726" customHeight="1" spans="2:2">
      <c r="B15726" s="62" t="str">
        <f>IF(AND('领用录入（明细）'!D:D=$F$4,'领用录入（明细）'!C:C&gt;=$J$4,'领用录入（明细）'!C:C&lt;=$L$4),ROW(),"-")</f>
        <v>-</v>
      </c>
    </row>
    <row r="15727" customHeight="1" spans="2:2">
      <c r="B15727" s="62" t="str">
        <f>IF(AND('领用录入（明细）'!D:D=$F$4,'领用录入（明细）'!C:C&gt;=$J$4,'领用录入（明细）'!C:C&lt;=$L$4),ROW(),"-")</f>
        <v>-</v>
      </c>
    </row>
    <row r="15728" customHeight="1" spans="2:2">
      <c r="B15728" s="62" t="str">
        <f>IF(AND('领用录入（明细）'!D:D=$F$4,'领用录入（明细）'!C:C&gt;=$J$4,'领用录入（明细）'!C:C&lt;=$L$4),ROW(),"-")</f>
        <v>-</v>
      </c>
    </row>
    <row r="15729" customHeight="1" spans="2:2">
      <c r="B15729" s="62" t="str">
        <f>IF(AND('领用录入（明细）'!D:D=$F$4,'领用录入（明细）'!C:C&gt;=$J$4,'领用录入（明细）'!C:C&lt;=$L$4),ROW(),"-")</f>
        <v>-</v>
      </c>
    </row>
    <row r="15730" customHeight="1" spans="2:2">
      <c r="B15730" s="62" t="str">
        <f>IF(AND('领用录入（明细）'!D:D=$F$4,'领用录入（明细）'!C:C&gt;=$J$4,'领用录入（明细）'!C:C&lt;=$L$4),ROW(),"-")</f>
        <v>-</v>
      </c>
    </row>
    <row r="15731" customHeight="1" spans="2:2">
      <c r="B15731" s="62" t="str">
        <f>IF(AND('领用录入（明细）'!D:D=$F$4,'领用录入（明细）'!C:C&gt;=$J$4,'领用录入（明细）'!C:C&lt;=$L$4),ROW(),"-")</f>
        <v>-</v>
      </c>
    </row>
    <row r="15732" customHeight="1" spans="2:2">
      <c r="B15732" s="62" t="str">
        <f>IF(AND('领用录入（明细）'!D:D=$F$4,'领用录入（明细）'!C:C&gt;=$J$4,'领用录入（明细）'!C:C&lt;=$L$4),ROW(),"-")</f>
        <v>-</v>
      </c>
    </row>
    <row r="15733" customHeight="1" spans="2:2">
      <c r="B15733" s="62" t="str">
        <f>IF(AND('领用录入（明细）'!D:D=$F$4,'领用录入（明细）'!C:C&gt;=$J$4,'领用录入（明细）'!C:C&lt;=$L$4),ROW(),"-")</f>
        <v>-</v>
      </c>
    </row>
    <row r="15734" customHeight="1" spans="2:2">
      <c r="B15734" s="62" t="str">
        <f>IF(AND('领用录入（明细）'!D:D=$F$4,'领用录入（明细）'!C:C&gt;=$J$4,'领用录入（明细）'!C:C&lt;=$L$4),ROW(),"-")</f>
        <v>-</v>
      </c>
    </row>
    <row r="15735" customHeight="1" spans="2:2">
      <c r="B15735" s="62" t="str">
        <f>IF(AND('领用录入（明细）'!D:D=$F$4,'领用录入（明细）'!C:C&gt;=$J$4,'领用录入（明细）'!C:C&lt;=$L$4),ROW(),"-")</f>
        <v>-</v>
      </c>
    </row>
    <row r="15736" customHeight="1" spans="2:2">
      <c r="B15736" s="62" t="str">
        <f>IF(AND('领用录入（明细）'!D:D=$F$4,'领用录入（明细）'!C:C&gt;=$J$4,'领用录入（明细）'!C:C&lt;=$L$4),ROW(),"-")</f>
        <v>-</v>
      </c>
    </row>
    <row r="15737" customHeight="1" spans="2:2">
      <c r="B15737" s="62" t="str">
        <f>IF(AND('领用录入（明细）'!D:D=$F$4,'领用录入（明细）'!C:C&gt;=$J$4,'领用录入（明细）'!C:C&lt;=$L$4),ROW(),"-")</f>
        <v>-</v>
      </c>
    </row>
    <row r="15738" customHeight="1" spans="2:2">
      <c r="B15738" s="62" t="str">
        <f>IF(AND('领用录入（明细）'!D:D=$F$4,'领用录入（明细）'!C:C&gt;=$J$4,'领用录入（明细）'!C:C&lt;=$L$4),ROW(),"-")</f>
        <v>-</v>
      </c>
    </row>
    <row r="15739" customHeight="1" spans="2:2">
      <c r="B15739" s="62" t="str">
        <f>IF(AND('领用录入（明细）'!D:D=$F$4,'领用录入（明细）'!C:C&gt;=$J$4,'领用录入（明细）'!C:C&lt;=$L$4),ROW(),"-")</f>
        <v>-</v>
      </c>
    </row>
    <row r="15740" customHeight="1" spans="2:2">
      <c r="B15740" s="62" t="str">
        <f>IF(AND('领用录入（明细）'!D:D=$F$4,'领用录入（明细）'!C:C&gt;=$J$4,'领用录入（明细）'!C:C&lt;=$L$4),ROW(),"-")</f>
        <v>-</v>
      </c>
    </row>
    <row r="15741" customHeight="1" spans="2:2">
      <c r="B15741" s="62" t="str">
        <f>IF(AND('领用录入（明细）'!D:D=$F$4,'领用录入（明细）'!C:C&gt;=$J$4,'领用录入（明细）'!C:C&lt;=$L$4),ROW(),"-")</f>
        <v>-</v>
      </c>
    </row>
    <row r="15742" customHeight="1" spans="2:2">
      <c r="B15742" s="62" t="str">
        <f>IF(AND('领用录入（明细）'!D:D=$F$4,'领用录入（明细）'!C:C&gt;=$J$4,'领用录入（明细）'!C:C&lt;=$L$4),ROW(),"-")</f>
        <v>-</v>
      </c>
    </row>
    <row r="15743" customHeight="1" spans="2:2">
      <c r="B15743" s="62" t="str">
        <f>IF(AND('领用录入（明细）'!D:D=$F$4,'领用录入（明细）'!C:C&gt;=$J$4,'领用录入（明细）'!C:C&lt;=$L$4),ROW(),"-")</f>
        <v>-</v>
      </c>
    </row>
    <row r="15744" customHeight="1" spans="2:2">
      <c r="B15744" s="62" t="str">
        <f>IF(AND('领用录入（明细）'!D:D=$F$4,'领用录入（明细）'!C:C&gt;=$J$4,'领用录入（明细）'!C:C&lt;=$L$4),ROW(),"-")</f>
        <v>-</v>
      </c>
    </row>
    <row r="15745" customHeight="1" spans="2:2">
      <c r="B15745" s="62" t="str">
        <f>IF(AND('领用录入（明细）'!D:D=$F$4,'领用录入（明细）'!C:C&gt;=$J$4,'领用录入（明细）'!C:C&lt;=$L$4),ROW(),"-")</f>
        <v>-</v>
      </c>
    </row>
    <row r="15746" customHeight="1" spans="2:2">
      <c r="B15746" s="62" t="str">
        <f>IF(AND('领用录入（明细）'!D:D=$F$4,'领用录入（明细）'!C:C&gt;=$J$4,'领用录入（明细）'!C:C&lt;=$L$4),ROW(),"-")</f>
        <v>-</v>
      </c>
    </row>
    <row r="15747" customHeight="1" spans="2:2">
      <c r="B15747" s="62" t="str">
        <f>IF(AND('领用录入（明细）'!D:D=$F$4,'领用录入（明细）'!C:C&gt;=$J$4,'领用录入（明细）'!C:C&lt;=$L$4),ROW(),"-")</f>
        <v>-</v>
      </c>
    </row>
    <row r="15748" customHeight="1" spans="2:2">
      <c r="B15748" s="62" t="str">
        <f>IF(AND('领用录入（明细）'!D:D=$F$4,'领用录入（明细）'!C:C&gt;=$J$4,'领用录入（明细）'!C:C&lt;=$L$4),ROW(),"-")</f>
        <v>-</v>
      </c>
    </row>
    <row r="15749" customHeight="1" spans="2:2">
      <c r="B15749" s="62" t="str">
        <f>IF(AND('领用录入（明细）'!D:D=$F$4,'领用录入（明细）'!C:C&gt;=$J$4,'领用录入（明细）'!C:C&lt;=$L$4),ROW(),"-")</f>
        <v>-</v>
      </c>
    </row>
    <row r="15750" customHeight="1" spans="2:2">
      <c r="B15750" s="62" t="str">
        <f>IF(AND('领用录入（明细）'!D:D=$F$4,'领用录入（明细）'!C:C&gt;=$J$4,'领用录入（明细）'!C:C&lt;=$L$4),ROW(),"-")</f>
        <v>-</v>
      </c>
    </row>
    <row r="15751" customHeight="1" spans="2:2">
      <c r="B15751" s="62" t="str">
        <f>IF(AND('领用录入（明细）'!D:D=$F$4,'领用录入（明细）'!C:C&gt;=$J$4,'领用录入（明细）'!C:C&lt;=$L$4),ROW(),"-")</f>
        <v>-</v>
      </c>
    </row>
    <row r="15752" customHeight="1" spans="2:2">
      <c r="B15752" s="62" t="str">
        <f>IF(AND('领用录入（明细）'!D:D=$F$4,'领用录入（明细）'!C:C&gt;=$J$4,'领用录入（明细）'!C:C&lt;=$L$4),ROW(),"-")</f>
        <v>-</v>
      </c>
    </row>
    <row r="15753" customHeight="1" spans="2:2">
      <c r="B15753" s="62" t="str">
        <f>IF(AND('领用录入（明细）'!D:D=$F$4,'领用录入（明细）'!C:C&gt;=$J$4,'领用录入（明细）'!C:C&lt;=$L$4),ROW(),"-")</f>
        <v>-</v>
      </c>
    </row>
    <row r="15754" customHeight="1" spans="2:2">
      <c r="B15754" s="62" t="str">
        <f>IF(AND('领用录入（明细）'!D:D=$F$4,'领用录入（明细）'!C:C&gt;=$J$4,'领用录入（明细）'!C:C&lt;=$L$4),ROW(),"-")</f>
        <v>-</v>
      </c>
    </row>
    <row r="15755" customHeight="1" spans="2:2">
      <c r="B15755" s="62" t="str">
        <f>IF(AND('领用录入（明细）'!D:D=$F$4,'领用录入（明细）'!C:C&gt;=$J$4,'领用录入（明细）'!C:C&lt;=$L$4),ROW(),"-")</f>
        <v>-</v>
      </c>
    </row>
    <row r="15756" customHeight="1" spans="2:2">
      <c r="B15756" s="62" t="str">
        <f>IF(AND('领用录入（明细）'!D:D=$F$4,'领用录入（明细）'!C:C&gt;=$J$4,'领用录入（明细）'!C:C&lt;=$L$4),ROW(),"-")</f>
        <v>-</v>
      </c>
    </row>
    <row r="15757" customHeight="1" spans="2:2">
      <c r="B15757" s="62" t="str">
        <f>IF(AND('领用录入（明细）'!D:D=$F$4,'领用录入（明细）'!C:C&gt;=$J$4,'领用录入（明细）'!C:C&lt;=$L$4),ROW(),"-")</f>
        <v>-</v>
      </c>
    </row>
    <row r="15758" customHeight="1" spans="2:2">
      <c r="B15758" s="62" t="str">
        <f>IF(AND('领用录入（明细）'!D:D=$F$4,'领用录入（明细）'!C:C&gt;=$J$4,'领用录入（明细）'!C:C&lt;=$L$4),ROW(),"-")</f>
        <v>-</v>
      </c>
    </row>
    <row r="15759" customHeight="1" spans="2:2">
      <c r="B15759" s="62" t="str">
        <f>IF(AND('领用录入（明细）'!D:D=$F$4,'领用录入（明细）'!C:C&gt;=$J$4,'领用录入（明细）'!C:C&lt;=$L$4),ROW(),"-")</f>
        <v>-</v>
      </c>
    </row>
    <row r="15760" customHeight="1" spans="2:2">
      <c r="B15760" s="62" t="str">
        <f>IF(AND('领用录入（明细）'!D:D=$F$4,'领用录入（明细）'!C:C&gt;=$J$4,'领用录入（明细）'!C:C&lt;=$L$4),ROW(),"-")</f>
        <v>-</v>
      </c>
    </row>
    <row r="15761" customHeight="1" spans="2:2">
      <c r="B15761" s="62" t="str">
        <f>IF(AND('领用录入（明细）'!D:D=$F$4,'领用录入（明细）'!C:C&gt;=$J$4,'领用录入（明细）'!C:C&lt;=$L$4),ROW(),"-")</f>
        <v>-</v>
      </c>
    </row>
    <row r="15762" customHeight="1" spans="2:2">
      <c r="B15762" s="62" t="str">
        <f>IF(AND('领用录入（明细）'!D:D=$F$4,'领用录入（明细）'!C:C&gt;=$J$4,'领用录入（明细）'!C:C&lt;=$L$4),ROW(),"-")</f>
        <v>-</v>
      </c>
    </row>
    <row r="15763" customHeight="1" spans="2:2">
      <c r="B15763" s="62" t="str">
        <f>IF(AND('领用录入（明细）'!D:D=$F$4,'领用录入（明细）'!C:C&gt;=$J$4,'领用录入（明细）'!C:C&lt;=$L$4),ROW(),"-")</f>
        <v>-</v>
      </c>
    </row>
    <row r="15764" customHeight="1" spans="2:2">
      <c r="B15764" s="62" t="str">
        <f>IF(AND('领用录入（明细）'!D:D=$F$4,'领用录入（明细）'!C:C&gt;=$J$4,'领用录入（明细）'!C:C&lt;=$L$4),ROW(),"-")</f>
        <v>-</v>
      </c>
    </row>
    <row r="15765" customHeight="1" spans="2:2">
      <c r="B15765" s="62" t="str">
        <f>IF(AND('领用录入（明细）'!D:D=$F$4,'领用录入（明细）'!C:C&gt;=$J$4,'领用录入（明细）'!C:C&lt;=$L$4),ROW(),"-")</f>
        <v>-</v>
      </c>
    </row>
    <row r="15766" customHeight="1" spans="2:2">
      <c r="B15766" s="62" t="str">
        <f>IF(AND('领用录入（明细）'!D:D=$F$4,'领用录入（明细）'!C:C&gt;=$J$4,'领用录入（明细）'!C:C&lt;=$L$4),ROW(),"-")</f>
        <v>-</v>
      </c>
    </row>
    <row r="15767" customHeight="1" spans="2:2">
      <c r="B15767" s="62" t="str">
        <f>IF(AND('领用录入（明细）'!D:D=$F$4,'领用录入（明细）'!C:C&gt;=$J$4,'领用录入（明细）'!C:C&lt;=$L$4),ROW(),"-")</f>
        <v>-</v>
      </c>
    </row>
    <row r="15768" customHeight="1" spans="2:2">
      <c r="B15768" s="62" t="str">
        <f>IF(AND('领用录入（明细）'!D:D=$F$4,'领用录入（明细）'!C:C&gt;=$J$4,'领用录入（明细）'!C:C&lt;=$L$4),ROW(),"-")</f>
        <v>-</v>
      </c>
    </row>
    <row r="15769" customHeight="1" spans="2:2">
      <c r="B15769" s="62" t="str">
        <f>IF(AND('领用录入（明细）'!D:D=$F$4,'领用录入（明细）'!C:C&gt;=$J$4,'领用录入（明细）'!C:C&lt;=$L$4),ROW(),"-")</f>
        <v>-</v>
      </c>
    </row>
    <row r="15770" customHeight="1" spans="2:2">
      <c r="B15770" s="62" t="str">
        <f>IF(AND('领用录入（明细）'!D:D=$F$4,'领用录入（明细）'!C:C&gt;=$J$4,'领用录入（明细）'!C:C&lt;=$L$4),ROW(),"-")</f>
        <v>-</v>
      </c>
    </row>
    <row r="15771" customHeight="1" spans="2:2">
      <c r="B15771" s="62" t="str">
        <f>IF(AND('领用录入（明细）'!D:D=$F$4,'领用录入（明细）'!C:C&gt;=$J$4,'领用录入（明细）'!C:C&lt;=$L$4),ROW(),"-")</f>
        <v>-</v>
      </c>
    </row>
    <row r="15772" customHeight="1" spans="2:2">
      <c r="B15772" s="62" t="str">
        <f>IF(AND('领用录入（明细）'!D:D=$F$4,'领用录入（明细）'!C:C&gt;=$J$4,'领用录入（明细）'!C:C&lt;=$L$4),ROW(),"-")</f>
        <v>-</v>
      </c>
    </row>
    <row r="15773" customHeight="1" spans="2:2">
      <c r="B15773" s="62" t="str">
        <f>IF(AND('领用录入（明细）'!D:D=$F$4,'领用录入（明细）'!C:C&gt;=$J$4,'领用录入（明细）'!C:C&lt;=$L$4),ROW(),"-")</f>
        <v>-</v>
      </c>
    </row>
    <row r="15774" customHeight="1" spans="2:2">
      <c r="B15774" s="62" t="str">
        <f>IF(AND('领用录入（明细）'!D:D=$F$4,'领用录入（明细）'!C:C&gt;=$J$4,'领用录入（明细）'!C:C&lt;=$L$4),ROW(),"-")</f>
        <v>-</v>
      </c>
    </row>
    <row r="15775" customHeight="1" spans="2:2">
      <c r="B15775" s="62" t="str">
        <f>IF(AND('领用录入（明细）'!D:D=$F$4,'领用录入（明细）'!C:C&gt;=$J$4,'领用录入（明细）'!C:C&lt;=$L$4),ROW(),"-")</f>
        <v>-</v>
      </c>
    </row>
    <row r="15776" customHeight="1" spans="2:2">
      <c r="B15776" s="62" t="str">
        <f>IF(AND('领用录入（明细）'!D:D=$F$4,'领用录入（明细）'!C:C&gt;=$J$4,'领用录入（明细）'!C:C&lt;=$L$4),ROW(),"-")</f>
        <v>-</v>
      </c>
    </row>
    <row r="15777" customHeight="1" spans="2:2">
      <c r="B15777" s="62" t="str">
        <f>IF(AND('领用录入（明细）'!D:D=$F$4,'领用录入（明细）'!C:C&gt;=$J$4,'领用录入（明细）'!C:C&lt;=$L$4),ROW(),"-")</f>
        <v>-</v>
      </c>
    </row>
    <row r="15778" customHeight="1" spans="2:2">
      <c r="B15778" s="62" t="str">
        <f>IF(AND('领用录入（明细）'!D:D=$F$4,'领用录入（明细）'!C:C&gt;=$J$4,'领用录入（明细）'!C:C&lt;=$L$4),ROW(),"-")</f>
        <v>-</v>
      </c>
    </row>
    <row r="15779" customHeight="1" spans="2:2">
      <c r="B15779" s="62" t="str">
        <f>IF(AND('领用录入（明细）'!D:D=$F$4,'领用录入（明细）'!C:C&gt;=$J$4,'领用录入（明细）'!C:C&lt;=$L$4),ROW(),"-")</f>
        <v>-</v>
      </c>
    </row>
    <row r="15780" customHeight="1" spans="2:2">
      <c r="B15780" s="62" t="str">
        <f>IF(AND('领用录入（明细）'!D:D=$F$4,'领用录入（明细）'!C:C&gt;=$J$4,'领用录入（明细）'!C:C&lt;=$L$4),ROW(),"-")</f>
        <v>-</v>
      </c>
    </row>
    <row r="15781" customHeight="1" spans="2:2">
      <c r="B15781" s="62" t="str">
        <f>IF(AND('领用录入（明细）'!D:D=$F$4,'领用录入（明细）'!C:C&gt;=$J$4,'领用录入（明细）'!C:C&lt;=$L$4),ROW(),"-")</f>
        <v>-</v>
      </c>
    </row>
    <row r="15782" customHeight="1" spans="2:2">
      <c r="B15782" s="62" t="str">
        <f>IF(AND('领用录入（明细）'!D:D=$F$4,'领用录入（明细）'!C:C&gt;=$J$4,'领用录入（明细）'!C:C&lt;=$L$4),ROW(),"-")</f>
        <v>-</v>
      </c>
    </row>
    <row r="15783" customHeight="1" spans="2:2">
      <c r="B15783" s="62" t="str">
        <f>IF(AND('领用录入（明细）'!D:D=$F$4,'领用录入（明细）'!C:C&gt;=$J$4,'领用录入（明细）'!C:C&lt;=$L$4),ROW(),"-")</f>
        <v>-</v>
      </c>
    </row>
    <row r="15784" customHeight="1" spans="2:2">
      <c r="B15784" s="62" t="str">
        <f>IF(AND('领用录入（明细）'!D:D=$F$4,'领用录入（明细）'!C:C&gt;=$J$4,'领用录入（明细）'!C:C&lt;=$L$4),ROW(),"-")</f>
        <v>-</v>
      </c>
    </row>
    <row r="15785" customHeight="1" spans="2:2">
      <c r="B15785" s="62" t="str">
        <f>IF(AND('领用录入（明细）'!D:D=$F$4,'领用录入（明细）'!C:C&gt;=$J$4,'领用录入（明细）'!C:C&lt;=$L$4),ROW(),"-")</f>
        <v>-</v>
      </c>
    </row>
    <row r="15786" customHeight="1" spans="2:2">
      <c r="B15786" s="62" t="str">
        <f>IF(AND('领用录入（明细）'!D:D=$F$4,'领用录入（明细）'!C:C&gt;=$J$4,'领用录入（明细）'!C:C&lt;=$L$4),ROW(),"-")</f>
        <v>-</v>
      </c>
    </row>
    <row r="15787" customHeight="1" spans="2:2">
      <c r="B15787" s="62" t="str">
        <f>IF(AND('领用录入（明细）'!D:D=$F$4,'领用录入（明细）'!C:C&gt;=$J$4,'领用录入（明细）'!C:C&lt;=$L$4),ROW(),"-")</f>
        <v>-</v>
      </c>
    </row>
    <row r="15788" customHeight="1" spans="2:2">
      <c r="B15788" s="62" t="str">
        <f>IF(AND('领用录入（明细）'!D:D=$F$4,'领用录入（明细）'!C:C&gt;=$J$4,'领用录入（明细）'!C:C&lt;=$L$4),ROW(),"-")</f>
        <v>-</v>
      </c>
    </row>
    <row r="15789" customHeight="1" spans="2:2">
      <c r="B15789" s="62" t="str">
        <f>IF(AND('领用录入（明细）'!D:D=$F$4,'领用录入（明细）'!C:C&gt;=$J$4,'领用录入（明细）'!C:C&lt;=$L$4),ROW(),"-")</f>
        <v>-</v>
      </c>
    </row>
    <row r="15790" customHeight="1" spans="2:2">
      <c r="B15790" s="62" t="str">
        <f>IF(AND('领用录入（明细）'!D:D=$F$4,'领用录入（明细）'!C:C&gt;=$J$4,'领用录入（明细）'!C:C&lt;=$L$4),ROW(),"-")</f>
        <v>-</v>
      </c>
    </row>
    <row r="15791" customHeight="1" spans="2:2">
      <c r="B15791" s="62" t="str">
        <f>IF(AND('领用录入（明细）'!D:D=$F$4,'领用录入（明细）'!C:C&gt;=$J$4,'领用录入（明细）'!C:C&lt;=$L$4),ROW(),"-")</f>
        <v>-</v>
      </c>
    </row>
    <row r="15792" customHeight="1" spans="2:2">
      <c r="B15792" s="62" t="str">
        <f>IF(AND('领用录入（明细）'!D:D=$F$4,'领用录入（明细）'!C:C&gt;=$J$4,'领用录入（明细）'!C:C&lt;=$L$4),ROW(),"-")</f>
        <v>-</v>
      </c>
    </row>
    <row r="15793" customHeight="1" spans="2:2">
      <c r="B15793" s="62" t="str">
        <f>IF(AND('领用录入（明细）'!D:D=$F$4,'领用录入（明细）'!C:C&gt;=$J$4,'领用录入（明细）'!C:C&lt;=$L$4),ROW(),"-")</f>
        <v>-</v>
      </c>
    </row>
    <row r="15794" customHeight="1" spans="2:2">
      <c r="B15794" s="62" t="str">
        <f>IF(AND('领用录入（明细）'!D:D=$F$4,'领用录入（明细）'!C:C&gt;=$J$4,'领用录入（明细）'!C:C&lt;=$L$4),ROW(),"-")</f>
        <v>-</v>
      </c>
    </row>
    <row r="15795" customHeight="1" spans="2:2">
      <c r="B15795" s="62" t="str">
        <f>IF(AND('领用录入（明细）'!D:D=$F$4,'领用录入（明细）'!C:C&gt;=$J$4,'领用录入（明细）'!C:C&lt;=$L$4),ROW(),"-")</f>
        <v>-</v>
      </c>
    </row>
    <row r="15796" customHeight="1" spans="2:2">
      <c r="B15796" s="62" t="str">
        <f>IF(AND('领用录入（明细）'!D:D=$F$4,'领用录入（明细）'!C:C&gt;=$J$4,'领用录入（明细）'!C:C&lt;=$L$4),ROW(),"-")</f>
        <v>-</v>
      </c>
    </row>
    <row r="15797" customHeight="1" spans="2:2">
      <c r="B15797" s="62" t="str">
        <f>IF(AND('领用录入（明细）'!D:D=$F$4,'领用录入（明细）'!C:C&gt;=$J$4,'领用录入（明细）'!C:C&lt;=$L$4),ROW(),"-")</f>
        <v>-</v>
      </c>
    </row>
    <row r="15798" customHeight="1" spans="2:2">
      <c r="B15798" s="62" t="str">
        <f>IF(AND('领用录入（明细）'!D:D=$F$4,'领用录入（明细）'!C:C&gt;=$J$4,'领用录入（明细）'!C:C&lt;=$L$4),ROW(),"-")</f>
        <v>-</v>
      </c>
    </row>
    <row r="15799" customHeight="1" spans="2:2">
      <c r="B15799" s="62" t="str">
        <f>IF(AND('领用录入（明细）'!D:D=$F$4,'领用录入（明细）'!C:C&gt;=$J$4,'领用录入（明细）'!C:C&lt;=$L$4),ROW(),"-")</f>
        <v>-</v>
      </c>
    </row>
    <row r="15800" customHeight="1" spans="2:2">
      <c r="B15800" s="62" t="str">
        <f>IF(AND('领用录入（明细）'!D:D=$F$4,'领用录入（明细）'!C:C&gt;=$J$4,'领用录入（明细）'!C:C&lt;=$L$4),ROW(),"-")</f>
        <v>-</v>
      </c>
    </row>
    <row r="15801" customHeight="1" spans="2:2">
      <c r="B15801" s="62" t="str">
        <f>IF(AND('领用录入（明细）'!D:D=$F$4,'领用录入（明细）'!C:C&gt;=$J$4,'领用录入（明细）'!C:C&lt;=$L$4),ROW(),"-")</f>
        <v>-</v>
      </c>
    </row>
    <row r="15802" customHeight="1" spans="2:2">
      <c r="B15802" s="62" t="str">
        <f>IF(AND('领用录入（明细）'!D:D=$F$4,'领用录入（明细）'!C:C&gt;=$J$4,'领用录入（明细）'!C:C&lt;=$L$4),ROW(),"-")</f>
        <v>-</v>
      </c>
    </row>
    <row r="15803" customHeight="1" spans="2:2">
      <c r="B15803" s="62" t="str">
        <f>IF(AND('领用录入（明细）'!D:D=$F$4,'领用录入（明细）'!C:C&gt;=$J$4,'领用录入（明细）'!C:C&lt;=$L$4),ROW(),"-")</f>
        <v>-</v>
      </c>
    </row>
    <row r="15804" customHeight="1" spans="2:2">
      <c r="B15804" s="62" t="str">
        <f>IF(AND('领用录入（明细）'!D:D=$F$4,'领用录入（明细）'!C:C&gt;=$J$4,'领用录入（明细）'!C:C&lt;=$L$4),ROW(),"-")</f>
        <v>-</v>
      </c>
    </row>
    <row r="15805" customHeight="1" spans="2:2">
      <c r="B15805" s="62" t="str">
        <f>IF(AND('领用录入（明细）'!D:D=$F$4,'领用录入（明细）'!C:C&gt;=$J$4,'领用录入（明细）'!C:C&lt;=$L$4),ROW(),"-")</f>
        <v>-</v>
      </c>
    </row>
    <row r="15806" customHeight="1" spans="2:2">
      <c r="B15806" s="62" t="str">
        <f>IF(AND('领用录入（明细）'!D:D=$F$4,'领用录入（明细）'!C:C&gt;=$J$4,'领用录入（明细）'!C:C&lt;=$L$4),ROW(),"-")</f>
        <v>-</v>
      </c>
    </row>
    <row r="15807" customHeight="1" spans="2:2">
      <c r="B15807" s="62" t="str">
        <f>IF(AND('领用录入（明细）'!D:D=$F$4,'领用录入（明细）'!C:C&gt;=$J$4,'领用录入（明细）'!C:C&lt;=$L$4),ROW(),"-")</f>
        <v>-</v>
      </c>
    </row>
    <row r="15808" customHeight="1" spans="2:2">
      <c r="B15808" s="62" t="str">
        <f>IF(AND('领用录入（明细）'!D:D=$F$4,'领用录入（明细）'!C:C&gt;=$J$4,'领用录入（明细）'!C:C&lt;=$L$4),ROW(),"-")</f>
        <v>-</v>
      </c>
    </row>
    <row r="15809" customHeight="1" spans="2:2">
      <c r="B15809" s="62" t="str">
        <f>IF(AND('领用录入（明细）'!D:D=$F$4,'领用录入（明细）'!C:C&gt;=$J$4,'领用录入（明细）'!C:C&lt;=$L$4),ROW(),"-")</f>
        <v>-</v>
      </c>
    </row>
    <row r="15810" customHeight="1" spans="2:2">
      <c r="B15810" s="62" t="str">
        <f>IF(AND('领用录入（明细）'!D:D=$F$4,'领用录入（明细）'!C:C&gt;=$J$4,'领用录入（明细）'!C:C&lt;=$L$4),ROW(),"-")</f>
        <v>-</v>
      </c>
    </row>
    <row r="15811" customHeight="1" spans="2:2">
      <c r="B15811" s="62" t="str">
        <f>IF(AND('领用录入（明细）'!D:D=$F$4,'领用录入（明细）'!C:C&gt;=$J$4,'领用录入（明细）'!C:C&lt;=$L$4),ROW(),"-")</f>
        <v>-</v>
      </c>
    </row>
    <row r="15812" customHeight="1" spans="2:2">
      <c r="B15812" s="62" t="str">
        <f>IF(AND('领用录入（明细）'!D:D=$F$4,'领用录入（明细）'!C:C&gt;=$J$4,'领用录入（明细）'!C:C&lt;=$L$4),ROW(),"-")</f>
        <v>-</v>
      </c>
    </row>
    <row r="15813" customHeight="1" spans="2:2">
      <c r="B15813" s="62" t="str">
        <f>IF(AND('领用录入（明细）'!D:D=$F$4,'领用录入（明细）'!C:C&gt;=$J$4,'领用录入（明细）'!C:C&lt;=$L$4),ROW(),"-")</f>
        <v>-</v>
      </c>
    </row>
    <row r="15814" customHeight="1" spans="2:2">
      <c r="B15814" s="62" t="str">
        <f>IF(AND('领用录入（明细）'!D:D=$F$4,'领用录入（明细）'!C:C&gt;=$J$4,'领用录入（明细）'!C:C&lt;=$L$4),ROW(),"-")</f>
        <v>-</v>
      </c>
    </row>
    <row r="15815" customHeight="1" spans="2:2">
      <c r="B15815" s="62" t="str">
        <f>IF(AND('领用录入（明细）'!D:D=$F$4,'领用录入（明细）'!C:C&gt;=$J$4,'领用录入（明细）'!C:C&lt;=$L$4),ROW(),"-")</f>
        <v>-</v>
      </c>
    </row>
    <row r="15816" customHeight="1" spans="2:2">
      <c r="B15816" s="62" t="str">
        <f>IF(AND('领用录入（明细）'!D:D=$F$4,'领用录入（明细）'!C:C&gt;=$J$4,'领用录入（明细）'!C:C&lt;=$L$4),ROW(),"-")</f>
        <v>-</v>
      </c>
    </row>
    <row r="15817" customHeight="1" spans="2:2">
      <c r="B15817" s="62" t="str">
        <f>IF(AND('领用录入（明细）'!D:D=$F$4,'领用录入（明细）'!C:C&gt;=$J$4,'领用录入（明细）'!C:C&lt;=$L$4),ROW(),"-")</f>
        <v>-</v>
      </c>
    </row>
    <row r="15818" customHeight="1" spans="2:2">
      <c r="B15818" s="62" t="str">
        <f>IF(AND('领用录入（明细）'!D:D=$F$4,'领用录入（明细）'!C:C&gt;=$J$4,'领用录入（明细）'!C:C&lt;=$L$4),ROW(),"-")</f>
        <v>-</v>
      </c>
    </row>
    <row r="15819" customHeight="1" spans="2:2">
      <c r="B15819" s="62" t="str">
        <f>IF(AND('领用录入（明细）'!D:D=$F$4,'领用录入（明细）'!C:C&gt;=$J$4,'领用录入（明细）'!C:C&lt;=$L$4),ROW(),"-")</f>
        <v>-</v>
      </c>
    </row>
    <row r="15820" customHeight="1" spans="2:2">
      <c r="B15820" s="62" t="str">
        <f>IF(AND('领用录入（明细）'!D:D=$F$4,'领用录入（明细）'!C:C&gt;=$J$4,'领用录入（明细）'!C:C&lt;=$L$4),ROW(),"-")</f>
        <v>-</v>
      </c>
    </row>
    <row r="15821" customHeight="1" spans="2:2">
      <c r="B15821" s="62" t="str">
        <f>IF(AND('领用录入（明细）'!D:D=$F$4,'领用录入（明细）'!C:C&gt;=$J$4,'领用录入（明细）'!C:C&lt;=$L$4),ROW(),"-")</f>
        <v>-</v>
      </c>
    </row>
    <row r="15822" customHeight="1" spans="2:2">
      <c r="B15822" s="62" t="str">
        <f>IF(AND('领用录入（明细）'!D:D=$F$4,'领用录入（明细）'!C:C&gt;=$J$4,'领用录入（明细）'!C:C&lt;=$L$4),ROW(),"-")</f>
        <v>-</v>
      </c>
    </row>
    <row r="15823" customHeight="1" spans="2:2">
      <c r="B15823" s="62" t="str">
        <f>IF(AND('领用录入（明细）'!D:D=$F$4,'领用录入（明细）'!C:C&gt;=$J$4,'领用录入（明细）'!C:C&lt;=$L$4),ROW(),"-")</f>
        <v>-</v>
      </c>
    </row>
    <row r="15824" customHeight="1" spans="2:2">
      <c r="B15824" s="62" t="str">
        <f>IF(AND('领用录入（明细）'!D:D=$F$4,'领用录入（明细）'!C:C&gt;=$J$4,'领用录入（明细）'!C:C&lt;=$L$4),ROW(),"-")</f>
        <v>-</v>
      </c>
    </row>
    <row r="15825" customHeight="1" spans="2:2">
      <c r="B15825" s="62" t="str">
        <f>IF(AND('领用录入（明细）'!D:D=$F$4,'领用录入（明细）'!C:C&gt;=$J$4,'领用录入（明细）'!C:C&lt;=$L$4),ROW(),"-")</f>
        <v>-</v>
      </c>
    </row>
    <row r="15826" customHeight="1" spans="2:2">
      <c r="B15826" s="62" t="str">
        <f>IF(AND('领用录入（明细）'!D:D=$F$4,'领用录入（明细）'!C:C&gt;=$J$4,'领用录入（明细）'!C:C&lt;=$L$4),ROW(),"-")</f>
        <v>-</v>
      </c>
    </row>
    <row r="15827" customHeight="1" spans="2:2">
      <c r="B15827" s="62" t="str">
        <f>IF(AND('领用录入（明细）'!D:D=$F$4,'领用录入（明细）'!C:C&gt;=$J$4,'领用录入（明细）'!C:C&lt;=$L$4),ROW(),"-")</f>
        <v>-</v>
      </c>
    </row>
    <row r="15828" customHeight="1" spans="2:2">
      <c r="B15828" s="62" t="str">
        <f>IF(AND('领用录入（明细）'!D:D=$F$4,'领用录入（明细）'!C:C&gt;=$J$4,'领用录入（明细）'!C:C&lt;=$L$4),ROW(),"-")</f>
        <v>-</v>
      </c>
    </row>
    <row r="15829" customHeight="1" spans="2:2">
      <c r="B15829" s="62" t="str">
        <f>IF(AND('领用录入（明细）'!D:D=$F$4,'领用录入（明细）'!C:C&gt;=$J$4,'领用录入（明细）'!C:C&lt;=$L$4),ROW(),"-")</f>
        <v>-</v>
      </c>
    </row>
    <row r="15830" customHeight="1" spans="2:2">
      <c r="B15830" s="62" t="str">
        <f>IF(AND('领用录入（明细）'!D:D=$F$4,'领用录入（明细）'!C:C&gt;=$J$4,'领用录入（明细）'!C:C&lt;=$L$4),ROW(),"-")</f>
        <v>-</v>
      </c>
    </row>
    <row r="15831" customHeight="1" spans="2:2">
      <c r="B15831" s="62" t="str">
        <f>IF(AND('领用录入（明细）'!D:D=$F$4,'领用录入（明细）'!C:C&gt;=$J$4,'领用录入（明细）'!C:C&lt;=$L$4),ROW(),"-")</f>
        <v>-</v>
      </c>
    </row>
    <row r="15832" customHeight="1" spans="2:2">
      <c r="B15832" s="62" t="str">
        <f>IF(AND('领用录入（明细）'!D:D=$F$4,'领用录入（明细）'!C:C&gt;=$J$4,'领用录入（明细）'!C:C&lt;=$L$4),ROW(),"-")</f>
        <v>-</v>
      </c>
    </row>
    <row r="15833" customHeight="1" spans="2:2">
      <c r="B15833" s="62" t="str">
        <f>IF(AND('领用录入（明细）'!D:D=$F$4,'领用录入（明细）'!C:C&gt;=$J$4,'领用录入（明细）'!C:C&lt;=$L$4),ROW(),"-")</f>
        <v>-</v>
      </c>
    </row>
    <row r="15834" customHeight="1" spans="2:2">
      <c r="B15834" s="62" t="str">
        <f>IF(AND('领用录入（明细）'!D:D=$F$4,'领用录入（明细）'!C:C&gt;=$J$4,'领用录入（明细）'!C:C&lt;=$L$4),ROW(),"-")</f>
        <v>-</v>
      </c>
    </row>
    <row r="15835" customHeight="1" spans="2:2">
      <c r="B15835" s="62" t="str">
        <f>IF(AND('领用录入（明细）'!D:D=$F$4,'领用录入（明细）'!C:C&gt;=$J$4,'领用录入（明细）'!C:C&lt;=$L$4),ROW(),"-")</f>
        <v>-</v>
      </c>
    </row>
    <row r="15836" customHeight="1" spans="2:2">
      <c r="B15836" s="62" t="str">
        <f>IF(AND('领用录入（明细）'!D:D=$F$4,'领用录入（明细）'!C:C&gt;=$J$4,'领用录入（明细）'!C:C&lt;=$L$4),ROW(),"-")</f>
        <v>-</v>
      </c>
    </row>
    <row r="15837" customHeight="1" spans="2:2">
      <c r="B15837" s="62" t="str">
        <f>IF(AND('领用录入（明细）'!D:D=$F$4,'领用录入（明细）'!C:C&gt;=$J$4,'领用录入（明细）'!C:C&lt;=$L$4),ROW(),"-")</f>
        <v>-</v>
      </c>
    </row>
    <row r="15838" customHeight="1" spans="2:2">
      <c r="B15838" s="62" t="str">
        <f>IF(AND('领用录入（明细）'!D:D=$F$4,'领用录入（明细）'!C:C&gt;=$J$4,'领用录入（明细）'!C:C&lt;=$L$4),ROW(),"-")</f>
        <v>-</v>
      </c>
    </row>
    <row r="15839" customHeight="1" spans="2:2">
      <c r="B15839" s="62" t="str">
        <f>IF(AND('领用录入（明细）'!D:D=$F$4,'领用录入（明细）'!C:C&gt;=$J$4,'领用录入（明细）'!C:C&lt;=$L$4),ROW(),"-")</f>
        <v>-</v>
      </c>
    </row>
    <row r="15840" customHeight="1" spans="2:2">
      <c r="B15840" s="62" t="str">
        <f>IF(AND('领用录入（明细）'!D:D=$F$4,'领用录入（明细）'!C:C&gt;=$J$4,'领用录入（明细）'!C:C&lt;=$L$4),ROW(),"-")</f>
        <v>-</v>
      </c>
    </row>
    <row r="15841" customHeight="1" spans="2:2">
      <c r="B15841" s="62" t="str">
        <f>IF(AND('领用录入（明细）'!D:D=$F$4,'领用录入（明细）'!C:C&gt;=$J$4,'领用录入（明细）'!C:C&lt;=$L$4),ROW(),"-")</f>
        <v>-</v>
      </c>
    </row>
    <row r="15842" customHeight="1" spans="2:2">
      <c r="B15842" s="62" t="str">
        <f>IF(AND('领用录入（明细）'!D:D=$F$4,'领用录入（明细）'!C:C&gt;=$J$4,'领用录入（明细）'!C:C&lt;=$L$4),ROW(),"-")</f>
        <v>-</v>
      </c>
    </row>
    <row r="15843" customHeight="1" spans="2:2">
      <c r="B15843" s="62" t="str">
        <f>IF(AND('领用录入（明细）'!D:D=$F$4,'领用录入（明细）'!C:C&gt;=$J$4,'领用录入（明细）'!C:C&lt;=$L$4),ROW(),"-")</f>
        <v>-</v>
      </c>
    </row>
    <row r="15844" customHeight="1" spans="2:2">
      <c r="B15844" s="62" t="str">
        <f>IF(AND('领用录入（明细）'!D:D=$F$4,'领用录入（明细）'!C:C&gt;=$J$4,'领用录入（明细）'!C:C&lt;=$L$4),ROW(),"-")</f>
        <v>-</v>
      </c>
    </row>
    <row r="15845" customHeight="1" spans="2:2">
      <c r="B15845" s="62" t="str">
        <f>IF(AND('领用录入（明细）'!D:D=$F$4,'领用录入（明细）'!C:C&gt;=$J$4,'领用录入（明细）'!C:C&lt;=$L$4),ROW(),"-")</f>
        <v>-</v>
      </c>
    </row>
    <row r="15846" customHeight="1" spans="2:2">
      <c r="B15846" s="62" t="str">
        <f>IF(AND('领用录入（明细）'!D:D=$F$4,'领用录入（明细）'!C:C&gt;=$J$4,'领用录入（明细）'!C:C&lt;=$L$4),ROW(),"-")</f>
        <v>-</v>
      </c>
    </row>
    <row r="15847" customHeight="1" spans="2:2">
      <c r="B15847" s="62" t="str">
        <f>IF(AND('领用录入（明细）'!D:D=$F$4,'领用录入（明细）'!C:C&gt;=$J$4,'领用录入（明细）'!C:C&lt;=$L$4),ROW(),"-")</f>
        <v>-</v>
      </c>
    </row>
    <row r="15848" customHeight="1" spans="2:2">
      <c r="B15848" s="62" t="str">
        <f>IF(AND('领用录入（明细）'!D:D=$F$4,'领用录入（明细）'!C:C&gt;=$J$4,'领用录入（明细）'!C:C&lt;=$L$4),ROW(),"-")</f>
        <v>-</v>
      </c>
    </row>
    <row r="15849" customHeight="1" spans="2:2">
      <c r="B15849" s="62" t="str">
        <f>IF(AND('领用录入（明细）'!D:D=$F$4,'领用录入（明细）'!C:C&gt;=$J$4,'领用录入（明细）'!C:C&lt;=$L$4),ROW(),"-")</f>
        <v>-</v>
      </c>
    </row>
    <row r="15850" customHeight="1" spans="2:2">
      <c r="B15850" s="62" t="str">
        <f>IF(AND('领用录入（明细）'!D:D=$F$4,'领用录入（明细）'!C:C&gt;=$J$4,'领用录入（明细）'!C:C&lt;=$L$4),ROW(),"-")</f>
        <v>-</v>
      </c>
    </row>
    <row r="15851" customHeight="1" spans="2:2">
      <c r="B15851" s="62" t="str">
        <f>IF(AND('领用录入（明细）'!D:D=$F$4,'领用录入（明细）'!C:C&gt;=$J$4,'领用录入（明细）'!C:C&lt;=$L$4),ROW(),"-")</f>
        <v>-</v>
      </c>
    </row>
    <row r="15852" customHeight="1" spans="2:2">
      <c r="B15852" s="62" t="str">
        <f>IF(AND('领用录入（明细）'!D:D=$F$4,'领用录入（明细）'!C:C&gt;=$J$4,'领用录入（明细）'!C:C&lt;=$L$4),ROW(),"-")</f>
        <v>-</v>
      </c>
    </row>
    <row r="15853" customHeight="1" spans="2:2">
      <c r="B15853" s="62" t="str">
        <f>IF(AND('领用录入（明细）'!D:D=$F$4,'领用录入（明细）'!C:C&gt;=$J$4,'领用录入（明细）'!C:C&lt;=$L$4),ROW(),"-")</f>
        <v>-</v>
      </c>
    </row>
    <row r="15854" customHeight="1" spans="2:2">
      <c r="B15854" s="62" t="str">
        <f>IF(AND('领用录入（明细）'!D:D=$F$4,'领用录入（明细）'!C:C&gt;=$J$4,'领用录入（明细）'!C:C&lt;=$L$4),ROW(),"-")</f>
        <v>-</v>
      </c>
    </row>
    <row r="15855" customHeight="1" spans="2:2">
      <c r="B15855" s="62" t="str">
        <f>IF(AND('领用录入（明细）'!D:D=$F$4,'领用录入（明细）'!C:C&gt;=$J$4,'领用录入（明细）'!C:C&lt;=$L$4),ROW(),"-")</f>
        <v>-</v>
      </c>
    </row>
    <row r="15856" customHeight="1" spans="2:2">
      <c r="B15856" s="62" t="str">
        <f>IF(AND('领用录入（明细）'!D:D=$F$4,'领用录入（明细）'!C:C&gt;=$J$4,'领用录入（明细）'!C:C&lt;=$L$4),ROW(),"-")</f>
        <v>-</v>
      </c>
    </row>
    <row r="15857" customHeight="1" spans="2:2">
      <c r="B15857" s="62" t="str">
        <f>IF(AND('领用录入（明细）'!D:D=$F$4,'领用录入（明细）'!C:C&gt;=$J$4,'领用录入（明细）'!C:C&lt;=$L$4),ROW(),"-")</f>
        <v>-</v>
      </c>
    </row>
    <row r="15858" customHeight="1" spans="2:2">
      <c r="B15858" s="62" t="str">
        <f>IF(AND('领用录入（明细）'!D:D=$F$4,'领用录入（明细）'!C:C&gt;=$J$4,'领用录入（明细）'!C:C&lt;=$L$4),ROW(),"-")</f>
        <v>-</v>
      </c>
    </row>
    <row r="15859" customHeight="1" spans="2:2">
      <c r="B15859" s="62" t="str">
        <f>IF(AND('领用录入（明细）'!D:D=$F$4,'领用录入（明细）'!C:C&gt;=$J$4,'领用录入（明细）'!C:C&lt;=$L$4),ROW(),"-")</f>
        <v>-</v>
      </c>
    </row>
    <row r="15860" customHeight="1" spans="2:2">
      <c r="B15860" s="62" t="str">
        <f>IF(AND('领用录入（明细）'!D:D=$F$4,'领用录入（明细）'!C:C&gt;=$J$4,'领用录入（明细）'!C:C&lt;=$L$4),ROW(),"-")</f>
        <v>-</v>
      </c>
    </row>
    <row r="15861" customHeight="1" spans="2:2">
      <c r="B15861" s="62" t="str">
        <f>IF(AND('领用录入（明细）'!D:D=$F$4,'领用录入（明细）'!C:C&gt;=$J$4,'领用录入（明细）'!C:C&lt;=$L$4),ROW(),"-")</f>
        <v>-</v>
      </c>
    </row>
    <row r="15862" customHeight="1" spans="2:2">
      <c r="B15862" s="62" t="str">
        <f>IF(AND('领用录入（明细）'!D:D=$F$4,'领用录入（明细）'!C:C&gt;=$J$4,'领用录入（明细）'!C:C&lt;=$L$4),ROW(),"-")</f>
        <v>-</v>
      </c>
    </row>
    <row r="15863" customHeight="1" spans="2:2">
      <c r="B15863" s="62" t="str">
        <f>IF(AND('领用录入（明细）'!D:D=$F$4,'领用录入（明细）'!C:C&gt;=$J$4,'领用录入（明细）'!C:C&lt;=$L$4),ROW(),"-")</f>
        <v>-</v>
      </c>
    </row>
    <row r="15864" customHeight="1" spans="2:2">
      <c r="B15864" s="62" t="str">
        <f>IF(AND('领用录入（明细）'!D:D=$F$4,'领用录入（明细）'!C:C&gt;=$J$4,'领用录入（明细）'!C:C&lt;=$L$4),ROW(),"-")</f>
        <v>-</v>
      </c>
    </row>
    <row r="15865" customHeight="1" spans="2:2">
      <c r="B15865" s="62" t="str">
        <f>IF(AND('领用录入（明细）'!D:D=$F$4,'领用录入（明细）'!C:C&gt;=$J$4,'领用录入（明细）'!C:C&lt;=$L$4),ROW(),"-")</f>
        <v>-</v>
      </c>
    </row>
    <row r="15866" customHeight="1" spans="2:2">
      <c r="B15866" s="62" t="str">
        <f>IF(AND('领用录入（明细）'!D:D=$F$4,'领用录入（明细）'!C:C&gt;=$J$4,'领用录入（明细）'!C:C&lt;=$L$4),ROW(),"-")</f>
        <v>-</v>
      </c>
    </row>
    <row r="15867" customHeight="1" spans="2:2">
      <c r="B15867" s="62" t="str">
        <f>IF(AND('领用录入（明细）'!D:D=$F$4,'领用录入（明细）'!C:C&gt;=$J$4,'领用录入（明细）'!C:C&lt;=$L$4),ROW(),"-")</f>
        <v>-</v>
      </c>
    </row>
    <row r="15868" customHeight="1" spans="2:2">
      <c r="B15868" s="62" t="str">
        <f>IF(AND('领用录入（明细）'!D:D=$F$4,'领用录入（明细）'!C:C&gt;=$J$4,'领用录入（明细）'!C:C&lt;=$L$4),ROW(),"-")</f>
        <v>-</v>
      </c>
    </row>
    <row r="15869" customHeight="1" spans="2:2">
      <c r="B15869" s="62" t="str">
        <f>IF(AND('领用录入（明细）'!D:D=$F$4,'领用录入（明细）'!C:C&gt;=$J$4,'领用录入（明细）'!C:C&lt;=$L$4),ROW(),"-")</f>
        <v>-</v>
      </c>
    </row>
    <row r="15870" customHeight="1" spans="2:2">
      <c r="B15870" s="62" t="str">
        <f>IF(AND('领用录入（明细）'!D:D=$F$4,'领用录入（明细）'!C:C&gt;=$J$4,'领用录入（明细）'!C:C&lt;=$L$4),ROW(),"-")</f>
        <v>-</v>
      </c>
    </row>
    <row r="15871" customHeight="1" spans="2:2">
      <c r="B15871" s="62" t="str">
        <f>IF(AND('领用录入（明细）'!D:D=$F$4,'领用录入（明细）'!C:C&gt;=$J$4,'领用录入（明细）'!C:C&lt;=$L$4),ROW(),"-")</f>
        <v>-</v>
      </c>
    </row>
    <row r="15872" customHeight="1" spans="2:2">
      <c r="B15872" s="62" t="str">
        <f>IF(AND('领用录入（明细）'!D:D=$F$4,'领用录入（明细）'!C:C&gt;=$J$4,'领用录入（明细）'!C:C&lt;=$L$4),ROW(),"-")</f>
        <v>-</v>
      </c>
    </row>
    <row r="15873" customHeight="1" spans="2:2">
      <c r="B15873" s="62" t="str">
        <f>IF(AND('领用录入（明细）'!D:D=$F$4,'领用录入（明细）'!C:C&gt;=$J$4,'领用录入（明细）'!C:C&lt;=$L$4),ROW(),"-")</f>
        <v>-</v>
      </c>
    </row>
    <row r="15874" customHeight="1" spans="2:2">
      <c r="B15874" s="62" t="str">
        <f>IF(AND('领用录入（明细）'!D:D=$F$4,'领用录入（明细）'!C:C&gt;=$J$4,'领用录入（明细）'!C:C&lt;=$L$4),ROW(),"-")</f>
        <v>-</v>
      </c>
    </row>
    <row r="15875" customHeight="1" spans="2:2">
      <c r="B15875" s="62" t="str">
        <f>IF(AND('领用录入（明细）'!D:D=$F$4,'领用录入（明细）'!C:C&gt;=$J$4,'领用录入（明细）'!C:C&lt;=$L$4),ROW(),"-")</f>
        <v>-</v>
      </c>
    </row>
    <row r="15876" customHeight="1" spans="2:2">
      <c r="B15876" s="62" t="str">
        <f>IF(AND('领用录入（明细）'!D:D=$F$4,'领用录入（明细）'!C:C&gt;=$J$4,'领用录入（明细）'!C:C&lt;=$L$4),ROW(),"-")</f>
        <v>-</v>
      </c>
    </row>
    <row r="15877" customHeight="1" spans="2:2">
      <c r="B15877" s="62" t="str">
        <f>IF(AND('领用录入（明细）'!D:D=$F$4,'领用录入（明细）'!C:C&gt;=$J$4,'领用录入（明细）'!C:C&lt;=$L$4),ROW(),"-")</f>
        <v>-</v>
      </c>
    </row>
    <row r="15878" customHeight="1" spans="2:2">
      <c r="B15878" s="62" t="str">
        <f>IF(AND('领用录入（明细）'!D:D=$F$4,'领用录入（明细）'!C:C&gt;=$J$4,'领用录入（明细）'!C:C&lt;=$L$4),ROW(),"-")</f>
        <v>-</v>
      </c>
    </row>
    <row r="15879" customHeight="1" spans="2:2">
      <c r="B15879" s="62" t="str">
        <f>IF(AND('领用录入（明细）'!D:D=$F$4,'领用录入（明细）'!C:C&gt;=$J$4,'领用录入（明细）'!C:C&lt;=$L$4),ROW(),"-")</f>
        <v>-</v>
      </c>
    </row>
    <row r="15880" customHeight="1" spans="2:2">
      <c r="B15880" s="62" t="str">
        <f>IF(AND('领用录入（明细）'!D:D=$F$4,'领用录入（明细）'!C:C&gt;=$J$4,'领用录入（明细）'!C:C&lt;=$L$4),ROW(),"-")</f>
        <v>-</v>
      </c>
    </row>
    <row r="15881" customHeight="1" spans="2:2">
      <c r="B15881" s="62" t="str">
        <f>IF(AND('领用录入（明细）'!D:D=$F$4,'领用录入（明细）'!C:C&gt;=$J$4,'领用录入（明细）'!C:C&lt;=$L$4),ROW(),"-")</f>
        <v>-</v>
      </c>
    </row>
    <row r="15882" customHeight="1" spans="2:2">
      <c r="B15882" s="62" t="str">
        <f>IF(AND('领用录入（明细）'!D:D=$F$4,'领用录入（明细）'!C:C&gt;=$J$4,'领用录入（明细）'!C:C&lt;=$L$4),ROW(),"-")</f>
        <v>-</v>
      </c>
    </row>
    <row r="15883" customHeight="1" spans="2:2">
      <c r="B15883" s="62" t="str">
        <f>IF(AND('领用录入（明细）'!D:D=$F$4,'领用录入（明细）'!C:C&gt;=$J$4,'领用录入（明细）'!C:C&lt;=$L$4),ROW(),"-")</f>
        <v>-</v>
      </c>
    </row>
    <row r="15884" customHeight="1" spans="2:2">
      <c r="B15884" s="62" t="str">
        <f>IF(AND('领用录入（明细）'!D:D=$F$4,'领用录入（明细）'!C:C&gt;=$J$4,'领用录入（明细）'!C:C&lt;=$L$4),ROW(),"-")</f>
        <v>-</v>
      </c>
    </row>
    <row r="15885" customHeight="1" spans="2:2">
      <c r="B15885" s="62" t="str">
        <f>IF(AND('领用录入（明细）'!D:D=$F$4,'领用录入（明细）'!C:C&gt;=$J$4,'领用录入（明细）'!C:C&lt;=$L$4),ROW(),"-")</f>
        <v>-</v>
      </c>
    </row>
    <row r="15886" customHeight="1" spans="2:2">
      <c r="B15886" s="62" t="str">
        <f>IF(AND('领用录入（明细）'!D:D=$F$4,'领用录入（明细）'!C:C&gt;=$J$4,'领用录入（明细）'!C:C&lt;=$L$4),ROW(),"-")</f>
        <v>-</v>
      </c>
    </row>
    <row r="15887" customHeight="1" spans="2:2">
      <c r="B15887" s="62" t="str">
        <f>IF(AND('领用录入（明细）'!D:D=$F$4,'领用录入（明细）'!C:C&gt;=$J$4,'领用录入（明细）'!C:C&lt;=$L$4),ROW(),"-")</f>
        <v>-</v>
      </c>
    </row>
    <row r="15888" customHeight="1" spans="2:2">
      <c r="B15888" s="62" t="str">
        <f>IF(AND('领用录入（明细）'!D:D=$F$4,'领用录入（明细）'!C:C&gt;=$J$4,'领用录入（明细）'!C:C&lt;=$L$4),ROW(),"-")</f>
        <v>-</v>
      </c>
    </row>
    <row r="15889" customHeight="1" spans="2:2">
      <c r="B15889" s="62" t="str">
        <f>IF(AND('领用录入（明细）'!D:D=$F$4,'领用录入（明细）'!C:C&gt;=$J$4,'领用录入（明细）'!C:C&lt;=$L$4),ROW(),"-")</f>
        <v>-</v>
      </c>
    </row>
    <row r="15890" customHeight="1" spans="2:2">
      <c r="B15890" s="62" t="str">
        <f>IF(AND('领用录入（明细）'!D:D=$F$4,'领用录入（明细）'!C:C&gt;=$J$4,'领用录入（明细）'!C:C&lt;=$L$4),ROW(),"-")</f>
        <v>-</v>
      </c>
    </row>
    <row r="15891" customHeight="1" spans="2:2">
      <c r="B15891" s="62" t="str">
        <f>IF(AND('领用录入（明细）'!D:D=$F$4,'领用录入（明细）'!C:C&gt;=$J$4,'领用录入（明细）'!C:C&lt;=$L$4),ROW(),"-")</f>
        <v>-</v>
      </c>
    </row>
    <row r="15892" customHeight="1" spans="2:2">
      <c r="B15892" s="62" t="str">
        <f>IF(AND('领用录入（明细）'!D:D=$F$4,'领用录入（明细）'!C:C&gt;=$J$4,'领用录入（明细）'!C:C&lt;=$L$4),ROW(),"-")</f>
        <v>-</v>
      </c>
    </row>
    <row r="15893" customHeight="1" spans="2:2">
      <c r="B15893" s="62" t="str">
        <f>IF(AND('领用录入（明细）'!D:D=$F$4,'领用录入（明细）'!C:C&gt;=$J$4,'领用录入（明细）'!C:C&lt;=$L$4),ROW(),"-")</f>
        <v>-</v>
      </c>
    </row>
    <row r="15894" customHeight="1" spans="2:2">
      <c r="B15894" s="62" t="str">
        <f>IF(AND('领用录入（明细）'!D:D=$F$4,'领用录入（明细）'!C:C&gt;=$J$4,'领用录入（明细）'!C:C&lt;=$L$4),ROW(),"-")</f>
        <v>-</v>
      </c>
    </row>
    <row r="15895" customHeight="1" spans="2:2">
      <c r="B15895" s="62" t="str">
        <f>IF(AND('领用录入（明细）'!D:D=$F$4,'领用录入（明细）'!C:C&gt;=$J$4,'领用录入（明细）'!C:C&lt;=$L$4),ROW(),"-")</f>
        <v>-</v>
      </c>
    </row>
    <row r="15896" customHeight="1" spans="2:2">
      <c r="B15896" s="62" t="str">
        <f>IF(AND('领用录入（明细）'!D:D=$F$4,'领用录入（明细）'!C:C&gt;=$J$4,'领用录入（明细）'!C:C&lt;=$L$4),ROW(),"-")</f>
        <v>-</v>
      </c>
    </row>
    <row r="15897" customHeight="1" spans="2:2">
      <c r="B15897" s="62" t="str">
        <f>IF(AND('领用录入（明细）'!D:D=$F$4,'领用录入（明细）'!C:C&gt;=$J$4,'领用录入（明细）'!C:C&lt;=$L$4),ROW(),"-")</f>
        <v>-</v>
      </c>
    </row>
    <row r="15898" customHeight="1" spans="2:2">
      <c r="B15898" s="62" t="str">
        <f>IF(AND('领用录入（明细）'!D:D=$F$4,'领用录入（明细）'!C:C&gt;=$J$4,'领用录入（明细）'!C:C&lt;=$L$4),ROW(),"-")</f>
        <v>-</v>
      </c>
    </row>
    <row r="15899" customHeight="1" spans="2:2">
      <c r="B15899" s="62" t="str">
        <f>IF(AND('领用录入（明细）'!D:D=$F$4,'领用录入（明细）'!C:C&gt;=$J$4,'领用录入（明细）'!C:C&lt;=$L$4),ROW(),"-")</f>
        <v>-</v>
      </c>
    </row>
    <row r="15900" customHeight="1" spans="2:2">
      <c r="B15900" s="62" t="str">
        <f>IF(AND('领用录入（明细）'!D:D=$F$4,'领用录入（明细）'!C:C&gt;=$J$4,'领用录入（明细）'!C:C&lt;=$L$4),ROW(),"-")</f>
        <v>-</v>
      </c>
    </row>
    <row r="15901" customHeight="1" spans="2:2">
      <c r="B15901" s="62" t="str">
        <f>IF(AND('领用录入（明细）'!D:D=$F$4,'领用录入（明细）'!C:C&gt;=$J$4,'领用录入（明细）'!C:C&lt;=$L$4),ROW(),"-")</f>
        <v>-</v>
      </c>
    </row>
    <row r="15902" customHeight="1" spans="2:2">
      <c r="B15902" s="62" t="str">
        <f>IF(AND('领用录入（明细）'!D:D=$F$4,'领用录入（明细）'!C:C&gt;=$J$4,'领用录入（明细）'!C:C&lt;=$L$4),ROW(),"-")</f>
        <v>-</v>
      </c>
    </row>
    <row r="15903" customHeight="1" spans="2:2">
      <c r="B15903" s="62" t="str">
        <f>IF(AND('领用录入（明细）'!D:D=$F$4,'领用录入（明细）'!C:C&gt;=$J$4,'领用录入（明细）'!C:C&lt;=$L$4),ROW(),"-")</f>
        <v>-</v>
      </c>
    </row>
    <row r="15904" customHeight="1" spans="2:2">
      <c r="B15904" s="62" t="str">
        <f>IF(AND('领用录入（明细）'!D:D=$F$4,'领用录入（明细）'!C:C&gt;=$J$4,'领用录入（明细）'!C:C&lt;=$L$4),ROW(),"-")</f>
        <v>-</v>
      </c>
    </row>
    <row r="15905" customHeight="1" spans="2:2">
      <c r="B15905" s="62" t="str">
        <f>IF(AND('领用录入（明细）'!D:D=$F$4,'领用录入（明细）'!C:C&gt;=$J$4,'领用录入（明细）'!C:C&lt;=$L$4),ROW(),"-")</f>
        <v>-</v>
      </c>
    </row>
    <row r="15906" customHeight="1" spans="2:2">
      <c r="B15906" s="62" t="str">
        <f>IF(AND('领用录入（明细）'!D:D=$F$4,'领用录入（明细）'!C:C&gt;=$J$4,'领用录入（明细）'!C:C&lt;=$L$4),ROW(),"-")</f>
        <v>-</v>
      </c>
    </row>
    <row r="15907" customHeight="1" spans="2:2">
      <c r="B15907" s="62" t="str">
        <f>IF(AND('领用录入（明细）'!D:D=$F$4,'领用录入（明细）'!C:C&gt;=$J$4,'领用录入（明细）'!C:C&lt;=$L$4),ROW(),"-")</f>
        <v>-</v>
      </c>
    </row>
    <row r="15908" customHeight="1" spans="2:2">
      <c r="B15908" s="62" t="str">
        <f>IF(AND('领用录入（明细）'!D:D=$F$4,'领用录入（明细）'!C:C&gt;=$J$4,'领用录入（明细）'!C:C&lt;=$L$4),ROW(),"-")</f>
        <v>-</v>
      </c>
    </row>
    <row r="15909" customHeight="1" spans="2:2">
      <c r="B15909" s="62" t="str">
        <f>IF(AND('领用录入（明细）'!D:D=$F$4,'领用录入（明细）'!C:C&gt;=$J$4,'领用录入（明细）'!C:C&lt;=$L$4),ROW(),"-")</f>
        <v>-</v>
      </c>
    </row>
    <row r="15910" customHeight="1" spans="2:2">
      <c r="B15910" s="62" t="str">
        <f>IF(AND('领用录入（明细）'!D:D=$F$4,'领用录入（明细）'!C:C&gt;=$J$4,'领用录入（明细）'!C:C&lt;=$L$4),ROW(),"-")</f>
        <v>-</v>
      </c>
    </row>
    <row r="15911" customHeight="1" spans="2:2">
      <c r="B15911" s="62" t="str">
        <f>IF(AND('领用录入（明细）'!D:D=$F$4,'领用录入（明细）'!C:C&gt;=$J$4,'领用录入（明细）'!C:C&lt;=$L$4),ROW(),"-")</f>
        <v>-</v>
      </c>
    </row>
    <row r="15912" customHeight="1" spans="2:2">
      <c r="B15912" s="62" t="str">
        <f>IF(AND('领用录入（明细）'!D:D=$F$4,'领用录入（明细）'!C:C&gt;=$J$4,'领用录入（明细）'!C:C&lt;=$L$4),ROW(),"-")</f>
        <v>-</v>
      </c>
    </row>
    <row r="15913" customHeight="1" spans="2:2">
      <c r="B15913" s="62" t="str">
        <f>IF(AND('领用录入（明细）'!D:D=$F$4,'领用录入（明细）'!C:C&gt;=$J$4,'领用录入（明细）'!C:C&lt;=$L$4),ROW(),"-")</f>
        <v>-</v>
      </c>
    </row>
    <row r="15914" customHeight="1" spans="2:2">
      <c r="B15914" s="62" t="str">
        <f>IF(AND('领用录入（明细）'!D:D=$F$4,'领用录入（明细）'!C:C&gt;=$J$4,'领用录入（明细）'!C:C&lt;=$L$4),ROW(),"-")</f>
        <v>-</v>
      </c>
    </row>
    <row r="15915" customHeight="1" spans="2:2">
      <c r="B15915" s="62" t="str">
        <f>IF(AND('领用录入（明细）'!D:D=$F$4,'领用录入（明细）'!C:C&gt;=$J$4,'领用录入（明细）'!C:C&lt;=$L$4),ROW(),"-")</f>
        <v>-</v>
      </c>
    </row>
    <row r="15916" customHeight="1" spans="2:2">
      <c r="B15916" s="62" t="str">
        <f>IF(AND('领用录入（明细）'!D:D=$F$4,'领用录入（明细）'!C:C&gt;=$J$4,'领用录入（明细）'!C:C&lt;=$L$4),ROW(),"-")</f>
        <v>-</v>
      </c>
    </row>
    <row r="15917" customHeight="1" spans="2:2">
      <c r="B15917" s="62" t="str">
        <f>IF(AND('领用录入（明细）'!D:D=$F$4,'领用录入（明细）'!C:C&gt;=$J$4,'领用录入（明细）'!C:C&lt;=$L$4),ROW(),"-")</f>
        <v>-</v>
      </c>
    </row>
    <row r="15918" customHeight="1" spans="2:2">
      <c r="B15918" s="62" t="str">
        <f>IF(AND('领用录入（明细）'!D:D=$F$4,'领用录入（明细）'!C:C&gt;=$J$4,'领用录入（明细）'!C:C&lt;=$L$4),ROW(),"-")</f>
        <v>-</v>
      </c>
    </row>
    <row r="15919" customHeight="1" spans="2:2">
      <c r="B15919" s="62" t="str">
        <f>IF(AND('领用录入（明细）'!D:D=$F$4,'领用录入（明细）'!C:C&gt;=$J$4,'领用录入（明细）'!C:C&lt;=$L$4),ROW(),"-")</f>
        <v>-</v>
      </c>
    </row>
    <row r="15920" customHeight="1" spans="2:2">
      <c r="B15920" s="62" t="str">
        <f>IF(AND('领用录入（明细）'!D:D=$F$4,'领用录入（明细）'!C:C&gt;=$J$4,'领用录入（明细）'!C:C&lt;=$L$4),ROW(),"-")</f>
        <v>-</v>
      </c>
    </row>
    <row r="15921" customHeight="1" spans="2:2">
      <c r="B15921" s="62" t="str">
        <f>IF(AND('领用录入（明细）'!D:D=$F$4,'领用录入（明细）'!C:C&gt;=$J$4,'领用录入（明细）'!C:C&lt;=$L$4),ROW(),"-")</f>
        <v>-</v>
      </c>
    </row>
    <row r="15922" customHeight="1" spans="2:2">
      <c r="B15922" s="62" t="str">
        <f>IF(AND('领用录入（明细）'!D:D=$F$4,'领用录入（明细）'!C:C&gt;=$J$4,'领用录入（明细）'!C:C&lt;=$L$4),ROW(),"-")</f>
        <v>-</v>
      </c>
    </row>
    <row r="15923" customHeight="1" spans="2:2">
      <c r="B15923" s="62" t="str">
        <f>IF(AND('领用录入（明细）'!D:D=$F$4,'领用录入（明细）'!C:C&gt;=$J$4,'领用录入（明细）'!C:C&lt;=$L$4),ROW(),"-")</f>
        <v>-</v>
      </c>
    </row>
    <row r="15924" customHeight="1" spans="2:2">
      <c r="B15924" s="62" t="str">
        <f>IF(AND('领用录入（明细）'!D:D=$F$4,'领用录入（明细）'!C:C&gt;=$J$4,'领用录入（明细）'!C:C&lt;=$L$4),ROW(),"-")</f>
        <v>-</v>
      </c>
    </row>
    <row r="15925" customHeight="1" spans="2:2">
      <c r="B15925" s="62" t="str">
        <f>IF(AND('领用录入（明细）'!D:D=$F$4,'领用录入（明细）'!C:C&gt;=$J$4,'领用录入（明细）'!C:C&lt;=$L$4),ROW(),"-")</f>
        <v>-</v>
      </c>
    </row>
    <row r="15926" customHeight="1" spans="2:2">
      <c r="B15926" s="62" t="str">
        <f>IF(AND('领用录入（明细）'!D:D=$F$4,'领用录入（明细）'!C:C&gt;=$J$4,'领用录入（明细）'!C:C&lt;=$L$4),ROW(),"-")</f>
        <v>-</v>
      </c>
    </row>
    <row r="15927" customHeight="1" spans="2:2">
      <c r="B15927" s="62" t="str">
        <f>IF(AND('领用录入（明细）'!D:D=$F$4,'领用录入（明细）'!C:C&gt;=$J$4,'领用录入（明细）'!C:C&lt;=$L$4),ROW(),"-")</f>
        <v>-</v>
      </c>
    </row>
    <row r="15928" customHeight="1" spans="2:2">
      <c r="B15928" s="62" t="str">
        <f>IF(AND('领用录入（明细）'!D:D=$F$4,'领用录入（明细）'!C:C&gt;=$J$4,'领用录入（明细）'!C:C&lt;=$L$4),ROW(),"-")</f>
        <v>-</v>
      </c>
    </row>
    <row r="15929" customHeight="1" spans="2:2">
      <c r="B15929" s="62" t="str">
        <f>IF(AND('领用录入（明细）'!D:D=$F$4,'领用录入（明细）'!C:C&gt;=$J$4,'领用录入（明细）'!C:C&lt;=$L$4),ROW(),"-")</f>
        <v>-</v>
      </c>
    </row>
    <row r="15930" customHeight="1" spans="2:2">
      <c r="B15930" s="62" t="str">
        <f>IF(AND('领用录入（明细）'!D:D=$F$4,'领用录入（明细）'!C:C&gt;=$J$4,'领用录入（明细）'!C:C&lt;=$L$4),ROW(),"-")</f>
        <v>-</v>
      </c>
    </row>
    <row r="15931" customHeight="1" spans="2:2">
      <c r="B15931" s="62" t="str">
        <f>IF(AND('领用录入（明细）'!D:D=$F$4,'领用录入（明细）'!C:C&gt;=$J$4,'领用录入（明细）'!C:C&lt;=$L$4),ROW(),"-")</f>
        <v>-</v>
      </c>
    </row>
    <row r="15932" customHeight="1" spans="2:2">
      <c r="B15932" s="62" t="str">
        <f>IF(AND('领用录入（明细）'!D:D=$F$4,'领用录入（明细）'!C:C&gt;=$J$4,'领用录入（明细）'!C:C&lt;=$L$4),ROW(),"-")</f>
        <v>-</v>
      </c>
    </row>
    <row r="15933" customHeight="1" spans="2:2">
      <c r="B15933" s="62" t="str">
        <f>IF(AND('领用录入（明细）'!D:D=$F$4,'领用录入（明细）'!C:C&gt;=$J$4,'领用录入（明细）'!C:C&lt;=$L$4),ROW(),"-")</f>
        <v>-</v>
      </c>
    </row>
    <row r="15934" customHeight="1" spans="2:2">
      <c r="B15934" s="62" t="str">
        <f>IF(AND('领用录入（明细）'!D:D=$F$4,'领用录入（明细）'!C:C&gt;=$J$4,'领用录入（明细）'!C:C&lt;=$L$4),ROW(),"-")</f>
        <v>-</v>
      </c>
    </row>
    <row r="15935" customHeight="1" spans="2:2">
      <c r="B15935" s="62" t="str">
        <f>IF(AND('领用录入（明细）'!D:D=$F$4,'领用录入（明细）'!C:C&gt;=$J$4,'领用录入（明细）'!C:C&lt;=$L$4),ROW(),"-")</f>
        <v>-</v>
      </c>
    </row>
    <row r="15936" customHeight="1" spans="2:2">
      <c r="B15936" s="62" t="str">
        <f>IF(AND('领用录入（明细）'!D:D=$F$4,'领用录入（明细）'!C:C&gt;=$J$4,'领用录入（明细）'!C:C&lt;=$L$4),ROW(),"-")</f>
        <v>-</v>
      </c>
    </row>
    <row r="15937" customHeight="1" spans="2:2">
      <c r="B15937" s="62" t="str">
        <f>IF(AND('领用录入（明细）'!D:D=$F$4,'领用录入（明细）'!C:C&gt;=$J$4,'领用录入（明细）'!C:C&lt;=$L$4),ROW(),"-")</f>
        <v>-</v>
      </c>
    </row>
    <row r="15938" customHeight="1" spans="2:2">
      <c r="B15938" s="62" t="str">
        <f>IF(AND('领用录入（明细）'!D:D=$F$4,'领用录入（明细）'!C:C&gt;=$J$4,'领用录入（明细）'!C:C&lt;=$L$4),ROW(),"-")</f>
        <v>-</v>
      </c>
    </row>
    <row r="15939" customHeight="1" spans="2:2">
      <c r="B15939" s="62" t="str">
        <f>IF(AND('领用录入（明细）'!D:D=$F$4,'领用录入（明细）'!C:C&gt;=$J$4,'领用录入（明细）'!C:C&lt;=$L$4),ROW(),"-")</f>
        <v>-</v>
      </c>
    </row>
    <row r="15940" customHeight="1" spans="2:2">
      <c r="B15940" s="62" t="str">
        <f>IF(AND('领用录入（明细）'!D:D=$F$4,'领用录入（明细）'!C:C&gt;=$J$4,'领用录入（明细）'!C:C&lt;=$L$4),ROW(),"-")</f>
        <v>-</v>
      </c>
    </row>
    <row r="15941" customHeight="1" spans="2:2">
      <c r="B15941" s="62" t="str">
        <f>IF(AND('领用录入（明细）'!D:D=$F$4,'领用录入（明细）'!C:C&gt;=$J$4,'领用录入（明细）'!C:C&lt;=$L$4),ROW(),"-")</f>
        <v>-</v>
      </c>
    </row>
    <row r="15942" customHeight="1" spans="2:2">
      <c r="B15942" s="62" t="str">
        <f>IF(AND('领用录入（明细）'!D:D=$F$4,'领用录入（明细）'!C:C&gt;=$J$4,'领用录入（明细）'!C:C&lt;=$L$4),ROW(),"-")</f>
        <v>-</v>
      </c>
    </row>
    <row r="15943" customHeight="1" spans="2:2">
      <c r="B15943" s="62" t="str">
        <f>IF(AND('领用录入（明细）'!D:D=$F$4,'领用录入（明细）'!C:C&gt;=$J$4,'领用录入（明细）'!C:C&lt;=$L$4),ROW(),"-")</f>
        <v>-</v>
      </c>
    </row>
    <row r="15944" customHeight="1" spans="2:2">
      <c r="B15944" s="62" t="str">
        <f>IF(AND('领用录入（明细）'!D:D=$F$4,'领用录入（明细）'!C:C&gt;=$J$4,'领用录入（明细）'!C:C&lt;=$L$4),ROW(),"-")</f>
        <v>-</v>
      </c>
    </row>
    <row r="15945" customHeight="1" spans="2:2">
      <c r="B15945" s="62" t="str">
        <f>IF(AND('领用录入（明细）'!D:D=$F$4,'领用录入（明细）'!C:C&gt;=$J$4,'领用录入（明细）'!C:C&lt;=$L$4),ROW(),"-")</f>
        <v>-</v>
      </c>
    </row>
    <row r="15946" customHeight="1" spans="2:2">
      <c r="B15946" s="62" t="str">
        <f>IF(AND('领用录入（明细）'!D:D=$F$4,'领用录入（明细）'!C:C&gt;=$J$4,'领用录入（明细）'!C:C&lt;=$L$4),ROW(),"-")</f>
        <v>-</v>
      </c>
    </row>
    <row r="15947" customHeight="1" spans="2:2">
      <c r="B15947" s="62" t="str">
        <f>IF(AND('领用录入（明细）'!D:D=$F$4,'领用录入（明细）'!C:C&gt;=$J$4,'领用录入（明细）'!C:C&lt;=$L$4),ROW(),"-")</f>
        <v>-</v>
      </c>
    </row>
    <row r="15948" customHeight="1" spans="2:2">
      <c r="B15948" s="62" t="str">
        <f>IF(AND('领用录入（明细）'!D:D=$F$4,'领用录入（明细）'!C:C&gt;=$J$4,'领用录入（明细）'!C:C&lt;=$L$4),ROW(),"-")</f>
        <v>-</v>
      </c>
    </row>
    <row r="15949" customHeight="1" spans="2:2">
      <c r="B15949" s="62" t="str">
        <f>IF(AND('领用录入（明细）'!D:D=$F$4,'领用录入（明细）'!C:C&gt;=$J$4,'领用录入（明细）'!C:C&lt;=$L$4),ROW(),"-")</f>
        <v>-</v>
      </c>
    </row>
    <row r="15950" customHeight="1" spans="2:2">
      <c r="B15950" s="62" t="str">
        <f>IF(AND('领用录入（明细）'!D:D=$F$4,'领用录入（明细）'!C:C&gt;=$J$4,'领用录入（明细）'!C:C&lt;=$L$4),ROW(),"-")</f>
        <v>-</v>
      </c>
    </row>
    <row r="15951" customHeight="1" spans="2:2">
      <c r="B15951" s="62" t="str">
        <f>IF(AND('领用录入（明细）'!D:D=$F$4,'领用录入（明细）'!C:C&gt;=$J$4,'领用录入（明细）'!C:C&lt;=$L$4),ROW(),"-")</f>
        <v>-</v>
      </c>
    </row>
    <row r="15952" customHeight="1" spans="2:2">
      <c r="B15952" s="62" t="str">
        <f>IF(AND('领用录入（明细）'!D:D=$F$4,'领用录入（明细）'!C:C&gt;=$J$4,'领用录入（明细）'!C:C&lt;=$L$4),ROW(),"-")</f>
        <v>-</v>
      </c>
    </row>
    <row r="15953" customHeight="1" spans="2:2">
      <c r="B15953" s="62" t="str">
        <f>IF(AND('领用录入（明细）'!D:D=$F$4,'领用录入（明细）'!C:C&gt;=$J$4,'领用录入（明细）'!C:C&lt;=$L$4),ROW(),"-")</f>
        <v>-</v>
      </c>
    </row>
    <row r="15954" customHeight="1" spans="2:2">
      <c r="B15954" s="62" t="str">
        <f>IF(AND('领用录入（明细）'!D:D=$F$4,'领用录入（明细）'!C:C&gt;=$J$4,'领用录入（明细）'!C:C&lt;=$L$4),ROW(),"-")</f>
        <v>-</v>
      </c>
    </row>
    <row r="15955" customHeight="1" spans="2:2">
      <c r="B15955" s="62" t="str">
        <f>IF(AND('领用录入（明细）'!D:D=$F$4,'领用录入（明细）'!C:C&gt;=$J$4,'领用录入（明细）'!C:C&lt;=$L$4),ROW(),"-")</f>
        <v>-</v>
      </c>
    </row>
    <row r="15956" customHeight="1" spans="2:2">
      <c r="B15956" s="62" t="str">
        <f>IF(AND('领用录入（明细）'!D:D=$F$4,'领用录入（明细）'!C:C&gt;=$J$4,'领用录入（明细）'!C:C&lt;=$L$4),ROW(),"-")</f>
        <v>-</v>
      </c>
    </row>
    <row r="15957" customHeight="1" spans="2:2">
      <c r="B15957" s="62" t="str">
        <f>IF(AND('领用录入（明细）'!D:D=$F$4,'领用录入（明细）'!C:C&gt;=$J$4,'领用录入（明细）'!C:C&lt;=$L$4),ROW(),"-")</f>
        <v>-</v>
      </c>
    </row>
    <row r="15958" customHeight="1" spans="2:2">
      <c r="B15958" s="62" t="str">
        <f>IF(AND('领用录入（明细）'!D:D=$F$4,'领用录入（明细）'!C:C&gt;=$J$4,'领用录入（明细）'!C:C&lt;=$L$4),ROW(),"-")</f>
        <v>-</v>
      </c>
    </row>
    <row r="15959" customHeight="1" spans="2:2">
      <c r="B15959" s="62" t="str">
        <f>IF(AND('领用录入（明细）'!D:D=$F$4,'领用录入（明细）'!C:C&gt;=$J$4,'领用录入（明细）'!C:C&lt;=$L$4),ROW(),"-")</f>
        <v>-</v>
      </c>
    </row>
    <row r="15960" customHeight="1" spans="2:2">
      <c r="B15960" s="62" t="str">
        <f>IF(AND('领用录入（明细）'!D:D=$F$4,'领用录入（明细）'!C:C&gt;=$J$4,'领用录入（明细）'!C:C&lt;=$L$4),ROW(),"-")</f>
        <v>-</v>
      </c>
    </row>
    <row r="15961" customHeight="1" spans="2:2">
      <c r="B15961" s="62" t="str">
        <f>IF(AND('领用录入（明细）'!D:D=$F$4,'领用录入（明细）'!C:C&gt;=$J$4,'领用录入（明细）'!C:C&lt;=$L$4),ROW(),"-")</f>
        <v>-</v>
      </c>
    </row>
    <row r="15962" customHeight="1" spans="2:2">
      <c r="B15962" s="62" t="str">
        <f>IF(AND('领用录入（明细）'!D:D=$F$4,'领用录入（明细）'!C:C&gt;=$J$4,'领用录入（明细）'!C:C&lt;=$L$4),ROW(),"-")</f>
        <v>-</v>
      </c>
    </row>
    <row r="15963" customHeight="1" spans="2:2">
      <c r="B15963" s="62" t="str">
        <f>IF(AND('领用录入（明细）'!D:D=$F$4,'领用录入（明细）'!C:C&gt;=$J$4,'领用录入（明细）'!C:C&lt;=$L$4),ROW(),"-")</f>
        <v>-</v>
      </c>
    </row>
    <row r="15964" customHeight="1" spans="2:2">
      <c r="B15964" s="62" t="str">
        <f>IF(AND('领用录入（明细）'!D:D=$F$4,'领用录入（明细）'!C:C&gt;=$J$4,'领用录入（明细）'!C:C&lt;=$L$4),ROW(),"-")</f>
        <v>-</v>
      </c>
    </row>
    <row r="15965" customHeight="1" spans="2:2">
      <c r="B15965" s="62" t="str">
        <f>IF(AND('领用录入（明细）'!D:D=$F$4,'领用录入（明细）'!C:C&gt;=$J$4,'领用录入（明细）'!C:C&lt;=$L$4),ROW(),"-")</f>
        <v>-</v>
      </c>
    </row>
    <row r="15966" customHeight="1" spans="2:2">
      <c r="B15966" s="62" t="str">
        <f>IF(AND('领用录入（明细）'!D:D=$F$4,'领用录入（明细）'!C:C&gt;=$J$4,'领用录入（明细）'!C:C&lt;=$L$4),ROW(),"-")</f>
        <v>-</v>
      </c>
    </row>
    <row r="15967" customHeight="1" spans="2:2">
      <c r="B15967" s="62" t="str">
        <f>IF(AND('领用录入（明细）'!D:D=$F$4,'领用录入（明细）'!C:C&gt;=$J$4,'领用录入（明细）'!C:C&lt;=$L$4),ROW(),"-")</f>
        <v>-</v>
      </c>
    </row>
    <row r="15968" customHeight="1" spans="2:2">
      <c r="B15968" s="62" t="str">
        <f>IF(AND('领用录入（明细）'!D:D=$F$4,'领用录入（明细）'!C:C&gt;=$J$4,'领用录入（明细）'!C:C&lt;=$L$4),ROW(),"-")</f>
        <v>-</v>
      </c>
    </row>
    <row r="15969" customHeight="1" spans="2:2">
      <c r="B15969" s="62" t="str">
        <f>IF(AND('领用录入（明细）'!D:D=$F$4,'领用录入（明细）'!C:C&gt;=$J$4,'领用录入（明细）'!C:C&lt;=$L$4),ROW(),"-")</f>
        <v>-</v>
      </c>
    </row>
    <row r="15970" customHeight="1" spans="2:2">
      <c r="B15970" s="62" t="str">
        <f>IF(AND('领用录入（明细）'!D:D=$F$4,'领用录入（明细）'!C:C&gt;=$J$4,'领用录入（明细）'!C:C&lt;=$L$4),ROW(),"-")</f>
        <v>-</v>
      </c>
    </row>
    <row r="15971" customHeight="1" spans="2:2">
      <c r="B15971" s="62" t="str">
        <f>IF(AND('领用录入（明细）'!D:D=$F$4,'领用录入（明细）'!C:C&gt;=$J$4,'领用录入（明细）'!C:C&lt;=$L$4),ROW(),"-")</f>
        <v>-</v>
      </c>
    </row>
    <row r="15972" customHeight="1" spans="2:2">
      <c r="B15972" s="62" t="str">
        <f>IF(AND('领用录入（明细）'!D:D=$F$4,'领用录入（明细）'!C:C&gt;=$J$4,'领用录入（明细）'!C:C&lt;=$L$4),ROW(),"-")</f>
        <v>-</v>
      </c>
    </row>
    <row r="15973" customHeight="1" spans="2:2">
      <c r="B15973" s="62" t="str">
        <f>IF(AND('领用录入（明细）'!D:D=$F$4,'领用录入（明细）'!C:C&gt;=$J$4,'领用录入（明细）'!C:C&lt;=$L$4),ROW(),"-")</f>
        <v>-</v>
      </c>
    </row>
    <row r="15974" customHeight="1" spans="2:2">
      <c r="B15974" s="62" t="str">
        <f>IF(AND('领用录入（明细）'!D:D=$F$4,'领用录入（明细）'!C:C&gt;=$J$4,'领用录入（明细）'!C:C&lt;=$L$4),ROW(),"-")</f>
        <v>-</v>
      </c>
    </row>
    <row r="15975" customHeight="1" spans="2:2">
      <c r="B15975" s="62" t="str">
        <f>IF(AND('领用录入（明细）'!D:D=$F$4,'领用录入（明细）'!C:C&gt;=$J$4,'领用录入（明细）'!C:C&lt;=$L$4),ROW(),"-")</f>
        <v>-</v>
      </c>
    </row>
    <row r="15976" customHeight="1" spans="2:2">
      <c r="B15976" s="62" t="str">
        <f>IF(AND('领用录入（明细）'!D:D=$F$4,'领用录入（明细）'!C:C&gt;=$J$4,'领用录入（明细）'!C:C&lt;=$L$4),ROW(),"-")</f>
        <v>-</v>
      </c>
    </row>
    <row r="15977" customHeight="1" spans="2:2">
      <c r="B15977" s="62" t="str">
        <f>IF(AND('领用录入（明细）'!D:D=$F$4,'领用录入（明细）'!C:C&gt;=$J$4,'领用录入（明细）'!C:C&lt;=$L$4),ROW(),"-")</f>
        <v>-</v>
      </c>
    </row>
    <row r="15978" customHeight="1" spans="2:2">
      <c r="B15978" s="62" t="str">
        <f>IF(AND('领用录入（明细）'!D:D=$F$4,'领用录入（明细）'!C:C&gt;=$J$4,'领用录入（明细）'!C:C&lt;=$L$4),ROW(),"-")</f>
        <v>-</v>
      </c>
    </row>
    <row r="15979" customHeight="1" spans="2:2">
      <c r="B15979" s="62" t="str">
        <f>IF(AND('领用录入（明细）'!D:D=$F$4,'领用录入（明细）'!C:C&gt;=$J$4,'领用录入（明细）'!C:C&lt;=$L$4),ROW(),"-")</f>
        <v>-</v>
      </c>
    </row>
    <row r="15980" customHeight="1" spans="2:2">
      <c r="B15980" s="62" t="str">
        <f>IF(AND('领用录入（明细）'!D:D=$F$4,'领用录入（明细）'!C:C&gt;=$J$4,'领用录入（明细）'!C:C&lt;=$L$4),ROW(),"-")</f>
        <v>-</v>
      </c>
    </row>
    <row r="15981" customHeight="1" spans="2:2">
      <c r="B15981" s="62" t="str">
        <f>IF(AND('领用录入（明细）'!D:D=$F$4,'领用录入（明细）'!C:C&gt;=$J$4,'领用录入（明细）'!C:C&lt;=$L$4),ROW(),"-")</f>
        <v>-</v>
      </c>
    </row>
    <row r="15982" customHeight="1" spans="2:2">
      <c r="B15982" s="62" t="str">
        <f>IF(AND('领用录入（明细）'!D:D=$F$4,'领用录入（明细）'!C:C&gt;=$J$4,'领用录入（明细）'!C:C&lt;=$L$4),ROW(),"-")</f>
        <v>-</v>
      </c>
    </row>
    <row r="15983" customHeight="1" spans="2:2">
      <c r="B15983" s="62" t="str">
        <f>IF(AND('领用录入（明细）'!D:D=$F$4,'领用录入（明细）'!C:C&gt;=$J$4,'领用录入（明细）'!C:C&lt;=$L$4),ROW(),"-")</f>
        <v>-</v>
      </c>
    </row>
    <row r="15984" customHeight="1" spans="2:2">
      <c r="B15984" s="62" t="str">
        <f>IF(AND('领用录入（明细）'!D:D=$F$4,'领用录入（明细）'!C:C&gt;=$J$4,'领用录入（明细）'!C:C&lt;=$L$4),ROW(),"-")</f>
        <v>-</v>
      </c>
    </row>
    <row r="15985" customHeight="1" spans="2:2">
      <c r="B15985" s="62" t="str">
        <f>IF(AND('领用录入（明细）'!D:D=$F$4,'领用录入（明细）'!C:C&gt;=$J$4,'领用录入（明细）'!C:C&lt;=$L$4),ROW(),"-")</f>
        <v>-</v>
      </c>
    </row>
    <row r="15986" customHeight="1" spans="2:2">
      <c r="B15986" s="62" t="str">
        <f>IF(AND('领用录入（明细）'!D:D=$F$4,'领用录入（明细）'!C:C&gt;=$J$4,'领用录入（明细）'!C:C&lt;=$L$4),ROW(),"-")</f>
        <v>-</v>
      </c>
    </row>
    <row r="15987" customHeight="1" spans="2:2">
      <c r="B15987" s="62" t="str">
        <f>IF(AND('领用录入（明细）'!D:D=$F$4,'领用录入（明细）'!C:C&gt;=$J$4,'领用录入（明细）'!C:C&lt;=$L$4),ROW(),"-")</f>
        <v>-</v>
      </c>
    </row>
    <row r="15988" customHeight="1" spans="2:2">
      <c r="B15988" s="62" t="str">
        <f>IF(AND('领用录入（明细）'!D:D=$F$4,'领用录入（明细）'!C:C&gt;=$J$4,'领用录入（明细）'!C:C&lt;=$L$4),ROW(),"-")</f>
        <v>-</v>
      </c>
    </row>
    <row r="15989" customHeight="1" spans="2:2">
      <c r="B15989" s="62" t="str">
        <f>IF(AND('领用录入（明细）'!D:D=$F$4,'领用录入（明细）'!C:C&gt;=$J$4,'领用录入（明细）'!C:C&lt;=$L$4),ROW(),"-")</f>
        <v>-</v>
      </c>
    </row>
    <row r="15990" customHeight="1" spans="2:2">
      <c r="B15990" s="62" t="str">
        <f>IF(AND('领用录入（明细）'!D:D=$F$4,'领用录入（明细）'!C:C&gt;=$J$4,'领用录入（明细）'!C:C&lt;=$L$4),ROW(),"-")</f>
        <v>-</v>
      </c>
    </row>
    <row r="15991" customHeight="1" spans="2:2">
      <c r="B15991" s="62" t="str">
        <f>IF(AND('领用录入（明细）'!D:D=$F$4,'领用录入（明细）'!C:C&gt;=$J$4,'领用录入（明细）'!C:C&lt;=$L$4),ROW(),"-")</f>
        <v>-</v>
      </c>
    </row>
    <row r="15992" customHeight="1" spans="2:2">
      <c r="B15992" s="62" t="str">
        <f>IF(AND('领用录入（明细）'!D:D=$F$4,'领用录入（明细）'!C:C&gt;=$J$4,'领用录入（明细）'!C:C&lt;=$L$4),ROW(),"-")</f>
        <v>-</v>
      </c>
    </row>
    <row r="15993" customHeight="1" spans="2:2">
      <c r="B15993" s="62" t="str">
        <f>IF(AND('领用录入（明细）'!D:D=$F$4,'领用录入（明细）'!C:C&gt;=$J$4,'领用录入（明细）'!C:C&lt;=$L$4),ROW(),"-")</f>
        <v>-</v>
      </c>
    </row>
    <row r="15994" customHeight="1" spans="2:2">
      <c r="B15994" s="62" t="str">
        <f>IF(AND('领用录入（明细）'!D:D=$F$4,'领用录入（明细）'!C:C&gt;=$J$4,'领用录入（明细）'!C:C&lt;=$L$4),ROW(),"-")</f>
        <v>-</v>
      </c>
    </row>
    <row r="15995" customHeight="1" spans="2:2">
      <c r="B15995" s="62" t="str">
        <f>IF(AND('领用录入（明细）'!D:D=$F$4,'领用录入（明细）'!C:C&gt;=$J$4,'领用录入（明细）'!C:C&lt;=$L$4),ROW(),"-")</f>
        <v>-</v>
      </c>
    </row>
    <row r="15996" customHeight="1" spans="2:2">
      <c r="B15996" s="62" t="str">
        <f>IF(AND('领用录入（明细）'!D:D=$F$4,'领用录入（明细）'!C:C&gt;=$J$4,'领用录入（明细）'!C:C&lt;=$L$4),ROW(),"-")</f>
        <v>-</v>
      </c>
    </row>
    <row r="15997" customHeight="1" spans="2:2">
      <c r="B15997" s="62" t="str">
        <f>IF(AND('领用录入（明细）'!D:D=$F$4,'领用录入（明细）'!C:C&gt;=$J$4,'领用录入（明细）'!C:C&lt;=$L$4),ROW(),"-")</f>
        <v>-</v>
      </c>
    </row>
    <row r="15998" customHeight="1" spans="2:2">
      <c r="B15998" s="62" t="str">
        <f>IF(AND('领用录入（明细）'!D:D=$F$4,'领用录入（明细）'!C:C&gt;=$J$4,'领用录入（明细）'!C:C&lt;=$L$4),ROW(),"-")</f>
        <v>-</v>
      </c>
    </row>
    <row r="15999" customHeight="1" spans="2:2">
      <c r="B15999" s="62" t="str">
        <f>IF(AND('领用录入（明细）'!D:D=$F$4,'领用录入（明细）'!C:C&gt;=$J$4,'领用录入（明细）'!C:C&lt;=$L$4),ROW(),"-")</f>
        <v>-</v>
      </c>
    </row>
    <row r="16000" customHeight="1" spans="2:2">
      <c r="B16000" s="62" t="str">
        <f>IF(AND('领用录入（明细）'!D:D=$F$4,'领用录入（明细）'!C:C&gt;=$J$4,'领用录入（明细）'!C:C&lt;=$L$4),ROW(),"-")</f>
        <v>-</v>
      </c>
    </row>
    <row r="16001" customHeight="1" spans="2:2">
      <c r="B16001" s="62" t="str">
        <f>IF(AND('领用录入（明细）'!D:D=$F$4,'领用录入（明细）'!C:C&gt;=$J$4,'领用录入（明细）'!C:C&lt;=$L$4),ROW(),"-")</f>
        <v>-</v>
      </c>
    </row>
    <row r="16002" customHeight="1" spans="2:2">
      <c r="B16002" s="62" t="str">
        <f>IF(AND('领用录入（明细）'!D:D=$F$4,'领用录入（明细）'!C:C&gt;=$J$4,'领用录入（明细）'!C:C&lt;=$L$4),ROW(),"-")</f>
        <v>-</v>
      </c>
    </row>
    <row r="16003" customHeight="1" spans="2:2">
      <c r="B16003" s="62" t="str">
        <f>IF(AND('领用录入（明细）'!D:D=$F$4,'领用录入（明细）'!C:C&gt;=$J$4,'领用录入（明细）'!C:C&lt;=$L$4),ROW(),"-")</f>
        <v>-</v>
      </c>
    </row>
    <row r="16004" customHeight="1" spans="2:2">
      <c r="B16004" s="62" t="str">
        <f>IF(AND('领用录入（明细）'!D:D=$F$4,'领用录入（明细）'!C:C&gt;=$J$4,'领用录入（明细）'!C:C&lt;=$L$4),ROW(),"-")</f>
        <v>-</v>
      </c>
    </row>
    <row r="16005" customHeight="1" spans="2:2">
      <c r="B16005" s="62" t="str">
        <f>IF(AND('领用录入（明细）'!D:D=$F$4,'领用录入（明细）'!C:C&gt;=$J$4,'领用录入（明细）'!C:C&lt;=$L$4),ROW(),"-")</f>
        <v>-</v>
      </c>
    </row>
    <row r="16006" customHeight="1" spans="2:2">
      <c r="B16006" s="62" t="str">
        <f>IF(AND('领用录入（明细）'!D:D=$F$4,'领用录入（明细）'!C:C&gt;=$J$4,'领用录入（明细）'!C:C&lt;=$L$4),ROW(),"-")</f>
        <v>-</v>
      </c>
    </row>
    <row r="16007" customHeight="1" spans="2:2">
      <c r="B16007" s="62" t="str">
        <f>IF(AND('领用录入（明细）'!D:D=$F$4,'领用录入（明细）'!C:C&gt;=$J$4,'领用录入（明细）'!C:C&lt;=$L$4),ROW(),"-")</f>
        <v>-</v>
      </c>
    </row>
    <row r="16008" customHeight="1" spans="2:2">
      <c r="B16008" s="62" t="str">
        <f>IF(AND('领用录入（明细）'!D:D=$F$4,'领用录入（明细）'!C:C&gt;=$J$4,'领用录入（明细）'!C:C&lt;=$L$4),ROW(),"-")</f>
        <v>-</v>
      </c>
    </row>
    <row r="16009" customHeight="1" spans="2:2">
      <c r="B16009" s="62" t="str">
        <f>IF(AND('领用录入（明细）'!D:D=$F$4,'领用录入（明细）'!C:C&gt;=$J$4,'领用录入（明细）'!C:C&lt;=$L$4),ROW(),"-")</f>
        <v>-</v>
      </c>
    </row>
    <row r="16010" customHeight="1" spans="2:2">
      <c r="B16010" s="62" t="str">
        <f>IF(AND('领用录入（明细）'!D:D=$F$4,'领用录入（明细）'!C:C&gt;=$J$4,'领用录入（明细）'!C:C&lt;=$L$4),ROW(),"-")</f>
        <v>-</v>
      </c>
    </row>
    <row r="16011" customHeight="1" spans="2:2">
      <c r="B16011" s="62" t="str">
        <f>IF(AND('领用录入（明细）'!D:D=$F$4,'领用录入（明细）'!C:C&gt;=$J$4,'领用录入（明细）'!C:C&lt;=$L$4),ROW(),"-")</f>
        <v>-</v>
      </c>
    </row>
    <row r="16012" customHeight="1" spans="2:2">
      <c r="B16012" s="62" t="str">
        <f>IF(AND('领用录入（明细）'!D:D=$F$4,'领用录入（明细）'!C:C&gt;=$J$4,'领用录入（明细）'!C:C&lt;=$L$4),ROW(),"-")</f>
        <v>-</v>
      </c>
    </row>
    <row r="16013" customHeight="1" spans="2:2">
      <c r="B16013" s="62" t="str">
        <f>IF(AND('领用录入（明细）'!D:D=$F$4,'领用录入（明细）'!C:C&gt;=$J$4,'领用录入（明细）'!C:C&lt;=$L$4),ROW(),"-")</f>
        <v>-</v>
      </c>
    </row>
    <row r="16014" customHeight="1" spans="2:2">
      <c r="B16014" s="62" t="str">
        <f>IF(AND('领用录入（明细）'!D:D=$F$4,'领用录入（明细）'!C:C&gt;=$J$4,'领用录入（明细）'!C:C&lt;=$L$4),ROW(),"-")</f>
        <v>-</v>
      </c>
    </row>
    <row r="16015" customHeight="1" spans="2:2">
      <c r="B16015" s="62" t="str">
        <f>IF(AND('领用录入（明细）'!D:D=$F$4,'领用录入（明细）'!C:C&gt;=$J$4,'领用录入（明细）'!C:C&lt;=$L$4),ROW(),"-")</f>
        <v>-</v>
      </c>
    </row>
    <row r="16016" customHeight="1" spans="2:2">
      <c r="B16016" s="62" t="str">
        <f>IF(AND('领用录入（明细）'!D:D=$F$4,'领用录入（明细）'!C:C&gt;=$J$4,'领用录入（明细）'!C:C&lt;=$L$4),ROW(),"-")</f>
        <v>-</v>
      </c>
    </row>
    <row r="16017" customHeight="1" spans="2:2">
      <c r="B16017" s="62" t="str">
        <f>IF(AND('领用录入（明细）'!D:D=$F$4,'领用录入（明细）'!C:C&gt;=$J$4,'领用录入（明细）'!C:C&lt;=$L$4),ROW(),"-")</f>
        <v>-</v>
      </c>
    </row>
    <row r="16018" customHeight="1" spans="2:2">
      <c r="B16018" s="62" t="str">
        <f>IF(AND('领用录入（明细）'!D:D=$F$4,'领用录入（明细）'!C:C&gt;=$J$4,'领用录入（明细）'!C:C&lt;=$L$4),ROW(),"-")</f>
        <v>-</v>
      </c>
    </row>
    <row r="16019" customHeight="1" spans="2:2">
      <c r="B16019" s="62" t="str">
        <f>IF(AND('领用录入（明细）'!D:D=$F$4,'领用录入（明细）'!C:C&gt;=$J$4,'领用录入（明细）'!C:C&lt;=$L$4),ROW(),"-")</f>
        <v>-</v>
      </c>
    </row>
    <row r="16020" customHeight="1" spans="2:2">
      <c r="B16020" s="62" t="str">
        <f>IF(AND('领用录入（明细）'!D:D=$F$4,'领用录入（明细）'!C:C&gt;=$J$4,'领用录入（明细）'!C:C&lt;=$L$4),ROW(),"-")</f>
        <v>-</v>
      </c>
    </row>
    <row r="16021" customHeight="1" spans="2:2">
      <c r="B16021" s="62" t="str">
        <f>IF(AND('领用录入（明细）'!D:D=$F$4,'领用录入（明细）'!C:C&gt;=$J$4,'领用录入（明细）'!C:C&lt;=$L$4),ROW(),"-")</f>
        <v>-</v>
      </c>
    </row>
    <row r="16022" customHeight="1" spans="2:2">
      <c r="B16022" s="62" t="str">
        <f>IF(AND('领用录入（明细）'!D:D=$F$4,'领用录入（明细）'!C:C&gt;=$J$4,'领用录入（明细）'!C:C&lt;=$L$4),ROW(),"-")</f>
        <v>-</v>
      </c>
    </row>
    <row r="16023" customHeight="1" spans="2:2">
      <c r="B16023" s="62" t="str">
        <f>IF(AND('领用录入（明细）'!D:D=$F$4,'领用录入（明细）'!C:C&gt;=$J$4,'领用录入（明细）'!C:C&lt;=$L$4),ROW(),"-")</f>
        <v>-</v>
      </c>
    </row>
    <row r="16024" customHeight="1" spans="2:2">
      <c r="B16024" s="62" t="str">
        <f>IF(AND('领用录入（明细）'!D:D=$F$4,'领用录入（明细）'!C:C&gt;=$J$4,'领用录入（明细）'!C:C&lt;=$L$4),ROW(),"-")</f>
        <v>-</v>
      </c>
    </row>
    <row r="16025" customHeight="1" spans="2:2">
      <c r="B16025" s="62" t="str">
        <f>IF(AND('领用录入（明细）'!D:D=$F$4,'领用录入（明细）'!C:C&gt;=$J$4,'领用录入（明细）'!C:C&lt;=$L$4),ROW(),"-")</f>
        <v>-</v>
      </c>
    </row>
    <row r="16026" customHeight="1" spans="2:2">
      <c r="B16026" s="62" t="str">
        <f>IF(AND('领用录入（明细）'!D:D=$F$4,'领用录入（明细）'!C:C&gt;=$J$4,'领用录入（明细）'!C:C&lt;=$L$4),ROW(),"-")</f>
        <v>-</v>
      </c>
    </row>
    <row r="16027" customHeight="1" spans="2:2">
      <c r="B16027" s="62" t="str">
        <f>IF(AND('领用录入（明细）'!D:D=$F$4,'领用录入（明细）'!C:C&gt;=$J$4,'领用录入（明细）'!C:C&lt;=$L$4),ROW(),"-")</f>
        <v>-</v>
      </c>
    </row>
    <row r="16028" customHeight="1" spans="2:2">
      <c r="B16028" s="62" t="str">
        <f>IF(AND('领用录入（明细）'!D:D=$F$4,'领用录入（明细）'!C:C&gt;=$J$4,'领用录入（明细）'!C:C&lt;=$L$4),ROW(),"-")</f>
        <v>-</v>
      </c>
    </row>
    <row r="16029" customHeight="1" spans="2:2">
      <c r="B16029" s="62" t="str">
        <f>IF(AND('领用录入（明细）'!D:D=$F$4,'领用录入（明细）'!C:C&gt;=$J$4,'领用录入（明细）'!C:C&lt;=$L$4),ROW(),"-")</f>
        <v>-</v>
      </c>
    </row>
    <row r="16030" customHeight="1" spans="2:2">
      <c r="B16030" s="62" t="str">
        <f>IF(AND('领用录入（明细）'!D:D=$F$4,'领用录入（明细）'!C:C&gt;=$J$4,'领用录入（明细）'!C:C&lt;=$L$4),ROW(),"-")</f>
        <v>-</v>
      </c>
    </row>
    <row r="16031" customHeight="1" spans="2:2">
      <c r="B16031" s="62" t="str">
        <f>IF(AND('领用录入（明细）'!D:D=$F$4,'领用录入（明细）'!C:C&gt;=$J$4,'领用录入（明细）'!C:C&lt;=$L$4),ROW(),"-")</f>
        <v>-</v>
      </c>
    </row>
    <row r="16032" customHeight="1" spans="2:2">
      <c r="B16032" s="62" t="str">
        <f>IF(AND('领用录入（明细）'!D:D=$F$4,'领用录入（明细）'!C:C&gt;=$J$4,'领用录入（明细）'!C:C&lt;=$L$4),ROW(),"-")</f>
        <v>-</v>
      </c>
    </row>
    <row r="16033" customHeight="1" spans="2:2">
      <c r="B16033" s="62" t="str">
        <f>IF(AND('领用录入（明细）'!D:D=$F$4,'领用录入（明细）'!C:C&gt;=$J$4,'领用录入（明细）'!C:C&lt;=$L$4),ROW(),"-")</f>
        <v>-</v>
      </c>
    </row>
    <row r="16034" customHeight="1" spans="2:2">
      <c r="B16034" s="62" t="str">
        <f>IF(AND('领用录入（明细）'!D:D=$F$4,'领用录入（明细）'!C:C&gt;=$J$4,'领用录入（明细）'!C:C&lt;=$L$4),ROW(),"-")</f>
        <v>-</v>
      </c>
    </row>
    <row r="16035" customHeight="1" spans="2:2">
      <c r="B16035" s="62" t="str">
        <f>IF(AND('领用录入（明细）'!D:D=$F$4,'领用录入（明细）'!C:C&gt;=$J$4,'领用录入（明细）'!C:C&lt;=$L$4),ROW(),"-")</f>
        <v>-</v>
      </c>
    </row>
    <row r="16036" customHeight="1" spans="2:2">
      <c r="B16036" s="62" t="str">
        <f>IF(AND('领用录入（明细）'!D:D=$F$4,'领用录入（明细）'!C:C&gt;=$J$4,'领用录入（明细）'!C:C&lt;=$L$4),ROW(),"-")</f>
        <v>-</v>
      </c>
    </row>
    <row r="16037" customHeight="1" spans="2:2">
      <c r="B16037" s="62" t="str">
        <f>IF(AND('领用录入（明细）'!D:D=$F$4,'领用录入（明细）'!C:C&gt;=$J$4,'领用录入（明细）'!C:C&lt;=$L$4),ROW(),"-")</f>
        <v>-</v>
      </c>
    </row>
    <row r="16038" customHeight="1" spans="2:2">
      <c r="B16038" s="62" t="str">
        <f>IF(AND('领用录入（明细）'!D:D=$F$4,'领用录入（明细）'!C:C&gt;=$J$4,'领用录入（明细）'!C:C&lt;=$L$4),ROW(),"-")</f>
        <v>-</v>
      </c>
    </row>
    <row r="16039" customHeight="1" spans="2:2">
      <c r="B16039" s="62" t="str">
        <f>IF(AND('领用录入（明细）'!D:D=$F$4,'领用录入（明细）'!C:C&gt;=$J$4,'领用录入（明细）'!C:C&lt;=$L$4),ROW(),"-")</f>
        <v>-</v>
      </c>
    </row>
    <row r="16040" customHeight="1" spans="2:2">
      <c r="B16040" s="62" t="str">
        <f>IF(AND('领用录入（明细）'!D:D=$F$4,'领用录入（明细）'!C:C&gt;=$J$4,'领用录入（明细）'!C:C&lt;=$L$4),ROW(),"-")</f>
        <v>-</v>
      </c>
    </row>
    <row r="16041" customHeight="1" spans="2:2">
      <c r="B16041" s="62" t="str">
        <f>IF(AND('领用录入（明细）'!D:D=$F$4,'领用录入（明细）'!C:C&gt;=$J$4,'领用录入（明细）'!C:C&lt;=$L$4),ROW(),"-")</f>
        <v>-</v>
      </c>
    </row>
    <row r="16042" customHeight="1" spans="2:2">
      <c r="B16042" s="62" t="str">
        <f>IF(AND('领用录入（明细）'!D:D=$F$4,'领用录入（明细）'!C:C&gt;=$J$4,'领用录入（明细）'!C:C&lt;=$L$4),ROW(),"-")</f>
        <v>-</v>
      </c>
    </row>
    <row r="16043" customHeight="1" spans="2:2">
      <c r="B16043" s="62" t="str">
        <f>IF(AND('领用录入（明细）'!D:D=$F$4,'领用录入（明细）'!C:C&gt;=$J$4,'领用录入（明细）'!C:C&lt;=$L$4),ROW(),"-")</f>
        <v>-</v>
      </c>
    </row>
    <row r="16044" customHeight="1" spans="2:2">
      <c r="B16044" s="62" t="str">
        <f>IF(AND('领用录入（明细）'!D:D=$F$4,'领用录入（明细）'!C:C&gt;=$J$4,'领用录入（明细）'!C:C&lt;=$L$4),ROW(),"-")</f>
        <v>-</v>
      </c>
    </row>
    <row r="16045" customHeight="1" spans="2:2">
      <c r="B16045" s="62" t="str">
        <f>IF(AND('领用录入（明细）'!D:D=$F$4,'领用录入（明细）'!C:C&gt;=$J$4,'领用录入（明细）'!C:C&lt;=$L$4),ROW(),"-")</f>
        <v>-</v>
      </c>
    </row>
    <row r="16046" customHeight="1" spans="2:2">
      <c r="B16046" s="62" t="str">
        <f>IF(AND('领用录入（明细）'!D:D=$F$4,'领用录入（明细）'!C:C&gt;=$J$4,'领用录入（明细）'!C:C&lt;=$L$4),ROW(),"-")</f>
        <v>-</v>
      </c>
    </row>
    <row r="16047" customHeight="1" spans="2:2">
      <c r="B16047" s="62" t="str">
        <f>IF(AND('领用录入（明细）'!D:D=$F$4,'领用录入（明细）'!C:C&gt;=$J$4,'领用录入（明细）'!C:C&lt;=$L$4),ROW(),"-")</f>
        <v>-</v>
      </c>
    </row>
    <row r="16048" customHeight="1" spans="2:2">
      <c r="B16048" s="62" t="str">
        <f>IF(AND('领用录入（明细）'!D:D=$F$4,'领用录入（明细）'!C:C&gt;=$J$4,'领用录入（明细）'!C:C&lt;=$L$4),ROW(),"-")</f>
        <v>-</v>
      </c>
    </row>
    <row r="16049" customHeight="1" spans="2:2">
      <c r="B16049" s="62" t="str">
        <f>IF(AND('领用录入（明细）'!D:D=$F$4,'领用录入（明细）'!C:C&gt;=$J$4,'领用录入（明细）'!C:C&lt;=$L$4),ROW(),"-")</f>
        <v>-</v>
      </c>
    </row>
    <row r="16050" customHeight="1" spans="2:2">
      <c r="B16050" s="62" t="str">
        <f>IF(AND('领用录入（明细）'!D:D=$F$4,'领用录入（明细）'!C:C&gt;=$J$4,'领用录入（明细）'!C:C&lt;=$L$4),ROW(),"-")</f>
        <v>-</v>
      </c>
    </row>
    <row r="16051" customHeight="1" spans="2:2">
      <c r="B16051" s="62" t="str">
        <f>IF(AND('领用录入（明细）'!D:D=$F$4,'领用录入（明细）'!C:C&gt;=$J$4,'领用录入（明细）'!C:C&lt;=$L$4),ROW(),"-")</f>
        <v>-</v>
      </c>
    </row>
    <row r="16052" customHeight="1" spans="2:2">
      <c r="B16052" s="62" t="str">
        <f>IF(AND('领用录入（明细）'!D:D=$F$4,'领用录入（明细）'!C:C&gt;=$J$4,'领用录入（明细）'!C:C&lt;=$L$4),ROW(),"-")</f>
        <v>-</v>
      </c>
    </row>
    <row r="16053" customHeight="1" spans="2:2">
      <c r="B16053" s="62" t="str">
        <f>IF(AND('领用录入（明细）'!D:D=$F$4,'领用录入（明细）'!C:C&gt;=$J$4,'领用录入（明细）'!C:C&lt;=$L$4),ROW(),"-")</f>
        <v>-</v>
      </c>
    </row>
    <row r="16054" customHeight="1" spans="2:2">
      <c r="B16054" s="62" t="str">
        <f>IF(AND('领用录入（明细）'!D:D=$F$4,'领用录入（明细）'!C:C&gt;=$J$4,'领用录入（明细）'!C:C&lt;=$L$4),ROW(),"-")</f>
        <v>-</v>
      </c>
    </row>
    <row r="16055" customHeight="1" spans="2:2">
      <c r="B16055" s="62" t="str">
        <f>IF(AND('领用录入（明细）'!D:D=$F$4,'领用录入（明细）'!C:C&gt;=$J$4,'领用录入（明细）'!C:C&lt;=$L$4),ROW(),"-")</f>
        <v>-</v>
      </c>
    </row>
    <row r="16056" customHeight="1" spans="2:2">
      <c r="B16056" s="62" t="str">
        <f>IF(AND('领用录入（明细）'!D:D=$F$4,'领用录入（明细）'!C:C&gt;=$J$4,'领用录入（明细）'!C:C&lt;=$L$4),ROW(),"-")</f>
        <v>-</v>
      </c>
    </row>
    <row r="16057" customHeight="1" spans="2:2">
      <c r="B16057" s="62" t="str">
        <f>IF(AND('领用录入（明细）'!D:D=$F$4,'领用录入（明细）'!C:C&gt;=$J$4,'领用录入（明细）'!C:C&lt;=$L$4),ROW(),"-")</f>
        <v>-</v>
      </c>
    </row>
    <row r="16058" customHeight="1" spans="2:2">
      <c r="B16058" s="62" t="str">
        <f>IF(AND('领用录入（明细）'!D:D=$F$4,'领用录入（明细）'!C:C&gt;=$J$4,'领用录入（明细）'!C:C&lt;=$L$4),ROW(),"-")</f>
        <v>-</v>
      </c>
    </row>
    <row r="16059" customHeight="1" spans="2:2">
      <c r="B16059" s="62" t="str">
        <f>IF(AND('领用录入（明细）'!D:D=$F$4,'领用录入（明细）'!C:C&gt;=$J$4,'领用录入（明细）'!C:C&lt;=$L$4),ROW(),"-")</f>
        <v>-</v>
      </c>
    </row>
    <row r="16060" customHeight="1" spans="2:2">
      <c r="B16060" s="62" t="str">
        <f>IF(AND('领用录入（明细）'!D:D=$F$4,'领用录入（明细）'!C:C&gt;=$J$4,'领用录入（明细）'!C:C&lt;=$L$4),ROW(),"-")</f>
        <v>-</v>
      </c>
    </row>
    <row r="16061" customHeight="1" spans="2:2">
      <c r="B16061" s="62" t="str">
        <f>IF(AND('领用录入（明细）'!D:D=$F$4,'领用录入（明细）'!C:C&gt;=$J$4,'领用录入（明细）'!C:C&lt;=$L$4),ROW(),"-")</f>
        <v>-</v>
      </c>
    </row>
    <row r="16062" customHeight="1" spans="2:2">
      <c r="B16062" s="62" t="str">
        <f>IF(AND('领用录入（明细）'!D:D=$F$4,'领用录入（明细）'!C:C&gt;=$J$4,'领用录入（明细）'!C:C&lt;=$L$4),ROW(),"-")</f>
        <v>-</v>
      </c>
    </row>
    <row r="16063" customHeight="1" spans="2:2">
      <c r="B16063" s="62" t="str">
        <f>IF(AND('领用录入（明细）'!D:D=$F$4,'领用录入（明细）'!C:C&gt;=$J$4,'领用录入（明细）'!C:C&lt;=$L$4),ROW(),"-")</f>
        <v>-</v>
      </c>
    </row>
    <row r="16064" customHeight="1" spans="2:2">
      <c r="B16064" s="62" t="str">
        <f>IF(AND('领用录入（明细）'!D:D=$F$4,'领用录入（明细）'!C:C&gt;=$J$4,'领用录入（明细）'!C:C&lt;=$L$4),ROW(),"-")</f>
        <v>-</v>
      </c>
    </row>
    <row r="16065" customHeight="1" spans="2:2">
      <c r="B16065" s="62" t="str">
        <f>IF(AND('领用录入（明细）'!D:D=$F$4,'领用录入（明细）'!C:C&gt;=$J$4,'领用录入（明细）'!C:C&lt;=$L$4),ROW(),"-")</f>
        <v>-</v>
      </c>
    </row>
    <row r="16066" customHeight="1" spans="2:2">
      <c r="B16066" s="62" t="str">
        <f>IF(AND('领用录入（明细）'!D:D=$F$4,'领用录入（明细）'!C:C&gt;=$J$4,'领用录入（明细）'!C:C&lt;=$L$4),ROW(),"-")</f>
        <v>-</v>
      </c>
    </row>
    <row r="16067" customHeight="1" spans="2:2">
      <c r="B16067" s="62" t="str">
        <f>IF(AND('领用录入（明细）'!D:D=$F$4,'领用录入（明细）'!C:C&gt;=$J$4,'领用录入（明细）'!C:C&lt;=$L$4),ROW(),"-")</f>
        <v>-</v>
      </c>
    </row>
    <row r="16068" customHeight="1" spans="2:2">
      <c r="B16068" s="62" t="str">
        <f>IF(AND('领用录入（明细）'!D:D=$F$4,'领用录入（明细）'!C:C&gt;=$J$4,'领用录入（明细）'!C:C&lt;=$L$4),ROW(),"-")</f>
        <v>-</v>
      </c>
    </row>
    <row r="16069" customHeight="1" spans="2:2">
      <c r="B16069" s="62" t="str">
        <f>IF(AND('领用录入（明细）'!D:D=$F$4,'领用录入（明细）'!C:C&gt;=$J$4,'领用录入（明细）'!C:C&lt;=$L$4),ROW(),"-")</f>
        <v>-</v>
      </c>
    </row>
    <row r="16070" customHeight="1" spans="2:2">
      <c r="B16070" s="62" t="str">
        <f>IF(AND('领用录入（明细）'!D:D=$F$4,'领用录入（明细）'!C:C&gt;=$J$4,'领用录入（明细）'!C:C&lt;=$L$4),ROW(),"-")</f>
        <v>-</v>
      </c>
    </row>
    <row r="16071" customHeight="1" spans="2:2">
      <c r="B16071" s="62" t="str">
        <f>IF(AND('领用录入（明细）'!D:D=$F$4,'领用录入（明细）'!C:C&gt;=$J$4,'领用录入（明细）'!C:C&lt;=$L$4),ROW(),"-")</f>
        <v>-</v>
      </c>
    </row>
    <row r="16072" customHeight="1" spans="2:2">
      <c r="B16072" s="62" t="str">
        <f>IF(AND('领用录入（明细）'!D:D=$F$4,'领用录入（明细）'!C:C&gt;=$J$4,'领用录入（明细）'!C:C&lt;=$L$4),ROW(),"-")</f>
        <v>-</v>
      </c>
    </row>
    <row r="16073" customHeight="1" spans="2:2">
      <c r="B16073" s="62" t="str">
        <f>IF(AND('领用录入（明细）'!D:D=$F$4,'领用录入（明细）'!C:C&gt;=$J$4,'领用录入（明细）'!C:C&lt;=$L$4),ROW(),"-")</f>
        <v>-</v>
      </c>
    </row>
    <row r="16074" customHeight="1" spans="2:2">
      <c r="B16074" s="62" t="str">
        <f>IF(AND('领用录入（明细）'!D:D=$F$4,'领用录入（明细）'!C:C&gt;=$J$4,'领用录入（明细）'!C:C&lt;=$L$4),ROW(),"-")</f>
        <v>-</v>
      </c>
    </row>
    <row r="16075" customHeight="1" spans="2:2">
      <c r="B16075" s="62" t="str">
        <f>IF(AND('领用录入（明细）'!D:D=$F$4,'领用录入（明细）'!C:C&gt;=$J$4,'领用录入（明细）'!C:C&lt;=$L$4),ROW(),"-")</f>
        <v>-</v>
      </c>
    </row>
    <row r="16076" customHeight="1" spans="2:2">
      <c r="B16076" s="62" t="str">
        <f>IF(AND('领用录入（明细）'!D:D=$F$4,'领用录入（明细）'!C:C&gt;=$J$4,'领用录入（明细）'!C:C&lt;=$L$4),ROW(),"-")</f>
        <v>-</v>
      </c>
    </row>
    <row r="16077" customHeight="1" spans="2:2">
      <c r="B16077" s="62" t="str">
        <f>IF(AND('领用录入（明细）'!D:D=$F$4,'领用录入（明细）'!C:C&gt;=$J$4,'领用录入（明细）'!C:C&lt;=$L$4),ROW(),"-")</f>
        <v>-</v>
      </c>
    </row>
    <row r="16078" customHeight="1" spans="2:2">
      <c r="B16078" s="62" t="str">
        <f>IF(AND('领用录入（明细）'!D:D=$F$4,'领用录入（明细）'!C:C&gt;=$J$4,'领用录入（明细）'!C:C&lt;=$L$4),ROW(),"-")</f>
        <v>-</v>
      </c>
    </row>
    <row r="16079" customHeight="1" spans="2:2">
      <c r="B16079" s="62" t="str">
        <f>IF(AND('领用录入（明细）'!D:D=$F$4,'领用录入（明细）'!C:C&gt;=$J$4,'领用录入（明细）'!C:C&lt;=$L$4),ROW(),"-")</f>
        <v>-</v>
      </c>
    </row>
    <row r="16080" customHeight="1" spans="2:2">
      <c r="B16080" s="62" t="str">
        <f>IF(AND('领用录入（明细）'!D:D=$F$4,'领用录入（明细）'!C:C&gt;=$J$4,'领用录入（明细）'!C:C&lt;=$L$4),ROW(),"-")</f>
        <v>-</v>
      </c>
    </row>
    <row r="16081" customHeight="1" spans="2:2">
      <c r="B16081" s="62" t="str">
        <f>IF(AND('领用录入（明细）'!D:D=$F$4,'领用录入（明细）'!C:C&gt;=$J$4,'领用录入（明细）'!C:C&lt;=$L$4),ROW(),"-")</f>
        <v>-</v>
      </c>
    </row>
    <row r="16082" customHeight="1" spans="2:2">
      <c r="B16082" s="62" t="str">
        <f>IF(AND('领用录入（明细）'!D:D=$F$4,'领用录入（明细）'!C:C&gt;=$J$4,'领用录入（明细）'!C:C&lt;=$L$4),ROW(),"-")</f>
        <v>-</v>
      </c>
    </row>
    <row r="16083" customHeight="1" spans="2:2">
      <c r="B16083" s="62" t="str">
        <f>IF(AND('领用录入（明细）'!D:D=$F$4,'领用录入（明细）'!C:C&gt;=$J$4,'领用录入（明细）'!C:C&lt;=$L$4),ROW(),"-")</f>
        <v>-</v>
      </c>
    </row>
    <row r="16084" customHeight="1" spans="2:2">
      <c r="B16084" s="62" t="str">
        <f>IF(AND('领用录入（明细）'!D:D=$F$4,'领用录入（明细）'!C:C&gt;=$J$4,'领用录入（明细）'!C:C&lt;=$L$4),ROW(),"-")</f>
        <v>-</v>
      </c>
    </row>
    <row r="16085" customHeight="1" spans="2:2">
      <c r="B16085" s="62" t="str">
        <f>IF(AND('领用录入（明细）'!D:D=$F$4,'领用录入（明细）'!C:C&gt;=$J$4,'领用录入（明细）'!C:C&lt;=$L$4),ROW(),"-")</f>
        <v>-</v>
      </c>
    </row>
    <row r="16086" customHeight="1" spans="2:2">
      <c r="B16086" s="62" t="str">
        <f>IF(AND('领用录入（明细）'!D:D=$F$4,'领用录入（明细）'!C:C&gt;=$J$4,'领用录入（明细）'!C:C&lt;=$L$4),ROW(),"-")</f>
        <v>-</v>
      </c>
    </row>
    <row r="16087" customHeight="1" spans="2:2">
      <c r="B16087" s="62" t="str">
        <f>IF(AND('领用录入（明细）'!D:D=$F$4,'领用录入（明细）'!C:C&gt;=$J$4,'领用录入（明细）'!C:C&lt;=$L$4),ROW(),"-")</f>
        <v>-</v>
      </c>
    </row>
    <row r="16088" customHeight="1" spans="2:2">
      <c r="B16088" s="62" t="str">
        <f>IF(AND('领用录入（明细）'!D:D=$F$4,'领用录入（明细）'!C:C&gt;=$J$4,'领用录入（明细）'!C:C&lt;=$L$4),ROW(),"-")</f>
        <v>-</v>
      </c>
    </row>
    <row r="16089" customHeight="1" spans="2:2">
      <c r="B16089" s="62" t="str">
        <f>IF(AND('领用录入（明细）'!D:D=$F$4,'领用录入（明细）'!C:C&gt;=$J$4,'领用录入（明细）'!C:C&lt;=$L$4),ROW(),"-")</f>
        <v>-</v>
      </c>
    </row>
    <row r="16090" customHeight="1" spans="2:2">
      <c r="B16090" s="62" t="str">
        <f>IF(AND('领用录入（明细）'!D:D=$F$4,'领用录入（明细）'!C:C&gt;=$J$4,'领用录入（明细）'!C:C&lt;=$L$4),ROW(),"-")</f>
        <v>-</v>
      </c>
    </row>
    <row r="16091" customHeight="1" spans="2:2">
      <c r="B16091" s="62" t="str">
        <f>IF(AND('领用录入（明细）'!D:D=$F$4,'领用录入（明细）'!C:C&gt;=$J$4,'领用录入（明细）'!C:C&lt;=$L$4),ROW(),"-")</f>
        <v>-</v>
      </c>
    </row>
    <row r="16092" customHeight="1" spans="2:2">
      <c r="B16092" s="62" t="str">
        <f>IF(AND('领用录入（明细）'!D:D=$F$4,'领用录入（明细）'!C:C&gt;=$J$4,'领用录入（明细）'!C:C&lt;=$L$4),ROW(),"-")</f>
        <v>-</v>
      </c>
    </row>
    <row r="16093" customHeight="1" spans="2:2">
      <c r="B16093" s="62" t="str">
        <f>IF(AND('领用录入（明细）'!D:D=$F$4,'领用录入（明细）'!C:C&gt;=$J$4,'领用录入（明细）'!C:C&lt;=$L$4),ROW(),"-")</f>
        <v>-</v>
      </c>
    </row>
    <row r="16094" customHeight="1" spans="2:2">
      <c r="B16094" s="62" t="str">
        <f>IF(AND('领用录入（明细）'!D:D=$F$4,'领用录入（明细）'!C:C&gt;=$J$4,'领用录入（明细）'!C:C&lt;=$L$4),ROW(),"-")</f>
        <v>-</v>
      </c>
    </row>
    <row r="16095" customHeight="1" spans="2:2">
      <c r="B16095" s="62" t="str">
        <f>IF(AND('领用录入（明细）'!D:D=$F$4,'领用录入（明细）'!C:C&gt;=$J$4,'领用录入（明细）'!C:C&lt;=$L$4),ROW(),"-")</f>
        <v>-</v>
      </c>
    </row>
    <row r="16096" customHeight="1" spans="2:2">
      <c r="B16096" s="62" t="str">
        <f>IF(AND('领用录入（明细）'!D:D=$F$4,'领用录入（明细）'!C:C&gt;=$J$4,'领用录入（明细）'!C:C&lt;=$L$4),ROW(),"-")</f>
        <v>-</v>
      </c>
    </row>
    <row r="16097" customHeight="1" spans="2:2">
      <c r="B16097" s="62" t="str">
        <f>IF(AND('领用录入（明细）'!D:D=$F$4,'领用录入（明细）'!C:C&gt;=$J$4,'领用录入（明细）'!C:C&lt;=$L$4),ROW(),"-")</f>
        <v>-</v>
      </c>
    </row>
    <row r="16098" customHeight="1" spans="2:2">
      <c r="B16098" s="62" t="str">
        <f>IF(AND('领用录入（明细）'!D:D=$F$4,'领用录入（明细）'!C:C&gt;=$J$4,'领用录入（明细）'!C:C&lt;=$L$4),ROW(),"-")</f>
        <v>-</v>
      </c>
    </row>
    <row r="16099" customHeight="1" spans="2:2">
      <c r="B16099" s="62" t="str">
        <f>IF(AND('领用录入（明细）'!D:D=$F$4,'领用录入（明细）'!C:C&gt;=$J$4,'领用录入（明细）'!C:C&lt;=$L$4),ROW(),"-")</f>
        <v>-</v>
      </c>
    </row>
    <row r="16100" customHeight="1" spans="2:2">
      <c r="B16100" s="62" t="str">
        <f>IF(AND('领用录入（明细）'!D:D=$F$4,'领用录入（明细）'!C:C&gt;=$J$4,'领用录入（明细）'!C:C&lt;=$L$4),ROW(),"-")</f>
        <v>-</v>
      </c>
    </row>
    <row r="16101" customHeight="1" spans="2:2">
      <c r="B16101" s="62" t="str">
        <f>IF(AND('领用录入（明细）'!D:D=$F$4,'领用录入（明细）'!C:C&gt;=$J$4,'领用录入（明细）'!C:C&lt;=$L$4),ROW(),"-")</f>
        <v>-</v>
      </c>
    </row>
    <row r="16102" customHeight="1" spans="2:2">
      <c r="B16102" s="62" t="str">
        <f>IF(AND('领用录入（明细）'!D:D=$F$4,'领用录入（明细）'!C:C&gt;=$J$4,'领用录入（明细）'!C:C&lt;=$L$4),ROW(),"-")</f>
        <v>-</v>
      </c>
    </row>
    <row r="16103" customHeight="1" spans="2:2">
      <c r="B16103" s="62" t="str">
        <f>IF(AND('领用录入（明细）'!D:D=$F$4,'领用录入（明细）'!C:C&gt;=$J$4,'领用录入（明细）'!C:C&lt;=$L$4),ROW(),"-")</f>
        <v>-</v>
      </c>
    </row>
    <row r="16104" customHeight="1" spans="2:2">
      <c r="B16104" s="62" t="str">
        <f>IF(AND('领用录入（明细）'!D:D=$F$4,'领用录入（明细）'!C:C&gt;=$J$4,'领用录入（明细）'!C:C&lt;=$L$4),ROW(),"-")</f>
        <v>-</v>
      </c>
    </row>
    <row r="16105" customHeight="1" spans="2:2">
      <c r="B16105" s="62" t="str">
        <f>IF(AND('领用录入（明细）'!D:D=$F$4,'领用录入（明细）'!C:C&gt;=$J$4,'领用录入（明细）'!C:C&lt;=$L$4),ROW(),"-")</f>
        <v>-</v>
      </c>
    </row>
    <row r="16106" customHeight="1" spans="2:2">
      <c r="B16106" s="62" t="str">
        <f>IF(AND('领用录入（明细）'!D:D=$F$4,'领用录入（明细）'!C:C&gt;=$J$4,'领用录入（明细）'!C:C&lt;=$L$4),ROW(),"-")</f>
        <v>-</v>
      </c>
    </row>
    <row r="16107" customHeight="1" spans="2:2">
      <c r="B16107" s="62" t="str">
        <f>IF(AND('领用录入（明细）'!D:D=$F$4,'领用录入（明细）'!C:C&gt;=$J$4,'领用录入（明细）'!C:C&lt;=$L$4),ROW(),"-")</f>
        <v>-</v>
      </c>
    </row>
    <row r="16108" customHeight="1" spans="2:2">
      <c r="B16108" s="62" t="str">
        <f>IF(AND('领用录入（明细）'!D:D=$F$4,'领用录入（明细）'!C:C&gt;=$J$4,'领用录入（明细）'!C:C&lt;=$L$4),ROW(),"-")</f>
        <v>-</v>
      </c>
    </row>
    <row r="16109" customHeight="1" spans="2:2">
      <c r="B16109" s="62" t="str">
        <f>IF(AND('领用录入（明细）'!D:D=$F$4,'领用录入（明细）'!C:C&gt;=$J$4,'领用录入（明细）'!C:C&lt;=$L$4),ROW(),"-")</f>
        <v>-</v>
      </c>
    </row>
    <row r="16110" customHeight="1" spans="2:2">
      <c r="B16110" s="62" t="str">
        <f>IF(AND('领用录入（明细）'!D:D=$F$4,'领用录入（明细）'!C:C&gt;=$J$4,'领用录入（明细）'!C:C&lt;=$L$4),ROW(),"-")</f>
        <v>-</v>
      </c>
    </row>
    <row r="16111" customHeight="1" spans="2:2">
      <c r="B16111" s="62" t="str">
        <f>IF(AND('领用录入（明细）'!D:D=$F$4,'领用录入（明细）'!C:C&gt;=$J$4,'领用录入（明细）'!C:C&lt;=$L$4),ROW(),"-")</f>
        <v>-</v>
      </c>
    </row>
    <row r="16112" customHeight="1" spans="2:2">
      <c r="B16112" s="62" t="str">
        <f>IF(AND('领用录入（明细）'!D:D=$F$4,'领用录入（明细）'!C:C&gt;=$J$4,'领用录入（明细）'!C:C&lt;=$L$4),ROW(),"-")</f>
        <v>-</v>
      </c>
    </row>
    <row r="16113" customHeight="1" spans="2:2">
      <c r="B16113" s="62" t="str">
        <f>IF(AND('领用录入（明细）'!D:D=$F$4,'领用录入（明细）'!C:C&gt;=$J$4,'领用录入（明细）'!C:C&lt;=$L$4),ROW(),"-")</f>
        <v>-</v>
      </c>
    </row>
    <row r="16114" customHeight="1" spans="2:2">
      <c r="B16114" s="62" t="str">
        <f>IF(AND('领用录入（明细）'!D:D=$F$4,'领用录入（明细）'!C:C&gt;=$J$4,'领用录入（明细）'!C:C&lt;=$L$4),ROW(),"-")</f>
        <v>-</v>
      </c>
    </row>
    <row r="16115" customHeight="1" spans="2:2">
      <c r="B16115" s="62" t="str">
        <f>IF(AND('领用录入（明细）'!D:D=$F$4,'领用录入（明细）'!C:C&gt;=$J$4,'领用录入（明细）'!C:C&lt;=$L$4),ROW(),"-")</f>
        <v>-</v>
      </c>
    </row>
    <row r="16116" customHeight="1" spans="2:2">
      <c r="B16116" s="62" t="str">
        <f>IF(AND('领用录入（明细）'!D:D=$F$4,'领用录入（明细）'!C:C&gt;=$J$4,'领用录入（明细）'!C:C&lt;=$L$4),ROW(),"-")</f>
        <v>-</v>
      </c>
    </row>
    <row r="16117" customHeight="1" spans="2:2">
      <c r="B16117" s="62" t="str">
        <f>IF(AND('领用录入（明细）'!D:D=$F$4,'领用录入（明细）'!C:C&gt;=$J$4,'领用录入（明细）'!C:C&lt;=$L$4),ROW(),"-")</f>
        <v>-</v>
      </c>
    </row>
    <row r="16118" customHeight="1" spans="2:2">
      <c r="B16118" s="62" t="str">
        <f>IF(AND('领用录入（明细）'!D:D=$F$4,'领用录入（明细）'!C:C&gt;=$J$4,'领用录入（明细）'!C:C&lt;=$L$4),ROW(),"-")</f>
        <v>-</v>
      </c>
    </row>
    <row r="16119" customHeight="1" spans="2:2">
      <c r="B16119" s="62" t="str">
        <f>IF(AND('领用录入（明细）'!D:D=$F$4,'领用录入（明细）'!C:C&gt;=$J$4,'领用录入（明细）'!C:C&lt;=$L$4),ROW(),"-")</f>
        <v>-</v>
      </c>
    </row>
    <row r="16120" customHeight="1" spans="2:2">
      <c r="B16120" s="62" t="str">
        <f>IF(AND('领用录入（明细）'!D:D=$F$4,'领用录入（明细）'!C:C&gt;=$J$4,'领用录入（明细）'!C:C&lt;=$L$4),ROW(),"-")</f>
        <v>-</v>
      </c>
    </row>
    <row r="16121" customHeight="1" spans="2:2">
      <c r="B16121" s="62" t="str">
        <f>IF(AND('领用录入（明细）'!D:D=$F$4,'领用录入（明细）'!C:C&gt;=$J$4,'领用录入（明细）'!C:C&lt;=$L$4),ROW(),"-")</f>
        <v>-</v>
      </c>
    </row>
    <row r="16122" customHeight="1" spans="2:2">
      <c r="B16122" s="62" t="str">
        <f>IF(AND('领用录入（明细）'!D:D=$F$4,'领用录入（明细）'!C:C&gt;=$J$4,'领用录入（明细）'!C:C&lt;=$L$4),ROW(),"-")</f>
        <v>-</v>
      </c>
    </row>
    <row r="16123" customHeight="1" spans="2:2">
      <c r="B16123" s="62" t="str">
        <f>IF(AND('领用录入（明细）'!D:D=$F$4,'领用录入（明细）'!C:C&gt;=$J$4,'领用录入（明细）'!C:C&lt;=$L$4),ROW(),"-")</f>
        <v>-</v>
      </c>
    </row>
    <row r="16124" customHeight="1" spans="2:2">
      <c r="B16124" s="62" t="str">
        <f>IF(AND('领用录入（明细）'!D:D=$F$4,'领用录入（明细）'!C:C&gt;=$J$4,'领用录入（明细）'!C:C&lt;=$L$4),ROW(),"-")</f>
        <v>-</v>
      </c>
    </row>
    <row r="16125" customHeight="1" spans="2:2">
      <c r="B16125" s="62" t="str">
        <f>IF(AND('领用录入（明细）'!D:D=$F$4,'领用录入（明细）'!C:C&gt;=$J$4,'领用录入（明细）'!C:C&lt;=$L$4),ROW(),"-")</f>
        <v>-</v>
      </c>
    </row>
    <row r="16126" customHeight="1" spans="2:2">
      <c r="B16126" s="62" t="str">
        <f>IF(AND('领用录入（明细）'!D:D=$F$4,'领用录入（明细）'!C:C&gt;=$J$4,'领用录入（明细）'!C:C&lt;=$L$4),ROW(),"-")</f>
        <v>-</v>
      </c>
    </row>
    <row r="16127" customHeight="1" spans="2:2">
      <c r="B16127" s="62" t="str">
        <f>IF(AND('领用录入（明细）'!D:D=$F$4,'领用录入（明细）'!C:C&gt;=$J$4,'领用录入（明细）'!C:C&lt;=$L$4),ROW(),"-")</f>
        <v>-</v>
      </c>
    </row>
    <row r="16128" customHeight="1" spans="2:2">
      <c r="B16128" s="62" t="str">
        <f>IF(AND('领用录入（明细）'!D:D=$F$4,'领用录入（明细）'!C:C&gt;=$J$4,'领用录入（明细）'!C:C&lt;=$L$4),ROW(),"-")</f>
        <v>-</v>
      </c>
    </row>
    <row r="16129" customHeight="1" spans="2:2">
      <c r="B16129" s="62" t="str">
        <f>IF(AND('领用录入（明细）'!D:D=$F$4,'领用录入（明细）'!C:C&gt;=$J$4,'领用录入（明细）'!C:C&lt;=$L$4),ROW(),"-")</f>
        <v>-</v>
      </c>
    </row>
    <row r="16130" customHeight="1" spans="2:2">
      <c r="B16130" s="62" t="str">
        <f>IF(AND('领用录入（明细）'!D:D=$F$4,'领用录入（明细）'!C:C&gt;=$J$4,'领用录入（明细）'!C:C&lt;=$L$4),ROW(),"-")</f>
        <v>-</v>
      </c>
    </row>
    <row r="16131" customHeight="1" spans="2:2">
      <c r="B16131" s="62" t="str">
        <f>IF(AND('领用录入（明细）'!D:D=$F$4,'领用录入（明细）'!C:C&gt;=$J$4,'领用录入（明细）'!C:C&lt;=$L$4),ROW(),"-")</f>
        <v>-</v>
      </c>
    </row>
    <row r="16132" customHeight="1" spans="2:2">
      <c r="B16132" s="62" t="str">
        <f>IF(AND('领用录入（明细）'!D:D=$F$4,'领用录入（明细）'!C:C&gt;=$J$4,'领用录入（明细）'!C:C&lt;=$L$4),ROW(),"-")</f>
        <v>-</v>
      </c>
    </row>
    <row r="16133" customHeight="1" spans="2:2">
      <c r="B16133" s="62" t="str">
        <f>IF(AND('领用录入（明细）'!D:D=$F$4,'领用录入（明细）'!C:C&gt;=$J$4,'领用录入（明细）'!C:C&lt;=$L$4),ROW(),"-")</f>
        <v>-</v>
      </c>
    </row>
    <row r="16134" customHeight="1" spans="2:2">
      <c r="B16134" s="62" t="str">
        <f>IF(AND('领用录入（明细）'!D:D=$F$4,'领用录入（明细）'!C:C&gt;=$J$4,'领用录入（明细）'!C:C&lt;=$L$4),ROW(),"-")</f>
        <v>-</v>
      </c>
    </row>
    <row r="16135" customHeight="1" spans="2:2">
      <c r="B16135" s="62" t="str">
        <f>IF(AND('领用录入（明细）'!D:D=$F$4,'领用录入（明细）'!C:C&gt;=$J$4,'领用录入（明细）'!C:C&lt;=$L$4),ROW(),"-")</f>
        <v>-</v>
      </c>
    </row>
    <row r="16136" customHeight="1" spans="2:2">
      <c r="B16136" s="62" t="str">
        <f>IF(AND('领用录入（明细）'!D:D=$F$4,'领用录入（明细）'!C:C&gt;=$J$4,'领用录入（明细）'!C:C&lt;=$L$4),ROW(),"-")</f>
        <v>-</v>
      </c>
    </row>
    <row r="16137" customHeight="1" spans="2:2">
      <c r="B16137" s="62" t="str">
        <f>IF(AND('领用录入（明细）'!D:D=$F$4,'领用录入（明细）'!C:C&gt;=$J$4,'领用录入（明细）'!C:C&lt;=$L$4),ROW(),"-")</f>
        <v>-</v>
      </c>
    </row>
    <row r="16138" customHeight="1" spans="2:2">
      <c r="B16138" s="62" t="str">
        <f>IF(AND('领用录入（明细）'!D:D=$F$4,'领用录入（明细）'!C:C&gt;=$J$4,'领用录入（明细）'!C:C&lt;=$L$4),ROW(),"-")</f>
        <v>-</v>
      </c>
    </row>
    <row r="16139" customHeight="1" spans="2:2">
      <c r="B16139" s="62" t="str">
        <f>IF(AND('领用录入（明细）'!D:D=$F$4,'领用录入（明细）'!C:C&gt;=$J$4,'领用录入（明细）'!C:C&lt;=$L$4),ROW(),"-")</f>
        <v>-</v>
      </c>
    </row>
    <row r="16140" customHeight="1" spans="2:2">
      <c r="B16140" s="62" t="str">
        <f>IF(AND('领用录入（明细）'!D:D=$F$4,'领用录入（明细）'!C:C&gt;=$J$4,'领用录入（明细）'!C:C&lt;=$L$4),ROW(),"-")</f>
        <v>-</v>
      </c>
    </row>
    <row r="16141" customHeight="1" spans="2:2">
      <c r="B16141" s="62" t="str">
        <f>IF(AND('领用录入（明细）'!D:D=$F$4,'领用录入（明细）'!C:C&gt;=$J$4,'领用录入（明细）'!C:C&lt;=$L$4),ROW(),"-")</f>
        <v>-</v>
      </c>
    </row>
    <row r="16142" customHeight="1" spans="2:2">
      <c r="B16142" s="62" t="str">
        <f>IF(AND('领用录入（明细）'!D:D=$F$4,'领用录入（明细）'!C:C&gt;=$J$4,'领用录入（明细）'!C:C&lt;=$L$4),ROW(),"-")</f>
        <v>-</v>
      </c>
    </row>
    <row r="16143" customHeight="1" spans="2:2">
      <c r="B16143" s="62" t="str">
        <f>IF(AND('领用录入（明细）'!D:D=$F$4,'领用录入（明细）'!C:C&gt;=$J$4,'领用录入（明细）'!C:C&lt;=$L$4),ROW(),"-")</f>
        <v>-</v>
      </c>
    </row>
    <row r="16144" customHeight="1" spans="2:2">
      <c r="B16144" s="62" t="str">
        <f>IF(AND('领用录入（明细）'!D:D=$F$4,'领用录入（明细）'!C:C&gt;=$J$4,'领用录入（明细）'!C:C&lt;=$L$4),ROW(),"-")</f>
        <v>-</v>
      </c>
    </row>
    <row r="16145" customHeight="1" spans="2:2">
      <c r="B16145" s="62" t="str">
        <f>IF(AND('领用录入（明细）'!D:D=$F$4,'领用录入（明细）'!C:C&gt;=$J$4,'领用录入（明细）'!C:C&lt;=$L$4),ROW(),"-")</f>
        <v>-</v>
      </c>
    </row>
    <row r="16146" customHeight="1" spans="2:2">
      <c r="B16146" s="62" t="str">
        <f>IF(AND('领用录入（明细）'!D:D=$F$4,'领用录入（明细）'!C:C&gt;=$J$4,'领用录入（明细）'!C:C&lt;=$L$4),ROW(),"-")</f>
        <v>-</v>
      </c>
    </row>
    <row r="16147" customHeight="1" spans="2:2">
      <c r="B16147" s="62" t="str">
        <f>IF(AND('领用录入（明细）'!D:D=$F$4,'领用录入（明细）'!C:C&gt;=$J$4,'领用录入（明细）'!C:C&lt;=$L$4),ROW(),"-")</f>
        <v>-</v>
      </c>
    </row>
    <row r="16148" customHeight="1" spans="2:2">
      <c r="B16148" s="62" t="str">
        <f>IF(AND('领用录入（明细）'!D:D=$F$4,'领用录入（明细）'!C:C&gt;=$J$4,'领用录入（明细）'!C:C&lt;=$L$4),ROW(),"-")</f>
        <v>-</v>
      </c>
    </row>
    <row r="16149" customHeight="1" spans="2:2">
      <c r="B16149" s="62" t="str">
        <f>IF(AND('领用录入（明细）'!D:D=$F$4,'领用录入（明细）'!C:C&gt;=$J$4,'领用录入（明细）'!C:C&lt;=$L$4),ROW(),"-")</f>
        <v>-</v>
      </c>
    </row>
    <row r="16150" customHeight="1" spans="2:2">
      <c r="B16150" s="62" t="str">
        <f>IF(AND('领用录入（明细）'!D:D=$F$4,'领用录入（明细）'!C:C&gt;=$J$4,'领用录入（明细）'!C:C&lt;=$L$4),ROW(),"-")</f>
        <v>-</v>
      </c>
    </row>
    <row r="16151" customHeight="1" spans="2:2">
      <c r="B16151" s="62" t="str">
        <f>IF(AND('领用录入（明细）'!D:D=$F$4,'领用录入（明细）'!C:C&gt;=$J$4,'领用录入（明细）'!C:C&lt;=$L$4),ROW(),"-")</f>
        <v>-</v>
      </c>
    </row>
    <row r="16152" customHeight="1" spans="2:2">
      <c r="B16152" s="62" t="str">
        <f>IF(AND('领用录入（明细）'!D:D=$F$4,'领用录入（明细）'!C:C&gt;=$J$4,'领用录入（明细）'!C:C&lt;=$L$4),ROW(),"-")</f>
        <v>-</v>
      </c>
    </row>
    <row r="16153" customHeight="1" spans="2:2">
      <c r="B16153" s="62" t="str">
        <f>IF(AND('领用录入（明细）'!D:D=$F$4,'领用录入（明细）'!C:C&gt;=$J$4,'领用录入（明细）'!C:C&lt;=$L$4),ROW(),"-")</f>
        <v>-</v>
      </c>
    </row>
    <row r="16154" customHeight="1" spans="2:2">
      <c r="B16154" s="62" t="str">
        <f>IF(AND('领用录入（明细）'!D:D=$F$4,'领用录入（明细）'!C:C&gt;=$J$4,'领用录入（明细）'!C:C&lt;=$L$4),ROW(),"-")</f>
        <v>-</v>
      </c>
    </row>
    <row r="16155" customHeight="1" spans="2:2">
      <c r="B16155" s="62" t="str">
        <f>IF(AND('领用录入（明细）'!D:D=$F$4,'领用录入（明细）'!C:C&gt;=$J$4,'领用录入（明细）'!C:C&lt;=$L$4),ROW(),"-")</f>
        <v>-</v>
      </c>
    </row>
    <row r="16156" customHeight="1" spans="2:2">
      <c r="B16156" s="62" t="str">
        <f>IF(AND('领用录入（明细）'!D:D=$F$4,'领用录入（明细）'!C:C&gt;=$J$4,'领用录入（明细）'!C:C&lt;=$L$4),ROW(),"-")</f>
        <v>-</v>
      </c>
    </row>
    <row r="16157" customHeight="1" spans="2:2">
      <c r="B16157" s="62" t="str">
        <f>IF(AND('领用录入（明细）'!D:D=$F$4,'领用录入（明细）'!C:C&gt;=$J$4,'领用录入（明细）'!C:C&lt;=$L$4),ROW(),"-")</f>
        <v>-</v>
      </c>
    </row>
    <row r="16158" customHeight="1" spans="2:2">
      <c r="B16158" s="62" t="str">
        <f>IF(AND('领用录入（明细）'!D:D=$F$4,'领用录入（明细）'!C:C&gt;=$J$4,'领用录入（明细）'!C:C&lt;=$L$4),ROW(),"-")</f>
        <v>-</v>
      </c>
    </row>
    <row r="16159" customHeight="1" spans="2:2">
      <c r="B16159" s="62" t="str">
        <f>IF(AND('领用录入（明细）'!D:D=$F$4,'领用录入（明细）'!C:C&gt;=$J$4,'领用录入（明细）'!C:C&lt;=$L$4),ROW(),"-")</f>
        <v>-</v>
      </c>
    </row>
    <row r="16160" customHeight="1" spans="2:2">
      <c r="B16160" s="62" t="str">
        <f>IF(AND('领用录入（明细）'!D:D=$F$4,'领用录入（明细）'!C:C&gt;=$J$4,'领用录入（明细）'!C:C&lt;=$L$4),ROW(),"-")</f>
        <v>-</v>
      </c>
    </row>
    <row r="16161" customHeight="1" spans="2:2">
      <c r="B16161" s="62" t="str">
        <f>IF(AND('领用录入（明细）'!D:D=$F$4,'领用录入（明细）'!C:C&gt;=$J$4,'领用录入（明细）'!C:C&lt;=$L$4),ROW(),"-")</f>
        <v>-</v>
      </c>
    </row>
    <row r="16162" customHeight="1" spans="2:2">
      <c r="B16162" s="62" t="str">
        <f>IF(AND('领用录入（明细）'!D:D=$F$4,'领用录入（明细）'!C:C&gt;=$J$4,'领用录入（明细）'!C:C&lt;=$L$4),ROW(),"-")</f>
        <v>-</v>
      </c>
    </row>
    <row r="16163" customHeight="1" spans="2:2">
      <c r="B16163" s="62" t="str">
        <f>IF(AND('领用录入（明细）'!D:D=$F$4,'领用录入（明细）'!C:C&gt;=$J$4,'领用录入（明细）'!C:C&lt;=$L$4),ROW(),"-")</f>
        <v>-</v>
      </c>
    </row>
    <row r="16164" customHeight="1" spans="2:2">
      <c r="B16164" s="62" t="str">
        <f>IF(AND('领用录入（明细）'!D:D=$F$4,'领用录入（明细）'!C:C&gt;=$J$4,'领用录入（明细）'!C:C&lt;=$L$4),ROW(),"-")</f>
        <v>-</v>
      </c>
    </row>
    <row r="16165" customHeight="1" spans="2:2">
      <c r="B16165" s="62" t="str">
        <f>IF(AND('领用录入（明细）'!D:D=$F$4,'领用录入（明细）'!C:C&gt;=$J$4,'领用录入（明细）'!C:C&lt;=$L$4),ROW(),"-")</f>
        <v>-</v>
      </c>
    </row>
    <row r="16166" customHeight="1" spans="2:2">
      <c r="B16166" s="62" t="str">
        <f>IF(AND('领用录入（明细）'!D:D=$F$4,'领用录入（明细）'!C:C&gt;=$J$4,'领用录入（明细）'!C:C&lt;=$L$4),ROW(),"-")</f>
        <v>-</v>
      </c>
    </row>
    <row r="16167" customHeight="1" spans="2:2">
      <c r="B16167" s="62" t="str">
        <f>IF(AND('领用录入（明细）'!D:D=$F$4,'领用录入（明细）'!C:C&gt;=$J$4,'领用录入（明细）'!C:C&lt;=$L$4),ROW(),"-")</f>
        <v>-</v>
      </c>
    </row>
    <row r="16168" customHeight="1" spans="2:2">
      <c r="B16168" s="62" t="str">
        <f>IF(AND('领用录入（明细）'!D:D=$F$4,'领用录入（明细）'!C:C&gt;=$J$4,'领用录入（明细）'!C:C&lt;=$L$4),ROW(),"-")</f>
        <v>-</v>
      </c>
    </row>
    <row r="16169" customHeight="1" spans="2:2">
      <c r="B16169" s="62" t="str">
        <f>IF(AND('领用录入（明细）'!D:D=$F$4,'领用录入（明细）'!C:C&gt;=$J$4,'领用录入（明细）'!C:C&lt;=$L$4),ROW(),"-")</f>
        <v>-</v>
      </c>
    </row>
    <row r="16170" customHeight="1" spans="2:2">
      <c r="B16170" s="62" t="str">
        <f>IF(AND('领用录入（明细）'!D:D=$F$4,'领用录入（明细）'!C:C&gt;=$J$4,'领用录入（明细）'!C:C&lt;=$L$4),ROW(),"-")</f>
        <v>-</v>
      </c>
    </row>
    <row r="16171" customHeight="1" spans="2:2">
      <c r="B16171" s="62" t="str">
        <f>IF(AND('领用录入（明细）'!D:D=$F$4,'领用录入（明细）'!C:C&gt;=$J$4,'领用录入（明细）'!C:C&lt;=$L$4),ROW(),"-")</f>
        <v>-</v>
      </c>
    </row>
    <row r="16172" customHeight="1" spans="2:2">
      <c r="B16172" s="62" t="str">
        <f>IF(AND('领用录入（明细）'!D:D=$F$4,'领用录入（明细）'!C:C&gt;=$J$4,'领用录入（明细）'!C:C&lt;=$L$4),ROW(),"-")</f>
        <v>-</v>
      </c>
    </row>
    <row r="16173" customHeight="1" spans="2:2">
      <c r="B16173" s="62" t="str">
        <f>IF(AND('领用录入（明细）'!D:D=$F$4,'领用录入（明细）'!C:C&gt;=$J$4,'领用录入（明细）'!C:C&lt;=$L$4),ROW(),"-")</f>
        <v>-</v>
      </c>
    </row>
    <row r="16174" customHeight="1" spans="2:2">
      <c r="B16174" s="62" t="str">
        <f>IF(AND('领用录入（明细）'!D:D=$F$4,'领用录入（明细）'!C:C&gt;=$J$4,'领用录入（明细）'!C:C&lt;=$L$4),ROW(),"-")</f>
        <v>-</v>
      </c>
    </row>
    <row r="16175" customHeight="1" spans="2:2">
      <c r="B16175" s="62" t="str">
        <f>IF(AND('领用录入（明细）'!D:D=$F$4,'领用录入（明细）'!C:C&gt;=$J$4,'领用录入（明细）'!C:C&lt;=$L$4),ROW(),"-")</f>
        <v>-</v>
      </c>
    </row>
    <row r="16176" customHeight="1" spans="2:2">
      <c r="B16176" s="62" t="str">
        <f>IF(AND('领用录入（明细）'!D:D=$F$4,'领用录入（明细）'!C:C&gt;=$J$4,'领用录入（明细）'!C:C&lt;=$L$4),ROW(),"-")</f>
        <v>-</v>
      </c>
    </row>
    <row r="16177" customHeight="1" spans="2:2">
      <c r="B16177" s="62" t="str">
        <f>IF(AND('领用录入（明细）'!D:D=$F$4,'领用录入（明细）'!C:C&gt;=$J$4,'领用录入（明细）'!C:C&lt;=$L$4),ROW(),"-")</f>
        <v>-</v>
      </c>
    </row>
    <row r="16178" customHeight="1" spans="2:2">
      <c r="B16178" s="62" t="str">
        <f>IF(AND('领用录入（明细）'!D:D=$F$4,'领用录入（明细）'!C:C&gt;=$J$4,'领用录入（明细）'!C:C&lt;=$L$4),ROW(),"-")</f>
        <v>-</v>
      </c>
    </row>
    <row r="16179" customHeight="1" spans="2:2">
      <c r="B16179" s="62" t="str">
        <f>IF(AND('领用录入（明细）'!D:D=$F$4,'领用录入（明细）'!C:C&gt;=$J$4,'领用录入（明细）'!C:C&lt;=$L$4),ROW(),"-")</f>
        <v>-</v>
      </c>
    </row>
    <row r="16180" customHeight="1" spans="2:2">
      <c r="B16180" s="62" t="str">
        <f>IF(AND('领用录入（明细）'!D:D=$F$4,'领用录入（明细）'!C:C&gt;=$J$4,'领用录入（明细）'!C:C&lt;=$L$4),ROW(),"-")</f>
        <v>-</v>
      </c>
    </row>
    <row r="16181" customHeight="1" spans="2:2">
      <c r="B16181" s="62" t="str">
        <f>IF(AND('领用录入（明细）'!D:D=$F$4,'领用录入（明细）'!C:C&gt;=$J$4,'领用录入（明细）'!C:C&lt;=$L$4),ROW(),"-")</f>
        <v>-</v>
      </c>
    </row>
    <row r="16182" customHeight="1" spans="2:2">
      <c r="B16182" s="62" t="str">
        <f>IF(AND('领用录入（明细）'!D:D=$F$4,'领用录入（明细）'!C:C&gt;=$J$4,'领用录入（明细）'!C:C&lt;=$L$4),ROW(),"-")</f>
        <v>-</v>
      </c>
    </row>
    <row r="16183" customHeight="1" spans="2:2">
      <c r="B16183" s="62" t="str">
        <f>IF(AND('领用录入（明细）'!D:D=$F$4,'领用录入（明细）'!C:C&gt;=$J$4,'领用录入（明细）'!C:C&lt;=$L$4),ROW(),"-")</f>
        <v>-</v>
      </c>
    </row>
    <row r="16184" customHeight="1" spans="2:2">
      <c r="B16184" s="62" t="str">
        <f>IF(AND('领用录入（明细）'!D:D=$F$4,'领用录入（明细）'!C:C&gt;=$J$4,'领用录入（明细）'!C:C&lt;=$L$4),ROW(),"-")</f>
        <v>-</v>
      </c>
    </row>
    <row r="16185" customHeight="1" spans="2:2">
      <c r="B16185" s="62" t="str">
        <f>IF(AND('领用录入（明细）'!D:D=$F$4,'领用录入（明细）'!C:C&gt;=$J$4,'领用录入（明细）'!C:C&lt;=$L$4),ROW(),"-")</f>
        <v>-</v>
      </c>
    </row>
    <row r="16186" customHeight="1" spans="2:2">
      <c r="B16186" s="62" t="str">
        <f>IF(AND('领用录入（明细）'!D:D=$F$4,'领用录入（明细）'!C:C&gt;=$J$4,'领用录入（明细）'!C:C&lt;=$L$4),ROW(),"-")</f>
        <v>-</v>
      </c>
    </row>
    <row r="16187" customHeight="1" spans="2:2">
      <c r="B16187" s="62" t="str">
        <f>IF(AND('领用录入（明细）'!D:D=$F$4,'领用录入（明细）'!C:C&gt;=$J$4,'领用录入（明细）'!C:C&lt;=$L$4),ROW(),"-")</f>
        <v>-</v>
      </c>
    </row>
    <row r="16188" customHeight="1" spans="2:2">
      <c r="B16188" s="62" t="str">
        <f>IF(AND('领用录入（明细）'!D:D=$F$4,'领用录入（明细）'!C:C&gt;=$J$4,'领用录入（明细）'!C:C&lt;=$L$4),ROW(),"-")</f>
        <v>-</v>
      </c>
    </row>
    <row r="16189" customHeight="1" spans="2:2">
      <c r="B16189" s="62" t="str">
        <f>IF(AND('领用录入（明细）'!D:D=$F$4,'领用录入（明细）'!C:C&gt;=$J$4,'领用录入（明细）'!C:C&lt;=$L$4),ROW(),"-")</f>
        <v>-</v>
      </c>
    </row>
    <row r="16190" customHeight="1" spans="2:2">
      <c r="B16190" s="62" t="str">
        <f>IF(AND('领用录入（明细）'!D:D=$F$4,'领用录入（明细）'!C:C&gt;=$J$4,'领用录入（明细）'!C:C&lt;=$L$4),ROW(),"-")</f>
        <v>-</v>
      </c>
    </row>
    <row r="16191" customHeight="1" spans="2:2">
      <c r="B16191" s="62" t="str">
        <f>IF(AND('领用录入（明细）'!D:D=$F$4,'领用录入（明细）'!C:C&gt;=$J$4,'领用录入（明细）'!C:C&lt;=$L$4),ROW(),"-")</f>
        <v>-</v>
      </c>
    </row>
    <row r="16192" customHeight="1" spans="2:2">
      <c r="B16192" s="62" t="str">
        <f>IF(AND('领用录入（明细）'!D:D=$F$4,'领用录入（明细）'!C:C&gt;=$J$4,'领用录入（明细）'!C:C&lt;=$L$4),ROW(),"-")</f>
        <v>-</v>
      </c>
    </row>
    <row r="16193" customHeight="1" spans="2:2">
      <c r="B16193" s="62" t="str">
        <f>IF(AND('领用录入（明细）'!D:D=$F$4,'领用录入（明细）'!C:C&gt;=$J$4,'领用录入（明细）'!C:C&lt;=$L$4),ROW(),"-")</f>
        <v>-</v>
      </c>
    </row>
    <row r="16194" customHeight="1" spans="2:2">
      <c r="B16194" s="62" t="str">
        <f>IF(AND('领用录入（明细）'!D:D=$F$4,'领用录入（明细）'!C:C&gt;=$J$4,'领用录入（明细）'!C:C&lt;=$L$4),ROW(),"-")</f>
        <v>-</v>
      </c>
    </row>
    <row r="16195" customHeight="1" spans="2:2">
      <c r="B16195" s="62" t="str">
        <f>IF(AND('领用录入（明细）'!D:D=$F$4,'领用录入（明细）'!C:C&gt;=$J$4,'领用录入（明细）'!C:C&lt;=$L$4),ROW(),"-")</f>
        <v>-</v>
      </c>
    </row>
    <row r="16196" customHeight="1" spans="2:2">
      <c r="B16196" s="62" t="str">
        <f>IF(AND('领用录入（明细）'!D:D=$F$4,'领用录入（明细）'!C:C&gt;=$J$4,'领用录入（明细）'!C:C&lt;=$L$4),ROW(),"-")</f>
        <v>-</v>
      </c>
    </row>
    <row r="16197" customHeight="1" spans="2:2">
      <c r="B16197" s="62" t="str">
        <f>IF(AND('领用录入（明细）'!D:D=$F$4,'领用录入（明细）'!C:C&gt;=$J$4,'领用录入（明细）'!C:C&lt;=$L$4),ROW(),"-")</f>
        <v>-</v>
      </c>
    </row>
    <row r="16198" customHeight="1" spans="2:2">
      <c r="B16198" s="62" t="str">
        <f>IF(AND('领用录入（明细）'!D:D=$F$4,'领用录入（明细）'!C:C&gt;=$J$4,'领用录入（明细）'!C:C&lt;=$L$4),ROW(),"-")</f>
        <v>-</v>
      </c>
    </row>
    <row r="16199" customHeight="1" spans="2:2">
      <c r="B16199" s="62" t="str">
        <f>IF(AND('领用录入（明细）'!D:D=$F$4,'领用录入（明细）'!C:C&gt;=$J$4,'领用录入（明细）'!C:C&lt;=$L$4),ROW(),"-")</f>
        <v>-</v>
      </c>
    </row>
    <row r="16200" customHeight="1" spans="2:2">
      <c r="B16200" s="62" t="str">
        <f>IF(AND('领用录入（明细）'!D:D=$F$4,'领用录入（明细）'!C:C&gt;=$J$4,'领用录入（明细）'!C:C&lt;=$L$4),ROW(),"-")</f>
        <v>-</v>
      </c>
    </row>
    <row r="16201" customHeight="1" spans="2:2">
      <c r="B16201" s="62" t="str">
        <f>IF(AND('领用录入（明细）'!D:D=$F$4,'领用录入（明细）'!C:C&gt;=$J$4,'领用录入（明细）'!C:C&lt;=$L$4),ROW(),"-")</f>
        <v>-</v>
      </c>
    </row>
    <row r="16202" customHeight="1" spans="2:2">
      <c r="B16202" s="62" t="str">
        <f>IF(AND('领用录入（明细）'!D:D=$F$4,'领用录入（明细）'!C:C&gt;=$J$4,'领用录入（明细）'!C:C&lt;=$L$4),ROW(),"-")</f>
        <v>-</v>
      </c>
    </row>
    <row r="16203" customHeight="1" spans="2:2">
      <c r="B16203" s="62" t="str">
        <f>IF(AND('领用录入（明细）'!D:D=$F$4,'领用录入（明细）'!C:C&gt;=$J$4,'领用录入（明细）'!C:C&lt;=$L$4),ROW(),"-")</f>
        <v>-</v>
      </c>
    </row>
    <row r="16204" customHeight="1" spans="2:2">
      <c r="B16204" s="62" t="str">
        <f>IF(AND('领用录入（明细）'!D:D=$F$4,'领用录入（明细）'!C:C&gt;=$J$4,'领用录入（明细）'!C:C&lt;=$L$4),ROW(),"-")</f>
        <v>-</v>
      </c>
    </row>
    <row r="16205" customHeight="1" spans="2:2">
      <c r="B16205" s="62" t="str">
        <f>IF(AND('领用录入（明细）'!D:D=$F$4,'领用录入（明细）'!C:C&gt;=$J$4,'领用录入（明细）'!C:C&lt;=$L$4),ROW(),"-")</f>
        <v>-</v>
      </c>
    </row>
    <row r="16206" customHeight="1" spans="2:2">
      <c r="B16206" s="62" t="str">
        <f>IF(AND('领用录入（明细）'!D:D=$F$4,'领用录入（明细）'!C:C&gt;=$J$4,'领用录入（明细）'!C:C&lt;=$L$4),ROW(),"-")</f>
        <v>-</v>
      </c>
    </row>
    <row r="16207" customHeight="1" spans="2:2">
      <c r="B16207" s="62" t="str">
        <f>IF(AND('领用录入（明细）'!D:D=$F$4,'领用录入（明细）'!C:C&gt;=$J$4,'领用录入（明细）'!C:C&lt;=$L$4),ROW(),"-")</f>
        <v>-</v>
      </c>
    </row>
    <row r="16208" customHeight="1" spans="2:2">
      <c r="B16208" s="62" t="str">
        <f>IF(AND('领用录入（明细）'!D:D=$F$4,'领用录入（明细）'!C:C&gt;=$J$4,'领用录入（明细）'!C:C&lt;=$L$4),ROW(),"-")</f>
        <v>-</v>
      </c>
    </row>
    <row r="16209" customHeight="1" spans="2:2">
      <c r="B16209" s="62" t="str">
        <f>IF(AND('领用录入（明细）'!D:D=$F$4,'领用录入（明细）'!C:C&gt;=$J$4,'领用录入（明细）'!C:C&lt;=$L$4),ROW(),"-")</f>
        <v>-</v>
      </c>
    </row>
    <row r="16210" customHeight="1" spans="2:2">
      <c r="B16210" s="62" t="str">
        <f>IF(AND('领用录入（明细）'!D:D=$F$4,'领用录入（明细）'!C:C&gt;=$J$4,'领用录入（明细）'!C:C&lt;=$L$4),ROW(),"-")</f>
        <v>-</v>
      </c>
    </row>
    <row r="16211" customHeight="1" spans="2:2">
      <c r="B16211" s="62" t="str">
        <f>IF(AND('领用录入（明细）'!D:D=$F$4,'领用录入（明细）'!C:C&gt;=$J$4,'领用录入（明细）'!C:C&lt;=$L$4),ROW(),"-")</f>
        <v>-</v>
      </c>
    </row>
    <row r="16212" customHeight="1" spans="2:2">
      <c r="B16212" s="62" t="str">
        <f>IF(AND('领用录入（明细）'!D:D=$F$4,'领用录入（明细）'!C:C&gt;=$J$4,'领用录入（明细）'!C:C&lt;=$L$4),ROW(),"-")</f>
        <v>-</v>
      </c>
    </row>
    <row r="16213" customHeight="1" spans="2:2">
      <c r="B16213" s="62" t="str">
        <f>IF(AND('领用录入（明细）'!D:D=$F$4,'领用录入（明细）'!C:C&gt;=$J$4,'领用录入（明细）'!C:C&lt;=$L$4),ROW(),"-")</f>
        <v>-</v>
      </c>
    </row>
    <row r="16214" customHeight="1" spans="2:2">
      <c r="B16214" s="62" t="str">
        <f>IF(AND('领用录入（明细）'!D:D=$F$4,'领用录入（明细）'!C:C&gt;=$J$4,'领用录入（明细）'!C:C&lt;=$L$4),ROW(),"-")</f>
        <v>-</v>
      </c>
    </row>
    <row r="16215" customHeight="1" spans="2:2">
      <c r="B16215" s="62" t="str">
        <f>IF(AND('领用录入（明细）'!D:D=$F$4,'领用录入（明细）'!C:C&gt;=$J$4,'领用录入（明细）'!C:C&lt;=$L$4),ROW(),"-")</f>
        <v>-</v>
      </c>
    </row>
    <row r="16216" customHeight="1" spans="2:2">
      <c r="B16216" s="62" t="str">
        <f>IF(AND('领用录入（明细）'!D:D=$F$4,'领用录入（明细）'!C:C&gt;=$J$4,'领用录入（明细）'!C:C&lt;=$L$4),ROW(),"-")</f>
        <v>-</v>
      </c>
    </row>
    <row r="16217" customHeight="1" spans="2:2">
      <c r="B16217" s="62" t="str">
        <f>IF(AND('领用录入（明细）'!D:D=$F$4,'领用录入（明细）'!C:C&gt;=$J$4,'领用录入（明细）'!C:C&lt;=$L$4),ROW(),"-")</f>
        <v>-</v>
      </c>
    </row>
    <row r="16218" customHeight="1" spans="2:2">
      <c r="B16218" s="62" t="str">
        <f>IF(AND('领用录入（明细）'!D:D=$F$4,'领用录入（明细）'!C:C&gt;=$J$4,'领用录入（明细）'!C:C&lt;=$L$4),ROW(),"-")</f>
        <v>-</v>
      </c>
    </row>
    <row r="16219" customHeight="1" spans="2:2">
      <c r="B16219" s="62" t="str">
        <f>IF(AND('领用录入（明细）'!D:D=$F$4,'领用录入（明细）'!C:C&gt;=$J$4,'领用录入（明细）'!C:C&lt;=$L$4),ROW(),"-")</f>
        <v>-</v>
      </c>
    </row>
    <row r="16220" customHeight="1" spans="2:2">
      <c r="B16220" s="62" t="str">
        <f>IF(AND('领用录入（明细）'!D:D=$F$4,'领用录入（明细）'!C:C&gt;=$J$4,'领用录入（明细）'!C:C&lt;=$L$4),ROW(),"-")</f>
        <v>-</v>
      </c>
    </row>
    <row r="16221" customHeight="1" spans="2:2">
      <c r="B16221" s="62" t="str">
        <f>IF(AND('领用录入（明细）'!D:D=$F$4,'领用录入（明细）'!C:C&gt;=$J$4,'领用录入（明细）'!C:C&lt;=$L$4),ROW(),"-")</f>
        <v>-</v>
      </c>
    </row>
    <row r="16222" customHeight="1" spans="2:2">
      <c r="B16222" s="62" t="str">
        <f>IF(AND('领用录入（明细）'!D:D=$F$4,'领用录入（明细）'!C:C&gt;=$J$4,'领用录入（明细）'!C:C&lt;=$L$4),ROW(),"-")</f>
        <v>-</v>
      </c>
    </row>
    <row r="16223" customHeight="1" spans="2:2">
      <c r="B16223" s="62" t="str">
        <f>IF(AND('领用录入（明细）'!D:D=$F$4,'领用录入（明细）'!C:C&gt;=$J$4,'领用录入（明细）'!C:C&lt;=$L$4),ROW(),"-")</f>
        <v>-</v>
      </c>
    </row>
    <row r="16224" customHeight="1" spans="2:2">
      <c r="B16224" s="62" t="str">
        <f>IF(AND('领用录入（明细）'!D:D=$F$4,'领用录入（明细）'!C:C&gt;=$J$4,'领用录入（明细）'!C:C&lt;=$L$4),ROW(),"-")</f>
        <v>-</v>
      </c>
    </row>
    <row r="16225" customHeight="1" spans="2:2">
      <c r="B16225" s="62" t="str">
        <f>IF(AND('领用录入（明细）'!D:D=$F$4,'领用录入（明细）'!C:C&gt;=$J$4,'领用录入（明细）'!C:C&lt;=$L$4),ROW(),"-")</f>
        <v>-</v>
      </c>
    </row>
    <row r="16226" customHeight="1" spans="2:2">
      <c r="B16226" s="62" t="str">
        <f>IF(AND('领用录入（明细）'!D:D=$F$4,'领用录入（明细）'!C:C&gt;=$J$4,'领用录入（明细）'!C:C&lt;=$L$4),ROW(),"-")</f>
        <v>-</v>
      </c>
    </row>
    <row r="16227" customHeight="1" spans="2:2">
      <c r="B16227" s="62" t="str">
        <f>IF(AND('领用录入（明细）'!D:D=$F$4,'领用录入（明细）'!C:C&gt;=$J$4,'领用录入（明细）'!C:C&lt;=$L$4),ROW(),"-")</f>
        <v>-</v>
      </c>
    </row>
    <row r="16228" customHeight="1" spans="2:2">
      <c r="B16228" s="62" t="str">
        <f>IF(AND('领用录入（明细）'!D:D=$F$4,'领用录入（明细）'!C:C&gt;=$J$4,'领用录入（明细）'!C:C&lt;=$L$4),ROW(),"-")</f>
        <v>-</v>
      </c>
    </row>
    <row r="16229" customHeight="1" spans="2:2">
      <c r="B16229" s="62" t="str">
        <f>IF(AND('领用录入（明细）'!D:D=$F$4,'领用录入（明细）'!C:C&gt;=$J$4,'领用录入（明细）'!C:C&lt;=$L$4),ROW(),"-")</f>
        <v>-</v>
      </c>
    </row>
    <row r="16230" customHeight="1" spans="2:2">
      <c r="B16230" s="62" t="str">
        <f>IF(AND('领用录入（明细）'!D:D=$F$4,'领用录入（明细）'!C:C&gt;=$J$4,'领用录入（明细）'!C:C&lt;=$L$4),ROW(),"-")</f>
        <v>-</v>
      </c>
    </row>
    <row r="16231" customHeight="1" spans="2:2">
      <c r="B16231" s="62" t="str">
        <f>IF(AND('领用录入（明细）'!D:D=$F$4,'领用录入（明细）'!C:C&gt;=$J$4,'领用录入（明细）'!C:C&lt;=$L$4),ROW(),"-")</f>
        <v>-</v>
      </c>
    </row>
    <row r="16232" customHeight="1" spans="2:2">
      <c r="B16232" s="62" t="str">
        <f>IF(AND('领用录入（明细）'!D:D=$F$4,'领用录入（明细）'!C:C&gt;=$J$4,'领用录入（明细）'!C:C&lt;=$L$4),ROW(),"-")</f>
        <v>-</v>
      </c>
    </row>
    <row r="16233" customHeight="1" spans="2:2">
      <c r="B16233" s="62" t="str">
        <f>IF(AND('领用录入（明细）'!D:D=$F$4,'领用录入（明细）'!C:C&gt;=$J$4,'领用录入（明细）'!C:C&lt;=$L$4),ROW(),"-")</f>
        <v>-</v>
      </c>
    </row>
    <row r="16234" customHeight="1" spans="2:2">
      <c r="B16234" s="62" t="str">
        <f>IF(AND('领用录入（明细）'!D:D=$F$4,'领用录入（明细）'!C:C&gt;=$J$4,'领用录入（明细）'!C:C&lt;=$L$4),ROW(),"-")</f>
        <v>-</v>
      </c>
    </row>
    <row r="16235" customHeight="1" spans="2:2">
      <c r="B16235" s="62" t="str">
        <f>IF(AND('领用录入（明细）'!D:D=$F$4,'领用录入（明细）'!C:C&gt;=$J$4,'领用录入（明细）'!C:C&lt;=$L$4),ROW(),"-")</f>
        <v>-</v>
      </c>
    </row>
    <row r="16236" customHeight="1" spans="2:2">
      <c r="B16236" s="62" t="str">
        <f>IF(AND('领用录入（明细）'!D:D=$F$4,'领用录入（明细）'!C:C&gt;=$J$4,'领用录入（明细）'!C:C&lt;=$L$4),ROW(),"-")</f>
        <v>-</v>
      </c>
    </row>
    <row r="16237" customHeight="1" spans="2:2">
      <c r="B16237" s="62" t="str">
        <f>IF(AND('领用录入（明细）'!D:D=$F$4,'领用录入（明细）'!C:C&gt;=$J$4,'领用录入（明细）'!C:C&lt;=$L$4),ROW(),"-")</f>
        <v>-</v>
      </c>
    </row>
    <row r="16238" customHeight="1" spans="2:2">
      <c r="B16238" s="62" t="str">
        <f>IF(AND('领用录入（明细）'!D:D=$F$4,'领用录入（明细）'!C:C&gt;=$J$4,'领用录入（明细）'!C:C&lt;=$L$4),ROW(),"-")</f>
        <v>-</v>
      </c>
    </row>
    <row r="16239" customHeight="1" spans="2:2">
      <c r="B16239" s="62" t="str">
        <f>IF(AND('领用录入（明细）'!D:D=$F$4,'领用录入（明细）'!C:C&gt;=$J$4,'领用录入（明细）'!C:C&lt;=$L$4),ROW(),"-")</f>
        <v>-</v>
      </c>
    </row>
    <row r="16240" customHeight="1" spans="2:2">
      <c r="B16240" s="62" t="str">
        <f>IF(AND('领用录入（明细）'!D:D=$F$4,'领用录入（明细）'!C:C&gt;=$J$4,'领用录入（明细）'!C:C&lt;=$L$4),ROW(),"-")</f>
        <v>-</v>
      </c>
    </row>
    <row r="16241" customHeight="1" spans="2:2">
      <c r="B16241" s="62" t="str">
        <f>IF(AND('领用录入（明细）'!D:D=$F$4,'领用录入（明细）'!C:C&gt;=$J$4,'领用录入（明细）'!C:C&lt;=$L$4),ROW(),"-")</f>
        <v>-</v>
      </c>
    </row>
    <row r="16242" customHeight="1" spans="2:2">
      <c r="B16242" s="62" t="str">
        <f>IF(AND('领用录入（明细）'!D:D=$F$4,'领用录入（明细）'!C:C&gt;=$J$4,'领用录入（明细）'!C:C&lt;=$L$4),ROW(),"-")</f>
        <v>-</v>
      </c>
    </row>
    <row r="16243" customHeight="1" spans="2:2">
      <c r="B16243" s="62" t="str">
        <f>IF(AND('领用录入（明细）'!D:D=$F$4,'领用录入（明细）'!C:C&gt;=$J$4,'领用录入（明细）'!C:C&lt;=$L$4),ROW(),"-")</f>
        <v>-</v>
      </c>
    </row>
    <row r="16244" customHeight="1" spans="2:2">
      <c r="B16244" s="62" t="str">
        <f>IF(AND('领用录入（明细）'!D:D=$F$4,'领用录入（明细）'!C:C&gt;=$J$4,'领用录入（明细）'!C:C&lt;=$L$4),ROW(),"-")</f>
        <v>-</v>
      </c>
    </row>
    <row r="16245" customHeight="1" spans="2:2">
      <c r="B16245" s="62" t="str">
        <f>IF(AND('领用录入（明细）'!D:D=$F$4,'领用录入（明细）'!C:C&gt;=$J$4,'领用录入（明细）'!C:C&lt;=$L$4),ROW(),"-")</f>
        <v>-</v>
      </c>
    </row>
    <row r="16246" customHeight="1" spans="2:2">
      <c r="B16246" s="62" t="str">
        <f>IF(AND('领用录入（明细）'!D:D=$F$4,'领用录入（明细）'!C:C&gt;=$J$4,'领用录入（明细）'!C:C&lt;=$L$4),ROW(),"-")</f>
        <v>-</v>
      </c>
    </row>
    <row r="16247" customHeight="1" spans="2:2">
      <c r="B16247" s="62" t="str">
        <f>IF(AND('领用录入（明细）'!D:D=$F$4,'领用录入（明细）'!C:C&gt;=$J$4,'领用录入（明细）'!C:C&lt;=$L$4),ROW(),"-")</f>
        <v>-</v>
      </c>
    </row>
    <row r="16248" customHeight="1" spans="2:2">
      <c r="B16248" s="62" t="str">
        <f>IF(AND('领用录入（明细）'!D:D=$F$4,'领用录入（明细）'!C:C&gt;=$J$4,'领用录入（明细）'!C:C&lt;=$L$4),ROW(),"-")</f>
        <v>-</v>
      </c>
    </row>
    <row r="16249" customHeight="1" spans="2:2">
      <c r="B16249" s="62" t="str">
        <f>IF(AND('领用录入（明细）'!D:D=$F$4,'领用录入（明细）'!C:C&gt;=$J$4,'领用录入（明细）'!C:C&lt;=$L$4),ROW(),"-")</f>
        <v>-</v>
      </c>
    </row>
    <row r="16250" customHeight="1" spans="2:2">
      <c r="B16250" s="62" t="str">
        <f>IF(AND('领用录入（明细）'!D:D=$F$4,'领用录入（明细）'!C:C&gt;=$J$4,'领用录入（明细）'!C:C&lt;=$L$4),ROW(),"-")</f>
        <v>-</v>
      </c>
    </row>
    <row r="16251" customHeight="1" spans="2:2">
      <c r="B16251" s="62" t="str">
        <f>IF(AND('领用录入（明细）'!D:D=$F$4,'领用录入（明细）'!C:C&gt;=$J$4,'领用录入（明细）'!C:C&lt;=$L$4),ROW(),"-")</f>
        <v>-</v>
      </c>
    </row>
    <row r="16252" customHeight="1" spans="2:2">
      <c r="B16252" s="62" t="str">
        <f>IF(AND('领用录入（明细）'!D:D=$F$4,'领用录入（明细）'!C:C&gt;=$J$4,'领用录入（明细）'!C:C&lt;=$L$4),ROW(),"-")</f>
        <v>-</v>
      </c>
    </row>
    <row r="16253" customHeight="1" spans="2:2">
      <c r="B16253" s="62" t="str">
        <f>IF(AND('领用录入（明细）'!D:D=$F$4,'领用录入（明细）'!C:C&gt;=$J$4,'领用录入（明细）'!C:C&lt;=$L$4),ROW(),"-")</f>
        <v>-</v>
      </c>
    </row>
    <row r="16254" customHeight="1" spans="2:2">
      <c r="B16254" s="62" t="str">
        <f>IF(AND('领用录入（明细）'!D:D=$F$4,'领用录入（明细）'!C:C&gt;=$J$4,'领用录入（明细）'!C:C&lt;=$L$4),ROW(),"-")</f>
        <v>-</v>
      </c>
    </row>
    <row r="16255" customHeight="1" spans="2:2">
      <c r="B16255" s="62" t="str">
        <f>IF(AND('领用录入（明细）'!D:D=$F$4,'领用录入（明细）'!C:C&gt;=$J$4,'领用录入（明细）'!C:C&lt;=$L$4),ROW(),"-")</f>
        <v>-</v>
      </c>
    </row>
    <row r="16256" customHeight="1" spans="2:2">
      <c r="B16256" s="62" t="str">
        <f>IF(AND('领用录入（明细）'!D:D=$F$4,'领用录入（明细）'!C:C&gt;=$J$4,'领用录入（明细）'!C:C&lt;=$L$4),ROW(),"-")</f>
        <v>-</v>
      </c>
    </row>
    <row r="16257" customHeight="1" spans="2:2">
      <c r="B16257" s="62" t="str">
        <f>IF(AND('领用录入（明细）'!D:D=$F$4,'领用录入（明细）'!C:C&gt;=$J$4,'领用录入（明细）'!C:C&lt;=$L$4),ROW(),"-")</f>
        <v>-</v>
      </c>
    </row>
    <row r="16258" customHeight="1" spans="2:2">
      <c r="B16258" s="62" t="str">
        <f>IF(AND('领用录入（明细）'!D:D=$F$4,'领用录入（明细）'!C:C&gt;=$J$4,'领用录入（明细）'!C:C&lt;=$L$4),ROW(),"-")</f>
        <v>-</v>
      </c>
    </row>
    <row r="16259" customHeight="1" spans="2:2">
      <c r="B16259" s="62" t="str">
        <f>IF(AND('领用录入（明细）'!D:D=$F$4,'领用录入（明细）'!C:C&gt;=$J$4,'领用录入（明细）'!C:C&lt;=$L$4),ROW(),"-")</f>
        <v>-</v>
      </c>
    </row>
    <row r="16260" customHeight="1" spans="2:2">
      <c r="B16260" s="62" t="str">
        <f>IF(AND('领用录入（明细）'!D:D=$F$4,'领用录入（明细）'!C:C&gt;=$J$4,'领用录入（明细）'!C:C&lt;=$L$4),ROW(),"-")</f>
        <v>-</v>
      </c>
    </row>
    <row r="16261" customHeight="1" spans="2:2">
      <c r="B16261" s="62" t="str">
        <f>IF(AND('领用录入（明细）'!D:D=$F$4,'领用录入（明细）'!C:C&gt;=$J$4,'领用录入（明细）'!C:C&lt;=$L$4),ROW(),"-")</f>
        <v>-</v>
      </c>
    </row>
    <row r="16262" customHeight="1" spans="2:2">
      <c r="B16262" s="62" t="str">
        <f>IF(AND('领用录入（明细）'!D:D=$F$4,'领用录入（明细）'!C:C&gt;=$J$4,'领用录入（明细）'!C:C&lt;=$L$4),ROW(),"-")</f>
        <v>-</v>
      </c>
    </row>
    <row r="16263" customHeight="1" spans="2:2">
      <c r="B16263" s="62" t="str">
        <f>IF(AND('领用录入（明细）'!D:D=$F$4,'领用录入（明细）'!C:C&gt;=$J$4,'领用录入（明细）'!C:C&lt;=$L$4),ROW(),"-")</f>
        <v>-</v>
      </c>
    </row>
    <row r="16264" customHeight="1" spans="2:2">
      <c r="B16264" s="62" t="str">
        <f>IF(AND('领用录入（明细）'!D:D=$F$4,'领用录入（明细）'!C:C&gt;=$J$4,'领用录入（明细）'!C:C&lt;=$L$4),ROW(),"-")</f>
        <v>-</v>
      </c>
    </row>
    <row r="16265" customHeight="1" spans="2:2">
      <c r="B16265" s="62" t="str">
        <f>IF(AND('领用录入（明细）'!D:D=$F$4,'领用录入（明细）'!C:C&gt;=$J$4,'领用录入（明细）'!C:C&lt;=$L$4),ROW(),"-")</f>
        <v>-</v>
      </c>
    </row>
    <row r="16266" customHeight="1" spans="2:2">
      <c r="B16266" s="62" t="str">
        <f>IF(AND('领用录入（明细）'!D:D=$F$4,'领用录入（明细）'!C:C&gt;=$J$4,'领用录入（明细）'!C:C&lt;=$L$4),ROW(),"-")</f>
        <v>-</v>
      </c>
    </row>
    <row r="16267" customHeight="1" spans="2:2">
      <c r="B16267" s="62" t="str">
        <f>IF(AND('领用录入（明细）'!D:D=$F$4,'领用录入（明细）'!C:C&gt;=$J$4,'领用录入（明细）'!C:C&lt;=$L$4),ROW(),"-")</f>
        <v>-</v>
      </c>
    </row>
    <row r="16268" customHeight="1" spans="2:2">
      <c r="B16268" s="62" t="str">
        <f>IF(AND('领用录入（明细）'!D:D=$F$4,'领用录入（明细）'!C:C&gt;=$J$4,'领用录入（明细）'!C:C&lt;=$L$4),ROW(),"-")</f>
        <v>-</v>
      </c>
    </row>
    <row r="16269" customHeight="1" spans="2:2">
      <c r="B16269" s="62" t="str">
        <f>IF(AND('领用录入（明细）'!D:D=$F$4,'领用录入（明细）'!C:C&gt;=$J$4,'领用录入（明细）'!C:C&lt;=$L$4),ROW(),"-")</f>
        <v>-</v>
      </c>
    </row>
    <row r="16270" customHeight="1" spans="2:2">
      <c r="B16270" s="62" t="str">
        <f>IF(AND('领用录入（明细）'!D:D=$F$4,'领用录入（明细）'!C:C&gt;=$J$4,'领用录入（明细）'!C:C&lt;=$L$4),ROW(),"-")</f>
        <v>-</v>
      </c>
    </row>
    <row r="16271" customHeight="1" spans="2:2">
      <c r="B16271" s="62" t="str">
        <f>IF(AND('领用录入（明细）'!D:D=$F$4,'领用录入（明细）'!C:C&gt;=$J$4,'领用录入（明细）'!C:C&lt;=$L$4),ROW(),"-")</f>
        <v>-</v>
      </c>
    </row>
    <row r="16272" customHeight="1" spans="2:2">
      <c r="B16272" s="62" t="str">
        <f>IF(AND('领用录入（明细）'!D:D=$F$4,'领用录入（明细）'!C:C&gt;=$J$4,'领用录入（明细）'!C:C&lt;=$L$4),ROW(),"-")</f>
        <v>-</v>
      </c>
    </row>
    <row r="16273" customHeight="1" spans="2:2">
      <c r="B16273" s="62" t="str">
        <f>IF(AND('领用录入（明细）'!D:D=$F$4,'领用录入（明细）'!C:C&gt;=$J$4,'领用录入（明细）'!C:C&lt;=$L$4),ROW(),"-")</f>
        <v>-</v>
      </c>
    </row>
    <row r="16274" customHeight="1" spans="2:2">
      <c r="B16274" s="62" t="str">
        <f>IF(AND('领用录入（明细）'!D:D=$F$4,'领用录入（明细）'!C:C&gt;=$J$4,'领用录入（明细）'!C:C&lt;=$L$4),ROW(),"-")</f>
        <v>-</v>
      </c>
    </row>
    <row r="16275" customHeight="1" spans="2:2">
      <c r="B16275" s="62" t="str">
        <f>IF(AND('领用录入（明细）'!D:D=$F$4,'领用录入（明细）'!C:C&gt;=$J$4,'领用录入（明细）'!C:C&lt;=$L$4),ROW(),"-")</f>
        <v>-</v>
      </c>
    </row>
    <row r="16276" customHeight="1" spans="2:2">
      <c r="B16276" s="62" t="str">
        <f>IF(AND('领用录入（明细）'!D:D=$F$4,'领用录入（明细）'!C:C&gt;=$J$4,'领用录入（明细）'!C:C&lt;=$L$4),ROW(),"-")</f>
        <v>-</v>
      </c>
    </row>
    <row r="16277" customHeight="1" spans="2:2">
      <c r="B16277" s="62" t="str">
        <f>IF(AND('领用录入（明细）'!D:D=$F$4,'领用录入（明细）'!C:C&gt;=$J$4,'领用录入（明细）'!C:C&lt;=$L$4),ROW(),"-")</f>
        <v>-</v>
      </c>
    </row>
    <row r="16278" customHeight="1" spans="2:2">
      <c r="B16278" s="62" t="str">
        <f>IF(AND('领用录入（明细）'!D:D=$F$4,'领用录入（明细）'!C:C&gt;=$J$4,'领用录入（明细）'!C:C&lt;=$L$4),ROW(),"-")</f>
        <v>-</v>
      </c>
    </row>
    <row r="16279" customHeight="1" spans="2:2">
      <c r="B16279" s="62" t="str">
        <f>IF(AND('领用录入（明细）'!D:D=$F$4,'领用录入（明细）'!C:C&gt;=$J$4,'领用录入（明细）'!C:C&lt;=$L$4),ROW(),"-")</f>
        <v>-</v>
      </c>
    </row>
    <row r="16280" customHeight="1" spans="2:2">
      <c r="B16280" s="62" t="str">
        <f>IF(AND('领用录入（明细）'!D:D=$F$4,'领用录入（明细）'!C:C&gt;=$J$4,'领用录入（明细）'!C:C&lt;=$L$4),ROW(),"-")</f>
        <v>-</v>
      </c>
    </row>
    <row r="16281" customHeight="1" spans="2:2">
      <c r="B16281" s="62" t="str">
        <f>IF(AND('领用录入（明细）'!D:D=$F$4,'领用录入（明细）'!C:C&gt;=$J$4,'领用录入（明细）'!C:C&lt;=$L$4),ROW(),"-")</f>
        <v>-</v>
      </c>
    </row>
    <row r="16282" customHeight="1" spans="2:2">
      <c r="B16282" s="62" t="str">
        <f>IF(AND('领用录入（明细）'!D:D=$F$4,'领用录入（明细）'!C:C&gt;=$J$4,'领用录入（明细）'!C:C&lt;=$L$4),ROW(),"-")</f>
        <v>-</v>
      </c>
    </row>
    <row r="16283" customHeight="1" spans="2:2">
      <c r="B16283" s="62" t="str">
        <f>IF(AND('领用录入（明细）'!D:D=$F$4,'领用录入（明细）'!C:C&gt;=$J$4,'领用录入（明细）'!C:C&lt;=$L$4),ROW(),"-")</f>
        <v>-</v>
      </c>
    </row>
    <row r="16284" customHeight="1" spans="2:2">
      <c r="B16284" s="62" t="str">
        <f>IF(AND('领用录入（明细）'!D:D=$F$4,'领用录入（明细）'!C:C&gt;=$J$4,'领用录入（明细）'!C:C&lt;=$L$4),ROW(),"-")</f>
        <v>-</v>
      </c>
    </row>
    <row r="16285" customHeight="1" spans="2:2">
      <c r="B16285" s="62" t="str">
        <f>IF(AND('领用录入（明细）'!D:D=$F$4,'领用录入（明细）'!C:C&gt;=$J$4,'领用录入（明细）'!C:C&lt;=$L$4),ROW(),"-")</f>
        <v>-</v>
      </c>
    </row>
    <row r="16286" customHeight="1" spans="2:2">
      <c r="B16286" s="62" t="str">
        <f>IF(AND('领用录入（明细）'!D:D=$F$4,'领用录入（明细）'!C:C&gt;=$J$4,'领用录入（明细）'!C:C&lt;=$L$4),ROW(),"-")</f>
        <v>-</v>
      </c>
    </row>
    <row r="16287" customHeight="1" spans="2:2">
      <c r="B16287" s="62" t="str">
        <f>IF(AND('领用录入（明细）'!D:D=$F$4,'领用录入（明细）'!C:C&gt;=$J$4,'领用录入（明细）'!C:C&lt;=$L$4),ROW(),"-")</f>
        <v>-</v>
      </c>
    </row>
    <row r="16288" customHeight="1" spans="2:2">
      <c r="B16288" s="62" t="str">
        <f>IF(AND('领用录入（明细）'!D:D=$F$4,'领用录入（明细）'!C:C&gt;=$J$4,'领用录入（明细）'!C:C&lt;=$L$4),ROW(),"-")</f>
        <v>-</v>
      </c>
    </row>
    <row r="16289" customHeight="1" spans="2:2">
      <c r="B16289" s="62" t="str">
        <f>IF(AND('领用录入（明细）'!D:D=$F$4,'领用录入（明细）'!C:C&gt;=$J$4,'领用录入（明细）'!C:C&lt;=$L$4),ROW(),"-")</f>
        <v>-</v>
      </c>
    </row>
    <row r="16290" customHeight="1" spans="2:2">
      <c r="B16290" s="62" t="str">
        <f>IF(AND('领用录入（明细）'!D:D=$F$4,'领用录入（明细）'!C:C&gt;=$J$4,'领用录入（明细）'!C:C&lt;=$L$4),ROW(),"-")</f>
        <v>-</v>
      </c>
    </row>
    <row r="16291" customHeight="1" spans="2:2">
      <c r="B16291" s="62" t="str">
        <f>IF(AND('领用录入（明细）'!D:D=$F$4,'领用录入（明细）'!C:C&gt;=$J$4,'领用录入（明细）'!C:C&lt;=$L$4),ROW(),"-")</f>
        <v>-</v>
      </c>
    </row>
    <row r="16292" customHeight="1" spans="2:2">
      <c r="B16292" s="62" t="str">
        <f>IF(AND('领用录入（明细）'!D:D=$F$4,'领用录入（明细）'!C:C&gt;=$J$4,'领用录入（明细）'!C:C&lt;=$L$4),ROW(),"-")</f>
        <v>-</v>
      </c>
    </row>
    <row r="16293" customHeight="1" spans="2:2">
      <c r="B16293" s="62" t="str">
        <f>IF(AND('领用录入（明细）'!D:D=$F$4,'领用录入（明细）'!C:C&gt;=$J$4,'领用录入（明细）'!C:C&lt;=$L$4),ROW(),"-")</f>
        <v>-</v>
      </c>
    </row>
    <row r="16294" customHeight="1" spans="2:2">
      <c r="B16294" s="62" t="str">
        <f>IF(AND('领用录入（明细）'!D:D=$F$4,'领用录入（明细）'!C:C&gt;=$J$4,'领用录入（明细）'!C:C&lt;=$L$4),ROW(),"-")</f>
        <v>-</v>
      </c>
    </row>
    <row r="16295" customHeight="1" spans="2:2">
      <c r="B16295" s="62" t="str">
        <f>IF(AND('领用录入（明细）'!D:D=$F$4,'领用录入（明细）'!C:C&gt;=$J$4,'领用录入（明细）'!C:C&lt;=$L$4),ROW(),"-")</f>
        <v>-</v>
      </c>
    </row>
    <row r="16296" customHeight="1" spans="2:2">
      <c r="B16296" s="62" t="str">
        <f>IF(AND('领用录入（明细）'!D:D=$F$4,'领用录入（明细）'!C:C&gt;=$J$4,'领用录入（明细）'!C:C&lt;=$L$4),ROW(),"-")</f>
        <v>-</v>
      </c>
    </row>
    <row r="16297" customHeight="1" spans="2:2">
      <c r="B16297" s="62" t="str">
        <f>IF(AND('领用录入（明细）'!D:D=$F$4,'领用录入（明细）'!C:C&gt;=$J$4,'领用录入（明细）'!C:C&lt;=$L$4),ROW(),"-")</f>
        <v>-</v>
      </c>
    </row>
    <row r="16298" customHeight="1" spans="2:2">
      <c r="B16298" s="62" t="str">
        <f>IF(AND('领用录入（明细）'!D:D=$F$4,'领用录入（明细）'!C:C&gt;=$J$4,'领用录入（明细）'!C:C&lt;=$L$4),ROW(),"-")</f>
        <v>-</v>
      </c>
    </row>
    <row r="16299" customHeight="1" spans="2:2">
      <c r="B16299" s="62" t="str">
        <f>IF(AND('领用录入（明细）'!D:D=$F$4,'领用录入（明细）'!C:C&gt;=$J$4,'领用录入（明细）'!C:C&lt;=$L$4),ROW(),"-")</f>
        <v>-</v>
      </c>
    </row>
    <row r="16300" customHeight="1" spans="2:2">
      <c r="B16300" s="62" t="str">
        <f>IF(AND('领用录入（明细）'!D:D=$F$4,'领用录入（明细）'!C:C&gt;=$J$4,'领用录入（明细）'!C:C&lt;=$L$4),ROW(),"-")</f>
        <v>-</v>
      </c>
    </row>
    <row r="16301" customHeight="1" spans="2:2">
      <c r="B16301" s="62" t="str">
        <f>IF(AND('领用录入（明细）'!D:D=$F$4,'领用录入（明细）'!C:C&gt;=$J$4,'领用录入（明细）'!C:C&lt;=$L$4),ROW(),"-")</f>
        <v>-</v>
      </c>
    </row>
    <row r="16302" customHeight="1" spans="2:2">
      <c r="B16302" s="62" t="str">
        <f>IF(AND('领用录入（明细）'!D:D=$F$4,'领用录入（明细）'!C:C&gt;=$J$4,'领用录入（明细）'!C:C&lt;=$L$4),ROW(),"-")</f>
        <v>-</v>
      </c>
    </row>
    <row r="16303" customHeight="1" spans="2:2">
      <c r="B16303" s="62" t="str">
        <f>IF(AND('领用录入（明细）'!D:D=$F$4,'领用录入（明细）'!C:C&gt;=$J$4,'领用录入（明细）'!C:C&lt;=$L$4),ROW(),"-")</f>
        <v>-</v>
      </c>
    </row>
    <row r="16304" customHeight="1" spans="2:2">
      <c r="B16304" s="62" t="str">
        <f>IF(AND('领用录入（明细）'!D:D=$F$4,'领用录入（明细）'!C:C&gt;=$J$4,'领用录入（明细）'!C:C&lt;=$L$4),ROW(),"-")</f>
        <v>-</v>
      </c>
    </row>
    <row r="16305" customHeight="1" spans="2:2">
      <c r="B16305" s="62" t="str">
        <f>IF(AND('领用录入（明细）'!D:D=$F$4,'领用录入（明细）'!C:C&gt;=$J$4,'领用录入（明细）'!C:C&lt;=$L$4),ROW(),"-")</f>
        <v>-</v>
      </c>
    </row>
    <row r="16306" customHeight="1" spans="2:2">
      <c r="B16306" s="62" t="str">
        <f>IF(AND('领用录入（明细）'!D:D=$F$4,'领用录入（明细）'!C:C&gt;=$J$4,'领用录入（明细）'!C:C&lt;=$L$4),ROW(),"-")</f>
        <v>-</v>
      </c>
    </row>
    <row r="16307" customHeight="1" spans="2:2">
      <c r="B16307" s="62" t="str">
        <f>IF(AND('领用录入（明细）'!D:D=$F$4,'领用录入（明细）'!C:C&gt;=$J$4,'领用录入（明细）'!C:C&lt;=$L$4),ROW(),"-")</f>
        <v>-</v>
      </c>
    </row>
    <row r="16308" customHeight="1" spans="2:2">
      <c r="B16308" s="62" t="str">
        <f>IF(AND('领用录入（明细）'!D:D=$F$4,'领用录入（明细）'!C:C&gt;=$J$4,'领用录入（明细）'!C:C&lt;=$L$4),ROW(),"-")</f>
        <v>-</v>
      </c>
    </row>
    <row r="16309" customHeight="1" spans="2:2">
      <c r="B16309" s="62" t="str">
        <f>IF(AND('领用录入（明细）'!D:D=$F$4,'领用录入（明细）'!C:C&gt;=$J$4,'领用录入（明细）'!C:C&lt;=$L$4),ROW(),"-")</f>
        <v>-</v>
      </c>
    </row>
    <row r="16310" customHeight="1" spans="2:2">
      <c r="B16310" s="62" t="str">
        <f>IF(AND('领用录入（明细）'!D:D=$F$4,'领用录入（明细）'!C:C&gt;=$J$4,'领用录入（明细）'!C:C&lt;=$L$4),ROW(),"-")</f>
        <v>-</v>
      </c>
    </row>
    <row r="16311" customHeight="1" spans="2:2">
      <c r="B16311" s="62" t="str">
        <f>IF(AND('领用录入（明细）'!D:D=$F$4,'领用录入（明细）'!C:C&gt;=$J$4,'领用录入（明细）'!C:C&lt;=$L$4),ROW(),"-")</f>
        <v>-</v>
      </c>
    </row>
    <row r="16312" customHeight="1" spans="2:2">
      <c r="B16312" s="62" t="str">
        <f>IF(AND('领用录入（明细）'!D:D=$F$4,'领用录入（明细）'!C:C&gt;=$J$4,'领用录入（明细）'!C:C&lt;=$L$4),ROW(),"-")</f>
        <v>-</v>
      </c>
    </row>
    <row r="16313" customHeight="1" spans="2:2">
      <c r="B16313" s="62" t="str">
        <f>IF(AND('领用录入（明细）'!D:D=$F$4,'领用录入（明细）'!C:C&gt;=$J$4,'领用录入（明细）'!C:C&lt;=$L$4),ROW(),"-")</f>
        <v>-</v>
      </c>
    </row>
    <row r="16314" customHeight="1" spans="2:2">
      <c r="B16314" s="62" t="str">
        <f>IF(AND('领用录入（明细）'!D:D=$F$4,'领用录入（明细）'!C:C&gt;=$J$4,'领用录入（明细）'!C:C&lt;=$L$4),ROW(),"-")</f>
        <v>-</v>
      </c>
    </row>
    <row r="16315" customHeight="1" spans="2:2">
      <c r="B16315" s="62" t="str">
        <f>IF(AND('领用录入（明细）'!D:D=$F$4,'领用录入（明细）'!C:C&gt;=$J$4,'领用录入（明细）'!C:C&lt;=$L$4),ROW(),"-")</f>
        <v>-</v>
      </c>
    </row>
    <row r="16316" customHeight="1" spans="2:2">
      <c r="B16316" s="62" t="str">
        <f>IF(AND('领用录入（明细）'!D:D=$F$4,'领用录入（明细）'!C:C&gt;=$J$4,'领用录入（明细）'!C:C&lt;=$L$4),ROW(),"-")</f>
        <v>-</v>
      </c>
    </row>
    <row r="16317" customHeight="1" spans="2:2">
      <c r="B16317" s="62" t="str">
        <f>IF(AND('领用录入（明细）'!D:D=$F$4,'领用录入（明细）'!C:C&gt;=$J$4,'领用录入（明细）'!C:C&lt;=$L$4),ROW(),"-")</f>
        <v>-</v>
      </c>
    </row>
    <row r="16318" customHeight="1" spans="2:2">
      <c r="B16318" s="62" t="str">
        <f>IF(AND('领用录入（明细）'!D:D=$F$4,'领用录入（明细）'!C:C&gt;=$J$4,'领用录入（明细）'!C:C&lt;=$L$4),ROW(),"-")</f>
        <v>-</v>
      </c>
    </row>
    <row r="16319" customHeight="1" spans="2:2">
      <c r="B16319" s="62" t="str">
        <f>IF(AND('领用录入（明细）'!D:D=$F$4,'领用录入（明细）'!C:C&gt;=$J$4,'领用录入（明细）'!C:C&lt;=$L$4),ROW(),"-")</f>
        <v>-</v>
      </c>
    </row>
    <row r="16320" customHeight="1" spans="2:2">
      <c r="B16320" s="62" t="str">
        <f>IF(AND('领用录入（明细）'!D:D=$F$4,'领用录入（明细）'!C:C&gt;=$J$4,'领用录入（明细）'!C:C&lt;=$L$4),ROW(),"-")</f>
        <v>-</v>
      </c>
    </row>
    <row r="16321" customHeight="1" spans="2:2">
      <c r="B16321" s="62" t="str">
        <f>IF(AND('领用录入（明细）'!D:D=$F$4,'领用录入（明细）'!C:C&gt;=$J$4,'领用录入（明细）'!C:C&lt;=$L$4),ROW(),"-")</f>
        <v>-</v>
      </c>
    </row>
    <row r="16322" customHeight="1" spans="2:2">
      <c r="B16322" s="62" t="str">
        <f>IF(AND('领用录入（明细）'!D:D=$F$4,'领用录入（明细）'!C:C&gt;=$J$4,'领用录入（明细）'!C:C&lt;=$L$4),ROW(),"-")</f>
        <v>-</v>
      </c>
    </row>
    <row r="16323" customHeight="1" spans="2:2">
      <c r="B16323" s="62" t="str">
        <f>IF(AND('领用录入（明细）'!D:D=$F$4,'领用录入（明细）'!C:C&gt;=$J$4,'领用录入（明细）'!C:C&lt;=$L$4),ROW(),"-")</f>
        <v>-</v>
      </c>
    </row>
    <row r="16324" customHeight="1" spans="2:2">
      <c r="B16324" s="62" t="str">
        <f>IF(AND('领用录入（明细）'!D:D=$F$4,'领用录入（明细）'!C:C&gt;=$J$4,'领用录入（明细）'!C:C&lt;=$L$4),ROW(),"-")</f>
        <v>-</v>
      </c>
    </row>
    <row r="16325" customHeight="1" spans="2:2">
      <c r="B16325" s="62" t="str">
        <f>IF(AND('领用录入（明细）'!D:D=$F$4,'领用录入（明细）'!C:C&gt;=$J$4,'领用录入（明细）'!C:C&lt;=$L$4),ROW(),"-")</f>
        <v>-</v>
      </c>
    </row>
    <row r="16326" customHeight="1" spans="2:2">
      <c r="B16326" s="62" t="str">
        <f>IF(AND('领用录入（明细）'!D:D=$F$4,'领用录入（明细）'!C:C&gt;=$J$4,'领用录入（明细）'!C:C&lt;=$L$4),ROW(),"-")</f>
        <v>-</v>
      </c>
    </row>
    <row r="16327" customHeight="1" spans="2:2">
      <c r="B16327" s="62" t="str">
        <f>IF(AND('领用录入（明细）'!D:D=$F$4,'领用录入（明细）'!C:C&gt;=$J$4,'领用录入（明细）'!C:C&lt;=$L$4),ROW(),"-")</f>
        <v>-</v>
      </c>
    </row>
    <row r="16328" customHeight="1" spans="2:2">
      <c r="B16328" s="62" t="str">
        <f>IF(AND('领用录入（明细）'!D:D=$F$4,'领用录入（明细）'!C:C&gt;=$J$4,'领用录入（明细）'!C:C&lt;=$L$4),ROW(),"-")</f>
        <v>-</v>
      </c>
    </row>
    <row r="16329" customHeight="1" spans="2:2">
      <c r="B16329" s="62" t="str">
        <f>IF(AND('领用录入（明细）'!D:D=$F$4,'领用录入（明细）'!C:C&gt;=$J$4,'领用录入（明细）'!C:C&lt;=$L$4),ROW(),"-")</f>
        <v>-</v>
      </c>
    </row>
    <row r="16330" customHeight="1" spans="2:2">
      <c r="B16330" s="62" t="str">
        <f>IF(AND('领用录入（明细）'!D:D=$F$4,'领用录入（明细）'!C:C&gt;=$J$4,'领用录入（明细）'!C:C&lt;=$L$4),ROW(),"-")</f>
        <v>-</v>
      </c>
    </row>
    <row r="16331" customHeight="1" spans="2:2">
      <c r="B16331" s="62" t="str">
        <f>IF(AND('领用录入（明细）'!D:D=$F$4,'领用录入（明细）'!C:C&gt;=$J$4,'领用录入（明细）'!C:C&lt;=$L$4),ROW(),"-")</f>
        <v>-</v>
      </c>
    </row>
    <row r="16332" customHeight="1" spans="2:2">
      <c r="B16332" s="62" t="str">
        <f>IF(AND('领用录入（明细）'!D:D=$F$4,'领用录入（明细）'!C:C&gt;=$J$4,'领用录入（明细）'!C:C&lt;=$L$4),ROW(),"-")</f>
        <v>-</v>
      </c>
    </row>
    <row r="16333" customHeight="1" spans="2:2">
      <c r="B16333" s="62" t="str">
        <f>IF(AND('领用录入（明细）'!D:D=$F$4,'领用录入（明细）'!C:C&gt;=$J$4,'领用录入（明细）'!C:C&lt;=$L$4),ROW(),"-")</f>
        <v>-</v>
      </c>
    </row>
    <row r="16334" customHeight="1" spans="2:2">
      <c r="B16334" s="62" t="str">
        <f>IF(AND('领用录入（明细）'!D:D=$F$4,'领用录入（明细）'!C:C&gt;=$J$4,'领用录入（明细）'!C:C&lt;=$L$4),ROW(),"-")</f>
        <v>-</v>
      </c>
    </row>
    <row r="16335" customHeight="1" spans="2:2">
      <c r="B16335" s="62" t="str">
        <f>IF(AND('领用录入（明细）'!D:D=$F$4,'领用录入（明细）'!C:C&gt;=$J$4,'领用录入（明细）'!C:C&lt;=$L$4),ROW(),"-")</f>
        <v>-</v>
      </c>
    </row>
    <row r="16336" customHeight="1" spans="2:2">
      <c r="B16336" s="62" t="str">
        <f>IF(AND('领用录入（明细）'!D:D=$F$4,'领用录入（明细）'!C:C&gt;=$J$4,'领用录入（明细）'!C:C&lt;=$L$4),ROW(),"-")</f>
        <v>-</v>
      </c>
    </row>
    <row r="16337" customHeight="1" spans="2:2">
      <c r="B16337" s="62" t="str">
        <f>IF(AND('领用录入（明细）'!D:D=$F$4,'领用录入（明细）'!C:C&gt;=$J$4,'领用录入（明细）'!C:C&lt;=$L$4),ROW(),"-")</f>
        <v>-</v>
      </c>
    </row>
    <row r="16338" customHeight="1" spans="2:2">
      <c r="B16338" s="62" t="str">
        <f>IF(AND('领用录入（明细）'!D:D=$F$4,'领用录入（明细）'!C:C&gt;=$J$4,'领用录入（明细）'!C:C&lt;=$L$4),ROW(),"-")</f>
        <v>-</v>
      </c>
    </row>
    <row r="16339" customHeight="1" spans="2:2">
      <c r="B16339" s="62" t="str">
        <f>IF(AND('领用录入（明细）'!D:D=$F$4,'领用录入（明细）'!C:C&gt;=$J$4,'领用录入（明细）'!C:C&lt;=$L$4),ROW(),"-")</f>
        <v>-</v>
      </c>
    </row>
    <row r="16340" customHeight="1" spans="2:2">
      <c r="B16340" s="62" t="str">
        <f>IF(AND('领用录入（明细）'!D:D=$F$4,'领用录入（明细）'!C:C&gt;=$J$4,'领用录入（明细）'!C:C&lt;=$L$4),ROW(),"-")</f>
        <v>-</v>
      </c>
    </row>
    <row r="16341" customHeight="1" spans="2:2">
      <c r="B16341" s="62" t="str">
        <f>IF(AND('领用录入（明细）'!D:D=$F$4,'领用录入（明细）'!C:C&gt;=$J$4,'领用录入（明细）'!C:C&lt;=$L$4),ROW(),"-")</f>
        <v>-</v>
      </c>
    </row>
    <row r="16342" customHeight="1" spans="2:2">
      <c r="B16342" s="62" t="str">
        <f>IF(AND('领用录入（明细）'!D:D=$F$4,'领用录入（明细）'!C:C&gt;=$J$4,'领用录入（明细）'!C:C&lt;=$L$4),ROW(),"-")</f>
        <v>-</v>
      </c>
    </row>
    <row r="16343" customHeight="1" spans="2:2">
      <c r="B16343" s="62" t="str">
        <f>IF(AND('领用录入（明细）'!D:D=$F$4,'领用录入（明细）'!C:C&gt;=$J$4,'领用录入（明细）'!C:C&lt;=$L$4),ROW(),"-")</f>
        <v>-</v>
      </c>
    </row>
    <row r="16344" customHeight="1" spans="2:2">
      <c r="B16344" s="62" t="str">
        <f>IF(AND('领用录入（明细）'!D:D=$F$4,'领用录入（明细）'!C:C&gt;=$J$4,'领用录入（明细）'!C:C&lt;=$L$4),ROW(),"-")</f>
        <v>-</v>
      </c>
    </row>
    <row r="16345" customHeight="1" spans="2:2">
      <c r="B16345" s="62" t="str">
        <f>IF(AND('领用录入（明细）'!D:D=$F$4,'领用录入（明细）'!C:C&gt;=$J$4,'领用录入（明细）'!C:C&lt;=$L$4),ROW(),"-")</f>
        <v>-</v>
      </c>
    </row>
    <row r="16346" customHeight="1" spans="2:2">
      <c r="B16346" s="62" t="str">
        <f>IF(AND('领用录入（明细）'!D:D=$F$4,'领用录入（明细）'!C:C&gt;=$J$4,'领用录入（明细）'!C:C&lt;=$L$4),ROW(),"-")</f>
        <v>-</v>
      </c>
    </row>
    <row r="16347" customHeight="1" spans="2:2">
      <c r="B16347" s="62" t="str">
        <f>IF(AND('领用录入（明细）'!D:D=$F$4,'领用录入（明细）'!C:C&gt;=$J$4,'领用录入（明细）'!C:C&lt;=$L$4),ROW(),"-")</f>
        <v>-</v>
      </c>
    </row>
    <row r="16348" customHeight="1" spans="2:2">
      <c r="B16348" s="62" t="str">
        <f>IF(AND('领用录入（明细）'!D:D=$F$4,'领用录入（明细）'!C:C&gt;=$J$4,'领用录入（明细）'!C:C&lt;=$L$4),ROW(),"-")</f>
        <v>-</v>
      </c>
    </row>
    <row r="16349" customHeight="1" spans="2:2">
      <c r="B16349" s="62" t="str">
        <f>IF(AND('领用录入（明细）'!D:D=$F$4,'领用录入（明细）'!C:C&gt;=$J$4,'领用录入（明细）'!C:C&lt;=$L$4),ROW(),"-")</f>
        <v>-</v>
      </c>
    </row>
    <row r="16350" customHeight="1" spans="2:2">
      <c r="B16350" s="62" t="str">
        <f>IF(AND('领用录入（明细）'!D:D=$F$4,'领用录入（明细）'!C:C&gt;=$J$4,'领用录入（明细）'!C:C&lt;=$L$4),ROW(),"-")</f>
        <v>-</v>
      </c>
    </row>
    <row r="16351" customHeight="1" spans="2:2">
      <c r="B16351" s="62" t="str">
        <f>IF(AND('领用录入（明细）'!D:D=$F$4,'领用录入（明细）'!C:C&gt;=$J$4,'领用录入（明细）'!C:C&lt;=$L$4),ROW(),"-")</f>
        <v>-</v>
      </c>
    </row>
    <row r="16352" customHeight="1" spans="2:2">
      <c r="B16352" s="62" t="str">
        <f>IF(AND('领用录入（明细）'!D:D=$F$4,'领用录入（明细）'!C:C&gt;=$J$4,'领用录入（明细）'!C:C&lt;=$L$4),ROW(),"-")</f>
        <v>-</v>
      </c>
    </row>
    <row r="16353" customHeight="1" spans="2:2">
      <c r="B16353" s="62" t="str">
        <f>IF(AND('领用录入（明细）'!D:D=$F$4,'领用录入（明细）'!C:C&gt;=$J$4,'领用录入（明细）'!C:C&lt;=$L$4),ROW(),"-")</f>
        <v>-</v>
      </c>
    </row>
    <row r="16354" customHeight="1" spans="2:2">
      <c r="B16354" s="62" t="str">
        <f>IF(AND('领用录入（明细）'!D:D=$F$4,'领用录入（明细）'!C:C&gt;=$J$4,'领用录入（明细）'!C:C&lt;=$L$4),ROW(),"-")</f>
        <v>-</v>
      </c>
    </row>
    <row r="16355" customHeight="1" spans="2:2">
      <c r="B16355" s="62" t="str">
        <f>IF(AND('领用录入（明细）'!D:D=$F$4,'领用录入（明细）'!C:C&gt;=$J$4,'领用录入（明细）'!C:C&lt;=$L$4),ROW(),"-")</f>
        <v>-</v>
      </c>
    </row>
    <row r="16356" customHeight="1" spans="2:2">
      <c r="B16356" s="62" t="str">
        <f>IF(AND('领用录入（明细）'!D:D=$F$4,'领用录入（明细）'!C:C&gt;=$J$4,'领用录入（明细）'!C:C&lt;=$L$4),ROW(),"-")</f>
        <v>-</v>
      </c>
    </row>
    <row r="16357" customHeight="1" spans="2:2">
      <c r="B16357" s="62" t="str">
        <f>IF(AND('领用录入（明细）'!D:D=$F$4,'领用录入（明细）'!C:C&gt;=$J$4,'领用录入（明细）'!C:C&lt;=$L$4),ROW(),"-")</f>
        <v>-</v>
      </c>
    </row>
    <row r="16358" customHeight="1" spans="2:2">
      <c r="B16358" s="62" t="str">
        <f>IF(AND('领用录入（明细）'!D:D=$F$4,'领用录入（明细）'!C:C&gt;=$J$4,'领用录入（明细）'!C:C&lt;=$L$4),ROW(),"-")</f>
        <v>-</v>
      </c>
    </row>
    <row r="16359" customHeight="1" spans="2:2">
      <c r="B16359" s="62" t="str">
        <f>IF(AND('领用录入（明细）'!D:D=$F$4,'领用录入（明细）'!C:C&gt;=$J$4,'领用录入（明细）'!C:C&lt;=$L$4),ROW(),"-")</f>
        <v>-</v>
      </c>
    </row>
    <row r="16360" customHeight="1" spans="2:2">
      <c r="B16360" s="62" t="str">
        <f>IF(AND('领用录入（明细）'!D:D=$F$4,'领用录入（明细）'!C:C&gt;=$J$4,'领用录入（明细）'!C:C&lt;=$L$4),ROW(),"-")</f>
        <v>-</v>
      </c>
    </row>
    <row r="16361" customHeight="1" spans="2:2">
      <c r="B16361" s="62" t="str">
        <f>IF(AND('领用录入（明细）'!D:D=$F$4,'领用录入（明细）'!C:C&gt;=$J$4,'领用录入（明细）'!C:C&lt;=$L$4),ROW(),"-")</f>
        <v>-</v>
      </c>
    </row>
    <row r="16362" customHeight="1" spans="2:2">
      <c r="B16362" s="62" t="str">
        <f>IF(AND('领用录入（明细）'!D:D=$F$4,'领用录入（明细）'!C:C&gt;=$J$4,'领用录入（明细）'!C:C&lt;=$L$4),ROW(),"-")</f>
        <v>-</v>
      </c>
    </row>
    <row r="16363" customHeight="1" spans="2:2">
      <c r="B16363" s="62" t="str">
        <f>IF(AND('领用录入（明细）'!D:D=$F$4,'领用录入（明细）'!C:C&gt;=$J$4,'领用录入（明细）'!C:C&lt;=$L$4),ROW(),"-")</f>
        <v>-</v>
      </c>
    </row>
    <row r="16364" customHeight="1" spans="2:2">
      <c r="B16364" s="62" t="str">
        <f>IF(AND('领用录入（明细）'!D:D=$F$4,'领用录入（明细）'!C:C&gt;=$J$4,'领用录入（明细）'!C:C&lt;=$L$4),ROW(),"-")</f>
        <v>-</v>
      </c>
    </row>
    <row r="16365" customHeight="1" spans="2:2">
      <c r="B16365" s="62" t="str">
        <f>IF(AND('领用录入（明细）'!D:D=$F$4,'领用录入（明细）'!C:C&gt;=$J$4,'领用录入（明细）'!C:C&lt;=$L$4),ROW(),"-")</f>
        <v>-</v>
      </c>
    </row>
    <row r="16366" customHeight="1" spans="2:2">
      <c r="B16366" s="62" t="str">
        <f>IF(AND('领用录入（明细）'!D:D=$F$4,'领用录入（明细）'!C:C&gt;=$J$4,'领用录入（明细）'!C:C&lt;=$L$4),ROW(),"-")</f>
        <v>-</v>
      </c>
    </row>
    <row r="16367" customHeight="1" spans="2:2">
      <c r="B16367" s="62" t="str">
        <f>IF(AND('领用录入（明细）'!D:D=$F$4,'领用录入（明细）'!C:C&gt;=$J$4,'领用录入（明细）'!C:C&lt;=$L$4),ROW(),"-")</f>
        <v>-</v>
      </c>
    </row>
    <row r="16368" customHeight="1" spans="2:2">
      <c r="B16368" s="62" t="str">
        <f>IF(AND('领用录入（明细）'!D:D=$F$4,'领用录入（明细）'!C:C&gt;=$J$4,'领用录入（明细）'!C:C&lt;=$L$4),ROW(),"-")</f>
        <v>-</v>
      </c>
    </row>
    <row r="16369" customHeight="1" spans="2:2">
      <c r="B16369" s="62" t="str">
        <f>IF(AND('领用录入（明细）'!D:D=$F$4,'领用录入（明细）'!C:C&gt;=$J$4,'领用录入（明细）'!C:C&lt;=$L$4),ROW(),"-")</f>
        <v>-</v>
      </c>
    </row>
    <row r="16370" customHeight="1" spans="2:2">
      <c r="B16370" s="62" t="str">
        <f>IF(AND('领用录入（明细）'!D:D=$F$4,'领用录入（明细）'!C:C&gt;=$J$4,'领用录入（明细）'!C:C&lt;=$L$4),ROW(),"-")</f>
        <v>-</v>
      </c>
    </row>
    <row r="16371" customHeight="1" spans="2:2">
      <c r="B16371" s="62" t="str">
        <f>IF(AND('领用录入（明细）'!D:D=$F$4,'领用录入（明细）'!C:C&gt;=$J$4,'领用录入（明细）'!C:C&lt;=$L$4),ROW(),"-")</f>
        <v>-</v>
      </c>
    </row>
    <row r="16372" customHeight="1" spans="2:2">
      <c r="B16372" s="62" t="str">
        <f>IF(AND('领用录入（明细）'!D:D=$F$4,'领用录入（明细）'!C:C&gt;=$J$4,'领用录入（明细）'!C:C&lt;=$L$4),ROW(),"-")</f>
        <v>-</v>
      </c>
    </row>
    <row r="16373" customHeight="1" spans="2:2">
      <c r="B16373" s="62" t="str">
        <f>IF(AND('领用录入（明细）'!D:D=$F$4,'领用录入（明细）'!C:C&gt;=$J$4,'领用录入（明细）'!C:C&lt;=$L$4),ROW(),"-")</f>
        <v>-</v>
      </c>
    </row>
    <row r="16374" customHeight="1" spans="2:2">
      <c r="B16374" s="62" t="str">
        <f>IF(AND('领用录入（明细）'!D:D=$F$4,'领用录入（明细）'!C:C&gt;=$J$4,'领用录入（明细）'!C:C&lt;=$L$4),ROW(),"-")</f>
        <v>-</v>
      </c>
    </row>
    <row r="16375" customHeight="1" spans="2:2">
      <c r="B16375" s="62" t="str">
        <f>IF(AND('领用录入（明细）'!D:D=$F$4,'领用录入（明细）'!C:C&gt;=$J$4,'领用录入（明细）'!C:C&lt;=$L$4),ROW(),"-")</f>
        <v>-</v>
      </c>
    </row>
    <row r="16376" customHeight="1" spans="2:2">
      <c r="B16376" s="62" t="str">
        <f>IF(AND('领用录入（明细）'!D:D=$F$4,'领用录入（明细）'!C:C&gt;=$J$4,'领用录入（明细）'!C:C&lt;=$L$4),ROW(),"-")</f>
        <v>-</v>
      </c>
    </row>
    <row r="16377" customHeight="1" spans="2:2">
      <c r="B16377" s="62" t="str">
        <f>IF(AND('领用录入（明细）'!D:D=$F$4,'领用录入（明细）'!C:C&gt;=$J$4,'领用录入（明细）'!C:C&lt;=$L$4),ROW(),"-")</f>
        <v>-</v>
      </c>
    </row>
    <row r="16378" customHeight="1" spans="2:2">
      <c r="B16378" s="62" t="str">
        <f>IF(AND('领用录入（明细）'!D:D=$F$4,'领用录入（明细）'!C:C&gt;=$J$4,'领用录入（明细）'!C:C&lt;=$L$4),ROW(),"-")</f>
        <v>-</v>
      </c>
    </row>
    <row r="16379" customHeight="1" spans="2:2">
      <c r="B16379" s="62" t="str">
        <f>IF(AND('领用录入（明细）'!D:D=$F$4,'领用录入（明细）'!C:C&gt;=$J$4,'领用录入（明细）'!C:C&lt;=$L$4),ROW(),"-")</f>
        <v>-</v>
      </c>
    </row>
    <row r="16380" customHeight="1" spans="2:2">
      <c r="B16380" s="62" t="str">
        <f>IF(AND('领用录入（明细）'!D:D=$F$4,'领用录入（明细）'!C:C&gt;=$J$4,'领用录入（明细）'!C:C&lt;=$L$4),ROW(),"-")</f>
        <v>-</v>
      </c>
    </row>
    <row r="16381" customHeight="1" spans="2:2">
      <c r="B16381" s="62" t="str">
        <f>IF(AND('领用录入（明细）'!D:D=$F$4,'领用录入（明细）'!C:C&gt;=$J$4,'领用录入（明细）'!C:C&lt;=$L$4),ROW(),"-")</f>
        <v>-</v>
      </c>
    </row>
    <row r="16382" customHeight="1" spans="2:2">
      <c r="B16382" s="62" t="str">
        <f>IF(AND('领用录入（明细）'!D:D=$F$4,'领用录入（明细）'!C:C&gt;=$J$4,'领用录入（明细）'!C:C&lt;=$L$4),ROW(),"-")</f>
        <v>-</v>
      </c>
    </row>
    <row r="16383" customHeight="1" spans="2:2">
      <c r="B16383" s="62" t="str">
        <f>IF(AND('领用录入（明细）'!D:D=$F$4,'领用录入（明细）'!C:C&gt;=$J$4,'领用录入（明细）'!C:C&lt;=$L$4),ROW(),"-")</f>
        <v>-</v>
      </c>
    </row>
    <row r="16384" customHeight="1" spans="2:2">
      <c r="B16384" s="62" t="str">
        <f>IF(AND('领用录入（明细）'!D:D=$F$4,'领用录入（明细）'!C:C&gt;=$J$4,'领用录入（明细）'!C:C&lt;=$L$4),ROW(),"-")</f>
        <v>-</v>
      </c>
    </row>
    <row r="16385" customHeight="1" spans="2:2">
      <c r="B16385" s="62" t="str">
        <f>IF(AND('领用录入（明细）'!D:D=$F$4,'领用录入（明细）'!C:C&gt;=$J$4,'领用录入（明细）'!C:C&lt;=$L$4),ROW(),"-")</f>
        <v>-</v>
      </c>
    </row>
    <row r="16386" customHeight="1" spans="2:2">
      <c r="B16386" s="62" t="str">
        <f>IF(AND('领用录入（明细）'!D:D=$F$4,'领用录入（明细）'!C:C&gt;=$J$4,'领用录入（明细）'!C:C&lt;=$L$4),ROW(),"-")</f>
        <v>-</v>
      </c>
    </row>
    <row r="16387" customHeight="1" spans="2:2">
      <c r="B16387" s="62" t="str">
        <f>IF(AND('领用录入（明细）'!D:D=$F$4,'领用录入（明细）'!C:C&gt;=$J$4,'领用录入（明细）'!C:C&lt;=$L$4),ROW(),"-")</f>
        <v>-</v>
      </c>
    </row>
    <row r="16388" customHeight="1" spans="2:2">
      <c r="B16388" s="62" t="str">
        <f>IF(AND('领用录入（明细）'!D:D=$F$4,'领用录入（明细）'!C:C&gt;=$J$4,'领用录入（明细）'!C:C&lt;=$L$4),ROW(),"-")</f>
        <v>-</v>
      </c>
    </row>
    <row r="16389" customHeight="1" spans="2:2">
      <c r="B16389" s="62" t="str">
        <f>IF(AND('领用录入（明细）'!D:D=$F$4,'领用录入（明细）'!C:C&gt;=$J$4,'领用录入（明细）'!C:C&lt;=$L$4),ROW(),"-")</f>
        <v>-</v>
      </c>
    </row>
    <row r="16390" customHeight="1" spans="2:2">
      <c r="B16390" s="62" t="str">
        <f>IF(AND('领用录入（明细）'!D:D=$F$4,'领用录入（明细）'!C:C&gt;=$J$4,'领用录入（明细）'!C:C&lt;=$L$4),ROW(),"-")</f>
        <v>-</v>
      </c>
    </row>
    <row r="16391" customHeight="1" spans="2:2">
      <c r="B16391" s="62" t="str">
        <f>IF(AND('领用录入（明细）'!D:D=$F$4,'领用录入（明细）'!C:C&gt;=$J$4,'领用录入（明细）'!C:C&lt;=$L$4),ROW(),"-")</f>
        <v>-</v>
      </c>
    </row>
    <row r="16392" customHeight="1" spans="2:2">
      <c r="B16392" s="62" t="str">
        <f>IF(AND('领用录入（明细）'!D:D=$F$4,'领用录入（明细）'!C:C&gt;=$J$4,'领用录入（明细）'!C:C&lt;=$L$4),ROW(),"-")</f>
        <v>-</v>
      </c>
    </row>
    <row r="16393" customHeight="1" spans="2:2">
      <c r="B16393" s="62" t="str">
        <f>IF(AND('领用录入（明细）'!D:D=$F$4,'领用录入（明细）'!C:C&gt;=$J$4,'领用录入（明细）'!C:C&lt;=$L$4),ROW(),"-")</f>
        <v>-</v>
      </c>
    </row>
    <row r="16394" customHeight="1" spans="2:2">
      <c r="B16394" s="62" t="str">
        <f>IF(AND('领用录入（明细）'!D:D=$F$4,'领用录入（明细）'!C:C&gt;=$J$4,'领用录入（明细）'!C:C&lt;=$L$4),ROW(),"-")</f>
        <v>-</v>
      </c>
    </row>
    <row r="16395" customHeight="1" spans="2:2">
      <c r="B16395" s="62" t="str">
        <f>IF(AND('领用录入（明细）'!D:D=$F$4,'领用录入（明细）'!C:C&gt;=$J$4,'领用录入（明细）'!C:C&lt;=$L$4),ROW(),"-")</f>
        <v>-</v>
      </c>
    </row>
    <row r="16396" customHeight="1" spans="2:2">
      <c r="B16396" s="62" t="str">
        <f>IF(AND('领用录入（明细）'!D:D=$F$4,'领用录入（明细）'!C:C&gt;=$J$4,'领用录入（明细）'!C:C&lt;=$L$4),ROW(),"-")</f>
        <v>-</v>
      </c>
    </row>
    <row r="16397" customHeight="1" spans="2:2">
      <c r="B16397" s="62" t="str">
        <f>IF(AND('领用录入（明细）'!D:D=$F$4,'领用录入（明细）'!C:C&gt;=$J$4,'领用录入（明细）'!C:C&lt;=$L$4),ROW(),"-")</f>
        <v>-</v>
      </c>
    </row>
    <row r="16398" customHeight="1" spans="2:2">
      <c r="B16398" s="62" t="str">
        <f>IF(AND('领用录入（明细）'!D:D=$F$4,'领用录入（明细）'!C:C&gt;=$J$4,'领用录入（明细）'!C:C&lt;=$L$4),ROW(),"-")</f>
        <v>-</v>
      </c>
    </row>
    <row r="16399" customHeight="1" spans="2:2">
      <c r="B16399" s="62" t="str">
        <f>IF(AND('领用录入（明细）'!D:D=$F$4,'领用录入（明细）'!C:C&gt;=$J$4,'领用录入（明细）'!C:C&lt;=$L$4),ROW(),"-")</f>
        <v>-</v>
      </c>
    </row>
    <row r="16400" customHeight="1" spans="2:2">
      <c r="B16400" s="62" t="str">
        <f>IF(AND('领用录入（明细）'!D:D=$F$4,'领用录入（明细）'!C:C&gt;=$J$4,'领用录入（明细）'!C:C&lt;=$L$4),ROW(),"-")</f>
        <v>-</v>
      </c>
    </row>
    <row r="16401" customHeight="1" spans="2:2">
      <c r="B16401" s="62" t="str">
        <f>IF(AND('领用录入（明细）'!D:D=$F$4,'领用录入（明细）'!C:C&gt;=$J$4,'领用录入（明细）'!C:C&lt;=$L$4),ROW(),"-")</f>
        <v>-</v>
      </c>
    </row>
    <row r="16402" customHeight="1" spans="2:2">
      <c r="B16402" s="62" t="str">
        <f>IF(AND('领用录入（明细）'!D:D=$F$4,'领用录入（明细）'!C:C&gt;=$J$4,'领用录入（明细）'!C:C&lt;=$L$4),ROW(),"-")</f>
        <v>-</v>
      </c>
    </row>
    <row r="16403" customHeight="1" spans="2:2">
      <c r="B16403" s="62" t="str">
        <f>IF(AND('领用录入（明细）'!D:D=$F$4,'领用录入（明细）'!C:C&gt;=$J$4,'领用录入（明细）'!C:C&lt;=$L$4),ROW(),"-")</f>
        <v>-</v>
      </c>
    </row>
    <row r="16404" customHeight="1" spans="2:2">
      <c r="B16404" s="62" t="str">
        <f>IF(AND('领用录入（明细）'!D:D=$F$4,'领用录入（明细）'!C:C&gt;=$J$4,'领用录入（明细）'!C:C&lt;=$L$4),ROW(),"-")</f>
        <v>-</v>
      </c>
    </row>
    <row r="16405" customHeight="1" spans="2:2">
      <c r="B16405" s="62" t="str">
        <f>IF(AND('领用录入（明细）'!D:D=$F$4,'领用录入（明细）'!C:C&gt;=$J$4,'领用录入（明细）'!C:C&lt;=$L$4),ROW(),"-")</f>
        <v>-</v>
      </c>
    </row>
    <row r="16406" customHeight="1" spans="2:2">
      <c r="B16406" s="62" t="str">
        <f>IF(AND('领用录入（明细）'!D:D=$F$4,'领用录入（明细）'!C:C&gt;=$J$4,'领用录入（明细）'!C:C&lt;=$L$4),ROW(),"-")</f>
        <v>-</v>
      </c>
    </row>
    <row r="16407" customHeight="1" spans="2:2">
      <c r="B16407" s="62" t="str">
        <f>IF(AND('领用录入（明细）'!D:D=$F$4,'领用录入（明细）'!C:C&gt;=$J$4,'领用录入（明细）'!C:C&lt;=$L$4),ROW(),"-")</f>
        <v>-</v>
      </c>
    </row>
    <row r="16408" customHeight="1" spans="2:2">
      <c r="B16408" s="62" t="str">
        <f>IF(AND('领用录入（明细）'!D:D=$F$4,'领用录入（明细）'!C:C&gt;=$J$4,'领用录入（明细）'!C:C&lt;=$L$4),ROW(),"-")</f>
        <v>-</v>
      </c>
    </row>
    <row r="16409" customHeight="1" spans="2:2">
      <c r="B16409" s="62" t="str">
        <f>IF(AND('领用录入（明细）'!D:D=$F$4,'领用录入（明细）'!C:C&gt;=$J$4,'领用录入（明细）'!C:C&lt;=$L$4),ROW(),"-")</f>
        <v>-</v>
      </c>
    </row>
    <row r="16410" customHeight="1" spans="2:2">
      <c r="B16410" s="62" t="str">
        <f>IF(AND('领用录入（明细）'!D:D=$F$4,'领用录入（明细）'!C:C&gt;=$J$4,'领用录入（明细）'!C:C&lt;=$L$4),ROW(),"-")</f>
        <v>-</v>
      </c>
    </row>
    <row r="16411" customHeight="1" spans="2:2">
      <c r="B16411" s="62" t="str">
        <f>IF(AND('领用录入（明细）'!D:D=$F$4,'领用录入（明细）'!C:C&gt;=$J$4,'领用录入（明细）'!C:C&lt;=$L$4),ROW(),"-")</f>
        <v>-</v>
      </c>
    </row>
    <row r="16412" customHeight="1" spans="2:2">
      <c r="B16412" s="62" t="str">
        <f>IF(AND('领用录入（明细）'!D:D=$F$4,'领用录入（明细）'!C:C&gt;=$J$4,'领用录入（明细）'!C:C&lt;=$L$4),ROW(),"-")</f>
        <v>-</v>
      </c>
    </row>
    <row r="16413" customHeight="1" spans="2:2">
      <c r="B16413" s="62" t="str">
        <f>IF(AND('领用录入（明细）'!D:D=$F$4,'领用录入（明细）'!C:C&gt;=$J$4,'领用录入（明细）'!C:C&lt;=$L$4),ROW(),"-")</f>
        <v>-</v>
      </c>
    </row>
    <row r="16414" customHeight="1" spans="2:2">
      <c r="B16414" s="62" t="str">
        <f>IF(AND('领用录入（明细）'!D:D=$F$4,'领用录入（明细）'!C:C&gt;=$J$4,'领用录入（明细）'!C:C&lt;=$L$4),ROW(),"-")</f>
        <v>-</v>
      </c>
    </row>
    <row r="16415" customHeight="1" spans="2:2">
      <c r="B16415" s="62" t="str">
        <f>IF(AND('领用录入（明细）'!D:D=$F$4,'领用录入（明细）'!C:C&gt;=$J$4,'领用录入（明细）'!C:C&lt;=$L$4),ROW(),"-")</f>
        <v>-</v>
      </c>
    </row>
    <row r="16416" customHeight="1" spans="2:2">
      <c r="B16416" s="62" t="str">
        <f>IF(AND('领用录入（明细）'!D:D=$F$4,'领用录入（明细）'!C:C&gt;=$J$4,'领用录入（明细）'!C:C&lt;=$L$4),ROW(),"-")</f>
        <v>-</v>
      </c>
    </row>
    <row r="16417" customHeight="1" spans="2:2">
      <c r="B16417" s="62" t="str">
        <f>IF(AND('领用录入（明细）'!D:D=$F$4,'领用录入（明细）'!C:C&gt;=$J$4,'领用录入（明细）'!C:C&lt;=$L$4),ROW(),"-")</f>
        <v>-</v>
      </c>
    </row>
    <row r="16418" customHeight="1" spans="2:2">
      <c r="B16418" s="62" t="str">
        <f>IF(AND('领用录入（明细）'!D:D=$F$4,'领用录入（明细）'!C:C&gt;=$J$4,'领用录入（明细）'!C:C&lt;=$L$4),ROW(),"-")</f>
        <v>-</v>
      </c>
    </row>
    <row r="16419" customHeight="1" spans="2:2">
      <c r="B16419" s="62" t="str">
        <f>IF(AND('领用录入（明细）'!D:D=$F$4,'领用录入（明细）'!C:C&gt;=$J$4,'领用录入（明细）'!C:C&lt;=$L$4),ROW(),"-")</f>
        <v>-</v>
      </c>
    </row>
    <row r="16420" customHeight="1" spans="2:2">
      <c r="B16420" s="62" t="str">
        <f>IF(AND('领用录入（明细）'!D:D=$F$4,'领用录入（明细）'!C:C&gt;=$J$4,'领用录入（明细）'!C:C&lt;=$L$4),ROW(),"-")</f>
        <v>-</v>
      </c>
    </row>
    <row r="16421" customHeight="1" spans="2:2">
      <c r="B16421" s="62" t="str">
        <f>IF(AND('领用录入（明细）'!D:D=$F$4,'领用录入（明细）'!C:C&gt;=$J$4,'领用录入（明细）'!C:C&lt;=$L$4),ROW(),"-")</f>
        <v>-</v>
      </c>
    </row>
    <row r="16422" customHeight="1" spans="2:2">
      <c r="B16422" s="62" t="str">
        <f>IF(AND('领用录入（明细）'!D:D=$F$4,'领用录入（明细）'!C:C&gt;=$J$4,'领用录入（明细）'!C:C&lt;=$L$4),ROW(),"-")</f>
        <v>-</v>
      </c>
    </row>
    <row r="16423" customHeight="1" spans="2:2">
      <c r="B16423" s="62" t="str">
        <f>IF(AND('领用录入（明细）'!D:D=$F$4,'领用录入（明细）'!C:C&gt;=$J$4,'领用录入（明细）'!C:C&lt;=$L$4),ROW(),"-")</f>
        <v>-</v>
      </c>
    </row>
    <row r="16424" customHeight="1" spans="2:2">
      <c r="B16424" s="62" t="str">
        <f>IF(AND('领用录入（明细）'!D:D=$F$4,'领用录入（明细）'!C:C&gt;=$J$4,'领用录入（明细）'!C:C&lt;=$L$4),ROW(),"-")</f>
        <v>-</v>
      </c>
    </row>
    <row r="16425" customHeight="1" spans="2:2">
      <c r="B16425" s="62" t="str">
        <f>IF(AND('领用录入（明细）'!D:D=$F$4,'领用录入（明细）'!C:C&gt;=$J$4,'领用录入（明细）'!C:C&lt;=$L$4),ROW(),"-")</f>
        <v>-</v>
      </c>
    </row>
    <row r="16426" customHeight="1" spans="2:2">
      <c r="B16426" s="62" t="str">
        <f>IF(AND('领用录入（明细）'!D:D=$F$4,'领用录入（明细）'!C:C&gt;=$J$4,'领用录入（明细）'!C:C&lt;=$L$4),ROW(),"-")</f>
        <v>-</v>
      </c>
    </row>
    <row r="16427" customHeight="1" spans="2:2">
      <c r="B16427" s="62" t="str">
        <f>IF(AND('领用录入（明细）'!D:D=$F$4,'领用录入（明细）'!C:C&gt;=$J$4,'领用录入（明细）'!C:C&lt;=$L$4),ROW(),"-")</f>
        <v>-</v>
      </c>
    </row>
    <row r="16428" customHeight="1" spans="2:2">
      <c r="B16428" s="62" t="str">
        <f>IF(AND('领用录入（明细）'!D:D=$F$4,'领用录入（明细）'!C:C&gt;=$J$4,'领用录入（明细）'!C:C&lt;=$L$4),ROW(),"-")</f>
        <v>-</v>
      </c>
    </row>
    <row r="16429" customHeight="1" spans="2:2">
      <c r="B16429" s="62" t="str">
        <f>IF(AND('领用录入（明细）'!D:D=$F$4,'领用录入（明细）'!C:C&gt;=$J$4,'领用录入（明细）'!C:C&lt;=$L$4),ROW(),"-")</f>
        <v>-</v>
      </c>
    </row>
    <row r="16430" customHeight="1" spans="2:2">
      <c r="B16430" s="62" t="str">
        <f>IF(AND('领用录入（明细）'!D:D=$F$4,'领用录入（明细）'!C:C&gt;=$J$4,'领用录入（明细）'!C:C&lt;=$L$4),ROW(),"-")</f>
        <v>-</v>
      </c>
    </row>
    <row r="16431" customHeight="1" spans="2:2">
      <c r="B16431" s="62" t="str">
        <f>IF(AND('领用录入（明细）'!D:D=$F$4,'领用录入（明细）'!C:C&gt;=$J$4,'领用录入（明细）'!C:C&lt;=$L$4),ROW(),"-")</f>
        <v>-</v>
      </c>
    </row>
    <row r="16432" customHeight="1" spans="2:2">
      <c r="B16432" s="62" t="str">
        <f>IF(AND('领用录入（明细）'!D:D=$F$4,'领用录入（明细）'!C:C&gt;=$J$4,'领用录入（明细）'!C:C&lt;=$L$4),ROW(),"-")</f>
        <v>-</v>
      </c>
    </row>
    <row r="16433" customHeight="1" spans="2:2">
      <c r="B16433" s="62" t="str">
        <f>IF(AND('领用录入（明细）'!D:D=$F$4,'领用录入（明细）'!C:C&gt;=$J$4,'领用录入（明细）'!C:C&lt;=$L$4),ROW(),"-")</f>
        <v>-</v>
      </c>
    </row>
    <row r="16434" customHeight="1" spans="2:2">
      <c r="B16434" s="62" t="str">
        <f>IF(AND('领用录入（明细）'!D:D=$F$4,'领用录入（明细）'!C:C&gt;=$J$4,'领用录入（明细）'!C:C&lt;=$L$4),ROW(),"-")</f>
        <v>-</v>
      </c>
    </row>
    <row r="16435" customHeight="1" spans="2:2">
      <c r="B16435" s="62" t="str">
        <f>IF(AND('领用录入（明细）'!D:D=$F$4,'领用录入（明细）'!C:C&gt;=$J$4,'领用录入（明细）'!C:C&lt;=$L$4),ROW(),"-")</f>
        <v>-</v>
      </c>
    </row>
    <row r="16436" customHeight="1" spans="2:2">
      <c r="B16436" s="62" t="str">
        <f>IF(AND('领用录入（明细）'!D:D=$F$4,'领用录入（明细）'!C:C&gt;=$J$4,'领用录入（明细）'!C:C&lt;=$L$4),ROW(),"-")</f>
        <v>-</v>
      </c>
    </row>
    <row r="16437" customHeight="1" spans="2:2">
      <c r="B16437" s="62" t="str">
        <f>IF(AND('领用录入（明细）'!D:D=$F$4,'领用录入（明细）'!C:C&gt;=$J$4,'领用录入（明细）'!C:C&lt;=$L$4),ROW(),"-")</f>
        <v>-</v>
      </c>
    </row>
    <row r="16438" customHeight="1" spans="2:2">
      <c r="B16438" s="62" t="str">
        <f>IF(AND('领用录入（明细）'!D:D=$F$4,'领用录入（明细）'!C:C&gt;=$J$4,'领用录入（明细）'!C:C&lt;=$L$4),ROW(),"-")</f>
        <v>-</v>
      </c>
    </row>
    <row r="16439" customHeight="1" spans="2:2">
      <c r="B16439" s="62" t="str">
        <f>IF(AND('领用录入（明细）'!D:D=$F$4,'领用录入（明细）'!C:C&gt;=$J$4,'领用录入（明细）'!C:C&lt;=$L$4),ROW(),"-")</f>
        <v>-</v>
      </c>
    </row>
    <row r="16440" customHeight="1" spans="2:2">
      <c r="B16440" s="62" t="str">
        <f>IF(AND('领用录入（明细）'!D:D=$F$4,'领用录入（明细）'!C:C&gt;=$J$4,'领用录入（明细）'!C:C&lt;=$L$4),ROW(),"-")</f>
        <v>-</v>
      </c>
    </row>
    <row r="16441" customHeight="1" spans="2:2">
      <c r="B16441" s="62" t="str">
        <f>IF(AND('领用录入（明细）'!D:D=$F$4,'领用录入（明细）'!C:C&gt;=$J$4,'领用录入（明细）'!C:C&lt;=$L$4),ROW(),"-")</f>
        <v>-</v>
      </c>
    </row>
    <row r="16442" customHeight="1" spans="2:2">
      <c r="B16442" s="62" t="str">
        <f>IF(AND('领用录入（明细）'!D:D=$F$4,'领用录入（明细）'!C:C&gt;=$J$4,'领用录入（明细）'!C:C&lt;=$L$4),ROW(),"-")</f>
        <v>-</v>
      </c>
    </row>
    <row r="16443" customHeight="1" spans="2:2">
      <c r="B16443" s="62" t="str">
        <f>IF(AND('领用录入（明细）'!D:D=$F$4,'领用录入（明细）'!C:C&gt;=$J$4,'领用录入（明细）'!C:C&lt;=$L$4),ROW(),"-")</f>
        <v>-</v>
      </c>
    </row>
    <row r="16444" customHeight="1" spans="2:2">
      <c r="B16444" s="62" t="str">
        <f>IF(AND('领用录入（明细）'!D:D=$F$4,'领用录入（明细）'!C:C&gt;=$J$4,'领用录入（明细）'!C:C&lt;=$L$4),ROW(),"-")</f>
        <v>-</v>
      </c>
    </row>
    <row r="16445" customHeight="1" spans="2:2">
      <c r="B16445" s="62" t="str">
        <f>IF(AND('领用录入（明细）'!D:D=$F$4,'领用录入（明细）'!C:C&gt;=$J$4,'领用录入（明细）'!C:C&lt;=$L$4),ROW(),"-")</f>
        <v>-</v>
      </c>
    </row>
    <row r="16446" customHeight="1" spans="2:2">
      <c r="B16446" s="62" t="str">
        <f>IF(AND('领用录入（明细）'!D:D=$F$4,'领用录入（明细）'!C:C&gt;=$J$4,'领用录入（明细）'!C:C&lt;=$L$4),ROW(),"-")</f>
        <v>-</v>
      </c>
    </row>
    <row r="16447" customHeight="1" spans="2:2">
      <c r="B16447" s="62" t="str">
        <f>IF(AND('领用录入（明细）'!D:D=$F$4,'领用录入（明细）'!C:C&gt;=$J$4,'领用录入（明细）'!C:C&lt;=$L$4),ROW(),"-")</f>
        <v>-</v>
      </c>
    </row>
    <row r="16448" customHeight="1" spans="2:2">
      <c r="B16448" s="62" t="str">
        <f>IF(AND('领用录入（明细）'!D:D=$F$4,'领用录入（明细）'!C:C&gt;=$J$4,'领用录入（明细）'!C:C&lt;=$L$4),ROW(),"-")</f>
        <v>-</v>
      </c>
    </row>
    <row r="16449" customHeight="1" spans="2:2">
      <c r="B16449" s="62" t="str">
        <f>IF(AND('领用录入（明细）'!D:D=$F$4,'领用录入（明细）'!C:C&gt;=$J$4,'领用录入（明细）'!C:C&lt;=$L$4),ROW(),"-")</f>
        <v>-</v>
      </c>
    </row>
    <row r="16450" customHeight="1" spans="2:2">
      <c r="B16450" s="62" t="str">
        <f>IF(AND('领用录入（明细）'!D:D=$F$4,'领用录入（明细）'!C:C&gt;=$J$4,'领用录入（明细）'!C:C&lt;=$L$4),ROW(),"-")</f>
        <v>-</v>
      </c>
    </row>
    <row r="16451" customHeight="1" spans="2:2">
      <c r="B16451" s="62" t="str">
        <f>IF(AND('领用录入（明细）'!D:D=$F$4,'领用录入（明细）'!C:C&gt;=$J$4,'领用录入（明细）'!C:C&lt;=$L$4),ROW(),"-")</f>
        <v>-</v>
      </c>
    </row>
    <row r="16452" customHeight="1" spans="2:2">
      <c r="B16452" s="62" t="str">
        <f>IF(AND('领用录入（明细）'!D:D=$F$4,'领用录入（明细）'!C:C&gt;=$J$4,'领用录入（明细）'!C:C&lt;=$L$4),ROW(),"-")</f>
        <v>-</v>
      </c>
    </row>
    <row r="16453" customHeight="1" spans="2:2">
      <c r="B16453" s="62" t="str">
        <f>IF(AND('领用录入（明细）'!D:D=$F$4,'领用录入（明细）'!C:C&gt;=$J$4,'领用录入（明细）'!C:C&lt;=$L$4),ROW(),"-")</f>
        <v>-</v>
      </c>
    </row>
    <row r="16454" customHeight="1" spans="2:2">
      <c r="B16454" s="62" t="str">
        <f>IF(AND('领用录入（明细）'!D:D=$F$4,'领用录入（明细）'!C:C&gt;=$J$4,'领用录入（明细）'!C:C&lt;=$L$4),ROW(),"-")</f>
        <v>-</v>
      </c>
    </row>
    <row r="16455" customHeight="1" spans="2:2">
      <c r="B16455" s="62" t="str">
        <f>IF(AND('领用录入（明细）'!D:D=$F$4,'领用录入（明细）'!C:C&gt;=$J$4,'领用录入（明细）'!C:C&lt;=$L$4),ROW(),"-")</f>
        <v>-</v>
      </c>
    </row>
    <row r="16456" customHeight="1" spans="2:2">
      <c r="B16456" s="62" t="str">
        <f>IF(AND('领用录入（明细）'!D:D=$F$4,'领用录入（明细）'!C:C&gt;=$J$4,'领用录入（明细）'!C:C&lt;=$L$4),ROW(),"-")</f>
        <v>-</v>
      </c>
    </row>
    <row r="16457" customHeight="1" spans="2:2">
      <c r="B16457" s="62" t="str">
        <f>IF(AND('领用录入（明细）'!D:D=$F$4,'领用录入（明细）'!C:C&gt;=$J$4,'领用录入（明细）'!C:C&lt;=$L$4),ROW(),"-")</f>
        <v>-</v>
      </c>
    </row>
    <row r="16458" customHeight="1" spans="2:2">
      <c r="B16458" s="62" t="str">
        <f>IF(AND('领用录入（明细）'!D:D=$F$4,'领用录入（明细）'!C:C&gt;=$J$4,'领用录入（明细）'!C:C&lt;=$L$4),ROW(),"-")</f>
        <v>-</v>
      </c>
    </row>
    <row r="16459" customHeight="1" spans="2:2">
      <c r="B16459" s="62" t="str">
        <f>IF(AND('领用录入（明细）'!D:D=$F$4,'领用录入（明细）'!C:C&gt;=$J$4,'领用录入（明细）'!C:C&lt;=$L$4),ROW(),"-")</f>
        <v>-</v>
      </c>
    </row>
    <row r="16460" customHeight="1" spans="2:2">
      <c r="B16460" s="62" t="str">
        <f>IF(AND('领用录入（明细）'!D:D=$F$4,'领用录入（明细）'!C:C&gt;=$J$4,'领用录入（明细）'!C:C&lt;=$L$4),ROW(),"-")</f>
        <v>-</v>
      </c>
    </row>
    <row r="16461" customHeight="1" spans="2:2">
      <c r="B16461" s="62" t="str">
        <f>IF(AND('领用录入（明细）'!D:D=$F$4,'领用录入（明细）'!C:C&gt;=$J$4,'领用录入（明细）'!C:C&lt;=$L$4),ROW(),"-")</f>
        <v>-</v>
      </c>
    </row>
    <row r="16462" customHeight="1" spans="2:2">
      <c r="B16462" s="62" t="str">
        <f>IF(AND('领用录入（明细）'!D:D=$F$4,'领用录入（明细）'!C:C&gt;=$J$4,'领用录入（明细）'!C:C&lt;=$L$4),ROW(),"-")</f>
        <v>-</v>
      </c>
    </row>
    <row r="16463" customHeight="1" spans="2:2">
      <c r="B16463" s="62" t="str">
        <f>IF(AND('领用录入（明细）'!D:D=$F$4,'领用录入（明细）'!C:C&gt;=$J$4,'领用录入（明细）'!C:C&lt;=$L$4),ROW(),"-")</f>
        <v>-</v>
      </c>
    </row>
    <row r="16464" customHeight="1" spans="2:2">
      <c r="B16464" s="62" t="str">
        <f>IF(AND('领用录入（明细）'!D:D=$F$4,'领用录入（明细）'!C:C&gt;=$J$4,'领用录入（明细）'!C:C&lt;=$L$4),ROW(),"-")</f>
        <v>-</v>
      </c>
    </row>
    <row r="16465" customHeight="1" spans="2:2">
      <c r="B16465" s="62" t="str">
        <f>IF(AND('领用录入（明细）'!D:D=$F$4,'领用录入（明细）'!C:C&gt;=$J$4,'领用录入（明细）'!C:C&lt;=$L$4),ROW(),"-")</f>
        <v>-</v>
      </c>
    </row>
    <row r="16466" customHeight="1" spans="2:2">
      <c r="B16466" s="62" t="str">
        <f>IF(AND('领用录入（明细）'!D:D=$F$4,'领用录入（明细）'!C:C&gt;=$J$4,'领用录入（明细）'!C:C&lt;=$L$4),ROW(),"-")</f>
        <v>-</v>
      </c>
    </row>
    <row r="16467" customHeight="1" spans="2:2">
      <c r="B16467" s="62" t="str">
        <f>IF(AND('领用录入（明细）'!D:D=$F$4,'领用录入（明细）'!C:C&gt;=$J$4,'领用录入（明细）'!C:C&lt;=$L$4),ROW(),"-")</f>
        <v>-</v>
      </c>
    </row>
    <row r="16468" customHeight="1" spans="2:2">
      <c r="B16468" s="62" t="str">
        <f>IF(AND('领用录入（明细）'!D:D=$F$4,'领用录入（明细）'!C:C&gt;=$J$4,'领用录入（明细）'!C:C&lt;=$L$4),ROW(),"-")</f>
        <v>-</v>
      </c>
    </row>
    <row r="16469" customHeight="1" spans="2:2">
      <c r="B16469" s="62" t="str">
        <f>IF(AND('领用录入（明细）'!D:D=$F$4,'领用录入（明细）'!C:C&gt;=$J$4,'领用录入（明细）'!C:C&lt;=$L$4),ROW(),"-")</f>
        <v>-</v>
      </c>
    </row>
    <row r="16470" customHeight="1" spans="2:2">
      <c r="B16470" s="62" t="str">
        <f>IF(AND('领用录入（明细）'!D:D=$F$4,'领用录入（明细）'!C:C&gt;=$J$4,'领用录入（明细）'!C:C&lt;=$L$4),ROW(),"-")</f>
        <v>-</v>
      </c>
    </row>
    <row r="16471" customHeight="1" spans="2:2">
      <c r="B16471" s="62" t="str">
        <f>IF(AND('领用录入（明细）'!D:D=$F$4,'领用录入（明细）'!C:C&gt;=$J$4,'领用录入（明细）'!C:C&lt;=$L$4),ROW(),"-")</f>
        <v>-</v>
      </c>
    </row>
    <row r="16472" customHeight="1" spans="2:2">
      <c r="B16472" s="62" t="str">
        <f>IF(AND('领用录入（明细）'!D:D=$F$4,'领用录入（明细）'!C:C&gt;=$J$4,'领用录入（明细）'!C:C&lt;=$L$4),ROW(),"-")</f>
        <v>-</v>
      </c>
    </row>
    <row r="16473" customHeight="1" spans="2:2">
      <c r="B16473" s="62" t="str">
        <f>IF(AND('领用录入（明细）'!D:D=$F$4,'领用录入（明细）'!C:C&gt;=$J$4,'领用录入（明细）'!C:C&lt;=$L$4),ROW(),"-")</f>
        <v>-</v>
      </c>
    </row>
    <row r="16474" customHeight="1" spans="2:2">
      <c r="B16474" s="62" t="str">
        <f>IF(AND('领用录入（明细）'!D:D=$F$4,'领用录入（明细）'!C:C&gt;=$J$4,'领用录入（明细）'!C:C&lt;=$L$4),ROW(),"-")</f>
        <v>-</v>
      </c>
    </row>
    <row r="16475" customHeight="1" spans="2:2">
      <c r="B16475" s="62" t="str">
        <f>IF(AND('领用录入（明细）'!D:D=$F$4,'领用录入（明细）'!C:C&gt;=$J$4,'领用录入（明细）'!C:C&lt;=$L$4),ROW(),"-")</f>
        <v>-</v>
      </c>
    </row>
    <row r="16476" customHeight="1" spans="2:2">
      <c r="B16476" s="62" t="str">
        <f>IF(AND('领用录入（明细）'!D:D=$F$4,'领用录入（明细）'!C:C&gt;=$J$4,'领用录入（明细）'!C:C&lt;=$L$4),ROW(),"-")</f>
        <v>-</v>
      </c>
    </row>
    <row r="16477" customHeight="1" spans="2:2">
      <c r="B16477" s="62" t="str">
        <f>IF(AND('领用录入（明细）'!D:D=$F$4,'领用录入（明细）'!C:C&gt;=$J$4,'领用录入（明细）'!C:C&lt;=$L$4),ROW(),"-")</f>
        <v>-</v>
      </c>
    </row>
    <row r="16478" customHeight="1" spans="2:2">
      <c r="B16478" s="62" t="str">
        <f>IF(AND('领用录入（明细）'!D:D=$F$4,'领用录入（明细）'!C:C&gt;=$J$4,'领用录入（明细）'!C:C&lt;=$L$4),ROW(),"-")</f>
        <v>-</v>
      </c>
    </row>
    <row r="16479" customHeight="1" spans="2:2">
      <c r="B16479" s="62" t="str">
        <f>IF(AND('领用录入（明细）'!D:D=$F$4,'领用录入（明细）'!C:C&gt;=$J$4,'领用录入（明细）'!C:C&lt;=$L$4),ROW(),"-")</f>
        <v>-</v>
      </c>
    </row>
    <row r="16480" customHeight="1" spans="2:2">
      <c r="B16480" s="62" t="str">
        <f>IF(AND('领用录入（明细）'!D:D=$F$4,'领用录入（明细）'!C:C&gt;=$J$4,'领用录入（明细）'!C:C&lt;=$L$4),ROW(),"-")</f>
        <v>-</v>
      </c>
    </row>
    <row r="16481" customHeight="1" spans="2:2">
      <c r="B16481" s="62" t="str">
        <f>IF(AND('领用录入（明细）'!D:D=$F$4,'领用录入（明细）'!C:C&gt;=$J$4,'领用录入（明细）'!C:C&lt;=$L$4),ROW(),"-")</f>
        <v>-</v>
      </c>
    </row>
    <row r="16482" customHeight="1" spans="2:2">
      <c r="B16482" s="62" t="str">
        <f>IF(AND('领用录入（明细）'!D:D=$F$4,'领用录入（明细）'!C:C&gt;=$J$4,'领用录入（明细）'!C:C&lt;=$L$4),ROW(),"-")</f>
        <v>-</v>
      </c>
    </row>
    <row r="16483" customHeight="1" spans="2:2">
      <c r="B16483" s="62" t="str">
        <f>IF(AND('领用录入（明细）'!D:D=$F$4,'领用录入（明细）'!C:C&gt;=$J$4,'领用录入（明细）'!C:C&lt;=$L$4),ROW(),"-")</f>
        <v>-</v>
      </c>
    </row>
    <row r="16484" customHeight="1" spans="2:2">
      <c r="B16484" s="62" t="str">
        <f>IF(AND('领用录入（明细）'!D:D=$F$4,'领用录入（明细）'!C:C&gt;=$J$4,'领用录入（明细）'!C:C&lt;=$L$4),ROW(),"-")</f>
        <v>-</v>
      </c>
    </row>
    <row r="16485" customHeight="1" spans="2:2">
      <c r="B16485" s="62" t="str">
        <f>IF(AND('领用录入（明细）'!D:D=$F$4,'领用录入（明细）'!C:C&gt;=$J$4,'领用录入（明细）'!C:C&lt;=$L$4),ROW(),"-")</f>
        <v>-</v>
      </c>
    </row>
    <row r="16486" customHeight="1" spans="2:2">
      <c r="B16486" s="62" t="str">
        <f>IF(AND('领用录入（明细）'!D:D=$F$4,'领用录入（明细）'!C:C&gt;=$J$4,'领用录入（明细）'!C:C&lt;=$L$4),ROW(),"-")</f>
        <v>-</v>
      </c>
    </row>
    <row r="16487" customHeight="1" spans="2:2">
      <c r="B16487" s="62" t="str">
        <f>IF(AND('领用录入（明细）'!D:D=$F$4,'领用录入（明细）'!C:C&gt;=$J$4,'领用录入（明细）'!C:C&lt;=$L$4),ROW(),"-")</f>
        <v>-</v>
      </c>
    </row>
    <row r="16488" customHeight="1" spans="2:2">
      <c r="B16488" s="62" t="str">
        <f>IF(AND('领用录入（明细）'!D:D=$F$4,'领用录入（明细）'!C:C&gt;=$J$4,'领用录入（明细）'!C:C&lt;=$L$4),ROW(),"-")</f>
        <v>-</v>
      </c>
    </row>
    <row r="16489" customHeight="1" spans="2:2">
      <c r="B16489" s="62" t="str">
        <f>IF(AND('领用录入（明细）'!D:D=$F$4,'领用录入（明细）'!C:C&gt;=$J$4,'领用录入（明细）'!C:C&lt;=$L$4),ROW(),"-")</f>
        <v>-</v>
      </c>
    </row>
    <row r="16490" customHeight="1" spans="2:2">
      <c r="B16490" s="62" t="str">
        <f>IF(AND('领用录入（明细）'!D:D=$F$4,'领用录入（明细）'!C:C&gt;=$J$4,'领用录入（明细）'!C:C&lt;=$L$4),ROW(),"-")</f>
        <v>-</v>
      </c>
    </row>
    <row r="16491" customHeight="1" spans="2:2">
      <c r="B16491" s="62" t="str">
        <f>IF(AND('领用录入（明细）'!D:D=$F$4,'领用录入（明细）'!C:C&gt;=$J$4,'领用录入（明细）'!C:C&lt;=$L$4),ROW(),"-")</f>
        <v>-</v>
      </c>
    </row>
    <row r="16492" customHeight="1" spans="2:2">
      <c r="B16492" s="62" t="str">
        <f>IF(AND('领用录入（明细）'!D:D=$F$4,'领用录入（明细）'!C:C&gt;=$J$4,'领用录入（明细）'!C:C&lt;=$L$4),ROW(),"-")</f>
        <v>-</v>
      </c>
    </row>
    <row r="16493" customHeight="1" spans="2:2">
      <c r="B16493" s="62" t="str">
        <f>IF(AND('领用录入（明细）'!D:D=$F$4,'领用录入（明细）'!C:C&gt;=$J$4,'领用录入（明细）'!C:C&lt;=$L$4),ROW(),"-")</f>
        <v>-</v>
      </c>
    </row>
    <row r="16494" customHeight="1" spans="2:2">
      <c r="B16494" s="62" t="str">
        <f>IF(AND('领用录入（明细）'!D:D=$F$4,'领用录入（明细）'!C:C&gt;=$J$4,'领用录入（明细）'!C:C&lt;=$L$4),ROW(),"-")</f>
        <v>-</v>
      </c>
    </row>
    <row r="16495" customHeight="1" spans="2:2">
      <c r="B16495" s="62" t="str">
        <f>IF(AND('领用录入（明细）'!D:D=$F$4,'领用录入（明细）'!C:C&gt;=$J$4,'领用录入（明细）'!C:C&lt;=$L$4),ROW(),"-")</f>
        <v>-</v>
      </c>
    </row>
    <row r="16496" customHeight="1" spans="2:2">
      <c r="B16496" s="62" t="str">
        <f>IF(AND('领用录入（明细）'!D:D=$F$4,'领用录入（明细）'!C:C&gt;=$J$4,'领用录入（明细）'!C:C&lt;=$L$4),ROW(),"-")</f>
        <v>-</v>
      </c>
    </row>
    <row r="16497" customHeight="1" spans="2:2">
      <c r="B16497" s="62" t="str">
        <f>IF(AND('领用录入（明细）'!D:D=$F$4,'领用录入（明细）'!C:C&gt;=$J$4,'领用录入（明细）'!C:C&lt;=$L$4),ROW(),"-")</f>
        <v>-</v>
      </c>
    </row>
    <row r="16498" customHeight="1" spans="2:2">
      <c r="B16498" s="62" t="str">
        <f>IF(AND('领用录入（明细）'!D:D=$F$4,'领用录入（明细）'!C:C&gt;=$J$4,'领用录入（明细）'!C:C&lt;=$L$4),ROW(),"-")</f>
        <v>-</v>
      </c>
    </row>
    <row r="16499" customHeight="1" spans="2:2">
      <c r="B16499" s="62" t="str">
        <f>IF(AND('领用录入（明细）'!D:D=$F$4,'领用录入（明细）'!C:C&gt;=$J$4,'领用录入（明细）'!C:C&lt;=$L$4),ROW(),"-")</f>
        <v>-</v>
      </c>
    </row>
    <row r="16500" customHeight="1" spans="2:2">
      <c r="B16500" s="62" t="str">
        <f>IF(AND('领用录入（明细）'!D:D=$F$4,'领用录入（明细）'!C:C&gt;=$J$4,'领用录入（明细）'!C:C&lt;=$L$4),ROW(),"-")</f>
        <v>-</v>
      </c>
    </row>
    <row r="16501" customHeight="1" spans="2:2">
      <c r="B16501" s="62" t="str">
        <f>IF(AND('领用录入（明细）'!D:D=$F$4,'领用录入（明细）'!C:C&gt;=$J$4,'领用录入（明细）'!C:C&lt;=$L$4),ROW(),"-")</f>
        <v>-</v>
      </c>
    </row>
    <row r="16502" customHeight="1" spans="2:2">
      <c r="B16502" s="62" t="str">
        <f>IF(AND('领用录入（明细）'!D:D=$F$4,'领用录入（明细）'!C:C&gt;=$J$4,'领用录入（明细）'!C:C&lt;=$L$4),ROW(),"-")</f>
        <v>-</v>
      </c>
    </row>
    <row r="16503" customHeight="1" spans="2:2">
      <c r="B16503" s="62" t="str">
        <f>IF(AND('领用录入（明细）'!D:D=$F$4,'领用录入（明细）'!C:C&gt;=$J$4,'领用录入（明细）'!C:C&lt;=$L$4),ROW(),"-")</f>
        <v>-</v>
      </c>
    </row>
    <row r="16504" customHeight="1" spans="2:2">
      <c r="B16504" s="62" t="str">
        <f>IF(AND('领用录入（明细）'!D:D=$F$4,'领用录入（明细）'!C:C&gt;=$J$4,'领用录入（明细）'!C:C&lt;=$L$4),ROW(),"-")</f>
        <v>-</v>
      </c>
    </row>
    <row r="16505" customHeight="1" spans="2:2">
      <c r="B16505" s="62" t="str">
        <f>IF(AND('领用录入（明细）'!D:D=$F$4,'领用录入（明细）'!C:C&gt;=$J$4,'领用录入（明细）'!C:C&lt;=$L$4),ROW(),"-")</f>
        <v>-</v>
      </c>
    </row>
    <row r="16506" customHeight="1" spans="2:2">
      <c r="B16506" s="62" t="str">
        <f>IF(AND('领用录入（明细）'!D:D=$F$4,'领用录入（明细）'!C:C&gt;=$J$4,'领用录入（明细）'!C:C&lt;=$L$4),ROW(),"-")</f>
        <v>-</v>
      </c>
    </row>
    <row r="16507" customHeight="1" spans="2:2">
      <c r="B16507" s="62" t="str">
        <f>IF(AND('领用录入（明细）'!D:D=$F$4,'领用录入（明细）'!C:C&gt;=$J$4,'领用录入（明细）'!C:C&lt;=$L$4),ROW(),"-")</f>
        <v>-</v>
      </c>
    </row>
    <row r="16508" customHeight="1" spans="2:2">
      <c r="B16508" s="62" t="str">
        <f>IF(AND('领用录入（明细）'!D:D=$F$4,'领用录入（明细）'!C:C&gt;=$J$4,'领用录入（明细）'!C:C&lt;=$L$4),ROW(),"-")</f>
        <v>-</v>
      </c>
    </row>
    <row r="16509" customHeight="1" spans="2:2">
      <c r="B16509" s="62" t="str">
        <f>IF(AND('领用录入（明细）'!D:D=$F$4,'领用录入（明细）'!C:C&gt;=$J$4,'领用录入（明细）'!C:C&lt;=$L$4),ROW(),"-")</f>
        <v>-</v>
      </c>
    </row>
    <row r="16510" customHeight="1" spans="2:2">
      <c r="B16510" s="62" t="str">
        <f>IF(AND('领用录入（明细）'!D:D=$F$4,'领用录入（明细）'!C:C&gt;=$J$4,'领用录入（明细）'!C:C&lt;=$L$4),ROW(),"-")</f>
        <v>-</v>
      </c>
    </row>
    <row r="16511" customHeight="1" spans="2:2">
      <c r="B16511" s="62" t="str">
        <f>IF(AND('领用录入（明细）'!D:D=$F$4,'领用录入（明细）'!C:C&gt;=$J$4,'领用录入（明细）'!C:C&lt;=$L$4),ROW(),"-")</f>
        <v>-</v>
      </c>
    </row>
    <row r="16512" customHeight="1" spans="2:2">
      <c r="B16512" s="62" t="str">
        <f>IF(AND('领用录入（明细）'!D:D=$F$4,'领用录入（明细）'!C:C&gt;=$J$4,'领用录入（明细）'!C:C&lt;=$L$4),ROW(),"-")</f>
        <v>-</v>
      </c>
    </row>
    <row r="16513" customHeight="1" spans="2:2">
      <c r="B16513" s="62" t="str">
        <f>IF(AND('领用录入（明细）'!D:D=$F$4,'领用录入（明细）'!C:C&gt;=$J$4,'领用录入（明细）'!C:C&lt;=$L$4),ROW(),"-")</f>
        <v>-</v>
      </c>
    </row>
    <row r="16514" customHeight="1" spans="2:2">
      <c r="B16514" s="62" t="str">
        <f>IF(AND('领用录入（明细）'!D:D=$F$4,'领用录入（明细）'!C:C&gt;=$J$4,'领用录入（明细）'!C:C&lt;=$L$4),ROW(),"-")</f>
        <v>-</v>
      </c>
    </row>
    <row r="16515" customHeight="1" spans="2:2">
      <c r="B16515" s="62" t="str">
        <f>IF(AND('领用录入（明细）'!D:D=$F$4,'领用录入（明细）'!C:C&gt;=$J$4,'领用录入（明细）'!C:C&lt;=$L$4),ROW(),"-")</f>
        <v>-</v>
      </c>
    </row>
    <row r="16516" customHeight="1" spans="2:2">
      <c r="B16516" s="62" t="str">
        <f>IF(AND('领用录入（明细）'!D:D=$F$4,'领用录入（明细）'!C:C&gt;=$J$4,'领用录入（明细）'!C:C&lt;=$L$4),ROW(),"-")</f>
        <v>-</v>
      </c>
    </row>
    <row r="16517" customHeight="1" spans="2:2">
      <c r="B16517" s="62" t="str">
        <f>IF(AND('领用录入（明细）'!D:D=$F$4,'领用录入（明细）'!C:C&gt;=$J$4,'领用录入（明细）'!C:C&lt;=$L$4),ROW(),"-")</f>
        <v>-</v>
      </c>
    </row>
    <row r="16518" customHeight="1" spans="2:2">
      <c r="B16518" s="62" t="str">
        <f>IF(AND('领用录入（明细）'!D:D=$F$4,'领用录入（明细）'!C:C&gt;=$J$4,'领用录入（明细）'!C:C&lt;=$L$4),ROW(),"-")</f>
        <v>-</v>
      </c>
    </row>
    <row r="16519" customHeight="1" spans="2:2">
      <c r="B16519" s="62" t="str">
        <f>IF(AND('领用录入（明细）'!D:D=$F$4,'领用录入（明细）'!C:C&gt;=$J$4,'领用录入（明细）'!C:C&lt;=$L$4),ROW(),"-")</f>
        <v>-</v>
      </c>
    </row>
    <row r="16520" customHeight="1" spans="2:2">
      <c r="B16520" s="62" t="str">
        <f>IF(AND('领用录入（明细）'!D:D=$F$4,'领用录入（明细）'!C:C&gt;=$J$4,'领用录入（明细）'!C:C&lt;=$L$4),ROW(),"-")</f>
        <v>-</v>
      </c>
    </row>
    <row r="16521" customHeight="1" spans="2:2">
      <c r="B16521" s="62" t="str">
        <f>IF(AND('领用录入（明细）'!D:D=$F$4,'领用录入（明细）'!C:C&gt;=$J$4,'领用录入（明细）'!C:C&lt;=$L$4),ROW(),"-")</f>
        <v>-</v>
      </c>
    </row>
    <row r="16522" customHeight="1" spans="2:2">
      <c r="B16522" s="62" t="str">
        <f>IF(AND('领用录入（明细）'!D:D=$F$4,'领用录入（明细）'!C:C&gt;=$J$4,'领用录入（明细）'!C:C&lt;=$L$4),ROW(),"-")</f>
        <v>-</v>
      </c>
    </row>
    <row r="16523" customHeight="1" spans="2:2">
      <c r="B16523" s="62" t="str">
        <f>IF(AND('领用录入（明细）'!D:D=$F$4,'领用录入（明细）'!C:C&gt;=$J$4,'领用录入（明细）'!C:C&lt;=$L$4),ROW(),"-")</f>
        <v>-</v>
      </c>
    </row>
    <row r="16524" customHeight="1" spans="2:2">
      <c r="B16524" s="62" t="str">
        <f>IF(AND('领用录入（明细）'!D:D=$F$4,'领用录入（明细）'!C:C&gt;=$J$4,'领用录入（明细）'!C:C&lt;=$L$4),ROW(),"-")</f>
        <v>-</v>
      </c>
    </row>
    <row r="16525" customHeight="1" spans="2:2">
      <c r="B16525" s="62" t="str">
        <f>IF(AND('领用录入（明细）'!D:D=$F$4,'领用录入（明细）'!C:C&gt;=$J$4,'领用录入（明细）'!C:C&lt;=$L$4),ROW(),"-")</f>
        <v>-</v>
      </c>
    </row>
    <row r="16526" customHeight="1" spans="2:2">
      <c r="B16526" s="62" t="str">
        <f>IF(AND('领用录入（明细）'!D:D=$F$4,'领用录入（明细）'!C:C&gt;=$J$4,'领用录入（明细）'!C:C&lt;=$L$4),ROW(),"-")</f>
        <v>-</v>
      </c>
    </row>
    <row r="16527" customHeight="1" spans="2:2">
      <c r="B16527" s="62" t="str">
        <f>IF(AND('领用录入（明细）'!D:D=$F$4,'领用录入（明细）'!C:C&gt;=$J$4,'领用录入（明细）'!C:C&lt;=$L$4),ROW(),"-")</f>
        <v>-</v>
      </c>
    </row>
    <row r="16528" customHeight="1" spans="2:2">
      <c r="B16528" s="62" t="str">
        <f>IF(AND('领用录入（明细）'!D:D=$F$4,'领用录入（明细）'!C:C&gt;=$J$4,'领用录入（明细）'!C:C&lt;=$L$4),ROW(),"-")</f>
        <v>-</v>
      </c>
    </row>
    <row r="16529" customHeight="1" spans="2:2">
      <c r="B16529" s="62" t="str">
        <f>IF(AND('领用录入（明细）'!D:D=$F$4,'领用录入（明细）'!C:C&gt;=$J$4,'领用录入（明细）'!C:C&lt;=$L$4),ROW(),"-")</f>
        <v>-</v>
      </c>
    </row>
    <row r="16530" customHeight="1" spans="2:2">
      <c r="B16530" s="62" t="str">
        <f>IF(AND('领用录入（明细）'!D:D=$F$4,'领用录入（明细）'!C:C&gt;=$J$4,'领用录入（明细）'!C:C&lt;=$L$4),ROW(),"-")</f>
        <v>-</v>
      </c>
    </row>
    <row r="16531" customHeight="1" spans="2:2">
      <c r="B16531" s="62" t="str">
        <f>IF(AND('领用录入（明细）'!D:D=$F$4,'领用录入（明细）'!C:C&gt;=$J$4,'领用录入（明细）'!C:C&lt;=$L$4),ROW(),"-")</f>
        <v>-</v>
      </c>
    </row>
    <row r="16532" customHeight="1" spans="2:2">
      <c r="B16532" s="62" t="str">
        <f>IF(AND('领用录入（明细）'!D:D=$F$4,'领用录入（明细）'!C:C&gt;=$J$4,'领用录入（明细）'!C:C&lt;=$L$4),ROW(),"-")</f>
        <v>-</v>
      </c>
    </row>
    <row r="16533" customHeight="1" spans="2:2">
      <c r="B16533" s="62" t="str">
        <f>IF(AND('领用录入（明细）'!D:D=$F$4,'领用录入（明细）'!C:C&gt;=$J$4,'领用录入（明细）'!C:C&lt;=$L$4),ROW(),"-")</f>
        <v>-</v>
      </c>
    </row>
    <row r="16534" customHeight="1" spans="2:2">
      <c r="B16534" s="62" t="str">
        <f>IF(AND('领用录入（明细）'!D:D=$F$4,'领用录入（明细）'!C:C&gt;=$J$4,'领用录入（明细）'!C:C&lt;=$L$4),ROW(),"-")</f>
        <v>-</v>
      </c>
    </row>
    <row r="16535" customHeight="1" spans="2:2">
      <c r="B16535" s="62" t="str">
        <f>IF(AND('领用录入（明细）'!D:D=$F$4,'领用录入（明细）'!C:C&gt;=$J$4,'领用录入（明细）'!C:C&lt;=$L$4),ROW(),"-")</f>
        <v>-</v>
      </c>
    </row>
    <row r="16536" customHeight="1" spans="2:2">
      <c r="B16536" s="62" t="str">
        <f>IF(AND('领用录入（明细）'!D:D=$F$4,'领用录入（明细）'!C:C&gt;=$J$4,'领用录入（明细）'!C:C&lt;=$L$4),ROW(),"-")</f>
        <v>-</v>
      </c>
    </row>
    <row r="16537" customHeight="1" spans="2:2">
      <c r="B16537" s="62" t="str">
        <f>IF(AND('领用录入（明细）'!D:D=$F$4,'领用录入（明细）'!C:C&gt;=$J$4,'领用录入（明细）'!C:C&lt;=$L$4),ROW(),"-")</f>
        <v>-</v>
      </c>
    </row>
    <row r="16538" customHeight="1" spans="2:2">
      <c r="B16538" s="62" t="str">
        <f>IF(AND('领用录入（明细）'!D:D=$F$4,'领用录入（明细）'!C:C&gt;=$J$4,'领用录入（明细）'!C:C&lt;=$L$4),ROW(),"-")</f>
        <v>-</v>
      </c>
    </row>
    <row r="16539" customHeight="1" spans="2:2">
      <c r="B16539" s="62" t="str">
        <f>IF(AND('领用录入（明细）'!D:D=$F$4,'领用录入（明细）'!C:C&gt;=$J$4,'领用录入（明细）'!C:C&lt;=$L$4),ROW(),"-")</f>
        <v>-</v>
      </c>
    </row>
    <row r="16540" customHeight="1" spans="2:2">
      <c r="B16540" s="62" t="str">
        <f>IF(AND('领用录入（明细）'!D:D=$F$4,'领用录入（明细）'!C:C&gt;=$J$4,'领用录入（明细）'!C:C&lt;=$L$4),ROW(),"-")</f>
        <v>-</v>
      </c>
    </row>
    <row r="16541" customHeight="1" spans="2:2">
      <c r="B16541" s="62" t="str">
        <f>IF(AND('领用录入（明细）'!D:D=$F$4,'领用录入（明细）'!C:C&gt;=$J$4,'领用录入（明细）'!C:C&lt;=$L$4),ROW(),"-")</f>
        <v>-</v>
      </c>
    </row>
    <row r="16542" customHeight="1" spans="2:2">
      <c r="B16542" s="62" t="str">
        <f>IF(AND('领用录入（明细）'!D:D=$F$4,'领用录入（明细）'!C:C&gt;=$J$4,'领用录入（明细）'!C:C&lt;=$L$4),ROW(),"-")</f>
        <v>-</v>
      </c>
    </row>
    <row r="16543" customHeight="1" spans="2:2">
      <c r="B16543" s="62" t="str">
        <f>IF(AND('领用录入（明细）'!D:D=$F$4,'领用录入（明细）'!C:C&gt;=$J$4,'领用录入（明细）'!C:C&lt;=$L$4),ROW(),"-")</f>
        <v>-</v>
      </c>
    </row>
    <row r="16544" customHeight="1" spans="2:2">
      <c r="B16544" s="62" t="str">
        <f>IF(AND('领用录入（明细）'!D:D=$F$4,'领用录入（明细）'!C:C&gt;=$J$4,'领用录入（明细）'!C:C&lt;=$L$4),ROW(),"-")</f>
        <v>-</v>
      </c>
    </row>
    <row r="16545" customHeight="1" spans="2:2">
      <c r="B16545" s="62" t="str">
        <f>IF(AND('领用录入（明细）'!D:D=$F$4,'领用录入（明细）'!C:C&gt;=$J$4,'领用录入（明细）'!C:C&lt;=$L$4),ROW(),"-")</f>
        <v>-</v>
      </c>
    </row>
    <row r="16546" customHeight="1" spans="2:2">
      <c r="B16546" s="62" t="str">
        <f>IF(AND('领用录入（明细）'!D:D=$F$4,'领用录入（明细）'!C:C&gt;=$J$4,'领用录入（明细）'!C:C&lt;=$L$4),ROW(),"-")</f>
        <v>-</v>
      </c>
    </row>
    <row r="16547" customHeight="1" spans="2:2">
      <c r="B16547" s="62" t="str">
        <f>IF(AND('领用录入（明细）'!D:D=$F$4,'领用录入（明细）'!C:C&gt;=$J$4,'领用录入（明细）'!C:C&lt;=$L$4),ROW(),"-")</f>
        <v>-</v>
      </c>
    </row>
    <row r="16548" customHeight="1" spans="2:2">
      <c r="B16548" s="62" t="str">
        <f>IF(AND('领用录入（明细）'!D:D=$F$4,'领用录入（明细）'!C:C&gt;=$J$4,'领用录入（明细）'!C:C&lt;=$L$4),ROW(),"-")</f>
        <v>-</v>
      </c>
    </row>
    <row r="16549" customHeight="1" spans="2:2">
      <c r="B16549" s="62" t="str">
        <f>IF(AND('领用录入（明细）'!D:D=$F$4,'领用录入（明细）'!C:C&gt;=$J$4,'领用录入（明细）'!C:C&lt;=$L$4),ROW(),"-")</f>
        <v>-</v>
      </c>
    </row>
    <row r="16550" customHeight="1" spans="2:2">
      <c r="B16550" s="62" t="str">
        <f>IF(AND('领用录入（明细）'!D:D=$F$4,'领用录入（明细）'!C:C&gt;=$J$4,'领用录入（明细）'!C:C&lt;=$L$4),ROW(),"-")</f>
        <v>-</v>
      </c>
    </row>
    <row r="16551" customHeight="1" spans="2:2">
      <c r="B16551" s="62" t="str">
        <f>IF(AND('领用录入（明细）'!D:D=$F$4,'领用录入（明细）'!C:C&gt;=$J$4,'领用录入（明细）'!C:C&lt;=$L$4),ROW(),"-")</f>
        <v>-</v>
      </c>
    </row>
    <row r="16552" customHeight="1" spans="2:2">
      <c r="B16552" s="62" t="str">
        <f>IF(AND('领用录入（明细）'!D:D=$F$4,'领用录入（明细）'!C:C&gt;=$J$4,'领用录入（明细）'!C:C&lt;=$L$4),ROW(),"-")</f>
        <v>-</v>
      </c>
    </row>
    <row r="16553" customHeight="1" spans="2:2">
      <c r="B16553" s="62" t="str">
        <f>IF(AND('领用录入（明细）'!D:D=$F$4,'领用录入（明细）'!C:C&gt;=$J$4,'领用录入（明细）'!C:C&lt;=$L$4),ROW(),"-")</f>
        <v>-</v>
      </c>
    </row>
    <row r="16554" customHeight="1" spans="2:2">
      <c r="B16554" s="62" t="str">
        <f>IF(AND('领用录入（明细）'!D:D=$F$4,'领用录入（明细）'!C:C&gt;=$J$4,'领用录入（明细）'!C:C&lt;=$L$4),ROW(),"-")</f>
        <v>-</v>
      </c>
    </row>
    <row r="16555" customHeight="1" spans="2:2">
      <c r="B16555" s="62" t="str">
        <f>IF(AND('领用录入（明细）'!D:D=$F$4,'领用录入（明细）'!C:C&gt;=$J$4,'领用录入（明细）'!C:C&lt;=$L$4),ROW(),"-")</f>
        <v>-</v>
      </c>
    </row>
    <row r="16556" customHeight="1" spans="2:2">
      <c r="B16556" s="62" t="str">
        <f>IF(AND('领用录入（明细）'!D:D=$F$4,'领用录入（明细）'!C:C&gt;=$J$4,'领用录入（明细）'!C:C&lt;=$L$4),ROW(),"-")</f>
        <v>-</v>
      </c>
    </row>
    <row r="16557" customHeight="1" spans="2:2">
      <c r="B16557" s="62" t="str">
        <f>IF(AND('领用录入（明细）'!D:D=$F$4,'领用录入（明细）'!C:C&gt;=$J$4,'领用录入（明细）'!C:C&lt;=$L$4),ROW(),"-")</f>
        <v>-</v>
      </c>
    </row>
    <row r="16558" customHeight="1" spans="2:2">
      <c r="B16558" s="62" t="str">
        <f>IF(AND('领用录入（明细）'!D:D=$F$4,'领用录入（明细）'!C:C&gt;=$J$4,'领用录入（明细）'!C:C&lt;=$L$4),ROW(),"-")</f>
        <v>-</v>
      </c>
    </row>
    <row r="16559" customHeight="1" spans="2:2">
      <c r="B16559" s="62" t="str">
        <f>IF(AND('领用录入（明细）'!D:D=$F$4,'领用录入（明细）'!C:C&gt;=$J$4,'领用录入（明细）'!C:C&lt;=$L$4),ROW(),"-")</f>
        <v>-</v>
      </c>
    </row>
    <row r="16560" customHeight="1" spans="2:2">
      <c r="B16560" s="62" t="str">
        <f>IF(AND('领用录入（明细）'!D:D=$F$4,'领用录入（明细）'!C:C&gt;=$J$4,'领用录入（明细）'!C:C&lt;=$L$4),ROW(),"-")</f>
        <v>-</v>
      </c>
    </row>
    <row r="16561" customHeight="1" spans="2:2">
      <c r="B16561" s="62" t="str">
        <f>IF(AND('领用录入（明细）'!D:D=$F$4,'领用录入（明细）'!C:C&gt;=$J$4,'领用录入（明细）'!C:C&lt;=$L$4),ROW(),"-")</f>
        <v>-</v>
      </c>
    </row>
    <row r="16562" customHeight="1" spans="2:2">
      <c r="B16562" s="62" t="str">
        <f>IF(AND('领用录入（明细）'!D:D=$F$4,'领用录入（明细）'!C:C&gt;=$J$4,'领用录入（明细）'!C:C&lt;=$L$4),ROW(),"-")</f>
        <v>-</v>
      </c>
    </row>
    <row r="16563" customHeight="1" spans="2:2">
      <c r="B16563" s="62" t="str">
        <f>IF(AND('领用录入（明细）'!D:D=$F$4,'领用录入（明细）'!C:C&gt;=$J$4,'领用录入（明细）'!C:C&lt;=$L$4),ROW(),"-")</f>
        <v>-</v>
      </c>
    </row>
    <row r="16564" customHeight="1" spans="2:2">
      <c r="B16564" s="62" t="str">
        <f>IF(AND('领用录入（明细）'!D:D=$F$4,'领用录入（明细）'!C:C&gt;=$J$4,'领用录入（明细）'!C:C&lt;=$L$4),ROW(),"-")</f>
        <v>-</v>
      </c>
    </row>
    <row r="16565" customHeight="1" spans="2:2">
      <c r="B16565" s="62" t="str">
        <f>IF(AND('领用录入（明细）'!D:D=$F$4,'领用录入（明细）'!C:C&gt;=$J$4,'领用录入（明细）'!C:C&lt;=$L$4),ROW(),"-")</f>
        <v>-</v>
      </c>
    </row>
    <row r="16566" customHeight="1" spans="2:2">
      <c r="B16566" s="62" t="str">
        <f>IF(AND('领用录入（明细）'!D:D=$F$4,'领用录入（明细）'!C:C&gt;=$J$4,'领用录入（明细）'!C:C&lt;=$L$4),ROW(),"-")</f>
        <v>-</v>
      </c>
    </row>
    <row r="16567" customHeight="1" spans="2:2">
      <c r="B16567" s="62" t="str">
        <f>IF(AND('领用录入（明细）'!D:D=$F$4,'领用录入（明细）'!C:C&gt;=$J$4,'领用录入（明细）'!C:C&lt;=$L$4),ROW(),"-")</f>
        <v>-</v>
      </c>
    </row>
    <row r="16568" customHeight="1" spans="2:2">
      <c r="B16568" s="62" t="str">
        <f>IF(AND('领用录入（明细）'!D:D=$F$4,'领用录入（明细）'!C:C&gt;=$J$4,'领用录入（明细）'!C:C&lt;=$L$4),ROW(),"-")</f>
        <v>-</v>
      </c>
    </row>
    <row r="16569" customHeight="1" spans="2:2">
      <c r="B16569" s="62" t="str">
        <f>IF(AND('领用录入（明细）'!D:D=$F$4,'领用录入（明细）'!C:C&gt;=$J$4,'领用录入（明细）'!C:C&lt;=$L$4),ROW(),"-")</f>
        <v>-</v>
      </c>
    </row>
    <row r="16570" customHeight="1" spans="2:2">
      <c r="B16570" s="62" t="str">
        <f>IF(AND('领用录入（明细）'!D:D=$F$4,'领用录入（明细）'!C:C&gt;=$J$4,'领用录入（明细）'!C:C&lt;=$L$4),ROW(),"-")</f>
        <v>-</v>
      </c>
    </row>
    <row r="16571" customHeight="1" spans="2:2">
      <c r="B16571" s="62" t="str">
        <f>IF(AND('领用录入（明细）'!D:D=$F$4,'领用录入（明细）'!C:C&gt;=$J$4,'领用录入（明细）'!C:C&lt;=$L$4),ROW(),"-")</f>
        <v>-</v>
      </c>
    </row>
    <row r="16572" customHeight="1" spans="2:2">
      <c r="B16572" s="62" t="str">
        <f>IF(AND('领用录入（明细）'!D:D=$F$4,'领用录入（明细）'!C:C&gt;=$J$4,'领用录入（明细）'!C:C&lt;=$L$4),ROW(),"-")</f>
        <v>-</v>
      </c>
    </row>
    <row r="16573" customHeight="1" spans="2:2">
      <c r="B16573" s="62" t="str">
        <f>IF(AND('领用录入（明细）'!D:D=$F$4,'领用录入（明细）'!C:C&gt;=$J$4,'领用录入（明细）'!C:C&lt;=$L$4),ROW(),"-")</f>
        <v>-</v>
      </c>
    </row>
    <row r="16574" customHeight="1" spans="2:2">
      <c r="B16574" s="62" t="str">
        <f>IF(AND('领用录入（明细）'!D:D=$F$4,'领用录入（明细）'!C:C&gt;=$J$4,'领用录入（明细）'!C:C&lt;=$L$4),ROW(),"-")</f>
        <v>-</v>
      </c>
    </row>
    <row r="16575" customHeight="1" spans="2:2">
      <c r="B16575" s="62" t="str">
        <f>IF(AND('领用录入（明细）'!D:D=$F$4,'领用录入（明细）'!C:C&gt;=$J$4,'领用录入（明细）'!C:C&lt;=$L$4),ROW(),"-")</f>
        <v>-</v>
      </c>
    </row>
    <row r="16576" customHeight="1" spans="2:2">
      <c r="B16576" s="62" t="str">
        <f>IF(AND('领用录入（明细）'!D:D=$F$4,'领用录入（明细）'!C:C&gt;=$J$4,'领用录入（明细）'!C:C&lt;=$L$4),ROW(),"-")</f>
        <v>-</v>
      </c>
    </row>
    <row r="16577" customHeight="1" spans="2:2">
      <c r="B16577" s="62" t="str">
        <f>IF(AND('领用录入（明细）'!D:D=$F$4,'领用录入（明细）'!C:C&gt;=$J$4,'领用录入（明细）'!C:C&lt;=$L$4),ROW(),"-")</f>
        <v>-</v>
      </c>
    </row>
    <row r="16578" customHeight="1" spans="2:2">
      <c r="B16578" s="62" t="str">
        <f>IF(AND('领用录入（明细）'!D:D=$F$4,'领用录入（明细）'!C:C&gt;=$J$4,'领用录入（明细）'!C:C&lt;=$L$4),ROW(),"-")</f>
        <v>-</v>
      </c>
    </row>
    <row r="16579" customHeight="1" spans="2:2">
      <c r="B16579" s="62" t="str">
        <f>IF(AND('领用录入（明细）'!D:D=$F$4,'领用录入（明细）'!C:C&gt;=$J$4,'领用录入（明细）'!C:C&lt;=$L$4),ROW(),"-")</f>
        <v>-</v>
      </c>
    </row>
    <row r="16580" customHeight="1" spans="2:2">
      <c r="B16580" s="62" t="str">
        <f>IF(AND('领用录入（明细）'!D:D=$F$4,'领用录入（明细）'!C:C&gt;=$J$4,'领用录入（明细）'!C:C&lt;=$L$4),ROW(),"-")</f>
        <v>-</v>
      </c>
    </row>
    <row r="16581" customHeight="1" spans="2:2">
      <c r="B16581" s="62" t="str">
        <f>IF(AND('领用录入（明细）'!D:D=$F$4,'领用录入（明细）'!C:C&gt;=$J$4,'领用录入（明细）'!C:C&lt;=$L$4),ROW(),"-")</f>
        <v>-</v>
      </c>
    </row>
    <row r="16582" customHeight="1" spans="2:2">
      <c r="B16582" s="62" t="str">
        <f>IF(AND('领用录入（明细）'!D:D=$F$4,'领用录入（明细）'!C:C&gt;=$J$4,'领用录入（明细）'!C:C&lt;=$L$4),ROW(),"-")</f>
        <v>-</v>
      </c>
    </row>
    <row r="16583" customHeight="1" spans="2:2">
      <c r="B16583" s="62" t="str">
        <f>IF(AND('领用录入（明细）'!D:D=$F$4,'领用录入（明细）'!C:C&gt;=$J$4,'领用录入（明细）'!C:C&lt;=$L$4),ROW(),"-")</f>
        <v>-</v>
      </c>
    </row>
    <row r="16584" customHeight="1" spans="2:2">
      <c r="B16584" s="62" t="str">
        <f>IF(AND('领用录入（明细）'!D:D=$F$4,'领用录入（明细）'!C:C&gt;=$J$4,'领用录入（明细）'!C:C&lt;=$L$4),ROW(),"-")</f>
        <v>-</v>
      </c>
    </row>
    <row r="16585" customHeight="1" spans="2:2">
      <c r="B16585" s="62" t="str">
        <f>IF(AND('领用录入（明细）'!D:D=$F$4,'领用录入（明细）'!C:C&gt;=$J$4,'领用录入（明细）'!C:C&lt;=$L$4),ROW(),"-")</f>
        <v>-</v>
      </c>
    </row>
    <row r="16586" customHeight="1" spans="2:2">
      <c r="B16586" s="62" t="str">
        <f>IF(AND('领用录入（明细）'!D:D=$F$4,'领用录入（明细）'!C:C&gt;=$J$4,'领用录入（明细）'!C:C&lt;=$L$4),ROW(),"-")</f>
        <v>-</v>
      </c>
    </row>
    <row r="16587" customHeight="1" spans="2:2">
      <c r="B16587" s="62" t="str">
        <f>IF(AND('领用录入（明细）'!D:D=$F$4,'领用录入（明细）'!C:C&gt;=$J$4,'领用录入（明细）'!C:C&lt;=$L$4),ROW(),"-")</f>
        <v>-</v>
      </c>
    </row>
    <row r="16588" customHeight="1" spans="2:2">
      <c r="B16588" s="62" t="str">
        <f>IF(AND('领用录入（明细）'!D:D=$F$4,'领用录入（明细）'!C:C&gt;=$J$4,'领用录入（明细）'!C:C&lt;=$L$4),ROW(),"-")</f>
        <v>-</v>
      </c>
    </row>
    <row r="16589" customHeight="1" spans="2:2">
      <c r="B16589" s="62" t="str">
        <f>IF(AND('领用录入（明细）'!D:D=$F$4,'领用录入（明细）'!C:C&gt;=$J$4,'领用录入（明细）'!C:C&lt;=$L$4),ROW(),"-")</f>
        <v>-</v>
      </c>
    </row>
    <row r="16590" customHeight="1" spans="2:2">
      <c r="B16590" s="62" t="str">
        <f>IF(AND('领用录入（明细）'!D:D=$F$4,'领用录入（明细）'!C:C&gt;=$J$4,'领用录入（明细）'!C:C&lt;=$L$4),ROW(),"-")</f>
        <v>-</v>
      </c>
    </row>
    <row r="16591" customHeight="1" spans="2:2">
      <c r="B16591" s="62" t="str">
        <f>IF(AND('领用录入（明细）'!D:D=$F$4,'领用录入（明细）'!C:C&gt;=$J$4,'领用录入（明细）'!C:C&lt;=$L$4),ROW(),"-")</f>
        <v>-</v>
      </c>
    </row>
    <row r="16592" customHeight="1" spans="2:2">
      <c r="B16592" s="62" t="str">
        <f>IF(AND('领用录入（明细）'!D:D=$F$4,'领用录入（明细）'!C:C&gt;=$J$4,'领用录入（明细）'!C:C&lt;=$L$4),ROW(),"-")</f>
        <v>-</v>
      </c>
    </row>
    <row r="16593" customHeight="1" spans="2:2">
      <c r="B16593" s="62" t="str">
        <f>IF(AND('领用录入（明细）'!D:D=$F$4,'领用录入（明细）'!C:C&gt;=$J$4,'领用录入（明细）'!C:C&lt;=$L$4),ROW(),"-")</f>
        <v>-</v>
      </c>
    </row>
    <row r="16594" customHeight="1" spans="2:2">
      <c r="B16594" s="62" t="str">
        <f>IF(AND('领用录入（明细）'!D:D=$F$4,'领用录入（明细）'!C:C&gt;=$J$4,'领用录入（明细）'!C:C&lt;=$L$4),ROW(),"-")</f>
        <v>-</v>
      </c>
    </row>
    <row r="16595" customHeight="1" spans="2:2">
      <c r="B16595" s="62" t="str">
        <f>IF(AND('领用录入（明细）'!D:D=$F$4,'领用录入（明细）'!C:C&gt;=$J$4,'领用录入（明细）'!C:C&lt;=$L$4),ROW(),"-")</f>
        <v>-</v>
      </c>
    </row>
    <row r="16596" customHeight="1" spans="2:2">
      <c r="B16596" s="62" t="str">
        <f>IF(AND('领用录入（明细）'!D:D=$F$4,'领用录入（明细）'!C:C&gt;=$J$4,'领用录入（明细）'!C:C&lt;=$L$4),ROW(),"-")</f>
        <v>-</v>
      </c>
    </row>
    <row r="16597" customHeight="1" spans="2:2">
      <c r="B16597" s="62" t="str">
        <f>IF(AND('领用录入（明细）'!D:D=$F$4,'领用录入（明细）'!C:C&gt;=$J$4,'领用录入（明细）'!C:C&lt;=$L$4),ROW(),"-")</f>
        <v>-</v>
      </c>
    </row>
    <row r="16598" customHeight="1" spans="2:2">
      <c r="B16598" s="62" t="str">
        <f>IF(AND('领用录入（明细）'!D:D=$F$4,'领用录入（明细）'!C:C&gt;=$J$4,'领用录入（明细）'!C:C&lt;=$L$4),ROW(),"-")</f>
        <v>-</v>
      </c>
    </row>
    <row r="16599" customHeight="1" spans="2:2">
      <c r="B16599" s="62" t="str">
        <f>IF(AND('领用录入（明细）'!D:D=$F$4,'领用录入（明细）'!C:C&gt;=$J$4,'领用录入（明细）'!C:C&lt;=$L$4),ROW(),"-")</f>
        <v>-</v>
      </c>
    </row>
    <row r="16600" customHeight="1" spans="2:2">
      <c r="B16600" s="62" t="str">
        <f>IF(AND('领用录入（明细）'!D:D=$F$4,'领用录入（明细）'!C:C&gt;=$J$4,'领用录入（明细）'!C:C&lt;=$L$4),ROW(),"-")</f>
        <v>-</v>
      </c>
    </row>
    <row r="16601" customHeight="1" spans="2:2">
      <c r="B16601" s="62" t="str">
        <f>IF(AND('领用录入（明细）'!D:D=$F$4,'领用录入（明细）'!C:C&gt;=$J$4,'领用录入（明细）'!C:C&lt;=$L$4),ROW(),"-")</f>
        <v>-</v>
      </c>
    </row>
    <row r="16602" customHeight="1" spans="2:2">
      <c r="B16602" s="62" t="str">
        <f>IF(AND('领用录入（明细）'!D:D=$F$4,'领用录入（明细）'!C:C&gt;=$J$4,'领用录入（明细）'!C:C&lt;=$L$4),ROW(),"-")</f>
        <v>-</v>
      </c>
    </row>
    <row r="16603" customHeight="1" spans="2:2">
      <c r="B16603" s="62" t="str">
        <f>IF(AND('领用录入（明细）'!D:D=$F$4,'领用录入（明细）'!C:C&gt;=$J$4,'领用录入（明细）'!C:C&lt;=$L$4),ROW(),"-")</f>
        <v>-</v>
      </c>
    </row>
    <row r="16604" customHeight="1" spans="2:2">
      <c r="B16604" s="62" t="str">
        <f>IF(AND('领用录入（明细）'!D:D=$F$4,'领用录入（明细）'!C:C&gt;=$J$4,'领用录入（明细）'!C:C&lt;=$L$4),ROW(),"-")</f>
        <v>-</v>
      </c>
    </row>
    <row r="16605" customHeight="1" spans="2:2">
      <c r="B16605" s="62" t="str">
        <f>IF(AND('领用录入（明细）'!D:D=$F$4,'领用录入（明细）'!C:C&gt;=$J$4,'领用录入（明细）'!C:C&lt;=$L$4),ROW(),"-")</f>
        <v>-</v>
      </c>
    </row>
    <row r="16606" customHeight="1" spans="2:2">
      <c r="B16606" s="62" t="str">
        <f>IF(AND('领用录入（明细）'!D:D=$F$4,'领用录入（明细）'!C:C&gt;=$J$4,'领用录入（明细）'!C:C&lt;=$L$4),ROW(),"-")</f>
        <v>-</v>
      </c>
    </row>
    <row r="16607" customHeight="1" spans="2:2">
      <c r="B16607" s="62" t="str">
        <f>IF(AND('领用录入（明细）'!D:D=$F$4,'领用录入（明细）'!C:C&gt;=$J$4,'领用录入（明细）'!C:C&lt;=$L$4),ROW(),"-")</f>
        <v>-</v>
      </c>
    </row>
    <row r="16608" customHeight="1" spans="2:2">
      <c r="B16608" s="62" t="str">
        <f>IF(AND('领用录入（明细）'!D:D=$F$4,'领用录入（明细）'!C:C&gt;=$J$4,'领用录入（明细）'!C:C&lt;=$L$4),ROW(),"-")</f>
        <v>-</v>
      </c>
    </row>
    <row r="16609" customHeight="1" spans="2:2">
      <c r="B16609" s="62" t="str">
        <f>IF(AND('领用录入（明细）'!D:D=$F$4,'领用录入（明细）'!C:C&gt;=$J$4,'领用录入（明细）'!C:C&lt;=$L$4),ROW(),"-")</f>
        <v>-</v>
      </c>
    </row>
    <row r="16610" customHeight="1" spans="2:2">
      <c r="B16610" s="62" t="str">
        <f>IF(AND('领用录入（明细）'!D:D=$F$4,'领用录入（明细）'!C:C&gt;=$J$4,'领用录入（明细）'!C:C&lt;=$L$4),ROW(),"-")</f>
        <v>-</v>
      </c>
    </row>
    <row r="16611" customHeight="1" spans="2:2">
      <c r="B16611" s="62" t="str">
        <f>IF(AND('领用录入（明细）'!D:D=$F$4,'领用录入（明细）'!C:C&gt;=$J$4,'领用录入（明细）'!C:C&lt;=$L$4),ROW(),"-")</f>
        <v>-</v>
      </c>
    </row>
    <row r="16612" customHeight="1" spans="2:2">
      <c r="B16612" s="62" t="str">
        <f>IF(AND('领用录入（明细）'!D:D=$F$4,'领用录入（明细）'!C:C&gt;=$J$4,'领用录入（明细）'!C:C&lt;=$L$4),ROW(),"-")</f>
        <v>-</v>
      </c>
    </row>
    <row r="16613" customHeight="1" spans="2:2">
      <c r="B16613" s="62" t="str">
        <f>IF(AND('领用录入（明细）'!D:D=$F$4,'领用录入（明细）'!C:C&gt;=$J$4,'领用录入（明细）'!C:C&lt;=$L$4),ROW(),"-")</f>
        <v>-</v>
      </c>
    </row>
    <row r="16614" customHeight="1" spans="2:2">
      <c r="B16614" s="62" t="str">
        <f>IF(AND('领用录入（明细）'!D:D=$F$4,'领用录入（明细）'!C:C&gt;=$J$4,'领用录入（明细）'!C:C&lt;=$L$4),ROW(),"-")</f>
        <v>-</v>
      </c>
    </row>
    <row r="16615" customHeight="1" spans="2:2">
      <c r="B16615" s="62" t="str">
        <f>IF(AND('领用录入（明细）'!D:D=$F$4,'领用录入（明细）'!C:C&gt;=$J$4,'领用录入（明细）'!C:C&lt;=$L$4),ROW(),"-")</f>
        <v>-</v>
      </c>
    </row>
    <row r="16616" customHeight="1" spans="2:2">
      <c r="B16616" s="62" t="str">
        <f>IF(AND('领用录入（明细）'!D:D=$F$4,'领用录入（明细）'!C:C&gt;=$J$4,'领用录入（明细）'!C:C&lt;=$L$4),ROW(),"-")</f>
        <v>-</v>
      </c>
    </row>
    <row r="16617" customHeight="1" spans="2:2">
      <c r="B16617" s="62" t="str">
        <f>IF(AND('领用录入（明细）'!D:D=$F$4,'领用录入（明细）'!C:C&gt;=$J$4,'领用录入（明细）'!C:C&lt;=$L$4),ROW(),"-")</f>
        <v>-</v>
      </c>
    </row>
    <row r="16618" customHeight="1" spans="2:2">
      <c r="B16618" s="62" t="str">
        <f>IF(AND('领用录入（明细）'!D:D=$F$4,'领用录入（明细）'!C:C&gt;=$J$4,'领用录入（明细）'!C:C&lt;=$L$4),ROW(),"-")</f>
        <v>-</v>
      </c>
    </row>
    <row r="16619" customHeight="1" spans="2:2">
      <c r="B16619" s="62" t="str">
        <f>IF(AND('领用录入（明细）'!D:D=$F$4,'领用录入（明细）'!C:C&gt;=$J$4,'领用录入（明细）'!C:C&lt;=$L$4),ROW(),"-")</f>
        <v>-</v>
      </c>
    </row>
    <row r="16620" customHeight="1" spans="2:2">
      <c r="B16620" s="62" t="str">
        <f>IF(AND('领用录入（明细）'!D:D=$F$4,'领用录入（明细）'!C:C&gt;=$J$4,'领用录入（明细）'!C:C&lt;=$L$4),ROW(),"-")</f>
        <v>-</v>
      </c>
    </row>
    <row r="16621" customHeight="1" spans="2:2">
      <c r="B16621" s="62" t="str">
        <f>IF(AND('领用录入（明细）'!D:D=$F$4,'领用录入（明细）'!C:C&gt;=$J$4,'领用录入（明细）'!C:C&lt;=$L$4),ROW(),"-")</f>
        <v>-</v>
      </c>
    </row>
    <row r="16622" customHeight="1" spans="2:2">
      <c r="B16622" s="62" t="str">
        <f>IF(AND('领用录入（明细）'!D:D=$F$4,'领用录入（明细）'!C:C&gt;=$J$4,'领用录入（明细）'!C:C&lt;=$L$4),ROW(),"-")</f>
        <v>-</v>
      </c>
    </row>
    <row r="16623" customHeight="1" spans="2:2">
      <c r="B16623" s="62" t="str">
        <f>IF(AND('领用录入（明细）'!D:D=$F$4,'领用录入（明细）'!C:C&gt;=$J$4,'领用录入（明细）'!C:C&lt;=$L$4),ROW(),"-")</f>
        <v>-</v>
      </c>
    </row>
    <row r="16624" customHeight="1" spans="2:2">
      <c r="B16624" s="62" t="str">
        <f>IF(AND('领用录入（明细）'!D:D=$F$4,'领用录入（明细）'!C:C&gt;=$J$4,'领用录入（明细）'!C:C&lt;=$L$4),ROW(),"-")</f>
        <v>-</v>
      </c>
    </row>
    <row r="16625" customHeight="1" spans="2:2">
      <c r="B16625" s="62" t="str">
        <f>IF(AND('领用录入（明细）'!D:D=$F$4,'领用录入（明细）'!C:C&gt;=$J$4,'领用录入（明细）'!C:C&lt;=$L$4),ROW(),"-")</f>
        <v>-</v>
      </c>
    </row>
    <row r="16626" customHeight="1" spans="2:2">
      <c r="B16626" s="62" t="str">
        <f>IF(AND('领用录入（明细）'!D:D=$F$4,'领用录入（明细）'!C:C&gt;=$J$4,'领用录入（明细）'!C:C&lt;=$L$4),ROW(),"-")</f>
        <v>-</v>
      </c>
    </row>
    <row r="16627" customHeight="1" spans="2:2">
      <c r="B16627" s="62" t="str">
        <f>IF(AND('领用录入（明细）'!D:D=$F$4,'领用录入（明细）'!C:C&gt;=$J$4,'领用录入（明细）'!C:C&lt;=$L$4),ROW(),"-")</f>
        <v>-</v>
      </c>
    </row>
    <row r="16628" customHeight="1" spans="2:2">
      <c r="B16628" s="62" t="str">
        <f>IF(AND('领用录入（明细）'!D:D=$F$4,'领用录入（明细）'!C:C&gt;=$J$4,'领用录入（明细）'!C:C&lt;=$L$4),ROW(),"-")</f>
        <v>-</v>
      </c>
    </row>
    <row r="16629" customHeight="1" spans="2:2">
      <c r="B16629" s="62" t="str">
        <f>IF(AND('领用录入（明细）'!D:D=$F$4,'领用录入（明细）'!C:C&gt;=$J$4,'领用录入（明细）'!C:C&lt;=$L$4),ROW(),"-")</f>
        <v>-</v>
      </c>
    </row>
    <row r="16630" customHeight="1" spans="2:2">
      <c r="B16630" s="62" t="str">
        <f>IF(AND('领用录入（明细）'!D:D=$F$4,'领用录入（明细）'!C:C&gt;=$J$4,'领用录入（明细）'!C:C&lt;=$L$4),ROW(),"-")</f>
        <v>-</v>
      </c>
    </row>
    <row r="16631" customHeight="1" spans="2:2">
      <c r="B16631" s="62" t="str">
        <f>IF(AND('领用录入（明细）'!D:D=$F$4,'领用录入（明细）'!C:C&gt;=$J$4,'领用录入（明细）'!C:C&lt;=$L$4),ROW(),"-")</f>
        <v>-</v>
      </c>
    </row>
    <row r="16632" customHeight="1" spans="2:2">
      <c r="B16632" s="62" t="str">
        <f>IF(AND('领用录入（明细）'!D:D=$F$4,'领用录入（明细）'!C:C&gt;=$J$4,'领用录入（明细）'!C:C&lt;=$L$4),ROW(),"-")</f>
        <v>-</v>
      </c>
    </row>
    <row r="16633" customHeight="1" spans="2:2">
      <c r="B16633" s="62" t="str">
        <f>IF(AND('领用录入（明细）'!D:D=$F$4,'领用录入（明细）'!C:C&gt;=$J$4,'领用录入（明细）'!C:C&lt;=$L$4),ROW(),"-")</f>
        <v>-</v>
      </c>
    </row>
    <row r="16634" customHeight="1" spans="2:2">
      <c r="B16634" s="62" t="str">
        <f>IF(AND('领用录入（明细）'!D:D=$F$4,'领用录入（明细）'!C:C&gt;=$J$4,'领用录入（明细）'!C:C&lt;=$L$4),ROW(),"-")</f>
        <v>-</v>
      </c>
    </row>
    <row r="16635" customHeight="1" spans="2:2">
      <c r="B16635" s="62" t="str">
        <f>IF(AND('领用录入（明细）'!D:D=$F$4,'领用录入（明细）'!C:C&gt;=$J$4,'领用录入（明细）'!C:C&lt;=$L$4),ROW(),"-")</f>
        <v>-</v>
      </c>
    </row>
    <row r="16636" customHeight="1" spans="2:2">
      <c r="B16636" s="62" t="str">
        <f>IF(AND('领用录入（明细）'!D:D=$F$4,'领用录入（明细）'!C:C&gt;=$J$4,'领用录入（明细）'!C:C&lt;=$L$4),ROW(),"-")</f>
        <v>-</v>
      </c>
    </row>
    <row r="16637" customHeight="1" spans="2:2">
      <c r="B16637" s="62" t="str">
        <f>IF(AND('领用录入（明细）'!D:D=$F$4,'领用录入（明细）'!C:C&gt;=$J$4,'领用录入（明细）'!C:C&lt;=$L$4),ROW(),"-")</f>
        <v>-</v>
      </c>
    </row>
    <row r="16638" customHeight="1" spans="2:2">
      <c r="B16638" s="62" t="str">
        <f>IF(AND('领用录入（明细）'!D:D=$F$4,'领用录入（明细）'!C:C&gt;=$J$4,'领用录入（明细）'!C:C&lt;=$L$4),ROW(),"-")</f>
        <v>-</v>
      </c>
    </row>
    <row r="16639" customHeight="1" spans="2:2">
      <c r="B16639" s="62" t="str">
        <f>IF(AND('领用录入（明细）'!D:D=$F$4,'领用录入（明细）'!C:C&gt;=$J$4,'领用录入（明细）'!C:C&lt;=$L$4),ROW(),"-")</f>
        <v>-</v>
      </c>
    </row>
    <row r="16640" customHeight="1" spans="2:2">
      <c r="B16640" s="62" t="str">
        <f>IF(AND('领用录入（明细）'!D:D=$F$4,'领用录入（明细）'!C:C&gt;=$J$4,'领用录入（明细）'!C:C&lt;=$L$4),ROW(),"-")</f>
        <v>-</v>
      </c>
    </row>
    <row r="16641" customHeight="1" spans="2:2">
      <c r="B16641" s="62" t="str">
        <f>IF(AND('领用录入（明细）'!D:D=$F$4,'领用录入（明细）'!C:C&gt;=$J$4,'领用录入（明细）'!C:C&lt;=$L$4),ROW(),"-")</f>
        <v>-</v>
      </c>
    </row>
    <row r="16642" customHeight="1" spans="2:2">
      <c r="B16642" s="62" t="str">
        <f>IF(AND('领用录入（明细）'!D:D=$F$4,'领用录入（明细）'!C:C&gt;=$J$4,'领用录入（明细）'!C:C&lt;=$L$4),ROW(),"-")</f>
        <v>-</v>
      </c>
    </row>
    <row r="16643" customHeight="1" spans="2:2">
      <c r="B16643" s="62" t="str">
        <f>IF(AND('领用录入（明细）'!D:D=$F$4,'领用录入（明细）'!C:C&gt;=$J$4,'领用录入（明细）'!C:C&lt;=$L$4),ROW(),"-")</f>
        <v>-</v>
      </c>
    </row>
    <row r="16644" customHeight="1" spans="2:2">
      <c r="B16644" s="62" t="str">
        <f>IF(AND('领用录入（明细）'!D:D=$F$4,'领用录入（明细）'!C:C&gt;=$J$4,'领用录入（明细）'!C:C&lt;=$L$4),ROW(),"-")</f>
        <v>-</v>
      </c>
    </row>
    <row r="16645" customHeight="1" spans="2:2">
      <c r="B16645" s="62" t="str">
        <f>IF(AND('领用录入（明细）'!D:D=$F$4,'领用录入（明细）'!C:C&gt;=$J$4,'领用录入（明细）'!C:C&lt;=$L$4),ROW(),"-")</f>
        <v>-</v>
      </c>
    </row>
    <row r="16646" customHeight="1" spans="2:2">
      <c r="B16646" s="62" t="str">
        <f>IF(AND('领用录入（明细）'!D:D=$F$4,'领用录入（明细）'!C:C&gt;=$J$4,'领用录入（明细）'!C:C&lt;=$L$4),ROW(),"-")</f>
        <v>-</v>
      </c>
    </row>
    <row r="16647" customHeight="1" spans="2:2">
      <c r="B16647" s="62" t="str">
        <f>IF(AND('领用录入（明细）'!D:D=$F$4,'领用录入（明细）'!C:C&gt;=$J$4,'领用录入（明细）'!C:C&lt;=$L$4),ROW(),"-")</f>
        <v>-</v>
      </c>
    </row>
    <row r="16648" customHeight="1" spans="2:2">
      <c r="B16648" s="62" t="str">
        <f>IF(AND('领用录入（明细）'!D:D=$F$4,'领用录入（明细）'!C:C&gt;=$J$4,'领用录入（明细）'!C:C&lt;=$L$4),ROW(),"-")</f>
        <v>-</v>
      </c>
    </row>
    <row r="16649" customHeight="1" spans="2:2">
      <c r="B16649" s="62" t="str">
        <f>IF(AND('领用录入（明细）'!D:D=$F$4,'领用录入（明细）'!C:C&gt;=$J$4,'领用录入（明细）'!C:C&lt;=$L$4),ROW(),"-")</f>
        <v>-</v>
      </c>
    </row>
    <row r="16650" customHeight="1" spans="2:2">
      <c r="B16650" s="62" t="str">
        <f>IF(AND('领用录入（明细）'!D:D=$F$4,'领用录入（明细）'!C:C&gt;=$J$4,'领用录入（明细）'!C:C&lt;=$L$4),ROW(),"-")</f>
        <v>-</v>
      </c>
    </row>
    <row r="16651" customHeight="1" spans="2:2">
      <c r="B16651" s="62" t="str">
        <f>IF(AND('领用录入（明细）'!D:D=$F$4,'领用录入（明细）'!C:C&gt;=$J$4,'领用录入（明细）'!C:C&lt;=$L$4),ROW(),"-")</f>
        <v>-</v>
      </c>
    </row>
    <row r="16652" customHeight="1" spans="2:2">
      <c r="B16652" s="62" t="str">
        <f>IF(AND('领用录入（明细）'!D:D=$F$4,'领用录入（明细）'!C:C&gt;=$J$4,'领用录入（明细）'!C:C&lt;=$L$4),ROW(),"-")</f>
        <v>-</v>
      </c>
    </row>
    <row r="16653" customHeight="1" spans="2:2">
      <c r="B16653" s="62" t="str">
        <f>IF(AND('领用录入（明细）'!D:D=$F$4,'领用录入（明细）'!C:C&gt;=$J$4,'领用录入（明细）'!C:C&lt;=$L$4),ROW(),"-")</f>
        <v>-</v>
      </c>
    </row>
    <row r="16654" customHeight="1" spans="2:2">
      <c r="B16654" s="62" t="str">
        <f>IF(AND('领用录入（明细）'!D:D=$F$4,'领用录入（明细）'!C:C&gt;=$J$4,'领用录入（明细）'!C:C&lt;=$L$4),ROW(),"-")</f>
        <v>-</v>
      </c>
    </row>
    <row r="16655" customHeight="1" spans="2:2">
      <c r="B16655" s="62" t="str">
        <f>IF(AND('领用录入（明细）'!D:D=$F$4,'领用录入（明细）'!C:C&gt;=$J$4,'领用录入（明细）'!C:C&lt;=$L$4),ROW(),"-")</f>
        <v>-</v>
      </c>
    </row>
    <row r="16656" customHeight="1" spans="2:2">
      <c r="B16656" s="62" t="str">
        <f>IF(AND('领用录入（明细）'!D:D=$F$4,'领用录入（明细）'!C:C&gt;=$J$4,'领用录入（明细）'!C:C&lt;=$L$4),ROW(),"-")</f>
        <v>-</v>
      </c>
    </row>
    <row r="16657" customHeight="1" spans="2:2">
      <c r="B16657" s="62" t="str">
        <f>IF(AND('领用录入（明细）'!D:D=$F$4,'领用录入（明细）'!C:C&gt;=$J$4,'领用录入（明细）'!C:C&lt;=$L$4),ROW(),"-")</f>
        <v>-</v>
      </c>
    </row>
    <row r="16658" customHeight="1" spans="2:2">
      <c r="B16658" s="62" t="str">
        <f>IF(AND('领用录入（明细）'!D:D=$F$4,'领用录入（明细）'!C:C&gt;=$J$4,'领用录入（明细）'!C:C&lt;=$L$4),ROW(),"-")</f>
        <v>-</v>
      </c>
    </row>
    <row r="16659" customHeight="1" spans="2:2">
      <c r="B16659" s="62" t="str">
        <f>IF(AND('领用录入（明细）'!D:D=$F$4,'领用录入（明细）'!C:C&gt;=$J$4,'领用录入（明细）'!C:C&lt;=$L$4),ROW(),"-")</f>
        <v>-</v>
      </c>
    </row>
    <row r="16660" customHeight="1" spans="2:2">
      <c r="B16660" s="62" t="str">
        <f>IF(AND('领用录入（明细）'!D:D=$F$4,'领用录入（明细）'!C:C&gt;=$J$4,'领用录入（明细）'!C:C&lt;=$L$4),ROW(),"-")</f>
        <v>-</v>
      </c>
    </row>
    <row r="16661" customHeight="1" spans="2:2">
      <c r="B16661" s="62" t="str">
        <f>IF(AND('领用录入（明细）'!D:D=$F$4,'领用录入（明细）'!C:C&gt;=$J$4,'领用录入（明细）'!C:C&lt;=$L$4),ROW(),"-")</f>
        <v>-</v>
      </c>
    </row>
    <row r="16662" customHeight="1" spans="2:2">
      <c r="B16662" s="62" t="str">
        <f>IF(AND('领用录入（明细）'!D:D=$F$4,'领用录入（明细）'!C:C&gt;=$J$4,'领用录入（明细）'!C:C&lt;=$L$4),ROW(),"-")</f>
        <v>-</v>
      </c>
    </row>
    <row r="16663" customHeight="1" spans="2:2">
      <c r="B16663" s="62" t="str">
        <f>IF(AND('领用录入（明细）'!D:D=$F$4,'领用录入（明细）'!C:C&gt;=$J$4,'领用录入（明细）'!C:C&lt;=$L$4),ROW(),"-")</f>
        <v>-</v>
      </c>
    </row>
    <row r="16664" customHeight="1" spans="2:2">
      <c r="B16664" s="62" t="str">
        <f>IF(AND('领用录入（明细）'!D:D=$F$4,'领用录入（明细）'!C:C&gt;=$J$4,'领用录入（明细）'!C:C&lt;=$L$4),ROW(),"-")</f>
        <v>-</v>
      </c>
    </row>
    <row r="16665" customHeight="1" spans="2:2">
      <c r="B16665" s="62" t="str">
        <f>IF(AND('领用录入（明细）'!D:D=$F$4,'领用录入（明细）'!C:C&gt;=$J$4,'领用录入（明细）'!C:C&lt;=$L$4),ROW(),"-")</f>
        <v>-</v>
      </c>
    </row>
    <row r="16666" customHeight="1" spans="2:2">
      <c r="B16666" s="62" t="str">
        <f>IF(AND('领用录入（明细）'!D:D=$F$4,'领用录入（明细）'!C:C&gt;=$J$4,'领用录入（明细）'!C:C&lt;=$L$4),ROW(),"-")</f>
        <v>-</v>
      </c>
    </row>
    <row r="16667" customHeight="1" spans="2:2">
      <c r="B16667" s="62" t="str">
        <f>IF(AND('领用录入（明细）'!D:D=$F$4,'领用录入（明细）'!C:C&gt;=$J$4,'领用录入（明细）'!C:C&lt;=$L$4),ROW(),"-")</f>
        <v>-</v>
      </c>
    </row>
    <row r="16668" customHeight="1" spans="2:2">
      <c r="B16668" s="62" t="str">
        <f>IF(AND('领用录入（明细）'!D:D=$F$4,'领用录入（明细）'!C:C&gt;=$J$4,'领用录入（明细）'!C:C&lt;=$L$4),ROW(),"-")</f>
        <v>-</v>
      </c>
    </row>
    <row r="16669" customHeight="1" spans="2:2">
      <c r="B16669" s="62" t="str">
        <f>IF(AND('领用录入（明细）'!D:D=$F$4,'领用录入（明细）'!C:C&gt;=$J$4,'领用录入（明细）'!C:C&lt;=$L$4),ROW(),"-")</f>
        <v>-</v>
      </c>
    </row>
    <row r="16670" customHeight="1" spans="2:2">
      <c r="B16670" s="62" t="str">
        <f>IF(AND('领用录入（明细）'!D:D=$F$4,'领用录入（明细）'!C:C&gt;=$J$4,'领用录入（明细）'!C:C&lt;=$L$4),ROW(),"-")</f>
        <v>-</v>
      </c>
    </row>
    <row r="16671" customHeight="1" spans="2:2">
      <c r="B16671" s="62" t="str">
        <f>IF(AND('领用录入（明细）'!D:D=$F$4,'领用录入（明细）'!C:C&gt;=$J$4,'领用录入（明细）'!C:C&lt;=$L$4),ROW(),"-")</f>
        <v>-</v>
      </c>
    </row>
    <row r="16672" customHeight="1" spans="2:2">
      <c r="B16672" s="62" t="str">
        <f>IF(AND('领用录入（明细）'!D:D=$F$4,'领用录入（明细）'!C:C&gt;=$J$4,'领用录入（明细）'!C:C&lt;=$L$4),ROW(),"-")</f>
        <v>-</v>
      </c>
    </row>
    <row r="16673" customHeight="1" spans="2:2">
      <c r="B16673" s="62" t="str">
        <f>IF(AND('领用录入（明细）'!D:D=$F$4,'领用录入（明细）'!C:C&gt;=$J$4,'领用录入（明细）'!C:C&lt;=$L$4),ROW(),"-")</f>
        <v>-</v>
      </c>
    </row>
    <row r="16674" customHeight="1" spans="2:2">
      <c r="B16674" s="62" t="str">
        <f>IF(AND('领用录入（明细）'!D:D=$F$4,'领用录入（明细）'!C:C&gt;=$J$4,'领用录入（明细）'!C:C&lt;=$L$4),ROW(),"-")</f>
        <v>-</v>
      </c>
    </row>
    <row r="16675" customHeight="1" spans="2:2">
      <c r="B16675" s="62" t="str">
        <f>IF(AND('领用录入（明细）'!D:D=$F$4,'领用录入（明细）'!C:C&gt;=$J$4,'领用录入（明细）'!C:C&lt;=$L$4),ROW(),"-")</f>
        <v>-</v>
      </c>
    </row>
    <row r="16676" customHeight="1" spans="2:2">
      <c r="B16676" s="62" t="str">
        <f>IF(AND('领用录入（明细）'!D:D=$F$4,'领用录入（明细）'!C:C&gt;=$J$4,'领用录入（明细）'!C:C&lt;=$L$4),ROW(),"-")</f>
        <v>-</v>
      </c>
    </row>
    <row r="16677" customHeight="1" spans="2:2">
      <c r="B16677" s="62" t="str">
        <f>IF(AND('领用录入（明细）'!D:D=$F$4,'领用录入（明细）'!C:C&gt;=$J$4,'领用录入（明细）'!C:C&lt;=$L$4),ROW(),"-")</f>
        <v>-</v>
      </c>
    </row>
    <row r="16678" customHeight="1" spans="2:2">
      <c r="B16678" s="62" t="str">
        <f>IF(AND('领用录入（明细）'!D:D=$F$4,'领用录入（明细）'!C:C&gt;=$J$4,'领用录入（明细）'!C:C&lt;=$L$4),ROW(),"-")</f>
        <v>-</v>
      </c>
    </row>
    <row r="16679" customHeight="1" spans="2:2">
      <c r="B16679" s="62" t="str">
        <f>IF(AND('领用录入（明细）'!D:D=$F$4,'领用录入（明细）'!C:C&gt;=$J$4,'领用录入（明细）'!C:C&lt;=$L$4),ROW(),"-")</f>
        <v>-</v>
      </c>
    </row>
    <row r="16680" customHeight="1" spans="2:2">
      <c r="B16680" s="62" t="str">
        <f>IF(AND('领用录入（明细）'!D:D=$F$4,'领用录入（明细）'!C:C&gt;=$J$4,'领用录入（明细）'!C:C&lt;=$L$4),ROW(),"-")</f>
        <v>-</v>
      </c>
    </row>
    <row r="16681" customHeight="1" spans="2:2">
      <c r="B16681" s="62" t="str">
        <f>IF(AND('领用录入（明细）'!D:D=$F$4,'领用录入（明细）'!C:C&gt;=$J$4,'领用录入（明细）'!C:C&lt;=$L$4),ROW(),"-")</f>
        <v>-</v>
      </c>
    </row>
    <row r="16682" customHeight="1" spans="2:2">
      <c r="B16682" s="62" t="str">
        <f>IF(AND('领用录入（明细）'!D:D=$F$4,'领用录入（明细）'!C:C&gt;=$J$4,'领用录入（明细）'!C:C&lt;=$L$4),ROW(),"-")</f>
        <v>-</v>
      </c>
    </row>
    <row r="16683" customHeight="1" spans="2:2">
      <c r="B16683" s="62" t="str">
        <f>IF(AND('领用录入（明细）'!D:D=$F$4,'领用录入（明细）'!C:C&gt;=$J$4,'领用录入（明细）'!C:C&lt;=$L$4),ROW(),"-")</f>
        <v>-</v>
      </c>
    </row>
    <row r="16684" customHeight="1" spans="2:2">
      <c r="B16684" s="62" t="str">
        <f>IF(AND('领用录入（明细）'!D:D=$F$4,'领用录入（明细）'!C:C&gt;=$J$4,'领用录入（明细）'!C:C&lt;=$L$4),ROW(),"-")</f>
        <v>-</v>
      </c>
    </row>
    <row r="16685" customHeight="1" spans="2:2">
      <c r="B16685" s="62" t="str">
        <f>IF(AND('领用录入（明细）'!D:D=$F$4,'领用录入（明细）'!C:C&gt;=$J$4,'领用录入（明细）'!C:C&lt;=$L$4),ROW(),"-")</f>
        <v>-</v>
      </c>
    </row>
    <row r="16686" customHeight="1" spans="2:2">
      <c r="B16686" s="62" t="str">
        <f>IF(AND('领用录入（明细）'!D:D=$F$4,'领用录入（明细）'!C:C&gt;=$J$4,'领用录入（明细）'!C:C&lt;=$L$4),ROW(),"-")</f>
        <v>-</v>
      </c>
    </row>
    <row r="16687" customHeight="1" spans="2:2">
      <c r="B16687" s="62" t="str">
        <f>IF(AND('领用录入（明细）'!D:D=$F$4,'领用录入（明细）'!C:C&gt;=$J$4,'领用录入（明细）'!C:C&lt;=$L$4),ROW(),"-")</f>
        <v>-</v>
      </c>
    </row>
    <row r="16688" customHeight="1" spans="2:2">
      <c r="B16688" s="62" t="str">
        <f>IF(AND('领用录入（明细）'!D:D=$F$4,'领用录入（明细）'!C:C&gt;=$J$4,'领用录入（明细）'!C:C&lt;=$L$4),ROW(),"-")</f>
        <v>-</v>
      </c>
    </row>
    <row r="16689" customHeight="1" spans="2:2">
      <c r="B16689" s="62" t="str">
        <f>IF(AND('领用录入（明细）'!D:D=$F$4,'领用录入（明细）'!C:C&gt;=$J$4,'领用录入（明细）'!C:C&lt;=$L$4),ROW(),"-")</f>
        <v>-</v>
      </c>
    </row>
    <row r="16690" customHeight="1" spans="2:2">
      <c r="B16690" s="62" t="str">
        <f>IF(AND('领用录入（明细）'!D:D=$F$4,'领用录入（明细）'!C:C&gt;=$J$4,'领用录入（明细）'!C:C&lt;=$L$4),ROW(),"-")</f>
        <v>-</v>
      </c>
    </row>
    <row r="16691" customHeight="1" spans="2:2">
      <c r="B16691" s="62" t="str">
        <f>IF(AND('领用录入（明细）'!D:D=$F$4,'领用录入（明细）'!C:C&gt;=$J$4,'领用录入（明细）'!C:C&lt;=$L$4),ROW(),"-")</f>
        <v>-</v>
      </c>
    </row>
    <row r="16692" customHeight="1" spans="2:2">
      <c r="B16692" s="62" t="str">
        <f>IF(AND('领用录入（明细）'!D:D=$F$4,'领用录入（明细）'!C:C&gt;=$J$4,'领用录入（明细）'!C:C&lt;=$L$4),ROW(),"-")</f>
        <v>-</v>
      </c>
    </row>
    <row r="16693" customHeight="1" spans="2:2">
      <c r="B16693" s="62" t="str">
        <f>IF(AND('领用录入（明细）'!D:D=$F$4,'领用录入（明细）'!C:C&gt;=$J$4,'领用录入（明细）'!C:C&lt;=$L$4),ROW(),"-")</f>
        <v>-</v>
      </c>
    </row>
    <row r="16694" customHeight="1" spans="2:2">
      <c r="B16694" s="62" t="str">
        <f>IF(AND('领用录入（明细）'!D:D=$F$4,'领用录入（明细）'!C:C&gt;=$J$4,'领用录入（明细）'!C:C&lt;=$L$4),ROW(),"-")</f>
        <v>-</v>
      </c>
    </row>
    <row r="16695" customHeight="1" spans="2:2">
      <c r="B16695" s="62" t="str">
        <f>IF(AND('领用录入（明细）'!D:D=$F$4,'领用录入（明细）'!C:C&gt;=$J$4,'领用录入（明细）'!C:C&lt;=$L$4),ROW(),"-")</f>
        <v>-</v>
      </c>
    </row>
    <row r="16696" customHeight="1" spans="2:2">
      <c r="B16696" s="62" t="str">
        <f>IF(AND('领用录入（明细）'!D:D=$F$4,'领用录入（明细）'!C:C&gt;=$J$4,'领用录入（明细）'!C:C&lt;=$L$4),ROW(),"-")</f>
        <v>-</v>
      </c>
    </row>
    <row r="16697" customHeight="1" spans="2:2">
      <c r="B16697" s="62" t="str">
        <f>IF(AND('领用录入（明细）'!D:D=$F$4,'领用录入（明细）'!C:C&gt;=$J$4,'领用录入（明细）'!C:C&lt;=$L$4),ROW(),"-")</f>
        <v>-</v>
      </c>
    </row>
    <row r="16698" customHeight="1" spans="2:2">
      <c r="B16698" s="62" t="str">
        <f>IF(AND('领用录入（明细）'!D:D=$F$4,'领用录入（明细）'!C:C&gt;=$J$4,'领用录入（明细）'!C:C&lt;=$L$4),ROW(),"-")</f>
        <v>-</v>
      </c>
    </row>
    <row r="16699" customHeight="1" spans="2:2">
      <c r="B16699" s="62" t="str">
        <f>IF(AND('领用录入（明细）'!D:D=$F$4,'领用录入（明细）'!C:C&gt;=$J$4,'领用录入（明细）'!C:C&lt;=$L$4),ROW(),"-")</f>
        <v>-</v>
      </c>
    </row>
    <row r="16700" customHeight="1" spans="2:2">
      <c r="B16700" s="62" t="str">
        <f>IF(AND('领用录入（明细）'!D:D=$F$4,'领用录入（明细）'!C:C&gt;=$J$4,'领用录入（明细）'!C:C&lt;=$L$4),ROW(),"-")</f>
        <v>-</v>
      </c>
    </row>
    <row r="16701" customHeight="1" spans="2:2">
      <c r="B16701" s="62" t="str">
        <f>IF(AND('领用录入（明细）'!D:D=$F$4,'领用录入（明细）'!C:C&gt;=$J$4,'领用录入（明细）'!C:C&lt;=$L$4),ROW(),"-")</f>
        <v>-</v>
      </c>
    </row>
    <row r="16702" customHeight="1" spans="2:2">
      <c r="B16702" s="62" t="str">
        <f>IF(AND('领用录入（明细）'!D:D=$F$4,'领用录入（明细）'!C:C&gt;=$J$4,'领用录入（明细）'!C:C&lt;=$L$4),ROW(),"-")</f>
        <v>-</v>
      </c>
    </row>
    <row r="16703" customHeight="1" spans="2:2">
      <c r="B16703" s="62" t="str">
        <f>IF(AND('领用录入（明细）'!D:D=$F$4,'领用录入（明细）'!C:C&gt;=$J$4,'领用录入（明细）'!C:C&lt;=$L$4),ROW(),"-")</f>
        <v>-</v>
      </c>
    </row>
    <row r="16704" customHeight="1" spans="2:2">
      <c r="B16704" s="62" t="str">
        <f>IF(AND('领用录入（明细）'!D:D=$F$4,'领用录入（明细）'!C:C&gt;=$J$4,'领用录入（明细）'!C:C&lt;=$L$4),ROW(),"-")</f>
        <v>-</v>
      </c>
    </row>
    <row r="16705" customHeight="1" spans="2:2">
      <c r="B16705" s="62" t="str">
        <f>IF(AND('领用录入（明细）'!D:D=$F$4,'领用录入（明细）'!C:C&gt;=$J$4,'领用录入（明细）'!C:C&lt;=$L$4),ROW(),"-")</f>
        <v>-</v>
      </c>
    </row>
    <row r="16706" customHeight="1" spans="2:2">
      <c r="B16706" s="62" t="str">
        <f>IF(AND('领用录入（明细）'!D:D=$F$4,'领用录入（明细）'!C:C&gt;=$J$4,'领用录入（明细）'!C:C&lt;=$L$4),ROW(),"-")</f>
        <v>-</v>
      </c>
    </row>
    <row r="16707" customHeight="1" spans="2:2">
      <c r="B16707" s="62" t="str">
        <f>IF(AND('领用录入（明细）'!D:D=$F$4,'领用录入（明细）'!C:C&gt;=$J$4,'领用录入（明细）'!C:C&lt;=$L$4),ROW(),"-")</f>
        <v>-</v>
      </c>
    </row>
    <row r="16708" customHeight="1" spans="2:2">
      <c r="B16708" s="62" t="str">
        <f>IF(AND('领用录入（明细）'!D:D=$F$4,'领用录入（明细）'!C:C&gt;=$J$4,'领用录入（明细）'!C:C&lt;=$L$4),ROW(),"-")</f>
        <v>-</v>
      </c>
    </row>
    <row r="16709" customHeight="1" spans="2:2">
      <c r="B16709" s="62" t="str">
        <f>IF(AND('领用录入（明细）'!D:D=$F$4,'领用录入（明细）'!C:C&gt;=$J$4,'领用录入（明细）'!C:C&lt;=$L$4),ROW(),"-")</f>
        <v>-</v>
      </c>
    </row>
    <row r="16710" customHeight="1" spans="2:2">
      <c r="B16710" s="62" t="str">
        <f>IF(AND('领用录入（明细）'!D:D=$F$4,'领用录入（明细）'!C:C&gt;=$J$4,'领用录入（明细）'!C:C&lt;=$L$4),ROW(),"-")</f>
        <v>-</v>
      </c>
    </row>
    <row r="16711" customHeight="1" spans="2:2">
      <c r="B16711" s="62" t="str">
        <f>IF(AND('领用录入（明细）'!D:D=$F$4,'领用录入（明细）'!C:C&gt;=$J$4,'领用录入（明细）'!C:C&lt;=$L$4),ROW(),"-")</f>
        <v>-</v>
      </c>
    </row>
    <row r="16712" customHeight="1" spans="2:2">
      <c r="B16712" s="62" t="str">
        <f>IF(AND('领用录入（明细）'!D:D=$F$4,'领用录入（明细）'!C:C&gt;=$J$4,'领用录入（明细）'!C:C&lt;=$L$4),ROW(),"-")</f>
        <v>-</v>
      </c>
    </row>
    <row r="16713" customHeight="1" spans="2:2">
      <c r="B16713" s="62" t="str">
        <f>IF(AND('领用录入（明细）'!D:D=$F$4,'领用录入（明细）'!C:C&gt;=$J$4,'领用录入（明细）'!C:C&lt;=$L$4),ROW(),"-")</f>
        <v>-</v>
      </c>
    </row>
    <row r="16714" customHeight="1" spans="2:2">
      <c r="B16714" s="62" t="str">
        <f>IF(AND('领用录入（明细）'!D:D=$F$4,'领用录入（明细）'!C:C&gt;=$J$4,'领用录入（明细）'!C:C&lt;=$L$4),ROW(),"-")</f>
        <v>-</v>
      </c>
    </row>
    <row r="16715" customHeight="1" spans="2:2">
      <c r="B16715" s="62" t="str">
        <f>IF(AND('领用录入（明细）'!D:D=$F$4,'领用录入（明细）'!C:C&gt;=$J$4,'领用录入（明细）'!C:C&lt;=$L$4),ROW(),"-")</f>
        <v>-</v>
      </c>
    </row>
    <row r="16716" customHeight="1" spans="2:2">
      <c r="B16716" s="62" t="str">
        <f>IF(AND('领用录入（明细）'!D:D=$F$4,'领用录入（明细）'!C:C&gt;=$J$4,'领用录入（明细）'!C:C&lt;=$L$4),ROW(),"-")</f>
        <v>-</v>
      </c>
    </row>
    <row r="16717" customHeight="1" spans="2:2">
      <c r="B16717" s="62" t="str">
        <f>IF(AND('领用录入（明细）'!D:D=$F$4,'领用录入（明细）'!C:C&gt;=$J$4,'领用录入（明细）'!C:C&lt;=$L$4),ROW(),"-")</f>
        <v>-</v>
      </c>
    </row>
    <row r="16718" customHeight="1" spans="2:2">
      <c r="B16718" s="62" t="str">
        <f>IF(AND('领用录入（明细）'!D:D=$F$4,'领用录入（明细）'!C:C&gt;=$J$4,'领用录入（明细）'!C:C&lt;=$L$4),ROW(),"-")</f>
        <v>-</v>
      </c>
    </row>
    <row r="16719" customHeight="1" spans="2:2">
      <c r="B16719" s="62" t="str">
        <f>IF(AND('领用录入（明细）'!D:D=$F$4,'领用录入（明细）'!C:C&gt;=$J$4,'领用录入（明细）'!C:C&lt;=$L$4),ROW(),"-")</f>
        <v>-</v>
      </c>
    </row>
    <row r="16720" customHeight="1" spans="2:2">
      <c r="B16720" s="62" t="str">
        <f>IF(AND('领用录入（明细）'!D:D=$F$4,'领用录入（明细）'!C:C&gt;=$J$4,'领用录入（明细）'!C:C&lt;=$L$4),ROW(),"-")</f>
        <v>-</v>
      </c>
    </row>
    <row r="16721" customHeight="1" spans="2:2">
      <c r="B16721" s="62" t="str">
        <f>IF(AND('领用录入（明细）'!D:D=$F$4,'领用录入（明细）'!C:C&gt;=$J$4,'领用录入（明细）'!C:C&lt;=$L$4),ROW(),"-")</f>
        <v>-</v>
      </c>
    </row>
    <row r="16722" customHeight="1" spans="2:2">
      <c r="B16722" s="62" t="str">
        <f>IF(AND('领用录入（明细）'!D:D=$F$4,'领用录入（明细）'!C:C&gt;=$J$4,'领用录入（明细）'!C:C&lt;=$L$4),ROW(),"-")</f>
        <v>-</v>
      </c>
    </row>
    <row r="16723" customHeight="1" spans="2:2">
      <c r="B16723" s="62" t="str">
        <f>IF(AND('领用录入（明细）'!D:D=$F$4,'领用录入（明细）'!C:C&gt;=$J$4,'领用录入（明细）'!C:C&lt;=$L$4),ROW(),"-")</f>
        <v>-</v>
      </c>
    </row>
    <row r="16724" customHeight="1" spans="2:2">
      <c r="B16724" s="62" t="str">
        <f>IF(AND('领用录入（明细）'!D:D=$F$4,'领用录入（明细）'!C:C&gt;=$J$4,'领用录入（明细）'!C:C&lt;=$L$4),ROW(),"-")</f>
        <v>-</v>
      </c>
    </row>
    <row r="16725" customHeight="1" spans="2:2">
      <c r="B16725" s="62" t="str">
        <f>IF(AND('领用录入（明细）'!D:D=$F$4,'领用录入（明细）'!C:C&gt;=$J$4,'领用录入（明细）'!C:C&lt;=$L$4),ROW(),"-")</f>
        <v>-</v>
      </c>
    </row>
    <row r="16726" customHeight="1" spans="2:2">
      <c r="B16726" s="62" t="str">
        <f>IF(AND('领用录入（明细）'!D:D=$F$4,'领用录入（明细）'!C:C&gt;=$J$4,'领用录入（明细）'!C:C&lt;=$L$4),ROW(),"-")</f>
        <v>-</v>
      </c>
    </row>
    <row r="16727" customHeight="1" spans="2:2">
      <c r="B16727" s="62" t="str">
        <f>IF(AND('领用录入（明细）'!D:D=$F$4,'领用录入（明细）'!C:C&gt;=$J$4,'领用录入（明细）'!C:C&lt;=$L$4),ROW(),"-")</f>
        <v>-</v>
      </c>
    </row>
    <row r="16728" customHeight="1" spans="2:2">
      <c r="B16728" s="62" t="str">
        <f>IF(AND('领用录入（明细）'!D:D=$F$4,'领用录入（明细）'!C:C&gt;=$J$4,'领用录入（明细）'!C:C&lt;=$L$4),ROW(),"-")</f>
        <v>-</v>
      </c>
    </row>
    <row r="16729" customHeight="1" spans="2:2">
      <c r="B16729" s="62" t="str">
        <f>IF(AND('领用录入（明细）'!D:D=$F$4,'领用录入（明细）'!C:C&gt;=$J$4,'领用录入（明细）'!C:C&lt;=$L$4),ROW(),"-")</f>
        <v>-</v>
      </c>
    </row>
    <row r="16730" customHeight="1" spans="2:2">
      <c r="B16730" s="62" t="str">
        <f>IF(AND('领用录入（明细）'!D:D=$F$4,'领用录入（明细）'!C:C&gt;=$J$4,'领用录入（明细）'!C:C&lt;=$L$4),ROW(),"-")</f>
        <v>-</v>
      </c>
    </row>
    <row r="16731" customHeight="1" spans="2:2">
      <c r="B16731" s="62" t="str">
        <f>IF(AND('领用录入（明细）'!D:D=$F$4,'领用录入（明细）'!C:C&gt;=$J$4,'领用录入（明细）'!C:C&lt;=$L$4),ROW(),"-")</f>
        <v>-</v>
      </c>
    </row>
    <row r="16732" customHeight="1" spans="2:2">
      <c r="B16732" s="62" t="str">
        <f>IF(AND('领用录入（明细）'!D:D=$F$4,'领用录入（明细）'!C:C&gt;=$J$4,'领用录入（明细）'!C:C&lt;=$L$4),ROW(),"-")</f>
        <v>-</v>
      </c>
    </row>
    <row r="16733" customHeight="1" spans="2:2">
      <c r="B16733" s="62" t="str">
        <f>IF(AND('领用录入（明细）'!D:D=$F$4,'领用录入（明细）'!C:C&gt;=$J$4,'领用录入（明细）'!C:C&lt;=$L$4),ROW(),"-")</f>
        <v>-</v>
      </c>
    </row>
    <row r="16734" customHeight="1" spans="2:2">
      <c r="B16734" s="62" t="str">
        <f>IF(AND('领用录入（明细）'!D:D=$F$4,'领用录入（明细）'!C:C&gt;=$J$4,'领用录入（明细）'!C:C&lt;=$L$4),ROW(),"-")</f>
        <v>-</v>
      </c>
    </row>
    <row r="16735" customHeight="1" spans="2:2">
      <c r="B16735" s="62" t="str">
        <f>IF(AND('领用录入（明细）'!D:D=$F$4,'领用录入（明细）'!C:C&gt;=$J$4,'领用录入（明细）'!C:C&lt;=$L$4),ROW(),"-")</f>
        <v>-</v>
      </c>
    </row>
    <row r="16736" customHeight="1" spans="2:2">
      <c r="B16736" s="62" t="str">
        <f>IF(AND('领用录入（明细）'!D:D=$F$4,'领用录入（明细）'!C:C&gt;=$J$4,'领用录入（明细）'!C:C&lt;=$L$4),ROW(),"-")</f>
        <v>-</v>
      </c>
    </row>
    <row r="16737" customHeight="1" spans="2:2">
      <c r="B16737" s="62" t="str">
        <f>IF(AND('领用录入（明细）'!D:D=$F$4,'领用录入（明细）'!C:C&gt;=$J$4,'领用录入（明细）'!C:C&lt;=$L$4),ROW(),"-")</f>
        <v>-</v>
      </c>
    </row>
    <row r="16738" customHeight="1" spans="2:2">
      <c r="B16738" s="62" t="str">
        <f>IF(AND('领用录入（明细）'!D:D=$F$4,'领用录入（明细）'!C:C&gt;=$J$4,'领用录入（明细）'!C:C&lt;=$L$4),ROW(),"-")</f>
        <v>-</v>
      </c>
    </row>
    <row r="16739" customHeight="1" spans="2:2">
      <c r="B16739" s="62" t="str">
        <f>IF(AND('领用录入（明细）'!D:D=$F$4,'领用录入（明细）'!C:C&gt;=$J$4,'领用录入（明细）'!C:C&lt;=$L$4),ROW(),"-")</f>
        <v>-</v>
      </c>
    </row>
    <row r="16740" customHeight="1" spans="2:2">
      <c r="B16740" s="62" t="str">
        <f>IF(AND('领用录入（明细）'!D:D=$F$4,'领用录入（明细）'!C:C&gt;=$J$4,'领用录入（明细）'!C:C&lt;=$L$4),ROW(),"-")</f>
        <v>-</v>
      </c>
    </row>
    <row r="16741" customHeight="1" spans="2:2">
      <c r="B16741" s="62" t="str">
        <f>IF(AND('领用录入（明细）'!D:D=$F$4,'领用录入（明细）'!C:C&gt;=$J$4,'领用录入（明细）'!C:C&lt;=$L$4),ROW(),"-")</f>
        <v>-</v>
      </c>
    </row>
    <row r="16742" customHeight="1" spans="2:2">
      <c r="B16742" s="62" t="str">
        <f>IF(AND('领用录入（明细）'!D:D=$F$4,'领用录入（明细）'!C:C&gt;=$J$4,'领用录入（明细）'!C:C&lt;=$L$4),ROW(),"-")</f>
        <v>-</v>
      </c>
    </row>
    <row r="16743" customHeight="1" spans="2:2">
      <c r="B16743" s="62" t="str">
        <f>IF(AND('领用录入（明细）'!D:D=$F$4,'领用录入（明细）'!C:C&gt;=$J$4,'领用录入（明细）'!C:C&lt;=$L$4),ROW(),"-")</f>
        <v>-</v>
      </c>
    </row>
    <row r="16744" customHeight="1" spans="2:2">
      <c r="B16744" s="62" t="str">
        <f>IF(AND('领用录入（明细）'!D:D=$F$4,'领用录入（明细）'!C:C&gt;=$J$4,'领用录入（明细）'!C:C&lt;=$L$4),ROW(),"-")</f>
        <v>-</v>
      </c>
    </row>
    <row r="16745" customHeight="1" spans="2:2">
      <c r="B16745" s="62" t="str">
        <f>IF(AND('领用录入（明细）'!D:D=$F$4,'领用录入（明细）'!C:C&gt;=$J$4,'领用录入（明细）'!C:C&lt;=$L$4),ROW(),"-")</f>
        <v>-</v>
      </c>
    </row>
    <row r="16746" customHeight="1" spans="2:2">
      <c r="B16746" s="62" t="str">
        <f>IF(AND('领用录入（明细）'!D:D=$F$4,'领用录入（明细）'!C:C&gt;=$J$4,'领用录入（明细）'!C:C&lt;=$L$4),ROW(),"-")</f>
        <v>-</v>
      </c>
    </row>
    <row r="16747" customHeight="1" spans="2:2">
      <c r="B16747" s="62" t="str">
        <f>IF(AND('领用录入（明细）'!D:D=$F$4,'领用录入（明细）'!C:C&gt;=$J$4,'领用录入（明细）'!C:C&lt;=$L$4),ROW(),"-")</f>
        <v>-</v>
      </c>
    </row>
    <row r="16748" customHeight="1" spans="2:2">
      <c r="B16748" s="62" t="str">
        <f>IF(AND('领用录入（明细）'!D:D=$F$4,'领用录入（明细）'!C:C&gt;=$J$4,'领用录入（明细）'!C:C&lt;=$L$4),ROW(),"-")</f>
        <v>-</v>
      </c>
    </row>
    <row r="16749" customHeight="1" spans="2:2">
      <c r="B16749" s="62" t="str">
        <f>IF(AND('领用录入（明细）'!D:D=$F$4,'领用录入（明细）'!C:C&gt;=$J$4,'领用录入（明细）'!C:C&lt;=$L$4),ROW(),"-")</f>
        <v>-</v>
      </c>
    </row>
    <row r="16750" customHeight="1" spans="2:2">
      <c r="B16750" s="62" t="str">
        <f>IF(AND('领用录入（明细）'!D:D=$F$4,'领用录入（明细）'!C:C&gt;=$J$4,'领用录入（明细）'!C:C&lt;=$L$4),ROW(),"-")</f>
        <v>-</v>
      </c>
    </row>
    <row r="16751" customHeight="1" spans="2:2">
      <c r="B16751" s="62" t="str">
        <f>IF(AND('领用录入（明细）'!D:D=$F$4,'领用录入（明细）'!C:C&gt;=$J$4,'领用录入（明细）'!C:C&lt;=$L$4),ROW(),"-")</f>
        <v>-</v>
      </c>
    </row>
    <row r="16752" customHeight="1" spans="2:2">
      <c r="B16752" s="62" t="str">
        <f>IF(AND('领用录入（明细）'!D:D=$F$4,'领用录入（明细）'!C:C&gt;=$J$4,'领用录入（明细）'!C:C&lt;=$L$4),ROW(),"-")</f>
        <v>-</v>
      </c>
    </row>
    <row r="16753" customHeight="1" spans="2:2">
      <c r="B16753" s="62" t="str">
        <f>IF(AND('领用录入（明细）'!D:D=$F$4,'领用录入（明细）'!C:C&gt;=$J$4,'领用录入（明细）'!C:C&lt;=$L$4),ROW(),"-")</f>
        <v>-</v>
      </c>
    </row>
    <row r="16754" customHeight="1" spans="2:2">
      <c r="B16754" s="62" t="str">
        <f>IF(AND('领用录入（明细）'!D:D=$F$4,'领用录入（明细）'!C:C&gt;=$J$4,'领用录入（明细）'!C:C&lt;=$L$4),ROW(),"-")</f>
        <v>-</v>
      </c>
    </row>
    <row r="16755" customHeight="1" spans="2:2">
      <c r="B16755" s="62" t="str">
        <f>IF(AND('领用录入（明细）'!D:D=$F$4,'领用录入（明细）'!C:C&gt;=$J$4,'领用录入（明细）'!C:C&lt;=$L$4),ROW(),"-")</f>
        <v>-</v>
      </c>
    </row>
    <row r="16756" customHeight="1" spans="2:2">
      <c r="B16756" s="62" t="str">
        <f>IF(AND('领用录入（明细）'!D:D=$F$4,'领用录入（明细）'!C:C&gt;=$J$4,'领用录入（明细）'!C:C&lt;=$L$4),ROW(),"-")</f>
        <v>-</v>
      </c>
    </row>
    <row r="16757" customHeight="1" spans="2:2">
      <c r="B16757" s="62" t="str">
        <f>IF(AND('领用录入（明细）'!D:D=$F$4,'领用录入（明细）'!C:C&gt;=$J$4,'领用录入（明细）'!C:C&lt;=$L$4),ROW(),"-")</f>
        <v>-</v>
      </c>
    </row>
    <row r="16758" customHeight="1" spans="2:2">
      <c r="B16758" s="62" t="str">
        <f>IF(AND('领用录入（明细）'!D:D=$F$4,'领用录入（明细）'!C:C&gt;=$J$4,'领用录入（明细）'!C:C&lt;=$L$4),ROW(),"-")</f>
        <v>-</v>
      </c>
    </row>
    <row r="16759" customHeight="1" spans="2:2">
      <c r="B16759" s="62" t="str">
        <f>IF(AND('领用录入（明细）'!D:D=$F$4,'领用录入（明细）'!C:C&gt;=$J$4,'领用录入（明细）'!C:C&lt;=$L$4),ROW(),"-")</f>
        <v>-</v>
      </c>
    </row>
    <row r="16760" customHeight="1" spans="2:2">
      <c r="B16760" s="62" t="str">
        <f>IF(AND('领用录入（明细）'!D:D=$F$4,'领用录入（明细）'!C:C&gt;=$J$4,'领用录入（明细）'!C:C&lt;=$L$4),ROW(),"-")</f>
        <v>-</v>
      </c>
    </row>
    <row r="16761" customHeight="1" spans="2:2">
      <c r="B16761" s="62" t="str">
        <f>IF(AND('领用录入（明细）'!D:D=$F$4,'领用录入（明细）'!C:C&gt;=$J$4,'领用录入（明细）'!C:C&lt;=$L$4),ROW(),"-")</f>
        <v>-</v>
      </c>
    </row>
    <row r="16762" customHeight="1" spans="2:2">
      <c r="B16762" s="62" t="str">
        <f>IF(AND('领用录入（明细）'!D:D=$F$4,'领用录入（明细）'!C:C&gt;=$J$4,'领用录入（明细）'!C:C&lt;=$L$4),ROW(),"-")</f>
        <v>-</v>
      </c>
    </row>
    <row r="16763" customHeight="1" spans="2:2">
      <c r="B16763" s="62" t="str">
        <f>IF(AND('领用录入（明细）'!D:D=$F$4,'领用录入（明细）'!C:C&gt;=$J$4,'领用录入（明细）'!C:C&lt;=$L$4),ROW(),"-")</f>
        <v>-</v>
      </c>
    </row>
    <row r="16764" customHeight="1" spans="2:2">
      <c r="B16764" s="62" t="str">
        <f>IF(AND('领用录入（明细）'!D:D=$F$4,'领用录入（明细）'!C:C&gt;=$J$4,'领用录入（明细）'!C:C&lt;=$L$4),ROW(),"-")</f>
        <v>-</v>
      </c>
    </row>
    <row r="16765" customHeight="1" spans="2:2">
      <c r="B16765" s="62" t="str">
        <f>IF(AND('领用录入（明细）'!D:D=$F$4,'领用录入（明细）'!C:C&gt;=$J$4,'领用录入（明细）'!C:C&lt;=$L$4),ROW(),"-")</f>
        <v>-</v>
      </c>
    </row>
    <row r="16766" customHeight="1" spans="2:2">
      <c r="B16766" s="62" t="str">
        <f>IF(AND('领用录入（明细）'!D:D=$F$4,'领用录入（明细）'!C:C&gt;=$J$4,'领用录入（明细）'!C:C&lt;=$L$4),ROW(),"-")</f>
        <v>-</v>
      </c>
    </row>
    <row r="16767" customHeight="1" spans="2:2">
      <c r="B16767" s="62" t="str">
        <f>IF(AND('领用录入（明细）'!D:D=$F$4,'领用录入（明细）'!C:C&gt;=$J$4,'领用录入（明细）'!C:C&lt;=$L$4),ROW(),"-")</f>
        <v>-</v>
      </c>
    </row>
    <row r="16768" customHeight="1" spans="2:2">
      <c r="B16768" s="62" t="str">
        <f>IF(AND('领用录入（明细）'!D:D=$F$4,'领用录入（明细）'!C:C&gt;=$J$4,'领用录入（明细）'!C:C&lt;=$L$4),ROW(),"-")</f>
        <v>-</v>
      </c>
    </row>
    <row r="16769" customHeight="1" spans="2:2">
      <c r="B16769" s="62" t="str">
        <f>IF(AND('领用录入（明细）'!D:D=$F$4,'领用录入（明细）'!C:C&gt;=$J$4,'领用录入（明细）'!C:C&lt;=$L$4),ROW(),"-")</f>
        <v>-</v>
      </c>
    </row>
    <row r="16770" customHeight="1" spans="2:2">
      <c r="B16770" s="62" t="str">
        <f>IF(AND('领用录入（明细）'!D:D=$F$4,'领用录入（明细）'!C:C&gt;=$J$4,'领用录入（明细）'!C:C&lt;=$L$4),ROW(),"-")</f>
        <v>-</v>
      </c>
    </row>
    <row r="16771" customHeight="1" spans="2:2">
      <c r="B16771" s="62" t="str">
        <f>IF(AND('领用录入（明细）'!D:D=$F$4,'领用录入（明细）'!C:C&gt;=$J$4,'领用录入（明细）'!C:C&lt;=$L$4),ROW(),"-")</f>
        <v>-</v>
      </c>
    </row>
    <row r="16772" customHeight="1" spans="2:2">
      <c r="B16772" s="62" t="str">
        <f>IF(AND('领用录入（明细）'!D:D=$F$4,'领用录入（明细）'!C:C&gt;=$J$4,'领用录入（明细）'!C:C&lt;=$L$4),ROW(),"-")</f>
        <v>-</v>
      </c>
    </row>
    <row r="16773" customHeight="1" spans="2:2">
      <c r="B16773" s="62" t="str">
        <f>IF(AND('领用录入（明细）'!D:D=$F$4,'领用录入（明细）'!C:C&gt;=$J$4,'领用录入（明细）'!C:C&lt;=$L$4),ROW(),"-")</f>
        <v>-</v>
      </c>
    </row>
    <row r="16774" customHeight="1" spans="2:2">
      <c r="B16774" s="62" t="str">
        <f>IF(AND('领用录入（明细）'!D:D=$F$4,'领用录入（明细）'!C:C&gt;=$J$4,'领用录入（明细）'!C:C&lt;=$L$4),ROW(),"-")</f>
        <v>-</v>
      </c>
    </row>
    <row r="16775" customHeight="1" spans="2:2">
      <c r="B16775" s="62" t="str">
        <f>IF(AND('领用录入（明细）'!D:D=$F$4,'领用录入（明细）'!C:C&gt;=$J$4,'领用录入（明细）'!C:C&lt;=$L$4),ROW(),"-")</f>
        <v>-</v>
      </c>
    </row>
    <row r="16776" customHeight="1" spans="2:2">
      <c r="B16776" s="62" t="str">
        <f>IF(AND('领用录入（明细）'!D:D=$F$4,'领用录入（明细）'!C:C&gt;=$J$4,'领用录入（明细）'!C:C&lt;=$L$4),ROW(),"-")</f>
        <v>-</v>
      </c>
    </row>
    <row r="16777" customHeight="1" spans="2:2">
      <c r="B16777" s="62" t="str">
        <f>IF(AND('领用录入（明细）'!D:D=$F$4,'领用录入（明细）'!C:C&gt;=$J$4,'领用录入（明细）'!C:C&lt;=$L$4),ROW(),"-")</f>
        <v>-</v>
      </c>
    </row>
    <row r="16778" customHeight="1" spans="2:2">
      <c r="B16778" s="62" t="str">
        <f>IF(AND('领用录入（明细）'!D:D=$F$4,'领用录入（明细）'!C:C&gt;=$J$4,'领用录入（明细）'!C:C&lt;=$L$4),ROW(),"-")</f>
        <v>-</v>
      </c>
    </row>
    <row r="16779" customHeight="1" spans="2:2">
      <c r="B16779" s="62" t="str">
        <f>IF(AND('领用录入（明细）'!D:D=$F$4,'领用录入（明细）'!C:C&gt;=$J$4,'领用录入（明细）'!C:C&lt;=$L$4),ROW(),"-")</f>
        <v>-</v>
      </c>
    </row>
    <row r="16780" customHeight="1" spans="2:2">
      <c r="B16780" s="62" t="str">
        <f>IF(AND('领用录入（明细）'!D:D=$F$4,'领用录入（明细）'!C:C&gt;=$J$4,'领用录入（明细）'!C:C&lt;=$L$4),ROW(),"-")</f>
        <v>-</v>
      </c>
    </row>
    <row r="16781" customHeight="1" spans="2:2">
      <c r="B16781" s="62" t="str">
        <f>IF(AND('领用录入（明细）'!D:D=$F$4,'领用录入（明细）'!C:C&gt;=$J$4,'领用录入（明细）'!C:C&lt;=$L$4),ROW(),"-")</f>
        <v>-</v>
      </c>
    </row>
    <row r="16782" customHeight="1" spans="2:2">
      <c r="B16782" s="62" t="str">
        <f>IF(AND('领用录入（明细）'!D:D=$F$4,'领用录入（明细）'!C:C&gt;=$J$4,'领用录入（明细）'!C:C&lt;=$L$4),ROW(),"-")</f>
        <v>-</v>
      </c>
    </row>
    <row r="16783" customHeight="1" spans="2:2">
      <c r="B16783" s="62" t="str">
        <f>IF(AND('领用录入（明细）'!D:D=$F$4,'领用录入（明细）'!C:C&gt;=$J$4,'领用录入（明细）'!C:C&lt;=$L$4),ROW(),"-")</f>
        <v>-</v>
      </c>
    </row>
    <row r="16784" customHeight="1" spans="2:2">
      <c r="B16784" s="62" t="str">
        <f>IF(AND('领用录入（明细）'!D:D=$F$4,'领用录入（明细）'!C:C&gt;=$J$4,'领用录入（明细）'!C:C&lt;=$L$4),ROW(),"-")</f>
        <v>-</v>
      </c>
    </row>
    <row r="16785" customHeight="1" spans="2:2">
      <c r="B16785" s="62" t="str">
        <f>IF(AND('领用录入（明细）'!D:D=$F$4,'领用录入（明细）'!C:C&gt;=$J$4,'领用录入（明细）'!C:C&lt;=$L$4),ROW(),"-")</f>
        <v>-</v>
      </c>
    </row>
    <row r="16786" customHeight="1" spans="2:2">
      <c r="B16786" s="62" t="str">
        <f>IF(AND('领用录入（明细）'!D:D=$F$4,'领用录入（明细）'!C:C&gt;=$J$4,'领用录入（明细）'!C:C&lt;=$L$4),ROW(),"-")</f>
        <v>-</v>
      </c>
    </row>
    <row r="16787" customHeight="1" spans="2:2">
      <c r="B16787" s="62" t="str">
        <f>IF(AND('领用录入（明细）'!D:D=$F$4,'领用录入（明细）'!C:C&gt;=$J$4,'领用录入（明细）'!C:C&lt;=$L$4),ROW(),"-")</f>
        <v>-</v>
      </c>
    </row>
    <row r="16788" customHeight="1" spans="2:2">
      <c r="B16788" s="62" t="str">
        <f>IF(AND('领用录入（明细）'!D:D=$F$4,'领用录入（明细）'!C:C&gt;=$J$4,'领用录入（明细）'!C:C&lt;=$L$4),ROW(),"-")</f>
        <v>-</v>
      </c>
    </row>
    <row r="16789" customHeight="1" spans="2:2">
      <c r="B16789" s="62" t="str">
        <f>IF(AND('领用录入（明细）'!D:D=$F$4,'领用录入（明细）'!C:C&gt;=$J$4,'领用录入（明细）'!C:C&lt;=$L$4),ROW(),"-")</f>
        <v>-</v>
      </c>
    </row>
    <row r="16790" customHeight="1" spans="2:2">
      <c r="B16790" s="62" t="str">
        <f>IF(AND('领用录入（明细）'!D:D=$F$4,'领用录入（明细）'!C:C&gt;=$J$4,'领用录入（明细）'!C:C&lt;=$L$4),ROW(),"-")</f>
        <v>-</v>
      </c>
    </row>
    <row r="16791" customHeight="1" spans="2:2">
      <c r="B16791" s="62" t="str">
        <f>IF(AND('领用录入（明细）'!D:D=$F$4,'领用录入（明细）'!C:C&gt;=$J$4,'领用录入（明细）'!C:C&lt;=$L$4),ROW(),"-")</f>
        <v>-</v>
      </c>
    </row>
    <row r="16792" customHeight="1" spans="2:2">
      <c r="B16792" s="62" t="str">
        <f>IF(AND('领用录入（明细）'!D:D=$F$4,'领用录入（明细）'!C:C&gt;=$J$4,'领用录入（明细）'!C:C&lt;=$L$4),ROW(),"-")</f>
        <v>-</v>
      </c>
    </row>
    <row r="16793" customHeight="1" spans="2:2">
      <c r="B16793" s="62" t="str">
        <f>IF(AND('领用录入（明细）'!D:D=$F$4,'领用录入（明细）'!C:C&gt;=$J$4,'领用录入（明细）'!C:C&lt;=$L$4),ROW(),"-")</f>
        <v>-</v>
      </c>
    </row>
    <row r="16794" customHeight="1" spans="2:2">
      <c r="B16794" s="62" t="str">
        <f>IF(AND('领用录入（明细）'!D:D=$F$4,'领用录入（明细）'!C:C&gt;=$J$4,'领用录入（明细）'!C:C&lt;=$L$4),ROW(),"-")</f>
        <v>-</v>
      </c>
    </row>
    <row r="16795" customHeight="1" spans="2:2">
      <c r="B16795" s="62" t="str">
        <f>IF(AND('领用录入（明细）'!D:D=$F$4,'领用录入（明细）'!C:C&gt;=$J$4,'领用录入（明细）'!C:C&lt;=$L$4),ROW(),"-")</f>
        <v>-</v>
      </c>
    </row>
    <row r="16796" customHeight="1" spans="2:2">
      <c r="B16796" s="62" t="str">
        <f>IF(AND('领用录入（明细）'!D:D=$F$4,'领用录入（明细）'!C:C&gt;=$J$4,'领用录入（明细）'!C:C&lt;=$L$4),ROW(),"-")</f>
        <v>-</v>
      </c>
    </row>
    <row r="16797" customHeight="1" spans="2:2">
      <c r="B16797" s="62" t="str">
        <f>IF(AND('领用录入（明细）'!D:D=$F$4,'领用录入（明细）'!C:C&gt;=$J$4,'领用录入（明细）'!C:C&lt;=$L$4),ROW(),"-")</f>
        <v>-</v>
      </c>
    </row>
    <row r="16798" customHeight="1" spans="2:2">
      <c r="B16798" s="62" t="str">
        <f>IF(AND('领用录入（明细）'!D:D=$F$4,'领用录入（明细）'!C:C&gt;=$J$4,'领用录入（明细）'!C:C&lt;=$L$4),ROW(),"-")</f>
        <v>-</v>
      </c>
    </row>
    <row r="16799" customHeight="1" spans="2:2">
      <c r="B16799" s="62" t="str">
        <f>IF(AND('领用录入（明细）'!D:D=$F$4,'领用录入（明细）'!C:C&gt;=$J$4,'领用录入（明细）'!C:C&lt;=$L$4),ROW(),"-")</f>
        <v>-</v>
      </c>
    </row>
    <row r="16800" customHeight="1" spans="2:2">
      <c r="B16800" s="62" t="str">
        <f>IF(AND('领用录入（明细）'!D:D=$F$4,'领用录入（明细）'!C:C&gt;=$J$4,'领用录入（明细）'!C:C&lt;=$L$4),ROW(),"-")</f>
        <v>-</v>
      </c>
    </row>
    <row r="16801" customHeight="1" spans="2:2">
      <c r="B16801" s="62" t="str">
        <f>IF(AND('领用录入（明细）'!D:D=$F$4,'领用录入（明细）'!C:C&gt;=$J$4,'领用录入（明细）'!C:C&lt;=$L$4),ROW(),"-")</f>
        <v>-</v>
      </c>
    </row>
    <row r="16802" customHeight="1" spans="2:2">
      <c r="B16802" s="62" t="str">
        <f>IF(AND('领用录入（明细）'!D:D=$F$4,'领用录入（明细）'!C:C&gt;=$J$4,'领用录入（明细）'!C:C&lt;=$L$4),ROW(),"-")</f>
        <v>-</v>
      </c>
    </row>
    <row r="16803" customHeight="1" spans="2:2">
      <c r="B16803" s="62" t="str">
        <f>IF(AND('领用录入（明细）'!D:D=$F$4,'领用录入（明细）'!C:C&gt;=$J$4,'领用录入（明细）'!C:C&lt;=$L$4),ROW(),"-")</f>
        <v>-</v>
      </c>
    </row>
    <row r="16804" customHeight="1" spans="2:2">
      <c r="B16804" s="62" t="str">
        <f>IF(AND('领用录入（明细）'!D:D=$F$4,'领用录入（明细）'!C:C&gt;=$J$4,'领用录入（明细）'!C:C&lt;=$L$4),ROW(),"-")</f>
        <v>-</v>
      </c>
    </row>
    <row r="16805" customHeight="1" spans="2:2">
      <c r="B16805" s="62" t="str">
        <f>IF(AND('领用录入（明细）'!D:D=$F$4,'领用录入（明细）'!C:C&gt;=$J$4,'领用录入（明细）'!C:C&lt;=$L$4),ROW(),"-")</f>
        <v>-</v>
      </c>
    </row>
    <row r="16806" customHeight="1" spans="2:2">
      <c r="B16806" s="62" t="str">
        <f>IF(AND('领用录入（明细）'!D:D=$F$4,'领用录入（明细）'!C:C&gt;=$J$4,'领用录入（明细）'!C:C&lt;=$L$4),ROW(),"-")</f>
        <v>-</v>
      </c>
    </row>
    <row r="16807" customHeight="1" spans="2:2">
      <c r="B16807" s="62" t="str">
        <f>IF(AND('领用录入（明细）'!D:D=$F$4,'领用录入（明细）'!C:C&gt;=$J$4,'领用录入（明细）'!C:C&lt;=$L$4),ROW(),"-")</f>
        <v>-</v>
      </c>
    </row>
    <row r="16808" customHeight="1" spans="2:2">
      <c r="B16808" s="62" t="str">
        <f>IF(AND('领用录入（明细）'!D:D=$F$4,'领用录入（明细）'!C:C&gt;=$J$4,'领用录入（明细）'!C:C&lt;=$L$4),ROW(),"-")</f>
        <v>-</v>
      </c>
    </row>
    <row r="16809" customHeight="1" spans="2:2">
      <c r="B16809" s="62" t="str">
        <f>IF(AND('领用录入（明细）'!D:D=$F$4,'领用录入（明细）'!C:C&gt;=$J$4,'领用录入（明细）'!C:C&lt;=$L$4),ROW(),"-")</f>
        <v>-</v>
      </c>
    </row>
    <row r="16810" customHeight="1" spans="2:2">
      <c r="B16810" s="62" t="str">
        <f>IF(AND('领用录入（明细）'!D:D=$F$4,'领用录入（明细）'!C:C&gt;=$J$4,'领用录入（明细）'!C:C&lt;=$L$4),ROW(),"-")</f>
        <v>-</v>
      </c>
    </row>
    <row r="16811" customHeight="1" spans="2:2">
      <c r="B16811" s="62" t="str">
        <f>IF(AND('领用录入（明细）'!D:D=$F$4,'领用录入（明细）'!C:C&gt;=$J$4,'领用录入（明细）'!C:C&lt;=$L$4),ROW(),"-")</f>
        <v>-</v>
      </c>
    </row>
    <row r="16812" customHeight="1" spans="2:2">
      <c r="B16812" s="62" t="str">
        <f>IF(AND('领用录入（明细）'!D:D=$F$4,'领用录入（明细）'!C:C&gt;=$J$4,'领用录入（明细）'!C:C&lt;=$L$4),ROW(),"-")</f>
        <v>-</v>
      </c>
    </row>
    <row r="16813" customHeight="1" spans="2:2">
      <c r="B16813" s="62" t="str">
        <f>IF(AND('领用录入（明细）'!D:D=$F$4,'领用录入（明细）'!C:C&gt;=$J$4,'领用录入（明细）'!C:C&lt;=$L$4),ROW(),"-")</f>
        <v>-</v>
      </c>
    </row>
    <row r="16814" customHeight="1" spans="2:2">
      <c r="B16814" s="62" t="str">
        <f>IF(AND('领用录入（明细）'!D:D=$F$4,'领用录入（明细）'!C:C&gt;=$J$4,'领用录入（明细）'!C:C&lt;=$L$4),ROW(),"-")</f>
        <v>-</v>
      </c>
    </row>
    <row r="16815" customHeight="1" spans="2:2">
      <c r="B16815" s="62" t="str">
        <f>IF(AND('领用录入（明细）'!D:D=$F$4,'领用录入（明细）'!C:C&gt;=$J$4,'领用录入（明细）'!C:C&lt;=$L$4),ROW(),"-")</f>
        <v>-</v>
      </c>
    </row>
    <row r="16816" customHeight="1" spans="2:2">
      <c r="B16816" s="62" t="str">
        <f>IF(AND('领用录入（明细）'!D:D=$F$4,'领用录入（明细）'!C:C&gt;=$J$4,'领用录入（明细）'!C:C&lt;=$L$4),ROW(),"-")</f>
        <v>-</v>
      </c>
    </row>
    <row r="16817" customHeight="1" spans="2:2">
      <c r="B16817" s="62" t="str">
        <f>IF(AND('领用录入（明细）'!D:D=$F$4,'领用录入（明细）'!C:C&gt;=$J$4,'领用录入（明细）'!C:C&lt;=$L$4),ROW(),"-")</f>
        <v>-</v>
      </c>
    </row>
    <row r="16818" customHeight="1" spans="2:2">
      <c r="B16818" s="62" t="str">
        <f>IF(AND('领用录入（明细）'!D:D=$F$4,'领用录入（明细）'!C:C&gt;=$J$4,'领用录入（明细）'!C:C&lt;=$L$4),ROW(),"-")</f>
        <v>-</v>
      </c>
    </row>
    <row r="16819" customHeight="1" spans="2:2">
      <c r="B16819" s="62" t="str">
        <f>IF(AND('领用录入（明细）'!D:D=$F$4,'领用录入（明细）'!C:C&gt;=$J$4,'领用录入（明细）'!C:C&lt;=$L$4),ROW(),"-")</f>
        <v>-</v>
      </c>
    </row>
    <row r="16820" customHeight="1" spans="2:2">
      <c r="B16820" s="62" t="str">
        <f>IF(AND('领用录入（明细）'!D:D=$F$4,'领用录入（明细）'!C:C&gt;=$J$4,'领用录入（明细）'!C:C&lt;=$L$4),ROW(),"-")</f>
        <v>-</v>
      </c>
    </row>
    <row r="16821" customHeight="1" spans="2:2">
      <c r="B16821" s="62" t="str">
        <f>IF(AND('领用录入（明细）'!D:D=$F$4,'领用录入（明细）'!C:C&gt;=$J$4,'领用录入（明细）'!C:C&lt;=$L$4),ROW(),"-")</f>
        <v>-</v>
      </c>
    </row>
    <row r="16822" customHeight="1" spans="2:2">
      <c r="B16822" s="62" t="str">
        <f>IF(AND('领用录入（明细）'!D:D=$F$4,'领用录入（明细）'!C:C&gt;=$J$4,'领用录入（明细）'!C:C&lt;=$L$4),ROW(),"-")</f>
        <v>-</v>
      </c>
    </row>
    <row r="16823" customHeight="1" spans="2:2">
      <c r="B16823" s="62" t="str">
        <f>IF(AND('领用录入（明细）'!D:D=$F$4,'领用录入（明细）'!C:C&gt;=$J$4,'领用录入（明细）'!C:C&lt;=$L$4),ROW(),"-")</f>
        <v>-</v>
      </c>
    </row>
    <row r="16824" customHeight="1" spans="2:2">
      <c r="B16824" s="62" t="str">
        <f>IF(AND('领用录入（明细）'!D:D=$F$4,'领用录入（明细）'!C:C&gt;=$J$4,'领用录入（明细）'!C:C&lt;=$L$4),ROW(),"-")</f>
        <v>-</v>
      </c>
    </row>
    <row r="16825" customHeight="1" spans="2:2">
      <c r="B16825" s="62" t="str">
        <f>IF(AND('领用录入（明细）'!D:D=$F$4,'领用录入（明细）'!C:C&gt;=$J$4,'领用录入（明细）'!C:C&lt;=$L$4),ROW(),"-")</f>
        <v>-</v>
      </c>
    </row>
    <row r="16826" customHeight="1" spans="2:2">
      <c r="B16826" s="62" t="str">
        <f>IF(AND('领用录入（明细）'!D:D=$F$4,'领用录入（明细）'!C:C&gt;=$J$4,'领用录入（明细）'!C:C&lt;=$L$4),ROW(),"-")</f>
        <v>-</v>
      </c>
    </row>
    <row r="16827" customHeight="1" spans="2:2">
      <c r="B16827" s="62" t="str">
        <f>IF(AND('领用录入（明细）'!D:D=$F$4,'领用录入（明细）'!C:C&gt;=$J$4,'领用录入（明细）'!C:C&lt;=$L$4),ROW(),"-")</f>
        <v>-</v>
      </c>
    </row>
    <row r="16828" customHeight="1" spans="2:2">
      <c r="B16828" s="62" t="str">
        <f>IF(AND('领用录入（明细）'!D:D=$F$4,'领用录入（明细）'!C:C&gt;=$J$4,'领用录入（明细）'!C:C&lt;=$L$4),ROW(),"-")</f>
        <v>-</v>
      </c>
    </row>
    <row r="16829" customHeight="1" spans="2:2">
      <c r="B16829" s="62" t="str">
        <f>IF(AND('领用录入（明细）'!D:D=$F$4,'领用录入（明细）'!C:C&gt;=$J$4,'领用录入（明细）'!C:C&lt;=$L$4),ROW(),"-")</f>
        <v>-</v>
      </c>
    </row>
    <row r="16830" customHeight="1" spans="2:2">
      <c r="B16830" s="62" t="str">
        <f>IF(AND('领用录入（明细）'!D:D=$F$4,'领用录入（明细）'!C:C&gt;=$J$4,'领用录入（明细）'!C:C&lt;=$L$4),ROW(),"-")</f>
        <v>-</v>
      </c>
    </row>
    <row r="16831" customHeight="1" spans="2:2">
      <c r="B16831" s="62" t="str">
        <f>IF(AND('领用录入（明细）'!D:D=$F$4,'领用录入（明细）'!C:C&gt;=$J$4,'领用录入（明细）'!C:C&lt;=$L$4),ROW(),"-")</f>
        <v>-</v>
      </c>
    </row>
    <row r="16832" customHeight="1" spans="2:2">
      <c r="B16832" s="62" t="str">
        <f>IF(AND('领用录入（明细）'!D:D=$F$4,'领用录入（明细）'!C:C&gt;=$J$4,'领用录入（明细）'!C:C&lt;=$L$4),ROW(),"-")</f>
        <v>-</v>
      </c>
    </row>
    <row r="16833" customHeight="1" spans="2:2">
      <c r="B16833" s="62" t="str">
        <f>IF(AND('领用录入（明细）'!D:D=$F$4,'领用录入（明细）'!C:C&gt;=$J$4,'领用录入（明细）'!C:C&lt;=$L$4),ROW(),"-")</f>
        <v>-</v>
      </c>
    </row>
    <row r="16834" customHeight="1" spans="2:2">
      <c r="B16834" s="62" t="str">
        <f>IF(AND('领用录入（明细）'!D:D=$F$4,'领用录入（明细）'!C:C&gt;=$J$4,'领用录入（明细）'!C:C&lt;=$L$4),ROW(),"-")</f>
        <v>-</v>
      </c>
    </row>
    <row r="16835" customHeight="1" spans="2:2">
      <c r="B16835" s="62" t="str">
        <f>IF(AND('领用录入（明细）'!D:D=$F$4,'领用录入（明细）'!C:C&gt;=$J$4,'领用录入（明细）'!C:C&lt;=$L$4),ROW(),"-")</f>
        <v>-</v>
      </c>
    </row>
    <row r="16836" customHeight="1" spans="2:2">
      <c r="B16836" s="62" t="str">
        <f>IF(AND('领用录入（明细）'!D:D=$F$4,'领用录入（明细）'!C:C&gt;=$J$4,'领用录入（明细）'!C:C&lt;=$L$4),ROW(),"-")</f>
        <v>-</v>
      </c>
    </row>
    <row r="16837" customHeight="1" spans="2:2">
      <c r="B16837" s="62" t="str">
        <f>IF(AND('领用录入（明细）'!D:D=$F$4,'领用录入（明细）'!C:C&gt;=$J$4,'领用录入（明细）'!C:C&lt;=$L$4),ROW(),"-")</f>
        <v>-</v>
      </c>
    </row>
    <row r="16838" customHeight="1" spans="2:2">
      <c r="B16838" s="62" t="str">
        <f>IF(AND('领用录入（明细）'!D:D=$F$4,'领用录入（明细）'!C:C&gt;=$J$4,'领用录入（明细）'!C:C&lt;=$L$4),ROW(),"-")</f>
        <v>-</v>
      </c>
    </row>
    <row r="16839" customHeight="1" spans="2:2">
      <c r="B16839" s="62" t="str">
        <f>IF(AND('领用录入（明细）'!D:D=$F$4,'领用录入（明细）'!C:C&gt;=$J$4,'领用录入（明细）'!C:C&lt;=$L$4),ROW(),"-")</f>
        <v>-</v>
      </c>
    </row>
    <row r="16840" customHeight="1" spans="2:2">
      <c r="B16840" s="62" t="str">
        <f>IF(AND('领用录入（明细）'!D:D=$F$4,'领用录入（明细）'!C:C&gt;=$J$4,'领用录入（明细）'!C:C&lt;=$L$4),ROW(),"-")</f>
        <v>-</v>
      </c>
    </row>
    <row r="16841" customHeight="1" spans="2:2">
      <c r="B16841" s="62" t="str">
        <f>IF(AND('领用录入（明细）'!D:D=$F$4,'领用录入（明细）'!C:C&gt;=$J$4,'领用录入（明细）'!C:C&lt;=$L$4),ROW(),"-")</f>
        <v>-</v>
      </c>
    </row>
    <row r="16842" customHeight="1" spans="2:2">
      <c r="B16842" s="62" t="str">
        <f>IF(AND('领用录入（明细）'!D:D=$F$4,'领用录入（明细）'!C:C&gt;=$J$4,'领用录入（明细）'!C:C&lt;=$L$4),ROW(),"-")</f>
        <v>-</v>
      </c>
    </row>
    <row r="16843" customHeight="1" spans="2:2">
      <c r="B16843" s="62" t="str">
        <f>IF(AND('领用录入（明细）'!D:D=$F$4,'领用录入（明细）'!C:C&gt;=$J$4,'领用录入（明细）'!C:C&lt;=$L$4),ROW(),"-")</f>
        <v>-</v>
      </c>
    </row>
    <row r="16844" customHeight="1" spans="2:2">
      <c r="B16844" s="62" t="str">
        <f>IF(AND('领用录入（明细）'!D:D=$F$4,'领用录入（明细）'!C:C&gt;=$J$4,'领用录入（明细）'!C:C&lt;=$L$4),ROW(),"-")</f>
        <v>-</v>
      </c>
    </row>
    <row r="16845" customHeight="1" spans="2:2">
      <c r="B16845" s="62" t="str">
        <f>IF(AND('领用录入（明细）'!D:D=$F$4,'领用录入（明细）'!C:C&gt;=$J$4,'领用录入（明细）'!C:C&lt;=$L$4),ROW(),"-")</f>
        <v>-</v>
      </c>
    </row>
    <row r="16846" customHeight="1" spans="2:2">
      <c r="B16846" s="62" t="str">
        <f>IF(AND('领用录入（明细）'!D:D=$F$4,'领用录入（明细）'!C:C&gt;=$J$4,'领用录入（明细）'!C:C&lt;=$L$4),ROW(),"-")</f>
        <v>-</v>
      </c>
    </row>
    <row r="16847" customHeight="1" spans="2:2">
      <c r="B16847" s="62" t="str">
        <f>IF(AND('领用录入（明细）'!D:D=$F$4,'领用录入（明细）'!C:C&gt;=$J$4,'领用录入（明细）'!C:C&lt;=$L$4),ROW(),"-")</f>
        <v>-</v>
      </c>
    </row>
    <row r="16848" customHeight="1" spans="2:2">
      <c r="B16848" s="62" t="str">
        <f>IF(AND('领用录入（明细）'!D:D=$F$4,'领用录入（明细）'!C:C&gt;=$J$4,'领用录入（明细）'!C:C&lt;=$L$4),ROW(),"-")</f>
        <v>-</v>
      </c>
    </row>
    <row r="16849" customHeight="1" spans="2:2">
      <c r="B16849" s="62" t="str">
        <f>IF(AND('领用录入（明细）'!D:D=$F$4,'领用录入（明细）'!C:C&gt;=$J$4,'领用录入（明细）'!C:C&lt;=$L$4),ROW(),"-")</f>
        <v>-</v>
      </c>
    </row>
    <row r="16850" customHeight="1" spans="2:2">
      <c r="B16850" s="62" t="str">
        <f>IF(AND('领用录入（明细）'!D:D=$F$4,'领用录入（明细）'!C:C&gt;=$J$4,'领用录入（明细）'!C:C&lt;=$L$4),ROW(),"-")</f>
        <v>-</v>
      </c>
    </row>
    <row r="16851" customHeight="1" spans="2:2">
      <c r="B16851" s="62" t="str">
        <f>IF(AND('领用录入（明细）'!D:D=$F$4,'领用录入（明细）'!C:C&gt;=$J$4,'领用录入（明细）'!C:C&lt;=$L$4),ROW(),"-")</f>
        <v>-</v>
      </c>
    </row>
    <row r="16852" customHeight="1" spans="2:2">
      <c r="B16852" s="62" t="str">
        <f>IF(AND('领用录入（明细）'!D:D=$F$4,'领用录入（明细）'!C:C&gt;=$J$4,'领用录入（明细）'!C:C&lt;=$L$4),ROW(),"-")</f>
        <v>-</v>
      </c>
    </row>
    <row r="16853" customHeight="1" spans="2:2">
      <c r="B16853" s="62" t="str">
        <f>IF(AND('领用录入（明细）'!D:D=$F$4,'领用录入（明细）'!C:C&gt;=$J$4,'领用录入（明细）'!C:C&lt;=$L$4),ROW(),"-")</f>
        <v>-</v>
      </c>
    </row>
    <row r="16854" customHeight="1" spans="2:2">
      <c r="B16854" s="62" t="str">
        <f>IF(AND('领用录入（明细）'!D:D=$F$4,'领用录入（明细）'!C:C&gt;=$J$4,'领用录入（明细）'!C:C&lt;=$L$4),ROW(),"-")</f>
        <v>-</v>
      </c>
    </row>
    <row r="16855" customHeight="1" spans="2:2">
      <c r="B16855" s="62" t="str">
        <f>IF(AND('领用录入（明细）'!D:D=$F$4,'领用录入（明细）'!C:C&gt;=$J$4,'领用录入（明细）'!C:C&lt;=$L$4),ROW(),"-")</f>
        <v>-</v>
      </c>
    </row>
    <row r="16856" customHeight="1" spans="2:2">
      <c r="B16856" s="62" t="str">
        <f>IF(AND('领用录入（明细）'!D:D=$F$4,'领用录入（明细）'!C:C&gt;=$J$4,'领用录入（明细）'!C:C&lt;=$L$4),ROW(),"-")</f>
        <v>-</v>
      </c>
    </row>
    <row r="16857" customHeight="1" spans="2:2">
      <c r="B16857" s="62" t="str">
        <f>IF(AND('领用录入（明细）'!D:D=$F$4,'领用录入（明细）'!C:C&gt;=$J$4,'领用录入（明细）'!C:C&lt;=$L$4),ROW(),"-")</f>
        <v>-</v>
      </c>
    </row>
    <row r="16858" customHeight="1" spans="2:2">
      <c r="B16858" s="62" t="str">
        <f>IF(AND('领用录入（明细）'!D:D=$F$4,'领用录入（明细）'!C:C&gt;=$J$4,'领用录入（明细）'!C:C&lt;=$L$4),ROW(),"-")</f>
        <v>-</v>
      </c>
    </row>
    <row r="16859" customHeight="1" spans="2:2">
      <c r="B16859" s="62" t="str">
        <f>IF(AND('领用录入（明细）'!D:D=$F$4,'领用录入（明细）'!C:C&gt;=$J$4,'领用录入（明细）'!C:C&lt;=$L$4),ROW(),"-")</f>
        <v>-</v>
      </c>
    </row>
    <row r="16860" customHeight="1" spans="2:2">
      <c r="B16860" s="62" t="str">
        <f>IF(AND('领用录入（明细）'!D:D=$F$4,'领用录入（明细）'!C:C&gt;=$J$4,'领用录入（明细）'!C:C&lt;=$L$4),ROW(),"-")</f>
        <v>-</v>
      </c>
    </row>
    <row r="16861" customHeight="1" spans="2:2">
      <c r="B16861" s="62" t="str">
        <f>IF(AND('领用录入（明细）'!D:D=$F$4,'领用录入（明细）'!C:C&gt;=$J$4,'领用录入（明细）'!C:C&lt;=$L$4),ROW(),"-")</f>
        <v>-</v>
      </c>
    </row>
    <row r="16862" customHeight="1" spans="2:2">
      <c r="B16862" s="62" t="str">
        <f>IF(AND('领用录入（明细）'!D:D=$F$4,'领用录入（明细）'!C:C&gt;=$J$4,'领用录入（明细）'!C:C&lt;=$L$4),ROW(),"-")</f>
        <v>-</v>
      </c>
    </row>
    <row r="16863" customHeight="1" spans="2:2">
      <c r="B16863" s="62" t="str">
        <f>IF(AND('领用录入（明细）'!D:D=$F$4,'领用录入（明细）'!C:C&gt;=$J$4,'领用录入（明细）'!C:C&lt;=$L$4),ROW(),"-")</f>
        <v>-</v>
      </c>
    </row>
    <row r="16864" customHeight="1" spans="2:2">
      <c r="B16864" s="62" t="str">
        <f>IF(AND('领用录入（明细）'!D:D=$F$4,'领用录入（明细）'!C:C&gt;=$J$4,'领用录入（明细）'!C:C&lt;=$L$4),ROW(),"-")</f>
        <v>-</v>
      </c>
    </row>
    <row r="16865" customHeight="1" spans="2:2">
      <c r="B16865" s="62" t="str">
        <f>IF(AND('领用录入（明细）'!D:D=$F$4,'领用录入（明细）'!C:C&gt;=$J$4,'领用录入（明细）'!C:C&lt;=$L$4),ROW(),"-")</f>
        <v>-</v>
      </c>
    </row>
    <row r="16866" customHeight="1" spans="2:2">
      <c r="B16866" s="62" t="str">
        <f>IF(AND('领用录入（明细）'!D:D=$F$4,'领用录入（明细）'!C:C&gt;=$J$4,'领用录入（明细）'!C:C&lt;=$L$4),ROW(),"-")</f>
        <v>-</v>
      </c>
    </row>
    <row r="16867" customHeight="1" spans="2:2">
      <c r="B16867" s="62" t="str">
        <f>IF(AND('领用录入（明细）'!D:D=$F$4,'领用录入（明细）'!C:C&gt;=$J$4,'领用录入（明细）'!C:C&lt;=$L$4),ROW(),"-")</f>
        <v>-</v>
      </c>
    </row>
    <row r="16868" customHeight="1" spans="2:2">
      <c r="B16868" s="62" t="str">
        <f>IF(AND('领用录入（明细）'!D:D=$F$4,'领用录入（明细）'!C:C&gt;=$J$4,'领用录入（明细）'!C:C&lt;=$L$4),ROW(),"-")</f>
        <v>-</v>
      </c>
    </row>
    <row r="16869" customHeight="1" spans="2:2">
      <c r="B16869" s="62" t="str">
        <f>IF(AND('领用录入（明细）'!D:D=$F$4,'领用录入（明细）'!C:C&gt;=$J$4,'领用录入（明细）'!C:C&lt;=$L$4),ROW(),"-")</f>
        <v>-</v>
      </c>
    </row>
    <row r="16870" customHeight="1" spans="2:2">
      <c r="B16870" s="62" t="str">
        <f>IF(AND('领用录入（明细）'!D:D=$F$4,'领用录入（明细）'!C:C&gt;=$J$4,'领用录入（明细）'!C:C&lt;=$L$4),ROW(),"-")</f>
        <v>-</v>
      </c>
    </row>
    <row r="16871" customHeight="1" spans="2:2">
      <c r="B16871" s="62" t="str">
        <f>IF(AND('领用录入（明细）'!D:D=$F$4,'领用录入（明细）'!C:C&gt;=$J$4,'领用录入（明细）'!C:C&lt;=$L$4),ROW(),"-")</f>
        <v>-</v>
      </c>
    </row>
    <row r="16872" customHeight="1" spans="2:2">
      <c r="B16872" s="62" t="str">
        <f>IF(AND('领用录入（明细）'!D:D=$F$4,'领用录入（明细）'!C:C&gt;=$J$4,'领用录入（明细）'!C:C&lt;=$L$4),ROW(),"-")</f>
        <v>-</v>
      </c>
    </row>
    <row r="16873" customHeight="1" spans="2:2">
      <c r="B16873" s="62" t="str">
        <f>IF(AND('领用录入（明细）'!D:D=$F$4,'领用录入（明细）'!C:C&gt;=$J$4,'领用录入（明细）'!C:C&lt;=$L$4),ROW(),"-")</f>
        <v>-</v>
      </c>
    </row>
    <row r="16874" customHeight="1" spans="2:2">
      <c r="B16874" s="62" t="str">
        <f>IF(AND('领用录入（明细）'!D:D=$F$4,'领用录入（明细）'!C:C&gt;=$J$4,'领用录入（明细）'!C:C&lt;=$L$4),ROW(),"-")</f>
        <v>-</v>
      </c>
    </row>
    <row r="16875" customHeight="1" spans="2:2">
      <c r="B16875" s="62" t="str">
        <f>IF(AND('领用录入（明细）'!D:D=$F$4,'领用录入（明细）'!C:C&gt;=$J$4,'领用录入（明细）'!C:C&lt;=$L$4),ROW(),"-")</f>
        <v>-</v>
      </c>
    </row>
    <row r="16876" customHeight="1" spans="2:2">
      <c r="B16876" s="62" t="str">
        <f>IF(AND('领用录入（明细）'!D:D=$F$4,'领用录入（明细）'!C:C&gt;=$J$4,'领用录入（明细）'!C:C&lt;=$L$4),ROW(),"-")</f>
        <v>-</v>
      </c>
    </row>
    <row r="16877" customHeight="1" spans="2:2">
      <c r="B16877" s="62" t="str">
        <f>IF(AND('领用录入（明细）'!D:D=$F$4,'领用录入（明细）'!C:C&gt;=$J$4,'领用录入（明细）'!C:C&lt;=$L$4),ROW(),"-")</f>
        <v>-</v>
      </c>
    </row>
    <row r="16878" customHeight="1" spans="2:2">
      <c r="B16878" s="62" t="str">
        <f>IF(AND('领用录入（明细）'!D:D=$F$4,'领用录入（明细）'!C:C&gt;=$J$4,'领用录入（明细）'!C:C&lt;=$L$4),ROW(),"-")</f>
        <v>-</v>
      </c>
    </row>
    <row r="16879" customHeight="1" spans="2:2">
      <c r="B16879" s="62" t="str">
        <f>IF(AND('领用录入（明细）'!D:D=$F$4,'领用录入（明细）'!C:C&gt;=$J$4,'领用录入（明细）'!C:C&lt;=$L$4),ROW(),"-")</f>
        <v>-</v>
      </c>
    </row>
    <row r="16880" customHeight="1" spans="2:2">
      <c r="B16880" s="62" t="str">
        <f>IF(AND('领用录入（明细）'!D:D=$F$4,'领用录入（明细）'!C:C&gt;=$J$4,'领用录入（明细）'!C:C&lt;=$L$4),ROW(),"-")</f>
        <v>-</v>
      </c>
    </row>
    <row r="16881" customHeight="1" spans="2:2">
      <c r="B16881" s="62" t="str">
        <f>IF(AND('领用录入（明细）'!D:D=$F$4,'领用录入（明细）'!C:C&gt;=$J$4,'领用录入（明细）'!C:C&lt;=$L$4),ROW(),"-")</f>
        <v>-</v>
      </c>
    </row>
    <row r="16882" customHeight="1" spans="2:2">
      <c r="B16882" s="62" t="str">
        <f>IF(AND('领用录入（明细）'!D:D=$F$4,'领用录入（明细）'!C:C&gt;=$J$4,'领用录入（明细）'!C:C&lt;=$L$4),ROW(),"-")</f>
        <v>-</v>
      </c>
    </row>
    <row r="16883" customHeight="1" spans="2:2">
      <c r="B16883" s="62" t="str">
        <f>IF(AND('领用录入（明细）'!D:D=$F$4,'领用录入（明细）'!C:C&gt;=$J$4,'领用录入（明细）'!C:C&lt;=$L$4),ROW(),"-")</f>
        <v>-</v>
      </c>
    </row>
    <row r="16884" customHeight="1" spans="2:2">
      <c r="B16884" s="62" t="str">
        <f>IF(AND('领用录入（明细）'!D:D=$F$4,'领用录入（明细）'!C:C&gt;=$J$4,'领用录入（明细）'!C:C&lt;=$L$4),ROW(),"-")</f>
        <v>-</v>
      </c>
    </row>
    <row r="16885" customHeight="1" spans="2:2">
      <c r="B16885" s="62" t="str">
        <f>IF(AND('领用录入（明细）'!D:D=$F$4,'领用录入（明细）'!C:C&gt;=$J$4,'领用录入（明细）'!C:C&lt;=$L$4),ROW(),"-")</f>
        <v>-</v>
      </c>
    </row>
    <row r="16886" customHeight="1" spans="2:2">
      <c r="B16886" s="62" t="str">
        <f>IF(AND('领用录入（明细）'!D:D=$F$4,'领用录入（明细）'!C:C&gt;=$J$4,'领用录入（明细）'!C:C&lt;=$L$4),ROW(),"-")</f>
        <v>-</v>
      </c>
    </row>
    <row r="16887" customHeight="1" spans="2:2">
      <c r="B16887" s="62" t="str">
        <f>IF(AND('领用录入（明细）'!D:D=$F$4,'领用录入（明细）'!C:C&gt;=$J$4,'领用录入（明细）'!C:C&lt;=$L$4),ROW(),"-")</f>
        <v>-</v>
      </c>
    </row>
    <row r="16888" customHeight="1" spans="2:2">
      <c r="B16888" s="62" t="str">
        <f>IF(AND('领用录入（明细）'!D:D=$F$4,'领用录入（明细）'!C:C&gt;=$J$4,'领用录入（明细）'!C:C&lt;=$L$4),ROW(),"-")</f>
        <v>-</v>
      </c>
    </row>
    <row r="16889" customHeight="1" spans="2:2">
      <c r="B16889" s="62" t="str">
        <f>IF(AND('领用录入（明细）'!D:D=$F$4,'领用录入（明细）'!C:C&gt;=$J$4,'领用录入（明细）'!C:C&lt;=$L$4),ROW(),"-")</f>
        <v>-</v>
      </c>
    </row>
    <row r="16890" customHeight="1" spans="2:2">
      <c r="B16890" s="62" t="str">
        <f>IF(AND('领用录入（明细）'!D:D=$F$4,'领用录入（明细）'!C:C&gt;=$J$4,'领用录入（明细）'!C:C&lt;=$L$4),ROW(),"-")</f>
        <v>-</v>
      </c>
    </row>
    <row r="16891" customHeight="1" spans="2:2">
      <c r="B16891" s="62" t="str">
        <f>IF(AND('领用录入（明细）'!D:D=$F$4,'领用录入（明细）'!C:C&gt;=$J$4,'领用录入（明细）'!C:C&lt;=$L$4),ROW(),"-")</f>
        <v>-</v>
      </c>
    </row>
    <row r="16892" customHeight="1" spans="2:2">
      <c r="B16892" s="62" t="str">
        <f>IF(AND('领用录入（明细）'!D:D=$F$4,'领用录入（明细）'!C:C&gt;=$J$4,'领用录入（明细）'!C:C&lt;=$L$4),ROW(),"-")</f>
        <v>-</v>
      </c>
    </row>
    <row r="16893" customHeight="1" spans="2:2">
      <c r="B16893" s="62" t="str">
        <f>IF(AND('领用录入（明细）'!D:D=$F$4,'领用录入（明细）'!C:C&gt;=$J$4,'领用录入（明细）'!C:C&lt;=$L$4),ROW(),"-")</f>
        <v>-</v>
      </c>
    </row>
    <row r="16894" customHeight="1" spans="2:2">
      <c r="B16894" s="62" t="str">
        <f>IF(AND('领用录入（明细）'!D:D=$F$4,'领用录入（明细）'!C:C&gt;=$J$4,'领用录入（明细）'!C:C&lt;=$L$4),ROW(),"-")</f>
        <v>-</v>
      </c>
    </row>
    <row r="16895" customHeight="1" spans="2:2">
      <c r="B16895" s="62" t="str">
        <f>IF(AND('领用录入（明细）'!D:D=$F$4,'领用录入（明细）'!C:C&gt;=$J$4,'领用录入（明细）'!C:C&lt;=$L$4),ROW(),"-")</f>
        <v>-</v>
      </c>
    </row>
    <row r="16896" customHeight="1" spans="2:2">
      <c r="B16896" s="62" t="str">
        <f>IF(AND('领用录入（明细）'!D:D=$F$4,'领用录入（明细）'!C:C&gt;=$J$4,'领用录入（明细）'!C:C&lt;=$L$4),ROW(),"-")</f>
        <v>-</v>
      </c>
    </row>
    <row r="16897" customHeight="1" spans="2:2">
      <c r="B16897" s="62" t="str">
        <f>IF(AND('领用录入（明细）'!D:D=$F$4,'领用录入（明细）'!C:C&gt;=$J$4,'领用录入（明细）'!C:C&lt;=$L$4),ROW(),"-")</f>
        <v>-</v>
      </c>
    </row>
    <row r="16898" customHeight="1" spans="2:2">
      <c r="B16898" s="62" t="str">
        <f>IF(AND('领用录入（明细）'!D:D=$F$4,'领用录入（明细）'!C:C&gt;=$J$4,'领用录入（明细）'!C:C&lt;=$L$4),ROW(),"-")</f>
        <v>-</v>
      </c>
    </row>
    <row r="16899" customHeight="1" spans="2:2">
      <c r="B16899" s="62" t="str">
        <f>IF(AND('领用录入（明细）'!D:D=$F$4,'领用录入（明细）'!C:C&gt;=$J$4,'领用录入（明细）'!C:C&lt;=$L$4),ROW(),"-")</f>
        <v>-</v>
      </c>
    </row>
    <row r="16900" customHeight="1" spans="2:2">
      <c r="B16900" s="62" t="str">
        <f>IF(AND('领用录入（明细）'!D:D=$F$4,'领用录入（明细）'!C:C&gt;=$J$4,'领用录入（明细）'!C:C&lt;=$L$4),ROW(),"-")</f>
        <v>-</v>
      </c>
    </row>
    <row r="16901" customHeight="1" spans="2:2">
      <c r="B16901" s="62" t="str">
        <f>IF(AND('领用录入（明细）'!D:D=$F$4,'领用录入（明细）'!C:C&gt;=$J$4,'领用录入（明细）'!C:C&lt;=$L$4),ROW(),"-")</f>
        <v>-</v>
      </c>
    </row>
    <row r="16902" customHeight="1" spans="2:2">
      <c r="B16902" s="62" t="str">
        <f>IF(AND('领用录入（明细）'!D:D=$F$4,'领用录入（明细）'!C:C&gt;=$J$4,'领用录入（明细）'!C:C&lt;=$L$4),ROW(),"-")</f>
        <v>-</v>
      </c>
    </row>
    <row r="16903" customHeight="1" spans="2:2">
      <c r="B16903" s="62" t="str">
        <f>IF(AND('领用录入（明细）'!D:D=$F$4,'领用录入（明细）'!C:C&gt;=$J$4,'领用录入（明细）'!C:C&lt;=$L$4),ROW(),"-")</f>
        <v>-</v>
      </c>
    </row>
    <row r="16904" customHeight="1" spans="2:2">
      <c r="B16904" s="62" t="str">
        <f>IF(AND('领用录入（明细）'!D:D=$F$4,'领用录入（明细）'!C:C&gt;=$J$4,'领用录入（明细）'!C:C&lt;=$L$4),ROW(),"-")</f>
        <v>-</v>
      </c>
    </row>
    <row r="16905" customHeight="1" spans="2:2">
      <c r="B16905" s="62" t="str">
        <f>IF(AND('领用录入（明细）'!D:D=$F$4,'领用录入（明细）'!C:C&gt;=$J$4,'领用录入（明细）'!C:C&lt;=$L$4),ROW(),"-")</f>
        <v>-</v>
      </c>
    </row>
    <row r="16906" customHeight="1" spans="2:2">
      <c r="B16906" s="62" t="str">
        <f>IF(AND('领用录入（明细）'!D:D=$F$4,'领用录入（明细）'!C:C&gt;=$J$4,'领用录入（明细）'!C:C&lt;=$L$4),ROW(),"-")</f>
        <v>-</v>
      </c>
    </row>
    <row r="16907" customHeight="1" spans="2:2">
      <c r="B16907" s="62" t="str">
        <f>IF(AND('领用录入（明细）'!D:D=$F$4,'领用录入（明细）'!C:C&gt;=$J$4,'领用录入（明细）'!C:C&lt;=$L$4),ROW(),"-")</f>
        <v>-</v>
      </c>
    </row>
    <row r="16908" customHeight="1" spans="2:2">
      <c r="B16908" s="62" t="str">
        <f>IF(AND('领用录入（明细）'!D:D=$F$4,'领用录入（明细）'!C:C&gt;=$J$4,'领用录入（明细）'!C:C&lt;=$L$4),ROW(),"-")</f>
        <v>-</v>
      </c>
    </row>
    <row r="16909" customHeight="1" spans="2:2">
      <c r="B16909" s="62" t="str">
        <f>IF(AND('领用录入（明细）'!D:D=$F$4,'领用录入（明细）'!C:C&gt;=$J$4,'领用录入（明细）'!C:C&lt;=$L$4),ROW(),"-")</f>
        <v>-</v>
      </c>
    </row>
    <row r="16910" customHeight="1" spans="2:2">
      <c r="B16910" s="62" t="str">
        <f>IF(AND('领用录入（明细）'!D:D=$F$4,'领用录入（明细）'!C:C&gt;=$J$4,'领用录入（明细）'!C:C&lt;=$L$4),ROW(),"-")</f>
        <v>-</v>
      </c>
    </row>
    <row r="16911" customHeight="1" spans="2:2">
      <c r="B16911" s="62" t="str">
        <f>IF(AND('领用录入（明细）'!D:D=$F$4,'领用录入（明细）'!C:C&gt;=$J$4,'领用录入（明细）'!C:C&lt;=$L$4),ROW(),"-")</f>
        <v>-</v>
      </c>
    </row>
    <row r="16912" customHeight="1" spans="2:2">
      <c r="B16912" s="62" t="str">
        <f>IF(AND('领用录入（明细）'!D:D=$F$4,'领用录入（明细）'!C:C&gt;=$J$4,'领用录入（明细）'!C:C&lt;=$L$4),ROW(),"-")</f>
        <v>-</v>
      </c>
    </row>
    <row r="16913" customHeight="1" spans="2:2">
      <c r="B16913" s="62" t="str">
        <f>IF(AND('领用录入（明细）'!D:D=$F$4,'领用录入（明细）'!C:C&gt;=$J$4,'领用录入（明细）'!C:C&lt;=$L$4),ROW(),"-")</f>
        <v>-</v>
      </c>
    </row>
    <row r="16914" customHeight="1" spans="2:2">
      <c r="B16914" s="62" t="str">
        <f>IF(AND('领用录入（明细）'!D:D=$F$4,'领用录入（明细）'!C:C&gt;=$J$4,'领用录入（明细）'!C:C&lt;=$L$4),ROW(),"-")</f>
        <v>-</v>
      </c>
    </row>
    <row r="16915" customHeight="1" spans="2:2">
      <c r="B16915" s="62" t="str">
        <f>IF(AND('领用录入（明细）'!D:D=$F$4,'领用录入（明细）'!C:C&gt;=$J$4,'领用录入（明细）'!C:C&lt;=$L$4),ROW(),"-")</f>
        <v>-</v>
      </c>
    </row>
    <row r="16916" customHeight="1" spans="2:2">
      <c r="B16916" s="62" t="str">
        <f>IF(AND('领用录入（明细）'!D:D=$F$4,'领用录入（明细）'!C:C&gt;=$J$4,'领用录入（明细）'!C:C&lt;=$L$4),ROW(),"-")</f>
        <v>-</v>
      </c>
    </row>
    <row r="16917" customHeight="1" spans="2:2">
      <c r="B16917" s="62" t="str">
        <f>IF(AND('领用录入（明细）'!D:D=$F$4,'领用录入（明细）'!C:C&gt;=$J$4,'领用录入（明细）'!C:C&lt;=$L$4),ROW(),"-")</f>
        <v>-</v>
      </c>
    </row>
    <row r="16918" customHeight="1" spans="2:2">
      <c r="B16918" s="62" t="str">
        <f>IF(AND('领用录入（明细）'!D:D=$F$4,'领用录入（明细）'!C:C&gt;=$J$4,'领用录入（明细）'!C:C&lt;=$L$4),ROW(),"-")</f>
        <v>-</v>
      </c>
    </row>
    <row r="16919" customHeight="1" spans="2:2">
      <c r="B16919" s="62" t="str">
        <f>IF(AND('领用录入（明细）'!D:D=$F$4,'领用录入（明细）'!C:C&gt;=$J$4,'领用录入（明细）'!C:C&lt;=$L$4),ROW(),"-")</f>
        <v>-</v>
      </c>
    </row>
    <row r="16920" customHeight="1" spans="2:2">
      <c r="B16920" s="62" t="str">
        <f>IF(AND('领用录入（明细）'!D:D=$F$4,'领用录入（明细）'!C:C&gt;=$J$4,'领用录入（明细）'!C:C&lt;=$L$4),ROW(),"-")</f>
        <v>-</v>
      </c>
    </row>
    <row r="16921" customHeight="1" spans="2:2">
      <c r="B16921" s="62" t="str">
        <f>IF(AND('领用录入（明细）'!D:D=$F$4,'领用录入（明细）'!C:C&gt;=$J$4,'领用录入（明细）'!C:C&lt;=$L$4),ROW(),"-")</f>
        <v>-</v>
      </c>
    </row>
    <row r="16922" customHeight="1" spans="2:2">
      <c r="B16922" s="62" t="str">
        <f>IF(AND('领用录入（明细）'!D:D=$F$4,'领用录入（明细）'!C:C&gt;=$J$4,'领用录入（明细）'!C:C&lt;=$L$4),ROW(),"-")</f>
        <v>-</v>
      </c>
    </row>
    <row r="16923" customHeight="1" spans="2:2">
      <c r="B16923" s="62" t="str">
        <f>IF(AND('领用录入（明细）'!D:D=$F$4,'领用录入（明细）'!C:C&gt;=$J$4,'领用录入（明细）'!C:C&lt;=$L$4),ROW(),"-")</f>
        <v>-</v>
      </c>
    </row>
    <row r="16924" customHeight="1" spans="2:2">
      <c r="B16924" s="62" t="str">
        <f>IF(AND('领用录入（明细）'!D:D=$F$4,'领用录入（明细）'!C:C&gt;=$J$4,'领用录入（明细）'!C:C&lt;=$L$4),ROW(),"-")</f>
        <v>-</v>
      </c>
    </row>
    <row r="16925" customHeight="1" spans="2:2">
      <c r="B16925" s="62" t="str">
        <f>IF(AND('领用录入（明细）'!D:D=$F$4,'领用录入（明细）'!C:C&gt;=$J$4,'领用录入（明细）'!C:C&lt;=$L$4),ROW(),"-")</f>
        <v>-</v>
      </c>
    </row>
    <row r="16926" customHeight="1" spans="2:2">
      <c r="B16926" s="62" t="str">
        <f>IF(AND('领用录入（明细）'!D:D=$F$4,'领用录入（明细）'!C:C&gt;=$J$4,'领用录入（明细）'!C:C&lt;=$L$4),ROW(),"-")</f>
        <v>-</v>
      </c>
    </row>
    <row r="16927" customHeight="1" spans="2:2">
      <c r="B16927" s="62" t="str">
        <f>IF(AND('领用录入（明细）'!D:D=$F$4,'领用录入（明细）'!C:C&gt;=$J$4,'领用录入（明细）'!C:C&lt;=$L$4),ROW(),"-")</f>
        <v>-</v>
      </c>
    </row>
    <row r="16928" customHeight="1" spans="2:2">
      <c r="B16928" s="62" t="str">
        <f>IF(AND('领用录入（明细）'!D:D=$F$4,'领用录入（明细）'!C:C&gt;=$J$4,'领用录入（明细）'!C:C&lt;=$L$4),ROW(),"-")</f>
        <v>-</v>
      </c>
    </row>
    <row r="16929" customHeight="1" spans="2:2">
      <c r="B16929" s="62" t="str">
        <f>IF(AND('领用录入（明细）'!D:D=$F$4,'领用录入（明细）'!C:C&gt;=$J$4,'领用录入（明细）'!C:C&lt;=$L$4),ROW(),"-")</f>
        <v>-</v>
      </c>
    </row>
    <row r="16930" customHeight="1" spans="2:2">
      <c r="B16930" s="62" t="str">
        <f>IF(AND('领用录入（明细）'!D:D=$F$4,'领用录入（明细）'!C:C&gt;=$J$4,'领用录入（明细）'!C:C&lt;=$L$4),ROW(),"-")</f>
        <v>-</v>
      </c>
    </row>
    <row r="16931" customHeight="1" spans="2:2">
      <c r="B16931" s="62" t="str">
        <f>IF(AND('领用录入（明细）'!D:D=$F$4,'领用录入（明细）'!C:C&gt;=$J$4,'领用录入（明细）'!C:C&lt;=$L$4),ROW(),"-")</f>
        <v>-</v>
      </c>
    </row>
    <row r="16932" customHeight="1" spans="2:2">
      <c r="B16932" s="62" t="str">
        <f>IF(AND('领用录入（明细）'!D:D=$F$4,'领用录入（明细）'!C:C&gt;=$J$4,'领用录入（明细）'!C:C&lt;=$L$4),ROW(),"-")</f>
        <v>-</v>
      </c>
    </row>
    <row r="16933" customHeight="1" spans="2:2">
      <c r="B16933" s="62" t="str">
        <f>IF(AND('领用录入（明细）'!D:D=$F$4,'领用录入（明细）'!C:C&gt;=$J$4,'领用录入（明细）'!C:C&lt;=$L$4),ROW(),"-")</f>
        <v>-</v>
      </c>
    </row>
    <row r="16934" customHeight="1" spans="2:2">
      <c r="B16934" s="62" t="str">
        <f>IF(AND('领用录入（明细）'!D:D=$F$4,'领用录入（明细）'!C:C&gt;=$J$4,'领用录入（明细）'!C:C&lt;=$L$4),ROW(),"-")</f>
        <v>-</v>
      </c>
    </row>
    <row r="16935" customHeight="1" spans="2:2">
      <c r="B16935" s="62" t="str">
        <f>IF(AND('领用录入（明细）'!D:D=$F$4,'领用录入（明细）'!C:C&gt;=$J$4,'领用录入（明细）'!C:C&lt;=$L$4),ROW(),"-")</f>
        <v>-</v>
      </c>
    </row>
    <row r="16936" customHeight="1" spans="2:2">
      <c r="B16936" s="62" t="str">
        <f>IF(AND('领用录入（明细）'!D:D=$F$4,'领用录入（明细）'!C:C&gt;=$J$4,'领用录入（明细）'!C:C&lt;=$L$4),ROW(),"-")</f>
        <v>-</v>
      </c>
    </row>
    <row r="16937" customHeight="1" spans="2:2">
      <c r="B16937" s="62" t="str">
        <f>IF(AND('领用录入（明细）'!D:D=$F$4,'领用录入（明细）'!C:C&gt;=$J$4,'领用录入（明细）'!C:C&lt;=$L$4),ROW(),"-")</f>
        <v>-</v>
      </c>
    </row>
    <row r="16938" customHeight="1" spans="2:2">
      <c r="B16938" s="62" t="str">
        <f>IF(AND('领用录入（明细）'!D:D=$F$4,'领用录入（明细）'!C:C&gt;=$J$4,'领用录入（明细）'!C:C&lt;=$L$4),ROW(),"-")</f>
        <v>-</v>
      </c>
    </row>
    <row r="16939" customHeight="1" spans="2:2">
      <c r="B16939" s="62" t="str">
        <f>IF(AND('领用录入（明细）'!D:D=$F$4,'领用录入（明细）'!C:C&gt;=$J$4,'领用录入（明细）'!C:C&lt;=$L$4),ROW(),"-")</f>
        <v>-</v>
      </c>
    </row>
    <row r="16940" customHeight="1" spans="2:2">
      <c r="B16940" s="62" t="str">
        <f>IF(AND('领用录入（明细）'!D:D=$F$4,'领用录入（明细）'!C:C&gt;=$J$4,'领用录入（明细）'!C:C&lt;=$L$4),ROW(),"-")</f>
        <v>-</v>
      </c>
    </row>
    <row r="16941" customHeight="1" spans="2:2">
      <c r="B16941" s="62" t="str">
        <f>IF(AND('领用录入（明细）'!D:D=$F$4,'领用录入（明细）'!C:C&gt;=$J$4,'领用录入（明细）'!C:C&lt;=$L$4),ROW(),"-")</f>
        <v>-</v>
      </c>
    </row>
    <row r="16942" customHeight="1" spans="2:2">
      <c r="B16942" s="62" t="str">
        <f>IF(AND('领用录入（明细）'!D:D=$F$4,'领用录入（明细）'!C:C&gt;=$J$4,'领用录入（明细）'!C:C&lt;=$L$4),ROW(),"-")</f>
        <v>-</v>
      </c>
    </row>
    <row r="16943" customHeight="1" spans="2:2">
      <c r="B16943" s="62" t="str">
        <f>IF(AND('领用录入（明细）'!D:D=$F$4,'领用录入（明细）'!C:C&gt;=$J$4,'领用录入（明细）'!C:C&lt;=$L$4),ROW(),"-")</f>
        <v>-</v>
      </c>
    </row>
    <row r="16944" customHeight="1" spans="2:2">
      <c r="B16944" s="62" t="str">
        <f>IF(AND('领用录入（明细）'!D:D=$F$4,'领用录入（明细）'!C:C&gt;=$J$4,'领用录入（明细）'!C:C&lt;=$L$4),ROW(),"-")</f>
        <v>-</v>
      </c>
    </row>
    <row r="16945" customHeight="1" spans="2:2">
      <c r="B16945" s="62" t="str">
        <f>IF(AND('领用录入（明细）'!D:D=$F$4,'领用录入（明细）'!C:C&gt;=$J$4,'领用录入（明细）'!C:C&lt;=$L$4),ROW(),"-")</f>
        <v>-</v>
      </c>
    </row>
    <row r="16946" customHeight="1" spans="2:2">
      <c r="B16946" s="62" t="str">
        <f>IF(AND('领用录入（明细）'!D:D=$F$4,'领用录入（明细）'!C:C&gt;=$J$4,'领用录入（明细）'!C:C&lt;=$L$4),ROW(),"-")</f>
        <v>-</v>
      </c>
    </row>
    <row r="16947" customHeight="1" spans="2:2">
      <c r="B16947" s="62" t="str">
        <f>IF(AND('领用录入（明细）'!D:D=$F$4,'领用录入（明细）'!C:C&gt;=$J$4,'领用录入（明细）'!C:C&lt;=$L$4),ROW(),"-")</f>
        <v>-</v>
      </c>
    </row>
    <row r="16948" customHeight="1" spans="2:2">
      <c r="B16948" s="62" t="str">
        <f>IF(AND('领用录入（明细）'!D:D=$F$4,'领用录入（明细）'!C:C&gt;=$J$4,'领用录入（明细）'!C:C&lt;=$L$4),ROW(),"-")</f>
        <v>-</v>
      </c>
    </row>
    <row r="16949" customHeight="1" spans="2:2">
      <c r="B16949" s="62" t="str">
        <f>IF(AND('领用录入（明细）'!D:D=$F$4,'领用录入（明细）'!C:C&gt;=$J$4,'领用录入（明细）'!C:C&lt;=$L$4),ROW(),"-")</f>
        <v>-</v>
      </c>
    </row>
    <row r="16950" customHeight="1" spans="2:2">
      <c r="B16950" s="62" t="str">
        <f>IF(AND('领用录入（明细）'!D:D=$F$4,'领用录入（明细）'!C:C&gt;=$J$4,'领用录入（明细）'!C:C&lt;=$L$4),ROW(),"-")</f>
        <v>-</v>
      </c>
    </row>
    <row r="16951" customHeight="1" spans="2:2">
      <c r="B16951" s="62" t="str">
        <f>IF(AND('领用录入（明细）'!D:D=$F$4,'领用录入（明细）'!C:C&gt;=$J$4,'领用录入（明细）'!C:C&lt;=$L$4),ROW(),"-")</f>
        <v>-</v>
      </c>
    </row>
    <row r="16952" customHeight="1" spans="2:2">
      <c r="B16952" s="62" t="str">
        <f>IF(AND('领用录入（明细）'!D:D=$F$4,'领用录入（明细）'!C:C&gt;=$J$4,'领用录入（明细）'!C:C&lt;=$L$4),ROW(),"-")</f>
        <v>-</v>
      </c>
    </row>
    <row r="16953" customHeight="1" spans="2:2">
      <c r="B16953" s="62" t="str">
        <f>IF(AND('领用录入（明细）'!D:D=$F$4,'领用录入（明细）'!C:C&gt;=$J$4,'领用录入（明细）'!C:C&lt;=$L$4),ROW(),"-")</f>
        <v>-</v>
      </c>
    </row>
    <row r="16954" customHeight="1" spans="2:2">
      <c r="B16954" s="62" t="str">
        <f>IF(AND('领用录入（明细）'!D:D=$F$4,'领用录入（明细）'!C:C&gt;=$J$4,'领用录入（明细）'!C:C&lt;=$L$4),ROW(),"-")</f>
        <v>-</v>
      </c>
    </row>
    <row r="16955" customHeight="1" spans="2:2">
      <c r="B16955" s="62" t="str">
        <f>IF(AND('领用录入（明细）'!D:D=$F$4,'领用录入（明细）'!C:C&gt;=$J$4,'领用录入（明细）'!C:C&lt;=$L$4),ROW(),"-")</f>
        <v>-</v>
      </c>
    </row>
    <row r="16956" customHeight="1" spans="2:2">
      <c r="B16956" s="62" t="str">
        <f>IF(AND('领用录入（明细）'!D:D=$F$4,'领用录入（明细）'!C:C&gt;=$J$4,'领用录入（明细）'!C:C&lt;=$L$4),ROW(),"-")</f>
        <v>-</v>
      </c>
    </row>
    <row r="16957" customHeight="1" spans="2:2">
      <c r="B16957" s="62" t="str">
        <f>IF(AND('领用录入（明细）'!D:D=$F$4,'领用录入（明细）'!C:C&gt;=$J$4,'领用录入（明细）'!C:C&lt;=$L$4),ROW(),"-")</f>
        <v>-</v>
      </c>
    </row>
    <row r="16958" customHeight="1" spans="2:2">
      <c r="B16958" s="62" t="str">
        <f>IF(AND('领用录入（明细）'!D:D=$F$4,'领用录入（明细）'!C:C&gt;=$J$4,'领用录入（明细）'!C:C&lt;=$L$4),ROW(),"-")</f>
        <v>-</v>
      </c>
    </row>
    <row r="16959" customHeight="1" spans="2:2">
      <c r="B16959" s="62" t="str">
        <f>IF(AND('领用录入（明细）'!D:D=$F$4,'领用录入（明细）'!C:C&gt;=$J$4,'领用录入（明细）'!C:C&lt;=$L$4),ROW(),"-")</f>
        <v>-</v>
      </c>
    </row>
    <row r="16960" customHeight="1" spans="2:2">
      <c r="B16960" s="62" t="str">
        <f>IF(AND('领用录入（明细）'!D:D=$F$4,'领用录入（明细）'!C:C&gt;=$J$4,'领用录入（明细）'!C:C&lt;=$L$4),ROW(),"-")</f>
        <v>-</v>
      </c>
    </row>
    <row r="16961" customHeight="1" spans="2:2">
      <c r="B16961" s="62" t="str">
        <f>IF(AND('领用录入（明细）'!D:D=$F$4,'领用录入（明细）'!C:C&gt;=$J$4,'领用录入（明细）'!C:C&lt;=$L$4),ROW(),"-")</f>
        <v>-</v>
      </c>
    </row>
    <row r="16962" customHeight="1" spans="2:2">
      <c r="B16962" s="62" t="str">
        <f>IF(AND('领用录入（明细）'!D:D=$F$4,'领用录入（明细）'!C:C&gt;=$J$4,'领用录入（明细）'!C:C&lt;=$L$4),ROW(),"-")</f>
        <v>-</v>
      </c>
    </row>
    <row r="16963" customHeight="1" spans="2:2">
      <c r="B16963" s="62" t="str">
        <f>IF(AND('领用录入（明细）'!D:D=$F$4,'领用录入（明细）'!C:C&gt;=$J$4,'领用录入（明细）'!C:C&lt;=$L$4),ROW(),"-")</f>
        <v>-</v>
      </c>
    </row>
    <row r="16964" customHeight="1" spans="2:2">
      <c r="B16964" s="62" t="str">
        <f>IF(AND('领用录入（明细）'!D:D=$F$4,'领用录入（明细）'!C:C&gt;=$J$4,'领用录入（明细）'!C:C&lt;=$L$4),ROW(),"-")</f>
        <v>-</v>
      </c>
    </row>
    <row r="16965" customHeight="1" spans="2:2">
      <c r="B16965" s="62" t="str">
        <f>IF(AND('领用录入（明细）'!D:D=$F$4,'领用录入（明细）'!C:C&gt;=$J$4,'领用录入（明细）'!C:C&lt;=$L$4),ROW(),"-")</f>
        <v>-</v>
      </c>
    </row>
    <row r="16966" customHeight="1" spans="2:2">
      <c r="B16966" s="62" t="str">
        <f>IF(AND('领用录入（明细）'!D:D=$F$4,'领用录入（明细）'!C:C&gt;=$J$4,'领用录入（明细）'!C:C&lt;=$L$4),ROW(),"-")</f>
        <v>-</v>
      </c>
    </row>
    <row r="16967" customHeight="1" spans="2:2">
      <c r="B16967" s="62" t="str">
        <f>IF(AND('领用录入（明细）'!D:D=$F$4,'领用录入（明细）'!C:C&gt;=$J$4,'领用录入（明细）'!C:C&lt;=$L$4),ROW(),"-")</f>
        <v>-</v>
      </c>
    </row>
    <row r="16968" customHeight="1" spans="2:2">
      <c r="B16968" s="62" t="str">
        <f>IF(AND('领用录入（明细）'!D:D=$F$4,'领用录入（明细）'!C:C&gt;=$J$4,'领用录入（明细）'!C:C&lt;=$L$4),ROW(),"-")</f>
        <v>-</v>
      </c>
    </row>
    <row r="16969" customHeight="1" spans="2:2">
      <c r="B16969" s="62" t="str">
        <f>IF(AND('领用录入（明细）'!D:D=$F$4,'领用录入（明细）'!C:C&gt;=$J$4,'领用录入（明细）'!C:C&lt;=$L$4),ROW(),"-")</f>
        <v>-</v>
      </c>
    </row>
    <row r="16970" customHeight="1" spans="2:2">
      <c r="B16970" s="62" t="str">
        <f>IF(AND('领用录入（明细）'!D:D=$F$4,'领用录入（明细）'!C:C&gt;=$J$4,'领用录入（明细）'!C:C&lt;=$L$4),ROW(),"-")</f>
        <v>-</v>
      </c>
    </row>
    <row r="16971" customHeight="1" spans="2:2">
      <c r="B16971" s="62" t="str">
        <f>IF(AND('领用录入（明细）'!D:D=$F$4,'领用录入（明细）'!C:C&gt;=$J$4,'领用录入（明细）'!C:C&lt;=$L$4),ROW(),"-")</f>
        <v>-</v>
      </c>
    </row>
    <row r="16972" customHeight="1" spans="2:2">
      <c r="B16972" s="62" t="str">
        <f>IF(AND('领用录入（明细）'!D:D=$F$4,'领用录入（明细）'!C:C&gt;=$J$4,'领用录入（明细）'!C:C&lt;=$L$4),ROW(),"-")</f>
        <v>-</v>
      </c>
    </row>
    <row r="16973" customHeight="1" spans="2:2">
      <c r="B16973" s="62" t="str">
        <f>IF(AND('领用录入（明细）'!D:D=$F$4,'领用录入（明细）'!C:C&gt;=$J$4,'领用录入（明细）'!C:C&lt;=$L$4),ROW(),"-")</f>
        <v>-</v>
      </c>
    </row>
    <row r="16974" customHeight="1" spans="2:2">
      <c r="B16974" s="62" t="str">
        <f>IF(AND('领用录入（明细）'!D:D=$F$4,'领用录入（明细）'!C:C&gt;=$J$4,'领用录入（明细）'!C:C&lt;=$L$4),ROW(),"-")</f>
        <v>-</v>
      </c>
    </row>
    <row r="16975" customHeight="1" spans="2:2">
      <c r="B16975" s="62" t="str">
        <f>IF(AND('领用录入（明细）'!D:D=$F$4,'领用录入（明细）'!C:C&gt;=$J$4,'领用录入（明细）'!C:C&lt;=$L$4),ROW(),"-")</f>
        <v>-</v>
      </c>
    </row>
    <row r="16976" customHeight="1" spans="2:2">
      <c r="B16976" s="62" t="str">
        <f>IF(AND('领用录入（明细）'!D:D=$F$4,'领用录入（明细）'!C:C&gt;=$J$4,'领用录入（明细）'!C:C&lt;=$L$4),ROW(),"-")</f>
        <v>-</v>
      </c>
    </row>
    <row r="16977" customHeight="1" spans="2:2">
      <c r="B16977" s="62" t="str">
        <f>IF(AND('领用录入（明细）'!D:D=$F$4,'领用录入（明细）'!C:C&gt;=$J$4,'领用录入（明细）'!C:C&lt;=$L$4),ROW(),"-")</f>
        <v>-</v>
      </c>
    </row>
    <row r="16978" customHeight="1" spans="2:2">
      <c r="B16978" s="62" t="str">
        <f>IF(AND('领用录入（明细）'!D:D=$F$4,'领用录入（明细）'!C:C&gt;=$J$4,'领用录入（明细）'!C:C&lt;=$L$4),ROW(),"-")</f>
        <v>-</v>
      </c>
    </row>
    <row r="16979" customHeight="1" spans="2:2">
      <c r="B16979" s="62" t="str">
        <f>IF(AND('领用录入（明细）'!D:D=$F$4,'领用录入（明细）'!C:C&gt;=$J$4,'领用录入（明细）'!C:C&lt;=$L$4),ROW(),"-")</f>
        <v>-</v>
      </c>
    </row>
    <row r="16980" customHeight="1" spans="2:2">
      <c r="B16980" s="62" t="str">
        <f>IF(AND('领用录入（明细）'!D:D=$F$4,'领用录入（明细）'!C:C&gt;=$J$4,'领用录入（明细）'!C:C&lt;=$L$4),ROW(),"-")</f>
        <v>-</v>
      </c>
    </row>
    <row r="16981" customHeight="1" spans="2:2">
      <c r="B16981" s="62" t="str">
        <f>IF(AND('领用录入（明细）'!D:D=$F$4,'领用录入（明细）'!C:C&gt;=$J$4,'领用录入（明细）'!C:C&lt;=$L$4),ROW(),"-")</f>
        <v>-</v>
      </c>
    </row>
    <row r="16982" customHeight="1" spans="2:2">
      <c r="B16982" s="62" t="str">
        <f>IF(AND('领用录入（明细）'!D:D=$F$4,'领用录入（明细）'!C:C&gt;=$J$4,'领用录入（明细）'!C:C&lt;=$L$4),ROW(),"-")</f>
        <v>-</v>
      </c>
    </row>
    <row r="16983" customHeight="1" spans="2:2">
      <c r="B16983" s="62" t="str">
        <f>IF(AND('领用录入（明细）'!D:D=$F$4,'领用录入（明细）'!C:C&gt;=$J$4,'领用录入（明细）'!C:C&lt;=$L$4),ROW(),"-")</f>
        <v>-</v>
      </c>
    </row>
    <row r="16984" customHeight="1" spans="2:2">
      <c r="B16984" s="62" t="str">
        <f>IF(AND('领用录入（明细）'!D:D=$F$4,'领用录入（明细）'!C:C&gt;=$J$4,'领用录入（明细）'!C:C&lt;=$L$4),ROW(),"-")</f>
        <v>-</v>
      </c>
    </row>
    <row r="16985" customHeight="1" spans="2:2">
      <c r="B16985" s="62" t="str">
        <f>IF(AND('领用录入（明细）'!D:D=$F$4,'领用录入（明细）'!C:C&gt;=$J$4,'领用录入（明细）'!C:C&lt;=$L$4),ROW(),"-")</f>
        <v>-</v>
      </c>
    </row>
    <row r="16986" customHeight="1" spans="2:2">
      <c r="B16986" s="62" t="str">
        <f>IF(AND('领用录入（明细）'!D:D=$F$4,'领用录入（明细）'!C:C&gt;=$J$4,'领用录入（明细）'!C:C&lt;=$L$4),ROW(),"-")</f>
        <v>-</v>
      </c>
    </row>
    <row r="16987" customHeight="1" spans="2:2">
      <c r="B16987" s="62" t="str">
        <f>IF(AND('领用录入（明细）'!D:D=$F$4,'领用录入（明细）'!C:C&gt;=$J$4,'领用录入（明细）'!C:C&lt;=$L$4),ROW(),"-")</f>
        <v>-</v>
      </c>
    </row>
    <row r="16988" customHeight="1" spans="2:2">
      <c r="B16988" s="62" t="str">
        <f>IF(AND('领用录入（明细）'!D:D=$F$4,'领用录入（明细）'!C:C&gt;=$J$4,'领用录入（明细）'!C:C&lt;=$L$4),ROW(),"-")</f>
        <v>-</v>
      </c>
    </row>
    <row r="16989" customHeight="1" spans="2:2">
      <c r="B16989" s="62" t="str">
        <f>IF(AND('领用录入（明细）'!D:D=$F$4,'领用录入（明细）'!C:C&gt;=$J$4,'领用录入（明细）'!C:C&lt;=$L$4),ROW(),"-")</f>
        <v>-</v>
      </c>
    </row>
    <row r="16990" customHeight="1" spans="2:2">
      <c r="B16990" s="62" t="str">
        <f>IF(AND('领用录入（明细）'!D:D=$F$4,'领用录入（明细）'!C:C&gt;=$J$4,'领用录入（明细）'!C:C&lt;=$L$4),ROW(),"-")</f>
        <v>-</v>
      </c>
    </row>
    <row r="16991" customHeight="1" spans="2:2">
      <c r="B16991" s="62" t="str">
        <f>IF(AND('领用录入（明细）'!D:D=$F$4,'领用录入（明细）'!C:C&gt;=$J$4,'领用录入（明细）'!C:C&lt;=$L$4),ROW(),"-")</f>
        <v>-</v>
      </c>
    </row>
    <row r="16992" customHeight="1" spans="2:2">
      <c r="B16992" s="62" t="str">
        <f>IF(AND('领用录入（明细）'!D:D=$F$4,'领用录入（明细）'!C:C&gt;=$J$4,'领用录入（明细）'!C:C&lt;=$L$4),ROW(),"-")</f>
        <v>-</v>
      </c>
    </row>
    <row r="16993" customHeight="1" spans="2:2">
      <c r="B16993" s="62" t="str">
        <f>IF(AND('领用录入（明细）'!D:D=$F$4,'领用录入（明细）'!C:C&gt;=$J$4,'领用录入（明细）'!C:C&lt;=$L$4),ROW(),"-")</f>
        <v>-</v>
      </c>
    </row>
    <row r="16994" customHeight="1" spans="2:2">
      <c r="B16994" s="62" t="str">
        <f>IF(AND('领用录入（明细）'!D:D=$F$4,'领用录入（明细）'!C:C&gt;=$J$4,'领用录入（明细）'!C:C&lt;=$L$4),ROW(),"-")</f>
        <v>-</v>
      </c>
    </row>
    <row r="16995" customHeight="1" spans="2:2">
      <c r="B16995" s="62" t="str">
        <f>IF(AND('领用录入（明细）'!D:D=$F$4,'领用录入（明细）'!C:C&gt;=$J$4,'领用录入（明细）'!C:C&lt;=$L$4),ROW(),"-")</f>
        <v>-</v>
      </c>
    </row>
    <row r="16996" customHeight="1" spans="2:2">
      <c r="B16996" s="62" t="str">
        <f>IF(AND('领用录入（明细）'!D:D=$F$4,'领用录入（明细）'!C:C&gt;=$J$4,'领用录入（明细）'!C:C&lt;=$L$4),ROW(),"-")</f>
        <v>-</v>
      </c>
    </row>
    <row r="16997" customHeight="1" spans="2:2">
      <c r="B16997" s="62" t="str">
        <f>IF(AND('领用录入（明细）'!D:D=$F$4,'领用录入（明细）'!C:C&gt;=$J$4,'领用录入（明细）'!C:C&lt;=$L$4),ROW(),"-")</f>
        <v>-</v>
      </c>
    </row>
    <row r="16998" customHeight="1" spans="2:2">
      <c r="B16998" s="62" t="str">
        <f>IF(AND('领用录入（明细）'!D:D=$F$4,'领用录入（明细）'!C:C&gt;=$J$4,'领用录入（明细）'!C:C&lt;=$L$4),ROW(),"-")</f>
        <v>-</v>
      </c>
    </row>
    <row r="16999" customHeight="1" spans="2:2">
      <c r="B16999" s="62" t="str">
        <f>IF(AND('领用录入（明细）'!D:D=$F$4,'领用录入（明细）'!C:C&gt;=$J$4,'领用录入（明细）'!C:C&lt;=$L$4),ROW(),"-")</f>
        <v>-</v>
      </c>
    </row>
    <row r="17000" customHeight="1" spans="2:2">
      <c r="B17000" s="62" t="str">
        <f>IF(AND('领用录入（明细）'!D:D=$F$4,'领用录入（明细）'!C:C&gt;=$J$4,'领用录入（明细）'!C:C&lt;=$L$4),ROW(),"-")</f>
        <v>-</v>
      </c>
    </row>
    <row r="17001" customHeight="1" spans="2:2">
      <c r="B17001" s="62" t="str">
        <f>IF(AND('领用录入（明细）'!D:D=$F$4,'领用录入（明细）'!C:C&gt;=$J$4,'领用录入（明细）'!C:C&lt;=$L$4),ROW(),"-")</f>
        <v>-</v>
      </c>
    </row>
    <row r="17002" customHeight="1" spans="2:2">
      <c r="B17002" s="62" t="str">
        <f>IF(AND('领用录入（明细）'!D:D=$F$4,'领用录入（明细）'!C:C&gt;=$J$4,'领用录入（明细）'!C:C&lt;=$L$4),ROW(),"-")</f>
        <v>-</v>
      </c>
    </row>
    <row r="17003" customHeight="1" spans="2:2">
      <c r="B17003" s="62" t="str">
        <f>IF(AND('领用录入（明细）'!D:D=$F$4,'领用录入（明细）'!C:C&gt;=$J$4,'领用录入（明细）'!C:C&lt;=$L$4),ROW(),"-")</f>
        <v>-</v>
      </c>
    </row>
    <row r="17004" customHeight="1" spans="2:2">
      <c r="B17004" s="62" t="str">
        <f>IF(AND('领用录入（明细）'!D:D=$F$4,'领用录入（明细）'!C:C&gt;=$J$4,'领用录入（明细）'!C:C&lt;=$L$4),ROW(),"-")</f>
        <v>-</v>
      </c>
    </row>
    <row r="17005" customHeight="1" spans="2:2">
      <c r="B17005" s="62" t="str">
        <f>IF(AND('领用录入（明细）'!D:D=$F$4,'领用录入（明细）'!C:C&gt;=$J$4,'领用录入（明细）'!C:C&lt;=$L$4),ROW(),"-")</f>
        <v>-</v>
      </c>
    </row>
    <row r="17006" customHeight="1" spans="2:2">
      <c r="B17006" s="62" t="str">
        <f>IF(AND('领用录入（明细）'!D:D=$F$4,'领用录入（明细）'!C:C&gt;=$J$4,'领用录入（明细）'!C:C&lt;=$L$4),ROW(),"-")</f>
        <v>-</v>
      </c>
    </row>
    <row r="17007" customHeight="1" spans="2:2">
      <c r="B17007" s="62" t="str">
        <f>IF(AND('领用录入（明细）'!D:D=$F$4,'领用录入（明细）'!C:C&gt;=$J$4,'领用录入（明细）'!C:C&lt;=$L$4),ROW(),"-")</f>
        <v>-</v>
      </c>
    </row>
    <row r="17008" customHeight="1" spans="2:2">
      <c r="B17008" s="62" t="str">
        <f>IF(AND('领用录入（明细）'!D:D=$F$4,'领用录入（明细）'!C:C&gt;=$J$4,'领用录入（明细）'!C:C&lt;=$L$4),ROW(),"-")</f>
        <v>-</v>
      </c>
    </row>
    <row r="17009" customHeight="1" spans="2:2">
      <c r="B17009" s="62" t="str">
        <f>IF(AND('领用录入（明细）'!D:D=$F$4,'领用录入（明细）'!C:C&gt;=$J$4,'领用录入（明细）'!C:C&lt;=$L$4),ROW(),"-")</f>
        <v>-</v>
      </c>
    </row>
    <row r="17010" customHeight="1" spans="2:2">
      <c r="B17010" s="62" t="str">
        <f>IF(AND('领用录入（明细）'!D:D=$F$4,'领用录入（明细）'!C:C&gt;=$J$4,'领用录入（明细）'!C:C&lt;=$L$4),ROW(),"-")</f>
        <v>-</v>
      </c>
    </row>
    <row r="17011" customHeight="1" spans="2:2">
      <c r="B17011" s="62" t="str">
        <f>IF(AND('领用录入（明细）'!D:D=$F$4,'领用录入（明细）'!C:C&gt;=$J$4,'领用录入（明细）'!C:C&lt;=$L$4),ROW(),"-")</f>
        <v>-</v>
      </c>
    </row>
    <row r="17012" customHeight="1" spans="2:2">
      <c r="B17012" s="62" t="str">
        <f>IF(AND('领用录入（明细）'!D:D=$F$4,'领用录入（明细）'!C:C&gt;=$J$4,'领用录入（明细）'!C:C&lt;=$L$4),ROW(),"-")</f>
        <v>-</v>
      </c>
    </row>
    <row r="17013" customHeight="1" spans="2:2">
      <c r="B17013" s="62" t="str">
        <f>IF(AND('领用录入（明细）'!D:D=$F$4,'领用录入（明细）'!C:C&gt;=$J$4,'领用录入（明细）'!C:C&lt;=$L$4),ROW(),"-")</f>
        <v>-</v>
      </c>
    </row>
    <row r="17014" customHeight="1" spans="2:2">
      <c r="B17014" s="62" t="str">
        <f>IF(AND('领用录入（明细）'!D:D=$F$4,'领用录入（明细）'!C:C&gt;=$J$4,'领用录入（明细）'!C:C&lt;=$L$4),ROW(),"-")</f>
        <v>-</v>
      </c>
    </row>
    <row r="17015" customHeight="1" spans="2:2">
      <c r="B17015" s="62" t="str">
        <f>IF(AND('领用录入（明细）'!D:D=$F$4,'领用录入（明细）'!C:C&gt;=$J$4,'领用录入（明细）'!C:C&lt;=$L$4),ROW(),"-")</f>
        <v>-</v>
      </c>
    </row>
    <row r="17016" customHeight="1" spans="2:2">
      <c r="B17016" s="62" t="str">
        <f>IF(AND('领用录入（明细）'!D:D=$F$4,'领用录入（明细）'!C:C&gt;=$J$4,'领用录入（明细）'!C:C&lt;=$L$4),ROW(),"-")</f>
        <v>-</v>
      </c>
    </row>
    <row r="17017" customHeight="1" spans="2:2">
      <c r="B17017" s="62" t="str">
        <f>IF(AND('领用录入（明细）'!D:D=$F$4,'领用录入（明细）'!C:C&gt;=$J$4,'领用录入（明细）'!C:C&lt;=$L$4),ROW(),"-")</f>
        <v>-</v>
      </c>
    </row>
    <row r="17018" customHeight="1" spans="2:2">
      <c r="B17018" s="62" t="str">
        <f>IF(AND('领用录入（明细）'!D:D=$F$4,'领用录入（明细）'!C:C&gt;=$J$4,'领用录入（明细）'!C:C&lt;=$L$4),ROW(),"-")</f>
        <v>-</v>
      </c>
    </row>
    <row r="17019" customHeight="1" spans="2:2">
      <c r="B17019" s="62" t="str">
        <f>IF(AND('领用录入（明细）'!D:D=$F$4,'领用录入（明细）'!C:C&gt;=$J$4,'领用录入（明细）'!C:C&lt;=$L$4),ROW(),"-")</f>
        <v>-</v>
      </c>
    </row>
    <row r="17020" customHeight="1" spans="2:2">
      <c r="B17020" s="62" t="str">
        <f>IF(AND('领用录入（明细）'!D:D=$F$4,'领用录入（明细）'!C:C&gt;=$J$4,'领用录入（明细）'!C:C&lt;=$L$4),ROW(),"-")</f>
        <v>-</v>
      </c>
    </row>
    <row r="17021" customHeight="1" spans="2:2">
      <c r="B17021" s="62" t="str">
        <f>IF(AND('领用录入（明细）'!D:D=$F$4,'领用录入（明细）'!C:C&gt;=$J$4,'领用录入（明细）'!C:C&lt;=$L$4),ROW(),"-")</f>
        <v>-</v>
      </c>
    </row>
    <row r="17022" customHeight="1" spans="2:2">
      <c r="B17022" s="62" t="str">
        <f>IF(AND('领用录入（明细）'!D:D=$F$4,'领用录入（明细）'!C:C&gt;=$J$4,'领用录入（明细）'!C:C&lt;=$L$4),ROW(),"-")</f>
        <v>-</v>
      </c>
    </row>
    <row r="17023" customHeight="1" spans="2:2">
      <c r="B17023" s="62" t="str">
        <f>IF(AND('领用录入（明细）'!D:D=$F$4,'领用录入（明细）'!C:C&gt;=$J$4,'领用录入（明细）'!C:C&lt;=$L$4),ROW(),"-")</f>
        <v>-</v>
      </c>
    </row>
    <row r="17024" customHeight="1" spans="2:2">
      <c r="B17024" s="62" t="str">
        <f>IF(AND('领用录入（明细）'!D:D=$F$4,'领用录入（明细）'!C:C&gt;=$J$4,'领用录入（明细）'!C:C&lt;=$L$4),ROW(),"-")</f>
        <v>-</v>
      </c>
    </row>
    <row r="17025" customHeight="1" spans="2:2">
      <c r="B17025" s="62" t="str">
        <f>IF(AND('领用录入（明细）'!D:D=$F$4,'领用录入（明细）'!C:C&gt;=$J$4,'领用录入（明细）'!C:C&lt;=$L$4),ROW(),"-")</f>
        <v>-</v>
      </c>
    </row>
    <row r="17026" customHeight="1" spans="2:2">
      <c r="B17026" s="62" t="str">
        <f>IF(AND('领用录入（明细）'!D:D=$F$4,'领用录入（明细）'!C:C&gt;=$J$4,'领用录入（明细）'!C:C&lt;=$L$4),ROW(),"-")</f>
        <v>-</v>
      </c>
    </row>
    <row r="17027" customHeight="1" spans="2:2">
      <c r="B17027" s="62" t="str">
        <f>IF(AND('领用录入（明细）'!D:D=$F$4,'领用录入（明细）'!C:C&gt;=$J$4,'领用录入（明细）'!C:C&lt;=$L$4),ROW(),"-")</f>
        <v>-</v>
      </c>
    </row>
    <row r="17028" customHeight="1" spans="2:2">
      <c r="B17028" s="62" t="str">
        <f>IF(AND('领用录入（明细）'!D:D=$F$4,'领用录入（明细）'!C:C&gt;=$J$4,'领用录入（明细）'!C:C&lt;=$L$4),ROW(),"-")</f>
        <v>-</v>
      </c>
    </row>
    <row r="17029" customHeight="1" spans="2:2">
      <c r="B17029" s="62" t="str">
        <f>IF(AND('领用录入（明细）'!D:D=$F$4,'领用录入（明细）'!C:C&gt;=$J$4,'领用录入（明细）'!C:C&lt;=$L$4),ROW(),"-")</f>
        <v>-</v>
      </c>
    </row>
    <row r="17030" customHeight="1" spans="2:2">
      <c r="B17030" s="62" t="str">
        <f>IF(AND('领用录入（明细）'!D:D=$F$4,'领用录入（明细）'!C:C&gt;=$J$4,'领用录入（明细）'!C:C&lt;=$L$4),ROW(),"-")</f>
        <v>-</v>
      </c>
    </row>
    <row r="17031" customHeight="1" spans="2:2">
      <c r="B17031" s="62" t="str">
        <f>IF(AND('领用录入（明细）'!D:D=$F$4,'领用录入（明细）'!C:C&gt;=$J$4,'领用录入（明细）'!C:C&lt;=$L$4),ROW(),"-")</f>
        <v>-</v>
      </c>
    </row>
    <row r="17032" customHeight="1" spans="2:2">
      <c r="B17032" s="62" t="str">
        <f>IF(AND('领用录入（明细）'!D:D=$F$4,'领用录入（明细）'!C:C&gt;=$J$4,'领用录入（明细）'!C:C&lt;=$L$4),ROW(),"-")</f>
        <v>-</v>
      </c>
    </row>
    <row r="17033" customHeight="1" spans="2:2">
      <c r="B17033" s="62" t="str">
        <f>IF(AND('领用录入（明细）'!D:D=$F$4,'领用录入（明细）'!C:C&gt;=$J$4,'领用录入（明细）'!C:C&lt;=$L$4),ROW(),"-")</f>
        <v>-</v>
      </c>
    </row>
    <row r="17034" customHeight="1" spans="2:2">
      <c r="B17034" s="62" t="str">
        <f>IF(AND('领用录入（明细）'!D:D=$F$4,'领用录入（明细）'!C:C&gt;=$J$4,'领用录入（明细）'!C:C&lt;=$L$4),ROW(),"-")</f>
        <v>-</v>
      </c>
    </row>
    <row r="17035" customHeight="1" spans="2:2">
      <c r="B17035" s="62" t="str">
        <f>IF(AND('领用录入（明细）'!D:D=$F$4,'领用录入（明细）'!C:C&gt;=$J$4,'领用录入（明细）'!C:C&lt;=$L$4),ROW(),"-")</f>
        <v>-</v>
      </c>
    </row>
    <row r="17036" customHeight="1" spans="2:2">
      <c r="B17036" s="62" t="str">
        <f>IF(AND('领用录入（明细）'!D:D=$F$4,'领用录入（明细）'!C:C&gt;=$J$4,'领用录入（明细）'!C:C&lt;=$L$4),ROW(),"-")</f>
        <v>-</v>
      </c>
    </row>
    <row r="17037" customHeight="1" spans="2:2">
      <c r="B17037" s="62" t="str">
        <f>IF(AND('领用录入（明细）'!D:D=$F$4,'领用录入（明细）'!C:C&gt;=$J$4,'领用录入（明细）'!C:C&lt;=$L$4),ROW(),"-")</f>
        <v>-</v>
      </c>
    </row>
    <row r="17038" customHeight="1" spans="2:2">
      <c r="B17038" s="62" t="str">
        <f>IF(AND('领用录入（明细）'!D:D=$F$4,'领用录入（明细）'!C:C&gt;=$J$4,'领用录入（明细）'!C:C&lt;=$L$4),ROW(),"-")</f>
        <v>-</v>
      </c>
    </row>
    <row r="17039" customHeight="1" spans="2:2">
      <c r="B17039" s="62" t="str">
        <f>IF(AND('领用录入（明细）'!D:D=$F$4,'领用录入（明细）'!C:C&gt;=$J$4,'领用录入（明细）'!C:C&lt;=$L$4),ROW(),"-")</f>
        <v>-</v>
      </c>
    </row>
    <row r="17040" customHeight="1" spans="2:2">
      <c r="B17040" s="62" t="str">
        <f>IF(AND('领用录入（明细）'!D:D=$F$4,'领用录入（明细）'!C:C&gt;=$J$4,'领用录入（明细）'!C:C&lt;=$L$4),ROW(),"-")</f>
        <v>-</v>
      </c>
    </row>
    <row r="17041" customHeight="1" spans="2:2">
      <c r="B17041" s="62" t="str">
        <f>IF(AND('领用录入（明细）'!D:D=$F$4,'领用录入（明细）'!C:C&gt;=$J$4,'领用录入（明细）'!C:C&lt;=$L$4),ROW(),"-")</f>
        <v>-</v>
      </c>
    </row>
    <row r="17042" customHeight="1" spans="2:2">
      <c r="B17042" s="62" t="str">
        <f>IF(AND('领用录入（明细）'!D:D=$F$4,'领用录入（明细）'!C:C&gt;=$J$4,'领用录入（明细）'!C:C&lt;=$L$4),ROW(),"-")</f>
        <v>-</v>
      </c>
    </row>
    <row r="17043" customHeight="1" spans="2:2">
      <c r="B17043" s="62" t="str">
        <f>IF(AND('领用录入（明细）'!D:D=$F$4,'领用录入（明细）'!C:C&gt;=$J$4,'领用录入（明细）'!C:C&lt;=$L$4),ROW(),"-")</f>
        <v>-</v>
      </c>
    </row>
    <row r="17044" customHeight="1" spans="2:2">
      <c r="B17044" s="62" t="str">
        <f>IF(AND('领用录入（明细）'!D:D=$F$4,'领用录入（明细）'!C:C&gt;=$J$4,'领用录入（明细）'!C:C&lt;=$L$4),ROW(),"-")</f>
        <v>-</v>
      </c>
    </row>
    <row r="17045" customHeight="1" spans="2:2">
      <c r="B17045" s="62" t="str">
        <f>IF(AND('领用录入（明细）'!D:D=$F$4,'领用录入（明细）'!C:C&gt;=$J$4,'领用录入（明细）'!C:C&lt;=$L$4),ROW(),"-")</f>
        <v>-</v>
      </c>
    </row>
    <row r="17046" customHeight="1" spans="2:2">
      <c r="B17046" s="62" t="str">
        <f>IF(AND('领用录入（明细）'!D:D=$F$4,'领用录入（明细）'!C:C&gt;=$J$4,'领用录入（明细）'!C:C&lt;=$L$4),ROW(),"-")</f>
        <v>-</v>
      </c>
    </row>
    <row r="17047" customHeight="1" spans="2:2">
      <c r="B17047" s="62" t="str">
        <f>IF(AND('领用录入（明细）'!D:D=$F$4,'领用录入（明细）'!C:C&gt;=$J$4,'领用录入（明细）'!C:C&lt;=$L$4),ROW(),"-")</f>
        <v>-</v>
      </c>
    </row>
    <row r="17048" customHeight="1" spans="2:2">
      <c r="B17048" s="62" t="str">
        <f>IF(AND('领用录入（明细）'!D:D=$F$4,'领用录入（明细）'!C:C&gt;=$J$4,'领用录入（明细）'!C:C&lt;=$L$4),ROW(),"-")</f>
        <v>-</v>
      </c>
    </row>
    <row r="17049" customHeight="1" spans="2:2">
      <c r="B17049" s="62" t="str">
        <f>IF(AND('领用录入（明细）'!D:D=$F$4,'领用录入（明细）'!C:C&gt;=$J$4,'领用录入（明细）'!C:C&lt;=$L$4),ROW(),"-")</f>
        <v>-</v>
      </c>
    </row>
    <row r="17050" customHeight="1" spans="2:2">
      <c r="B17050" s="62" t="str">
        <f>IF(AND('领用录入（明细）'!D:D=$F$4,'领用录入（明细）'!C:C&gt;=$J$4,'领用录入（明细）'!C:C&lt;=$L$4),ROW(),"-")</f>
        <v>-</v>
      </c>
    </row>
    <row r="17051" customHeight="1" spans="2:2">
      <c r="B17051" s="62" t="str">
        <f>IF(AND('领用录入（明细）'!D:D=$F$4,'领用录入（明细）'!C:C&gt;=$J$4,'领用录入（明细）'!C:C&lt;=$L$4),ROW(),"-")</f>
        <v>-</v>
      </c>
    </row>
    <row r="17052" customHeight="1" spans="2:2">
      <c r="B17052" s="62" t="str">
        <f>IF(AND('领用录入（明细）'!D:D=$F$4,'领用录入（明细）'!C:C&gt;=$J$4,'领用录入（明细）'!C:C&lt;=$L$4),ROW(),"-")</f>
        <v>-</v>
      </c>
    </row>
    <row r="17053" customHeight="1" spans="2:2">
      <c r="B17053" s="62" t="str">
        <f>IF(AND('领用录入（明细）'!D:D=$F$4,'领用录入（明细）'!C:C&gt;=$J$4,'领用录入（明细）'!C:C&lt;=$L$4),ROW(),"-")</f>
        <v>-</v>
      </c>
    </row>
    <row r="17054" customHeight="1" spans="2:2">
      <c r="B17054" s="62" t="str">
        <f>IF(AND('领用录入（明细）'!D:D=$F$4,'领用录入（明细）'!C:C&gt;=$J$4,'领用录入（明细）'!C:C&lt;=$L$4),ROW(),"-")</f>
        <v>-</v>
      </c>
    </row>
    <row r="17055" customHeight="1" spans="2:2">
      <c r="B17055" s="62" t="str">
        <f>IF(AND('领用录入（明细）'!D:D=$F$4,'领用录入（明细）'!C:C&gt;=$J$4,'领用录入（明细）'!C:C&lt;=$L$4),ROW(),"-")</f>
        <v>-</v>
      </c>
    </row>
    <row r="17056" customHeight="1" spans="2:2">
      <c r="B17056" s="62" t="str">
        <f>IF(AND('领用录入（明细）'!D:D=$F$4,'领用录入（明细）'!C:C&gt;=$J$4,'领用录入（明细）'!C:C&lt;=$L$4),ROW(),"-")</f>
        <v>-</v>
      </c>
    </row>
    <row r="17057" customHeight="1" spans="2:2">
      <c r="B17057" s="62" t="str">
        <f>IF(AND('领用录入（明细）'!D:D=$F$4,'领用录入（明细）'!C:C&gt;=$J$4,'领用录入（明细）'!C:C&lt;=$L$4),ROW(),"-")</f>
        <v>-</v>
      </c>
    </row>
    <row r="17058" customHeight="1" spans="2:2">
      <c r="B17058" s="62" t="str">
        <f>IF(AND('领用录入（明细）'!D:D=$F$4,'领用录入（明细）'!C:C&gt;=$J$4,'领用录入（明细）'!C:C&lt;=$L$4),ROW(),"-")</f>
        <v>-</v>
      </c>
    </row>
    <row r="17059" customHeight="1" spans="2:2">
      <c r="B17059" s="62" t="str">
        <f>IF(AND('领用录入（明细）'!D:D=$F$4,'领用录入（明细）'!C:C&gt;=$J$4,'领用录入（明细）'!C:C&lt;=$L$4),ROW(),"-")</f>
        <v>-</v>
      </c>
    </row>
    <row r="17060" customHeight="1" spans="2:2">
      <c r="B17060" s="62" t="str">
        <f>IF(AND('领用录入（明细）'!D:D=$F$4,'领用录入（明细）'!C:C&gt;=$J$4,'领用录入（明细）'!C:C&lt;=$L$4),ROW(),"-")</f>
        <v>-</v>
      </c>
    </row>
    <row r="17061" customHeight="1" spans="2:2">
      <c r="B17061" s="62" t="str">
        <f>IF(AND('领用录入（明细）'!D:D=$F$4,'领用录入（明细）'!C:C&gt;=$J$4,'领用录入（明细）'!C:C&lt;=$L$4),ROW(),"-")</f>
        <v>-</v>
      </c>
    </row>
    <row r="17062" customHeight="1" spans="2:2">
      <c r="B17062" s="62" t="str">
        <f>IF(AND('领用录入（明细）'!D:D=$F$4,'领用录入（明细）'!C:C&gt;=$J$4,'领用录入（明细）'!C:C&lt;=$L$4),ROW(),"-")</f>
        <v>-</v>
      </c>
    </row>
    <row r="17063" customHeight="1" spans="2:2">
      <c r="B17063" s="62" t="str">
        <f>IF(AND('领用录入（明细）'!D:D=$F$4,'领用录入（明细）'!C:C&gt;=$J$4,'领用录入（明细）'!C:C&lt;=$L$4),ROW(),"-")</f>
        <v>-</v>
      </c>
    </row>
    <row r="17064" customHeight="1" spans="2:2">
      <c r="B17064" s="62" t="str">
        <f>IF(AND('领用录入（明细）'!D:D=$F$4,'领用录入（明细）'!C:C&gt;=$J$4,'领用录入（明细）'!C:C&lt;=$L$4),ROW(),"-")</f>
        <v>-</v>
      </c>
    </row>
    <row r="17065" customHeight="1" spans="2:2">
      <c r="B17065" s="62" t="str">
        <f>IF(AND('领用录入（明细）'!D:D=$F$4,'领用录入（明细）'!C:C&gt;=$J$4,'领用录入（明细）'!C:C&lt;=$L$4),ROW(),"-")</f>
        <v>-</v>
      </c>
    </row>
    <row r="17066" customHeight="1" spans="2:2">
      <c r="B17066" s="62" t="str">
        <f>IF(AND('领用录入（明细）'!D:D=$F$4,'领用录入（明细）'!C:C&gt;=$J$4,'领用录入（明细）'!C:C&lt;=$L$4),ROW(),"-")</f>
        <v>-</v>
      </c>
    </row>
    <row r="17067" customHeight="1" spans="2:2">
      <c r="B17067" s="62" t="str">
        <f>IF(AND('领用录入（明细）'!D:D=$F$4,'领用录入（明细）'!C:C&gt;=$J$4,'领用录入（明细）'!C:C&lt;=$L$4),ROW(),"-")</f>
        <v>-</v>
      </c>
    </row>
    <row r="17068" customHeight="1" spans="2:2">
      <c r="B17068" s="62" t="str">
        <f>IF(AND('领用录入（明细）'!D:D=$F$4,'领用录入（明细）'!C:C&gt;=$J$4,'领用录入（明细）'!C:C&lt;=$L$4),ROW(),"-")</f>
        <v>-</v>
      </c>
    </row>
    <row r="17069" customHeight="1" spans="2:2">
      <c r="B17069" s="62" t="str">
        <f>IF(AND('领用录入（明细）'!D:D=$F$4,'领用录入（明细）'!C:C&gt;=$J$4,'领用录入（明细）'!C:C&lt;=$L$4),ROW(),"-")</f>
        <v>-</v>
      </c>
    </row>
    <row r="17070" customHeight="1" spans="2:2">
      <c r="B17070" s="62" t="str">
        <f>IF(AND('领用录入（明细）'!D:D=$F$4,'领用录入（明细）'!C:C&gt;=$J$4,'领用录入（明细）'!C:C&lt;=$L$4),ROW(),"-")</f>
        <v>-</v>
      </c>
    </row>
    <row r="17071" customHeight="1" spans="2:2">
      <c r="B17071" s="62" t="str">
        <f>IF(AND('领用录入（明细）'!D:D=$F$4,'领用录入（明细）'!C:C&gt;=$J$4,'领用录入（明细）'!C:C&lt;=$L$4),ROW(),"-")</f>
        <v>-</v>
      </c>
    </row>
    <row r="17072" customHeight="1" spans="2:2">
      <c r="B17072" s="62" t="str">
        <f>IF(AND('领用录入（明细）'!D:D=$F$4,'领用录入（明细）'!C:C&gt;=$J$4,'领用录入（明细）'!C:C&lt;=$L$4),ROW(),"-")</f>
        <v>-</v>
      </c>
    </row>
    <row r="17073" customHeight="1" spans="2:2">
      <c r="B17073" s="62" t="str">
        <f>IF(AND('领用录入（明细）'!D:D=$F$4,'领用录入（明细）'!C:C&gt;=$J$4,'领用录入（明细）'!C:C&lt;=$L$4),ROW(),"-")</f>
        <v>-</v>
      </c>
    </row>
    <row r="17074" customHeight="1" spans="2:2">
      <c r="B17074" s="62" t="str">
        <f>IF(AND('领用录入（明细）'!D:D=$F$4,'领用录入（明细）'!C:C&gt;=$J$4,'领用录入（明细）'!C:C&lt;=$L$4),ROW(),"-")</f>
        <v>-</v>
      </c>
    </row>
    <row r="17075" customHeight="1" spans="2:2">
      <c r="B17075" s="62" t="str">
        <f>IF(AND('领用录入（明细）'!D:D=$F$4,'领用录入（明细）'!C:C&gt;=$J$4,'领用录入（明细）'!C:C&lt;=$L$4),ROW(),"-")</f>
        <v>-</v>
      </c>
    </row>
    <row r="17076" customHeight="1" spans="2:2">
      <c r="B17076" s="62" t="str">
        <f>IF(AND('领用录入（明细）'!D:D=$F$4,'领用录入（明细）'!C:C&gt;=$J$4,'领用录入（明细）'!C:C&lt;=$L$4),ROW(),"-")</f>
        <v>-</v>
      </c>
    </row>
    <row r="17077" customHeight="1" spans="2:2">
      <c r="B17077" s="62" t="str">
        <f>IF(AND('领用录入（明细）'!D:D=$F$4,'领用录入（明细）'!C:C&gt;=$J$4,'领用录入（明细）'!C:C&lt;=$L$4),ROW(),"-")</f>
        <v>-</v>
      </c>
    </row>
    <row r="17078" customHeight="1" spans="2:2">
      <c r="B17078" s="62" t="str">
        <f>IF(AND('领用录入（明细）'!D:D=$F$4,'领用录入（明细）'!C:C&gt;=$J$4,'领用录入（明细）'!C:C&lt;=$L$4),ROW(),"-")</f>
        <v>-</v>
      </c>
    </row>
    <row r="17079" customHeight="1" spans="2:2">
      <c r="B17079" s="62" t="str">
        <f>IF(AND('领用录入（明细）'!D:D=$F$4,'领用录入（明细）'!C:C&gt;=$J$4,'领用录入（明细）'!C:C&lt;=$L$4),ROW(),"-")</f>
        <v>-</v>
      </c>
    </row>
    <row r="17080" customHeight="1" spans="2:2">
      <c r="B17080" s="62" t="str">
        <f>IF(AND('领用录入（明细）'!D:D=$F$4,'领用录入（明细）'!C:C&gt;=$J$4,'领用录入（明细）'!C:C&lt;=$L$4),ROW(),"-")</f>
        <v>-</v>
      </c>
    </row>
    <row r="17081" customHeight="1" spans="2:2">
      <c r="B17081" s="62" t="str">
        <f>IF(AND('领用录入（明细）'!D:D=$F$4,'领用录入（明细）'!C:C&gt;=$J$4,'领用录入（明细）'!C:C&lt;=$L$4),ROW(),"-")</f>
        <v>-</v>
      </c>
    </row>
    <row r="17082" customHeight="1" spans="2:2">
      <c r="B17082" s="62" t="str">
        <f>IF(AND('领用录入（明细）'!D:D=$F$4,'领用录入（明细）'!C:C&gt;=$J$4,'领用录入（明细）'!C:C&lt;=$L$4),ROW(),"-")</f>
        <v>-</v>
      </c>
    </row>
    <row r="17083" customHeight="1" spans="2:2">
      <c r="B17083" s="62" t="str">
        <f>IF(AND('领用录入（明细）'!D:D=$F$4,'领用录入（明细）'!C:C&gt;=$J$4,'领用录入（明细）'!C:C&lt;=$L$4),ROW(),"-")</f>
        <v>-</v>
      </c>
    </row>
    <row r="17084" customHeight="1" spans="2:2">
      <c r="B17084" s="62" t="str">
        <f>IF(AND('领用录入（明细）'!D:D=$F$4,'领用录入（明细）'!C:C&gt;=$J$4,'领用录入（明细）'!C:C&lt;=$L$4),ROW(),"-")</f>
        <v>-</v>
      </c>
    </row>
    <row r="17085" customHeight="1" spans="2:2">
      <c r="B17085" s="62" t="str">
        <f>IF(AND('领用录入（明细）'!D:D=$F$4,'领用录入（明细）'!C:C&gt;=$J$4,'领用录入（明细）'!C:C&lt;=$L$4),ROW(),"-")</f>
        <v>-</v>
      </c>
    </row>
    <row r="17086" customHeight="1" spans="2:2">
      <c r="B17086" s="62" t="str">
        <f>IF(AND('领用录入（明细）'!D:D=$F$4,'领用录入（明细）'!C:C&gt;=$J$4,'领用录入（明细）'!C:C&lt;=$L$4),ROW(),"-")</f>
        <v>-</v>
      </c>
    </row>
    <row r="17087" customHeight="1" spans="2:2">
      <c r="B17087" s="62" t="str">
        <f>IF(AND('领用录入（明细）'!D:D=$F$4,'领用录入（明细）'!C:C&gt;=$J$4,'领用录入（明细）'!C:C&lt;=$L$4),ROW(),"-")</f>
        <v>-</v>
      </c>
    </row>
    <row r="17088" customHeight="1" spans="2:2">
      <c r="B17088" s="62" t="str">
        <f>IF(AND('领用录入（明细）'!D:D=$F$4,'领用录入（明细）'!C:C&gt;=$J$4,'领用录入（明细）'!C:C&lt;=$L$4),ROW(),"-")</f>
        <v>-</v>
      </c>
    </row>
    <row r="17089" customHeight="1" spans="2:2">
      <c r="B17089" s="62" t="str">
        <f>IF(AND('领用录入（明细）'!D:D=$F$4,'领用录入（明细）'!C:C&gt;=$J$4,'领用录入（明细）'!C:C&lt;=$L$4),ROW(),"-")</f>
        <v>-</v>
      </c>
    </row>
    <row r="17090" customHeight="1" spans="2:2">
      <c r="B17090" s="62" t="str">
        <f>IF(AND('领用录入（明细）'!D:D=$F$4,'领用录入（明细）'!C:C&gt;=$J$4,'领用录入（明细）'!C:C&lt;=$L$4),ROW(),"-")</f>
        <v>-</v>
      </c>
    </row>
    <row r="17091" customHeight="1" spans="2:2">
      <c r="B17091" s="62" t="str">
        <f>IF(AND('领用录入（明细）'!D:D=$F$4,'领用录入（明细）'!C:C&gt;=$J$4,'领用录入（明细）'!C:C&lt;=$L$4),ROW(),"-")</f>
        <v>-</v>
      </c>
    </row>
    <row r="17092" customHeight="1" spans="2:2">
      <c r="B17092" s="62" t="str">
        <f>IF(AND('领用录入（明细）'!D:D=$F$4,'领用录入（明细）'!C:C&gt;=$J$4,'领用录入（明细）'!C:C&lt;=$L$4),ROW(),"-")</f>
        <v>-</v>
      </c>
    </row>
    <row r="17093" customHeight="1" spans="2:2">
      <c r="B17093" s="62" t="str">
        <f>IF(AND('领用录入（明细）'!D:D=$F$4,'领用录入（明细）'!C:C&gt;=$J$4,'领用录入（明细）'!C:C&lt;=$L$4),ROW(),"-")</f>
        <v>-</v>
      </c>
    </row>
    <row r="17094" customHeight="1" spans="2:2">
      <c r="B17094" s="62" t="str">
        <f>IF(AND('领用录入（明细）'!D:D=$F$4,'领用录入（明细）'!C:C&gt;=$J$4,'领用录入（明细）'!C:C&lt;=$L$4),ROW(),"-")</f>
        <v>-</v>
      </c>
    </row>
    <row r="17095" customHeight="1" spans="2:2">
      <c r="B17095" s="62" t="str">
        <f>IF(AND('领用录入（明细）'!D:D=$F$4,'领用录入（明细）'!C:C&gt;=$J$4,'领用录入（明细）'!C:C&lt;=$L$4),ROW(),"-")</f>
        <v>-</v>
      </c>
    </row>
    <row r="17096" customHeight="1" spans="2:2">
      <c r="B17096" s="62" t="str">
        <f>IF(AND('领用录入（明细）'!D:D=$F$4,'领用录入（明细）'!C:C&gt;=$J$4,'领用录入（明细）'!C:C&lt;=$L$4),ROW(),"-")</f>
        <v>-</v>
      </c>
    </row>
    <row r="17097" customHeight="1" spans="2:2">
      <c r="B17097" s="62" t="str">
        <f>IF(AND('领用录入（明细）'!D:D=$F$4,'领用录入（明细）'!C:C&gt;=$J$4,'领用录入（明细）'!C:C&lt;=$L$4),ROW(),"-")</f>
        <v>-</v>
      </c>
    </row>
    <row r="17098" customHeight="1" spans="2:2">
      <c r="B17098" s="62" t="str">
        <f>IF(AND('领用录入（明细）'!D:D=$F$4,'领用录入（明细）'!C:C&gt;=$J$4,'领用录入（明细）'!C:C&lt;=$L$4),ROW(),"-")</f>
        <v>-</v>
      </c>
    </row>
    <row r="17099" customHeight="1" spans="2:2">
      <c r="B17099" s="62" t="str">
        <f>IF(AND('领用录入（明细）'!D:D=$F$4,'领用录入（明细）'!C:C&gt;=$J$4,'领用录入（明细）'!C:C&lt;=$L$4),ROW(),"-")</f>
        <v>-</v>
      </c>
    </row>
    <row r="17100" customHeight="1" spans="2:2">
      <c r="B17100" s="62" t="str">
        <f>IF(AND('领用录入（明细）'!D:D=$F$4,'领用录入（明细）'!C:C&gt;=$J$4,'领用录入（明细）'!C:C&lt;=$L$4),ROW(),"-")</f>
        <v>-</v>
      </c>
    </row>
    <row r="17101" customHeight="1" spans="2:2">
      <c r="B17101" s="62" t="str">
        <f>IF(AND('领用录入（明细）'!D:D=$F$4,'领用录入（明细）'!C:C&gt;=$J$4,'领用录入（明细）'!C:C&lt;=$L$4),ROW(),"-")</f>
        <v>-</v>
      </c>
    </row>
    <row r="17102" customHeight="1" spans="2:2">
      <c r="B17102" s="62" t="str">
        <f>IF(AND('领用录入（明细）'!D:D=$F$4,'领用录入（明细）'!C:C&gt;=$J$4,'领用录入（明细）'!C:C&lt;=$L$4),ROW(),"-")</f>
        <v>-</v>
      </c>
    </row>
    <row r="17103" customHeight="1" spans="2:2">
      <c r="B17103" s="62" t="str">
        <f>IF(AND('领用录入（明细）'!D:D=$F$4,'领用录入（明细）'!C:C&gt;=$J$4,'领用录入（明细）'!C:C&lt;=$L$4),ROW(),"-")</f>
        <v>-</v>
      </c>
    </row>
    <row r="17104" customHeight="1" spans="2:2">
      <c r="B17104" s="62" t="str">
        <f>IF(AND('领用录入（明细）'!D:D=$F$4,'领用录入（明细）'!C:C&gt;=$J$4,'领用录入（明细）'!C:C&lt;=$L$4),ROW(),"-")</f>
        <v>-</v>
      </c>
    </row>
    <row r="17105" customHeight="1" spans="2:2">
      <c r="B17105" s="62" t="str">
        <f>IF(AND('领用录入（明细）'!D:D=$F$4,'领用录入（明细）'!C:C&gt;=$J$4,'领用录入（明细）'!C:C&lt;=$L$4),ROW(),"-")</f>
        <v>-</v>
      </c>
    </row>
    <row r="17106" customHeight="1" spans="2:2">
      <c r="B17106" s="62" t="str">
        <f>IF(AND('领用录入（明细）'!D:D=$F$4,'领用录入（明细）'!C:C&gt;=$J$4,'领用录入（明细）'!C:C&lt;=$L$4),ROW(),"-")</f>
        <v>-</v>
      </c>
    </row>
    <row r="17107" customHeight="1" spans="2:2">
      <c r="B17107" s="62" t="str">
        <f>IF(AND('领用录入（明细）'!D:D=$F$4,'领用录入（明细）'!C:C&gt;=$J$4,'领用录入（明细）'!C:C&lt;=$L$4),ROW(),"-")</f>
        <v>-</v>
      </c>
    </row>
    <row r="17108" customHeight="1" spans="2:2">
      <c r="B17108" s="62" t="str">
        <f>IF(AND('领用录入（明细）'!D:D=$F$4,'领用录入（明细）'!C:C&gt;=$J$4,'领用录入（明细）'!C:C&lt;=$L$4),ROW(),"-")</f>
        <v>-</v>
      </c>
    </row>
    <row r="17109" customHeight="1" spans="2:2">
      <c r="B17109" s="62" t="str">
        <f>IF(AND('领用录入（明细）'!D:D=$F$4,'领用录入（明细）'!C:C&gt;=$J$4,'领用录入（明细）'!C:C&lt;=$L$4),ROW(),"-")</f>
        <v>-</v>
      </c>
    </row>
    <row r="17110" customHeight="1" spans="2:2">
      <c r="B17110" s="62" t="str">
        <f>IF(AND('领用录入（明细）'!D:D=$F$4,'领用录入（明细）'!C:C&gt;=$J$4,'领用录入（明细）'!C:C&lt;=$L$4),ROW(),"-")</f>
        <v>-</v>
      </c>
    </row>
    <row r="17111" customHeight="1" spans="2:2">
      <c r="B17111" s="62" t="str">
        <f>IF(AND('领用录入（明细）'!D:D=$F$4,'领用录入（明细）'!C:C&gt;=$J$4,'领用录入（明细）'!C:C&lt;=$L$4),ROW(),"-")</f>
        <v>-</v>
      </c>
    </row>
    <row r="17112" customHeight="1" spans="2:2">
      <c r="B17112" s="62" t="str">
        <f>IF(AND('领用录入（明细）'!D:D=$F$4,'领用录入（明细）'!C:C&gt;=$J$4,'领用录入（明细）'!C:C&lt;=$L$4),ROW(),"-")</f>
        <v>-</v>
      </c>
    </row>
    <row r="17113" customHeight="1" spans="2:2">
      <c r="B17113" s="62" t="str">
        <f>IF(AND('领用录入（明细）'!D:D=$F$4,'领用录入（明细）'!C:C&gt;=$J$4,'领用录入（明细）'!C:C&lt;=$L$4),ROW(),"-")</f>
        <v>-</v>
      </c>
    </row>
    <row r="17114" customHeight="1" spans="2:2">
      <c r="B17114" s="62" t="str">
        <f>IF(AND('领用录入（明细）'!D:D=$F$4,'领用录入（明细）'!C:C&gt;=$J$4,'领用录入（明细）'!C:C&lt;=$L$4),ROW(),"-")</f>
        <v>-</v>
      </c>
    </row>
    <row r="17115" customHeight="1" spans="2:2">
      <c r="B17115" s="62" t="str">
        <f>IF(AND('领用录入（明细）'!D:D=$F$4,'领用录入（明细）'!C:C&gt;=$J$4,'领用录入（明细）'!C:C&lt;=$L$4),ROW(),"-")</f>
        <v>-</v>
      </c>
    </row>
    <row r="17116" customHeight="1" spans="2:2">
      <c r="B17116" s="62" t="str">
        <f>IF(AND('领用录入（明细）'!D:D=$F$4,'领用录入（明细）'!C:C&gt;=$J$4,'领用录入（明细）'!C:C&lt;=$L$4),ROW(),"-")</f>
        <v>-</v>
      </c>
    </row>
    <row r="17117" customHeight="1" spans="2:2">
      <c r="B17117" s="62" t="str">
        <f>IF(AND('领用录入（明细）'!D:D=$F$4,'领用录入（明细）'!C:C&gt;=$J$4,'领用录入（明细）'!C:C&lt;=$L$4),ROW(),"-")</f>
        <v>-</v>
      </c>
    </row>
    <row r="17118" customHeight="1" spans="2:2">
      <c r="B17118" s="62" t="str">
        <f>IF(AND('领用录入（明细）'!D:D=$F$4,'领用录入（明细）'!C:C&gt;=$J$4,'领用录入（明细）'!C:C&lt;=$L$4),ROW(),"-")</f>
        <v>-</v>
      </c>
    </row>
    <row r="17119" customHeight="1" spans="2:2">
      <c r="B17119" s="62" t="str">
        <f>IF(AND('领用录入（明细）'!D:D=$F$4,'领用录入（明细）'!C:C&gt;=$J$4,'领用录入（明细）'!C:C&lt;=$L$4),ROW(),"-")</f>
        <v>-</v>
      </c>
    </row>
    <row r="17120" customHeight="1" spans="2:2">
      <c r="B17120" s="62" t="str">
        <f>IF(AND('领用录入（明细）'!D:D=$F$4,'领用录入（明细）'!C:C&gt;=$J$4,'领用录入（明细）'!C:C&lt;=$L$4),ROW(),"-")</f>
        <v>-</v>
      </c>
    </row>
    <row r="17121" customHeight="1" spans="2:2">
      <c r="B17121" s="62" t="str">
        <f>IF(AND('领用录入（明细）'!D:D=$F$4,'领用录入（明细）'!C:C&gt;=$J$4,'领用录入（明细）'!C:C&lt;=$L$4),ROW(),"-")</f>
        <v>-</v>
      </c>
    </row>
    <row r="17122" customHeight="1" spans="2:2">
      <c r="B17122" s="62" t="str">
        <f>IF(AND('领用录入（明细）'!D:D=$F$4,'领用录入（明细）'!C:C&gt;=$J$4,'领用录入（明细）'!C:C&lt;=$L$4),ROW(),"-")</f>
        <v>-</v>
      </c>
    </row>
    <row r="17123" customHeight="1" spans="2:2">
      <c r="B17123" s="62" t="str">
        <f>IF(AND('领用录入（明细）'!D:D=$F$4,'领用录入（明细）'!C:C&gt;=$J$4,'领用录入（明细）'!C:C&lt;=$L$4),ROW(),"-")</f>
        <v>-</v>
      </c>
    </row>
    <row r="17124" customHeight="1" spans="2:2">
      <c r="B17124" s="62" t="str">
        <f>IF(AND('领用录入（明细）'!D:D=$F$4,'领用录入（明细）'!C:C&gt;=$J$4,'领用录入（明细）'!C:C&lt;=$L$4),ROW(),"-")</f>
        <v>-</v>
      </c>
    </row>
    <row r="17125" customHeight="1" spans="2:2">
      <c r="B17125" s="62" t="str">
        <f>IF(AND('领用录入（明细）'!D:D=$F$4,'领用录入（明细）'!C:C&gt;=$J$4,'领用录入（明细）'!C:C&lt;=$L$4),ROW(),"-")</f>
        <v>-</v>
      </c>
    </row>
    <row r="17126" customHeight="1" spans="2:2">
      <c r="B17126" s="62" t="str">
        <f>IF(AND('领用录入（明细）'!D:D=$F$4,'领用录入（明细）'!C:C&gt;=$J$4,'领用录入（明细）'!C:C&lt;=$L$4),ROW(),"-")</f>
        <v>-</v>
      </c>
    </row>
    <row r="17127" customHeight="1" spans="2:2">
      <c r="B17127" s="62" t="str">
        <f>IF(AND('领用录入（明细）'!D:D=$F$4,'领用录入（明细）'!C:C&gt;=$J$4,'领用录入（明细）'!C:C&lt;=$L$4),ROW(),"-")</f>
        <v>-</v>
      </c>
    </row>
    <row r="17128" customHeight="1" spans="2:2">
      <c r="B17128" s="62" t="str">
        <f>IF(AND('领用录入（明细）'!D:D=$F$4,'领用录入（明细）'!C:C&gt;=$J$4,'领用录入（明细）'!C:C&lt;=$L$4),ROW(),"-")</f>
        <v>-</v>
      </c>
    </row>
    <row r="17129" customHeight="1" spans="2:2">
      <c r="B17129" s="62" t="str">
        <f>IF(AND('领用录入（明细）'!D:D=$F$4,'领用录入（明细）'!C:C&gt;=$J$4,'领用录入（明细）'!C:C&lt;=$L$4),ROW(),"-")</f>
        <v>-</v>
      </c>
    </row>
    <row r="17130" customHeight="1" spans="2:2">
      <c r="B17130" s="62" t="str">
        <f>IF(AND('领用录入（明细）'!D:D=$F$4,'领用录入（明细）'!C:C&gt;=$J$4,'领用录入（明细）'!C:C&lt;=$L$4),ROW(),"-")</f>
        <v>-</v>
      </c>
    </row>
    <row r="17131" customHeight="1" spans="2:2">
      <c r="B17131" s="62" t="str">
        <f>IF(AND('领用录入（明细）'!D:D=$F$4,'领用录入（明细）'!C:C&gt;=$J$4,'领用录入（明细）'!C:C&lt;=$L$4),ROW(),"-")</f>
        <v>-</v>
      </c>
    </row>
    <row r="17132" customHeight="1" spans="2:2">
      <c r="B17132" s="62" t="str">
        <f>IF(AND('领用录入（明细）'!D:D=$F$4,'领用录入（明细）'!C:C&gt;=$J$4,'领用录入（明细）'!C:C&lt;=$L$4),ROW(),"-")</f>
        <v>-</v>
      </c>
    </row>
    <row r="17133" customHeight="1" spans="2:2">
      <c r="B17133" s="62" t="str">
        <f>IF(AND('领用录入（明细）'!D:D=$F$4,'领用录入（明细）'!C:C&gt;=$J$4,'领用录入（明细）'!C:C&lt;=$L$4),ROW(),"-")</f>
        <v>-</v>
      </c>
    </row>
    <row r="17134" customHeight="1" spans="2:2">
      <c r="B17134" s="62" t="str">
        <f>IF(AND('领用录入（明细）'!D:D=$F$4,'领用录入（明细）'!C:C&gt;=$J$4,'领用录入（明细）'!C:C&lt;=$L$4),ROW(),"-")</f>
        <v>-</v>
      </c>
    </row>
    <row r="17135" customHeight="1" spans="2:2">
      <c r="B17135" s="62" t="str">
        <f>IF(AND('领用录入（明细）'!D:D=$F$4,'领用录入（明细）'!C:C&gt;=$J$4,'领用录入（明细）'!C:C&lt;=$L$4),ROW(),"-")</f>
        <v>-</v>
      </c>
    </row>
    <row r="17136" customHeight="1" spans="2:2">
      <c r="B17136" s="62" t="str">
        <f>IF(AND('领用录入（明细）'!D:D=$F$4,'领用录入（明细）'!C:C&gt;=$J$4,'领用录入（明细）'!C:C&lt;=$L$4),ROW(),"-")</f>
        <v>-</v>
      </c>
    </row>
    <row r="17137" customHeight="1" spans="2:2">
      <c r="B17137" s="62" t="str">
        <f>IF(AND('领用录入（明细）'!D:D=$F$4,'领用录入（明细）'!C:C&gt;=$J$4,'领用录入（明细）'!C:C&lt;=$L$4),ROW(),"-")</f>
        <v>-</v>
      </c>
    </row>
    <row r="17138" customHeight="1" spans="2:2">
      <c r="B17138" s="62" t="str">
        <f>IF(AND('领用录入（明细）'!D:D=$F$4,'领用录入（明细）'!C:C&gt;=$J$4,'领用录入（明细）'!C:C&lt;=$L$4),ROW(),"-")</f>
        <v>-</v>
      </c>
    </row>
    <row r="17139" customHeight="1" spans="2:2">
      <c r="B17139" s="62" t="str">
        <f>IF(AND('领用录入（明细）'!D:D=$F$4,'领用录入（明细）'!C:C&gt;=$J$4,'领用录入（明细）'!C:C&lt;=$L$4),ROW(),"-")</f>
        <v>-</v>
      </c>
    </row>
    <row r="17140" customHeight="1" spans="2:2">
      <c r="B17140" s="62" t="str">
        <f>IF(AND('领用录入（明细）'!D:D=$F$4,'领用录入（明细）'!C:C&gt;=$J$4,'领用录入（明细）'!C:C&lt;=$L$4),ROW(),"-")</f>
        <v>-</v>
      </c>
    </row>
    <row r="17141" customHeight="1" spans="2:2">
      <c r="B17141" s="62" t="str">
        <f>IF(AND('领用录入（明细）'!D:D=$F$4,'领用录入（明细）'!C:C&gt;=$J$4,'领用录入（明细）'!C:C&lt;=$L$4),ROW(),"-")</f>
        <v>-</v>
      </c>
    </row>
    <row r="17142" customHeight="1" spans="2:2">
      <c r="B17142" s="62" t="str">
        <f>IF(AND('领用录入（明细）'!D:D=$F$4,'领用录入（明细）'!C:C&gt;=$J$4,'领用录入（明细）'!C:C&lt;=$L$4),ROW(),"-")</f>
        <v>-</v>
      </c>
    </row>
    <row r="17143" customHeight="1" spans="2:2">
      <c r="B17143" s="62" t="str">
        <f>IF(AND('领用录入（明细）'!D:D=$F$4,'领用录入（明细）'!C:C&gt;=$J$4,'领用录入（明细）'!C:C&lt;=$L$4),ROW(),"-")</f>
        <v>-</v>
      </c>
    </row>
    <row r="17144" customHeight="1" spans="2:2">
      <c r="B17144" s="62" t="str">
        <f>IF(AND('领用录入（明细）'!D:D=$F$4,'领用录入（明细）'!C:C&gt;=$J$4,'领用录入（明细）'!C:C&lt;=$L$4),ROW(),"-")</f>
        <v>-</v>
      </c>
    </row>
    <row r="17145" customHeight="1" spans="2:2">
      <c r="B17145" s="62" t="str">
        <f>IF(AND('领用录入（明细）'!D:D=$F$4,'领用录入（明细）'!C:C&gt;=$J$4,'领用录入（明细）'!C:C&lt;=$L$4),ROW(),"-")</f>
        <v>-</v>
      </c>
    </row>
    <row r="17146" customHeight="1" spans="2:2">
      <c r="B17146" s="62" t="str">
        <f>IF(AND('领用录入（明细）'!D:D=$F$4,'领用录入（明细）'!C:C&gt;=$J$4,'领用录入（明细）'!C:C&lt;=$L$4),ROW(),"-")</f>
        <v>-</v>
      </c>
    </row>
    <row r="17147" customHeight="1" spans="2:2">
      <c r="B17147" s="62" t="str">
        <f>IF(AND('领用录入（明细）'!D:D=$F$4,'领用录入（明细）'!C:C&gt;=$J$4,'领用录入（明细）'!C:C&lt;=$L$4),ROW(),"-")</f>
        <v>-</v>
      </c>
    </row>
    <row r="17148" customHeight="1" spans="2:2">
      <c r="B17148" s="62" t="str">
        <f>IF(AND('领用录入（明细）'!D:D=$F$4,'领用录入（明细）'!C:C&gt;=$J$4,'领用录入（明细）'!C:C&lt;=$L$4),ROW(),"-")</f>
        <v>-</v>
      </c>
    </row>
    <row r="17149" customHeight="1" spans="2:2">
      <c r="B17149" s="62" t="str">
        <f>IF(AND('领用录入（明细）'!D:D=$F$4,'领用录入（明细）'!C:C&gt;=$J$4,'领用录入（明细）'!C:C&lt;=$L$4),ROW(),"-")</f>
        <v>-</v>
      </c>
    </row>
    <row r="17150" customHeight="1" spans="2:2">
      <c r="B17150" s="62" t="str">
        <f>IF(AND('领用录入（明细）'!D:D=$F$4,'领用录入（明细）'!C:C&gt;=$J$4,'领用录入（明细）'!C:C&lt;=$L$4),ROW(),"-")</f>
        <v>-</v>
      </c>
    </row>
    <row r="17151" customHeight="1" spans="2:2">
      <c r="B17151" s="62" t="str">
        <f>IF(AND('领用录入（明细）'!D:D=$F$4,'领用录入（明细）'!C:C&gt;=$J$4,'领用录入（明细）'!C:C&lt;=$L$4),ROW(),"-")</f>
        <v>-</v>
      </c>
    </row>
    <row r="17152" customHeight="1" spans="2:2">
      <c r="B17152" s="62" t="str">
        <f>IF(AND('领用录入（明细）'!D:D=$F$4,'领用录入（明细）'!C:C&gt;=$J$4,'领用录入（明细）'!C:C&lt;=$L$4),ROW(),"-")</f>
        <v>-</v>
      </c>
    </row>
    <row r="17153" customHeight="1" spans="2:2">
      <c r="B17153" s="62" t="str">
        <f>IF(AND('领用录入（明细）'!D:D=$F$4,'领用录入（明细）'!C:C&gt;=$J$4,'领用录入（明细）'!C:C&lt;=$L$4),ROW(),"-")</f>
        <v>-</v>
      </c>
    </row>
    <row r="17154" customHeight="1" spans="2:2">
      <c r="B17154" s="62" t="str">
        <f>IF(AND('领用录入（明细）'!D:D=$F$4,'领用录入（明细）'!C:C&gt;=$J$4,'领用录入（明细）'!C:C&lt;=$L$4),ROW(),"-")</f>
        <v>-</v>
      </c>
    </row>
    <row r="17155" customHeight="1" spans="2:2">
      <c r="B17155" s="62" t="str">
        <f>IF(AND('领用录入（明细）'!D:D=$F$4,'领用录入（明细）'!C:C&gt;=$J$4,'领用录入（明细）'!C:C&lt;=$L$4),ROW(),"-")</f>
        <v>-</v>
      </c>
    </row>
    <row r="17156" customHeight="1" spans="2:2">
      <c r="B17156" s="62" t="str">
        <f>IF(AND('领用录入（明细）'!D:D=$F$4,'领用录入（明细）'!C:C&gt;=$J$4,'领用录入（明细）'!C:C&lt;=$L$4),ROW(),"-")</f>
        <v>-</v>
      </c>
    </row>
    <row r="17157" customHeight="1" spans="2:2">
      <c r="B17157" s="62" t="str">
        <f>IF(AND('领用录入（明细）'!D:D=$F$4,'领用录入（明细）'!C:C&gt;=$J$4,'领用录入（明细）'!C:C&lt;=$L$4),ROW(),"-")</f>
        <v>-</v>
      </c>
    </row>
    <row r="17158" customHeight="1" spans="2:2">
      <c r="B17158" s="62" t="str">
        <f>IF(AND('领用录入（明细）'!D:D=$F$4,'领用录入（明细）'!C:C&gt;=$J$4,'领用录入（明细）'!C:C&lt;=$L$4),ROW(),"-")</f>
        <v>-</v>
      </c>
    </row>
    <row r="17159" customHeight="1" spans="2:2">
      <c r="B17159" s="62" t="str">
        <f>IF(AND('领用录入（明细）'!D:D=$F$4,'领用录入（明细）'!C:C&gt;=$J$4,'领用录入（明细）'!C:C&lt;=$L$4),ROW(),"-")</f>
        <v>-</v>
      </c>
    </row>
    <row r="17160" customHeight="1" spans="2:2">
      <c r="B17160" s="62" t="str">
        <f>IF(AND('领用录入（明细）'!D:D=$F$4,'领用录入（明细）'!C:C&gt;=$J$4,'领用录入（明细）'!C:C&lt;=$L$4),ROW(),"-")</f>
        <v>-</v>
      </c>
    </row>
    <row r="17161" customHeight="1" spans="2:2">
      <c r="B17161" s="62" t="str">
        <f>IF(AND('领用录入（明细）'!D:D=$F$4,'领用录入（明细）'!C:C&gt;=$J$4,'领用录入（明细）'!C:C&lt;=$L$4),ROW(),"-")</f>
        <v>-</v>
      </c>
    </row>
    <row r="17162" customHeight="1" spans="2:2">
      <c r="B17162" s="62" t="str">
        <f>IF(AND('领用录入（明细）'!D:D=$F$4,'领用录入（明细）'!C:C&gt;=$J$4,'领用录入（明细）'!C:C&lt;=$L$4),ROW(),"-")</f>
        <v>-</v>
      </c>
    </row>
    <row r="17163" customHeight="1" spans="2:2">
      <c r="B17163" s="62" t="str">
        <f>IF(AND('领用录入（明细）'!D:D=$F$4,'领用录入（明细）'!C:C&gt;=$J$4,'领用录入（明细）'!C:C&lt;=$L$4),ROW(),"-")</f>
        <v>-</v>
      </c>
    </row>
    <row r="17164" customHeight="1" spans="2:2">
      <c r="B17164" s="62" t="str">
        <f>IF(AND('领用录入（明细）'!D:D=$F$4,'领用录入（明细）'!C:C&gt;=$J$4,'领用录入（明细）'!C:C&lt;=$L$4),ROW(),"-")</f>
        <v>-</v>
      </c>
    </row>
    <row r="17165" customHeight="1" spans="2:2">
      <c r="B17165" s="62" t="str">
        <f>IF(AND('领用录入（明细）'!D:D=$F$4,'领用录入（明细）'!C:C&gt;=$J$4,'领用录入（明细）'!C:C&lt;=$L$4),ROW(),"-")</f>
        <v>-</v>
      </c>
    </row>
    <row r="17166" customHeight="1" spans="2:2">
      <c r="B17166" s="62" t="str">
        <f>IF(AND('领用录入（明细）'!D:D=$F$4,'领用录入（明细）'!C:C&gt;=$J$4,'领用录入（明细）'!C:C&lt;=$L$4),ROW(),"-")</f>
        <v>-</v>
      </c>
    </row>
    <row r="17167" customHeight="1" spans="2:2">
      <c r="B17167" s="62" t="str">
        <f>IF(AND('领用录入（明细）'!D:D=$F$4,'领用录入（明细）'!C:C&gt;=$J$4,'领用录入（明细）'!C:C&lt;=$L$4),ROW(),"-")</f>
        <v>-</v>
      </c>
    </row>
    <row r="17168" customHeight="1" spans="2:2">
      <c r="B17168" s="62" t="str">
        <f>IF(AND('领用录入（明细）'!D:D=$F$4,'领用录入（明细）'!C:C&gt;=$J$4,'领用录入（明细）'!C:C&lt;=$L$4),ROW(),"-")</f>
        <v>-</v>
      </c>
    </row>
    <row r="17169" customHeight="1" spans="2:2">
      <c r="B17169" s="62" t="str">
        <f>IF(AND('领用录入（明细）'!D:D=$F$4,'领用录入（明细）'!C:C&gt;=$J$4,'领用录入（明细）'!C:C&lt;=$L$4),ROW(),"-")</f>
        <v>-</v>
      </c>
    </row>
    <row r="17170" customHeight="1" spans="2:2">
      <c r="B17170" s="62" t="str">
        <f>IF(AND('领用录入（明细）'!D:D=$F$4,'领用录入（明细）'!C:C&gt;=$J$4,'领用录入（明细）'!C:C&lt;=$L$4),ROW(),"-")</f>
        <v>-</v>
      </c>
    </row>
    <row r="17171" customHeight="1" spans="2:2">
      <c r="B17171" s="62" t="str">
        <f>IF(AND('领用录入（明细）'!D:D=$F$4,'领用录入（明细）'!C:C&gt;=$J$4,'领用录入（明细）'!C:C&lt;=$L$4),ROW(),"-")</f>
        <v>-</v>
      </c>
    </row>
    <row r="17172" customHeight="1" spans="2:2">
      <c r="B17172" s="62" t="str">
        <f>IF(AND('领用录入（明细）'!D:D=$F$4,'领用录入（明细）'!C:C&gt;=$J$4,'领用录入（明细）'!C:C&lt;=$L$4),ROW(),"-")</f>
        <v>-</v>
      </c>
    </row>
    <row r="17173" customHeight="1" spans="2:2">
      <c r="B17173" s="62" t="str">
        <f>IF(AND('领用录入（明细）'!D:D=$F$4,'领用录入（明细）'!C:C&gt;=$J$4,'领用录入（明细）'!C:C&lt;=$L$4),ROW(),"-")</f>
        <v>-</v>
      </c>
    </row>
    <row r="17174" customHeight="1" spans="2:2">
      <c r="B17174" s="62" t="str">
        <f>IF(AND('领用录入（明细）'!D:D=$F$4,'领用录入（明细）'!C:C&gt;=$J$4,'领用录入（明细）'!C:C&lt;=$L$4),ROW(),"-")</f>
        <v>-</v>
      </c>
    </row>
    <row r="17175" customHeight="1" spans="2:2">
      <c r="B17175" s="62" t="str">
        <f>IF(AND('领用录入（明细）'!D:D=$F$4,'领用录入（明细）'!C:C&gt;=$J$4,'领用录入（明细）'!C:C&lt;=$L$4),ROW(),"-")</f>
        <v>-</v>
      </c>
    </row>
    <row r="17176" customHeight="1" spans="2:2">
      <c r="B17176" s="62" t="str">
        <f>IF(AND('领用录入（明细）'!D:D=$F$4,'领用录入（明细）'!C:C&gt;=$J$4,'领用录入（明细）'!C:C&lt;=$L$4),ROW(),"-")</f>
        <v>-</v>
      </c>
    </row>
    <row r="17177" customHeight="1" spans="2:2">
      <c r="B17177" s="62" t="str">
        <f>IF(AND('领用录入（明细）'!D:D=$F$4,'领用录入（明细）'!C:C&gt;=$J$4,'领用录入（明细）'!C:C&lt;=$L$4),ROW(),"-")</f>
        <v>-</v>
      </c>
    </row>
    <row r="17178" customHeight="1" spans="2:2">
      <c r="B17178" s="62" t="str">
        <f>IF(AND('领用录入（明细）'!D:D=$F$4,'领用录入（明细）'!C:C&gt;=$J$4,'领用录入（明细）'!C:C&lt;=$L$4),ROW(),"-")</f>
        <v>-</v>
      </c>
    </row>
    <row r="17179" customHeight="1" spans="2:2">
      <c r="B17179" s="62" t="str">
        <f>IF(AND('领用录入（明细）'!D:D=$F$4,'领用录入（明细）'!C:C&gt;=$J$4,'领用录入（明细）'!C:C&lt;=$L$4),ROW(),"-")</f>
        <v>-</v>
      </c>
    </row>
    <row r="17180" customHeight="1" spans="2:2">
      <c r="B17180" s="62" t="str">
        <f>IF(AND('领用录入（明细）'!D:D=$F$4,'领用录入（明细）'!C:C&gt;=$J$4,'领用录入（明细）'!C:C&lt;=$L$4),ROW(),"-")</f>
        <v>-</v>
      </c>
    </row>
    <row r="17181" customHeight="1" spans="2:2">
      <c r="B17181" s="62" t="str">
        <f>IF(AND('领用录入（明细）'!D:D=$F$4,'领用录入（明细）'!C:C&gt;=$J$4,'领用录入（明细）'!C:C&lt;=$L$4),ROW(),"-")</f>
        <v>-</v>
      </c>
    </row>
    <row r="17182" customHeight="1" spans="2:2">
      <c r="B17182" s="62" t="str">
        <f>IF(AND('领用录入（明细）'!D:D=$F$4,'领用录入（明细）'!C:C&gt;=$J$4,'领用录入（明细）'!C:C&lt;=$L$4),ROW(),"-")</f>
        <v>-</v>
      </c>
    </row>
    <row r="17183" customHeight="1" spans="2:2">
      <c r="B17183" s="62" t="str">
        <f>IF(AND('领用录入（明细）'!D:D=$F$4,'领用录入（明细）'!C:C&gt;=$J$4,'领用录入（明细）'!C:C&lt;=$L$4),ROW(),"-")</f>
        <v>-</v>
      </c>
    </row>
    <row r="17184" customHeight="1" spans="2:2">
      <c r="B17184" s="62" t="str">
        <f>IF(AND('领用录入（明细）'!D:D=$F$4,'领用录入（明细）'!C:C&gt;=$J$4,'领用录入（明细）'!C:C&lt;=$L$4),ROW(),"-")</f>
        <v>-</v>
      </c>
    </row>
    <row r="17185" customHeight="1" spans="2:2">
      <c r="B17185" s="62" t="str">
        <f>IF(AND('领用录入（明细）'!D:D=$F$4,'领用录入（明细）'!C:C&gt;=$J$4,'领用录入（明细）'!C:C&lt;=$L$4),ROW(),"-")</f>
        <v>-</v>
      </c>
    </row>
    <row r="17186" customHeight="1" spans="2:2">
      <c r="B17186" s="62" t="str">
        <f>IF(AND('领用录入（明细）'!D:D=$F$4,'领用录入（明细）'!C:C&gt;=$J$4,'领用录入（明细）'!C:C&lt;=$L$4),ROW(),"-")</f>
        <v>-</v>
      </c>
    </row>
    <row r="17187" customHeight="1" spans="2:2">
      <c r="B17187" s="62" t="str">
        <f>IF(AND('领用录入（明细）'!D:D=$F$4,'领用录入（明细）'!C:C&gt;=$J$4,'领用录入（明细）'!C:C&lt;=$L$4),ROW(),"-")</f>
        <v>-</v>
      </c>
    </row>
    <row r="17188" customHeight="1" spans="2:2">
      <c r="B17188" s="62" t="str">
        <f>IF(AND('领用录入（明细）'!D:D=$F$4,'领用录入（明细）'!C:C&gt;=$J$4,'领用录入（明细）'!C:C&lt;=$L$4),ROW(),"-")</f>
        <v>-</v>
      </c>
    </row>
    <row r="17189" customHeight="1" spans="2:2">
      <c r="B17189" s="62" t="str">
        <f>IF(AND('领用录入（明细）'!D:D=$F$4,'领用录入（明细）'!C:C&gt;=$J$4,'领用录入（明细）'!C:C&lt;=$L$4),ROW(),"-")</f>
        <v>-</v>
      </c>
    </row>
    <row r="17190" customHeight="1" spans="2:2">
      <c r="B17190" s="62" t="str">
        <f>IF(AND('领用录入（明细）'!D:D=$F$4,'领用录入（明细）'!C:C&gt;=$J$4,'领用录入（明细）'!C:C&lt;=$L$4),ROW(),"-")</f>
        <v>-</v>
      </c>
    </row>
    <row r="17191" customHeight="1" spans="2:2">
      <c r="B17191" s="62" t="str">
        <f>IF(AND('领用录入（明细）'!D:D=$F$4,'领用录入（明细）'!C:C&gt;=$J$4,'领用录入（明细）'!C:C&lt;=$L$4),ROW(),"-")</f>
        <v>-</v>
      </c>
    </row>
    <row r="17192" customHeight="1" spans="2:2">
      <c r="B17192" s="62" t="str">
        <f>IF(AND('领用录入（明细）'!D:D=$F$4,'领用录入（明细）'!C:C&gt;=$J$4,'领用录入（明细）'!C:C&lt;=$L$4),ROW(),"-")</f>
        <v>-</v>
      </c>
    </row>
    <row r="17193" customHeight="1" spans="2:2">
      <c r="B17193" s="62" t="str">
        <f>IF(AND('领用录入（明细）'!D:D=$F$4,'领用录入（明细）'!C:C&gt;=$J$4,'领用录入（明细）'!C:C&lt;=$L$4),ROW(),"-")</f>
        <v>-</v>
      </c>
    </row>
    <row r="17194" customHeight="1" spans="2:2">
      <c r="B17194" s="62" t="str">
        <f>IF(AND('领用录入（明细）'!D:D=$F$4,'领用录入（明细）'!C:C&gt;=$J$4,'领用录入（明细）'!C:C&lt;=$L$4),ROW(),"-")</f>
        <v>-</v>
      </c>
    </row>
    <row r="17195" customHeight="1" spans="2:2">
      <c r="B17195" s="62" t="str">
        <f>IF(AND('领用录入（明细）'!D:D=$F$4,'领用录入（明细）'!C:C&gt;=$J$4,'领用录入（明细）'!C:C&lt;=$L$4),ROW(),"-")</f>
        <v>-</v>
      </c>
    </row>
    <row r="17196" customHeight="1" spans="2:2">
      <c r="B17196" s="62" t="str">
        <f>IF(AND('领用录入（明细）'!D:D=$F$4,'领用录入（明细）'!C:C&gt;=$J$4,'领用录入（明细）'!C:C&lt;=$L$4),ROW(),"-")</f>
        <v>-</v>
      </c>
    </row>
    <row r="17197" customHeight="1" spans="2:2">
      <c r="B17197" s="62" t="str">
        <f>IF(AND('领用录入（明细）'!D:D=$F$4,'领用录入（明细）'!C:C&gt;=$J$4,'领用录入（明细）'!C:C&lt;=$L$4),ROW(),"-")</f>
        <v>-</v>
      </c>
    </row>
    <row r="17198" customHeight="1" spans="2:2">
      <c r="B17198" s="62" t="str">
        <f>IF(AND('领用录入（明细）'!D:D=$F$4,'领用录入（明细）'!C:C&gt;=$J$4,'领用录入（明细）'!C:C&lt;=$L$4),ROW(),"-")</f>
        <v>-</v>
      </c>
    </row>
    <row r="17199" customHeight="1" spans="2:2">
      <c r="B17199" s="62" t="str">
        <f>IF(AND('领用录入（明细）'!D:D=$F$4,'领用录入（明细）'!C:C&gt;=$J$4,'领用录入（明细）'!C:C&lt;=$L$4),ROW(),"-")</f>
        <v>-</v>
      </c>
    </row>
    <row r="17200" customHeight="1" spans="2:2">
      <c r="B17200" s="62" t="str">
        <f>IF(AND('领用录入（明细）'!D:D=$F$4,'领用录入（明细）'!C:C&gt;=$J$4,'领用录入（明细）'!C:C&lt;=$L$4),ROW(),"-")</f>
        <v>-</v>
      </c>
    </row>
    <row r="17201" customHeight="1" spans="2:2">
      <c r="B17201" s="62" t="str">
        <f>IF(AND('领用录入（明细）'!D:D=$F$4,'领用录入（明细）'!C:C&gt;=$J$4,'领用录入（明细）'!C:C&lt;=$L$4),ROW(),"-")</f>
        <v>-</v>
      </c>
    </row>
    <row r="17202" customHeight="1" spans="2:2">
      <c r="B17202" s="62" t="str">
        <f>IF(AND('领用录入（明细）'!D:D=$F$4,'领用录入（明细）'!C:C&gt;=$J$4,'领用录入（明细）'!C:C&lt;=$L$4),ROW(),"-")</f>
        <v>-</v>
      </c>
    </row>
    <row r="17203" customHeight="1" spans="2:2">
      <c r="B17203" s="62" t="str">
        <f>IF(AND('领用录入（明细）'!D:D=$F$4,'领用录入（明细）'!C:C&gt;=$J$4,'领用录入（明细）'!C:C&lt;=$L$4),ROW(),"-")</f>
        <v>-</v>
      </c>
    </row>
    <row r="17204" customHeight="1" spans="2:2">
      <c r="B17204" s="62" t="str">
        <f>IF(AND('领用录入（明细）'!D:D=$F$4,'领用录入（明细）'!C:C&gt;=$J$4,'领用录入（明细）'!C:C&lt;=$L$4),ROW(),"-")</f>
        <v>-</v>
      </c>
    </row>
    <row r="17205" customHeight="1" spans="2:2">
      <c r="B17205" s="62" t="str">
        <f>IF(AND('领用录入（明细）'!D:D=$F$4,'领用录入（明细）'!C:C&gt;=$J$4,'领用录入（明细）'!C:C&lt;=$L$4),ROW(),"-")</f>
        <v>-</v>
      </c>
    </row>
    <row r="17206" customHeight="1" spans="2:2">
      <c r="B17206" s="62" t="str">
        <f>IF(AND('领用录入（明细）'!D:D=$F$4,'领用录入（明细）'!C:C&gt;=$J$4,'领用录入（明细）'!C:C&lt;=$L$4),ROW(),"-")</f>
        <v>-</v>
      </c>
    </row>
    <row r="17207" customHeight="1" spans="2:2">
      <c r="B17207" s="62" t="str">
        <f>IF(AND('领用录入（明细）'!D:D=$F$4,'领用录入（明细）'!C:C&gt;=$J$4,'领用录入（明细）'!C:C&lt;=$L$4),ROW(),"-")</f>
        <v>-</v>
      </c>
    </row>
    <row r="17208" customHeight="1" spans="2:2">
      <c r="B17208" s="62" t="str">
        <f>IF(AND('领用录入（明细）'!D:D=$F$4,'领用录入（明细）'!C:C&gt;=$J$4,'领用录入（明细）'!C:C&lt;=$L$4),ROW(),"-")</f>
        <v>-</v>
      </c>
    </row>
    <row r="17209" customHeight="1" spans="2:2">
      <c r="B17209" s="62" t="str">
        <f>IF(AND('领用录入（明细）'!D:D=$F$4,'领用录入（明细）'!C:C&gt;=$J$4,'领用录入（明细）'!C:C&lt;=$L$4),ROW(),"-")</f>
        <v>-</v>
      </c>
    </row>
    <row r="17210" customHeight="1" spans="2:2">
      <c r="B17210" s="62" t="str">
        <f>IF(AND('领用录入（明细）'!D:D=$F$4,'领用录入（明细）'!C:C&gt;=$J$4,'领用录入（明细）'!C:C&lt;=$L$4),ROW(),"-")</f>
        <v>-</v>
      </c>
    </row>
    <row r="17211" customHeight="1" spans="2:2">
      <c r="B17211" s="62" t="str">
        <f>IF(AND('领用录入（明细）'!D:D=$F$4,'领用录入（明细）'!C:C&gt;=$J$4,'领用录入（明细）'!C:C&lt;=$L$4),ROW(),"-")</f>
        <v>-</v>
      </c>
    </row>
    <row r="17212" customHeight="1" spans="2:2">
      <c r="B17212" s="62" t="str">
        <f>IF(AND('领用录入（明细）'!D:D=$F$4,'领用录入（明细）'!C:C&gt;=$J$4,'领用录入（明细）'!C:C&lt;=$L$4),ROW(),"-")</f>
        <v>-</v>
      </c>
    </row>
    <row r="17213" customHeight="1" spans="2:2">
      <c r="B17213" s="62" t="str">
        <f>IF(AND('领用录入（明细）'!D:D=$F$4,'领用录入（明细）'!C:C&gt;=$J$4,'领用录入（明细）'!C:C&lt;=$L$4),ROW(),"-")</f>
        <v>-</v>
      </c>
    </row>
    <row r="17214" customHeight="1" spans="2:2">
      <c r="B17214" s="62" t="str">
        <f>IF(AND('领用录入（明细）'!D:D=$F$4,'领用录入（明细）'!C:C&gt;=$J$4,'领用录入（明细）'!C:C&lt;=$L$4),ROW(),"-")</f>
        <v>-</v>
      </c>
    </row>
    <row r="17215" customHeight="1" spans="2:2">
      <c r="B17215" s="62" t="str">
        <f>IF(AND('领用录入（明细）'!D:D=$F$4,'领用录入（明细）'!C:C&gt;=$J$4,'领用录入（明细）'!C:C&lt;=$L$4),ROW(),"-")</f>
        <v>-</v>
      </c>
    </row>
    <row r="17216" customHeight="1" spans="2:2">
      <c r="B17216" s="62" t="str">
        <f>IF(AND('领用录入（明细）'!D:D=$F$4,'领用录入（明细）'!C:C&gt;=$J$4,'领用录入（明细）'!C:C&lt;=$L$4),ROW(),"-")</f>
        <v>-</v>
      </c>
    </row>
    <row r="17217" customHeight="1" spans="2:2">
      <c r="B17217" s="62" t="str">
        <f>IF(AND('领用录入（明细）'!D:D=$F$4,'领用录入（明细）'!C:C&gt;=$J$4,'领用录入（明细）'!C:C&lt;=$L$4),ROW(),"-")</f>
        <v>-</v>
      </c>
    </row>
    <row r="17218" customHeight="1" spans="2:2">
      <c r="B17218" s="62" t="str">
        <f>IF(AND('领用录入（明细）'!D:D=$F$4,'领用录入（明细）'!C:C&gt;=$J$4,'领用录入（明细）'!C:C&lt;=$L$4),ROW(),"-")</f>
        <v>-</v>
      </c>
    </row>
    <row r="17219" customHeight="1" spans="2:2">
      <c r="B17219" s="62" t="str">
        <f>IF(AND('领用录入（明细）'!D:D=$F$4,'领用录入（明细）'!C:C&gt;=$J$4,'领用录入（明细）'!C:C&lt;=$L$4),ROW(),"-")</f>
        <v>-</v>
      </c>
    </row>
    <row r="17220" customHeight="1" spans="2:2">
      <c r="B17220" s="62" t="str">
        <f>IF(AND('领用录入（明细）'!D:D=$F$4,'领用录入（明细）'!C:C&gt;=$J$4,'领用录入（明细）'!C:C&lt;=$L$4),ROW(),"-")</f>
        <v>-</v>
      </c>
    </row>
    <row r="17221" customHeight="1" spans="2:2">
      <c r="B17221" s="62" t="str">
        <f>IF(AND('领用录入（明细）'!D:D=$F$4,'领用录入（明细）'!C:C&gt;=$J$4,'领用录入（明细）'!C:C&lt;=$L$4),ROW(),"-")</f>
        <v>-</v>
      </c>
    </row>
    <row r="17222" customHeight="1" spans="2:2">
      <c r="B17222" s="62" t="str">
        <f>IF(AND('领用录入（明细）'!D:D=$F$4,'领用录入（明细）'!C:C&gt;=$J$4,'领用录入（明细）'!C:C&lt;=$L$4),ROW(),"-")</f>
        <v>-</v>
      </c>
    </row>
    <row r="17223" customHeight="1" spans="2:2">
      <c r="B17223" s="62" t="str">
        <f>IF(AND('领用录入（明细）'!D:D=$F$4,'领用录入（明细）'!C:C&gt;=$J$4,'领用录入（明细）'!C:C&lt;=$L$4),ROW(),"-")</f>
        <v>-</v>
      </c>
    </row>
    <row r="17224" customHeight="1" spans="2:2">
      <c r="B17224" s="62" t="str">
        <f>IF(AND('领用录入（明细）'!D:D=$F$4,'领用录入（明细）'!C:C&gt;=$J$4,'领用录入（明细）'!C:C&lt;=$L$4),ROW(),"-")</f>
        <v>-</v>
      </c>
    </row>
    <row r="17225" customHeight="1" spans="2:2">
      <c r="B17225" s="62" t="str">
        <f>IF(AND('领用录入（明细）'!D:D=$F$4,'领用录入（明细）'!C:C&gt;=$J$4,'领用录入（明细）'!C:C&lt;=$L$4),ROW(),"-")</f>
        <v>-</v>
      </c>
    </row>
    <row r="17226" customHeight="1" spans="2:2">
      <c r="B17226" s="62" t="str">
        <f>IF(AND('领用录入（明细）'!D:D=$F$4,'领用录入（明细）'!C:C&gt;=$J$4,'领用录入（明细）'!C:C&lt;=$L$4),ROW(),"-")</f>
        <v>-</v>
      </c>
    </row>
    <row r="17227" customHeight="1" spans="2:2">
      <c r="B17227" s="62" t="str">
        <f>IF(AND('领用录入（明细）'!D:D=$F$4,'领用录入（明细）'!C:C&gt;=$J$4,'领用录入（明细）'!C:C&lt;=$L$4),ROW(),"-")</f>
        <v>-</v>
      </c>
    </row>
    <row r="17228" customHeight="1" spans="2:2">
      <c r="B17228" s="62" t="str">
        <f>IF(AND('领用录入（明细）'!D:D=$F$4,'领用录入（明细）'!C:C&gt;=$J$4,'领用录入（明细）'!C:C&lt;=$L$4),ROW(),"-")</f>
        <v>-</v>
      </c>
    </row>
    <row r="17229" customHeight="1" spans="2:2">
      <c r="B17229" s="62" t="str">
        <f>IF(AND('领用录入（明细）'!D:D=$F$4,'领用录入（明细）'!C:C&gt;=$J$4,'领用录入（明细）'!C:C&lt;=$L$4),ROW(),"-")</f>
        <v>-</v>
      </c>
    </row>
    <row r="17230" customHeight="1" spans="2:2">
      <c r="B17230" s="62" t="str">
        <f>IF(AND('领用录入（明细）'!D:D=$F$4,'领用录入（明细）'!C:C&gt;=$J$4,'领用录入（明细）'!C:C&lt;=$L$4),ROW(),"-")</f>
        <v>-</v>
      </c>
    </row>
    <row r="17231" customHeight="1" spans="2:2">
      <c r="B17231" s="62" t="str">
        <f>IF(AND('领用录入（明细）'!D:D=$F$4,'领用录入（明细）'!C:C&gt;=$J$4,'领用录入（明细）'!C:C&lt;=$L$4),ROW(),"-")</f>
        <v>-</v>
      </c>
    </row>
    <row r="17232" customHeight="1" spans="2:2">
      <c r="B17232" s="62" t="str">
        <f>IF(AND('领用录入（明细）'!D:D=$F$4,'领用录入（明细）'!C:C&gt;=$J$4,'领用录入（明细）'!C:C&lt;=$L$4),ROW(),"-")</f>
        <v>-</v>
      </c>
    </row>
    <row r="17233" customHeight="1" spans="2:2">
      <c r="B17233" s="62" t="str">
        <f>IF(AND('领用录入（明细）'!D:D=$F$4,'领用录入（明细）'!C:C&gt;=$J$4,'领用录入（明细）'!C:C&lt;=$L$4),ROW(),"-")</f>
        <v>-</v>
      </c>
    </row>
    <row r="17234" customHeight="1" spans="2:2">
      <c r="B17234" s="62" t="str">
        <f>IF(AND('领用录入（明细）'!D:D=$F$4,'领用录入（明细）'!C:C&gt;=$J$4,'领用录入（明细）'!C:C&lt;=$L$4),ROW(),"-")</f>
        <v>-</v>
      </c>
    </row>
    <row r="17235" customHeight="1" spans="2:2">
      <c r="B17235" s="62" t="str">
        <f>IF(AND('领用录入（明细）'!D:D=$F$4,'领用录入（明细）'!C:C&gt;=$J$4,'领用录入（明细）'!C:C&lt;=$L$4),ROW(),"-")</f>
        <v>-</v>
      </c>
    </row>
    <row r="17236" customHeight="1" spans="2:2">
      <c r="B17236" s="62" t="str">
        <f>IF(AND('领用录入（明细）'!D:D=$F$4,'领用录入（明细）'!C:C&gt;=$J$4,'领用录入（明细）'!C:C&lt;=$L$4),ROW(),"-")</f>
        <v>-</v>
      </c>
    </row>
    <row r="17237" customHeight="1" spans="2:2">
      <c r="B17237" s="62" t="str">
        <f>IF(AND('领用录入（明细）'!D:D=$F$4,'领用录入（明细）'!C:C&gt;=$J$4,'领用录入（明细）'!C:C&lt;=$L$4),ROW(),"-")</f>
        <v>-</v>
      </c>
    </row>
    <row r="17238" customHeight="1" spans="2:2">
      <c r="B17238" s="62" t="str">
        <f>IF(AND('领用录入（明细）'!D:D=$F$4,'领用录入（明细）'!C:C&gt;=$J$4,'领用录入（明细）'!C:C&lt;=$L$4),ROW(),"-")</f>
        <v>-</v>
      </c>
    </row>
    <row r="17239" customHeight="1" spans="2:2">
      <c r="B17239" s="62" t="str">
        <f>IF(AND('领用录入（明细）'!D:D=$F$4,'领用录入（明细）'!C:C&gt;=$J$4,'领用录入（明细）'!C:C&lt;=$L$4),ROW(),"-")</f>
        <v>-</v>
      </c>
    </row>
    <row r="17240" customHeight="1" spans="2:2">
      <c r="B17240" s="62" t="str">
        <f>IF(AND('领用录入（明细）'!D:D=$F$4,'领用录入（明细）'!C:C&gt;=$J$4,'领用录入（明细）'!C:C&lt;=$L$4),ROW(),"-")</f>
        <v>-</v>
      </c>
    </row>
    <row r="17241" customHeight="1" spans="2:2">
      <c r="B17241" s="62" t="str">
        <f>IF(AND('领用录入（明细）'!D:D=$F$4,'领用录入（明细）'!C:C&gt;=$J$4,'领用录入（明细）'!C:C&lt;=$L$4),ROW(),"-")</f>
        <v>-</v>
      </c>
    </row>
    <row r="17242" customHeight="1" spans="2:2">
      <c r="B17242" s="62" t="str">
        <f>IF(AND('领用录入（明细）'!D:D=$F$4,'领用录入（明细）'!C:C&gt;=$J$4,'领用录入（明细）'!C:C&lt;=$L$4),ROW(),"-")</f>
        <v>-</v>
      </c>
    </row>
    <row r="17243" customHeight="1" spans="2:2">
      <c r="B17243" s="62" t="str">
        <f>IF(AND('领用录入（明细）'!D:D=$F$4,'领用录入（明细）'!C:C&gt;=$J$4,'领用录入（明细）'!C:C&lt;=$L$4),ROW(),"-")</f>
        <v>-</v>
      </c>
    </row>
    <row r="17244" customHeight="1" spans="2:2">
      <c r="B17244" s="62" t="str">
        <f>IF(AND('领用录入（明细）'!D:D=$F$4,'领用录入（明细）'!C:C&gt;=$J$4,'领用录入（明细）'!C:C&lt;=$L$4),ROW(),"-")</f>
        <v>-</v>
      </c>
    </row>
    <row r="17245" customHeight="1" spans="2:2">
      <c r="B17245" s="62" t="str">
        <f>IF(AND('领用录入（明细）'!D:D=$F$4,'领用录入（明细）'!C:C&gt;=$J$4,'领用录入（明细）'!C:C&lt;=$L$4),ROW(),"-")</f>
        <v>-</v>
      </c>
    </row>
    <row r="17246" customHeight="1" spans="2:2">
      <c r="B17246" s="62" t="str">
        <f>IF(AND('领用录入（明细）'!D:D=$F$4,'领用录入（明细）'!C:C&gt;=$J$4,'领用录入（明细）'!C:C&lt;=$L$4),ROW(),"-")</f>
        <v>-</v>
      </c>
    </row>
    <row r="17247" customHeight="1" spans="2:2">
      <c r="B17247" s="62" t="str">
        <f>IF(AND('领用录入（明细）'!D:D=$F$4,'领用录入（明细）'!C:C&gt;=$J$4,'领用录入（明细）'!C:C&lt;=$L$4),ROW(),"-")</f>
        <v>-</v>
      </c>
    </row>
    <row r="17248" customHeight="1" spans="2:2">
      <c r="B17248" s="62" t="str">
        <f>IF(AND('领用录入（明细）'!D:D=$F$4,'领用录入（明细）'!C:C&gt;=$J$4,'领用录入（明细）'!C:C&lt;=$L$4),ROW(),"-")</f>
        <v>-</v>
      </c>
    </row>
    <row r="17249" customHeight="1" spans="2:2">
      <c r="B17249" s="62" t="str">
        <f>IF(AND('领用录入（明细）'!D:D=$F$4,'领用录入（明细）'!C:C&gt;=$J$4,'领用录入（明细）'!C:C&lt;=$L$4),ROW(),"-")</f>
        <v>-</v>
      </c>
    </row>
    <row r="17250" customHeight="1" spans="2:2">
      <c r="B17250" s="62" t="str">
        <f>IF(AND('领用录入（明细）'!D:D=$F$4,'领用录入（明细）'!C:C&gt;=$J$4,'领用录入（明细）'!C:C&lt;=$L$4),ROW(),"-")</f>
        <v>-</v>
      </c>
    </row>
    <row r="17251" customHeight="1" spans="2:2">
      <c r="B17251" s="62" t="str">
        <f>IF(AND('领用录入（明细）'!D:D=$F$4,'领用录入（明细）'!C:C&gt;=$J$4,'领用录入（明细）'!C:C&lt;=$L$4),ROW(),"-")</f>
        <v>-</v>
      </c>
    </row>
    <row r="17252" customHeight="1" spans="2:2">
      <c r="B17252" s="62" t="str">
        <f>IF(AND('领用录入（明细）'!D:D=$F$4,'领用录入（明细）'!C:C&gt;=$J$4,'领用录入（明细）'!C:C&lt;=$L$4),ROW(),"-")</f>
        <v>-</v>
      </c>
    </row>
    <row r="17253" customHeight="1" spans="2:2">
      <c r="B17253" s="62" t="str">
        <f>IF(AND('领用录入（明细）'!D:D=$F$4,'领用录入（明细）'!C:C&gt;=$J$4,'领用录入（明细）'!C:C&lt;=$L$4),ROW(),"-")</f>
        <v>-</v>
      </c>
    </row>
    <row r="17254" customHeight="1" spans="2:2">
      <c r="B17254" s="62" t="str">
        <f>IF(AND('领用录入（明细）'!D:D=$F$4,'领用录入（明细）'!C:C&gt;=$J$4,'领用录入（明细）'!C:C&lt;=$L$4),ROW(),"-")</f>
        <v>-</v>
      </c>
    </row>
    <row r="17255" customHeight="1" spans="2:2">
      <c r="B17255" s="62" t="str">
        <f>IF(AND('领用录入（明细）'!D:D=$F$4,'领用录入（明细）'!C:C&gt;=$J$4,'领用录入（明细）'!C:C&lt;=$L$4),ROW(),"-")</f>
        <v>-</v>
      </c>
    </row>
    <row r="17256" customHeight="1" spans="2:2">
      <c r="B17256" s="62" t="str">
        <f>IF(AND('领用录入（明细）'!D:D=$F$4,'领用录入（明细）'!C:C&gt;=$J$4,'领用录入（明细）'!C:C&lt;=$L$4),ROW(),"-")</f>
        <v>-</v>
      </c>
    </row>
    <row r="17257" customHeight="1" spans="2:2">
      <c r="B17257" s="62" t="str">
        <f>IF(AND('领用录入（明细）'!D:D=$F$4,'领用录入（明细）'!C:C&gt;=$J$4,'领用录入（明细）'!C:C&lt;=$L$4),ROW(),"-")</f>
        <v>-</v>
      </c>
    </row>
    <row r="17258" customHeight="1" spans="2:2">
      <c r="B17258" s="62" t="str">
        <f>IF(AND('领用录入（明细）'!D:D=$F$4,'领用录入（明细）'!C:C&gt;=$J$4,'领用录入（明细）'!C:C&lt;=$L$4),ROW(),"-")</f>
        <v>-</v>
      </c>
    </row>
    <row r="17259" customHeight="1" spans="2:2">
      <c r="B17259" s="62" t="str">
        <f>IF(AND('领用录入（明细）'!D:D=$F$4,'领用录入（明细）'!C:C&gt;=$J$4,'领用录入（明细）'!C:C&lt;=$L$4),ROW(),"-")</f>
        <v>-</v>
      </c>
    </row>
    <row r="17260" customHeight="1" spans="2:2">
      <c r="B17260" s="62" t="str">
        <f>IF(AND('领用录入（明细）'!D:D=$F$4,'领用录入（明细）'!C:C&gt;=$J$4,'领用录入（明细）'!C:C&lt;=$L$4),ROW(),"-")</f>
        <v>-</v>
      </c>
    </row>
    <row r="17261" customHeight="1" spans="2:2">
      <c r="B17261" s="62" t="str">
        <f>IF(AND('领用录入（明细）'!D:D=$F$4,'领用录入（明细）'!C:C&gt;=$J$4,'领用录入（明细）'!C:C&lt;=$L$4),ROW(),"-")</f>
        <v>-</v>
      </c>
    </row>
    <row r="17262" customHeight="1" spans="2:2">
      <c r="B17262" s="62" t="str">
        <f>IF(AND('领用录入（明细）'!D:D=$F$4,'领用录入（明细）'!C:C&gt;=$J$4,'领用录入（明细）'!C:C&lt;=$L$4),ROW(),"-")</f>
        <v>-</v>
      </c>
    </row>
    <row r="17263" customHeight="1" spans="2:2">
      <c r="B17263" s="62" t="str">
        <f>IF(AND('领用录入（明细）'!D:D=$F$4,'领用录入（明细）'!C:C&gt;=$J$4,'领用录入（明细）'!C:C&lt;=$L$4),ROW(),"-")</f>
        <v>-</v>
      </c>
    </row>
    <row r="17264" customHeight="1" spans="2:2">
      <c r="B17264" s="62" t="str">
        <f>IF(AND('领用录入（明细）'!D:D=$F$4,'领用录入（明细）'!C:C&gt;=$J$4,'领用录入（明细）'!C:C&lt;=$L$4),ROW(),"-")</f>
        <v>-</v>
      </c>
    </row>
    <row r="17265" customHeight="1" spans="2:2">
      <c r="B17265" s="62" t="str">
        <f>IF(AND('领用录入（明细）'!D:D=$F$4,'领用录入（明细）'!C:C&gt;=$J$4,'领用录入（明细）'!C:C&lt;=$L$4),ROW(),"-")</f>
        <v>-</v>
      </c>
    </row>
    <row r="17266" customHeight="1" spans="2:2">
      <c r="B17266" s="62" t="str">
        <f>IF(AND('领用录入（明细）'!D:D=$F$4,'领用录入（明细）'!C:C&gt;=$J$4,'领用录入（明细）'!C:C&lt;=$L$4),ROW(),"-")</f>
        <v>-</v>
      </c>
    </row>
    <row r="17267" customHeight="1" spans="2:2">
      <c r="B17267" s="62" t="str">
        <f>IF(AND('领用录入（明细）'!D:D=$F$4,'领用录入（明细）'!C:C&gt;=$J$4,'领用录入（明细）'!C:C&lt;=$L$4),ROW(),"-")</f>
        <v>-</v>
      </c>
    </row>
    <row r="17268" customHeight="1" spans="2:2">
      <c r="B17268" s="62" t="str">
        <f>IF(AND('领用录入（明细）'!D:D=$F$4,'领用录入（明细）'!C:C&gt;=$J$4,'领用录入（明细）'!C:C&lt;=$L$4),ROW(),"-")</f>
        <v>-</v>
      </c>
    </row>
    <row r="17269" customHeight="1" spans="2:2">
      <c r="B17269" s="62" t="str">
        <f>IF(AND('领用录入（明细）'!D:D=$F$4,'领用录入（明细）'!C:C&gt;=$J$4,'领用录入（明细）'!C:C&lt;=$L$4),ROW(),"-")</f>
        <v>-</v>
      </c>
    </row>
    <row r="17270" customHeight="1" spans="2:2">
      <c r="B17270" s="62" t="str">
        <f>IF(AND('领用录入（明细）'!D:D=$F$4,'领用录入（明细）'!C:C&gt;=$J$4,'领用录入（明细）'!C:C&lt;=$L$4),ROW(),"-")</f>
        <v>-</v>
      </c>
    </row>
    <row r="17271" customHeight="1" spans="2:2">
      <c r="B17271" s="62" t="str">
        <f>IF(AND('领用录入（明细）'!D:D=$F$4,'领用录入（明细）'!C:C&gt;=$J$4,'领用录入（明细）'!C:C&lt;=$L$4),ROW(),"-")</f>
        <v>-</v>
      </c>
    </row>
    <row r="17272" customHeight="1" spans="2:2">
      <c r="B17272" s="62" t="str">
        <f>IF(AND('领用录入（明细）'!D:D=$F$4,'领用录入（明细）'!C:C&gt;=$J$4,'领用录入（明细）'!C:C&lt;=$L$4),ROW(),"-")</f>
        <v>-</v>
      </c>
    </row>
    <row r="17273" customHeight="1" spans="2:2">
      <c r="B17273" s="62" t="str">
        <f>IF(AND('领用录入（明细）'!D:D=$F$4,'领用录入（明细）'!C:C&gt;=$J$4,'领用录入（明细）'!C:C&lt;=$L$4),ROW(),"-")</f>
        <v>-</v>
      </c>
    </row>
    <row r="17274" customHeight="1" spans="2:2">
      <c r="B17274" s="62" t="str">
        <f>IF(AND('领用录入（明细）'!D:D=$F$4,'领用录入（明细）'!C:C&gt;=$J$4,'领用录入（明细）'!C:C&lt;=$L$4),ROW(),"-")</f>
        <v>-</v>
      </c>
    </row>
    <row r="17275" customHeight="1" spans="2:2">
      <c r="B17275" s="62" t="str">
        <f>IF(AND('领用录入（明细）'!D:D=$F$4,'领用录入（明细）'!C:C&gt;=$J$4,'领用录入（明细）'!C:C&lt;=$L$4),ROW(),"-")</f>
        <v>-</v>
      </c>
    </row>
    <row r="17276" customHeight="1" spans="2:2">
      <c r="B17276" s="62" t="str">
        <f>IF(AND('领用录入（明细）'!D:D=$F$4,'领用录入（明细）'!C:C&gt;=$J$4,'领用录入（明细）'!C:C&lt;=$L$4),ROW(),"-")</f>
        <v>-</v>
      </c>
    </row>
    <row r="17277" customHeight="1" spans="2:2">
      <c r="B17277" s="62" t="str">
        <f>IF(AND('领用录入（明细）'!D:D=$F$4,'领用录入（明细）'!C:C&gt;=$J$4,'领用录入（明细）'!C:C&lt;=$L$4),ROW(),"-")</f>
        <v>-</v>
      </c>
    </row>
    <row r="17278" customHeight="1" spans="2:2">
      <c r="B17278" s="62" t="str">
        <f>IF(AND('领用录入（明细）'!D:D=$F$4,'领用录入（明细）'!C:C&gt;=$J$4,'领用录入（明细）'!C:C&lt;=$L$4),ROW(),"-")</f>
        <v>-</v>
      </c>
    </row>
    <row r="17279" customHeight="1" spans="2:2">
      <c r="B17279" s="62" t="str">
        <f>IF(AND('领用录入（明细）'!D:D=$F$4,'领用录入（明细）'!C:C&gt;=$J$4,'领用录入（明细）'!C:C&lt;=$L$4),ROW(),"-")</f>
        <v>-</v>
      </c>
    </row>
    <row r="17280" customHeight="1" spans="2:2">
      <c r="B17280" s="62" t="str">
        <f>IF(AND('领用录入（明细）'!D:D=$F$4,'领用录入（明细）'!C:C&gt;=$J$4,'领用录入（明细）'!C:C&lt;=$L$4),ROW(),"-")</f>
        <v>-</v>
      </c>
    </row>
    <row r="17281" customHeight="1" spans="2:2">
      <c r="B17281" s="62" t="str">
        <f>IF(AND('领用录入（明细）'!D:D=$F$4,'领用录入（明细）'!C:C&gt;=$J$4,'领用录入（明细）'!C:C&lt;=$L$4),ROW(),"-")</f>
        <v>-</v>
      </c>
    </row>
    <row r="17282" customHeight="1" spans="2:2">
      <c r="B17282" s="62" t="str">
        <f>IF(AND('领用录入（明细）'!D:D=$F$4,'领用录入（明细）'!C:C&gt;=$J$4,'领用录入（明细）'!C:C&lt;=$L$4),ROW(),"-")</f>
        <v>-</v>
      </c>
    </row>
    <row r="17283" customHeight="1" spans="2:2">
      <c r="B17283" s="62" t="str">
        <f>IF(AND('领用录入（明细）'!D:D=$F$4,'领用录入（明细）'!C:C&gt;=$J$4,'领用录入（明细）'!C:C&lt;=$L$4),ROW(),"-")</f>
        <v>-</v>
      </c>
    </row>
    <row r="17284" customHeight="1" spans="2:2">
      <c r="B17284" s="62" t="str">
        <f>IF(AND('领用录入（明细）'!D:D=$F$4,'领用录入（明细）'!C:C&gt;=$J$4,'领用录入（明细）'!C:C&lt;=$L$4),ROW(),"-")</f>
        <v>-</v>
      </c>
    </row>
    <row r="17285" customHeight="1" spans="2:2">
      <c r="B17285" s="62" t="str">
        <f>IF(AND('领用录入（明细）'!D:D=$F$4,'领用录入（明细）'!C:C&gt;=$J$4,'领用录入（明细）'!C:C&lt;=$L$4),ROW(),"-")</f>
        <v>-</v>
      </c>
    </row>
    <row r="17286" customHeight="1" spans="2:2">
      <c r="B17286" s="62" t="str">
        <f>IF(AND('领用录入（明细）'!D:D=$F$4,'领用录入（明细）'!C:C&gt;=$J$4,'领用录入（明细）'!C:C&lt;=$L$4),ROW(),"-")</f>
        <v>-</v>
      </c>
    </row>
    <row r="17287" customHeight="1" spans="2:2">
      <c r="B17287" s="62" t="str">
        <f>IF(AND('领用录入（明细）'!D:D=$F$4,'领用录入（明细）'!C:C&gt;=$J$4,'领用录入（明细）'!C:C&lt;=$L$4),ROW(),"-")</f>
        <v>-</v>
      </c>
    </row>
    <row r="17288" customHeight="1" spans="2:2">
      <c r="B17288" s="62" t="str">
        <f>IF(AND('领用录入（明细）'!D:D=$F$4,'领用录入（明细）'!C:C&gt;=$J$4,'领用录入（明细）'!C:C&lt;=$L$4),ROW(),"-")</f>
        <v>-</v>
      </c>
    </row>
    <row r="17289" customHeight="1" spans="2:2">
      <c r="B17289" s="62" t="str">
        <f>IF(AND('领用录入（明细）'!D:D=$F$4,'领用录入（明细）'!C:C&gt;=$J$4,'领用录入（明细）'!C:C&lt;=$L$4),ROW(),"-")</f>
        <v>-</v>
      </c>
    </row>
    <row r="17290" customHeight="1" spans="2:2">
      <c r="B17290" s="62" t="str">
        <f>IF(AND('领用录入（明细）'!D:D=$F$4,'领用录入（明细）'!C:C&gt;=$J$4,'领用录入（明细）'!C:C&lt;=$L$4),ROW(),"-")</f>
        <v>-</v>
      </c>
    </row>
    <row r="17291" customHeight="1" spans="2:2">
      <c r="B17291" s="62" t="str">
        <f>IF(AND('领用录入（明细）'!D:D=$F$4,'领用录入（明细）'!C:C&gt;=$J$4,'领用录入（明细）'!C:C&lt;=$L$4),ROW(),"-")</f>
        <v>-</v>
      </c>
    </row>
    <row r="17292" customHeight="1" spans="2:2">
      <c r="B17292" s="62" t="str">
        <f>IF(AND('领用录入（明细）'!D:D=$F$4,'领用录入（明细）'!C:C&gt;=$J$4,'领用录入（明细）'!C:C&lt;=$L$4),ROW(),"-")</f>
        <v>-</v>
      </c>
    </row>
    <row r="17293" customHeight="1" spans="2:2">
      <c r="B17293" s="62" t="str">
        <f>IF(AND('领用录入（明细）'!D:D=$F$4,'领用录入（明细）'!C:C&gt;=$J$4,'领用录入（明细）'!C:C&lt;=$L$4),ROW(),"-")</f>
        <v>-</v>
      </c>
    </row>
    <row r="17294" customHeight="1" spans="2:2">
      <c r="B17294" s="62" t="str">
        <f>IF(AND('领用录入（明细）'!D:D=$F$4,'领用录入（明细）'!C:C&gt;=$J$4,'领用录入（明细）'!C:C&lt;=$L$4),ROW(),"-")</f>
        <v>-</v>
      </c>
    </row>
    <row r="17295" customHeight="1" spans="2:2">
      <c r="B17295" s="62" t="str">
        <f>IF(AND('领用录入（明细）'!D:D=$F$4,'领用录入（明细）'!C:C&gt;=$J$4,'领用录入（明细）'!C:C&lt;=$L$4),ROW(),"-")</f>
        <v>-</v>
      </c>
    </row>
    <row r="17296" customHeight="1" spans="2:2">
      <c r="B17296" s="62" t="str">
        <f>IF(AND('领用录入（明细）'!D:D=$F$4,'领用录入（明细）'!C:C&gt;=$J$4,'领用录入（明细）'!C:C&lt;=$L$4),ROW(),"-")</f>
        <v>-</v>
      </c>
    </row>
    <row r="17297" customHeight="1" spans="2:2">
      <c r="B17297" s="62" t="str">
        <f>IF(AND('领用录入（明细）'!D:D=$F$4,'领用录入（明细）'!C:C&gt;=$J$4,'领用录入（明细）'!C:C&lt;=$L$4),ROW(),"-")</f>
        <v>-</v>
      </c>
    </row>
    <row r="17298" customHeight="1" spans="2:2">
      <c r="B17298" s="62" t="str">
        <f>IF(AND('领用录入（明细）'!D:D=$F$4,'领用录入（明细）'!C:C&gt;=$J$4,'领用录入（明细）'!C:C&lt;=$L$4),ROW(),"-")</f>
        <v>-</v>
      </c>
    </row>
    <row r="17299" customHeight="1" spans="2:2">
      <c r="B17299" s="62" t="str">
        <f>IF(AND('领用录入（明细）'!D:D=$F$4,'领用录入（明细）'!C:C&gt;=$J$4,'领用录入（明细）'!C:C&lt;=$L$4),ROW(),"-")</f>
        <v>-</v>
      </c>
    </row>
    <row r="17300" customHeight="1" spans="2:2">
      <c r="B17300" s="62" t="str">
        <f>IF(AND('领用录入（明细）'!D:D=$F$4,'领用录入（明细）'!C:C&gt;=$J$4,'领用录入（明细）'!C:C&lt;=$L$4),ROW(),"-")</f>
        <v>-</v>
      </c>
    </row>
    <row r="17301" customHeight="1" spans="2:2">
      <c r="B17301" s="62" t="str">
        <f>IF(AND('领用录入（明细）'!D:D=$F$4,'领用录入（明细）'!C:C&gt;=$J$4,'领用录入（明细）'!C:C&lt;=$L$4),ROW(),"-")</f>
        <v>-</v>
      </c>
    </row>
    <row r="17302" customHeight="1" spans="2:2">
      <c r="B17302" s="62" t="str">
        <f>IF(AND('领用录入（明细）'!D:D=$F$4,'领用录入（明细）'!C:C&gt;=$J$4,'领用录入（明细）'!C:C&lt;=$L$4),ROW(),"-")</f>
        <v>-</v>
      </c>
    </row>
    <row r="17303" customHeight="1" spans="2:2">
      <c r="B17303" s="62" t="str">
        <f>IF(AND('领用录入（明细）'!D:D=$F$4,'领用录入（明细）'!C:C&gt;=$J$4,'领用录入（明细）'!C:C&lt;=$L$4),ROW(),"-")</f>
        <v>-</v>
      </c>
    </row>
    <row r="17304" customHeight="1" spans="2:2">
      <c r="B17304" s="62" t="str">
        <f>IF(AND('领用录入（明细）'!D:D=$F$4,'领用录入（明细）'!C:C&gt;=$J$4,'领用录入（明细）'!C:C&lt;=$L$4),ROW(),"-")</f>
        <v>-</v>
      </c>
    </row>
    <row r="17305" customHeight="1" spans="2:2">
      <c r="B17305" s="62" t="str">
        <f>IF(AND('领用录入（明细）'!D:D=$F$4,'领用录入（明细）'!C:C&gt;=$J$4,'领用录入（明细）'!C:C&lt;=$L$4),ROW(),"-")</f>
        <v>-</v>
      </c>
    </row>
    <row r="17306" customHeight="1" spans="2:2">
      <c r="B17306" s="62" t="str">
        <f>IF(AND('领用录入（明细）'!D:D=$F$4,'领用录入（明细）'!C:C&gt;=$J$4,'领用录入（明细）'!C:C&lt;=$L$4),ROW(),"-")</f>
        <v>-</v>
      </c>
    </row>
    <row r="17307" customHeight="1" spans="2:2">
      <c r="B17307" s="62" t="str">
        <f>IF(AND('领用录入（明细）'!D:D=$F$4,'领用录入（明细）'!C:C&gt;=$J$4,'领用录入（明细）'!C:C&lt;=$L$4),ROW(),"-")</f>
        <v>-</v>
      </c>
    </row>
    <row r="17308" customHeight="1" spans="2:2">
      <c r="B17308" s="62" t="str">
        <f>IF(AND('领用录入（明细）'!D:D=$F$4,'领用录入（明细）'!C:C&gt;=$J$4,'领用录入（明细）'!C:C&lt;=$L$4),ROW(),"-")</f>
        <v>-</v>
      </c>
    </row>
    <row r="17309" customHeight="1" spans="2:2">
      <c r="B17309" s="62" t="str">
        <f>IF(AND('领用录入（明细）'!D:D=$F$4,'领用录入（明细）'!C:C&gt;=$J$4,'领用录入（明细）'!C:C&lt;=$L$4),ROW(),"-")</f>
        <v>-</v>
      </c>
    </row>
    <row r="17310" customHeight="1" spans="2:2">
      <c r="B17310" s="62" t="str">
        <f>IF(AND('领用录入（明细）'!D:D=$F$4,'领用录入（明细）'!C:C&gt;=$J$4,'领用录入（明细）'!C:C&lt;=$L$4),ROW(),"-")</f>
        <v>-</v>
      </c>
    </row>
    <row r="17311" customHeight="1" spans="2:2">
      <c r="B17311" s="62" t="str">
        <f>IF(AND('领用录入（明细）'!D:D=$F$4,'领用录入（明细）'!C:C&gt;=$J$4,'领用录入（明细）'!C:C&lt;=$L$4),ROW(),"-")</f>
        <v>-</v>
      </c>
    </row>
    <row r="17312" customHeight="1" spans="2:2">
      <c r="B17312" s="62" t="str">
        <f>IF(AND('领用录入（明细）'!D:D=$F$4,'领用录入（明细）'!C:C&gt;=$J$4,'领用录入（明细）'!C:C&lt;=$L$4),ROW(),"-")</f>
        <v>-</v>
      </c>
    </row>
    <row r="17313" customHeight="1" spans="2:2">
      <c r="B17313" s="62" t="str">
        <f>IF(AND('领用录入（明细）'!D:D=$F$4,'领用录入（明细）'!C:C&gt;=$J$4,'领用录入（明细）'!C:C&lt;=$L$4),ROW(),"-")</f>
        <v>-</v>
      </c>
    </row>
    <row r="17314" customHeight="1" spans="2:2">
      <c r="B17314" s="62" t="str">
        <f>IF(AND('领用录入（明细）'!D:D=$F$4,'领用录入（明细）'!C:C&gt;=$J$4,'领用录入（明细）'!C:C&lt;=$L$4),ROW(),"-")</f>
        <v>-</v>
      </c>
    </row>
    <row r="17315" customHeight="1" spans="2:2">
      <c r="B17315" s="62" t="str">
        <f>IF(AND('领用录入（明细）'!D:D=$F$4,'领用录入（明细）'!C:C&gt;=$J$4,'领用录入（明细）'!C:C&lt;=$L$4),ROW(),"-")</f>
        <v>-</v>
      </c>
    </row>
    <row r="17316" customHeight="1" spans="2:2">
      <c r="B17316" s="62" t="str">
        <f>IF(AND('领用录入（明细）'!D:D=$F$4,'领用录入（明细）'!C:C&gt;=$J$4,'领用录入（明细）'!C:C&lt;=$L$4),ROW(),"-")</f>
        <v>-</v>
      </c>
    </row>
    <row r="17317" customHeight="1" spans="2:2">
      <c r="B17317" s="62" t="str">
        <f>IF(AND('领用录入（明细）'!D:D=$F$4,'领用录入（明细）'!C:C&gt;=$J$4,'领用录入（明细）'!C:C&lt;=$L$4),ROW(),"-")</f>
        <v>-</v>
      </c>
    </row>
    <row r="17318" customHeight="1" spans="2:2">
      <c r="B17318" s="62" t="str">
        <f>IF(AND('领用录入（明细）'!D:D=$F$4,'领用录入（明细）'!C:C&gt;=$J$4,'领用录入（明细）'!C:C&lt;=$L$4),ROW(),"-")</f>
        <v>-</v>
      </c>
    </row>
    <row r="17319" customHeight="1" spans="2:2">
      <c r="B17319" s="62" t="str">
        <f>IF(AND('领用录入（明细）'!D:D=$F$4,'领用录入（明细）'!C:C&gt;=$J$4,'领用录入（明细）'!C:C&lt;=$L$4),ROW(),"-")</f>
        <v>-</v>
      </c>
    </row>
    <row r="17320" customHeight="1" spans="2:2">
      <c r="B17320" s="62" t="str">
        <f>IF(AND('领用录入（明细）'!D:D=$F$4,'领用录入（明细）'!C:C&gt;=$J$4,'领用录入（明细）'!C:C&lt;=$L$4),ROW(),"-")</f>
        <v>-</v>
      </c>
    </row>
    <row r="17321" customHeight="1" spans="2:2">
      <c r="B17321" s="62" t="str">
        <f>IF(AND('领用录入（明细）'!D:D=$F$4,'领用录入（明细）'!C:C&gt;=$J$4,'领用录入（明细）'!C:C&lt;=$L$4),ROW(),"-")</f>
        <v>-</v>
      </c>
    </row>
    <row r="17322" customHeight="1" spans="2:2">
      <c r="B17322" s="62" t="str">
        <f>IF(AND('领用录入（明细）'!D:D=$F$4,'领用录入（明细）'!C:C&gt;=$J$4,'领用录入（明细）'!C:C&lt;=$L$4),ROW(),"-")</f>
        <v>-</v>
      </c>
    </row>
    <row r="17323" customHeight="1" spans="2:2">
      <c r="B17323" s="62" t="str">
        <f>IF(AND('领用录入（明细）'!D:D=$F$4,'领用录入（明细）'!C:C&gt;=$J$4,'领用录入（明细）'!C:C&lt;=$L$4),ROW(),"-")</f>
        <v>-</v>
      </c>
    </row>
    <row r="17324" customHeight="1" spans="2:2">
      <c r="B17324" s="62" t="str">
        <f>IF(AND('领用录入（明细）'!D:D=$F$4,'领用录入（明细）'!C:C&gt;=$J$4,'领用录入（明细）'!C:C&lt;=$L$4),ROW(),"-")</f>
        <v>-</v>
      </c>
    </row>
    <row r="17325" customHeight="1" spans="2:2">
      <c r="B17325" s="62" t="str">
        <f>IF(AND('领用录入（明细）'!D:D=$F$4,'领用录入（明细）'!C:C&gt;=$J$4,'领用录入（明细）'!C:C&lt;=$L$4),ROW(),"-")</f>
        <v>-</v>
      </c>
    </row>
    <row r="17326" customHeight="1" spans="2:2">
      <c r="B17326" s="62" t="str">
        <f>IF(AND('领用录入（明细）'!D:D=$F$4,'领用录入（明细）'!C:C&gt;=$J$4,'领用录入（明细）'!C:C&lt;=$L$4),ROW(),"-")</f>
        <v>-</v>
      </c>
    </row>
    <row r="17327" customHeight="1" spans="2:2">
      <c r="B17327" s="62" t="str">
        <f>IF(AND('领用录入（明细）'!D:D=$F$4,'领用录入（明细）'!C:C&gt;=$J$4,'领用录入（明细）'!C:C&lt;=$L$4),ROW(),"-")</f>
        <v>-</v>
      </c>
    </row>
    <row r="17328" customHeight="1" spans="2:2">
      <c r="B17328" s="62" t="str">
        <f>IF(AND('领用录入（明细）'!D:D=$F$4,'领用录入（明细）'!C:C&gt;=$J$4,'领用录入（明细）'!C:C&lt;=$L$4),ROW(),"-")</f>
        <v>-</v>
      </c>
    </row>
    <row r="17329" customHeight="1" spans="2:2">
      <c r="B17329" s="62" t="str">
        <f>IF(AND('领用录入（明细）'!D:D=$F$4,'领用录入（明细）'!C:C&gt;=$J$4,'领用录入（明细）'!C:C&lt;=$L$4),ROW(),"-")</f>
        <v>-</v>
      </c>
    </row>
    <row r="17330" customHeight="1" spans="2:2">
      <c r="B17330" s="62" t="str">
        <f>IF(AND('领用录入（明细）'!D:D=$F$4,'领用录入（明细）'!C:C&gt;=$J$4,'领用录入（明细）'!C:C&lt;=$L$4),ROW(),"-")</f>
        <v>-</v>
      </c>
    </row>
    <row r="17331" customHeight="1" spans="2:2">
      <c r="B17331" s="62" t="str">
        <f>IF(AND('领用录入（明细）'!D:D=$F$4,'领用录入（明细）'!C:C&gt;=$J$4,'领用录入（明细）'!C:C&lt;=$L$4),ROW(),"-")</f>
        <v>-</v>
      </c>
    </row>
    <row r="17332" customHeight="1" spans="2:2">
      <c r="B17332" s="62" t="str">
        <f>IF(AND('领用录入（明细）'!D:D=$F$4,'领用录入（明细）'!C:C&gt;=$J$4,'领用录入（明细）'!C:C&lt;=$L$4),ROW(),"-")</f>
        <v>-</v>
      </c>
    </row>
    <row r="17333" customHeight="1" spans="2:2">
      <c r="B17333" s="62" t="str">
        <f>IF(AND('领用录入（明细）'!D:D=$F$4,'领用录入（明细）'!C:C&gt;=$J$4,'领用录入（明细）'!C:C&lt;=$L$4),ROW(),"-")</f>
        <v>-</v>
      </c>
    </row>
    <row r="17334" customHeight="1" spans="2:2">
      <c r="B17334" s="62" t="str">
        <f>IF(AND('领用录入（明细）'!D:D=$F$4,'领用录入（明细）'!C:C&gt;=$J$4,'领用录入（明细）'!C:C&lt;=$L$4),ROW(),"-")</f>
        <v>-</v>
      </c>
    </row>
    <row r="17335" customHeight="1" spans="2:2">
      <c r="B17335" s="62" t="str">
        <f>IF(AND('领用录入（明细）'!D:D=$F$4,'领用录入（明细）'!C:C&gt;=$J$4,'领用录入（明细）'!C:C&lt;=$L$4),ROW(),"-")</f>
        <v>-</v>
      </c>
    </row>
    <row r="17336" customHeight="1" spans="2:2">
      <c r="B17336" s="62" t="str">
        <f>IF(AND('领用录入（明细）'!D:D=$F$4,'领用录入（明细）'!C:C&gt;=$J$4,'领用录入（明细）'!C:C&lt;=$L$4),ROW(),"-")</f>
        <v>-</v>
      </c>
    </row>
    <row r="17337" customHeight="1" spans="2:2">
      <c r="B17337" s="62" t="str">
        <f>IF(AND('领用录入（明细）'!D:D=$F$4,'领用录入（明细）'!C:C&gt;=$J$4,'领用录入（明细）'!C:C&lt;=$L$4),ROW(),"-")</f>
        <v>-</v>
      </c>
    </row>
    <row r="17338" customHeight="1" spans="2:2">
      <c r="B17338" s="62" t="str">
        <f>IF(AND('领用录入（明细）'!D:D=$F$4,'领用录入（明细）'!C:C&gt;=$J$4,'领用录入（明细）'!C:C&lt;=$L$4),ROW(),"-")</f>
        <v>-</v>
      </c>
    </row>
    <row r="17339" customHeight="1" spans="2:2">
      <c r="B17339" s="62" t="str">
        <f>IF(AND('领用录入（明细）'!D:D=$F$4,'领用录入（明细）'!C:C&gt;=$J$4,'领用录入（明细）'!C:C&lt;=$L$4),ROW(),"-")</f>
        <v>-</v>
      </c>
    </row>
    <row r="17340" customHeight="1" spans="2:2">
      <c r="B17340" s="62" t="str">
        <f>IF(AND('领用录入（明细）'!D:D=$F$4,'领用录入（明细）'!C:C&gt;=$J$4,'领用录入（明细）'!C:C&lt;=$L$4),ROW(),"-")</f>
        <v>-</v>
      </c>
    </row>
    <row r="17341" customHeight="1" spans="2:2">
      <c r="B17341" s="62" t="str">
        <f>IF(AND('领用录入（明细）'!D:D=$F$4,'领用录入（明细）'!C:C&gt;=$J$4,'领用录入（明细）'!C:C&lt;=$L$4),ROW(),"-")</f>
        <v>-</v>
      </c>
    </row>
    <row r="17342" customHeight="1" spans="2:2">
      <c r="B17342" s="62" t="str">
        <f>IF(AND('领用录入（明细）'!D:D=$F$4,'领用录入（明细）'!C:C&gt;=$J$4,'领用录入（明细）'!C:C&lt;=$L$4),ROW(),"-")</f>
        <v>-</v>
      </c>
    </row>
    <row r="17343" customHeight="1" spans="2:2">
      <c r="B17343" s="62" t="str">
        <f>IF(AND('领用录入（明细）'!D:D=$F$4,'领用录入（明细）'!C:C&gt;=$J$4,'领用录入（明细）'!C:C&lt;=$L$4),ROW(),"-")</f>
        <v>-</v>
      </c>
    </row>
    <row r="17344" customHeight="1" spans="2:2">
      <c r="B17344" s="62" t="str">
        <f>IF(AND('领用录入（明细）'!D:D=$F$4,'领用录入（明细）'!C:C&gt;=$J$4,'领用录入（明细）'!C:C&lt;=$L$4),ROW(),"-")</f>
        <v>-</v>
      </c>
    </row>
    <row r="17345" customHeight="1" spans="2:2">
      <c r="B17345" s="62" t="str">
        <f>IF(AND('领用录入（明细）'!D:D=$F$4,'领用录入（明细）'!C:C&gt;=$J$4,'领用录入（明细）'!C:C&lt;=$L$4),ROW(),"-")</f>
        <v>-</v>
      </c>
    </row>
    <row r="17346" customHeight="1" spans="2:2">
      <c r="B17346" s="62" t="str">
        <f>IF(AND('领用录入（明细）'!D:D=$F$4,'领用录入（明细）'!C:C&gt;=$J$4,'领用录入（明细）'!C:C&lt;=$L$4),ROW(),"-")</f>
        <v>-</v>
      </c>
    </row>
    <row r="17347" customHeight="1" spans="2:2">
      <c r="B17347" s="62" t="str">
        <f>IF(AND('领用录入（明细）'!D:D=$F$4,'领用录入（明细）'!C:C&gt;=$J$4,'领用录入（明细）'!C:C&lt;=$L$4),ROW(),"-")</f>
        <v>-</v>
      </c>
    </row>
    <row r="17348" customHeight="1" spans="2:2">
      <c r="B17348" s="62" t="str">
        <f>IF(AND('领用录入（明细）'!D:D=$F$4,'领用录入（明细）'!C:C&gt;=$J$4,'领用录入（明细）'!C:C&lt;=$L$4),ROW(),"-")</f>
        <v>-</v>
      </c>
    </row>
    <row r="17349" customHeight="1" spans="2:2">
      <c r="B17349" s="62" t="str">
        <f>IF(AND('领用录入（明细）'!D:D=$F$4,'领用录入（明细）'!C:C&gt;=$J$4,'领用录入（明细）'!C:C&lt;=$L$4),ROW(),"-")</f>
        <v>-</v>
      </c>
    </row>
    <row r="17350" customHeight="1" spans="2:2">
      <c r="B17350" s="62" t="str">
        <f>IF(AND('领用录入（明细）'!D:D=$F$4,'领用录入（明细）'!C:C&gt;=$J$4,'领用录入（明细）'!C:C&lt;=$L$4),ROW(),"-")</f>
        <v>-</v>
      </c>
    </row>
    <row r="17351" customHeight="1" spans="2:2">
      <c r="B17351" s="62" t="str">
        <f>IF(AND('领用录入（明细）'!D:D=$F$4,'领用录入（明细）'!C:C&gt;=$J$4,'领用录入（明细）'!C:C&lt;=$L$4),ROW(),"-")</f>
        <v>-</v>
      </c>
    </row>
    <row r="17352" customHeight="1" spans="2:2">
      <c r="B17352" s="62" t="str">
        <f>IF(AND('领用录入（明细）'!D:D=$F$4,'领用录入（明细）'!C:C&gt;=$J$4,'领用录入（明细）'!C:C&lt;=$L$4),ROW(),"-")</f>
        <v>-</v>
      </c>
    </row>
    <row r="17353" customHeight="1" spans="2:2">
      <c r="B17353" s="62" t="str">
        <f>IF(AND('领用录入（明细）'!D:D=$F$4,'领用录入（明细）'!C:C&gt;=$J$4,'领用录入（明细）'!C:C&lt;=$L$4),ROW(),"-")</f>
        <v>-</v>
      </c>
    </row>
    <row r="17354" customHeight="1" spans="2:2">
      <c r="B17354" s="62" t="str">
        <f>IF(AND('领用录入（明细）'!D:D=$F$4,'领用录入（明细）'!C:C&gt;=$J$4,'领用录入（明细）'!C:C&lt;=$L$4),ROW(),"-")</f>
        <v>-</v>
      </c>
    </row>
    <row r="17355" customHeight="1" spans="2:2">
      <c r="B17355" s="62" t="str">
        <f>IF(AND('领用录入（明细）'!D:D=$F$4,'领用录入（明细）'!C:C&gt;=$J$4,'领用录入（明细）'!C:C&lt;=$L$4),ROW(),"-")</f>
        <v>-</v>
      </c>
    </row>
    <row r="17356" customHeight="1" spans="2:2">
      <c r="B17356" s="62" t="str">
        <f>IF(AND('领用录入（明细）'!D:D=$F$4,'领用录入（明细）'!C:C&gt;=$J$4,'领用录入（明细）'!C:C&lt;=$L$4),ROW(),"-")</f>
        <v>-</v>
      </c>
    </row>
    <row r="17357" customHeight="1" spans="2:2">
      <c r="B17357" s="62" t="str">
        <f>IF(AND('领用录入（明细）'!D:D=$F$4,'领用录入（明细）'!C:C&gt;=$J$4,'领用录入（明细）'!C:C&lt;=$L$4),ROW(),"-")</f>
        <v>-</v>
      </c>
    </row>
    <row r="17358" customHeight="1" spans="2:2">
      <c r="B17358" s="62" t="str">
        <f>IF(AND('领用录入（明细）'!D:D=$F$4,'领用录入（明细）'!C:C&gt;=$J$4,'领用录入（明细）'!C:C&lt;=$L$4),ROW(),"-")</f>
        <v>-</v>
      </c>
    </row>
    <row r="17359" customHeight="1" spans="2:2">
      <c r="B17359" s="62" t="str">
        <f>IF(AND('领用录入（明细）'!D:D=$F$4,'领用录入（明细）'!C:C&gt;=$J$4,'领用录入（明细）'!C:C&lt;=$L$4),ROW(),"-")</f>
        <v>-</v>
      </c>
    </row>
    <row r="17360" customHeight="1" spans="2:2">
      <c r="B17360" s="62" t="str">
        <f>IF(AND('领用录入（明细）'!D:D=$F$4,'领用录入（明细）'!C:C&gt;=$J$4,'领用录入（明细）'!C:C&lt;=$L$4),ROW(),"-")</f>
        <v>-</v>
      </c>
    </row>
    <row r="17361" customHeight="1" spans="2:2">
      <c r="B17361" s="62" t="str">
        <f>IF(AND('领用录入（明细）'!D:D=$F$4,'领用录入（明细）'!C:C&gt;=$J$4,'领用录入（明细）'!C:C&lt;=$L$4),ROW(),"-")</f>
        <v>-</v>
      </c>
    </row>
    <row r="17362" customHeight="1" spans="2:2">
      <c r="B17362" s="62" t="str">
        <f>IF(AND('领用录入（明细）'!D:D=$F$4,'领用录入（明细）'!C:C&gt;=$J$4,'领用录入（明细）'!C:C&lt;=$L$4),ROW(),"-")</f>
        <v>-</v>
      </c>
    </row>
    <row r="17363" customHeight="1" spans="2:2">
      <c r="B17363" s="62" t="str">
        <f>IF(AND('领用录入（明细）'!D:D=$F$4,'领用录入（明细）'!C:C&gt;=$J$4,'领用录入（明细）'!C:C&lt;=$L$4),ROW(),"-")</f>
        <v>-</v>
      </c>
    </row>
    <row r="17364" customHeight="1" spans="2:2">
      <c r="B17364" s="62" t="str">
        <f>IF(AND('领用录入（明细）'!D:D=$F$4,'领用录入（明细）'!C:C&gt;=$J$4,'领用录入（明细）'!C:C&lt;=$L$4),ROW(),"-")</f>
        <v>-</v>
      </c>
    </row>
    <row r="17365" customHeight="1" spans="2:2">
      <c r="B17365" s="62" t="str">
        <f>IF(AND('领用录入（明细）'!D:D=$F$4,'领用录入（明细）'!C:C&gt;=$J$4,'领用录入（明细）'!C:C&lt;=$L$4),ROW(),"-")</f>
        <v>-</v>
      </c>
    </row>
    <row r="17366" customHeight="1" spans="2:2">
      <c r="B17366" s="62" t="str">
        <f>IF(AND('领用录入（明细）'!D:D=$F$4,'领用录入（明细）'!C:C&gt;=$J$4,'领用录入（明细）'!C:C&lt;=$L$4),ROW(),"-")</f>
        <v>-</v>
      </c>
    </row>
    <row r="17367" customHeight="1" spans="2:2">
      <c r="B17367" s="62" t="str">
        <f>IF(AND('领用录入（明细）'!D:D=$F$4,'领用录入（明细）'!C:C&gt;=$J$4,'领用录入（明细）'!C:C&lt;=$L$4),ROW(),"-")</f>
        <v>-</v>
      </c>
    </row>
    <row r="17368" customHeight="1" spans="2:2">
      <c r="B17368" s="62" t="str">
        <f>IF(AND('领用录入（明细）'!D:D=$F$4,'领用录入（明细）'!C:C&gt;=$J$4,'领用录入（明细）'!C:C&lt;=$L$4),ROW(),"-")</f>
        <v>-</v>
      </c>
    </row>
    <row r="17369" customHeight="1" spans="2:2">
      <c r="B17369" s="62" t="str">
        <f>IF(AND('领用录入（明细）'!D:D=$F$4,'领用录入（明细）'!C:C&gt;=$J$4,'领用录入（明细）'!C:C&lt;=$L$4),ROW(),"-")</f>
        <v>-</v>
      </c>
    </row>
    <row r="17370" customHeight="1" spans="2:2">
      <c r="B17370" s="62" t="str">
        <f>IF(AND('领用录入（明细）'!D:D=$F$4,'领用录入（明细）'!C:C&gt;=$J$4,'领用录入（明细）'!C:C&lt;=$L$4),ROW(),"-")</f>
        <v>-</v>
      </c>
    </row>
    <row r="17371" customHeight="1" spans="2:2">
      <c r="B17371" s="62" t="str">
        <f>IF(AND('领用录入（明细）'!D:D=$F$4,'领用录入（明细）'!C:C&gt;=$J$4,'领用录入（明细）'!C:C&lt;=$L$4),ROW(),"-")</f>
        <v>-</v>
      </c>
    </row>
    <row r="17372" customHeight="1" spans="2:2">
      <c r="B17372" s="62" t="str">
        <f>IF(AND('领用录入（明细）'!D:D=$F$4,'领用录入（明细）'!C:C&gt;=$J$4,'领用录入（明细）'!C:C&lt;=$L$4),ROW(),"-")</f>
        <v>-</v>
      </c>
    </row>
    <row r="17373" customHeight="1" spans="2:2">
      <c r="B17373" s="62" t="str">
        <f>IF(AND('领用录入（明细）'!D:D=$F$4,'领用录入（明细）'!C:C&gt;=$J$4,'领用录入（明细）'!C:C&lt;=$L$4),ROW(),"-")</f>
        <v>-</v>
      </c>
    </row>
    <row r="17374" customHeight="1" spans="2:2">
      <c r="B17374" s="62" t="str">
        <f>IF(AND('领用录入（明细）'!D:D=$F$4,'领用录入（明细）'!C:C&gt;=$J$4,'领用录入（明细）'!C:C&lt;=$L$4),ROW(),"-")</f>
        <v>-</v>
      </c>
    </row>
    <row r="17375" customHeight="1" spans="2:2">
      <c r="B17375" s="62" t="str">
        <f>IF(AND('领用录入（明细）'!D:D=$F$4,'领用录入（明细）'!C:C&gt;=$J$4,'领用录入（明细）'!C:C&lt;=$L$4),ROW(),"-")</f>
        <v>-</v>
      </c>
    </row>
    <row r="17376" customHeight="1" spans="2:2">
      <c r="B17376" s="62" t="str">
        <f>IF(AND('领用录入（明细）'!D:D=$F$4,'领用录入（明细）'!C:C&gt;=$J$4,'领用录入（明细）'!C:C&lt;=$L$4),ROW(),"-")</f>
        <v>-</v>
      </c>
    </row>
    <row r="17377" customHeight="1" spans="2:2">
      <c r="B17377" s="62" t="str">
        <f>IF(AND('领用录入（明细）'!D:D=$F$4,'领用录入（明细）'!C:C&gt;=$J$4,'领用录入（明细）'!C:C&lt;=$L$4),ROW(),"-")</f>
        <v>-</v>
      </c>
    </row>
    <row r="17378" customHeight="1" spans="2:2">
      <c r="B17378" s="62" t="str">
        <f>IF(AND('领用录入（明细）'!D:D=$F$4,'领用录入（明细）'!C:C&gt;=$J$4,'领用录入（明细）'!C:C&lt;=$L$4),ROW(),"-")</f>
        <v>-</v>
      </c>
    </row>
    <row r="17379" customHeight="1" spans="2:2">
      <c r="B17379" s="62" t="str">
        <f>IF(AND('领用录入（明细）'!D:D=$F$4,'领用录入（明细）'!C:C&gt;=$J$4,'领用录入（明细）'!C:C&lt;=$L$4),ROW(),"-")</f>
        <v>-</v>
      </c>
    </row>
    <row r="17380" customHeight="1" spans="2:2">
      <c r="B17380" s="62" t="str">
        <f>IF(AND('领用录入（明细）'!D:D=$F$4,'领用录入（明细）'!C:C&gt;=$J$4,'领用录入（明细）'!C:C&lt;=$L$4),ROW(),"-")</f>
        <v>-</v>
      </c>
    </row>
    <row r="17381" customHeight="1" spans="2:2">
      <c r="B17381" s="62" t="str">
        <f>IF(AND('领用录入（明细）'!D:D=$F$4,'领用录入（明细）'!C:C&gt;=$J$4,'领用录入（明细）'!C:C&lt;=$L$4),ROW(),"-")</f>
        <v>-</v>
      </c>
    </row>
    <row r="17382" customHeight="1" spans="2:2">
      <c r="B17382" s="62" t="str">
        <f>IF(AND('领用录入（明细）'!D:D=$F$4,'领用录入（明细）'!C:C&gt;=$J$4,'领用录入（明细）'!C:C&lt;=$L$4),ROW(),"-")</f>
        <v>-</v>
      </c>
    </row>
    <row r="17383" customHeight="1" spans="2:2">
      <c r="B17383" s="62" t="str">
        <f>IF(AND('领用录入（明细）'!D:D=$F$4,'领用录入（明细）'!C:C&gt;=$J$4,'领用录入（明细）'!C:C&lt;=$L$4),ROW(),"-")</f>
        <v>-</v>
      </c>
    </row>
    <row r="17384" customHeight="1" spans="2:2">
      <c r="B17384" s="62" t="str">
        <f>IF(AND('领用录入（明细）'!D:D=$F$4,'领用录入（明细）'!C:C&gt;=$J$4,'领用录入（明细）'!C:C&lt;=$L$4),ROW(),"-")</f>
        <v>-</v>
      </c>
    </row>
    <row r="17385" customHeight="1" spans="2:2">
      <c r="B17385" s="62" t="str">
        <f>IF(AND('领用录入（明细）'!D:D=$F$4,'领用录入（明细）'!C:C&gt;=$J$4,'领用录入（明细）'!C:C&lt;=$L$4),ROW(),"-")</f>
        <v>-</v>
      </c>
    </row>
    <row r="17386" customHeight="1" spans="2:2">
      <c r="B17386" s="62" t="str">
        <f>IF(AND('领用录入（明细）'!D:D=$F$4,'领用录入（明细）'!C:C&gt;=$J$4,'领用录入（明细）'!C:C&lt;=$L$4),ROW(),"-")</f>
        <v>-</v>
      </c>
    </row>
    <row r="17387" customHeight="1" spans="2:2">
      <c r="B17387" s="62" t="str">
        <f>IF(AND('领用录入（明细）'!D:D=$F$4,'领用录入（明细）'!C:C&gt;=$J$4,'领用录入（明细）'!C:C&lt;=$L$4),ROW(),"-")</f>
        <v>-</v>
      </c>
    </row>
    <row r="17388" customHeight="1" spans="2:2">
      <c r="B17388" s="62" t="str">
        <f>IF(AND('领用录入（明细）'!D:D=$F$4,'领用录入（明细）'!C:C&gt;=$J$4,'领用录入（明细）'!C:C&lt;=$L$4),ROW(),"-")</f>
        <v>-</v>
      </c>
    </row>
    <row r="17389" customHeight="1" spans="2:2">
      <c r="B17389" s="62" t="str">
        <f>IF(AND('领用录入（明细）'!D:D=$F$4,'领用录入（明细）'!C:C&gt;=$J$4,'领用录入（明细）'!C:C&lt;=$L$4),ROW(),"-")</f>
        <v>-</v>
      </c>
    </row>
    <row r="17390" customHeight="1" spans="2:2">
      <c r="B17390" s="62" t="str">
        <f>IF(AND('领用录入（明细）'!D:D=$F$4,'领用录入（明细）'!C:C&gt;=$J$4,'领用录入（明细）'!C:C&lt;=$L$4),ROW(),"-")</f>
        <v>-</v>
      </c>
    </row>
    <row r="17391" customHeight="1" spans="2:2">
      <c r="B17391" s="62" t="str">
        <f>IF(AND('领用录入（明细）'!D:D=$F$4,'领用录入（明细）'!C:C&gt;=$J$4,'领用录入（明细）'!C:C&lt;=$L$4),ROW(),"-")</f>
        <v>-</v>
      </c>
    </row>
    <row r="17392" customHeight="1" spans="2:2">
      <c r="B17392" s="62" t="str">
        <f>IF(AND('领用录入（明细）'!D:D=$F$4,'领用录入（明细）'!C:C&gt;=$J$4,'领用录入（明细）'!C:C&lt;=$L$4),ROW(),"-")</f>
        <v>-</v>
      </c>
    </row>
    <row r="17393" customHeight="1" spans="2:2">
      <c r="B17393" s="62" t="str">
        <f>IF(AND('领用录入（明细）'!D:D=$F$4,'领用录入（明细）'!C:C&gt;=$J$4,'领用录入（明细）'!C:C&lt;=$L$4),ROW(),"-")</f>
        <v>-</v>
      </c>
    </row>
    <row r="17394" customHeight="1" spans="2:2">
      <c r="B17394" s="62" t="str">
        <f>IF(AND('领用录入（明细）'!D:D=$F$4,'领用录入（明细）'!C:C&gt;=$J$4,'领用录入（明细）'!C:C&lt;=$L$4),ROW(),"-")</f>
        <v>-</v>
      </c>
    </row>
    <row r="17395" customHeight="1" spans="2:2">
      <c r="B17395" s="62" t="str">
        <f>IF(AND('领用录入（明细）'!D:D=$F$4,'领用录入（明细）'!C:C&gt;=$J$4,'领用录入（明细）'!C:C&lt;=$L$4),ROW(),"-")</f>
        <v>-</v>
      </c>
    </row>
    <row r="17396" customHeight="1" spans="2:2">
      <c r="B17396" s="62" t="str">
        <f>IF(AND('领用录入（明细）'!D:D=$F$4,'领用录入（明细）'!C:C&gt;=$J$4,'领用录入（明细）'!C:C&lt;=$L$4),ROW(),"-")</f>
        <v>-</v>
      </c>
    </row>
    <row r="17397" customHeight="1" spans="2:2">
      <c r="B17397" s="62" t="str">
        <f>IF(AND('领用录入（明细）'!D:D=$F$4,'领用录入（明细）'!C:C&gt;=$J$4,'领用录入（明细）'!C:C&lt;=$L$4),ROW(),"-")</f>
        <v>-</v>
      </c>
    </row>
    <row r="17398" customHeight="1" spans="2:2">
      <c r="B17398" s="62" t="str">
        <f>IF(AND('领用录入（明细）'!D:D=$F$4,'领用录入（明细）'!C:C&gt;=$J$4,'领用录入（明细）'!C:C&lt;=$L$4),ROW(),"-")</f>
        <v>-</v>
      </c>
    </row>
    <row r="17399" customHeight="1" spans="2:2">
      <c r="B17399" s="62" t="str">
        <f>IF(AND('领用录入（明细）'!D:D=$F$4,'领用录入（明细）'!C:C&gt;=$J$4,'领用录入（明细）'!C:C&lt;=$L$4),ROW(),"-")</f>
        <v>-</v>
      </c>
    </row>
    <row r="17400" customHeight="1" spans="2:2">
      <c r="B17400" s="62" t="str">
        <f>IF(AND('领用录入（明细）'!D:D=$F$4,'领用录入（明细）'!C:C&gt;=$J$4,'领用录入（明细）'!C:C&lt;=$L$4),ROW(),"-")</f>
        <v>-</v>
      </c>
    </row>
    <row r="17401" customHeight="1" spans="2:2">
      <c r="B17401" s="62" t="str">
        <f>IF(AND('领用录入（明细）'!D:D=$F$4,'领用录入（明细）'!C:C&gt;=$J$4,'领用录入（明细）'!C:C&lt;=$L$4),ROW(),"-")</f>
        <v>-</v>
      </c>
    </row>
    <row r="17402" customHeight="1" spans="2:2">
      <c r="B17402" s="62" t="str">
        <f>IF(AND('领用录入（明细）'!D:D=$F$4,'领用录入（明细）'!C:C&gt;=$J$4,'领用录入（明细）'!C:C&lt;=$L$4),ROW(),"-")</f>
        <v>-</v>
      </c>
    </row>
    <row r="17403" customHeight="1" spans="2:2">
      <c r="B17403" s="62" t="str">
        <f>IF(AND('领用录入（明细）'!D:D=$F$4,'领用录入（明细）'!C:C&gt;=$J$4,'领用录入（明细）'!C:C&lt;=$L$4),ROW(),"-")</f>
        <v>-</v>
      </c>
    </row>
    <row r="17404" customHeight="1" spans="2:2">
      <c r="B17404" s="62" t="str">
        <f>IF(AND('领用录入（明细）'!D:D=$F$4,'领用录入（明细）'!C:C&gt;=$J$4,'领用录入（明细）'!C:C&lt;=$L$4),ROW(),"-")</f>
        <v>-</v>
      </c>
    </row>
    <row r="17405" customHeight="1" spans="2:2">
      <c r="B17405" s="62" t="str">
        <f>IF(AND('领用录入（明细）'!D:D=$F$4,'领用录入（明细）'!C:C&gt;=$J$4,'领用录入（明细）'!C:C&lt;=$L$4),ROW(),"-")</f>
        <v>-</v>
      </c>
    </row>
    <row r="17406" customHeight="1" spans="2:2">
      <c r="B17406" s="62" t="str">
        <f>IF(AND('领用录入（明细）'!D:D=$F$4,'领用录入（明细）'!C:C&gt;=$J$4,'领用录入（明细）'!C:C&lt;=$L$4),ROW(),"-")</f>
        <v>-</v>
      </c>
    </row>
    <row r="17407" customHeight="1" spans="2:2">
      <c r="B17407" s="62" t="str">
        <f>IF(AND('领用录入（明细）'!D:D=$F$4,'领用录入（明细）'!C:C&gt;=$J$4,'领用录入（明细）'!C:C&lt;=$L$4),ROW(),"-")</f>
        <v>-</v>
      </c>
    </row>
    <row r="17408" customHeight="1" spans="2:2">
      <c r="B17408" s="62" t="str">
        <f>IF(AND('领用录入（明细）'!D:D=$F$4,'领用录入（明细）'!C:C&gt;=$J$4,'领用录入（明细）'!C:C&lt;=$L$4),ROW(),"-")</f>
        <v>-</v>
      </c>
    </row>
    <row r="17409" customHeight="1" spans="2:2">
      <c r="B17409" s="62" t="str">
        <f>IF(AND('领用录入（明细）'!D:D=$F$4,'领用录入（明细）'!C:C&gt;=$J$4,'领用录入（明细）'!C:C&lt;=$L$4),ROW(),"-")</f>
        <v>-</v>
      </c>
    </row>
    <row r="17410" customHeight="1" spans="2:2">
      <c r="B17410" s="62" t="str">
        <f>IF(AND('领用录入（明细）'!D:D=$F$4,'领用录入（明细）'!C:C&gt;=$J$4,'领用录入（明细）'!C:C&lt;=$L$4),ROW(),"-")</f>
        <v>-</v>
      </c>
    </row>
    <row r="17411" customHeight="1" spans="2:2">
      <c r="B17411" s="62" t="str">
        <f>IF(AND('领用录入（明细）'!D:D=$F$4,'领用录入（明细）'!C:C&gt;=$J$4,'领用录入（明细）'!C:C&lt;=$L$4),ROW(),"-")</f>
        <v>-</v>
      </c>
    </row>
    <row r="17412" customHeight="1" spans="2:2">
      <c r="B17412" s="62" t="str">
        <f>IF(AND('领用录入（明细）'!D:D=$F$4,'领用录入（明细）'!C:C&gt;=$J$4,'领用录入（明细）'!C:C&lt;=$L$4),ROW(),"-")</f>
        <v>-</v>
      </c>
    </row>
    <row r="17413" customHeight="1" spans="2:2">
      <c r="B17413" s="62" t="str">
        <f>IF(AND('领用录入（明细）'!D:D=$F$4,'领用录入（明细）'!C:C&gt;=$J$4,'领用录入（明细）'!C:C&lt;=$L$4),ROW(),"-")</f>
        <v>-</v>
      </c>
    </row>
    <row r="17414" customHeight="1" spans="2:2">
      <c r="B17414" s="62" t="str">
        <f>IF(AND('领用录入（明细）'!D:D=$F$4,'领用录入（明细）'!C:C&gt;=$J$4,'领用录入（明细）'!C:C&lt;=$L$4),ROW(),"-")</f>
        <v>-</v>
      </c>
    </row>
    <row r="17415" customHeight="1" spans="2:2">
      <c r="B17415" s="62" t="str">
        <f>IF(AND('领用录入（明细）'!D:D=$F$4,'领用录入（明细）'!C:C&gt;=$J$4,'领用录入（明细）'!C:C&lt;=$L$4),ROW(),"-")</f>
        <v>-</v>
      </c>
    </row>
    <row r="17416" customHeight="1" spans="2:2">
      <c r="B17416" s="62" t="str">
        <f>IF(AND('领用录入（明细）'!D:D=$F$4,'领用录入（明细）'!C:C&gt;=$J$4,'领用录入（明细）'!C:C&lt;=$L$4),ROW(),"-")</f>
        <v>-</v>
      </c>
    </row>
    <row r="17417" customHeight="1" spans="2:2">
      <c r="B17417" s="62" t="str">
        <f>IF(AND('领用录入（明细）'!D:D=$F$4,'领用录入（明细）'!C:C&gt;=$J$4,'领用录入（明细）'!C:C&lt;=$L$4),ROW(),"-")</f>
        <v>-</v>
      </c>
    </row>
    <row r="17418" customHeight="1" spans="2:2">
      <c r="B17418" s="62" t="str">
        <f>IF(AND('领用录入（明细）'!D:D=$F$4,'领用录入（明细）'!C:C&gt;=$J$4,'领用录入（明细）'!C:C&lt;=$L$4),ROW(),"-")</f>
        <v>-</v>
      </c>
    </row>
    <row r="17419" customHeight="1" spans="2:2">
      <c r="B17419" s="62" t="str">
        <f>IF(AND('领用录入（明细）'!D:D=$F$4,'领用录入（明细）'!C:C&gt;=$J$4,'领用录入（明细）'!C:C&lt;=$L$4),ROW(),"-")</f>
        <v>-</v>
      </c>
    </row>
    <row r="17420" customHeight="1" spans="2:2">
      <c r="B17420" s="62" t="str">
        <f>IF(AND('领用录入（明细）'!D:D=$F$4,'领用录入（明细）'!C:C&gt;=$J$4,'领用录入（明细）'!C:C&lt;=$L$4),ROW(),"-")</f>
        <v>-</v>
      </c>
    </row>
    <row r="17421" customHeight="1" spans="2:2">
      <c r="B17421" s="62" t="str">
        <f>IF(AND('领用录入（明细）'!D:D=$F$4,'领用录入（明细）'!C:C&gt;=$J$4,'领用录入（明细）'!C:C&lt;=$L$4),ROW(),"-")</f>
        <v>-</v>
      </c>
    </row>
    <row r="17422" customHeight="1" spans="2:2">
      <c r="B17422" s="62" t="str">
        <f>IF(AND('领用录入（明细）'!D:D=$F$4,'领用录入（明细）'!C:C&gt;=$J$4,'领用录入（明细）'!C:C&lt;=$L$4),ROW(),"-")</f>
        <v>-</v>
      </c>
    </row>
    <row r="17423" customHeight="1" spans="2:2">
      <c r="B17423" s="62" t="str">
        <f>IF(AND('领用录入（明细）'!D:D=$F$4,'领用录入（明细）'!C:C&gt;=$J$4,'领用录入（明细）'!C:C&lt;=$L$4),ROW(),"-")</f>
        <v>-</v>
      </c>
    </row>
    <row r="17424" customHeight="1" spans="2:2">
      <c r="B17424" s="62" t="str">
        <f>IF(AND('领用录入（明细）'!D:D=$F$4,'领用录入（明细）'!C:C&gt;=$J$4,'领用录入（明细）'!C:C&lt;=$L$4),ROW(),"-")</f>
        <v>-</v>
      </c>
    </row>
    <row r="17425" customHeight="1" spans="2:2">
      <c r="B17425" s="62" t="str">
        <f>IF(AND('领用录入（明细）'!D:D=$F$4,'领用录入（明细）'!C:C&gt;=$J$4,'领用录入（明细）'!C:C&lt;=$L$4),ROW(),"-")</f>
        <v>-</v>
      </c>
    </row>
    <row r="17426" customHeight="1" spans="2:2">
      <c r="B17426" s="62" t="str">
        <f>IF(AND('领用录入（明细）'!D:D=$F$4,'领用录入（明细）'!C:C&gt;=$J$4,'领用录入（明细）'!C:C&lt;=$L$4),ROW(),"-")</f>
        <v>-</v>
      </c>
    </row>
    <row r="17427" customHeight="1" spans="2:2">
      <c r="B17427" s="62" t="str">
        <f>IF(AND('领用录入（明细）'!D:D=$F$4,'领用录入（明细）'!C:C&gt;=$J$4,'领用录入（明细）'!C:C&lt;=$L$4),ROW(),"-")</f>
        <v>-</v>
      </c>
    </row>
    <row r="17428" customHeight="1" spans="2:2">
      <c r="B17428" s="62" t="str">
        <f>IF(AND('领用录入（明细）'!D:D=$F$4,'领用录入（明细）'!C:C&gt;=$J$4,'领用录入（明细）'!C:C&lt;=$L$4),ROW(),"-")</f>
        <v>-</v>
      </c>
    </row>
    <row r="17429" customHeight="1" spans="2:2">
      <c r="B17429" s="62" t="str">
        <f>IF(AND('领用录入（明细）'!D:D=$F$4,'领用录入（明细）'!C:C&gt;=$J$4,'领用录入（明细）'!C:C&lt;=$L$4),ROW(),"-")</f>
        <v>-</v>
      </c>
    </row>
    <row r="17430" customHeight="1" spans="2:2">
      <c r="B17430" s="62" t="str">
        <f>IF(AND('领用录入（明细）'!D:D=$F$4,'领用录入（明细）'!C:C&gt;=$J$4,'领用录入（明细）'!C:C&lt;=$L$4),ROW(),"-")</f>
        <v>-</v>
      </c>
    </row>
    <row r="17431" customHeight="1" spans="2:2">
      <c r="B17431" s="62" t="str">
        <f>IF(AND('领用录入（明细）'!D:D=$F$4,'领用录入（明细）'!C:C&gt;=$J$4,'领用录入（明细）'!C:C&lt;=$L$4),ROW(),"-")</f>
        <v>-</v>
      </c>
    </row>
    <row r="17432" customHeight="1" spans="2:2">
      <c r="B17432" s="62" t="str">
        <f>IF(AND('领用录入（明细）'!D:D=$F$4,'领用录入（明细）'!C:C&gt;=$J$4,'领用录入（明细）'!C:C&lt;=$L$4),ROW(),"-")</f>
        <v>-</v>
      </c>
    </row>
    <row r="17433" customHeight="1" spans="2:2">
      <c r="B17433" s="62" t="str">
        <f>IF(AND('领用录入（明细）'!D:D=$F$4,'领用录入（明细）'!C:C&gt;=$J$4,'领用录入（明细）'!C:C&lt;=$L$4),ROW(),"-")</f>
        <v>-</v>
      </c>
    </row>
    <row r="17434" customHeight="1" spans="2:2">
      <c r="B17434" s="62" t="str">
        <f>IF(AND('领用录入（明细）'!D:D=$F$4,'领用录入（明细）'!C:C&gt;=$J$4,'领用录入（明细）'!C:C&lt;=$L$4),ROW(),"-")</f>
        <v>-</v>
      </c>
    </row>
    <row r="17435" customHeight="1" spans="2:2">
      <c r="B17435" s="62" t="str">
        <f>IF(AND('领用录入（明细）'!D:D=$F$4,'领用录入（明细）'!C:C&gt;=$J$4,'领用录入（明细）'!C:C&lt;=$L$4),ROW(),"-")</f>
        <v>-</v>
      </c>
    </row>
    <row r="17436" customHeight="1" spans="2:2">
      <c r="B17436" s="62" t="str">
        <f>IF(AND('领用录入（明细）'!D:D=$F$4,'领用录入（明细）'!C:C&gt;=$J$4,'领用录入（明细）'!C:C&lt;=$L$4),ROW(),"-")</f>
        <v>-</v>
      </c>
    </row>
    <row r="17437" customHeight="1" spans="2:2">
      <c r="B17437" s="62" t="str">
        <f>IF(AND('领用录入（明细）'!D:D=$F$4,'领用录入（明细）'!C:C&gt;=$J$4,'领用录入（明细）'!C:C&lt;=$L$4),ROW(),"-")</f>
        <v>-</v>
      </c>
    </row>
    <row r="17438" customHeight="1" spans="2:2">
      <c r="B17438" s="62" t="str">
        <f>IF(AND('领用录入（明细）'!D:D=$F$4,'领用录入（明细）'!C:C&gt;=$J$4,'领用录入（明细）'!C:C&lt;=$L$4),ROW(),"-")</f>
        <v>-</v>
      </c>
    </row>
    <row r="17439" customHeight="1" spans="2:2">
      <c r="B17439" s="62" t="str">
        <f>IF(AND('领用录入（明细）'!D:D=$F$4,'领用录入（明细）'!C:C&gt;=$J$4,'领用录入（明细）'!C:C&lt;=$L$4),ROW(),"-")</f>
        <v>-</v>
      </c>
    </row>
    <row r="17440" customHeight="1" spans="2:2">
      <c r="B17440" s="62" t="str">
        <f>IF(AND('领用录入（明细）'!D:D=$F$4,'领用录入（明细）'!C:C&gt;=$J$4,'领用录入（明细）'!C:C&lt;=$L$4),ROW(),"-")</f>
        <v>-</v>
      </c>
    </row>
    <row r="17441" customHeight="1" spans="2:2">
      <c r="B17441" s="62" t="str">
        <f>IF(AND('领用录入（明细）'!D:D=$F$4,'领用录入（明细）'!C:C&gt;=$J$4,'领用录入（明细）'!C:C&lt;=$L$4),ROW(),"-")</f>
        <v>-</v>
      </c>
    </row>
    <row r="17442" customHeight="1" spans="2:2">
      <c r="B17442" s="62" t="str">
        <f>IF(AND('领用录入（明细）'!D:D=$F$4,'领用录入（明细）'!C:C&gt;=$J$4,'领用录入（明细）'!C:C&lt;=$L$4),ROW(),"-")</f>
        <v>-</v>
      </c>
    </row>
    <row r="17443" customHeight="1" spans="2:2">
      <c r="B17443" s="62" t="str">
        <f>IF(AND('领用录入（明细）'!D:D=$F$4,'领用录入（明细）'!C:C&gt;=$J$4,'领用录入（明细）'!C:C&lt;=$L$4),ROW(),"-")</f>
        <v>-</v>
      </c>
    </row>
    <row r="17444" customHeight="1" spans="2:2">
      <c r="B17444" s="62" t="str">
        <f>IF(AND('领用录入（明细）'!D:D=$F$4,'领用录入（明细）'!C:C&gt;=$J$4,'领用录入（明细）'!C:C&lt;=$L$4),ROW(),"-")</f>
        <v>-</v>
      </c>
    </row>
    <row r="17445" customHeight="1" spans="2:2">
      <c r="B17445" s="62" t="str">
        <f>IF(AND('领用录入（明细）'!D:D=$F$4,'领用录入（明细）'!C:C&gt;=$J$4,'领用录入（明细）'!C:C&lt;=$L$4),ROW(),"-")</f>
        <v>-</v>
      </c>
    </row>
    <row r="17446" customHeight="1" spans="2:2">
      <c r="B17446" s="62" t="str">
        <f>IF(AND('领用录入（明细）'!D:D=$F$4,'领用录入（明细）'!C:C&gt;=$J$4,'领用录入（明细）'!C:C&lt;=$L$4),ROW(),"-")</f>
        <v>-</v>
      </c>
    </row>
    <row r="17447" customHeight="1" spans="2:2">
      <c r="B17447" s="62" t="str">
        <f>IF(AND('领用录入（明细）'!D:D=$F$4,'领用录入（明细）'!C:C&gt;=$J$4,'领用录入（明细）'!C:C&lt;=$L$4),ROW(),"-")</f>
        <v>-</v>
      </c>
    </row>
    <row r="17448" customHeight="1" spans="2:2">
      <c r="B17448" s="62" t="str">
        <f>IF(AND('领用录入（明细）'!D:D=$F$4,'领用录入（明细）'!C:C&gt;=$J$4,'领用录入（明细）'!C:C&lt;=$L$4),ROW(),"-")</f>
        <v>-</v>
      </c>
    </row>
    <row r="17449" customHeight="1" spans="2:2">
      <c r="B17449" s="62" t="str">
        <f>IF(AND('领用录入（明细）'!D:D=$F$4,'领用录入（明细）'!C:C&gt;=$J$4,'领用录入（明细）'!C:C&lt;=$L$4),ROW(),"-")</f>
        <v>-</v>
      </c>
    </row>
    <row r="17450" customHeight="1" spans="2:2">
      <c r="B17450" s="62" t="str">
        <f>IF(AND('领用录入（明细）'!D:D=$F$4,'领用录入（明细）'!C:C&gt;=$J$4,'领用录入（明细）'!C:C&lt;=$L$4),ROW(),"-")</f>
        <v>-</v>
      </c>
    </row>
    <row r="17451" customHeight="1" spans="2:2">
      <c r="B17451" s="62" t="str">
        <f>IF(AND('领用录入（明细）'!D:D=$F$4,'领用录入（明细）'!C:C&gt;=$J$4,'领用录入（明细）'!C:C&lt;=$L$4),ROW(),"-")</f>
        <v>-</v>
      </c>
    </row>
    <row r="17452" customHeight="1" spans="2:2">
      <c r="B17452" s="62" t="str">
        <f>IF(AND('领用录入（明细）'!D:D=$F$4,'领用录入（明细）'!C:C&gt;=$J$4,'领用录入（明细）'!C:C&lt;=$L$4),ROW(),"-")</f>
        <v>-</v>
      </c>
    </row>
    <row r="17453" customHeight="1" spans="2:2">
      <c r="B17453" s="62" t="str">
        <f>IF(AND('领用录入（明细）'!D:D=$F$4,'领用录入（明细）'!C:C&gt;=$J$4,'领用录入（明细）'!C:C&lt;=$L$4),ROW(),"-")</f>
        <v>-</v>
      </c>
    </row>
    <row r="17454" customHeight="1" spans="2:2">
      <c r="B17454" s="62" t="str">
        <f>IF(AND('领用录入（明细）'!D:D=$F$4,'领用录入（明细）'!C:C&gt;=$J$4,'领用录入（明细）'!C:C&lt;=$L$4),ROW(),"-")</f>
        <v>-</v>
      </c>
    </row>
    <row r="17455" customHeight="1" spans="2:2">
      <c r="B17455" s="62" t="str">
        <f>IF(AND('领用录入（明细）'!D:D=$F$4,'领用录入（明细）'!C:C&gt;=$J$4,'领用录入（明细）'!C:C&lt;=$L$4),ROW(),"-")</f>
        <v>-</v>
      </c>
    </row>
    <row r="17456" customHeight="1" spans="2:2">
      <c r="B17456" s="62" t="str">
        <f>IF(AND('领用录入（明细）'!D:D=$F$4,'领用录入（明细）'!C:C&gt;=$J$4,'领用录入（明细）'!C:C&lt;=$L$4),ROW(),"-")</f>
        <v>-</v>
      </c>
    </row>
    <row r="17457" customHeight="1" spans="2:2">
      <c r="B17457" s="62" t="str">
        <f>IF(AND('领用录入（明细）'!D:D=$F$4,'领用录入（明细）'!C:C&gt;=$J$4,'领用录入（明细）'!C:C&lt;=$L$4),ROW(),"-")</f>
        <v>-</v>
      </c>
    </row>
    <row r="17458" customHeight="1" spans="2:2">
      <c r="B17458" s="62" t="str">
        <f>IF(AND('领用录入（明细）'!D:D=$F$4,'领用录入（明细）'!C:C&gt;=$J$4,'领用录入（明细）'!C:C&lt;=$L$4),ROW(),"-")</f>
        <v>-</v>
      </c>
    </row>
    <row r="17459" customHeight="1" spans="2:2">
      <c r="B17459" s="62" t="str">
        <f>IF(AND('领用录入（明细）'!D:D=$F$4,'领用录入（明细）'!C:C&gt;=$J$4,'领用录入（明细）'!C:C&lt;=$L$4),ROW(),"-")</f>
        <v>-</v>
      </c>
    </row>
    <row r="17460" customHeight="1" spans="2:2">
      <c r="B17460" s="62" t="str">
        <f>IF(AND('领用录入（明细）'!D:D=$F$4,'领用录入（明细）'!C:C&gt;=$J$4,'领用录入（明细）'!C:C&lt;=$L$4),ROW(),"-")</f>
        <v>-</v>
      </c>
    </row>
    <row r="17461" customHeight="1" spans="2:2">
      <c r="B17461" s="62" t="str">
        <f>IF(AND('领用录入（明细）'!D:D=$F$4,'领用录入（明细）'!C:C&gt;=$J$4,'领用录入（明细）'!C:C&lt;=$L$4),ROW(),"-")</f>
        <v>-</v>
      </c>
    </row>
    <row r="17462" customHeight="1" spans="2:2">
      <c r="B17462" s="62" t="str">
        <f>IF(AND('领用录入（明细）'!D:D=$F$4,'领用录入（明细）'!C:C&gt;=$J$4,'领用录入（明细）'!C:C&lt;=$L$4),ROW(),"-")</f>
        <v>-</v>
      </c>
    </row>
    <row r="17463" customHeight="1" spans="2:2">
      <c r="B17463" s="62" t="str">
        <f>IF(AND('领用录入（明细）'!D:D=$F$4,'领用录入（明细）'!C:C&gt;=$J$4,'领用录入（明细）'!C:C&lt;=$L$4),ROW(),"-")</f>
        <v>-</v>
      </c>
    </row>
    <row r="17464" customHeight="1" spans="2:2">
      <c r="B17464" s="62" t="str">
        <f>IF(AND('领用录入（明细）'!D:D=$F$4,'领用录入（明细）'!C:C&gt;=$J$4,'领用录入（明细）'!C:C&lt;=$L$4),ROW(),"-")</f>
        <v>-</v>
      </c>
    </row>
    <row r="17465" customHeight="1" spans="2:2">
      <c r="B17465" s="62" t="str">
        <f>IF(AND('领用录入（明细）'!D:D=$F$4,'领用录入（明细）'!C:C&gt;=$J$4,'领用录入（明细）'!C:C&lt;=$L$4),ROW(),"-")</f>
        <v>-</v>
      </c>
    </row>
    <row r="17466" customHeight="1" spans="2:2">
      <c r="B17466" s="62" t="str">
        <f>IF(AND('领用录入（明细）'!D:D=$F$4,'领用录入（明细）'!C:C&gt;=$J$4,'领用录入（明细）'!C:C&lt;=$L$4),ROW(),"-")</f>
        <v>-</v>
      </c>
    </row>
    <row r="17467" customHeight="1" spans="2:2">
      <c r="B17467" s="62" t="str">
        <f>IF(AND('领用录入（明细）'!D:D=$F$4,'领用录入（明细）'!C:C&gt;=$J$4,'领用录入（明细）'!C:C&lt;=$L$4),ROW(),"-")</f>
        <v>-</v>
      </c>
    </row>
    <row r="17468" customHeight="1" spans="2:2">
      <c r="B17468" s="62" t="str">
        <f>IF(AND('领用录入（明细）'!D:D=$F$4,'领用录入（明细）'!C:C&gt;=$J$4,'领用录入（明细）'!C:C&lt;=$L$4),ROW(),"-")</f>
        <v>-</v>
      </c>
    </row>
    <row r="17469" customHeight="1" spans="2:2">
      <c r="B17469" s="62" t="str">
        <f>IF(AND('领用录入（明细）'!D:D=$F$4,'领用录入（明细）'!C:C&gt;=$J$4,'领用录入（明细）'!C:C&lt;=$L$4),ROW(),"-")</f>
        <v>-</v>
      </c>
    </row>
    <row r="17470" customHeight="1" spans="2:2">
      <c r="B17470" s="62" t="str">
        <f>IF(AND('领用录入（明细）'!D:D=$F$4,'领用录入（明细）'!C:C&gt;=$J$4,'领用录入（明细）'!C:C&lt;=$L$4),ROW(),"-")</f>
        <v>-</v>
      </c>
    </row>
    <row r="17471" customHeight="1" spans="2:2">
      <c r="B17471" s="62" t="str">
        <f>IF(AND('领用录入（明细）'!D:D=$F$4,'领用录入（明细）'!C:C&gt;=$J$4,'领用录入（明细）'!C:C&lt;=$L$4),ROW(),"-")</f>
        <v>-</v>
      </c>
    </row>
    <row r="17472" customHeight="1" spans="2:2">
      <c r="B17472" s="62" t="str">
        <f>IF(AND('领用录入（明细）'!D:D=$F$4,'领用录入（明细）'!C:C&gt;=$J$4,'领用录入（明细）'!C:C&lt;=$L$4),ROW(),"-")</f>
        <v>-</v>
      </c>
    </row>
    <row r="17473" customHeight="1" spans="2:2">
      <c r="B17473" s="62" t="str">
        <f>IF(AND('领用录入（明细）'!D:D=$F$4,'领用录入（明细）'!C:C&gt;=$J$4,'领用录入（明细）'!C:C&lt;=$L$4),ROW(),"-")</f>
        <v>-</v>
      </c>
    </row>
    <row r="17474" customHeight="1" spans="2:2">
      <c r="B17474" s="62" t="str">
        <f>IF(AND('领用录入（明细）'!D:D=$F$4,'领用录入（明细）'!C:C&gt;=$J$4,'领用录入（明细）'!C:C&lt;=$L$4),ROW(),"-")</f>
        <v>-</v>
      </c>
    </row>
    <row r="17475" customHeight="1" spans="2:2">
      <c r="B17475" s="62" t="str">
        <f>IF(AND('领用录入（明细）'!D:D=$F$4,'领用录入（明细）'!C:C&gt;=$J$4,'领用录入（明细）'!C:C&lt;=$L$4),ROW(),"-")</f>
        <v>-</v>
      </c>
    </row>
    <row r="17476" customHeight="1" spans="2:2">
      <c r="B17476" s="62" t="str">
        <f>IF(AND('领用录入（明细）'!D:D=$F$4,'领用录入（明细）'!C:C&gt;=$J$4,'领用录入（明细）'!C:C&lt;=$L$4),ROW(),"-")</f>
        <v>-</v>
      </c>
    </row>
    <row r="17477" customHeight="1" spans="2:2">
      <c r="B17477" s="62" t="str">
        <f>IF(AND('领用录入（明细）'!D:D=$F$4,'领用录入（明细）'!C:C&gt;=$J$4,'领用录入（明细）'!C:C&lt;=$L$4),ROW(),"-")</f>
        <v>-</v>
      </c>
    </row>
    <row r="17478" customHeight="1" spans="2:2">
      <c r="B17478" s="62" t="str">
        <f>IF(AND('领用录入（明细）'!D:D=$F$4,'领用录入（明细）'!C:C&gt;=$J$4,'领用录入（明细）'!C:C&lt;=$L$4),ROW(),"-")</f>
        <v>-</v>
      </c>
    </row>
    <row r="17479" customHeight="1" spans="2:2">
      <c r="B17479" s="62" t="str">
        <f>IF(AND('领用录入（明细）'!D:D=$F$4,'领用录入（明细）'!C:C&gt;=$J$4,'领用录入（明细）'!C:C&lt;=$L$4),ROW(),"-")</f>
        <v>-</v>
      </c>
    </row>
    <row r="17480" customHeight="1" spans="2:2">
      <c r="B17480" s="62" t="str">
        <f>IF(AND('领用录入（明细）'!D:D=$F$4,'领用录入（明细）'!C:C&gt;=$J$4,'领用录入（明细）'!C:C&lt;=$L$4),ROW(),"-")</f>
        <v>-</v>
      </c>
    </row>
    <row r="17481" customHeight="1" spans="2:2">
      <c r="B17481" s="62" t="str">
        <f>IF(AND('领用录入（明细）'!D:D=$F$4,'领用录入（明细）'!C:C&gt;=$J$4,'领用录入（明细）'!C:C&lt;=$L$4),ROW(),"-")</f>
        <v>-</v>
      </c>
    </row>
    <row r="17482" customHeight="1" spans="2:2">
      <c r="B17482" s="62" t="str">
        <f>IF(AND('领用录入（明细）'!D:D=$F$4,'领用录入（明细）'!C:C&gt;=$J$4,'领用录入（明细）'!C:C&lt;=$L$4),ROW(),"-")</f>
        <v>-</v>
      </c>
    </row>
    <row r="17483" customHeight="1" spans="2:2">
      <c r="B17483" s="62" t="str">
        <f>IF(AND('领用录入（明细）'!D:D=$F$4,'领用录入（明细）'!C:C&gt;=$J$4,'领用录入（明细）'!C:C&lt;=$L$4),ROW(),"-")</f>
        <v>-</v>
      </c>
    </row>
    <row r="17484" customHeight="1" spans="2:2">
      <c r="B17484" s="62" t="str">
        <f>IF(AND('领用录入（明细）'!D:D=$F$4,'领用录入（明细）'!C:C&gt;=$J$4,'领用录入（明细）'!C:C&lt;=$L$4),ROW(),"-")</f>
        <v>-</v>
      </c>
    </row>
    <row r="17485" customHeight="1" spans="2:2">
      <c r="B17485" s="62" t="str">
        <f>IF(AND('领用录入（明细）'!D:D=$F$4,'领用录入（明细）'!C:C&gt;=$J$4,'领用录入（明细）'!C:C&lt;=$L$4),ROW(),"-")</f>
        <v>-</v>
      </c>
    </row>
    <row r="17486" customHeight="1" spans="2:2">
      <c r="B17486" s="62" t="str">
        <f>IF(AND('领用录入（明细）'!D:D=$F$4,'领用录入（明细）'!C:C&gt;=$J$4,'领用录入（明细）'!C:C&lt;=$L$4),ROW(),"-")</f>
        <v>-</v>
      </c>
    </row>
    <row r="17487" customHeight="1" spans="2:2">
      <c r="B17487" s="62" t="str">
        <f>IF(AND('领用录入（明细）'!D:D=$F$4,'领用录入（明细）'!C:C&gt;=$J$4,'领用录入（明细）'!C:C&lt;=$L$4),ROW(),"-")</f>
        <v>-</v>
      </c>
    </row>
    <row r="17488" customHeight="1" spans="2:2">
      <c r="B17488" s="62" t="str">
        <f>IF(AND('领用录入（明细）'!D:D=$F$4,'领用录入（明细）'!C:C&gt;=$J$4,'领用录入（明细）'!C:C&lt;=$L$4),ROW(),"-")</f>
        <v>-</v>
      </c>
    </row>
    <row r="17489" customHeight="1" spans="2:2">
      <c r="B17489" s="62" t="str">
        <f>IF(AND('领用录入（明细）'!D:D=$F$4,'领用录入（明细）'!C:C&gt;=$J$4,'领用录入（明细）'!C:C&lt;=$L$4),ROW(),"-")</f>
        <v>-</v>
      </c>
    </row>
    <row r="17490" customHeight="1" spans="2:2">
      <c r="B17490" s="62" t="str">
        <f>IF(AND('领用录入（明细）'!D:D=$F$4,'领用录入（明细）'!C:C&gt;=$J$4,'领用录入（明细）'!C:C&lt;=$L$4),ROW(),"-")</f>
        <v>-</v>
      </c>
    </row>
    <row r="17491" customHeight="1" spans="2:2">
      <c r="B17491" s="62" t="str">
        <f>IF(AND('领用录入（明细）'!D:D=$F$4,'领用录入（明细）'!C:C&gt;=$J$4,'领用录入（明细）'!C:C&lt;=$L$4),ROW(),"-")</f>
        <v>-</v>
      </c>
    </row>
    <row r="17492" customHeight="1" spans="2:2">
      <c r="B17492" s="62" t="str">
        <f>IF(AND('领用录入（明细）'!D:D=$F$4,'领用录入（明细）'!C:C&gt;=$J$4,'领用录入（明细）'!C:C&lt;=$L$4),ROW(),"-")</f>
        <v>-</v>
      </c>
    </row>
    <row r="17493" customHeight="1" spans="2:2">
      <c r="B17493" s="62" t="str">
        <f>IF(AND('领用录入（明细）'!D:D=$F$4,'领用录入（明细）'!C:C&gt;=$J$4,'领用录入（明细）'!C:C&lt;=$L$4),ROW(),"-")</f>
        <v>-</v>
      </c>
    </row>
    <row r="17494" customHeight="1" spans="2:2">
      <c r="B17494" s="62" t="str">
        <f>IF(AND('领用录入（明细）'!D:D=$F$4,'领用录入（明细）'!C:C&gt;=$J$4,'领用录入（明细）'!C:C&lt;=$L$4),ROW(),"-")</f>
        <v>-</v>
      </c>
    </row>
    <row r="17495" customHeight="1" spans="2:2">
      <c r="B17495" s="62" t="str">
        <f>IF(AND('领用录入（明细）'!D:D=$F$4,'领用录入（明细）'!C:C&gt;=$J$4,'领用录入（明细）'!C:C&lt;=$L$4),ROW(),"-")</f>
        <v>-</v>
      </c>
    </row>
    <row r="17496" customHeight="1" spans="2:2">
      <c r="B17496" s="62" t="str">
        <f>IF(AND('领用录入（明细）'!D:D=$F$4,'领用录入（明细）'!C:C&gt;=$J$4,'领用录入（明细）'!C:C&lt;=$L$4),ROW(),"-")</f>
        <v>-</v>
      </c>
    </row>
    <row r="17497" customHeight="1" spans="2:2">
      <c r="B17497" s="62" t="str">
        <f>IF(AND('领用录入（明细）'!D:D=$F$4,'领用录入（明细）'!C:C&gt;=$J$4,'领用录入（明细）'!C:C&lt;=$L$4),ROW(),"-")</f>
        <v>-</v>
      </c>
    </row>
    <row r="17498" customHeight="1" spans="2:2">
      <c r="B17498" s="62" t="str">
        <f>IF(AND('领用录入（明细）'!D:D=$F$4,'领用录入（明细）'!C:C&gt;=$J$4,'领用录入（明细）'!C:C&lt;=$L$4),ROW(),"-")</f>
        <v>-</v>
      </c>
    </row>
    <row r="17499" customHeight="1" spans="2:2">
      <c r="B17499" s="62" t="str">
        <f>IF(AND('领用录入（明细）'!D:D=$F$4,'领用录入（明细）'!C:C&gt;=$J$4,'领用录入（明细）'!C:C&lt;=$L$4),ROW(),"-")</f>
        <v>-</v>
      </c>
    </row>
    <row r="17500" customHeight="1" spans="2:2">
      <c r="B17500" s="62" t="str">
        <f>IF(AND('领用录入（明细）'!D:D=$F$4,'领用录入（明细）'!C:C&gt;=$J$4,'领用录入（明细）'!C:C&lt;=$L$4),ROW(),"-")</f>
        <v>-</v>
      </c>
    </row>
    <row r="17501" customHeight="1" spans="2:2">
      <c r="B17501" s="62" t="str">
        <f>IF(AND('领用录入（明细）'!D:D=$F$4,'领用录入（明细）'!C:C&gt;=$J$4,'领用录入（明细）'!C:C&lt;=$L$4),ROW(),"-")</f>
        <v>-</v>
      </c>
    </row>
    <row r="17502" customHeight="1" spans="2:2">
      <c r="B17502" s="62" t="str">
        <f>IF(AND('领用录入（明细）'!D:D=$F$4,'领用录入（明细）'!C:C&gt;=$J$4,'领用录入（明细）'!C:C&lt;=$L$4),ROW(),"-")</f>
        <v>-</v>
      </c>
    </row>
    <row r="17503" customHeight="1" spans="2:2">
      <c r="B17503" s="62" t="str">
        <f>IF(AND('领用录入（明细）'!D:D=$F$4,'领用录入（明细）'!C:C&gt;=$J$4,'领用录入（明细）'!C:C&lt;=$L$4),ROW(),"-")</f>
        <v>-</v>
      </c>
    </row>
    <row r="17504" customHeight="1" spans="2:2">
      <c r="B17504" s="62" t="str">
        <f>IF(AND('领用录入（明细）'!D:D=$F$4,'领用录入（明细）'!C:C&gt;=$J$4,'领用录入（明细）'!C:C&lt;=$L$4),ROW(),"-")</f>
        <v>-</v>
      </c>
    </row>
    <row r="17505" customHeight="1" spans="2:2">
      <c r="B17505" s="62" t="str">
        <f>IF(AND('领用录入（明细）'!D:D=$F$4,'领用录入（明细）'!C:C&gt;=$J$4,'领用录入（明细）'!C:C&lt;=$L$4),ROW(),"-")</f>
        <v>-</v>
      </c>
    </row>
    <row r="17506" customHeight="1" spans="2:2">
      <c r="B17506" s="62" t="str">
        <f>IF(AND('领用录入（明细）'!D:D=$F$4,'领用录入（明细）'!C:C&gt;=$J$4,'领用录入（明细）'!C:C&lt;=$L$4),ROW(),"-")</f>
        <v>-</v>
      </c>
    </row>
    <row r="17507" customHeight="1" spans="2:2">
      <c r="B17507" s="62" t="str">
        <f>IF(AND('领用录入（明细）'!D:D=$F$4,'领用录入（明细）'!C:C&gt;=$J$4,'领用录入（明细）'!C:C&lt;=$L$4),ROW(),"-")</f>
        <v>-</v>
      </c>
    </row>
    <row r="17508" customHeight="1" spans="2:2">
      <c r="B17508" s="62" t="str">
        <f>IF(AND('领用录入（明细）'!D:D=$F$4,'领用录入（明细）'!C:C&gt;=$J$4,'领用录入（明细）'!C:C&lt;=$L$4),ROW(),"-")</f>
        <v>-</v>
      </c>
    </row>
    <row r="17509" customHeight="1" spans="2:2">
      <c r="B17509" s="62" t="str">
        <f>IF(AND('领用录入（明细）'!D:D=$F$4,'领用录入（明细）'!C:C&gt;=$J$4,'领用录入（明细）'!C:C&lt;=$L$4),ROW(),"-")</f>
        <v>-</v>
      </c>
    </row>
    <row r="17510" customHeight="1" spans="2:2">
      <c r="B17510" s="62" t="str">
        <f>IF(AND('领用录入（明细）'!D:D=$F$4,'领用录入（明细）'!C:C&gt;=$J$4,'领用录入（明细）'!C:C&lt;=$L$4),ROW(),"-")</f>
        <v>-</v>
      </c>
    </row>
    <row r="17511" customHeight="1" spans="2:2">
      <c r="B17511" s="62" t="str">
        <f>IF(AND('领用录入（明细）'!D:D=$F$4,'领用录入（明细）'!C:C&gt;=$J$4,'领用录入（明细）'!C:C&lt;=$L$4),ROW(),"-")</f>
        <v>-</v>
      </c>
    </row>
    <row r="17512" customHeight="1" spans="2:2">
      <c r="B17512" s="62" t="str">
        <f>IF(AND('领用录入（明细）'!D:D=$F$4,'领用录入（明细）'!C:C&gt;=$J$4,'领用录入（明细）'!C:C&lt;=$L$4),ROW(),"-")</f>
        <v>-</v>
      </c>
    </row>
    <row r="17513" customHeight="1" spans="2:2">
      <c r="B17513" s="62" t="str">
        <f>IF(AND('领用录入（明细）'!D:D=$F$4,'领用录入（明细）'!C:C&gt;=$J$4,'领用录入（明细）'!C:C&lt;=$L$4),ROW(),"-")</f>
        <v>-</v>
      </c>
    </row>
    <row r="17514" customHeight="1" spans="2:2">
      <c r="B17514" s="62" t="str">
        <f>IF(AND('领用录入（明细）'!D:D=$F$4,'领用录入（明细）'!C:C&gt;=$J$4,'领用录入（明细）'!C:C&lt;=$L$4),ROW(),"-")</f>
        <v>-</v>
      </c>
    </row>
    <row r="17515" customHeight="1" spans="2:2">
      <c r="B17515" s="62" t="str">
        <f>IF(AND('领用录入（明细）'!D:D=$F$4,'领用录入（明细）'!C:C&gt;=$J$4,'领用录入（明细）'!C:C&lt;=$L$4),ROW(),"-")</f>
        <v>-</v>
      </c>
    </row>
    <row r="17516" customHeight="1" spans="2:2">
      <c r="B17516" s="62" t="str">
        <f>IF(AND('领用录入（明细）'!D:D=$F$4,'领用录入（明细）'!C:C&gt;=$J$4,'领用录入（明细）'!C:C&lt;=$L$4),ROW(),"-")</f>
        <v>-</v>
      </c>
    </row>
    <row r="17517" customHeight="1" spans="2:2">
      <c r="B17517" s="62" t="str">
        <f>IF(AND('领用录入（明细）'!D:D=$F$4,'领用录入（明细）'!C:C&gt;=$J$4,'领用录入（明细）'!C:C&lt;=$L$4),ROW(),"-")</f>
        <v>-</v>
      </c>
    </row>
    <row r="17518" customHeight="1" spans="2:2">
      <c r="B17518" s="62" t="str">
        <f>IF(AND('领用录入（明细）'!D:D=$F$4,'领用录入（明细）'!C:C&gt;=$J$4,'领用录入（明细）'!C:C&lt;=$L$4),ROW(),"-")</f>
        <v>-</v>
      </c>
    </row>
    <row r="17519" customHeight="1" spans="2:2">
      <c r="B17519" s="62" t="str">
        <f>IF(AND('领用录入（明细）'!D:D=$F$4,'领用录入（明细）'!C:C&gt;=$J$4,'领用录入（明细）'!C:C&lt;=$L$4),ROW(),"-")</f>
        <v>-</v>
      </c>
    </row>
    <row r="17520" customHeight="1" spans="2:2">
      <c r="B17520" s="62" t="str">
        <f>IF(AND('领用录入（明细）'!D:D=$F$4,'领用录入（明细）'!C:C&gt;=$J$4,'领用录入（明细）'!C:C&lt;=$L$4),ROW(),"-")</f>
        <v>-</v>
      </c>
    </row>
    <row r="17521" customHeight="1" spans="2:2">
      <c r="B17521" s="62" t="str">
        <f>IF(AND('领用录入（明细）'!D:D=$F$4,'领用录入（明细）'!C:C&gt;=$J$4,'领用录入（明细）'!C:C&lt;=$L$4),ROW(),"-")</f>
        <v>-</v>
      </c>
    </row>
    <row r="17522" customHeight="1" spans="2:2">
      <c r="B17522" s="62" t="str">
        <f>IF(AND('领用录入（明细）'!D:D=$F$4,'领用录入（明细）'!C:C&gt;=$J$4,'领用录入（明细）'!C:C&lt;=$L$4),ROW(),"-")</f>
        <v>-</v>
      </c>
    </row>
    <row r="17523" customHeight="1" spans="2:2">
      <c r="B17523" s="62" t="str">
        <f>IF(AND('领用录入（明细）'!D:D=$F$4,'领用录入（明细）'!C:C&gt;=$J$4,'领用录入（明细）'!C:C&lt;=$L$4),ROW(),"-")</f>
        <v>-</v>
      </c>
    </row>
    <row r="17524" customHeight="1" spans="2:2">
      <c r="B17524" s="62" t="str">
        <f>IF(AND('领用录入（明细）'!D:D=$F$4,'领用录入（明细）'!C:C&gt;=$J$4,'领用录入（明细）'!C:C&lt;=$L$4),ROW(),"-")</f>
        <v>-</v>
      </c>
    </row>
    <row r="17525" customHeight="1" spans="2:2">
      <c r="B17525" s="62" t="str">
        <f>IF(AND('领用录入（明细）'!D:D=$F$4,'领用录入（明细）'!C:C&gt;=$J$4,'领用录入（明细）'!C:C&lt;=$L$4),ROW(),"-")</f>
        <v>-</v>
      </c>
    </row>
    <row r="17526" customHeight="1" spans="2:2">
      <c r="B17526" s="62" t="str">
        <f>IF(AND('领用录入（明细）'!D:D=$F$4,'领用录入（明细）'!C:C&gt;=$J$4,'领用录入（明细）'!C:C&lt;=$L$4),ROW(),"-")</f>
        <v>-</v>
      </c>
    </row>
    <row r="17527" customHeight="1" spans="2:2">
      <c r="B17527" s="62" t="str">
        <f>IF(AND('领用录入（明细）'!D:D=$F$4,'领用录入（明细）'!C:C&gt;=$J$4,'领用录入（明细）'!C:C&lt;=$L$4),ROW(),"-")</f>
        <v>-</v>
      </c>
    </row>
    <row r="17528" customHeight="1" spans="2:2">
      <c r="B17528" s="62" t="str">
        <f>IF(AND('领用录入（明细）'!D:D=$F$4,'领用录入（明细）'!C:C&gt;=$J$4,'领用录入（明细）'!C:C&lt;=$L$4),ROW(),"-")</f>
        <v>-</v>
      </c>
    </row>
    <row r="17529" customHeight="1" spans="2:2">
      <c r="B17529" s="62" t="str">
        <f>IF(AND('领用录入（明细）'!D:D=$F$4,'领用录入（明细）'!C:C&gt;=$J$4,'领用录入（明细）'!C:C&lt;=$L$4),ROW(),"-")</f>
        <v>-</v>
      </c>
    </row>
    <row r="17530" customHeight="1" spans="2:2">
      <c r="B17530" s="62" t="str">
        <f>IF(AND('领用录入（明细）'!D:D=$F$4,'领用录入（明细）'!C:C&gt;=$J$4,'领用录入（明细）'!C:C&lt;=$L$4),ROW(),"-")</f>
        <v>-</v>
      </c>
    </row>
    <row r="17531" customHeight="1" spans="2:2">
      <c r="B17531" s="62" t="str">
        <f>IF(AND('领用录入（明细）'!D:D=$F$4,'领用录入（明细）'!C:C&gt;=$J$4,'领用录入（明细）'!C:C&lt;=$L$4),ROW(),"-")</f>
        <v>-</v>
      </c>
    </row>
    <row r="17532" customHeight="1" spans="2:2">
      <c r="B17532" s="62" t="str">
        <f>IF(AND('领用录入（明细）'!D:D=$F$4,'领用录入（明细）'!C:C&gt;=$J$4,'领用录入（明细）'!C:C&lt;=$L$4),ROW(),"-")</f>
        <v>-</v>
      </c>
    </row>
    <row r="17533" customHeight="1" spans="2:2">
      <c r="B17533" s="62" t="str">
        <f>IF(AND('领用录入（明细）'!D:D=$F$4,'领用录入（明细）'!C:C&gt;=$J$4,'领用录入（明细）'!C:C&lt;=$L$4),ROW(),"-")</f>
        <v>-</v>
      </c>
    </row>
    <row r="17534" customHeight="1" spans="2:2">
      <c r="B17534" s="62" t="str">
        <f>IF(AND('领用录入（明细）'!D:D=$F$4,'领用录入（明细）'!C:C&gt;=$J$4,'领用录入（明细）'!C:C&lt;=$L$4),ROW(),"-")</f>
        <v>-</v>
      </c>
    </row>
    <row r="17535" customHeight="1" spans="2:2">
      <c r="B17535" s="62" t="str">
        <f>IF(AND('领用录入（明细）'!D:D=$F$4,'领用录入（明细）'!C:C&gt;=$J$4,'领用录入（明细）'!C:C&lt;=$L$4),ROW(),"-")</f>
        <v>-</v>
      </c>
    </row>
    <row r="17536" customHeight="1" spans="2:2">
      <c r="B17536" s="62" t="str">
        <f>IF(AND('领用录入（明细）'!D:D=$F$4,'领用录入（明细）'!C:C&gt;=$J$4,'领用录入（明细）'!C:C&lt;=$L$4),ROW(),"-")</f>
        <v>-</v>
      </c>
    </row>
    <row r="17537" customHeight="1" spans="2:2">
      <c r="B17537" s="62" t="str">
        <f>IF(AND('领用录入（明细）'!D:D=$F$4,'领用录入（明细）'!C:C&gt;=$J$4,'领用录入（明细）'!C:C&lt;=$L$4),ROW(),"-")</f>
        <v>-</v>
      </c>
    </row>
    <row r="17538" customHeight="1" spans="2:2">
      <c r="B17538" s="62" t="str">
        <f>IF(AND('领用录入（明细）'!D:D=$F$4,'领用录入（明细）'!C:C&gt;=$J$4,'领用录入（明细）'!C:C&lt;=$L$4),ROW(),"-")</f>
        <v>-</v>
      </c>
    </row>
    <row r="17539" customHeight="1" spans="2:2">
      <c r="B17539" s="62" t="str">
        <f>IF(AND('领用录入（明细）'!D:D=$F$4,'领用录入（明细）'!C:C&gt;=$J$4,'领用录入（明细）'!C:C&lt;=$L$4),ROW(),"-")</f>
        <v>-</v>
      </c>
    </row>
    <row r="17540" customHeight="1" spans="2:2">
      <c r="B17540" s="62" t="str">
        <f>IF(AND('领用录入（明细）'!D:D=$F$4,'领用录入（明细）'!C:C&gt;=$J$4,'领用录入（明细）'!C:C&lt;=$L$4),ROW(),"-")</f>
        <v>-</v>
      </c>
    </row>
    <row r="17541" customHeight="1" spans="2:2">
      <c r="B17541" s="62" t="str">
        <f>IF(AND('领用录入（明细）'!D:D=$F$4,'领用录入（明细）'!C:C&gt;=$J$4,'领用录入（明细）'!C:C&lt;=$L$4),ROW(),"-")</f>
        <v>-</v>
      </c>
    </row>
    <row r="17542" customHeight="1" spans="2:2">
      <c r="B17542" s="62" t="str">
        <f>IF(AND('领用录入（明细）'!D:D=$F$4,'领用录入（明细）'!C:C&gt;=$J$4,'领用录入（明细）'!C:C&lt;=$L$4),ROW(),"-")</f>
        <v>-</v>
      </c>
    </row>
    <row r="17543" customHeight="1" spans="2:2">
      <c r="B17543" s="62" t="str">
        <f>IF(AND('领用录入（明细）'!D:D=$F$4,'领用录入（明细）'!C:C&gt;=$J$4,'领用录入（明细）'!C:C&lt;=$L$4),ROW(),"-")</f>
        <v>-</v>
      </c>
    </row>
    <row r="17544" customHeight="1" spans="2:2">
      <c r="B17544" s="62" t="str">
        <f>IF(AND('领用录入（明细）'!D:D=$F$4,'领用录入（明细）'!C:C&gt;=$J$4,'领用录入（明细）'!C:C&lt;=$L$4),ROW(),"-")</f>
        <v>-</v>
      </c>
    </row>
    <row r="17545" customHeight="1" spans="2:2">
      <c r="B17545" s="62" t="str">
        <f>IF(AND('领用录入（明细）'!D:D=$F$4,'领用录入（明细）'!C:C&gt;=$J$4,'领用录入（明细）'!C:C&lt;=$L$4),ROW(),"-")</f>
        <v>-</v>
      </c>
    </row>
    <row r="17546" customHeight="1" spans="2:2">
      <c r="B17546" s="62" t="str">
        <f>IF(AND('领用录入（明细）'!D:D=$F$4,'领用录入（明细）'!C:C&gt;=$J$4,'领用录入（明细）'!C:C&lt;=$L$4),ROW(),"-")</f>
        <v>-</v>
      </c>
    </row>
    <row r="17547" customHeight="1" spans="2:2">
      <c r="B17547" s="62" t="str">
        <f>IF(AND('领用录入（明细）'!D:D=$F$4,'领用录入（明细）'!C:C&gt;=$J$4,'领用录入（明细）'!C:C&lt;=$L$4),ROW(),"-")</f>
        <v>-</v>
      </c>
    </row>
    <row r="17548" customHeight="1" spans="2:2">
      <c r="B17548" s="62" t="str">
        <f>IF(AND('领用录入（明细）'!D:D=$F$4,'领用录入（明细）'!C:C&gt;=$J$4,'领用录入（明细）'!C:C&lt;=$L$4),ROW(),"-")</f>
        <v>-</v>
      </c>
    </row>
    <row r="17549" customHeight="1" spans="2:2">
      <c r="B17549" s="62" t="str">
        <f>IF(AND('领用录入（明细）'!D:D=$F$4,'领用录入（明细）'!C:C&gt;=$J$4,'领用录入（明细）'!C:C&lt;=$L$4),ROW(),"-")</f>
        <v>-</v>
      </c>
    </row>
    <row r="17550" customHeight="1" spans="2:2">
      <c r="B17550" s="62" t="str">
        <f>IF(AND('领用录入（明细）'!D:D=$F$4,'领用录入（明细）'!C:C&gt;=$J$4,'领用录入（明细）'!C:C&lt;=$L$4),ROW(),"-")</f>
        <v>-</v>
      </c>
    </row>
    <row r="17551" customHeight="1" spans="2:2">
      <c r="B17551" s="62" t="str">
        <f>IF(AND('领用录入（明细）'!D:D=$F$4,'领用录入（明细）'!C:C&gt;=$J$4,'领用录入（明细）'!C:C&lt;=$L$4),ROW(),"-")</f>
        <v>-</v>
      </c>
    </row>
    <row r="17552" customHeight="1" spans="2:2">
      <c r="B17552" s="62" t="str">
        <f>IF(AND('领用录入（明细）'!D:D=$F$4,'领用录入（明细）'!C:C&gt;=$J$4,'领用录入（明细）'!C:C&lt;=$L$4),ROW(),"-")</f>
        <v>-</v>
      </c>
    </row>
    <row r="17553" customHeight="1" spans="2:2">
      <c r="B17553" s="62" t="str">
        <f>IF(AND('领用录入（明细）'!D:D=$F$4,'领用录入（明细）'!C:C&gt;=$J$4,'领用录入（明细）'!C:C&lt;=$L$4),ROW(),"-")</f>
        <v>-</v>
      </c>
    </row>
    <row r="17554" customHeight="1" spans="2:2">
      <c r="B17554" s="62" t="str">
        <f>IF(AND('领用录入（明细）'!D:D=$F$4,'领用录入（明细）'!C:C&gt;=$J$4,'领用录入（明细）'!C:C&lt;=$L$4),ROW(),"-")</f>
        <v>-</v>
      </c>
    </row>
    <row r="17555" customHeight="1" spans="2:2">
      <c r="B17555" s="62" t="str">
        <f>IF(AND('领用录入（明细）'!D:D=$F$4,'领用录入（明细）'!C:C&gt;=$J$4,'领用录入（明细）'!C:C&lt;=$L$4),ROW(),"-")</f>
        <v>-</v>
      </c>
    </row>
    <row r="17556" customHeight="1" spans="2:2">
      <c r="B17556" s="62" t="str">
        <f>IF(AND('领用录入（明细）'!D:D=$F$4,'领用录入（明细）'!C:C&gt;=$J$4,'领用录入（明细）'!C:C&lt;=$L$4),ROW(),"-")</f>
        <v>-</v>
      </c>
    </row>
    <row r="17557" customHeight="1" spans="2:2">
      <c r="B17557" s="62" t="str">
        <f>IF(AND('领用录入（明细）'!D:D=$F$4,'领用录入（明细）'!C:C&gt;=$J$4,'领用录入（明细）'!C:C&lt;=$L$4),ROW(),"-")</f>
        <v>-</v>
      </c>
    </row>
    <row r="17558" customHeight="1" spans="2:2">
      <c r="B17558" s="62" t="str">
        <f>IF(AND('领用录入（明细）'!D:D=$F$4,'领用录入（明细）'!C:C&gt;=$J$4,'领用录入（明细）'!C:C&lt;=$L$4),ROW(),"-")</f>
        <v>-</v>
      </c>
    </row>
    <row r="17559" customHeight="1" spans="2:2">
      <c r="B17559" s="62" t="str">
        <f>IF(AND('领用录入（明细）'!D:D=$F$4,'领用录入（明细）'!C:C&gt;=$J$4,'领用录入（明细）'!C:C&lt;=$L$4),ROW(),"-")</f>
        <v>-</v>
      </c>
    </row>
    <row r="17560" customHeight="1" spans="2:2">
      <c r="B17560" s="62" t="str">
        <f>IF(AND('领用录入（明细）'!D:D=$F$4,'领用录入（明细）'!C:C&gt;=$J$4,'领用录入（明细）'!C:C&lt;=$L$4),ROW(),"-")</f>
        <v>-</v>
      </c>
    </row>
    <row r="17561" customHeight="1" spans="2:2">
      <c r="B17561" s="62" t="str">
        <f>IF(AND('领用录入（明细）'!D:D=$F$4,'领用录入（明细）'!C:C&gt;=$J$4,'领用录入（明细）'!C:C&lt;=$L$4),ROW(),"-")</f>
        <v>-</v>
      </c>
    </row>
    <row r="17562" customHeight="1" spans="2:2">
      <c r="B17562" s="62" t="str">
        <f>IF(AND('领用录入（明细）'!D:D=$F$4,'领用录入（明细）'!C:C&gt;=$J$4,'领用录入（明细）'!C:C&lt;=$L$4),ROW(),"-")</f>
        <v>-</v>
      </c>
    </row>
    <row r="17563" customHeight="1" spans="2:2">
      <c r="B17563" s="62" t="str">
        <f>IF(AND('领用录入（明细）'!D:D=$F$4,'领用录入（明细）'!C:C&gt;=$J$4,'领用录入（明细）'!C:C&lt;=$L$4),ROW(),"-")</f>
        <v>-</v>
      </c>
    </row>
    <row r="17564" customHeight="1" spans="2:2">
      <c r="B17564" s="62" t="str">
        <f>IF(AND('领用录入（明细）'!D:D=$F$4,'领用录入（明细）'!C:C&gt;=$J$4,'领用录入（明细）'!C:C&lt;=$L$4),ROW(),"-")</f>
        <v>-</v>
      </c>
    </row>
    <row r="17565" customHeight="1" spans="2:2">
      <c r="B17565" s="62" t="str">
        <f>IF(AND('领用录入（明细）'!D:D=$F$4,'领用录入（明细）'!C:C&gt;=$J$4,'领用录入（明细）'!C:C&lt;=$L$4),ROW(),"-")</f>
        <v>-</v>
      </c>
    </row>
    <row r="17566" customHeight="1" spans="2:2">
      <c r="B17566" s="62" t="str">
        <f>IF(AND('领用录入（明细）'!D:D=$F$4,'领用录入（明细）'!C:C&gt;=$J$4,'领用录入（明细）'!C:C&lt;=$L$4),ROW(),"-")</f>
        <v>-</v>
      </c>
    </row>
    <row r="17567" customHeight="1" spans="2:2">
      <c r="B17567" s="62" t="str">
        <f>IF(AND('领用录入（明细）'!D:D=$F$4,'领用录入（明细）'!C:C&gt;=$J$4,'领用录入（明细）'!C:C&lt;=$L$4),ROW(),"-")</f>
        <v>-</v>
      </c>
    </row>
    <row r="17568" customHeight="1" spans="2:2">
      <c r="B17568" s="62" t="str">
        <f>IF(AND('领用录入（明细）'!D:D=$F$4,'领用录入（明细）'!C:C&gt;=$J$4,'领用录入（明细）'!C:C&lt;=$L$4),ROW(),"-")</f>
        <v>-</v>
      </c>
    </row>
    <row r="17569" customHeight="1" spans="2:2">
      <c r="B17569" s="62" t="str">
        <f>IF(AND('领用录入（明细）'!D:D=$F$4,'领用录入（明细）'!C:C&gt;=$J$4,'领用录入（明细）'!C:C&lt;=$L$4),ROW(),"-")</f>
        <v>-</v>
      </c>
    </row>
    <row r="17570" customHeight="1" spans="2:2">
      <c r="B17570" s="62" t="str">
        <f>IF(AND('领用录入（明细）'!D:D=$F$4,'领用录入（明细）'!C:C&gt;=$J$4,'领用录入（明细）'!C:C&lt;=$L$4),ROW(),"-")</f>
        <v>-</v>
      </c>
    </row>
    <row r="17571" customHeight="1" spans="2:2">
      <c r="B17571" s="62" t="str">
        <f>IF(AND('领用录入（明细）'!D:D=$F$4,'领用录入（明细）'!C:C&gt;=$J$4,'领用录入（明细）'!C:C&lt;=$L$4),ROW(),"-")</f>
        <v>-</v>
      </c>
    </row>
    <row r="17572" customHeight="1" spans="2:2">
      <c r="B17572" s="62" t="str">
        <f>IF(AND('领用录入（明细）'!D:D=$F$4,'领用录入（明细）'!C:C&gt;=$J$4,'领用录入（明细）'!C:C&lt;=$L$4),ROW(),"-")</f>
        <v>-</v>
      </c>
    </row>
    <row r="17573" customHeight="1" spans="2:2">
      <c r="B17573" s="62" t="str">
        <f>IF(AND('领用录入（明细）'!D:D=$F$4,'领用录入（明细）'!C:C&gt;=$J$4,'领用录入（明细）'!C:C&lt;=$L$4),ROW(),"-")</f>
        <v>-</v>
      </c>
    </row>
    <row r="17574" customHeight="1" spans="2:2">
      <c r="B17574" s="62" t="str">
        <f>IF(AND('领用录入（明细）'!D:D=$F$4,'领用录入（明细）'!C:C&gt;=$J$4,'领用录入（明细）'!C:C&lt;=$L$4),ROW(),"-")</f>
        <v>-</v>
      </c>
    </row>
    <row r="17575" customHeight="1" spans="2:2">
      <c r="B17575" s="62" t="str">
        <f>IF(AND('领用录入（明细）'!D:D=$F$4,'领用录入（明细）'!C:C&gt;=$J$4,'领用录入（明细）'!C:C&lt;=$L$4),ROW(),"-")</f>
        <v>-</v>
      </c>
    </row>
    <row r="17576" customHeight="1" spans="2:2">
      <c r="B17576" s="62" t="str">
        <f>IF(AND('领用录入（明细）'!D:D=$F$4,'领用录入（明细）'!C:C&gt;=$J$4,'领用录入（明细）'!C:C&lt;=$L$4),ROW(),"-")</f>
        <v>-</v>
      </c>
    </row>
    <row r="17577" customHeight="1" spans="2:2">
      <c r="B17577" s="62" t="str">
        <f>IF(AND('领用录入（明细）'!D:D=$F$4,'领用录入（明细）'!C:C&gt;=$J$4,'领用录入（明细）'!C:C&lt;=$L$4),ROW(),"-")</f>
        <v>-</v>
      </c>
    </row>
    <row r="17578" customHeight="1" spans="2:2">
      <c r="B17578" s="62" t="str">
        <f>IF(AND('领用录入（明细）'!D:D=$F$4,'领用录入（明细）'!C:C&gt;=$J$4,'领用录入（明细）'!C:C&lt;=$L$4),ROW(),"-")</f>
        <v>-</v>
      </c>
    </row>
    <row r="17579" customHeight="1" spans="2:2">
      <c r="B17579" s="62" t="str">
        <f>IF(AND('领用录入（明细）'!D:D=$F$4,'领用录入（明细）'!C:C&gt;=$J$4,'领用录入（明细）'!C:C&lt;=$L$4),ROW(),"-")</f>
        <v>-</v>
      </c>
    </row>
    <row r="17580" customHeight="1" spans="2:2">
      <c r="B17580" s="62" t="str">
        <f>IF(AND('领用录入（明细）'!D:D=$F$4,'领用录入（明细）'!C:C&gt;=$J$4,'领用录入（明细）'!C:C&lt;=$L$4),ROW(),"-")</f>
        <v>-</v>
      </c>
    </row>
    <row r="17581" customHeight="1" spans="2:2">
      <c r="B17581" s="62" t="str">
        <f>IF(AND('领用录入（明细）'!D:D=$F$4,'领用录入（明细）'!C:C&gt;=$J$4,'领用录入（明细）'!C:C&lt;=$L$4),ROW(),"-")</f>
        <v>-</v>
      </c>
    </row>
    <row r="17582" customHeight="1" spans="2:2">
      <c r="B17582" s="62" t="str">
        <f>IF(AND('领用录入（明细）'!D:D=$F$4,'领用录入（明细）'!C:C&gt;=$J$4,'领用录入（明细）'!C:C&lt;=$L$4),ROW(),"-")</f>
        <v>-</v>
      </c>
    </row>
    <row r="17583" customHeight="1" spans="2:2">
      <c r="B17583" s="62" t="str">
        <f>IF(AND('领用录入（明细）'!D:D=$F$4,'领用录入（明细）'!C:C&gt;=$J$4,'领用录入（明细）'!C:C&lt;=$L$4),ROW(),"-")</f>
        <v>-</v>
      </c>
    </row>
    <row r="17584" customHeight="1" spans="2:2">
      <c r="B17584" s="62" t="str">
        <f>IF(AND('领用录入（明细）'!D:D=$F$4,'领用录入（明细）'!C:C&gt;=$J$4,'领用录入（明细）'!C:C&lt;=$L$4),ROW(),"-")</f>
        <v>-</v>
      </c>
    </row>
    <row r="17585" customHeight="1" spans="2:2">
      <c r="B17585" s="62" t="str">
        <f>IF(AND('领用录入（明细）'!D:D=$F$4,'领用录入（明细）'!C:C&gt;=$J$4,'领用录入（明细）'!C:C&lt;=$L$4),ROW(),"-")</f>
        <v>-</v>
      </c>
    </row>
    <row r="17586" customHeight="1" spans="2:2">
      <c r="B17586" s="62" t="str">
        <f>IF(AND('领用录入（明细）'!D:D=$F$4,'领用录入（明细）'!C:C&gt;=$J$4,'领用录入（明细）'!C:C&lt;=$L$4),ROW(),"-")</f>
        <v>-</v>
      </c>
    </row>
    <row r="17587" customHeight="1" spans="2:2">
      <c r="B17587" s="62" t="str">
        <f>IF(AND('领用录入（明细）'!D:D=$F$4,'领用录入（明细）'!C:C&gt;=$J$4,'领用录入（明细）'!C:C&lt;=$L$4),ROW(),"-")</f>
        <v>-</v>
      </c>
    </row>
    <row r="17588" customHeight="1" spans="2:2">
      <c r="B17588" s="62" t="str">
        <f>IF(AND('领用录入（明细）'!D:D=$F$4,'领用录入（明细）'!C:C&gt;=$J$4,'领用录入（明细）'!C:C&lt;=$L$4),ROW(),"-")</f>
        <v>-</v>
      </c>
    </row>
    <row r="17589" customHeight="1" spans="2:2">
      <c r="B17589" s="62" t="str">
        <f>IF(AND('领用录入（明细）'!D:D=$F$4,'领用录入（明细）'!C:C&gt;=$J$4,'领用录入（明细）'!C:C&lt;=$L$4),ROW(),"-")</f>
        <v>-</v>
      </c>
    </row>
    <row r="17590" customHeight="1" spans="2:2">
      <c r="B17590" s="62" t="str">
        <f>IF(AND('领用录入（明细）'!D:D=$F$4,'领用录入（明细）'!C:C&gt;=$J$4,'领用录入（明细）'!C:C&lt;=$L$4),ROW(),"-")</f>
        <v>-</v>
      </c>
    </row>
    <row r="17591" customHeight="1" spans="2:2">
      <c r="B17591" s="62" t="str">
        <f>IF(AND('领用录入（明细）'!D:D=$F$4,'领用录入（明细）'!C:C&gt;=$J$4,'领用录入（明细）'!C:C&lt;=$L$4),ROW(),"-")</f>
        <v>-</v>
      </c>
    </row>
    <row r="17592" customHeight="1" spans="2:2">
      <c r="B17592" s="62" t="str">
        <f>IF(AND('领用录入（明细）'!D:D=$F$4,'领用录入（明细）'!C:C&gt;=$J$4,'领用录入（明细）'!C:C&lt;=$L$4),ROW(),"-")</f>
        <v>-</v>
      </c>
    </row>
    <row r="17593" customHeight="1" spans="2:2">
      <c r="B17593" s="62" t="str">
        <f>IF(AND('领用录入（明细）'!D:D=$F$4,'领用录入（明细）'!C:C&gt;=$J$4,'领用录入（明细）'!C:C&lt;=$L$4),ROW(),"-")</f>
        <v>-</v>
      </c>
    </row>
    <row r="17594" customHeight="1" spans="2:2">
      <c r="B17594" s="62" t="str">
        <f>IF(AND('领用录入（明细）'!D:D=$F$4,'领用录入（明细）'!C:C&gt;=$J$4,'领用录入（明细）'!C:C&lt;=$L$4),ROW(),"-")</f>
        <v>-</v>
      </c>
    </row>
    <row r="17595" customHeight="1" spans="2:2">
      <c r="B17595" s="62" t="str">
        <f>IF(AND('领用录入（明细）'!D:D=$F$4,'领用录入（明细）'!C:C&gt;=$J$4,'领用录入（明细）'!C:C&lt;=$L$4),ROW(),"-")</f>
        <v>-</v>
      </c>
    </row>
    <row r="17596" customHeight="1" spans="2:2">
      <c r="B17596" s="62" t="str">
        <f>IF(AND('领用录入（明细）'!D:D=$F$4,'领用录入（明细）'!C:C&gt;=$J$4,'领用录入（明细）'!C:C&lt;=$L$4),ROW(),"-")</f>
        <v>-</v>
      </c>
    </row>
    <row r="17597" customHeight="1" spans="2:2">
      <c r="B17597" s="62" t="str">
        <f>IF(AND('领用录入（明细）'!D:D=$F$4,'领用录入（明细）'!C:C&gt;=$J$4,'领用录入（明细）'!C:C&lt;=$L$4),ROW(),"-")</f>
        <v>-</v>
      </c>
    </row>
    <row r="17598" customHeight="1" spans="2:2">
      <c r="B17598" s="62" t="str">
        <f>IF(AND('领用录入（明细）'!D:D=$F$4,'领用录入（明细）'!C:C&gt;=$J$4,'领用录入（明细）'!C:C&lt;=$L$4),ROW(),"-")</f>
        <v>-</v>
      </c>
    </row>
    <row r="17599" customHeight="1" spans="2:2">
      <c r="B17599" s="62" t="str">
        <f>IF(AND('领用录入（明细）'!D:D=$F$4,'领用录入（明细）'!C:C&gt;=$J$4,'领用录入（明细）'!C:C&lt;=$L$4),ROW(),"-")</f>
        <v>-</v>
      </c>
    </row>
    <row r="17600" customHeight="1" spans="2:2">
      <c r="B17600" s="62" t="str">
        <f>IF(AND('领用录入（明细）'!D:D=$F$4,'领用录入（明细）'!C:C&gt;=$J$4,'领用录入（明细）'!C:C&lt;=$L$4),ROW(),"-")</f>
        <v>-</v>
      </c>
    </row>
    <row r="17601" customHeight="1" spans="2:2">
      <c r="B17601" s="62" t="str">
        <f>IF(AND('领用录入（明细）'!D:D=$F$4,'领用录入（明细）'!C:C&gt;=$J$4,'领用录入（明细）'!C:C&lt;=$L$4),ROW(),"-")</f>
        <v>-</v>
      </c>
    </row>
    <row r="17602" customHeight="1" spans="2:2">
      <c r="B17602" s="62" t="str">
        <f>IF(AND('领用录入（明细）'!D:D=$F$4,'领用录入（明细）'!C:C&gt;=$J$4,'领用录入（明细）'!C:C&lt;=$L$4),ROW(),"-")</f>
        <v>-</v>
      </c>
    </row>
    <row r="17603" customHeight="1" spans="2:2">
      <c r="B17603" s="62" t="str">
        <f>IF(AND('领用录入（明细）'!D:D=$F$4,'领用录入（明细）'!C:C&gt;=$J$4,'领用录入（明细）'!C:C&lt;=$L$4),ROW(),"-")</f>
        <v>-</v>
      </c>
    </row>
    <row r="17604" customHeight="1" spans="2:2">
      <c r="B17604" s="62" t="str">
        <f>IF(AND('领用录入（明细）'!D:D=$F$4,'领用录入（明细）'!C:C&gt;=$J$4,'领用录入（明细）'!C:C&lt;=$L$4),ROW(),"-")</f>
        <v>-</v>
      </c>
    </row>
    <row r="17605" customHeight="1" spans="2:2">
      <c r="B17605" s="62" t="str">
        <f>IF(AND('领用录入（明细）'!D:D=$F$4,'领用录入（明细）'!C:C&gt;=$J$4,'领用录入（明细）'!C:C&lt;=$L$4),ROW(),"-")</f>
        <v>-</v>
      </c>
    </row>
    <row r="17606" customHeight="1" spans="2:2">
      <c r="B17606" s="62" t="str">
        <f>IF(AND('领用录入（明细）'!D:D=$F$4,'领用录入（明细）'!C:C&gt;=$J$4,'领用录入（明细）'!C:C&lt;=$L$4),ROW(),"-")</f>
        <v>-</v>
      </c>
    </row>
    <row r="17607" customHeight="1" spans="2:2">
      <c r="B17607" s="62" t="str">
        <f>IF(AND('领用录入（明细）'!D:D=$F$4,'领用录入（明细）'!C:C&gt;=$J$4,'领用录入（明细）'!C:C&lt;=$L$4),ROW(),"-")</f>
        <v>-</v>
      </c>
    </row>
    <row r="17608" customHeight="1" spans="2:2">
      <c r="B17608" s="62" t="str">
        <f>IF(AND('领用录入（明细）'!D:D=$F$4,'领用录入（明细）'!C:C&gt;=$J$4,'领用录入（明细）'!C:C&lt;=$L$4),ROW(),"-")</f>
        <v>-</v>
      </c>
    </row>
    <row r="17609" customHeight="1" spans="2:2">
      <c r="B17609" s="62" t="str">
        <f>IF(AND('领用录入（明细）'!D:D=$F$4,'领用录入（明细）'!C:C&gt;=$J$4,'领用录入（明细）'!C:C&lt;=$L$4),ROW(),"-")</f>
        <v>-</v>
      </c>
    </row>
    <row r="17610" customHeight="1" spans="2:2">
      <c r="B17610" s="62" t="str">
        <f>IF(AND('领用录入（明细）'!D:D=$F$4,'领用录入（明细）'!C:C&gt;=$J$4,'领用录入（明细）'!C:C&lt;=$L$4),ROW(),"-")</f>
        <v>-</v>
      </c>
    </row>
    <row r="17611" customHeight="1" spans="2:2">
      <c r="B17611" s="62" t="str">
        <f>IF(AND('领用录入（明细）'!D:D=$F$4,'领用录入（明细）'!C:C&gt;=$J$4,'领用录入（明细）'!C:C&lt;=$L$4),ROW(),"-")</f>
        <v>-</v>
      </c>
    </row>
    <row r="17612" customHeight="1" spans="2:2">
      <c r="B17612" s="62" t="str">
        <f>IF(AND('领用录入（明细）'!D:D=$F$4,'领用录入（明细）'!C:C&gt;=$J$4,'领用录入（明细）'!C:C&lt;=$L$4),ROW(),"-")</f>
        <v>-</v>
      </c>
    </row>
    <row r="17613" customHeight="1" spans="2:2">
      <c r="B17613" s="62" t="str">
        <f>IF(AND('领用录入（明细）'!D:D=$F$4,'领用录入（明细）'!C:C&gt;=$J$4,'领用录入（明细）'!C:C&lt;=$L$4),ROW(),"-")</f>
        <v>-</v>
      </c>
    </row>
    <row r="17614" customHeight="1" spans="2:2">
      <c r="B17614" s="62" t="str">
        <f>IF(AND('领用录入（明细）'!D:D=$F$4,'领用录入（明细）'!C:C&gt;=$J$4,'领用录入（明细）'!C:C&lt;=$L$4),ROW(),"-")</f>
        <v>-</v>
      </c>
    </row>
    <row r="17615" customHeight="1" spans="2:2">
      <c r="B17615" s="62" t="str">
        <f>IF(AND('领用录入（明细）'!D:D=$F$4,'领用录入（明细）'!C:C&gt;=$J$4,'领用录入（明细）'!C:C&lt;=$L$4),ROW(),"-")</f>
        <v>-</v>
      </c>
    </row>
    <row r="17616" customHeight="1" spans="2:2">
      <c r="B17616" s="62" t="str">
        <f>IF(AND('领用录入（明细）'!D:D=$F$4,'领用录入（明细）'!C:C&gt;=$J$4,'领用录入（明细）'!C:C&lt;=$L$4),ROW(),"-")</f>
        <v>-</v>
      </c>
    </row>
    <row r="17617" customHeight="1" spans="2:2">
      <c r="B17617" s="62" t="str">
        <f>IF(AND('领用录入（明细）'!D:D=$F$4,'领用录入（明细）'!C:C&gt;=$J$4,'领用录入（明细）'!C:C&lt;=$L$4),ROW(),"-")</f>
        <v>-</v>
      </c>
    </row>
    <row r="17618" customHeight="1" spans="2:2">
      <c r="B17618" s="62" t="str">
        <f>IF(AND('领用录入（明细）'!D:D=$F$4,'领用录入（明细）'!C:C&gt;=$J$4,'领用录入（明细）'!C:C&lt;=$L$4),ROW(),"-")</f>
        <v>-</v>
      </c>
    </row>
    <row r="17619" customHeight="1" spans="2:2">
      <c r="B17619" s="62" t="str">
        <f>IF(AND('领用录入（明细）'!D:D=$F$4,'领用录入（明细）'!C:C&gt;=$J$4,'领用录入（明细）'!C:C&lt;=$L$4),ROW(),"-")</f>
        <v>-</v>
      </c>
    </row>
    <row r="17620" customHeight="1" spans="2:2">
      <c r="B17620" s="62" t="str">
        <f>IF(AND('领用录入（明细）'!D:D=$F$4,'领用录入（明细）'!C:C&gt;=$J$4,'领用录入（明细）'!C:C&lt;=$L$4),ROW(),"-")</f>
        <v>-</v>
      </c>
    </row>
    <row r="17621" customHeight="1" spans="2:2">
      <c r="B17621" s="62" t="str">
        <f>IF(AND('领用录入（明细）'!D:D=$F$4,'领用录入（明细）'!C:C&gt;=$J$4,'领用录入（明细）'!C:C&lt;=$L$4),ROW(),"-")</f>
        <v>-</v>
      </c>
    </row>
    <row r="17622" customHeight="1" spans="2:2">
      <c r="B17622" s="62" t="str">
        <f>IF(AND('领用录入（明细）'!D:D=$F$4,'领用录入（明细）'!C:C&gt;=$J$4,'领用录入（明细）'!C:C&lt;=$L$4),ROW(),"-")</f>
        <v>-</v>
      </c>
    </row>
    <row r="17623" customHeight="1" spans="2:2">
      <c r="B17623" s="62" t="str">
        <f>IF(AND('领用录入（明细）'!D:D=$F$4,'领用录入（明细）'!C:C&gt;=$J$4,'领用录入（明细）'!C:C&lt;=$L$4),ROW(),"-")</f>
        <v>-</v>
      </c>
    </row>
    <row r="17624" customHeight="1" spans="2:2">
      <c r="B17624" s="62" t="str">
        <f>IF(AND('领用录入（明细）'!D:D=$F$4,'领用录入（明细）'!C:C&gt;=$J$4,'领用录入（明细）'!C:C&lt;=$L$4),ROW(),"-")</f>
        <v>-</v>
      </c>
    </row>
    <row r="17625" customHeight="1" spans="2:2">
      <c r="B17625" s="62" t="str">
        <f>IF(AND('领用录入（明细）'!D:D=$F$4,'领用录入（明细）'!C:C&gt;=$J$4,'领用录入（明细）'!C:C&lt;=$L$4),ROW(),"-")</f>
        <v>-</v>
      </c>
    </row>
    <row r="17626" customHeight="1" spans="2:2">
      <c r="B17626" s="62" t="str">
        <f>IF(AND('领用录入（明细）'!D:D=$F$4,'领用录入（明细）'!C:C&gt;=$J$4,'领用录入（明细）'!C:C&lt;=$L$4),ROW(),"-")</f>
        <v>-</v>
      </c>
    </row>
    <row r="17627" customHeight="1" spans="2:2">
      <c r="B17627" s="62" t="str">
        <f>IF(AND('领用录入（明细）'!D:D=$F$4,'领用录入（明细）'!C:C&gt;=$J$4,'领用录入（明细）'!C:C&lt;=$L$4),ROW(),"-")</f>
        <v>-</v>
      </c>
    </row>
    <row r="17628" customHeight="1" spans="2:2">
      <c r="B17628" s="62" t="str">
        <f>IF(AND('领用录入（明细）'!D:D=$F$4,'领用录入（明细）'!C:C&gt;=$J$4,'领用录入（明细）'!C:C&lt;=$L$4),ROW(),"-")</f>
        <v>-</v>
      </c>
    </row>
    <row r="17629" customHeight="1" spans="2:2">
      <c r="B17629" s="62" t="str">
        <f>IF(AND('领用录入（明细）'!D:D=$F$4,'领用录入（明细）'!C:C&gt;=$J$4,'领用录入（明细）'!C:C&lt;=$L$4),ROW(),"-")</f>
        <v>-</v>
      </c>
    </row>
    <row r="17630" customHeight="1" spans="2:2">
      <c r="B17630" s="62" t="str">
        <f>IF(AND('领用录入（明细）'!D:D=$F$4,'领用录入（明细）'!C:C&gt;=$J$4,'领用录入（明细）'!C:C&lt;=$L$4),ROW(),"-")</f>
        <v>-</v>
      </c>
    </row>
    <row r="17631" customHeight="1" spans="2:2">
      <c r="B17631" s="62" t="str">
        <f>IF(AND('领用录入（明细）'!D:D=$F$4,'领用录入（明细）'!C:C&gt;=$J$4,'领用录入（明细）'!C:C&lt;=$L$4),ROW(),"-")</f>
        <v>-</v>
      </c>
    </row>
    <row r="17632" customHeight="1" spans="2:2">
      <c r="B17632" s="62" t="str">
        <f>IF(AND('领用录入（明细）'!D:D=$F$4,'领用录入（明细）'!C:C&gt;=$J$4,'领用录入（明细）'!C:C&lt;=$L$4),ROW(),"-")</f>
        <v>-</v>
      </c>
    </row>
    <row r="17633" customHeight="1" spans="2:2">
      <c r="B17633" s="62" t="str">
        <f>IF(AND('领用录入（明细）'!D:D=$F$4,'领用录入（明细）'!C:C&gt;=$J$4,'领用录入（明细）'!C:C&lt;=$L$4),ROW(),"-")</f>
        <v>-</v>
      </c>
    </row>
    <row r="17634" customHeight="1" spans="2:2">
      <c r="B17634" s="62" t="str">
        <f>IF(AND('领用录入（明细）'!D:D=$F$4,'领用录入（明细）'!C:C&gt;=$J$4,'领用录入（明细）'!C:C&lt;=$L$4),ROW(),"-")</f>
        <v>-</v>
      </c>
    </row>
    <row r="17635" customHeight="1" spans="2:2">
      <c r="B17635" s="62" t="str">
        <f>IF(AND('领用录入（明细）'!D:D=$F$4,'领用录入（明细）'!C:C&gt;=$J$4,'领用录入（明细）'!C:C&lt;=$L$4),ROW(),"-")</f>
        <v>-</v>
      </c>
    </row>
    <row r="17636" customHeight="1" spans="2:2">
      <c r="B17636" s="62" t="str">
        <f>IF(AND('领用录入（明细）'!D:D=$F$4,'领用录入（明细）'!C:C&gt;=$J$4,'领用录入（明细）'!C:C&lt;=$L$4),ROW(),"-")</f>
        <v>-</v>
      </c>
    </row>
    <row r="17637" customHeight="1" spans="2:2">
      <c r="B17637" s="62" t="str">
        <f>IF(AND('领用录入（明细）'!D:D=$F$4,'领用录入（明细）'!C:C&gt;=$J$4,'领用录入（明细）'!C:C&lt;=$L$4),ROW(),"-")</f>
        <v>-</v>
      </c>
    </row>
    <row r="17638" customHeight="1" spans="2:2">
      <c r="B17638" s="62" t="str">
        <f>IF(AND('领用录入（明细）'!D:D=$F$4,'领用录入（明细）'!C:C&gt;=$J$4,'领用录入（明细）'!C:C&lt;=$L$4),ROW(),"-")</f>
        <v>-</v>
      </c>
    </row>
    <row r="17639" customHeight="1" spans="2:2">
      <c r="B17639" s="62" t="str">
        <f>IF(AND('领用录入（明细）'!D:D=$F$4,'领用录入（明细）'!C:C&gt;=$J$4,'领用录入（明细）'!C:C&lt;=$L$4),ROW(),"-")</f>
        <v>-</v>
      </c>
    </row>
    <row r="17640" customHeight="1" spans="2:2">
      <c r="B17640" s="62" t="str">
        <f>IF(AND('领用录入（明细）'!D:D=$F$4,'领用录入（明细）'!C:C&gt;=$J$4,'领用录入（明细）'!C:C&lt;=$L$4),ROW(),"-")</f>
        <v>-</v>
      </c>
    </row>
    <row r="17641" customHeight="1" spans="2:2">
      <c r="B17641" s="62" t="str">
        <f>IF(AND('领用录入（明细）'!D:D=$F$4,'领用录入（明细）'!C:C&gt;=$J$4,'领用录入（明细）'!C:C&lt;=$L$4),ROW(),"-")</f>
        <v>-</v>
      </c>
    </row>
    <row r="17642" customHeight="1" spans="2:2">
      <c r="B17642" s="62" t="str">
        <f>IF(AND('领用录入（明细）'!D:D=$F$4,'领用录入（明细）'!C:C&gt;=$J$4,'领用录入（明细）'!C:C&lt;=$L$4),ROW(),"-")</f>
        <v>-</v>
      </c>
    </row>
    <row r="17643" customHeight="1" spans="2:2">
      <c r="B17643" s="62" t="str">
        <f>IF(AND('领用录入（明细）'!D:D=$F$4,'领用录入（明细）'!C:C&gt;=$J$4,'领用录入（明细）'!C:C&lt;=$L$4),ROW(),"-")</f>
        <v>-</v>
      </c>
    </row>
    <row r="17644" customHeight="1" spans="2:2">
      <c r="B17644" s="62" t="str">
        <f>IF(AND('领用录入（明细）'!D:D=$F$4,'领用录入（明细）'!C:C&gt;=$J$4,'领用录入（明细）'!C:C&lt;=$L$4),ROW(),"-")</f>
        <v>-</v>
      </c>
    </row>
    <row r="17645" customHeight="1" spans="2:2">
      <c r="B17645" s="62" t="str">
        <f>IF(AND('领用录入（明细）'!D:D=$F$4,'领用录入（明细）'!C:C&gt;=$J$4,'领用录入（明细）'!C:C&lt;=$L$4),ROW(),"-")</f>
        <v>-</v>
      </c>
    </row>
    <row r="17646" customHeight="1" spans="2:2">
      <c r="B17646" s="62" t="str">
        <f>IF(AND('领用录入（明细）'!D:D=$F$4,'领用录入（明细）'!C:C&gt;=$J$4,'领用录入（明细）'!C:C&lt;=$L$4),ROW(),"-")</f>
        <v>-</v>
      </c>
    </row>
    <row r="17647" customHeight="1" spans="2:2">
      <c r="B17647" s="62" t="str">
        <f>IF(AND('领用录入（明细）'!D:D=$F$4,'领用录入（明细）'!C:C&gt;=$J$4,'领用录入（明细）'!C:C&lt;=$L$4),ROW(),"-")</f>
        <v>-</v>
      </c>
    </row>
    <row r="17648" customHeight="1" spans="2:2">
      <c r="B17648" s="62" t="str">
        <f>IF(AND('领用录入（明细）'!D:D=$F$4,'领用录入（明细）'!C:C&gt;=$J$4,'领用录入（明细）'!C:C&lt;=$L$4),ROW(),"-")</f>
        <v>-</v>
      </c>
    </row>
    <row r="17649" customHeight="1" spans="2:2">
      <c r="B17649" s="62" t="str">
        <f>IF(AND('领用录入（明细）'!D:D=$F$4,'领用录入（明细）'!C:C&gt;=$J$4,'领用录入（明细）'!C:C&lt;=$L$4),ROW(),"-")</f>
        <v>-</v>
      </c>
    </row>
    <row r="17650" customHeight="1" spans="2:2">
      <c r="B17650" s="62" t="str">
        <f>IF(AND('领用录入（明细）'!D:D=$F$4,'领用录入（明细）'!C:C&gt;=$J$4,'领用录入（明细）'!C:C&lt;=$L$4),ROW(),"-")</f>
        <v>-</v>
      </c>
    </row>
    <row r="17651" customHeight="1" spans="2:2">
      <c r="B17651" s="62" t="str">
        <f>IF(AND('领用录入（明细）'!D:D=$F$4,'领用录入（明细）'!C:C&gt;=$J$4,'领用录入（明细）'!C:C&lt;=$L$4),ROW(),"-")</f>
        <v>-</v>
      </c>
    </row>
    <row r="17652" customHeight="1" spans="2:2">
      <c r="B17652" s="62" t="str">
        <f>IF(AND('领用录入（明细）'!D:D=$F$4,'领用录入（明细）'!C:C&gt;=$J$4,'领用录入（明细）'!C:C&lt;=$L$4),ROW(),"-")</f>
        <v>-</v>
      </c>
    </row>
    <row r="17653" customHeight="1" spans="2:2">
      <c r="B17653" s="62" t="str">
        <f>IF(AND('领用录入（明细）'!D:D=$F$4,'领用录入（明细）'!C:C&gt;=$J$4,'领用录入（明细）'!C:C&lt;=$L$4),ROW(),"-")</f>
        <v>-</v>
      </c>
    </row>
    <row r="17654" customHeight="1" spans="2:2">
      <c r="B17654" s="62" t="str">
        <f>IF(AND('领用录入（明细）'!D:D=$F$4,'领用录入（明细）'!C:C&gt;=$J$4,'领用录入（明细）'!C:C&lt;=$L$4),ROW(),"-")</f>
        <v>-</v>
      </c>
    </row>
    <row r="17655" customHeight="1" spans="2:2">
      <c r="B17655" s="62" t="str">
        <f>IF(AND('领用录入（明细）'!D:D=$F$4,'领用录入（明细）'!C:C&gt;=$J$4,'领用录入（明细）'!C:C&lt;=$L$4),ROW(),"-")</f>
        <v>-</v>
      </c>
    </row>
    <row r="17656" customHeight="1" spans="2:2">
      <c r="B17656" s="62" t="str">
        <f>IF(AND('领用录入（明细）'!D:D=$F$4,'领用录入（明细）'!C:C&gt;=$J$4,'领用录入（明细）'!C:C&lt;=$L$4),ROW(),"-")</f>
        <v>-</v>
      </c>
    </row>
    <row r="17657" customHeight="1" spans="2:2">
      <c r="B17657" s="62" t="str">
        <f>IF(AND('领用录入（明细）'!D:D=$F$4,'领用录入（明细）'!C:C&gt;=$J$4,'领用录入（明细）'!C:C&lt;=$L$4),ROW(),"-")</f>
        <v>-</v>
      </c>
    </row>
    <row r="17658" customHeight="1" spans="2:2">
      <c r="B17658" s="62" t="str">
        <f>IF(AND('领用录入（明细）'!D:D=$F$4,'领用录入（明细）'!C:C&gt;=$J$4,'领用录入（明细）'!C:C&lt;=$L$4),ROW(),"-")</f>
        <v>-</v>
      </c>
    </row>
    <row r="17659" customHeight="1" spans="2:2">
      <c r="B17659" s="62" t="str">
        <f>IF(AND('领用录入（明细）'!D:D=$F$4,'领用录入（明细）'!C:C&gt;=$J$4,'领用录入（明细）'!C:C&lt;=$L$4),ROW(),"-")</f>
        <v>-</v>
      </c>
    </row>
    <row r="17660" customHeight="1" spans="2:2">
      <c r="B17660" s="62" t="str">
        <f>IF(AND('领用录入（明细）'!D:D=$F$4,'领用录入（明细）'!C:C&gt;=$J$4,'领用录入（明细）'!C:C&lt;=$L$4),ROW(),"-")</f>
        <v>-</v>
      </c>
    </row>
    <row r="17661" customHeight="1" spans="2:2">
      <c r="B17661" s="62" t="str">
        <f>IF(AND('领用录入（明细）'!D:D=$F$4,'领用录入（明细）'!C:C&gt;=$J$4,'领用录入（明细）'!C:C&lt;=$L$4),ROW(),"-")</f>
        <v>-</v>
      </c>
    </row>
    <row r="17662" customHeight="1" spans="2:2">
      <c r="B17662" s="62" t="str">
        <f>IF(AND('领用录入（明细）'!D:D=$F$4,'领用录入（明细）'!C:C&gt;=$J$4,'领用录入（明细）'!C:C&lt;=$L$4),ROW(),"-")</f>
        <v>-</v>
      </c>
    </row>
    <row r="17663" customHeight="1" spans="2:2">
      <c r="B17663" s="62" t="str">
        <f>IF(AND('领用录入（明细）'!D:D=$F$4,'领用录入（明细）'!C:C&gt;=$J$4,'领用录入（明细）'!C:C&lt;=$L$4),ROW(),"-")</f>
        <v>-</v>
      </c>
    </row>
    <row r="17664" customHeight="1" spans="2:2">
      <c r="B17664" s="62" t="str">
        <f>IF(AND('领用录入（明细）'!D:D=$F$4,'领用录入（明细）'!C:C&gt;=$J$4,'领用录入（明细）'!C:C&lt;=$L$4),ROW(),"-")</f>
        <v>-</v>
      </c>
    </row>
    <row r="17665" customHeight="1" spans="2:2">
      <c r="B17665" s="62" t="str">
        <f>IF(AND('领用录入（明细）'!D:D=$F$4,'领用录入（明细）'!C:C&gt;=$J$4,'领用录入（明细）'!C:C&lt;=$L$4),ROW(),"-")</f>
        <v>-</v>
      </c>
    </row>
    <row r="17666" customHeight="1" spans="2:2">
      <c r="B17666" s="62" t="str">
        <f>IF(AND('领用录入（明细）'!D:D=$F$4,'领用录入（明细）'!C:C&gt;=$J$4,'领用录入（明细）'!C:C&lt;=$L$4),ROW(),"-")</f>
        <v>-</v>
      </c>
    </row>
    <row r="17667" customHeight="1" spans="2:2">
      <c r="B17667" s="62" t="str">
        <f>IF(AND('领用录入（明细）'!D:D=$F$4,'领用录入（明细）'!C:C&gt;=$J$4,'领用录入（明细）'!C:C&lt;=$L$4),ROW(),"-")</f>
        <v>-</v>
      </c>
    </row>
    <row r="17668" customHeight="1" spans="2:2">
      <c r="B17668" s="62" t="str">
        <f>IF(AND('领用录入（明细）'!D:D=$F$4,'领用录入（明细）'!C:C&gt;=$J$4,'领用录入（明细）'!C:C&lt;=$L$4),ROW(),"-")</f>
        <v>-</v>
      </c>
    </row>
    <row r="17669" customHeight="1" spans="2:2">
      <c r="B17669" s="62" t="str">
        <f>IF(AND('领用录入（明细）'!D:D=$F$4,'领用录入（明细）'!C:C&gt;=$J$4,'领用录入（明细）'!C:C&lt;=$L$4),ROW(),"-")</f>
        <v>-</v>
      </c>
    </row>
    <row r="17670" customHeight="1" spans="2:2">
      <c r="B17670" s="62" t="str">
        <f>IF(AND('领用录入（明细）'!D:D=$F$4,'领用录入（明细）'!C:C&gt;=$J$4,'领用录入（明细）'!C:C&lt;=$L$4),ROW(),"-")</f>
        <v>-</v>
      </c>
    </row>
    <row r="17671" customHeight="1" spans="2:2">
      <c r="B17671" s="62" t="str">
        <f>IF(AND('领用录入（明细）'!D:D=$F$4,'领用录入（明细）'!C:C&gt;=$J$4,'领用录入（明细）'!C:C&lt;=$L$4),ROW(),"-")</f>
        <v>-</v>
      </c>
    </row>
    <row r="17672" customHeight="1" spans="2:2">
      <c r="B17672" s="62" t="str">
        <f>IF(AND('领用录入（明细）'!D:D=$F$4,'领用录入（明细）'!C:C&gt;=$J$4,'领用录入（明细）'!C:C&lt;=$L$4),ROW(),"-")</f>
        <v>-</v>
      </c>
    </row>
    <row r="17673" customHeight="1" spans="2:2">
      <c r="B17673" s="62" t="str">
        <f>IF(AND('领用录入（明细）'!D:D=$F$4,'领用录入（明细）'!C:C&gt;=$J$4,'领用录入（明细）'!C:C&lt;=$L$4),ROW(),"-")</f>
        <v>-</v>
      </c>
    </row>
    <row r="17674" customHeight="1" spans="2:2">
      <c r="B17674" s="62" t="str">
        <f>IF(AND('领用录入（明细）'!D:D=$F$4,'领用录入（明细）'!C:C&gt;=$J$4,'领用录入（明细）'!C:C&lt;=$L$4),ROW(),"-")</f>
        <v>-</v>
      </c>
    </row>
    <row r="17675" customHeight="1" spans="2:2">
      <c r="B17675" s="62" t="str">
        <f>IF(AND('领用录入（明细）'!D:D=$F$4,'领用录入（明细）'!C:C&gt;=$J$4,'领用录入（明细）'!C:C&lt;=$L$4),ROW(),"-")</f>
        <v>-</v>
      </c>
    </row>
    <row r="17676" customHeight="1" spans="2:2">
      <c r="B17676" s="62" t="str">
        <f>IF(AND('领用录入（明细）'!D:D=$F$4,'领用录入（明细）'!C:C&gt;=$J$4,'领用录入（明细）'!C:C&lt;=$L$4),ROW(),"-")</f>
        <v>-</v>
      </c>
    </row>
    <row r="17677" customHeight="1" spans="2:2">
      <c r="B17677" s="62" t="str">
        <f>IF(AND('领用录入（明细）'!D:D=$F$4,'领用录入（明细）'!C:C&gt;=$J$4,'领用录入（明细）'!C:C&lt;=$L$4),ROW(),"-")</f>
        <v>-</v>
      </c>
    </row>
    <row r="17678" customHeight="1" spans="2:2">
      <c r="B17678" s="62" t="str">
        <f>IF(AND('领用录入（明细）'!D:D=$F$4,'领用录入（明细）'!C:C&gt;=$J$4,'领用录入（明细）'!C:C&lt;=$L$4),ROW(),"-")</f>
        <v>-</v>
      </c>
    </row>
    <row r="17679" customHeight="1" spans="2:2">
      <c r="B17679" s="62" t="str">
        <f>IF(AND('领用录入（明细）'!D:D=$F$4,'领用录入（明细）'!C:C&gt;=$J$4,'领用录入（明细）'!C:C&lt;=$L$4),ROW(),"-")</f>
        <v>-</v>
      </c>
    </row>
    <row r="17680" customHeight="1" spans="2:2">
      <c r="B17680" s="62" t="str">
        <f>IF(AND('领用录入（明细）'!D:D=$F$4,'领用录入（明细）'!C:C&gt;=$J$4,'领用录入（明细）'!C:C&lt;=$L$4),ROW(),"-")</f>
        <v>-</v>
      </c>
    </row>
    <row r="17681" customHeight="1" spans="2:2">
      <c r="B17681" s="62" t="str">
        <f>IF(AND('领用录入（明细）'!D:D=$F$4,'领用录入（明细）'!C:C&gt;=$J$4,'领用录入（明细）'!C:C&lt;=$L$4),ROW(),"-")</f>
        <v>-</v>
      </c>
    </row>
    <row r="17682" customHeight="1" spans="2:2">
      <c r="B17682" s="62" t="str">
        <f>IF(AND('领用录入（明细）'!D:D=$F$4,'领用录入（明细）'!C:C&gt;=$J$4,'领用录入（明细）'!C:C&lt;=$L$4),ROW(),"-")</f>
        <v>-</v>
      </c>
    </row>
    <row r="17683" customHeight="1" spans="2:2">
      <c r="B17683" s="62" t="str">
        <f>IF(AND('领用录入（明细）'!D:D=$F$4,'领用录入（明细）'!C:C&gt;=$J$4,'领用录入（明细）'!C:C&lt;=$L$4),ROW(),"-")</f>
        <v>-</v>
      </c>
    </row>
    <row r="17684" customHeight="1" spans="2:2">
      <c r="B17684" s="62" t="str">
        <f>IF(AND('领用录入（明细）'!D:D=$F$4,'领用录入（明细）'!C:C&gt;=$J$4,'领用录入（明细）'!C:C&lt;=$L$4),ROW(),"-")</f>
        <v>-</v>
      </c>
    </row>
    <row r="17685" customHeight="1" spans="2:2">
      <c r="B17685" s="62" t="str">
        <f>IF(AND('领用录入（明细）'!D:D=$F$4,'领用录入（明细）'!C:C&gt;=$J$4,'领用录入（明细）'!C:C&lt;=$L$4),ROW(),"-")</f>
        <v>-</v>
      </c>
    </row>
    <row r="17686" customHeight="1" spans="2:2">
      <c r="B17686" s="62" t="str">
        <f>IF(AND('领用录入（明细）'!D:D=$F$4,'领用录入（明细）'!C:C&gt;=$J$4,'领用录入（明细）'!C:C&lt;=$L$4),ROW(),"-")</f>
        <v>-</v>
      </c>
    </row>
    <row r="17687" customHeight="1" spans="2:2">
      <c r="B17687" s="62" t="str">
        <f>IF(AND('领用录入（明细）'!D:D=$F$4,'领用录入（明细）'!C:C&gt;=$J$4,'领用录入（明细）'!C:C&lt;=$L$4),ROW(),"-")</f>
        <v>-</v>
      </c>
    </row>
    <row r="17688" customHeight="1" spans="2:2">
      <c r="B17688" s="62" t="str">
        <f>IF(AND('领用录入（明细）'!D:D=$F$4,'领用录入（明细）'!C:C&gt;=$J$4,'领用录入（明细）'!C:C&lt;=$L$4),ROW(),"-")</f>
        <v>-</v>
      </c>
    </row>
    <row r="17689" customHeight="1" spans="2:2">
      <c r="B17689" s="62" t="str">
        <f>IF(AND('领用录入（明细）'!D:D=$F$4,'领用录入（明细）'!C:C&gt;=$J$4,'领用录入（明细）'!C:C&lt;=$L$4),ROW(),"-")</f>
        <v>-</v>
      </c>
    </row>
    <row r="17690" customHeight="1" spans="2:2">
      <c r="B17690" s="62" t="str">
        <f>IF(AND('领用录入（明细）'!D:D=$F$4,'领用录入（明细）'!C:C&gt;=$J$4,'领用录入（明细）'!C:C&lt;=$L$4),ROW(),"-")</f>
        <v>-</v>
      </c>
    </row>
    <row r="17691" customHeight="1" spans="2:2">
      <c r="B17691" s="62" t="str">
        <f>IF(AND('领用录入（明细）'!D:D=$F$4,'领用录入（明细）'!C:C&gt;=$J$4,'领用录入（明细）'!C:C&lt;=$L$4),ROW(),"-")</f>
        <v>-</v>
      </c>
    </row>
    <row r="17692" customHeight="1" spans="2:2">
      <c r="B17692" s="62" t="str">
        <f>IF(AND('领用录入（明细）'!D:D=$F$4,'领用录入（明细）'!C:C&gt;=$J$4,'领用录入（明细）'!C:C&lt;=$L$4),ROW(),"-")</f>
        <v>-</v>
      </c>
    </row>
    <row r="17693" customHeight="1" spans="2:2">
      <c r="B17693" s="62" t="str">
        <f>IF(AND('领用录入（明细）'!D:D=$F$4,'领用录入（明细）'!C:C&gt;=$J$4,'领用录入（明细）'!C:C&lt;=$L$4),ROW(),"-")</f>
        <v>-</v>
      </c>
    </row>
    <row r="17694" customHeight="1" spans="2:2">
      <c r="B17694" s="62" t="str">
        <f>IF(AND('领用录入（明细）'!D:D=$F$4,'领用录入（明细）'!C:C&gt;=$J$4,'领用录入（明细）'!C:C&lt;=$L$4),ROW(),"-")</f>
        <v>-</v>
      </c>
    </row>
    <row r="17695" customHeight="1" spans="2:2">
      <c r="B17695" s="62" t="str">
        <f>IF(AND('领用录入（明细）'!D:D=$F$4,'领用录入（明细）'!C:C&gt;=$J$4,'领用录入（明细）'!C:C&lt;=$L$4),ROW(),"-")</f>
        <v>-</v>
      </c>
    </row>
    <row r="17696" customHeight="1" spans="2:2">
      <c r="B17696" s="62" t="str">
        <f>IF(AND('领用录入（明细）'!D:D=$F$4,'领用录入（明细）'!C:C&gt;=$J$4,'领用录入（明细）'!C:C&lt;=$L$4),ROW(),"-")</f>
        <v>-</v>
      </c>
    </row>
    <row r="17697" customHeight="1" spans="2:2">
      <c r="B17697" s="62" t="str">
        <f>IF(AND('领用录入（明细）'!D:D=$F$4,'领用录入（明细）'!C:C&gt;=$J$4,'领用录入（明细）'!C:C&lt;=$L$4),ROW(),"-")</f>
        <v>-</v>
      </c>
    </row>
    <row r="17698" customHeight="1" spans="2:2">
      <c r="B17698" s="62" t="str">
        <f>IF(AND('领用录入（明细）'!D:D=$F$4,'领用录入（明细）'!C:C&gt;=$J$4,'领用录入（明细）'!C:C&lt;=$L$4),ROW(),"-")</f>
        <v>-</v>
      </c>
    </row>
    <row r="17699" customHeight="1" spans="2:2">
      <c r="B17699" s="62" t="str">
        <f>IF(AND('领用录入（明细）'!D:D=$F$4,'领用录入（明细）'!C:C&gt;=$J$4,'领用录入（明细）'!C:C&lt;=$L$4),ROW(),"-")</f>
        <v>-</v>
      </c>
    </row>
    <row r="17700" customHeight="1" spans="2:2">
      <c r="B17700" s="62" t="str">
        <f>IF(AND('领用录入（明细）'!D:D=$F$4,'领用录入（明细）'!C:C&gt;=$J$4,'领用录入（明细）'!C:C&lt;=$L$4),ROW(),"-")</f>
        <v>-</v>
      </c>
    </row>
    <row r="17701" customHeight="1" spans="2:2">
      <c r="B17701" s="62" t="str">
        <f>IF(AND('领用录入（明细）'!D:D=$F$4,'领用录入（明细）'!C:C&gt;=$J$4,'领用录入（明细）'!C:C&lt;=$L$4),ROW(),"-")</f>
        <v>-</v>
      </c>
    </row>
    <row r="17702" customHeight="1" spans="2:2">
      <c r="B17702" s="62" t="str">
        <f>IF(AND('领用录入（明细）'!D:D=$F$4,'领用录入（明细）'!C:C&gt;=$J$4,'领用录入（明细）'!C:C&lt;=$L$4),ROW(),"-")</f>
        <v>-</v>
      </c>
    </row>
    <row r="17703" customHeight="1" spans="2:2">
      <c r="B17703" s="62" t="str">
        <f>IF(AND('领用录入（明细）'!D:D=$F$4,'领用录入（明细）'!C:C&gt;=$J$4,'领用录入（明细）'!C:C&lt;=$L$4),ROW(),"-")</f>
        <v>-</v>
      </c>
    </row>
    <row r="17704" customHeight="1" spans="2:2">
      <c r="B17704" s="62" t="str">
        <f>IF(AND('领用录入（明细）'!D:D=$F$4,'领用录入（明细）'!C:C&gt;=$J$4,'领用录入（明细）'!C:C&lt;=$L$4),ROW(),"-")</f>
        <v>-</v>
      </c>
    </row>
    <row r="17705" customHeight="1" spans="2:2">
      <c r="B17705" s="62" t="str">
        <f>IF(AND('领用录入（明细）'!D:D=$F$4,'领用录入（明细）'!C:C&gt;=$J$4,'领用录入（明细）'!C:C&lt;=$L$4),ROW(),"-")</f>
        <v>-</v>
      </c>
    </row>
    <row r="17706" customHeight="1" spans="2:2">
      <c r="B17706" s="62" t="str">
        <f>IF(AND('领用录入（明细）'!D:D=$F$4,'领用录入（明细）'!C:C&gt;=$J$4,'领用录入（明细）'!C:C&lt;=$L$4),ROW(),"-")</f>
        <v>-</v>
      </c>
    </row>
    <row r="17707" customHeight="1" spans="2:2">
      <c r="B17707" s="62" t="str">
        <f>IF(AND('领用录入（明细）'!D:D=$F$4,'领用录入（明细）'!C:C&gt;=$J$4,'领用录入（明细）'!C:C&lt;=$L$4),ROW(),"-")</f>
        <v>-</v>
      </c>
    </row>
    <row r="17708" customHeight="1" spans="2:2">
      <c r="B17708" s="62" t="str">
        <f>IF(AND('领用录入（明细）'!D:D=$F$4,'领用录入（明细）'!C:C&gt;=$J$4,'领用录入（明细）'!C:C&lt;=$L$4),ROW(),"-")</f>
        <v>-</v>
      </c>
    </row>
    <row r="17709" customHeight="1" spans="2:2">
      <c r="B17709" s="62" t="str">
        <f>IF(AND('领用录入（明细）'!D:D=$F$4,'领用录入（明细）'!C:C&gt;=$J$4,'领用录入（明细）'!C:C&lt;=$L$4),ROW(),"-")</f>
        <v>-</v>
      </c>
    </row>
    <row r="17710" customHeight="1" spans="2:2">
      <c r="B17710" s="62" t="str">
        <f>IF(AND('领用录入（明细）'!D:D=$F$4,'领用录入（明细）'!C:C&gt;=$J$4,'领用录入（明细）'!C:C&lt;=$L$4),ROW(),"-")</f>
        <v>-</v>
      </c>
    </row>
    <row r="17711" customHeight="1" spans="2:2">
      <c r="B17711" s="62" t="str">
        <f>IF(AND('领用录入（明细）'!D:D=$F$4,'领用录入（明细）'!C:C&gt;=$J$4,'领用录入（明细）'!C:C&lt;=$L$4),ROW(),"-")</f>
        <v>-</v>
      </c>
    </row>
    <row r="17712" customHeight="1" spans="2:2">
      <c r="B17712" s="62" t="str">
        <f>IF(AND('领用录入（明细）'!D:D=$F$4,'领用录入（明细）'!C:C&gt;=$J$4,'领用录入（明细）'!C:C&lt;=$L$4),ROW(),"-")</f>
        <v>-</v>
      </c>
    </row>
    <row r="17713" customHeight="1" spans="2:2">
      <c r="B17713" s="62" t="str">
        <f>IF(AND('领用录入（明细）'!D:D=$F$4,'领用录入（明细）'!C:C&gt;=$J$4,'领用录入（明细）'!C:C&lt;=$L$4),ROW(),"-")</f>
        <v>-</v>
      </c>
    </row>
    <row r="17714" customHeight="1" spans="2:2">
      <c r="B17714" s="62" t="str">
        <f>IF(AND('领用录入（明细）'!D:D=$F$4,'领用录入（明细）'!C:C&gt;=$J$4,'领用录入（明细）'!C:C&lt;=$L$4),ROW(),"-")</f>
        <v>-</v>
      </c>
    </row>
    <row r="17715" customHeight="1" spans="2:2">
      <c r="B17715" s="62" t="str">
        <f>IF(AND('领用录入（明细）'!D:D=$F$4,'领用录入（明细）'!C:C&gt;=$J$4,'领用录入（明细）'!C:C&lt;=$L$4),ROW(),"-")</f>
        <v>-</v>
      </c>
    </row>
    <row r="17716" customHeight="1" spans="2:2">
      <c r="B17716" s="62" t="str">
        <f>IF(AND('领用录入（明细）'!D:D=$F$4,'领用录入（明细）'!C:C&gt;=$J$4,'领用录入（明细）'!C:C&lt;=$L$4),ROW(),"-")</f>
        <v>-</v>
      </c>
    </row>
    <row r="17717" customHeight="1" spans="2:2">
      <c r="B17717" s="62" t="str">
        <f>IF(AND('领用录入（明细）'!D:D=$F$4,'领用录入（明细）'!C:C&gt;=$J$4,'领用录入（明细）'!C:C&lt;=$L$4),ROW(),"-")</f>
        <v>-</v>
      </c>
    </row>
    <row r="17718" customHeight="1" spans="2:2">
      <c r="B17718" s="62" t="str">
        <f>IF(AND('领用录入（明细）'!D:D=$F$4,'领用录入（明细）'!C:C&gt;=$J$4,'领用录入（明细）'!C:C&lt;=$L$4),ROW(),"-")</f>
        <v>-</v>
      </c>
    </row>
    <row r="17719" customHeight="1" spans="2:2">
      <c r="B17719" s="62" t="str">
        <f>IF(AND('领用录入（明细）'!D:D=$F$4,'领用录入（明细）'!C:C&gt;=$J$4,'领用录入（明细）'!C:C&lt;=$L$4),ROW(),"-")</f>
        <v>-</v>
      </c>
    </row>
    <row r="17720" customHeight="1" spans="2:2">
      <c r="B17720" s="62" t="str">
        <f>IF(AND('领用录入（明细）'!D:D=$F$4,'领用录入（明细）'!C:C&gt;=$J$4,'领用录入（明细）'!C:C&lt;=$L$4),ROW(),"-")</f>
        <v>-</v>
      </c>
    </row>
    <row r="17721" customHeight="1" spans="2:2">
      <c r="B17721" s="62" t="str">
        <f>IF(AND('领用录入（明细）'!D:D=$F$4,'领用录入（明细）'!C:C&gt;=$J$4,'领用录入（明细）'!C:C&lt;=$L$4),ROW(),"-")</f>
        <v>-</v>
      </c>
    </row>
    <row r="17722" customHeight="1" spans="2:2">
      <c r="B17722" s="62" t="str">
        <f>IF(AND('领用录入（明细）'!D:D=$F$4,'领用录入（明细）'!C:C&gt;=$J$4,'领用录入（明细）'!C:C&lt;=$L$4),ROW(),"-")</f>
        <v>-</v>
      </c>
    </row>
    <row r="17723" customHeight="1" spans="2:2">
      <c r="B17723" s="62" t="str">
        <f>IF(AND('领用录入（明细）'!D:D=$F$4,'领用录入（明细）'!C:C&gt;=$J$4,'领用录入（明细）'!C:C&lt;=$L$4),ROW(),"-")</f>
        <v>-</v>
      </c>
    </row>
    <row r="17724" customHeight="1" spans="2:2">
      <c r="B17724" s="62" t="str">
        <f>IF(AND('领用录入（明细）'!D:D=$F$4,'领用录入（明细）'!C:C&gt;=$J$4,'领用录入（明细）'!C:C&lt;=$L$4),ROW(),"-")</f>
        <v>-</v>
      </c>
    </row>
    <row r="17725" customHeight="1" spans="2:2">
      <c r="B17725" s="62" t="str">
        <f>IF(AND('领用录入（明细）'!D:D=$F$4,'领用录入（明细）'!C:C&gt;=$J$4,'领用录入（明细）'!C:C&lt;=$L$4),ROW(),"-")</f>
        <v>-</v>
      </c>
    </row>
    <row r="17726" customHeight="1" spans="2:2">
      <c r="B17726" s="62" t="str">
        <f>IF(AND('领用录入（明细）'!D:D=$F$4,'领用录入（明细）'!C:C&gt;=$J$4,'领用录入（明细）'!C:C&lt;=$L$4),ROW(),"-")</f>
        <v>-</v>
      </c>
    </row>
    <row r="17727" customHeight="1" spans="2:2">
      <c r="B17727" s="62" t="str">
        <f>IF(AND('领用录入（明细）'!D:D=$F$4,'领用录入（明细）'!C:C&gt;=$J$4,'领用录入（明细）'!C:C&lt;=$L$4),ROW(),"-")</f>
        <v>-</v>
      </c>
    </row>
    <row r="17728" customHeight="1" spans="2:2">
      <c r="B17728" s="62" t="str">
        <f>IF(AND('领用录入（明细）'!D:D=$F$4,'领用录入（明细）'!C:C&gt;=$J$4,'领用录入（明细）'!C:C&lt;=$L$4),ROW(),"-")</f>
        <v>-</v>
      </c>
    </row>
    <row r="17729" customHeight="1" spans="2:2">
      <c r="B17729" s="62" t="str">
        <f>IF(AND('领用录入（明细）'!D:D=$F$4,'领用录入（明细）'!C:C&gt;=$J$4,'领用录入（明细）'!C:C&lt;=$L$4),ROW(),"-")</f>
        <v>-</v>
      </c>
    </row>
    <row r="17730" customHeight="1" spans="2:2">
      <c r="B17730" s="62" t="str">
        <f>IF(AND('领用录入（明细）'!D:D=$F$4,'领用录入（明细）'!C:C&gt;=$J$4,'领用录入（明细）'!C:C&lt;=$L$4),ROW(),"-")</f>
        <v>-</v>
      </c>
    </row>
    <row r="17731" customHeight="1" spans="2:2">
      <c r="B17731" s="62" t="str">
        <f>IF(AND('领用录入（明细）'!D:D=$F$4,'领用录入（明细）'!C:C&gt;=$J$4,'领用录入（明细）'!C:C&lt;=$L$4),ROW(),"-")</f>
        <v>-</v>
      </c>
    </row>
    <row r="17732" customHeight="1" spans="2:2">
      <c r="B17732" s="62" t="str">
        <f>IF(AND('领用录入（明细）'!D:D=$F$4,'领用录入（明细）'!C:C&gt;=$J$4,'领用录入（明细）'!C:C&lt;=$L$4),ROW(),"-")</f>
        <v>-</v>
      </c>
    </row>
    <row r="17733" customHeight="1" spans="2:2">
      <c r="B17733" s="62" t="str">
        <f>IF(AND('领用录入（明细）'!D:D=$F$4,'领用录入（明细）'!C:C&gt;=$J$4,'领用录入（明细）'!C:C&lt;=$L$4),ROW(),"-")</f>
        <v>-</v>
      </c>
    </row>
    <row r="17734" customHeight="1" spans="2:2">
      <c r="B17734" s="62" t="str">
        <f>IF(AND('领用录入（明细）'!D:D=$F$4,'领用录入（明细）'!C:C&gt;=$J$4,'领用录入（明细）'!C:C&lt;=$L$4),ROW(),"-")</f>
        <v>-</v>
      </c>
    </row>
    <row r="17735" customHeight="1" spans="2:2">
      <c r="B17735" s="62" t="str">
        <f>IF(AND('领用录入（明细）'!D:D=$F$4,'领用录入（明细）'!C:C&gt;=$J$4,'领用录入（明细）'!C:C&lt;=$L$4),ROW(),"-")</f>
        <v>-</v>
      </c>
    </row>
    <row r="17736" customHeight="1" spans="2:2">
      <c r="B17736" s="62" t="str">
        <f>IF(AND('领用录入（明细）'!D:D=$F$4,'领用录入（明细）'!C:C&gt;=$J$4,'领用录入（明细）'!C:C&lt;=$L$4),ROW(),"-")</f>
        <v>-</v>
      </c>
    </row>
    <row r="17737" customHeight="1" spans="2:2">
      <c r="B17737" s="62" t="str">
        <f>IF(AND('领用录入（明细）'!D:D=$F$4,'领用录入（明细）'!C:C&gt;=$J$4,'领用录入（明细）'!C:C&lt;=$L$4),ROW(),"-")</f>
        <v>-</v>
      </c>
    </row>
    <row r="17738" customHeight="1" spans="2:2">
      <c r="B17738" s="62" t="str">
        <f>IF(AND('领用录入（明细）'!D:D=$F$4,'领用录入（明细）'!C:C&gt;=$J$4,'领用录入（明细）'!C:C&lt;=$L$4),ROW(),"-")</f>
        <v>-</v>
      </c>
    </row>
    <row r="17739" customHeight="1" spans="2:2">
      <c r="B17739" s="62" t="str">
        <f>IF(AND('领用录入（明细）'!D:D=$F$4,'领用录入（明细）'!C:C&gt;=$J$4,'领用录入（明细）'!C:C&lt;=$L$4),ROW(),"-")</f>
        <v>-</v>
      </c>
    </row>
    <row r="17740" customHeight="1" spans="2:2">
      <c r="B17740" s="62" t="str">
        <f>IF(AND('领用录入（明细）'!D:D=$F$4,'领用录入（明细）'!C:C&gt;=$J$4,'领用录入（明细）'!C:C&lt;=$L$4),ROW(),"-")</f>
        <v>-</v>
      </c>
    </row>
    <row r="17741" customHeight="1" spans="2:2">
      <c r="B17741" s="62" t="str">
        <f>IF(AND('领用录入（明细）'!D:D=$F$4,'领用录入（明细）'!C:C&gt;=$J$4,'领用录入（明细）'!C:C&lt;=$L$4),ROW(),"-")</f>
        <v>-</v>
      </c>
    </row>
    <row r="17742" customHeight="1" spans="2:2">
      <c r="B17742" s="62" t="str">
        <f>IF(AND('领用录入（明细）'!D:D=$F$4,'领用录入（明细）'!C:C&gt;=$J$4,'领用录入（明细）'!C:C&lt;=$L$4),ROW(),"-")</f>
        <v>-</v>
      </c>
    </row>
    <row r="17743" customHeight="1" spans="2:2">
      <c r="B17743" s="62" t="str">
        <f>IF(AND('领用录入（明细）'!D:D=$F$4,'领用录入（明细）'!C:C&gt;=$J$4,'领用录入（明细）'!C:C&lt;=$L$4),ROW(),"-")</f>
        <v>-</v>
      </c>
    </row>
    <row r="17744" customHeight="1" spans="2:2">
      <c r="B17744" s="62" t="str">
        <f>IF(AND('领用录入（明细）'!D:D=$F$4,'领用录入（明细）'!C:C&gt;=$J$4,'领用录入（明细）'!C:C&lt;=$L$4),ROW(),"-")</f>
        <v>-</v>
      </c>
    </row>
    <row r="17745" customHeight="1" spans="2:2">
      <c r="B17745" s="62" t="str">
        <f>IF(AND('领用录入（明细）'!D:D=$F$4,'领用录入（明细）'!C:C&gt;=$J$4,'领用录入（明细）'!C:C&lt;=$L$4),ROW(),"-")</f>
        <v>-</v>
      </c>
    </row>
    <row r="17746" customHeight="1" spans="2:2">
      <c r="B17746" s="62" t="str">
        <f>IF(AND('领用录入（明细）'!D:D=$F$4,'领用录入（明细）'!C:C&gt;=$J$4,'领用录入（明细）'!C:C&lt;=$L$4),ROW(),"-")</f>
        <v>-</v>
      </c>
    </row>
    <row r="17747" customHeight="1" spans="2:2">
      <c r="B17747" s="62" t="str">
        <f>IF(AND('领用录入（明细）'!D:D=$F$4,'领用录入（明细）'!C:C&gt;=$J$4,'领用录入（明细）'!C:C&lt;=$L$4),ROW(),"-")</f>
        <v>-</v>
      </c>
    </row>
    <row r="17748" customHeight="1" spans="2:2">
      <c r="B17748" s="62" t="str">
        <f>IF(AND('领用录入（明细）'!D:D=$F$4,'领用录入（明细）'!C:C&gt;=$J$4,'领用录入（明细）'!C:C&lt;=$L$4),ROW(),"-")</f>
        <v>-</v>
      </c>
    </row>
    <row r="17749" customHeight="1" spans="2:2">
      <c r="B17749" s="62" t="str">
        <f>IF(AND('领用录入（明细）'!D:D=$F$4,'领用录入（明细）'!C:C&gt;=$J$4,'领用录入（明细）'!C:C&lt;=$L$4),ROW(),"-")</f>
        <v>-</v>
      </c>
    </row>
    <row r="17750" customHeight="1" spans="2:2">
      <c r="B17750" s="62" t="str">
        <f>IF(AND('领用录入（明细）'!D:D=$F$4,'领用录入（明细）'!C:C&gt;=$J$4,'领用录入（明细）'!C:C&lt;=$L$4),ROW(),"-")</f>
        <v>-</v>
      </c>
    </row>
    <row r="17751" customHeight="1" spans="2:2">
      <c r="B17751" s="62" t="str">
        <f>IF(AND('领用录入（明细）'!D:D=$F$4,'领用录入（明细）'!C:C&gt;=$J$4,'领用录入（明细）'!C:C&lt;=$L$4),ROW(),"-")</f>
        <v>-</v>
      </c>
    </row>
    <row r="17752" customHeight="1" spans="2:2">
      <c r="B17752" s="62" t="str">
        <f>IF(AND('领用录入（明细）'!D:D=$F$4,'领用录入（明细）'!C:C&gt;=$J$4,'领用录入（明细）'!C:C&lt;=$L$4),ROW(),"-")</f>
        <v>-</v>
      </c>
    </row>
    <row r="17753" customHeight="1" spans="2:2">
      <c r="B17753" s="62" t="str">
        <f>IF(AND('领用录入（明细）'!D:D=$F$4,'领用录入（明细）'!C:C&gt;=$J$4,'领用录入（明细）'!C:C&lt;=$L$4),ROW(),"-")</f>
        <v>-</v>
      </c>
    </row>
    <row r="17754" customHeight="1" spans="2:2">
      <c r="B17754" s="62" t="str">
        <f>IF(AND('领用录入（明细）'!D:D=$F$4,'领用录入（明细）'!C:C&gt;=$J$4,'领用录入（明细）'!C:C&lt;=$L$4),ROW(),"-")</f>
        <v>-</v>
      </c>
    </row>
    <row r="17755" customHeight="1" spans="2:2">
      <c r="B17755" s="62" t="str">
        <f>IF(AND('领用录入（明细）'!D:D=$F$4,'领用录入（明细）'!C:C&gt;=$J$4,'领用录入（明细）'!C:C&lt;=$L$4),ROW(),"-")</f>
        <v>-</v>
      </c>
    </row>
    <row r="17756" customHeight="1" spans="2:2">
      <c r="B17756" s="62" t="str">
        <f>IF(AND('领用录入（明细）'!D:D=$F$4,'领用录入（明细）'!C:C&gt;=$J$4,'领用录入（明细）'!C:C&lt;=$L$4),ROW(),"-")</f>
        <v>-</v>
      </c>
    </row>
    <row r="17757" customHeight="1" spans="2:2">
      <c r="B17757" s="62" t="str">
        <f>IF(AND('领用录入（明细）'!D:D=$F$4,'领用录入（明细）'!C:C&gt;=$J$4,'领用录入（明细）'!C:C&lt;=$L$4),ROW(),"-")</f>
        <v>-</v>
      </c>
    </row>
    <row r="17758" customHeight="1" spans="2:2">
      <c r="B17758" s="62" t="str">
        <f>IF(AND('领用录入（明细）'!D:D=$F$4,'领用录入（明细）'!C:C&gt;=$J$4,'领用录入（明细）'!C:C&lt;=$L$4),ROW(),"-")</f>
        <v>-</v>
      </c>
    </row>
    <row r="17759" customHeight="1" spans="2:2">
      <c r="B17759" s="62" t="str">
        <f>IF(AND('领用录入（明细）'!D:D=$F$4,'领用录入（明细）'!C:C&gt;=$J$4,'领用录入（明细）'!C:C&lt;=$L$4),ROW(),"-")</f>
        <v>-</v>
      </c>
    </row>
    <row r="17760" customHeight="1" spans="2:2">
      <c r="B17760" s="62" t="str">
        <f>IF(AND('领用录入（明细）'!D:D=$F$4,'领用录入（明细）'!C:C&gt;=$J$4,'领用录入（明细）'!C:C&lt;=$L$4),ROW(),"-")</f>
        <v>-</v>
      </c>
    </row>
    <row r="17761" customHeight="1" spans="2:2">
      <c r="B17761" s="62" t="str">
        <f>IF(AND('领用录入（明细）'!D:D=$F$4,'领用录入（明细）'!C:C&gt;=$J$4,'领用录入（明细）'!C:C&lt;=$L$4),ROW(),"-")</f>
        <v>-</v>
      </c>
    </row>
    <row r="17762" customHeight="1" spans="2:2">
      <c r="B17762" s="62" t="str">
        <f>IF(AND('领用录入（明细）'!D:D=$F$4,'领用录入（明细）'!C:C&gt;=$J$4,'领用录入（明细）'!C:C&lt;=$L$4),ROW(),"-")</f>
        <v>-</v>
      </c>
    </row>
    <row r="17763" customHeight="1" spans="2:2">
      <c r="B17763" s="62" t="str">
        <f>IF(AND('领用录入（明细）'!D:D=$F$4,'领用录入（明细）'!C:C&gt;=$J$4,'领用录入（明细）'!C:C&lt;=$L$4),ROW(),"-")</f>
        <v>-</v>
      </c>
    </row>
    <row r="17764" customHeight="1" spans="2:2">
      <c r="B17764" s="62" t="str">
        <f>IF(AND('领用录入（明细）'!D:D=$F$4,'领用录入（明细）'!C:C&gt;=$J$4,'领用录入（明细）'!C:C&lt;=$L$4),ROW(),"-")</f>
        <v>-</v>
      </c>
    </row>
    <row r="17765" customHeight="1" spans="2:2">
      <c r="B17765" s="62" t="str">
        <f>IF(AND('领用录入（明细）'!D:D=$F$4,'领用录入（明细）'!C:C&gt;=$J$4,'领用录入（明细）'!C:C&lt;=$L$4),ROW(),"-")</f>
        <v>-</v>
      </c>
    </row>
    <row r="17766" customHeight="1" spans="2:2">
      <c r="B17766" s="62" t="str">
        <f>IF(AND('领用录入（明细）'!D:D=$F$4,'领用录入（明细）'!C:C&gt;=$J$4,'领用录入（明细）'!C:C&lt;=$L$4),ROW(),"-")</f>
        <v>-</v>
      </c>
    </row>
    <row r="17767" customHeight="1" spans="2:2">
      <c r="B17767" s="62" t="str">
        <f>IF(AND('领用录入（明细）'!D:D=$F$4,'领用录入（明细）'!C:C&gt;=$J$4,'领用录入（明细）'!C:C&lt;=$L$4),ROW(),"-")</f>
        <v>-</v>
      </c>
    </row>
    <row r="17768" customHeight="1" spans="2:2">
      <c r="B17768" s="62" t="str">
        <f>IF(AND('领用录入（明细）'!D:D=$F$4,'领用录入（明细）'!C:C&gt;=$J$4,'领用录入（明细）'!C:C&lt;=$L$4),ROW(),"-")</f>
        <v>-</v>
      </c>
    </row>
    <row r="17769" customHeight="1" spans="2:2">
      <c r="B17769" s="62" t="str">
        <f>IF(AND('领用录入（明细）'!D:D=$F$4,'领用录入（明细）'!C:C&gt;=$J$4,'领用录入（明细）'!C:C&lt;=$L$4),ROW(),"-")</f>
        <v>-</v>
      </c>
    </row>
    <row r="17770" customHeight="1" spans="2:2">
      <c r="B17770" s="62" t="str">
        <f>IF(AND('领用录入（明细）'!D:D=$F$4,'领用录入（明细）'!C:C&gt;=$J$4,'领用录入（明细）'!C:C&lt;=$L$4),ROW(),"-")</f>
        <v>-</v>
      </c>
    </row>
    <row r="17771" customHeight="1" spans="2:2">
      <c r="B17771" s="62" t="str">
        <f>IF(AND('领用录入（明细）'!D:D=$F$4,'领用录入（明细）'!C:C&gt;=$J$4,'领用录入（明细）'!C:C&lt;=$L$4),ROW(),"-")</f>
        <v>-</v>
      </c>
    </row>
    <row r="17772" customHeight="1" spans="2:2">
      <c r="B17772" s="62" t="str">
        <f>IF(AND('领用录入（明细）'!D:D=$F$4,'领用录入（明细）'!C:C&gt;=$J$4,'领用录入（明细）'!C:C&lt;=$L$4),ROW(),"-")</f>
        <v>-</v>
      </c>
    </row>
    <row r="17773" customHeight="1" spans="2:2">
      <c r="B17773" s="62" t="str">
        <f>IF(AND('领用录入（明细）'!D:D=$F$4,'领用录入（明细）'!C:C&gt;=$J$4,'领用录入（明细）'!C:C&lt;=$L$4),ROW(),"-")</f>
        <v>-</v>
      </c>
    </row>
    <row r="17774" customHeight="1" spans="2:2">
      <c r="B17774" s="62" t="str">
        <f>IF(AND('领用录入（明细）'!D:D=$F$4,'领用录入（明细）'!C:C&gt;=$J$4,'领用录入（明细）'!C:C&lt;=$L$4),ROW(),"-")</f>
        <v>-</v>
      </c>
    </row>
    <row r="17775" customHeight="1" spans="2:2">
      <c r="B17775" s="62" t="str">
        <f>IF(AND('领用录入（明细）'!D:D=$F$4,'领用录入（明细）'!C:C&gt;=$J$4,'领用录入（明细）'!C:C&lt;=$L$4),ROW(),"-")</f>
        <v>-</v>
      </c>
    </row>
    <row r="17776" customHeight="1" spans="2:2">
      <c r="B17776" s="62" t="str">
        <f>IF(AND('领用录入（明细）'!D:D=$F$4,'领用录入（明细）'!C:C&gt;=$J$4,'领用录入（明细）'!C:C&lt;=$L$4),ROW(),"-")</f>
        <v>-</v>
      </c>
    </row>
    <row r="17777" customHeight="1" spans="2:2">
      <c r="B17777" s="62" t="str">
        <f>IF(AND('领用录入（明细）'!D:D=$F$4,'领用录入（明细）'!C:C&gt;=$J$4,'领用录入（明细）'!C:C&lt;=$L$4),ROW(),"-")</f>
        <v>-</v>
      </c>
    </row>
    <row r="17778" customHeight="1" spans="2:2">
      <c r="B17778" s="62" t="str">
        <f>IF(AND('领用录入（明细）'!D:D=$F$4,'领用录入（明细）'!C:C&gt;=$J$4,'领用录入（明细）'!C:C&lt;=$L$4),ROW(),"-")</f>
        <v>-</v>
      </c>
    </row>
    <row r="17779" customHeight="1" spans="2:2">
      <c r="B17779" s="62" t="str">
        <f>IF(AND('领用录入（明细）'!D:D=$F$4,'领用录入（明细）'!C:C&gt;=$J$4,'领用录入（明细）'!C:C&lt;=$L$4),ROW(),"-")</f>
        <v>-</v>
      </c>
    </row>
    <row r="17780" customHeight="1" spans="2:2">
      <c r="B17780" s="62" t="str">
        <f>IF(AND('领用录入（明细）'!D:D=$F$4,'领用录入（明细）'!C:C&gt;=$J$4,'领用录入（明细）'!C:C&lt;=$L$4),ROW(),"-")</f>
        <v>-</v>
      </c>
    </row>
    <row r="17781" customHeight="1" spans="2:2">
      <c r="B17781" s="62" t="str">
        <f>IF(AND('领用录入（明细）'!D:D=$F$4,'领用录入（明细）'!C:C&gt;=$J$4,'领用录入（明细）'!C:C&lt;=$L$4),ROW(),"-")</f>
        <v>-</v>
      </c>
    </row>
    <row r="17782" customHeight="1" spans="2:2">
      <c r="B17782" s="62" t="str">
        <f>IF(AND('领用录入（明细）'!D:D=$F$4,'领用录入（明细）'!C:C&gt;=$J$4,'领用录入（明细）'!C:C&lt;=$L$4),ROW(),"-")</f>
        <v>-</v>
      </c>
    </row>
    <row r="17783" customHeight="1" spans="2:2">
      <c r="B17783" s="62" t="str">
        <f>IF(AND('领用录入（明细）'!D:D=$F$4,'领用录入（明细）'!C:C&gt;=$J$4,'领用录入（明细）'!C:C&lt;=$L$4),ROW(),"-")</f>
        <v>-</v>
      </c>
    </row>
    <row r="17784" customHeight="1" spans="2:2">
      <c r="B17784" s="62" t="str">
        <f>IF(AND('领用录入（明细）'!D:D=$F$4,'领用录入（明细）'!C:C&gt;=$J$4,'领用录入（明细）'!C:C&lt;=$L$4),ROW(),"-")</f>
        <v>-</v>
      </c>
    </row>
    <row r="17785" customHeight="1" spans="2:2">
      <c r="B17785" s="62" t="str">
        <f>IF(AND('领用录入（明细）'!D:D=$F$4,'领用录入（明细）'!C:C&gt;=$J$4,'领用录入（明细）'!C:C&lt;=$L$4),ROW(),"-")</f>
        <v>-</v>
      </c>
    </row>
    <row r="17786" customHeight="1" spans="2:2">
      <c r="B17786" s="62" t="str">
        <f>IF(AND('领用录入（明细）'!D:D=$F$4,'领用录入（明细）'!C:C&gt;=$J$4,'领用录入（明细）'!C:C&lt;=$L$4),ROW(),"-")</f>
        <v>-</v>
      </c>
    </row>
    <row r="17787" customHeight="1" spans="2:2">
      <c r="B17787" s="62" t="str">
        <f>IF(AND('领用录入（明细）'!D:D=$F$4,'领用录入（明细）'!C:C&gt;=$J$4,'领用录入（明细）'!C:C&lt;=$L$4),ROW(),"-")</f>
        <v>-</v>
      </c>
    </row>
    <row r="17788" customHeight="1" spans="2:2">
      <c r="B17788" s="62" t="str">
        <f>IF(AND('领用录入（明细）'!D:D=$F$4,'领用录入（明细）'!C:C&gt;=$J$4,'领用录入（明细）'!C:C&lt;=$L$4),ROW(),"-")</f>
        <v>-</v>
      </c>
    </row>
    <row r="17789" customHeight="1" spans="2:2">
      <c r="B17789" s="62" t="str">
        <f>IF(AND('领用录入（明细）'!D:D=$F$4,'领用录入（明细）'!C:C&gt;=$J$4,'领用录入（明细）'!C:C&lt;=$L$4),ROW(),"-")</f>
        <v>-</v>
      </c>
    </row>
    <row r="17790" customHeight="1" spans="2:2">
      <c r="B17790" s="62" t="str">
        <f>IF(AND('领用录入（明细）'!D:D=$F$4,'领用录入（明细）'!C:C&gt;=$J$4,'领用录入（明细）'!C:C&lt;=$L$4),ROW(),"-")</f>
        <v>-</v>
      </c>
    </row>
    <row r="17791" customHeight="1" spans="2:2">
      <c r="B17791" s="62" t="str">
        <f>IF(AND('领用录入（明细）'!D:D=$F$4,'领用录入（明细）'!C:C&gt;=$J$4,'领用录入（明细）'!C:C&lt;=$L$4),ROW(),"-")</f>
        <v>-</v>
      </c>
    </row>
    <row r="17792" customHeight="1" spans="2:2">
      <c r="B17792" s="62" t="str">
        <f>IF(AND('领用录入（明细）'!D:D=$F$4,'领用录入（明细）'!C:C&gt;=$J$4,'领用录入（明细）'!C:C&lt;=$L$4),ROW(),"-")</f>
        <v>-</v>
      </c>
    </row>
    <row r="17793" customHeight="1" spans="2:2">
      <c r="B17793" s="62" t="str">
        <f>IF(AND('领用录入（明细）'!D:D=$F$4,'领用录入（明细）'!C:C&gt;=$J$4,'领用录入（明细）'!C:C&lt;=$L$4),ROW(),"-")</f>
        <v>-</v>
      </c>
    </row>
    <row r="17794" customHeight="1" spans="2:2">
      <c r="B17794" s="62" t="str">
        <f>IF(AND('领用录入（明细）'!D:D=$F$4,'领用录入（明细）'!C:C&gt;=$J$4,'领用录入（明细）'!C:C&lt;=$L$4),ROW(),"-")</f>
        <v>-</v>
      </c>
    </row>
    <row r="17795" customHeight="1" spans="2:2">
      <c r="B17795" s="62" t="str">
        <f>IF(AND('领用录入（明细）'!D:D=$F$4,'领用录入（明细）'!C:C&gt;=$J$4,'领用录入（明细）'!C:C&lt;=$L$4),ROW(),"-")</f>
        <v>-</v>
      </c>
    </row>
    <row r="17796" customHeight="1" spans="2:2">
      <c r="B17796" s="62" t="str">
        <f>IF(AND('领用录入（明细）'!D:D=$F$4,'领用录入（明细）'!C:C&gt;=$J$4,'领用录入（明细）'!C:C&lt;=$L$4),ROW(),"-")</f>
        <v>-</v>
      </c>
    </row>
    <row r="17797" customHeight="1" spans="2:2">
      <c r="B17797" s="62" t="str">
        <f>IF(AND('领用录入（明细）'!D:D=$F$4,'领用录入（明细）'!C:C&gt;=$J$4,'领用录入（明细）'!C:C&lt;=$L$4),ROW(),"-")</f>
        <v>-</v>
      </c>
    </row>
    <row r="17798" customHeight="1" spans="2:2">
      <c r="B17798" s="62" t="str">
        <f>IF(AND('领用录入（明细）'!D:D=$F$4,'领用录入（明细）'!C:C&gt;=$J$4,'领用录入（明细）'!C:C&lt;=$L$4),ROW(),"-")</f>
        <v>-</v>
      </c>
    </row>
    <row r="17799" customHeight="1" spans="2:2">
      <c r="B17799" s="62" t="str">
        <f>IF(AND('领用录入（明细）'!D:D=$F$4,'领用录入（明细）'!C:C&gt;=$J$4,'领用录入（明细）'!C:C&lt;=$L$4),ROW(),"-")</f>
        <v>-</v>
      </c>
    </row>
    <row r="17800" customHeight="1" spans="2:2">
      <c r="B17800" s="62" t="str">
        <f>IF(AND('领用录入（明细）'!D:D=$F$4,'领用录入（明细）'!C:C&gt;=$J$4,'领用录入（明细）'!C:C&lt;=$L$4),ROW(),"-")</f>
        <v>-</v>
      </c>
    </row>
    <row r="17801" customHeight="1" spans="2:2">
      <c r="B17801" s="62" t="str">
        <f>IF(AND('领用录入（明细）'!D:D=$F$4,'领用录入（明细）'!C:C&gt;=$J$4,'领用录入（明细）'!C:C&lt;=$L$4),ROW(),"-")</f>
        <v>-</v>
      </c>
    </row>
    <row r="17802" customHeight="1" spans="2:2">
      <c r="B17802" s="62" t="str">
        <f>IF(AND('领用录入（明细）'!D:D=$F$4,'领用录入（明细）'!C:C&gt;=$J$4,'领用录入（明细）'!C:C&lt;=$L$4),ROW(),"-")</f>
        <v>-</v>
      </c>
    </row>
    <row r="17803" customHeight="1" spans="2:2">
      <c r="B17803" s="62" t="str">
        <f>IF(AND('领用录入（明细）'!D:D=$F$4,'领用录入（明细）'!C:C&gt;=$J$4,'领用录入（明细）'!C:C&lt;=$L$4),ROW(),"-")</f>
        <v>-</v>
      </c>
    </row>
    <row r="17804" customHeight="1" spans="2:2">
      <c r="B17804" s="62" t="str">
        <f>IF(AND('领用录入（明细）'!D:D=$F$4,'领用录入（明细）'!C:C&gt;=$J$4,'领用录入（明细）'!C:C&lt;=$L$4),ROW(),"-")</f>
        <v>-</v>
      </c>
    </row>
    <row r="17805" customHeight="1" spans="2:2">
      <c r="B17805" s="62" t="str">
        <f>IF(AND('领用录入（明细）'!D:D=$F$4,'领用录入（明细）'!C:C&gt;=$J$4,'领用录入（明细）'!C:C&lt;=$L$4),ROW(),"-")</f>
        <v>-</v>
      </c>
    </row>
    <row r="17806" customHeight="1" spans="2:2">
      <c r="B17806" s="62" t="str">
        <f>IF(AND('领用录入（明细）'!D:D=$F$4,'领用录入（明细）'!C:C&gt;=$J$4,'领用录入（明细）'!C:C&lt;=$L$4),ROW(),"-")</f>
        <v>-</v>
      </c>
    </row>
    <row r="17807" customHeight="1" spans="2:2">
      <c r="B17807" s="62" t="str">
        <f>IF(AND('领用录入（明细）'!D:D=$F$4,'领用录入（明细）'!C:C&gt;=$J$4,'领用录入（明细）'!C:C&lt;=$L$4),ROW(),"-")</f>
        <v>-</v>
      </c>
    </row>
    <row r="17808" customHeight="1" spans="2:2">
      <c r="B17808" s="62" t="str">
        <f>IF(AND('领用录入（明细）'!D:D=$F$4,'领用录入（明细）'!C:C&gt;=$J$4,'领用录入（明细）'!C:C&lt;=$L$4),ROW(),"-")</f>
        <v>-</v>
      </c>
    </row>
    <row r="17809" customHeight="1" spans="2:2">
      <c r="B17809" s="62" t="str">
        <f>IF(AND('领用录入（明细）'!D:D=$F$4,'领用录入（明细）'!C:C&gt;=$J$4,'领用录入（明细）'!C:C&lt;=$L$4),ROW(),"-")</f>
        <v>-</v>
      </c>
    </row>
    <row r="17810" customHeight="1" spans="2:2">
      <c r="B17810" s="62" t="str">
        <f>IF(AND('领用录入（明细）'!D:D=$F$4,'领用录入（明细）'!C:C&gt;=$J$4,'领用录入（明细）'!C:C&lt;=$L$4),ROW(),"-")</f>
        <v>-</v>
      </c>
    </row>
    <row r="17811" customHeight="1" spans="2:2">
      <c r="B17811" s="62" t="str">
        <f>IF(AND('领用录入（明细）'!D:D=$F$4,'领用录入（明细）'!C:C&gt;=$J$4,'领用录入（明细）'!C:C&lt;=$L$4),ROW(),"-")</f>
        <v>-</v>
      </c>
    </row>
    <row r="17812" customHeight="1" spans="2:2">
      <c r="B17812" s="62" t="str">
        <f>IF(AND('领用录入（明细）'!D:D=$F$4,'领用录入（明细）'!C:C&gt;=$J$4,'领用录入（明细）'!C:C&lt;=$L$4),ROW(),"-")</f>
        <v>-</v>
      </c>
    </row>
    <row r="17813" customHeight="1" spans="2:2">
      <c r="B17813" s="62" t="str">
        <f>IF(AND('领用录入（明细）'!D:D=$F$4,'领用录入（明细）'!C:C&gt;=$J$4,'领用录入（明细）'!C:C&lt;=$L$4),ROW(),"-")</f>
        <v>-</v>
      </c>
    </row>
    <row r="17814" customHeight="1" spans="2:2">
      <c r="B17814" s="62" t="str">
        <f>IF(AND('领用录入（明细）'!D:D=$F$4,'领用录入（明细）'!C:C&gt;=$J$4,'领用录入（明细）'!C:C&lt;=$L$4),ROW(),"-")</f>
        <v>-</v>
      </c>
    </row>
    <row r="17815" customHeight="1" spans="2:2">
      <c r="B17815" s="62" t="str">
        <f>IF(AND('领用录入（明细）'!D:D=$F$4,'领用录入（明细）'!C:C&gt;=$J$4,'领用录入（明细）'!C:C&lt;=$L$4),ROW(),"-")</f>
        <v>-</v>
      </c>
    </row>
    <row r="17816" customHeight="1" spans="2:2">
      <c r="B17816" s="62" t="str">
        <f>IF(AND('领用录入（明细）'!D:D=$F$4,'领用录入（明细）'!C:C&gt;=$J$4,'领用录入（明细）'!C:C&lt;=$L$4),ROW(),"-")</f>
        <v>-</v>
      </c>
    </row>
    <row r="17817" customHeight="1" spans="2:2">
      <c r="B17817" s="62" t="str">
        <f>IF(AND('领用录入（明细）'!D:D=$F$4,'领用录入（明细）'!C:C&gt;=$J$4,'领用录入（明细）'!C:C&lt;=$L$4),ROW(),"-")</f>
        <v>-</v>
      </c>
    </row>
    <row r="17818" customHeight="1" spans="2:2">
      <c r="B17818" s="62" t="str">
        <f>IF(AND('领用录入（明细）'!D:D=$F$4,'领用录入（明细）'!C:C&gt;=$J$4,'领用录入（明细）'!C:C&lt;=$L$4),ROW(),"-")</f>
        <v>-</v>
      </c>
    </row>
    <row r="17819" customHeight="1" spans="2:2">
      <c r="B17819" s="62" t="str">
        <f>IF(AND('领用录入（明细）'!D:D=$F$4,'领用录入（明细）'!C:C&gt;=$J$4,'领用录入（明细）'!C:C&lt;=$L$4),ROW(),"-")</f>
        <v>-</v>
      </c>
    </row>
    <row r="17820" customHeight="1" spans="2:2">
      <c r="B17820" s="62" t="str">
        <f>IF(AND('领用录入（明细）'!D:D=$F$4,'领用录入（明细）'!C:C&gt;=$J$4,'领用录入（明细）'!C:C&lt;=$L$4),ROW(),"-")</f>
        <v>-</v>
      </c>
    </row>
    <row r="17821" customHeight="1" spans="2:2">
      <c r="B17821" s="62" t="str">
        <f>IF(AND('领用录入（明细）'!D:D=$F$4,'领用录入（明细）'!C:C&gt;=$J$4,'领用录入（明细）'!C:C&lt;=$L$4),ROW(),"-")</f>
        <v>-</v>
      </c>
    </row>
    <row r="17822" customHeight="1" spans="2:2">
      <c r="B17822" s="62" t="str">
        <f>IF(AND('领用录入（明细）'!D:D=$F$4,'领用录入（明细）'!C:C&gt;=$J$4,'领用录入（明细）'!C:C&lt;=$L$4),ROW(),"-")</f>
        <v>-</v>
      </c>
    </row>
    <row r="17823" customHeight="1" spans="2:2">
      <c r="B17823" s="62" t="str">
        <f>IF(AND('领用录入（明细）'!D:D=$F$4,'领用录入（明细）'!C:C&gt;=$J$4,'领用录入（明细）'!C:C&lt;=$L$4),ROW(),"-")</f>
        <v>-</v>
      </c>
    </row>
    <row r="17824" customHeight="1" spans="2:2">
      <c r="B17824" s="62" t="str">
        <f>IF(AND('领用录入（明细）'!D:D=$F$4,'领用录入（明细）'!C:C&gt;=$J$4,'领用录入（明细）'!C:C&lt;=$L$4),ROW(),"-")</f>
        <v>-</v>
      </c>
    </row>
    <row r="17825" customHeight="1" spans="2:2">
      <c r="B17825" s="62" t="str">
        <f>IF(AND('领用录入（明细）'!D:D=$F$4,'领用录入（明细）'!C:C&gt;=$J$4,'领用录入（明细）'!C:C&lt;=$L$4),ROW(),"-")</f>
        <v>-</v>
      </c>
    </row>
    <row r="17826" customHeight="1" spans="2:2">
      <c r="B17826" s="62" t="str">
        <f>IF(AND('领用录入（明细）'!D:D=$F$4,'领用录入（明细）'!C:C&gt;=$J$4,'领用录入（明细）'!C:C&lt;=$L$4),ROW(),"-")</f>
        <v>-</v>
      </c>
    </row>
    <row r="17827" customHeight="1" spans="2:2">
      <c r="B17827" s="62" t="str">
        <f>IF(AND('领用录入（明细）'!D:D=$F$4,'领用录入（明细）'!C:C&gt;=$J$4,'领用录入（明细）'!C:C&lt;=$L$4),ROW(),"-")</f>
        <v>-</v>
      </c>
    </row>
    <row r="17828" customHeight="1" spans="2:2">
      <c r="B17828" s="62" t="str">
        <f>IF(AND('领用录入（明细）'!D:D=$F$4,'领用录入（明细）'!C:C&gt;=$J$4,'领用录入（明细）'!C:C&lt;=$L$4),ROW(),"-")</f>
        <v>-</v>
      </c>
    </row>
    <row r="17829" customHeight="1" spans="2:2">
      <c r="B17829" s="62" t="str">
        <f>IF(AND('领用录入（明细）'!D:D=$F$4,'领用录入（明细）'!C:C&gt;=$J$4,'领用录入（明细）'!C:C&lt;=$L$4),ROW(),"-")</f>
        <v>-</v>
      </c>
    </row>
    <row r="17830" customHeight="1" spans="2:2">
      <c r="B17830" s="62" t="str">
        <f>IF(AND('领用录入（明细）'!D:D=$F$4,'领用录入（明细）'!C:C&gt;=$J$4,'领用录入（明细）'!C:C&lt;=$L$4),ROW(),"-")</f>
        <v>-</v>
      </c>
    </row>
    <row r="17831" customHeight="1" spans="2:2">
      <c r="B17831" s="62" t="str">
        <f>IF(AND('领用录入（明细）'!D:D=$F$4,'领用录入（明细）'!C:C&gt;=$J$4,'领用录入（明细）'!C:C&lt;=$L$4),ROW(),"-")</f>
        <v>-</v>
      </c>
    </row>
    <row r="17832" customHeight="1" spans="2:2">
      <c r="B17832" s="62" t="str">
        <f>IF(AND('领用录入（明细）'!D:D=$F$4,'领用录入（明细）'!C:C&gt;=$J$4,'领用录入（明细）'!C:C&lt;=$L$4),ROW(),"-")</f>
        <v>-</v>
      </c>
    </row>
    <row r="17833" customHeight="1" spans="2:2">
      <c r="B17833" s="62" t="str">
        <f>IF(AND('领用录入（明细）'!D:D=$F$4,'领用录入（明细）'!C:C&gt;=$J$4,'领用录入（明细）'!C:C&lt;=$L$4),ROW(),"-")</f>
        <v>-</v>
      </c>
    </row>
    <row r="17834" customHeight="1" spans="2:2">
      <c r="B17834" s="62" t="str">
        <f>IF(AND('领用录入（明细）'!D:D=$F$4,'领用录入（明细）'!C:C&gt;=$J$4,'领用录入（明细）'!C:C&lt;=$L$4),ROW(),"-")</f>
        <v>-</v>
      </c>
    </row>
    <row r="17835" customHeight="1" spans="2:2">
      <c r="B17835" s="62" t="str">
        <f>IF(AND('领用录入（明细）'!D:D=$F$4,'领用录入（明细）'!C:C&gt;=$J$4,'领用录入（明细）'!C:C&lt;=$L$4),ROW(),"-")</f>
        <v>-</v>
      </c>
    </row>
    <row r="17836" customHeight="1" spans="2:2">
      <c r="B17836" s="62" t="str">
        <f>IF(AND('领用录入（明细）'!D:D=$F$4,'领用录入（明细）'!C:C&gt;=$J$4,'领用录入（明细）'!C:C&lt;=$L$4),ROW(),"-")</f>
        <v>-</v>
      </c>
    </row>
    <row r="17837" customHeight="1" spans="2:2">
      <c r="B17837" s="62" t="str">
        <f>IF(AND('领用录入（明细）'!D:D=$F$4,'领用录入（明细）'!C:C&gt;=$J$4,'领用录入（明细）'!C:C&lt;=$L$4),ROW(),"-")</f>
        <v>-</v>
      </c>
    </row>
    <row r="17838" customHeight="1" spans="2:2">
      <c r="B17838" s="62" t="str">
        <f>IF(AND('领用录入（明细）'!D:D=$F$4,'领用录入（明细）'!C:C&gt;=$J$4,'领用录入（明细）'!C:C&lt;=$L$4),ROW(),"-")</f>
        <v>-</v>
      </c>
    </row>
    <row r="17839" customHeight="1" spans="2:2">
      <c r="B17839" s="62" t="str">
        <f>IF(AND('领用录入（明细）'!D:D=$F$4,'领用录入（明细）'!C:C&gt;=$J$4,'领用录入（明细）'!C:C&lt;=$L$4),ROW(),"-")</f>
        <v>-</v>
      </c>
    </row>
    <row r="17840" customHeight="1" spans="2:2">
      <c r="B17840" s="62" t="str">
        <f>IF(AND('领用录入（明细）'!D:D=$F$4,'领用录入（明细）'!C:C&gt;=$J$4,'领用录入（明细）'!C:C&lt;=$L$4),ROW(),"-")</f>
        <v>-</v>
      </c>
    </row>
    <row r="17841" customHeight="1" spans="2:2">
      <c r="B17841" s="62" t="str">
        <f>IF(AND('领用录入（明细）'!D:D=$F$4,'领用录入（明细）'!C:C&gt;=$J$4,'领用录入（明细）'!C:C&lt;=$L$4),ROW(),"-")</f>
        <v>-</v>
      </c>
    </row>
    <row r="17842" customHeight="1" spans="2:2">
      <c r="B17842" s="62" t="str">
        <f>IF(AND('领用录入（明细）'!D:D=$F$4,'领用录入（明细）'!C:C&gt;=$J$4,'领用录入（明细）'!C:C&lt;=$L$4),ROW(),"-")</f>
        <v>-</v>
      </c>
    </row>
    <row r="17843" customHeight="1" spans="2:2">
      <c r="B17843" s="62" t="str">
        <f>IF(AND('领用录入（明细）'!D:D=$F$4,'领用录入（明细）'!C:C&gt;=$J$4,'领用录入（明细）'!C:C&lt;=$L$4),ROW(),"-")</f>
        <v>-</v>
      </c>
    </row>
    <row r="17844" customHeight="1" spans="2:2">
      <c r="B17844" s="62" t="str">
        <f>IF(AND('领用录入（明细）'!D:D=$F$4,'领用录入（明细）'!C:C&gt;=$J$4,'领用录入（明细）'!C:C&lt;=$L$4),ROW(),"-")</f>
        <v>-</v>
      </c>
    </row>
    <row r="17845" customHeight="1" spans="2:2">
      <c r="B17845" s="62" t="str">
        <f>IF(AND('领用录入（明细）'!D:D=$F$4,'领用录入（明细）'!C:C&gt;=$J$4,'领用录入（明细）'!C:C&lt;=$L$4),ROW(),"-")</f>
        <v>-</v>
      </c>
    </row>
    <row r="17846" customHeight="1" spans="2:2">
      <c r="B17846" s="62" t="str">
        <f>IF(AND('领用录入（明细）'!D:D=$F$4,'领用录入（明细）'!C:C&gt;=$J$4,'领用录入（明细）'!C:C&lt;=$L$4),ROW(),"-")</f>
        <v>-</v>
      </c>
    </row>
    <row r="17847" customHeight="1" spans="2:2">
      <c r="B17847" s="62" t="str">
        <f>IF(AND('领用录入（明细）'!D:D=$F$4,'领用录入（明细）'!C:C&gt;=$J$4,'领用录入（明细）'!C:C&lt;=$L$4),ROW(),"-")</f>
        <v>-</v>
      </c>
    </row>
    <row r="17848" customHeight="1" spans="2:2">
      <c r="B17848" s="62" t="str">
        <f>IF(AND('领用录入（明细）'!D:D=$F$4,'领用录入（明细）'!C:C&gt;=$J$4,'领用录入（明细）'!C:C&lt;=$L$4),ROW(),"-")</f>
        <v>-</v>
      </c>
    </row>
    <row r="17849" customHeight="1" spans="2:2">
      <c r="B17849" s="62" t="str">
        <f>IF(AND('领用录入（明细）'!D:D=$F$4,'领用录入（明细）'!C:C&gt;=$J$4,'领用录入（明细）'!C:C&lt;=$L$4),ROW(),"-")</f>
        <v>-</v>
      </c>
    </row>
    <row r="17850" customHeight="1" spans="2:2">
      <c r="B17850" s="62" t="str">
        <f>IF(AND('领用录入（明细）'!D:D=$F$4,'领用录入（明细）'!C:C&gt;=$J$4,'领用录入（明细）'!C:C&lt;=$L$4),ROW(),"-")</f>
        <v>-</v>
      </c>
    </row>
    <row r="17851" customHeight="1" spans="2:2">
      <c r="B17851" s="62" t="str">
        <f>IF(AND('领用录入（明细）'!D:D=$F$4,'领用录入（明细）'!C:C&gt;=$J$4,'领用录入（明细）'!C:C&lt;=$L$4),ROW(),"-")</f>
        <v>-</v>
      </c>
    </row>
    <row r="17852" customHeight="1" spans="2:2">
      <c r="B17852" s="62" t="str">
        <f>IF(AND('领用录入（明细）'!D:D=$F$4,'领用录入（明细）'!C:C&gt;=$J$4,'领用录入（明细）'!C:C&lt;=$L$4),ROW(),"-")</f>
        <v>-</v>
      </c>
    </row>
    <row r="17853" customHeight="1" spans="2:2">
      <c r="B17853" s="62" t="str">
        <f>IF(AND('领用录入（明细）'!D:D=$F$4,'领用录入（明细）'!C:C&gt;=$J$4,'领用录入（明细）'!C:C&lt;=$L$4),ROW(),"-")</f>
        <v>-</v>
      </c>
    </row>
    <row r="17854" customHeight="1" spans="2:2">
      <c r="B17854" s="62" t="str">
        <f>IF(AND('领用录入（明细）'!D:D=$F$4,'领用录入（明细）'!C:C&gt;=$J$4,'领用录入（明细）'!C:C&lt;=$L$4),ROW(),"-")</f>
        <v>-</v>
      </c>
    </row>
    <row r="17855" customHeight="1" spans="2:2">
      <c r="B17855" s="62" t="str">
        <f>IF(AND('领用录入（明细）'!D:D=$F$4,'领用录入（明细）'!C:C&gt;=$J$4,'领用录入（明细）'!C:C&lt;=$L$4),ROW(),"-")</f>
        <v>-</v>
      </c>
    </row>
    <row r="17856" customHeight="1" spans="2:2">
      <c r="B17856" s="62" t="str">
        <f>IF(AND('领用录入（明细）'!D:D=$F$4,'领用录入（明细）'!C:C&gt;=$J$4,'领用录入（明细）'!C:C&lt;=$L$4),ROW(),"-")</f>
        <v>-</v>
      </c>
    </row>
    <row r="17857" customHeight="1" spans="2:2">
      <c r="B17857" s="62" t="str">
        <f>IF(AND('领用录入（明细）'!D:D=$F$4,'领用录入（明细）'!C:C&gt;=$J$4,'领用录入（明细）'!C:C&lt;=$L$4),ROW(),"-")</f>
        <v>-</v>
      </c>
    </row>
    <row r="17858" customHeight="1" spans="2:2">
      <c r="B17858" s="62" t="str">
        <f>IF(AND('领用录入（明细）'!D:D=$F$4,'领用录入（明细）'!C:C&gt;=$J$4,'领用录入（明细）'!C:C&lt;=$L$4),ROW(),"-")</f>
        <v>-</v>
      </c>
    </row>
    <row r="17859" customHeight="1" spans="2:2">
      <c r="B17859" s="62" t="str">
        <f>IF(AND('领用录入（明细）'!D:D=$F$4,'领用录入（明细）'!C:C&gt;=$J$4,'领用录入（明细）'!C:C&lt;=$L$4),ROW(),"-")</f>
        <v>-</v>
      </c>
    </row>
    <row r="17860" customHeight="1" spans="2:2">
      <c r="B17860" s="62" t="str">
        <f>IF(AND('领用录入（明细）'!D:D=$F$4,'领用录入（明细）'!C:C&gt;=$J$4,'领用录入（明细）'!C:C&lt;=$L$4),ROW(),"-")</f>
        <v>-</v>
      </c>
    </row>
    <row r="17861" customHeight="1" spans="2:2">
      <c r="B17861" s="62" t="str">
        <f>IF(AND('领用录入（明细）'!D:D=$F$4,'领用录入（明细）'!C:C&gt;=$J$4,'领用录入（明细）'!C:C&lt;=$L$4),ROW(),"-")</f>
        <v>-</v>
      </c>
    </row>
    <row r="17862" customHeight="1" spans="2:2">
      <c r="B17862" s="62" t="str">
        <f>IF(AND('领用录入（明细）'!D:D=$F$4,'领用录入（明细）'!C:C&gt;=$J$4,'领用录入（明细）'!C:C&lt;=$L$4),ROW(),"-")</f>
        <v>-</v>
      </c>
    </row>
    <row r="17863" customHeight="1" spans="2:2">
      <c r="B17863" s="62" t="str">
        <f>IF(AND('领用录入（明细）'!D:D=$F$4,'领用录入（明细）'!C:C&gt;=$J$4,'领用录入（明细）'!C:C&lt;=$L$4),ROW(),"-")</f>
        <v>-</v>
      </c>
    </row>
    <row r="17864" customHeight="1" spans="2:2">
      <c r="B17864" s="62" t="str">
        <f>IF(AND('领用录入（明细）'!D:D=$F$4,'领用录入（明细）'!C:C&gt;=$J$4,'领用录入（明细）'!C:C&lt;=$L$4),ROW(),"-")</f>
        <v>-</v>
      </c>
    </row>
    <row r="17865" customHeight="1" spans="2:2">
      <c r="B17865" s="62" t="str">
        <f>IF(AND('领用录入（明细）'!D:D=$F$4,'领用录入（明细）'!C:C&gt;=$J$4,'领用录入（明细）'!C:C&lt;=$L$4),ROW(),"-")</f>
        <v>-</v>
      </c>
    </row>
    <row r="17866" customHeight="1" spans="2:2">
      <c r="B17866" s="62" t="str">
        <f>IF(AND('领用录入（明细）'!D:D=$F$4,'领用录入（明细）'!C:C&gt;=$J$4,'领用录入（明细）'!C:C&lt;=$L$4),ROW(),"-")</f>
        <v>-</v>
      </c>
    </row>
    <row r="17867" customHeight="1" spans="2:2">
      <c r="B17867" s="62" t="str">
        <f>IF(AND('领用录入（明细）'!D:D=$F$4,'领用录入（明细）'!C:C&gt;=$J$4,'领用录入（明细）'!C:C&lt;=$L$4),ROW(),"-")</f>
        <v>-</v>
      </c>
    </row>
    <row r="17868" customHeight="1" spans="2:2">
      <c r="B17868" s="62" t="str">
        <f>IF(AND('领用录入（明细）'!D:D=$F$4,'领用录入（明细）'!C:C&gt;=$J$4,'领用录入（明细）'!C:C&lt;=$L$4),ROW(),"-")</f>
        <v>-</v>
      </c>
    </row>
    <row r="17869" customHeight="1" spans="2:2">
      <c r="B17869" s="62" t="str">
        <f>IF(AND('领用录入（明细）'!D:D=$F$4,'领用录入（明细）'!C:C&gt;=$J$4,'领用录入（明细）'!C:C&lt;=$L$4),ROW(),"-")</f>
        <v>-</v>
      </c>
    </row>
    <row r="17870" customHeight="1" spans="2:2">
      <c r="B17870" s="62" t="str">
        <f>IF(AND('领用录入（明细）'!D:D=$F$4,'领用录入（明细）'!C:C&gt;=$J$4,'领用录入（明细）'!C:C&lt;=$L$4),ROW(),"-")</f>
        <v>-</v>
      </c>
    </row>
    <row r="17871" customHeight="1" spans="2:2">
      <c r="B17871" s="62" t="str">
        <f>IF(AND('领用录入（明细）'!D:D=$F$4,'领用录入（明细）'!C:C&gt;=$J$4,'领用录入（明细）'!C:C&lt;=$L$4),ROW(),"-")</f>
        <v>-</v>
      </c>
    </row>
    <row r="17872" customHeight="1" spans="2:2">
      <c r="B17872" s="62" t="str">
        <f>IF(AND('领用录入（明细）'!D:D=$F$4,'领用录入（明细）'!C:C&gt;=$J$4,'领用录入（明细）'!C:C&lt;=$L$4),ROW(),"-")</f>
        <v>-</v>
      </c>
    </row>
    <row r="17873" customHeight="1" spans="2:2">
      <c r="B17873" s="62" t="str">
        <f>IF(AND('领用录入（明细）'!D:D=$F$4,'领用录入（明细）'!C:C&gt;=$J$4,'领用录入（明细）'!C:C&lt;=$L$4),ROW(),"-")</f>
        <v>-</v>
      </c>
    </row>
    <row r="17874" customHeight="1" spans="2:2">
      <c r="B17874" s="62" t="str">
        <f>IF(AND('领用录入（明细）'!D:D=$F$4,'领用录入（明细）'!C:C&gt;=$J$4,'领用录入（明细）'!C:C&lt;=$L$4),ROW(),"-")</f>
        <v>-</v>
      </c>
    </row>
    <row r="17875" customHeight="1" spans="2:2">
      <c r="B17875" s="62" t="str">
        <f>IF(AND('领用录入（明细）'!D:D=$F$4,'领用录入（明细）'!C:C&gt;=$J$4,'领用录入（明细）'!C:C&lt;=$L$4),ROW(),"-")</f>
        <v>-</v>
      </c>
    </row>
    <row r="17876" customHeight="1" spans="2:2">
      <c r="B17876" s="62" t="str">
        <f>IF(AND('领用录入（明细）'!D:D=$F$4,'领用录入（明细）'!C:C&gt;=$J$4,'领用录入（明细）'!C:C&lt;=$L$4),ROW(),"-")</f>
        <v>-</v>
      </c>
    </row>
    <row r="17877" customHeight="1" spans="2:2">
      <c r="B17877" s="62" t="str">
        <f>IF(AND('领用录入（明细）'!D:D=$F$4,'领用录入（明细）'!C:C&gt;=$J$4,'领用录入（明细）'!C:C&lt;=$L$4),ROW(),"-")</f>
        <v>-</v>
      </c>
    </row>
    <row r="17878" customHeight="1" spans="2:2">
      <c r="B17878" s="62" t="str">
        <f>IF(AND('领用录入（明细）'!D:D=$F$4,'领用录入（明细）'!C:C&gt;=$J$4,'领用录入（明细）'!C:C&lt;=$L$4),ROW(),"-")</f>
        <v>-</v>
      </c>
    </row>
    <row r="17879" customHeight="1" spans="2:2">
      <c r="B17879" s="62" t="str">
        <f>IF(AND('领用录入（明细）'!D:D=$F$4,'领用录入（明细）'!C:C&gt;=$J$4,'领用录入（明细）'!C:C&lt;=$L$4),ROW(),"-")</f>
        <v>-</v>
      </c>
    </row>
    <row r="17880" customHeight="1" spans="2:2">
      <c r="B17880" s="62" t="str">
        <f>IF(AND('领用录入（明细）'!D:D=$F$4,'领用录入（明细）'!C:C&gt;=$J$4,'领用录入（明细）'!C:C&lt;=$L$4),ROW(),"-")</f>
        <v>-</v>
      </c>
    </row>
    <row r="17881" customHeight="1" spans="2:2">
      <c r="B17881" s="62" t="str">
        <f>IF(AND('领用录入（明细）'!D:D=$F$4,'领用录入（明细）'!C:C&gt;=$J$4,'领用录入（明细）'!C:C&lt;=$L$4),ROW(),"-")</f>
        <v>-</v>
      </c>
    </row>
    <row r="17882" customHeight="1" spans="2:2">
      <c r="B17882" s="62" t="str">
        <f>IF(AND('领用录入（明细）'!D:D=$F$4,'领用录入（明细）'!C:C&gt;=$J$4,'领用录入（明细）'!C:C&lt;=$L$4),ROW(),"-")</f>
        <v>-</v>
      </c>
    </row>
    <row r="17883" customHeight="1" spans="2:2">
      <c r="B17883" s="62" t="str">
        <f>IF(AND('领用录入（明细）'!D:D=$F$4,'领用录入（明细）'!C:C&gt;=$J$4,'领用录入（明细）'!C:C&lt;=$L$4),ROW(),"-")</f>
        <v>-</v>
      </c>
    </row>
    <row r="17884" customHeight="1" spans="2:2">
      <c r="B17884" s="62" t="str">
        <f>IF(AND('领用录入（明细）'!D:D=$F$4,'领用录入（明细）'!C:C&gt;=$J$4,'领用录入（明细）'!C:C&lt;=$L$4),ROW(),"-")</f>
        <v>-</v>
      </c>
    </row>
    <row r="17885" customHeight="1" spans="2:2">
      <c r="B17885" s="62" t="str">
        <f>IF(AND('领用录入（明细）'!D:D=$F$4,'领用录入（明细）'!C:C&gt;=$J$4,'领用录入（明细）'!C:C&lt;=$L$4),ROW(),"-")</f>
        <v>-</v>
      </c>
    </row>
    <row r="17886" customHeight="1" spans="2:2">
      <c r="B17886" s="62" t="str">
        <f>IF(AND('领用录入（明细）'!D:D=$F$4,'领用录入（明细）'!C:C&gt;=$J$4,'领用录入（明细）'!C:C&lt;=$L$4),ROW(),"-")</f>
        <v>-</v>
      </c>
    </row>
    <row r="17887" customHeight="1" spans="2:2">
      <c r="B17887" s="62" t="str">
        <f>IF(AND('领用录入（明细）'!D:D=$F$4,'领用录入（明细）'!C:C&gt;=$J$4,'领用录入（明细）'!C:C&lt;=$L$4),ROW(),"-")</f>
        <v>-</v>
      </c>
    </row>
    <row r="17888" customHeight="1" spans="2:2">
      <c r="B17888" s="62" t="str">
        <f>IF(AND('领用录入（明细）'!D:D=$F$4,'领用录入（明细）'!C:C&gt;=$J$4,'领用录入（明细）'!C:C&lt;=$L$4),ROW(),"-")</f>
        <v>-</v>
      </c>
    </row>
    <row r="17889" customHeight="1" spans="2:2">
      <c r="B17889" s="62" t="str">
        <f>IF(AND('领用录入（明细）'!D:D=$F$4,'领用录入（明细）'!C:C&gt;=$J$4,'领用录入（明细）'!C:C&lt;=$L$4),ROW(),"-")</f>
        <v>-</v>
      </c>
    </row>
    <row r="17890" customHeight="1" spans="2:2">
      <c r="B17890" s="62" t="str">
        <f>IF(AND('领用录入（明细）'!D:D=$F$4,'领用录入（明细）'!C:C&gt;=$J$4,'领用录入（明细）'!C:C&lt;=$L$4),ROW(),"-")</f>
        <v>-</v>
      </c>
    </row>
    <row r="17891" customHeight="1" spans="2:2">
      <c r="B17891" s="62" t="str">
        <f>IF(AND('领用录入（明细）'!D:D=$F$4,'领用录入（明细）'!C:C&gt;=$J$4,'领用录入（明细）'!C:C&lt;=$L$4),ROW(),"-")</f>
        <v>-</v>
      </c>
    </row>
    <row r="17892" customHeight="1" spans="2:2">
      <c r="B17892" s="62" t="str">
        <f>IF(AND('领用录入（明细）'!D:D=$F$4,'领用录入（明细）'!C:C&gt;=$J$4,'领用录入（明细）'!C:C&lt;=$L$4),ROW(),"-")</f>
        <v>-</v>
      </c>
    </row>
    <row r="17893" customHeight="1" spans="2:2">
      <c r="B17893" s="62" t="str">
        <f>IF(AND('领用录入（明细）'!D:D=$F$4,'领用录入（明细）'!C:C&gt;=$J$4,'领用录入（明细）'!C:C&lt;=$L$4),ROW(),"-")</f>
        <v>-</v>
      </c>
    </row>
    <row r="17894" customHeight="1" spans="2:2">
      <c r="B17894" s="62" t="str">
        <f>IF(AND('领用录入（明细）'!D:D=$F$4,'领用录入（明细）'!C:C&gt;=$J$4,'领用录入（明细）'!C:C&lt;=$L$4),ROW(),"-")</f>
        <v>-</v>
      </c>
    </row>
    <row r="17895" customHeight="1" spans="2:2">
      <c r="B17895" s="62" t="str">
        <f>IF(AND('领用录入（明细）'!D:D=$F$4,'领用录入（明细）'!C:C&gt;=$J$4,'领用录入（明细）'!C:C&lt;=$L$4),ROW(),"-")</f>
        <v>-</v>
      </c>
    </row>
    <row r="17896" customHeight="1" spans="2:2">
      <c r="B17896" s="62" t="str">
        <f>IF(AND('领用录入（明细）'!D:D=$F$4,'领用录入（明细）'!C:C&gt;=$J$4,'领用录入（明细）'!C:C&lt;=$L$4),ROW(),"-")</f>
        <v>-</v>
      </c>
    </row>
    <row r="17897" customHeight="1" spans="2:2">
      <c r="B17897" s="62" t="str">
        <f>IF(AND('领用录入（明细）'!D:D=$F$4,'领用录入（明细）'!C:C&gt;=$J$4,'领用录入（明细）'!C:C&lt;=$L$4),ROW(),"-")</f>
        <v>-</v>
      </c>
    </row>
    <row r="17898" customHeight="1" spans="2:2">
      <c r="B17898" s="62" t="str">
        <f>IF(AND('领用录入（明细）'!D:D=$F$4,'领用录入（明细）'!C:C&gt;=$J$4,'领用录入（明细）'!C:C&lt;=$L$4),ROW(),"-")</f>
        <v>-</v>
      </c>
    </row>
    <row r="17899" customHeight="1" spans="2:2">
      <c r="B17899" s="62" t="str">
        <f>IF(AND('领用录入（明细）'!D:D=$F$4,'领用录入（明细）'!C:C&gt;=$J$4,'领用录入（明细）'!C:C&lt;=$L$4),ROW(),"-")</f>
        <v>-</v>
      </c>
    </row>
    <row r="17900" customHeight="1" spans="2:2">
      <c r="B17900" s="62" t="str">
        <f>IF(AND('领用录入（明细）'!D:D=$F$4,'领用录入（明细）'!C:C&gt;=$J$4,'领用录入（明细）'!C:C&lt;=$L$4),ROW(),"-")</f>
        <v>-</v>
      </c>
    </row>
    <row r="17901" customHeight="1" spans="2:2">
      <c r="B17901" s="62" t="str">
        <f>IF(AND('领用录入（明细）'!D:D=$F$4,'领用录入（明细）'!C:C&gt;=$J$4,'领用录入（明细）'!C:C&lt;=$L$4),ROW(),"-")</f>
        <v>-</v>
      </c>
    </row>
    <row r="17902" customHeight="1" spans="2:2">
      <c r="B17902" s="62" t="str">
        <f>IF(AND('领用录入（明细）'!D:D=$F$4,'领用录入（明细）'!C:C&gt;=$J$4,'领用录入（明细）'!C:C&lt;=$L$4),ROW(),"-")</f>
        <v>-</v>
      </c>
    </row>
    <row r="17903" customHeight="1" spans="2:2">
      <c r="B17903" s="62" t="str">
        <f>IF(AND('领用录入（明细）'!D:D=$F$4,'领用录入（明细）'!C:C&gt;=$J$4,'领用录入（明细）'!C:C&lt;=$L$4),ROW(),"-")</f>
        <v>-</v>
      </c>
    </row>
    <row r="17904" customHeight="1" spans="2:2">
      <c r="B17904" s="62" t="str">
        <f>IF(AND('领用录入（明细）'!D:D=$F$4,'领用录入（明细）'!C:C&gt;=$J$4,'领用录入（明细）'!C:C&lt;=$L$4),ROW(),"-")</f>
        <v>-</v>
      </c>
    </row>
    <row r="17905" customHeight="1" spans="2:2">
      <c r="B17905" s="62" t="str">
        <f>IF(AND('领用录入（明细）'!D:D=$F$4,'领用录入（明细）'!C:C&gt;=$J$4,'领用录入（明细）'!C:C&lt;=$L$4),ROW(),"-")</f>
        <v>-</v>
      </c>
    </row>
    <row r="17906" customHeight="1" spans="2:2">
      <c r="B17906" s="62" t="str">
        <f>IF(AND('领用录入（明细）'!D:D=$F$4,'领用录入（明细）'!C:C&gt;=$J$4,'领用录入（明细）'!C:C&lt;=$L$4),ROW(),"-")</f>
        <v>-</v>
      </c>
    </row>
    <row r="17907" customHeight="1" spans="2:2">
      <c r="B17907" s="62" t="str">
        <f>IF(AND('领用录入（明细）'!D:D=$F$4,'领用录入（明细）'!C:C&gt;=$J$4,'领用录入（明细）'!C:C&lt;=$L$4),ROW(),"-")</f>
        <v>-</v>
      </c>
    </row>
    <row r="17908" customHeight="1" spans="2:2">
      <c r="B17908" s="62" t="str">
        <f>IF(AND('领用录入（明细）'!D:D=$F$4,'领用录入（明细）'!C:C&gt;=$J$4,'领用录入（明细）'!C:C&lt;=$L$4),ROW(),"-")</f>
        <v>-</v>
      </c>
    </row>
    <row r="17909" customHeight="1" spans="2:2">
      <c r="B17909" s="62" t="str">
        <f>IF(AND('领用录入（明细）'!D:D=$F$4,'领用录入（明细）'!C:C&gt;=$J$4,'领用录入（明细）'!C:C&lt;=$L$4),ROW(),"-")</f>
        <v>-</v>
      </c>
    </row>
    <row r="17910" customHeight="1" spans="2:2">
      <c r="B17910" s="62" t="str">
        <f>IF(AND('领用录入（明细）'!D:D=$F$4,'领用录入（明细）'!C:C&gt;=$J$4,'领用录入（明细）'!C:C&lt;=$L$4),ROW(),"-")</f>
        <v>-</v>
      </c>
    </row>
    <row r="17911" customHeight="1" spans="2:2">
      <c r="B17911" s="62" t="str">
        <f>IF(AND('领用录入（明细）'!D:D=$F$4,'领用录入（明细）'!C:C&gt;=$J$4,'领用录入（明细）'!C:C&lt;=$L$4),ROW(),"-")</f>
        <v>-</v>
      </c>
    </row>
    <row r="17912" customHeight="1" spans="2:2">
      <c r="B17912" s="62" t="str">
        <f>IF(AND('领用录入（明细）'!D:D=$F$4,'领用录入（明细）'!C:C&gt;=$J$4,'领用录入（明细）'!C:C&lt;=$L$4),ROW(),"-")</f>
        <v>-</v>
      </c>
    </row>
    <row r="17913" customHeight="1" spans="2:2">
      <c r="B17913" s="62" t="str">
        <f>IF(AND('领用录入（明细）'!D:D=$F$4,'领用录入（明细）'!C:C&gt;=$J$4,'领用录入（明细）'!C:C&lt;=$L$4),ROW(),"-")</f>
        <v>-</v>
      </c>
    </row>
    <row r="17914" customHeight="1" spans="2:2">
      <c r="B17914" s="62" t="str">
        <f>IF(AND('领用录入（明细）'!D:D=$F$4,'领用录入（明细）'!C:C&gt;=$J$4,'领用录入（明细）'!C:C&lt;=$L$4),ROW(),"-")</f>
        <v>-</v>
      </c>
    </row>
    <row r="17915" customHeight="1" spans="2:2">
      <c r="B17915" s="62" t="str">
        <f>IF(AND('领用录入（明细）'!D:D=$F$4,'领用录入（明细）'!C:C&gt;=$J$4,'领用录入（明细）'!C:C&lt;=$L$4),ROW(),"-")</f>
        <v>-</v>
      </c>
    </row>
    <row r="17916" customHeight="1" spans="2:2">
      <c r="B17916" s="62" t="str">
        <f>IF(AND('领用录入（明细）'!D:D=$F$4,'领用录入（明细）'!C:C&gt;=$J$4,'领用录入（明细）'!C:C&lt;=$L$4),ROW(),"-")</f>
        <v>-</v>
      </c>
    </row>
    <row r="17917" customHeight="1" spans="2:2">
      <c r="B17917" s="62" t="str">
        <f>IF(AND('领用录入（明细）'!D:D=$F$4,'领用录入（明细）'!C:C&gt;=$J$4,'领用录入（明细）'!C:C&lt;=$L$4),ROW(),"-")</f>
        <v>-</v>
      </c>
    </row>
    <row r="17918" customHeight="1" spans="2:2">
      <c r="B17918" s="62" t="str">
        <f>IF(AND('领用录入（明细）'!D:D=$F$4,'领用录入（明细）'!C:C&gt;=$J$4,'领用录入（明细）'!C:C&lt;=$L$4),ROW(),"-")</f>
        <v>-</v>
      </c>
    </row>
    <row r="17919" customHeight="1" spans="2:2">
      <c r="B17919" s="62" t="str">
        <f>IF(AND('领用录入（明细）'!D:D=$F$4,'领用录入（明细）'!C:C&gt;=$J$4,'领用录入（明细）'!C:C&lt;=$L$4),ROW(),"-")</f>
        <v>-</v>
      </c>
    </row>
    <row r="17920" customHeight="1" spans="2:2">
      <c r="B17920" s="62" t="str">
        <f>IF(AND('领用录入（明细）'!D:D=$F$4,'领用录入（明细）'!C:C&gt;=$J$4,'领用录入（明细）'!C:C&lt;=$L$4),ROW(),"-")</f>
        <v>-</v>
      </c>
    </row>
    <row r="17921" customHeight="1" spans="2:2">
      <c r="B17921" s="62" t="str">
        <f>IF(AND('领用录入（明细）'!D:D=$F$4,'领用录入（明细）'!C:C&gt;=$J$4,'领用录入（明细）'!C:C&lt;=$L$4),ROW(),"-")</f>
        <v>-</v>
      </c>
    </row>
    <row r="17922" customHeight="1" spans="2:2">
      <c r="B17922" s="62" t="str">
        <f>IF(AND('领用录入（明细）'!D:D=$F$4,'领用录入（明细）'!C:C&gt;=$J$4,'领用录入（明细）'!C:C&lt;=$L$4),ROW(),"-")</f>
        <v>-</v>
      </c>
    </row>
    <row r="17923" customHeight="1" spans="2:2">
      <c r="B17923" s="62" t="str">
        <f>IF(AND('领用录入（明细）'!D:D=$F$4,'领用录入（明细）'!C:C&gt;=$J$4,'领用录入（明细）'!C:C&lt;=$L$4),ROW(),"-")</f>
        <v>-</v>
      </c>
    </row>
    <row r="17924" customHeight="1" spans="2:2">
      <c r="B17924" s="62" t="str">
        <f>IF(AND('领用录入（明细）'!D:D=$F$4,'领用录入（明细）'!C:C&gt;=$J$4,'领用录入（明细）'!C:C&lt;=$L$4),ROW(),"-")</f>
        <v>-</v>
      </c>
    </row>
    <row r="17925" customHeight="1" spans="2:2">
      <c r="B17925" s="62" t="str">
        <f>IF(AND('领用录入（明细）'!D:D=$F$4,'领用录入（明细）'!C:C&gt;=$J$4,'领用录入（明细）'!C:C&lt;=$L$4),ROW(),"-")</f>
        <v>-</v>
      </c>
    </row>
    <row r="17926" customHeight="1" spans="2:2">
      <c r="B17926" s="62" t="str">
        <f>IF(AND('领用录入（明细）'!D:D=$F$4,'领用录入（明细）'!C:C&gt;=$J$4,'领用录入（明细）'!C:C&lt;=$L$4),ROW(),"-")</f>
        <v>-</v>
      </c>
    </row>
    <row r="17927" customHeight="1" spans="2:2">
      <c r="B17927" s="62" t="str">
        <f>IF(AND('领用录入（明细）'!D:D=$F$4,'领用录入（明细）'!C:C&gt;=$J$4,'领用录入（明细）'!C:C&lt;=$L$4),ROW(),"-")</f>
        <v>-</v>
      </c>
    </row>
    <row r="17928" customHeight="1" spans="2:2">
      <c r="B17928" s="62" t="str">
        <f>IF(AND('领用录入（明细）'!D:D=$F$4,'领用录入（明细）'!C:C&gt;=$J$4,'领用录入（明细）'!C:C&lt;=$L$4),ROW(),"-")</f>
        <v>-</v>
      </c>
    </row>
    <row r="17929" customHeight="1" spans="2:2">
      <c r="B17929" s="62" t="str">
        <f>IF(AND('领用录入（明细）'!D:D=$F$4,'领用录入（明细）'!C:C&gt;=$J$4,'领用录入（明细）'!C:C&lt;=$L$4),ROW(),"-")</f>
        <v>-</v>
      </c>
    </row>
    <row r="17930" customHeight="1" spans="2:2">
      <c r="B17930" s="62" t="str">
        <f>IF(AND('领用录入（明细）'!D:D=$F$4,'领用录入（明细）'!C:C&gt;=$J$4,'领用录入（明细）'!C:C&lt;=$L$4),ROW(),"-")</f>
        <v>-</v>
      </c>
    </row>
    <row r="17931" customHeight="1" spans="2:2">
      <c r="B17931" s="62" t="str">
        <f>IF(AND('领用录入（明细）'!D:D=$F$4,'领用录入（明细）'!C:C&gt;=$J$4,'领用录入（明细）'!C:C&lt;=$L$4),ROW(),"-")</f>
        <v>-</v>
      </c>
    </row>
    <row r="17932" customHeight="1" spans="2:2">
      <c r="B17932" s="62" t="str">
        <f>IF(AND('领用录入（明细）'!D:D=$F$4,'领用录入（明细）'!C:C&gt;=$J$4,'领用录入（明细）'!C:C&lt;=$L$4),ROW(),"-")</f>
        <v>-</v>
      </c>
    </row>
    <row r="17933" customHeight="1" spans="2:2">
      <c r="B17933" s="62" t="str">
        <f>IF(AND('领用录入（明细）'!D:D=$F$4,'领用录入（明细）'!C:C&gt;=$J$4,'领用录入（明细）'!C:C&lt;=$L$4),ROW(),"-")</f>
        <v>-</v>
      </c>
    </row>
    <row r="17934" customHeight="1" spans="2:2">
      <c r="B17934" s="62" t="str">
        <f>IF(AND('领用录入（明细）'!D:D=$F$4,'领用录入（明细）'!C:C&gt;=$J$4,'领用录入（明细）'!C:C&lt;=$L$4),ROW(),"-")</f>
        <v>-</v>
      </c>
    </row>
    <row r="17935" customHeight="1" spans="2:2">
      <c r="B17935" s="62" t="str">
        <f>IF(AND('领用录入（明细）'!D:D=$F$4,'领用录入（明细）'!C:C&gt;=$J$4,'领用录入（明细）'!C:C&lt;=$L$4),ROW(),"-")</f>
        <v>-</v>
      </c>
    </row>
    <row r="17936" customHeight="1" spans="2:2">
      <c r="B17936" s="62" t="str">
        <f>IF(AND('领用录入（明细）'!D:D=$F$4,'领用录入（明细）'!C:C&gt;=$J$4,'领用录入（明细）'!C:C&lt;=$L$4),ROW(),"-")</f>
        <v>-</v>
      </c>
    </row>
    <row r="17937" customHeight="1" spans="2:2">
      <c r="B17937" s="62" t="str">
        <f>IF(AND('领用录入（明细）'!D:D=$F$4,'领用录入（明细）'!C:C&gt;=$J$4,'领用录入（明细）'!C:C&lt;=$L$4),ROW(),"-")</f>
        <v>-</v>
      </c>
    </row>
    <row r="17938" customHeight="1" spans="2:2">
      <c r="B17938" s="62" t="str">
        <f>IF(AND('领用录入（明细）'!D:D=$F$4,'领用录入（明细）'!C:C&gt;=$J$4,'领用录入（明细）'!C:C&lt;=$L$4),ROW(),"-")</f>
        <v>-</v>
      </c>
    </row>
    <row r="17939" customHeight="1" spans="2:2">
      <c r="B17939" s="62" t="str">
        <f>IF(AND('领用录入（明细）'!D:D=$F$4,'领用录入（明细）'!C:C&gt;=$J$4,'领用录入（明细）'!C:C&lt;=$L$4),ROW(),"-")</f>
        <v>-</v>
      </c>
    </row>
    <row r="17940" customHeight="1" spans="2:2">
      <c r="B17940" s="62" t="str">
        <f>IF(AND('领用录入（明细）'!D:D=$F$4,'领用录入（明细）'!C:C&gt;=$J$4,'领用录入（明细）'!C:C&lt;=$L$4),ROW(),"-")</f>
        <v>-</v>
      </c>
    </row>
    <row r="17941" customHeight="1" spans="2:2">
      <c r="B17941" s="62" t="str">
        <f>IF(AND('领用录入（明细）'!D:D=$F$4,'领用录入（明细）'!C:C&gt;=$J$4,'领用录入（明细）'!C:C&lt;=$L$4),ROW(),"-")</f>
        <v>-</v>
      </c>
    </row>
    <row r="17942" customHeight="1" spans="2:2">
      <c r="B17942" s="62" t="str">
        <f>IF(AND('领用录入（明细）'!D:D=$F$4,'领用录入（明细）'!C:C&gt;=$J$4,'领用录入（明细）'!C:C&lt;=$L$4),ROW(),"-")</f>
        <v>-</v>
      </c>
    </row>
    <row r="17943" customHeight="1" spans="2:2">
      <c r="B17943" s="62" t="str">
        <f>IF(AND('领用录入（明细）'!D:D=$F$4,'领用录入（明细）'!C:C&gt;=$J$4,'领用录入（明细）'!C:C&lt;=$L$4),ROW(),"-")</f>
        <v>-</v>
      </c>
    </row>
    <row r="17944" customHeight="1" spans="2:2">
      <c r="B17944" s="62" t="str">
        <f>IF(AND('领用录入（明细）'!D:D=$F$4,'领用录入（明细）'!C:C&gt;=$J$4,'领用录入（明细）'!C:C&lt;=$L$4),ROW(),"-")</f>
        <v>-</v>
      </c>
    </row>
    <row r="17945" customHeight="1" spans="2:2">
      <c r="B17945" s="62" t="str">
        <f>IF(AND('领用录入（明细）'!D:D=$F$4,'领用录入（明细）'!C:C&gt;=$J$4,'领用录入（明细）'!C:C&lt;=$L$4),ROW(),"-")</f>
        <v>-</v>
      </c>
    </row>
    <row r="17946" customHeight="1" spans="2:2">
      <c r="B17946" s="62" t="str">
        <f>IF(AND('领用录入（明细）'!D:D=$F$4,'领用录入（明细）'!C:C&gt;=$J$4,'领用录入（明细）'!C:C&lt;=$L$4),ROW(),"-")</f>
        <v>-</v>
      </c>
    </row>
    <row r="17947" customHeight="1" spans="2:2">
      <c r="B17947" s="62" t="str">
        <f>IF(AND('领用录入（明细）'!D:D=$F$4,'领用录入（明细）'!C:C&gt;=$J$4,'领用录入（明细）'!C:C&lt;=$L$4),ROW(),"-")</f>
        <v>-</v>
      </c>
    </row>
    <row r="17948" customHeight="1" spans="2:2">
      <c r="B17948" s="62" t="str">
        <f>IF(AND('领用录入（明细）'!D:D=$F$4,'领用录入（明细）'!C:C&gt;=$J$4,'领用录入（明细）'!C:C&lt;=$L$4),ROW(),"-")</f>
        <v>-</v>
      </c>
    </row>
    <row r="17949" customHeight="1" spans="2:2">
      <c r="B17949" s="62" t="str">
        <f>IF(AND('领用录入（明细）'!D:D=$F$4,'领用录入（明细）'!C:C&gt;=$J$4,'领用录入（明细）'!C:C&lt;=$L$4),ROW(),"-")</f>
        <v>-</v>
      </c>
    </row>
    <row r="17950" customHeight="1" spans="2:2">
      <c r="B17950" s="62" t="str">
        <f>IF(AND('领用录入（明细）'!D:D=$F$4,'领用录入（明细）'!C:C&gt;=$J$4,'领用录入（明细）'!C:C&lt;=$L$4),ROW(),"-")</f>
        <v>-</v>
      </c>
    </row>
    <row r="17951" customHeight="1" spans="2:2">
      <c r="B17951" s="62" t="str">
        <f>IF(AND('领用录入（明细）'!D:D=$F$4,'领用录入（明细）'!C:C&gt;=$J$4,'领用录入（明细）'!C:C&lt;=$L$4),ROW(),"-")</f>
        <v>-</v>
      </c>
    </row>
    <row r="17952" customHeight="1" spans="2:2">
      <c r="B17952" s="62" t="str">
        <f>IF(AND('领用录入（明细）'!D:D=$F$4,'领用录入（明细）'!C:C&gt;=$J$4,'领用录入（明细）'!C:C&lt;=$L$4),ROW(),"-")</f>
        <v>-</v>
      </c>
    </row>
    <row r="17953" customHeight="1" spans="2:2">
      <c r="B17953" s="62" t="str">
        <f>IF(AND('领用录入（明细）'!D:D=$F$4,'领用录入（明细）'!C:C&gt;=$J$4,'领用录入（明细）'!C:C&lt;=$L$4),ROW(),"-")</f>
        <v>-</v>
      </c>
    </row>
    <row r="17954" customHeight="1" spans="2:2">
      <c r="B17954" s="62" t="str">
        <f>IF(AND('领用录入（明细）'!D:D=$F$4,'领用录入（明细）'!C:C&gt;=$J$4,'领用录入（明细）'!C:C&lt;=$L$4),ROW(),"-")</f>
        <v>-</v>
      </c>
    </row>
    <row r="17955" customHeight="1" spans="2:2">
      <c r="B17955" s="62" t="str">
        <f>IF(AND('领用录入（明细）'!D:D=$F$4,'领用录入（明细）'!C:C&gt;=$J$4,'领用录入（明细）'!C:C&lt;=$L$4),ROW(),"-")</f>
        <v>-</v>
      </c>
    </row>
    <row r="17956" customHeight="1" spans="2:2">
      <c r="B17956" s="62" t="str">
        <f>IF(AND('领用录入（明细）'!D:D=$F$4,'领用录入（明细）'!C:C&gt;=$J$4,'领用录入（明细）'!C:C&lt;=$L$4),ROW(),"-")</f>
        <v>-</v>
      </c>
    </row>
    <row r="17957" customHeight="1" spans="2:2">
      <c r="B17957" s="62" t="str">
        <f>IF(AND('领用录入（明细）'!D:D=$F$4,'领用录入（明细）'!C:C&gt;=$J$4,'领用录入（明细）'!C:C&lt;=$L$4),ROW(),"-")</f>
        <v>-</v>
      </c>
    </row>
    <row r="17958" customHeight="1" spans="2:2">
      <c r="B17958" s="62" t="str">
        <f>IF(AND('领用录入（明细）'!D:D=$F$4,'领用录入（明细）'!C:C&gt;=$J$4,'领用录入（明细）'!C:C&lt;=$L$4),ROW(),"-")</f>
        <v>-</v>
      </c>
    </row>
    <row r="17959" customHeight="1" spans="2:2">
      <c r="B17959" s="62" t="str">
        <f>IF(AND('领用录入（明细）'!D:D=$F$4,'领用录入（明细）'!C:C&gt;=$J$4,'领用录入（明细）'!C:C&lt;=$L$4),ROW(),"-")</f>
        <v>-</v>
      </c>
    </row>
    <row r="17960" customHeight="1" spans="2:2">
      <c r="B17960" s="62" t="str">
        <f>IF(AND('领用录入（明细）'!D:D=$F$4,'领用录入（明细）'!C:C&gt;=$J$4,'领用录入（明细）'!C:C&lt;=$L$4),ROW(),"-")</f>
        <v>-</v>
      </c>
    </row>
    <row r="17961" customHeight="1" spans="2:2">
      <c r="B17961" s="62" t="str">
        <f>IF(AND('领用录入（明细）'!D:D=$F$4,'领用录入（明细）'!C:C&gt;=$J$4,'领用录入（明细）'!C:C&lt;=$L$4),ROW(),"-")</f>
        <v>-</v>
      </c>
    </row>
    <row r="17962" customHeight="1" spans="2:2">
      <c r="B17962" s="62" t="str">
        <f>IF(AND('领用录入（明细）'!D:D=$F$4,'领用录入（明细）'!C:C&gt;=$J$4,'领用录入（明细）'!C:C&lt;=$L$4),ROW(),"-")</f>
        <v>-</v>
      </c>
    </row>
    <row r="17963" customHeight="1" spans="2:2">
      <c r="B17963" s="62" t="str">
        <f>IF(AND('领用录入（明细）'!D:D=$F$4,'领用录入（明细）'!C:C&gt;=$J$4,'领用录入（明细）'!C:C&lt;=$L$4),ROW(),"-")</f>
        <v>-</v>
      </c>
    </row>
    <row r="17964" customHeight="1" spans="2:2">
      <c r="B17964" s="62" t="str">
        <f>IF(AND('领用录入（明细）'!D:D=$F$4,'领用录入（明细）'!C:C&gt;=$J$4,'领用录入（明细）'!C:C&lt;=$L$4),ROW(),"-")</f>
        <v>-</v>
      </c>
    </row>
    <row r="17965" customHeight="1" spans="2:2">
      <c r="B17965" s="62" t="str">
        <f>IF(AND('领用录入（明细）'!D:D=$F$4,'领用录入（明细）'!C:C&gt;=$J$4,'领用录入（明细）'!C:C&lt;=$L$4),ROW(),"-")</f>
        <v>-</v>
      </c>
    </row>
    <row r="17966" customHeight="1" spans="2:2">
      <c r="B17966" s="62" t="str">
        <f>IF(AND('领用录入（明细）'!D:D=$F$4,'领用录入（明细）'!C:C&gt;=$J$4,'领用录入（明细）'!C:C&lt;=$L$4),ROW(),"-")</f>
        <v>-</v>
      </c>
    </row>
    <row r="17967" customHeight="1" spans="2:2">
      <c r="B17967" s="62" t="str">
        <f>IF(AND('领用录入（明细）'!D:D=$F$4,'领用录入（明细）'!C:C&gt;=$J$4,'领用录入（明细）'!C:C&lt;=$L$4),ROW(),"-")</f>
        <v>-</v>
      </c>
    </row>
    <row r="17968" customHeight="1" spans="2:2">
      <c r="B17968" s="62" t="str">
        <f>IF(AND('领用录入（明细）'!D:D=$F$4,'领用录入（明细）'!C:C&gt;=$J$4,'领用录入（明细）'!C:C&lt;=$L$4),ROW(),"-")</f>
        <v>-</v>
      </c>
    </row>
    <row r="17969" customHeight="1" spans="2:2">
      <c r="B17969" s="62" t="str">
        <f>IF(AND('领用录入（明细）'!D:D=$F$4,'领用录入（明细）'!C:C&gt;=$J$4,'领用录入（明细）'!C:C&lt;=$L$4),ROW(),"-")</f>
        <v>-</v>
      </c>
    </row>
    <row r="17970" customHeight="1" spans="2:2">
      <c r="B17970" s="62" t="str">
        <f>IF(AND('领用录入（明细）'!D:D=$F$4,'领用录入（明细）'!C:C&gt;=$J$4,'领用录入（明细）'!C:C&lt;=$L$4),ROW(),"-")</f>
        <v>-</v>
      </c>
    </row>
    <row r="17971" customHeight="1" spans="2:2">
      <c r="B17971" s="62" t="str">
        <f>IF(AND('领用录入（明细）'!D:D=$F$4,'领用录入（明细）'!C:C&gt;=$J$4,'领用录入（明细）'!C:C&lt;=$L$4),ROW(),"-")</f>
        <v>-</v>
      </c>
    </row>
    <row r="17972" customHeight="1" spans="2:2">
      <c r="B17972" s="62" t="str">
        <f>IF(AND('领用录入（明细）'!D:D=$F$4,'领用录入（明细）'!C:C&gt;=$J$4,'领用录入（明细）'!C:C&lt;=$L$4),ROW(),"-")</f>
        <v>-</v>
      </c>
    </row>
    <row r="17973" customHeight="1" spans="2:2">
      <c r="B17973" s="62" t="str">
        <f>IF(AND('领用录入（明细）'!D:D=$F$4,'领用录入（明细）'!C:C&gt;=$J$4,'领用录入（明细）'!C:C&lt;=$L$4),ROW(),"-")</f>
        <v>-</v>
      </c>
    </row>
    <row r="17974" customHeight="1" spans="2:2">
      <c r="B17974" s="62" t="str">
        <f>IF(AND('领用录入（明细）'!D:D=$F$4,'领用录入（明细）'!C:C&gt;=$J$4,'领用录入（明细）'!C:C&lt;=$L$4),ROW(),"-")</f>
        <v>-</v>
      </c>
    </row>
    <row r="17975" customHeight="1" spans="2:2">
      <c r="B17975" s="62" t="str">
        <f>IF(AND('领用录入（明细）'!D:D=$F$4,'领用录入（明细）'!C:C&gt;=$J$4,'领用录入（明细）'!C:C&lt;=$L$4),ROW(),"-")</f>
        <v>-</v>
      </c>
    </row>
    <row r="17976" customHeight="1" spans="2:2">
      <c r="B17976" s="62" t="str">
        <f>IF(AND('领用录入（明细）'!D:D=$F$4,'领用录入（明细）'!C:C&gt;=$J$4,'领用录入（明细）'!C:C&lt;=$L$4),ROW(),"-")</f>
        <v>-</v>
      </c>
    </row>
    <row r="17977" customHeight="1" spans="2:2">
      <c r="B17977" s="62" t="str">
        <f>IF(AND('领用录入（明细）'!D:D=$F$4,'领用录入（明细）'!C:C&gt;=$J$4,'领用录入（明细）'!C:C&lt;=$L$4),ROW(),"-")</f>
        <v>-</v>
      </c>
    </row>
    <row r="17978" customHeight="1" spans="2:2">
      <c r="B17978" s="62" t="str">
        <f>IF(AND('领用录入（明细）'!D:D=$F$4,'领用录入（明细）'!C:C&gt;=$J$4,'领用录入（明细）'!C:C&lt;=$L$4),ROW(),"-")</f>
        <v>-</v>
      </c>
    </row>
    <row r="17979" customHeight="1" spans="2:2">
      <c r="B17979" s="62" t="str">
        <f>IF(AND('领用录入（明细）'!D:D=$F$4,'领用录入（明细）'!C:C&gt;=$J$4,'领用录入（明细）'!C:C&lt;=$L$4),ROW(),"-")</f>
        <v>-</v>
      </c>
    </row>
    <row r="17980" customHeight="1" spans="2:2">
      <c r="B17980" s="62" t="str">
        <f>IF(AND('领用录入（明细）'!D:D=$F$4,'领用录入（明细）'!C:C&gt;=$J$4,'领用录入（明细）'!C:C&lt;=$L$4),ROW(),"-")</f>
        <v>-</v>
      </c>
    </row>
    <row r="17981" customHeight="1" spans="2:2">
      <c r="B17981" s="62" t="str">
        <f>IF(AND('领用录入（明细）'!D:D=$F$4,'领用录入（明细）'!C:C&gt;=$J$4,'领用录入（明细）'!C:C&lt;=$L$4),ROW(),"-")</f>
        <v>-</v>
      </c>
    </row>
    <row r="17982" customHeight="1" spans="2:2">
      <c r="B17982" s="62" t="str">
        <f>IF(AND('领用录入（明细）'!D:D=$F$4,'领用录入（明细）'!C:C&gt;=$J$4,'领用录入（明细）'!C:C&lt;=$L$4),ROW(),"-")</f>
        <v>-</v>
      </c>
    </row>
    <row r="17983" customHeight="1" spans="2:2">
      <c r="B17983" s="62" t="str">
        <f>IF(AND('领用录入（明细）'!D:D=$F$4,'领用录入（明细）'!C:C&gt;=$J$4,'领用录入（明细）'!C:C&lt;=$L$4),ROW(),"-")</f>
        <v>-</v>
      </c>
    </row>
    <row r="17984" customHeight="1" spans="2:2">
      <c r="B17984" s="62" t="str">
        <f>IF(AND('领用录入（明细）'!D:D=$F$4,'领用录入（明细）'!C:C&gt;=$J$4,'领用录入（明细）'!C:C&lt;=$L$4),ROW(),"-")</f>
        <v>-</v>
      </c>
    </row>
    <row r="17985" customHeight="1" spans="2:2">
      <c r="B17985" s="62" t="str">
        <f>IF(AND('领用录入（明细）'!D:D=$F$4,'领用录入（明细）'!C:C&gt;=$J$4,'领用录入（明细）'!C:C&lt;=$L$4),ROW(),"-")</f>
        <v>-</v>
      </c>
    </row>
    <row r="17986" customHeight="1" spans="2:2">
      <c r="B17986" s="62" t="str">
        <f>IF(AND('领用录入（明细）'!D:D=$F$4,'领用录入（明细）'!C:C&gt;=$J$4,'领用录入（明细）'!C:C&lt;=$L$4),ROW(),"-")</f>
        <v>-</v>
      </c>
    </row>
    <row r="17987" customHeight="1" spans="2:2">
      <c r="B17987" s="62" t="str">
        <f>IF(AND('领用录入（明细）'!D:D=$F$4,'领用录入（明细）'!C:C&gt;=$J$4,'领用录入（明细）'!C:C&lt;=$L$4),ROW(),"-")</f>
        <v>-</v>
      </c>
    </row>
    <row r="17988" customHeight="1" spans="2:2">
      <c r="B17988" s="62" t="str">
        <f>IF(AND('领用录入（明细）'!D:D=$F$4,'领用录入（明细）'!C:C&gt;=$J$4,'领用录入（明细）'!C:C&lt;=$L$4),ROW(),"-")</f>
        <v>-</v>
      </c>
    </row>
    <row r="17989" customHeight="1" spans="2:2">
      <c r="B17989" s="62" t="str">
        <f>IF(AND('领用录入（明细）'!D:D=$F$4,'领用录入（明细）'!C:C&gt;=$J$4,'领用录入（明细）'!C:C&lt;=$L$4),ROW(),"-")</f>
        <v>-</v>
      </c>
    </row>
    <row r="17990" customHeight="1" spans="2:2">
      <c r="B17990" s="62" t="str">
        <f>IF(AND('领用录入（明细）'!D:D=$F$4,'领用录入（明细）'!C:C&gt;=$J$4,'领用录入（明细）'!C:C&lt;=$L$4),ROW(),"-")</f>
        <v>-</v>
      </c>
    </row>
    <row r="17991" customHeight="1" spans="2:2">
      <c r="B17991" s="62" t="str">
        <f>IF(AND('领用录入（明细）'!D:D=$F$4,'领用录入（明细）'!C:C&gt;=$J$4,'领用录入（明细）'!C:C&lt;=$L$4),ROW(),"-")</f>
        <v>-</v>
      </c>
    </row>
    <row r="17992" customHeight="1" spans="2:2">
      <c r="B17992" s="62" t="str">
        <f>IF(AND('领用录入（明细）'!D:D=$F$4,'领用录入（明细）'!C:C&gt;=$J$4,'领用录入（明细）'!C:C&lt;=$L$4),ROW(),"-")</f>
        <v>-</v>
      </c>
    </row>
    <row r="17993" customHeight="1" spans="2:2">
      <c r="B17993" s="62" t="str">
        <f>IF(AND('领用录入（明细）'!D:D=$F$4,'领用录入（明细）'!C:C&gt;=$J$4,'领用录入（明细）'!C:C&lt;=$L$4),ROW(),"-")</f>
        <v>-</v>
      </c>
    </row>
    <row r="17994" customHeight="1" spans="2:2">
      <c r="B17994" s="62" t="str">
        <f>IF(AND('领用录入（明细）'!D:D=$F$4,'领用录入（明细）'!C:C&gt;=$J$4,'领用录入（明细）'!C:C&lt;=$L$4),ROW(),"-")</f>
        <v>-</v>
      </c>
    </row>
    <row r="17995" customHeight="1" spans="2:2">
      <c r="B17995" s="62" t="str">
        <f>IF(AND('领用录入（明细）'!D:D=$F$4,'领用录入（明细）'!C:C&gt;=$J$4,'领用录入（明细）'!C:C&lt;=$L$4),ROW(),"-")</f>
        <v>-</v>
      </c>
    </row>
    <row r="17996" customHeight="1" spans="2:2">
      <c r="B17996" s="62" t="str">
        <f>IF(AND('领用录入（明细）'!D:D=$F$4,'领用录入（明细）'!C:C&gt;=$J$4,'领用录入（明细）'!C:C&lt;=$L$4),ROW(),"-")</f>
        <v>-</v>
      </c>
    </row>
    <row r="17997" customHeight="1" spans="2:2">
      <c r="B17997" s="62" t="str">
        <f>IF(AND('领用录入（明细）'!D:D=$F$4,'领用录入（明细）'!C:C&gt;=$J$4,'领用录入（明细）'!C:C&lt;=$L$4),ROW(),"-")</f>
        <v>-</v>
      </c>
    </row>
    <row r="17998" customHeight="1" spans="2:2">
      <c r="B17998" s="62" t="str">
        <f>IF(AND('领用录入（明细）'!D:D=$F$4,'领用录入（明细）'!C:C&gt;=$J$4,'领用录入（明细）'!C:C&lt;=$L$4),ROW(),"-")</f>
        <v>-</v>
      </c>
    </row>
    <row r="17999" customHeight="1" spans="2:2">
      <c r="B17999" s="62" t="str">
        <f>IF(AND('领用录入（明细）'!D:D=$F$4,'领用录入（明细）'!C:C&gt;=$J$4,'领用录入（明细）'!C:C&lt;=$L$4),ROW(),"-")</f>
        <v>-</v>
      </c>
    </row>
    <row r="18000" customHeight="1" spans="2:2">
      <c r="B18000" s="62" t="str">
        <f>IF(AND('领用录入（明细）'!D:D=$F$4,'领用录入（明细）'!C:C&gt;=$J$4,'领用录入（明细）'!C:C&lt;=$L$4),ROW(),"-")</f>
        <v>-</v>
      </c>
    </row>
    <row r="18001" customHeight="1" spans="2:2">
      <c r="B18001" s="62" t="str">
        <f>IF(AND('领用录入（明细）'!D:D=$F$4,'领用录入（明细）'!C:C&gt;=$J$4,'领用录入（明细）'!C:C&lt;=$L$4),ROW(),"-")</f>
        <v>-</v>
      </c>
    </row>
    <row r="18002" customHeight="1" spans="2:2">
      <c r="B18002" s="62" t="str">
        <f>IF(AND('领用录入（明细）'!D:D=$F$4,'领用录入（明细）'!C:C&gt;=$J$4,'领用录入（明细）'!C:C&lt;=$L$4),ROW(),"-")</f>
        <v>-</v>
      </c>
    </row>
    <row r="18003" customHeight="1" spans="2:2">
      <c r="B18003" s="62" t="str">
        <f>IF(AND('领用录入（明细）'!D:D=$F$4,'领用录入（明细）'!C:C&gt;=$J$4,'领用录入（明细）'!C:C&lt;=$L$4),ROW(),"-")</f>
        <v>-</v>
      </c>
    </row>
    <row r="18004" customHeight="1" spans="2:2">
      <c r="B18004" s="62" t="str">
        <f>IF(AND('领用录入（明细）'!D:D=$F$4,'领用录入（明细）'!C:C&gt;=$J$4,'领用录入（明细）'!C:C&lt;=$L$4),ROW(),"-")</f>
        <v>-</v>
      </c>
    </row>
    <row r="18005" customHeight="1" spans="2:2">
      <c r="B18005" s="62" t="str">
        <f>IF(AND('领用录入（明细）'!D:D=$F$4,'领用录入（明细）'!C:C&gt;=$J$4,'领用录入（明细）'!C:C&lt;=$L$4),ROW(),"-")</f>
        <v>-</v>
      </c>
    </row>
    <row r="18006" customHeight="1" spans="2:2">
      <c r="B18006" s="62" t="str">
        <f>IF(AND('领用录入（明细）'!D:D=$F$4,'领用录入（明细）'!C:C&gt;=$J$4,'领用录入（明细）'!C:C&lt;=$L$4),ROW(),"-")</f>
        <v>-</v>
      </c>
    </row>
    <row r="18007" customHeight="1" spans="2:2">
      <c r="B18007" s="62" t="str">
        <f>IF(AND('领用录入（明细）'!D:D=$F$4,'领用录入（明细）'!C:C&gt;=$J$4,'领用录入（明细）'!C:C&lt;=$L$4),ROW(),"-")</f>
        <v>-</v>
      </c>
    </row>
    <row r="18008" customHeight="1" spans="2:2">
      <c r="B18008" s="62" t="str">
        <f>IF(AND('领用录入（明细）'!D:D=$F$4,'领用录入（明细）'!C:C&gt;=$J$4,'领用录入（明细）'!C:C&lt;=$L$4),ROW(),"-")</f>
        <v>-</v>
      </c>
    </row>
    <row r="18009" customHeight="1" spans="2:2">
      <c r="B18009" s="62" t="str">
        <f>IF(AND('领用录入（明细）'!D:D=$F$4,'领用录入（明细）'!C:C&gt;=$J$4,'领用录入（明细）'!C:C&lt;=$L$4),ROW(),"-")</f>
        <v>-</v>
      </c>
    </row>
    <row r="18010" customHeight="1" spans="2:2">
      <c r="B18010" s="62" t="str">
        <f>IF(AND('领用录入（明细）'!D:D=$F$4,'领用录入（明细）'!C:C&gt;=$J$4,'领用录入（明细）'!C:C&lt;=$L$4),ROW(),"-")</f>
        <v>-</v>
      </c>
    </row>
    <row r="18011" customHeight="1" spans="2:2">
      <c r="B18011" s="62" t="str">
        <f>IF(AND('领用录入（明细）'!D:D=$F$4,'领用录入（明细）'!C:C&gt;=$J$4,'领用录入（明细）'!C:C&lt;=$L$4),ROW(),"-")</f>
        <v>-</v>
      </c>
    </row>
    <row r="18012" customHeight="1" spans="2:2">
      <c r="B18012" s="62" t="str">
        <f>IF(AND('领用录入（明细）'!D:D=$F$4,'领用录入（明细）'!C:C&gt;=$J$4,'领用录入（明细）'!C:C&lt;=$L$4),ROW(),"-")</f>
        <v>-</v>
      </c>
    </row>
    <row r="18013" customHeight="1" spans="2:2">
      <c r="B18013" s="62" t="str">
        <f>IF(AND('领用录入（明细）'!D:D=$F$4,'领用录入（明细）'!C:C&gt;=$J$4,'领用录入（明细）'!C:C&lt;=$L$4),ROW(),"-")</f>
        <v>-</v>
      </c>
    </row>
    <row r="18014" customHeight="1" spans="2:2">
      <c r="B18014" s="62" t="str">
        <f>IF(AND('领用录入（明细）'!D:D=$F$4,'领用录入（明细）'!C:C&gt;=$J$4,'领用录入（明细）'!C:C&lt;=$L$4),ROW(),"-")</f>
        <v>-</v>
      </c>
    </row>
    <row r="18015" customHeight="1" spans="2:2">
      <c r="B18015" s="62" t="str">
        <f>IF(AND('领用录入（明细）'!D:D=$F$4,'领用录入（明细）'!C:C&gt;=$J$4,'领用录入（明细）'!C:C&lt;=$L$4),ROW(),"-")</f>
        <v>-</v>
      </c>
    </row>
    <row r="18016" customHeight="1" spans="2:2">
      <c r="B18016" s="62" t="str">
        <f>IF(AND('领用录入（明细）'!D:D=$F$4,'领用录入（明细）'!C:C&gt;=$J$4,'领用录入（明细）'!C:C&lt;=$L$4),ROW(),"-")</f>
        <v>-</v>
      </c>
    </row>
    <row r="18017" customHeight="1" spans="2:2">
      <c r="B18017" s="62" t="str">
        <f>IF(AND('领用录入（明细）'!D:D=$F$4,'领用录入（明细）'!C:C&gt;=$J$4,'领用录入（明细）'!C:C&lt;=$L$4),ROW(),"-")</f>
        <v>-</v>
      </c>
    </row>
    <row r="18018" customHeight="1" spans="2:2">
      <c r="B18018" s="62" t="str">
        <f>IF(AND('领用录入（明细）'!D:D=$F$4,'领用录入（明细）'!C:C&gt;=$J$4,'领用录入（明细）'!C:C&lt;=$L$4),ROW(),"-")</f>
        <v>-</v>
      </c>
    </row>
    <row r="18019" customHeight="1" spans="2:2">
      <c r="B18019" s="62" t="str">
        <f>IF(AND('领用录入（明细）'!D:D=$F$4,'领用录入（明细）'!C:C&gt;=$J$4,'领用录入（明细）'!C:C&lt;=$L$4),ROW(),"-")</f>
        <v>-</v>
      </c>
    </row>
    <row r="18020" customHeight="1" spans="2:2">
      <c r="B18020" s="62" t="str">
        <f>IF(AND('领用录入（明细）'!D:D=$F$4,'领用录入（明细）'!C:C&gt;=$J$4,'领用录入（明细）'!C:C&lt;=$L$4),ROW(),"-")</f>
        <v>-</v>
      </c>
    </row>
    <row r="18021" customHeight="1" spans="2:2">
      <c r="B18021" s="62" t="str">
        <f>IF(AND('领用录入（明细）'!D:D=$F$4,'领用录入（明细）'!C:C&gt;=$J$4,'领用录入（明细）'!C:C&lt;=$L$4),ROW(),"-")</f>
        <v>-</v>
      </c>
    </row>
    <row r="18022" customHeight="1" spans="2:2">
      <c r="B18022" s="62" t="str">
        <f>IF(AND('领用录入（明细）'!D:D=$F$4,'领用录入（明细）'!C:C&gt;=$J$4,'领用录入（明细）'!C:C&lt;=$L$4),ROW(),"-")</f>
        <v>-</v>
      </c>
    </row>
    <row r="18023" customHeight="1" spans="2:2">
      <c r="B18023" s="62" t="str">
        <f>IF(AND('领用录入（明细）'!D:D=$F$4,'领用录入（明细）'!C:C&gt;=$J$4,'领用录入（明细）'!C:C&lt;=$L$4),ROW(),"-")</f>
        <v>-</v>
      </c>
    </row>
    <row r="18024" customHeight="1" spans="2:2">
      <c r="B18024" s="62" t="str">
        <f>IF(AND('领用录入（明细）'!D:D=$F$4,'领用录入（明细）'!C:C&gt;=$J$4,'领用录入（明细）'!C:C&lt;=$L$4),ROW(),"-")</f>
        <v>-</v>
      </c>
    </row>
    <row r="18025" customHeight="1" spans="2:2">
      <c r="B18025" s="62" t="str">
        <f>IF(AND('领用录入（明细）'!D:D=$F$4,'领用录入（明细）'!C:C&gt;=$J$4,'领用录入（明细）'!C:C&lt;=$L$4),ROW(),"-")</f>
        <v>-</v>
      </c>
    </row>
    <row r="18026" customHeight="1" spans="2:2">
      <c r="B18026" s="62" t="str">
        <f>IF(AND('领用录入（明细）'!D:D=$F$4,'领用录入（明细）'!C:C&gt;=$J$4,'领用录入（明细）'!C:C&lt;=$L$4),ROW(),"-")</f>
        <v>-</v>
      </c>
    </row>
    <row r="18027" customHeight="1" spans="2:2">
      <c r="B18027" s="62" t="str">
        <f>IF(AND('领用录入（明细）'!D:D=$F$4,'领用录入（明细）'!C:C&gt;=$J$4,'领用录入（明细）'!C:C&lt;=$L$4),ROW(),"-")</f>
        <v>-</v>
      </c>
    </row>
    <row r="18028" customHeight="1" spans="2:2">
      <c r="B18028" s="62" t="str">
        <f>IF(AND('领用录入（明细）'!D:D=$F$4,'领用录入（明细）'!C:C&gt;=$J$4,'领用录入（明细）'!C:C&lt;=$L$4),ROW(),"-")</f>
        <v>-</v>
      </c>
    </row>
    <row r="18029" customHeight="1" spans="2:2">
      <c r="B18029" s="62" t="str">
        <f>IF(AND('领用录入（明细）'!D:D=$F$4,'领用录入（明细）'!C:C&gt;=$J$4,'领用录入（明细）'!C:C&lt;=$L$4),ROW(),"-")</f>
        <v>-</v>
      </c>
    </row>
    <row r="18030" customHeight="1" spans="2:2">
      <c r="B18030" s="62" t="str">
        <f>IF(AND('领用录入（明细）'!D:D=$F$4,'领用录入（明细）'!C:C&gt;=$J$4,'领用录入（明细）'!C:C&lt;=$L$4),ROW(),"-")</f>
        <v>-</v>
      </c>
    </row>
    <row r="18031" customHeight="1" spans="2:2">
      <c r="B18031" s="62" t="str">
        <f>IF(AND('领用录入（明细）'!D:D=$F$4,'领用录入（明细）'!C:C&gt;=$J$4,'领用录入（明细）'!C:C&lt;=$L$4),ROW(),"-")</f>
        <v>-</v>
      </c>
    </row>
    <row r="18032" customHeight="1" spans="2:2">
      <c r="B18032" s="62" t="str">
        <f>IF(AND('领用录入（明细）'!D:D=$F$4,'领用录入（明细）'!C:C&gt;=$J$4,'领用录入（明细）'!C:C&lt;=$L$4),ROW(),"-")</f>
        <v>-</v>
      </c>
    </row>
    <row r="18033" customHeight="1" spans="2:2">
      <c r="B18033" s="62" t="str">
        <f>IF(AND('领用录入（明细）'!D:D=$F$4,'领用录入（明细）'!C:C&gt;=$J$4,'领用录入（明细）'!C:C&lt;=$L$4),ROW(),"-")</f>
        <v>-</v>
      </c>
    </row>
    <row r="18034" customHeight="1" spans="2:2">
      <c r="B18034" s="62" t="str">
        <f>IF(AND('领用录入（明细）'!D:D=$F$4,'领用录入（明细）'!C:C&gt;=$J$4,'领用录入（明细）'!C:C&lt;=$L$4),ROW(),"-")</f>
        <v>-</v>
      </c>
    </row>
    <row r="18035" customHeight="1" spans="2:2">
      <c r="B18035" s="62" t="str">
        <f>IF(AND('领用录入（明细）'!D:D=$F$4,'领用录入（明细）'!C:C&gt;=$J$4,'领用录入（明细）'!C:C&lt;=$L$4),ROW(),"-")</f>
        <v>-</v>
      </c>
    </row>
    <row r="18036" customHeight="1" spans="2:2">
      <c r="B18036" s="62" t="str">
        <f>IF(AND('领用录入（明细）'!D:D=$F$4,'领用录入（明细）'!C:C&gt;=$J$4,'领用录入（明细）'!C:C&lt;=$L$4),ROW(),"-")</f>
        <v>-</v>
      </c>
    </row>
    <row r="18037" customHeight="1" spans="2:2">
      <c r="B18037" s="62" t="str">
        <f>IF(AND('领用录入（明细）'!D:D=$F$4,'领用录入（明细）'!C:C&gt;=$J$4,'领用录入（明细）'!C:C&lt;=$L$4),ROW(),"-")</f>
        <v>-</v>
      </c>
    </row>
    <row r="18038" customHeight="1" spans="2:2">
      <c r="B18038" s="62" t="str">
        <f>IF(AND('领用录入（明细）'!D:D=$F$4,'领用录入（明细）'!C:C&gt;=$J$4,'领用录入（明细）'!C:C&lt;=$L$4),ROW(),"-")</f>
        <v>-</v>
      </c>
    </row>
    <row r="18039" customHeight="1" spans="2:2">
      <c r="B18039" s="62" t="str">
        <f>IF(AND('领用录入（明细）'!D:D=$F$4,'领用录入（明细）'!C:C&gt;=$J$4,'领用录入（明细）'!C:C&lt;=$L$4),ROW(),"-")</f>
        <v>-</v>
      </c>
    </row>
    <row r="18040" customHeight="1" spans="2:2">
      <c r="B18040" s="62" t="str">
        <f>IF(AND('领用录入（明细）'!D:D=$F$4,'领用录入（明细）'!C:C&gt;=$J$4,'领用录入（明细）'!C:C&lt;=$L$4),ROW(),"-")</f>
        <v>-</v>
      </c>
    </row>
    <row r="18041" customHeight="1" spans="2:2">
      <c r="B18041" s="62" t="str">
        <f>IF(AND('领用录入（明细）'!D:D=$F$4,'领用录入（明细）'!C:C&gt;=$J$4,'领用录入（明细）'!C:C&lt;=$L$4),ROW(),"-")</f>
        <v>-</v>
      </c>
    </row>
    <row r="18042" customHeight="1" spans="2:2">
      <c r="B18042" s="62" t="str">
        <f>IF(AND('领用录入（明细）'!D:D=$F$4,'领用录入（明细）'!C:C&gt;=$J$4,'领用录入（明细）'!C:C&lt;=$L$4),ROW(),"-")</f>
        <v>-</v>
      </c>
    </row>
    <row r="18043" customHeight="1" spans="2:2">
      <c r="B18043" s="62" t="str">
        <f>IF(AND('领用录入（明细）'!D:D=$F$4,'领用录入（明细）'!C:C&gt;=$J$4,'领用录入（明细）'!C:C&lt;=$L$4),ROW(),"-")</f>
        <v>-</v>
      </c>
    </row>
    <row r="18044" customHeight="1" spans="2:2">
      <c r="B18044" s="62" t="str">
        <f>IF(AND('领用录入（明细）'!D:D=$F$4,'领用录入（明细）'!C:C&gt;=$J$4,'领用录入（明细）'!C:C&lt;=$L$4),ROW(),"-")</f>
        <v>-</v>
      </c>
    </row>
    <row r="18045" customHeight="1" spans="2:2">
      <c r="B18045" s="62" t="str">
        <f>IF(AND('领用录入（明细）'!D:D=$F$4,'领用录入（明细）'!C:C&gt;=$J$4,'领用录入（明细）'!C:C&lt;=$L$4),ROW(),"-")</f>
        <v>-</v>
      </c>
    </row>
    <row r="18046" customHeight="1" spans="2:2">
      <c r="B18046" s="62" t="str">
        <f>IF(AND('领用录入（明细）'!D:D=$F$4,'领用录入（明细）'!C:C&gt;=$J$4,'领用录入（明细）'!C:C&lt;=$L$4),ROW(),"-")</f>
        <v>-</v>
      </c>
    </row>
    <row r="18047" customHeight="1" spans="2:2">
      <c r="B18047" s="62" t="str">
        <f>IF(AND('领用录入（明细）'!D:D=$F$4,'领用录入（明细）'!C:C&gt;=$J$4,'领用录入（明细）'!C:C&lt;=$L$4),ROW(),"-")</f>
        <v>-</v>
      </c>
    </row>
    <row r="18048" customHeight="1" spans="2:2">
      <c r="B18048" s="62" t="str">
        <f>IF(AND('领用录入（明细）'!D:D=$F$4,'领用录入（明细）'!C:C&gt;=$J$4,'领用录入（明细）'!C:C&lt;=$L$4),ROW(),"-")</f>
        <v>-</v>
      </c>
    </row>
    <row r="18049" customHeight="1" spans="2:2">
      <c r="B18049" s="62" t="str">
        <f>IF(AND('领用录入（明细）'!D:D=$F$4,'领用录入（明细）'!C:C&gt;=$J$4,'领用录入（明细）'!C:C&lt;=$L$4),ROW(),"-")</f>
        <v>-</v>
      </c>
    </row>
    <row r="18050" customHeight="1" spans="2:2">
      <c r="B18050" s="62" t="str">
        <f>IF(AND('领用录入（明细）'!D:D=$F$4,'领用录入（明细）'!C:C&gt;=$J$4,'领用录入（明细）'!C:C&lt;=$L$4),ROW(),"-")</f>
        <v>-</v>
      </c>
    </row>
    <row r="18051" customHeight="1" spans="2:2">
      <c r="B18051" s="62" t="str">
        <f>IF(AND('领用录入（明细）'!D:D=$F$4,'领用录入（明细）'!C:C&gt;=$J$4,'领用录入（明细）'!C:C&lt;=$L$4),ROW(),"-")</f>
        <v>-</v>
      </c>
    </row>
    <row r="18052" customHeight="1" spans="2:2">
      <c r="B18052" s="62" t="str">
        <f>IF(AND('领用录入（明细）'!D:D=$F$4,'领用录入（明细）'!C:C&gt;=$J$4,'领用录入（明细）'!C:C&lt;=$L$4),ROW(),"-")</f>
        <v>-</v>
      </c>
    </row>
    <row r="18053" customHeight="1" spans="2:2">
      <c r="B18053" s="62" t="str">
        <f>IF(AND('领用录入（明细）'!D:D=$F$4,'领用录入（明细）'!C:C&gt;=$J$4,'领用录入（明细）'!C:C&lt;=$L$4),ROW(),"-")</f>
        <v>-</v>
      </c>
    </row>
    <row r="18054" customHeight="1" spans="2:2">
      <c r="B18054" s="62" t="str">
        <f>IF(AND('领用录入（明细）'!D:D=$F$4,'领用录入（明细）'!C:C&gt;=$J$4,'领用录入（明细）'!C:C&lt;=$L$4),ROW(),"-")</f>
        <v>-</v>
      </c>
    </row>
    <row r="18055" customHeight="1" spans="2:2">
      <c r="B18055" s="62" t="str">
        <f>IF(AND('领用录入（明细）'!D:D=$F$4,'领用录入（明细）'!C:C&gt;=$J$4,'领用录入（明细）'!C:C&lt;=$L$4),ROW(),"-")</f>
        <v>-</v>
      </c>
    </row>
    <row r="18056" customHeight="1" spans="2:2">
      <c r="B18056" s="62" t="str">
        <f>IF(AND('领用录入（明细）'!D:D=$F$4,'领用录入（明细）'!C:C&gt;=$J$4,'领用录入（明细）'!C:C&lt;=$L$4),ROW(),"-")</f>
        <v>-</v>
      </c>
    </row>
    <row r="18057" customHeight="1" spans="2:2">
      <c r="B18057" s="62" t="str">
        <f>IF(AND('领用录入（明细）'!D:D=$F$4,'领用录入（明细）'!C:C&gt;=$J$4,'领用录入（明细）'!C:C&lt;=$L$4),ROW(),"-")</f>
        <v>-</v>
      </c>
    </row>
    <row r="18058" customHeight="1" spans="2:2">
      <c r="B18058" s="62" t="str">
        <f>IF(AND('领用录入（明细）'!D:D=$F$4,'领用录入（明细）'!C:C&gt;=$J$4,'领用录入（明细）'!C:C&lt;=$L$4),ROW(),"-")</f>
        <v>-</v>
      </c>
    </row>
    <row r="18059" customHeight="1" spans="2:2">
      <c r="B18059" s="62" t="str">
        <f>IF(AND('领用录入（明细）'!D:D=$F$4,'领用录入（明细）'!C:C&gt;=$J$4,'领用录入（明细）'!C:C&lt;=$L$4),ROW(),"-")</f>
        <v>-</v>
      </c>
    </row>
    <row r="18060" customHeight="1" spans="2:2">
      <c r="B18060" s="62" t="str">
        <f>IF(AND('领用录入（明细）'!D:D=$F$4,'领用录入（明细）'!C:C&gt;=$J$4,'领用录入（明细）'!C:C&lt;=$L$4),ROW(),"-")</f>
        <v>-</v>
      </c>
    </row>
    <row r="18061" customHeight="1" spans="2:2">
      <c r="B18061" s="62" t="str">
        <f>IF(AND('领用录入（明细）'!D:D=$F$4,'领用录入（明细）'!C:C&gt;=$J$4,'领用录入（明细）'!C:C&lt;=$L$4),ROW(),"-")</f>
        <v>-</v>
      </c>
    </row>
    <row r="18062" customHeight="1" spans="2:2">
      <c r="B18062" s="62" t="str">
        <f>IF(AND('领用录入（明细）'!D:D=$F$4,'领用录入（明细）'!C:C&gt;=$J$4,'领用录入（明细）'!C:C&lt;=$L$4),ROW(),"-")</f>
        <v>-</v>
      </c>
    </row>
    <row r="18063" customHeight="1" spans="2:2">
      <c r="B18063" s="62" t="str">
        <f>IF(AND('领用录入（明细）'!D:D=$F$4,'领用录入（明细）'!C:C&gt;=$J$4,'领用录入（明细）'!C:C&lt;=$L$4),ROW(),"-")</f>
        <v>-</v>
      </c>
    </row>
    <row r="18064" customHeight="1" spans="2:2">
      <c r="B18064" s="62" t="str">
        <f>IF(AND('领用录入（明细）'!D:D=$F$4,'领用录入（明细）'!C:C&gt;=$J$4,'领用录入（明细）'!C:C&lt;=$L$4),ROW(),"-")</f>
        <v>-</v>
      </c>
    </row>
    <row r="18065" customHeight="1" spans="2:2">
      <c r="B18065" s="62" t="str">
        <f>IF(AND('领用录入（明细）'!D:D=$F$4,'领用录入（明细）'!C:C&gt;=$J$4,'领用录入（明细）'!C:C&lt;=$L$4),ROW(),"-")</f>
        <v>-</v>
      </c>
    </row>
    <row r="18066" customHeight="1" spans="2:2">
      <c r="B18066" s="62" t="str">
        <f>IF(AND('领用录入（明细）'!D:D=$F$4,'领用录入（明细）'!C:C&gt;=$J$4,'领用录入（明细）'!C:C&lt;=$L$4),ROW(),"-")</f>
        <v>-</v>
      </c>
    </row>
    <row r="18067" customHeight="1" spans="2:2">
      <c r="B18067" s="62" t="str">
        <f>IF(AND('领用录入（明细）'!D:D=$F$4,'领用录入（明细）'!C:C&gt;=$J$4,'领用录入（明细）'!C:C&lt;=$L$4),ROW(),"-")</f>
        <v>-</v>
      </c>
    </row>
    <row r="18068" customHeight="1" spans="2:2">
      <c r="B18068" s="62" t="str">
        <f>IF(AND('领用录入（明细）'!D:D=$F$4,'领用录入（明细）'!C:C&gt;=$J$4,'领用录入（明细）'!C:C&lt;=$L$4),ROW(),"-")</f>
        <v>-</v>
      </c>
    </row>
    <row r="18069" customHeight="1" spans="2:2">
      <c r="B18069" s="62" t="str">
        <f>IF(AND('领用录入（明细）'!D:D=$F$4,'领用录入（明细）'!C:C&gt;=$J$4,'领用录入（明细）'!C:C&lt;=$L$4),ROW(),"-")</f>
        <v>-</v>
      </c>
    </row>
    <row r="18070" customHeight="1" spans="2:2">
      <c r="B18070" s="62" t="str">
        <f>IF(AND('领用录入（明细）'!D:D=$F$4,'领用录入（明细）'!C:C&gt;=$J$4,'领用录入（明细）'!C:C&lt;=$L$4),ROW(),"-")</f>
        <v>-</v>
      </c>
    </row>
    <row r="18071" customHeight="1" spans="2:2">
      <c r="B18071" s="62" t="str">
        <f>IF(AND('领用录入（明细）'!D:D=$F$4,'领用录入（明细）'!C:C&gt;=$J$4,'领用录入（明细）'!C:C&lt;=$L$4),ROW(),"-")</f>
        <v>-</v>
      </c>
    </row>
    <row r="18072" customHeight="1" spans="2:2">
      <c r="B18072" s="62" t="str">
        <f>IF(AND('领用录入（明细）'!D:D=$F$4,'领用录入（明细）'!C:C&gt;=$J$4,'领用录入（明细）'!C:C&lt;=$L$4),ROW(),"-")</f>
        <v>-</v>
      </c>
    </row>
    <row r="18073" customHeight="1" spans="2:2">
      <c r="B18073" s="62" t="str">
        <f>IF(AND('领用录入（明细）'!D:D=$F$4,'领用录入（明细）'!C:C&gt;=$J$4,'领用录入（明细）'!C:C&lt;=$L$4),ROW(),"-")</f>
        <v>-</v>
      </c>
    </row>
    <row r="18074" customHeight="1" spans="2:2">
      <c r="B18074" s="62" t="str">
        <f>IF(AND('领用录入（明细）'!D:D=$F$4,'领用录入（明细）'!C:C&gt;=$J$4,'领用录入（明细）'!C:C&lt;=$L$4),ROW(),"-")</f>
        <v>-</v>
      </c>
    </row>
    <row r="18075" customHeight="1" spans="2:2">
      <c r="B18075" s="62" t="str">
        <f>IF(AND('领用录入（明细）'!D:D=$F$4,'领用录入（明细）'!C:C&gt;=$J$4,'领用录入（明细）'!C:C&lt;=$L$4),ROW(),"-")</f>
        <v>-</v>
      </c>
    </row>
    <row r="18076" customHeight="1" spans="2:2">
      <c r="B18076" s="62" t="str">
        <f>IF(AND('领用录入（明细）'!D:D=$F$4,'领用录入（明细）'!C:C&gt;=$J$4,'领用录入（明细）'!C:C&lt;=$L$4),ROW(),"-")</f>
        <v>-</v>
      </c>
    </row>
    <row r="18077" customHeight="1" spans="2:2">
      <c r="B18077" s="62" t="str">
        <f>IF(AND('领用录入（明细）'!D:D=$F$4,'领用录入（明细）'!C:C&gt;=$J$4,'领用录入（明细）'!C:C&lt;=$L$4),ROW(),"-")</f>
        <v>-</v>
      </c>
    </row>
    <row r="18078" customHeight="1" spans="2:2">
      <c r="B18078" s="62" t="str">
        <f>IF(AND('领用录入（明细）'!D:D=$F$4,'领用录入（明细）'!C:C&gt;=$J$4,'领用录入（明细）'!C:C&lt;=$L$4),ROW(),"-")</f>
        <v>-</v>
      </c>
    </row>
    <row r="18079" customHeight="1" spans="2:2">
      <c r="B18079" s="62" t="str">
        <f>IF(AND('领用录入（明细）'!D:D=$F$4,'领用录入（明细）'!C:C&gt;=$J$4,'领用录入（明细）'!C:C&lt;=$L$4),ROW(),"-")</f>
        <v>-</v>
      </c>
    </row>
    <row r="18080" customHeight="1" spans="2:2">
      <c r="B18080" s="62" t="str">
        <f>IF(AND('领用录入（明细）'!D:D=$F$4,'领用录入（明细）'!C:C&gt;=$J$4,'领用录入（明细）'!C:C&lt;=$L$4),ROW(),"-")</f>
        <v>-</v>
      </c>
    </row>
    <row r="18081" customHeight="1" spans="2:2">
      <c r="B18081" s="62" t="str">
        <f>IF(AND('领用录入（明细）'!D:D=$F$4,'领用录入（明细）'!C:C&gt;=$J$4,'领用录入（明细）'!C:C&lt;=$L$4),ROW(),"-")</f>
        <v>-</v>
      </c>
    </row>
    <row r="18082" customHeight="1" spans="2:2">
      <c r="B18082" s="62" t="str">
        <f>IF(AND('领用录入（明细）'!D:D=$F$4,'领用录入（明细）'!C:C&gt;=$J$4,'领用录入（明细）'!C:C&lt;=$L$4),ROW(),"-")</f>
        <v>-</v>
      </c>
    </row>
    <row r="18083" customHeight="1" spans="2:2">
      <c r="B18083" s="62" t="str">
        <f>IF(AND('领用录入（明细）'!D:D=$F$4,'领用录入（明细）'!C:C&gt;=$J$4,'领用录入（明细）'!C:C&lt;=$L$4),ROW(),"-")</f>
        <v>-</v>
      </c>
    </row>
    <row r="18084" customHeight="1" spans="2:2">
      <c r="B18084" s="62" t="str">
        <f>IF(AND('领用录入（明细）'!D:D=$F$4,'领用录入（明细）'!C:C&gt;=$J$4,'领用录入（明细）'!C:C&lt;=$L$4),ROW(),"-")</f>
        <v>-</v>
      </c>
    </row>
    <row r="18085" customHeight="1" spans="2:2">
      <c r="B18085" s="62" t="str">
        <f>IF(AND('领用录入（明细）'!D:D=$F$4,'领用录入（明细）'!C:C&gt;=$J$4,'领用录入（明细）'!C:C&lt;=$L$4),ROW(),"-")</f>
        <v>-</v>
      </c>
    </row>
    <row r="18086" customHeight="1" spans="2:2">
      <c r="B18086" s="62" t="str">
        <f>IF(AND('领用录入（明细）'!D:D=$F$4,'领用录入（明细）'!C:C&gt;=$J$4,'领用录入（明细）'!C:C&lt;=$L$4),ROW(),"-")</f>
        <v>-</v>
      </c>
    </row>
    <row r="18087" customHeight="1" spans="2:2">
      <c r="B18087" s="62" t="str">
        <f>IF(AND('领用录入（明细）'!D:D=$F$4,'领用录入（明细）'!C:C&gt;=$J$4,'领用录入（明细）'!C:C&lt;=$L$4),ROW(),"-")</f>
        <v>-</v>
      </c>
    </row>
    <row r="18088" customHeight="1" spans="2:2">
      <c r="B18088" s="62" t="str">
        <f>IF(AND('领用录入（明细）'!D:D=$F$4,'领用录入（明细）'!C:C&gt;=$J$4,'领用录入（明细）'!C:C&lt;=$L$4),ROW(),"-")</f>
        <v>-</v>
      </c>
    </row>
    <row r="18089" customHeight="1" spans="2:2">
      <c r="B18089" s="62" t="str">
        <f>IF(AND('领用录入（明细）'!D:D=$F$4,'领用录入（明细）'!C:C&gt;=$J$4,'领用录入（明细）'!C:C&lt;=$L$4),ROW(),"-")</f>
        <v>-</v>
      </c>
    </row>
    <row r="18090" customHeight="1" spans="2:2">
      <c r="B18090" s="62" t="str">
        <f>IF(AND('领用录入（明细）'!D:D=$F$4,'领用录入（明细）'!C:C&gt;=$J$4,'领用录入（明细）'!C:C&lt;=$L$4),ROW(),"-")</f>
        <v>-</v>
      </c>
    </row>
    <row r="18091" customHeight="1" spans="2:2">
      <c r="B18091" s="62" t="str">
        <f>IF(AND('领用录入（明细）'!D:D=$F$4,'领用录入（明细）'!C:C&gt;=$J$4,'领用录入（明细）'!C:C&lt;=$L$4),ROW(),"-")</f>
        <v>-</v>
      </c>
    </row>
    <row r="18092" customHeight="1" spans="2:2">
      <c r="B18092" s="62" t="str">
        <f>IF(AND('领用录入（明细）'!D:D=$F$4,'领用录入（明细）'!C:C&gt;=$J$4,'领用录入（明细）'!C:C&lt;=$L$4),ROW(),"-")</f>
        <v>-</v>
      </c>
    </row>
    <row r="18093" customHeight="1" spans="2:2">
      <c r="B18093" s="62" t="str">
        <f>IF(AND('领用录入（明细）'!D:D=$F$4,'领用录入（明细）'!C:C&gt;=$J$4,'领用录入（明细）'!C:C&lt;=$L$4),ROW(),"-")</f>
        <v>-</v>
      </c>
    </row>
    <row r="18094" customHeight="1" spans="2:2">
      <c r="B18094" s="62" t="str">
        <f>IF(AND('领用录入（明细）'!D:D=$F$4,'领用录入（明细）'!C:C&gt;=$J$4,'领用录入（明细）'!C:C&lt;=$L$4),ROW(),"-")</f>
        <v>-</v>
      </c>
    </row>
    <row r="18095" customHeight="1" spans="2:2">
      <c r="B18095" s="62" t="str">
        <f>IF(AND('领用录入（明细）'!D:D=$F$4,'领用录入（明细）'!C:C&gt;=$J$4,'领用录入（明细）'!C:C&lt;=$L$4),ROW(),"-")</f>
        <v>-</v>
      </c>
    </row>
    <row r="18096" customHeight="1" spans="2:2">
      <c r="B18096" s="62" t="str">
        <f>IF(AND('领用录入（明细）'!D:D=$F$4,'领用录入（明细）'!C:C&gt;=$J$4,'领用录入（明细）'!C:C&lt;=$L$4),ROW(),"-")</f>
        <v>-</v>
      </c>
    </row>
    <row r="18097" customHeight="1" spans="2:2">
      <c r="B18097" s="62" t="str">
        <f>IF(AND('领用录入（明细）'!D:D=$F$4,'领用录入（明细）'!C:C&gt;=$J$4,'领用录入（明细）'!C:C&lt;=$L$4),ROW(),"-")</f>
        <v>-</v>
      </c>
    </row>
    <row r="18098" customHeight="1" spans="2:2">
      <c r="B18098" s="62" t="str">
        <f>IF(AND('领用录入（明细）'!D:D=$F$4,'领用录入（明细）'!C:C&gt;=$J$4,'领用录入（明细）'!C:C&lt;=$L$4),ROW(),"-")</f>
        <v>-</v>
      </c>
    </row>
    <row r="18099" customHeight="1" spans="2:2">
      <c r="B18099" s="62" t="str">
        <f>IF(AND('领用录入（明细）'!D:D=$F$4,'领用录入（明细）'!C:C&gt;=$J$4,'领用录入（明细）'!C:C&lt;=$L$4),ROW(),"-")</f>
        <v>-</v>
      </c>
    </row>
    <row r="18100" customHeight="1" spans="2:2">
      <c r="B18100" s="62" t="str">
        <f>IF(AND('领用录入（明细）'!D:D=$F$4,'领用录入（明细）'!C:C&gt;=$J$4,'领用录入（明细）'!C:C&lt;=$L$4),ROW(),"-")</f>
        <v>-</v>
      </c>
    </row>
    <row r="18101" customHeight="1" spans="2:2">
      <c r="B18101" s="62" t="str">
        <f>IF(AND('领用录入（明细）'!D:D=$F$4,'领用录入（明细）'!C:C&gt;=$J$4,'领用录入（明细）'!C:C&lt;=$L$4),ROW(),"-")</f>
        <v>-</v>
      </c>
    </row>
    <row r="18102" customHeight="1" spans="2:2">
      <c r="B18102" s="62" t="str">
        <f>IF(AND('领用录入（明细）'!D:D=$F$4,'领用录入（明细）'!C:C&gt;=$J$4,'领用录入（明细）'!C:C&lt;=$L$4),ROW(),"-")</f>
        <v>-</v>
      </c>
    </row>
    <row r="18103" customHeight="1" spans="2:2">
      <c r="B18103" s="62" t="str">
        <f>IF(AND('领用录入（明细）'!D:D=$F$4,'领用录入（明细）'!C:C&gt;=$J$4,'领用录入（明细）'!C:C&lt;=$L$4),ROW(),"-")</f>
        <v>-</v>
      </c>
    </row>
    <row r="18104" customHeight="1" spans="2:2">
      <c r="B18104" s="62" t="str">
        <f>IF(AND('领用录入（明细）'!D:D=$F$4,'领用录入（明细）'!C:C&gt;=$J$4,'领用录入（明细）'!C:C&lt;=$L$4),ROW(),"-")</f>
        <v>-</v>
      </c>
    </row>
    <row r="18105" customHeight="1" spans="2:2">
      <c r="B18105" s="62" t="str">
        <f>IF(AND('领用录入（明细）'!D:D=$F$4,'领用录入（明细）'!C:C&gt;=$J$4,'领用录入（明细）'!C:C&lt;=$L$4),ROW(),"-")</f>
        <v>-</v>
      </c>
    </row>
    <row r="18106" customHeight="1" spans="2:2">
      <c r="B18106" s="62" t="str">
        <f>IF(AND('领用录入（明细）'!D:D=$F$4,'领用录入（明细）'!C:C&gt;=$J$4,'领用录入（明细）'!C:C&lt;=$L$4),ROW(),"-")</f>
        <v>-</v>
      </c>
    </row>
    <row r="18107" customHeight="1" spans="2:2">
      <c r="B18107" s="62" t="str">
        <f>IF(AND('领用录入（明细）'!D:D=$F$4,'领用录入（明细）'!C:C&gt;=$J$4,'领用录入（明细）'!C:C&lt;=$L$4),ROW(),"-")</f>
        <v>-</v>
      </c>
    </row>
    <row r="18108" customHeight="1" spans="2:2">
      <c r="B18108" s="62" t="str">
        <f>IF(AND('领用录入（明细）'!D:D=$F$4,'领用录入（明细）'!C:C&gt;=$J$4,'领用录入（明细）'!C:C&lt;=$L$4),ROW(),"-")</f>
        <v>-</v>
      </c>
    </row>
    <row r="18109" customHeight="1" spans="2:2">
      <c r="B18109" s="62" t="str">
        <f>IF(AND('领用录入（明细）'!D:D=$F$4,'领用录入（明细）'!C:C&gt;=$J$4,'领用录入（明细）'!C:C&lt;=$L$4),ROW(),"-")</f>
        <v>-</v>
      </c>
    </row>
    <row r="18110" customHeight="1" spans="2:2">
      <c r="B18110" s="62" t="str">
        <f>IF(AND('领用录入（明细）'!D:D=$F$4,'领用录入（明细）'!C:C&gt;=$J$4,'领用录入（明细）'!C:C&lt;=$L$4),ROW(),"-")</f>
        <v>-</v>
      </c>
    </row>
    <row r="18111" customHeight="1" spans="2:2">
      <c r="B18111" s="62" t="str">
        <f>IF(AND('领用录入（明细）'!D:D=$F$4,'领用录入（明细）'!C:C&gt;=$J$4,'领用录入（明细）'!C:C&lt;=$L$4),ROW(),"-")</f>
        <v>-</v>
      </c>
    </row>
    <row r="18112" customHeight="1" spans="2:2">
      <c r="B18112" s="62" t="str">
        <f>IF(AND('领用录入（明细）'!D:D=$F$4,'领用录入（明细）'!C:C&gt;=$J$4,'领用录入（明细）'!C:C&lt;=$L$4),ROW(),"-")</f>
        <v>-</v>
      </c>
    </row>
    <row r="18113" customHeight="1" spans="2:2">
      <c r="B18113" s="62" t="str">
        <f>IF(AND('领用录入（明细）'!D:D=$F$4,'领用录入（明细）'!C:C&gt;=$J$4,'领用录入（明细）'!C:C&lt;=$L$4),ROW(),"-")</f>
        <v>-</v>
      </c>
    </row>
    <row r="18114" customHeight="1" spans="2:2">
      <c r="B18114" s="62" t="str">
        <f>IF(AND('领用录入（明细）'!D:D=$F$4,'领用录入（明细）'!C:C&gt;=$J$4,'领用录入（明细）'!C:C&lt;=$L$4),ROW(),"-")</f>
        <v>-</v>
      </c>
    </row>
    <row r="18115" customHeight="1" spans="2:2">
      <c r="B18115" s="62" t="str">
        <f>IF(AND('领用录入（明细）'!D:D=$F$4,'领用录入（明细）'!C:C&gt;=$J$4,'领用录入（明细）'!C:C&lt;=$L$4),ROW(),"-")</f>
        <v>-</v>
      </c>
    </row>
    <row r="18116" customHeight="1" spans="2:2">
      <c r="B18116" s="62" t="str">
        <f>IF(AND('领用录入（明细）'!D:D=$F$4,'领用录入（明细）'!C:C&gt;=$J$4,'领用录入（明细）'!C:C&lt;=$L$4),ROW(),"-")</f>
        <v>-</v>
      </c>
    </row>
    <row r="18117" customHeight="1" spans="2:2">
      <c r="B18117" s="62" t="str">
        <f>IF(AND('领用录入（明细）'!D:D=$F$4,'领用录入（明细）'!C:C&gt;=$J$4,'领用录入（明细）'!C:C&lt;=$L$4),ROW(),"-")</f>
        <v>-</v>
      </c>
    </row>
    <row r="18118" customHeight="1" spans="2:2">
      <c r="B18118" s="62" t="str">
        <f>IF(AND('领用录入（明细）'!D:D=$F$4,'领用录入（明细）'!C:C&gt;=$J$4,'领用录入（明细）'!C:C&lt;=$L$4),ROW(),"-")</f>
        <v>-</v>
      </c>
    </row>
    <row r="18119" customHeight="1" spans="2:2">
      <c r="B18119" s="62" t="str">
        <f>IF(AND('领用录入（明细）'!D:D=$F$4,'领用录入（明细）'!C:C&gt;=$J$4,'领用录入（明细）'!C:C&lt;=$L$4),ROW(),"-")</f>
        <v>-</v>
      </c>
    </row>
    <row r="18120" customHeight="1" spans="2:2">
      <c r="B18120" s="62" t="str">
        <f>IF(AND('领用录入（明细）'!D:D=$F$4,'领用录入（明细）'!C:C&gt;=$J$4,'领用录入（明细）'!C:C&lt;=$L$4),ROW(),"-")</f>
        <v>-</v>
      </c>
    </row>
    <row r="18121" customHeight="1" spans="2:2">
      <c r="B18121" s="62" t="str">
        <f>IF(AND('领用录入（明细）'!D:D=$F$4,'领用录入（明细）'!C:C&gt;=$J$4,'领用录入（明细）'!C:C&lt;=$L$4),ROW(),"-")</f>
        <v>-</v>
      </c>
    </row>
    <row r="18122" customHeight="1" spans="2:2">
      <c r="B18122" s="62" t="str">
        <f>IF(AND('领用录入（明细）'!D:D=$F$4,'领用录入（明细）'!C:C&gt;=$J$4,'领用录入（明细）'!C:C&lt;=$L$4),ROW(),"-")</f>
        <v>-</v>
      </c>
    </row>
    <row r="18123" customHeight="1" spans="2:2">
      <c r="B18123" s="62" t="str">
        <f>IF(AND('领用录入（明细）'!D:D=$F$4,'领用录入（明细）'!C:C&gt;=$J$4,'领用录入（明细）'!C:C&lt;=$L$4),ROW(),"-")</f>
        <v>-</v>
      </c>
    </row>
    <row r="18124" customHeight="1" spans="2:2">
      <c r="B18124" s="62" t="str">
        <f>IF(AND('领用录入（明细）'!D:D=$F$4,'领用录入（明细）'!C:C&gt;=$J$4,'领用录入（明细）'!C:C&lt;=$L$4),ROW(),"-")</f>
        <v>-</v>
      </c>
    </row>
    <row r="18125" customHeight="1" spans="2:2">
      <c r="B18125" s="62" t="str">
        <f>IF(AND('领用录入（明细）'!D:D=$F$4,'领用录入（明细）'!C:C&gt;=$J$4,'领用录入（明细）'!C:C&lt;=$L$4),ROW(),"-")</f>
        <v>-</v>
      </c>
    </row>
    <row r="18126" customHeight="1" spans="2:2">
      <c r="B18126" s="62" t="str">
        <f>IF(AND('领用录入（明细）'!D:D=$F$4,'领用录入（明细）'!C:C&gt;=$J$4,'领用录入（明细）'!C:C&lt;=$L$4),ROW(),"-")</f>
        <v>-</v>
      </c>
    </row>
    <row r="18127" customHeight="1" spans="2:2">
      <c r="B18127" s="62" t="str">
        <f>IF(AND('领用录入（明细）'!D:D=$F$4,'领用录入（明细）'!C:C&gt;=$J$4,'领用录入（明细）'!C:C&lt;=$L$4),ROW(),"-")</f>
        <v>-</v>
      </c>
    </row>
    <row r="18128" customHeight="1" spans="2:2">
      <c r="B18128" s="62" t="str">
        <f>IF(AND('领用录入（明细）'!D:D=$F$4,'领用录入（明细）'!C:C&gt;=$J$4,'领用录入（明细）'!C:C&lt;=$L$4),ROW(),"-")</f>
        <v>-</v>
      </c>
    </row>
    <row r="18129" customHeight="1" spans="2:2">
      <c r="B18129" s="62" t="str">
        <f>IF(AND('领用录入（明细）'!D:D=$F$4,'领用录入（明细）'!C:C&gt;=$J$4,'领用录入（明细）'!C:C&lt;=$L$4),ROW(),"-")</f>
        <v>-</v>
      </c>
    </row>
    <row r="18130" customHeight="1" spans="2:2">
      <c r="B18130" s="62" t="str">
        <f>IF(AND('领用录入（明细）'!D:D=$F$4,'领用录入（明细）'!C:C&gt;=$J$4,'领用录入（明细）'!C:C&lt;=$L$4),ROW(),"-")</f>
        <v>-</v>
      </c>
    </row>
    <row r="18131" customHeight="1" spans="2:2">
      <c r="B18131" s="62" t="str">
        <f>IF(AND('领用录入（明细）'!D:D=$F$4,'领用录入（明细）'!C:C&gt;=$J$4,'领用录入（明细）'!C:C&lt;=$L$4),ROW(),"-")</f>
        <v>-</v>
      </c>
    </row>
    <row r="18132" customHeight="1" spans="2:2">
      <c r="B18132" s="62" t="str">
        <f>IF(AND('领用录入（明细）'!D:D=$F$4,'领用录入（明细）'!C:C&gt;=$J$4,'领用录入（明细）'!C:C&lt;=$L$4),ROW(),"-")</f>
        <v>-</v>
      </c>
    </row>
    <row r="18133" customHeight="1" spans="2:2">
      <c r="B18133" s="62" t="str">
        <f>IF(AND('领用录入（明细）'!D:D=$F$4,'领用录入（明细）'!C:C&gt;=$J$4,'领用录入（明细）'!C:C&lt;=$L$4),ROW(),"-")</f>
        <v>-</v>
      </c>
    </row>
    <row r="18134" customHeight="1" spans="2:2">
      <c r="B18134" s="62" t="str">
        <f>IF(AND('领用录入（明细）'!D:D=$F$4,'领用录入（明细）'!C:C&gt;=$J$4,'领用录入（明细）'!C:C&lt;=$L$4),ROW(),"-")</f>
        <v>-</v>
      </c>
    </row>
    <row r="18135" customHeight="1" spans="2:2">
      <c r="B18135" s="62" t="str">
        <f>IF(AND('领用录入（明细）'!D:D=$F$4,'领用录入（明细）'!C:C&gt;=$J$4,'领用录入（明细）'!C:C&lt;=$L$4),ROW(),"-")</f>
        <v>-</v>
      </c>
    </row>
    <row r="18136" customHeight="1" spans="2:2">
      <c r="B18136" s="62" t="str">
        <f>IF(AND('领用录入（明细）'!D:D=$F$4,'领用录入（明细）'!C:C&gt;=$J$4,'领用录入（明细）'!C:C&lt;=$L$4),ROW(),"-")</f>
        <v>-</v>
      </c>
    </row>
    <row r="18137" customHeight="1" spans="2:2">
      <c r="B18137" s="62" t="str">
        <f>IF(AND('领用录入（明细）'!D:D=$F$4,'领用录入（明细）'!C:C&gt;=$J$4,'领用录入（明细）'!C:C&lt;=$L$4),ROW(),"-")</f>
        <v>-</v>
      </c>
    </row>
    <row r="18138" customHeight="1" spans="2:2">
      <c r="B18138" s="62" t="str">
        <f>IF(AND('领用录入（明细）'!D:D=$F$4,'领用录入（明细）'!C:C&gt;=$J$4,'领用录入（明细）'!C:C&lt;=$L$4),ROW(),"-")</f>
        <v>-</v>
      </c>
    </row>
    <row r="18139" customHeight="1" spans="2:2">
      <c r="B18139" s="62" t="str">
        <f>IF(AND('领用录入（明细）'!D:D=$F$4,'领用录入（明细）'!C:C&gt;=$J$4,'领用录入（明细）'!C:C&lt;=$L$4),ROW(),"-")</f>
        <v>-</v>
      </c>
    </row>
    <row r="18140" customHeight="1" spans="2:2">
      <c r="B18140" s="62" t="str">
        <f>IF(AND('领用录入（明细）'!D:D=$F$4,'领用录入（明细）'!C:C&gt;=$J$4,'领用录入（明细）'!C:C&lt;=$L$4),ROW(),"-")</f>
        <v>-</v>
      </c>
    </row>
    <row r="18141" customHeight="1" spans="2:2">
      <c r="B18141" s="62" t="str">
        <f>IF(AND('领用录入（明细）'!D:D=$F$4,'领用录入（明细）'!C:C&gt;=$J$4,'领用录入（明细）'!C:C&lt;=$L$4),ROW(),"-")</f>
        <v>-</v>
      </c>
    </row>
    <row r="18142" customHeight="1" spans="2:2">
      <c r="B18142" s="62" t="str">
        <f>IF(AND('领用录入（明细）'!D:D=$F$4,'领用录入（明细）'!C:C&gt;=$J$4,'领用录入（明细）'!C:C&lt;=$L$4),ROW(),"-")</f>
        <v>-</v>
      </c>
    </row>
    <row r="18143" customHeight="1" spans="2:2">
      <c r="B18143" s="62" t="str">
        <f>IF(AND('领用录入（明细）'!D:D=$F$4,'领用录入（明细）'!C:C&gt;=$J$4,'领用录入（明细）'!C:C&lt;=$L$4),ROW(),"-")</f>
        <v>-</v>
      </c>
    </row>
    <row r="18144" customHeight="1" spans="2:2">
      <c r="B18144" s="62" t="str">
        <f>IF(AND('领用录入（明细）'!D:D=$F$4,'领用录入（明细）'!C:C&gt;=$J$4,'领用录入（明细）'!C:C&lt;=$L$4),ROW(),"-")</f>
        <v>-</v>
      </c>
    </row>
    <row r="18145" customHeight="1" spans="2:2">
      <c r="B18145" s="62" t="str">
        <f>IF(AND('领用录入（明细）'!D:D=$F$4,'领用录入（明细）'!C:C&gt;=$J$4,'领用录入（明细）'!C:C&lt;=$L$4),ROW(),"-")</f>
        <v>-</v>
      </c>
    </row>
    <row r="18146" customHeight="1" spans="2:2">
      <c r="B18146" s="62" t="str">
        <f>IF(AND('领用录入（明细）'!D:D=$F$4,'领用录入（明细）'!C:C&gt;=$J$4,'领用录入（明细）'!C:C&lt;=$L$4),ROW(),"-")</f>
        <v>-</v>
      </c>
    </row>
    <row r="18147" customHeight="1" spans="2:2">
      <c r="B18147" s="62" t="str">
        <f>IF(AND('领用录入（明细）'!D:D=$F$4,'领用录入（明细）'!C:C&gt;=$J$4,'领用录入（明细）'!C:C&lt;=$L$4),ROW(),"-")</f>
        <v>-</v>
      </c>
    </row>
    <row r="18148" customHeight="1" spans="2:2">
      <c r="B18148" s="62" t="str">
        <f>IF(AND('领用录入（明细）'!D:D=$F$4,'领用录入（明细）'!C:C&gt;=$J$4,'领用录入（明细）'!C:C&lt;=$L$4),ROW(),"-")</f>
        <v>-</v>
      </c>
    </row>
    <row r="18149" customHeight="1" spans="2:2">
      <c r="B18149" s="62" t="str">
        <f>IF(AND('领用录入（明细）'!D:D=$F$4,'领用录入（明细）'!C:C&gt;=$J$4,'领用录入（明细）'!C:C&lt;=$L$4),ROW(),"-")</f>
        <v>-</v>
      </c>
    </row>
    <row r="18150" customHeight="1" spans="2:2">
      <c r="B18150" s="62" t="str">
        <f>IF(AND('领用录入（明细）'!D:D=$F$4,'领用录入（明细）'!C:C&gt;=$J$4,'领用录入（明细）'!C:C&lt;=$L$4),ROW(),"-")</f>
        <v>-</v>
      </c>
    </row>
    <row r="18151" customHeight="1" spans="2:2">
      <c r="B18151" s="62" t="str">
        <f>IF(AND('领用录入（明细）'!D:D=$F$4,'领用录入（明细）'!C:C&gt;=$J$4,'领用录入（明细）'!C:C&lt;=$L$4),ROW(),"-")</f>
        <v>-</v>
      </c>
    </row>
    <row r="18152" customHeight="1" spans="2:2">
      <c r="B18152" s="62" t="str">
        <f>IF(AND('领用录入（明细）'!D:D=$F$4,'领用录入（明细）'!C:C&gt;=$J$4,'领用录入（明细）'!C:C&lt;=$L$4),ROW(),"-")</f>
        <v>-</v>
      </c>
    </row>
    <row r="18153" customHeight="1" spans="2:2">
      <c r="B18153" s="62" t="str">
        <f>IF(AND('领用录入（明细）'!D:D=$F$4,'领用录入（明细）'!C:C&gt;=$J$4,'领用录入（明细）'!C:C&lt;=$L$4),ROW(),"-")</f>
        <v>-</v>
      </c>
    </row>
    <row r="18154" customHeight="1" spans="2:2">
      <c r="B18154" s="62" t="str">
        <f>IF(AND('领用录入（明细）'!D:D=$F$4,'领用录入（明细）'!C:C&gt;=$J$4,'领用录入（明细）'!C:C&lt;=$L$4),ROW(),"-")</f>
        <v>-</v>
      </c>
    </row>
    <row r="18155" customHeight="1" spans="2:2">
      <c r="B18155" s="62" t="str">
        <f>IF(AND('领用录入（明细）'!D:D=$F$4,'领用录入（明细）'!C:C&gt;=$J$4,'领用录入（明细）'!C:C&lt;=$L$4),ROW(),"-")</f>
        <v>-</v>
      </c>
    </row>
    <row r="18156" customHeight="1" spans="2:2">
      <c r="B18156" s="62" t="str">
        <f>IF(AND('领用录入（明细）'!D:D=$F$4,'领用录入（明细）'!C:C&gt;=$J$4,'领用录入（明细）'!C:C&lt;=$L$4),ROW(),"-")</f>
        <v>-</v>
      </c>
    </row>
    <row r="18157" customHeight="1" spans="2:2">
      <c r="B18157" s="62" t="str">
        <f>IF(AND('领用录入（明细）'!D:D=$F$4,'领用录入（明细）'!C:C&gt;=$J$4,'领用录入（明细）'!C:C&lt;=$L$4),ROW(),"-")</f>
        <v>-</v>
      </c>
    </row>
    <row r="18158" customHeight="1" spans="2:2">
      <c r="B18158" s="62" t="str">
        <f>IF(AND('领用录入（明细）'!D:D=$F$4,'领用录入（明细）'!C:C&gt;=$J$4,'领用录入（明细）'!C:C&lt;=$L$4),ROW(),"-")</f>
        <v>-</v>
      </c>
    </row>
    <row r="18159" customHeight="1" spans="2:2">
      <c r="B18159" s="62" t="str">
        <f>IF(AND('领用录入（明细）'!D:D=$F$4,'领用录入（明细）'!C:C&gt;=$J$4,'领用录入（明细）'!C:C&lt;=$L$4),ROW(),"-")</f>
        <v>-</v>
      </c>
    </row>
    <row r="18160" customHeight="1" spans="2:2">
      <c r="B18160" s="62" t="str">
        <f>IF(AND('领用录入（明细）'!D:D=$F$4,'领用录入（明细）'!C:C&gt;=$J$4,'领用录入（明细）'!C:C&lt;=$L$4),ROW(),"-")</f>
        <v>-</v>
      </c>
    </row>
    <row r="18161" customHeight="1" spans="2:2">
      <c r="B18161" s="62" t="str">
        <f>IF(AND('领用录入（明细）'!D:D=$F$4,'领用录入（明细）'!C:C&gt;=$J$4,'领用录入（明细）'!C:C&lt;=$L$4),ROW(),"-")</f>
        <v>-</v>
      </c>
    </row>
    <row r="18162" customHeight="1" spans="2:2">
      <c r="B18162" s="62" t="str">
        <f>IF(AND('领用录入（明细）'!D:D=$F$4,'领用录入（明细）'!C:C&gt;=$J$4,'领用录入（明细）'!C:C&lt;=$L$4),ROW(),"-")</f>
        <v>-</v>
      </c>
    </row>
    <row r="18163" customHeight="1" spans="2:2">
      <c r="B18163" s="62" t="str">
        <f>IF(AND('领用录入（明细）'!D:D=$F$4,'领用录入（明细）'!C:C&gt;=$J$4,'领用录入（明细）'!C:C&lt;=$L$4),ROW(),"-")</f>
        <v>-</v>
      </c>
    </row>
    <row r="18164" customHeight="1" spans="2:2">
      <c r="B18164" s="62" t="str">
        <f>IF(AND('领用录入（明细）'!D:D=$F$4,'领用录入（明细）'!C:C&gt;=$J$4,'领用录入（明细）'!C:C&lt;=$L$4),ROW(),"-")</f>
        <v>-</v>
      </c>
    </row>
    <row r="18165" customHeight="1" spans="2:2">
      <c r="B18165" s="62" t="str">
        <f>IF(AND('领用录入（明细）'!D:D=$F$4,'领用录入（明细）'!C:C&gt;=$J$4,'领用录入（明细）'!C:C&lt;=$L$4),ROW(),"-")</f>
        <v>-</v>
      </c>
    </row>
    <row r="18166" customHeight="1" spans="2:2">
      <c r="B18166" s="62" t="str">
        <f>IF(AND('领用录入（明细）'!D:D=$F$4,'领用录入（明细）'!C:C&gt;=$J$4,'领用录入（明细）'!C:C&lt;=$L$4),ROW(),"-")</f>
        <v>-</v>
      </c>
    </row>
    <row r="18167" customHeight="1" spans="2:2">
      <c r="B18167" s="62" t="str">
        <f>IF(AND('领用录入（明细）'!D:D=$F$4,'领用录入（明细）'!C:C&gt;=$J$4,'领用录入（明细）'!C:C&lt;=$L$4),ROW(),"-")</f>
        <v>-</v>
      </c>
    </row>
    <row r="18168" customHeight="1" spans="2:2">
      <c r="B18168" s="62" t="str">
        <f>IF(AND('领用录入（明细）'!D:D=$F$4,'领用录入（明细）'!C:C&gt;=$J$4,'领用录入（明细）'!C:C&lt;=$L$4),ROW(),"-")</f>
        <v>-</v>
      </c>
    </row>
    <row r="18169" customHeight="1" spans="2:2">
      <c r="B18169" s="62" t="str">
        <f>IF(AND('领用录入（明细）'!D:D=$F$4,'领用录入（明细）'!C:C&gt;=$J$4,'领用录入（明细）'!C:C&lt;=$L$4),ROW(),"-")</f>
        <v>-</v>
      </c>
    </row>
    <row r="18170" customHeight="1" spans="2:2">
      <c r="B18170" s="62" t="str">
        <f>IF(AND('领用录入（明细）'!D:D=$F$4,'领用录入（明细）'!C:C&gt;=$J$4,'领用录入（明细）'!C:C&lt;=$L$4),ROW(),"-")</f>
        <v>-</v>
      </c>
    </row>
    <row r="18171" customHeight="1" spans="2:2">
      <c r="B18171" s="62" t="str">
        <f>IF(AND('领用录入（明细）'!D:D=$F$4,'领用录入（明细）'!C:C&gt;=$J$4,'领用录入（明细）'!C:C&lt;=$L$4),ROW(),"-")</f>
        <v>-</v>
      </c>
    </row>
    <row r="18172" customHeight="1" spans="2:2">
      <c r="B18172" s="62" t="str">
        <f>IF(AND('领用录入（明细）'!D:D=$F$4,'领用录入（明细）'!C:C&gt;=$J$4,'领用录入（明细）'!C:C&lt;=$L$4),ROW(),"-")</f>
        <v>-</v>
      </c>
    </row>
    <row r="18173" customHeight="1" spans="2:2">
      <c r="B18173" s="62" t="str">
        <f>IF(AND('领用录入（明细）'!D:D=$F$4,'领用录入（明细）'!C:C&gt;=$J$4,'领用录入（明细）'!C:C&lt;=$L$4),ROW(),"-")</f>
        <v>-</v>
      </c>
    </row>
    <row r="18174" customHeight="1" spans="2:2">
      <c r="B18174" s="62" t="str">
        <f>IF(AND('领用录入（明细）'!D:D=$F$4,'领用录入（明细）'!C:C&gt;=$J$4,'领用录入（明细）'!C:C&lt;=$L$4),ROW(),"-")</f>
        <v>-</v>
      </c>
    </row>
    <row r="18175" customHeight="1" spans="2:2">
      <c r="B18175" s="62" t="str">
        <f>IF(AND('领用录入（明细）'!D:D=$F$4,'领用录入（明细）'!C:C&gt;=$J$4,'领用录入（明细）'!C:C&lt;=$L$4),ROW(),"-")</f>
        <v>-</v>
      </c>
    </row>
    <row r="18176" customHeight="1" spans="2:2">
      <c r="B18176" s="62" t="str">
        <f>IF(AND('领用录入（明细）'!D:D=$F$4,'领用录入（明细）'!C:C&gt;=$J$4,'领用录入（明细）'!C:C&lt;=$L$4),ROW(),"-")</f>
        <v>-</v>
      </c>
    </row>
    <row r="18177" customHeight="1" spans="2:2">
      <c r="B18177" s="62" t="str">
        <f>IF(AND('领用录入（明细）'!D:D=$F$4,'领用录入（明细）'!C:C&gt;=$J$4,'领用录入（明细）'!C:C&lt;=$L$4),ROW(),"-")</f>
        <v>-</v>
      </c>
    </row>
    <row r="18178" customHeight="1" spans="2:2">
      <c r="B18178" s="62" t="str">
        <f>IF(AND('领用录入（明细）'!D:D=$F$4,'领用录入（明细）'!C:C&gt;=$J$4,'领用录入（明细）'!C:C&lt;=$L$4),ROW(),"-")</f>
        <v>-</v>
      </c>
    </row>
    <row r="18179" customHeight="1" spans="2:2">
      <c r="B18179" s="62" t="str">
        <f>IF(AND('领用录入（明细）'!D:D=$F$4,'领用录入（明细）'!C:C&gt;=$J$4,'领用录入（明细）'!C:C&lt;=$L$4),ROW(),"-")</f>
        <v>-</v>
      </c>
    </row>
    <row r="18180" customHeight="1" spans="2:2">
      <c r="B18180" s="62" t="str">
        <f>IF(AND('领用录入（明细）'!D:D=$F$4,'领用录入（明细）'!C:C&gt;=$J$4,'领用录入（明细）'!C:C&lt;=$L$4),ROW(),"-")</f>
        <v>-</v>
      </c>
    </row>
    <row r="18181" customHeight="1" spans="2:2">
      <c r="B18181" s="62" t="str">
        <f>IF(AND('领用录入（明细）'!D:D=$F$4,'领用录入（明细）'!C:C&gt;=$J$4,'领用录入（明细）'!C:C&lt;=$L$4),ROW(),"-")</f>
        <v>-</v>
      </c>
    </row>
    <row r="18182" customHeight="1" spans="2:2">
      <c r="B18182" s="62" t="str">
        <f>IF(AND('领用录入（明细）'!D:D=$F$4,'领用录入（明细）'!C:C&gt;=$J$4,'领用录入（明细）'!C:C&lt;=$L$4),ROW(),"-")</f>
        <v>-</v>
      </c>
    </row>
    <row r="18183" customHeight="1" spans="2:2">
      <c r="B18183" s="62" t="str">
        <f>IF(AND('领用录入（明细）'!D:D=$F$4,'领用录入（明细）'!C:C&gt;=$J$4,'领用录入（明细）'!C:C&lt;=$L$4),ROW(),"-")</f>
        <v>-</v>
      </c>
    </row>
    <row r="18184" customHeight="1" spans="2:2">
      <c r="B18184" s="62" t="str">
        <f>IF(AND('领用录入（明细）'!D:D=$F$4,'领用录入（明细）'!C:C&gt;=$J$4,'领用录入（明细）'!C:C&lt;=$L$4),ROW(),"-")</f>
        <v>-</v>
      </c>
    </row>
    <row r="18185" customHeight="1" spans="2:2">
      <c r="B18185" s="62" t="str">
        <f>IF(AND('领用录入（明细）'!D:D=$F$4,'领用录入（明细）'!C:C&gt;=$J$4,'领用录入（明细）'!C:C&lt;=$L$4),ROW(),"-")</f>
        <v>-</v>
      </c>
    </row>
    <row r="18186" customHeight="1" spans="2:2">
      <c r="B18186" s="62" t="str">
        <f>IF(AND('领用录入（明细）'!D:D=$F$4,'领用录入（明细）'!C:C&gt;=$J$4,'领用录入（明细）'!C:C&lt;=$L$4),ROW(),"-")</f>
        <v>-</v>
      </c>
    </row>
    <row r="18187" customHeight="1" spans="2:2">
      <c r="B18187" s="62" t="str">
        <f>IF(AND('领用录入（明细）'!D:D=$F$4,'领用录入（明细）'!C:C&gt;=$J$4,'领用录入（明细）'!C:C&lt;=$L$4),ROW(),"-")</f>
        <v>-</v>
      </c>
    </row>
    <row r="18188" customHeight="1" spans="2:2">
      <c r="B18188" s="62" t="str">
        <f>IF(AND('领用录入（明细）'!D:D=$F$4,'领用录入（明细）'!C:C&gt;=$J$4,'领用录入（明细）'!C:C&lt;=$L$4),ROW(),"-")</f>
        <v>-</v>
      </c>
    </row>
    <row r="18189" customHeight="1" spans="2:2">
      <c r="B18189" s="62" t="str">
        <f>IF(AND('领用录入（明细）'!D:D=$F$4,'领用录入（明细）'!C:C&gt;=$J$4,'领用录入（明细）'!C:C&lt;=$L$4),ROW(),"-")</f>
        <v>-</v>
      </c>
    </row>
    <row r="18190" customHeight="1" spans="2:2">
      <c r="B18190" s="62" t="str">
        <f>IF(AND('领用录入（明细）'!D:D=$F$4,'领用录入（明细）'!C:C&gt;=$J$4,'领用录入（明细）'!C:C&lt;=$L$4),ROW(),"-")</f>
        <v>-</v>
      </c>
    </row>
    <row r="18191" customHeight="1" spans="2:2">
      <c r="B18191" s="62" t="str">
        <f>IF(AND('领用录入（明细）'!D:D=$F$4,'领用录入（明细）'!C:C&gt;=$J$4,'领用录入（明细）'!C:C&lt;=$L$4),ROW(),"-")</f>
        <v>-</v>
      </c>
    </row>
    <row r="18192" customHeight="1" spans="2:2">
      <c r="B18192" s="62" t="str">
        <f>IF(AND('领用录入（明细）'!D:D=$F$4,'领用录入（明细）'!C:C&gt;=$J$4,'领用录入（明细）'!C:C&lt;=$L$4),ROW(),"-")</f>
        <v>-</v>
      </c>
    </row>
    <row r="18193" customHeight="1" spans="2:2">
      <c r="B18193" s="62" t="str">
        <f>IF(AND('领用录入（明细）'!D:D=$F$4,'领用录入（明细）'!C:C&gt;=$J$4,'领用录入（明细）'!C:C&lt;=$L$4),ROW(),"-")</f>
        <v>-</v>
      </c>
    </row>
    <row r="18194" customHeight="1" spans="2:2">
      <c r="B18194" s="62" t="str">
        <f>IF(AND('领用录入（明细）'!D:D=$F$4,'领用录入（明细）'!C:C&gt;=$J$4,'领用录入（明细）'!C:C&lt;=$L$4),ROW(),"-")</f>
        <v>-</v>
      </c>
    </row>
    <row r="18195" customHeight="1" spans="2:2">
      <c r="B18195" s="62" t="str">
        <f>IF(AND('领用录入（明细）'!D:D=$F$4,'领用录入（明细）'!C:C&gt;=$J$4,'领用录入（明细）'!C:C&lt;=$L$4),ROW(),"-")</f>
        <v>-</v>
      </c>
    </row>
    <row r="18196" customHeight="1" spans="2:2">
      <c r="B18196" s="62" t="str">
        <f>IF(AND('领用录入（明细）'!D:D=$F$4,'领用录入（明细）'!C:C&gt;=$J$4,'领用录入（明细）'!C:C&lt;=$L$4),ROW(),"-")</f>
        <v>-</v>
      </c>
    </row>
    <row r="18197" customHeight="1" spans="2:2">
      <c r="B18197" s="62" t="str">
        <f>IF(AND('领用录入（明细）'!D:D=$F$4,'领用录入（明细）'!C:C&gt;=$J$4,'领用录入（明细）'!C:C&lt;=$L$4),ROW(),"-")</f>
        <v>-</v>
      </c>
    </row>
    <row r="18198" customHeight="1" spans="2:2">
      <c r="B18198" s="62" t="str">
        <f>IF(AND('领用录入（明细）'!D:D=$F$4,'领用录入（明细）'!C:C&gt;=$J$4,'领用录入（明细）'!C:C&lt;=$L$4),ROW(),"-")</f>
        <v>-</v>
      </c>
    </row>
    <row r="18199" customHeight="1" spans="2:2">
      <c r="B18199" s="62" t="str">
        <f>IF(AND('领用录入（明细）'!D:D=$F$4,'领用录入（明细）'!C:C&gt;=$J$4,'领用录入（明细）'!C:C&lt;=$L$4),ROW(),"-")</f>
        <v>-</v>
      </c>
    </row>
    <row r="18200" customHeight="1" spans="2:2">
      <c r="B18200" s="62" t="str">
        <f>IF(AND('领用录入（明细）'!D:D=$F$4,'领用录入（明细）'!C:C&gt;=$J$4,'领用录入（明细）'!C:C&lt;=$L$4),ROW(),"-")</f>
        <v>-</v>
      </c>
    </row>
    <row r="18201" customHeight="1" spans="2:2">
      <c r="B18201" s="62" t="str">
        <f>IF(AND('领用录入（明细）'!D:D=$F$4,'领用录入（明细）'!C:C&gt;=$J$4,'领用录入（明细）'!C:C&lt;=$L$4),ROW(),"-")</f>
        <v>-</v>
      </c>
    </row>
    <row r="18202" customHeight="1" spans="2:2">
      <c r="B18202" s="62" t="str">
        <f>IF(AND('领用录入（明细）'!D:D=$F$4,'领用录入（明细）'!C:C&gt;=$J$4,'领用录入（明细）'!C:C&lt;=$L$4),ROW(),"-")</f>
        <v>-</v>
      </c>
    </row>
    <row r="18203" customHeight="1" spans="2:2">
      <c r="B18203" s="62" t="str">
        <f>IF(AND('领用录入（明细）'!D:D=$F$4,'领用录入（明细）'!C:C&gt;=$J$4,'领用录入（明细）'!C:C&lt;=$L$4),ROW(),"-")</f>
        <v>-</v>
      </c>
    </row>
    <row r="18204" customHeight="1" spans="2:2">
      <c r="B18204" s="62" t="str">
        <f>IF(AND('领用录入（明细）'!D:D=$F$4,'领用录入（明细）'!C:C&gt;=$J$4,'领用录入（明细）'!C:C&lt;=$L$4),ROW(),"-")</f>
        <v>-</v>
      </c>
    </row>
    <row r="18205" customHeight="1" spans="2:2">
      <c r="B18205" s="62" t="str">
        <f>IF(AND('领用录入（明细）'!D:D=$F$4,'领用录入（明细）'!C:C&gt;=$J$4,'领用录入（明细）'!C:C&lt;=$L$4),ROW(),"-")</f>
        <v>-</v>
      </c>
    </row>
    <row r="18206" customHeight="1" spans="2:2">
      <c r="B18206" s="62" t="str">
        <f>IF(AND('领用录入（明细）'!D:D=$F$4,'领用录入（明细）'!C:C&gt;=$J$4,'领用录入（明细）'!C:C&lt;=$L$4),ROW(),"-")</f>
        <v>-</v>
      </c>
    </row>
    <row r="18207" customHeight="1" spans="2:2">
      <c r="B18207" s="62" t="str">
        <f>IF(AND('领用录入（明细）'!D:D=$F$4,'领用录入（明细）'!C:C&gt;=$J$4,'领用录入（明细）'!C:C&lt;=$L$4),ROW(),"-")</f>
        <v>-</v>
      </c>
    </row>
    <row r="18208" customHeight="1" spans="2:2">
      <c r="B18208" s="62" t="str">
        <f>IF(AND('领用录入（明细）'!D:D=$F$4,'领用录入（明细）'!C:C&gt;=$J$4,'领用录入（明细）'!C:C&lt;=$L$4),ROW(),"-")</f>
        <v>-</v>
      </c>
    </row>
    <row r="18209" customHeight="1" spans="2:2">
      <c r="B18209" s="62" t="str">
        <f>IF(AND('领用录入（明细）'!D:D=$F$4,'领用录入（明细）'!C:C&gt;=$J$4,'领用录入（明细）'!C:C&lt;=$L$4),ROW(),"-")</f>
        <v>-</v>
      </c>
    </row>
    <row r="18210" customHeight="1" spans="2:2">
      <c r="B18210" s="62" t="str">
        <f>IF(AND('领用录入（明细）'!D:D=$F$4,'领用录入（明细）'!C:C&gt;=$J$4,'领用录入（明细）'!C:C&lt;=$L$4),ROW(),"-")</f>
        <v>-</v>
      </c>
    </row>
    <row r="18211" customHeight="1" spans="2:2">
      <c r="B18211" s="62" t="str">
        <f>IF(AND('领用录入（明细）'!D:D=$F$4,'领用录入（明细）'!C:C&gt;=$J$4,'领用录入（明细）'!C:C&lt;=$L$4),ROW(),"-")</f>
        <v>-</v>
      </c>
    </row>
    <row r="18212" customHeight="1" spans="2:2">
      <c r="B18212" s="62" t="str">
        <f>IF(AND('领用录入（明细）'!D:D=$F$4,'领用录入（明细）'!C:C&gt;=$J$4,'领用录入（明细）'!C:C&lt;=$L$4),ROW(),"-")</f>
        <v>-</v>
      </c>
    </row>
    <row r="18213" customHeight="1" spans="2:2">
      <c r="B18213" s="62" t="str">
        <f>IF(AND('领用录入（明细）'!D:D=$F$4,'领用录入（明细）'!C:C&gt;=$J$4,'领用录入（明细）'!C:C&lt;=$L$4),ROW(),"-")</f>
        <v>-</v>
      </c>
    </row>
    <row r="18214" customHeight="1" spans="2:2">
      <c r="B18214" s="62" t="str">
        <f>IF(AND('领用录入（明细）'!D:D=$F$4,'领用录入（明细）'!C:C&gt;=$J$4,'领用录入（明细）'!C:C&lt;=$L$4),ROW(),"-")</f>
        <v>-</v>
      </c>
    </row>
    <row r="18215" customHeight="1" spans="2:2">
      <c r="B18215" s="62" t="str">
        <f>IF(AND('领用录入（明细）'!D:D=$F$4,'领用录入（明细）'!C:C&gt;=$J$4,'领用录入（明细）'!C:C&lt;=$L$4),ROW(),"-")</f>
        <v>-</v>
      </c>
    </row>
    <row r="18216" customHeight="1" spans="2:2">
      <c r="B18216" s="62" t="str">
        <f>IF(AND('领用录入（明细）'!D:D=$F$4,'领用录入（明细）'!C:C&gt;=$J$4,'领用录入（明细）'!C:C&lt;=$L$4),ROW(),"-")</f>
        <v>-</v>
      </c>
    </row>
    <row r="18217" customHeight="1" spans="2:2">
      <c r="B18217" s="62" t="str">
        <f>IF(AND('领用录入（明细）'!D:D=$F$4,'领用录入（明细）'!C:C&gt;=$J$4,'领用录入（明细）'!C:C&lt;=$L$4),ROW(),"-")</f>
        <v>-</v>
      </c>
    </row>
    <row r="18218" customHeight="1" spans="2:2">
      <c r="B18218" s="62" t="str">
        <f>IF(AND('领用录入（明细）'!D:D=$F$4,'领用录入（明细）'!C:C&gt;=$J$4,'领用录入（明细）'!C:C&lt;=$L$4),ROW(),"-")</f>
        <v>-</v>
      </c>
    </row>
    <row r="18219" customHeight="1" spans="2:2">
      <c r="B18219" s="62" t="str">
        <f>IF(AND('领用录入（明细）'!D:D=$F$4,'领用录入（明细）'!C:C&gt;=$J$4,'领用录入（明细）'!C:C&lt;=$L$4),ROW(),"-")</f>
        <v>-</v>
      </c>
    </row>
    <row r="18220" customHeight="1" spans="2:2">
      <c r="B18220" s="62" t="str">
        <f>IF(AND('领用录入（明细）'!D:D=$F$4,'领用录入（明细）'!C:C&gt;=$J$4,'领用录入（明细）'!C:C&lt;=$L$4),ROW(),"-")</f>
        <v>-</v>
      </c>
    </row>
    <row r="18221" customHeight="1" spans="2:2">
      <c r="B18221" s="62" t="str">
        <f>IF(AND('领用录入（明细）'!D:D=$F$4,'领用录入（明细）'!C:C&gt;=$J$4,'领用录入（明细）'!C:C&lt;=$L$4),ROW(),"-")</f>
        <v>-</v>
      </c>
    </row>
    <row r="18222" customHeight="1" spans="2:2">
      <c r="B18222" s="62" t="str">
        <f>IF(AND('领用录入（明细）'!D:D=$F$4,'领用录入（明细）'!C:C&gt;=$J$4,'领用录入（明细）'!C:C&lt;=$L$4),ROW(),"-")</f>
        <v>-</v>
      </c>
    </row>
    <row r="18223" customHeight="1" spans="2:2">
      <c r="B18223" s="62" t="str">
        <f>IF(AND('领用录入（明细）'!D:D=$F$4,'领用录入（明细）'!C:C&gt;=$J$4,'领用录入（明细）'!C:C&lt;=$L$4),ROW(),"-")</f>
        <v>-</v>
      </c>
    </row>
    <row r="18224" customHeight="1" spans="2:2">
      <c r="B18224" s="62" t="str">
        <f>IF(AND('领用录入（明细）'!D:D=$F$4,'领用录入（明细）'!C:C&gt;=$J$4,'领用录入（明细）'!C:C&lt;=$L$4),ROW(),"-")</f>
        <v>-</v>
      </c>
    </row>
    <row r="18225" customHeight="1" spans="2:2">
      <c r="B18225" s="62" t="str">
        <f>IF(AND('领用录入（明细）'!D:D=$F$4,'领用录入（明细）'!C:C&gt;=$J$4,'领用录入（明细）'!C:C&lt;=$L$4),ROW(),"-")</f>
        <v>-</v>
      </c>
    </row>
    <row r="18226" customHeight="1" spans="2:2">
      <c r="B18226" s="62" t="str">
        <f>IF(AND('领用录入（明细）'!D:D=$F$4,'领用录入（明细）'!C:C&gt;=$J$4,'领用录入（明细）'!C:C&lt;=$L$4),ROW(),"-")</f>
        <v>-</v>
      </c>
    </row>
    <row r="18227" customHeight="1" spans="2:2">
      <c r="B18227" s="62" t="str">
        <f>IF(AND('领用录入（明细）'!D:D=$F$4,'领用录入（明细）'!C:C&gt;=$J$4,'领用录入（明细）'!C:C&lt;=$L$4),ROW(),"-")</f>
        <v>-</v>
      </c>
    </row>
    <row r="18228" customHeight="1" spans="2:2">
      <c r="B18228" s="62" t="str">
        <f>IF(AND('领用录入（明细）'!D:D=$F$4,'领用录入（明细）'!C:C&gt;=$J$4,'领用录入（明细）'!C:C&lt;=$L$4),ROW(),"-")</f>
        <v>-</v>
      </c>
    </row>
    <row r="18229" customHeight="1" spans="2:2">
      <c r="B18229" s="62" t="str">
        <f>IF(AND('领用录入（明细）'!D:D=$F$4,'领用录入（明细）'!C:C&gt;=$J$4,'领用录入（明细）'!C:C&lt;=$L$4),ROW(),"-")</f>
        <v>-</v>
      </c>
    </row>
    <row r="18230" customHeight="1" spans="2:2">
      <c r="B18230" s="62" t="str">
        <f>IF(AND('领用录入（明细）'!D:D=$F$4,'领用录入（明细）'!C:C&gt;=$J$4,'领用录入（明细）'!C:C&lt;=$L$4),ROW(),"-")</f>
        <v>-</v>
      </c>
    </row>
    <row r="18231" customHeight="1" spans="2:2">
      <c r="B18231" s="62" t="str">
        <f>IF(AND('领用录入（明细）'!D:D=$F$4,'领用录入（明细）'!C:C&gt;=$J$4,'领用录入（明细）'!C:C&lt;=$L$4),ROW(),"-")</f>
        <v>-</v>
      </c>
    </row>
    <row r="18232" customHeight="1" spans="2:2">
      <c r="B18232" s="62" t="str">
        <f>IF(AND('领用录入（明细）'!D:D=$F$4,'领用录入（明细）'!C:C&gt;=$J$4,'领用录入（明细）'!C:C&lt;=$L$4),ROW(),"-")</f>
        <v>-</v>
      </c>
    </row>
    <row r="18233" customHeight="1" spans="2:2">
      <c r="B18233" s="62" t="str">
        <f>IF(AND('领用录入（明细）'!D:D=$F$4,'领用录入（明细）'!C:C&gt;=$J$4,'领用录入（明细）'!C:C&lt;=$L$4),ROW(),"-")</f>
        <v>-</v>
      </c>
    </row>
    <row r="18234" customHeight="1" spans="2:2">
      <c r="B18234" s="62" t="str">
        <f>IF(AND('领用录入（明细）'!D:D=$F$4,'领用录入（明细）'!C:C&gt;=$J$4,'领用录入（明细）'!C:C&lt;=$L$4),ROW(),"-")</f>
        <v>-</v>
      </c>
    </row>
    <row r="18235" customHeight="1" spans="2:2">
      <c r="B18235" s="62" t="str">
        <f>IF(AND('领用录入（明细）'!D:D=$F$4,'领用录入（明细）'!C:C&gt;=$J$4,'领用录入（明细）'!C:C&lt;=$L$4),ROW(),"-")</f>
        <v>-</v>
      </c>
    </row>
    <row r="18236" customHeight="1" spans="2:2">
      <c r="B18236" s="62" t="str">
        <f>IF(AND('领用录入（明细）'!D:D=$F$4,'领用录入（明细）'!C:C&gt;=$J$4,'领用录入（明细）'!C:C&lt;=$L$4),ROW(),"-")</f>
        <v>-</v>
      </c>
    </row>
    <row r="18237" customHeight="1" spans="2:2">
      <c r="B18237" s="62" t="str">
        <f>IF(AND('领用录入（明细）'!D:D=$F$4,'领用录入（明细）'!C:C&gt;=$J$4,'领用录入（明细）'!C:C&lt;=$L$4),ROW(),"-")</f>
        <v>-</v>
      </c>
    </row>
    <row r="18238" customHeight="1" spans="2:2">
      <c r="B18238" s="62" t="str">
        <f>IF(AND('领用录入（明细）'!D:D=$F$4,'领用录入（明细）'!C:C&gt;=$J$4,'领用录入（明细）'!C:C&lt;=$L$4),ROW(),"-")</f>
        <v>-</v>
      </c>
    </row>
    <row r="18239" customHeight="1" spans="2:2">
      <c r="B18239" s="62" t="str">
        <f>IF(AND('领用录入（明细）'!D:D=$F$4,'领用录入（明细）'!C:C&gt;=$J$4,'领用录入（明细）'!C:C&lt;=$L$4),ROW(),"-")</f>
        <v>-</v>
      </c>
    </row>
    <row r="18240" customHeight="1" spans="2:2">
      <c r="B18240" s="62" t="str">
        <f>IF(AND('领用录入（明细）'!D:D=$F$4,'领用录入（明细）'!C:C&gt;=$J$4,'领用录入（明细）'!C:C&lt;=$L$4),ROW(),"-")</f>
        <v>-</v>
      </c>
    </row>
    <row r="18241" customHeight="1" spans="2:2">
      <c r="B18241" s="62" t="str">
        <f>IF(AND('领用录入（明细）'!D:D=$F$4,'领用录入（明细）'!C:C&gt;=$J$4,'领用录入（明细）'!C:C&lt;=$L$4),ROW(),"-")</f>
        <v>-</v>
      </c>
    </row>
    <row r="18242" customHeight="1" spans="2:2">
      <c r="B18242" s="62" t="str">
        <f>IF(AND('领用录入（明细）'!D:D=$F$4,'领用录入（明细）'!C:C&gt;=$J$4,'领用录入（明细）'!C:C&lt;=$L$4),ROW(),"-")</f>
        <v>-</v>
      </c>
    </row>
    <row r="18243" customHeight="1" spans="2:2">
      <c r="B18243" s="62" t="str">
        <f>IF(AND('领用录入（明细）'!D:D=$F$4,'领用录入（明细）'!C:C&gt;=$J$4,'领用录入（明细）'!C:C&lt;=$L$4),ROW(),"-")</f>
        <v>-</v>
      </c>
    </row>
    <row r="18244" customHeight="1" spans="2:2">
      <c r="B18244" s="62" t="str">
        <f>IF(AND('领用录入（明细）'!D:D=$F$4,'领用录入（明细）'!C:C&gt;=$J$4,'领用录入（明细）'!C:C&lt;=$L$4),ROW(),"-")</f>
        <v>-</v>
      </c>
    </row>
    <row r="18245" customHeight="1" spans="2:2">
      <c r="B18245" s="62" t="str">
        <f>IF(AND('领用录入（明细）'!D:D=$F$4,'领用录入（明细）'!C:C&gt;=$J$4,'领用录入（明细）'!C:C&lt;=$L$4),ROW(),"-")</f>
        <v>-</v>
      </c>
    </row>
    <row r="18246" customHeight="1" spans="2:2">
      <c r="B18246" s="62" t="str">
        <f>IF(AND('领用录入（明细）'!D:D=$F$4,'领用录入（明细）'!C:C&gt;=$J$4,'领用录入（明细）'!C:C&lt;=$L$4),ROW(),"-")</f>
        <v>-</v>
      </c>
    </row>
    <row r="18247" customHeight="1" spans="2:2">
      <c r="B18247" s="62" t="str">
        <f>IF(AND('领用录入（明细）'!D:D=$F$4,'领用录入（明细）'!C:C&gt;=$J$4,'领用录入（明细）'!C:C&lt;=$L$4),ROW(),"-")</f>
        <v>-</v>
      </c>
    </row>
    <row r="18248" customHeight="1" spans="2:2">
      <c r="B18248" s="62" t="str">
        <f>IF(AND('领用录入（明细）'!D:D=$F$4,'领用录入（明细）'!C:C&gt;=$J$4,'领用录入（明细）'!C:C&lt;=$L$4),ROW(),"-")</f>
        <v>-</v>
      </c>
    </row>
    <row r="18249" customHeight="1" spans="2:2">
      <c r="B18249" s="62" t="str">
        <f>IF(AND('领用录入（明细）'!D:D=$F$4,'领用录入（明细）'!C:C&gt;=$J$4,'领用录入（明细）'!C:C&lt;=$L$4),ROW(),"-")</f>
        <v>-</v>
      </c>
    </row>
    <row r="18250" customHeight="1" spans="2:2">
      <c r="B18250" s="62" t="str">
        <f>IF(AND('领用录入（明细）'!D:D=$F$4,'领用录入（明细）'!C:C&gt;=$J$4,'领用录入（明细）'!C:C&lt;=$L$4),ROW(),"-")</f>
        <v>-</v>
      </c>
    </row>
    <row r="18251" customHeight="1" spans="2:2">
      <c r="B18251" s="62" t="str">
        <f>IF(AND('领用录入（明细）'!D:D=$F$4,'领用录入（明细）'!C:C&gt;=$J$4,'领用录入（明细）'!C:C&lt;=$L$4),ROW(),"-")</f>
        <v>-</v>
      </c>
    </row>
    <row r="18252" customHeight="1" spans="2:2">
      <c r="B18252" s="62" t="str">
        <f>IF(AND('领用录入（明细）'!D:D=$F$4,'领用录入（明细）'!C:C&gt;=$J$4,'领用录入（明细）'!C:C&lt;=$L$4),ROW(),"-")</f>
        <v>-</v>
      </c>
    </row>
    <row r="18253" customHeight="1" spans="2:2">
      <c r="B18253" s="62" t="str">
        <f>IF(AND('领用录入（明细）'!D:D=$F$4,'领用录入（明细）'!C:C&gt;=$J$4,'领用录入（明细）'!C:C&lt;=$L$4),ROW(),"-")</f>
        <v>-</v>
      </c>
    </row>
    <row r="18254" customHeight="1" spans="2:2">
      <c r="B18254" s="62" t="str">
        <f>IF(AND('领用录入（明细）'!D:D=$F$4,'领用录入（明细）'!C:C&gt;=$J$4,'领用录入（明细）'!C:C&lt;=$L$4),ROW(),"-")</f>
        <v>-</v>
      </c>
    </row>
    <row r="18255" customHeight="1" spans="2:2">
      <c r="B18255" s="62" t="str">
        <f>IF(AND('领用录入（明细）'!D:D=$F$4,'领用录入（明细）'!C:C&gt;=$J$4,'领用录入（明细）'!C:C&lt;=$L$4),ROW(),"-")</f>
        <v>-</v>
      </c>
    </row>
    <row r="18256" customHeight="1" spans="2:2">
      <c r="B18256" s="62" t="str">
        <f>IF(AND('领用录入（明细）'!D:D=$F$4,'领用录入（明细）'!C:C&gt;=$J$4,'领用录入（明细）'!C:C&lt;=$L$4),ROW(),"-")</f>
        <v>-</v>
      </c>
    </row>
    <row r="18257" customHeight="1" spans="2:2">
      <c r="B18257" s="62" t="str">
        <f>IF(AND('领用录入（明细）'!D:D=$F$4,'领用录入（明细）'!C:C&gt;=$J$4,'领用录入（明细）'!C:C&lt;=$L$4),ROW(),"-")</f>
        <v>-</v>
      </c>
    </row>
    <row r="18258" customHeight="1" spans="2:2">
      <c r="B18258" s="62" t="str">
        <f>IF(AND('领用录入（明细）'!D:D=$F$4,'领用录入（明细）'!C:C&gt;=$J$4,'领用录入（明细）'!C:C&lt;=$L$4),ROW(),"-")</f>
        <v>-</v>
      </c>
    </row>
    <row r="18259" customHeight="1" spans="2:2">
      <c r="B18259" s="62" t="str">
        <f>IF(AND('领用录入（明细）'!D:D=$F$4,'领用录入（明细）'!C:C&gt;=$J$4,'领用录入（明细）'!C:C&lt;=$L$4),ROW(),"-")</f>
        <v>-</v>
      </c>
    </row>
    <row r="18260" customHeight="1" spans="2:2">
      <c r="B18260" s="62" t="str">
        <f>IF(AND('领用录入（明细）'!D:D=$F$4,'领用录入（明细）'!C:C&gt;=$J$4,'领用录入（明细）'!C:C&lt;=$L$4),ROW(),"-")</f>
        <v>-</v>
      </c>
    </row>
    <row r="18261" customHeight="1" spans="2:2">
      <c r="B18261" s="62" t="str">
        <f>IF(AND('领用录入（明细）'!D:D=$F$4,'领用录入（明细）'!C:C&gt;=$J$4,'领用录入（明细）'!C:C&lt;=$L$4),ROW(),"-")</f>
        <v>-</v>
      </c>
    </row>
    <row r="18262" customHeight="1" spans="2:2">
      <c r="B18262" s="62" t="str">
        <f>IF(AND('领用录入（明细）'!D:D=$F$4,'领用录入（明细）'!C:C&gt;=$J$4,'领用录入（明细）'!C:C&lt;=$L$4),ROW(),"-")</f>
        <v>-</v>
      </c>
    </row>
    <row r="18263" customHeight="1" spans="2:2">
      <c r="B18263" s="62" t="str">
        <f>IF(AND('领用录入（明细）'!D:D=$F$4,'领用录入（明细）'!C:C&gt;=$J$4,'领用录入（明细）'!C:C&lt;=$L$4),ROW(),"-")</f>
        <v>-</v>
      </c>
    </row>
    <row r="18264" customHeight="1" spans="2:2">
      <c r="B18264" s="62" t="str">
        <f>IF(AND('领用录入（明细）'!D:D=$F$4,'领用录入（明细）'!C:C&gt;=$J$4,'领用录入（明细）'!C:C&lt;=$L$4),ROW(),"-")</f>
        <v>-</v>
      </c>
    </row>
    <row r="18265" customHeight="1" spans="2:2">
      <c r="B18265" s="62" t="str">
        <f>IF(AND('领用录入（明细）'!D:D=$F$4,'领用录入（明细）'!C:C&gt;=$J$4,'领用录入（明细）'!C:C&lt;=$L$4),ROW(),"-")</f>
        <v>-</v>
      </c>
    </row>
    <row r="18266" customHeight="1" spans="2:2">
      <c r="B18266" s="62" t="str">
        <f>IF(AND('领用录入（明细）'!D:D=$F$4,'领用录入（明细）'!C:C&gt;=$J$4,'领用录入（明细）'!C:C&lt;=$L$4),ROW(),"-")</f>
        <v>-</v>
      </c>
    </row>
    <row r="18267" customHeight="1" spans="2:2">
      <c r="B18267" s="62" t="str">
        <f>IF(AND('领用录入（明细）'!D:D=$F$4,'领用录入（明细）'!C:C&gt;=$J$4,'领用录入（明细）'!C:C&lt;=$L$4),ROW(),"-")</f>
        <v>-</v>
      </c>
    </row>
    <row r="18268" customHeight="1" spans="2:2">
      <c r="B18268" s="62" t="str">
        <f>IF(AND('领用录入（明细）'!D:D=$F$4,'领用录入（明细）'!C:C&gt;=$J$4,'领用录入（明细）'!C:C&lt;=$L$4),ROW(),"-")</f>
        <v>-</v>
      </c>
    </row>
    <row r="18269" customHeight="1" spans="2:2">
      <c r="B18269" s="62" t="str">
        <f>IF(AND('领用录入（明细）'!D:D=$F$4,'领用录入（明细）'!C:C&gt;=$J$4,'领用录入（明细）'!C:C&lt;=$L$4),ROW(),"-")</f>
        <v>-</v>
      </c>
    </row>
    <row r="18270" customHeight="1" spans="2:2">
      <c r="B18270" s="62" t="str">
        <f>IF(AND('领用录入（明细）'!D:D=$F$4,'领用录入（明细）'!C:C&gt;=$J$4,'领用录入（明细）'!C:C&lt;=$L$4),ROW(),"-")</f>
        <v>-</v>
      </c>
    </row>
    <row r="18271" customHeight="1" spans="2:2">
      <c r="B18271" s="62" t="str">
        <f>IF(AND('领用录入（明细）'!D:D=$F$4,'领用录入（明细）'!C:C&gt;=$J$4,'领用录入（明细）'!C:C&lt;=$L$4),ROW(),"-")</f>
        <v>-</v>
      </c>
    </row>
    <row r="18272" customHeight="1" spans="2:2">
      <c r="B18272" s="62" t="str">
        <f>IF(AND('领用录入（明细）'!D:D=$F$4,'领用录入（明细）'!C:C&gt;=$J$4,'领用录入（明细）'!C:C&lt;=$L$4),ROW(),"-")</f>
        <v>-</v>
      </c>
    </row>
    <row r="18273" customHeight="1" spans="2:2">
      <c r="B18273" s="62" t="str">
        <f>IF(AND('领用录入（明细）'!D:D=$F$4,'领用录入（明细）'!C:C&gt;=$J$4,'领用录入（明细）'!C:C&lt;=$L$4),ROW(),"-")</f>
        <v>-</v>
      </c>
    </row>
    <row r="18274" customHeight="1" spans="2:2">
      <c r="B18274" s="62" t="str">
        <f>IF(AND('领用录入（明细）'!D:D=$F$4,'领用录入（明细）'!C:C&gt;=$J$4,'领用录入（明细）'!C:C&lt;=$L$4),ROW(),"-")</f>
        <v>-</v>
      </c>
    </row>
    <row r="18275" customHeight="1" spans="2:2">
      <c r="B18275" s="62" t="str">
        <f>IF(AND('领用录入（明细）'!D:D=$F$4,'领用录入（明细）'!C:C&gt;=$J$4,'领用录入（明细）'!C:C&lt;=$L$4),ROW(),"-")</f>
        <v>-</v>
      </c>
    </row>
    <row r="18276" customHeight="1" spans="2:2">
      <c r="B18276" s="62" t="str">
        <f>IF(AND('领用录入（明细）'!D:D=$F$4,'领用录入（明细）'!C:C&gt;=$J$4,'领用录入（明细）'!C:C&lt;=$L$4),ROW(),"-")</f>
        <v>-</v>
      </c>
    </row>
    <row r="18277" customHeight="1" spans="2:2">
      <c r="B18277" s="62" t="str">
        <f>IF(AND('领用录入（明细）'!D:D=$F$4,'领用录入（明细）'!C:C&gt;=$J$4,'领用录入（明细）'!C:C&lt;=$L$4),ROW(),"-")</f>
        <v>-</v>
      </c>
    </row>
    <row r="18278" customHeight="1" spans="2:2">
      <c r="B18278" s="62" t="str">
        <f>IF(AND('领用录入（明细）'!D:D=$F$4,'领用录入（明细）'!C:C&gt;=$J$4,'领用录入（明细）'!C:C&lt;=$L$4),ROW(),"-")</f>
        <v>-</v>
      </c>
    </row>
    <row r="18279" customHeight="1" spans="2:2">
      <c r="B18279" s="62" t="str">
        <f>IF(AND('领用录入（明细）'!D:D=$F$4,'领用录入（明细）'!C:C&gt;=$J$4,'领用录入（明细）'!C:C&lt;=$L$4),ROW(),"-")</f>
        <v>-</v>
      </c>
    </row>
    <row r="18280" customHeight="1" spans="2:2">
      <c r="B18280" s="62" t="str">
        <f>IF(AND('领用录入（明细）'!D:D=$F$4,'领用录入（明细）'!C:C&gt;=$J$4,'领用录入（明细）'!C:C&lt;=$L$4),ROW(),"-")</f>
        <v>-</v>
      </c>
    </row>
    <row r="18281" customHeight="1" spans="2:2">
      <c r="B18281" s="62" t="str">
        <f>IF(AND('领用录入（明细）'!D:D=$F$4,'领用录入（明细）'!C:C&gt;=$J$4,'领用录入（明细）'!C:C&lt;=$L$4),ROW(),"-")</f>
        <v>-</v>
      </c>
    </row>
    <row r="18282" customHeight="1" spans="2:2">
      <c r="B18282" s="62" t="str">
        <f>IF(AND('领用录入（明细）'!D:D=$F$4,'领用录入（明细）'!C:C&gt;=$J$4,'领用录入（明细）'!C:C&lt;=$L$4),ROW(),"-")</f>
        <v>-</v>
      </c>
    </row>
    <row r="18283" customHeight="1" spans="2:2">
      <c r="B18283" s="62" t="str">
        <f>IF(AND('领用录入（明细）'!D:D=$F$4,'领用录入（明细）'!C:C&gt;=$J$4,'领用录入（明细）'!C:C&lt;=$L$4),ROW(),"-")</f>
        <v>-</v>
      </c>
    </row>
    <row r="18284" customHeight="1" spans="2:2">
      <c r="B18284" s="62" t="str">
        <f>IF(AND('领用录入（明细）'!D:D=$F$4,'领用录入（明细）'!C:C&gt;=$J$4,'领用录入（明细）'!C:C&lt;=$L$4),ROW(),"-")</f>
        <v>-</v>
      </c>
    </row>
    <row r="18285" customHeight="1" spans="2:2">
      <c r="B18285" s="62" t="str">
        <f>IF(AND('领用录入（明细）'!D:D=$F$4,'领用录入（明细）'!C:C&gt;=$J$4,'领用录入（明细）'!C:C&lt;=$L$4),ROW(),"-")</f>
        <v>-</v>
      </c>
    </row>
    <row r="18286" customHeight="1" spans="2:2">
      <c r="B18286" s="62" t="str">
        <f>IF(AND('领用录入（明细）'!D:D=$F$4,'领用录入（明细）'!C:C&gt;=$J$4,'领用录入（明细）'!C:C&lt;=$L$4),ROW(),"-")</f>
        <v>-</v>
      </c>
    </row>
    <row r="18287" customHeight="1" spans="2:2">
      <c r="B18287" s="62" t="str">
        <f>IF(AND('领用录入（明细）'!D:D=$F$4,'领用录入（明细）'!C:C&gt;=$J$4,'领用录入（明细）'!C:C&lt;=$L$4),ROW(),"-")</f>
        <v>-</v>
      </c>
    </row>
    <row r="18288" customHeight="1" spans="2:2">
      <c r="B18288" s="62" t="str">
        <f>IF(AND('领用录入（明细）'!D:D=$F$4,'领用录入（明细）'!C:C&gt;=$J$4,'领用录入（明细）'!C:C&lt;=$L$4),ROW(),"-")</f>
        <v>-</v>
      </c>
    </row>
    <row r="18289" customHeight="1" spans="2:2">
      <c r="B18289" s="62" t="str">
        <f>IF(AND('领用录入（明细）'!D:D=$F$4,'领用录入（明细）'!C:C&gt;=$J$4,'领用录入（明细）'!C:C&lt;=$L$4),ROW(),"-")</f>
        <v>-</v>
      </c>
    </row>
    <row r="18290" customHeight="1" spans="2:2">
      <c r="B18290" s="62" t="str">
        <f>IF(AND('领用录入（明细）'!D:D=$F$4,'领用录入（明细）'!C:C&gt;=$J$4,'领用录入（明细）'!C:C&lt;=$L$4),ROW(),"-")</f>
        <v>-</v>
      </c>
    </row>
    <row r="18291" customHeight="1" spans="2:2">
      <c r="B18291" s="62" t="str">
        <f>IF(AND('领用录入（明细）'!D:D=$F$4,'领用录入（明细）'!C:C&gt;=$J$4,'领用录入（明细）'!C:C&lt;=$L$4),ROW(),"-")</f>
        <v>-</v>
      </c>
    </row>
    <row r="18292" customHeight="1" spans="2:2">
      <c r="B18292" s="62" t="str">
        <f>IF(AND('领用录入（明细）'!D:D=$F$4,'领用录入（明细）'!C:C&gt;=$J$4,'领用录入（明细）'!C:C&lt;=$L$4),ROW(),"-")</f>
        <v>-</v>
      </c>
    </row>
    <row r="18293" customHeight="1" spans="2:2">
      <c r="B18293" s="62" t="str">
        <f>IF(AND('领用录入（明细）'!D:D=$F$4,'领用录入（明细）'!C:C&gt;=$J$4,'领用录入（明细）'!C:C&lt;=$L$4),ROW(),"-")</f>
        <v>-</v>
      </c>
    </row>
    <row r="18294" customHeight="1" spans="2:2">
      <c r="B18294" s="62" t="str">
        <f>IF(AND('领用录入（明细）'!D:D=$F$4,'领用录入（明细）'!C:C&gt;=$J$4,'领用录入（明细）'!C:C&lt;=$L$4),ROW(),"-")</f>
        <v>-</v>
      </c>
    </row>
    <row r="18295" customHeight="1" spans="2:2">
      <c r="B18295" s="62" t="str">
        <f>IF(AND('领用录入（明细）'!D:D=$F$4,'领用录入（明细）'!C:C&gt;=$J$4,'领用录入（明细）'!C:C&lt;=$L$4),ROW(),"-")</f>
        <v>-</v>
      </c>
    </row>
    <row r="18296" customHeight="1" spans="2:2">
      <c r="B18296" s="62" t="str">
        <f>IF(AND('领用录入（明细）'!D:D=$F$4,'领用录入（明细）'!C:C&gt;=$J$4,'领用录入（明细）'!C:C&lt;=$L$4),ROW(),"-")</f>
        <v>-</v>
      </c>
    </row>
    <row r="18297" customHeight="1" spans="2:2">
      <c r="B18297" s="62" t="str">
        <f>IF(AND('领用录入（明细）'!D:D=$F$4,'领用录入（明细）'!C:C&gt;=$J$4,'领用录入（明细）'!C:C&lt;=$L$4),ROW(),"-")</f>
        <v>-</v>
      </c>
    </row>
    <row r="18298" customHeight="1" spans="2:2">
      <c r="B18298" s="62" t="str">
        <f>IF(AND('领用录入（明细）'!D:D=$F$4,'领用录入（明细）'!C:C&gt;=$J$4,'领用录入（明细）'!C:C&lt;=$L$4),ROW(),"-")</f>
        <v>-</v>
      </c>
    </row>
    <row r="18299" customHeight="1" spans="2:2">
      <c r="B18299" s="62" t="str">
        <f>IF(AND('领用录入（明细）'!D:D=$F$4,'领用录入（明细）'!C:C&gt;=$J$4,'领用录入（明细）'!C:C&lt;=$L$4),ROW(),"-")</f>
        <v>-</v>
      </c>
    </row>
    <row r="18300" customHeight="1" spans="2:2">
      <c r="B18300" s="62" t="str">
        <f>IF(AND('领用录入（明细）'!D:D=$F$4,'领用录入（明细）'!C:C&gt;=$J$4,'领用录入（明细）'!C:C&lt;=$L$4),ROW(),"-")</f>
        <v>-</v>
      </c>
    </row>
    <row r="18301" customHeight="1" spans="2:2">
      <c r="B18301" s="62" t="str">
        <f>IF(AND('领用录入（明细）'!D:D=$F$4,'领用录入（明细）'!C:C&gt;=$J$4,'领用录入（明细）'!C:C&lt;=$L$4),ROW(),"-")</f>
        <v>-</v>
      </c>
    </row>
    <row r="18302" customHeight="1" spans="2:2">
      <c r="B18302" s="62" t="str">
        <f>IF(AND('领用录入（明细）'!D:D=$F$4,'领用录入（明细）'!C:C&gt;=$J$4,'领用录入（明细）'!C:C&lt;=$L$4),ROW(),"-")</f>
        <v>-</v>
      </c>
    </row>
    <row r="18303" customHeight="1" spans="2:2">
      <c r="B18303" s="62" t="str">
        <f>IF(AND('领用录入（明细）'!D:D=$F$4,'领用录入（明细）'!C:C&gt;=$J$4,'领用录入（明细）'!C:C&lt;=$L$4),ROW(),"-")</f>
        <v>-</v>
      </c>
    </row>
    <row r="18304" customHeight="1" spans="2:2">
      <c r="B18304" s="62" t="str">
        <f>IF(AND('领用录入（明细）'!D:D=$F$4,'领用录入（明细）'!C:C&gt;=$J$4,'领用录入（明细）'!C:C&lt;=$L$4),ROW(),"-")</f>
        <v>-</v>
      </c>
    </row>
    <row r="18305" customHeight="1" spans="2:2">
      <c r="B18305" s="62" t="str">
        <f>IF(AND('领用录入（明细）'!D:D=$F$4,'领用录入（明细）'!C:C&gt;=$J$4,'领用录入（明细）'!C:C&lt;=$L$4),ROW(),"-")</f>
        <v>-</v>
      </c>
    </row>
    <row r="18306" customHeight="1" spans="2:2">
      <c r="B18306" s="62" t="str">
        <f>IF(AND('领用录入（明细）'!D:D=$F$4,'领用录入（明细）'!C:C&gt;=$J$4,'领用录入（明细）'!C:C&lt;=$L$4),ROW(),"-")</f>
        <v>-</v>
      </c>
    </row>
    <row r="18307" customHeight="1" spans="2:2">
      <c r="B18307" s="62" t="str">
        <f>IF(AND('领用录入（明细）'!D:D=$F$4,'领用录入（明细）'!C:C&gt;=$J$4,'领用录入（明细）'!C:C&lt;=$L$4),ROW(),"-")</f>
        <v>-</v>
      </c>
    </row>
    <row r="18308" customHeight="1" spans="2:2">
      <c r="B18308" s="62" t="str">
        <f>IF(AND('领用录入（明细）'!D:D=$F$4,'领用录入（明细）'!C:C&gt;=$J$4,'领用录入（明细）'!C:C&lt;=$L$4),ROW(),"-")</f>
        <v>-</v>
      </c>
    </row>
    <row r="18309" customHeight="1" spans="2:2">
      <c r="B18309" s="62" t="str">
        <f>IF(AND('领用录入（明细）'!D:D=$F$4,'领用录入（明细）'!C:C&gt;=$J$4,'领用录入（明细）'!C:C&lt;=$L$4),ROW(),"-")</f>
        <v>-</v>
      </c>
    </row>
    <row r="18310" customHeight="1" spans="2:2">
      <c r="B18310" s="62" t="str">
        <f>IF(AND('领用录入（明细）'!D:D=$F$4,'领用录入（明细）'!C:C&gt;=$J$4,'领用录入（明细）'!C:C&lt;=$L$4),ROW(),"-")</f>
        <v>-</v>
      </c>
    </row>
    <row r="18311" customHeight="1" spans="2:2">
      <c r="B18311" s="62" t="str">
        <f>IF(AND('领用录入（明细）'!D:D=$F$4,'领用录入（明细）'!C:C&gt;=$J$4,'领用录入（明细）'!C:C&lt;=$L$4),ROW(),"-")</f>
        <v>-</v>
      </c>
    </row>
    <row r="18312" customHeight="1" spans="2:2">
      <c r="B18312" s="62" t="str">
        <f>IF(AND('领用录入（明细）'!D:D=$F$4,'领用录入（明细）'!C:C&gt;=$J$4,'领用录入（明细）'!C:C&lt;=$L$4),ROW(),"-")</f>
        <v>-</v>
      </c>
    </row>
    <row r="18313" customHeight="1" spans="2:2">
      <c r="B18313" s="62" t="str">
        <f>IF(AND('领用录入（明细）'!D:D=$F$4,'领用录入（明细）'!C:C&gt;=$J$4,'领用录入（明细）'!C:C&lt;=$L$4),ROW(),"-")</f>
        <v>-</v>
      </c>
    </row>
    <row r="18314" customHeight="1" spans="2:2">
      <c r="B18314" s="62" t="str">
        <f>IF(AND('领用录入（明细）'!D:D=$F$4,'领用录入（明细）'!C:C&gt;=$J$4,'领用录入（明细）'!C:C&lt;=$L$4),ROW(),"-")</f>
        <v>-</v>
      </c>
    </row>
    <row r="18315" customHeight="1" spans="2:2">
      <c r="B18315" s="62" t="str">
        <f>IF(AND('领用录入（明细）'!D:D=$F$4,'领用录入（明细）'!C:C&gt;=$J$4,'领用录入（明细）'!C:C&lt;=$L$4),ROW(),"-")</f>
        <v>-</v>
      </c>
    </row>
    <row r="18316" customHeight="1" spans="2:2">
      <c r="B18316" s="62" t="str">
        <f>IF(AND('领用录入（明细）'!D:D=$F$4,'领用录入（明细）'!C:C&gt;=$J$4,'领用录入（明细）'!C:C&lt;=$L$4),ROW(),"-")</f>
        <v>-</v>
      </c>
    </row>
    <row r="18317" customHeight="1" spans="2:2">
      <c r="B18317" s="62" t="str">
        <f>IF(AND('领用录入（明细）'!D:D=$F$4,'领用录入（明细）'!C:C&gt;=$J$4,'领用录入（明细）'!C:C&lt;=$L$4),ROW(),"-")</f>
        <v>-</v>
      </c>
    </row>
    <row r="18318" customHeight="1" spans="2:2">
      <c r="B18318" s="62" t="str">
        <f>IF(AND('领用录入（明细）'!D:D=$F$4,'领用录入（明细）'!C:C&gt;=$J$4,'领用录入（明细）'!C:C&lt;=$L$4),ROW(),"-")</f>
        <v>-</v>
      </c>
    </row>
    <row r="18319" customHeight="1" spans="2:2">
      <c r="B18319" s="62" t="str">
        <f>IF(AND('领用录入（明细）'!D:D=$F$4,'领用录入（明细）'!C:C&gt;=$J$4,'领用录入（明细）'!C:C&lt;=$L$4),ROW(),"-")</f>
        <v>-</v>
      </c>
    </row>
    <row r="18320" customHeight="1" spans="2:2">
      <c r="B18320" s="62" t="str">
        <f>IF(AND('领用录入（明细）'!D:D=$F$4,'领用录入（明细）'!C:C&gt;=$J$4,'领用录入（明细）'!C:C&lt;=$L$4),ROW(),"-")</f>
        <v>-</v>
      </c>
    </row>
    <row r="18321" customHeight="1" spans="2:2">
      <c r="B18321" s="62" t="str">
        <f>IF(AND('领用录入（明细）'!D:D=$F$4,'领用录入（明细）'!C:C&gt;=$J$4,'领用录入（明细）'!C:C&lt;=$L$4),ROW(),"-")</f>
        <v>-</v>
      </c>
    </row>
    <row r="18322" customHeight="1" spans="2:2">
      <c r="B18322" s="62" t="str">
        <f>IF(AND('领用录入（明细）'!D:D=$F$4,'领用录入（明细）'!C:C&gt;=$J$4,'领用录入（明细）'!C:C&lt;=$L$4),ROW(),"-")</f>
        <v>-</v>
      </c>
    </row>
    <row r="18323" customHeight="1" spans="2:2">
      <c r="B18323" s="62" t="str">
        <f>IF(AND('领用录入（明细）'!D:D=$F$4,'领用录入（明细）'!C:C&gt;=$J$4,'领用录入（明细）'!C:C&lt;=$L$4),ROW(),"-")</f>
        <v>-</v>
      </c>
    </row>
    <row r="18324" customHeight="1" spans="2:2">
      <c r="B18324" s="62" t="str">
        <f>IF(AND('领用录入（明细）'!D:D=$F$4,'领用录入（明细）'!C:C&gt;=$J$4,'领用录入（明细）'!C:C&lt;=$L$4),ROW(),"-")</f>
        <v>-</v>
      </c>
    </row>
    <row r="18325" customHeight="1" spans="2:2">
      <c r="B18325" s="62" t="str">
        <f>IF(AND('领用录入（明细）'!D:D=$F$4,'领用录入（明细）'!C:C&gt;=$J$4,'领用录入（明细）'!C:C&lt;=$L$4),ROW(),"-")</f>
        <v>-</v>
      </c>
    </row>
    <row r="18326" customHeight="1" spans="2:2">
      <c r="B18326" s="62" t="str">
        <f>IF(AND('领用录入（明细）'!D:D=$F$4,'领用录入（明细）'!C:C&gt;=$J$4,'领用录入（明细）'!C:C&lt;=$L$4),ROW(),"-")</f>
        <v>-</v>
      </c>
    </row>
    <row r="18327" customHeight="1" spans="2:2">
      <c r="B18327" s="62" t="str">
        <f>IF(AND('领用录入（明细）'!D:D=$F$4,'领用录入（明细）'!C:C&gt;=$J$4,'领用录入（明细）'!C:C&lt;=$L$4),ROW(),"-")</f>
        <v>-</v>
      </c>
    </row>
    <row r="18328" customHeight="1" spans="2:2">
      <c r="B18328" s="62" t="str">
        <f>IF(AND('领用录入（明细）'!D:D=$F$4,'领用录入（明细）'!C:C&gt;=$J$4,'领用录入（明细）'!C:C&lt;=$L$4),ROW(),"-")</f>
        <v>-</v>
      </c>
    </row>
    <row r="18329" customHeight="1" spans="2:2">
      <c r="B18329" s="62" t="str">
        <f>IF(AND('领用录入（明细）'!D:D=$F$4,'领用录入（明细）'!C:C&gt;=$J$4,'领用录入（明细）'!C:C&lt;=$L$4),ROW(),"-")</f>
        <v>-</v>
      </c>
    </row>
    <row r="18330" customHeight="1" spans="2:2">
      <c r="B18330" s="62" t="str">
        <f>IF(AND('领用录入（明细）'!D:D=$F$4,'领用录入（明细）'!C:C&gt;=$J$4,'领用录入（明细）'!C:C&lt;=$L$4),ROW(),"-")</f>
        <v>-</v>
      </c>
    </row>
    <row r="18331" customHeight="1" spans="2:2">
      <c r="B18331" s="62" t="str">
        <f>IF(AND('领用录入（明细）'!D:D=$F$4,'领用录入（明细）'!C:C&gt;=$J$4,'领用录入（明细）'!C:C&lt;=$L$4),ROW(),"-")</f>
        <v>-</v>
      </c>
    </row>
    <row r="18332" customHeight="1" spans="2:2">
      <c r="B18332" s="62" t="str">
        <f>IF(AND('领用录入（明细）'!D:D=$F$4,'领用录入（明细）'!C:C&gt;=$J$4,'领用录入（明细）'!C:C&lt;=$L$4),ROW(),"-")</f>
        <v>-</v>
      </c>
    </row>
    <row r="18333" customHeight="1" spans="2:2">
      <c r="B18333" s="62" t="str">
        <f>IF(AND('领用录入（明细）'!D:D=$F$4,'领用录入（明细）'!C:C&gt;=$J$4,'领用录入（明细）'!C:C&lt;=$L$4),ROW(),"-")</f>
        <v>-</v>
      </c>
    </row>
    <row r="18334" customHeight="1" spans="2:2">
      <c r="B18334" s="62" t="str">
        <f>IF(AND('领用录入（明细）'!D:D=$F$4,'领用录入（明细）'!C:C&gt;=$J$4,'领用录入（明细）'!C:C&lt;=$L$4),ROW(),"-")</f>
        <v>-</v>
      </c>
    </row>
    <row r="18335" customHeight="1" spans="2:2">
      <c r="B18335" s="62" t="str">
        <f>IF(AND('领用录入（明细）'!D:D=$F$4,'领用录入（明细）'!C:C&gt;=$J$4,'领用录入（明细）'!C:C&lt;=$L$4),ROW(),"-")</f>
        <v>-</v>
      </c>
    </row>
    <row r="18336" customHeight="1" spans="2:2">
      <c r="B18336" s="62" t="str">
        <f>IF(AND('领用录入（明细）'!D:D=$F$4,'领用录入（明细）'!C:C&gt;=$J$4,'领用录入（明细）'!C:C&lt;=$L$4),ROW(),"-")</f>
        <v>-</v>
      </c>
    </row>
    <row r="18337" customHeight="1" spans="2:2">
      <c r="B18337" s="62" t="str">
        <f>IF(AND('领用录入（明细）'!D:D=$F$4,'领用录入（明细）'!C:C&gt;=$J$4,'领用录入（明细）'!C:C&lt;=$L$4),ROW(),"-")</f>
        <v>-</v>
      </c>
    </row>
    <row r="18338" customHeight="1" spans="2:2">
      <c r="B18338" s="62" t="str">
        <f>IF(AND('领用录入（明细）'!D:D=$F$4,'领用录入（明细）'!C:C&gt;=$J$4,'领用录入（明细）'!C:C&lt;=$L$4),ROW(),"-")</f>
        <v>-</v>
      </c>
    </row>
    <row r="18339" customHeight="1" spans="2:2">
      <c r="B18339" s="62" t="str">
        <f>IF(AND('领用录入（明细）'!D:D=$F$4,'领用录入（明细）'!C:C&gt;=$J$4,'领用录入（明细）'!C:C&lt;=$L$4),ROW(),"-")</f>
        <v>-</v>
      </c>
    </row>
    <row r="18340" customHeight="1" spans="2:2">
      <c r="B18340" s="62" t="str">
        <f>IF(AND('领用录入（明细）'!D:D=$F$4,'领用录入（明细）'!C:C&gt;=$J$4,'领用录入（明细）'!C:C&lt;=$L$4),ROW(),"-")</f>
        <v>-</v>
      </c>
    </row>
    <row r="18341" customHeight="1" spans="2:2">
      <c r="B18341" s="62" t="str">
        <f>IF(AND('领用录入（明细）'!D:D=$F$4,'领用录入（明细）'!C:C&gt;=$J$4,'领用录入（明细）'!C:C&lt;=$L$4),ROW(),"-")</f>
        <v>-</v>
      </c>
    </row>
    <row r="18342" customHeight="1" spans="2:2">
      <c r="B18342" s="62" t="str">
        <f>IF(AND('领用录入（明细）'!D:D=$F$4,'领用录入（明细）'!C:C&gt;=$J$4,'领用录入（明细）'!C:C&lt;=$L$4),ROW(),"-")</f>
        <v>-</v>
      </c>
    </row>
    <row r="18343" customHeight="1" spans="2:2">
      <c r="B18343" s="62" t="str">
        <f>IF(AND('领用录入（明细）'!D:D=$F$4,'领用录入（明细）'!C:C&gt;=$J$4,'领用录入（明细）'!C:C&lt;=$L$4),ROW(),"-")</f>
        <v>-</v>
      </c>
    </row>
    <row r="18344" customHeight="1" spans="2:2">
      <c r="B18344" s="62" t="str">
        <f>IF(AND('领用录入（明细）'!D:D=$F$4,'领用录入（明细）'!C:C&gt;=$J$4,'领用录入（明细）'!C:C&lt;=$L$4),ROW(),"-")</f>
        <v>-</v>
      </c>
    </row>
    <row r="18345" customHeight="1" spans="2:2">
      <c r="B18345" s="62" t="str">
        <f>IF(AND('领用录入（明细）'!D:D=$F$4,'领用录入（明细）'!C:C&gt;=$J$4,'领用录入（明细）'!C:C&lt;=$L$4),ROW(),"-")</f>
        <v>-</v>
      </c>
    </row>
    <row r="18346" customHeight="1" spans="2:2">
      <c r="B18346" s="62" t="str">
        <f>IF(AND('领用录入（明细）'!D:D=$F$4,'领用录入（明细）'!C:C&gt;=$J$4,'领用录入（明细）'!C:C&lt;=$L$4),ROW(),"-")</f>
        <v>-</v>
      </c>
    </row>
    <row r="18347" customHeight="1" spans="2:2">
      <c r="B18347" s="62" t="str">
        <f>IF(AND('领用录入（明细）'!D:D=$F$4,'领用录入（明细）'!C:C&gt;=$J$4,'领用录入（明细）'!C:C&lt;=$L$4),ROW(),"-")</f>
        <v>-</v>
      </c>
    </row>
    <row r="18348" customHeight="1" spans="2:2">
      <c r="B18348" s="62" t="str">
        <f>IF(AND('领用录入（明细）'!D:D=$F$4,'领用录入（明细）'!C:C&gt;=$J$4,'领用录入（明细）'!C:C&lt;=$L$4),ROW(),"-")</f>
        <v>-</v>
      </c>
    </row>
    <row r="18349" customHeight="1" spans="2:2">
      <c r="B18349" s="62" t="str">
        <f>IF(AND('领用录入（明细）'!D:D=$F$4,'领用录入（明细）'!C:C&gt;=$J$4,'领用录入（明细）'!C:C&lt;=$L$4),ROW(),"-")</f>
        <v>-</v>
      </c>
    </row>
    <row r="18350" customHeight="1" spans="2:2">
      <c r="B18350" s="62" t="str">
        <f>IF(AND('领用录入（明细）'!D:D=$F$4,'领用录入（明细）'!C:C&gt;=$J$4,'领用录入（明细）'!C:C&lt;=$L$4),ROW(),"-")</f>
        <v>-</v>
      </c>
    </row>
    <row r="18351" customHeight="1" spans="2:2">
      <c r="B18351" s="62" t="str">
        <f>IF(AND('领用录入（明细）'!D:D=$F$4,'领用录入（明细）'!C:C&gt;=$J$4,'领用录入（明细）'!C:C&lt;=$L$4),ROW(),"-")</f>
        <v>-</v>
      </c>
    </row>
    <row r="18352" customHeight="1" spans="2:2">
      <c r="B18352" s="62" t="str">
        <f>IF(AND('领用录入（明细）'!D:D=$F$4,'领用录入（明细）'!C:C&gt;=$J$4,'领用录入（明细）'!C:C&lt;=$L$4),ROW(),"-")</f>
        <v>-</v>
      </c>
    </row>
    <row r="18353" customHeight="1" spans="2:2">
      <c r="B18353" s="62" t="str">
        <f>IF(AND('领用录入（明细）'!D:D=$F$4,'领用录入（明细）'!C:C&gt;=$J$4,'领用录入（明细）'!C:C&lt;=$L$4),ROW(),"-")</f>
        <v>-</v>
      </c>
    </row>
    <row r="18354" customHeight="1" spans="2:2">
      <c r="B18354" s="62" t="str">
        <f>IF(AND('领用录入（明细）'!D:D=$F$4,'领用录入（明细）'!C:C&gt;=$J$4,'领用录入（明细）'!C:C&lt;=$L$4),ROW(),"-")</f>
        <v>-</v>
      </c>
    </row>
    <row r="18355" customHeight="1" spans="2:2">
      <c r="B18355" s="62" t="str">
        <f>IF(AND('领用录入（明细）'!D:D=$F$4,'领用录入（明细）'!C:C&gt;=$J$4,'领用录入（明细）'!C:C&lt;=$L$4),ROW(),"-")</f>
        <v>-</v>
      </c>
    </row>
    <row r="18356" customHeight="1" spans="2:2">
      <c r="B18356" s="62" t="str">
        <f>IF(AND('领用录入（明细）'!D:D=$F$4,'领用录入（明细）'!C:C&gt;=$J$4,'领用录入（明细）'!C:C&lt;=$L$4),ROW(),"-")</f>
        <v>-</v>
      </c>
    </row>
    <row r="18357" customHeight="1" spans="2:2">
      <c r="B18357" s="62" t="str">
        <f>IF(AND('领用录入（明细）'!D:D=$F$4,'领用录入（明细）'!C:C&gt;=$J$4,'领用录入（明细）'!C:C&lt;=$L$4),ROW(),"-")</f>
        <v>-</v>
      </c>
    </row>
    <row r="18358" customHeight="1" spans="2:2">
      <c r="B18358" s="62" t="str">
        <f>IF(AND('领用录入（明细）'!D:D=$F$4,'领用录入（明细）'!C:C&gt;=$J$4,'领用录入（明细）'!C:C&lt;=$L$4),ROW(),"-")</f>
        <v>-</v>
      </c>
    </row>
    <row r="18359" customHeight="1" spans="2:2">
      <c r="B18359" s="62" t="str">
        <f>IF(AND('领用录入（明细）'!D:D=$F$4,'领用录入（明细）'!C:C&gt;=$J$4,'领用录入（明细）'!C:C&lt;=$L$4),ROW(),"-")</f>
        <v>-</v>
      </c>
    </row>
    <row r="18360" customHeight="1" spans="2:2">
      <c r="B18360" s="62" t="str">
        <f>IF(AND('领用录入（明细）'!D:D=$F$4,'领用录入（明细）'!C:C&gt;=$J$4,'领用录入（明细）'!C:C&lt;=$L$4),ROW(),"-")</f>
        <v>-</v>
      </c>
    </row>
    <row r="18361" customHeight="1" spans="2:2">
      <c r="B18361" s="62" t="str">
        <f>IF(AND('领用录入（明细）'!D:D=$F$4,'领用录入（明细）'!C:C&gt;=$J$4,'领用录入（明细）'!C:C&lt;=$L$4),ROW(),"-")</f>
        <v>-</v>
      </c>
    </row>
    <row r="18362" customHeight="1" spans="2:2">
      <c r="B18362" s="62" t="str">
        <f>IF(AND('领用录入（明细）'!D:D=$F$4,'领用录入（明细）'!C:C&gt;=$J$4,'领用录入（明细）'!C:C&lt;=$L$4),ROW(),"-")</f>
        <v>-</v>
      </c>
    </row>
    <row r="18363" customHeight="1" spans="2:2">
      <c r="B18363" s="62" t="str">
        <f>IF(AND('领用录入（明细）'!D:D=$F$4,'领用录入（明细）'!C:C&gt;=$J$4,'领用录入（明细）'!C:C&lt;=$L$4),ROW(),"-")</f>
        <v>-</v>
      </c>
    </row>
    <row r="18364" customHeight="1" spans="2:2">
      <c r="B18364" s="62" t="str">
        <f>IF(AND('领用录入（明细）'!D:D=$F$4,'领用录入（明细）'!C:C&gt;=$J$4,'领用录入（明细）'!C:C&lt;=$L$4),ROW(),"-")</f>
        <v>-</v>
      </c>
    </row>
    <row r="18365" customHeight="1" spans="2:2">
      <c r="B18365" s="62" t="str">
        <f>IF(AND('领用录入（明细）'!D:D=$F$4,'领用录入（明细）'!C:C&gt;=$J$4,'领用录入（明细）'!C:C&lt;=$L$4),ROW(),"-")</f>
        <v>-</v>
      </c>
    </row>
    <row r="18366" customHeight="1" spans="2:2">
      <c r="B18366" s="62" t="str">
        <f>IF(AND('领用录入（明细）'!D:D=$F$4,'领用录入（明细）'!C:C&gt;=$J$4,'领用录入（明细）'!C:C&lt;=$L$4),ROW(),"-")</f>
        <v>-</v>
      </c>
    </row>
    <row r="18367" customHeight="1" spans="2:2">
      <c r="B18367" s="62" t="str">
        <f>IF(AND('领用录入（明细）'!D:D=$F$4,'领用录入（明细）'!C:C&gt;=$J$4,'领用录入（明细）'!C:C&lt;=$L$4),ROW(),"-")</f>
        <v>-</v>
      </c>
    </row>
    <row r="18368" customHeight="1" spans="2:2">
      <c r="B18368" s="62" t="str">
        <f>IF(AND('领用录入（明细）'!D:D=$F$4,'领用录入（明细）'!C:C&gt;=$J$4,'领用录入（明细）'!C:C&lt;=$L$4),ROW(),"-")</f>
        <v>-</v>
      </c>
    </row>
    <row r="18369" customHeight="1" spans="2:2">
      <c r="B18369" s="62" t="str">
        <f>IF(AND('领用录入（明细）'!D:D=$F$4,'领用录入（明细）'!C:C&gt;=$J$4,'领用录入（明细）'!C:C&lt;=$L$4),ROW(),"-")</f>
        <v>-</v>
      </c>
    </row>
    <row r="18370" customHeight="1" spans="2:2">
      <c r="B18370" s="62" t="str">
        <f>IF(AND('领用录入（明细）'!D:D=$F$4,'领用录入（明细）'!C:C&gt;=$J$4,'领用录入（明细）'!C:C&lt;=$L$4),ROW(),"-")</f>
        <v>-</v>
      </c>
    </row>
    <row r="18371" customHeight="1" spans="2:2">
      <c r="B18371" s="62" t="str">
        <f>IF(AND('领用录入（明细）'!D:D=$F$4,'领用录入（明细）'!C:C&gt;=$J$4,'领用录入（明细）'!C:C&lt;=$L$4),ROW(),"-")</f>
        <v>-</v>
      </c>
    </row>
    <row r="18372" customHeight="1" spans="2:2">
      <c r="B18372" s="62" t="str">
        <f>IF(AND('领用录入（明细）'!D:D=$F$4,'领用录入（明细）'!C:C&gt;=$J$4,'领用录入（明细）'!C:C&lt;=$L$4),ROW(),"-")</f>
        <v>-</v>
      </c>
    </row>
    <row r="18373" customHeight="1" spans="2:2">
      <c r="B18373" s="62" t="str">
        <f>IF(AND('领用录入（明细）'!D:D=$F$4,'领用录入（明细）'!C:C&gt;=$J$4,'领用录入（明细）'!C:C&lt;=$L$4),ROW(),"-")</f>
        <v>-</v>
      </c>
    </row>
    <row r="18374" customHeight="1" spans="2:2">
      <c r="B18374" s="62" t="str">
        <f>IF(AND('领用录入（明细）'!D:D=$F$4,'领用录入（明细）'!C:C&gt;=$J$4,'领用录入（明细）'!C:C&lt;=$L$4),ROW(),"-")</f>
        <v>-</v>
      </c>
    </row>
    <row r="18375" customHeight="1" spans="2:2">
      <c r="B18375" s="62" t="str">
        <f>IF(AND('领用录入（明细）'!D:D=$F$4,'领用录入（明细）'!C:C&gt;=$J$4,'领用录入（明细）'!C:C&lt;=$L$4),ROW(),"-")</f>
        <v>-</v>
      </c>
    </row>
    <row r="18376" customHeight="1" spans="2:2">
      <c r="B18376" s="62" t="str">
        <f>IF(AND('领用录入（明细）'!D:D=$F$4,'领用录入（明细）'!C:C&gt;=$J$4,'领用录入（明细）'!C:C&lt;=$L$4),ROW(),"-")</f>
        <v>-</v>
      </c>
    </row>
    <row r="18377" customHeight="1" spans="2:2">
      <c r="B18377" s="62" t="str">
        <f>IF(AND('领用录入（明细）'!D:D=$F$4,'领用录入（明细）'!C:C&gt;=$J$4,'领用录入（明细）'!C:C&lt;=$L$4),ROW(),"-")</f>
        <v>-</v>
      </c>
    </row>
    <row r="18378" customHeight="1" spans="2:2">
      <c r="B18378" s="62" t="str">
        <f>IF(AND('领用录入（明细）'!D:D=$F$4,'领用录入（明细）'!C:C&gt;=$J$4,'领用录入（明细）'!C:C&lt;=$L$4),ROW(),"-")</f>
        <v>-</v>
      </c>
    </row>
    <row r="18379" customHeight="1" spans="2:2">
      <c r="B18379" s="62" t="str">
        <f>IF(AND('领用录入（明细）'!D:D=$F$4,'领用录入（明细）'!C:C&gt;=$J$4,'领用录入（明细）'!C:C&lt;=$L$4),ROW(),"-")</f>
        <v>-</v>
      </c>
    </row>
    <row r="18380" customHeight="1" spans="2:2">
      <c r="B18380" s="62" t="str">
        <f>IF(AND('领用录入（明细）'!D:D=$F$4,'领用录入（明细）'!C:C&gt;=$J$4,'领用录入（明细）'!C:C&lt;=$L$4),ROW(),"-")</f>
        <v>-</v>
      </c>
    </row>
    <row r="18381" customHeight="1" spans="2:2">
      <c r="B18381" s="62" t="str">
        <f>IF(AND('领用录入（明细）'!D:D=$F$4,'领用录入（明细）'!C:C&gt;=$J$4,'领用录入（明细）'!C:C&lt;=$L$4),ROW(),"-")</f>
        <v>-</v>
      </c>
    </row>
    <row r="18382" customHeight="1" spans="2:2">
      <c r="B18382" s="62" t="str">
        <f>IF(AND('领用录入（明细）'!D:D=$F$4,'领用录入（明细）'!C:C&gt;=$J$4,'领用录入（明细）'!C:C&lt;=$L$4),ROW(),"-")</f>
        <v>-</v>
      </c>
    </row>
    <row r="18383" customHeight="1" spans="2:2">
      <c r="B18383" s="62" t="str">
        <f>IF(AND('领用录入（明细）'!D:D=$F$4,'领用录入（明细）'!C:C&gt;=$J$4,'领用录入（明细）'!C:C&lt;=$L$4),ROW(),"-")</f>
        <v>-</v>
      </c>
    </row>
    <row r="18384" customHeight="1" spans="2:2">
      <c r="B18384" s="62" t="str">
        <f>IF(AND('领用录入（明细）'!D:D=$F$4,'领用录入（明细）'!C:C&gt;=$J$4,'领用录入（明细）'!C:C&lt;=$L$4),ROW(),"-")</f>
        <v>-</v>
      </c>
    </row>
    <row r="18385" customHeight="1" spans="2:2">
      <c r="B18385" s="62" t="str">
        <f>IF(AND('领用录入（明细）'!D:D=$F$4,'领用录入（明细）'!C:C&gt;=$J$4,'领用录入（明细）'!C:C&lt;=$L$4),ROW(),"-")</f>
        <v>-</v>
      </c>
    </row>
    <row r="18386" customHeight="1" spans="2:2">
      <c r="B18386" s="62" t="str">
        <f>IF(AND('领用录入（明细）'!D:D=$F$4,'领用录入（明细）'!C:C&gt;=$J$4,'领用录入（明细）'!C:C&lt;=$L$4),ROW(),"-")</f>
        <v>-</v>
      </c>
    </row>
    <row r="18387" customHeight="1" spans="2:2">
      <c r="B18387" s="62" t="str">
        <f>IF(AND('领用录入（明细）'!D:D=$F$4,'领用录入（明细）'!C:C&gt;=$J$4,'领用录入（明细）'!C:C&lt;=$L$4),ROW(),"-")</f>
        <v>-</v>
      </c>
    </row>
    <row r="18388" customHeight="1" spans="2:2">
      <c r="B18388" s="62" t="str">
        <f>IF(AND('领用录入（明细）'!D:D=$F$4,'领用录入（明细）'!C:C&gt;=$J$4,'领用录入（明细）'!C:C&lt;=$L$4),ROW(),"-")</f>
        <v>-</v>
      </c>
    </row>
    <row r="18389" customHeight="1" spans="2:2">
      <c r="B18389" s="62" t="str">
        <f>IF(AND('领用录入（明细）'!D:D=$F$4,'领用录入（明细）'!C:C&gt;=$J$4,'领用录入（明细）'!C:C&lt;=$L$4),ROW(),"-")</f>
        <v>-</v>
      </c>
    </row>
    <row r="18390" customHeight="1" spans="2:2">
      <c r="B18390" s="62" t="str">
        <f>IF(AND('领用录入（明细）'!D:D=$F$4,'领用录入（明细）'!C:C&gt;=$J$4,'领用录入（明细）'!C:C&lt;=$L$4),ROW(),"-")</f>
        <v>-</v>
      </c>
    </row>
    <row r="18391" customHeight="1" spans="2:2">
      <c r="B18391" s="62" t="str">
        <f>IF(AND('领用录入（明细）'!D:D=$F$4,'领用录入（明细）'!C:C&gt;=$J$4,'领用录入（明细）'!C:C&lt;=$L$4),ROW(),"-")</f>
        <v>-</v>
      </c>
    </row>
    <row r="18392" customHeight="1" spans="2:2">
      <c r="B18392" s="62" t="str">
        <f>IF(AND('领用录入（明细）'!D:D=$F$4,'领用录入（明细）'!C:C&gt;=$J$4,'领用录入（明细）'!C:C&lt;=$L$4),ROW(),"-")</f>
        <v>-</v>
      </c>
    </row>
    <row r="18393" customHeight="1" spans="2:2">
      <c r="B18393" s="62" t="str">
        <f>IF(AND('领用录入（明细）'!D:D=$F$4,'领用录入（明细）'!C:C&gt;=$J$4,'领用录入（明细）'!C:C&lt;=$L$4),ROW(),"-")</f>
        <v>-</v>
      </c>
    </row>
    <row r="18394" customHeight="1" spans="2:2">
      <c r="B18394" s="62" t="str">
        <f>IF(AND('领用录入（明细）'!D:D=$F$4,'领用录入（明细）'!C:C&gt;=$J$4,'领用录入（明细）'!C:C&lt;=$L$4),ROW(),"-")</f>
        <v>-</v>
      </c>
    </row>
    <row r="18395" customHeight="1" spans="2:2">
      <c r="B18395" s="62" t="str">
        <f>IF(AND('领用录入（明细）'!D:D=$F$4,'领用录入（明细）'!C:C&gt;=$J$4,'领用录入（明细）'!C:C&lt;=$L$4),ROW(),"-")</f>
        <v>-</v>
      </c>
    </row>
    <row r="18396" customHeight="1" spans="2:2">
      <c r="B18396" s="62" t="str">
        <f>IF(AND('领用录入（明细）'!D:D=$F$4,'领用录入（明细）'!C:C&gt;=$J$4,'领用录入（明细）'!C:C&lt;=$L$4),ROW(),"-")</f>
        <v>-</v>
      </c>
    </row>
    <row r="18397" customHeight="1" spans="2:2">
      <c r="B18397" s="62" t="str">
        <f>IF(AND('领用录入（明细）'!D:D=$F$4,'领用录入（明细）'!C:C&gt;=$J$4,'领用录入（明细）'!C:C&lt;=$L$4),ROW(),"-")</f>
        <v>-</v>
      </c>
    </row>
    <row r="18398" customHeight="1" spans="2:2">
      <c r="B18398" s="62" t="str">
        <f>IF(AND('领用录入（明细）'!D:D=$F$4,'领用录入（明细）'!C:C&gt;=$J$4,'领用录入（明细）'!C:C&lt;=$L$4),ROW(),"-")</f>
        <v>-</v>
      </c>
    </row>
    <row r="18399" customHeight="1" spans="2:2">
      <c r="B18399" s="62" t="str">
        <f>IF(AND('领用录入（明细）'!D:D=$F$4,'领用录入（明细）'!C:C&gt;=$J$4,'领用录入（明细）'!C:C&lt;=$L$4),ROW(),"-")</f>
        <v>-</v>
      </c>
    </row>
    <row r="18400" customHeight="1" spans="2:2">
      <c r="B18400" s="62" t="str">
        <f>IF(AND('领用录入（明细）'!D:D=$F$4,'领用录入（明细）'!C:C&gt;=$J$4,'领用录入（明细）'!C:C&lt;=$L$4),ROW(),"-")</f>
        <v>-</v>
      </c>
    </row>
    <row r="18401" customHeight="1" spans="2:2">
      <c r="B18401" s="62" t="str">
        <f>IF(AND('领用录入（明细）'!D:D=$F$4,'领用录入（明细）'!C:C&gt;=$J$4,'领用录入（明细）'!C:C&lt;=$L$4),ROW(),"-")</f>
        <v>-</v>
      </c>
    </row>
    <row r="18402" customHeight="1" spans="2:2">
      <c r="B18402" s="62" t="str">
        <f>IF(AND('领用录入（明细）'!D:D=$F$4,'领用录入（明细）'!C:C&gt;=$J$4,'领用录入（明细）'!C:C&lt;=$L$4),ROW(),"-")</f>
        <v>-</v>
      </c>
    </row>
    <row r="18403" customHeight="1" spans="2:2">
      <c r="B18403" s="62" t="str">
        <f>IF(AND('领用录入（明细）'!D:D=$F$4,'领用录入（明细）'!C:C&gt;=$J$4,'领用录入（明细）'!C:C&lt;=$L$4),ROW(),"-")</f>
        <v>-</v>
      </c>
    </row>
    <row r="18404" customHeight="1" spans="2:2">
      <c r="B18404" s="62" t="str">
        <f>IF(AND('领用录入（明细）'!D:D=$F$4,'领用录入（明细）'!C:C&gt;=$J$4,'领用录入（明细）'!C:C&lt;=$L$4),ROW(),"-")</f>
        <v>-</v>
      </c>
    </row>
    <row r="18405" customHeight="1" spans="2:2">
      <c r="B18405" s="62" t="str">
        <f>IF(AND('领用录入（明细）'!D:D=$F$4,'领用录入（明细）'!C:C&gt;=$J$4,'领用录入（明细）'!C:C&lt;=$L$4),ROW(),"-")</f>
        <v>-</v>
      </c>
    </row>
    <row r="18406" customHeight="1" spans="2:2">
      <c r="B18406" s="62" t="str">
        <f>IF(AND('领用录入（明细）'!D:D=$F$4,'领用录入（明细）'!C:C&gt;=$J$4,'领用录入（明细）'!C:C&lt;=$L$4),ROW(),"-")</f>
        <v>-</v>
      </c>
    </row>
    <row r="18407" customHeight="1" spans="2:2">
      <c r="B18407" s="62" t="str">
        <f>IF(AND('领用录入（明细）'!D:D=$F$4,'领用录入（明细）'!C:C&gt;=$J$4,'领用录入（明细）'!C:C&lt;=$L$4),ROW(),"-")</f>
        <v>-</v>
      </c>
    </row>
    <row r="18408" customHeight="1" spans="2:2">
      <c r="B18408" s="62" t="str">
        <f>IF(AND('领用录入（明细）'!D:D=$F$4,'领用录入（明细）'!C:C&gt;=$J$4,'领用录入（明细）'!C:C&lt;=$L$4),ROW(),"-")</f>
        <v>-</v>
      </c>
    </row>
    <row r="18409" customHeight="1" spans="2:2">
      <c r="B18409" s="62" t="str">
        <f>IF(AND('领用录入（明细）'!D:D=$F$4,'领用录入（明细）'!C:C&gt;=$J$4,'领用录入（明细）'!C:C&lt;=$L$4),ROW(),"-")</f>
        <v>-</v>
      </c>
    </row>
    <row r="18410" customHeight="1" spans="2:2">
      <c r="B18410" s="62" t="str">
        <f>IF(AND('领用录入（明细）'!D:D=$F$4,'领用录入（明细）'!C:C&gt;=$J$4,'领用录入（明细）'!C:C&lt;=$L$4),ROW(),"-")</f>
        <v>-</v>
      </c>
    </row>
    <row r="18411" customHeight="1" spans="2:2">
      <c r="B18411" s="62" t="str">
        <f>IF(AND('领用录入（明细）'!D:D=$F$4,'领用录入（明细）'!C:C&gt;=$J$4,'领用录入（明细）'!C:C&lt;=$L$4),ROW(),"-")</f>
        <v>-</v>
      </c>
    </row>
    <row r="18412" customHeight="1" spans="2:2">
      <c r="B18412" s="62" t="str">
        <f>IF(AND('领用录入（明细）'!D:D=$F$4,'领用录入（明细）'!C:C&gt;=$J$4,'领用录入（明细）'!C:C&lt;=$L$4),ROW(),"-")</f>
        <v>-</v>
      </c>
    </row>
    <row r="18413" customHeight="1" spans="2:2">
      <c r="B18413" s="62" t="str">
        <f>IF(AND('领用录入（明细）'!D:D=$F$4,'领用录入（明细）'!C:C&gt;=$J$4,'领用录入（明细）'!C:C&lt;=$L$4),ROW(),"-")</f>
        <v>-</v>
      </c>
    </row>
    <row r="18414" customHeight="1" spans="2:2">
      <c r="B18414" s="62" t="str">
        <f>IF(AND('领用录入（明细）'!D:D=$F$4,'领用录入（明细）'!C:C&gt;=$J$4,'领用录入（明细）'!C:C&lt;=$L$4),ROW(),"-")</f>
        <v>-</v>
      </c>
    </row>
    <row r="18415" customHeight="1" spans="2:2">
      <c r="B18415" s="62" t="str">
        <f>IF(AND('领用录入（明细）'!D:D=$F$4,'领用录入（明细）'!C:C&gt;=$J$4,'领用录入（明细）'!C:C&lt;=$L$4),ROW(),"-")</f>
        <v>-</v>
      </c>
    </row>
    <row r="18416" customHeight="1" spans="2:2">
      <c r="B18416" s="62" t="str">
        <f>IF(AND('领用录入（明细）'!D:D=$F$4,'领用录入（明细）'!C:C&gt;=$J$4,'领用录入（明细）'!C:C&lt;=$L$4),ROW(),"-")</f>
        <v>-</v>
      </c>
    </row>
    <row r="18417" customHeight="1" spans="2:2">
      <c r="B18417" s="62" t="str">
        <f>IF(AND('领用录入（明细）'!D:D=$F$4,'领用录入（明细）'!C:C&gt;=$J$4,'领用录入（明细）'!C:C&lt;=$L$4),ROW(),"-")</f>
        <v>-</v>
      </c>
    </row>
    <row r="18418" customHeight="1" spans="2:2">
      <c r="B18418" s="62" t="str">
        <f>IF(AND('领用录入（明细）'!D:D=$F$4,'领用录入（明细）'!C:C&gt;=$J$4,'领用录入（明细）'!C:C&lt;=$L$4),ROW(),"-")</f>
        <v>-</v>
      </c>
    </row>
    <row r="18419" customHeight="1" spans="2:2">
      <c r="B18419" s="62" t="str">
        <f>IF(AND('领用录入（明细）'!D:D=$F$4,'领用录入（明细）'!C:C&gt;=$J$4,'领用录入（明细）'!C:C&lt;=$L$4),ROW(),"-")</f>
        <v>-</v>
      </c>
    </row>
    <row r="18420" customHeight="1" spans="2:2">
      <c r="B18420" s="62" t="str">
        <f>IF(AND('领用录入（明细）'!D:D=$F$4,'领用录入（明细）'!C:C&gt;=$J$4,'领用录入（明细）'!C:C&lt;=$L$4),ROW(),"-")</f>
        <v>-</v>
      </c>
    </row>
    <row r="18421" customHeight="1" spans="2:2">
      <c r="B18421" s="62" t="str">
        <f>IF(AND('领用录入（明细）'!D:D=$F$4,'领用录入（明细）'!C:C&gt;=$J$4,'领用录入（明细）'!C:C&lt;=$L$4),ROW(),"-")</f>
        <v>-</v>
      </c>
    </row>
    <row r="18422" customHeight="1" spans="2:2">
      <c r="B18422" s="62" t="str">
        <f>IF(AND('领用录入（明细）'!D:D=$F$4,'领用录入（明细）'!C:C&gt;=$J$4,'领用录入（明细）'!C:C&lt;=$L$4),ROW(),"-")</f>
        <v>-</v>
      </c>
    </row>
    <row r="18423" customHeight="1" spans="2:2">
      <c r="B18423" s="62" t="str">
        <f>IF(AND('领用录入（明细）'!D:D=$F$4,'领用录入（明细）'!C:C&gt;=$J$4,'领用录入（明细）'!C:C&lt;=$L$4),ROW(),"-")</f>
        <v>-</v>
      </c>
    </row>
    <row r="18424" customHeight="1" spans="2:2">
      <c r="B18424" s="62" t="str">
        <f>IF(AND('领用录入（明细）'!D:D=$F$4,'领用录入（明细）'!C:C&gt;=$J$4,'领用录入（明细）'!C:C&lt;=$L$4),ROW(),"-")</f>
        <v>-</v>
      </c>
    </row>
    <row r="18425" customHeight="1" spans="2:2">
      <c r="B18425" s="62" t="str">
        <f>IF(AND('领用录入（明细）'!D:D=$F$4,'领用录入（明细）'!C:C&gt;=$J$4,'领用录入（明细）'!C:C&lt;=$L$4),ROW(),"-")</f>
        <v>-</v>
      </c>
    </row>
    <row r="18426" customHeight="1" spans="2:2">
      <c r="B18426" s="62" t="str">
        <f>IF(AND('领用录入（明细）'!D:D=$F$4,'领用录入（明细）'!C:C&gt;=$J$4,'领用录入（明细）'!C:C&lt;=$L$4),ROW(),"-")</f>
        <v>-</v>
      </c>
    </row>
    <row r="18427" customHeight="1" spans="2:2">
      <c r="B18427" s="62" t="str">
        <f>IF(AND('领用录入（明细）'!D:D=$F$4,'领用录入（明细）'!C:C&gt;=$J$4,'领用录入（明细）'!C:C&lt;=$L$4),ROW(),"-")</f>
        <v>-</v>
      </c>
    </row>
    <row r="18428" customHeight="1" spans="2:2">
      <c r="B18428" s="62" t="str">
        <f>IF(AND('领用录入（明细）'!D:D=$F$4,'领用录入（明细）'!C:C&gt;=$J$4,'领用录入（明细）'!C:C&lt;=$L$4),ROW(),"-")</f>
        <v>-</v>
      </c>
    </row>
    <row r="18429" customHeight="1" spans="2:2">
      <c r="B18429" s="62" t="str">
        <f>IF(AND('领用录入（明细）'!D:D=$F$4,'领用录入（明细）'!C:C&gt;=$J$4,'领用录入（明细）'!C:C&lt;=$L$4),ROW(),"-")</f>
        <v>-</v>
      </c>
    </row>
    <row r="18430" customHeight="1" spans="2:2">
      <c r="B18430" s="62" t="str">
        <f>IF(AND('领用录入（明细）'!D:D=$F$4,'领用录入（明细）'!C:C&gt;=$J$4,'领用录入（明细）'!C:C&lt;=$L$4),ROW(),"-")</f>
        <v>-</v>
      </c>
    </row>
    <row r="18431" customHeight="1" spans="2:2">
      <c r="B18431" s="62" t="str">
        <f>IF(AND('领用录入（明细）'!D:D=$F$4,'领用录入（明细）'!C:C&gt;=$J$4,'领用录入（明细）'!C:C&lt;=$L$4),ROW(),"-")</f>
        <v>-</v>
      </c>
    </row>
    <row r="18432" customHeight="1" spans="2:2">
      <c r="B18432" s="62" t="str">
        <f>IF(AND('领用录入（明细）'!D:D=$F$4,'领用录入（明细）'!C:C&gt;=$J$4,'领用录入（明细）'!C:C&lt;=$L$4),ROW(),"-")</f>
        <v>-</v>
      </c>
    </row>
    <row r="18433" customHeight="1" spans="2:2">
      <c r="B18433" s="62" t="str">
        <f>IF(AND('领用录入（明细）'!D:D=$F$4,'领用录入（明细）'!C:C&gt;=$J$4,'领用录入（明细）'!C:C&lt;=$L$4),ROW(),"-")</f>
        <v>-</v>
      </c>
    </row>
    <row r="18434" customHeight="1" spans="2:2">
      <c r="B18434" s="62" t="str">
        <f>IF(AND('领用录入（明细）'!D:D=$F$4,'领用录入（明细）'!C:C&gt;=$J$4,'领用录入（明细）'!C:C&lt;=$L$4),ROW(),"-")</f>
        <v>-</v>
      </c>
    </row>
    <row r="18435" customHeight="1" spans="2:2">
      <c r="B18435" s="62" t="str">
        <f>IF(AND('领用录入（明细）'!D:D=$F$4,'领用录入（明细）'!C:C&gt;=$J$4,'领用录入（明细）'!C:C&lt;=$L$4),ROW(),"-")</f>
        <v>-</v>
      </c>
    </row>
    <row r="18436" customHeight="1" spans="2:2">
      <c r="B18436" s="62" t="str">
        <f>IF(AND('领用录入（明细）'!D:D=$F$4,'领用录入（明细）'!C:C&gt;=$J$4,'领用录入（明细）'!C:C&lt;=$L$4),ROW(),"-")</f>
        <v>-</v>
      </c>
    </row>
    <row r="18437" customHeight="1" spans="2:2">
      <c r="B18437" s="62" t="str">
        <f>IF(AND('领用录入（明细）'!D:D=$F$4,'领用录入（明细）'!C:C&gt;=$J$4,'领用录入（明细）'!C:C&lt;=$L$4),ROW(),"-")</f>
        <v>-</v>
      </c>
    </row>
    <row r="18438" customHeight="1" spans="2:2">
      <c r="B18438" s="62" t="str">
        <f>IF(AND('领用录入（明细）'!D:D=$F$4,'领用录入（明细）'!C:C&gt;=$J$4,'领用录入（明细）'!C:C&lt;=$L$4),ROW(),"-")</f>
        <v>-</v>
      </c>
    </row>
    <row r="18439" customHeight="1" spans="2:2">
      <c r="B18439" s="62" t="str">
        <f>IF(AND('领用录入（明细）'!D:D=$F$4,'领用录入（明细）'!C:C&gt;=$J$4,'领用录入（明细）'!C:C&lt;=$L$4),ROW(),"-")</f>
        <v>-</v>
      </c>
    </row>
    <row r="18440" customHeight="1" spans="2:2">
      <c r="B18440" s="62" t="str">
        <f>IF(AND('领用录入（明细）'!D:D=$F$4,'领用录入（明细）'!C:C&gt;=$J$4,'领用录入（明细）'!C:C&lt;=$L$4),ROW(),"-")</f>
        <v>-</v>
      </c>
    </row>
    <row r="18441" customHeight="1" spans="2:2">
      <c r="B18441" s="62" t="str">
        <f>IF(AND('领用录入（明细）'!D:D=$F$4,'领用录入（明细）'!C:C&gt;=$J$4,'领用录入（明细）'!C:C&lt;=$L$4),ROW(),"-")</f>
        <v>-</v>
      </c>
    </row>
    <row r="18442" customHeight="1" spans="2:2">
      <c r="B18442" s="62" t="str">
        <f>IF(AND('领用录入（明细）'!D:D=$F$4,'领用录入（明细）'!C:C&gt;=$J$4,'领用录入（明细）'!C:C&lt;=$L$4),ROW(),"-")</f>
        <v>-</v>
      </c>
    </row>
    <row r="18443" customHeight="1" spans="2:2">
      <c r="B18443" s="62" t="str">
        <f>IF(AND('领用录入（明细）'!D:D=$F$4,'领用录入（明细）'!C:C&gt;=$J$4,'领用录入（明细）'!C:C&lt;=$L$4),ROW(),"-")</f>
        <v>-</v>
      </c>
    </row>
    <row r="18444" customHeight="1" spans="2:2">
      <c r="B18444" s="62" t="str">
        <f>IF(AND('领用录入（明细）'!D:D=$F$4,'领用录入（明细）'!C:C&gt;=$J$4,'领用录入（明细）'!C:C&lt;=$L$4),ROW(),"-")</f>
        <v>-</v>
      </c>
    </row>
    <row r="18445" customHeight="1" spans="2:2">
      <c r="B18445" s="62" t="str">
        <f>IF(AND('领用录入（明细）'!D:D=$F$4,'领用录入（明细）'!C:C&gt;=$J$4,'领用录入（明细）'!C:C&lt;=$L$4),ROW(),"-")</f>
        <v>-</v>
      </c>
    </row>
    <row r="18446" customHeight="1" spans="2:2">
      <c r="B18446" s="62" t="str">
        <f>IF(AND('领用录入（明细）'!D:D=$F$4,'领用录入（明细）'!C:C&gt;=$J$4,'领用录入（明细）'!C:C&lt;=$L$4),ROW(),"-")</f>
        <v>-</v>
      </c>
    </row>
    <row r="18447" customHeight="1" spans="2:2">
      <c r="B18447" s="62" t="str">
        <f>IF(AND('领用录入（明细）'!D:D=$F$4,'领用录入（明细）'!C:C&gt;=$J$4,'领用录入（明细）'!C:C&lt;=$L$4),ROW(),"-")</f>
        <v>-</v>
      </c>
    </row>
    <row r="18448" customHeight="1" spans="2:2">
      <c r="B18448" s="62" t="str">
        <f>IF(AND('领用录入（明细）'!D:D=$F$4,'领用录入（明细）'!C:C&gt;=$J$4,'领用录入（明细）'!C:C&lt;=$L$4),ROW(),"-")</f>
        <v>-</v>
      </c>
    </row>
    <row r="18449" customHeight="1" spans="2:2">
      <c r="B18449" s="62" t="str">
        <f>IF(AND('领用录入（明细）'!D:D=$F$4,'领用录入（明细）'!C:C&gt;=$J$4,'领用录入（明细）'!C:C&lt;=$L$4),ROW(),"-")</f>
        <v>-</v>
      </c>
    </row>
    <row r="18450" customHeight="1" spans="2:2">
      <c r="B18450" s="62" t="str">
        <f>IF(AND('领用录入（明细）'!D:D=$F$4,'领用录入（明细）'!C:C&gt;=$J$4,'领用录入（明细）'!C:C&lt;=$L$4),ROW(),"-")</f>
        <v>-</v>
      </c>
    </row>
    <row r="18451" customHeight="1" spans="2:2">
      <c r="B18451" s="62" t="str">
        <f>IF(AND('领用录入（明细）'!D:D=$F$4,'领用录入（明细）'!C:C&gt;=$J$4,'领用录入（明细）'!C:C&lt;=$L$4),ROW(),"-")</f>
        <v>-</v>
      </c>
    </row>
    <row r="18452" customHeight="1" spans="2:2">
      <c r="B18452" s="62" t="str">
        <f>IF(AND('领用录入（明细）'!D:D=$F$4,'领用录入（明细）'!C:C&gt;=$J$4,'领用录入（明细）'!C:C&lt;=$L$4),ROW(),"-")</f>
        <v>-</v>
      </c>
    </row>
    <row r="18453" customHeight="1" spans="2:2">
      <c r="B18453" s="62" t="str">
        <f>IF(AND('领用录入（明细）'!D:D=$F$4,'领用录入（明细）'!C:C&gt;=$J$4,'领用录入（明细）'!C:C&lt;=$L$4),ROW(),"-")</f>
        <v>-</v>
      </c>
    </row>
    <row r="18454" customHeight="1" spans="2:2">
      <c r="B18454" s="62" t="str">
        <f>IF(AND('领用录入（明细）'!D:D=$F$4,'领用录入（明细）'!C:C&gt;=$J$4,'领用录入（明细）'!C:C&lt;=$L$4),ROW(),"-")</f>
        <v>-</v>
      </c>
    </row>
    <row r="18455" customHeight="1" spans="2:2">
      <c r="B18455" s="62" t="str">
        <f>IF(AND('领用录入（明细）'!D:D=$F$4,'领用录入（明细）'!C:C&gt;=$J$4,'领用录入（明细）'!C:C&lt;=$L$4),ROW(),"-")</f>
        <v>-</v>
      </c>
    </row>
    <row r="18456" customHeight="1" spans="2:2">
      <c r="B18456" s="62" t="str">
        <f>IF(AND('领用录入（明细）'!D:D=$F$4,'领用录入（明细）'!C:C&gt;=$J$4,'领用录入（明细）'!C:C&lt;=$L$4),ROW(),"-")</f>
        <v>-</v>
      </c>
    </row>
    <row r="18457" customHeight="1" spans="2:2">
      <c r="B18457" s="62" t="str">
        <f>IF(AND('领用录入（明细）'!D:D=$F$4,'领用录入（明细）'!C:C&gt;=$J$4,'领用录入（明细）'!C:C&lt;=$L$4),ROW(),"-")</f>
        <v>-</v>
      </c>
    </row>
    <row r="18458" customHeight="1" spans="2:2">
      <c r="B18458" s="62" t="str">
        <f>IF(AND('领用录入（明细）'!D:D=$F$4,'领用录入（明细）'!C:C&gt;=$J$4,'领用录入（明细）'!C:C&lt;=$L$4),ROW(),"-")</f>
        <v>-</v>
      </c>
    </row>
    <row r="18459" customHeight="1" spans="2:2">
      <c r="B18459" s="62" t="str">
        <f>IF(AND('领用录入（明细）'!D:D=$F$4,'领用录入（明细）'!C:C&gt;=$J$4,'领用录入（明细）'!C:C&lt;=$L$4),ROW(),"-")</f>
        <v>-</v>
      </c>
    </row>
    <row r="18460" customHeight="1" spans="2:2">
      <c r="B18460" s="62" t="str">
        <f>IF(AND('领用录入（明细）'!D:D=$F$4,'领用录入（明细）'!C:C&gt;=$J$4,'领用录入（明细）'!C:C&lt;=$L$4),ROW(),"-")</f>
        <v>-</v>
      </c>
    </row>
    <row r="18461" customHeight="1" spans="2:2">
      <c r="B18461" s="62" t="str">
        <f>IF(AND('领用录入（明细）'!D:D=$F$4,'领用录入（明细）'!C:C&gt;=$J$4,'领用录入（明细）'!C:C&lt;=$L$4),ROW(),"-")</f>
        <v>-</v>
      </c>
    </row>
    <row r="18462" customHeight="1" spans="2:2">
      <c r="B18462" s="62" t="str">
        <f>IF(AND('领用录入（明细）'!D:D=$F$4,'领用录入（明细）'!C:C&gt;=$J$4,'领用录入（明细）'!C:C&lt;=$L$4),ROW(),"-")</f>
        <v>-</v>
      </c>
    </row>
    <row r="18463" customHeight="1" spans="2:2">
      <c r="B18463" s="62" t="str">
        <f>IF(AND('领用录入（明细）'!D:D=$F$4,'领用录入（明细）'!C:C&gt;=$J$4,'领用录入（明细）'!C:C&lt;=$L$4),ROW(),"-")</f>
        <v>-</v>
      </c>
    </row>
    <row r="18464" customHeight="1" spans="2:2">
      <c r="B18464" s="62" t="str">
        <f>IF(AND('领用录入（明细）'!D:D=$F$4,'领用录入（明细）'!C:C&gt;=$J$4,'领用录入（明细）'!C:C&lt;=$L$4),ROW(),"-")</f>
        <v>-</v>
      </c>
    </row>
    <row r="18465" customHeight="1" spans="2:2">
      <c r="B18465" s="62" t="str">
        <f>IF(AND('领用录入（明细）'!D:D=$F$4,'领用录入（明细）'!C:C&gt;=$J$4,'领用录入（明细）'!C:C&lt;=$L$4),ROW(),"-")</f>
        <v>-</v>
      </c>
    </row>
    <row r="18466" customHeight="1" spans="2:2">
      <c r="B18466" s="62" t="str">
        <f>IF(AND('领用录入（明细）'!D:D=$F$4,'领用录入（明细）'!C:C&gt;=$J$4,'领用录入（明细）'!C:C&lt;=$L$4),ROW(),"-")</f>
        <v>-</v>
      </c>
    </row>
    <row r="18467" customHeight="1" spans="2:2">
      <c r="B18467" s="62" t="str">
        <f>IF(AND('领用录入（明细）'!D:D=$F$4,'领用录入（明细）'!C:C&gt;=$J$4,'领用录入（明细）'!C:C&lt;=$L$4),ROW(),"-")</f>
        <v>-</v>
      </c>
    </row>
    <row r="18468" customHeight="1" spans="2:2">
      <c r="B18468" s="62" t="str">
        <f>IF(AND('领用录入（明细）'!D:D=$F$4,'领用录入（明细）'!C:C&gt;=$J$4,'领用录入（明细）'!C:C&lt;=$L$4),ROW(),"-")</f>
        <v>-</v>
      </c>
    </row>
    <row r="18469" customHeight="1" spans="2:2">
      <c r="B18469" s="62" t="str">
        <f>IF(AND('领用录入（明细）'!D:D=$F$4,'领用录入（明细）'!C:C&gt;=$J$4,'领用录入（明细）'!C:C&lt;=$L$4),ROW(),"-")</f>
        <v>-</v>
      </c>
    </row>
    <row r="18470" customHeight="1" spans="2:2">
      <c r="B18470" s="62" t="str">
        <f>IF(AND('领用录入（明细）'!D:D=$F$4,'领用录入（明细）'!C:C&gt;=$J$4,'领用录入（明细）'!C:C&lt;=$L$4),ROW(),"-")</f>
        <v>-</v>
      </c>
    </row>
    <row r="18471" customHeight="1" spans="2:2">
      <c r="B18471" s="62" t="str">
        <f>IF(AND('领用录入（明细）'!D:D=$F$4,'领用录入（明细）'!C:C&gt;=$J$4,'领用录入（明细）'!C:C&lt;=$L$4),ROW(),"-")</f>
        <v>-</v>
      </c>
    </row>
    <row r="18472" customHeight="1" spans="2:2">
      <c r="B18472" s="62" t="str">
        <f>IF(AND('领用录入（明细）'!D:D=$F$4,'领用录入（明细）'!C:C&gt;=$J$4,'领用录入（明细）'!C:C&lt;=$L$4),ROW(),"-")</f>
        <v>-</v>
      </c>
    </row>
    <row r="18473" customHeight="1" spans="2:2">
      <c r="B18473" s="62" t="str">
        <f>IF(AND('领用录入（明细）'!D:D=$F$4,'领用录入（明细）'!C:C&gt;=$J$4,'领用录入（明细）'!C:C&lt;=$L$4),ROW(),"-")</f>
        <v>-</v>
      </c>
    </row>
    <row r="18474" customHeight="1" spans="2:2">
      <c r="B18474" s="62" t="str">
        <f>IF(AND('领用录入（明细）'!D:D=$F$4,'领用录入（明细）'!C:C&gt;=$J$4,'领用录入（明细）'!C:C&lt;=$L$4),ROW(),"-")</f>
        <v>-</v>
      </c>
    </row>
    <row r="18475" customHeight="1" spans="2:2">
      <c r="B18475" s="62" t="str">
        <f>IF(AND('领用录入（明细）'!D:D=$F$4,'领用录入（明细）'!C:C&gt;=$J$4,'领用录入（明细）'!C:C&lt;=$L$4),ROW(),"-")</f>
        <v>-</v>
      </c>
    </row>
    <row r="18476" customHeight="1" spans="2:2">
      <c r="B18476" s="62" t="str">
        <f>IF(AND('领用录入（明细）'!D:D=$F$4,'领用录入（明细）'!C:C&gt;=$J$4,'领用录入（明细）'!C:C&lt;=$L$4),ROW(),"-")</f>
        <v>-</v>
      </c>
    </row>
    <row r="18477" customHeight="1" spans="2:2">
      <c r="B18477" s="62" t="str">
        <f>IF(AND('领用录入（明细）'!D:D=$F$4,'领用录入（明细）'!C:C&gt;=$J$4,'领用录入（明细）'!C:C&lt;=$L$4),ROW(),"-")</f>
        <v>-</v>
      </c>
    </row>
    <row r="18478" customHeight="1" spans="2:2">
      <c r="B18478" s="62" t="str">
        <f>IF(AND('领用录入（明细）'!D:D=$F$4,'领用录入（明细）'!C:C&gt;=$J$4,'领用录入（明细）'!C:C&lt;=$L$4),ROW(),"-")</f>
        <v>-</v>
      </c>
    </row>
    <row r="18479" customHeight="1" spans="2:2">
      <c r="B18479" s="62" t="str">
        <f>IF(AND('领用录入（明细）'!D:D=$F$4,'领用录入（明细）'!C:C&gt;=$J$4,'领用录入（明细）'!C:C&lt;=$L$4),ROW(),"-")</f>
        <v>-</v>
      </c>
    </row>
    <row r="18480" customHeight="1" spans="2:2">
      <c r="B18480" s="62" t="str">
        <f>IF(AND('领用录入（明细）'!D:D=$F$4,'领用录入（明细）'!C:C&gt;=$J$4,'领用录入（明细）'!C:C&lt;=$L$4),ROW(),"-")</f>
        <v>-</v>
      </c>
    </row>
    <row r="18481" customHeight="1" spans="2:2">
      <c r="B18481" s="62" t="str">
        <f>IF(AND('领用录入（明细）'!D:D=$F$4,'领用录入（明细）'!C:C&gt;=$J$4,'领用录入（明细）'!C:C&lt;=$L$4),ROW(),"-")</f>
        <v>-</v>
      </c>
    </row>
    <row r="18482" customHeight="1" spans="2:2">
      <c r="B18482" s="62" t="str">
        <f>IF(AND('领用录入（明细）'!D:D=$F$4,'领用录入（明细）'!C:C&gt;=$J$4,'领用录入（明细）'!C:C&lt;=$L$4),ROW(),"-")</f>
        <v>-</v>
      </c>
    </row>
    <row r="18483" customHeight="1" spans="2:2">
      <c r="B18483" s="62" t="str">
        <f>IF(AND('领用录入（明细）'!D:D=$F$4,'领用录入（明细）'!C:C&gt;=$J$4,'领用录入（明细）'!C:C&lt;=$L$4),ROW(),"-")</f>
        <v>-</v>
      </c>
    </row>
    <row r="18484" customHeight="1" spans="2:2">
      <c r="B18484" s="62" t="str">
        <f>IF(AND('领用录入（明细）'!D:D=$F$4,'领用录入（明细）'!C:C&gt;=$J$4,'领用录入（明细）'!C:C&lt;=$L$4),ROW(),"-")</f>
        <v>-</v>
      </c>
    </row>
    <row r="18485" customHeight="1" spans="2:2">
      <c r="B18485" s="62" t="str">
        <f>IF(AND('领用录入（明细）'!D:D=$F$4,'领用录入（明细）'!C:C&gt;=$J$4,'领用录入（明细）'!C:C&lt;=$L$4),ROW(),"-")</f>
        <v>-</v>
      </c>
    </row>
    <row r="18486" customHeight="1" spans="2:2">
      <c r="B18486" s="62" t="str">
        <f>IF(AND('领用录入（明细）'!D:D=$F$4,'领用录入（明细）'!C:C&gt;=$J$4,'领用录入（明细）'!C:C&lt;=$L$4),ROW(),"-")</f>
        <v>-</v>
      </c>
    </row>
    <row r="18487" customHeight="1" spans="2:2">
      <c r="B18487" s="62" t="str">
        <f>IF(AND('领用录入（明细）'!D:D=$F$4,'领用录入（明细）'!C:C&gt;=$J$4,'领用录入（明细）'!C:C&lt;=$L$4),ROW(),"-")</f>
        <v>-</v>
      </c>
    </row>
    <row r="18488" customHeight="1" spans="2:2">
      <c r="B18488" s="62" t="str">
        <f>IF(AND('领用录入（明细）'!D:D=$F$4,'领用录入（明细）'!C:C&gt;=$J$4,'领用录入（明细）'!C:C&lt;=$L$4),ROW(),"-")</f>
        <v>-</v>
      </c>
    </row>
    <row r="18489" customHeight="1" spans="2:2">
      <c r="B18489" s="62" t="str">
        <f>IF(AND('领用录入（明细）'!D:D=$F$4,'领用录入（明细）'!C:C&gt;=$J$4,'领用录入（明细）'!C:C&lt;=$L$4),ROW(),"-")</f>
        <v>-</v>
      </c>
    </row>
    <row r="18490" customHeight="1" spans="2:2">
      <c r="B18490" s="62" t="str">
        <f>IF(AND('领用录入（明细）'!D:D=$F$4,'领用录入（明细）'!C:C&gt;=$J$4,'领用录入（明细）'!C:C&lt;=$L$4),ROW(),"-")</f>
        <v>-</v>
      </c>
    </row>
    <row r="18491" customHeight="1" spans="2:2">
      <c r="B18491" s="62" t="str">
        <f>IF(AND('领用录入（明细）'!D:D=$F$4,'领用录入（明细）'!C:C&gt;=$J$4,'领用录入（明细）'!C:C&lt;=$L$4),ROW(),"-")</f>
        <v>-</v>
      </c>
    </row>
    <row r="18492" customHeight="1" spans="2:2">
      <c r="B18492" s="62" t="str">
        <f>IF(AND('领用录入（明细）'!D:D=$F$4,'领用录入（明细）'!C:C&gt;=$J$4,'领用录入（明细）'!C:C&lt;=$L$4),ROW(),"-")</f>
        <v>-</v>
      </c>
    </row>
    <row r="18493" customHeight="1" spans="2:2">
      <c r="B18493" s="62" t="str">
        <f>IF(AND('领用录入（明细）'!D:D=$F$4,'领用录入（明细）'!C:C&gt;=$J$4,'领用录入（明细）'!C:C&lt;=$L$4),ROW(),"-")</f>
        <v>-</v>
      </c>
    </row>
    <row r="18494" customHeight="1" spans="2:2">
      <c r="B18494" s="62" t="str">
        <f>IF(AND('领用录入（明细）'!D:D=$F$4,'领用录入（明细）'!C:C&gt;=$J$4,'领用录入（明细）'!C:C&lt;=$L$4),ROW(),"-")</f>
        <v>-</v>
      </c>
    </row>
    <row r="18495" customHeight="1" spans="2:2">
      <c r="B18495" s="62" t="str">
        <f>IF(AND('领用录入（明细）'!D:D=$F$4,'领用录入（明细）'!C:C&gt;=$J$4,'领用录入（明细）'!C:C&lt;=$L$4),ROW(),"-")</f>
        <v>-</v>
      </c>
    </row>
    <row r="18496" customHeight="1" spans="2:2">
      <c r="B18496" s="62" t="str">
        <f>IF(AND('领用录入（明细）'!D:D=$F$4,'领用录入（明细）'!C:C&gt;=$J$4,'领用录入（明细）'!C:C&lt;=$L$4),ROW(),"-")</f>
        <v>-</v>
      </c>
    </row>
    <row r="18497" customHeight="1" spans="2:2">
      <c r="B18497" s="62" t="str">
        <f>IF(AND('领用录入（明细）'!D:D=$F$4,'领用录入（明细）'!C:C&gt;=$J$4,'领用录入（明细）'!C:C&lt;=$L$4),ROW(),"-")</f>
        <v>-</v>
      </c>
    </row>
    <row r="18498" customHeight="1" spans="2:2">
      <c r="B18498" s="62" t="str">
        <f>IF(AND('领用录入（明细）'!D:D=$F$4,'领用录入（明细）'!C:C&gt;=$J$4,'领用录入（明细）'!C:C&lt;=$L$4),ROW(),"-")</f>
        <v>-</v>
      </c>
    </row>
    <row r="18499" customHeight="1" spans="2:2">
      <c r="B18499" s="62" t="str">
        <f>IF(AND('领用录入（明细）'!D:D=$F$4,'领用录入（明细）'!C:C&gt;=$J$4,'领用录入（明细）'!C:C&lt;=$L$4),ROW(),"-")</f>
        <v>-</v>
      </c>
    </row>
    <row r="18500" customHeight="1" spans="2:2">
      <c r="B18500" s="62" t="str">
        <f>IF(AND('领用录入（明细）'!D:D=$F$4,'领用录入（明细）'!C:C&gt;=$J$4,'领用录入（明细）'!C:C&lt;=$L$4),ROW(),"-")</f>
        <v>-</v>
      </c>
    </row>
    <row r="18501" customHeight="1" spans="2:2">
      <c r="B18501" s="62" t="str">
        <f>IF(AND('领用录入（明细）'!D:D=$F$4,'领用录入（明细）'!C:C&gt;=$J$4,'领用录入（明细）'!C:C&lt;=$L$4),ROW(),"-")</f>
        <v>-</v>
      </c>
    </row>
    <row r="18502" customHeight="1" spans="2:2">
      <c r="B18502" s="62" t="str">
        <f>IF(AND('领用录入（明细）'!D:D=$F$4,'领用录入（明细）'!C:C&gt;=$J$4,'领用录入（明细）'!C:C&lt;=$L$4),ROW(),"-")</f>
        <v>-</v>
      </c>
    </row>
    <row r="18503" customHeight="1" spans="2:2">
      <c r="B18503" s="62" t="str">
        <f>IF(AND('领用录入（明细）'!D:D=$F$4,'领用录入（明细）'!C:C&gt;=$J$4,'领用录入（明细）'!C:C&lt;=$L$4),ROW(),"-")</f>
        <v>-</v>
      </c>
    </row>
    <row r="18504" customHeight="1" spans="2:2">
      <c r="B18504" s="62" t="str">
        <f>IF(AND('领用录入（明细）'!D:D=$F$4,'领用录入（明细）'!C:C&gt;=$J$4,'领用录入（明细）'!C:C&lt;=$L$4),ROW(),"-")</f>
        <v>-</v>
      </c>
    </row>
    <row r="18505" customHeight="1" spans="2:2">
      <c r="B18505" s="62" t="str">
        <f>IF(AND('领用录入（明细）'!D:D=$F$4,'领用录入（明细）'!C:C&gt;=$J$4,'领用录入（明细）'!C:C&lt;=$L$4),ROW(),"-")</f>
        <v>-</v>
      </c>
    </row>
    <row r="18506" customHeight="1" spans="2:2">
      <c r="B18506" s="62" t="str">
        <f>IF(AND('领用录入（明细）'!D:D=$F$4,'领用录入（明细）'!C:C&gt;=$J$4,'领用录入（明细）'!C:C&lt;=$L$4),ROW(),"-")</f>
        <v>-</v>
      </c>
    </row>
    <row r="18507" customHeight="1" spans="2:2">
      <c r="B18507" s="62" t="str">
        <f>IF(AND('领用录入（明细）'!D:D=$F$4,'领用录入（明细）'!C:C&gt;=$J$4,'领用录入（明细）'!C:C&lt;=$L$4),ROW(),"-")</f>
        <v>-</v>
      </c>
    </row>
    <row r="18508" customHeight="1" spans="2:2">
      <c r="B18508" s="62" t="str">
        <f>IF(AND('领用录入（明细）'!D:D=$F$4,'领用录入（明细）'!C:C&gt;=$J$4,'领用录入（明细）'!C:C&lt;=$L$4),ROW(),"-")</f>
        <v>-</v>
      </c>
    </row>
    <row r="18509" customHeight="1" spans="2:2">
      <c r="B18509" s="62" t="str">
        <f>IF(AND('领用录入（明细）'!D:D=$F$4,'领用录入（明细）'!C:C&gt;=$J$4,'领用录入（明细）'!C:C&lt;=$L$4),ROW(),"-")</f>
        <v>-</v>
      </c>
    </row>
    <row r="18510" customHeight="1" spans="2:2">
      <c r="B18510" s="62" t="str">
        <f>IF(AND('领用录入（明细）'!D:D=$F$4,'领用录入（明细）'!C:C&gt;=$J$4,'领用录入（明细）'!C:C&lt;=$L$4),ROW(),"-")</f>
        <v>-</v>
      </c>
    </row>
    <row r="18511" customHeight="1" spans="2:2">
      <c r="B18511" s="62" t="str">
        <f>IF(AND('领用录入（明细）'!D:D=$F$4,'领用录入（明细）'!C:C&gt;=$J$4,'领用录入（明细）'!C:C&lt;=$L$4),ROW(),"-")</f>
        <v>-</v>
      </c>
    </row>
    <row r="18512" customHeight="1" spans="2:2">
      <c r="B18512" s="62" t="str">
        <f>IF(AND('领用录入（明细）'!D:D=$F$4,'领用录入（明细）'!C:C&gt;=$J$4,'领用录入（明细）'!C:C&lt;=$L$4),ROW(),"-")</f>
        <v>-</v>
      </c>
    </row>
    <row r="18513" customHeight="1" spans="2:2">
      <c r="B18513" s="62" t="str">
        <f>IF(AND('领用录入（明细）'!D:D=$F$4,'领用录入（明细）'!C:C&gt;=$J$4,'领用录入（明细）'!C:C&lt;=$L$4),ROW(),"-")</f>
        <v>-</v>
      </c>
    </row>
    <row r="18514" customHeight="1" spans="2:2">
      <c r="B18514" s="62" t="str">
        <f>IF(AND('领用录入（明细）'!D:D=$F$4,'领用录入（明细）'!C:C&gt;=$J$4,'领用录入（明细）'!C:C&lt;=$L$4),ROW(),"-")</f>
        <v>-</v>
      </c>
    </row>
    <row r="18515" customHeight="1" spans="2:2">
      <c r="B18515" s="62" t="str">
        <f>IF(AND('领用录入（明细）'!D:D=$F$4,'领用录入（明细）'!C:C&gt;=$J$4,'领用录入（明细）'!C:C&lt;=$L$4),ROW(),"-")</f>
        <v>-</v>
      </c>
    </row>
    <row r="18516" customHeight="1" spans="2:2">
      <c r="B18516" s="62" t="str">
        <f>IF(AND('领用录入（明细）'!D:D=$F$4,'领用录入（明细）'!C:C&gt;=$J$4,'领用录入（明细）'!C:C&lt;=$L$4),ROW(),"-")</f>
        <v>-</v>
      </c>
    </row>
    <row r="18517" customHeight="1" spans="2:2">
      <c r="B18517" s="62" t="str">
        <f>IF(AND('领用录入（明细）'!D:D=$F$4,'领用录入（明细）'!C:C&gt;=$J$4,'领用录入（明细）'!C:C&lt;=$L$4),ROW(),"-")</f>
        <v>-</v>
      </c>
    </row>
    <row r="18518" customHeight="1" spans="2:2">
      <c r="B18518" s="62" t="str">
        <f>IF(AND('领用录入（明细）'!D:D=$F$4,'领用录入（明细）'!C:C&gt;=$J$4,'领用录入（明细）'!C:C&lt;=$L$4),ROW(),"-")</f>
        <v>-</v>
      </c>
    </row>
    <row r="18519" customHeight="1" spans="2:2">
      <c r="B18519" s="62" t="str">
        <f>IF(AND('领用录入（明细）'!D:D=$F$4,'领用录入（明细）'!C:C&gt;=$J$4,'领用录入（明细）'!C:C&lt;=$L$4),ROW(),"-")</f>
        <v>-</v>
      </c>
    </row>
    <row r="18520" customHeight="1" spans="2:2">
      <c r="B18520" s="62" t="str">
        <f>IF(AND('领用录入（明细）'!D:D=$F$4,'领用录入（明细）'!C:C&gt;=$J$4,'领用录入（明细）'!C:C&lt;=$L$4),ROW(),"-")</f>
        <v>-</v>
      </c>
    </row>
    <row r="18521" customHeight="1" spans="2:2">
      <c r="B18521" s="62" t="str">
        <f>IF(AND('领用录入（明细）'!D:D=$F$4,'领用录入（明细）'!C:C&gt;=$J$4,'领用录入（明细）'!C:C&lt;=$L$4),ROW(),"-")</f>
        <v>-</v>
      </c>
    </row>
    <row r="18522" customHeight="1" spans="2:2">
      <c r="B18522" s="62" t="str">
        <f>IF(AND('领用录入（明细）'!D:D=$F$4,'领用录入（明细）'!C:C&gt;=$J$4,'领用录入（明细）'!C:C&lt;=$L$4),ROW(),"-")</f>
        <v>-</v>
      </c>
    </row>
    <row r="18523" customHeight="1" spans="2:2">
      <c r="B18523" s="62" t="str">
        <f>IF(AND('领用录入（明细）'!D:D=$F$4,'领用录入（明细）'!C:C&gt;=$J$4,'领用录入（明细）'!C:C&lt;=$L$4),ROW(),"-")</f>
        <v>-</v>
      </c>
    </row>
    <row r="18524" customHeight="1" spans="2:2">
      <c r="B18524" s="62" t="str">
        <f>IF(AND('领用录入（明细）'!D:D=$F$4,'领用录入（明细）'!C:C&gt;=$J$4,'领用录入（明细）'!C:C&lt;=$L$4),ROW(),"-")</f>
        <v>-</v>
      </c>
    </row>
    <row r="18525" customHeight="1" spans="2:2">
      <c r="B18525" s="62" t="str">
        <f>IF(AND('领用录入（明细）'!D:D=$F$4,'领用录入（明细）'!C:C&gt;=$J$4,'领用录入（明细）'!C:C&lt;=$L$4),ROW(),"-")</f>
        <v>-</v>
      </c>
    </row>
    <row r="18526" customHeight="1" spans="2:2">
      <c r="B18526" s="62" t="str">
        <f>IF(AND('领用录入（明细）'!D:D=$F$4,'领用录入（明细）'!C:C&gt;=$J$4,'领用录入（明细）'!C:C&lt;=$L$4),ROW(),"-")</f>
        <v>-</v>
      </c>
    </row>
    <row r="18527" customHeight="1" spans="2:2">
      <c r="B18527" s="62" t="str">
        <f>IF(AND('领用录入（明细）'!D:D=$F$4,'领用录入（明细）'!C:C&gt;=$J$4,'领用录入（明细）'!C:C&lt;=$L$4),ROW(),"-")</f>
        <v>-</v>
      </c>
    </row>
    <row r="18528" customHeight="1" spans="2:2">
      <c r="B18528" s="62" t="str">
        <f>IF(AND('领用录入（明细）'!D:D=$F$4,'领用录入（明细）'!C:C&gt;=$J$4,'领用录入（明细）'!C:C&lt;=$L$4),ROW(),"-")</f>
        <v>-</v>
      </c>
    </row>
    <row r="18529" customHeight="1" spans="2:2">
      <c r="B18529" s="62" t="str">
        <f>IF(AND('领用录入（明细）'!D:D=$F$4,'领用录入（明细）'!C:C&gt;=$J$4,'领用录入（明细）'!C:C&lt;=$L$4),ROW(),"-")</f>
        <v>-</v>
      </c>
    </row>
    <row r="18530" customHeight="1" spans="2:2">
      <c r="B18530" s="62" t="str">
        <f>IF(AND('领用录入（明细）'!D:D=$F$4,'领用录入（明细）'!C:C&gt;=$J$4,'领用录入（明细）'!C:C&lt;=$L$4),ROW(),"-")</f>
        <v>-</v>
      </c>
    </row>
    <row r="18531" customHeight="1" spans="2:2">
      <c r="B18531" s="62" t="str">
        <f>IF(AND('领用录入（明细）'!D:D=$F$4,'领用录入（明细）'!C:C&gt;=$J$4,'领用录入（明细）'!C:C&lt;=$L$4),ROW(),"-")</f>
        <v>-</v>
      </c>
    </row>
    <row r="18532" customHeight="1" spans="2:2">
      <c r="B18532" s="62" t="str">
        <f>IF(AND('领用录入（明细）'!D:D=$F$4,'领用录入（明细）'!C:C&gt;=$J$4,'领用录入（明细）'!C:C&lt;=$L$4),ROW(),"-")</f>
        <v>-</v>
      </c>
    </row>
    <row r="18533" customHeight="1" spans="2:2">
      <c r="B18533" s="62" t="str">
        <f>IF(AND('领用录入（明细）'!D:D=$F$4,'领用录入（明细）'!C:C&gt;=$J$4,'领用录入（明细）'!C:C&lt;=$L$4),ROW(),"-")</f>
        <v>-</v>
      </c>
    </row>
    <row r="18534" customHeight="1" spans="2:2">
      <c r="B18534" s="62" t="str">
        <f>IF(AND('领用录入（明细）'!D:D=$F$4,'领用录入（明细）'!C:C&gt;=$J$4,'领用录入（明细）'!C:C&lt;=$L$4),ROW(),"-")</f>
        <v>-</v>
      </c>
    </row>
    <row r="18535" customHeight="1" spans="2:2">
      <c r="B18535" s="62" t="str">
        <f>IF(AND('领用录入（明细）'!D:D=$F$4,'领用录入（明细）'!C:C&gt;=$J$4,'领用录入（明细）'!C:C&lt;=$L$4),ROW(),"-")</f>
        <v>-</v>
      </c>
    </row>
    <row r="18536" customHeight="1" spans="2:2">
      <c r="B18536" s="62" t="str">
        <f>IF(AND('领用录入（明细）'!D:D=$F$4,'领用录入（明细）'!C:C&gt;=$J$4,'领用录入（明细）'!C:C&lt;=$L$4),ROW(),"-")</f>
        <v>-</v>
      </c>
    </row>
    <row r="18537" customHeight="1" spans="2:2">
      <c r="B18537" s="62" t="str">
        <f>IF(AND('领用录入（明细）'!D:D=$F$4,'领用录入（明细）'!C:C&gt;=$J$4,'领用录入（明细）'!C:C&lt;=$L$4),ROW(),"-")</f>
        <v>-</v>
      </c>
    </row>
    <row r="18538" customHeight="1" spans="2:2">
      <c r="B18538" s="62" t="str">
        <f>IF(AND('领用录入（明细）'!D:D=$F$4,'领用录入（明细）'!C:C&gt;=$J$4,'领用录入（明细）'!C:C&lt;=$L$4),ROW(),"-")</f>
        <v>-</v>
      </c>
    </row>
    <row r="18539" customHeight="1" spans="2:2">
      <c r="B18539" s="62" t="str">
        <f>IF(AND('领用录入（明细）'!D:D=$F$4,'领用录入（明细）'!C:C&gt;=$J$4,'领用录入（明细）'!C:C&lt;=$L$4),ROW(),"-")</f>
        <v>-</v>
      </c>
    </row>
    <row r="18540" customHeight="1" spans="2:2">
      <c r="B18540" s="62" t="str">
        <f>IF(AND('领用录入（明细）'!D:D=$F$4,'领用录入（明细）'!C:C&gt;=$J$4,'领用录入（明细）'!C:C&lt;=$L$4),ROW(),"-")</f>
        <v>-</v>
      </c>
    </row>
    <row r="18541" customHeight="1" spans="2:2">
      <c r="B18541" s="62" t="str">
        <f>IF(AND('领用录入（明细）'!D:D=$F$4,'领用录入（明细）'!C:C&gt;=$J$4,'领用录入（明细）'!C:C&lt;=$L$4),ROW(),"-")</f>
        <v>-</v>
      </c>
    </row>
    <row r="18542" customHeight="1" spans="2:2">
      <c r="B18542" s="62" t="str">
        <f>IF(AND('领用录入（明细）'!D:D=$F$4,'领用录入（明细）'!C:C&gt;=$J$4,'领用录入（明细）'!C:C&lt;=$L$4),ROW(),"-")</f>
        <v>-</v>
      </c>
    </row>
    <row r="18543" customHeight="1" spans="2:2">
      <c r="B18543" s="62" t="str">
        <f>IF(AND('领用录入（明细）'!D:D=$F$4,'领用录入（明细）'!C:C&gt;=$J$4,'领用录入（明细）'!C:C&lt;=$L$4),ROW(),"-")</f>
        <v>-</v>
      </c>
    </row>
    <row r="18544" customHeight="1" spans="2:2">
      <c r="B18544" s="62" t="str">
        <f>IF(AND('领用录入（明细）'!D:D=$F$4,'领用录入（明细）'!C:C&gt;=$J$4,'领用录入（明细）'!C:C&lt;=$L$4),ROW(),"-")</f>
        <v>-</v>
      </c>
    </row>
    <row r="18545" customHeight="1" spans="2:2">
      <c r="B18545" s="62" t="str">
        <f>IF(AND('领用录入（明细）'!D:D=$F$4,'领用录入（明细）'!C:C&gt;=$J$4,'领用录入（明细）'!C:C&lt;=$L$4),ROW(),"-")</f>
        <v>-</v>
      </c>
    </row>
    <row r="18546" customHeight="1" spans="2:2">
      <c r="B18546" s="62" t="str">
        <f>IF(AND('领用录入（明细）'!D:D=$F$4,'领用录入（明细）'!C:C&gt;=$J$4,'领用录入（明细）'!C:C&lt;=$L$4),ROW(),"-")</f>
        <v>-</v>
      </c>
    </row>
    <row r="18547" customHeight="1" spans="2:2">
      <c r="B18547" s="62" t="str">
        <f>IF(AND('领用录入（明细）'!D:D=$F$4,'领用录入（明细）'!C:C&gt;=$J$4,'领用录入（明细）'!C:C&lt;=$L$4),ROW(),"-")</f>
        <v>-</v>
      </c>
    </row>
    <row r="18548" customHeight="1" spans="2:2">
      <c r="B18548" s="62" t="str">
        <f>IF(AND('领用录入（明细）'!D:D=$F$4,'领用录入（明细）'!C:C&gt;=$J$4,'领用录入（明细）'!C:C&lt;=$L$4),ROW(),"-")</f>
        <v>-</v>
      </c>
    </row>
    <row r="18549" customHeight="1" spans="2:2">
      <c r="B18549" s="62" t="str">
        <f>IF(AND('领用录入（明细）'!D:D=$F$4,'领用录入（明细）'!C:C&gt;=$J$4,'领用录入（明细）'!C:C&lt;=$L$4),ROW(),"-")</f>
        <v>-</v>
      </c>
    </row>
    <row r="18550" customHeight="1" spans="2:2">
      <c r="B18550" s="62" t="str">
        <f>IF(AND('领用录入（明细）'!D:D=$F$4,'领用录入（明细）'!C:C&gt;=$J$4,'领用录入（明细）'!C:C&lt;=$L$4),ROW(),"-")</f>
        <v>-</v>
      </c>
    </row>
    <row r="18551" customHeight="1" spans="2:2">
      <c r="B18551" s="62" t="str">
        <f>IF(AND('领用录入（明细）'!D:D=$F$4,'领用录入（明细）'!C:C&gt;=$J$4,'领用录入（明细）'!C:C&lt;=$L$4),ROW(),"-")</f>
        <v>-</v>
      </c>
    </row>
    <row r="18552" customHeight="1" spans="2:2">
      <c r="B18552" s="62" t="str">
        <f>IF(AND('领用录入（明细）'!D:D=$F$4,'领用录入（明细）'!C:C&gt;=$J$4,'领用录入（明细）'!C:C&lt;=$L$4),ROW(),"-")</f>
        <v>-</v>
      </c>
    </row>
    <row r="18553" customHeight="1" spans="2:2">
      <c r="B18553" s="62" t="str">
        <f>IF(AND('领用录入（明细）'!D:D=$F$4,'领用录入（明细）'!C:C&gt;=$J$4,'领用录入（明细）'!C:C&lt;=$L$4),ROW(),"-")</f>
        <v>-</v>
      </c>
    </row>
    <row r="18554" customHeight="1" spans="2:2">
      <c r="B18554" s="62" t="str">
        <f>IF(AND('领用录入（明细）'!D:D=$F$4,'领用录入（明细）'!C:C&gt;=$J$4,'领用录入（明细）'!C:C&lt;=$L$4),ROW(),"-")</f>
        <v>-</v>
      </c>
    </row>
    <row r="18555" customHeight="1" spans="2:2">
      <c r="B18555" s="62" t="str">
        <f>IF(AND('领用录入（明细）'!D:D=$F$4,'领用录入（明细）'!C:C&gt;=$J$4,'领用录入（明细）'!C:C&lt;=$L$4),ROW(),"-")</f>
        <v>-</v>
      </c>
    </row>
    <row r="18556" customHeight="1" spans="2:2">
      <c r="B18556" s="62" t="str">
        <f>IF(AND('领用录入（明细）'!D:D=$F$4,'领用录入（明细）'!C:C&gt;=$J$4,'领用录入（明细）'!C:C&lt;=$L$4),ROW(),"-")</f>
        <v>-</v>
      </c>
    </row>
    <row r="18557" customHeight="1" spans="2:2">
      <c r="B18557" s="62" t="str">
        <f>IF(AND('领用录入（明细）'!D:D=$F$4,'领用录入（明细）'!C:C&gt;=$J$4,'领用录入（明细）'!C:C&lt;=$L$4),ROW(),"-")</f>
        <v>-</v>
      </c>
    </row>
    <row r="18558" customHeight="1" spans="2:2">
      <c r="B18558" s="62" t="str">
        <f>IF(AND('领用录入（明细）'!D:D=$F$4,'领用录入（明细）'!C:C&gt;=$J$4,'领用录入（明细）'!C:C&lt;=$L$4),ROW(),"-")</f>
        <v>-</v>
      </c>
    </row>
    <row r="18559" customHeight="1" spans="2:2">
      <c r="B18559" s="62" t="str">
        <f>IF(AND('领用录入（明细）'!D:D=$F$4,'领用录入（明细）'!C:C&gt;=$J$4,'领用录入（明细）'!C:C&lt;=$L$4),ROW(),"-")</f>
        <v>-</v>
      </c>
    </row>
    <row r="18560" customHeight="1" spans="2:2">
      <c r="B18560" s="62" t="str">
        <f>IF(AND('领用录入（明细）'!D:D=$F$4,'领用录入（明细）'!C:C&gt;=$J$4,'领用录入（明细）'!C:C&lt;=$L$4),ROW(),"-")</f>
        <v>-</v>
      </c>
    </row>
    <row r="18561" customHeight="1" spans="2:2">
      <c r="B18561" s="62" t="str">
        <f>IF(AND('领用录入（明细）'!D:D=$F$4,'领用录入（明细）'!C:C&gt;=$J$4,'领用录入（明细）'!C:C&lt;=$L$4),ROW(),"-")</f>
        <v>-</v>
      </c>
    </row>
    <row r="18562" customHeight="1" spans="2:2">
      <c r="B18562" s="62" t="str">
        <f>IF(AND('领用录入（明细）'!D:D=$F$4,'领用录入（明细）'!C:C&gt;=$J$4,'领用录入（明细）'!C:C&lt;=$L$4),ROW(),"-")</f>
        <v>-</v>
      </c>
    </row>
    <row r="18563" customHeight="1" spans="2:2">
      <c r="B18563" s="62" t="str">
        <f>IF(AND('领用录入（明细）'!D:D=$F$4,'领用录入（明细）'!C:C&gt;=$J$4,'领用录入（明细）'!C:C&lt;=$L$4),ROW(),"-")</f>
        <v>-</v>
      </c>
    </row>
    <row r="18564" customHeight="1" spans="2:2">
      <c r="B18564" s="62" t="str">
        <f>IF(AND('领用录入（明细）'!D:D=$F$4,'领用录入（明细）'!C:C&gt;=$J$4,'领用录入（明细）'!C:C&lt;=$L$4),ROW(),"-")</f>
        <v>-</v>
      </c>
    </row>
    <row r="18565" customHeight="1" spans="2:2">
      <c r="B18565" s="62" t="str">
        <f>IF(AND('领用录入（明细）'!D:D=$F$4,'领用录入（明细）'!C:C&gt;=$J$4,'领用录入（明细）'!C:C&lt;=$L$4),ROW(),"-")</f>
        <v>-</v>
      </c>
    </row>
    <row r="18566" customHeight="1" spans="2:2">
      <c r="B18566" s="62" t="str">
        <f>IF(AND('领用录入（明细）'!D:D=$F$4,'领用录入（明细）'!C:C&gt;=$J$4,'领用录入（明细）'!C:C&lt;=$L$4),ROW(),"-")</f>
        <v>-</v>
      </c>
    </row>
    <row r="18567" customHeight="1" spans="2:2">
      <c r="B18567" s="62" t="str">
        <f>IF(AND('领用录入（明细）'!D:D=$F$4,'领用录入（明细）'!C:C&gt;=$J$4,'领用录入（明细）'!C:C&lt;=$L$4),ROW(),"-")</f>
        <v>-</v>
      </c>
    </row>
    <row r="18568" customHeight="1" spans="2:2">
      <c r="B18568" s="62" t="str">
        <f>IF(AND('领用录入（明细）'!D:D=$F$4,'领用录入（明细）'!C:C&gt;=$J$4,'领用录入（明细）'!C:C&lt;=$L$4),ROW(),"-")</f>
        <v>-</v>
      </c>
    </row>
    <row r="18569" customHeight="1" spans="2:2">
      <c r="B18569" s="62" t="str">
        <f>IF(AND('领用录入（明细）'!D:D=$F$4,'领用录入（明细）'!C:C&gt;=$J$4,'领用录入（明细）'!C:C&lt;=$L$4),ROW(),"-")</f>
        <v>-</v>
      </c>
    </row>
    <row r="18570" customHeight="1" spans="2:2">
      <c r="B18570" s="62" t="str">
        <f>IF(AND('领用录入（明细）'!D:D=$F$4,'领用录入（明细）'!C:C&gt;=$J$4,'领用录入（明细）'!C:C&lt;=$L$4),ROW(),"-")</f>
        <v>-</v>
      </c>
    </row>
    <row r="18571" customHeight="1" spans="2:2">
      <c r="B18571" s="62" t="str">
        <f>IF(AND('领用录入（明细）'!D:D=$F$4,'领用录入（明细）'!C:C&gt;=$J$4,'领用录入（明细）'!C:C&lt;=$L$4),ROW(),"-")</f>
        <v>-</v>
      </c>
    </row>
    <row r="18572" customHeight="1" spans="2:2">
      <c r="B18572" s="62" t="str">
        <f>IF(AND('领用录入（明细）'!D:D=$F$4,'领用录入（明细）'!C:C&gt;=$J$4,'领用录入（明细）'!C:C&lt;=$L$4),ROW(),"-")</f>
        <v>-</v>
      </c>
    </row>
    <row r="18573" customHeight="1" spans="2:2">
      <c r="B18573" s="62" t="str">
        <f>IF(AND('领用录入（明细）'!D:D=$F$4,'领用录入（明细）'!C:C&gt;=$J$4,'领用录入（明细）'!C:C&lt;=$L$4),ROW(),"-")</f>
        <v>-</v>
      </c>
    </row>
    <row r="18574" customHeight="1" spans="2:2">
      <c r="B18574" s="62" t="str">
        <f>IF(AND('领用录入（明细）'!D:D=$F$4,'领用录入（明细）'!C:C&gt;=$J$4,'领用录入（明细）'!C:C&lt;=$L$4),ROW(),"-")</f>
        <v>-</v>
      </c>
    </row>
    <row r="18575" customHeight="1" spans="2:2">
      <c r="B18575" s="62" t="str">
        <f>IF(AND('领用录入（明细）'!D:D=$F$4,'领用录入（明细）'!C:C&gt;=$J$4,'领用录入（明细）'!C:C&lt;=$L$4),ROW(),"-")</f>
        <v>-</v>
      </c>
    </row>
    <row r="18576" customHeight="1" spans="2:2">
      <c r="B18576" s="62" t="str">
        <f>IF(AND('领用录入（明细）'!D:D=$F$4,'领用录入（明细）'!C:C&gt;=$J$4,'领用录入（明细）'!C:C&lt;=$L$4),ROW(),"-")</f>
        <v>-</v>
      </c>
    </row>
    <row r="18577" customHeight="1" spans="2:2">
      <c r="B18577" s="62" t="str">
        <f>IF(AND('领用录入（明细）'!D:D=$F$4,'领用录入（明细）'!C:C&gt;=$J$4,'领用录入（明细）'!C:C&lt;=$L$4),ROW(),"-")</f>
        <v>-</v>
      </c>
    </row>
    <row r="18578" customHeight="1" spans="2:2">
      <c r="B18578" s="62" t="str">
        <f>IF(AND('领用录入（明细）'!D:D=$F$4,'领用录入（明细）'!C:C&gt;=$J$4,'领用录入（明细）'!C:C&lt;=$L$4),ROW(),"-")</f>
        <v>-</v>
      </c>
    </row>
    <row r="18579" customHeight="1" spans="2:2">
      <c r="B18579" s="62" t="str">
        <f>IF(AND('领用录入（明细）'!D:D=$F$4,'领用录入（明细）'!C:C&gt;=$J$4,'领用录入（明细）'!C:C&lt;=$L$4),ROW(),"-")</f>
        <v>-</v>
      </c>
    </row>
    <row r="18580" customHeight="1" spans="2:2">
      <c r="B18580" s="62" t="str">
        <f>IF(AND('领用录入（明细）'!D:D=$F$4,'领用录入（明细）'!C:C&gt;=$J$4,'领用录入（明细）'!C:C&lt;=$L$4),ROW(),"-")</f>
        <v>-</v>
      </c>
    </row>
    <row r="18581" customHeight="1" spans="2:2">
      <c r="B18581" s="62" t="str">
        <f>IF(AND('领用录入（明细）'!D:D=$F$4,'领用录入（明细）'!C:C&gt;=$J$4,'领用录入（明细）'!C:C&lt;=$L$4),ROW(),"-")</f>
        <v>-</v>
      </c>
    </row>
    <row r="18582" customHeight="1" spans="2:2">
      <c r="B18582" s="62" t="str">
        <f>IF(AND('领用录入（明细）'!D:D=$F$4,'领用录入（明细）'!C:C&gt;=$J$4,'领用录入（明细）'!C:C&lt;=$L$4),ROW(),"-")</f>
        <v>-</v>
      </c>
    </row>
    <row r="18583" customHeight="1" spans="2:2">
      <c r="B18583" s="62" t="str">
        <f>IF(AND('领用录入（明细）'!D:D=$F$4,'领用录入（明细）'!C:C&gt;=$J$4,'领用录入（明细）'!C:C&lt;=$L$4),ROW(),"-")</f>
        <v>-</v>
      </c>
    </row>
    <row r="18584" customHeight="1" spans="2:2">
      <c r="B18584" s="62" t="str">
        <f>IF(AND('领用录入（明细）'!D:D=$F$4,'领用录入（明细）'!C:C&gt;=$J$4,'领用录入（明细）'!C:C&lt;=$L$4),ROW(),"-")</f>
        <v>-</v>
      </c>
    </row>
    <row r="18585" customHeight="1" spans="2:2">
      <c r="B18585" s="62" t="str">
        <f>IF(AND('领用录入（明细）'!D:D=$F$4,'领用录入（明细）'!C:C&gt;=$J$4,'领用录入（明细）'!C:C&lt;=$L$4),ROW(),"-")</f>
        <v>-</v>
      </c>
    </row>
    <row r="18586" customHeight="1" spans="2:2">
      <c r="B18586" s="62" t="str">
        <f>IF(AND('领用录入（明细）'!D:D=$F$4,'领用录入（明细）'!C:C&gt;=$J$4,'领用录入（明细）'!C:C&lt;=$L$4),ROW(),"-")</f>
        <v>-</v>
      </c>
    </row>
    <row r="18587" customHeight="1" spans="2:2">
      <c r="B18587" s="62" t="str">
        <f>IF(AND('领用录入（明细）'!D:D=$F$4,'领用录入（明细）'!C:C&gt;=$J$4,'领用录入（明细）'!C:C&lt;=$L$4),ROW(),"-")</f>
        <v>-</v>
      </c>
    </row>
    <row r="18588" customHeight="1" spans="2:2">
      <c r="B18588" s="62" t="str">
        <f>IF(AND('领用录入（明细）'!D:D=$F$4,'领用录入（明细）'!C:C&gt;=$J$4,'领用录入（明细）'!C:C&lt;=$L$4),ROW(),"-")</f>
        <v>-</v>
      </c>
    </row>
    <row r="18589" customHeight="1" spans="2:2">
      <c r="B18589" s="62" t="str">
        <f>IF(AND('领用录入（明细）'!D:D=$F$4,'领用录入（明细）'!C:C&gt;=$J$4,'领用录入（明细）'!C:C&lt;=$L$4),ROW(),"-")</f>
        <v>-</v>
      </c>
    </row>
    <row r="18590" customHeight="1" spans="2:2">
      <c r="B18590" s="62" t="str">
        <f>IF(AND('领用录入（明细）'!D:D=$F$4,'领用录入（明细）'!C:C&gt;=$J$4,'领用录入（明细）'!C:C&lt;=$L$4),ROW(),"-")</f>
        <v>-</v>
      </c>
    </row>
    <row r="18591" customHeight="1" spans="2:2">
      <c r="B18591" s="62" t="str">
        <f>IF(AND('领用录入（明细）'!D:D=$F$4,'领用录入（明细）'!C:C&gt;=$J$4,'领用录入（明细）'!C:C&lt;=$L$4),ROW(),"-")</f>
        <v>-</v>
      </c>
    </row>
    <row r="18592" customHeight="1" spans="2:2">
      <c r="B18592" s="62" t="str">
        <f>IF(AND('领用录入（明细）'!D:D=$F$4,'领用录入（明细）'!C:C&gt;=$J$4,'领用录入（明细）'!C:C&lt;=$L$4),ROW(),"-")</f>
        <v>-</v>
      </c>
    </row>
    <row r="18593" customHeight="1" spans="2:2">
      <c r="B18593" s="62" t="str">
        <f>IF(AND('领用录入（明细）'!D:D=$F$4,'领用录入（明细）'!C:C&gt;=$J$4,'领用录入（明细）'!C:C&lt;=$L$4),ROW(),"-")</f>
        <v>-</v>
      </c>
    </row>
    <row r="18594" customHeight="1" spans="2:2">
      <c r="B18594" s="62" t="str">
        <f>IF(AND('领用录入（明细）'!D:D=$F$4,'领用录入（明细）'!C:C&gt;=$J$4,'领用录入（明细）'!C:C&lt;=$L$4),ROW(),"-")</f>
        <v>-</v>
      </c>
    </row>
    <row r="18595" customHeight="1" spans="2:2">
      <c r="B18595" s="62" t="str">
        <f>IF(AND('领用录入（明细）'!D:D=$F$4,'领用录入（明细）'!C:C&gt;=$J$4,'领用录入（明细）'!C:C&lt;=$L$4),ROW(),"-")</f>
        <v>-</v>
      </c>
    </row>
    <row r="18596" customHeight="1" spans="2:2">
      <c r="B18596" s="62" t="str">
        <f>IF(AND('领用录入（明细）'!D:D=$F$4,'领用录入（明细）'!C:C&gt;=$J$4,'领用录入（明细）'!C:C&lt;=$L$4),ROW(),"-")</f>
        <v>-</v>
      </c>
    </row>
    <row r="18597" customHeight="1" spans="2:2">
      <c r="B18597" s="62" t="str">
        <f>IF(AND('领用录入（明细）'!D:D=$F$4,'领用录入（明细）'!C:C&gt;=$J$4,'领用录入（明细）'!C:C&lt;=$L$4),ROW(),"-")</f>
        <v>-</v>
      </c>
    </row>
    <row r="18598" customHeight="1" spans="2:2">
      <c r="B18598" s="62" t="str">
        <f>IF(AND('领用录入（明细）'!D:D=$F$4,'领用录入（明细）'!C:C&gt;=$J$4,'领用录入（明细）'!C:C&lt;=$L$4),ROW(),"-")</f>
        <v>-</v>
      </c>
    </row>
    <row r="18599" customHeight="1" spans="2:2">
      <c r="B18599" s="62" t="str">
        <f>IF(AND('领用录入（明细）'!D:D=$F$4,'领用录入（明细）'!C:C&gt;=$J$4,'领用录入（明细）'!C:C&lt;=$L$4),ROW(),"-")</f>
        <v>-</v>
      </c>
    </row>
    <row r="18600" customHeight="1" spans="2:2">
      <c r="B18600" s="62" t="str">
        <f>IF(AND('领用录入（明细）'!D:D=$F$4,'领用录入（明细）'!C:C&gt;=$J$4,'领用录入（明细）'!C:C&lt;=$L$4),ROW(),"-")</f>
        <v>-</v>
      </c>
    </row>
    <row r="18601" customHeight="1" spans="2:2">
      <c r="B18601" s="62" t="str">
        <f>IF(AND('领用录入（明细）'!D:D=$F$4,'领用录入（明细）'!C:C&gt;=$J$4,'领用录入（明细）'!C:C&lt;=$L$4),ROW(),"-")</f>
        <v>-</v>
      </c>
    </row>
    <row r="18602" customHeight="1" spans="2:2">
      <c r="B18602" s="62" t="str">
        <f>IF(AND('领用录入（明细）'!D:D=$F$4,'领用录入（明细）'!C:C&gt;=$J$4,'领用录入（明细）'!C:C&lt;=$L$4),ROW(),"-")</f>
        <v>-</v>
      </c>
    </row>
    <row r="18603" customHeight="1" spans="2:2">
      <c r="B18603" s="62" t="str">
        <f>IF(AND('领用录入（明细）'!D:D=$F$4,'领用录入（明细）'!C:C&gt;=$J$4,'领用录入（明细）'!C:C&lt;=$L$4),ROW(),"-")</f>
        <v>-</v>
      </c>
    </row>
    <row r="18604" customHeight="1" spans="2:2">
      <c r="B18604" s="62" t="str">
        <f>IF(AND('领用录入（明细）'!D:D=$F$4,'领用录入（明细）'!C:C&gt;=$J$4,'领用录入（明细）'!C:C&lt;=$L$4),ROW(),"-")</f>
        <v>-</v>
      </c>
    </row>
    <row r="18605" customHeight="1" spans="2:2">
      <c r="B18605" s="62" t="str">
        <f>IF(AND('领用录入（明细）'!D:D=$F$4,'领用录入（明细）'!C:C&gt;=$J$4,'领用录入（明细）'!C:C&lt;=$L$4),ROW(),"-")</f>
        <v>-</v>
      </c>
    </row>
    <row r="18606" customHeight="1" spans="2:2">
      <c r="B18606" s="62" t="str">
        <f>IF(AND('领用录入（明细）'!D:D=$F$4,'领用录入（明细）'!C:C&gt;=$J$4,'领用录入（明细）'!C:C&lt;=$L$4),ROW(),"-")</f>
        <v>-</v>
      </c>
    </row>
    <row r="18607" customHeight="1" spans="2:2">
      <c r="B18607" s="62" t="str">
        <f>IF(AND('领用录入（明细）'!D:D=$F$4,'领用录入（明细）'!C:C&gt;=$J$4,'领用录入（明细）'!C:C&lt;=$L$4),ROW(),"-")</f>
        <v>-</v>
      </c>
    </row>
    <row r="18608" customHeight="1" spans="2:2">
      <c r="B18608" s="62" t="str">
        <f>IF(AND('领用录入（明细）'!D:D=$F$4,'领用录入（明细）'!C:C&gt;=$J$4,'领用录入（明细）'!C:C&lt;=$L$4),ROW(),"-")</f>
        <v>-</v>
      </c>
    </row>
    <row r="18609" customHeight="1" spans="2:2">
      <c r="B18609" s="62" t="str">
        <f>IF(AND('领用录入（明细）'!D:D=$F$4,'领用录入（明细）'!C:C&gt;=$J$4,'领用录入（明细）'!C:C&lt;=$L$4),ROW(),"-")</f>
        <v>-</v>
      </c>
    </row>
    <row r="18610" customHeight="1" spans="2:2">
      <c r="B18610" s="62" t="str">
        <f>IF(AND('领用录入（明细）'!D:D=$F$4,'领用录入（明细）'!C:C&gt;=$J$4,'领用录入（明细）'!C:C&lt;=$L$4),ROW(),"-")</f>
        <v>-</v>
      </c>
    </row>
    <row r="18611" customHeight="1" spans="2:2">
      <c r="B18611" s="62" t="str">
        <f>IF(AND('领用录入（明细）'!D:D=$F$4,'领用录入（明细）'!C:C&gt;=$J$4,'领用录入（明细）'!C:C&lt;=$L$4),ROW(),"-")</f>
        <v>-</v>
      </c>
    </row>
    <row r="18612" customHeight="1" spans="2:2">
      <c r="B18612" s="62" t="str">
        <f>IF(AND('领用录入（明细）'!D:D=$F$4,'领用录入（明细）'!C:C&gt;=$J$4,'领用录入（明细）'!C:C&lt;=$L$4),ROW(),"-")</f>
        <v>-</v>
      </c>
    </row>
    <row r="18613" customHeight="1" spans="2:2">
      <c r="B18613" s="62" t="str">
        <f>IF(AND('领用录入（明细）'!D:D=$F$4,'领用录入（明细）'!C:C&gt;=$J$4,'领用录入（明细）'!C:C&lt;=$L$4),ROW(),"-")</f>
        <v>-</v>
      </c>
    </row>
    <row r="18614" customHeight="1" spans="2:2">
      <c r="B18614" s="62" t="str">
        <f>IF(AND('领用录入（明细）'!D:D=$F$4,'领用录入（明细）'!C:C&gt;=$J$4,'领用录入（明细）'!C:C&lt;=$L$4),ROW(),"-")</f>
        <v>-</v>
      </c>
    </row>
    <row r="18615" customHeight="1" spans="2:2">
      <c r="B18615" s="62" t="str">
        <f>IF(AND('领用录入（明细）'!D:D=$F$4,'领用录入（明细）'!C:C&gt;=$J$4,'领用录入（明细）'!C:C&lt;=$L$4),ROW(),"-")</f>
        <v>-</v>
      </c>
    </row>
    <row r="18616" customHeight="1" spans="2:2">
      <c r="B18616" s="62" t="str">
        <f>IF(AND('领用录入（明细）'!D:D=$F$4,'领用录入（明细）'!C:C&gt;=$J$4,'领用录入（明细）'!C:C&lt;=$L$4),ROW(),"-")</f>
        <v>-</v>
      </c>
    </row>
    <row r="18617" customHeight="1" spans="2:2">
      <c r="B18617" s="62" t="str">
        <f>IF(AND('领用录入（明细）'!D:D=$F$4,'领用录入（明细）'!C:C&gt;=$J$4,'领用录入（明细）'!C:C&lt;=$L$4),ROW(),"-")</f>
        <v>-</v>
      </c>
    </row>
    <row r="18618" customHeight="1" spans="2:2">
      <c r="B18618" s="62" t="str">
        <f>IF(AND('领用录入（明细）'!D:D=$F$4,'领用录入（明细）'!C:C&gt;=$J$4,'领用录入（明细）'!C:C&lt;=$L$4),ROW(),"-")</f>
        <v>-</v>
      </c>
    </row>
    <row r="18619" customHeight="1" spans="2:2">
      <c r="B18619" s="62" t="str">
        <f>IF(AND('领用录入（明细）'!D:D=$F$4,'领用录入（明细）'!C:C&gt;=$J$4,'领用录入（明细）'!C:C&lt;=$L$4),ROW(),"-")</f>
        <v>-</v>
      </c>
    </row>
    <row r="18620" customHeight="1" spans="2:2">
      <c r="B18620" s="62" t="str">
        <f>IF(AND('领用录入（明细）'!D:D=$F$4,'领用录入（明细）'!C:C&gt;=$J$4,'领用录入（明细）'!C:C&lt;=$L$4),ROW(),"-")</f>
        <v>-</v>
      </c>
    </row>
    <row r="18621" customHeight="1" spans="2:2">
      <c r="B18621" s="62" t="str">
        <f>IF(AND('领用录入（明细）'!D:D=$F$4,'领用录入（明细）'!C:C&gt;=$J$4,'领用录入（明细）'!C:C&lt;=$L$4),ROW(),"-")</f>
        <v>-</v>
      </c>
    </row>
    <row r="18622" customHeight="1" spans="2:2">
      <c r="B18622" s="62" t="str">
        <f>IF(AND('领用录入（明细）'!D:D=$F$4,'领用录入（明细）'!C:C&gt;=$J$4,'领用录入（明细）'!C:C&lt;=$L$4),ROW(),"-")</f>
        <v>-</v>
      </c>
    </row>
    <row r="18623" customHeight="1" spans="2:2">
      <c r="B18623" s="62" t="str">
        <f>IF(AND('领用录入（明细）'!D:D=$F$4,'领用录入（明细）'!C:C&gt;=$J$4,'领用录入（明细）'!C:C&lt;=$L$4),ROW(),"-")</f>
        <v>-</v>
      </c>
    </row>
    <row r="18624" customHeight="1" spans="2:2">
      <c r="B18624" s="62" t="str">
        <f>IF(AND('领用录入（明细）'!D:D=$F$4,'领用录入（明细）'!C:C&gt;=$J$4,'领用录入（明细）'!C:C&lt;=$L$4),ROW(),"-")</f>
        <v>-</v>
      </c>
    </row>
    <row r="18625" customHeight="1" spans="2:2">
      <c r="B18625" s="62" t="str">
        <f>IF(AND('领用录入（明细）'!D:D=$F$4,'领用录入（明细）'!C:C&gt;=$J$4,'领用录入（明细）'!C:C&lt;=$L$4),ROW(),"-")</f>
        <v>-</v>
      </c>
    </row>
    <row r="18626" customHeight="1" spans="2:2">
      <c r="B18626" s="62" t="str">
        <f>IF(AND('领用录入（明细）'!D:D=$F$4,'领用录入（明细）'!C:C&gt;=$J$4,'领用录入（明细）'!C:C&lt;=$L$4),ROW(),"-")</f>
        <v>-</v>
      </c>
    </row>
    <row r="18627" customHeight="1" spans="2:2">
      <c r="B18627" s="62" t="str">
        <f>IF(AND('领用录入（明细）'!D:D=$F$4,'领用录入（明细）'!C:C&gt;=$J$4,'领用录入（明细）'!C:C&lt;=$L$4),ROW(),"-")</f>
        <v>-</v>
      </c>
    </row>
    <row r="18628" customHeight="1" spans="2:2">
      <c r="B18628" s="62" t="str">
        <f>IF(AND('领用录入（明细）'!D:D=$F$4,'领用录入（明细）'!C:C&gt;=$J$4,'领用录入（明细）'!C:C&lt;=$L$4),ROW(),"-")</f>
        <v>-</v>
      </c>
    </row>
    <row r="18629" customHeight="1" spans="2:2">
      <c r="B18629" s="62" t="str">
        <f>IF(AND('领用录入（明细）'!D:D=$F$4,'领用录入（明细）'!C:C&gt;=$J$4,'领用录入（明细）'!C:C&lt;=$L$4),ROW(),"-")</f>
        <v>-</v>
      </c>
    </row>
    <row r="18630" customHeight="1" spans="2:2">
      <c r="B18630" s="62" t="str">
        <f>IF(AND('领用录入（明细）'!D:D=$F$4,'领用录入（明细）'!C:C&gt;=$J$4,'领用录入（明细）'!C:C&lt;=$L$4),ROW(),"-")</f>
        <v>-</v>
      </c>
    </row>
    <row r="18631" customHeight="1" spans="2:2">
      <c r="B18631" s="62" t="str">
        <f>IF(AND('领用录入（明细）'!D:D=$F$4,'领用录入（明细）'!C:C&gt;=$J$4,'领用录入（明细）'!C:C&lt;=$L$4),ROW(),"-")</f>
        <v>-</v>
      </c>
    </row>
    <row r="18632" customHeight="1" spans="2:2">
      <c r="B18632" s="62" t="str">
        <f>IF(AND('领用录入（明细）'!D:D=$F$4,'领用录入（明细）'!C:C&gt;=$J$4,'领用录入（明细）'!C:C&lt;=$L$4),ROW(),"-")</f>
        <v>-</v>
      </c>
    </row>
    <row r="18633" customHeight="1" spans="2:2">
      <c r="B18633" s="62" t="str">
        <f>IF(AND('领用录入（明细）'!D:D=$F$4,'领用录入（明细）'!C:C&gt;=$J$4,'领用录入（明细）'!C:C&lt;=$L$4),ROW(),"-")</f>
        <v>-</v>
      </c>
    </row>
    <row r="18634" customHeight="1" spans="2:2">
      <c r="B18634" s="62" t="str">
        <f>IF(AND('领用录入（明细）'!D:D=$F$4,'领用录入（明细）'!C:C&gt;=$J$4,'领用录入（明细）'!C:C&lt;=$L$4),ROW(),"-")</f>
        <v>-</v>
      </c>
    </row>
    <row r="18635" customHeight="1" spans="2:2">
      <c r="B18635" s="62" t="str">
        <f>IF(AND('领用录入（明细）'!D:D=$F$4,'领用录入（明细）'!C:C&gt;=$J$4,'领用录入（明细）'!C:C&lt;=$L$4),ROW(),"-")</f>
        <v>-</v>
      </c>
    </row>
    <row r="18636" customHeight="1" spans="2:2">
      <c r="B18636" s="62" t="str">
        <f>IF(AND('领用录入（明细）'!D:D=$F$4,'领用录入（明细）'!C:C&gt;=$J$4,'领用录入（明细）'!C:C&lt;=$L$4),ROW(),"-")</f>
        <v>-</v>
      </c>
    </row>
    <row r="18637" customHeight="1" spans="2:2">
      <c r="B18637" s="62" t="str">
        <f>IF(AND('领用录入（明细）'!D:D=$F$4,'领用录入（明细）'!C:C&gt;=$J$4,'领用录入（明细）'!C:C&lt;=$L$4),ROW(),"-")</f>
        <v>-</v>
      </c>
    </row>
    <row r="18638" customHeight="1" spans="2:2">
      <c r="B18638" s="62" t="str">
        <f>IF(AND('领用录入（明细）'!D:D=$F$4,'领用录入（明细）'!C:C&gt;=$J$4,'领用录入（明细）'!C:C&lt;=$L$4),ROW(),"-")</f>
        <v>-</v>
      </c>
    </row>
    <row r="18639" customHeight="1" spans="2:2">
      <c r="B18639" s="62" t="str">
        <f>IF(AND('领用录入（明细）'!D:D=$F$4,'领用录入（明细）'!C:C&gt;=$J$4,'领用录入（明细）'!C:C&lt;=$L$4),ROW(),"-")</f>
        <v>-</v>
      </c>
    </row>
    <row r="18640" customHeight="1" spans="2:2">
      <c r="B18640" s="62" t="str">
        <f>IF(AND('领用录入（明细）'!D:D=$F$4,'领用录入（明细）'!C:C&gt;=$J$4,'领用录入（明细）'!C:C&lt;=$L$4),ROW(),"-")</f>
        <v>-</v>
      </c>
    </row>
    <row r="18641" customHeight="1" spans="2:2">
      <c r="B18641" s="62" t="str">
        <f>IF(AND('领用录入（明细）'!D:D=$F$4,'领用录入（明细）'!C:C&gt;=$J$4,'领用录入（明细）'!C:C&lt;=$L$4),ROW(),"-")</f>
        <v>-</v>
      </c>
    </row>
    <row r="18642" customHeight="1" spans="2:2">
      <c r="B18642" s="62" t="str">
        <f>IF(AND('领用录入（明细）'!D:D=$F$4,'领用录入（明细）'!C:C&gt;=$J$4,'领用录入（明细）'!C:C&lt;=$L$4),ROW(),"-")</f>
        <v>-</v>
      </c>
    </row>
    <row r="18643" customHeight="1" spans="2:2">
      <c r="B18643" s="62" t="str">
        <f>IF(AND('领用录入（明细）'!D:D=$F$4,'领用录入（明细）'!C:C&gt;=$J$4,'领用录入（明细）'!C:C&lt;=$L$4),ROW(),"-")</f>
        <v>-</v>
      </c>
    </row>
    <row r="18644" customHeight="1" spans="2:2">
      <c r="B18644" s="62" t="str">
        <f>IF(AND('领用录入（明细）'!D:D=$F$4,'领用录入（明细）'!C:C&gt;=$J$4,'领用录入（明细）'!C:C&lt;=$L$4),ROW(),"-")</f>
        <v>-</v>
      </c>
    </row>
    <row r="18645" customHeight="1" spans="2:2">
      <c r="B18645" s="62" t="str">
        <f>IF(AND('领用录入（明细）'!D:D=$F$4,'领用录入（明细）'!C:C&gt;=$J$4,'领用录入（明细）'!C:C&lt;=$L$4),ROW(),"-")</f>
        <v>-</v>
      </c>
    </row>
    <row r="18646" customHeight="1" spans="2:2">
      <c r="B18646" s="62" t="str">
        <f>IF(AND('领用录入（明细）'!D:D=$F$4,'领用录入（明细）'!C:C&gt;=$J$4,'领用录入（明细）'!C:C&lt;=$L$4),ROW(),"-")</f>
        <v>-</v>
      </c>
    </row>
    <row r="18647" customHeight="1" spans="2:2">
      <c r="B18647" s="62" t="str">
        <f>IF(AND('领用录入（明细）'!D:D=$F$4,'领用录入（明细）'!C:C&gt;=$J$4,'领用录入（明细）'!C:C&lt;=$L$4),ROW(),"-")</f>
        <v>-</v>
      </c>
    </row>
    <row r="18648" customHeight="1" spans="2:2">
      <c r="B18648" s="62" t="str">
        <f>IF(AND('领用录入（明细）'!D:D=$F$4,'领用录入（明细）'!C:C&gt;=$J$4,'领用录入（明细）'!C:C&lt;=$L$4),ROW(),"-")</f>
        <v>-</v>
      </c>
    </row>
    <row r="18649" customHeight="1" spans="2:2">
      <c r="B18649" s="62" t="str">
        <f>IF(AND('领用录入（明细）'!D:D=$F$4,'领用录入（明细）'!C:C&gt;=$J$4,'领用录入（明细）'!C:C&lt;=$L$4),ROW(),"-")</f>
        <v>-</v>
      </c>
    </row>
    <row r="18650" customHeight="1" spans="2:2">
      <c r="B18650" s="62" t="str">
        <f>IF(AND('领用录入（明细）'!D:D=$F$4,'领用录入（明细）'!C:C&gt;=$J$4,'领用录入（明细）'!C:C&lt;=$L$4),ROW(),"-")</f>
        <v>-</v>
      </c>
    </row>
    <row r="18651" customHeight="1" spans="2:2">
      <c r="B18651" s="62" t="str">
        <f>IF(AND('领用录入（明细）'!D:D=$F$4,'领用录入（明细）'!C:C&gt;=$J$4,'领用录入（明细）'!C:C&lt;=$L$4),ROW(),"-")</f>
        <v>-</v>
      </c>
    </row>
    <row r="18652" customHeight="1" spans="2:2">
      <c r="B18652" s="62" t="str">
        <f>IF(AND('领用录入（明细）'!D:D=$F$4,'领用录入（明细）'!C:C&gt;=$J$4,'领用录入（明细）'!C:C&lt;=$L$4),ROW(),"-")</f>
        <v>-</v>
      </c>
    </row>
    <row r="18653" customHeight="1" spans="2:2">
      <c r="B18653" s="62" t="str">
        <f>IF(AND('领用录入（明细）'!D:D=$F$4,'领用录入（明细）'!C:C&gt;=$J$4,'领用录入（明细）'!C:C&lt;=$L$4),ROW(),"-")</f>
        <v>-</v>
      </c>
    </row>
    <row r="18654" customHeight="1" spans="2:2">
      <c r="B18654" s="62" t="str">
        <f>IF(AND('领用录入（明细）'!D:D=$F$4,'领用录入（明细）'!C:C&gt;=$J$4,'领用录入（明细）'!C:C&lt;=$L$4),ROW(),"-")</f>
        <v>-</v>
      </c>
    </row>
    <row r="18655" customHeight="1" spans="2:2">
      <c r="B18655" s="62" t="str">
        <f>IF(AND('领用录入（明细）'!D:D=$F$4,'领用录入（明细）'!C:C&gt;=$J$4,'领用录入（明细）'!C:C&lt;=$L$4),ROW(),"-")</f>
        <v>-</v>
      </c>
    </row>
    <row r="18656" customHeight="1" spans="2:2">
      <c r="B18656" s="62" t="str">
        <f>IF(AND('领用录入（明细）'!D:D=$F$4,'领用录入（明细）'!C:C&gt;=$J$4,'领用录入（明细）'!C:C&lt;=$L$4),ROW(),"-")</f>
        <v>-</v>
      </c>
    </row>
    <row r="18657" customHeight="1" spans="2:2">
      <c r="B18657" s="62" t="str">
        <f>IF(AND('领用录入（明细）'!D:D=$F$4,'领用录入（明细）'!C:C&gt;=$J$4,'领用录入（明细）'!C:C&lt;=$L$4),ROW(),"-")</f>
        <v>-</v>
      </c>
    </row>
    <row r="18658" customHeight="1" spans="2:2">
      <c r="B18658" s="62" t="str">
        <f>IF(AND('领用录入（明细）'!D:D=$F$4,'领用录入（明细）'!C:C&gt;=$J$4,'领用录入（明细）'!C:C&lt;=$L$4),ROW(),"-")</f>
        <v>-</v>
      </c>
    </row>
    <row r="18659" customHeight="1" spans="2:2">
      <c r="B18659" s="62" t="str">
        <f>IF(AND('领用录入（明细）'!D:D=$F$4,'领用录入（明细）'!C:C&gt;=$J$4,'领用录入（明细）'!C:C&lt;=$L$4),ROW(),"-")</f>
        <v>-</v>
      </c>
    </row>
    <row r="18660" customHeight="1" spans="2:2">
      <c r="B18660" s="62" t="str">
        <f>IF(AND('领用录入（明细）'!D:D=$F$4,'领用录入（明细）'!C:C&gt;=$J$4,'领用录入（明细）'!C:C&lt;=$L$4),ROW(),"-")</f>
        <v>-</v>
      </c>
    </row>
    <row r="18661" customHeight="1" spans="2:2">
      <c r="B18661" s="62" t="str">
        <f>IF(AND('领用录入（明细）'!D:D=$F$4,'领用录入（明细）'!C:C&gt;=$J$4,'领用录入（明细）'!C:C&lt;=$L$4),ROW(),"-")</f>
        <v>-</v>
      </c>
    </row>
    <row r="18662" customHeight="1" spans="2:2">
      <c r="B18662" s="62" t="str">
        <f>IF(AND('领用录入（明细）'!D:D=$F$4,'领用录入（明细）'!C:C&gt;=$J$4,'领用录入（明细）'!C:C&lt;=$L$4),ROW(),"-")</f>
        <v>-</v>
      </c>
    </row>
    <row r="18663" customHeight="1" spans="2:2">
      <c r="B18663" s="62" t="str">
        <f>IF(AND('领用录入（明细）'!D:D=$F$4,'领用录入（明细）'!C:C&gt;=$J$4,'领用录入（明细）'!C:C&lt;=$L$4),ROW(),"-")</f>
        <v>-</v>
      </c>
    </row>
    <row r="18664" customHeight="1" spans="2:2">
      <c r="B18664" s="62" t="str">
        <f>IF(AND('领用录入（明细）'!D:D=$F$4,'领用录入（明细）'!C:C&gt;=$J$4,'领用录入（明细）'!C:C&lt;=$L$4),ROW(),"-")</f>
        <v>-</v>
      </c>
    </row>
    <row r="18665" customHeight="1" spans="2:2">
      <c r="B18665" s="62" t="str">
        <f>IF(AND('领用录入（明细）'!D:D=$F$4,'领用录入（明细）'!C:C&gt;=$J$4,'领用录入（明细）'!C:C&lt;=$L$4),ROW(),"-")</f>
        <v>-</v>
      </c>
    </row>
    <row r="18666" customHeight="1" spans="2:2">
      <c r="B18666" s="62" t="str">
        <f>IF(AND('领用录入（明细）'!D:D=$F$4,'领用录入（明细）'!C:C&gt;=$J$4,'领用录入（明细）'!C:C&lt;=$L$4),ROW(),"-")</f>
        <v>-</v>
      </c>
    </row>
    <row r="18667" customHeight="1" spans="2:2">
      <c r="B18667" s="62" t="str">
        <f>IF(AND('领用录入（明细）'!D:D=$F$4,'领用录入（明细）'!C:C&gt;=$J$4,'领用录入（明细）'!C:C&lt;=$L$4),ROW(),"-")</f>
        <v>-</v>
      </c>
    </row>
    <row r="18668" customHeight="1" spans="2:2">
      <c r="B18668" s="62" t="str">
        <f>IF(AND('领用录入（明细）'!D:D=$F$4,'领用录入（明细）'!C:C&gt;=$J$4,'领用录入（明细）'!C:C&lt;=$L$4),ROW(),"-")</f>
        <v>-</v>
      </c>
    </row>
    <row r="18669" customHeight="1" spans="2:2">
      <c r="B18669" s="62" t="str">
        <f>IF(AND('领用录入（明细）'!D:D=$F$4,'领用录入（明细）'!C:C&gt;=$J$4,'领用录入（明细）'!C:C&lt;=$L$4),ROW(),"-")</f>
        <v>-</v>
      </c>
    </row>
    <row r="18670" customHeight="1" spans="2:2">
      <c r="B18670" s="62" t="str">
        <f>IF(AND('领用录入（明细）'!D:D=$F$4,'领用录入（明细）'!C:C&gt;=$J$4,'领用录入（明细）'!C:C&lt;=$L$4),ROW(),"-")</f>
        <v>-</v>
      </c>
    </row>
    <row r="18671" customHeight="1" spans="2:2">
      <c r="B18671" s="62" t="str">
        <f>IF(AND('领用录入（明细）'!D:D=$F$4,'领用录入（明细）'!C:C&gt;=$J$4,'领用录入（明细）'!C:C&lt;=$L$4),ROW(),"-")</f>
        <v>-</v>
      </c>
    </row>
    <row r="18672" customHeight="1" spans="2:2">
      <c r="B18672" s="62" t="str">
        <f>IF(AND('领用录入（明细）'!D:D=$F$4,'领用录入（明细）'!C:C&gt;=$J$4,'领用录入（明细）'!C:C&lt;=$L$4),ROW(),"-")</f>
        <v>-</v>
      </c>
    </row>
    <row r="18673" customHeight="1" spans="2:2">
      <c r="B18673" s="62" t="str">
        <f>IF(AND('领用录入（明细）'!D:D=$F$4,'领用录入（明细）'!C:C&gt;=$J$4,'领用录入（明细）'!C:C&lt;=$L$4),ROW(),"-")</f>
        <v>-</v>
      </c>
    </row>
    <row r="18674" customHeight="1" spans="2:2">
      <c r="B18674" s="62" t="str">
        <f>IF(AND('领用录入（明细）'!D:D=$F$4,'领用录入（明细）'!C:C&gt;=$J$4,'领用录入（明细）'!C:C&lt;=$L$4),ROW(),"-")</f>
        <v>-</v>
      </c>
    </row>
    <row r="18675" customHeight="1" spans="2:2">
      <c r="B18675" s="62" t="str">
        <f>IF(AND('领用录入（明细）'!D:D=$F$4,'领用录入（明细）'!C:C&gt;=$J$4,'领用录入（明细）'!C:C&lt;=$L$4),ROW(),"-")</f>
        <v>-</v>
      </c>
    </row>
    <row r="18676" customHeight="1" spans="2:2">
      <c r="B18676" s="62" t="str">
        <f>IF(AND('领用录入（明细）'!D:D=$F$4,'领用录入（明细）'!C:C&gt;=$J$4,'领用录入（明细）'!C:C&lt;=$L$4),ROW(),"-")</f>
        <v>-</v>
      </c>
    </row>
    <row r="18677" customHeight="1" spans="2:2">
      <c r="B18677" s="62" t="str">
        <f>IF(AND('领用录入（明细）'!D:D=$F$4,'领用录入（明细）'!C:C&gt;=$J$4,'领用录入（明细）'!C:C&lt;=$L$4),ROW(),"-")</f>
        <v>-</v>
      </c>
    </row>
    <row r="18678" customHeight="1" spans="2:2">
      <c r="B18678" s="62" t="str">
        <f>IF(AND('领用录入（明细）'!D:D=$F$4,'领用录入（明细）'!C:C&gt;=$J$4,'领用录入（明细）'!C:C&lt;=$L$4),ROW(),"-")</f>
        <v>-</v>
      </c>
    </row>
    <row r="18679" customHeight="1" spans="2:2">
      <c r="B18679" s="62" t="str">
        <f>IF(AND('领用录入（明细）'!D:D=$F$4,'领用录入（明细）'!C:C&gt;=$J$4,'领用录入（明细）'!C:C&lt;=$L$4),ROW(),"-")</f>
        <v>-</v>
      </c>
    </row>
    <row r="18680" customHeight="1" spans="2:2">
      <c r="B18680" s="62" t="str">
        <f>IF(AND('领用录入（明细）'!D:D=$F$4,'领用录入（明细）'!C:C&gt;=$J$4,'领用录入（明细）'!C:C&lt;=$L$4),ROW(),"-")</f>
        <v>-</v>
      </c>
    </row>
    <row r="18681" customHeight="1" spans="2:2">
      <c r="B18681" s="62" t="str">
        <f>IF(AND('领用录入（明细）'!D:D=$F$4,'领用录入（明细）'!C:C&gt;=$J$4,'领用录入（明细）'!C:C&lt;=$L$4),ROW(),"-")</f>
        <v>-</v>
      </c>
    </row>
    <row r="18682" customHeight="1" spans="2:2">
      <c r="B18682" s="62" t="str">
        <f>IF(AND('领用录入（明细）'!D:D=$F$4,'领用录入（明细）'!C:C&gt;=$J$4,'领用录入（明细）'!C:C&lt;=$L$4),ROW(),"-")</f>
        <v>-</v>
      </c>
    </row>
    <row r="18683" customHeight="1" spans="2:2">
      <c r="B18683" s="62" t="str">
        <f>IF(AND('领用录入（明细）'!D:D=$F$4,'领用录入（明细）'!C:C&gt;=$J$4,'领用录入（明细）'!C:C&lt;=$L$4),ROW(),"-")</f>
        <v>-</v>
      </c>
    </row>
    <row r="18684" customHeight="1" spans="2:2">
      <c r="B18684" s="62" t="str">
        <f>IF(AND('领用录入（明细）'!D:D=$F$4,'领用录入（明细）'!C:C&gt;=$J$4,'领用录入（明细）'!C:C&lt;=$L$4),ROW(),"-")</f>
        <v>-</v>
      </c>
    </row>
    <row r="18685" customHeight="1" spans="2:2">
      <c r="B18685" s="62" t="str">
        <f>IF(AND('领用录入（明细）'!D:D=$F$4,'领用录入（明细）'!C:C&gt;=$J$4,'领用录入（明细）'!C:C&lt;=$L$4),ROW(),"-")</f>
        <v>-</v>
      </c>
    </row>
    <row r="18686" customHeight="1" spans="2:2">
      <c r="B18686" s="62" t="str">
        <f>IF(AND('领用录入（明细）'!D:D=$F$4,'领用录入（明细）'!C:C&gt;=$J$4,'领用录入（明细）'!C:C&lt;=$L$4),ROW(),"-")</f>
        <v>-</v>
      </c>
    </row>
    <row r="18687" customHeight="1" spans="2:2">
      <c r="B18687" s="62" t="str">
        <f>IF(AND('领用录入（明细）'!D:D=$F$4,'领用录入（明细）'!C:C&gt;=$J$4,'领用录入（明细）'!C:C&lt;=$L$4),ROW(),"-")</f>
        <v>-</v>
      </c>
    </row>
    <row r="18688" customHeight="1" spans="2:2">
      <c r="B18688" s="62" t="str">
        <f>IF(AND('领用录入（明细）'!D:D=$F$4,'领用录入（明细）'!C:C&gt;=$J$4,'领用录入（明细）'!C:C&lt;=$L$4),ROW(),"-")</f>
        <v>-</v>
      </c>
    </row>
    <row r="18689" customHeight="1" spans="2:2">
      <c r="B18689" s="62" t="str">
        <f>IF(AND('领用录入（明细）'!D:D=$F$4,'领用录入（明细）'!C:C&gt;=$J$4,'领用录入（明细）'!C:C&lt;=$L$4),ROW(),"-")</f>
        <v>-</v>
      </c>
    </row>
    <row r="18690" customHeight="1" spans="2:2">
      <c r="B18690" s="62" t="str">
        <f>IF(AND('领用录入（明细）'!D:D=$F$4,'领用录入（明细）'!C:C&gt;=$J$4,'领用录入（明细）'!C:C&lt;=$L$4),ROW(),"-")</f>
        <v>-</v>
      </c>
    </row>
    <row r="18691" customHeight="1" spans="2:2">
      <c r="B18691" s="62" t="str">
        <f>IF(AND('领用录入（明细）'!D:D=$F$4,'领用录入（明细）'!C:C&gt;=$J$4,'领用录入（明细）'!C:C&lt;=$L$4),ROW(),"-")</f>
        <v>-</v>
      </c>
    </row>
    <row r="18692" customHeight="1" spans="2:2">
      <c r="B18692" s="62" t="str">
        <f>IF(AND('领用录入（明细）'!D:D=$F$4,'领用录入（明细）'!C:C&gt;=$J$4,'领用录入（明细）'!C:C&lt;=$L$4),ROW(),"-")</f>
        <v>-</v>
      </c>
    </row>
    <row r="18693" customHeight="1" spans="2:2">
      <c r="B18693" s="62" t="str">
        <f>IF(AND('领用录入（明细）'!D:D=$F$4,'领用录入（明细）'!C:C&gt;=$J$4,'领用录入（明细）'!C:C&lt;=$L$4),ROW(),"-")</f>
        <v>-</v>
      </c>
    </row>
    <row r="18694" customHeight="1" spans="2:2">
      <c r="B18694" s="62" t="str">
        <f>IF(AND('领用录入（明细）'!D:D=$F$4,'领用录入（明细）'!C:C&gt;=$J$4,'领用录入（明细）'!C:C&lt;=$L$4),ROW(),"-")</f>
        <v>-</v>
      </c>
    </row>
    <row r="18695" customHeight="1" spans="2:2">
      <c r="B18695" s="62" t="str">
        <f>IF(AND('领用录入（明细）'!D:D=$F$4,'领用录入（明细）'!C:C&gt;=$J$4,'领用录入（明细）'!C:C&lt;=$L$4),ROW(),"-")</f>
        <v>-</v>
      </c>
    </row>
    <row r="18696" customHeight="1" spans="2:2">
      <c r="B18696" s="62" t="str">
        <f>IF(AND('领用录入（明细）'!D:D=$F$4,'领用录入（明细）'!C:C&gt;=$J$4,'领用录入（明细）'!C:C&lt;=$L$4),ROW(),"-")</f>
        <v>-</v>
      </c>
    </row>
    <row r="18697" customHeight="1" spans="2:2">
      <c r="B18697" s="62" t="str">
        <f>IF(AND('领用录入（明细）'!D:D=$F$4,'领用录入（明细）'!C:C&gt;=$J$4,'领用录入（明细）'!C:C&lt;=$L$4),ROW(),"-")</f>
        <v>-</v>
      </c>
    </row>
    <row r="18698" customHeight="1" spans="2:2">
      <c r="B18698" s="62" t="str">
        <f>IF(AND('领用录入（明细）'!D:D=$F$4,'领用录入（明细）'!C:C&gt;=$J$4,'领用录入（明细）'!C:C&lt;=$L$4),ROW(),"-")</f>
        <v>-</v>
      </c>
    </row>
    <row r="18699" customHeight="1" spans="2:2">
      <c r="B18699" s="62" t="str">
        <f>IF(AND('领用录入（明细）'!D:D=$F$4,'领用录入（明细）'!C:C&gt;=$J$4,'领用录入（明细）'!C:C&lt;=$L$4),ROW(),"-")</f>
        <v>-</v>
      </c>
    </row>
    <row r="18700" customHeight="1" spans="2:2">
      <c r="B18700" s="62" t="str">
        <f>IF(AND('领用录入（明细）'!D:D=$F$4,'领用录入（明细）'!C:C&gt;=$J$4,'领用录入（明细）'!C:C&lt;=$L$4),ROW(),"-")</f>
        <v>-</v>
      </c>
    </row>
    <row r="18701" customHeight="1" spans="2:2">
      <c r="B18701" s="62" t="str">
        <f>IF(AND('领用录入（明细）'!D:D=$F$4,'领用录入（明细）'!C:C&gt;=$J$4,'领用录入（明细）'!C:C&lt;=$L$4),ROW(),"-")</f>
        <v>-</v>
      </c>
    </row>
    <row r="18702" customHeight="1" spans="2:2">
      <c r="B18702" s="62" t="str">
        <f>IF(AND('领用录入（明细）'!D:D=$F$4,'领用录入（明细）'!C:C&gt;=$J$4,'领用录入（明细）'!C:C&lt;=$L$4),ROW(),"-")</f>
        <v>-</v>
      </c>
    </row>
    <row r="18703" customHeight="1" spans="2:2">
      <c r="B18703" s="62" t="str">
        <f>IF(AND('领用录入（明细）'!D:D=$F$4,'领用录入（明细）'!C:C&gt;=$J$4,'领用录入（明细）'!C:C&lt;=$L$4),ROW(),"-")</f>
        <v>-</v>
      </c>
    </row>
    <row r="18704" customHeight="1" spans="2:2">
      <c r="B18704" s="62" t="str">
        <f>IF(AND('领用录入（明细）'!D:D=$F$4,'领用录入（明细）'!C:C&gt;=$J$4,'领用录入（明细）'!C:C&lt;=$L$4),ROW(),"-")</f>
        <v>-</v>
      </c>
    </row>
    <row r="18705" customHeight="1" spans="2:2">
      <c r="B18705" s="62" t="str">
        <f>IF(AND('领用录入（明细）'!D:D=$F$4,'领用录入（明细）'!C:C&gt;=$J$4,'领用录入（明细）'!C:C&lt;=$L$4),ROW(),"-")</f>
        <v>-</v>
      </c>
    </row>
    <row r="18706" customHeight="1" spans="2:2">
      <c r="B18706" s="62" t="str">
        <f>IF(AND('领用录入（明细）'!D:D=$F$4,'领用录入（明细）'!C:C&gt;=$J$4,'领用录入（明细）'!C:C&lt;=$L$4),ROW(),"-")</f>
        <v>-</v>
      </c>
    </row>
    <row r="18707" customHeight="1" spans="2:2">
      <c r="B18707" s="62" t="str">
        <f>IF(AND('领用录入（明细）'!D:D=$F$4,'领用录入（明细）'!C:C&gt;=$J$4,'领用录入（明细）'!C:C&lt;=$L$4),ROW(),"-")</f>
        <v>-</v>
      </c>
    </row>
    <row r="18708" customHeight="1" spans="2:2">
      <c r="B18708" s="62" t="str">
        <f>IF(AND('领用录入（明细）'!D:D=$F$4,'领用录入（明细）'!C:C&gt;=$J$4,'领用录入（明细）'!C:C&lt;=$L$4),ROW(),"-")</f>
        <v>-</v>
      </c>
    </row>
    <row r="18709" customHeight="1" spans="2:2">
      <c r="B18709" s="62" t="str">
        <f>IF(AND('领用录入（明细）'!D:D=$F$4,'领用录入（明细）'!C:C&gt;=$J$4,'领用录入（明细）'!C:C&lt;=$L$4),ROW(),"-")</f>
        <v>-</v>
      </c>
    </row>
    <row r="18710" customHeight="1" spans="2:2">
      <c r="B18710" s="62" t="str">
        <f>IF(AND('领用录入（明细）'!D:D=$F$4,'领用录入（明细）'!C:C&gt;=$J$4,'领用录入（明细）'!C:C&lt;=$L$4),ROW(),"-")</f>
        <v>-</v>
      </c>
    </row>
    <row r="18711" customHeight="1" spans="2:2">
      <c r="B18711" s="62" t="str">
        <f>IF(AND('领用录入（明细）'!D:D=$F$4,'领用录入（明细）'!C:C&gt;=$J$4,'领用录入（明细）'!C:C&lt;=$L$4),ROW(),"-")</f>
        <v>-</v>
      </c>
    </row>
    <row r="18712" customHeight="1" spans="2:2">
      <c r="B18712" s="62" t="str">
        <f>IF(AND('领用录入（明细）'!D:D=$F$4,'领用录入（明细）'!C:C&gt;=$J$4,'领用录入（明细）'!C:C&lt;=$L$4),ROW(),"-")</f>
        <v>-</v>
      </c>
    </row>
    <row r="18713" customHeight="1" spans="2:2">
      <c r="B18713" s="62" t="str">
        <f>IF(AND('领用录入（明细）'!D:D=$F$4,'领用录入（明细）'!C:C&gt;=$J$4,'领用录入（明细）'!C:C&lt;=$L$4),ROW(),"-")</f>
        <v>-</v>
      </c>
    </row>
    <row r="18714" customHeight="1" spans="2:2">
      <c r="B18714" s="62" t="str">
        <f>IF(AND('领用录入（明细）'!D:D=$F$4,'领用录入（明细）'!C:C&gt;=$J$4,'领用录入（明细）'!C:C&lt;=$L$4),ROW(),"-")</f>
        <v>-</v>
      </c>
    </row>
    <row r="18715" customHeight="1" spans="2:2">
      <c r="B18715" s="62" t="str">
        <f>IF(AND('领用录入（明细）'!D:D=$F$4,'领用录入（明细）'!C:C&gt;=$J$4,'领用录入（明细）'!C:C&lt;=$L$4),ROW(),"-")</f>
        <v>-</v>
      </c>
    </row>
    <row r="18716" customHeight="1" spans="2:2">
      <c r="B18716" s="62" t="str">
        <f>IF(AND('领用录入（明细）'!D:D=$F$4,'领用录入（明细）'!C:C&gt;=$J$4,'领用录入（明细）'!C:C&lt;=$L$4),ROW(),"-")</f>
        <v>-</v>
      </c>
    </row>
    <row r="18717" customHeight="1" spans="2:2">
      <c r="B18717" s="62" t="str">
        <f>IF(AND('领用录入（明细）'!D:D=$F$4,'领用录入（明细）'!C:C&gt;=$J$4,'领用录入（明细）'!C:C&lt;=$L$4),ROW(),"-")</f>
        <v>-</v>
      </c>
    </row>
    <row r="18718" customHeight="1" spans="2:2">
      <c r="B18718" s="62" t="str">
        <f>IF(AND('领用录入（明细）'!D:D=$F$4,'领用录入（明细）'!C:C&gt;=$J$4,'领用录入（明细）'!C:C&lt;=$L$4),ROW(),"-")</f>
        <v>-</v>
      </c>
    </row>
    <row r="18719" customHeight="1" spans="2:2">
      <c r="B18719" s="62" t="str">
        <f>IF(AND('领用录入（明细）'!D:D=$F$4,'领用录入（明细）'!C:C&gt;=$J$4,'领用录入（明细）'!C:C&lt;=$L$4),ROW(),"-")</f>
        <v>-</v>
      </c>
    </row>
    <row r="18720" customHeight="1" spans="2:2">
      <c r="B18720" s="62" t="str">
        <f>IF(AND('领用录入（明细）'!D:D=$F$4,'领用录入（明细）'!C:C&gt;=$J$4,'领用录入（明细）'!C:C&lt;=$L$4),ROW(),"-")</f>
        <v>-</v>
      </c>
    </row>
    <row r="18721" customHeight="1" spans="2:2">
      <c r="B18721" s="62" t="str">
        <f>IF(AND('领用录入（明细）'!D:D=$F$4,'领用录入（明细）'!C:C&gt;=$J$4,'领用录入（明细）'!C:C&lt;=$L$4),ROW(),"-")</f>
        <v>-</v>
      </c>
    </row>
    <row r="18722" customHeight="1" spans="2:2">
      <c r="B18722" s="62" t="str">
        <f>IF(AND('领用录入（明细）'!D:D=$F$4,'领用录入（明细）'!C:C&gt;=$J$4,'领用录入（明细）'!C:C&lt;=$L$4),ROW(),"-")</f>
        <v>-</v>
      </c>
    </row>
    <row r="18723" customHeight="1" spans="2:2">
      <c r="B18723" s="62" t="str">
        <f>IF(AND('领用录入（明细）'!D:D=$F$4,'领用录入（明细）'!C:C&gt;=$J$4,'领用录入（明细）'!C:C&lt;=$L$4),ROW(),"-")</f>
        <v>-</v>
      </c>
    </row>
    <row r="18724" customHeight="1" spans="2:2">
      <c r="B18724" s="62" t="str">
        <f>IF(AND('领用录入（明细）'!D:D=$F$4,'领用录入（明细）'!C:C&gt;=$J$4,'领用录入（明细）'!C:C&lt;=$L$4),ROW(),"-")</f>
        <v>-</v>
      </c>
    </row>
    <row r="18725" customHeight="1" spans="2:2">
      <c r="B18725" s="62" t="str">
        <f>IF(AND('领用录入（明细）'!D:D=$F$4,'领用录入（明细）'!C:C&gt;=$J$4,'领用录入（明细）'!C:C&lt;=$L$4),ROW(),"-")</f>
        <v>-</v>
      </c>
    </row>
    <row r="18726" customHeight="1" spans="2:2">
      <c r="B18726" s="62" t="str">
        <f>IF(AND('领用录入（明细）'!D:D=$F$4,'领用录入（明细）'!C:C&gt;=$J$4,'领用录入（明细）'!C:C&lt;=$L$4),ROW(),"-")</f>
        <v>-</v>
      </c>
    </row>
    <row r="18727" customHeight="1" spans="2:2">
      <c r="B18727" s="62" t="str">
        <f>IF(AND('领用录入（明细）'!D:D=$F$4,'领用录入（明细）'!C:C&gt;=$J$4,'领用录入（明细）'!C:C&lt;=$L$4),ROW(),"-")</f>
        <v>-</v>
      </c>
    </row>
    <row r="18728" customHeight="1" spans="2:2">
      <c r="B18728" s="62" t="str">
        <f>IF(AND('领用录入（明细）'!D:D=$F$4,'领用录入（明细）'!C:C&gt;=$J$4,'领用录入（明细）'!C:C&lt;=$L$4),ROW(),"-")</f>
        <v>-</v>
      </c>
    </row>
    <row r="18729" customHeight="1" spans="2:2">
      <c r="B18729" s="62" t="str">
        <f>IF(AND('领用录入（明细）'!D:D=$F$4,'领用录入（明细）'!C:C&gt;=$J$4,'领用录入（明细）'!C:C&lt;=$L$4),ROW(),"-")</f>
        <v>-</v>
      </c>
    </row>
    <row r="18730" customHeight="1" spans="2:2">
      <c r="B18730" s="62" t="str">
        <f>IF(AND('领用录入（明细）'!D:D=$F$4,'领用录入（明细）'!C:C&gt;=$J$4,'领用录入（明细）'!C:C&lt;=$L$4),ROW(),"-")</f>
        <v>-</v>
      </c>
    </row>
    <row r="18731" customHeight="1" spans="2:2">
      <c r="B18731" s="62" t="str">
        <f>IF(AND('领用录入（明细）'!D:D=$F$4,'领用录入（明细）'!C:C&gt;=$J$4,'领用录入（明细）'!C:C&lt;=$L$4),ROW(),"-")</f>
        <v>-</v>
      </c>
    </row>
    <row r="18732" customHeight="1" spans="2:2">
      <c r="B18732" s="62" t="str">
        <f>IF(AND('领用录入（明细）'!D:D=$F$4,'领用录入（明细）'!C:C&gt;=$J$4,'领用录入（明细）'!C:C&lt;=$L$4),ROW(),"-")</f>
        <v>-</v>
      </c>
    </row>
    <row r="18733" customHeight="1" spans="2:2">
      <c r="B18733" s="62" t="str">
        <f>IF(AND('领用录入（明细）'!D:D=$F$4,'领用录入（明细）'!C:C&gt;=$J$4,'领用录入（明细）'!C:C&lt;=$L$4),ROW(),"-")</f>
        <v>-</v>
      </c>
    </row>
    <row r="18734" customHeight="1" spans="2:2">
      <c r="B18734" s="62" t="str">
        <f>IF(AND('领用录入（明细）'!D:D=$F$4,'领用录入（明细）'!C:C&gt;=$J$4,'领用录入（明细）'!C:C&lt;=$L$4),ROW(),"-")</f>
        <v>-</v>
      </c>
    </row>
    <row r="18735" customHeight="1" spans="2:2">
      <c r="B18735" s="62" t="str">
        <f>IF(AND('领用录入（明细）'!D:D=$F$4,'领用录入（明细）'!C:C&gt;=$J$4,'领用录入（明细）'!C:C&lt;=$L$4),ROW(),"-")</f>
        <v>-</v>
      </c>
    </row>
    <row r="18736" customHeight="1" spans="2:2">
      <c r="B18736" s="62" t="str">
        <f>IF(AND('领用录入（明细）'!D:D=$F$4,'领用录入（明细）'!C:C&gt;=$J$4,'领用录入（明细）'!C:C&lt;=$L$4),ROW(),"-")</f>
        <v>-</v>
      </c>
    </row>
    <row r="18737" customHeight="1" spans="2:2">
      <c r="B18737" s="62" t="str">
        <f>IF(AND('领用录入（明细）'!D:D=$F$4,'领用录入（明细）'!C:C&gt;=$J$4,'领用录入（明细）'!C:C&lt;=$L$4),ROW(),"-")</f>
        <v>-</v>
      </c>
    </row>
    <row r="18738" customHeight="1" spans="2:2">
      <c r="B18738" s="62" t="str">
        <f>IF(AND('领用录入（明细）'!D:D=$F$4,'领用录入（明细）'!C:C&gt;=$J$4,'领用录入（明细）'!C:C&lt;=$L$4),ROW(),"-")</f>
        <v>-</v>
      </c>
    </row>
    <row r="18739" customHeight="1" spans="2:2">
      <c r="B18739" s="62" t="str">
        <f>IF(AND('领用录入（明细）'!D:D=$F$4,'领用录入（明细）'!C:C&gt;=$J$4,'领用录入（明细）'!C:C&lt;=$L$4),ROW(),"-")</f>
        <v>-</v>
      </c>
    </row>
    <row r="18740" customHeight="1" spans="2:2">
      <c r="B18740" s="62" t="str">
        <f>IF(AND('领用录入（明细）'!D:D=$F$4,'领用录入（明细）'!C:C&gt;=$J$4,'领用录入（明细）'!C:C&lt;=$L$4),ROW(),"-")</f>
        <v>-</v>
      </c>
    </row>
    <row r="18741" customHeight="1" spans="2:2">
      <c r="B18741" s="62" t="str">
        <f>IF(AND('领用录入（明细）'!D:D=$F$4,'领用录入（明细）'!C:C&gt;=$J$4,'领用录入（明细）'!C:C&lt;=$L$4),ROW(),"-")</f>
        <v>-</v>
      </c>
    </row>
    <row r="18742" customHeight="1" spans="2:2">
      <c r="B18742" s="62" t="str">
        <f>IF(AND('领用录入（明细）'!D:D=$F$4,'领用录入（明细）'!C:C&gt;=$J$4,'领用录入（明细）'!C:C&lt;=$L$4),ROW(),"-")</f>
        <v>-</v>
      </c>
    </row>
    <row r="18743" customHeight="1" spans="2:2">
      <c r="B18743" s="62" t="str">
        <f>IF(AND('领用录入（明细）'!D:D=$F$4,'领用录入（明细）'!C:C&gt;=$J$4,'领用录入（明细）'!C:C&lt;=$L$4),ROW(),"-")</f>
        <v>-</v>
      </c>
    </row>
    <row r="18744" customHeight="1" spans="2:2">
      <c r="B18744" s="62" t="str">
        <f>IF(AND('领用录入（明细）'!D:D=$F$4,'领用录入（明细）'!C:C&gt;=$J$4,'领用录入（明细）'!C:C&lt;=$L$4),ROW(),"-")</f>
        <v>-</v>
      </c>
    </row>
    <row r="18745" customHeight="1" spans="2:2">
      <c r="B18745" s="62" t="str">
        <f>IF(AND('领用录入（明细）'!D:D=$F$4,'领用录入（明细）'!C:C&gt;=$J$4,'领用录入（明细）'!C:C&lt;=$L$4),ROW(),"-")</f>
        <v>-</v>
      </c>
    </row>
    <row r="18746" customHeight="1" spans="2:2">
      <c r="B18746" s="62" t="str">
        <f>IF(AND('领用录入（明细）'!D:D=$F$4,'领用录入（明细）'!C:C&gt;=$J$4,'领用录入（明细）'!C:C&lt;=$L$4),ROW(),"-")</f>
        <v>-</v>
      </c>
    </row>
    <row r="18747" customHeight="1" spans="2:2">
      <c r="B18747" s="62" t="str">
        <f>IF(AND('领用录入（明细）'!D:D=$F$4,'领用录入（明细）'!C:C&gt;=$J$4,'领用录入（明细）'!C:C&lt;=$L$4),ROW(),"-")</f>
        <v>-</v>
      </c>
    </row>
    <row r="18748" customHeight="1" spans="2:2">
      <c r="B18748" s="62" t="str">
        <f>IF(AND('领用录入（明细）'!D:D=$F$4,'领用录入（明细）'!C:C&gt;=$J$4,'领用录入（明细）'!C:C&lt;=$L$4),ROW(),"-")</f>
        <v>-</v>
      </c>
    </row>
    <row r="18749" customHeight="1" spans="2:2">
      <c r="B18749" s="62" t="str">
        <f>IF(AND('领用录入（明细）'!D:D=$F$4,'领用录入（明细）'!C:C&gt;=$J$4,'领用录入（明细）'!C:C&lt;=$L$4),ROW(),"-")</f>
        <v>-</v>
      </c>
    </row>
    <row r="18750" customHeight="1" spans="2:2">
      <c r="B18750" s="62" t="str">
        <f>IF(AND('领用录入（明细）'!D:D=$F$4,'领用录入（明细）'!C:C&gt;=$J$4,'领用录入（明细）'!C:C&lt;=$L$4),ROW(),"-")</f>
        <v>-</v>
      </c>
    </row>
    <row r="18751" customHeight="1" spans="2:2">
      <c r="B18751" s="62" t="str">
        <f>IF(AND('领用录入（明细）'!D:D=$F$4,'领用录入（明细）'!C:C&gt;=$J$4,'领用录入（明细）'!C:C&lt;=$L$4),ROW(),"-")</f>
        <v>-</v>
      </c>
    </row>
    <row r="18752" customHeight="1" spans="2:2">
      <c r="B18752" s="62" t="str">
        <f>IF(AND('领用录入（明细）'!D:D=$F$4,'领用录入（明细）'!C:C&gt;=$J$4,'领用录入（明细）'!C:C&lt;=$L$4),ROW(),"-")</f>
        <v>-</v>
      </c>
    </row>
    <row r="18753" customHeight="1" spans="2:2">
      <c r="B18753" s="62" t="str">
        <f>IF(AND('领用录入（明细）'!D:D=$F$4,'领用录入（明细）'!C:C&gt;=$J$4,'领用录入（明细）'!C:C&lt;=$L$4),ROW(),"-")</f>
        <v>-</v>
      </c>
    </row>
    <row r="18754" customHeight="1" spans="2:2">
      <c r="B18754" s="62" t="str">
        <f>IF(AND('领用录入（明细）'!D:D=$F$4,'领用录入（明细）'!C:C&gt;=$J$4,'领用录入（明细）'!C:C&lt;=$L$4),ROW(),"-")</f>
        <v>-</v>
      </c>
    </row>
    <row r="18755" customHeight="1" spans="2:2">
      <c r="B18755" s="62" t="str">
        <f>IF(AND('领用录入（明细）'!D:D=$F$4,'领用录入（明细）'!C:C&gt;=$J$4,'领用录入（明细）'!C:C&lt;=$L$4),ROW(),"-")</f>
        <v>-</v>
      </c>
    </row>
    <row r="18756" customHeight="1" spans="2:2">
      <c r="B18756" s="62" t="str">
        <f>IF(AND('领用录入（明细）'!D:D=$F$4,'领用录入（明细）'!C:C&gt;=$J$4,'领用录入（明细）'!C:C&lt;=$L$4),ROW(),"-")</f>
        <v>-</v>
      </c>
    </row>
    <row r="18757" customHeight="1" spans="2:2">
      <c r="B18757" s="62" t="str">
        <f>IF(AND('领用录入（明细）'!D:D=$F$4,'领用录入（明细）'!C:C&gt;=$J$4,'领用录入（明细）'!C:C&lt;=$L$4),ROW(),"-")</f>
        <v>-</v>
      </c>
    </row>
    <row r="18758" customHeight="1" spans="2:2">
      <c r="B18758" s="62" t="str">
        <f>IF(AND('领用录入（明细）'!D:D=$F$4,'领用录入（明细）'!C:C&gt;=$J$4,'领用录入（明细）'!C:C&lt;=$L$4),ROW(),"-")</f>
        <v>-</v>
      </c>
    </row>
    <row r="18759" customHeight="1" spans="2:2">
      <c r="B18759" s="62" t="str">
        <f>IF(AND('领用录入（明细）'!D:D=$F$4,'领用录入（明细）'!C:C&gt;=$J$4,'领用录入（明细）'!C:C&lt;=$L$4),ROW(),"-")</f>
        <v>-</v>
      </c>
    </row>
    <row r="18760" customHeight="1" spans="2:2">
      <c r="B18760" s="62" t="str">
        <f>IF(AND('领用录入（明细）'!D:D=$F$4,'领用录入（明细）'!C:C&gt;=$J$4,'领用录入（明细）'!C:C&lt;=$L$4),ROW(),"-")</f>
        <v>-</v>
      </c>
    </row>
    <row r="18761" customHeight="1" spans="2:2">
      <c r="B18761" s="62" t="str">
        <f>IF(AND('领用录入（明细）'!D:D=$F$4,'领用录入（明细）'!C:C&gt;=$J$4,'领用录入（明细）'!C:C&lt;=$L$4),ROW(),"-")</f>
        <v>-</v>
      </c>
    </row>
    <row r="18762" customHeight="1" spans="2:2">
      <c r="B18762" s="62" t="str">
        <f>IF(AND('领用录入（明细）'!D:D=$F$4,'领用录入（明细）'!C:C&gt;=$J$4,'领用录入（明细）'!C:C&lt;=$L$4),ROW(),"-")</f>
        <v>-</v>
      </c>
    </row>
    <row r="18763" customHeight="1" spans="2:2">
      <c r="B18763" s="62" t="str">
        <f>IF(AND('领用录入（明细）'!D:D=$F$4,'领用录入（明细）'!C:C&gt;=$J$4,'领用录入（明细）'!C:C&lt;=$L$4),ROW(),"-")</f>
        <v>-</v>
      </c>
    </row>
    <row r="18764" customHeight="1" spans="2:2">
      <c r="B18764" s="62" t="str">
        <f>IF(AND('领用录入（明细）'!D:D=$F$4,'领用录入（明细）'!C:C&gt;=$J$4,'领用录入（明细）'!C:C&lt;=$L$4),ROW(),"-")</f>
        <v>-</v>
      </c>
    </row>
    <row r="18765" customHeight="1" spans="2:2">
      <c r="B18765" s="62" t="str">
        <f>IF(AND('领用录入（明细）'!D:D=$F$4,'领用录入（明细）'!C:C&gt;=$J$4,'领用录入（明细）'!C:C&lt;=$L$4),ROW(),"-")</f>
        <v>-</v>
      </c>
    </row>
    <row r="18766" customHeight="1" spans="2:2">
      <c r="B18766" s="62" t="str">
        <f>IF(AND('领用录入（明细）'!D:D=$F$4,'领用录入（明细）'!C:C&gt;=$J$4,'领用录入（明细）'!C:C&lt;=$L$4),ROW(),"-")</f>
        <v>-</v>
      </c>
    </row>
    <row r="18767" customHeight="1" spans="2:2">
      <c r="B18767" s="62" t="str">
        <f>IF(AND('领用录入（明细）'!D:D=$F$4,'领用录入（明细）'!C:C&gt;=$J$4,'领用录入（明细）'!C:C&lt;=$L$4),ROW(),"-")</f>
        <v>-</v>
      </c>
    </row>
    <row r="18768" customHeight="1" spans="2:2">
      <c r="B18768" s="62" t="str">
        <f>IF(AND('领用录入（明细）'!D:D=$F$4,'领用录入（明细）'!C:C&gt;=$J$4,'领用录入（明细）'!C:C&lt;=$L$4),ROW(),"-")</f>
        <v>-</v>
      </c>
    </row>
    <row r="18769" customHeight="1" spans="2:2">
      <c r="B18769" s="62" t="str">
        <f>IF(AND('领用录入（明细）'!D:D=$F$4,'领用录入（明细）'!C:C&gt;=$J$4,'领用录入（明细）'!C:C&lt;=$L$4),ROW(),"-")</f>
        <v>-</v>
      </c>
    </row>
    <row r="18770" customHeight="1" spans="2:2">
      <c r="B18770" s="62" t="str">
        <f>IF(AND('领用录入（明细）'!D:D=$F$4,'领用录入（明细）'!C:C&gt;=$J$4,'领用录入（明细）'!C:C&lt;=$L$4),ROW(),"-")</f>
        <v>-</v>
      </c>
    </row>
    <row r="18771" customHeight="1" spans="2:2">
      <c r="B18771" s="62" t="str">
        <f>IF(AND('领用录入（明细）'!D:D=$F$4,'领用录入（明细）'!C:C&gt;=$J$4,'领用录入（明细）'!C:C&lt;=$L$4),ROW(),"-")</f>
        <v>-</v>
      </c>
    </row>
    <row r="18772" customHeight="1" spans="2:2">
      <c r="B18772" s="62" t="str">
        <f>IF(AND('领用录入（明细）'!D:D=$F$4,'领用录入（明细）'!C:C&gt;=$J$4,'领用录入（明细）'!C:C&lt;=$L$4),ROW(),"-")</f>
        <v>-</v>
      </c>
    </row>
    <row r="18773" customHeight="1" spans="2:2">
      <c r="B18773" s="62" t="str">
        <f>IF(AND('领用录入（明细）'!D:D=$F$4,'领用录入（明细）'!C:C&gt;=$J$4,'领用录入（明细）'!C:C&lt;=$L$4),ROW(),"-")</f>
        <v>-</v>
      </c>
    </row>
    <row r="18774" customHeight="1" spans="2:2">
      <c r="B18774" s="62" t="str">
        <f>IF(AND('领用录入（明细）'!D:D=$F$4,'领用录入（明细）'!C:C&gt;=$J$4,'领用录入（明细）'!C:C&lt;=$L$4),ROW(),"-")</f>
        <v>-</v>
      </c>
    </row>
    <row r="18775" customHeight="1" spans="2:2">
      <c r="B18775" s="62" t="str">
        <f>IF(AND('领用录入（明细）'!D:D=$F$4,'领用录入（明细）'!C:C&gt;=$J$4,'领用录入（明细）'!C:C&lt;=$L$4),ROW(),"-")</f>
        <v>-</v>
      </c>
    </row>
    <row r="18776" customHeight="1" spans="2:2">
      <c r="B18776" s="62" t="str">
        <f>IF(AND('领用录入（明细）'!D:D=$F$4,'领用录入（明细）'!C:C&gt;=$J$4,'领用录入（明细）'!C:C&lt;=$L$4),ROW(),"-")</f>
        <v>-</v>
      </c>
    </row>
    <row r="18777" customHeight="1" spans="2:2">
      <c r="B18777" s="62" t="str">
        <f>IF(AND('领用录入（明细）'!D:D=$F$4,'领用录入（明细）'!C:C&gt;=$J$4,'领用录入（明细）'!C:C&lt;=$L$4),ROW(),"-")</f>
        <v>-</v>
      </c>
    </row>
    <row r="18778" customHeight="1" spans="2:2">
      <c r="B18778" s="62" t="str">
        <f>IF(AND('领用录入（明细）'!D:D=$F$4,'领用录入（明细）'!C:C&gt;=$J$4,'领用录入（明细）'!C:C&lt;=$L$4),ROW(),"-")</f>
        <v>-</v>
      </c>
    </row>
    <row r="18779" customHeight="1" spans="2:2">
      <c r="B18779" s="62" t="str">
        <f>IF(AND('领用录入（明细）'!D:D=$F$4,'领用录入（明细）'!C:C&gt;=$J$4,'领用录入（明细）'!C:C&lt;=$L$4),ROW(),"-")</f>
        <v>-</v>
      </c>
    </row>
    <row r="18780" customHeight="1" spans="2:2">
      <c r="B18780" s="62" t="str">
        <f>IF(AND('领用录入（明细）'!D:D=$F$4,'领用录入（明细）'!C:C&gt;=$J$4,'领用录入（明细）'!C:C&lt;=$L$4),ROW(),"-")</f>
        <v>-</v>
      </c>
    </row>
    <row r="18781" customHeight="1" spans="2:2">
      <c r="B18781" s="62" t="str">
        <f>IF(AND('领用录入（明细）'!D:D=$F$4,'领用录入（明细）'!C:C&gt;=$J$4,'领用录入（明细）'!C:C&lt;=$L$4),ROW(),"-")</f>
        <v>-</v>
      </c>
    </row>
    <row r="18782" customHeight="1" spans="2:2">
      <c r="B18782" s="62" t="str">
        <f>IF(AND('领用录入（明细）'!D:D=$F$4,'领用录入（明细）'!C:C&gt;=$J$4,'领用录入（明细）'!C:C&lt;=$L$4),ROW(),"-")</f>
        <v>-</v>
      </c>
    </row>
    <row r="18783" customHeight="1" spans="2:2">
      <c r="B18783" s="62" t="str">
        <f>IF(AND('领用录入（明细）'!D:D=$F$4,'领用录入（明细）'!C:C&gt;=$J$4,'领用录入（明细）'!C:C&lt;=$L$4),ROW(),"-")</f>
        <v>-</v>
      </c>
    </row>
    <row r="18784" customHeight="1" spans="2:2">
      <c r="B18784" s="62" t="str">
        <f>IF(AND('领用录入（明细）'!D:D=$F$4,'领用录入（明细）'!C:C&gt;=$J$4,'领用录入（明细）'!C:C&lt;=$L$4),ROW(),"-")</f>
        <v>-</v>
      </c>
    </row>
    <row r="18785" customHeight="1" spans="2:2">
      <c r="B18785" s="62" t="str">
        <f>IF(AND('领用录入（明细）'!D:D=$F$4,'领用录入（明细）'!C:C&gt;=$J$4,'领用录入（明细）'!C:C&lt;=$L$4),ROW(),"-")</f>
        <v>-</v>
      </c>
    </row>
    <row r="18786" customHeight="1" spans="2:2">
      <c r="B18786" s="62" t="str">
        <f>IF(AND('领用录入（明细）'!D:D=$F$4,'领用录入（明细）'!C:C&gt;=$J$4,'领用录入（明细）'!C:C&lt;=$L$4),ROW(),"-")</f>
        <v>-</v>
      </c>
    </row>
    <row r="18787" customHeight="1" spans="2:2">
      <c r="B18787" s="62" t="str">
        <f>IF(AND('领用录入（明细）'!D:D=$F$4,'领用录入（明细）'!C:C&gt;=$J$4,'领用录入（明细）'!C:C&lt;=$L$4),ROW(),"-")</f>
        <v>-</v>
      </c>
    </row>
    <row r="18788" customHeight="1" spans="2:2">
      <c r="B18788" s="62" t="str">
        <f>IF(AND('领用录入（明细）'!D:D=$F$4,'领用录入（明细）'!C:C&gt;=$J$4,'领用录入（明细）'!C:C&lt;=$L$4),ROW(),"-")</f>
        <v>-</v>
      </c>
    </row>
    <row r="18789" customHeight="1" spans="2:2">
      <c r="B18789" s="62" t="str">
        <f>IF(AND('领用录入（明细）'!D:D=$F$4,'领用录入（明细）'!C:C&gt;=$J$4,'领用录入（明细）'!C:C&lt;=$L$4),ROW(),"-")</f>
        <v>-</v>
      </c>
    </row>
    <row r="18790" customHeight="1" spans="2:2">
      <c r="B18790" s="62" t="str">
        <f>IF(AND('领用录入（明细）'!D:D=$F$4,'领用录入（明细）'!C:C&gt;=$J$4,'领用录入（明细）'!C:C&lt;=$L$4),ROW(),"-")</f>
        <v>-</v>
      </c>
    </row>
    <row r="18791" customHeight="1" spans="2:2">
      <c r="B18791" s="62" t="str">
        <f>IF(AND('领用录入（明细）'!D:D=$F$4,'领用录入（明细）'!C:C&gt;=$J$4,'领用录入（明细）'!C:C&lt;=$L$4),ROW(),"-")</f>
        <v>-</v>
      </c>
    </row>
    <row r="18792" customHeight="1" spans="2:2">
      <c r="B18792" s="62" t="str">
        <f>IF(AND('领用录入（明细）'!D:D=$F$4,'领用录入（明细）'!C:C&gt;=$J$4,'领用录入（明细）'!C:C&lt;=$L$4),ROW(),"-")</f>
        <v>-</v>
      </c>
    </row>
    <row r="18793" customHeight="1" spans="2:2">
      <c r="B18793" s="62" t="str">
        <f>IF(AND('领用录入（明细）'!D:D=$F$4,'领用录入（明细）'!C:C&gt;=$J$4,'领用录入（明细）'!C:C&lt;=$L$4),ROW(),"-")</f>
        <v>-</v>
      </c>
    </row>
    <row r="18794" customHeight="1" spans="2:2">
      <c r="B18794" s="62" t="str">
        <f>IF(AND('领用录入（明细）'!D:D=$F$4,'领用录入（明细）'!C:C&gt;=$J$4,'领用录入（明细）'!C:C&lt;=$L$4),ROW(),"-")</f>
        <v>-</v>
      </c>
    </row>
    <row r="18795" customHeight="1" spans="2:2">
      <c r="B18795" s="62" t="str">
        <f>IF(AND('领用录入（明细）'!D:D=$F$4,'领用录入（明细）'!C:C&gt;=$J$4,'领用录入（明细）'!C:C&lt;=$L$4),ROW(),"-")</f>
        <v>-</v>
      </c>
    </row>
    <row r="18796" customHeight="1" spans="2:2">
      <c r="B18796" s="62" t="str">
        <f>IF(AND('领用录入（明细）'!D:D=$F$4,'领用录入（明细）'!C:C&gt;=$J$4,'领用录入（明细）'!C:C&lt;=$L$4),ROW(),"-")</f>
        <v>-</v>
      </c>
    </row>
    <row r="18797" customHeight="1" spans="2:2">
      <c r="B18797" s="62" t="str">
        <f>IF(AND('领用录入（明细）'!D:D=$F$4,'领用录入（明细）'!C:C&gt;=$J$4,'领用录入（明细）'!C:C&lt;=$L$4),ROW(),"-")</f>
        <v>-</v>
      </c>
    </row>
    <row r="18798" customHeight="1" spans="2:2">
      <c r="B18798" s="62" t="str">
        <f>IF(AND('领用录入（明细）'!D:D=$F$4,'领用录入（明细）'!C:C&gt;=$J$4,'领用录入（明细）'!C:C&lt;=$L$4),ROW(),"-")</f>
        <v>-</v>
      </c>
    </row>
    <row r="18799" customHeight="1" spans="2:2">
      <c r="B18799" s="62" t="str">
        <f>IF(AND('领用录入（明细）'!D:D=$F$4,'领用录入（明细）'!C:C&gt;=$J$4,'领用录入（明细）'!C:C&lt;=$L$4),ROW(),"-")</f>
        <v>-</v>
      </c>
    </row>
    <row r="18800" customHeight="1" spans="2:2">
      <c r="B18800" s="62" t="str">
        <f>IF(AND('领用录入（明细）'!D:D=$F$4,'领用录入（明细）'!C:C&gt;=$J$4,'领用录入（明细）'!C:C&lt;=$L$4),ROW(),"-")</f>
        <v>-</v>
      </c>
    </row>
    <row r="18801" customHeight="1" spans="2:2">
      <c r="B18801" s="62" t="str">
        <f>IF(AND('领用录入（明细）'!D:D=$F$4,'领用录入（明细）'!C:C&gt;=$J$4,'领用录入（明细）'!C:C&lt;=$L$4),ROW(),"-")</f>
        <v>-</v>
      </c>
    </row>
    <row r="18802" customHeight="1" spans="2:2">
      <c r="B18802" s="62" t="str">
        <f>IF(AND('领用录入（明细）'!D:D=$F$4,'领用录入（明细）'!C:C&gt;=$J$4,'领用录入（明细）'!C:C&lt;=$L$4),ROW(),"-")</f>
        <v>-</v>
      </c>
    </row>
    <row r="18803" customHeight="1" spans="2:2">
      <c r="B18803" s="62" t="str">
        <f>IF(AND('领用录入（明细）'!D:D=$F$4,'领用录入（明细）'!C:C&gt;=$J$4,'领用录入（明细）'!C:C&lt;=$L$4),ROW(),"-")</f>
        <v>-</v>
      </c>
    </row>
    <row r="18804" customHeight="1" spans="2:2">
      <c r="B18804" s="62" t="str">
        <f>IF(AND('领用录入（明细）'!D:D=$F$4,'领用录入（明细）'!C:C&gt;=$J$4,'领用录入（明细）'!C:C&lt;=$L$4),ROW(),"-")</f>
        <v>-</v>
      </c>
    </row>
    <row r="18805" customHeight="1" spans="2:2">
      <c r="B18805" s="62" t="str">
        <f>IF(AND('领用录入（明细）'!D:D=$F$4,'领用录入（明细）'!C:C&gt;=$J$4,'领用录入（明细）'!C:C&lt;=$L$4),ROW(),"-")</f>
        <v>-</v>
      </c>
    </row>
    <row r="18806" customHeight="1" spans="2:2">
      <c r="B18806" s="62" t="str">
        <f>IF(AND('领用录入（明细）'!D:D=$F$4,'领用录入（明细）'!C:C&gt;=$J$4,'领用录入（明细）'!C:C&lt;=$L$4),ROW(),"-")</f>
        <v>-</v>
      </c>
    </row>
    <row r="18807" customHeight="1" spans="2:2">
      <c r="B18807" s="62" t="str">
        <f>IF(AND('领用录入（明细）'!D:D=$F$4,'领用录入（明细）'!C:C&gt;=$J$4,'领用录入（明细）'!C:C&lt;=$L$4),ROW(),"-")</f>
        <v>-</v>
      </c>
    </row>
    <row r="18808" customHeight="1" spans="2:2">
      <c r="B18808" s="62" t="str">
        <f>IF(AND('领用录入（明细）'!D:D=$F$4,'领用录入（明细）'!C:C&gt;=$J$4,'领用录入（明细）'!C:C&lt;=$L$4),ROW(),"-")</f>
        <v>-</v>
      </c>
    </row>
    <row r="18809" customHeight="1" spans="2:2">
      <c r="B18809" s="62" t="str">
        <f>IF(AND('领用录入（明细）'!D:D=$F$4,'领用录入（明细）'!C:C&gt;=$J$4,'领用录入（明细）'!C:C&lt;=$L$4),ROW(),"-")</f>
        <v>-</v>
      </c>
    </row>
    <row r="18810" customHeight="1" spans="2:2">
      <c r="B18810" s="62" t="str">
        <f>IF(AND('领用录入（明细）'!D:D=$F$4,'领用录入（明细）'!C:C&gt;=$J$4,'领用录入（明细）'!C:C&lt;=$L$4),ROW(),"-")</f>
        <v>-</v>
      </c>
    </row>
    <row r="18811" customHeight="1" spans="2:2">
      <c r="B18811" s="62" t="str">
        <f>IF(AND('领用录入（明细）'!D:D=$F$4,'领用录入（明细）'!C:C&gt;=$J$4,'领用录入（明细）'!C:C&lt;=$L$4),ROW(),"-")</f>
        <v>-</v>
      </c>
    </row>
    <row r="18812" customHeight="1" spans="2:2">
      <c r="B18812" s="62" t="str">
        <f>IF(AND('领用录入（明细）'!D:D=$F$4,'领用录入（明细）'!C:C&gt;=$J$4,'领用录入（明细）'!C:C&lt;=$L$4),ROW(),"-")</f>
        <v>-</v>
      </c>
    </row>
    <row r="18813" customHeight="1" spans="2:2">
      <c r="B18813" s="62" t="str">
        <f>IF(AND('领用录入（明细）'!D:D=$F$4,'领用录入（明细）'!C:C&gt;=$J$4,'领用录入（明细）'!C:C&lt;=$L$4),ROW(),"-")</f>
        <v>-</v>
      </c>
    </row>
    <row r="18814" customHeight="1" spans="2:2">
      <c r="B18814" s="62" t="str">
        <f>IF(AND('领用录入（明细）'!D:D=$F$4,'领用录入（明细）'!C:C&gt;=$J$4,'领用录入（明细）'!C:C&lt;=$L$4),ROW(),"-")</f>
        <v>-</v>
      </c>
    </row>
    <row r="18815" customHeight="1" spans="2:2">
      <c r="B18815" s="62" t="str">
        <f>IF(AND('领用录入（明细）'!D:D=$F$4,'领用录入（明细）'!C:C&gt;=$J$4,'领用录入（明细）'!C:C&lt;=$L$4),ROW(),"-")</f>
        <v>-</v>
      </c>
    </row>
    <row r="18816" customHeight="1" spans="2:2">
      <c r="B18816" s="62" t="str">
        <f>IF(AND('领用录入（明细）'!D:D=$F$4,'领用录入（明细）'!C:C&gt;=$J$4,'领用录入（明细）'!C:C&lt;=$L$4),ROW(),"-")</f>
        <v>-</v>
      </c>
    </row>
    <row r="18817" customHeight="1" spans="2:2">
      <c r="B18817" s="62" t="str">
        <f>IF(AND('领用录入（明细）'!D:D=$F$4,'领用录入（明细）'!C:C&gt;=$J$4,'领用录入（明细）'!C:C&lt;=$L$4),ROW(),"-")</f>
        <v>-</v>
      </c>
    </row>
    <row r="18818" customHeight="1" spans="2:2">
      <c r="B18818" s="62" t="str">
        <f>IF(AND('领用录入（明细）'!D:D=$F$4,'领用录入（明细）'!C:C&gt;=$J$4,'领用录入（明细）'!C:C&lt;=$L$4),ROW(),"-")</f>
        <v>-</v>
      </c>
    </row>
    <row r="18819" customHeight="1" spans="2:2">
      <c r="B18819" s="62" t="str">
        <f>IF(AND('领用录入（明细）'!D:D=$F$4,'领用录入（明细）'!C:C&gt;=$J$4,'领用录入（明细）'!C:C&lt;=$L$4),ROW(),"-")</f>
        <v>-</v>
      </c>
    </row>
    <row r="18820" customHeight="1" spans="2:2">
      <c r="B18820" s="62" t="str">
        <f>IF(AND('领用录入（明细）'!D:D=$F$4,'领用录入（明细）'!C:C&gt;=$J$4,'领用录入（明细）'!C:C&lt;=$L$4),ROW(),"-")</f>
        <v>-</v>
      </c>
    </row>
    <row r="18821" customHeight="1" spans="2:2">
      <c r="B18821" s="62" t="str">
        <f>IF(AND('领用录入（明细）'!D:D=$F$4,'领用录入（明细）'!C:C&gt;=$J$4,'领用录入（明细）'!C:C&lt;=$L$4),ROW(),"-")</f>
        <v>-</v>
      </c>
    </row>
    <row r="18822" customHeight="1" spans="2:2">
      <c r="B18822" s="62" t="str">
        <f>IF(AND('领用录入（明细）'!D:D=$F$4,'领用录入（明细）'!C:C&gt;=$J$4,'领用录入（明细）'!C:C&lt;=$L$4),ROW(),"-")</f>
        <v>-</v>
      </c>
    </row>
    <row r="18823" customHeight="1" spans="2:2">
      <c r="B18823" s="62" t="str">
        <f>IF(AND('领用录入（明细）'!D:D=$F$4,'领用录入（明细）'!C:C&gt;=$J$4,'领用录入（明细）'!C:C&lt;=$L$4),ROW(),"-")</f>
        <v>-</v>
      </c>
    </row>
    <row r="18824" customHeight="1" spans="2:2">
      <c r="B18824" s="62" t="str">
        <f>IF(AND('领用录入（明细）'!D:D=$F$4,'领用录入（明细）'!C:C&gt;=$J$4,'领用录入（明细）'!C:C&lt;=$L$4),ROW(),"-")</f>
        <v>-</v>
      </c>
    </row>
    <row r="18825" customHeight="1" spans="2:2">
      <c r="B18825" s="62" t="str">
        <f>IF(AND('领用录入（明细）'!D:D=$F$4,'领用录入（明细）'!C:C&gt;=$J$4,'领用录入（明细）'!C:C&lt;=$L$4),ROW(),"-")</f>
        <v>-</v>
      </c>
    </row>
    <row r="18826" customHeight="1" spans="2:2">
      <c r="B18826" s="62" t="str">
        <f>IF(AND('领用录入（明细）'!D:D=$F$4,'领用录入（明细）'!C:C&gt;=$J$4,'领用录入（明细）'!C:C&lt;=$L$4),ROW(),"-")</f>
        <v>-</v>
      </c>
    </row>
    <row r="18827" customHeight="1" spans="2:2">
      <c r="B18827" s="62" t="str">
        <f>IF(AND('领用录入（明细）'!D:D=$F$4,'领用录入（明细）'!C:C&gt;=$J$4,'领用录入（明细）'!C:C&lt;=$L$4),ROW(),"-")</f>
        <v>-</v>
      </c>
    </row>
    <row r="18828" customHeight="1" spans="2:2">
      <c r="B18828" s="62" t="str">
        <f>IF(AND('领用录入（明细）'!D:D=$F$4,'领用录入（明细）'!C:C&gt;=$J$4,'领用录入（明细）'!C:C&lt;=$L$4),ROW(),"-")</f>
        <v>-</v>
      </c>
    </row>
    <row r="18829" customHeight="1" spans="2:2">
      <c r="B18829" s="62" t="str">
        <f>IF(AND('领用录入（明细）'!D:D=$F$4,'领用录入（明细）'!C:C&gt;=$J$4,'领用录入（明细）'!C:C&lt;=$L$4),ROW(),"-")</f>
        <v>-</v>
      </c>
    </row>
    <row r="18830" customHeight="1" spans="2:2">
      <c r="B18830" s="62" t="str">
        <f>IF(AND('领用录入（明细）'!D:D=$F$4,'领用录入（明细）'!C:C&gt;=$J$4,'领用录入（明细）'!C:C&lt;=$L$4),ROW(),"-")</f>
        <v>-</v>
      </c>
    </row>
    <row r="18831" customHeight="1" spans="2:2">
      <c r="B18831" s="62" t="str">
        <f>IF(AND('领用录入（明细）'!D:D=$F$4,'领用录入（明细）'!C:C&gt;=$J$4,'领用录入（明细）'!C:C&lt;=$L$4),ROW(),"-")</f>
        <v>-</v>
      </c>
    </row>
    <row r="18832" customHeight="1" spans="2:2">
      <c r="B18832" s="62" t="str">
        <f>IF(AND('领用录入（明细）'!D:D=$F$4,'领用录入（明细）'!C:C&gt;=$J$4,'领用录入（明细）'!C:C&lt;=$L$4),ROW(),"-")</f>
        <v>-</v>
      </c>
    </row>
    <row r="18833" customHeight="1" spans="2:2">
      <c r="B18833" s="62" t="str">
        <f>IF(AND('领用录入（明细）'!D:D=$F$4,'领用录入（明细）'!C:C&gt;=$J$4,'领用录入（明细）'!C:C&lt;=$L$4),ROW(),"-")</f>
        <v>-</v>
      </c>
    </row>
    <row r="18834" customHeight="1" spans="2:2">
      <c r="B18834" s="62" t="str">
        <f>IF(AND('领用录入（明细）'!D:D=$F$4,'领用录入（明细）'!C:C&gt;=$J$4,'领用录入（明细）'!C:C&lt;=$L$4),ROW(),"-")</f>
        <v>-</v>
      </c>
    </row>
    <row r="18835" customHeight="1" spans="2:2">
      <c r="B18835" s="62" t="str">
        <f>IF(AND('领用录入（明细）'!D:D=$F$4,'领用录入（明细）'!C:C&gt;=$J$4,'领用录入（明细）'!C:C&lt;=$L$4),ROW(),"-")</f>
        <v>-</v>
      </c>
    </row>
    <row r="18836" customHeight="1" spans="2:2">
      <c r="B18836" s="62" t="str">
        <f>IF(AND('领用录入（明细）'!D:D=$F$4,'领用录入（明细）'!C:C&gt;=$J$4,'领用录入（明细）'!C:C&lt;=$L$4),ROW(),"-")</f>
        <v>-</v>
      </c>
    </row>
    <row r="18837" customHeight="1" spans="2:2">
      <c r="B18837" s="62" t="str">
        <f>IF(AND('领用录入（明细）'!D:D=$F$4,'领用录入（明细）'!C:C&gt;=$J$4,'领用录入（明细）'!C:C&lt;=$L$4),ROW(),"-")</f>
        <v>-</v>
      </c>
    </row>
    <row r="18838" customHeight="1" spans="2:2">
      <c r="B18838" s="62" t="str">
        <f>IF(AND('领用录入（明细）'!D:D=$F$4,'领用录入（明细）'!C:C&gt;=$J$4,'领用录入（明细）'!C:C&lt;=$L$4),ROW(),"-")</f>
        <v>-</v>
      </c>
    </row>
    <row r="18839" customHeight="1" spans="2:2">
      <c r="B18839" s="62" t="str">
        <f>IF(AND('领用录入（明细）'!D:D=$F$4,'领用录入（明细）'!C:C&gt;=$J$4,'领用录入（明细）'!C:C&lt;=$L$4),ROW(),"-")</f>
        <v>-</v>
      </c>
    </row>
    <row r="18840" customHeight="1" spans="2:2">
      <c r="B18840" s="62" t="str">
        <f>IF(AND('领用录入（明细）'!D:D=$F$4,'领用录入（明细）'!C:C&gt;=$J$4,'领用录入（明细）'!C:C&lt;=$L$4),ROW(),"-")</f>
        <v>-</v>
      </c>
    </row>
    <row r="18841" customHeight="1" spans="2:2">
      <c r="B18841" s="62" t="str">
        <f>IF(AND('领用录入（明细）'!D:D=$F$4,'领用录入（明细）'!C:C&gt;=$J$4,'领用录入（明细）'!C:C&lt;=$L$4),ROW(),"-")</f>
        <v>-</v>
      </c>
    </row>
    <row r="18842" customHeight="1" spans="2:2">
      <c r="B18842" s="62" t="str">
        <f>IF(AND('领用录入（明细）'!D:D=$F$4,'领用录入（明细）'!C:C&gt;=$J$4,'领用录入（明细）'!C:C&lt;=$L$4),ROW(),"-")</f>
        <v>-</v>
      </c>
    </row>
    <row r="18843" customHeight="1" spans="2:2">
      <c r="B18843" s="62" t="str">
        <f>IF(AND('领用录入（明细）'!D:D=$F$4,'领用录入（明细）'!C:C&gt;=$J$4,'领用录入（明细）'!C:C&lt;=$L$4),ROW(),"-")</f>
        <v>-</v>
      </c>
    </row>
    <row r="18844" customHeight="1" spans="2:2">
      <c r="B18844" s="62" t="str">
        <f>IF(AND('领用录入（明细）'!D:D=$F$4,'领用录入（明细）'!C:C&gt;=$J$4,'领用录入（明细）'!C:C&lt;=$L$4),ROW(),"-")</f>
        <v>-</v>
      </c>
    </row>
    <row r="18845" customHeight="1" spans="2:2">
      <c r="B18845" s="62" t="str">
        <f>IF(AND('领用录入（明细）'!D:D=$F$4,'领用录入（明细）'!C:C&gt;=$J$4,'领用录入（明细）'!C:C&lt;=$L$4),ROW(),"-")</f>
        <v>-</v>
      </c>
    </row>
    <row r="18846" customHeight="1" spans="2:2">
      <c r="B18846" s="62" t="str">
        <f>IF(AND('领用录入（明细）'!D:D=$F$4,'领用录入（明细）'!C:C&gt;=$J$4,'领用录入（明细）'!C:C&lt;=$L$4),ROW(),"-")</f>
        <v>-</v>
      </c>
    </row>
    <row r="18847" customHeight="1" spans="2:2">
      <c r="B18847" s="62" t="str">
        <f>IF(AND('领用录入（明细）'!D:D=$F$4,'领用录入（明细）'!C:C&gt;=$J$4,'领用录入（明细）'!C:C&lt;=$L$4),ROW(),"-")</f>
        <v>-</v>
      </c>
    </row>
    <row r="18848" customHeight="1" spans="2:2">
      <c r="B18848" s="62" t="str">
        <f>IF(AND('领用录入（明细）'!D:D=$F$4,'领用录入（明细）'!C:C&gt;=$J$4,'领用录入（明细）'!C:C&lt;=$L$4),ROW(),"-")</f>
        <v>-</v>
      </c>
    </row>
    <row r="18849" customHeight="1" spans="2:2">
      <c r="B18849" s="62" t="str">
        <f>IF(AND('领用录入（明细）'!D:D=$F$4,'领用录入（明细）'!C:C&gt;=$J$4,'领用录入（明细）'!C:C&lt;=$L$4),ROW(),"-")</f>
        <v>-</v>
      </c>
    </row>
    <row r="18850" customHeight="1" spans="2:2">
      <c r="B18850" s="62" t="str">
        <f>IF(AND('领用录入（明细）'!D:D=$F$4,'领用录入（明细）'!C:C&gt;=$J$4,'领用录入（明细）'!C:C&lt;=$L$4),ROW(),"-")</f>
        <v>-</v>
      </c>
    </row>
    <row r="18851" customHeight="1" spans="2:2">
      <c r="B18851" s="62" t="str">
        <f>IF(AND('领用录入（明细）'!D:D=$F$4,'领用录入（明细）'!C:C&gt;=$J$4,'领用录入（明细）'!C:C&lt;=$L$4),ROW(),"-")</f>
        <v>-</v>
      </c>
    </row>
    <row r="18852" customHeight="1" spans="2:2">
      <c r="B18852" s="62" t="str">
        <f>IF(AND('领用录入（明细）'!D:D=$F$4,'领用录入（明细）'!C:C&gt;=$J$4,'领用录入（明细）'!C:C&lt;=$L$4),ROW(),"-")</f>
        <v>-</v>
      </c>
    </row>
    <row r="18853" customHeight="1" spans="2:2">
      <c r="B18853" s="62" t="str">
        <f>IF(AND('领用录入（明细）'!D:D=$F$4,'领用录入（明细）'!C:C&gt;=$J$4,'领用录入（明细）'!C:C&lt;=$L$4),ROW(),"-")</f>
        <v>-</v>
      </c>
    </row>
    <row r="18854" customHeight="1" spans="2:2">
      <c r="B18854" s="62" t="str">
        <f>IF(AND('领用录入（明细）'!D:D=$F$4,'领用录入（明细）'!C:C&gt;=$J$4,'领用录入（明细）'!C:C&lt;=$L$4),ROW(),"-")</f>
        <v>-</v>
      </c>
    </row>
    <row r="18855" customHeight="1" spans="2:2">
      <c r="B18855" s="62" t="str">
        <f>IF(AND('领用录入（明细）'!D:D=$F$4,'领用录入（明细）'!C:C&gt;=$J$4,'领用录入（明细）'!C:C&lt;=$L$4),ROW(),"-")</f>
        <v>-</v>
      </c>
    </row>
    <row r="18856" customHeight="1" spans="2:2">
      <c r="B18856" s="62" t="str">
        <f>IF(AND('领用录入（明细）'!D:D=$F$4,'领用录入（明细）'!C:C&gt;=$J$4,'领用录入（明细）'!C:C&lt;=$L$4),ROW(),"-")</f>
        <v>-</v>
      </c>
    </row>
    <row r="18857" customHeight="1" spans="2:2">
      <c r="B18857" s="62" t="str">
        <f>IF(AND('领用录入（明细）'!D:D=$F$4,'领用录入（明细）'!C:C&gt;=$J$4,'领用录入（明细）'!C:C&lt;=$L$4),ROW(),"-")</f>
        <v>-</v>
      </c>
    </row>
    <row r="18858" customHeight="1" spans="2:2">
      <c r="B18858" s="62" t="str">
        <f>IF(AND('领用录入（明细）'!D:D=$F$4,'领用录入（明细）'!C:C&gt;=$J$4,'领用录入（明细）'!C:C&lt;=$L$4),ROW(),"-")</f>
        <v>-</v>
      </c>
    </row>
    <row r="18859" customHeight="1" spans="2:2">
      <c r="B18859" s="62" t="str">
        <f>IF(AND('领用录入（明细）'!D:D=$F$4,'领用录入（明细）'!C:C&gt;=$J$4,'领用录入（明细）'!C:C&lt;=$L$4),ROW(),"-")</f>
        <v>-</v>
      </c>
    </row>
    <row r="18860" customHeight="1" spans="2:2">
      <c r="B18860" s="62" t="str">
        <f>IF(AND('领用录入（明细）'!D:D=$F$4,'领用录入（明细）'!C:C&gt;=$J$4,'领用录入（明细）'!C:C&lt;=$L$4),ROW(),"-")</f>
        <v>-</v>
      </c>
    </row>
    <row r="18861" customHeight="1" spans="2:2">
      <c r="B18861" s="62" t="str">
        <f>IF(AND('领用录入（明细）'!D:D=$F$4,'领用录入（明细）'!C:C&gt;=$J$4,'领用录入（明细）'!C:C&lt;=$L$4),ROW(),"-")</f>
        <v>-</v>
      </c>
    </row>
    <row r="18862" customHeight="1" spans="2:2">
      <c r="B18862" s="62" t="str">
        <f>IF(AND('领用录入（明细）'!D:D=$F$4,'领用录入（明细）'!C:C&gt;=$J$4,'领用录入（明细）'!C:C&lt;=$L$4),ROW(),"-")</f>
        <v>-</v>
      </c>
    </row>
    <row r="18863" customHeight="1" spans="2:2">
      <c r="B18863" s="62" t="str">
        <f>IF(AND('领用录入（明细）'!D:D=$F$4,'领用录入（明细）'!C:C&gt;=$J$4,'领用录入（明细）'!C:C&lt;=$L$4),ROW(),"-")</f>
        <v>-</v>
      </c>
    </row>
    <row r="18864" customHeight="1" spans="2:2">
      <c r="B18864" s="62" t="str">
        <f>IF(AND('领用录入（明细）'!D:D=$F$4,'领用录入（明细）'!C:C&gt;=$J$4,'领用录入（明细）'!C:C&lt;=$L$4),ROW(),"-")</f>
        <v>-</v>
      </c>
    </row>
    <row r="18865" customHeight="1" spans="2:2">
      <c r="B18865" s="62" t="str">
        <f>IF(AND('领用录入（明细）'!D:D=$F$4,'领用录入（明细）'!C:C&gt;=$J$4,'领用录入（明细）'!C:C&lt;=$L$4),ROW(),"-")</f>
        <v>-</v>
      </c>
    </row>
    <row r="18866" customHeight="1" spans="2:2">
      <c r="B18866" s="62" t="str">
        <f>IF(AND('领用录入（明细）'!D:D=$F$4,'领用录入（明细）'!C:C&gt;=$J$4,'领用录入（明细）'!C:C&lt;=$L$4),ROW(),"-")</f>
        <v>-</v>
      </c>
    </row>
    <row r="18867" customHeight="1" spans="2:2">
      <c r="B18867" s="62" t="str">
        <f>IF(AND('领用录入（明细）'!D:D=$F$4,'领用录入（明细）'!C:C&gt;=$J$4,'领用录入（明细）'!C:C&lt;=$L$4),ROW(),"-")</f>
        <v>-</v>
      </c>
    </row>
    <row r="18868" customHeight="1" spans="2:2">
      <c r="B18868" s="62" t="str">
        <f>IF(AND('领用录入（明细）'!D:D=$F$4,'领用录入（明细）'!C:C&gt;=$J$4,'领用录入（明细）'!C:C&lt;=$L$4),ROW(),"-")</f>
        <v>-</v>
      </c>
    </row>
    <row r="18869" customHeight="1" spans="2:2">
      <c r="B18869" s="62" t="str">
        <f>IF(AND('领用录入（明细）'!D:D=$F$4,'领用录入（明细）'!C:C&gt;=$J$4,'领用录入（明细）'!C:C&lt;=$L$4),ROW(),"-")</f>
        <v>-</v>
      </c>
    </row>
    <row r="18870" customHeight="1" spans="2:2">
      <c r="B18870" s="62" t="str">
        <f>IF(AND('领用录入（明细）'!D:D=$F$4,'领用录入（明细）'!C:C&gt;=$J$4,'领用录入（明细）'!C:C&lt;=$L$4),ROW(),"-")</f>
        <v>-</v>
      </c>
    </row>
    <row r="18871" customHeight="1" spans="2:2">
      <c r="B18871" s="62" t="str">
        <f>IF(AND('领用录入（明细）'!D:D=$F$4,'领用录入（明细）'!C:C&gt;=$J$4,'领用录入（明细）'!C:C&lt;=$L$4),ROW(),"-")</f>
        <v>-</v>
      </c>
    </row>
    <row r="18872" customHeight="1" spans="2:2">
      <c r="B18872" s="62" t="str">
        <f>IF(AND('领用录入（明细）'!D:D=$F$4,'领用录入（明细）'!C:C&gt;=$J$4,'领用录入（明细）'!C:C&lt;=$L$4),ROW(),"-")</f>
        <v>-</v>
      </c>
    </row>
    <row r="18873" customHeight="1" spans="2:2">
      <c r="B18873" s="62" t="str">
        <f>IF(AND('领用录入（明细）'!D:D=$F$4,'领用录入（明细）'!C:C&gt;=$J$4,'领用录入（明细）'!C:C&lt;=$L$4),ROW(),"-")</f>
        <v>-</v>
      </c>
    </row>
    <row r="18874" customHeight="1" spans="2:2">
      <c r="B18874" s="62" t="str">
        <f>IF(AND('领用录入（明细）'!D:D=$F$4,'领用录入（明细）'!C:C&gt;=$J$4,'领用录入（明细）'!C:C&lt;=$L$4),ROW(),"-")</f>
        <v>-</v>
      </c>
    </row>
    <row r="18875" customHeight="1" spans="2:2">
      <c r="B18875" s="62" t="str">
        <f>IF(AND('领用录入（明细）'!D:D=$F$4,'领用录入（明细）'!C:C&gt;=$J$4,'领用录入（明细）'!C:C&lt;=$L$4),ROW(),"-")</f>
        <v>-</v>
      </c>
    </row>
    <row r="18876" customHeight="1" spans="2:2">
      <c r="B18876" s="62" t="str">
        <f>IF(AND('领用录入（明细）'!D:D=$F$4,'领用录入（明细）'!C:C&gt;=$J$4,'领用录入（明细）'!C:C&lt;=$L$4),ROW(),"-")</f>
        <v>-</v>
      </c>
    </row>
    <row r="18877" customHeight="1" spans="2:2">
      <c r="B18877" s="62" t="str">
        <f>IF(AND('领用录入（明细）'!D:D=$F$4,'领用录入（明细）'!C:C&gt;=$J$4,'领用录入（明细）'!C:C&lt;=$L$4),ROW(),"-")</f>
        <v>-</v>
      </c>
    </row>
    <row r="18878" customHeight="1" spans="2:2">
      <c r="B18878" s="62" t="str">
        <f>IF(AND('领用录入（明细）'!D:D=$F$4,'领用录入（明细）'!C:C&gt;=$J$4,'领用录入（明细）'!C:C&lt;=$L$4),ROW(),"-")</f>
        <v>-</v>
      </c>
    </row>
    <row r="18879" customHeight="1" spans="2:2">
      <c r="B18879" s="62" t="str">
        <f>IF(AND('领用录入（明细）'!D:D=$F$4,'领用录入（明细）'!C:C&gt;=$J$4,'领用录入（明细）'!C:C&lt;=$L$4),ROW(),"-")</f>
        <v>-</v>
      </c>
    </row>
    <row r="18880" customHeight="1" spans="2:2">
      <c r="B18880" s="62" t="str">
        <f>IF(AND('领用录入（明细）'!D:D=$F$4,'领用录入（明细）'!C:C&gt;=$J$4,'领用录入（明细）'!C:C&lt;=$L$4),ROW(),"-")</f>
        <v>-</v>
      </c>
    </row>
    <row r="18881" customHeight="1" spans="2:2">
      <c r="B18881" s="62" t="str">
        <f>IF(AND('领用录入（明细）'!D:D=$F$4,'领用录入（明细）'!C:C&gt;=$J$4,'领用录入（明细）'!C:C&lt;=$L$4),ROW(),"-")</f>
        <v>-</v>
      </c>
    </row>
    <row r="18882" customHeight="1" spans="2:2">
      <c r="B18882" s="62" t="str">
        <f>IF(AND('领用录入（明细）'!D:D=$F$4,'领用录入（明细）'!C:C&gt;=$J$4,'领用录入（明细）'!C:C&lt;=$L$4),ROW(),"-")</f>
        <v>-</v>
      </c>
    </row>
    <row r="18883" customHeight="1" spans="2:2">
      <c r="B18883" s="62" t="str">
        <f>IF(AND('领用录入（明细）'!D:D=$F$4,'领用录入（明细）'!C:C&gt;=$J$4,'领用录入（明细）'!C:C&lt;=$L$4),ROW(),"-")</f>
        <v>-</v>
      </c>
    </row>
    <row r="18884" customHeight="1" spans="2:2">
      <c r="B18884" s="62" t="str">
        <f>IF(AND('领用录入（明细）'!D:D=$F$4,'领用录入（明细）'!C:C&gt;=$J$4,'领用录入（明细）'!C:C&lt;=$L$4),ROW(),"-")</f>
        <v>-</v>
      </c>
    </row>
    <row r="18885" customHeight="1" spans="2:2">
      <c r="B18885" s="62" t="str">
        <f>IF(AND('领用录入（明细）'!D:D=$F$4,'领用录入（明细）'!C:C&gt;=$J$4,'领用录入（明细）'!C:C&lt;=$L$4),ROW(),"-")</f>
        <v>-</v>
      </c>
    </row>
    <row r="18886" customHeight="1" spans="2:2">
      <c r="B18886" s="62" t="str">
        <f>IF(AND('领用录入（明细）'!D:D=$F$4,'领用录入（明细）'!C:C&gt;=$J$4,'领用录入（明细）'!C:C&lt;=$L$4),ROW(),"-")</f>
        <v>-</v>
      </c>
    </row>
    <row r="18887" customHeight="1" spans="2:2">
      <c r="B18887" s="62" t="str">
        <f>IF(AND('领用录入（明细）'!D:D=$F$4,'领用录入（明细）'!C:C&gt;=$J$4,'领用录入（明细）'!C:C&lt;=$L$4),ROW(),"-")</f>
        <v>-</v>
      </c>
    </row>
    <row r="18888" customHeight="1" spans="2:2">
      <c r="B18888" s="62" t="str">
        <f>IF(AND('领用录入（明细）'!D:D=$F$4,'领用录入（明细）'!C:C&gt;=$J$4,'领用录入（明细）'!C:C&lt;=$L$4),ROW(),"-")</f>
        <v>-</v>
      </c>
    </row>
    <row r="18889" customHeight="1" spans="2:2">
      <c r="B18889" s="62" t="str">
        <f>IF(AND('领用录入（明细）'!D:D=$F$4,'领用录入（明细）'!C:C&gt;=$J$4,'领用录入（明细）'!C:C&lt;=$L$4),ROW(),"-")</f>
        <v>-</v>
      </c>
    </row>
    <row r="18890" customHeight="1" spans="2:2">
      <c r="B18890" s="62" t="str">
        <f>IF(AND('领用录入（明细）'!D:D=$F$4,'领用录入（明细）'!C:C&gt;=$J$4,'领用录入（明细）'!C:C&lt;=$L$4),ROW(),"-")</f>
        <v>-</v>
      </c>
    </row>
    <row r="18891" customHeight="1" spans="2:2">
      <c r="B18891" s="62" t="str">
        <f>IF(AND('领用录入（明细）'!D:D=$F$4,'领用录入（明细）'!C:C&gt;=$J$4,'领用录入（明细）'!C:C&lt;=$L$4),ROW(),"-")</f>
        <v>-</v>
      </c>
    </row>
    <row r="18892" customHeight="1" spans="2:2">
      <c r="B18892" s="62" t="str">
        <f>IF(AND('领用录入（明细）'!D:D=$F$4,'领用录入（明细）'!C:C&gt;=$J$4,'领用录入（明细）'!C:C&lt;=$L$4),ROW(),"-")</f>
        <v>-</v>
      </c>
    </row>
    <row r="18893" customHeight="1" spans="2:2">
      <c r="B18893" s="62" t="str">
        <f>IF(AND('领用录入（明细）'!D:D=$F$4,'领用录入（明细）'!C:C&gt;=$J$4,'领用录入（明细）'!C:C&lt;=$L$4),ROW(),"-")</f>
        <v>-</v>
      </c>
    </row>
    <row r="18894" customHeight="1" spans="2:2">
      <c r="B18894" s="62" t="str">
        <f>IF(AND('领用录入（明细）'!D:D=$F$4,'领用录入（明细）'!C:C&gt;=$J$4,'领用录入（明细）'!C:C&lt;=$L$4),ROW(),"-")</f>
        <v>-</v>
      </c>
    </row>
    <row r="18895" customHeight="1" spans="2:2">
      <c r="B18895" s="62" t="str">
        <f>IF(AND('领用录入（明细）'!D:D=$F$4,'领用录入（明细）'!C:C&gt;=$J$4,'领用录入（明细）'!C:C&lt;=$L$4),ROW(),"-")</f>
        <v>-</v>
      </c>
    </row>
    <row r="18896" customHeight="1" spans="2:2">
      <c r="B18896" s="62" t="str">
        <f>IF(AND('领用录入（明细）'!D:D=$F$4,'领用录入（明细）'!C:C&gt;=$J$4,'领用录入（明细）'!C:C&lt;=$L$4),ROW(),"-")</f>
        <v>-</v>
      </c>
    </row>
    <row r="18897" customHeight="1" spans="2:2">
      <c r="B18897" s="62" t="str">
        <f>IF(AND('领用录入（明细）'!D:D=$F$4,'领用录入（明细）'!C:C&gt;=$J$4,'领用录入（明细）'!C:C&lt;=$L$4),ROW(),"-")</f>
        <v>-</v>
      </c>
    </row>
    <row r="18898" customHeight="1" spans="2:2">
      <c r="B18898" s="62" t="str">
        <f>IF(AND('领用录入（明细）'!D:D=$F$4,'领用录入（明细）'!C:C&gt;=$J$4,'领用录入（明细）'!C:C&lt;=$L$4),ROW(),"-")</f>
        <v>-</v>
      </c>
    </row>
    <row r="18899" customHeight="1" spans="2:2">
      <c r="B18899" s="62" t="str">
        <f>IF(AND('领用录入（明细）'!D:D=$F$4,'领用录入（明细）'!C:C&gt;=$J$4,'领用录入（明细）'!C:C&lt;=$L$4),ROW(),"-")</f>
        <v>-</v>
      </c>
    </row>
    <row r="18900" customHeight="1" spans="2:2">
      <c r="B18900" s="62" t="str">
        <f>IF(AND('领用录入（明细）'!D:D=$F$4,'领用录入（明细）'!C:C&gt;=$J$4,'领用录入（明细）'!C:C&lt;=$L$4),ROW(),"-")</f>
        <v>-</v>
      </c>
    </row>
    <row r="18901" customHeight="1" spans="2:2">
      <c r="B18901" s="62" t="str">
        <f>IF(AND('领用录入（明细）'!D:D=$F$4,'领用录入（明细）'!C:C&gt;=$J$4,'领用录入（明细）'!C:C&lt;=$L$4),ROW(),"-")</f>
        <v>-</v>
      </c>
    </row>
    <row r="18902" customHeight="1" spans="2:2">
      <c r="B18902" s="62" t="str">
        <f>IF(AND('领用录入（明细）'!D:D=$F$4,'领用录入（明细）'!C:C&gt;=$J$4,'领用录入（明细）'!C:C&lt;=$L$4),ROW(),"-")</f>
        <v>-</v>
      </c>
    </row>
    <row r="18903" customHeight="1" spans="2:2">
      <c r="B18903" s="62" t="str">
        <f>IF(AND('领用录入（明细）'!D:D=$F$4,'领用录入（明细）'!C:C&gt;=$J$4,'领用录入（明细）'!C:C&lt;=$L$4),ROW(),"-")</f>
        <v>-</v>
      </c>
    </row>
    <row r="18904" customHeight="1" spans="2:2">
      <c r="B18904" s="62" t="str">
        <f>IF(AND('领用录入（明细）'!D:D=$F$4,'领用录入（明细）'!C:C&gt;=$J$4,'领用录入（明细）'!C:C&lt;=$L$4),ROW(),"-")</f>
        <v>-</v>
      </c>
    </row>
    <row r="18905" customHeight="1" spans="2:2">
      <c r="B18905" s="62" t="str">
        <f>IF(AND('领用录入（明细）'!D:D=$F$4,'领用录入（明细）'!C:C&gt;=$J$4,'领用录入（明细）'!C:C&lt;=$L$4),ROW(),"-")</f>
        <v>-</v>
      </c>
    </row>
    <row r="18906" customHeight="1" spans="2:2">
      <c r="B18906" s="62" t="str">
        <f>IF(AND('领用录入（明细）'!D:D=$F$4,'领用录入（明细）'!C:C&gt;=$J$4,'领用录入（明细）'!C:C&lt;=$L$4),ROW(),"-")</f>
        <v>-</v>
      </c>
    </row>
    <row r="18907" customHeight="1" spans="2:2">
      <c r="B18907" s="62" t="str">
        <f>IF(AND('领用录入（明细）'!D:D=$F$4,'领用录入（明细）'!C:C&gt;=$J$4,'领用录入（明细）'!C:C&lt;=$L$4),ROW(),"-")</f>
        <v>-</v>
      </c>
    </row>
    <row r="18908" customHeight="1" spans="2:2">
      <c r="B18908" s="62" t="str">
        <f>IF(AND('领用录入（明细）'!D:D=$F$4,'领用录入（明细）'!C:C&gt;=$J$4,'领用录入（明细）'!C:C&lt;=$L$4),ROW(),"-")</f>
        <v>-</v>
      </c>
    </row>
    <row r="18909" customHeight="1" spans="2:2">
      <c r="B18909" s="62" t="str">
        <f>IF(AND('领用录入（明细）'!D:D=$F$4,'领用录入（明细）'!C:C&gt;=$J$4,'领用录入（明细）'!C:C&lt;=$L$4),ROW(),"-")</f>
        <v>-</v>
      </c>
    </row>
    <row r="18910" customHeight="1" spans="2:2">
      <c r="B18910" s="62" t="str">
        <f>IF(AND('领用录入（明细）'!D:D=$F$4,'领用录入（明细）'!C:C&gt;=$J$4,'领用录入（明细）'!C:C&lt;=$L$4),ROW(),"-")</f>
        <v>-</v>
      </c>
    </row>
    <row r="18911" customHeight="1" spans="2:2">
      <c r="B18911" s="62" t="str">
        <f>IF(AND('领用录入（明细）'!D:D=$F$4,'领用录入（明细）'!C:C&gt;=$J$4,'领用录入（明细）'!C:C&lt;=$L$4),ROW(),"-")</f>
        <v>-</v>
      </c>
    </row>
    <row r="18912" customHeight="1" spans="2:2">
      <c r="B18912" s="62" t="str">
        <f>IF(AND('领用录入（明细）'!D:D=$F$4,'领用录入（明细）'!C:C&gt;=$J$4,'领用录入（明细）'!C:C&lt;=$L$4),ROW(),"-")</f>
        <v>-</v>
      </c>
    </row>
    <row r="18913" customHeight="1" spans="2:2">
      <c r="B18913" s="62" t="str">
        <f>IF(AND('领用录入（明细）'!D:D=$F$4,'领用录入（明细）'!C:C&gt;=$J$4,'领用录入（明细）'!C:C&lt;=$L$4),ROW(),"-")</f>
        <v>-</v>
      </c>
    </row>
    <row r="18914" customHeight="1" spans="2:2">
      <c r="B18914" s="62" t="str">
        <f>IF(AND('领用录入（明细）'!D:D=$F$4,'领用录入（明细）'!C:C&gt;=$J$4,'领用录入（明细）'!C:C&lt;=$L$4),ROW(),"-")</f>
        <v>-</v>
      </c>
    </row>
    <row r="18915" customHeight="1" spans="2:2">
      <c r="B18915" s="62" t="str">
        <f>IF(AND('领用录入（明细）'!D:D=$F$4,'领用录入（明细）'!C:C&gt;=$J$4,'领用录入（明细）'!C:C&lt;=$L$4),ROW(),"-")</f>
        <v>-</v>
      </c>
    </row>
    <row r="18916" customHeight="1" spans="2:2">
      <c r="B18916" s="62" t="str">
        <f>IF(AND('领用录入（明细）'!D:D=$F$4,'领用录入（明细）'!C:C&gt;=$J$4,'领用录入（明细）'!C:C&lt;=$L$4),ROW(),"-")</f>
        <v>-</v>
      </c>
    </row>
    <row r="18917" customHeight="1" spans="2:2">
      <c r="B18917" s="62" t="str">
        <f>IF(AND('领用录入（明细）'!D:D=$F$4,'领用录入（明细）'!C:C&gt;=$J$4,'领用录入（明细）'!C:C&lt;=$L$4),ROW(),"-")</f>
        <v>-</v>
      </c>
    </row>
    <row r="18918" customHeight="1" spans="2:2">
      <c r="B18918" s="62" t="str">
        <f>IF(AND('领用录入（明细）'!D:D=$F$4,'领用录入（明细）'!C:C&gt;=$J$4,'领用录入（明细）'!C:C&lt;=$L$4),ROW(),"-")</f>
        <v>-</v>
      </c>
    </row>
    <row r="18919" customHeight="1" spans="2:2">
      <c r="B18919" s="62" t="str">
        <f>IF(AND('领用录入（明细）'!D:D=$F$4,'领用录入（明细）'!C:C&gt;=$J$4,'领用录入（明细）'!C:C&lt;=$L$4),ROW(),"-")</f>
        <v>-</v>
      </c>
    </row>
    <row r="18920" customHeight="1" spans="2:2">
      <c r="B18920" s="62" t="str">
        <f>IF(AND('领用录入（明细）'!D:D=$F$4,'领用录入（明细）'!C:C&gt;=$J$4,'领用录入（明细）'!C:C&lt;=$L$4),ROW(),"-")</f>
        <v>-</v>
      </c>
    </row>
    <row r="18921" customHeight="1" spans="2:2">
      <c r="B18921" s="62" t="str">
        <f>IF(AND('领用录入（明细）'!D:D=$F$4,'领用录入（明细）'!C:C&gt;=$J$4,'领用录入（明细）'!C:C&lt;=$L$4),ROW(),"-")</f>
        <v>-</v>
      </c>
    </row>
    <row r="18922" customHeight="1" spans="2:2">
      <c r="B18922" s="62" t="str">
        <f>IF(AND('领用录入（明细）'!D:D=$F$4,'领用录入（明细）'!C:C&gt;=$J$4,'领用录入（明细）'!C:C&lt;=$L$4),ROW(),"-")</f>
        <v>-</v>
      </c>
    </row>
    <row r="18923" customHeight="1" spans="2:2">
      <c r="B18923" s="62" t="str">
        <f>IF(AND('领用录入（明细）'!D:D=$F$4,'领用录入（明细）'!C:C&gt;=$J$4,'领用录入（明细）'!C:C&lt;=$L$4),ROW(),"-")</f>
        <v>-</v>
      </c>
    </row>
    <row r="18924" customHeight="1" spans="2:2">
      <c r="B18924" s="62" t="str">
        <f>IF(AND('领用录入（明细）'!D:D=$F$4,'领用录入（明细）'!C:C&gt;=$J$4,'领用录入（明细）'!C:C&lt;=$L$4),ROW(),"-")</f>
        <v>-</v>
      </c>
    </row>
    <row r="18925" customHeight="1" spans="2:2">
      <c r="B18925" s="62" t="str">
        <f>IF(AND('领用录入（明细）'!D:D=$F$4,'领用录入（明细）'!C:C&gt;=$J$4,'领用录入（明细）'!C:C&lt;=$L$4),ROW(),"-")</f>
        <v>-</v>
      </c>
    </row>
    <row r="18926" customHeight="1" spans="2:2">
      <c r="B18926" s="62" t="str">
        <f>IF(AND('领用录入（明细）'!D:D=$F$4,'领用录入（明细）'!C:C&gt;=$J$4,'领用录入（明细）'!C:C&lt;=$L$4),ROW(),"-")</f>
        <v>-</v>
      </c>
    </row>
    <row r="18927" customHeight="1" spans="2:2">
      <c r="B18927" s="62" t="str">
        <f>IF(AND('领用录入（明细）'!D:D=$F$4,'领用录入（明细）'!C:C&gt;=$J$4,'领用录入（明细）'!C:C&lt;=$L$4),ROW(),"-")</f>
        <v>-</v>
      </c>
    </row>
    <row r="18928" customHeight="1" spans="2:2">
      <c r="B18928" s="62" t="str">
        <f>IF(AND('领用录入（明细）'!D:D=$F$4,'领用录入（明细）'!C:C&gt;=$J$4,'领用录入（明细）'!C:C&lt;=$L$4),ROW(),"-")</f>
        <v>-</v>
      </c>
    </row>
    <row r="18929" customHeight="1" spans="2:2">
      <c r="B18929" s="62" t="str">
        <f>IF(AND('领用录入（明细）'!D:D=$F$4,'领用录入（明细）'!C:C&gt;=$J$4,'领用录入（明细）'!C:C&lt;=$L$4),ROW(),"-")</f>
        <v>-</v>
      </c>
    </row>
    <row r="18930" customHeight="1" spans="2:2">
      <c r="B18930" s="62" t="str">
        <f>IF(AND('领用录入（明细）'!D:D=$F$4,'领用录入（明细）'!C:C&gt;=$J$4,'领用录入（明细）'!C:C&lt;=$L$4),ROW(),"-")</f>
        <v>-</v>
      </c>
    </row>
    <row r="18931" customHeight="1" spans="2:2">
      <c r="B18931" s="62" t="str">
        <f>IF(AND('领用录入（明细）'!D:D=$F$4,'领用录入（明细）'!C:C&gt;=$J$4,'领用录入（明细）'!C:C&lt;=$L$4),ROW(),"-")</f>
        <v>-</v>
      </c>
    </row>
    <row r="18932" customHeight="1" spans="2:2">
      <c r="B18932" s="62" t="str">
        <f>IF(AND('领用录入（明细）'!D:D=$F$4,'领用录入（明细）'!C:C&gt;=$J$4,'领用录入（明细）'!C:C&lt;=$L$4),ROW(),"-")</f>
        <v>-</v>
      </c>
    </row>
    <row r="18933" customHeight="1" spans="2:2">
      <c r="B18933" s="62" t="str">
        <f>IF(AND('领用录入（明细）'!D:D=$F$4,'领用录入（明细）'!C:C&gt;=$J$4,'领用录入（明细）'!C:C&lt;=$L$4),ROW(),"-")</f>
        <v>-</v>
      </c>
    </row>
    <row r="18934" customHeight="1" spans="2:2">
      <c r="B18934" s="62" t="str">
        <f>IF(AND('领用录入（明细）'!D:D=$F$4,'领用录入（明细）'!C:C&gt;=$J$4,'领用录入（明细）'!C:C&lt;=$L$4),ROW(),"-")</f>
        <v>-</v>
      </c>
    </row>
    <row r="18935" customHeight="1" spans="2:2">
      <c r="B18935" s="62" t="str">
        <f>IF(AND('领用录入（明细）'!D:D=$F$4,'领用录入（明细）'!C:C&gt;=$J$4,'领用录入（明细）'!C:C&lt;=$L$4),ROW(),"-")</f>
        <v>-</v>
      </c>
    </row>
    <row r="18936" customHeight="1" spans="2:2">
      <c r="B18936" s="62" t="str">
        <f>IF(AND('领用录入（明细）'!D:D=$F$4,'领用录入（明细）'!C:C&gt;=$J$4,'领用录入（明细）'!C:C&lt;=$L$4),ROW(),"-")</f>
        <v>-</v>
      </c>
    </row>
    <row r="18937" customHeight="1" spans="2:2">
      <c r="B18937" s="62" t="str">
        <f>IF(AND('领用录入（明细）'!D:D=$F$4,'领用录入（明细）'!C:C&gt;=$J$4,'领用录入（明细）'!C:C&lt;=$L$4),ROW(),"-")</f>
        <v>-</v>
      </c>
    </row>
    <row r="18938" customHeight="1" spans="2:2">
      <c r="B18938" s="62" t="str">
        <f>IF(AND('领用录入（明细）'!D:D=$F$4,'领用录入（明细）'!C:C&gt;=$J$4,'领用录入（明细）'!C:C&lt;=$L$4),ROW(),"-")</f>
        <v>-</v>
      </c>
    </row>
    <row r="18939" customHeight="1" spans="2:2">
      <c r="B18939" s="62" t="str">
        <f>IF(AND('领用录入（明细）'!D:D=$F$4,'领用录入（明细）'!C:C&gt;=$J$4,'领用录入（明细）'!C:C&lt;=$L$4),ROW(),"-")</f>
        <v>-</v>
      </c>
    </row>
    <row r="18940" customHeight="1" spans="2:2">
      <c r="B18940" s="62" t="str">
        <f>IF(AND('领用录入（明细）'!D:D=$F$4,'领用录入（明细）'!C:C&gt;=$J$4,'领用录入（明细）'!C:C&lt;=$L$4),ROW(),"-")</f>
        <v>-</v>
      </c>
    </row>
    <row r="18941" customHeight="1" spans="2:2">
      <c r="B18941" s="62" t="str">
        <f>IF(AND('领用录入（明细）'!D:D=$F$4,'领用录入（明细）'!C:C&gt;=$J$4,'领用录入（明细）'!C:C&lt;=$L$4),ROW(),"-")</f>
        <v>-</v>
      </c>
    </row>
    <row r="18942" customHeight="1" spans="2:2">
      <c r="B18942" s="62" t="str">
        <f>IF(AND('领用录入（明细）'!D:D=$F$4,'领用录入（明细）'!C:C&gt;=$J$4,'领用录入（明细）'!C:C&lt;=$L$4),ROW(),"-")</f>
        <v>-</v>
      </c>
    </row>
    <row r="18943" customHeight="1" spans="2:2">
      <c r="B18943" s="62" t="str">
        <f>IF(AND('领用录入（明细）'!D:D=$F$4,'领用录入（明细）'!C:C&gt;=$J$4,'领用录入（明细）'!C:C&lt;=$L$4),ROW(),"-")</f>
        <v>-</v>
      </c>
    </row>
    <row r="18944" customHeight="1" spans="2:2">
      <c r="B18944" s="62" t="str">
        <f>IF(AND('领用录入（明细）'!D:D=$F$4,'领用录入（明细）'!C:C&gt;=$J$4,'领用录入（明细）'!C:C&lt;=$L$4),ROW(),"-")</f>
        <v>-</v>
      </c>
    </row>
    <row r="18945" customHeight="1" spans="2:2">
      <c r="B18945" s="62" t="str">
        <f>IF(AND('领用录入（明细）'!D:D=$F$4,'领用录入（明细）'!C:C&gt;=$J$4,'领用录入（明细）'!C:C&lt;=$L$4),ROW(),"-")</f>
        <v>-</v>
      </c>
    </row>
    <row r="18946" customHeight="1" spans="2:2">
      <c r="B18946" s="62" t="str">
        <f>IF(AND('领用录入（明细）'!D:D=$F$4,'领用录入（明细）'!C:C&gt;=$J$4,'领用录入（明细）'!C:C&lt;=$L$4),ROW(),"-")</f>
        <v>-</v>
      </c>
    </row>
    <row r="18947" customHeight="1" spans="2:2">
      <c r="B18947" s="62" t="str">
        <f>IF(AND('领用录入（明细）'!D:D=$F$4,'领用录入（明细）'!C:C&gt;=$J$4,'领用录入（明细）'!C:C&lt;=$L$4),ROW(),"-")</f>
        <v>-</v>
      </c>
    </row>
    <row r="18948" customHeight="1" spans="2:2">
      <c r="B18948" s="62" t="str">
        <f>IF(AND('领用录入（明细）'!D:D=$F$4,'领用录入（明细）'!C:C&gt;=$J$4,'领用录入（明细）'!C:C&lt;=$L$4),ROW(),"-")</f>
        <v>-</v>
      </c>
    </row>
    <row r="18949" customHeight="1" spans="2:2">
      <c r="B18949" s="62" t="str">
        <f>IF(AND('领用录入（明细）'!D:D=$F$4,'领用录入（明细）'!C:C&gt;=$J$4,'领用录入（明细）'!C:C&lt;=$L$4),ROW(),"-")</f>
        <v>-</v>
      </c>
    </row>
    <row r="18950" customHeight="1" spans="2:2">
      <c r="B18950" s="62" t="str">
        <f>IF(AND('领用录入（明细）'!D:D=$F$4,'领用录入（明细）'!C:C&gt;=$J$4,'领用录入（明细）'!C:C&lt;=$L$4),ROW(),"-")</f>
        <v>-</v>
      </c>
    </row>
    <row r="18951" customHeight="1" spans="2:2">
      <c r="B18951" s="62" t="str">
        <f>IF(AND('领用录入（明细）'!D:D=$F$4,'领用录入（明细）'!C:C&gt;=$J$4,'领用录入（明细）'!C:C&lt;=$L$4),ROW(),"-")</f>
        <v>-</v>
      </c>
    </row>
    <row r="18952" customHeight="1" spans="2:2">
      <c r="B18952" s="62" t="str">
        <f>IF(AND('领用录入（明细）'!D:D=$F$4,'领用录入（明细）'!C:C&gt;=$J$4,'领用录入（明细）'!C:C&lt;=$L$4),ROW(),"-")</f>
        <v>-</v>
      </c>
    </row>
    <row r="18953" customHeight="1" spans="2:2">
      <c r="B18953" s="62" t="str">
        <f>IF(AND('领用录入（明细）'!D:D=$F$4,'领用录入（明细）'!C:C&gt;=$J$4,'领用录入（明细）'!C:C&lt;=$L$4),ROW(),"-")</f>
        <v>-</v>
      </c>
    </row>
    <row r="18954" customHeight="1" spans="2:2">
      <c r="B18954" s="62" t="str">
        <f>IF(AND('领用录入（明细）'!D:D=$F$4,'领用录入（明细）'!C:C&gt;=$J$4,'领用录入（明细）'!C:C&lt;=$L$4),ROW(),"-")</f>
        <v>-</v>
      </c>
    </row>
    <row r="18955" customHeight="1" spans="2:2">
      <c r="B18955" s="62" t="str">
        <f>IF(AND('领用录入（明细）'!D:D=$F$4,'领用录入（明细）'!C:C&gt;=$J$4,'领用录入（明细）'!C:C&lt;=$L$4),ROW(),"-")</f>
        <v>-</v>
      </c>
    </row>
    <row r="18956" customHeight="1" spans="2:2">
      <c r="B18956" s="62" t="str">
        <f>IF(AND('领用录入（明细）'!D:D=$F$4,'领用录入（明细）'!C:C&gt;=$J$4,'领用录入（明细）'!C:C&lt;=$L$4),ROW(),"-")</f>
        <v>-</v>
      </c>
    </row>
    <row r="18957" customHeight="1" spans="2:2">
      <c r="B18957" s="62" t="str">
        <f>IF(AND('领用录入（明细）'!D:D=$F$4,'领用录入（明细）'!C:C&gt;=$J$4,'领用录入（明细）'!C:C&lt;=$L$4),ROW(),"-")</f>
        <v>-</v>
      </c>
    </row>
    <row r="18958" customHeight="1" spans="2:2">
      <c r="B18958" s="62" t="str">
        <f>IF(AND('领用录入（明细）'!D:D=$F$4,'领用录入（明细）'!C:C&gt;=$J$4,'领用录入（明细）'!C:C&lt;=$L$4),ROW(),"-")</f>
        <v>-</v>
      </c>
    </row>
    <row r="18959" customHeight="1" spans="2:2">
      <c r="B18959" s="62" t="str">
        <f>IF(AND('领用录入（明细）'!D:D=$F$4,'领用录入（明细）'!C:C&gt;=$J$4,'领用录入（明细）'!C:C&lt;=$L$4),ROW(),"-")</f>
        <v>-</v>
      </c>
    </row>
    <row r="18960" customHeight="1" spans="2:2">
      <c r="B18960" s="62" t="str">
        <f>IF(AND('领用录入（明细）'!D:D=$F$4,'领用录入（明细）'!C:C&gt;=$J$4,'领用录入（明细）'!C:C&lt;=$L$4),ROW(),"-")</f>
        <v>-</v>
      </c>
    </row>
    <row r="18961" customHeight="1" spans="2:2">
      <c r="B18961" s="62" t="str">
        <f>IF(AND('领用录入（明细）'!D:D=$F$4,'领用录入（明细）'!C:C&gt;=$J$4,'领用录入（明细）'!C:C&lt;=$L$4),ROW(),"-")</f>
        <v>-</v>
      </c>
    </row>
    <row r="18962" customHeight="1" spans="2:2">
      <c r="B18962" s="62" t="str">
        <f>IF(AND('领用录入（明细）'!D:D=$F$4,'领用录入（明细）'!C:C&gt;=$J$4,'领用录入（明细）'!C:C&lt;=$L$4),ROW(),"-")</f>
        <v>-</v>
      </c>
    </row>
    <row r="18963" customHeight="1" spans="2:2">
      <c r="B18963" s="62" t="str">
        <f>IF(AND('领用录入（明细）'!D:D=$F$4,'领用录入（明细）'!C:C&gt;=$J$4,'领用录入（明细）'!C:C&lt;=$L$4),ROW(),"-")</f>
        <v>-</v>
      </c>
    </row>
    <row r="18964" customHeight="1" spans="2:2">
      <c r="B18964" s="62" t="str">
        <f>IF(AND('领用录入（明细）'!D:D=$F$4,'领用录入（明细）'!C:C&gt;=$J$4,'领用录入（明细）'!C:C&lt;=$L$4),ROW(),"-")</f>
        <v>-</v>
      </c>
    </row>
    <row r="18965" customHeight="1" spans="2:2">
      <c r="B18965" s="62" t="str">
        <f>IF(AND('领用录入（明细）'!D:D=$F$4,'领用录入（明细）'!C:C&gt;=$J$4,'领用录入（明细）'!C:C&lt;=$L$4),ROW(),"-")</f>
        <v>-</v>
      </c>
    </row>
    <row r="18966" customHeight="1" spans="2:2">
      <c r="B18966" s="62" t="str">
        <f>IF(AND('领用录入（明细）'!D:D=$F$4,'领用录入（明细）'!C:C&gt;=$J$4,'领用录入（明细）'!C:C&lt;=$L$4),ROW(),"-")</f>
        <v>-</v>
      </c>
    </row>
    <row r="18967" customHeight="1" spans="2:2">
      <c r="B18967" s="62" t="str">
        <f>IF(AND('领用录入（明细）'!D:D=$F$4,'领用录入（明细）'!C:C&gt;=$J$4,'领用录入（明细）'!C:C&lt;=$L$4),ROW(),"-")</f>
        <v>-</v>
      </c>
    </row>
    <row r="18968" customHeight="1" spans="2:2">
      <c r="B18968" s="62" t="str">
        <f>IF(AND('领用录入（明细）'!D:D=$F$4,'领用录入（明细）'!C:C&gt;=$J$4,'领用录入（明细）'!C:C&lt;=$L$4),ROW(),"-")</f>
        <v>-</v>
      </c>
    </row>
    <row r="18969" customHeight="1" spans="2:2">
      <c r="B18969" s="62" t="str">
        <f>IF(AND('领用录入（明细）'!D:D=$F$4,'领用录入（明细）'!C:C&gt;=$J$4,'领用录入（明细）'!C:C&lt;=$L$4),ROW(),"-")</f>
        <v>-</v>
      </c>
    </row>
    <row r="18970" customHeight="1" spans="2:2">
      <c r="B18970" s="62" t="str">
        <f>IF(AND('领用录入（明细）'!D:D=$F$4,'领用录入（明细）'!C:C&gt;=$J$4,'领用录入（明细）'!C:C&lt;=$L$4),ROW(),"-")</f>
        <v>-</v>
      </c>
    </row>
    <row r="18971" customHeight="1" spans="2:2">
      <c r="B18971" s="62" t="str">
        <f>IF(AND('领用录入（明细）'!D:D=$F$4,'领用录入（明细）'!C:C&gt;=$J$4,'领用录入（明细）'!C:C&lt;=$L$4),ROW(),"-")</f>
        <v>-</v>
      </c>
    </row>
    <row r="18972" customHeight="1" spans="2:2">
      <c r="B18972" s="62" t="str">
        <f>IF(AND('领用录入（明细）'!D:D=$F$4,'领用录入（明细）'!C:C&gt;=$J$4,'领用录入（明细）'!C:C&lt;=$L$4),ROW(),"-")</f>
        <v>-</v>
      </c>
    </row>
    <row r="18973" customHeight="1" spans="2:2">
      <c r="B18973" s="62" t="str">
        <f>IF(AND('领用录入（明细）'!D:D=$F$4,'领用录入（明细）'!C:C&gt;=$J$4,'领用录入（明细）'!C:C&lt;=$L$4),ROW(),"-")</f>
        <v>-</v>
      </c>
    </row>
    <row r="18974" customHeight="1" spans="2:2">
      <c r="B18974" s="62" t="str">
        <f>IF(AND('领用录入（明细）'!D:D=$F$4,'领用录入（明细）'!C:C&gt;=$J$4,'领用录入（明细）'!C:C&lt;=$L$4),ROW(),"-")</f>
        <v>-</v>
      </c>
    </row>
    <row r="18975" customHeight="1" spans="2:2">
      <c r="B18975" s="62" t="str">
        <f>IF(AND('领用录入（明细）'!D:D=$F$4,'领用录入（明细）'!C:C&gt;=$J$4,'领用录入（明细）'!C:C&lt;=$L$4),ROW(),"-")</f>
        <v>-</v>
      </c>
    </row>
    <row r="18976" customHeight="1" spans="2:2">
      <c r="B18976" s="62" t="str">
        <f>IF(AND('领用录入（明细）'!D:D=$F$4,'领用录入（明细）'!C:C&gt;=$J$4,'领用录入（明细）'!C:C&lt;=$L$4),ROW(),"-")</f>
        <v>-</v>
      </c>
    </row>
    <row r="18977" customHeight="1" spans="2:2">
      <c r="B18977" s="62" t="str">
        <f>IF(AND('领用录入（明细）'!D:D=$F$4,'领用录入（明细）'!C:C&gt;=$J$4,'领用录入（明细）'!C:C&lt;=$L$4),ROW(),"-")</f>
        <v>-</v>
      </c>
    </row>
    <row r="18978" customHeight="1" spans="2:2">
      <c r="B18978" s="62" t="str">
        <f>IF(AND('领用录入（明细）'!D:D=$F$4,'领用录入（明细）'!C:C&gt;=$J$4,'领用录入（明细）'!C:C&lt;=$L$4),ROW(),"-")</f>
        <v>-</v>
      </c>
    </row>
    <row r="18979" customHeight="1" spans="2:2">
      <c r="B18979" s="62" t="str">
        <f>IF(AND('领用录入（明细）'!D:D=$F$4,'领用录入（明细）'!C:C&gt;=$J$4,'领用录入（明细）'!C:C&lt;=$L$4),ROW(),"-")</f>
        <v>-</v>
      </c>
    </row>
    <row r="18980" customHeight="1" spans="2:2">
      <c r="B18980" s="62" t="str">
        <f>IF(AND('领用录入（明细）'!D:D=$F$4,'领用录入（明细）'!C:C&gt;=$J$4,'领用录入（明细）'!C:C&lt;=$L$4),ROW(),"-")</f>
        <v>-</v>
      </c>
    </row>
    <row r="18981" customHeight="1" spans="2:2">
      <c r="B18981" s="62" t="str">
        <f>IF(AND('领用录入（明细）'!D:D=$F$4,'领用录入（明细）'!C:C&gt;=$J$4,'领用录入（明细）'!C:C&lt;=$L$4),ROW(),"-")</f>
        <v>-</v>
      </c>
    </row>
    <row r="18982" customHeight="1" spans="2:2">
      <c r="B18982" s="62" t="str">
        <f>IF(AND('领用录入（明细）'!D:D=$F$4,'领用录入（明细）'!C:C&gt;=$J$4,'领用录入（明细）'!C:C&lt;=$L$4),ROW(),"-")</f>
        <v>-</v>
      </c>
    </row>
    <row r="18983" customHeight="1" spans="2:2">
      <c r="B18983" s="62" t="str">
        <f>IF(AND('领用录入（明细）'!D:D=$F$4,'领用录入（明细）'!C:C&gt;=$J$4,'领用录入（明细）'!C:C&lt;=$L$4),ROW(),"-")</f>
        <v>-</v>
      </c>
    </row>
    <row r="18984" customHeight="1" spans="2:2">
      <c r="B18984" s="62" t="str">
        <f>IF(AND('领用录入（明细）'!D:D=$F$4,'领用录入（明细）'!C:C&gt;=$J$4,'领用录入（明细）'!C:C&lt;=$L$4),ROW(),"-")</f>
        <v>-</v>
      </c>
    </row>
    <row r="18985" customHeight="1" spans="2:2">
      <c r="B18985" s="62" t="str">
        <f>IF(AND('领用录入（明细）'!D:D=$F$4,'领用录入（明细）'!C:C&gt;=$J$4,'领用录入（明细）'!C:C&lt;=$L$4),ROW(),"-")</f>
        <v>-</v>
      </c>
    </row>
    <row r="18986" customHeight="1" spans="2:2">
      <c r="B18986" s="62" t="str">
        <f>IF(AND('领用录入（明细）'!D:D=$F$4,'领用录入（明细）'!C:C&gt;=$J$4,'领用录入（明细）'!C:C&lt;=$L$4),ROW(),"-")</f>
        <v>-</v>
      </c>
    </row>
    <row r="18987" customHeight="1" spans="2:2">
      <c r="B18987" s="62" t="str">
        <f>IF(AND('领用录入（明细）'!D:D=$F$4,'领用录入（明细）'!C:C&gt;=$J$4,'领用录入（明细）'!C:C&lt;=$L$4),ROW(),"-")</f>
        <v>-</v>
      </c>
    </row>
    <row r="18988" customHeight="1" spans="2:2">
      <c r="B18988" s="62" t="str">
        <f>IF(AND('领用录入（明细）'!D:D=$F$4,'领用录入（明细）'!C:C&gt;=$J$4,'领用录入（明细）'!C:C&lt;=$L$4),ROW(),"-")</f>
        <v>-</v>
      </c>
    </row>
    <row r="18989" customHeight="1" spans="2:2">
      <c r="B18989" s="62" t="str">
        <f>IF(AND('领用录入（明细）'!D:D=$F$4,'领用录入（明细）'!C:C&gt;=$J$4,'领用录入（明细）'!C:C&lt;=$L$4),ROW(),"-")</f>
        <v>-</v>
      </c>
    </row>
    <row r="18990" customHeight="1" spans="2:2">
      <c r="B18990" s="62" t="str">
        <f>IF(AND('领用录入（明细）'!D:D=$F$4,'领用录入（明细）'!C:C&gt;=$J$4,'领用录入（明细）'!C:C&lt;=$L$4),ROW(),"-")</f>
        <v>-</v>
      </c>
    </row>
    <row r="18991" customHeight="1" spans="2:2">
      <c r="B18991" s="62" t="str">
        <f>IF(AND('领用录入（明细）'!D:D=$F$4,'领用录入（明细）'!C:C&gt;=$J$4,'领用录入（明细）'!C:C&lt;=$L$4),ROW(),"-")</f>
        <v>-</v>
      </c>
    </row>
    <row r="18992" customHeight="1" spans="2:2">
      <c r="B18992" s="62" t="str">
        <f>IF(AND('领用录入（明细）'!D:D=$F$4,'领用录入（明细）'!C:C&gt;=$J$4,'领用录入（明细）'!C:C&lt;=$L$4),ROW(),"-")</f>
        <v>-</v>
      </c>
    </row>
    <row r="18993" customHeight="1" spans="2:2">
      <c r="B18993" s="62" t="str">
        <f>IF(AND('领用录入（明细）'!D:D=$F$4,'领用录入（明细）'!C:C&gt;=$J$4,'领用录入（明细）'!C:C&lt;=$L$4),ROW(),"-")</f>
        <v>-</v>
      </c>
    </row>
    <row r="18994" customHeight="1" spans="2:2">
      <c r="B18994" s="62" t="str">
        <f>IF(AND('领用录入（明细）'!D:D=$F$4,'领用录入（明细）'!C:C&gt;=$J$4,'领用录入（明细）'!C:C&lt;=$L$4),ROW(),"-")</f>
        <v>-</v>
      </c>
    </row>
    <row r="18995" customHeight="1" spans="2:2">
      <c r="B18995" s="62" t="str">
        <f>IF(AND('领用录入（明细）'!D:D=$F$4,'领用录入（明细）'!C:C&gt;=$J$4,'领用录入（明细）'!C:C&lt;=$L$4),ROW(),"-")</f>
        <v>-</v>
      </c>
    </row>
    <row r="18996" customHeight="1" spans="2:2">
      <c r="B18996" s="62" t="str">
        <f>IF(AND('领用录入（明细）'!D:D=$F$4,'领用录入（明细）'!C:C&gt;=$J$4,'领用录入（明细）'!C:C&lt;=$L$4),ROW(),"-")</f>
        <v>-</v>
      </c>
    </row>
    <row r="18997" customHeight="1" spans="2:2">
      <c r="B18997" s="62" t="str">
        <f>IF(AND('领用录入（明细）'!D:D=$F$4,'领用录入（明细）'!C:C&gt;=$J$4,'领用录入（明细）'!C:C&lt;=$L$4),ROW(),"-")</f>
        <v>-</v>
      </c>
    </row>
    <row r="18998" customHeight="1" spans="2:2">
      <c r="B18998" s="62" t="str">
        <f>IF(AND('领用录入（明细）'!D:D=$F$4,'领用录入（明细）'!C:C&gt;=$J$4,'领用录入（明细）'!C:C&lt;=$L$4),ROW(),"-")</f>
        <v>-</v>
      </c>
    </row>
    <row r="18999" customHeight="1" spans="2:2">
      <c r="B18999" s="62" t="str">
        <f>IF(AND('领用录入（明细）'!D:D=$F$4,'领用录入（明细）'!C:C&gt;=$J$4,'领用录入（明细）'!C:C&lt;=$L$4),ROW(),"-")</f>
        <v>-</v>
      </c>
    </row>
    <row r="19000" customHeight="1" spans="2:2">
      <c r="B19000" s="62" t="str">
        <f>IF(AND('领用录入（明细）'!D:D=$F$4,'领用录入（明细）'!C:C&gt;=$J$4,'领用录入（明细）'!C:C&lt;=$L$4),ROW(),"-")</f>
        <v>-</v>
      </c>
    </row>
    <row r="19001" customHeight="1" spans="2:2">
      <c r="B19001" s="62" t="str">
        <f>IF(AND('领用录入（明细）'!D:D=$F$4,'领用录入（明细）'!C:C&gt;=$J$4,'领用录入（明细）'!C:C&lt;=$L$4),ROW(),"-")</f>
        <v>-</v>
      </c>
    </row>
    <row r="19002" customHeight="1" spans="2:2">
      <c r="B19002" s="62" t="str">
        <f>IF(AND('领用录入（明细）'!D:D=$F$4,'领用录入（明细）'!C:C&gt;=$J$4,'领用录入（明细）'!C:C&lt;=$L$4),ROW(),"-")</f>
        <v>-</v>
      </c>
    </row>
    <row r="19003" customHeight="1" spans="2:2">
      <c r="B19003" s="62" t="str">
        <f>IF(AND('领用录入（明细）'!D:D=$F$4,'领用录入（明细）'!C:C&gt;=$J$4,'领用录入（明细）'!C:C&lt;=$L$4),ROW(),"-")</f>
        <v>-</v>
      </c>
    </row>
    <row r="19004" customHeight="1" spans="2:2">
      <c r="B19004" s="62" t="str">
        <f>IF(AND('领用录入（明细）'!D:D=$F$4,'领用录入（明细）'!C:C&gt;=$J$4,'领用录入（明细）'!C:C&lt;=$L$4),ROW(),"-")</f>
        <v>-</v>
      </c>
    </row>
    <row r="19005" customHeight="1" spans="2:2">
      <c r="B19005" s="62" t="str">
        <f>IF(AND('领用录入（明细）'!D:D=$F$4,'领用录入（明细）'!C:C&gt;=$J$4,'领用录入（明细）'!C:C&lt;=$L$4),ROW(),"-")</f>
        <v>-</v>
      </c>
    </row>
    <row r="19006" customHeight="1" spans="2:2">
      <c r="B19006" s="62" t="str">
        <f>IF(AND('领用录入（明细）'!D:D=$F$4,'领用录入（明细）'!C:C&gt;=$J$4,'领用录入（明细）'!C:C&lt;=$L$4),ROW(),"-")</f>
        <v>-</v>
      </c>
    </row>
    <row r="19007" customHeight="1" spans="2:2">
      <c r="B19007" s="62" t="str">
        <f>IF(AND('领用录入（明细）'!D:D=$F$4,'领用录入（明细）'!C:C&gt;=$J$4,'领用录入（明细）'!C:C&lt;=$L$4),ROW(),"-")</f>
        <v>-</v>
      </c>
    </row>
    <row r="19008" customHeight="1" spans="2:2">
      <c r="B19008" s="62" t="str">
        <f>IF(AND('领用录入（明细）'!D:D=$F$4,'领用录入（明细）'!C:C&gt;=$J$4,'领用录入（明细）'!C:C&lt;=$L$4),ROW(),"-")</f>
        <v>-</v>
      </c>
    </row>
    <row r="19009" customHeight="1" spans="2:2">
      <c r="B19009" s="62" t="str">
        <f>IF(AND('领用录入（明细）'!D:D=$F$4,'领用录入（明细）'!C:C&gt;=$J$4,'领用录入（明细）'!C:C&lt;=$L$4),ROW(),"-")</f>
        <v>-</v>
      </c>
    </row>
    <row r="19010" customHeight="1" spans="2:2">
      <c r="B19010" s="62" t="str">
        <f>IF(AND('领用录入（明细）'!D:D=$F$4,'领用录入（明细）'!C:C&gt;=$J$4,'领用录入（明细）'!C:C&lt;=$L$4),ROW(),"-")</f>
        <v>-</v>
      </c>
    </row>
    <row r="19011" customHeight="1" spans="2:2">
      <c r="B19011" s="62" t="str">
        <f>IF(AND('领用录入（明细）'!D:D=$F$4,'领用录入（明细）'!C:C&gt;=$J$4,'领用录入（明细）'!C:C&lt;=$L$4),ROW(),"-")</f>
        <v>-</v>
      </c>
    </row>
    <row r="19012" customHeight="1" spans="2:2">
      <c r="B19012" s="62" t="str">
        <f>IF(AND('领用录入（明细）'!D:D=$F$4,'领用录入（明细）'!C:C&gt;=$J$4,'领用录入（明细）'!C:C&lt;=$L$4),ROW(),"-")</f>
        <v>-</v>
      </c>
    </row>
    <row r="19013" customHeight="1" spans="2:2">
      <c r="B19013" s="62" t="str">
        <f>IF(AND('领用录入（明细）'!D:D=$F$4,'领用录入（明细）'!C:C&gt;=$J$4,'领用录入（明细）'!C:C&lt;=$L$4),ROW(),"-")</f>
        <v>-</v>
      </c>
    </row>
    <row r="19014" customHeight="1" spans="2:2">
      <c r="B19014" s="62" t="str">
        <f>IF(AND('领用录入（明细）'!D:D=$F$4,'领用录入（明细）'!C:C&gt;=$J$4,'领用录入（明细）'!C:C&lt;=$L$4),ROW(),"-")</f>
        <v>-</v>
      </c>
    </row>
    <row r="19015" customHeight="1" spans="2:2">
      <c r="B19015" s="62" t="str">
        <f>IF(AND('领用录入（明细）'!D:D=$F$4,'领用录入（明细）'!C:C&gt;=$J$4,'领用录入（明细）'!C:C&lt;=$L$4),ROW(),"-")</f>
        <v>-</v>
      </c>
    </row>
    <row r="19016" customHeight="1" spans="2:2">
      <c r="B19016" s="62" t="str">
        <f>IF(AND('领用录入（明细）'!D:D=$F$4,'领用录入（明细）'!C:C&gt;=$J$4,'领用录入（明细）'!C:C&lt;=$L$4),ROW(),"-")</f>
        <v>-</v>
      </c>
    </row>
    <row r="19017" customHeight="1" spans="2:2">
      <c r="B19017" s="62" t="str">
        <f>IF(AND('领用录入（明细）'!D:D=$F$4,'领用录入（明细）'!C:C&gt;=$J$4,'领用录入（明细）'!C:C&lt;=$L$4),ROW(),"-")</f>
        <v>-</v>
      </c>
    </row>
    <row r="19018" customHeight="1" spans="2:2">
      <c r="B19018" s="62" t="str">
        <f>IF(AND('领用录入（明细）'!D:D=$F$4,'领用录入（明细）'!C:C&gt;=$J$4,'领用录入（明细）'!C:C&lt;=$L$4),ROW(),"-")</f>
        <v>-</v>
      </c>
    </row>
    <row r="19019" customHeight="1" spans="2:2">
      <c r="B19019" s="62" t="str">
        <f>IF(AND('领用录入（明细）'!D:D=$F$4,'领用录入（明细）'!C:C&gt;=$J$4,'领用录入（明细）'!C:C&lt;=$L$4),ROW(),"-")</f>
        <v>-</v>
      </c>
    </row>
    <row r="19020" customHeight="1" spans="2:2">
      <c r="B19020" s="62" t="str">
        <f>IF(AND('领用录入（明细）'!D:D=$F$4,'领用录入（明细）'!C:C&gt;=$J$4,'领用录入（明细）'!C:C&lt;=$L$4),ROW(),"-")</f>
        <v>-</v>
      </c>
    </row>
    <row r="19021" customHeight="1" spans="2:2">
      <c r="B19021" s="62" t="str">
        <f>IF(AND('领用录入（明细）'!D:D=$F$4,'领用录入（明细）'!C:C&gt;=$J$4,'领用录入（明细）'!C:C&lt;=$L$4),ROW(),"-")</f>
        <v>-</v>
      </c>
    </row>
    <row r="19022" customHeight="1" spans="2:2">
      <c r="B19022" s="62" t="str">
        <f>IF(AND('领用录入（明细）'!D:D=$F$4,'领用录入（明细）'!C:C&gt;=$J$4,'领用录入（明细）'!C:C&lt;=$L$4),ROW(),"-")</f>
        <v>-</v>
      </c>
    </row>
    <row r="19023" customHeight="1" spans="2:2">
      <c r="B19023" s="62" t="str">
        <f>IF(AND('领用录入（明细）'!D:D=$F$4,'领用录入（明细）'!C:C&gt;=$J$4,'领用录入（明细）'!C:C&lt;=$L$4),ROW(),"-")</f>
        <v>-</v>
      </c>
    </row>
    <row r="19024" customHeight="1" spans="2:2">
      <c r="B19024" s="62" t="str">
        <f>IF(AND('领用录入（明细）'!D:D=$F$4,'领用录入（明细）'!C:C&gt;=$J$4,'领用录入（明细）'!C:C&lt;=$L$4),ROW(),"-")</f>
        <v>-</v>
      </c>
    </row>
    <row r="19025" customHeight="1" spans="2:2">
      <c r="B19025" s="62" t="str">
        <f>IF(AND('领用录入（明细）'!D:D=$F$4,'领用录入（明细）'!C:C&gt;=$J$4,'领用录入（明细）'!C:C&lt;=$L$4),ROW(),"-")</f>
        <v>-</v>
      </c>
    </row>
    <row r="19026" customHeight="1" spans="2:2">
      <c r="B19026" s="62" t="str">
        <f>IF(AND('领用录入（明细）'!D:D=$F$4,'领用录入（明细）'!C:C&gt;=$J$4,'领用录入（明细）'!C:C&lt;=$L$4),ROW(),"-")</f>
        <v>-</v>
      </c>
    </row>
    <row r="19027" customHeight="1" spans="2:2">
      <c r="B19027" s="62" t="str">
        <f>IF(AND('领用录入（明细）'!D:D=$F$4,'领用录入（明细）'!C:C&gt;=$J$4,'领用录入（明细）'!C:C&lt;=$L$4),ROW(),"-")</f>
        <v>-</v>
      </c>
    </row>
    <row r="19028" customHeight="1" spans="2:2">
      <c r="B19028" s="62" t="str">
        <f>IF(AND('领用录入（明细）'!D:D=$F$4,'领用录入（明细）'!C:C&gt;=$J$4,'领用录入（明细）'!C:C&lt;=$L$4),ROW(),"-")</f>
        <v>-</v>
      </c>
    </row>
    <row r="19029" customHeight="1" spans="2:2">
      <c r="B19029" s="62" t="str">
        <f>IF(AND('领用录入（明细）'!D:D=$F$4,'领用录入（明细）'!C:C&gt;=$J$4,'领用录入（明细）'!C:C&lt;=$L$4),ROW(),"-")</f>
        <v>-</v>
      </c>
    </row>
    <row r="19030" customHeight="1" spans="2:2">
      <c r="B19030" s="62" t="str">
        <f>IF(AND('领用录入（明细）'!D:D=$F$4,'领用录入（明细）'!C:C&gt;=$J$4,'领用录入（明细）'!C:C&lt;=$L$4),ROW(),"-")</f>
        <v>-</v>
      </c>
    </row>
    <row r="19031" customHeight="1" spans="2:2">
      <c r="B19031" s="62" t="str">
        <f>IF(AND('领用录入（明细）'!D:D=$F$4,'领用录入（明细）'!C:C&gt;=$J$4,'领用录入（明细）'!C:C&lt;=$L$4),ROW(),"-")</f>
        <v>-</v>
      </c>
    </row>
    <row r="19032" customHeight="1" spans="2:2">
      <c r="B19032" s="62" t="str">
        <f>IF(AND('领用录入（明细）'!D:D=$F$4,'领用录入（明细）'!C:C&gt;=$J$4,'领用录入（明细）'!C:C&lt;=$L$4),ROW(),"-")</f>
        <v>-</v>
      </c>
    </row>
    <row r="19033" customHeight="1" spans="2:2">
      <c r="B19033" s="62" t="str">
        <f>IF(AND('领用录入（明细）'!D:D=$F$4,'领用录入（明细）'!C:C&gt;=$J$4,'领用录入（明细）'!C:C&lt;=$L$4),ROW(),"-")</f>
        <v>-</v>
      </c>
    </row>
    <row r="19034" customHeight="1" spans="2:2">
      <c r="B19034" s="62" t="str">
        <f>IF(AND('领用录入（明细）'!D:D=$F$4,'领用录入（明细）'!C:C&gt;=$J$4,'领用录入（明细）'!C:C&lt;=$L$4),ROW(),"-")</f>
        <v>-</v>
      </c>
    </row>
    <row r="19035" customHeight="1" spans="2:2">
      <c r="B19035" s="62" t="str">
        <f>IF(AND('领用录入（明细）'!D:D=$F$4,'领用录入（明细）'!C:C&gt;=$J$4,'领用录入（明细）'!C:C&lt;=$L$4),ROW(),"-")</f>
        <v>-</v>
      </c>
    </row>
    <row r="19036" customHeight="1" spans="2:2">
      <c r="B19036" s="62" t="str">
        <f>IF(AND('领用录入（明细）'!D:D=$F$4,'领用录入（明细）'!C:C&gt;=$J$4,'领用录入（明细）'!C:C&lt;=$L$4),ROW(),"-")</f>
        <v>-</v>
      </c>
    </row>
    <row r="19037" customHeight="1" spans="2:2">
      <c r="B19037" s="62" t="str">
        <f>IF(AND('领用录入（明细）'!D:D=$F$4,'领用录入（明细）'!C:C&gt;=$J$4,'领用录入（明细）'!C:C&lt;=$L$4),ROW(),"-")</f>
        <v>-</v>
      </c>
    </row>
    <row r="19038" customHeight="1" spans="2:2">
      <c r="B19038" s="62" t="str">
        <f>IF(AND('领用录入（明细）'!D:D=$F$4,'领用录入（明细）'!C:C&gt;=$J$4,'领用录入（明细）'!C:C&lt;=$L$4),ROW(),"-")</f>
        <v>-</v>
      </c>
    </row>
    <row r="19039" customHeight="1" spans="2:2">
      <c r="B19039" s="62" t="str">
        <f>IF(AND('领用录入（明细）'!D:D=$F$4,'领用录入（明细）'!C:C&gt;=$J$4,'领用录入（明细）'!C:C&lt;=$L$4),ROW(),"-")</f>
        <v>-</v>
      </c>
    </row>
    <row r="19040" customHeight="1" spans="2:2">
      <c r="B19040" s="62" t="str">
        <f>IF(AND('领用录入（明细）'!D:D=$F$4,'领用录入（明细）'!C:C&gt;=$J$4,'领用录入（明细）'!C:C&lt;=$L$4),ROW(),"-")</f>
        <v>-</v>
      </c>
    </row>
    <row r="19041" customHeight="1" spans="2:2">
      <c r="B19041" s="62" t="str">
        <f>IF(AND('领用录入（明细）'!D:D=$F$4,'领用录入（明细）'!C:C&gt;=$J$4,'领用录入（明细）'!C:C&lt;=$L$4),ROW(),"-")</f>
        <v>-</v>
      </c>
    </row>
    <row r="19042" customHeight="1" spans="2:2">
      <c r="B19042" s="62" t="str">
        <f>IF(AND('领用录入（明细）'!D:D=$F$4,'领用录入（明细）'!C:C&gt;=$J$4,'领用录入（明细）'!C:C&lt;=$L$4),ROW(),"-")</f>
        <v>-</v>
      </c>
    </row>
    <row r="19043" customHeight="1" spans="2:2">
      <c r="B19043" s="62" t="str">
        <f>IF(AND('领用录入（明细）'!D:D=$F$4,'领用录入（明细）'!C:C&gt;=$J$4,'领用录入（明细）'!C:C&lt;=$L$4),ROW(),"-")</f>
        <v>-</v>
      </c>
    </row>
    <row r="19044" customHeight="1" spans="2:2">
      <c r="B19044" s="62" t="str">
        <f>IF(AND('领用录入（明细）'!D:D=$F$4,'领用录入（明细）'!C:C&gt;=$J$4,'领用录入（明细）'!C:C&lt;=$L$4),ROW(),"-")</f>
        <v>-</v>
      </c>
    </row>
    <row r="19045" customHeight="1" spans="2:2">
      <c r="B19045" s="62" t="str">
        <f>IF(AND('领用录入（明细）'!D:D=$F$4,'领用录入（明细）'!C:C&gt;=$J$4,'领用录入（明细）'!C:C&lt;=$L$4),ROW(),"-")</f>
        <v>-</v>
      </c>
    </row>
    <row r="19046" customHeight="1" spans="2:2">
      <c r="B19046" s="62" t="str">
        <f>IF(AND('领用录入（明细）'!D:D=$F$4,'领用录入（明细）'!C:C&gt;=$J$4,'领用录入（明细）'!C:C&lt;=$L$4),ROW(),"-")</f>
        <v>-</v>
      </c>
    </row>
    <row r="19047" customHeight="1" spans="2:2">
      <c r="B19047" s="62" t="str">
        <f>IF(AND('领用录入（明细）'!D:D=$F$4,'领用录入（明细）'!C:C&gt;=$J$4,'领用录入（明细）'!C:C&lt;=$L$4),ROW(),"-")</f>
        <v>-</v>
      </c>
    </row>
    <row r="19048" customHeight="1" spans="2:2">
      <c r="B19048" s="62" t="str">
        <f>IF(AND('领用录入（明细）'!D:D=$F$4,'领用录入（明细）'!C:C&gt;=$J$4,'领用录入（明细）'!C:C&lt;=$L$4),ROW(),"-")</f>
        <v>-</v>
      </c>
    </row>
    <row r="19049" customHeight="1" spans="2:2">
      <c r="B19049" s="62" t="str">
        <f>IF(AND('领用录入（明细）'!D:D=$F$4,'领用录入（明细）'!C:C&gt;=$J$4,'领用录入（明细）'!C:C&lt;=$L$4),ROW(),"-")</f>
        <v>-</v>
      </c>
    </row>
    <row r="19050" customHeight="1" spans="2:2">
      <c r="B19050" s="62" t="str">
        <f>IF(AND('领用录入（明细）'!D:D=$F$4,'领用录入（明细）'!C:C&gt;=$J$4,'领用录入（明细）'!C:C&lt;=$L$4),ROW(),"-")</f>
        <v>-</v>
      </c>
    </row>
    <row r="19051" customHeight="1" spans="2:2">
      <c r="B19051" s="62" t="str">
        <f>IF(AND('领用录入（明细）'!D:D=$F$4,'领用录入（明细）'!C:C&gt;=$J$4,'领用录入（明细）'!C:C&lt;=$L$4),ROW(),"-")</f>
        <v>-</v>
      </c>
    </row>
    <row r="19052" customHeight="1" spans="2:2">
      <c r="B19052" s="62" t="str">
        <f>IF(AND('领用录入（明细）'!D:D=$F$4,'领用录入（明细）'!C:C&gt;=$J$4,'领用录入（明细）'!C:C&lt;=$L$4),ROW(),"-")</f>
        <v>-</v>
      </c>
    </row>
    <row r="19053" customHeight="1" spans="2:2">
      <c r="B19053" s="62" t="str">
        <f>IF(AND('领用录入（明细）'!D:D=$F$4,'领用录入（明细）'!C:C&gt;=$J$4,'领用录入（明细）'!C:C&lt;=$L$4),ROW(),"-")</f>
        <v>-</v>
      </c>
    </row>
    <row r="19054" customHeight="1" spans="2:2">
      <c r="B19054" s="62" t="str">
        <f>IF(AND('领用录入（明细）'!D:D=$F$4,'领用录入（明细）'!C:C&gt;=$J$4,'领用录入（明细）'!C:C&lt;=$L$4),ROW(),"-")</f>
        <v>-</v>
      </c>
    </row>
    <row r="19055" customHeight="1" spans="2:2">
      <c r="B19055" s="62" t="str">
        <f>IF(AND('领用录入（明细）'!D:D=$F$4,'领用录入（明细）'!C:C&gt;=$J$4,'领用录入（明细）'!C:C&lt;=$L$4),ROW(),"-")</f>
        <v>-</v>
      </c>
    </row>
    <row r="19056" customHeight="1" spans="2:2">
      <c r="B19056" s="62" t="str">
        <f>IF(AND('领用录入（明细）'!D:D=$F$4,'领用录入（明细）'!C:C&gt;=$J$4,'领用录入（明细）'!C:C&lt;=$L$4),ROW(),"-")</f>
        <v>-</v>
      </c>
    </row>
    <row r="19057" customHeight="1" spans="2:2">
      <c r="B19057" s="62" t="str">
        <f>IF(AND('领用录入（明细）'!D:D=$F$4,'领用录入（明细）'!C:C&gt;=$J$4,'领用录入（明细）'!C:C&lt;=$L$4),ROW(),"-")</f>
        <v>-</v>
      </c>
    </row>
    <row r="19058" customHeight="1" spans="2:2">
      <c r="B19058" s="62" t="str">
        <f>IF(AND('领用录入（明细）'!D:D=$F$4,'领用录入（明细）'!C:C&gt;=$J$4,'领用录入（明细）'!C:C&lt;=$L$4),ROW(),"-")</f>
        <v>-</v>
      </c>
    </row>
    <row r="19059" customHeight="1" spans="2:2">
      <c r="B19059" s="62" t="str">
        <f>IF(AND('领用录入（明细）'!D:D=$F$4,'领用录入（明细）'!C:C&gt;=$J$4,'领用录入（明细）'!C:C&lt;=$L$4),ROW(),"-")</f>
        <v>-</v>
      </c>
    </row>
    <row r="19060" customHeight="1" spans="2:2">
      <c r="B19060" s="62" t="str">
        <f>IF(AND('领用录入（明细）'!D:D=$F$4,'领用录入（明细）'!C:C&gt;=$J$4,'领用录入（明细）'!C:C&lt;=$L$4),ROW(),"-")</f>
        <v>-</v>
      </c>
    </row>
    <row r="19061" customHeight="1" spans="2:2">
      <c r="B19061" s="62" t="str">
        <f>IF(AND('领用录入（明细）'!D:D=$F$4,'领用录入（明细）'!C:C&gt;=$J$4,'领用录入（明细）'!C:C&lt;=$L$4),ROW(),"-")</f>
        <v>-</v>
      </c>
    </row>
    <row r="19062" customHeight="1" spans="2:2">
      <c r="B19062" s="62" t="str">
        <f>IF(AND('领用录入（明细）'!D:D=$F$4,'领用录入（明细）'!C:C&gt;=$J$4,'领用录入（明细）'!C:C&lt;=$L$4),ROW(),"-")</f>
        <v>-</v>
      </c>
    </row>
    <row r="19063" customHeight="1" spans="2:2">
      <c r="B19063" s="62" t="str">
        <f>IF(AND('领用录入（明细）'!D:D=$F$4,'领用录入（明细）'!C:C&gt;=$J$4,'领用录入（明细）'!C:C&lt;=$L$4),ROW(),"-")</f>
        <v>-</v>
      </c>
    </row>
    <row r="19064" customHeight="1" spans="2:2">
      <c r="B19064" s="62" t="str">
        <f>IF(AND('领用录入（明细）'!D:D=$F$4,'领用录入（明细）'!C:C&gt;=$J$4,'领用录入（明细）'!C:C&lt;=$L$4),ROW(),"-")</f>
        <v>-</v>
      </c>
    </row>
    <row r="19065" customHeight="1" spans="2:2">
      <c r="B19065" s="62" t="str">
        <f>IF(AND('领用录入（明细）'!D:D=$F$4,'领用录入（明细）'!C:C&gt;=$J$4,'领用录入（明细）'!C:C&lt;=$L$4),ROW(),"-")</f>
        <v>-</v>
      </c>
    </row>
    <row r="19066" customHeight="1" spans="2:2">
      <c r="B19066" s="62" t="str">
        <f>IF(AND('领用录入（明细）'!D:D=$F$4,'领用录入（明细）'!C:C&gt;=$J$4,'领用录入（明细）'!C:C&lt;=$L$4),ROW(),"-")</f>
        <v>-</v>
      </c>
    </row>
    <row r="19067" customHeight="1" spans="2:2">
      <c r="B19067" s="62" t="str">
        <f>IF(AND('领用录入（明细）'!D:D=$F$4,'领用录入（明细）'!C:C&gt;=$J$4,'领用录入（明细）'!C:C&lt;=$L$4),ROW(),"-")</f>
        <v>-</v>
      </c>
    </row>
    <row r="19068" customHeight="1" spans="2:2">
      <c r="B19068" s="62" t="str">
        <f>IF(AND('领用录入（明细）'!D:D=$F$4,'领用录入（明细）'!C:C&gt;=$J$4,'领用录入（明细）'!C:C&lt;=$L$4),ROW(),"-")</f>
        <v>-</v>
      </c>
    </row>
    <row r="19069" customHeight="1" spans="2:2">
      <c r="B19069" s="62" t="str">
        <f>IF(AND('领用录入（明细）'!D:D=$F$4,'领用录入（明细）'!C:C&gt;=$J$4,'领用录入（明细）'!C:C&lt;=$L$4),ROW(),"-")</f>
        <v>-</v>
      </c>
    </row>
    <row r="19070" customHeight="1" spans="2:2">
      <c r="B19070" s="62" t="str">
        <f>IF(AND('领用录入（明细）'!D:D=$F$4,'领用录入（明细）'!C:C&gt;=$J$4,'领用录入（明细）'!C:C&lt;=$L$4),ROW(),"-")</f>
        <v>-</v>
      </c>
    </row>
    <row r="19071" customHeight="1" spans="2:2">
      <c r="B19071" s="62" t="str">
        <f>IF(AND('领用录入（明细）'!D:D=$F$4,'领用录入（明细）'!C:C&gt;=$J$4,'领用录入（明细）'!C:C&lt;=$L$4),ROW(),"-")</f>
        <v>-</v>
      </c>
    </row>
    <row r="19072" customHeight="1" spans="2:2">
      <c r="B19072" s="62" t="str">
        <f>IF(AND('领用录入（明细）'!D:D=$F$4,'领用录入（明细）'!C:C&gt;=$J$4,'领用录入（明细）'!C:C&lt;=$L$4),ROW(),"-")</f>
        <v>-</v>
      </c>
    </row>
    <row r="19073" customHeight="1" spans="2:2">
      <c r="B19073" s="62" t="str">
        <f>IF(AND('领用录入（明细）'!D:D=$F$4,'领用录入（明细）'!C:C&gt;=$J$4,'领用录入（明细）'!C:C&lt;=$L$4),ROW(),"-")</f>
        <v>-</v>
      </c>
    </row>
    <row r="19074" customHeight="1" spans="2:2">
      <c r="B19074" s="62" t="str">
        <f>IF(AND('领用录入（明细）'!D:D=$F$4,'领用录入（明细）'!C:C&gt;=$J$4,'领用录入（明细）'!C:C&lt;=$L$4),ROW(),"-")</f>
        <v>-</v>
      </c>
    </row>
    <row r="19075" customHeight="1" spans="2:2">
      <c r="B19075" s="62" t="str">
        <f>IF(AND('领用录入（明细）'!D:D=$F$4,'领用录入（明细）'!C:C&gt;=$J$4,'领用录入（明细）'!C:C&lt;=$L$4),ROW(),"-")</f>
        <v>-</v>
      </c>
    </row>
    <row r="19076" customHeight="1" spans="2:2">
      <c r="B19076" s="62" t="str">
        <f>IF(AND('领用录入（明细）'!D:D=$F$4,'领用录入（明细）'!C:C&gt;=$J$4,'领用录入（明细）'!C:C&lt;=$L$4),ROW(),"-")</f>
        <v>-</v>
      </c>
    </row>
    <row r="19077" customHeight="1" spans="2:2">
      <c r="B19077" s="62" t="str">
        <f>IF(AND('领用录入（明细）'!D:D=$F$4,'领用录入（明细）'!C:C&gt;=$J$4,'领用录入（明细）'!C:C&lt;=$L$4),ROW(),"-")</f>
        <v>-</v>
      </c>
    </row>
    <row r="19078" customHeight="1" spans="2:2">
      <c r="B19078" s="62" t="str">
        <f>IF(AND('领用录入（明细）'!D:D=$F$4,'领用录入（明细）'!C:C&gt;=$J$4,'领用录入（明细）'!C:C&lt;=$L$4),ROW(),"-")</f>
        <v>-</v>
      </c>
    </row>
    <row r="19079" customHeight="1" spans="2:2">
      <c r="B19079" s="62" t="str">
        <f>IF(AND('领用录入（明细）'!D:D=$F$4,'领用录入（明细）'!C:C&gt;=$J$4,'领用录入（明细）'!C:C&lt;=$L$4),ROW(),"-")</f>
        <v>-</v>
      </c>
    </row>
    <row r="19080" customHeight="1" spans="2:2">
      <c r="B19080" s="62" t="str">
        <f>IF(AND('领用录入（明细）'!D:D=$F$4,'领用录入（明细）'!C:C&gt;=$J$4,'领用录入（明细）'!C:C&lt;=$L$4),ROW(),"-")</f>
        <v>-</v>
      </c>
    </row>
    <row r="19081" customHeight="1" spans="2:2">
      <c r="B19081" s="62" t="str">
        <f>IF(AND('领用录入（明细）'!D:D=$F$4,'领用录入（明细）'!C:C&gt;=$J$4,'领用录入（明细）'!C:C&lt;=$L$4),ROW(),"-")</f>
        <v>-</v>
      </c>
    </row>
    <row r="19082" customHeight="1" spans="2:2">
      <c r="B19082" s="62" t="str">
        <f>IF(AND('领用录入（明细）'!D:D=$F$4,'领用录入（明细）'!C:C&gt;=$J$4,'领用录入（明细）'!C:C&lt;=$L$4),ROW(),"-")</f>
        <v>-</v>
      </c>
    </row>
    <row r="19083" customHeight="1" spans="2:2">
      <c r="B19083" s="62" t="str">
        <f>IF(AND('领用录入（明细）'!D:D=$F$4,'领用录入（明细）'!C:C&gt;=$J$4,'领用录入（明细）'!C:C&lt;=$L$4),ROW(),"-")</f>
        <v>-</v>
      </c>
    </row>
    <row r="19084" customHeight="1" spans="2:2">
      <c r="B19084" s="62" t="str">
        <f>IF(AND('领用录入（明细）'!D:D=$F$4,'领用录入（明细）'!C:C&gt;=$J$4,'领用录入（明细）'!C:C&lt;=$L$4),ROW(),"-")</f>
        <v>-</v>
      </c>
    </row>
    <row r="19085" customHeight="1" spans="2:2">
      <c r="B19085" s="62" t="str">
        <f>IF(AND('领用录入（明细）'!D:D=$F$4,'领用录入（明细）'!C:C&gt;=$J$4,'领用录入（明细）'!C:C&lt;=$L$4),ROW(),"-")</f>
        <v>-</v>
      </c>
    </row>
    <row r="19086" customHeight="1" spans="2:2">
      <c r="B19086" s="62" t="str">
        <f>IF(AND('领用录入（明细）'!D:D=$F$4,'领用录入（明细）'!C:C&gt;=$J$4,'领用录入（明细）'!C:C&lt;=$L$4),ROW(),"-")</f>
        <v>-</v>
      </c>
    </row>
    <row r="19087" customHeight="1" spans="2:2">
      <c r="B19087" s="62" t="str">
        <f>IF(AND('领用录入（明细）'!D:D=$F$4,'领用录入（明细）'!C:C&gt;=$J$4,'领用录入（明细）'!C:C&lt;=$L$4),ROW(),"-")</f>
        <v>-</v>
      </c>
    </row>
    <row r="19088" customHeight="1" spans="2:2">
      <c r="B19088" s="62" t="str">
        <f>IF(AND('领用录入（明细）'!D:D=$F$4,'领用录入（明细）'!C:C&gt;=$J$4,'领用录入（明细）'!C:C&lt;=$L$4),ROW(),"-")</f>
        <v>-</v>
      </c>
    </row>
    <row r="19089" customHeight="1" spans="2:2">
      <c r="B19089" s="62" t="str">
        <f>IF(AND('领用录入（明细）'!D:D=$F$4,'领用录入（明细）'!C:C&gt;=$J$4,'领用录入（明细）'!C:C&lt;=$L$4),ROW(),"-")</f>
        <v>-</v>
      </c>
    </row>
    <row r="19090" customHeight="1" spans="2:2">
      <c r="B19090" s="62" t="str">
        <f>IF(AND('领用录入（明细）'!D:D=$F$4,'领用录入（明细）'!C:C&gt;=$J$4,'领用录入（明细）'!C:C&lt;=$L$4),ROW(),"-")</f>
        <v>-</v>
      </c>
    </row>
    <row r="19091" customHeight="1" spans="2:2">
      <c r="B19091" s="62" t="str">
        <f>IF(AND('领用录入（明细）'!D:D=$F$4,'领用录入（明细）'!C:C&gt;=$J$4,'领用录入（明细）'!C:C&lt;=$L$4),ROW(),"-")</f>
        <v>-</v>
      </c>
    </row>
    <row r="19092" customHeight="1" spans="2:2">
      <c r="B19092" s="62" t="str">
        <f>IF(AND('领用录入（明细）'!D:D=$F$4,'领用录入（明细）'!C:C&gt;=$J$4,'领用录入（明细）'!C:C&lt;=$L$4),ROW(),"-")</f>
        <v>-</v>
      </c>
    </row>
    <row r="19093" customHeight="1" spans="2:2">
      <c r="B19093" s="62" t="str">
        <f>IF(AND('领用录入（明细）'!D:D=$F$4,'领用录入（明细）'!C:C&gt;=$J$4,'领用录入（明细）'!C:C&lt;=$L$4),ROW(),"-")</f>
        <v>-</v>
      </c>
    </row>
    <row r="19094" customHeight="1" spans="2:2">
      <c r="B19094" s="62" t="str">
        <f>IF(AND('领用录入（明细）'!D:D=$F$4,'领用录入（明细）'!C:C&gt;=$J$4,'领用录入（明细）'!C:C&lt;=$L$4),ROW(),"-")</f>
        <v>-</v>
      </c>
    </row>
    <row r="19095" customHeight="1" spans="2:2">
      <c r="B19095" s="62" t="str">
        <f>IF(AND('领用录入（明细）'!D:D=$F$4,'领用录入（明细）'!C:C&gt;=$J$4,'领用录入（明细）'!C:C&lt;=$L$4),ROW(),"-")</f>
        <v>-</v>
      </c>
    </row>
    <row r="19096" customHeight="1" spans="2:2">
      <c r="B19096" s="62" t="str">
        <f>IF(AND('领用录入（明细）'!D:D=$F$4,'领用录入（明细）'!C:C&gt;=$J$4,'领用录入（明细）'!C:C&lt;=$L$4),ROW(),"-")</f>
        <v>-</v>
      </c>
    </row>
    <row r="19097" customHeight="1" spans="2:2">
      <c r="B19097" s="62" t="str">
        <f>IF(AND('领用录入（明细）'!D:D=$F$4,'领用录入（明细）'!C:C&gt;=$J$4,'领用录入（明细）'!C:C&lt;=$L$4),ROW(),"-")</f>
        <v>-</v>
      </c>
    </row>
    <row r="19098" customHeight="1" spans="2:2">
      <c r="B19098" s="62" t="str">
        <f>IF(AND('领用录入（明细）'!D:D=$F$4,'领用录入（明细）'!C:C&gt;=$J$4,'领用录入（明细）'!C:C&lt;=$L$4),ROW(),"-")</f>
        <v>-</v>
      </c>
    </row>
    <row r="19099" customHeight="1" spans="2:2">
      <c r="B19099" s="62" t="str">
        <f>IF(AND('领用录入（明细）'!D:D=$F$4,'领用录入（明细）'!C:C&gt;=$J$4,'领用录入（明细）'!C:C&lt;=$L$4),ROW(),"-")</f>
        <v>-</v>
      </c>
    </row>
    <row r="19100" customHeight="1" spans="2:2">
      <c r="B19100" s="62" t="str">
        <f>IF(AND('领用录入（明细）'!D:D=$F$4,'领用录入（明细）'!C:C&gt;=$J$4,'领用录入（明细）'!C:C&lt;=$L$4),ROW(),"-")</f>
        <v>-</v>
      </c>
    </row>
    <row r="19101" customHeight="1" spans="2:2">
      <c r="B19101" s="62" t="str">
        <f>IF(AND('领用录入（明细）'!D:D=$F$4,'领用录入（明细）'!C:C&gt;=$J$4,'领用录入（明细）'!C:C&lt;=$L$4),ROW(),"-")</f>
        <v>-</v>
      </c>
    </row>
    <row r="19102" customHeight="1" spans="2:2">
      <c r="B19102" s="62" t="str">
        <f>IF(AND('领用录入（明细）'!D:D=$F$4,'领用录入（明细）'!C:C&gt;=$J$4,'领用录入（明细）'!C:C&lt;=$L$4),ROW(),"-")</f>
        <v>-</v>
      </c>
    </row>
    <row r="19103" customHeight="1" spans="2:2">
      <c r="B19103" s="62" t="str">
        <f>IF(AND('领用录入（明细）'!D:D=$F$4,'领用录入（明细）'!C:C&gt;=$J$4,'领用录入（明细）'!C:C&lt;=$L$4),ROW(),"-")</f>
        <v>-</v>
      </c>
    </row>
    <row r="19104" customHeight="1" spans="2:2">
      <c r="B19104" s="62" t="str">
        <f>IF(AND('领用录入（明细）'!D:D=$F$4,'领用录入（明细）'!C:C&gt;=$J$4,'领用录入（明细）'!C:C&lt;=$L$4),ROW(),"-")</f>
        <v>-</v>
      </c>
    </row>
    <row r="19105" customHeight="1" spans="2:2">
      <c r="B19105" s="62" t="str">
        <f>IF(AND('领用录入（明细）'!D:D=$F$4,'领用录入（明细）'!C:C&gt;=$J$4,'领用录入（明细）'!C:C&lt;=$L$4),ROW(),"-")</f>
        <v>-</v>
      </c>
    </row>
    <row r="19106" customHeight="1" spans="2:2">
      <c r="B19106" s="62" t="str">
        <f>IF(AND('领用录入（明细）'!D:D=$F$4,'领用录入（明细）'!C:C&gt;=$J$4,'领用录入（明细）'!C:C&lt;=$L$4),ROW(),"-")</f>
        <v>-</v>
      </c>
    </row>
    <row r="19107" customHeight="1" spans="2:2">
      <c r="B19107" s="62" t="str">
        <f>IF(AND('领用录入（明细）'!D:D=$F$4,'领用录入（明细）'!C:C&gt;=$J$4,'领用录入（明细）'!C:C&lt;=$L$4),ROW(),"-")</f>
        <v>-</v>
      </c>
    </row>
    <row r="19108" customHeight="1" spans="2:2">
      <c r="B19108" s="62" t="str">
        <f>IF(AND('领用录入（明细）'!D:D=$F$4,'领用录入（明细）'!C:C&gt;=$J$4,'领用录入（明细）'!C:C&lt;=$L$4),ROW(),"-")</f>
        <v>-</v>
      </c>
    </row>
    <row r="19109" customHeight="1" spans="2:2">
      <c r="B19109" s="62" t="str">
        <f>IF(AND('领用录入（明细）'!D:D=$F$4,'领用录入（明细）'!C:C&gt;=$J$4,'领用录入（明细）'!C:C&lt;=$L$4),ROW(),"-")</f>
        <v>-</v>
      </c>
    </row>
    <row r="19110" customHeight="1" spans="2:2">
      <c r="B19110" s="62" t="str">
        <f>IF(AND('领用录入（明细）'!D:D=$F$4,'领用录入（明细）'!C:C&gt;=$J$4,'领用录入（明细）'!C:C&lt;=$L$4),ROW(),"-")</f>
        <v>-</v>
      </c>
    </row>
    <row r="19111" customHeight="1" spans="2:2">
      <c r="B19111" s="62" t="str">
        <f>IF(AND('领用录入（明细）'!D:D=$F$4,'领用录入（明细）'!C:C&gt;=$J$4,'领用录入（明细）'!C:C&lt;=$L$4),ROW(),"-")</f>
        <v>-</v>
      </c>
    </row>
    <row r="19112" customHeight="1" spans="2:2">
      <c r="B19112" s="62" t="str">
        <f>IF(AND('领用录入（明细）'!D:D=$F$4,'领用录入（明细）'!C:C&gt;=$J$4,'领用录入（明细）'!C:C&lt;=$L$4),ROW(),"-")</f>
        <v>-</v>
      </c>
    </row>
    <row r="19113" customHeight="1" spans="2:2">
      <c r="B19113" s="62" t="str">
        <f>IF(AND('领用录入（明细）'!D:D=$F$4,'领用录入（明细）'!C:C&gt;=$J$4,'领用录入（明细）'!C:C&lt;=$L$4),ROW(),"-")</f>
        <v>-</v>
      </c>
    </row>
    <row r="19114" customHeight="1" spans="2:2">
      <c r="B19114" s="62" t="str">
        <f>IF(AND('领用录入（明细）'!D:D=$F$4,'领用录入（明细）'!C:C&gt;=$J$4,'领用录入（明细）'!C:C&lt;=$L$4),ROW(),"-")</f>
        <v>-</v>
      </c>
    </row>
    <row r="19115" customHeight="1" spans="2:2">
      <c r="B19115" s="62" t="str">
        <f>IF(AND('领用录入（明细）'!D:D=$F$4,'领用录入（明细）'!C:C&gt;=$J$4,'领用录入（明细）'!C:C&lt;=$L$4),ROW(),"-")</f>
        <v>-</v>
      </c>
    </row>
    <row r="19116" customHeight="1" spans="2:2">
      <c r="B19116" s="62" t="str">
        <f>IF(AND('领用录入（明细）'!D:D=$F$4,'领用录入（明细）'!C:C&gt;=$J$4,'领用录入（明细）'!C:C&lt;=$L$4),ROW(),"-")</f>
        <v>-</v>
      </c>
    </row>
    <row r="19117" customHeight="1" spans="2:2">
      <c r="B19117" s="62" t="str">
        <f>IF(AND('领用录入（明细）'!D:D=$F$4,'领用录入（明细）'!C:C&gt;=$J$4,'领用录入（明细）'!C:C&lt;=$L$4),ROW(),"-")</f>
        <v>-</v>
      </c>
    </row>
    <row r="19118" customHeight="1" spans="2:2">
      <c r="B19118" s="62" t="str">
        <f>IF(AND('领用录入（明细）'!D:D=$F$4,'领用录入（明细）'!C:C&gt;=$J$4,'领用录入（明细）'!C:C&lt;=$L$4),ROW(),"-")</f>
        <v>-</v>
      </c>
    </row>
    <row r="19119" customHeight="1" spans="2:2">
      <c r="B19119" s="62" t="str">
        <f>IF(AND('领用录入（明细）'!D:D=$F$4,'领用录入（明细）'!C:C&gt;=$J$4,'领用录入（明细）'!C:C&lt;=$L$4),ROW(),"-")</f>
        <v>-</v>
      </c>
    </row>
    <row r="19120" customHeight="1" spans="2:2">
      <c r="B19120" s="62" t="str">
        <f>IF(AND('领用录入（明细）'!D:D=$F$4,'领用录入（明细）'!C:C&gt;=$J$4,'领用录入（明细）'!C:C&lt;=$L$4),ROW(),"-")</f>
        <v>-</v>
      </c>
    </row>
    <row r="19121" customHeight="1" spans="2:2">
      <c r="B19121" s="62" t="str">
        <f>IF(AND('领用录入（明细）'!D:D=$F$4,'领用录入（明细）'!C:C&gt;=$J$4,'领用录入（明细）'!C:C&lt;=$L$4),ROW(),"-")</f>
        <v>-</v>
      </c>
    </row>
    <row r="19122" customHeight="1" spans="2:2">
      <c r="B19122" s="62" t="str">
        <f>IF(AND('领用录入（明细）'!D:D=$F$4,'领用录入（明细）'!C:C&gt;=$J$4,'领用录入（明细）'!C:C&lt;=$L$4),ROW(),"-")</f>
        <v>-</v>
      </c>
    </row>
    <row r="19123" customHeight="1" spans="2:2">
      <c r="B19123" s="62" t="str">
        <f>IF(AND('领用录入（明细）'!D:D=$F$4,'领用录入（明细）'!C:C&gt;=$J$4,'领用录入（明细）'!C:C&lt;=$L$4),ROW(),"-")</f>
        <v>-</v>
      </c>
    </row>
    <row r="19124" customHeight="1" spans="2:2">
      <c r="B19124" s="62" t="str">
        <f>IF(AND('领用录入（明细）'!D:D=$F$4,'领用录入（明细）'!C:C&gt;=$J$4,'领用录入（明细）'!C:C&lt;=$L$4),ROW(),"-")</f>
        <v>-</v>
      </c>
    </row>
    <row r="19125" customHeight="1" spans="2:2">
      <c r="B19125" s="62" t="str">
        <f>IF(AND('领用录入（明细）'!D:D=$F$4,'领用录入（明细）'!C:C&gt;=$J$4,'领用录入（明细）'!C:C&lt;=$L$4),ROW(),"-")</f>
        <v>-</v>
      </c>
    </row>
    <row r="19126" customHeight="1" spans="2:2">
      <c r="B19126" s="62" t="str">
        <f>IF(AND('领用录入（明细）'!D:D=$F$4,'领用录入（明细）'!C:C&gt;=$J$4,'领用录入（明细）'!C:C&lt;=$L$4),ROW(),"-")</f>
        <v>-</v>
      </c>
    </row>
    <row r="19127" customHeight="1" spans="2:2">
      <c r="B19127" s="62" t="str">
        <f>IF(AND('领用录入（明细）'!D:D=$F$4,'领用录入（明细）'!C:C&gt;=$J$4,'领用录入（明细）'!C:C&lt;=$L$4),ROW(),"-")</f>
        <v>-</v>
      </c>
    </row>
    <row r="19128" customHeight="1" spans="2:2">
      <c r="B19128" s="62" t="str">
        <f>IF(AND('领用录入（明细）'!D:D=$F$4,'领用录入（明细）'!C:C&gt;=$J$4,'领用录入（明细）'!C:C&lt;=$L$4),ROW(),"-")</f>
        <v>-</v>
      </c>
    </row>
    <row r="19129" customHeight="1" spans="2:2">
      <c r="B19129" s="62" t="str">
        <f>IF(AND('领用录入（明细）'!D:D=$F$4,'领用录入（明细）'!C:C&gt;=$J$4,'领用录入（明细）'!C:C&lt;=$L$4),ROW(),"-")</f>
        <v>-</v>
      </c>
    </row>
    <row r="19130" customHeight="1" spans="2:2">
      <c r="B19130" s="62" t="str">
        <f>IF(AND('领用录入（明细）'!D:D=$F$4,'领用录入（明细）'!C:C&gt;=$J$4,'领用录入（明细）'!C:C&lt;=$L$4),ROW(),"-")</f>
        <v>-</v>
      </c>
    </row>
    <row r="19131" customHeight="1" spans="2:2">
      <c r="B19131" s="62" t="str">
        <f>IF(AND('领用录入（明细）'!D:D=$F$4,'领用录入（明细）'!C:C&gt;=$J$4,'领用录入（明细）'!C:C&lt;=$L$4),ROW(),"-")</f>
        <v>-</v>
      </c>
    </row>
    <row r="19132" customHeight="1" spans="2:2">
      <c r="B19132" s="62" t="str">
        <f>IF(AND('领用录入（明细）'!D:D=$F$4,'领用录入（明细）'!C:C&gt;=$J$4,'领用录入（明细）'!C:C&lt;=$L$4),ROW(),"-")</f>
        <v>-</v>
      </c>
    </row>
    <row r="19133" customHeight="1" spans="2:2">
      <c r="B19133" s="62" t="str">
        <f>IF(AND('领用录入（明细）'!D:D=$F$4,'领用录入（明细）'!C:C&gt;=$J$4,'领用录入（明细）'!C:C&lt;=$L$4),ROW(),"-")</f>
        <v>-</v>
      </c>
    </row>
    <row r="19134" customHeight="1" spans="2:2">
      <c r="B19134" s="62" t="str">
        <f>IF(AND('领用录入（明细）'!D:D=$F$4,'领用录入（明细）'!C:C&gt;=$J$4,'领用录入（明细）'!C:C&lt;=$L$4),ROW(),"-")</f>
        <v>-</v>
      </c>
    </row>
    <row r="19135" customHeight="1" spans="2:2">
      <c r="B19135" s="62" t="str">
        <f>IF(AND('领用录入（明细）'!D:D=$F$4,'领用录入（明细）'!C:C&gt;=$J$4,'领用录入（明细）'!C:C&lt;=$L$4),ROW(),"-")</f>
        <v>-</v>
      </c>
    </row>
    <row r="19136" customHeight="1" spans="2:2">
      <c r="B19136" s="62" t="str">
        <f>IF(AND('领用录入（明细）'!D:D=$F$4,'领用录入（明细）'!C:C&gt;=$J$4,'领用录入（明细）'!C:C&lt;=$L$4),ROW(),"-")</f>
        <v>-</v>
      </c>
    </row>
    <row r="19137" customHeight="1" spans="2:2">
      <c r="B19137" s="62" t="str">
        <f>IF(AND('领用录入（明细）'!D:D=$F$4,'领用录入（明细）'!C:C&gt;=$J$4,'领用录入（明细）'!C:C&lt;=$L$4),ROW(),"-")</f>
        <v>-</v>
      </c>
    </row>
    <row r="19138" customHeight="1" spans="2:2">
      <c r="B19138" s="62" t="str">
        <f>IF(AND('领用录入（明细）'!D:D=$F$4,'领用录入（明细）'!C:C&gt;=$J$4,'领用录入（明细）'!C:C&lt;=$L$4),ROW(),"-")</f>
        <v>-</v>
      </c>
    </row>
    <row r="19139" customHeight="1" spans="2:2">
      <c r="B19139" s="62" t="str">
        <f>IF(AND('领用录入（明细）'!D:D=$F$4,'领用录入（明细）'!C:C&gt;=$J$4,'领用录入（明细）'!C:C&lt;=$L$4),ROW(),"-")</f>
        <v>-</v>
      </c>
    </row>
    <row r="19140" customHeight="1" spans="2:2">
      <c r="B19140" s="62" t="str">
        <f>IF(AND('领用录入（明细）'!D:D=$F$4,'领用录入（明细）'!C:C&gt;=$J$4,'领用录入（明细）'!C:C&lt;=$L$4),ROW(),"-")</f>
        <v>-</v>
      </c>
    </row>
    <row r="19141" customHeight="1" spans="2:2">
      <c r="B19141" s="62" t="str">
        <f>IF(AND('领用录入（明细）'!D:D=$F$4,'领用录入（明细）'!C:C&gt;=$J$4,'领用录入（明细）'!C:C&lt;=$L$4),ROW(),"-")</f>
        <v>-</v>
      </c>
    </row>
    <row r="19142" customHeight="1" spans="2:2">
      <c r="B19142" s="62" t="str">
        <f>IF(AND('领用录入（明细）'!D:D=$F$4,'领用录入（明细）'!C:C&gt;=$J$4,'领用录入（明细）'!C:C&lt;=$L$4),ROW(),"-")</f>
        <v>-</v>
      </c>
    </row>
    <row r="19143" customHeight="1" spans="2:2">
      <c r="B19143" s="62" t="str">
        <f>IF(AND('领用录入（明细）'!D:D=$F$4,'领用录入（明细）'!C:C&gt;=$J$4,'领用录入（明细）'!C:C&lt;=$L$4),ROW(),"-")</f>
        <v>-</v>
      </c>
    </row>
    <row r="19144" customHeight="1" spans="2:2">
      <c r="B19144" s="62" t="str">
        <f>IF(AND('领用录入（明细）'!D:D=$F$4,'领用录入（明细）'!C:C&gt;=$J$4,'领用录入（明细）'!C:C&lt;=$L$4),ROW(),"-")</f>
        <v>-</v>
      </c>
    </row>
    <row r="19145" customHeight="1" spans="2:2">
      <c r="B19145" s="62" t="str">
        <f>IF(AND('领用录入（明细）'!D:D=$F$4,'领用录入（明细）'!C:C&gt;=$J$4,'领用录入（明细）'!C:C&lt;=$L$4),ROW(),"-")</f>
        <v>-</v>
      </c>
    </row>
    <row r="19146" customHeight="1" spans="2:2">
      <c r="B19146" s="62" t="str">
        <f>IF(AND('领用录入（明细）'!D:D=$F$4,'领用录入（明细）'!C:C&gt;=$J$4,'领用录入（明细）'!C:C&lt;=$L$4),ROW(),"-")</f>
        <v>-</v>
      </c>
    </row>
    <row r="19147" customHeight="1" spans="2:2">
      <c r="B19147" s="62" t="str">
        <f>IF(AND('领用录入（明细）'!D:D=$F$4,'领用录入（明细）'!C:C&gt;=$J$4,'领用录入（明细）'!C:C&lt;=$L$4),ROW(),"-")</f>
        <v>-</v>
      </c>
    </row>
    <row r="19148" customHeight="1" spans="2:2">
      <c r="B19148" s="62" t="str">
        <f>IF(AND('领用录入（明细）'!D:D=$F$4,'领用录入（明细）'!C:C&gt;=$J$4,'领用录入（明细）'!C:C&lt;=$L$4),ROW(),"-")</f>
        <v>-</v>
      </c>
    </row>
    <row r="19149" customHeight="1" spans="2:2">
      <c r="B19149" s="62" t="str">
        <f>IF(AND('领用录入（明细）'!D:D=$F$4,'领用录入（明细）'!C:C&gt;=$J$4,'领用录入（明细）'!C:C&lt;=$L$4),ROW(),"-")</f>
        <v>-</v>
      </c>
    </row>
    <row r="19150" customHeight="1" spans="2:2">
      <c r="B19150" s="62" t="str">
        <f>IF(AND('领用录入（明细）'!D:D=$F$4,'领用录入（明细）'!C:C&gt;=$J$4,'领用录入（明细）'!C:C&lt;=$L$4),ROW(),"-")</f>
        <v>-</v>
      </c>
    </row>
    <row r="19151" customHeight="1" spans="2:2">
      <c r="B19151" s="62" t="str">
        <f>IF(AND('领用录入（明细）'!D:D=$F$4,'领用录入（明细）'!C:C&gt;=$J$4,'领用录入（明细）'!C:C&lt;=$L$4),ROW(),"-")</f>
        <v>-</v>
      </c>
    </row>
    <row r="19152" customHeight="1" spans="2:2">
      <c r="B19152" s="62" t="str">
        <f>IF(AND('领用录入（明细）'!D:D=$F$4,'领用录入（明细）'!C:C&gt;=$J$4,'领用录入（明细）'!C:C&lt;=$L$4),ROW(),"-")</f>
        <v>-</v>
      </c>
    </row>
    <row r="19153" customHeight="1" spans="2:2">
      <c r="B19153" s="62" t="str">
        <f>IF(AND('领用录入（明细）'!D:D=$F$4,'领用录入（明细）'!C:C&gt;=$J$4,'领用录入（明细）'!C:C&lt;=$L$4),ROW(),"-")</f>
        <v>-</v>
      </c>
    </row>
    <row r="19154" customHeight="1" spans="2:2">
      <c r="B19154" s="62" t="str">
        <f>IF(AND('领用录入（明细）'!D:D=$F$4,'领用录入（明细）'!C:C&gt;=$J$4,'领用录入（明细）'!C:C&lt;=$L$4),ROW(),"-")</f>
        <v>-</v>
      </c>
    </row>
    <row r="19155" customHeight="1" spans="2:2">
      <c r="B19155" s="62" t="str">
        <f>IF(AND('领用录入（明细）'!D:D=$F$4,'领用录入（明细）'!C:C&gt;=$J$4,'领用录入（明细）'!C:C&lt;=$L$4),ROW(),"-")</f>
        <v>-</v>
      </c>
    </row>
    <row r="19156" customHeight="1" spans="2:2">
      <c r="B19156" s="62" t="str">
        <f>IF(AND('领用录入（明细）'!D:D=$F$4,'领用录入（明细）'!C:C&gt;=$J$4,'领用录入（明细）'!C:C&lt;=$L$4),ROW(),"-")</f>
        <v>-</v>
      </c>
    </row>
    <row r="19157" customHeight="1" spans="2:2">
      <c r="B19157" s="62" t="str">
        <f>IF(AND('领用录入（明细）'!D:D=$F$4,'领用录入（明细）'!C:C&gt;=$J$4,'领用录入（明细）'!C:C&lt;=$L$4),ROW(),"-")</f>
        <v>-</v>
      </c>
    </row>
    <row r="19158" customHeight="1" spans="2:2">
      <c r="B19158" s="62" t="str">
        <f>IF(AND('领用录入（明细）'!D:D=$F$4,'领用录入（明细）'!C:C&gt;=$J$4,'领用录入（明细）'!C:C&lt;=$L$4),ROW(),"-")</f>
        <v>-</v>
      </c>
    </row>
    <row r="19159" customHeight="1" spans="2:2">
      <c r="B19159" s="62" t="str">
        <f>IF(AND('领用录入（明细）'!D:D=$F$4,'领用录入（明细）'!C:C&gt;=$J$4,'领用录入（明细）'!C:C&lt;=$L$4),ROW(),"-")</f>
        <v>-</v>
      </c>
    </row>
    <row r="19160" customHeight="1" spans="2:2">
      <c r="B19160" s="62" t="str">
        <f>IF(AND('领用录入（明细）'!D:D=$F$4,'领用录入（明细）'!C:C&gt;=$J$4,'领用录入（明细）'!C:C&lt;=$L$4),ROW(),"-")</f>
        <v>-</v>
      </c>
    </row>
    <row r="19161" customHeight="1" spans="2:2">
      <c r="B19161" s="62" t="str">
        <f>IF(AND('领用录入（明细）'!D:D=$F$4,'领用录入（明细）'!C:C&gt;=$J$4,'领用录入（明细）'!C:C&lt;=$L$4),ROW(),"-")</f>
        <v>-</v>
      </c>
    </row>
    <row r="19162" customHeight="1" spans="2:2">
      <c r="B19162" s="62" t="str">
        <f>IF(AND('领用录入（明细）'!D:D=$F$4,'领用录入（明细）'!C:C&gt;=$J$4,'领用录入（明细）'!C:C&lt;=$L$4),ROW(),"-")</f>
        <v>-</v>
      </c>
    </row>
    <row r="19163" customHeight="1" spans="2:2">
      <c r="B19163" s="62" t="str">
        <f>IF(AND('领用录入（明细）'!D:D=$F$4,'领用录入（明细）'!C:C&gt;=$J$4,'领用录入（明细）'!C:C&lt;=$L$4),ROW(),"-")</f>
        <v>-</v>
      </c>
    </row>
    <row r="19164" customHeight="1" spans="2:2">
      <c r="B19164" s="62" t="str">
        <f>IF(AND('领用录入（明细）'!D:D=$F$4,'领用录入（明细）'!C:C&gt;=$J$4,'领用录入（明细）'!C:C&lt;=$L$4),ROW(),"-")</f>
        <v>-</v>
      </c>
    </row>
    <row r="19165" customHeight="1" spans="2:2">
      <c r="B19165" s="62" t="str">
        <f>IF(AND('领用录入（明细）'!D:D=$F$4,'领用录入（明细）'!C:C&gt;=$J$4,'领用录入（明细）'!C:C&lt;=$L$4),ROW(),"-")</f>
        <v>-</v>
      </c>
    </row>
    <row r="19166" customHeight="1" spans="2:2">
      <c r="B19166" s="62" t="str">
        <f>IF(AND('领用录入（明细）'!D:D=$F$4,'领用录入（明细）'!C:C&gt;=$J$4,'领用录入（明细）'!C:C&lt;=$L$4),ROW(),"-")</f>
        <v>-</v>
      </c>
    </row>
    <row r="19167" customHeight="1" spans="2:2">
      <c r="B19167" s="62" t="str">
        <f>IF(AND('领用录入（明细）'!D:D=$F$4,'领用录入（明细）'!C:C&gt;=$J$4,'领用录入（明细）'!C:C&lt;=$L$4),ROW(),"-")</f>
        <v>-</v>
      </c>
    </row>
    <row r="19168" customHeight="1" spans="2:2">
      <c r="B19168" s="62" t="str">
        <f>IF(AND('领用录入（明细）'!D:D=$F$4,'领用录入（明细）'!C:C&gt;=$J$4,'领用录入（明细）'!C:C&lt;=$L$4),ROW(),"-")</f>
        <v>-</v>
      </c>
    </row>
    <row r="19169" customHeight="1" spans="2:2">
      <c r="B19169" s="62" t="str">
        <f>IF(AND('领用录入（明细）'!D:D=$F$4,'领用录入（明细）'!C:C&gt;=$J$4,'领用录入（明细）'!C:C&lt;=$L$4),ROW(),"-")</f>
        <v>-</v>
      </c>
    </row>
    <row r="19170" customHeight="1" spans="2:2">
      <c r="B19170" s="62" t="str">
        <f>IF(AND('领用录入（明细）'!D:D=$F$4,'领用录入（明细）'!C:C&gt;=$J$4,'领用录入（明细）'!C:C&lt;=$L$4),ROW(),"-")</f>
        <v>-</v>
      </c>
    </row>
    <row r="19171" customHeight="1" spans="2:2">
      <c r="B19171" s="62" t="str">
        <f>IF(AND('领用录入（明细）'!D:D=$F$4,'领用录入（明细）'!C:C&gt;=$J$4,'领用录入（明细）'!C:C&lt;=$L$4),ROW(),"-")</f>
        <v>-</v>
      </c>
    </row>
    <row r="19172" customHeight="1" spans="2:2">
      <c r="B19172" s="62" t="str">
        <f>IF(AND('领用录入（明细）'!D:D=$F$4,'领用录入（明细）'!C:C&gt;=$J$4,'领用录入（明细）'!C:C&lt;=$L$4),ROW(),"-")</f>
        <v>-</v>
      </c>
    </row>
    <row r="19173" customHeight="1" spans="2:2">
      <c r="B19173" s="62" t="str">
        <f>IF(AND('领用录入（明细）'!D:D=$F$4,'领用录入（明细）'!C:C&gt;=$J$4,'领用录入（明细）'!C:C&lt;=$L$4),ROW(),"-")</f>
        <v>-</v>
      </c>
    </row>
    <row r="19174" customHeight="1" spans="2:2">
      <c r="B19174" s="62" t="str">
        <f>IF(AND('领用录入（明细）'!D:D=$F$4,'领用录入（明细）'!C:C&gt;=$J$4,'领用录入（明细）'!C:C&lt;=$L$4),ROW(),"-")</f>
        <v>-</v>
      </c>
    </row>
    <row r="19175" customHeight="1" spans="2:2">
      <c r="B19175" s="62" t="str">
        <f>IF(AND('领用录入（明细）'!D:D=$F$4,'领用录入（明细）'!C:C&gt;=$J$4,'领用录入（明细）'!C:C&lt;=$L$4),ROW(),"-")</f>
        <v>-</v>
      </c>
    </row>
    <row r="19176" customHeight="1" spans="2:2">
      <c r="B19176" s="62" t="str">
        <f>IF(AND('领用录入（明细）'!D:D=$F$4,'领用录入（明细）'!C:C&gt;=$J$4,'领用录入（明细）'!C:C&lt;=$L$4),ROW(),"-")</f>
        <v>-</v>
      </c>
    </row>
    <row r="19177" customHeight="1" spans="2:2">
      <c r="B19177" s="62" t="str">
        <f>IF(AND('领用录入（明细）'!D:D=$F$4,'领用录入（明细）'!C:C&gt;=$J$4,'领用录入（明细）'!C:C&lt;=$L$4),ROW(),"-")</f>
        <v>-</v>
      </c>
    </row>
    <row r="19178" customHeight="1" spans="2:2">
      <c r="B19178" s="62" t="str">
        <f>IF(AND('领用录入（明细）'!D:D=$F$4,'领用录入（明细）'!C:C&gt;=$J$4,'领用录入（明细）'!C:C&lt;=$L$4),ROW(),"-")</f>
        <v>-</v>
      </c>
    </row>
    <row r="19179" customHeight="1" spans="2:2">
      <c r="B19179" s="62" t="str">
        <f>IF(AND('领用录入（明细）'!D:D=$F$4,'领用录入（明细）'!C:C&gt;=$J$4,'领用录入（明细）'!C:C&lt;=$L$4),ROW(),"-")</f>
        <v>-</v>
      </c>
    </row>
    <row r="19180" customHeight="1" spans="2:2">
      <c r="B19180" s="62" t="str">
        <f>IF(AND('领用录入（明细）'!D:D=$F$4,'领用录入（明细）'!C:C&gt;=$J$4,'领用录入（明细）'!C:C&lt;=$L$4),ROW(),"-")</f>
        <v>-</v>
      </c>
    </row>
    <row r="19181" customHeight="1" spans="2:2">
      <c r="B19181" s="62" t="str">
        <f>IF(AND('领用录入（明细）'!D:D=$F$4,'领用录入（明细）'!C:C&gt;=$J$4,'领用录入（明细）'!C:C&lt;=$L$4),ROW(),"-")</f>
        <v>-</v>
      </c>
    </row>
    <row r="19182" customHeight="1" spans="2:2">
      <c r="B19182" s="62" t="str">
        <f>IF(AND('领用录入（明细）'!D:D=$F$4,'领用录入（明细）'!C:C&gt;=$J$4,'领用录入（明细）'!C:C&lt;=$L$4),ROW(),"-")</f>
        <v>-</v>
      </c>
    </row>
    <row r="19183" customHeight="1" spans="2:2">
      <c r="B19183" s="62" t="str">
        <f>IF(AND('领用录入（明细）'!D:D=$F$4,'领用录入（明细）'!C:C&gt;=$J$4,'领用录入（明细）'!C:C&lt;=$L$4),ROW(),"-")</f>
        <v>-</v>
      </c>
    </row>
    <row r="19184" customHeight="1" spans="2:2">
      <c r="B19184" s="62" t="str">
        <f>IF(AND('领用录入（明细）'!D:D=$F$4,'领用录入（明细）'!C:C&gt;=$J$4,'领用录入（明细）'!C:C&lt;=$L$4),ROW(),"-")</f>
        <v>-</v>
      </c>
    </row>
    <row r="19185" customHeight="1" spans="2:2">
      <c r="B19185" s="62" t="str">
        <f>IF(AND('领用录入（明细）'!D:D=$F$4,'领用录入（明细）'!C:C&gt;=$J$4,'领用录入（明细）'!C:C&lt;=$L$4),ROW(),"-")</f>
        <v>-</v>
      </c>
    </row>
    <row r="19186" customHeight="1" spans="2:2">
      <c r="B19186" s="62" t="str">
        <f>IF(AND('领用录入（明细）'!D:D=$F$4,'领用录入（明细）'!C:C&gt;=$J$4,'领用录入（明细）'!C:C&lt;=$L$4),ROW(),"-")</f>
        <v>-</v>
      </c>
    </row>
    <row r="19187" customHeight="1" spans="2:2">
      <c r="B19187" s="62" t="str">
        <f>IF(AND('领用录入（明细）'!D:D=$F$4,'领用录入（明细）'!C:C&gt;=$J$4,'领用录入（明细）'!C:C&lt;=$L$4),ROW(),"-")</f>
        <v>-</v>
      </c>
    </row>
    <row r="19188" customHeight="1" spans="2:2">
      <c r="B19188" s="62" t="str">
        <f>IF(AND('领用录入（明细）'!D:D=$F$4,'领用录入（明细）'!C:C&gt;=$J$4,'领用录入（明细）'!C:C&lt;=$L$4),ROW(),"-")</f>
        <v>-</v>
      </c>
    </row>
    <row r="19189" customHeight="1" spans="2:2">
      <c r="B19189" s="62" t="str">
        <f>IF(AND('领用录入（明细）'!D:D=$F$4,'领用录入（明细）'!C:C&gt;=$J$4,'领用录入（明细）'!C:C&lt;=$L$4),ROW(),"-")</f>
        <v>-</v>
      </c>
    </row>
    <row r="19190" customHeight="1" spans="2:2">
      <c r="B19190" s="62" t="str">
        <f>IF(AND('领用录入（明细）'!D:D=$F$4,'领用录入（明细）'!C:C&gt;=$J$4,'领用录入（明细）'!C:C&lt;=$L$4),ROW(),"-")</f>
        <v>-</v>
      </c>
    </row>
    <row r="19191" customHeight="1" spans="2:2">
      <c r="B19191" s="62" t="str">
        <f>IF(AND('领用录入（明细）'!D:D=$F$4,'领用录入（明细）'!C:C&gt;=$J$4,'领用录入（明细）'!C:C&lt;=$L$4),ROW(),"-")</f>
        <v>-</v>
      </c>
    </row>
    <row r="19192" customHeight="1" spans="2:2">
      <c r="B19192" s="62" t="str">
        <f>IF(AND('领用录入（明细）'!D:D=$F$4,'领用录入（明细）'!C:C&gt;=$J$4,'领用录入（明细）'!C:C&lt;=$L$4),ROW(),"-")</f>
        <v>-</v>
      </c>
    </row>
    <row r="19193" customHeight="1" spans="2:2">
      <c r="B19193" s="62" t="str">
        <f>IF(AND('领用录入（明细）'!D:D=$F$4,'领用录入（明细）'!C:C&gt;=$J$4,'领用录入（明细）'!C:C&lt;=$L$4),ROW(),"-")</f>
        <v>-</v>
      </c>
    </row>
    <row r="19194" customHeight="1" spans="2:2">
      <c r="B19194" s="62" t="str">
        <f>IF(AND('领用录入（明细）'!D:D=$F$4,'领用录入（明细）'!C:C&gt;=$J$4,'领用录入（明细）'!C:C&lt;=$L$4),ROW(),"-")</f>
        <v>-</v>
      </c>
    </row>
    <row r="19195" customHeight="1" spans="2:2">
      <c r="B19195" s="62" t="str">
        <f>IF(AND('领用录入（明细）'!D:D=$F$4,'领用录入（明细）'!C:C&gt;=$J$4,'领用录入（明细）'!C:C&lt;=$L$4),ROW(),"-")</f>
        <v>-</v>
      </c>
    </row>
    <row r="19196" customHeight="1" spans="2:2">
      <c r="B19196" s="62" t="str">
        <f>IF(AND('领用录入（明细）'!D:D=$F$4,'领用录入（明细）'!C:C&gt;=$J$4,'领用录入（明细）'!C:C&lt;=$L$4),ROW(),"-")</f>
        <v>-</v>
      </c>
    </row>
    <row r="19197" customHeight="1" spans="2:2">
      <c r="B19197" s="62" t="str">
        <f>IF(AND('领用录入（明细）'!D:D=$F$4,'领用录入（明细）'!C:C&gt;=$J$4,'领用录入（明细）'!C:C&lt;=$L$4),ROW(),"-")</f>
        <v>-</v>
      </c>
    </row>
    <row r="19198" customHeight="1" spans="2:2">
      <c r="B19198" s="62" t="str">
        <f>IF(AND('领用录入（明细）'!D:D=$F$4,'领用录入（明细）'!C:C&gt;=$J$4,'领用录入（明细）'!C:C&lt;=$L$4),ROW(),"-")</f>
        <v>-</v>
      </c>
    </row>
    <row r="19199" customHeight="1" spans="2:2">
      <c r="B19199" s="62" t="str">
        <f>IF(AND('领用录入（明细）'!D:D=$F$4,'领用录入（明细）'!C:C&gt;=$J$4,'领用录入（明细）'!C:C&lt;=$L$4),ROW(),"-")</f>
        <v>-</v>
      </c>
    </row>
    <row r="19200" customHeight="1" spans="2:2">
      <c r="B19200" s="62" t="str">
        <f>IF(AND('领用录入（明细）'!D:D=$F$4,'领用录入（明细）'!C:C&gt;=$J$4,'领用录入（明细）'!C:C&lt;=$L$4),ROW(),"-")</f>
        <v>-</v>
      </c>
    </row>
    <row r="19201" customHeight="1" spans="2:2">
      <c r="B19201" s="62" t="str">
        <f>IF(AND('领用录入（明细）'!D:D=$F$4,'领用录入（明细）'!C:C&gt;=$J$4,'领用录入（明细）'!C:C&lt;=$L$4),ROW(),"-")</f>
        <v>-</v>
      </c>
    </row>
    <row r="19202" customHeight="1" spans="2:2">
      <c r="B19202" s="62" t="str">
        <f>IF(AND('领用录入（明细）'!D:D=$F$4,'领用录入（明细）'!C:C&gt;=$J$4,'领用录入（明细）'!C:C&lt;=$L$4),ROW(),"-")</f>
        <v>-</v>
      </c>
    </row>
    <row r="19203" customHeight="1" spans="2:2">
      <c r="B19203" s="62" t="str">
        <f>IF(AND('领用录入（明细）'!D:D=$F$4,'领用录入（明细）'!C:C&gt;=$J$4,'领用录入（明细）'!C:C&lt;=$L$4),ROW(),"-")</f>
        <v>-</v>
      </c>
    </row>
    <row r="19204" customHeight="1" spans="2:2">
      <c r="B19204" s="62" t="str">
        <f>IF(AND('领用录入（明细）'!D:D=$F$4,'领用录入（明细）'!C:C&gt;=$J$4,'领用录入（明细）'!C:C&lt;=$L$4),ROW(),"-")</f>
        <v>-</v>
      </c>
    </row>
    <row r="19205" customHeight="1" spans="2:2">
      <c r="B19205" s="62" t="str">
        <f>IF(AND('领用录入（明细）'!D:D=$F$4,'领用录入（明细）'!C:C&gt;=$J$4,'领用录入（明细）'!C:C&lt;=$L$4),ROW(),"-")</f>
        <v>-</v>
      </c>
    </row>
    <row r="19206" customHeight="1" spans="2:2">
      <c r="B19206" s="62" t="str">
        <f>IF(AND('领用录入（明细）'!D:D=$F$4,'领用录入（明细）'!C:C&gt;=$J$4,'领用录入（明细）'!C:C&lt;=$L$4),ROW(),"-")</f>
        <v>-</v>
      </c>
    </row>
    <row r="19207" customHeight="1" spans="2:2">
      <c r="B19207" s="62" t="str">
        <f>IF(AND('领用录入（明细）'!D:D=$F$4,'领用录入（明细）'!C:C&gt;=$J$4,'领用录入（明细）'!C:C&lt;=$L$4),ROW(),"-")</f>
        <v>-</v>
      </c>
    </row>
    <row r="19208" customHeight="1" spans="2:2">
      <c r="B19208" s="62" t="str">
        <f>IF(AND('领用录入（明细）'!D:D=$F$4,'领用录入（明细）'!C:C&gt;=$J$4,'领用录入（明细）'!C:C&lt;=$L$4),ROW(),"-")</f>
        <v>-</v>
      </c>
    </row>
    <row r="19209" customHeight="1" spans="2:2">
      <c r="B19209" s="62" t="str">
        <f>IF(AND('领用录入（明细）'!D:D=$F$4,'领用录入（明细）'!C:C&gt;=$J$4,'领用录入（明细）'!C:C&lt;=$L$4),ROW(),"-")</f>
        <v>-</v>
      </c>
    </row>
    <row r="19210" customHeight="1" spans="2:2">
      <c r="B19210" s="62" t="str">
        <f>IF(AND('领用录入（明细）'!D:D=$F$4,'领用录入（明细）'!C:C&gt;=$J$4,'领用录入（明细）'!C:C&lt;=$L$4),ROW(),"-")</f>
        <v>-</v>
      </c>
    </row>
    <row r="19211" customHeight="1" spans="2:2">
      <c r="B19211" s="62" t="str">
        <f>IF(AND('领用录入（明细）'!D:D=$F$4,'领用录入（明细）'!C:C&gt;=$J$4,'领用录入（明细）'!C:C&lt;=$L$4),ROW(),"-")</f>
        <v>-</v>
      </c>
    </row>
    <row r="19212" customHeight="1" spans="2:2">
      <c r="B19212" s="62" t="str">
        <f>IF(AND('领用录入（明细）'!D:D=$F$4,'领用录入（明细）'!C:C&gt;=$J$4,'领用录入（明细）'!C:C&lt;=$L$4),ROW(),"-")</f>
        <v>-</v>
      </c>
    </row>
    <row r="19213" customHeight="1" spans="2:2">
      <c r="B19213" s="62" t="str">
        <f>IF(AND('领用录入（明细）'!D:D=$F$4,'领用录入（明细）'!C:C&gt;=$J$4,'领用录入（明细）'!C:C&lt;=$L$4),ROW(),"-")</f>
        <v>-</v>
      </c>
    </row>
    <row r="19214" customHeight="1" spans="2:2">
      <c r="B19214" s="62" t="str">
        <f>IF(AND('领用录入（明细）'!D:D=$F$4,'领用录入（明细）'!C:C&gt;=$J$4,'领用录入（明细）'!C:C&lt;=$L$4),ROW(),"-")</f>
        <v>-</v>
      </c>
    </row>
    <row r="19215" customHeight="1" spans="2:2">
      <c r="B19215" s="62" t="str">
        <f>IF(AND('领用录入（明细）'!D:D=$F$4,'领用录入（明细）'!C:C&gt;=$J$4,'领用录入（明细）'!C:C&lt;=$L$4),ROW(),"-")</f>
        <v>-</v>
      </c>
    </row>
    <row r="19216" customHeight="1" spans="2:2">
      <c r="B19216" s="62" t="str">
        <f>IF(AND('领用录入（明细）'!D:D=$F$4,'领用录入（明细）'!C:C&gt;=$J$4,'领用录入（明细）'!C:C&lt;=$L$4),ROW(),"-")</f>
        <v>-</v>
      </c>
    </row>
    <row r="19217" customHeight="1" spans="2:2">
      <c r="B19217" s="62" t="str">
        <f>IF(AND('领用录入（明细）'!D:D=$F$4,'领用录入（明细）'!C:C&gt;=$J$4,'领用录入（明细）'!C:C&lt;=$L$4),ROW(),"-")</f>
        <v>-</v>
      </c>
    </row>
    <row r="19218" customHeight="1" spans="2:2">
      <c r="B19218" s="62" t="str">
        <f>IF(AND('领用录入（明细）'!D:D=$F$4,'领用录入（明细）'!C:C&gt;=$J$4,'领用录入（明细）'!C:C&lt;=$L$4),ROW(),"-")</f>
        <v>-</v>
      </c>
    </row>
    <row r="19219" customHeight="1" spans="2:2">
      <c r="B19219" s="62" t="str">
        <f>IF(AND('领用录入（明细）'!D:D=$F$4,'领用录入（明细）'!C:C&gt;=$J$4,'领用录入（明细）'!C:C&lt;=$L$4),ROW(),"-")</f>
        <v>-</v>
      </c>
    </row>
    <row r="19220" customHeight="1" spans="2:2">
      <c r="B19220" s="62" t="str">
        <f>IF(AND('领用录入（明细）'!D:D=$F$4,'领用录入（明细）'!C:C&gt;=$J$4,'领用录入（明细）'!C:C&lt;=$L$4),ROW(),"-")</f>
        <v>-</v>
      </c>
    </row>
    <row r="19221" customHeight="1" spans="2:2">
      <c r="B19221" s="62" t="str">
        <f>IF(AND('领用录入（明细）'!D:D=$F$4,'领用录入（明细）'!C:C&gt;=$J$4,'领用录入（明细）'!C:C&lt;=$L$4),ROW(),"-")</f>
        <v>-</v>
      </c>
    </row>
    <row r="19222" customHeight="1" spans="2:2">
      <c r="B19222" s="62" t="str">
        <f>IF(AND('领用录入（明细）'!D:D=$F$4,'领用录入（明细）'!C:C&gt;=$J$4,'领用录入（明细）'!C:C&lt;=$L$4),ROW(),"-")</f>
        <v>-</v>
      </c>
    </row>
    <row r="19223" customHeight="1" spans="2:2">
      <c r="B19223" s="62" t="str">
        <f>IF(AND('领用录入（明细）'!D:D=$F$4,'领用录入（明细）'!C:C&gt;=$J$4,'领用录入（明细）'!C:C&lt;=$L$4),ROW(),"-")</f>
        <v>-</v>
      </c>
    </row>
    <row r="19224" customHeight="1" spans="2:2">
      <c r="B19224" s="62" t="str">
        <f>IF(AND('领用录入（明细）'!D:D=$F$4,'领用录入（明细）'!C:C&gt;=$J$4,'领用录入（明细）'!C:C&lt;=$L$4),ROW(),"-")</f>
        <v>-</v>
      </c>
    </row>
    <row r="19225" customHeight="1" spans="2:2">
      <c r="B19225" s="62" t="str">
        <f>IF(AND('领用录入（明细）'!D:D=$F$4,'领用录入（明细）'!C:C&gt;=$J$4,'领用录入（明细）'!C:C&lt;=$L$4),ROW(),"-")</f>
        <v>-</v>
      </c>
    </row>
    <row r="19226" customHeight="1" spans="2:2">
      <c r="B19226" s="62" t="str">
        <f>IF(AND('领用录入（明细）'!D:D=$F$4,'领用录入（明细）'!C:C&gt;=$J$4,'领用录入（明细）'!C:C&lt;=$L$4),ROW(),"-")</f>
        <v>-</v>
      </c>
    </row>
    <row r="19227" customHeight="1" spans="2:2">
      <c r="B19227" s="62" t="str">
        <f>IF(AND('领用录入（明细）'!D:D=$F$4,'领用录入（明细）'!C:C&gt;=$J$4,'领用录入（明细）'!C:C&lt;=$L$4),ROW(),"-")</f>
        <v>-</v>
      </c>
    </row>
    <row r="19228" customHeight="1" spans="2:2">
      <c r="B19228" s="62" t="str">
        <f>IF(AND('领用录入（明细）'!D:D=$F$4,'领用录入（明细）'!C:C&gt;=$J$4,'领用录入（明细）'!C:C&lt;=$L$4),ROW(),"-")</f>
        <v>-</v>
      </c>
    </row>
    <row r="19229" customHeight="1" spans="2:2">
      <c r="B19229" s="62" t="str">
        <f>IF(AND('领用录入（明细）'!D:D=$F$4,'领用录入（明细）'!C:C&gt;=$J$4,'领用录入（明细）'!C:C&lt;=$L$4),ROW(),"-")</f>
        <v>-</v>
      </c>
    </row>
    <row r="19230" customHeight="1" spans="2:2">
      <c r="B19230" s="62" t="str">
        <f>IF(AND('领用录入（明细）'!D:D=$F$4,'领用录入（明细）'!C:C&gt;=$J$4,'领用录入（明细）'!C:C&lt;=$L$4),ROW(),"-")</f>
        <v>-</v>
      </c>
    </row>
    <row r="19231" customHeight="1" spans="2:2">
      <c r="B19231" s="62" t="str">
        <f>IF(AND('领用录入（明细）'!D:D=$F$4,'领用录入（明细）'!C:C&gt;=$J$4,'领用录入（明细）'!C:C&lt;=$L$4),ROW(),"-")</f>
        <v>-</v>
      </c>
    </row>
    <row r="19232" customHeight="1" spans="2:2">
      <c r="B19232" s="62" t="str">
        <f>IF(AND('领用录入（明细）'!D:D=$F$4,'领用录入（明细）'!C:C&gt;=$J$4,'领用录入（明细）'!C:C&lt;=$L$4),ROW(),"-")</f>
        <v>-</v>
      </c>
    </row>
    <row r="19233" customHeight="1" spans="2:2">
      <c r="B19233" s="62" t="str">
        <f>IF(AND('领用录入（明细）'!D:D=$F$4,'领用录入（明细）'!C:C&gt;=$J$4,'领用录入（明细）'!C:C&lt;=$L$4),ROW(),"-")</f>
        <v>-</v>
      </c>
    </row>
    <row r="19234" customHeight="1" spans="2:2">
      <c r="B19234" s="62" t="str">
        <f>IF(AND('领用录入（明细）'!D:D=$F$4,'领用录入（明细）'!C:C&gt;=$J$4,'领用录入（明细）'!C:C&lt;=$L$4),ROW(),"-")</f>
        <v>-</v>
      </c>
    </row>
    <row r="19235" customHeight="1" spans="2:2">
      <c r="B19235" s="62" t="str">
        <f>IF(AND('领用录入（明细）'!D:D=$F$4,'领用录入（明细）'!C:C&gt;=$J$4,'领用录入（明细）'!C:C&lt;=$L$4),ROW(),"-")</f>
        <v>-</v>
      </c>
    </row>
    <row r="19236" customHeight="1" spans="2:2">
      <c r="B19236" s="62" t="str">
        <f>IF(AND('领用录入（明细）'!D:D=$F$4,'领用录入（明细）'!C:C&gt;=$J$4,'领用录入（明细）'!C:C&lt;=$L$4),ROW(),"-")</f>
        <v>-</v>
      </c>
    </row>
    <row r="19237" customHeight="1" spans="2:2">
      <c r="B19237" s="62" t="str">
        <f>IF(AND('领用录入（明细）'!D:D=$F$4,'领用录入（明细）'!C:C&gt;=$J$4,'领用录入（明细）'!C:C&lt;=$L$4),ROW(),"-")</f>
        <v>-</v>
      </c>
    </row>
    <row r="19238" customHeight="1" spans="2:2">
      <c r="B19238" s="62" t="str">
        <f>IF(AND('领用录入（明细）'!D:D=$F$4,'领用录入（明细）'!C:C&gt;=$J$4,'领用录入（明细）'!C:C&lt;=$L$4),ROW(),"-")</f>
        <v>-</v>
      </c>
    </row>
    <row r="19239" customHeight="1" spans="2:2">
      <c r="B19239" s="62" t="str">
        <f>IF(AND('领用录入（明细）'!D:D=$F$4,'领用录入（明细）'!C:C&gt;=$J$4,'领用录入（明细）'!C:C&lt;=$L$4),ROW(),"-")</f>
        <v>-</v>
      </c>
    </row>
    <row r="19240" customHeight="1" spans="2:2">
      <c r="B19240" s="62" t="str">
        <f>IF(AND('领用录入（明细）'!D:D=$F$4,'领用录入（明细）'!C:C&gt;=$J$4,'领用录入（明细）'!C:C&lt;=$L$4),ROW(),"-")</f>
        <v>-</v>
      </c>
    </row>
    <row r="19241" customHeight="1" spans="2:2">
      <c r="B19241" s="62" t="str">
        <f>IF(AND('领用录入（明细）'!D:D=$F$4,'领用录入（明细）'!C:C&gt;=$J$4,'领用录入（明细）'!C:C&lt;=$L$4),ROW(),"-")</f>
        <v>-</v>
      </c>
    </row>
    <row r="19242" customHeight="1" spans="2:2">
      <c r="B19242" s="62" t="str">
        <f>IF(AND('领用录入（明细）'!D:D=$F$4,'领用录入（明细）'!C:C&gt;=$J$4,'领用录入（明细）'!C:C&lt;=$L$4),ROW(),"-")</f>
        <v>-</v>
      </c>
    </row>
    <row r="19243" customHeight="1" spans="2:2">
      <c r="B19243" s="62" t="str">
        <f>IF(AND('领用录入（明细）'!D:D=$F$4,'领用录入（明细）'!C:C&gt;=$J$4,'领用录入（明细）'!C:C&lt;=$L$4),ROW(),"-")</f>
        <v>-</v>
      </c>
    </row>
    <row r="19244" customHeight="1" spans="2:2">
      <c r="B19244" s="62" t="str">
        <f>IF(AND('领用录入（明细）'!D:D=$F$4,'领用录入（明细）'!C:C&gt;=$J$4,'领用录入（明细）'!C:C&lt;=$L$4),ROW(),"-")</f>
        <v>-</v>
      </c>
    </row>
    <row r="19245" customHeight="1" spans="2:2">
      <c r="B19245" s="62" t="str">
        <f>IF(AND('领用录入（明细）'!D:D=$F$4,'领用录入（明细）'!C:C&gt;=$J$4,'领用录入（明细）'!C:C&lt;=$L$4),ROW(),"-")</f>
        <v>-</v>
      </c>
    </row>
    <row r="19246" customHeight="1" spans="2:2">
      <c r="B19246" s="62" t="str">
        <f>IF(AND('领用录入（明细）'!D:D=$F$4,'领用录入（明细）'!C:C&gt;=$J$4,'领用录入（明细）'!C:C&lt;=$L$4),ROW(),"-")</f>
        <v>-</v>
      </c>
    </row>
    <row r="19247" customHeight="1" spans="2:2">
      <c r="B19247" s="62" t="str">
        <f>IF(AND('领用录入（明细）'!D:D=$F$4,'领用录入（明细）'!C:C&gt;=$J$4,'领用录入（明细）'!C:C&lt;=$L$4),ROW(),"-")</f>
        <v>-</v>
      </c>
    </row>
    <row r="19248" customHeight="1" spans="2:2">
      <c r="B19248" s="62" t="str">
        <f>IF(AND('领用录入（明细）'!D:D=$F$4,'领用录入（明细）'!C:C&gt;=$J$4,'领用录入（明细）'!C:C&lt;=$L$4),ROW(),"-")</f>
        <v>-</v>
      </c>
    </row>
    <row r="19249" customHeight="1" spans="2:2">
      <c r="B19249" s="62" t="str">
        <f>IF(AND('领用录入（明细）'!D:D=$F$4,'领用录入（明细）'!C:C&gt;=$J$4,'领用录入（明细）'!C:C&lt;=$L$4),ROW(),"-")</f>
        <v>-</v>
      </c>
    </row>
    <row r="19250" customHeight="1" spans="2:2">
      <c r="B19250" s="62" t="str">
        <f>IF(AND('领用录入（明细）'!D:D=$F$4,'领用录入（明细）'!C:C&gt;=$J$4,'领用录入（明细）'!C:C&lt;=$L$4),ROW(),"-")</f>
        <v>-</v>
      </c>
    </row>
    <row r="19251" customHeight="1" spans="2:2">
      <c r="B19251" s="62" t="str">
        <f>IF(AND('领用录入（明细）'!D:D=$F$4,'领用录入（明细）'!C:C&gt;=$J$4,'领用录入（明细）'!C:C&lt;=$L$4),ROW(),"-")</f>
        <v>-</v>
      </c>
    </row>
    <row r="19252" customHeight="1" spans="2:2">
      <c r="B19252" s="62" t="str">
        <f>IF(AND('领用录入（明细）'!D:D=$F$4,'领用录入（明细）'!C:C&gt;=$J$4,'领用录入（明细）'!C:C&lt;=$L$4),ROW(),"-")</f>
        <v>-</v>
      </c>
    </row>
    <row r="19253" customHeight="1" spans="2:2">
      <c r="B19253" s="62" t="str">
        <f>IF(AND('领用录入（明细）'!D:D=$F$4,'领用录入（明细）'!C:C&gt;=$J$4,'领用录入（明细）'!C:C&lt;=$L$4),ROW(),"-")</f>
        <v>-</v>
      </c>
    </row>
    <row r="19254" customHeight="1" spans="2:2">
      <c r="B19254" s="62" t="str">
        <f>IF(AND('领用录入（明细）'!D:D=$F$4,'领用录入（明细）'!C:C&gt;=$J$4,'领用录入（明细）'!C:C&lt;=$L$4),ROW(),"-")</f>
        <v>-</v>
      </c>
    </row>
    <row r="19255" customHeight="1" spans="2:2">
      <c r="B19255" s="62" t="str">
        <f>IF(AND('领用录入（明细）'!D:D=$F$4,'领用录入（明细）'!C:C&gt;=$J$4,'领用录入（明细）'!C:C&lt;=$L$4),ROW(),"-")</f>
        <v>-</v>
      </c>
    </row>
    <row r="19256" customHeight="1" spans="2:2">
      <c r="B19256" s="62" t="str">
        <f>IF(AND('领用录入（明细）'!D:D=$F$4,'领用录入（明细）'!C:C&gt;=$J$4,'领用录入（明细）'!C:C&lt;=$L$4),ROW(),"-")</f>
        <v>-</v>
      </c>
    </row>
    <row r="19257" customHeight="1" spans="2:2">
      <c r="B19257" s="62" t="str">
        <f>IF(AND('领用录入（明细）'!D:D=$F$4,'领用录入（明细）'!C:C&gt;=$J$4,'领用录入（明细）'!C:C&lt;=$L$4),ROW(),"-")</f>
        <v>-</v>
      </c>
    </row>
    <row r="19258" customHeight="1" spans="2:2">
      <c r="B19258" s="62" t="str">
        <f>IF(AND('领用录入（明细）'!D:D=$F$4,'领用录入（明细）'!C:C&gt;=$J$4,'领用录入（明细）'!C:C&lt;=$L$4),ROW(),"-")</f>
        <v>-</v>
      </c>
    </row>
    <row r="19259" customHeight="1" spans="2:2">
      <c r="B19259" s="62" t="str">
        <f>IF(AND('领用录入（明细）'!D:D=$F$4,'领用录入（明细）'!C:C&gt;=$J$4,'领用录入（明细）'!C:C&lt;=$L$4),ROW(),"-")</f>
        <v>-</v>
      </c>
    </row>
    <row r="19260" customHeight="1" spans="2:2">
      <c r="B19260" s="62" t="str">
        <f>IF(AND('领用录入（明细）'!D:D=$F$4,'领用录入（明细）'!C:C&gt;=$J$4,'领用录入（明细）'!C:C&lt;=$L$4),ROW(),"-")</f>
        <v>-</v>
      </c>
    </row>
    <row r="19261" customHeight="1" spans="2:2">
      <c r="B19261" s="62" t="str">
        <f>IF(AND('领用录入（明细）'!D:D=$F$4,'领用录入（明细）'!C:C&gt;=$J$4,'领用录入（明细）'!C:C&lt;=$L$4),ROW(),"-")</f>
        <v>-</v>
      </c>
    </row>
    <row r="19262" customHeight="1" spans="2:2">
      <c r="B19262" s="62" t="str">
        <f>IF(AND('领用录入（明细）'!D:D=$F$4,'领用录入（明细）'!C:C&gt;=$J$4,'领用录入（明细）'!C:C&lt;=$L$4),ROW(),"-")</f>
        <v>-</v>
      </c>
    </row>
    <row r="19263" customHeight="1" spans="2:2">
      <c r="B19263" s="62" t="str">
        <f>IF(AND('领用录入（明细）'!D:D=$F$4,'领用录入（明细）'!C:C&gt;=$J$4,'领用录入（明细）'!C:C&lt;=$L$4),ROW(),"-")</f>
        <v>-</v>
      </c>
    </row>
    <row r="19264" customHeight="1" spans="2:2">
      <c r="B19264" s="62" t="str">
        <f>IF(AND('领用录入（明细）'!D:D=$F$4,'领用录入（明细）'!C:C&gt;=$J$4,'领用录入（明细）'!C:C&lt;=$L$4),ROW(),"-")</f>
        <v>-</v>
      </c>
    </row>
    <row r="19265" customHeight="1" spans="2:2">
      <c r="B19265" s="62" t="str">
        <f>IF(AND('领用录入（明细）'!D:D=$F$4,'领用录入（明细）'!C:C&gt;=$J$4,'领用录入（明细）'!C:C&lt;=$L$4),ROW(),"-")</f>
        <v>-</v>
      </c>
    </row>
    <row r="19266" customHeight="1" spans="2:2">
      <c r="B19266" s="62" t="str">
        <f>IF(AND('领用录入（明细）'!D:D=$F$4,'领用录入（明细）'!C:C&gt;=$J$4,'领用录入（明细）'!C:C&lt;=$L$4),ROW(),"-")</f>
        <v>-</v>
      </c>
    </row>
    <row r="19267" customHeight="1" spans="2:2">
      <c r="B19267" s="62" t="str">
        <f>IF(AND('领用录入（明细）'!D:D=$F$4,'领用录入（明细）'!C:C&gt;=$J$4,'领用录入（明细）'!C:C&lt;=$L$4),ROW(),"-")</f>
        <v>-</v>
      </c>
    </row>
    <row r="19268" customHeight="1" spans="2:2">
      <c r="B19268" s="62" t="str">
        <f>IF(AND('领用录入（明细）'!D:D=$F$4,'领用录入（明细）'!C:C&gt;=$J$4,'领用录入（明细）'!C:C&lt;=$L$4),ROW(),"-")</f>
        <v>-</v>
      </c>
    </row>
    <row r="19269" customHeight="1" spans="2:2">
      <c r="B19269" s="62" t="str">
        <f>IF(AND('领用录入（明细）'!D:D=$F$4,'领用录入（明细）'!C:C&gt;=$J$4,'领用录入（明细）'!C:C&lt;=$L$4),ROW(),"-")</f>
        <v>-</v>
      </c>
    </row>
    <row r="19270" customHeight="1" spans="2:2">
      <c r="B19270" s="62" t="str">
        <f>IF(AND('领用录入（明细）'!D:D=$F$4,'领用录入（明细）'!C:C&gt;=$J$4,'领用录入（明细）'!C:C&lt;=$L$4),ROW(),"-")</f>
        <v>-</v>
      </c>
    </row>
    <row r="19271" customHeight="1" spans="2:2">
      <c r="B19271" s="62" t="str">
        <f>IF(AND('领用录入（明细）'!D:D=$F$4,'领用录入（明细）'!C:C&gt;=$J$4,'领用录入（明细）'!C:C&lt;=$L$4),ROW(),"-")</f>
        <v>-</v>
      </c>
    </row>
    <row r="19272" customHeight="1" spans="2:2">
      <c r="B19272" s="62" t="str">
        <f>IF(AND('领用录入（明细）'!D:D=$F$4,'领用录入（明细）'!C:C&gt;=$J$4,'领用录入（明细）'!C:C&lt;=$L$4),ROW(),"-")</f>
        <v>-</v>
      </c>
    </row>
    <row r="19273" customHeight="1" spans="2:2">
      <c r="B19273" s="62" t="str">
        <f>IF(AND('领用录入（明细）'!D:D=$F$4,'领用录入（明细）'!C:C&gt;=$J$4,'领用录入（明细）'!C:C&lt;=$L$4),ROW(),"-")</f>
        <v>-</v>
      </c>
    </row>
    <row r="19274" customHeight="1" spans="2:2">
      <c r="B19274" s="62" t="str">
        <f>IF(AND('领用录入（明细）'!D:D=$F$4,'领用录入（明细）'!C:C&gt;=$J$4,'领用录入（明细）'!C:C&lt;=$L$4),ROW(),"-")</f>
        <v>-</v>
      </c>
    </row>
    <row r="19275" customHeight="1" spans="2:2">
      <c r="B19275" s="62" t="str">
        <f>IF(AND('领用录入（明细）'!D:D=$F$4,'领用录入（明细）'!C:C&gt;=$J$4,'领用录入（明细）'!C:C&lt;=$L$4),ROW(),"-")</f>
        <v>-</v>
      </c>
    </row>
    <row r="19276" customHeight="1" spans="2:2">
      <c r="B19276" s="62" t="str">
        <f>IF(AND('领用录入（明细）'!D:D=$F$4,'领用录入（明细）'!C:C&gt;=$J$4,'领用录入（明细）'!C:C&lt;=$L$4),ROW(),"-")</f>
        <v>-</v>
      </c>
    </row>
    <row r="19277" customHeight="1" spans="2:2">
      <c r="B19277" s="62" t="str">
        <f>IF(AND('领用录入（明细）'!D:D=$F$4,'领用录入（明细）'!C:C&gt;=$J$4,'领用录入（明细）'!C:C&lt;=$L$4),ROW(),"-")</f>
        <v>-</v>
      </c>
    </row>
    <row r="19278" customHeight="1" spans="2:2">
      <c r="B19278" s="62" t="str">
        <f>IF(AND('领用录入（明细）'!D:D=$F$4,'领用录入（明细）'!C:C&gt;=$J$4,'领用录入（明细）'!C:C&lt;=$L$4),ROW(),"-")</f>
        <v>-</v>
      </c>
    </row>
    <row r="19279" customHeight="1" spans="2:2">
      <c r="B19279" s="62" t="str">
        <f>IF(AND('领用录入（明细）'!D:D=$F$4,'领用录入（明细）'!C:C&gt;=$J$4,'领用录入（明细）'!C:C&lt;=$L$4),ROW(),"-")</f>
        <v>-</v>
      </c>
    </row>
    <row r="19280" customHeight="1" spans="2:2">
      <c r="B19280" s="62" t="str">
        <f>IF(AND('领用录入（明细）'!D:D=$F$4,'领用录入（明细）'!C:C&gt;=$J$4,'领用录入（明细）'!C:C&lt;=$L$4),ROW(),"-")</f>
        <v>-</v>
      </c>
    </row>
    <row r="19281" customHeight="1" spans="2:2">
      <c r="B19281" s="62" t="str">
        <f>IF(AND('领用录入（明细）'!D:D=$F$4,'领用录入（明细）'!C:C&gt;=$J$4,'领用录入（明细）'!C:C&lt;=$L$4),ROW(),"-")</f>
        <v>-</v>
      </c>
    </row>
    <row r="19282" customHeight="1" spans="2:2">
      <c r="B19282" s="62" t="str">
        <f>IF(AND('领用录入（明细）'!D:D=$F$4,'领用录入（明细）'!C:C&gt;=$J$4,'领用录入（明细）'!C:C&lt;=$L$4),ROW(),"-")</f>
        <v>-</v>
      </c>
    </row>
    <row r="19283" customHeight="1" spans="2:2">
      <c r="B19283" s="62" t="str">
        <f>IF(AND('领用录入（明细）'!D:D=$F$4,'领用录入（明细）'!C:C&gt;=$J$4,'领用录入（明细）'!C:C&lt;=$L$4),ROW(),"-")</f>
        <v>-</v>
      </c>
    </row>
    <row r="19284" customHeight="1" spans="2:2">
      <c r="B19284" s="62" t="str">
        <f>IF(AND('领用录入（明细）'!D:D=$F$4,'领用录入（明细）'!C:C&gt;=$J$4,'领用录入（明细）'!C:C&lt;=$L$4),ROW(),"-")</f>
        <v>-</v>
      </c>
    </row>
    <row r="19285" customHeight="1" spans="2:2">
      <c r="B19285" s="62" t="str">
        <f>IF(AND('领用录入（明细）'!D:D=$F$4,'领用录入（明细）'!C:C&gt;=$J$4,'领用录入（明细）'!C:C&lt;=$L$4),ROW(),"-")</f>
        <v>-</v>
      </c>
    </row>
    <row r="19286" customHeight="1" spans="2:2">
      <c r="B19286" s="62" t="str">
        <f>IF(AND('领用录入（明细）'!D:D=$F$4,'领用录入（明细）'!C:C&gt;=$J$4,'领用录入（明细）'!C:C&lt;=$L$4),ROW(),"-")</f>
        <v>-</v>
      </c>
    </row>
    <row r="19287" customHeight="1" spans="2:2">
      <c r="B19287" s="62" t="str">
        <f>IF(AND('领用录入（明细）'!D:D=$F$4,'领用录入（明细）'!C:C&gt;=$J$4,'领用录入（明细）'!C:C&lt;=$L$4),ROW(),"-")</f>
        <v>-</v>
      </c>
    </row>
    <row r="19288" customHeight="1" spans="2:2">
      <c r="B19288" s="62" t="str">
        <f>IF(AND('领用录入（明细）'!D:D=$F$4,'领用录入（明细）'!C:C&gt;=$J$4,'领用录入（明细）'!C:C&lt;=$L$4),ROW(),"-")</f>
        <v>-</v>
      </c>
    </row>
    <row r="19289" customHeight="1" spans="2:2">
      <c r="B19289" s="62" t="str">
        <f>IF(AND('领用录入（明细）'!D:D=$F$4,'领用录入（明细）'!C:C&gt;=$J$4,'领用录入（明细）'!C:C&lt;=$L$4),ROW(),"-")</f>
        <v>-</v>
      </c>
    </row>
    <row r="19290" customHeight="1" spans="2:2">
      <c r="B19290" s="62" t="str">
        <f>IF(AND('领用录入（明细）'!D:D=$F$4,'领用录入（明细）'!C:C&gt;=$J$4,'领用录入（明细）'!C:C&lt;=$L$4),ROW(),"-")</f>
        <v>-</v>
      </c>
    </row>
    <row r="19291" customHeight="1" spans="2:2">
      <c r="B19291" s="62" t="str">
        <f>IF(AND('领用录入（明细）'!D:D=$F$4,'领用录入（明细）'!C:C&gt;=$J$4,'领用录入（明细）'!C:C&lt;=$L$4),ROW(),"-")</f>
        <v>-</v>
      </c>
    </row>
    <row r="19292" customHeight="1" spans="2:2">
      <c r="B19292" s="62" t="str">
        <f>IF(AND('领用录入（明细）'!D:D=$F$4,'领用录入（明细）'!C:C&gt;=$J$4,'领用录入（明细）'!C:C&lt;=$L$4),ROW(),"-")</f>
        <v>-</v>
      </c>
    </row>
    <row r="19293" customHeight="1" spans="2:2">
      <c r="B19293" s="62" t="str">
        <f>IF(AND('领用录入（明细）'!D:D=$F$4,'领用录入（明细）'!C:C&gt;=$J$4,'领用录入（明细）'!C:C&lt;=$L$4),ROW(),"-")</f>
        <v>-</v>
      </c>
    </row>
    <row r="19294" customHeight="1" spans="2:2">
      <c r="B19294" s="62" t="str">
        <f>IF(AND('领用录入（明细）'!D:D=$F$4,'领用录入（明细）'!C:C&gt;=$J$4,'领用录入（明细）'!C:C&lt;=$L$4),ROW(),"-")</f>
        <v>-</v>
      </c>
    </row>
    <row r="19295" customHeight="1" spans="2:2">
      <c r="B19295" s="62" t="str">
        <f>IF(AND('领用录入（明细）'!D:D=$F$4,'领用录入（明细）'!C:C&gt;=$J$4,'领用录入（明细）'!C:C&lt;=$L$4),ROW(),"-")</f>
        <v>-</v>
      </c>
    </row>
    <row r="19296" customHeight="1" spans="2:2">
      <c r="B19296" s="62" t="str">
        <f>IF(AND('领用录入（明细）'!D:D=$F$4,'领用录入（明细）'!C:C&gt;=$J$4,'领用录入（明细）'!C:C&lt;=$L$4),ROW(),"-")</f>
        <v>-</v>
      </c>
    </row>
    <row r="19297" customHeight="1" spans="2:2">
      <c r="B19297" s="62" t="str">
        <f>IF(AND('领用录入（明细）'!D:D=$F$4,'领用录入（明细）'!C:C&gt;=$J$4,'领用录入（明细）'!C:C&lt;=$L$4),ROW(),"-")</f>
        <v>-</v>
      </c>
    </row>
    <row r="19298" customHeight="1" spans="2:2">
      <c r="B19298" s="62" t="str">
        <f>IF(AND('领用录入（明细）'!D:D=$F$4,'领用录入（明细）'!C:C&gt;=$J$4,'领用录入（明细）'!C:C&lt;=$L$4),ROW(),"-")</f>
        <v>-</v>
      </c>
    </row>
    <row r="19299" customHeight="1" spans="2:2">
      <c r="B19299" s="62" t="str">
        <f>IF(AND('领用录入（明细）'!D:D=$F$4,'领用录入（明细）'!C:C&gt;=$J$4,'领用录入（明细）'!C:C&lt;=$L$4),ROW(),"-")</f>
        <v>-</v>
      </c>
    </row>
    <row r="19300" customHeight="1" spans="2:2">
      <c r="B19300" s="62" t="str">
        <f>IF(AND('领用录入（明细）'!D:D=$F$4,'领用录入（明细）'!C:C&gt;=$J$4,'领用录入（明细）'!C:C&lt;=$L$4),ROW(),"-")</f>
        <v>-</v>
      </c>
    </row>
    <row r="19301" customHeight="1" spans="2:2">
      <c r="B19301" s="62" t="str">
        <f>IF(AND('领用录入（明细）'!D:D=$F$4,'领用录入（明细）'!C:C&gt;=$J$4,'领用录入（明细）'!C:C&lt;=$L$4),ROW(),"-")</f>
        <v>-</v>
      </c>
    </row>
    <row r="19302" customHeight="1" spans="2:2">
      <c r="B19302" s="62" t="str">
        <f>IF(AND('领用录入（明细）'!D:D=$F$4,'领用录入（明细）'!C:C&gt;=$J$4,'领用录入（明细）'!C:C&lt;=$L$4),ROW(),"-")</f>
        <v>-</v>
      </c>
    </row>
    <row r="19303" customHeight="1" spans="2:2">
      <c r="B19303" s="62" t="str">
        <f>IF(AND('领用录入（明细）'!D:D=$F$4,'领用录入（明细）'!C:C&gt;=$J$4,'领用录入（明细）'!C:C&lt;=$L$4),ROW(),"-")</f>
        <v>-</v>
      </c>
    </row>
    <row r="19304" customHeight="1" spans="2:2">
      <c r="B19304" s="62" t="str">
        <f>IF(AND('领用录入（明细）'!D:D=$F$4,'领用录入（明细）'!C:C&gt;=$J$4,'领用录入（明细）'!C:C&lt;=$L$4),ROW(),"-")</f>
        <v>-</v>
      </c>
    </row>
    <row r="19305" customHeight="1" spans="2:2">
      <c r="B19305" s="62" t="str">
        <f>IF(AND('领用录入（明细）'!D:D=$F$4,'领用录入（明细）'!C:C&gt;=$J$4,'领用录入（明细）'!C:C&lt;=$L$4),ROW(),"-")</f>
        <v>-</v>
      </c>
    </row>
    <row r="19306" customHeight="1" spans="2:2">
      <c r="B19306" s="62" t="str">
        <f>IF(AND('领用录入（明细）'!D:D=$F$4,'领用录入（明细）'!C:C&gt;=$J$4,'领用录入（明细）'!C:C&lt;=$L$4),ROW(),"-")</f>
        <v>-</v>
      </c>
    </row>
    <row r="19307" customHeight="1" spans="2:2">
      <c r="B19307" s="62" t="str">
        <f>IF(AND('领用录入（明细）'!D:D=$F$4,'领用录入（明细）'!C:C&gt;=$J$4,'领用录入（明细）'!C:C&lt;=$L$4),ROW(),"-")</f>
        <v>-</v>
      </c>
    </row>
    <row r="19308" customHeight="1" spans="2:2">
      <c r="B19308" s="62" t="str">
        <f>IF(AND('领用录入（明细）'!D:D=$F$4,'领用录入（明细）'!C:C&gt;=$J$4,'领用录入（明细）'!C:C&lt;=$L$4),ROW(),"-")</f>
        <v>-</v>
      </c>
    </row>
    <row r="19309" customHeight="1" spans="2:2">
      <c r="B19309" s="62" t="str">
        <f>IF(AND('领用录入（明细）'!D:D=$F$4,'领用录入（明细）'!C:C&gt;=$J$4,'领用录入（明细）'!C:C&lt;=$L$4),ROW(),"-")</f>
        <v>-</v>
      </c>
    </row>
    <row r="19310" customHeight="1" spans="2:2">
      <c r="B19310" s="62" t="str">
        <f>IF(AND('领用录入（明细）'!D:D=$F$4,'领用录入（明细）'!C:C&gt;=$J$4,'领用录入（明细）'!C:C&lt;=$L$4),ROW(),"-")</f>
        <v>-</v>
      </c>
    </row>
    <row r="19311" customHeight="1" spans="2:2">
      <c r="B19311" s="62" t="str">
        <f>IF(AND('领用录入（明细）'!D:D=$F$4,'领用录入（明细）'!C:C&gt;=$J$4,'领用录入（明细）'!C:C&lt;=$L$4),ROW(),"-")</f>
        <v>-</v>
      </c>
    </row>
    <row r="19312" customHeight="1" spans="2:2">
      <c r="B19312" s="62" t="str">
        <f>IF(AND('领用录入（明细）'!D:D=$F$4,'领用录入（明细）'!C:C&gt;=$J$4,'领用录入（明细）'!C:C&lt;=$L$4),ROW(),"-")</f>
        <v>-</v>
      </c>
    </row>
    <row r="19313" customHeight="1" spans="2:2">
      <c r="B19313" s="62" t="str">
        <f>IF(AND('领用录入（明细）'!D:D=$F$4,'领用录入（明细）'!C:C&gt;=$J$4,'领用录入（明细）'!C:C&lt;=$L$4),ROW(),"-")</f>
        <v>-</v>
      </c>
    </row>
    <row r="19314" customHeight="1" spans="2:2">
      <c r="B19314" s="62" t="str">
        <f>IF(AND('领用录入（明细）'!D:D=$F$4,'领用录入（明细）'!C:C&gt;=$J$4,'领用录入（明细）'!C:C&lt;=$L$4),ROW(),"-")</f>
        <v>-</v>
      </c>
    </row>
    <row r="19315" customHeight="1" spans="2:2">
      <c r="B19315" s="62" t="str">
        <f>IF(AND('领用录入（明细）'!D:D=$F$4,'领用录入（明细）'!C:C&gt;=$J$4,'领用录入（明细）'!C:C&lt;=$L$4),ROW(),"-")</f>
        <v>-</v>
      </c>
    </row>
    <row r="19316" customHeight="1" spans="2:2">
      <c r="B19316" s="62" t="str">
        <f>IF(AND('领用录入（明细）'!D:D=$F$4,'领用录入（明细）'!C:C&gt;=$J$4,'领用录入（明细）'!C:C&lt;=$L$4),ROW(),"-")</f>
        <v>-</v>
      </c>
    </row>
    <row r="19317" customHeight="1" spans="2:2">
      <c r="B19317" s="62" t="str">
        <f>IF(AND('领用录入（明细）'!D:D=$F$4,'领用录入（明细）'!C:C&gt;=$J$4,'领用录入（明细）'!C:C&lt;=$L$4),ROW(),"-")</f>
        <v>-</v>
      </c>
    </row>
    <row r="19318" customHeight="1" spans="2:2">
      <c r="B19318" s="62" t="str">
        <f>IF(AND('领用录入（明细）'!D:D=$F$4,'领用录入（明细）'!C:C&gt;=$J$4,'领用录入（明细）'!C:C&lt;=$L$4),ROW(),"-")</f>
        <v>-</v>
      </c>
    </row>
    <row r="19319" customHeight="1" spans="2:2">
      <c r="B19319" s="62" t="str">
        <f>IF(AND('领用录入（明细）'!D:D=$F$4,'领用录入（明细）'!C:C&gt;=$J$4,'领用录入（明细）'!C:C&lt;=$L$4),ROW(),"-")</f>
        <v>-</v>
      </c>
    </row>
    <row r="19320" customHeight="1" spans="2:2">
      <c r="B19320" s="62" t="str">
        <f>IF(AND('领用录入（明细）'!D:D=$F$4,'领用录入（明细）'!C:C&gt;=$J$4,'领用录入（明细）'!C:C&lt;=$L$4),ROW(),"-")</f>
        <v>-</v>
      </c>
    </row>
    <row r="19321" customHeight="1" spans="2:2">
      <c r="B19321" s="62" t="str">
        <f>IF(AND('领用录入（明细）'!D:D=$F$4,'领用录入（明细）'!C:C&gt;=$J$4,'领用录入（明细）'!C:C&lt;=$L$4),ROW(),"-")</f>
        <v>-</v>
      </c>
    </row>
    <row r="19322" customHeight="1" spans="2:2">
      <c r="B19322" s="62" t="str">
        <f>IF(AND('领用录入（明细）'!D:D=$F$4,'领用录入（明细）'!C:C&gt;=$J$4,'领用录入（明细）'!C:C&lt;=$L$4),ROW(),"-")</f>
        <v>-</v>
      </c>
    </row>
    <row r="19323" customHeight="1" spans="2:2">
      <c r="B19323" s="62" t="str">
        <f>IF(AND('领用录入（明细）'!D:D=$F$4,'领用录入（明细）'!C:C&gt;=$J$4,'领用录入（明细）'!C:C&lt;=$L$4),ROW(),"-")</f>
        <v>-</v>
      </c>
    </row>
    <row r="19324" customHeight="1" spans="2:2">
      <c r="B19324" s="62" t="str">
        <f>IF(AND('领用录入（明细）'!D:D=$F$4,'领用录入（明细）'!C:C&gt;=$J$4,'领用录入（明细）'!C:C&lt;=$L$4),ROW(),"-")</f>
        <v>-</v>
      </c>
    </row>
    <row r="19325" customHeight="1" spans="2:2">
      <c r="B19325" s="62" t="str">
        <f>IF(AND('领用录入（明细）'!D:D=$F$4,'领用录入（明细）'!C:C&gt;=$J$4,'领用录入（明细）'!C:C&lt;=$L$4),ROW(),"-")</f>
        <v>-</v>
      </c>
    </row>
    <row r="19326" customHeight="1" spans="2:2">
      <c r="B19326" s="62" t="str">
        <f>IF(AND('领用录入（明细）'!D:D=$F$4,'领用录入（明细）'!C:C&gt;=$J$4,'领用录入（明细）'!C:C&lt;=$L$4),ROW(),"-")</f>
        <v>-</v>
      </c>
    </row>
    <row r="19327" customHeight="1" spans="2:2">
      <c r="B19327" s="62" t="str">
        <f>IF(AND('领用录入（明细）'!D:D=$F$4,'领用录入（明细）'!C:C&gt;=$J$4,'领用录入（明细）'!C:C&lt;=$L$4),ROW(),"-")</f>
        <v>-</v>
      </c>
    </row>
    <row r="19328" customHeight="1" spans="2:2">
      <c r="B19328" s="62" t="str">
        <f>IF(AND('领用录入（明细）'!D:D=$F$4,'领用录入（明细）'!C:C&gt;=$J$4,'领用录入（明细）'!C:C&lt;=$L$4),ROW(),"-")</f>
        <v>-</v>
      </c>
    </row>
    <row r="19329" customHeight="1" spans="2:2">
      <c r="B19329" s="62" t="str">
        <f>IF(AND('领用录入（明细）'!D:D=$F$4,'领用录入（明细）'!C:C&gt;=$J$4,'领用录入（明细）'!C:C&lt;=$L$4),ROW(),"-")</f>
        <v>-</v>
      </c>
    </row>
    <row r="19330" customHeight="1" spans="2:2">
      <c r="B19330" s="62" t="str">
        <f>IF(AND('领用录入（明细）'!D:D=$F$4,'领用录入（明细）'!C:C&gt;=$J$4,'领用录入（明细）'!C:C&lt;=$L$4),ROW(),"-")</f>
        <v>-</v>
      </c>
    </row>
    <row r="19331" customHeight="1" spans="2:2">
      <c r="B19331" s="62" t="str">
        <f>IF(AND('领用录入（明细）'!D:D=$F$4,'领用录入（明细）'!C:C&gt;=$J$4,'领用录入（明细）'!C:C&lt;=$L$4),ROW(),"-")</f>
        <v>-</v>
      </c>
    </row>
    <row r="19332" customHeight="1" spans="2:2">
      <c r="B19332" s="62" t="str">
        <f>IF(AND('领用录入（明细）'!D:D=$F$4,'领用录入（明细）'!C:C&gt;=$J$4,'领用录入（明细）'!C:C&lt;=$L$4),ROW(),"-")</f>
        <v>-</v>
      </c>
    </row>
    <row r="19333" customHeight="1" spans="2:2">
      <c r="B19333" s="62" t="str">
        <f>IF(AND('领用录入（明细）'!D:D=$F$4,'领用录入（明细）'!C:C&gt;=$J$4,'领用录入（明细）'!C:C&lt;=$L$4),ROW(),"-")</f>
        <v>-</v>
      </c>
    </row>
    <row r="19334" customHeight="1" spans="2:2">
      <c r="B19334" s="62" t="str">
        <f>IF(AND('领用录入（明细）'!D:D=$F$4,'领用录入（明细）'!C:C&gt;=$J$4,'领用录入（明细）'!C:C&lt;=$L$4),ROW(),"-")</f>
        <v>-</v>
      </c>
    </row>
    <row r="19335" customHeight="1" spans="2:2">
      <c r="B19335" s="62" t="str">
        <f>IF(AND('领用录入（明细）'!D:D=$F$4,'领用录入（明细）'!C:C&gt;=$J$4,'领用录入（明细）'!C:C&lt;=$L$4),ROW(),"-")</f>
        <v>-</v>
      </c>
    </row>
    <row r="19336" customHeight="1" spans="2:2">
      <c r="B19336" s="62" t="str">
        <f>IF(AND('领用录入（明细）'!D:D=$F$4,'领用录入（明细）'!C:C&gt;=$J$4,'领用录入（明细）'!C:C&lt;=$L$4),ROW(),"-")</f>
        <v>-</v>
      </c>
    </row>
    <row r="19337" customHeight="1" spans="2:2">
      <c r="B19337" s="62" t="str">
        <f>IF(AND('领用录入（明细）'!D:D=$F$4,'领用录入（明细）'!C:C&gt;=$J$4,'领用录入（明细）'!C:C&lt;=$L$4),ROW(),"-")</f>
        <v>-</v>
      </c>
    </row>
    <row r="19338" customHeight="1" spans="2:2">
      <c r="B19338" s="62" t="str">
        <f>IF(AND('领用录入（明细）'!D:D=$F$4,'领用录入（明细）'!C:C&gt;=$J$4,'领用录入（明细）'!C:C&lt;=$L$4),ROW(),"-")</f>
        <v>-</v>
      </c>
    </row>
    <row r="19339" customHeight="1" spans="2:2">
      <c r="B19339" s="62" t="str">
        <f>IF(AND('领用录入（明细）'!D:D=$F$4,'领用录入（明细）'!C:C&gt;=$J$4,'领用录入（明细）'!C:C&lt;=$L$4),ROW(),"-")</f>
        <v>-</v>
      </c>
    </row>
    <row r="19340" customHeight="1" spans="2:2">
      <c r="B19340" s="62" t="str">
        <f>IF(AND('领用录入（明细）'!D:D=$F$4,'领用录入（明细）'!C:C&gt;=$J$4,'领用录入（明细）'!C:C&lt;=$L$4),ROW(),"-")</f>
        <v>-</v>
      </c>
    </row>
    <row r="19341" customHeight="1" spans="2:2">
      <c r="B19341" s="62" t="str">
        <f>IF(AND('领用录入（明细）'!D:D=$F$4,'领用录入（明细）'!C:C&gt;=$J$4,'领用录入（明细）'!C:C&lt;=$L$4),ROW(),"-")</f>
        <v>-</v>
      </c>
    </row>
    <row r="19342" customHeight="1" spans="2:2">
      <c r="B19342" s="62" t="str">
        <f>IF(AND('领用录入（明细）'!D:D=$F$4,'领用录入（明细）'!C:C&gt;=$J$4,'领用录入（明细）'!C:C&lt;=$L$4),ROW(),"-")</f>
        <v>-</v>
      </c>
    </row>
    <row r="19343" customHeight="1" spans="2:2">
      <c r="B19343" s="62" t="str">
        <f>IF(AND('领用录入（明细）'!D:D=$F$4,'领用录入（明细）'!C:C&gt;=$J$4,'领用录入（明细）'!C:C&lt;=$L$4),ROW(),"-")</f>
        <v>-</v>
      </c>
    </row>
    <row r="19344" customHeight="1" spans="2:2">
      <c r="B19344" s="62" t="str">
        <f>IF(AND('领用录入（明细）'!D:D=$F$4,'领用录入（明细）'!C:C&gt;=$J$4,'领用录入（明细）'!C:C&lt;=$L$4),ROW(),"-")</f>
        <v>-</v>
      </c>
    </row>
    <row r="19345" customHeight="1" spans="2:2">
      <c r="B19345" s="62" t="str">
        <f>IF(AND('领用录入（明细）'!D:D=$F$4,'领用录入（明细）'!C:C&gt;=$J$4,'领用录入（明细）'!C:C&lt;=$L$4),ROW(),"-")</f>
        <v>-</v>
      </c>
    </row>
    <row r="19346" customHeight="1" spans="2:2">
      <c r="B19346" s="62" t="str">
        <f>IF(AND('领用录入（明细）'!D:D=$F$4,'领用录入（明细）'!C:C&gt;=$J$4,'领用录入（明细）'!C:C&lt;=$L$4),ROW(),"-")</f>
        <v>-</v>
      </c>
    </row>
    <row r="19347" customHeight="1" spans="2:2">
      <c r="B19347" s="62" t="str">
        <f>IF(AND('领用录入（明细）'!D:D=$F$4,'领用录入（明细）'!C:C&gt;=$J$4,'领用录入（明细）'!C:C&lt;=$L$4),ROW(),"-")</f>
        <v>-</v>
      </c>
    </row>
    <row r="19348" customHeight="1" spans="2:2">
      <c r="B19348" s="62" t="str">
        <f>IF(AND('领用录入（明细）'!D:D=$F$4,'领用录入（明细）'!C:C&gt;=$J$4,'领用录入（明细）'!C:C&lt;=$L$4),ROW(),"-")</f>
        <v>-</v>
      </c>
    </row>
    <row r="19349" customHeight="1" spans="2:2">
      <c r="B19349" s="62" t="str">
        <f>IF(AND('领用录入（明细）'!D:D=$F$4,'领用录入（明细）'!C:C&gt;=$J$4,'领用录入（明细）'!C:C&lt;=$L$4),ROW(),"-")</f>
        <v>-</v>
      </c>
    </row>
    <row r="19350" customHeight="1" spans="2:2">
      <c r="B19350" s="62" t="str">
        <f>IF(AND('领用录入（明细）'!D:D=$F$4,'领用录入（明细）'!C:C&gt;=$J$4,'领用录入（明细）'!C:C&lt;=$L$4),ROW(),"-")</f>
        <v>-</v>
      </c>
    </row>
    <row r="19351" customHeight="1" spans="2:2">
      <c r="B19351" s="62" t="str">
        <f>IF(AND('领用录入（明细）'!D:D=$F$4,'领用录入（明细）'!C:C&gt;=$J$4,'领用录入（明细）'!C:C&lt;=$L$4),ROW(),"-")</f>
        <v>-</v>
      </c>
    </row>
    <row r="19352" customHeight="1" spans="2:2">
      <c r="B19352" s="62" t="str">
        <f>IF(AND('领用录入（明细）'!D:D=$F$4,'领用录入（明细）'!C:C&gt;=$J$4,'领用录入（明细）'!C:C&lt;=$L$4),ROW(),"-")</f>
        <v>-</v>
      </c>
    </row>
    <row r="19353" customHeight="1" spans="2:2">
      <c r="B19353" s="62" t="str">
        <f>IF(AND('领用录入（明细）'!D:D=$F$4,'领用录入（明细）'!C:C&gt;=$J$4,'领用录入（明细）'!C:C&lt;=$L$4),ROW(),"-")</f>
        <v>-</v>
      </c>
    </row>
    <row r="19354" customHeight="1" spans="2:2">
      <c r="B19354" s="62" t="str">
        <f>IF(AND('领用录入（明细）'!D:D=$F$4,'领用录入（明细）'!C:C&gt;=$J$4,'领用录入（明细）'!C:C&lt;=$L$4),ROW(),"-")</f>
        <v>-</v>
      </c>
    </row>
    <row r="19355" customHeight="1" spans="2:2">
      <c r="B19355" s="62" t="str">
        <f>IF(AND('领用录入（明细）'!D:D=$F$4,'领用录入（明细）'!C:C&gt;=$J$4,'领用录入（明细）'!C:C&lt;=$L$4),ROW(),"-")</f>
        <v>-</v>
      </c>
    </row>
    <row r="19356" customHeight="1" spans="2:2">
      <c r="B19356" s="62" t="str">
        <f>IF(AND('领用录入（明细）'!D:D=$F$4,'领用录入（明细）'!C:C&gt;=$J$4,'领用录入（明细）'!C:C&lt;=$L$4),ROW(),"-")</f>
        <v>-</v>
      </c>
    </row>
    <row r="19357" customHeight="1" spans="2:2">
      <c r="B19357" s="62" t="str">
        <f>IF(AND('领用录入（明细）'!D:D=$F$4,'领用录入（明细）'!C:C&gt;=$J$4,'领用录入（明细）'!C:C&lt;=$L$4),ROW(),"-")</f>
        <v>-</v>
      </c>
    </row>
    <row r="19358" customHeight="1" spans="2:2">
      <c r="B19358" s="62" t="str">
        <f>IF(AND('领用录入（明细）'!D:D=$F$4,'领用录入（明细）'!C:C&gt;=$J$4,'领用录入（明细）'!C:C&lt;=$L$4),ROW(),"-")</f>
        <v>-</v>
      </c>
    </row>
    <row r="19359" customHeight="1" spans="2:2">
      <c r="B19359" s="62" t="str">
        <f>IF(AND('领用录入（明细）'!D:D=$F$4,'领用录入（明细）'!C:C&gt;=$J$4,'领用录入（明细）'!C:C&lt;=$L$4),ROW(),"-")</f>
        <v>-</v>
      </c>
    </row>
    <row r="19360" customHeight="1" spans="2:2">
      <c r="B19360" s="62" t="str">
        <f>IF(AND('领用录入（明细）'!D:D=$F$4,'领用录入（明细）'!C:C&gt;=$J$4,'领用录入（明细）'!C:C&lt;=$L$4),ROW(),"-")</f>
        <v>-</v>
      </c>
    </row>
    <row r="19361" customHeight="1" spans="2:2">
      <c r="B19361" s="62" t="str">
        <f>IF(AND('领用录入（明细）'!D:D=$F$4,'领用录入（明细）'!C:C&gt;=$J$4,'领用录入（明细）'!C:C&lt;=$L$4),ROW(),"-")</f>
        <v>-</v>
      </c>
    </row>
    <row r="19362" customHeight="1" spans="2:2">
      <c r="B19362" s="62" t="str">
        <f>IF(AND('领用录入（明细）'!D:D=$F$4,'领用录入（明细）'!C:C&gt;=$J$4,'领用录入（明细）'!C:C&lt;=$L$4),ROW(),"-")</f>
        <v>-</v>
      </c>
    </row>
    <row r="19363" customHeight="1" spans="2:2">
      <c r="B19363" s="62" t="str">
        <f>IF(AND('领用录入（明细）'!D:D=$F$4,'领用录入（明细）'!C:C&gt;=$J$4,'领用录入（明细）'!C:C&lt;=$L$4),ROW(),"-")</f>
        <v>-</v>
      </c>
    </row>
    <row r="19364" customHeight="1" spans="2:2">
      <c r="B19364" s="62" t="str">
        <f>IF(AND('领用录入（明细）'!D:D=$F$4,'领用录入（明细）'!C:C&gt;=$J$4,'领用录入（明细）'!C:C&lt;=$L$4),ROW(),"-")</f>
        <v>-</v>
      </c>
    </row>
    <row r="19365" customHeight="1" spans="2:2">
      <c r="B19365" s="62" t="str">
        <f>IF(AND('领用录入（明细）'!D:D=$F$4,'领用录入（明细）'!C:C&gt;=$J$4,'领用录入（明细）'!C:C&lt;=$L$4),ROW(),"-")</f>
        <v>-</v>
      </c>
    </row>
    <row r="19366" customHeight="1" spans="2:2">
      <c r="B19366" s="62" t="str">
        <f>IF(AND('领用录入（明细）'!D:D=$F$4,'领用录入（明细）'!C:C&gt;=$J$4,'领用录入（明细）'!C:C&lt;=$L$4),ROW(),"-")</f>
        <v>-</v>
      </c>
    </row>
    <row r="19367" customHeight="1" spans="2:2">
      <c r="B19367" s="62" t="str">
        <f>IF(AND('领用录入（明细）'!D:D=$F$4,'领用录入（明细）'!C:C&gt;=$J$4,'领用录入（明细）'!C:C&lt;=$L$4),ROW(),"-")</f>
        <v>-</v>
      </c>
    </row>
    <row r="19368" customHeight="1" spans="2:2">
      <c r="B19368" s="62" t="str">
        <f>IF(AND('领用录入（明细）'!D:D=$F$4,'领用录入（明细）'!C:C&gt;=$J$4,'领用录入（明细）'!C:C&lt;=$L$4),ROW(),"-")</f>
        <v>-</v>
      </c>
    </row>
    <row r="19369" customHeight="1" spans="2:2">
      <c r="B19369" s="62" t="str">
        <f>IF(AND('领用录入（明细）'!D:D=$F$4,'领用录入（明细）'!C:C&gt;=$J$4,'领用录入（明细）'!C:C&lt;=$L$4),ROW(),"-")</f>
        <v>-</v>
      </c>
    </row>
    <row r="19370" customHeight="1" spans="2:2">
      <c r="B19370" s="62" t="str">
        <f>IF(AND('领用录入（明细）'!D:D=$F$4,'领用录入（明细）'!C:C&gt;=$J$4,'领用录入（明细）'!C:C&lt;=$L$4),ROW(),"-")</f>
        <v>-</v>
      </c>
    </row>
    <row r="19371" customHeight="1" spans="2:2">
      <c r="B19371" s="62" t="str">
        <f>IF(AND('领用录入（明细）'!D:D=$F$4,'领用录入（明细）'!C:C&gt;=$J$4,'领用录入（明细）'!C:C&lt;=$L$4),ROW(),"-")</f>
        <v>-</v>
      </c>
    </row>
    <row r="19372" customHeight="1" spans="2:2">
      <c r="B19372" s="62" t="str">
        <f>IF(AND('领用录入（明细）'!D:D=$F$4,'领用录入（明细）'!C:C&gt;=$J$4,'领用录入（明细）'!C:C&lt;=$L$4),ROW(),"-")</f>
        <v>-</v>
      </c>
    </row>
    <row r="19373" customHeight="1" spans="2:2">
      <c r="B19373" s="62" t="str">
        <f>IF(AND('领用录入（明细）'!D:D=$F$4,'领用录入（明细）'!C:C&gt;=$J$4,'领用录入（明细）'!C:C&lt;=$L$4),ROW(),"-")</f>
        <v>-</v>
      </c>
    </row>
    <row r="19374" customHeight="1" spans="2:2">
      <c r="B19374" s="62" t="str">
        <f>IF(AND('领用录入（明细）'!D:D=$F$4,'领用录入（明细）'!C:C&gt;=$J$4,'领用录入（明细）'!C:C&lt;=$L$4),ROW(),"-")</f>
        <v>-</v>
      </c>
    </row>
    <row r="19375" customHeight="1" spans="2:2">
      <c r="B19375" s="62" t="str">
        <f>IF(AND('领用录入（明细）'!D:D=$F$4,'领用录入（明细）'!C:C&gt;=$J$4,'领用录入（明细）'!C:C&lt;=$L$4),ROW(),"-")</f>
        <v>-</v>
      </c>
    </row>
    <row r="19376" customHeight="1" spans="2:2">
      <c r="B19376" s="62" t="str">
        <f>IF(AND('领用录入（明细）'!D:D=$F$4,'领用录入（明细）'!C:C&gt;=$J$4,'领用录入（明细）'!C:C&lt;=$L$4),ROW(),"-")</f>
        <v>-</v>
      </c>
    </row>
    <row r="19377" customHeight="1" spans="2:2">
      <c r="B19377" s="62" t="str">
        <f>IF(AND('领用录入（明细）'!D:D=$F$4,'领用录入（明细）'!C:C&gt;=$J$4,'领用录入（明细）'!C:C&lt;=$L$4),ROW(),"-")</f>
        <v>-</v>
      </c>
    </row>
    <row r="19378" customHeight="1" spans="2:2">
      <c r="B19378" s="62" t="str">
        <f>IF(AND('领用录入（明细）'!D:D=$F$4,'领用录入（明细）'!C:C&gt;=$J$4,'领用录入（明细）'!C:C&lt;=$L$4),ROW(),"-")</f>
        <v>-</v>
      </c>
    </row>
    <row r="19379" customHeight="1" spans="2:2">
      <c r="B19379" s="62" t="str">
        <f>IF(AND('领用录入（明细）'!D:D=$F$4,'领用录入（明细）'!C:C&gt;=$J$4,'领用录入（明细）'!C:C&lt;=$L$4),ROW(),"-")</f>
        <v>-</v>
      </c>
    </row>
    <row r="19380" customHeight="1" spans="2:2">
      <c r="B19380" s="62" t="str">
        <f>IF(AND('领用录入（明细）'!D:D=$F$4,'领用录入（明细）'!C:C&gt;=$J$4,'领用录入（明细）'!C:C&lt;=$L$4),ROW(),"-")</f>
        <v>-</v>
      </c>
    </row>
    <row r="19381" customHeight="1" spans="2:2">
      <c r="B19381" s="62" t="str">
        <f>IF(AND('领用录入（明细）'!D:D=$F$4,'领用录入（明细）'!C:C&gt;=$J$4,'领用录入（明细）'!C:C&lt;=$L$4),ROW(),"-")</f>
        <v>-</v>
      </c>
    </row>
    <row r="19382" customHeight="1" spans="2:2">
      <c r="B19382" s="62" t="str">
        <f>IF(AND('领用录入（明细）'!D:D=$F$4,'领用录入（明细）'!C:C&gt;=$J$4,'领用录入（明细）'!C:C&lt;=$L$4),ROW(),"-")</f>
        <v>-</v>
      </c>
    </row>
    <row r="19383" customHeight="1" spans="2:2">
      <c r="B19383" s="62" t="str">
        <f>IF(AND('领用录入（明细）'!D:D=$F$4,'领用录入（明细）'!C:C&gt;=$J$4,'领用录入（明细）'!C:C&lt;=$L$4),ROW(),"-")</f>
        <v>-</v>
      </c>
    </row>
    <row r="19384" customHeight="1" spans="2:2">
      <c r="B19384" s="62" t="str">
        <f>IF(AND('领用录入（明细）'!D:D=$F$4,'领用录入（明细）'!C:C&gt;=$J$4,'领用录入（明细）'!C:C&lt;=$L$4),ROW(),"-")</f>
        <v>-</v>
      </c>
    </row>
    <row r="19385" customHeight="1" spans="2:2">
      <c r="B19385" s="62" t="str">
        <f>IF(AND('领用录入（明细）'!D:D=$F$4,'领用录入（明细）'!C:C&gt;=$J$4,'领用录入（明细）'!C:C&lt;=$L$4),ROW(),"-")</f>
        <v>-</v>
      </c>
    </row>
    <row r="19386" customHeight="1" spans="2:2">
      <c r="B19386" s="62" t="str">
        <f>IF(AND('领用录入（明细）'!D:D=$F$4,'领用录入（明细）'!C:C&gt;=$J$4,'领用录入（明细）'!C:C&lt;=$L$4),ROW(),"-")</f>
        <v>-</v>
      </c>
    </row>
    <row r="19387" customHeight="1" spans="2:2">
      <c r="B19387" s="62" t="str">
        <f>IF(AND('领用录入（明细）'!D:D=$F$4,'领用录入（明细）'!C:C&gt;=$J$4,'领用录入（明细）'!C:C&lt;=$L$4),ROW(),"-")</f>
        <v>-</v>
      </c>
    </row>
    <row r="19388" customHeight="1" spans="2:2">
      <c r="B19388" s="62" t="str">
        <f>IF(AND('领用录入（明细）'!D:D=$F$4,'领用录入（明细）'!C:C&gt;=$J$4,'领用录入（明细）'!C:C&lt;=$L$4),ROW(),"-")</f>
        <v>-</v>
      </c>
    </row>
    <row r="19389" customHeight="1" spans="2:2">
      <c r="B19389" s="62" t="str">
        <f>IF(AND('领用录入（明细）'!D:D=$F$4,'领用录入（明细）'!C:C&gt;=$J$4,'领用录入（明细）'!C:C&lt;=$L$4),ROW(),"-")</f>
        <v>-</v>
      </c>
    </row>
    <row r="19390" customHeight="1" spans="2:2">
      <c r="B19390" s="62" t="str">
        <f>IF(AND('领用录入（明细）'!D:D=$F$4,'领用录入（明细）'!C:C&gt;=$J$4,'领用录入（明细）'!C:C&lt;=$L$4),ROW(),"-")</f>
        <v>-</v>
      </c>
    </row>
    <row r="19391" customHeight="1" spans="2:2">
      <c r="B19391" s="62" t="str">
        <f>IF(AND('领用录入（明细）'!D:D=$F$4,'领用录入（明细）'!C:C&gt;=$J$4,'领用录入（明细）'!C:C&lt;=$L$4),ROW(),"-")</f>
        <v>-</v>
      </c>
    </row>
    <row r="19392" customHeight="1" spans="2:2">
      <c r="B19392" s="62" t="str">
        <f>IF(AND('领用录入（明细）'!D:D=$F$4,'领用录入（明细）'!C:C&gt;=$J$4,'领用录入（明细）'!C:C&lt;=$L$4),ROW(),"-")</f>
        <v>-</v>
      </c>
    </row>
    <row r="19393" customHeight="1" spans="2:2">
      <c r="B19393" s="62" t="str">
        <f>IF(AND('领用录入（明细）'!D:D=$F$4,'领用录入（明细）'!C:C&gt;=$J$4,'领用录入（明细）'!C:C&lt;=$L$4),ROW(),"-")</f>
        <v>-</v>
      </c>
    </row>
    <row r="19394" customHeight="1" spans="2:2">
      <c r="B19394" s="62" t="str">
        <f>IF(AND('领用录入（明细）'!D:D=$F$4,'领用录入（明细）'!C:C&gt;=$J$4,'领用录入（明细）'!C:C&lt;=$L$4),ROW(),"-")</f>
        <v>-</v>
      </c>
    </row>
    <row r="19395" customHeight="1" spans="2:2">
      <c r="B19395" s="62" t="str">
        <f>IF(AND('领用录入（明细）'!D:D=$F$4,'领用录入（明细）'!C:C&gt;=$J$4,'领用录入（明细）'!C:C&lt;=$L$4),ROW(),"-")</f>
        <v>-</v>
      </c>
    </row>
    <row r="19396" customHeight="1" spans="2:2">
      <c r="B19396" s="62" t="str">
        <f>IF(AND('领用录入（明细）'!D:D=$F$4,'领用录入（明细）'!C:C&gt;=$J$4,'领用录入（明细）'!C:C&lt;=$L$4),ROW(),"-")</f>
        <v>-</v>
      </c>
    </row>
    <row r="19397" customHeight="1" spans="2:2">
      <c r="B19397" s="62" t="str">
        <f>IF(AND('领用录入（明细）'!D:D=$F$4,'领用录入（明细）'!C:C&gt;=$J$4,'领用录入（明细）'!C:C&lt;=$L$4),ROW(),"-")</f>
        <v>-</v>
      </c>
    </row>
    <row r="19398" customHeight="1" spans="2:2">
      <c r="B19398" s="62" t="str">
        <f>IF(AND('领用录入（明细）'!D:D=$F$4,'领用录入（明细）'!C:C&gt;=$J$4,'领用录入（明细）'!C:C&lt;=$L$4),ROW(),"-")</f>
        <v>-</v>
      </c>
    </row>
    <row r="19399" customHeight="1" spans="2:2">
      <c r="B19399" s="62" t="str">
        <f>IF(AND('领用录入（明细）'!D:D=$F$4,'领用录入（明细）'!C:C&gt;=$J$4,'领用录入（明细）'!C:C&lt;=$L$4),ROW(),"-")</f>
        <v>-</v>
      </c>
    </row>
    <row r="19400" customHeight="1" spans="2:2">
      <c r="B19400" s="62" t="str">
        <f>IF(AND('领用录入（明细）'!D:D=$F$4,'领用录入（明细）'!C:C&gt;=$J$4,'领用录入（明细）'!C:C&lt;=$L$4),ROW(),"-")</f>
        <v>-</v>
      </c>
    </row>
    <row r="19401" customHeight="1" spans="2:2">
      <c r="B19401" s="62" t="str">
        <f>IF(AND('领用录入（明细）'!D:D=$F$4,'领用录入（明细）'!C:C&gt;=$J$4,'领用录入（明细）'!C:C&lt;=$L$4),ROW(),"-")</f>
        <v>-</v>
      </c>
    </row>
    <row r="19402" customHeight="1" spans="2:2">
      <c r="B19402" s="62" t="str">
        <f>IF(AND('领用录入（明细）'!D:D=$F$4,'领用录入（明细）'!C:C&gt;=$J$4,'领用录入（明细）'!C:C&lt;=$L$4),ROW(),"-")</f>
        <v>-</v>
      </c>
    </row>
    <row r="19403" customHeight="1" spans="2:2">
      <c r="B19403" s="62" t="str">
        <f>IF(AND('领用录入（明细）'!D:D=$F$4,'领用录入（明细）'!C:C&gt;=$J$4,'领用录入（明细）'!C:C&lt;=$L$4),ROW(),"-")</f>
        <v>-</v>
      </c>
    </row>
    <row r="19404" customHeight="1" spans="2:2">
      <c r="B19404" s="62" t="str">
        <f>IF(AND('领用录入（明细）'!D:D=$F$4,'领用录入（明细）'!C:C&gt;=$J$4,'领用录入（明细）'!C:C&lt;=$L$4),ROW(),"-")</f>
        <v>-</v>
      </c>
    </row>
    <row r="19405" customHeight="1" spans="2:2">
      <c r="B19405" s="62" t="str">
        <f>IF(AND('领用录入（明细）'!D:D=$F$4,'领用录入（明细）'!C:C&gt;=$J$4,'领用录入（明细）'!C:C&lt;=$L$4),ROW(),"-")</f>
        <v>-</v>
      </c>
    </row>
    <row r="19406" customHeight="1" spans="2:2">
      <c r="B19406" s="62" t="str">
        <f>IF(AND('领用录入（明细）'!D:D=$F$4,'领用录入（明细）'!C:C&gt;=$J$4,'领用录入（明细）'!C:C&lt;=$L$4),ROW(),"-")</f>
        <v>-</v>
      </c>
    </row>
    <row r="19407" customHeight="1" spans="2:2">
      <c r="B19407" s="62" t="str">
        <f>IF(AND('领用录入（明细）'!D:D=$F$4,'领用录入（明细）'!C:C&gt;=$J$4,'领用录入（明细）'!C:C&lt;=$L$4),ROW(),"-")</f>
        <v>-</v>
      </c>
    </row>
    <row r="19408" customHeight="1" spans="2:2">
      <c r="B19408" s="62" t="str">
        <f>IF(AND('领用录入（明细）'!D:D=$F$4,'领用录入（明细）'!C:C&gt;=$J$4,'领用录入（明细）'!C:C&lt;=$L$4),ROW(),"-")</f>
        <v>-</v>
      </c>
    </row>
    <row r="19409" customHeight="1" spans="2:2">
      <c r="B19409" s="62" t="str">
        <f>IF(AND('领用录入（明细）'!D:D=$F$4,'领用录入（明细）'!C:C&gt;=$J$4,'领用录入（明细）'!C:C&lt;=$L$4),ROW(),"-")</f>
        <v>-</v>
      </c>
    </row>
    <row r="19410" customHeight="1" spans="2:2">
      <c r="B19410" s="62" t="str">
        <f>IF(AND('领用录入（明细）'!D:D=$F$4,'领用录入（明细）'!C:C&gt;=$J$4,'领用录入（明细）'!C:C&lt;=$L$4),ROW(),"-")</f>
        <v>-</v>
      </c>
    </row>
    <row r="19411" customHeight="1" spans="2:2">
      <c r="B19411" s="62" t="str">
        <f>IF(AND('领用录入（明细）'!D:D=$F$4,'领用录入（明细）'!C:C&gt;=$J$4,'领用录入（明细）'!C:C&lt;=$L$4),ROW(),"-")</f>
        <v>-</v>
      </c>
    </row>
    <row r="19412" customHeight="1" spans="2:2">
      <c r="B19412" s="62" t="str">
        <f>IF(AND('领用录入（明细）'!D:D=$F$4,'领用录入（明细）'!C:C&gt;=$J$4,'领用录入（明细）'!C:C&lt;=$L$4),ROW(),"-")</f>
        <v>-</v>
      </c>
    </row>
    <row r="19413" customHeight="1" spans="2:2">
      <c r="B19413" s="62" t="str">
        <f>IF(AND('领用录入（明细）'!D:D=$F$4,'领用录入（明细）'!C:C&gt;=$J$4,'领用录入（明细）'!C:C&lt;=$L$4),ROW(),"-")</f>
        <v>-</v>
      </c>
    </row>
    <row r="19414" customHeight="1" spans="2:2">
      <c r="B19414" s="62" t="str">
        <f>IF(AND('领用录入（明细）'!D:D=$F$4,'领用录入（明细）'!C:C&gt;=$J$4,'领用录入（明细）'!C:C&lt;=$L$4),ROW(),"-")</f>
        <v>-</v>
      </c>
    </row>
    <row r="19415" customHeight="1" spans="2:2">
      <c r="B19415" s="62" t="str">
        <f>IF(AND('领用录入（明细）'!D:D=$F$4,'领用录入（明细）'!C:C&gt;=$J$4,'领用录入（明细）'!C:C&lt;=$L$4),ROW(),"-")</f>
        <v>-</v>
      </c>
    </row>
    <row r="19416" customHeight="1" spans="2:2">
      <c r="B19416" s="62" t="str">
        <f>IF(AND('领用录入（明细）'!D:D=$F$4,'领用录入（明细）'!C:C&gt;=$J$4,'领用录入（明细）'!C:C&lt;=$L$4),ROW(),"-")</f>
        <v>-</v>
      </c>
    </row>
    <row r="19417" customHeight="1" spans="2:2">
      <c r="B19417" s="62" t="str">
        <f>IF(AND('领用录入（明细）'!D:D=$F$4,'领用录入（明细）'!C:C&gt;=$J$4,'领用录入（明细）'!C:C&lt;=$L$4),ROW(),"-")</f>
        <v>-</v>
      </c>
    </row>
    <row r="19418" customHeight="1" spans="2:2">
      <c r="B19418" s="62" t="str">
        <f>IF(AND('领用录入（明细）'!D:D=$F$4,'领用录入（明细）'!C:C&gt;=$J$4,'领用录入（明细）'!C:C&lt;=$L$4),ROW(),"-")</f>
        <v>-</v>
      </c>
    </row>
    <row r="19419" customHeight="1" spans="2:2">
      <c r="B19419" s="62" t="str">
        <f>IF(AND('领用录入（明细）'!D:D=$F$4,'领用录入（明细）'!C:C&gt;=$J$4,'领用录入（明细）'!C:C&lt;=$L$4),ROW(),"-")</f>
        <v>-</v>
      </c>
    </row>
    <row r="19420" customHeight="1" spans="2:2">
      <c r="B19420" s="62" t="str">
        <f>IF(AND('领用录入（明细）'!D:D=$F$4,'领用录入（明细）'!C:C&gt;=$J$4,'领用录入（明细）'!C:C&lt;=$L$4),ROW(),"-")</f>
        <v>-</v>
      </c>
    </row>
    <row r="19421" customHeight="1" spans="2:2">
      <c r="B19421" s="62" t="str">
        <f>IF(AND('领用录入（明细）'!D:D=$F$4,'领用录入（明细）'!C:C&gt;=$J$4,'领用录入（明细）'!C:C&lt;=$L$4),ROW(),"-")</f>
        <v>-</v>
      </c>
    </row>
    <row r="19422" customHeight="1" spans="2:2">
      <c r="B19422" s="62" t="str">
        <f>IF(AND('领用录入（明细）'!D:D=$F$4,'领用录入（明细）'!C:C&gt;=$J$4,'领用录入（明细）'!C:C&lt;=$L$4),ROW(),"-")</f>
        <v>-</v>
      </c>
    </row>
    <row r="19423" customHeight="1" spans="2:2">
      <c r="B19423" s="62" t="str">
        <f>IF(AND('领用录入（明细）'!D:D=$F$4,'领用录入（明细）'!C:C&gt;=$J$4,'领用录入（明细）'!C:C&lt;=$L$4),ROW(),"-")</f>
        <v>-</v>
      </c>
    </row>
    <row r="19424" customHeight="1" spans="2:2">
      <c r="B19424" s="62" t="str">
        <f>IF(AND('领用录入（明细）'!D:D=$F$4,'领用录入（明细）'!C:C&gt;=$J$4,'领用录入（明细）'!C:C&lt;=$L$4),ROW(),"-")</f>
        <v>-</v>
      </c>
    </row>
    <row r="19425" customHeight="1" spans="2:2">
      <c r="B19425" s="62" t="str">
        <f>IF(AND('领用录入（明细）'!D:D=$F$4,'领用录入（明细）'!C:C&gt;=$J$4,'领用录入（明细）'!C:C&lt;=$L$4),ROW(),"-")</f>
        <v>-</v>
      </c>
    </row>
    <row r="19426" customHeight="1" spans="2:2">
      <c r="B19426" s="62" t="str">
        <f>IF(AND('领用录入（明细）'!D:D=$F$4,'领用录入（明细）'!C:C&gt;=$J$4,'领用录入（明细）'!C:C&lt;=$L$4),ROW(),"-")</f>
        <v>-</v>
      </c>
    </row>
    <row r="19427" customHeight="1" spans="2:2">
      <c r="B19427" s="62" t="str">
        <f>IF(AND('领用录入（明细）'!D:D=$F$4,'领用录入（明细）'!C:C&gt;=$J$4,'领用录入（明细）'!C:C&lt;=$L$4),ROW(),"-")</f>
        <v>-</v>
      </c>
    </row>
    <row r="19428" customHeight="1" spans="2:2">
      <c r="B19428" s="62" t="str">
        <f>IF(AND('领用录入（明细）'!D:D=$F$4,'领用录入（明细）'!C:C&gt;=$J$4,'领用录入（明细）'!C:C&lt;=$L$4),ROW(),"-")</f>
        <v>-</v>
      </c>
    </row>
    <row r="19429" customHeight="1" spans="2:2">
      <c r="B19429" s="62" t="str">
        <f>IF(AND('领用录入（明细）'!D:D=$F$4,'领用录入（明细）'!C:C&gt;=$J$4,'领用录入（明细）'!C:C&lt;=$L$4),ROW(),"-")</f>
        <v>-</v>
      </c>
    </row>
    <row r="19430" customHeight="1" spans="2:2">
      <c r="B19430" s="62" t="str">
        <f>IF(AND('领用录入（明细）'!D:D=$F$4,'领用录入（明细）'!C:C&gt;=$J$4,'领用录入（明细）'!C:C&lt;=$L$4),ROW(),"-")</f>
        <v>-</v>
      </c>
    </row>
    <row r="19431" customHeight="1" spans="2:2">
      <c r="B19431" s="62" t="str">
        <f>IF(AND('领用录入（明细）'!D:D=$F$4,'领用录入（明细）'!C:C&gt;=$J$4,'领用录入（明细）'!C:C&lt;=$L$4),ROW(),"-")</f>
        <v>-</v>
      </c>
    </row>
    <row r="19432" customHeight="1" spans="2:2">
      <c r="B19432" s="62" t="str">
        <f>IF(AND('领用录入（明细）'!D:D=$F$4,'领用录入（明细）'!C:C&gt;=$J$4,'领用录入（明细）'!C:C&lt;=$L$4),ROW(),"-")</f>
        <v>-</v>
      </c>
    </row>
    <row r="19433" customHeight="1" spans="2:2">
      <c r="B19433" s="62" t="str">
        <f>IF(AND('领用录入（明细）'!D:D=$F$4,'领用录入（明细）'!C:C&gt;=$J$4,'领用录入（明细）'!C:C&lt;=$L$4),ROW(),"-")</f>
        <v>-</v>
      </c>
    </row>
    <row r="19434" customHeight="1" spans="2:2">
      <c r="B19434" s="62" t="str">
        <f>IF(AND('领用录入（明细）'!D:D=$F$4,'领用录入（明细）'!C:C&gt;=$J$4,'领用录入（明细）'!C:C&lt;=$L$4),ROW(),"-")</f>
        <v>-</v>
      </c>
    </row>
    <row r="19435" customHeight="1" spans="2:2">
      <c r="B19435" s="62" t="str">
        <f>IF(AND('领用录入（明细）'!D:D=$F$4,'领用录入（明细）'!C:C&gt;=$J$4,'领用录入（明细）'!C:C&lt;=$L$4),ROW(),"-")</f>
        <v>-</v>
      </c>
    </row>
    <row r="19436" customHeight="1" spans="2:2">
      <c r="B19436" s="62" t="str">
        <f>IF(AND('领用录入（明细）'!D:D=$F$4,'领用录入（明细）'!C:C&gt;=$J$4,'领用录入（明细）'!C:C&lt;=$L$4),ROW(),"-")</f>
        <v>-</v>
      </c>
    </row>
    <row r="19437" customHeight="1" spans="2:2">
      <c r="B19437" s="62" t="str">
        <f>IF(AND('领用录入（明细）'!D:D=$F$4,'领用录入（明细）'!C:C&gt;=$J$4,'领用录入（明细）'!C:C&lt;=$L$4),ROW(),"-")</f>
        <v>-</v>
      </c>
    </row>
    <row r="19438" customHeight="1" spans="2:2">
      <c r="B19438" s="62" t="str">
        <f>IF(AND('领用录入（明细）'!D:D=$F$4,'领用录入（明细）'!C:C&gt;=$J$4,'领用录入（明细）'!C:C&lt;=$L$4),ROW(),"-")</f>
        <v>-</v>
      </c>
    </row>
    <row r="19439" customHeight="1" spans="2:2">
      <c r="B19439" s="62" t="str">
        <f>IF(AND('领用录入（明细）'!D:D=$F$4,'领用录入（明细）'!C:C&gt;=$J$4,'领用录入（明细）'!C:C&lt;=$L$4),ROW(),"-")</f>
        <v>-</v>
      </c>
    </row>
    <row r="19440" customHeight="1" spans="2:2">
      <c r="B19440" s="62" t="str">
        <f>IF(AND('领用录入（明细）'!D:D=$F$4,'领用录入（明细）'!C:C&gt;=$J$4,'领用录入（明细）'!C:C&lt;=$L$4),ROW(),"-")</f>
        <v>-</v>
      </c>
    </row>
    <row r="19441" customHeight="1" spans="2:2">
      <c r="B19441" s="62" t="str">
        <f>IF(AND('领用录入（明细）'!D:D=$F$4,'领用录入（明细）'!C:C&gt;=$J$4,'领用录入（明细）'!C:C&lt;=$L$4),ROW(),"-")</f>
        <v>-</v>
      </c>
    </row>
    <row r="19442" customHeight="1" spans="2:2">
      <c r="B19442" s="62" t="str">
        <f>IF(AND('领用录入（明细）'!D:D=$F$4,'领用录入（明细）'!C:C&gt;=$J$4,'领用录入（明细）'!C:C&lt;=$L$4),ROW(),"-")</f>
        <v>-</v>
      </c>
    </row>
    <row r="19443" customHeight="1" spans="2:2">
      <c r="B19443" s="62" t="str">
        <f>IF(AND('领用录入（明细）'!D:D=$F$4,'领用录入（明细）'!C:C&gt;=$J$4,'领用录入（明细）'!C:C&lt;=$L$4),ROW(),"-")</f>
        <v>-</v>
      </c>
    </row>
    <row r="19444" customHeight="1" spans="2:2">
      <c r="B19444" s="62" t="str">
        <f>IF(AND('领用录入（明细）'!D:D=$F$4,'领用录入（明细）'!C:C&gt;=$J$4,'领用录入（明细）'!C:C&lt;=$L$4),ROW(),"-")</f>
        <v>-</v>
      </c>
    </row>
    <row r="19445" customHeight="1" spans="2:2">
      <c r="B19445" s="62" t="str">
        <f>IF(AND('领用录入（明细）'!D:D=$F$4,'领用录入（明细）'!C:C&gt;=$J$4,'领用录入（明细）'!C:C&lt;=$L$4),ROW(),"-")</f>
        <v>-</v>
      </c>
    </row>
    <row r="19446" customHeight="1" spans="2:2">
      <c r="B19446" s="62" t="str">
        <f>IF(AND('领用录入（明细）'!D:D=$F$4,'领用录入（明细）'!C:C&gt;=$J$4,'领用录入（明细）'!C:C&lt;=$L$4),ROW(),"-")</f>
        <v>-</v>
      </c>
    </row>
    <row r="19447" customHeight="1" spans="2:2">
      <c r="B19447" s="62" t="str">
        <f>IF(AND('领用录入（明细）'!D:D=$F$4,'领用录入（明细）'!C:C&gt;=$J$4,'领用录入（明细）'!C:C&lt;=$L$4),ROW(),"-")</f>
        <v>-</v>
      </c>
    </row>
    <row r="19448" customHeight="1" spans="2:2">
      <c r="B19448" s="62" t="str">
        <f>IF(AND('领用录入（明细）'!D:D=$F$4,'领用录入（明细）'!C:C&gt;=$J$4,'领用录入（明细）'!C:C&lt;=$L$4),ROW(),"-")</f>
        <v>-</v>
      </c>
    </row>
    <row r="19449" customHeight="1" spans="2:2">
      <c r="B19449" s="62" t="str">
        <f>IF(AND('领用录入（明细）'!D:D=$F$4,'领用录入（明细）'!C:C&gt;=$J$4,'领用录入（明细）'!C:C&lt;=$L$4),ROW(),"-")</f>
        <v>-</v>
      </c>
    </row>
    <row r="19450" customHeight="1" spans="2:2">
      <c r="B19450" s="62" t="str">
        <f>IF(AND('领用录入（明细）'!D:D=$F$4,'领用录入（明细）'!C:C&gt;=$J$4,'领用录入（明细）'!C:C&lt;=$L$4),ROW(),"-")</f>
        <v>-</v>
      </c>
    </row>
    <row r="19451" customHeight="1" spans="2:2">
      <c r="B19451" s="62" t="str">
        <f>IF(AND('领用录入（明细）'!D:D=$F$4,'领用录入（明细）'!C:C&gt;=$J$4,'领用录入（明细）'!C:C&lt;=$L$4),ROW(),"-")</f>
        <v>-</v>
      </c>
    </row>
    <row r="19452" customHeight="1" spans="2:2">
      <c r="B19452" s="62" t="str">
        <f>IF(AND('领用录入（明细）'!D:D=$F$4,'领用录入（明细）'!C:C&gt;=$J$4,'领用录入（明细）'!C:C&lt;=$L$4),ROW(),"-")</f>
        <v>-</v>
      </c>
    </row>
    <row r="19453" customHeight="1" spans="2:2">
      <c r="B19453" s="62" t="str">
        <f>IF(AND('领用录入（明细）'!D:D=$F$4,'领用录入（明细）'!C:C&gt;=$J$4,'领用录入（明细）'!C:C&lt;=$L$4),ROW(),"-")</f>
        <v>-</v>
      </c>
    </row>
    <row r="19454" customHeight="1" spans="2:2">
      <c r="B19454" s="62" t="str">
        <f>IF(AND('领用录入（明细）'!D:D=$F$4,'领用录入（明细）'!C:C&gt;=$J$4,'领用录入（明细）'!C:C&lt;=$L$4),ROW(),"-")</f>
        <v>-</v>
      </c>
    </row>
    <row r="19455" customHeight="1" spans="2:2">
      <c r="B19455" s="62" t="str">
        <f>IF(AND('领用录入（明细）'!D:D=$F$4,'领用录入（明细）'!C:C&gt;=$J$4,'领用录入（明细）'!C:C&lt;=$L$4),ROW(),"-")</f>
        <v>-</v>
      </c>
    </row>
    <row r="19456" customHeight="1" spans="2:2">
      <c r="B19456" s="62" t="str">
        <f>IF(AND('领用录入（明细）'!D:D=$F$4,'领用录入（明细）'!C:C&gt;=$J$4,'领用录入（明细）'!C:C&lt;=$L$4),ROW(),"-")</f>
        <v>-</v>
      </c>
    </row>
    <row r="19457" customHeight="1" spans="2:2">
      <c r="B19457" s="62" t="str">
        <f>IF(AND('领用录入（明细）'!D:D=$F$4,'领用录入（明细）'!C:C&gt;=$J$4,'领用录入（明细）'!C:C&lt;=$L$4),ROW(),"-")</f>
        <v>-</v>
      </c>
    </row>
    <row r="19458" customHeight="1" spans="2:2">
      <c r="B19458" s="62" t="str">
        <f>IF(AND('领用录入（明细）'!D:D=$F$4,'领用录入（明细）'!C:C&gt;=$J$4,'领用录入（明细）'!C:C&lt;=$L$4),ROW(),"-")</f>
        <v>-</v>
      </c>
    </row>
    <row r="19459" customHeight="1" spans="2:2">
      <c r="B19459" s="62" t="str">
        <f>IF(AND('领用录入（明细）'!D:D=$F$4,'领用录入（明细）'!C:C&gt;=$J$4,'领用录入（明细）'!C:C&lt;=$L$4),ROW(),"-")</f>
        <v>-</v>
      </c>
    </row>
    <row r="19460" customHeight="1" spans="2:2">
      <c r="B19460" s="62" t="str">
        <f>IF(AND('领用录入（明细）'!D:D=$F$4,'领用录入（明细）'!C:C&gt;=$J$4,'领用录入（明细）'!C:C&lt;=$L$4),ROW(),"-")</f>
        <v>-</v>
      </c>
    </row>
    <row r="19461" customHeight="1" spans="2:2">
      <c r="B19461" s="62" t="str">
        <f>IF(AND('领用录入（明细）'!D:D=$F$4,'领用录入（明细）'!C:C&gt;=$J$4,'领用录入（明细）'!C:C&lt;=$L$4),ROW(),"-")</f>
        <v>-</v>
      </c>
    </row>
    <row r="19462" customHeight="1" spans="2:2">
      <c r="B19462" s="62" t="str">
        <f>IF(AND('领用录入（明细）'!D:D=$F$4,'领用录入（明细）'!C:C&gt;=$J$4,'领用录入（明细）'!C:C&lt;=$L$4),ROW(),"-")</f>
        <v>-</v>
      </c>
    </row>
    <row r="19463" customHeight="1" spans="2:2">
      <c r="B19463" s="62" t="str">
        <f>IF(AND('领用录入（明细）'!D:D=$F$4,'领用录入（明细）'!C:C&gt;=$J$4,'领用录入（明细）'!C:C&lt;=$L$4),ROW(),"-")</f>
        <v>-</v>
      </c>
    </row>
    <row r="19464" customHeight="1" spans="2:2">
      <c r="B19464" s="62" t="str">
        <f>IF(AND('领用录入（明细）'!D:D=$F$4,'领用录入（明细）'!C:C&gt;=$J$4,'领用录入（明细）'!C:C&lt;=$L$4),ROW(),"-")</f>
        <v>-</v>
      </c>
    </row>
    <row r="19465" customHeight="1" spans="2:2">
      <c r="B19465" s="62" t="str">
        <f>IF(AND('领用录入（明细）'!D:D=$F$4,'领用录入（明细）'!C:C&gt;=$J$4,'领用录入（明细）'!C:C&lt;=$L$4),ROW(),"-")</f>
        <v>-</v>
      </c>
    </row>
    <row r="19466" customHeight="1" spans="2:2">
      <c r="B19466" s="62" t="str">
        <f>IF(AND('领用录入（明细）'!D:D=$F$4,'领用录入（明细）'!C:C&gt;=$J$4,'领用录入（明细）'!C:C&lt;=$L$4),ROW(),"-")</f>
        <v>-</v>
      </c>
    </row>
    <row r="19467" customHeight="1" spans="2:2">
      <c r="B19467" s="62" t="str">
        <f>IF(AND('领用录入（明细）'!D:D=$F$4,'领用录入（明细）'!C:C&gt;=$J$4,'领用录入（明细）'!C:C&lt;=$L$4),ROW(),"-")</f>
        <v>-</v>
      </c>
    </row>
    <row r="19468" customHeight="1" spans="2:2">
      <c r="B19468" s="62" t="str">
        <f>IF(AND('领用录入（明细）'!D:D=$F$4,'领用录入（明细）'!C:C&gt;=$J$4,'领用录入（明细）'!C:C&lt;=$L$4),ROW(),"-")</f>
        <v>-</v>
      </c>
    </row>
    <row r="19469" customHeight="1" spans="2:2">
      <c r="B19469" s="62" t="str">
        <f>IF(AND('领用录入（明细）'!D:D=$F$4,'领用录入（明细）'!C:C&gt;=$J$4,'领用录入（明细）'!C:C&lt;=$L$4),ROW(),"-")</f>
        <v>-</v>
      </c>
    </row>
    <row r="19470" customHeight="1" spans="2:2">
      <c r="B19470" s="62" t="str">
        <f>IF(AND('领用录入（明细）'!D:D=$F$4,'领用录入（明细）'!C:C&gt;=$J$4,'领用录入（明细）'!C:C&lt;=$L$4),ROW(),"-")</f>
        <v>-</v>
      </c>
    </row>
    <row r="19471" customHeight="1" spans="2:2">
      <c r="B19471" s="62" t="str">
        <f>IF(AND('领用录入（明细）'!D:D=$F$4,'领用录入（明细）'!C:C&gt;=$J$4,'领用录入（明细）'!C:C&lt;=$L$4),ROW(),"-")</f>
        <v>-</v>
      </c>
    </row>
    <row r="19472" customHeight="1" spans="2:2">
      <c r="B19472" s="62" t="str">
        <f>IF(AND('领用录入（明细）'!D:D=$F$4,'领用录入（明细）'!C:C&gt;=$J$4,'领用录入（明细）'!C:C&lt;=$L$4),ROW(),"-")</f>
        <v>-</v>
      </c>
    </row>
    <row r="19473" customHeight="1" spans="2:2">
      <c r="B19473" s="62" t="str">
        <f>IF(AND('领用录入（明细）'!D:D=$F$4,'领用录入（明细）'!C:C&gt;=$J$4,'领用录入（明细）'!C:C&lt;=$L$4),ROW(),"-")</f>
        <v>-</v>
      </c>
    </row>
    <row r="19474" customHeight="1" spans="2:2">
      <c r="B19474" s="62" t="str">
        <f>IF(AND('领用录入（明细）'!D:D=$F$4,'领用录入（明细）'!C:C&gt;=$J$4,'领用录入（明细）'!C:C&lt;=$L$4),ROW(),"-")</f>
        <v>-</v>
      </c>
    </row>
    <row r="19475" customHeight="1" spans="2:2">
      <c r="B19475" s="62" t="str">
        <f>IF(AND('领用录入（明细）'!D:D=$F$4,'领用录入（明细）'!C:C&gt;=$J$4,'领用录入（明细）'!C:C&lt;=$L$4),ROW(),"-")</f>
        <v>-</v>
      </c>
    </row>
    <row r="19476" customHeight="1" spans="2:2">
      <c r="B19476" s="62" t="str">
        <f>IF(AND('领用录入（明细）'!D:D=$F$4,'领用录入（明细）'!C:C&gt;=$J$4,'领用录入（明细）'!C:C&lt;=$L$4),ROW(),"-")</f>
        <v>-</v>
      </c>
    </row>
    <row r="19477" customHeight="1" spans="2:2">
      <c r="B19477" s="62" t="str">
        <f>IF(AND('领用录入（明细）'!D:D=$F$4,'领用录入（明细）'!C:C&gt;=$J$4,'领用录入（明细）'!C:C&lt;=$L$4),ROW(),"-")</f>
        <v>-</v>
      </c>
    </row>
    <row r="19478" customHeight="1" spans="2:2">
      <c r="B19478" s="62" t="str">
        <f>IF(AND('领用录入（明细）'!D:D=$F$4,'领用录入（明细）'!C:C&gt;=$J$4,'领用录入（明细）'!C:C&lt;=$L$4),ROW(),"-")</f>
        <v>-</v>
      </c>
    </row>
    <row r="19479" customHeight="1" spans="2:2">
      <c r="B19479" s="62" t="str">
        <f>IF(AND('领用录入（明细）'!D:D=$F$4,'领用录入（明细）'!C:C&gt;=$J$4,'领用录入（明细）'!C:C&lt;=$L$4),ROW(),"-")</f>
        <v>-</v>
      </c>
    </row>
    <row r="19480" customHeight="1" spans="2:2">
      <c r="B19480" s="62" t="str">
        <f>IF(AND('领用录入（明细）'!D:D=$F$4,'领用录入（明细）'!C:C&gt;=$J$4,'领用录入（明细）'!C:C&lt;=$L$4),ROW(),"-")</f>
        <v>-</v>
      </c>
    </row>
    <row r="19481" customHeight="1" spans="2:2">
      <c r="B19481" s="62" t="str">
        <f>IF(AND('领用录入（明细）'!D:D=$F$4,'领用录入（明细）'!C:C&gt;=$J$4,'领用录入（明细）'!C:C&lt;=$L$4),ROW(),"-")</f>
        <v>-</v>
      </c>
    </row>
    <row r="19482" customHeight="1" spans="2:2">
      <c r="B19482" s="62" t="str">
        <f>IF(AND('领用录入（明细）'!D:D=$F$4,'领用录入（明细）'!C:C&gt;=$J$4,'领用录入（明细）'!C:C&lt;=$L$4),ROW(),"-")</f>
        <v>-</v>
      </c>
    </row>
    <row r="19483" customHeight="1" spans="2:2">
      <c r="B19483" s="62" t="str">
        <f>IF(AND('领用录入（明细）'!D:D=$F$4,'领用录入（明细）'!C:C&gt;=$J$4,'领用录入（明细）'!C:C&lt;=$L$4),ROW(),"-")</f>
        <v>-</v>
      </c>
    </row>
    <row r="19484" customHeight="1" spans="2:2">
      <c r="B19484" s="62" t="str">
        <f>IF(AND('领用录入（明细）'!D:D=$F$4,'领用录入（明细）'!C:C&gt;=$J$4,'领用录入（明细）'!C:C&lt;=$L$4),ROW(),"-")</f>
        <v>-</v>
      </c>
    </row>
    <row r="19485" customHeight="1" spans="2:2">
      <c r="B19485" s="62" t="str">
        <f>IF(AND('领用录入（明细）'!D:D=$F$4,'领用录入（明细）'!C:C&gt;=$J$4,'领用录入（明细）'!C:C&lt;=$L$4),ROW(),"-")</f>
        <v>-</v>
      </c>
    </row>
    <row r="19486" customHeight="1" spans="2:2">
      <c r="B19486" s="62" t="str">
        <f>IF(AND('领用录入（明细）'!D:D=$F$4,'领用录入（明细）'!C:C&gt;=$J$4,'领用录入（明细）'!C:C&lt;=$L$4),ROW(),"-")</f>
        <v>-</v>
      </c>
    </row>
    <row r="19487" customHeight="1" spans="2:2">
      <c r="B19487" s="62" t="str">
        <f>IF(AND('领用录入（明细）'!D:D=$F$4,'领用录入（明细）'!C:C&gt;=$J$4,'领用录入（明细）'!C:C&lt;=$L$4),ROW(),"-")</f>
        <v>-</v>
      </c>
    </row>
    <row r="19488" customHeight="1" spans="2:2">
      <c r="B19488" s="62" t="str">
        <f>IF(AND('领用录入（明细）'!D:D=$F$4,'领用录入（明细）'!C:C&gt;=$J$4,'领用录入（明细）'!C:C&lt;=$L$4),ROW(),"-")</f>
        <v>-</v>
      </c>
    </row>
    <row r="19489" customHeight="1" spans="2:2">
      <c r="B19489" s="62" t="str">
        <f>IF(AND('领用录入（明细）'!D:D=$F$4,'领用录入（明细）'!C:C&gt;=$J$4,'领用录入（明细）'!C:C&lt;=$L$4),ROW(),"-")</f>
        <v>-</v>
      </c>
    </row>
    <row r="19490" customHeight="1" spans="2:2">
      <c r="B19490" s="62" t="str">
        <f>IF(AND('领用录入（明细）'!D:D=$F$4,'领用录入（明细）'!C:C&gt;=$J$4,'领用录入（明细）'!C:C&lt;=$L$4),ROW(),"-")</f>
        <v>-</v>
      </c>
    </row>
    <row r="19491" customHeight="1" spans="2:2">
      <c r="B19491" s="62" t="str">
        <f>IF(AND('领用录入（明细）'!D:D=$F$4,'领用录入（明细）'!C:C&gt;=$J$4,'领用录入（明细）'!C:C&lt;=$L$4),ROW(),"-")</f>
        <v>-</v>
      </c>
    </row>
    <row r="19492" customHeight="1" spans="2:2">
      <c r="B19492" s="62" t="str">
        <f>IF(AND('领用录入（明细）'!D:D=$F$4,'领用录入（明细）'!C:C&gt;=$J$4,'领用录入（明细）'!C:C&lt;=$L$4),ROW(),"-")</f>
        <v>-</v>
      </c>
    </row>
    <row r="19493" customHeight="1" spans="2:2">
      <c r="B19493" s="62" t="str">
        <f>IF(AND('领用录入（明细）'!D:D=$F$4,'领用录入（明细）'!C:C&gt;=$J$4,'领用录入（明细）'!C:C&lt;=$L$4),ROW(),"-")</f>
        <v>-</v>
      </c>
    </row>
    <row r="19494" customHeight="1" spans="2:2">
      <c r="B19494" s="62" t="str">
        <f>IF(AND('领用录入（明细）'!D:D=$F$4,'领用录入（明细）'!C:C&gt;=$J$4,'领用录入（明细）'!C:C&lt;=$L$4),ROW(),"-")</f>
        <v>-</v>
      </c>
    </row>
    <row r="19495" customHeight="1" spans="2:2">
      <c r="B19495" s="62" t="str">
        <f>IF(AND('领用录入（明细）'!D:D=$F$4,'领用录入（明细）'!C:C&gt;=$J$4,'领用录入（明细）'!C:C&lt;=$L$4),ROW(),"-")</f>
        <v>-</v>
      </c>
    </row>
    <row r="19496" customHeight="1" spans="2:2">
      <c r="B19496" s="62" t="str">
        <f>IF(AND('领用录入（明细）'!D:D=$F$4,'领用录入（明细）'!C:C&gt;=$J$4,'领用录入（明细）'!C:C&lt;=$L$4),ROW(),"-")</f>
        <v>-</v>
      </c>
    </row>
    <row r="19497" customHeight="1" spans="2:2">
      <c r="B19497" s="62" t="str">
        <f>IF(AND('领用录入（明细）'!D:D=$F$4,'领用录入（明细）'!C:C&gt;=$J$4,'领用录入（明细）'!C:C&lt;=$L$4),ROW(),"-")</f>
        <v>-</v>
      </c>
    </row>
    <row r="19498" customHeight="1" spans="2:2">
      <c r="B19498" s="62" t="str">
        <f>IF(AND('领用录入（明细）'!D:D=$F$4,'领用录入（明细）'!C:C&gt;=$J$4,'领用录入（明细）'!C:C&lt;=$L$4),ROW(),"-")</f>
        <v>-</v>
      </c>
    </row>
    <row r="19499" customHeight="1" spans="2:2">
      <c r="B19499" s="62" t="str">
        <f>IF(AND('领用录入（明细）'!D:D=$F$4,'领用录入（明细）'!C:C&gt;=$J$4,'领用录入（明细）'!C:C&lt;=$L$4),ROW(),"-")</f>
        <v>-</v>
      </c>
    </row>
    <row r="19500" customHeight="1" spans="2:2">
      <c r="B19500" s="62" t="str">
        <f>IF(AND('领用录入（明细）'!D:D=$F$4,'领用录入（明细）'!C:C&gt;=$J$4,'领用录入（明细）'!C:C&lt;=$L$4),ROW(),"-")</f>
        <v>-</v>
      </c>
    </row>
    <row r="19501" customHeight="1" spans="2:2">
      <c r="B19501" s="62" t="str">
        <f>IF(AND('领用录入（明细）'!D:D=$F$4,'领用录入（明细）'!C:C&gt;=$J$4,'领用录入（明细）'!C:C&lt;=$L$4),ROW(),"-")</f>
        <v>-</v>
      </c>
    </row>
    <row r="19502" customHeight="1" spans="2:2">
      <c r="B19502" s="62" t="str">
        <f>IF(AND('领用录入（明细）'!D:D=$F$4,'领用录入（明细）'!C:C&gt;=$J$4,'领用录入（明细）'!C:C&lt;=$L$4),ROW(),"-")</f>
        <v>-</v>
      </c>
    </row>
    <row r="19503" customHeight="1" spans="2:2">
      <c r="B19503" s="62" t="str">
        <f>IF(AND('领用录入（明细）'!D:D=$F$4,'领用录入（明细）'!C:C&gt;=$J$4,'领用录入（明细）'!C:C&lt;=$L$4),ROW(),"-")</f>
        <v>-</v>
      </c>
    </row>
    <row r="19504" customHeight="1" spans="2:2">
      <c r="B19504" s="62" t="str">
        <f>IF(AND('领用录入（明细）'!D:D=$F$4,'领用录入（明细）'!C:C&gt;=$J$4,'领用录入（明细）'!C:C&lt;=$L$4),ROW(),"-")</f>
        <v>-</v>
      </c>
    </row>
    <row r="19505" customHeight="1" spans="2:2">
      <c r="B19505" s="62" t="str">
        <f>IF(AND('领用录入（明细）'!D:D=$F$4,'领用录入（明细）'!C:C&gt;=$J$4,'领用录入（明细）'!C:C&lt;=$L$4),ROW(),"-")</f>
        <v>-</v>
      </c>
    </row>
    <row r="19506" customHeight="1" spans="2:2">
      <c r="B19506" s="62" t="str">
        <f>IF(AND('领用录入（明细）'!D:D=$F$4,'领用录入（明细）'!C:C&gt;=$J$4,'领用录入（明细）'!C:C&lt;=$L$4),ROW(),"-")</f>
        <v>-</v>
      </c>
    </row>
    <row r="19507" customHeight="1" spans="2:2">
      <c r="B19507" s="62" t="str">
        <f>IF(AND('领用录入（明细）'!D:D=$F$4,'领用录入（明细）'!C:C&gt;=$J$4,'领用录入（明细）'!C:C&lt;=$L$4),ROW(),"-")</f>
        <v>-</v>
      </c>
    </row>
    <row r="19508" customHeight="1" spans="2:2">
      <c r="B19508" s="62" t="str">
        <f>IF(AND('领用录入（明细）'!D:D=$F$4,'领用录入（明细）'!C:C&gt;=$J$4,'领用录入（明细）'!C:C&lt;=$L$4),ROW(),"-")</f>
        <v>-</v>
      </c>
    </row>
    <row r="19509" customHeight="1" spans="2:2">
      <c r="B19509" s="62" t="str">
        <f>IF(AND('领用录入（明细）'!D:D=$F$4,'领用录入（明细）'!C:C&gt;=$J$4,'领用录入（明细）'!C:C&lt;=$L$4),ROW(),"-")</f>
        <v>-</v>
      </c>
    </row>
    <row r="19510" customHeight="1" spans="2:2">
      <c r="B19510" s="62" t="str">
        <f>IF(AND('领用录入（明细）'!D:D=$F$4,'领用录入（明细）'!C:C&gt;=$J$4,'领用录入（明细）'!C:C&lt;=$L$4),ROW(),"-")</f>
        <v>-</v>
      </c>
    </row>
    <row r="19511" customHeight="1" spans="2:2">
      <c r="B19511" s="62" t="str">
        <f>IF(AND('领用录入（明细）'!D:D=$F$4,'领用录入（明细）'!C:C&gt;=$J$4,'领用录入（明细）'!C:C&lt;=$L$4),ROW(),"-")</f>
        <v>-</v>
      </c>
    </row>
    <row r="19512" customHeight="1" spans="2:2">
      <c r="B19512" s="62" t="str">
        <f>IF(AND('领用录入（明细）'!D:D=$F$4,'领用录入（明细）'!C:C&gt;=$J$4,'领用录入（明细）'!C:C&lt;=$L$4),ROW(),"-")</f>
        <v>-</v>
      </c>
    </row>
    <row r="19513" customHeight="1" spans="2:2">
      <c r="B19513" s="62" t="str">
        <f>IF(AND('领用录入（明细）'!D:D=$F$4,'领用录入（明细）'!C:C&gt;=$J$4,'领用录入（明细）'!C:C&lt;=$L$4),ROW(),"-")</f>
        <v>-</v>
      </c>
    </row>
    <row r="19514" customHeight="1" spans="2:2">
      <c r="B19514" s="62" t="str">
        <f>IF(AND('领用录入（明细）'!D:D=$F$4,'领用录入（明细）'!C:C&gt;=$J$4,'领用录入（明细）'!C:C&lt;=$L$4),ROW(),"-")</f>
        <v>-</v>
      </c>
    </row>
    <row r="19515" customHeight="1" spans="2:2">
      <c r="B19515" s="62" t="str">
        <f>IF(AND('领用录入（明细）'!D:D=$F$4,'领用录入（明细）'!C:C&gt;=$J$4,'领用录入（明细）'!C:C&lt;=$L$4),ROW(),"-")</f>
        <v>-</v>
      </c>
    </row>
    <row r="19516" customHeight="1" spans="2:2">
      <c r="B19516" s="62" t="str">
        <f>IF(AND('领用录入（明细）'!D:D=$F$4,'领用录入（明细）'!C:C&gt;=$J$4,'领用录入（明细）'!C:C&lt;=$L$4),ROW(),"-")</f>
        <v>-</v>
      </c>
    </row>
    <row r="19517" customHeight="1" spans="2:2">
      <c r="B19517" s="62" t="str">
        <f>IF(AND('领用录入（明细）'!D:D=$F$4,'领用录入（明细）'!C:C&gt;=$J$4,'领用录入（明细）'!C:C&lt;=$L$4),ROW(),"-")</f>
        <v>-</v>
      </c>
    </row>
    <row r="19518" customHeight="1" spans="2:2">
      <c r="B19518" s="62" t="str">
        <f>IF(AND('领用录入（明细）'!D:D=$F$4,'领用录入（明细）'!C:C&gt;=$J$4,'领用录入（明细）'!C:C&lt;=$L$4),ROW(),"-")</f>
        <v>-</v>
      </c>
    </row>
    <row r="19519" customHeight="1" spans="2:2">
      <c r="B19519" s="62" t="str">
        <f>IF(AND('领用录入（明细）'!D:D=$F$4,'领用录入（明细）'!C:C&gt;=$J$4,'领用录入（明细）'!C:C&lt;=$L$4),ROW(),"-")</f>
        <v>-</v>
      </c>
    </row>
    <row r="19520" customHeight="1" spans="2:2">
      <c r="B19520" s="62" t="str">
        <f>IF(AND('领用录入（明细）'!D:D=$F$4,'领用录入（明细）'!C:C&gt;=$J$4,'领用录入（明细）'!C:C&lt;=$L$4),ROW(),"-")</f>
        <v>-</v>
      </c>
    </row>
    <row r="19521" customHeight="1" spans="2:2">
      <c r="B19521" s="62" t="str">
        <f>IF(AND('领用录入（明细）'!D:D=$F$4,'领用录入（明细）'!C:C&gt;=$J$4,'领用录入（明细）'!C:C&lt;=$L$4),ROW(),"-")</f>
        <v>-</v>
      </c>
    </row>
    <row r="19522" customHeight="1" spans="2:2">
      <c r="B19522" s="62" t="str">
        <f>IF(AND('领用录入（明细）'!D:D=$F$4,'领用录入（明细）'!C:C&gt;=$J$4,'领用录入（明细）'!C:C&lt;=$L$4),ROW(),"-")</f>
        <v>-</v>
      </c>
    </row>
    <row r="19523" customHeight="1" spans="2:2">
      <c r="B19523" s="62" t="str">
        <f>IF(AND('领用录入（明细）'!D:D=$F$4,'领用录入（明细）'!C:C&gt;=$J$4,'领用录入（明细）'!C:C&lt;=$L$4),ROW(),"-")</f>
        <v>-</v>
      </c>
    </row>
    <row r="19524" customHeight="1" spans="2:2">
      <c r="B19524" s="62" t="str">
        <f>IF(AND('领用录入（明细）'!D:D=$F$4,'领用录入（明细）'!C:C&gt;=$J$4,'领用录入（明细）'!C:C&lt;=$L$4),ROW(),"-")</f>
        <v>-</v>
      </c>
    </row>
    <row r="19525" customHeight="1" spans="2:2">
      <c r="B19525" s="62" t="str">
        <f>IF(AND('领用录入（明细）'!D:D=$F$4,'领用录入（明细）'!C:C&gt;=$J$4,'领用录入（明细）'!C:C&lt;=$L$4),ROW(),"-")</f>
        <v>-</v>
      </c>
    </row>
    <row r="19526" customHeight="1" spans="2:2">
      <c r="B19526" s="62" t="str">
        <f>IF(AND('领用录入（明细）'!D:D=$F$4,'领用录入（明细）'!C:C&gt;=$J$4,'领用录入（明细）'!C:C&lt;=$L$4),ROW(),"-")</f>
        <v>-</v>
      </c>
    </row>
    <row r="19527" customHeight="1" spans="2:2">
      <c r="B19527" s="62" t="str">
        <f>IF(AND('领用录入（明细）'!D:D=$F$4,'领用录入（明细）'!C:C&gt;=$J$4,'领用录入（明细）'!C:C&lt;=$L$4),ROW(),"-")</f>
        <v>-</v>
      </c>
    </row>
    <row r="19528" customHeight="1" spans="2:2">
      <c r="B19528" s="62" t="str">
        <f>IF(AND('领用录入（明细）'!D:D=$F$4,'领用录入（明细）'!C:C&gt;=$J$4,'领用录入（明细）'!C:C&lt;=$L$4),ROW(),"-")</f>
        <v>-</v>
      </c>
    </row>
    <row r="19529" customHeight="1" spans="2:2">
      <c r="B19529" s="62" t="str">
        <f>IF(AND('领用录入（明细）'!D:D=$F$4,'领用录入（明细）'!C:C&gt;=$J$4,'领用录入（明细）'!C:C&lt;=$L$4),ROW(),"-")</f>
        <v>-</v>
      </c>
    </row>
    <row r="19530" customHeight="1" spans="2:2">
      <c r="B19530" s="62" t="str">
        <f>IF(AND('领用录入（明细）'!D:D=$F$4,'领用录入（明细）'!C:C&gt;=$J$4,'领用录入（明细）'!C:C&lt;=$L$4),ROW(),"-")</f>
        <v>-</v>
      </c>
    </row>
    <row r="19531" customHeight="1" spans="2:2">
      <c r="B19531" s="62" t="str">
        <f>IF(AND('领用录入（明细）'!D:D=$F$4,'领用录入（明细）'!C:C&gt;=$J$4,'领用录入（明细）'!C:C&lt;=$L$4),ROW(),"-")</f>
        <v>-</v>
      </c>
    </row>
    <row r="19532" customHeight="1" spans="2:2">
      <c r="B19532" s="62" t="str">
        <f>IF(AND('领用录入（明细）'!D:D=$F$4,'领用录入（明细）'!C:C&gt;=$J$4,'领用录入（明细）'!C:C&lt;=$L$4),ROW(),"-")</f>
        <v>-</v>
      </c>
    </row>
    <row r="19533" customHeight="1" spans="2:2">
      <c r="B19533" s="62" t="str">
        <f>IF(AND('领用录入（明细）'!D:D=$F$4,'领用录入（明细）'!C:C&gt;=$J$4,'领用录入（明细）'!C:C&lt;=$L$4),ROW(),"-")</f>
        <v>-</v>
      </c>
    </row>
    <row r="19534" customHeight="1" spans="2:2">
      <c r="B19534" s="62" t="str">
        <f>IF(AND('领用录入（明细）'!D:D=$F$4,'领用录入（明细）'!C:C&gt;=$J$4,'领用录入（明细）'!C:C&lt;=$L$4),ROW(),"-")</f>
        <v>-</v>
      </c>
    </row>
    <row r="19535" customHeight="1" spans="2:2">
      <c r="B19535" s="62" t="str">
        <f>IF(AND('领用录入（明细）'!D:D=$F$4,'领用录入（明细）'!C:C&gt;=$J$4,'领用录入（明细）'!C:C&lt;=$L$4),ROW(),"-")</f>
        <v>-</v>
      </c>
    </row>
    <row r="19536" customHeight="1" spans="2:2">
      <c r="B19536" s="62" t="str">
        <f>IF(AND('领用录入（明细）'!D:D=$F$4,'领用录入（明细）'!C:C&gt;=$J$4,'领用录入（明细）'!C:C&lt;=$L$4),ROW(),"-")</f>
        <v>-</v>
      </c>
    </row>
    <row r="19537" customHeight="1" spans="2:2">
      <c r="B19537" s="62" t="str">
        <f>IF(AND('领用录入（明细）'!D:D=$F$4,'领用录入（明细）'!C:C&gt;=$J$4,'领用录入（明细）'!C:C&lt;=$L$4),ROW(),"-")</f>
        <v>-</v>
      </c>
    </row>
    <row r="19538" customHeight="1" spans="2:2">
      <c r="B19538" s="62" t="str">
        <f>IF(AND('领用录入（明细）'!D:D=$F$4,'领用录入（明细）'!C:C&gt;=$J$4,'领用录入（明细）'!C:C&lt;=$L$4),ROW(),"-")</f>
        <v>-</v>
      </c>
    </row>
    <row r="19539" customHeight="1" spans="2:2">
      <c r="B19539" s="62" t="str">
        <f>IF(AND('领用录入（明细）'!D:D=$F$4,'领用录入（明细）'!C:C&gt;=$J$4,'领用录入（明细）'!C:C&lt;=$L$4),ROW(),"-")</f>
        <v>-</v>
      </c>
    </row>
    <row r="19540" customHeight="1" spans="2:2">
      <c r="B19540" s="62" t="str">
        <f>IF(AND('领用录入（明细）'!D:D=$F$4,'领用录入（明细）'!C:C&gt;=$J$4,'领用录入（明细）'!C:C&lt;=$L$4),ROW(),"-")</f>
        <v>-</v>
      </c>
    </row>
    <row r="19541" customHeight="1" spans="2:2">
      <c r="B19541" s="62" t="str">
        <f>IF(AND('领用录入（明细）'!D:D=$F$4,'领用录入（明细）'!C:C&gt;=$J$4,'领用录入（明细）'!C:C&lt;=$L$4),ROW(),"-")</f>
        <v>-</v>
      </c>
    </row>
    <row r="19542" customHeight="1" spans="2:2">
      <c r="B19542" s="62" t="str">
        <f>IF(AND('领用录入（明细）'!D:D=$F$4,'领用录入（明细）'!C:C&gt;=$J$4,'领用录入（明细）'!C:C&lt;=$L$4),ROW(),"-")</f>
        <v>-</v>
      </c>
    </row>
    <row r="19543" customHeight="1" spans="2:2">
      <c r="B19543" s="62" t="str">
        <f>IF(AND('领用录入（明细）'!D:D=$F$4,'领用录入（明细）'!C:C&gt;=$J$4,'领用录入（明细）'!C:C&lt;=$L$4),ROW(),"-")</f>
        <v>-</v>
      </c>
    </row>
    <row r="19544" customHeight="1" spans="2:2">
      <c r="B19544" s="62" t="str">
        <f>IF(AND('领用录入（明细）'!D:D=$F$4,'领用录入（明细）'!C:C&gt;=$J$4,'领用录入（明细）'!C:C&lt;=$L$4),ROW(),"-")</f>
        <v>-</v>
      </c>
    </row>
    <row r="19545" customHeight="1" spans="2:2">
      <c r="B19545" s="62" t="str">
        <f>IF(AND('领用录入（明细）'!D:D=$F$4,'领用录入（明细）'!C:C&gt;=$J$4,'领用录入（明细）'!C:C&lt;=$L$4),ROW(),"-")</f>
        <v>-</v>
      </c>
    </row>
    <row r="19546" customHeight="1" spans="2:2">
      <c r="B19546" s="62" t="str">
        <f>IF(AND('领用录入（明细）'!D:D=$F$4,'领用录入（明细）'!C:C&gt;=$J$4,'领用录入（明细）'!C:C&lt;=$L$4),ROW(),"-")</f>
        <v>-</v>
      </c>
    </row>
    <row r="19547" customHeight="1" spans="2:2">
      <c r="B19547" s="62" t="str">
        <f>IF(AND('领用录入（明细）'!D:D=$F$4,'领用录入（明细）'!C:C&gt;=$J$4,'领用录入（明细）'!C:C&lt;=$L$4),ROW(),"-")</f>
        <v>-</v>
      </c>
    </row>
    <row r="19548" customHeight="1" spans="2:2">
      <c r="B19548" s="62" t="str">
        <f>IF(AND('领用录入（明细）'!D:D=$F$4,'领用录入（明细）'!C:C&gt;=$J$4,'领用录入（明细）'!C:C&lt;=$L$4),ROW(),"-")</f>
        <v>-</v>
      </c>
    </row>
    <row r="19549" customHeight="1" spans="2:2">
      <c r="B19549" s="62" t="str">
        <f>IF(AND('领用录入（明细）'!D:D=$F$4,'领用录入（明细）'!C:C&gt;=$J$4,'领用录入（明细）'!C:C&lt;=$L$4),ROW(),"-")</f>
        <v>-</v>
      </c>
    </row>
    <row r="19550" customHeight="1" spans="2:2">
      <c r="B19550" s="62" t="str">
        <f>IF(AND('领用录入（明细）'!D:D=$F$4,'领用录入（明细）'!C:C&gt;=$J$4,'领用录入（明细）'!C:C&lt;=$L$4),ROW(),"-")</f>
        <v>-</v>
      </c>
    </row>
    <row r="19551" customHeight="1" spans="2:2">
      <c r="B19551" s="62" t="str">
        <f>IF(AND('领用录入（明细）'!D:D=$F$4,'领用录入（明细）'!C:C&gt;=$J$4,'领用录入（明细）'!C:C&lt;=$L$4),ROW(),"-")</f>
        <v>-</v>
      </c>
    </row>
    <row r="19552" customHeight="1" spans="2:2">
      <c r="B19552" s="62" t="str">
        <f>IF(AND('领用录入（明细）'!D:D=$F$4,'领用录入（明细）'!C:C&gt;=$J$4,'领用录入（明细）'!C:C&lt;=$L$4),ROW(),"-")</f>
        <v>-</v>
      </c>
    </row>
    <row r="19553" customHeight="1" spans="2:2">
      <c r="B19553" s="62" t="str">
        <f>IF(AND('领用录入（明细）'!D:D=$F$4,'领用录入（明细）'!C:C&gt;=$J$4,'领用录入（明细）'!C:C&lt;=$L$4),ROW(),"-")</f>
        <v>-</v>
      </c>
    </row>
    <row r="19554" customHeight="1" spans="2:2">
      <c r="B19554" s="62" t="str">
        <f>IF(AND('领用录入（明细）'!D:D=$F$4,'领用录入（明细）'!C:C&gt;=$J$4,'领用录入（明细）'!C:C&lt;=$L$4),ROW(),"-")</f>
        <v>-</v>
      </c>
    </row>
    <row r="19555" customHeight="1" spans="2:2">
      <c r="B19555" s="62" t="str">
        <f>IF(AND('领用录入（明细）'!D:D=$F$4,'领用录入（明细）'!C:C&gt;=$J$4,'领用录入（明细）'!C:C&lt;=$L$4),ROW(),"-")</f>
        <v>-</v>
      </c>
    </row>
    <row r="19556" customHeight="1" spans="2:2">
      <c r="B19556" s="62" t="str">
        <f>IF(AND('领用录入（明细）'!D:D=$F$4,'领用录入（明细）'!C:C&gt;=$J$4,'领用录入（明细）'!C:C&lt;=$L$4),ROW(),"-")</f>
        <v>-</v>
      </c>
    </row>
    <row r="19557" customHeight="1" spans="2:2">
      <c r="B19557" s="62" t="str">
        <f>IF(AND('领用录入（明细）'!D:D=$F$4,'领用录入（明细）'!C:C&gt;=$J$4,'领用录入（明细）'!C:C&lt;=$L$4),ROW(),"-")</f>
        <v>-</v>
      </c>
    </row>
    <row r="19558" customHeight="1" spans="2:2">
      <c r="B19558" s="62" t="str">
        <f>IF(AND('领用录入（明细）'!D:D=$F$4,'领用录入（明细）'!C:C&gt;=$J$4,'领用录入（明细）'!C:C&lt;=$L$4),ROW(),"-")</f>
        <v>-</v>
      </c>
    </row>
    <row r="19559" customHeight="1" spans="2:2">
      <c r="B19559" s="62" t="str">
        <f>IF(AND('领用录入（明细）'!D:D=$F$4,'领用录入（明细）'!C:C&gt;=$J$4,'领用录入（明细）'!C:C&lt;=$L$4),ROW(),"-")</f>
        <v>-</v>
      </c>
    </row>
    <row r="19560" customHeight="1" spans="2:2">
      <c r="B19560" s="62" t="str">
        <f>IF(AND('领用录入（明细）'!D:D=$F$4,'领用录入（明细）'!C:C&gt;=$J$4,'领用录入（明细）'!C:C&lt;=$L$4),ROW(),"-")</f>
        <v>-</v>
      </c>
    </row>
    <row r="19561" customHeight="1" spans="2:2">
      <c r="B19561" s="62" t="str">
        <f>IF(AND('领用录入（明细）'!D:D=$F$4,'领用录入（明细）'!C:C&gt;=$J$4,'领用录入（明细）'!C:C&lt;=$L$4),ROW(),"-")</f>
        <v>-</v>
      </c>
    </row>
    <row r="19562" customHeight="1" spans="2:2">
      <c r="B19562" s="62" t="str">
        <f>IF(AND('领用录入（明细）'!D:D=$F$4,'领用录入（明细）'!C:C&gt;=$J$4,'领用录入（明细）'!C:C&lt;=$L$4),ROW(),"-")</f>
        <v>-</v>
      </c>
    </row>
    <row r="19563" customHeight="1" spans="2:2">
      <c r="B19563" s="62" t="str">
        <f>IF(AND('领用录入（明细）'!D:D=$F$4,'领用录入（明细）'!C:C&gt;=$J$4,'领用录入（明细）'!C:C&lt;=$L$4),ROW(),"-")</f>
        <v>-</v>
      </c>
    </row>
    <row r="19564" customHeight="1" spans="2:2">
      <c r="B19564" s="62" t="str">
        <f>IF(AND('领用录入（明细）'!D:D=$F$4,'领用录入（明细）'!C:C&gt;=$J$4,'领用录入（明细）'!C:C&lt;=$L$4),ROW(),"-")</f>
        <v>-</v>
      </c>
    </row>
    <row r="19565" customHeight="1" spans="2:2">
      <c r="B19565" s="62" t="str">
        <f>IF(AND('领用录入（明细）'!D:D=$F$4,'领用录入（明细）'!C:C&gt;=$J$4,'领用录入（明细）'!C:C&lt;=$L$4),ROW(),"-")</f>
        <v>-</v>
      </c>
    </row>
    <row r="19566" customHeight="1" spans="2:2">
      <c r="B19566" s="62" t="str">
        <f>IF(AND('领用录入（明细）'!D:D=$F$4,'领用录入（明细）'!C:C&gt;=$J$4,'领用录入（明细）'!C:C&lt;=$L$4),ROW(),"-")</f>
        <v>-</v>
      </c>
    </row>
    <row r="19567" customHeight="1" spans="2:2">
      <c r="B19567" s="62" t="str">
        <f>IF(AND('领用录入（明细）'!D:D=$F$4,'领用录入（明细）'!C:C&gt;=$J$4,'领用录入（明细）'!C:C&lt;=$L$4),ROW(),"-")</f>
        <v>-</v>
      </c>
    </row>
    <row r="19568" customHeight="1" spans="2:2">
      <c r="B19568" s="62" t="str">
        <f>IF(AND('领用录入（明细）'!D:D=$F$4,'领用录入（明细）'!C:C&gt;=$J$4,'领用录入（明细）'!C:C&lt;=$L$4),ROW(),"-")</f>
        <v>-</v>
      </c>
    </row>
    <row r="19569" customHeight="1" spans="2:2">
      <c r="B19569" s="62" t="str">
        <f>IF(AND('领用录入（明细）'!D:D=$F$4,'领用录入（明细）'!C:C&gt;=$J$4,'领用录入（明细）'!C:C&lt;=$L$4),ROW(),"-")</f>
        <v>-</v>
      </c>
    </row>
    <row r="19570" customHeight="1" spans="2:2">
      <c r="B19570" s="62" t="str">
        <f>IF(AND('领用录入（明细）'!D:D=$F$4,'领用录入（明细）'!C:C&gt;=$J$4,'领用录入（明细）'!C:C&lt;=$L$4),ROW(),"-")</f>
        <v>-</v>
      </c>
    </row>
    <row r="19571" customHeight="1" spans="2:2">
      <c r="B19571" s="62" t="str">
        <f>IF(AND('领用录入（明细）'!D:D=$F$4,'领用录入（明细）'!C:C&gt;=$J$4,'领用录入（明细）'!C:C&lt;=$L$4),ROW(),"-")</f>
        <v>-</v>
      </c>
    </row>
    <row r="19572" customHeight="1" spans="2:2">
      <c r="B19572" s="62" t="str">
        <f>IF(AND('领用录入（明细）'!D:D=$F$4,'领用录入（明细）'!C:C&gt;=$J$4,'领用录入（明细）'!C:C&lt;=$L$4),ROW(),"-")</f>
        <v>-</v>
      </c>
    </row>
    <row r="19573" customHeight="1" spans="2:2">
      <c r="B19573" s="62" t="str">
        <f>IF(AND('领用录入（明细）'!D:D=$F$4,'领用录入（明细）'!C:C&gt;=$J$4,'领用录入（明细）'!C:C&lt;=$L$4),ROW(),"-")</f>
        <v>-</v>
      </c>
    </row>
    <row r="19574" customHeight="1" spans="2:2">
      <c r="B19574" s="62" t="str">
        <f>IF(AND('领用录入（明细）'!D:D=$F$4,'领用录入（明细）'!C:C&gt;=$J$4,'领用录入（明细）'!C:C&lt;=$L$4),ROW(),"-")</f>
        <v>-</v>
      </c>
    </row>
    <row r="19575" customHeight="1" spans="2:2">
      <c r="B19575" s="62" t="str">
        <f>IF(AND('领用录入（明细）'!D:D=$F$4,'领用录入（明细）'!C:C&gt;=$J$4,'领用录入（明细）'!C:C&lt;=$L$4),ROW(),"-")</f>
        <v>-</v>
      </c>
    </row>
    <row r="19576" customHeight="1" spans="2:2">
      <c r="B19576" s="62" t="str">
        <f>IF(AND('领用录入（明细）'!D:D=$F$4,'领用录入（明细）'!C:C&gt;=$J$4,'领用录入（明细）'!C:C&lt;=$L$4),ROW(),"-")</f>
        <v>-</v>
      </c>
    </row>
    <row r="19577" customHeight="1" spans="2:2">
      <c r="B19577" s="62" t="str">
        <f>IF(AND('领用录入（明细）'!D:D=$F$4,'领用录入（明细）'!C:C&gt;=$J$4,'领用录入（明细）'!C:C&lt;=$L$4),ROW(),"-")</f>
        <v>-</v>
      </c>
    </row>
    <row r="19578" customHeight="1" spans="2:2">
      <c r="B19578" s="62" t="str">
        <f>IF(AND('领用录入（明细）'!D:D=$F$4,'领用录入（明细）'!C:C&gt;=$J$4,'领用录入（明细）'!C:C&lt;=$L$4),ROW(),"-")</f>
        <v>-</v>
      </c>
    </row>
    <row r="19579" customHeight="1" spans="2:2">
      <c r="B19579" s="62" t="str">
        <f>IF(AND('领用录入（明细）'!D:D=$F$4,'领用录入（明细）'!C:C&gt;=$J$4,'领用录入（明细）'!C:C&lt;=$L$4),ROW(),"-")</f>
        <v>-</v>
      </c>
    </row>
    <row r="19580" customHeight="1" spans="2:2">
      <c r="B19580" s="62" t="str">
        <f>IF(AND('领用录入（明细）'!D:D=$F$4,'领用录入（明细）'!C:C&gt;=$J$4,'领用录入（明细）'!C:C&lt;=$L$4),ROW(),"-")</f>
        <v>-</v>
      </c>
    </row>
    <row r="19581" customHeight="1" spans="2:2">
      <c r="B19581" s="62" t="str">
        <f>IF(AND('领用录入（明细）'!D:D=$F$4,'领用录入（明细）'!C:C&gt;=$J$4,'领用录入（明细）'!C:C&lt;=$L$4),ROW(),"-")</f>
        <v>-</v>
      </c>
    </row>
    <row r="19582" customHeight="1" spans="2:2">
      <c r="B19582" s="62" t="str">
        <f>IF(AND('领用录入（明细）'!D:D=$F$4,'领用录入（明细）'!C:C&gt;=$J$4,'领用录入（明细）'!C:C&lt;=$L$4),ROW(),"-")</f>
        <v>-</v>
      </c>
    </row>
    <row r="19583" customHeight="1" spans="2:2">
      <c r="B19583" s="62" t="str">
        <f>IF(AND('领用录入（明细）'!D:D=$F$4,'领用录入（明细）'!C:C&gt;=$J$4,'领用录入（明细）'!C:C&lt;=$L$4),ROW(),"-")</f>
        <v>-</v>
      </c>
    </row>
    <row r="19584" customHeight="1" spans="2:2">
      <c r="B19584" s="62" t="str">
        <f>IF(AND('领用录入（明细）'!D:D=$F$4,'领用录入（明细）'!C:C&gt;=$J$4,'领用录入（明细）'!C:C&lt;=$L$4),ROW(),"-")</f>
        <v>-</v>
      </c>
    </row>
    <row r="19585" customHeight="1" spans="2:2">
      <c r="B19585" s="62" t="str">
        <f>IF(AND('领用录入（明细）'!D:D=$F$4,'领用录入（明细）'!C:C&gt;=$J$4,'领用录入（明细）'!C:C&lt;=$L$4),ROW(),"-")</f>
        <v>-</v>
      </c>
    </row>
    <row r="19586" customHeight="1" spans="2:2">
      <c r="B19586" s="62" t="str">
        <f>IF(AND('领用录入（明细）'!D:D=$F$4,'领用录入（明细）'!C:C&gt;=$J$4,'领用录入（明细）'!C:C&lt;=$L$4),ROW(),"-")</f>
        <v>-</v>
      </c>
    </row>
    <row r="19587" customHeight="1" spans="2:2">
      <c r="B19587" s="62" t="str">
        <f>IF(AND('领用录入（明细）'!D:D=$F$4,'领用录入（明细）'!C:C&gt;=$J$4,'领用录入（明细）'!C:C&lt;=$L$4),ROW(),"-")</f>
        <v>-</v>
      </c>
    </row>
    <row r="19588" customHeight="1" spans="2:2">
      <c r="B19588" s="62" t="str">
        <f>IF(AND('领用录入（明细）'!D:D=$F$4,'领用录入（明细）'!C:C&gt;=$J$4,'领用录入（明细）'!C:C&lt;=$L$4),ROW(),"-")</f>
        <v>-</v>
      </c>
    </row>
    <row r="19589" customHeight="1" spans="2:2">
      <c r="B19589" s="62" t="str">
        <f>IF(AND('领用录入（明细）'!D:D=$F$4,'领用录入（明细）'!C:C&gt;=$J$4,'领用录入（明细）'!C:C&lt;=$L$4),ROW(),"-")</f>
        <v>-</v>
      </c>
    </row>
    <row r="19590" customHeight="1" spans="2:2">
      <c r="B19590" s="62" t="str">
        <f>IF(AND('领用录入（明细）'!D:D=$F$4,'领用录入（明细）'!C:C&gt;=$J$4,'领用录入（明细）'!C:C&lt;=$L$4),ROW(),"-")</f>
        <v>-</v>
      </c>
    </row>
    <row r="19591" customHeight="1" spans="2:2">
      <c r="B19591" s="62" t="str">
        <f>IF(AND('领用录入（明细）'!D:D=$F$4,'领用录入（明细）'!C:C&gt;=$J$4,'领用录入（明细）'!C:C&lt;=$L$4),ROW(),"-")</f>
        <v>-</v>
      </c>
    </row>
    <row r="19592" customHeight="1" spans="2:2">
      <c r="B19592" s="62" t="str">
        <f>IF(AND('领用录入（明细）'!D:D=$F$4,'领用录入（明细）'!C:C&gt;=$J$4,'领用录入（明细）'!C:C&lt;=$L$4),ROW(),"-")</f>
        <v>-</v>
      </c>
    </row>
    <row r="19593" customHeight="1" spans="2:2">
      <c r="B19593" s="62" t="str">
        <f>IF(AND('领用录入（明细）'!D:D=$F$4,'领用录入（明细）'!C:C&gt;=$J$4,'领用录入（明细）'!C:C&lt;=$L$4),ROW(),"-")</f>
        <v>-</v>
      </c>
    </row>
    <row r="19594" customHeight="1" spans="2:2">
      <c r="B19594" s="62" t="str">
        <f>IF(AND('领用录入（明细）'!D:D=$F$4,'领用录入（明细）'!C:C&gt;=$J$4,'领用录入（明细）'!C:C&lt;=$L$4),ROW(),"-")</f>
        <v>-</v>
      </c>
    </row>
    <row r="19595" customHeight="1" spans="2:2">
      <c r="B19595" s="62" t="str">
        <f>IF(AND('领用录入（明细）'!D:D=$F$4,'领用录入（明细）'!C:C&gt;=$J$4,'领用录入（明细）'!C:C&lt;=$L$4),ROW(),"-")</f>
        <v>-</v>
      </c>
    </row>
    <row r="19596" customHeight="1" spans="2:2">
      <c r="B19596" s="62" t="str">
        <f>IF(AND('领用录入（明细）'!D:D=$F$4,'领用录入（明细）'!C:C&gt;=$J$4,'领用录入（明细）'!C:C&lt;=$L$4),ROW(),"-")</f>
        <v>-</v>
      </c>
    </row>
    <row r="19597" customHeight="1" spans="2:2">
      <c r="B19597" s="62" t="str">
        <f>IF(AND('领用录入（明细）'!D:D=$F$4,'领用录入（明细）'!C:C&gt;=$J$4,'领用录入（明细）'!C:C&lt;=$L$4),ROW(),"-")</f>
        <v>-</v>
      </c>
    </row>
    <row r="19598" customHeight="1" spans="2:2">
      <c r="B19598" s="62" t="str">
        <f>IF(AND('领用录入（明细）'!D:D=$F$4,'领用录入（明细）'!C:C&gt;=$J$4,'领用录入（明细）'!C:C&lt;=$L$4),ROW(),"-")</f>
        <v>-</v>
      </c>
    </row>
    <row r="19599" customHeight="1" spans="2:2">
      <c r="B19599" s="62" t="str">
        <f>IF(AND('领用录入（明细）'!D:D=$F$4,'领用录入（明细）'!C:C&gt;=$J$4,'领用录入（明细）'!C:C&lt;=$L$4),ROW(),"-")</f>
        <v>-</v>
      </c>
    </row>
    <row r="19600" customHeight="1" spans="2:2">
      <c r="B19600" s="62" t="str">
        <f>IF(AND('领用录入（明细）'!D:D=$F$4,'领用录入（明细）'!C:C&gt;=$J$4,'领用录入（明细）'!C:C&lt;=$L$4),ROW(),"-")</f>
        <v>-</v>
      </c>
    </row>
    <row r="19601" customHeight="1" spans="2:2">
      <c r="B19601" s="62" t="str">
        <f>IF(AND('领用录入（明细）'!D:D=$F$4,'领用录入（明细）'!C:C&gt;=$J$4,'领用录入（明细）'!C:C&lt;=$L$4),ROW(),"-")</f>
        <v>-</v>
      </c>
    </row>
    <row r="19602" customHeight="1" spans="2:2">
      <c r="B19602" s="62" t="str">
        <f>IF(AND('领用录入（明细）'!D:D=$F$4,'领用录入（明细）'!C:C&gt;=$J$4,'领用录入（明细）'!C:C&lt;=$L$4),ROW(),"-")</f>
        <v>-</v>
      </c>
    </row>
    <row r="19603" customHeight="1" spans="2:2">
      <c r="B19603" s="62" t="str">
        <f>IF(AND('领用录入（明细）'!D:D=$F$4,'领用录入（明细）'!C:C&gt;=$J$4,'领用录入（明细）'!C:C&lt;=$L$4),ROW(),"-")</f>
        <v>-</v>
      </c>
    </row>
    <row r="19604" customHeight="1" spans="2:2">
      <c r="B19604" s="62" t="str">
        <f>IF(AND('领用录入（明细）'!D:D=$F$4,'领用录入（明细）'!C:C&gt;=$J$4,'领用录入（明细）'!C:C&lt;=$L$4),ROW(),"-")</f>
        <v>-</v>
      </c>
    </row>
    <row r="19605" customHeight="1" spans="2:2">
      <c r="B19605" s="62" t="str">
        <f>IF(AND('领用录入（明细）'!D:D=$F$4,'领用录入（明细）'!C:C&gt;=$J$4,'领用录入（明细）'!C:C&lt;=$L$4),ROW(),"-")</f>
        <v>-</v>
      </c>
    </row>
    <row r="19606" customHeight="1" spans="2:2">
      <c r="B19606" s="62" t="str">
        <f>IF(AND('领用录入（明细）'!D:D=$F$4,'领用录入（明细）'!C:C&gt;=$J$4,'领用录入（明细）'!C:C&lt;=$L$4),ROW(),"-")</f>
        <v>-</v>
      </c>
    </row>
    <row r="19607" customHeight="1" spans="2:2">
      <c r="B19607" s="62" t="str">
        <f>IF(AND('领用录入（明细）'!D:D=$F$4,'领用录入（明细）'!C:C&gt;=$J$4,'领用录入（明细）'!C:C&lt;=$L$4),ROW(),"-")</f>
        <v>-</v>
      </c>
    </row>
    <row r="19608" customHeight="1" spans="2:2">
      <c r="B19608" s="62" t="str">
        <f>IF(AND('领用录入（明细）'!D:D=$F$4,'领用录入（明细）'!C:C&gt;=$J$4,'领用录入（明细）'!C:C&lt;=$L$4),ROW(),"-")</f>
        <v>-</v>
      </c>
    </row>
    <row r="19609" customHeight="1" spans="2:2">
      <c r="B19609" s="62" t="str">
        <f>IF(AND('领用录入（明细）'!D:D=$F$4,'领用录入（明细）'!C:C&gt;=$J$4,'领用录入（明细）'!C:C&lt;=$L$4),ROW(),"-")</f>
        <v>-</v>
      </c>
    </row>
    <row r="19610" customHeight="1" spans="2:2">
      <c r="B19610" s="62" t="str">
        <f>IF(AND('领用录入（明细）'!D:D=$F$4,'领用录入（明细）'!C:C&gt;=$J$4,'领用录入（明细）'!C:C&lt;=$L$4),ROW(),"-")</f>
        <v>-</v>
      </c>
    </row>
    <row r="19611" customHeight="1" spans="2:2">
      <c r="B19611" s="62" t="str">
        <f>IF(AND('领用录入（明细）'!D:D=$F$4,'领用录入（明细）'!C:C&gt;=$J$4,'领用录入（明细）'!C:C&lt;=$L$4),ROW(),"-")</f>
        <v>-</v>
      </c>
    </row>
    <row r="19612" customHeight="1" spans="2:2">
      <c r="B19612" s="62" t="str">
        <f>IF(AND('领用录入（明细）'!D:D=$F$4,'领用录入（明细）'!C:C&gt;=$J$4,'领用录入（明细）'!C:C&lt;=$L$4),ROW(),"-")</f>
        <v>-</v>
      </c>
    </row>
    <row r="19613" customHeight="1" spans="2:2">
      <c r="B19613" s="62" t="str">
        <f>IF(AND('领用录入（明细）'!D:D=$F$4,'领用录入（明细）'!C:C&gt;=$J$4,'领用录入（明细）'!C:C&lt;=$L$4),ROW(),"-")</f>
        <v>-</v>
      </c>
    </row>
    <row r="19614" customHeight="1" spans="2:2">
      <c r="B19614" s="62" t="str">
        <f>IF(AND('领用录入（明细）'!D:D=$F$4,'领用录入（明细）'!C:C&gt;=$J$4,'领用录入（明细）'!C:C&lt;=$L$4),ROW(),"-")</f>
        <v>-</v>
      </c>
    </row>
    <row r="19615" customHeight="1" spans="2:2">
      <c r="B19615" s="62" t="str">
        <f>IF(AND('领用录入（明细）'!D:D=$F$4,'领用录入（明细）'!C:C&gt;=$J$4,'领用录入（明细）'!C:C&lt;=$L$4),ROW(),"-")</f>
        <v>-</v>
      </c>
    </row>
    <row r="19616" customHeight="1" spans="2:2">
      <c r="B19616" s="62" t="str">
        <f>IF(AND('领用录入（明细）'!D:D=$F$4,'领用录入（明细）'!C:C&gt;=$J$4,'领用录入（明细）'!C:C&lt;=$L$4),ROW(),"-")</f>
        <v>-</v>
      </c>
    </row>
    <row r="19617" customHeight="1" spans="2:2">
      <c r="B19617" s="62" t="str">
        <f>IF(AND('领用录入（明细）'!D:D=$F$4,'领用录入（明细）'!C:C&gt;=$J$4,'领用录入（明细）'!C:C&lt;=$L$4),ROW(),"-")</f>
        <v>-</v>
      </c>
    </row>
    <row r="19618" customHeight="1" spans="2:2">
      <c r="B19618" s="62" t="str">
        <f>IF(AND('领用录入（明细）'!D:D=$F$4,'领用录入（明细）'!C:C&gt;=$J$4,'领用录入（明细）'!C:C&lt;=$L$4),ROW(),"-")</f>
        <v>-</v>
      </c>
    </row>
    <row r="19619" customHeight="1" spans="2:2">
      <c r="B19619" s="62" t="str">
        <f>IF(AND('领用录入（明细）'!D:D=$F$4,'领用录入（明细）'!C:C&gt;=$J$4,'领用录入（明细）'!C:C&lt;=$L$4),ROW(),"-")</f>
        <v>-</v>
      </c>
    </row>
    <row r="19620" customHeight="1" spans="2:2">
      <c r="B19620" s="62" t="str">
        <f>IF(AND('领用录入（明细）'!D:D=$F$4,'领用录入（明细）'!C:C&gt;=$J$4,'领用录入（明细）'!C:C&lt;=$L$4),ROW(),"-")</f>
        <v>-</v>
      </c>
    </row>
    <row r="19621" customHeight="1" spans="2:2">
      <c r="B19621" s="62" t="str">
        <f>IF(AND('领用录入（明细）'!D:D=$F$4,'领用录入（明细）'!C:C&gt;=$J$4,'领用录入（明细）'!C:C&lt;=$L$4),ROW(),"-")</f>
        <v>-</v>
      </c>
    </row>
    <row r="19622" customHeight="1" spans="2:2">
      <c r="B19622" s="62" t="str">
        <f>IF(AND('领用录入（明细）'!D:D=$F$4,'领用录入（明细）'!C:C&gt;=$J$4,'领用录入（明细）'!C:C&lt;=$L$4),ROW(),"-")</f>
        <v>-</v>
      </c>
    </row>
    <row r="19623" customHeight="1" spans="2:2">
      <c r="B19623" s="62" t="str">
        <f>IF(AND('领用录入（明细）'!D:D=$F$4,'领用录入（明细）'!C:C&gt;=$J$4,'领用录入（明细）'!C:C&lt;=$L$4),ROW(),"-")</f>
        <v>-</v>
      </c>
    </row>
    <row r="19624" customHeight="1" spans="2:2">
      <c r="B19624" s="62" t="str">
        <f>IF(AND('领用录入（明细）'!D:D=$F$4,'领用录入（明细）'!C:C&gt;=$J$4,'领用录入（明细）'!C:C&lt;=$L$4),ROW(),"-")</f>
        <v>-</v>
      </c>
    </row>
    <row r="19625" customHeight="1" spans="2:2">
      <c r="B19625" s="62" t="str">
        <f>IF(AND('领用录入（明细）'!D:D=$F$4,'领用录入（明细）'!C:C&gt;=$J$4,'领用录入（明细）'!C:C&lt;=$L$4),ROW(),"-")</f>
        <v>-</v>
      </c>
    </row>
    <row r="19626" customHeight="1" spans="2:2">
      <c r="B19626" s="62" t="str">
        <f>IF(AND('领用录入（明细）'!D:D=$F$4,'领用录入（明细）'!C:C&gt;=$J$4,'领用录入（明细）'!C:C&lt;=$L$4),ROW(),"-")</f>
        <v>-</v>
      </c>
    </row>
    <row r="19627" customHeight="1" spans="2:2">
      <c r="B19627" s="62" t="str">
        <f>IF(AND('领用录入（明细）'!D:D=$F$4,'领用录入（明细）'!C:C&gt;=$J$4,'领用录入（明细）'!C:C&lt;=$L$4),ROW(),"-")</f>
        <v>-</v>
      </c>
    </row>
    <row r="19628" customHeight="1" spans="2:2">
      <c r="B19628" s="62" t="str">
        <f>IF(AND('领用录入（明细）'!D:D=$F$4,'领用录入（明细）'!C:C&gt;=$J$4,'领用录入（明细）'!C:C&lt;=$L$4),ROW(),"-")</f>
        <v>-</v>
      </c>
    </row>
    <row r="19629" customHeight="1" spans="2:2">
      <c r="B19629" s="62" t="str">
        <f>IF(AND('领用录入（明细）'!D:D=$F$4,'领用录入（明细）'!C:C&gt;=$J$4,'领用录入（明细）'!C:C&lt;=$L$4),ROW(),"-")</f>
        <v>-</v>
      </c>
    </row>
    <row r="19630" customHeight="1" spans="2:2">
      <c r="B19630" s="62" t="str">
        <f>IF(AND('领用录入（明细）'!D:D=$F$4,'领用录入（明细）'!C:C&gt;=$J$4,'领用录入（明细）'!C:C&lt;=$L$4),ROW(),"-")</f>
        <v>-</v>
      </c>
    </row>
    <row r="19631" customHeight="1" spans="2:2">
      <c r="B19631" s="62" t="str">
        <f>IF(AND('领用录入（明细）'!D:D=$F$4,'领用录入（明细）'!C:C&gt;=$J$4,'领用录入（明细）'!C:C&lt;=$L$4),ROW(),"-")</f>
        <v>-</v>
      </c>
    </row>
    <row r="19632" customHeight="1" spans="2:2">
      <c r="B19632" s="62" t="str">
        <f>IF(AND('领用录入（明细）'!D:D=$F$4,'领用录入（明细）'!C:C&gt;=$J$4,'领用录入（明细）'!C:C&lt;=$L$4),ROW(),"-")</f>
        <v>-</v>
      </c>
    </row>
    <row r="19633" customHeight="1" spans="2:2">
      <c r="B19633" s="62" t="str">
        <f>IF(AND('领用录入（明细）'!D:D=$F$4,'领用录入（明细）'!C:C&gt;=$J$4,'领用录入（明细）'!C:C&lt;=$L$4),ROW(),"-")</f>
        <v>-</v>
      </c>
    </row>
    <row r="19634" customHeight="1" spans="2:2">
      <c r="B19634" s="62" t="str">
        <f>IF(AND('领用录入（明细）'!D:D=$F$4,'领用录入（明细）'!C:C&gt;=$J$4,'领用录入（明细）'!C:C&lt;=$L$4),ROW(),"-")</f>
        <v>-</v>
      </c>
    </row>
    <row r="19635" customHeight="1" spans="2:2">
      <c r="B19635" s="62" t="str">
        <f>IF(AND('领用录入（明细）'!D:D=$F$4,'领用录入（明细）'!C:C&gt;=$J$4,'领用录入（明细）'!C:C&lt;=$L$4),ROW(),"-")</f>
        <v>-</v>
      </c>
    </row>
    <row r="19636" customHeight="1" spans="2:2">
      <c r="B19636" s="62" t="str">
        <f>IF(AND('领用录入（明细）'!D:D=$F$4,'领用录入（明细）'!C:C&gt;=$J$4,'领用录入（明细）'!C:C&lt;=$L$4),ROW(),"-")</f>
        <v>-</v>
      </c>
    </row>
    <row r="19637" customHeight="1" spans="2:2">
      <c r="B19637" s="62" t="str">
        <f>IF(AND('领用录入（明细）'!D:D=$F$4,'领用录入（明细）'!C:C&gt;=$J$4,'领用录入（明细）'!C:C&lt;=$L$4),ROW(),"-")</f>
        <v>-</v>
      </c>
    </row>
    <row r="19638" customHeight="1" spans="2:2">
      <c r="B19638" s="62" t="str">
        <f>IF(AND('领用录入（明细）'!D:D=$F$4,'领用录入（明细）'!C:C&gt;=$J$4,'领用录入（明细）'!C:C&lt;=$L$4),ROW(),"-")</f>
        <v>-</v>
      </c>
    </row>
    <row r="19639" customHeight="1" spans="2:2">
      <c r="B19639" s="62" t="str">
        <f>IF(AND('领用录入（明细）'!D:D=$F$4,'领用录入（明细）'!C:C&gt;=$J$4,'领用录入（明细）'!C:C&lt;=$L$4),ROW(),"-")</f>
        <v>-</v>
      </c>
    </row>
    <row r="19640" customHeight="1" spans="2:2">
      <c r="B19640" s="62" t="str">
        <f>IF(AND('领用录入（明细）'!D:D=$F$4,'领用录入（明细）'!C:C&gt;=$J$4,'领用录入（明细）'!C:C&lt;=$L$4),ROW(),"-")</f>
        <v>-</v>
      </c>
    </row>
    <row r="19641" customHeight="1" spans="2:2">
      <c r="B19641" s="62" t="str">
        <f>IF(AND('领用录入（明细）'!D:D=$F$4,'领用录入（明细）'!C:C&gt;=$J$4,'领用录入（明细）'!C:C&lt;=$L$4),ROW(),"-")</f>
        <v>-</v>
      </c>
    </row>
    <row r="19642" customHeight="1" spans="2:2">
      <c r="B19642" s="62" t="str">
        <f>IF(AND('领用录入（明细）'!D:D=$F$4,'领用录入（明细）'!C:C&gt;=$J$4,'领用录入（明细）'!C:C&lt;=$L$4),ROW(),"-")</f>
        <v>-</v>
      </c>
    </row>
    <row r="19643" customHeight="1" spans="2:2">
      <c r="B19643" s="62" t="str">
        <f>IF(AND('领用录入（明细）'!D:D=$F$4,'领用录入（明细）'!C:C&gt;=$J$4,'领用录入（明细）'!C:C&lt;=$L$4),ROW(),"-")</f>
        <v>-</v>
      </c>
    </row>
    <row r="19644" customHeight="1" spans="2:2">
      <c r="B19644" s="62" t="str">
        <f>IF(AND('领用录入（明细）'!D:D=$F$4,'领用录入（明细）'!C:C&gt;=$J$4,'领用录入（明细）'!C:C&lt;=$L$4),ROW(),"-")</f>
        <v>-</v>
      </c>
    </row>
    <row r="19645" customHeight="1" spans="2:2">
      <c r="B19645" s="62" t="str">
        <f>IF(AND('领用录入（明细）'!D:D=$F$4,'领用录入（明细）'!C:C&gt;=$J$4,'领用录入（明细）'!C:C&lt;=$L$4),ROW(),"-")</f>
        <v>-</v>
      </c>
    </row>
    <row r="19646" customHeight="1" spans="2:2">
      <c r="B19646" s="62" t="str">
        <f>IF(AND('领用录入（明细）'!D:D=$F$4,'领用录入（明细）'!C:C&gt;=$J$4,'领用录入（明细）'!C:C&lt;=$L$4),ROW(),"-")</f>
        <v>-</v>
      </c>
    </row>
    <row r="19647" customHeight="1" spans="2:2">
      <c r="B19647" s="62" t="str">
        <f>IF(AND('领用录入（明细）'!D:D=$F$4,'领用录入（明细）'!C:C&gt;=$J$4,'领用录入（明细）'!C:C&lt;=$L$4),ROW(),"-")</f>
        <v>-</v>
      </c>
    </row>
    <row r="19648" customHeight="1" spans="2:2">
      <c r="B19648" s="62" t="str">
        <f>IF(AND('领用录入（明细）'!D:D=$F$4,'领用录入（明细）'!C:C&gt;=$J$4,'领用录入（明细）'!C:C&lt;=$L$4),ROW(),"-")</f>
        <v>-</v>
      </c>
    </row>
    <row r="19649" customHeight="1" spans="2:2">
      <c r="B19649" s="62" t="str">
        <f>IF(AND('领用录入（明细）'!D:D=$F$4,'领用录入（明细）'!C:C&gt;=$J$4,'领用录入（明细）'!C:C&lt;=$L$4),ROW(),"-")</f>
        <v>-</v>
      </c>
    </row>
    <row r="19650" customHeight="1" spans="2:2">
      <c r="B19650" s="62" t="str">
        <f>IF(AND('领用录入（明细）'!D:D=$F$4,'领用录入（明细）'!C:C&gt;=$J$4,'领用录入（明细）'!C:C&lt;=$L$4),ROW(),"-")</f>
        <v>-</v>
      </c>
    </row>
    <row r="19651" customHeight="1" spans="2:2">
      <c r="B19651" s="62" t="str">
        <f>IF(AND('领用录入（明细）'!D:D=$F$4,'领用录入（明细）'!C:C&gt;=$J$4,'领用录入（明细）'!C:C&lt;=$L$4),ROW(),"-")</f>
        <v>-</v>
      </c>
    </row>
    <row r="19652" customHeight="1" spans="2:2">
      <c r="B19652" s="62" t="str">
        <f>IF(AND('领用录入（明细）'!D:D=$F$4,'领用录入（明细）'!C:C&gt;=$J$4,'领用录入（明细）'!C:C&lt;=$L$4),ROW(),"-")</f>
        <v>-</v>
      </c>
    </row>
    <row r="19653" customHeight="1" spans="2:2">
      <c r="B19653" s="62" t="str">
        <f>IF(AND('领用录入（明细）'!D:D=$F$4,'领用录入（明细）'!C:C&gt;=$J$4,'领用录入（明细）'!C:C&lt;=$L$4),ROW(),"-")</f>
        <v>-</v>
      </c>
    </row>
    <row r="19654" customHeight="1" spans="2:2">
      <c r="B19654" s="62" t="str">
        <f>IF(AND('领用录入（明细）'!D:D=$F$4,'领用录入（明细）'!C:C&gt;=$J$4,'领用录入（明细）'!C:C&lt;=$L$4),ROW(),"-")</f>
        <v>-</v>
      </c>
    </row>
    <row r="19655" customHeight="1" spans="2:2">
      <c r="B19655" s="62" t="str">
        <f>IF(AND('领用录入（明细）'!D:D=$F$4,'领用录入（明细）'!C:C&gt;=$J$4,'领用录入（明细）'!C:C&lt;=$L$4),ROW(),"-")</f>
        <v>-</v>
      </c>
    </row>
    <row r="19656" customHeight="1" spans="2:2">
      <c r="B19656" s="62" t="str">
        <f>IF(AND('领用录入（明细）'!D:D=$F$4,'领用录入（明细）'!C:C&gt;=$J$4,'领用录入（明细）'!C:C&lt;=$L$4),ROW(),"-")</f>
        <v>-</v>
      </c>
    </row>
    <row r="19657" customHeight="1" spans="2:2">
      <c r="B19657" s="62" t="str">
        <f>IF(AND('领用录入（明细）'!D:D=$F$4,'领用录入（明细）'!C:C&gt;=$J$4,'领用录入（明细）'!C:C&lt;=$L$4),ROW(),"-")</f>
        <v>-</v>
      </c>
    </row>
    <row r="19658" customHeight="1" spans="2:2">
      <c r="B19658" s="62" t="str">
        <f>IF(AND('领用录入（明细）'!D:D=$F$4,'领用录入（明细）'!C:C&gt;=$J$4,'领用录入（明细）'!C:C&lt;=$L$4),ROW(),"-")</f>
        <v>-</v>
      </c>
    </row>
    <row r="19659" customHeight="1" spans="2:2">
      <c r="B19659" s="62" t="str">
        <f>IF(AND('领用录入（明细）'!D:D=$F$4,'领用录入（明细）'!C:C&gt;=$J$4,'领用录入（明细）'!C:C&lt;=$L$4),ROW(),"-")</f>
        <v>-</v>
      </c>
    </row>
    <row r="19660" customHeight="1" spans="2:2">
      <c r="B19660" s="62" t="str">
        <f>IF(AND('领用录入（明细）'!D:D=$F$4,'领用录入（明细）'!C:C&gt;=$J$4,'领用录入（明细）'!C:C&lt;=$L$4),ROW(),"-")</f>
        <v>-</v>
      </c>
    </row>
    <row r="19661" customHeight="1" spans="2:2">
      <c r="B19661" s="62" t="str">
        <f>IF(AND('领用录入（明细）'!D:D=$F$4,'领用录入（明细）'!C:C&gt;=$J$4,'领用录入（明细）'!C:C&lt;=$L$4),ROW(),"-")</f>
        <v>-</v>
      </c>
    </row>
    <row r="19662" customHeight="1" spans="2:2">
      <c r="B19662" s="62" t="str">
        <f>IF(AND('领用录入（明细）'!D:D=$F$4,'领用录入（明细）'!C:C&gt;=$J$4,'领用录入（明细）'!C:C&lt;=$L$4),ROW(),"-")</f>
        <v>-</v>
      </c>
    </row>
    <row r="19663" customHeight="1" spans="2:2">
      <c r="B19663" s="62" t="str">
        <f>IF(AND('领用录入（明细）'!D:D=$F$4,'领用录入（明细）'!C:C&gt;=$J$4,'领用录入（明细）'!C:C&lt;=$L$4),ROW(),"-")</f>
        <v>-</v>
      </c>
    </row>
    <row r="19664" customHeight="1" spans="2:2">
      <c r="B19664" s="62" t="str">
        <f>IF(AND('领用录入（明细）'!D:D=$F$4,'领用录入（明细）'!C:C&gt;=$J$4,'领用录入（明细）'!C:C&lt;=$L$4),ROW(),"-")</f>
        <v>-</v>
      </c>
    </row>
    <row r="19665" customHeight="1" spans="2:2">
      <c r="B19665" s="62" t="str">
        <f>IF(AND('领用录入（明细）'!D:D=$F$4,'领用录入（明细）'!C:C&gt;=$J$4,'领用录入（明细）'!C:C&lt;=$L$4),ROW(),"-")</f>
        <v>-</v>
      </c>
    </row>
    <row r="19666" customHeight="1" spans="2:2">
      <c r="B19666" s="62" t="str">
        <f>IF(AND('领用录入（明细）'!D:D=$F$4,'领用录入（明细）'!C:C&gt;=$J$4,'领用录入（明细）'!C:C&lt;=$L$4),ROW(),"-")</f>
        <v>-</v>
      </c>
    </row>
    <row r="19667" customHeight="1" spans="2:2">
      <c r="B19667" s="62" t="str">
        <f>IF(AND('领用录入（明细）'!D:D=$F$4,'领用录入（明细）'!C:C&gt;=$J$4,'领用录入（明细）'!C:C&lt;=$L$4),ROW(),"-")</f>
        <v>-</v>
      </c>
    </row>
    <row r="19668" customHeight="1" spans="2:2">
      <c r="B19668" s="62" t="str">
        <f>IF(AND('领用录入（明细）'!D:D=$F$4,'领用录入（明细）'!C:C&gt;=$J$4,'领用录入（明细）'!C:C&lt;=$L$4),ROW(),"-")</f>
        <v>-</v>
      </c>
    </row>
    <row r="19669" customHeight="1" spans="2:2">
      <c r="B19669" s="62" t="str">
        <f>IF(AND('领用录入（明细）'!D:D=$F$4,'领用录入（明细）'!C:C&gt;=$J$4,'领用录入（明细）'!C:C&lt;=$L$4),ROW(),"-")</f>
        <v>-</v>
      </c>
    </row>
    <row r="19670" customHeight="1" spans="2:2">
      <c r="B19670" s="62" t="str">
        <f>IF(AND('领用录入（明细）'!D:D=$F$4,'领用录入（明细）'!C:C&gt;=$J$4,'领用录入（明细）'!C:C&lt;=$L$4),ROW(),"-")</f>
        <v>-</v>
      </c>
    </row>
    <row r="19671" customHeight="1" spans="2:2">
      <c r="B19671" s="62" t="str">
        <f>IF(AND('领用录入（明细）'!D:D=$F$4,'领用录入（明细）'!C:C&gt;=$J$4,'领用录入（明细）'!C:C&lt;=$L$4),ROW(),"-")</f>
        <v>-</v>
      </c>
    </row>
    <row r="19672" customHeight="1" spans="2:2">
      <c r="B19672" s="62" t="str">
        <f>IF(AND('领用录入（明细）'!D:D=$F$4,'领用录入（明细）'!C:C&gt;=$J$4,'领用录入（明细）'!C:C&lt;=$L$4),ROW(),"-")</f>
        <v>-</v>
      </c>
    </row>
    <row r="19673" customHeight="1" spans="2:2">
      <c r="B19673" s="62" t="str">
        <f>IF(AND('领用录入（明细）'!D:D=$F$4,'领用录入（明细）'!C:C&gt;=$J$4,'领用录入（明细）'!C:C&lt;=$L$4),ROW(),"-")</f>
        <v>-</v>
      </c>
    </row>
    <row r="19674" customHeight="1" spans="2:2">
      <c r="B19674" s="62" t="str">
        <f>IF(AND('领用录入（明细）'!D:D=$F$4,'领用录入（明细）'!C:C&gt;=$J$4,'领用录入（明细）'!C:C&lt;=$L$4),ROW(),"-")</f>
        <v>-</v>
      </c>
    </row>
    <row r="19675" customHeight="1" spans="2:2">
      <c r="B19675" s="62" t="str">
        <f>IF(AND('领用录入（明细）'!D:D=$F$4,'领用录入（明细）'!C:C&gt;=$J$4,'领用录入（明细）'!C:C&lt;=$L$4),ROW(),"-")</f>
        <v>-</v>
      </c>
    </row>
    <row r="19676" customHeight="1" spans="2:2">
      <c r="B19676" s="62" t="str">
        <f>IF(AND('领用录入（明细）'!D:D=$F$4,'领用录入（明细）'!C:C&gt;=$J$4,'领用录入（明细）'!C:C&lt;=$L$4),ROW(),"-")</f>
        <v>-</v>
      </c>
    </row>
    <row r="19677" customHeight="1" spans="2:2">
      <c r="B19677" s="62" t="str">
        <f>IF(AND('领用录入（明细）'!D:D=$F$4,'领用录入（明细）'!C:C&gt;=$J$4,'领用录入（明细）'!C:C&lt;=$L$4),ROW(),"-")</f>
        <v>-</v>
      </c>
    </row>
    <row r="19678" customHeight="1" spans="2:2">
      <c r="B19678" s="62" t="str">
        <f>IF(AND('领用录入（明细）'!D:D=$F$4,'领用录入（明细）'!C:C&gt;=$J$4,'领用录入（明细）'!C:C&lt;=$L$4),ROW(),"-")</f>
        <v>-</v>
      </c>
    </row>
    <row r="19679" customHeight="1" spans="2:2">
      <c r="B19679" s="62" t="str">
        <f>IF(AND('领用录入（明细）'!D:D=$F$4,'领用录入（明细）'!C:C&gt;=$J$4,'领用录入（明细）'!C:C&lt;=$L$4),ROW(),"-")</f>
        <v>-</v>
      </c>
    </row>
    <row r="19680" customHeight="1" spans="2:2">
      <c r="B19680" s="62" t="str">
        <f>IF(AND('领用录入（明细）'!D:D=$F$4,'领用录入（明细）'!C:C&gt;=$J$4,'领用录入（明细）'!C:C&lt;=$L$4),ROW(),"-")</f>
        <v>-</v>
      </c>
    </row>
    <row r="19681" customHeight="1" spans="2:2">
      <c r="B19681" s="62" t="str">
        <f>IF(AND('领用录入（明细）'!D:D=$F$4,'领用录入（明细）'!C:C&gt;=$J$4,'领用录入（明细）'!C:C&lt;=$L$4),ROW(),"-")</f>
        <v>-</v>
      </c>
    </row>
    <row r="19682" customHeight="1" spans="2:2">
      <c r="B19682" s="62" t="str">
        <f>IF(AND('领用录入（明细）'!D:D=$F$4,'领用录入（明细）'!C:C&gt;=$J$4,'领用录入（明细）'!C:C&lt;=$L$4),ROW(),"-")</f>
        <v>-</v>
      </c>
    </row>
    <row r="19683" customHeight="1" spans="2:2">
      <c r="B19683" s="62" t="str">
        <f>IF(AND('领用录入（明细）'!D:D=$F$4,'领用录入（明细）'!C:C&gt;=$J$4,'领用录入（明细）'!C:C&lt;=$L$4),ROW(),"-")</f>
        <v>-</v>
      </c>
    </row>
    <row r="19684" customHeight="1" spans="2:2">
      <c r="B19684" s="62" t="str">
        <f>IF(AND('领用录入（明细）'!D:D=$F$4,'领用录入（明细）'!C:C&gt;=$J$4,'领用录入（明细）'!C:C&lt;=$L$4),ROW(),"-")</f>
        <v>-</v>
      </c>
    </row>
    <row r="19685" customHeight="1" spans="2:2">
      <c r="B19685" s="62" t="str">
        <f>IF(AND('领用录入（明细）'!D:D=$F$4,'领用录入（明细）'!C:C&gt;=$J$4,'领用录入（明细）'!C:C&lt;=$L$4),ROW(),"-")</f>
        <v>-</v>
      </c>
    </row>
    <row r="19686" customHeight="1" spans="2:2">
      <c r="B19686" s="62" t="str">
        <f>IF(AND('领用录入（明细）'!D:D=$F$4,'领用录入（明细）'!C:C&gt;=$J$4,'领用录入（明细）'!C:C&lt;=$L$4),ROW(),"-")</f>
        <v>-</v>
      </c>
    </row>
    <row r="19687" customHeight="1" spans="2:2">
      <c r="B19687" s="62" t="str">
        <f>IF(AND('领用录入（明细）'!D:D=$F$4,'领用录入（明细）'!C:C&gt;=$J$4,'领用录入（明细）'!C:C&lt;=$L$4),ROW(),"-")</f>
        <v>-</v>
      </c>
    </row>
    <row r="19688" customHeight="1" spans="2:2">
      <c r="B19688" s="62" t="str">
        <f>IF(AND('领用录入（明细）'!D:D=$F$4,'领用录入（明细）'!C:C&gt;=$J$4,'领用录入（明细）'!C:C&lt;=$L$4),ROW(),"-")</f>
        <v>-</v>
      </c>
    </row>
    <row r="19689" customHeight="1" spans="2:2">
      <c r="B19689" s="62" t="str">
        <f>IF(AND('领用录入（明细）'!D:D=$F$4,'领用录入（明细）'!C:C&gt;=$J$4,'领用录入（明细）'!C:C&lt;=$L$4),ROW(),"-")</f>
        <v>-</v>
      </c>
    </row>
    <row r="19690" customHeight="1" spans="2:2">
      <c r="B19690" s="62" t="str">
        <f>IF(AND('领用录入（明细）'!D:D=$F$4,'领用录入（明细）'!C:C&gt;=$J$4,'领用录入（明细）'!C:C&lt;=$L$4),ROW(),"-")</f>
        <v>-</v>
      </c>
    </row>
    <row r="19691" customHeight="1" spans="2:2">
      <c r="B19691" s="62" t="str">
        <f>IF(AND('领用录入（明细）'!D:D=$F$4,'领用录入（明细）'!C:C&gt;=$J$4,'领用录入（明细）'!C:C&lt;=$L$4),ROW(),"-")</f>
        <v>-</v>
      </c>
    </row>
    <row r="19692" customHeight="1" spans="2:2">
      <c r="B19692" s="62" t="str">
        <f>IF(AND('领用录入（明细）'!D:D=$F$4,'领用录入（明细）'!C:C&gt;=$J$4,'领用录入（明细）'!C:C&lt;=$L$4),ROW(),"-")</f>
        <v>-</v>
      </c>
    </row>
    <row r="19693" customHeight="1" spans="2:2">
      <c r="B19693" s="62" t="str">
        <f>IF(AND('领用录入（明细）'!D:D=$F$4,'领用录入（明细）'!C:C&gt;=$J$4,'领用录入（明细）'!C:C&lt;=$L$4),ROW(),"-")</f>
        <v>-</v>
      </c>
    </row>
    <row r="19694" customHeight="1" spans="2:2">
      <c r="B19694" s="62" t="str">
        <f>IF(AND('领用录入（明细）'!D:D=$F$4,'领用录入（明细）'!C:C&gt;=$J$4,'领用录入（明细）'!C:C&lt;=$L$4),ROW(),"-")</f>
        <v>-</v>
      </c>
    </row>
    <row r="19695" customHeight="1" spans="2:2">
      <c r="B19695" s="62" t="str">
        <f>IF(AND('领用录入（明细）'!D:D=$F$4,'领用录入（明细）'!C:C&gt;=$J$4,'领用录入（明细）'!C:C&lt;=$L$4),ROW(),"-")</f>
        <v>-</v>
      </c>
    </row>
    <row r="19696" customHeight="1" spans="2:2">
      <c r="B19696" s="62" t="str">
        <f>IF(AND('领用录入（明细）'!D:D=$F$4,'领用录入（明细）'!C:C&gt;=$J$4,'领用录入（明细）'!C:C&lt;=$L$4),ROW(),"-")</f>
        <v>-</v>
      </c>
    </row>
    <row r="19697" customHeight="1" spans="2:2">
      <c r="B19697" s="62" t="str">
        <f>IF(AND('领用录入（明细）'!D:D=$F$4,'领用录入（明细）'!C:C&gt;=$J$4,'领用录入（明细）'!C:C&lt;=$L$4),ROW(),"-")</f>
        <v>-</v>
      </c>
    </row>
    <row r="19698" customHeight="1" spans="2:2">
      <c r="B19698" s="62" t="str">
        <f>IF(AND('领用录入（明细）'!D:D=$F$4,'领用录入（明细）'!C:C&gt;=$J$4,'领用录入（明细）'!C:C&lt;=$L$4),ROW(),"-")</f>
        <v>-</v>
      </c>
    </row>
    <row r="19699" customHeight="1" spans="2:2">
      <c r="B19699" s="62" t="str">
        <f>IF(AND('领用录入（明细）'!D:D=$F$4,'领用录入（明细）'!C:C&gt;=$J$4,'领用录入（明细）'!C:C&lt;=$L$4),ROW(),"-")</f>
        <v>-</v>
      </c>
    </row>
    <row r="19700" customHeight="1" spans="2:2">
      <c r="B19700" s="62" t="str">
        <f>IF(AND('领用录入（明细）'!D:D=$F$4,'领用录入（明细）'!C:C&gt;=$J$4,'领用录入（明细）'!C:C&lt;=$L$4),ROW(),"-")</f>
        <v>-</v>
      </c>
    </row>
    <row r="19701" customHeight="1" spans="2:2">
      <c r="B19701" s="62" t="str">
        <f>IF(AND('领用录入（明细）'!D:D=$F$4,'领用录入（明细）'!C:C&gt;=$J$4,'领用录入（明细）'!C:C&lt;=$L$4),ROW(),"-")</f>
        <v>-</v>
      </c>
    </row>
    <row r="19702" customHeight="1" spans="2:2">
      <c r="B19702" s="62" t="str">
        <f>IF(AND('领用录入（明细）'!D:D=$F$4,'领用录入（明细）'!C:C&gt;=$J$4,'领用录入（明细）'!C:C&lt;=$L$4),ROW(),"-")</f>
        <v>-</v>
      </c>
    </row>
    <row r="19703" customHeight="1" spans="2:2">
      <c r="B19703" s="62" t="str">
        <f>IF(AND('领用录入（明细）'!D:D=$F$4,'领用录入（明细）'!C:C&gt;=$J$4,'领用录入（明细）'!C:C&lt;=$L$4),ROW(),"-")</f>
        <v>-</v>
      </c>
    </row>
    <row r="19704" customHeight="1" spans="2:2">
      <c r="B19704" s="62" t="str">
        <f>IF(AND('领用录入（明细）'!D:D=$F$4,'领用录入（明细）'!C:C&gt;=$J$4,'领用录入（明细）'!C:C&lt;=$L$4),ROW(),"-")</f>
        <v>-</v>
      </c>
    </row>
    <row r="19705" customHeight="1" spans="2:2">
      <c r="B19705" s="62" t="str">
        <f>IF(AND('领用录入（明细）'!D:D=$F$4,'领用录入（明细）'!C:C&gt;=$J$4,'领用录入（明细）'!C:C&lt;=$L$4),ROW(),"-")</f>
        <v>-</v>
      </c>
    </row>
    <row r="19706" customHeight="1" spans="2:2">
      <c r="B19706" s="62" t="str">
        <f>IF(AND('领用录入（明细）'!D:D=$F$4,'领用录入（明细）'!C:C&gt;=$J$4,'领用录入（明细）'!C:C&lt;=$L$4),ROW(),"-")</f>
        <v>-</v>
      </c>
    </row>
    <row r="19707" customHeight="1" spans="2:2">
      <c r="B19707" s="62" t="str">
        <f>IF(AND('领用录入（明细）'!D:D=$F$4,'领用录入（明细）'!C:C&gt;=$J$4,'领用录入（明细）'!C:C&lt;=$L$4),ROW(),"-")</f>
        <v>-</v>
      </c>
    </row>
    <row r="19708" customHeight="1" spans="2:2">
      <c r="B19708" s="62" t="str">
        <f>IF(AND('领用录入（明细）'!D:D=$F$4,'领用录入（明细）'!C:C&gt;=$J$4,'领用录入（明细）'!C:C&lt;=$L$4),ROW(),"-")</f>
        <v>-</v>
      </c>
    </row>
    <row r="19709" customHeight="1" spans="2:2">
      <c r="B19709" s="62" t="str">
        <f>IF(AND('领用录入（明细）'!D:D=$F$4,'领用录入（明细）'!C:C&gt;=$J$4,'领用录入（明细）'!C:C&lt;=$L$4),ROW(),"-")</f>
        <v>-</v>
      </c>
    </row>
    <row r="19710" customHeight="1" spans="2:2">
      <c r="B19710" s="62" t="str">
        <f>IF(AND('领用录入（明细）'!D:D=$F$4,'领用录入（明细）'!C:C&gt;=$J$4,'领用录入（明细）'!C:C&lt;=$L$4),ROW(),"-")</f>
        <v>-</v>
      </c>
    </row>
    <row r="19711" customHeight="1" spans="2:2">
      <c r="B19711" s="62" t="str">
        <f>IF(AND('领用录入（明细）'!D:D=$F$4,'领用录入（明细）'!C:C&gt;=$J$4,'领用录入（明细）'!C:C&lt;=$L$4),ROW(),"-")</f>
        <v>-</v>
      </c>
    </row>
    <row r="19712" customHeight="1" spans="2:2">
      <c r="B19712" s="62" t="str">
        <f>IF(AND('领用录入（明细）'!D:D=$F$4,'领用录入（明细）'!C:C&gt;=$J$4,'领用录入（明细）'!C:C&lt;=$L$4),ROW(),"-")</f>
        <v>-</v>
      </c>
    </row>
    <row r="19713" customHeight="1" spans="2:2">
      <c r="B19713" s="62" t="str">
        <f>IF(AND('领用录入（明细）'!D:D=$F$4,'领用录入（明细）'!C:C&gt;=$J$4,'领用录入（明细）'!C:C&lt;=$L$4),ROW(),"-")</f>
        <v>-</v>
      </c>
    </row>
    <row r="19714" customHeight="1" spans="2:2">
      <c r="B19714" s="62" t="str">
        <f>IF(AND('领用录入（明细）'!D:D=$F$4,'领用录入（明细）'!C:C&gt;=$J$4,'领用录入（明细）'!C:C&lt;=$L$4),ROW(),"-")</f>
        <v>-</v>
      </c>
    </row>
    <row r="19715" customHeight="1" spans="2:2">
      <c r="B19715" s="62" t="str">
        <f>IF(AND('领用录入（明细）'!D:D=$F$4,'领用录入（明细）'!C:C&gt;=$J$4,'领用录入（明细）'!C:C&lt;=$L$4),ROW(),"-")</f>
        <v>-</v>
      </c>
    </row>
    <row r="19716" customHeight="1" spans="2:2">
      <c r="B19716" s="62" t="str">
        <f>IF(AND('领用录入（明细）'!D:D=$F$4,'领用录入（明细）'!C:C&gt;=$J$4,'领用录入（明细）'!C:C&lt;=$L$4),ROW(),"-")</f>
        <v>-</v>
      </c>
    </row>
    <row r="19717" customHeight="1" spans="2:2">
      <c r="B19717" s="62" t="str">
        <f>IF(AND('领用录入（明细）'!D:D=$F$4,'领用录入（明细）'!C:C&gt;=$J$4,'领用录入（明细）'!C:C&lt;=$L$4),ROW(),"-")</f>
        <v>-</v>
      </c>
    </row>
    <row r="19718" customHeight="1" spans="2:2">
      <c r="B19718" s="62" t="str">
        <f>IF(AND('领用录入（明细）'!D:D=$F$4,'领用录入（明细）'!C:C&gt;=$J$4,'领用录入（明细）'!C:C&lt;=$L$4),ROW(),"-")</f>
        <v>-</v>
      </c>
    </row>
    <row r="19719" customHeight="1" spans="2:2">
      <c r="B19719" s="62" t="str">
        <f>IF(AND('领用录入（明细）'!D:D=$F$4,'领用录入（明细）'!C:C&gt;=$J$4,'领用录入（明细）'!C:C&lt;=$L$4),ROW(),"-")</f>
        <v>-</v>
      </c>
    </row>
    <row r="19720" customHeight="1" spans="2:2">
      <c r="B19720" s="62" t="str">
        <f>IF(AND('领用录入（明细）'!D:D=$F$4,'领用录入（明细）'!C:C&gt;=$J$4,'领用录入（明细）'!C:C&lt;=$L$4),ROW(),"-")</f>
        <v>-</v>
      </c>
    </row>
    <row r="19721" customHeight="1" spans="2:2">
      <c r="B19721" s="62" t="str">
        <f>IF(AND('领用录入（明细）'!D:D=$F$4,'领用录入（明细）'!C:C&gt;=$J$4,'领用录入（明细）'!C:C&lt;=$L$4),ROW(),"-")</f>
        <v>-</v>
      </c>
    </row>
    <row r="19722" customHeight="1" spans="2:2">
      <c r="B19722" s="62" t="str">
        <f>IF(AND('领用录入（明细）'!D:D=$F$4,'领用录入（明细）'!C:C&gt;=$J$4,'领用录入（明细）'!C:C&lt;=$L$4),ROW(),"-")</f>
        <v>-</v>
      </c>
    </row>
    <row r="19723" customHeight="1" spans="2:2">
      <c r="B19723" s="62" t="str">
        <f>IF(AND('领用录入（明细）'!D:D=$F$4,'领用录入（明细）'!C:C&gt;=$J$4,'领用录入（明细）'!C:C&lt;=$L$4),ROW(),"-")</f>
        <v>-</v>
      </c>
    </row>
    <row r="19724" customHeight="1" spans="2:2">
      <c r="B19724" s="62" t="str">
        <f>IF(AND('领用录入（明细）'!D:D=$F$4,'领用录入（明细）'!C:C&gt;=$J$4,'领用录入（明细）'!C:C&lt;=$L$4),ROW(),"-")</f>
        <v>-</v>
      </c>
    </row>
    <row r="19725" customHeight="1" spans="2:2">
      <c r="B19725" s="62" t="str">
        <f>IF(AND('领用录入（明细）'!D:D=$F$4,'领用录入（明细）'!C:C&gt;=$J$4,'领用录入（明细）'!C:C&lt;=$L$4),ROW(),"-")</f>
        <v>-</v>
      </c>
    </row>
    <row r="19726" customHeight="1" spans="2:2">
      <c r="B19726" s="62" t="str">
        <f>IF(AND('领用录入（明细）'!D:D=$F$4,'领用录入（明细）'!C:C&gt;=$J$4,'领用录入（明细）'!C:C&lt;=$L$4),ROW(),"-")</f>
        <v>-</v>
      </c>
    </row>
    <row r="19727" customHeight="1" spans="2:2">
      <c r="B19727" s="62" t="str">
        <f>IF(AND('领用录入（明细）'!D:D=$F$4,'领用录入（明细）'!C:C&gt;=$J$4,'领用录入（明细）'!C:C&lt;=$L$4),ROW(),"-")</f>
        <v>-</v>
      </c>
    </row>
    <row r="19728" customHeight="1" spans="2:2">
      <c r="B19728" s="62" t="str">
        <f>IF(AND('领用录入（明细）'!D:D=$F$4,'领用录入（明细）'!C:C&gt;=$J$4,'领用录入（明细）'!C:C&lt;=$L$4),ROW(),"-")</f>
        <v>-</v>
      </c>
    </row>
    <row r="19729" customHeight="1" spans="2:2">
      <c r="B19729" s="62" t="str">
        <f>IF(AND('领用录入（明细）'!D:D=$F$4,'领用录入（明细）'!C:C&gt;=$J$4,'领用录入（明细）'!C:C&lt;=$L$4),ROW(),"-")</f>
        <v>-</v>
      </c>
    </row>
    <row r="19730" customHeight="1" spans="2:2">
      <c r="B19730" s="62" t="str">
        <f>IF(AND('领用录入（明细）'!D:D=$F$4,'领用录入（明细）'!C:C&gt;=$J$4,'领用录入（明细）'!C:C&lt;=$L$4),ROW(),"-")</f>
        <v>-</v>
      </c>
    </row>
    <row r="19731" customHeight="1" spans="2:2">
      <c r="B19731" s="62" t="str">
        <f>IF(AND('领用录入（明细）'!D:D=$F$4,'领用录入（明细）'!C:C&gt;=$J$4,'领用录入（明细）'!C:C&lt;=$L$4),ROW(),"-")</f>
        <v>-</v>
      </c>
    </row>
    <row r="19732" customHeight="1" spans="2:2">
      <c r="B19732" s="62" t="str">
        <f>IF(AND('领用录入（明细）'!D:D=$F$4,'领用录入（明细）'!C:C&gt;=$J$4,'领用录入（明细）'!C:C&lt;=$L$4),ROW(),"-")</f>
        <v>-</v>
      </c>
    </row>
    <row r="19733" customHeight="1" spans="2:2">
      <c r="B19733" s="62" t="str">
        <f>IF(AND('领用录入（明细）'!D:D=$F$4,'领用录入（明细）'!C:C&gt;=$J$4,'领用录入（明细）'!C:C&lt;=$L$4),ROW(),"-")</f>
        <v>-</v>
      </c>
    </row>
    <row r="19734" customHeight="1" spans="2:2">
      <c r="B19734" s="62" t="str">
        <f>IF(AND('领用录入（明细）'!D:D=$F$4,'领用录入（明细）'!C:C&gt;=$J$4,'领用录入（明细）'!C:C&lt;=$L$4),ROW(),"-")</f>
        <v>-</v>
      </c>
    </row>
    <row r="19735" customHeight="1" spans="2:2">
      <c r="B19735" s="62" t="str">
        <f>IF(AND('领用录入（明细）'!D:D=$F$4,'领用录入（明细）'!C:C&gt;=$J$4,'领用录入（明细）'!C:C&lt;=$L$4),ROW(),"-")</f>
        <v>-</v>
      </c>
    </row>
    <row r="19736" customHeight="1" spans="2:2">
      <c r="B19736" s="62" t="str">
        <f>IF(AND('领用录入（明细）'!D:D=$F$4,'领用录入（明细）'!C:C&gt;=$J$4,'领用录入（明细）'!C:C&lt;=$L$4),ROW(),"-")</f>
        <v>-</v>
      </c>
    </row>
    <row r="19737" customHeight="1" spans="2:2">
      <c r="B19737" s="62" t="str">
        <f>IF(AND('领用录入（明细）'!D:D=$F$4,'领用录入（明细）'!C:C&gt;=$J$4,'领用录入（明细）'!C:C&lt;=$L$4),ROW(),"-")</f>
        <v>-</v>
      </c>
    </row>
    <row r="19738" customHeight="1" spans="2:2">
      <c r="B19738" s="62" t="str">
        <f>IF(AND('领用录入（明细）'!D:D=$F$4,'领用录入（明细）'!C:C&gt;=$J$4,'领用录入（明细）'!C:C&lt;=$L$4),ROW(),"-")</f>
        <v>-</v>
      </c>
    </row>
    <row r="19739" customHeight="1" spans="2:2">
      <c r="B19739" s="62" t="str">
        <f>IF(AND('领用录入（明细）'!D:D=$F$4,'领用录入（明细）'!C:C&gt;=$J$4,'领用录入（明细）'!C:C&lt;=$L$4),ROW(),"-")</f>
        <v>-</v>
      </c>
    </row>
    <row r="19740" customHeight="1" spans="2:2">
      <c r="B19740" s="62" t="str">
        <f>IF(AND('领用录入（明细）'!D:D=$F$4,'领用录入（明细）'!C:C&gt;=$J$4,'领用录入（明细）'!C:C&lt;=$L$4),ROW(),"-")</f>
        <v>-</v>
      </c>
    </row>
    <row r="19741" customHeight="1" spans="2:2">
      <c r="B19741" s="62" t="str">
        <f>IF(AND('领用录入（明细）'!D:D=$F$4,'领用录入（明细）'!C:C&gt;=$J$4,'领用录入（明细）'!C:C&lt;=$L$4),ROW(),"-")</f>
        <v>-</v>
      </c>
    </row>
    <row r="19742" customHeight="1" spans="2:2">
      <c r="B19742" s="62" t="str">
        <f>IF(AND('领用录入（明细）'!D:D=$F$4,'领用录入（明细）'!C:C&gt;=$J$4,'领用录入（明细）'!C:C&lt;=$L$4),ROW(),"-")</f>
        <v>-</v>
      </c>
    </row>
    <row r="19743" customHeight="1" spans="2:2">
      <c r="B19743" s="62" t="str">
        <f>IF(AND('领用录入（明细）'!D:D=$F$4,'领用录入（明细）'!C:C&gt;=$J$4,'领用录入（明细）'!C:C&lt;=$L$4),ROW(),"-")</f>
        <v>-</v>
      </c>
    </row>
    <row r="19744" customHeight="1" spans="2:2">
      <c r="B19744" s="62" t="str">
        <f>IF(AND('领用录入（明细）'!D:D=$F$4,'领用录入（明细）'!C:C&gt;=$J$4,'领用录入（明细）'!C:C&lt;=$L$4),ROW(),"-")</f>
        <v>-</v>
      </c>
    </row>
    <row r="19745" customHeight="1" spans="2:2">
      <c r="B19745" s="62" t="str">
        <f>IF(AND('领用录入（明细）'!D:D=$F$4,'领用录入（明细）'!C:C&gt;=$J$4,'领用录入（明细）'!C:C&lt;=$L$4),ROW(),"-")</f>
        <v>-</v>
      </c>
    </row>
    <row r="19746" customHeight="1" spans="2:2">
      <c r="B19746" s="62" t="str">
        <f>IF(AND('领用录入（明细）'!D:D=$F$4,'领用录入（明细）'!C:C&gt;=$J$4,'领用录入（明细）'!C:C&lt;=$L$4),ROW(),"-")</f>
        <v>-</v>
      </c>
    </row>
    <row r="19747" customHeight="1" spans="2:2">
      <c r="B19747" s="62" t="str">
        <f>IF(AND('领用录入（明细）'!D:D=$F$4,'领用录入（明细）'!C:C&gt;=$J$4,'领用录入（明细）'!C:C&lt;=$L$4),ROW(),"-")</f>
        <v>-</v>
      </c>
    </row>
    <row r="19748" customHeight="1" spans="2:2">
      <c r="B19748" s="62" t="str">
        <f>IF(AND('领用录入（明细）'!D:D=$F$4,'领用录入（明细）'!C:C&gt;=$J$4,'领用录入（明细）'!C:C&lt;=$L$4),ROW(),"-")</f>
        <v>-</v>
      </c>
    </row>
    <row r="19749" customHeight="1" spans="2:2">
      <c r="B19749" s="62" t="str">
        <f>IF(AND('领用录入（明细）'!D:D=$F$4,'领用录入（明细）'!C:C&gt;=$J$4,'领用录入（明细）'!C:C&lt;=$L$4),ROW(),"-")</f>
        <v>-</v>
      </c>
    </row>
    <row r="19750" customHeight="1" spans="2:2">
      <c r="B19750" s="62" t="str">
        <f>IF(AND('领用录入（明细）'!D:D=$F$4,'领用录入（明细）'!C:C&gt;=$J$4,'领用录入（明细）'!C:C&lt;=$L$4),ROW(),"-")</f>
        <v>-</v>
      </c>
    </row>
    <row r="19751" customHeight="1" spans="2:2">
      <c r="B19751" s="62" t="str">
        <f>IF(AND('领用录入（明细）'!D:D=$F$4,'领用录入（明细）'!C:C&gt;=$J$4,'领用录入（明细）'!C:C&lt;=$L$4),ROW(),"-")</f>
        <v>-</v>
      </c>
    </row>
    <row r="19752" customHeight="1" spans="2:2">
      <c r="B19752" s="62" t="str">
        <f>IF(AND('领用录入（明细）'!D:D=$F$4,'领用录入（明细）'!C:C&gt;=$J$4,'领用录入（明细）'!C:C&lt;=$L$4),ROW(),"-")</f>
        <v>-</v>
      </c>
    </row>
    <row r="19753" customHeight="1" spans="2:2">
      <c r="B19753" s="62" t="str">
        <f>IF(AND('领用录入（明细）'!D:D=$F$4,'领用录入（明细）'!C:C&gt;=$J$4,'领用录入（明细）'!C:C&lt;=$L$4),ROW(),"-")</f>
        <v>-</v>
      </c>
    </row>
    <row r="19754" customHeight="1" spans="2:2">
      <c r="B19754" s="62" t="str">
        <f>IF(AND('领用录入（明细）'!D:D=$F$4,'领用录入（明细）'!C:C&gt;=$J$4,'领用录入（明细）'!C:C&lt;=$L$4),ROW(),"-")</f>
        <v>-</v>
      </c>
    </row>
    <row r="19755" customHeight="1" spans="2:2">
      <c r="B19755" s="62" t="str">
        <f>IF(AND('领用录入（明细）'!D:D=$F$4,'领用录入（明细）'!C:C&gt;=$J$4,'领用录入（明细）'!C:C&lt;=$L$4),ROW(),"-")</f>
        <v>-</v>
      </c>
    </row>
    <row r="19756" customHeight="1" spans="2:2">
      <c r="B19756" s="62" t="str">
        <f>IF(AND('领用录入（明细）'!D:D=$F$4,'领用录入（明细）'!C:C&gt;=$J$4,'领用录入（明细）'!C:C&lt;=$L$4),ROW(),"-")</f>
        <v>-</v>
      </c>
    </row>
    <row r="19757" customHeight="1" spans="2:2">
      <c r="B19757" s="62" t="str">
        <f>IF(AND('领用录入（明细）'!D:D=$F$4,'领用录入（明细）'!C:C&gt;=$J$4,'领用录入（明细）'!C:C&lt;=$L$4),ROW(),"-")</f>
        <v>-</v>
      </c>
    </row>
    <row r="19758" customHeight="1" spans="2:2">
      <c r="B19758" s="62" t="str">
        <f>IF(AND('领用录入（明细）'!D:D=$F$4,'领用录入（明细）'!C:C&gt;=$J$4,'领用录入（明细）'!C:C&lt;=$L$4),ROW(),"-")</f>
        <v>-</v>
      </c>
    </row>
    <row r="19759" customHeight="1" spans="2:2">
      <c r="B19759" s="62" t="str">
        <f>IF(AND('领用录入（明细）'!D:D=$F$4,'领用录入（明细）'!C:C&gt;=$J$4,'领用录入（明细）'!C:C&lt;=$L$4),ROW(),"-")</f>
        <v>-</v>
      </c>
    </row>
    <row r="19760" customHeight="1" spans="2:2">
      <c r="B19760" s="62" t="str">
        <f>IF(AND('领用录入（明细）'!D:D=$F$4,'领用录入（明细）'!C:C&gt;=$J$4,'领用录入（明细）'!C:C&lt;=$L$4),ROW(),"-")</f>
        <v>-</v>
      </c>
    </row>
    <row r="19761" customHeight="1" spans="2:2">
      <c r="B19761" s="62" t="str">
        <f>IF(AND('领用录入（明细）'!D:D=$F$4,'领用录入（明细）'!C:C&gt;=$J$4,'领用录入（明细）'!C:C&lt;=$L$4),ROW(),"-")</f>
        <v>-</v>
      </c>
    </row>
    <row r="19762" customHeight="1" spans="2:2">
      <c r="B19762" s="62" t="str">
        <f>IF(AND('领用录入（明细）'!D:D=$F$4,'领用录入（明细）'!C:C&gt;=$J$4,'领用录入（明细）'!C:C&lt;=$L$4),ROW(),"-")</f>
        <v>-</v>
      </c>
    </row>
    <row r="19763" customHeight="1" spans="2:2">
      <c r="B19763" s="62" t="str">
        <f>IF(AND('领用录入（明细）'!D:D=$F$4,'领用录入（明细）'!C:C&gt;=$J$4,'领用录入（明细）'!C:C&lt;=$L$4),ROW(),"-")</f>
        <v>-</v>
      </c>
    </row>
    <row r="19764" customHeight="1" spans="2:2">
      <c r="B19764" s="62" t="str">
        <f>IF(AND('领用录入（明细）'!D:D=$F$4,'领用录入（明细）'!C:C&gt;=$J$4,'领用录入（明细）'!C:C&lt;=$L$4),ROW(),"-")</f>
        <v>-</v>
      </c>
    </row>
    <row r="19765" customHeight="1" spans="2:2">
      <c r="B19765" s="62" t="str">
        <f>IF(AND('领用录入（明细）'!D:D=$F$4,'领用录入（明细）'!C:C&gt;=$J$4,'领用录入（明细）'!C:C&lt;=$L$4),ROW(),"-")</f>
        <v>-</v>
      </c>
    </row>
    <row r="19766" customHeight="1" spans="2:2">
      <c r="B19766" s="62" t="str">
        <f>IF(AND('领用录入（明细）'!D:D=$F$4,'领用录入（明细）'!C:C&gt;=$J$4,'领用录入（明细）'!C:C&lt;=$L$4),ROW(),"-")</f>
        <v>-</v>
      </c>
    </row>
    <row r="19767" customHeight="1" spans="2:2">
      <c r="B19767" s="62" t="str">
        <f>IF(AND('领用录入（明细）'!D:D=$F$4,'领用录入（明细）'!C:C&gt;=$J$4,'领用录入（明细）'!C:C&lt;=$L$4),ROW(),"-")</f>
        <v>-</v>
      </c>
    </row>
    <row r="19768" customHeight="1" spans="2:2">
      <c r="B19768" s="62" t="str">
        <f>IF(AND('领用录入（明细）'!D:D=$F$4,'领用录入（明细）'!C:C&gt;=$J$4,'领用录入（明细）'!C:C&lt;=$L$4),ROW(),"-")</f>
        <v>-</v>
      </c>
    </row>
    <row r="19769" customHeight="1" spans="2:2">
      <c r="B19769" s="62" t="str">
        <f>IF(AND('领用录入（明细）'!D:D=$F$4,'领用录入（明细）'!C:C&gt;=$J$4,'领用录入（明细）'!C:C&lt;=$L$4),ROW(),"-")</f>
        <v>-</v>
      </c>
    </row>
    <row r="19770" customHeight="1" spans="2:2">
      <c r="B19770" s="62" t="str">
        <f>IF(AND('领用录入（明细）'!D:D=$F$4,'领用录入（明细）'!C:C&gt;=$J$4,'领用录入（明细）'!C:C&lt;=$L$4),ROW(),"-")</f>
        <v>-</v>
      </c>
    </row>
    <row r="19771" customHeight="1" spans="2:2">
      <c r="B19771" s="62" t="str">
        <f>IF(AND('领用录入（明细）'!D:D=$F$4,'领用录入（明细）'!C:C&gt;=$J$4,'领用录入（明细）'!C:C&lt;=$L$4),ROW(),"-")</f>
        <v>-</v>
      </c>
    </row>
    <row r="19772" customHeight="1" spans="2:2">
      <c r="B19772" s="62" t="str">
        <f>IF(AND('领用录入（明细）'!D:D=$F$4,'领用录入（明细）'!C:C&gt;=$J$4,'领用录入（明细）'!C:C&lt;=$L$4),ROW(),"-")</f>
        <v>-</v>
      </c>
    </row>
    <row r="19773" customHeight="1" spans="2:2">
      <c r="B19773" s="62" t="str">
        <f>IF(AND('领用录入（明细）'!D:D=$F$4,'领用录入（明细）'!C:C&gt;=$J$4,'领用录入（明细）'!C:C&lt;=$L$4),ROW(),"-")</f>
        <v>-</v>
      </c>
    </row>
    <row r="19774" customHeight="1" spans="2:2">
      <c r="B19774" s="62" t="str">
        <f>IF(AND('领用录入（明细）'!D:D=$F$4,'领用录入（明细）'!C:C&gt;=$J$4,'领用录入（明细）'!C:C&lt;=$L$4),ROW(),"-")</f>
        <v>-</v>
      </c>
    </row>
    <row r="19775" customHeight="1" spans="2:2">
      <c r="B19775" s="62" t="str">
        <f>IF(AND('领用录入（明细）'!D:D=$F$4,'领用录入（明细）'!C:C&gt;=$J$4,'领用录入（明细）'!C:C&lt;=$L$4),ROW(),"-")</f>
        <v>-</v>
      </c>
    </row>
    <row r="19776" customHeight="1" spans="2:2">
      <c r="B19776" s="62" t="str">
        <f>IF(AND('领用录入（明细）'!D:D=$F$4,'领用录入（明细）'!C:C&gt;=$J$4,'领用录入（明细）'!C:C&lt;=$L$4),ROW(),"-")</f>
        <v>-</v>
      </c>
    </row>
    <row r="19777" customHeight="1" spans="2:2">
      <c r="B19777" s="62" t="str">
        <f>IF(AND('领用录入（明细）'!D:D=$F$4,'领用录入（明细）'!C:C&gt;=$J$4,'领用录入（明细）'!C:C&lt;=$L$4),ROW(),"-")</f>
        <v>-</v>
      </c>
    </row>
    <row r="19778" customHeight="1" spans="2:2">
      <c r="B19778" s="62" t="str">
        <f>IF(AND('领用录入（明细）'!D:D=$F$4,'领用录入（明细）'!C:C&gt;=$J$4,'领用录入（明细）'!C:C&lt;=$L$4),ROW(),"-")</f>
        <v>-</v>
      </c>
    </row>
    <row r="19779" customHeight="1" spans="2:2">
      <c r="B19779" s="62" t="str">
        <f>IF(AND('领用录入（明细）'!D:D=$F$4,'领用录入（明细）'!C:C&gt;=$J$4,'领用录入（明细）'!C:C&lt;=$L$4),ROW(),"-")</f>
        <v>-</v>
      </c>
    </row>
    <row r="19780" customHeight="1" spans="2:2">
      <c r="B19780" s="62" t="str">
        <f>IF(AND('领用录入（明细）'!D:D=$F$4,'领用录入（明细）'!C:C&gt;=$J$4,'领用录入（明细）'!C:C&lt;=$L$4),ROW(),"-")</f>
        <v>-</v>
      </c>
    </row>
    <row r="19781" customHeight="1" spans="2:2">
      <c r="B19781" s="62" t="str">
        <f>IF(AND('领用录入（明细）'!D:D=$F$4,'领用录入（明细）'!C:C&gt;=$J$4,'领用录入（明细）'!C:C&lt;=$L$4),ROW(),"-")</f>
        <v>-</v>
      </c>
    </row>
    <row r="19782" customHeight="1" spans="2:2">
      <c r="B19782" s="62" t="str">
        <f>IF(AND('领用录入（明细）'!D:D=$F$4,'领用录入（明细）'!C:C&gt;=$J$4,'领用录入（明细）'!C:C&lt;=$L$4),ROW(),"-")</f>
        <v>-</v>
      </c>
    </row>
    <row r="19783" customHeight="1" spans="2:2">
      <c r="B19783" s="62" t="str">
        <f>IF(AND('领用录入（明细）'!D:D=$F$4,'领用录入（明细）'!C:C&gt;=$J$4,'领用录入（明细）'!C:C&lt;=$L$4),ROW(),"-")</f>
        <v>-</v>
      </c>
    </row>
    <row r="19784" customHeight="1" spans="2:2">
      <c r="B19784" s="62" t="str">
        <f>IF(AND('领用录入（明细）'!D:D=$F$4,'领用录入（明细）'!C:C&gt;=$J$4,'领用录入（明细）'!C:C&lt;=$L$4),ROW(),"-")</f>
        <v>-</v>
      </c>
    </row>
    <row r="19785" customHeight="1" spans="2:2">
      <c r="B19785" s="62" t="str">
        <f>IF(AND('领用录入（明细）'!D:D=$F$4,'领用录入（明细）'!C:C&gt;=$J$4,'领用录入（明细）'!C:C&lt;=$L$4),ROW(),"-")</f>
        <v>-</v>
      </c>
    </row>
    <row r="19786" customHeight="1" spans="2:2">
      <c r="B19786" s="62" t="str">
        <f>IF(AND('领用录入（明细）'!D:D=$F$4,'领用录入（明细）'!C:C&gt;=$J$4,'领用录入（明细）'!C:C&lt;=$L$4),ROW(),"-")</f>
        <v>-</v>
      </c>
    </row>
    <row r="19787" customHeight="1" spans="2:2">
      <c r="B19787" s="62" t="str">
        <f>IF(AND('领用录入（明细）'!D:D=$F$4,'领用录入（明细）'!C:C&gt;=$J$4,'领用录入（明细）'!C:C&lt;=$L$4),ROW(),"-")</f>
        <v>-</v>
      </c>
    </row>
    <row r="19788" customHeight="1" spans="2:2">
      <c r="B19788" s="62" t="str">
        <f>IF(AND('领用录入（明细）'!D:D=$F$4,'领用录入（明细）'!C:C&gt;=$J$4,'领用录入（明细）'!C:C&lt;=$L$4),ROW(),"-")</f>
        <v>-</v>
      </c>
    </row>
    <row r="19789" customHeight="1" spans="2:2">
      <c r="B19789" s="62" t="str">
        <f>IF(AND('领用录入（明细）'!D:D=$F$4,'领用录入（明细）'!C:C&gt;=$J$4,'领用录入（明细）'!C:C&lt;=$L$4),ROW(),"-")</f>
        <v>-</v>
      </c>
    </row>
    <row r="19790" customHeight="1" spans="2:2">
      <c r="B19790" s="62" t="str">
        <f>IF(AND('领用录入（明细）'!D:D=$F$4,'领用录入（明细）'!C:C&gt;=$J$4,'领用录入（明细）'!C:C&lt;=$L$4),ROW(),"-")</f>
        <v>-</v>
      </c>
    </row>
    <row r="19791" customHeight="1" spans="2:2">
      <c r="B19791" s="62" t="str">
        <f>IF(AND('领用录入（明细）'!D:D=$F$4,'领用录入（明细）'!C:C&gt;=$J$4,'领用录入（明细）'!C:C&lt;=$L$4),ROW(),"-")</f>
        <v>-</v>
      </c>
    </row>
    <row r="19792" customHeight="1" spans="2:2">
      <c r="B19792" s="62" t="str">
        <f>IF(AND('领用录入（明细）'!D:D=$F$4,'领用录入（明细）'!C:C&gt;=$J$4,'领用录入（明细）'!C:C&lt;=$L$4),ROW(),"-")</f>
        <v>-</v>
      </c>
    </row>
    <row r="19793" customHeight="1" spans="2:2">
      <c r="B19793" s="62" t="str">
        <f>IF(AND('领用录入（明细）'!D:D=$F$4,'领用录入（明细）'!C:C&gt;=$J$4,'领用录入（明细）'!C:C&lt;=$L$4),ROW(),"-")</f>
        <v>-</v>
      </c>
    </row>
    <row r="19794" customHeight="1" spans="2:2">
      <c r="B19794" s="62" t="str">
        <f>IF(AND('领用录入（明细）'!D:D=$F$4,'领用录入（明细）'!C:C&gt;=$J$4,'领用录入（明细）'!C:C&lt;=$L$4),ROW(),"-")</f>
        <v>-</v>
      </c>
    </row>
    <row r="19795" customHeight="1" spans="2:2">
      <c r="B19795" s="62" t="str">
        <f>IF(AND('领用录入（明细）'!D:D=$F$4,'领用录入（明细）'!C:C&gt;=$J$4,'领用录入（明细）'!C:C&lt;=$L$4),ROW(),"-")</f>
        <v>-</v>
      </c>
    </row>
    <row r="19796" customHeight="1" spans="2:2">
      <c r="B19796" s="62" t="str">
        <f>IF(AND('领用录入（明细）'!D:D=$F$4,'领用录入（明细）'!C:C&gt;=$J$4,'领用录入（明细）'!C:C&lt;=$L$4),ROW(),"-")</f>
        <v>-</v>
      </c>
    </row>
    <row r="19797" customHeight="1" spans="2:2">
      <c r="B19797" s="62" t="str">
        <f>IF(AND('领用录入（明细）'!D:D=$F$4,'领用录入（明细）'!C:C&gt;=$J$4,'领用录入（明细）'!C:C&lt;=$L$4),ROW(),"-")</f>
        <v>-</v>
      </c>
    </row>
    <row r="19798" customHeight="1" spans="2:2">
      <c r="B19798" s="62" t="str">
        <f>IF(AND('领用录入（明细）'!D:D=$F$4,'领用录入（明细）'!C:C&gt;=$J$4,'领用录入（明细）'!C:C&lt;=$L$4),ROW(),"-")</f>
        <v>-</v>
      </c>
    </row>
    <row r="19799" customHeight="1" spans="2:2">
      <c r="B19799" s="62" t="str">
        <f>IF(AND('领用录入（明细）'!D:D=$F$4,'领用录入（明细）'!C:C&gt;=$J$4,'领用录入（明细）'!C:C&lt;=$L$4),ROW(),"-")</f>
        <v>-</v>
      </c>
    </row>
    <row r="19800" customHeight="1" spans="2:2">
      <c r="B19800" s="62" t="str">
        <f>IF(AND('领用录入（明细）'!D:D=$F$4,'领用录入（明细）'!C:C&gt;=$J$4,'领用录入（明细）'!C:C&lt;=$L$4),ROW(),"-")</f>
        <v>-</v>
      </c>
    </row>
    <row r="19801" customHeight="1" spans="2:2">
      <c r="B19801" s="62" t="str">
        <f>IF(AND('领用录入（明细）'!D:D=$F$4,'领用录入（明细）'!C:C&gt;=$J$4,'领用录入（明细）'!C:C&lt;=$L$4),ROW(),"-")</f>
        <v>-</v>
      </c>
    </row>
    <row r="19802" customHeight="1" spans="2:2">
      <c r="B19802" s="62" t="str">
        <f>IF(AND('领用录入（明细）'!D:D=$F$4,'领用录入（明细）'!C:C&gt;=$J$4,'领用录入（明细）'!C:C&lt;=$L$4),ROW(),"-")</f>
        <v>-</v>
      </c>
    </row>
    <row r="19803" customHeight="1" spans="2:2">
      <c r="B19803" s="62" t="str">
        <f>IF(AND('领用录入（明细）'!D:D=$F$4,'领用录入（明细）'!C:C&gt;=$J$4,'领用录入（明细）'!C:C&lt;=$L$4),ROW(),"-")</f>
        <v>-</v>
      </c>
    </row>
    <row r="19804" customHeight="1" spans="2:2">
      <c r="B19804" s="62" t="str">
        <f>IF(AND('领用录入（明细）'!D:D=$F$4,'领用录入（明细）'!C:C&gt;=$J$4,'领用录入（明细）'!C:C&lt;=$L$4),ROW(),"-")</f>
        <v>-</v>
      </c>
    </row>
    <row r="19805" customHeight="1" spans="2:2">
      <c r="B19805" s="62" t="str">
        <f>IF(AND('领用录入（明细）'!D:D=$F$4,'领用录入（明细）'!C:C&gt;=$J$4,'领用录入（明细）'!C:C&lt;=$L$4),ROW(),"-")</f>
        <v>-</v>
      </c>
    </row>
    <row r="19806" customHeight="1" spans="2:2">
      <c r="B19806" s="62" t="str">
        <f>IF(AND('领用录入（明细）'!D:D=$F$4,'领用录入（明细）'!C:C&gt;=$J$4,'领用录入（明细）'!C:C&lt;=$L$4),ROW(),"-")</f>
        <v>-</v>
      </c>
    </row>
    <row r="19807" customHeight="1" spans="2:2">
      <c r="B19807" s="62" t="str">
        <f>IF(AND('领用录入（明细）'!D:D=$F$4,'领用录入（明细）'!C:C&gt;=$J$4,'领用录入（明细）'!C:C&lt;=$L$4),ROW(),"-")</f>
        <v>-</v>
      </c>
    </row>
    <row r="19808" customHeight="1" spans="2:2">
      <c r="B19808" s="62" t="str">
        <f>IF(AND('领用录入（明细）'!D:D=$F$4,'领用录入（明细）'!C:C&gt;=$J$4,'领用录入（明细）'!C:C&lt;=$L$4),ROW(),"-")</f>
        <v>-</v>
      </c>
    </row>
    <row r="19809" customHeight="1" spans="2:2">
      <c r="B19809" s="62" t="str">
        <f>IF(AND('领用录入（明细）'!D:D=$F$4,'领用录入（明细）'!C:C&gt;=$J$4,'领用录入（明细）'!C:C&lt;=$L$4),ROW(),"-")</f>
        <v>-</v>
      </c>
    </row>
    <row r="19810" customHeight="1" spans="2:2">
      <c r="B19810" s="62" t="str">
        <f>IF(AND('领用录入（明细）'!D:D=$F$4,'领用录入（明细）'!C:C&gt;=$J$4,'领用录入（明细）'!C:C&lt;=$L$4),ROW(),"-")</f>
        <v>-</v>
      </c>
    </row>
    <row r="19811" customHeight="1" spans="2:2">
      <c r="B19811" s="62" t="str">
        <f>IF(AND('领用录入（明细）'!D:D=$F$4,'领用录入（明细）'!C:C&gt;=$J$4,'领用录入（明细）'!C:C&lt;=$L$4),ROW(),"-")</f>
        <v>-</v>
      </c>
    </row>
    <row r="19812" customHeight="1" spans="2:2">
      <c r="B19812" s="62" t="str">
        <f>IF(AND('领用录入（明细）'!D:D=$F$4,'领用录入（明细）'!C:C&gt;=$J$4,'领用录入（明细）'!C:C&lt;=$L$4),ROW(),"-")</f>
        <v>-</v>
      </c>
    </row>
    <row r="19813" customHeight="1" spans="2:2">
      <c r="B19813" s="62" t="str">
        <f>IF(AND('领用录入（明细）'!D:D=$F$4,'领用录入（明细）'!C:C&gt;=$J$4,'领用录入（明细）'!C:C&lt;=$L$4),ROW(),"-")</f>
        <v>-</v>
      </c>
    </row>
    <row r="19814" customHeight="1" spans="2:2">
      <c r="B19814" s="62" t="str">
        <f>IF(AND('领用录入（明细）'!D:D=$F$4,'领用录入（明细）'!C:C&gt;=$J$4,'领用录入（明细）'!C:C&lt;=$L$4),ROW(),"-")</f>
        <v>-</v>
      </c>
    </row>
    <row r="19815" customHeight="1" spans="2:2">
      <c r="B19815" s="62" t="str">
        <f>IF(AND('领用录入（明细）'!D:D=$F$4,'领用录入（明细）'!C:C&gt;=$J$4,'领用录入（明细）'!C:C&lt;=$L$4),ROW(),"-")</f>
        <v>-</v>
      </c>
    </row>
    <row r="19816" customHeight="1" spans="2:2">
      <c r="B19816" s="62" t="str">
        <f>IF(AND('领用录入（明细）'!D:D=$F$4,'领用录入（明细）'!C:C&gt;=$J$4,'领用录入（明细）'!C:C&lt;=$L$4),ROW(),"-")</f>
        <v>-</v>
      </c>
    </row>
    <row r="19817" customHeight="1" spans="2:2">
      <c r="B19817" s="62" t="str">
        <f>IF(AND('领用录入（明细）'!D:D=$F$4,'领用录入（明细）'!C:C&gt;=$J$4,'领用录入（明细）'!C:C&lt;=$L$4),ROW(),"-")</f>
        <v>-</v>
      </c>
    </row>
    <row r="19818" customHeight="1" spans="2:2">
      <c r="B19818" s="62" t="str">
        <f>IF(AND('领用录入（明细）'!D:D=$F$4,'领用录入（明细）'!C:C&gt;=$J$4,'领用录入（明细）'!C:C&lt;=$L$4),ROW(),"-")</f>
        <v>-</v>
      </c>
    </row>
    <row r="19819" customHeight="1" spans="2:2">
      <c r="B19819" s="62" t="str">
        <f>IF(AND('领用录入（明细）'!D:D=$F$4,'领用录入（明细）'!C:C&gt;=$J$4,'领用录入（明细）'!C:C&lt;=$L$4),ROW(),"-")</f>
        <v>-</v>
      </c>
    </row>
    <row r="19820" customHeight="1" spans="2:2">
      <c r="B19820" s="62" t="str">
        <f>IF(AND('领用录入（明细）'!D:D=$F$4,'领用录入（明细）'!C:C&gt;=$J$4,'领用录入（明细）'!C:C&lt;=$L$4),ROW(),"-")</f>
        <v>-</v>
      </c>
    </row>
    <row r="19821" customHeight="1" spans="2:2">
      <c r="B19821" s="62" t="str">
        <f>IF(AND('领用录入（明细）'!D:D=$F$4,'领用录入（明细）'!C:C&gt;=$J$4,'领用录入（明细）'!C:C&lt;=$L$4),ROW(),"-")</f>
        <v>-</v>
      </c>
    </row>
    <row r="19822" customHeight="1" spans="2:2">
      <c r="B19822" s="62" t="str">
        <f>IF(AND('领用录入（明细）'!D:D=$F$4,'领用录入（明细）'!C:C&gt;=$J$4,'领用录入（明细）'!C:C&lt;=$L$4),ROW(),"-")</f>
        <v>-</v>
      </c>
    </row>
    <row r="19823" customHeight="1" spans="2:2">
      <c r="B19823" s="62" t="str">
        <f>IF(AND('领用录入（明细）'!D:D=$F$4,'领用录入（明细）'!C:C&gt;=$J$4,'领用录入（明细）'!C:C&lt;=$L$4),ROW(),"-")</f>
        <v>-</v>
      </c>
    </row>
    <row r="19824" customHeight="1" spans="2:2">
      <c r="B19824" s="62" t="str">
        <f>IF(AND('领用录入（明细）'!D:D=$F$4,'领用录入（明细）'!C:C&gt;=$J$4,'领用录入（明细）'!C:C&lt;=$L$4),ROW(),"-")</f>
        <v>-</v>
      </c>
    </row>
    <row r="19825" customHeight="1" spans="2:2">
      <c r="B19825" s="62" t="str">
        <f>IF(AND('领用录入（明细）'!D:D=$F$4,'领用录入（明细）'!C:C&gt;=$J$4,'领用录入（明细）'!C:C&lt;=$L$4),ROW(),"-")</f>
        <v>-</v>
      </c>
    </row>
    <row r="19826" customHeight="1" spans="2:2">
      <c r="B19826" s="62" t="str">
        <f>IF(AND('领用录入（明细）'!D:D=$F$4,'领用录入（明细）'!C:C&gt;=$J$4,'领用录入（明细）'!C:C&lt;=$L$4),ROW(),"-")</f>
        <v>-</v>
      </c>
    </row>
    <row r="19827" customHeight="1" spans="2:2">
      <c r="B19827" s="62" t="str">
        <f>IF(AND('领用录入（明细）'!D:D=$F$4,'领用录入（明细）'!C:C&gt;=$J$4,'领用录入（明细）'!C:C&lt;=$L$4),ROW(),"-")</f>
        <v>-</v>
      </c>
    </row>
    <row r="19828" customHeight="1" spans="2:2">
      <c r="B19828" s="62" t="str">
        <f>IF(AND('领用录入（明细）'!D:D=$F$4,'领用录入（明细）'!C:C&gt;=$J$4,'领用录入（明细）'!C:C&lt;=$L$4),ROW(),"-")</f>
        <v>-</v>
      </c>
    </row>
    <row r="19829" customHeight="1" spans="2:2">
      <c r="B19829" s="62" t="str">
        <f>IF(AND('领用录入（明细）'!D:D=$F$4,'领用录入（明细）'!C:C&gt;=$J$4,'领用录入（明细）'!C:C&lt;=$L$4),ROW(),"-")</f>
        <v>-</v>
      </c>
    </row>
    <row r="19830" customHeight="1" spans="2:2">
      <c r="B19830" s="62" t="str">
        <f>IF(AND('领用录入（明细）'!D:D=$F$4,'领用录入（明细）'!C:C&gt;=$J$4,'领用录入（明细）'!C:C&lt;=$L$4),ROW(),"-")</f>
        <v>-</v>
      </c>
    </row>
    <row r="19831" customHeight="1" spans="2:2">
      <c r="B19831" s="62" t="str">
        <f>IF(AND('领用录入（明细）'!D:D=$F$4,'领用录入（明细）'!C:C&gt;=$J$4,'领用录入（明细）'!C:C&lt;=$L$4),ROW(),"-")</f>
        <v>-</v>
      </c>
    </row>
    <row r="19832" customHeight="1" spans="2:2">
      <c r="B19832" s="62" t="str">
        <f>IF(AND('领用录入（明细）'!D:D=$F$4,'领用录入（明细）'!C:C&gt;=$J$4,'领用录入（明细）'!C:C&lt;=$L$4),ROW(),"-")</f>
        <v>-</v>
      </c>
    </row>
    <row r="19833" customHeight="1" spans="2:2">
      <c r="B19833" s="62" t="str">
        <f>IF(AND('领用录入（明细）'!D:D=$F$4,'领用录入（明细）'!C:C&gt;=$J$4,'领用录入（明细）'!C:C&lt;=$L$4),ROW(),"-")</f>
        <v>-</v>
      </c>
    </row>
    <row r="19834" customHeight="1" spans="2:2">
      <c r="B19834" s="62" t="str">
        <f>IF(AND('领用录入（明细）'!D:D=$F$4,'领用录入（明细）'!C:C&gt;=$J$4,'领用录入（明细）'!C:C&lt;=$L$4),ROW(),"-")</f>
        <v>-</v>
      </c>
    </row>
    <row r="19835" customHeight="1" spans="2:2">
      <c r="B19835" s="62" t="str">
        <f>IF(AND('领用录入（明细）'!D:D=$F$4,'领用录入（明细）'!C:C&gt;=$J$4,'领用录入（明细）'!C:C&lt;=$L$4),ROW(),"-")</f>
        <v>-</v>
      </c>
    </row>
    <row r="19836" customHeight="1" spans="2:2">
      <c r="B19836" s="62" t="str">
        <f>IF(AND('领用录入（明细）'!D:D=$F$4,'领用录入（明细）'!C:C&gt;=$J$4,'领用录入（明细）'!C:C&lt;=$L$4),ROW(),"-")</f>
        <v>-</v>
      </c>
    </row>
    <row r="19837" customHeight="1" spans="2:2">
      <c r="B19837" s="62" t="str">
        <f>IF(AND('领用录入（明细）'!D:D=$F$4,'领用录入（明细）'!C:C&gt;=$J$4,'领用录入（明细）'!C:C&lt;=$L$4),ROW(),"-")</f>
        <v>-</v>
      </c>
    </row>
    <row r="19838" customHeight="1" spans="2:2">
      <c r="B19838" s="62" t="str">
        <f>IF(AND('领用录入（明细）'!D:D=$F$4,'领用录入（明细）'!C:C&gt;=$J$4,'领用录入（明细）'!C:C&lt;=$L$4),ROW(),"-")</f>
        <v>-</v>
      </c>
    </row>
    <row r="19839" customHeight="1" spans="2:2">
      <c r="B19839" s="62" t="str">
        <f>IF(AND('领用录入（明细）'!D:D=$F$4,'领用录入（明细）'!C:C&gt;=$J$4,'领用录入（明细）'!C:C&lt;=$L$4),ROW(),"-")</f>
        <v>-</v>
      </c>
    </row>
    <row r="19840" customHeight="1" spans="2:2">
      <c r="B19840" s="62" t="str">
        <f>IF(AND('领用录入（明细）'!D:D=$F$4,'领用录入（明细）'!C:C&gt;=$J$4,'领用录入（明细）'!C:C&lt;=$L$4),ROW(),"-")</f>
        <v>-</v>
      </c>
    </row>
    <row r="19841" customHeight="1" spans="2:2">
      <c r="B19841" s="62" t="str">
        <f>IF(AND('领用录入（明细）'!D:D=$F$4,'领用录入（明细）'!C:C&gt;=$J$4,'领用录入（明细）'!C:C&lt;=$L$4),ROW(),"-")</f>
        <v>-</v>
      </c>
    </row>
    <row r="19842" customHeight="1" spans="2:2">
      <c r="B19842" s="62" t="str">
        <f>IF(AND('领用录入（明细）'!D:D=$F$4,'领用录入（明细）'!C:C&gt;=$J$4,'领用录入（明细）'!C:C&lt;=$L$4),ROW(),"-")</f>
        <v>-</v>
      </c>
    </row>
    <row r="19843" customHeight="1" spans="2:2">
      <c r="B19843" s="62" t="str">
        <f>IF(AND('领用录入（明细）'!D:D=$F$4,'领用录入（明细）'!C:C&gt;=$J$4,'领用录入（明细）'!C:C&lt;=$L$4),ROW(),"-")</f>
        <v>-</v>
      </c>
    </row>
    <row r="19844" customHeight="1" spans="2:2">
      <c r="B19844" s="62" t="str">
        <f>IF(AND('领用录入（明细）'!D:D=$F$4,'领用录入（明细）'!C:C&gt;=$J$4,'领用录入（明细）'!C:C&lt;=$L$4),ROW(),"-")</f>
        <v>-</v>
      </c>
    </row>
    <row r="19845" customHeight="1" spans="2:2">
      <c r="B19845" s="62" t="str">
        <f>IF(AND('领用录入（明细）'!D:D=$F$4,'领用录入（明细）'!C:C&gt;=$J$4,'领用录入（明细）'!C:C&lt;=$L$4),ROW(),"-")</f>
        <v>-</v>
      </c>
    </row>
    <row r="19846" customHeight="1" spans="2:2">
      <c r="B19846" s="62" t="str">
        <f>IF(AND('领用录入（明细）'!D:D=$F$4,'领用录入（明细）'!C:C&gt;=$J$4,'领用录入（明细）'!C:C&lt;=$L$4),ROW(),"-")</f>
        <v>-</v>
      </c>
    </row>
    <row r="19847" customHeight="1" spans="2:2">
      <c r="B19847" s="62" t="str">
        <f>IF(AND('领用录入（明细）'!D:D=$F$4,'领用录入（明细）'!C:C&gt;=$J$4,'领用录入（明细）'!C:C&lt;=$L$4),ROW(),"-")</f>
        <v>-</v>
      </c>
    </row>
    <row r="19848" customHeight="1" spans="2:2">
      <c r="B19848" s="62" t="str">
        <f>IF(AND('领用录入（明细）'!D:D=$F$4,'领用录入（明细）'!C:C&gt;=$J$4,'领用录入（明细）'!C:C&lt;=$L$4),ROW(),"-")</f>
        <v>-</v>
      </c>
    </row>
    <row r="19849" customHeight="1" spans="2:2">
      <c r="B19849" s="62" t="str">
        <f>IF(AND('领用录入（明细）'!D:D=$F$4,'领用录入（明细）'!C:C&gt;=$J$4,'领用录入（明细）'!C:C&lt;=$L$4),ROW(),"-")</f>
        <v>-</v>
      </c>
    </row>
    <row r="19850" customHeight="1" spans="2:2">
      <c r="B19850" s="62" t="str">
        <f>IF(AND('领用录入（明细）'!D:D=$F$4,'领用录入（明细）'!C:C&gt;=$J$4,'领用录入（明细）'!C:C&lt;=$L$4),ROW(),"-")</f>
        <v>-</v>
      </c>
    </row>
    <row r="19851" customHeight="1" spans="2:2">
      <c r="B19851" s="62" t="str">
        <f>IF(AND('领用录入（明细）'!D:D=$F$4,'领用录入（明细）'!C:C&gt;=$J$4,'领用录入（明细）'!C:C&lt;=$L$4),ROW(),"-")</f>
        <v>-</v>
      </c>
    </row>
    <row r="19852" customHeight="1" spans="2:2">
      <c r="B19852" s="62" t="str">
        <f>IF(AND('领用录入（明细）'!D:D=$F$4,'领用录入（明细）'!C:C&gt;=$J$4,'领用录入（明细）'!C:C&lt;=$L$4),ROW(),"-")</f>
        <v>-</v>
      </c>
    </row>
    <row r="19853" customHeight="1" spans="2:2">
      <c r="B19853" s="62" t="str">
        <f>IF(AND('领用录入（明细）'!D:D=$F$4,'领用录入（明细）'!C:C&gt;=$J$4,'领用录入（明细）'!C:C&lt;=$L$4),ROW(),"-")</f>
        <v>-</v>
      </c>
    </row>
    <row r="19854" customHeight="1" spans="2:2">
      <c r="B19854" s="62" t="str">
        <f>IF(AND('领用录入（明细）'!D:D=$F$4,'领用录入（明细）'!C:C&gt;=$J$4,'领用录入（明细）'!C:C&lt;=$L$4),ROW(),"-")</f>
        <v>-</v>
      </c>
    </row>
    <row r="19855" customHeight="1" spans="2:2">
      <c r="B19855" s="62" t="str">
        <f>IF(AND('领用录入（明细）'!D:D=$F$4,'领用录入（明细）'!C:C&gt;=$J$4,'领用录入（明细）'!C:C&lt;=$L$4),ROW(),"-")</f>
        <v>-</v>
      </c>
    </row>
    <row r="19856" customHeight="1" spans="2:2">
      <c r="B19856" s="62" t="str">
        <f>IF(AND('领用录入（明细）'!D:D=$F$4,'领用录入（明细）'!C:C&gt;=$J$4,'领用录入（明细）'!C:C&lt;=$L$4),ROW(),"-")</f>
        <v>-</v>
      </c>
    </row>
    <row r="19857" customHeight="1" spans="2:2">
      <c r="B19857" s="62" t="str">
        <f>IF(AND('领用录入（明细）'!D:D=$F$4,'领用录入（明细）'!C:C&gt;=$J$4,'领用录入（明细）'!C:C&lt;=$L$4),ROW(),"-")</f>
        <v>-</v>
      </c>
    </row>
    <row r="19858" customHeight="1" spans="2:2">
      <c r="B19858" s="62" t="str">
        <f>IF(AND('领用录入（明细）'!D:D=$F$4,'领用录入（明细）'!C:C&gt;=$J$4,'领用录入（明细）'!C:C&lt;=$L$4),ROW(),"-")</f>
        <v>-</v>
      </c>
    </row>
    <row r="19859" customHeight="1" spans="2:2">
      <c r="B19859" s="62" t="str">
        <f>IF(AND('领用录入（明细）'!D:D=$F$4,'领用录入（明细）'!C:C&gt;=$J$4,'领用录入（明细）'!C:C&lt;=$L$4),ROW(),"-")</f>
        <v>-</v>
      </c>
    </row>
    <row r="19860" customHeight="1" spans="2:2">
      <c r="B19860" s="62" t="str">
        <f>IF(AND('领用录入（明细）'!D:D=$F$4,'领用录入（明细）'!C:C&gt;=$J$4,'领用录入（明细）'!C:C&lt;=$L$4),ROW(),"-")</f>
        <v>-</v>
      </c>
    </row>
    <row r="19861" customHeight="1" spans="2:2">
      <c r="B19861" s="62" t="str">
        <f>IF(AND('领用录入（明细）'!D:D=$F$4,'领用录入（明细）'!C:C&gt;=$J$4,'领用录入（明细）'!C:C&lt;=$L$4),ROW(),"-")</f>
        <v>-</v>
      </c>
    </row>
    <row r="19862" customHeight="1" spans="2:2">
      <c r="B19862" s="62" t="str">
        <f>IF(AND('领用录入（明细）'!D:D=$F$4,'领用录入（明细）'!C:C&gt;=$J$4,'领用录入（明细）'!C:C&lt;=$L$4),ROW(),"-")</f>
        <v>-</v>
      </c>
    </row>
    <row r="19863" customHeight="1" spans="2:2">
      <c r="B19863" s="62" t="str">
        <f>IF(AND('领用录入（明细）'!D:D=$F$4,'领用录入（明细）'!C:C&gt;=$J$4,'领用录入（明细）'!C:C&lt;=$L$4),ROW(),"-")</f>
        <v>-</v>
      </c>
    </row>
    <row r="19864" customHeight="1" spans="2:2">
      <c r="B19864" s="62" t="str">
        <f>IF(AND('领用录入（明细）'!D:D=$F$4,'领用录入（明细）'!C:C&gt;=$J$4,'领用录入（明细）'!C:C&lt;=$L$4),ROW(),"-")</f>
        <v>-</v>
      </c>
    </row>
    <row r="19865" customHeight="1" spans="2:2">
      <c r="B19865" s="62" t="str">
        <f>IF(AND('领用录入（明细）'!D:D=$F$4,'领用录入（明细）'!C:C&gt;=$J$4,'领用录入（明细）'!C:C&lt;=$L$4),ROW(),"-")</f>
        <v>-</v>
      </c>
    </row>
    <row r="19866" customHeight="1" spans="2:2">
      <c r="B19866" s="62" t="str">
        <f>IF(AND('领用录入（明细）'!D:D=$F$4,'领用录入（明细）'!C:C&gt;=$J$4,'领用录入（明细）'!C:C&lt;=$L$4),ROW(),"-")</f>
        <v>-</v>
      </c>
    </row>
    <row r="19867" customHeight="1" spans="2:2">
      <c r="B19867" s="62" t="str">
        <f>IF(AND('领用录入（明细）'!D:D=$F$4,'领用录入（明细）'!C:C&gt;=$J$4,'领用录入（明细）'!C:C&lt;=$L$4),ROW(),"-")</f>
        <v>-</v>
      </c>
    </row>
    <row r="19868" customHeight="1" spans="2:2">
      <c r="B19868" s="62" t="str">
        <f>IF(AND('领用录入（明细）'!D:D=$F$4,'领用录入（明细）'!C:C&gt;=$J$4,'领用录入（明细）'!C:C&lt;=$L$4),ROW(),"-")</f>
        <v>-</v>
      </c>
    </row>
    <row r="19869" customHeight="1" spans="2:2">
      <c r="B19869" s="62" t="str">
        <f>IF(AND('领用录入（明细）'!D:D=$F$4,'领用录入（明细）'!C:C&gt;=$J$4,'领用录入（明细）'!C:C&lt;=$L$4),ROW(),"-")</f>
        <v>-</v>
      </c>
    </row>
    <row r="19870" customHeight="1" spans="2:2">
      <c r="B19870" s="62" t="str">
        <f>IF(AND('领用录入（明细）'!D:D=$F$4,'领用录入（明细）'!C:C&gt;=$J$4,'领用录入（明细）'!C:C&lt;=$L$4),ROW(),"-")</f>
        <v>-</v>
      </c>
    </row>
    <row r="19871" customHeight="1" spans="2:2">
      <c r="B19871" s="62" t="str">
        <f>IF(AND('领用录入（明细）'!D:D=$F$4,'领用录入（明细）'!C:C&gt;=$J$4,'领用录入（明细）'!C:C&lt;=$L$4),ROW(),"-")</f>
        <v>-</v>
      </c>
    </row>
    <row r="19872" customHeight="1" spans="2:2">
      <c r="B19872" s="62" t="str">
        <f>IF(AND('领用录入（明细）'!D:D=$F$4,'领用录入（明细）'!C:C&gt;=$J$4,'领用录入（明细）'!C:C&lt;=$L$4),ROW(),"-")</f>
        <v>-</v>
      </c>
    </row>
    <row r="19873" customHeight="1" spans="2:2">
      <c r="B19873" s="62" t="str">
        <f>IF(AND('领用录入（明细）'!D:D=$F$4,'领用录入（明细）'!C:C&gt;=$J$4,'领用录入（明细）'!C:C&lt;=$L$4),ROW(),"-")</f>
        <v>-</v>
      </c>
    </row>
    <row r="19874" customHeight="1" spans="2:2">
      <c r="B19874" s="62" t="str">
        <f>IF(AND('领用录入（明细）'!D:D=$F$4,'领用录入（明细）'!C:C&gt;=$J$4,'领用录入（明细）'!C:C&lt;=$L$4),ROW(),"-")</f>
        <v>-</v>
      </c>
    </row>
    <row r="19875" customHeight="1" spans="2:2">
      <c r="B19875" s="62" t="str">
        <f>IF(AND('领用录入（明细）'!D:D=$F$4,'领用录入（明细）'!C:C&gt;=$J$4,'领用录入（明细）'!C:C&lt;=$L$4),ROW(),"-")</f>
        <v>-</v>
      </c>
    </row>
    <row r="19876" customHeight="1" spans="2:2">
      <c r="B19876" s="62" t="str">
        <f>IF(AND('领用录入（明细）'!D:D=$F$4,'领用录入（明细）'!C:C&gt;=$J$4,'领用录入（明细）'!C:C&lt;=$L$4),ROW(),"-")</f>
        <v>-</v>
      </c>
    </row>
    <row r="19877" customHeight="1" spans="2:2">
      <c r="B19877" s="62" t="str">
        <f>IF(AND('领用录入（明细）'!D:D=$F$4,'领用录入（明细）'!C:C&gt;=$J$4,'领用录入（明细）'!C:C&lt;=$L$4),ROW(),"-")</f>
        <v>-</v>
      </c>
    </row>
    <row r="19878" customHeight="1" spans="2:2">
      <c r="B19878" s="62" t="str">
        <f>IF(AND('领用录入（明细）'!D:D=$F$4,'领用录入（明细）'!C:C&gt;=$J$4,'领用录入（明细）'!C:C&lt;=$L$4),ROW(),"-")</f>
        <v>-</v>
      </c>
    </row>
    <row r="19879" customHeight="1" spans="2:2">
      <c r="B19879" s="62" t="str">
        <f>IF(AND('领用录入（明细）'!D:D=$F$4,'领用录入（明细）'!C:C&gt;=$J$4,'领用录入（明细）'!C:C&lt;=$L$4),ROW(),"-")</f>
        <v>-</v>
      </c>
    </row>
    <row r="19880" customHeight="1" spans="2:2">
      <c r="B19880" s="62" t="str">
        <f>IF(AND('领用录入（明细）'!D:D=$F$4,'领用录入（明细）'!C:C&gt;=$J$4,'领用录入（明细）'!C:C&lt;=$L$4),ROW(),"-")</f>
        <v>-</v>
      </c>
    </row>
    <row r="19881" customHeight="1" spans="2:2">
      <c r="B19881" s="62" t="str">
        <f>IF(AND('领用录入（明细）'!D:D=$F$4,'领用录入（明细）'!C:C&gt;=$J$4,'领用录入（明细）'!C:C&lt;=$L$4),ROW(),"-")</f>
        <v>-</v>
      </c>
    </row>
    <row r="19882" customHeight="1" spans="2:2">
      <c r="B19882" s="62" t="str">
        <f>IF(AND('领用录入（明细）'!D:D=$F$4,'领用录入（明细）'!C:C&gt;=$J$4,'领用录入（明细）'!C:C&lt;=$L$4),ROW(),"-")</f>
        <v>-</v>
      </c>
    </row>
    <row r="19883" customHeight="1" spans="2:2">
      <c r="B19883" s="62" t="str">
        <f>IF(AND('领用录入（明细）'!D:D=$F$4,'领用录入（明细）'!C:C&gt;=$J$4,'领用录入（明细）'!C:C&lt;=$L$4),ROW(),"-")</f>
        <v>-</v>
      </c>
    </row>
    <row r="19884" customHeight="1" spans="2:2">
      <c r="B19884" s="62" t="str">
        <f>IF(AND('领用录入（明细）'!D:D=$F$4,'领用录入（明细）'!C:C&gt;=$J$4,'领用录入（明细）'!C:C&lt;=$L$4),ROW(),"-")</f>
        <v>-</v>
      </c>
    </row>
    <row r="19885" customHeight="1" spans="2:2">
      <c r="B19885" s="62" t="str">
        <f>IF(AND('领用录入（明细）'!D:D=$F$4,'领用录入（明细）'!C:C&gt;=$J$4,'领用录入（明细）'!C:C&lt;=$L$4),ROW(),"-")</f>
        <v>-</v>
      </c>
    </row>
    <row r="19886" customHeight="1" spans="2:2">
      <c r="B19886" s="62" t="str">
        <f>IF(AND('领用录入（明细）'!D:D=$F$4,'领用录入（明细）'!C:C&gt;=$J$4,'领用录入（明细）'!C:C&lt;=$L$4),ROW(),"-")</f>
        <v>-</v>
      </c>
    </row>
    <row r="19887" customHeight="1" spans="2:2">
      <c r="B19887" s="62" t="str">
        <f>IF(AND('领用录入（明细）'!D:D=$F$4,'领用录入（明细）'!C:C&gt;=$J$4,'领用录入（明细）'!C:C&lt;=$L$4),ROW(),"-")</f>
        <v>-</v>
      </c>
    </row>
    <row r="19888" customHeight="1" spans="2:2">
      <c r="B19888" s="62" t="str">
        <f>IF(AND('领用录入（明细）'!D:D=$F$4,'领用录入（明细）'!C:C&gt;=$J$4,'领用录入（明细）'!C:C&lt;=$L$4),ROW(),"-")</f>
        <v>-</v>
      </c>
    </row>
    <row r="19889" customHeight="1" spans="2:2">
      <c r="B19889" s="62" t="str">
        <f>IF(AND('领用录入（明细）'!D:D=$F$4,'领用录入（明细）'!C:C&gt;=$J$4,'领用录入（明细）'!C:C&lt;=$L$4),ROW(),"-")</f>
        <v>-</v>
      </c>
    </row>
    <row r="19890" customHeight="1" spans="2:2">
      <c r="B19890" s="62" t="str">
        <f>IF(AND('领用录入（明细）'!D:D=$F$4,'领用录入（明细）'!C:C&gt;=$J$4,'领用录入（明细）'!C:C&lt;=$L$4),ROW(),"-")</f>
        <v>-</v>
      </c>
    </row>
    <row r="19891" customHeight="1" spans="2:2">
      <c r="B19891" s="62" t="str">
        <f>IF(AND('领用录入（明细）'!D:D=$F$4,'领用录入（明细）'!C:C&gt;=$J$4,'领用录入（明细）'!C:C&lt;=$L$4),ROW(),"-")</f>
        <v>-</v>
      </c>
    </row>
    <row r="19892" customHeight="1" spans="2:2">
      <c r="B19892" s="62" t="str">
        <f>IF(AND('领用录入（明细）'!D:D=$F$4,'领用录入（明细）'!C:C&gt;=$J$4,'领用录入（明细）'!C:C&lt;=$L$4),ROW(),"-")</f>
        <v>-</v>
      </c>
    </row>
    <row r="19893" customHeight="1" spans="2:2">
      <c r="B19893" s="62" t="str">
        <f>IF(AND('领用录入（明细）'!D:D=$F$4,'领用录入（明细）'!C:C&gt;=$J$4,'领用录入（明细）'!C:C&lt;=$L$4),ROW(),"-")</f>
        <v>-</v>
      </c>
    </row>
    <row r="19894" customHeight="1" spans="2:2">
      <c r="B19894" s="62" t="str">
        <f>IF(AND('领用录入（明细）'!D:D=$F$4,'领用录入（明细）'!C:C&gt;=$J$4,'领用录入（明细）'!C:C&lt;=$L$4),ROW(),"-")</f>
        <v>-</v>
      </c>
    </row>
    <row r="19895" customHeight="1" spans="2:2">
      <c r="B19895" s="62" t="str">
        <f>IF(AND('领用录入（明细）'!D:D=$F$4,'领用录入（明细）'!C:C&gt;=$J$4,'领用录入（明细）'!C:C&lt;=$L$4),ROW(),"-")</f>
        <v>-</v>
      </c>
    </row>
    <row r="19896" customHeight="1" spans="2:2">
      <c r="B19896" s="62" t="str">
        <f>IF(AND('领用录入（明细）'!D:D=$F$4,'领用录入（明细）'!C:C&gt;=$J$4,'领用录入（明细）'!C:C&lt;=$L$4),ROW(),"-")</f>
        <v>-</v>
      </c>
    </row>
    <row r="19897" customHeight="1" spans="2:2">
      <c r="B19897" s="62" t="str">
        <f>IF(AND('领用录入（明细）'!D:D=$F$4,'领用录入（明细）'!C:C&gt;=$J$4,'领用录入（明细）'!C:C&lt;=$L$4),ROW(),"-")</f>
        <v>-</v>
      </c>
    </row>
    <row r="19898" customHeight="1" spans="2:2">
      <c r="B19898" s="62" t="str">
        <f>IF(AND('领用录入（明细）'!D:D=$F$4,'领用录入（明细）'!C:C&gt;=$J$4,'领用录入（明细）'!C:C&lt;=$L$4),ROW(),"-")</f>
        <v>-</v>
      </c>
    </row>
    <row r="19899" customHeight="1" spans="2:2">
      <c r="B19899" s="62" t="str">
        <f>IF(AND('领用录入（明细）'!D:D=$F$4,'领用录入（明细）'!C:C&gt;=$J$4,'领用录入（明细）'!C:C&lt;=$L$4),ROW(),"-")</f>
        <v>-</v>
      </c>
    </row>
    <row r="19900" customHeight="1" spans="2:2">
      <c r="B19900" s="62" t="str">
        <f>IF(AND('领用录入（明细）'!D:D=$F$4,'领用录入（明细）'!C:C&gt;=$J$4,'领用录入（明细）'!C:C&lt;=$L$4),ROW(),"-")</f>
        <v>-</v>
      </c>
    </row>
    <row r="19901" customHeight="1" spans="2:2">
      <c r="B19901" s="62" t="str">
        <f>IF(AND('领用录入（明细）'!D:D=$F$4,'领用录入（明细）'!C:C&gt;=$J$4,'领用录入（明细）'!C:C&lt;=$L$4),ROW(),"-")</f>
        <v>-</v>
      </c>
    </row>
    <row r="19902" customHeight="1" spans="2:2">
      <c r="B19902" s="62" t="str">
        <f>IF(AND('领用录入（明细）'!D:D=$F$4,'领用录入（明细）'!C:C&gt;=$J$4,'领用录入（明细）'!C:C&lt;=$L$4),ROW(),"-")</f>
        <v>-</v>
      </c>
    </row>
    <row r="19903" customHeight="1" spans="2:2">
      <c r="B19903" s="62" t="str">
        <f>IF(AND('领用录入（明细）'!D:D=$F$4,'领用录入（明细）'!C:C&gt;=$J$4,'领用录入（明细）'!C:C&lt;=$L$4),ROW(),"-")</f>
        <v>-</v>
      </c>
    </row>
    <row r="19904" customHeight="1" spans="2:2">
      <c r="B19904" s="62" t="str">
        <f>IF(AND('领用录入（明细）'!D:D=$F$4,'领用录入（明细）'!C:C&gt;=$J$4,'领用录入（明细）'!C:C&lt;=$L$4),ROW(),"-")</f>
        <v>-</v>
      </c>
    </row>
    <row r="19905" customHeight="1" spans="2:2">
      <c r="B19905" s="62" t="str">
        <f>IF(AND('领用录入（明细）'!D:D=$F$4,'领用录入（明细）'!C:C&gt;=$J$4,'领用录入（明细）'!C:C&lt;=$L$4),ROW(),"-")</f>
        <v>-</v>
      </c>
    </row>
    <row r="19906" customHeight="1" spans="2:2">
      <c r="B19906" s="62" t="str">
        <f>IF(AND('领用录入（明细）'!D:D=$F$4,'领用录入（明细）'!C:C&gt;=$J$4,'领用录入（明细）'!C:C&lt;=$L$4),ROW(),"-")</f>
        <v>-</v>
      </c>
    </row>
    <row r="19907" customHeight="1" spans="2:2">
      <c r="B19907" s="62" t="str">
        <f>IF(AND('领用录入（明细）'!D:D=$F$4,'领用录入（明细）'!C:C&gt;=$J$4,'领用录入（明细）'!C:C&lt;=$L$4),ROW(),"-")</f>
        <v>-</v>
      </c>
    </row>
    <row r="19908" customHeight="1" spans="2:2">
      <c r="B19908" s="62" t="str">
        <f>IF(AND('领用录入（明细）'!D:D=$F$4,'领用录入（明细）'!C:C&gt;=$J$4,'领用录入（明细）'!C:C&lt;=$L$4),ROW(),"-")</f>
        <v>-</v>
      </c>
    </row>
    <row r="19909" customHeight="1" spans="2:2">
      <c r="B19909" s="62" t="str">
        <f>IF(AND('领用录入（明细）'!D:D=$F$4,'领用录入（明细）'!C:C&gt;=$J$4,'领用录入（明细）'!C:C&lt;=$L$4),ROW(),"-")</f>
        <v>-</v>
      </c>
    </row>
    <row r="19910" customHeight="1" spans="2:2">
      <c r="B19910" s="62" t="str">
        <f>IF(AND('领用录入（明细）'!D:D=$F$4,'领用录入（明细）'!C:C&gt;=$J$4,'领用录入（明细）'!C:C&lt;=$L$4),ROW(),"-")</f>
        <v>-</v>
      </c>
    </row>
    <row r="19911" customHeight="1" spans="2:2">
      <c r="B19911" s="62" t="str">
        <f>IF(AND('领用录入（明细）'!D:D=$F$4,'领用录入（明细）'!C:C&gt;=$J$4,'领用录入（明细）'!C:C&lt;=$L$4),ROW(),"-")</f>
        <v>-</v>
      </c>
    </row>
    <row r="19912" customHeight="1" spans="2:2">
      <c r="B19912" s="62" t="str">
        <f>IF(AND('领用录入（明细）'!D:D=$F$4,'领用录入（明细）'!C:C&gt;=$J$4,'领用录入（明细）'!C:C&lt;=$L$4),ROW(),"-")</f>
        <v>-</v>
      </c>
    </row>
    <row r="19913" customHeight="1" spans="2:2">
      <c r="B19913" s="62" t="str">
        <f>IF(AND('领用录入（明细）'!D:D=$F$4,'领用录入（明细）'!C:C&gt;=$J$4,'领用录入（明细）'!C:C&lt;=$L$4),ROW(),"-")</f>
        <v>-</v>
      </c>
    </row>
    <row r="19914" customHeight="1" spans="2:2">
      <c r="B19914" s="62" t="str">
        <f>IF(AND('领用录入（明细）'!D:D=$F$4,'领用录入（明细）'!C:C&gt;=$J$4,'领用录入（明细）'!C:C&lt;=$L$4),ROW(),"-")</f>
        <v>-</v>
      </c>
    </row>
    <row r="19915" customHeight="1" spans="2:2">
      <c r="B19915" s="62" t="str">
        <f>IF(AND('领用录入（明细）'!D:D=$F$4,'领用录入（明细）'!C:C&gt;=$J$4,'领用录入（明细）'!C:C&lt;=$L$4),ROW(),"-")</f>
        <v>-</v>
      </c>
    </row>
    <row r="19916" customHeight="1" spans="2:2">
      <c r="B19916" s="62" t="str">
        <f>IF(AND('领用录入（明细）'!D:D=$F$4,'领用录入（明细）'!C:C&gt;=$J$4,'领用录入（明细）'!C:C&lt;=$L$4),ROW(),"-")</f>
        <v>-</v>
      </c>
    </row>
    <row r="19917" customHeight="1" spans="2:2">
      <c r="B19917" s="62" t="str">
        <f>IF(AND('领用录入（明细）'!D:D=$F$4,'领用录入（明细）'!C:C&gt;=$J$4,'领用录入（明细）'!C:C&lt;=$L$4),ROW(),"-")</f>
        <v>-</v>
      </c>
    </row>
    <row r="19918" customHeight="1" spans="2:2">
      <c r="B19918" s="62" t="str">
        <f>IF(AND('领用录入（明细）'!D:D=$F$4,'领用录入（明细）'!C:C&gt;=$J$4,'领用录入（明细）'!C:C&lt;=$L$4),ROW(),"-")</f>
        <v>-</v>
      </c>
    </row>
    <row r="19919" customHeight="1" spans="2:2">
      <c r="B19919" s="62" t="str">
        <f>IF(AND('领用录入（明细）'!D:D=$F$4,'领用录入（明细）'!C:C&gt;=$J$4,'领用录入（明细）'!C:C&lt;=$L$4),ROW(),"-")</f>
        <v>-</v>
      </c>
    </row>
    <row r="19920" customHeight="1" spans="2:2">
      <c r="B19920" s="62" t="str">
        <f>IF(AND('领用录入（明细）'!D:D=$F$4,'领用录入（明细）'!C:C&gt;=$J$4,'领用录入（明细）'!C:C&lt;=$L$4),ROW(),"-")</f>
        <v>-</v>
      </c>
    </row>
    <row r="19921" customHeight="1" spans="2:2">
      <c r="B19921" s="62" t="str">
        <f>IF(AND('领用录入（明细）'!D:D=$F$4,'领用录入（明细）'!C:C&gt;=$J$4,'领用录入（明细）'!C:C&lt;=$L$4),ROW(),"-")</f>
        <v>-</v>
      </c>
    </row>
    <row r="19922" customHeight="1" spans="2:2">
      <c r="B19922" s="62" t="str">
        <f>IF(AND('领用录入（明细）'!D:D=$F$4,'领用录入（明细）'!C:C&gt;=$J$4,'领用录入（明细）'!C:C&lt;=$L$4),ROW(),"-")</f>
        <v>-</v>
      </c>
    </row>
    <row r="19923" customHeight="1" spans="2:2">
      <c r="B19923" s="62" t="str">
        <f>IF(AND('领用录入（明细）'!D:D=$F$4,'领用录入（明细）'!C:C&gt;=$J$4,'领用录入（明细）'!C:C&lt;=$L$4),ROW(),"-")</f>
        <v>-</v>
      </c>
    </row>
    <row r="19924" customHeight="1" spans="2:2">
      <c r="B19924" s="62" t="str">
        <f>IF(AND('领用录入（明细）'!D:D=$F$4,'领用录入（明细）'!C:C&gt;=$J$4,'领用录入（明细）'!C:C&lt;=$L$4),ROW(),"-")</f>
        <v>-</v>
      </c>
    </row>
    <row r="19925" customHeight="1" spans="2:2">
      <c r="B19925" s="62" t="str">
        <f>IF(AND('领用录入（明细）'!D:D=$F$4,'领用录入（明细）'!C:C&gt;=$J$4,'领用录入（明细）'!C:C&lt;=$L$4),ROW(),"-")</f>
        <v>-</v>
      </c>
    </row>
    <row r="19926" customHeight="1" spans="2:2">
      <c r="B19926" s="62" t="str">
        <f>IF(AND('领用录入（明细）'!D:D=$F$4,'领用录入（明细）'!C:C&gt;=$J$4,'领用录入（明细）'!C:C&lt;=$L$4),ROW(),"-")</f>
        <v>-</v>
      </c>
    </row>
    <row r="19927" customHeight="1" spans="2:2">
      <c r="B19927" s="62" t="str">
        <f>IF(AND('领用录入（明细）'!D:D=$F$4,'领用录入（明细）'!C:C&gt;=$J$4,'领用录入（明细）'!C:C&lt;=$L$4),ROW(),"-")</f>
        <v>-</v>
      </c>
    </row>
    <row r="19928" customHeight="1" spans="2:2">
      <c r="B19928" s="62" t="str">
        <f>IF(AND('领用录入（明细）'!D:D=$F$4,'领用录入（明细）'!C:C&gt;=$J$4,'领用录入（明细）'!C:C&lt;=$L$4),ROW(),"-")</f>
        <v>-</v>
      </c>
    </row>
    <row r="19929" customHeight="1" spans="2:2">
      <c r="B19929" s="62" t="str">
        <f>IF(AND('领用录入（明细）'!D:D=$F$4,'领用录入（明细）'!C:C&gt;=$J$4,'领用录入（明细）'!C:C&lt;=$L$4),ROW(),"-")</f>
        <v>-</v>
      </c>
    </row>
    <row r="19930" customHeight="1" spans="2:2">
      <c r="B19930" s="62" t="str">
        <f>IF(AND('领用录入（明细）'!D:D=$F$4,'领用录入（明细）'!C:C&gt;=$J$4,'领用录入（明细）'!C:C&lt;=$L$4),ROW(),"-")</f>
        <v>-</v>
      </c>
    </row>
    <row r="19931" customHeight="1" spans="2:2">
      <c r="B19931" s="62" t="str">
        <f>IF(AND('领用录入（明细）'!D:D=$F$4,'领用录入（明细）'!C:C&gt;=$J$4,'领用录入（明细）'!C:C&lt;=$L$4),ROW(),"-")</f>
        <v>-</v>
      </c>
    </row>
    <row r="19932" customHeight="1" spans="2:2">
      <c r="B19932" s="62" t="str">
        <f>IF(AND('领用录入（明细）'!D:D=$F$4,'领用录入（明细）'!C:C&gt;=$J$4,'领用录入（明细）'!C:C&lt;=$L$4),ROW(),"-")</f>
        <v>-</v>
      </c>
    </row>
    <row r="19933" customHeight="1" spans="2:2">
      <c r="B19933" s="62" t="str">
        <f>IF(AND('领用录入（明细）'!D:D=$F$4,'领用录入（明细）'!C:C&gt;=$J$4,'领用录入（明细）'!C:C&lt;=$L$4),ROW(),"-")</f>
        <v>-</v>
      </c>
    </row>
    <row r="19934" customHeight="1" spans="2:2">
      <c r="B19934" s="62" t="str">
        <f>IF(AND('领用录入（明细）'!D:D=$F$4,'领用录入（明细）'!C:C&gt;=$J$4,'领用录入（明细）'!C:C&lt;=$L$4),ROW(),"-")</f>
        <v>-</v>
      </c>
    </row>
    <row r="19935" customHeight="1" spans="2:2">
      <c r="B19935" s="62" t="str">
        <f>IF(AND('领用录入（明细）'!D:D=$F$4,'领用录入（明细）'!C:C&gt;=$J$4,'领用录入（明细）'!C:C&lt;=$L$4),ROW(),"-")</f>
        <v>-</v>
      </c>
    </row>
    <row r="19936" customHeight="1" spans="2:2">
      <c r="B19936" s="62" t="str">
        <f>IF(AND('领用录入（明细）'!D:D=$F$4,'领用录入（明细）'!C:C&gt;=$J$4,'领用录入（明细）'!C:C&lt;=$L$4),ROW(),"-")</f>
        <v>-</v>
      </c>
    </row>
    <row r="19937" customHeight="1" spans="2:2">
      <c r="B19937" s="62" t="str">
        <f>IF(AND('领用录入（明细）'!D:D=$F$4,'领用录入（明细）'!C:C&gt;=$J$4,'领用录入（明细）'!C:C&lt;=$L$4),ROW(),"-")</f>
        <v>-</v>
      </c>
    </row>
    <row r="19938" customHeight="1" spans="2:2">
      <c r="B19938" s="62" t="str">
        <f>IF(AND('领用录入（明细）'!D:D=$F$4,'领用录入（明细）'!C:C&gt;=$J$4,'领用录入（明细）'!C:C&lt;=$L$4),ROW(),"-")</f>
        <v>-</v>
      </c>
    </row>
    <row r="19939" customHeight="1" spans="2:2">
      <c r="B19939" s="62" t="str">
        <f>IF(AND('领用录入（明细）'!D:D=$F$4,'领用录入（明细）'!C:C&gt;=$J$4,'领用录入（明细）'!C:C&lt;=$L$4),ROW(),"-")</f>
        <v>-</v>
      </c>
    </row>
    <row r="19940" customHeight="1" spans="2:2">
      <c r="B19940" s="62" t="str">
        <f>IF(AND('领用录入（明细）'!D:D=$F$4,'领用录入（明细）'!C:C&gt;=$J$4,'领用录入（明细）'!C:C&lt;=$L$4),ROW(),"-")</f>
        <v>-</v>
      </c>
    </row>
    <row r="19941" customHeight="1" spans="2:2">
      <c r="B19941" s="62" t="str">
        <f>IF(AND('领用录入（明细）'!D:D=$F$4,'领用录入（明细）'!C:C&gt;=$J$4,'领用录入（明细）'!C:C&lt;=$L$4),ROW(),"-")</f>
        <v>-</v>
      </c>
    </row>
    <row r="19942" customHeight="1" spans="2:2">
      <c r="B19942" s="62" t="str">
        <f>IF(AND('领用录入（明细）'!D:D=$F$4,'领用录入（明细）'!C:C&gt;=$J$4,'领用录入（明细）'!C:C&lt;=$L$4),ROW(),"-")</f>
        <v>-</v>
      </c>
    </row>
    <row r="19943" customHeight="1" spans="2:2">
      <c r="B19943" s="62" t="str">
        <f>IF(AND('领用录入（明细）'!D:D=$F$4,'领用录入（明细）'!C:C&gt;=$J$4,'领用录入（明细）'!C:C&lt;=$L$4),ROW(),"-")</f>
        <v>-</v>
      </c>
    </row>
    <row r="19944" customHeight="1" spans="2:2">
      <c r="B19944" s="62" t="str">
        <f>IF(AND('领用录入（明细）'!D:D=$F$4,'领用录入（明细）'!C:C&gt;=$J$4,'领用录入（明细）'!C:C&lt;=$L$4),ROW(),"-")</f>
        <v>-</v>
      </c>
    </row>
    <row r="19945" customHeight="1" spans="2:2">
      <c r="B19945" s="62" t="str">
        <f>IF(AND('领用录入（明细）'!D:D=$F$4,'领用录入（明细）'!C:C&gt;=$J$4,'领用录入（明细）'!C:C&lt;=$L$4),ROW(),"-")</f>
        <v>-</v>
      </c>
    </row>
    <row r="19946" customHeight="1" spans="2:2">
      <c r="B19946" s="62" t="str">
        <f>IF(AND('领用录入（明细）'!D:D=$F$4,'领用录入（明细）'!C:C&gt;=$J$4,'领用录入（明细）'!C:C&lt;=$L$4),ROW(),"-")</f>
        <v>-</v>
      </c>
    </row>
    <row r="19947" customHeight="1" spans="2:2">
      <c r="B19947" s="62" t="str">
        <f>IF(AND('领用录入（明细）'!D:D=$F$4,'领用录入（明细）'!C:C&gt;=$J$4,'领用录入（明细）'!C:C&lt;=$L$4),ROW(),"-")</f>
        <v>-</v>
      </c>
    </row>
    <row r="19948" customHeight="1" spans="2:2">
      <c r="B19948" s="62" t="str">
        <f>IF(AND('领用录入（明细）'!D:D=$F$4,'领用录入（明细）'!C:C&gt;=$J$4,'领用录入（明细）'!C:C&lt;=$L$4),ROW(),"-")</f>
        <v>-</v>
      </c>
    </row>
    <row r="19949" customHeight="1" spans="2:2">
      <c r="B19949" s="62" t="str">
        <f>IF(AND('领用录入（明细）'!D:D=$F$4,'领用录入（明细）'!C:C&gt;=$J$4,'领用录入（明细）'!C:C&lt;=$L$4),ROW(),"-")</f>
        <v>-</v>
      </c>
    </row>
    <row r="19950" customHeight="1" spans="2:2">
      <c r="B19950" s="62" t="str">
        <f>IF(AND('领用录入（明细）'!D:D=$F$4,'领用录入（明细）'!C:C&gt;=$J$4,'领用录入（明细）'!C:C&lt;=$L$4),ROW(),"-")</f>
        <v>-</v>
      </c>
    </row>
    <row r="19951" customHeight="1" spans="2:2">
      <c r="B19951" s="62" t="str">
        <f>IF(AND('领用录入（明细）'!D:D=$F$4,'领用录入（明细）'!C:C&gt;=$J$4,'领用录入（明细）'!C:C&lt;=$L$4),ROW(),"-")</f>
        <v>-</v>
      </c>
    </row>
    <row r="19952" customHeight="1" spans="2:2">
      <c r="B19952" s="62" t="str">
        <f>IF(AND('领用录入（明细）'!D:D=$F$4,'领用录入（明细）'!C:C&gt;=$J$4,'领用录入（明细）'!C:C&lt;=$L$4),ROW(),"-")</f>
        <v>-</v>
      </c>
    </row>
    <row r="19953" customHeight="1" spans="2:2">
      <c r="B19953" s="62" t="str">
        <f>IF(AND('领用录入（明细）'!D:D=$F$4,'领用录入（明细）'!C:C&gt;=$J$4,'领用录入（明细）'!C:C&lt;=$L$4),ROW(),"-")</f>
        <v>-</v>
      </c>
    </row>
    <row r="19954" customHeight="1" spans="2:2">
      <c r="B19954" s="62" t="str">
        <f>IF(AND('领用录入（明细）'!D:D=$F$4,'领用录入（明细）'!C:C&gt;=$J$4,'领用录入（明细）'!C:C&lt;=$L$4),ROW(),"-")</f>
        <v>-</v>
      </c>
    </row>
    <row r="19955" customHeight="1" spans="2:2">
      <c r="B19955" s="62" t="str">
        <f>IF(AND('领用录入（明细）'!D:D=$F$4,'领用录入（明细）'!C:C&gt;=$J$4,'领用录入（明细）'!C:C&lt;=$L$4),ROW(),"-")</f>
        <v>-</v>
      </c>
    </row>
    <row r="19956" customHeight="1" spans="2:2">
      <c r="B19956" s="62" t="str">
        <f>IF(AND('领用录入（明细）'!D:D=$F$4,'领用录入（明细）'!C:C&gt;=$J$4,'领用录入（明细）'!C:C&lt;=$L$4),ROW(),"-")</f>
        <v>-</v>
      </c>
    </row>
    <row r="19957" customHeight="1" spans="2:2">
      <c r="B19957" s="62" t="str">
        <f>IF(AND('领用录入（明细）'!D:D=$F$4,'领用录入（明细）'!C:C&gt;=$J$4,'领用录入（明细）'!C:C&lt;=$L$4),ROW(),"-")</f>
        <v>-</v>
      </c>
    </row>
    <row r="19958" customHeight="1" spans="2:2">
      <c r="B19958" s="62" t="str">
        <f>IF(AND('领用录入（明细）'!D:D=$F$4,'领用录入（明细）'!C:C&gt;=$J$4,'领用录入（明细）'!C:C&lt;=$L$4),ROW(),"-")</f>
        <v>-</v>
      </c>
    </row>
    <row r="19959" customHeight="1" spans="2:2">
      <c r="B19959" s="62" t="str">
        <f>IF(AND('领用录入（明细）'!D:D=$F$4,'领用录入（明细）'!C:C&gt;=$J$4,'领用录入（明细）'!C:C&lt;=$L$4),ROW(),"-")</f>
        <v>-</v>
      </c>
    </row>
    <row r="19960" customHeight="1" spans="2:2">
      <c r="B19960" s="62" t="str">
        <f>IF(AND('领用录入（明细）'!D:D=$F$4,'领用录入（明细）'!C:C&gt;=$J$4,'领用录入（明细）'!C:C&lt;=$L$4),ROW(),"-")</f>
        <v>-</v>
      </c>
    </row>
    <row r="19961" customHeight="1" spans="2:2">
      <c r="B19961" s="62" t="str">
        <f>IF(AND('领用录入（明细）'!D:D=$F$4,'领用录入（明细）'!C:C&gt;=$J$4,'领用录入（明细）'!C:C&lt;=$L$4),ROW(),"-")</f>
        <v>-</v>
      </c>
    </row>
    <row r="19962" customHeight="1" spans="2:2">
      <c r="B19962" s="62" t="str">
        <f>IF(AND('领用录入（明细）'!D:D=$F$4,'领用录入（明细）'!C:C&gt;=$J$4,'领用录入（明细）'!C:C&lt;=$L$4),ROW(),"-")</f>
        <v>-</v>
      </c>
    </row>
    <row r="19963" customHeight="1" spans="2:2">
      <c r="B19963" s="62" t="str">
        <f>IF(AND('领用录入（明细）'!D:D=$F$4,'领用录入（明细）'!C:C&gt;=$J$4,'领用录入（明细）'!C:C&lt;=$L$4),ROW(),"-")</f>
        <v>-</v>
      </c>
    </row>
    <row r="19964" customHeight="1" spans="2:2">
      <c r="B19964" s="62" t="str">
        <f>IF(AND('领用录入（明细）'!D:D=$F$4,'领用录入（明细）'!C:C&gt;=$J$4,'领用录入（明细）'!C:C&lt;=$L$4),ROW(),"-")</f>
        <v>-</v>
      </c>
    </row>
    <row r="19965" customHeight="1" spans="2:2">
      <c r="B19965" s="62" t="str">
        <f>IF(AND('领用录入（明细）'!D:D=$F$4,'领用录入（明细）'!C:C&gt;=$J$4,'领用录入（明细）'!C:C&lt;=$L$4),ROW(),"-")</f>
        <v>-</v>
      </c>
    </row>
    <row r="19966" customHeight="1" spans="2:2">
      <c r="B19966" s="62" t="str">
        <f>IF(AND('领用录入（明细）'!D:D=$F$4,'领用录入（明细）'!C:C&gt;=$J$4,'领用录入（明细）'!C:C&lt;=$L$4),ROW(),"-")</f>
        <v>-</v>
      </c>
    </row>
    <row r="19967" customHeight="1" spans="2:2">
      <c r="B19967" s="62" t="str">
        <f>IF(AND('领用录入（明细）'!D:D=$F$4,'领用录入（明细）'!C:C&gt;=$J$4,'领用录入（明细）'!C:C&lt;=$L$4),ROW(),"-")</f>
        <v>-</v>
      </c>
    </row>
    <row r="19968" customHeight="1" spans="2:2">
      <c r="B19968" s="62" t="str">
        <f>IF(AND('领用录入（明细）'!D:D=$F$4,'领用录入（明细）'!C:C&gt;=$J$4,'领用录入（明细）'!C:C&lt;=$L$4),ROW(),"-")</f>
        <v>-</v>
      </c>
    </row>
    <row r="19969" customHeight="1" spans="2:2">
      <c r="B19969" s="62" t="str">
        <f>IF(AND('领用录入（明细）'!D:D=$F$4,'领用录入（明细）'!C:C&gt;=$J$4,'领用录入（明细）'!C:C&lt;=$L$4),ROW(),"-")</f>
        <v>-</v>
      </c>
    </row>
    <row r="19970" customHeight="1" spans="2:2">
      <c r="B19970" s="62" t="str">
        <f>IF(AND('领用录入（明细）'!D:D=$F$4,'领用录入（明细）'!C:C&gt;=$J$4,'领用录入（明细）'!C:C&lt;=$L$4),ROW(),"-")</f>
        <v>-</v>
      </c>
    </row>
    <row r="19971" customHeight="1" spans="2:2">
      <c r="B19971" s="62" t="str">
        <f>IF(AND('领用录入（明细）'!D:D=$F$4,'领用录入（明细）'!C:C&gt;=$J$4,'领用录入（明细）'!C:C&lt;=$L$4),ROW(),"-")</f>
        <v>-</v>
      </c>
    </row>
    <row r="19972" customHeight="1" spans="2:2">
      <c r="B19972" s="62" t="str">
        <f>IF(AND('领用录入（明细）'!D:D=$F$4,'领用录入（明细）'!C:C&gt;=$J$4,'领用录入（明细）'!C:C&lt;=$L$4),ROW(),"-")</f>
        <v>-</v>
      </c>
    </row>
    <row r="19973" customHeight="1" spans="2:2">
      <c r="B19973" s="62" t="str">
        <f>IF(AND('领用录入（明细）'!D:D=$F$4,'领用录入（明细）'!C:C&gt;=$J$4,'领用录入（明细）'!C:C&lt;=$L$4),ROW(),"-")</f>
        <v>-</v>
      </c>
    </row>
    <row r="19974" customHeight="1" spans="2:2">
      <c r="B19974" s="62" t="str">
        <f>IF(AND('领用录入（明细）'!D:D=$F$4,'领用录入（明细）'!C:C&gt;=$J$4,'领用录入（明细）'!C:C&lt;=$L$4),ROW(),"-")</f>
        <v>-</v>
      </c>
    </row>
    <row r="19975" customHeight="1" spans="2:2">
      <c r="B19975" s="62" t="str">
        <f>IF(AND('领用录入（明细）'!D:D=$F$4,'领用录入（明细）'!C:C&gt;=$J$4,'领用录入（明细）'!C:C&lt;=$L$4),ROW(),"-")</f>
        <v>-</v>
      </c>
    </row>
    <row r="19976" customHeight="1" spans="2:2">
      <c r="B19976" s="62" t="str">
        <f>IF(AND('领用录入（明细）'!D:D=$F$4,'领用录入（明细）'!C:C&gt;=$J$4,'领用录入（明细）'!C:C&lt;=$L$4),ROW(),"-")</f>
        <v>-</v>
      </c>
    </row>
    <row r="19977" customHeight="1" spans="2:2">
      <c r="B19977" s="62" t="str">
        <f>IF(AND('领用录入（明细）'!D:D=$F$4,'领用录入（明细）'!C:C&gt;=$J$4,'领用录入（明细）'!C:C&lt;=$L$4),ROW(),"-")</f>
        <v>-</v>
      </c>
    </row>
    <row r="19978" customHeight="1" spans="2:2">
      <c r="B19978" s="62" t="str">
        <f>IF(AND('领用录入（明细）'!D:D=$F$4,'领用录入（明细）'!C:C&gt;=$J$4,'领用录入（明细）'!C:C&lt;=$L$4),ROW(),"-")</f>
        <v>-</v>
      </c>
    </row>
    <row r="19979" customHeight="1" spans="2:2">
      <c r="B19979" s="62" t="str">
        <f>IF(AND('领用录入（明细）'!D:D=$F$4,'领用录入（明细）'!C:C&gt;=$J$4,'领用录入（明细）'!C:C&lt;=$L$4),ROW(),"-")</f>
        <v>-</v>
      </c>
    </row>
    <row r="19980" customHeight="1" spans="2:2">
      <c r="B19980" s="62" t="str">
        <f>IF(AND('领用录入（明细）'!D:D=$F$4,'领用录入（明细）'!C:C&gt;=$J$4,'领用录入（明细）'!C:C&lt;=$L$4),ROW(),"-")</f>
        <v>-</v>
      </c>
    </row>
    <row r="19981" customHeight="1" spans="2:2">
      <c r="B19981" s="62" t="str">
        <f>IF(AND('领用录入（明细）'!D:D=$F$4,'领用录入（明细）'!C:C&gt;=$J$4,'领用录入（明细）'!C:C&lt;=$L$4),ROW(),"-")</f>
        <v>-</v>
      </c>
    </row>
    <row r="19982" customHeight="1" spans="2:2">
      <c r="B19982" s="62" t="str">
        <f>IF(AND('领用录入（明细）'!D:D=$F$4,'领用录入（明细）'!C:C&gt;=$J$4,'领用录入（明细）'!C:C&lt;=$L$4),ROW(),"-")</f>
        <v>-</v>
      </c>
    </row>
    <row r="19983" customHeight="1" spans="2:2">
      <c r="B19983" s="62" t="str">
        <f>IF(AND('领用录入（明细）'!D:D=$F$4,'领用录入（明细）'!C:C&gt;=$J$4,'领用录入（明细）'!C:C&lt;=$L$4),ROW(),"-")</f>
        <v>-</v>
      </c>
    </row>
    <row r="19984" customHeight="1" spans="2:2">
      <c r="B19984" s="62" t="str">
        <f>IF(AND('领用录入（明细）'!D:D=$F$4,'领用录入（明细）'!C:C&gt;=$J$4,'领用录入（明细）'!C:C&lt;=$L$4),ROW(),"-")</f>
        <v>-</v>
      </c>
    </row>
    <row r="19985" customHeight="1" spans="2:2">
      <c r="B19985" s="62" t="str">
        <f>IF(AND('领用录入（明细）'!D:D=$F$4,'领用录入（明细）'!C:C&gt;=$J$4,'领用录入（明细）'!C:C&lt;=$L$4),ROW(),"-")</f>
        <v>-</v>
      </c>
    </row>
    <row r="19986" customHeight="1" spans="2:2">
      <c r="B19986" s="62" t="str">
        <f>IF(AND('领用录入（明细）'!D:D=$F$4,'领用录入（明细）'!C:C&gt;=$J$4,'领用录入（明细）'!C:C&lt;=$L$4),ROW(),"-")</f>
        <v>-</v>
      </c>
    </row>
    <row r="19987" customHeight="1" spans="2:2">
      <c r="B19987" s="62" t="str">
        <f>IF(AND('领用录入（明细）'!D:D=$F$4,'领用录入（明细）'!C:C&gt;=$J$4,'领用录入（明细）'!C:C&lt;=$L$4),ROW(),"-")</f>
        <v>-</v>
      </c>
    </row>
    <row r="19988" customHeight="1" spans="2:2">
      <c r="B19988" s="62" t="str">
        <f>IF(AND('领用录入（明细）'!D:D=$F$4,'领用录入（明细）'!C:C&gt;=$J$4,'领用录入（明细）'!C:C&lt;=$L$4),ROW(),"-")</f>
        <v>-</v>
      </c>
    </row>
    <row r="19989" customHeight="1" spans="2:2">
      <c r="B19989" s="62" t="str">
        <f>IF(AND('领用录入（明细）'!D:D=$F$4,'领用录入（明细）'!C:C&gt;=$J$4,'领用录入（明细）'!C:C&lt;=$L$4),ROW(),"-")</f>
        <v>-</v>
      </c>
    </row>
    <row r="19990" customHeight="1" spans="2:2">
      <c r="B19990" s="62" t="str">
        <f>IF(AND('领用录入（明细）'!D:D=$F$4,'领用录入（明细）'!C:C&gt;=$J$4,'领用录入（明细）'!C:C&lt;=$L$4),ROW(),"-")</f>
        <v>-</v>
      </c>
    </row>
    <row r="19991" customHeight="1" spans="2:2">
      <c r="B19991" s="62" t="str">
        <f>IF(AND('领用录入（明细）'!D:D=$F$4,'领用录入（明细）'!C:C&gt;=$J$4,'领用录入（明细）'!C:C&lt;=$L$4),ROW(),"-")</f>
        <v>-</v>
      </c>
    </row>
    <row r="19992" customHeight="1" spans="2:2">
      <c r="B19992" s="62" t="str">
        <f>IF(AND('领用录入（明细）'!D:D=$F$4,'领用录入（明细）'!C:C&gt;=$J$4,'领用录入（明细）'!C:C&lt;=$L$4),ROW(),"-")</f>
        <v>-</v>
      </c>
    </row>
    <row r="19993" customHeight="1" spans="2:2">
      <c r="B19993" s="62" t="str">
        <f>IF(AND('领用录入（明细）'!D:D=$F$4,'领用录入（明细）'!C:C&gt;=$J$4,'领用录入（明细）'!C:C&lt;=$L$4),ROW(),"-")</f>
        <v>-</v>
      </c>
    </row>
    <row r="19994" customHeight="1" spans="2:2">
      <c r="B19994" s="62" t="str">
        <f>IF(AND('领用录入（明细）'!D:D=$F$4,'领用录入（明细）'!C:C&gt;=$J$4,'领用录入（明细）'!C:C&lt;=$L$4),ROW(),"-")</f>
        <v>-</v>
      </c>
    </row>
    <row r="19995" customHeight="1" spans="2:2">
      <c r="B19995" s="62" t="str">
        <f>IF(AND('领用录入（明细）'!D:D=$F$4,'领用录入（明细）'!C:C&gt;=$J$4,'领用录入（明细）'!C:C&lt;=$L$4),ROW(),"-")</f>
        <v>-</v>
      </c>
    </row>
    <row r="19996" customHeight="1" spans="2:2">
      <c r="B19996" s="62" t="str">
        <f>IF(AND('领用录入（明细）'!D:D=$F$4,'领用录入（明细）'!C:C&gt;=$J$4,'领用录入（明细）'!C:C&lt;=$L$4),ROW(),"-")</f>
        <v>-</v>
      </c>
    </row>
    <row r="19997" customHeight="1" spans="2:2">
      <c r="B19997" s="62" t="str">
        <f>IF(AND('领用录入（明细）'!D:D=$F$4,'领用录入（明细）'!C:C&gt;=$J$4,'领用录入（明细）'!C:C&lt;=$L$4),ROW(),"-")</f>
        <v>-</v>
      </c>
    </row>
    <row r="19998" customHeight="1" spans="2:2">
      <c r="B19998" s="62" t="str">
        <f>IF(AND('领用录入（明细）'!D:D=$F$4,'领用录入（明细）'!C:C&gt;=$J$4,'领用录入（明细）'!C:C&lt;=$L$4),ROW(),"-")</f>
        <v>-</v>
      </c>
    </row>
    <row r="19999" customHeight="1" spans="2:2">
      <c r="B19999" s="62" t="str">
        <f>IF(AND('领用录入（明细）'!D:D=$F$4,'领用录入（明细）'!C:C&gt;=$J$4,'领用录入（明细）'!C:C&lt;=$L$4),ROW(),"-")</f>
        <v>-</v>
      </c>
    </row>
    <row r="20000" customHeight="1" spans="2:2">
      <c r="B20000" s="62" t="str">
        <f>IF(AND('领用录入（明细）'!D:D=$F$4,'领用录入（明细）'!C:C&gt;=$J$4,'领用录入（明细）'!C:C&lt;=$L$4),ROW(),"-")</f>
        <v>-</v>
      </c>
    </row>
    <row r="20001" customHeight="1" spans="2:2">
      <c r="B20001" s="62" t="str">
        <f>IF(AND('领用录入（明细）'!D:D=$F$4,'领用录入（明细）'!C:C&gt;=$J$4,'领用录入（明细）'!C:C&lt;=$L$4),ROW(),"-")</f>
        <v>-</v>
      </c>
    </row>
    <row r="20002" customHeight="1" spans="2:2">
      <c r="B20002" s="62" t="str">
        <f>IF(AND('领用录入（明细）'!D:D=$F$4,'领用录入（明细）'!C:C&gt;=$J$4,'领用录入（明细）'!C:C&lt;=$L$4),ROW(),"-")</f>
        <v>-</v>
      </c>
    </row>
    <row r="20003" customHeight="1" spans="2:2">
      <c r="B20003" s="62" t="str">
        <f>IF(AND('领用录入（明细）'!D:D=$F$4,'领用录入（明细）'!C:C&gt;=$J$4,'领用录入（明细）'!C:C&lt;=$L$4),ROW(),"-")</f>
        <v>-</v>
      </c>
    </row>
    <row r="20004" customHeight="1" spans="2:2">
      <c r="B20004" s="62" t="str">
        <f>IF(AND('领用录入（明细）'!D:D=$F$4,'领用录入（明细）'!C:C&gt;=$J$4,'领用录入（明细）'!C:C&lt;=$L$4),ROW(),"-")</f>
        <v>-</v>
      </c>
    </row>
    <row r="20005" customHeight="1" spans="2:2">
      <c r="B20005" s="62" t="str">
        <f>IF(AND('领用录入（明细）'!D:D=$F$4,'领用录入（明细）'!C:C&gt;=$J$4,'领用录入（明细）'!C:C&lt;=$L$4),ROW(),"-")</f>
        <v>-</v>
      </c>
    </row>
    <row r="20006" customHeight="1" spans="2:2">
      <c r="B20006" s="62" t="str">
        <f>IF(AND('领用录入（明细）'!D:D=$F$4,'领用录入（明细）'!C:C&gt;=$J$4,'领用录入（明细）'!C:C&lt;=$L$4),ROW(),"-")</f>
        <v>-</v>
      </c>
    </row>
    <row r="20007" customHeight="1" spans="2:2">
      <c r="B20007" s="62" t="str">
        <f>IF(AND('领用录入（明细）'!D:D=$F$4,'领用录入（明细）'!C:C&gt;=$J$4,'领用录入（明细）'!C:C&lt;=$L$4),ROW(),"-")</f>
        <v>-</v>
      </c>
    </row>
    <row r="20008" customHeight="1" spans="2:2">
      <c r="B20008" s="62" t="str">
        <f>IF(AND('领用录入（明细）'!D:D=$F$4,'领用录入（明细）'!C:C&gt;=$J$4,'领用录入（明细）'!C:C&lt;=$L$4),ROW(),"-")</f>
        <v>-</v>
      </c>
    </row>
    <row r="20009" customHeight="1" spans="2:2">
      <c r="B20009" s="62" t="str">
        <f>IF(AND('领用录入（明细）'!D:D=$F$4,'领用录入（明细）'!C:C&gt;=$J$4,'领用录入（明细）'!C:C&lt;=$L$4),ROW(),"-")</f>
        <v>-</v>
      </c>
    </row>
    <row r="20010" customHeight="1" spans="2:2">
      <c r="B20010" s="62" t="str">
        <f>IF(AND('领用录入（明细）'!D:D=$F$4,'领用录入（明细）'!C:C&gt;=$J$4,'领用录入（明细）'!C:C&lt;=$L$4),ROW(),"-")</f>
        <v>-</v>
      </c>
    </row>
    <row r="20011" customHeight="1" spans="2:2">
      <c r="B20011" s="62" t="str">
        <f>IF(AND('领用录入（明细）'!D:D=$F$4,'领用录入（明细）'!C:C&gt;=$J$4,'领用录入（明细）'!C:C&lt;=$L$4),ROW(),"-")</f>
        <v>-</v>
      </c>
    </row>
    <row r="20012" customHeight="1" spans="2:2">
      <c r="B20012" s="62" t="str">
        <f>IF(AND('领用录入（明细）'!D:D=$F$4,'领用录入（明细）'!C:C&gt;=$J$4,'领用录入（明细）'!C:C&lt;=$L$4),ROW(),"-")</f>
        <v>-</v>
      </c>
    </row>
    <row r="20013" customHeight="1" spans="2:2">
      <c r="B20013" s="62" t="str">
        <f>IF(AND('领用录入（明细）'!D:D=$F$4,'领用录入（明细）'!C:C&gt;=$J$4,'领用录入（明细）'!C:C&lt;=$L$4),ROW(),"-")</f>
        <v>-</v>
      </c>
    </row>
    <row r="20014" customHeight="1" spans="2:2">
      <c r="B20014" s="62" t="str">
        <f>IF(AND('领用录入（明细）'!D:D=$F$4,'领用录入（明细）'!C:C&gt;=$J$4,'领用录入（明细）'!C:C&lt;=$L$4),ROW(),"-")</f>
        <v>-</v>
      </c>
    </row>
    <row r="20015" customHeight="1" spans="2:2">
      <c r="B20015" s="62" t="str">
        <f>IF(AND('领用录入（明细）'!D:D=$F$4,'领用录入（明细）'!C:C&gt;=$J$4,'领用录入（明细）'!C:C&lt;=$L$4),ROW(),"-")</f>
        <v>-</v>
      </c>
    </row>
    <row r="20016" customHeight="1" spans="2:2">
      <c r="B20016" s="62" t="str">
        <f>IF(AND('领用录入（明细）'!D:D=$F$4,'领用录入（明细）'!C:C&gt;=$J$4,'领用录入（明细）'!C:C&lt;=$L$4),ROW(),"-")</f>
        <v>-</v>
      </c>
    </row>
    <row r="20017" customHeight="1" spans="2:2">
      <c r="B20017" s="62" t="str">
        <f>IF(AND('领用录入（明细）'!D:D=$F$4,'领用录入（明细）'!C:C&gt;=$J$4,'领用录入（明细）'!C:C&lt;=$L$4),ROW(),"-")</f>
        <v>-</v>
      </c>
    </row>
    <row r="20018" customHeight="1" spans="2:2">
      <c r="B20018" s="62" t="str">
        <f>IF(AND('领用录入（明细）'!D:D=$F$4,'领用录入（明细）'!C:C&gt;=$J$4,'领用录入（明细）'!C:C&lt;=$L$4),ROW(),"-")</f>
        <v>-</v>
      </c>
    </row>
    <row r="20019" customHeight="1" spans="2:2">
      <c r="B20019" s="62" t="str">
        <f>IF(AND('领用录入（明细）'!D:D=$F$4,'领用录入（明细）'!C:C&gt;=$J$4,'领用录入（明细）'!C:C&lt;=$L$4),ROW(),"-")</f>
        <v>-</v>
      </c>
    </row>
    <row r="20020" customHeight="1" spans="2:2">
      <c r="B20020" s="62" t="str">
        <f>IF(AND('领用录入（明细）'!D:D=$F$4,'领用录入（明细）'!C:C&gt;=$J$4,'领用录入（明细）'!C:C&lt;=$L$4),ROW(),"-")</f>
        <v>-</v>
      </c>
    </row>
    <row r="20021" customHeight="1" spans="2:2">
      <c r="B20021" s="62" t="str">
        <f>IF(AND('领用录入（明细）'!D:D=$F$4,'领用录入（明细）'!C:C&gt;=$J$4,'领用录入（明细）'!C:C&lt;=$L$4),ROW(),"-")</f>
        <v>-</v>
      </c>
    </row>
    <row r="20022" customHeight="1" spans="2:2">
      <c r="B20022" s="62" t="str">
        <f>IF(AND('领用录入（明细）'!D:D=$F$4,'领用录入（明细）'!C:C&gt;=$J$4,'领用录入（明细）'!C:C&lt;=$L$4),ROW(),"-")</f>
        <v>-</v>
      </c>
    </row>
    <row r="20023" customHeight="1" spans="2:2">
      <c r="B20023" s="62" t="str">
        <f>IF(AND('领用录入（明细）'!D:D=$F$4,'领用录入（明细）'!C:C&gt;=$J$4,'领用录入（明细）'!C:C&lt;=$L$4),ROW(),"-")</f>
        <v>-</v>
      </c>
    </row>
    <row r="20024" customHeight="1" spans="2:2">
      <c r="B20024" s="62" t="str">
        <f>IF(AND('领用录入（明细）'!D:D=$F$4,'领用录入（明细）'!C:C&gt;=$J$4,'领用录入（明细）'!C:C&lt;=$L$4),ROW(),"-")</f>
        <v>-</v>
      </c>
    </row>
    <row r="20025" customHeight="1" spans="2:2">
      <c r="B20025" s="62" t="str">
        <f>IF(AND('领用录入（明细）'!D:D=$F$4,'领用录入（明细）'!C:C&gt;=$J$4,'领用录入（明细）'!C:C&lt;=$L$4),ROW(),"-")</f>
        <v>-</v>
      </c>
    </row>
    <row r="20026" customHeight="1" spans="2:2">
      <c r="B20026" s="62" t="str">
        <f>IF(AND('领用录入（明细）'!D:D=$F$4,'领用录入（明细）'!C:C&gt;=$J$4,'领用录入（明细）'!C:C&lt;=$L$4),ROW(),"-")</f>
        <v>-</v>
      </c>
    </row>
    <row r="20027" customHeight="1" spans="2:2">
      <c r="B20027" s="62" t="str">
        <f>IF(AND('领用录入（明细）'!D:D=$F$4,'领用录入（明细）'!C:C&gt;=$J$4,'领用录入（明细）'!C:C&lt;=$L$4),ROW(),"-")</f>
        <v>-</v>
      </c>
    </row>
    <row r="20028" customHeight="1" spans="2:2">
      <c r="B20028" s="62" t="str">
        <f>IF(AND('领用录入（明细）'!D:D=$F$4,'领用录入（明细）'!C:C&gt;=$J$4,'领用录入（明细）'!C:C&lt;=$L$4),ROW(),"-")</f>
        <v>-</v>
      </c>
    </row>
    <row r="20029" customHeight="1" spans="2:2">
      <c r="B20029" s="62" t="str">
        <f>IF(AND('领用录入（明细）'!D:D=$F$4,'领用录入（明细）'!C:C&gt;=$J$4,'领用录入（明细）'!C:C&lt;=$L$4),ROW(),"-")</f>
        <v>-</v>
      </c>
    </row>
    <row r="20030" customHeight="1" spans="2:2">
      <c r="B20030" s="62" t="str">
        <f>IF(AND('领用录入（明细）'!D:D=$F$4,'领用录入（明细）'!C:C&gt;=$J$4,'领用录入（明细）'!C:C&lt;=$L$4),ROW(),"-")</f>
        <v>-</v>
      </c>
    </row>
    <row r="20031" customHeight="1" spans="2:2">
      <c r="B20031" s="62" t="str">
        <f>IF(AND('领用录入（明细）'!D:D=$F$4,'领用录入（明细）'!C:C&gt;=$J$4,'领用录入（明细）'!C:C&lt;=$L$4),ROW(),"-")</f>
        <v>-</v>
      </c>
    </row>
    <row r="20032" customHeight="1" spans="2:2">
      <c r="B20032" s="62" t="str">
        <f>IF(AND('领用录入（明细）'!D:D=$F$4,'领用录入（明细）'!C:C&gt;=$J$4,'领用录入（明细）'!C:C&lt;=$L$4),ROW(),"-")</f>
        <v>-</v>
      </c>
    </row>
    <row r="20033" customHeight="1" spans="2:2">
      <c r="B20033" s="62" t="str">
        <f>IF(AND('领用录入（明细）'!D:D=$F$4,'领用录入（明细）'!C:C&gt;=$J$4,'领用录入（明细）'!C:C&lt;=$L$4),ROW(),"-")</f>
        <v>-</v>
      </c>
    </row>
    <row r="20034" customHeight="1" spans="2:2">
      <c r="B20034" s="62" t="str">
        <f>IF(AND('领用录入（明细）'!D:D=$F$4,'领用录入（明细）'!C:C&gt;=$J$4,'领用录入（明细）'!C:C&lt;=$L$4),ROW(),"-")</f>
        <v>-</v>
      </c>
    </row>
    <row r="20035" customHeight="1" spans="2:2">
      <c r="B20035" s="62" t="str">
        <f>IF(AND('领用录入（明细）'!D:D=$F$4,'领用录入（明细）'!C:C&gt;=$J$4,'领用录入（明细）'!C:C&lt;=$L$4),ROW(),"-")</f>
        <v>-</v>
      </c>
    </row>
    <row r="20036" customHeight="1" spans="2:2">
      <c r="B20036" s="62" t="str">
        <f>IF(AND('领用录入（明细）'!D:D=$F$4,'领用录入（明细）'!C:C&gt;=$J$4,'领用录入（明细）'!C:C&lt;=$L$4),ROW(),"-")</f>
        <v>-</v>
      </c>
    </row>
    <row r="20037" customHeight="1" spans="2:2">
      <c r="B20037" s="62" t="str">
        <f>IF(AND('领用录入（明细）'!D:D=$F$4,'领用录入（明细）'!C:C&gt;=$J$4,'领用录入（明细）'!C:C&lt;=$L$4),ROW(),"-")</f>
        <v>-</v>
      </c>
    </row>
    <row r="20038" customHeight="1" spans="2:2">
      <c r="B20038" s="62" t="str">
        <f>IF(AND('领用录入（明细）'!D:D=$F$4,'领用录入（明细）'!C:C&gt;=$J$4,'领用录入（明细）'!C:C&lt;=$L$4),ROW(),"-")</f>
        <v>-</v>
      </c>
    </row>
    <row r="20039" customHeight="1" spans="2:2">
      <c r="B20039" s="62" t="str">
        <f>IF(AND('领用录入（明细）'!D:D=$F$4,'领用录入（明细）'!C:C&gt;=$J$4,'领用录入（明细）'!C:C&lt;=$L$4),ROW(),"-")</f>
        <v>-</v>
      </c>
    </row>
    <row r="20040" customHeight="1" spans="2:2">
      <c r="B20040" s="62" t="str">
        <f>IF(AND('领用录入（明细）'!D:D=$F$4,'领用录入（明细）'!C:C&gt;=$J$4,'领用录入（明细）'!C:C&lt;=$L$4),ROW(),"-")</f>
        <v>-</v>
      </c>
    </row>
    <row r="20041" customHeight="1" spans="2:2">
      <c r="B20041" s="62" t="str">
        <f>IF(AND('领用录入（明细）'!D:D=$F$4,'领用录入（明细）'!C:C&gt;=$J$4,'领用录入（明细）'!C:C&lt;=$L$4),ROW(),"-")</f>
        <v>-</v>
      </c>
    </row>
    <row r="20042" customHeight="1" spans="2:2">
      <c r="B20042" s="62" t="str">
        <f>IF(AND('领用录入（明细）'!D:D=$F$4,'领用录入（明细）'!C:C&gt;=$J$4,'领用录入（明细）'!C:C&lt;=$L$4),ROW(),"-")</f>
        <v>-</v>
      </c>
    </row>
    <row r="20043" customHeight="1" spans="2:2">
      <c r="B20043" s="62" t="str">
        <f>IF(AND('领用录入（明细）'!D:D=$F$4,'领用录入（明细）'!C:C&gt;=$J$4,'领用录入（明细）'!C:C&lt;=$L$4),ROW(),"-")</f>
        <v>-</v>
      </c>
    </row>
    <row r="20044" customHeight="1" spans="2:2">
      <c r="B20044" s="62" t="str">
        <f>IF(AND('领用录入（明细）'!D:D=$F$4,'领用录入（明细）'!C:C&gt;=$J$4,'领用录入（明细）'!C:C&lt;=$L$4),ROW(),"-")</f>
        <v>-</v>
      </c>
    </row>
    <row r="20045" customHeight="1" spans="2:2">
      <c r="B20045" s="62" t="str">
        <f>IF(AND('领用录入（明细）'!D:D=$F$4,'领用录入（明细）'!C:C&gt;=$J$4,'领用录入（明细）'!C:C&lt;=$L$4),ROW(),"-")</f>
        <v>-</v>
      </c>
    </row>
    <row r="20046" customHeight="1" spans="2:2">
      <c r="B20046" s="62" t="str">
        <f>IF(AND('领用录入（明细）'!D:D=$F$4,'领用录入（明细）'!C:C&gt;=$J$4,'领用录入（明细）'!C:C&lt;=$L$4),ROW(),"-")</f>
        <v>-</v>
      </c>
    </row>
    <row r="20047" customHeight="1" spans="2:2">
      <c r="B20047" s="62" t="str">
        <f>IF(AND('领用录入（明细）'!D:D=$F$4,'领用录入（明细）'!C:C&gt;=$J$4,'领用录入（明细）'!C:C&lt;=$L$4),ROW(),"-")</f>
        <v>-</v>
      </c>
    </row>
    <row r="20048" customHeight="1" spans="2:2">
      <c r="B20048" s="62" t="str">
        <f>IF(AND('领用录入（明细）'!D:D=$F$4,'领用录入（明细）'!C:C&gt;=$J$4,'领用录入（明细）'!C:C&lt;=$L$4),ROW(),"-")</f>
        <v>-</v>
      </c>
    </row>
    <row r="20049" customHeight="1" spans="2:2">
      <c r="B20049" s="62" t="str">
        <f>IF(AND('领用录入（明细）'!D:D=$F$4,'领用录入（明细）'!C:C&gt;=$J$4,'领用录入（明细）'!C:C&lt;=$L$4),ROW(),"-")</f>
        <v>-</v>
      </c>
    </row>
    <row r="20050" customHeight="1" spans="2:2">
      <c r="B20050" s="62" t="str">
        <f>IF(AND('领用录入（明细）'!D:D=$F$4,'领用录入（明细）'!C:C&gt;=$J$4,'领用录入（明细）'!C:C&lt;=$L$4),ROW(),"-")</f>
        <v>-</v>
      </c>
    </row>
    <row r="20051" customHeight="1" spans="2:2">
      <c r="B20051" s="62" t="str">
        <f>IF(AND('领用录入（明细）'!D:D=$F$4,'领用录入（明细）'!C:C&gt;=$J$4,'领用录入（明细）'!C:C&lt;=$L$4),ROW(),"-")</f>
        <v>-</v>
      </c>
    </row>
    <row r="20052" customHeight="1" spans="2:2">
      <c r="B20052" s="62" t="str">
        <f>IF(AND('领用录入（明细）'!D:D=$F$4,'领用录入（明细）'!C:C&gt;=$J$4,'领用录入（明细）'!C:C&lt;=$L$4),ROW(),"-")</f>
        <v>-</v>
      </c>
    </row>
    <row r="20053" customHeight="1" spans="2:2">
      <c r="B20053" s="62" t="str">
        <f>IF(AND('领用录入（明细）'!D:D=$F$4,'领用录入（明细）'!C:C&gt;=$J$4,'领用录入（明细）'!C:C&lt;=$L$4),ROW(),"-")</f>
        <v>-</v>
      </c>
    </row>
    <row r="20054" customHeight="1" spans="2:2">
      <c r="B20054" s="62" t="str">
        <f>IF(AND('领用录入（明细）'!D:D=$F$4,'领用录入（明细）'!C:C&gt;=$J$4,'领用录入（明细）'!C:C&lt;=$L$4),ROW(),"-")</f>
        <v>-</v>
      </c>
    </row>
    <row r="20055" customHeight="1" spans="2:2">
      <c r="B20055" s="62" t="str">
        <f>IF(AND('领用录入（明细）'!D:D=$F$4,'领用录入（明细）'!C:C&gt;=$J$4,'领用录入（明细）'!C:C&lt;=$L$4),ROW(),"-")</f>
        <v>-</v>
      </c>
    </row>
    <row r="20056" customHeight="1" spans="2:2">
      <c r="B20056" s="62" t="str">
        <f>IF(AND('领用录入（明细）'!D:D=$F$4,'领用录入（明细）'!C:C&gt;=$J$4,'领用录入（明细）'!C:C&lt;=$L$4),ROW(),"-")</f>
        <v>-</v>
      </c>
    </row>
    <row r="20057" customHeight="1" spans="2:2">
      <c r="B20057" s="62" t="str">
        <f>IF(AND('领用录入（明细）'!D:D=$F$4,'领用录入（明细）'!C:C&gt;=$J$4,'领用录入（明细）'!C:C&lt;=$L$4),ROW(),"-")</f>
        <v>-</v>
      </c>
    </row>
    <row r="20058" customHeight="1" spans="2:2">
      <c r="B20058" s="62" t="str">
        <f>IF(AND('领用录入（明细）'!D:D=$F$4,'领用录入（明细）'!C:C&gt;=$J$4,'领用录入（明细）'!C:C&lt;=$L$4),ROW(),"-")</f>
        <v>-</v>
      </c>
    </row>
    <row r="20059" customHeight="1" spans="2:2">
      <c r="B20059" s="62" t="str">
        <f>IF(AND('领用录入（明细）'!D:D=$F$4,'领用录入（明细）'!C:C&gt;=$J$4,'领用录入（明细）'!C:C&lt;=$L$4),ROW(),"-")</f>
        <v>-</v>
      </c>
    </row>
    <row r="20060" customHeight="1" spans="2:2">
      <c r="B20060" s="62" t="str">
        <f>IF(AND('领用录入（明细）'!D:D=$F$4,'领用录入（明细）'!C:C&gt;=$J$4,'领用录入（明细）'!C:C&lt;=$L$4),ROW(),"-")</f>
        <v>-</v>
      </c>
    </row>
    <row r="20061" customHeight="1" spans="2:2">
      <c r="B20061" s="62" t="str">
        <f>IF(AND('领用录入（明细）'!D:D=$F$4,'领用录入（明细）'!C:C&gt;=$J$4,'领用录入（明细）'!C:C&lt;=$L$4),ROW(),"-")</f>
        <v>-</v>
      </c>
    </row>
    <row r="20062" customHeight="1" spans="2:2">
      <c r="B20062" s="62" t="str">
        <f>IF(AND('领用录入（明细）'!D:D=$F$4,'领用录入（明细）'!C:C&gt;=$J$4,'领用录入（明细）'!C:C&lt;=$L$4),ROW(),"-")</f>
        <v>-</v>
      </c>
    </row>
    <row r="20063" customHeight="1" spans="2:2">
      <c r="B20063" s="62" t="str">
        <f>IF(AND('领用录入（明细）'!D:D=$F$4,'领用录入（明细）'!C:C&gt;=$J$4,'领用录入（明细）'!C:C&lt;=$L$4),ROW(),"-")</f>
        <v>-</v>
      </c>
    </row>
    <row r="20064" customHeight="1" spans="2:2">
      <c r="B20064" s="62" t="str">
        <f>IF(AND('领用录入（明细）'!D:D=$F$4,'领用录入（明细）'!C:C&gt;=$J$4,'领用录入（明细）'!C:C&lt;=$L$4),ROW(),"-")</f>
        <v>-</v>
      </c>
    </row>
    <row r="20065" customHeight="1" spans="2:2">
      <c r="B20065" s="62" t="str">
        <f>IF(AND('领用录入（明细）'!D:D=$F$4,'领用录入（明细）'!C:C&gt;=$J$4,'领用录入（明细）'!C:C&lt;=$L$4),ROW(),"-")</f>
        <v>-</v>
      </c>
    </row>
    <row r="20066" customHeight="1" spans="2:2">
      <c r="B20066" s="62" t="str">
        <f>IF(AND('领用录入（明细）'!D:D=$F$4,'领用录入（明细）'!C:C&gt;=$J$4,'领用录入（明细）'!C:C&lt;=$L$4),ROW(),"-")</f>
        <v>-</v>
      </c>
    </row>
    <row r="20067" customHeight="1" spans="2:2">
      <c r="B20067" s="62" t="str">
        <f>IF(AND('领用录入（明细）'!D:D=$F$4,'领用录入（明细）'!C:C&gt;=$J$4,'领用录入（明细）'!C:C&lt;=$L$4),ROW(),"-")</f>
        <v>-</v>
      </c>
    </row>
    <row r="20068" customHeight="1" spans="2:2">
      <c r="B20068" s="62" t="str">
        <f>IF(AND('领用录入（明细）'!D:D=$F$4,'领用录入（明细）'!C:C&gt;=$J$4,'领用录入（明细）'!C:C&lt;=$L$4),ROW(),"-")</f>
        <v>-</v>
      </c>
    </row>
    <row r="20069" customHeight="1" spans="2:2">
      <c r="B20069" s="62" t="str">
        <f>IF(AND('领用录入（明细）'!D:D=$F$4,'领用录入（明细）'!C:C&gt;=$J$4,'领用录入（明细）'!C:C&lt;=$L$4),ROW(),"-")</f>
        <v>-</v>
      </c>
    </row>
    <row r="20070" customHeight="1" spans="2:2">
      <c r="B20070" s="62" t="str">
        <f>IF(AND('领用录入（明细）'!D:D=$F$4,'领用录入（明细）'!C:C&gt;=$J$4,'领用录入（明细）'!C:C&lt;=$L$4),ROW(),"-")</f>
        <v>-</v>
      </c>
    </row>
    <row r="20071" customHeight="1" spans="2:2">
      <c r="B20071" s="62" t="str">
        <f>IF(AND('领用录入（明细）'!D:D=$F$4,'领用录入（明细）'!C:C&gt;=$J$4,'领用录入（明细）'!C:C&lt;=$L$4),ROW(),"-")</f>
        <v>-</v>
      </c>
    </row>
    <row r="20072" customHeight="1" spans="2:2">
      <c r="B20072" s="62" t="str">
        <f>IF(AND('领用录入（明细）'!D:D=$F$4,'领用录入（明细）'!C:C&gt;=$J$4,'领用录入（明细）'!C:C&lt;=$L$4),ROW(),"-")</f>
        <v>-</v>
      </c>
    </row>
    <row r="20073" customHeight="1" spans="2:2">
      <c r="B20073" s="62" t="str">
        <f>IF(AND('领用录入（明细）'!D:D=$F$4,'领用录入（明细）'!C:C&gt;=$J$4,'领用录入（明细）'!C:C&lt;=$L$4),ROW(),"-")</f>
        <v>-</v>
      </c>
    </row>
    <row r="20074" customHeight="1" spans="2:2">
      <c r="B20074" s="62" t="str">
        <f>IF(AND('领用录入（明细）'!D:D=$F$4,'领用录入（明细）'!C:C&gt;=$J$4,'领用录入（明细）'!C:C&lt;=$L$4),ROW(),"-")</f>
        <v>-</v>
      </c>
    </row>
    <row r="20075" customHeight="1" spans="2:2">
      <c r="B20075" s="62" t="str">
        <f>IF(AND('领用录入（明细）'!D:D=$F$4,'领用录入（明细）'!C:C&gt;=$J$4,'领用录入（明细）'!C:C&lt;=$L$4),ROW(),"-")</f>
        <v>-</v>
      </c>
    </row>
    <row r="20076" customHeight="1" spans="2:2">
      <c r="B20076" s="62" t="str">
        <f>IF(AND('领用录入（明细）'!D:D=$F$4,'领用录入（明细）'!C:C&gt;=$J$4,'领用录入（明细）'!C:C&lt;=$L$4),ROW(),"-")</f>
        <v>-</v>
      </c>
    </row>
    <row r="20077" customHeight="1" spans="2:2">
      <c r="B20077" s="62" t="str">
        <f>IF(AND('领用录入（明细）'!D:D=$F$4,'领用录入（明细）'!C:C&gt;=$J$4,'领用录入（明细）'!C:C&lt;=$L$4),ROW(),"-")</f>
        <v>-</v>
      </c>
    </row>
    <row r="20078" customHeight="1" spans="2:2">
      <c r="B20078" s="62" t="str">
        <f>IF(AND('领用录入（明细）'!D:D=$F$4,'领用录入（明细）'!C:C&gt;=$J$4,'领用录入（明细）'!C:C&lt;=$L$4),ROW(),"-")</f>
        <v>-</v>
      </c>
    </row>
    <row r="20079" customHeight="1" spans="2:2">
      <c r="B20079" s="62" t="str">
        <f>IF(AND('领用录入（明细）'!D:D=$F$4,'领用录入（明细）'!C:C&gt;=$J$4,'领用录入（明细）'!C:C&lt;=$L$4),ROW(),"-")</f>
        <v>-</v>
      </c>
    </row>
    <row r="20080" customHeight="1" spans="2:2">
      <c r="B20080" s="62" t="str">
        <f>IF(AND('领用录入（明细）'!D:D=$F$4,'领用录入（明细）'!C:C&gt;=$J$4,'领用录入（明细）'!C:C&lt;=$L$4),ROW(),"-")</f>
        <v>-</v>
      </c>
    </row>
    <row r="20081" customHeight="1" spans="2:2">
      <c r="B20081" s="62" t="str">
        <f>IF(AND('领用录入（明细）'!D:D=$F$4,'领用录入（明细）'!C:C&gt;=$J$4,'领用录入（明细）'!C:C&lt;=$L$4),ROW(),"-")</f>
        <v>-</v>
      </c>
    </row>
    <row r="20082" customHeight="1" spans="2:2">
      <c r="B20082" s="62" t="str">
        <f>IF(AND('领用录入（明细）'!D:D=$F$4,'领用录入（明细）'!C:C&gt;=$J$4,'领用录入（明细）'!C:C&lt;=$L$4),ROW(),"-")</f>
        <v>-</v>
      </c>
    </row>
    <row r="20083" customHeight="1" spans="2:2">
      <c r="B20083" s="62" t="str">
        <f>IF(AND('领用录入（明细）'!D:D=$F$4,'领用录入（明细）'!C:C&gt;=$J$4,'领用录入（明细）'!C:C&lt;=$L$4),ROW(),"-")</f>
        <v>-</v>
      </c>
    </row>
    <row r="20084" customHeight="1" spans="2:2">
      <c r="B20084" s="62" t="str">
        <f>IF(AND('领用录入（明细）'!D:D=$F$4,'领用录入（明细）'!C:C&gt;=$J$4,'领用录入（明细）'!C:C&lt;=$L$4),ROW(),"-")</f>
        <v>-</v>
      </c>
    </row>
    <row r="20085" customHeight="1" spans="2:2">
      <c r="B20085" s="62" t="str">
        <f>IF(AND('领用录入（明细）'!D:D=$F$4,'领用录入（明细）'!C:C&gt;=$J$4,'领用录入（明细）'!C:C&lt;=$L$4),ROW(),"-")</f>
        <v>-</v>
      </c>
    </row>
    <row r="20086" customHeight="1" spans="2:2">
      <c r="B20086" s="62" t="str">
        <f>IF(AND('领用录入（明细）'!D:D=$F$4,'领用录入（明细）'!C:C&gt;=$J$4,'领用录入（明细）'!C:C&lt;=$L$4),ROW(),"-")</f>
        <v>-</v>
      </c>
    </row>
    <row r="20087" customHeight="1" spans="2:2">
      <c r="B20087" s="62" t="str">
        <f>IF(AND('领用录入（明细）'!D:D=$F$4,'领用录入（明细）'!C:C&gt;=$J$4,'领用录入（明细）'!C:C&lt;=$L$4),ROW(),"-")</f>
        <v>-</v>
      </c>
    </row>
    <row r="20088" customHeight="1" spans="2:2">
      <c r="B20088" s="62" t="str">
        <f>IF(AND('领用录入（明细）'!D:D=$F$4,'领用录入（明细）'!C:C&gt;=$J$4,'领用录入（明细）'!C:C&lt;=$L$4),ROW(),"-")</f>
        <v>-</v>
      </c>
    </row>
    <row r="20089" customHeight="1" spans="2:2">
      <c r="B20089" s="62" t="str">
        <f>IF(AND('领用录入（明细）'!D:D=$F$4,'领用录入（明细）'!C:C&gt;=$J$4,'领用录入（明细）'!C:C&lt;=$L$4),ROW(),"-")</f>
        <v>-</v>
      </c>
    </row>
    <row r="20090" customHeight="1" spans="2:2">
      <c r="B20090" s="62" t="str">
        <f>IF(AND('领用录入（明细）'!D:D=$F$4,'领用录入（明细）'!C:C&gt;=$J$4,'领用录入（明细）'!C:C&lt;=$L$4),ROW(),"-")</f>
        <v>-</v>
      </c>
    </row>
    <row r="20091" customHeight="1" spans="2:2">
      <c r="B20091" s="62" t="str">
        <f>IF(AND('领用录入（明细）'!D:D=$F$4,'领用录入（明细）'!C:C&gt;=$J$4,'领用录入（明细）'!C:C&lt;=$L$4),ROW(),"-")</f>
        <v>-</v>
      </c>
    </row>
    <row r="20092" customHeight="1" spans="2:2">
      <c r="B20092" s="62" t="str">
        <f>IF(AND('领用录入（明细）'!D:D=$F$4,'领用录入（明细）'!C:C&gt;=$J$4,'领用录入（明细）'!C:C&lt;=$L$4),ROW(),"-")</f>
        <v>-</v>
      </c>
    </row>
    <row r="20093" customHeight="1" spans="2:2">
      <c r="B20093" s="62" t="str">
        <f>IF(AND('领用录入（明细）'!D:D=$F$4,'领用录入（明细）'!C:C&gt;=$J$4,'领用录入（明细）'!C:C&lt;=$L$4),ROW(),"-")</f>
        <v>-</v>
      </c>
    </row>
    <row r="20094" customHeight="1" spans="2:2">
      <c r="B20094" s="62" t="str">
        <f>IF(AND('领用录入（明细）'!D:D=$F$4,'领用录入（明细）'!C:C&gt;=$J$4,'领用录入（明细）'!C:C&lt;=$L$4),ROW(),"-")</f>
        <v>-</v>
      </c>
    </row>
    <row r="20095" customHeight="1" spans="2:2">
      <c r="B20095" s="62" t="str">
        <f>IF(AND('领用录入（明细）'!D:D=$F$4,'领用录入（明细）'!C:C&gt;=$J$4,'领用录入（明细）'!C:C&lt;=$L$4),ROW(),"-")</f>
        <v>-</v>
      </c>
    </row>
    <row r="20096" customHeight="1" spans="2:2">
      <c r="B20096" s="62" t="str">
        <f>IF(AND('领用录入（明细）'!D:D=$F$4,'领用录入（明细）'!C:C&gt;=$J$4,'领用录入（明细）'!C:C&lt;=$L$4),ROW(),"-")</f>
        <v>-</v>
      </c>
    </row>
    <row r="20097" customHeight="1" spans="2:2">
      <c r="B20097" s="62" t="str">
        <f>IF(AND('领用录入（明细）'!D:D=$F$4,'领用录入（明细）'!C:C&gt;=$J$4,'领用录入（明细）'!C:C&lt;=$L$4),ROW(),"-")</f>
        <v>-</v>
      </c>
    </row>
    <row r="20098" customHeight="1" spans="2:2">
      <c r="B20098" s="62" t="str">
        <f>IF(AND('领用录入（明细）'!D:D=$F$4,'领用录入（明细）'!C:C&gt;=$J$4,'领用录入（明细）'!C:C&lt;=$L$4),ROW(),"-")</f>
        <v>-</v>
      </c>
    </row>
    <row r="20099" customHeight="1" spans="2:2">
      <c r="B20099" s="62" t="str">
        <f>IF(AND('领用录入（明细）'!D:D=$F$4,'领用录入（明细）'!C:C&gt;=$J$4,'领用录入（明细）'!C:C&lt;=$L$4),ROW(),"-")</f>
        <v>-</v>
      </c>
    </row>
    <row r="20100" customHeight="1" spans="2:2">
      <c r="B20100" s="62" t="str">
        <f>IF(AND('领用录入（明细）'!D:D=$F$4,'领用录入（明细）'!C:C&gt;=$J$4,'领用录入（明细）'!C:C&lt;=$L$4),ROW(),"-")</f>
        <v>-</v>
      </c>
    </row>
    <row r="20101" customHeight="1" spans="2:2">
      <c r="B20101" s="62" t="str">
        <f>IF(AND('领用录入（明细）'!D:D=$F$4,'领用录入（明细）'!C:C&gt;=$J$4,'领用录入（明细）'!C:C&lt;=$L$4),ROW(),"-")</f>
        <v>-</v>
      </c>
    </row>
    <row r="20102" customHeight="1" spans="2:2">
      <c r="B20102" s="62" t="str">
        <f>IF(AND('领用录入（明细）'!D:D=$F$4,'领用录入（明细）'!C:C&gt;=$J$4,'领用录入（明细）'!C:C&lt;=$L$4),ROW(),"-")</f>
        <v>-</v>
      </c>
    </row>
    <row r="20103" customHeight="1" spans="2:2">
      <c r="B20103" s="62" t="str">
        <f>IF(AND('领用录入（明细）'!D:D=$F$4,'领用录入（明细）'!C:C&gt;=$J$4,'领用录入（明细）'!C:C&lt;=$L$4),ROW(),"-")</f>
        <v>-</v>
      </c>
    </row>
    <row r="20104" customHeight="1" spans="2:2">
      <c r="B20104" s="62" t="str">
        <f>IF(AND('领用录入（明细）'!D:D=$F$4,'领用录入（明细）'!C:C&gt;=$J$4,'领用录入（明细）'!C:C&lt;=$L$4),ROW(),"-")</f>
        <v>-</v>
      </c>
    </row>
    <row r="20105" customHeight="1" spans="2:2">
      <c r="B20105" s="62" t="str">
        <f>IF(AND('领用录入（明细）'!D:D=$F$4,'领用录入（明细）'!C:C&gt;=$J$4,'领用录入（明细）'!C:C&lt;=$L$4),ROW(),"-")</f>
        <v>-</v>
      </c>
    </row>
    <row r="20106" customHeight="1" spans="2:2">
      <c r="B20106" s="62" t="str">
        <f>IF(AND('领用录入（明细）'!D:D=$F$4,'领用录入（明细）'!C:C&gt;=$J$4,'领用录入（明细）'!C:C&lt;=$L$4),ROW(),"-")</f>
        <v>-</v>
      </c>
    </row>
    <row r="20107" customHeight="1" spans="2:2">
      <c r="B20107" s="62" t="str">
        <f>IF(AND('领用录入（明细）'!D:D=$F$4,'领用录入（明细）'!C:C&gt;=$J$4,'领用录入（明细）'!C:C&lt;=$L$4),ROW(),"-")</f>
        <v>-</v>
      </c>
    </row>
    <row r="20108" customHeight="1" spans="2:2">
      <c r="B20108" s="62" t="str">
        <f>IF(AND('领用录入（明细）'!D:D=$F$4,'领用录入（明细）'!C:C&gt;=$J$4,'领用录入（明细）'!C:C&lt;=$L$4),ROW(),"-")</f>
        <v>-</v>
      </c>
    </row>
    <row r="20109" customHeight="1" spans="2:2">
      <c r="B20109" s="62" t="str">
        <f>IF(AND('领用录入（明细）'!D:D=$F$4,'领用录入（明细）'!C:C&gt;=$J$4,'领用录入（明细）'!C:C&lt;=$L$4),ROW(),"-")</f>
        <v>-</v>
      </c>
    </row>
    <row r="20110" customHeight="1" spans="2:2">
      <c r="B20110" s="62" t="str">
        <f>IF(AND('领用录入（明细）'!D:D=$F$4,'领用录入（明细）'!C:C&gt;=$J$4,'领用录入（明细）'!C:C&lt;=$L$4),ROW(),"-")</f>
        <v>-</v>
      </c>
    </row>
    <row r="20111" customHeight="1" spans="2:2">
      <c r="B20111" s="62" t="str">
        <f>IF(AND('领用录入（明细）'!D:D=$F$4,'领用录入（明细）'!C:C&gt;=$J$4,'领用录入（明细）'!C:C&lt;=$L$4),ROW(),"-")</f>
        <v>-</v>
      </c>
    </row>
    <row r="20112" customHeight="1" spans="2:2">
      <c r="B20112" s="62" t="str">
        <f>IF(AND('领用录入（明细）'!D:D=$F$4,'领用录入（明细）'!C:C&gt;=$J$4,'领用录入（明细）'!C:C&lt;=$L$4),ROW(),"-")</f>
        <v>-</v>
      </c>
    </row>
    <row r="20113" customHeight="1" spans="2:2">
      <c r="B20113" s="62" t="str">
        <f>IF(AND('领用录入（明细）'!D:D=$F$4,'领用录入（明细）'!C:C&gt;=$J$4,'领用录入（明细）'!C:C&lt;=$L$4),ROW(),"-")</f>
        <v>-</v>
      </c>
    </row>
    <row r="20114" customHeight="1" spans="2:2">
      <c r="B20114" s="62" t="str">
        <f>IF(AND('领用录入（明细）'!D:D=$F$4,'领用录入（明细）'!C:C&gt;=$J$4,'领用录入（明细）'!C:C&lt;=$L$4),ROW(),"-")</f>
        <v>-</v>
      </c>
    </row>
    <row r="20115" customHeight="1" spans="2:2">
      <c r="B20115" s="62" t="str">
        <f>IF(AND('领用录入（明细）'!D:D=$F$4,'领用录入（明细）'!C:C&gt;=$J$4,'领用录入（明细）'!C:C&lt;=$L$4),ROW(),"-")</f>
        <v>-</v>
      </c>
    </row>
    <row r="20116" customHeight="1" spans="2:2">
      <c r="B20116" s="62" t="str">
        <f>IF(AND('领用录入（明细）'!D:D=$F$4,'领用录入（明细）'!C:C&gt;=$J$4,'领用录入（明细）'!C:C&lt;=$L$4),ROW(),"-")</f>
        <v>-</v>
      </c>
    </row>
    <row r="20117" customHeight="1" spans="2:2">
      <c r="B20117" s="62" t="str">
        <f>IF(AND('领用录入（明细）'!D:D=$F$4,'领用录入（明细）'!C:C&gt;=$J$4,'领用录入（明细）'!C:C&lt;=$L$4),ROW(),"-")</f>
        <v>-</v>
      </c>
    </row>
    <row r="20118" customHeight="1" spans="2:2">
      <c r="B20118" s="62" t="str">
        <f>IF(AND('领用录入（明细）'!D:D=$F$4,'领用录入（明细）'!C:C&gt;=$J$4,'领用录入（明细）'!C:C&lt;=$L$4),ROW(),"-")</f>
        <v>-</v>
      </c>
    </row>
    <row r="20119" customHeight="1" spans="2:2">
      <c r="B20119" s="62" t="str">
        <f>IF(AND('领用录入（明细）'!D:D=$F$4,'领用录入（明细）'!C:C&gt;=$J$4,'领用录入（明细）'!C:C&lt;=$L$4),ROW(),"-")</f>
        <v>-</v>
      </c>
    </row>
    <row r="20120" customHeight="1" spans="2:2">
      <c r="B20120" s="62" t="str">
        <f>IF(AND('领用录入（明细）'!D:D=$F$4,'领用录入（明细）'!C:C&gt;=$J$4,'领用录入（明细）'!C:C&lt;=$L$4),ROW(),"-")</f>
        <v>-</v>
      </c>
    </row>
    <row r="20121" customHeight="1" spans="2:2">
      <c r="B20121" s="62" t="str">
        <f>IF(AND('领用录入（明细）'!D:D=$F$4,'领用录入（明细）'!C:C&gt;=$J$4,'领用录入（明细）'!C:C&lt;=$L$4),ROW(),"-")</f>
        <v>-</v>
      </c>
    </row>
    <row r="20122" customHeight="1" spans="2:2">
      <c r="B20122" s="62" t="str">
        <f>IF(AND('领用录入（明细）'!D:D=$F$4,'领用录入（明细）'!C:C&gt;=$J$4,'领用录入（明细）'!C:C&lt;=$L$4),ROW(),"-")</f>
        <v>-</v>
      </c>
    </row>
    <row r="20123" customHeight="1" spans="2:2">
      <c r="B20123" s="62" t="str">
        <f>IF(AND('领用录入（明细）'!D:D=$F$4,'领用录入（明细）'!C:C&gt;=$J$4,'领用录入（明细）'!C:C&lt;=$L$4),ROW(),"-")</f>
        <v>-</v>
      </c>
    </row>
    <row r="20124" customHeight="1" spans="2:2">
      <c r="B20124" s="62" t="str">
        <f>IF(AND('领用录入（明细）'!D:D=$F$4,'领用录入（明细）'!C:C&gt;=$J$4,'领用录入（明细）'!C:C&lt;=$L$4),ROW(),"-")</f>
        <v>-</v>
      </c>
    </row>
    <row r="20125" customHeight="1" spans="2:2">
      <c r="B20125" s="62" t="str">
        <f>IF(AND('领用录入（明细）'!D:D=$F$4,'领用录入（明细）'!C:C&gt;=$J$4,'领用录入（明细）'!C:C&lt;=$L$4),ROW(),"-")</f>
        <v>-</v>
      </c>
    </row>
    <row r="20126" customHeight="1" spans="2:2">
      <c r="B20126" s="62" t="str">
        <f>IF(AND('领用录入（明细）'!D:D=$F$4,'领用录入（明细）'!C:C&gt;=$J$4,'领用录入（明细）'!C:C&lt;=$L$4),ROW(),"-")</f>
        <v>-</v>
      </c>
    </row>
    <row r="20127" customHeight="1" spans="2:2">
      <c r="B20127" s="62" t="str">
        <f>IF(AND('领用录入（明细）'!D:D=$F$4,'领用录入（明细）'!C:C&gt;=$J$4,'领用录入（明细）'!C:C&lt;=$L$4),ROW(),"-")</f>
        <v>-</v>
      </c>
    </row>
    <row r="20128" customHeight="1" spans="2:2">
      <c r="B20128" s="62" t="str">
        <f>IF(AND('领用录入（明细）'!D:D=$F$4,'领用录入（明细）'!C:C&gt;=$J$4,'领用录入（明细）'!C:C&lt;=$L$4),ROW(),"-")</f>
        <v>-</v>
      </c>
    </row>
    <row r="20129" customHeight="1" spans="2:2">
      <c r="B20129" s="62" t="str">
        <f>IF(AND('领用录入（明细）'!D:D=$F$4,'领用录入（明细）'!C:C&gt;=$J$4,'领用录入（明细）'!C:C&lt;=$L$4),ROW(),"-")</f>
        <v>-</v>
      </c>
    </row>
    <row r="20130" customHeight="1" spans="2:2">
      <c r="B20130" s="62" t="str">
        <f>IF(AND('领用录入（明细）'!D:D=$F$4,'领用录入（明细）'!C:C&gt;=$J$4,'领用录入（明细）'!C:C&lt;=$L$4),ROW(),"-")</f>
        <v>-</v>
      </c>
    </row>
    <row r="20131" customHeight="1" spans="2:2">
      <c r="B20131" s="62" t="str">
        <f>IF(AND('领用录入（明细）'!D:D=$F$4,'领用录入（明细）'!C:C&gt;=$J$4,'领用录入（明细）'!C:C&lt;=$L$4),ROW(),"-")</f>
        <v>-</v>
      </c>
    </row>
    <row r="20132" customHeight="1" spans="2:2">
      <c r="B20132" s="62" t="str">
        <f>IF(AND('领用录入（明细）'!D:D=$F$4,'领用录入（明细）'!C:C&gt;=$J$4,'领用录入（明细）'!C:C&lt;=$L$4),ROW(),"-")</f>
        <v>-</v>
      </c>
    </row>
    <row r="20133" customHeight="1" spans="2:2">
      <c r="B20133" s="62" t="str">
        <f>IF(AND('领用录入（明细）'!D:D=$F$4,'领用录入（明细）'!C:C&gt;=$J$4,'领用录入（明细）'!C:C&lt;=$L$4),ROW(),"-")</f>
        <v>-</v>
      </c>
    </row>
    <row r="20134" customHeight="1" spans="2:2">
      <c r="B20134" s="62" t="str">
        <f>IF(AND('领用录入（明细）'!D:D=$F$4,'领用录入（明细）'!C:C&gt;=$J$4,'领用录入（明细）'!C:C&lt;=$L$4),ROW(),"-")</f>
        <v>-</v>
      </c>
    </row>
    <row r="20135" customHeight="1" spans="2:2">
      <c r="B20135" s="62" t="str">
        <f>IF(AND('领用录入（明细）'!D:D=$F$4,'领用录入（明细）'!C:C&gt;=$J$4,'领用录入（明细）'!C:C&lt;=$L$4),ROW(),"-")</f>
        <v>-</v>
      </c>
    </row>
    <row r="20136" customHeight="1" spans="2:2">
      <c r="B20136" s="62" t="str">
        <f>IF(AND('领用录入（明细）'!D:D=$F$4,'领用录入（明细）'!C:C&gt;=$J$4,'领用录入（明细）'!C:C&lt;=$L$4),ROW(),"-")</f>
        <v>-</v>
      </c>
    </row>
    <row r="20137" customHeight="1" spans="2:2">
      <c r="B20137" s="62" t="str">
        <f>IF(AND('领用录入（明细）'!D:D=$F$4,'领用录入（明细）'!C:C&gt;=$J$4,'领用录入（明细）'!C:C&lt;=$L$4),ROW(),"-")</f>
        <v>-</v>
      </c>
    </row>
    <row r="20138" customHeight="1" spans="2:2">
      <c r="B20138" s="62" t="str">
        <f>IF(AND('领用录入（明细）'!D:D=$F$4,'领用录入（明细）'!C:C&gt;=$J$4,'领用录入（明细）'!C:C&lt;=$L$4),ROW(),"-")</f>
        <v>-</v>
      </c>
    </row>
    <row r="20139" customHeight="1" spans="2:2">
      <c r="B20139" s="62" t="str">
        <f>IF(AND('领用录入（明细）'!D:D=$F$4,'领用录入（明细）'!C:C&gt;=$J$4,'领用录入（明细）'!C:C&lt;=$L$4),ROW(),"-")</f>
        <v>-</v>
      </c>
    </row>
    <row r="20140" customHeight="1" spans="2:2">
      <c r="B20140" s="62" t="str">
        <f>IF(AND('领用录入（明细）'!D:D=$F$4,'领用录入（明细）'!C:C&gt;=$J$4,'领用录入（明细）'!C:C&lt;=$L$4),ROW(),"-")</f>
        <v>-</v>
      </c>
    </row>
    <row r="20141" customHeight="1" spans="2:2">
      <c r="B20141" s="62" t="str">
        <f>IF(AND('领用录入（明细）'!D:D=$F$4,'领用录入（明细）'!C:C&gt;=$J$4,'领用录入（明细）'!C:C&lt;=$L$4),ROW(),"-")</f>
        <v>-</v>
      </c>
    </row>
    <row r="20142" customHeight="1" spans="2:2">
      <c r="B20142" s="62" t="str">
        <f>IF(AND('领用录入（明细）'!D:D=$F$4,'领用录入（明细）'!C:C&gt;=$J$4,'领用录入（明细）'!C:C&lt;=$L$4),ROW(),"-")</f>
        <v>-</v>
      </c>
    </row>
    <row r="20143" customHeight="1" spans="2:2">
      <c r="B20143" s="62" t="str">
        <f>IF(AND('领用录入（明细）'!D:D=$F$4,'领用录入（明细）'!C:C&gt;=$J$4,'领用录入（明细）'!C:C&lt;=$L$4),ROW(),"-")</f>
        <v>-</v>
      </c>
    </row>
    <row r="20144" customHeight="1" spans="2:2">
      <c r="B20144" s="62" t="str">
        <f>IF(AND('领用录入（明细）'!D:D=$F$4,'领用录入（明细）'!C:C&gt;=$J$4,'领用录入（明细）'!C:C&lt;=$L$4),ROW(),"-")</f>
        <v>-</v>
      </c>
    </row>
    <row r="20145" customHeight="1" spans="2:2">
      <c r="B20145" s="62" t="str">
        <f>IF(AND('领用录入（明细）'!D:D=$F$4,'领用录入（明细）'!C:C&gt;=$J$4,'领用录入（明细）'!C:C&lt;=$L$4),ROW(),"-")</f>
        <v>-</v>
      </c>
    </row>
    <row r="20146" customHeight="1" spans="2:2">
      <c r="B20146" s="62" t="str">
        <f>IF(AND('领用录入（明细）'!D:D=$F$4,'领用录入（明细）'!C:C&gt;=$J$4,'领用录入（明细）'!C:C&lt;=$L$4),ROW(),"-")</f>
        <v>-</v>
      </c>
    </row>
    <row r="20147" customHeight="1" spans="2:2">
      <c r="B20147" s="62" t="str">
        <f>IF(AND('领用录入（明细）'!D:D=$F$4,'领用录入（明细）'!C:C&gt;=$J$4,'领用录入（明细）'!C:C&lt;=$L$4),ROW(),"-")</f>
        <v>-</v>
      </c>
    </row>
    <row r="20148" customHeight="1" spans="2:2">
      <c r="B20148" s="62" t="str">
        <f>IF(AND('领用录入（明细）'!D:D=$F$4,'领用录入（明细）'!C:C&gt;=$J$4,'领用录入（明细）'!C:C&lt;=$L$4),ROW(),"-")</f>
        <v>-</v>
      </c>
    </row>
    <row r="20149" customHeight="1" spans="2:2">
      <c r="B20149" s="62" t="str">
        <f>IF(AND('领用录入（明细）'!D:D=$F$4,'领用录入（明细）'!C:C&gt;=$J$4,'领用录入（明细）'!C:C&lt;=$L$4),ROW(),"-")</f>
        <v>-</v>
      </c>
    </row>
    <row r="20150" customHeight="1" spans="2:2">
      <c r="B20150" s="62" t="str">
        <f>IF(AND('领用录入（明细）'!D:D=$F$4,'领用录入（明细）'!C:C&gt;=$J$4,'领用录入（明细）'!C:C&lt;=$L$4),ROW(),"-")</f>
        <v>-</v>
      </c>
    </row>
    <row r="20151" customHeight="1" spans="2:2">
      <c r="B20151" s="62" t="str">
        <f>IF(AND('领用录入（明细）'!D:D=$F$4,'领用录入（明细）'!C:C&gt;=$J$4,'领用录入（明细）'!C:C&lt;=$L$4),ROW(),"-")</f>
        <v>-</v>
      </c>
    </row>
    <row r="20152" customHeight="1" spans="2:2">
      <c r="B20152" s="62" t="str">
        <f>IF(AND('领用录入（明细）'!D:D=$F$4,'领用录入（明细）'!C:C&gt;=$J$4,'领用录入（明细）'!C:C&lt;=$L$4),ROW(),"-")</f>
        <v>-</v>
      </c>
    </row>
    <row r="20153" customHeight="1" spans="2:2">
      <c r="B20153" s="62" t="str">
        <f>IF(AND('领用录入（明细）'!D:D=$F$4,'领用录入（明细）'!C:C&gt;=$J$4,'领用录入（明细）'!C:C&lt;=$L$4),ROW(),"-")</f>
        <v>-</v>
      </c>
    </row>
    <row r="20154" customHeight="1" spans="2:2">
      <c r="B20154" s="62" t="str">
        <f>IF(AND('领用录入（明细）'!D:D=$F$4,'领用录入（明细）'!C:C&gt;=$J$4,'领用录入（明细）'!C:C&lt;=$L$4),ROW(),"-")</f>
        <v>-</v>
      </c>
    </row>
    <row r="20155" customHeight="1" spans="2:2">
      <c r="B20155" s="62" t="str">
        <f>IF(AND('领用录入（明细）'!D:D=$F$4,'领用录入（明细）'!C:C&gt;=$J$4,'领用录入（明细）'!C:C&lt;=$L$4),ROW(),"-")</f>
        <v>-</v>
      </c>
    </row>
    <row r="20156" customHeight="1" spans="2:2">
      <c r="B20156" s="62" t="str">
        <f>IF(AND('领用录入（明细）'!D:D=$F$4,'领用录入（明细）'!C:C&gt;=$J$4,'领用录入（明细）'!C:C&lt;=$L$4),ROW(),"-")</f>
        <v>-</v>
      </c>
    </row>
    <row r="20157" customHeight="1" spans="2:2">
      <c r="B20157" s="62" t="str">
        <f>IF(AND('领用录入（明细）'!D:D=$F$4,'领用录入（明细）'!C:C&gt;=$J$4,'领用录入（明细）'!C:C&lt;=$L$4),ROW(),"-")</f>
        <v>-</v>
      </c>
    </row>
    <row r="20158" customHeight="1" spans="2:2">
      <c r="B20158" s="62" t="str">
        <f>IF(AND('领用录入（明细）'!D:D=$F$4,'领用录入（明细）'!C:C&gt;=$J$4,'领用录入（明细）'!C:C&lt;=$L$4),ROW(),"-")</f>
        <v>-</v>
      </c>
    </row>
    <row r="20159" customHeight="1" spans="2:2">
      <c r="B20159" s="62" t="str">
        <f>IF(AND('领用录入（明细）'!D:D=$F$4,'领用录入（明细）'!C:C&gt;=$J$4,'领用录入（明细）'!C:C&lt;=$L$4),ROW(),"-")</f>
        <v>-</v>
      </c>
    </row>
    <row r="20160" customHeight="1" spans="2:2">
      <c r="B20160" s="62" t="str">
        <f>IF(AND('领用录入（明细）'!D:D=$F$4,'领用录入（明细）'!C:C&gt;=$J$4,'领用录入（明细）'!C:C&lt;=$L$4),ROW(),"-")</f>
        <v>-</v>
      </c>
    </row>
    <row r="20161" customHeight="1" spans="2:2">
      <c r="B20161" s="62" t="str">
        <f>IF(AND('领用录入（明细）'!D:D=$F$4,'领用录入（明细）'!C:C&gt;=$J$4,'领用录入（明细）'!C:C&lt;=$L$4),ROW(),"-")</f>
        <v>-</v>
      </c>
    </row>
    <row r="20162" customHeight="1" spans="2:2">
      <c r="B20162" s="62" t="str">
        <f>IF(AND('领用录入（明细）'!D:D=$F$4,'领用录入（明细）'!C:C&gt;=$J$4,'领用录入（明细）'!C:C&lt;=$L$4),ROW(),"-")</f>
        <v>-</v>
      </c>
    </row>
    <row r="20163" customHeight="1" spans="2:2">
      <c r="B20163" s="62" t="str">
        <f>IF(AND('领用录入（明细）'!D:D=$F$4,'领用录入（明细）'!C:C&gt;=$J$4,'领用录入（明细）'!C:C&lt;=$L$4),ROW(),"-")</f>
        <v>-</v>
      </c>
    </row>
    <row r="20164" customHeight="1" spans="2:2">
      <c r="B20164" s="62" t="str">
        <f>IF(AND('领用录入（明细）'!D:D=$F$4,'领用录入（明细）'!C:C&gt;=$J$4,'领用录入（明细）'!C:C&lt;=$L$4),ROW(),"-")</f>
        <v>-</v>
      </c>
    </row>
    <row r="20165" customHeight="1" spans="2:2">
      <c r="B20165" s="62" t="str">
        <f>IF(AND('领用录入（明细）'!D:D=$F$4,'领用录入（明细）'!C:C&gt;=$J$4,'领用录入（明细）'!C:C&lt;=$L$4),ROW(),"-")</f>
        <v>-</v>
      </c>
    </row>
    <row r="20166" customHeight="1" spans="2:2">
      <c r="B20166" s="62" t="str">
        <f>IF(AND('领用录入（明细）'!D:D=$F$4,'领用录入（明细）'!C:C&gt;=$J$4,'领用录入（明细）'!C:C&lt;=$L$4),ROW(),"-")</f>
        <v>-</v>
      </c>
    </row>
    <row r="20167" customHeight="1" spans="2:2">
      <c r="B20167" s="62" t="str">
        <f>IF(AND('领用录入（明细）'!D:D=$F$4,'领用录入（明细）'!C:C&gt;=$J$4,'领用录入（明细）'!C:C&lt;=$L$4),ROW(),"-")</f>
        <v>-</v>
      </c>
    </row>
    <row r="20168" customHeight="1" spans="2:2">
      <c r="B20168" s="62" t="str">
        <f>IF(AND('领用录入（明细）'!D:D=$F$4,'领用录入（明细）'!C:C&gt;=$J$4,'领用录入（明细）'!C:C&lt;=$L$4),ROW(),"-")</f>
        <v>-</v>
      </c>
    </row>
    <row r="20169" customHeight="1" spans="2:2">
      <c r="B20169" s="62" t="str">
        <f>IF(AND('领用录入（明细）'!D:D=$F$4,'领用录入（明细）'!C:C&gt;=$J$4,'领用录入（明细）'!C:C&lt;=$L$4),ROW(),"-")</f>
        <v>-</v>
      </c>
    </row>
    <row r="20170" customHeight="1" spans="2:2">
      <c r="B20170" s="62" t="str">
        <f>IF(AND('领用录入（明细）'!D:D=$F$4,'领用录入（明细）'!C:C&gt;=$J$4,'领用录入（明细）'!C:C&lt;=$L$4),ROW(),"-")</f>
        <v>-</v>
      </c>
    </row>
    <row r="20171" customHeight="1" spans="2:2">
      <c r="B20171" s="62" t="str">
        <f>IF(AND('领用录入（明细）'!D:D=$F$4,'领用录入（明细）'!C:C&gt;=$J$4,'领用录入（明细）'!C:C&lt;=$L$4),ROW(),"-")</f>
        <v>-</v>
      </c>
    </row>
    <row r="20172" customHeight="1" spans="2:2">
      <c r="B20172" s="62" t="str">
        <f>IF(AND('领用录入（明细）'!D:D=$F$4,'领用录入（明细）'!C:C&gt;=$J$4,'领用录入（明细）'!C:C&lt;=$L$4),ROW(),"-")</f>
        <v>-</v>
      </c>
    </row>
    <row r="20173" customHeight="1" spans="2:2">
      <c r="B20173" s="62" t="str">
        <f>IF(AND('领用录入（明细）'!D:D=$F$4,'领用录入（明细）'!C:C&gt;=$J$4,'领用录入（明细）'!C:C&lt;=$L$4),ROW(),"-")</f>
        <v>-</v>
      </c>
    </row>
    <row r="20174" customHeight="1" spans="2:2">
      <c r="B20174" s="62" t="str">
        <f>IF(AND('领用录入（明细）'!D:D=$F$4,'领用录入（明细）'!C:C&gt;=$J$4,'领用录入（明细）'!C:C&lt;=$L$4),ROW(),"-")</f>
        <v>-</v>
      </c>
    </row>
    <row r="20175" customHeight="1" spans="2:2">
      <c r="B20175" s="62" t="str">
        <f>IF(AND('领用录入（明细）'!D:D=$F$4,'领用录入（明细）'!C:C&gt;=$J$4,'领用录入（明细）'!C:C&lt;=$L$4),ROW(),"-")</f>
        <v>-</v>
      </c>
    </row>
    <row r="20176" customHeight="1" spans="2:2">
      <c r="B20176" s="62" t="str">
        <f>IF(AND('领用录入（明细）'!D:D=$F$4,'领用录入（明细）'!C:C&gt;=$J$4,'领用录入（明细）'!C:C&lt;=$L$4),ROW(),"-")</f>
        <v>-</v>
      </c>
    </row>
    <row r="20177" customHeight="1" spans="2:2">
      <c r="B20177" s="62" t="str">
        <f>IF(AND('领用录入（明细）'!D:D=$F$4,'领用录入（明细）'!C:C&gt;=$J$4,'领用录入（明细）'!C:C&lt;=$L$4),ROW(),"-")</f>
        <v>-</v>
      </c>
    </row>
    <row r="20178" customHeight="1" spans="2:2">
      <c r="B20178" s="62" t="str">
        <f>IF(AND('领用录入（明细）'!D:D=$F$4,'领用录入（明细）'!C:C&gt;=$J$4,'领用录入（明细）'!C:C&lt;=$L$4),ROW(),"-")</f>
        <v>-</v>
      </c>
    </row>
    <row r="20179" customHeight="1" spans="2:2">
      <c r="B20179" s="62" t="str">
        <f>IF(AND('领用录入（明细）'!D:D=$F$4,'领用录入（明细）'!C:C&gt;=$J$4,'领用录入（明细）'!C:C&lt;=$L$4),ROW(),"-")</f>
        <v>-</v>
      </c>
    </row>
    <row r="20180" customHeight="1" spans="2:2">
      <c r="B20180" s="62" t="str">
        <f>IF(AND('领用录入（明细）'!D:D=$F$4,'领用录入（明细）'!C:C&gt;=$J$4,'领用录入（明细）'!C:C&lt;=$L$4),ROW(),"-")</f>
        <v>-</v>
      </c>
    </row>
    <row r="20181" customHeight="1" spans="2:2">
      <c r="B20181" s="62" t="str">
        <f>IF(AND('领用录入（明细）'!D:D=$F$4,'领用录入（明细）'!C:C&gt;=$J$4,'领用录入（明细）'!C:C&lt;=$L$4),ROW(),"-")</f>
        <v>-</v>
      </c>
    </row>
    <row r="20182" customHeight="1" spans="2:2">
      <c r="B20182" s="62" t="str">
        <f>IF(AND('领用录入（明细）'!D:D=$F$4,'领用录入（明细）'!C:C&gt;=$J$4,'领用录入（明细）'!C:C&lt;=$L$4),ROW(),"-")</f>
        <v>-</v>
      </c>
    </row>
    <row r="20183" customHeight="1" spans="2:2">
      <c r="B20183" s="62" t="str">
        <f>IF(AND('领用录入（明细）'!D:D=$F$4,'领用录入（明细）'!C:C&gt;=$J$4,'领用录入（明细）'!C:C&lt;=$L$4),ROW(),"-")</f>
        <v>-</v>
      </c>
    </row>
    <row r="20184" customHeight="1" spans="2:2">
      <c r="B20184" s="62" t="str">
        <f>IF(AND('领用录入（明细）'!D:D=$F$4,'领用录入（明细）'!C:C&gt;=$J$4,'领用录入（明细）'!C:C&lt;=$L$4),ROW(),"-")</f>
        <v>-</v>
      </c>
    </row>
    <row r="20185" customHeight="1" spans="2:2">
      <c r="B20185" s="62" t="str">
        <f>IF(AND('领用录入（明细）'!D:D=$F$4,'领用录入（明细）'!C:C&gt;=$J$4,'领用录入（明细）'!C:C&lt;=$L$4),ROW(),"-")</f>
        <v>-</v>
      </c>
    </row>
    <row r="20186" customHeight="1" spans="2:2">
      <c r="B20186" s="62" t="str">
        <f>IF(AND('领用录入（明细）'!D:D=$F$4,'领用录入（明细）'!C:C&gt;=$J$4,'领用录入（明细）'!C:C&lt;=$L$4),ROW(),"-")</f>
        <v>-</v>
      </c>
    </row>
    <row r="20187" customHeight="1" spans="2:2">
      <c r="B20187" s="62" t="str">
        <f>IF(AND('领用录入（明细）'!D:D=$F$4,'领用录入（明细）'!C:C&gt;=$J$4,'领用录入（明细）'!C:C&lt;=$L$4),ROW(),"-")</f>
        <v>-</v>
      </c>
    </row>
    <row r="20188" customHeight="1" spans="2:2">
      <c r="B20188" s="62" t="str">
        <f>IF(AND('领用录入（明细）'!D:D=$F$4,'领用录入（明细）'!C:C&gt;=$J$4,'领用录入（明细）'!C:C&lt;=$L$4),ROW(),"-")</f>
        <v>-</v>
      </c>
    </row>
    <row r="20189" customHeight="1" spans="2:2">
      <c r="B20189" s="62" t="str">
        <f>IF(AND('领用录入（明细）'!D:D=$F$4,'领用录入（明细）'!C:C&gt;=$J$4,'领用录入（明细）'!C:C&lt;=$L$4),ROW(),"-")</f>
        <v>-</v>
      </c>
    </row>
    <row r="20190" customHeight="1" spans="2:2">
      <c r="B20190" s="62" t="str">
        <f>IF(AND('领用录入（明细）'!D:D=$F$4,'领用录入（明细）'!C:C&gt;=$J$4,'领用录入（明细）'!C:C&lt;=$L$4),ROW(),"-")</f>
        <v>-</v>
      </c>
    </row>
    <row r="20191" customHeight="1" spans="2:2">
      <c r="B20191" s="62" t="str">
        <f>IF(AND('领用录入（明细）'!D:D=$F$4,'领用录入（明细）'!C:C&gt;=$J$4,'领用录入（明细）'!C:C&lt;=$L$4),ROW(),"-")</f>
        <v>-</v>
      </c>
    </row>
    <row r="20192" customHeight="1" spans="2:2">
      <c r="B20192" s="62" t="str">
        <f>IF(AND('领用录入（明细）'!D:D=$F$4,'领用录入（明细）'!C:C&gt;=$J$4,'领用录入（明细）'!C:C&lt;=$L$4),ROW(),"-")</f>
        <v>-</v>
      </c>
    </row>
    <row r="20193" customHeight="1" spans="2:2">
      <c r="B20193" s="62" t="str">
        <f>IF(AND('领用录入（明细）'!D:D=$F$4,'领用录入（明细）'!C:C&gt;=$J$4,'领用录入（明细）'!C:C&lt;=$L$4),ROW(),"-")</f>
        <v>-</v>
      </c>
    </row>
    <row r="20194" customHeight="1" spans="2:2">
      <c r="B20194" s="62" t="str">
        <f>IF(AND('领用录入（明细）'!D:D=$F$4,'领用录入（明细）'!C:C&gt;=$J$4,'领用录入（明细）'!C:C&lt;=$L$4),ROW(),"-")</f>
        <v>-</v>
      </c>
    </row>
    <row r="20195" customHeight="1" spans="2:2">
      <c r="B20195" s="62" t="str">
        <f>IF(AND('领用录入（明细）'!D:D=$F$4,'领用录入（明细）'!C:C&gt;=$J$4,'领用录入（明细）'!C:C&lt;=$L$4),ROW(),"-")</f>
        <v>-</v>
      </c>
    </row>
    <row r="20196" customHeight="1" spans="2:2">
      <c r="B20196" s="62" t="str">
        <f>IF(AND('领用录入（明细）'!D:D=$F$4,'领用录入（明细）'!C:C&gt;=$J$4,'领用录入（明细）'!C:C&lt;=$L$4),ROW(),"-")</f>
        <v>-</v>
      </c>
    </row>
    <row r="20197" customHeight="1" spans="2:2">
      <c r="B20197" s="62" t="str">
        <f>IF(AND('领用录入（明细）'!D:D=$F$4,'领用录入（明细）'!C:C&gt;=$J$4,'领用录入（明细）'!C:C&lt;=$L$4),ROW(),"-")</f>
        <v>-</v>
      </c>
    </row>
    <row r="20198" customHeight="1" spans="2:2">
      <c r="B20198" s="62" t="str">
        <f>IF(AND('领用录入（明细）'!D:D=$F$4,'领用录入（明细）'!C:C&gt;=$J$4,'领用录入（明细）'!C:C&lt;=$L$4),ROW(),"-")</f>
        <v>-</v>
      </c>
    </row>
    <row r="20199" customHeight="1" spans="2:2">
      <c r="B20199" s="62" t="str">
        <f>IF(AND('领用录入（明细）'!D:D=$F$4,'领用录入（明细）'!C:C&gt;=$J$4,'领用录入（明细）'!C:C&lt;=$L$4),ROW(),"-")</f>
        <v>-</v>
      </c>
    </row>
    <row r="20200" customHeight="1" spans="2:2">
      <c r="B20200" s="62" t="str">
        <f>IF(AND('领用录入（明细）'!D:D=$F$4,'领用录入（明细）'!C:C&gt;=$J$4,'领用录入（明细）'!C:C&lt;=$L$4),ROW(),"-")</f>
        <v>-</v>
      </c>
    </row>
    <row r="20201" customHeight="1" spans="2:2">
      <c r="B20201" s="62" t="str">
        <f>IF(AND('领用录入（明细）'!D:D=$F$4,'领用录入（明细）'!C:C&gt;=$J$4,'领用录入（明细）'!C:C&lt;=$L$4),ROW(),"-")</f>
        <v>-</v>
      </c>
    </row>
    <row r="20202" customHeight="1" spans="2:2">
      <c r="B20202" s="62" t="str">
        <f>IF(AND('领用录入（明细）'!D:D=$F$4,'领用录入（明细）'!C:C&gt;=$J$4,'领用录入（明细）'!C:C&lt;=$L$4),ROW(),"-")</f>
        <v>-</v>
      </c>
    </row>
    <row r="20203" customHeight="1" spans="2:2">
      <c r="B20203" s="62" t="str">
        <f>IF(AND('领用录入（明细）'!D:D=$F$4,'领用录入（明细）'!C:C&gt;=$J$4,'领用录入（明细）'!C:C&lt;=$L$4),ROW(),"-")</f>
        <v>-</v>
      </c>
    </row>
    <row r="20204" customHeight="1" spans="2:2">
      <c r="B20204" s="62" t="str">
        <f>IF(AND('领用录入（明细）'!D:D=$F$4,'领用录入（明细）'!C:C&gt;=$J$4,'领用录入（明细）'!C:C&lt;=$L$4),ROW(),"-")</f>
        <v>-</v>
      </c>
    </row>
    <row r="20205" customHeight="1" spans="2:2">
      <c r="B20205" s="62" t="str">
        <f>IF(AND('领用录入（明细）'!D:D=$F$4,'领用录入（明细）'!C:C&gt;=$J$4,'领用录入（明细）'!C:C&lt;=$L$4),ROW(),"-")</f>
        <v>-</v>
      </c>
    </row>
    <row r="20206" customHeight="1" spans="2:2">
      <c r="B20206" s="62" t="str">
        <f>IF(AND('领用录入（明细）'!D:D=$F$4,'领用录入（明细）'!C:C&gt;=$J$4,'领用录入（明细）'!C:C&lt;=$L$4),ROW(),"-")</f>
        <v>-</v>
      </c>
    </row>
    <row r="20207" customHeight="1" spans="2:2">
      <c r="B20207" s="62" t="str">
        <f>IF(AND('领用录入（明细）'!D:D=$F$4,'领用录入（明细）'!C:C&gt;=$J$4,'领用录入（明细）'!C:C&lt;=$L$4),ROW(),"-")</f>
        <v>-</v>
      </c>
    </row>
    <row r="20208" customHeight="1" spans="2:2">
      <c r="B20208" s="62" t="str">
        <f>IF(AND('领用录入（明细）'!D:D=$F$4,'领用录入（明细）'!C:C&gt;=$J$4,'领用录入（明细）'!C:C&lt;=$L$4),ROW(),"-")</f>
        <v>-</v>
      </c>
    </row>
    <row r="20209" customHeight="1" spans="2:2">
      <c r="B20209" s="62" t="str">
        <f>IF(AND('领用录入（明细）'!D:D=$F$4,'领用录入（明细）'!C:C&gt;=$J$4,'领用录入（明细）'!C:C&lt;=$L$4),ROW(),"-")</f>
        <v>-</v>
      </c>
    </row>
    <row r="20210" customHeight="1" spans="2:2">
      <c r="B20210" s="62" t="str">
        <f>IF(AND('领用录入（明细）'!D:D=$F$4,'领用录入（明细）'!C:C&gt;=$J$4,'领用录入（明细）'!C:C&lt;=$L$4),ROW(),"-")</f>
        <v>-</v>
      </c>
    </row>
    <row r="20211" customHeight="1" spans="2:2">
      <c r="B20211" s="62" t="str">
        <f>IF(AND('领用录入（明细）'!D:D=$F$4,'领用录入（明细）'!C:C&gt;=$J$4,'领用录入（明细）'!C:C&lt;=$L$4),ROW(),"-")</f>
        <v>-</v>
      </c>
    </row>
    <row r="20212" customHeight="1" spans="2:2">
      <c r="B20212" s="62" t="str">
        <f>IF(AND('领用录入（明细）'!D:D=$F$4,'领用录入（明细）'!C:C&gt;=$J$4,'领用录入（明细）'!C:C&lt;=$L$4),ROW(),"-")</f>
        <v>-</v>
      </c>
    </row>
    <row r="20213" customHeight="1" spans="2:2">
      <c r="B20213" s="62" t="str">
        <f>IF(AND('领用录入（明细）'!D:D=$F$4,'领用录入（明细）'!C:C&gt;=$J$4,'领用录入（明细）'!C:C&lt;=$L$4),ROW(),"-")</f>
        <v>-</v>
      </c>
    </row>
    <row r="20214" customHeight="1" spans="2:2">
      <c r="B20214" s="62" t="str">
        <f>IF(AND('领用录入（明细）'!D:D=$F$4,'领用录入（明细）'!C:C&gt;=$J$4,'领用录入（明细）'!C:C&lt;=$L$4),ROW(),"-")</f>
        <v>-</v>
      </c>
    </row>
    <row r="20215" customHeight="1" spans="2:2">
      <c r="B20215" s="62" t="str">
        <f>IF(AND('领用录入（明细）'!D:D=$F$4,'领用录入（明细）'!C:C&gt;=$J$4,'领用录入（明细）'!C:C&lt;=$L$4),ROW(),"-")</f>
        <v>-</v>
      </c>
    </row>
    <row r="20216" customHeight="1" spans="2:2">
      <c r="B20216" s="62" t="str">
        <f>IF(AND('领用录入（明细）'!D:D=$F$4,'领用录入（明细）'!C:C&gt;=$J$4,'领用录入（明细）'!C:C&lt;=$L$4),ROW(),"-")</f>
        <v>-</v>
      </c>
    </row>
    <row r="20217" customHeight="1" spans="2:2">
      <c r="B20217" s="62" t="str">
        <f>IF(AND('领用录入（明细）'!D:D=$F$4,'领用录入（明细）'!C:C&gt;=$J$4,'领用录入（明细）'!C:C&lt;=$L$4),ROW(),"-")</f>
        <v>-</v>
      </c>
    </row>
    <row r="20218" customHeight="1" spans="2:2">
      <c r="B20218" s="62" t="str">
        <f>IF(AND('领用录入（明细）'!D:D=$F$4,'领用录入（明细）'!C:C&gt;=$J$4,'领用录入（明细）'!C:C&lt;=$L$4),ROW(),"-")</f>
        <v>-</v>
      </c>
    </row>
    <row r="20219" customHeight="1" spans="2:2">
      <c r="B20219" s="62" t="str">
        <f>IF(AND('领用录入（明细）'!D:D=$F$4,'领用录入（明细）'!C:C&gt;=$J$4,'领用录入（明细）'!C:C&lt;=$L$4),ROW(),"-")</f>
        <v>-</v>
      </c>
    </row>
    <row r="20220" customHeight="1" spans="2:2">
      <c r="B20220" s="62" t="str">
        <f>IF(AND('领用录入（明细）'!D:D=$F$4,'领用录入（明细）'!C:C&gt;=$J$4,'领用录入（明细）'!C:C&lt;=$L$4),ROW(),"-")</f>
        <v>-</v>
      </c>
    </row>
    <row r="20221" customHeight="1" spans="2:2">
      <c r="B20221" s="62" t="str">
        <f>IF(AND('领用录入（明细）'!D:D=$F$4,'领用录入（明细）'!C:C&gt;=$J$4,'领用录入（明细）'!C:C&lt;=$L$4),ROW(),"-")</f>
        <v>-</v>
      </c>
    </row>
    <row r="20222" customHeight="1" spans="2:2">
      <c r="B20222" s="62" t="str">
        <f>IF(AND('领用录入（明细）'!D:D=$F$4,'领用录入（明细）'!C:C&gt;=$J$4,'领用录入（明细）'!C:C&lt;=$L$4),ROW(),"-")</f>
        <v>-</v>
      </c>
    </row>
    <row r="20223" customHeight="1" spans="2:2">
      <c r="B20223" s="62" t="str">
        <f>IF(AND('领用录入（明细）'!D:D=$F$4,'领用录入（明细）'!C:C&gt;=$J$4,'领用录入（明细）'!C:C&lt;=$L$4),ROW(),"-")</f>
        <v>-</v>
      </c>
    </row>
    <row r="20224" customHeight="1" spans="2:2">
      <c r="B20224" s="62" t="str">
        <f>IF(AND('领用录入（明细）'!D:D=$F$4,'领用录入（明细）'!C:C&gt;=$J$4,'领用录入（明细）'!C:C&lt;=$L$4),ROW(),"-")</f>
        <v>-</v>
      </c>
    </row>
    <row r="20225" customHeight="1" spans="2:2">
      <c r="B20225" s="62" t="str">
        <f>IF(AND('领用录入（明细）'!D:D=$F$4,'领用录入（明细）'!C:C&gt;=$J$4,'领用录入（明细）'!C:C&lt;=$L$4),ROW(),"-")</f>
        <v>-</v>
      </c>
    </row>
    <row r="20226" customHeight="1" spans="2:2">
      <c r="B20226" s="62" t="str">
        <f>IF(AND('领用录入（明细）'!D:D=$F$4,'领用录入（明细）'!C:C&gt;=$J$4,'领用录入（明细）'!C:C&lt;=$L$4),ROW(),"-")</f>
        <v>-</v>
      </c>
    </row>
    <row r="20227" customHeight="1" spans="2:2">
      <c r="B20227" s="62" t="str">
        <f>IF(AND('领用录入（明细）'!D:D=$F$4,'领用录入（明细）'!C:C&gt;=$J$4,'领用录入（明细）'!C:C&lt;=$L$4),ROW(),"-")</f>
        <v>-</v>
      </c>
    </row>
    <row r="20228" customHeight="1" spans="2:2">
      <c r="B20228" s="62" t="str">
        <f>IF(AND('领用录入（明细）'!D:D=$F$4,'领用录入（明细）'!C:C&gt;=$J$4,'领用录入（明细）'!C:C&lt;=$L$4),ROW(),"-")</f>
        <v>-</v>
      </c>
    </row>
    <row r="20229" customHeight="1" spans="2:2">
      <c r="B20229" s="62" t="str">
        <f>IF(AND('领用录入（明细）'!D:D=$F$4,'领用录入（明细）'!C:C&gt;=$J$4,'领用录入（明细）'!C:C&lt;=$L$4),ROW(),"-")</f>
        <v>-</v>
      </c>
    </row>
    <row r="20230" customHeight="1" spans="2:2">
      <c r="B20230" s="62" t="str">
        <f>IF(AND('领用录入（明细）'!D:D=$F$4,'领用录入（明细）'!C:C&gt;=$J$4,'领用录入（明细）'!C:C&lt;=$L$4),ROW(),"-")</f>
        <v>-</v>
      </c>
    </row>
    <row r="20231" customHeight="1" spans="2:2">
      <c r="B20231" s="62" t="str">
        <f>IF(AND('领用录入（明细）'!D:D=$F$4,'领用录入（明细）'!C:C&gt;=$J$4,'领用录入（明细）'!C:C&lt;=$L$4),ROW(),"-")</f>
        <v>-</v>
      </c>
    </row>
    <row r="20232" customHeight="1" spans="2:2">
      <c r="B20232" s="62" t="str">
        <f>IF(AND('领用录入（明细）'!D:D=$F$4,'领用录入（明细）'!C:C&gt;=$J$4,'领用录入（明细）'!C:C&lt;=$L$4),ROW(),"-")</f>
        <v>-</v>
      </c>
    </row>
    <row r="20233" customHeight="1" spans="2:2">
      <c r="B20233" s="62" t="str">
        <f>IF(AND('领用录入（明细）'!D:D=$F$4,'领用录入（明细）'!C:C&gt;=$J$4,'领用录入（明细）'!C:C&lt;=$L$4),ROW(),"-")</f>
        <v>-</v>
      </c>
    </row>
    <row r="20234" customHeight="1" spans="2:2">
      <c r="B20234" s="62" t="str">
        <f>IF(AND('领用录入（明细）'!D:D=$F$4,'领用录入（明细）'!C:C&gt;=$J$4,'领用录入（明细）'!C:C&lt;=$L$4),ROW(),"-")</f>
        <v>-</v>
      </c>
    </row>
    <row r="20235" customHeight="1" spans="2:2">
      <c r="B20235" s="62" t="str">
        <f>IF(AND('领用录入（明细）'!D:D=$F$4,'领用录入（明细）'!C:C&gt;=$J$4,'领用录入（明细）'!C:C&lt;=$L$4),ROW(),"-")</f>
        <v>-</v>
      </c>
    </row>
    <row r="20236" customHeight="1" spans="2:2">
      <c r="B20236" s="62" t="str">
        <f>IF(AND('领用录入（明细）'!D:D=$F$4,'领用录入（明细）'!C:C&gt;=$J$4,'领用录入（明细）'!C:C&lt;=$L$4),ROW(),"-")</f>
        <v>-</v>
      </c>
    </row>
    <row r="20237" customHeight="1" spans="2:2">
      <c r="B20237" s="62" t="str">
        <f>IF(AND('领用录入（明细）'!D:D=$F$4,'领用录入（明细）'!C:C&gt;=$J$4,'领用录入（明细）'!C:C&lt;=$L$4),ROW(),"-")</f>
        <v>-</v>
      </c>
    </row>
    <row r="20238" customHeight="1" spans="2:2">
      <c r="B20238" s="62" t="str">
        <f>IF(AND('领用录入（明细）'!D:D=$F$4,'领用录入（明细）'!C:C&gt;=$J$4,'领用录入（明细）'!C:C&lt;=$L$4),ROW(),"-")</f>
        <v>-</v>
      </c>
    </row>
    <row r="20239" customHeight="1" spans="2:2">
      <c r="B20239" s="62" t="str">
        <f>IF(AND('领用录入（明细）'!D:D=$F$4,'领用录入（明细）'!C:C&gt;=$J$4,'领用录入（明细）'!C:C&lt;=$L$4),ROW(),"-")</f>
        <v>-</v>
      </c>
    </row>
    <row r="20240" customHeight="1" spans="2:2">
      <c r="B20240" s="62" t="str">
        <f>IF(AND('领用录入（明细）'!D:D=$F$4,'领用录入（明细）'!C:C&gt;=$J$4,'领用录入（明细）'!C:C&lt;=$L$4),ROW(),"-")</f>
        <v>-</v>
      </c>
    </row>
    <row r="20241" customHeight="1" spans="2:2">
      <c r="B20241" s="62" t="str">
        <f>IF(AND('领用录入（明细）'!D:D=$F$4,'领用录入（明细）'!C:C&gt;=$J$4,'领用录入（明细）'!C:C&lt;=$L$4),ROW(),"-")</f>
        <v>-</v>
      </c>
    </row>
    <row r="20242" customHeight="1" spans="2:2">
      <c r="B20242" s="62" t="str">
        <f>IF(AND('领用录入（明细）'!D:D=$F$4,'领用录入（明细）'!C:C&gt;=$J$4,'领用录入（明细）'!C:C&lt;=$L$4),ROW(),"-")</f>
        <v>-</v>
      </c>
    </row>
    <row r="20243" customHeight="1" spans="2:2">
      <c r="B20243" s="62" t="str">
        <f>IF(AND('领用录入（明细）'!D:D=$F$4,'领用录入（明细）'!C:C&gt;=$J$4,'领用录入（明细）'!C:C&lt;=$L$4),ROW(),"-")</f>
        <v>-</v>
      </c>
    </row>
    <row r="20244" customHeight="1" spans="2:2">
      <c r="B20244" s="62" t="str">
        <f>IF(AND('领用录入（明细）'!D:D=$F$4,'领用录入（明细）'!C:C&gt;=$J$4,'领用录入（明细）'!C:C&lt;=$L$4),ROW(),"-")</f>
        <v>-</v>
      </c>
    </row>
    <row r="20245" customHeight="1" spans="2:2">
      <c r="B20245" s="62" t="str">
        <f>IF(AND('领用录入（明细）'!D:D=$F$4,'领用录入（明细）'!C:C&gt;=$J$4,'领用录入（明细）'!C:C&lt;=$L$4),ROW(),"-")</f>
        <v>-</v>
      </c>
    </row>
    <row r="20246" customHeight="1" spans="2:2">
      <c r="B20246" s="62" t="str">
        <f>IF(AND('领用录入（明细）'!D:D=$F$4,'领用录入（明细）'!C:C&gt;=$J$4,'领用录入（明细）'!C:C&lt;=$L$4),ROW(),"-")</f>
        <v>-</v>
      </c>
    </row>
    <row r="20247" customHeight="1" spans="2:2">
      <c r="B20247" s="62" t="str">
        <f>IF(AND('领用录入（明细）'!D:D=$F$4,'领用录入（明细）'!C:C&gt;=$J$4,'领用录入（明细）'!C:C&lt;=$L$4),ROW(),"-")</f>
        <v>-</v>
      </c>
    </row>
    <row r="20248" customHeight="1" spans="2:2">
      <c r="B20248" s="62" t="str">
        <f>IF(AND('领用录入（明细）'!D:D=$F$4,'领用录入（明细）'!C:C&gt;=$J$4,'领用录入（明细）'!C:C&lt;=$L$4),ROW(),"-")</f>
        <v>-</v>
      </c>
    </row>
    <row r="20249" customHeight="1" spans="2:2">
      <c r="B20249" s="62" t="str">
        <f>IF(AND('领用录入（明细）'!D:D=$F$4,'领用录入（明细）'!C:C&gt;=$J$4,'领用录入（明细）'!C:C&lt;=$L$4),ROW(),"-")</f>
        <v>-</v>
      </c>
    </row>
    <row r="20250" customHeight="1" spans="2:2">
      <c r="B20250" s="62" t="str">
        <f>IF(AND('领用录入（明细）'!D:D=$F$4,'领用录入（明细）'!C:C&gt;=$J$4,'领用录入（明细）'!C:C&lt;=$L$4),ROW(),"-")</f>
        <v>-</v>
      </c>
    </row>
    <row r="20251" customHeight="1" spans="2:2">
      <c r="B20251" s="62" t="str">
        <f>IF(AND('领用录入（明细）'!D:D=$F$4,'领用录入（明细）'!C:C&gt;=$J$4,'领用录入（明细）'!C:C&lt;=$L$4),ROW(),"-")</f>
        <v>-</v>
      </c>
    </row>
    <row r="20252" customHeight="1" spans="2:2">
      <c r="B20252" s="62" t="str">
        <f>IF(AND('领用录入（明细）'!D:D=$F$4,'领用录入（明细）'!C:C&gt;=$J$4,'领用录入（明细）'!C:C&lt;=$L$4),ROW(),"-")</f>
        <v>-</v>
      </c>
    </row>
    <row r="20253" customHeight="1" spans="2:2">
      <c r="B20253" s="62" t="str">
        <f>IF(AND('领用录入（明细）'!D:D=$F$4,'领用录入（明细）'!C:C&gt;=$J$4,'领用录入（明细）'!C:C&lt;=$L$4),ROW(),"-")</f>
        <v>-</v>
      </c>
    </row>
    <row r="20254" customHeight="1" spans="2:2">
      <c r="B20254" s="62" t="str">
        <f>IF(AND('领用录入（明细）'!D:D=$F$4,'领用录入（明细）'!C:C&gt;=$J$4,'领用录入（明细）'!C:C&lt;=$L$4),ROW(),"-")</f>
        <v>-</v>
      </c>
    </row>
    <row r="20255" customHeight="1" spans="2:2">
      <c r="B20255" s="62" t="str">
        <f>IF(AND('领用录入（明细）'!D:D=$F$4,'领用录入（明细）'!C:C&gt;=$J$4,'领用录入（明细）'!C:C&lt;=$L$4),ROW(),"-")</f>
        <v>-</v>
      </c>
    </row>
    <row r="20256" customHeight="1" spans="2:2">
      <c r="B20256" s="62" t="str">
        <f>IF(AND('领用录入（明细）'!D:D=$F$4,'领用录入（明细）'!C:C&gt;=$J$4,'领用录入（明细）'!C:C&lt;=$L$4),ROW(),"-")</f>
        <v>-</v>
      </c>
    </row>
    <row r="20257" customHeight="1" spans="2:2">
      <c r="B20257" s="62" t="str">
        <f>IF(AND('领用录入（明细）'!D:D=$F$4,'领用录入（明细）'!C:C&gt;=$J$4,'领用录入（明细）'!C:C&lt;=$L$4),ROW(),"-")</f>
        <v>-</v>
      </c>
    </row>
    <row r="20258" customHeight="1" spans="2:2">
      <c r="B20258" s="62" t="str">
        <f>IF(AND('领用录入（明细）'!D:D=$F$4,'领用录入（明细）'!C:C&gt;=$J$4,'领用录入（明细）'!C:C&lt;=$L$4),ROW(),"-")</f>
        <v>-</v>
      </c>
    </row>
    <row r="20259" customHeight="1" spans="2:2">
      <c r="B20259" s="62" t="str">
        <f>IF(AND('领用录入（明细）'!D:D=$F$4,'领用录入（明细）'!C:C&gt;=$J$4,'领用录入（明细）'!C:C&lt;=$L$4),ROW(),"-")</f>
        <v>-</v>
      </c>
    </row>
    <row r="20260" customHeight="1" spans="2:2">
      <c r="B20260" s="62" t="str">
        <f>IF(AND('领用录入（明细）'!D:D=$F$4,'领用录入（明细）'!C:C&gt;=$J$4,'领用录入（明细）'!C:C&lt;=$L$4),ROW(),"-")</f>
        <v>-</v>
      </c>
    </row>
    <row r="20261" customHeight="1" spans="2:2">
      <c r="B20261" s="62" t="str">
        <f>IF(AND('领用录入（明细）'!D:D=$F$4,'领用录入（明细）'!C:C&gt;=$J$4,'领用录入（明细）'!C:C&lt;=$L$4),ROW(),"-")</f>
        <v>-</v>
      </c>
    </row>
    <row r="20262" customHeight="1" spans="2:2">
      <c r="B20262" s="62" t="str">
        <f>IF(AND('领用录入（明细）'!D:D=$F$4,'领用录入（明细）'!C:C&gt;=$J$4,'领用录入（明细）'!C:C&lt;=$L$4),ROW(),"-")</f>
        <v>-</v>
      </c>
    </row>
    <row r="20263" customHeight="1" spans="2:2">
      <c r="B20263" s="62" t="str">
        <f>IF(AND('领用录入（明细）'!D:D=$F$4,'领用录入（明细）'!C:C&gt;=$J$4,'领用录入（明细）'!C:C&lt;=$L$4),ROW(),"-")</f>
        <v>-</v>
      </c>
    </row>
    <row r="20264" customHeight="1" spans="2:2">
      <c r="B20264" s="62" t="str">
        <f>IF(AND('领用录入（明细）'!D:D=$F$4,'领用录入（明细）'!C:C&gt;=$J$4,'领用录入（明细）'!C:C&lt;=$L$4),ROW(),"-")</f>
        <v>-</v>
      </c>
    </row>
    <row r="20265" customHeight="1" spans="2:2">
      <c r="B20265" s="62" t="str">
        <f>IF(AND('领用录入（明细）'!D:D=$F$4,'领用录入（明细）'!C:C&gt;=$J$4,'领用录入（明细）'!C:C&lt;=$L$4),ROW(),"-")</f>
        <v>-</v>
      </c>
    </row>
    <row r="20266" customHeight="1" spans="2:2">
      <c r="B20266" s="62" t="str">
        <f>IF(AND('领用录入（明细）'!D:D=$F$4,'领用录入（明细）'!C:C&gt;=$J$4,'领用录入（明细）'!C:C&lt;=$L$4),ROW(),"-")</f>
        <v>-</v>
      </c>
    </row>
    <row r="20267" customHeight="1" spans="2:2">
      <c r="B20267" s="62" t="str">
        <f>IF(AND('领用录入（明细）'!D:D=$F$4,'领用录入（明细）'!C:C&gt;=$J$4,'领用录入（明细）'!C:C&lt;=$L$4),ROW(),"-")</f>
        <v>-</v>
      </c>
    </row>
    <row r="20268" customHeight="1" spans="2:2">
      <c r="B20268" s="62" t="str">
        <f>IF(AND('领用录入（明细）'!D:D=$F$4,'领用录入（明细）'!C:C&gt;=$J$4,'领用录入（明细）'!C:C&lt;=$L$4),ROW(),"-")</f>
        <v>-</v>
      </c>
    </row>
    <row r="20269" customHeight="1" spans="2:2">
      <c r="B20269" s="62" t="str">
        <f>IF(AND('领用录入（明细）'!D:D=$F$4,'领用录入（明细）'!C:C&gt;=$J$4,'领用录入（明细）'!C:C&lt;=$L$4),ROW(),"-")</f>
        <v>-</v>
      </c>
    </row>
    <row r="20270" customHeight="1" spans="2:2">
      <c r="B20270" s="62" t="str">
        <f>IF(AND('领用录入（明细）'!D:D=$F$4,'领用录入（明细）'!C:C&gt;=$J$4,'领用录入（明细）'!C:C&lt;=$L$4),ROW(),"-")</f>
        <v>-</v>
      </c>
    </row>
    <row r="20271" customHeight="1" spans="2:2">
      <c r="B20271" s="62" t="str">
        <f>IF(AND('领用录入（明细）'!D:D=$F$4,'领用录入（明细）'!C:C&gt;=$J$4,'领用录入（明细）'!C:C&lt;=$L$4),ROW(),"-")</f>
        <v>-</v>
      </c>
    </row>
    <row r="20272" customHeight="1" spans="2:2">
      <c r="B20272" s="62" t="str">
        <f>IF(AND('领用录入（明细）'!D:D=$F$4,'领用录入（明细）'!C:C&gt;=$J$4,'领用录入（明细）'!C:C&lt;=$L$4),ROW(),"-")</f>
        <v>-</v>
      </c>
    </row>
    <row r="20273" customHeight="1" spans="2:2">
      <c r="B20273" s="62" t="str">
        <f>IF(AND('领用录入（明细）'!D:D=$F$4,'领用录入（明细）'!C:C&gt;=$J$4,'领用录入（明细）'!C:C&lt;=$L$4),ROW(),"-")</f>
        <v>-</v>
      </c>
    </row>
    <row r="20274" customHeight="1" spans="2:2">
      <c r="B20274" s="62" t="str">
        <f>IF(AND('领用录入（明细）'!D:D=$F$4,'领用录入（明细）'!C:C&gt;=$J$4,'领用录入（明细）'!C:C&lt;=$L$4),ROW(),"-")</f>
        <v>-</v>
      </c>
    </row>
    <row r="20275" customHeight="1" spans="2:2">
      <c r="B20275" s="62" t="str">
        <f>IF(AND('领用录入（明细）'!D:D=$F$4,'领用录入（明细）'!C:C&gt;=$J$4,'领用录入（明细）'!C:C&lt;=$L$4),ROW(),"-")</f>
        <v>-</v>
      </c>
    </row>
    <row r="20276" customHeight="1" spans="2:2">
      <c r="B20276" s="62" t="str">
        <f>IF(AND('领用录入（明细）'!D:D=$F$4,'领用录入（明细）'!C:C&gt;=$J$4,'领用录入（明细）'!C:C&lt;=$L$4),ROW(),"-")</f>
        <v>-</v>
      </c>
    </row>
    <row r="20277" customHeight="1" spans="2:2">
      <c r="B20277" s="62" t="str">
        <f>IF(AND('领用录入（明细）'!D:D=$F$4,'领用录入（明细）'!C:C&gt;=$J$4,'领用录入（明细）'!C:C&lt;=$L$4),ROW(),"-")</f>
        <v>-</v>
      </c>
    </row>
    <row r="20278" customHeight="1" spans="2:2">
      <c r="B20278" s="62" t="str">
        <f>IF(AND('领用录入（明细）'!D:D=$F$4,'领用录入（明细）'!C:C&gt;=$J$4,'领用录入（明细）'!C:C&lt;=$L$4),ROW(),"-")</f>
        <v>-</v>
      </c>
    </row>
    <row r="20279" customHeight="1" spans="2:2">
      <c r="B20279" s="62" t="str">
        <f>IF(AND('领用录入（明细）'!D:D=$F$4,'领用录入（明细）'!C:C&gt;=$J$4,'领用录入（明细）'!C:C&lt;=$L$4),ROW(),"-")</f>
        <v>-</v>
      </c>
    </row>
    <row r="20280" customHeight="1" spans="2:2">
      <c r="B20280" s="62" t="str">
        <f>IF(AND('领用录入（明细）'!D:D=$F$4,'领用录入（明细）'!C:C&gt;=$J$4,'领用录入（明细）'!C:C&lt;=$L$4),ROW(),"-")</f>
        <v>-</v>
      </c>
    </row>
    <row r="20281" customHeight="1" spans="2:2">
      <c r="B20281" s="62" t="str">
        <f>IF(AND('领用录入（明细）'!D:D=$F$4,'领用录入（明细）'!C:C&gt;=$J$4,'领用录入（明细）'!C:C&lt;=$L$4),ROW(),"-")</f>
        <v>-</v>
      </c>
    </row>
    <row r="20282" customHeight="1" spans="2:2">
      <c r="B20282" s="62" t="str">
        <f>IF(AND('领用录入（明细）'!D:D=$F$4,'领用录入（明细）'!C:C&gt;=$J$4,'领用录入（明细）'!C:C&lt;=$L$4),ROW(),"-")</f>
        <v>-</v>
      </c>
    </row>
    <row r="20283" customHeight="1" spans="2:2">
      <c r="B20283" s="62" t="str">
        <f>IF(AND('领用录入（明细）'!D:D=$F$4,'领用录入（明细）'!C:C&gt;=$J$4,'领用录入（明细）'!C:C&lt;=$L$4),ROW(),"-")</f>
        <v>-</v>
      </c>
    </row>
    <row r="20284" customHeight="1" spans="2:2">
      <c r="B20284" s="62" t="str">
        <f>IF(AND('领用录入（明细）'!D:D=$F$4,'领用录入（明细）'!C:C&gt;=$J$4,'领用录入（明细）'!C:C&lt;=$L$4),ROW(),"-")</f>
        <v>-</v>
      </c>
    </row>
    <row r="20285" customHeight="1" spans="2:2">
      <c r="B20285" s="62" t="str">
        <f>IF(AND('领用录入（明细）'!D:D=$F$4,'领用录入（明细）'!C:C&gt;=$J$4,'领用录入（明细）'!C:C&lt;=$L$4),ROW(),"-")</f>
        <v>-</v>
      </c>
    </row>
    <row r="20286" customHeight="1" spans="2:2">
      <c r="B20286" s="62" t="str">
        <f>IF(AND('领用录入（明细）'!D:D=$F$4,'领用录入（明细）'!C:C&gt;=$J$4,'领用录入（明细）'!C:C&lt;=$L$4),ROW(),"-")</f>
        <v>-</v>
      </c>
    </row>
    <row r="20287" customHeight="1" spans="2:2">
      <c r="B20287" s="62" t="str">
        <f>IF(AND('领用录入（明细）'!D:D=$F$4,'领用录入（明细）'!C:C&gt;=$J$4,'领用录入（明细）'!C:C&lt;=$L$4),ROW(),"-")</f>
        <v>-</v>
      </c>
    </row>
    <row r="20288" customHeight="1" spans="2:2">
      <c r="B20288" s="62" t="str">
        <f>IF(AND('领用录入（明细）'!D:D=$F$4,'领用录入（明细）'!C:C&gt;=$J$4,'领用录入（明细）'!C:C&lt;=$L$4),ROW(),"-")</f>
        <v>-</v>
      </c>
    </row>
    <row r="20289" customHeight="1" spans="2:2">
      <c r="B20289" s="62" t="str">
        <f>IF(AND('领用录入（明细）'!D:D=$F$4,'领用录入（明细）'!C:C&gt;=$J$4,'领用录入（明细）'!C:C&lt;=$L$4),ROW(),"-")</f>
        <v>-</v>
      </c>
    </row>
    <row r="20290" customHeight="1" spans="2:2">
      <c r="B20290" s="62" t="str">
        <f>IF(AND('领用录入（明细）'!D:D=$F$4,'领用录入（明细）'!C:C&gt;=$J$4,'领用录入（明细）'!C:C&lt;=$L$4),ROW(),"-")</f>
        <v>-</v>
      </c>
    </row>
    <row r="20291" customHeight="1" spans="2:2">
      <c r="B20291" s="62" t="str">
        <f>IF(AND('领用录入（明细）'!D:D=$F$4,'领用录入（明细）'!C:C&gt;=$J$4,'领用录入（明细）'!C:C&lt;=$L$4),ROW(),"-")</f>
        <v>-</v>
      </c>
    </row>
    <row r="20292" customHeight="1" spans="2:2">
      <c r="B20292" s="62" t="str">
        <f>IF(AND('领用录入（明细）'!D:D=$F$4,'领用录入（明细）'!C:C&gt;=$J$4,'领用录入（明细）'!C:C&lt;=$L$4),ROW(),"-")</f>
        <v>-</v>
      </c>
    </row>
    <row r="20293" customHeight="1" spans="2:2">
      <c r="B20293" s="62" t="str">
        <f>IF(AND('领用录入（明细）'!D:D=$F$4,'领用录入（明细）'!C:C&gt;=$J$4,'领用录入（明细）'!C:C&lt;=$L$4),ROW(),"-")</f>
        <v>-</v>
      </c>
    </row>
    <row r="20294" customHeight="1" spans="2:2">
      <c r="B20294" s="62" t="str">
        <f>IF(AND('领用录入（明细）'!D:D=$F$4,'领用录入（明细）'!C:C&gt;=$J$4,'领用录入（明细）'!C:C&lt;=$L$4),ROW(),"-")</f>
        <v>-</v>
      </c>
    </row>
    <row r="20295" customHeight="1" spans="2:2">
      <c r="B20295" s="62" t="str">
        <f>IF(AND('领用录入（明细）'!D:D=$F$4,'领用录入（明细）'!C:C&gt;=$J$4,'领用录入（明细）'!C:C&lt;=$L$4),ROW(),"-")</f>
        <v>-</v>
      </c>
    </row>
    <row r="20296" customHeight="1" spans="2:2">
      <c r="B20296" s="62" t="str">
        <f>IF(AND('领用录入（明细）'!D:D=$F$4,'领用录入（明细）'!C:C&gt;=$J$4,'领用录入（明细）'!C:C&lt;=$L$4),ROW(),"-")</f>
        <v>-</v>
      </c>
    </row>
    <row r="20297" customHeight="1" spans="2:2">
      <c r="B20297" s="62" t="str">
        <f>IF(AND('领用录入（明细）'!D:D=$F$4,'领用录入（明细）'!C:C&gt;=$J$4,'领用录入（明细）'!C:C&lt;=$L$4),ROW(),"-")</f>
        <v>-</v>
      </c>
    </row>
    <row r="20298" customHeight="1" spans="2:2">
      <c r="B20298" s="62" t="str">
        <f>IF(AND('领用录入（明细）'!D:D=$F$4,'领用录入（明细）'!C:C&gt;=$J$4,'领用录入（明细）'!C:C&lt;=$L$4),ROW(),"-")</f>
        <v>-</v>
      </c>
    </row>
    <row r="20299" customHeight="1" spans="2:2">
      <c r="B20299" s="62" t="str">
        <f>IF(AND('领用录入（明细）'!D:D=$F$4,'领用录入（明细）'!C:C&gt;=$J$4,'领用录入（明细）'!C:C&lt;=$L$4),ROW(),"-")</f>
        <v>-</v>
      </c>
    </row>
    <row r="20300" customHeight="1" spans="2:2">
      <c r="B20300" s="62" t="str">
        <f>IF(AND('领用录入（明细）'!D:D=$F$4,'领用录入（明细）'!C:C&gt;=$J$4,'领用录入（明细）'!C:C&lt;=$L$4),ROW(),"-")</f>
        <v>-</v>
      </c>
    </row>
    <row r="20301" customHeight="1" spans="2:2">
      <c r="B20301" s="62" t="str">
        <f>IF(AND('领用录入（明细）'!D:D=$F$4,'领用录入（明细）'!C:C&gt;=$J$4,'领用录入（明细）'!C:C&lt;=$L$4),ROW(),"-")</f>
        <v>-</v>
      </c>
    </row>
    <row r="20302" customHeight="1" spans="2:2">
      <c r="B20302" s="62" t="str">
        <f>IF(AND('领用录入（明细）'!D:D=$F$4,'领用录入（明细）'!C:C&gt;=$J$4,'领用录入（明细）'!C:C&lt;=$L$4),ROW(),"-")</f>
        <v>-</v>
      </c>
    </row>
    <row r="20303" customHeight="1" spans="2:2">
      <c r="B20303" s="62" t="str">
        <f>IF(AND('领用录入（明细）'!D:D=$F$4,'领用录入（明细）'!C:C&gt;=$J$4,'领用录入（明细）'!C:C&lt;=$L$4),ROW(),"-")</f>
        <v>-</v>
      </c>
    </row>
    <row r="20304" customHeight="1" spans="2:2">
      <c r="B20304" s="62" t="str">
        <f>IF(AND('领用录入（明细）'!D:D=$F$4,'领用录入（明细）'!C:C&gt;=$J$4,'领用录入（明细）'!C:C&lt;=$L$4),ROW(),"-")</f>
        <v>-</v>
      </c>
    </row>
    <row r="20305" customHeight="1" spans="2:2">
      <c r="B20305" s="62" t="str">
        <f>IF(AND('领用录入（明细）'!D:D=$F$4,'领用录入（明细）'!C:C&gt;=$J$4,'领用录入（明细）'!C:C&lt;=$L$4),ROW(),"-")</f>
        <v>-</v>
      </c>
    </row>
    <row r="20306" customHeight="1" spans="2:2">
      <c r="B20306" s="62" t="str">
        <f>IF(AND('领用录入（明细）'!D:D=$F$4,'领用录入（明细）'!C:C&gt;=$J$4,'领用录入（明细）'!C:C&lt;=$L$4),ROW(),"-")</f>
        <v>-</v>
      </c>
    </row>
    <row r="20307" customHeight="1" spans="2:2">
      <c r="B20307" s="62" t="str">
        <f>IF(AND('领用录入（明细）'!D:D=$F$4,'领用录入（明细）'!C:C&gt;=$J$4,'领用录入（明细）'!C:C&lt;=$L$4),ROW(),"-")</f>
        <v>-</v>
      </c>
    </row>
    <row r="20308" customHeight="1" spans="2:2">
      <c r="B20308" s="62" t="str">
        <f>IF(AND('领用录入（明细）'!D:D=$F$4,'领用录入（明细）'!C:C&gt;=$J$4,'领用录入（明细）'!C:C&lt;=$L$4),ROW(),"-")</f>
        <v>-</v>
      </c>
    </row>
    <row r="20309" customHeight="1" spans="2:2">
      <c r="B20309" s="62" t="str">
        <f>IF(AND('领用录入（明细）'!D:D=$F$4,'领用录入（明细）'!C:C&gt;=$J$4,'领用录入（明细）'!C:C&lt;=$L$4),ROW(),"-")</f>
        <v>-</v>
      </c>
    </row>
    <row r="20310" customHeight="1" spans="2:2">
      <c r="B20310" s="62" t="str">
        <f>IF(AND('领用录入（明细）'!D:D=$F$4,'领用录入（明细）'!C:C&gt;=$J$4,'领用录入（明细）'!C:C&lt;=$L$4),ROW(),"-")</f>
        <v>-</v>
      </c>
    </row>
    <row r="20311" customHeight="1" spans="2:2">
      <c r="B20311" s="62" t="str">
        <f>IF(AND('领用录入（明细）'!D:D=$F$4,'领用录入（明细）'!C:C&gt;=$J$4,'领用录入（明细）'!C:C&lt;=$L$4),ROW(),"-")</f>
        <v>-</v>
      </c>
    </row>
    <row r="20312" customHeight="1" spans="2:2">
      <c r="B20312" s="62" t="str">
        <f>IF(AND('领用录入（明细）'!D:D=$F$4,'领用录入（明细）'!C:C&gt;=$J$4,'领用录入（明细）'!C:C&lt;=$L$4),ROW(),"-")</f>
        <v>-</v>
      </c>
    </row>
    <row r="20313" customHeight="1" spans="2:2">
      <c r="B20313" s="62" t="str">
        <f>IF(AND('领用录入（明细）'!D:D=$F$4,'领用录入（明细）'!C:C&gt;=$J$4,'领用录入（明细）'!C:C&lt;=$L$4),ROW(),"-")</f>
        <v>-</v>
      </c>
    </row>
    <row r="20314" customHeight="1" spans="2:2">
      <c r="B20314" s="62" t="str">
        <f>IF(AND('领用录入（明细）'!D:D=$F$4,'领用录入（明细）'!C:C&gt;=$J$4,'领用录入（明细）'!C:C&lt;=$L$4),ROW(),"-")</f>
        <v>-</v>
      </c>
    </row>
    <row r="20315" customHeight="1" spans="2:2">
      <c r="B20315" s="62" t="str">
        <f>IF(AND('领用录入（明细）'!D:D=$F$4,'领用录入（明细）'!C:C&gt;=$J$4,'领用录入（明细）'!C:C&lt;=$L$4),ROW(),"-")</f>
        <v>-</v>
      </c>
    </row>
    <row r="20316" customHeight="1" spans="2:2">
      <c r="B20316" s="62" t="str">
        <f>IF(AND('领用录入（明细）'!D:D=$F$4,'领用录入（明细）'!C:C&gt;=$J$4,'领用录入（明细）'!C:C&lt;=$L$4),ROW(),"-")</f>
        <v>-</v>
      </c>
    </row>
    <row r="20317" customHeight="1" spans="2:2">
      <c r="B20317" s="62" t="str">
        <f>IF(AND('领用录入（明细）'!D:D=$F$4,'领用录入（明细）'!C:C&gt;=$J$4,'领用录入（明细）'!C:C&lt;=$L$4),ROW(),"-")</f>
        <v>-</v>
      </c>
    </row>
    <row r="20318" customHeight="1" spans="2:2">
      <c r="B20318" s="62" t="str">
        <f>IF(AND('领用录入（明细）'!D:D=$F$4,'领用录入（明细）'!C:C&gt;=$J$4,'领用录入（明细）'!C:C&lt;=$L$4),ROW(),"-")</f>
        <v>-</v>
      </c>
    </row>
    <row r="20319" customHeight="1" spans="2:2">
      <c r="B20319" s="62" t="str">
        <f>IF(AND('领用录入（明细）'!D:D=$F$4,'领用录入（明细）'!C:C&gt;=$J$4,'领用录入（明细）'!C:C&lt;=$L$4),ROW(),"-")</f>
        <v>-</v>
      </c>
    </row>
    <row r="20320" customHeight="1" spans="2:2">
      <c r="B20320" s="62" t="str">
        <f>IF(AND('领用录入（明细）'!D:D=$F$4,'领用录入（明细）'!C:C&gt;=$J$4,'领用录入（明细）'!C:C&lt;=$L$4),ROW(),"-")</f>
        <v>-</v>
      </c>
    </row>
    <row r="20321" customHeight="1" spans="2:2">
      <c r="B20321" s="62" t="str">
        <f>IF(AND('领用录入（明细）'!D:D=$F$4,'领用录入（明细）'!C:C&gt;=$J$4,'领用录入（明细）'!C:C&lt;=$L$4),ROW(),"-")</f>
        <v>-</v>
      </c>
    </row>
    <row r="20322" customHeight="1" spans="2:2">
      <c r="B20322" s="62" t="str">
        <f>IF(AND('领用录入（明细）'!D:D=$F$4,'领用录入（明细）'!C:C&gt;=$J$4,'领用录入（明细）'!C:C&lt;=$L$4),ROW(),"-")</f>
        <v>-</v>
      </c>
    </row>
    <row r="20323" customHeight="1" spans="2:2">
      <c r="B20323" s="62" t="str">
        <f>IF(AND('领用录入（明细）'!D:D=$F$4,'领用录入（明细）'!C:C&gt;=$J$4,'领用录入（明细）'!C:C&lt;=$L$4),ROW(),"-")</f>
        <v>-</v>
      </c>
    </row>
    <row r="20324" customHeight="1" spans="2:2">
      <c r="B20324" s="62" t="str">
        <f>IF(AND('领用录入（明细）'!D:D=$F$4,'领用录入（明细）'!C:C&gt;=$J$4,'领用录入（明细）'!C:C&lt;=$L$4),ROW(),"-")</f>
        <v>-</v>
      </c>
    </row>
    <row r="20325" customHeight="1" spans="2:2">
      <c r="B20325" s="62" t="str">
        <f>IF(AND('领用录入（明细）'!D:D=$F$4,'领用录入（明细）'!C:C&gt;=$J$4,'领用录入（明细）'!C:C&lt;=$L$4),ROW(),"-")</f>
        <v>-</v>
      </c>
    </row>
    <row r="20326" customHeight="1" spans="2:2">
      <c r="B20326" s="62" t="str">
        <f>IF(AND('领用录入（明细）'!D:D=$F$4,'领用录入（明细）'!C:C&gt;=$J$4,'领用录入（明细）'!C:C&lt;=$L$4),ROW(),"-")</f>
        <v>-</v>
      </c>
    </row>
    <row r="20327" customHeight="1" spans="2:2">
      <c r="B20327" s="62" t="str">
        <f>IF(AND('领用录入（明细）'!D:D=$F$4,'领用录入（明细）'!C:C&gt;=$J$4,'领用录入（明细）'!C:C&lt;=$L$4),ROW(),"-")</f>
        <v>-</v>
      </c>
    </row>
    <row r="20328" customHeight="1" spans="2:2">
      <c r="B20328" s="62" t="str">
        <f>IF(AND('领用录入（明细）'!D:D=$F$4,'领用录入（明细）'!C:C&gt;=$J$4,'领用录入（明细）'!C:C&lt;=$L$4),ROW(),"-")</f>
        <v>-</v>
      </c>
    </row>
    <row r="20329" customHeight="1" spans="2:2">
      <c r="B20329" s="62" t="str">
        <f>IF(AND('领用录入（明细）'!D:D=$F$4,'领用录入（明细）'!C:C&gt;=$J$4,'领用录入（明细）'!C:C&lt;=$L$4),ROW(),"-")</f>
        <v>-</v>
      </c>
    </row>
    <row r="20330" customHeight="1" spans="2:2">
      <c r="B20330" s="62" t="str">
        <f>IF(AND('领用录入（明细）'!D:D=$F$4,'领用录入（明细）'!C:C&gt;=$J$4,'领用录入（明细）'!C:C&lt;=$L$4),ROW(),"-")</f>
        <v>-</v>
      </c>
    </row>
    <row r="20331" customHeight="1" spans="2:2">
      <c r="B20331" s="62" t="str">
        <f>IF(AND('领用录入（明细）'!D:D=$F$4,'领用录入（明细）'!C:C&gt;=$J$4,'领用录入（明细）'!C:C&lt;=$L$4),ROW(),"-")</f>
        <v>-</v>
      </c>
    </row>
    <row r="20332" customHeight="1" spans="2:2">
      <c r="B20332" s="62" t="str">
        <f>IF(AND('领用录入（明细）'!D:D=$F$4,'领用录入（明细）'!C:C&gt;=$J$4,'领用录入（明细）'!C:C&lt;=$L$4),ROW(),"-")</f>
        <v>-</v>
      </c>
    </row>
    <row r="20333" customHeight="1" spans="2:2">
      <c r="B20333" s="62" t="str">
        <f>IF(AND('领用录入（明细）'!D:D=$F$4,'领用录入（明细）'!C:C&gt;=$J$4,'领用录入（明细）'!C:C&lt;=$L$4),ROW(),"-")</f>
        <v>-</v>
      </c>
    </row>
    <row r="20334" customHeight="1" spans="2:2">
      <c r="B20334" s="62" t="str">
        <f>IF(AND('领用录入（明细）'!D:D=$F$4,'领用录入（明细）'!C:C&gt;=$J$4,'领用录入（明细）'!C:C&lt;=$L$4),ROW(),"-")</f>
        <v>-</v>
      </c>
    </row>
    <row r="20335" customHeight="1" spans="2:2">
      <c r="B20335" s="62" t="str">
        <f>IF(AND('领用录入（明细）'!D:D=$F$4,'领用录入（明细）'!C:C&gt;=$J$4,'领用录入（明细）'!C:C&lt;=$L$4),ROW(),"-")</f>
        <v>-</v>
      </c>
    </row>
    <row r="20336" customHeight="1" spans="2:2">
      <c r="B20336" s="62" t="str">
        <f>IF(AND('领用录入（明细）'!D:D=$F$4,'领用录入（明细）'!C:C&gt;=$J$4,'领用录入（明细）'!C:C&lt;=$L$4),ROW(),"-")</f>
        <v>-</v>
      </c>
    </row>
    <row r="20337" customHeight="1" spans="2:2">
      <c r="B20337" s="62" t="str">
        <f>IF(AND('领用录入（明细）'!D:D=$F$4,'领用录入（明细）'!C:C&gt;=$J$4,'领用录入（明细）'!C:C&lt;=$L$4),ROW(),"-")</f>
        <v>-</v>
      </c>
    </row>
    <row r="20338" customHeight="1" spans="2:2">
      <c r="B20338" s="62" t="str">
        <f>IF(AND('领用录入（明细）'!D:D=$F$4,'领用录入（明细）'!C:C&gt;=$J$4,'领用录入（明细）'!C:C&lt;=$L$4),ROW(),"-")</f>
        <v>-</v>
      </c>
    </row>
    <row r="20339" customHeight="1" spans="2:2">
      <c r="B20339" s="62" t="str">
        <f>IF(AND('领用录入（明细）'!D:D=$F$4,'领用录入（明细）'!C:C&gt;=$J$4,'领用录入（明细）'!C:C&lt;=$L$4),ROW(),"-")</f>
        <v>-</v>
      </c>
    </row>
    <row r="20340" customHeight="1" spans="2:2">
      <c r="B20340" s="62" t="str">
        <f>IF(AND('领用录入（明细）'!D:D=$F$4,'领用录入（明细）'!C:C&gt;=$J$4,'领用录入（明细）'!C:C&lt;=$L$4),ROW(),"-")</f>
        <v>-</v>
      </c>
    </row>
    <row r="20341" customHeight="1" spans="2:2">
      <c r="B20341" s="62" t="str">
        <f>IF(AND('领用录入（明细）'!D:D=$F$4,'领用录入（明细）'!C:C&gt;=$J$4,'领用录入（明细）'!C:C&lt;=$L$4),ROW(),"-")</f>
        <v>-</v>
      </c>
    </row>
    <row r="20342" customHeight="1" spans="2:2">
      <c r="B20342" s="62" t="str">
        <f>IF(AND('领用录入（明细）'!D:D=$F$4,'领用录入（明细）'!C:C&gt;=$J$4,'领用录入（明细）'!C:C&lt;=$L$4),ROW(),"-")</f>
        <v>-</v>
      </c>
    </row>
    <row r="20343" customHeight="1" spans="2:2">
      <c r="B20343" s="62" t="str">
        <f>IF(AND('领用录入（明细）'!D:D=$F$4,'领用录入（明细）'!C:C&gt;=$J$4,'领用录入（明细）'!C:C&lt;=$L$4),ROW(),"-")</f>
        <v>-</v>
      </c>
    </row>
    <row r="20344" customHeight="1" spans="2:2">
      <c r="B20344" s="62" t="str">
        <f>IF(AND('领用录入（明细）'!D:D=$F$4,'领用录入（明细）'!C:C&gt;=$J$4,'领用录入（明细）'!C:C&lt;=$L$4),ROW(),"-")</f>
        <v>-</v>
      </c>
    </row>
    <row r="20345" customHeight="1" spans="2:2">
      <c r="B20345" s="62" t="str">
        <f>IF(AND('领用录入（明细）'!D:D=$F$4,'领用录入（明细）'!C:C&gt;=$J$4,'领用录入（明细）'!C:C&lt;=$L$4),ROW(),"-")</f>
        <v>-</v>
      </c>
    </row>
    <row r="20346" customHeight="1" spans="2:2">
      <c r="B20346" s="62" t="str">
        <f>IF(AND('领用录入（明细）'!D:D=$F$4,'领用录入（明细）'!C:C&gt;=$J$4,'领用录入（明细）'!C:C&lt;=$L$4),ROW(),"-")</f>
        <v>-</v>
      </c>
    </row>
    <row r="20347" customHeight="1" spans="2:2">
      <c r="B20347" s="62" t="str">
        <f>IF(AND('领用录入（明细）'!D:D=$F$4,'领用录入（明细）'!C:C&gt;=$J$4,'领用录入（明细）'!C:C&lt;=$L$4),ROW(),"-")</f>
        <v>-</v>
      </c>
    </row>
    <row r="20348" customHeight="1" spans="2:2">
      <c r="B20348" s="62" t="str">
        <f>IF(AND('领用录入（明细）'!D:D=$F$4,'领用录入（明细）'!C:C&gt;=$J$4,'领用录入（明细）'!C:C&lt;=$L$4),ROW(),"-")</f>
        <v>-</v>
      </c>
    </row>
    <row r="20349" customHeight="1" spans="2:2">
      <c r="B20349" s="62" t="str">
        <f>IF(AND('领用录入（明细）'!D:D=$F$4,'领用录入（明细）'!C:C&gt;=$J$4,'领用录入（明细）'!C:C&lt;=$L$4),ROW(),"-")</f>
        <v>-</v>
      </c>
    </row>
    <row r="20350" customHeight="1" spans="2:2">
      <c r="B20350" s="62" t="str">
        <f>IF(AND('领用录入（明细）'!D:D=$F$4,'领用录入（明细）'!C:C&gt;=$J$4,'领用录入（明细）'!C:C&lt;=$L$4),ROW(),"-")</f>
        <v>-</v>
      </c>
    </row>
    <row r="20351" customHeight="1" spans="2:2">
      <c r="B20351" s="62" t="str">
        <f>IF(AND('领用录入（明细）'!D:D=$F$4,'领用录入（明细）'!C:C&gt;=$J$4,'领用录入（明细）'!C:C&lt;=$L$4),ROW(),"-")</f>
        <v>-</v>
      </c>
    </row>
    <row r="20352" customHeight="1" spans="2:2">
      <c r="B20352" s="62" t="str">
        <f>IF(AND('领用录入（明细）'!D:D=$F$4,'领用录入（明细）'!C:C&gt;=$J$4,'领用录入（明细）'!C:C&lt;=$L$4),ROW(),"-")</f>
        <v>-</v>
      </c>
    </row>
    <row r="20353" customHeight="1" spans="2:2">
      <c r="B20353" s="62" t="str">
        <f>IF(AND('领用录入（明细）'!D:D=$F$4,'领用录入（明细）'!C:C&gt;=$J$4,'领用录入（明细）'!C:C&lt;=$L$4),ROW(),"-")</f>
        <v>-</v>
      </c>
    </row>
    <row r="20354" customHeight="1" spans="2:2">
      <c r="B20354" s="62" t="str">
        <f>IF(AND('领用录入（明细）'!D:D=$F$4,'领用录入（明细）'!C:C&gt;=$J$4,'领用录入（明细）'!C:C&lt;=$L$4),ROW(),"-")</f>
        <v>-</v>
      </c>
    </row>
    <row r="20355" customHeight="1" spans="2:2">
      <c r="B20355" s="62" t="str">
        <f>IF(AND('领用录入（明细）'!D:D=$F$4,'领用录入（明细）'!C:C&gt;=$J$4,'领用录入（明细）'!C:C&lt;=$L$4),ROW(),"-")</f>
        <v>-</v>
      </c>
    </row>
    <row r="20356" customHeight="1" spans="2:2">
      <c r="B20356" s="62" t="str">
        <f>IF(AND('领用录入（明细）'!D:D=$F$4,'领用录入（明细）'!C:C&gt;=$J$4,'领用录入（明细）'!C:C&lt;=$L$4),ROW(),"-")</f>
        <v>-</v>
      </c>
    </row>
    <row r="20357" customHeight="1" spans="2:2">
      <c r="B20357" s="62" t="str">
        <f>IF(AND('领用录入（明细）'!D:D=$F$4,'领用录入（明细）'!C:C&gt;=$J$4,'领用录入（明细）'!C:C&lt;=$L$4),ROW(),"-")</f>
        <v>-</v>
      </c>
    </row>
    <row r="20358" customHeight="1" spans="2:2">
      <c r="B20358" s="62" t="str">
        <f>IF(AND('领用录入（明细）'!D:D=$F$4,'领用录入（明细）'!C:C&gt;=$J$4,'领用录入（明细）'!C:C&lt;=$L$4),ROW(),"-")</f>
        <v>-</v>
      </c>
    </row>
    <row r="20359" customHeight="1" spans="2:2">
      <c r="B20359" s="62" t="str">
        <f>IF(AND('领用录入（明细）'!D:D=$F$4,'领用录入（明细）'!C:C&gt;=$J$4,'领用录入（明细）'!C:C&lt;=$L$4),ROW(),"-")</f>
        <v>-</v>
      </c>
    </row>
    <row r="20360" customHeight="1" spans="2:2">
      <c r="B20360" s="62" t="str">
        <f>IF(AND('领用录入（明细）'!D:D=$F$4,'领用录入（明细）'!C:C&gt;=$J$4,'领用录入（明细）'!C:C&lt;=$L$4),ROW(),"-")</f>
        <v>-</v>
      </c>
    </row>
    <row r="20361" customHeight="1" spans="2:2">
      <c r="B20361" s="62" t="str">
        <f>IF(AND('领用录入（明细）'!D:D=$F$4,'领用录入（明细）'!C:C&gt;=$J$4,'领用录入（明细）'!C:C&lt;=$L$4),ROW(),"-")</f>
        <v>-</v>
      </c>
    </row>
    <row r="20362" customHeight="1" spans="2:2">
      <c r="B20362" s="62" t="str">
        <f>IF(AND('领用录入（明细）'!D:D=$F$4,'领用录入（明细）'!C:C&gt;=$J$4,'领用录入（明细）'!C:C&lt;=$L$4),ROW(),"-")</f>
        <v>-</v>
      </c>
    </row>
    <row r="20363" customHeight="1" spans="2:2">
      <c r="B20363" s="62" t="str">
        <f>IF(AND('领用录入（明细）'!D:D=$F$4,'领用录入（明细）'!C:C&gt;=$J$4,'领用录入（明细）'!C:C&lt;=$L$4),ROW(),"-")</f>
        <v>-</v>
      </c>
    </row>
    <row r="20364" customHeight="1" spans="2:2">
      <c r="B20364" s="62" t="str">
        <f>IF(AND('领用录入（明细）'!D:D=$F$4,'领用录入（明细）'!C:C&gt;=$J$4,'领用录入（明细）'!C:C&lt;=$L$4),ROW(),"-")</f>
        <v>-</v>
      </c>
    </row>
    <row r="20365" customHeight="1" spans="2:2">
      <c r="B20365" s="62" t="str">
        <f>IF(AND('领用录入（明细）'!D:D=$F$4,'领用录入（明细）'!C:C&gt;=$J$4,'领用录入（明细）'!C:C&lt;=$L$4),ROW(),"-")</f>
        <v>-</v>
      </c>
    </row>
    <row r="20366" customHeight="1" spans="2:2">
      <c r="B20366" s="62" t="str">
        <f>IF(AND('领用录入（明细）'!D:D=$F$4,'领用录入（明细）'!C:C&gt;=$J$4,'领用录入（明细）'!C:C&lt;=$L$4),ROW(),"-")</f>
        <v>-</v>
      </c>
    </row>
    <row r="20367" customHeight="1" spans="2:2">
      <c r="B20367" s="62" t="str">
        <f>IF(AND('领用录入（明细）'!D:D=$F$4,'领用录入（明细）'!C:C&gt;=$J$4,'领用录入（明细）'!C:C&lt;=$L$4),ROW(),"-")</f>
        <v>-</v>
      </c>
    </row>
    <row r="20368" customHeight="1" spans="2:2">
      <c r="B20368" s="62" t="str">
        <f>IF(AND('领用录入（明细）'!D:D=$F$4,'领用录入（明细）'!C:C&gt;=$J$4,'领用录入（明细）'!C:C&lt;=$L$4),ROW(),"-")</f>
        <v>-</v>
      </c>
    </row>
    <row r="20369" customHeight="1" spans="2:2">
      <c r="B20369" s="62" t="str">
        <f>IF(AND('领用录入（明细）'!D:D=$F$4,'领用录入（明细）'!C:C&gt;=$J$4,'领用录入（明细）'!C:C&lt;=$L$4),ROW(),"-")</f>
        <v>-</v>
      </c>
    </row>
    <row r="20370" customHeight="1" spans="2:2">
      <c r="B20370" s="62" t="str">
        <f>IF(AND('领用录入（明细）'!D:D=$F$4,'领用录入（明细）'!C:C&gt;=$J$4,'领用录入（明细）'!C:C&lt;=$L$4),ROW(),"-")</f>
        <v>-</v>
      </c>
    </row>
    <row r="20371" customHeight="1" spans="2:2">
      <c r="B20371" s="62" t="str">
        <f>IF(AND('领用录入（明细）'!D:D=$F$4,'领用录入（明细）'!C:C&gt;=$J$4,'领用录入（明细）'!C:C&lt;=$L$4),ROW(),"-")</f>
        <v>-</v>
      </c>
    </row>
    <row r="20372" customHeight="1" spans="2:2">
      <c r="B20372" s="62" t="str">
        <f>IF(AND('领用录入（明细）'!D:D=$F$4,'领用录入（明细）'!C:C&gt;=$J$4,'领用录入（明细）'!C:C&lt;=$L$4),ROW(),"-")</f>
        <v>-</v>
      </c>
    </row>
    <row r="20373" customHeight="1" spans="2:2">
      <c r="B20373" s="62" t="str">
        <f>IF(AND('领用录入（明细）'!D:D=$F$4,'领用录入（明细）'!C:C&gt;=$J$4,'领用录入（明细）'!C:C&lt;=$L$4),ROW(),"-")</f>
        <v>-</v>
      </c>
    </row>
    <row r="20374" customHeight="1" spans="2:2">
      <c r="B20374" s="62" t="str">
        <f>IF(AND('领用录入（明细）'!D:D=$F$4,'领用录入（明细）'!C:C&gt;=$J$4,'领用录入（明细）'!C:C&lt;=$L$4),ROW(),"-")</f>
        <v>-</v>
      </c>
    </row>
    <row r="20375" customHeight="1" spans="2:2">
      <c r="B20375" s="62" t="str">
        <f>IF(AND('领用录入（明细）'!D:D=$F$4,'领用录入（明细）'!C:C&gt;=$J$4,'领用录入（明细）'!C:C&lt;=$L$4),ROW(),"-")</f>
        <v>-</v>
      </c>
    </row>
    <row r="20376" customHeight="1" spans="2:2">
      <c r="B20376" s="62" t="str">
        <f>IF(AND('领用录入（明细）'!D:D=$F$4,'领用录入（明细）'!C:C&gt;=$J$4,'领用录入（明细）'!C:C&lt;=$L$4),ROW(),"-")</f>
        <v>-</v>
      </c>
    </row>
    <row r="20377" customHeight="1" spans="2:2">
      <c r="B20377" s="62" t="str">
        <f>IF(AND('领用录入（明细）'!D:D=$F$4,'领用录入（明细）'!C:C&gt;=$J$4,'领用录入（明细）'!C:C&lt;=$L$4),ROW(),"-")</f>
        <v>-</v>
      </c>
    </row>
    <row r="20378" customHeight="1" spans="2:2">
      <c r="B20378" s="62" t="str">
        <f>IF(AND('领用录入（明细）'!D:D=$F$4,'领用录入（明细）'!C:C&gt;=$J$4,'领用录入（明细）'!C:C&lt;=$L$4),ROW(),"-")</f>
        <v>-</v>
      </c>
    </row>
    <row r="20379" customHeight="1" spans="2:2">
      <c r="B20379" s="62" t="str">
        <f>IF(AND('领用录入（明细）'!D:D=$F$4,'领用录入（明细）'!C:C&gt;=$J$4,'领用录入（明细）'!C:C&lt;=$L$4),ROW(),"-")</f>
        <v>-</v>
      </c>
    </row>
    <row r="20380" customHeight="1" spans="2:2">
      <c r="B20380" s="62" t="str">
        <f>IF(AND('领用录入（明细）'!D:D=$F$4,'领用录入（明细）'!C:C&gt;=$J$4,'领用录入（明细）'!C:C&lt;=$L$4),ROW(),"-")</f>
        <v>-</v>
      </c>
    </row>
    <row r="20381" customHeight="1" spans="2:2">
      <c r="B20381" s="62" t="str">
        <f>IF(AND('领用录入（明细）'!D:D=$F$4,'领用录入（明细）'!C:C&gt;=$J$4,'领用录入（明细）'!C:C&lt;=$L$4),ROW(),"-")</f>
        <v>-</v>
      </c>
    </row>
    <row r="20382" customHeight="1" spans="2:2">
      <c r="B20382" s="62" t="str">
        <f>IF(AND('领用录入（明细）'!D:D=$F$4,'领用录入（明细）'!C:C&gt;=$J$4,'领用录入（明细）'!C:C&lt;=$L$4),ROW(),"-")</f>
        <v>-</v>
      </c>
    </row>
    <row r="20383" customHeight="1" spans="2:2">
      <c r="B20383" s="62" t="str">
        <f>IF(AND('领用录入（明细）'!D:D=$F$4,'领用录入（明细）'!C:C&gt;=$J$4,'领用录入（明细）'!C:C&lt;=$L$4),ROW(),"-")</f>
        <v>-</v>
      </c>
    </row>
    <row r="20384" customHeight="1" spans="2:2">
      <c r="B20384" s="62" t="str">
        <f>IF(AND('领用录入（明细）'!D:D=$F$4,'领用录入（明细）'!C:C&gt;=$J$4,'领用录入（明细）'!C:C&lt;=$L$4),ROW(),"-")</f>
        <v>-</v>
      </c>
    </row>
    <row r="20385" customHeight="1" spans="2:2">
      <c r="B20385" s="62" t="str">
        <f>IF(AND('领用录入（明细）'!D:D=$F$4,'领用录入（明细）'!C:C&gt;=$J$4,'领用录入（明细）'!C:C&lt;=$L$4),ROW(),"-")</f>
        <v>-</v>
      </c>
    </row>
    <row r="20386" customHeight="1" spans="2:2">
      <c r="B20386" s="62" t="str">
        <f>IF(AND('领用录入（明细）'!D:D=$F$4,'领用录入（明细）'!C:C&gt;=$J$4,'领用录入（明细）'!C:C&lt;=$L$4),ROW(),"-")</f>
        <v>-</v>
      </c>
    </row>
    <row r="20387" customHeight="1" spans="2:2">
      <c r="B20387" s="62" t="str">
        <f>IF(AND('领用录入（明细）'!D:D=$F$4,'领用录入（明细）'!C:C&gt;=$J$4,'领用录入（明细）'!C:C&lt;=$L$4),ROW(),"-")</f>
        <v>-</v>
      </c>
    </row>
    <row r="20388" customHeight="1" spans="2:2">
      <c r="B20388" s="62" t="str">
        <f>IF(AND('领用录入（明细）'!D:D=$F$4,'领用录入（明细）'!C:C&gt;=$J$4,'领用录入（明细）'!C:C&lt;=$L$4),ROW(),"-")</f>
        <v>-</v>
      </c>
    </row>
    <row r="20389" customHeight="1" spans="2:2">
      <c r="B20389" s="62" t="str">
        <f>IF(AND('领用录入（明细）'!D:D=$F$4,'领用录入（明细）'!C:C&gt;=$J$4,'领用录入（明细）'!C:C&lt;=$L$4),ROW(),"-")</f>
        <v>-</v>
      </c>
    </row>
    <row r="20390" customHeight="1" spans="2:2">
      <c r="B20390" s="62" t="str">
        <f>IF(AND('领用录入（明细）'!D:D=$F$4,'领用录入（明细）'!C:C&gt;=$J$4,'领用录入（明细）'!C:C&lt;=$L$4),ROW(),"-")</f>
        <v>-</v>
      </c>
    </row>
    <row r="20391" customHeight="1" spans="2:2">
      <c r="B20391" s="62" t="str">
        <f>IF(AND('领用录入（明细）'!D:D=$F$4,'领用录入（明细）'!C:C&gt;=$J$4,'领用录入（明细）'!C:C&lt;=$L$4),ROW(),"-")</f>
        <v>-</v>
      </c>
    </row>
    <row r="20392" customHeight="1" spans="2:2">
      <c r="B20392" s="62" t="str">
        <f>IF(AND('领用录入（明细）'!D:D=$F$4,'领用录入（明细）'!C:C&gt;=$J$4,'领用录入（明细）'!C:C&lt;=$L$4),ROW(),"-")</f>
        <v>-</v>
      </c>
    </row>
    <row r="20393" customHeight="1" spans="2:2">
      <c r="B20393" s="62" t="str">
        <f>IF(AND('领用录入（明细）'!D:D=$F$4,'领用录入（明细）'!C:C&gt;=$J$4,'领用录入（明细）'!C:C&lt;=$L$4),ROW(),"-")</f>
        <v>-</v>
      </c>
    </row>
    <row r="20394" customHeight="1" spans="2:2">
      <c r="B20394" s="62" t="str">
        <f>IF(AND('领用录入（明细）'!D:D=$F$4,'领用录入（明细）'!C:C&gt;=$J$4,'领用录入（明细）'!C:C&lt;=$L$4),ROW(),"-")</f>
        <v>-</v>
      </c>
    </row>
    <row r="20395" customHeight="1" spans="2:2">
      <c r="B20395" s="62" t="str">
        <f>IF(AND('领用录入（明细）'!D:D=$F$4,'领用录入（明细）'!C:C&gt;=$J$4,'领用录入（明细）'!C:C&lt;=$L$4),ROW(),"-")</f>
        <v>-</v>
      </c>
    </row>
    <row r="20396" customHeight="1" spans="2:2">
      <c r="B20396" s="62" t="str">
        <f>IF(AND('领用录入（明细）'!D:D=$F$4,'领用录入（明细）'!C:C&gt;=$J$4,'领用录入（明细）'!C:C&lt;=$L$4),ROW(),"-")</f>
        <v>-</v>
      </c>
    </row>
    <row r="20397" customHeight="1" spans="2:2">
      <c r="B20397" s="62" t="str">
        <f>IF(AND('领用录入（明细）'!D:D=$F$4,'领用录入（明细）'!C:C&gt;=$J$4,'领用录入（明细）'!C:C&lt;=$L$4),ROW(),"-")</f>
        <v>-</v>
      </c>
    </row>
    <row r="20398" customHeight="1" spans="2:2">
      <c r="B20398" s="62" t="str">
        <f>IF(AND('领用录入（明细）'!D:D=$F$4,'领用录入（明细）'!C:C&gt;=$J$4,'领用录入（明细）'!C:C&lt;=$L$4),ROW(),"-")</f>
        <v>-</v>
      </c>
    </row>
    <row r="20399" customHeight="1" spans="2:2">
      <c r="B20399" s="62" t="str">
        <f>IF(AND('领用录入（明细）'!D:D=$F$4,'领用录入（明细）'!C:C&gt;=$J$4,'领用录入（明细）'!C:C&lt;=$L$4),ROW(),"-")</f>
        <v>-</v>
      </c>
    </row>
    <row r="20400" customHeight="1" spans="2:2">
      <c r="B20400" s="62" t="str">
        <f>IF(AND('领用录入（明细）'!D:D=$F$4,'领用录入（明细）'!C:C&gt;=$J$4,'领用录入（明细）'!C:C&lt;=$L$4),ROW(),"-")</f>
        <v>-</v>
      </c>
    </row>
    <row r="20401" customHeight="1" spans="2:2">
      <c r="B20401" s="62" t="str">
        <f>IF(AND('领用录入（明细）'!D:D=$F$4,'领用录入（明细）'!C:C&gt;=$J$4,'领用录入（明细）'!C:C&lt;=$L$4),ROW(),"-")</f>
        <v>-</v>
      </c>
    </row>
    <row r="20402" customHeight="1" spans="2:2">
      <c r="B20402" s="62" t="str">
        <f>IF(AND('领用录入（明细）'!D:D=$F$4,'领用录入（明细）'!C:C&gt;=$J$4,'领用录入（明细）'!C:C&lt;=$L$4),ROW(),"-")</f>
        <v>-</v>
      </c>
    </row>
    <row r="20403" customHeight="1" spans="2:2">
      <c r="B20403" s="62" t="str">
        <f>IF(AND('领用录入（明细）'!D:D=$F$4,'领用录入（明细）'!C:C&gt;=$J$4,'领用录入（明细）'!C:C&lt;=$L$4),ROW(),"-")</f>
        <v>-</v>
      </c>
    </row>
    <row r="20404" customHeight="1" spans="2:2">
      <c r="B20404" s="62" t="str">
        <f>IF(AND('领用录入（明细）'!D:D=$F$4,'领用录入（明细）'!C:C&gt;=$J$4,'领用录入（明细）'!C:C&lt;=$L$4),ROW(),"-")</f>
        <v>-</v>
      </c>
    </row>
    <row r="20405" customHeight="1" spans="2:2">
      <c r="B20405" s="62" t="str">
        <f>IF(AND('领用录入（明细）'!D:D=$F$4,'领用录入（明细）'!C:C&gt;=$J$4,'领用录入（明细）'!C:C&lt;=$L$4),ROW(),"-")</f>
        <v>-</v>
      </c>
    </row>
    <row r="20406" customHeight="1" spans="2:2">
      <c r="B20406" s="62" t="str">
        <f>IF(AND('领用录入（明细）'!D:D=$F$4,'领用录入（明细）'!C:C&gt;=$J$4,'领用录入（明细）'!C:C&lt;=$L$4),ROW(),"-")</f>
        <v>-</v>
      </c>
    </row>
    <row r="20407" customHeight="1" spans="2:2">
      <c r="B20407" s="62" t="str">
        <f>IF(AND('领用录入（明细）'!D:D=$F$4,'领用录入（明细）'!C:C&gt;=$J$4,'领用录入（明细）'!C:C&lt;=$L$4),ROW(),"-")</f>
        <v>-</v>
      </c>
    </row>
    <row r="20408" customHeight="1" spans="2:2">
      <c r="B20408" s="62" t="str">
        <f>IF(AND('领用录入（明细）'!D:D=$F$4,'领用录入（明细）'!C:C&gt;=$J$4,'领用录入（明细）'!C:C&lt;=$L$4),ROW(),"-")</f>
        <v>-</v>
      </c>
    </row>
    <row r="20409" customHeight="1" spans="2:2">
      <c r="B20409" s="62" t="str">
        <f>IF(AND('领用录入（明细）'!D:D=$F$4,'领用录入（明细）'!C:C&gt;=$J$4,'领用录入（明细）'!C:C&lt;=$L$4),ROW(),"-")</f>
        <v>-</v>
      </c>
    </row>
    <row r="20410" customHeight="1" spans="2:2">
      <c r="B20410" s="62" t="str">
        <f>IF(AND('领用录入（明细）'!D:D=$F$4,'领用录入（明细）'!C:C&gt;=$J$4,'领用录入（明细）'!C:C&lt;=$L$4),ROW(),"-")</f>
        <v>-</v>
      </c>
    </row>
    <row r="20411" customHeight="1" spans="2:2">
      <c r="B20411" s="62" t="str">
        <f>IF(AND('领用录入（明细）'!D:D=$F$4,'领用录入（明细）'!C:C&gt;=$J$4,'领用录入（明细）'!C:C&lt;=$L$4),ROW(),"-")</f>
        <v>-</v>
      </c>
    </row>
    <row r="20412" customHeight="1" spans="2:2">
      <c r="B20412" s="62" t="str">
        <f>IF(AND('领用录入（明细）'!D:D=$F$4,'领用录入（明细）'!C:C&gt;=$J$4,'领用录入（明细）'!C:C&lt;=$L$4),ROW(),"-")</f>
        <v>-</v>
      </c>
    </row>
    <row r="20413" customHeight="1" spans="2:2">
      <c r="B20413" s="62" t="str">
        <f>IF(AND('领用录入（明细）'!D:D=$F$4,'领用录入（明细）'!C:C&gt;=$J$4,'领用录入（明细）'!C:C&lt;=$L$4),ROW(),"-")</f>
        <v>-</v>
      </c>
    </row>
    <row r="20414" customHeight="1" spans="2:2">
      <c r="B20414" s="62" t="str">
        <f>IF(AND('领用录入（明细）'!D:D=$F$4,'领用录入（明细）'!C:C&gt;=$J$4,'领用录入（明细）'!C:C&lt;=$L$4),ROW(),"-")</f>
        <v>-</v>
      </c>
    </row>
    <row r="20415" customHeight="1" spans="2:2">
      <c r="B20415" s="62" t="str">
        <f>IF(AND('领用录入（明细）'!D:D=$F$4,'领用录入（明细）'!C:C&gt;=$J$4,'领用录入（明细）'!C:C&lt;=$L$4),ROW(),"-")</f>
        <v>-</v>
      </c>
    </row>
    <row r="20416" customHeight="1" spans="2:2">
      <c r="B20416" s="62" t="str">
        <f>IF(AND('领用录入（明细）'!D:D=$F$4,'领用录入（明细）'!C:C&gt;=$J$4,'领用录入（明细）'!C:C&lt;=$L$4),ROW(),"-")</f>
        <v>-</v>
      </c>
    </row>
    <row r="20417" customHeight="1" spans="2:2">
      <c r="B20417" s="62" t="str">
        <f>IF(AND('领用录入（明细）'!D:D=$F$4,'领用录入（明细）'!C:C&gt;=$J$4,'领用录入（明细）'!C:C&lt;=$L$4),ROW(),"-")</f>
        <v>-</v>
      </c>
    </row>
    <row r="20418" customHeight="1" spans="2:2">
      <c r="B20418" s="62" t="str">
        <f>IF(AND('领用录入（明细）'!D:D=$F$4,'领用录入（明细）'!C:C&gt;=$J$4,'领用录入（明细）'!C:C&lt;=$L$4),ROW(),"-")</f>
        <v>-</v>
      </c>
    </row>
    <row r="20419" customHeight="1" spans="2:2">
      <c r="B20419" s="62" t="str">
        <f>IF(AND('领用录入（明细）'!D:D=$F$4,'领用录入（明细）'!C:C&gt;=$J$4,'领用录入（明细）'!C:C&lt;=$L$4),ROW(),"-")</f>
        <v>-</v>
      </c>
    </row>
    <row r="20420" customHeight="1" spans="2:2">
      <c r="B20420" s="62" t="str">
        <f>IF(AND('领用录入（明细）'!D:D=$F$4,'领用录入（明细）'!C:C&gt;=$J$4,'领用录入（明细）'!C:C&lt;=$L$4),ROW(),"-")</f>
        <v>-</v>
      </c>
    </row>
    <row r="20421" customHeight="1" spans="2:2">
      <c r="B20421" s="62" t="str">
        <f>IF(AND('领用录入（明细）'!D:D=$F$4,'领用录入（明细）'!C:C&gt;=$J$4,'领用录入（明细）'!C:C&lt;=$L$4),ROW(),"-")</f>
        <v>-</v>
      </c>
    </row>
    <row r="20422" customHeight="1" spans="2:2">
      <c r="B20422" s="62" t="str">
        <f>IF(AND('领用录入（明细）'!D:D=$F$4,'领用录入（明细）'!C:C&gt;=$J$4,'领用录入（明细）'!C:C&lt;=$L$4),ROW(),"-")</f>
        <v>-</v>
      </c>
    </row>
    <row r="20423" customHeight="1" spans="2:2">
      <c r="B20423" s="62" t="str">
        <f>IF(AND('领用录入（明细）'!D:D=$F$4,'领用录入（明细）'!C:C&gt;=$J$4,'领用录入（明细）'!C:C&lt;=$L$4),ROW(),"-")</f>
        <v>-</v>
      </c>
    </row>
    <row r="20424" customHeight="1" spans="2:2">
      <c r="B20424" s="62" t="str">
        <f>IF(AND('领用录入（明细）'!D:D=$F$4,'领用录入（明细）'!C:C&gt;=$J$4,'领用录入（明细）'!C:C&lt;=$L$4),ROW(),"-")</f>
        <v>-</v>
      </c>
    </row>
    <row r="20425" customHeight="1" spans="2:2">
      <c r="B20425" s="62" t="str">
        <f>IF(AND('领用录入（明细）'!D:D=$F$4,'领用录入（明细）'!C:C&gt;=$J$4,'领用录入（明细）'!C:C&lt;=$L$4),ROW(),"-")</f>
        <v>-</v>
      </c>
    </row>
    <row r="20426" customHeight="1" spans="2:2">
      <c r="B20426" s="62" t="str">
        <f>IF(AND('领用录入（明细）'!D:D=$F$4,'领用录入（明细）'!C:C&gt;=$J$4,'领用录入（明细）'!C:C&lt;=$L$4),ROW(),"-")</f>
        <v>-</v>
      </c>
    </row>
    <row r="20427" customHeight="1" spans="2:2">
      <c r="B20427" s="62" t="str">
        <f>IF(AND('领用录入（明细）'!D:D=$F$4,'领用录入（明细）'!C:C&gt;=$J$4,'领用录入（明细）'!C:C&lt;=$L$4),ROW(),"-")</f>
        <v>-</v>
      </c>
    </row>
    <row r="20428" customHeight="1" spans="2:2">
      <c r="B20428" s="62" t="str">
        <f>IF(AND('领用录入（明细）'!D:D=$F$4,'领用录入（明细）'!C:C&gt;=$J$4,'领用录入（明细）'!C:C&lt;=$L$4),ROW(),"-")</f>
        <v>-</v>
      </c>
    </row>
    <row r="20429" customHeight="1" spans="2:2">
      <c r="B20429" s="62" t="str">
        <f>IF(AND('领用录入（明细）'!D:D=$F$4,'领用录入（明细）'!C:C&gt;=$J$4,'领用录入（明细）'!C:C&lt;=$L$4),ROW(),"-")</f>
        <v>-</v>
      </c>
    </row>
    <row r="20430" customHeight="1" spans="2:2">
      <c r="B20430" s="62" t="str">
        <f>IF(AND('领用录入（明细）'!D:D=$F$4,'领用录入（明细）'!C:C&gt;=$J$4,'领用录入（明细）'!C:C&lt;=$L$4),ROW(),"-")</f>
        <v>-</v>
      </c>
    </row>
    <row r="20431" customHeight="1" spans="2:2">
      <c r="B20431" s="62" t="str">
        <f>IF(AND('领用录入（明细）'!D:D=$F$4,'领用录入（明细）'!C:C&gt;=$J$4,'领用录入（明细）'!C:C&lt;=$L$4),ROW(),"-")</f>
        <v>-</v>
      </c>
    </row>
    <row r="20432" customHeight="1" spans="2:2">
      <c r="B20432" s="62" t="str">
        <f>IF(AND('领用录入（明细）'!D:D=$F$4,'领用录入（明细）'!C:C&gt;=$J$4,'领用录入（明细）'!C:C&lt;=$L$4),ROW(),"-")</f>
        <v>-</v>
      </c>
    </row>
    <row r="20433" customHeight="1" spans="2:2">
      <c r="B20433" s="62" t="str">
        <f>IF(AND('领用录入（明细）'!D:D=$F$4,'领用录入（明细）'!C:C&gt;=$J$4,'领用录入（明细）'!C:C&lt;=$L$4),ROW(),"-")</f>
        <v>-</v>
      </c>
    </row>
    <row r="20434" customHeight="1" spans="2:2">
      <c r="B20434" s="62" t="str">
        <f>IF(AND('领用录入（明细）'!D:D=$F$4,'领用录入（明细）'!C:C&gt;=$J$4,'领用录入（明细）'!C:C&lt;=$L$4),ROW(),"-")</f>
        <v>-</v>
      </c>
    </row>
    <row r="20435" customHeight="1" spans="2:2">
      <c r="B20435" s="62" t="str">
        <f>IF(AND('领用录入（明细）'!D:D=$F$4,'领用录入（明细）'!C:C&gt;=$J$4,'领用录入（明细）'!C:C&lt;=$L$4),ROW(),"-")</f>
        <v>-</v>
      </c>
    </row>
    <row r="20436" customHeight="1" spans="2:2">
      <c r="B20436" s="62" t="str">
        <f>IF(AND('领用录入（明细）'!D:D=$F$4,'领用录入（明细）'!C:C&gt;=$J$4,'领用录入（明细）'!C:C&lt;=$L$4),ROW(),"-")</f>
        <v>-</v>
      </c>
    </row>
    <row r="20437" customHeight="1" spans="2:2">
      <c r="B20437" s="62" t="str">
        <f>IF(AND('领用录入（明细）'!D:D=$F$4,'领用录入（明细）'!C:C&gt;=$J$4,'领用录入（明细）'!C:C&lt;=$L$4),ROW(),"-")</f>
        <v>-</v>
      </c>
    </row>
    <row r="20438" customHeight="1" spans="2:2">
      <c r="B20438" s="62" t="str">
        <f>IF(AND('领用录入（明细）'!D:D=$F$4,'领用录入（明细）'!C:C&gt;=$J$4,'领用录入（明细）'!C:C&lt;=$L$4),ROW(),"-")</f>
        <v>-</v>
      </c>
    </row>
    <row r="20439" customHeight="1" spans="2:2">
      <c r="B20439" s="62" t="str">
        <f>IF(AND('领用录入（明细）'!D:D=$F$4,'领用录入（明细）'!C:C&gt;=$J$4,'领用录入（明细）'!C:C&lt;=$L$4),ROW(),"-")</f>
        <v>-</v>
      </c>
    </row>
    <row r="20440" customHeight="1" spans="2:2">
      <c r="B20440" s="62" t="str">
        <f>IF(AND('领用录入（明细）'!D:D=$F$4,'领用录入（明细）'!C:C&gt;=$J$4,'领用录入（明细）'!C:C&lt;=$L$4),ROW(),"-")</f>
        <v>-</v>
      </c>
    </row>
    <row r="20441" customHeight="1" spans="2:2">
      <c r="B20441" s="62" t="str">
        <f>IF(AND('领用录入（明细）'!D:D=$F$4,'领用录入（明细）'!C:C&gt;=$J$4,'领用录入（明细）'!C:C&lt;=$L$4),ROW(),"-")</f>
        <v>-</v>
      </c>
    </row>
    <row r="20442" customHeight="1" spans="2:2">
      <c r="B20442" s="62" t="str">
        <f>IF(AND('领用录入（明细）'!D:D=$F$4,'领用录入（明细）'!C:C&gt;=$J$4,'领用录入（明细）'!C:C&lt;=$L$4),ROW(),"-")</f>
        <v>-</v>
      </c>
    </row>
    <row r="20443" customHeight="1" spans="2:2">
      <c r="B20443" s="62" t="str">
        <f>IF(AND('领用录入（明细）'!D:D=$F$4,'领用录入（明细）'!C:C&gt;=$J$4,'领用录入（明细）'!C:C&lt;=$L$4),ROW(),"-")</f>
        <v>-</v>
      </c>
    </row>
    <row r="20444" customHeight="1" spans="2:2">
      <c r="B20444" s="62" t="str">
        <f>IF(AND('领用录入（明细）'!D:D=$F$4,'领用录入（明细）'!C:C&gt;=$J$4,'领用录入（明细）'!C:C&lt;=$L$4),ROW(),"-")</f>
        <v>-</v>
      </c>
    </row>
    <row r="20445" customHeight="1" spans="2:2">
      <c r="B20445" s="62" t="str">
        <f>IF(AND('领用录入（明细）'!D:D=$F$4,'领用录入（明细）'!C:C&gt;=$J$4,'领用录入（明细）'!C:C&lt;=$L$4),ROW(),"-")</f>
        <v>-</v>
      </c>
    </row>
    <row r="20446" customHeight="1" spans="2:2">
      <c r="B20446" s="62" t="str">
        <f>IF(AND('领用录入（明细）'!D:D=$F$4,'领用录入（明细）'!C:C&gt;=$J$4,'领用录入（明细）'!C:C&lt;=$L$4),ROW(),"-")</f>
        <v>-</v>
      </c>
    </row>
    <row r="20447" customHeight="1" spans="2:2">
      <c r="B20447" s="62" t="str">
        <f>IF(AND('领用录入（明细）'!D:D=$F$4,'领用录入（明细）'!C:C&gt;=$J$4,'领用录入（明细）'!C:C&lt;=$L$4),ROW(),"-")</f>
        <v>-</v>
      </c>
    </row>
    <row r="20448" customHeight="1" spans="2:2">
      <c r="B20448" s="62" t="str">
        <f>IF(AND('领用录入（明细）'!D:D=$F$4,'领用录入（明细）'!C:C&gt;=$J$4,'领用录入（明细）'!C:C&lt;=$L$4),ROW(),"-")</f>
        <v>-</v>
      </c>
    </row>
    <row r="20449" customHeight="1" spans="2:2">
      <c r="B20449" s="62" t="str">
        <f>IF(AND('领用录入（明细）'!D:D=$F$4,'领用录入（明细）'!C:C&gt;=$J$4,'领用录入（明细）'!C:C&lt;=$L$4),ROW(),"-")</f>
        <v>-</v>
      </c>
    </row>
    <row r="20450" customHeight="1" spans="2:2">
      <c r="B20450" s="62" t="str">
        <f>IF(AND('领用录入（明细）'!D:D=$F$4,'领用录入（明细）'!C:C&gt;=$J$4,'领用录入（明细）'!C:C&lt;=$L$4),ROW(),"-")</f>
        <v>-</v>
      </c>
    </row>
    <row r="20451" customHeight="1" spans="2:2">
      <c r="B20451" s="62" t="str">
        <f>IF(AND('领用录入（明细）'!D:D=$F$4,'领用录入（明细）'!C:C&gt;=$J$4,'领用录入（明细）'!C:C&lt;=$L$4),ROW(),"-")</f>
        <v>-</v>
      </c>
    </row>
    <row r="20452" customHeight="1" spans="2:2">
      <c r="B20452" s="62" t="str">
        <f>IF(AND('领用录入（明细）'!D:D=$F$4,'领用录入（明细）'!C:C&gt;=$J$4,'领用录入（明细）'!C:C&lt;=$L$4),ROW(),"-")</f>
        <v>-</v>
      </c>
    </row>
    <row r="20453" customHeight="1" spans="2:2">
      <c r="B20453" s="62" t="str">
        <f>IF(AND('领用录入（明细）'!D:D=$F$4,'领用录入（明细）'!C:C&gt;=$J$4,'领用录入（明细）'!C:C&lt;=$L$4),ROW(),"-")</f>
        <v>-</v>
      </c>
    </row>
    <row r="20454" customHeight="1" spans="2:2">
      <c r="B20454" s="62" t="str">
        <f>IF(AND('领用录入（明细）'!D:D=$F$4,'领用录入（明细）'!C:C&gt;=$J$4,'领用录入（明细）'!C:C&lt;=$L$4),ROW(),"-")</f>
        <v>-</v>
      </c>
    </row>
    <row r="20455" customHeight="1" spans="2:2">
      <c r="B20455" s="62" t="str">
        <f>IF(AND('领用录入（明细）'!D:D=$F$4,'领用录入（明细）'!C:C&gt;=$J$4,'领用录入（明细）'!C:C&lt;=$L$4),ROW(),"-")</f>
        <v>-</v>
      </c>
    </row>
    <row r="20456" customHeight="1" spans="2:2">
      <c r="B20456" s="62" t="str">
        <f>IF(AND('领用录入（明细）'!D:D=$F$4,'领用录入（明细）'!C:C&gt;=$J$4,'领用录入（明细）'!C:C&lt;=$L$4),ROW(),"-")</f>
        <v>-</v>
      </c>
    </row>
    <row r="20457" customHeight="1" spans="2:2">
      <c r="B20457" s="62" t="str">
        <f>IF(AND('领用录入（明细）'!D:D=$F$4,'领用录入（明细）'!C:C&gt;=$J$4,'领用录入（明细）'!C:C&lt;=$L$4),ROW(),"-")</f>
        <v>-</v>
      </c>
    </row>
    <row r="20458" customHeight="1" spans="2:2">
      <c r="B20458" s="62" t="str">
        <f>IF(AND('领用录入（明细）'!D:D=$F$4,'领用录入（明细）'!C:C&gt;=$J$4,'领用录入（明细）'!C:C&lt;=$L$4),ROW(),"-")</f>
        <v>-</v>
      </c>
    </row>
    <row r="20459" customHeight="1" spans="2:2">
      <c r="B20459" s="62" t="str">
        <f>IF(AND('领用录入（明细）'!D:D=$F$4,'领用录入（明细）'!C:C&gt;=$J$4,'领用录入（明细）'!C:C&lt;=$L$4),ROW(),"-")</f>
        <v>-</v>
      </c>
    </row>
    <row r="20460" customHeight="1" spans="2:2">
      <c r="B20460" s="62" t="str">
        <f>IF(AND('领用录入（明细）'!D:D=$F$4,'领用录入（明细）'!C:C&gt;=$J$4,'领用录入（明细）'!C:C&lt;=$L$4),ROW(),"-")</f>
        <v>-</v>
      </c>
    </row>
    <row r="20461" customHeight="1" spans="2:2">
      <c r="B20461" s="62" t="str">
        <f>IF(AND('领用录入（明细）'!D:D=$F$4,'领用录入（明细）'!C:C&gt;=$J$4,'领用录入（明细）'!C:C&lt;=$L$4),ROW(),"-")</f>
        <v>-</v>
      </c>
    </row>
    <row r="20462" customHeight="1" spans="2:2">
      <c r="B20462" s="62" t="str">
        <f>IF(AND('领用录入（明细）'!D:D=$F$4,'领用录入（明细）'!C:C&gt;=$J$4,'领用录入（明细）'!C:C&lt;=$L$4),ROW(),"-")</f>
        <v>-</v>
      </c>
    </row>
    <row r="20463" customHeight="1" spans="2:2">
      <c r="B20463" s="62" t="str">
        <f>IF(AND('领用录入（明细）'!D:D=$F$4,'领用录入（明细）'!C:C&gt;=$J$4,'领用录入（明细）'!C:C&lt;=$L$4),ROW(),"-")</f>
        <v>-</v>
      </c>
    </row>
    <row r="20464" customHeight="1" spans="2:2">
      <c r="B20464" s="62" t="str">
        <f>IF(AND('领用录入（明细）'!D:D=$F$4,'领用录入（明细）'!C:C&gt;=$J$4,'领用录入（明细）'!C:C&lt;=$L$4),ROW(),"-")</f>
        <v>-</v>
      </c>
    </row>
    <row r="20465" customHeight="1" spans="2:2">
      <c r="B20465" s="62" t="str">
        <f>IF(AND('领用录入（明细）'!D:D=$F$4,'领用录入（明细）'!C:C&gt;=$J$4,'领用录入（明细）'!C:C&lt;=$L$4),ROW(),"-")</f>
        <v>-</v>
      </c>
    </row>
    <row r="20466" customHeight="1" spans="2:2">
      <c r="B20466" s="62" t="str">
        <f>IF(AND('领用录入（明细）'!D:D=$F$4,'领用录入（明细）'!C:C&gt;=$J$4,'领用录入（明细）'!C:C&lt;=$L$4),ROW(),"-")</f>
        <v>-</v>
      </c>
    </row>
    <row r="20467" customHeight="1" spans="2:2">
      <c r="B20467" s="62" t="str">
        <f>IF(AND('领用录入（明细）'!D:D=$F$4,'领用录入（明细）'!C:C&gt;=$J$4,'领用录入（明细）'!C:C&lt;=$L$4),ROW(),"-")</f>
        <v>-</v>
      </c>
    </row>
    <row r="20468" customHeight="1" spans="2:2">
      <c r="B20468" s="62" t="str">
        <f>IF(AND('领用录入（明细）'!D:D=$F$4,'领用录入（明细）'!C:C&gt;=$J$4,'领用录入（明细）'!C:C&lt;=$L$4),ROW(),"-")</f>
        <v>-</v>
      </c>
    </row>
    <row r="20469" customHeight="1" spans="2:2">
      <c r="B20469" s="62" t="str">
        <f>IF(AND('领用录入（明细）'!D:D=$F$4,'领用录入（明细）'!C:C&gt;=$J$4,'领用录入（明细）'!C:C&lt;=$L$4),ROW(),"-")</f>
        <v>-</v>
      </c>
    </row>
    <row r="20470" customHeight="1" spans="2:2">
      <c r="B20470" s="62" t="str">
        <f>IF(AND('领用录入（明细）'!D:D=$F$4,'领用录入（明细）'!C:C&gt;=$J$4,'领用录入（明细）'!C:C&lt;=$L$4),ROW(),"-")</f>
        <v>-</v>
      </c>
    </row>
    <row r="20471" customHeight="1" spans="2:2">
      <c r="B20471" s="62" t="str">
        <f>IF(AND('领用录入（明细）'!D:D=$F$4,'领用录入（明细）'!C:C&gt;=$J$4,'领用录入（明细）'!C:C&lt;=$L$4),ROW(),"-")</f>
        <v>-</v>
      </c>
    </row>
    <row r="20472" customHeight="1" spans="2:2">
      <c r="B20472" s="62" t="str">
        <f>IF(AND('领用录入（明细）'!D:D=$F$4,'领用录入（明细）'!C:C&gt;=$J$4,'领用录入（明细）'!C:C&lt;=$L$4),ROW(),"-")</f>
        <v>-</v>
      </c>
    </row>
    <row r="20473" customHeight="1" spans="2:2">
      <c r="B20473" s="62" t="str">
        <f>IF(AND('领用录入（明细）'!D:D=$F$4,'领用录入（明细）'!C:C&gt;=$J$4,'领用录入（明细）'!C:C&lt;=$L$4),ROW(),"-")</f>
        <v>-</v>
      </c>
    </row>
    <row r="20474" customHeight="1" spans="2:2">
      <c r="B20474" s="62" t="str">
        <f>IF(AND('领用录入（明细）'!D:D=$F$4,'领用录入（明细）'!C:C&gt;=$J$4,'领用录入（明细）'!C:C&lt;=$L$4),ROW(),"-")</f>
        <v>-</v>
      </c>
    </row>
    <row r="20475" customHeight="1" spans="2:2">
      <c r="B20475" s="62" t="str">
        <f>IF(AND('领用录入（明细）'!D:D=$F$4,'领用录入（明细）'!C:C&gt;=$J$4,'领用录入（明细）'!C:C&lt;=$L$4),ROW(),"-")</f>
        <v>-</v>
      </c>
    </row>
    <row r="20476" customHeight="1" spans="2:2">
      <c r="B20476" s="62" t="str">
        <f>IF(AND('领用录入（明细）'!D:D=$F$4,'领用录入（明细）'!C:C&gt;=$J$4,'领用录入（明细）'!C:C&lt;=$L$4),ROW(),"-")</f>
        <v>-</v>
      </c>
    </row>
    <row r="20477" customHeight="1" spans="2:2">
      <c r="B20477" s="62" t="str">
        <f>IF(AND('领用录入（明细）'!D:D=$F$4,'领用录入（明细）'!C:C&gt;=$J$4,'领用录入（明细）'!C:C&lt;=$L$4),ROW(),"-")</f>
        <v>-</v>
      </c>
    </row>
    <row r="20478" customHeight="1" spans="2:2">
      <c r="B20478" s="62" t="str">
        <f>IF(AND('领用录入（明细）'!D:D=$F$4,'领用录入（明细）'!C:C&gt;=$J$4,'领用录入（明细）'!C:C&lt;=$L$4),ROW(),"-")</f>
        <v>-</v>
      </c>
    </row>
    <row r="20479" customHeight="1" spans="2:2">
      <c r="B20479" s="62" t="str">
        <f>IF(AND('领用录入（明细）'!D:D=$F$4,'领用录入（明细）'!C:C&gt;=$J$4,'领用录入（明细）'!C:C&lt;=$L$4),ROW(),"-")</f>
        <v>-</v>
      </c>
    </row>
    <row r="20480" customHeight="1" spans="2:2">
      <c r="B20480" s="62" t="str">
        <f>IF(AND('领用录入（明细）'!D:D=$F$4,'领用录入（明细）'!C:C&gt;=$J$4,'领用录入（明细）'!C:C&lt;=$L$4),ROW(),"-")</f>
        <v>-</v>
      </c>
    </row>
    <row r="20481" customHeight="1" spans="2:2">
      <c r="B20481" s="62" t="str">
        <f>IF(AND('领用录入（明细）'!D:D=$F$4,'领用录入（明细）'!C:C&gt;=$J$4,'领用录入（明细）'!C:C&lt;=$L$4),ROW(),"-")</f>
        <v>-</v>
      </c>
    </row>
    <row r="20482" customHeight="1" spans="2:2">
      <c r="B20482" s="62" t="str">
        <f>IF(AND('领用录入（明细）'!D:D=$F$4,'领用录入（明细）'!C:C&gt;=$J$4,'领用录入（明细）'!C:C&lt;=$L$4),ROW(),"-")</f>
        <v>-</v>
      </c>
    </row>
    <row r="20483" customHeight="1" spans="2:2">
      <c r="B20483" s="62" t="str">
        <f>IF(AND('领用录入（明细）'!D:D=$F$4,'领用录入（明细）'!C:C&gt;=$J$4,'领用录入（明细）'!C:C&lt;=$L$4),ROW(),"-")</f>
        <v>-</v>
      </c>
    </row>
    <row r="20484" customHeight="1" spans="2:2">
      <c r="B20484" s="62" t="str">
        <f>IF(AND('领用录入（明细）'!D:D=$F$4,'领用录入（明细）'!C:C&gt;=$J$4,'领用录入（明细）'!C:C&lt;=$L$4),ROW(),"-")</f>
        <v>-</v>
      </c>
    </row>
    <row r="20485" customHeight="1" spans="2:2">
      <c r="B20485" s="62" t="str">
        <f>IF(AND('领用录入（明细）'!D:D=$F$4,'领用录入（明细）'!C:C&gt;=$J$4,'领用录入（明细）'!C:C&lt;=$L$4),ROW(),"-")</f>
        <v>-</v>
      </c>
    </row>
    <row r="20486" customHeight="1" spans="2:2">
      <c r="B20486" s="62" t="str">
        <f>IF(AND('领用录入（明细）'!D:D=$F$4,'领用录入（明细）'!C:C&gt;=$J$4,'领用录入（明细）'!C:C&lt;=$L$4),ROW(),"-")</f>
        <v>-</v>
      </c>
    </row>
    <row r="20487" customHeight="1" spans="2:2">
      <c r="B20487" s="62" t="str">
        <f>IF(AND('领用录入（明细）'!D:D=$F$4,'领用录入（明细）'!C:C&gt;=$J$4,'领用录入（明细）'!C:C&lt;=$L$4),ROW(),"-")</f>
        <v>-</v>
      </c>
    </row>
    <row r="20488" customHeight="1" spans="2:2">
      <c r="B20488" s="62" t="str">
        <f>IF(AND('领用录入（明细）'!D:D=$F$4,'领用录入（明细）'!C:C&gt;=$J$4,'领用录入（明细）'!C:C&lt;=$L$4),ROW(),"-")</f>
        <v>-</v>
      </c>
    </row>
    <row r="20489" customHeight="1" spans="2:2">
      <c r="B20489" s="62" t="str">
        <f>IF(AND('领用录入（明细）'!D:D=$F$4,'领用录入（明细）'!C:C&gt;=$J$4,'领用录入（明细）'!C:C&lt;=$L$4),ROW(),"-")</f>
        <v>-</v>
      </c>
    </row>
    <row r="20490" customHeight="1" spans="2:2">
      <c r="B20490" s="62" t="str">
        <f>IF(AND('领用录入（明细）'!D:D=$F$4,'领用录入（明细）'!C:C&gt;=$J$4,'领用录入（明细）'!C:C&lt;=$L$4),ROW(),"-")</f>
        <v>-</v>
      </c>
    </row>
    <row r="20491" customHeight="1" spans="2:2">
      <c r="B20491" s="62" t="str">
        <f>IF(AND('领用录入（明细）'!D:D=$F$4,'领用录入（明细）'!C:C&gt;=$J$4,'领用录入（明细）'!C:C&lt;=$L$4),ROW(),"-")</f>
        <v>-</v>
      </c>
    </row>
    <row r="20492" customHeight="1" spans="2:2">
      <c r="B20492" s="62" t="str">
        <f>IF(AND('领用录入（明细）'!D:D=$F$4,'领用录入（明细）'!C:C&gt;=$J$4,'领用录入（明细）'!C:C&lt;=$L$4),ROW(),"-")</f>
        <v>-</v>
      </c>
    </row>
    <row r="20493" customHeight="1" spans="2:2">
      <c r="B20493" s="62" t="str">
        <f>IF(AND('领用录入（明细）'!D:D=$F$4,'领用录入（明细）'!C:C&gt;=$J$4,'领用录入（明细）'!C:C&lt;=$L$4),ROW(),"-")</f>
        <v>-</v>
      </c>
    </row>
    <row r="20494" customHeight="1" spans="2:2">
      <c r="B20494" s="62" t="str">
        <f>IF(AND('领用录入（明细）'!D:D=$F$4,'领用录入（明细）'!C:C&gt;=$J$4,'领用录入（明细）'!C:C&lt;=$L$4),ROW(),"-")</f>
        <v>-</v>
      </c>
    </row>
    <row r="20495" customHeight="1" spans="2:2">
      <c r="B20495" s="62" t="str">
        <f>IF(AND('领用录入（明细）'!D:D=$F$4,'领用录入（明细）'!C:C&gt;=$J$4,'领用录入（明细）'!C:C&lt;=$L$4),ROW(),"-")</f>
        <v>-</v>
      </c>
    </row>
    <row r="20496" customHeight="1" spans="2:2">
      <c r="B20496" s="62" t="str">
        <f>IF(AND('领用录入（明细）'!D:D=$F$4,'领用录入（明细）'!C:C&gt;=$J$4,'领用录入（明细）'!C:C&lt;=$L$4),ROW(),"-")</f>
        <v>-</v>
      </c>
    </row>
    <row r="20497" customHeight="1" spans="2:2">
      <c r="B20497" s="62" t="str">
        <f>IF(AND('领用录入（明细）'!D:D=$F$4,'领用录入（明细）'!C:C&gt;=$J$4,'领用录入（明细）'!C:C&lt;=$L$4),ROW(),"-")</f>
        <v>-</v>
      </c>
    </row>
    <row r="20498" customHeight="1" spans="2:2">
      <c r="B20498" s="62" t="str">
        <f>IF(AND('领用录入（明细）'!D:D=$F$4,'领用录入（明细）'!C:C&gt;=$J$4,'领用录入（明细）'!C:C&lt;=$L$4),ROW(),"-")</f>
        <v>-</v>
      </c>
    </row>
    <row r="20499" customHeight="1" spans="2:2">
      <c r="B20499" s="62" t="str">
        <f>IF(AND('领用录入（明细）'!D:D=$F$4,'领用录入（明细）'!C:C&gt;=$J$4,'领用录入（明细）'!C:C&lt;=$L$4),ROW(),"-")</f>
        <v>-</v>
      </c>
    </row>
    <row r="20500" customHeight="1" spans="2:2">
      <c r="B20500" s="62" t="str">
        <f>IF(AND('领用录入（明细）'!D:D=$F$4,'领用录入（明细）'!C:C&gt;=$J$4,'领用录入（明细）'!C:C&lt;=$L$4),ROW(),"-")</f>
        <v>-</v>
      </c>
    </row>
    <row r="20501" customHeight="1" spans="2:2">
      <c r="B20501" s="62" t="str">
        <f>IF(AND('领用录入（明细）'!D:D=$F$4,'领用录入（明细）'!C:C&gt;=$J$4,'领用录入（明细）'!C:C&lt;=$L$4),ROW(),"-")</f>
        <v>-</v>
      </c>
    </row>
    <row r="20502" customHeight="1" spans="2:2">
      <c r="B20502" s="62" t="str">
        <f>IF(AND('领用录入（明细）'!D:D=$F$4,'领用录入（明细）'!C:C&gt;=$J$4,'领用录入（明细）'!C:C&lt;=$L$4),ROW(),"-")</f>
        <v>-</v>
      </c>
    </row>
    <row r="20503" customHeight="1" spans="2:2">
      <c r="B20503" s="62" t="str">
        <f>IF(AND('领用录入（明细）'!D:D=$F$4,'领用录入（明细）'!C:C&gt;=$J$4,'领用录入（明细）'!C:C&lt;=$L$4),ROW(),"-")</f>
        <v>-</v>
      </c>
    </row>
    <row r="20504" customHeight="1" spans="2:2">
      <c r="B20504" s="62" t="str">
        <f>IF(AND('领用录入（明细）'!D:D=$F$4,'领用录入（明细）'!C:C&gt;=$J$4,'领用录入（明细）'!C:C&lt;=$L$4),ROW(),"-")</f>
        <v>-</v>
      </c>
    </row>
    <row r="20505" customHeight="1" spans="2:2">
      <c r="B20505" s="62" t="str">
        <f>IF(AND('领用录入（明细）'!D:D=$F$4,'领用录入（明细）'!C:C&gt;=$J$4,'领用录入（明细）'!C:C&lt;=$L$4),ROW(),"-")</f>
        <v>-</v>
      </c>
    </row>
    <row r="20506" customHeight="1" spans="2:2">
      <c r="B20506" s="62" t="str">
        <f>IF(AND('领用录入（明细）'!D:D=$F$4,'领用录入（明细）'!C:C&gt;=$J$4,'领用录入（明细）'!C:C&lt;=$L$4),ROW(),"-")</f>
        <v>-</v>
      </c>
    </row>
    <row r="20507" customHeight="1" spans="2:2">
      <c r="B20507" s="62" t="str">
        <f>IF(AND('领用录入（明细）'!D:D=$F$4,'领用录入（明细）'!C:C&gt;=$J$4,'领用录入（明细）'!C:C&lt;=$L$4),ROW(),"-")</f>
        <v>-</v>
      </c>
    </row>
    <row r="20508" customHeight="1" spans="2:2">
      <c r="B20508" s="62" t="str">
        <f>IF(AND('领用录入（明细）'!D:D=$F$4,'领用录入（明细）'!C:C&gt;=$J$4,'领用录入（明细）'!C:C&lt;=$L$4),ROW(),"-")</f>
        <v>-</v>
      </c>
    </row>
    <row r="20509" customHeight="1" spans="2:2">
      <c r="B20509" s="62" t="str">
        <f>IF(AND('领用录入（明细）'!D:D=$F$4,'领用录入（明细）'!C:C&gt;=$J$4,'领用录入（明细）'!C:C&lt;=$L$4),ROW(),"-")</f>
        <v>-</v>
      </c>
    </row>
    <row r="20510" customHeight="1" spans="2:2">
      <c r="B20510" s="62" t="str">
        <f>IF(AND('领用录入（明细）'!D:D=$F$4,'领用录入（明细）'!C:C&gt;=$J$4,'领用录入（明细）'!C:C&lt;=$L$4),ROW(),"-")</f>
        <v>-</v>
      </c>
    </row>
    <row r="20511" customHeight="1" spans="2:2">
      <c r="B20511" s="62" t="str">
        <f>IF(AND('领用录入（明细）'!D:D=$F$4,'领用录入（明细）'!C:C&gt;=$J$4,'领用录入（明细）'!C:C&lt;=$L$4),ROW(),"-")</f>
        <v>-</v>
      </c>
    </row>
    <row r="20512" customHeight="1" spans="2:2">
      <c r="B20512" s="62" t="str">
        <f>IF(AND('领用录入（明细）'!D:D=$F$4,'领用录入（明细）'!C:C&gt;=$J$4,'领用录入（明细）'!C:C&lt;=$L$4),ROW(),"-")</f>
        <v>-</v>
      </c>
    </row>
    <row r="20513" customHeight="1" spans="2:2">
      <c r="B20513" s="62" t="str">
        <f>IF(AND('领用录入（明细）'!D:D=$F$4,'领用录入（明细）'!C:C&gt;=$J$4,'领用录入（明细）'!C:C&lt;=$L$4),ROW(),"-")</f>
        <v>-</v>
      </c>
    </row>
    <row r="20514" customHeight="1" spans="2:2">
      <c r="B20514" s="62" t="str">
        <f>IF(AND('领用录入（明细）'!D:D=$F$4,'领用录入（明细）'!C:C&gt;=$J$4,'领用录入（明细）'!C:C&lt;=$L$4),ROW(),"-")</f>
        <v>-</v>
      </c>
    </row>
    <row r="20515" customHeight="1" spans="2:2">
      <c r="B20515" s="62" t="str">
        <f>IF(AND('领用录入（明细）'!D:D=$F$4,'领用录入（明细）'!C:C&gt;=$J$4,'领用录入（明细）'!C:C&lt;=$L$4),ROW(),"-")</f>
        <v>-</v>
      </c>
    </row>
    <row r="20516" customHeight="1" spans="2:2">
      <c r="B20516" s="62" t="str">
        <f>IF(AND('领用录入（明细）'!D:D=$F$4,'领用录入（明细）'!C:C&gt;=$J$4,'领用录入（明细）'!C:C&lt;=$L$4),ROW(),"-")</f>
        <v>-</v>
      </c>
    </row>
    <row r="20517" customHeight="1" spans="2:2">
      <c r="B20517" s="62" t="str">
        <f>IF(AND('领用录入（明细）'!D:D=$F$4,'领用录入（明细）'!C:C&gt;=$J$4,'领用录入（明细）'!C:C&lt;=$L$4),ROW(),"-")</f>
        <v>-</v>
      </c>
    </row>
    <row r="20518" customHeight="1" spans="2:2">
      <c r="B20518" s="62" t="str">
        <f>IF(AND('领用录入（明细）'!D:D=$F$4,'领用录入（明细）'!C:C&gt;=$J$4,'领用录入（明细）'!C:C&lt;=$L$4),ROW(),"-")</f>
        <v>-</v>
      </c>
    </row>
    <row r="20519" customHeight="1" spans="2:2">
      <c r="B20519" s="62" t="str">
        <f>IF(AND('领用录入（明细）'!D:D=$F$4,'领用录入（明细）'!C:C&gt;=$J$4,'领用录入（明细）'!C:C&lt;=$L$4),ROW(),"-")</f>
        <v>-</v>
      </c>
    </row>
    <row r="20520" customHeight="1" spans="2:2">
      <c r="B20520" s="62" t="str">
        <f>IF(AND('领用录入（明细）'!D:D=$F$4,'领用录入（明细）'!C:C&gt;=$J$4,'领用录入（明细）'!C:C&lt;=$L$4),ROW(),"-")</f>
        <v>-</v>
      </c>
    </row>
    <row r="20521" customHeight="1" spans="2:2">
      <c r="B20521" s="62" t="str">
        <f>IF(AND('领用录入（明细）'!D:D=$F$4,'领用录入（明细）'!C:C&gt;=$J$4,'领用录入（明细）'!C:C&lt;=$L$4),ROW(),"-")</f>
        <v>-</v>
      </c>
    </row>
    <row r="20522" customHeight="1" spans="2:2">
      <c r="B20522" s="62" t="str">
        <f>IF(AND('领用录入（明细）'!D:D=$F$4,'领用录入（明细）'!C:C&gt;=$J$4,'领用录入（明细）'!C:C&lt;=$L$4),ROW(),"-")</f>
        <v>-</v>
      </c>
    </row>
    <row r="20523" customHeight="1" spans="2:2">
      <c r="B20523" s="62" t="str">
        <f>IF(AND('领用录入（明细）'!D:D=$F$4,'领用录入（明细）'!C:C&gt;=$J$4,'领用录入（明细）'!C:C&lt;=$L$4),ROW(),"-")</f>
        <v>-</v>
      </c>
    </row>
    <row r="20524" customHeight="1" spans="2:2">
      <c r="B20524" s="62" t="str">
        <f>IF(AND('领用录入（明细）'!D:D=$F$4,'领用录入（明细）'!C:C&gt;=$J$4,'领用录入（明细）'!C:C&lt;=$L$4),ROW(),"-")</f>
        <v>-</v>
      </c>
    </row>
    <row r="20525" customHeight="1" spans="2:2">
      <c r="B20525" s="62" t="str">
        <f>IF(AND('领用录入（明细）'!D:D=$F$4,'领用录入（明细）'!C:C&gt;=$J$4,'领用录入（明细）'!C:C&lt;=$L$4),ROW(),"-")</f>
        <v>-</v>
      </c>
    </row>
    <row r="20526" customHeight="1" spans="2:2">
      <c r="B20526" s="62" t="str">
        <f>IF(AND('领用录入（明细）'!D:D=$F$4,'领用录入（明细）'!C:C&gt;=$J$4,'领用录入（明细）'!C:C&lt;=$L$4),ROW(),"-")</f>
        <v>-</v>
      </c>
    </row>
    <row r="20527" customHeight="1" spans="2:2">
      <c r="B20527" s="62" t="str">
        <f>IF(AND('领用录入（明细）'!D:D=$F$4,'领用录入（明细）'!C:C&gt;=$J$4,'领用录入（明细）'!C:C&lt;=$L$4),ROW(),"-")</f>
        <v>-</v>
      </c>
    </row>
    <row r="20528" customHeight="1" spans="2:2">
      <c r="B20528" s="62" t="str">
        <f>IF(AND('领用录入（明细）'!D:D=$F$4,'领用录入（明细）'!C:C&gt;=$J$4,'领用录入（明细）'!C:C&lt;=$L$4),ROW(),"-")</f>
        <v>-</v>
      </c>
    </row>
    <row r="20529" customHeight="1" spans="2:2">
      <c r="B20529" s="62" t="str">
        <f>IF(AND('领用录入（明细）'!D:D=$F$4,'领用录入（明细）'!C:C&gt;=$J$4,'领用录入（明细）'!C:C&lt;=$L$4),ROW(),"-")</f>
        <v>-</v>
      </c>
    </row>
    <row r="20530" customHeight="1" spans="2:2">
      <c r="B20530" s="62" t="str">
        <f>IF(AND('领用录入（明细）'!D:D=$F$4,'领用录入（明细）'!C:C&gt;=$J$4,'领用录入（明细）'!C:C&lt;=$L$4),ROW(),"-")</f>
        <v>-</v>
      </c>
    </row>
    <row r="20531" customHeight="1" spans="2:2">
      <c r="B20531" s="62" t="str">
        <f>IF(AND('领用录入（明细）'!D:D=$F$4,'领用录入（明细）'!C:C&gt;=$J$4,'领用录入（明细）'!C:C&lt;=$L$4),ROW(),"-")</f>
        <v>-</v>
      </c>
    </row>
    <row r="20532" customHeight="1" spans="2:2">
      <c r="B20532" s="62" t="str">
        <f>IF(AND('领用录入（明细）'!D:D=$F$4,'领用录入（明细）'!C:C&gt;=$J$4,'领用录入（明细）'!C:C&lt;=$L$4),ROW(),"-")</f>
        <v>-</v>
      </c>
    </row>
    <row r="20533" customHeight="1" spans="2:2">
      <c r="B20533" s="62" t="str">
        <f>IF(AND('领用录入（明细）'!D:D=$F$4,'领用录入（明细）'!C:C&gt;=$J$4,'领用录入（明细）'!C:C&lt;=$L$4),ROW(),"-")</f>
        <v>-</v>
      </c>
    </row>
    <row r="20534" customHeight="1" spans="2:2">
      <c r="B20534" s="62" t="str">
        <f>IF(AND('领用录入（明细）'!D:D=$F$4,'领用录入（明细）'!C:C&gt;=$J$4,'领用录入（明细）'!C:C&lt;=$L$4),ROW(),"-")</f>
        <v>-</v>
      </c>
    </row>
    <row r="20535" customHeight="1" spans="2:2">
      <c r="B20535" s="62" t="str">
        <f>IF(AND('领用录入（明细）'!D:D=$F$4,'领用录入（明细）'!C:C&gt;=$J$4,'领用录入（明细）'!C:C&lt;=$L$4),ROW(),"-")</f>
        <v>-</v>
      </c>
    </row>
    <row r="20536" customHeight="1" spans="2:2">
      <c r="B20536" s="62" t="str">
        <f>IF(AND('领用录入（明细）'!D:D=$F$4,'领用录入（明细）'!C:C&gt;=$J$4,'领用录入（明细）'!C:C&lt;=$L$4),ROW(),"-")</f>
        <v>-</v>
      </c>
    </row>
    <row r="20537" customHeight="1" spans="2:2">
      <c r="B20537" s="62" t="str">
        <f>IF(AND('领用录入（明细）'!D:D=$F$4,'领用录入（明细）'!C:C&gt;=$J$4,'领用录入（明细）'!C:C&lt;=$L$4),ROW(),"-")</f>
        <v>-</v>
      </c>
    </row>
    <row r="20538" customHeight="1" spans="2:2">
      <c r="B20538" s="62" t="str">
        <f>IF(AND('领用录入（明细）'!D:D=$F$4,'领用录入（明细）'!C:C&gt;=$J$4,'领用录入（明细）'!C:C&lt;=$L$4),ROW(),"-")</f>
        <v>-</v>
      </c>
    </row>
    <row r="20539" customHeight="1" spans="2:2">
      <c r="B20539" s="62" t="str">
        <f>IF(AND('领用录入（明细）'!D:D=$F$4,'领用录入（明细）'!C:C&gt;=$J$4,'领用录入（明细）'!C:C&lt;=$L$4),ROW(),"-")</f>
        <v>-</v>
      </c>
    </row>
    <row r="20540" customHeight="1" spans="2:2">
      <c r="B20540" s="62" t="str">
        <f>IF(AND('领用录入（明细）'!D:D=$F$4,'领用录入（明细）'!C:C&gt;=$J$4,'领用录入（明细）'!C:C&lt;=$L$4),ROW(),"-")</f>
        <v>-</v>
      </c>
    </row>
    <row r="20541" customHeight="1" spans="2:2">
      <c r="B20541" s="62" t="str">
        <f>IF(AND('领用录入（明细）'!D:D=$F$4,'领用录入（明细）'!C:C&gt;=$J$4,'领用录入（明细）'!C:C&lt;=$L$4),ROW(),"-")</f>
        <v>-</v>
      </c>
    </row>
    <row r="20542" customHeight="1" spans="2:2">
      <c r="B20542" s="62" t="str">
        <f>IF(AND('领用录入（明细）'!D:D=$F$4,'领用录入（明细）'!C:C&gt;=$J$4,'领用录入（明细）'!C:C&lt;=$L$4),ROW(),"-")</f>
        <v>-</v>
      </c>
    </row>
    <row r="20543" customHeight="1" spans="2:2">
      <c r="B20543" s="62" t="str">
        <f>IF(AND('领用录入（明细）'!D:D=$F$4,'领用录入（明细）'!C:C&gt;=$J$4,'领用录入（明细）'!C:C&lt;=$L$4),ROW(),"-")</f>
        <v>-</v>
      </c>
    </row>
    <row r="20544" customHeight="1" spans="2:2">
      <c r="B20544" s="62" t="str">
        <f>IF(AND('领用录入（明细）'!D:D=$F$4,'领用录入（明细）'!C:C&gt;=$J$4,'领用录入（明细）'!C:C&lt;=$L$4),ROW(),"-")</f>
        <v>-</v>
      </c>
    </row>
    <row r="20545" customHeight="1" spans="2:2">
      <c r="B20545" s="62" t="str">
        <f>IF(AND('领用录入（明细）'!D:D=$F$4,'领用录入（明细）'!C:C&gt;=$J$4,'领用录入（明细）'!C:C&lt;=$L$4),ROW(),"-")</f>
        <v>-</v>
      </c>
    </row>
    <row r="20546" customHeight="1" spans="2:2">
      <c r="B20546" s="62" t="str">
        <f>IF(AND('领用录入（明细）'!D:D=$F$4,'领用录入（明细）'!C:C&gt;=$J$4,'领用录入（明细）'!C:C&lt;=$L$4),ROW(),"-")</f>
        <v>-</v>
      </c>
    </row>
    <row r="20547" customHeight="1" spans="2:2">
      <c r="B20547" s="62" t="str">
        <f>IF(AND('领用录入（明细）'!D:D=$F$4,'领用录入（明细）'!C:C&gt;=$J$4,'领用录入（明细）'!C:C&lt;=$L$4),ROW(),"-")</f>
        <v>-</v>
      </c>
    </row>
    <row r="20548" customHeight="1" spans="2:2">
      <c r="B20548" s="62" t="str">
        <f>IF(AND('领用录入（明细）'!D:D=$F$4,'领用录入（明细）'!C:C&gt;=$J$4,'领用录入（明细）'!C:C&lt;=$L$4),ROW(),"-")</f>
        <v>-</v>
      </c>
    </row>
    <row r="20549" customHeight="1" spans="2:2">
      <c r="B20549" s="62" t="str">
        <f>IF(AND('领用录入（明细）'!D:D=$F$4,'领用录入（明细）'!C:C&gt;=$J$4,'领用录入（明细）'!C:C&lt;=$L$4),ROW(),"-")</f>
        <v>-</v>
      </c>
    </row>
    <row r="20550" customHeight="1" spans="2:2">
      <c r="B20550" s="62" t="str">
        <f>IF(AND('领用录入（明细）'!D:D=$F$4,'领用录入（明细）'!C:C&gt;=$J$4,'领用录入（明细）'!C:C&lt;=$L$4),ROW(),"-")</f>
        <v>-</v>
      </c>
    </row>
    <row r="20551" customHeight="1" spans="2:2">
      <c r="B20551" s="62" t="str">
        <f>IF(AND('领用录入（明细）'!D:D=$F$4,'领用录入（明细）'!C:C&gt;=$J$4,'领用录入（明细）'!C:C&lt;=$L$4),ROW(),"-")</f>
        <v>-</v>
      </c>
    </row>
    <row r="20552" customHeight="1" spans="2:2">
      <c r="B20552" s="62" t="str">
        <f>IF(AND('领用录入（明细）'!D:D=$F$4,'领用录入（明细）'!C:C&gt;=$J$4,'领用录入（明细）'!C:C&lt;=$L$4),ROW(),"-")</f>
        <v>-</v>
      </c>
    </row>
    <row r="20553" customHeight="1" spans="2:2">
      <c r="B20553" s="62" t="str">
        <f>IF(AND('领用录入（明细）'!D:D=$F$4,'领用录入（明细）'!C:C&gt;=$J$4,'领用录入（明细）'!C:C&lt;=$L$4),ROW(),"-")</f>
        <v>-</v>
      </c>
    </row>
    <row r="20554" customHeight="1" spans="2:2">
      <c r="B20554" s="62" t="str">
        <f>IF(AND('领用录入（明细）'!D:D=$F$4,'领用录入（明细）'!C:C&gt;=$J$4,'领用录入（明细）'!C:C&lt;=$L$4),ROW(),"-")</f>
        <v>-</v>
      </c>
    </row>
    <row r="20555" customHeight="1" spans="2:2">
      <c r="B20555" s="62" t="str">
        <f>IF(AND('领用录入（明细）'!D:D=$F$4,'领用录入（明细）'!C:C&gt;=$J$4,'领用录入（明细）'!C:C&lt;=$L$4),ROW(),"-")</f>
        <v>-</v>
      </c>
    </row>
    <row r="20556" customHeight="1" spans="2:2">
      <c r="B20556" s="62" t="str">
        <f>IF(AND('领用录入（明细）'!D:D=$F$4,'领用录入（明细）'!C:C&gt;=$J$4,'领用录入（明细）'!C:C&lt;=$L$4),ROW(),"-")</f>
        <v>-</v>
      </c>
    </row>
    <row r="20557" customHeight="1" spans="2:2">
      <c r="B20557" s="62" t="str">
        <f>IF(AND('领用录入（明细）'!D:D=$F$4,'领用录入（明细）'!C:C&gt;=$J$4,'领用录入（明细）'!C:C&lt;=$L$4),ROW(),"-")</f>
        <v>-</v>
      </c>
    </row>
    <row r="20558" customHeight="1" spans="2:2">
      <c r="B20558" s="62" t="str">
        <f>IF(AND('领用录入（明细）'!D:D=$F$4,'领用录入（明细）'!C:C&gt;=$J$4,'领用录入（明细）'!C:C&lt;=$L$4),ROW(),"-")</f>
        <v>-</v>
      </c>
    </row>
    <row r="20559" customHeight="1" spans="2:2">
      <c r="B20559" s="62" t="str">
        <f>IF(AND('领用录入（明细）'!D:D=$F$4,'领用录入（明细）'!C:C&gt;=$J$4,'领用录入（明细）'!C:C&lt;=$L$4),ROW(),"-")</f>
        <v>-</v>
      </c>
    </row>
    <row r="20560" customHeight="1" spans="2:2">
      <c r="B20560" s="62" t="str">
        <f>IF(AND('领用录入（明细）'!D:D=$F$4,'领用录入（明细）'!C:C&gt;=$J$4,'领用录入（明细）'!C:C&lt;=$L$4),ROW(),"-")</f>
        <v>-</v>
      </c>
    </row>
    <row r="20561" customHeight="1" spans="2:2">
      <c r="B20561" s="62" t="str">
        <f>IF(AND('领用录入（明细）'!D:D=$F$4,'领用录入（明细）'!C:C&gt;=$J$4,'领用录入（明细）'!C:C&lt;=$L$4),ROW(),"-")</f>
        <v>-</v>
      </c>
    </row>
    <row r="20562" customHeight="1" spans="2:2">
      <c r="B20562" s="62" t="str">
        <f>IF(AND('领用录入（明细）'!D:D=$F$4,'领用录入（明细）'!C:C&gt;=$J$4,'领用录入（明细）'!C:C&lt;=$L$4),ROW(),"-")</f>
        <v>-</v>
      </c>
    </row>
    <row r="20563" customHeight="1" spans="2:2">
      <c r="B20563" s="62" t="str">
        <f>IF(AND('领用录入（明细）'!D:D=$F$4,'领用录入（明细）'!C:C&gt;=$J$4,'领用录入（明细）'!C:C&lt;=$L$4),ROW(),"-")</f>
        <v>-</v>
      </c>
    </row>
    <row r="20564" customHeight="1" spans="2:2">
      <c r="B20564" s="62" t="str">
        <f>IF(AND('领用录入（明细）'!D:D=$F$4,'领用录入（明细）'!C:C&gt;=$J$4,'领用录入（明细）'!C:C&lt;=$L$4),ROW(),"-")</f>
        <v>-</v>
      </c>
    </row>
    <row r="20565" customHeight="1" spans="2:2">
      <c r="B20565" s="62" t="str">
        <f>IF(AND('领用录入（明细）'!D:D=$F$4,'领用录入（明细）'!C:C&gt;=$J$4,'领用录入（明细）'!C:C&lt;=$L$4),ROW(),"-")</f>
        <v>-</v>
      </c>
    </row>
    <row r="20566" customHeight="1" spans="2:2">
      <c r="B20566" s="62" t="str">
        <f>IF(AND('领用录入（明细）'!D:D=$F$4,'领用录入（明细）'!C:C&gt;=$J$4,'领用录入（明细）'!C:C&lt;=$L$4),ROW(),"-")</f>
        <v>-</v>
      </c>
    </row>
    <row r="20567" customHeight="1" spans="2:2">
      <c r="B20567" s="62" t="str">
        <f>IF(AND('领用录入（明细）'!D:D=$F$4,'领用录入（明细）'!C:C&gt;=$J$4,'领用录入（明细）'!C:C&lt;=$L$4),ROW(),"-")</f>
        <v>-</v>
      </c>
    </row>
    <row r="20568" customHeight="1" spans="2:2">
      <c r="B20568" s="62" t="str">
        <f>IF(AND('领用录入（明细）'!D:D=$F$4,'领用录入（明细）'!C:C&gt;=$J$4,'领用录入（明细）'!C:C&lt;=$L$4),ROW(),"-")</f>
        <v>-</v>
      </c>
    </row>
    <row r="20569" customHeight="1" spans="2:2">
      <c r="B20569" s="62" t="str">
        <f>IF(AND('领用录入（明细）'!D:D=$F$4,'领用录入（明细）'!C:C&gt;=$J$4,'领用录入（明细）'!C:C&lt;=$L$4),ROW(),"-")</f>
        <v>-</v>
      </c>
    </row>
    <row r="20570" customHeight="1" spans="2:2">
      <c r="B20570" s="62" t="str">
        <f>IF(AND('领用录入（明细）'!D:D=$F$4,'领用录入（明细）'!C:C&gt;=$J$4,'领用录入（明细）'!C:C&lt;=$L$4),ROW(),"-")</f>
        <v>-</v>
      </c>
    </row>
    <row r="20571" customHeight="1" spans="2:2">
      <c r="B20571" s="62" t="str">
        <f>IF(AND('领用录入（明细）'!D:D=$F$4,'领用录入（明细）'!C:C&gt;=$J$4,'领用录入（明细）'!C:C&lt;=$L$4),ROW(),"-")</f>
        <v>-</v>
      </c>
    </row>
    <row r="20572" customHeight="1" spans="2:2">
      <c r="B20572" s="62" t="str">
        <f>IF(AND('领用录入（明细）'!D:D=$F$4,'领用录入（明细）'!C:C&gt;=$J$4,'领用录入（明细）'!C:C&lt;=$L$4),ROW(),"-")</f>
        <v>-</v>
      </c>
    </row>
    <row r="20573" customHeight="1" spans="2:2">
      <c r="B20573" s="62" t="str">
        <f>IF(AND('领用录入（明细）'!D:D=$F$4,'领用录入（明细）'!C:C&gt;=$J$4,'领用录入（明细）'!C:C&lt;=$L$4),ROW(),"-")</f>
        <v>-</v>
      </c>
    </row>
    <row r="20574" customHeight="1" spans="2:2">
      <c r="B20574" s="62" t="str">
        <f>IF(AND('领用录入（明细）'!D:D=$F$4,'领用录入（明细）'!C:C&gt;=$J$4,'领用录入（明细）'!C:C&lt;=$L$4),ROW(),"-")</f>
        <v>-</v>
      </c>
    </row>
    <row r="20575" customHeight="1" spans="2:2">
      <c r="B20575" s="62" t="str">
        <f>IF(AND('领用录入（明细）'!D:D=$F$4,'领用录入（明细）'!C:C&gt;=$J$4,'领用录入（明细）'!C:C&lt;=$L$4),ROW(),"-")</f>
        <v>-</v>
      </c>
    </row>
    <row r="20576" customHeight="1" spans="2:2">
      <c r="B20576" s="62" t="str">
        <f>IF(AND('领用录入（明细）'!D:D=$F$4,'领用录入（明细）'!C:C&gt;=$J$4,'领用录入（明细）'!C:C&lt;=$L$4),ROW(),"-")</f>
        <v>-</v>
      </c>
    </row>
    <row r="20577" customHeight="1" spans="2:2">
      <c r="B20577" s="62" t="str">
        <f>IF(AND('领用录入（明细）'!D:D=$F$4,'领用录入（明细）'!C:C&gt;=$J$4,'领用录入（明细）'!C:C&lt;=$L$4),ROW(),"-")</f>
        <v>-</v>
      </c>
    </row>
    <row r="20578" customHeight="1" spans="2:2">
      <c r="B20578" s="62" t="str">
        <f>IF(AND('领用录入（明细）'!D:D=$F$4,'领用录入（明细）'!C:C&gt;=$J$4,'领用录入（明细）'!C:C&lt;=$L$4),ROW(),"-")</f>
        <v>-</v>
      </c>
    </row>
    <row r="20579" customHeight="1" spans="2:2">
      <c r="B20579" s="62" t="str">
        <f>IF(AND('领用录入（明细）'!D:D=$F$4,'领用录入（明细）'!C:C&gt;=$J$4,'领用录入（明细）'!C:C&lt;=$L$4),ROW(),"-")</f>
        <v>-</v>
      </c>
    </row>
    <row r="20580" customHeight="1" spans="2:2">
      <c r="B20580" s="62" t="str">
        <f>IF(AND('领用录入（明细）'!D:D=$F$4,'领用录入（明细）'!C:C&gt;=$J$4,'领用录入（明细）'!C:C&lt;=$L$4),ROW(),"-")</f>
        <v>-</v>
      </c>
    </row>
    <row r="20581" customHeight="1" spans="2:2">
      <c r="B20581" s="62" t="str">
        <f>IF(AND('领用录入（明细）'!D:D=$F$4,'领用录入（明细）'!C:C&gt;=$J$4,'领用录入（明细）'!C:C&lt;=$L$4),ROW(),"-")</f>
        <v>-</v>
      </c>
    </row>
    <row r="20582" customHeight="1" spans="2:2">
      <c r="B20582" s="62" t="str">
        <f>IF(AND('领用录入（明细）'!D:D=$F$4,'领用录入（明细）'!C:C&gt;=$J$4,'领用录入（明细）'!C:C&lt;=$L$4),ROW(),"-")</f>
        <v>-</v>
      </c>
    </row>
    <row r="20583" customHeight="1" spans="2:2">
      <c r="B20583" s="62" t="str">
        <f>IF(AND('领用录入（明细）'!D:D=$F$4,'领用录入（明细）'!C:C&gt;=$J$4,'领用录入（明细）'!C:C&lt;=$L$4),ROW(),"-")</f>
        <v>-</v>
      </c>
    </row>
    <row r="20584" customHeight="1" spans="2:2">
      <c r="B20584" s="62" t="str">
        <f>IF(AND('领用录入（明细）'!D:D=$F$4,'领用录入（明细）'!C:C&gt;=$J$4,'领用录入（明细）'!C:C&lt;=$L$4),ROW(),"-")</f>
        <v>-</v>
      </c>
    </row>
    <row r="20585" customHeight="1" spans="2:2">
      <c r="B20585" s="62" t="str">
        <f>IF(AND('领用录入（明细）'!D:D=$F$4,'领用录入（明细）'!C:C&gt;=$J$4,'领用录入（明细）'!C:C&lt;=$L$4),ROW(),"-")</f>
        <v>-</v>
      </c>
    </row>
    <row r="20586" customHeight="1" spans="2:2">
      <c r="B20586" s="62" t="str">
        <f>IF(AND('领用录入（明细）'!D:D=$F$4,'领用录入（明细）'!C:C&gt;=$J$4,'领用录入（明细）'!C:C&lt;=$L$4),ROW(),"-")</f>
        <v>-</v>
      </c>
    </row>
    <row r="20587" customHeight="1" spans="2:2">
      <c r="B20587" s="62" t="str">
        <f>IF(AND('领用录入（明细）'!D:D=$F$4,'领用录入（明细）'!C:C&gt;=$J$4,'领用录入（明细）'!C:C&lt;=$L$4),ROW(),"-")</f>
        <v>-</v>
      </c>
    </row>
    <row r="20588" customHeight="1" spans="2:2">
      <c r="B20588" s="62" t="str">
        <f>IF(AND('领用录入（明细）'!D:D=$F$4,'领用录入（明细）'!C:C&gt;=$J$4,'领用录入（明细）'!C:C&lt;=$L$4),ROW(),"-")</f>
        <v>-</v>
      </c>
    </row>
    <row r="20589" customHeight="1" spans="2:2">
      <c r="B20589" s="62" t="str">
        <f>IF(AND('领用录入（明细）'!D:D=$F$4,'领用录入（明细）'!C:C&gt;=$J$4,'领用录入（明细）'!C:C&lt;=$L$4),ROW(),"-")</f>
        <v>-</v>
      </c>
    </row>
    <row r="20590" customHeight="1" spans="2:2">
      <c r="B20590" s="62" t="str">
        <f>IF(AND('领用录入（明细）'!D:D=$F$4,'领用录入（明细）'!C:C&gt;=$J$4,'领用录入（明细）'!C:C&lt;=$L$4),ROW(),"-")</f>
        <v>-</v>
      </c>
    </row>
    <row r="20591" customHeight="1" spans="2:2">
      <c r="B20591" s="62" t="str">
        <f>IF(AND('领用录入（明细）'!D:D=$F$4,'领用录入（明细）'!C:C&gt;=$J$4,'领用录入（明细）'!C:C&lt;=$L$4),ROW(),"-")</f>
        <v>-</v>
      </c>
    </row>
    <row r="20592" customHeight="1" spans="2:2">
      <c r="B20592" s="62" t="str">
        <f>IF(AND('领用录入（明细）'!D:D=$F$4,'领用录入（明细）'!C:C&gt;=$J$4,'领用录入（明细）'!C:C&lt;=$L$4),ROW(),"-")</f>
        <v>-</v>
      </c>
    </row>
    <row r="20593" customHeight="1" spans="2:2">
      <c r="B20593" s="62" t="str">
        <f>IF(AND('领用录入（明细）'!D:D=$F$4,'领用录入（明细）'!C:C&gt;=$J$4,'领用录入（明细）'!C:C&lt;=$L$4),ROW(),"-")</f>
        <v>-</v>
      </c>
    </row>
    <row r="20594" customHeight="1" spans="2:2">
      <c r="B20594" s="62" t="str">
        <f>IF(AND('领用录入（明细）'!D:D=$F$4,'领用录入（明细）'!C:C&gt;=$J$4,'领用录入（明细）'!C:C&lt;=$L$4),ROW(),"-")</f>
        <v>-</v>
      </c>
    </row>
    <row r="20595" customHeight="1" spans="2:2">
      <c r="B20595" s="62" t="str">
        <f>IF(AND('领用录入（明细）'!D:D=$F$4,'领用录入（明细）'!C:C&gt;=$J$4,'领用录入（明细）'!C:C&lt;=$L$4),ROW(),"-")</f>
        <v>-</v>
      </c>
    </row>
    <row r="20596" customHeight="1" spans="2:2">
      <c r="B20596" s="62" t="str">
        <f>IF(AND('领用录入（明细）'!D:D=$F$4,'领用录入（明细）'!C:C&gt;=$J$4,'领用录入（明细）'!C:C&lt;=$L$4),ROW(),"-")</f>
        <v>-</v>
      </c>
    </row>
    <row r="20597" customHeight="1" spans="2:2">
      <c r="B20597" s="62" t="str">
        <f>IF(AND('领用录入（明细）'!D:D=$F$4,'领用录入（明细）'!C:C&gt;=$J$4,'领用录入（明细）'!C:C&lt;=$L$4),ROW(),"-")</f>
        <v>-</v>
      </c>
    </row>
    <row r="20598" customHeight="1" spans="2:2">
      <c r="B20598" s="62" t="str">
        <f>IF(AND('领用录入（明细）'!D:D=$F$4,'领用录入（明细）'!C:C&gt;=$J$4,'领用录入（明细）'!C:C&lt;=$L$4),ROW(),"-")</f>
        <v>-</v>
      </c>
    </row>
    <row r="20599" customHeight="1" spans="2:2">
      <c r="B20599" s="62" t="str">
        <f>IF(AND('领用录入（明细）'!D:D=$F$4,'领用录入（明细）'!C:C&gt;=$J$4,'领用录入（明细）'!C:C&lt;=$L$4),ROW(),"-")</f>
        <v>-</v>
      </c>
    </row>
    <row r="20600" customHeight="1" spans="2:2">
      <c r="B20600" s="62" t="str">
        <f>IF(AND('领用录入（明细）'!D:D=$F$4,'领用录入（明细）'!C:C&gt;=$J$4,'领用录入（明细）'!C:C&lt;=$L$4),ROW(),"-")</f>
        <v>-</v>
      </c>
    </row>
    <row r="20601" customHeight="1" spans="2:2">
      <c r="B20601" s="62" t="str">
        <f>IF(AND('领用录入（明细）'!D:D=$F$4,'领用录入（明细）'!C:C&gt;=$J$4,'领用录入（明细）'!C:C&lt;=$L$4),ROW(),"-")</f>
        <v>-</v>
      </c>
    </row>
    <row r="20602" customHeight="1" spans="2:2">
      <c r="B20602" s="62" t="str">
        <f>IF(AND('领用录入（明细）'!D:D=$F$4,'领用录入（明细）'!C:C&gt;=$J$4,'领用录入（明细）'!C:C&lt;=$L$4),ROW(),"-")</f>
        <v>-</v>
      </c>
    </row>
    <row r="20603" customHeight="1" spans="2:2">
      <c r="B20603" s="62" t="str">
        <f>IF(AND('领用录入（明细）'!D:D=$F$4,'领用录入（明细）'!C:C&gt;=$J$4,'领用录入（明细）'!C:C&lt;=$L$4),ROW(),"-")</f>
        <v>-</v>
      </c>
    </row>
    <row r="20604" customHeight="1" spans="2:2">
      <c r="B20604" s="62" t="str">
        <f>IF(AND('领用录入（明细）'!D:D=$F$4,'领用录入（明细）'!C:C&gt;=$J$4,'领用录入（明细）'!C:C&lt;=$L$4),ROW(),"-")</f>
        <v>-</v>
      </c>
    </row>
    <row r="20605" customHeight="1" spans="2:2">
      <c r="B20605" s="62" t="str">
        <f>IF(AND('领用录入（明细）'!D:D=$F$4,'领用录入（明细）'!C:C&gt;=$J$4,'领用录入（明细）'!C:C&lt;=$L$4),ROW(),"-")</f>
        <v>-</v>
      </c>
    </row>
    <row r="20606" customHeight="1" spans="2:2">
      <c r="B20606" s="62" t="str">
        <f>IF(AND('领用录入（明细）'!D:D=$F$4,'领用录入（明细）'!C:C&gt;=$J$4,'领用录入（明细）'!C:C&lt;=$L$4),ROW(),"-")</f>
        <v>-</v>
      </c>
    </row>
    <row r="20607" customHeight="1" spans="2:2">
      <c r="B20607" s="62" t="str">
        <f>IF(AND('领用录入（明细）'!D:D=$F$4,'领用录入（明细）'!C:C&gt;=$J$4,'领用录入（明细）'!C:C&lt;=$L$4),ROW(),"-")</f>
        <v>-</v>
      </c>
    </row>
    <row r="20608" customHeight="1" spans="2:2">
      <c r="B20608" s="62" t="str">
        <f>IF(AND('领用录入（明细）'!D:D=$F$4,'领用录入（明细）'!C:C&gt;=$J$4,'领用录入（明细）'!C:C&lt;=$L$4),ROW(),"-")</f>
        <v>-</v>
      </c>
    </row>
    <row r="20609" customHeight="1" spans="2:2">
      <c r="B20609" s="62" t="str">
        <f>IF(AND('领用录入（明细）'!D:D=$F$4,'领用录入（明细）'!C:C&gt;=$J$4,'领用录入（明细）'!C:C&lt;=$L$4),ROW(),"-")</f>
        <v>-</v>
      </c>
    </row>
    <row r="20610" customHeight="1" spans="2:2">
      <c r="B20610" s="62" t="str">
        <f>IF(AND('领用录入（明细）'!D:D=$F$4,'领用录入（明细）'!C:C&gt;=$J$4,'领用录入（明细）'!C:C&lt;=$L$4),ROW(),"-")</f>
        <v>-</v>
      </c>
    </row>
    <row r="20611" customHeight="1" spans="2:2">
      <c r="B20611" s="62" t="str">
        <f>IF(AND('领用录入（明细）'!D:D=$F$4,'领用录入（明细）'!C:C&gt;=$J$4,'领用录入（明细）'!C:C&lt;=$L$4),ROW(),"-")</f>
        <v>-</v>
      </c>
    </row>
    <row r="20612" customHeight="1" spans="2:2">
      <c r="B20612" s="62" t="str">
        <f>IF(AND('领用录入（明细）'!D:D=$F$4,'领用录入（明细）'!C:C&gt;=$J$4,'领用录入（明细）'!C:C&lt;=$L$4),ROW(),"-")</f>
        <v>-</v>
      </c>
    </row>
    <row r="20613" customHeight="1" spans="2:2">
      <c r="B20613" s="62" t="str">
        <f>IF(AND('领用录入（明细）'!D:D=$F$4,'领用录入（明细）'!C:C&gt;=$J$4,'领用录入（明细）'!C:C&lt;=$L$4),ROW(),"-")</f>
        <v>-</v>
      </c>
    </row>
    <row r="20614" customHeight="1" spans="2:2">
      <c r="B20614" s="62" t="str">
        <f>IF(AND('领用录入（明细）'!D:D=$F$4,'领用录入（明细）'!C:C&gt;=$J$4,'领用录入（明细）'!C:C&lt;=$L$4),ROW(),"-")</f>
        <v>-</v>
      </c>
    </row>
    <row r="20615" customHeight="1" spans="2:2">
      <c r="B20615" s="62" t="str">
        <f>IF(AND('领用录入（明细）'!D:D=$F$4,'领用录入（明细）'!C:C&gt;=$J$4,'领用录入（明细）'!C:C&lt;=$L$4),ROW(),"-")</f>
        <v>-</v>
      </c>
    </row>
    <row r="20616" customHeight="1" spans="2:2">
      <c r="B20616" s="62" t="str">
        <f>IF(AND('领用录入（明细）'!D:D=$F$4,'领用录入（明细）'!C:C&gt;=$J$4,'领用录入（明细）'!C:C&lt;=$L$4),ROW(),"-")</f>
        <v>-</v>
      </c>
    </row>
    <row r="20617" customHeight="1" spans="2:2">
      <c r="B20617" s="62" t="str">
        <f>IF(AND('领用录入（明细）'!D:D=$F$4,'领用录入（明细）'!C:C&gt;=$J$4,'领用录入（明细）'!C:C&lt;=$L$4),ROW(),"-")</f>
        <v>-</v>
      </c>
    </row>
    <row r="20618" customHeight="1" spans="2:2">
      <c r="B20618" s="62" t="str">
        <f>IF(AND('领用录入（明细）'!D:D=$F$4,'领用录入（明细）'!C:C&gt;=$J$4,'领用录入（明细）'!C:C&lt;=$L$4),ROW(),"-")</f>
        <v>-</v>
      </c>
    </row>
    <row r="20619" customHeight="1" spans="2:2">
      <c r="B20619" s="62" t="str">
        <f>IF(AND('领用录入（明细）'!D:D=$F$4,'领用录入（明细）'!C:C&gt;=$J$4,'领用录入（明细）'!C:C&lt;=$L$4),ROW(),"-")</f>
        <v>-</v>
      </c>
    </row>
    <row r="20620" customHeight="1" spans="2:2">
      <c r="B20620" s="62" t="str">
        <f>IF(AND('领用录入（明细）'!D:D=$F$4,'领用录入（明细）'!C:C&gt;=$J$4,'领用录入（明细）'!C:C&lt;=$L$4),ROW(),"-")</f>
        <v>-</v>
      </c>
    </row>
    <row r="20621" customHeight="1" spans="2:2">
      <c r="B20621" s="62" t="str">
        <f>IF(AND('领用录入（明细）'!D:D=$F$4,'领用录入（明细）'!C:C&gt;=$J$4,'领用录入（明细）'!C:C&lt;=$L$4),ROW(),"-")</f>
        <v>-</v>
      </c>
    </row>
    <row r="20622" customHeight="1" spans="2:2">
      <c r="B20622" s="62" t="str">
        <f>IF(AND('领用录入（明细）'!D:D=$F$4,'领用录入（明细）'!C:C&gt;=$J$4,'领用录入（明细）'!C:C&lt;=$L$4),ROW(),"-")</f>
        <v>-</v>
      </c>
    </row>
    <row r="20623" customHeight="1" spans="2:2">
      <c r="B20623" s="62" t="str">
        <f>IF(AND('领用录入（明细）'!D:D=$F$4,'领用录入（明细）'!C:C&gt;=$J$4,'领用录入（明细）'!C:C&lt;=$L$4),ROW(),"-")</f>
        <v>-</v>
      </c>
    </row>
    <row r="20624" customHeight="1" spans="2:2">
      <c r="B20624" s="62" t="str">
        <f>IF(AND('领用录入（明细）'!D:D=$F$4,'领用录入（明细）'!C:C&gt;=$J$4,'领用录入（明细）'!C:C&lt;=$L$4),ROW(),"-")</f>
        <v>-</v>
      </c>
    </row>
    <row r="20625" customHeight="1" spans="2:2">
      <c r="B20625" s="62" t="str">
        <f>IF(AND('领用录入（明细）'!D:D=$F$4,'领用录入（明细）'!C:C&gt;=$J$4,'领用录入（明细）'!C:C&lt;=$L$4),ROW(),"-")</f>
        <v>-</v>
      </c>
    </row>
    <row r="20626" customHeight="1" spans="2:2">
      <c r="B20626" s="62" t="str">
        <f>IF(AND('领用录入（明细）'!D:D=$F$4,'领用录入（明细）'!C:C&gt;=$J$4,'领用录入（明细）'!C:C&lt;=$L$4),ROW(),"-")</f>
        <v>-</v>
      </c>
    </row>
    <row r="20627" customHeight="1" spans="2:2">
      <c r="B20627" s="62" t="str">
        <f>IF(AND('领用录入（明细）'!D:D=$F$4,'领用录入（明细）'!C:C&gt;=$J$4,'领用录入（明细）'!C:C&lt;=$L$4),ROW(),"-")</f>
        <v>-</v>
      </c>
    </row>
    <row r="20628" customHeight="1" spans="2:2">
      <c r="B20628" s="62" t="str">
        <f>IF(AND('领用录入（明细）'!D:D=$F$4,'领用录入（明细）'!C:C&gt;=$J$4,'领用录入（明细）'!C:C&lt;=$L$4),ROW(),"-")</f>
        <v>-</v>
      </c>
    </row>
    <row r="20629" customHeight="1" spans="2:2">
      <c r="B20629" s="62" t="str">
        <f>IF(AND('领用录入（明细）'!D:D=$F$4,'领用录入（明细）'!C:C&gt;=$J$4,'领用录入（明细）'!C:C&lt;=$L$4),ROW(),"-")</f>
        <v>-</v>
      </c>
    </row>
    <row r="20630" customHeight="1" spans="2:2">
      <c r="B20630" s="62" t="str">
        <f>IF(AND('领用录入（明细）'!D:D=$F$4,'领用录入（明细）'!C:C&gt;=$J$4,'领用录入（明细）'!C:C&lt;=$L$4),ROW(),"-")</f>
        <v>-</v>
      </c>
    </row>
    <row r="20631" customHeight="1" spans="2:2">
      <c r="B20631" s="62" t="str">
        <f>IF(AND('领用录入（明细）'!D:D=$F$4,'领用录入（明细）'!C:C&gt;=$J$4,'领用录入（明细）'!C:C&lt;=$L$4),ROW(),"-")</f>
        <v>-</v>
      </c>
    </row>
    <row r="20632" customHeight="1" spans="2:2">
      <c r="B20632" s="62" t="str">
        <f>IF(AND('领用录入（明细）'!D:D=$F$4,'领用录入（明细）'!C:C&gt;=$J$4,'领用录入（明细）'!C:C&lt;=$L$4),ROW(),"-")</f>
        <v>-</v>
      </c>
    </row>
    <row r="20633" customHeight="1" spans="2:2">
      <c r="B20633" s="62" t="str">
        <f>IF(AND('领用录入（明细）'!D:D=$F$4,'领用录入（明细）'!C:C&gt;=$J$4,'领用录入（明细）'!C:C&lt;=$L$4),ROW(),"-")</f>
        <v>-</v>
      </c>
    </row>
    <row r="20634" customHeight="1" spans="2:2">
      <c r="B20634" s="62" t="str">
        <f>IF(AND('领用录入（明细）'!D:D=$F$4,'领用录入（明细）'!C:C&gt;=$J$4,'领用录入（明细）'!C:C&lt;=$L$4),ROW(),"-")</f>
        <v>-</v>
      </c>
    </row>
    <row r="20635" customHeight="1" spans="2:2">
      <c r="B20635" s="62" t="str">
        <f>IF(AND('领用录入（明细）'!D:D=$F$4,'领用录入（明细）'!C:C&gt;=$J$4,'领用录入（明细）'!C:C&lt;=$L$4),ROW(),"-")</f>
        <v>-</v>
      </c>
    </row>
    <row r="20636" customHeight="1" spans="2:2">
      <c r="B20636" s="62" t="str">
        <f>IF(AND('领用录入（明细）'!D:D=$F$4,'领用录入（明细）'!C:C&gt;=$J$4,'领用录入（明细）'!C:C&lt;=$L$4),ROW(),"-")</f>
        <v>-</v>
      </c>
    </row>
    <row r="20637" customHeight="1" spans="2:2">
      <c r="B20637" s="62" t="str">
        <f>IF(AND('领用录入（明细）'!D:D=$F$4,'领用录入（明细）'!C:C&gt;=$J$4,'领用录入（明细）'!C:C&lt;=$L$4),ROW(),"-")</f>
        <v>-</v>
      </c>
    </row>
    <row r="20638" customHeight="1" spans="2:2">
      <c r="B20638" s="62" t="str">
        <f>IF(AND('领用录入（明细）'!D:D=$F$4,'领用录入（明细）'!C:C&gt;=$J$4,'领用录入（明细）'!C:C&lt;=$L$4),ROW(),"-")</f>
        <v>-</v>
      </c>
    </row>
    <row r="20639" customHeight="1" spans="2:2">
      <c r="B20639" s="62" t="str">
        <f>IF(AND('领用录入（明细）'!D:D=$F$4,'领用录入（明细）'!C:C&gt;=$J$4,'领用录入（明细）'!C:C&lt;=$L$4),ROW(),"-")</f>
        <v>-</v>
      </c>
    </row>
    <row r="20640" customHeight="1" spans="2:2">
      <c r="B20640" s="62" t="str">
        <f>IF(AND('领用录入（明细）'!D:D=$F$4,'领用录入（明细）'!C:C&gt;=$J$4,'领用录入（明细）'!C:C&lt;=$L$4),ROW(),"-")</f>
        <v>-</v>
      </c>
    </row>
    <row r="20641" customHeight="1" spans="2:2">
      <c r="B20641" s="62" t="str">
        <f>IF(AND('领用录入（明细）'!D:D=$F$4,'领用录入（明细）'!C:C&gt;=$J$4,'领用录入（明细）'!C:C&lt;=$L$4),ROW(),"-")</f>
        <v>-</v>
      </c>
    </row>
    <row r="20642" customHeight="1" spans="2:2">
      <c r="B20642" s="62" t="str">
        <f>IF(AND('领用录入（明细）'!D:D=$F$4,'领用录入（明细）'!C:C&gt;=$J$4,'领用录入（明细）'!C:C&lt;=$L$4),ROW(),"-")</f>
        <v>-</v>
      </c>
    </row>
    <row r="20643" customHeight="1" spans="2:2">
      <c r="B20643" s="62" t="str">
        <f>IF(AND('领用录入（明细）'!D:D=$F$4,'领用录入（明细）'!C:C&gt;=$J$4,'领用录入（明细）'!C:C&lt;=$L$4),ROW(),"-")</f>
        <v>-</v>
      </c>
    </row>
    <row r="20644" customHeight="1" spans="2:2">
      <c r="B20644" s="62" t="str">
        <f>IF(AND('领用录入（明细）'!D:D=$F$4,'领用录入（明细）'!C:C&gt;=$J$4,'领用录入（明细）'!C:C&lt;=$L$4),ROW(),"-")</f>
        <v>-</v>
      </c>
    </row>
    <row r="20645" customHeight="1" spans="2:2">
      <c r="B20645" s="62" t="str">
        <f>IF(AND('领用录入（明细）'!D:D=$F$4,'领用录入（明细）'!C:C&gt;=$J$4,'领用录入（明细）'!C:C&lt;=$L$4),ROW(),"-")</f>
        <v>-</v>
      </c>
    </row>
    <row r="20646" customHeight="1" spans="2:2">
      <c r="B20646" s="62" t="str">
        <f>IF(AND('领用录入（明细）'!D:D=$F$4,'领用录入（明细）'!C:C&gt;=$J$4,'领用录入（明细）'!C:C&lt;=$L$4),ROW(),"-")</f>
        <v>-</v>
      </c>
    </row>
    <row r="20647" customHeight="1" spans="2:2">
      <c r="B20647" s="62" t="str">
        <f>IF(AND('领用录入（明细）'!D:D=$F$4,'领用录入（明细）'!C:C&gt;=$J$4,'领用录入（明细）'!C:C&lt;=$L$4),ROW(),"-")</f>
        <v>-</v>
      </c>
    </row>
    <row r="20648" customHeight="1" spans="2:2">
      <c r="B20648" s="62" t="str">
        <f>IF(AND('领用录入（明细）'!D:D=$F$4,'领用录入（明细）'!C:C&gt;=$J$4,'领用录入（明细）'!C:C&lt;=$L$4),ROW(),"-")</f>
        <v>-</v>
      </c>
    </row>
    <row r="20649" customHeight="1" spans="2:2">
      <c r="B20649" s="62" t="str">
        <f>IF(AND('领用录入（明细）'!D:D=$F$4,'领用录入（明细）'!C:C&gt;=$J$4,'领用录入（明细）'!C:C&lt;=$L$4),ROW(),"-")</f>
        <v>-</v>
      </c>
    </row>
    <row r="20650" customHeight="1" spans="2:2">
      <c r="B20650" s="62" t="str">
        <f>IF(AND('领用录入（明细）'!D:D=$F$4,'领用录入（明细）'!C:C&gt;=$J$4,'领用录入（明细）'!C:C&lt;=$L$4),ROW(),"-")</f>
        <v>-</v>
      </c>
    </row>
    <row r="20651" customHeight="1" spans="2:2">
      <c r="B20651" s="62" t="str">
        <f>IF(AND('领用录入（明细）'!D:D=$F$4,'领用录入（明细）'!C:C&gt;=$J$4,'领用录入（明细）'!C:C&lt;=$L$4),ROW(),"-")</f>
        <v>-</v>
      </c>
    </row>
    <row r="20652" customHeight="1" spans="2:2">
      <c r="B20652" s="62" t="str">
        <f>IF(AND('领用录入（明细）'!D:D=$F$4,'领用录入（明细）'!C:C&gt;=$J$4,'领用录入（明细）'!C:C&lt;=$L$4),ROW(),"-")</f>
        <v>-</v>
      </c>
    </row>
    <row r="20653" customHeight="1" spans="2:2">
      <c r="B20653" s="62" t="str">
        <f>IF(AND('领用录入（明细）'!D:D=$F$4,'领用录入（明细）'!C:C&gt;=$J$4,'领用录入（明细）'!C:C&lt;=$L$4),ROW(),"-")</f>
        <v>-</v>
      </c>
    </row>
    <row r="20654" customHeight="1" spans="2:2">
      <c r="B20654" s="62" t="str">
        <f>IF(AND('领用录入（明细）'!D:D=$F$4,'领用录入（明细）'!C:C&gt;=$J$4,'领用录入（明细）'!C:C&lt;=$L$4),ROW(),"-")</f>
        <v>-</v>
      </c>
    </row>
    <row r="20655" customHeight="1" spans="2:2">
      <c r="B20655" s="62" t="str">
        <f>IF(AND('领用录入（明细）'!D:D=$F$4,'领用录入（明细）'!C:C&gt;=$J$4,'领用录入（明细）'!C:C&lt;=$L$4),ROW(),"-")</f>
        <v>-</v>
      </c>
    </row>
    <row r="20656" customHeight="1" spans="2:2">
      <c r="B20656" s="62" t="str">
        <f>IF(AND('领用录入（明细）'!D:D=$F$4,'领用录入（明细）'!C:C&gt;=$J$4,'领用录入（明细）'!C:C&lt;=$L$4),ROW(),"-")</f>
        <v>-</v>
      </c>
    </row>
    <row r="20657" customHeight="1" spans="2:2">
      <c r="B20657" s="62" t="str">
        <f>IF(AND('领用录入（明细）'!D:D=$F$4,'领用录入（明细）'!C:C&gt;=$J$4,'领用录入（明细）'!C:C&lt;=$L$4),ROW(),"-")</f>
        <v>-</v>
      </c>
    </row>
    <row r="20658" customHeight="1" spans="2:2">
      <c r="B20658" s="62" t="str">
        <f>IF(AND('领用录入（明细）'!D:D=$F$4,'领用录入（明细）'!C:C&gt;=$J$4,'领用录入（明细）'!C:C&lt;=$L$4),ROW(),"-")</f>
        <v>-</v>
      </c>
    </row>
    <row r="20659" customHeight="1" spans="2:2">
      <c r="B20659" s="62" t="str">
        <f>IF(AND('领用录入（明细）'!D:D=$F$4,'领用录入（明细）'!C:C&gt;=$J$4,'领用录入（明细）'!C:C&lt;=$L$4),ROW(),"-")</f>
        <v>-</v>
      </c>
    </row>
    <row r="20660" customHeight="1" spans="2:2">
      <c r="B20660" s="62" t="str">
        <f>IF(AND('领用录入（明细）'!D:D=$F$4,'领用录入（明细）'!C:C&gt;=$J$4,'领用录入（明细）'!C:C&lt;=$L$4),ROW(),"-")</f>
        <v>-</v>
      </c>
    </row>
    <row r="20661" customHeight="1" spans="2:2">
      <c r="B20661" s="62" t="str">
        <f>IF(AND('领用录入（明细）'!D:D=$F$4,'领用录入（明细）'!C:C&gt;=$J$4,'领用录入（明细）'!C:C&lt;=$L$4),ROW(),"-")</f>
        <v>-</v>
      </c>
    </row>
    <row r="20662" customHeight="1" spans="2:2">
      <c r="B20662" s="62" t="str">
        <f>IF(AND('领用录入（明细）'!D:D=$F$4,'领用录入（明细）'!C:C&gt;=$J$4,'领用录入（明细）'!C:C&lt;=$L$4),ROW(),"-")</f>
        <v>-</v>
      </c>
    </row>
    <row r="20663" customHeight="1" spans="2:2">
      <c r="B20663" s="62" t="str">
        <f>IF(AND('领用录入（明细）'!D:D=$F$4,'领用录入（明细）'!C:C&gt;=$J$4,'领用录入（明细）'!C:C&lt;=$L$4),ROW(),"-")</f>
        <v>-</v>
      </c>
    </row>
    <row r="20664" customHeight="1" spans="2:2">
      <c r="B20664" s="62" t="str">
        <f>IF(AND('领用录入（明细）'!D:D=$F$4,'领用录入（明细）'!C:C&gt;=$J$4,'领用录入（明细）'!C:C&lt;=$L$4),ROW(),"-")</f>
        <v>-</v>
      </c>
    </row>
    <row r="20665" customHeight="1" spans="2:2">
      <c r="B20665" s="62" t="str">
        <f>IF(AND('领用录入（明细）'!D:D=$F$4,'领用录入（明细）'!C:C&gt;=$J$4,'领用录入（明细）'!C:C&lt;=$L$4),ROW(),"-")</f>
        <v>-</v>
      </c>
    </row>
    <row r="20666" customHeight="1" spans="2:2">
      <c r="B20666" s="62" t="str">
        <f>IF(AND('领用录入（明细）'!D:D=$F$4,'领用录入（明细）'!C:C&gt;=$J$4,'领用录入（明细）'!C:C&lt;=$L$4),ROW(),"-")</f>
        <v>-</v>
      </c>
    </row>
    <row r="20667" customHeight="1" spans="2:2">
      <c r="B20667" s="62" t="str">
        <f>IF(AND('领用录入（明细）'!D:D=$F$4,'领用录入（明细）'!C:C&gt;=$J$4,'领用录入（明细）'!C:C&lt;=$L$4),ROW(),"-")</f>
        <v>-</v>
      </c>
    </row>
    <row r="20668" customHeight="1" spans="2:2">
      <c r="B20668" s="62" t="str">
        <f>IF(AND('领用录入（明细）'!D:D=$F$4,'领用录入（明细）'!C:C&gt;=$J$4,'领用录入（明细）'!C:C&lt;=$L$4),ROW(),"-")</f>
        <v>-</v>
      </c>
    </row>
    <row r="20669" customHeight="1" spans="2:2">
      <c r="B20669" s="62" t="str">
        <f>IF(AND('领用录入（明细）'!D:D=$F$4,'领用录入（明细）'!C:C&gt;=$J$4,'领用录入（明细）'!C:C&lt;=$L$4),ROW(),"-")</f>
        <v>-</v>
      </c>
    </row>
    <row r="20670" customHeight="1" spans="2:2">
      <c r="B20670" s="62" t="str">
        <f>IF(AND('领用录入（明细）'!D:D=$F$4,'领用录入（明细）'!C:C&gt;=$J$4,'领用录入（明细）'!C:C&lt;=$L$4),ROW(),"-")</f>
        <v>-</v>
      </c>
    </row>
    <row r="20671" customHeight="1" spans="2:2">
      <c r="B20671" s="62" t="str">
        <f>IF(AND('领用录入（明细）'!D:D=$F$4,'领用录入（明细）'!C:C&gt;=$J$4,'领用录入（明细）'!C:C&lt;=$L$4),ROW(),"-")</f>
        <v>-</v>
      </c>
    </row>
    <row r="20672" customHeight="1" spans="2:2">
      <c r="B20672" s="62" t="str">
        <f>IF(AND('领用录入（明细）'!D:D=$F$4,'领用录入（明细）'!C:C&gt;=$J$4,'领用录入（明细）'!C:C&lt;=$L$4),ROW(),"-")</f>
        <v>-</v>
      </c>
    </row>
    <row r="20673" customHeight="1" spans="2:2">
      <c r="B20673" s="62" t="str">
        <f>IF(AND('领用录入（明细）'!D:D=$F$4,'领用录入（明细）'!C:C&gt;=$J$4,'领用录入（明细）'!C:C&lt;=$L$4),ROW(),"-")</f>
        <v>-</v>
      </c>
    </row>
    <row r="20674" customHeight="1" spans="2:2">
      <c r="B20674" s="62" t="str">
        <f>IF(AND('领用录入（明细）'!D:D=$F$4,'领用录入（明细）'!C:C&gt;=$J$4,'领用录入（明细）'!C:C&lt;=$L$4),ROW(),"-")</f>
        <v>-</v>
      </c>
    </row>
    <row r="20675" customHeight="1" spans="2:2">
      <c r="B20675" s="62" t="str">
        <f>IF(AND('领用录入（明细）'!D:D=$F$4,'领用录入（明细）'!C:C&gt;=$J$4,'领用录入（明细）'!C:C&lt;=$L$4),ROW(),"-")</f>
        <v>-</v>
      </c>
    </row>
    <row r="20676" customHeight="1" spans="2:2">
      <c r="B20676" s="62" t="str">
        <f>IF(AND('领用录入（明细）'!D:D=$F$4,'领用录入（明细）'!C:C&gt;=$J$4,'领用录入（明细）'!C:C&lt;=$L$4),ROW(),"-")</f>
        <v>-</v>
      </c>
    </row>
    <row r="20677" customHeight="1" spans="2:2">
      <c r="B20677" s="62" t="str">
        <f>IF(AND('领用录入（明细）'!D:D=$F$4,'领用录入（明细）'!C:C&gt;=$J$4,'领用录入（明细）'!C:C&lt;=$L$4),ROW(),"-")</f>
        <v>-</v>
      </c>
    </row>
    <row r="20678" customHeight="1" spans="2:2">
      <c r="B20678" s="62" t="str">
        <f>IF(AND('领用录入（明细）'!D:D=$F$4,'领用录入（明细）'!C:C&gt;=$J$4,'领用录入（明细）'!C:C&lt;=$L$4),ROW(),"-")</f>
        <v>-</v>
      </c>
    </row>
    <row r="20679" customHeight="1" spans="2:2">
      <c r="B20679" s="62" t="str">
        <f>IF(AND('领用录入（明细）'!D:D=$F$4,'领用录入（明细）'!C:C&gt;=$J$4,'领用录入（明细）'!C:C&lt;=$L$4),ROW(),"-")</f>
        <v>-</v>
      </c>
    </row>
    <row r="20680" customHeight="1" spans="2:2">
      <c r="B20680" s="62" t="str">
        <f>IF(AND('领用录入（明细）'!D:D=$F$4,'领用录入（明细）'!C:C&gt;=$J$4,'领用录入（明细）'!C:C&lt;=$L$4),ROW(),"-")</f>
        <v>-</v>
      </c>
    </row>
    <row r="20681" customHeight="1" spans="2:2">
      <c r="B20681" s="62" t="str">
        <f>IF(AND('领用录入（明细）'!D:D=$F$4,'领用录入（明细）'!C:C&gt;=$J$4,'领用录入（明细）'!C:C&lt;=$L$4),ROW(),"-")</f>
        <v>-</v>
      </c>
    </row>
    <row r="20682" customHeight="1" spans="2:2">
      <c r="B20682" s="62" t="str">
        <f>IF(AND('领用录入（明细）'!D:D=$F$4,'领用录入（明细）'!C:C&gt;=$J$4,'领用录入（明细）'!C:C&lt;=$L$4),ROW(),"-")</f>
        <v>-</v>
      </c>
    </row>
    <row r="20683" customHeight="1" spans="2:2">
      <c r="B20683" s="62" t="str">
        <f>IF(AND('领用录入（明细）'!D:D=$F$4,'领用录入（明细）'!C:C&gt;=$J$4,'领用录入（明细）'!C:C&lt;=$L$4),ROW(),"-")</f>
        <v>-</v>
      </c>
    </row>
    <row r="20684" customHeight="1" spans="2:2">
      <c r="B20684" s="62" t="str">
        <f>IF(AND('领用录入（明细）'!D:D=$F$4,'领用录入（明细）'!C:C&gt;=$J$4,'领用录入（明细）'!C:C&lt;=$L$4),ROW(),"-")</f>
        <v>-</v>
      </c>
    </row>
    <row r="20685" customHeight="1" spans="2:2">
      <c r="B20685" s="62" t="str">
        <f>IF(AND('领用录入（明细）'!D:D=$F$4,'领用录入（明细）'!C:C&gt;=$J$4,'领用录入（明细）'!C:C&lt;=$L$4),ROW(),"-")</f>
        <v>-</v>
      </c>
    </row>
    <row r="20686" customHeight="1" spans="2:2">
      <c r="B20686" s="62" t="str">
        <f>IF(AND('领用录入（明细）'!D:D=$F$4,'领用录入（明细）'!C:C&gt;=$J$4,'领用录入（明细）'!C:C&lt;=$L$4),ROW(),"-")</f>
        <v>-</v>
      </c>
    </row>
    <row r="20687" customHeight="1" spans="2:2">
      <c r="B20687" s="62" t="str">
        <f>IF(AND('领用录入（明细）'!D:D=$F$4,'领用录入（明细）'!C:C&gt;=$J$4,'领用录入（明细）'!C:C&lt;=$L$4),ROW(),"-")</f>
        <v>-</v>
      </c>
    </row>
    <row r="20688" customHeight="1" spans="2:2">
      <c r="B20688" s="62" t="str">
        <f>IF(AND('领用录入（明细）'!D:D=$F$4,'领用录入（明细）'!C:C&gt;=$J$4,'领用录入（明细）'!C:C&lt;=$L$4),ROW(),"-")</f>
        <v>-</v>
      </c>
    </row>
    <row r="20689" customHeight="1" spans="2:2">
      <c r="B20689" s="62" t="str">
        <f>IF(AND('领用录入（明细）'!D:D=$F$4,'领用录入（明细）'!C:C&gt;=$J$4,'领用录入（明细）'!C:C&lt;=$L$4),ROW(),"-")</f>
        <v>-</v>
      </c>
    </row>
    <row r="20690" customHeight="1" spans="2:2">
      <c r="B20690" s="62" t="str">
        <f>IF(AND('领用录入（明细）'!D:D=$F$4,'领用录入（明细）'!C:C&gt;=$J$4,'领用录入（明细）'!C:C&lt;=$L$4),ROW(),"-")</f>
        <v>-</v>
      </c>
    </row>
    <row r="20691" customHeight="1" spans="2:2">
      <c r="B20691" s="62" t="str">
        <f>IF(AND('领用录入（明细）'!D:D=$F$4,'领用录入（明细）'!C:C&gt;=$J$4,'领用录入（明细）'!C:C&lt;=$L$4),ROW(),"-")</f>
        <v>-</v>
      </c>
    </row>
    <row r="20692" customHeight="1" spans="2:2">
      <c r="B20692" s="62" t="str">
        <f>IF(AND('领用录入（明细）'!D:D=$F$4,'领用录入（明细）'!C:C&gt;=$J$4,'领用录入（明细）'!C:C&lt;=$L$4),ROW(),"-")</f>
        <v>-</v>
      </c>
    </row>
    <row r="20693" customHeight="1" spans="2:2">
      <c r="B20693" s="62" t="str">
        <f>IF(AND('领用录入（明细）'!D:D=$F$4,'领用录入（明细）'!C:C&gt;=$J$4,'领用录入（明细）'!C:C&lt;=$L$4),ROW(),"-")</f>
        <v>-</v>
      </c>
    </row>
    <row r="20694" customHeight="1" spans="2:2">
      <c r="B20694" s="62" t="str">
        <f>IF(AND('领用录入（明细）'!D:D=$F$4,'领用录入（明细）'!C:C&gt;=$J$4,'领用录入（明细）'!C:C&lt;=$L$4),ROW(),"-")</f>
        <v>-</v>
      </c>
    </row>
    <row r="20695" customHeight="1" spans="2:2">
      <c r="B20695" s="62" t="str">
        <f>IF(AND('领用录入（明细）'!D:D=$F$4,'领用录入（明细）'!C:C&gt;=$J$4,'领用录入（明细）'!C:C&lt;=$L$4),ROW(),"-")</f>
        <v>-</v>
      </c>
    </row>
    <row r="20696" customHeight="1" spans="2:2">
      <c r="B20696" s="62" t="str">
        <f>IF(AND('领用录入（明细）'!D:D=$F$4,'领用录入（明细）'!C:C&gt;=$J$4,'领用录入（明细）'!C:C&lt;=$L$4),ROW(),"-")</f>
        <v>-</v>
      </c>
    </row>
    <row r="20697" customHeight="1" spans="2:2">
      <c r="B20697" s="62" t="str">
        <f>IF(AND('领用录入（明细）'!D:D=$F$4,'领用录入（明细）'!C:C&gt;=$J$4,'领用录入（明细）'!C:C&lt;=$L$4),ROW(),"-")</f>
        <v>-</v>
      </c>
    </row>
    <row r="20698" customHeight="1" spans="2:2">
      <c r="B20698" s="62" t="str">
        <f>IF(AND('领用录入（明细）'!D:D=$F$4,'领用录入（明细）'!C:C&gt;=$J$4,'领用录入（明细）'!C:C&lt;=$L$4),ROW(),"-")</f>
        <v>-</v>
      </c>
    </row>
    <row r="20699" customHeight="1" spans="2:2">
      <c r="B20699" s="62" t="str">
        <f>IF(AND('领用录入（明细）'!D:D=$F$4,'领用录入（明细）'!C:C&gt;=$J$4,'领用录入（明细）'!C:C&lt;=$L$4),ROW(),"-")</f>
        <v>-</v>
      </c>
    </row>
    <row r="20700" customHeight="1" spans="2:2">
      <c r="B20700" s="62" t="str">
        <f>IF(AND('领用录入（明细）'!D:D=$F$4,'领用录入（明细）'!C:C&gt;=$J$4,'领用录入（明细）'!C:C&lt;=$L$4),ROW(),"-")</f>
        <v>-</v>
      </c>
    </row>
    <row r="20701" customHeight="1" spans="2:2">
      <c r="B20701" s="62" t="str">
        <f>IF(AND('领用录入（明细）'!D:D=$F$4,'领用录入（明细）'!C:C&gt;=$J$4,'领用录入（明细）'!C:C&lt;=$L$4),ROW(),"-")</f>
        <v>-</v>
      </c>
    </row>
    <row r="20702" customHeight="1" spans="2:2">
      <c r="B20702" s="62" t="str">
        <f>IF(AND('领用录入（明细）'!D:D=$F$4,'领用录入（明细）'!C:C&gt;=$J$4,'领用录入（明细）'!C:C&lt;=$L$4),ROW(),"-")</f>
        <v>-</v>
      </c>
    </row>
    <row r="20703" customHeight="1" spans="2:2">
      <c r="B20703" s="62" t="str">
        <f>IF(AND('领用录入（明细）'!D:D=$F$4,'领用录入（明细）'!C:C&gt;=$J$4,'领用录入（明细）'!C:C&lt;=$L$4),ROW(),"-")</f>
        <v>-</v>
      </c>
    </row>
    <row r="20704" customHeight="1" spans="2:2">
      <c r="B20704" s="62" t="str">
        <f>IF(AND('领用录入（明细）'!D:D=$F$4,'领用录入（明细）'!C:C&gt;=$J$4,'领用录入（明细）'!C:C&lt;=$L$4),ROW(),"-")</f>
        <v>-</v>
      </c>
    </row>
    <row r="20705" customHeight="1" spans="2:2">
      <c r="B20705" s="62" t="str">
        <f>IF(AND('领用录入（明细）'!D:D=$F$4,'领用录入（明细）'!C:C&gt;=$J$4,'领用录入（明细）'!C:C&lt;=$L$4),ROW(),"-")</f>
        <v>-</v>
      </c>
    </row>
    <row r="20706" customHeight="1" spans="2:2">
      <c r="B20706" s="62" t="str">
        <f>IF(AND('领用录入（明细）'!D:D=$F$4,'领用录入（明细）'!C:C&gt;=$J$4,'领用录入（明细）'!C:C&lt;=$L$4),ROW(),"-")</f>
        <v>-</v>
      </c>
    </row>
    <row r="20707" customHeight="1" spans="2:2">
      <c r="B20707" s="62" t="str">
        <f>IF(AND('领用录入（明细）'!D:D=$F$4,'领用录入（明细）'!C:C&gt;=$J$4,'领用录入（明细）'!C:C&lt;=$L$4),ROW(),"-")</f>
        <v>-</v>
      </c>
    </row>
    <row r="20708" customHeight="1" spans="2:2">
      <c r="B20708" s="62" t="str">
        <f>IF(AND('领用录入（明细）'!D:D=$F$4,'领用录入（明细）'!C:C&gt;=$J$4,'领用录入（明细）'!C:C&lt;=$L$4),ROW(),"-")</f>
        <v>-</v>
      </c>
    </row>
    <row r="20709" customHeight="1" spans="2:2">
      <c r="B20709" s="62" t="str">
        <f>IF(AND('领用录入（明细）'!D:D=$F$4,'领用录入（明细）'!C:C&gt;=$J$4,'领用录入（明细）'!C:C&lt;=$L$4),ROW(),"-")</f>
        <v>-</v>
      </c>
    </row>
    <row r="20710" customHeight="1" spans="2:2">
      <c r="B20710" s="62" t="str">
        <f>IF(AND('领用录入（明细）'!D:D=$F$4,'领用录入（明细）'!C:C&gt;=$J$4,'领用录入（明细）'!C:C&lt;=$L$4),ROW(),"-")</f>
        <v>-</v>
      </c>
    </row>
    <row r="20711" customHeight="1" spans="2:2">
      <c r="B20711" s="62" t="str">
        <f>IF(AND('领用录入（明细）'!D:D=$F$4,'领用录入（明细）'!C:C&gt;=$J$4,'领用录入（明细）'!C:C&lt;=$L$4),ROW(),"-")</f>
        <v>-</v>
      </c>
    </row>
    <row r="20712" customHeight="1" spans="2:2">
      <c r="B20712" s="62" t="str">
        <f>IF(AND('领用录入（明细）'!D:D=$F$4,'领用录入（明细）'!C:C&gt;=$J$4,'领用录入（明细）'!C:C&lt;=$L$4),ROW(),"-")</f>
        <v>-</v>
      </c>
    </row>
    <row r="20713" customHeight="1" spans="2:2">
      <c r="B20713" s="62" t="str">
        <f>IF(AND('领用录入（明细）'!D:D=$F$4,'领用录入（明细）'!C:C&gt;=$J$4,'领用录入（明细）'!C:C&lt;=$L$4),ROW(),"-")</f>
        <v>-</v>
      </c>
    </row>
    <row r="20714" customHeight="1" spans="2:2">
      <c r="B20714" s="62" t="str">
        <f>IF(AND('领用录入（明细）'!D:D=$F$4,'领用录入（明细）'!C:C&gt;=$J$4,'领用录入（明细）'!C:C&lt;=$L$4),ROW(),"-")</f>
        <v>-</v>
      </c>
    </row>
    <row r="20715" customHeight="1" spans="2:2">
      <c r="B20715" s="62" t="str">
        <f>IF(AND('领用录入（明细）'!D:D=$F$4,'领用录入（明细）'!C:C&gt;=$J$4,'领用录入（明细）'!C:C&lt;=$L$4),ROW(),"-")</f>
        <v>-</v>
      </c>
    </row>
    <row r="20716" customHeight="1" spans="2:2">
      <c r="B20716" s="62" t="str">
        <f>IF(AND('领用录入（明细）'!D:D=$F$4,'领用录入（明细）'!C:C&gt;=$J$4,'领用录入（明细）'!C:C&lt;=$L$4),ROW(),"-")</f>
        <v>-</v>
      </c>
    </row>
    <row r="20717" customHeight="1" spans="2:2">
      <c r="B20717" s="62" t="str">
        <f>IF(AND('领用录入（明细）'!D:D=$F$4,'领用录入（明细）'!C:C&gt;=$J$4,'领用录入（明细）'!C:C&lt;=$L$4),ROW(),"-")</f>
        <v>-</v>
      </c>
    </row>
    <row r="20718" customHeight="1" spans="2:2">
      <c r="B20718" s="62" t="str">
        <f>IF(AND('领用录入（明细）'!D:D=$F$4,'领用录入（明细）'!C:C&gt;=$J$4,'领用录入（明细）'!C:C&lt;=$L$4),ROW(),"-")</f>
        <v>-</v>
      </c>
    </row>
    <row r="20719" customHeight="1" spans="2:2">
      <c r="B20719" s="62" t="str">
        <f>IF(AND('领用录入（明细）'!D:D=$F$4,'领用录入（明细）'!C:C&gt;=$J$4,'领用录入（明细）'!C:C&lt;=$L$4),ROW(),"-")</f>
        <v>-</v>
      </c>
    </row>
    <row r="20720" customHeight="1" spans="2:2">
      <c r="B20720" s="62" t="str">
        <f>IF(AND('领用录入（明细）'!D:D=$F$4,'领用录入（明细）'!C:C&gt;=$J$4,'领用录入（明细）'!C:C&lt;=$L$4),ROW(),"-")</f>
        <v>-</v>
      </c>
    </row>
    <row r="20721" customHeight="1" spans="2:2">
      <c r="B20721" s="62" t="str">
        <f>IF(AND('领用录入（明细）'!D:D=$F$4,'领用录入（明细）'!C:C&gt;=$J$4,'领用录入（明细）'!C:C&lt;=$L$4),ROW(),"-")</f>
        <v>-</v>
      </c>
    </row>
    <row r="20722" customHeight="1" spans="2:2">
      <c r="B20722" s="62" t="str">
        <f>IF(AND('领用录入（明细）'!D:D=$F$4,'领用录入（明细）'!C:C&gt;=$J$4,'领用录入（明细）'!C:C&lt;=$L$4),ROW(),"-")</f>
        <v>-</v>
      </c>
    </row>
    <row r="20723" customHeight="1" spans="2:2">
      <c r="B20723" s="62" t="str">
        <f>IF(AND('领用录入（明细）'!D:D=$F$4,'领用录入（明细）'!C:C&gt;=$J$4,'领用录入（明细）'!C:C&lt;=$L$4),ROW(),"-")</f>
        <v>-</v>
      </c>
    </row>
    <row r="20724" customHeight="1" spans="2:2">
      <c r="B20724" s="62" t="str">
        <f>IF(AND('领用录入（明细）'!D:D=$F$4,'领用录入（明细）'!C:C&gt;=$J$4,'领用录入（明细）'!C:C&lt;=$L$4),ROW(),"-")</f>
        <v>-</v>
      </c>
    </row>
    <row r="20725" customHeight="1" spans="2:2">
      <c r="B20725" s="62" t="str">
        <f>IF(AND('领用录入（明细）'!D:D=$F$4,'领用录入（明细）'!C:C&gt;=$J$4,'领用录入（明细）'!C:C&lt;=$L$4),ROW(),"-")</f>
        <v>-</v>
      </c>
    </row>
    <row r="20726" customHeight="1" spans="2:2">
      <c r="B20726" s="62" t="str">
        <f>IF(AND('领用录入（明细）'!D:D=$F$4,'领用录入（明细）'!C:C&gt;=$J$4,'领用录入（明细）'!C:C&lt;=$L$4),ROW(),"-")</f>
        <v>-</v>
      </c>
    </row>
    <row r="20727" customHeight="1" spans="2:2">
      <c r="B20727" s="62" t="str">
        <f>IF(AND('领用录入（明细）'!D:D=$F$4,'领用录入（明细）'!C:C&gt;=$J$4,'领用录入（明细）'!C:C&lt;=$L$4),ROW(),"-")</f>
        <v>-</v>
      </c>
    </row>
    <row r="20728" customHeight="1" spans="2:2">
      <c r="B20728" s="62" t="str">
        <f>IF(AND('领用录入（明细）'!D:D=$F$4,'领用录入（明细）'!C:C&gt;=$J$4,'领用录入（明细）'!C:C&lt;=$L$4),ROW(),"-")</f>
        <v>-</v>
      </c>
    </row>
    <row r="20729" customHeight="1" spans="2:2">
      <c r="B20729" s="62" t="str">
        <f>IF(AND('领用录入（明细）'!D:D=$F$4,'领用录入（明细）'!C:C&gt;=$J$4,'领用录入（明细）'!C:C&lt;=$L$4),ROW(),"-")</f>
        <v>-</v>
      </c>
    </row>
    <row r="20730" customHeight="1" spans="2:2">
      <c r="B20730" s="62" t="str">
        <f>IF(AND('领用录入（明细）'!D:D=$F$4,'领用录入（明细）'!C:C&gt;=$J$4,'领用录入（明细）'!C:C&lt;=$L$4),ROW(),"-")</f>
        <v>-</v>
      </c>
    </row>
    <row r="20731" customHeight="1" spans="2:2">
      <c r="B20731" s="62" t="str">
        <f>IF(AND('领用录入（明细）'!D:D=$F$4,'领用录入（明细）'!C:C&gt;=$J$4,'领用录入（明细）'!C:C&lt;=$L$4),ROW(),"-")</f>
        <v>-</v>
      </c>
    </row>
    <row r="20732" customHeight="1" spans="2:2">
      <c r="B20732" s="62" t="str">
        <f>IF(AND('领用录入（明细）'!D:D=$F$4,'领用录入（明细）'!C:C&gt;=$J$4,'领用录入（明细）'!C:C&lt;=$L$4),ROW(),"-")</f>
        <v>-</v>
      </c>
    </row>
    <row r="20733" customHeight="1" spans="2:2">
      <c r="B20733" s="62" t="str">
        <f>IF(AND('领用录入（明细）'!D:D=$F$4,'领用录入（明细）'!C:C&gt;=$J$4,'领用录入（明细）'!C:C&lt;=$L$4),ROW(),"-")</f>
        <v>-</v>
      </c>
    </row>
    <row r="20734" customHeight="1" spans="2:2">
      <c r="B20734" s="62" t="str">
        <f>IF(AND('领用录入（明细）'!D:D=$F$4,'领用录入（明细）'!C:C&gt;=$J$4,'领用录入（明细）'!C:C&lt;=$L$4),ROW(),"-")</f>
        <v>-</v>
      </c>
    </row>
    <row r="20735" customHeight="1" spans="2:2">
      <c r="B20735" s="62" t="str">
        <f>IF(AND('领用录入（明细）'!D:D=$F$4,'领用录入（明细）'!C:C&gt;=$J$4,'领用录入（明细）'!C:C&lt;=$L$4),ROW(),"-")</f>
        <v>-</v>
      </c>
    </row>
    <row r="20736" customHeight="1" spans="2:2">
      <c r="B20736" s="62" t="str">
        <f>IF(AND('领用录入（明细）'!D:D=$F$4,'领用录入（明细）'!C:C&gt;=$J$4,'领用录入（明细）'!C:C&lt;=$L$4),ROW(),"-")</f>
        <v>-</v>
      </c>
    </row>
    <row r="20737" customHeight="1" spans="2:2">
      <c r="B20737" s="62" t="str">
        <f>IF(AND('领用录入（明细）'!D:D=$F$4,'领用录入（明细）'!C:C&gt;=$J$4,'领用录入（明细）'!C:C&lt;=$L$4),ROW(),"-")</f>
        <v>-</v>
      </c>
    </row>
    <row r="20738" customHeight="1" spans="2:2">
      <c r="B20738" s="62" t="str">
        <f>IF(AND('领用录入（明细）'!D:D=$F$4,'领用录入（明细）'!C:C&gt;=$J$4,'领用录入（明细）'!C:C&lt;=$L$4),ROW(),"-")</f>
        <v>-</v>
      </c>
    </row>
    <row r="20739" customHeight="1" spans="2:2">
      <c r="B20739" s="62" t="str">
        <f>IF(AND('领用录入（明细）'!D:D=$F$4,'领用录入（明细）'!C:C&gt;=$J$4,'领用录入（明细）'!C:C&lt;=$L$4),ROW(),"-")</f>
        <v>-</v>
      </c>
    </row>
    <row r="20740" customHeight="1" spans="2:2">
      <c r="B20740" s="62" t="str">
        <f>IF(AND('领用录入（明细）'!D:D=$F$4,'领用录入（明细）'!C:C&gt;=$J$4,'领用录入（明细）'!C:C&lt;=$L$4),ROW(),"-")</f>
        <v>-</v>
      </c>
    </row>
    <row r="20741" customHeight="1" spans="2:2">
      <c r="B20741" s="62" t="str">
        <f>IF(AND('领用录入（明细）'!D:D=$F$4,'领用录入（明细）'!C:C&gt;=$J$4,'领用录入（明细）'!C:C&lt;=$L$4),ROW(),"-")</f>
        <v>-</v>
      </c>
    </row>
    <row r="20742" customHeight="1" spans="2:2">
      <c r="B20742" s="62" t="str">
        <f>IF(AND('领用录入（明细）'!D:D=$F$4,'领用录入（明细）'!C:C&gt;=$J$4,'领用录入（明细）'!C:C&lt;=$L$4),ROW(),"-")</f>
        <v>-</v>
      </c>
    </row>
    <row r="20743" customHeight="1" spans="2:2">
      <c r="B20743" s="62" t="str">
        <f>IF(AND('领用录入（明细）'!D:D=$F$4,'领用录入（明细）'!C:C&gt;=$J$4,'领用录入（明细）'!C:C&lt;=$L$4),ROW(),"-")</f>
        <v>-</v>
      </c>
    </row>
    <row r="20744" customHeight="1" spans="2:2">
      <c r="B20744" s="62" t="str">
        <f>IF(AND('领用录入（明细）'!D:D=$F$4,'领用录入（明细）'!C:C&gt;=$J$4,'领用录入（明细）'!C:C&lt;=$L$4),ROW(),"-")</f>
        <v>-</v>
      </c>
    </row>
    <row r="20745" customHeight="1" spans="2:2">
      <c r="B20745" s="62" t="str">
        <f>IF(AND('领用录入（明细）'!D:D=$F$4,'领用录入（明细）'!C:C&gt;=$J$4,'领用录入（明细）'!C:C&lt;=$L$4),ROW(),"-")</f>
        <v>-</v>
      </c>
    </row>
    <row r="20746" customHeight="1" spans="2:2">
      <c r="B20746" s="62" t="str">
        <f>IF(AND('领用录入（明细）'!D:D=$F$4,'领用录入（明细）'!C:C&gt;=$J$4,'领用录入（明细）'!C:C&lt;=$L$4),ROW(),"-")</f>
        <v>-</v>
      </c>
    </row>
    <row r="20747" customHeight="1" spans="2:2">
      <c r="B20747" s="62" t="str">
        <f>IF(AND('领用录入（明细）'!D:D=$F$4,'领用录入（明细）'!C:C&gt;=$J$4,'领用录入（明细）'!C:C&lt;=$L$4),ROW(),"-")</f>
        <v>-</v>
      </c>
    </row>
    <row r="20748" customHeight="1" spans="2:2">
      <c r="B20748" s="62" t="str">
        <f>IF(AND('领用录入（明细）'!D:D=$F$4,'领用录入（明细）'!C:C&gt;=$J$4,'领用录入（明细）'!C:C&lt;=$L$4),ROW(),"-")</f>
        <v>-</v>
      </c>
    </row>
    <row r="20749" customHeight="1" spans="2:2">
      <c r="B20749" s="62" t="str">
        <f>IF(AND('领用录入（明细）'!D:D=$F$4,'领用录入（明细）'!C:C&gt;=$J$4,'领用录入（明细）'!C:C&lt;=$L$4),ROW(),"-")</f>
        <v>-</v>
      </c>
    </row>
    <row r="20750" customHeight="1" spans="2:2">
      <c r="B20750" s="62" t="str">
        <f>IF(AND('领用录入（明细）'!D:D=$F$4,'领用录入（明细）'!C:C&gt;=$J$4,'领用录入（明细）'!C:C&lt;=$L$4),ROW(),"-")</f>
        <v>-</v>
      </c>
    </row>
    <row r="20751" customHeight="1" spans="2:2">
      <c r="B20751" s="62" t="str">
        <f>IF(AND('领用录入（明细）'!D:D=$F$4,'领用录入（明细）'!C:C&gt;=$J$4,'领用录入（明细）'!C:C&lt;=$L$4),ROW(),"-")</f>
        <v>-</v>
      </c>
    </row>
    <row r="20752" customHeight="1" spans="2:2">
      <c r="B20752" s="62" t="str">
        <f>IF(AND('领用录入（明细）'!D:D=$F$4,'领用录入（明细）'!C:C&gt;=$J$4,'领用录入（明细）'!C:C&lt;=$L$4),ROW(),"-")</f>
        <v>-</v>
      </c>
    </row>
    <row r="20753" customHeight="1" spans="2:2">
      <c r="B20753" s="62" t="str">
        <f>IF(AND('领用录入（明细）'!D:D=$F$4,'领用录入（明细）'!C:C&gt;=$J$4,'领用录入（明细）'!C:C&lt;=$L$4),ROW(),"-")</f>
        <v>-</v>
      </c>
    </row>
    <row r="20754" customHeight="1" spans="2:2">
      <c r="B20754" s="62" t="str">
        <f>IF(AND('领用录入（明细）'!D:D=$F$4,'领用录入（明细）'!C:C&gt;=$J$4,'领用录入（明细）'!C:C&lt;=$L$4),ROW(),"-")</f>
        <v>-</v>
      </c>
    </row>
    <row r="20755" customHeight="1" spans="2:2">
      <c r="B20755" s="62" t="str">
        <f>IF(AND('领用录入（明细）'!D:D=$F$4,'领用录入（明细）'!C:C&gt;=$J$4,'领用录入（明细）'!C:C&lt;=$L$4),ROW(),"-")</f>
        <v>-</v>
      </c>
    </row>
    <row r="20756" customHeight="1" spans="2:2">
      <c r="B20756" s="62" t="str">
        <f>IF(AND('领用录入（明细）'!D:D=$F$4,'领用录入（明细）'!C:C&gt;=$J$4,'领用录入（明细）'!C:C&lt;=$L$4),ROW(),"-")</f>
        <v>-</v>
      </c>
    </row>
    <row r="20757" customHeight="1" spans="2:2">
      <c r="B20757" s="62" t="str">
        <f>IF(AND('领用录入（明细）'!D:D=$F$4,'领用录入（明细）'!C:C&gt;=$J$4,'领用录入（明细）'!C:C&lt;=$L$4),ROW(),"-")</f>
        <v>-</v>
      </c>
    </row>
    <row r="20758" customHeight="1" spans="2:2">
      <c r="B20758" s="62" t="str">
        <f>IF(AND('领用录入（明细）'!D:D=$F$4,'领用录入（明细）'!C:C&gt;=$J$4,'领用录入（明细）'!C:C&lt;=$L$4),ROW(),"-")</f>
        <v>-</v>
      </c>
    </row>
    <row r="20759" customHeight="1" spans="2:2">
      <c r="B20759" s="62" t="str">
        <f>IF(AND('领用录入（明细）'!D:D=$F$4,'领用录入（明细）'!C:C&gt;=$J$4,'领用录入（明细）'!C:C&lt;=$L$4),ROW(),"-")</f>
        <v>-</v>
      </c>
    </row>
    <row r="20760" customHeight="1" spans="2:2">
      <c r="B20760" s="62" t="str">
        <f>IF(AND('领用录入（明细）'!D:D=$F$4,'领用录入（明细）'!C:C&gt;=$J$4,'领用录入（明细）'!C:C&lt;=$L$4),ROW(),"-")</f>
        <v>-</v>
      </c>
    </row>
    <row r="20761" customHeight="1" spans="2:2">
      <c r="B20761" s="62" t="str">
        <f>IF(AND('领用录入（明细）'!D:D=$F$4,'领用录入（明细）'!C:C&gt;=$J$4,'领用录入（明细）'!C:C&lt;=$L$4),ROW(),"-")</f>
        <v>-</v>
      </c>
    </row>
    <row r="20762" customHeight="1" spans="2:2">
      <c r="B20762" s="62" t="str">
        <f>IF(AND('领用录入（明细）'!D:D=$F$4,'领用录入（明细）'!C:C&gt;=$J$4,'领用录入（明细）'!C:C&lt;=$L$4),ROW(),"-")</f>
        <v>-</v>
      </c>
    </row>
    <row r="20763" customHeight="1" spans="2:2">
      <c r="B20763" s="62" t="str">
        <f>IF(AND('领用录入（明细）'!D:D=$F$4,'领用录入（明细）'!C:C&gt;=$J$4,'领用录入（明细）'!C:C&lt;=$L$4),ROW(),"-")</f>
        <v>-</v>
      </c>
    </row>
    <row r="20764" customHeight="1" spans="2:2">
      <c r="B20764" s="62" t="str">
        <f>IF(AND('领用录入（明细）'!D:D=$F$4,'领用录入（明细）'!C:C&gt;=$J$4,'领用录入（明细）'!C:C&lt;=$L$4),ROW(),"-")</f>
        <v>-</v>
      </c>
    </row>
    <row r="20765" customHeight="1" spans="2:2">
      <c r="B20765" s="62" t="str">
        <f>IF(AND('领用录入（明细）'!D:D=$F$4,'领用录入（明细）'!C:C&gt;=$J$4,'领用录入（明细）'!C:C&lt;=$L$4),ROW(),"-")</f>
        <v>-</v>
      </c>
    </row>
    <row r="20766" customHeight="1" spans="2:2">
      <c r="B20766" s="62" t="str">
        <f>IF(AND('领用录入（明细）'!D:D=$F$4,'领用录入（明细）'!C:C&gt;=$J$4,'领用录入（明细）'!C:C&lt;=$L$4),ROW(),"-")</f>
        <v>-</v>
      </c>
    </row>
    <row r="20767" customHeight="1" spans="2:2">
      <c r="B20767" s="62" t="str">
        <f>IF(AND('领用录入（明细）'!D:D=$F$4,'领用录入（明细）'!C:C&gt;=$J$4,'领用录入（明细）'!C:C&lt;=$L$4),ROW(),"-")</f>
        <v>-</v>
      </c>
    </row>
    <row r="20768" customHeight="1" spans="2:2">
      <c r="B20768" s="62" t="str">
        <f>IF(AND('领用录入（明细）'!D:D=$F$4,'领用录入（明细）'!C:C&gt;=$J$4,'领用录入（明细）'!C:C&lt;=$L$4),ROW(),"-")</f>
        <v>-</v>
      </c>
    </row>
    <row r="20769" customHeight="1" spans="2:2">
      <c r="B20769" s="62" t="str">
        <f>IF(AND('领用录入（明细）'!D:D=$F$4,'领用录入（明细）'!C:C&gt;=$J$4,'领用录入（明细）'!C:C&lt;=$L$4),ROW(),"-")</f>
        <v>-</v>
      </c>
    </row>
    <row r="20770" customHeight="1" spans="2:2">
      <c r="B20770" s="62" t="str">
        <f>IF(AND('领用录入（明细）'!D:D=$F$4,'领用录入（明细）'!C:C&gt;=$J$4,'领用录入（明细）'!C:C&lt;=$L$4),ROW(),"-")</f>
        <v>-</v>
      </c>
    </row>
    <row r="20771" customHeight="1" spans="2:2">
      <c r="B20771" s="62" t="str">
        <f>IF(AND('领用录入（明细）'!D:D=$F$4,'领用录入（明细）'!C:C&gt;=$J$4,'领用录入（明细）'!C:C&lt;=$L$4),ROW(),"-")</f>
        <v>-</v>
      </c>
    </row>
    <row r="20772" customHeight="1" spans="2:2">
      <c r="B20772" s="62" t="str">
        <f>IF(AND('领用录入（明细）'!D:D=$F$4,'领用录入（明细）'!C:C&gt;=$J$4,'领用录入（明细）'!C:C&lt;=$L$4),ROW(),"-")</f>
        <v>-</v>
      </c>
    </row>
    <row r="20773" customHeight="1" spans="2:2">
      <c r="B20773" s="62" t="str">
        <f>IF(AND('领用录入（明细）'!D:D=$F$4,'领用录入（明细）'!C:C&gt;=$J$4,'领用录入（明细）'!C:C&lt;=$L$4),ROW(),"-")</f>
        <v>-</v>
      </c>
    </row>
    <row r="20774" customHeight="1" spans="2:2">
      <c r="B20774" s="62" t="str">
        <f>IF(AND('领用录入（明细）'!D:D=$F$4,'领用录入（明细）'!C:C&gt;=$J$4,'领用录入（明细）'!C:C&lt;=$L$4),ROW(),"-")</f>
        <v>-</v>
      </c>
    </row>
    <row r="20775" customHeight="1" spans="2:2">
      <c r="B20775" s="62" t="str">
        <f>IF(AND('领用录入（明细）'!D:D=$F$4,'领用录入（明细）'!C:C&gt;=$J$4,'领用录入（明细）'!C:C&lt;=$L$4),ROW(),"-")</f>
        <v>-</v>
      </c>
    </row>
    <row r="20776" customHeight="1" spans="2:2">
      <c r="B20776" s="62" t="str">
        <f>IF(AND('领用录入（明细）'!D:D=$F$4,'领用录入（明细）'!C:C&gt;=$J$4,'领用录入（明细）'!C:C&lt;=$L$4),ROW(),"-")</f>
        <v>-</v>
      </c>
    </row>
    <row r="20777" customHeight="1" spans="2:2">
      <c r="B20777" s="62" t="str">
        <f>IF(AND('领用录入（明细）'!D:D=$F$4,'领用录入（明细）'!C:C&gt;=$J$4,'领用录入（明细）'!C:C&lt;=$L$4),ROW(),"-")</f>
        <v>-</v>
      </c>
    </row>
    <row r="20778" customHeight="1" spans="2:2">
      <c r="B20778" s="62" t="str">
        <f>IF(AND('领用录入（明细）'!D:D=$F$4,'领用录入（明细）'!C:C&gt;=$J$4,'领用录入（明细）'!C:C&lt;=$L$4),ROW(),"-")</f>
        <v>-</v>
      </c>
    </row>
    <row r="20779" customHeight="1" spans="2:2">
      <c r="B20779" s="62" t="str">
        <f>IF(AND('领用录入（明细）'!D:D=$F$4,'领用录入（明细）'!C:C&gt;=$J$4,'领用录入（明细）'!C:C&lt;=$L$4),ROW(),"-")</f>
        <v>-</v>
      </c>
    </row>
    <row r="20780" customHeight="1" spans="2:2">
      <c r="B20780" s="62" t="str">
        <f>IF(AND('领用录入（明细）'!D:D=$F$4,'领用录入（明细）'!C:C&gt;=$J$4,'领用录入（明细）'!C:C&lt;=$L$4),ROW(),"-")</f>
        <v>-</v>
      </c>
    </row>
    <row r="20781" customHeight="1" spans="2:2">
      <c r="B20781" s="62" t="str">
        <f>IF(AND('领用录入（明细）'!D:D=$F$4,'领用录入（明细）'!C:C&gt;=$J$4,'领用录入（明细）'!C:C&lt;=$L$4),ROW(),"-")</f>
        <v>-</v>
      </c>
    </row>
    <row r="20782" customHeight="1" spans="2:2">
      <c r="B20782" s="62" t="str">
        <f>IF(AND('领用录入（明细）'!D:D=$F$4,'领用录入（明细）'!C:C&gt;=$J$4,'领用录入（明细）'!C:C&lt;=$L$4),ROW(),"-")</f>
        <v>-</v>
      </c>
    </row>
    <row r="20783" customHeight="1" spans="2:2">
      <c r="B20783" s="62" t="str">
        <f>IF(AND('领用录入（明细）'!D:D=$F$4,'领用录入（明细）'!C:C&gt;=$J$4,'领用录入（明细）'!C:C&lt;=$L$4),ROW(),"-")</f>
        <v>-</v>
      </c>
    </row>
    <row r="20784" customHeight="1" spans="2:2">
      <c r="B20784" s="62" t="str">
        <f>IF(AND('领用录入（明细）'!D:D=$F$4,'领用录入（明细）'!C:C&gt;=$J$4,'领用录入（明细）'!C:C&lt;=$L$4),ROW(),"-")</f>
        <v>-</v>
      </c>
    </row>
    <row r="20785" customHeight="1" spans="2:2">
      <c r="B20785" s="62" t="str">
        <f>IF(AND('领用录入（明细）'!D:D=$F$4,'领用录入（明细）'!C:C&gt;=$J$4,'领用录入（明细）'!C:C&lt;=$L$4),ROW(),"-")</f>
        <v>-</v>
      </c>
    </row>
    <row r="20786" customHeight="1" spans="2:2">
      <c r="B20786" s="62" t="str">
        <f>IF(AND('领用录入（明细）'!D:D=$F$4,'领用录入（明细）'!C:C&gt;=$J$4,'领用录入（明细）'!C:C&lt;=$L$4),ROW(),"-")</f>
        <v>-</v>
      </c>
    </row>
    <row r="20787" customHeight="1" spans="2:2">
      <c r="B20787" s="62" t="str">
        <f>IF(AND('领用录入（明细）'!D:D=$F$4,'领用录入（明细）'!C:C&gt;=$J$4,'领用录入（明细）'!C:C&lt;=$L$4),ROW(),"-")</f>
        <v>-</v>
      </c>
    </row>
    <row r="20788" customHeight="1" spans="2:2">
      <c r="B20788" s="62" t="str">
        <f>IF(AND('领用录入（明细）'!D:D=$F$4,'领用录入（明细）'!C:C&gt;=$J$4,'领用录入（明细）'!C:C&lt;=$L$4),ROW(),"-")</f>
        <v>-</v>
      </c>
    </row>
    <row r="20789" customHeight="1" spans="2:2">
      <c r="B20789" s="62" t="str">
        <f>IF(AND('领用录入（明细）'!D:D=$F$4,'领用录入（明细）'!C:C&gt;=$J$4,'领用录入（明细）'!C:C&lt;=$L$4),ROW(),"-")</f>
        <v>-</v>
      </c>
    </row>
    <row r="20790" customHeight="1" spans="2:2">
      <c r="B20790" s="62" t="str">
        <f>IF(AND('领用录入（明细）'!D:D=$F$4,'领用录入（明细）'!C:C&gt;=$J$4,'领用录入（明细）'!C:C&lt;=$L$4),ROW(),"-")</f>
        <v>-</v>
      </c>
    </row>
    <row r="20791" customHeight="1" spans="2:2">
      <c r="B20791" s="62" t="str">
        <f>IF(AND('领用录入（明细）'!D:D=$F$4,'领用录入（明细）'!C:C&gt;=$J$4,'领用录入（明细）'!C:C&lt;=$L$4),ROW(),"-")</f>
        <v>-</v>
      </c>
    </row>
    <row r="20792" customHeight="1" spans="2:2">
      <c r="B20792" s="62" t="str">
        <f>IF(AND('领用录入（明细）'!D:D=$F$4,'领用录入（明细）'!C:C&gt;=$J$4,'领用录入（明细）'!C:C&lt;=$L$4),ROW(),"-")</f>
        <v>-</v>
      </c>
    </row>
    <row r="20793" customHeight="1" spans="2:2">
      <c r="B20793" s="62" t="str">
        <f>IF(AND('领用录入（明细）'!D:D=$F$4,'领用录入（明细）'!C:C&gt;=$J$4,'领用录入（明细）'!C:C&lt;=$L$4),ROW(),"-")</f>
        <v>-</v>
      </c>
    </row>
    <row r="20794" customHeight="1" spans="2:2">
      <c r="B20794" s="62" t="str">
        <f>IF(AND('领用录入（明细）'!D:D=$F$4,'领用录入（明细）'!C:C&gt;=$J$4,'领用录入（明细）'!C:C&lt;=$L$4),ROW(),"-")</f>
        <v>-</v>
      </c>
    </row>
    <row r="20795" customHeight="1" spans="2:2">
      <c r="B20795" s="62" t="str">
        <f>IF(AND('领用录入（明细）'!D:D=$F$4,'领用录入（明细）'!C:C&gt;=$J$4,'领用录入（明细）'!C:C&lt;=$L$4),ROW(),"-")</f>
        <v>-</v>
      </c>
    </row>
    <row r="20796" customHeight="1" spans="2:2">
      <c r="B20796" s="62" t="str">
        <f>IF(AND('领用录入（明细）'!D:D=$F$4,'领用录入（明细）'!C:C&gt;=$J$4,'领用录入（明细）'!C:C&lt;=$L$4),ROW(),"-")</f>
        <v>-</v>
      </c>
    </row>
    <row r="20797" customHeight="1" spans="2:2">
      <c r="B20797" s="62" t="str">
        <f>IF(AND('领用录入（明细）'!D:D=$F$4,'领用录入（明细）'!C:C&gt;=$J$4,'领用录入（明细）'!C:C&lt;=$L$4),ROW(),"-")</f>
        <v>-</v>
      </c>
    </row>
    <row r="20798" customHeight="1" spans="2:2">
      <c r="B20798" s="62" t="str">
        <f>IF(AND('领用录入（明细）'!D:D=$F$4,'领用录入（明细）'!C:C&gt;=$J$4,'领用录入（明细）'!C:C&lt;=$L$4),ROW(),"-")</f>
        <v>-</v>
      </c>
    </row>
    <row r="20799" customHeight="1" spans="2:2">
      <c r="B20799" s="62" t="str">
        <f>IF(AND('领用录入（明细）'!D:D=$F$4,'领用录入（明细）'!C:C&gt;=$J$4,'领用录入（明细）'!C:C&lt;=$L$4),ROW(),"-")</f>
        <v>-</v>
      </c>
    </row>
    <row r="20800" customHeight="1" spans="2:2">
      <c r="B20800" s="62" t="str">
        <f>IF(AND('领用录入（明细）'!D:D=$F$4,'领用录入（明细）'!C:C&gt;=$J$4,'领用录入（明细）'!C:C&lt;=$L$4),ROW(),"-")</f>
        <v>-</v>
      </c>
    </row>
    <row r="20801" customHeight="1" spans="2:2">
      <c r="B20801" s="62" t="str">
        <f>IF(AND('领用录入（明细）'!D:D=$F$4,'领用录入（明细）'!C:C&gt;=$J$4,'领用录入（明细）'!C:C&lt;=$L$4),ROW(),"-")</f>
        <v>-</v>
      </c>
    </row>
    <row r="20802" customHeight="1" spans="2:2">
      <c r="B20802" s="62" t="str">
        <f>IF(AND('领用录入（明细）'!D:D=$F$4,'领用录入（明细）'!C:C&gt;=$J$4,'领用录入（明细）'!C:C&lt;=$L$4),ROW(),"-")</f>
        <v>-</v>
      </c>
    </row>
    <row r="20803" customHeight="1" spans="2:2">
      <c r="B20803" s="62" t="str">
        <f>IF(AND('领用录入（明细）'!D:D=$F$4,'领用录入（明细）'!C:C&gt;=$J$4,'领用录入（明细）'!C:C&lt;=$L$4),ROW(),"-")</f>
        <v>-</v>
      </c>
    </row>
    <row r="20804" customHeight="1" spans="2:2">
      <c r="B20804" s="62" t="str">
        <f>IF(AND('领用录入（明细）'!D:D=$F$4,'领用录入（明细）'!C:C&gt;=$J$4,'领用录入（明细）'!C:C&lt;=$L$4),ROW(),"-")</f>
        <v>-</v>
      </c>
    </row>
    <row r="20805" customHeight="1" spans="2:2">
      <c r="B20805" s="62" t="str">
        <f>IF(AND('领用录入（明细）'!D:D=$F$4,'领用录入（明细）'!C:C&gt;=$J$4,'领用录入（明细）'!C:C&lt;=$L$4),ROW(),"-")</f>
        <v>-</v>
      </c>
    </row>
    <row r="20806" customHeight="1" spans="2:2">
      <c r="B20806" s="62" t="str">
        <f>IF(AND('领用录入（明细）'!D:D=$F$4,'领用录入（明细）'!C:C&gt;=$J$4,'领用录入（明细）'!C:C&lt;=$L$4),ROW(),"-")</f>
        <v>-</v>
      </c>
    </row>
    <row r="20807" customHeight="1" spans="2:2">
      <c r="B20807" s="62" t="str">
        <f>IF(AND('领用录入（明细）'!D:D=$F$4,'领用录入（明细）'!C:C&gt;=$J$4,'领用录入（明细）'!C:C&lt;=$L$4),ROW(),"-")</f>
        <v>-</v>
      </c>
    </row>
    <row r="20808" customHeight="1" spans="2:2">
      <c r="B20808" s="62" t="str">
        <f>IF(AND('领用录入（明细）'!D:D=$F$4,'领用录入（明细）'!C:C&gt;=$J$4,'领用录入（明细）'!C:C&lt;=$L$4),ROW(),"-")</f>
        <v>-</v>
      </c>
    </row>
    <row r="20809" customHeight="1" spans="2:2">
      <c r="B20809" s="62" t="str">
        <f>IF(AND('领用录入（明细）'!D:D=$F$4,'领用录入（明细）'!C:C&gt;=$J$4,'领用录入（明细）'!C:C&lt;=$L$4),ROW(),"-")</f>
        <v>-</v>
      </c>
    </row>
    <row r="20810" customHeight="1" spans="2:2">
      <c r="B20810" s="62" t="str">
        <f>IF(AND('领用录入（明细）'!D:D=$F$4,'领用录入（明细）'!C:C&gt;=$J$4,'领用录入（明细）'!C:C&lt;=$L$4),ROW(),"-")</f>
        <v>-</v>
      </c>
    </row>
    <row r="20811" customHeight="1" spans="2:2">
      <c r="B20811" s="62" t="str">
        <f>IF(AND('领用录入（明细）'!D:D=$F$4,'领用录入（明细）'!C:C&gt;=$J$4,'领用录入（明细）'!C:C&lt;=$L$4),ROW(),"-")</f>
        <v>-</v>
      </c>
    </row>
    <row r="20812" customHeight="1" spans="2:2">
      <c r="B20812" s="62" t="str">
        <f>IF(AND('领用录入（明细）'!D:D=$F$4,'领用录入（明细）'!C:C&gt;=$J$4,'领用录入（明细）'!C:C&lt;=$L$4),ROW(),"-")</f>
        <v>-</v>
      </c>
    </row>
    <row r="20813" customHeight="1" spans="2:2">
      <c r="B20813" s="62" t="str">
        <f>IF(AND('领用录入（明细）'!D:D=$F$4,'领用录入（明细）'!C:C&gt;=$J$4,'领用录入（明细）'!C:C&lt;=$L$4),ROW(),"-")</f>
        <v>-</v>
      </c>
    </row>
    <row r="20814" customHeight="1" spans="2:2">
      <c r="B20814" s="62" t="str">
        <f>IF(AND('领用录入（明细）'!D:D=$F$4,'领用录入（明细）'!C:C&gt;=$J$4,'领用录入（明细）'!C:C&lt;=$L$4),ROW(),"-")</f>
        <v>-</v>
      </c>
    </row>
    <row r="20815" customHeight="1" spans="2:2">
      <c r="B20815" s="62" t="str">
        <f>IF(AND('领用录入（明细）'!D:D=$F$4,'领用录入（明细）'!C:C&gt;=$J$4,'领用录入（明细）'!C:C&lt;=$L$4),ROW(),"-")</f>
        <v>-</v>
      </c>
    </row>
    <row r="20816" customHeight="1" spans="2:2">
      <c r="B20816" s="62" t="str">
        <f>IF(AND('领用录入（明细）'!D:D=$F$4,'领用录入（明细）'!C:C&gt;=$J$4,'领用录入（明细）'!C:C&lt;=$L$4),ROW(),"-")</f>
        <v>-</v>
      </c>
    </row>
    <row r="20817" customHeight="1" spans="2:2">
      <c r="B20817" s="62" t="str">
        <f>IF(AND('领用录入（明细）'!D:D=$F$4,'领用录入（明细）'!C:C&gt;=$J$4,'领用录入（明细）'!C:C&lt;=$L$4),ROW(),"-")</f>
        <v>-</v>
      </c>
    </row>
    <row r="20818" customHeight="1" spans="2:2">
      <c r="B20818" s="62" t="str">
        <f>IF(AND('领用录入（明细）'!D:D=$F$4,'领用录入（明细）'!C:C&gt;=$J$4,'领用录入（明细）'!C:C&lt;=$L$4),ROW(),"-")</f>
        <v>-</v>
      </c>
    </row>
    <row r="20819" customHeight="1" spans="2:2">
      <c r="B20819" s="62" t="str">
        <f>IF(AND('领用录入（明细）'!D:D=$F$4,'领用录入（明细）'!C:C&gt;=$J$4,'领用录入（明细）'!C:C&lt;=$L$4),ROW(),"-")</f>
        <v>-</v>
      </c>
    </row>
    <row r="20820" customHeight="1" spans="2:2">
      <c r="B20820" s="62" t="str">
        <f>IF(AND('领用录入（明细）'!D:D=$F$4,'领用录入（明细）'!C:C&gt;=$J$4,'领用录入（明细）'!C:C&lt;=$L$4),ROW(),"-")</f>
        <v>-</v>
      </c>
    </row>
    <row r="20821" customHeight="1" spans="2:2">
      <c r="B20821" s="62" t="str">
        <f>IF(AND('领用录入（明细）'!D:D=$F$4,'领用录入（明细）'!C:C&gt;=$J$4,'领用录入（明细）'!C:C&lt;=$L$4),ROW(),"-")</f>
        <v>-</v>
      </c>
    </row>
    <row r="20822" customHeight="1" spans="2:2">
      <c r="B20822" s="62" t="str">
        <f>IF(AND('领用录入（明细）'!D:D=$F$4,'领用录入（明细）'!C:C&gt;=$J$4,'领用录入（明细）'!C:C&lt;=$L$4),ROW(),"-")</f>
        <v>-</v>
      </c>
    </row>
    <row r="20823" customHeight="1" spans="2:2">
      <c r="B20823" s="62" t="str">
        <f>IF(AND('领用录入（明细）'!D:D=$F$4,'领用录入（明细）'!C:C&gt;=$J$4,'领用录入（明细）'!C:C&lt;=$L$4),ROW(),"-")</f>
        <v>-</v>
      </c>
    </row>
    <row r="20824" customHeight="1" spans="2:2">
      <c r="B20824" s="62" t="str">
        <f>IF(AND('领用录入（明细）'!D:D=$F$4,'领用录入（明细）'!C:C&gt;=$J$4,'领用录入（明细）'!C:C&lt;=$L$4),ROW(),"-")</f>
        <v>-</v>
      </c>
    </row>
    <row r="20825" customHeight="1" spans="2:2">
      <c r="B20825" s="62" t="str">
        <f>IF(AND('领用录入（明细）'!D:D=$F$4,'领用录入（明细）'!C:C&gt;=$J$4,'领用录入（明细）'!C:C&lt;=$L$4),ROW(),"-")</f>
        <v>-</v>
      </c>
    </row>
    <row r="20826" customHeight="1" spans="2:2">
      <c r="B20826" s="62" t="str">
        <f>IF(AND('领用录入（明细）'!D:D=$F$4,'领用录入（明细）'!C:C&gt;=$J$4,'领用录入（明细）'!C:C&lt;=$L$4),ROW(),"-")</f>
        <v>-</v>
      </c>
    </row>
    <row r="20827" customHeight="1" spans="2:2">
      <c r="B20827" s="62" t="str">
        <f>IF(AND('领用录入（明细）'!D:D=$F$4,'领用录入（明细）'!C:C&gt;=$J$4,'领用录入（明细）'!C:C&lt;=$L$4),ROW(),"-")</f>
        <v>-</v>
      </c>
    </row>
    <row r="20828" customHeight="1" spans="2:2">
      <c r="B20828" s="62" t="str">
        <f>IF(AND('领用录入（明细）'!D:D=$F$4,'领用录入（明细）'!C:C&gt;=$J$4,'领用录入（明细）'!C:C&lt;=$L$4),ROW(),"-")</f>
        <v>-</v>
      </c>
    </row>
    <row r="20829" customHeight="1" spans="2:2">
      <c r="B20829" s="62" t="str">
        <f>IF(AND('领用录入（明细）'!D:D=$F$4,'领用录入（明细）'!C:C&gt;=$J$4,'领用录入（明细）'!C:C&lt;=$L$4),ROW(),"-")</f>
        <v>-</v>
      </c>
    </row>
    <row r="20830" customHeight="1" spans="2:2">
      <c r="B20830" s="62" t="str">
        <f>IF(AND('领用录入（明细）'!D:D=$F$4,'领用录入（明细）'!C:C&gt;=$J$4,'领用录入（明细）'!C:C&lt;=$L$4),ROW(),"-")</f>
        <v>-</v>
      </c>
    </row>
    <row r="20831" customHeight="1" spans="2:2">
      <c r="B20831" s="62" t="str">
        <f>IF(AND('领用录入（明细）'!D:D=$F$4,'领用录入（明细）'!C:C&gt;=$J$4,'领用录入（明细）'!C:C&lt;=$L$4),ROW(),"-")</f>
        <v>-</v>
      </c>
    </row>
    <row r="20832" customHeight="1" spans="2:2">
      <c r="B20832" s="62" t="str">
        <f>IF(AND('领用录入（明细）'!D:D=$F$4,'领用录入（明细）'!C:C&gt;=$J$4,'领用录入（明细）'!C:C&lt;=$L$4),ROW(),"-")</f>
        <v>-</v>
      </c>
    </row>
    <row r="20833" customHeight="1" spans="2:2">
      <c r="B20833" s="62" t="str">
        <f>IF(AND('领用录入（明细）'!D:D=$F$4,'领用录入（明细）'!C:C&gt;=$J$4,'领用录入（明细）'!C:C&lt;=$L$4),ROW(),"-")</f>
        <v>-</v>
      </c>
    </row>
    <row r="20834" customHeight="1" spans="2:2">
      <c r="B20834" s="62" t="str">
        <f>IF(AND('领用录入（明细）'!D:D=$F$4,'领用录入（明细）'!C:C&gt;=$J$4,'领用录入（明细）'!C:C&lt;=$L$4),ROW(),"-")</f>
        <v>-</v>
      </c>
    </row>
    <row r="20835" customHeight="1" spans="2:2">
      <c r="B20835" s="62" t="str">
        <f>IF(AND('领用录入（明细）'!D:D=$F$4,'领用录入（明细）'!C:C&gt;=$J$4,'领用录入（明细）'!C:C&lt;=$L$4),ROW(),"-")</f>
        <v>-</v>
      </c>
    </row>
    <row r="20836" customHeight="1" spans="2:2">
      <c r="B20836" s="62" t="str">
        <f>IF(AND('领用录入（明细）'!D:D=$F$4,'领用录入（明细）'!C:C&gt;=$J$4,'领用录入（明细）'!C:C&lt;=$L$4),ROW(),"-")</f>
        <v>-</v>
      </c>
    </row>
    <row r="20837" customHeight="1" spans="2:2">
      <c r="B20837" s="62" t="str">
        <f>IF(AND('领用录入（明细）'!D:D=$F$4,'领用录入（明细）'!C:C&gt;=$J$4,'领用录入（明细）'!C:C&lt;=$L$4),ROW(),"-")</f>
        <v>-</v>
      </c>
    </row>
    <row r="20838" customHeight="1" spans="2:2">
      <c r="B20838" s="62" t="str">
        <f>IF(AND('领用录入（明细）'!D:D=$F$4,'领用录入（明细）'!C:C&gt;=$J$4,'领用录入（明细）'!C:C&lt;=$L$4),ROW(),"-")</f>
        <v>-</v>
      </c>
    </row>
    <row r="20839" customHeight="1" spans="2:2">
      <c r="B20839" s="62" t="str">
        <f>IF(AND('领用录入（明细）'!D:D=$F$4,'领用录入（明细）'!C:C&gt;=$J$4,'领用录入（明细）'!C:C&lt;=$L$4),ROW(),"-")</f>
        <v>-</v>
      </c>
    </row>
    <row r="20840" customHeight="1" spans="2:2">
      <c r="B20840" s="62" t="str">
        <f>IF(AND('领用录入（明细）'!D:D=$F$4,'领用录入（明细）'!C:C&gt;=$J$4,'领用录入（明细）'!C:C&lt;=$L$4),ROW(),"-")</f>
        <v>-</v>
      </c>
    </row>
    <row r="20841" customHeight="1" spans="2:2">
      <c r="B20841" s="62" t="str">
        <f>IF(AND('领用录入（明细）'!D:D=$F$4,'领用录入（明细）'!C:C&gt;=$J$4,'领用录入（明细）'!C:C&lt;=$L$4),ROW(),"-")</f>
        <v>-</v>
      </c>
    </row>
    <row r="20842" customHeight="1" spans="2:2">
      <c r="B20842" s="62" t="str">
        <f>IF(AND('领用录入（明细）'!D:D=$F$4,'领用录入（明细）'!C:C&gt;=$J$4,'领用录入（明细）'!C:C&lt;=$L$4),ROW(),"-")</f>
        <v>-</v>
      </c>
    </row>
    <row r="20843" customHeight="1" spans="2:2">
      <c r="B20843" s="62" t="str">
        <f>IF(AND('领用录入（明细）'!D:D=$F$4,'领用录入（明细）'!C:C&gt;=$J$4,'领用录入（明细）'!C:C&lt;=$L$4),ROW(),"-")</f>
        <v>-</v>
      </c>
    </row>
    <row r="20844" customHeight="1" spans="2:2">
      <c r="B20844" s="62" t="str">
        <f>IF(AND('领用录入（明细）'!D:D=$F$4,'领用录入（明细）'!C:C&gt;=$J$4,'领用录入（明细）'!C:C&lt;=$L$4),ROW(),"-")</f>
        <v>-</v>
      </c>
    </row>
    <row r="20845" customHeight="1" spans="2:2">
      <c r="B20845" s="62" t="str">
        <f>IF(AND('领用录入（明细）'!D:D=$F$4,'领用录入（明细）'!C:C&gt;=$J$4,'领用录入（明细）'!C:C&lt;=$L$4),ROW(),"-")</f>
        <v>-</v>
      </c>
    </row>
    <row r="20846" customHeight="1" spans="2:2">
      <c r="B20846" s="62" t="str">
        <f>IF(AND('领用录入（明细）'!D:D=$F$4,'领用录入（明细）'!C:C&gt;=$J$4,'领用录入（明细）'!C:C&lt;=$L$4),ROW(),"-")</f>
        <v>-</v>
      </c>
    </row>
    <row r="20847" customHeight="1" spans="2:2">
      <c r="B20847" s="62" t="str">
        <f>IF(AND('领用录入（明细）'!D:D=$F$4,'领用录入（明细）'!C:C&gt;=$J$4,'领用录入（明细）'!C:C&lt;=$L$4),ROW(),"-")</f>
        <v>-</v>
      </c>
    </row>
    <row r="20848" customHeight="1" spans="2:2">
      <c r="B20848" s="62" t="str">
        <f>IF(AND('领用录入（明细）'!D:D=$F$4,'领用录入（明细）'!C:C&gt;=$J$4,'领用录入（明细）'!C:C&lt;=$L$4),ROW(),"-")</f>
        <v>-</v>
      </c>
    </row>
    <row r="20849" customHeight="1" spans="2:2">
      <c r="B20849" s="62" t="str">
        <f>IF(AND('领用录入（明细）'!D:D=$F$4,'领用录入（明细）'!C:C&gt;=$J$4,'领用录入（明细）'!C:C&lt;=$L$4),ROW(),"-")</f>
        <v>-</v>
      </c>
    </row>
    <row r="20850" customHeight="1" spans="2:2">
      <c r="B20850" s="62" t="str">
        <f>IF(AND('领用录入（明细）'!D:D=$F$4,'领用录入（明细）'!C:C&gt;=$J$4,'领用录入（明细）'!C:C&lt;=$L$4),ROW(),"-")</f>
        <v>-</v>
      </c>
    </row>
    <row r="20851" customHeight="1" spans="2:2">
      <c r="B20851" s="62" t="str">
        <f>IF(AND('领用录入（明细）'!D:D=$F$4,'领用录入（明细）'!C:C&gt;=$J$4,'领用录入（明细）'!C:C&lt;=$L$4),ROW(),"-")</f>
        <v>-</v>
      </c>
    </row>
    <row r="20852" customHeight="1" spans="2:2">
      <c r="B20852" s="62" t="str">
        <f>IF(AND('领用录入（明细）'!D:D=$F$4,'领用录入（明细）'!C:C&gt;=$J$4,'领用录入（明细）'!C:C&lt;=$L$4),ROW(),"-")</f>
        <v>-</v>
      </c>
    </row>
    <row r="20853" customHeight="1" spans="2:2">
      <c r="B20853" s="62" t="str">
        <f>IF(AND('领用录入（明细）'!D:D=$F$4,'领用录入（明细）'!C:C&gt;=$J$4,'领用录入（明细）'!C:C&lt;=$L$4),ROW(),"-")</f>
        <v>-</v>
      </c>
    </row>
    <row r="20854" customHeight="1" spans="2:2">
      <c r="B20854" s="62" t="str">
        <f>IF(AND('领用录入（明细）'!D:D=$F$4,'领用录入（明细）'!C:C&gt;=$J$4,'领用录入（明细）'!C:C&lt;=$L$4),ROW(),"-")</f>
        <v>-</v>
      </c>
    </row>
    <row r="20855" customHeight="1" spans="2:2">
      <c r="B20855" s="62" t="str">
        <f>IF(AND('领用录入（明细）'!D:D=$F$4,'领用录入（明细）'!C:C&gt;=$J$4,'领用录入（明细）'!C:C&lt;=$L$4),ROW(),"-")</f>
        <v>-</v>
      </c>
    </row>
    <row r="20856" customHeight="1" spans="2:2">
      <c r="B20856" s="62" t="str">
        <f>IF(AND('领用录入（明细）'!D:D=$F$4,'领用录入（明细）'!C:C&gt;=$J$4,'领用录入（明细）'!C:C&lt;=$L$4),ROW(),"-")</f>
        <v>-</v>
      </c>
    </row>
    <row r="20857" customHeight="1" spans="2:2">
      <c r="B20857" s="62" t="str">
        <f>IF(AND('领用录入（明细）'!D:D=$F$4,'领用录入（明细）'!C:C&gt;=$J$4,'领用录入（明细）'!C:C&lt;=$L$4),ROW(),"-")</f>
        <v>-</v>
      </c>
    </row>
    <row r="20858" customHeight="1" spans="2:2">
      <c r="B20858" s="62" t="str">
        <f>IF(AND('领用录入（明细）'!D:D=$F$4,'领用录入（明细）'!C:C&gt;=$J$4,'领用录入（明细）'!C:C&lt;=$L$4),ROW(),"-")</f>
        <v>-</v>
      </c>
    </row>
    <row r="20859" customHeight="1" spans="2:2">
      <c r="B20859" s="62" t="str">
        <f>IF(AND('领用录入（明细）'!D:D=$F$4,'领用录入（明细）'!C:C&gt;=$J$4,'领用录入（明细）'!C:C&lt;=$L$4),ROW(),"-")</f>
        <v>-</v>
      </c>
    </row>
    <row r="20860" customHeight="1" spans="2:2">
      <c r="B20860" s="62" t="str">
        <f>IF(AND('领用录入（明细）'!D:D=$F$4,'领用录入（明细）'!C:C&gt;=$J$4,'领用录入（明细）'!C:C&lt;=$L$4),ROW(),"-")</f>
        <v>-</v>
      </c>
    </row>
    <row r="20861" customHeight="1" spans="2:2">
      <c r="B20861" s="62" t="str">
        <f>IF(AND('领用录入（明细）'!D:D=$F$4,'领用录入（明细）'!C:C&gt;=$J$4,'领用录入（明细）'!C:C&lt;=$L$4),ROW(),"-")</f>
        <v>-</v>
      </c>
    </row>
    <row r="20862" customHeight="1" spans="2:2">
      <c r="B20862" s="62" t="str">
        <f>IF(AND('领用录入（明细）'!D:D=$F$4,'领用录入（明细）'!C:C&gt;=$J$4,'领用录入（明细）'!C:C&lt;=$L$4),ROW(),"-")</f>
        <v>-</v>
      </c>
    </row>
    <row r="20863" customHeight="1" spans="2:2">
      <c r="B20863" s="62" t="str">
        <f>IF(AND('领用录入（明细）'!D:D=$F$4,'领用录入（明细）'!C:C&gt;=$J$4,'领用录入（明细）'!C:C&lt;=$L$4),ROW(),"-")</f>
        <v>-</v>
      </c>
    </row>
    <row r="20864" customHeight="1" spans="2:2">
      <c r="B20864" s="62" t="str">
        <f>IF(AND('领用录入（明细）'!D:D=$F$4,'领用录入（明细）'!C:C&gt;=$J$4,'领用录入（明细）'!C:C&lt;=$L$4),ROW(),"-")</f>
        <v>-</v>
      </c>
    </row>
    <row r="20865" customHeight="1" spans="2:2">
      <c r="B20865" s="62" t="str">
        <f>IF(AND('领用录入（明细）'!D:D=$F$4,'领用录入（明细）'!C:C&gt;=$J$4,'领用录入（明细）'!C:C&lt;=$L$4),ROW(),"-")</f>
        <v>-</v>
      </c>
    </row>
    <row r="20866" customHeight="1" spans="2:2">
      <c r="B20866" s="62" t="str">
        <f>IF(AND('领用录入（明细）'!D:D=$F$4,'领用录入（明细）'!C:C&gt;=$J$4,'领用录入（明细）'!C:C&lt;=$L$4),ROW(),"-")</f>
        <v>-</v>
      </c>
    </row>
    <row r="20867" customHeight="1" spans="2:2">
      <c r="B20867" s="62" t="str">
        <f>IF(AND('领用录入（明细）'!D:D=$F$4,'领用录入（明细）'!C:C&gt;=$J$4,'领用录入（明细）'!C:C&lt;=$L$4),ROW(),"-")</f>
        <v>-</v>
      </c>
    </row>
    <row r="20868" customHeight="1" spans="2:2">
      <c r="B20868" s="62" t="str">
        <f>IF(AND('领用录入（明细）'!D:D=$F$4,'领用录入（明细）'!C:C&gt;=$J$4,'领用录入（明细）'!C:C&lt;=$L$4),ROW(),"-")</f>
        <v>-</v>
      </c>
    </row>
    <row r="20869" customHeight="1" spans="2:2">
      <c r="B20869" s="62" t="str">
        <f>IF(AND('领用录入（明细）'!D:D=$F$4,'领用录入（明细）'!C:C&gt;=$J$4,'领用录入（明细）'!C:C&lt;=$L$4),ROW(),"-")</f>
        <v>-</v>
      </c>
    </row>
    <row r="20870" customHeight="1" spans="2:2">
      <c r="B20870" s="62" t="str">
        <f>IF(AND('领用录入（明细）'!D:D=$F$4,'领用录入（明细）'!C:C&gt;=$J$4,'领用录入（明细）'!C:C&lt;=$L$4),ROW(),"-")</f>
        <v>-</v>
      </c>
    </row>
    <row r="20871" customHeight="1" spans="2:2">
      <c r="B20871" s="62" t="str">
        <f>IF(AND('领用录入（明细）'!D:D=$F$4,'领用录入（明细）'!C:C&gt;=$J$4,'领用录入（明细）'!C:C&lt;=$L$4),ROW(),"-")</f>
        <v>-</v>
      </c>
    </row>
    <row r="20872" customHeight="1" spans="2:2">
      <c r="B20872" s="62" t="str">
        <f>IF(AND('领用录入（明细）'!D:D=$F$4,'领用录入（明细）'!C:C&gt;=$J$4,'领用录入（明细）'!C:C&lt;=$L$4),ROW(),"-")</f>
        <v>-</v>
      </c>
    </row>
    <row r="20873" customHeight="1" spans="2:2">
      <c r="B20873" s="62" t="str">
        <f>IF(AND('领用录入（明细）'!D:D=$F$4,'领用录入（明细）'!C:C&gt;=$J$4,'领用录入（明细）'!C:C&lt;=$L$4),ROW(),"-")</f>
        <v>-</v>
      </c>
    </row>
    <row r="20874" customHeight="1" spans="2:2">
      <c r="B20874" s="62" t="str">
        <f>IF(AND('领用录入（明细）'!D:D=$F$4,'领用录入（明细）'!C:C&gt;=$J$4,'领用录入（明细）'!C:C&lt;=$L$4),ROW(),"-")</f>
        <v>-</v>
      </c>
    </row>
    <row r="20875" customHeight="1" spans="2:2">
      <c r="B20875" s="62" t="str">
        <f>IF(AND('领用录入（明细）'!D:D=$F$4,'领用录入（明细）'!C:C&gt;=$J$4,'领用录入（明细）'!C:C&lt;=$L$4),ROW(),"-")</f>
        <v>-</v>
      </c>
    </row>
    <row r="20876" customHeight="1" spans="2:2">
      <c r="B20876" s="62" t="str">
        <f>IF(AND('领用录入（明细）'!D:D=$F$4,'领用录入（明细）'!C:C&gt;=$J$4,'领用录入（明细）'!C:C&lt;=$L$4),ROW(),"-")</f>
        <v>-</v>
      </c>
    </row>
    <row r="20877" customHeight="1" spans="2:2">
      <c r="B20877" s="62" t="str">
        <f>IF(AND('领用录入（明细）'!D:D=$F$4,'领用录入（明细）'!C:C&gt;=$J$4,'领用录入（明细）'!C:C&lt;=$L$4),ROW(),"-")</f>
        <v>-</v>
      </c>
    </row>
    <row r="20878" customHeight="1" spans="2:2">
      <c r="B20878" s="62" t="str">
        <f>IF(AND('领用录入（明细）'!D:D=$F$4,'领用录入（明细）'!C:C&gt;=$J$4,'领用录入（明细）'!C:C&lt;=$L$4),ROW(),"-")</f>
        <v>-</v>
      </c>
    </row>
    <row r="20879" customHeight="1" spans="2:2">
      <c r="B20879" s="62" t="str">
        <f>IF(AND('领用录入（明细）'!D:D=$F$4,'领用录入（明细）'!C:C&gt;=$J$4,'领用录入（明细）'!C:C&lt;=$L$4),ROW(),"-")</f>
        <v>-</v>
      </c>
    </row>
    <row r="20880" customHeight="1" spans="2:2">
      <c r="B20880" s="62" t="str">
        <f>IF(AND('领用录入（明细）'!D:D=$F$4,'领用录入（明细）'!C:C&gt;=$J$4,'领用录入（明细）'!C:C&lt;=$L$4),ROW(),"-")</f>
        <v>-</v>
      </c>
    </row>
    <row r="20881" customHeight="1" spans="2:2">
      <c r="B20881" s="62" t="str">
        <f>IF(AND('领用录入（明细）'!D:D=$F$4,'领用录入（明细）'!C:C&gt;=$J$4,'领用录入（明细）'!C:C&lt;=$L$4),ROW(),"-")</f>
        <v>-</v>
      </c>
    </row>
    <row r="20882" customHeight="1" spans="2:2">
      <c r="B20882" s="62" t="str">
        <f>IF(AND('领用录入（明细）'!D:D=$F$4,'领用录入（明细）'!C:C&gt;=$J$4,'领用录入（明细）'!C:C&lt;=$L$4),ROW(),"-")</f>
        <v>-</v>
      </c>
    </row>
    <row r="20883" customHeight="1" spans="2:2">
      <c r="B20883" s="62" t="str">
        <f>IF(AND('领用录入（明细）'!D:D=$F$4,'领用录入（明细）'!C:C&gt;=$J$4,'领用录入（明细）'!C:C&lt;=$L$4),ROW(),"-")</f>
        <v>-</v>
      </c>
    </row>
    <row r="20884" customHeight="1" spans="2:2">
      <c r="B20884" s="62" t="str">
        <f>IF(AND('领用录入（明细）'!D:D=$F$4,'领用录入（明细）'!C:C&gt;=$J$4,'领用录入（明细）'!C:C&lt;=$L$4),ROW(),"-")</f>
        <v>-</v>
      </c>
    </row>
    <row r="20885" customHeight="1" spans="2:2">
      <c r="B20885" s="62" t="str">
        <f>IF(AND('领用录入（明细）'!D:D=$F$4,'领用录入（明细）'!C:C&gt;=$J$4,'领用录入（明细）'!C:C&lt;=$L$4),ROW(),"-")</f>
        <v>-</v>
      </c>
    </row>
    <row r="20886" customHeight="1" spans="2:2">
      <c r="B20886" s="62" t="str">
        <f>IF(AND('领用录入（明细）'!D:D=$F$4,'领用录入（明细）'!C:C&gt;=$J$4,'领用录入（明细）'!C:C&lt;=$L$4),ROW(),"-")</f>
        <v>-</v>
      </c>
    </row>
    <row r="20887" customHeight="1" spans="2:2">
      <c r="B20887" s="62" t="str">
        <f>IF(AND('领用录入（明细）'!D:D=$F$4,'领用录入（明细）'!C:C&gt;=$J$4,'领用录入（明细）'!C:C&lt;=$L$4),ROW(),"-")</f>
        <v>-</v>
      </c>
    </row>
    <row r="20888" customHeight="1" spans="2:2">
      <c r="B20888" s="62" t="str">
        <f>IF(AND('领用录入（明细）'!D:D=$F$4,'领用录入（明细）'!C:C&gt;=$J$4,'领用录入（明细）'!C:C&lt;=$L$4),ROW(),"-")</f>
        <v>-</v>
      </c>
    </row>
    <row r="20889" customHeight="1" spans="2:2">
      <c r="B20889" s="62" t="str">
        <f>IF(AND('领用录入（明细）'!D:D=$F$4,'领用录入（明细）'!C:C&gt;=$J$4,'领用录入（明细）'!C:C&lt;=$L$4),ROW(),"-")</f>
        <v>-</v>
      </c>
    </row>
    <row r="20890" customHeight="1" spans="2:2">
      <c r="B20890" s="62" t="str">
        <f>IF(AND('领用录入（明细）'!D:D=$F$4,'领用录入（明细）'!C:C&gt;=$J$4,'领用录入（明细）'!C:C&lt;=$L$4),ROW(),"-")</f>
        <v>-</v>
      </c>
    </row>
    <row r="20891" customHeight="1" spans="2:2">
      <c r="B20891" s="62" t="str">
        <f>IF(AND('领用录入（明细）'!D:D=$F$4,'领用录入（明细）'!C:C&gt;=$J$4,'领用录入（明细）'!C:C&lt;=$L$4),ROW(),"-")</f>
        <v>-</v>
      </c>
    </row>
    <row r="20892" customHeight="1" spans="2:2">
      <c r="B20892" s="62" t="str">
        <f>IF(AND('领用录入（明细）'!D:D=$F$4,'领用录入（明细）'!C:C&gt;=$J$4,'领用录入（明细）'!C:C&lt;=$L$4),ROW(),"-")</f>
        <v>-</v>
      </c>
    </row>
    <row r="20893" customHeight="1" spans="2:2">
      <c r="B20893" s="62" t="str">
        <f>IF(AND('领用录入（明细）'!D:D=$F$4,'领用录入（明细）'!C:C&gt;=$J$4,'领用录入（明细）'!C:C&lt;=$L$4),ROW(),"-")</f>
        <v>-</v>
      </c>
    </row>
    <row r="20894" customHeight="1" spans="2:2">
      <c r="B20894" s="62" t="str">
        <f>IF(AND('领用录入（明细）'!D:D=$F$4,'领用录入（明细）'!C:C&gt;=$J$4,'领用录入（明细）'!C:C&lt;=$L$4),ROW(),"-")</f>
        <v>-</v>
      </c>
    </row>
    <row r="20895" customHeight="1" spans="2:2">
      <c r="B20895" s="62" t="str">
        <f>IF(AND('领用录入（明细）'!D:D=$F$4,'领用录入（明细）'!C:C&gt;=$J$4,'领用录入（明细）'!C:C&lt;=$L$4),ROW(),"-")</f>
        <v>-</v>
      </c>
    </row>
    <row r="20896" customHeight="1" spans="2:2">
      <c r="B20896" s="62" t="str">
        <f>IF(AND('领用录入（明细）'!D:D=$F$4,'领用录入（明细）'!C:C&gt;=$J$4,'领用录入（明细）'!C:C&lt;=$L$4),ROW(),"-")</f>
        <v>-</v>
      </c>
    </row>
    <row r="20897" customHeight="1" spans="2:2">
      <c r="B20897" s="62" t="str">
        <f>IF(AND('领用录入（明细）'!D:D=$F$4,'领用录入（明细）'!C:C&gt;=$J$4,'领用录入（明细）'!C:C&lt;=$L$4),ROW(),"-")</f>
        <v>-</v>
      </c>
    </row>
    <row r="20898" customHeight="1" spans="2:2">
      <c r="B20898" s="62" t="str">
        <f>IF(AND('领用录入（明细）'!D:D=$F$4,'领用录入（明细）'!C:C&gt;=$J$4,'领用录入（明细）'!C:C&lt;=$L$4),ROW(),"-")</f>
        <v>-</v>
      </c>
    </row>
    <row r="20899" customHeight="1" spans="2:2">
      <c r="B20899" s="62" t="str">
        <f>IF(AND('领用录入（明细）'!D:D=$F$4,'领用录入（明细）'!C:C&gt;=$J$4,'领用录入（明细）'!C:C&lt;=$L$4),ROW(),"-")</f>
        <v>-</v>
      </c>
    </row>
    <row r="20900" customHeight="1" spans="2:2">
      <c r="B20900" s="62" t="str">
        <f>IF(AND('领用录入（明细）'!D:D=$F$4,'领用录入（明细）'!C:C&gt;=$J$4,'领用录入（明细）'!C:C&lt;=$L$4),ROW(),"-")</f>
        <v>-</v>
      </c>
    </row>
    <row r="20901" customHeight="1" spans="2:2">
      <c r="B20901" s="62" t="str">
        <f>IF(AND('领用录入（明细）'!D:D=$F$4,'领用录入（明细）'!C:C&gt;=$J$4,'领用录入（明细）'!C:C&lt;=$L$4),ROW(),"-")</f>
        <v>-</v>
      </c>
    </row>
    <row r="20902" customHeight="1" spans="2:2">
      <c r="B20902" s="62" t="str">
        <f>IF(AND('领用录入（明细）'!D:D=$F$4,'领用录入（明细）'!C:C&gt;=$J$4,'领用录入（明细）'!C:C&lt;=$L$4),ROW(),"-")</f>
        <v>-</v>
      </c>
    </row>
    <row r="20903" customHeight="1" spans="2:2">
      <c r="B20903" s="62" t="str">
        <f>IF(AND('领用录入（明细）'!D:D=$F$4,'领用录入（明细）'!C:C&gt;=$J$4,'领用录入（明细）'!C:C&lt;=$L$4),ROW(),"-")</f>
        <v>-</v>
      </c>
    </row>
    <row r="20904" customHeight="1" spans="2:2">
      <c r="B20904" s="62" t="str">
        <f>IF(AND('领用录入（明细）'!D:D=$F$4,'领用录入（明细）'!C:C&gt;=$J$4,'领用录入（明细）'!C:C&lt;=$L$4),ROW(),"-")</f>
        <v>-</v>
      </c>
    </row>
    <row r="20905" customHeight="1" spans="2:2">
      <c r="B20905" s="62" t="str">
        <f>IF(AND('领用录入（明细）'!D:D=$F$4,'领用录入（明细）'!C:C&gt;=$J$4,'领用录入（明细）'!C:C&lt;=$L$4),ROW(),"-")</f>
        <v>-</v>
      </c>
    </row>
    <row r="20906" customHeight="1" spans="2:2">
      <c r="B20906" s="62" t="str">
        <f>IF(AND('领用录入（明细）'!D:D=$F$4,'领用录入（明细）'!C:C&gt;=$J$4,'领用录入（明细）'!C:C&lt;=$L$4),ROW(),"-")</f>
        <v>-</v>
      </c>
    </row>
    <row r="20907" customHeight="1" spans="2:2">
      <c r="B20907" s="62" t="str">
        <f>IF(AND('领用录入（明细）'!D:D=$F$4,'领用录入（明细）'!C:C&gt;=$J$4,'领用录入（明细）'!C:C&lt;=$L$4),ROW(),"-")</f>
        <v>-</v>
      </c>
    </row>
    <row r="20908" customHeight="1" spans="2:2">
      <c r="B20908" s="62" t="str">
        <f>IF(AND('领用录入（明细）'!D:D=$F$4,'领用录入（明细）'!C:C&gt;=$J$4,'领用录入（明细）'!C:C&lt;=$L$4),ROW(),"-")</f>
        <v>-</v>
      </c>
    </row>
    <row r="20909" customHeight="1" spans="2:2">
      <c r="B20909" s="62" t="str">
        <f>IF(AND('领用录入（明细）'!D:D=$F$4,'领用录入（明细）'!C:C&gt;=$J$4,'领用录入（明细）'!C:C&lt;=$L$4),ROW(),"-")</f>
        <v>-</v>
      </c>
    </row>
    <row r="20910" customHeight="1" spans="2:2">
      <c r="B20910" s="62" t="str">
        <f>IF(AND('领用录入（明细）'!D:D=$F$4,'领用录入（明细）'!C:C&gt;=$J$4,'领用录入（明细）'!C:C&lt;=$L$4),ROW(),"-")</f>
        <v>-</v>
      </c>
    </row>
    <row r="20911" customHeight="1" spans="2:2">
      <c r="B20911" s="62" t="str">
        <f>IF(AND('领用录入（明细）'!D:D=$F$4,'领用录入（明细）'!C:C&gt;=$J$4,'领用录入（明细）'!C:C&lt;=$L$4),ROW(),"-")</f>
        <v>-</v>
      </c>
    </row>
    <row r="20912" customHeight="1" spans="2:2">
      <c r="B20912" s="62" t="str">
        <f>IF(AND('领用录入（明细）'!D:D=$F$4,'领用录入（明细）'!C:C&gt;=$J$4,'领用录入（明细）'!C:C&lt;=$L$4),ROW(),"-")</f>
        <v>-</v>
      </c>
    </row>
    <row r="20913" customHeight="1" spans="2:2">
      <c r="B20913" s="62" t="str">
        <f>IF(AND('领用录入（明细）'!D:D=$F$4,'领用录入（明细）'!C:C&gt;=$J$4,'领用录入（明细）'!C:C&lt;=$L$4),ROW(),"-")</f>
        <v>-</v>
      </c>
    </row>
    <row r="20914" customHeight="1" spans="2:2">
      <c r="B20914" s="62" t="str">
        <f>IF(AND('领用录入（明细）'!D:D=$F$4,'领用录入（明细）'!C:C&gt;=$J$4,'领用录入（明细）'!C:C&lt;=$L$4),ROW(),"-")</f>
        <v>-</v>
      </c>
    </row>
    <row r="20915" customHeight="1" spans="2:2">
      <c r="B20915" s="62" t="str">
        <f>IF(AND('领用录入（明细）'!D:D=$F$4,'领用录入（明细）'!C:C&gt;=$J$4,'领用录入（明细）'!C:C&lt;=$L$4),ROW(),"-")</f>
        <v>-</v>
      </c>
    </row>
    <row r="20916" customHeight="1" spans="2:2">
      <c r="B20916" s="62" t="str">
        <f>IF(AND('领用录入（明细）'!D:D=$F$4,'领用录入（明细）'!C:C&gt;=$J$4,'领用录入（明细）'!C:C&lt;=$L$4),ROW(),"-")</f>
        <v>-</v>
      </c>
    </row>
    <row r="20917" customHeight="1" spans="2:2">
      <c r="B20917" s="62" t="str">
        <f>IF(AND('领用录入（明细）'!D:D=$F$4,'领用录入（明细）'!C:C&gt;=$J$4,'领用录入（明细）'!C:C&lt;=$L$4),ROW(),"-")</f>
        <v>-</v>
      </c>
    </row>
    <row r="20918" customHeight="1" spans="2:2">
      <c r="B20918" s="62" t="str">
        <f>IF(AND('领用录入（明细）'!D:D=$F$4,'领用录入（明细）'!C:C&gt;=$J$4,'领用录入（明细）'!C:C&lt;=$L$4),ROW(),"-")</f>
        <v>-</v>
      </c>
    </row>
    <row r="20919" customHeight="1" spans="2:2">
      <c r="B20919" s="62" t="str">
        <f>IF(AND('领用录入（明细）'!D:D=$F$4,'领用录入（明细）'!C:C&gt;=$J$4,'领用录入（明细）'!C:C&lt;=$L$4),ROW(),"-")</f>
        <v>-</v>
      </c>
    </row>
    <row r="20920" customHeight="1" spans="2:2">
      <c r="B20920" s="62" t="str">
        <f>IF(AND('领用录入（明细）'!D:D=$F$4,'领用录入（明细）'!C:C&gt;=$J$4,'领用录入（明细）'!C:C&lt;=$L$4),ROW(),"-")</f>
        <v>-</v>
      </c>
    </row>
    <row r="20921" customHeight="1" spans="2:2">
      <c r="B20921" s="62" t="str">
        <f>IF(AND('领用录入（明细）'!D:D=$F$4,'领用录入（明细）'!C:C&gt;=$J$4,'领用录入（明细）'!C:C&lt;=$L$4),ROW(),"-")</f>
        <v>-</v>
      </c>
    </row>
    <row r="20922" customHeight="1" spans="2:2">
      <c r="B20922" s="62" t="str">
        <f>IF(AND('领用录入（明细）'!D:D=$F$4,'领用录入（明细）'!C:C&gt;=$J$4,'领用录入（明细）'!C:C&lt;=$L$4),ROW(),"-")</f>
        <v>-</v>
      </c>
    </row>
    <row r="20923" customHeight="1" spans="2:2">
      <c r="B20923" s="62" t="str">
        <f>IF(AND('领用录入（明细）'!D:D=$F$4,'领用录入（明细）'!C:C&gt;=$J$4,'领用录入（明细）'!C:C&lt;=$L$4),ROW(),"-")</f>
        <v>-</v>
      </c>
    </row>
    <row r="20924" customHeight="1" spans="2:2">
      <c r="B20924" s="62" t="str">
        <f>IF(AND('领用录入（明细）'!D:D=$F$4,'领用录入（明细）'!C:C&gt;=$J$4,'领用录入（明细）'!C:C&lt;=$L$4),ROW(),"-")</f>
        <v>-</v>
      </c>
    </row>
    <row r="20925" customHeight="1" spans="2:2">
      <c r="B20925" s="62" t="str">
        <f>IF(AND('领用录入（明细）'!D:D=$F$4,'领用录入（明细）'!C:C&gt;=$J$4,'领用录入（明细）'!C:C&lt;=$L$4),ROW(),"-")</f>
        <v>-</v>
      </c>
    </row>
    <row r="20926" customHeight="1" spans="2:2">
      <c r="B20926" s="62" t="str">
        <f>IF(AND('领用录入（明细）'!D:D=$F$4,'领用录入（明细）'!C:C&gt;=$J$4,'领用录入（明细）'!C:C&lt;=$L$4),ROW(),"-")</f>
        <v>-</v>
      </c>
    </row>
    <row r="20927" customHeight="1" spans="2:2">
      <c r="B20927" s="62" t="str">
        <f>IF(AND('领用录入（明细）'!D:D=$F$4,'领用录入（明细）'!C:C&gt;=$J$4,'领用录入（明细）'!C:C&lt;=$L$4),ROW(),"-")</f>
        <v>-</v>
      </c>
    </row>
    <row r="20928" customHeight="1" spans="2:2">
      <c r="B20928" s="62" t="str">
        <f>IF(AND('领用录入（明细）'!D:D=$F$4,'领用录入（明细）'!C:C&gt;=$J$4,'领用录入（明细）'!C:C&lt;=$L$4),ROW(),"-")</f>
        <v>-</v>
      </c>
    </row>
    <row r="20929" customHeight="1" spans="2:2">
      <c r="B20929" s="62" t="str">
        <f>IF(AND('领用录入（明细）'!D:D=$F$4,'领用录入（明细）'!C:C&gt;=$J$4,'领用录入（明细）'!C:C&lt;=$L$4),ROW(),"-")</f>
        <v>-</v>
      </c>
    </row>
    <row r="20930" customHeight="1" spans="2:2">
      <c r="B20930" s="62" t="str">
        <f>IF(AND('领用录入（明细）'!D:D=$F$4,'领用录入（明细）'!C:C&gt;=$J$4,'领用录入（明细）'!C:C&lt;=$L$4),ROW(),"-")</f>
        <v>-</v>
      </c>
    </row>
    <row r="20931" customHeight="1" spans="2:2">
      <c r="B20931" s="62" t="str">
        <f>IF(AND('领用录入（明细）'!D:D=$F$4,'领用录入（明细）'!C:C&gt;=$J$4,'领用录入（明细）'!C:C&lt;=$L$4),ROW(),"-")</f>
        <v>-</v>
      </c>
    </row>
    <row r="20932" customHeight="1" spans="2:2">
      <c r="B20932" s="62" t="str">
        <f>IF(AND('领用录入（明细）'!D:D=$F$4,'领用录入（明细）'!C:C&gt;=$J$4,'领用录入（明细）'!C:C&lt;=$L$4),ROW(),"-")</f>
        <v>-</v>
      </c>
    </row>
    <row r="20933" customHeight="1" spans="2:2">
      <c r="B20933" s="62" t="str">
        <f>IF(AND('领用录入（明细）'!D:D=$F$4,'领用录入（明细）'!C:C&gt;=$J$4,'领用录入（明细）'!C:C&lt;=$L$4),ROW(),"-")</f>
        <v>-</v>
      </c>
    </row>
    <row r="20934" customHeight="1" spans="2:2">
      <c r="B20934" s="62" t="str">
        <f>IF(AND('领用录入（明细）'!D:D=$F$4,'领用录入（明细）'!C:C&gt;=$J$4,'领用录入（明细）'!C:C&lt;=$L$4),ROW(),"-")</f>
        <v>-</v>
      </c>
    </row>
    <row r="20935" customHeight="1" spans="2:2">
      <c r="B20935" s="62" t="str">
        <f>IF(AND('领用录入（明细）'!D:D=$F$4,'领用录入（明细）'!C:C&gt;=$J$4,'领用录入（明细）'!C:C&lt;=$L$4),ROW(),"-")</f>
        <v>-</v>
      </c>
    </row>
    <row r="20936" customHeight="1" spans="2:2">
      <c r="B20936" s="62" t="str">
        <f>IF(AND('领用录入（明细）'!D:D=$F$4,'领用录入（明细）'!C:C&gt;=$J$4,'领用录入（明细）'!C:C&lt;=$L$4),ROW(),"-")</f>
        <v>-</v>
      </c>
    </row>
    <row r="20937" customHeight="1" spans="2:2">
      <c r="B20937" s="62" t="str">
        <f>IF(AND('领用录入（明细）'!D:D=$F$4,'领用录入（明细）'!C:C&gt;=$J$4,'领用录入（明细）'!C:C&lt;=$L$4),ROW(),"-")</f>
        <v>-</v>
      </c>
    </row>
    <row r="20938" customHeight="1" spans="2:2">
      <c r="B20938" s="62" t="str">
        <f>IF(AND('领用录入（明细）'!D:D=$F$4,'领用录入（明细）'!C:C&gt;=$J$4,'领用录入（明细）'!C:C&lt;=$L$4),ROW(),"-")</f>
        <v>-</v>
      </c>
    </row>
    <row r="20939" customHeight="1" spans="2:2">
      <c r="B20939" s="62" t="str">
        <f>IF(AND('领用录入（明细）'!D:D=$F$4,'领用录入（明细）'!C:C&gt;=$J$4,'领用录入（明细）'!C:C&lt;=$L$4),ROW(),"-")</f>
        <v>-</v>
      </c>
    </row>
    <row r="20940" customHeight="1" spans="2:2">
      <c r="B20940" s="62" t="str">
        <f>IF(AND('领用录入（明细）'!D:D=$F$4,'领用录入（明细）'!C:C&gt;=$J$4,'领用录入（明细）'!C:C&lt;=$L$4),ROW(),"-")</f>
        <v>-</v>
      </c>
    </row>
    <row r="20941" customHeight="1" spans="2:2">
      <c r="B20941" s="62" t="str">
        <f>IF(AND('领用录入（明细）'!D:D=$F$4,'领用录入（明细）'!C:C&gt;=$J$4,'领用录入（明细）'!C:C&lt;=$L$4),ROW(),"-")</f>
        <v>-</v>
      </c>
    </row>
    <row r="20942" customHeight="1" spans="2:2">
      <c r="B20942" s="62" t="str">
        <f>IF(AND('领用录入（明细）'!D:D=$F$4,'领用录入（明细）'!C:C&gt;=$J$4,'领用录入（明细）'!C:C&lt;=$L$4),ROW(),"-")</f>
        <v>-</v>
      </c>
    </row>
    <row r="20943" customHeight="1" spans="2:2">
      <c r="B20943" s="62" t="str">
        <f>IF(AND('领用录入（明细）'!D:D=$F$4,'领用录入（明细）'!C:C&gt;=$J$4,'领用录入（明细）'!C:C&lt;=$L$4),ROW(),"-")</f>
        <v>-</v>
      </c>
    </row>
    <row r="20944" customHeight="1" spans="2:2">
      <c r="B20944" s="62" t="str">
        <f>IF(AND('领用录入（明细）'!D:D=$F$4,'领用录入（明细）'!C:C&gt;=$J$4,'领用录入（明细）'!C:C&lt;=$L$4),ROW(),"-")</f>
        <v>-</v>
      </c>
    </row>
    <row r="20945" customHeight="1" spans="2:2">
      <c r="B20945" s="62" t="str">
        <f>IF(AND('领用录入（明细）'!D:D=$F$4,'领用录入（明细）'!C:C&gt;=$J$4,'领用录入（明细）'!C:C&lt;=$L$4),ROW(),"-")</f>
        <v>-</v>
      </c>
    </row>
    <row r="20946" customHeight="1" spans="2:2">
      <c r="B20946" s="62" t="str">
        <f>IF(AND('领用录入（明细）'!D:D=$F$4,'领用录入（明细）'!C:C&gt;=$J$4,'领用录入（明细）'!C:C&lt;=$L$4),ROW(),"-")</f>
        <v>-</v>
      </c>
    </row>
    <row r="20947" customHeight="1" spans="2:2">
      <c r="B20947" s="62" t="str">
        <f>IF(AND('领用录入（明细）'!D:D=$F$4,'领用录入（明细）'!C:C&gt;=$J$4,'领用录入（明细）'!C:C&lt;=$L$4),ROW(),"-")</f>
        <v>-</v>
      </c>
    </row>
    <row r="20948" customHeight="1" spans="2:2">
      <c r="B20948" s="62" t="str">
        <f>IF(AND('领用录入（明细）'!D:D=$F$4,'领用录入（明细）'!C:C&gt;=$J$4,'领用录入（明细）'!C:C&lt;=$L$4),ROW(),"-")</f>
        <v>-</v>
      </c>
    </row>
    <row r="20949" customHeight="1" spans="2:2">
      <c r="B20949" s="62" t="str">
        <f>IF(AND('领用录入（明细）'!D:D=$F$4,'领用录入（明细）'!C:C&gt;=$J$4,'领用录入（明细）'!C:C&lt;=$L$4),ROW(),"-")</f>
        <v>-</v>
      </c>
    </row>
    <row r="20950" customHeight="1" spans="2:2">
      <c r="B20950" s="62" t="str">
        <f>IF(AND('领用录入（明细）'!D:D=$F$4,'领用录入（明细）'!C:C&gt;=$J$4,'领用录入（明细）'!C:C&lt;=$L$4),ROW(),"-")</f>
        <v>-</v>
      </c>
    </row>
    <row r="20951" customHeight="1" spans="2:2">
      <c r="B20951" s="62" t="str">
        <f>IF(AND('领用录入（明细）'!D:D=$F$4,'领用录入（明细）'!C:C&gt;=$J$4,'领用录入（明细）'!C:C&lt;=$L$4),ROW(),"-")</f>
        <v>-</v>
      </c>
    </row>
    <row r="20952" customHeight="1" spans="2:2">
      <c r="B20952" s="62" t="str">
        <f>IF(AND('领用录入（明细）'!D:D=$F$4,'领用录入（明细）'!C:C&gt;=$J$4,'领用录入（明细）'!C:C&lt;=$L$4),ROW(),"-")</f>
        <v>-</v>
      </c>
    </row>
    <row r="20953" customHeight="1" spans="2:2">
      <c r="B20953" s="62" t="str">
        <f>IF(AND('领用录入（明细）'!D:D=$F$4,'领用录入（明细）'!C:C&gt;=$J$4,'领用录入（明细）'!C:C&lt;=$L$4),ROW(),"-")</f>
        <v>-</v>
      </c>
    </row>
    <row r="20954" customHeight="1" spans="2:2">
      <c r="B20954" s="62" t="str">
        <f>IF(AND('领用录入（明细）'!D:D=$F$4,'领用录入（明细）'!C:C&gt;=$J$4,'领用录入（明细）'!C:C&lt;=$L$4),ROW(),"-")</f>
        <v>-</v>
      </c>
    </row>
    <row r="20955" customHeight="1" spans="2:2">
      <c r="B20955" s="62" t="str">
        <f>IF(AND('领用录入（明细）'!D:D=$F$4,'领用录入（明细）'!C:C&gt;=$J$4,'领用录入（明细）'!C:C&lt;=$L$4),ROW(),"-")</f>
        <v>-</v>
      </c>
    </row>
    <row r="20956" customHeight="1" spans="2:2">
      <c r="B20956" s="62" t="str">
        <f>IF(AND('领用录入（明细）'!D:D=$F$4,'领用录入（明细）'!C:C&gt;=$J$4,'领用录入（明细）'!C:C&lt;=$L$4),ROW(),"-")</f>
        <v>-</v>
      </c>
    </row>
    <row r="20957" customHeight="1" spans="2:2">
      <c r="B20957" s="62" t="str">
        <f>IF(AND('领用录入（明细）'!D:D=$F$4,'领用录入（明细）'!C:C&gt;=$J$4,'领用录入（明细）'!C:C&lt;=$L$4),ROW(),"-")</f>
        <v>-</v>
      </c>
    </row>
    <row r="20958" customHeight="1" spans="2:2">
      <c r="B20958" s="62" t="str">
        <f>IF(AND('领用录入（明细）'!D:D=$F$4,'领用录入（明细）'!C:C&gt;=$J$4,'领用录入（明细）'!C:C&lt;=$L$4),ROW(),"-")</f>
        <v>-</v>
      </c>
    </row>
    <row r="20959" customHeight="1" spans="2:2">
      <c r="B20959" s="62" t="str">
        <f>IF(AND('领用录入（明细）'!D:D=$F$4,'领用录入（明细）'!C:C&gt;=$J$4,'领用录入（明细）'!C:C&lt;=$L$4),ROW(),"-")</f>
        <v>-</v>
      </c>
    </row>
    <row r="20960" customHeight="1" spans="2:2">
      <c r="B20960" s="62" t="str">
        <f>IF(AND('领用录入（明细）'!D:D=$F$4,'领用录入（明细）'!C:C&gt;=$J$4,'领用录入（明细）'!C:C&lt;=$L$4),ROW(),"-")</f>
        <v>-</v>
      </c>
    </row>
    <row r="20961" customHeight="1" spans="2:2">
      <c r="B20961" s="62" t="str">
        <f>IF(AND('领用录入（明细）'!D:D=$F$4,'领用录入（明细）'!C:C&gt;=$J$4,'领用录入（明细）'!C:C&lt;=$L$4),ROW(),"-")</f>
        <v>-</v>
      </c>
    </row>
    <row r="20962" customHeight="1" spans="2:2">
      <c r="B20962" s="62" t="str">
        <f>IF(AND('领用录入（明细）'!D:D=$F$4,'领用录入（明细）'!C:C&gt;=$J$4,'领用录入（明细）'!C:C&lt;=$L$4),ROW(),"-")</f>
        <v>-</v>
      </c>
    </row>
    <row r="20963" customHeight="1" spans="2:2">
      <c r="B20963" s="62" t="str">
        <f>IF(AND('领用录入（明细）'!D:D=$F$4,'领用录入（明细）'!C:C&gt;=$J$4,'领用录入（明细）'!C:C&lt;=$L$4),ROW(),"-")</f>
        <v>-</v>
      </c>
    </row>
    <row r="20964" customHeight="1" spans="2:2">
      <c r="B20964" s="62" t="str">
        <f>IF(AND('领用录入（明细）'!D:D=$F$4,'领用录入（明细）'!C:C&gt;=$J$4,'领用录入（明细）'!C:C&lt;=$L$4),ROW(),"-")</f>
        <v>-</v>
      </c>
    </row>
    <row r="20965" customHeight="1" spans="2:2">
      <c r="B20965" s="62" t="str">
        <f>IF(AND('领用录入（明细）'!D:D=$F$4,'领用录入（明细）'!C:C&gt;=$J$4,'领用录入（明细）'!C:C&lt;=$L$4),ROW(),"-")</f>
        <v>-</v>
      </c>
    </row>
    <row r="20966" customHeight="1" spans="2:2">
      <c r="B20966" s="62" t="str">
        <f>IF(AND('领用录入（明细）'!D:D=$F$4,'领用录入（明细）'!C:C&gt;=$J$4,'领用录入（明细）'!C:C&lt;=$L$4),ROW(),"-")</f>
        <v>-</v>
      </c>
    </row>
    <row r="20967" customHeight="1" spans="2:2">
      <c r="B20967" s="62" t="str">
        <f>IF(AND('领用录入（明细）'!D:D=$F$4,'领用录入（明细）'!C:C&gt;=$J$4,'领用录入（明细）'!C:C&lt;=$L$4),ROW(),"-")</f>
        <v>-</v>
      </c>
    </row>
    <row r="20968" customHeight="1" spans="2:2">
      <c r="B20968" s="62" t="str">
        <f>IF(AND('领用录入（明细）'!D:D=$F$4,'领用录入（明细）'!C:C&gt;=$J$4,'领用录入（明细）'!C:C&lt;=$L$4),ROW(),"-")</f>
        <v>-</v>
      </c>
    </row>
    <row r="20969" customHeight="1" spans="2:2">
      <c r="B20969" s="62" t="str">
        <f>IF(AND('领用录入（明细）'!D:D=$F$4,'领用录入（明细）'!C:C&gt;=$J$4,'领用录入（明细）'!C:C&lt;=$L$4),ROW(),"-")</f>
        <v>-</v>
      </c>
    </row>
    <row r="20970" customHeight="1" spans="2:2">
      <c r="B20970" s="62" t="str">
        <f>IF(AND('领用录入（明细）'!D:D=$F$4,'领用录入（明细）'!C:C&gt;=$J$4,'领用录入（明细）'!C:C&lt;=$L$4),ROW(),"-")</f>
        <v>-</v>
      </c>
    </row>
    <row r="20971" customHeight="1" spans="2:2">
      <c r="B20971" s="62" t="str">
        <f>IF(AND('领用录入（明细）'!D:D=$F$4,'领用录入（明细）'!C:C&gt;=$J$4,'领用录入（明细）'!C:C&lt;=$L$4),ROW(),"-")</f>
        <v>-</v>
      </c>
    </row>
    <row r="20972" customHeight="1" spans="2:2">
      <c r="B20972" s="62" t="str">
        <f>IF(AND('领用录入（明细）'!D:D=$F$4,'领用录入（明细）'!C:C&gt;=$J$4,'领用录入（明细）'!C:C&lt;=$L$4),ROW(),"-")</f>
        <v>-</v>
      </c>
    </row>
    <row r="20973" customHeight="1" spans="2:2">
      <c r="B20973" s="62" t="str">
        <f>IF(AND('领用录入（明细）'!D:D=$F$4,'领用录入（明细）'!C:C&gt;=$J$4,'领用录入（明细）'!C:C&lt;=$L$4),ROW(),"-")</f>
        <v>-</v>
      </c>
    </row>
    <row r="20974" customHeight="1" spans="2:2">
      <c r="B20974" s="62" t="str">
        <f>IF(AND('领用录入（明细）'!D:D=$F$4,'领用录入（明细）'!C:C&gt;=$J$4,'领用录入（明细）'!C:C&lt;=$L$4),ROW(),"-")</f>
        <v>-</v>
      </c>
    </row>
    <row r="20975" customHeight="1" spans="2:2">
      <c r="B20975" s="62" t="str">
        <f>IF(AND('领用录入（明细）'!D:D=$F$4,'领用录入（明细）'!C:C&gt;=$J$4,'领用录入（明细）'!C:C&lt;=$L$4),ROW(),"-")</f>
        <v>-</v>
      </c>
    </row>
    <row r="20976" customHeight="1" spans="2:2">
      <c r="B20976" s="62" t="str">
        <f>IF(AND('领用录入（明细）'!D:D=$F$4,'领用录入（明细）'!C:C&gt;=$J$4,'领用录入（明细）'!C:C&lt;=$L$4),ROW(),"-")</f>
        <v>-</v>
      </c>
    </row>
    <row r="20977" customHeight="1" spans="2:2">
      <c r="B20977" s="62" t="str">
        <f>IF(AND('领用录入（明细）'!D:D=$F$4,'领用录入（明细）'!C:C&gt;=$J$4,'领用录入（明细）'!C:C&lt;=$L$4),ROW(),"-")</f>
        <v>-</v>
      </c>
    </row>
    <row r="20978" customHeight="1" spans="2:2">
      <c r="B20978" s="62" t="str">
        <f>IF(AND('领用录入（明细）'!D:D=$F$4,'领用录入（明细）'!C:C&gt;=$J$4,'领用录入（明细）'!C:C&lt;=$L$4),ROW(),"-")</f>
        <v>-</v>
      </c>
    </row>
    <row r="20979" customHeight="1" spans="2:2">
      <c r="B20979" s="62" t="str">
        <f>IF(AND('领用录入（明细）'!D:D=$F$4,'领用录入（明细）'!C:C&gt;=$J$4,'领用录入（明细）'!C:C&lt;=$L$4),ROW(),"-")</f>
        <v>-</v>
      </c>
    </row>
    <row r="20980" customHeight="1" spans="2:2">
      <c r="B20980" s="62" t="str">
        <f>IF(AND('领用录入（明细）'!D:D=$F$4,'领用录入（明细）'!C:C&gt;=$J$4,'领用录入（明细）'!C:C&lt;=$L$4),ROW(),"-")</f>
        <v>-</v>
      </c>
    </row>
    <row r="20981" customHeight="1" spans="2:2">
      <c r="B20981" s="62" t="str">
        <f>IF(AND('领用录入（明细）'!D:D=$F$4,'领用录入（明细）'!C:C&gt;=$J$4,'领用录入（明细）'!C:C&lt;=$L$4),ROW(),"-")</f>
        <v>-</v>
      </c>
    </row>
    <row r="20982" customHeight="1" spans="2:2">
      <c r="B20982" s="62" t="str">
        <f>IF(AND('领用录入（明细）'!D:D=$F$4,'领用录入（明细）'!C:C&gt;=$J$4,'领用录入（明细）'!C:C&lt;=$L$4),ROW(),"-")</f>
        <v>-</v>
      </c>
    </row>
    <row r="20983" customHeight="1" spans="2:2">
      <c r="B20983" s="62" t="str">
        <f>IF(AND('领用录入（明细）'!D:D=$F$4,'领用录入（明细）'!C:C&gt;=$J$4,'领用录入（明细）'!C:C&lt;=$L$4),ROW(),"-")</f>
        <v>-</v>
      </c>
    </row>
    <row r="20984" customHeight="1" spans="2:2">
      <c r="B20984" s="62" t="str">
        <f>IF(AND('领用录入（明细）'!D:D=$F$4,'领用录入（明细）'!C:C&gt;=$J$4,'领用录入（明细）'!C:C&lt;=$L$4),ROW(),"-")</f>
        <v>-</v>
      </c>
    </row>
    <row r="20985" customHeight="1" spans="2:2">
      <c r="B20985" s="62" t="str">
        <f>IF(AND('领用录入（明细）'!D:D=$F$4,'领用录入（明细）'!C:C&gt;=$J$4,'领用录入（明细）'!C:C&lt;=$L$4),ROW(),"-")</f>
        <v>-</v>
      </c>
    </row>
    <row r="20986" customHeight="1" spans="2:2">
      <c r="B20986" s="62" t="str">
        <f>IF(AND('领用录入（明细）'!D:D=$F$4,'领用录入（明细）'!C:C&gt;=$J$4,'领用录入（明细）'!C:C&lt;=$L$4),ROW(),"-")</f>
        <v>-</v>
      </c>
    </row>
    <row r="20987" customHeight="1" spans="2:2">
      <c r="B20987" s="62" t="str">
        <f>IF(AND('领用录入（明细）'!D:D=$F$4,'领用录入（明细）'!C:C&gt;=$J$4,'领用录入（明细）'!C:C&lt;=$L$4),ROW(),"-")</f>
        <v>-</v>
      </c>
    </row>
    <row r="20988" customHeight="1" spans="2:2">
      <c r="B20988" s="62" t="str">
        <f>IF(AND('领用录入（明细）'!D:D=$F$4,'领用录入（明细）'!C:C&gt;=$J$4,'领用录入（明细）'!C:C&lt;=$L$4),ROW(),"-")</f>
        <v>-</v>
      </c>
    </row>
    <row r="20989" customHeight="1" spans="2:2">
      <c r="B20989" s="62" t="str">
        <f>IF(AND('领用录入（明细）'!D:D=$F$4,'领用录入（明细）'!C:C&gt;=$J$4,'领用录入（明细）'!C:C&lt;=$L$4),ROW(),"-")</f>
        <v>-</v>
      </c>
    </row>
    <row r="20990" customHeight="1" spans="2:2">
      <c r="B20990" s="62" t="str">
        <f>IF(AND('领用录入（明细）'!D:D=$F$4,'领用录入（明细）'!C:C&gt;=$J$4,'领用录入（明细）'!C:C&lt;=$L$4),ROW(),"-")</f>
        <v>-</v>
      </c>
    </row>
    <row r="20991" customHeight="1" spans="2:2">
      <c r="B20991" s="62" t="str">
        <f>IF(AND('领用录入（明细）'!D:D=$F$4,'领用录入（明细）'!C:C&gt;=$J$4,'领用录入（明细）'!C:C&lt;=$L$4),ROW(),"-")</f>
        <v>-</v>
      </c>
    </row>
    <row r="20992" customHeight="1" spans="2:2">
      <c r="B20992" s="62" t="str">
        <f>IF(AND('领用录入（明细）'!D:D=$F$4,'领用录入（明细）'!C:C&gt;=$J$4,'领用录入（明细）'!C:C&lt;=$L$4),ROW(),"-")</f>
        <v>-</v>
      </c>
    </row>
    <row r="20993" customHeight="1" spans="2:2">
      <c r="B20993" s="62" t="str">
        <f>IF(AND('领用录入（明细）'!D:D=$F$4,'领用录入（明细）'!C:C&gt;=$J$4,'领用录入（明细）'!C:C&lt;=$L$4),ROW(),"-")</f>
        <v>-</v>
      </c>
    </row>
    <row r="20994" customHeight="1" spans="2:2">
      <c r="B20994" s="62" t="str">
        <f>IF(AND('领用录入（明细）'!D:D=$F$4,'领用录入（明细）'!C:C&gt;=$J$4,'领用录入（明细）'!C:C&lt;=$L$4),ROW(),"-")</f>
        <v>-</v>
      </c>
    </row>
    <row r="20995" customHeight="1" spans="2:2">
      <c r="B20995" s="62" t="str">
        <f>IF(AND('领用录入（明细）'!D:D=$F$4,'领用录入（明细）'!C:C&gt;=$J$4,'领用录入（明细）'!C:C&lt;=$L$4),ROW(),"-")</f>
        <v>-</v>
      </c>
    </row>
    <row r="20996" customHeight="1" spans="2:2">
      <c r="B20996" s="62" t="str">
        <f>IF(AND('领用录入（明细）'!D:D=$F$4,'领用录入（明细）'!C:C&gt;=$J$4,'领用录入（明细）'!C:C&lt;=$L$4),ROW(),"-")</f>
        <v>-</v>
      </c>
    </row>
    <row r="20997" customHeight="1" spans="2:2">
      <c r="B20997" s="62" t="str">
        <f>IF(AND('领用录入（明细）'!D:D=$F$4,'领用录入（明细）'!C:C&gt;=$J$4,'领用录入（明细）'!C:C&lt;=$L$4),ROW(),"-")</f>
        <v>-</v>
      </c>
    </row>
    <row r="20998" customHeight="1" spans="2:2">
      <c r="B20998" s="62" t="str">
        <f>IF(AND('领用录入（明细）'!D:D=$F$4,'领用录入（明细）'!C:C&gt;=$J$4,'领用录入（明细）'!C:C&lt;=$L$4),ROW(),"-")</f>
        <v>-</v>
      </c>
    </row>
    <row r="20999" customHeight="1" spans="2:2">
      <c r="B20999" s="62" t="str">
        <f>IF(AND('领用录入（明细）'!D:D=$F$4,'领用录入（明细）'!C:C&gt;=$J$4,'领用录入（明细）'!C:C&lt;=$L$4),ROW(),"-")</f>
        <v>-</v>
      </c>
    </row>
    <row r="21000" customHeight="1" spans="2:2">
      <c r="B21000" s="62" t="str">
        <f>IF(AND('领用录入（明细）'!D:D=$F$4,'领用录入（明细）'!C:C&gt;=$J$4,'领用录入（明细）'!C:C&lt;=$L$4),ROW(),"-")</f>
        <v>-</v>
      </c>
    </row>
    <row r="21001" customHeight="1" spans="2:2">
      <c r="B21001" s="62" t="str">
        <f>IF(AND('领用录入（明细）'!D:D=$F$4,'领用录入（明细）'!C:C&gt;=$J$4,'领用录入（明细）'!C:C&lt;=$L$4),ROW(),"-")</f>
        <v>-</v>
      </c>
    </row>
    <row r="21002" customHeight="1" spans="2:2">
      <c r="B21002" s="62" t="str">
        <f>IF(AND('领用录入（明细）'!D:D=$F$4,'领用录入（明细）'!C:C&gt;=$J$4,'领用录入（明细）'!C:C&lt;=$L$4),ROW(),"-")</f>
        <v>-</v>
      </c>
    </row>
    <row r="21003" customHeight="1" spans="2:2">
      <c r="B21003" s="62" t="str">
        <f>IF(AND('领用录入（明细）'!D:D=$F$4,'领用录入（明细）'!C:C&gt;=$J$4,'领用录入（明细）'!C:C&lt;=$L$4),ROW(),"-")</f>
        <v>-</v>
      </c>
    </row>
    <row r="21004" customHeight="1" spans="2:2">
      <c r="B21004" s="62" t="str">
        <f>IF(AND('领用录入（明细）'!D:D=$F$4,'领用录入（明细）'!C:C&gt;=$J$4,'领用录入（明细）'!C:C&lt;=$L$4),ROW(),"-")</f>
        <v>-</v>
      </c>
    </row>
    <row r="21005" customHeight="1" spans="2:2">
      <c r="B21005" s="62" t="str">
        <f>IF(AND('领用录入（明细）'!D:D=$F$4,'领用录入（明细）'!C:C&gt;=$J$4,'领用录入（明细）'!C:C&lt;=$L$4),ROW(),"-")</f>
        <v>-</v>
      </c>
    </row>
    <row r="21006" customHeight="1" spans="2:2">
      <c r="B21006" s="62" t="str">
        <f>IF(AND('领用录入（明细）'!D:D=$F$4,'领用录入（明细）'!C:C&gt;=$J$4,'领用录入（明细）'!C:C&lt;=$L$4),ROW(),"-")</f>
        <v>-</v>
      </c>
    </row>
    <row r="21007" customHeight="1" spans="2:2">
      <c r="B21007" s="62" t="str">
        <f>IF(AND('领用录入（明细）'!D:D=$F$4,'领用录入（明细）'!C:C&gt;=$J$4,'领用录入（明细）'!C:C&lt;=$L$4),ROW(),"-")</f>
        <v>-</v>
      </c>
    </row>
    <row r="21008" customHeight="1" spans="2:2">
      <c r="B21008" s="62" t="str">
        <f>IF(AND('领用录入（明细）'!D:D=$F$4,'领用录入（明细）'!C:C&gt;=$J$4,'领用录入（明细）'!C:C&lt;=$L$4),ROW(),"-")</f>
        <v>-</v>
      </c>
    </row>
    <row r="21009" customHeight="1" spans="2:2">
      <c r="B21009" s="62" t="str">
        <f>IF(AND('领用录入（明细）'!D:D=$F$4,'领用录入（明细）'!C:C&gt;=$J$4,'领用录入（明细）'!C:C&lt;=$L$4),ROW(),"-")</f>
        <v>-</v>
      </c>
    </row>
    <row r="21010" customHeight="1" spans="2:2">
      <c r="B21010" s="62" t="str">
        <f>IF(AND('领用录入（明细）'!D:D=$F$4,'领用录入（明细）'!C:C&gt;=$J$4,'领用录入（明细）'!C:C&lt;=$L$4),ROW(),"-")</f>
        <v>-</v>
      </c>
    </row>
    <row r="21011" customHeight="1" spans="2:2">
      <c r="B21011" s="62" t="str">
        <f>IF(AND('领用录入（明细）'!D:D=$F$4,'领用录入（明细）'!C:C&gt;=$J$4,'领用录入（明细）'!C:C&lt;=$L$4),ROW(),"-")</f>
        <v>-</v>
      </c>
    </row>
    <row r="21012" customHeight="1" spans="2:2">
      <c r="B21012" s="62" t="str">
        <f>IF(AND('领用录入（明细）'!D:D=$F$4,'领用录入（明细）'!C:C&gt;=$J$4,'领用录入（明细）'!C:C&lt;=$L$4),ROW(),"-")</f>
        <v>-</v>
      </c>
    </row>
    <row r="21013" customHeight="1" spans="2:2">
      <c r="B21013" s="62" t="str">
        <f>IF(AND('领用录入（明细）'!D:D=$F$4,'领用录入（明细）'!C:C&gt;=$J$4,'领用录入（明细）'!C:C&lt;=$L$4),ROW(),"-")</f>
        <v>-</v>
      </c>
    </row>
    <row r="21014" customHeight="1" spans="2:2">
      <c r="B21014" s="62" t="str">
        <f>IF(AND('领用录入（明细）'!D:D=$F$4,'领用录入（明细）'!C:C&gt;=$J$4,'领用录入（明细）'!C:C&lt;=$L$4),ROW(),"-")</f>
        <v>-</v>
      </c>
    </row>
    <row r="21015" customHeight="1" spans="2:2">
      <c r="B21015" s="62" t="str">
        <f>IF(AND('领用录入（明细）'!D:D=$F$4,'领用录入（明细）'!C:C&gt;=$J$4,'领用录入（明细）'!C:C&lt;=$L$4),ROW(),"-")</f>
        <v>-</v>
      </c>
    </row>
    <row r="21016" customHeight="1" spans="2:2">
      <c r="B21016" s="62" t="str">
        <f>IF(AND('领用录入（明细）'!D:D=$F$4,'领用录入（明细）'!C:C&gt;=$J$4,'领用录入（明细）'!C:C&lt;=$L$4),ROW(),"-")</f>
        <v>-</v>
      </c>
    </row>
    <row r="21017" customHeight="1" spans="2:2">
      <c r="B21017" s="62" t="str">
        <f>IF(AND('领用录入（明细）'!D:D=$F$4,'领用录入（明细）'!C:C&gt;=$J$4,'领用录入（明细）'!C:C&lt;=$L$4),ROW(),"-")</f>
        <v>-</v>
      </c>
    </row>
    <row r="21018" customHeight="1" spans="2:2">
      <c r="B21018" s="62" t="str">
        <f>IF(AND('领用录入（明细）'!D:D=$F$4,'领用录入（明细）'!C:C&gt;=$J$4,'领用录入（明细）'!C:C&lt;=$L$4),ROW(),"-")</f>
        <v>-</v>
      </c>
    </row>
    <row r="21019" customHeight="1" spans="2:2">
      <c r="B21019" s="62" t="str">
        <f>IF(AND('领用录入（明细）'!D:D=$F$4,'领用录入（明细）'!C:C&gt;=$J$4,'领用录入（明细）'!C:C&lt;=$L$4),ROW(),"-")</f>
        <v>-</v>
      </c>
    </row>
    <row r="21020" customHeight="1" spans="2:2">
      <c r="B21020" s="62" t="str">
        <f>IF(AND('领用录入（明细）'!D:D=$F$4,'领用录入（明细）'!C:C&gt;=$J$4,'领用录入（明细）'!C:C&lt;=$L$4),ROW(),"-")</f>
        <v>-</v>
      </c>
    </row>
    <row r="21021" customHeight="1" spans="2:2">
      <c r="B21021" s="62" t="str">
        <f>IF(AND('领用录入（明细）'!D:D=$F$4,'领用录入（明细）'!C:C&gt;=$J$4,'领用录入（明细）'!C:C&lt;=$L$4),ROW(),"-")</f>
        <v>-</v>
      </c>
    </row>
    <row r="21022" customHeight="1" spans="2:2">
      <c r="B21022" s="62" t="str">
        <f>IF(AND('领用录入（明细）'!D:D=$F$4,'领用录入（明细）'!C:C&gt;=$J$4,'领用录入（明细）'!C:C&lt;=$L$4),ROW(),"-")</f>
        <v>-</v>
      </c>
    </row>
    <row r="21023" customHeight="1" spans="2:2">
      <c r="B21023" s="62" t="str">
        <f>IF(AND('领用录入（明细）'!D:D=$F$4,'领用录入（明细）'!C:C&gt;=$J$4,'领用录入（明细）'!C:C&lt;=$L$4),ROW(),"-")</f>
        <v>-</v>
      </c>
    </row>
    <row r="21024" customHeight="1" spans="2:2">
      <c r="B21024" s="62" t="str">
        <f>IF(AND('领用录入（明细）'!D:D=$F$4,'领用录入（明细）'!C:C&gt;=$J$4,'领用录入（明细）'!C:C&lt;=$L$4),ROW(),"-")</f>
        <v>-</v>
      </c>
    </row>
    <row r="21025" customHeight="1" spans="2:2">
      <c r="B21025" s="62" t="str">
        <f>IF(AND('领用录入（明细）'!D:D=$F$4,'领用录入（明细）'!C:C&gt;=$J$4,'领用录入（明细）'!C:C&lt;=$L$4),ROW(),"-")</f>
        <v>-</v>
      </c>
    </row>
    <row r="21026" customHeight="1" spans="2:2">
      <c r="B21026" s="62" t="str">
        <f>IF(AND('领用录入（明细）'!D:D=$F$4,'领用录入（明细）'!C:C&gt;=$J$4,'领用录入（明细）'!C:C&lt;=$L$4),ROW(),"-")</f>
        <v>-</v>
      </c>
    </row>
    <row r="21027" customHeight="1" spans="2:2">
      <c r="B21027" s="62" t="str">
        <f>IF(AND('领用录入（明细）'!D:D=$F$4,'领用录入（明细）'!C:C&gt;=$J$4,'领用录入（明细）'!C:C&lt;=$L$4),ROW(),"-")</f>
        <v>-</v>
      </c>
    </row>
    <row r="21028" customHeight="1" spans="2:2">
      <c r="B21028" s="62" t="str">
        <f>IF(AND('领用录入（明细）'!D:D=$F$4,'领用录入（明细）'!C:C&gt;=$J$4,'领用录入（明细）'!C:C&lt;=$L$4),ROW(),"-")</f>
        <v>-</v>
      </c>
    </row>
    <row r="21029" customHeight="1" spans="2:2">
      <c r="B21029" s="62" t="str">
        <f>IF(AND('领用录入（明细）'!D:D=$F$4,'领用录入（明细）'!C:C&gt;=$J$4,'领用录入（明细）'!C:C&lt;=$L$4),ROW(),"-")</f>
        <v>-</v>
      </c>
    </row>
    <row r="21030" customHeight="1" spans="2:2">
      <c r="B21030" s="62" t="str">
        <f>IF(AND('领用录入（明细）'!D:D=$F$4,'领用录入（明细）'!C:C&gt;=$J$4,'领用录入（明细）'!C:C&lt;=$L$4),ROW(),"-")</f>
        <v>-</v>
      </c>
    </row>
    <row r="21031" customHeight="1" spans="2:2">
      <c r="B21031" s="62" t="str">
        <f>IF(AND('领用录入（明细）'!D:D=$F$4,'领用录入（明细）'!C:C&gt;=$J$4,'领用录入（明细）'!C:C&lt;=$L$4),ROW(),"-")</f>
        <v>-</v>
      </c>
    </row>
    <row r="21032" customHeight="1" spans="2:2">
      <c r="B21032" s="62" t="str">
        <f>IF(AND('领用录入（明细）'!D:D=$F$4,'领用录入（明细）'!C:C&gt;=$J$4,'领用录入（明细）'!C:C&lt;=$L$4),ROW(),"-")</f>
        <v>-</v>
      </c>
    </row>
    <row r="21033" customHeight="1" spans="2:2">
      <c r="B21033" s="62" t="str">
        <f>IF(AND('领用录入（明细）'!D:D=$F$4,'领用录入（明细）'!C:C&gt;=$J$4,'领用录入（明细）'!C:C&lt;=$L$4),ROW(),"-")</f>
        <v>-</v>
      </c>
    </row>
    <row r="21034" customHeight="1" spans="2:2">
      <c r="B21034" s="62" t="str">
        <f>IF(AND('领用录入（明细）'!D:D=$F$4,'领用录入（明细）'!C:C&gt;=$J$4,'领用录入（明细）'!C:C&lt;=$L$4),ROW(),"-")</f>
        <v>-</v>
      </c>
    </row>
    <row r="21035" customHeight="1" spans="2:2">
      <c r="B21035" s="62" t="str">
        <f>IF(AND('领用录入（明细）'!D:D=$F$4,'领用录入（明细）'!C:C&gt;=$J$4,'领用录入（明细）'!C:C&lt;=$L$4),ROW(),"-")</f>
        <v>-</v>
      </c>
    </row>
    <row r="21036" customHeight="1" spans="2:2">
      <c r="B21036" s="62" t="str">
        <f>IF(AND('领用录入（明细）'!D:D=$F$4,'领用录入（明细）'!C:C&gt;=$J$4,'领用录入（明细）'!C:C&lt;=$L$4),ROW(),"-")</f>
        <v>-</v>
      </c>
    </row>
    <row r="21037" customHeight="1" spans="2:2">
      <c r="B21037" s="62" t="str">
        <f>IF(AND('领用录入（明细）'!D:D=$F$4,'领用录入（明细）'!C:C&gt;=$J$4,'领用录入（明细）'!C:C&lt;=$L$4),ROW(),"-")</f>
        <v>-</v>
      </c>
    </row>
    <row r="21038" customHeight="1" spans="2:2">
      <c r="B21038" s="62" t="str">
        <f>IF(AND('领用录入（明细）'!D:D=$F$4,'领用录入（明细）'!C:C&gt;=$J$4,'领用录入（明细）'!C:C&lt;=$L$4),ROW(),"-")</f>
        <v>-</v>
      </c>
    </row>
    <row r="21039" customHeight="1" spans="2:2">
      <c r="B21039" s="62" t="str">
        <f>IF(AND('领用录入（明细）'!D:D=$F$4,'领用录入（明细）'!C:C&gt;=$J$4,'领用录入（明细）'!C:C&lt;=$L$4),ROW(),"-")</f>
        <v>-</v>
      </c>
    </row>
    <row r="21040" customHeight="1" spans="2:2">
      <c r="B21040" s="62" t="str">
        <f>IF(AND('领用录入（明细）'!D:D=$F$4,'领用录入（明细）'!C:C&gt;=$J$4,'领用录入（明细）'!C:C&lt;=$L$4),ROW(),"-")</f>
        <v>-</v>
      </c>
    </row>
    <row r="21041" customHeight="1" spans="2:2">
      <c r="B21041" s="62" t="str">
        <f>IF(AND('领用录入（明细）'!D:D=$F$4,'领用录入（明细）'!C:C&gt;=$J$4,'领用录入（明细）'!C:C&lt;=$L$4),ROW(),"-")</f>
        <v>-</v>
      </c>
    </row>
    <row r="21042" customHeight="1" spans="2:2">
      <c r="B21042" s="62" t="str">
        <f>IF(AND('领用录入（明细）'!D:D=$F$4,'领用录入（明细）'!C:C&gt;=$J$4,'领用录入（明细）'!C:C&lt;=$L$4),ROW(),"-")</f>
        <v>-</v>
      </c>
    </row>
    <row r="21043" customHeight="1" spans="2:2">
      <c r="B21043" s="62" t="str">
        <f>IF(AND('领用录入（明细）'!D:D=$F$4,'领用录入（明细）'!C:C&gt;=$J$4,'领用录入（明细）'!C:C&lt;=$L$4),ROW(),"-")</f>
        <v>-</v>
      </c>
    </row>
    <row r="21044" customHeight="1" spans="2:2">
      <c r="B21044" s="62" t="str">
        <f>IF(AND('领用录入（明细）'!D:D=$F$4,'领用录入（明细）'!C:C&gt;=$J$4,'领用录入（明细）'!C:C&lt;=$L$4),ROW(),"-")</f>
        <v>-</v>
      </c>
    </row>
    <row r="21045" customHeight="1" spans="2:2">
      <c r="B21045" s="62" t="str">
        <f>IF(AND('领用录入（明细）'!D:D=$F$4,'领用录入（明细）'!C:C&gt;=$J$4,'领用录入（明细）'!C:C&lt;=$L$4),ROW(),"-")</f>
        <v>-</v>
      </c>
    </row>
    <row r="21046" customHeight="1" spans="2:2">
      <c r="B21046" s="62" t="str">
        <f>IF(AND('领用录入（明细）'!D:D=$F$4,'领用录入（明细）'!C:C&gt;=$J$4,'领用录入（明细）'!C:C&lt;=$L$4),ROW(),"-")</f>
        <v>-</v>
      </c>
    </row>
    <row r="21047" customHeight="1" spans="2:2">
      <c r="B21047" s="62" t="str">
        <f>IF(AND('领用录入（明细）'!D:D=$F$4,'领用录入（明细）'!C:C&gt;=$J$4,'领用录入（明细）'!C:C&lt;=$L$4),ROW(),"-")</f>
        <v>-</v>
      </c>
    </row>
    <row r="21048" customHeight="1" spans="2:2">
      <c r="B21048" s="62" t="str">
        <f>IF(AND('领用录入（明细）'!D:D=$F$4,'领用录入（明细）'!C:C&gt;=$J$4,'领用录入（明细）'!C:C&lt;=$L$4),ROW(),"-")</f>
        <v>-</v>
      </c>
    </row>
    <row r="21049" customHeight="1" spans="2:2">
      <c r="B21049" s="62" t="str">
        <f>IF(AND('领用录入（明细）'!D:D=$F$4,'领用录入（明细）'!C:C&gt;=$J$4,'领用录入（明细）'!C:C&lt;=$L$4),ROW(),"-")</f>
        <v>-</v>
      </c>
    </row>
    <row r="21050" customHeight="1" spans="2:2">
      <c r="B21050" s="62" t="str">
        <f>IF(AND('领用录入（明细）'!D:D=$F$4,'领用录入（明细）'!C:C&gt;=$J$4,'领用录入（明细）'!C:C&lt;=$L$4),ROW(),"-")</f>
        <v>-</v>
      </c>
    </row>
    <row r="21051" customHeight="1" spans="2:2">
      <c r="B21051" s="62" t="str">
        <f>IF(AND('领用录入（明细）'!D:D=$F$4,'领用录入（明细）'!C:C&gt;=$J$4,'领用录入（明细）'!C:C&lt;=$L$4),ROW(),"-")</f>
        <v>-</v>
      </c>
    </row>
    <row r="21052" customHeight="1" spans="2:2">
      <c r="B21052" s="62" t="str">
        <f>IF(AND('领用录入（明细）'!D:D=$F$4,'领用录入（明细）'!C:C&gt;=$J$4,'领用录入（明细）'!C:C&lt;=$L$4),ROW(),"-")</f>
        <v>-</v>
      </c>
    </row>
    <row r="21053" customHeight="1" spans="2:2">
      <c r="B21053" s="62" t="str">
        <f>IF(AND('领用录入（明细）'!D:D=$F$4,'领用录入（明细）'!C:C&gt;=$J$4,'领用录入（明细）'!C:C&lt;=$L$4),ROW(),"-")</f>
        <v>-</v>
      </c>
    </row>
    <row r="21054" customHeight="1" spans="2:2">
      <c r="B21054" s="62" t="str">
        <f>IF(AND('领用录入（明细）'!D:D=$F$4,'领用录入（明细）'!C:C&gt;=$J$4,'领用录入（明细）'!C:C&lt;=$L$4),ROW(),"-")</f>
        <v>-</v>
      </c>
    </row>
    <row r="21055" customHeight="1" spans="2:2">
      <c r="B21055" s="62" t="str">
        <f>IF(AND('领用录入（明细）'!D:D=$F$4,'领用录入（明细）'!C:C&gt;=$J$4,'领用录入（明细）'!C:C&lt;=$L$4),ROW(),"-")</f>
        <v>-</v>
      </c>
    </row>
    <row r="21056" customHeight="1" spans="2:2">
      <c r="B21056" s="62" t="str">
        <f>IF(AND('领用录入（明细）'!D:D=$F$4,'领用录入（明细）'!C:C&gt;=$J$4,'领用录入（明细）'!C:C&lt;=$L$4),ROW(),"-")</f>
        <v>-</v>
      </c>
    </row>
    <row r="21057" customHeight="1" spans="2:2">
      <c r="B21057" s="62" t="str">
        <f>IF(AND('领用录入（明细）'!D:D=$F$4,'领用录入（明细）'!C:C&gt;=$J$4,'领用录入（明细）'!C:C&lt;=$L$4),ROW(),"-")</f>
        <v>-</v>
      </c>
    </row>
    <row r="21058" customHeight="1" spans="2:2">
      <c r="B21058" s="62" t="str">
        <f>IF(AND('领用录入（明细）'!D:D=$F$4,'领用录入（明细）'!C:C&gt;=$J$4,'领用录入（明细）'!C:C&lt;=$L$4),ROW(),"-")</f>
        <v>-</v>
      </c>
    </row>
    <row r="21059" customHeight="1" spans="2:2">
      <c r="B21059" s="62" t="str">
        <f>IF(AND('领用录入（明细）'!D:D=$F$4,'领用录入（明细）'!C:C&gt;=$J$4,'领用录入（明细）'!C:C&lt;=$L$4),ROW(),"-")</f>
        <v>-</v>
      </c>
    </row>
    <row r="21060" customHeight="1" spans="2:2">
      <c r="B21060" s="62" t="str">
        <f>IF(AND('领用录入（明细）'!D:D=$F$4,'领用录入（明细）'!C:C&gt;=$J$4,'领用录入（明细）'!C:C&lt;=$L$4),ROW(),"-")</f>
        <v>-</v>
      </c>
    </row>
    <row r="21061" customHeight="1" spans="2:2">
      <c r="B21061" s="62" t="str">
        <f>IF(AND('领用录入（明细）'!D:D=$F$4,'领用录入（明细）'!C:C&gt;=$J$4,'领用录入（明细）'!C:C&lt;=$L$4),ROW(),"-")</f>
        <v>-</v>
      </c>
    </row>
    <row r="21062" customHeight="1" spans="2:2">
      <c r="B21062" s="62" t="str">
        <f>IF(AND('领用录入（明细）'!D:D=$F$4,'领用录入（明细）'!C:C&gt;=$J$4,'领用录入（明细）'!C:C&lt;=$L$4),ROW(),"-")</f>
        <v>-</v>
      </c>
    </row>
    <row r="21063" customHeight="1" spans="2:2">
      <c r="B21063" s="62" t="str">
        <f>IF(AND('领用录入（明细）'!D:D=$F$4,'领用录入（明细）'!C:C&gt;=$J$4,'领用录入（明细）'!C:C&lt;=$L$4),ROW(),"-")</f>
        <v>-</v>
      </c>
    </row>
    <row r="21064" customHeight="1" spans="2:2">
      <c r="B21064" s="62" t="str">
        <f>IF(AND('领用录入（明细）'!D:D=$F$4,'领用录入（明细）'!C:C&gt;=$J$4,'领用录入（明细）'!C:C&lt;=$L$4),ROW(),"-")</f>
        <v>-</v>
      </c>
    </row>
    <row r="21065" customHeight="1" spans="2:2">
      <c r="B21065" s="62" t="str">
        <f>IF(AND('领用录入（明细）'!D:D=$F$4,'领用录入（明细）'!C:C&gt;=$J$4,'领用录入（明细）'!C:C&lt;=$L$4),ROW(),"-")</f>
        <v>-</v>
      </c>
    </row>
    <row r="21066" customHeight="1" spans="2:2">
      <c r="B21066" s="62" t="str">
        <f>IF(AND('领用录入（明细）'!D:D=$F$4,'领用录入（明细）'!C:C&gt;=$J$4,'领用录入（明细）'!C:C&lt;=$L$4),ROW(),"-")</f>
        <v>-</v>
      </c>
    </row>
    <row r="21067" customHeight="1" spans="2:2">
      <c r="B21067" s="62" t="str">
        <f>IF(AND('领用录入（明细）'!D:D=$F$4,'领用录入（明细）'!C:C&gt;=$J$4,'领用录入（明细）'!C:C&lt;=$L$4),ROW(),"-")</f>
        <v>-</v>
      </c>
    </row>
    <row r="21068" customHeight="1" spans="2:2">
      <c r="B21068" s="62" t="str">
        <f>IF(AND('领用录入（明细）'!D:D=$F$4,'领用录入（明细）'!C:C&gt;=$J$4,'领用录入（明细）'!C:C&lt;=$L$4),ROW(),"-")</f>
        <v>-</v>
      </c>
    </row>
    <row r="21069" customHeight="1" spans="2:2">
      <c r="B21069" s="62" t="str">
        <f>IF(AND('领用录入（明细）'!D:D=$F$4,'领用录入（明细）'!C:C&gt;=$J$4,'领用录入（明细）'!C:C&lt;=$L$4),ROW(),"-")</f>
        <v>-</v>
      </c>
    </row>
    <row r="21070" customHeight="1" spans="2:2">
      <c r="B21070" s="62" t="str">
        <f>IF(AND('领用录入（明细）'!D:D=$F$4,'领用录入（明细）'!C:C&gt;=$J$4,'领用录入（明细）'!C:C&lt;=$L$4),ROW(),"-")</f>
        <v>-</v>
      </c>
    </row>
    <row r="21071" customHeight="1" spans="2:2">
      <c r="B21071" s="62" t="str">
        <f>IF(AND('领用录入（明细）'!D:D=$F$4,'领用录入（明细）'!C:C&gt;=$J$4,'领用录入（明细）'!C:C&lt;=$L$4),ROW(),"-")</f>
        <v>-</v>
      </c>
    </row>
    <row r="21072" customHeight="1" spans="2:2">
      <c r="B21072" s="62" t="str">
        <f>IF(AND('领用录入（明细）'!D:D=$F$4,'领用录入（明细）'!C:C&gt;=$J$4,'领用录入（明细）'!C:C&lt;=$L$4),ROW(),"-")</f>
        <v>-</v>
      </c>
    </row>
    <row r="21073" customHeight="1" spans="2:2">
      <c r="B21073" s="62" t="str">
        <f>IF(AND('领用录入（明细）'!D:D=$F$4,'领用录入（明细）'!C:C&gt;=$J$4,'领用录入（明细）'!C:C&lt;=$L$4),ROW(),"-")</f>
        <v>-</v>
      </c>
    </row>
    <row r="21074" customHeight="1" spans="2:2">
      <c r="B21074" s="62" t="str">
        <f>IF(AND('领用录入（明细）'!D:D=$F$4,'领用录入（明细）'!C:C&gt;=$J$4,'领用录入（明细）'!C:C&lt;=$L$4),ROW(),"-")</f>
        <v>-</v>
      </c>
    </row>
    <row r="21075" customHeight="1" spans="2:2">
      <c r="B21075" s="62" t="str">
        <f>IF(AND('领用录入（明细）'!D:D=$F$4,'领用录入（明细）'!C:C&gt;=$J$4,'领用录入（明细）'!C:C&lt;=$L$4),ROW(),"-")</f>
        <v>-</v>
      </c>
    </row>
    <row r="21076" customHeight="1" spans="2:2">
      <c r="B21076" s="62" t="str">
        <f>IF(AND('领用录入（明细）'!D:D=$F$4,'领用录入（明细）'!C:C&gt;=$J$4,'领用录入（明细）'!C:C&lt;=$L$4),ROW(),"-")</f>
        <v>-</v>
      </c>
    </row>
    <row r="21077" customHeight="1" spans="2:2">
      <c r="B21077" s="62" t="str">
        <f>IF(AND('领用录入（明细）'!D:D=$F$4,'领用录入（明细）'!C:C&gt;=$J$4,'领用录入（明细）'!C:C&lt;=$L$4),ROW(),"-")</f>
        <v>-</v>
      </c>
    </row>
    <row r="21078" customHeight="1" spans="2:2">
      <c r="B21078" s="62" t="str">
        <f>IF(AND('领用录入（明细）'!D:D=$F$4,'领用录入（明细）'!C:C&gt;=$J$4,'领用录入（明细）'!C:C&lt;=$L$4),ROW(),"-")</f>
        <v>-</v>
      </c>
    </row>
    <row r="21079" customHeight="1" spans="2:2">
      <c r="B21079" s="62" t="str">
        <f>IF(AND('领用录入（明细）'!D:D=$F$4,'领用录入（明细）'!C:C&gt;=$J$4,'领用录入（明细）'!C:C&lt;=$L$4),ROW(),"-")</f>
        <v>-</v>
      </c>
    </row>
    <row r="21080" customHeight="1" spans="2:2">
      <c r="B21080" s="62" t="str">
        <f>IF(AND('领用录入（明细）'!D:D=$F$4,'领用录入（明细）'!C:C&gt;=$J$4,'领用录入（明细）'!C:C&lt;=$L$4),ROW(),"-")</f>
        <v>-</v>
      </c>
    </row>
    <row r="21081" customHeight="1" spans="2:2">
      <c r="B21081" s="62" t="str">
        <f>IF(AND('领用录入（明细）'!D:D=$F$4,'领用录入（明细）'!C:C&gt;=$J$4,'领用录入（明细）'!C:C&lt;=$L$4),ROW(),"-")</f>
        <v>-</v>
      </c>
    </row>
    <row r="21082" customHeight="1" spans="2:2">
      <c r="B21082" s="62" t="str">
        <f>IF(AND('领用录入（明细）'!D:D=$F$4,'领用录入（明细）'!C:C&gt;=$J$4,'领用录入（明细）'!C:C&lt;=$L$4),ROW(),"-")</f>
        <v>-</v>
      </c>
    </row>
    <row r="21083" customHeight="1" spans="2:2">
      <c r="B21083" s="62" t="str">
        <f>IF(AND('领用录入（明细）'!D:D=$F$4,'领用录入（明细）'!C:C&gt;=$J$4,'领用录入（明细）'!C:C&lt;=$L$4),ROW(),"-")</f>
        <v>-</v>
      </c>
    </row>
    <row r="21084" customHeight="1" spans="2:2">
      <c r="B21084" s="62" t="str">
        <f>IF(AND('领用录入（明细）'!D:D=$F$4,'领用录入（明细）'!C:C&gt;=$J$4,'领用录入（明细）'!C:C&lt;=$L$4),ROW(),"-")</f>
        <v>-</v>
      </c>
    </row>
    <row r="21085" customHeight="1" spans="2:2">
      <c r="B21085" s="62" t="str">
        <f>IF(AND('领用录入（明细）'!D:D=$F$4,'领用录入（明细）'!C:C&gt;=$J$4,'领用录入（明细）'!C:C&lt;=$L$4),ROW(),"-")</f>
        <v>-</v>
      </c>
    </row>
    <row r="21086" customHeight="1" spans="2:2">
      <c r="B21086" s="62" t="str">
        <f>IF(AND('领用录入（明细）'!D:D=$F$4,'领用录入（明细）'!C:C&gt;=$J$4,'领用录入（明细）'!C:C&lt;=$L$4),ROW(),"-")</f>
        <v>-</v>
      </c>
    </row>
    <row r="21087" customHeight="1" spans="2:2">
      <c r="B21087" s="62" t="str">
        <f>IF(AND('领用录入（明细）'!D:D=$F$4,'领用录入（明细）'!C:C&gt;=$J$4,'领用录入（明细）'!C:C&lt;=$L$4),ROW(),"-")</f>
        <v>-</v>
      </c>
    </row>
    <row r="21088" customHeight="1" spans="2:2">
      <c r="B21088" s="62" t="str">
        <f>IF(AND('领用录入（明细）'!D:D=$F$4,'领用录入（明细）'!C:C&gt;=$J$4,'领用录入（明细）'!C:C&lt;=$L$4),ROW(),"-")</f>
        <v>-</v>
      </c>
    </row>
    <row r="21089" customHeight="1" spans="2:2">
      <c r="B21089" s="62" t="str">
        <f>IF(AND('领用录入（明细）'!D:D=$F$4,'领用录入（明细）'!C:C&gt;=$J$4,'领用录入（明细）'!C:C&lt;=$L$4),ROW(),"-")</f>
        <v>-</v>
      </c>
    </row>
    <row r="21090" customHeight="1" spans="2:2">
      <c r="B21090" s="62" t="str">
        <f>IF(AND('领用录入（明细）'!D:D=$F$4,'领用录入（明细）'!C:C&gt;=$J$4,'领用录入（明细）'!C:C&lt;=$L$4),ROW(),"-")</f>
        <v>-</v>
      </c>
    </row>
    <row r="21091" customHeight="1" spans="2:2">
      <c r="B21091" s="62" t="str">
        <f>IF(AND('领用录入（明细）'!D:D=$F$4,'领用录入（明细）'!C:C&gt;=$J$4,'领用录入（明细）'!C:C&lt;=$L$4),ROW(),"-")</f>
        <v>-</v>
      </c>
    </row>
    <row r="21092" customHeight="1" spans="2:2">
      <c r="B21092" s="62" t="str">
        <f>IF(AND('领用录入（明细）'!D:D=$F$4,'领用录入（明细）'!C:C&gt;=$J$4,'领用录入（明细）'!C:C&lt;=$L$4),ROW(),"-")</f>
        <v>-</v>
      </c>
    </row>
    <row r="21093" customHeight="1" spans="2:2">
      <c r="B21093" s="62" t="str">
        <f>IF(AND('领用录入（明细）'!D:D=$F$4,'领用录入（明细）'!C:C&gt;=$J$4,'领用录入（明细）'!C:C&lt;=$L$4),ROW(),"-")</f>
        <v>-</v>
      </c>
    </row>
    <row r="21094" customHeight="1" spans="2:2">
      <c r="B21094" s="62" t="str">
        <f>IF(AND('领用录入（明细）'!D:D=$F$4,'领用录入（明细）'!C:C&gt;=$J$4,'领用录入（明细）'!C:C&lt;=$L$4),ROW(),"-")</f>
        <v>-</v>
      </c>
    </row>
    <row r="21095" customHeight="1" spans="2:2">
      <c r="B21095" s="62" t="str">
        <f>IF(AND('领用录入（明细）'!D:D=$F$4,'领用录入（明细）'!C:C&gt;=$J$4,'领用录入（明细）'!C:C&lt;=$L$4),ROW(),"-")</f>
        <v>-</v>
      </c>
    </row>
    <row r="21096" customHeight="1" spans="2:2">
      <c r="B21096" s="62" t="str">
        <f>IF(AND('领用录入（明细）'!D:D=$F$4,'领用录入（明细）'!C:C&gt;=$J$4,'领用录入（明细）'!C:C&lt;=$L$4),ROW(),"-")</f>
        <v>-</v>
      </c>
    </row>
    <row r="21097" customHeight="1" spans="2:2">
      <c r="B21097" s="62" t="str">
        <f>IF(AND('领用录入（明细）'!D:D=$F$4,'领用录入（明细）'!C:C&gt;=$J$4,'领用录入（明细）'!C:C&lt;=$L$4),ROW(),"-")</f>
        <v>-</v>
      </c>
    </row>
    <row r="21098" customHeight="1" spans="2:2">
      <c r="B21098" s="62" t="str">
        <f>IF(AND('领用录入（明细）'!D:D=$F$4,'领用录入（明细）'!C:C&gt;=$J$4,'领用录入（明细）'!C:C&lt;=$L$4),ROW(),"-")</f>
        <v>-</v>
      </c>
    </row>
    <row r="21099" customHeight="1" spans="2:2">
      <c r="B21099" s="62" t="str">
        <f>IF(AND('领用录入（明细）'!D:D=$F$4,'领用录入（明细）'!C:C&gt;=$J$4,'领用录入（明细）'!C:C&lt;=$L$4),ROW(),"-")</f>
        <v>-</v>
      </c>
    </row>
    <row r="21100" customHeight="1" spans="2:2">
      <c r="B21100" s="62" t="str">
        <f>IF(AND('领用录入（明细）'!D:D=$F$4,'领用录入（明细）'!C:C&gt;=$J$4,'领用录入（明细）'!C:C&lt;=$L$4),ROW(),"-")</f>
        <v>-</v>
      </c>
    </row>
    <row r="21101" customHeight="1" spans="2:2">
      <c r="B21101" s="62" t="str">
        <f>IF(AND('领用录入（明细）'!D:D=$F$4,'领用录入（明细）'!C:C&gt;=$J$4,'领用录入（明细）'!C:C&lt;=$L$4),ROW(),"-")</f>
        <v>-</v>
      </c>
    </row>
    <row r="21102" customHeight="1" spans="2:2">
      <c r="B21102" s="62" t="str">
        <f>IF(AND('领用录入（明细）'!D:D=$F$4,'领用录入（明细）'!C:C&gt;=$J$4,'领用录入（明细）'!C:C&lt;=$L$4),ROW(),"-")</f>
        <v>-</v>
      </c>
    </row>
    <row r="21103" customHeight="1" spans="2:2">
      <c r="B21103" s="62" t="str">
        <f>IF(AND('领用录入（明细）'!D:D=$F$4,'领用录入（明细）'!C:C&gt;=$J$4,'领用录入（明细）'!C:C&lt;=$L$4),ROW(),"-")</f>
        <v>-</v>
      </c>
    </row>
    <row r="21104" customHeight="1" spans="2:2">
      <c r="B21104" s="62" t="str">
        <f>IF(AND('领用录入（明细）'!D:D=$F$4,'领用录入（明细）'!C:C&gt;=$J$4,'领用录入（明细）'!C:C&lt;=$L$4),ROW(),"-")</f>
        <v>-</v>
      </c>
    </row>
    <row r="21105" customHeight="1" spans="2:2">
      <c r="B21105" s="62" t="str">
        <f>IF(AND('领用录入（明细）'!D:D=$F$4,'领用录入（明细）'!C:C&gt;=$J$4,'领用录入（明细）'!C:C&lt;=$L$4),ROW(),"-")</f>
        <v>-</v>
      </c>
    </row>
    <row r="21106" customHeight="1" spans="2:2">
      <c r="B21106" s="62" t="str">
        <f>IF(AND('领用录入（明细）'!D:D=$F$4,'领用录入（明细）'!C:C&gt;=$J$4,'领用录入（明细）'!C:C&lt;=$L$4),ROW(),"-")</f>
        <v>-</v>
      </c>
    </row>
    <row r="21107" customHeight="1" spans="2:2">
      <c r="B21107" s="62" t="str">
        <f>IF(AND('领用录入（明细）'!D:D=$F$4,'领用录入（明细）'!C:C&gt;=$J$4,'领用录入（明细）'!C:C&lt;=$L$4),ROW(),"-")</f>
        <v>-</v>
      </c>
    </row>
    <row r="21108" customHeight="1" spans="2:2">
      <c r="B21108" s="62" t="str">
        <f>IF(AND('领用录入（明细）'!D:D=$F$4,'领用录入（明细）'!C:C&gt;=$J$4,'领用录入（明细）'!C:C&lt;=$L$4),ROW(),"-")</f>
        <v>-</v>
      </c>
    </row>
    <row r="21109" customHeight="1" spans="2:2">
      <c r="B21109" s="62" t="str">
        <f>IF(AND('领用录入（明细）'!D:D=$F$4,'领用录入（明细）'!C:C&gt;=$J$4,'领用录入（明细）'!C:C&lt;=$L$4),ROW(),"-")</f>
        <v>-</v>
      </c>
    </row>
    <row r="21110" customHeight="1" spans="2:2">
      <c r="B21110" s="62" t="str">
        <f>IF(AND('领用录入（明细）'!D:D=$F$4,'领用录入（明细）'!C:C&gt;=$J$4,'领用录入（明细）'!C:C&lt;=$L$4),ROW(),"-")</f>
        <v>-</v>
      </c>
    </row>
    <row r="21111" customHeight="1" spans="2:2">
      <c r="B21111" s="62" t="str">
        <f>IF(AND('领用录入（明细）'!D:D=$F$4,'领用录入（明细）'!C:C&gt;=$J$4,'领用录入（明细）'!C:C&lt;=$L$4),ROW(),"-")</f>
        <v>-</v>
      </c>
    </row>
    <row r="21112" customHeight="1" spans="2:2">
      <c r="B21112" s="62" t="str">
        <f>IF(AND('领用录入（明细）'!D:D=$F$4,'领用录入（明细）'!C:C&gt;=$J$4,'领用录入（明细）'!C:C&lt;=$L$4),ROW(),"-")</f>
        <v>-</v>
      </c>
    </row>
    <row r="21113" customHeight="1" spans="2:2">
      <c r="B21113" s="62" t="str">
        <f>IF(AND('领用录入（明细）'!D:D=$F$4,'领用录入（明细）'!C:C&gt;=$J$4,'领用录入（明细）'!C:C&lt;=$L$4),ROW(),"-")</f>
        <v>-</v>
      </c>
    </row>
    <row r="21114" customHeight="1" spans="2:2">
      <c r="B21114" s="62" t="str">
        <f>IF(AND('领用录入（明细）'!D:D=$F$4,'领用录入（明细）'!C:C&gt;=$J$4,'领用录入（明细）'!C:C&lt;=$L$4),ROW(),"-")</f>
        <v>-</v>
      </c>
    </row>
    <row r="21115" customHeight="1" spans="2:2">
      <c r="B21115" s="62" t="str">
        <f>IF(AND('领用录入（明细）'!D:D=$F$4,'领用录入（明细）'!C:C&gt;=$J$4,'领用录入（明细）'!C:C&lt;=$L$4),ROW(),"-")</f>
        <v>-</v>
      </c>
    </row>
    <row r="21116" customHeight="1" spans="2:2">
      <c r="B21116" s="62" t="str">
        <f>IF(AND('领用录入（明细）'!D:D=$F$4,'领用录入（明细）'!C:C&gt;=$J$4,'领用录入（明细）'!C:C&lt;=$L$4),ROW(),"-")</f>
        <v>-</v>
      </c>
    </row>
    <row r="21117" customHeight="1" spans="2:2">
      <c r="B21117" s="62" t="str">
        <f>IF(AND('领用录入（明细）'!D:D=$F$4,'领用录入（明细）'!C:C&gt;=$J$4,'领用录入（明细）'!C:C&lt;=$L$4),ROW(),"-")</f>
        <v>-</v>
      </c>
    </row>
    <row r="21118" customHeight="1" spans="2:2">
      <c r="B21118" s="62" t="str">
        <f>IF(AND('领用录入（明细）'!D:D=$F$4,'领用录入（明细）'!C:C&gt;=$J$4,'领用录入（明细）'!C:C&lt;=$L$4),ROW(),"-")</f>
        <v>-</v>
      </c>
    </row>
    <row r="21119" customHeight="1" spans="2:2">
      <c r="B21119" s="62" t="str">
        <f>IF(AND('领用录入（明细）'!D:D=$F$4,'领用录入（明细）'!C:C&gt;=$J$4,'领用录入（明细）'!C:C&lt;=$L$4),ROW(),"-")</f>
        <v>-</v>
      </c>
    </row>
    <row r="21120" customHeight="1" spans="2:2">
      <c r="B21120" s="62" t="str">
        <f>IF(AND('领用录入（明细）'!D:D=$F$4,'领用录入（明细）'!C:C&gt;=$J$4,'领用录入（明细）'!C:C&lt;=$L$4),ROW(),"-")</f>
        <v>-</v>
      </c>
    </row>
    <row r="21121" customHeight="1" spans="2:2">
      <c r="B21121" s="62" t="str">
        <f>IF(AND('领用录入（明细）'!D:D=$F$4,'领用录入（明细）'!C:C&gt;=$J$4,'领用录入（明细）'!C:C&lt;=$L$4),ROW(),"-")</f>
        <v>-</v>
      </c>
    </row>
    <row r="21122" customHeight="1" spans="2:2">
      <c r="B21122" s="62" t="str">
        <f>IF(AND('领用录入（明细）'!D:D=$F$4,'领用录入（明细）'!C:C&gt;=$J$4,'领用录入（明细）'!C:C&lt;=$L$4),ROW(),"-")</f>
        <v>-</v>
      </c>
    </row>
    <row r="21123" customHeight="1" spans="2:2">
      <c r="B21123" s="62" t="str">
        <f>IF(AND('领用录入（明细）'!D:D=$F$4,'领用录入（明细）'!C:C&gt;=$J$4,'领用录入（明细）'!C:C&lt;=$L$4),ROW(),"-")</f>
        <v>-</v>
      </c>
    </row>
    <row r="21124" customHeight="1" spans="2:2">
      <c r="B21124" s="62" t="str">
        <f>IF(AND('领用录入（明细）'!D:D=$F$4,'领用录入（明细）'!C:C&gt;=$J$4,'领用录入（明细）'!C:C&lt;=$L$4),ROW(),"-")</f>
        <v>-</v>
      </c>
    </row>
    <row r="21125" customHeight="1" spans="2:2">
      <c r="B21125" s="62" t="str">
        <f>IF(AND('领用录入（明细）'!D:D=$F$4,'领用录入（明细）'!C:C&gt;=$J$4,'领用录入（明细）'!C:C&lt;=$L$4),ROW(),"-")</f>
        <v>-</v>
      </c>
    </row>
    <row r="21126" customHeight="1" spans="2:2">
      <c r="B21126" s="62" t="str">
        <f>IF(AND('领用录入（明细）'!D:D=$F$4,'领用录入（明细）'!C:C&gt;=$J$4,'领用录入（明细）'!C:C&lt;=$L$4),ROW(),"-")</f>
        <v>-</v>
      </c>
    </row>
    <row r="21127" customHeight="1" spans="2:2">
      <c r="B21127" s="62" t="str">
        <f>IF(AND('领用录入（明细）'!D:D=$F$4,'领用录入（明细）'!C:C&gt;=$J$4,'领用录入（明细）'!C:C&lt;=$L$4),ROW(),"-")</f>
        <v>-</v>
      </c>
    </row>
    <row r="21128" customHeight="1" spans="2:2">
      <c r="B21128" s="62" t="str">
        <f>IF(AND('领用录入（明细）'!D:D=$F$4,'领用录入（明细）'!C:C&gt;=$J$4,'领用录入（明细）'!C:C&lt;=$L$4),ROW(),"-")</f>
        <v>-</v>
      </c>
    </row>
    <row r="21129" customHeight="1" spans="2:2">
      <c r="B21129" s="62" t="str">
        <f>IF(AND('领用录入（明细）'!D:D=$F$4,'领用录入（明细）'!C:C&gt;=$J$4,'领用录入（明细）'!C:C&lt;=$L$4),ROW(),"-")</f>
        <v>-</v>
      </c>
    </row>
    <row r="21130" customHeight="1" spans="2:2">
      <c r="B21130" s="62" t="str">
        <f>IF(AND('领用录入（明细）'!D:D=$F$4,'领用录入（明细）'!C:C&gt;=$J$4,'领用录入（明细）'!C:C&lt;=$L$4),ROW(),"-")</f>
        <v>-</v>
      </c>
    </row>
    <row r="21131" customHeight="1" spans="2:2">
      <c r="B21131" s="62" t="str">
        <f>IF(AND('领用录入（明细）'!D:D=$F$4,'领用录入（明细）'!C:C&gt;=$J$4,'领用录入（明细）'!C:C&lt;=$L$4),ROW(),"-")</f>
        <v>-</v>
      </c>
    </row>
    <row r="21132" customHeight="1" spans="2:2">
      <c r="B21132" s="62" t="str">
        <f>IF(AND('领用录入（明细）'!D:D=$F$4,'领用录入（明细）'!C:C&gt;=$J$4,'领用录入（明细）'!C:C&lt;=$L$4),ROW(),"-")</f>
        <v>-</v>
      </c>
    </row>
    <row r="21133" customHeight="1" spans="2:2">
      <c r="B21133" s="62" t="str">
        <f>IF(AND('领用录入（明细）'!D:D=$F$4,'领用录入（明细）'!C:C&gt;=$J$4,'领用录入（明细）'!C:C&lt;=$L$4),ROW(),"-")</f>
        <v>-</v>
      </c>
    </row>
    <row r="21134" customHeight="1" spans="2:2">
      <c r="B21134" s="62" t="str">
        <f>IF(AND('领用录入（明细）'!D:D=$F$4,'领用录入（明细）'!C:C&gt;=$J$4,'领用录入（明细）'!C:C&lt;=$L$4),ROW(),"-")</f>
        <v>-</v>
      </c>
    </row>
    <row r="21135" customHeight="1" spans="2:2">
      <c r="B21135" s="62" t="str">
        <f>IF(AND('领用录入（明细）'!D:D=$F$4,'领用录入（明细）'!C:C&gt;=$J$4,'领用录入（明细）'!C:C&lt;=$L$4),ROW(),"-")</f>
        <v>-</v>
      </c>
    </row>
    <row r="21136" customHeight="1" spans="2:2">
      <c r="B21136" s="62" t="str">
        <f>IF(AND('领用录入（明细）'!D:D=$F$4,'领用录入（明细）'!C:C&gt;=$J$4,'领用录入（明细）'!C:C&lt;=$L$4),ROW(),"-")</f>
        <v>-</v>
      </c>
    </row>
    <row r="21137" customHeight="1" spans="2:2">
      <c r="B21137" s="62" t="str">
        <f>IF(AND('领用录入（明细）'!D:D=$F$4,'领用录入（明细）'!C:C&gt;=$J$4,'领用录入（明细）'!C:C&lt;=$L$4),ROW(),"-")</f>
        <v>-</v>
      </c>
    </row>
    <row r="21138" customHeight="1" spans="2:2">
      <c r="B21138" s="62" t="str">
        <f>IF(AND('领用录入（明细）'!D:D=$F$4,'领用录入（明细）'!C:C&gt;=$J$4,'领用录入（明细）'!C:C&lt;=$L$4),ROW(),"-")</f>
        <v>-</v>
      </c>
    </row>
    <row r="21139" customHeight="1" spans="2:2">
      <c r="B21139" s="62" t="str">
        <f>IF(AND('领用录入（明细）'!D:D=$F$4,'领用录入（明细）'!C:C&gt;=$J$4,'领用录入（明细）'!C:C&lt;=$L$4),ROW(),"-")</f>
        <v>-</v>
      </c>
    </row>
    <row r="21140" customHeight="1" spans="2:2">
      <c r="B21140" s="62" t="str">
        <f>IF(AND('领用录入（明细）'!D:D=$F$4,'领用录入（明细）'!C:C&gt;=$J$4,'领用录入（明细）'!C:C&lt;=$L$4),ROW(),"-")</f>
        <v>-</v>
      </c>
    </row>
    <row r="21141" customHeight="1" spans="2:2">
      <c r="B21141" s="62" t="str">
        <f>IF(AND('领用录入（明细）'!D:D=$F$4,'领用录入（明细）'!C:C&gt;=$J$4,'领用录入（明细）'!C:C&lt;=$L$4),ROW(),"-")</f>
        <v>-</v>
      </c>
    </row>
    <row r="21142" customHeight="1" spans="2:2">
      <c r="B21142" s="62" t="str">
        <f>IF(AND('领用录入（明细）'!D:D=$F$4,'领用录入（明细）'!C:C&gt;=$J$4,'领用录入（明细）'!C:C&lt;=$L$4),ROW(),"-")</f>
        <v>-</v>
      </c>
    </row>
    <row r="21143" customHeight="1" spans="2:2">
      <c r="B21143" s="62" t="str">
        <f>IF(AND('领用录入（明细）'!D:D=$F$4,'领用录入（明细）'!C:C&gt;=$J$4,'领用录入（明细）'!C:C&lt;=$L$4),ROW(),"-")</f>
        <v>-</v>
      </c>
    </row>
    <row r="21144" customHeight="1" spans="2:2">
      <c r="B21144" s="62" t="str">
        <f>IF(AND('领用录入（明细）'!D:D=$F$4,'领用录入（明细）'!C:C&gt;=$J$4,'领用录入（明细）'!C:C&lt;=$L$4),ROW(),"-")</f>
        <v>-</v>
      </c>
    </row>
    <row r="21145" customHeight="1" spans="2:2">
      <c r="B21145" s="62" t="str">
        <f>IF(AND('领用录入（明细）'!D:D=$F$4,'领用录入（明细）'!C:C&gt;=$J$4,'领用录入（明细）'!C:C&lt;=$L$4),ROW(),"-")</f>
        <v>-</v>
      </c>
    </row>
    <row r="21146" customHeight="1" spans="2:2">
      <c r="B21146" s="62" t="str">
        <f>IF(AND('领用录入（明细）'!D:D=$F$4,'领用录入（明细）'!C:C&gt;=$J$4,'领用录入（明细）'!C:C&lt;=$L$4),ROW(),"-")</f>
        <v>-</v>
      </c>
    </row>
    <row r="21147" customHeight="1" spans="2:2">
      <c r="B21147" s="62" t="str">
        <f>IF(AND('领用录入（明细）'!D:D=$F$4,'领用录入（明细）'!C:C&gt;=$J$4,'领用录入（明细）'!C:C&lt;=$L$4),ROW(),"-")</f>
        <v>-</v>
      </c>
    </row>
    <row r="21148" customHeight="1" spans="2:2">
      <c r="B21148" s="62" t="str">
        <f>IF(AND('领用录入（明细）'!D:D=$F$4,'领用录入（明细）'!C:C&gt;=$J$4,'领用录入（明细）'!C:C&lt;=$L$4),ROW(),"-")</f>
        <v>-</v>
      </c>
    </row>
    <row r="21149" customHeight="1" spans="2:2">
      <c r="B21149" s="62" t="str">
        <f>IF(AND('领用录入（明细）'!D:D=$F$4,'领用录入（明细）'!C:C&gt;=$J$4,'领用录入（明细）'!C:C&lt;=$L$4),ROW(),"-")</f>
        <v>-</v>
      </c>
    </row>
    <row r="21150" customHeight="1" spans="2:2">
      <c r="B21150" s="62" t="str">
        <f>IF(AND('领用录入（明细）'!D:D=$F$4,'领用录入（明细）'!C:C&gt;=$J$4,'领用录入（明细）'!C:C&lt;=$L$4),ROW(),"-")</f>
        <v>-</v>
      </c>
    </row>
    <row r="21151" customHeight="1" spans="2:2">
      <c r="B21151" s="62" t="str">
        <f>IF(AND('领用录入（明细）'!D:D=$F$4,'领用录入（明细）'!C:C&gt;=$J$4,'领用录入（明细）'!C:C&lt;=$L$4),ROW(),"-")</f>
        <v>-</v>
      </c>
    </row>
    <row r="21152" customHeight="1" spans="2:2">
      <c r="B21152" s="62" t="str">
        <f>IF(AND('领用录入（明细）'!D:D=$F$4,'领用录入（明细）'!C:C&gt;=$J$4,'领用录入（明细）'!C:C&lt;=$L$4),ROW(),"-")</f>
        <v>-</v>
      </c>
    </row>
    <row r="21153" customHeight="1" spans="2:2">
      <c r="B21153" s="62" t="str">
        <f>IF(AND('领用录入（明细）'!D:D=$F$4,'领用录入（明细）'!C:C&gt;=$J$4,'领用录入（明细）'!C:C&lt;=$L$4),ROW(),"-")</f>
        <v>-</v>
      </c>
    </row>
    <row r="21154" customHeight="1" spans="2:2">
      <c r="B21154" s="62" t="str">
        <f>IF(AND('领用录入（明细）'!D:D=$F$4,'领用录入（明细）'!C:C&gt;=$J$4,'领用录入（明细）'!C:C&lt;=$L$4),ROW(),"-")</f>
        <v>-</v>
      </c>
    </row>
    <row r="21155" customHeight="1" spans="2:2">
      <c r="B21155" s="62" t="str">
        <f>IF(AND('领用录入（明细）'!D:D=$F$4,'领用录入（明细）'!C:C&gt;=$J$4,'领用录入（明细）'!C:C&lt;=$L$4),ROW(),"-")</f>
        <v>-</v>
      </c>
    </row>
    <row r="21156" customHeight="1" spans="2:2">
      <c r="B21156" s="62" t="str">
        <f>IF(AND('领用录入（明细）'!D:D=$F$4,'领用录入（明细）'!C:C&gt;=$J$4,'领用录入（明细）'!C:C&lt;=$L$4),ROW(),"-")</f>
        <v>-</v>
      </c>
    </row>
    <row r="21157" customHeight="1" spans="2:2">
      <c r="B21157" s="62" t="str">
        <f>IF(AND('领用录入（明细）'!D:D=$F$4,'领用录入（明细）'!C:C&gt;=$J$4,'领用录入（明细）'!C:C&lt;=$L$4),ROW(),"-")</f>
        <v>-</v>
      </c>
    </row>
    <row r="21158" customHeight="1" spans="2:2">
      <c r="B21158" s="62" t="str">
        <f>IF(AND('领用录入（明细）'!D:D=$F$4,'领用录入（明细）'!C:C&gt;=$J$4,'领用录入（明细）'!C:C&lt;=$L$4),ROW(),"-")</f>
        <v>-</v>
      </c>
    </row>
    <row r="21159" customHeight="1" spans="2:2">
      <c r="B21159" s="62" t="str">
        <f>IF(AND('领用录入（明细）'!D:D=$F$4,'领用录入（明细）'!C:C&gt;=$J$4,'领用录入（明细）'!C:C&lt;=$L$4),ROW(),"-")</f>
        <v>-</v>
      </c>
    </row>
    <row r="21160" customHeight="1" spans="2:2">
      <c r="B21160" s="62" t="str">
        <f>IF(AND('领用录入（明细）'!D:D=$F$4,'领用录入（明细）'!C:C&gt;=$J$4,'领用录入（明细）'!C:C&lt;=$L$4),ROW(),"-")</f>
        <v>-</v>
      </c>
    </row>
    <row r="21161" customHeight="1" spans="2:2">
      <c r="B21161" s="62" t="str">
        <f>IF(AND('领用录入（明细）'!D:D=$F$4,'领用录入（明细）'!C:C&gt;=$J$4,'领用录入（明细）'!C:C&lt;=$L$4),ROW(),"-")</f>
        <v>-</v>
      </c>
    </row>
    <row r="21162" customHeight="1" spans="2:2">
      <c r="B21162" s="62" t="str">
        <f>IF(AND('领用录入（明细）'!D:D=$F$4,'领用录入（明细）'!C:C&gt;=$J$4,'领用录入（明细）'!C:C&lt;=$L$4),ROW(),"-")</f>
        <v>-</v>
      </c>
    </row>
    <row r="21163" customHeight="1" spans="2:2">
      <c r="B21163" s="62" t="str">
        <f>IF(AND('领用录入（明细）'!D:D=$F$4,'领用录入（明细）'!C:C&gt;=$J$4,'领用录入（明细）'!C:C&lt;=$L$4),ROW(),"-")</f>
        <v>-</v>
      </c>
    </row>
    <row r="21164" customHeight="1" spans="2:2">
      <c r="B21164" s="62" t="str">
        <f>IF(AND('领用录入（明细）'!D:D=$F$4,'领用录入（明细）'!C:C&gt;=$J$4,'领用录入（明细）'!C:C&lt;=$L$4),ROW(),"-")</f>
        <v>-</v>
      </c>
    </row>
    <row r="21165" customHeight="1" spans="2:2">
      <c r="B21165" s="62" t="str">
        <f>IF(AND('领用录入（明细）'!D:D=$F$4,'领用录入（明细）'!C:C&gt;=$J$4,'领用录入（明细）'!C:C&lt;=$L$4),ROW(),"-")</f>
        <v>-</v>
      </c>
    </row>
    <row r="21166" customHeight="1" spans="2:2">
      <c r="B21166" s="62" t="str">
        <f>IF(AND('领用录入（明细）'!D:D=$F$4,'领用录入（明细）'!C:C&gt;=$J$4,'领用录入（明细）'!C:C&lt;=$L$4),ROW(),"-")</f>
        <v>-</v>
      </c>
    </row>
    <row r="21167" customHeight="1" spans="2:2">
      <c r="B21167" s="62" t="str">
        <f>IF(AND('领用录入（明细）'!D:D=$F$4,'领用录入（明细）'!C:C&gt;=$J$4,'领用录入（明细）'!C:C&lt;=$L$4),ROW(),"-")</f>
        <v>-</v>
      </c>
    </row>
    <row r="21168" customHeight="1" spans="2:2">
      <c r="B21168" s="62" t="str">
        <f>IF(AND('领用录入（明细）'!D:D=$F$4,'领用录入（明细）'!C:C&gt;=$J$4,'领用录入（明细）'!C:C&lt;=$L$4),ROW(),"-")</f>
        <v>-</v>
      </c>
    </row>
    <row r="21169" customHeight="1" spans="2:2">
      <c r="B21169" s="62" t="str">
        <f>IF(AND('领用录入（明细）'!D:D=$F$4,'领用录入（明细）'!C:C&gt;=$J$4,'领用录入（明细）'!C:C&lt;=$L$4),ROW(),"-")</f>
        <v>-</v>
      </c>
    </row>
    <row r="21170" customHeight="1" spans="2:2">
      <c r="B21170" s="62" t="str">
        <f>IF(AND('领用录入（明细）'!D:D=$F$4,'领用录入（明细）'!C:C&gt;=$J$4,'领用录入（明细）'!C:C&lt;=$L$4),ROW(),"-")</f>
        <v>-</v>
      </c>
    </row>
    <row r="21171" customHeight="1" spans="2:2">
      <c r="B21171" s="62" t="str">
        <f>IF(AND('领用录入（明细）'!D:D=$F$4,'领用录入（明细）'!C:C&gt;=$J$4,'领用录入（明细）'!C:C&lt;=$L$4),ROW(),"-")</f>
        <v>-</v>
      </c>
    </row>
    <row r="21172" customHeight="1" spans="2:2">
      <c r="B21172" s="62" t="str">
        <f>IF(AND('领用录入（明细）'!D:D=$F$4,'领用录入（明细）'!C:C&gt;=$J$4,'领用录入（明细）'!C:C&lt;=$L$4),ROW(),"-")</f>
        <v>-</v>
      </c>
    </row>
    <row r="21173" customHeight="1" spans="2:2">
      <c r="B21173" s="62" t="str">
        <f>IF(AND('领用录入（明细）'!D:D=$F$4,'领用录入（明细）'!C:C&gt;=$J$4,'领用录入（明细）'!C:C&lt;=$L$4),ROW(),"-")</f>
        <v>-</v>
      </c>
    </row>
    <row r="21174" customHeight="1" spans="2:2">
      <c r="B21174" s="62" t="str">
        <f>IF(AND('领用录入（明细）'!D:D=$F$4,'领用录入（明细）'!C:C&gt;=$J$4,'领用录入（明细）'!C:C&lt;=$L$4),ROW(),"-")</f>
        <v>-</v>
      </c>
    </row>
    <row r="21175" customHeight="1" spans="2:2">
      <c r="B21175" s="62" t="str">
        <f>IF(AND('领用录入（明细）'!D:D=$F$4,'领用录入（明细）'!C:C&gt;=$J$4,'领用录入（明细）'!C:C&lt;=$L$4),ROW(),"-")</f>
        <v>-</v>
      </c>
    </row>
    <row r="21176" customHeight="1" spans="2:2">
      <c r="B21176" s="62" t="str">
        <f>IF(AND('领用录入（明细）'!D:D=$F$4,'领用录入（明细）'!C:C&gt;=$J$4,'领用录入（明细）'!C:C&lt;=$L$4),ROW(),"-")</f>
        <v>-</v>
      </c>
    </row>
    <row r="21177" customHeight="1" spans="2:2">
      <c r="B21177" s="62" t="str">
        <f>IF(AND('领用录入（明细）'!D:D=$F$4,'领用录入（明细）'!C:C&gt;=$J$4,'领用录入（明细）'!C:C&lt;=$L$4),ROW(),"-")</f>
        <v>-</v>
      </c>
    </row>
    <row r="21178" customHeight="1" spans="2:2">
      <c r="B21178" s="62" t="str">
        <f>IF(AND('领用录入（明细）'!D:D=$F$4,'领用录入（明细）'!C:C&gt;=$J$4,'领用录入（明细）'!C:C&lt;=$L$4),ROW(),"-")</f>
        <v>-</v>
      </c>
    </row>
    <row r="21179" customHeight="1" spans="2:2">
      <c r="B21179" s="62" t="str">
        <f>IF(AND('领用录入（明细）'!D:D=$F$4,'领用录入（明细）'!C:C&gt;=$J$4,'领用录入（明细）'!C:C&lt;=$L$4),ROW(),"-")</f>
        <v>-</v>
      </c>
    </row>
    <row r="21180" customHeight="1" spans="2:2">
      <c r="B21180" s="62" t="str">
        <f>IF(AND('领用录入（明细）'!D:D=$F$4,'领用录入（明细）'!C:C&gt;=$J$4,'领用录入（明细）'!C:C&lt;=$L$4),ROW(),"-")</f>
        <v>-</v>
      </c>
    </row>
    <row r="21181" customHeight="1" spans="2:2">
      <c r="B21181" s="62" t="str">
        <f>IF(AND('领用录入（明细）'!D:D=$F$4,'领用录入（明细）'!C:C&gt;=$J$4,'领用录入（明细）'!C:C&lt;=$L$4),ROW(),"-")</f>
        <v>-</v>
      </c>
    </row>
    <row r="21182" customHeight="1" spans="2:2">
      <c r="B21182" s="62" t="str">
        <f>IF(AND('领用录入（明细）'!D:D=$F$4,'领用录入（明细）'!C:C&gt;=$J$4,'领用录入（明细）'!C:C&lt;=$L$4),ROW(),"-")</f>
        <v>-</v>
      </c>
    </row>
    <row r="21183" customHeight="1" spans="2:2">
      <c r="B21183" s="62" t="str">
        <f>IF(AND('领用录入（明细）'!D:D=$F$4,'领用录入（明细）'!C:C&gt;=$J$4,'领用录入（明细）'!C:C&lt;=$L$4),ROW(),"-")</f>
        <v>-</v>
      </c>
    </row>
    <row r="21184" customHeight="1" spans="2:2">
      <c r="B21184" s="62" t="str">
        <f>IF(AND('领用录入（明细）'!D:D=$F$4,'领用录入（明细）'!C:C&gt;=$J$4,'领用录入（明细）'!C:C&lt;=$L$4),ROW(),"-")</f>
        <v>-</v>
      </c>
    </row>
    <row r="21185" customHeight="1" spans="2:2">
      <c r="B21185" s="62" t="str">
        <f>IF(AND('领用录入（明细）'!D:D=$F$4,'领用录入（明细）'!C:C&gt;=$J$4,'领用录入（明细）'!C:C&lt;=$L$4),ROW(),"-")</f>
        <v>-</v>
      </c>
    </row>
    <row r="21186" customHeight="1" spans="2:2">
      <c r="B21186" s="62" t="str">
        <f>IF(AND('领用录入（明细）'!D:D=$F$4,'领用录入（明细）'!C:C&gt;=$J$4,'领用录入（明细）'!C:C&lt;=$L$4),ROW(),"-")</f>
        <v>-</v>
      </c>
    </row>
    <row r="21187" customHeight="1" spans="2:2">
      <c r="B21187" s="62" t="str">
        <f>IF(AND('领用录入（明细）'!D:D=$F$4,'领用录入（明细）'!C:C&gt;=$J$4,'领用录入（明细）'!C:C&lt;=$L$4),ROW(),"-")</f>
        <v>-</v>
      </c>
    </row>
    <row r="21188" customHeight="1" spans="2:2">
      <c r="B21188" s="62" t="str">
        <f>IF(AND('领用录入（明细）'!D:D=$F$4,'领用录入（明细）'!C:C&gt;=$J$4,'领用录入（明细）'!C:C&lt;=$L$4),ROW(),"-")</f>
        <v>-</v>
      </c>
    </row>
    <row r="21189" customHeight="1" spans="2:2">
      <c r="B21189" s="62" t="str">
        <f>IF(AND('领用录入（明细）'!D:D=$F$4,'领用录入（明细）'!C:C&gt;=$J$4,'领用录入（明细）'!C:C&lt;=$L$4),ROW(),"-")</f>
        <v>-</v>
      </c>
    </row>
    <row r="21190" customHeight="1" spans="2:2">
      <c r="B21190" s="62" t="str">
        <f>IF(AND('领用录入（明细）'!D:D=$F$4,'领用录入（明细）'!C:C&gt;=$J$4,'领用录入（明细）'!C:C&lt;=$L$4),ROW(),"-")</f>
        <v>-</v>
      </c>
    </row>
    <row r="21191" customHeight="1" spans="2:2">
      <c r="B21191" s="62" t="str">
        <f>IF(AND('领用录入（明细）'!D:D=$F$4,'领用录入（明细）'!C:C&gt;=$J$4,'领用录入（明细）'!C:C&lt;=$L$4),ROW(),"-")</f>
        <v>-</v>
      </c>
    </row>
    <row r="21192" customHeight="1" spans="2:2">
      <c r="B21192" s="62" t="str">
        <f>IF(AND('领用录入（明细）'!D:D=$F$4,'领用录入（明细）'!C:C&gt;=$J$4,'领用录入（明细）'!C:C&lt;=$L$4),ROW(),"-")</f>
        <v>-</v>
      </c>
    </row>
    <row r="21193" customHeight="1" spans="2:2">
      <c r="B21193" s="62" t="str">
        <f>IF(AND('领用录入（明细）'!D:D=$F$4,'领用录入（明细）'!C:C&gt;=$J$4,'领用录入（明细）'!C:C&lt;=$L$4),ROW(),"-")</f>
        <v>-</v>
      </c>
    </row>
    <row r="21194" customHeight="1" spans="2:2">
      <c r="B21194" s="62" t="str">
        <f>IF(AND('领用录入（明细）'!D:D=$F$4,'领用录入（明细）'!C:C&gt;=$J$4,'领用录入（明细）'!C:C&lt;=$L$4),ROW(),"-")</f>
        <v>-</v>
      </c>
    </row>
    <row r="21195" customHeight="1" spans="2:2">
      <c r="B21195" s="62" t="str">
        <f>IF(AND('领用录入（明细）'!D:D=$F$4,'领用录入（明细）'!C:C&gt;=$J$4,'领用录入（明细）'!C:C&lt;=$L$4),ROW(),"-")</f>
        <v>-</v>
      </c>
    </row>
    <row r="21196" customHeight="1" spans="2:2">
      <c r="B21196" s="62" t="str">
        <f>IF(AND('领用录入（明细）'!D:D=$F$4,'领用录入（明细）'!C:C&gt;=$J$4,'领用录入（明细）'!C:C&lt;=$L$4),ROW(),"-")</f>
        <v>-</v>
      </c>
    </row>
    <row r="21197" customHeight="1" spans="2:2">
      <c r="B21197" s="62" t="str">
        <f>IF(AND('领用录入（明细）'!D:D=$F$4,'领用录入（明细）'!C:C&gt;=$J$4,'领用录入（明细）'!C:C&lt;=$L$4),ROW(),"-")</f>
        <v>-</v>
      </c>
    </row>
    <row r="21198" customHeight="1" spans="2:2">
      <c r="B21198" s="62" t="str">
        <f>IF(AND('领用录入（明细）'!D:D=$F$4,'领用录入（明细）'!C:C&gt;=$J$4,'领用录入（明细）'!C:C&lt;=$L$4),ROW(),"-")</f>
        <v>-</v>
      </c>
    </row>
    <row r="21199" customHeight="1" spans="2:2">
      <c r="B21199" s="62" t="str">
        <f>IF(AND('领用录入（明细）'!D:D=$F$4,'领用录入（明细）'!C:C&gt;=$J$4,'领用录入（明细）'!C:C&lt;=$L$4),ROW(),"-")</f>
        <v>-</v>
      </c>
    </row>
    <row r="21200" customHeight="1" spans="2:2">
      <c r="B21200" s="62" t="str">
        <f>IF(AND('领用录入（明细）'!D:D=$F$4,'领用录入（明细）'!C:C&gt;=$J$4,'领用录入（明细）'!C:C&lt;=$L$4),ROW(),"-")</f>
        <v>-</v>
      </c>
    </row>
    <row r="21201" customHeight="1" spans="2:2">
      <c r="B21201" s="62" t="str">
        <f>IF(AND('领用录入（明细）'!D:D=$F$4,'领用录入（明细）'!C:C&gt;=$J$4,'领用录入（明细）'!C:C&lt;=$L$4),ROW(),"-")</f>
        <v>-</v>
      </c>
    </row>
    <row r="21202" customHeight="1" spans="2:2">
      <c r="B21202" s="62" t="str">
        <f>IF(AND('领用录入（明细）'!D:D=$F$4,'领用录入（明细）'!C:C&gt;=$J$4,'领用录入（明细）'!C:C&lt;=$L$4),ROW(),"-")</f>
        <v>-</v>
      </c>
    </row>
    <row r="21203" customHeight="1" spans="2:2">
      <c r="B21203" s="62" t="str">
        <f>IF(AND('领用录入（明细）'!D:D=$F$4,'领用录入（明细）'!C:C&gt;=$J$4,'领用录入（明细）'!C:C&lt;=$L$4),ROW(),"-")</f>
        <v>-</v>
      </c>
    </row>
    <row r="21204" customHeight="1" spans="2:2">
      <c r="B21204" s="62" t="str">
        <f>IF(AND('领用录入（明细）'!D:D=$F$4,'领用录入（明细）'!C:C&gt;=$J$4,'领用录入（明细）'!C:C&lt;=$L$4),ROW(),"-")</f>
        <v>-</v>
      </c>
    </row>
    <row r="21205" customHeight="1" spans="2:2">
      <c r="B21205" s="62" t="str">
        <f>IF(AND('领用录入（明细）'!D:D=$F$4,'领用录入（明细）'!C:C&gt;=$J$4,'领用录入（明细）'!C:C&lt;=$L$4),ROW(),"-")</f>
        <v>-</v>
      </c>
    </row>
    <row r="21206" customHeight="1" spans="2:2">
      <c r="B21206" s="62" t="str">
        <f>IF(AND('领用录入（明细）'!D:D=$F$4,'领用录入（明细）'!C:C&gt;=$J$4,'领用录入（明细）'!C:C&lt;=$L$4),ROW(),"-")</f>
        <v>-</v>
      </c>
    </row>
    <row r="21207" customHeight="1" spans="2:2">
      <c r="B21207" s="62" t="str">
        <f>IF(AND('领用录入（明细）'!D:D=$F$4,'领用录入（明细）'!C:C&gt;=$J$4,'领用录入（明细）'!C:C&lt;=$L$4),ROW(),"-")</f>
        <v>-</v>
      </c>
    </row>
    <row r="21208" customHeight="1" spans="2:2">
      <c r="B21208" s="62" t="str">
        <f>IF(AND('领用录入（明细）'!D:D=$F$4,'领用录入（明细）'!C:C&gt;=$J$4,'领用录入（明细）'!C:C&lt;=$L$4),ROW(),"-")</f>
        <v>-</v>
      </c>
    </row>
    <row r="21209" customHeight="1" spans="2:2">
      <c r="B21209" s="62" t="str">
        <f>IF(AND('领用录入（明细）'!D:D=$F$4,'领用录入（明细）'!C:C&gt;=$J$4,'领用录入（明细）'!C:C&lt;=$L$4),ROW(),"-")</f>
        <v>-</v>
      </c>
    </row>
    <row r="21210" customHeight="1" spans="2:2">
      <c r="B21210" s="62" t="str">
        <f>IF(AND('领用录入（明细）'!D:D=$F$4,'领用录入（明细）'!C:C&gt;=$J$4,'领用录入（明细）'!C:C&lt;=$L$4),ROW(),"-")</f>
        <v>-</v>
      </c>
    </row>
    <row r="21211" customHeight="1" spans="2:2">
      <c r="B21211" s="62" t="str">
        <f>IF(AND('领用录入（明细）'!D:D=$F$4,'领用录入（明细）'!C:C&gt;=$J$4,'领用录入（明细）'!C:C&lt;=$L$4),ROW(),"-")</f>
        <v>-</v>
      </c>
    </row>
    <row r="21212" customHeight="1" spans="2:2">
      <c r="B21212" s="62" t="str">
        <f>IF(AND('领用录入（明细）'!D:D=$F$4,'领用录入（明细）'!C:C&gt;=$J$4,'领用录入（明细）'!C:C&lt;=$L$4),ROW(),"-")</f>
        <v>-</v>
      </c>
    </row>
    <row r="21213" customHeight="1" spans="2:2">
      <c r="B21213" s="62" t="str">
        <f>IF(AND('领用录入（明细）'!D:D=$F$4,'领用录入（明细）'!C:C&gt;=$J$4,'领用录入（明细）'!C:C&lt;=$L$4),ROW(),"-")</f>
        <v>-</v>
      </c>
    </row>
    <row r="21214" customHeight="1" spans="2:2">
      <c r="B21214" s="62" t="str">
        <f>IF(AND('领用录入（明细）'!D:D=$F$4,'领用录入（明细）'!C:C&gt;=$J$4,'领用录入（明细）'!C:C&lt;=$L$4),ROW(),"-")</f>
        <v>-</v>
      </c>
    </row>
    <row r="21215" customHeight="1" spans="2:2">
      <c r="B21215" s="62" t="str">
        <f>IF(AND('领用录入（明细）'!D:D=$F$4,'领用录入（明细）'!C:C&gt;=$J$4,'领用录入（明细）'!C:C&lt;=$L$4),ROW(),"-")</f>
        <v>-</v>
      </c>
    </row>
    <row r="21216" customHeight="1" spans="2:2">
      <c r="B21216" s="62" t="str">
        <f>IF(AND('领用录入（明细）'!D:D=$F$4,'领用录入（明细）'!C:C&gt;=$J$4,'领用录入（明细）'!C:C&lt;=$L$4),ROW(),"-")</f>
        <v>-</v>
      </c>
    </row>
    <row r="21217" customHeight="1" spans="2:2">
      <c r="B21217" s="62" t="str">
        <f>IF(AND('领用录入（明细）'!D:D=$F$4,'领用录入（明细）'!C:C&gt;=$J$4,'领用录入（明细）'!C:C&lt;=$L$4),ROW(),"-")</f>
        <v>-</v>
      </c>
    </row>
    <row r="21218" customHeight="1" spans="2:2">
      <c r="B21218" s="62" t="str">
        <f>IF(AND('领用录入（明细）'!D:D=$F$4,'领用录入（明细）'!C:C&gt;=$J$4,'领用录入（明细）'!C:C&lt;=$L$4),ROW(),"-")</f>
        <v>-</v>
      </c>
    </row>
    <row r="21219" customHeight="1" spans="2:2">
      <c r="B21219" s="62" t="str">
        <f>IF(AND('领用录入（明细）'!D:D=$F$4,'领用录入（明细）'!C:C&gt;=$J$4,'领用录入（明细）'!C:C&lt;=$L$4),ROW(),"-")</f>
        <v>-</v>
      </c>
    </row>
    <row r="21220" customHeight="1" spans="2:2">
      <c r="B21220" s="62" t="str">
        <f>IF(AND('领用录入（明细）'!D:D=$F$4,'领用录入（明细）'!C:C&gt;=$J$4,'领用录入（明细）'!C:C&lt;=$L$4),ROW(),"-")</f>
        <v>-</v>
      </c>
    </row>
    <row r="21221" customHeight="1" spans="2:2">
      <c r="B21221" s="62" t="str">
        <f>IF(AND('领用录入（明细）'!D:D=$F$4,'领用录入（明细）'!C:C&gt;=$J$4,'领用录入（明细）'!C:C&lt;=$L$4),ROW(),"-")</f>
        <v>-</v>
      </c>
    </row>
    <row r="21222" customHeight="1" spans="2:2">
      <c r="B21222" s="62" t="str">
        <f>IF(AND('领用录入（明细）'!D:D=$F$4,'领用录入（明细）'!C:C&gt;=$J$4,'领用录入（明细）'!C:C&lt;=$L$4),ROW(),"-")</f>
        <v>-</v>
      </c>
    </row>
    <row r="21223" customHeight="1" spans="2:2">
      <c r="B21223" s="62" t="str">
        <f>IF(AND('领用录入（明细）'!D:D=$F$4,'领用录入（明细）'!C:C&gt;=$J$4,'领用录入（明细）'!C:C&lt;=$L$4),ROW(),"-")</f>
        <v>-</v>
      </c>
    </row>
    <row r="21224" customHeight="1" spans="2:2">
      <c r="B21224" s="62" t="str">
        <f>IF(AND('领用录入（明细）'!D:D=$F$4,'领用录入（明细）'!C:C&gt;=$J$4,'领用录入（明细）'!C:C&lt;=$L$4),ROW(),"-")</f>
        <v>-</v>
      </c>
    </row>
    <row r="21225" customHeight="1" spans="2:2">
      <c r="B21225" s="62" t="str">
        <f>IF(AND('领用录入（明细）'!D:D=$F$4,'领用录入（明细）'!C:C&gt;=$J$4,'领用录入（明细）'!C:C&lt;=$L$4),ROW(),"-")</f>
        <v>-</v>
      </c>
    </row>
    <row r="21226" customHeight="1" spans="2:2">
      <c r="B21226" s="62" t="str">
        <f>IF(AND('领用录入（明细）'!D:D=$F$4,'领用录入（明细）'!C:C&gt;=$J$4,'领用录入（明细）'!C:C&lt;=$L$4),ROW(),"-")</f>
        <v>-</v>
      </c>
    </row>
    <row r="21227" customHeight="1" spans="2:2">
      <c r="B21227" s="62" t="str">
        <f>IF(AND('领用录入（明细）'!D:D=$F$4,'领用录入（明细）'!C:C&gt;=$J$4,'领用录入（明细）'!C:C&lt;=$L$4),ROW(),"-")</f>
        <v>-</v>
      </c>
    </row>
    <row r="21228" customHeight="1" spans="2:2">
      <c r="B21228" s="62" t="str">
        <f>IF(AND('领用录入（明细）'!D:D=$F$4,'领用录入（明细）'!C:C&gt;=$J$4,'领用录入（明细）'!C:C&lt;=$L$4),ROW(),"-")</f>
        <v>-</v>
      </c>
    </row>
    <row r="21229" customHeight="1" spans="2:2">
      <c r="B21229" s="62" t="str">
        <f>IF(AND('领用录入（明细）'!D:D=$F$4,'领用录入（明细）'!C:C&gt;=$J$4,'领用录入（明细）'!C:C&lt;=$L$4),ROW(),"-")</f>
        <v>-</v>
      </c>
    </row>
    <row r="21230" customHeight="1" spans="2:2">
      <c r="B21230" s="62" t="str">
        <f>IF(AND('领用录入（明细）'!D:D=$F$4,'领用录入（明细）'!C:C&gt;=$J$4,'领用录入（明细）'!C:C&lt;=$L$4),ROW(),"-")</f>
        <v>-</v>
      </c>
    </row>
    <row r="21231" customHeight="1" spans="2:2">
      <c r="B21231" s="62" t="str">
        <f>IF(AND('领用录入（明细）'!D:D=$F$4,'领用录入（明细）'!C:C&gt;=$J$4,'领用录入（明细）'!C:C&lt;=$L$4),ROW(),"-")</f>
        <v>-</v>
      </c>
    </row>
    <row r="21232" customHeight="1" spans="2:2">
      <c r="B21232" s="62" t="str">
        <f>IF(AND('领用录入（明细）'!D:D=$F$4,'领用录入（明细）'!C:C&gt;=$J$4,'领用录入（明细）'!C:C&lt;=$L$4),ROW(),"-")</f>
        <v>-</v>
      </c>
    </row>
    <row r="21233" customHeight="1" spans="2:2">
      <c r="B21233" s="62" t="str">
        <f>IF(AND('领用录入（明细）'!D:D=$F$4,'领用录入（明细）'!C:C&gt;=$J$4,'领用录入（明细）'!C:C&lt;=$L$4),ROW(),"-")</f>
        <v>-</v>
      </c>
    </row>
    <row r="21234" customHeight="1" spans="2:2">
      <c r="B21234" s="62" t="str">
        <f>IF(AND('领用录入（明细）'!D:D=$F$4,'领用录入（明细）'!C:C&gt;=$J$4,'领用录入（明细）'!C:C&lt;=$L$4),ROW(),"-")</f>
        <v>-</v>
      </c>
    </row>
    <row r="21235" customHeight="1" spans="2:2">
      <c r="B21235" s="62" t="str">
        <f>IF(AND('领用录入（明细）'!D:D=$F$4,'领用录入（明细）'!C:C&gt;=$J$4,'领用录入（明细）'!C:C&lt;=$L$4),ROW(),"-")</f>
        <v>-</v>
      </c>
    </row>
    <row r="21236" customHeight="1" spans="2:2">
      <c r="B21236" s="62" t="str">
        <f>IF(AND('领用录入（明细）'!D:D=$F$4,'领用录入（明细）'!C:C&gt;=$J$4,'领用录入（明细）'!C:C&lt;=$L$4),ROW(),"-")</f>
        <v>-</v>
      </c>
    </row>
    <row r="21237" customHeight="1" spans="2:2">
      <c r="B21237" s="62" t="str">
        <f>IF(AND('领用录入（明细）'!D:D=$F$4,'领用录入（明细）'!C:C&gt;=$J$4,'领用录入（明细）'!C:C&lt;=$L$4),ROW(),"-")</f>
        <v>-</v>
      </c>
    </row>
    <row r="21238" customHeight="1" spans="2:2">
      <c r="B21238" s="62" t="str">
        <f>IF(AND('领用录入（明细）'!D:D=$F$4,'领用录入（明细）'!C:C&gt;=$J$4,'领用录入（明细）'!C:C&lt;=$L$4),ROW(),"-")</f>
        <v>-</v>
      </c>
    </row>
    <row r="21239" customHeight="1" spans="2:2">
      <c r="B21239" s="62" t="str">
        <f>IF(AND('领用录入（明细）'!D:D=$F$4,'领用录入（明细）'!C:C&gt;=$J$4,'领用录入（明细）'!C:C&lt;=$L$4),ROW(),"-")</f>
        <v>-</v>
      </c>
    </row>
    <row r="21240" customHeight="1" spans="2:2">
      <c r="B21240" s="62" t="str">
        <f>IF(AND('领用录入（明细）'!D:D=$F$4,'领用录入（明细）'!C:C&gt;=$J$4,'领用录入（明细）'!C:C&lt;=$L$4),ROW(),"-")</f>
        <v>-</v>
      </c>
    </row>
    <row r="21241" customHeight="1" spans="2:2">
      <c r="B21241" s="62" t="str">
        <f>IF(AND('领用录入（明细）'!D:D=$F$4,'领用录入（明细）'!C:C&gt;=$J$4,'领用录入（明细）'!C:C&lt;=$L$4),ROW(),"-")</f>
        <v>-</v>
      </c>
    </row>
    <row r="21242" customHeight="1" spans="2:2">
      <c r="B21242" s="62" t="str">
        <f>IF(AND('领用录入（明细）'!D:D=$F$4,'领用录入（明细）'!C:C&gt;=$J$4,'领用录入（明细）'!C:C&lt;=$L$4),ROW(),"-")</f>
        <v>-</v>
      </c>
    </row>
    <row r="21243" customHeight="1" spans="2:2">
      <c r="B21243" s="62" t="str">
        <f>IF(AND('领用录入（明细）'!D:D=$F$4,'领用录入（明细）'!C:C&gt;=$J$4,'领用录入（明细）'!C:C&lt;=$L$4),ROW(),"-")</f>
        <v>-</v>
      </c>
    </row>
    <row r="21244" customHeight="1" spans="2:2">
      <c r="B21244" s="62" t="str">
        <f>IF(AND('领用录入（明细）'!D:D=$F$4,'领用录入（明细）'!C:C&gt;=$J$4,'领用录入（明细）'!C:C&lt;=$L$4),ROW(),"-")</f>
        <v>-</v>
      </c>
    </row>
    <row r="21245" customHeight="1" spans="2:2">
      <c r="B21245" s="62" t="str">
        <f>IF(AND('领用录入（明细）'!D:D=$F$4,'领用录入（明细）'!C:C&gt;=$J$4,'领用录入（明细）'!C:C&lt;=$L$4),ROW(),"-")</f>
        <v>-</v>
      </c>
    </row>
    <row r="21246" customHeight="1" spans="2:2">
      <c r="B21246" s="62" t="str">
        <f>IF(AND('领用录入（明细）'!D:D=$F$4,'领用录入（明细）'!C:C&gt;=$J$4,'领用录入（明细）'!C:C&lt;=$L$4),ROW(),"-")</f>
        <v>-</v>
      </c>
    </row>
    <row r="21247" customHeight="1" spans="2:2">
      <c r="B21247" s="62" t="str">
        <f>IF(AND('领用录入（明细）'!D:D=$F$4,'领用录入（明细）'!C:C&gt;=$J$4,'领用录入（明细）'!C:C&lt;=$L$4),ROW(),"-")</f>
        <v>-</v>
      </c>
    </row>
    <row r="21248" customHeight="1" spans="2:2">
      <c r="B21248" s="62" t="str">
        <f>IF(AND('领用录入（明细）'!D:D=$F$4,'领用录入（明细）'!C:C&gt;=$J$4,'领用录入（明细）'!C:C&lt;=$L$4),ROW(),"-")</f>
        <v>-</v>
      </c>
    </row>
    <row r="21249" customHeight="1" spans="2:2">
      <c r="B21249" s="62" t="str">
        <f>IF(AND('领用录入（明细）'!D:D=$F$4,'领用录入（明细）'!C:C&gt;=$J$4,'领用录入（明细）'!C:C&lt;=$L$4),ROW(),"-")</f>
        <v>-</v>
      </c>
    </row>
    <row r="21250" customHeight="1" spans="2:2">
      <c r="B21250" s="62" t="str">
        <f>IF(AND('领用录入（明细）'!D:D=$F$4,'领用录入（明细）'!C:C&gt;=$J$4,'领用录入（明细）'!C:C&lt;=$L$4),ROW(),"-")</f>
        <v>-</v>
      </c>
    </row>
    <row r="21251" customHeight="1" spans="2:2">
      <c r="B21251" s="62" t="str">
        <f>IF(AND('领用录入（明细）'!D:D=$F$4,'领用录入（明细）'!C:C&gt;=$J$4,'领用录入（明细）'!C:C&lt;=$L$4),ROW(),"-")</f>
        <v>-</v>
      </c>
    </row>
    <row r="21252" customHeight="1" spans="2:2">
      <c r="B21252" s="62" t="str">
        <f>IF(AND('领用录入（明细）'!D:D=$F$4,'领用录入（明细）'!C:C&gt;=$J$4,'领用录入（明细）'!C:C&lt;=$L$4),ROW(),"-")</f>
        <v>-</v>
      </c>
    </row>
    <row r="21253" customHeight="1" spans="2:2">
      <c r="B21253" s="62" t="str">
        <f>IF(AND('领用录入（明细）'!D:D=$F$4,'领用录入（明细）'!C:C&gt;=$J$4,'领用录入（明细）'!C:C&lt;=$L$4),ROW(),"-")</f>
        <v>-</v>
      </c>
    </row>
    <row r="21254" customHeight="1" spans="2:2">
      <c r="B21254" s="62" t="str">
        <f>IF(AND('领用录入（明细）'!D:D=$F$4,'领用录入（明细）'!C:C&gt;=$J$4,'领用录入（明细）'!C:C&lt;=$L$4),ROW(),"-")</f>
        <v>-</v>
      </c>
    </row>
    <row r="21255" customHeight="1" spans="2:2">
      <c r="B21255" s="62" t="str">
        <f>IF(AND('领用录入（明细）'!D:D=$F$4,'领用录入（明细）'!C:C&gt;=$J$4,'领用录入（明细）'!C:C&lt;=$L$4),ROW(),"-")</f>
        <v>-</v>
      </c>
    </row>
    <row r="21256" customHeight="1" spans="2:2">
      <c r="B21256" s="62" t="str">
        <f>IF(AND('领用录入（明细）'!D:D=$F$4,'领用录入（明细）'!C:C&gt;=$J$4,'领用录入（明细）'!C:C&lt;=$L$4),ROW(),"-")</f>
        <v>-</v>
      </c>
    </row>
    <row r="21257" customHeight="1" spans="2:2">
      <c r="B21257" s="62" t="str">
        <f>IF(AND('领用录入（明细）'!D:D=$F$4,'领用录入（明细）'!C:C&gt;=$J$4,'领用录入（明细）'!C:C&lt;=$L$4),ROW(),"-")</f>
        <v>-</v>
      </c>
    </row>
    <row r="21258" customHeight="1" spans="2:2">
      <c r="B21258" s="62" t="str">
        <f>IF(AND('领用录入（明细）'!D:D=$F$4,'领用录入（明细）'!C:C&gt;=$J$4,'领用录入（明细）'!C:C&lt;=$L$4),ROW(),"-")</f>
        <v>-</v>
      </c>
    </row>
    <row r="21259" customHeight="1" spans="2:2">
      <c r="B21259" s="62" t="str">
        <f>IF(AND('领用录入（明细）'!D:D=$F$4,'领用录入（明细）'!C:C&gt;=$J$4,'领用录入（明细）'!C:C&lt;=$L$4),ROW(),"-")</f>
        <v>-</v>
      </c>
    </row>
    <row r="21260" customHeight="1" spans="2:2">
      <c r="B21260" s="62" t="str">
        <f>IF(AND('领用录入（明细）'!D:D=$F$4,'领用录入（明细）'!C:C&gt;=$J$4,'领用录入（明细）'!C:C&lt;=$L$4),ROW(),"-")</f>
        <v>-</v>
      </c>
    </row>
    <row r="21261" customHeight="1" spans="2:2">
      <c r="B21261" s="62" t="str">
        <f>IF(AND('领用录入（明细）'!D:D=$F$4,'领用录入（明细）'!C:C&gt;=$J$4,'领用录入（明细）'!C:C&lt;=$L$4),ROW(),"-")</f>
        <v>-</v>
      </c>
    </row>
    <row r="21262" customHeight="1" spans="2:2">
      <c r="B21262" s="62" t="str">
        <f>IF(AND('领用录入（明细）'!D:D=$F$4,'领用录入（明细）'!C:C&gt;=$J$4,'领用录入（明细）'!C:C&lt;=$L$4),ROW(),"-")</f>
        <v>-</v>
      </c>
    </row>
    <row r="21263" customHeight="1" spans="2:2">
      <c r="B21263" s="62" t="str">
        <f>IF(AND('领用录入（明细）'!D:D=$F$4,'领用录入（明细）'!C:C&gt;=$J$4,'领用录入（明细）'!C:C&lt;=$L$4),ROW(),"-")</f>
        <v>-</v>
      </c>
    </row>
    <row r="21264" customHeight="1" spans="2:2">
      <c r="B21264" s="62" t="str">
        <f>IF(AND('领用录入（明细）'!D:D=$F$4,'领用录入（明细）'!C:C&gt;=$J$4,'领用录入（明细）'!C:C&lt;=$L$4),ROW(),"-")</f>
        <v>-</v>
      </c>
    </row>
    <row r="21265" customHeight="1" spans="2:2">
      <c r="B21265" s="62" t="str">
        <f>IF(AND('领用录入（明细）'!D:D=$F$4,'领用录入（明细）'!C:C&gt;=$J$4,'领用录入（明细）'!C:C&lt;=$L$4),ROW(),"-")</f>
        <v>-</v>
      </c>
    </row>
    <row r="21266" customHeight="1" spans="2:2">
      <c r="B21266" s="62" t="str">
        <f>IF(AND('领用录入（明细）'!D:D=$F$4,'领用录入（明细）'!C:C&gt;=$J$4,'领用录入（明细）'!C:C&lt;=$L$4),ROW(),"-")</f>
        <v>-</v>
      </c>
    </row>
    <row r="21267" customHeight="1" spans="2:2">
      <c r="B21267" s="62" t="str">
        <f>IF(AND('领用录入（明细）'!D:D=$F$4,'领用录入（明细）'!C:C&gt;=$J$4,'领用录入（明细）'!C:C&lt;=$L$4),ROW(),"-")</f>
        <v>-</v>
      </c>
    </row>
    <row r="21268" customHeight="1" spans="2:2">
      <c r="B21268" s="62" t="str">
        <f>IF(AND('领用录入（明细）'!D:D=$F$4,'领用录入（明细）'!C:C&gt;=$J$4,'领用录入（明细）'!C:C&lt;=$L$4),ROW(),"-")</f>
        <v>-</v>
      </c>
    </row>
    <row r="21269" customHeight="1" spans="2:2">
      <c r="B21269" s="62" t="str">
        <f>IF(AND('领用录入（明细）'!D:D=$F$4,'领用录入（明细）'!C:C&gt;=$J$4,'领用录入（明细）'!C:C&lt;=$L$4),ROW(),"-")</f>
        <v>-</v>
      </c>
    </row>
    <row r="21270" customHeight="1" spans="2:2">
      <c r="B21270" s="62" t="str">
        <f>IF(AND('领用录入（明细）'!D:D=$F$4,'领用录入（明细）'!C:C&gt;=$J$4,'领用录入（明细）'!C:C&lt;=$L$4),ROW(),"-")</f>
        <v>-</v>
      </c>
    </row>
    <row r="21271" customHeight="1" spans="2:2">
      <c r="B21271" s="62" t="str">
        <f>IF(AND('领用录入（明细）'!D:D=$F$4,'领用录入（明细）'!C:C&gt;=$J$4,'领用录入（明细）'!C:C&lt;=$L$4),ROW(),"-")</f>
        <v>-</v>
      </c>
    </row>
    <row r="21272" customHeight="1" spans="2:2">
      <c r="B21272" s="62" t="str">
        <f>IF(AND('领用录入（明细）'!D:D=$F$4,'领用录入（明细）'!C:C&gt;=$J$4,'领用录入（明细）'!C:C&lt;=$L$4),ROW(),"-")</f>
        <v>-</v>
      </c>
    </row>
    <row r="21273" customHeight="1" spans="2:2">
      <c r="B21273" s="62" t="str">
        <f>IF(AND('领用录入（明细）'!D:D=$F$4,'领用录入（明细）'!C:C&gt;=$J$4,'领用录入（明细）'!C:C&lt;=$L$4),ROW(),"-")</f>
        <v>-</v>
      </c>
    </row>
    <row r="21274" customHeight="1" spans="2:2">
      <c r="B21274" s="62" t="str">
        <f>IF(AND('领用录入（明细）'!D:D=$F$4,'领用录入（明细）'!C:C&gt;=$J$4,'领用录入（明细）'!C:C&lt;=$L$4),ROW(),"-")</f>
        <v>-</v>
      </c>
    </row>
    <row r="21275" customHeight="1" spans="2:2">
      <c r="B21275" s="62" t="str">
        <f>IF(AND('领用录入（明细）'!D:D=$F$4,'领用录入（明细）'!C:C&gt;=$J$4,'领用录入（明细）'!C:C&lt;=$L$4),ROW(),"-")</f>
        <v>-</v>
      </c>
    </row>
    <row r="21276" customHeight="1" spans="2:2">
      <c r="B21276" s="62" t="str">
        <f>IF(AND('领用录入（明细）'!D:D=$F$4,'领用录入（明细）'!C:C&gt;=$J$4,'领用录入（明细）'!C:C&lt;=$L$4),ROW(),"-")</f>
        <v>-</v>
      </c>
    </row>
    <row r="21277" customHeight="1" spans="2:2">
      <c r="B21277" s="62" t="str">
        <f>IF(AND('领用录入（明细）'!D:D=$F$4,'领用录入（明细）'!C:C&gt;=$J$4,'领用录入（明细）'!C:C&lt;=$L$4),ROW(),"-")</f>
        <v>-</v>
      </c>
    </row>
    <row r="21278" customHeight="1" spans="2:2">
      <c r="B21278" s="62" t="str">
        <f>IF(AND('领用录入（明细）'!D:D=$F$4,'领用录入（明细）'!C:C&gt;=$J$4,'领用录入（明细）'!C:C&lt;=$L$4),ROW(),"-")</f>
        <v>-</v>
      </c>
    </row>
    <row r="21279" customHeight="1" spans="2:2">
      <c r="B21279" s="62" t="str">
        <f>IF(AND('领用录入（明细）'!D:D=$F$4,'领用录入（明细）'!C:C&gt;=$J$4,'领用录入（明细）'!C:C&lt;=$L$4),ROW(),"-")</f>
        <v>-</v>
      </c>
    </row>
    <row r="21280" customHeight="1" spans="2:2">
      <c r="B21280" s="62" t="str">
        <f>IF(AND('领用录入（明细）'!D:D=$F$4,'领用录入（明细）'!C:C&gt;=$J$4,'领用录入（明细）'!C:C&lt;=$L$4),ROW(),"-")</f>
        <v>-</v>
      </c>
    </row>
    <row r="21281" customHeight="1" spans="2:2">
      <c r="B21281" s="62" t="str">
        <f>IF(AND('领用录入（明细）'!D:D=$F$4,'领用录入（明细）'!C:C&gt;=$J$4,'领用录入（明细）'!C:C&lt;=$L$4),ROW(),"-")</f>
        <v>-</v>
      </c>
    </row>
    <row r="21282" customHeight="1" spans="2:2">
      <c r="B21282" s="62" t="str">
        <f>IF(AND('领用录入（明细）'!D:D=$F$4,'领用录入（明细）'!C:C&gt;=$J$4,'领用录入（明细）'!C:C&lt;=$L$4),ROW(),"-")</f>
        <v>-</v>
      </c>
    </row>
    <row r="21283" customHeight="1" spans="2:2">
      <c r="B21283" s="62" t="str">
        <f>IF(AND('领用录入（明细）'!D:D=$F$4,'领用录入（明细）'!C:C&gt;=$J$4,'领用录入（明细）'!C:C&lt;=$L$4),ROW(),"-")</f>
        <v>-</v>
      </c>
    </row>
    <row r="21284" customHeight="1" spans="2:2">
      <c r="B21284" s="62" t="str">
        <f>IF(AND('领用录入（明细）'!D:D=$F$4,'领用录入（明细）'!C:C&gt;=$J$4,'领用录入（明细）'!C:C&lt;=$L$4),ROW(),"-")</f>
        <v>-</v>
      </c>
    </row>
    <row r="21285" customHeight="1" spans="2:2">
      <c r="B21285" s="62" t="str">
        <f>IF(AND('领用录入（明细）'!D:D=$F$4,'领用录入（明细）'!C:C&gt;=$J$4,'领用录入（明细）'!C:C&lt;=$L$4),ROW(),"-")</f>
        <v>-</v>
      </c>
    </row>
    <row r="21286" customHeight="1" spans="2:2">
      <c r="B21286" s="62" t="str">
        <f>IF(AND('领用录入（明细）'!D:D=$F$4,'领用录入（明细）'!C:C&gt;=$J$4,'领用录入（明细）'!C:C&lt;=$L$4),ROW(),"-")</f>
        <v>-</v>
      </c>
    </row>
    <row r="21287" customHeight="1" spans="2:2">
      <c r="B21287" s="62" t="str">
        <f>IF(AND('领用录入（明细）'!D:D=$F$4,'领用录入（明细）'!C:C&gt;=$J$4,'领用录入（明细）'!C:C&lt;=$L$4),ROW(),"-")</f>
        <v>-</v>
      </c>
    </row>
    <row r="21288" customHeight="1" spans="2:2">
      <c r="B21288" s="62" t="str">
        <f>IF(AND('领用录入（明细）'!D:D=$F$4,'领用录入（明细）'!C:C&gt;=$J$4,'领用录入（明细）'!C:C&lt;=$L$4),ROW(),"-")</f>
        <v>-</v>
      </c>
    </row>
    <row r="21289" customHeight="1" spans="2:2">
      <c r="B21289" s="62" t="str">
        <f>IF(AND('领用录入（明细）'!D:D=$F$4,'领用录入（明细）'!C:C&gt;=$J$4,'领用录入（明细）'!C:C&lt;=$L$4),ROW(),"-")</f>
        <v>-</v>
      </c>
    </row>
    <row r="21290" customHeight="1" spans="2:2">
      <c r="B21290" s="62" t="str">
        <f>IF(AND('领用录入（明细）'!D:D=$F$4,'领用录入（明细）'!C:C&gt;=$J$4,'领用录入（明细）'!C:C&lt;=$L$4),ROW(),"-")</f>
        <v>-</v>
      </c>
    </row>
    <row r="21291" customHeight="1" spans="2:2">
      <c r="B21291" s="62" t="str">
        <f>IF(AND('领用录入（明细）'!D:D=$F$4,'领用录入（明细）'!C:C&gt;=$J$4,'领用录入（明细）'!C:C&lt;=$L$4),ROW(),"-")</f>
        <v>-</v>
      </c>
    </row>
    <row r="21292" customHeight="1" spans="2:2">
      <c r="B21292" s="62" t="str">
        <f>IF(AND('领用录入（明细）'!D:D=$F$4,'领用录入（明细）'!C:C&gt;=$J$4,'领用录入（明细）'!C:C&lt;=$L$4),ROW(),"-")</f>
        <v>-</v>
      </c>
    </row>
    <row r="21293" customHeight="1" spans="2:2">
      <c r="B21293" s="62" t="str">
        <f>IF(AND('领用录入（明细）'!D:D=$F$4,'领用录入（明细）'!C:C&gt;=$J$4,'领用录入（明细）'!C:C&lt;=$L$4),ROW(),"-")</f>
        <v>-</v>
      </c>
    </row>
    <row r="21294" customHeight="1" spans="2:2">
      <c r="B21294" s="62" t="str">
        <f>IF(AND('领用录入（明细）'!D:D=$F$4,'领用录入（明细）'!C:C&gt;=$J$4,'领用录入（明细）'!C:C&lt;=$L$4),ROW(),"-")</f>
        <v>-</v>
      </c>
    </row>
    <row r="21295" customHeight="1" spans="2:2">
      <c r="B21295" s="62" t="str">
        <f>IF(AND('领用录入（明细）'!D:D=$F$4,'领用录入（明细）'!C:C&gt;=$J$4,'领用录入（明细）'!C:C&lt;=$L$4),ROW(),"-")</f>
        <v>-</v>
      </c>
    </row>
    <row r="21296" customHeight="1" spans="2:2">
      <c r="B21296" s="62" t="str">
        <f>IF(AND('领用录入（明细）'!D:D=$F$4,'领用录入（明细）'!C:C&gt;=$J$4,'领用录入（明细）'!C:C&lt;=$L$4),ROW(),"-")</f>
        <v>-</v>
      </c>
    </row>
    <row r="21297" customHeight="1" spans="2:2">
      <c r="B21297" s="62" t="str">
        <f>IF(AND('领用录入（明细）'!D:D=$F$4,'领用录入（明细）'!C:C&gt;=$J$4,'领用录入（明细）'!C:C&lt;=$L$4),ROW(),"-")</f>
        <v>-</v>
      </c>
    </row>
    <row r="21298" customHeight="1" spans="2:2">
      <c r="B21298" s="62" t="str">
        <f>IF(AND('领用录入（明细）'!D:D=$F$4,'领用录入（明细）'!C:C&gt;=$J$4,'领用录入（明细）'!C:C&lt;=$L$4),ROW(),"-")</f>
        <v>-</v>
      </c>
    </row>
    <row r="21299" customHeight="1" spans="2:2">
      <c r="B21299" s="62" t="str">
        <f>IF(AND('领用录入（明细）'!D:D=$F$4,'领用录入（明细）'!C:C&gt;=$J$4,'领用录入（明细）'!C:C&lt;=$L$4),ROW(),"-")</f>
        <v>-</v>
      </c>
    </row>
    <row r="21300" customHeight="1" spans="2:2">
      <c r="B21300" s="62" t="str">
        <f>IF(AND('领用录入（明细）'!D:D=$F$4,'领用录入（明细）'!C:C&gt;=$J$4,'领用录入（明细）'!C:C&lt;=$L$4),ROW(),"-")</f>
        <v>-</v>
      </c>
    </row>
    <row r="21301" customHeight="1" spans="2:2">
      <c r="B21301" s="62" t="str">
        <f>IF(AND('领用录入（明细）'!D:D=$F$4,'领用录入（明细）'!C:C&gt;=$J$4,'领用录入（明细）'!C:C&lt;=$L$4),ROW(),"-")</f>
        <v>-</v>
      </c>
    </row>
    <row r="21302" customHeight="1" spans="2:2">
      <c r="B21302" s="62" t="str">
        <f>IF(AND('领用录入（明细）'!D:D=$F$4,'领用录入（明细）'!C:C&gt;=$J$4,'领用录入（明细）'!C:C&lt;=$L$4),ROW(),"-")</f>
        <v>-</v>
      </c>
    </row>
    <row r="21303" customHeight="1" spans="2:2">
      <c r="B21303" s="62" t="str">
        <f>IF(AND('领用录入（明细）'!D:D=$F$4,'领用录入（明细）'!C:C&gt;=$J$4,'领用录入（明细）'!C:C&lt;=$L$4),ROW(),"-")</f>
        <v>-</v>
      </c>
    </row>
    <row r="21304" customHeight="1" spans="2:2">
      <c r="B21304" s="62" t="str">
        <f>IF(AND('领用录入（明细）'!D:D=$F$4,'领用录入（明细）'!C:C&gt;=$J$4,'领用录入（明细）'!C:C&lt;=$L$4),ROW(),"-")</f>
        <v>-</v>
      </c>
    </row>
    <row r="21305" customHeight="1" spans="2:2">
      <c r="B21305" s="62" t="str">
        <f>IF(AND('领用录入（明细）'!D:D=$F$4,'领用录入（明细）'!C:C&gt;=$J$4,'领用录入（明细）'!C:C&lt;=$L$4),ROW(),"-")</f>
        <v>-</v>
      </c>
    </row>
    <row r="21306" customHeight="1" spans="2:2">
      <c r="B21306" s="62" t="str">
        <f>IF(AND('领用录入（明细）'!D:D=$F$4,'领用录入（明细）'!C:C&gt;=$J$4,'领用录入（明细）'!C:C&lt;=$L$4),ROW(),"-")</f>
        <v>-</v>
      </c>
    </row>
    <row r="21307" customHeight="1" spans="2:2">
      <c r="B21307" s="62" t="str">
        <f>IF(AND('领用录入（明细）'!D:D=$F$4,'领用录入（明细）'!C:C&gt;=$J$4,'领用录入（明细）'!C:C&lt;=$L$4),ROW(),"-")</f>
        <v>-</v>
      </c>
    </row>
    <row r="21308" customHeight="1" spans="2:2">
      <c r="B21308" s="62" t="str">
        <f>IF(AND('领用录入（明细）'!D:D=$F$4,'领用录入（明细）'!C:C&gt;=$J$4,'领用录入（明细）'!C:C&lt;=$L$4),ROW(),"-")</f>
        <v>-</v>
      </c>
    </row>
    <row r="21309" customHeight="1" spans="2:2">
      <c r="B21309" s="62" t="str">
        <f>IF(AND('领用录入（明细）'!D:D=$F$4,'领用录入（明细）'!C:C&gt;=$J$4,'领用录入（明细）'!C:C&lt;=$L$4),ROW(),"-")</f>
        <v>-</v>
      </c>
    </row>
    <row r="21310" customHeight="1" spans="2:2">
      <c r="B21310" s="62" t="str">
        <f>IF(AND('领用录入（明细）'!D:D=$F$4,'领用录入（明细）'!C:C&gt;=$J$4,'领用录入（明细）'!C:C&lt;=$L$4),ROW(),"-")</f>
        <v>-</v>
      </c>
    </row>
    <row r="21311" customHeight="1" spans="2:2">
      <c r="B21311" s="62" t="str">
        <f>IF(AND('领用录入（明细）'!D:D=$F$4,'领用录入（明细）'!C:C&gt;=$J$4,'领用录入（明细）'!C:C&lt;=$L$4),ROW(),"-")</f>
        <v>-</v>
      </c>
    </row>
    <row r="21312" customHeight="1" spans="2:2">
      <c r="B21312" s="62" t="str">
        <f>IF(AND('领用录入（明细）'!D:D=$F$4,'领用录入（明细）'!C:C&gt;=$J$4,'领用录入（明细）'!C:C&lt;=$L$4),ROW(),"-")</f>
        <v>-</v>
      </c>
    </row>
    <row r="21313" customHeight="1" spans="2:2">
      <c r="B21313" s="62" t="str">
        <f>IF(AND('领用录入（明细）'!D:D=$F$4,'领用录入（明细）'!C:C&gt;=$J$4,'领用录入（明细）'!C:C&lt;=$L$4),ROW(),"-")</f>
        <v>-</v>
      </c>
    </row>
    <row r="21314" customHeight="1" spans="2:2">
      <c r="B21314" s="62" t="str">
        <f>IF(AND('领用录入（明细）'!D:D=$F$4,'领用录入（明细）'!C:C&gt;=$J$4,'领用录入（明细）'!C:C&lt;=$L$4),ROW(),"-")</f>
        <v>-</v>
      </c>
    </row>
    <row r="21315" customHeight="1" spans="2:2">
      <c r="B21315" s="62" t="str">
        <f>IF(AND('领用录入（明细）'!D:D=$F$4,'领用录入（明细）'!C:C&gt;=$J$4,'领用录入（明细）'!C:C&lt;=$L$4),ROW(),"-")</f>
        <v>-</v>
      </c>
    </row>
    <row r="21316" customHeight="1" spans="2:2">
      <c r="B21316" s="62" t="str">
        <f>IF(AND('领用录入（明细）'!D:D=$F$4,'领用录入（明细）'!C:C&gt;=$J$4,'领用录入（明细）'!C:C&lt;=$L$4),ROW(),"-")</f>
        <v>-</v>
      </c>
    </row>
    <row r="21317" customHeight="1" spans="2:2">
      <c r="B21317" s="62" t="str">
        <f>IF(AND('领用录入（明细）'!D:D=$F$4,'领用录入（明细）'!C:C&gt;=$J$4,'领用录入（明细）'!C:C&lt;=$L$4),ROW(),"-")</f>
        <v>-</v>
      </c>
    </row>
    <row r="21318" customHeight="1" spans="2:2">
      <c r="B21318" s="62" t="str">
        <f>IF(AND('领用录入（明细）'!D:D=$F$4,'领用录入（明细）'!C:C&gt;=$J$4,'领用录入（明细）'!C:C&lt;=$L$4),ROW(),"-")</f>
        <v>-</v>
      </c>
    </row>
    <row r="21319" customHeight="1" spans="2:2">
      <c r="B21319" s="62" t="str">
        <f>IF(AND('领用录入（明细）'!D:D=$F$4,'领用录入（明细）'!C:C&gt;=$J$4,'领用录入（明细）'!C:C&lt;=$L$4),ROW(),"-")</f>
        <v>-</v>
      </c>
    </row>
    <row r="21320" customHeight="1" spans="2:2">
      <c r="B21320" s="62" t="str">
        <f>IF(AND('领用录入（明细）'!D:D=$F$4,'领用录入（明细）'!C:C&gt;=$J$4,'领用录入（明细）'!C:C&lt;=$L$4),ROW(),"-")</f>
        <v>-</v>
      </c>
    </row>
    <row r="21321" customHeight="1" spans="2:2">
      <c r="B21321" s="62" t="str">
        <f>IF(AND('领用录入（明细）'!D:D=$F$4,'领用录入（明细）'!C:C&gt;=$J$4,'领用录入（明细）'!C:C&lt;=$L$4),ROW(),"-")</f>
        <v>-</v>
      </c>
    </row>
    <row r="21322" customHeight="1" spans="2:2">
      <c r="B21322" s="62" t="str">
        <f>IF(AND('领用录入（明细）'!D:D=$F$4,'领用录入（明细）'!C:C&gt;=$J$4,'领用录入（明细）'!C:C&lt;=$L$4),ROW(),"-")</f>
        <v>-</v>
      </c>
    </row>
    <row r="21323" customHeight="1" spans="2:2">
      <c r="B21323" s="62" t="str">
        <f>IF(AND('领用录入（明细）'!D:D=$F$4,'领用录入（明细）'!C:C&gt;=$J$4,'领用录入（明细）'!C:C&lt;=$L$4),ROW(),"-")</f>
        <v>-</v>
      </c>
    </row>
    <row r="21324" customHeight="1" spans="2:2">
      <c r="B21324" s="62" t="str">
        <f>IF(AND('领用录入（明细）'!D:D=$F$4,'领用录入（明细）'!C:C&gt;=$J$4,'领用录入（明细）'!C:C&lt;=$L$4),ROW(),"-")</f>
        <v>-</v>
      </c>
    </row>
    <row r="21325" customHeight="1" spans="2:2">
      <c r="B21325" s="62" t="str">
        <f>IF(AND('领用录入（明细）'!D:D=$F$4,'领用录入（明细）'!C:C&gt;=$J$4,'领用录入（明细）'!C:C&lt;=$L$4),ROW(),"-")</f>
        <v>-</v>
      </c>
    </row>
    <row r="21326" customHeight="1" spans="2:2">
      <c r="B21326" s="62" t="str">
        <f>IF(AND('领用录入（明细）'!D:D=$F$4,'领用录入（明细）'!C:C&gt;=$J$4,'领用录入（明细）'!C:C&lt;=$L$4),ROW(),"-")</f>
        <v>-</v>
      </c>
    </row>
    <row r="21327" customHeight="1" spans="2:2">
      <c r="B21327" s="62" t="str">
        <f>IF(AND('领用录入（明细）'!D:D=$F$4,'领用录入（明细）'!C:C&gt;=$J$4,'领用录入（明细）'!C:C&lt;=$L$4),ROW(),"-")</f>
        <v>-</v>
      </c>
    </row>
    <row r="21328" customHeight="1" spans="2:2">
      <c r="B21328" s="62" t="str">
        <f>IF(AND('领用录入（明细）'!D:D=$F$4,'领用录入（明细）'!C:C&gt;=$J$4,'领用录入（明细）'!C:C&lt;=$L$4),ROW(),"-")</f>
        <v>-</v>
      </c>
    </row>
    <row r="21329" customHeight="1" spans="2:2">
      <c r="B21329" s="62" t="str">
        <f>IF(AND('领用录入（明细）'!D:D=$F$4,'领用录入（明细）'!C:C&gt;=$J$4,'领用录入（明细）'!C:C&lt;=$L$4),ROW(),"-")</f>
        <v>-</v>
      </c>
    </row>
    <row r="21330" customHeight="1" spans="2:2">
      <c r="B21330" s="62" t="str">
        <f>IF(AND('领用录入（明细）'!D:D=$F$4,'领用录入（明细）'!C:C&gt;=$J$4,'领用录入（明细）'!C:C&lt;=$L$4),ROW(),"-")</f>
        <v>-</v>
      </c>
    </row>
    <row r="21331" customHeight="1" spans="2:2">
      <c r="B21331" s="62" t="str">
        <f>IF(AND('领用录入（明细）'!D:D=$F$4,'领用录入（明细）'!C:C&gt;=$J$4,'领用录入（明细）'!C:C&lt;=$L$4),ROW(),"-")</f>
        <v>-</v>
      </c>
    </row>
    <row r="21332" customHeight="1" spans="2:2">
      <c r="B21332" s="62" t="str">
        <f>IF(AND('领用录入（明细）'!D:D=$F$4,'领用录入（明细）'!C:C&gt;=$J$4,'领用录入（明细）'!C:C&lt;=$L$4),ROW(),"-")</f>
        <v>-</v>
      </c>
    </row>
    <row r="21333" customHeight="1" spans="2:2">
      <c r="B21333" s="62" t="str">
        <f>IF(AND('领用录入（明细）'!D:D=$F$4,'领用录入（明细）'!C:C&gt;=$J$4,'领用录入（明细）'!C:C&lt;=$L$4),ROW(),"-")</f>
        <v>-</v>
      </c>
    </row>
    <row r="21334" customHeight="1" spans="2:2">
      <c r="B21334" s="62" t="str">
        <f>IF(AND('领用录入（明细）'!D:D=$F$4,'领用录入（明细）'!C:C&gt;=$J$4,'领用录入（明细）'!C:C&lt;=$L$4),ROW(),"-")</f>
        <v>-</v>
      </c>
    </row>
    <row r="21335" customHeight="1" spans="2:2">
      <c r="B21335" s="62" t="str">
        <f>IF(AND('领用录入（明细）'!D:D=$F$4,'领用录入（明细）'!C:C&gt;=$J$4,'领用录入（明细）'!C:C&lt;=$L$4),ROW(),"-")</f>
        <v>-</v>
      </c>
    </row>
    <row r="21336" customHeight="1" spans="2:2">
      <c r="B21336" s="62" t="str">
        <f>IF(AND('领用录入（明细）'!D:D=$F$4,'领用录入（明细）'!C:C&gt;=$J$4,'领用录入（明细）'!C:C&lt;=$L$4),ROW(),"-")</f>
        <v>-</v>
      </c>
    </row>
    <row r="21337" customHeight="1" spans="2:2">
      <c r="B21337" s="62" t="str">
        <f>IF(AND('领用录入（明细）'!D:D=$F$4,'领用录入（明细）'!C:C&gt;=$J$4,'领用录入（明细）'!C:C&lt;=$L$4),ROW(),"-")</f>
        <v>-</v>
      </c>
    </row>
    <row r="21338" customHeight="1" spans="2:2">
      <c r="B21338" s="62" t="str">
        <f>IF(AND('领用录入（明细）'!D:D=$F$4,'领用录入（明细）'!C:C&gt;=$J$4,'领用录入（明细）'!C:C&lt;=$L$4),ROW(),"-")</f>
        <v>-</v>
      </c>
    </row>
    <row r="21339" customHeight="1" spans="2:2">
      <c r="B21339" s="62" t="str">
        <f>IF(AND('领用录入（明细）'!D:D=$F$4,'领用录入（明细）'!C:C&gt;=$J$4,'领用录入（明细）'!C:C&lt;=$L$4),ROW(),"-")</f>
        <v>-</v>
      </c>
    </row>
    <row r="21340" customHeight="1" spans="2:2">
      <c r="B21340" s="62" t="str">
        <f>IF(AND('领用录入（明细）'!D:D=$F$4,'领用录入（明细）'!C:C&gt;=$J$4,'领用录入（明细）'!C:C&lt;=$L$4),ROW(),"-")</f>
        <v>-</v>
      </c>
    </row>
    <row r="21341" customHeight="1" spans="2:2">
      <c r="B21341" s="62" t="str">
        <f>IF(AND('领用录入（明细）'!D:D=$F$4,'领用录入（明细）'!C:C&gt;=$J$4,'领用录入（明细）'!C:C&lt;=$L$4),ROW(),"-")</f>
        <v>-</v>
      </c>
    </row>
    <row r="21342" customHeight="1" spans="2:2">
      <c r="B21342" s="62" t="str">
        <f>IF(AND('领用录入（明细）'!D:D=$F$4,'领用录入（明细）'!C:C&gt;=$J$4,'领用录入（明细）'!C:C&lt;=$L$4),ROW(),"-")</f>
        <v>-</v>
      </c>
    </row>
    <row r="21343" customHeight="1" spans="2:2">
      <c r="B21343" s="62" t="str">
        <f>IF(AND('领用录入（明细）'!D:D=$F$4,'领用录入（明细）'!C:C&gt;=$J$4,'领用录入（明细）'!C:C&lt;=$L$4),ROW(),"-")</f>
        <v>-</v>
      </c>
    </row>
    <row r="21344" customHeight="1" spans="2:2">
      <c r="B21344" s="62" t="str">
        <f>IF(AND('领用录入（明细）'!D:D=$F$4,'领用录入（明细）'!C:C&gt;=$J$4,'领用录入（明细）'!C:C&lt;=$L$4),ROW(),"-")</f>
        <v>-</v>
      </c>
    </row>
    <row r="21345" customHeight="1" spans="2:2">
      <c r="B21345" s="62" t="str">
        <f>IF(AND('领用录入（明细）'!D:D=$F$4,'领用录入（明细）'!C:C&gt;=$J$4,'领用录入（明细）'!C:C&lt;=$L$4),ROW(),"-")</f>
        <v>-</v>
      </c>
    </row>
    <row r="21346" customHeight="1" spans="2:2">
      <c r="B21346" s="62" t="str">
        <f>IF(AND('领用录入（明细）'!D:D=$F$4,'领用录入（明细）'!C:C&gt;=$J$4,'领用录入（明细）'!C:C&lt;=$L$4),ROW(),"-")</f>
        <v>-</v>
      </c>
    </row>
    <row r="21347" customHeight="1" spans="2:2">
      <c r="B21347" s="62" t="str">
        <f>IF(AND('领用录入（明细）'!D:D=$F$4,'领用录入（明细）'!C:C&gt;=$J$4,'领用录入（明细）'!C:C&lt;=$L$4),ROW(),"-")</f>
        <v>-</v>
      </c>
    </row>
    <row r="21348" customHeight="1" spans="2:2">
      <c r="B21348" s="62" t="str">
        <f>IF(AND('领用录入（明细）'!D:D=$F$4,'领用录入（明细）'!C:C&gt;=$J$4,'领用录入（明细）'!C:C&lt;=$L$4),ROW(),"-")</f>
        <v>-</v>
      </c>
    </row>
    <row r="21349" customHeight="1" spans="2:2">
      <c r="B21349" s="62" t="str">
        <f>IF(AND('领用录入（明细）'!D:D=$F$4,'领用录入（明细）'!C:C&gt;=$J$4,'领用录入（明细）'!C:C&lt;=$L$4),ROW(),"-")</f>
        <v>-</v>
      </c>
    </row>
    <row r="21350" customHeight="1" spans="2:2">
      <c r="B21350" s="62" t="str">
        <f>IF(AND('领用录入（明细）'!D:D=$F$4,'领用录入（明细）'!C:C&gt;=$J$4,'领用录入（明细）'!C:C&lt;=$L$4),ROW(),"-")</f>
        <v>-</v>
      </c>
    </row>
    <row r="21351" customHeight="1" spans="2:2">
      <c r="B21351" s="62" t="str">
        <f>IF(AND('领用录入（明细）'!D:D=$F$4,'领用录入（明细）'!C:C&gt;=$J$4,'领用录入（明细）'!C:C&lt;=$L$4),ROW(),"-")</f>
        <v>-</v>
      </c>
    </row>
    <row r="21352" customHeight="1" spans="2:2">
      <c r="B21352" s="62" t="str">
        <f>IF(AND('领用录入（明细）'!D:D=$F$4,'领用录入（明细）'!C:C&gt;=$J$4,'领用录入（明细）'!C:C&lt;=$L$4),ROW(),"-")</f>
        <v>-</v>
      </c>
    </row>
    <row r="21353" customHeight="1" spans="2:2">
      <c r="B21353" s="62" t="str">
        <f>IF(AND('领用录入（明细）'!D:D=$F$4,'领用录入（明细）'!C:C&gt;=$J$4,'领用录入（明细）'!C:C&lt;=$L$4),ROW(),"-")</f>
        <v>-</v>
      </c>
    </row>
    <row r="21354" customHeight="1" spans="2:2">
      <c r="B21354" s="62" t="str">
        <f>IF(AND('领用录入（明细）'!D:D=$F$4,'领用录入（明细）'!C:C&gt;=$J$4,'领用录入（明细）'!C:C&lt;=$L$4),ROW(),"-")</f>
        <v>-</v>
      </c>
    </row>
    <row r="21355" customHeight="1" spans="2:2">
      <c r="B21355" s="62" t="str">
        <f>IF(AND('领用录入（明细）'!D:D=$F$4,'领用录入（明细）'!C:C&gt;=$J$4,'领用录入（明细）'!C:C&lt;=$L$4),ROW(),"-")</f>
        <v>-</v>
      </c>
    </row>
    <row r="21356" customHeight="1" spans="2:2">
      <c r="B21356" s="62" t="str">
        <f>IF(AND('领用录入（明细）'!D:D=$F$4,'领用录入（明细）'!C:C&gt;=$J$4,'领用录入（明细）'!C:C&lt;=$L$4),ROW(),"-")</f>
        <v>-</v>
      </c>
    </row>
    <row r="21357" customHeight="1" spans="2:2">
      <c r="B21357" s="62" t="str">
        <f>IF(AND('领用录入（明细）'!D:D=$F$4,'领用录入（明细）'!C:C&gt;=$J$4,'领用录入（明细）'!C:C&lt;=$L$4),ROW(),"-")</f>
        <v>-</v>
      </c>
    </row>
    <row r="21358" customHeight="1" spans="2:2">
      <c r="B21358" s="62" t="str">
        <f>IF(AND('领用录入（明细）'!D:D=$F$4,'领用录入（明细）'!C:C&gt;=$J$4,'领用录入（明细）'!C:C&lt;=$L$4),ROW(),"-")</f>
        <v>-</v>
      </c>
    </row>
    <row r="21359" customHeight="1" spans="2:2">
      <c r="B21359" s="62" t="str">
        <f>IF(AND('领用录入（明细）'!D:D=$F$4,'领用录入（明细）'!C:C&gt;=$J$4,'领用录入（明细）'!C:C&lt;=$L$4),ROW(),"-")</f>
        <v>-</v>
      </c>
    </row>
    <row r="21360" customHeight="1" spans="2:2">
      <c r="B21360" s="62" t="str">
        <f>IF(AND('领用录入（明细）'!D:D=$F$4,'领用录入（明细）'!C:C&gt;=$J$4,'领用录入（明细）'!C:C&lt;=$L$4),ROW(),"-")</f>
        <v>-</v>
      </c>
    </row>
    <row r="21361" customHeight="1" spans="2:2">
      <c r="B21361" s="62" t="str">
        <f>IF(AND('领用录入（明细）'!D:D=$F$4,'领用录入（明细）'!C:C&gt;=$J$4,'领用录入（明细）'!C:C&lt;=$L$4),ROW(),"-")</f>
        <v>-</v>
      </c>
    </row>
    <row r="21362" customHeight="1" spans="2:2">
      <c r="B21362" s="62" t="str">
        <f>IF(AND('领用录入（明细）'!D:D=$F$4,'领用录入（明细）'!C:C&gt;=$J$4,'领用录入（明细）'!C:C&lt;=$L$4),ROW(),"-")</f>
        <v>-</v>
      </c>
    </row>
    <row r="21363" customHeight="1" spans="2:2">
      <c r="B21363" s="62" t="str">
        <f>IF(AND('领用录入（明细）'!D:D=$F$4,'领用录入（明细）'!C:C&gt;=$J$4,'领用录入（明细）'!C:C&lt;=$L$4),ROW(),"-")</f>
        <v>-</v>
      </c>
    </row>
    <row r="21364" customHeight="1" spans="2:2">
      <c r="B21364" s="62" t="str">
        <f>IF(AND('领用录入（明细）'!D:D=$F$4,'领用录入（明细）'!C:C&gt;=$J$4,'领用录入（明细）'!C:C&lt;=$L$4),ROW(),"-")</f>
        <v>-</v>
      </c>
    </row>
    <row r="21365" customHeight="1" spans="2:2">
      <c r="B21365" s="62" t="str">
        <f>IF(AND('领用录入（明细）'!D:D=$F$4,'领用录入（明细）'!C:C&gt;=$J$4,'领用录入（明细）'!C:C&lt;=$L$4),ROW(),"-")</f>
        <v>-</v>
      </c>
    </row>
    <row r="21366" customHeight="1" spans="2:2">
      <c r="B21366" s="62" t="str">
        <f>IF(AND('领用录入（明细）'!D:D=$F$4,'领用录入（明细）'!C:C&gt;=$J$4,'领用录入（明细）'!C:C&lt;=$L$4),ROW(),"-")</f>
        <v>-</v>
      </c>
    </row>
    <row r="21367" customHeight="1" spans="2:2">
      <c r="B21367" s="62" t="str">
        <f>IF(AND('领用录入（明细）'!D:D=$F$4,'领用录入（明细）'!C:C&gt;=$J$4,'领用录入（明细）'!C:C&lt;=$L$4),ROW(),"-")</f>
        <v>-</v>
      </c>
    </row>
    <row r="21368" customHeight="1" spans="2:2">
      <c r="B21368" s="62" t="str">
        <f>IF(AND('领用录入（明细）'!D:D=$F$4,'领用录入（明细）'!C:C&gt;=$J$4,'领用录入（明细）'!C:C&lt;=$L$4),ROW(),"-")</f>
        <v>-</v>
      </c>
    </row>
    <row r="21369" customHeight="1" spans="2:2">
      <c r="B21369" s="62" t="str">
        <f>IF(AND('领用录入（明细）'!D:D=$F$4,'领用录入（明细）'!C:C&gt;=$J$4,'领用录入（明细）'!C:C&lt;=$L$4),ROW(),"-")</f>
        <v>-</v>
      </c>
    </row>
    <row r="21370" customHeight="1" spans="2:2">
      <c r="B21370" s="62" t="str">
        <f>IF(AND('领用录入（明细）'!D:D=$F$4,'领用录入（明细）'!C:C&gt;=$J$4,'领用录入（明细）'!C:C&lt;=$L$4),ROW(),"-")</f>
        <v>-</v>
      </c>
    </row>
    <row r="21371" customHeight="1" spans="2:2">
      <c r="B21371" s="62" t="str">
        <f>IF(AND('领用录入（明细）'!D:D=$F$4,'领用录入（明细）'!C:C&gt;=$J$4,'领用录入（明细）'!C:C&lt;=$L$4),ROW(),"-")</f>
        <v>-</v>
      </c>
    </row>
    <row r="21372" customHeight="1" spans="2:2">
      <c r="B21372" s="62" t="str">
        <f>IF(AND('领用录入（明细）'!D:D=$F$4,'领用录入（明细）'!C:C&gt;=$J$4,'领用录入（明细）'!C:C&lt;=$L$4),ROW(),"-")</f>
        <v>-</v>
      </c>
    </row>
    <row r="21373" customHeight="1" spans="2:2">
      <c r="B21373" s="62" t="str">
        <f>IF(AND('领用录入（明细）'!D:D=$F$4,'领用录入（明细）'!C:C&gt;=$J$4,'领用录入（明细）'!C:C&lt;=$L$4),ROW(),"-")</f>
        <v>-</v>
      </c>
    </row>
    <row r="21374" customHeight="1" spans="2:2">
      <c r="B21374" s="62" t="str">
        <f>IF(AND('领用录入（明细）'!D:D=$F$4,'领用录入（明细）'!C:C&gt;=$J$4,'领用录入（明细）'!C:C&lt;=$L$4),ROW(),"-")</f>
        <v>-</v>
      </c>
    </row>
    <row r="21375" customHeight="1" spans="2:2">
      <c r="B21375" s="62" t="str">
        <f>IF(AND('领用录入（明细）'!D:D=$F$4,'领用录入（明细）'!C:C&gt;=$J$4,'领用录入（明细）'!C:C&lt;=$L$4),ROW(),"-")</f>
        <v>-</v>
      </c>
    </row>
    <row r="21376" customHeight="1" spans="2:2">
      <c r="B21376" s="62" t="str">
        <f>IF(AND('领用录入（明细）'!D:D=$F$4,'领用录入（明细）'!C:C&gt;=$J$4,'领用录入（明细）'!C:C&lt;=$L$4),ROW(),"-")</f>
        <v>-</v>
      </c>
    </row>
    <row r="21377" customHeight="1" spans="2:2">
      <c r="B21377" s="62" t="str">
        <f>IF(AND('领用录入（明细）'!D:D=$F$4,'领用录入（明细）'!C:C&gt;=$J$4,'领用录入（明细）'!C:C&lt;=$L$4),ROW(),"-")</f>
        <v>-</v>
      </c>
    </row>
    <row r="21378" customHeight="1" spans="2:2">
      <c r="B21378" s="62" t="str">
        <f>IF(AND('领用录入（明细）'!D:D=$F$4,'领用录入（明细）'!C:C&gt;=$J$4,'领用录入（明细）'!C:C&lt;=$L$4),ROW(),"-")</f>
        <v>-</v>
      </c>
    </row>
    <row r="21379" customHeight="1" spans="2:2">
      <c r="B21379" s="62" t="str">
        <f>IF(AND('领用录入（明细）'!D:D=$F$4,'领用录入（明细）'!C:C&gt;=$J$4,'领用录入（明细）'!C:C&lt;=$L$4),ROW(),"-")</f>
        <v>-</v>
      </c>
    </row>
    <row r="21380" customHeight="1" spans="2:2">
      <c r="B21380" s="62" t="str">
        <f>IF(AND('领用录入（明细）'!D:D=$F$4,'领用录入（明细）'!C:C&gt;=$J$4,'领用录入（明细）'!C:C&lt;=$L$4),ROW(),"-")</f>
        <v>-</v>
      </c>
    </row>
    <row r="21381" customHeight="1" spans="2:2">
      <c r="B21381" s="62" t="str">
        <f>IF(AND('领用录入（明细）'!D:D=$F$4,'领用录入（明细）'!C:C&gt;=$J$4,'领用录入（明细）'!C:C&lt;=$L$4),ROW(),"-")</f>
        <v>-</v>
      </c>
    </row>
    <row r="21382" customHeight="1" spans="2:2">
      <c r="B21382" s="62" t="str">
        <f>IF(AND('领用录入（明细）'!D:D=$F$4,'领用录入（明细）'!C:C&gt;=$J$4,'领用录入（明细）'!C:C&lt;=$L$4),ROW(),"-")</f>
        <v>-</v>
      </c>
    </row>
    <row r="21383" customHeight="1" spans="2:2">
      <c r="B21383" s="62" t="str">
        <f>IF(AND('领用录入（明细）'!D:D=$F$4,'领用录入（明细）'!C:C&gt;=$J$4,'领用录入（明细）'!C:C&lt;=$L$4),ROW(),"-")</f>
        <v>-</v>
      </c>
    </row>
    <row r="21384" customHeight="1" spans="2:2">
      <c r="B21384" s="62" t="str">
        <f>IF(AND('领用录入（明细）'!D:D=$F$4,'领用录入（明细）'!C:C&gt;=$J$4,'领用录入（明细）'!C:C&lt;=$L$4),ROW(),"-")</f>
        <v>-</v>
      </c>
    </row>
    <row r="21385" customHeight="1" spans="2:2">
      <c r="B21385" s="62" t="str">
        <f>IF(AND('领用录入（明细）'!D:D=$F$4,'领用录入（明细）'!C:C&gt;=$J$4,'领用录入（明细）'!C:C&lt;=$L$4),ROW(),"-")</f>
        <v>-</v>
      </c>
    </row>
    <row r="21386" customHeight="1" spans="2:2">
      <c r="B21386" s="62" t="str">
        <f>IF(AND('领用录入（明细）'!D:D=$F$4,'领用录入（明细）'!C:C&gt;=$J$4,'领用录入（明细）'!C:C&lt;=$L$4),ROW(),"-")</f>
        <v>-</v>
      </c>
    </row>
    <row r="21387" customHeight="1" spans="2:2">
      <c r="B21387" s="62" t="str">
        <f>IF(AND('领用录入（明细）'!D:D=$F$4,'领用录入（明细）'!C:C&gt;=$J$4,'领用录入（明细）'!C:C&lt;=$L$4),ROW(),"-")</f>
        <v>-</v>
      </c>
    </row>
    <row r="21388" customHeight="1" spans="2:2">
      <c r="B21388" s="62" t="str">
        <f>IF(AND('领用录入（明细）'!D:D=$F$4,'领用录入（明细）'!C:C&gt;=$J$4,'领用录入（明细）'!C:C&lt;=$L$4),ROW(),"-")</f>
        <v>-</v>
      </c>
    </row>
    <row r="21389" customHeight="1" spans="2:2">
      <c r="B21389" s="62" t="str">
        <f>IF(AND('领用录入（明细）'!D:D=$F$4,'领用录入（明细）'!C:C&gt;=$J$4,'领用录入（明细）'!C:C&lt;=$L$4),ROW(),"-")</f>
        <v>-</v>
      </c>
    </row>
    <row r="21390" customHeight="1" spans="2:2">
      <c r="B21390" s="62" t="str">
        <f>IF(AND('领用录入（明细）'!D:D=$F$4,'领用录入（明细）'!C:C&gt;=$J$4,'领用录入（明细）'!C:C&lt;=$L$4),ROW(),"-")</f>
        <v>-</v>
      </c>
    </row>
    <row r="21391" customHeight="1" spans="2:2">
      <c r="B21391" s="62" t="str">
        <f>IF(AND('领用录入（明细）'!D:D=$F$4,'领用录入（明细）'!C:C&gt;=$J$4,'领用录入（明细）'!C:C&lt;=$L$4),ROW(),"-")</f>
        <v>-</v>
      </c>
    </row>
    <row r="21392" customHeight="1" spans="2:2">
      <c r="B21392" s="62" t="str">
        <f>IF(AND('领用录入（明细）'!D:D=$F$4,'领用录入（明细）'!C:C&gt;=$J$4,'领用录入（明细）'!C:C&lt;=$L$4),ROW(),"-")</f>
        <v>-</v>
      </c>
    </row>
    <row r="21393" customHeight="1" spans="2:2">
      <c r="B21393" s="62" t="str">
        <f>IF(AND('领用录入（明细）'!D:D=$F$4,'领用录入（明细）'!C:C&gt;=$J$4,'领用录入（明细）'!C:C&lt;=$L$4),ROW(),"-")</f>
        <v>-</v>
      </c>
    </row>
    <row r="21394" customHeight="1" spans="2:2">
      <c r="B21394" s="62" t="str">
        <f>IF(AND('领用录入（明细）'!D:D=$F$4,'领用录入（明细）'!C:C&gt;=$J$4,'领用录入（明细）'!C:C&lt;=$L$4),ROW(),"-")</f>
        <v>-</v>
      </c>
    </row>
    <row r="21395" customHeight="1" spans="2:2">
      <c r="B21395" s="62" t="str">
        <f>IF(AND('领用录入（明细）'!D:D=$F$4,'领用录入（明细）'!C:C&gt;=$J$4,'领用录入（明细）'!C:C&lt;=$L$4),ROW(),"-")</f>
        <v>-</v>
      </c>
    </row>
    <row r="21396" customHeight="1" spans="2:2">
      <c r="B21396" s="62" t="str">
        <f>IF(AND('领用录入（明细）'!D:D=$F$4,'领用录入（明细）'!C:C&gt;=$J$4,'领用录入（明细）'!C:C&lt;=$L$4),ROW(),"-")</f>
        <v>-</v>
      </c>
    </row>
    <row r="21397" customHeight="1" spans="2:2">
      <c r="B21397" s="62" t="str">
        <f>IF(AND('领用录入（明细）'!D:D=$F$4,'领用录入（明细）'!C:C&gt;=$J$4,'领用录入（明细）'!C:C&lt;=$L$4),ROW(),"-")</f>
        <v>-</v>
      </c>
    </row>
    <row r="21398" customHeight="1" spans="2:2">
      <c r="B21398" s="62" t="str">
        <f>IF(AND('领用录入（明细）'!D:D=$F$4,'领用录入（明细）'!C:C&gt;=$J$4,'领用录入（明细）'!C:C&lt;=$L$4),ROW(),"-")</f>
        <v>-</v>
      </c>
    </row>
    <row r="21399" customHeight="1" spans="2:2">
      <c r="B21399" s="62" t="str">
        <f>IF(AND('领用录入（明细）'!D:D=$F$4,'领用录入（明细）'!C:C&gt;=$J$4,'领用录入（明细）'!C:C&lt;=$L$4),ROW(),"-")</f>
        <v>-</v>
      </c>
    </row>
    <row r="21400" customHeight="1" spans="2:2">
      <c r="B21400" s="62" t="str">
        <f>IF(AND('领用录入（明细）'!D:D=$F$4,'领用录入（明细）'!C:C&gt;=$J$4,'领用录入（明细）'!C:C&lt;=$L$4),ROW(),"-")</f>
        <v>-</v>
      </c>
    </row>
    <row r="21401" customHeight="1" spans="2:2">
      <c r="B21401" s="62" t="str">
        <f>IF(AND('领用录入（明细）'!D:D=$F$4,'领用录入（明细）'!C:C&gt;=$J$4,'领用录入（明细）'!C:C&lt;=$L$4),ROW(),"-")</f>
        <v>-</v>
      </c>
    </row>
    <row r="21402" customHeight="1" spans="2:2">
      <c r="B21402" s="62" t="str">
        <f>IF(AND('领用录入（明细）'!D:D=$F$4,'领用录入（明细）'!C:C&gt;=$J$4,'领用录入（明细）'!C:C&lt;=$L$4),ROW(),"-")</f>
        <v>-</v>
      </c>
    </row>
    <row r="21403" customHeight="1" spans="2:2">
      <c r="B21403" s="62" t="str">
        <f>IF(AND('领用录入（明细）'!D:D=$F$4,'领用录入（明细）'!C:C&gt;=$J$4,'领用录入（明细）'!C:C&lt;=$L$4),ROW(),"-")</f>
        <v>-</v>
      </c>
    </row>
    <row r="21404" customHeight="1" spans="2:2">
      <c r="B21404" s="62" t="str">
        <f>IF(AND('领用录入（明细）'!D:D=$F$4,'领用录入（明细）'!C:C&gt;=$J$4,'领用录入（明细）'!C:C&lt;=$L$4),ROW(),"-")</f>
        <v>-</v>
      </c>
    </row>
    <row r="21405" customHeight="1" spans="2:2">
      <c r="B21405" s="62" t="str">
        <f>IF(AND('领用录入（明细）'!D:D=$F$4,'领用录入（明细）'!C:C&gt;=$J$4,'领用录入（明细）'!C:C&lt;=$L$4),ROW(),"-")</f>
        <v>-</v>
      </c>
    </row>
    <row r="21406" customHeight="1" spans="2:2">
      <c r="B21406" s="62" t="str">
        <f>IF(AND('领用录入（明细）'!D:D=$F$4,'领用录入（明细）'!C:C&gt;=$J$4,'领用录入（明细）'!C:C&lt;=$L$4),ROW(),"-")</f>
        <v>-</v>
      </c>
    </row>
    <row r="21407" customHeight="1" spans="2:2">
      <c r="B21407" s="62" t="str">
        <f>IF(AND('领用录入（明细）'!D:D=$F$4,'领用录入（明细）'!C:C&gt;=$J$4,'领用录入（明细）'!C:C&lt;=$L$4),ROW(),"-")</f>
        <v>-</v>
      </c>
    </row>
    <row r="21408" customHeight="1" spans="2:2">
      <c r="B21408" s="62" t="str">
        <f>IF(AND('领用录入（明细）'!D:D=$F$4,'领用录入（明细）'!C:C&gt;=$J$4,'领用录入（明细）'!C:C&lt;=$L$4),ROW(),"-")</f>
        <v>-</v>
      </c>
    </row>
    <row r="21409" customHeight="1" spans="2:2">
      <c r="B21409" s="62" t="str">
        <f>IF(AND('领用录入（明细）'!D:D=$F$4,'领用录入（明细）'!C:C&gt;=$J$4,'领用录入（明细）'!C:C&lt;=$L$4),ROW(),"-")</f>
        <v>-</v>
      </c>
    </row>
    <row r="21410" customHeight="1" spans="2:2">
      <c r="B21410" s="62" t="str">
        <f>IF(AND('领用录入（明细）'!D:D=$F$4,'领用录入（明细）'!C:C&gt;=$J$4,'领用录入（明细）'!C:C&lt;=$L$4),ROW(),"-")</f>
        <v>-</v>
      </c>
    </row>
    <row r="21411" customHeight="1" spans="2:2">
      <c r="B21411" s="62" t="str">
        <f>IF(AND('领用录入（明细）'!D:D=$F$4,'领用录入（明细）'!C:C&gt;=$J$4,'领用录入（明细）'!C:C&lt;=$L$4),ROW(),"-")</f>
        <v>-</v>
      </c>
    </row>
    <row r="21412" customHeight="1" spans="2:2">
      <c r="B21412" s="62" t="str">
        <f>IF(AND('领用录入（明细）'!D:D=$F$4,'领用录入（明细）'!C:C&gt;=$J$4,'领用录入（明细）'!C:C&lt;=$L$4),ROW(),"-")</f>
        <v>-</v>
      </c>
    </row>
    <row r="21413" customHeight="1" spans="2:2">
      <c r="B21413" s="62" t="str">
        <f>IF(AND('领用录入（明细）'!D:D=$F$4,'领用录入（明细）'!C:C&gt;=$J$4,'领用录入（明细）'!C:C&lt;=$L$4),ROW(),"-")</f>
        <v>-</v>
      </c>
    </row>
    <row r="21414" customHeight="1" spans="2:2">
      <c r="B21414" s="62" t="str">
        <f>IF(AND('领用录入（明细）'!D:D=$F$4,'领用录入（明细）'!C:C&gt;=$J$4,'领用录入（明细）'!C:C&lt;=$L$4),ROW(),"-")</f>
        <v>-</v>
      </c>
    </row>
    <row r="21415" customHeight="1" spans="2:2">
      <c r="B21415" s="62" t="str">
        <f>IF(AND('领用录入（明细）'!D:D=$F$4,'领用录入（明细）'!C:C&gt;=$J$4,'领用录入（明细）'!C:C&lt;=$L$4),ROW(),"-")</f>
        <v>-</v>
      </c>
    </row>
    <row r="21416" customHeight="1" spans="2:2">
      <c r="B21416" s="62" t="str">
        <f>IF(AND('领用录入（明细）'!D:D=$F$4,'领用录入（明细）'!C:C&gt;=$J$4,'领用录入（明细）'!C:C&lt;=$L$4),ROW(),"-")</f>
        <v>-</v>
      </c>
    </row>
    <row r="21417" customHeight="1" spans="2:2">
      <c r="B21417" s="62" t="str">
        <f>IF(AND('领用录入（明细）'!D:D=$F$4,'领用录入（明细）'!C:C&gt;=$J$4,'领用录入（明细）'!C:C&lt;=$L$4),ROW(),"-")</f>
        <v>-</v>
      </c>
    </row>
    <row r="21418" customHeight="1" spans="2:2">
      <c r="B21418" s="62" t="str">
        <f>IF(AND('领用录入（明细）'!D:D=$F$4,'领用录入（明细）'!C:C&gt;=$J$4,'领用录入（明细）'!C:C&lt;=$L$4),ROW(),"-")</f>
        <v>-</v>
      </c>
    </row>
    <row r="21419" customHeight="1" spans="2:2">
      <c r="B21419" s="62" t="str">
        <f>IF(AND('领用录入（明细）'!D:D=$F$4,'领用录入（明细）'!C:C&gt;=$J$4,'领用录入（明细）'!C:C&lt;=$L$4),ROW(),"-")</f>
        <v>-</v>
      </c>
    </row>
    <row r="21420" customHeight="1" spans="2:2">
      <c r="B21420" s="62" t="str">
        <f>IF(AND('领用录入（明细）'!D:D=$F$4,'领用录入（明细）'!C:C&gt;=$J$4,'领用录入（明细）'!C:C&lt;=$L$4),ROW(),"-")</f>
        <v>-</v>
      </c>
    </row>
    <row r="21421" customHeight="1" spans="2:2">
      <c r="B21421" s="62" t="str">
        <f>IF(AND('领用录入（明细）'!D:D=$F$4,'领用录入（明细）'!C:C&gt;=$J$4,'领用录入（明细）'!C:C&lt;=$L$4),ROW(),"-")</f>
        <v>-</v>
      </c>
    </row>
    <row r="21422" customHeight="1" spans="2:2">
      <c r="B21422" s="62" t="str">
        <f>IF(AND('领用录入（明细）'!D:D=$F$4,'领用录入（明细）'!C:C&gt;=$J$4,'领用录入（明细）'!C:C&lt;=$L$4),ROW(),"-")</f>
        <v>-</v>
      </c>
    </row>
    <row r="21423" customHeight="1" spans="2:2">
      <c r="B21423" s="62" t="str">
        <f>IF(AND('领用录入（明细）'!D:D=$F$4,'领用录入（明细）'!C:C&gt;=$J$4,'领用录入（明细）'!C:C&lt;=$L$4),ROW(),"-")</f>
        <v>-</v>
      </c>
    </row>
    <row r="21424" customHeight="1" spans="2:2">
      <c r="B21424" s="62" t="str">
        <f>IF(AND('领用录入（明细）'!D:D=$F$4,'领用录入（明细）'!C:C&gt;=$J$4,'领用录入（明细）'!C:C&lt;=$L$4),ROW(),"-")</f>
        <v>-</v>
      </c>
    </row>
    <row r="21425" customHeight="1" spans="2:2">
      <c r="B21425" s="62" t="str">
        <f>IF(AND('领用录入（明细）'!D:D=$F$4,'领用录入（明细）'!C:C&gt;=$J$4,'领用录入（明细）'!C:C&lt;=$L$4),ROW(),"-")</f>
        <v>-</v>
      </c>
    </row>
    <row r="21426" customHeight="1" spans="2:2">
      <c r="B21426" s="62" t="str">
        <f>IF(AND('领用录入（明细）'!D:D=$F$4,'领用录入（明细）'!C:C&gt;=$J$4,'领用录入（明细）'!C:C&lt;=$L$4),ROW(),"-")</f>
        <v>-</v>
      </c>
    </row>
    <row r="21427" customHeight="1" spans="2:2">
      <c r="B21427" s="62" t="str">
        <f>IF(AND('领用录入（明细）'!D:D=$F$4,'领用录入（明细）'!C:C&gt;=$J$4,'领用录入（明细）'!C:C&lt;=$L$4),ROW(),"-")</f>
        <v>-</v>
      </c>
    </row>
    <row r="21428" customHeight="1" spans="2:2">
      <c r="B21428" s="62" t="str">
        <f>IF(AND('领用录入（明细）'!D:D=$F$4,'领用录入（明细）'!C:C&gt;=$J$4,'领用录入（明细）'!C:C&lt;=$L$4),ROW(),"-")</f>
        <v>-</v>
      </c>
    </row>
    <row r="21429" customHeight="1" spans="2:2">
      <c r="B21429" s="62" t="str">
        <f>IF(AND('领用录入（明细）'!D:D=$F$4,'领用录入（明细）'!C:C&gt;=$J$4,'领用录入（明细）'!C:C&lt;=$L$4),ROW(),"-")</f>
        <v>-</v>
      </c>
    </row>
    <row r="21430" customHeight="1" spans="2:2">
      <c r="B21430" s="62" t="str">
        <f>IF(AND('领用录入（明细）'!D:D=$F$4,'领用录入（明细）'!C:C&gt;=$J$4,'领用录入（明细）'!C:C&lt;=$L$4),ROW(),"-")</f>
        <v>-</v>
      </c>
    </row>
    <row r="21431" customHeight="1" spans="2:2">
      <c r="B21431" s="62" t="str">
        <f>IF(AND('领用录入（明细）'!D:D=$F$4,'领用录入（明细）'!C:C&gt;=$J$4,'领用录入（明细）'!C:C&lt;=$L$4),ROW(),"-")</f>
        <v>-</v>
      </c>
    </row>
    <row r="21432" customHeight="1" spans="2:2">
      <c r="B21432" s="62" t="str">
        <f>IF(AND('领用录入（明细）'!D:D=$F$4,'领用录入（明细）'!C:C&gt;=$J$4,'领用录入（明细）'!C:C&lt;=$L$4),ROW(),"-")</f>
        <v>-</v>
      </c>
    </row>
    <row r="21433" customHeight="1" spans="2:2">
      <c r="B21433" s="62" t="str">
        <f>IF(AND('领用录入（明细）'!D:D=$F$4,'领用录入（明细）'!C:C&gt;=$J$4,'领用录入（明细）'!C:C&lt;=$L$4),ROW(),"-")</f>
        <v>-</v>
      </c>
    </row>
    <row r="21434" customHeight="1" spans="2:2">
      <c r="B21434" s="62" t="str">
        <f>IF(AND('领用录入（明细）'!D:D=$F$4,'领用录入（明细）'!C:C&gt;=$J$4,'领用录入（明细）'!C:C&lt;=$L$4),ROW(),"-")</f>
        <v>-</v>
      </c>
    </row>
    <row r="21435" customHeight="1" spans="2:2">
      <c r="B21435" s="62" t="str">
        <f>IF(AND('领用录入（明细）'!D:D=$F$4,'领用录入（明细）'!C:C&gt;=$J$4,'领用录入（明细）'!C:C&lt;=$L$4),ROW(),"-")</f>
        <v>-</v>
      </c>
    </row>
    <row r="21436" customHeight="1" spans="2:2">
      <c r="B21436" s="62" t="str">
        <f>IF(AND('领用录入（明细）'!D:D=$F$4,'领用录入（明细）'!C:C&gt;=$J$4,'领用录入（明细）'!C:C&lt;=$L$4),ROW(),"-")</f>
        <v>-</v>
      </c>
    </row>
    <row r="21437" customHeight="1" spans="2:2">
      <c r="B21437" s="62" t="str">
        <f>IF(AND('领用录入（明细）'!D:D=$F$4,'领用录入（明细）'!C:C&gt;=$J$4,'领用录入（明细）'!C:C&lt;=$L$4),ROW(),"-")</f>
        <v>-</v>
      </c>
    </row>
    <row r="21438" customHeight="1" spans="2:2">
      <c r="B21438" s="62" t="str">
        <f>IF(AND('领用录入（明细）'!D:D=$F$4,'领用录入（明细）'!C:C&gt;=$J$4,'领用录入（明细）'!C:C&lt;=$L$4),ROW(),"-")</f>
        <v>-</v>
      </c>
    </row>
    <row r="21439" customHeight="1" spans="2:2">
      <c r="B21439" s="62" t="str">
        <f>IF(AND('领用录入（明细）'!D:D=$F$4,'领用录入（明细）'!C:C&gt;=$J$4,'领用录入（明细）'!C:C&lt;=$L$4),ROW(),"-")</f>
        <v>-</v>
      </c>
    </row>
    <row r="21440" customHeight="1" spans="2:2">
      <c r="B21440" s="62" t="str">
        <f>IF(AND('领用录入（明细）'!D:D=$F$4,'领用录入（明细）'!C:C&gt;=$J$4,'领用录入（明细）'!C:C&lt;=$L$4),ROW(),"-")</f>
        <v>-</v>
      </c>
    </row>
    <row r="21441" customHeight="1" spans="2:2">
      <c r="B21441" s="62" t="str">
        <f>IF(AND('领用录入（明细）'!D:D=$F$4,'领用录入（明细）'!C:C&gt;=$J$4,'领用录入（明细）'!C:C&lt;=$L$4),ROW(),"-")</f>
        <v>-</v>
      </c>
    </row>
    <row r="21442" customHeight="1" spans="2:2">
      <c r="B21442" s="62" t="str">
        <f>IF(AND('领用录入（明细）'!D:D=$F$4,'领用录入（明细）'!C:C&gt;=$J$4,'领用录入（明细）'!C:C&lt;=$L$4),ROW(),"-")</f>
        <v>-</v>
      </c>
    </row>
    <row r="21443" customHeight="1" spans="2:2">
      <c r="B21443" s="62" t="str">
        <f>IF(AND('领用录入（明细）'!D:D=$F$4,'领用录入（明细）'!C:C&gt;=$J$4,'领用录入（明细）'!C:C&lt;=$L$4),ROW(),"-")</f>
        <v>-</v>
      </c>
    </row>
    <row r="21444" customHeight="1" spans="2:2">
      <c r="B21444" s="62" t="str">
        <f>IF(AND('领用录入（明细）'!D:D=$F$4,'领用录入（明细）'!C:C&gt;=$J$4,'领用录入（明细）'!C:C&lt;=$L$4),ROW(),"-")</f>
        <v>-</v>
      </c>
    </row>
    <row r="21445" customHeight="1" spans="2:2">
      <c r="B21445" s="62" t="str">
        <f>IF(AND('领用录入（明细）'!D:D=$F$4,'领用录入（明细）'!C:C&gt;=$J$4,'领用录入（明细）'!C:C&lt;=$L$4),ROW(),"-")</f>
        <v>-</v>
      </c>
    </row>
    <row r="21446" customHeight="1" spans="2:2">
      <c r="B21446" s="62" t="str">
        <f>IF(AND('领用录入（明细）'!D:D=$F$4,'领用录入（明细）'!C:C&gt;=$J$4,'领用录入（明细）'!C:C&lt;=$L$4),ROW(),"-")</f>
        <v>-</v>
      </c>
    </row>
    <row r="21447" customHeight="1" spans="2:2">
      <c r="B21447" s="62" t="str">
        <f>IF(AND('领用录入（明细）'!D:D=$F$4,'领用录入（明细）'!C:C&gt;=$J$4,'领用录入（明细）'!C:C&lt;=$L$4),ROW(),"-")</f>
        <v>-</v>
      </c>
    </row>
    <row r="21448" customHeight="1" spans="2:2">
      <c r="B21448" s="62" t="str">
        <f>IF(AND('领用录入（明细）'!D:D=$F$4,'领用录入（明细）'!C:C&gt;=$J$4,'领用录入（明细）'!C:C&lt;=$L$4),ROW(),"-")</f>
        <v>-</v>
      </c>
    </row>
    <row r="21449" customHeight="1" spans="2:2">
      <c r="B21449" s="62" t="str">
        <f>IF(AND('领用录入（明细）'!D:D=$F$4,'领用录入（明细）'!C:C&gt;=$J$4,'领用录入（明细）'!C:C&lt;=$L$4),ROW(),"-")</f>
        <v>-</v>
      </c>
    </row>
    <row r="21450" customHeight="1" spans="2:2">
      <c r="B21450" s="62" t="str">
        <f>IF(AND('领用录入（明细）'!D:D=$F$4,'领用录入（明细）'!C:C&gt;=$J$4,'领用录入（明细）'!C:C&lt;=$L$4),ROW(),"-")</f>
        <v>-</v>
      </c>
    </row>
    <row r="21451" customHeight="1" spans="2:2">
      <c r="B21451" s="62" t="str">
        <f>IF(AND('领用录入（明细）'!D:D=$F$4,'领用录入（明细）'!C:C&gt;=$J$4,'领用录入（明细）'!C:C&lt;=$L$4),ROW(),"-")</f>
        <v>-</v>
      </c>
    </row>
    <row r="21452" customHeight="1" spans="2:2">
      <c r="B21452" s="62" t="str">
        <f>IF(AND('领用录入（明细）'!D:D=$F$4,'领用录入（明细）'!C:C&gt;=$J$4,'领用录入（明细）'!C:C&lt;=$L$4),ROW(),"-")</f>
        <v>-</v>
      </c>
    </row>
    <row r="21453" customHeight="1" spans="2:2">
      <c r="B21453" s="62" t="str">
        <f>IF(AND('领用录入（明细）'!D:D=$F$4,'领用录入（明细）'!C:C&gt;=$J$4,'领用录入（明细）'!C:C&lt;=$L$4),ROW(),"-")</f>
        <v>-</v>
      </c>
    </row>
    <row r="21454" customHeight="1" spans="2:2">
      <c r="B21454" s="62" t="str">
        <f>IF(AND('领用录入（明细）'!D:D=$F$4,'领用录入（明细）'!C:C&gt;=$J$4,'领用录入（明细）'!C:C&lt;=$L$4),ROW(),"-")</f>
        <v>-</v>
      </c>
    </row>
    <row r="21455" customHeight="1" spans="2:2">
      <c r="B21455" s="62" t="str">
        <f>IF(AND('领用录入（明细）'!D:D=$F$4,'领用录入（明细）'!C:C&gt;=$J$4,'领用录入（明细）'!C:C&lt;=$L$4),ROW(),"-")</f>
        <v>-</v>
      </c>
    </row>
    <row r="21456" customHeight="1" spans="2:2">
      <c r="B21456" s="62" t="str">
        <f>IF(AND('领用录入（明细）'!D:D=$F$4,'领用录入（明细）'!C:C&gt;=$J$4,'领用录入（明细）'!C:C&lt;=$L$4),ROW(),"-")</f>
        <v>-</v>
      </c>
    </row>
    <row r="21457" customHeight="1" spans="2:2">
      <c r="B21457" s="62" t="str">
        <f>IF(AND('领用录入（明细）'!D:D=$F$4,'领用录入（明细）'!C:C&gt;=$J$4,'领用录入（明细）'!C:C&lt;=$L$4),ROW(),"-")</f>
        <v>-</v>
      </c>
    </row>
    <row r="21458" customHeight="1" spans="2:2">
      <c r="B21458" s="62" t="str">
        <f>IF(AND('领用录入（明细）'!D:D=$F$4,'领用录入（明细）'!C:C&gt;=$J$4,'领用录入（明细）'!C:C&lt;=$L$4),ROW(),"-")</f>
        <v>-</v>
      </c>
    </row>
    <row r="21459" customHeight="1" spans="2:2">
      <c r="B21459" s="62" t="str">
        <f>IF(AND('领用录入（明细）'!D:D=$F$4,'领用录入（明细）'!C:C&gt;=$J$4,'领用录入（明细）'!C:C&lt;=$L$4),ROW(),"-")</f>
        <v>-</v>
      </c>
    </row>
    <row r="21460" customHeight="1" spans="2:2">
      <c r="B21460" s="62" t="str">
        <f>IF(AND('领用录入（明细）'!D:D=$F$4,'领用录入（明细）'!C:C&gt;=$J$4,'领用录入（明细）'!C:C&lt;=$L$4),ROW(),"-")</f>
        <v>-</v>
      </c>
    </row>
    <row r="21461" customHeight="1" spans="2:2">
      <c r="B21461" s="62" t="str">
        <f>IF(AND('领用录入（明细）'!D:D=$F$4,'领用录入（明细）'!C:C&gt;=$J$4,'领用录入（明细）'!C:C&lt;=$L$4),ROW(),"-")</f>
        <v>-</v>
      </c>
    </row>
    <row r="21462" customHeight="1" spans="2:2">
      <c r="B21462" s="62" t="str">
        <f>IF(AND('领用录入（明细）'!D:D=$F$4,'领用录入（明细）'!C:C&gt;=$J$4,'领用录入（明细）'!C:C&lt;=$L$4),ROW(),"-")</f>
        <v>-</v>
      </c>
    </row>
    <row r="21463" customHeight="1" spans="2:2">
      <c r="B21463" s="62" t="str">
        <f>IF(AND('领用录入（明细）'!D:D=$F$4,'领用录入（明细）'!C:C&gt;=$J$4,'领用录入（明细）'!C:C&lt;=$L$4),ROW(),"-")</f>
        <v>-</v>
      </c>
    </row>
    <row r="21464" customHeight="1" spans="2:2">
      <c r="B21464" s="62" t="str">
        <f>IF(AND('领用录入（明细）'!D:D=$F$4,'领用录入（明细）'!C:C&gt;=$J$4,'领用录入（明细）'!C:C&lt;=$L$4),ROW(),"-")</f>
        <v>-</v>
      </c>
    </row>
    <row r="21465" customHeight="1" spans="2:2">
      <c r="B21465" s="62" t="str">
        <f>IF(AND('领用录入（明细）'!D:D=$F$4,'领用录入（明细）'!C:C&gt;=$J$4,'领用录入（明细）'!C:C&lt;=$L$4),ROW(),"-")</f>
        <v>-</v>
      </c>
    </row>
    <row r="21466" customHeight="1" spans="2:2">
      <c r="B21466" s="62" t="str">
        <f>IF(AND('领用录入（明细）'!D:D=$F$4,'领用录入（明细）'!C:C&gt;=$J$4,'领用录入（明细）'!C:C&lt;=$L$4),ROW(),"-")</f>
        <v>-</v>
      </c>
    </row>
    <row r="21467" customHeight="1" spans="2:2">
      <c r="B21467" s="62" t="str">
        <f>IF(AND('领用录入（明细）'!D:D=$F$4,'领用录入（明细）'!C:C&gt;=$J$4,'领用录入（明细）'!C:C&lt;=$L$4),ROW(),"-")</f>
        <v>-</v>
      </c>
    </row>
    <row r="21468" customHeight="1" spans="2:2">
      <c r="B21468" s="62" t="str">
        <f>IF(AND('领用录入（明细）'!D:D=$F$4,'领用录入（明细）'!C:C&gt;=$J$4,'领用录入（明细）'!C:C&lt;=$L$4),ROW(),"-")</f>
        <v>-</v>
      </c>
    </row>
    <row r="21469" customHeight="1" spans="2:2">
      <c r="B21469" s="62" t="str">
        <f>IF(AND('领用录入（明细）'!D:D=$F$4,'领用录入（明细）'!C:C&gt;=$J$4,'领用录入（明细）'!C:C&lt;=$L$4),ROW(),"-")</f>
        <v>-</v>
      </c>
    </row>
    <row r="21470" customHeight="1" spans="2:2">
      <c r="B21470" s="62" t="str">
        <f>IF(AND('领用录入（明细）'!D:D=$F$4,'领用录入（明细）'!C:C&gt;=$J$4,'领用录入（明细）'!C:C&lt;=$L$4),ROW(),"-")</f>
        <v>-</v>
      </c>
    </row>
    <row r="21471" customHeight="1" spans="2:2">
      <c r="B21471" s="62" t="str">
        <f>IF(AND('领用录入（明细）'!D:D=$F$4,'领用录入（明细）'!C:C&gt;=$J$4,'领用录入（明细）'!C:C&lt;=$L$4),ROW(),"-")</f>
        <v>-</v>
      </c>
    </row>
    <row r="21472" customHeight="1" spans="2:2">
      <c r="B21472" s="62" t="str">
        <f>IF(AND('领用录入（明细）'!D:D=$F$4,'领用录入（明细）'!C:C&gt;=$J$4,'领用录入（明细）'!C:C&lt;=$L$4),ROW(),"-")</f>
        <v>-</v>
      </c>
    </row>
    <row r="21473" customHeight="1" spans="2:2">
      <c r="B21473" s="62" t="str">
        <f>IF(AND('领用录入（明细）'!D:D=$F$4,'领用录入（明细）'!C:C&gt;=$J$4,'领用录入（明细）'!C:C&lt;=$L$4),ROW(),"-")</f>
        <v>-</v>
      </c>
    </row>
    <row r="21474" customHeight="1" spans="2:2">
      <c r="B21474" s="62" t="str">
        <f>IF(AND('领用录入（明细）'!D:D=$F$4,'领用录入（明细）'!C:C&gt;=$J$4,'领用录入（明细）'!C:C&lt;=$L$4),ROW(),"-")</f>
        <v>-</v>
      </c>
    </row>
    <row r="21475" customHeight="1" spans="2:2">
      <c r="B21475" s="62" t="str">
        <f>IF(AND('领用录入（明细）'!D:D=$F$4,'领用录入（明细）'!C:C&gt;=$J$4,'领用录入（明细）'!C:C&lt;=$L$4),ROW(),"-")</f>
        <v>-</v>
      </c>
    </row>
    <row r="21476" customHeight="1" spans="2:2">
      <c r="B21476" s="62" t="str">
        <f>IF(AND('领用录入（明细）'!D:D=$F$4,'领用录入（明细）'!C:C&gt;=$J$4,'领用录入（明细）'!C:C&lt;=$L$4),ROW(),"-")</f>
        <v>-</v>
      </c>
    </row>
    <row r="21477" customHeight="1" spans="2:2">
      <c r="B21477" s="62" t="str">
        <f>IF(AND('领用录入（明细）'!D:D=$F$4,'领用录入（明细）'!C:C&gt;=$J$4,'领用录入（明细）'!C:C&lt;=$L$4),ROW(),"-")</f>
        <v>-</v>
      </c>
    </row>
    <row r="21478" customHeight="1" spans="2:2">
      <c r="B21478" s="62" t="str">
        <f>IF(AND('领用录入（明细）'!D:D=$F$4,'领用录入（明细）'!C:C&gt;=$J$4,'领用录入（明细）'!C:C&lt;=$L$4),ROW(),"-")</f>
        <v>-</v>
      </c>
    </row>
    <row r="21479" customHeight="1" spans="2:2">
      <c r="B21479" s="62" t="str">
        <f>IF(AND('领用录入（明细）'!D:D=$F$4,'领用录入（明细）'!C:C&gt;=$J$4,'领用录入（明细）'!C:C&lt;=$L$4),ROW(),"-")</f>
        <v>-</v>
      </c>
    </row>
    <row r="21480" customHeight="1" spans="2:2">
      <c r="B21480" s="62" t="str">
        <f>IF(AND('领用录入（明细）'!D:D=$F$4,'领用录入（明细）'!C:C&gt;=$J$4,'领用录入（明细）'!C:C&lt;=$L$4),ROW(),"-")</f>
        <v>-</v>
      </c>
    </row>
    <row r="21481" customHeight="1" spans="2:2">
      <c r="B21481" s="62" t="str">
        <f>IF(AND('领用录入（明细）'!D:D=$F$4,'领用录入（明细）'!C:C&gt;=$J$4,'领用录入（明细）'!C:C&lt;=$L$4),ROW(),"-")</f>
        <v>-</v>
      </c>
    </row>
    <row r="21482" customHeight="1" spans="2:2">
      <c r="B21482" s="62" t="str">
        <f>IF(AND('领用录入（明细）'!D:D=$F$4,'领用录入（明细）'!C:C&gt;=$J$4,'领用录入（明细）'!C:C&lt;=$L$4),ROW(),"-")</f>
        <v>-</v>
      </c>
    </row>
    <row r="21483" customHeight="1" spans="2:2">
      <c r="B21483" s="62" t="str">
        <f>IF(AND('领用录入（明细）'!D:D=$F$4,'领用录入（明细）'!C:C&gt;=$J$4,'领用录入（明细）'!C:C&lt;=$L$4),ROW(),"-")</f>
        <v>-</v>
      </c>
    </row>
    <row r="21484" customHeight="1" spans="2:2">
      <c r="B21484" s="62" t="str">
        <f>IF(AND('领用录入（明细）'!D:D=$F$4,'领用录入（明细）'!C:C&gt;=$J$4,'领用录入（明细）'!C:C&lt;=$L$4),ROW(),"-")</f>
        <v>-</v>
      </c>
    </row>
    <row r="21485" customHeight="1" spans="2:2">
      <c r="B21485" s="62" t="str">
        <f>IF(AND('领用录入（明细）'!D:D=$F$4,'领用录入（明细）'!C:C&gt;=$J$4,'领用录入（明细）'!C:C&lt;=$L$4),ROW(),"-")</f>
        <v>-</v>
      </c>
    </row>
    <row r="21486" customHeight="1" spans="2:2">
      <c r="B21486" s="62" t="str">
        <f>IF(AND('领用录入（明细）'!D:D=$F$4,'领用录入（明细）'!C:C&gt;=$J$4,'领用录入（明细）'!C:C&lt;=$L$4),ROW(),"-")</f>
        <v>-</v>
      </c>
    </row>
    <row r="21487" customHeight="1" spans="2:2">
      <c r="B21487" s="62" t="str">
        <f>IF(AND('领用录入（明细）'!D:D=$F$4,'领用录入（明细）'!C:C&gt;=$J$4,'领用录入（明细）'!C:C&lt;=$L$4),ROW(),"-")</f>
        <v>-</v>
      </c>
    </row>
    <row r="21488" customHeight="1" spans="2:2">
      <c r="B21488" s="62" t="str">
        <f>IF(AND('领用录入（明细）'!D:D=$F$4,'领用录入（明细）'!C:C&gt;=$J$4,'领用录入（明细）'!C:C&lt;=$L$4),ROW(),"-")</f>
        <v>-</v>
      </c>
    </row>
    <row r="21489" customHeight="1" spans="2:2">
      <c r="B21489" s="62" t="str">
        <f>IF(AND('领用录入（明细）'!D:D=$F$4,'领用录入（明细）'!C:C&gt;=$J$4,'领用录入（明细）'!C:C&lt;=$L$4),ROW(),"-")</f>
        <v>-</v>
      </c>
    </row>
    <row r="21490" customHeight="1" spans="2:2">
      <c r="B21490" s="62" t="str">
        <f>IF(AND('领用录入（明细）'!D:D=$F$4,'领用录入（明细）'!C:C&gt;=$J$4,'领用录入（明细）'!C:C&lt;=$L$4),ROW(),"-")</f>
        <v>-</v>
      </c>
    </row>
    <row r="21491" customHeight="1" spans="2:2">
      <c r="B21491" s="62" t="str">
        <f>IF(AND('领用录入（明细）'!D:D=$F$4,'领用录入（明细）'!C:C&gt;=$J$4,'领用录入（明细）'!C:C&lt;=$L$4),ROW(),"-")</f>
        <v>-</v>
      </c>
    </row>
    <row r="21492" customHeight="1" spans="2:2">
      <c r="B21492" s="62" t="str">
        <f>IF(AND('领用录入（明细）'!D:D=$F$4,'领用录入（明细）'!C:C&gt;=$J$4,'领用录入（明细）'!C:C&lt;=$L$4),ROW(),"-")</f>
        <v>-</v>
      </c>
    </row>
    <row r="21493" customHeight="1" spans="2:2">
      <c r="B21493" s="62" t="str">
        <f>IF(AND('领用录入（明细）'!D:D=$F$4,'领用录入（明细）'!C:C&gt;=$J$4,'领用录入（明细）'!C:C&lt;=$L$4),ROW(),"-")</f>
        <v>-</v>
      </c>
    </row>
    <row r="21494" customHeight="1" spans="2:2">
      <c r="B21494" s="62" t="str">
        <f>IF(AND('领用录入（明细）'!D:D=$F$4,'领用录入（明细）'!C:C&gt;=$J$4,'领用录入（明细）'!C:C&lt;=$L$4),ROW(),"-")</f>
        <v>-</v>
      </c>
    </row>
    <row r="21495" customHeight="1" spans="2:2">
      <c r="B21495" s="62" t="str">
        <f>IF(AND('领用录入（明细）'!D:D=$F$4,'领用录入（明细）'!C:C&gt;=$J$4,'领用录入（明细）'!C:C&lt;=$L$4),ROW(),"-")</f>
        <v>-</v>
      </c>
    </row>
    <row r="21496" customHeight="1" spans="2:2">
      <c r="B21496" s="62" t="str">
        <f>IF(AND('领用录入（明细）'!D:D=$F$4,'领用录入（明细）'!C:C&gt;=$J$4,'领用录入（明细）'!C:C&lt;=$L$4),ROW(),"-")</f>
        <v>-</v>
      </c>
    </row>
    <row r="21497" customHeight="1" spans="2:2">
      <c r="B21497" s="62" t="str">
        <f>IF(AND('领用录入（明细）'!D:D=$F$4,'领用录入（明细）'!C:C&gt;=$J$4,'领用录入（明细）'!C:C&lt;=$L$4),ROW(),"-")</f>
        <v>-</v>
      </c>
    </row>
    <row r="21498" customHeight="1" spans="2:2">
      <c r="B21498" s="62" t="str">
        <f>IF(AND('领用录入（明细）'!D:D=$F$4,'领用录入（明细）'!C:C&gt;=$J$4,'领用录入（明细）'!C:C&lt;=$L$4),ROW(),"-")</f>
        <v>-</v>
      </c>
    </row>
    <row r="21499" customHeight="1" spans="2:2">
      <c r="B21499" s="62" t="str">
        <f>IF(AND('领用录入（明细）'!D:D=$F$4,'领用录入（明细）'!C:C&gt;=$J$4,'领用录入（明细）'!C:C&lt;=$L$4),ROW(),"-")</f>
        <v>-</v>
      </c>
    </row>
    <row r="21500" customHeight="1" spans="2:2">
      <c r="B21500" s="62" t="str">
        <f>IF(AND('领用录入（明细）'!D:D=$F$4,'领用录入（明细）'!C:C&gt;=$J$4,'领用录入（明细）'!C:C&lt;=$L$4),ROW(),"-")</f>
        <v>-</v>
      </c>
    </row>
    <row r="21501" customHeight="1" spans="2:2">
      <c r="B21501" s="62" t="str">
        <f>IF(AND('领用录入（明细）'!D:D=$F$4,'领用录入（明细）'!C:C&gt;=$J$4,'领用录入（明细）'!C:C&lt;=$L$4),ROW(),"-")</f>
        <v>-</v>
      </c>
    </row>
    <row r="21502" customHeight="1" spans="2:2">
      <c r="B21502" s="62" t="str">
        <f>IF(AND('领用录入（明细）'!D:D=$F$4,'领用录入（明细）'!C:C&gt;=$J$4,'领用录入（明细）'!C:C&lt;=$L$4),ROW(),"-")</f>
        <v>-</v>
      </c>
    </row>
    <row r="21503" customHeight="1" spans="2:2">
      <c r="B21503" s="62" t="str">
        <f>IF(AND('领用录入（明细）'!D:D=$F$4,'领用录入（明细）'!C:C&gt;=$J$4,'领用录入（明细）'!C:C&lt;=$L$4),ROW(),"-")</f>
        <v>-</v>
      </c>
    </row>
    <row r="21504" customHeight="1" spans="2:2">
      <c r="B21504" s="62" t="str">
        <f>IF(AND('领用录入（明细）'!D:D=$F$4,'领用录入（明细）'!C:C&gt;=$J$4,'领用录入（明细）'!C:C&lt;=$L$4),ROW(),"-")</f>
        <v>-</v>
      </c>
    </row>
    <row r="21505" customHeight="1" spans="2:2">
      <c r="B21505" s="62" t="str">
        <f>IF(AND('领用录入（明细）'!D:D=$F$4,'领用录入（明细）'!C:C&gt;=$J$4,'领用录入（明细）'!C:C&lt;=$L$4),ROW(),"-")</f>
        <v>-</v>
      </c>
    </row>
    <row r="21506" customHeight="1" spans="2:2">
      <c r="B21506" s="62" t="str">
        <f>IF(AND('领用录入（明细）'!D:D=$F$4,'领用录入（明细）'!C:C&gt;=$J$4,'领用录入（明细）'!C:C&lt;=$L$4),ROW(),"-")</f>
        <v>-</v>
      </c>
    </row>
    <row r="21507" customHeight="1" spans="2:2">
      <c r="B21507" s="62" t="str">
        <f>IF(AND('领用录入（明细）'!D:D=$F$4,'领用录入（明细）'!C:C&gt;=$J$4,'领用录入（明细）'!C:C&lt;=$L$4),ROW(),"-")</f>
        <v>-</v>
      </c>
    </row>
    <row r="21508" customHeight="1" spans="2:2">
      <c r="B21508" s="62" t="str">
        <f>IF(AND('领用录入（明细）'!D:D=$F$4,'领用录入（明细）'!C:C&gt;=$J$4,'领用录入（明细）'!C:C&lt;=$L$4),ROW(),"-")</f>
        <v>-</v>
      </c>
    </row>
    <row r="21509" customHeight="1" spans="2:2">
      <c r="B21509" s="62" t="str">
        <f>IF(AND('领用录入（明细）'!D:D=$F$4,'领用录入（明细）'!C:C&gt;=$J$4,'领用录入（明细）'!C:C&lt;=$L$4),ROW(),"-")</f>
        <v>-</v>
      </c>
    </row>
    <row r="21510" customHeight="1" spans="2:2">
      <c r="B21510" s="62" t="str">
        <f>IF(AND('领用录入（明细）'!D:D=$F$4,'领用录入（明细）'!C:C&gt;=$J$4,'领用录入（明细）'!C:C&lt;=$L$4),ROW(),"-")</f>
        <v>-</v>
      </c>
    </row>
    <row r="21511" customHeight="1" spans="2:2">
      <c r="B21511" s="62" t="str">
        <f>IF(AND('领用录入（明细）'!D:D=$F$4,'领用录入（明细）'!C:C&gt;=$J$4,'领用录入（明细）'!C:C&lt;=$L$4),ROW(),"-")</f>
        <v>-</v>
      </c>
    </row>
    <row r="21512" customHeight="1" spans="2:2">
      <c r="B21512" s="62" t="str">
        <f>IF(AND('领用录入（明细）'!D:D=$F$4,'领用录入（明细）'!C:C&gt;=$J$4,'领用录入（明细）'!C:C&lt;=$L$4),ROW(),"-")</f>
        <v>-</v>
      </c>
    </row>
    <row r="21513" customHeight="1" spans="2:2">
      <c r="B21513" s="62" t="str">
        <f>IF(AND('领用录入（明细）'!D:D=$F$4,'领用录入（明细）'!C:C&gt;=$J$4,'领用录入（明细）'!C:C&lt;=$L$4),ROW(),"-")</f>
        <v>-</v>
      </c>
    </row>
    <row r="21514" customHeight="1" spans="2:2">
      <c r="B21514" s="62" t="str">
        <f>IF(AND('领用录入（明细）'!D:D=$F$4,'领用录入（明细）'!C:C&gt;=$J$4,'领用录入（明细）'!C:C&lt;=$L$4),ROW(),"-")</f>
        <v>-</v>
      </c>
    </row>
    <row r="21515" customHeight="1" spans="2:2">
      <c r="B21515" s="62" t="str">
        <f>IF(AND('领用录入（明细）'!D:D=$F$4,'领用录入（明细）'!C:C&gt;=$J$4,'领用录入（明细）'!C:C&lt;=$L$4),ROW(),"-")</f>
        <v>-</v>
      </c>
    </row>
    <row r="21516" customHeight="1" spans="2:2">
      <c r="B21516" s="62" t="str">
        <f>IF(AND('领用录入（明细）'!D:D=$F$4,'领用录入（明细）'!C:C&gt;=$J$4,'领用录入（明细）'!C:C&lt;=$L$4),ROW(),"-")</f>
        <v>-</v>
      </c>
    </row>
    <row r="21517" customHeight="1" spans="2:2">
      <c r="B21517" s="62" t="str">
        <f>IF(AND('领用录入（明细）'!D:D=$F$4,'领用录入（明细）'!C:C&gt;=$J$4,'领用录入（明细）'!C:C&lt;=$L$4),ROW(),"-")</f>
        <v>-</v>
      </c>
    </row>
    <row r="21518" customHeight="1" spans="2:2">
      <c r="B21518" s="62" t="str">
        <f>IF(AND('领用录入（明细）'!D:D=$F$4,'领用录入（明细）'!C:C&gt;=$J$4,'领用录入（明细）'!C:C&lt;=$L$4),ROW(),"-")</f>
        <v>-</v>
      </c>
    </row>
    <row r="21519" customHeight="1" spans="2:2">
      <c r="B21519" s="62" t="str">
        <f>IF(AND('领用录入（明细）'!D:D=$F$4,'领用录入（明细）'!C:C&gt;=$J$4,'领用录入（明细）'!C:C&lt;=$L$4),ROW(),"-")</f>
        <v>-</v>
      </c>
    </row>
    <row r="21520" customHeight="1" spans="2:2">
      <c r="B21520" s="62" t="str">
        <f>IF(AND('领用录入（明细）'!D:D=$F$4,'领用录入（明细）'!C:C&gt;=$J$4,'领用录入（明细）'!C:C&lt;=$L$4),ROW(),"-")</f>
        <v>-</v>
      </c>
    </row>
    <row r="21521" customHeight="1" spans="2:2">
      <c r="B21521" s="62" t="str">
        <f>IF(AND('领用录入（明细）'!D:D=$F$4,'领用录入（明细）'!C:C&gt;=$J$4,'领用录入（明细）'!C:C&lt;=$L$4),ROW(),"-")</f>
        <v>-</v>
      </c>
    </row>
    <row r="21522" customHeight="1" spans="2:2">
      <c r="B21522" s="62" t="str">
        <f>IF(AND('领用录入（明细）'!D:D=$F$4,'领用录入（明细）'!C:C&gt;=$J$4,'领用录入（明细）'!C:C&lt;=$L$4),ROW(),"-")</f>
        <v>-</v>
      </c>
    </row>
    <row r="21523" customHeight="1" spans="2:2">
      <c r="B21523" s="62" t="str">
        <f>IF(AND('领用录入（明细）'!D:D=$F$4,'领用录入（明细）'!C:C&gt;=$J$4,'领用录入（明细）'!C:C&lt;=$L$4),ROW(),"-")</f>
        <v>-</v>
      </c>
    </row>
    <row r="21524" customHeight="1" spans="2:2">
      <c r="B21524" s="62" t="str">
        <f>IF(AND('领用录入（明细）'!D:D=$F$4,'领用录入（明细）'!C:C&gt;=$J$4,'领用录入（明细）'!C:C&lt;=$L$4),ROW(),"-")</f>
        <v>-</v>
      </c>
    </row>
    <row r="21525" customHeight="1" spans="2:2">
      <c r="B21525" s="62" t="str">
        <f>IF(AND('领用录入（明细）'!D:D=$F$4,'领用录入（明细）'!C:C&gt;=$J$4,'领用录入（明细）'!C:C&lt;=$L$4),ROW(),"-")</f>
        <v>-</v>
      </c>
    </row>
    <row r="21526" customHeight="1" spans="2:2">
      <c r="B21526" s="62" t="str">
        <f>IF(AND('领用录入（明细）'!D:D=$F$4,'领用录入（明细）'!C:C&gt;=$J$4,'领用录入（明细）'!C:C&lt;=$L$4),ROW(),"-")</f>
        <v>-</v>
      </c>
    </row>
    <row r="21527" customHeight="1" spans="2:2">
      <c r="B21527" s="62" t="str">
        <f>IF(AND('领用录入（明细）'!D:D=$F$4,'领用录入（明细）'!C:C&gt;=$J$4,'领用录入（明细）'!C:C&lt;=$L$4),ROW(),"-")</f>
        <v>-</v>
      </c>
    </row>
    <row r="21528" customHeight="1" spans="2:2">
      <c r="B21528" s="62" t="str">
        <f>IF(AND('领用录入（明细）'!D:D=$F$4,'领用录入（明细）'!C:C&gt;=$J$4,'领用录入（明细）'!C:C&lt;=$L$4),ROW(),"-")</f>
        <v>-</v>
      </c>
    </row>
    <row r="21529" customHeight="1" spans="2:2">
      <c r="B21529" s="62" t="str">
        <f>IF(AND('领用录入（明细）'!D:D=$F$4,'领用录入（明细）'!C:C&gt;=$J$4,'领用录入（明细）'!C:C&lt;=$L$4),ROW(),"-")</f>
        <v>-</v>
      </c>
    </row>
    <row r="21530" customHeight="1" spans="2:2">
      <c r="B21530" s="62" t="str">
        <f>IF(AND('领用录入（明细）'!D:D=$F$4,'领用录入（明细）'!C:C&gt;=$J$4,'领用录入（明细）'!C:C&lt;=$L$4),ROW(),"-")</f>
        <v>-</v>
      </c>
    </row>
    <row r="21531" customHeight="1" spans="2:2">
      <c r="B21531" s="62" t="str">
        <f>IF(AND('领用录入（明细）'!D:D=$F$4,'领用录入（明细）'!C:C&gt;=$J$4,'领用录入（明细）'!C:C&lt;=$L$4),ROW(),"-")</f>
        <v>-</v>
      </c>
    </row>
    <row r="21532" customHeight="1" spans="2:2">
      <c r="B21532" s="62" t="str">
        <f>IF(AND('领用录入（明细）'!D:D=$F$4,'领用录入（明细）'!C:C&gt;=$J$4,'领用录入（明细）'!C:C&lt;=$L$4),ROW(),"-")</f>
        <v>-</v>
      </c>
    </row>
    <row r="21533" customHeight="1" spans="2:2">
      <c r="B21533" s="62" t="str">
        <f>IF(AND('领用录入（明细）'!D:D=$F$4,'领用录入（明细）'!C:C&gt;=$J$4,'领用录入（明细）'!C:C&lt;=$L$4),ROW(),"-")</f>
        <v>-</v>
      </c>
    </row>
    <row r="21534" customHeight="1" spans="2:2">
      <c r="B21534" s="62" t="str">
        <f>IF(AND('领用录入（明细）'!D:D=$F$4,'领用录入（明细）'!C:C&gt;=$J$4,'领用录入（明细）'!C:C&lt;=$L$4),ROW(),"-")</f>
        <v>-</v>
      </c>
    </row>
    <row r="21535" customHeight="1" spans="2:2">
      <c r="B21535" s="62" t="str">
        <f>IF(AND('领用录入（明细）'!D:D=$F$4,'领用录入（明细）'!C:C&gt;=$J$4,'领用录入（明细）'!C:C&lt;=$L$4),ROW(),"-")</f>
        <v>-</v>
      </c>
    </row>
    <row r="21536" customHeight="1" spans="2:2">
      <c r="B21536" s="62" t="str">
        <f>IF(AND('领用录入（明细）'!D:D=$F$4,'领用录入（明细）'!C:C&gt;=$J$4,'领用录入（明细）'!C:C&lt;=$L$4),ROW(),"-")</f>
        <v>-</v>
      </c>
    </row>
    <row r="21537" customHeight="1" spans="2:2">
      <c r="B21537" s="62" t="str">
        <f>IF(AND('领用录入（明细）'!D:D=$F$4,'领用录入（明细）'!C:C&gt;=$J$4,'领用录入（明细）'!C:C&lt;=$L$4),ROW(),"-")</f>
        <v>-</v>
      </c>
    </row>
    <row r="21538" customHeight="1" spans="2:2">
      <c r="B21538" s="62" t="str">
        <f>IF(AND('领用录入（明细）'!D:D=$F$4,'领用录入（明细）'!C:C&gt;=$J$4,'领用录入（明细）'!C:C&lt;=$L$4),ROW(),"-")</f>
        <v>-</v>
      </c>
    </row>
    <row r="21539" customHeight="1" spans="2:2">
      <c r="B21539" s="62" t="str">
        <f>IF(AND('领用录入（明细）'!D:D=$F$4,'领用录入（明细）'!C:C&gt;=$J$4,'领用录入（明细）'!C:C&lt;=$L$4),ROW(),"-")</f>
        <v>-</v>
      </c>
    </row>
    <row r="21540" customHeight="1" spans="2:2">
      <c r="B21540" s="62" t="str">
        <f>IF(AND('领用录入（明细）'!D:D=$F$4,'领用录入（明细）'!C:C&gt;=$J$4,'领用录入（明细）'!C:C&lt;=$L$4),ROW(),"-")</f>
        <v>-</v>
      </c>
    </row>
    <row r="21541" customHeight="1" spans="2:2">
      <c r="B21541" s="62" t="str">
        <f>IF(AND('领用录入（明细）'!D:D=$F$4,'领用录入（明细）'!C:C&gt;=$J$4,'领用录入（明细）'!C:C&lt;=$L$4),ROW(),"-")</f>
        <v>-</v>
      </c>
    </row>
    <row r="21542" customHeight="1" spans="2:2">
      <c r="B21542" s="62" t="str">
        <f>IF(AND('领用录入（明细）'!D:D=$F$4,'领用录入（明细）'!C:C&gt;=$J$4,'领用录入（明细）'!C:C&lt;=$L$4),ROW(),"-")</f>
        <v>-</v>
      </c>
    </row>
    <row r="21543" customHeight="1" spans="2:2">
      <c r="B21543" s="62" t="str">
        <f>IF(AND('领用录入（明细）'!D:D=$F$4,'领用录入（明细）'!C:C&gt;=$J$4,'领用录入（明细）'!C:C&lt;=$L$4),ROW(),"-")</f>
        <v>-</v>
      </c>
    </row>
    <row r="21544" customHeight="1" spans="2:2">
      <c r="B21544" s="62" t="str">
        <f>IF(AND('领用录入（明细）'!D:D=$F$4,'领用录入（明细）'!C:C&gt;=$J$4,'领用录入（明细）'!C:C&lt;=$L$4),ROW(),"-")</f>
        <v>-</v>
      </c>
    </row>
    <row r="21545" customHeight="1" spans="2:2">
      <c r="B21545" s="62" t="str">
        <f>IF(AND('领用录入（明细）'!D:D=$F$4,'领用录入（明细）'!C:C&gt;=$J$4,'领用录入（明细）'!C:C&lt;=$L$4),ROW(),"-")</f>
        <v>-</v>
      </c>
    </row>
    <row r="21546" customHeight="1" spans="2:2">
      <c r="B21546" s="62" t="str">
        <f>IF(AND('领用录入（明细）'!D:D=$F$4,'领用录入（明细）'!C:C&gt;=$J$4,'领用录入（明细）'!C:C&lt;=$L$4),ROW(),"-")</f>
        <v>-</v>
      </c>
    </row>
    <row r="21547" customHeight="1" spans="2:2">
      <c r="B21547" s="62" t="str">
        <f>IF(AND('领用录入（明细）'!D:D=$F$4,'领用录入（明细）'!C:C&gt;=$J$4,'领用录入（明细）'!C:C&lt;=$L$4),ROW(),"-")</f>
        <v>-</v>
      </c>
    </row>
    <row r="21548" customHeight="1" spans="2:2">
      <c r="B21548" s="62" t="str">
        <f>IF(AND('领用录入（明细）'!D:D=$F$4,'领用录入（明细）'!C:C&gt;=$J$4,'领用录入（明细）'!C:C&lt;=$L$4),ROW(),"-")</f>
        <v>-</v>
      </c>
    </row>
    <row r="21549" customHeight="1" spans="2:2">
      <c r="B21549" s="62" t="str">
        <f>IF(AND('领用录入（明细）'!D:D=$F$4,'领用录入（明细）'!C:C&gt;=$J$4,'领用录入（明细）'!C:C&lt;=$L$4),ROW(),"-")</f>
        <v>-</v>
      </c>
    </row>
    <row r="21550" customHeight="1" spans="2:2">
      <c r="B21550" s="62" t="str">
        <f>IF(AND('领用录入（明细）'!D:D=$F$4,'领用录入（明细）'!C:C&gt;=$J$4,'领用录入（明细）'!C:C&lt;=$L$4),ROW(),"-")</f>
        <v>-</v>
      </c>
    </row>
    <row r="21551" customHeight="1" spans="2:2">
      <c r="B21551" s="62" t="str">
        <f>IF(AND('领用录入（明细）'!D:D=$F$4,'领用录入（明细）'!C:C&gt;=$J$4,'领用录入（明细）'!C:C&lt;=$L$4),ROW(),"-")</f>
        <v>-</v>
      </c>
    </row>
    <row r="21552" customHeight="1" spans="2:2">
      <c r="B21552" s="62" t="str">
        <f>IF(AND('领用录入（明细）'!D:D=$F$4,'领用录入（明细）'!C:C&gt;=$J$4,'领用录入（明细）'!C:C&lt;=$L$4),ROW(),"-")</f>
        <v>-</v>
      </c>
    </row>
    <row r="21553" customHeight="1" spans="2:2">
      <c r="B21553" s="62" t="str">
        <f>IF(AND('领用录入（明细）'!D:D=$F$4,'领用录入（明细）'!C:C&gt;=$J$4,'领用录入（明细）'!C:C&lt;=$L$4),ROW(),"-")</f>
        <v>-</v>
      </c>
    </row>
    <row r="21554" customHeight="1" spans="2:2">
      <c r="B21554" s="62" t="str">
        <f>IF(AND('领用录入（明细）'!D:D=$F$4,'领用录入（明细）'!C:C&gt;=$J$4,'领用录入（明细）'!C:C&lt;=$L$4),ROW(),"-")</f>
        <v>-</v>
      </c>
    </row>
    <row r="21555" customHeight="1" spans="2:2">
      <c r="B21555" s="62" t="str">
        <f>IF(AND('领用录入（明细）'!D:D=$F$4,'领用录入（明细）'!C:C&gt;=$J$4,'领用录入（明细）'!C:C&lt;=$L$4),ROW(),"-")</f>
        <v>-</v>
      </c>
    </row>
    <row r="21556" customHeight="1" spans="2:2">
      <c r="B21556" s="62" t="str">
        <f>IF(AND('领用录入（明细）'!D:D=$F$4,'领用录入（明细）'!C:C&gt;=$J$4,'领用录入（明细）'!C:C&lt;=$L$4),ROW(),"-")</f>
        <v>-</v>
      </c>
    </row>
    <row r="21557" customHeight="1" spans="2:2">
      <c r="B21557" s="62" t="str">
        <f>IF(AND('领用录入（明细）'!D:D=$F$4,'领用录入（明细）'!C:C&gt;=$J$4,'领用录入（明细）'!C:C&lt;=$L$4),ROW(),"-")</f>
        <v>-</v>
      </c>
    </row>
    <row r="21558" customHeight="1" spans="2:2">
      <c r="B21558" s="62" t="str">
        <f>IF(AND('领用录入（明细）'!D:D=$F$4,'领用录入（明细）'!C:C&gt;=$J$4,'领用录入（明细）'!C:C&lt;=$L$4),ROW(),"-")</f>
        <v>-</v>
      </c>
    </row>
    <row r="21559" customHeight="1" spans="2:2">
      <c r="B21559" s="62" t="str">
        <f>IF(AND('领用录入（明细）'!D:D=$F$4,'领用录入（明细）'!C:C&gt;=$J$4,'领用录入（明细）'!C:C&lt;=$L$4),ROW(),"-")</f>
        <v>-</v>
      </c>
    </row>
    <row r="21560" customHeight="1" spans="2:2">
      <c r="B21560" s="62" t="str">
        <f>IF(AND('领用录入（明细）'!D:D=$F$4,'领用录入（明细）'!C:C&gt;=$J$4,'领用录入（明细）'!C:C&lt;=$L$4),ROW(),"-")</f>
        <v>-</v>
      </c>
    </row>
    <row r="21561" customHeight="1" spans="2:2">
      <c r="B21561" s="62" t="str">
        <f>IF(AND('领用录入（明细）'!D:D=$F$4,'领用录入（明细）'!C:C&gt;=$J$4,'领用录入（明细）'!C:C&lt;=$L$4),ROW(),"-")</f>
        <v>-</v>
      </c>
    </row>
    <row r="21562" customHeight="1" spans="2:2">
      <c r="B21562" s="62" t="str">
        <f>IF(AND('领用录入（明细）'!D:D=$F$4,'领用录入（明细）'!C:C&gt;=$J$4,'领用录入（明细）'!C:C&lt;=$L$4),ROW(),"-")</f>
        <v>-</v>
      </c>
    </row>
    <row r="21563" customHeight="1" spans="2:2">
      <c r="B21563" s="62" t="str">
        <f>IF(AND('领用录入（明细）'!D:D=$F$4,'领用录入（明细）'!C:C&gt;=$J$4,'领用录入（明细）'!C:C&lt;=$L$4),ROW(),"-")</f>
        <v>-</v>
      </c>
    </row>
    <row r="21564" customHeight="1" spans="2:2">
      <c r="B21564" s="62" t="str">
        <f>IF(AND('领用录入（明细）'!D:D=$F$4,'领用录入（明细）'!C:C&gt;=$J$4,'领用录入（明细）'!C:C&lt;=$L$4),ROW(),"-")</f>
        <v>-</v>
      </c>
    </row>
    <row r="21565" customHeight="1" spans="2:2">
      <c r="B21565" s="62" t="str">
        <f>IF(AND('领用录入（明细）'!D:D=$F$4,'领用录入（明细）'!C:C&gt;=$J$4,'领用录入（明细）'!C:C&lt;=$L$4),ROW(),"-")</f>
        <v>-</v>
      </c>
    </row>
    <row r="21566" customHeight="1" spans="2:2">
      <c r="B21566" s="62" t="str">
        <f>IF(AND('领用录入（明细）'!D:D=$F$4,'领用录入（明细）'!C:C&gt;=$J$4,'领用录入（明细）'!C:C&lt;=$L$4),ROW(),"-")</f>
        <v>-</v>
      </c>
    </row>
    <row r="21567" customHeight="1" spans="2:2">
      <c r="B21567" s="62" t="str">
        <f>IF(AND('领用录入（明细）'!D:D=$F$4,'领用录入（明细）'!C:C&gt;=$J$4,'领用录入（明细）'!C:C&lt;=$L$4),ROW(),"-")</f>
        <v>-</v>
      </c>
    </row>
    <row r="21568" customHeight="1" spans="2:2">
      <c r="B21568" s="62" t="str">
        <f>IF(AND('领用录入（明细）'!D:D=$F$4,'领用录入（明细）'!C:C&gt;=$J$4,'领用录入（明细）'!C:C&lt;=$L$4),ROW(),"-")</f>
        <v>-</v>
      </c>
    </row>
    <row r="21569" customHeight="1" spans="2:2">
      <c r="B21569" s="62" t="str">
        <f>IF(AND('领用录入（明细）'!D:D=$F$4,'领用录入（明细）'!C:C&gt;=$J$4,'领用录入（明细）'!C:C&lt;=$L$4),ROW(),"-")</f>
        <v>-</v>
      </c>
    </row>
    <row r="21570" customHeight="1" spans="2:2">
      <c r="B21570" s="62" t="str">
        <f>IF(AND('领用录入（明细）'!D:D=$F$4,'领用录入（明细）'!C:C&gt;=$J$4,'领用录入（明细）'!C:C&lt;=$L$4),ROW(),"-")</f>
        <v>-</v>
      </c>
    </row>
    <row r="21571" customHeight="1" spans="2:2">
      <c r="B21571" s="62" t="str">
        <f>IF(AND('领用录入（明细）'!D:D=$F$4,'领用录入（明细）'!C:C&gt;=$J$4,'领用录入（明细）'!C:C&lt;=$L$4),ROW(),"-")</f>
        <v>-</v>
      </c>
    </row>
    <row r="21572" customHeight="1" spans="2:2">
      <c r="B21572" s="62" t="str">
        <f>IF(AND('领用录入（明细）'!D:D=$F$4,'领用录入（明细）'!C:C&gt;=$J$4,'领用录入（明细）'!C:C&lt;=$L$4),ROW(),"-")</f>
        <v>-</v>
      </c>
    </row>
    <row r="21573" customHeight="1" spans="2:2">
      <c r="B21573" s="62" t="str">
        <f>IF(AND('领用录入（明细）'!D:D=$F$4,'领用录入（明细）'!C:C&gt;=$J$4,'领用录入（明细）'!C:C&lt;=$L$4),ROW(),"-")</f>
        <v>-</v>
      </c>
    </row>
    <row r="21574" customHeight="1" spans="2:2">
      <c r="B21574" s="62" t="str">
        <f>IF(AND('领用录入（明细）'!D:D=$F$4,'领用录入（明细）'!C:C&gt;=$J$4,'领用录入（明细）'!C:C&lt;=$L$4),ROW(),"-")</f>
        <v>-</v>
      </c>
    </row>
    <row r="21575" customHeight="1" spans="2:2">
      <c r="B21575" s="62" t="str">
        <f>IF(AND('领用录入（明细）'!D:D=$F$4,'领用录入（明细）'!C:C&gt;=$J$4,'领用录入（明细）'!C:C&lt;=$L$4),ROW(),"-")</f>
        <v>-</v>
      </c>
    </row>
    <row r="21576" customHeight="1" spans="2:2">
      <c r="B21576" s="62" t="str">
        <f>IF(AND('领用录入（明细）'!D:D=$F$4,'领用录入（明细）'!C:C&gt;=$J$4,'领用录入（明细）'!C:C&lt;=$L$4),ROW(),"-")</f>
        <v>-</v>
      </c>
    </row>
    <row r="21577" customHeight="1" spans="2:2">
      <c r="B21577" s="62" t="str">
        <f>IF(AND('领用录入（明细）'!D:D=$F$4,'领用录入（明细）'!C:C&gt;=$J$4,'领用录入（明细）'!C:C&lt;=$L$4),ROW(),"-")</f>
        <v>-</v>
      </c>
    </row>
    <row r="21578" customHeight="1" spans="2:2">
      <c r="B21578" s="62" t="str">
        <f>IF(AND('领用录入（明细）'!D:D=$F$4,'领用录入（明细）'!C:C&gt;=$J$4,'领用录入（明细）'!C:C&lt;=$L$4),ROW(),"-")</f>
        <v>-</v>
      </c>
    </row>
    <row r="21579" customHeight="1" spans="2:2">
      <c r="B21579" s="62" t="str">
        <f>IF(AND('领用录入（明细）'!D:D=$F$4,'领用录入（明细）'!C:C&gt;=$J$4,'领用录入（明细）'!C:C&lt;=$L$4),ROW(),"-")</f>
        <v>-</v>
      </c>
    </row>
    <row r="21580" customHeight="1" spans="2:2">
      <c r="B21580" s="62" t="str">
        <f>IF(AND('领用录入（明细）'!D:D=$F$4,'领用录入（明细）'!C:C&gt;=$J$4,'领用录入（明细）'!C:C&lt;=$L$4),ROW(),"-")</f>
        <v>-</v>
      </c>
    </row>
    <row r="21581" customHeight="1" spans="2:2">
      <c r="B21581" s="62" t="str">
        <f>IF(AND('领用录入（明细）'!D:D=$F$4,'领用录入（明细）'!C:C&gt;=$J$4,'领用录入（明细）'!C:C&lt;=$L$4),ROW(),"-")</f>
        <v>-</v>
      </c>
    </row>
    <row r="21582" customHeight="1" spans="2:2">
      <c r="B21582" s="62" t="str">
        <f>IF(AND('领用录入（明细）'!D:D=$F$4,'领用录入（明细）'!C:C&gt;=$J$4,'领用录入（明细）'!C:C&lt;=$L$4),ROW(),"-")</f>
        <v>-</v>
      </c>
    </row>
    <row r="21583" customHeight="1" spans="2:2">
      <c r="B21583" s="62" t="str">
        <f>IF(AND('领用录入（明细）'!D:D=$F$4,'领用录入（明细）'!C:C&gt;=$J$4,'领用录入（明细）'!C:C&lt;=$L$4),ROW(),"-")</f>
        <v>-</v>
      </c>
    </row>
    <row r="21584" customHeight="1" spans="2:2">
      <c r="B21584" s="62" t="str">
        <f>IF(AND('领用录入（明细）'!D:D=$F$4,'领用录入（明细）'!C:C&gt;=$J$4,'领用录入（明细）'!C:C&lt;=$L$4),ROW(),"-")</f>
        <v>-</v>
      </c>
    </row>
    <row r="21585" customHeight="1" spans="2:2">
      <c r="B21585" s="62" t="str">
        <f>IF(AND('领用录入（明细）'!D:D=$F$4,'领用录入（明细）'!C:C&gt;=$J$4,'领用录入（明细）'!C:C&lt;=$L$4),ROW(),"-")</f>
        <v>-</v>
      </c>
    </row>
    <row r="21586" customHeight="1" spans="2:2">
      <c r="B21586" s="62" t="str">
        <f>IF(AND('领用录入（明细）'!D:D=$F$4,'领用录入（明细）'!C:C&gt;=$J$4,'领用录入（明细）'!C:C&lt;=$L$4),ROW(),"-")</f>
        <v>-</v>
      </c>
    </row>
    <row r="21587" customHeight="1" spans="2:2">
      <c r="B21587" s="62" t="str">
        <f>IF(AND('领用录入（明细）'!D:D=$F$4,'领用录入（明细）'!C:C&gt;=$J$4,'领用录入（明细）'!C:C&lt;=$L$4),ROW(),"-")</f>
        <v>-</v>
      </c>
    </row>
    <row r="21588" customHeight="1" spans="2:2">
      <c r="B21588" s="62" t="str">
        <f>IF(AND('领用录入（明细）'!D:D=$F$4,'领用录入（明细）'!C:C&gt;=$J$4,'领用录入（明细）'!C:C&lt;=$L$4),ROW(),"-")</f>
        <v>-</v>
      </c>
    </row>
    <row r="21589" customHeight="1" spans="2:2">
      <c r="B21589" s="62" t="str">
        <f>IF(AND('领用录入（明细）'!D:D=$F$4,'领用录入（明细）'!C:C&gt;=$J$4,'领用录入（明细）'!C:C&lt;=$L$4),ROW(),"-")</f>
        <v>-</v>
      </c>
    </row>
    <row r="21590" customHeight="1" spans="2:2">
      <c r="B21590" s="62" t="str">
        <f>IF(AND('领用录入（明细）'!D:D=$F$4,'领用录入（明细）'!C:C&gt;=$J$4,'领用录入（明细）'!C:C&lt;=$L$4),ROW(),"-")</f>
        <v>-</v>
      </c>
    </row>
    <row r="21591" customHeight="1" spans="2:2">
      <c r="B21591" s="62" t="str">
        <f>IF(AND('领用录入（明细）'!D:D=$F$4,'领用录入（明细）'!C:C&gt;=$J$4,'领用录入（明细）'!C:C&lt;=$L$4),ROW(),"-")</f>
        <v>-</v>
      </c>
    </row>
    <row r="21592" customHeight="1" spans="2:2">
      <c r="B21592" s="62" t="str">
        <f>IF(AND('领用录入（明细）'!D:D=$F$4,'领用录入（明细）'!C:C&gt;=$J$4,'领用录入（明细）'!C:C&lt;=$L$4),ROW(),"-")</f>
        <v>-</v>
      </c>
    </row>
    <row r="21593" customHeight="1" spans="2:2">
      <c r="B21593" s="62" t="str">
        <f>IF(AND('领用录入（明细）'!D:D=$F$4,'领用录入（明细）'!C:C&gt;=$J$4,'领用录入（明细）'!C:C&lt;=$L$4),ROW(),"-")</f>
        <v>-</v>
      </c>
    </row>
    <row r="21594" customHeight="1" spans="2:2">
      <c r="B21594" s="62" t="str">
        <f>IF(AND('领用录入（明细）'!D:D=$F$4,'领用录入（明细）'!C:C&gt;=$J$4,'领用录入（明细）'!C:C&lt;=$L$4),ROW(),"-")</f>
        <v>-</v>
      </c>
    </row>
    <row r="21595" customHeight="1" spans="2:2">
      <c r="B21595" s="62" t="str">
        <f>IF(AND('领用录入（明细）'!D:D=$F$4,'领用录入（明细）'!C:C&gt;=$J$4,'领用录入（明细）'!C:C&lt;=$L$4),ROW(),"-")</f>
        <v>-</v>
      </c>
    </row>
    <row r="21596" customHeight="1" spans="2:2">
      <c r="B21596" s="62" t="str">
        <f>IF(AND('领用录入（明细）'!D:D=$F$4,'领用录入（明细）'!C:C&gt;=$J$4,'领用录入（明细）'!C:C&lt;=$L$4),ROW(),"-")</f>
        <v>-</v>
      </c>
    </row>
    <row r="21597" customHeight="1" spans="2:2">
      <c r="B21597" s="62" t="str">
        <f>IF(AND('领用录入（明细）'!D:D=$F$4,'领用录入（明细）'!C:C&gt;=$J$4,'领用录入（明细）'!C:C&lt;=$L$4),ROW(),"-")</f>
        <v>-</v>
      </c>
    </row>
    <row r="21598" customHeight="1" spans="2:2">
      <c r="B21598" s="62" t="str">
        <f>IF(AND('领用录入（明细）'!D:D=$F$4,'领用录入（明细）'!C:C&gt;=$J$4,'领用录入（明细）'!C:C&lt;=$L$4),ROW(),"-")</f>
        <v>-</v>
      </c>
    </row>
    <row r="21599" customHeight="1" spans="2:2">
      <c r="B21599" s="62" t="str">
        <f>IF(AND('领用录入（明细）'!D:D=$F$4,'领用录入（明细）'!C:C&gt;=$J$4,'领用录入（明细）'!C:C&lt;=$L$4),ROW(),"-")</f>
        <v>-</v>
      </c>
    </row>
    <row r="21600" customHeight="1" spans="2:2">
      <c r="B21600" s="62" t="str">
        <f>IF(AND('领用录入（明细）'!D:D=$F$4,'领用录入（明细）'!C:C&gt;=$J$4,'领用录入（明细）'!C:C&lt;=$L$4),ROW(),"-")</f>
        <v>-</v>
      </c>
    </row>
    <row r="21601" customHeight="1" spans="2:2">
      <c r="B21601" s="62" t="str">
        <f>IF(AND('领用录入（明细）'!D:D=$F$4,'领用录入（明细）'!C:C&gt;=$J$4,'领用录入（明细）'!C:C&lt;=$L$4),ROW(),"-")</f>
        <v>-</v>
      </c>
    </row>
    <row r="21602" customHeight="1" spans="2:2">
      <c r="B21602" s="62" t="str">
        <f>IF(AND('领用录入（明细）'!D:D=$F$4,'领用录入（明细）'!C:C&gt;=$J$4,'领用录入（明细）'!C:C&lt;=$L$4),ROW(),"-")</f>
        <v>-</v>
      </c>
    </row>
    <row r="21603" customHeight="1" spans="2:2">
      <c r="B21603" s="62" t="str">
        <f>IF(AND('领用录入（明细）'!D:D=$F$4,'领用录入（明细）'!C:C&gt;=$J$4,'领用录入（明细）'!C:C&lt;=$L$4),ROW(),"-")</f>
        <v>-</v>
      </c>
    </row>
    <row r="21604" customHeight="1" spans="2:2">
      <c r="B21604" s="62" t="str">
        <f>IF(AND('领用录入（明细）'!D:D=$F$4,'领用录入（明细）'!C:C&gt;=$J$4,'领用录入（明细）'!C:C&lt;=$L$4),ROW(),"-")</f>
        <v>-</v>
      </c>
    </row>
    <row r="21605" customHeight="1" spans="2:2">
      <c r="B21605" s="62" t="str">
        <f>IF(AND('领用录入（明细）'!D:D=$F$4,'领用录入（明细）'!C:C&gt;=$J$4,'领用录入（明细）'!C:C&lt;=$L$4),ROW(),"-")</f>
        <v>-</v>
      </c>
    </row>
    <row r="21606" customHeight="1" spans="2:2">
      <c r="B21606" s="62" t="str">
        <f>IF(AND('领用录入（明细）'!D:D=$F$4,'领用录入（明细）'!C:C&gt;=$J$4,'领用录入（明细）'!C:C&lt;=$L$4),ROW(),"-")</f>
        <v>-</v>
      </c>
    </row>
    <row r="21607" customHeight="1" spans="2:2">
      <c r="B21607" s="62" t="str">
        <f>IF(AND('领用录入（明细）'!D:D=$F$4,'领用录入（明细）'!C:C&gt;=$J$4,'领用录入（明细）'!C:C&lt;=$L$4),ROW(),"-")</f>
        <v>-</v>
      </c>
    </row>
    <row r="21608" customHeight="1" spans="2:2">
      <c r="B21608" s="62" t="str">
        <f>IF(AND('领用录入（明细）'!D:D=$F$4,'领用录入（明细）'!C:C&gt;=$J$4,'领用录入（明细）'!C:C&lt;=$L$4),ROW(),"-")</f>
        <v>-</v>
      </c>
    </row>
    <row r="21609" customHeight="1" spans="2:2">
      <c r="B21609" s="62" t="str">
        <f>IF(AND('领用录入（明细）'!D:D=$F$4,'领用录入（明细）'!C:C&gt;=$J$4,'领用录入（明细）'!C:C&lt;=$L$4),ROW(),"-")</f>
        <v>-</v>
      </c>
    </row>
    <row r="21610" customHeight="1" spans="2:2">
      <c r="B21610" s="62" t="str">
        <f>IF(AND('领用录入（明细）'!D:D=$F$4,'领用录入（明细）'!C:C&gt;=$J$4,'领用录入（明细）'!C:C&lt;=$L$4),ROW(),"-")</f>
        <v>-</v>
      </c>
    </row>
    <row r="21611" customHeight="1" spans="2:2">
      <c r="B21611" s="62" t="str">
        <f>IF(AND('领用录入（明细）'!D:D=$F$4,'领用录入（明细）'!C:C&gt;=$J$4,'领用录入（明细）'!C:C&lt;=$L$4),ROW(),"-")</f>
        <v>-</v>
      </c>
    </row>
    <row r="21612" customHeight="1" spans="2:2">
      <c r="B21612" s="62" t="str">
        <f>IF(AND('领用录入（明细）'!D:D=$F$4,'领用录入（明细）'!C:C&gt;=$J$4,'领用录入（明细）'!C:C&lt;=$L$4),ROW(),"-")</f>
        <v>-</v>
      </c>
    </row>
    <row r="21613" customHeight="1" spans="2:2">
      <c r="B21613" s="62" t="str">
        <f>IF(AND('领用录入（明细）'!D:D=$F$4,'领用录入（明细）'!C:C&gt;=$J$4,'领用录入（明细）'!C:C&lt;=$L$4),ROW(),"-")</f>
        <v>-</v>
      </c>
    </row>
    <row r="21614" customHeight="1" spans="2:2">
      <c r="B21614" s="62" t="str">
        <f>IF(AND('领用录入（明细）'!D:D=$F$4,'领用录入（明细）'!C:C&gt;=$J$4,'领用录入（明细）'!C:C&lt;=$L$4),ROW(),"-")</f>
        <v>-</v>
      </c>
    </row>
    <row r="21615" customHeight="1" spans="2:2">
      <c r="B21615" s="62" t="str">
        <f>IF(AND('领用录入（明细）'!D:D=$F$4,'领用录入（明细）'!C:C&gt;=$J$4,'领用录入（明细）'!C:C&lt;=$L$4),ROW(),"-")</f>
        <v>-</v>
      </c>
    </row>
    <row r="21616" customHeight="1" spans="2:2">
      <c r="B21616" s="62" t="str">
        <f>IF(AND('领用录入（明细）'!D:D=$F$4,'领用录入（明细）'!C:C&gt;=$J$4,'领用录入（明细）'!C:C&lt;=$L$4),ROW(),"-")</f>
        <v>-</v>
      </c>
    </row>
    <row r="21617" customHeight="1" spans="2:2">
      <c r="B21617" s="62" t="str">
        <f>IF(AND('领用录入（明细）'!D:D=$F$4,'领用录入（明细）'!C:C&gt;=$J$4,'领用录入（明细）'!C:C&lt;=$L$4),ROW(),"-")</f>
        <v>-</v>
      </c>
    </row>
    <row r="21618" customHeight="1" spans="2:2">
      <c r="B21618" s="62" t="str">
        <f>IF(AND('领用录入（明细）'!D:D=$F$4,'领用录入（明细）'!C:C&gt;=$J$4,'领用录入（明细）'!C:C&lt;=$L$4),ROW(),"-")</f>
        <v>-</v>
      </c>
    </row>
    <row r="21619" customHeight="1" spans="2:2">
      <c r="B21619" s="62" t="str">
        <f>IF(AND('领用录入（明细）'!D:D=$F$4,'领用录入（明细）'!C:C&gt;=$J$4,'领用录入（明细）'!C:C&lt;=$L$4),ROW(),"-")</f>
        <v>-</v>
      </c>
    </row>
    <row r="21620" customHeight="1" spans="2:2">
      <c r="B21620" s="62" t="str">
        <f>IF(AND('领用录入（明细）'!D:D=$F$4,'领用录入（明细）'!C:C&gt;=$J$4,'领用录入（明细）'!C:C&lt;=$L$4),ROW(),"-")</f>
        <v>-</v>
      </c>
    </row>
    <row r="21621" customHeight="1" spans="2:2">
      <c r="B21621" s="62" t="str">
        <f>IF(AND('领用录入（明细）'!D:D=$F$4,'领用录入（明细）'!C:C&gt;=$J$4,'领用录入（明细）'!C:C&lt;=$L$4),ROW(),"-")</f>
        <v>-</v>
      </c>
    </row>
    <row r="21622" customHeight="1" spans="2:2">
      <c r="B21622" s="62" t="str">
        <f>IF(AND('领用录入（明细）'!D:D=$F$4,'领用录入（明细）'!C:C&gt;=$J$4,'领用录入（明细）'!C:C&lt;=$L$4),ROW(),"-")</f>
        <v>-</v>
      </c>
    </row>
    <row r="21623" customHeight="1" spans="2:2">
      <c r="B21623" s="62" t="str">
        <f>IF(AND('领用录入（明细）'!D:D=$F$4,'领用录入（明细）'!C:C&gt;=$J$4,'领用录入（明细）'!C:C&lt;=$L$4),ROW(),"-")</f>
        <v>-</v>
      </c>
    </row>
    <row r="21624" customHeight="1" spans="2:2">
      <c r="B21624" s="62" t="str">
        <f>IF(AND('领用录入（明细）'!D:D=$F$4,'领用录入（明细）'!C:C&gt;=$J$4,'领用录入（明细）'!C:C&lt;=$L$4),ROW(),"-")</f>
        <v>-</v>
      </c>
    </row>
    <row r="21625" customHeight="1" spans="2:2">
      <c r="B21625" s="62" t="str">
        <f>IF(AND('领用录入（明细）'!D:D=$F$4,'领用录入（明细）'!C:C&gt;=$J$4,'领用录入（明细）'!C:C&lt;=$L$4),ROW(),"-")</f>
        <v>-</v>
      </c>
    </row>
    <row r="21626" customHeight="1" spans="2:2">
      <c r="B21626" s="62" t="str">
        <f>IF(AND('领用录入（明细）'!D:D=$F$4,'领用录入（明细）'!C:C&gt;=$J$4,'领用录入（明细）'!C:C&lt;=$L$4),ROW(),"-")</f>
        <v>-</v>
      </c>
    </row>
    <row r="21627" customHeight="1" spans="2:2">
      <c r="B21627" s="62" t="str">
        <f>IF(AND('领用录入（明细）'!D:D=$F$4,'领用录入（明细）'!C:C&gt;=$J$4,'领用录入（明细）'!C:C&lt;=$L$4),ROW(),"-")</f>
        <v>-</v>
      </c>
    </row>
    <row r="21628" customHeight="1" spans="2:2">
      <c r="B21628" s="62" t="str">
        <f>IF(AND('领用录入（明细）'!D:D=$F$4,'领用录入（明细）'!C:C&gt;=$J$4,'领用录入（明细）'!C:C&lt;=$L$4),ROW(),"-")</f>
        <v>-</v>
      </c>
    </row>
    <row r="21629" customHeight="1" spans="2:2">
      <c r="B21629" s="62" t="str">
        <f>IF(AND('领用录入（明细）'!D:D=$F$4,'领用录入（明细）'!C:C&gt;=$J$4,'领用录入（明细）'!C:C&lt;=$L$4),ROW(),"-")</f>
        <v>-</v>
      </c>
    </row>
    <row r="21630" customHeight="1" spans="2:2">
      <c r="B21630" s="62" t="str">
        <f>IF(AND('领用录入（明细）'!D:D=$F$4,'领用录入（明细）'!C:C&gt;=$J$4,'领用录入（明细）'!C:C&lt;=$L$4),ROW(),"-")</f>
        <v>-</v>
      </c>
    </row>
    <row r="21631" customHeight="1" spans="2:2">
      <c r="B21631" s="62" t="str">
        <f>IF(AND('领用录入（明细）'!D:D=$F$4,'领用录入（明细）'!C:C&gt;=$J$4,'领用录入（明细）'!C:C&lt;=$L$4),ROW(),"-")</f>
        <v>-</v>
      </c>
    </row>
    <row r="21632" customHeight="1" spans="2:2">
      <c r="B21632" s="62" t="str">
        <f>IF(AND('领用录入（明细）'!D:D=$F$4,'领用录入（明细）'!C:C&gt;=$J$4,'领用录入（明细）'!C:C&lt;=$L$4),ROW(),"-")</f>
        <v>-</v>
      </c>
    </row>
    <row r="21633" customHeight="1" spans="2:2">
      <c r="B21633" s="62" t="str">
        <f>IF(AND('领用录入（明细）'!D:D=$F$4,'领用录入（明细）'!C:C&gt;=$J$4,'领用录入（明细）'!C:C&lt;=$L$4),ROW(),"-")</f>
        <v>-</v>
      </c>
    </row>
    <row r="21634" customHeight="1" spans="2:2">
      <c r="B21634" s="62" t="str">
        <f>IF(AND('领用录入（明细）'!D:D=$F$4,'领用录入（明细）'!C:C&gt;=$J$4,'领用录入（明细）'!C:C&lt;=$L$4),ROW(),"-")</f>
        <v>-</v>
      </c>
    </row>
    <row r="21635" customHeight="1" spans="2:2">
      <c r="B21635" s="62" t="str">
        <f>IF(AND('领用录入（明细）'!D:D=$F$4,'领用录入（明细）'!C:C&gt;=$J$4,'领用录入（明细）'!C:C&lt;=$L$4),ROW(),"-")</f>
        <v>-</v>
      </c>
    </row>
    <row r="21636" customHeight="1" spans="2:2">
      <c r="B21636" s="62" t="str">
        <f>IF(AND('领用录入（明细）'!D:D=$F$4,'领用录入（明细）'!C:C&gt;=$J$4,'领用录入（明细）'!C:C&lt;=$L$4),ROW(),"-")</f>
        <v>-</v>
      </c>
    </row>
    <row r="21637" customHeight="1" spans="2:2">
      <c r="B21637" s="62" t="str">
        <f>IF(AND('领用录入（明细）'!D:D=$F$4,'领用录入（明细）'!C:C&gt;=$J$4,'领用录入（明细）'!C:C&lt;=$L$4),ROW(),"-")</f>
        <v>-</v>
      </c>
    </row>
    <row r="21638" customHeight="1" spans="2:2">
      <c r="B21638" s="62" t="str">
        <f>IF(AND('领用录入（明细）'!D:D=$F$4,'领用录入（明细）'!C:C&gt;=$J$4,'领用录入（明细）'!C:C&lt;=$L$4),ROW(),"-")</f>
        <v>-</v>
      </c>
    </row>
    <row r="21639" customHeight="1" spans="2:2">
      <c r="B21639" s="62" t="str">
        <f>IF(AND('领用录入（明细）'!D:D=$F$4,'领用录入（明细）'!C:C&gt;=$J$4,'领用录入（明细）'!C:C&lt;=$L$4),ROW(),"-")</f>
        <v>-</v>
      </c>
    </row>
    <row r="21640" customHeight="1" spans="2:2">
      <c r="B21640" s="62" t="str">
        <f>IF(AND('领用录入（明细）'!D:D=$F$4,'领用录入（明细）'!C:C&gt;=$J$4,'领用录入（明细）'!C:C&lt;=$L$4),ROW(),"-")</f>
        <v>-</v>
      </c>
    </row>
    <row r="21641" customHeight="1" spans="2:2">
      <c r="B21641" s="62" t="str">
        <f>IF(AND('领用录入（明细）'!D:D=$F$4,'领用录入（明细）'!C:C&gt;=$J$4,'领用录入（明细）'!C:C&lt;=$L$4),ROW(),"-")</f>
        <v>-</v>
      </c>
    </row>
    <row r="21642" customHeight="1" spans="2:2">
      <c r="B21642" s="62" t="str">
        <f>IF(AND('领用录入（明细）'!D:D=$F$4,'领用录入（明细）'!C:C&gt;=$J$4,'领用录入（明细）'!C:C&lt;=$L$4),ROW(),"-")</f>
        <v>-</v>
      </c>
    </row>
    <row r="21643" customHeight="1" spans="2:2">
      <c r="B21643" s="62" t="str">
        <f>IF(AND('领用录入（明细）'!D:D=$F$4,'领用录入（明细）'!C:C&gt;=$J$4,'领用录入（明细）'!C:C&lt;=$L$4),ROW(),"-")</f>
        <v>-</v>
      </c>
    </row>
    <row r="21644" customHeight="1" spans="2:2">
      <c r="B21644" s="62" t="str">
        <f>IF(AND('领用录入（明细）'!D:D=$F$4,'领用录入（明细）'!C:C&gt;=$J$4,'领用录入（明细）'!C:C&lt;=$L$4),ROW(),"-")</f>
        <v>-</v>
      </c>
    </row>
    <row r="21645" customHeight="1" spans="2:2">
      <c r="B21645" s="62" t="str">
        <f>IF(AND('领用录入（明细）'!D:D=$F$4,'领用录入（明细）'!C:C&gt;=$J$4,'领用录入（明细）'!C:C&lt;=$L$4),ROW(),"-")</f>
        <v>-</v>
      </c>
    </row>
    <row r="21646" customHeight="1" spans="2:2">
      <c r="B21646" s="62" t="str">
        <f>IF(AND('领用录入（明细）'!D:D=$F$4,'领用录入（明细）'!C:C&gt;=$J$4,'领用录入（明细）'!C:C&lt;=$L$4),ROW(),"-")</f>
        <v>-</v>
      </c>
    </row>
    <row r="21647" customHeight="1" spans="2:2">
      <c r="B21647" s="62" t="str">
        <f>IF(AND('领用录入（明细）'!D:D=$F$4,'领用录入（明细）'!C:C&gt;=$J$4,'领用录入（明细）'!C:C&lt;=$L$4),ROW(),"-")</f>
        <v>-</v>
      </c>
    </row>
    <row r="21648" customHeight="1" spans="2:2">
      <c r="B21648" s="62" t="str">
        <f>IF(AND('领用录入（明细）'!D:D=$F$4,'领用录入（明细）'!C:C&gt;=$J$4,'领用录入（明细）'!C:C&lt;=$L$4),ROW(),"-")</f>
        <v>-</v>
      </c>
    </row>
    <row r="21649" customHeight="1" spans="2:2">
      <c r="B21649" s="62" t="str">
        <f>IF(AND('领用录入（明细）'!D:D=$F$4,'领用录入（明细）'!C:C&gt;=$J$4,'领用录入（明细）'!C:C&lt;=$L$4),ROW(),"-")</f>
        <v>-</v>
      </c>
    </row>
    <row r="21650" customHeight="1" spans="2:2">
      <c r="B21650" s="62" t="str">
        <f>IF(AND('领用录入（明细）'!D:D=$F$4,'领用录入（明细）'!C:C&gt;=$J$4,'领用录入（明细）'!C:C&lt;=$L$4),ROW(),"-")</f>
        <v>-</v>
      </c>
    </row>
    <row r="21651" customHeight="1" spans="2:2">
      <c r="B21651" s="62" t="str">
        <f>IF(AND('领用录入（明细）'!D:D=$F$4,'领用录入（明细）'!C:C&gt;=$J$4,'领用录入（明细）'!C:C&lt;=$L$4),ROW(),"-")</f>
        <v>-</v>
      </c>
    </row>
    <row r="21652" customHeight="1" spans="2:2">
      <c r="B21652" s="62" t="str">
        <f>IF(AND('领用录入（明细）'!D:D=$F$4,'领用录入（明细）'!C:C&gt;=$J$4,'领用录入（明细）'!C:C&lt;=$L$4),ROW(),"-")</f>
        <v>-</v>
      </c>
    </row>
    <row r="21653" customHeight="1" spans="2:2">
      <c r="B21653" s="62" t="str">
        <f>IF(AND('领用录入（明细）'!D:D=$F$4,'领用录入（明细）'!C:C&gt;=$J$4,'领用录入（明细）'!C:C&lt;=$L$4),ROW(),"-")</f>
        <v>-</v>
      </c>
    </row>
    <row r="21654" customHeight="1" spans="2:2">
      <c r="B21654" s="62" t="str">
        <f>IF(AND('领用录入（明细）'!D:D=$F$4,'领用录入（明细）'!C:C&gt;=$J$4,'领用录入（明细）'!C:C&lt;=$L$4),ROW(),"-")</f>
        <v>-</v>
      </c>
    </row>
    <row r="21655" customHeight="1" spans="2:2">
      <c r="B21655" s="62" t="str">
        <f>IF(AND('领用录入（明细）'!D:D=$F$4,'领用录入（明细）'!C:C&gt;=$J$4,'领用录入（明细）'!C:C&lt;=$L$4),ROW(),"-")</f>
        <v>-</v>
      </c>
    </row>
    <row r="21656" customHeight="1" spans="2:2">
      <c r="B21656" s="62" t="str">
        <f>IF(AND('领用录入（明细）'!D:D=$F$4,'领用录入（明细）'!C:C&gt;=$J$4,'领用录入（明细）'!C:C&lt;=$L$4),ROW(),"-")</f>
        <v>-</v>
      </c>
    </row>
    <row r="21657" customHeight="1" spans="2:2">
      <c r="B21657" s="62" t="str">
        <f>IF(AND('领用录入（明细）'!D:D=$F$4,'领用录入（明细）'!C:C&gt;=$J$4,'领用录入（明细）'!C:C&lt;=$L$4),ROW(),"-")</f>
        <v>-</v>
      </c>
    </row>
    <row r="21658" customHeight="1" spans="2:2">
      <c r="B21658" s="62" t="str">
        <f>IF(AND('领用录入（明细）'!D:D=$F$4,'领用录入（明细）'!C:C&gt;=$J$4,'领用录入（明细）'!C:C&lt;=$L$4),ROW(),"-")</f>
        <v>-</v>
      </c>
    </row>
    <row r="21659" customHeight="1" spans="2:2">
      <c r="B21659" s="62" t="str">
        <f>IF(AND('领用录入（明细）'!D:D=$F$4,'领用录入（明细）'!C:C&gt;=$J$4,'领用录入（明细）'!C:C&lt;=$L$4),ROW(),"-")</f>
        <v>-</v>
      </c>
    </row>
    <row r="21660" customHeight="1" spans="2:2">
      <c r="B21660" s="62" t="str">
        <f>IF(AND('领用录入（明细）'!D:D=$F$4,'领用录入（明细）'!C:C&gt;=$J$4,'领用录入（明细）'!C:C&lt;=$L$4),ROW(),"-")</f>
        <v>-</v>
      </c>
    </row>
    <row r="21661" customHeight="1" spans="2:2">
      <c r="B21661" s="62" t="str">
        <f>IF(AND('领用录入（明细）'!D:D=$F$4,'领用录入（明细）'!C:C&gt;=$J$4,'领用录入（明细）'!C:C&lt;=$L$4),ROW(),"-")</f>
        <v>-</v>
      </c>
    </row>
    <row r="21662" customHeight="1" spans="2:2">
      <c r="B21662" s="62" t="str">
        <f>IF(AND('领用录入（明细）'!D:D=$F$4,'领用录入（明细）'!C:C&gt;=$J$4,'领用录入（明细）'!C:C&lt;=$L$4),ROW(),"-")</f>
        <v>-</v>
      </c>
    </row>
    <row r="21663" customHeight="1" spans="2:2">
      <c r="B21663" s="62" t="str">
        <f>IF(AND('领用录入（明细）'!D:D=$F$4,'领用录入（明细）'!C:C&gt;=$J$4,'领用录入（明细）'!C:C&lt;=$L$4),ROW(),"-")</f>
        <v>-</v>
      </c>
    </row>
    <row r="21664" customHeight="1" spans="2:2">
      <c r="B21664" s="62" t="str">
        <f>IF(AND('领用录入（明细）'!D:D=$F$4,'领用录入（明细）'!C:C&gt;=$J$4,'领用录入（明细）'!C:C&lt;=$L$4),ROW(),"-")</f>
        <v>-</v>
      </c>
    </row>
    <row r="21665" customHeight="1" spans="2:2">
      <c r="B21665" s="62" t="str">
        <f>IF(AND('领用录入（明细）'!D:D=$F$4,'领用录入（明细）'!C:C&gt;=$J$4,'领用录入（明细）'!C:C&lt;=$L$4),ROW(),"-")</f>
        <v>-</v>
      </c>
    </row>
    <row r="21666" customHeight="1" spans="2:2">
      <c r="B21666" s="62" t="str">
        <f>IF(AND('领用录入（明细）'!D:D=$F$4,'领用录入（明细）'!C:C&gt;=$J$4,'领用录入（明细）'!C:C&lt;=$L$4),ROW(),"-")</f>
        <v>-</v>
      </c>
    </row>
    <row r="21667" customHeight="1" spans="2:2">
      <c r="B21667" s="62" t="str">
        <f>IF(AND('领用录入（明细）'!D:D=$F$4,'领用录入（明细）'!C:C&gt;=$J$4,'领用录入（明细）'!C:C&lt;=$L$4),ROW(),"-")</f>
        <v>-</v>
      </c>
    </row>
    <row r="21668" customHeight="1" spans="2:2">
      <c r="B21668" s="62" t="str">
        <f>IF(AND('领用录入（明细）'!D:D=$F$4,'领用录入（明细）'!C:C&gt;=$J$4,'领用录入（明细）'!C:C&lt;=$L$4),ROW(),"-")</f>
        <v>-</v>
      </c>
    </row>
    <row r="21669" customHeight="1" spans="2:2">
      <c r="B21669" s="62" t="str">
        <f>IF(AND('领用录入（明细）'!D:D=$F$4,'领用录入（明细）'!C:C&gt;=$J$4,'领用录入（明细）'!C:C&lt;=$L$4),ROW(),"-")</f>
        <v>-</v>
      </c>
    </row>
    <row r="21670" customHeight="1" spans="2:2">
      <c r="B21670" s="62" t="str">
        <f>IF(AND('领用录入（明细）'!D:D=$F$4,'领用录入（明细）'!C:C&gt;=$J$4,'领用录入（明细）'!C:C&lt;=$L$4),ROW(),"-")</f>
        <v>-</v>
      </c>
    </row>
    <row r="21671" customHeight="1" spans="2:2">
      <c r="B21671" s="62" t="str">
        <f>IF(AND('领用录入（明细）'!D:D=$F$4,'领用录入（明细）'!C:C&gt;=$J$4,'领用录入（明细）'!C:C&lt;=$L$4),ROW(),"-")</f>
        <v>-</v>
      </c>
    </row>
    <row r="21672" customHeight="1" spans="2:2">
      <c r="B21672" s="62" t="str">
        <f>IF(AND('领用录入（明细）'!D:D=$F$4,'领用录入（明细）'!C:C&gt;=$J$4,'领用录入（明细）'!C:C&lt;=$L$4),ROW(),"-")</f>
        <v>-</v>
      </c>
    </row>
    <row r="21673" customHeight="1" spans="2:2">
      <c r="B21673" s="62" t="str">
        <f>IF(AND('领用录入（明细）'!D:D=$F$4,'领用录入（明细）'!C:C&gt;=$J$4,'领用录入（明细）'!C:C&lt;=$L$4),ROW(),"-")</f>
        <v>-</v>
      </c>
    </row>
    <row r="21674" customHeight="1" spans="2:2">
      <c r="B21674" s="62" t="str">
        <f>IF(AND('领用录入（明细）'!D:D=$F$4,'领用录入（明细）'!C:C&gt;=$J$4,'领用录入（明细）'!C:C&lt;=$L$4),ROW(),"-")</f>
        <v>-</v>
      </c>
    </row>
    <row r="21675" customHeight="1" spans="2:2">
      <c r="B21675" s="62" t="str">
        <f>IF(AND('领用录入（明细）'!D:D=$F$4,'领用录入（明细）'!C:C&gt;=$J$4,'领用录入（明细）'!C:C&lt;=$L$4),ROW(),"-")</f>
        <v>-</v>
      </c>
    </row>
    <row r="21676" customHeight="1" spans="2:2">
      <c r="B21676" s="62" t="str">
        <f>IF(AND('领用录入（明细）'!D:D=$F$4,'领用录入（明细）'!C:C&gt;=$J$4,'领用录入（明细）'!C:C&lt;=$L$4),ROW(),"-")</f>
        <v>-</v>
      </c>
    </row>
    <row r="21677" customHeight="1" spans="2:2">
      <c r="B21677" s="62" t="str">
        <f>IF(AND('领用录入（明细）'!D:D=$F$4,'领用录入（明细）'!C:C&gt;=$J$4,'领用录入（明细）'!C:C&lt;=$L$4),ROW(),"-")</f>
        <v>-</v>
      </c>
    </row>
    <row r="21678" customHeight="1" spans="2:2">
      <c r="B21678" s="62" t="str">
        <f>IF(AND('领用录入（明细）'!D:D=$F$4,'领用录入（明细）'!C:C&gt;=$J$4,'领用录入（明细）'!C:C&lt;=$L$4),ROW(),"-")</f>
        <v>-</v>
      </c>
    </row>
    <row r="21679" customHeight="1" spans="2:2">
      <c r="B21679" s="62" t="str">
        <f>IF(AND('领用录入（明细）'!D:D=$F$4,'领用录入（明细）'!C:C&gt;=$J$4,'领用录入（明细）'!C:C&lt;=$L$4),ROW(),"-")</f>
        <v>-</v>
      </c>
    </row>
    <row r="21680" customHeight="1" spans="2:2">
      <c r="B21680" s="62" t="str">
        <f>IF(AND('领用录入（明细）'!D:D=$F$4,'领用录入（明细）'!C:C&gt;=$J$4,'领用录入（明细）'!C:C&lt;=$L$4),ROW(),"-")</f>
        <v>-</v>
      </c>
    </row>
    <row r="21681" customHeight="1" spans="2:2">
      <c r="B21681" s="62" t="str">
        <f>IF(AND('领用录入（明细）'!D:D=$F$4,'领用录入（明细）'!C:C&gt;=$J$4,'领用录入（明细）'!C:C&lt;=$L$4),ROW(),"-")</f>
        <v>-</v>
      </c>
    </row>
    <row r="21682" customHeight="1" spans="2:2">
      <c r="B21682" s="62" t="str">
        <f>IF(AND('领用录入（明细）'!D:D=$F$4,'领用录入（明细）'!C:C&gt;=$J$4,'领用录入（明细）'!C:C&lt;=$L$4),ROW(),"-")</f>
        <v>-</v>
      </c>
    </row>
    <row r="21683" customHeight="1" spans="2:2">
      <c r="B21683" s="62" t="str">
        <f>IF(AND('领用录入（明细）'!D:D=$F$4,'领用录入（明细）'!C:C&gt;=$J$4,'领用录入（明细）'!C:C&lt;=$L$4),ROW(),"-")</f>
        <v>-</v>
      </c>
    </row>
    <row r="21684" customHeight="1" spans="2:2">
      <c r="B21684" s="62" t="str">
        <f>IF(AND('领用录入（明细）'!D:D=$F$4,'领用录入（明细）'!C:C&gt;=$J$4,'领用录入（明细）'!C:C&lt;=$L$4),ROW(),"-")</f>
        <v>-</v>
      </c>
    </row>
    <row r="21685" customHeight="1" spans="2:2">
      <c r="B21685" s="62" t="str">
        <f>IF(AND('领用录入（明细）'!D:D=$F$4,'领用录入（明细）'!C:C&gt;=$J$4,'领用录入（明细）'!C:C&lt;=$L$4),ROW(),"-")</f>
        <v>-</v>
      </c>
    </row>
    <row r="21686" customHeight="1" spans="2:2">
      <c r="B21686" s="62" t="str">
        <f>IF(AND('领用录入（明细）'!D:D=$F$4,'领用录入（明细）'!C:C&gt;=$J$4,'领用录入（明细）'!C:C&lt;=$L$4),ROW(),"-")</f>
        <v>-</v>
      </c>
    </row>
    <row r="21687" customHeight="1" spans="2:2">
      <c r="B21687" s="62" t="str">
        <f>IF(AND('领用录入（明细）'!D:D=$F$4,'领用录入（明细）'!C:C&gt;=$J$4,'领用录入（明细）'!C:C&lt;=$L$4),ROW(),"-")</f>
        <v>-</v>
      </c>
    </row>
    <row r="21688" customHeight="1" spans="2:2">
      <c r="B21688" s="62" t="str">
        <f>IF(AND('领用录入（明细）'!D:D=$F$4,'领用录入（明细）'!C:C&gt;=$J$4,'领用录入（明细）'!C:C&lt;=$L$4),ROW(),"-")</f>
        <v>-</v>
      </c>
    </row>
    <row r="21689" customHeight="1" spans="2:2">
      <c r="B21689" s="62" t="str">
        <f>IF(AND('领用录入（明细）'!D:D=$F$4,'领用录入（明细）'!C:C&gt;=$J$4,'领用录入（明细）'!C:C&lt;=$L$4),ROW(),"-")</f>
        <v>-</v>
      </c>
    </row>
    <row r="21690" customHeight="1" spans="2:2">
      <c r="B21690" s="62" t="str">
        <f>IF(AND('领用录入（明细）'!D:D=$F$4,'领用录入（明细）'!C:C&gt;=$J$4,'领用录入（明细）'!C:C&lt;=$L$4),ROW(),"-")</f>
        <v>-</v>
      </c>
    </row>
    <row r="21691" customHeight="1" spans="2:2">
      <c r="B21691" s="62" t="str">
        <f>IF(AND('领用录入（明细）'!D:D=$F$4,'领用录入（明细）'!C:C&gt;=$J$4,'领用录入（明细）'!C:C&lt;=$L$4),ROW(),"-")</f>
        <v>-</v>
      </c>
    </row>
    <row r="21692" customHeight="1" spans="2:2">
      <c r="B21692" s="62" t="str">
        <f>IF(AND('领用录入（明细）'!D:D=$F$4,'领用录入（明细）'!C:C&gt;=$J$4,'领用录入（明细）'!C:C&lt;=$L$4),ROW(),"-")</f>
        <v>-</v>
      </c>
    </row>
    <row r="21693" customHeight="1" spans="2:2">
      <c r="B21693" s="62" t="str">
        <f>IF(AND('领用录入（明细）'!D:D=$F$4,'领用录入（明细）'!C:C&gt;=$J$4,'领用录入（明细）'!C:C&lt;=$L$4),ROW(),"-")</f>
        <v>-</v>
      </c>
    </row>
    <row r="21694" customHeight="1" spans="2:2">
      <c r="B21694" s="62" t="str">
        <f>IF(AND('领用录入（明细）'!D:D=$F$4,'领用录入（明细）'!C:C&gt;=$J$4,'领用录入（明细）'!C:C&lt;=$L$4),ROW(),"-")</f>
        <v>-</v>
      </c>
    </row>
    <row r="21695" customHeight="1" spans="2:2">
      <c r="B21695" s="62" t="str">
        <f>IF(AND('领用录入（明细）'!D:D=$F$4,'领用录入（明细）'!C:C&gt;=$J$4,'领用录入（明细）'!C:C&lt;=$L$4),ROW(),"-")</f>
        <v>-</v>
      </c>
    </row>
    <row r="21696" customHeight="1" spans="2:2">
      <c r="B21696" s="62" t="str">
        <f>IF(AND('领用录入（明细）'!D:D=$F$4,'领用录入（明细）'!C:C&gt;=$J$4,'领用录入（明细）'!C:C&lt;=$L$4),ROW(),"-")</f>
        <v>-</v>
      </c>
    </row>
    <row r="21697" customHeight="1" spans="2:2">
      <c r="B21697" s="62" t="str">
        <f>IF(AND('领用录入（明细）'!D:D=$F$4,'领用录入（明细）'!C:C&gt;=$J$4,'领用录入（明细）'!C:C&lt;=$L$4),ROW(),"-")</f>
        <v>-</v>
      </c>
    </row>
    <row r="21698" customHeight="1" spans="2:2">
      <c r="B21698" s="62" t="str">
        <f>IF(AND('领用录入（明细）'!D:D=$F$4,'领用录入（明细）'!C:C&gt;=$J$4,'领用录入（明细）'!C:C&lt;=$L$4),ROW(),"-")</f>
        <v>-</v>
      </c>
    </row>
    <row r="21699" customHeight="1" spans="2:2">
      <c r="B21699" s="62" t="str">
        <f>IF(AND('领用录入（明细）'!D:D=$F$4,'领用录入（明细）'!C:C&gt;=$J$4,'领用录入（明细）'!C:C&lt;=$L$4),ROW(),"-")</f>
        <v>-</v>
      </c>
    </row>
    <row r="21700" customHeight="1" spans="2:2">
      <c r="B21700" s="62" t="str">
        <f>IF(AND('领用录入（明细）'!D:D=$F$4,'领用录入（明细）'!C:C&gt;=$J$4,'领用录入（明细）'!C:C&lt;=$L$4),ROW(),"-")</f>
        <v>-</v>
      </c>
    </row>
    <row r="21701" customHeight="1" spans="2:2">
      <c r="B21701" s="62" t="str">
        <f>IF(AND('领用录入（明细）'!D:D=$F$4,'领用录入（明细）'!C:C&gt;=$J$4,'领用录入（明细）'!C:C&lt;=$L$4),ROW(),"-")</f>
        <v>-</v>
      </c>
    </row>
    <row r="21702" customHeight="1" spans="2:2">
      <c r="B21702" s="62" t="str">
        <f>IF(AND('领用录入（明细）'!D:D=$F$4,'领用录入（明细）'!C:C&gt;=$J$4,'领用录入（明细）'!C:C&lt;=$L$4),ROW(),"-")</f>
        <v>-</v>
      </c>
    </row>
    <row r="21703" customHeight="1" spans="2:2">
      <c r="B21703" s="62" t="str">
        <f>IF(AND('领用录入（明细）'!D:D=$F$4,'领用录入（明细）'!C:C&gt;=$J$4,'领用录入（明细）'!C:C&lt;=$L$4),ROW(),"-")</f>
        <v>-</v>
      </c>
    </row>
    <row r="21704" customHeight="1" spans="2:2">
      <c r="B21704" s="62" t="str">
        <f>IF(AND('领用录入（明细）'!D:D=$F$4,'领用录入（明细）'!C:C&gt;=$J$4,'领用录入（明细）'!C:C&lt;=$L$4),ROW(),"-")</f>
        <v>-</v>
      </c>
    </row>
    <row r="21705" customHeight="1" spans="2:2">
      <c r="B21705" s="62" t="str">
        <f>IF(AND('领用录入（明细）'!D:D=$F$4,'领用录入（明细）'!C:C&gt;=$J$4,'领用录入（明细）'!C:C&lt;=$L$4),ROW(),"-")</f>
        <v>-</v>
      </c>
    </row>
    <row r="21706" customHeight="1" spans="2:2">
      <c r="B21706" s="62" t="str">
        <f>IF(AND('领用录入（明细）'!D:D=$F$4,'领用录入（明细）'!C:C&gt;=$J$4,'领用录入（明细）'!C:C&lt;=$L$4),ROW(),"-")</f>
        <v>-</v>
      </c>
    </row>
    <row r="21707" customHeight="1" spans="2:2">
      <c r="B21707" s="62" t="str">
        <f>IF(AND('领用录入（明细）'!D:D=$F$4,'领用录入（明细）'!C:C&gt;=$J$4,'领用录入（明细）'!C:C&lt;=$L$4),ROW(),"-")</f>
        <v>-</v>
      </c>
    </row>
    <row r="21708" customHeight="1" spans="2:2">
      <c r="B21708" s="62" t="str">
        <f>IF(AND('领用录入（明细）'!D:D=$F$4,'领用录入（明细）'!C:C&gt;=$J$4,'领用录入（明细）'!C:C&lt;=$L$4),ROW(),"-")</f>
        <v>-</v>
      </c>
    </row>
    <row r="21709" customHeight="1" spans="2:2">
      <c r="B21709" s="62" t="str">
        <f>IF(AND('领用录入（明细）'!D:D=$F$4,'领用录入（明细）'!C:C&gt;=$J$4,'领用录入（明细）'!C:C&lt;=$L$4),ROW(),"-")</f>
        <v>-</v>
      </c>
    </row>
    <row r="21710" customHeight="1" spans="2:2">
      <c r="B21710" s="62" t="str">
        <f>IF(AND('领用录入（明细）'!D:D=$F$4,'领用录入（明细）'!C:C&gt;=$J$4,'领用录入（明细）'!C:C&lt;=$L$4),ROW(),"-")</f>
        <v>-</v>
      </c>
    </row>
    <row r="21711" customHeight="1" spans="2:2">
      <c r="B21711" s="62" t="str">
        <f>IF(AND('领用录入（明细）'!D:D=$F$4,'领用录入（明细）'!C:C&gt;=$J$4,'领用录入（明细）'!C:C&lt;=$L$4),ROW(),"-")</f>
        <v>-</v>
      </c>
    </row>
    <row r="21712" customHeight="1" spans="2:2">
      <c r="B21712" s="62" t="str">
        <f>IF(AND('领用录入（明细）'!D:D=$F$4,'领用录入（明细）'!C:C&gt;=$J$4,'领用录入（明细）'!C:C&lt;=$L$4),ROW(),"-")</f>
        <v>-</v>
      </c>
    </row>
    <row r="21713" customHeight="1" spans="2:2">
      <c r="B21713" s="62" t="str">
        <f>IF(AND('领用录入（明细）'!D:D=$F$4,'领用录入（明细）'!C:C&gt;=$J$4,'领用录入（明细）'!C:C&lt;=$L$4),ROW(),"-")</f>
        <v>-</v>
      </c>
    </row>
    <row r="21714" customHeight="1" spans="2:2">
      <c r="B21714" s="62" t="str">
        <f>IF(AND('领用录入（明细）'!D:D=$F$4,'领用录入（明细）'!C:C&gt;=$J$4,'领用录入（明细）'!C:C&lt;=$L$4),ROW(),"-")</f>
        <v>-</v>
      </c>
    </row>
    <row r="21715" customHeight="1" spans="2:2">
      <c r="B21715" s="62" t="str">
        <f>IF(AND('领用录入（明细）'!D:D=$F$4,'领用录入（明细）'!C:C&gt;=$J$4,'领用录入（明细）'!C:C&lt;=$L$4),ROW(),"-")</f>
        <v>-</v>
      </c>
    </row>
    <row r="21716" customHeight="1" spans="2:2">
      <c r="B21716" s="62" t="str">
        <f>IF(AND('领用录入（明细）'!D:D=$F$4,'领用录入（明细）'!C:C&gt;=$J$4,'领用录入（明细）'!C:C&lt;=$L$4),ROW(),"-")</f>
        <v>-</v>
      </c>
    </row>
    <row r="21717" customHeight="1" spans="2:2">
      <c r="B21717" s="62" t="str">
        <f>IF(AND('领用录入（明细）'!D:D=$F$4,'领用录入（明细）'!C:C&gt;=$J$4,'领用录入（明细）'!C:C&lt;=$L$4),ROW(),"-")</f>
        <v>-</v>
      </c>
    </row>
    <row r="21718" customHeight="1" spans="2:2">
      <c r="B21718" s="62" t="str">
        <f>IF(AND('领用录入（明细）'!D:D=$F$4,'领用录入（明细）'!C:C&gt;=$J$4,'领用录入（明细）'!C:C&lt;=$L$4),ROW(),"-")</f>
        <v>-</v>
      </c>
    </row>
    <row r="21719" customHeight="1" spans="2:2">
      <c r="B21719" s="62" t="str">
        <f>IF(AND('领用录入（明细）'!D:D=$F$4,'领用录入（明细）'!C:C&gt;=$J$4,'领用录入（明细）'!C:C&lt;=$L$4),ROW(),"-")</f>
        <v>-</v>
      </c>
    </row>
    <row r="21720" customHeight="1" spans="2:2">
      <c r="B21720" s="62" t="str">
        <f>IF(AND('领用录入（明细）'!D:D=$F$4,'领用录入（明细）'!C:C&gt;=$J$4,'领用录入（明细）'!C:C&lt;=$L$4),ROW(),"-")</f>
        <v>-</v>
      </c>
    </row>
    <row r="21721" customHeight="1" spans="2:2">
      <c r="B21721" s="62" t="str">
        <f>IF(AND('领用录入（明细）'!D:D=$F$4,'领用录入（明细）'!C:C&gt;=$J$4,'领用录入（明细）'!C:C&lt;=$L$4),ROW(),"-")</f>
        <v>-</v>
      </c>
    </row>
    <row r="21722" customHeight="1" spans="2:2">
      <c r="B21722" s="62" t="str">
        <f>IF(AND('领用录入（明细）'!D:D=$F$4,'领用录入（明细）'!C:C&gt;=$J$4,'领用录入（明细）'!C:C&lt;=$L$4),ROW(),"-")</f>
        <v>-</v>
      </c>
    </row>
    <row r="21723" customHeight="1" spans="2:2">
      <c r="B21723" s="62" t="str">
        <f>IF(AND('领用录入（明细）'!D:D=$F$4,'领用录入（明细）'!C:C&gt;=$J$4,'领用录入（明细）'!C:C&lt;=$L$4),ROW(),"-")</f>
        <v>-</v>
      </c>
    </row>
    <row r="21724" customHeight="1" spans="2:2">
      <c r="B21724" s="62" t="str">
        <f>IF(AND('领用录入（明细）'!D:D=$F$4,'领用录入（明细）'!C:C&gt;=$J$4,'领用录入（明细）'!C:C&lt;=$L$4),ROW(),"-")</f>
        <v>-</v>
      </c>
    </row>
    <row r="21725" customHeight="1" spans="2:2">
      <c r="B21725" s="62" t="str">
        <f>IF(AND('领用录入（明细）'!D:D=$F$4,'领用录入（明细）'!C:C&gt;=$J$4,'领用录入（明细）'!C:C&lt;=$L$4),ROW(),"-")</f>
        <v>-</v>
      </c>
    </row>
    <row r="21726" customHeight="1" spans="2:2">
      <c r="B21726" s="62" t="str">
        <f>IF(AND('领用录入（明细）'!D:D=$F$4,'领用录入（明细）'!C:C&gt;=$J$4,'领用录入（明细）'!C:C&lt;=$L$4),ROW(),"-")</f>
        <v>-</v>
      </c>
    </row>
    <row r="21727" customHeight="1" spans="2:2">
      <c r="B21727" s="62" t="str">
        <f>IF(AND('领用录入（明细）'!D:D=$F$4,'领用录入（明细）'!C:C&gt;=$J$4,'领用录入（明细）'!C:C&lt;=$L$4),ROW(),"-")</f>
        <v>-</v>
      </c>
    </row>
    <row r="21728" customHeight="1" spans="2:2">
      <c r="B21728" s="62" t="str">
        <f>IF(AND('领用录入（明细）'!D:D=$F$4,'领用录入（明细）'!C:C&gt;=$J$4,'领用录入（明细）'!C:C&lt;=$L$4),ROW(),"-")</f>
        <v>-</v>
      </c>
    </row>
    <row r="21729" customHeight="1" spans="2:2">
      <c r="B21729" s="62" t="str">
        <f>IF(AND('领用录入（明细）'!D:D=$F$4,'领用录入（明细）'!C:C&gt;=$J$4,'领用录入（明细）'!C:C&lt;=$L$4),ROW(),"-")</f>
        <v>-</v>
      </c>
    </row>
    <row r="21730" customHeight="1" spans="2:2">
      <c r="B21730" s="62" t="str">
        <f>IF(AND('领用录入（明细）'!D:D=$F$4,'领用录入（明细）'!C:C&gt;=$J$4,'领用录入（明细）'!C:C&lt;=$L$4),ROW(),"-")</f>
        <v>-</v>
      </c>
    </row>
    <row r="21731" customHeight="1" spans="2:2">
      <c r="B21731" s="62" t="str">
        <f>IF(AND('领用录入（明细）'!D:D=$F$4,'领用录入（明细）'!C:C&gt;=$J$4,'领用录入（明细）'!C:C&lt;=$L$4),ROW(),"-")</f>
        <v>-</v>
      </c>
    </row>
    <row r="21732" customHeight="1" spans="2:2">
      <c r="B21732" s="62" t="str">
        <f>IF(AND('领用录入（明细）'!D:D=$F$4,'领用录入（明细）'!C:C&gt;=$J$4,'领用录入（明细）'!C:C&lt;=$L$4),ROW(),"-")</f>
        <v>-</v>
      </c>
    </row>
    <row r="21733" customHeight="1" spans="2:2">
      <c r="B21733" s="62" t="str">
        <f>IF(AND('领用录入（明细）'!D:D=$F$4,'领用录入（明细）'!C:C&gt;=$J$4,'领用录入（明细）'!C:C&lt;=$L$4),ROW(),"-")</f>
        <v>-</v>
      </c>
    </row>
    <row r="21734" customHeight="1" spans="2:2">
      <c r="B21734" s="62" t="str">
        <f>IF(AND('领用录入（明细）'!D:D=$F$4,'领用录入（明细）'!C:C&gt;=$J$4,'领用录入（明细）'!C:C&lt;=$L$4),ROW(),"-")</f>
        <v>-</v>
      </c>
    </row>
    <row r="21735" customHeight="1" spans="2:2">
      <c r="B21735" s="62" t="str">
        <f>IF(AND('领用录入（明细）'!D:D=$F$4,'领用录入（明细）'!C:C&gt;=$J$4,'领用录入（明细）'!C:C&lt;=$L$4),ROW(),"-")</f>
        <v>-</v>
      </c>
    </row>
    <row r="21736" customHeight="1" spans="2:2">
      <c r="B21736" s="62" t="str">
        <f>IF(AND('领用录入（明细）'!D:D=$F$4,'领用录入（明细）'!C:C&gt;=$J$4,'领用录入（明细）'!C:C&lt;=$L$4),ROW(),"-")</f>
        <v>-</v>
      </c>
    </row>
    <row r="21737" customHeight="1" spans="2:2">
      <c r="B21737" s="62" t="str">
        <f>IF(AND('领用录入（明细）'!D:D=$F$4,'领用录入（明细）'!C:C&gt;=$J$4,'领用录入（明细）'!C:C&lt;=$L$4),ROW(),"-")</f>
        <v>-</v>
      </c>
    </row>
    <row r="21738" customHeight="1" spans="2:2">
      <c r="B21738" s="62" t="str">
        <f>IF(AND('领用录入（明细）'!D:D=$F$4,'领用录入（明细）'!C:C&gt;=$J$4,'领用录入（明细）'!C:C&lt;=$L$4),ROW(),"-")</f>
        <v>-</v>
      </c>
    </row>
    <row r="21739" customHeight="1" spans="2:2">
      <c r="B21739" s="62" t="str">
        <f>IF(AND('领用录入（明细）'!D:D=$F$4,'领用录入（明细）'!C:C&gt;=$J$4,'领用录入（明细）'!C:C&lt;=$L$4),ROW(),"-")</f>
        <v>-</v>
      </c>
    </row>
    <row r="21740" customHeight="1" spans="2:2">
      <c r="B21740" s="62" t="str">
        <f>IF(AND('领用录入（明细）'!D:D=$F$4,'领用录入（明细）'!C:C&gt;=$J$4,'领用录入（明细）'!C:C&lt;=$L$4),ROW(),"-")</f>
        <v>-</v>
      </c>
    </row>
    <row r="21741" customHeight="1" spans="2:2">
      <c r="B21741" s="62" t="str">
        <f>IF(AND('领用录入（明细）'!D:D=$F$4,'领用录入（明细）'!C:C&gt;=$J$4,'领用录入（明细）'!C:C&lt;=$L$4),ROW(),"-")</f>
        <v>-</v>
      </c>
    </row>
    <row r="21742" customHeight="1" spans="2:2">
      <c r="B21742" s="62" t="str">
        <f>IF(AND('领用录入（明细）'!D:D=$F$4,'领用录入（明细）'!C:C&gt;=$J$4,'领用录入（明细）'!C:C&lt;=$L$4),ROW(),"-")</f>
        <v>-</v>
      </c>
    </row>
    <row r="21743" customHeight="1" spans="2:2">
      <c r="B21743" s="62" t="str">
        <f>IF(AND('领用录入（明细）'!D:D=$F$4,'领用录入（明细）'!C:C&gt;=$J$4,'领用录入（明细）'!C:C&lt;=$L$4),ROW(),"-")</f>
        <v>-</v>
      </c>
    </row>
    <row r="21744" customHeight="1" spans="2:2">
      <c r="B21744" s="62" t="str">
        <f>IF(AND('领用录入（明细）'!D:D=$F$4,'领用录入（明细）'!C:C&gt;=$J$4,'领用录入（明细）'!C:C&lt;=$L$4),ROW(),"-")</f>
        <v>-</v>
      </c>
    </row>
    <row r="21745" customHeight="1" spans="2:2">
      <c r="B21745" s="62" t="str">
        <f>IF(AND('领用录入（明细）'!D:D=$F$4,'领用录入（明细）'!C:C&gt;=$J$4,'领用录入（明细）'!C:C&lt;=$L$4),ROW(),"-")</f>
        <v>-</v>
      </c>
    </row>
    <row r="21746" customHeight="1" spans="2:2">
      <c r="B21746" s="62" t="str">
        <f>IF(AND('领用录入（明细）'!D:D=$F$4,'领用录入（明细）'!C:C&gt;=$J$4,'领用录入（明细）'!C:C&lt;=$L$4),ROW(),"-")</f>
        <v>-</v>
      </c>
    </row>
    <row r="21747" customHeight="1" spans="2:2">
      <c r="B21747" s="62" t="str">
        <f>IF(AND('领用录入（明细）'!D:D=$F$4,'领用录入（明细）'!C:C&gt;=$J$4,'领用录入（明细）'!C:C&lt;=$L$4),ROW(),"-")</f>
        <v>-</v>
      </c>
    </row>
    <row r="21748" customHeight="1" spans="2:2">
      <c r="B21748" s="62" t="str">
        <f>IF(AND('领用录入（明细）'!D:D=$F$4,'领用录入（明细）'!C:C&gt;=$J$4,'领用录入（明细）'!C:C&lt;=$L$4),ROW(),"-")</f>
        <v>-</v>
      </c>
    </row>
    <row r="21749" customHeight="1" spans="2:2">
      <c r="B21749" s="62" t="str">
        <f>IF(AND('领用录入（明细）'!D:D=$F$4,'领用录入（明细）'!C:C&gt;=$J$4,'领用录入（明细）'!C:C&lt;=$L$4),ROW(),"-")</f>
        <v>-</v>
      </c>
    </row>
    <row r="21750" customHeight="1" spans="2:2">
      <c r="B21750" s="62" t="str">
        <f>IF(AND('领用录入（明细）'!D:D=$F$4,'领用录入（明细）'!C:C&gt;=$J$4,'领用录入（明细）'!C:C&lt;=$L$4),ROW(),"-")</f>
        <v>-</v>
      </c>
    </row>
    <row r="21751" customHeight="1" spans="2:2">
      <c r="B21751" s="62" t="str">
        <f>IF(AND('领用录入（明细）'!D:D=$F$4,'领用录入（明细）'!C:C&gt;=$J$4,'领用录入（明细）'!C:C&lt;=$L$4),ROW(),"-")</f>
        <v>-</v>
      </c>
    </row>
    <row r="21752" customHeight="1" spans="2:2">
      <c r="B21752" s="62" t="str">
        <f>IF(AND('领用录入（明细）'!D:D=$F$4,'领用录入（明细）'!C:C&gt;=$J$4,'领用录入（明细）'!C:C&lt;=$L$4),ROW(),"-")</f>
        <v>-</v>
      </c>
    </row>
    <row r="21753" customHeight="1" spans="2:2">
      <c r="B21753" s="62" t="str">
        <f>IF(AND('领用录入（明细）'!D:D=$F$4,'领用录入（明细）'!C:C&gt;=$J$4,'领用录入（明细）'!C:C&lt;=$L$4),ROW(),"-")</f>
        <v>-</v>
      </c>
    </row>
    <row r="21754" customHeight="1" spans="2:2">
      <c r="B21754" s="62" t="str">
        <f>IF(AND('领用录入（明细）'!D:D=$F$4,'领用录入（明细）'!C:C&gt;=$J$4,'领用录入（明细）'!C:C&lt;=$L$4),ROW(),"-")</f>
        <v>-</v>
      </c>
    </row>
    <row r="21755" customHeight="1" spans="2:2">
      <c r="B21755" s="62" t="str">
        <f>IF(AND('领用录入（明细）'!D:D=$F$4,'领用录入（明细）'!C:C&gt;=$J$4,'领用录入（明细）'!C:C&lt;=$L$4),ROW(),"-")</f>
        <v>-</v>
      </c>
    </row>
    <row r="21756" customHeight="1" spans="2:2">
      <c r="B21756" s="62" t="str">
        <f>IF(AND('领用录入（明细）'!D:D=$F$4,'领用录入（明细）'!C:C&gt;=$J$4,'领用录入（明细）'!C:C&lt;=$L$4),ROW(),"-")</f>
        <v>-</v>
      </c>
    </row>
    <row r="21757" customHeight="1" spans="2:2">
      <c r="B21757" s="62" t="str">
        <f>IF(AND('领用录入（明细）'!D:D=$F$4,'领用录入（明细）'!C:C&gt;=$J$4,'领用录入（明细）'!C:C&lt;=$L$4),ROW(),"-")</f>
        <v>-</v>
      </c>
    </row>
    <row r="21758" customHeight="1" spans="2:2">
      <c r="B21758" s="62" t="str">
        <f>IF(AND('领用录入（明细）'!D:D=$F$4,'领用录入（明细）'!C:C&gt;=$J$4,'领用录入（明细）'!C:C&lt;=$L$4),ROW(),"-")</f>
        <v>-</v>
      </c>
    </row>
    <row r="21759" customHeight="1" spans="2:2">
      <c r="B21759" s="62" t="str">
        <f>IF(AND('领用录入（明细）'!D:D=$F$4,'领用录入（明细）'!C:C&gt;=$J$4,'领用录入（明细）'!C:C&lt;=$L$4),ROW(),"-")</f>
        <v>-</v>
      </c>
    </row>
    <row r="21760" customHeight="1" spans="2:2">
      <c r="B21760" s="62" t="str">
        <f>IF(AND('领用录入（明细）'!D:D=$F$4,'领用录入（明细）'!C:C&gt;=$J$4,'领用录入（明细）'!C:C&lt;=$L$4),ROW(),"-")</f>
        <v>-</v>
      </c>
    </row>
    <row r="21761" customHeight="1" spans="2:2">
      <c r="B21761" s="62" t="str">
        <f>IF(AND('领用录入（明细）'!D:D=$F$4,'领用录入（明细）'!C:C&gt;=$J$4,'领用录入（明细）'!C:C&lt;=$L$4),ROW(),"-")</f>
        <v>-</v>
      </c>
    </row>
    <row r="21762" customHeight="1" spans="2:2">
      <c r="B21762" s="62" t="str">
        <f>IF(AND('领用录入（明细）'!D:D=$F$4,'领用录入（明细）'!C:C&gt;=$J$4,'领用录入（明细）'!C:C&lt;=$L$4),ROW(),"-")</f>
        <v>-</v>
      </c>
    </row>
    <row r="21763" customHeight="1" spans="2:2">
      <c r="B21763" s="62" t="str">
        <f>IF(AND('领用录入（明细）'!D:D=$F$4,'领用录入（明细）'!C:C&gt;=$J$4,'领用录入（明细）'!C:C&lt;=$L$4),ROW(),"-")</f>
        <v>-</v>
      </c>
    </row>
    <row r="21764" customHeight="1" spans="2:2">
      <c r="B21764" s="62" t="str">
        <f>IF(AND('领用录入（明细）'!D:D=$F$4,'领用录入（明细）'!C:C&gt;=$J$4,'领用录入（明细）'!C:C&lt;=$L$4),ROW(),"-")</f>
        <v>-</v>
      </c>
    </row>
    <row r="21765" customHeight="1" spans="2:2">
      <c r="B21765" s="62" t="str">
        <f>IF(AND('领用录入（明细）'!D:D=$F$4,'领用录入（明细）'!C:C&gt;=$J$4,'领用录入（明细）'!C:C&lt;=$L$4),ROW(),"-")</f>
        <v>-</v>
      </c>
    </row>
    <row r="21766" customHeight="1" spans="2:2">
      <c r="B21766" s="62" t="str">
        <f>IF(AND('领用录入（明细）'!D:D=$F$4,'领用录入（明细）'!C:C&gt;=$J$4,'领用录入（明细）'!C:C&lt;=$L$4),ROW(),"-")</f>
        <v>-</v>
      </c>
    </row>
    <row r="21767" customHeight="1" spans="2:2">
      <c r="B21767" s="62" t="str">
        <f>IF(AND('领用录入（明细）'!D:D=$F$4,'领用录入（明细）'!C:C&gt;=$J$4,'领用录入（明细）'!C:C&lt;=$L$4),ROW(),"-")</f>
        <v>-</v>
      </c>
    </row>
    <row r="21768" customHeight="1" spans="2:2">
      <c r="B21768" s="62" t="str">
        <f>IF(AND('领用录入（明细）'!D:D=$F$4,'领用录入（明细）'!C:C&gt;=$J$4,'领用录入（明细）'!C:C&lt;=$L$4),ROW(),"-")</f>
        <v>-</v>
      </c>
    </row>
    <row r="21769" customHeight="1" spans="2:2">
      <c r="B21769" s="62" t="str">
        <f>IF(AND('领用录入（明细）'!D:D=$F$4,'领用录入（明细）'!C:C&gt;=$J$4,'领用录入（明细）'!C:C&lt;=$L$4),ROW(),"-")</f>
        <v>-</v>
      </c>
    </row>
    <row r="21770" customHeight="1" spans="2:2">
      <c r="B21770" s="62" t="str">
        <f>IF(AND('领用录入（明细）'!D:D=$F$4,'领用录入（明细）'!C:C&gt;=$J$4,'领用录入（明细）'!C:C&lt;=$L$4),ROW(),"-")</f>
        <v>-</v>
      </c>
    </row>
    <row r="21771" customHeight="1" spans="2:2">
      <c r="B21771" s="62" t="str">
        <f>IF(AND('领用录入（明细）'!D:D=$F$4,'领用录入（明细）'!C:C&gt;=$J$4,'领用录入（明细）'!C:C&lt;=$L$4),ROW(),"-")</f>
        <v>-</v>
      </c>
    </row>
    <row r="21772" customHeight="1" spans="2:2">
      <c r="B21772" s="62" t="str">
        <f>IF(AND('领用录入（明细）'!D:D=$F$4,'领用录入（明细）'!C:C&gt;=$J$4,'领用录入（明细）'!C:C&lt;=$L$4),ROW(),"-")</f>
        <v>-</v>
      </c>
    </row>
    <row r="21773" customHeight="1" spans="2:2">
      <c r="B21773" s="62" t="str">
        <f>IF(AND('领用录入（明细）'!D:D=$F$4,'领用录入（明细）'!C:C&gt;=$J$4,'领用录入（明细）'!C:C&lt;=$L$4),ROW(),"-")</f>
        <v>-</v>
      </c>
    </row>
    <row r="21774" customHeight="1" spans="2:2">
      <c r="B21774" s="62" t="str">
        <f>IF(AND('领用录入（明细）'!D:D=$F$4,'领用录入（明细）'!C:C&gt;=$J$4,'领用录入（明细）'!C:C&lt;=$L$4),ROW(),"-")</f>
        <v>-</v>
      </c>
    </row>
    <row r="21775" customHeight="1" spans="2:2">
      <c r="B21775" s="62" t="str">
        <f>IF(AND('领用录入（明细）'!D:D=$F$4,'领用录入（明细）'!C:C&gt;=$J$4,'领用录入（明细）'!C:C&lt;=$L$4),ROW(),"-")</f>
        <v>-</v>
      </c>
    </row>
    <row r="21776" customHeight="1" spans="2:2">
      <c r="B21776" s="62" t="str">
        <f>IF(AND('领用录入（明细）'!D:D=$F$4,'领用录入（明细）'!C:C&gt;=$J$4,'领用录入（明细）'!C:C&lt;=$L$4),ROW(),"-")</f>
        <v>-</v>
      </c>
    </row>
    <row r="21777" customHeight="1" spans="2:2">
      <c r="B21777" s="62" t="str">
        <f>IF(AND('领用录入（明细）'!D:D=$F$4,'领用录入（明细）'!C:C&gt;=$J$4,'领用录入（明细）'!C:C&lt;=$L$4),ROW(),"-")</f>
        <v>-</v>
      </c>
    </row>
    <row r="21778" customHeight="1" spans="2:2">
      <c r="B21778" s="62" t="str">
        <f>IF(AND('领用录入（明细）'!D:D=$F$4,'领用录入（明细）'!C:C&gt;=$J$4,'领用录入（明细）'!C:C&lt;=$L$4),ROW(),"-")</f>
        <v>-</v>
      </c>
    </row>
    <row r="21779" customHeight="1" spans="2:2">
      <c r="B21779" s="62" t="str">
        <f>IF(AND('领用录入（明细）'!D:D=$F$4,'领用录入（明细）'!C:C&gt;=$J$4,'领用录入（明细）'!C:C&lt;=$L$4),ROW(),"-")</f>
        <v>-</v>
      </c>
    </row>
    <row r="21780" customHeight="1" spans="2:2">
      <c r="B21780" s="62" t="str">
        <f>IF(AND('领用录入（明细）'!D:D=$F$4,'领用录入（明细）'!C:C&gt;=$J$4,'领用录入（明细）'!C:C&lt;=$L$4),ROW(),"-")</f>
        <v>-</v>
      </c>
    </row>
    <row r="21781" customHeight="1" spans="2:2">
      <c r="B21781" s="62" t="str">
        <f>IF(AND('领用录入（明细）'!D:D=$F$4,'领用录入（明细）'!C:C&gt;=$J$4,'领用录入（明细）'!C:C&lt;=$L$4),ROW(),"-")</f>
        <v>-</v>
      </c>
    </row>
    <row r="21782" customHeight="1" spans="2:2">
      <c r="B21782" s="62" t="str">
        <f>IF(AND('领用录入（明细）'!D:D=$F$4,'领用录入（明细）'!C:C&gt;=$J$4,'领用录入（明细）'!C:C&lt;=$L$4),ROW(),"-")</f>
        <v>-</v>
      </c>
    </row>
    <row r="21783" customHeight="1" spans="2:2">
      <c r="B21783" s="62" t="str">
        <f>IF(AND('领用录入（明细）'!D:D=$F$4,'领用录入（明细）'!C:C&gt;=$J$4,'领用录入（明细）'!C:C&lt;=$L$4),ROW(),"-")</f>
        <v>-</v>
      </c>
    </row>
    <row r="21784" customHeight="1" spans="2:2">
      <c r="B21784" s="62" t="str">
        <f>IF(AND('领用录入（明细）'!D:D=$F$4,'领用录入（明细）'!C:C&gt;=$J$4,'领用录入（明细）'!C:C&lt;=$L$4),ROW(),"-")</f>
        <v>-</v>
      </c>
    </row>
    <row r="21785" customHeight="1" spans="2:2">
      <c r="B21785" s="62" t="str">
        <f>IF(AND('领用录入（明细）'!D:D=$F$4,'领用录入（明细）'!C:C&gt;=$J$4,'领用录入（明细）'!C:C&lt;=$L$4),ROW(),"-")</f>
        <v>-</v>
      </c>
    </row>
    <row r="21786" customHeight="1" spans="2:2">
      <c r="B21786" s="62" t="str">
        <f>IF(AND('领用录入（明细）'!D:D=$F$4,'领用录入（明细）'!C:C&gt;=$J$4,'领用录入（明细）'!C:C&lt;=$L$4),ROW(),"-")</f>
        <v>-</v>
      </c>
    </row>
    <row r="21787" customHeight="1" spans="2:2">
      <c r="B21787" s="62" t="str">
        <f>IF(AND('领用录入（明细）'!D:D=$F$4,'领用录入（明细）'!C:C&gt;=$J$4,'领用录入（明细）'!C:C&lt;=$L$4),ROW(),"-")</f>
        <v>-</v>
      </c>
    </row>
    <row r="21788" customHeight="1" spans="2:2">
      <c r="B21788" s="62" t="str">
        <f>IF(AND('领用录入（明细）'!D:D=$F$4,'领用录入（明细）'!C:C&gt;=$J$4,'领用录入（明细）'!C:C&lt;=$L$4),ROW(),"-")</f>
        <v>-</v>
      </c>
    </row>
    <row r="21789" customHeight="1" spans="2:2">
      <c r="B21789" s="62" t="str">
        <f>IF(AND('领用录入（明细）'!D:D=$F$4,'领用录入（明细）'!C:C&gt;=$J$4,'领用录入（明细）'!C:C&lt;=$L$4),ROW(),"-")</f>
        <v>-</v>
      </c>
    </row>
    <row r="21790" customHeight="1" spans="2:2">
      <c r="B21790" s="62" t="str">
        <f>IF(AND('领用录入（明细）'!D:D=$F$4,'领用录入（明细）'!C:C&gt;=$J$4,'领用录入（明细）'!C:C&lt;=$L$4),ROW(),"-")</f>
        <v>-</v>
      </c>
    </row>
    <row r="21791" customHeight="1" spans="2:2">
      <c r="B21791" s="62" t="str">
        <f>IF(AND('领用录入（明细）'!D:D=$F$4,'领用录入（明细）'!C:C&gt;=$J$4,'领用录入（明细）'!C:C&lt;=$L$4),ROW(),"-")</f>
        <v>-</v>
      </c>
    </row>
    <row r="21792" customHeight="1" spans="2:2">
      <c r="B21792" s="62" t="str">
        <f>IF(AND('领用录入（明细）'!D:D=$F$4,'领用录入（明细）'!C:C&gt;=$J$4,'领用录入（明细）'!C:C&lt;=$L$4),ROW(),"-")</f>
        <v>-</v>
      </c>
    </row>
    <row r="21793" customHeight="1" spans="2:2">
      <c r="B21793" s="62" t="str">
        <f>IF(AND('领用录入（明细）'!D:D=$F$4,'领用录入（明细）'!C:C&gt;=$J$4,'领用录入（明细）'!C:C&lt;=$L$4),ROW(),"-")</f>
        <v>-</v>
      </c>
    </row>
    <row r="21794" customHeight="1" spans="2:2">
      <c r="B21794" s="62" t="str">
        <f>IF(AND('领用录入（明细）'!D:D=$F$4,'领用录入（明细）'!C:C&gt;=$J$4,'领用录入（明细）'!C:C&lt;=$L$4),ROW(),"-")</f>
        <v>-</v>
      </c>
    </row>
    <row r="21795" customHeight="1" spans="2:2">
      <c r="B21795" s="62" t="str">
        <f>IF(AND('领用录入（明细）'!D:D=$F$4,'领用录入（明细）'!C:C&gt;=$J$4,'领用录入（明细）'!C:C&lt;=$L$4),ROW(),"-")</f>
        <v>-</v>
      </c>
    </row>
    <row r="21796" customHeight="1" spans="2:2">
      <c r="B21796" s="62" t="str">
        <f>IF(AND('领用录入（明细）'!D:D=$F$4,'领用录入（明细）'!C:C&gt;=$J$4,'领用录入（明细）'!C:C&lt;=$L$4),ROW(),"-")</f>
        <v>-</v>
      </c>
    </row>
    <row r="21797" customHeight="1" spans="2:2">
      <c r="B21797" s="62" t="str">
        <f>IF(AND('领用录入（明细）'!D:D=$F$4,'领用录入（明细）'!C:C&gt;=$J$4,'领用录入（明细）'!C:C&lt;=$L$4),ROW(),"-")</f>
        <v>-</v>
      </c>
    </row>
    <row r="21798" customHeight="1" spans="2:2">
      <c r="B21798" s="62" t="str">
        <f>IF(AND('领用录入（明细）'!D:D=$F$4,'领用录入（明细）'!C:C&gt;=$J$4,'领用录入（明细）'!C:C&lt;=$L$4),ROW(),"-")</f>
        <v>-</v>
      </c>
    </row>
    <row r="21799" customHeight="1" spans="2:2">
      <c r="B21799" s="62" t="str">
        <f>IF(AND('领用录入（明细）'!D:D=$F$4,'领用录入（明细）'!C:C&gt;=$J$4,'领用录入（明细）'!C:C&lt;=$L$4),ROW(),"-")</f>
        <v>-</v>
      </c>
    </row>
    <row r="21800" customHeight="1" spans="2:2">
      <c r="B21800" s="62" t="str">
        <f>IF(AND('领用录入（明细）'!D:D=$F$4,'领用录入（明细）'!C:C&gt;=$J$4,'领用录入（明细）'!C:C&lt;=$L$4),ROW(),"-")</f>
        <v>-</v>
      </c>
    </row>
    <row r="21801" customHeight="1" spans="2:2">
      <c r="B21801" s="62" t="str">
        <f>IF(AND('领用录入（明细）'!D:D=$F$4,'领用录入（明细）'!C:C&gt;=$J$4,'领用录入（明细）'!C:C&lt;=$L$4),ROW(),"-")</f>
        <v>-</v>
      </c>
    </row>
    <row r="21802" customHeight="1" spans="2:2">
      <c r="B21802" s="62" t="str">
        <f>IF(AND('领用录入（明细）'!D:D=$F$4,'领用录入（明细）'!C:C&gt;=$J$4,'领用录入（明细）'!C:C&lt;=$L$4),ROW(),"-")</f>
        <v>-</v>
      </c>
    </row>
    <row r="21803" customHeight="1" spans="2:2">
      <c r="B21803" s="62" t="str">
        <f>IF(AND('领用录入（明细）'!D:D=$F$4,'领用录入（明细）'!C:C&gt;=$J$4,'领用录入（明细）'!C:C&lt;=$L$4),ROW(),"-")</f>
        <v>-</v>
      </c>
    </row>
    <row r="21804" customHeight="1" spans="2:2">
      <c r="B21804" s="62" t="str">
        <f>IF(AND('领用录入（明细）'!D:D=$F$4,'领用录入（明细）'!C:C&gt;=$J$4,'领用录入（明细）'!C:C&lt;=$L$4),ROW(),"-")</f>
        <v>-</v>
      </c>
    </row>
    <row r="21805" customHeight="1" spans="2:2">
      <c r="B21805" s="62" t="str">
        <f>IF(AND('领用录入（明细）'!D:D=$F$4,'领用录入（明细）'!C:C&gt;=$J$4,'领用录入（明细）'!C:C&lt;=$L$4),ROW(),"-")</f>
        <v>-</v>
      </c>
    </row>
    <row r="21806" customHeight="1" spans="2:2">
      <c r="B21806" s="62" t="str">
        <f>IF(AND('领用录入（明细）'!D:D=$F$4,'领用录入（明细）'!C:C&gt;=$J$4,'领用录入（明细）'!C:C&lt;=$L$4),ROW(),"-")</f>
        <v>-</v>
      </c>
    </row>
    <row r="21807" customHeight="1" spans="2:2">
      <c r="B21807" s="62" t="str">
        <f>IF(AND('领用录入（明细）'!D:D=$F$4,'领用录入（明细）'!C:C&gt;=$J$4,'领用录入（明细）'!C:C&lt;=$L$4),ROW(),"-")</f>
        <v>-</v>
      </c>
    </row>
    <row r="21808" customHeight="1" spans="2:2">
      <c r="B21808" s="62" t="str">
        <f>IF(AND('领用录入（明细）'!D:D=$F$4,'领用录入（明细）'!C:C&gt;=$J$4,'领用录入（明细）'!C:C&lt;=$L$4),ROW(),"-")</f>
        <v>-</v>
      </c>
    </row>
    <row r="21809" customHeight="1" spans="2:2">
      <c r="B21809" s="62" t="str">
        <f>IF(AND('领用录入（明细）'!D:D=$F$4,'领用录入（明细）'!C:C&gt;=$J$4,'领用录入（明细）'!C:C&lt;=$L$4),ROW(),"-")</f>
        <v>-</v>
      </c>
    </row>
    <row r="21810" customHeight="1" spans="2:2">
      <c r="B21810" s="62" t="str">
        <f>IF(AND('领用录入（明细）'!D:D=$F$4,'领用录入（明细）'!C:C&gt;=$J$4,'领用录入（明细）'!C:C&lt;=$L$4),ROW(),"-")</f>
        <v>-</v>
      </c>
    </row>
    <row r="21811" customHeight="1" spans="2:2">
      <c r="B21811" s="62" t="str">
        <f>IF(AND('领用录入（明细）'!D:D=$F$4,'领用录入（明细）'!C:C&gt;=$J$4,'领用录入（明细）'!C:C&lt;=$L$4),ROW(),"-")</f>
        <v>-</v>
      </c>
    </row>
    <row r="21812" customHeight="1" spans="2:2">
      <c r="B21812" s="62" t="str">
        <f>IF(AND('领用录入（明细）'!D:D=$F$4,'领用录入（明细）'!C:C&gt;=$J$4,'领用录入（明细）'!C:C&lt;=$L$4),ROW(),"-")</f>
        <v>-</v>
      </c>
    </row>
    <row r="21813" customHeight="1" spans="2:2">
      <c r="B21813" s="62" t="str">
        <f>IF(AND('领用录入（明细）'!D:D=$F$4,'领用录入（明细）'!C:C&gt;=$J$4,'领用录入（明细）'!C:C&lt;=$L$4),ROW(),"-")</f>
        <v>-</v>
      </c>
    </row>
    <row r="21814" customHeight="1" spans="2:2">
      <c r="B21814" s="62" t="str">
        <f>IF(AND('领用录入（明细）'!D:D=$F$4,'领用录入（明细）'!C:C&gt;=$J$4,'领用录入（明细）'!C:C&lt;=$L$4),ROW(),"-")</f>
        <v>-</v>
      </c>
    </row>
    <row r="21815" customHeight="1" spans="2:2">
      <c r="B21815" s="62" t="str">
        <f>IF(AND('领用录入（明细）'!D:D=$F$4,'领用录入（明细）'!C:C&gt;=$J$4,'领用录入（明细）'!C:C&lt;=$L$4),ROW(),"-")</f>
        <v>-</v>
      </c>
    </row>
    <row r="21816" customHeight="1" spans="2:2">
      <c r="B21816" s="62" t="str">
        <f>IF(AND('领用录入（明细）'!D:D=$F$4,'领用录入（明细）'!C:C&gt;=$J$4,'领用录入（明细）'!C:C&lt;=$L$4),ROW(),"-")</f>
        <v>-</v>
      </c>
    </row>
    <row r="21817" customHeight="1" spans="2:2">
      <c r="B21817" s="62" t="str">
        <f>IF(AND('领用录入（明细）'!D:D=$F$4,'领用录入（明细）'!C:C&gt;=$J$4,'领用录入（明细）'!C:C&lt;=$L$4),ROW(),"-")</f>
        <v>-</v>
      </c>
    </row>
    <row r="21818" customHeight="1" spans="2:2">
      <c r="B21818" s="62" t="str">
        <f>IF(AND('领用录入（明细）'!D:D=$F$4,'领用录入（明细）'!C:C&gt;=$J$4,'领用录入（明细）'!C:C&lt;=$L$4),ROW(),"-")</f>
        <v>-</v>
      </c>
    </row>
    <row r="21819" customHeight="1" spans="2:2">
      <c r="B21819" s="62" t="str">
        <f>IF(AND('领用录入（明细）'!D:D=$F$4,'领用录入（明细）'!C:C&gt;=$J$4,'领用录入（明细）'!C:C&lt;=$L$4),ROW(),"-")</f>
        <v>-</v>
      </c>
    </row>
    <row r="21820" customHeight="1" spans="2:2">
      <c r="B21820" s="62" t="str">
        <f>IF(AND('领用录入（明细）'!D:D=$F$4,'领用录入（明细）'!C:C&gt;=$J$4,'领用录入（明细）'!C:C&lt;=$L$4),ROW(),"-")</f>
        <v>-</v>
      </c>
    </row>
    <row r="21821" customHeight="1" spans="2:2">
      <c r="B21821" s="62" t="str">
        <f>IF(AND('领用录入（明细）'!D:D=$F$4,'领用录入（明细）'!C:C&gt;=$J$4,'领用录入（明细）'!C:C&lt;=$L$4),ROW(),"-")</f>
        <v>-</v>
      </c>
    </row>
    <row r="21822" customHeight="1" spans="2:2">
      <c r="B21822" s="62" t="str">
        <f>IF(AND('领用录入（明细）'!D:D=$F$4,'领用录入（明细）'!C:C&gt;=$J$4,'领用录入（明细）'!C:C&lt;=$L$4),ROW(),"-")</f>
        <v>-</v>
      </c>
    </row>
    <row r="21823" customHeight="1" spans="2:2">
      <c r="B21823" s="62" t="str">
        <f>IF(AND('领用录入（明细）'!D:D=$F$4,'领用录入（明细）'!C:C&gt;=$J$4,'领用录入（明细）'!C:C&lt;=$L$4),ROW(),"-")</f>
        <v>-</v>
      </c>
    </row>
    <row r="21824" customHeight="1" spans="2:2">
      <c r="B21824" s="62" t="str">
        <f>IF(AND('领用录入（明细）'!D:D=$F$4,'领用录入（明细）'!C:C&gt;=$J$4,'领用录入（明细）'!C:C&lt;=$L$4),ROW(),"-")</f>
        <v>-</v>
      </c>
    </row>
    <row r="21825" customHeight="1" spans="2:2">
      <c r="B21825" s="62" t="str">
        <f>IF(AND('领用录入（明细）'!D:D=$F$4,'领用录入（明细）'!C:C&gt;=$J$4,'领用录入（明细）'!C:C&lt;=$L$4),ROW(),"-")</f>
        <v>-</v>
      </c>
    </row>
    <row r="21826" customHeight="1" spans="2:2">
      <c r="B21826" s="62" t="str">
        <f>IF(AND('领用录入（明细）'!D:D=$F$4,'领用录入（明细）'!C:C&gt;=$J$4,'领用录入（明细）'!C:C&lt;=$L$4),ROW(),"-")</f>
        <v>-</v>
      </c>
    </row>
    <row r="21827" customHeight="1" spans="2:2">
      <c r="B21827" s="62" t="str">
        <f>IF(AND('领用录入（明细）'!D:D=$F$4,'领用录入（明细）'!C:C&gt;=$J$4,'领用录入（明细）'!C:C&lt;=$L$4),ROW(),"-")</f>
        <v>-</v>
      </c>
    </row>
    <row r="21828" customHeight="1" spans="2:2">
      <c r="B21828" s="62" t="str">
        <f>IF(AND('领用录入（明细）'!D:D=$F$4,'领用录入（明细）'!C:C&gt;=$J$4,'领用录入（明细）'!C:C&lt;=$L$4),ROW(),"-")</f>
        <v>-</v>
      </c>
    </row>
    <row r="21829" customHeight="1" spans="2:2">
      <c r="B21829" s="62" t="str">
        <f>IF(AND('领用录入（明细）'!D:D=$F$4,'领用录入（明细）'!C:C&gt;=$J$4,'领用录入（明细）'!C:C&lt;=$L$4),ROW(),"-")</f>
        <v>-</v>
      </c>
    </row>
    <row r="21830" customHeight="1" spans="2:2">
      <c r="B21830" s="62" t="str">
        <f>IF(AND('领用录入（明细）'!D:D=$F$4,'领用录入（明细）'!C:C&gt;=$J$4,'领用录入（明细）'!C:C&lt;=$L$4),ROW(),"-")</f>
        <v>-</v>
      </c>
    </row>
    <row r="21831" customHeight="1" spans="2:2">
      <c r="B21831" s="62" t="str">
        <f>IF(AND('领用录入（明细）'!D:D=$F$4,'领用录入（明细）'!C:C&gt;=$J$4,'领用录入（明细）'!C:C&lt;=$L$4),ROW(),"-")</f>
        <v>-</v>
      </c>
    </row>
    <row r="21832" customHeight="1" spans="2:2">
      <c r="B21832" s="62" t="str">
        <f>IF(AND('领用录入（明细）'!D:D=$F$4,'领用录入（明细）'!C:C&gt;=$J$4,'领用录入（明细）'!C:C&lt;=$L$4),ROW(),"-")</f>
        <v>-</v>
      </c>
    </row>
    <row r="21833" customHeight="1" spans="2:2">
      <c r="B21833" s="62" t="str">
        <f>IF(AND('领用录入（明细）'!D:D=$F$4,'领用录入（明细）'!C:C&gt;=$J$4,'领用录入（明细）'!C:C&lt;=$L$4),ROW(),"-")</f>
        <v>-</v>
      </c>
    </row>
    <row r="21834" customHeight="1" spans="2:2">
      <c r="B21834" s="62" t="str">
        <f>IF(AND('领用录入（明细）'!D:D=$F$4,'领用录入（明细）'!C:C&gt;=$J$4,'领用录入（明细）'!C:C&lt;=$L$4),ROW(),"-")</f>
        <v>-</v>
      </c>
    </row>
    <row r="21835" customHeight="1" spans="2:2">
      <c r="B21835" s="62" t="str">
        <f>IF(AND('领用录入（明细）'!D:D=$F$4,'领用录入（明细）'!C:C&gt;=$J$4,'领用录入（明细）'!C:C&lt;=$L$4),ROW(),"-")</f>
        <v>-</v>
      </c>
    </row>
    <row r="21836" customHeight="1" spans="2:2">
      <c r="B21836" s="62" t="str">
        <f>IF(AND('领用录入（明细）'!D:D=$F$4,'领用录入（明细）'!C:C&gt;=$J$4,'领用录入（明细）'!C:C&lt;=$L$4),ROW(),"-")</f>
        <v>-</v>
      </c>
    </row>
    <row r="21837" customHeight="1" spans="2:2">
      <c r="B21837" s="62" t="str">
        <f>IF(AND('领用录入（明细）'!D:D=$F$4,'领用录入（明细）'!C:C&gt;=$J$4,'领用录入（明细）'!C:C&lt;=$L$4),ROW(),"-")</f>
        <v>-</v>
      </c>
    </row>
    <row r="21838" customHeight="1" spans="2:2">
      <c r="B21838" s="62" t="str">
        <f>IF(AND('领用录入（明细）'!D:D=$F$4,'领用录入（明细）'!C:C&gt;=$J$4,'领用录入（明细）'!C:C&lt;=$L$4),ROW(),"-")</f>
        <v>-</v>
      </c>
    </row>
    <row r="21839" customHeight="1" spans="2:2">
      <c r="B21839" s="62" t="str">
        <f>IF(AND('领用录入（明细）'!D:D=$F$4,'领用录入（明细）'!C:C&gt;=$J$4,'领用录入（明细）'!C:C&lt;=$L$4),ROW(),"-")</f>
        <v>-</v>
      </c>
    </row>
    <row r="21840" customHeight="1" spans="2:2">
      <c r="B21840" s="62" t="str">
        <f>IF(AND('领用录入（明细）'!D:D=$F$4,'领用录入（明细）'!C:C&gt;=$J$4,'领用录入（明细）'!C:C&lt;=$L$4),ROW(),"-")</f>
        <v>-</v>
      </c>
    </row>
    <row r="21841" customHeight="1" spans="2:2">
      <c r="B21841" s="62" t="str">
        <f>IF(AND('领用录入（明细）'!D:D=$F$4,'领用录入（明细）'!C:C&gt;=$J$4,'领用录入（明细）'!C:C&lt;=$L$4),ROW(),"-")</f>
        <v>-</v>
      </c>
    </row>
    <row r="21842" customHeight="1" spans="2:2">
      <c r="B21842" s="62" t="str">
        <f>IF(AND('领用录入（明细）'!D:D=$F$4,'领用录入（明细）'!C:C&gt;=$J$4,'领用录入（明细）'!C:C&lt;=$L$4),ROW(),"-")</f>
        <v>-</v>
      </c>
    </row>
    <row r="21843" customHeight="1" spans="2:2">
      <c r="B21843" s="62" t="str">
        <f>IF(AND('领用录入（明细）'!D:D=$F$4,'领用录入（明细）'!C:C&gt;=$J$4,'领用录入（明细）'!C:C&lt;=$L$4),ROW(),"-")</f>
        <v>-</v>
      </c>
    </row>
    <row r="21844" customHeight="1" spans="2:2">
      <c r="B21844" s="62" t="str">
        <f>IF(AND('领用录入（明细）'!D:D=$F$4,'领用录入（明细）'!C:C&gt;=$J$4,'领用录入（明细）'!C:C&lt;=$L$4),ROW(),"-")</f>
        <v>-</v>
      </c>
    </row>
    <row r="21845" customHeight="1" spans="2:2">
      <c r="B21845" s="62" t="str">
        <f>IF(AND('领用录入（明细）'!D:D=$F$4,'领用录入（明细）'!C:C&gt;=$J$4,'领用录入（明细）'!C:C&lt;=$L$4),ROW(),"-")</f>
        <v>-</v>
      </c>
    </row>
    <row r="21846" customHeight="1" spans="2:2">
      <c r="B21846" s="62" t="str">
        <f>IF(AND('领用录入（明细）'!D:D=$F$4,'领用录入（明细）'!C:C&gt;=$J$4,'领用录入（明细）'!C:C&lt;=$L$4),ROW(),"-")</f>
        <v>-</v>
      </c>
    </row>
    <row r="21847" customHeight="1" spans="2:2">
      <c r="B21847" s="62" t="str">
        <f>IF(AND('领用录入（明细）'!D:D=$F$4,'领用录入（明细）'!C:C&gt;=$J$4,'领用录入（明细）'!C:C&lt;=$L$4),ROW(),"-")</f>
        <v>-</v>
      </c>
    </row>
    <row r="21848" customHeight="1" spans="2:2">
      <c r="B21848" s="62" t="str">
        <f>IF(AND('领用录入（明细）'!D:D=$F$4,'领用录入（明细）'!C:C&gt;=$J$4,'领用录入（明细）'!C:C&lt;=$L$4),ROW(),"-")</f>
        <v>-</v>
      </c>
    </row>
    <row r="21849" customHeight="1" spans="2:2">
      <c r="B21849" s="62" t="str">
        <f>IF(AND('领用录入（明细）'!D:D=$F$4,'领用录入（明细）'!C:C&gt;=$J$4,'领用录入（明细）'!C:C&lt;=$L$4),ROW(),"-")</f>
        <v>-</v>
      </c>
    </row>
    <row r="21850" customHeight="1" spans="2:2">
      <c r="B21850" s="62" t="str">
        <f>IF(AND('领用录入（明细）'!D:D=$F$4,'领用录入（明细）'!C:C&gt;=$J$4,'领用录入（明细）'!C:C&lt;=$L$4),ROW(),"-")</f>
        <v>-</v>
      </c>
    </row>
    <row r="21851" customHeight="1" spans="2:2">
      <c r="B21851" s="62" t="str">
        <f>IF(AND('领用录入（明细）'!D:D=$F$4,'领用录入（明细）'!C:C&gt;=$J$4,'领用录入（明细）'!C:C&lt;=$L$4),ROW(),"-")</f>
        <v>-</v>
      </c>
    </row>
    <row r="21852" customHeight="1" spans="2:2">
      <c r="B21852" s="62" t="str">
        <f>IF(AND('领用录入（明细）'!D:D=$F$4,'领用录入（明细）'!C:C&gt;=$J$4,'领用录入（明细）'!C:C&lt;=$L$4),ROW(),"-")</f>
        <v>-</v>
      </c>
    </row>
    <row r="21853" customHeight="1" spans="2:2">
      <c r="B21853" s="62" t="str">
        <f>IF(AND('领用录入（明细）'!D:D=$F$4,'领用录入（明细）'!C:C&gt;=$J$4,'领用录入（明细）'!C:C&lt;=$L$4),ROW(),"-")</f>
        <v>-</v>
      </c>
    </row>
    <row r="21854" customHeight="1" spans="2:2">
      <c r="B21854" s="62" t="str">
        <f>IF(AND('领用录入（明细）'!D:D=$F$4,'领用录入（明细）'!C:C&gt;=$J$4,'领用录入（明细）'!C:C&lt;=$L$4),ROW(),"-")</f>
        <v>-</v>
      </c>
    </row>
    <row r="21855" customHeight="1" spans="2:2">
      <c r="B21855" s="62" t="str">
        <f>IF(AND('领用录入（明细）'!D:D=$F$4,'领用录入（明细）'!C:C&gt;=$J$4,'领用录入（明细）'!C:C&lt;=$L$4),ROW(),"-")</f>
        <v>-</v>
      </c>
    </row>
    <row r="21856" customHeight="1" spans="2:2">
      <c r="B21856" s="62" t="str">
        <f>IF(AND('领用录入（明细）'!D:D=$F$4,'领用录入（明细）'!C:C&gt;=$J$4,'领用录入（明细）'!C:C&lt;=$L$4),ROW(),"-")</f>
        <v>-</v>
      </c>
    </row>
    <row r="21857" customHeight="1" spans="2:2">
      <c r="B21857" s="62" t="str">
        <f>IF(AND('领用录入（明细）'!D:D=$F$4,'领用录入（明细）'!C:C&gt;=$J$4,'领用录入（明细）'!C:C&lt;=$L$4),ROW(),"-")</f>
        <v>-</v>
      </c>
    </row>
    <row r="21858" customHeight="1" spans="2:2">
      <c r="B21858" s="62" t="str">
        <f>IF(AND('领用录入（明细）'!D:D=$F$4,'领用录入（明细）'!C:C&gt;=$J$4,'领用录入（明细）'!C:C&lt;=$L$4),ROW(),"-")</f>
        <v>-</v>
      </c>
    </row>
    <row r="21859" customHeight="1" spans="2:2">
      <c r="B21859" s="62" t="str">
        <f>IF(AND('领用录入（明细）'!D:D=$F$4,'领用录入（明细）'!C:C&gt;=$J$4,'领用录入（明细）'!C:C&lt;=$L$4),ROW(),"-")</f>
        <v>-</v>
      </c>
    </row>
    <row r="21860" customHeight="1" spans="2:2">
      <c r="B21860" s="62" t="str">
        <f>IF(AND('领用录入（明细）'!D:D=$F$4,'领用录入（明细）'!C:C&gt;=$J$4,'领用录入（明细）'!C:C&lt;=$L$4),ROW(),"-")</f>
        <v>-</v>
      </c>
    </row>
    <row r="21861" customHeight="1" spans="2:2">
      <c r="B21861" s="62" t="str">
        <f>IF(AND('领用录入（明细）'!D:D=$F$4,'领用录入（明细）'!C:C&gt;=$J$4,'领用录入（明细）'!C:C&lt;=$L$4),ROW(),"-")</f>
        <v>-</v>
      </c>
    </row>
    <row r="21862" customHeight="1" spans="2:2">
      <c r="B21862" s="62" t="str">
        <f>IF(AND('领用录入（明细）'!D:D=$F$4,'领用录入（明细）'!C:C&gt;=$J$4,'领用录入（明细）'!C:C&lt;=$L$4),ROW(),"-")</f>
        <v>-</v>
      </c>
    </row>
    <row r="21863" customHeight="1" spans="2:2">
      <c r="B21863" s="62" t="str">
        <f>IF(AND('领用录入（明细）'!D:D=$F$4,'领用录入（明细）'!C:C&gt;=$J$4,'领用录入（明细）'!C:C&lt;=$L$4),ROW(),"-")</f>
        <v>-</v>
      </c>
    </row>
    <row r="21864" customHeight="1" spans="2:2">
      <c r="B21864" s="62" t="str">
        <f>IF(AND('领用录入（明细）'!D:D=$F$4,'领用录入（明细）'!C:C&gt;=$J$4,'领用录入（明细）'!C:C&lt;=$L$4),ROW(),"-")</f>
        <v>-</v>
      </c>
    </row>
    <row r="21865" customHeight="1" spans="2:2">
      <c r="B21865" s="62" t="str">
        <f>IF(AND('领用录入（明细）'!D:D=$F$4,'领用录入（明细）'!C:C&gt;=$J$4,'领用录入（明细）'!C:C&lt;=$L$4),ROW(),"-")</f>
        <v>-</v>
      </c>
    </row>
    <row r="21866" customHeight="1" spans="2:2">
      <c r="B21866" s="62" t="str">
        <f>IF(AND('领用录入（明细）'!D:D=$F$4,'领用录入（明细）'!C:C&gt;=$J$4,'领用录入（明细）'!C:C&lt;=$L$4),ROW(),"-")</f>
        <v>-</v>
      </c>
    </row>
    <row r="21867" customHeight="1" spans="2:2">
      <c r="B21867" s="62" t="str">
        <f>IF(AND('领用录入（明细）'!D:D=$F$4,'领用录入（明细）'!C:C&gt;=$J$4,'领用录入（明细）'!C:C&lt;=$L$4),ROW(),"-")</f>
        <v>-</v>
      </c>
    </row>
    <row r="21868" customHeight="1" spans="2:2">
      <c r="B21868" s="62" t="str">
        <f>IF(AND('领用录入（明细）'!D:D=$F$4,'领用录入（明细）'!C:C&gt;=$J$4,'领用录入（明细）'!C:C&lt;=$L$4),ROW(),"-")</f>
        <v>-</v>
      </c>
    </row>
    <row r="21869" customHeight="1" spans="2:2">
      <c r="B21869" s="62" t="str">
        <f>IF(AND('领用录入（明细）'!D:D=$F$4,'领用录入（明细）'!C:C&gt;=$J$4,'领用录入（明细）'!C:C&lt;=$L$4),ROW(),"-")</f>
        <v>-</v>
      </c>
    </row>
    <row r="21870" customHeight="1" spans="2:2">
      <c r="B21870" s="62" t="str">
        <f>IF(AND('领用录入（明细）'!D:D=$F$4,'领用录入（明细）'!C:C&gt;=$J$4,'领用录入（明细）'!C:C&lt;=$L$4),ROW(),"-")</f>
        <v>-</v>
      </c>
    </row>
    <row r="21871" customHeight="1" spans="2:2">
      <c r="B21871" s="62" t="str">
        <f>IF(AND('领用录入（明细）'!D:D=$F$4,'领用录入（明细）'!C:C&gt;=$J$4,'领用录入（明细）'!C:C&lt;=$L$4),ROW(),"-")</f>
        <v>-</v>
      </c>
    </row>
    <row r="21872" customHeight="1" spans="2:2">
      <c r="B21872" s="62" t="str">
        <f>IF(AND('领用录入（明细）'!D:D=$F$4,'领用录入（明细）'!C:C&gt;=$J$4,'领用录入（明细）'!C:C&lt;=$L$4),ROW(),"-")</f>
        <v>-</v>
      </c>
    </row>
    <row r="21873" customHeight="1" spans="2:2">
      <c r="B21873" s="62" t="str">
        <f>IF(AND('领用录入（明细）'!D:D=$F$4,'领用录入（明细）'!C:C&gt;=$J$4,'领用录入（明细）'!C:C&lt;=$L$4),ROW(),"-")</f>
        <v>-</v>
      </c>
    </row>
    <row r="21874" customHeight="1" spans="2:2">
      <c r="B21874" s="62" t="str">
        <f>IF(AND('领用录入（明细）'!D:D=$F$4,'领用录入（明细）'!C:C&gt;=$J$4,'领用录入（明细）'!C:C&lt;=$L$4),ROW(),"-")</f>
        <v>-</v>
      </c>
    </row>
    <row r="21875" customHeight="1" spans="2:2">
      <c r="B21875" s="62" t="str">
        <f>IF(AND('领用录入（明细）'!D:D=$F$4,'领用录入（明细）'!C:C&gt;=$J$4,'领用录入（明细）'!C:C&lt;=$L$4),ROW(),"-")</f>
        <v>-</v>
      </c>
    </row>
    <row r="21876" customHeight="1" spans="2:2">
      <c r="B21876" s="62" t="str">
        <f>IF(AND('领用录入（明细）'!D:D=$F$4,'领用录入（明细）'!C:C&gt;=$J$4,'领用录入（明细）'!C:C&lt;=$L$4),ROW(),"-")</f>
        <v>-</v>
      </c>
    </row>
    <row r="21877" customHeight="1" spans="2:2">
      <c r="B21877" s="62" t="str">
        <f>IF(AND('领用录入（明细）'!D:D=$F$4,'领用录入（明细）'!C:C&gt;=$J$4,'领用录入（明细）'!C:C&lt;=$L$4),ROW(),"-")</f>
        <v>-</v>
      </c>
    </row>
    <row r="21878" customHeight="1" spans="2:2">
      <c r="B21878" s="62" t="str">
        <f>IF(AND('领用录入（明细）'!D:D=$F$4,'领用录入（明细）'!C:C&gt;=$J$4,'领用录入（明细）'!C:C&lt;=$L$4),ROW(),"-")</f>
        <v>-</v>
      </c>
    </row>
    <row r="21879" customHeight="1" spans="2:2">
      <c r="B21879" s="62" t="str">
        <f>IF(AND('领用录入（明细）'!D:D=$F$4,'领用录入（明细）'!C:C&gt;=$J$4,'领用录入（明细）'!C:C&lt;=$L$4),ROW(),"-")</f>
        <v>-</v>
      </c>
    </row>
    <row r="21880" customHeight="1" spans="2:2">
      <c r="B21880" s="62" t="str">
        <f>IF(AND('领用录入（明细）'!D:D=$F$4,'领用录入（明细）'!C:C&gt;=$J$4,'领用录入（明细）'!C:C&lt;=$L$4),ROW(),"-")</f>
        <v>-</v>
      </c>
    </row>
    <row r="21881" customHeight="1" spans="2:2">
      <c r="B21881" s="62" t="str">
        <f>IF(AND('领用录入（明细）'!D:D=$F$4,'领用录入（明细）'!C:C&gt;=$J$4,'领用录入（明细）'!C:C&lt;=$L$4),ROW(),"-")</f>
        <v>-</v>
      </c>
    </row>
    <row r="21882" customHeight="1" spans="2:2">
      <c r="B21882" s="62" t="str">
        <f>IF(AND('领用录入（明细）'!D:D=$F$4,'领用录入（明细）'!C:C&gt;=$J$4,'领用录入（明细）'!C:C&lt;=$L$4),ROW(),"-")</f>
        <v>-</v>
      </c>
    </row>
    <row r="21883" customHeight="1" spans="2:2">
      <c r="B21883" s="62" t="str">
        <f>IF(AND('领用录入（明细）'!D:D=$F$4,'领用录入（明细）'!C:C&gt;=$J$4,'领用录入（明细）'!C:C&lt;=$L$4),ROW(),"-")</f>
        <v>-</v>
      </c>
    </row>
    <row r="21884" customHeight="1" spans="2:2">
      <c r="B21884" s="62" t="str">
        <f>IF(AND('领用录入（明细）'!D:D=$F$4,'领用录入（明细）'!C:C&gt;=$J$4,'领用录入（明细）'!C:C&lt;=$L$4),ROW(),"-")</f>
        <v>-</v>
      </c>
    </row>
    <row r="21885" customHeight="1" spans="2:2">
      <c r="B21885" s="62" t="str">
        <f>IF(AND('领用录入（明细）'!D:D=$F$4,'领用录入（明细）'!C:C&gt;=$J$4,'领用录入（明细）'!C:C&lt;=$L$4),ROW(),"-")</f>
        <v>-</v>
      </c>
    </row>
    <row r="21886" customHeight="1" spans="2:2">
      <c r="B21886" s="62" t="str">
        <f>IF(AND('领用录入（明细）'!D:D=$F$4,'领用录入（明细）'!C:C&gt;=$J$4,'领用录入（明细）'!C:C&lt;=$L$4),ROW(),"-")</f>
        <v>-</v>
      </c>
    </row>
    <row r="21887" customHeight="1" spans="2:2">
      <c r="B21887" s="62" t="str">
        <f>IF(AND('领用录入（明细）'!D:D=$F$4,'领用录入（明细）'!C:C&gt;=$J$4,'领用录入（明细）'!C:C&lt;=$L$4),ROW(),"-")</f>
        <v>-</v>
      </c>
    </row>
    <row r="21888" customHeight="1" spans="2:2">
      <c r="B21888" s="62" t="str">
        <f>IF(AND('领用录入（明细）'!D:D=$F$4,'领用录入（明细）'!C:C&gt;=$J$4,'领用录入（明细）'!C:C&lt;=$L$4),ROW(),"-")</f>
        <v>-</v>
      </c>
    </row>
    <row r="21889" customHeight="1" spans="2:2">
      <c r="B21889" s="62" t="str">
        <f>IF(AND('领用录入（明细）'!D:D=$F$4,'领用录入（明细）'!C:C&gt;=$J$4,'领用录入（明细）'!C:C&lt;=$L$4),ROW(),"-")</f>
        <v>-</v>
      </c>
    </row>
    <row r="21890" customHeight="1" spans="2:2">
      <c r="B21890" s="62" t="str">
        <f>IF(AND('领用录入（明细）'!D:D=$F$4,'领用录入（明细）'!C:C&gt;=$J$4,'领用录入（明细）'!C:C&lt;=$L$4),ROW(),"-")</f>
        <v>-</v>
      </c>
    </row>
    <row r="21891" customHeight="1" spans="2:2">
      <c r="B21891" s="62" t="str">
        <f>IF(AND('领用录入（明细）'!D:D=$F$4,'领用录入（明细）'!C:C&gt;=$J$4,'领用录入（明细）'!C:C&lt;=$L$4),ROW(),"-")</f>
        <v>-</v>
      </c>
    </row>
    <row r="21892" customHeight="1" spans="2:2">
      <c r="B21892" s="62" t="str">
        <f>IF(AND('领用录入（明细）'!D:D=$F$4,'领用录入（明细）'!C:C&gt;=$J$4,'领用录入（明细）'!C:C&lt;=$L$4),ROW(),"-")</f>
        <v>-</v>
      </c>
    </row>
    <row r="21893" customHeight="1" spans="2:2">
      <c r="B21893" s="62" t="str">
        <f>IF(AND('领用录入（明细）'!D:D=$F$4,'领用录入（明细）'!C:C&gt;=$J$4,'领用录入（明细）'!C:C&lt;=$L$4),ROW(),"-")</f>
        <v>-</v>
      </c>
    </row>
    <row r="21894" customHeight="1" spans="2:2">
      <c r="B21894" s="62" t="str">
        <f>IF(AND('领用录入（明细）'!D:D=$F$4,'领用录入（明细）'!C:C&gt;=$J$4,'领用录入（明细）'!C:C&lt;=$L$4),ROW(),"-")</f>
        <v>-</v>
      </c>
    </row>
    <row r="21895" customHeight="1" spans="2:2">
      <c r="B21895" s="62" t="str">
        <f>IF(AND('领用录入（明细）'!D:D=$F$4,'领用录入（明细）'!C:C&gt;=$J$4,'领用录入（明细）'!C:C&lt;=$L$4),ROW(),"-")</f>
        <v>-</v>
      </c>
    </row>
    <row r="21896" customHeight="1" spans="2:2">
      <c r="B21896" s="62" t="str">
        <f>IF(AND('领用录入（明细）'!D:D=$F$4,'领用录入（明细）'!C:C&gt;=$J$4,'领用录入（明细）'!C:C&lt;=$L$4),ROW(),"-")</f>
        <v>-</v>
      </c>
    </row>
    <row r="21897" customHeight="1" spans="2:2">
      <c r="B21897" s="62" t="str">
        <f>IF(AND('领用录入（明细）'!D:D=$F$4,'领用录入（明细）'!C:C&gt;=$J$4,'领用录入（明细）'!C:C&lt;=$L$4),ROW(),"-")</f>
        <v>-</v>
      </c>
    </row>
    <row r="21898" customHeight="1" spans="2:2">
      <c r="B21898" s="62" t="str">
        <f>IF(AND('领用录入（明细）'!D:D=$F$4,'领用录入（明细）'!C:C&gt;=$J$4,'领用录入（明细）'!C:C&lt;=$L$4),ROW(),"-")</f>
        <v>-</v>
      </c>
    </row>
    <row r="21899" customHeight="1" spans="2:2">
      <c r="B21899" s="62" t="str">
        <f>IF(AND('领用录入（明细）'!D:D=$F$4,'领用录入（明细）'!C:C&gt;=$J$4,'领用录入（明细）'!C:C&lt;=$L$4),ROW(),"-")</f>
        <v>-</v>
      </c>
    </row>
    <row r="21900" customHeight="1" spans="2:2">
      <c r="B21900" s="62" t="str">
        <f>IF(AND('领用录入（明细）'!D:D=$F$4,'领用录入（明细）'!C:C&gt;=$J$4,'领用录入（明细）'!C:C&lt;=$L$4),ROW(),"-")</f>
        <v>-</v>
      </c>
    </row>
    <row r="21901" customHeight="1" spans="2:2">
      <c r="B21901" s="62" t="str">
        <f>IF(AND('领用录入（明细）'!D:D=$F$4,'领用录入（明细）'!C:C&gt;=$J$4,'领用录入（明细）'!C:C&lt;=$L$4),ROW(),"-")</f>
        <v>-</v>
      </c>
    </row>
    <row r="21902" customHeight="1" spans="2:2">
      <c r="B21902" s="62" t="str">
        <f>IF(AND('领用录入（明细）'!D:D=$F$4,'领用录入（明细）'!C:C&gt;=$J$4,'领用录入（明细）'!C:C&lt;=$L$4),ROW(),"-")</f>
        <v>-</v>
      </c>
    </row>
    <row r="21903" customHeight="1" spans="2:2">
      <c r="B21903" s="62" t="str">
        <f>IF(AND('领用录入（明细）'!D:D=$F$4,'领用录入（明细）'!C:C&gt;=$J$4,'领用录入（明细）'!C:C&lt;=$L$4),ROW(),"-")</f>
        <v>-</v>
      </c>
    </row>
    <row r="21904" customHeight="1" spans="2:2">
      <c r="B21904" s="62" t="str">
        <f>IF(AND('领用录入（明细）'!D:D=$F$4,'领用录入（明细）'!C:C&gt;=$J$4,'领用录入（明细）'!C:C&lt;=$L$4),ROW(),"-")</f>
        <v>-</v>
      </c>
    </row>
    <row r="21905" customHeight="1" spans="2:2">
      <c r="B21905" s="62" t="str">
        <f>IF(AND('领用录入（明细）'!D:D=$F$4,'领用录入（明细）'!C:C&gt;=$J$4,'领用录入（明细）'!C:C&lt;=$L$4),ROW(),"-")</f>
        <v>-</v>
      </c>
    </row>
    <row r="21906" customHeight="1" spans="2:2">
      <c r="B21906" s="62" t="str">
        <f>IF(AND('领用录入（明细）'!D:D=$F$4,'领用录入（明细）'!C:C&gt;=$J$4,'领用录入（明细）'!C:C&lt;=$L$4),ROW(),"-")</f>
        <v>-</v>
      </c>
    </row>
    <row r="21907" customHeight="1" spans="2:2">
      <c r="B21907" s="62" t="str">
        <f>IF(AND('领用录入（明细）'!D:D=$F$4,'领用录入（明细）'!C:C&gt;=$J$4,'领用录入（明细）'!C:C&lt;=$L$4),ROW(),"-")</f>
        <v>-</v>
      </c>
    </row>
    <row r="21908" customHeight="1" spans="2:2">
      <c r="B21908" s="62" t="str">
        <f>IF(AND('领用录入（明细）'!D:D=$F$4,'领用录入（明细）'!C:C&gt;=$J$4,'领用录入（明细）'!C:C&lt;=$L$4),ROW(),"-")</f>
        <v>-</v>
      </c>
    </row>
    <row r="21909" customHeight="1" spans="2:2">
      <c r="B21909" s="62" t="str">
        <f>IF(AND('领用录入（明细）'!D:D=$F$4,'领用录入（明细）'!C:C&gt;=$J$4,'领用录入（明细）'!C:C&lt;=$L$4),ROW(),"-")</f>
        <v>-</v>
      </c>
    </row>
    <row r="21910" customHeight="1" spans="2:2">
      <c r="B21910" s="62" t="str">
        <f>IF(AND('领用录入（明细）'!D:D=$F$4,'领用录入（明细）'!C:C&gt;=$J$4,'领用录入（明细）'!C:C&lt;=$L$4),ROW(),"-")</f>
        <v>-</v>
      </c>
    </row>
    <row r="21911" customHeight="1" spans="2:2">
      <c r="B21911" s="62" t="str">
        <f>IF(AND('领用录入（明细）'!D:D=$F$4,'领用录入（明细）'!C:C&gt;=$J$4,'领用录入（明细）'!C:C&lt;=$L$4),ROW(),"-")</f>
        <v>-</v>
      </c>
    </row>
    <row r="21912" customHeight="1" spans="2:2">
      <c r="B21912" s="62" t="str">
        <f>IF(AND('领用录入（明细）'!D:D=$F$4,'领用录入（明细）'!C:C&gt;=$J$4,'领用录入（明细）'!C:C&lt;=$L$4),ROW(),"-")</f>
        <v>-</v>
      </c>
    </row>
    <row r="21913" customHeight="1" spans="2:2">
      <c r="B21913" s="62" t="str">
        <f>IF(AND('领用录入（明细）'!D:D=$F$4,'领用录入（明细）'!C:C&gt;=$J$4,'领用录入（明细）'!C:C&lt;=$L$4),ROW(),"-")</f>
        <v>-</v>
      </c>
    </row>
    <row r="21914" customHeight="1" spans="2:2">
      <c r="B21914" s="62" t="str">
        <f>IF(AND('领用录入（明细）'!D:D=$F$4,'领用录入（明细）'!C:C&gt;=$J$4,'领用录入（明细）'!C:C&lt;=$L$4),ROW(),"-")</f>
        <v>-</v>
      </c>
    </row>
    <row r="21915" customHeight="1" spans="2:2">
      <c r="B21915" s="62" t="str">
        <f>IF(AND('领用录入（明细）'!D:D=$F$4,'领用录入（明细）'!C:C&gt;=$J$4,'领用录入（明细）'!C:C&lt;=$L$4),ROW(),"-")</f>
        <v>-</v>
      </c>
    </row>
    <row r="21916" customHeight="1" spans="2:2">
      <c r="B21916" s="62" t="str">
        <f>IF(AND('领用录入（明细）'!D:D=$F$4,'领用录入（明细）'!C:C&gt;=$J$4,'领用录入（明细）'!C:C&lt;=$L$4),ROW(),"-")</f>
        <v>-</v>
      </c>
    </row>
    <row r="21917" customHeight="1" spans="2:2">
      <c r="B21917" s="62" t="str">
        <f>IF(AND('领用录入（明细）'!D:D=$F$4,'领用录入（明细）'!C:C&gt;=$J$4,'领用录入（明细）'!C:C&lt;=$L$4),ROW(),"-")</f>
        <v>-</v>
      </c>
    </row>
    <row r="21918" customHeight="1" spans="2:2">
      <c r="B21918" s="62" t="str">
        <f>IF(AND('领用录入（明细）'!D:D=$F$4,'领用录入（明细）'!C:C&gt;=$J$4,'领用录入（明细）'!C:C&lt;=$L$4),ROW(),"-")</f>
        <v>-</v>
      </c>
    </row>
    <row r="21919" customHeight="1" spans="2:2">
      <c r="B21919" s="62" t="str">
        <f>IF(AND('领用录入（明细）'!D:D=$F$4,'领用录入（明细）'!C:C&gt;=$J$4,'领用录入（明细）'!C:C&lt;=$L$4),ROW(),"-")</f>
        <v>-</v>
      </c>
    </row>
    <row r="21920" customHeight="1" spans="2:2">
      <c r="B21920" s="62" t="str">
        <f>IF(AND('领用录入（明细）'!D:D=$F$4,'领用录入（明细）'!C:C&gt;=$J$4,'领用录入（明细）'!C:C&lt;=$L$4),ROW(),"-")</f>
        <v>-</v>
      </c>
    </row>
    <row r="21921" customHeight="1" spans="2:2">
      <c r="B21921" s="62" t="str">
        <f>IF(AND('领用录入（明细）'!D:D=$F$4,'领用录入（明细）'!C:C&gt;=$J$4,'领用录入（明细）'!C:C&lt;=$L$4),ROW(),"-")</f>
        <v>-</v>
      </c>
    </row>
    <row r="21922" customHeight="1" spans="2:2">
      <c r="B21922" s="62" t="str">
        <f>IF(AND('领用录入（明细）'!D:D=$F$4,'领用录入（明细）'!C:C&gt;=$J$4,'领用录入（明细）'!C:C&lt;=$L$4),ROW(),"-")</f>
        <v>-</v>
      </c>
    </row>
    <row r="21923" customHeight="1" spans="2:2">
      <c r="B21923" s="62" t="str">
        <f>IF(AND('领用录入（明细）'!D:D=$F$4,'领用录入（明细）'!C:C&gt;=$J$4,'领用录入（明细）'!C:C&lt;=$L$4),ROW(),"-")</f>
        <v>-</v>
      </c>
    </row>
    <row r="21924" customHeight="1" spans="2:2">
      <c r="B21924" s="62" t="str">
        <f>IF(AND('领用录入（明细）'!D:D=$F$4,'领用录入（明细）'!C:C&gt;=$J$4,'领用录入（明细）'!C:C&lt;=$L$4),ROW(),"-")</f>
        <v>-</v>
      </c>
    </row>
    <row r="21925" customHeight="1" spans="2:2">
      <c r="B21925" s="62" t="str">
        <f>IF(AND('领用录入（明细）'!D:D=$F$4,'领用录入（明细）'!C:C&gt;=$J$4,'领用录入（明细）'!C:C&lt;=$L$4),ROW(),"-")</f>
        <v>-</v>
      </c>
    </row>
    <row r="21926" customHeight="1" spans="2:2">
      <c r="B21926" s="62" t="str">
        <f>IF(AND('领用录入（明细）'!D:D=$F$4,'领用录入（明细）'!C:C&gt;=$J$4,'领用录入（明细）'!C:C&lt;=$L$4),ROW(),"-")</f>
        <v>-</v>
      </c>
    </row>
    <row r="21927" customHeight="1" spans="2:2">
      <c r="B21927" s="62" t="str">
        <f>IF(AND('领用录入（明细）'!D:D=$F$4,'领用录入（明细）'!C:C&gt;=$J$4,'领用录入（明细）'!C:C&lt;=$L$4),ROW(),"-")</f>
        <v>-</v>
      </c>
    </row>
    <row r="21928" customHeight="1" spans="2:2">
      <c r="B21928" s="62" t="str">
        <f>IF(AND('领用录入（明细）'!D:D=$F$4,'领用录入（明细）'!C:C&gt;=$J$4,'领用录入（明细）'!C:C&lt;=$L$4),ROW(),"-")</f>
        <v>-</v>
      </c>
    </row>
    <row r="21929" customHeight="1" spans="2:2">
      <c r="B21929" s="62" t="str">
        <f>IF(AND('领用录入（明细）'!D:D=$F$4,'领用录入（明细）'!C:C&gt;=$J$4,'领用录入（明细）'!C:C&lt;=$L$4),ROW(),"-")</f>
        <v>-</v>
      </c>
    </row>
    <row r="21930" customHeight="1" spans="2:2">
      <c r="B21930" s="62" t="str">
        <f>IF(AND('领用录入（明细）'!D:D=$F$4,'领用录入（明细）'!C:C&gt;=$J$4,'领用录入（明细）'!C:C&lt;=$L$4),ROW(),"-")</f>
        <v>-</v>
      </c>
    </row>
    <row r="21931" customHeight="1" spans="2:2">
      <c r="B21931" s="62" t="str">
        <f>IF(AND('领用录入（明细）'!D:D=$F$4,'领用录入（明细）'!C:C&gt;=$J$4,'领用录入（明细）'!C:C&lt;=$L$4),ROW(),"-")</f>
        <v>-</v>
      </c>
    </row>
    <row r="21932" customHeight="1" spans="2:2">
      <c r="B21932" s="62" t="str">
        <f>IF(AND('领用录入（明细）'!D:D=$F$4,'领用录入（明细）'!C:C&gt;=$J$4,'领用录入（明细）'!C:C&lt;=$L$4),ROW(),"-")</f>
        <v>-</v>
      </c>
    </row>
    <row r="21933" customHeight="1" spans="2:2">
      <c r="B21933" s="62" t="str">
        <f>IF(AND('领用录入（明细）'!D:D=$F$4,'领用录入（明细）'!C:C&gt;=$J$4,'领用录入（明细）'!C:C&lt;=$L$4),ROW(),"-")</f>
        <v>-</v>
      </c>
    </row>
    <row r="21934" customHeight="1" spans="2:2">
      <c r="B21934" s="62" t="str">
        <f>IF(AND('领用录入（明细）'!D:D=$F$4,'领用录入（明细）'!C:C&gt;=$J$4,'领用录入（明细）'!C:C&lt;=$L$4),ROW(),"-")</f>
        <v>-</v>
      </c>
    </row>
    <row r="21935" customHeight="1" spans="2:2">
      <c r="B21935" s="62" t="str">
        <f>IF(AND('领用录入（明细）'!D:D=$F$4,'领用录入（明细）'!C:C&gt;=$J$4,'领用录入（明细）'!C:C&lt;=$L$4),ROW(),"-")</f>
        <v>-</v>
      </c>
    </row>
    <row r="21936" customHeight="1" spans="2:2">
      <c r="B21936" s="62" t="str">
        <f>IF(AND('领用录入（明细）'!D:D=$F$4,'领用录入（明细）'!C:C&gt;=$J$4,'领用录入（明细）'!C:C&lt;=$L$4),ROW(),"-")</f>
        <v>-</v>
      </c>
    </row>
    <row r="21937" customHeight="1" spans="2:2">
      <c r="B21937" s="62" t="str">
        <f>IF(AND('领用录入（明细）'!D:D=$F$4,'领用录入（明细）'!C:C&gt;=$J$4,'领用录入（明细）'!C:C&lt;=$L$4),ROW(),"-")</f>
        <v>-</v>
      </c>
    </row>
    <row r="21938" customHeight="1" spans="2:2">
      <c r="B21938" s="62" t="str">
        <f>IF(AND('领用录入（明细）'!D:D=$F$4,'领用录入（明细）'!C:C&gt;=$J$4,'领用录入（明细）'!C:C&lt;=$L$4),ROW(),"-")</f>
        <v>-</v>
      </c>
    </row>
    <row r="21939" customHeight="1" spans="2:2">
      <c r="B21939" s="62" t="str">
        <f>IF(AND('领用录入（明细）'!D:D=$F$4,'领用录入（明细）'!C:C&gt;=$J$4,'领用录入（明细）'!C:C&lt;=$L$4),ROW(),"-")</f>
        <v>-</v>
      </c>
    </row>
    <row r="21940" customHeight="1" spans="2:2">
      <c r="B21940" s="62" t="str">
        <f>IF(AND('领用录入（明细）'!D:D=$F$4,'领用录入（明细）'!C:C&gt;=$J$4,'领用录入（明细）'!C:C&lt;=$L$4),ROW(),"-")</f>
        <v>-</v>
      </c>
    </row>
    <row r="21941" customHeight="1" spans="2:2">
      <c r="B21941" s="62" t="str">
        <f>IF(AND('领用录入（明细）'!D:D=$F$4,'领用录入（明细）'!C:C&gt;=$J$4,'领用录入（明细）'!C:C&lt;=$L$4),ROW(),"-")</f>
        <v>-</v>
      </c>
    </row>
    <row r="21942" customHeight="1" spans="2:2">
      <c r="B21942" s="62" t="str">
        <f>IF(AND('领用录入（明细）'!D:D=$F$4,'领用录入（明细）'!C:C&gt;=$J$4,'领用录入（明细）'!C:C&lt;=$L$4),ROW(),"-")</f>
        <v>-</v>
      </c>
    </row>
    <row r="21943" customHeight="1" spans="2:2">
      <c r="B21943" s="62" t="str">
        <f>IF(AND('领用录入（明细）'!D:D=$F$4,'领用录入（明细）'!C:C&gt;=$J$4,'领用录入（明细）'!C:C&lt;=$L$4),ROW(),"-")</f>
        <v>-</v>
      </c>
    </row>
    <row r="21944" customHeight="1" spans="2:2">
      <c r="B21944" s="62" t="str">
        <f>IF(AND('领用录入（明细）'!D:D=$F$4,'领用录入（明细）'!C:C&gt;=$J$4,'领用录入（明细）'!C:C&lt;=$L$4),ROW(),"-")</f>
        <v>-</v>
      </c>
    </row>
    <row r="21945" customHeight="1" spans="2:2">
      <c r="B21945" s="62" t="str">
        <f>IF(AND('领用录入（明细）'!D:D=$F$4,'领用录入（明细）'!C:C&gt;=$J$4,'领用录入（明细）'!C:C&lt;=$L$4),ROW(),"-")</f>
        <v>-</v>
      </c>
    </row>
    <row r="21946" customHeight="1" spans="2:2">
      <c r="B21946" s="62" t="str">
        <f>IF(AND('领用录入（明细）'!D:D=$F$4,'领用录入（明细）'!C:C&gt;=$J$4,'领用录入（明细）'!C:C&lt;=$L$4),ROW(),"-")</f>
        <v>-</v>
      </c>
    </row>
    <row r="21947" customHeight="1" spans="2:2">
      <c r="B21947" s="62" t="str">
        <f>IF(AND('领用录入（明细）'!D:D=$F$4,'领用录入（明细）'!C:C&gt;=$J$4,'领用录入（明细）'!C:C&lt;=$L$4),ROW(),"-")</f>
        <v>-</v>
      </c>
    </row>
    <row r="21948" customHeight="1" spans="2:2">
      <c r="B21948" s="62" t="str">
        <f>IF(AND('领用录入（明细）'!D:D=$F$4,'领用录入（明细）'!C:C&gt;=$J$4,'领用录入（明细）'!C:C&lt;=$L$4),ROW(),"-")</f>
        <v>-</v>
      </c>
    </row>
    <row r="21949" customHeight="1" spans="2:2">
      <c r="B21949" s="62" t="str">
        <f>IF(AND('领用录入（明细）'!D:D=$F$4,'领用录入（明细）'!C:C&gt;=$J$4,'领用录入（明细）'!C:C&lt;=$L$4),ROW(),"-")</f>
        <v>-</v>
      </c>
    </row>
    <row r="21950" customHeight="1" spans="2:2">
      <c r="B21950" s="62" t="str">
        <f>IF(AND('领用录入（明细）'!D:D=$F$4,'领用录入（明细）'!C:C&gt;=$J$4,'领用录入（明细）'!C:C&lt;=$L$4),ROW(),"-")</f>
        <v>-</v>
      </c>
    </row>
    <row r="21951" customHeight="1" spans="2:2">
      <c r="B21951" s="62" t="str">
        <f>IF(AND('领用录入（明细）'!D:D=$F$4,'领用录入（明细）'!C:C&gt;=$J$4,'领用录入（明细）'!C:C&lt;=$L$4),ROW(),"-")</f>
        <v>-</v>
      </c>
    </row>
    <row r="21952" customHeight="1" spans="2:2">
      <c r="B21952" s="62" t="str">
        <f>IF(AND('领用录入（明细）'!D:D=$F$4,'领用录入（明细）'!C:C&gt;=$J$4,'领用录入（明细）'!C:C&lt;=$L$4),ROW(),"-")</f>
        <v>-</v>
      </c>
    </row>
    <row r="21953" customHeight="1" spans="2:2">
      <c r="B21953" s="62" t="str">
        <f>IF(AND('领用录入（明细）'!D:D=$F$4,'领用录入（明细）'!C:C&gt;=$J$4,'领用录入（明细）'!C:C&lt;=$L$4),ROW(),"-")</f>
        <v>-</v>
      </c>
    </row>
    <row r="21954" customHeight="1" spans="2:2">
      <c r="B21954" s="62" t="str">
        <f>IF(AND('领用录入（明细）'!D:D=$F$4,'领用录入（明细）'!C:C&gt;=$J$4,'领用录入（明细）'!C:C&lt;=$L$4),ROW(),"-")</f>
        <v>-</v>
      </c>
    </row>
    <row r="21955" customHeight="1" spans="2:2">
      <c r="B21955" s="62" t="str">
        <f>IF(AND('领用录入（明细）'!D:D=$F$4,'领用录入（明细）'!C:C&gt;=$J$4,'领用录入（明细）'!C:C&lt;=$L$4),ROW(),"-")</f>
        <v>-</v>
      </c>
    </row>
    <row r="21956" customHeight="1" spans="2:2">
      <c r="B21956" s="62" t="str">
        <f>IF(AND('领用录入（明细）'!D:D=$F$4,'领用录入（明细）'!C:C&gt;=$J$4,'领用录入（明细）'!C:C&lt;=$L$4),ROW(),"-")</f>
        <v>-</v>
      </c>
    </row>
    <row r="21957" customHeight="1" spans="2:2">
      <c r="B21957" s="62" t="str">
        <f>IF(AND('领用录入（明细）'!D:D=$F$4,'领用录入（明细）'!C:C&gt;=$J$4,'领用录入（明细）'!C:C&lt;=$L$4),ROW(),"-")</f>
        <v>-</v>
      </c>
    </row>
    <row r="21958" customHeight="1" spans="2:2">
      <c r="B21958" s="62" t="str">
        <f>IF(AND('领用录入（明细）'!D:D=$F$4,'领用录入（明细）'!C:C&gt;=$J$4,'领用录入（明细）'!C:C&lt;=$L$4),ROW(),"-")</f>
        <v>-</v>
      </c>
    </row>
    <row r="21959" customHeight="1" spans="2:2">
      <c r="B21959" s="62" t="str">
        <f>IF(AND('领用录入（明细）'!D:D=$F$4,'领用录入（明细）'!C:C&gt;=$J$4,'领用录入（明细）'!C:C&lt;=$L$4),ROW(),"-")</f>
        <v>-</v>
      </c>
    </row>
    <row r="21960" customHeight="1" spans="2:2">
      <c r="B21960" s="62" t="str">
        <f>IF(AND('领用录入（明细）'!D:D=$F$4,'领用录入（明细）'!C:C&gt;=$J$4,'领用录入（明细）'!C:C&lt;=$L$4),ROW(),"-")</f>
        <v>-</v>
      </c>
    </row>
    <row r="21961" customHeight="1" spans="2:2">
      <c r="B21961" s="62" t="str">
        <f>IF(AND('领用录入（明细）'!D:D=$F$4,'领用录入（明细）'!C:C&gt;=$J$4,'领用录入（明细）'!C:C&lt;=$L$4),ROW(),"-")</f>
        <v>-</v>
      </c>
    </row>
    <row r="21962" customHeight="1" spans="2:2">
      <c r="B21962" s="62" t="str">
        <f>IF(AND('领用录入（明细）'!D:D=$F$4,'领用录入（明细）'!C:C&gt;=$J$4,'领用录入（明细）'!C:C&lt;=$L$4),ROW(),"-")</f>
        <v>-</v>
      </c>
    </row>
    <row r="21963" customHeight="1" spans="2:2">
      <c r="B21963" s="62" t="str">
        <f>IF(AND('领用录入（明细）'!D:D=$F$4,'领用录入（明细）'!C:C&gt;=$J$4,'领用录入（明细）'!C:C&lt;=$L$4),ROW(),"-")</f>
        <v>-</v>
      </c>
    </row>
    <row r="21964" customHeight="1" spans="2:2">
      <c r="B21964" s="62" t="str">
        <f>IF(AND('领用录入（明细）'!D:D=$F$4,'领用录入（明细）'!C:C&gt;=$J$4,'领用录入（明细）'!C:C&lt;=$L$4),ROW(),"-")</f>
        <v>-</v>
      </c>
    </row>
    <row r="21965" customHeight="1" spans="2:2">
      <c r="B21965" s="62" t="str">
        <f>IF(AND('领用录入（明细）'!D:D=$F$4,'领用录入（明细）'!C:C&gt;=$J$4,'领用录入（明细）'!C:C&lt;=$L$4),ROW(),"-")</f>
        <v>-</v>
      </c>
    </row>
    <row r="21966" customHeight="1" spans="2:2">
      <c r="B21966" s="62" t="str">
        <f>IF(AND('领用录入（明细）'!D:D=$F$4,'领用录入（明细）'!C:C&gt;=$J$4,'领用录入（明细）'!C:C&lt;=$L$4),ROW(),"-")</f>
        <v>-</v>
      </c>
    </row>
    <row r="21967" customHeight="1" spans="2:2">
      <c r="B21967" s="62" t="str">
        <f>IF(AND('领用录入（明细）'!D:D=$F$4,'领用录入（明细）'!C:C&gt;=$J$4,'领用录入（明细）'!C:C&lt;=$L$4),ROW(),"-")</f>
        <v>-</v>
      </c>
    </row>
    <row r="21968" customHeight="1" spans="2:2">
      <c r="B21968" s="62" t="str">
        <f>IF(AND('领用录入（明细）'!D:D=$F$4,'领用录入（明细）'!C:C&gt;=$J$4,'领用录入（明细）'!C:C&lt;=$L$4),ROW(),"-")</f>
        <v>-</v>
      </c>
    </row>
    <row r="21969" customHeight="1" spans="2:2">
      <c r="B21969" s="62" t="str">
        <f>IF(AND('领用录入（明细）'!D:D=$F$4,'领用录入（明细）'!C:C&gt;=$J$4,'领用录入（明细）'!C:C&lt;=$L$4),ROW(),"-")</f>
        <v>-</v>
      </c>
    </row>
    <row r="21970" customHeight="1" spans="2:2">
      <c r="B21970" s="62" t="str">
        <f>IF(AND('领用录入（明细）'!D:D=$F$4,'领用录入（明细）'!C:C&gt;=$J$4,'领用录入（明细）'!C:C&lt;=$L$4),ROW(),"-")</f>
        <v>-</v>
      </c>
    </row>
    <row r="21971" customHeight="1" spans="2:2">
      <c r="B21971" s="62" t="str">
        <f>IF(AND('领用录入（明细）'!D:D=$F$4,'领用录入（明细）'!C:C&gt;=$J$4,'领用录入（明细）'!C:C&lt;=$L$4),ROW(),"-")</f>
        <v>-</v>
      </c>
    </row>
    <row r="21972" customHeight="1" spans="2:2">
      <c r="B21972" s="62" t="str">
        <f>IF(AND('领用录入（明细）'!D:D=$F$4,'领用录入（明细）'!C:C&gt;=$J$4,'领用录入（明细）'!C:C&lt;=$L$4),ROW(),"-")</f>
        <v>-</v>
      </c>
    </row>
    <row r="21973" customHeight="1" spans="2:2">
      <c r="B21973" s="62" t="str">
        <f>IF(AND('领用录入（明细）'!D:D=$F$4,'领用录入（明细）'!C:C&gt;=$J$4,'领用录入（明细）'!C:C&lt;=$L$4),ROW(),"-")</f>
        <v>-</v>
      </c>
    </row>
    <row r="21974" customHeight="1" spans="2:2">
      <c r="B21974" s="62" t="str">
        <f>IF(AND('领用录入（明细）'!D:D=$F$4,'领用录入（明细）'!C:C&gt;=$J$4,'领用录入（明细）'!C:C&lt;=$L$4),ROW(),"-")</f>
        <v>-</v>
      </c>
    </row>
    <row r="21975" customHeight="1" spans="2:2">
      <c r="B21975" s="62" t="str">
        <f>IF(AND('领用录入（明细）'!D:D=$F$4,'领用录入（明细）'!C:C&gt;=$J$4,'领用录入（明细）'!C:C&lt;=$L$4),ROW(),"-")</f>
        <v>-</v>
      </c>
    </row>
    <row r="21976" customHeight="1" spans="2:2">
      <c r="B21976" s="62" t="str">
        <f>IF(AND('领用录入（明细）'!D:D=$F$4,'领用录入（明细）'!C:C&gt;=$J$4,'领用录入（明细）'!C:C&lt;=$L$4),ROW(),"-")</f>
        <v>-</v>
      </c>
    </row>
    <row r="21977" customHeight="1" spans="2:2">
      <c r="B21977" s="62" t="str">
        <f>IF(AND('领用录入（明细）'!D:D=$F$4,'领用录入（明细）'!C:C&gt;=$J$4,'领用录入（明细）'!C:C&lt;=$L$4),ROW(),"-")</f>
        <v>-</v>
      </c>
    </row>
    <row r="21978" customHeight="1" spans="2:2">
      <c r="B21978" s="62" t="str">
        <f>IF(AND('领用录入（明细）'!D:D=$F$4,'领用录入（明细）'!C:C&gt;=$J$4,'领用录入（明细）'!C:C&lt;=$L$4),ROW(),"-")</f>
        <v>-</v>
      </c>
    </row>
    <row r="21979" customHeight="1" spans="2:2">
      <c r="B21979" s="62" t="str">
        <f>IF(AND('领用录入（明细）'!D:D=$F$4,'领用录入（明细）'!C:C&gt;=$J$4,'领用录入（明细）'!C:C&lt;=$L$4),ROW(),"-")</f>
        <v>-</v>
      </c>
    </row>
    <row r="21980" customHeight="1" spans="2:2">
      <c r="B21980" s="62" t="str">
        <f>IF(AND('领用录入（明细）'!D:D=$F$4,'领用录入（明细）'!C:C&gt;=$J$4,'领用录入（明细）'!C:C&lt;=$L$4),ROW(),"-")</f>
        <v>-</v>
      </c>
    </row>
    <row r="21981" customHeight="1" spans="2:2">
      <c r="B21981" s="62" t="str">
        <f>IF(AND('领用录入（明细）'!D:D=$F$4,'领用录入（明细）'!C:C&gt;=$J$4,'领用录入（明细）'!C:C&lt;=$L$4),ROW(),"-")</f>
        <v>-</v>
      </c>
    </row>
    <row r="21982" customHeight="1" spans="2:2">
      <c r="B21982" s="62" t="str">
        <f>IF(AND('领用录入（明细）'!D:D=$F$4,'领用录入（明细）'!C:C&gt;=$J$4,'领用录入（明细）'!C:C&lt;=$L$4),ROW(),"-")</f>
        <v>-</v>
      </c>
    </row>
    <row r="21983" customHeight="1" spans="2:2">
      <c r="B21983" s="62" t="str">
        <f>IF(AND('领用录入（明细）'!D:D=$F$4,'领用录入（明细）'!C:C&gt;=$J$4,'领用录入（明细）'!C:C&lt;=$L$4),ROW(),"-")</f>
        <v>-</v>
      </c>
    </row>
    <row r="21984" customHeight="1" spans="2:2">
      <c r="B21984" s="62" t="str">
        <f>IF(AND('领用录入（明细）'!D:D=$F$4,'领用录入（明细）'!C:C&gt;=$J$4,'领用录入（明细）'!C:C&lt;=$L$4),ROW(),"-")</f>
        <v>-</v>
      </c>
    </row>
    <row r="21985" customHeight="1" spans="2:2">
      <c r="B21985" s="62" t="str">
        <f>IF(AND('领用录入（明细）'!D:D=$F$4,'领用录入（明细）'!C:C&gt;=$J$4,'领用录入（明细）'!C:C&lt;=$L$4),ROW(),"-")</f>
        <v>-</v>
      </c>
    </row>
    <row r="21986" customHeight="1" spans="2:2">
      <c r="B21986" s="62" t="str">
        <f>IF(AND('领用录入（明细）'!D:D=$F$4,'领用录入（明细）'!C:C&gt;=$J$4,'领用录入（明细）'!C:C&lt;=$L$4),ROW(),"-")</f>
        <v>-</v>
      </c>
    </row>
    <row r="21987" customHeight="1" spans="2:2">
      <c r="B21987" s="62" t="str">
        <f>IF(AND('领用录入（明细）'!D:D=$F$4,'领用录入（明细）'!C:C&gt;=$J$4,'领用录入（明细）'!C:C&lt;=$L$4),ROW(),"-")</f>
        <v>-</v>
      </c>
    </row>
    <row r="21988" customHeight="1" spans="2:2">
      <c r="B21988" s="62" t="str">
        <f>IF(AND('领用录入（明细）'!D:D=$F$4,'领用录入（明细）'!C:C&gt;=$J$4,'领用录入（明细）'!C:C&lt;=$L$4),ROW(),"-")</f>
        <v>-</v>
      </c>
    </row>
    <row r="21989" customHeight="1" spans="2:2">
      <c r="B21989" s="62" t="str">
        <f>IF(AND('领用录入（明细）'!D:D=$F$4,'领用录入（明细）'!C:C&gt;=$J$4,'领用录入（明细）'!C:C&lt;=$L$4),ROW(),"-")</f>
        <v>-</v>
      </c>
    </row>
    <row r="21990" customHeight="1" spans="2:2">
      <c r="B21990" s="62" t="str">
        <f>IF(AND('领用录入（明细）'!D:D=$F$4,'领用录入（明细）'!C:C&gt;=$J$4,'领用录入（明细）'!C:C&lt;=$L$4),ROW(),"-")</f>
        <v>-</v>
      </c>
    </row>
    <row r="21991" customHeight="1" spans="2:2">
      <c r="B21991" s="62" t="str">
        <f>IF(AND('领用录入（明细）'!D:D=$F$4,'领用录入（明细）'!C:C&gt;=$J$4,'领用录入（明细）'!C:C&lt;=$L$4),ROW(),"-")</f>
        <v>-</v>
      </c>
    </row>
    <row r="21992" customHeight="1" spans="2:2">
      <c r="B21992" s="62" t="str">
        <f>IF(AND('领用录入（明细）'!D:D=$F$4,'领用录入（明细）'!C:C&gt;=$J$4,'领用录入（明细）'!C:C&lt;=$L$4),ROW(),"-")</f>
        <v>-</v>
      </c>
    </row>
    <row r="21993" customHeight="1" spans="2:2">
      <c r="B21993" s="62" t="str">
        <f>IF(AND('领用录入（明细）'!D:D=$F$4,'领用录入（明细）'!C:C&gt;=$J$4,'领用录入（明细）'!C:C&lt;=$L$4),ROW(),"-")</f>
        <v>-</v>
      </c>
    </row>
    <row r="21994" customHeight="1" spans="2:2">
      <c r="B21994" s="62" t="str">
        <f>IF(AND('领用录入（明细）'!D:D=$F$4,'领用录入（明细）'!C:C&gt;=$J$4,'领用录入（明细）'!C:C&lt;=$L$4),ROW(),"-")</f>
        <v>-</v>
      </c>
    </row>
    <row r="21995" customHeight="1" spans="2:2">
      <c r="B21995" s="62" t="str">
        <f>IF(AND('领用录入（明细）'!D:D=$F$4,'领用录入（明细）'!C:C&gt;=$J$4,'领用录入（明细）'!C:C&lt;=$L$4),ROW(),"-")</f>
        <v>-</v>
      </c>
    </row>
    <row r="21996" customHeight="1" spans="2:2">
      <c r="B21996" s="62" t="str">
        <f>IF(AND('领用录入（明细）'!D:D=$F$4,'领用录入（明细）'!C:C&gt;=$J$4,'领用录入（明细）'!C:C&lt;=$L$4),ROW(),"-")</f>
        <v>-</v>
      </c>
    </row>
    <row r="21997" customHeight="1" spans="2:2">
      <c r="B21997" s="62" t="str">
        <f>IF(AND('领用录入（明细）'!D:D=$F$4,'领用录入（明细）'!C:C&gt;=$J$4,'领用录入（明细）'!C:C&lt;=$L$4),ROW(),"-")</f>
        <v>-</v>
      </c>
    </row>
    <row r="21998" customHeight="1" spans="2:2">
      <c r="B21998" s="62" t="str">
        <f>IF(AND('领用录入（明细）'!D:D=$F$4,'领用录入（明细）'!C:C&gt;=$J$4,'领用录入（明细）'!C:C&lt;=$L$4),ROW(),"-")</f>
        <v>-</v>
      </c>
    </row>
    <row r="21999" customHeight="1" spans="2:2">
      <c r="B21999" s="62" t="str">
        <f>IF(AND('领用录入（明细）'!D:D=$F$4,'领用录入（明细）'!C:C&gt;=$J$4,'领用录入（明细）'!C:C&lt;=$L$4),ROW(),"-")</f>
        <v>-</v>
      </c>
    </row>
    <row r="22000" customHeight="1" spans="2:2">
      <c r="B22000" s="62" t="str">
        <f>IF(AND('领用录入（明细）'!D:D=$F$4,'领用录入（明细）'!C:C&gt;=$J$4,'领用录入（明细）'!C:C&lt;=$L$4),ROW(),"-")</f>
        <v>-</v>
      </c>
    </row>
    <row r="22001" customHeight="1" spans="2:2">
      <c r="B22001" s="62" t="str">
        <f>IF(AND('领用录入（明细）'!D:D=$F$4,'领用录入（明细）'!C:C&gt;=$J$4,'领用录入（明细）'!C:C&lt;=$L$4),ROW(),"-")</f>
        <v>-</v>
      </c>
    </row>
    <row r="22002" customHeight="1" spans="2:2">
      <c r="B22002" s="62" t="str">
        <f>IF(AND('领用录入（明细）'!D:D=$F$4,'领用录入（明细）'!C:C&gt;=$J$4,'领用录入（明细）'!C:C&lt;=$L$4),ROW(),"-")</f>
        <v>-</v>
      </c>
    </row>
    <row r="22003" customHeight="1" spans="2:2">
      <c r="B22003" s="62" t="str">
        <f>IF(AND('领用录入（明细）'!D:D=$F$4,'领用录入（明细）'!C:C&gt;=$J$4,'领用录入（明细）'!C:C&lt;=$L$4),ROW(),"-")</f>
        <v>-</v>
      </c>
    </row>
    <row r="22004" customHeight="1" spans="2:2">
      <c r="B22004" s="62" t="str">
        <f>IF(AND('领用录入（明细）'!D:D=$F$4,'领用录入（明细）'!C:C&gt;=$J$4,'领用录入（明细）'!C:C&lt;=$L$4),ROW(),"-")</f>
        <v>-</v>
      </c>
    </row>
    <row r="22005" customHeight="1" spans="2:2">
      <c r="B22005" s="62" t="str">
        <f>IF(AND('领用录入（明细）'!D:D=$F$4,'领用录入（明细）'!C:C&gt;=$J$4,'领用录入（明细）'!C:C&lt;=$L$4),ROW(),"-")</f>
        <v>-</v>
      </c>
    </row>
    <row r="22006" customHeight="1" spans="2:2">
      <c r="B22006" s="62" t="str">
        <f>IF(AND('领用录入（明细）'!D:D=$F$4,'领用录入（明细）'!C:C&gt;=$J$4,'领用录入（明细）'!C:C&lt;=$L$4),ROW(),"-")</f>
        <v>-</v>
      </c>
    </row>
    <row r="22007" customHeight="1" spans="2:2">
      <c r="B22007" s="62" t="str">
        <f>IF(AND('领用录入（明细）'!D:D=$F$4,'领用录入（明细）'!C:C&gt;=$J$4,'领用录入（明细）'!C:C&lt;=$L$4),ROW(),"-")</f>
        <v>-</v>
      </c>
    </row>
    <row r="22008" customHeight="1" spans="2:2">
      <c r="B22008" s="62" t="str">
        <f>IF(AND('领用录入（明细）'!D:D=$F$4,'领用录入（明细）'!C:C&gt;=$J$4,'领用录入（明细）'!C:C&lt;=$L$4),ROW(),"-")</f>
        <v>-</v>
      </c>
    </row>
    <row r="22009" customHeight="1" spans="2:2">
      <c r="B22009" s="62" t="str">
        <f>IF(AND('领用录入（明细）'!D:D=$F$4,'领用录入（明细）'!C:C&gt;=$J$4,'领用录入（明细）'!C:C&lt;=$L$4),ROW(),"-")</f>
        <v>-</v>
      </c>
    </row>
    <row r="22010" customHeight="1" spans="2:2">
      <c r="B22010" s="62" t="str">
        <f>IF(AND('领用录入（明细）'!D:D=$F$4,'领用录入（明细）'!C:C&gt;=$J$4,'领用录入（明细）'!C:C&lt;=$L$4),ROW(),"-")</f>
        <v>-</v>
      </c>
    </row>
    <row r="22011" customHeight="1" spans="2:2">
      <c r="B22011" s="62" t="str">
        <f>IF(AND('领用录入（明细）'!D:D=$F$4,'领用录入（明细）'!C:C&gt;=$J$4,'领用录入（明细）'!C:C&lt;=$L$4),ROW(),"-")</f>
        <v>-</v>
      </c>
    </row>
    <row r="22012" customHeight="1" spans="2:2">
      <c r="B22012" s="62" t="str">
        <f>IF(AND('领用录入（明细）'!D:D=$F$4,'领用录入（明细）'!C:C&gt;=$J$4,'领用录入（明细）'!C:C&lt;=$L$4),ROW(),"-")</f>
        <v>-</v>
      </c>
    </row>
    <row r="22013" customHeight="1" spans="2:2">
      <c r="B22013" s="62" t="str">
        <f>IF(AND('领用录入（明细）'!D:D=$F$4,'领用录入（明细）'!C:C&gt;=$J$4,'领用录入（明细）'!C:C&lt;=$L$4),ROW(),"-")</f>
        <v>-</v>
      </c>
    </row>
    <row r="22014" customHeight="1" spans="2:2">
      <c r="B22014" s="62" t="str">
        <f>IF(AND('领用录入（明细）'!D:D=$F$4,'领用录入（明细）'!C:C&gt;=$J$4,'领用录入（明细）'!C:C&lt;=$L$4),ROW(),"-")</f>
        <v>-</v>
      </c>
    </row>
    <row r="22015" customHeight="1" spans="2:2">
      <c r="B22015" s="62" t="str">
        <f>IF(AND('领用录入（明细）'!D:D=$F$4,'领用录入（明细）'!C:C&gt;=$J$4,'领用录入（明细）'!C:C&lt;=$L$4),ROW(),"-")</f>
        <v>-</v>
      </c>
    </row>
    <row r="22016" customHeight="1" spans="2:2">
      <c r="B22016" s="62" t="str">
        <f>IF(AND('领用录入（明细）'!D:D=$F$4,'领用录入（明细）'!C:C&gt;=$J$4,'领用录入（明细）'!C:C&lt;=$L$4),ROW(),"-")</f>
        <v>-</v>
      </c>
    </row>
    <row r="22017" customHeight="1" spans="2:2">
      <c r="B22017" s="62" t="str">
        <f>IF(AND('领用录入（明细）'!D:D=$F$4,'领用录入（明细）'!C:C&gt;=$J$4,'领用录入（明细）'!C:C&lt;=$L$4),ROW(),"-")</f>
        <v>-</v>
      </c>
    </row>
    <row r="22018" customHeight="1" spans="2:2">
      <c r="B22018" s="62" t="str">
        <f>IF(AND('领用录入（明细）'!D:D=$F$4,'领用录入（明细）'!C:C&gt;=$J$4,'领用录入（明细）'!C:C&lt;=$L$4),ROW(),"-")</f>
        <v>-</v>
      </c>
    </row>
    <row r="22019" customHeight="1" spans="2:2">
      <c r="B22019" s="62" t="str">
        <f>IF(AND('领用录入（明细）'!D:D=$F$4,'领用录入（明细）'!C:C&gt;=$J$4,'领用录入（明细）'!C:C&lt;=$L$4),ROW(),"-")</f>
        <v>-</v>
      </c>
    </row>
    <row r="22020" customHeight="1" spans="2:2">
      <c r="B22020" s="62" t="str">
        <f>IF(AND('领用录入（明细）'!D:D=$F$4,'领用录入（明细）'!C:C&gt;=$J$4,'领用录入（明细）'!C:C&lt;=$L$4),ROW(),"-")</f>
        <v>-</v>
      </c>
    </row>
    <row r="22021" customHeight="1" spans="2:2">
      <c r="B22021" s="62" t="str">
        <f>IF(AND('领用录入（明细）'!D:D=$F$4,'领用录入（明细）'!C:C&gt;=$J$4,'领用录入（明细）'!C:C&lt;=$L$4),ROW(),"-")</f>
        <v>-</v>
      </c>
    </row>
    <row r="22022" customHeight="1" spans="2:2">
      <c r="B22022" s="62" t="str">
        <f>IF(AND('领用录入（明细）'!D:D=$F$4,'领用录入（明细）'!C:C&gt;=$J$4,'领用录入（明细）'!C:C&lt;=$L$4),ROW(),"-")</f>
        <v>-</v>
      </c>
    </row>
    <row r="22023" customHeight="1" spans="2:2">
      <c r="B22023" s="62" t="str">
        <f>IF(AND('领用录入（明细）'!D:D=$F$4,'领用录入（明细）'!C:C&gt;=$J$4,'领用录入（明细）'!C:C&lt;=$L$4),ROW(),"-")</f>
        <v>-</v>
      </c>
    </row>
    <row r="22024" customHeight="1" spans="2:2">
      <c r="B22024" s="62" t="str">
        <f>IF(AND('领用录入（明细）'!D:D=$F$4,'领用录入（明细）'!C:C&gt;=$J$4,'领用录入（明细）'!C:C&lt;=$L$4),ROW(),"-")</f>
        <v>-</v>
      </c>
    </row>
    <row r="22025" customHeight="1" spans="2:2">
      <c r="B22025" s="62" t="str">
        <f>IF(AND('领用录入（明细）'!D:D=$F$4,'领用录入（明细）'!C:C&gt;=$J$4,'领用录入（明细）'!C:C&lt;=$L$4),ROW(),"-")</f>
        <v>-</v>
      </c>
    </row>
    <row r="22026" customHeight="1" spans="2:2">
      <c r="B22026" s="62" t="str">
        <f>IF(AND('领用录入（明细）'!D:D=$F$4,'领用录入（明细）'!C:C&gt;=$J$4,'领用录入（明细）'!C:C&lt;=$L$4),ROW(),"-")</f>
        <v>-</v>
      </c>
    </row>
    <row r="22027" customHeight="1" spans="2:2">
      <c r="B22027" s="62" t="str">
        <f>IF(AND('领用录入（明细）'!D:D=$F$4,'领用录入（明细）'!C:C&gt;=$J$4,'领用录入（明细）'!C:C&lt;=$L$4),ROW(),"-")</f>
        <v>-</v>
      </c>
    </row>
    <row r="22028" customHeight="1" spans="2:2">
      <c r="B22028" s="62" t="str">
        <f>IF(AND('领用录入（明细）'!D:D=$F$4,'领用录入（明细）'!C:C&gt;=$J$4,'领用录入（明细）'!C:C&lt;=$L$4),ROW(),"-")</f>
        <v>-</v>
      </c>
    </row>
    <row r="22029" customHeight="1" spans="2:2">
      <c r="B22029" s="62" t="str">
        <f>IF(AND('领用录入（明细）'!D:D=$F$4,'领用录入（明细）'!C:C&gt;=$J$4,'领用录入（明细）'!C:C&lt;=$L$4),ROW(),"-")</f>
        <v>-</v>
      </c>
    </row>
    <row r="22030" customHeight="1" spans="2:2">
      <c r="B22030" s="62" t="str">
        <f>IF(AND('领用录入（明细）'!D:D=$F$4,'领用录入（明细）'!C:C&gt;=$J$4,'领用录入（明细）'!C:C&lt;=$L$4),ROW(),"-")</f>
        <v>-</v>
      </c>
    </row>
    <row r="22031" customHeight="1" spans="2:2">
      <c r="B22031" s="62" t="str">
        <f>IF(AND('领用录入（明细）'!D:D=$F$4,'领用录入（明细）'!C:C&gt;=$J$4,'领用录入（明细）'!C:C&lt;=$L$4),ROW(),"-")</f>
        <v>-</v>
      </c>
    </row>
    <row r="22032" customHeight="1" spans="2:2">
      <c r="B22032" s="62" t="str">
        <f>IF(AND('领用录入（明细）'!D:D=$F$4,'领用录入（明细）'!C:C&gt;=$J$4,'领用录入（明细）'!C:C&lt;=$L$4),ROW(),"-")</f>
        <v>-</v>
      </c>
    </row>
    <row r="22033" customHeight="1" spans="2:2">
      <c r="B22033" s="62" t="str">
        <f>IF(AND('领用录入（明细）'!D:D=$F$4,'领用录入（明细）'!C:C&gt;=$J$4,'领用录入（明细）'!C:C&lt;=$L$4),ROW(),"-")</f>
        <v>-</v>
      </c>
    </row>
    <row r="22034" customHeight="1" spans="2:2">
      <c r="B22034" s="62" t="str">
        <f>IF(AND('领用录入（明细）'!D:D=$F$4,'领用录入（明细）'!C:C&gt;=$J$4,'领用录入（明细）'!C:C&lt;=$L$4),ROW(),"-")</f>
        <v>-</v>
      </c>
    </row>
    <row r="22035" customHeight="1" spans="2:2">
      <c r="B22035" s="62" t="str">
        <f>IF(AND('领用录入（明细）'!D:D=$F$4,'领用录入（明细）'!C:C&gt;=$J$4,'领用录入（明细）'!C:C&lt;=$L$4),ROW(),"-")</f>
        <v>-</v>
      </c>
    </row>
    <row r="22036" customHeight="1" spans="2:2">
      <c r="B22036" s="62" t="str">
        <f>IF(AND('领用录入（明细）'!D:D=$F$4,'领用录入（明细）'!C:C&gt;=$J$4,'领用录入（明细）'!C:C&lt;=$L$4),ROW(),"-")</f>
        <v>-</v>
      </c>
    </row>
    <row r="22037" customHeight="1" spans="2:2">
      <c r="B22037" s="62" t="str">
        <f>IF(AND('领用录入（明细）'!D:D=$F$4,'领用录入（明细）'!C:C&gt;=$J$4,'领用录入（明细）'!C:C&lt;=$L$4),ROW(),"-")</f>
        <v>-</v>
      </c>
    </row>
    <row r="22038" customHeight="1" spans="2:2">
      <c r="B22038" s="62" t="str">
        <f>IF(AND('领用录入（明细）'!D:D=$F$4,'领用录入（明细）'!C:C&gt;=$J$4,'领用录入（明细）'!C:C&lt;=$L$4),ROW(),"-")</f>
        <v>-</v>
      </c>
    </row>
    <row r="22039" customHeight="1" spans="2:2">
      <c r="B22039" s="62" t="str">
        <f>IF(AND('领用录入（明细）'!D:D=$F$4,'领用录入（明细）'!C:C&gt;=$J$4,'领用录入（明细）'!C:C&lt;=$L$4),ROW(),"-")</f>
        <v>-</v>
      </c>
    </row>
    <row r="22040" customHeight="1" spans="2:2">
      <c r="B22040" s="62" t="str">
        <f>IF(AND('领用录入（明细）'!D:D=$F$4,'领用录入（明细）'!C:C&gt;=$J$4,'领用录入（明细）'!C:C&lt;=$L$4),ROW(),"-")</f>
        <v>-</v>
      </c>
    </row>
    <row r="22041" customHeight="1" spans="2:2">
      <c r="B22041" s="62" t="str">
        <f>IF(AND('领用录入（明细）'!D:D=$F$4,'领用录入（明细）'!C:C&gt;=$J$4,'领用录入（明细）'!C:C&lt;=$L$4),ROW(),"-")</f>
        <v>-</v>
      </c>
    </row>
    <row r="22042" customHeight="1" spans="2:2">
      <c r="B22042" s="62" t="str">
        <f>IF(AND('领用录入（明细）'!D:D=$F$4,'领用录入（明细）'!C:C&gt;=$J$4,'领用录入（明细）'!C:C&lt;=$L$4),ROW(),"-")</f>
        <v>-</v>
      </c>
    </row>
    <row r="22043" customHeight="1" spans="2:2">
      <c r="B22043" s="62" t="str">
        <f>IF(AND('领用录入（明细）'!D:D=$F$4,'领用录入（明细）'!C:C&gt;=$J$4,'领用录入（明细）'!C:C&lt;=$L$4),ROW(),"-")</f>
        <v>-</v>
      </c>
    </row>
    <row r="22044" customHeight="1" spans="2:2">
      <c r="B22044" s="62" t="str">
        <f>IF(AND('领用录入（明细）'!D:D=$F$4,'领用录入（明细）'!C:C&gt;=$J$4,'领用录入（明细）'!C:C&lt;=$L$4),ROW(),"-")</f>
        <v>-</v>
      </c>
    </row>
    <row r="22045" customHeight="1" spans="2:2">
      <c r="B22045" s="62" t="str">
        <f>IF(AND('领用录入（明细）'!D:D=$F$4,'领用录入（明细）'!C:C&gt;=$J$4,'领用录入（明细）'!C:C&lt;=$L$4),ROW(),"-")</f>
        <v>-</v>
      </c>
    </row>
    <row r="22046" customHeight="1" spans="2:2">
      <c r="B22046" s="62" t="str">
        <f>IF(AND('领用录入（明细）'!D:D=$F$4,'领用录入（明细）'!C:C&gt;=$J$4,'领用录入（明细）'!C:C&lt;=$L$4),ROW(),"-")</f>
        <v>-</v>
      </c>
    </row>
    <row r="22047" customHeight="1" spans="2:2">
      <c r="B22047" s="62" t="str">
        <f>IF(AND('领用录入（明细）'!D:D=$F$4,'领用录入（明细）'!C:C&gt;=$J$4,'领用录入（明细）'!C:C&lt;=$L$4),ROW(),"-")</f>
        <v>-</v>
      </c>
    </row>
    <row r="22048" customHeight="1" spans="2:2">
      <c r="B22048" s="62" t="str">
        <f>IF(AND('领用录入（明细）'!D:D=$F$4,'领用录入（明细）'!C:C&gt;=$J$4,'领用录入（明细）'!C:C&lt;=$L$4),ROW(),"-")</f>
        <v>-</v>
      </c>
    </row>
    <row r="22049" customHeight="1" spans="2:2">
      <c r="B22049" s="62" t="str">
        <f>IF(AND('领用录入（明细）'!D:D=$F$4,'领用录入（明细）'!C:C&gt;=$J$4,'领用录入（明细）'!C:C&lt;=$L$4),ROW(),"-")</f>
        <v>-</v>
      </c>
    </row>
    <row r="22050" customHeight="1" spans="2:2">
      <c r="B22050" s="62" t="str">
        <f>IF(AND('领用录入（明细）'!D:D=$F$4,'领用录入（明细）'!C:C&gt;=$J$4,'领用录入（明细）'!C:C&lt;=$L$4),ROW(),"-")</f>
        <v>-</v>
      </c>
    </row>
    <row r="22051" customHeight="1" spans="2:2">
      <c r="B22051" s="62" t="str">
        <f>IF(AND('领用录入（明细）'!D:D=$F$4,'领用录入（明细）'!C:C&gt;=$J$4,'领用录入（明细）'!C:C&lt;=$L$4),ROW(),"-")</f>
        <v>-</v>
      </c>
    </row>
    <row r="22052" customHeight="1" spans="2:2">
      <c r="B22052" s="62" t="str">
        <f>IF(AND('领用录入（明细）'!D:D=$F$4,'领用录入（明细）'!C:C&gt;=$J$4,'领用录入（明细）'!C:C&lt;=$L$4),ROW(),"-")</f>
        <v>-</v>
      </c>
    </row>
    <row r="22053" customHeight="1" spans="2:2">
      <c r="B22053" s="62" t="str">
        <f>IF(AND('领用录入（明细）'!D:D=$F$4,'领用录入（明细）'!C:C&gt;=$J$4,'领用录入（明细）'!C:C&lt;=$L$4),ROW(),"-")</f>
        <v>-</v>
      </c>
    </row>
    <row r="22054" customHeight="1" spans="2:2">
      <c r="B22054" s="62" t="str">
        <f>IF(AND('领用录入（明细）'!D:D=$F$4,'领用录入（明细）'!C:C&gt;=$J$4,'领用录入（明细）'!C:C&lt;=$L$4),ROW(),"-")</f>
        <v>-</v>
      </c>
    </row>
    <row r="22055" customHeight="1" spans="2:2">
      <c r="B22055" s="62" t="str">
        <f>IF(AND('领用录入（明细）'!D:D=$F$4,'领用录入（明细）'!C:C&gt;=$J$4,'领用录入（明细）'!C:C&lt;=$L$4),ROW(),"-")</f>
        <v>-</v>
      </c>
    </row>
    <row r="22056" customHeight="1" spans="2:2">
      <c r="B22056" s="62" t="str">
        <f>IF(AND('领用录入（明细）'!D:D=$F$4,'领用录入（明细）'!C:C&gt;=$J$4,'领用录入（明细）'!C:C&lt;=$L$4),ROW(),"-")</f>
        <v>-</v>
      </c>
    </row>
    <row r="22057" customHeight="1" spans="2:2">
      <c r="B22057" s="62" t="str">
        <f>IF(AND('领用录入（明细）'!D:D=$F$4,'领用录入（明细）'!C:C&gt;=$J$4,'领用录入（明细）'!C:C&lt;=$L$4),ROW(),"-")</f>
        <v>-</v>
      </c>
    </row>
    <row r="22058" customHeight="1" spans="2:2">
      <c r="B22058" s="62" t="str">
        <f>IF(AND('领用录入（明细）'!D:D=$F$4,'领用录入（明细）'!C:C&gt;=$J$4,'领用录入（明细）'!C:C&lt;=$L$4),ROW(),"-")</f>
        <v>-</v>
      </c>
    </row>
    <row r="22059" customHeight="1" spans="2:2">
      <c r="B22059" s="62" t="str">
        <f>IF(AND('领用录入（明细）'!D:D=$F$4,'领用录入（明细）'!C:C&gt;=$J$4,'领用录入（明细）'!C:C&lt;=$L$4),ROW(),"-")</f>
        <v>-</v>
      </c>
    </row>
    <row r="22060" customHeight="1" spans="2:2">
      <c r="B22060" s="62" t="str">
        <f>IF(AND('领用录入（明细）'!D:D=$F$4,'领用录入（明细）'!C:C&gt;=$J$4,'领用录入（明细）'!C:C&lt;=$L$4),ROW(),"-")</f>
        <v>-</v>
      </c>
    </row>
    <row r="22061" customHeight="1" spans="2:2">
      <c r="B22061" s="62" t="str">
        <f>IF(AND('领用录入（明细）'!D:D=$F$4,'领用录入（明细）'!C:C&gt;=$J$4,'领用录入（明细）'!C:C&lt;=$L$4),ROW(),"-")</f>
        <v>-</v>
      </c>
    </row>
    <row r="22062" customHeight="1" spans="2:2">
      <c r="B22062" s="62" t="str">
        <f>IF(AND('领用录入（明细）'!D:D=$F$4,'领用录入（明细）'!C:C&gt;=$J$4,'领用录入（明细）'!C:C&lt;=$L$4),ROW(),"-")</f>
        <v>-</v>
      </c>
    </row>
    <row r="22063" customHeight="1" spans="2:2">
      <c r="B22063" s="62" t="str">
        <f>IF(AND('领用录入（明细）'!D:D=$F$4,'领用录入（明细）'!C:C&gt;=$J$4,'领用录入（明细）'!C:C&lt;=$L$4),ROW(),"-")</f>
        <v>-</v>
      </c>
    </row>
    <row r="22064" customHeight="1" spans="2:2">
      <c r="B22064" s="62" t="str">
        <f>IF(AND('领用录入（明细）'!D:D=$F$4,'领用录入（明细）'!C:C&gt;=$J$4,'领用录入（明细）'!C:C&lt;=$L$4),ROW(),"-")</f>
        <v>-</v>
      </c>
    </row>
    <row r="22065" customHeight="1" spans="2:2">
      <c r="B22065" s="62" t="str">
        <f>IF(AND('领用录入（明细）'!D:D=$F$4,'领用录入（明细）'!C:C&gt;=$J$4,'领用录入（明细）'!C:C&lt;=$L$4),ROW(),"-")</f>
        <v>-</v>
      </c>
    </row>
    <row r="22066" customHeight="1" spans="2:2">
      <c r="B22066" s="62" t="str">
        <f>IF(AND('领用录入（明细）'!D:D=$F$4,'领用录入（明细）'!C:C&gt;=$J$4,'领用录入（明细）'!C:C&lt;=$L$4),ROW(),"-")</f>
        <v>-</v>
      </c>
    </row>
    <row r="22067" customHeight="1" spans="2:2">
      <c r="B22067" s="62" t="str">
        <f>IF(AND('领用录入（明细）'!D:D=$F$4,'领用录入（明细）'!C:C&gt;=$J$4,'领用录入（明细）'!C:C&lt;=$L$4),ROW(),"-")</f>
        <v>-</v>
      </c>
    </row>
    <row r="22068" customHeight="1" spans="2:2">
      <c r="B22068" s="62" t="str">
        <f>IF(AND('领用录入（明细）'!D:D=$F$4,'领用录入（明细）'!C:C&gt;=$J$4,'领用录入（明细）'!C:C&lt;=$L$4),ROW(),"-")</f>
        <v>-</v>
      </c>
    </row>
    <row r="22069" customHeight="1" spans="2:2">
      <c r="B22069" s="62" t="str">
        <f>IF(AND('领用录入（明细）'!D:D=$F$4,'领用录入（明细）'!C:C&gt;=$J$4,'领用录入（明细）'!C:C&lt;=$L$4),ROW(),"-")</f>
        <v>-</v>
      </c>
    </row>
    <row r="22070" customHeight="1" spans="2:2">
      <c r="B22070" s="62" t="str">
        <f>IF(AND('领用录入（明细）'!D:D=$F$4,'领用录入（明细）'!C:C&gt;=$J$4,'领用录入（明细）'!C:C&lt;=$L$4),ROW(),"-")</f>
        <v>-</v>
      </c>
    </row>
    <row r="22071" customHeight="1" spans="2:2">
      <c r="B22071" s="62" t="str">
        <f>IF(AND('领用录入（明细）'!D:D=$F$4,'领用录入（明细）'!C:C&gt;=$J$4,'领用录入（明细）'!C:C&lt;=$L$4),ROW(),"-")</f>
        <v>-</v>
      </c>
    </row>
    <row r="22072" customHeight="1" spans="2:2">
      <c r="B22072" s="62" t="str">
        <f>IF(AND('领用录入（明细）'!D:D=$F$4,'领用录入（明细）'!C:C&gt;=$J$4,'领用录入（明细）'!C:C&lt;=$L$4),ROW(),"-")</f>
        <v>-</v>
      </c>
    </row>
    <row r="22073" customHeight="1" spans="2:2">
      <c r="B22073" s="62" t="str">
        <f>IF(AND('领用录入（明细）'!D:D=$F$4,'领用录入（明细）'!C:C&gt;=$J$4,'领用录入（明细）'!C:C&lt;=$L$4),ROW(),"-")</f>
        <v>-</v>
      </c>
    </row>
    <row r="22074" customHeight="1" spans="2:2">
      <c r="B22074" s="62" t="str">
        <f>IF(AND('领用录入（明细）'!D:D=$F$4,'领用录入（明细）'!C:C&gt;=$J$4,'领用录入（明细）'!C:C&lt;=$L$4),ROW(),"-")</f>
        <v>-</v>
      </c>
    </row>
    <row r="22075" customHeight="1" spans="2:2">
      <c r="B22075" s="62" t="str">
        <f>IF(AND('领用录入（明细）'!D:D=$F$4,'领用录入（明细）'!C:C&gt;=$J$4,'领用录入（明细）'!C:C&lt;=$L$4),ROW(),"-")</f>
        <v>-</v>
      </c>
    </row>
    <row r="22076" customHeight="1" spans="2:2">
      <c r="B22076" s="62" t="str">
        <f>IF(AND('领用录入（明细）'!D:D=$F$4,'领用录入（明细）'!C:C&gt;=$J$4,'领用录入（明细）'!C:C&lt;=$L$4),ROW(),"-")</f>
        <v>-</v>
      </c>
    </row>
    <row r="22077" customHeight="1" spans="2:2">
      <c r="B22077" s="62" t="str">
        <f>IF(AND('领用录入（明细）'!D:D=$F$4,'领用录入（明细）'!C:C&gt;=$J$4,'领用录入（明细）'!C:C&lt;=$L$4),ROW(),"-")</f>
        <v>-</v>
      </c>
    </row>
    <row r="22078" customHeight="1" spans="2:2">
      <c r="B22078" s="62" t="str">
        <f>IF(AND('领用录入（明细）'!D:D=$F$4,'领用录入（明细）'!C:C&gt;=$J$4,'领用录入（明细）'!C:C&lt;=$L$4),ROW(),"-")</f>
        <v>-</v>
      </c>
    </row>
    <row r="22079" customHeight="1" spans="2:2">
      <c r="B22079" s="62" t="str">
        <f>IF(AND('领用录入（明细）'!D:D=$F$4,'领用录入（明细）'!C:C&gt;=$J$4,'领用录入（明细）'!C:C&lt;=$L$4),ROW(),"-")</f>
        <v>-</v>
      </c>
    </row>
    <row r="22080" customHeight="1" spans="2:2">
      <c r="B22080" s="62" t="str">
        <f>IF(AND('领用录入（明细）'!D:D=$F$4,'领用录入（明细）'!C:C&gt;=$J$4,'领用录入（明细）'!C:C&lt;=$L$4),ROW(),"-")</f>
        <v>-</v>
      </c>
    </row>
    <row r="22081" customHeight="1" spans="2:2">
      <c r="B22081" s="62" t="str">
        <f>IF(AND('领用录入（明细）'!D:D=$F$4,'领用录入（明细）'!C:C&gt;=$J$4,'领用录入（明细）'!C:C&lt;=$L$4),ROW(),"-")</f>
        <v>-</v>
      </c>
    </row>
    <row r="22082" customHeight="1" spans="2:2">
      <c r="B22082" s="62" t="str">
        <f>IF(AND('领用录入（明细）'!D:D=$F$4,'领用录入（明细）'!C:C&gt;=$J$4,'领用录入（明细）'!C:C&lt;=$L$4),ROW(),"-")</f>
        <v>-</v>
      </c>
    </row>
    <row r="22083" customHeight="1" spans="2:2">
      <c r="B22083" s="62" t="str">
        <f>IF(AND('领用录入（明细）'!D:D=$F$4,'领用录入（明细）'!C:C&gt;=$J$4,'领用录入（明细）'!C:C&lt;=$L$4),ROW(),"-")</f>
        <v>-</v>
      </c>
    </row>
    <row r="22084" customHeight="1" spans="2:2">
      <c r="B22084" s="62" t="str">
        <f>IF(AND('领用录入（明细）'!D:D=$F$4,'领用录入（明细）'!C:C&gt;=$J$4,'领用录入（明细）'!C:C&lt;=$L$4),ROW(),"-")</f>
        <v>-</v>
      </c>
    </row>
    <row r="22085" customHeight="1" spans="2:2">
      <c r="B22085" s="62" t="str">
        <f>IF(AND('领用录入（明细）'!D:D=$F$4,'领用录入（明细）'!C:C&gt;=$J$4,'领用录入（明细）'!C:C&lt;=$L$4),ROW(),"-")</f>
        <v>-</v>
      </c>
    </row>
    <row r="22086" customHeight="1" spans="2:2">
      <c r="B22086" s="62" t="str">
        <f>IF(AND('领用录入（明细）'!D:D=$F$4,'领用录入（明细）'!C:C&gt;=$J$4,'领用录入（明细）'!C:C&lt;=$L$4),ROW(),"-")</f>
        <v>-</v>
      </c>
    </row>
    <row r="22087" customHeight="1" spans="2:2">
      <c r="B22087" s="62" t="str">
        <f>IF(AND('领用录入（明细）'!D:D=$F$4,'领用录入（明细）'!C:C&gt;=$J$4,'领用录入（明细）'!C:C&lt;=$L$4),ROW(),"-")</f>
        <v>-</v>
      </c>
    </row>
    <row r="22088" customHeight="1" spans="2:2">
      <c r="B22088" s="62" t="str">
        <f>IF(AND('领用录入（明细）'!D:D=$F$4,'领用录入（明细）'!C:C&gt;=$J$4,'领用录入（明细）'!C:C&lt;=$L$4),ROW(),"-")</f>
        <v>-</v>
      </c>
    </row>
    <row r="22089" customHeight="1" spans="2:2">
      <c r="B22089" s="62" t="str">
        <f>IF(AND('领用录入（明细）'!D:D=$F$4,'领用录入（明细）'!C:C&gt;=$J$4,'领用录入（明细）'!C:C&lt;=$L$4),ROW(),"-")</f>
        <v>-</v>
      </c>
    </row>
    <row r="22090" customHeight="1" spans="2:2">
      <c r="B22090" s="62" t="str">
        <f>IF(AND('领用录入（明细）'!D:D=$F$4,'领用录入（明细）'!C:C&gt;=$J$4,'领用录入（明细）'!C:C&lt;=$L$4),ROW(),"-")</f>
        <v>-</v>
      </c>
    </row>
    <row r="22091" customHeight="1" spans="2:2">
      <c r="B22091" s="62" t="str">
        <f>IF(AND('领用录入（明细）'!D:D=$F$4,'领用录入（明细）'!C:C&gt;=$J$4,'领用录入（明细）'!C:C&lt;=$L$4),ROW(),"-")</f>
        <v>-</v>
      </c>
    </row>
    <row r="22092" customHeight="1" spans="2:2">
      <c r="B22092" s="62" t="str">
        <f>IF(AND('领用录入（明细）'!D:D=$F$4,'领用录入（明细）'!C:C&gt;=$J$4,'领用录入（明细）'!C:C&lt;=$L$4),ROW(),"-")</f>
        <v>-</v>
      </c>
    </row>
    <row r="22093" customHeight="1" spans="2:2">
      <c r="B22093" s="62" t="str">
        <f>IF(AND('领用录入（明细）'!D:D=$F$4,'领用录入（明细）'!C:C&gt;=$J$4,'领用录入（明细）'!C:C&lt;=$L$4),ROW(),"-")</f>
        <v>-</v>
      </c>
    </row>
    <row r="22094" customHeight="1" spans="2:2">
      <c r="B22094" s="62" t="str">
        <f>IF(AND('领用录入（明细）'!D:D=$F$4,'领用录入（明细）'!C:C&gt;=$J$4,'领用录入（明细）'!C:C&lt;=$L$4),ROW(),"-")</f>
        <v>-</v>
      </c>
    </row>
    <row r="22095" customHeight="1" spans="2:2">
      <c r="B22095" s="62" t="str">
        <f>IF(AND('领用录入（明细）'!D:D=$F$4,'领用录入（明细）'!C:C&gt;=$J$4,'领用录入（明细）'!C:C&lt;=$L$4),ROW(),"-")</f>
        <v>-</v>
      </c>
    </row>
    <row r="22096" customHeight="1" spans="2:2">
      <c r="B22096" s="62" t="str">
        <f>IF(AND('领用录入（明细）'!D:D=$F$4,'领用录入（明细）'!C:C&gt;=$J$4,'领用录入（明细）'!C:C&lt;=$L$4),ROW(),"-")</f>
        <v>-</v>
      </c>
    </row>
    <row r="22097" customHeight="1" spans="2:2">
      <c r="B22097" s="62" t="str">
        <f>IF(AND('领用录入（明细）'!D:D=$F$4,'领用录入（明细）'!C:C&gt;=$J$4,'领用录入（明细）'!C:C&lt;=$L$4),ROW(),"-")</f>
        <v>-</v>
      </c>
    </row>
    <row r="22098" customHeight="1" spans="2:2">
      <c r="B22098" s="62" t="str">
        <f>IF(AND('领用录入（明细）'!D:D=$F$4,'领用录入（明细）'!C:C&gt;=$J$4,'领用录入（明细）'!C:C&lt;=$L$4),ROW(),"-")</f>
        <v>-</v>
      </c>
    </row>
    <row r="22099" customHeight="1" spans="2:2">
      <c r="B22099" s="62" t="str">
        <f>IF(AND('领用录入（明细）'!D:D=$F$4,'领用录入（明细）'!C:C&gt;=$J$4,'领用录入（明细）'!C:C&lt;=$L$4),ROW(),"-")</f>
        <v>-</v>
      </c>
    </row>
    <row r="22100" customHeight="1" spans="2:2">
      <c r="B22100" s="62" t="str">
        <f>IF(AND('领用录入（明细）'!D:D=$F$4,'领用录入（明细）'!C:C&gt;=$J$4,'领用录入（明细）'!C:C&lt;=$L$4),ROW(),"-")</f>
        <v>-</v>
      </c>
    </row>
    <row r="22101" customHeight="1" spans="2:2">
      <c r="B22101" s="62" t="str">
        <f>IF(AND('领用录入（明细）'!D:D=$F$4,'领用录入（明细）'!C:C&gt;=$J$4,'领用录入（明细）'!C:C&lt;=$L$4),ROW(),"-")</f>
        <v>-</v>
      </c>
    </row>
    <row r="22102" customHeight="1" spans="2:2">
      <c r="B22102" s="62" t="str">
        <f>IF(AND('领用录入（明细）'!D:D=$F$4,'领用录入（明细）'!C:C&gt;=$J$4,'领用录入（明细）'!C:C&lt;=$L$4),ROW(),"-")</f>
        <v>-</v>
      </c>
    </row>
    <row r="22103" customHeight="1" spans="2:2">
      <c r="B22103" s="62" t="str">
        <f>IF(AND('领用录入（明细）'!D:D=$F$4,'领用录入（明细）'!C:C&gt;=$J$4,'领用录入（明细）'!C:C&lt;=$L$4),ROW(),"-")</f>
        <v>-</v>
      </c>
    </row>
    <row r="22104" customHeight="1" spans="2:2">
      <c r="B22104" s="62" t="str">
        <f>IF(AND('领用录入（明细）'!D:D=$F$4,'领用录入（明细）'!C:C&gt;=$J$4,'领用录入（明细）'!C:C&lt;=$L$4),ROW(),"-")</f>
        <v>-</v>
      </c>
    </row>
    <row r="22105" customHeight="1" spans="2:2">
      <c r="B22105" s="62" t="str">
        <f>IF(AND('领用录入（明细）'!D:D=$F$4,'领用录入（明细）'!C:C&gt;=$J$4,'领用录入（明细）'!C:C&lt;=$L$4),ROW(),"-")</f>
        <v>-</v>
      </c>
    </row>
    <row r="22106" customHeight="1" spans="2:2">
      <c r="B22106" s="62" t="str">
        <f>IF(AND('领用录入（明细）'!D:D=$F$4,'领用录入（明细）'!C:C&gt;=$J$4,'领用录入（明细）'!C:C&lt;=$L$4),ROW(),"-")</f>
        <v>-</v>
      </c>
    </row>
    <row r="22107" customHeight="1" spans="2:2">
      <c r="B22107" s="62" t="str">
        <f>IF(AND('领用录入（明细）'!D:D=$F$4,'领用录入（明细）'!C:C&gt;=$J$4,'领用录入（明细）'!C:C&lt;=$L$4),ROW(),"-")</f>
        <v>-</v>
      </c>
    </row>
    <row r="22108" customHeight="1" spans="2:2">
      <c r="B22108" s="62" t="str">
        <f>IF(AND('领用录入（明细）'!D:D=$F$4,'领用录入（明细）'!C:C&gt;=$J$4,'领用录入（明细）'!C:C&lt;=$L$4),ROW(),"-")</f>
        <v>-</v>
      </c>
    </row>
    <row r="22109" customHeight="1" spans="2:2">
      <c r="B22109" s="62" t="str">
        <f>IF(AND('领用录入（明细）'!D:D=$F$4,'领用录入（明细）'!C:C&gt;=$J$4,'领用录入（明细）'!C:C&lt;=$L$4),ROW(),"-")</f>
        <v>-</v>
      </c>
    </row>
    <row r="22110" customHeight="1" spans="2:2">
      <c r="B22110" s="62" t="str">
        <f>IF(AND('领用录入（明细）'!D:D=$F$4,'领用录入（明细）'!C:C&gt;=$J$4,'领用录入（明细）'!C:C&lt;=$L$4),ROW(),"-")</f>
        <v>-</v>
      </c>
    </row>
    <row r="22111" customHeight="1" spans="2:2">
      <c r="B22111" s="62" t="str">
        <f>IF(AND('领用录入（明细）'!D:D=$F$4,'领用录入（明细）'!C:C&gt;=$J$4,'领用录入（明细）'!C:C&lt;=$L$4),ROW(),"-")</f>
        <v>-</v>
      </c>
    </row>
    <row r="22112" customHeight="1" spans="2:2">
      <c r="B22112" s="62" t="str">
        <f>IF(AND('领用录入（明细）'!D:D=$F$4,'领用录入（明细）'!C:C&gt;=$J$4,'领用录入（明细）'!C:C&lt;=$L$4),ROW(),"-")</f>
        <v>-</v>
      </c>
    </row>
    <row r="22113" customHeight="1" spans="2:2">
      <c r="B22113" s="62" t="str">
        <f>IF(AND('领用录入（明细）'!D:D=$F$4,'领用录入（明细）'!C:C&gt;=$J$4,'领用录入（明细）'!C:C&lt;=$L$4),ROW(),"-")</f>
        <v>-</v>
      </c>
    </row>
    <row r="22114" customHeight="1" spans="2:2">
      <c r="B22114" s="62" t="str">
        <f>IF(AND('领用录入（明细）'!D:D=$F$4,'领用录入（明细）'!C:C&gt;=$J$4,'领用录入（明细）'!C:C&lt;=$L$4),ROW(),"-")</f>
        <v>-</v>
      </c>
    </row>
    <row r="22115" customHeight="1" spans="2:2">
      <c r="B22115" s="62" t="str">
        <f>IF(AND('领用录入（明细）'!D:D=$F$4,'领用录入（明细）'!C:C&gt;=$J$4,'领用录入（明细）'!C:C&lt;=$L$4),ROW(),"-")</f>
        <v>-</v>
      </c>
    </row>
    <row r="22116" customHeight="1" spans="2:2">
      <c r="B22116" s="62" t="str">
        <f>IF(AND('领用录入（明细）'!D:D=$F$4,'领用录入（明细）'!C:C&gt;=$J$4,'领用录入（明细）'!C:C&lt;=$L$4),ROW(),"-")</f>
        <v>-</v>
      </c>
    </row>
    <row r="22117" customHeight="1" spans="2:2">
      <c r="B22117" s="62" t="str">
        <f>IF(AND('领用录入（明细）'!D:D=$F$4,'领用录入（明细）'!C:C&gt;=$J$4,'领用录入（明细）'!C:C&lt;=$L$4),ROW(),"-")</f>
        <v>-</v>
      </c>
    </row>
    <row r="22118" customHeight="1" spans="2:2">
      <c r="B22118" s="62" t="str">
        <f>IF(AND('领用录入（明细）'!D:D=$F$4,'领用录入（明细）'!C:C&gt;=$J$4,'领用录入（明细）'!C:C&lt;=$L$4),ROW(),"-")</f>
        <v>-</v>
      </c>
    </row>
    <row r="22119" customHeight="1" spans="2:2">
      <c r="B22119" s="62" t="str">
        <f>IF(AND('领用录入（明细）'!D:D=$F$4,'领用录入（明细）'!C:C&gt;=$J$4,'领用录入（明细）'!C:C&lt;=$L$4),ROW(),"-")</f>
        <v>-</v>
      </c>
    </row>
    <row r="22120" customHeight="1" spans="2:2">
      <c r="B22120" s="62" t="str">
        <f>IF(AND('领用录入（明细）'!D:D=$F$4,'领用录入（明细）'!C:C&gt;=$J$4,'领用录入（明细）'!C:C&lt;=$L$4),ROW(),"-")</f>
        <v>-</v>
      </c>
    </row>
    <row r="22121" customHeight="1" spans="2:2">
      <c r="B22121" s="62" t="str">
        <f>IF(AND('领用录入（明细）'!D:D=$F$4,'领用录入（明细）'!C:C&gt;=$J$4,'领用录入（明细）'!C:C&lt;=$L$4),ROW(),"-")</f>
        <v>-</v>
      </c>
    </row>
    <row r="22122" customHeight="1" spans="2:2">
      <c r="B22122" s="62" t="str">
        <f>IF(AND('领用录入（明细）'!D:D=$F$4,'领用录入（明细）'!C:C&gt;=$J$4,'领用录入（明细）'!C:C&lt;=$L$4),ROW(),"-")</f>
        <v>-</v>
      </c>
    </row>
    <row r="22123" customHeight="1" spans="2:2">
      <c r="B22123" s="62" t="str">
        <f>IF(AND('领用录入（明细）'!D:D=$F$4,'领用录入（明细）'!C:C&gt;=$J$4,'领用录入（明细）'!C:C&lt;=$L$4),ROW(),"-")</f>
        <v>-</v>
      </c>
    </row>
    <row r="22124" customHeight="1" spans="2:2">
      <c r="B22124" s="62" t="str">
        <f>IF(AND('领用录入（明细）'!D:D=$F$4,'领用录入（明细）'!C:C&gt;=$J$4,'领用录入（明细）'!C:C&lt;=$L$4),ROW(),"-")</f>
        <v>-</v>
      </c>
    </row>
    <row r="22125" customHeight="1" spans="2:2">
      <c r="B22125" s="62" t="str">
        <f>IF(AND('领用录入（明细）'!D:D=$F$4,'领用录入（明细）'!C:C&gt;=$J$4,'领用录入（明细）'!C:C&lt;=$L$4),ROW(),"-")</f>
        <v>-</v>
      </c>
    </row>
    <row r="22126" customHeight="1" spans="2:2">
      <c r="B22126" s="62" t="str">
        <f>IF(AND('领用录入（明细）'!D:D=$F$4,'领用录入（明细）'!C:C&gt;=$J$4,'领用录入（明细）'!C:C&lt;=$L$4),ROW(),"-")</f>
        <v>-</v>
      </c>
    </row>
    <row r="22127" customHeight="1" spans="2:2">
      <c r="B22127" s="62" t="str">
        <f>IF(AND('领用录入（明细）'!D:D=$F$4,'领用录入（明细）'!C:C&gt;=$J$4,'领用录入（明细）'!C:C&lt;=$L$4),ROW(),"-")</f>
        <v>-</v>
      </c>
    </row>
    <row r="22128" customHeight="1" spans="2:2">
      <c r="B22128" s="62" t="str">
        <f>IF(AND('领用录入（明细）'!D:D=$F$4,'领用录入（明细）'!C:C&gt;=$J$4,'领用录入（明细）'!C:C&lt;=$L$4),ROW(),"-")</f>
        <v>-</v>
      </c>
    </row>
    <row r="22129" customHeight="1" spans="2:2">
      <c r="B22129" s="62" t="str">
        <f>IF(AND('领用录入（明细）'!D:D=$F$4,'领用录入（明细）'!C:C&gt;=$J$4,'领用录入（明细）'!C:C&lt;=$L$4),ROW(),"-")</f>
        <v>-</v>
      </c>
    </row>
    <row r="22130" customHeight="1" spans="2:2">
      <c r="B22130" s="62" t="str">
        <f>IF(AND('领用录入（明细）'!D:D=$F$4,'领用录入（明细）'!C:C&gt;=$J$4,'领用录入（明细）'!C:C&lt;=$L$4),ROW(),"-")</f>
        <v>-</v>
      </c>
    </row>
    <row r="22131" customHeight="1" spans="2:2">
      <c r="B22131" s="62" t="str">
        <f>IF(AND('领用录入（明细）'!D:D=$F$4,'领用录入（明细）'!C:C&gt;=$J$4,'领用录入（明细）'!C:C&lt;=$L$4),ROW(),"-")</f>
        <v>-</v>
      </c>
    </row>
    <row r="22132" customHeight="1" spans="2:2">
      <c r="B22132" s="62" t="str">
        <f>IF(AND('领用录入（明细）'!D:D=$F$4,'领用录入（明细）'!C:C&gt;=$J$4,'领用录入（明细）'!C:C&lt;=$L$4),ROW(),"-")</f>
        <v>-</v>
      </c>
    </row>
    <row r="22133" customHeight="1" spans="2:2">
      <c r="B22133" s="62" t="str">
        <f>IF(AND('领用录入（明细）'!D:D=$F$4,'领用录入（明细）'!C:C&gt;=$J$4,'领用录入（明细）'!C:C&lt;=$L$4),ROW(),"-")</f>
        <v>-</v>
      </c>
    </row>
    <row r="22134" customHeight="1" spans="2:2">
      <c r="B22134" s="62" t="str">
        <f>IF(AND('领用录入（明细）'!D:D=$F$4,'领用录入（明细）'!C:C&gt;=$J$4,'领用录入（明细）'!C:C&lt;=$L$4),ROW(),"-")</f>
        <v>-</v>
      </c>
    </row>
    <row r="22135" customHeight="1" spans="2:2">
      <c r="B22135" s="62" t="str">
        <f>IF(AND('领用录入（明细）'!D:D=$F$4,'领用录入（明细）'!C:C&gt;=$J$4,'领用录入（明细）'!C:C&lt;=$L$4),ROW(),"-")</f>
        <v>-</v>
      </c>
    </row>
    <row r="22136" customHeight="1" spans="2:2">
      <c r="B22136" s="62" t="str">
        <f>IF(AND('领用录入（明细）'!D:D=$F$4,'领用录入（明细）'!C:C&gt;=$J$4,'领用录入（明细）'!C:C&lt;=$L$4),ROW(),"-")</f>
        <v>-</v>
      </c>
    </row>
    <row r="22137" customHeight="1" spans="2:2">
      <c r="B22137" s="62" t="str">
        <f>IF(AND('领用录入（明细）'!D:D=$F$4,'领用录入（明细）'!C:C&gt;=$J$4,'领用录入（明细）'!C:C&lt;=$L$4),ROW(),"-")</f>
        <v>-</v>
      </c>
    </row>
    <row r="22138" customHeight="1" spans="2:2">
      <c r="B22138" s="62" t="str">
        <f>IF(AND('领用录入（明细）'!D:D=$F$4,'领用录入（明细）'!C:C&gt;=$J$4,'领用录入（明细）'!C:C&lt;=$L$4),ROW(),"-")</f>
        <v>-</v>
      </c>
    </row>
    <row r="22139" customHeight="1" spans="2:2">
      <c r="B22139" s="62" t="str">
        <f>IF(AND('领用录入（明细）'!D:D=$F$4,'领用录入（明细）'!C:C&gt;=$J$4,'领用录入（明细）'!C:C&lt;=$L$4),ROW(),"-")</f>
        <v>-</v>
      </c>
    </row>
    <row r="22140" customHeight="1" spans="2:2">
      <c r="B22140" s="62" t="str">
        <f>IF(AND('领用录入（明细）'!D:D=$F$4,'领用录入（明细）'!C:C&gt;=$J$4,'领用录入（明细）'!C:C&lt;=$L$4),ROW(),"-")</f>
        <v>-</v>
      </c>
    </row>
    <row r="22141" customHeight="1" spans="2:2">
      <c r="B22141" s="62" t="str">
        <f>IF(AND('领用录入（明细）'!D:D=$F$4,'领用录入（明细）'!C:C&gt;=$J$4,'领用录入（明细）'!C:C&lt;=$L$4),ROW(),"-")</f>
        <v>-</v>
      </c>
    </row>
    <row r="22142" customHeight="1" spans="2:2">
      <c r="B22142" s="62" t="str">
        <f>IF(AND('领用录入（明细）'!D:D=$F$4,'领用录入（明细）'!C:C&gt;=$J$4,'领用录入（明细）'!C:C&lt;=$L$4),ROW(),"-")</f>
        <v>-</v>
      </c>
    </row>
    <row r="22143" customHeight="1" spans="2:2">
      <c r="B22143" s="62" t="str">
        <f>IF(AND('领用录入（明细）'!D:D=$F$4,'领用录入（明细）'!C:C&gt;=$J$4,'领用录入（明细）'!C:C&lt;=$L$4),ROW(),"-")</f>
        <v>-</v>
      </c>
    </row>
    <row r="22144" customHeight="1" spans="2:2">
      <c r="B22144" s="62" t="str">
        <f>IF(AND('领用录入（明细）'!D:D=$F$4,'领用录入（明细）'!C:C&gt;=$J$4,'领用录入（明细）'!C:C&lt;=$L$4),ROW(),"-")</f>
        <v>-</v>
      </c>
    </row>
    <row r="22145" customHeight="1" spans="2:2">
      <c r="B22145" s="62" t="str">
        <f>IF(AND('领用录入（明细）'!D:D=$F$4,'领用录入（明细）'!C:C&gt;=$J$4,'领用录入（明细）'!C:C&lt;=$L$4),ROW(),"-")</f>
        <v>-</v>
      </c>
    </row>
    <row r="22146" customHeight="1" spans="2:2">
      <c r="B22146" s="62" t="str">
        <f>IF(AND('领用录入（明细）'!D:D=$F$4,'领用录入（明细）'!C:C&gt;=$J$4,'领用录入（明细）'!C:C&lt;=$L$4),ROW(),"-")</f>
        <v>-</v>
      </c>
    </row>
    <row r="22147" customHeight="1" spans="2:2">
      <c r="B22147" s="62" t="str">
        <f>IF(AND('领用录入（明细）'!D:D=$F$4,'领用录入（明细）'!C:C&gt;=$J$4,'领用录入（明细）'!C:C&lt;=$L$4),ROW(),"-")</f>
        <v>-</v>
      </c>
    </row>
    <row r="22148" customHeight="1" spans="2:2">
      <c r="B22148" s="62" t="str">
        <f>IF(AND('领用录入（明细）'!D:D=$F$4,'领用录入（明细）'!C:C&gt;=$J$4,'领用录入（明细）'!C:C&lt;=$L$4),ROW(),"-")</f>
        <v>-</v>
      </c>
    </row>
    <row r="22149" customHeight="1" spans="2:2">
      <c r="B22149" s="62" t="str">
        <f>IF(AND('领用录入（明细）'!D:D=$F$4,'领用录入（明细）'!C:C&gt;=$J$4,'领用录入（明细）'!C:C&lt;=$L$4),ROW(),"-")</f>
        <v>-</v>
      </c>
    </row>
    <row r="22150" customHeight="1" spans="2:2">
      <c r="B22150" s="62" t="str">
        <f>IF(AND('领用录入（明细）'!D:D=$F$4,'领用录入（明细）'!C:C&gt;=$J$4,'领用录入（明细）'!C:C&lt;=$L$4),ROW(),"-")</f>
        <v>-</v>
      </c>
    </row>
    <row r="22151" customHeight="1" spans="2:2">
      <c r="B22151" s="62" t="str">
        <f>IF(AND('领用录入（明细）'!D:D=$F$4,'领用录入（明细）'!C:C&gt;=$J$4,'领用录入（明细）'!C:C&lt;=$L$4),ROW(),"-")</f>
        <v>-</v>
      </c>
    </row>
    <row r="22152" customHeight="1" spans="2:2">
      <c r="B22152" s="62" t="str">
        <f>IF(AND('领用录入（明细）'!D:D=$F$4,'领用录入（明细）'!C:C&gt;=$J$4,'领用录入（明细）'!C:C&lt;=$L$4),ROW(),"-")</f>
        <v>-</v>
      </c>
    </row>
    <row r="22153" customHeight="1" spans="2:2">
      <c r="B22153" s="62" t="str">
        <f>IF(AND('领用录入（明细）'!D:D=$F$4,'领用录入（明细）'!C:C&gt;=$J$4,'领用录入（明细）'!C:C&lt;=$L$4),ROW(),"-")</f>
        <v>-</v>
      </c>
    </row>
    <row r="22154" customHeight="1" spans="2:2">
      <c r="B22154" s="62" t="str">
        <f>IF(AND('领用录入（明细）'!D:D=$F$4,'领用录入（明细）'!C:C&gt;=$J$4,'领用录入（明细）'!C:C&lt;=$L$4),ROW(),"-")</f>
        <v>-</v>
      </c>
    </row>
    <row r="22155" customHeight="1" spans="2:2">
      <c r="B22155" s="62" t="str">
        <f>IF(AND('领用录入（明细）'!D:D=$F$4,'领用录入（明细）'!C:C&gt;=$J$4,'领用录入（明细）'!C:C&lt;=$L$4),ROW(),"-")</f>
        <v>-</v>
      </c>
    </row>
    <row r="22156" customHeight="1" spans="2:2">
      <c r="B22156" s="62" t="str">
        <f>IF(AND('领用录入（明细）'!D:D=$F$4,'领用录入（明细）'!C:C&gt;=$J$4,'领用录入（明细）'!C:C&lt;=$L$4),ROW(),"-")</f>
        <v>-</v>
      </c>
    </row>
    <row r="22157" customHeight="1" spans="2:2">
      <c r="B22157" s="62" t="str">
        <f>IF(AND('领用录入（明细）'!D:D=$F$4,'领用录入（明细）'!C:C&gt;=$J$4,'领用录入（明细）'!C:C&lt;=$L$4),ROW(),"-")</f>
        <v>-</v>
      </c>
    </row>
    <row r="22158" customHeight="1" spans="2:2">
      <c r="B22158" s="62" t="str">
        <f>IF(AND('领用录入（明细）'!D:D=$F$4,'领用录入（明细）'!C:C&gt;=$J$4,'领用录入（明细）'!C:C&lt;=$L$4),ROW(),"-")</f>
        <v>-</v>
      </c>
    </row>
    <row r="22159" customHeight="1" spans="2:2">
      <c r="B22159" s="62" t="str">
        <f>IF(AND('领用录入（明细）'!D:D=$F$4,'领用录入（明细）'!C:C&gt;=$J$4,'领用录入（明细）'!C:C&lt;=$L$4),ROW(),"-")</f>
        <v>-</v>
      </c>
    </row>
    <row r="22160" customHeight="1" spans="2:2">
      <c r="B22160" s="62" t="str">
        <f>IF(AND('领用录入（明细）'!D:D=$F$4,'领用录入（明细）'!C:C&gt;=$J$4,'领用录入（明细）'!C:C&lt;=$L$4),ROW(),"-")</f>
        <v>-</v>
      </c>
    </row>
    <row r="22161" customHeight="1" spans="2:2">
      <c r="B22161" s="62" t="str">
        <f>IF(AND('领用录入（明细）'!D:D=$F$4,'领用录入（明细）'!C:C&gt;=$J$4,'领用录入（明细）'!C:C&lt;=$L$4),ROW(),"-")</f>
        <v>-</v>
      </c>
    </row>
    <row r="22162" customHeight="1" spans="2:2">
      <c r="B22162" s="62" t="str">
        <f>IF(AND('领用录入（明细）'!D:D=$F$4,'领用录入（明细）'!C:C&gt;=$J$4,'领用录入（明细）'!C:C&lt;=$L$4),ROW(),"-")</f>
        <v>-</v>
      </c>
    </row>
    <row r="22163" customHeight="1" spans="2:2">
      <c r="B22163" s="62" t="str">
        <f>IF(AND('领用录入（明细）'!D:D=$F$4,'领用录入（明细）'!C:C&gt;=$J$4,'领用录入（明细）'!C:C&lt;=$L$4),ROW(),"-")</f>
        <v>-</v>
      </c>
    </row>
    <row r="22164" customHeight="1" spans="2:2">
      <c r="B22164" s="62" t="str">
        <f>IF(AND('领用录入（明细）'!D:D=$F$4,'领用录入（明细）'!C:C&gt;=$J$4,'领用录入（明细）'!C:C&lt;=$L$4),ROW(),"-")</f>
        <v>-</v>
      </c>
    </row>
    <row r="22165" customHeight="1" spans="2:2">
      <c r="B22165" s="62" t="str">
        <f>IF(AND('领用录入（明细）'!D:D=$F$4,'领用录入（明细）'!C:C&gt;=$J$4,'领用录入（明细）'!C:C&lt;=$L$4),ROW(),"-")</f>
        <v>-</v>
      </c>
    </row>
    <row r="22166" customHeight="1" spans="2:2">
      <c r="B22166" s="62" t="str">
        <f>IF(AND('领用录入（明细）'!D:D=$F$4,'领用录入（明细）'!C:C&gt;=$J$4,'领用录入（明细）'!C:C&lt;=$L$4),ROW(),"-")</f>
        <v>-</v>
      </c>
    </row>
    <row r="22167" customHeight="1" spans="2:2">
      <c r="B22167" s="62" t="str">
        <f>IF(AND('领用录入（明细）'!D:D=$F$4,'领用录入（明细）'!C:C&gt;=$J$4,'领用录入（明细）'!C:C&lt;=$L$4),ROW(),"-")</f>
        <v>-</v>
      </c>
    </row>
    <row r="22168" customHeight="1" spans="2:2">
      <c r="B22168" s="62" t="str">
        <f>IF(AND('领用录入（明细）'!D:D=$F$4,'领用录入（明细）'!C:C&gt;=$J$4,'领用录入（明细）'!C:C&lt;=$L$4),ROW(),"-")</f>
        <v>-</v>
      </c>
    </row>
    <row r="22169" customHeight="1" spans="2:2">
      <c r="B22169" s="62" t="str">
        <f>IF(AND('领用录入（明细）'!D:D=$F$4,'领用录入（明细）'!C:C&gt;=$J$4,'领用录入（明细）'!C:C&lt;=$L$4),ROW(),"-")</f>
        <v>-</v>
      </c>
    </row>
    <row r="22170" customHeight="1" spans="2:2">
      <c r="B22170" s="62" t="str">
        <f>IF(AND('领用录入（明细）'!D:D=$F$4,'领用录入（明细）'!C:C&gt;=$J$4,'领用录入（明细）'!C:C&lt;=$L$4),ROW(),"-")</f>
        <v>-</v>
      </c>
    </row>
    <row r="22171" customHeight="1" spans="2:2">
      <c r="B22171" s="62" t="str">
        <f>IF(AND('领用录入（明细）'!D:D=$F$4,'领用录入（明细）'!C:C&gt;=$J$4,'领用录入（明细）'!C:C&lt;=$L$4),ROW(),"-")</f>
        <v>-</v>
      </c>
    </row>
    <row r="22172" customHeight="1" spans="2:2">
      <c r="B22172" s="62" t="str">
        <f>IF(AND('领用录入（明细）'!D:D=$F$4,'领用录入（明细）'!C:C&gt;=$J$4,'领用录入（明细）'!C:C&lt;=$L$4),ROW(),"-")</f>
        <v>-</v>
      </c>
    </row>
    <row r="22173" customHeight="1" spans="2:2">
      <c r="B22173" s="62" t="str">
        <f>IF(AND('领用录入（明细）'!D:D=$F$4,'领用录入（明细）'!C:C&gt;=$J$4,'领用录入（明细）'!C:C&lt;=$L$4),ROW(),"-")</f>
        <v>-</v>
      </c>
    </row>
    <row r="22174" customHeight="1" spans="2:2">
      <c r="B22174" s="62" t="str">
        <f>IF(AND('领用录入（明细）'!D:D=$F$4,'领用录入（明细）'!C:C&gt;=$J$4,'领用录入（明细）'!C:C&lt;=$L$4),ROW(),"-")</f>
        <v>-</v>
      </c>
    </row>
    <row r="22175" customHeight="1" spans="2:2">
      <c r="B22175" s="62" t="str">
        <f>IF(AND('领用录入（明细）'!D:D=$F$4,'领用录入（明细）'!C:C&gt;=$J$4,'领用录入（明细）'!C:C&lt;=$L$4),ROW(),"-")</f>
        <v>-</v>
      </c>
    </row>
    <row r="22176" customHeight="1" spans="2:2">
      <c r="B22176" s="62" t="str">
        <f>IF(AND('领用录入（明细）'!D:D=$F$4,'领用录入（明细）'!C:C&gt;=$J$4,'领用录入（明细）'!C:C&lt;=$L$4),ROW(),"-")</f>
        <v>-</v>
      </c>
    </row>
    <row r="22177" customHeight="1" spans="2:2">
      <c r="B22177" s="62" t="str">
        <f>IF(AND('领用录入（明细）'!D:D=$F$4,'领用录入（明细）'!C:C&gt;=$J$4,'领用录入（明细）'!C:C&lt;=$L$4),ROW(),"-")</f>
        <v>-</v>
      </c>
    </row>
    <row r="22178" customHeight="1" spans="2:2">
      <c r="B22178" s="62" t="str">
        <f>IF(AND('领用录入（明细）'!D:D=$F$4,'领用录入（明细）'!C:C&gt;=$J$4,'领用录入（明细）'!C:C&lt;=$L$4),ROW(),"-")</f>
        <v>-</v>
      </c>
    </row>
    <row r="22179" customHeight="1" spans="2:2">
      <c r="B22179" s="62" t="str">
        <f>IF(AND('领用录入（明细）'!D:D=$F$4,'领用录入（明细）'!C:C&gt;=$J$4,'领用录入（明细）'!C:C&lt;=$L$4),ROW(),"-")</f>
        <v>-</v>
      </c>
    </row>
    <row r="22180" customHeight="1" spans="2:2">
      <c r="B22180" s="62" t="str">
        <f>IF(AND('领用录入（明细）'!D:D=$F$4,'领用录入（明细）'!C:C&gt;=$J$4,'领用录入（明细）'!C:C&lt;=$L$4),ROW(),"-")</f>
        <v>-</v>
      </c>
    </row>
    <row r="22181" customHeight="1" spans="2:2">
      <c r="B22181" s="62" t="str">
        <f>IF(AND('领用录入（明细）'!D:D=$F$4,'领用录入（明细）'!C:C&gt;=$J$4,'领用录入（明细）'!C:C&lt;=$L$4),ROW(),"-")</f>
        <v>-</v>
      </c>
    </row>
    <row r="22182" customHeight="1" spans="2:2">
      <c r="B22182" s="62" t="str">
        <f>IF(AND('领用录入（明细）'!D:D=$F$4,'领用录入（明细）'!C:C&gt;=$J$4,'领用录入（明细）'!C:C&lt;=$L$4),ROW(),"-")</f>
        <v>-</v>
      </c>
    </row>
    <row r="22183" customHeight="1" spans="2:2">
      <c r="B22183" s="62" t="str">
        <f>IF(AND('领用录入（明细）'!D:D=$F$4,'领用录入（明细）'!C:C&gt;=$J$4,'领用录入（明细）'!C:C&lt;=$L$4),ROW(),"-")</f>
        <v>-</v>
      </c>
    </row>
    <row r="22184" customHeight="1" spans="2:2">
      <c r="B22184" s="62" t="str">
        <f>IF(AND('领用录入（明细）'!D:D=$F$4,'领用录入（明细）'!C:C&gt;=$J$4,'领用录入（明细）'!C:C&lt;=$L$4),ROW(),"-")</f>
        <v>-</v>
      </c>
    </row>
    <row r="22185" customHeight="1" spans="2:2">
      <c r="B22185" s="62" t="str">
        <f>IF(AND('领用录入（明细）'!D:D=$F$4,'领用录入（明细）'!C:C&gt;=$J$4,'领用录入（明细）'!C:C&lt;=$L$4),ROW(),"-")</f>
        <v>-</v>
      </c>
    </row>
    <row r="22186" customHeight="1" spans="2:2">
      <c r="B22186" s="62" t="str">
        <f>IF(AND('领用录入（明细）'!D:D=$F$4,'领用录入（明细）'!C:C&gt;=$J$4,'领用录入（明细）'!C:C&lt;=$L$4),ROW(),"-")</f>
        <v>-</v>
      </c>
    </row>
    <row r="22187" customHeight="1" spans="2:2">
      <c r="B22187" s="62" t="str">
        <f>IF(AND('领用录入（明细）'!D:D=$F$4,'领用录入（明细）'!C:C&gt;=$J$4,'领用录入（明细）'!C:C&lt;=$L$4),ROW(),"-")</f>
        <v>-</v>
      </c>
    </row>
    <row r="22188" customHeight="1" spans="2:2">
      <c r="B22188" s="62" t="str">
        <f>IF(AND('领用录入（明细）'!D:D=$F$4,'领用录入（明细）'!C:C&gt;=$J$4,'领用录入（明细）'!C:C&lt;=$L$4),ROW(),"-")</f>
        <v>-</v>
      </c>
    </row>
    <row r="22189" customHeight="1" spans="2:2">
      <c r="B22189" s="62" t="str">
        <f>IF(AND('领用录入（明细）'!D:D=$F$4,'领用录入（明细）'!C:C&gt;=$J$4,'领用录入（明细）'!C:C&lt;=$L$4),ROW(),"-")</f>
        <v>-</v>
      </c>
    </row>
    <row r="22190" customHeight="1" spans="2:2">
      <c r="B22190" s="62" t="str">
        <f>IF(AND('领用录入（明细）'!D:D=$F$4,'领用录入（明细）'!C:C&gt;=$J$4,'领用录入（明细）'!C:C&lt;=$L$4),ROW(),"-")</f>
        <v>-</v>
      </c>
    </row>
    <row r="22191" customHeight="1" spans="2:2">
      <c r="B22191" s="62" t="str">
        <f>IF(AND('领用录入（明细）'!D:D=$F$4,'领用录入（明细）'!C:C&gt;=$J$4,'领用录入（明细）'!C:C&lt;=$L$4),ROW(),"-")</f>
        <v>-</v>
      </c>
    </row>
    <row r="22192" customHeight="1" spans="2:2">
      <c r="B22192" s="62" t="str">
        <f>IF(AND('领用录入（明细）'!D:D=$F$4,'领用录入（明细）'!C:C&gt;=$J$4,'领用录入（明细）'!C:C&lt;=$L$4),ROW(),"-")</f>
        <v>-</v>
      </c>
    </row>
    <row r="22193" customHeight="1" spans="2:2">
      <c r="B22193" s="62" t="str">
        <f>IF(AND('领用录入（明细）'!D:D=$F$4,'领用录入（明细）'!C:C&gt;=$J$4,'领用录入（明细）'!C:C&lt;=$L$4),ROW(),"-")</f>
        <v>-</v>
      </c>
    </row>
    <row r="22194" customHeight="1" spans="2:2">
      <c r="B22194" s="62" t="str">
        <f>IF(AND('领用录入（明细）'!D:D=$F$4,'领用录入（明细）'!C:C&gt;=$J$4,'领用录入（明细）'!C:C&lt;=$L$4),ROW(),"-")</f>
        <v>-</v>
      </c>
    </row>
    <row r="22195" customHeight="1" spans="2:2">
      <c r="B22195" s="62" t="str">
        <f>IF(AND('领用录入（明细）'!D:D=$F$4,'领用录入（明细）'!C:C&gt;=$J$4,'领用录入（明细）'!C:C&lt;=$L$4),ROW(),"-")</f>
        <v>-</v>
      </c>
    </row>
    <row r="22196" customHeight="1" spans="2:2">
      <c r="B22196" s="62" t="str">
        <f>IF(AND('领用录入（明细）'!D:D=$F$4,'领用录入（明细）'!C:C&gt;=$J$4,'领用录入（明细）'!C:C&lt;=$L$4),ROW(),"-")</f>
        <v>-</v>
      </c>
    </row>
    <row r="22197" customHeight="1" spans="2:2">
      <c r="B22197" s="62" t="str">
        <f>IF(AND('领用录入（明细）'!D:D=$F$4,'领用录入（明细）'!C:C&gt;=$J$4,'领用录入（明细）'!C:C&lt;=$L$4),ROW(),"-")</f>
        <v>-</v>
      </c>
    </row>
    <row r="22198" customHeight="1" spans="2:2">
      <c r="B22198" s="62" t="str">
        <f>IF(AND('领用录入（明细）'!D:D=$F$4,'领用录入（明细）'!C:C&gt;=$J$4,'领用录入（明细）'!C:C&lt;=$L$4),ROW(),"-")</f>
        <v>-</v>
      </c>
    </row>
    <row r="22199" customHeight="1" spans="2:2">
      <c r="B22199" s="62" t="str">
        <f>IF(AND('领用录入（明细）'!D:D=$F$4,'领用录入（明细）'!C:C&gt;=$J$4,'领用录入（明细）'!C:C&lt;=$L$4),ROW(),"-")</f>
        <v>-</v>
      </c>
    </row>
    <row r="22200" customHeight="1" spans="2:2">
      <c r="B22200" s="62" t="str">
        <f>IF(AND('领用录入（明细）'!D:D=$F$4,'领用录入（明细）'!C:C&gt;=$J$4,'领用录入（明细）'!C:C&lt;=$L$4),ROW(),"-")</f>
        <v>-</v>
      </c>
    </row>
    <row r="22201" customHeight="1" spans="2:2">
      <c r="B22201" s="62" t="str">
        <f>IF(AND('领用录入（明细）'!D:D=$F$4,'领用录入（明细）'!C:C&gt;=$J$4,'领用录入（明细）'!C:C&lt;=$L$4),ROW(),"-")</f>
        <v>-</v>
      </c>
    </row>
    <row r="22202" customHeight="1" spans="2:2">
      <c r="B22202" s="62" t="str">
        <f>IF(AND('领用录入（明细）'!D:D=$F$4,'领用录入（明细）'!C:C&gt;=$J$4,'领用录入（明细）'!C:C&lt;=$L$4),ROW(),"-")</f>
        <v>-</v>
      </c>
    </row>
    <row r="22203" customHeight="1" spans="2:2">
      <c r="B22203" s="62" t="str">
        <f>IF(AND('领用录入（明细）'!D:D=$F$4,'领用录入（明细）'!C:C&gt;=$J$4,'领用录入（明细）'!C:C&lt;=$L$4),ROW(),"-")</f>
        <v>-</v>
      </c>
    </row>
    <row r="22204" customHeight="1" spans="2:2">
      <c r="B22204" s="62" t="str">
        <f>IF(AND('领用录入（明细）'!D:D=$F$4,'领用录入（明细）'!C:C&gt;=$J$4,'领用录入（明细）'!C:C&lt;=$L$4),ROW(),"-")</f>
        <v>-</v>
      </c>
    </row>
    <row r="22205" customHeight="1" spans="2:2">
      <c r="B22205" s="62" t="str">
        <f>IF(AND('领用录入（明细）'!D:D=$F$4,'领用录入（明细）'!C:C&gt;=$J$4,'领用录入（明细）'!C:C&lt;=$L$4),ROW(),"-")</f>
        <v>-</v>
      </c>
    </row>
    <row r="22206" customHeight="1" spans="2:2">
      <c r="B22206" s="62" t="str">
        <f>IF(AND('领用录入（明细）'!D:D=$F$4,'领用录入（明细）'!C:C&gt;=$J$4,'领用录入（明细）'!C:C&lt;=$L$4),ROW(),"-")</f>
        <v>-</v>
      </c>
    </row>
    <row r="22207" customHeight="1" spans="2:2">
      <c r="B22207" s="62" t="str">
        <f>IF(AND('领用录入（明细）'!D:D=$F$4,'领用录入（明细）'!C:C&gt;=$J$4,'领用录入（明细）'!C:C&lt;=$L$4),ROW(),"-")</f>
        <v>-</v>
      </c>
    </row>
    <row r="22208" customHeight="1" spans="2:2">
      <c r="B22208" s="62" t="str">
        <f>IF(AND('领用录入（明细）'!D:D=$F$4,'领用录入（明细）'!C:C&gt;=$J$4,'领用录入（明细）'!C:C&lt;=$L$4),ROW(),"-")</f>
        <v>-</v>
      </c>
    </row>
    <row r="22209" customHeight="1" spans="2:2">
      <c r="B22209" s="62" t="str">
        <f>IF(AND('领用录入（明细）'!D:D=$F$4,'领用录入（明细）'!C:C&gt;=$J$4,'领用录入（明细）'!C:C&lt;=$L$4),ROW(),"-")</f>
        <v>-</v>
      </c>
    </row>
    <row r="22210" customHeight="1" spans="2:2">
      <c r="B22210" s="62" t="str">
        <f>IF(AND('领用录入（明细）'!D:D=$F$4,'领用录入（明细）'!C:C&gt;=$J$4,'领用录入（明细）'!C:C&lt;=$L$4),ROW(),"-")</f>
        <v>-</v>
      </c>
    </row>
    <row r="22211" customHeight="1" spans="2:2">
      <c r="B22211" s="62" t="str">
        <f>IF(AND('领用录入（明细）'!D:D=$F$4,'领用录入（明细）'!C:C&gt;=$J$4,'领用录入（明细）'!C:C&lt;=$L$4),ROW(),"-")</f>
        <v>-</v>
      </c>
    </row>
    <row r="22212" customHeight="1" spans="2:2">
      <c r="B22212" s="62" t="str">
        <f>IF(AND('领用录入（明细）'!D:D=$F$4,'领用录入（明细）'!C:C&gt;=$J$4,'领用录入（明细）'!C:C&lt;=$L$4),ROW(),"-")</f>
        <v>-</v>
      </c>
    </row>
    <row r="22213" customHeight="1" spans="2:2">
      <c r="B22213" s="62" t="str">
        <f>IF(AND('领用录入（明细）'!D:D=$F$4,'领用录入（明细）'!C:C&gt;=$J$4,'领用录入（明细）'!C:C&lt;=$L$4),ROW(),"-")</f>
        <v>-</v>
      </c>
    </row>
    <row r="22214" customHeight="1" spans="2:2">
      <c r="B22214" s="62" t="str">
        <f>IF(AND('领用录入（明细）'!D:D=$F$4,'领用录入（明细）'!C:C&gt;=$J$4,'领用录入（明细）'!C:C&lt;=$L$4),ROW(),"-")</f>
        <v>-</v>
      </c>
    </row>
    <row r="22215" customHeight="1" spans="2:2">
      <c r="B22215" s="62" t="str">
        <f>IF(AND('领用录入（明细）'!D:D=$F$4,'领用录入（明细）'!C:C&gt;=$J$4,'领用录入（明细）'!C:C&lt;=$L$4),ROW(),"-")</f>
        <v>-</v>
      </c>
    </row>
    <row r="22216" customHeight="1" spans="2:2">
      <c r="B22216" s="62" t="str">
        <f>IF(AND('领用录入（明细）'!D:D=$F$4,'领用录入（明细）'!C:C&gt;=$J$4,'领用录入（明细）'!C:C&lt;=$L$4),ROW(),"-")</f>
        <v>-</v>
      </c>
    </row>
    <row r="22217" customHeight="1" spans="2:2">
      <c r="B22217" s="62" t="str">
        <f>IF(AND('领用录入（明细）'!D:D=$F$4,'领用录入（明细）'!C:C&gt;=$J$4,'领用录入（明细）'!C:C&lt;=$L$4),ROW(),"-")</f>
        <v>-</v>
      </c>
    </row>
    <row r="22218" customHeight="1" spans="2:2">
      <c r="B22218" s="62" t="str">
        <f>IF(AND('领用录入（明细）'!D:D=$F$4,'领用录入（明细）'!C:C&gt;=$J$4,'领用录入（明细）'!C:C&lt;=$L$4),ROW(),"-")</f>
        <v>-</v>
      </c>
    </row>
    <row r="22219" customHeight="1" spans="2:2">
      <c r="B22219" s="62" t="str">
        <f>IF(AND('领用录入（明细）'!D:D=$F$4,'领用录入（明细）'!C:C&gt;=$J$4,'领用录入（明细）'!C:C&lt;=$L$4),ROW(),"-")</f>
        <v>-</v>
      </c>
    </row>
    <row r="22220" customHeight="1" spans="2:2">
      <c r="B22220" s="62" t="str">
        <f>IF(AND('领用录入（明细）'!D:D=$F$4,'领用录入（明细）'!C:C&gt;=$J$4,'领用录入（明细）'!C:C&lt;=$L$4),ROW(),"-")</f>
        <v>-</v>
      </c>
    </row>
    <row r="22221" customHeight="1" spans="2:2">
      <c r="B22221" s="62" t="str">
        <f>IF(AND('领用录入（明细）'!D:D=$F$4,'领用录入（明细）'!C:C&gt;=$J$4,'领用录入（明细）'!C:C&lt;=$L$4),ROW(),"-")</f>
        <v>-</v>
      </c>
    </row>
    <row r="22222" customHeight="1" spans="2:2">
      <c r="B22222" s="62" t="str">
        <f>IF(AND('领用录入（明细）'!D:D=$F$4,'领用录入（明细）'!C:C&gt;=$J$4,'领用录入（明细）'!C:C&lt;=$L$4),ROW(),"-")</f>
        <v>-</v>
      </c>
    </row>
    <row r="22223" customHeight="1" spans="2:2">
      <c r="B22223" s="62" t="str">
        <f>IF(AND('领用录入（明细）'!D:D=$F$4,'领用录入（明细）'!C:C&gt;=$J$4,'领用录入（明细）'!C:C&lt;=$L$4),ROW(),"-")</f>
        <v>-</v>
      </c>
    </row>
    <row r="22224" customHeight="1" spans="2:2">
      <c r="B22224" s="62" t="str">
        <f>IF(AND('领用录入（明细）'!D:D=$F$4,'领用录入（明细）'!C:C&gt;=$J$4,'领用录入（明细）'!C:C&lt;=$L$4),ROW(),"-")</f>
        <v>-</v>
      </c>
    </row>
    <row r="22225" customHeight="1" spans="2:2">
      <c r="B22225" s="62" t="str">
        <f>IF(AND('领用录入（明细）'!D:D=$F$4,'领用录入（明细）'!C:C&gt;=$J$4,'领用录入（明细）'!C:C&lt;=$L$4),ROW(),"-")</f>
        <v>-</v>
      </c>
    </row>
    <row r="22226" customHeight="1" spans="2:2">
      <c r="B22226" s="62" t="str">
        <f>IF(AND('领用录入（明细）'!D:D=$F$4,'领用录入（明细）'!C:C&gt;=$J$4,'领用录入（明细）'!C:C&lt;=$L$4),ROW(),"-")</f>
        <v>-</v>
      </c>
    </row>
    <row r="22227" customHeight="1" spans="2:2">
      <c r="B22227" s="62" t="str">
        <f>IF(AND('领用录入（明细）'!D:D=$F$4,'领用录入（明细）'!C:C&gt;=$J$4,'领用录入（明细）'!C:C&lt;=$L$4),ROW(),"-")</f>
        <v>-</v>
      </c>
    </row>
    <row r="22228" customHeight="1" spans="2:2">
      <c r="B22228" s="62" t="str">
        <f>IF(AND('领用录入（明细）'!D:D=$F$4,'领用录入（明细）'!C:C&gt;=$J$4,'领用录入（明细）'!C:C&lt;=$L$4),ROW(),"-")</f>
        <v>-</v>
      </c>
    </row>
    <row r="22229" customHeight="1" spans="2:2">
      <c r="B22229" s="62" t="str">
        <f>IF(AND('领用录入（明细）'!D:D=$F$4,'领用录入（明细）'!C:C&gt;=$J$4,'领用录入（明细）'!C:C&lt;=$L$4),ROW(),"-")</f>
        <v>-</v>
      </c>
    </row>
    <row r="22230" customHeight="1" spans="2:2">
      <c r="B22230" s="62" t="str">
        <f>IF(AND('领用录入（明细）'!D:D=$F$4,'领用录入（明细）'!C:C&gt;=$J$4,'领用录入（明细）'!C:C&lt;=$L$4),ROW(),"-")</f>
        <v>-</v>
      </c>
    </row>
    <row r="22231" customHeight="1" spans="2:2">
      <c r="B22231" s="62" t="str">
        <f>IF(AND('领用录入（明细）'!D:D=$F$4,'领用录入（明细）'!C:C&gt;=$J$4,'领用录入（明细）'!C:C&lt;=$L$4),ROW(),"-")</f>
        <v>-</v>
      </c>
    </row>
    <row r="22232" customHeight="1" spans="2:2">
      <c r="B22232" s="62" t="str">
        <f>IF(AND('领用录入（明细）'!D:D=$F$4,'领用录入（明细）'!C:C&gt;=$J$4,'领用录入（明细）'!C:C&lt;=$L$4),ROW(),"-")</f>
        <v>-</v>
      </c>
    </row>
    <row r="22233" customHeight="1" spans="2:2">
      <c r="B22233" s="62" t="str">
        <f>IF(AND('领用录入（明细）'!D:D=$F$4,'领用录入（明细）'!C:C&gt;=$J$4,'领用录入（明细）'!C:C&lt;=$L$4),ROW(),"-")</f>
        <v>-</v>
      </c>
    </row>
    <row r="22234" customHeight="1" spans="2:2">
      <c r="B22234" s="62" t="str">
        <f>IF(AND('领用录入（明细）'!D:D=$F$4,'领用录入（明细）'!C:C&gt;=$J$4,'领用录入（明细）'!C:C&lt;=$L$4),ROW(),"-")</f>
        <v>-</v>
      </c>
    </row>
    <row r="22235" customHeight="1" spans="2:2">
      <c r="B22235" s="62" t="str">
        <f>IF(AND('领用录入（明细）'!D:D=$F$4,'领用录入（明细）'!C:C&gt;=$J$4,'领用录入（明细）'!C:C&lt;=$L$4),ROW(),"-")</f>
        <v>-</v>
      </c>
    </row>
    <row r="22236" customHeight="1" spans="2:2">
      <c r="B22236" s="62" t="str">
        <f>IF(AND('领用录入（明细）'!D:D=$F$4,'领用录入（明细）'!C:C&gt;=$J$4,'领用录入（明细）'!C:C&lt;=$L$4),ROW(),"-")</f>
        <v>-</v>
      </c>
    </row>
    <row r="22237" customHeight="1" spans="2:2">
      <c r="B22237" s="62" t="str">
        <f>IF(AND('领用录入（明细）'!D:D=$F$4,'领用录入（明细）'!C:C&gt;=$J$4,'领用录入（明细）'!C:C&lt;=$L$4),ROW(),"-")</f>
        <v>-</v>
      </c>
    </row>
    <row r="22238" customHeight="1" spans="2:2">
      <c r="B22238" s="62" t="str">
        <f>IF(AND('领用录入（明细）'!D:D=$F$4,'领用录入（明细）'!C:C&gt;=$J$4,'领用录入（明细）'!C:C&lt;=$L$4),ROW(),"-")</f>
        <v>-</v>
      </c>
    </row>
    <row r="22239" customHeight="1" spans="2:2">
      <c r="B22239" s="62" t="str">
        <f>IF(AND('领用录入（明细）'!D:D=$F$4,'领用录入（明细）'!C:C&gt;=$J$4,'领用录入（明细）'!C:C&lt;=$L$4),ROW(),"-")</f>
        <v>-</v>
      </c>
    </row>
    <row r="22240" customHeight="1" spans="2:2">
      <c r="B22240" s="62" t="str">
        <f>IF(AND('领用录入（明细）'!D:D=$F$4,'领用录入（明细）'!C:C&gt;=$J$4,'领用录入（明细）'!C:C&lt;=$L$4),ROW(),"-")</f>
        <v>-</v>
      </c>
    </row>
    <row r="22241" customHeight="1" spans="2:2">
      <c r="B22241" s="62" t="str">
        <f>IF(AND('领用录入（明细）'!D:D=$F$4,'领用录入（明细）'!C:C&gt;=$J$4,'领用录入（明细）'!C:C&lt;=$L$4),ROW(),"-")</f>
        <v>-</v>
      </c>
    </row>
    <row r="22242" customHeight="1" spans="2:2">
      <c r="B22242" s="62" t="str">
        <f>IF(AND('领用录入（明细）'!D:D=$F$4,'领用录入（明细）'!C:C&gt;=$J$4,'领用录入（明细）'!C:C&lt;=$L$4),ROW(),"-")</f>
        <v>-</v>
      </c>
    </row>
    <row r="22243" customHeight="1" spans="2:2">
      <c r="B22243" s="62" t="str">
        <f>IF(AND('领用录入（明细）'!D:D=$F$4,'领用录入（明细）'!C:C&gt;=$J$4,'领用录入（明细）'!C:C&lt;=$L$4),ROW(),"-")</f>
        <v>-</v>
      </c>
    </row>
    <row r="22244" customHeight="1" spans="2:2">
      <c r="B22244" s="62" t="str">
        <f>IF(AND('领用录入（明细）'!D:D=$F$4,'领用录入（明细）'!C:C&gt;=$J$4,'领用录入（明细）'!C:C&lt;=$L$4),ROW(),"-")</f>
        <v>-</v>
      </c>
    </row>
    <row r="22245" customHeight="1" spans="2:2">
      <c r="B22245" s="62" t="str">
        <f>IF(AND('领用录入（明细）'!D:D=$F$4,'领用录入（明细）'!C:C&gt;=$J$4,'领用录入（明细）'!C:C&lt;=$L$4),ROW(),"-")</f>
        <v>-</v>
      </c>
    </row>
    <row r="22246" customHeight="1" spans="2:2">
      <c r="B22246" s="62" t="str">
        <f>IF(AND('领用录入（明细）'!D:D=$F$4,'领用录入（明细）'!C:C&gt;=$J$4,'领用录入（明细）'!C:C&lt;=$L$4),ROW(),"-")</f>
        <v>-</v>
      </c>
    </row>
    <row r="22247" customHeight="1" spans="2:2">
      <c r="B22247" s="62" t="str">
        <f>IF(AND('领用录入（明细）'!D:D=$F$4,'领用录入（明细）'!C:C&gt;=$J$4,'领用录入（明细）'!C:C&lt;=$L$4),ROW(),"-")</f>
        <v>-</v>
      </c>
    </row>
    <row r="22248" customHeight="1" spans="2:2">
      <c r="B22248" s="62" t="str">
        <f>IF(AND('领用录入（明细）'!D:D=$F$4,'领用录入（明细）'!C:C&gt;=$J$4,'领用录入（明细）'!C:C&lt;=$L$4),ROW(),"-")</f>
        <v>-</v>
      </c>
    </row>
    <row r="22249" customHeight="1" spans="2:2">
      <c r="B22249" s="62" t="str">
        <f>IF(AND('领用录入（明细）'!D:D=$F$4,'领用录入（明细）'!C:C&gt;=$J$4,'领用录入（明细）'!C:C&lt;=$L$4),ROW(),"-")</f>
        <v>-</v>
      </c>
    </row>
    <row r="22250" customHeight="1" spans="2:2">
      <c r="B22250" s="62" t="str">
        <f>IF(AND('领用录入（明细）'!D:D=$F$4,'领用录入（明细）'!C:C&gt;=$J$4,'领用录入（明细）'!C:C&lt;=$L$4),ROW(),"-")</f>
        <v>-</v>
      </c>
    </row>
    <row r="22251" customHeight="1" spans="2:2">
      <c r="B22251" s="62" t="str">
        <f>IF(AND('领用录入（明细）'!D:D=$F$4,'领用录入（明细）'!C:C&gt;=$J$4,'领用录入（明细）'!C:C&lt;=$L$4),ROW(),"-")</f>
        <v>-</v>
      </c>
    </row>
    <row r="22252" customHeight="1" spans="2:2">
      <c r="B22252" s="62" t="str">
        <f>IF(AND('领用录入（明细）'!D:D=$F$4,'领用录入（明细）'!C:C&gt;=$J$4,'领用录入（明细）'!C:C&lt;=$L$4),ROW(),"-")</f>
        <v>-</v>
      </c>
    </row>
    <row r="22253" customHeight="1" spans="2:2">
      <c r="B22253" s="62" t="str">
        <f>IF(AND('领用录入（明细）'!D:D=$F$4,'领用录入（明细）'!C:C&gt;=$J$4,'领用录入（明细）'!C:C&lt;=$L$4),ROW(),"-")</f>
        <v>-</v>
      </c>
    </row>
    <row r="22254" customHeight="1" spans="2:2">
      <c r="B22254" s="62" t="str">
        <f>IF(AND('领用录入（明细）'!D:D=$F$4,'领用录入（明细）'!C:C&gt;=$J$4,'领用录入（明细）'!C:C&lt;=$L$4),ROW(),"-")</f>
        <v>-</v>
      </c>
    </row>
    <row r="22255" customHeight="1" spans="2:2">
      <c r="B22255" s="62" t="str">
        <f>IF(AND('领用录入（明细）'!D:D=$F$4,'领用录入（明细）'!C:C&gt;=$J$4,'领用录入（明细）'!C:C&lt;=$L$4),ROW(),"-")</f>
        <v>-</v>
      </c>
    </row>
    <row r="22256" customHeight="1" spans="2:2">
      <c r="B22256" s="62" t="str">
        <f>IF(AND('领用录入（明细）'!D:D=$F$4,'领用录入（明细）'!C:C&gt;=$J$4,'领用录入（明细）'!C:C&lt;=$L$4),ROW(),"-")</f>
        <v>-</v>
      </c>
    </row>
    <row r="22257" customHeight="1" spans="2:2">
      <c r="B22257" s="62" t="str">
        <f>IF(AND('领用录入（明细）'!D:D=$F$4,'领用录入（明细）'!C:C&gt;=$J$4,'领用录入（明细）'!C:C&lt;=$L$4),ROW(),"-")</f>
        <v>-</v>
      </c>
    </row>
    <row r="22258" customHeight="1" spans="2:2">
      <c r="B22258" s="62" t="str">
        <f>IF(AND('领用录入（明细）'!D:D=$F$4,'领用录入（明细）'!C:C&gt;=$J$4,'领用录入（明细）'!C:C&lt;=$L$4),ROW(),"-")</f>
        <v>-</v>
      </c>
    </row>
    <row r="22259" customHeight="1" spans="2:2">
      <c r="B22259" s="62" t="str">
        <f>IF(AND('领用录入（明细）'!D:D=$F$4,'领用录入（明细）'!C:C&gt;=$J$4,'领用录入（明细）'!C:C&lt;=$L$4),ROW(),"-")</f>
        <v>-</v>
      </c>
    </row>
    <row r="22260" customHeight="1" spans="2:2">
      <c r="B22260" s="62" t="str">
        <f>IF(AND('领用录入（明细）'!D:D=$F$4,'领用录入（明细）'!C:C&gt;=$J$4,'领用录入（明细）'!C:C&lt;=$L$4),ROW(),"-")</f>
        <v>-</v>
      </c>
    </row>
    <row r="22261" customHeight="1" spans="2:2">
      <c r="B22261" s="62" t="str">
        <f>IF(AND('领用录入（明细）'!D:D=$F$4,'领用录入（明细）'!C:C&gt;=$J$4,'领用录入（明细）'!C:C&lt;=$L$4),ROW(),"-")</f>
        <v>-</v>
      </c>
    </row>
    <row r="22262" customHeight="1" spans="2:2">
      <c r="B22262" s="62" t="str">
        <f>IF(AND('领用录入（明细）'!D:D=$F$4,'领用录入（明细）'!C:C&gt;=$J$4,'领用录入（明细）'!C:C&lt;=$L$4),ROW(),"-")</f>
        <v>-</v>
      </c>
    </row>
    <row r="22263" customHeight="1" spans="2:2">
      <c r="B22263" s="62" t="str">
        <f>IF(AND('领用录入（明细）'!D:D=$F$4,'领用录入（明细）'!C:C&gt;=$J$4,'领用录入（明细）'!C:C&lt;=$L$4),ROW(),"-")</f>
        <v>-</v>
      </c>
    </row>
    <row r="22264" customHeight="1" spans="2:2">
      <c r="B22264" s="62" t="str">
        <f>IF(AND('领用录入（明细）'!D:D=$F$4,'领用录入（明细）'!C:C&gt;=$J$4,'领用录入（明细）'!C:C&lt;=$L$4),ROW(),"-")</f>
        <v>-</v>
      </c>
    </row>
    <row r="22265" customHeight="1" spans="2:2">
      <c r="B22265" s="62" t="str">
        <f>IF(AND('领用录入（明细）'!D:D=$F$4,'领用录入（明细）'!C:C&gt;=$J$4,'领用录入（明细）'!C:C&lt;=$L$4),ROW(),"-")</f>
        <v>-</v>
      </c>
    </row>
    <row r="22266" customHeight="1" spans="2:2">
      <c r="B22266" s="62" t="str">
        <f>IF(AND('领用录入（明细）'!D:D=$F$4,'领用录入（明细）'!C:C&gt;=$J$4,'领用录入（明细）'!C:C&lt;=$L$4),ROW(),"-")</f>
        <v>-</v>
      </c>
    </row>
    <row r="22267" customHeight="1" spans="2:2">
      <c r="B22267" s="62" t="str">
        <f>IF(AND('领用录入（明细）'!D:D=$F$4,'领用录入（明细）'!C:C&gt;=$J$4,'领用录入（明细）'!C:C&lt;=$L$4),ROW(),"-")</f>
        <v>-</v>
      </c>
    </row>
    <row r="22268" customHeight="1" spans="2:2">
      <c r="B22268" s="62" t="str">
        <f>IF(AND('领用录入（明细）'!D:D=$F$4,'领用录入（明细）'!C:C&gt;=$J$4,'领用录入（明细）'!C:C&lt;=$L$4),ROW(),"-")</f>
        <v>-</v>
      </c>
    </row>
    <row r="22269" customHeight="1" spans="2:2">
      <c r="B22269" s="62" t="str">
        <f>IF(AND('领用录入（明细）'!D:D=$F$4,'领用录入（明细）'!C:C&gt;=$J$4,'领用录入（明细）'!C:C&lt;=$L$4),ROW(),"-")</f>
        <v>-</v>
      </c>
    </row>
    <row r="22270" customHeight="1" spans="2:2">
      <c r="B22270" s="62" t="str">
        <f>IF(AND('领用录入（明细）'!D:D=$F$4,'领用录入（明细）'!C:C&gt;=$J$4,'领用录入（明细）'!C:C&lt;=$L$4),ROW(),"-")</f>
        <v>-</v>
      </c>
    </row>
    <row r="22271" customHeight="1" spans="2:2">
      <c r="B22271" s="62" t="str">
        <f>IF(AND('领用录入（明细）'!D:D=$F$4,'领用录入（明细）'!C:C&gt;=$J$4,'领用录入（明细）'!C:C&lt;=$L$4),ROW(),"-")</f>
        <v>-</v>
      </c>
    </row>
    <row r="22272" customHeight="1" spans="2:2">
      <c r="B22272" s="62" t="str">
        <f>IF(AND('领用录入（明细）'!D:D=$F$4,'领用录入（明细）'!C:C&gt;=$J$4,'领用录入（明细）'!C:C&lt;=$L$4),ROW(),"-")</f>
        <v>-</v>
      </c>
    </row>
    <row r="22273" customHeight="1" spans="2:2">
      <c r="B22273" s="62" t="str">
        <f>IF(AND('领用录入（明细）'!D:D=$F$4,'领用录入（明细）'!C:C&gt;=$J$4,'领用录入（明细）'!C:C&lt;=$L$4),ROW(),"-")</f>
        <v>-</v>
      </c>
    </row>
    <row r="22274" customHeight="1" spans="2:2">
      <c r="B22274" s="62" t="str">
        <f>IF(AND('领用录入（明细）'!D:D=$F$4,'领用录入（明细）'!C:C&gt;=$J$4,'领用录入（明细）'!C:C&lt;=$L$4),ROW(),"-")</f>
        <v>-</v>
      </c>
    </row>
    <row r="22275" customHeight="1" spans="2:2">
      <c r="B22275" s="62" t="str">
        <f>IF(AND('领用录入（明细）'!D:D=$F$4,'领用录入（明细）'!C:C&gt;=$J$4,'领用录入（明细）'!C:C&lt;=$L$4),ROW(),"-")</f>
        <v>-</v>
      </c>
    </row>
    <row r="22276" customHeight="1" spans="2:2">
      <c r="B22276" s="62" t="str">
        <f>IF(AND('领用录入（明细）'!D:D=$F$4,'领用录入（明细）'!C:C&gt;=$J$4,'领用录入（明细）'!C:C&lt;=$L$4),ROW(),"-")</f>
        <v>-</v>
      </c>
    </row>
    <row r="22277" customHeight="1" spans="2:2">
      <c r="B22277" s="62" t="str">
        <f>IF(AND('领用录入（明细）'!D:D=$F$4,'领用录入（明细）'!C:C&gt;=$J$4,'领用录入（明细）'!C:C&lt;=$L$4),ROW(),"-")</f>
        <v>-</v>
      </c>
    </row>
    <row r="22278" customHeight="1" spans="2:2">
      <c r="B22278" s="62" t="str">
        <f>IF(AND('领用录入（明细）'!D:D=$F$4,'领用录入（明细）'!C:C&gt;=$J$4,'领用录入（明细）'!C:C&lt;=$L$4),ROW(),"-")</f>
        <v>-</v>
      </c>
    </row>
    <row r="22279" customHeight="1" spans="2:2">
      <c r="B22279" s="62" t="str">
        <f>IF(AND('领用录入（明细）'!D:D=$F$4,'领用录入（明细）'!C:C&gt;=$J$4,'领用录入（明细）'!C:C&lt;=$L$4),ROW(),"-")</f>
        <v>-</v>
      </c>
    </row>
    <row r="22280" customHeight="1" spans="2:2">
      <c r="B22280" s="62" t="str">
        <f>IF(AND('领用录入（明细）'!D:D=$F$4,'领用录入（明细）'!C:C&gt;=$J$4,'领用录入（明细）'!C:C&lt;=$L$4),ROW(),"-")</f>
        <v>-</v>
      </c>
    </row>
    <row r="22281" customHeight="1" spans="2:2">
      <c r="B22281" s="62" t="str">
        <f>IF(AND('领用录入（明细）'!D:D=$F$4,'领用录入（明细）'!C:C&gt;=$J$4,'领用录入（明细）'!C:C&lt;=$L$4),ROW(),"-")</f>
        <v>-</v>
      </c>
    </row>
    <row r="22282" customHeight="1" spans="2:2">
      <c r="B22282" s="62" t="str">
        <f>IF(AND('领用录入（明细）'!D:D=$F$4,'领用录入（明细）'!C:C&gt;=$J$4,'领用录入（明细）'!C:C&lt;=$L$4),ROW(),"-")</f>
        <v>-</v>
      </c>
    </row>
    <row r="22283" customHeight="1" spans="2:2">
      <c r="B22283" s="62" t="str">
        <f>IF(AND('领用录入（明细）'!D:D=$F$4,'领用录入（明细）'!C:C&gt;=$J$4,'领用录入（明细）'!C:C&lt;=$L$4),ROW(),"-")</f>
        <v>-</v>
      </c>
    </row>
    <row r="22284" customHeight="1" spans="2:2">
      <c r="B22284" s="62" t="str">
        <f>IF(AND('领用录入（明细）'!D:D=$F$4,'领用录入（明细）'!C:C&gt;=$J$4,'领用录入（明细）'!C:C&lt;=$L$4),ROW(),"-")</f>
        <v>-</v>
      </c>
    </row>
    <row r="22285" customHeight="1" spans="2:2">
      <c r="B22285" s="62" t="str">
        <f>IF(AND('领用录入（明细）'!D:D=$F$4,'领用录入（明细）'!C:C&gt;=$J$4,'领用录入（明细）'!C:C&lt;=$L$4),ROW(),"-")</f>
        <v>-</v>
      </c>
    </row>
    <row r="22286" customHeight="1" spans="2:2">
      <c r="B22286" s="62" t="str">
        <f>IF(AND('领用录入（明细）'!D:D=$F$4,'领用录入（明细）'!C:C&gt;=$J$4,'领用录入（明细）'!C:C&lt;=$L$4),ROW(),"-")</f>
        <v>-</v>
      </c>
    </row>
    <row r="22287" customHeight="1" spans="2:2">
      <c r="B22287" s="62" t="str">
        <f>IF(AND('领用录入（明细）'!D:D=$F$4,'领用录入（明细）'!C:C&gt;=$J$4,'领用录入（明细）'!C:C&lt;=$L$4),ROW(),"-")</f>
        <v>-</v>
      </c>
    </row>
    <row r="22288" customHeight="1" spans="2:2">
      <c r="B22288" s="62" t="str">
        <f>IF(AND('领用录入（明细）'!D:D=$F$4,'领用录入（明细）'!C:C&gt;=$J$4,'领用录入（明细）'!C:C&lt;=$L$4),ROW(),"-")</f>
        <v>-</v>
      </c>
    </row>
    <row r="22289" customHeight="1" spans="2:2">
      <c r="B22289" s="62" t="str">
        <f>IF(AND('领用录入（明细）'!D:D=$F$4,'领用录入（明细）'!C:C&gt;=$J$4,'领用录入（明细）'!C:C&lt;=$L$4),ROW(),"-")</f>
        <v>-</v>
      </c>
    </row>
    <row r="22290" customHeight="1" spans="2:2">
      <c r="B22290" s="62" t="str">
        <f>IF(AND('领用录入（明细）'!D:D=$F$4,'领用录入（明细）'!C:C&gt;=$J$4,'领用录入（明细）'!C:C&lt;=$L$4),ROW(),"-")</f>
        <v>-</v>
      </c>
    </row>
    <row r="22291" customHeight="1" spans="2:2">
      <c r="B22291" s="62" t="str">
        <f>IF(AND('领用录入（明细）'!D:D=$F$4,'领用录入（明细）'!C:C&gt;=$J$4,'领用录入（明细）'!C:C&lt;=$L$4),ROW(),"-")</f>
        <v>-</v>
      </c>
    </row>
    <row r="22292" customHeight="1" spans="2:2">
      <c r="B22292" s="62" t="str">
        <f>IF(AND('领用录入（明细）'!D:D=$F$4,'领用录入（明细）'!C:C&gt;=$J$4,'领用录入（明细）'!C:C&lt;=$L$4),ROW(),"-")</f>
        <v>-</v>
      </c>
    </row>
    <row r="22293" customHeight="1" spans="2:2">
      <c r="B22293" s="62" t="str">
        <f>IF(AND('领用录入（明细）'!D:D=$F$4,'领用录入（明细）'!C:C&gt;=$J$4,'领用录入（明细）'!C:C&lt;=$L$4),ROW(),"-")</f>
        <v>-</v>
      </c>
    </row>
    <row r="22294" customHeight="1" spans="2:2">
      <c r="B22294" s="62" t="str">
        <f>IF(AND('领用录入（明细）'!D:D=$F$4,'领用录入（明细）'!C:C&gt;=$J$4,'领用录入（明细）'!C:C&lt;=$L$4),ROW(),"-")</f>
        <v>-</v>
      </c>
    </row>
    <row r="22295" customHeight="1" spans="2:2">
      <c r="B22295" s="62" t="str">
        <f>IF(AND('领用录入（明细）'!D:D=$F$4,'领用录入（明细）'!C:C&gt;=$J$4,'领用录入（明细）'!C:C&lt;=$L$4),ROW(),"-")</f>
        <v>-</v>
      </c>
    </row>
    <row r="22296" customHeight="1" spans="2:2">
      <c r="B22296" s="62" t="str">
        <f>IF(AND('领用录入（明细）'!D:D=$F$4,'领用录入（明细）'!C:C&gt;=$J$4,'领用录入（明细）'!C:C&lt;=$L$4),ROW(),"-")</f>
        <v>-</v>
      </c>
    </row>
    <row r="22297" customHeight="1" spans="2:2">
      <c r="B22297" s="62" t="str">
        <f>IF(AND('领用录入（明细）'!D:D=$F$4,'领用录入（明细）'!C:C&gt;=$J$4,'领用录入（明细）'!C:C&lt;=$L$4),ROW(),"-")</f>
        <v>-</v>
      </c>
    </row>
    <row r="22298" customHeight="1" spans="2:2">
      <c r="B22298" s="62" t="str">
        <f>IF(AND('领用录入（明细）'!D:D=$F$4,'领用录入（明细）'!C:C&gt;=$J$4,'领用录入（明细）'!C:C&lt;=$L$4),ROW(),"-")</f>
        <v>-</v>
      </c>
    </row>
    <row r="22299" customHeight="1" spans="2:2">
      <c r="B22299" s="62" t="str">
        <f>IF(AND('领用录入（明细）'!D:D=$F$4,'领用录入（明细）'!C:C&gt;=$J$4,'领用录入（明细）'!C:C&lt;=$L$4),ROW(),"-")</f>
        <v>-</v>
      </c>
    </row>
    <row r="22300" customHeight="1" spans="2:2">
      <c r="B22300" s="62" t="str">
        <f>IF(AND('领用录入（明细）'!D:D=$F$4,'领用录入（明细）'!C:C&gt;=$J$4,'领用录入（明细）'!C:C&lt;=$L$4),ROW(),"-")</f>
        <v>-</v>
      </c>
    </row>
    <row r="22301" customHeight="1" spans="2:2">
      <c r="B22301" s="62" t="str">
        <f>IF(AND('领用录入（明细）'!D:D=$F$4,'领用录入（明细）'!C:C&gt;=$J$4,'领用录入（明细）'!C:C&lt;=$L$4),ROW(),"-")</f>
        <v>-</v>
      </c>
    </row>
    <row r="22302" customHeight="1" spans="2:2">
      <c r="B22302" s="62" t="str">
        <f>IF(AND('领用录入（明细）'!D:D=$F$4,'领用录入（明细）'!C:C&gt;=$J$4,'领用录入（明细）'!C:C&lt;=$L$4),ROW(),"-")</f>
        <v>-</v>
      </c>
    </row>
    <row r="22303" customHeight="1" spans="2:2">
      <c r="B22303" s="62" t="str">
        <f>IF(AND('领用录入（明细）'!D:D=$F$4,'领用录入（明细）'!C:C&gt;=$J$4,'领用录入（明细）'!C:C&lt;=$L$4),ROW(),"-")</f>
        <v>-</v>
      </c>
    </row>
    <row r="22304" customHeight="1" spans="2:2">
      <c r="B22304" s="62" t="str">
        <f>IF(AND('领用录入（明细）'!D:D=$F$4,'领用录入（明细）'!C:C&gt;=$J$4,'领用录入（明细）'!C:C&lt;=$L$4),ROW(),"-")</f>
        <v>-</v>
      </c>
    </row>
    <row r="22305" customHeight="1" spans="2:2">
      <c r="B22305" s="62" t="str">
        <f>IF(AND('领用录入（明细）'!D:D=$F$4,'领用录入（明细）'!C:C&gt;=$J$4,'领用录入（明细）'!C:C&lt;=$L$4),ROW(),"-")</f>
        <v>-</v>
      </c>
    </row>
    <row r="22306" customHeight="1" spans="2:2">
      <c r="B22306" s="62" t="str">
        <f>IF(AND('领用录入（明细）'!D:D=$F$4,'领用录入（明细）'!C:C&gt;=$J$4,'领用录入（明细）'!C:C&lt;=$L$4),ROW(),"-")</f>
        <v>-</v>
      </c>
    </row>
    <row r="22307" customHeight="1" spans="2:2">
      <c r="B22307" s="62" t="str">
        <f>IF(AND('领用录入（明细）'!D:D=$F$4,'领用录入（明细）'!C:C&gt;=$J$4,'领用录入（明细）'!C:C&lt;=$L$4),ROW(),"-")</f>
        <v>-</v>
      </c>
    </row>
    <row r="22308" customHeight="1" spans="2:2">
      <c r="B22308" s="62" t="str">
        <f>IF(AND('领用录入（明细）'!D:D=$F$4,'领用录入（明细）'!C:C&gt;=$J$4,'领用录入（明细）'!C:C&lt;=$L$4),ROW(),"-")</f>
        <v>-</v>
      </c>
    </row>
    <row r="22309" customHeight="1" spans="2:2">
      <c r="B22309" s="62" t="str">
        <f>IF(AND('领用录入（明细）'!D:D=$F$4,'领用录入（明细）'!C:C&gt;=$J$4,'领用录入（明细）'!C:C&lt;=$L$4),ROW(),"-")</f>
        <v>-</v>
      </c>
    </row>
    <row r="22310" customHeight="1" spans="2:2">
      <c r="B22310" s="62" t="str">
        <f>IF(AND('领用录入（明细）'!D:D=$F$4,'领用录入（明细）'!C:C&gt;=$J$4,'领用录入（明细）'!C:C&lt;=$L$4),ROW(),"-")</f>
        <v>-</v>
      </c>
    </row>
    <row r="22311" customHeight="1" spans="2:2">
      <c r="B22311" s="62" t="str">
        <f>IF(AND('领用录入（明细）'!D:D=$F$4,'领用录入（明细）'!C:C&gt;=$J$4,'领用录入（明细）'!C:C&lt;=$L$4),ROW(),"-")</f>
        <v>-</v>
      </c>
    </row>
    <row r="22312" customHeight="1" spans="2:2">
      <c r="B22312" s="62" t="str">
        <f>IF(AND('领用录入（明细）'!D:D=$F$4,'领用录入（明细）'!C:C&gt;=$J$4,'领用录入（明细）'!C:C&lt;=$L$4),ROW(),"-")</f>
        <v>-</v>
      </c>
    </row>
    <row r="22313" customHeight="1" spans="2:2">
      <c r="B22313" s="62" t="str">
        <f>IF(AND('领用录入（明细）'!D:D=$F$4,'领用录入（明细）'!C:C&gt;=$J$4,'领用录入（明细）'!C:C&lt;=$L$4),ROW(),"-")</f>
        <v>-</v>
      </c>
    </row>
    <row r="22314" customHeight="1" spans="2:2">
      <c r="B22314" s="62" t="str">
        <f>IF(AND('领用录入（明细）'!D:D=$F$4,'领用录入（明细）'!C:C&gt;=$J$4,'领用录入（明细）'!C:C&lt;=$L$4),ROW(),"-")</f>
        <v>-</v>
      </c>
    </row>
    <row r="22315" customHeight="1" spans="2:2">
      <c r="B22315" s="62" t="str">
        <f>IF(AND('领用录入（明细）'!D:D=$F$4,'领用录入（明细）'!C:C&gt;=$J$4,'领用录入（明细）'!C:C&lt;=$L$4),ROW(),"-")</f>
        <v>-</v>
      </c>
    </row>
    <row r="22316" customHeight="1" spans="2:2">
      <c r="B22316" s="62" t="str">
        <f>IF(AND('领用录入（明细）'!D:D=$F$4,'领用录入（明细）'!C:C&gt;=$J$4,'领用录入（明细）'!C:C&lt;=$L$4),ROW(),"-")</f>
        <v>-</v>
      </c>
    </row>
    <row r="22317" customHeight="1" spans="2:2">
      <c r="B22317" s="62" t="str">
        <f>IF(AND('领用录入（明细）'!D:D=$F$4,'领用录入（明细）'!C:C&gt;=$J$4,'领用录入（明细）'!C:C&lt;=$L$4),ROW(),"-")</f>
        <v>-</v>
      </c>
    </row>
    <row r="22318" customHeight="1" spans="2:2">
      <c r="B22318" s="62" t="str">
        <f>IF(AND('领用录入（明细）'!D:D=$F$4,'领用录入（明细）'!C:C&gt;=$J$4,'领用录入（明细）'!C:C&lt;=$L$4),ROW(),"-")</f>
        <v>-</v>
      </c>
    </row>
    <row r="22319" customHeight="1" spans="2:2">
      <c r="B22319" s="62" t="str">
        <f>IF(AND('领用录入（明细）'!D:D=$F$4,'领用录入（明细）'!C:C&gt;=$J$4,'领用录入（明细）'!C:C&lt;=$L$4),ROW(),"-")</f>
        <v>-</v>
      </c>
    </row>
    <row r="22320" customHeight="1" spans="2:2">
      <c r="B22320" s="62" t="str">
        <f>IF(AND('领用录入（明细）'!D:D=$F$4,'领用录入（明细）'!C:C&gt;=$J$4,'领用录入（明细）'!C:C&lt;=$L$4),ROW(),"-")</f>
        <v>-</v>
      </c>
    </row>
    <row r="22321" customHeight="1" spans="2:2">
      <c r="B22321" s="62" t="str">
        <f>IF(AND('领用录入（明细）'!D:D=$F$4,'领用录入（明细）'!C:C&gt;=$J$4,'领用录入（明细）'!C:C&lt;=$L$4),ROW(),"-")</f>
        <v>-</v>
      </c>
    </row>
    <row r="22322" customHeight="1" spans="2:2">
      <c r="B22322" s="62" t="str">
        <f>IF(AND('领用录入（明细）'!D:D=$F$4,'领用录入（明细）'!C:C&gt;=$J$4,'领用录入（明细）'!C:C&lt;=$L$4),ROW(),"-")</f>
        <v>-</v>
      </c>
    </row>
    <row r="22323" customHeight="1" spans="2:2">
      <c r="B22323" s="62" t="str">
        <f>IF(AND('领用录入（明细）'!D:D=$F$4,'领用录入（明细）'!C:C&gt;=$J$4,'领用录入（明细）'!C:C&lt;=$L$4),ROW(),"-")</f>
        <v>-</v>
      </c>
    </row>
    <row r="22324" customHeight="1" spans="2:2">
      <c r="B22324" s="62" t="str">
        <f>IF(AND('领用录入（明细）'!D:D=$F$4,'领用录入（明细）'!C:C&gt;=$J$4,'领用录入（明细）'!C:C&lt;=$L$4),ROW(),"-")</f>
        <v>-</v>
      </c>
    </row>
    <row r="22325" customHeight="1" spans="2:2">
      <c r="B22325" s="62" t="str">
        <f>IF(AND('领用录入（明细）'!D:D=$F$4,'领用录入（明细）'!C:C&gt;=$J$4,'领用录入（明细）'!C:C&lt;=$L$4),ROW(),"-")</f>
        <v>-</v>
      </c>
    </row>
    <row r="22326" customHeight="1" spans="2:2">
      <c r="B22326" s="62" t="str">
        <f>IF(AND('领用录入（明细）'!D:D=$F$4,'领用录入（明细）'!C:C&gt;=$J$4,'领用录入（明细）'!C:C&lt;=$L$4),ROW(),"-")</f>
        <v>-</v>
      </c>
    </row>
    <row r="22327" customHeight="1" spans="2:2">
      <c r="B22327" s="62" t="str">
        <f>IF(AND('领用录入（明细）'!D:D=$F$4,'领用录入（明细）'!C:C&gt;=$J$4,'领用录入（明细）'!C:C&lt;=$L$4),ROW(),"-")</f>
        <v>-</v>
      </c>
    </row>
    <row r="22328" customHeight="1" spans="2:2">
      <c r="B22328" s="62" t="str">
        <f>IF(AND('领用录入（明细）'!D:D=$F$4,'领用录入（明细）'!C:C&gt;=$J$4,'领用录入（明细）'!C:C&lt;=$L$4),ROW(),"-")</f>
        <v>-</v>
      </c>
    </row>
    <row r="22329" customHeight="1" spans="2:2">
      <c r="B22329" s="62" t="str">
        <f>IF(AND('领用录入（明细）'!D:D=$F$4,'领用录入（明细）'!C:C&gt;=$J$4,'领用录入（明细）'!C:C&lt;=$L$4),ROW(),"-")</f>
        <v>-</v>
      </c>
    </row>
    <row r="22330" customHeight="1" spans="2:2">
      <c r="B22330" s="62" t="str">
        <f>IF(AND('领用录入（明细）'!D:D=$F$4,'领用录入（明细）'!C:C&gt;=$J$4,'领用录入（明细）'!C:C&lt;=$L$4),ROW(),"-")</f>
        <v>-</v>
      </c>
    </row>
    <row r="22331" customHeight="1" spans="2:2">
      <c r="B22331" s="62" t="str">
        <f>IF(AND('领用录入（明细）'!D:D=$F$4,'领用录入（明细）'!C:C&gt;=$J$4,'领用录入（明细）'!C:C&lt;=$L$4),ROW(),"-")</f>
        <v>-</v>
      </c>
    </row>
    <row r="22332" customHeight="1" spans="2:2">
      <c r="B22332" s="62" t="str">
        <f>IF(AND('领用录入（明细）'!D:D=$F$4,'领用录入（明细）'!C:C&gt;=$J$4,'领用录入（明细）'!C:C&lt;=$L$4),ROW(),"-")</f>
        <v>-</v>
      </c>
    </row>
    <row r="22333" customHeight="1" spans="2:2">
      <c r="B22333" s="62" t="str">
        <f>IF(AND('领用录入（明细）'!D:D=$F$4,'领用录入（明细）'!C:C&gt;=$J$4,'领用录入（明细）'!C:C&lt;=$L$4),ROW(),"-")</f>
        <v>-</v>
      </c>
    </row>
    <row r="22334" customHeight="1" spans="2:2">
      <c r="B22334" s="62" t="str">
        <f>IF(AND('领用录入（明细）'!D:D=$F$4,'领用录入（明细）'!C:C&gt;=$J$4,'领用录入（明细）'!C:C&lt;=$L$4),ROW(),"-")</f>
        <v>-</v>
      </c>
    </row>
    <row r="22335" customHeight="1" spans="2:2">
      <c r="B22335" s="62" t="str">
        <f>IF(AND('领用录入（明细）'!D:D=$F$4,'领用录入（明细）'!C:C&gt;=$J$4,'领用录入（明细）'!C:C&lt;=$L$4),ROW(),"-")</f>
        <v>-</v>
      </c>
    </row>
    <row r="22336" customHeight="1" spans="2:2">
      <c r="B22336" s="62" t="str">
        <f>IF(AND('领用录入（明细）'!D:D=$F$4,'领用录入（明细）'!C:C&gt;=$J$4,'领用录入（明细）'!C:C&lt;=$L$4),ROW(),"-")</f>
        <v>-</v>
      </c>
    </row>
    <row r="22337" customHeight="1" spans="2:2">
      <c r="B22337" s="62" t="str">
        <f>IF(AND('领用录入（明细）'!D:D=$F$4,'领用录入（明细）'!C:C&gt;=$J$4,'领用录入（明细）'!C:C&lt;=$L$4),ROW(),"-")</f>
        <v>-</v>
      </c>
    </row>
    <row r="22338" customHeight="1" spans="2:2">
      <c r="B22338" s="62" t="str">
        <f>IF(AND('领用录入（明细）'!D:D=$F$4,'领用录入（明细）'!C:C&gt;=$J$4,'领用录入（明细）'!C:C&lt;=$L$4),ROW(),"-")</f>
        <v>-</v>
      </c>
    </row>
    <row r="22339" customHeight="1" spans="2:2">
      <c r="B22339" s="62" t="str">
        <f>IF(AND('领用录入（明细）'!D:D=$F$4,'领用录入（明细）'!C:C&gt;=$J$4,'领用录入（明细）'!C:C&lt;=$L$4),ROW(),"-")</f>
        <v>-</v>
      </c>
    </row>
    <row r="22340" customHeight="1" spans="2:2">
      <c r="B22340" s="62" t="str">
        <f>IF(AND('领用录入（明细）'!D:D=$F$4,'领用录入（明细）'!C:C&gt;=$J$4,'领用录入（明细）'!C:C&lt;=$L$4),ROW(),"-")</f>
        <v>-</v>
      </c>
    </row>
    <row r="22341" customHeight="1" spans="2:2">
      <c r="B22341" s="62" t="str">
        <f>IF(AND('领用录入（明细）'!D:D=$F$4,'领用录入（明细）'!C:C&gt;=$J$4,'领用录入（明细）'!C:C&lt;=$L$4),ROW(),"-")</f>
        <v>-</v>
      </c>
    </row>
    <row r="22342" customHeight="1" spans="2:2">
      <c r="B22342" s="62" t="str">
        <f>IF(AND('领用录入（明细）'!D:D=$F$4,'领用录入（明细）'!C:C&gt;=$J$4,'领用录入（明细）'!C:C&lt;=$L$4),ROW(),"-")</f>
        <v>-</v>
      </c>
    </row>
    <row r="22343" customHeight="1" spans="2:2">
      <c r="B22343" s="62" t="str">
        <f>IF(AND('领用录入（明细）'!D:D=$F$4,'领用录入（明细）'!C:C&gt;=$J$4,'领用录入（明细）'!C:C&lt;=$L$4),ROW(),"-")</f>
        <v>-</v>
      </c>
    </row>
    <row r="22344" customHeight="1" spans="2:2">
      <c r="B22344" s="62" t="str">
        <f>IF(AND('领用录入（明细）'!D:D=$F$4,'领用录入（明细）'!C:C&gt;=$J$4,'领用录入（明细）'!C:C&lt;=$L$4),ROW(),"-")</f>
        <v>-</v>
      </c>
    </row>
    <row r="22345" customHeight="1" spans="2:2">
      <c r="B22345" s="62" t="str">
        <f>IF(AND('领用录入（明细）'!D:D=$F$4,'领用录入（明细）'!C:C&gt;=$J$4,'领用录入（明细）'!C:C&lt;=$L$4),ROW(),"-")</f>
        <v>-</v>
      </c>
    </row>
    <row r="22346" customHeight="1" spans="2:2">
      <c r="B22346" s="62" t="str">
        <f>IF(AND('领用录入（明细）'!D:D=$F$4,'领用录入（明细）'!C:C&gt;=$J$4,'领用录入（明细）'!C:C&lt;=$L$4),ROW(),"-")</f>
        <v>-</v>
      </c>
    </row>
    <row r="22347" customHeight="1" spans="2:2">
      <c r="B22347" s="62" t="str">
        <f>IF(AND('领用录入（明细）'!D:D=$F$4,'领用录入（明细）'!C:C&gt;=$J$4,'领用录入（明细）'!C:C&lt;=$L$4),ROW(),"-")</f>
        <v>-</v>
      </c>
    </row>
    <row r="22348" customHeight="1" spans="2:2">
      <c r="B22348" s="62" t="str">
        <f>IF(AND('领用录入（明细）'!D:D=$F$4,'领用录入（明细）'!C:C&gt;=$J$4,'领用录入（明细）'!C:C&lt;=$L$4),ROW(),"-")</f>
        <v>-</v>
      </c>
    </row>
    <row r="22349" customHeight="1" spans="2:2">
      <c r="B22349" s="62" t="str">
        <f>IF(AND('领用录入（明细）'!D:D=$F$4,'领用录入（明细）'!C:C&gt;=$J$4,'领用录入（明细）'!C:C&lt;=$L$4),ROW(),"-")</f>
        <v>-</v>
      </c>
    </row>
    <row r="22350" customHeight="1" spans="2:2">
      <c r="B22350" s="62" t="str">
        <f>IF(AND('领用录入（明细）'!D:D=$F$4,'领用录入（明细）'!C:C&gt;=$J$4,'领用录入（明细）'!C:C&lt;=$L$4),ROW(),"-")</f>
        <v>-</v>
      </c>
    </row>
    <row r="22351" customHeight="1" spans="2:2">
      <c r="B22351" s="62" t="str">
        <f>IF(AND('领用录入（明细）'!D:D=$F$4,'领用录入（明细）'!C:C&gt;=$J$4,'领用录入（明细）'!C:C&lt;=$L$4),ROW(),"-")</f>
        <v>-</v>
      </c>
    </row>
    <row r="22352" customHeight="1" spans="2:2">
      <c r="B22352" s="62" t="str">
        <f>IF(AND('领用录入（明细）'!D:D=$F$4,'领用录入（明细）'!C:C&gt;=$J$4,'领用录入（明细）'!C:C&lt;=$L$4),ROW(),"-")</f>
        <v>-</v>
      </c>
    </row>
    <row r="22353" customHeight="1" spans="2:2">
      <c r="B22353" s="62" t="str">
        <f>IF(AND('领用录入（明细）'!D:D=$F$4,'领用录入（明细）'!C:C&gt;=$J$4,'领用录入（明细）'!C:C&lt;=$L$4),ROW(),"-")</f>
        <v>-</v>
      </c>
    </row>
    <row r="22354" customHeight="1" spans="2:2">
      <c r="B22354" s="62" t="str">
        <f>IF(AND('领用录入（明细）'!D:D=$F$4,'领用录入（明细）'!C:C&gt;=$J$4,'领用录入（明细）'!C:C&lt;=$L$4),ROW(),"-")</f>
        <v>-</v>
      </c>
    </row>
    <row r="22355" customHeight="1" spans="2:2">
      <c r="B22355" s="62" t="str">
        <f>IF(AND('领用录入（明细）'!D:D=$F$4,'领用录入（明细）'!C:C&gt;=$J$4,'领用录入（明细）'!C:C&lt;=$L$4),ROW(),"-")</f>
        <v>-</v>
      </c>
    </row>
    <row r="22356" customHeight="1" spans="2:2">
      <c r="B22356" s="62" t="str">
        <f>IF(AND('领用录入（明细）'!D:D=$F$4,'领用录入（明细）'!C:C&gt;=$J$4,'领用录入（明细）'!C:C&lt;=$L$4),ROW(),"-")</f>
        <v>-</v>
      </c>
    </row>
    <row r="22357" customHeight="1" spans="2:2">
      <c r="B22357" s="62" t="str">
        <f>IF(AND('领用录入（明细）'!D:D=$F$4,'领用录入（明细）'!C:C&gt;=$J$4,'领用录入（明细）'!C:C&lt;=$L$4),ROW(),"-")</f>
        <v>-</v>
      </c>
    </row>
    <row r="22358" customHeight="1" spans="2:2">
      <c r="B22358" s="62" t="str">
        <f>IF(AND('领用录入（明细）'!D:D=$F$4,'领用录入（明细）'!C:C&gt;=$J$4,'领用录入（明细）'!C:C&lt;=$L$4),ROW(),"-")</f>
        <v>-</v>
      </c>
    </row>
    <row r="22359" customHeight="1" spans="2:2">
      <c r="B22359" s="62" t="str">
        <f>IF(AND('领用录入（明细）'!D:D=$F$4,'领用录入（明细）'!C:C&gt;=$J$4,'领用录入（明细）'!C:C&lt;=$L$4),ROW(),"-")</f>
        <v>-</v>
      </c>
    </row>
    <row r="22360" customHeight="1" spans="2:2">
      <c r="B22360" s="62" t="str">
        <f>IF(AND('领用录入（明细）'!D:D=$F$4,'领用录入（明细）'!C:C&gt;=$J$4,'领用录入（明细）'!C:C&lt;=$L$4),ROW(),"-")</f>
        <v>-</v>
      </c>
    </row>
    <row r="22361" customHeight="1" spans="2:2">
      <c r="B22361" s="62" t="str">
        <f>IF(AND('领用录入（明细）'!D:D=$F$4,'领用录入（明细）'!C:C&gt;=$J$4,'领用录入（明细）'!C:C&lt;=$L$4),ROW(),"-")</f>
        <v>-</v>
      </c>
    </row>
    <row r="22362" customHeight="1" spans="2:2">
      <c r="B22362" s="62" t="str">
        <f>IF(AND('领用录入（明细）'!D:D=$F$4,'领用录入（明细）'!C:C&gt;=$J$4,'领用录入（明细）'!C:C&lt;=$L$4),ROW(),"-")</f>
        <v>-</v>
      </c>
    </row>
    <row r="22363" customHeight="1" spans="2:2">
      <c r="B22363" s="62" t="str">
        <f>IF(AND('领用录入（明细）'!D:D=$F$4,'领用录入（明细）'!C:C&gt;=$J$4,'领用录入（明细）'!C:C&lt;=$L$4),ROW(),"-")</f>
        <v>-</v>
      </c>
    </row>
    <row r="22364" customHeight="1" spans="2:2">
      <c r="B22364" s="62" t="str">
        <f>IF(AND('领用录入（明细）'!D:D=$F$4,'领用录入（明细）'!C:C&gt;=$J$4,'领用录入（明细）'!C:C&lt;=$L$4),ROW(),"-")</f>
        <v>-</v>
      </c>
    </row>
    <row r="22365" customHeight="1" spans="2:2">
      <c r="B22365" s="62" t="str">
        <f>IF(AND('领用录入（明细）'!D:D=$F$4,'领用录入（明细）'!C:C&gt;=$J$4,'领用录入（明细）'!C:C&lt;=$L$4),ROW(),"-")</f>
        <v>-</v>
      </c>
    </row>
    <row r="22366" customHeight="1" spans="2:2">
      <c r="B22366" s="62" t="str">
        <f>IF(AND('领用录入（明细）'!D:D=$F$4,'领用录入（明细）'!C:C&gt;=$J$4,'领用录入（明细）'!C:C&lt;=$L$4),ROW(),"-")</f>
        <v>-</v>
      </c>
    </row>
    <row r="22367" customHeight="1" spans="2:2">
      <c r="B22367" s="62" t="str">
        <f>IF(AND('领用录入（明细）'!D:D=$F$4,'领用录入（明细）'!C:C&gt;=$J$4,'领用录入（明细）'!C:C&lt;=$L$4),ROW(),"-")</f>
        <v>-</v>
      </c>
    </row>
    <row r="22368" customHeight="1" spans="2:2">
      <c r="B22368" s="62" t="str">
        <f>IF(AND('领用录入（明细）'!D:D=$F$4,'领用录入（明细）'!C:C&gt;=$J$4,'领用录入（明细）'!C:C&lt;=$L$4),ROW(),"-")</f>
        <v>-</v>
      </c>
    </row>
    <row r="22369" customHeight="1" spans="2:2">
      <c r="B22369" s="62" t="str">
        <f>IF(AND('领用录入（明细）'!D:D=$F$4,'领用录入（明细）'!C:C&gt;=$J$4,'领用录入（明细）'!C:C&lt;=$L$4),ROW(),"-")</f>
        <v>-</v>
      </c>
    </row>
    <row r="22370" customHeight="1" spans="2:2">
      <c r="B22370" s="62" t="str">
        <f>IF(AND('领用录入（明细）'!D:D=$F$4,'领用录入（明细）'!C:C&gt;=$J$4,'领用录入（明细）'!C:C&lt;=$L$4),ROW(),"-")</f>
        <v>-</v>
      </c>
    </row>
    <row r="22371" customHeight="1" spans="2:2">
      <c r="B22371" s="62" t="str">
        <f>IF(AND('领用录入（明细）'!D:D=$F$4,'领用录入（明细）'!C:C&gt;=$J$4,'领用录入（明细）'!C:C&lt;=$L$4),ROW(),"-")</f>
        <v>-</v>
      </c>
    </row>
    <row r="22372" customHeight="1" spans="2:2">
      <c r="B22372" s="62" t="str">
        <f>IF(AND('领用录入（明细）'!D:D=$F$4,'领用录入（明细）'!C:C&gt;=$J$4,'领用录入（明细）'!C:C&lt;=$L$4),ROW(),"-")</f>
        <v>-</v>
      </c>
    </row>
    <row r="22373" customHeight="1" spans="2:2">
      <c r="B22373" s="62" t="str">
        <f>IF(AND('领用录入（明细）'!D:D=$F$4,'领用录入（明细）'!C:C&gt;=$J$4,'领用录入（明细）'!C:C&lt;=$L$4),ROW(),"-")</f>
        <v>-</v>
      </c>
    </row>
    <row r="22374" customHeight="1" spans="2:2">
      <c r="B22374" s="62" t="str">
        <f>IF(AND('领用录入（明细）'!D:D=$F$4,'领用录入（明细）'!C:C&gt;=$J$4,'领用录入（明细）'!C:C&lt;=$L$4),ROW(),"-")</f>
        <v>-</v>
      </c>
    </row>
    <row r="22375" customHeight="1" spans="2:2">
      <c r="B22375" s="62" t="str">
        <f>IF(AND('领用录入（明细）'!D:D=$F$4,'领用录入（明细）'!C:C&gt;=$J$4,'领用录入（明细）'!C:C&lt;=$L$4),ROW(),"-")</f>
        <v>-</v>
      </c>
    </row>
    <row r="22376" customHeight="1" spans="2:2">
      <c r="B22376" s="62" t="str">
        <f>IF(AND('领用录入（明细）'!D:D=$F$4,'领用录入（明细）'!C:C&gt;=$J$4,'领用录入（明细）'!C:C&lt;=$L$4),ROW(),"-")</f>
        <v>-</v>
      </c>
    </row>
    <row r="22377" customHeight="1" spans="2:2">
      <c r="B22377" s="62" t="str">
        <f>IF(AND('领用录入（明细）'!D:D=$F$4,'领用录入（明细）'!C:C&gt;=$J$4,'领用录入（明细）'!C:C&lt;=$L$4),ROW(),"-")</f>
        <v>-</v>
      </c>
    </row>
    <row r="22378" customHeight="1" spans="2:2">
      <c r="B22378" s="62" t="str">
        <f>IF(AND('领用录入（明细）'!D:D=$F$4,'领用录入（明细）'!C:C&gt;=$J$4,'领用录入（明细）'!C:C&lt;=$L$4),ROW(),"-")</f>
        <v>-</v>
      </c>
    </row>
    <row r="22379" customHeight="1" spans="2:2">
      <c r="B22379" s="62" t="str">
        <f>IF(AND('领用录入（明细）'!D:D=$F$4,'领用录入（明细）'!C:C&gt;=$J$4,'领用录入（明细）'!C:C&lt;=$L$4),ROW(),"-")</f>
        <v>-</v>
      </c>
    </row>
    <row r="22380" customHeight="1" spans="2:2">
      <c r="B22380" s="62" t="str">
        <f>IF(AND('领用录入（明细）'!D:D=$F$4,'领用录入（明细）'!C:C&gt;=$J$4,'领用录入（明细）'!C:C&lt;=$L$4),ROW(),"-")</f>
        <v>-</v>
      </c>
    </row>
    <row r="22381" customHeight="1" spans="2:2">
      <c r="B22381" s="62" t="str">
        <f>IF(AND('领用录入（明细）'!D:D=$F$4,'领用录入（明细）'!C:C&gt;=$J$4,'领用录入（明细）'!C:C&lt;=$L$4),ROW(),"-")</f>
        <v>-</v>
      </c>
    </row>
    <row r="22382" customHeight="1" spans="2:2">
      <c r="B22382" s="62" t="str">
        <f>IF(AND('领用录入（明细）'!D:D=$F$4,'领用录入（明细）'!C:C&gt;=$J$4,'领用录入（明细）'!C:C&lt;=$L$4),ROW(),"-")</f>
        <v>-</v>
      </c>
    </row>
    <row r="22383" customHeight="1" spans="2:2">
      <c r="B22383" s="62" t="str">
        <f>IF(AND('领用录入（明细）'!D:D=$F$4,'领用录入（明细）'!C:C&gt;=$J$4,'领用录入（明细）'!C:C&lt;=$L$4),ROW(),"-")</f>
        <v>-</v>
      </c>
    </row>
    <row r="22384" customHeight="1" spans="2:2">
      <c r="B22384" s="62" t="str">
        <f>IF(AND('领用录入（明细）'!D:D=$F$4,'领用录入（明细）'!C:C&gt;=$J$4,'领用录入（明细）'!C:C&lt;=$L$4),ROW(),"-")</f>
        <v>-</v>
      </c>
    </row>
    <row r="22385" customHeight="1" spans="2:2">
      <c r="B22385" s="62" t="str">
        <f>IF(AND('领用录入（明细）'!D:D=$F$4,'领用录入（明细）'!C:C&gt;=$J$4,'领用录入（明细）'!C:C&lt;=$L$4),ROW(),"-")</f>
        <v>-</v>
      </c>
    </row>
    <row r="22386" customHeight="1" spans="2:2">
      <c r="B22386" s="62" t="str">
        <f>IF(AND('领用录入（明细）'!D:D=$F$4,'领用录入（明细）'!C:C&gt;=$J$4,'领用录入（明细）'!C:C&lt;=$L$4),ROW(),"-")</f>
        <v>-</v>
      </c>
    </row>
    <row r="22387" customHeight="1" spans="2:2">
      <c r="B22387" s="62" t="str">
        <f>IF(AND('领用录入（明细）'!D:D=$F$4,'领用录入（明细）'!C:C&gt;=$J$4,'领用录入（明细）'!C:C&lt;=$L$4),ROW(),"-")</f>
        <v>-</v>
      </c>
    </row>
    <row r="22388" customHeight="1" spans="2:2">
      <c r="B22388" s="62" t="str">
        <f>IF(AND('领用录入（明细）'!D:D=$F$4,'领用录入（明细）'!C:C&gt;=$J$4,'领用录入（明细）'!C:C&lt;=$L$4),ROW(),"-")</f>
        <v>-</v>
      </c>
    </row>
    <row r="22389" customHeight="1" spans="2:2">
      <c r="B22389" s="62" t="str">
        <f>IF(AND('领用录入（明细）'!D:D=$F$4,'领用录入（明细）'!C:C&gt;=$J$4,'领用录入（明细）'!C:C&lt;=$L$4),ROW(),"-")</f>
        <v>-</v>
      </c>
    </row>
    <row r="22390" customHeight="1" spans="2:2">
      <c r="B22390" s="62" t="str">
        <f>IF(AND('领用录入（明细）'!D:D=$F$4,'领用录入（明细）'!C:C&gt;=$J$4,'领用录入（明细）'!C:C&lt;=$L$4),ROW(),"-")</f>
        <v>-</v>
      </c>
    </row>
    <row r="22391" customHeight="1" spans="2:2">
      <c r="B22391" s="62" t="str">
        <f>IF(AND('领用录入（明细）'!D:D=$F$4,'领用录入（明细）'!C:C&gt;=$J$4,'领用录入（明细）'!C:C&lt;=$L$4),ROW(),"-")</f>
        <v>-</v>
      </c>
    </row>
    <row r="22392" customHeight="1" spans="2:2">
      <c r="B22392" s="62" t="str">
        <f>IF(AND('领用录入（明细）'!D:D=$F$4,'领用录入（明细）'!C:C&gt;=$J$4,'领用录入（明细）'!C:C&lt;=$L$4),ROW(),"-")</f>
        <v>-</v>
      </c>
    </row>
    <row r="22393" customHeight="1" spans="2:2">
      <c r="B22393" s="62" t="str">
        <f>IF(AND('领用录入（明细）'!D:D=$F$4,'领用录入（明细）'!C:C&gt;=$J$4,'领用录入（明细）'!C:C&lt;=$L$4),ROW(),"-")</f>
        <v>-</v>
      </c>
    </row>
    <row r="22394" customHeight="1" spans="2:2">
      <c r="B22394" s="62" t="str">
        <f>IF(AND('领用录入（明细）'!D:D=$F$4,'领用录入（明细）'!C:C&gt;=$J$4,'领用录入（明细）'!C:C&lt;=$L$4),ROW(),"-")</f>
        <v>-</v>
      </c>
    </row>
    <row r="22395" customHeight="1" spans="2:2">
      <c r="B22395" s="62" t="str">
        <f>IF(AND('领用录入（明细）'!D:D=$F$4,'领用录入（明细）'!C:C&gt;=$J$4,'领用录入（明细）'!C:C&lt;=$L$4),ROW(),"-")</f>
        <v>-</v>
      </c>
    </row>
    <row r="22396" customHeight="1" spans="2:2">
      <c r="B22396" s="62" t="str">
        <f>IF(AND('领用录入（明细）'!D:D=$F$4,'领用录入（明细）'!C:C&gt;=$J$4,'领用录入（明细）'!C:C&lt;=$L$4),ROW(),"-")</f>
        <v>-</v>
      </c>
    </row>
    <row r="22397" customHeight="1" spans="2:2">
      <c r="B22397" s="62" t="str">
        <f>IF(AND('领用录入（明细）'!D:D=$F$4,'领用录入（明细）'!C:C&gt;=$J$4,'领用录入（明细）'!C:C&lt;=$L$4),ROW(),"-")</f>
        <v>-</v>
      </c>
    </row>
    <row r="22398" customHeight="1" spans="2:2">
      <c r="B22398" s="62" t="str">
        <f>IF(AND('领用录入（明细）'!D:D=$F$4,'领用录入（明细）'!C:C&gt;=$J$4,'领用录入（明细）'!C:C&lt;=$L$4),ROW(),"-")</f>
        <v>-</v>
      </c>
    </row>
    <row r="22399" customHeight="1" spans="2:2">
      <c r="B22399" s="62" t="str">
        <f>IF(AND('领用录入（明细）'!D:D=$F$4,'领用录入（明细）'!C:C&gt;=$J$4,'领用录入（明细）'!C:C&lt;=$L$4),ROW(),"-")</f>
        <v>-</v>
      </c>
    </row>
    <row r="22400" customHeight="1" spans="2:2">
      <c r="B22400" s="62" t="str">
        <f>IF(AND('领用录入（明细）'!D:D=$F$4,'领用录入（明细）'!C:C&gt;=$J$4,'领用录入（明细）'!C:C&lt;=$L$4),ROW(),"-")</f>
        <v>-</v>
      </c>
    </row>
    <row r="22401" customHeight="1" spans="2:2">
      <c r="B22401" s="62" t="str">
        <f>IF(AND('领用录入（明细）'!D:D=$F$4,'领用录入（明细）'!C:C&gt;=$J$4,'领用录入（明细）'!C:C&lt;=$L$4),ROW(),"-")</f>
        <v>-</v>
      </c>
    </row>
    <row r="22402" customHeight="1" spans="2:2">
      <c r="B22402" s="62" t="str">
        <f>IF(AND('领用录入（明细）'!D:D=$F$4,'领用录入（明细）'!C:C&gt;=$J$4,'领用录入（明细）'!C:C&lt;=$L$4),ROW(),"-")</f>
        <v>-</v>
      </c>
    </row>
    <row r="22403" customHeight="1" spans="2:2">
      <c r="B22403" s="62" t="str">
        <f>IF(AND('领用录入（明细）'!D:D=$F$4,'领用录入（明细）'!C:C&gt;=$J$4,'领用录入（明细）'!C:C&lt;=$L$4),ROW(),"-")</f>
        <v>-</v>
      </c>
    </row>
    <row r="22404" customHeight="1" spans="2:2">
      <c r="B22404" s="62" t="str">
        <f>IF(AND('领用录入（明细）'!D:D=$F$4,'领用录入（明细）'!C:C&gt;=$J$4,'领用录入（明细）'!C:C&lt;=$L$4),ROW(),"-")</f>
        <v>-</v>
      </c>
    </row>
    <row r="22405" customHeight="1" spans="2:2">
      <c r="B22405" s="62" t="str">
        <f>IF(AND('领用录入（明细）'!D:D=$F$4,'领用录入（明细）'!C:C&gt;=$J$4,'领用录入（明细）'!C:C&lt;=$L$4),ROW(),"-")</f>
        <v>-</v>
      </c>
    </row>
    <row r="22406" customHeight="1" spans="2:2">
      <c r="B22406" s="62" t="str">
        <f>IF(AND('领用录入（明细）'!D:D=$F$4,'领用录入（明细）'!C:C&gt;=$J$4,'领用录入（明细）'!C:C&lt;=$L$4),ROW(),"-")</f>
        <v>-</v>
      </c>
    </row>
    <row r="22407" customHeight="1" spans="2:2">
      <c r="B22407" s="62" t="str">
        <f>IF(AND('领用录入（明细）'!D:D=$F$4,'领用录入（明细）'!C:C&gt;=$J$4,'领用录入（明细）'!C:C&lt;=$L$4),ROW(),"-")</f>
        <v>-</v>
      </c>
    </row>
    <row r="22408" customHeight="1" spans="2:2">
      <c r="B22408" s="62" t="str">
        <f>IF(AND('领用录入（明细）'!D:D=$F$4,'领用录入（明细）'!C:C&gt;=$J$4,'领用录入（明细）'!C:C&lt;=$L$4),ROW(),"-")</f>
        <v>-</v>
      </c>
    </row>
    <row r="22409" customHeight="1" spans="2:2">
      <c r="B22409" s="62" t="str">
        <f>IF(AND('领用录入（明细）'!D:D=$F$4,'领用录入（明细）'!C:C&gt;=$J$4,'领用录入（明细）'!C:C&lt;=$L$4),ROW(),"-")</f>
        <v>-</v>
      </c>
    </row>
    <row r="22410" customHeight="1" spans="2:2">
      <c r="B22410" s="62" t="str">
        <f>IF(AND('领用录入（明细）'!D:D=$F$4,'领用录入（明细）'!C:C&gt;=$J$4,'领用录入（明细）'!C:C&lt;=$L$4),ROW(),"-")</f>
        <v>-</v>
      </c>
    </row>
    <row r="22411" customHeight="1" spans="2:2">
      <c r="B22411" s="62" t="str">
        <f>IF(AND('领用录入（明细）'!D:D=$F$4,'领用录入（明细）'!C:C&gt;=$J$4,'领用录入（明细）'!C:C&lt;=$L$4),ROW(),"-")</f>
        <v>-</v>
      </c>
    </row>
    <row r="22412" customHeight="1" spans="2:2">
      <c r="B22412" s="62" t="str">
        <f>IF(AND('领用录入（明细）'!D:D=$F$4,'领用录入（明细）'!C:C&gt;=$J$4,'领用录入（明细）'!C:C&lt;=$L$4),ROW(),"-")</f>
        <v>-</v>
      </c>
    </row>
    <row r="22413" customHeight="1" spans="2:2">
      <c r="B22413" s="62" t="str">
        <f>IF(AND('领用录入（明细）'!D:D=$F$4,'领用录入（明细）'!C:C&gt;=$J$4,'领用录入（明细）'!C:C&lt;=$L$4),ROW(),"-")</f>
        <v>-</v>
      </c>
    </row>
    <row r="22414" customHeight="1" spans="2:2">
      <c r="B22414" s="62" t="str">
        <f>IF(AND('领用录入（明细）'!D:D=$F$4,'领用录入（明细）'!C:C&gt;=$J$4,'领用录入（明细）'!C:C&lt;=$L$4),ROW(),"-")</f>
        <v>-</v>
      </c>
    </row>
    <row r="22415" customHeight="1" spans="2:2">
      <c r="B22415" s="62" t="str">
        <f>IF(AND('领用录入（明细）'!D:D=$F$4,'领用录入（明细）'!C:C&gt;=$J$4,'领用录入（明细）'!C:C&lt;=$L$4),ROW(),"-")</f>
        <v>-</v>
      </c>
    </row>
    <row r="22416" customHeight="1" spans="2:2">
      <c r="B22416" s="62" t="str">
        <f>IF(AND('领用录入（明细）'!D:D=$F$4,'领用录入（明细）'!C:C&gt;=$J$4,'领用录入（明细）'!C:C&lt;=$L$4),ROW(),"-")</f>
        <v>-</v>
      </c>
    </row>
    <row r="22417" customHeight="1" spans="2:2">
      <c r="B22417" s="62" t="str">
        <f>IF(AND('领用录入（明细）'!D:D=$F$4,'领用录入（明细）'!C:C&gt;=$J$4,'领用录入（明细）'!C:C&lt;=$L$4),ROW(),"-")</f>
        <v>-</v>
      </c>
    </row>
    <row r="22418" customHeight="1" spans="2:2">
      <c r="B22418" s="62" t="str">
        <f>IF(AND('领用录入（明细）'!D:D=$F$4,'领用录入（明细）'!C:C&gt;=$J$4,'领用录入（明细）'!C:C&lt;=$L$4),ROW(),"-")</f>
        <v>-</v>
      </c>
    </row>
    <row r="22419" customHeight="1" spans="2:2">
      <c r="B22419" s="62" t="str">
        <f>IF(AND('领用录入（明细）'!D:D=$F$4,'领用录入（明细）'!C:C&gt;=$J$4,'领用录入（明细）'!C:C&lt;=$L$4),ROW(),"-")</f>
        <v>-</v>
      </c>
    </row>
    <row r="22420" customHeight="1" spans="2:2">
      <c r="B22420" s="62" t="str">
        <f>IF(AND('领用录入（明细）'!D:D=$F$4,'领用录入（明细）'!C:C&gt;=$J$4,'领用录入（明细）'!C:C&lt;=$L$4),ROW(),"-")</f>
        <v>-</v>
      </c>
    </row>
    <row r="22421" customHeight="1" spans="2:2">
      <c r="B22421" s="62" t="str">
        <f>IF(AND('领用录入（明细）'!D:D=$F$4,'领用录入（明细）'!C:C&gt;=$J$4,'领用录入（明细）'!C:C&lt;=$L$4),ROW(),"-")</f>
        <v>-</v>
      </c>
    </row>
    <row r="22422" customHeight="1" spans="2:2">
      <c r="B22422" s="62" t="str">
        <f>IF(AND('领用录入（明细）'!D:D=$F$4,'领用录入（明细）'!C:C&gt;=$J$4,'领用录入（明细）'!C:C&lt;=$L$4),ROW(),"-")</f>
        <v>-</v>
      </c>
    </row>
    <row r="22423" customHeight="1" spans="2:2">
      <c r="B22423" s="62" t="str">
        <f>IF(AND('领用录入（明细）'!D:D=$F$4,'领用录入（明细）'!C:C&gt;=$J$4,'领用录入（明细）'!C:C&lt;=$L$4),ROW(),"-")</f>
        <v>-</v>
      </c>
    </row>
    <row r="22424" customHeight="1" spans="2:2">
      <c r="B22424" s="62" t="str">
        <f>IF(AND('领用录入（明细）'!D:D=$F$4,'领用录入（明细）'!C:C&gt;=$J$4,'领用录入（明细）'!C:C&lt;=$L$4),ROW(),"-")</f>
        <v>-</v>
      </c>
    </row>
    <row r="22425" customHeight="1" spans="2:2">
      <c r="B22425" s="62" t="str">
        <f>IF(AND('领用录入（明细）'!D:D=$F$4,'领用录入（明细）'!C:C&gt;=$J$4,'领用录入（明细）'!C:C&lt;=$L$4),ROW(),"-")</f>
        <v>-</v>
      </c>
    </row>
    <row r="22426" customHeight="1" spans="2:2">
      <c r="B22426" s="62" t="str">
        <f>IF(AND('领用录入（明细）'!D:D=$F$4,'领用录入（明细）'!C:C&gt;=$J$4,'领用录入（明细）'!C:C&lt;=$L$4),ROW(),"-")</f>
        <v>-</v>
      </c>
    </row>
    <row r="22427" customHeight="1" spans="2:2">
      <c r="B22427" s="62" t="str">
        <f>IF(AND('领用录入（明细）'!D:D=$F$4,'领用录入（明细）'!C:C&gt;=$J$4,'领用录入（明细）'!C:C&lt;=$L$4),ROW(),"-")</f>
        <v>-</v>
      </c>
    </row>
    <row r="22428" customHeight="1" spans="2:2">
      <c r="B22428" s="62" t="str">
        <f>IF(AND('领用录入（明细）'!D:D=$F$4,'领用录入（明细）'!C:C&gt;=$J$4,'领用录入（明细）'!C:C&lt;=$L$4),ROW(),"-")</f>
        <v>-</v>
      </c>
    </row>
    <row r="22429" customHeight="1" spans="2:2">
      <c r="B22429" s="62" t="str">
        <f>IF(AND('领用录入（明细）'!D:D=$F$4,'领用录入（明细）'!C:C&gt;=$J$4,'领用录入（明细）'!C:C&lt;=$L$4),ROW(),"-")</f>
        <v>-</v>
      </c>
    </row>
    <row r="22430" customHeight="1" spans="2:2">
      <c r="B22430" s="62" t="str">
        <f>IF(AND('领用录入（明细）'!D:D=$F$4,'领用录入（明细）'!C:C&gt;=$J$4,'领用录入（明细）'!C:C&lt;=$L$4),ROW(),"-")</f>
        <v>-</v>
      </c>
    </row>
    <row r="22431" customHeight="1" spans="2:2">
      <c r="B22431" s="62" t="str">
        <f>IF(AND('领用录入（明细）'!D:D=$F$4,'领用录入（明细）'!C:C&gt;=$J$4,'领用录入（明细）'!C:C&lt;=$L$4),ROW(),"-")</f>
        <v>-</v>
      </c>
    </row>
    <row r="22432" customHeight="1" spans="2:2">
      <c r="B22432" s="62" t="str">
        <f>IF(AND('领用录入（明细）'!D:D=$F$4,'领用录入（明细）'!C:C&gt;=$J$4,'领用录入（明细）'!C:C&lt;=$L$4),ROW(),"-")</f>
        <v>-</v>
      </c>
    </row>
    <row r="22433" customHeight="1" spans="2:2">
      <c r="B22433" s="62" t="str">
        <f>IF(AND('领用录入（明细）'!D:D=$F$4,'领用录入（明细）'!C:C&gt;=$J$4,'领用录入（明细）'!C:C&lt;=$L$4),ROW(),"-")</f>
        <v>-</v>
      </c>
    </row>
    <row r="22434" customHeight="1" spans="2:2">
      <c r="B22434" s="62" t="str">
        <f>IF(AND('领用录入（明细）'!D:D=$F$4,'领用录入（明细）'!C:C&gt;=$J$4,'领用录入（明细）'!C:C&lt;=$L$4),ROW(),"-")</f>
        <v>-</v>
      </c>
    </row>
    <row r="22435" customHeight="1" spans="2:2">
      <c r="B22435" s="62" t="str">
        <f>IF(AND('领用录入（明细）'!D:D=$F$4,'领用录入（明细）'!C:C&gt;=$J$4,'领用录入（明细）'!C:C&lt;=$L$4),ROW(),"-")</f>
        <v>-</v>
      </c>
    </row>
    <row r="22436" customHeight="1" spans="2:2">
      <c r="B22436" s="62" t="str">
        <f>IF(AND('领用录入（明细）'!D:D=$F$4,'领用录入（明细）'!C:C&gt;=$J$4,'领用录入（明细）'!C:C&lt;=$L$4),ROW(),"-")</f>
        <v>-</v>
      </c>
    </row>
    <row r="22437" customHeight="1" spans="2:2">
      <c r="B22437" s="62" t="str">
        <f>IF(AND('领用录入（明细）'!D:D=$F$4,'领用录入（明细）'!C:C&gt;=$J$4,'领用录入（明细）'!C:C&lt;=$L$4),ROW(),"-")</f>
        <v>-</v>
      </c>
    </row>
    <row r="22438" customHeight="1" spans="2:2">
      <c r="B22438" s="62" t="str">
        <f>IF(AND('领用录入（明细）'!D:D=$F$4,'领用录入（明细）'!C:C&gt;=$J$4,'领用录入（明细）'!C:C&lt;=$L$4),ROW(),"-")</f>
        <v>-</v>
      </c>
    </row>
    <row r="22439" customHeight="1" spans="2:2">
      <c r="B22439" s="62" t="str">
        <f>IF(AND('领用录入（明细）'!D:D=$F$4,'领用录入（明细）'!C:C&gt;=$J$4,'领用录入（明细）'!C:C&lt;=$L$4),ROW(),"-")</f>
        <v>-</v>
      </c>
    </row>
    <row r="22440" customHeight="1" spans="2:2">
      <c r="B22440" s="62" t="str">
        <f>IF(AND('领用录入（明细）'!D:D=$F$4,'领用录入（明细）'!C:C&gt;=$J$4,'领用录入（明细）'!C:C&lt;=$L$4),ROW(),"-")</f>
        <v>-</v>
      </c>
    </row>
    <row r="22441" customHeight="1" spans="2:2">
      <c r="B22441" s="62" t="str">
        <f>IF(AND('领用录入（明细）'!D:D=$F$4,'领用录入（明细）'!C:C&gt;=$J$4,'领用录入（明细）'!C:C&lt;=$L$4),ROW(),"-")</f>
        <v>-</v>
      </c>
    </row>
    <row r="22442" customHeight="1" spans="2:2">
      <c r="B22442" s="62" t="str">
        <f>IF(AND('领用录入（明细）'!D:D=$F$4,'领用录入（明细）'!C:C&gt;=$J$4,'领用录入（明细）'!C:C&lt;=$L$4),ROW(),"-")</f>
        <v>-</v>
      </c>
    </row>
    <row r="22443" customHeight="1" spans="2:2">
      <c r="B22443" s="62" t="str">
        <f>IF(AND('领用录入（明细）'!D:D=$F$4,'领用录入（明细）'!C:C&gt;=$J$4,'领用录入（明细）'!C:C&lt;=$L$4),ROW(),"-")</f>
        <v>-</v>
      </c>
    </row>
    <row r="22444" customHeight="1" spans="2:2">
      <c r="B22444" s="62" t="str">
        <f>IF(AND('领用录入（明细）'!D:D=$F$4,'领用录入（明细）'!C:C&gt;=$J$4,'领用录入（明细）'!C:C&lt;=$L$4),ROW(),"-")</f>
        <v>-</v>
      </c>
    </row>
    <row r="22445" customHeight="1" spans="2:2">
      <c r="B22445" s="62" t="str">
        <f>IF(AND('领用录入（明细）'!D:D=$F$4,'领用录入（明细）'!C:C&gt;=$J$4,'领用录入（明细）'!C:C&lt;=$L$4),ROW(),"-")</f>
        <v>-</v>
      </c>
    </row>
    <row r="22446" customHeight="1" spans="2:2">
      <c r="B22446" s="62" t="str">
        <f>IF(AND('领用录入（明细）'!D:D=$F$4,'领用录入（明细）'!C:C&gt;=$J$4,'领用录入（明细）'!C:C&lt;=$L$4),ROW(),"-")</f>
        <v>-</v>
      </c>
    </row>
    <row r="22447" customHeight="1" spans="2:2">
      <c r="B22447" s="62" t="str">
        <f>IF(AND('领用录入（明细）'!D:D=$F$4,'领用录入（明细）'!C:C&gt;=$J$4,'领用录入（明细）'!C:C&lt;=$L$4),ROW(),"-")</f>
        <v>-</v>
      </c>
    </row>
    <row r="22448" customHeight="1" spans="2:2">
      <c r="B22448" s="62" t="str">
        <f>IF(AND('领用录入（明细）'!D:D=$F$4,'领用录入（明细）'!C:C&gt;=$J$4,'领用录入（明细）'!C:C&lt;=$L$4),ROW(),"-")</f>
        <v>-</v>
      </c>
    </row>
    <row r="22449" customHeight="1" spans="2:2">
      <c r="B22449" s="62" t="str">
        <f>IF(AND('领用录入（明细）'!D:D=$F$4,'领用录入（明细）'!C:C&gt;=$J$4,'领用录入（明细）'!C:C&lt;=$L$4),ROW(),"-")</f>
        <v>-</v>
      </c>
    </row>
    <row r="22450" customHeight="1" spans="2:2">
      <c r="B22450" s="62" t="str">
        <f>IF(AND('领用录入（明细）'!D:D=$F$4,'领用录入（明细）'!C:C&gt;=$J$4,'领用录入（明细）'!C:C&lt;=$L$4),ROW(),"-")</f>
        <v>-</v>
      </c>
    </row>
    <row r="22451" customHeight="1" spans="2:2">
      <c r="B22451" s="62" t="str">
        <f>IF(AND('领用录入（明细）'!D:D=$F$4,'领用录入（明细）'!C:C&gt;=$J$4,'领用录入（明细）'!C:C&lt;=$L$4),ROW(),"-")</f>
        <v>-</v>
      </c>
    </row>
    <row r="22452" customHeight="1" spans="2:2">
      <c r="B22452" s="62" t="str">
        <f>IF(AND('领用录入（明细）'!D:D=$F$4,'领用录入（明细）'!C:C&gt;=$J$4,'领用录入（明细）'!C:C&lt;=$L$4),ROW(),"-")</f>
        <v>-</v>
      </c>
    </row>
    <row r="22453" customHeight="1" spans="2:2">
      <c r="B22453" s="62" t="str">
        <f>IF(AND('领用录入（明细）'!D:D=$F$4,'领用录入（明细）'!C:C&gt;=$J$4,'领用录入（明细）'!C:C&lt;=$L$4),ROW(),"-")</f>
        <v>-</v>
      </c>
    </row>
    <row r="22454" customHeight="1" spans="2:2">
      <c r="B22454" s="62" t="str">
        <f>IF(AND('领用录入（明细）'!D:D=$F$4,'领用录入（明细）'!C:C&gt;=$J$4,'领用录入（明细）'!C:C&lt;=$L$4),ROW(),"-")</f>
        <v>-</v>
      </c>
    </row>
    <row r="22455" customHeight="1" spans="2:2">
      <c r="B22455" s="62" t="str">
        <f>IF(AND('领用录入（明细）'!D:D=$F$4,'领用录入（明细）'!C:C&gt;=$J$4,'领用录入（明细）'!C:C&lt;=$L$4),ROW(),"-")</f>
        <v>-</v>
      </c>
    </row>
    <row r="22456" customHeight="1" spans="2:2">
      <c r="B22456" s="62" t="str">
        <f>IF(AND('领用录入（明细）'!D:D=$F$4,'领用录入（明细）'!C:C&gt;=$J$4,'领用录入（明细）'!C:C&lt;=$L$4),ROW(),"-")</f>
        <v>-</v>
      </c>
    </row>
    <row r="22457" customHeight="1" spans="2:2">
      <c r="B22457" s="62" t="str">
        <f>IF(AND('领用录入（明细）'!D:D=$F$4,'领用录入（明细）'!C:C&gt;=$J$4,'领用录入（明细）'!C:C&lt;=$L$4),ROW(),"-")</f>
        <v>-</v>
      </c>
    </row>
    <row r="22458" customHeight="1" spans="2:2">
      <c r="B22458" s="62" t="str">
        <f>IF(AND('领用录入（明细）'!D:D=$F$4,'领用录入（明细）'!C:C&gt;=$J$4,'领用录入（明细）'!C:C&lt;=$L$4),ROW(),"-")</f>
        <v>-</v>
      </c>
    </row>
    <row r="22459" customHeight="1" spans="2:2">
      <c r="B22459" s="62" t="str">
        <f>IF(AND('领用录入（明细）'!D:D=$F$4,'领用录入（明细）'!C:C&gt;=$J$4,'领用录入（明细）'!C:C&lt;=$L$4),ROW(),"-")</f>
        <v>-</v>
      </c>
    </row>
    <row r="22460" customHeight="1" spans="2:2">
      <c r="B22460" s="62" t="str">
        <f>IF(AND('领用录入（明细）'!D:D=$F$4,'领用录入（明细）'!C:C&gt;=$J$4,'领用录入（明细）'!C:C&lt;=$L$4),ROW(),"-")</f>
        <v>-</v>
      </c>
    </row>
    <row r="22461" customHeight="1" spans="2:2">
      <c r="B22461" s="62" t="str">
        <f>IF(AND('领用录入（明细）'!D:D=$F$4,'领用录入（明细）'!C:C&gt;=$J$4,'领用录入（明细）'!C:C&lt;=$L$4),ROW(),"-")</f>
        <v>-</v>
      </c>
    </row>
    <row r="22462" customHeight="1" spans="2:2">
      <c r="B22462" s="62" t="str">
        <f>IF(AND('领用录入（明细）'!D:D=$F$4,'领用录入（明细）'!C:C&gt;=$J$4,'领用录入（明细）'!C:C&lt;=$L$4),ROW(),"-")</f>
        <v>-</v>
      </c>
    </row>
    <row r="22463" customHeight="1" spans="2:2">
      <c r="B22463" s="62" t="str">
        <f>IF(AND('领用录入（明细）'!D:D=$F$4,'领用录入（明细）'!C:C&gt;=$J$4,'领用录入（明细）'!C:C&lt;=$L$4),ROW(),"-")</f>
        <v>-</v>
      </c>
    </row>
    <row r="22464" customHeight="1" spans="2:2">
      <c r="B22464" s="62" t="str">
        <f>IF(AND('领用录入（明细）'!D:D=$F$4,'领用录入（明细）'!C:C&gt;=$J$4,'领用录入（明细）'!C:C&lt;=$L$4),ROW(),"-")</f>
        <v>-</v>
      </c>
    </row>
    <row r="22465" customHeight="1" spans="2:2">
      <c r="B22465" s="62" t="str">
        <f>IF(AND('领用录入（明细）'!D:D=$F$4,'领用录入（明细）'!C:C&gt;=$J$4,'领用录入（明细）'!C:C&lt;=$L$4),ROW(),"-")</f>
        <v>-</v>
      </c>
    </row>
    <row r="22466" customHeight="1" spans="2:2">
      <c r="B22466" s="62" t="str">
        <f>IF(AND('领用录入（明细）'!D:D=$F$4,'领用录入（明细）'!C:C&gt;=$J$4,'领用录入（明细）'!C:C&lt;=$L$4),ROW(),"-")</f>
        <v>-</v>
      </c>
    </row>
    <row r="22467" customHeight="1" spans="2:2">
      <c r="B22467" s="62" t="str">
        <f>IF(AND('领用录入（明细）'!D:D=$F$4,'领用录入（明细）'!C:C&gt;=$J$4,'领用录入（明细）'!C:C&lt;=$L$4),ROW(),"-")</f>
        <v>-</v>
      </c>
    </row>
    <row r="22468" customHeight="1" spans="2:2">
      <c r="B22468" s="62" t="str">
        <f>IF(AND('领用录入（明细）'!D:D=$F$4,'领用录入（明细）'!C:C&gt;=$J$4,'领用录入（明细）'!C:C&lt;=$L$4),ROW(),"-")</f>
        <v>-</v>
      </c>
    </row>
    <row r="22469" customHeight="1" spans="2:2">
      <c r="B22469" s="62" t="str">
        <f>IF(AND('领用录入（明细）'!D:D=$F$4,'领用录入（明细）'!C:C&gt;=$J$4,'领用录入（明细）'!C:C&lt;=$L$4),ROW(),"-")</f>
        <v>-</v>
      </c>
    </row>
    <row r="22470" customHeight="1" spans="2:2">
      <c r="B22470" s="62" t="str">
        <f>IF(AND('领用录入（明细）'!D:D=$F$4,'领用录入（明细）'!C:C&gt;=$J$4,'领用录入（明细）'!C:C&lt;=$L$4),ROW(),"-")</f>
        <v>-</v>
      </c>
    </row>
    <row r="22471" customHeight="1" spans="2:2">
      <c r="B22471" s="62" t="str">
        <f>IF(AND('领用录入（明细）'!D:D=$F$4,'领用录入（明细）'!C:C&gt;=$J$4,'领用录入（明细）'!C:C&lt;=$L$4),ROW(),"-")</f>
        <v>-</v>
      </c>
    </row>
    <row r="22472" customHeight="1" spans="2:2">
      <c r="B22472" s="62" t="str">
        <f>IF(AND('领用录入（明细）'!D:D=$F$4,'领用录入（明细）'!C:C&gt;=$J$4,'领用录入（明细）'!C:C&lt;=$L$4),ROW(),"-")</f>
        <v>-</v>
      </c>
    </row>
    <row r="22473" customHeight="1" spans="2:2">
      <c r="B22473" s="62" t="str">
        <f>IF(AND('领用录入（明细）'!D:D=$F$4,'领用录入（明细）'!C:C&gt;=$J$4,'领用录入（明细）'!C:C&lt;=$L$4),ROW(),"-")</f>
        <v>-</v>
      </c>
    </row>
    <row r="22474" customHeight="1" spans="2:2">
      <c r="B22474" s="62" t="str">
        <f>IF(AND('领用录入（明细）'!D:D=$F$4,'领用录入（明细）'!C:C&gt;=$J$4,'领用录入（明细）'!C:C&lt;=$L$4),ROW(),"-")</f>
        <v>-</v>
      </c>
    </row>
    <row r="22475" customHeight="1" spans="2:2">
      <c r="B22475" s="62" t="str">
        <f>IF(AND('领用录入（明细）'!D:D=$F$4,'领用录入（明细）'!C:C&gt;=$J$4,'领用录入（明细）'!C:C&lt;=$L$4),ROW(),"-")</f>
        <v>-</v>
      </c>
    </row>
    <row r="22476" customHeight="1" spans="2:2">
      <c r="B22476" s="62" t="str">
        <f>IF(AND('领用录入（明细）'!D:D=$F$4,'领用录入（明细）'!C:C&gt;=$J$4,'领用录入（明细）'!C:C&lt;=$L$4),ROW(),"-")</f>
        <v>-</v>
      </c>
    </row>
    <row r="22477" customHeight="1" spans="2:2">
      <c r="B22477" s="62" t="str">
        <f>IF(AND('领用录入（明细）'!D:D=$F$4,'领用录入（明细）'!C:C&gt;=$J$4,'领用录入（明细）'!C:C&lt;=$L$4),ROW(),"-")</f>
        <v>-</v>
      </c>
    </row>
    <row r="22478" customHeight="1" spans="2:2">
      <c r="B22478" s="62" t="str">
        <f>IF(AND('领用录入（明细）'!D:D=$F$4,'领用录入（明细）'!C:C&gt;=$J$4,'领用录入（明细）'!C:C&lt;=$L$4),ROW(),"-")</f>
        <v>-</v>
      </c>
    </row>
    <row r="22479" customHeight="1" spans="2:2">
      <c r="B22479" s="62" t="str">
        <f>IF(AND('领用录入（明细）'!D:D=$F$4,'领用录入（明细）'!C:C&gt;=$J$4,'领用录入（明细）'!C:C&lt;=$L$4),ROW(),"-")</f>
        <v>-</v>
      </c>
    </row>
    <row r="22480" customHeight="1" spans="2:2">
      <c r="B22480" s="62" t="str">
        <f>IF(AND('领用录入（明细）'!D:D=$F$4,'领用录入（明细）'!C:C&gt;=$J$4,'领用录入（明细）'!C:C&lt;=$L$4),ROW(),"-")</f>
        <v>-</v>
      </c>
    </row>
    <row r="22481" customHeight="1" spans="2:2">
      <c r="B22481" s="62" t="str">
        <f>IF(AND('领用录入（明细）'!D:D=$F$4,'领用录入（明细）'!C:C&gt;=$J$4,'领用录入（明细）'!C:C&lt;=$L$4),ROW(),"-")</f>
        <v>-</v>
      </c>
    </row>
    <row r="22482" customHeight="1" spans="2:2">
      <c r="B22482" s="62" t="str">
        <f>IF(AND('领用录入（明细）'!D:D=$F$4,'领用录入（明细）'!C:C&gt;=$J$4,'领用录入（明细）'!C:C&lt;=$L$4),ROW(),"-")</f>
        <v>-</v>
      </c>
    </row>
    <row r="22483" customHeight="1" spans="2:2">
      <c r="B22483" s="62" t="str">
        <f>IF(AND('领用录入（明细）'!D:D=$F$4,'领用录入（明细）'!C:C&gt;=$J$4,'领用录入（明细）'!C:C&lt;=$L$4),ROW(),"-")</f>
        <v>-</v>
      </c>
    </row>
    <row r="22484" customHeight="1" spans="2:2">
      <c r="B22484" s="62" t="str">
        <f>IF(AND('领用录入（明细）'!D:D=$F$4,'领用录入（明细）'!C:C&gt;=$J$4,'领用录入（明细）'!C:C&lt;=$L$4),ROW(),"-")</f>
        <v>-</v>
      </c>
    </row>
    <row r="22485" customHeight="1" spans="2:2">
      <c r="B22485" s="62" t="str">
        <f>IF(AND('领用录入（明细）'!D:D=$F$4,'领用录入（明细）'!C:C&gt;=$J$4,'领用录入（明细）'!C:C&lt;=$L$4),ROW(),"-")</f>
        <v>-</v>
      </c>
    </row>
    <row r="22486" customHeight="1" spans="2:2">
      <c r="B22486" s="62" t="str">
        <f>IF(AND('领用录入（明细）'!D:D=$F$4,'领用录入（明细）'!C:C&gt;=$J$4,'领用录入（明细）'!C:C&lt;=$L$4),ROW(),"-")</f>
        <v>-</v>
      </c>
    </row>
    <row r="22487" customHeight="1" spans="2:2">
      <c r="B22487" s="62" t="str">
        <f>IF(AND('领用录入（明细）'!D:D=$F$4,'领用录入（明细）'!C:C&gt;=$J$4,'领用录入（明细）'!C:C&lt;=$L$4),ROW(),"-")</f>
        <v>-</v>
      </c>
    </row>
    <row r="22488" customHeight="1" spans="2:2">
      <c r="B22488" s="62" t="str">
        <f>IF(AND('领用录入（明细）'!D:D=$F$4,'领用录入（明细）'!C:C&gt;=$J$4,'领用录入（明细）'!C:C&lt;=$L$4),ROW(),"-")</f>
        <v>-</v>
      </c>
    </row>
    <row r="22489" customHeight="1" spans="2:2">
      <c r="B22489" s="62" t="str">
        <f>IF(AND('领用录入（明细）'!D:D=$F$4,'领用录入（明细）'!C:C&gt;=$J$4,'领用录入（明细）'!C:C&lt;=$L$4),ROW(),"-")</f>
        <v>-</v>
      </c>
    </row>
    <row r="22490" customHeight="1" spans="2:2">
      <c r="B22490" s="62" t="str">
        <f>IF(AND('领用录入（明细）'!D:D=$F$4,'领用录入（明细）'!C:C&gt;=$J$4,'领用录入（明细）'!C:C&lt;=$L$4),ROW(),"-")</f>
        <v>-</v>
      </c>
    </row>
    <row r="22491" customHeight="1" spans="2:2">
      <c r="B22491" s="62" t="str">
        <f>IF(AND('领用录入（明细）'!D:D=$F$4,'领用录入（明细）'!C:C&gt;=$J$4,'领用录入（明细）'!C:C&lt;=$L$4),ROW(),"-")</f>
        <v>-</v>
      </c>
    </row>
    <row r="22492" customHeight="1" spans="2:2">
      <c r="B22492" s="62" t="str">
        <f>IF(AND('领用录入（明细）'!D:D=$F$4,'领用录入（明细）'!C:C&gt;=$J$4,'领用录入（明细）'!C:C&lt;=$L$4),ROW(),"-")</f>
        <v>-</v>
      </c>
    </row>
    <row r="22493" customHeight="1" spans="2:2">
      <c r="B22493" s="62" t="str">
        <f>IF(AND('领用录入（明细）'!D:D=$F$4,'领用录入（明细）'!C:C&gt;=$J$4,'领用录入（明细）'!C:C&lt;=$L$4),ROW(),"-")</f>
        <v>-</v>
      </c>
    </row>
    <row r="22494" customHeight="1" spans="2:2">
      <c r="B22494" s="62" t="str">
        <f>IF(AND('领用录入（明细）'!D:D=$F$4,'领用录入（明细）'!C:C&gt;=$J$4,'领用录入（明细）'!C:C&lt;=$L$4),ROW(),"-")</f>
        <v>-</v>
      </c>
    </row>
    <row r="22495" customHeight="1" spans="2:2">
      <c r="B22495" s="62" t="str">
        <f>IF(AND('领用录入（明细）'!D:D=$F$4,'领用录入（明细）'!C:C&gt;=$J$4,'领用录入（明细）'!C:C&lt;=$L$4),ROW(),"-")</f>
        <v>-</v>
      </c>
    </row>
    <row r="22496" customHeight="1" spans="2:2">
      <c r="B22496" s="62" t="str">
        <f>IF(AND('领用录入（明细）'!D:D=$F$4,'领用录入（明细）'!C:C&gt;=$J$4,'领用录入（明细）'!C:C&lt;=$L$4),ROW(),"-")</f>
        <v>-</v>
      </c>
    </row>
    <row r="22497" customHeight="1" spans="2:2">
      <c r="B22497" s="62" t="str">
        <f>IF(AND('领用录入（明细）'!D:D=$F$4,'领用录入（明细）'!C:C&gt;=$J$4,'领用录入（明细）'!C:C&lt;=$L$4),ROW(),"-")</f>
        <v>-</v>
      </c>
    </row>
    <row r="22498" customHeight="1" spans="2:2">
      <c r="B22498" s="62" t="str">
        <f>IF(AND('领用录入（明细）'!D:D=$F$4,'领用录入（明细）'!C:C&gt;=$J$4,'领用录入（明细）'!C:C&lt;=$L$4),ROW(),"-")</f>
        <v>-</v>
      </c>
    </row>
    <row r="22499" customHeight="1" spans="2:2">
      <c r="B22499" s="62" t="str">
        <f>IF(AND('领用录入（明细）'!D:D=$F$4,'领用录入（明细）'!C:C&gt;=$J$4,'领用录入（明细）'!C:C&lt;=$L$4),ROW(),"-")</f>
        <v>-</v>
      </c>
    </row>
    <row r="22500" customHeight="1" spans="2:2">
      <c r="B22500" s="62" t="str">
        <f>IF(AND('领用录入（明细）'!D:D=$F$4,'领用录入（明细）'!C:C&gt;=$J$4,'领用录入（明细）'!C:C&lt;=$L$4),ROW(),"-")</f>
        <v>-</v>
      </c>
    </row>
    <row r="22501" customHeight="1" spans="2:2">
      <c r="B22501" s="62" t="str">
        <f>IF(AND('领用录入（明细）'!D:D=$F$4,'领用录入（明细）'!C:C&gt;=$J$4,'领用录入（明细）'!C:C&lt;=$L$4),ROW(),"-")</f>
        <v>-</v>
      </c>
    </row>
    <row r="22502" customHeight="1" spans="2:2">
      <c r="B22502" s="62" t="str">
        <f>IF(AND('领用录入（明细）'!D:D=$F$4,'领用录入（明细）'!C:C&gt;=$J$4,'领用录入（明细）'!C:C&lt;=$L$4),ROW(),"-")</f>
        <v>-</v>
      </c>
    </row>
    <row r="22503" customHeight="1" spans="2:2">
      <c r="B22503" s="62" t="str">
        <f>IF(AND('领用录入（明细）'!D:D=$F$4,'领用录入（明细）'!C:C&gt;=$J$4,'领用录入（明细）'!C:C&lt;=$L$4),ROW(),"-")</f>
        <v>-</v>
      </c>
    </row>
    <row r="22504" customHeight="1" spans="2:2">
      <c r="B22504" s="62" t="str">
        <f>IF(AND('领用录入（明细）'!D:D=$F$4,'领用录入（明细）'!C:C&gt;=$J$4,'领用录入（明细）'!C:C&lt;=$L$4),ROW(),"-")</f>
        <v>-</v>
      </c>
    </row>
    <row r="22505" customHeight="1" spans="2:2">
      <c r="B22505" s="62" t="str">
        <f>IF(AND('领用录入（明细）'!D:D=$F$4,'领用录入（明细）'!C:C&gt;=$J$4,'领用录入（明细）'!C:C&lt;=$L$4),ROW(),"-")</f>
        <v>-</v>
      </c>
    </row>
    <row r="22506" customHeight="1" spans="2:2">
      <c r="B22506" s="62" t="str">
        <f>IF(AND('领用录入（明细）'!D:D=$F$4,'领用录入（明细）'!C:C&gt;=$J$4,'领用录入（明细）'!C:C&lt;=$L$4),ROW(),"-")</f>
        <v>-</v>
      </c>
    </row>
    <row r="22507" customHeight="1" spans="2:2">
      <c r="B22507" s="62" t="str">
        <f>IF(AND('领用录入（明细）'!D:D=$F$4,'领用录入（明细）'!C:C&gt;=$J$4,'领用录入（明细）'!C:C&lt;=$L$4),ROW(),"-")</f>
        <v>-</v>
      </c>
    </row>
    <row r="22508" customHeight="1" spans="2:2">
      <c r="B22508" s="62" t="str">
        <f>IF(AND('领用录入（明细）'!D:D=$F$4,'领用录入（明细）'!C:C&gt;=$J$4,'领用录入（明细）'!C:C&lt;=$L$4),ROW(),"-")</f>
        <v>-</v>
      </c>
    </row>
    <row r="22509" customHeight="1" spans="2:2">
      <c r="B22509" s="62" t="str">
        <f>IF(AND('领用录入（明细）'!D:D=$F$4,'领用录入（明细）'!C:C&gt;=$J$4,'领用录入（明细）'!C:C&lt;=$L$4),ROW(),"-")</f>
        <v>-</v>
      </c>
    </row>
    <row r="22510" customHeight="1" spans="2:2">
      <c r="B22510" s="62" t="str">
        <f>IF(AND('领用录入（明细）'!D:D=$F$4,'领用录入（明细）'!C:C&gt;=$J$4,'领用录入（明细）'!C:C&lt;=$L$4),ROW(),"-")</f>
        <v>-</v>
      </c>
    </row>
    <row r="22511" customHeight="1" spans="2:2">
      <c r="B22511" s="62" t="str">
        <f>IF(AND('领用录入（明细）'!D:D=$F$4,'领用录入（明细）'!C:C&gt;=$J$4,'领用录入（明细）'!C:C&lt;=$L$4),ROW(),"-")</f>
        <v>-</v>
      </c>
    </row>
    <row r="22512" customHeight="1" spans="2:2">
      <c r="B22512" s="62" t="str">
        <f>IF(AND('领用录入（明细）'!D:D=$F$4,'领用录入（明细）'!C:C&gt;=$J$4,'领用录入（明细）'!C:C&lt;=$L$4),ROW(),"-")</f>
        <v>-</v>
      </c>
    </row>
    <row r="22513" customHeight="1" spans="2:2">
      <c r="B22513" s="62" t="str">
        <f>IF(AND('领用录入（明细）'!D:D=$F$4,'领用录入（明细）'!C:C&gt;=$J$4,'领用录入（明细）'!C:C&lt;=$L$4),ROW(),"-")</f>
        <v>-</v>
      </c>
    </row>
    <row r="22514" customHeight="1" spans="2:2">
      <c r="B22514" s="62" t="str">
        <f>IF(AND('领用录入（明细）'!D:D=$F$4,'领用录入（明细）'!C:C&gt;=$J$4,'领用录入（明细）'!C:C&lt;=$L$4),ROW(),"-")</f>
        <v>-</v>
      </c>
    </row>
    <row r="22515" customHeight="1" spans="2:2">
      <c r="B22515" s="62" t="str">
        <f>IF(AND('领用录入（明细）'!D:D=$F$4,'领用录入（明细）'!C:C&gt;=$J$4,'领用录入（明细）'!C:C&lt;=$L$4),ROW(),"-")</f>
        <v>-</v>
      </c>
    </row>
    <row r="22516" customHeight="1" spans="2:2">
      <c r="B22516" s="62" t="str">
        <f>IF(AND('领用录入（明细）'!D:D=$F$4,'领用录入（明细）'!C:C&gt;=$J$4,'领用录入（明细）'!C:C&lt;=$L$4),ROW(),"-")</f>
        <v>-</v>
      </c>
    </row>
    <row r="22517" customHeight="1" spans="2:2">
      <c r="B22517" s="62" t="str">
        <f>IF(AND('领用录入（明细）'!D:D=$F$4,'领用录入（明细）'!C:C&gt;=$J$4,'领用录入（明细）'!C:C&lt;=$L$4),ROW(),"-")</f>
        <v>-</v>
      </c>
    </row>
    <row r="22518" customHeight="1" spans="2:2">
      <c r="B22518" s="62" t="str">
        <f>IF(AND('领用录入（明细）'!D:D=$F$4,'领用录入（明细）'!C:C&gt;=$J$4,'领用录入（明细）'!C:C&lt;=$L$4),ROW(),"-")</f>
        <v>-</v>
      </c>
    </row>
    <row r="22519" customHeight="1" spans="2:2">
      <c r="B22519" s="62" t="str">
        <f>IF(AND('领用录入（明细）'!D:D=$F$4,'领用录入（明细）'!C:C&gt;=$J$4,'领用录入（明细）'!C:C&lt;=$L$4),ROW(),"-")</f>
        <v>-</v>
      </c>
    </row>
    <row r="22520" customHeight="1" spans="2:2">
      <c r="B22520" s="62" t="str">
        <f>IF(AND('领用录入（明细）'!D:D=$F$4,'领用录入（明细）'!C:C&gt;=$J$4,'领用录入（明细）'!C:C&lt;=$L$4),ROW(),"-")</f>
        <v>-</v>
      </c>
    </row>
    <row r="22521" customHeight="1" spans="2:2">
      <c r="B22521" s="62" t="str">
        <f>IF(AND('领用录入（明细）'!D:D=$F$4,'领用录入（明细）'!C:C&gt;=$J$4,'领用录入（明细）'!C:C&lt;=$L$4),ROW(),"-")</f>
        <v>-</v>
      </c>
    </row>
    <row r="22522" customHeight="1" spans="2:2">
      <c r="B22522" s="62" t="str">
        <f>IF(AND('领用录入（明细）'!D:D=$F$4,'领用录入（明细）'!C:C&gt;=$J$4,'领用录入（明细）'!C:C&lt;=$L$4),ROW(),"-")</f>
        <v>-</v>
      </c>
    </row>
    <row r="22523" customHeight="1" spans="2:2">
      <c r="B22523" s="62" t="str">
        <f>IF(AND('领用录入（明细）'!D:D=$F$4,'领用录入（明细）'!C:C&gt;=$J$4,'领用录入（明细）'!C:C&lt;=$L$4),ROW(),"-")</f>
        <v>-</v>
      </c>
    </row>
    <row r="22524" customHeight="1" spans="2:2">
      <c r="B22524" s="62" t="str">
        <f>IF(AND('领用录入（明细）'!D:D=$F$4,'领用录入（明细）'!C:C&gt;=$J$4,'领用录入（明细）'!C:C&lt;=$L$4),ROW(),"-")</f>
        <v>-</v>
      </c>
    </row>
    <row r="22525" customHeight="1" spans="2:2">
      <c r="B22525" s="62" t="str">
        <f>IF(AND('领用录入（明细）'!D:D=$F$4,'领用录入（明细）'!C:C&gt;=$J$4,'领用录入（明细）'!C:C&lt;=$L$4),ROW(),"-")</f>
        <v>-</v>
      </c>
    </row>
    <row r="22526" customHeight="1" spans="2:2">
      <c r="B22526" s="62" t="str">
        <f>IF(AND('领用录入（明细）'!D:D=$F$4,'领用录入（明细）'!C:C&gt;=$J$4,'领用录入（明细）'!C:C&lt;=$L$4),ROW(),"-")</f>
        <v>-</v>
      </c>
    </row>
    <row r="22527" customHeight="1" spans="2:2">
      <c r="B22527" s="62" t="str">
        <f>IF(AND('领用录入（明细）'!D:D=$F$4,'领用录入（明细）'!C:C&gt;=$J$4,'领用录入（明细）'!C:C&lt;=$L$4),ROW(),"-")</f>
        <v>-</v>
      </c>
    </row>
    <row r="22528" customHeight="1" spans="2:2">
      <c r="B22528" s="62" t="str">
        <f>IF(AND('领用录入（明细）'!D:D=$F$4,'领用录入（明细）'!C:C&gt;=$J$4,'领用录入（明细）'!C:C&lt;=$L$4),ROW(),"-")</f>
        <v>-</v>
      </c>
    </row>
    <row r="22529" customHeight="1" spans="2:2">
      <c r="B22529" s="62" t="str">
        <f>IF(AND('领用录入（明细）'!D:D=$F$4,'领用录入（明细）'!C:C&gt;=$J$4,'领用录入（明细）'!C:C&lt;=$L$4),ROW(),"-")</f>
        <v>-</v>
      </c>
    </row>
    <row r="22530" customHeight="1" spans="2:2">
      <c r="B22530" s="62" t="str">
        <f>IF(AND('领用录入（明细）'!D:D=$F$4,'领用录入（明细）'!C:C&gt;=$J$4,'领用录入（明细）'!C:C&lt;=$L$4),ROW(),"-")</f>
        <v>-</v>
      </c>
    </row>
    <row r="22531" customHeight="1" spans="2:2">
      <c r="B22531" s="62" t="str">
        <f>IF(AND('领用录入（明细）'!D:D=$F$4,'领用录入（明细）'!C:C&gt;=$J$4,'领用录入（明细）'!C:C&lt;=$L$4),ROW(),"-")</f>
        <v>-</v>
      </c>
    </row>
    <row r="22532" customHeight="1" spans="2:2">
      <c r="B22532" s="62" t="str">
        <f>IF(AND('领用录入（明细）'!D:D=$F$4,'领用录入（明细）'!C:C&gt;=$J$4,'领用录入（明细）'!C:C&lt;=$L$4),ROW(),"-")</f>
        <v>-</v>
      </c>
    </row>
    <row r="22533" customHeight="1" spans="2:2">
      <c r="B22533" s="62" t="str">
        <f>IF(AND('领用录入（明细）'!D:D=$F$4,'领用录入（明细）'!C:C&gt;=$J$4,'领用录入（明细）'!C:C&lt;=$L$4),ROW(),"-")</f>
        <v>-</v>
      </c>
    </row>
    <row r="22534" customHeight="1" spans="2:2">
      <c r="B22534" s="62" t="str">
        <f>IF(AND('领用录入（明细）'!D:D=$F$4,'领用录入（明细）'!C:C&gt;=$J$4,'领用录入（明细）'!C:C&lt;=$L$4),ROW(),"-")</f>
        <v>-</v>
      </c>
    </row>
    <row r="22535" customHeight="1" spans="2:2">
      <c r="B22535" s="62" t="str">
        <f>IF(AND('领用录入（明细）'!D:D=$F$4,'领用录入（明细）'!C:C&gt;=$J$4,'领用录入（明细）'!C:C&lt;=$L$4),ROW(),"-")</f>
        <v>-</v>
      </c>
    </row>
    <row r="22536" customHeight="1" spans="2:2">
      <c r="B22536" s="62" t="str">
        <f>IF(AND('领用录入（明细）'!D:D=$F$4,'领用录入（明细）'!C:C&gt;=$J$4,'领用录入（明细）'!C:C&lt;=$L$4),ROW(),"-")</f>
        <v>-</v>
      </c>
    </row>
    <row r="22537" customHeight="1" spans="2:2">
      <c r="B22537" s="62" t="str">
        <f>IF(AND('领用录入（明细）'!D:D=$F$4,'领用录入（明细）'!C:C&gt;=$J$4,'领用录入（明细）'!C:C&lt;=$L$4),ROW(),"-")</f>
        <v>-</v>
      </c>
    </row>
    <row r="22538" customHeight="1" spans="2:2">
      <c r="B22538" s="62" t="str">
        <f>IF(AND('领用录入（明细）'!D:D=$F$4,'领用录入（明细）'!C:C&gt;=$J$4,'领用录入（明细）'!C:C&lt;=$L$4),ROW(),"-")</f>
        <v>-</v>
      </c>
    </row>
    <row r="22539" customHeight="1" spans="2:2">
      <c r="B22539" s="62" t="str">
        <f>IF(AND('领用录入（明细）'!D:D=$F$4,'领用录入（明细）'!C:C&gt;=$J$4,'领用录入（明细）'!C:C&lt;=$L$4),ROW(),"-")</f>
        <v>-</v>
      </c>
    </row>
    <row r="22540" customHeight="1" spans="2:2">
      <c r="B22540" s="62" t="str">
        <f>IF(AND('领用录入（明细）'!D:D=$F$4,'领用录入（明细）'!C:C&gt;=$J$4,'领用录入（明细）'!C:C&lt;=$L$4),ROW(),"-")</f>
        <v>-</v>
      </c>
    </row>
    <row r="22541" customHeight="1" spans="2:2">
      <c r="B22541" s="62" t="str">
        <f>IF(AND('领用录入（明细）'!D:D=$F$4,'领用录入（明细）'!C:C&gt;=$J$4,'领用录入（明细）'!C:C&lt;=$L$4),ROW(),"-")</f>
        <v>-</v>
      </c>
    </row>
    <row r="22542" customHeight="1" spans="2:2">
      <c r="B22542" s="62" t="str">
        <f>IF(AND('领用录入（明细）'!D:D=$F$4,'领用录入（明细）'!C:C&gt;=$J$4,'领用录入（明细）'!C:C&lt;=$L$4),ROW(),"-")</f>
        <v>-</v>
      </c>
    </row>
    <row r="22543" customHeight="1" spans="2:2">
      <c r="B22543" s="62" t="str">
        <f>IF(AND('领用录入（明细）'!D:D=$F$4,'领用录入（明细）'!C:C&gt;=$J$4,'领用录入（明细）'!C:C&lt;=$L$4),ROW(),"-")</f>
        <v>-</v>
      </c>
    </row>
    <row r="22544" customHeight="1" spans="2:2">
      <c r="B22544" s="62" t="str">
        <f>IF(AND('领用录入（明细）'!D:D=$F$4,'领用录入（明细）'!C:C&gt;=$J$4,'领用录入（明细）'!C:C&lt;=$L$4),ROW(),"-")</f>
        <v>-</v>
      </c>
    </row>
    <row r="22545" customHeight="1" spans="2:2">
      <c r="B22545" s="62" t="str">
        <f>IF(AND('领用录入（明细）'!D:D=$F$4,'领用录入（明细）'!C:C&gt;=$J$4,'领用录入（明细）'!C:C&lt;=$L$4),ROW(),"-")</f>
        <v>-</v>
      </c>
    </row>
    <row r="22546" customHeight="1" spans="2:2">
      <c r="B22546" s="62" t="str">
        <f>IF(AND('领用录入（明细）'!D:D=$F$4,'领用录入（明细）'!C:C&gt;=$J$4,'领用录入（明细）'!C:C&lt;=$L$4),ROW(),"-")</f>
        <v>-</v>
      </c>
    </row>
    <row r="22547" customHeight="1" spans="2:2">
      <c r="B22547" s="62" t="str">
        <f>IF(AND('领用录入（明细）'!D:D=$F$4,'领用录入（明细）'!C:C&gt;=$J$4,'领用录入（明细）'!C:C&lt;=$L$4),ROW(),"-")</f>
        <v>-</v>
      </c>
    </row>
    <row r="22548" customHeight="1" spans="2:2">
      <c r="B22548" s="62" t="str">
        <f>IF(AND('领用录入（明细）'!D:D=$F$4,'领用录入（明细）'!C:C&gt;=$J$4,'领用录入（明细）'!C:C&lt;=$L$4),ROW(),"-")</f>
        <v>-</v>
      </c>
    </row>
    <row r="22549" customHeight="1" spans="2:2">
      <c r="B22549" s="62" t="str">
        <f>IF(AND('领用录入（明细）'!D:D=$F$4,'领用录入（明细）'!C:C&gt;=$J$4,'领用录入（明细）'!C:C&lt;=$L$4),ROW(),"-")</f>
        <v>-</v>
      </c>
    </row>
    <row r="22550" customHeight="1" spans="2:2">
      <c r="B22550" s="62" t="str">
        <f>IF(AND('领用录入（明细）'!D:D=$F$4,'领用录入（明细）'!C:C&gt;=$J$4,'领用录入（明细）'!C:C&lt;=$L$4),ROW(),"-")</f>
        <v>-</v>
      </c>
    </row>
    <row r="22551" customHeight="1" spans="2:2">
      <c r="B22551" s="62" t="str">
        <f>IF(AND('领用录入（明细）'!D:D=$F$4,'领用录入（明细）'!C:C&gt;=$J$4,'领用录入（明细）'!C:C&lt;=$L$4),ROW(),"-")</f>
        <v>-</v>
      </c>
    </row>
    <row r="22552" customHeight="1" spans="2:2">
      <c r="B22552" s="62" t="str">
        <f>IF(AND('领用录入（明细）'!D:D=$F$4,'领用录入（明细）'!C:C&gt;=$J$4,'领用录入（明细）'!C:C&lt;=$L$4),ROW(),"-")</f>
        <v>-</v>
      </c>
    </row>
    <row r="22553" customHeight="1" spans="2:2">
      <c r="B22553" s="62" t="str">
        <f>IF(AND('领用录入（明细）'!D:D=$F$4,'领用录入（明细）'!C:C&gt;=$J$4,'领用录入（明细）'!C:C&lt;=$L$4),ROW(),"-")</f>
        <v>-</v>
      </c>
    </row>
    <row r="22554" customHeight="1" spans="2:2">
      <c r="B22554" s="62" t="str">
        <f>IF(AND('领用录入（明细）'!D:D=$F$4,'领用录入（明细）'!C:C&gt;=$J$4,'领用录入（明细）'!C:C&lt;=$L$4),ROW(),"-")</f>
        <v>-</v>
      </c>
    </row>
    <row r="22555" customHeight="1" spans="2:2">
      <c r="B22555" s="62" t="str">
        <f>IF(AND('领用录入（明细）'!D:D=$F$4,'领用录入（明细）'!C:C&gt;=$J$4,'领用录入（明细）'!C:C&lt;=$L$4),ROW(),"-")</f>
        <v>-</v>
      </c>
    </row>
    <row r="22556" customHeight="1" spans="2:2">
      <c r="B22556" s="62" t="str">
        <f>IF(AND('领用录入（明细）'!D:D=$F$4,'领用录入（明细）'!C:C&gt;=$J$4,'领用录入（明细）'!C:C&lt;=$L$4),ROW(),"-")</f>
        <v>-</v>
      </c>
    </row>
    <row r="22557" customHeight="1" spans="2:2">
      <c r="B22557" s="62" t="str">
        <f>IF(AND('领用录入（明细）'!D:D=$F$4,'领用录入（明细）'!C:C&gt;=$J$4,'领用录入（明细）'!C:C&lt;=$L$4),ROW(),"-")</f>
        <v>-</v>
      </c>
    </row>
    <row r="22558" customHeight="1" spans="2:2">
      <c r="B22558" s="62" t="str">
        <f>IF(AND('领用录入（明细）'!D:D=$F$4,'领用录入（明细）'!C:C&gt;=$J$4,'领用录入（明细）'!C:C&lt;=$L$4),ROW(),"-")</f>
        <v>-</v>
      </c>
    </row>
    <row r="22559" customHeight="1" spans="2:2">
      <c r="B22559" s="62" t="str">
        <f>IF(AND('领用录入（明细）'!D:D=$F$4,'领用录入（明细）'!C:C&gt;=$J$4,'领用录入（明细）'!C:C&lt;=$L$4),ROW(),"-")</f>
        <v>-</v>
      </c>
    </row>
    <row r="22560" customHeight="1" spans="2:2">
      <c r="B22560" s="62" t="str">
        <f>IF(AND('领用录入（明细）'!D:D=$F$4,'领用录入（明细）'!C:C&gt;=$J$4,'领用录入（明细）'!C:C&lt;=$L$4),ROW(),"-")</f>
        <v>-</v>
      </c>
    </row>
    <row r="22561" customHeight="1" spans="2:2">
      <c r="B22561" s="62" t="str">
        <f>IF(AND('领用录入（明细）'!D:D=$F$4,'领用录入（明细）'!C:C&gt;=$J$4,'领用录入（明细）'!C:C&lt;=$L$4),ROW(),"-")</f>
        <v>-</v>
      </c>
    </row>
    <row r="22562" customHeight="1" spans="2:2">
      <c r="B22562" s="62" t="str">
        <f>IF(AND('领用录入（明细）'!D:D=$F$4,'领用录入（明细）'!C:C&gt;=$J$4,'领用录入（明细）'!C:C&lt;=$L$4),ROW(),"-")</f>
        <v>-</v>
      </c>
    </row>
    <row r="22563" customHeight="1" spans="2:2">
      <c r="B22563" s="62" t="str">
        <f>IF(AND('领用录入（明细）'!D:D=$F$4,'领用录入（明细）'!C:C&gt;=$J$4,'领用录入（明细）'!C:C&lt;=$L$4),ROW(),"-")</f>
        <v>-</v>
      </c>
    </row>
    <row r="22564" customHeight="1" spans="2:2">
      <c r="B22564" s="62" t="str">
        <f>IF(AND('领用录入（明细）'!D:D=$F$4,'领用录入（明细）'!C:C&gt;=$J$4,'领用录入（明细）'!C:C&lt;=$L$4),ROW(),"-")</f>
        <v>-</v>
      </c>
    </row>
    <row r="22565" customHeight="1" spans="2:2">
      <c r="B22565" s="62" t="str">
        <f>IF(AND('领用录入（明细）'!D:D=$F$4,'领用录入（明细）'!C:C&gt;=$J$4,'领用录入（明细）'!C:C&lt;=$L$4),ROW(),"-")</f>
        <v>-</v>
      </c>
    </row>
    <row r="22566" customHeight="1" spans="2:2">
      <c r="B22566" s="62" t="str">
        <f>IF(AND('领用录入（明细）'!D:D=$F$4,'领用录入（明细）'!C:C&gt;=$J$4,'领用录入（明细）'!C:C&lt;=$L$4),ROW(),"-")</f>
        <v>-</v>
      </c>
    </row>
    <row r="22567" customHeight="1" spans="2:2">
      <c r="B22567" s="62" t="str">
        <f>IF(AND('领用录入（明细）'!D:D=$F$4,'领用录入（明细）'!C:C&gt;=$J$4,'领用录入（明细）'!C:C&lt;=$L$4),ROW(),"-")</f>
        <v>-</v>
      </c>
    </row>
    <row r="22568" customHeight="1" spans="2:2">
      <c r="B22568" s="62" t="str">
        <f>IF(AND('领用录入（明细）'!D:D=$F$4,'领用录入（明细）'!C:C&gt;=$J$4,'领用录入（明细）'!C:C&lt;=$L$4),ROW(),"-")</f>
        <v>-</v>
      </c>
    </row>
    <row r="22569" customHeight="1" spans="2:2">
      <c r="B22569" s="62" t="str">
        <f>IF(AND('领用录入（明细）'!D:D=$F$4,'领用录入（明细）'!C:C&gt;=$J$4,'领用录入（明细）'!C:C&lt;=$L$4),ROW(),"-")</f>
        <v>-</v>
      </c>
    </row>
    <row r="22570" customHeight="1" spans="2:2">
      <c r="B22570" s="62" t="str">
        <f>IF(AND('领用录入（明细）'!D:D=$F$4,'领用录入（明细）'!C:C&gt;=$J$4,'领用录入（明细）'!C:C&lt;=$L$4),ROW(),"-")</f>
        <v>-</v>
      </c>
    </row>
    <row r="22571" customHeight="1" spans="2:2">
      <c r="B22571" s="62" t="str">
        <f>IF(AND('领用录入（明细）'!D:D=$F$4,'领用录入（明细）'!C:C&gt;=$J$4,'领用录入（明细）'!C:C&lt;=$L$4),ROW(),"-")</f>
        <v>-</v>
      </c>
    </row>
    <row r="22572" customHeight="1" spans="2:2">
      <c r="B22572" s="62" t="str">
        <f>IF(AND('领用录入（明细）'!D:D=$F$4,'领用录入（明细）'!C:C&gt;=$J$4,'领用录入（明细）'!C:C&lt;=$L$4),ROW(),"-")</f>
        <v>-</v>
      </c>
    </row>
    <row r="22573" customHeight="1" spans="2:2">
      <c r="B22573" s="62" t="str">
        <f>IF(AND('领用录入（明细）'!D:D=$F$4,'领用录入（明细）'!C:C&gt;=$J$4,'领用录入（明细）'!C:C&lt;=$L$4),ROW(),"-")</f>
        <v>-</v>
      </c>
    </row>
    <row r="22574" customHeight="1" spans="2:2">
      <c r="B22574" s="62" t="str">
        <f>IF(AND('领用录入（明细）'!D:D=$F$4,'领用录入（明细）'!C:C&gt;=$J$4,'领用录入（明细）'!C:C&lt;=$L$4),ROW(),"-")</f>
        <v>-</v>
      </c>
    </row>
    <row r="22575" customHeight="1" spans="2:2">
      <c r="B22575" s="62" t="str">
        <f>IF(AND('领用录入（明细）'!D:D=$F$4,'领用录入（明细）'!C:C&gt;=$J$4,'领用录入（明细）'!C:C&lt;=$L$4),ROW(),"-")</f>
        <v>-</v>
      </c>
    </row>
    <row r="22576" customHeight="1" spans="2:2">
      <c r="B22576" s="62" t="str">
        <f>IF(AND('领用录入（明细）'!D:D=$F$4,'领用录入（明细）'!C:C&gt;=$J$4,'领用录入（明细）'!C:C&lt;=$L$4),ROW(),"-")</f>
        <v>-</v>
      </c>
    </row>
    <row r="22577" customHeight="1" spans="2:2">
      <c r="B22577" s="62" t="str">
        <f>IF(AND('领用录入（明细）'!D:D=$F$4,'领用录入（明细）'!C:C&gt;=$J$4,'领用录入（明细）'!C:C&lt;=$L$4),ROW(),"-")</f>
        <v>-</v>
      </c>
    </row>
    <row r="22578" customHeight="1" spans="2:2">
      <c r="B22578" s="62" t="str">
        <f>IF(AND('领用录入（明细）'!D:D=$F$4,'领用录入（明细）'!C:C&gt;=$J$4,'领用录入（明细）'!C:C&lt;=$L$4),ROW(),"-")</f>
        <v>-</v>
      </c>
    </row>
    <row r="22579" customHeight="1" spans="2:2">
      <c r="B22579" s="62" t="str">
        <f>IF(AND('领用录入（明细）'!D:D=$F$4,'领用录入（明细）'!C:C&gt;=$J$4,'领用录入（明细）'!C:C&lt;=$L$4),ROW(),"-")</f>
        <v>-</v>
      </c>
    </row>
    <row r="22580" customHeight="1" spans="2:2">
      <c r="B22580" s="62" t="str">
        <f>IF(AND('领用录入（明细）'!D:D=$F$4,'领用录入（明细）'!C:C&gt;=$J$4,'领用录入（明细）'!C:C&lt;=$L$4),ROW(),"-")</f>
        <v>-</v>
      </c>
    </row>
    <row r="22581" customHeight="1" spans="2:2">
      <c r="B22581" s="62" t="str">
        <f>IF(AND('领用录入（明细）'!D:D=$F$4,'领用录入（明细）'!C:C&gt;=$J$4,'领用录入（明细）'!C:C&lt;=$L$4),ROW(),"-")</f>
        <v>-</v>
      </c>
    </row>
    <row r="22582" customHeight="1" spans="2:2">
      <c r="B22582" s="62" t="str">
        <f>IF(AND('领用录入（明细）'!D:D=$F$4,'领用录入（明细）'!C:C&gt;=$J$4,'领用录入（明细）'!C:C&lt;=$L$4),ROW(),"-")</f>
        <v>-</v>
      </c>
    </row>
    <row r="22583" customHeight="1" spans="2:2">
      <c r="B22583" s="62" t="str">
        <f>IF(AND('领用录入（明细）'!D:D=$F$4,'领用录入（明细）'!C:C&gt;=$J$4,'领用录入（明细）'!C:C&lt;=$L$4),ROW(),"-")</f>
        <v>-</v>
      </c>
    </row>
    <row r="22584" customHeight="1" spans="2:2">
      <c r="B22584" s="62" t="str">
        <f>IF(AND('领用录入（明细）'!D:D=$F$4,'领用录入（明细）'!C:C&gt;=$J$4,'领用录入（明细）'!C:C&lt;=$L$4),ROW(),"-")</f>
        <v>-</v>
      </c>
    </row>
    <row r="22585" customHeight="1" spans="2:2">
      <c r="B22585" s="62" t="str">
        <f>IF(AND('领用录入（明细）'!D:D=$F$4,'领用录入（明细）'!C:C&gt;=$J$4,'领用录入（明细）'!C:C&lt;=$L$4),ROW(),"-")</f>
        <v>-</v>
      </c>
    </row>
    <row r="22586" customHeight="1" spans="2:2">
      <c r="B22586" s="62" t="str">
        <f>IF(AND('领用录入（明细）'!D:D=$F$4,'领用录入（明细）'!C:C&gt;=$J$4,'领用录入（明细）'!C:C&lt;=$L$4),ROW(),"-")</f>
        <v>-</v>
      </c>
    </row>
    <row r="22587" customHeight="1" spans="2:2">
      <c r="B22587" s="62" t="str">
        <f>IF(AND('领用录入（明细）'!D:D=$F$4,'领用录入（明细）'!C:C&gt;=$J$4,'领用录入（明细）'!C:C&lt;=$L$4),ROW(),"-")</f>
        <v>-</v>
      </c>
    </row>
    <row r="22588" customHeight="1" spans="2:2">
      <c r="B22588" s="62" t="str">
        <f>IF(AND('领用录入（明细）'!D:D=$F$4,'领用录入（明细）'!C:C&gt;=$J$4,'领用录入（明细）'!C:C&lt;=$L$4),ROW(),"-")</f>
        <v>-</v>
      </c>
    </row>
    <row r="22589" customHeight="1" spans="2:2">
      <c r="B22589" s="62" t="str">
        <f>IF(AND('领用录入（明细）'!D:D=$F$4,'领用录入（明细）'!C:C&gt;=$J$4,'领用录入（明细）'!C:C&lt;=$L$4),ROW(),"-")</f>
        <v>-</v>
      </c>
    </row>
    <row r="22590" customHeight="1" spans="2:2">
      <c r="B22590" s="62" t="str">
        <f>IF(AND('领用录入（明细）'!D:D=$F$4,'领用录入（明细）'!C:C&gt;=$J$4,'领用录入（明细）'!C:C&lt;=$L$4),ROW(),"-")</f>
        <v>-</v>
      </c>
    </row>
    <row r="22591" customHeight="1" spans="2:2">
      <c r="B22591" s="62" t="str">
        <f>IF(AND('领用录入（明细）'!D:D=$F$4,'领用录入（明细）'!C:C&gt;=$J$4,'领用录入（明细）'!C:C&lt;=$L$4),ROW(),"-")</f>
        <v>-</v>
      </c>
    </row>
    <row r="22592" customHeight="1" spans="2:2">
      <c r="B22592" s="62" t="str">
        <f>IF(AND('领用录入（明细）'!D:D=$F$4,'领用录入（明细）'!C:C&gt;=$J$4,'领用录入（明细）'!C:C&lt;=$L$4),ROW(),"-")</f>
        <v>-</v>
      </c>
    </row>
    <row r="22593" customHeight="1" spans="2:2">
      <c r="B22593" s="62" t="str">
        <f>IF(AND('领用录入（明细）'!D:D=$F$4,'领用录入（明细）'!C:C&gt;=$J$4,'领用录入（明细）'!C:C&lt;=$L$4),ROW(),"-")</f>
        <v>-</v>
      </c>
    </row>
    <row r="22594" customHeight="1" spans="2:2">
      <c r="B22594" s="62" t="str">
        <f>IF(AND('领用录入（明细）'!D:D=$F$4,'领用录入（明细）'!C:C&gt;=$J$4,'领用录入（明细）'!C:C&lt;=$L$4),ROW(),"-")</f>
        <v>-</v>
      </c>
    </row>
    <row r="22595" customHeight="1" spans="2:2">
      <c r="B22595" s="62" t="str">
        <f>IF(AND('领用录入（明细）'!D:D=$F$4,'领用录入（明细）'!C:C&gt;=$J$4,'领用录入（明细）'!C:C&lt;=$L$4),ROW(),"-")</f>
        <v>-</v>
      </c>
    </row>
    <row r="22596" customHeight="1" spans="2:2">
      <c r="B22596" s="62" t="str">
        <f>IF(AND('领用录入（明细）'!D:D=$F$4,'领用录入（明细）'!C:C&gt;=$J$4,'领用录入（明细）'!C:C&lt;=$L$4),ROW(),"-")</f>
        <v>-</v>
      </c>
    </row>
    <row r="22597" customHeight="1" spans="2:2">
      <c r="B22597" s="62" t="str">
        <f>IF(AND('领用录入（明细）'!D:D=$F$4,'领用录入（明细）'!C:C&gt;=$J$4,'领用录入（明细）'!C:C&lt;=$L$4),ROW(),"-")</f>
        <v>-</v>
      </c>
    </row>
    <row r="22598" customHeight="1" spans="2:2">
      <c r="B22598" s="62" t="str">
        <f>IF(AND('领用录入（明细）'!D:D=$F$4,'领用录入（明细）'!C:C&gt;=$J$4,'领用录入（明细）'!C:C&lt;=$L$4),ROW(),"-")</f>
        <v>-</v>
      </c>
    </row>
    <row r="22599" customHeight="1" spans="2:2">
      <c r="B22599" s="62" t="str">
        <f>IF(AND('领用录入（明细）'!D:D=$F$4,'领用录入（明细）'!C:C&gt;=$J$4,'领用录入（明细）'!C:C&lt;=$L$4),ROW(),"-")</f>
        <v>-</v>
      </c>
    </row>
    <row r="22600" customHeight="1" spans="2:2">
      <c r="B22600" s="62" t="str">
        <f>IF(AND('领用录入（明细）'!D:D=$F$4,'领用录入（明细）'!C:C&gt;=$J$4,'领用录入（明细）'!C:C&lt;=$L$4),ROW(),"-")</f>
        <v>-</v>
      </c>
    </row>
    <row r="22601" customHeight="1" spans="2:2">
      <c r="B22601" s="62" t="str">
        <f>IF(AND('领用录入（明细）'!D:D=$F$4,'领用录入（明细）'!C:C&gt;=$J$4,'领用录入（明细）'!C:C&lt;=$L$4),ROW(),"-")</f>
        <v>-</v>
      </c>
    </row>
    <row r="22602" customHeight="1" spans="2:2">
      <c r="B22602" s="62" t="str">
        <f>IF(AND('领用录入（明细）'!D:D=$F$4,'领用录入（明细）'!C:C&gt;=$J$4,'领用录入（明细）'!C:C&lt;=$L$4),ROW(),"-")</f>
        <v>-</v>
      </c>
    </row>
    <row r="22603" customHeight="1" spans="2:2">
      <c r="B22603" s="62" t="str">
        <f>IF(AND('领用录入（明细）'!D:D=$F$4,'领用录入（明细）'!C:C&gt;=$J$4,'领用录入（明细）'!C:C&lt;=$L$4),ROW(),"-")</f>
        <v>-</v>
      </c>
    </row>
    <row r="22604" customHeight="1" spans="2:2">
      <c r="B22604" s="62" t="str">
        <f>IF(AND('领用录入（明细）'!D:D=$F$4,'领用录入（明细）'!C:C&gt;=$J$4,'领用录入（明细）'!C:C&lt;=$L$4),ROW(),"-")</f>
        <v>-</v>
      </c>
    </row>
    <row r="22605" customHeight="1" spans="2:2">
      <c r="B22605" s="62" t="str">
        <f>IF(AND('领用录入（明细）'!D:D=$F$4,'领用录入（明细）'!C:C&gt;=$J$4,'领用录入（明细）'!C:C&lt;=$L$4),ROW(),"-")</f>
        <v>-</v>
      </c>
    </row>
    <row r="22606" customHeight="1" spans="2:2">
      <c r="B22606" s="62" t="str">
        <f>IF(AND('领用录入（明细）'!D:D=$F$4,'领用录入（明细）'!C:C&gt;=$J$4,'领用录入（明细）'!C:C&lt;=$L$4),ROW(),"-")</f>
        <v>-</v>
      </c>
    </row>
    <row r="22607" customHeight="1" spans="2:2">
      <c r="B22607" s="62" t="str">
        <f>IF(AND('领用录入（明细）'!D:D=$F$4,'领用录入（明细）'!C:C&gt;=$J$4,'领用录入（明细）'!C:C&lt;=$L$4),ROW(),"-")</f>
        <v>-</v>
      </c>
    </row>
    <row r="22608" customHeight="1" spans="2:2">
      <c r="B22608" s="62" t="str">
        <f>IF(AND('领用录入（明细）'!D:D=$F$4,'领用录入（明细）'!C:C&gt;=$J$4,'领用录入（明细）'!C:C&lt;=$L$4),ROW(),"-")</f>
        <v>-</v>
      </c>
    </row>
    <row r="22609" customHeight="1" spans="2:2">
      <c r="B22609" s="62" t="str">
        <f>IF(AND('领用录入（明细）'!D:D=$F$4,'领用录入（明细）'!C:C&gt;=$J$4,'领用录入（明细）'!C:C&lt;=$L$4),ROW(),"-")</f>
        <v>-</v>
      </c>
    </row>
    <row r="22610" customHeight="1" spans="2:2">
      <c r="B22610" s="62" t="str">
        <f>IF(AND('领用录入（明细）'!D:D=$F$4,'领用录入（明细）'!C:C&gt;=$J$4,'领用录入（明细）'!C:C&lt;=$L$4),ROW(),"-")</f>
        <v>-</v>
      </c>
    </row>
    <row r="22611" customHeight="1" spans="2:2">
      <c r="B22611" s="62" t="str">
        <f>IF(AND('领用录入（明细）'!D:D=$F$4,'领用录入（明细）'!C:C&gt;=$J$4,'领用录入（明细）'!C:C&lt;=$L$4),ROW(),"-")</f>
        <v>-</v>
      </c>
    </row>
    <row r="22612" customHeight="1" spans="2:2">
      <c r="B22612" s="62" t="str">
        <f>IF(AND('领用录入（明细）'!D:D=$F$4,'领用录入（明细）'!C:C&gt;=$J$4,'领用录入（明细）'!C:C&lt;=$L$4),ROW(),"-")</f>
        <v>-</v>
      </c>
    </row>
    <row r="22613" customHeight="1" spans="2:2">
      <c r="B22613" s="62" t="str">
        <f>IF(AND('领用录入（明细）'!D:D=$F$4,'领用录入（明细）'!C:C&gt;=$J$4,'领用录入（明细）'!C:C&lt;=$L$4),ROW(),"-")</f>
        <v>-</v>
      </c>
    </row>
    <row r="22614" customHeight="1" spans="2:2">
      <c r="B22614" s="62" t="str">
        <f>IF(AND('领用录入（明细）'!D:D=$F$4,'领用录入（明细）'!C:C&gt;=$J$4,'领用录入（明细）'!C:C&lt;=$L$4),ROW(),"-")</f>
        <v>-</v>
      </c>
    </row>
    <row r="22615" customHeight="1" spans="2:2">
      <c r="B22615" s="62" t="str">
        <f>IF(AND('领用录入（明细）'!D:D=$F$4,'领用录入（明细）'!C:C&gt;=$J$4,'领用录入（明细）'!C:C&lt;=$L$4),ROW(),"-")</f>
        <v>-</v>
      </c>
    </row>
    <row r="22616" customHeight="1" spans="2:2">
      <c r="B22616" s="62" t="str">
        <f>IF(AND('领用录入（明细）'!D:D=$F$4,'领用录入（明细）'!C:C&gt;=$J$4,'领用录入（明细）'!C:C&lt;=$L$4),ROW(),"-")</f>
        <v>-</v>
      </c>
    </row>
    <row r="22617" customHeight="1" spans="2:2">
      <c r="B22617" s="62" t="str">
        <f>IF(AND('领用录入（明细）'!D:D=$F$4,'领用录入（明细）'!C:C&gt;=$J$4,'领用录入（明细）'!C:C&lt;=$L$4),ROW(),"-")</f>
        <v>-</v>
      </c>
    </row>
    <row r="22618" customHeight="1" spans="2:2">
      <c r="B22618" s="62" t="str">
        <f>IF(AND('领用录入（明细）'!D:D=$F$4,'领用录入（明细）'!C:C&gt;=$J$4,'领用录入（明细）'!C:C&lt;=$L$4),ROW(),"-")</f>
        <v>-</v>
      </c>
    </row>
    <row r="22619" customHeight="1" spans="2:2">
      <c r="B22619" s="62" t="str">
        <f>IF(AND('领用录入（明细）'!D:D=$F$4,'领用录入（明细）'!C:C&gt;=$J$4,'领用录入（明细）'!C:C&lt;=$L$4),ROW(),"-")</f>
        <v>-</v>
      </c>
    </row>
    <row r="22620" customHeight="1" spans="2:2">
      <c r="B22620" s="62" t="str">
        <f>IF(AND('领用录入（明细）'!D:D=$F$4,'领用录入（明细）'!C:C&gt;=$J$4,'领用录入（明细）'!C:C&lt;=$L$4),ROW(),"-")</f>
        <v>-</v>
      </c>
    </row>
    <row r="22621" customHeight="1" spans="2:2">
      <c r="B22621" s="62" t="str">
        <f>IF(AND('领用录入（明细）'!D:D=$F$4,'领用录入（明细）'!C:C&gt;=$J$4,'领用录入（明细）'!C:C&lt;=$L$4),ROW(),"-")</f>
        <v>-</v>
      </c>
    </row>
    <row r="22622" customHeight="1" spans="2:2">
      <c r="B22622" s="62" t="str">
        <f>IF(AND('领用录入（明细）'!D:D=$F$4,'领用录入（明细）'!C:C&gt;=$J$4,'领用录入（明细）'!C:C&lt;=$L$4),ROW(),"-")</f>
        <v>-</v>
      </c>
    </row>
    <row r="22623" customHeight="1" spans="2:2">
      <c r="B22623" s="62" t="str">
        <f>IF(AND('领用录入（明细）'!D:D=$F$4,'领用录入（明细）'!C:C&gt;=$J$4,'领用录入（明细）'!C:C&lt;=$L$4),ROW(),"-")</f>
        <v>-</v>
      </c>
    </row>
    <row r="22624" customHeight="1" spans="2:2">
      <c r="B22624" s="62" t="str">
        <f>IF(AND('领用录入（明细）'!D:D=$F$4,'领用录入（明细）'!C:C&gt;=$J$4,'领用录入（明细）'!C:C&lt;=$L$4),ROW(),"-")</f>
        <v>-</v>
      </c>
    </row>
    <row r="22625" customHeight="1" spans="2:2">
      <c r="B22625" s="62" t="str">
        <f>IF(AND('领用录入（明细）'!D:D=$F$4,'领用录入（明细）'!C:C&gt;=$J$4,'领用录入（明细）'!C:C&lt;=$L$4),ROW(),"-")</f>
        <v>-</v>
      </c>
    </row>
    <row r="22626" customHeight="1" spans="2:2">
      <c r="B22626" s="62" t="str">
        <f>IF(AND('领用录入（明细）'!D:D=$F$4,'领用录入（明细）'!C:C&gt;=$J$4,'领用录入（明细）'!C:C&lt;=$L$4),ROW(),"-")</f>
        <v>-</v>
      </c>
    </row>
    <row r="22627" customHeight="1" spans="2:2">
      <c r="B22627" s="62" t="str">
        <f>IF(AND('领用录入（明细）'!D:D=$F$4,'领用录入（明细）'!C:C&gt;=$J$4,'领用录入（明细）'!C:C&lt;=$L$4),ROW(),"-")</f>
        <v>-</v>
      </c>
    </row>
    <row r="22628" customHeight="1" spans="2:2">
      <c r="B22628" s="62" t="str">
        <f>IF(AND('领用录入（明细）'!D:D=$F$4,'领用录入（明细）'!C:C&gt;=$J$4,'领用录入（明细）'!C:C&lt;=$L$4),ROW(),"-")</f>
        <v>-</v>
      </c>
    </row>
    <row r="22629" customHeight="1" spans="2:2">
      <c r="B22629" s="62" t="str">
        <f>IF(AND('领用录入（明细）'!D:D=$F$4,'领用录入（明细）'!C:C&gt;=$J$4,'领用录入（明细）'!C:C&lt;=$L$4),ROW(),"-")</f>
        <v>-</v>
      </c>
    </row>
    <row r="22630" customHeight="1" spans="2:2">
      <c r="B22630" s="62" t="str">
        <f>IF(AND('领用录入（明细）'!D:D=$F$4,'领用录入（明细）'!C:C&gt;=$J$4,'领用录入（明细）'!C:C&lt;=$L$4),ROW(),"-")</f>
        <v>-</v>
      </c>
    </row>
    <row r="22631" customHeight="1" spans="2:2">
      <c r="B22631" s="62" t="str">
        <f>IF(AND('领用录入（明细）'!D:D=$F$4,'领用录入（明细）'!C:C&gt;=$J$4,'领用录入（明细）'!C:C&lt;=$L$4),ROW(),"-")</f>
        <v>-</v>
      </c>
    </row>
    <row r="22632" customHeight="1" spans="2:2">
      <c r="B22632" s="62" t="str">
        <f>IF(AND('领用录入（明细）'!D:D=$F$4,'领用录入（明细）'!C:C&gt;=$J$4,'领用录入（明细）'!C:C&lt;=$L$4),ROW(),"-")</f>
        <v>-</v>
      </c>
    </row>
    <row r="22633" customHeight="1" spans="2:2">
      <c r="B22633" s="62" t="str">
        <f>IF(AND('领用录入（明细）'!D:D=$F$4,'领用录入（明细）'!C:C&gt;=$J$4,'领用录入（明细）'!C:C&lt;=$L$4),ROW(),"-")</f>
        <v>-</v>
      </c>
    </row>
    <row r="22634" customHeight="1" spans="2:2">
      <c r="B22634" s="62" t="str">
        <f>IF(AND('领用录入（明细）'!D:D=$F$4,'领用录入（明细）'!C:C&gt;=$J$4,'领用录入（明细）'!C:C&lt;=$L$4),ROW(),"-")</f>
        <v>-</v>
      </c>
    </row>
    <row r="22635" customHeight="1" spans="2:2">
      <c r="B22635" s="62" t="str">
        <f>IF(AND('领用录入（明细）'!D:D=$F$4,'领用录入（明细）'!C:C&gt;=$J$4,'领用录入（明细）'!C:C&lt;=$L$4),ROW(),"-")</f>
        <v>-</v>
      </c>
    </row>
    <row r="22636" customHeight="1" spans="2:2">
      <c r="B22636" s="62" t="str">
        <f>IF(AND('领用录入（明细）'!D:D=$F$4,'领用录入（明细）'!C:C&gt;=$J$4,'领用录入（明细）'!C:C&lt;=$L$4),ROW(),"-")</f>
        <v>-</v>
      </c>
    </row>
    <row r="22637" customHeight="1" spans="2:2">
      <c r="B22637" s="62" t="str">
        <f>IF(AND('领用录入（明细）'!D:D=$F$4,'领用录入（明细）'!C:C&gt;=$J$4,'领用录入（明细）'!C:C&lt;=$L$4),ROW(),"-")</f>
        <v>-</v>
      </c>
    </row>
    <row r="22638" customHeight="1" spans="2:2">
      <c r="B22638" s="62" t="str">
        <f>IF(AND('领用录入（明细）'!D:D=$F$4,'领用录入（明细）'!C:C&gt;=$J$4,'领用录入（明细）'!C:C&lt;=$L$4),ROW(),"-")</f>
        <v>-</v>
      </c>
    </row>
    <row r="22639" customHeight="1" spans="2:2">
      <c r="B22639" s="62" t="str">
        <f>IF(AND('领用录入（明细）'!D:D=$F$4,'领用录入（明细）'!C:C&gt;=$J$4,'领用录入（明细）'!C:C&lt;=$L$4),ROW(),"-")</f>
        <v>-</v>
      </c>
    </row>
    <row r="22640" customHeight="1" spans="2:2">
      <c r="B22640" s="62" t="str">
        <f>IF(AND('领用录入（明细）'!D:D=$F$4,'领用录入（明细）'!C:C&gt;=$J$4,'领用录入（明细）'!C:C&lt;=$L$4),ROW(),"-")</f>
        <v>-</v>
      </c>
    </row>
    <row r="22641" customHeight="1" spans="2:2">
      <c r="B22641" s="62" t="str">
        <f>IF(AND('领用录入（明细）'!D:D=$F$4,'领用录入（明细）'!C:C&gt;=$J$4,'领用录入（明细）'!C:C&lt;=$L$4),ROW(),"-")</f>
        <v>-</v>
      </c>
    </row>
    <row r="22642" customHeight="1" spans="2:2">
      <c r="B22642" s="62" t="str">
        <f>IF(AND('领用录入（明细）'!D:D=$F$4,'领用录入（明细）'!C:C&gt;=$J$4,'领用录入（明细）'!C:C&lt;=$L$4),ROW(),"-")</f>
        <v>-</v>
      </c>
    </row>
    <row r="22643" customHeight="1" spans="2:2">
      <c r="B22643" s="62" t="str">
        <f>IF(AND('领用录入（明细）'!D:D=$F$4,'领用录入（明细）'!C:C&gt;=$J$4,'领用录入（明细）'!C:C&lt;=$L$4),ROW(),"-")</f>
        <v>-</v>
      </c>
    </row>
    <row r="22644" customHeight="1" spans="2:2">
      <c r="B22644" s="62" t="str">
        <f>IF(AND('领用录入（明细）'!D:D=$F$4,'领用录入（明细）'!C:C&gt;=$J$4,'领用录入（明细）'!C:C&lt;=$L$4),ROW(),"-")</f>
        <v>-</v>
      </c>
    </row>
    <row r="22645" customHeight="1" spans="2:2">
      <c r="B22645" s="62" t="str">
        <f>IF(AND('领用录入（明细）'!D:D=$F$4,'领用录入（明细）'!C:C&gt;=$J$4,'领用录入（明细）'!C:C&lt;=$L$4),ROW(),"-")</f>
        <v>-</v>
      </c>
    </row>
    <row r="22646" customHeight="1" spans="2:2">
      <c r="B22646" s="62" t="str">
        <f>IF(AND('领用录入（明细）'!D:D=$F$4,'领用录入（明细）'!C:C&gt;=$J$4,'领用录入（明细）'!C:C&lt;=$L$4),ROW(),"-")</f>
        <v>-</v>
      </c>
    </row>
    <row r="22647" customHeight="1" spans="2:2">
      <c r="B22647" s="62" t="str">
        <f>IF(AND('领用录入（明细）'!D:D=$F$4,'领用录入（明细）'!C:C&gt;=$J$4,'领用录入（明细）'!C:C&lt;=$L$4),ROW(),"-")</f>
        <v>-</v>
      </c>
    </row>
    <row r="22648" customHeight="1" spans="2:2">
      <c r="B22648" s="62" t="str">
        <f>IF(AND('领用录入（明细）'!D:D=$F$4,'领用录入（明细）'!C:C&gt;=$J$4,'领用录入（明细）'!C:C&lt;=$L$4),ROW(),"-")</f>
        <v>-</v>
      </c>
    </row>
    <row r="22649" customHeight="1" spans="2:2">
      <c r="B22649" s="62" t="str">
        <f>IF(AND('领用录入（明细）'!D:D=$F$4,'领用录入（明细）'!C:C&gt;=$J$4,'领用录入（明细）'!C:C&lt;=$L$4),ROW(),"-")</f>
        <v>-</v>
      </c>
    </row>
    <row r="22650" customHeight="1" spans="2:2">
      <c r="B22650" s="62" t="str">
        <f>IF(AND('领用录入（明细）'!D:D=$F$4,'领用录入（明细）'!C:C&gt;=$J$4,'领用录入（明细）'!C:C&lt;=$L$4),ROW(),"-")</f>
        <v>-</v>
      </c>
    </row>
    <row r="22651" customHeight="1" spans="2:2">
      <c r="B22651" s="62" t="str">
        <f>IF(AND('领用录入（明细）'!D:D=$F$4,'领用录入（明细）'!C:C&gt;=$J$4,'领用录入（明细）'!C:C&lt;=$L$4),ROW(),"-")</f>
        <v>-</v>
      </c>
    </row>
    <row r="22652" customHeight="1" spans="2:2">
      <c r="B22652" s="62" t="str">
        <f>IF(AND('领用录入（明细）'!D:D=$F$4,'领用录入（明细）'!C:C&gt;=$J$4,'领用录入（明细）'!C:C&lt;=$L$4),ROW(),"-")</f>
        <v>-</v>
      </c>
    </row>
    <row r="22653" customHeight="1" spans="2:2">
      <c r="B22653" s="62" t="str">
        <f>IF(AND('领用录入（明细）'!D:D=$F$4,'领用录入（明细）'!C:C&gt;=$J$4,'领用录入（明细）'!C:C&lt;=$L$4),ROW(),"-")</f>
        <v>-</v>
      </c>
    </row>
    <row r="22654" customHeight="1" spans="2:2">
      <c r="B22654" s="62" t="str">
        <f>IF(AND('领用录入（明细）'!D:D=$F$4,'领用录入（明细）'!C:C&gt;=$J$4,'领用录入（明细）'!C:C&lt;=$L$4),ROW(),"-")</f>
        <v>-</v>
      </c>
    </row>
    <row r="22655" customHeight="1" spans="2:2">
      <c r="B22655" s="62" t="str">
        <f>IF(AND('领用录入（明细）'!D:D=$F$4,'领用录入（明细）'!C:C&gt;=$J$4,'领用录入（明细）'!C:C&lt;=$L$4),ROW(),"-")</f>
        <v>-</v>
      </c>
    </row>
    <row r="22656" customHeight="1" spans="2:2">
      <c r="B22656" s="62" t="str">
        <f>IF(AND('领用录入（明细）'!D:D=$F$4,'领用录入（明细）'!C:C&gt;=$J$4,'领用录入（明细）'!C:C&lt;=$L$4),ROW(),"-")</f>
        <v>-</v>
      </c>
    </row>
    <row r="22657" customHeight="1" spans="2:2">
      <c r="B22657" s="62" t="str">
        <f>IF(AND('领用录入（明细）'!D:D=$F$4,'领用录入（明细）'!C:C&gt;=$J$4,'领用录入（明细）'!C:C&lt;=$L$4),ROW(),"-")</f>
        <v>-</v>
      </c>
    </row>
    <row r="22658" customHeight="1" spans="2:2">
      <c r="B22658" s="62" t="str">
        <f>IF(AND('领用录入（明细）'!D:D=$F$4,'领用录入（明细）'!C:C&gt;=$J$4,'领用录入（明细）'!C:C&lt;=$L$4),ROW(),"-")</f>
        <v>-</v>
      </c>
    </row>
    <row r="22659" customHeight="1" spans="2:2">
      <c r="B22659" s="62" t="str">
        <f>IF(AND('领用录入（明细）'!D:D=$F$4,'领用录入（明细）'!C:C&gt;=$J$4,'领用录入（明细）'!C:C&lt;=$L$4),ROW(),"-")</f>
        <v>-</v>
      </c>
    </row>
    <row r="22660" customHeight="1" spans="2:2">
      <c r="B22660" s="62" t="str">
        <f>IF(AND('领用录入（明细）'!D:D=$F$4,'领用录入（明细）'!C:C&gt;=$J$4,'领用录入（明细）'!C:C&lt;=$L$4),ROW(),"-")</f>
        <v>-</v>
      </c>
    </row>
    <row r="22661" customHeight="1" spans="2:2">
      <c r="B22661" s="62" t="str">
        <f>IF(AND('领用录入（明细）'!D:D=$F$4,'领用录入（明细）'!C:C&gt;=$J$4,'领用录入（明细）'!C:C&lt;=$L$4),ROW(),"-")</f>
        <v>-</v>
      </c>
    </row>
    <row r="22662" customHeight="1" spans="2:2">
      <c r="B22662" s="62" t="str">
        <f>IF(AND('领用录入（明细）'!D:D=$F$4,'领用录入（明细）'!C:C&gt;=$J$4,'领用录入（明细）'!C:C&lt;=$L$4),ROW(),"-")</f>
        <v>-</v>
      </c>
    </row>
    <row r="22663" customHeight="1" spans="2:2">
      <c r="B22663" s="62" t="str">
        <f>IF(AND('领用录入（明细）'!D:D=$F$4,'领用录入（明细）'!C:C&gt;=$J$4,'领用录入（明细）'!C:C&lt;=$L$4),ROW(),"-")</f>
        <v>-</v>
      </c>
    </row>
    <row r="22664" customHeight="1" spans="2:2">
      <c r="B22664" s="62" t="str">
        <f>IF(AND('领用录入（明细）'!D:D=$F$4,'领用录入（明细）'!C:C&gt;=$J$4,'领用录入（明细）'!C:C&lt;=$L$4),ROW(),"-")</f>
        <v>-</v>
      </c>
    </row>
    <row r="22665" customHeight="1" spans="2:2">
      <c r="B22665" s="62" t="str">
        <f>IF(AND('领用录入（明细）'!D:D=$F$4,'领用录入（明细）'!C:C&gt;=$J$4,'领用录入（明细）'!C:C&lt;=$L$4),ROW(),"-")</f>
        <v>-</v>
      </c>
    </row>
    <row r="22666" customHeight="1" spans="2:2">
      <c r="B22666" s="62" t="str">
        <f>IF(AND('领用录入（明细）'!D:D=$F$4,'领用录入（明细）'!C:C&gt;=$J$4,'领用录入（明细）'!C:C&lt;=$L$4),ROW(),"-")</f>
        <v>-</v>
      </c>
    </row>
    <row r="22667" customHeight="1" spans="2:2">
      <c r="B22667" s="62" t="str">
        <f>IF(AND('领用录入（明细）'!D:D=$F$4,'领用录入（明细）'!C:C&gt;=$J$4,'领用录入（明细）'!C:C&lt;=$L$4),ROW(),"-")</f>
        <v>-</v>
      </c>
    </row>
    <row r="22668" customHeight="1" spans="2:2">
      <c r="B22668" s="62" t="str">
        <f>IF(AND('领用录入（明细）'!D:D=$F$4,'领用录入（明细）'!C:C&gt;=$J$4,'领用录入（明细）'!C:C&lt;=$L$4),ROW(),"-")</f>
        <v>-</v>
      </c>
    </row>
    <row r="22669" customHeight="1" spans="2:2">
      <c r="B22669" s="62" t="str">
        <f>IF(AND('领用录入（明细）'!D:D=$F$4,'领用录入（明细）'!C:C&gt;=$J$4,'领用录入（明细）'!C:C&lt;=$L$4),ROW(),"-")</f>
        <v>-</v>
      </c>
    </row>
    <row r="22670" customHeight="1" spans="2:2">
      <c r="B22670" s="62" t="str">
        <f>IF(AND('领用录入（明细）'!D:D=$F$4,'领用录入（明细）'!C:C&gt;=$J$4,'领用录入（明细）'!C:C&lt;=$L$4),ROW(),"-")</f>
        <v>-</v>
      </c>
    </row>
    <row r="22671" customHeight="1" spans="2:2">
      <c r="B22671" s="62" t="str">
        <f>IF(AND('领用录入（明细）'!D:D=$F$4,'领用录入（明细）'!C:C&gt;=$J$4,'领用录入（明细）'!C:C&lt;=$L$4),ROW(),"-")</f>
        <v>-</v>
      </c>
    </row>
    <row r="22672" customHeight="1" spans="2:2">
      <c r="B22672" s="62" t="str">
        <f>IF(AND('领用录入（明细）'!D:D=$F$4,'领用录入（明细）'!C:C&gt;=$J$4,'领用录入（明细）'!C:C&lt;=$L$4),ROW(),"-")</f>
        <v>-</v>
      </c>
    </row>
    <row r="22673" customHeight="1" spans="2:2">
      <c r="B22673" s="62" t="str">
        <f>IF(AND('领用录入（明细）'!D:D=$F$4,'领用录入（明细）'!C:C&gt;=$J$4,'领用录入（明细）'!C:C&lt;=$L$4),ROW(),"-")</f>
        <v>-</v>
      </c>
    </row>
    <row r="22674" customHeight="1" spans="2:2">
      <c r="B22674" s="62" t="str">
        <f>IF(AND('领用录入（明细）'!D:D=$F$4,'领用录入（明细）'!C:C&gt;=$J$4,'领用录入（明细）'!C:C&lt;=$L$4),ROW(),"-")</f>
        <v>-</v>
      </c>
    </row>
    <row r="22675" customHeight="1" spans="2:2">
      <c r="B22675" s="62" t="str">
        <f>IF(AND('领用录入（明细）'!D:D=$F$4,'领用录入（明细）'!C:C&gt;=$J$4,'领用录入（明细）'!C:C&lt;=$L$4),ROW(),"-")</f>
        <v>-</v>
      </c>
    </row>
    <row r="22676" customHeight="1" spans="2:2">
      <c r="B22676" s="62" t="str">
        <f>IF(AND('领用录入（明细）'!D:D=$F$4,'领用录入（明细）'!C:C&gt;=$J$4,'领用录入（明细）'!C:C&lt;=$L$4),ROW(),"-")</f>
        <v>-</v>
      </c>
    </row>
    <row r="22677" customHeight="1" spans="2:2">
      <c r="B22677" s="62" t="str">
        <f>IF(AND('领用录入（明细）'!D:D=$F$4,'领用录入（明细）'!C:C&gt;=$J$4,'领用录入（明细）'!C:C&lt;=$L$4),ROW(),"-")</f>
        <v>-</v>
      </c>
    </row>
    <row r="22678" customHeight="1" spans="2:2">
      <c r="B22678" s="62" t="str">
        <f>IF(AND('领用录入（明细）'!D:D=$F$4,'领用录入（明细）'!C:C&gt;=$J$4,'领用录入（明细）'!C:C&lt;=$L$4),ROW(),"-")</f>
        <v>-</v>
      </c>
    </row>
    <row r="22679" customHeight="1" spans="2:2">
      <c r="B22679" s="62" t="str">
        <f>IF(AND('领用录入（明细）'!D:D=$F$4,'领用录入（明细）'!C:C&gt;=$J$4,'领用录入（明细）'!C:C&lt;=$L$4),ROW(),"-")</f>
        <v>-</v>
      </c>
    </row>
    <row r="22680" customHeight="1" spans="2:2">
      <c r="B22680" s="62" t="str">
        <f>IF(AND('领用录入（明细）'!D:D=$F$4,'领用录入（明细）'!C:C&gt;=$J$4,'领用录入（明细）'!C:C&lt;=$L$4),ROW(),"-")</f>
        <v>-</v>
      </c>
    </row>
    <row r="22681" customHeight="1" spans="2:2">
      <c r="B22681" s="62" t="str">
        <f>IF(AND('领用录入（明细）'!D:D=$F$4,'领用录入（明细）'!C:C&gt;=$J$4,'领用录入（明细）'!C:C&lt;=$L$4),ROW(),"-")</f>
        <v>-</v>
      </c>
    </row>
    <row r="22682" customHeight="1" spans="2:2">
      <c r="B22682" s="62" t="str">
        <f>IF(AND('领用录入（明细）'!D:D=$F$4,'领用录入（明细）'!C:C&gt;=$J$4,'领用录入（明细）'!C:C&lt;=$L$4),ROW(),"-")</f>
        <v>-</v>
      </c>
    </row>
    <row r="22683" customHeight="1" spans="2:2">
      <c r="B22683" s="62" t="str">
        <f>IF(AND('领用录入（明细）'!D:D=$F$4,'领用录入（明细）'!C:C&gt;=$J$4,'领用录入（明细）'!C:C&lt;=$L$4),ROW(),"-")</f>
        <v>-</v>
      </c>
    </row>
    <row r="22684" customHeight="1" spans="2:2">
      <c r="B22684" s="62" t="str">
        <f>IF(AND('领用录入（明细）'!D:D=$F$4,'领用录入（明细）'!C:C&gt;=$J$4,'领用录入（明细）'!C:C&lt;=$L$4),ROW(),"-")</f>
        <v>-</v>
      </c>
    </row>
    <row r="22685" customHeight="1" spans="2:2">
      <c r="B22685" s="62" t="str">
        <f>IF(AND('领用录入（明细）'!D:D=$F$4,'领用录入（明细）'!C:C&gt;=$J$4,'领用录入（明细）'!C:C&lt;=$L$4),ROW(),"-")</f>
        <v>-</v>
      </c>
    </row>
    <row r="22686" customHeight="1" spans="2:2">
      <c r="B22686" s="62" t="str">
        <f>IF(AND('领用录入（明细）'!D:D=$F$4,'领用录入（明细）'!C:C&gt;=$J$4,'领用录入（明细）'!C:C&lt;=$L$4),ROW(),"-")</f>
        <v>-</v>
      </c>
    </row>
    <row r="22687" customHeight="1" spans="2:2">
      <c r="B22687" s="62" t="str">
        <f>IF(AND('领用录入（明细）'!D:D=$F$4,'领用录入（明细）'!C:C&gt;=$J$4,'领用录入（明细）'!C:C&lt;=$L$4),ROW(),"-")</f>
        <v>-</v>
      </c>
    </row>
    <row r="22688" customHeight="1" spans="2:2">
      <c r="B22688" s="62" t="str">
        <f>IF(AND('领用录入（明细）'!D:D=$F$4,'领用录入（明细）'!C:C&gt;=$J$4,'领用录入（明细）'!C:C&lt;=$L$4),ROW(),"-")</f>
        <v>-</v>
      </c>
    </row>
    <row r="22689" customHeight="1" spans="2:2">
      <c r="B22689" s="62" t="str">
        <f>IF(AND('领用录入（明细）'!D:D=$F$4,'领用录入（明细）'!C:C&gt;=$J$4,'领用录入（明细）'!C:C&lt;=$L$4),ROW(),"-")</f>
        <v>-</v>
      </c>
    </row>
    <row r="22690" customHeight="1" spans="2:2">
      <c r="B22690" s="62" t="str">
        <f>IF(AND('领用录入（明细）'!D:D=$F$4,'领用录入（明细）'!C:C&gt;=$J$4,'领用录入（明细）'!C:C&lt;=$L$4),ROW(),"-")</f>
        <v>-</v>
      </c>
    </row>
    <row r="22691" customHeight="1" spans="2:2">
      <c r="B22691" s="62" t="str">
        <f>IF(AND('领用录入（明细）'!D:D=$F$4,'领用录入（明细）'!C:C&gt;=$J$4,'领用录入（明细）'!C:C&lt;=$L$4),ROW(),"-")</f>
        <v>-</v>
      </c>
    </row>
    <row r="22692" customHeight="1" spans="2:2">
      <c r="B22692" s="62" t="str">
        <f>IF(AND('领用录入（明细）'!D:D=$F$4,'领用录入（明细）'!C:C&gt;=$J$4,'领用录入（明细）'!C:C&lt;=$L$4),ROW(),"-")</f>
        <v>-</v>
      </c>
    </row>
    <row r="22693" customHeight="1" spans="2:2">
      <c r="B22693" s="62" t="str">
        <f>IF(AND('领用录入（明细）'!D:D=$F$4,'领用录入（明细）'!C:C&gt;=$J$4,'领用录入（明细）'!C:C&lt;=$L$4),ROW(),"-")</f>
        <v>-</v>
      </c>
    </row>
    <row r="22694" customHeight="1" spans="2:2">
      <c r="B22694" s="62" t="str">
        <f>IF(AND('领用录入（明细）'!D:D=$F$4,'领用录入（明细）'!C:C&gt;=$J$4,'领用录入（明细）'!C:C&lt;=$L$4),ROW(),"-")</f>
        <v>-</v>
      </c>
    </row>
    <row r="22695" customHeight="1" spans="2:2">
      <c r="B22695" s="62" t="str">
        <f>IF(AND('领用录入（明细）'!D:D=$F$4,'领用录入（明细）'!C:C&gt;=$J$4,'领用录入（明细）'!C:C&lt;=$L$4),ROW(),"-")</f>
        <v>-</v>
      </c>
    </row>
    <row r="22696" customHeight="1" spans="2:2">
      <c r="B22696" s="62" t="str">
        <f>IF(AND('领用录入（明细）'!D:D=$F$4,'领用录入（明细）'!C:C&gt;=$J$4,'领用录入（明细）'!C:C&lt;=$L$4),ROW(),"-")</f>
        <v>-</v>
      </c>
    </row>
    <row r="22697" customHeight="1" spans="2:2">
      <c r="B22697" s="62" t="str">
        <f>IF(AND('领用录入（明细）'!D:D=$F$4,'领用录入（明细）'!C:C&gt;=$J$4,'领用录入（明细）'!C:C&lt;=$L$4),ROW(),"-")</f>
        <v>-</v>
      </c>
    </row>
    <row r="22698" customHeight="1" spans="2:2">
      <c r="B22698" s="62" t="str">
        <f>IF(AND('领用录入（明细）'!D:D=$F$4,'领用录入（明细）'!C:C&gt;=$J$4,'领用录入（明细）'!C:C&lt;=$L$4),ROW(),"-")</f>
        <v>-</v>
      </c>
    </row>
    <row r="22699" customHeight="1" spans="2:2">
      <c r="B22699" s="62" t="str">
        <f>IF(AND('领用录入（明细）'!D:D=$F$4,'领用录入（明细）'!C:C&gt;=$J$4,'领用录入（明细）'!C:C&lt;=$L$4),ROW(),"-")</f>
        <v>-</v>
      </c>
    </row>
    <row r="22700" customHeight="1" spans="2:2">
      <c r="B22700" s="62" t="str">
        <f>IF(AND('领用录入（明细）'!D:D=$F$4,'领用录入（明细）'!C:C&gt;=$J$4,'领用录入（明细）'!C:C&lt;=$L$4),ROW(),"-")</f>
        <v>-</v>
      </c>
    </row>
    <row r="22701" customHeight="1" spans="2:2">
      <c r="B22701" s="62" t="str">
        <f>IF(AND('领用录入（明细）'!D:D=$F$4,'领用录入（明细）'!C:C&gt;=$J$4,'领用录入（明细）'!C:C&lt;=$L$4),ROW(),"-")</f>
        <v>-</v>
      </c>
    </row>
    <row r="22702" customHeight="1" spans="2:2">
      <c r="B22702" s="62" t="str">
        <f>IF(AND('领用录入（明细）'!D:D=$F$4,'领用录入（明细）'!C:C&gt;=$J$4,'领用录入（明细）'!C:C&lt;=$L$4),ROW(),"-")</f>
        <v>-</v>
      </c>
    </row>
    <row r="22703" customHeight="1" spans="2:2">
      <c r="B22703" s="62" t="str">
        <f>IF(AND('领用录入（明细）'!D:D=$F$4,'领用录入（明细）'!C:C&gt;=$J$4,'领用录入（明细）'!C:C&lt;=$L$4),ROW(),"-")</f>
        <v>-</v>
      </c>
    </row>
    <row r="22704" customHeight="1" spans="2:2">
      <c r="B22704" s="62" t="str">
        <f>IF(AND('领用录入（明细）'!D:D=$F$4,'领用录入（明细）'!C:C&gt;=$J$4,'领用录入（明细）'!C:C&lt;=$L$4),ROW(),"-")</f>
        <v>-</v>
      </c>
    </row>
    <row r="22705" customHeight="1" spans="2:2">
      <c r="B22705" s="62" t="str">
        <f>IF(AND('领用录入（明细）'!D:D=$F$4,'领用录入（明细）'!C:C&gt;=$J$4,'领用录入（明细）'!C:C&lt;=$L$4),ROW(),"-")</f>
        <v>-</v>
      </c>
    </row>
    <row r="22706" customHeight="1" spans="2:2">
      <c r="B22706" s="62" t="str">
        <f>IF(AND('领用录入（明细）'!D:D=$F$4,'领用录入（明细）'!C:C&gt;=$J$4,'领用录入（明细）'!C:C&lt;=$L$4),ROW(),"-")</f>
        <v>-</v>
      </c>
    </row>
    <row r="22707" customHeight="1" spans="2:2">
      <c r="B22707" s="62" t="str">
        <f>IF(AND('领用录入（明细）'!D:D=$F$4,'领用录入（明细）'!C:C&gt;=$J$4,'领用录入（明细）'!C:C&lt;=$L$4),ROW(),"-")</f>
        <v>-</v>
      </c>
    </row>
    <row r="22708" customHeight="1" spans="2:2">
      <c r="B22708" s="62" t="str">
        <f>IF(AND('领用录入（明细）'!D:D=$F$4,'领用录入（明细）'!C:C&gt;=$J$4,'领用录入（明细）'!C:C&lt;=$L$4),ROW(),"-")</f>
        <v>-</v>
      </c>
    </row>
    <row r="22709" customHeight="1" spans="2:2">
      <c r="B22709" s="62" t="str">
        <f>IF(AND('领用录入（明细）'!D:D=$F$4,'领用录入（明细）'!C:C&gt;=$J$4,'领用录入（明细）'!C:C&lt;=$L$4),ROW(),"-")</f>
        <v>-</v>
      </c>
    </row>
    <row r="22710" customHeight="1" spans="2:2">
      <c r="B22710" s="62" t="str">
        <f>IF(AND('领用录入（明细）'!D:D=$F$4,'领用录入（明细）'!C:C&gt;=$J$4,'领用录入（明细）'!C:C&lt;=$L$4),ROW(),"-")</f>
        <v>-</v>
      </c>
    </row>
    <row r="22711" customHeight="1" spans="2:2">
      <c r="B22711" s="62" t="str">
        <f>IF(AND('领用录入（明细）'!D:D=$F$4,'领用录入（明细）'!C:C&gt;=$J$4,'领用录入（明细）'!C:C&lt;=$L$4),ROW(),"-")</f>
        <v>-</v>
      </c>
    </row>
    <row r="22712" customHeight="1" spans="2:2">
      <c r="B22712" s="62" t="str">
        <f>IF(AND('领用录入（明细）'!D:D=$F$4,'领用录入（明细）'!C:C&gt;=$J$4,'领用录入（明细）'!C:C&lt;=$L$4),ROW(),"-")</f>
        <v>-</v>
      </c>
    </row>
    <row r="22713" customHeight="1" spans="2:2">
      <c r="B22713" s="62" t="str">
        <f>IF(AND('领用录入（明细）'!D:D=$F$4,'领用录入（明细）'!C:C&gt;=$J$4,'领用录入（明细）'!C:C&lt;=$L$4),ROW(),"-")</f>
        <v>-</v>
      </c>
    </row>
    <row r="22714" customHeight="1" spans="2:2">
      <c r="B22714" s="62" t="str">
        <f>IF(AND('领用录入（明细）'!D:D=$F$4,'领用录入（明细）'!C:C&gt;=$J$4,'领用录入（明细）'!C:C&lt;=$L$4),ROW(),"-")</f>
        <v>-</v>
      </c>
    </row>
    <row r="22715" customHeight="1" spans="2:2">
      <c r="B22715" s="62" t="str">
        <f>IF(AND('领用录入（明细）'!D:D=$F$4,'领用录入（明细）'!C:C&gt;=$J$4,'领用录入（明细）'!C:C&lt;=$L$4),ROW(),"-")</f>
        <v>-</v>
      </c>
    </row>
    <row r="22716" customHeight="1" spans="2:2">
      <c r="B22716" s="62" t="str">
        <f>IF(AND('领用录入（明细）'!D:D=$F$4,'领用录入（明细）'!C:C&gt;=$J$4,'领用录入（明细）'!C:C&lt;=$L$4),ROW(),"-")</f>
        <v>-</v>
      </c>
    </row>
    <row r="22717" customHeight="1" spans="2:2">
      <c r="B22717" s="62" t="str">
        <f>IF(AND('领用录入（明细）'!D:D=$F$4,'领用录入（明细）'!C:C&gt;=$J$4,'领用录入（明细）'!C:C&lt;=$L$4),ROW(),"-")</f>
        <v>-</v>
      </c>
    </row>
    <row r="22718" customHeight="1" spans="2:2">
      <c r="B22718" s="62" t="str">
        <f>IF(AND('领用录入（明细）'!D:D=$F$4,'领用录入（明细）'!C:C&gt;=$J$4,'领用录入（明细）'!C:C&lt;=$L$4),ROW(),"-")</f>
        <v>-</v>
      </c>
    </row>
    <row r="22719" customHeight="1" spans="2:2">
      <c r="B22719" s="62" t="str">
        <f>IF(AND('领用录入（明细）'!D:D=$F$4,'领用录入（明细）'!C:C&gt;=$J$4,'领用录入（明细）'!C:C&lt;=$L$4),ROW(),"-")</f>
        <v>-</v>
      </c>
    </row>
    <row r="22720" customHeight="1" spans="2:2">
      <c r="B22720" s="62" t="str">
        <f>IF(AND('领用录入（明细）'!D:D=$F$4,'领用录入（明细）'!C:C&gt;=$J$4,'领用录入（明细）'!C:C&lt;=$L$4),ROW(),"-")</f>
        <v>-</v>
      </c>
    </row>
    <row r="22721" customHeight="1" spans="2:2">
      <c r="B22721" s="62" t="str">
        <f>IF(AND('领用录入（明细）'!D:D=$F$4,'领用录入（明细）'!C:C&gt;=$J$4,'领用录入（明细）'!C:C&lt;=$L$4),ROW(),"-")</f>
        <v>-</v>
      </c>
    </row>
    <row r="22722" customHeight="1" spans="2:2">
      <c r="B22722" s="62" t="str">
        <f>IF(AND('领用录入（明细）'!D:D=$F$4,'领用录入（明细）'!C:C&gt;=$J$4,'领用录入（明细）'!C:C&lt;=$L$4),ROW(),"-")</f>
        <v>-</v>
      </c>
    </row>
    <row r="22723" customHeight="1" spans="2:2">
      <c r="B22723" s="62" t="str">
        <f>IF(AND('领用录入（明细）'!D:D=$F$4,'领用录入（明细）'!C:C&gt;=$J$4,'领用录入（明细）'!C:C&lt;=$L$4),ROW(),"-")</f>
        <v>-</v>
      </c>
    </row>
    <row r="22724" customHeight="1" spans="2:2">
      <c r="B22724" s="62" t="str">
        <f>IF(AND('领用录入（明细）'!D:D=$F$4,'领用录入（明细）'!C:C&gt;=$J$4,'领用录入（明细）'!C:C&lt;=$L$4),ROW(),"-")</f>
        <v>-</v>
      </c>
    </row>
    <row r="22725" customHeight="1" spans="2:2">
      <c r="B22725" s="62" t="str">
        <f>IF(AND('领用录入（明细）'!D:D=$F$4,'领用录入（明细）'!C:C&gt;=$J$4,'领用录入（明细）'!C:C&lt;=$L$4),ROW(),"-")</f>
        <v>-</v>
      </c>
    </row>
    <row r="22726" customHeight="1" spans="2:2">
      <c r="B22726" s="62" t="str">
        <f>IF(AND('领用录入（明细）'!D:D=$F$4,'领用录入（明细）'!C:C&gt;=$J$4,'领用录入（明细）'!C:C&lt;=$L$4),ROW(),"-")</f>
        <v>-</v>
      </c>
    </row>
    <row r="22727" customHeight="1" spans="2:2">
      <c r="B22727" s="62" t="str">
        <f>IF(AND('领用录入（明细）'!D:D=$F$4,'领用录入（明细）'!C:C&gt;=$J$4,'领用录入（明细）'!C:C&lt;=$L$4),ROW(),"-")</f>
        <v>-</v>
      </c>
    </row>
    <row r="22728" customHeight="1" spans="2:2">
      <c r="B22728" s="62" t="str">
        <f>IF(AND('领用录入（明细）'!D:D=$F$4,'领用录入（明细）'!C:C&gt;=$J$4,'领用录入（明细）'!C:C&lt;=$L$4),ROW(),"-")</f>
        <v>-</v>
      </c>
    </row>
    <row r="22729" customHeight="1" spans="2:2">
      <c r="B22729" s="62" t="str">
        <f>IF(AND('领用录入（明细）'!D:D=$F$4,'领用录入（明细）'!C:C&gt;=$J$4,'领用录入（明细）'!C:C&lt;=$L$4),ROW(),"-")</f>
        <v>-</v>
      </c>
    </row>
    <row r="22730" customHeight="1" spans="2:2">
      <c r="B22730" s="62" t="str">
        <f>IF(AND('领用录入（明细）'!D:D=$F$4,'领用录入（明细）'!C:C&gt;=$J$4,'领用录入（明细）'!C:C&lt;=$L$4),ROW(),"-")</f>
        <v>-</v>
      </c>
    </row>
    <row r="22731" customHeight="1" spans="2:2">
      <c r="B22731" s="62" t="str">
        <f>IF(AND('领用录入（明细）'!D:D=$F$4,'领用录入（明细）'!C:C&gt;=$J$4,'领用录入（明细）'!C:C&lt;=$L$4),ROW(),"-")</f>
        <v>-</v>
      </c>
    </row>
    <row r="22732" customHeight="1" spans="2:2">
      <c r="B22732" s="62" t="str">
        <f>IF(AND('领用录入（明细）'!D:D=$F$4,'领用录入（明细）'!C:C&gt;=$J$4,'领用录入（明细）'!C:C&lt;=$L$4),ROW(),"-")</f>
        <v>-</v>
      </c>
    </row>
    <row r="22733" customHeight="1" spans="2:2">
      <c r="B22733" s="62" t="str">
        <f>IF(AND('领用录入（明细）'!D:D=$F$4,'领用录入（明细）'!C:C&gt;=$J$4,'领用录入（明细）'!C:C&lt;=$L$4),ROW(),"-")</f>
        <v>-</v>
      </c>
    </row>
    <row r="22734" customHeight="1" spans="2:2">
      <c r="B22734" s="62" t="str">
        <f>IF(AND('领用录入（明细）'!D:D=$F$4,'领用录入（明细）'!C:C&gt;=$J$4,'领用录入（明细）'!C:C&lt;=$L$4),ROW(),"-")</f>
        <v>-</v>
      </c>
    </row>
    <row r="22735" customHeight="1" spans="2:2">
      <c r="B22735" s="62" t="str">
        <f>IF(AND('领用录入（明细）'!D:D=$F$4,'领用录入（明细）'!C:C&gt;=$J$4,'领用录入（明细）'!C:C&lt;=$L$4),ROW(),"-")</f>
        <v>-</v>
      </c>
    </row>
    <row r="22736" customHeight="1" spans="2:2">
      <c r="B22736" s="62" t="str">
        <f>IF(AND('领用录入（明细）'!D:D=$F$4,'领用录入（明细）'!C:C&gt;=$J$4,'领用录入（明细）'!C:C&lt;=$L$4),ROW(),"-")</f>
        <v>-</v>
      </c>
    </row>
    <row r="22737" customHeight="1" spans="2:2">
      <c r="B22737" s="62" t="str">
        <f>IF(AND('领用录入（明细）'!D:D=$F$4,'领用录入（明细）'!C:C&gt;=$J$4,'领用录入（明细）'!C:C&lt;=$L$4),ROW(),"-")</f>
        <v>-</v>
      </c>
    </row>
    <row r="22738" customHeight="1" spans="2:2">
      <c r="B22738" s="62" t="str">
        <f>IF(AND('领用录入（明细）'!D:D=$F$4,'领用录入（明细）'!C:C&gt;=$J$4,'领用录入（明细）'!C:C&lt;=$L$4),ROW(),"-")</f>
        <v>-</v>
      </c>
    </row>
    <row r="22739" customHeight="1" spans="2:2">
      <c r="B22739" s="62" t="str">
        <f>IF(AND('领用录入（明细）'!D:D=$F$4,'领用录入（明细）'!C:C&gt;=$J$4,'领用录入（明细）'!C:C&lt;=$L$4),ROW(),"-")</f>
        <v>-</v>
      </c>
    </row>
    <row r="22740" customHeight="1" spans="2:2">
      <c r="B22740" s="62" t="str">
        <f>IF(AND('领用录入（明细）'!D:D=$F$4,'领用录入（明细）'!C:C&gt;=$J$4,'领用录入（明细）'!C:C&lt;=$L$4),ROW(),"-")</f>
        <v>-</v>
      </c>
    </row>
    <row r="22741" customHeight="1" spans="2:2">
      <c r="B22741" s="62" t="str">
        <f>IF(AND('领用录入（明细）'!D:D=$F$4,'领用录入（明细）'!C:C&gt;=$J$4,'领用录入（明细）'!C:C&lt;=$L$4),ROW(),"-")</f>
        <v>-</v>
      </c>
    </row>
    <row r="22742" customHeight="1" spans="2:2">
      <c r="B22742" s="62" t="str">
        <f>IF(AND('领用录入（明细）'!D:D=$F$4,'领用录入（明细）'!C:C&gt;=$J$4,'领用录入（明细）'!C:C&lt;=$L$4),ROW(),"-")</f>
        <v>-</v>
      </c>
    </row>
    <row r="22743" customHeight="1" spans="2:2">
      <c r="B22743" s="62" t="str">
        <f>IF(AND('领用录入（明细）'!D:D=$F$4,'领用录入（明细）'!C:C&gt;=$J$4,'领用录入（明细）'!C:C&lt;=$L$4),ROW(),"-")</f>
        <v>-</v>
      </c>
    </row>
    <row r="22744" customHeight="1" spans="2:2">
      <c r="B22744" s="62" t="str">
        <f>IF(AND('领用录入（明细）'!D:D=$F$4,'领用录入（明细）'!C:C&gt;=$J$4,'领用录入（明细）'!C:C&lt;=$L$4),ROW(),"-")</f>
        <v>-</v>
      </c>
    </row>
    <row r="22745" customHeight="1" spans="2:2">
      <c r="B22745" s="62" t="str">
        <f>IF(AND('领用录入（明细）'!D:D=$F$4,'领用录入（明细）'!C:C&gt;=$J$4,'领用录入（明细）'!C:C&lt;=$L$4),ROW(),"-")</f>
        <v>-</v>
      </c>
    </row>
    <row r="22746" customHeight="1" spans="2:2">
      <c r="B22746" s="62" t="str">
        <f>IF(AND('领用录入（明细）'!D:D=$F$4,'领用录入（明细）'!C:C&gt;=$J$4,'领用录入（明细）'!C:C&lt;=$L$4),ROW(),"-")</f>
        <v>-</v>
      </c>
    </row>
    <row r="22747" customHeight="1" spans="2:2">
      <c r="B22747" s="62" t="str">
        <f>IF(AND('领用录入（明细）'!D:D=$F$4,'领用录入（明细）'!C:C&gt;=$J$4,'领用录入（明细）'!C:C&lt;=$L$4),ROW(),"-")</f>
        <v>-</v>
      </c>
    </row>
    <row r="22748" customHeight="1" spans="2:2">
      <c r="B22748" s="62" t="str">
        <f>IF(AND('领用录入（明细）'!D:D=$F$4,'领用录入（明细）'!C:C&gt;=$J$4,'领用录入（明细）'!C:C&lt;=$L$4),ROW(),"-")</f>
        <v>-</v>
      </c>
    </row>
    <row r="22749" customHeight="1" spans="2:2">
      <c r="B22749" s="62" t="str">
        <f>IF(AND('领用录入（明细）'!D:D=$F$4,'领用录入（明细）'!C:C&gt;=$J$4,'领用录入（明细）'!C:C&lt;=$L$4),ROW(),"-")</f>
        <v>-</v>
      </c>
    </row>
    <row r="22750" customHeight="1" spans="2:2">
      <c r="B22750" s="62" t="str">
        <f>IF(AND('领用录入（明细）'!D:D=$F$4,'领用录入（明细）'!C:C&gt;=$J$4,'领用录入（明细）'!C:C&lt;=$L$4),ROW(),"-")</f>
        <v>-</v>
      </c>
    </row>
    <row r="22751" customHeight="1" spans="2:2">
      <c r="B22751" s="62" t="str">
        <f>IF(AND('领用录入（明细）'!D:D=$F$4,'领用录入（明细）'!C:C&gt;=$J$4,'领用录入（明细）'!C:C&lt;=$L$4),ROW(),"-")</f>
        <v>-</v>
      </c>
    </row>
    <row r="22752" customHeight="1" spans="2:2">
      <c r="B22752" s="62" t="str">
        <f>IF(AND('领用录入（明细）'!D:D=$F$4,'领用录入（明细）'!C:C&gt;=$J$4,'领用录入（明细）'!C:C&lt;=$L$4),ROW(),"-")</f>
        <v>-</v>
      </c>
    </row>
    <row r="22753" customHeight="1" spans="2:2">
      <c r="B22753" s="62" t="str">
        <f>IF(AND('领用录入（明细）'!D:D=$F$4,'领用录入（明细）'!C:C&gt;=$J$4,'领用录入（明细）'!C:C&lt;=$L$4),ROW(),"-")</f>
        <v>-</v>
      </c>
    </row>
    <row r="22754" customHeight="1" spans="2:2">
      <c r="B22754" s="62" t="str">
        <f>IF(AND('领用录入（明细）'!D:D=$F$4,'领用录入（明细）'!C:C&gt;=$J$4,'领用录入（明细）'!C:C&lt;=$L$4),ROW(),"-")</f>
        <v>-</v>
      </c>
    </row>
    <row r="22755" customHeight="1" spans="2:2">
      <c r="B22755" s="62" t="str">
        <f>IF(AND('领用录入（明细）'!D:D=$F$4,'领用录入（明细）'!C:C&gt;=$J$4,'领用录入（明细）'!C:C&lt;=$L$4),ROW(),"-")</f>
        <v>-</v>
      </c>
    </row>
    <row r="22756" customHeight="1" spans="2:2">
      <c r="B22756" s="62" t="str">
        <f>IF(AND('领用录入（明细）'!D:D=$F$4,'领用录入（明细）'!C:C&gt;=$J$4,'领用录入（明细）'!C:C&lt;=$L$4),ROW(),"-")</f>
        <v>-</v>
      </c>
    </row>
    <row r="22757" customHeight="1" spans="2:2">
      <c r="B22757" s="62" t="str">
        <f>IF(AND('领用录入（明细）'!D:D=$F$4,'领用录入（明细）'!C:C&gt;=$J$4,'领用录入（明细）'!C:C&lt;=$L$4),ROW(),"-")</f>
        <v>-</v>
      </c>
    </row>
    <row r="22758" customHeight="1" spans="2:2">
      <c r="B22758" s="62" t="str">
        <f>IF(AND('领用录入（明细）'!D:D=$F$4,'领用录入（明细）'!C:C&gt;=$J$4,'领用录入（明细）'!C:C&lt;=$L$4),ROW(),"-")</f>
        <v>-</v>
      </c>
    </row>
    <row r="22759" customHeight="1" spans="2:2">
      <c r="B22759" s="62" t="str">
        <f>IF(AND('领用录入（明细）'!D:D=$F$4,'领用录入（明细）'!C:C&gt;=$J$4,'领用录入（明细）'!C:C&lt;=$L$4),ROW(),"-")</f>
        <v>-</v>
      </c>
    </row>
    <row r="22760" customHeight="1" spans="2:2">
      <c r="B22760" s="62" t="str">
        <f>IF(AND('领用录入（明细）'!D:D=$F$4,'领用录入（明细）'!C:C&gt;=$J$4,'领用录入（明细）'!C:C&lt;=$L$4),ROW(),"-")</f>
        <v>-</v>
      </c>
    </row>
    <row r="22761" customHeight="1" spans="2:2">
      <c r="B22761" s="62" t="str">
        <f>IF(AND('领用录入（明细）'!D:D=$F$4,'领用录入（明细）'!C:C&gt;=$J$4,'领用录入（明细）'!C:C&lt;=$L$4),ROW(),"-")</f>
        <v>-</v>
      </c>
    </row>
    <row r="22762" customHeight="1" spans="2:2">
      <c r="B22762" s="62" t="str">
        <f>IF(AND('领用录入（明细）'!D:D=$F$4,'领用录入（明细）'!C:C&gt;=$J$4,'领用录入（明细）'!C:C&lt;=$L$4),ROW(),"-")</f>
        <v>-</v>
      </c>
    </row>
    <row r="22763" customHeight="1" spans="2:2">
      <c r="B22763" s="62" t="str">
        <f>IF(AND('领用录入（明细）'!D:D=$F$4,'领用录入（明细）'!C:C&gt;=$J$4,'领用录入（明细）'!C:C&lt;=$L$4),ROW(),"-")</f>
        <v>-</v>
      </c>
    </row>
    <row r="22764" customHeight="1" spans="2:2">
      <c r="B22764" s="62" t="str">
        <f>IF(AND('领用录入（明细）'!D:D=$F$4,'领用录入（明细）'!C:C&gt;=$J$4,'领用录入（明细）'!C:C&lt;=$L$4),ROW(),"-")</f>
        <v>-</v>
      </c>
    </row>
    <row r="22765" customHeight="1" spans="2:2">
      <c r="B22765" s="62" t="str">
        <f>IF(AND('领用录入（明细）'!D:D=$F$4,'领用录入（明细）'!C:C&gt;=$J$4,'领用录入（明细）'!C:C&lt;=$L$4),ROW(),"-")</f>
        <v>-</v>
      </c>
    </row>
    <row r="22766" customHeight="1" spans="2:2">
      <c r="B22766" s="62" t="str">
        <f>IF(AND('领用录入（明细）'!D:D=$F$4,'领用录入（明细）'!C:C&gt;=$J$4,'领用录入（明细）'!C:C&lt;=$L$4),ROW(),"-")</f>
        <v>-</v>
      </c>
    </row>
    <row r="22767" customHeight="1" spans="2:2">
      <c r="B22767" s="62" t="str">
        <f>IF(AND('领用录入（明细）'!D:D=$F$4,'领用录入（明细）'!C:C&gt;=$J$4,'领用录入（明细）'!C:C&lt;=$L$4),ROW(),"-")</f>
        <v>-</v>
      </c>
    </row>
    <row r="22768" customHeight="1" spans="2:2">
      <c r="B22768" s="62" t="str">
        <f>IF(AND('领用录入（明细）'!D:D=$F$4,'领用录入（明细）'!C:C&gt;=$J$4,'领用录入（明细）'!C:C&lt;=$L$4),ROW(),"-")</f>
        <v>-</v>
      </c>
    </row>
    <row r="22769" customHeight="1" spans="2:2">
      <c r="B22769" s="62" t="str">
        <f>IF(AND('领用录入（明细）'!D:D=$F$4,'领用录入（明细）'!C:C&gt;=$J$4,'领用录入（明细）'!C:C&lt;=$L$4),ROW(),"-")</f>
        <v>-</v>
      </c>
    </row>
    <row r="22770" customHeight="1" spans="2:2">
      <c r="B22770" s="62" t="str">
        <f>IF(AND('领用录入（明细）'!D:D=$F$4,'领用录入（明细）'!C:C&gt;=$J$4,'领用录入（明细）'!C:C&lt;=$L$4),ROW(),"-")</f>
        <v>-</v>
      </c>
    </row>
    <row r="22771" customHeight="1" spans="2:2">
      <c r="B22771" s="62" t="str">
        <f>IF(AND('领用录入（明细）'!D:D=$F$4,'领用录入（明细）'!C:C&gt;=$J$4,'领用录入（明细）'!C:C&lt;=$L$4),ROW(),"-")</f>
        <v>-</v>
      </c>
    </row>
    <row r="22772" customHeight="1" spans="2:2">
      <c r="B22772" s="62" t="str">
        <f>IF(AND('领用录入（明细）'!D:D=$F$4,'领用录入（明细）'!C:C&gt;=$J$4,'领用录入（明细）'!C:C&lt;=$L$4),ROW(),"-")</f>
        <v>-</v>
      </c>
    </row>
    <row r="22773" customHeight="1" spans="2:2">
      <c r="B22773" s="62" t="str">
        <f>IF(AND('领用录入（明细）'!D:D=$F$4,'领用录入（明细）'!C:C&gt;=$J$4,'领用录入（明细）'!C:C&lt;=$L$4),ROW(),"-")</f>
        <v>-</v>
      </c>
    </row>
    <row r="22774" customHeight="1" spans="2:2">
      <c r="B22774" s="62" t="str">
        <f>IF(AND('领用录入（明细）'!D:D=$F$4,'领用录入（明细）'!C:C&gt;=$J$4,'领用录入（明细）'!C:C&lt;=$L$4),ROW(),"-")</f>
        <v>-</v>
      </c>
    </row>
    <row r="22775" customHeight="1" spans="2:2">
      <c r="B22775" s="62" t="str">
        <f>IF(AND('领用录入（明细）'!D:D=$F$4,'领用录入（明细）'!C:C&gt;=$J$4,'领用录入（明细）'!C:C&lt;=$L$4),ROW(),"-")</f>
        <v>-</v>
      </c>
    </row>
    <row r="22776" customHeight="1" spans="2:2">
      <c r="B22776" s="62" t="str">
        <f>IF(AND('领用录入（明细）'!D:D=$F$4,'领用录入（明细）'!C:C&gt;=$J$4,'领用录入（明细）'!C:C&lt;=$L$4),ROW(),"-")</f>
        <v>-</v>
      </c>
    </row>
    <row r="22777" customHeight="1" spans="2:2">
      <c r="B22777" s="62" t="str">
        <f>IF(AND('领用录入（明细）'!D:D=$F$4,'领用录入（明细）'!C:C&gt;=$J$4,'领用录入（明细）'!C:C&lt;=$L$4),ROW(),"-")</f>
        <v>-</v>
      </c>
    </row>
    <row r="22778" customHeight="1" spans="2:2">
      <c r="B22778" s="62" t="str">
        <f>IF(AND('领用录入（明细）'!D:D=$F$4,'领用录入（明细）'!C:C&gt;=$J$4,'领用录入（明细）'!C:C&lt;=$L$4),ROW(),"-")</f>
        <v>-</v>
      </c>
    </row>
    <row r="22779" customHeight="1" spans="2:2">
      <c r="B22779" s="62" t="str">
        <f>IF(AND('领用录入（明细）'!D:D=$F$4,'领用录入（明细）'!C:C&gt;=$J$4,'领用录入（明细）'!C:C&lt;=$L$4),ROW(),"-")</f>
        <v>-</v>
      </c>
    </row>
    <row r="22780" customHeight="1" spans="2:2">
      <c r="B22780" s="62" t="str">
        <f>IF(AND('领用录入（明细）'!D:D=$F$4,'领用录入（明细）'!C:C&gt;=$J$4,'领用录入（明细）'!C:C&lt;=$L$4),ROW(),"-")</f>
        <v>-</v>
      </c>
    </row>
    <row r="22781" customHeight="1" spans="2:2">
      <c r="B22781" s="62" t="str">
        <f>IF(AND('领用录入（明细）'!D:D=$F$4,'领用录入（明细）'!C:C&gt;=$J$4,'领用录入（明细）'!C:C&lt;=$L$4),ROW(),"-")</f>
        <v>-</v>
      </c>
    </row>
    <row r="22782" customHeight="1" spans="2:2">
      <c r="B22782" s="62" t="str">
        <f>IF(AND('领用录入（明细）'!D:D=$F$4,'领用录入（明细）'!C:C&gt;=$J$4,'领用录入（明细）'!C:C&lt;=$L$4),ROW(),"-")</f>
        <v>-</v>
      </c>
    </row>
    <row r="22783" customHeight="1" spans="2:2">
      <c r="B22783" s="62" t="str">
        <f>IF(AND('领用录入（明细）'!D:D=$F$4,'领用录入（明细）'!C:C&gt;=$J$4,'领用录入（明细）'!C:C&lt;=$L$4),ROW(),"-")</f>
        <v>-</v>
      </c>
    </row>
    <row r="22784" customHeight="1" spans="2:2">
      <c r="B22784" s="62" t="str">
        <f>IF(AND('领用录入（明细）'!D:D=$F$4,'领用录入（明细）'!C:C&gt;=$J$4,'领用录入（明细）'!C:C&lt;=$L$4),ROW(),"-")</f>
        <v>-</v>
      </c>
    </row>
    <row r="22785" customHeight="1" spans="2:2">
      <c r="B22785" s="62" t="str">
        <f>IF(AND('领用录入（明细）'!D:D=$F$4,'领用录入（明细）'!C:C&gt;=$J$4,'领用录入（明细）'!C:C&lt;=$L$4),ROW(),"-")</f>
        <v>-</v>
      </c>
    </row>
    <row r="22786" customHeight="1" spans="2:2">
      <c r="B22786" s="62" t="str">
        <f>IF(AND('领用录入（明细）'!D:D=$F$4,'领用录入（明细）'!C:C&gt;=$J$4,'领用录入（明细）'!C:C&lt;=$L$4),ROW(),"-")</f>
        <v>-</v>
      </c>
    </row>
    <row r="22787" customHeight="1" spans="2:2">
      <c r="B22787" s="62" t="str">
        <f>IF(AND('领用录入（明细）'!D:D=$F$4,'领用录入（明细）'!C:C&gt;=$J$4,'领用录入（明细）'!C:C&lt;=$L$4),ROW(),"-")</f>
        <v>-</v>
      </c>
    </row>
    <row r="22788" customHeight="1" spans="2:2">
      <c r="B22788" s="62" t="str">
        <f>IF(AND('领用录入（明细）'!D:D=$F$4,'领用录入（明细）'!C:C&gt;=$J$4,'领用录入（明细）'!C:C&lt;=$L$4),ROW(),"-")</f>
        <v>-</v>
      </c>
    </row>
    <row r="22789" customHeight="1" spans="2:2">
      <c r="B22789" s="62" t="str">
        <f>IF(AND('领用录入（明细）'!D:D=$F$4,'领用录入（明细）'!C:C&gt;=$J$4,'领用录入（明细）'!C:C&lt;=$L$4),ROW(),"-")</f>
        <v>-</v>
      </c>
    </row>
    <row r="22790" customHeight="1" spans="2:2">
      <c r="B22790" s="62" t="str">
        <f>IF(AND('领用录入（明细）'!D:D=$F$4,'领用录入（明细）'!C:C&gt;=$J$4,'领用录入（明细）'!C:C&lt;=$L$4),ROW(),"-")</f>
        <v>-</v>
      </c>
    </row>
    <row r="22791" customHeight="1" spans="2:2">
      <c r="B22791" s="62" t="str">
        <f>IF(AND('领用录入（明细）'!D:D=$F$4,'领用录入（明细）'!C:C&gt;=$J$4,'领用录入（明细）'!C:C&lt;=$L$4),ROW(),"-")</f>
        <v>-</v>
      </c>
    </row>
    <row r="22792" customHeight="1" spans="2:2">
      <c r="B22792" s="62" t="str">
        <f>IF(AND('领用录入（明细）'!D:D=$F$4,'领用录入（明细）'!C:C&gt;=$J$4,'领用录入（明细）'!C:C&lt;=$L$4),ROW(),"-")</f>
        <v>-</v>
      </c>
    </row>
    <row r="22793" customHeight="1" spans="2:2">
      <c r="B22793" s="62" t="str">
        <f>IF(AND('领用录入（明细）'!D:D=$F$4,'领用录入（明细）'!C:C&gt;=$J$4,'领用录入（明细）'!C:C&lt;=$L$4),ROW(),"-")</f>
        <v>-</v>
      </c>
    </row>
    <row r="22794" customHeight="1" spans="2:2">
      <c r="B22794" s="62" t="str">
        <f>IF(AND('领用录入（明细）'!D:D=$F$4,'领用录入（明细）'!C:C&gt;=$J$4,'领用录入（明细）'!C:C&lt;=$L$4),ROW(),"-")</f>
        <v>-</v>
      </c>
    </row>
    <row r="22795" customHeight="1" spans="2:2">
      <c r="B22795" s="62" t="str">
        <f>IF(AND('领用录入（明细）'!D:D=$F$4,'领用录入（明细）'!C:C&gt;=$J$4,'领用录入（明细）'!C:C&lt;=$L$4),ROW(),"-")</f>
        <v>-</v>
      </c>
    </row>
    <row r="22796" customHeight="1" spans="2:2">
      <c r="B22796" s="62" t="str">
        <f>IF(AND('领用录入（明细）'!D:D=$F$4,'领用录入（明细）'!C:C&gt;=$J$4,'领用录入（明细）'!C:C&lt;=$L$4),ROW(),"-")</f>
        <v>-</v>
      </c>
    </row>
    <row r="22797" customHeight="1" spans="2:2">
      <c r="B22797" s="62" t="str">
        <f>IF(AND('领用录入（明细）'!D:D=$F$4,'领用录入（明细）'!C:C&gt;=$J$4,'领用录入（明细）'!C:C&lt;=$L$4),ROW(),"-")</f>
        <v>-</v>
      </c>
    </row>
    <row r="22798" customHeight="1" spans="2:2">
      <c r="B22798" s="62" t="str">
        <f>IF(AND('领用录入（明细）'!D:D=$F$4,'领用录入（明细）'!C:C&gt;=$J$4,'领用录入（明细）'!C:C&lt;=$L$4),ROW(),"-")</f>
        <v>-</v>
      </c>
    </row>
    <row r="22799" customHeight="1" spans="2:2">
      <c r="B22799" s="62" t="str">
        <f>IF(AND('领用录入（明细）'!D:D=$F$4,'领用录入（明细）'!C:C&gt;=$J$4,'领用录入（明细）'!C:C&lt;=$L$4),ROW(),"-")</f>
        <v>-</v>
      </c>
    </row>
    <row r="22800" customHeight="1" spans="2:2">
      <c r="B22800" s="62" t="str">
        <f>IF(AND('领用录入（明细）'!D:D=$F$4,'领用录入（明细）'!C:C&gt;=$J$4,'领用录入（明细）'!C:C&lt;=$L$4),ROW(),"-")</f>
        <v>-</v>
      </c>
    </row>
    <row r="22801" customHeight="1" spans="2:2">
      <c r="B22801" s="62" t="str">
        <f>IF(AND('领用录入（明细）'!D:D=$F$4,'领用录入（明细）'!C:C&gt;=$J$4,'领用录入（明细）'!C:C&lt;=$L$4),ROW(),"-")</f>
        <v>-</v>
      </c>
    </row>
    <row r="22802" customHeight="1" spans="2:2">
      <c r="B22802" s="62" t="str">
        <f>IF(AND('领用录入（明细）'!D:D=$F$4,'领用录入（明细）'!C:C&gt;=$J$4,'领用录入（明细）'!C:C&lt;=$L$4),ROW(),"-")</f>
        <v>-</v>
      </c>
    </row>
    <row r="22803" customHeight="1" spans="2:2">
      <c r="B22803" s="62" t="str">
        <f>IF(AND('领用录入（明细）'!D:D=$F$4,'领用录入（明细）'!C:C&gt;=$J$4,'领用录入（明细）'!C:C&lt;=$L$4),ROW(),"-")</f>
        <v>-</v>
      </c>
    </row>
    <row r="22804" customHeight="1" spans="2:2">
      <c r="B22804" s="62" t="str">
        <f>IF(AND('领用录入（明细）'!D:D=$F$4,'领用录入（明细）'!C:C&gt;=$J$4,'领用录入（明细）'!C:C&lt;=$L$4),ROW(),"-")</f>
        <v>-</v>
      </c>
    </row>
    <row r="22805" customHeight="1" spans="2:2">
      <c r="B22805" s="62" t="str">
        <f>IF(AND('领用录入（明细）'!D:D=$F$4,'领用录入（明细）'!C:C&gt;=$J$4,'领用录入（明细）'!C:C&lt;=$L$4),ROW(),"-")</f>
        <v>-</v>
      </c>
    </row>
    <row r="22806" customHeight="1" spans="2:2">
      <c r="B22806" s="62" t="str">
        <f>IF(AND('领用录入（明细）'!D:D=$F$4,'领用录入（明细）'!C:C&gt;=$J$4,'领用录入（明细）'!C:C&lt;=$L$4),ROW(),"-")</f>
        <v>-</v>
      </c>
    </row>
    <row r="22807" customHeight="1" spans="2:2">
      <c r="B22807" s="62" t="str">
        <f>IF(AND('领用录入（明细）'!D:D=$F$4,'领用录入（明细）'!C:C&gt;=$J$4,'领用录入（明细）'!C:C&lt;=$L$4),ROW(),"-")</f>
        <v>-</v>
      </c>
    </row>
    <row r="22808" customHeight="1" spans="2:2">
      <c r="B22808" s="62" t="str">
        <f>IF(AND('领用录入（明细）'!D:D=$F$4,'领用录入（明细）'!C:C&gt;=$J$4,'领用录入（明细）'!C:C&lt;=$L$4),ROW(),"-")</f>
        <v>-</v>
      </c>
    </row>
    <row r="22809" customHeight="1" spans="2:2">
      <c r="B22809" s="62" t="str">
        <f>IF(AND('领用录入（明细）'!D:D=$F$4,'领用录入（明细）'!C:C&gt;=$J$4,'领用录入（明细）'!C:C&lt;=$L$4),ROW(),"-")</f>
        <v>-</v>
      </c>
    </row>
    <row r="22810" customHeight="1" spans="2:2">
      <c r="B22810" s="62" t="str">
        <f>IF(AND('领用录入（明细）'!D:D=$F$4,'领用录入（明细）'!C:C&gt;=$J$4,'领用录入（明细）'!C:C&lt;=$L$4),ROW(),"-")</f>
        <v>-</v>
      </c>
    </row>
    <row r="22811" customHeight="1" spans="2:2">
      <c r="B22811" s="62" t="str">
        <f>IF(AND('领用录入（明细）'!D:D=$F$4,'领用录入（明细）'!C:C&gt;=$J$4,'领用录入（明细）'!C:C&lt;=$L$4),ROW(),"-")</f>
        <v>-</v>
      </c>
    </row>
    <row r="22812" customHeight="1" spans="2:2">
      <c r="B22812" s="62" t="str">
        <f>IF(AND('领用录入（明细）'!D:D=$F$4,'领用录入（明细）'!C:C&gt;=$J$4,'领用录入（明细）'!C:C&lt;=$L$4),ROW(),"-")</f>
        <v>-</v>
      </c>
    </row>
    <row r="22813" customHeight="1" spans="2:2">
      <c r="B22813" s="62" t="str">
        <f>IF(AND('领用录入（明细）'!D:D=$F$4,'领用录入（明细）'!C:C&gt;=$J$4,'领用录入（明细）'!C:C&lt;=$L$4),ROW(),"-")</f>
        <v>-</v>
      </c>
    </row>
    <row r="22814" customHeight="1" spans="2:2">
      <c r="B22814" s="62" t="str">
        <f>IF(AND('领用录入（明细）'!D:D=$F$4,'领用录入（明细）'!C:C&gt;=$J$4,'领用录入（明细）'!C:C&lt;=$L$4),ROW(),"-")</f>
        <v>-</v>
      </c>
    </row>
    <row r="22815" customHeight="1" spans="2:2">
      <c r="B22815" s="62" t="str">
        <f>IF(AND('领用录入（明细）'!D:D=$F$4,'领用录入（明细）'!C:C&gt;=$J$4,'领用录入（明细）'!C:C&lt;=$L$4),ROW(),"-")</f>
        <v>-</v>
      </c>
    </row>
    <row r="22816" customHeight="1" spans="2:2">
      <c r="B22816" s="62" t="str">
        <f>IF(AND('领用录入（明细）'!D:D=$F$4,'领用录入（明细）'!C:C&gt;=$J$4,'领用录入（明细）'!C:C&lt;=$L$4),ROW(),"-")</f>
        <v>-</v>
      </c>
    </row>
    <row r="22817" customHeight="1" spans="2:2">
      <c r="B22817" s="62" t="str">
        <f>IF(AND('领用录入（明细）'!D:D=$F$4,'领用录入（明细）'!C:C&gt;=$J$4,'领用录入（明细）'!C:C&lt;=$L$4),ROW(),"-")</f>
        <v>-</v>
      </c>
    </row>
    <row r="22818" customHeight="1" spans="2:2">
      <c r="B22818" s="62" t="str">
        <f>IF(AND('领用录入（明细）'!D:D=$F$4,'领用录入（明细）'!C:C&gt;=$J$4,'领用录入（明细）'!C:C&lt;=$L$4),ROW(),"-")</f>
        <v>-</v>
      </c>
    </row>
    <row r="22819" customHeight="1" spans="2:2">
      <c r="B22819" s="62" t="str">
        <f>IF(AND('领用录入（明细）'!D:D=$F$4,'领用录入（明细）'!C:C&gt;=$J$4,'领用录入（明细）'!C:C&lt;=$L$4),ROW(),"-")</f>
        <v>-</v>
      </c>
    </row>
    <row r="22820" customHeight="1" spans="2:2">
      <c r="B22820" s="62" t="str">
        <f>IF(AND('领用录入（明细）'!D:D=$F$4,'领用录入（明细）'!C:C&gt;=$J$4,'领用录入（明细）'!C:C&lt;=$L$4),ROW(),"-")</f>
        <v>-</v>
      </c>
    </row>
    <row r="22821" customHeight="1" spans="2:2">
      <c r="B22821" s="62" t="str">
        <f>IF(AND('领用录入（明细）'!D:D=$F$4,'领用录入（明细）'!C:C&gt;=$J$4,'领用录入（明细）'!C:C&lt;=$L$4),ROW(),"-")</f>
        <v>-</v>
      </c>
    </row>
    <row r="22822" customHeight="1" spans="2:2">
      <c r="B22822" s="62" t="str">
        <f>IF(AND('领用录入（明细）'!D:D=$F$4,'领用录入（明细）'!C:C&gt;=$J$4,'领用录入（明细）'!C:C&lt;=$L$4),ROW(),"-")</f>
        <v>-</v>
      </c>
    </row>
    <row r="22823" customHeight="1" spans="2:2">
      <c r="B22823" s="62" t="str">
        <f>IF(AND('领用录入（明细）'!D:D=$F$4,'领用录入（明细）'!C:C&gt;=$J$4,'领用录入（明细）'!C:C&lt;=$L$4),ROW(),"-")</f>
        <v>-</v>
      </c>
    </row>
    <row r="22824" customHeight="1" spans="2:2">
      <c r="B22824" s="62" t="str">
        <f>IF(AND('领用录入（明细）'!D:D=$F$4,'领用录入（明细）'!C:C&gt;=$J$4,'领用录入（明细）'!C:C&lt;=$L$4),ROW(),"-")</f>
        <v>-</v>
      </c>
    </row>
    <row r="22825" customHeight="1" spans="2:2">
      <c r="B22825" s="62" t="str">
        <f>IF(AND('领用录入（明细）'!D:D=$F$4,'领用录入（明细）'!C:C&gt;=$J$4,'领用录入（明细）'!C:C&lt;=$L$4),ROW(),"-")</f>
        <v>-</v>
      </c>
    </row>
    <row r="22826" customHeight="1" spans="2:2">
      <c r="B22826" s="62" t="str">
        <f>IF(AND('领用录入（明细）'!D:D=$F$4,'领用录入（明细）'!C:C&gt;=$J$4,'领用录入（明细）'!C:C&lt;=$L$4),ROW(),"-")</f>
        <v>-</v>
      </c>
    </row>
    <row r="22827" customHeight="1" spans="2:2">
      <c r="B22827" s="62" t="str">
        <f>IF(AND('领用录入（明细）'!D:D=$F$4,'领用录入（明细）'!C:C&gt;=$J$4,'领用录入（明细）'!C:C&lt;=$L$4),ROW(),"-")</f>
        <v>-</v>
      </c>
    </row>
    <row r="22828" customHeight="1" spans="2:2">
      <c r="B22828" s="62" t="str">
        <f>IF(AND('领用录入（明细）'!D:D=$F$4,'领用录入（明细）'!C:C&gt;=$J$4,'领用录入（明细）'!C:C&lt;=$L$4),ROW(),"-")</f>
        <v>-</v>
      </c>
    </row>
    <row r="22829" customHeight="1" spans="2:2">
      <c r="B22829" s="62" t="str">
        <f>IF(AND('领用录入（明细）'!D:D=$F$4,'领用录入（明细）'!C:C&gt;=$J$4,'领用录入（明细）'!C:C&lt;=$L$4),ROW(),"-")</f>
        <v>-</v>
      </c>
    </row>
    <row r="22830" customHeight="1" spans="2:2">
      <c r="B22830" s="62" t="str">
        <f>IF(AND('领用录入（明细）'!D:D=$F$4,'领用录入（明细）'!C:C&gt;=$J$4,'领用录入（明细）'!C:C&lt;=$L$4),ROW(),"-")</f>
        <v>-</v>
      </c>
    </row>
    <row r="22831" customHeight="1" spans="2:2">
      <c r="B22831" s="62" t="str">
        <f>IF(AND('领用录入（明细）'!D:D=$F$4,'领用录入（明细）'!C:C&gt;=$J$4,'领用录入（明细）'!C:C&lt;=$L$4),ROW(),"-")</f>
        <v>-</v>
      </c>
    </row>
    <row r="22832" customHeight="1" spans="2:2">
      <c r="B22832" s="62" t="str">
        <f>IF(AND('领用录入（明细）'!D:D=$F$4,'领用录入（明细）'!C:C&gt;=$J$4,'领用录入（明细）'!C:C&lt;=$L$4),ROW(),"-")</f>
        <v>-</v>
      </c>
    </row>
    <row r="22833" customHeight="1" spans="2:2">
      <c r="B22833" s="62" t="str">
        <f>IF(AND('领用录入（明细）'!D:D=$F$4,'领用录入（明细）'!C:C&gt;=$J$4,'领用录入（明细）'!C:C&lt;=$L$4),ROW(),"-")</f>
        <v>-</v>
      </c>
    </row>
    <row r="22834" customHeight="1" spans="2:2">
      <c r="B22834" s="62" t="str">
        <f>IF(AND('领用录入（明细）'!D:D=$F$4,'领用录入（明细）'!C:C&gt;=$J$4,'领用录入（明细）'!C:C&lt;=$L$4),ROW(),"-")</f>
        <v>-</v>
      </c>
    </row>
    <row r="22835" customHeight="1" spans="2:2">
      <c r="B22835" s="62" t="str">
        <f>IF(AND('领用录入（明细）'!D:D=$F$4,'领用录入（明细）'!C:C&gt;=$J$4,'领用录入（明细）'!C:C&lt;=$L$4),ROW(),"-")</f>
        <v>-</v>
      </c>
    </row>
    <row r="22836" customHeight="1" spans="2:2">
      <c r="B22836" s="62" t="str">
        <f>IF(AND('领用录入（明细）'!D:D=$F$4,'领用录入（明细）'!C:C&gt;=$J$4,'领用录入（明细）'!C:C&lt;=$L$4),ROW(),"-")</f>
        <v>-</v>
      </c>
    </row>
    <row r="22837" customHeight="1" spans="2:2">
      <c r="B22837" s="62" t="str">
        <f>IF(AND('领用录入（明细）'!D:D=$F$4,'领用录入（明细）'!C:C&gt;=$J$4,'领用录入（明细）'!C:C&lt;=$L$4),ROW(),"-")</f>
        <v>-</v>
      </c>
    </row>
    <row r="22838" customHeight="1" spans="2:2">
      <c r="B22838" s="62" t="str">
        <f>IF(AND('领用录入（明细）'!D:D=$F$4,'领用录入（明细）'!C:C&gt;=$J$4,'领用录入（明细）'!C:C&lt;=$L$4),ROW(),"-")</f>
        <v>-</v>
      </c>
    </row>
    <row r="22839" customHeight="1" spans="2:2">
      <c r="B22839" s="62" t="str">
        <f>IF(AND('领用录入（明细）'!D:D=$F$4,'领用录入（明细）'!C:C&gt;=$J$4,'领用录入（明细）'!C:C&lt;=$L$4),ROW(),"-")</f>
        <v>-</v>
      </c>
    </row>
    <row r="22840" customHeight="1" spans="2:2">
      <c r="B22840" s="62" t="str">
        <f>IF(AND('领用录入（明细）'!D:D=$F$4,'领用录入（明细）'!C:C&gt;=$J$4,'领用录入（明细）'!C:C&lt;=$L$4),ROW(),"-")</f>
        <v>-</v>
      </c>
    </row>
    <row r="22841" customHeight="1" spans="2:2">
      <c r="B22841" s="62" t="str">
        <f>IF(AND('领用录入（明细）'!D:D=$F$4,'领用录入（明细）'!C:C&gt;=$J$4,'领用录入（明细）'!C:C&lt;=$L$4),ROW(),"-")</f>
        <v>-</v>
      </c>
    </row>
    <row r="22842" customHeight="1" spans="2:2">
      <c r="B22842" s="62" t="str">
        <f>IF(AND('领用录入（明细）'!D:D=$F$4,'领用录入（明细）'!C:C&gt;=$J$4,'领用录入（明细）'!C:C&lt;=$L$4),ROW(),"-")</f>
        <v>-</v>
      </c>
    </row>
    <row r="22843" customHeight="1" spans="2:2">
      <c r="B22843" s="62" t="str">
        <f>IF(AND('领用录入（明细）'!D:D=$F$4,'领用录入（明细）'!C:C&gt;=$J$4,'领用录入（明细）'!C:C&lt;=$L$4),ROW(),"-")</f>
        <v>-</v>
      </c>
    </row>
    <row r="22844" customHeight="1" spans="2:2">
      <c r="B22844" s="62" t="str">
        <f>IF(AND('领用录入（明细）'!D:D=$F$4,'领用录入（明细）'!C:C&gt;=$J$4,'领用录入（明细）'!C:C&lt;=$L$4),ROW(),"-")</f>
        <v>-</v>
      </c>
    </row>
    <row r="22845" customHeight="1" spans="2:2">
      <c r="B22845" s="62" t="str">
        <f>IF(AND('领用录入（明细）'!D:D=$F$4,'领用录入（明细）'!C:C&gt;=$J$4,'领用录入（明细）'!C:C&lt;=$L$4),ROW(),"-")</f>
        <v>-</v>
      </c>
    </row>
    <row r="22846" customHeight="1" spans="2:2">
      <c r="B22846" s="62" t="str">
        <f>IF(AND('领用录入（明细）'!D:D=$F$4,'领用录入（明细）'!C:C&gt;=$J$4,'领用录入（明细）'!C:C&lt;=$L$4),ROW(),"-")</f>
        <v>-</v>
      </c>
    </row>
    <row r="22847" customHeight="1" spans="2:2">
      <c r="B22847" s="62" t="str">
        <f>IF(AND('领用录入（明细）'!D:D=$F$4,'领用录入（明细）'!C:C&gt;=$J$4,'领用录入（明细）'!C:C&lt;=$L$4),ROW(),"-")</f>
        <v>-</v>
      </c>
    </row>
    <row r="22848" customHeight="1" spans="2:2">
      <c r="B22848" s="62" t="str">
        <f>IF(AND('领用录入（明细）'!D:D=$F$4,'领用录入（明细）'!C:C&gt;=$J$4,'领用录入（明细）'!C:C&lt;=$L$4),ROW(),"-")</f>
        <v>-</v>
      </c>
    </row>
    <row r="22849" customHeight="1" spans="2:2">
      <c r="B22849" s="62" t="str">
        <f>IF(AND('领用录入（明细）'!D:D=$F$4,'领用录入（明细）'!C:C&gt;=$J$4,'领用录入（明细）'!C:C&lt;=$L$4),ROW(),"-")</f>
        <v>-</v>
      </c>
    </row>
    <row r="22850" customHeight="1" spans="2:2">
      <c r="B22850" s="62" t="str">
        <f>IF(AND('领用录入（明细）'!D:D=$F$4,'领用录入（明细）'!C:C&gt;=$J$4,'领用录入（明细）'!C:C&lt;=$L$4),ROW(),"-")</f>
        <v>-</v>
      </c>
    </row>
    <row r="22851" customHeight="1" spans="2:2">
      <c r="B22851" s="62" t="str">
        <f>IF(AND('领用录入（明细）'!D:D=$F$4,'领用录入（明细）'!C:C&gt;=$J$4,'领用录入（明细）'!C:C&lt;=$L$4),ROW(),"-")</f>
        <v>-</v>
      </c>
    </row>
    <row r="22852" customHeight="1" spans="2:2">
      <c r="B22852" s="62" t="str">
        <f>IF(AND('领用录入（明细）'!D:D=$F$4,'领用录入（明细）'!C:C&gt;=$J$4,'领用录入（明细）'!C:C&lt;=$L$4),ROW(),"-")</f>
        <v>-</v>
      </c>
    </row>
    <row r="22853" customHeight="1" spans="2:2">
      <c r="B22853" s="62" t="str">
        <f>IF(AND('领用录入（明细）'!D:D=$F$4,'领用录入（明细）'!C:C&gt;=$J$4,'领用录入（明细）'!C:C&lt;=$L$4),ROW(),"-")</f>
        <v>-</v>
      </c>
    </row>
    <row r="22854" customHeight="1" spans="2:2">
      <c r="B22854" s="62" t="str">
        <f>IF(AND('领用录入（明细）'!D:D=$F$4,'领用录入（明细）'!C:C&gt;=$J$4,'领用录入（明细）'!C:C&lt;=$L$4),ROW(),"-")</f>
        <v>-</v>
      </c>
    </row>
    <row r="22855" customHeight="1" spans="2:2">
      <c r="B22855" s="62" t="str">
        <f>IF(AND('领用录入（明细）'!D:D=$F$4,'领用录入（明细）'!C:C&gt;=$J$4,'领用录入（明细）'!C:C&lt;=$L$4),ROW(),"-")</f>
        <v>-</v>
      </c>
    </row>
    <row r="22856" customHeight="1" spans="2:2">
      <c r="B22856" s="62" t="str">
        <f>IF(AND('领用录入（明细）'!D:D=$F$4,'领用录入（明细）'!C:C&gt;=$J$4,'领用录入（明细）'!C:C&lt;=$L$4),ROW(),"-")</f>
        <v>-</v>
      </c>
    </row>
    <row r="22857" customHeight="1" spans="2:2">
      <c r="B22857" s="62" t="str">
        <f>IF(AND('领用录入（明细）'!D:D=$F$4,'领用录入（明细）'!C:C&gt;=$J$4,'领用录入（明细）'!C:C&lt;=$L$4),ROW(),"-")</f>
        <v>-</v>
      </c>
    </row>
    <row r="22858" customHeight="1" spans="2:2">
      <c r="B22858" s="62" t="str">
        <f>IF(AND('领用录入（明细）'!D:D=$F$4,'领用录入（明细）'!C:C&gt;=$J$4,'领用录入（明细）'!C:C&lt;=$L$4),ROW(),"-")</f>
        <v>-</v>
      </c>
    </row>
    <row r="22859" customHeight="1" spans="2:2">
      <c r="B22859" s="62" t="str">
        <f>IF(AND('领用录入（明细）'!D:D=$F$4,'领用录入（明细）'!C:C&gt;=$J$4,'领用录入（明细）'!C:C&lt;=$L$4),ROW(),"-")</f>
        <v>-</v>
      </c>
    </row>
    <row r="22860" customHeight="1" spans="2:2">
      <c r="B22860" s="62" t="str">
        <f>IF(AND('领用录入（明细）'!D:D=$F$4,'领用录入（明细）'!C:C&gt;=$J$4,'领用录入（明细）'!C:C&lt;=$L$4),ROW(),"-")</f>
        <v>-</v>
      </c>
    </row>
    <row r="22861" customHeight="1" spans="2:2">
      <c r="B22861" s="62" t="str">
        <f>IF(AND('领用录入（明细）'!D:D=$F$4,'领用录入（明细）'!C:C&gt;=$J$4,'领用录入（明细）'!C:C&lt;=$L$4),ROW(),"-")</f>
        <v>-</v>
      </c>
    </row>
    <row r="22862" customHeight="1" spans="2:2">
      <c r="B22862" s="62" t="str">
        <f>IF(AND('领用录入（明细）'!D:D=$F$4,'领用录入（明细）'!C:C&gt;=$J$4,'领用录入（明细）'!C:C&lt;=$L$4),ROW(),"-")</f>
        <v>-</v>
      </c>
    </row>
    <row r="22863" customHeight="1" spans="2:2">
      <c r="B22863" s="62" t="str">
        <f>IF(AND('领用录入（明细）'!D:D=$F$4,'领用录入（明细）'!C:C&gt;=$J$4,'领用录入（明细）'!C:C&lt;=$L$4),ROW(),"-")</f>
        <v>-</v>
      </c>
    </row>
    <row r="22864" customHeight="1" spans="2:2">
      <c r="B22864" s="62" t="str">
        <f>IF(AND('领用录入（明细）'!D:D=$F$4,'领用录入（明细）'!C:C&gt;=$J$4,'领用录入（明细）'!C:C&lt;=$L$4),ROW(),"-")</f>
        <v>-</v>
      </c>
    </row>
    <row r="22865" customHeight="1" spans="2:2">
      <c r="B22865" s="62" t="str">
        <f>IF(AND('领用录入（明细）'!D:D=$F$4,'领用录入（明细）'!C:C&gt;=$J$4,'领用录入（明细）'!C:C&lt;=$L$4),ROW(),"-")</f>
        <v>-</v>
      </c>
    </row>
    <row r="22866" customHeight="1" spans="2:2">
      <c r="B22866" s="62" t="str">
        <f>IF(AND('领用录入（明细）'!D:D=$F$4,'领用录入（明细）'!C:C&gt;=$J$4,'领用录入（明细）'!C:C&lt;=$L$4),ROW(),"-")</f>
        <v>-</v>
      </c>
    </row>
    <row r="22867" customHeight="1" spans="2:2">
      <c r="B22867" s="62" t="str">
        <f>IF(AND('领用录入（明细）'!D:D=$F$4,'领用录入（明细）'!C:C&gt;=$J$4,'领用录入（明细）'!C:C&lt;=$L$4),ROW(),"-")</f>
        <v>-</v>
      </c>
    </row>
    <row r="22868" customHeight="1" spans="2:2">
      <c r="B22868" s="62" t="str">
        <f>IF(AND('领用录入（明细）'!D:D=$F$4,'领用录入（明细）'!C:C&gt;=$J$4,'领用录入（明细）'!C:C&lt;=$L$4),ROW(),"-")</f>
        <v>-</v>
      </c>
    </row>
    <row r="22869" customHeight="1" spans="2:2">
      <c r="B22869" s="62" t="str">
        <f>IF(AND('领用录入（明细）'!D:D=$F$4,'领用录入（明细）'!C:C&gt;=$J$4,'领用录入（明细）'!C:C&lt;=$L$4),ROW(),"-")</f>
        <v>-</v>
      </c>
    </row>
    <row r="22870" customHeight="1" spans="2:2">
      <c r="B22870" s="62" t="str">
        <f>IF(AND('领用录入（明细）'!D:D=$F$4,'领用录入（明细）'!C:C&gt;=$J$4,'领用录入（明细）'!C:C&lt;=$L$4),ROW(),"-")</f>
        <v>-</v>
      </c>
    </row>
    <row r="22871" customHeight="1" spans="2:2">
      <c r="B22871" s="62" t="str">
        <f>IF(AND('领用录入（明细）'!D:D=$F$4,'领用录入（明细）'!C:C&gt;=$J$4,'领用录入（明细）'!C:C&lt;=$L$4),ROW(),"-")</f>
        <v>-</v>
      </c>
    </row>
    <row r="22872" customHeight="1" spans="2:2">
      <c r="B22872" s="62" t="str">
        <f>IF(AND('领用录入（明细）'!D:D=$F$4,'领用录入（明细）'!C:C&gt;=$J$4,'领用录入（明细）'!C:C&lt;=$L$4),ROW(),"-")</f>
        <v>-</v>
      </c>
    </row>
    <row r="22873" customHeight="1" spans="2:2">
      <c r="B22873" s="62" t="str">
        <f>IF(AND('领用录入（明细）'!D:D=$F$4,'领用录入（明细）'!C:C&gt;=$J$4,'领用录入（明细）'!C:C&lt;=$L$4),ROW(),"-")</f>
        <v>-</v>
      </c>
    </row>
    <row r="22874" customHeight="1" spans="2:2">
      <c r="B22874" s="62" t="str">
        <f>IF(AND('领用录入（明细）'!D:D=$F$4,'领用录入（明细）'!C:C&gt;=$J$4,'领用录入（明细）'!C:C&lt;=$L$4),ROW(),"-")</f>
        <v>-</v>
      </c>
    </row>
    <row r="22875" customHeight="1" spans="2:2">
      <c r="B22875" s="62" t="str">
        <f>IF(AND('领用录入（明细）'!D:D=$F$4,'领用录入（明细）'!C:C&gt;=$J$4,'领用录入（明细）'!C:C&lt;=$L$4),ROW(),"-")</f>
        <v>-</v>
      </c>
    </row>
    <row r="22876" customHeight="1" spans="2:2">
      <c r="B22876" s="62" t="str">
        <f>IF(AND('领用录入（明细）'!D:D=$F$4,'领用录入（明细）'!C:C&gt;=$J$4,'领用录入（明细）'!C:C&lt;=$L$4),ROW(),"-")</f>
        <v>-</v>
      </c>
    </row>
    <row r="22877" customHeight="1" spans="2:2">
      <c r="B22877" s="62" t="str">
        <f>IF(AND('领用录入（明细）'!D:D=$F$4,'领用录入（明细）'!C:C&gt;=$J$4,'领用录入（明细）'!C:C&lt;=$L$4),ROW(),"-")</f>
        <v>-</v>
      </c>
    </row>
    <row r="22878" customHeight="1" spans="2:2">
      <c r="B22878" s="62" t="str">
        <f>IF(AND('领用录入（明细）'!D:D=$F$4,'领用录入（明细）'!C:C&gt;=$J$4,'领用录入（明细）'!C:C&lt;=$L$4),ROW(),"-")</f>
        <v>-</v>
      </c>
    </row>
    <row r="22879" customHeight="1" spans="2:2">
      <c r="B22879" s="62" t="str">
        <f>IF(AND('领用录入（明细）'!D:D=$F$4,'领用录入（明细）'!C:C&gt;=$J$4,'领用录入（明细）'!C:C&lt;=$L$4),ROW(),"-")</f>
        <v>-</v>
      </c>
    </row>
    <row r="22880" customHeight="1" spans="2:2">
      <c r="B22880" s="62" t="str">
        <f>IF(AND('领用录入（明细）'!D:D=$F$4,'领用录入（明细）'!C:C&gt;=$J$4,'领用录入（明细）'!C:C&lt;=$L$4),ROW(),"-")</f>
        <v>-</v>
      </c>
    </row>
    <row r="22881" customHeight="1" spans="2:2">
      <c r="B22881" s="62" t="str">
        <f>IF(AND('领用录入（明细）'!D:D=$F$4,'领用录入（明细）'!C:C&gt;=$J$4,'领用录入（明细）'!C:C&lt;=$L$4),ROW(),"-")</f>
        <v>-</v>
      </c>
    </row>
    <row r="22882" customHeight="1" spans="2:2">
      <c r="B22882" s="62" t="str">
        <f>IF(AND('领用录入（明细）'!D:D=$F$4,'领用录入（明细）'!C:C&gt;=$J$4,'领用录入（明细）'!C:C&lt;=$L$4),ROW(),"-")</f>
        <v>-</v>
      </c>
    </row>
    <row r="22883" customHeight="1" spans="2:2">
      <c r="B22883" s="62" t="str">
        <f>IF(AND('领用录入（明细）'!D:D=$F$4,'领用录入（明细）'!C:C&gt;=$J$4,'领用录入（明细）'!C:C&lt;=$L$4),ROW(),"-")</f>
        <v>-</v>
      </c>
    </row>
    <row r="22884" customHeight="1" spans="2:2">
      <c r="B22884" s="62" t="str">
        <f>IF(AND('领用录入（明细）'!D:D=$F$4,'领用录入（明细）'!C:C&gt;=$J$4,'领用录入（明细）'!C:C&lt;=$L$4),ROW(),"-")</f>
        <v>-</v>
      </c>
    </row>
    <row r="22885" customHeight="1" spans="2:2">
      <c r="B22885" s="62" t="str">
        <f>IF(AND('领用录入（明细）'!D:D=$F$4,'领用录入（明细）'!C:C&gt;=$J$4,'领用录入（明细）'!C:C&lt;=$L$4),ROW(),"-")</f>
        <v>-</v>
      </c>
    </row>
    <row r="22886" customHeight="1" spans="2:2">
      <c r="B22886" s="62" t="str">
        <f>IF(AND('领用录入（明细）'!D:D=$F$4,'领用录入（明细）'!C:C&gt;=$J$4,'领用录入（明细）'!C:C&lt;=$L$4),ROW(),"-")</f>
        <v>-</v>
      </c>
    </row>
    <row r="22887" customHeight="1" spans="2:2">
      <c r="B22887" s="62" t="str">
        <f>IF(AND('领用录入（明细）'!D:D=$F$4,'领用录入（明细）'!C:C&gt;=$J$4,'领用录入（明细）'!C:C&lt;=$L$4),ROW(),"-")</f>
        <v>-</v>
      </c>
    </row>
    <row r="22888" customHeight="1" spans="2:2">
      <c r="B22888" s="62" t="str">
        <f>IF(AND('领用录入（明细）'!D:D=$F$4,'领用录入（明细）'!C:C&gt;=$J$4,'领用录入（明细）'!C:C&lt;=$L$4),ROW(),"-")</f>
        <v>-</v>
      </c>
    </row>
    <row r="22889" customHeight="1" spans="2:2">
      <c r="B22889" s="62" t="str">
        <f>IF(AND('领用录入（明细）'!D:D=$F$4,'领用录入（明细）'!C:C&gt;=$J$4,'领用录入（明细）'!C:C&lt;=$L$4),ROW(),"-")</f>
        <v>-</v>
      </c>
    </row>
    <row r="22890" customHeight="1" spans="2:2">
      <c r="B22890" s="62" t="str">
        <f>IF(AND('领用录入（明细）'!D:D=$F$4,'领用录入（明细）'!C:C&gt;=$J$4,'领用录入（明细）'!C:C&lt;=$L$4),ROW(),"-")</f>
        <v>-</v>
      </c>
    </row>
    <row r="22891" customHeight="1" spans="2:2">
      <c r="B22891" s="62" t="str">
        <f>IF(AND('领用录入（明细）'!D:D=$F$4,'领用录入（明细）'!C:C&gt;=$J$4,'领用录入（明细）'!C:C&lt;=$L$4),ROW(),"-")</f>
        <v>-</v>
      </c>
    </row>
    <row r="22892" customHeight="1" spans="2:2">
      <c r="B22892" s="62" t="str">
        <f>IF(AND('领用录入（明细）'!D:D=$F$4,'领用录入（明细）'!C:C&gt;=$J$4,'领用录入（明细）'!C:C&lt;=$L$4),ROW(),"-")</f>
        <v>-</v>
      </c>
    </row>
    <row r="22893" customHeight="1" spans="2:2">
      <c r="B22893" s="62" t="str">
        <f>IF(AND('领用录入（明细）'!D:D=$F$4,'领用录入（明细）'!C:C&gt;=$J$4,'领用录入（明细）'!C:C&lt;=$L$4),ROW(),"-")</f>
        <v>-</v>
      </c>
    </row>
    <row r="22894" customHeight="1" spans="2:2">
      <c r="B22894" s="62" t="str">
        <f>IF(AND('领用录入（明细）'!D:D=$F$4,'领用录入（明细）'!C:C&gt;=$J$4,'领用录入（明细）'!C:C&lt;=$L$4),ROW(),"-")</f>
        <v>-</v>
      </c>
    </row>
    <row r="22895" customHeight="1" spans="2:2">
      <c r="B22895" s="62" t="str">
        <f>IF(AND('领用录入（明细）'!D:D=$F$4,'领用录入（明细）'!C:C&gt;=$J$4,'领用录入（明细）'!C:C&lt;=$L$4),ROW(),"-")</f>
        <v>-</v>
      </c>
    </row>
    <row r="22896" customHeight="1" spans="2:2">
      <c r="B22896" s="62" t="str">
        <f>IF(AND('领用录入（明细）'!D:D=$F$4,'领用录入（明细）'!C:C&gt;=$J$4,'领用录入（明细）'!C:C&lt;=$L$4),ROW(),"-")</f>
        <v>-</v>
      </c>
    </row>
    <row r="22897" customHeight="1" spans="2:2">
      <c r="B22897" s="62" t="str">
        <f>IF(AND('领用录入（明细）'!D:D=$F$4,'领用录入（明细）'!C:C&gt;=$J$4,'领用录入（明细）'!C:C&lt;=$L$4),ROW(),"-")</f>
        <v>-</v>
      </c>
    </row>
    <row r="22898" customHeight="1" spans="2:2">
      <c r="B22898" s="62" t="str">
        <f>IF(AND('领用录入（明细）'!D:D=$F$4,'领用录入（明细）'!C:C&gt;=$J$4,'领用录入（明细）'!C:C&lt;=$L$4),ROW(),"-")</f>
        <v>-</v>
      </c>
    </row>
    <row r="22899" customHeight="1" spans="2:2">
      <c r="B22899" s="62" t="str">
        <f>IF(AND('领用录入（明细）'!D:D=$F$4,'领用录入（明细）'!C:C&gt;=$J$4,'领用录入（明细）'!C:C&lt;=$L$4),ROW(),"-")</f>
        <v>-</v>
      </c>
    </row>
    <row r="22900" customHeight="1" spans="2:2">
      <c r="B22900" s="62" t="str">
        <f>IF(AND('领用录入（明细）'!D:D=$F$4,'领用录入（明细）'!C:C&gt;=$J$4,'领用录入（明细）'!C:C&lt;=$L$4),ROW(),"-")</f>
        <v>-</v>
      </c>
    </row>
    <row r="22901" customHeight="1" spans="2:2">
      <c r="B22901" s="62" t="str">
        <f>IF(AND('领用录入（明细）'!D:D=$F$4,'领用录入（明细）'!C:C&gt;=$J$4,'领用录入（明细）'!C:C&lt;=$L$4),ROW(),"-")</f>
        <v>-</v>
      </c>
    </row>
    <row r="22902" customHeight="1" spans="2:2">
      <c r="B22902" s="62" t="str">
        <f>IF(AND('领用录入（明细）'!D:D=$F$4,'领用录入（明细）'!C:C&gt;=$J$4,'领用录入（明细）'!C:C&lt;=$L$4),ROW(),"-")</f>
        <v>-</v>
      </c>
    </row>
    <row r="22903" customHeight="1" spans="2:2">
      <c r="B22903" s="62" t="str">
        <f>IF(AND('领用录入（明细）'!D:D=$F$4,'领用录入（明细）'!C:C&gt;=$J$4,'领用录入（明细）'!C:C&lt;=$L$4),ROW(),"-")</f>
        <v>-</v>
      </c>
    </row>
    <row r="22904" customHeight="1" spans="2:2">
      <c r="B22904" s="62" t="str">
        <f>IF(AND('领用录入（明细）'!D:D=$F$4,'领用录入（明细）'!C:C&gt;=$J$4,'领用录入（明细）'!C:C&lt;=$L$4),ROW(),"-")</f>
        <v>-</v>
      </c>
    </row>
    <row r="22905" customHeight="1" spans="2:2">
      <c r="B22905" s="62" t="str">
        <f>IF(AND('领用录入（明细）'!D:D=$F$4,'领用录入（明细）'!C:C&gt;=$J$4,'领用录入（明细）'!C:C&lt;=$L$4),ROW(),"-")</f>
        <v>-</v>
      </c>
    </row>
    <row r="22906" customHeight="1" spans="2:2">
      <c r="B22906" s="62" t="str">
        <f>IF(AND('领用录入（明细）'!D:D=$F$4,'领用录入（明细）'!C:C&gt;=$J$4,'领用录入（明细）'!C:C&lt;=$L$4),ROW(),"-")</f>
        <v>-</v>
      </c>
    </row>
    <row r="22907" customHeight="1" spans="2:2">
      <c r="B22907" s="62" t="str">
        <f>IF(AND('领用录入（明细）'!D:D=$F$4,'领用录入（明细）'!C:C&gt;=$J$4,'领用录入（明细）'!C:C&lt;=$L$4),ROW(),"-")</f>
        <v>-</v>
      </c>
    </row>
    <row r="22908" customHeight="1" spans="2:2">
      <c r="B22908" s="62" t="str">
        <f>IF(AND('领用录入（明细）'!D:D=$F$4,'领用录入（明细）'!C:C&gt;=$J$4,'领用录入（明细）'!C:C&lt;=$L$4),ROW(),"-")</f>
        <v>-</v>
      </c>
    </row>
    <row r="22909" customHeight="1" spans="2:2">
      <c r="B22909" s="62" t="str">
        <f>IF(AND('领用录入（明细）'!D:D=$F$4,'领用录入（明细）'!C:C&gt;=$J$4,'领用录入（明细）'!C:C&lt;=$L$4),ROW(),"-")</f>
        <v>-</v>
      </c>
    </row>
    <row r="22910" customHeight="1" spans="2:2">
      <c r="B22910" s="62" t="str">
        <f>IF(AND('领用录入（明细）'!D:D=$F$4,'领用录入（明细）'!C:C&gt;=$J$4,'领用录入（明细）'!C:C&lt;=$L$4),ROW(),"-")</f>
        <v>-</v>
      </c>
    </row>
    <row r="22911" customHeight="1" spans="2:2">
      <c r="B22911" s="62" t="str">
        <f>IF(AND('领用录入（明细）'!D:D=$F$4,'领用录入（明细）'!C:C&gt;=$J$4,'领用录入（明细）'!C:C&lt;=$L$4),ROW(),"-")</f>
        <v>-</v>
      </c>
    </row>
    <row r="22912" customHeight="1" spans="2:2">
      <c r="B22912" s="62" t="str">
        <f>IF(AND('领用录入（明细）'!D:D=$F$4,'领用录入（明细）'!C:C&gt;=$J$4,'领用录入（明细）'!C:C&lt;=$L$4),ROW(),"-")</f>
        <v>-</v>
      </c>
    </row>
    <row r="22913" customHeight="1" spans="2:2">
      <c r="B22913" s="62" t="str">
        <f>IF(AND('领用录入（明细）'!D:D=$F$4,'领用录入（明细）'!C:C&gt;=$J$4,'领用录入（明细）'!C:C&lt;=$L$4),ROW(),"-")</f>
        <v>-</v>
      </c>
    </row>
    <row r="22914" customHeight="1" spans="2:2">
      <c r="B22914" s="62" t="str">
        <f>IF(AND('领用录入（明细）'!D:D=$F$4,'领用录入（明细）'!C:C&gt;=$J$4,'领用录入（明细）'!C:C&lt;=$L$4),ROW(),"-")</f>
        <v>-</v>
      </c>
    </row>
    <row r="22915" customHeight="1" spans="2:2">
      <c r="B22915" s="62" t="str">
        <f>IF(AND('领用录入（明细）'!D:D=$F$4,'领用录入（明细）'!C:C&gt;=$J$4,'领用录入（明细）'!C:C&lt;=$L$4),ROW(),"-")</f>
        <v>-</v>
      </c>
    </row>
    <row r="22916" customHeight="1" spans="2:2">
      <c r="B22916" s="62" t="str">
        <f>IF(AND('领用录入（明细）'!D:D=$F$4,'领用录入（明细）'!C:C&gt;=$J$4,'领用录入（明细）'!C:C&lt;=$L$4),ROW(),"-")</f>
        <v>-</v>
      </c>
    </row>
    <row r="22917" customHeight="1" spans="2:2">
      <c r="B22917" s="62" t="str">
        <f>IF(AND('领用录入（明细）'!D:D=$F$4,'领用录入（明细）'!C:C&gt;=$J$4,'领用录入（明细）'!C:C&lt;=$L$4),ROW(),"-")</f>
        <v>-</v>
      </c>
    </row>
    <row r="22918" customHeight="1" spans="2:2">
      <c r="B22918" s="62" t="str">
        <f>IF(AND('领用录入（明细）'!D:D=$F$4,'领用录入（明细）'!C:C&gt;=$J$4,'领用录入（明细）'!C:C&lt;=$L$4),ROW(),"-")</f>
        <v>-</v>
      </c>
    </row>
    <row r="22919" customHeight="1" spans="2:2">
      <c r="B22919" s="62" t="str">
        <f>IF(AND('领用录入（明细）'!D:D=$F$4,'领用录入（明细）'!C:C&gt;=$J$4,'领用录入（明细）'!C:C&lt;=$L$4),ROW(),"-")</f>
        <v>-</v>
      </c>
    </row>
    <row r="22920" customHeight="1" spans="2:2">
      <c r="B22920" s="62" t="str">
        <f>IF(AND('领用录入（明细）'!D:D=$F$4,'领用录入（明细）'!C:C&gt;=$J$4,'领用录入（明细）'!C:C&lt;=$L$4),ROW(),"-")</f>
        <v>-</v>
      </c>
    </row>
    <row r="22921" customHeight="1" spans="2:2">
      <c r="B22921" s="62" t="str">
        <f>IF(AND('领用录入（明细）'!D:D=$F$4,'领用录入（明细）'!C:C&gt;=$J$4,'领用录入（明细）'!C:C&lt;=$L$4),ROW(),"-")</f>
        <v>-</v>
      </c>
    </row>
    <row r="22922" customHeight="1" spans="2:2">
      <c r="B22922" s="62" t="str">
        <f>IF(AND('领用录入（明细）'!D:D=$F$4,'领用录入（明细）'!C:C&gt;=$J$4,'领用录入（明细）'!C:C&lt;=$L$4),ROW(),"-")</f>
        <v>-</v>
      </c>
    </row>
    <row r="22923" customHeight="1" spans="2:2">
      <c r="B22923" s="62" t="str">
        <f>IF(AND('领用录入（明细）'!D:D=$F$4,'领用录入（明细）'!C:C&gt;=$J$4,'领用录入（明细）'!C:C&lt;=$L$4),ROW(),"-")</f>
        <v>-</v>
      </c>
    </row>
    <row r="22924" customHeight="1" spans="2:2">
      <c r="B22924" s="62" t="str">
        <f>IF(AND('领用录入（明细）'!D:D=$F$4,'领用录入（明细）'!C:C&gt;=$J$4,'领用录入（明细）'!C:C&lt;=$L$4),ROW(),"-")</f>
        <v>-</v>
      </c>
    </row>
    <row r="22925" customHeight="1" spans="2:2">
      <c r="B22925" s="62" t="str">
        <f>IF(AND('领用录入（明细）'!D:D=$F$4,'领用录入（明细）'!C:C&gt;=$J$4,'领用录入（明细）'!C:C&lt;=$L$4),ROW(),"-")</f>
        <v>-</v>
      </c>
    </row>
    <row r="22926" customHeight="1" spans="2:2">
      <c r="B22926" s="62" t="str">
        <f>IF(AND('领用录入（明细）'!D:D=$F$4,'领用录入（明细）'!C:C&gt;=$J$4,'领用录入（明细）'!C:C&lt;=$L$4),ROW(),"-")</f>
        <v>-</v>
      </c>
    </row>
    <row r="22927" customHeight="1" spans="2:2">
      <c r="B22927" s="62" t="str">
        <f>IF(AND('领用录入（明细）'!D:D=$F$4,'领用录入（明细）'!C:C&gt;=$J$4,'领用录入（明细）'!C:C&lt;=$L$4),ROW(),"-")</f>
        <v>-</v>
      </c>
    </row>
    <row r="22928" customHeight="1" spans="2:2">
      <c r="B22928" s="62" t="str">
        <f>IF(AND('领用录入（明细）'!D:D=$F$4,'领用录入（明细）'!C:C&gt;=$J$4,'领用录入（明细）'!C:C&lt;=$L$4),ROW(),"-")</f>
        <v>-</v>
      </c>
    </row>
    <row r="22929" customHeight="1" spans="2:2">
      <c r="B22929" s="62" t="str">
        <f>IF(AND('领用录入（明细）'!D:D=$F$4,'领用录入（明细）'!C:C&gt;=$J$4,'领用录入（明细）'!C:C&lt;=$L$4),ROW(),"-")</f>
        <v>-</v>
      </c>
    </row>
    <row r="22930" customHeight="1" spans="2:2">
      <c r="B22930" s="62" t="str">
        <f>IF(AND('领用录入（明细）'!D:D=$F$4,'领用录入（明细）'!C:C&gt;=$J$4,'领用录入（明细）'!C:C&lt;=$L$4),ROW(),"-")</f>
        <v>-</v>
      </c>
    </row>
    <row r="22931" customHeight="1" spans="2:2">
      <c r="B22931" s="62" t="str">
        <f>IF(AND('领用录入（明细）'!D:D=$F$4,'领用录入（明细）'!C:C&gt;=$J$4,'领用录入（明细）'!C:C&lt;=$L$4),ROW(),"-")</f>
        <v>-</v>
      </c>
    </row>
    <row r="22932" customHeight="1" spans="2:2">
      <c r="B22932" s="62" t="str">
        <f>IF(AND('领用录入（明细）'!D:D=$F$4,'领用录入（明细）'!C:C&gt;=$J$4,'领用录入（明细）'!C:C&lt;=$L$4),ROW(),"-")</f>
        <v>-</v>
      </c>
    </row>
    <row r="22933" customHeight="1" spans="2:2">
      <c r="B22933" s="62" t="str">
        <f>IF(AND('领用录入（明细）'!D:D=$F$4,'领用录入（明细）'!C:C&gt;=$J$4,'领用录入（明细）'!C:C&lt;=$L$4),ROW(),"-")</f>
        <v>-</v>
      </c>
    </row>
    <row r="22934" customHeight="1" spans="2:2">
      <c r="B22934" s="62" t="str">
        <f>IF(AND('领用录入（明细）'!D:D=$F$4,'领用录入（明细）'!C:C&gt;=$J$4,'领用录入（明细）'!C:C&lt;=$L$4),ROW(),"-")</f>
        <v>-</v>
      </c>
    </row>
    <row r="22935" customHeight="1" spans="2:2">
      <c r="B22935" s="62" t="str">
        <f>IF(AND('领用录入（明细）'!D:D=$F$4,'领用录入（明细）'!C:C&gt;=$J$4,'领用录入（明细）'!C:C&lt;=$L$4),ROW(),"-")</f>
        <v>-</v>
      </c>
    </row>
    <row r="22936" customHeight="1" spans="2:2">
      <c r="B22936" s="62" t="str">
        <f>IF(AND('领用录入（明细）'!D:D=$F$4,'领用录入（明细）'!C:C&gt;=$J$4,'领用录入（明细）'!C:C&lt;=$L$4),ROW(),"-")</f>
        <v>-</v>
      </c>
    </row>
    <row r="22937" customHeight="1" spans="2:2">
      <c r="B22937" s="62" t="str">
        <f>IF(AND('领用录入（明细）'!D:D=$F$4,'领用录入（明细）'!C:C&gt;=$J$4,'领用录入（明细）'!C:C&lt;=$L$4),ROW(),"-")</f>
        <v>-</v>
      </c>
    </row>
    <row r="22938" customHeight="1" spans="2:2">
      <c r="B22938" s="62" t="str">
        <f>IF(AND('领用录入（明细）'!D:D=$F$4,'领用录入（明细）'!C:C&gt;=$J$4,'领用录入（明细）'!C:C&lt;=$L$4),ROW(),"-")</f>
        <v>-</v>
      </c>
    </row>
    <row r="22939" customHeight="1" spans="2:2">
      <c r="B22939" s="62" t="str">
        <f>IF(AND('领用录入（明细）'!D:D=$F$4,'领用录入（明细）'!C:C&gt;=$J$4,'领用录入（明细）'!C:C&lt;=$L$4),ROW(),"-")</f>
        <v>-</v>
      </c>
    </row>
    <row r="22940" customHeight="1" spans="2:2">
      <c r="B22940" s="62" t="str">
        <f>IF(AND('领用录入（明细）'!D:D=$F$4,'领用录入（明细）'!C:C&gt;=$J$4,'领用录入（明细）'!C:C&lt;=$L$4),ROW(),"-")</f>
        <v>-</v>
      </c>
    </row>
    <row r="22941" customHeight="1" spans="2:2">
      <c r="B22941" s="62" t="str">
        <f>IF(AND('领用录入（明细）'!D:D=$F$4,'领用录入（明细）'!C:C&gt;=$J$4,'领用录入（明细）'!C:C&lt;=$L$4),ROW(),"-")</f>
        <v>-</v>
      </c>
    </row>
    <row r="22942" customHeight="1" spans="2:2">
      <c r="B22942" s="62" t="str">
        <f>IF(AND('领用录入（明细）'!D:D=$F$4,'领用录入（明细）'!C:C&gt;=$J$4,'领用录入（明细）'!C:C&lt;=$L$4),ROW(),"-")</f>
        <v>-</v>
      </c>
    </row>
    <row r="22943" customHeight="1" spans="2:2">
      <c r="B22943" s="62" t="str">
        <f>IF(AND('领用录入（明细）'!D:D=$F$4,'领用录入（明细）'!C:C&gt;=$J$4,'领用录入（明细）'!C:C&lt;=$L$4),ROW(),"-")</f>
        <v>-</v>
      </c>
    </row>
    <row r="22944" customHeight="1" spans="2:2">
      <c r="B22944" s="62" t="str">
        <f>IF(AND('领用录入（明细）'!D:D=$F$4,'领用录入（明细）'!C:C&gt;=$J$4,'领用录入（明细）'!C:C&lt;=$L$4),ROW(),"-")</f>
        <v>-</v>
      </c>
    </row>
    <row r="22945" customHeight="1" spans="2:2">
      <c r="B22945" s="62" t="str">
        <f>IF(AND('领用录入（明细）'!D:D=$F$4,'领用录入（明细）'!C:C&gt;=$J$4,'领用录入（明细）'!C:C&lt;=$L$4),ROW(),"-")</f>
        <v>-</v>
      </c>
    </row>
    <row r="22946" customHeight="1" spans="2:2">
      <c r="B22946" s="62" t="str">
        <f>IF(AND('领用录入（明细）'!D:D=$F$4,'领用录入（明细）'!C:C&gt;=$J$4,'领用录入（明细）'!C:C&lt;=$L$4),ROW(),"-")</f>
        <v>-</v>
      </c>
    </row>
    <row r="22947" customHeight="1" spans="2:2">
      <c r="B22947" s="62" t="str">
        <f>IF(AND('领用录入（明细）'!D:D=$F$4,'领用录入（明细）'!C:C&gt;=$J$4,'领用录入（明细）'!C:C&lt;=$L$4),ROW(),"-")</f>
        <v>-</v>
      </c>
    </row>
    <row r="22948" customHeight="1" spans="2:2">
      <c r="B22948" s="62" t="str">
        <f>IF(AND('领用录入（明细）'!D:D=$F$4,'领用录入（明细）'!C:C&gt;=$J$4,'领用录入（明细）'!C:C&lt;=$L$4),ROW(),"-")</f>
        <v>-</v>
      </c>
    </row>
    <row r="22949" customHeight="1" spans="2:2">
      <c r="B22949" s="62" t="str">
        <f>IF(AND('领用录入（明细）'!D:D=$F$4,'领用录入（明细）'!C:C&gt;=$J$4,'领用录入（明细）'!C:C&lt;=$L$4),ROW(),"-")</f>
        <v>-</v>
      </c>
    </row>
    <row r="22950" customHeight="1" spans="2:2">
      <c r="B22950" s="62" t="str">
        <f>IF(AND('领用录入（明细）'!D:D=$F$4,'领用录入（明细）'!C:C&gt;=$J$4,'领用录入（明细）'!C:C&lt;=$L$4),ROW(),"-")</f>
        <v>-</v>
      </c>
    </row>
    <row r="22951" customHeight="1" spans="2:2">
      <c r="B22951" s="62" t="str">
        <f>IF(AND('领用录入（明细）'!D:D=$F$4,'领用录入（明细）'!C:C&gt;=$J$4,'领用录入（明细）'!C:C&lt;=$L$4),ROW(),"-")</f>
        <v>-</v>
      </c>
    </row>
    <row r="22952" customHeight="1" spans="2:2">
      <c r="B22952" s="62" t="str">
        <f>IF(AND('领用录入（明细）'!D:D=$F$4,'领用录入（明细）'!C:C&gt;=$J$4,'领用录入（明细）'!C:C&lt;=$L$4),ROW(),"-")</f>
        <v>-</v>
      </c>
    </row>
    <row r="22953" customHeight="1" spans="2:2">
      <c r="B22953" s="62" t="str">
        <f>IF(AND('领用录入（明细）'!D:D=$F$4,'领用录入（明细）'!C:C&gt;=$J$4,'领用录入（明细）'!C:C&lt;=$L$4),ROW(),"-")</f>
        <v>-</v>
      </c>
    </row>
    <row r="22954" customHeight="1" spans="2:2">
      <c r="B22954" s="62" t="str">
        <f>IF(AND('领用录入（明细）'!D:D=$F$4,'领用录入（明细）'!C:C&gt;=$J$4,'领用录入（明细）'!C:C&lt;=$L$4),ROW(),"-")</f>
        <v>-</v>
      </c>
    </row>
    <row r="22955" customHeight="1" spans="2:2">
      <c r="B22955" s="62" t="str">
        <f>IF(AND('领用录入（明细）'!D:D=$F$4,'领用录入（明细）'!C:C&gt;=$J$4,'领用录入（明细）'!C:C&lt;=$L$4),ROW(),"-")</f>
        <v>-</v>
      </c>
    </row>
    <row r="22956" customHeight="1" spans="2:2">
      <c r="B22956" s="62" t="str">
        <f>IF(AND('领用录入（明细）'!D:D=$F$4,'领用录入（明细）'!C:C&gt;=$J$4,'领用录入（明细）'!C:C&lt;=$L$4),ROW(),"-")</f>
        <v>-</v>
      </c>
    </row>
    <row r="22957" customHeight="1" spans="2:2">
      <c r="B22957" s="62" t="str">
        <f>IF(AND('领用录入（明细）'!D:D=$F$4,'领用录入（明细）'!C:C&gt;=$J$4,'领用录入（明细）'!C:C&lt;=$L$4),ROW(),"-")</f>
        <v>-</v>
      </c>
    </row>
    <row r="22958" customHeight="1" spans="2:2">
      <c r="B22958" s="62" t="str">
        <f>IF(AND('领用录入（明细）'!D:D=$F$4,'领用录入（明细）'!C:C&gt;=$J$4,'领用录入（明细）'!C:C&lt;=$L$4),ROW(),"-")</f>
        <v>-</v>
      </c>
    </row>
    <row r="22959" customHeight="1" spans="2:2">
      <c r="B22959" s="62" t="str">
        <f>IF(AND('领用录入（明细）'!D:D=$F$4,'领用录入（明细）'!C:C&gt;=$J$4,'领用录入（明细）'!C:C&lt;=$L$4),ROW(),"-")</f>
        <v>-</v>
      </c>
    </row>
    <row r="22960" customHeight="1" spans="2:2">
      <c r="B22960" s="62" t="str">
        <f>IF(AND('领用录入（明细）'!D:D=$F$4,'领用录入（明细）'!C:C&gt;=$J$4,'领用录入（明细）'!C:C&lt;=$L$4),ROW(),"-")</f>
        <v>-</v>
      </c>
    </row>
    <row r="22961" customHeight="1" spans="2:2">
      <c r="B22961" s="62" t="str">
        <f>IF(AND('领用录入（明细）'!D:D=$F$4,'领用录入（明细）'!C:C&gt;=$J$4,'领用录入（明细）'!C:C&lt;=$L$4),ROW(),"-")</f>
        <v>-</v>
      </c>
    </row>
    <row r="22962" customHeight="1" spans="2:2">
      <c r="B22962" s="62" t="str">
        <f>IF(AND('领用录入（明细）'!D:D=$F$4,'领用录入（明细）'!C:C&gt;=$J$4,'领用录入（明细）'!C:C&lt;=$L$4),ROW(),"-")</f>
        <v>-</v>
      </c>
    </row>
    <row r="22963" customHeight="1" spans="2:2">
      <c r="B22963" s="62" t="str">
        <f>IF(AND('领用录入（明细）'!D:D=$F$4,'领用录入（明细）'!C:C&gt;=$J$4,'领用录入（明细）'!C:C&lt;=$L$4),ROW(),"-")</f>
        <v>-</v>
      </c>
    </row>
    <row r="22964" customHeight="1" spans="2:2">
      <c r="B22964" s="62" t="str">
        <f>IF(AND('领用录入（明细）'!D:D=$F$4,'领用录入（明细）'!C:C&gt;=$J$4,'领用录入（明细）'!C:C&lt;=$L$4),ROW(),"-")</f>
        <v>-</v>
      </c>
    </row>
    <row r="22965" customHeight="1" spans="2:2">
      <c r="B22965" s="62" t="str">
        <f>IF(AND('领用录入（明细）'!D:D=$F$4,'领用录入（明细）'!C:C&gt;=$J$4,'领用录入（明细）'!C:C&lt;=$L$4),ROW(),"-")</f>
        <v>-</v>
      </c>
    </row>
    <row r="22966" customHeight="1" spans="2:2">
      <c r="B22966" s="62" t="str">
        <f>IF(AND('领用录入（明细）'!D:D=$F$4,'领用录入（明细）'!C:C&gt;=$J$4,'领用录入（明细）'!C:C&lt;=$L$4),ROW(),"-")</f>
        <v>-</v>
      </c>
    </row>
    <row r="22967" customHeight="1" spans="2:2">
      <c r="B22967" s="62" t="str">
        <f>IF(AND('领用录入（明细）'!D:D=$F$4,'领用录入（明细）'!C:C&gt;=$J$4,'领用录入（明细）'!C:C&lt;=$L$4),ROW(),"-")</f>
        <v>-</v>
      </c>
    </row>
    <row r="22968" customHeight="1" spans="2:2">
      <c r="B22968" s="62" t="str">
        <f>IF(AND('领用录入（明细）'!D:D=$F$4,'领用录入（明细）'!C:C&gt;=$J$4,'领用录入（明细）'!C:C&lt;=$L$4),ROW(),"-")</f>
        <v>-</v>
      </c>
    </row>
    <row r="22969" customHeight="1" spans="2:2">
      <c r="B22969" s="62" t="str">
        <f>IF(AND('领用录入（明细）'!D:D=$F$4,'领用录入（明细）'!C:C&gt;=$J$4,'领用录入（明细）'!C:C&lt;=$L$4),ROW(),"-")</f>
        <v>-</v>
      </c>
    </row>
    <row r="22970" customHeight="1" spans="2:2">
      <c r="B22970" s="62" t="str">
        <f>IF(AND('领用录入（明细）'!D:D=$F$4,'领用录入（明细）'!C:C&gt;=$J$4,'领用录入（明细）'!C:C&lt;=$L$4),ROW(),"-")</f>
        <v>-</v>
      </c>
    </row>
    <row r="22971" customHeight="1" spans="2:2">
      <c r="B22971" s="62" t="str">
        <f>IF(AND('领用录入（明细）'!D:D=$F$4,'领用录入（明细）'!C:C&gt;=$J$4,'领用录入（明细）'!C:C&lt;=$L$4),ROW(),"-")</f>
        <v>-</v>
      </c>
    </row>
    <row r="22972" customHeight="1" spans="2:2">
      <c r="B22972" s="62" t="str">
        <f>IF(AND('领用录入（明细）'!D:D=$F$4,'领用录入（明细）'!C:C&gt;=$J$4,'领用录入（明细）'!C:C&lt;=$L$4),ROW(),"-")</f>
        <v>-</v>
      </c>
    </row>
    <row r="22973" customHeight="1" spans="2:2">
      <c r="B22973" s="62" t="str">
        <f>IF(AND('领用录入（明细）'!D:D=$F$4,'领用录入（明细）'!C:C&gt;=$J$4,'领用录入（明细）'!C:C&lt;=$L$4),ROW(),"-")</f>
        <v>-</v>
      </c>
    </row>
    <row r="22974" customHeight="1" spans="2:2">
      <c r="B22974" s="62" t="str">
        <f>IF(AND('领用录入（明细）'!D:D=$F$4,'领用录入（明细）'!C:C&gt;=$J$4,'领用录入（明细）'!C:C&lt;=$L$4),ROW(),"-")</f>
        <v>-</v>
      </c>
    </row>
    <row r="22975" customHeight="1" spans="2:2">
      <c r="B22975" s="62" t="str">
        <f>IF(AND('领用录入（明细）'!D:D=$F$4,'领用录入（明细）'!C:C&gt;=$J$4,'领用录入（明细）'!C:C&lt;=$L$4),ROW(),"-")</f>
        <v>-</v>
      </c>
    </row>
    <row r="22976" customHeight="1" spans="2:2">
      <c r="B22976" s="62" t="str">
        <f>IF(AND('领用录入（明细）'!D:D=$F$4,'领用录入（明细）'!C:C&gt;=$J$4,'领用录入（明细）'!C:C&lt;=$L$4),ROW(),"-")</f>
        <v>-</v>
      </c>
    </row>
    <row r="22977" customHeight="1" spans="2:2">
      <c r="B22977" s="62" t="str">
        <f>IF(AND('领用录入（明细）'!D:D=$F$4,'领用录入（明细）'!C:C&gt;=$J$4,'领用录入（明细）'!C:C&lt;=$L$4),ROW(),"-")</f>
        <v>-</v>
      </c>
    </row>
    <row r="22978" customHeight="1" spans="2:2">
      <c r="B22978" s="62" t="str">
        <f>IF(AND('领用录入（明细）'!D:D=$F$4,'领用录入（明细）'!C:C&gt;=$J$4,'领用录入（明细）'!C:C&lt;=$L$4),ROW(),"-")</f>
        <v>-</v>
      </c>
    </row>
    <row r="22979" customHeight="1" spans="2:2">
      <c r="B22979" s="62" t="str">
        <f>IF(AND('领用录入（明细）'!D:D=$F$4,'领用录入（明细）'!C:C&gt;=$J$4,'领用录入（明细）'!C:C&lt;=$L$4),ROW(),"-")</f>
        <v>-</v>
      </c>
    </row>
    <row r="22980" customHeight="1" spans="2:2">
      <c r="B22980" s="62" t="str">
        <f>IF(AND('领用录入（明细）'!D:D=$F$4,'领用录入（明细）'!C:C&gt;=$J$4,'领用录入（明细）'!C:C&lt;=$L$4),ROW(),"-")</f>
        <v>-</v>
      </c>
    </row>
    <row r="22981" customHeight="1" spans="2:2">
      <c r="B22981" s="62" t="str">
        <f>IF(AND('领用录入（明细）'!D:D=$F$4,'领用录入（明细）'!C:C&gt;=$J$4,'领用录入（明细）'!C:C&lt;=$L$4),ROW(),"-")</f>
        <v>-</v>
      </c>
    </row>
    <row r="22982" customHeight="1" spans="2:2">
      <c r="B22982" s="62" t="str">
        <f>IF(AND('领用录入（明细）'!D:D=$F$4,'领用录入（明细）'!C:C&gt;=$J$4,'领用录入（明细）'!C:C&lt;=$L$4),ROW(),"-")</f>
        <v>-</v>
      </c>
    </row>
    <row r="22983" customHeight="1" spans="2:2">
      <c r="B22983" s="62" t="str">
        <f>IF(AND('领用录入（明细）'!D:D=$F$4,'领用录入（明细）'!C:C&gt;=$J$4,'领用录入（明细）'!C:C&lt;=$L$4),ROW(),"-")</f>
        <v>-</v>
      </c>
    </row>
    <row r="22984" customHeight="1" spans="2:2">
      <c r="B22984" s="62" t="str">
        <f>IF(AND('领用录入（明细）'!D:D=$F$4,'领用录入（明细）'!C:C&gt;=$J$4,'领用录入（明细）'!C:C&lt;=$L$4),ROW(),"-")</f>
        <v>-</v>
      </c>
    </row>
    <row r="22985" customHeight="1" spans="2:2">
      <c r="B22985" s="62" t="str">
        <f>IF(AND('领用录入（明细）'!D:D=$F$4,'领用录入（明细）'!C:C&gt;=$J$4,'领用录入（明细）'!C:C&lt;=$L$4),ROW(),"-")</f>
        <v>-</v>
      </c>
    </row>
    <row r="22986" customHeight="1" spans="2:2">
      <c r="B22986" s="62" t="str">
        <f>IF(AND('领用录入（明细）'!D:D=$F$4,'领用录入（明细）'!C:C&gt;=$J$4,'领用录入（明细）'!C:C&lt;=$L$4),ROW(),"-")</f>
        <v>-</v>
      </c>
    </row>
    <row r="22987" customHeight="1" spans="2:2">
      <c r="B22987" s="62" t="str">
        <f>IF(AND('领用录入（明细）'!D:D=$F$4,'领用录入（明细）'!C:C&gt;=$J$4,'领用录入（明细）'!C:C&lt;=$L$4),ROW(),"-")</f>
        <v>-</v>
      </c>
    </row>
    <row r="22988" customHeight="1" spans="2:2">
      <c r="B22988" s="62" t="str">
        <f>IF(AND('领用录入（明细）'!D:D=$F$4,'领用录入（明细）'!C:C&gt;=$J$4,'领用录入（明细）'!C:C&lt;=$L$4),ROW(),"-")</f>
        <v>-</v>
      </c>
    </row>
    <row r="22989" customHeight="1" spans="2:2">
      <c r="B22989" s="62" t="str">
        <f>IF(AND('领用录入（明细）'!D:D=$F$4,'领用录入（明细）'!C:C&gt;=$J$4,'领用录入（明细）'!C:C&lt;=$L$4),ROW(),"-")</f>
        <v>-</v>
      </c>
    </row>
    <row r="22990" customHeight="1" spans="2:2">
      <c r="B22990" s="62" t="str">
        <f>IF(AND('领用录入（明细）'!D:D=$F$4,'领用录入（明细）'!C:C&gt;=$J$4,'领用录入（明细）'!C:C&lt;=$L$4),ROW(),"-")</f>
        <v>-</v>
      </c>
    </row>
    <row r="22991" customHeight="1" spans="2:2">
      <c r="B22991" s="62" t="str">
        <f>IF(AND('领用录入（明细）'!D:D=$F$4,'领用录入（明细）'!C:C&gt;=$J$4,'领用录入（明细）'!C:C&lt;=$L$4),ROW(),"-")</f>
        <v>-</v>
      </c>
    </row>
    <row r="22992" customHeight="1" spans="2:2">
      <c r="B22992" s="62" t="str">
        <f>IF(AND('领用录入（明细）'!D:D=$F$4,'领用录入（明细）'!C:C&gt;=$J$4,'领用录入（明细）'!C:C&lt;=$L$4),ROW(),"-")</f>
        <v>-</v>
      </c>
    </row>
    <row r="22993" customHeight="1" spans="2:2">
      <c r="B22993" s="62" t="str">
        <f>IF(AND('领用录入（明细）'!D:D=$F$4,'领用录入（明细）'!C:C&gt;=$J$4,'领用录入（明细）'!C:C&lt;=$L$4),ROW(),"-")</f>
        <v>-</v>
      </c>
    </row>
    <row r="22994" customHeight="1" spans="2:2">
      <c r="B22994" s="62" t="str">
        <f>IF(AND('领用录入（明细）'!D:D=$F$4,'领用录入（明细）'!C:C&gt;=$J$4,'领用录入（明细）'!C:C&lt;=$L$4),ROW(),"-")</f>
        <v>-</v>
      </c>
    </row>
    <row r="22995" customHeight="1" spans="2:2">
      <c r="B22995" s="62" t="str">
        <f>IF(AND('领用录入（明细）'!D:D=$F$4,'领用录入（明细）'!C:C&gt;=$J$4,'领用录入（明细）'!C:C&lt;=$L$4),ROW(),"-")</f>
        <v>-</v>
      </c>
    </row>
    <row r="22996" customHeight="1" spans="2:2">
      <c r="B22996" s="62" t="str">
        <f>IF(AND('领用录入（明细）'!D:D=$F$4,'领用录入（明细）'!C:C&gt;=$J$4,'领用录入（明细）'!C:C&lt;=$L$4),ROW(),"-")</f>
        <v>-</v>
      </c>
    </row>
    <row r="22997" customHeight="1" spans="2:2">
      <c r="B22997" s="62" t="str">
        <f>IF(AND('领用录入（明细）'!D:D=$F$4,'领用录入（明细）'!C:C&gt;=$J$4,'领用录入（明细）'!C:C&lt;=$L$4),ROW(),"-")</f>
        <v>-</v>
      </c>
    </row>
    <row r="22998" customHeight="1" spans="2:2">
      <c r="B22998" s="62" t="str">
        <f>IF(AND('领用录入（明细）'!D:D=$F$4,'领用录入（明细）'!C:C&gt;=$J$4,'领用录入（明细）'!C:C&lt;=$L$4),ROW(),"-")</f>
        <v>-</v>
      </c>
    </row>
    <row r="22999" customHeight="1" spans="2:2">
      <c r="B22999" s="62" t="str">
        <f>IF(AND('领用录入（明细）'!D:D=$F$4,'领用录入（明细）'!C:C&gt;=$J$4,'领用录入（明细）'!C:C&lt;=$L$4),ROW(),"-")</f>
        <v>-</v>
      </c>
    </row>
    <row r="23000" customHeight="1" spans="2:2">
      <c r="B23000" s="62" t="str">
        <f>IF(AND('领用录入（明细）'!D:D=$F$4,'领用录入（明细）'!C:C&gt;=$J$4,'领用录入（明细）'!C:C&lt;=$L$4),ROW(),"-")</f>
        <v>-</v>
      </c>
    </row>
    <row r="23001" customHeight="1" spans="2:2">
      <c r="B23001" s="62" t="str">
        <f>IF(AND('领用录入（明细）'!D:D=$F$4,'领用录入（明细）'!C:C&gt;=$J$4,'领用录入（明细）'!C:C&lt;=$L$4),ROW(),"-")</f>
        <v>-</v>
      </c>
    </row>
    <row r="23002" customHeight="1" spans="2:2">
      <c r="B23002" s="62" t="str">
        <f>IF(AND('领用录入（明细）'!D:D=$F$4,'领用录入（明细）'!C:C&gt;=$J$4,'领用录入（明细）'!C:C&lt;=$L$4),ROW(),"-")</f>
        <v>-</v>
      </c>
    </row>
    <row r="23003" customHeight="1" spans="2:2">
      <c r="B23003" s="62" t="str">
        <f>IF(AND('领用录入（明细）'!D:D=$F$4,'领用录入（明细）'!C:C&gt;=$J$4,'领用录入（明细）'!C:C&lt;=$L$4),ROW(),"-")</f>
        <v>-</v>
      </c>
    </row>
    <row r="23004" customHeight="1" spans="2:2">
      <c r="B23004" s="62" t="str">
        <f>IF(AND('领用录入（明细）'!D:D=$F$4,'领用录入（明细）'!C:C&gt;=$J$4,'领用录入（明细）'!C:C&lt;=$L$4),ROW(),"-")</f>
        <v>-</v>
      </c>
    </row>
    <row r="23005" customHeight="1" spans="2:2">
      <c r="B23005" s="62" t="str">
        <f>IF(AND('领用录入（明细）'!D:D=$F$4,'领用录入（明细）'!C:C&gt;=$J$4,'领用录入（明细）'!C:C&lt;=$L$4),ROW(),"-")</f>
        <v>-</v>
      </c>
    </row>
    <row r="23006" customHeight="1" spans="2:2">
      <c r="B23006" s="62" t="str">
        <f>IF(AND('领用录入（明细）'!D:D=$F$4,'领用录入（明细）'!C:C&gt;=$J$4,'领用录入（明细）'!C:C&lt;=$L$4),ROW(),"-")</f>
        <v>-</v>
      </c>
    </row>
    <row r="23007" customHeight="1" spans="2:2">
      <c r="B23007" s="62" t="str">
        <f>IF(AND('领用录入（明细）'!D:D=$F$4,'领用录入（明细）'!C:C&gt;=$J$4,'领用录入（明细）'!C:C&lt;=$L$4),ROW(),"-")</f>
        <v>-</v>
      </c>
    </row>
    <row r="23008" customHeight="1" spans="2:2">
      <c r="B23008" s="62" t="str">
        <f>IF(AND('领用录入（明细）'!D:D=$F$4,'领用录入（明细）'!C:C&gt;=$J$4,'领用录入（明细）'!C:C&lt;=$L$4),ROW(),"-")</f>
        <v>-</v>
      </c>
    </row>
    <row r="23009" customHeight="1" spans="2:2">
      <c r="B23009" s="62" t="str">
        <f>IF(AND('领用录入（明细）'!D:D=$F$4,'领用录入（明细）'!C:C&gt;=$J$4,'领用录入（明细）'!C:C&lt;=$L$4),ROW(),"-")</f>
        <v>-</v>
      </c>
    </row>
    <row r="23010" customHeight="1" spans="2:2">
      <c r="B23010" s="62" t="str">
        <f>IF(AND('领用录入（明细）'!D:D=$F$4,'领用录入（明细）'!C:C&gt;=$J$4,'领用录入（明细）'!C:C&lt;=$L$4),ROW(),"-")</f>
        <v>-</v>
      </c>
    </row>
    <row r="23011" customHeight="1" spans="2:2">
      <c r="B23011" s="62" t="str">
        <f>IF(AND('领用录入（明细）'!D:D=$F$4,'领用录入（明细）'!C:C&gt;=$J$4,'领用录入（明细）'!C:C&lt;=$L$4),ROW(),"-")</f>
        <v>-</v>
      </c>
    </row>
    <row r="23012" customHeight="1" spans="2:2">
      <c r="B23012" s="62" t="str">
        <f>IF(AND('领用录入（明细）'!D:D=$F$4,'领用录入（明细）'!C:C&gt;=$J$4,'领用录入（明细）'!C:C&lt;=$L$4),ROW(),"-")</f>
        <v>-</v>
      </c>
    </row>
    <row r="23013" customHeight="1" spans="2:2">
      <c r="B23013" s="62" t="str">
        <f>IF(AND('领用录入（明细）'!D:D=$F$4,'领用录入（明细）'!C:C&gt;=$J$4,'领用录入（明细）'!C:C&lt;=$L$4),ROW(),"-")</f>
        <v>-</v>
      </c>
    </row>
    <row r="23014" customHeight="1" spans="2:2">
      <c r="B23014" s="62" t="str">
        <f>IF(AND('领用录入（明细）'!D:D=$F$4,'领用录入（明细）'!C:C&gt;=$J$4,'领用录入（明细）'!C:C&lt;=$L$4),ROW(),"-")</f>
        <v>-</v>
      </c>
    </row>
    <row r="23015" customHeight="1" spans="2:2">
      <c r="B23015" s="62" t="str">
        <f>IF(AND('领用录入（明细）'!D:D=$F$4,'领用录入（明细）'!C:C&gt;=$J$4,'领用录入（明细）'!C:C&lt;=$L$4),ROW(),"-")</f>
        <v>-</v>
      </c>
    </row>
    <row r="23016" customHeight="1" spans="2:2">
      <c r="B23016" s="62" t="str">
        <f>IF(AND('领用录入（明细）'!D:D=$F$4,'领用录入（明细）'!C:C&gt;=$J$4,'领用录入（明细）'!C:C&lt;=$L$4),ROW(),"-")</f>
        <v>-</v>
      </c>
    </row>
    <row r="23017" customHeight="1" spans="2:2">
      <c r="B23017" s="62" t="str">
        <f>IF(AND('领用录入（明细）'!D:D=$F$4,'领用录入（明细）'!C:C&gt;=$J$4,'领用录入（明细）'!C:C&lt;=$L$4),ROW(),"-")</f>
        <v>-</v>
      </c>
    </row>
    <row r="23018" customHeight="1" spans="2:2">
      <c r="B23018" s="62" t="str">
        <f>IF(AND('领用录入（明细）'!D:D=$F$4,'领用录入（明细）'!C:C&gt;=$J$4,'领用录入（明细）'!C:C&lt;=$L$4),ROW(),"-")</f>
        <v>-</v>
      </c>
    </row>
    <row r="23019" customHeight="1" spans="2:2">
      <c r="B23019" s="62" t="str">
        <f>IF(AND('领用录入（明细）'!D:D=$F$4,'领用录入（明细）'!C:C&gt;=$J$4,'领用录入（明细）'!C:C&lt;=$L$4),ROW(),"-")</f>
        <v>-</v>
      </c>
    </row>
    <row r="23020" customHeight="1" spans="2:2">
      <c r="B23020" s="62" t="str">
        <f>IF(AND('领用录入（明细）'!D:D=$F$4,'领用录入（明细）'!C:C&gt;=$J$4,'领用录入（明细）'!C:C&lt;=$L$4),ROW(),"-")</f>
        <v>-</v>
      </c>
    </row>
    <row r="23021" customHeight="1" spans="2:2">
      <c r="B23021" s="62" t="str">
        <f>IF(AND('领用录入（明细）'!D:D=$F$4,'领用录入（明细）'!C:C&gt;=$J$4,'领用录入（明细）'!C:C&lt;=$L$4),ROW(),"-")</f>
        <v>-</v>
      </c>
    </row>
    <row r="23022" customHeight="1" spans="2:2">
      <c r="B23022" s="62" t="str">
        <f>IF(AND('领用录入（明细）'!D:D=$F$4,'领用录入（明细）'!C:C&gt;=$J$4,'领用录入（明细）'!C:C&lt;=$L$4),ROW(),"-")</f>
        <v>-</v>
      </c>
    </row>
    <row r="23023" customHeight="1" spans="2:2">
      <c r="B23023" s="62" t="str">
        <f>IF(AND('领用录入（明细）'!D:D=$F$4,'领用录入（明细）'!C:C&gt;=$J$4,'领用录入（明细）'!C:C&lt;=$L$4),ROW(),"-")</f>
        <v>-</v>
      </c>
    </row>
    <row r="23024" customHeight="1" spans="2:2">
      <c r="B23024" s="62" t="str">
        <f>IF(AND('领用录入（明细）'!D:D=$F$4,'领用录入（明细）'!C:C&gt;=$J$4,'领用录入（明细）'!C:C&lt;=$L$4),ROW(),"-")</f>
        <v>-</v>
      </c>
    </row>
    <row r="23025" customHeight="1" spans="2:2">
      <c r="B23025" s="62" t="str">
        <f>IF(AND('领用录入（明细）'!D:D=$F$4,'领用录入（明细）'!C:C&gt;=$J$4,'领用录入（明细）'!C:C&lt;=$L$4),ROW(),"-")</f>
        <v>-</v>
      </c>
    </row>
    <row r="23026" customHeight="1" spans="2:2">
      <c r="B23026" s="62" t="str">
        <f>IF(AND('领用录入（明细）'!D:D=$F$4,'领用录入（明细）'!C:C&gt;=$J$4,'领用录入（明细）'!C:C&lt;=$L$4),ROW(),"-")</f>
        <v>-</v>
      </c>
    </row>
    <row r="23027" customHeight="1" spans="2:2">
      <c r="B23027" s="62" t="str">
        <f>IF(AND('领用录入（明细）'!D:D=$F$4,'领用录入（明细）'!C:C&gt;=$J$4,'领用录入（明细）'!C:C&lt;=$L$4),ROW(),"-")</f>
        <v>-</v>
      </c>
    </row>
    <row r="23028" customHeight="1" spans="2:2">
      <c r="B23028" s="62" t="str">
        <f>IF(AND('领用录入（明细）'!D:D=$F$4,'领用录入（明细）'!C:C&gt;=$J$4,'领用录入（明细）'!C:C&lt;=$L$4),ROW(),"-")</f>
        <v>-</v>
      </c>
    </row>
    <row r="23029" customHeight="1" spans="2:2">
      <c r="B23029" s="62" t="str">
        <f>IF(AND('领用录入（明细）'!D:D=$F$4,'领用录入（明细）'!C:C&gt;=$J$4,'领用录入（明细）'!C:C&lt;=$L$4),ROW(),"-")</f>
        <v>-</v>
      </c>
    </row>
    <row r="23030" customHeight="1" spans="2:2">
      <c r="B23030" s="62" t="str">
        <f>IF(AND('领用录入（明细）'!D:D=$F$4,'领用录入（明细）'!C:C&gt;=$J$4,'领用录入（明细）'!C:C&lt;=$L$4),ROW(),"-")</f>
        <v>-</v>
      </c>
    </row>
    <row r="23031" customHeight="1" spans="2:2">
      <c r="B23031" s="62" t="str">
        <f>IF(AND('领用录入（明细）'!D:D=$F$4,'领用录入（明细）'!C:C&gt;=$J$4,'领用录入（明细）'!C:C&lt;=$L$4),ROW(),"-")</f>
        <v>-</v>
      </c>
    </row>
    <row r="23032" customHeight="1" spans="2:2">
      <c r="B23032" s="62" t="str">
        <f>IF(AND('领用录入（明细）'!D:D=$F$4,'领用录入（明细）'!C:C&gt;=$J$4,'领用录入（明细）'!C:C&lt;=$L$4),ROW(),"-")</f>
        <v>-</v>
      </c>
    </row>
    <row r="23033" customHeight="1" spans="2:2">
      <c r="B23033" s="62" t="str">
        <f>IF(AND('领用录入（明细）'!D:D=$F$4,'领用录入（明细）'!C:C&gt;=$J$4,'领用录入（明细）'!C:C&lt;=$L$4),ROW(),"-")</f>
        <v>-</v>
      </c>
    </row>
    <row r="23034" customHeight="1" spans="2:2">
      <c r="B23034" s="62" t="str">
        <f>IF(AND('领用录入（明细）'!D:D=$F$4,'领用录入（明细）'!C:C&gt;=$J$4,'领用录入（明细）'!C:C&lt;=$L$4),ROW(),"-")</f>
        <v>-</v>
      </c>
    </row>
    <row r="23035" customHeight="1" spans="2:2">
      <c r="B23035" s="62" t="str">
        <f>IF(AND('领用录入（明细）'!D:D=$F$4,'领用录入（明细）'!C:C&gt;=$J$4,'领用录入（明细）'!C:C&lt;=$L$4),ROW(),"-")</f>
        <v>-</v>
      </c>
    </row>
    <row r="23036" customHeight="1" spans="2:2">
      <c r="B23036" s="62" t="str">
        <f>IF(AND('领用录入（明细）'!D:D=$F$4,'领用录入（明细）'!C:C&gt;=$J$4,'领用录入（明细）'!C:C&lt;=$L$4),ROW(),"-")</f>
        <v>-</v>
      </c>
    </row>
    <row r="23037" customHeight="1" spans="2:2">
      <c r="B23037" s="62" t="str">
        <f>IF(AND('领用录入（明细）'!D:D=$F$4,'领用录入（明细）'!C:C&gt;=$J$4,'领用录入（明细）'!C:C&lt;=$L$4),ROW(),"-")</f>
        <v>-</v>
      </c>
    </row>
    <row r="23038" customHeight="1" spans="2:2">
      <c r="B23038" s="62" t="str">
        <f>IF(AND('领用录入（明细）'!D:D=$F$4,'领用录入（明细）'!C:C&gt;=$J$4,'领用录入（明细）'!C:C&lt;=$L$4),ROW(),"-")</f>
        <v>-</v>
      </c>
    </row>
    <row r="23039" customHeight="1" spans="2:2">
      <c r="B23039" s="62" t="str">
        <f>IF(AND('领用录入（明细）'!D:D=$F$4,'领用录入（明细）'!C:C&gt;=$J$4,'领用录入（明细）'!C:C&lt;=$L$4),ROW(),"-")</f>
        <v>-</v>
      </c>
    </row>
    <row r="23040" customHeight="1" spans="2:2">
      <c r="B23040" s="62" t="str">
        <f>IF(AND('领用录入（明细）'!D:D=$F$4,'领用录入（明细）'!C:C&gt;=$J$4,'领用录入（明细）'!C:C&lt;=$L$4),ROW(),"-")</f>
        <v>-</v>
      </c>
    </row>
    <row r="23041" customHeight="1" spans="2:2">
      <c r="B23041" s="62" t="str">
        <f>IF(AND('领用录入（明细）'!D:D=$F$4,'领用录入（明细）'!C:C&gt;=$J$4,'领用录入（明细）'!C:C&lt;=$L$4),ROW(),"-")</f>
        <v>-</v>
      </c>
    </row>
    <row r="23042" customHeight="1" spans="2:2">
      <c r="B23042" s="62" t="str">
        <f>IF(AND('领用录入（明细）'!D:D=$F$4,'领用录入（明细）'!C:C&gt;=$J$4,'领用录入（明细）'!C:C&lt;=$L$4),ROW(),"-")</f>
        <v>-</v>
      </c>
    </row>
    <row r="23043" customHeight="1" spans="2:2">
      <c r="B23043" s="62" t="str">
        <f>IF(AND('领用录入（明细）'!D:D=$F$4,'领用录入（明细）'!C:C&gt;=$J$4,'领用录入（明细）'!C:C&lt;=$L$4),ROW(),"-")</f>
        <v>-</v>
      </c>
    </row>
    <row r="23044" customHeight="1" spans="2:2">
      <c r="B23044" s="62" t="str">
        <f>IF(AND('领用录入（明细）'!D:D=$F$4,'领用录入（明细）'!C:C&gt;=$J$4,'领用录入（明细）'!C:C&lt;=$L$4),ROW(),"-")</f>
        <v>-</v>
      </c>
    </row>
    <row r="23045" customHeight="1" spans="2:2">
      <c r="B23045" s="62" t="str">
        <f>IF(AND('领用录入（明细）'!D:D=$F$4,'领用录入（明细）'!C:C&gt;=$J$4,'领用录入（明细）'!C:C&lt;=$L$4),ROW(),"-")</f>
        <v>-</v>
      </c>
    </row>
    <row r="23046" customHeight="1" spans="2:2">
      <c r="B23046" s="62" t="str">
        <f>IF(AND('领用录入（明细）'!D:D=$F$4,'领用录入（明细）'!C:C&gt;=$J$4,'领用录入（明细）'!C:C&lt;=$L$4),ROW(),"-")</f>
        <v>-</v>
      </c>
    </row>
    <row r="23047" customHeight="1" spans="2:2">
      <c r="B23047" s="62" t="str">
        <f>IF(AND('领用录入（明细）'!D:D=$F$4,'领用录入（明细）'!C:C&gt;=$J$4,'领用录入（明细）'!C:C&lt;=$L$4),ROW(),"-")</f>
        <v>-</v>
      </c>
    </row>
    <row r="23048" customHeight="1" spans="2:2">
      <c r="B23048" s="62" t="str">
        <f>IF(AND('领用录入（明细）'!D:D=$F$4,'领用录入（明细）'!C:C&gt;=$J$4,'领用录入（明细）'!C:C&lt;=$L$4),ROW(),"-")</f>
        <v>-</v>
      </c>
    </row>
    <row r="23049" customHeight="1" spans="2:2">
      <c r="B23049" s="62" t="str">
        <f>IF(AND('领用录入（明细）'!D:D=$F$4,'领用录入（明细）'!C:C&gt;=$J$4,'领用录入（明细）'!C:C&lt;=$L$4),ROW(),"-")</f>
        <v>-</v>
      </c>
    </row>
    <row r="23050" customHeight="1" spans="2:2">
      <c r="B23050" s="62" t="str">
        <f>IF(AND('领用录入（明细）'!D:D=$F$4,'领用录入（明细）'!C:C&gt;=$J$4,'领用录入（明细）'!C:C&lt;=$L$4),ROW(),"-")</f>
        <v>-</v>
      </c>
    </row>
    <row r="23051" customHeight="1" spans="2:2">
      <c r="B23051" s="62" t="str">
        <f>IF(AND('领用录入（明细）'!D:D=$F$4,'领用录入（明细）'!C:C&gt;=$J$4,'领用录入（明细）'!C:C&lt;=$L$4),ROW(),"-")</f>
        <v>-</v>
      </c>
    </row>
    <row r="23052" customHeight="1" spans="2:2">
      <c r="B23052" s="62" t="str">
        <f>IF(AND('领用录入（明细）'!D:D=$F$4,'领用录入（明细）'!C:C&gt;=$J$4,'领用录入（明细）'!C:C&lt;=$L$4),ROW(),"-")</f>
        <v>-</v>
      </c>
    </row>
    <row r="23053" customHeight="1" spans="2:2">
      <c r="B23053" s="62" t="str">
        <f>IF(AND('领用录入（明细）'!D:D=$F$4,'领用录入（明细）'!C:C&gt;=$J$4,'领用录入（明细）'!C:C&lt;=$L$4),ROW(),"-")</f>
        <v>-</v>
      </c>
    </row>
    <row r="23054" customHeight="1" spans="2:2">
      <c r="B23054" s="62" t="str">
        <f>IF(AND('领用录入（明细）'!D:D=$F$4,'领用录入（明细）'!C:C&gt;=$J$4,'领用录入（明细）'!C:C&lt;=$L$4),ROW(),"-")</f>
        <v>-</v>
      </c>
    </row>
    <row r="23055" customHeight="1" spans="2:2">
      <c r="B23055" s="62" t="str">
        <f>IF(AND('领用录入（明细）'!D:D=$F$4,'领用录入（明细）'!C:C&gt;=$J$4,'领用录入（明细）'!C:C&lt;=$L$4),ROW(),"-")</f>
        <v>-</v>
      </c>
    </row>
    <row r="23056" customHeight="1" spans="2:2">
      <c r="B23056" s="62" t="str">
        <f>IF(AND('领用录入（明细）'!D:D=$F$4,'领用录入（明细）'!C:C&gt;=$J$4,'领用录入（明细）'!C:C&lt;=$L$4),ROW(),"-")</f>
        <v>-</v>
      </c>
    </row>
    <row r="23057" customHeight="1" spans="2:2">
      <c r="B23057" s="62" t="str">
        <f>IF(AND('领用录入（明细）'!D:D=$F$4,'领用录入（明细）'!C:C&gt;=$J$4,'领用录入（明细）'!C:C&lt;=$L$4),ROW(),"-")</f>
        <v>-</v>
      </c>
    </row>
    <row r="23058" customHeight="1" spans="2:2">
      <c r="B23058" s="62" t="str">
        <f>IF(AND('领用录入（明细）'!D:D=$F$4,'领用录入（明细）'!C:C&gt;=$J$4,'领用录入（明细）'!C:C&lt;=$L$4),ROW(),"-")</f>
        <v>-</v>
      </c>
    </row>
    <row r="23059" customHeight="1" spans="2:2">
      <c r="B23059" s="62" t="str">
        <f>IF(AND('领用录入（明细）'!D:D=$F$4,'领用录入（明细）'!C:C&gt;=$J$4,'领用录入（明细）'!C:C&lt;=$L$4),ROW(),"-")</f>
        <v>-</v>
      </c>
    </row>
    <row r="23060" customHeight="1" spans="2:2">
      <c r="B23060" s="62" t="str">
        <f>IF(AND('领用录入（明细）'!D:D=$F$4,'领用录入（明细）'!C:C&gt;=$J$4,'领用录入（明细）'!C:C&lt;=$L$4),ROW(),"-")</f>
        <v>-</v>
      </c>
    </row>
    <row r="23061" customHeight="1" spans="2:2">
      <c r="B23061" s="62" t="str">
        <f>IF(AND('领用录入（明细）'!D:D=$F$4,'领用录入（明细）'!C:C&gt;=$J$4,'领用录入（明细）'!C:C&lt;=$L$4),ROW(),"-")</f>
        <v>-</v>
      </c>
    </row>
    <row r="23062" customHeight="1" spans="2:2">
      <c r="B23062" s="62" t="str">
        <f>IF(AND('领用录入（明细）'!D:D=$F$4,'领用录入（明细）'!C:C&gt;=$J$4,'领用录入（明细）'!C:C&lt;=$L$4),ROW(),"-")</f>
        <v>-</v>
      </c>
    </row>
    <row r="23063" customHeight="1" spans="2:2">
      <c r="B23063" s="62" t="str">
        <f>IF(AND('领用录入（明细）'!D:D=$F$4,'领用录入（明细）'!C:C&gt;=$J$4,'领用录入（明细）'!C:C&lt;=$L$4),ROW(),"-")</f>
        <v>-</v>
      </c>
    </row>
    <row r="23064" customHeight="1" spans="2:2">
      <c r="B23064" s="62" t="str">
        <f>IF(AND('领用录入（明细）'!D:D=$F$4,'领用录入（明细）'!C:C&gt;=$J$4,'领用录入（明细）'!C:C&lt;=$L$4),ROW(),"-")</f>
        <v>-</v>
      </c>
    </row>
    <row r="23065" customHeight="1" spans="2:2">
      <c r="B23065" s="62" t="str">
        <f>IF(AND('领用录入（明细）'!D:D=$F$4,'领用录入（明细）'!C:C&gt;=$J$4,'领用录入（明细）'!C:C&lt;=$L$4),ROW(),"-")</f>
        <v>-</v>
      </c>
    </row>
    <row r="23066" customHeight="1" spans="2:2">
      <c r="B23066" s="62" t="str">
        <f>IF(AND('领用录入（明细）'!D:D=$F$4,'领用录入（明细）'!C:C&gt;=$J$4,'领用录入（明细）'!C:C&lt;=$L$4),ROW(),"-")</f>
        <v>-</v>
      </c>
    </row>
    <row r="23067" customHeight="1" spans="2:2">
      <c r="B23067" s="62" t="str">
        <f>IF(AND('领用录入（明细）'!D:D=$F$4,'领用录入（明细）'!C:C&gt;=$J$4,'领用录入（明细）'!C:C&lt;=$L$4),ROW(),"-")</f>
        <v>-</v>
      </c>
    </row>
    <row r="23068" customHeight="1" spans="2:2">
      <c r="B23068" s="62" t="str">
        <f>IF(AND('领用录入（明细）'!D:D=$F$4,'领用录入（明细）'!C:C&gt;=$J$4,'领用录入（明细）'!C:C&lt;=$L$4),ROW(),"-")</f>
        <v>-</v>
      </c>
    </row>
    <row r="23069" customHeight="1" spans="2:2">
      <c r="B23069" s="62" t="str">
        <f>IF(AND('领用录入（明细）'!D:D=$F$4,'领用录入（明细）'!C:C&gt;=$J$4,'领用录入（明细）'!C:C&lt;=$L$4),ROW(),"-")</f>
        <v>-</v>
      </c>
    </row>
    <row r="23070" customHeight="1" spans="2:2">
      <c r="B23070" s="62" t="str">
        <f>IF(AND('领用录入（明细）'!D:D=$F$4,'领用录入（明细）'!C:C&gt;=$J$4,'领用录入（明细）'!C:C&lt;=$L$4),ROW(),"-")</f>
        <v>-</v>
      </c>
    </row>
    <row r="23071" customHeight="1" spans="2:2">
      <c r="B23071" s="62" t="str">
        <f>IF(AND('领用录入（明细）'!D:D=$F$4,'领用录入（明细）'!C:C&gt;=$J$4,'领用录入（明细）'!C:C&lt;=$L$4),ROW(),"-")</f>
        <v>-</v>
      </c>
    </row>
    <row r="23072" customHeight="1" spans="2:2">
      <c r="B23072" s="62" t="str">
        <f>IF(AND('领用录入（明细）'!D:D=$F$4,'领用录入（明细）'!C:C&gt;=$J$4,'领用录入（明细）'!C:C&lt;=$L$4),ROW(),"-")</f>
        <v>-</v>
      </c>
    </row>
    <row r="23073" customHeight="1" spans="2:2">
      <c r="B23073" s="62" t="str">
        <f>IF(AND('领用录入（明细）'!D:D=$F$4,'领用录入（明细）'!C:C&gt;=$J$4,'领用录入（明细）'!C:C&lt;=$L$4),ROW(),"-")</f>
        <v>-</v>
      </c>
    </row>
    <row r="23074" customHeight="1" spans="2:2">
      <c r="B23074" s="62" t="str">
        <f>IF(AND('领用录入（明细）'!D:D=$F$4,'领用录入（明细）'!C:C&gt;=$J$4,'领用录入（明细）'!C:C&lt;=$L$4),ROW(),"-")</f>
        <v>-</v>
      </c>
    </row>
    <row r="23075" customHeight="1" spans="2:2">
      <c r="B23075" s="62" t="str">
        <f>IF(AND('领用录入（明细）'!D:D=$F$4,'领用录入（明细）'!C:C&gt;=$J$4,'领用录入（明细）'!C:C&lt;=$L$4),ROW(),"-")</f>
        <v>-</v>
      </c>
    </row>
    <row r="23076" customHeight="1" spans="2:2">
      <c r="B23076" s="62" t="str">
        <f>IF(AND('领用录入（明细）'!D:D=$F$4,'领用录入（明细）'!C:C&gt;=$J$4,'领用录入（明细）'!C:C&lt;=$L$4),ROW(),"-")</f>
        <v>-</v>
      </c>
    </row>
    <row r="23077" customHeight="1" spans="2:2">
      <c r="B23077" s="62" t="str">
        <f>IF(AND('领用录入（明细）'!D:D=$F$4,'领用录入（明细）'!C:C&gt;=$J$4,'领用录入（明细）'!C:C&lt;=$L$4),ROW(),"-")</f>
        <v>-</v>
      </c>
    </row>
    <row r="23078" customHeight="1" spans="2:2">
      <c r="B23078" s="62" t="str">
        <f>IF(AND('领用录入（明细）'!D:D=$F$4,'领用录入（明细）'!C:C&gt;=$J$4,'领用录入（明细）'!C:C&lt;=$L$4),ROW(),"-")</f>
        <v>-</v>
      </c>
    </row>
    <row r="23079" customHeight="1" spans="2:2">
      <c r="B23079" s="62" t="str">
        <f>IF(AND('领用录入（明细）'!D:D=$F$4,'领用录入（明细）'!C:C&gt;=$J$4,'领用录入（明细）'!C:C&lt;=$L$4),ROW(),"-")</f>
        <v>-</v>
      </c>
    </row>
    <row r="23080" customHeight="1" spans="2:2">
      <c r="B23080" s="62" t="str">
        <f>IF(AND('领用录入（明细）'!D:D=$F$4,'领用录入（明细）'!C:C&gt;=$J$4,'领用录入（明细）'!C:C&lt;=$L$4),ROW(),"-")</f>
        <v>-</v>
      </c>
    </row>
    <row r="23081" customHeight="1" spans="2:2">
      <c r="B23081" s="62" t="str">
        <f>IF(AND('领用录入（明细）'!D:D=$F$4,'领用录入（明细）'!C:C&gt;=$J$4,'领用录入（明细）'!C:C&lt;=$L$4),ROW(),"-")</f>
        <v>-</v>
      </c>
    </row>
    <row r="23082" customHeight="1" spans="2:2">
      <c r="B23082" s="62" t="str">
        <f>IF(AND('领用录入（明细）'!D:D=$F$4,'领用录入（明细）'!C:C&gt;=$J$4,'领用录入（明细）'!C:C&lt;=$L$4),ROW(),"-")</f>
        <v>-</v>
      </c>
    </row>
    <row r="23083" customHeight="1" spans="2:2">
      <c r="B23083" s="62" t="str">
        <f>IF(AND('领用录入（明细）'!D:D=$F$4,'领用录入（明细）'!C:C&gt;=$J$4,'领用录入（明细）'!C:C&lt;=$L$4),ROW(),"-")</f>
        <v>-</v>
      </c>
    </row>
    <row r="23084" customHeight="1" spans="2:2">
      <c r="B23084" s="62" t="str">
        <f>IF(AND('领用录入（明细）'!D:D=$F$4,'领用录入（明细）'!C:C&gt;=$J$4,'领用录入（明细）'!C:C&lt;=$L$4),ROW(),"-")</f>
        <v>-</v>
      </c>
    </row>
    <row r="23085" customHeight="1" spans="2:2">
      <c r="B23085" s="62" t="str">
        <f>IF(AND('领用录入（明细）'!D:D=$F$4,'领用录入（明细）'!C:C&gt;=$J$4,'领用录入（明细）'!C:C&lt;=$L$4),ROW(),"-")</f>
        <v>-</v>
      </c>
    </row>
    <row r="23086" customHeight="1" spans="2:2">
      <c r="B23086" s="62" t="str">
        <f>IF(AND('领用录入（明细）'!D:D=$F$4,'领用录入（明细）'!C:C&gt;=$J$4,'领用录入（明细）'!C:C&lt;=$L$4),ROW(),"-")</f>
        <v>-</v>
      </c>
    </row>
    <row r="23087" customHeight="1" spans="2:2">
      <c r="B23087" s="62" t="str">
        <f>IF(AND('领用录入（明细）'!D:D=$F$4,'领用录入（明细）'!C:C&gt;=$J$4,'领用录入（明细）'!C:C&lt;=$L$4),ROW(),"-")</f>
        <v>-</v>
      </c>
    </row>
    <row r="23088" customHeight="1" spans="2:2">
      <c r="B23088" s="62" t="str">
        <f>IF(AND('领用录入（明细）'!D:D=$F$4,'领用录入（明细）'!C:C&gt;=$J$4,'领用录入（明细）'!C:C&lt;=$L$4),ROW(),"-")</f>
        <v>-</v>
      </c>
    </row>
    <row r="23089" customHeight="1" spans="2:2">
      <c r="B23089" s="62" t="str">
        <f>IF(AND('领用录入（明细）'!D:D=$F$4,'领用录入（明细）'!C:C&gt;=$J$4,'领用录入（明细）'!C:C&lt;=$L$4),ROW(),"-")</f>
        <v>-</v>
      </c>
    </row>
    <row r="23090" customHeight="1" spans="2:2">
      <c r="B23090" s="62" t="str">
        <f>IF(AND('领用录入（明细）'!D:D=$F$4,'领用录入（明细）'!C:C&gt;=$J$4,'领用录入（明细）'!C:C&lt;=$L$4),ROW(),"-")</f>
        <v>-</v>
      </c>
    </row>
    <row r="23091" customHeight="1" spans="2:2">
      <c r="B23091" s="62" t="str">
        <f>IF(AND('领用录入（明细）'!D:D=$F$4,'领用录入（明细）'!C:C&gt;=$J$4,'领用录入（明细）'!C:C&lt;=$L$4),ROW(),"-")</f>
        <v>-</v>
      </c>
    </row>
    <row r="23092" customHeight="1" spans="2:2">
      <c r="B23092" s="62" t="str">
        <f>IF(AND('领用录入（明细）'!D:D=$F$4,'领用录入（明细）'!C:C&gt;=$J$4,'领用录入（明细）'!C:C&lt;=$L$4),ROW(),"-")</f>
        <v>-</v>
      </c>
    </row>
    <row r="23093" customHeight="1" spans="2:2">
      <c r="B23093" s="62" t="str">
        <f>IF(AND('领用录入（明细）'!D:D=$F$4,'领用录入（明细）'!C:C&gt;=$J$4,'领用录入（明细）'!C:C&lt;=$L$4),ROW(),"-")</f>
        <v>-</v>
      </c>
    </row>
    <row r="23094" customHeight="1" spans="2:2">
      <c r="B23094" s="62" t="str">
        <f>IF(AND('领用录入（明细）'!D:D=$F$4,'领用录入（明细）'!C:C&gt;=$J$4,'领用录入（明细）'!C:C&lt;=$L$4),ROW(),"-")</f>
        <v>-</v>
      </c>
    </row>
    <row r="23095" customHeight="1" spans="2:2">
      <c r="B23095" s="62" t="str">
        <f>IF(AND('领用录入（明细）'!D:D=$F$4,'领用录入（明细）'!C:C&gt;=$J$4,'领用录入（明细）'!C:C&lt;=$L$4),ROW(),"-")</f>
        <v>-</v>
      </c>
    </row>
    <row r="23096" customHeight="1" spans="2:2">
      <c r="B23096" s="62" t="str">
        <f>IF(AND('领用录入（明细）'!D:D=$F$4,'领用录入（明细）'!C:C&gt;=$J$4,'领用录入（明细）'!C:C&lt;=$L$4),ROW(),"-")</f>
        <v>-</v>
      </c>
    </row>
    <row r="23097" customHeight="1" spans="2:2">
      <c r="B23097" s="62" t="str">
        <f>IF(AND('领用录入（明细）'!D:D=$F$4,'领用录入（明细）'!C:C&gt;=$J$4,'领用录入（明细）'!C:C&lt;=$L$4),ROW(),"-")</f>
        <v>-</v>
      </c>
    </row>
    <row r="23098" customHeight="1" spans="2:2">
      <c r="B23098" s="62" t="str">
        <f>IF(AND('领用录入（明细）'!D:D=$F$4,'领用录入（明细）'!C:C&gt;=$J$4,'领用录入（明细）'!C:C&lt;=$L$4),ROW(),"-")</f>
        <v>-</v>
      </c>
    </row>
    <row r="23099" customHeight="1" spans="2:2">
      <c r="B23099" s="62" t="str">
        <f>IF(AND('领用录入（明细）'!D:D=$F$4,'领用录入（明细）'!C:C&gt;=$J$4,'领用录入（明细）'!C:C&lt;=$L$4),ROW(),"-")</f>
        <v>-</v>
      </c>
    </row>
    <row r="23100" customHeight="1" spans="2:2">
      <c r="B23100" s="62" t="str">
        <f>IF(AND('领用录入（明细）'!D:D=$F$4,'领用录入（明细）'!C:C&gt;=$J$4,'领用录入（明细）'!C:C&lt;=$L$4),ROW(),"-")</f>
        <v>-</v>
      </c>
    </row>
    <row r="23101" customHeight="1" spans="2:2">
      <c r="B23101" s="62" t="str">
        <f>IF(AND('领用录入（明细）'!D:D=$F$4,'领用录入（明细）'!C:C&gt;=$J$4,'领用录入（明细）'!C:C&lt;=$L$4),ROW(),"-")</f>
        <v>-</v>
      </c>
    </row>
    <row r="23102" customHeight="1" spans="2:2">
      <c r="B23102" s="62" t="str">
        <f>IF(AND('领用录入（明细）'!D:D=$F$4,'领用录入（明细）'!C:C&gt;=$J$4,'领用录入（明细）'!C:C&lt;=$L$4),ROW(),"-")</f>
        <v>-</v>
      </c>
    </row>
    <row r="23103" customHeight="1" spans="2:2">
      <c r="B23103" s="62" t="str">
        <f>IF(AND('领用录入（明细）'!D:D=$F$4,'领用录入（明细）'!C:C&gt;=$J$4,'领用录入（明细）'!C:C&lt;=$L$4),ROW(),"-")</f>
        <v>-</v>
      </c>
    </row>
    <row r="23104" customHeight="1" spans="2:2">
      <c r="B23104" s="62" t="str">
        <f>IF(AND('领用录入（明细）'!D:D=$F$4,'领用录入（明细）'!C:C&gt;=$J$4,'领用录入（明细）'!C:C&lt;=$L$4),ROW(),"-")</f>
        <v>-</v>
      </c>
    </row>
    <row r="23105" customHeight="1" spans="2:2">
      <c r="B23105" s="62" t="str">
        <f>IF(AND('领用录入（明细）'!D:D=$F$4,'领用录入（明细）'!C:C&gt;=$J$4,'领用录入（明细）'!C:C&lt;=$L$4),ROW(),"-")</f>
        <v>-</v>
      </c>
    </row>
    <row r="23106" customHeight="1" spans="2:2">
      <c r="B23106" s="62" t="str">
        <f>IF(AND('领用录入（明细）'!D:D=$F$4,'领用录入（明细）'!C:C&gt;=$J$4,'领用录入（明细）'!C:C&lt;=$L$4),ROW(),"-")</f>
        <v>-</v>
      </c>
    </row>
    <row r="23107" customHeight="1" spans="2:2">
      <c r="B23107" s="62" t="str">
        <f>IF(AND('领用录入（明细）'!D:D=$F$4,'领用录入（明细）'!C:C&gt;=$J$4,'领用录入（明细）'!C:C&lt;=$L$4),ROW(),"-")</f>
        <v>-</v>
      </c>
    </row>
    <row r="23108" customHeight="1" spans="2:2">
      <c r="B23108" s="62" t="str">
        <f>IF(AND('领用录入（明细）'!D:D=$F$4,'领用录入（明细）'!C:C&gt;=$J$4,'领用录入（明细）'!C:C&lt;=$L$4),ROW(),"-")</f>
        <v>-</v>
      </c>
    </row>
    <row r="23109" customHeight="1" spans="2:2">
      <c r="B23109" s="62" t="str">
        <f>IF(AND('领用录入（明细）'!D:D=$F$4,'领用录入（明细）'!C:C&gt;=$J$4,'领用录入（明细）'!C:C&lt;=$L$4),ROW(),"-")</f>
        <v>-</v>
      </c>
    </row>
    <row r="23110" customHeight="1" spans="2:2">
      <c r="B23110" s="62" t="str">
        <f>IF(AND('领用录入（明细）'!D:D=$F$4,'领用录入（明细）'!C:C&gt;=$J$4,'领用录入（明细）'!C:C&lt;=$L$4),ROW(),"-")</f>
        <v>-</v>
      </c>
    </row>
    <row r="23111" customHeight="1" spans="2:2">
      <c r="B23111" s="62" t="str">
        <f>IF(AND('领用录入（明细）'!D:D=$F$4,'领用录入（明细）'!C:C&gt;=$J$4,'领用录入（明细）'!C:C&lt;=$L$4),ROW(),"-")</f>
        <v>-</v>
      </c>
    </row>
    <row r="23112" customHeight="1" spans="2:2">
      <c r="B23112" s="62" t="str">
        <f>IF(AND('领用录入（明细）'!D:D=$F$4,'领用录入（明细）'!C:C&gt;=$J$4,'领用录入（明细）'!C:C&lt;=$L$4),ROW(),"-")</f>
        <v>-</v>
      </c>
    </row>
    <row r="23113" customHeight="1" spans="2:2">
      <c r="B23113" s="62" t="str">
        <f>IF(AND('领用录入（明细）'!D:D=$F$4,'领用录入（明细）'!C:C&gt;=$J$4,'领用录入（明细）'!C:C&lt;=$L$4),ROW(),"-")</f>
        <v>-</v>
      </c>
    </row>
    <row r="23114" customHeight="1" spans="2:2">
      <c r="B23114" s="62" t="str">
        <f>IF(AND('领用录入（明细）'!D:D=$F$4,'领用录入（明细）'!C:C&gt;=$J$4,'领用录入（明细）'!C:C&lt;=$L$4),ROW(),"-")</f>
        <v>-</v>
      </c>
    </row>
    <row r="23115" customHeight="1" spans="2:2">
      <c r="B23115" s="62" t="str">
        <f>IF(AND('领用录入（明细）'!D:D=$F$4,'领用录入（明细）'!C:C&gt;=$J$4,'领用录入（明细）'!C:C&lt;=$L$4),ROW(),"-")</f>
        <v>-</v>
      </c>
    </row>
    <row r="23116" customHeight="1" spans="2:2">
      <c r="B23116" s="62" t="str">
        <f>IF(AND('领用录入（明细）'!D:D=$F$4,'领用录入（明细）'!C:C&gt;=$J$4,'领用录入（明细）'!C:C&lt;=$L$4),ROW(),"-")</f>
        <v>-</v>
      </c>
    </row>
    <row r="23117" customHeight="1" spans="2:2">
      <c r="B23117" s="62" t="str">
        <f>IF(AND('领用录入（明细）'!D:D=$F$4,'领用录入（明细）'!C:C&gt;=$J$4,'领用录入（明细）'!C:C&lt;=$L$4),ROW(),"-")</f>
        <v>-</v>
      </c>
    </row>
    <row r="23118" customHeight="1" spans="2:2">
      <c r="B23118" s="62" t="str">
        <f>IF(AND('领用录入（明细）'!D:D=$F$4,'领用录入（明细）'!C:C&gt;=$J$4,'领用录入（明细）'!C:C&lt;=$L$4),ROW(),"-")</f>
        <v>-</v>
      </c>
    </row>
    <row r="23119" customHeight="1" spans="2:2">
      <c r="B23119" s="62" t="str">
        <f>IF(AND('领用录入（明细）'!D:D=$F$4,'领用录入（明细）'!C:C&gt;=$J$4,'领用录入（明细）'!C:C&lt;=$L$4),ROW(),"-")</f>
        <v>-</v>
      </c>
    </row>
    <row r="23120" customHeight="1" spans="2:2">
      <c r="B23120" s="62" t="str">
        <f>IF(AND('领用录入（明细）'!D:D=$F$4,'领用录入（明细）'!C:C&gt;=$J$4,'领用录入（明细）'!C:C&lt;=$L$4),ROW(),"-")</f>
        <v>-</v>
      </c>
    </row>
    <row r="23121" customHeight="1" spans="2:2">
      <c r="B23121" s="62" t="str">
        <f>IF(AND('领用录入（明细）'!D:D=$F$4,'领用录入（明细）'!C:C&gt;=$J$4,'领用录入（明细）'!C:C&lt;=$L$4),ROW(),"-")</f>
        <v>-</v>
      </c>
    </row>
    <row r="23122" customHeight="1" spans="2:2">
      <c r="B23122" s="62" t="str">
        <f>IF(AND('领用录入（明细）'!D:D=$F$4,'领用录入（明细）'!C:C&gt;=$J$4,'领用录入（明细）'!C:C&lt;=$L$4),ROW(),"-")</f>
        <v>-</v>
      </c>
    </row>
    <row r="23123" customHeight="1" spans="2:2">
      <c r="B23123" s="62" t="str">
        <f>IF(AND('领用录入（明细）'!D:D=$F$4,'领用录入（明细）'!C:C&gt;=$J$4,'领用录入（明细）'!C:C&lt;=$L$4),ROW(),"-")</f>
        <v>-</v>
      </c>
    </row>
    <row r="23124" customHeight="1" spans="2:2">
      <c r="B23124" s="62" t="str">
        <f>IF(AND('领用录入（明细）'!D:D=$F$4,'领用录入（明细）'!C:C&gt;=$J$4,'领用录入（明细）'!C:C&lt;=$L$4),ROW(),"-")</f>
        <v>-</v>
      </c>
    </row>
    <row r="23125" customHeight="1" spans="2:2">
      <c r="B23125" s="62" t="str">
        <f>IF(AND('领用录入（明细）'!D:D=$F$4,'领用录入（明细）'!C:C&gt;=$J$4,'领用录入（明细）'!C:C&lt;=$L$4),ROW(),"-")</f>
        <v>-</v>
      </c>
    </row>
    <row r="23126" customHeight="1" spans="2:2">
      <c r="B23126" s="62" t="str">
        <f>IF(AND('领用录入（明细）'!D:D=$F$4,'领用录入（明细）'!C:C&gt;=$J$4,'领用录入（明细）'!C:C&lt;=$L$4),ROW(),"-")</f>
        <v>-</v>
      </c>
    </row>
    <row r="23127" customHeight="1" spans="2:2">
      <c r="B23127" s="62" t="str">
        <f>IF(AND('领用录入（明细）'!D:D=$F$4,'领用录入（明细）'!C:C&gt;=$J$4,'领用录入（明细）'!C:C&lt;=$L$4),ROW(),"-")</f>
        <v>-</v>
      </c>
    </row>
    <row r="23128" customHeight="1" spans="2:2">
      <c r="B23128" s="62" t="str">
        <f>IF(AND('领用录入（明细）'!D:D=$F$4,'领用录入（明细）'!C:C&gt;=$J$4,'领用录入（明细）'!C:C&lt;=$L$4),ROW(),"-")</f>
        <v>-</v>
      </c>
    </row>
    <row r="23129" customHeight="1" spans="2:2">
      <c r="B23129" s="62" t="str">
        <f>IF(AND('领用录入（明细）'!D:D=$F$4,'领用录入（明细）'!C:C&gt;=$J$4,'领用录入（明细）'!C:C&lt;=$L$4),ROW(),"-")</f>
        <v>-</v>
      </c>
    </row>
    <row r="23130" customHeight="1" spans="2:2">
      <c r="B23130" s="62" t="str">
        <f>IF(AND('领用录入（明细）'!D:D=$F$4,'领用录入（明细）'!C:C&gt;=$J$4,'领用录入（明细）'!C:C&lt;=$L$4),ROW(),"-")</f>
        <v>-</v>
      </c>
    </row>
    <row r="23131" customHeight="1" spans="2:2">
      <c r="B23131" s="62" t="str">
        <f>IF(AND('领用录入（明细）'!D:D=$F$4,'领用录入（明细）'!C:C&gt;=$J$4,'领用录入（明细）'!C:C&lt;=$L$4),ROW(),"-")</f>
        <v>-</v>
      </c>
    </row>
    <row r="23132" customHeight="1" spans="2:2">
      <c r="B23132" s="62" t="str">
        <f>IF(AND('领用录入（明细）'!D:D=$F$4,'领用录入（明细）'!C:C&gt;=$J$4,'领用录入（明细）'!C:C&lt;=$L$4),ROW(),"-")</f>
        <v>-</v>
      </c>
    </row>
    <row r="23133" customHeight="1" spans="2:2">
      <c r="B23133" s="62" t="str">
        <f>IF(AND('领用录入（明细）'!D:D=$F$4,'领用录入（明细）'!C:C&gt;=$J$4,'领用录入（明细）'!C:C&lt;=$L$4),ROW(),"-")</f>
        <v>-</v>
      </c>
    </row>
    <row r="23134" customHeight="1" spans="2:2">
      <c r="B23134" s="62" t="str">
        <f>IF(AND('领用录入（明细）'!D:D=$F$4,'领用录入（明细）'!C:C&gt;=$J$4,'领用录入（明细）'!C:C&lt;=$L$4),ROW(),"-")</f>
        <v>-</v>
      </c>
    </row>
    <row r="23135" customHeight="1" spans="2:2">
      <c r="B23135" s="62" t="str">
        <f>IF(AND('领用录入（明细）'!D:D=$F$4,'领用录入（明细）'!C:C&gt;=$J$4,'领用录入（明细）'!C:C&lt;=$L$4),ROW(),"-")</f>
        <v>-</v>
      </c>
    </row>
    <row r="23136" customHeight="1" spans="2:2">
      <c r="B23136" s="62" t="str">
        <f>IF(AND('领用录入（明细）'!D:D=$F$4,'领用录入（明细）'!C:C&gt;=$J$4,'领用录入（明细）'!C:C&lt;=$L$4),ROW(),"-")</f>
        <v>-</v>
      </c>
    </row>
    <row r="23137" customHeight="1" spans="2:2">
      <c r="B23137" s="62" t="str">
        <f>IF(AND('领用录入（明细）'!D:D=$F$4,'领用录入（明细）'!C:C&gt;=$J$4,'领用录入（明细）'!C:C&lt;=$L$4),ROW(),"-")</f>
        <v>-</v>
      </c>
    </row>
    <row r="23138" customHeight="1" spans="2:2">
      <c r="B23138" s="62" t="str">
        <f>IF(AND('领用录入（明细）'!D:D=$F$4,'领用录入（明细）'!C:C&gt;=$J$4,'领用录入（明细）'!C:C&lt;=$L$4),ROW(),"-")</f>
        <v>-</v>
      </c>
    </row>
    <row r="23139" customHeight="1" spans="2:2">
      <c r="B23139" s="62" t="str">
        <f>IF(AND('领用录入（明细）'!D:D=$F$4,'领用录入（明细）'!C:C&gt;=$J$4,'领用录入（明细）'!C:C&lt;=$L$4),ROW(),"-")</f>
        <v>-</v>
      </c>
    </row>
    <row r="23140" customHeight="1" spans="2:2">
      <c r="B23140" s="62" t="str">
        <f>IF(AND('领用录入（明细）'!D:D=$F$4,'领用录入（明细）'!C:C&gt;=$J$4,'领用录入（明细）'!C:C&lt;=$L$4),ROW(),"-")</f>
        <v>-</v>
      </c>
    </row>
    <row r="23141" customHeight="1" spans="2:2">
      <c r="B23141" s="62" t="str">
        <f>IF(AND('领用录入（明细）'!D:D=$F$4,'领用录入（明细）'!C:C&gt;=$J$4,'领用录入（明细）'!C:C&lt;=$L$4),ROW(),"-")</f>
        <v>-</v>
      </c>
    </row>
    <row r="23142" customHeight="1" spans="2:2">
      <c r="B23142" s="62" t="str">
        <f>IF(AND('领用录入（明细）'!D:D=$F$4,'领用录入（明细）'!C:C&gt;=$J$4,'领用录入（明细）'!C:C&lt;=$L$4),ROW(),"-")</f>
        <v>-</v>
      </c>
    </row>
    <row r="23143" customHeight="1" spans="2:2">
      <c r="B23143" s="62" t="str">
        <f>IF(AND('领用录入（明细）'!D:D=$F$4,'领用录入（明细）'!C:C&gt;=$J$4,'领用录入（明细）'!C:C&lt;=$L$4),ROW(),"-")</f>
        <v>-</v>
      </c>
    </row>
    <row r="23144" customHeight="1" spans="2:2">
      <c r="B23144" s="62" t="str">
        <f>IF(AND('领用录入（明细）'!D:D=$F$4,'领用录入（明细）'!C:C&gt;=$J$4,'领用录入（明细）'!C:C&lt;=$L$4),ROW(),"-")</f>
        <v>-</v>
      </c>
    </row>
    <row r="23145" customHeight="1" spans="2:2">
      <c r="B23145" s="62" t="str">
        <f>IF(AND('领用录入（明细）'!D:D=$F$4,'领用录入（明细）'!C:C&gt;=$J$4,'领用录入（明细）'!C:C&lt;=$L$4),ROW(),"-")</f>
        <v>-</v>
      </c>
    </row>
    <row r="23146" customHeight="1" spans="2:2">
      <c r="B23146" s="62" t="str">
        <f>IF(AND('领用录入（明细）'!D:D=$F$4,'领用录入（明细）'!C:C&gt;=$J$4,'领用录入（明细）'!C:C&lt;=$L$4),ROW(),"-")</f>
        <v>-</v>
      </c>
    </row>
    <row r="23147" customHeight="1" spans="2:2">
      <c r="B23147" s="62" t="str">
        <f>IF(AND('领用录入（明细）'!D:D=$F$4,'领用录入（明细）'!C:C&gt;=$J$4,'领用录入（明细）'!C:C&lt;=$L$4),ROW(),"-")</f>
        <v>-</v>
      </c>
    </row>
    <row r="23148" customHeight="1" spans="2:2">
      <c r="B23148" s="62" t="str">
        <f>IF(AND('领用录入（明细）'!D:D=$F$4,'领用录入（明细）'!C:C&gt;=$J$4,'领用录入（明细）'!C:C&lt;=$L$4),ROW(),"-")</f>
        <v>-</v>
      </c>
    </row>
    <row r="23149" customHeight="1" spans="2:2">
      <c r="B23149" s="62" t="str">
        <f>IF(AND('领用录入（明细）'!D:D=$F$4,'领用录入（明细）'!C:C&gt;=$J$4,'领用录入（明细）'!C:C&lt;=$L$4),ROW(),"-")</f>
        <v>-</v>
      </c>
    </row>
    <row r="23150" customHeight="1" spans="2:2">
      <c r="B23150" s="62" t="str">
        <f>IF(AND('领用录入（明细）'!D:D=$F$4,'领用录入（明细）'!C:C&gt;=$J$4,'领用录入（明细）'!C:C&lt;=$L$4),ROW(),"-")</f>
        <v>-</v>
      </c>
    </row>
    <row r="23151" customHeight="1" spans="2:2">
      <c r="B23151" s="62" t="str">
        <f>IF(AND('领用录入（明细）'!D:D=$F$4,'领用录入（明细）'!C:C&gt;=$J$4,'领用录入（明细）'!C:C&lt;=$L$4),ROW(),"-")</f>
        <v>-</v>
      </c>
    </row>
    <row r="23152" customHeight="1" spans="2:2">
      <c r="B23152" s="62" t="str">
        <f>IF(AND('领用录入（明细）'!D:D=$F$4,'领用录入（明细）'!C:C&gt;=$J$4,'领用录入（明细）'!C:C&lt;=$L$4),ROW(),"-")</f>
        <v>-</v>
      </c>
    </row>
    <row r="23153" customHeight="1" spans="2:2">
      <c r="B23153" s="62" t="str">
        <f>IF(AND('领用录入（明细）'!D:D=$F$4,'领用录入（明细）'!C:C&gt;=$J$4,'领用录入（明细）'!C:C&lt;=$L$4),ROW(),"-")</f>
        <v>-</v>
      </c>
    </row>
    <row r="23154" customHeight="1" spans="2:2">
      <c r="B23154" s="62" t="str">
        <f>IF(AND('领用录入（明细）'!D:D=$F$4,'领用录入（明细）'!C:C&gt;=$J$4,'领用录入（明细）'!C:C&lt;=$L$4),ROW(),"-")</f>
        <v>-</v>
      </c>
    </row>
    <row r="23155" customHeight="1" spans="2:2">
      <c r="B23155" s="62" t="str">
        <f>IF(AND('领用录入（明细）'!D:D=$F$4,'领用录入（明细）'!C:C&gt;=$J$4,'领用录入（明细）'!C:C&lt;=$L$4),ROW(),"-")</f>
        <v>-</v>
      </c>
    </row>
    <row r="23156" customHeight="1" spans="2:2">
      <c r="B23156" s="62" t="str">
        <f>IF(AND('领用录入（明细）'!D:D=$F$4,'领用录入（明细）'!C:C&gt;=$J$4,'领用录入（明细）'!C:C&lt;=$L$4),ROW(),"-")</f>
        <v>-</v>
      </c>
    </row>
    <row r="23157" customHeight="1" spans="2:2">
      <c r="B23157" s="62" t="str">
        <f>IF(AND('领用录入（明细）'!D:D=$F$4,'领用录入（明细）'!C:C&gt;=$J$4,'领用录入（明细）'!C:C&lt;=$L$4),ROW(),"-")</f>
        <v>-</v>
      </c>
    </row>
    <row r="23158" customHeight="1" spans="2:2">
      <c r="B23158" s="62" t="str">
        <f>IF(AND('领用录入（明细）'!D:D=$F$4,'领用录入（明细）'!C:C&gt;=$J$4,'领用录入（明细）'!C:C&lt;=$L$4),ROW(),"-")</f>
        <v>-</v>
      </c>
    </row>
    <row r="23159" customHeight="1" spans="2:2">
      <c r="B23159" s="62" t="str">
        <f>IF(AND('领用录入（明细）'!D:D=$F$4,'领用录入（明细）'!C:C&gt;=$J$4,'领用录入（明细）'!C:C&lt;=$L$4),ROW(),"-")</f>
        <v>-</v>
      </c>
    </row>
    <row r="23160" customHeight="1" spans="2:2">
      <c r="B23160" s="62" t="str">
        <f>IF(AND('领用录入（明细）'!D:D=$F$4,'领用录入（明细）'!C:C&gt;=$J$4,'领用录入（明细）'!C:C&lt;=$L$4),ROW(),"-")</f>
        <v>-</v>
      </c>
    </row>
    <row r="23161" customHeight="1" spans="2:2">
      <c r="B23161" s="62" t="str">
        <f>IF(AND('领用录入（明细）'!D:D=$F$4,'领用录入（明细）'!C:C&gt;=$J$4,'领用录入（明细）'!C:C&lt;=$L$4),ROW(),"-")</f>
        <v>-</v>
      </c>
    </row>
    <row r="23162" customHeight="1" spans="2:2">
      <c r="B23162" s="62" t="str">
        <f>IF(AND('领用录入（明细）'!D:D=$F$4,'领用录入（明细）'!C:C&gt;=$J$4,'领用录入（明细）'!C:C&lt;=$L$4),ROW(),"-")</f>
        <v>-</v>
      </c>
    </row>
    <row r="23163" customHeight="1" spans="2:2">
      <c r="B23163" s="62" t="str">
        <f>IF(AND('领用录入（明细）'!D:D=$F$4,'领用录入（明细）'!C:C&gt;=$J$4,'领用录入（明细）'!C:C&lt;=$L$4),ROW(),"-")</f>
        <v>-</v>
      </c>
    </row>
    <row r="23164" customHeight="1" spans="2:2">
      <c r="B23164" s="62" t="str">
        <f>IF(AND('领用录入（明细）'!D:D=$F$4,'领用录入（明细）'!C:C&gt;=$J$4,'领用录入（明细）'!C:C&lt;=$L$4),ROW(),"-")</f>
        <v>-</v>
      </c>
    </row>
    <row r="23165" customHeight="1" spans="2:2">
      <c r="B23165" s="62" t="str">
        <f>IF(AND('领用录入（明细）'!D:D=$F$4,'领用录入（明细）'!C:C&gt;=$J$4,'领用录入（明细）'!C:C&lt;=$L$4),ROW(),"-")</f>
        <v>-</v>
      </c>
    </row>
    <row r="23166" customHeight="1" spans="2:2">
      <c r="B23166" s="62" t="str">
        <f>IF(AND('领用录入（明细）'!D:D=$F$4,'领用录入（明细）'!C:C&gt;=$J$4,'领用录入（明细）'!C:C&lt;=$L$4),ROW(),"-")</f>
        <v>-</v>
      </c>
    </row>
    <row r="23167" customHeight="1" spans="2:2">
      <c r="B23167" s="62" t="str">
        <f>IF(AND('领用录入（明细）'!D:D=$F$4,'领用录入（明细）'!C:C&gt;=$J$4,'领用录入（明细）'!C:C&lt;=$L$4),ROW(),"-")</f>
        <v>-</v>
      </c>
    </row>
    <row r="23168" customHeight="1" spans="2:2">
      <c r="B23168" s="62" t="str">
        <f>IF(AND('领用录入（明细）'!D:D=$F$4,'领用录入（明细）'!C:C&gt;=$J$4,'领用录入（明细）'!C:C&lt;=$L$4),ROW(),"-")</f>
        <v>-</v>
      </c>
    </row>
    <row r="23169" customHeight="1" spans="2:2">
      <c r="B23169" s="62" t="str">
        <f>IF(AND('领用录入（明细）'!D:D=$F$4,'领用录入（明细）'!C:C&gt;=$J$4,'领用录入（明细）'!C:C&lt;=$L$4),ROW(),"-")</f>
        <v>-</v>
      </c>
    </row>
    <row r="23170" customHeight="1" spans="2:2">
      <c r="B23170" s="62" t="str">
        <f>IF(AND('领用录入（明细）'!D:D=$F$4,'领用录入（明细）'!C:C&gt;=$J$4,'领用录入（明细）'!C:C&lt;=$L$4),ROW(),"-")</f>
        <v>-</v>
      </c>
    </row>
    <row r="23171" customHeight="1" spans="2:2">
      <c r="B23171" s="62" t="str">
        <f>IF(AND('领用录入（明细）'!D:D=$F$4,'领用录入（明细）'!C:C&gt;=$J$4,'领用录入（明细）'!C:C&lt;=$L$4),ROW(),"-")</f>
        <v>-</v>
      </c>
    </row>
    <row r="23172" customHeight="1" spans="2:2">
      <c r="B23172" s="62" t="str">
        <f>IF(AND('领用录入（明细）'!D:D=$F$4,'领用录入（明细）'!C:C&gt;=$J$4,'领用录入（明细）'!C:C&lt;=$L$4),ROW(),"-")</f>
        <v>-</v>
      </c>
    </row>
    <row r="23173" customHeight="1" spans="2:2">
      <c r="B23173" s="62" t="str">
        <f>IF(AND('领用录入（明细）'!D:D=$F$4,'领用录入（明细）'!C:C&gt;=$J$4,'领用录入（明细）'!C:C&lt;=$L$4),ROW(),"-")</f>
        <v>-</v>
      </c>
    </row>
    <row r="23174" customHeight="1" spans="2:2">
      <c r="B23174" s="62" t="str">
        <f>IF(AND('领用录入（明细）'!D:D=$F$4,'领用录入（明细）'!C:C&gt;=$J$4,'领用录入（明细）'!C:C&lt;=$L$4),ROW(),"-")</f>
        <v>-</v>
      </c>
    </row>
    <row r="23175" customHeight="1" spans="2:2">
      <c r="B23175" s="62" t="str">
        <f>IF(AND('领用录入（明细）'!D:D=$F$4,'领用录入（明细）'!C:C&gt;=$J$4,'领用录入（明细）'!C:C&lt;=$L$4),ROW(),"-")</f>
        <v>-</v>
      </c>
    </row>
    <row r="23176" customHeight="1" spans="2:2">
      <c r="B23176" s="62" t="str">
        <f>IF(AND('领用录入（明细）'!D:D=$F$4,'领用录入（明细）'!C:C&gt;=$J$4,'领用录入（明细）'!C:C&lt;=$L$4),ROW(),"-")</f>
        <v>-</v>
      </c>
    </row>
    <row r="23177" customHeight="1" spans="2:2">
      <c r="B23177" s="62" t="str">
        <f>IF(AND('领用录入（明细）'!D:D=$F$4,'领用录入（明细）'!C:C&gt;=$J$4,'领用录入（明细）'!C:C&lt;=$L$4),ROW(),"-")</f>
        <v>-</v>
      </c>
    </row>
    <row r="23178" customHeight="1" spans="2:2">
      <c r="B23178" s="62" t="str">
        <f>IF(AND('领用录入（明细）'!D:D=$F$4,'领用录入（明细）'!C:C&gt;=$J$4,'领用录入（明细）'!C:C&lt;=$L$4),ROW(),"-")</f>
        <v>-</v>
      </c>
    </row>
    <row r="23179" customHeight="1" spans="2:2">
      <c r="B23179" s="62" t="str">
        <f>IF(AND('领用录入（明细）'!D:D=$F$4,'领用录入（明细）'!C:C&gt;=$J$4,'领用录入（明细）'!C:C&lt;=$L$4),ROW(),"-")</f>
        <v>-</v>
      </c>
    </row>
    <row r="23180" customHeight="1" spans="2:2">
      <c r="B23180" s="62" t="str">
        <f>IF(AND('领用录入（明细）'!D:D=$F$4,'领用录入（明细）'!C:C&gt;=$J$4,'领用录入（明细）'!C:C&lt;=$L$4),ROW(),"-")</f>
        <v>-</v>
      </c>
    </row>
    <row r="23181" customHeight="1" spans="2:2">
      <c r="B23181" s="62" t="str">
        <f>IF(AND('领用录入（明细）'!D:D=$F$4,'领用录入（明细）'!C:C&gt;=$J$4,'领用录入（明细）'!C:C&lt;=$L$4),ROW(),"-")</f>
        <v>-</v>
      </c>
    </row>
    <row r="23182" customHeight="1" spans="2:2">
      <c r="B23182" s="62" t="str">
        <f>IF(AND('领用录入（明细）'!D:D=$F$4,'领用录入（明细）'!C:C&gt;=$J$4,'领用录入（明细）'!C:C&lt;=$L$4),ROW(),"-")</f>
        <v>-</v>
      </c>
    </row>
    <row r="23183" customHeight="1" spans="2:2">
      <c r="B23183" s="62" t="str">
        <f>IF(AND('领用录入（明细）'!D:D=$F$4,'领用录入（明细）'!C:C&gt;=$J$4,'领用录入（明细）'!C:C&lt;=$L$4),ROW(),"-")</f>
        <v>-</v>
      </c>
    </row>
    <row r="23184" customHeight="1" spans="2:2">
      <c r="B23184" s="62" t="str">
        <f>IF(AND('领用录入（明细）'!D:D=$F$4,'领用录入（明细）'!C:C&gt;=$J$4,'领用录入（明细）'!C:C&lt;=$L$4),ROW(),"-")</f>
        <v>-</v>
      </c>
    </row>
    <row r="23185" customHeight="1" spans="2:2">
      <c r="B23185" s="62" t="str">
        <f>IF(AND('领用录入（明细）'!D:D=$F$4,'领用录入（明细）'!C:C&gt;=$J$4,'领用录入（明细）'!C:C&lt;=$L$4),ROW(),"-")</f>
        <v>-</v>
      </c>
    </row>
    <row r="23186" customHeight="1" spans="2:2">
      <c r="B23186" s="62" t="str">
        <f>IF(AND('领用录入（明细）'!D:D=$F$4,'领用录入（明细）'!C:C&gt;=$J$4,'领用录入（明细）'!C:C&lt;=$L$4),ROW(),"-")</f>
        <v>-</v>
      </c>
    </row>
    <row r="23187" customHeight="1" spans="2:2">
      <c r="B23187" s="62" t="str">
        <f>IF(AND('领用录入（明细）'!D:D=$F$4,'领用录入（明细）'!C:C&gt;=$J$4,'领用录入（明细）'!C:C&lt;=$L$4),ROW(),"-")</f>
        <v>-</v>
      </c>
    </row>
    <row r="23188" customHeight="1" spans="2:2">
      <c r="B23188" s="62" t="str">
        <f>IF(AND('领用录入（明细）'!D:D=$F$4,'领用录入（明细）'!C:C&gt;=$J$4,'领用录入（明细）'!C:C&lt;=$L$4),ROW(),"-")</f>
        <v>-</v>
      </c>
    </row>
    <row r="23189" customHeight="1" spans="2:2">
      <c r="B23189" s="62" t="str">
        <f>IF(AND('领用录入（明细）'!D:D=$F$4,'领用录入（明细）'!C:C&gt;=$J$4,'领用录入（明细）'!C:C&lt;=$L$4),ROW(),"-")</f>
        <v>-</v>
      </c>
    </row>
    <row r="23190" customHeight="1" spans="2:2">
      <c r="B23190" s="62" t="str">
        <f>IF(AND('领用录入（明细）'!D:D=$F$4,'领用录入（明细）'!C:C&gt;=$J$4,'领用录入（明细）'!C:C&lt;=$L$4),ROW(),"-")</f>
        <v>-</v>
      </c>
    </row>
    <row r="23191" customHeight="1" spans="2:2">
      <c r="B23191" s="62" t="str">
        <f>IF(AND('领用录入（明细）'!D:D=$F$4,'领用录入（明细）'!C:C&gt;=$J$4,'领用录入（明细）'!C:C&lt;=$L$4),ROW(),"-")</f>
        <v>-</v>
      </c>
    </row>
    <row r="23192" customHeight="1" spans="2:2">
      <c r="B23192" s="62" t="str">
        <f>IF(AND('领用录入（明细）'!D:D=$F$4,'领用录入（明细）'!C:C&gt;=$J$4,'领用录入（明细）'!C:C&lt;=$L$4),ROW(),"-")</f>
        <v>-</v>
      </c>
    </row>
    <row r="23193" customHeight="1" spans="2:2">
      <c r="B23193" s="62" t="str">
        <f>IF(AND('领用录入（明细）'!D:D=$F$4,'领用录入（明细）'!C:C&gt;=$J$4,'领用录入（明细）'!C:C&lt;=$L$4),ROW(),"-")</f>
        <v>-</v>
      </c>
    </row>
    <row r="23194" customHeight="1" spans="2:2">
      <c r="B23194" s="62" t="str">
        <f>IF(AND('领用录入（明细）'!D:D=$F$4,'领用录入（明细）'!C:C&gt;=$J$4,'领用录入（明细）'!C:C&lt;=$L$4),ROW(),"-")</f>
        <v>-</v>
      </c>
    </row>
    <row r="23195" customHeight="1" spans="2:2">
      <c r="B23195" s="62" t="str">
        <f>IF(AND('领用录入（明细）'!D:D=$F$4,'领用录入（明细）'!C:C&gt;=$J$4,'领用录入（明细）'!C:C&lt;=$L$4),ROW(),"-")</f>
        <v>-</v>
      </c>
    </row>
    <row r="23196" customHeight="1" spans="2:2">
      <c r="B23196" s="62" t="str">
        <f>IF(AND('领用录入（明细）'!D:D=$F$4,'领用录入（明细）'!C:C&gt;=$J$4,'领用录入（明细）'!C:C&lt;=$L$4),ROW(),"-")</f>
        <v>-</v>
      </c>
    </row>
    <row r="23197" customHeight="1" spans="2:2">
      <c r="B23197" s="62" t="str">
        <f>IF(AND('领用录入（明细）'!D:D=$F$4,'领用录入（明细）'!C:C&gt;=$J$4,'领用录入（明细）'!C:C&lt;=$L$4),ROW(),"-")</f>
        <v>-</v>
      </c>
    </row>
    <row r="23198" customHeight="1" spans="2:2">
      <c r="B23198" s="62" t="str">
        <f>IF(AND('领用录入（明细）'!D:D=$F$4,'领用录入（明细）'!C:C&gt;=$J$4,'领用录入（明细）'!C:C&lt;=$L$4),ROW(),"-")</f>
        <v>-</v>
      </c>
    </row>
    <row r="23199" customHeight="1" spans="2:2">
      <c r="B23199" s="62" t="str">
        <f>IF(AND('领用录入（明细）'!D:D=$F$4,'领用录入（明细）'!C:C&gt;=$J$4,'领用录入（明细）'!C:C&lt;=$L$4),ROW(),"-")</f>
        <v>-</v>
      </c>
    </row>
    <row r="23200" customHeight="1" spans="2:2">
      <c r="B23200" s="62" t="str">
        <f>IF(AND('领用录入（明细）'!D:D=$F$4,'领用录入（明细）'!C:C&gt;=$J$4,'领用录入（明细）'!C:C&lt;=$L$4),ROW(),"-")</f>
        <v>-</v>
      </c>
    </row>
    <row r="23201" customHeight="1" spans="2:2">
      <c r="B23201" s="62" t="str">
        <f>IF(AND('领用录入（明细）'!D:D=$F$4,'领用录入（明细）'!C:C&gt;=$J$4,'领用录入（明细）'!C:C&lt;=$L$4),ROW(),"-")</f>
        <v>-</v>
      </c>
    </row>
    <row r="23202" customHeight="1" spans="2:2">
      <c r="B23202" s="62" t="str">
        <f>IF(AND('领用录入（明细）'!D:D=$F$4,'领用录入（明细）'!C:C&gt;=$J$4,'领用录入（明细）'!C:C&lt;=$L$4),ROW(),"-")</f>
        <v>-</v>
      </c>
    </row>
    <row r="23203" customHeight="1" spans="2:2">
      <c r="B23203" s="62" t="str">
        <f>IF(AND('领用录入（明细）'!D:D=$F$4,'领用录入（明细）'!C:C&gt;=$J$4,'领用录入（明细）'!C:C&lt;=$L$4),ROW(),"-")</f>
        <v>-</v>
      </c>
    </row>
    <row r="23204" customHeight="1" spans="2:2">
      <c r="B23204" s="62" t="str">
        <f>IF(AND('领用录入（明细）'!D:D=$F$4,'领用录入（明细）'!C:C&gt;=$J$4,'领用录入（明细）'!C:C&lt;=$L$4),ROW(),"-")</f>
        <v>-</v>
      </c>
    </row>
    <row r="23205" customHeight="1" spans="2:2">
      <c r="B23205" s="62" t="str">
        <f>IF(AND('领用录入（明细）'!D:D=$F$4,'领用录入（明细）'!C:C&gt;=$J$4,'领用录入（明细）'!C:C&lt;=$L$4),ROW(),"-")</f>
        <v>-</v>
      </c>
    </row>
    <row r="23206" customHeight="1" spans="2:2">
      <c r="B23206" s="62" t="str">
        <f>IF(AND('领用录入（明细）'!D:D=$F$4,'领用录入（明细）'!C:C&gt;=$J$4,'领用录入（明细）'!C:C&lt;=$L$4),ROW(),"-")</f>
        <v>-</v>
      </c>
    </row>
    <row r="23207" customHeight="1" spans="2:2">
      <c r="B23207" s="62" t="str">
        <f>IF(AND('领用录入（明细）'!D:D=$F$4,'领用录入（明细）'!C:C&gt;=$J$4,'领用录入（明细）'!C:C&lt;=$L$4),ROW(),"-")</f>
        <v>-</v>
      </c>
    </row>
    <row r="23208" customHeight="1" spans="2:2">
      <c r="B23208" s="62" t="str">
        <f>IF(AND('领用录入（明细）'!D:D=$F$4,'领用录入（明细）'!C:C&gt;=$J$4,'领用录入（明细）'!C:C&lt;=$L$4),ROW(),"-")</f>
        <v>-</v>
      </c>
    </row>
    <row r="23209" customHeight="1" spans="2:2">
      <c r="B23209" s="62" t="str">
        <f>IF(AND('领用录入（明细）'!D:D=$F$4,'领用录入（明细）'!C:C&gt;=$J$4,'领用录入（明细）'!C:C&lt;=$L$4),ROW(),"-")</f>
        <v>-</v>
      </c>
    </row>
    <row r="23210" customHeight="1" spans="2:2">
      <c r="B23210" s="62" t="str">
        <f>IF(AND('领用录入（明细）'!D:D=$F$4,'领用录入（明细）'!C:C&gt;=$J$4,'领用录入（明细）'!C:C&lt;=$L$4),ROW(),"-")</f>
        <v>-</v>
      </c>
    </row>
    <row r="23211" customHeight="1" spans="2:2">
      <c r="B23211" s="62" t="str">
        <f>IF(AND('领用录入（明细）'!D:D=$F$4,'领用录入（明细）'!C:C&gt;=$J$4,'领用录入（明细）'!C:C&lt;=$L$4),ROW(),"-")</f>
        <v>-</v>
      </c>
    </row>
    <row r="23212" customHeight="1" spans="2:2">
      <c r="B23212" s="62" t="str">
        <f>IF(AND('领用录入（明细）'!D:D=$F$4,'领用录入（明细）'!C:C&gt;=$J$4,'领用录入（明细）'!C:C&lt;=$L$4),ROW(),"-")</f>
        <v>-</v>
      </c>
    </row>
    <row r="23213" customHeight="1" spans="2:2">
      <c r="B23213" s="62" t="str">
        <f>IF(AND('领用录入（明细）'!D:D=$F$4,'领用录入（明细）'!C:C&gt;=$J$4,'领用录入（明细）'!C:C&lt;=$L$4),ROW(),"-")</f>
        <v>-</v>
      </c>
    </row>
    <row r="23214" customHeight="1" spans="2:2">
      <c r="B23214" s="62" t="str">
        <f>IF(AND('领用录入（明细）'!D:D=$F$4,'领用录入（明细）'!C:C&gt;=$J$4,'领用录入（明细）'!C:C&lt;=$L$4),ROW(),"-")</f>
        <v>-</v>
      </c>
    </row>
    <row r="23215" customHeight="1" spans="2:2">
      <c r="B23215" s="62" t="str">
        <f>IF(AND('领用录入（明细）'!D:D=$F$4,'领用录入（明细）'!C:C&gt;=$J$4,'领用录入（明细）'!C:C&lt;=$L$4),ROW(),"-")</f>
        <v>-</v>
      </c>
    </row>
    <row r="23216" customHeight="1" spans="2:2">
      <c r="B23216" s="62" t="str">
        <f>IF(AND('领用录入（明细）'!D:D=$F$4,'领用录入（明细）'!C:C&gt;=$J$4,'领用录入（明细）'!C:C&lt;=$L$4),ROW(),"-")</f>
        <v>-</v>
      </c>
    </row>
    <row r="23217" customHeight="1" spans="2:2">
      <c r="B23217" s="62" t="str">
        <f>IF(AND('领用录入（明细）'!D:D=$F$4,'领用录入（明细）'!C:C&gt;=$J$4,'领用录入（明细）'!C:C&lt;=$L$4),ROW(),"-")</f>
        <v>-</v>
      </c>
    </row>
    <row r="23218" customHeight="1" spans="2:2">
      <c r="B23218" s="62" t="str">
        <f>IF(AND('领用录入（明细）'!D:D=$F$4,'领用录入（明细）'!C:C&gt;=$J$4,'领用录入（明细）'!C:C&lt;=$L$4),ROW(),"-")</f>
        <v>-</v>
      </c>
    </row>
    <row r="23219" customHeight="1" spans="2:2">
      <c r="B23219" s="62" t="str">
        <f>IF(AND('领用录入（明细）'!D:D=$F$4,'领用录入（明细）'!C:C&gt;=$J$4,'领用录入（明细）'!C:C&lt;=$L$4),ROW(),"-")</f>
        <v>-</v>
      </c>
    </row>
    <row r="23220" customHeight="1" spans="2:2">
      <c r="B23220" s="62" t="str">
        <f>IF(AND('领用录入（明细）'!D:D=$F$4,'领用录入（明细）'!C:C&gt;=$J$4,'领用录入（明细）'!C:C&lt;=$L$4),ROW(),"-")</f>
        <v>-</v>
      </c>
    </row>
    <row r="23221" customHeight="1" spans="2:2">
      <c r="B23221" s="62" t="str">
        <f>IF(AND('领用录入（明细）'!D:D=$F$4,'领用录入（明细）'!C:C&gt;=$J$4,'领用录入（明细）'!C:C&lt;=$L$4),ROW(),"-")</f>
        <v>-</v>
      </c>
    </row>
    <row r="23222" customHeight="1" spans="2:2">
      <c r="B23222" s="62" t="str">
        <f>IF(AND('领用录入（明细）'!D:D=$F$4,'领用录入（明细）'!C:C&gt;=$J$4,'领用录入（明细）'!C:C&lt;=$L$4),ROW(),"-")</f>
        <v>-</v>
      </c>
    </row>
    <row r="23223" customHeight="1" spans="2:2">
      <c r="B23223" s="62" t="str">
        <f>IF(AND('领用录入（明细）'!D:D=$F$4,'领用录入（明细）'!C:C&gt;=$J$4,'领用录入（明细）'!C:C&lt;=$L$4),ROW(),"-")</f>
        <v>-</v>
      </c>
    </row>
    <row r="23224" customHeight="1" spans="2:2">
      <c r="B23224" s="62" t="str">
        <f>IF(AND('领用录入（明细）'!D:D=$F$4,'领用录入（明细）'!C:C&gt;=$J$4,'领用录入（明细）'!C:C&lt;=$L$4),ROW(),"-")</f>
        <v>-</v>
      </c>
    </row>
    <row r="23225" customHeight="1" spans="2:2">
      <c r="B23225" s="62" t="str">
        <f>IF(AND('领用录入（明细）'!D:D=$F$4,'领用录入（明细）'!C:C&gt;=$J$4,'领用录入（明细）'!C:C&lt;=$L$4),ROW(),"-")</f>
        <v>-</v>
      </c>
    </row>
    <row r="23226" customHeight="1" spans="2:2">
      <c r="B23226" s="62" t="str">
        <f>IF(AND('领用录入（明细）'!D:D=$F$4,'领用录入（明细）'!C:C&gt;=$J$4,'领用录入（明细）'!C:C&lt;=$L$4),ROW(),"-")</f>
        <v>-</v>
      </c>
    </row>
    <row r="23227" customHeight="1" spans="2:2">
      <c r="B23227" s="62" t="str">
        <f>IF(AND('领用录入（明细）'!D:D=$F$4,'领用录入（明细）'!C:C&gt;=$J$4,'领用录入（明细）'!C:C&lt;=$L$4),ROW(),"-")</f>
        <v>-</v>
      </c>
    </row>
    <row r="23228" customHeight="1" spans="2:2">
      <c r="B23228" s="62" t="str">
        <f>IF(AND('领用录入（明细）'!D:D=$F$4,'领用录入（明细）'!C:C&gt;=$J$4,'领用录入（明细）'!C:C&lt;=$L$4),ROW(),"-")</f>
        <v>-</v>
      </c>
    </row>
    <row r="23229" customHeight="1" spans="2:2">
      <c r="B23229" s="62" t="str">
        <f>IF(AND('领用录入（明细）'!D:D=$F$4,'领用录入（明细）'!C:C&gt;=$J$4,'领用录入（明细）'!C:C&lt;=$L$4),ROW(),"-")</f>
        <v>-</v>
      </c>
    </row>
    <row r="23230" customHeight="1" spans="2:2">
      <c r="B23230" s="62" t="str">
        <f>IF(AND('领用录入（明细）'!D:D=$F$4,'领用录入（明细）'!C:C&gt;=$J$4,'领用录入（明细）'!C:C&lt;=$L$4),ROW(),"-")</f>
        <v>-</v>
      </c>
    </row>
    <row r="23231" customHeight="1" spans="2:2">
      <c r="B23231" s="62" t="str">
        <f>IF(AND('领用录入（明细）'!D:D=$F$4,'领用录入（明细）'!C:C&gt;=$J$4,'领用录入（明细）'!C:C&lt;=$L$4),ROW(),"-")</f>
        <v>-</v>
      </c>
    </row>
    <row r="23232" customHeight="1" spans="2:2">
      <c r="B23232" s="62" t="str">
        <f>IF(AND('领用录入（明细）'!D:D=$F$4,'领用录入（明细）'!C:C&gt;=$J$4,'领用录入（明细）'!C:C&lt;=$L$4),ROW(),"-")</f>
        <v>-</v>
      </c>
    </row>
    <row r="23233" customHeight="1" spans="2:2">
      <c r="B23233" s="62" t="str">
        <f>IF(AND('领用录入（明细）'!D:D=$F$4,'领用录入（明细）'!C:C&gt;=$J$4,'领用录入（明细）'!C:C&lt;=$L$4),ROW(),"-")</f>
        <v>-</v>
      </c>
    </row>
    <row r="23234" customHeight="1" spans="2:2">
      <c r="B23234" s="62" t="str">
        <f>IF(AND('领用录入（明细）'!D:D=$F$4,'领用录入（明细）'!C:C&gt;=$J$4,'领用录入（明细）'!C:C&lt;=$L$4),ROW(),"-")</f>
        <v>-</v>
      </c>
    </row>
    <row r="23235" customHeight="1" spans="2:2">
      <c r="B23235" s="62" t="str">
        <f>IF(AND('领用录入（明细）'!D:D=$F$4,'领用录入（明细）'!C:C&gt;=$J$4,'领用录入（明细）'!C:C&lt;=$L$4),ROW(),"-")</f>
        <v>-</v>
      </c>
    </row>
    <row r="23236" customHeight="1" spans="2:2">
      <c r="B23236" s="62" t="str">
        <f>IF(AND('领用录入（明细）'!D:D=$F$4,'领用录入（明细）'!C:C&gt;=$J$4,'领用录入（明细）'!C:C&lt;=$L$4),ROW(),"-")</f>
        <v>-</v>
      </c>
    </row>
    <row r="23237" customHeight="1" spans="2:2">
      <c r="B23237" s="62" t="str">
        <f>IF(AND('领用录入（明细）'!D:D=$F$4,'领用录入（明细）'!C:C&gt;=$J$4,'领用录入（明细）'!C:C&lt;=$L$4),ROW(),"-")</f>
        <v>-</v>
      </c>
    </row>
    <row r="23238" customHeight="1" spans="2:2">
      <c r="B23238" s="62" t="str">
        <f>IF(AND('领用录入（明细）'!D:D=$F$4,'领用录入（明细）'!C:C&gt;=$J$4,'领用录入（明细）'!C:C&lt;=$L$4),ROW(),"-")</f>
        <v>-</v>
      </c>
    </row>
    <row r="23239" customHeight="1" spans="2:2">
      <c r="B23239" s="62" t="str">
        <f>IF(AND('领用录入（明细）'!D:D=$F$4,'领用录入（明细）'!C:C&gt;=$J$4,'领用录入（明细）'!C:C&lt;=$L$4),ROW(),"-")</f>
        <v>-</v>
      </c>
    </row>
    <row r="23240" customHeight="1" spans="2:2">
      <c r="B23240" s="62" t="str">
        <f>IF(AND('领用录入（明细）'!D:D=$F$4,'领用录入（明细）'!C:C&gt;=$J$4,'领用录入（明细）'!C:C&lt;=$L$4),ROW(),"-")</f>
        <v>-</v>
      </c>
    </row>
    <row r="23241" customHeight="1" spans="2:2">
      <c r="B23241" s="62" t="str">
        <f>IF(AND('领用录入（明细）'!D:D=$F$4,'领用录入（明细）'!C:C&gt;=$J$4,'领用录入（明细）'!C:C&lt;=$L$4),ROW(),"-")</f>
        <v>-</v>
      </c>
    </row>
    <row r="23242" customHeight="1" spans="2:2">
      <c r="B23242" s="62" t="str">
        <f>IF(AND('领用录入（明细）'!D:D=$F$4,'领用录入（明细）'!C:C&gt;=$J$4,'领用录入（明细）'!C:C&lt;=$L$4),ROW(),"-")</f>
        <v>-</v>
      </c>
    </row>
    <row r="23243" customHeight="1" spans="2:2">
      <c r="B23243" s="62" t="str">
        <f>IF(AND('领用录入（明细）'!D:D=$F$4,'领用录入（明细）'!C:C&gt;=$J$4,'领用录入（明细）'!C:C&lt;=$L$4),ROW(),"-")</f>
        <v>-</v>
      </c>
    </row>
    <row r="23244" customHeight="1" spans="2:2">
      <c r="B23244" s="62" t="str">
        <f>IF(AND('领用录入（明细）'!D:D=$F$4,'领用录入（明细）'!C:C&gt;=$J$4,'领用录入（明细）'!C:C&lt;=$L$4),ROW(),"-")</f>
        <v>-</v>
      </c>
    </row>
    <row r="23245" customHeight="1" spans="2:2">
      <c r="B23245" s="62" t="str">
        <f>IF(AND('领用录入（明细）'!D:D=$F$4,'领用录入（明细）'!C:C&gt;=$J$4,'领用录入（明细）'!C:C&lt;=$L$4),ROW(),"-")</f>
        <v>-</v>
      </c>
    </row>
    <row r="23246" customHeight="1" spans="2:2">
      <c r="B23246" s="62" t="str">
        <f>IF(AND('领用录入（明细）'!D:D=$F$4,'领用录入（明细）'!C:C&gt;=$J$4,'领用录入（明细）'!C:C&lt;=$L$4),ROW(),"-")</f>
        <v>-</v>
      </c>
    </row>
    <row r="23247" customHeight="1" spans="2:2">
      <c r="B23247" s="62" t="str">
        <f>IF(AND('领用录入（明细）'!D:D=$F$4,'领用录入（明细）'!C:C&gt;=$J$4,'领用录入（明细）'!C:C&lt;=$L$4),ROW(),"-")</f>
        <v>-</v>
      </c>
    </row>
    <row r="23248" customHeight="1" spans="2:2">
      <c r="B23248" s="62" t="str">
        <f>IF(AND('领用录入（明细）'!D:D=$F$4,'领用录入（明细）'!C:C&gt;=$J$4,'领用录入（明细）'!C:C&lt;=$L$4),ROW(),"-")</f>
        <v>-</v>
      </c>
    </row>
    <row r="23249" customHeight="1" spans="2:2">
      <c r="B23249" s="62" t="str">
        <f>IF(AND('领用录入（明细）'!D:D=$F$4,'领用录入（明细）'!C:C&gt;=$J$4,'领用录入（明细）'!C:C&lt;=$L$4),ROW(),"-")</f>
        <v>-</v>
      </c>
    </row>
    <row r="23250" customHeight="1" spans="2:2">
      <c r="B23250" s="62" t="str">
        <f>IF(AND('领用录入（明细）'!D:D=$F$4,'领用录入（明细）'!C:C&gt;=$J$4,'领用录入（明细）'!C:C&lt;=$L$4),ROW(),"-")</f>
        <v>-</v>
      </c>
    </row>
    <row r="23251" customHeight="1" spans="2:2">
      <c r="B23251" s="62" t="str">
        <f>IF(AND('领用录入（明细）'!D:D=$F$4,'领用录入（明细）'!C:C&gt;=$J$4,'领用录入（明细）'!C:C&lt;=$L$4),ROW(),"-")</f>
        <v>-</v>
      </c>
    </row>
    <row r="23252" customHeight="1" spans="2:2">
      <c r="B23252" s="62" t="str">
        <f>IF(AND('领用录入（明细）'!D:D=$F$4,'领用录入（明细）'!C:C&gt;=$J$4,'领用录入（明细）'!C:C&lt;=$L$4),ROW(),"-")</f>
        <v>-</v>
      </c>
    </row>
    <row r="23253" customHeight="1" spans="2:2">
      <c r="B23253" s="62" t="str">
        <f>IF(AND('领用录入（明细）'!D:D=$F$4,'领用录入（明细）'!C:C&gt;=$J$4,'领用录入（明细）'!C:C&lt;=$L$4),ROW(),"-")</f>
        <v>-</v>
      </c>
    </row>
    <row r="23254" customHeight="1" spans="2:2">
      <c r="B23254" s="62" t="str">
        <f>IF(AND('领用录入（明细）'!D:D=$F$4,'领用录入（明细）'!C:C&gt;=$J$4,'领用录入（明细）'!C:C&lt;=$L$4),ROW(),"-")</f>
        <v>-</v>
      </c>
    </row>
    <row r="23255" customHeight="1" spans="2:2">
      <c r="B23255" s="62" t="str">
        <f>IF(AND('领用录入（明细）'!D:D=$F$4,'领用录入（明细）'!C:C&gt;=$J$4,'领用录入（明细）'!C:C&lt;=$L$4),ROW(),"-")</f>
        <v>-</v>
      </c>
    </row>
    <row r="23256" customHeight="1" spans="2:2">
      <c r="B23256" s="62" t="str">
        <f>IF(AND('领用录入（明细）'!D:D=$F$4,'领用录入（明细）'!C:C&gt;=$J$4,'领用录入（明细）'!C:C&lt;=$L$4),ROW(),"-")</f>
        <v>-</v>
      </c>
    </row>
    <row r="23257" customHeight="1" spans="2:2">
      <c r="B23257" s="62" t="str">
        <f>IF(AND('领用录入（明细）'!D:D=$F$4,'领用录入（明细）'!C:C&gt;=$J$4,'领用录入（明细）'!C:C&lt;=$L$4),ROW(),"-")</f>
        <v>-</v>
      </c>
    </row>
    <row r="23258" customHeight="1" spans="2:2">
      <c r="B23258" s="62" t="str">
        <f>IF(AND('领用录入（明细）'!D:D=$F$4,'领用录入（明细）'!C:C&gt;=$J$4,'领用录入（明细）'!C:C&lt;=$L$4),ROW(),"-")</f>
        <v>-</v>
      </c>
    </row>
    <row r="23259" customHeight="1" spans="2:2">
      <c r="B23259" s="62" t="str">
        <f>IF(AND('领用录入（明细）'!D:D=$F$4,'领用录入（明细）'!C:C&gt;=$J$4,'领用录入（明细）'!C:C&lt;=$L$4),ROW(),"-")</f>
        <v>-</v>
      </c>
    </row>
    <row r="23260" customHeight="1" spans="2:2">
      <c r="B23260" s="62" t="str">
        <f>IF(AND('领用录入（明细）'!D:D=$F$4,'领用录入（明细）'!C:C&gt;=$J$4,'领用录入（明细）'!C:C&lt;=$L$4),ROW(),"-")</f>
        <v>-</v>
      </c>
    </row>
    <row r="23261" customHeight="1" spans="2:2">
      <c r="B23261" s="62" t="str">
        <f>IF(AND('领用录入（明细）'!D:D=$F$4,'领用录入（明细）'!C:C&gt;=$J$4,'领用录入（明细）'!C:C&lt;=$L$4),ROW(),"-")</f>
        <v>-</v>
      </c>
    </row>
    <row r="23262" customHeight="1" spans="2:2">
      <c r="B23262" s="62" t="str">
        <f>IF(AND('领用录入（明细）'!D:D=$F$4,'领用录入（明细）'!C:C&gt;=$J$4,'领用录入（明细）'!C:C&lt;=$L$4),ROW(),"-")</f>
        <v>-</v>
      </c>
    </row>
    <row r="23263" customHeight="1" spans="2:2">
      <c r="B23263" s="62" t="str">
        <f>IF(AND('领用录入（明细）'!D:D=$F$4,'领用录入（明细）'!C:C&gt;=$J$4,'领用录入（明细）'!C:C&lt;=$L$4),ROW(),"-")</f>
        <v>-</v>
      </c>
    </row>
    <row r="23264" customHeight="1" spans="2:2">
      <c r="B23264" s="62" t="str">
        <f>IF(AND('领用录入（明细）'!D:D=$F$4,'领用录入（明细）'!C:C&gt;=$J$4,'领用录入（明细）'!C:C&lt;=$L$4),ROW(),"-")</f>
        <v>-</v>
      </c>
    </row>
    <row r="23265" customHeight="1" spans="2:2">
      <c r="B23265" s="62" t="str">
        <f>IF(AND('领用录入（明细）'!D:D=$F$4,'领用录入（明细）'!C:C&gt;=$J$4,'领用录入（明细）'!C:C&lt;=$L$4),ROW(),"-")</f>
        <v>-</v>
      </c>
    </row>
    <row r="23266" customHeight="1" spans="2:2">
      <c r="B23266" s="62" t="str">
        <f>IF(AND('领用录入（明细）'!D:D=$F$4,'领用录入（明细）'!C:C&gt;=$J$4,'领用录入（明细）'!C:C&lt;=$L$4),ROW(),"-")</f>
        <v>-</v>
      </c>
    </row>
    <row r="23267" customHeight="1" spans="2:2">
      <c r="B23267" s="62" t="str">
        <f>IF(AND('领用录入（明细）'!D:D=$F$4,'领用录入（明细）'!C:C&gt;=$J$4,'领用录入（明细）'!C:C&lt;=$L$4),ROW(),"-")</f>
        <v>-</v>
      </c>
    </row>
    <row r="23268" customHeight="1" spans="2:2">
      <c r="B23268" s="62" t="str">
        <f>IF(AND('领用录入（明细）'!D:D=$F$4,'领用录入（明细）'!C:C&gt;=$J$4,'领用录入（明细）'!C:C&lt;=$L$4),ROW(),"-")</f>
        <v>-</v>
      </c>
    </row>
    <row r="23269" customHeight="1" spans="2:2">
      <c r="B23269" s="62" t="str">
        <f>IF(AND('领用录入（明细）'!D:D=$F$4,'领用录入（明细）'!C:C&gt;=$J$4,'领用录入（明细）'!C:C&lt;=$L$4),ROW(),"-")</f>
        <v>-</v>
      </c>
    </row>
    <row r="23270" customHeight="1" spans="2:2">
      <c r="B23270" s="62" t="str">
        <f>IF(AND('领用录入（明细）'!D:D=$F$4,'领用录入（明细）'!C:C&gt;=$J$4,'领用录入（明细）'!C:C&lt;=$L$4),ROW(),"-")</f>
        <v>-</v>
      </c>
    </row>
    <row r="23271" customHeight="1" spans="2:2">
      <c r="B23271" s="62" t="str">
        <f>IF(AND('领用录入（明细）'!D:D=$F$4,'领用录入（明细）'!C:C&gt;=$J$4,'领用录入（明细）'!C:C&lt;=$L$4),ROW(),"-")</f>
        <v>-</v>
      </c>
    </row>
    <row r="23272" customHeight="1" spans="2:2">
      <c r="B23272" s="62" t="str">
        <f>IF(AND('领用录入（明细）'!D:D=$F$4,'领用录入（明细）'!C:C&gt;=$J$4,'领用录入（明细）'!C:C&lt;=$L$4),ROW(),"-")</f>
        <v>-</v>
      </c>
    </row>
    <row r="23273" customHeight="1" spans="2:2">
      <c r="B23273" s="62" t="str">
        <f>IF(AND('领用录入（明细）'!D:D=$F$4,'领用录入（明细）'!C:C&gt;=$J$4,'领用录入（明细）'!C:C&lt;=$L$4),ROW(),"-")</f>
        <v>-</v>
      </c>
    </row>
    <row r="23274" customHeight="1" spans="2:2">
      <c r="B23274" s="62" t="str">
        <f>IF(AND('领用录入（明细）'!D:D=$F$4,'领用录入（明细）'!C:C&gt;=$J$4,'领用录入（明细）'!C:C&lt;=$L$4),ROW(),"-")</f>
        <v>-</v>
      </c>
    </row>
    <row r="23275" customHeight="1" spans="2:2">
      <c r="B23275" s="62" t="str">
        <f>IF(AND('领用录入（明细）'!D:D=$F$4,'领用录入（明细）'!C:C&gt;=$J$4,'领用录入（明细）'!C:C&lt;=$L$4),ROW(),"-")</f>
        <v>-</v>
      </c>
    </row>
    <row r="23276" customHeight="1" spans="2:2">
      <c r="B23276" s="62" t="str">
        <f>IF(AND('领用录入（明细）'!D:D=$F$4,'领用录入（明细）'!C:C&gt;=$J$4,'领用录入（明细）'!C:C&lt;=$L$4),ROW(),"-")</f>
        <v>-</v>
      </c>
    </row>
    <row r="23277" customHeight="1" spans="2:2">
      <c r="B23277" s="62" t="str">
        <f>IF(AND('领用录入（明细）'!D:D=$F$4,'领用录入（明细）'!C:C&gt;=$J$4,'领用录入（明细）'!C:C&lt;=$L$4),ROW(),"-")</f>
        <v>-</v>
      </c>
    </row>
    <row r="23278" customHeight="1" spans="2:2">
      <c r="B23278" s="62" t="str">
        <f>IF(AND('领用录入（明细）'!D:D=$F$4,'领用录入（明细）'!C:C&gt;=$J$4,'领用录入（明细）'!C:C&lt;=$L$4),ROW(),"-")</f>
        <v>-</v>
      </c>
    </row>
    <row r="23279" customHeight="1" spans="2:2">
      <c r="B23279" s="62" t="str">
        <f>IF(AND('领用录入（明细）'!D:D=$F$4,'领用录入（明细）'!C:C&gt;=$J$4,'领用录入（明细）'!C:C&lt;=$L$4),ROW(),"-")</f>
        <v>-</v>
      </c>
    </row>
    <row r="23280" customHeight="1" spans="2:2">
      <c r="B23280" s="62" t="str">
        <f>IF(AND('领用录入（明细）'!D:D=$F$4,'领用录入（明细）'!C:C&gt;=$J$4,'领用录入（明细）'!C:C&lt;=$L$4),ROW(),"-")</f>
        <v>-</v>
      </c>
    </row>
    <row r="23281" customHeight="1" spans="2:2">
      <c r="B23281" s="62" t="str">
        <f>IF(AND('领用录入（明细）'!D:D=$F$4,'领用录入（明细）'!C:C&gt;=$J$4,'领用录入（明细）'!C:C&lt;=$L$4),ROW(),"-")</f>
        <v>-</v>
      </c>
    </row>
    <row r="23282" customHeight="1" spans="2:2">
      <c r="B23282" s="62" t="str">
        <f>IF(AND('领用录入（明细）'!D:D=$F$4,'领用录入（明细）'!C:C&gt;=$J$4,'领用录入（明细）'!C:C&lt;=$L$4),ROW(),"-")</f>
        <v>-</v>
      </c>
    </row>
    <row r="23283" customHeight="1" spans="2:2">
      <c r="B23283" s="62" t="str">
        <f>IF(AND('领用录入（明细）'!D:D=$F$4,'领用录入（明细）'!C:C&gt;=$J$4,'领用录入（明细）'!C:C&lt;=$L$4),ROW(),"-")</f>
        <v>-</v>
      </c>
    </row>
    <row r="23284" customHeight="1" spans="2:2">
      <c r="B23284" s="62" t="str">
        <f>IF(AND('领用录入（明细）'!D:D=$F$4,'领用录入（明细）'!C:C&gt;=$J$4,'领用录入（明细）'!C:C&lt;=$L$4),ROW(),"-")</f>
        <v>-</v>
      </c>
    </row>
    <row r="23285" customHeight="1" spans="2:2">
      <c r="B23285" s="62" t="str">
        <f>IF(AND('领用录入（明细）'!D:D=$F$4,'领用录入（明细）'!C:C&gt;=$J$4,'领用录入（明细）'!C:C&lt;=$L$4),ROW(),"-")</f>
        <v>-</v>
      </c>
    </row>
    <row r="23286" customHeight="1" spans="2:2">
      <c r="B23286" s="62" t="str">
        <f>IF(AND('领用录入（明细）'!D:D=$F$4,'领用录入（明细）'!C:C&gt;=$J$4,'领用录入（明细）'!C:C&lt;=$L$4),ROW(),"-")</f>
        <v>-</v>
      </c>
    </row>
    <row r="23287" customHeight="1" spans="2:2">
      <c r="B23287" s="62" t="str">
        <f>IF(AND('领用录入（明细）'!D:D=$F$4,'领用录入（明细）'!C:C&gt;=$J$4,'领用录入（明细）'!C:C&lt;=$L$4),ROW(),"-")</f>
        <v>-</v>
      </c>
    </row>
    <row r="23288" customHeight="1" spans="2:2">
      <c r="B23288" s="62" t="str">
        <f>IF(AND('领用录入（明细）'!D:D=$F$4,'领用录入（明细）'!C:C&gt;=$J$4,'领用录入（明细）'!C:C&lt;=$L$4),ROW(),"-")</f>
        <v>-</v>
      </c>
    </row>
    <row r="23289" customHeight="1" spans="2:2">
      <c r="B23289" s="62" t="str">
        <f>IF(AND('领用录入（明细）'!D:D=$F$4,'领用录入（明细）'!C:C&gt;=$J$4,'领用录入（明细）'!C:C&lt;=$L$4),ROW(),"-")</f>
        <v>-</v>
      </c>
    </row>
    <row r="23290" customHeight="1" spans="2:2">
      <c r="B23290" s="62" t="str">
        <f>IF(AND('领用录入（明细）'!D:D=$F$4,'领用录入（明细）'!C:C&gt;=$J$4,'领用录入（明细）'!C:C&lt;=$L$4),ROW(),"-")</f>
        <v>-</v>
      </c>
    </row>
    <row r="23291" customHeight="1" spans="2:2">
      <c r="B23291" s="62" t="str">
        <f>IF(AND('领用录入（明细）'!D:D=$F$4,'领用录入（明细）'!C:C&gt;=$J$4,'领用录入（明细）'!C:C&lt;=$L$4),ROW(),"-")</f>
        <v>-</v>
      </c>
    </row>
    <row r="23292" customHeight="1" spans="2:2">
      <c r="B23292" s="62" t="str">
        <f>IF(AND('领用录入（明细）'!D:D=$F$4,'领用录入（明细）'!C:C&gt;=$J$4,'领用录入（明细）'!C:C&lt;=$L$4),ROW(),"-")</f>
        <v>-</v>
      </c>
    </row>
    <row r="23293" customHeight="1" spans="2:2">
      <c r="B23293" s="62" t="str">
        <f>IF(AND('领用录入（明细）'!D:D=$F$4,'领用录入（明细）'!C:C&gt;=$J$4,'领用录入（明细）'!C:C&lt;=$L$4),ROW(),"-")</f>
        <v>-</v>
      </c>
    </row>
    <row r="23294" customHeight="1" spans="2:2">
      <c r="B23294" s="62" t="str">
        <f>IF(AND('领用录入（明细）'!D:D=$F$4,'领用录入（明细）'!C:C&gt;=$J$4,'领用录入（明细）'!C:C&lt;=$L$4),ROW(),"-")</f>
        <v>-</v>
      </c>
    </row>
    <row r="23295" customHeight="1" spans="2:2">
      <c r="B23295" s="62" t="str">
        <f>IF(AND('领用录入（明细）'!D:D=$F$4,'领用录入（明细）'!C:C&gt;=$J$4,'领用录入（明细）'!C:C&lt;=$L$4),ROW(),"-")</f>
        <v>-</v>
      </c>
    </row>
    <row r="23296" customHeight="1" spans="2:2">
      <c r="B23296" s="62" t="str">
        <f>IF(AND('领用录入（明细）'!D:D=$F$4,'领用录入（明细）'!C:C&gt;=$J$4,'领用录入（明细）'!C:C&lt;=$L$4),ROW(),"-")</f>
        <v>-</v>
      </c>
    </row>
    <row r="23297" customHeight="1" spans="2:2">
      <c r="B23297" s="62" t="str">
        <f>IF(AND('领用录入（明细）'!D:D=$F$4,'领用录入（明细）'!C:C&gt;=$J$4,'领用录入（明细）'!C:C&lt;=$L$4),ROW(),"-")</f>
        <v>-</v>
      </c>
    </row>
    <row r="23298" customHeight="1" spans="2:2">
      <c r="B23298" s="62" t="str">
        <f>IF(AND('领用录入（明细）'!D:D=$F$4,'领用录入（明细）'!C:C&gt;=$J$4,'领用录入（明细）'!C:C&lt;=$L$4),ROW(),"-")</f>
        <v>-</v>
      </c>
    </row>
    <row r="23299" customHeight="1" spans="2:2">
      <c r="B23299" s="62" t="str">
        <f>IF(AND('领用录入（明细）'!D:D=$F$4,'领用录入（明细）'!C:C&gt;=$J$4,'领用录入（明细）'!C:C&lt;=$L$4),ROW(),"-")</f>
        <v>-</v>
      </c>
    </row>
    <row r="23300" customHeight="1" spans="2:2">
      <c r="B23300" s="62" t="str">
        <f>IF(AND('领用录入（明细）'!D:D=$F$4,'领用录入（明细）'!C:C&gt;=$J$4,'领用录入（明细）'!C:C&lt;=$L$4),ROW(),"-")</f>
        <v>-</v>
      </c>
    </row>
    <row r="23301" customHeight="1" spans="2:2">
      <c r="B23301" s="62" t="str">
        <f>IF(AND('领用录入（明细）'!D:D=$F$4,'领用录入（明细）'!C:C&gt;=$J$4,'领用录入（明细）'!C:C&lt;=$L$4),ROW(),"-")</f>
        <v>-</v>
      </c>
    </row>
    <row r="23302" customHeight="1" spans="2:2">
      <c r="B23302" s="62" t="str">
        <f>IF(AND('领用录入（明细）'!D:D=$F$4,'领用录入（明细）'!C:C&gt;=$J$4,'领用录入（明细）'!C:C&lt;=$L$4),ROW(),"-")</f>
        <v>-</v>
      </c>
    </row>
    <row r="23303" customHeight="1" spans="2:2">
      <c r="B23303" s="62" t="str">
        <f>IF(AND('领用录入（明细）'!D:D=$F$4,'领用录入（明细）'!C:C&gt;=$J$4,'领用录入（明细）'!C:C&lt;=$L$4),ROW(),"-")</f>
        <v>-</v>
      </c>
    </row>
    <row r="23304" customHeight="1" spans="2:2">
      <c r="B23304" s="62" t="str">
        <f>IF(AND('领用录入（明细）'!D:D=$F$4,'领用录入（明细）'!C:C&gt;=$J$4,'领用录入（明细）'!C:C&lt;=$L$4),ROW(),"-")</f>
        <v>-</v>
      </c>
    </row>
    <row r="23305" customHeight="1" spans="2:2">
      <c r="B23305" s="62" t="str">
        <f>IF(AND('领用录入（明细）'!D:D=$F$4,'领用录入（明细）'!C:C&gt;=$J$4,'领用录入（明细）'!C:C&lt;=$L$4),ROW(),"-")</f>
        <v>-</v>
      </c>
    </row>
    <row r="23306" customHeight="1" spans="2:2">
      <c r="B23306" s="62" t="str">
        <f>IF(AND('领用录入（明细）'!D:D=$F$4,'领用录入（明细）'!C:C&gt;=$J$4,'领用录入（明细）'!C:C&lt;=$L$4),ROW(),"-")</f>
        <v>-</v>
      </c>
    </row>
    <row r="23307" customHeight="1" spans="2:2">
      <c r="B23307" s="62" t="str">
        <f>IF(AND('领用录入（明细）'!D:D=$F$4,'领用录入（明细）'!C:C&gt;=$J$4,'领用录入（明细）'!C:C&lt;=$L$4),ROW(),"-")</f>
        <v>-</v>
      </c>
    </row>
    <row r="23308" customHeight="1" spans="2:2">
      <c r="B23308" s="62" t="str">
        <f>IF(AND('领用录入（明细）'!D:D=$F$4,'领用录入（明细）'!C:C&gt;=$J$4,'领用录入（明细）'!C:C&lt;=$L$4),ROW(),"-")</f>
        <v>-</v>
      </c>
    </row>
    <row r="23309" customHeight="1" spans="2:2">
      <c r="B23309" s="62" t="str">
        <f>IF(AND('领用录入（明细）'!D:D=$F$4,'领用录入（明细）'!C:C&gt;=$J$4,'领用录入（明细）'!C:C&lt;=$L$4),ROW(),"-")</f>
        <v>-</v>
      </c>
    </row>
    <row r="23310" customHeight="1" spans="2:2">
      <c r="B23310" s="62" t="str">
        <f>IF(AND('领用录入（明细）'!D:D=$F$4,'领用录入（明细）'!C:C&gt;=$J$4,'领用录入（明细）'!C:C&lt;=$L$4),ROW(),"-")</f>
        <v>-</v>
      </c>
    </row>
    <row r="23311" customHeight="1" spans="2:2">
      <c r="B23311" s="62" t="str">
        <f>IF(AND('领用录入（明细）'!D:D=$F$4,'领用录入（明细）'!C:C&gt;=$J$4,'领用录入（明细）'!C:C&lt;=$L$4),ROW(),"-")</f>
        <v>-</v>
      </c>
    </row>
    <row r="23312" customHeight="1" spans="2:2">
      <c r="B23312" s="62" t="str">
        <f>IF(AND('领用录入（明细）'!D:D=$F$4,'领用录入（明细）'!C:C&gt;=$J$4,'领用录入（明细）'!C:C&lt;=$L$4),ROW(),"-")</f>
        <v>-</v>
      </c>
    </row>
    <row r="23313" customHeight="1" spans="2:2">
      <c r="B23313" s="62" t="str">
        <f>IF(AND('领用录入（明细）'!D:D=$F$4,'领用录入（明细）'!C:C&gt;=$J$4,'领用录入（明细）'!C:C&lt;=$L$4),ROW(),"-")</f>
        <v>-</v>
      </c>
    </row>
    <row r="23314" customHeight="1" spans="2:2">
      <c r="B23314" s="62" t="str">
        <f>IF(AND('领用录入（明细）'!D:D=$F$4,'领用录入（明细）'!C:C&gt;=$J$4,'领用录入（明细）'!C:C&lt;=$L$4),ROW(),"-")</f>
        <v>-</v>
      </c>
    </row>
    <row r="23315" customHeight="1" spans="2:2">
      <c r="B23315" s="62" t="str">
        <f>IF(AND('领用录入（明细）'!D:D=$F$4,'领用录入（明细）'!C:C&gt;=$J$4,'领用录入（明细）'!C:C&lt;=$L$4),ROW(),"-")</f>
        <v>-</v>
      </c>
    </row>
    <row r="23316" customHeight="1" spans="2:2">
      <c r="B23316" s="62" t="str">
        <f>IF(AND('领用录入（明细）'!D:D=$F$4,'领用录入（明细）'!C:C&gt;=$J$4,'领用录入（明细）'!C:C&lt;=$L$4),ROW(),"-")</f>
        <v>-</v>
      </c>
    </row>
    <row r="23317" customHeight="1" spans="2:2">
      <c r="B23317" s="62" t="str">
        <f>IF(AND('领用录入（明细）'!D:D=$F$4,'领用录入（明细）'!C:C&gt;=$J$4,'领用录入（明细）'!C:C&lt;=$L$4),ROW(),"-")</f>
        <v>-</v>
      </c>
    </row>
    <row r="23318" customHeight="1" spans="2:2">
      <c r="B23318" s="62" t="str">
        <f>IF(AND('领用录入（明细）'!D:D=$F$4,'领用录入（明细）'!C:C&gt;=$J$4,'领用录入（明细）'!C:C&lt;=$L$4),ROW(),"-")</f>
        <v>-</v>
      </c>
    </row>
    <row r="23319" customHeight="1" spans="2:2">
      <c r="B23319" s="62" t="str">
        <f>IF(AND('领用录入（明细）'!D:D=$F$4,'领用录入（明细）'!C:C&gt;=$J$4,'领用录入（明细）'!C:C&lt;=$L$4),ROW(),"-")</f>
        <v>-</v>
      </c>
    </row>
    <row r="23320" customHeight="1" spans="2:2">
      <c r="B23320" s="62" t="str">
        <f>IF(AND('领用录入（明细）'!D:D=$F$4,'领用录入（明细）'!C:C&gt;=$J$4,'领用录入（明细）'!C:C&lt;=$L$4),ROW(),"-")</f>
        <v>-</v>
      </c>
    </row>
    <row r="23321" customHeight="1" spans="2:2">
      <c r="B23321" s="62" t="str">
        <f>IF(AND('领用录入（明细）'!D:D=$F$4,'领用录入（明细）'!C:C&gt;=$J$4,'领用录入（明细）'!C:C&lt;=$L$4),ROW(),"-")</f>
        <v>-</v>
      </c>
    </row>
    <row r="23322" customHeight="1" spans="2:2">
      <c r="B23322" s="62" t="str">
        <f>IF(AND('领用录入（明细）'!D:D=$F$4,'领用录入（明细）'!C:C&gt;=$J$4,'领用录入（明细）'!C:C&lt;=$L$4),ROW(),"-")</f>
        <v>-</v>
      </c>
    </row>
    <row r="23323" customHeight="1" spans="2:2">
      <c r="B23323" s="62" t="str">
        <f>IF(AND('领用录入（明细）'!D:D=$F$4,'领用录入（明细）'!C:C&gt;=$J$4,'领用录入（明细）'!C:C&lt;=$L$4),ROW(),"-")</f>
        <v>-</v>
      </c>
    </row>
    <row r="23324" customHeight="1" spans="2:2">
      <c r="B23324" s="62" t="str">
        <f>IF(AND('领用录入（明细）'!D:D=$F$4,'领用录入（明细）'!C:C&gt;=$J$4,'领用录入（明细）'!C:C&lt;=$L$4),ROW(),"-")</f>
        <v>-</v>
      </c>
    </row>
    <row r="23325" customHeight="1" spans="2:2">
      <c r="B23325" s="62" t="str">
        <f>IF(AND('领用录入（明细）'!D:D=$F$4,'领用录入（明细）'!C:C&gt;=$J$4,'领用录入（明细）'!C:C&lt;=$L$4),ROW(),"-")</f>
        <v>-</v>
      </c>
    </row>
    <row r="23326" customHeight="1" spans="2:2">
      <c r="B23326" s="62" t="str">
        <f>IF(AND('领用录入（明细）'!D:D=$F$4,'领用录入（明细）'!C:C&gt;=$J$4,'领用录入（明细）'!C:C&lt;=$L$4),ROW(),"-")</f>
        <v>-</v>
      </c>
    </row>
    <row r="23327" customHeight="1" spans="2:2">
      <c r="B23327" s="62" t="str">
        <f>IF(AND('领用录入（明细）'!D:D=$F$4,'领用录入（明细）'!C:C&gt;=$J$4,'领用录入（明细）'!C:C&lt;=$L$4),ROW(),"-")</f>
        <v>-</v>
      </c>
    </row>
    <row r="23328" customHeight="1" spans="2:2">
      <c r="B23328" s="62" t="str">
        <f>IF(AND('领用录入（明细）'!D:D=$F$4,'领用录入（明细）'!C:C&gt;=$J$4,'领用录入（明细）'!C:C&lt;=$L$4),ROW(),"-")</f>
        <v>-</v>
      </c>
    </row>
    <row r="23329" customHeight="1" spans="2:2">
      <c r="B23329" s="62" t="str">
        <f>IF(AND('领用录入（明细）'!D:D=$F$4,'领用录入（明细）'!C:C&gt;=$J$4,'领用录入（明细）'!C:C&lt;=$L$4),ROW(),"-")</f>
        <v>-</v>
      </c>
    </row>
    <row r="23330" customHeight="1" spans="2:2">
      <c r="B23330" s="62" t="str">
        <f>IF(AND('领用录入（明细）'!D:D=$F$4,'领用录入（明细）'!C:C&gt;=$J$4,'领用录入（明细）'!C:C&lt;=$L$4),ROW(),"-")</f>
        <v>-</v>
      </c>
    </row>
    <row r="23331" customHeight="1" spans="2:2">
      <c r="B23331" s="62" t="str">
        <f>IF(AND('领用录入（明细）'!D:D=$F$4,'领用录入（明细）'!C:C&gt;=$J$4,'领用录入（明细）'!C:C&lt;=$L$4),ROW(),"-")</f>
        <v>-</v>
      </c>
    </row>
    <row r="23332" customHeight="1" spans="2:2">
      <c r="B23332" s="62" t="str">
        <f>IF(AND('领用录入（明细）'!D:D=$F$4,'领用录入（明细）'!C:C&gt;=$J$4,'领用录入（明细）'!C:C&lt;=$L$4),ROW(),"-")</f>
        <v>-</v>
      </c>
    </row>
    <row r="23333" customHeight="1" spans="2:2">
      <c r="B23333" s="62" t="str">
        <f>IF(AND('领用录入（明细）'!D:D=$F$4,'领用录入（明细）'!C:C&gt;=$J$4,'领用录入（明细）'!C:C&lt;=$L$4),ROW(),"-")</f>
        <v>-</v>
      </c>
    </row>
    <row r="23334" customHeight="1" spans="2:2">
      <c r="B23334" s="62" t="str">
        <f>IF(AND('领用录入（明细）'!D:D=$F$4,'领用录入（明细）'!C:C&gt;=$J$4,'领用录入（明细）'!C:C&lt;=$L$4),ROW(),"-")</f>
        <v>-</v>
      </c>
    </row>
    <row r="23335" customHeight="1" spans="2:2">
      <c r="B23335" s="62" t="str">
        <f>IF(AND('领用录入（明细）'!D:D=$F$4,'领用录入（明细）'!C:C&gt;=$J$4,'领用录入（明细）'!C:C&lt;=$L$4),ROW(),"-")</f>
        <v>-</v>
      </c>
    </row>
    <row r="23336" customHeight="1" spans="2:2">
      <c r="B23336" s="62" t="str">
        <f>IF(AND('领用录入（明细）'!D:D=$F$4,'领用录入（明细）'!C:C&gt;=$J$4,'领用录入（明细）'!C:C&lt;=$L$4),ROW(),"-")</f>
        <v>-</v>
      </c>
    </row>
    <row r="23337" customHeight="1" spans="2:2">
      <c r="B23337" s="62" t="str">
        <f>IF(AND('领用录入（明细）'!D:D=$F$4,'领用录入（明细）'!C:C&gt;=$J$4,'领用录入（明细）'!C:C&lt;=$L$4),ROW(),"-")</f>
        <v>-</v>
      </c>
    </row>
    <row r="23338" customHeight="1" spans="2:2">
      <c r="B23338" s="62" t="str">
        <f>IF(AND('领用录入（明细）'!D:D=$F$4,'领用录入（明细）'!C:C&gt;=$J$4,'领用录入（明细）'!C:C&lt;=$L$4),ROW(),"-")</f>
        <v>-</v>
      </c>
    </row>
    <row r="23339" customHeight="1" spans="2:2">
      <c r="B23339" s="62" t="str">
        <f>IF(AND('领用录入（明细）'!D:D=$F$4,'领用录入（明细）'!C:C&gt;=$J$4,'领用录入（明细）'!C:C&lt;=$L$4),ROW(),"-")</f>
        <v>-</v>
      </c>
    </row>
    <row r="23340" customHeight="1" spans="2:2">
      <c r="B23340" s="62" t="str">
        <f>IF(AND('领用录入（明细）'!D:D=$F$4,'领用录入（明细）'!C:C&gt;=$J$4,'领用录入（明细）'!C:C&lt;=$L$4),ROW(),"-")</f>
        <v>-</v>
      </c>
    </row>
    <row r="23341" customHeight="1" spans="2:2">
      <c r="B23341" s="62" t="str">
        <f>IF(AND('领用录入（明细）'!D:D=$F$4,'领用录入（明细）'!C:C&gt;=$J$4,'领用录入（明细）'!C:C&lt;=$L$4),ROW(),"-")</f>
        <v>-</v>
      </c>
    </row>
    <row r="23342" customHeight="1" spans="2:2">
      <c r="B23342" s="62" t="str">
        <f>IF(AND('领用录入（明细）'!D:D=$F$4,'领用录入（明细）'!C:C&gt;=$J$4,'领用录入（明细）'!C:C&lt;=$L$4),ROW(),"-")</f>
        <v>-</v>
      </c>
    </row>
    <row r="23343" customHeight="1" spans="2:2">
      <c r="B23343" s="62" t="str">
        <f>IF(AND('领用录入（明细）'!D:D=$F$4,'领用录入（明细）'!C:C&gt;=$J$4,'领用录入（明细）'!C:C&lt;=$L$4),ROW(),"-")</f>
        <v>-</v>
      </c>
    </row>
    <row r="23344" customHeight="1" spans="2:2">
      <c r="B23344" s="62" t="str">
        <f>IF(AND('领用录入（明细）'!D:D=$F$4,'领用录入（明细）'!C:C&gt;=$J$4,'领用录入（明细）'!C:C&lt;=$L$4),ROW(),"-")</f>
        <v>-</v>
      </c>
    </row>
    <row r="23345" customHeight="1" spans="2:2">
      <c r="B23345" s="62" t="str">
        <f>IF(AND('领用录入（明细）'!D:D=$F$4,'领用录入（明细）'!C:C&gt;=$J$4,'领用录入（明细）'!C:C&lt;=$L$4),ROW(),"-")</f>
        <v>-</v>
      </c>
    </row>
    <row r="23346" customHeight="1" spans="2:2">
      <c r="B23346" s="62" t="str">
        <f>IF(AND('领用录入（明细）'!D:D=$F$4,'领用录入（明细）'!C:C&gt;=$J$4,'领用录入（明细）'!C:C&lt;=$L$4),ROW(),"-")</f>
        <v>-</v>
      </c>
    </row>
    <row r="23347" customHeight="1" spans="2:2">
      <c r="B23347" s="62" t="str">
        <f>IF(AND('领用录入（明细）'!D:D=$F$4,'领用录入（明细）'!C:C&gt;=$J$4,'领用录入（明细）'!C:C&lt;=$L$4),ROW(),"-")</f>
        <v>-</v>
      </c>
    </row>
    <row r="23348" customHeight="1" spans="2:2">
      <c r="B23348" s="62" t="str">
        <f>IF(AND('领用录入（明细）'!D:D=$F$4,'领用录入（明细）'!C:C&gt;=$J$4,'领用录入（明细）'!C:C&lt;=$L$4),ROW(),"-")</f>
        <v>-</v>
      </c>
    </row>
    <row r="23349" customHeight="1" spans="2:2">
      <c r="B23349" s="62" t="str">
        <f>IF(AND('领用录入（明细）'!D:D=$F$4,'领用录入（明细）'!C:C&gt;=$J$4,'领用录入（明细）'!C:C&lt;=$L$4),ROW(),"-")</f>
        <v>-</v>
      </c>
    </row>
    <row r="23350" customHeight="1" spans="2:2">
      <c r="B23350" s="62" t="str">
        <f>IF(AND('领用录入（明细）'!D:D=$F$4,'领用录入（明细）'!C:C&gt;=$J$4,'领用录入（明细）'!C:C&lt;=$L$4),ROW(),"-")</f>
        <v>-</v>
      </c>
    </row>
    <row r="23351" customHeight="1" spans="2:2">
      <c r="B23351" s="62" t="str">
        <f>IF(AND('领用录入（明细）'!D:D=$F$4,'领用录入（明细）'!C:C&gt;=$J$4,'领用录入（明细）'!C:C&lt;=$L$4),ROW(),"-")</f>
        <v>-</v>
      </c>
    </row>
    <row r="23352" customHeight="1" spans="2:2">
      <c r="B23352" s="62" t="str">
        <f>IF(AND('领用录入（明细）'!D:D=$F$4,'领用录入（明细）'!C:C&gt;=$J$4,'领用录入（明细）'!C:C&lt;=$L$4),ROW(),"-")</f>
        <v>-</v>
      </c>
    </row>
    <row r="23353" customHeight="1" spans="2:2">
      <c r="B23353" s="62" t="str">
        <f>IF(AND('领用录入（明细）'!D:D=$F$4,'领用录入（明细）'!C:C&gt;=$J$4,'领用录入（明细）'!C:C&lt;=$L$4),ROW(),"-")</f>
        <v>-</v>
      </c>
    </row>
    <row r="23354" customHeight="1" spans="2:2">
      <c r="B23354" s="62" t="str">
        <f>IF(AND('领用录入（明细）'!D:D=$F$4,'领用录入（明细）'!C:C&gt;=$J$4,'领用录入（明细）'!C:C&lt;=$L$4),ROW(),"-")</f>
        <v>-</v>
      </c>
    </row>
    <row r="23355" customHeight="1" spans="2:2">
      <c r="B23355" s="62" t="str">
        <f>IF(AND('领用录入（明细）'!D:D=$F$4,'领用录入（明细）'!C:C&gt;=$J$4,'领用录入（明细）'!C:C&lt;=$L$4),ROW(),"-")</f>
        <v>-</v>
      </c>
    </row>
    <row r="23356" customHeight="1" spans="2:2">
      <c r="B23356" s="62" t="str">
        <f>IF(AND('领用录入（明细）'!D:D=$F$4,'领用录入（明细）'!C:C&gt;=$J$4,'领用录入（明细）'!C:C&lt;=$L$4),ROW(),"-")</f>
        <v>-</v>
      </c>
    </row>
    <row r="23357" customHeight="1" spans="2:2">
      <c r="B23357" s="62" t="str">
        <f>IF(AND('领用录入（明细）'!D:D=$F$4,'领用录入（明细）'!C:C&gt;=$J$4,'领用录入（明细）'!C:C&lt;=$L$4),ROW(),"-")</f>
        <v>-</v>
      </c>
    </row>
    <row r="23358" customHeight="1" spans="2:2">
      <c r="B23358" s="62" t="str">
        <f>IF(AND('领用录入（明细）'!D:D=$F$4,'领用录入（明细）'!C:C&gt;=$J$4,'领用录入（明细）'!C:C&lt;=$L$4),ROW(),"-")</f>
        <v>-</v>
      </c>
    </row>
    <row r="23359" customHeight="1" spans="2:2">
      <c r="B23359" s="62" t="str">
        <f>IF(AND('领用录入（明细）'!D:D=$F$4,'领用录入（明细）'!C:C&gt;=$J$4,'领用录入（明细）'!C:C&lt;=$L$4),ROW(),"-")</f>
        <v>-</v>
      </c>
    </row>
    <row r="23360" customHeight="1" spans="2:2">
      <c r="B23360" s="62" t="str">
        <f>IF(AND('领用录入（明细）'!D:D=$F$4,'领用录入（明细）'!C:C&gt;=$J$4,'领用录入（明细）'!C:C&lt;=$L$4),ROW(),"-")</f>
        <v>-</v>
      </c>
    </row>
    <row r="23361" customHeight="1" spans="2:2">
      <c r="B23361" s="62" t="str">
        <f>IF(AND('领用录入（明细）'!D:D=$F$4,'领用录入（明细）'!C:C&gt;=$J$4,'领用录入（明细）'!C:C&lt;=$L$4),ROW(),"-")</f>
        <v>-</v>
      </c>
    </row>
    <row r="23362" customHeight="1" spans="2:2">
      <c r="B23362" s="62" t="str">
        <f>IF(AND('领用录入（明细）'!D:D=$F$4,'领用录入（明细）'!C:C&gt;=$J$4,'领用录入（明细）'!C:C&lt;=$L$4),ROW(),"-")</f>
        <v>-</v>
      </c>
    </row>
    <row r="23363" customHeight="1" spans="2:2">
      <c r="B23363" s="62" t="str">
        <f>IF(AND('领用录入（明细）'!D:D=$F$4,'领用录入（明细）'!C:C&gt;=$J$4,'领用录入（明细）'!C:C&lt;=$L$4),ROW(),"-")</f>
        <v>-</v>
      </c>
    </row>
    <row r="23364" customHeight="1" spans="2:2">
      <c r="B23364" s="62" t="str">
        <f>IF(AND('领用录入（明细）'!D:D=$F$4,'领用录入（明细）'!C:C&gt;=$J$4,'领用录入（明细）'!C:C&lt;=$L$4),ROW(),"-")</f>
        <v>-</v>
      </c>
    </row>
    <row r="23365" customHeight="1" spans="2:2">
      <c r="B23365" s="62" t="str">
        <f>IF(AND('领用录入（明细）'!D:D=$F$4,'领用录入（明细）'!C:C&gt;=$J$4,'领用录入（明细）'!C:C&lt;=$L$4),ROW(),"-")</f>
        <v>-</v>
      </c>
    </row>
    <row r="23366" customHeight="1" spans="2:2">
      <c r="B23366" s="62" t="str">
        <f>IF(AND('领用录入（明细）'!D:D=$F$4,'领用录入（明细）'!C:C&gt;=$J$4,'领用录入（明细）'!C:C&lt;=$L$4),ROW(),"-")</f>
        <v>-</v>
      </c>
    </row>
    <row r="23367" customHeight="1" spans="2:2">
      <c r="B23367" s="62" t="str">
        <f>IF(AND('领用录入（明细）'!D:D=$F$4,'领用录入（明细）'!C:C&gt;=$J$4,'领用录入（明细）'!C:C&lt;=$L$4),ROW(),"-")</f>
        <v>-</v>
      </c>
    </row>
    <row r="23368" customHeight="1" spans="2:2">
      <c r="B23368" s="62" t="str">
        <f>IF(AND('领用录入（明细）'!D:D=$F$4,'领用录入（明细）'!C:C&gt;=$J$4,'领用录入（明细）'!C:C&lt;=$L$4),ROW(),"-")</f>
        <v>-</v>
      </c>
    </row>
    <row r="23369" customHeight="1" spans="2:2">
      <c r="B23369" s="62" t="str">
        <f>IF(AND('领用录入（明细）'!D:D=$F$4,'领用录入（明细）'!C:C&gt;=$J$4,'领用录入（明细）'!C:C&lt;=$L$4),ROW(),"-")</f>
        <v>-</v>
      </c>
    </row>
    <row r="23370" customHeight="1" spans="2:2">
      <c r="B23370" s="62" t="str">
        <f>IF(AND('领用录入（明细）'!D:D=$F$4,'领用录入（明细）'!C:C&gt;=$J$4,'领用录入（明细）'!C:C&lt;=$L$4),ROW(),"-")</f>
        <v>-</v>
      </c>
    </row>
    <row r="23371" customHeight="1" spans="2:2">
      <c r="B23371" s="62" t="str">
        <f>IF(AND('领用录入（明细）'!D:D=$F$4,'领用录入（明细）'!C:C&gt;=$J$4,'领用录入（明细）'!C:C&lt;=$L$4),ROW(),"-")</f>
        <v>-</v>
      </c>
    </row>
    <row r="23372" customHeight="1" spans="2:2">
      <c r="B23372" s="62" t="str">
        <f>IF(AND('领用录入（明细）'!D:D=$F$4,'领用录入（明细）'!C:C&gt;=$J$4,'领用录入（明细）'!C:C&lt;=$L$4),ROW(),"-")</f>
        <v>-</v>
      </c>
    </row>
    <row r="23373" customHeight="1" spans="2:2">
      <c r="B23373" s="62" t="str">
        <f>IF(AND('领用录入（明细）'!D:D=$F$4,'领用录入（明细）'!C:C&gt;=$J$4,'领用录入（明细）'!C:C&lt;=$L$4),ROW(),"-")</f>
        <v>-</v>
      </c>
    </row>
    <row r="23374" customHeight="1" spans="2:2">
      <c r="B23374" s="62" t="str">
        <f>IF(AND('领用录入（明细）'!D:D=$F$4,'领用录入（明细）'!C:C&gt;=$J$4,'领用录入（明细）'!C:C&lt;=$L$4),ROW(),"-")</f>
        <v>-</v>
      </c>
    </row>
    <row r="23375" customHeight="1" spans="2:2">
      <c r="B23375" s="62" t="str">
        <f>IF(AND('领用录入（明细）'!D:D=$F$4,'领用录入（明细）'!C:C&gt;=$J$4,'领用录入（明细）'!C:C&lt;=$L$4),ROW(),"-")</f>
        <v>-</v>
      </c>
    </row>
    <row r="23376" customHeight="1" spans="2:2">
      <c r="B23376" s="62" t="str">
        <f>IF(AND('领用录入（明细）'!D:D=$F$4,'领用录入（明细）'!C:C&gt;=$J$4,'领用录入（明细）'!C:C&lt;=$L$4),ROW(),"-")</f>
        <v>-</v>
      </c>
    </row>
    <row r="23377" customHeight="1" spans="2:2">
      <c r="B23377" s="62" t="str">
        <f>IF(AND('领用录入（明细）'!D:D=$F$4,'领用录入（明细）'!C:C&gt;=$J$4,'领用录入（明细）'!C:C&lt;=$L$4),ROW(),"-")</f>
        <v>-</v>
      </c>
    </row>
    <row r="23378" customHeight="1" spans="2:2">
      <c r="B23378" s="62" t="str">
        <f>IF(AND('领用录入（明细）'!D:D=$F$4,'领用录入（明细）'!C:C&gt;=$J$4,'领用录入（明细）'!C:C&lt;=$L$4),ROW(),"-")</f>
        <v>-</v>
      </c>
    </row>
    <row r="23379" customHeight="1" spans="2:2">
      <c r="B23379" s="62" t="str">
        <f>IF(AND('领用录入（明细）'!D:D=$F$4,'领用录入（明细）'!C:C&gt;=$J$4,'领用录入（明细）'!C:C&lt;=$L$4),ROW(),"-")</f>
        <v>-</v>
      </c>
    </row>
    <row r="23380" customHeight="1" spans="2:2">
      <c r="B23380" s="62" t="str">
        <f>IF(AND('领用录入（明细）'!D:D=$F$4,'领用录入（明细）'!C:C&gt;=$J$4,'领用录入（明细）'!C:C&lt;=$L$4),ROW(),"-")</f>
        <v>-</v>
      </c>
    </row>
    <row r="23381" customHeight="1" spans="2:2">
      <c r="B23381" s="62" t="str">
        <f>IF(AND('领用录入（明细）'!D:D=$F$4,'领用录入（明细）'!C:C&gt;=$J$4,'领用录入（明细）'!C:C&lt;=$L$4),ROW(),"-")</f>
        <v>-</v>
      </c>
    </row>
    <row r="23382" customHeight="1" spans="2:2">
      <c r="B23382" s="62" t="str">
        <f>IF(AND('领用录入（明细）'!D:D=$F$4,'领用录入（明细）'!C:C&gt;=$J$4,'领用录入（明细）'!C:C&lt;=$L$4),ROW(),"-")</f>
        <v>-</v>
      </c>
    </row>
    <row r="23383" customHeight="1" spans="2:2">
      <c r="B23383" s="62" t="str">
        <f>IF(AND('领用录入（明细）'!D:D=$F$4,'领用录入（明细）'!C:C&gt;=$J$4,'领用录入（明细）'!C:C&lt;=$L$4),ROW(),"-")</f>
        <v>-</v>
      </c>
    </row>
    <row r="23384" customHeight="1" spans="2:2">
      <c r="B23384" s="62" t="str">
        <f>IF(AND('领用录入（明细）'!D:D=$F$4,'领用录入（明细）'!C:C&gt;=$J$4,'领用录入（明细）'!C:C&lt;=$L$4),ROW(),"-")</f>
        <v>-</v>
      </c>
    </row>
    <row r="23385" customHeight="1" spans="2:2">
      <c r="B23385" s="62" t="str">
        <f>IF(AND('领用录入（明细）'!D:D=$F$4,'领用录入（明细）'!C:C&gt;=$J$4,'领用录入（明细）'!C:C&lt;=$L$4),ROW(),"-")</f>
        <v>-</v>
      </c>
    </row>
    <row r="23386" customHeight="1" spans="2:2">
      <c r="B23386" s="62" t="str">
        <f>IF(AND('领用录入（明细）'!D:D=$F$4,'领用录入（明细）'!C:C&gt;=$J$4,'领用录入（明细）'!C:C&lt;=$L$4),ROW(),"-")</f>
        <v>-</v>
      </c>
    </row>
    <row r="23387" customHeight="1" spans="2:2">
      <c r="B23387" s="62" t="str">
        <f>IF(AND('领用录入（明细）'!D:D=$F$4,'领用录入（明细）'!C:C&gt;=$J$4,'领用录入（明细）'!C:C&lt;=$L$4),ROW(),"-")</f>
        <v>-</v>
      </c>
    </row>
    <row r="23388" customHeight="1" spans="2:2">
      <c r="B23388" s="62" t="str">
        <f>IF(AND('领用录入（明细）'!D:D=$F$4,'领用录入（明细）'!C:C&gt;=$J$4,'领用录入（明细）'!C:C&lt;=$L$4),ROW(),"-")</f>
        <v>-</v>
      </c>
    </row>
    <row r="23389" customHeight="1" spans="2:2">
      <c r="B23389" s="62" t="str">
        <f>IF(AND('领用录入（明细）'!D:D=$F$4,'领用录入（明细）'!C:C&gt;=$J$4,'领用录入（明细）'!C:C&lt;=$L$4),ROW(),"-")</f>
        <v>-</v>
      </c>
    </row>
    <row r="23390" customHeight="1" spans="2:2">
      <c r="B23390" s="62" t="str">
        <f>IF(AND('领用录入（明细）'!D:D=$F$4,'领用录入（明细）'!C:C&gt;=$J$4,'领用录入（明细）'!C:C&lt;=$L$4),ROW(),"-")</f>
        <v>-</v>
      </c>
    </row>
    <row r="23391" customHeight="1" spans="2:2">
      <c r="B23391" s="62" t="str">
        <f>IF(AND('领用录入（明细）'!D:D=$F$4,'领用录入（明细）'!C:C&gt;=$J$4,'领用录入（明细）'!C:C&lt;=$L$4),ROW(),"-")</f>
        <v>-</v>
      </c>
    </row>
    <row r="23392" customHeight="1" spans="2:2">
      <c r="B23392" s="62" t="str">
        <f>IF(AND('领用录入（明细）'!D:D=$F$4,'领用录入（明细）'!C:C&gt;=$J$4,'领用录入（明细）'!C:C&lt;=$L$4),ROW(),"-")</f>
        <v>-</v>
      </c>
    </row>
    <row r="23393" customHeight="1" spans="2:2">
      <c r="B23393" s="62" t="str">
        <f>IF(AND('领用录入（明细）'!D:D=$F$4,'领用录入（明细）'!C:C&gt;=$J$4,'领用录入（明细）'!C:C&lt;=$L$4),ROW(),"-")</f>
        <v>-</v>
      </c>
    </row>
    <row r="23394" customHeight="1" spans="2:2">
      <c r="B23394" s="62" t="str">
        <f>IF(AND('领用录入（明细）'!D:D=$F$4,'领用录入（明细）'!C:C&gt;=$J$4,'领用录入（明细）'!C:C&lt;=$L$4),ROW(),"-")</f>
        <v>-</v>
      </c>
    </row>
    <row r="23395" customHeight="1" spans="2:2">
      <c r="B23395" s="62" t="str">
        <f>IF(AND('领用录入（明细）'!D:D=$F$4,'领用录入（明细）'!C:C&gt;=$J$4,'领用录入（明细）'!C:C&lt;=$L$4),ROW(),"-")</f>
        <v>-</v>
      </c>
    </row>
    <row r="23396" customHeight="1" spans="2:2">
      <c r="B23396" s="62" t="str">
        <f>IF(AND('领用录入（明细）'!D:D=$F$4,'领用录入（明细）'!C:C&gt;=$J$4,'领用录入（明细）'!C:C&lt;=$L$4),ROW(),"-")</f>
        <v>-</v>
      </c>
    </row>
    <row r="23397" customHeight="1" spans="2:2">
      <c r="B23397" s="62" t="str">
        <f>IF(AND('领用录入（明细）'!D:D=$F$4,'领用录入（明细）'!C:C&gt;=$J$4,'领用录入（明细）'!C:C&lt;=$L$4),ROW(),"-")</f>
        <v>-</v>
      </c>
    </row>
    <row r="23398" customHeight="1" spans="2:2">
      <c r="B23398" s="62" t="str">
        <f>IF(AND('领用录入（明细）'!D:D=$F$4,'领用录入（明细）'!C:C&gt;=$J$4,'领用录入（明细）'!C:C&lt;=$L$4),ROW(),"-")</f>
        <v>-</v>
      </c>
    </row>
    <row r="23399" customHeight="1" spans="2:2">
      <c r="B23399" s="62" t="str">
        <f>IF(AND('领用录入（明细）'!D:D=$F$4,'领用录入（明细）'!C:C&gt;=$J$4,'领用录入（明细）'!C:C&lt;=$L$4),ROW(),"-")</f>
        <v>-</v>
      </c>
    </row>
    <row r="23400" customHeight="1" spans="2:2">
      <c r="B23400" s="62" t="str">
        <f>IF(AND('领用录入（明细）'!D:D=$F$4,'领用录入（明细）'!C:C&gt;=$J$4,'领用录入（明细）'!C:C&lt;=$L$4),ROW(),"-")</f>
        <v>-</v>
      </c>
    </row>
    <row r="23401" customHeight="1" spans="2:2">
      <c r="B23401" s="62" t="str">
        <f>IF(AND('领用录入（明细）'!D:D=$F$4,'领用录入（明细）'!C:C&gt;=$J$4,'领用录入（明细）'!C:C&lt;=$L$4),ROW(),"-")</f>
        <v>-</v>
      </c>
    </row>
    <row r="23402" customHeight="1" spans="2:2">
      <c r="B23402" s="62" t="str">
        <f>IF(AND('领用录入（明细）'!D:D=$F$4,'领用录入（明细）'!C:C&gt;=$J$4,'领用录入（明细）'!C:C&lt;=$L$4),ROW(),"-")</f>
        <v>-</v>
      </c>
    </row>
    <row r="23403" customHeight="1" spans="2:2">
      <c r="B23403" s="62" t="str">
        <f>IF(AND('领用录入（明细）'!D:D=$F$4,'领用录入（明细）'!C:C&gt;=$J$4,'领用录入（明细）'!C:C&lt;=$L$4),ROW(),"-")</f>
        <v>-</v>
      </c>
    </row>
    <row r="23404" customHeight="1" spans="2:2">
      <c r="B23404" s="62" t="str">
        <f>IF(AND('领用录入（明细）'!D:D=$F$4,'领用录入（明细）'!C:C&gt;=$J$4,'领用录入（明细）'!C:C&lt;=$L$4),ROW(),"-")</f>
        <v>-</v>
      </c>
    </row>
    <row r="23405" customHeight="1" spans="2:2">
      <c r="B23405" s="62" t="str">
        <f>IF(AND('领用录入（明细）'!D:D=$F$4,'领用录入（明细）'!C:C&gt;=$J$4,'领用录入（明细）'!C:C&lt;=$L$4),ROW(),"-")</f>
        <v>-</v>
      </c>
    </row>
    <row r="23406" customHeight="1" spans="2:2">
      <c r="B23406" s="62" t="str">
        <f>IF(AND('领用录入（明细）'!D:D=$F$4,'领用录入（明细）'!C:C&gt;=$J$4,'领用录入（明细）'!C:C&lt;=$L$4),ROW(),"-")</f>
        <v>-</v>
      </c>
    </row>
    <row r="23407" customHeight="1" spans="2:2">
      <c r="B23407" s="62" t="str">
        <f>IF(AND('领用录入（明细）'!D:D=$F$4,'领用录入（明细）'!C:C&gt;=$J$4,'领用录入（明细）'!C:C&lt;=$L$4),ROW(),"-")</f>
        <v>-</v>
      </c>
    </row>
    <row r="23408" customHeight="1" spans="2:2">
      <c r="B23408" s="62" t="str">
        <f>IF(AND('领用录入（明细）'!D:D=$F$4,'领用录入（明细）'!C:C&gt;=$J$4,'领用录入（明细）'!C:C&lt;=$L$4),ROW(),"-")</f>
        <v>-</v>
      </c>
    </row>
    <row r="23409" customHeight="1" spans="2:2">
      <c r="B23409" s="62" t="str">
        <f>IF(AND('领用录入（明细）'!D:D=$F$4,'领用录入（明细）'!C:C&gt;=$J$4,'领用录入（明细）'!C:C&lt;=$L$4),ROW(),"-")</f>
        <v>-</v>
      </c>
    </row>
    <row r="23410" customHeight="1" spans="2:2">
      <c r="B23410" s="62" t="str">
        <f>IF(AND('领用录入（明细）'!D:D=$F$4,'领用录入（明细）'!C:C&gt;=$J$4,'领用录入（明细）'!C:C&lt;=$L$4),ROW(),"-")</f>
        <v>-</v>
      </c>
    </row>
    <row r="23411" customHeight="1" spans="2:2">
      <c r="B23411" s="62" t="str">
        <f>IF(AND('领用录入（明细）'!D:D=$F$4,'领用录入（明细）'!C:C&gt;=$J$4,'领用录入（明细）'!C:C&lt;=$L$4),ROW(),"-")</f>
        <v>-</v>
      </c>
    </row>
    <row r="23412" customHeight="1" spans="2:2">
      <c r="B23412" s="62" t="str">
        <f>IF(AND('领用录入（明细）'!D:D=$F$4,'领用录入（明细）'!C:C&gt;=$J$4,'领用录入（明细）'!C:C&lt;=$L$4),ROW(),"-")</f>
        <v>-</v>
      </c>
    </row>
    <row r="23413" customHeight="1" spans="2:2">
      <c r="B23413" s="62" t="str">
        <f>IF(AND('领用录入（明细）'!D:D=$F$4,'领用录入（明细）'!C:C&gt;=$J$4,'领用录入（明细）'!C:C&lt;=$L$4),ROW(),"-")</f>
        <v>-</v>
      </c>
    </row>
    <row r="23414" customHeight="1" spans="2:2">
      <c r="B23414" s="62" t="str">
        <f>IF(AND('领用录入（明细）'!D:D=$F$4,'领用录入（明细）'!C:C&gt;=$J$4,'领用录入（明细）'!C:C&lt;=$L$4),ROW(),"-")</f>
        <v>-</v>
      </c>
    </row>
    <row r="23415" customHeight="1" spans="2:2">
      <c r="B23415" s="62" t="str">
        <f>IF(AND('领用录入（明细）'!D:D=$F$4,'领用录入（明细）'!C:C&gt;=$J$4,'领用录入（明细）'!C:C&lt;=$L$4),ROW(),"-")</f>
        <v>-</v>
      </c>
    </row>
    <row r="23416" customHeight="1" spans="2:2">
      <c r="B23416" s="62" t="str">
        <f>IF(AND('领用录入（明细）'!D:D=$F$4,'领用录入（明细）'!C:C&gt;=$J$4,'领用录入（明细）'!C:C&lt;=$L$4),ROW(),"-")</f>
        <v>-</v>
      </c>
    </row>
    <row r="23417" customHeight="1" spans="2:2">
      <c r="B23417" s="62" t="str">
        <f>IF(AND('领用录入（明细）'!D:D=$F$4,'领用录入（明细）'!C:C&gt;=$J$4,'领用录入（明细）'!C:C&lt;=$L$4),ROW(),"-")</f>
        <v>-</v>
      </c>
    </row>
    <row r="23418" customHeight="1" spans="2:2">
      <c r="B23418" s="62" t="str">
        <f>IF(AND('领用录入（明细）'!D:D=$F$4,'领用录入（明细）'!C:C&gt;=$J$4,'领用录入（明细）'!C:C&lt;=$L$4),ROW(),"-")</f>
        <v>-</v>
      </c>
    </row>
    <row r="23419" customHeight="1" spans="2:2">
      <c r="B23419" s="62" t="str">
        <f>IF(AND('领用录入（明细）'!D:D=$F$4,'领用录入（明细）'!C:C&gt;=$J$4,'领用录入（明细）'!C:C&lt;=$L$4),ROW(),"-")</f>
        <v>-</v>
      </c>
    </row>
    <row r="23420" customHeight="1" spans="2:2">
      <c r="B23420" s="62" t="str">
        <f>IF(AND('领用录入（明细）'!D:D=$F$4,'领用录入（明细）'!C:C&gt;=$J$4,'领用录入（明细）'!C:C&lt;=$L$4),ROW(),"-")</f>
        <v>-</v>
      </c>
    </row>
    <row r="23421" customHeight="1" spans="2:2">
      <c r="B23421" s="62" t="str">
        <f>IF(AND('领用录入（明细）'!D:D=$F$4,'领用录入（明细）'!C:C&gt;=$J$4,'领用录入（明细）'!C:C&lt;=$L$4),ROW(),"-")</f>
        <v>-</v>
      </c>
    </row>
    <row r="23422" customHeight="1" spans="2:2">
      <c r="B23422" s="62" t="str">
        <f>IF(AND('领用录入（明细）'!D:D=$F$4,'领用录入（明细）'!C:C&gt;=$J$4,'领用录入（明细）'!C:C&lt;=$L$4),ROW(),"-")</f>
        <v>-</v>
      </c>
    </row>
    <row r="23423" customHeight="1" spans="2:2">
      <c r="B23423" s="62" t="str">
        <f>IF(AND('领用录入（明细）'!D:D=$F$4,'领用录入（明细）'!C:C&gt;=$J$4,'领用录入（明细）'!C:C&lt;=$L$4),ROW(),"-")</f>
        <v>-</v>
      </c>
    </row>
    <row r="23424" customHeight="1" spans="2:2">
      <c r="B23424" s="62" t="str">
        <f>IF(AND('领用录入（明细）'!D:D=$F$4,'领用录入（明细）'!C:C&gt;=$J$4,'领用录入（明细）'!C:C&lt;=$L$4),ROW(),"-")</f>
        <v>-</v>
      </c>
    </row>
    <row r="23425" customHeight="1" spans="2:2">
      <c r="B23425" s="62" t="str">
        <f>IF(AND('领用录入（明细）'!D:D=$F$4,'领用录入（明细）'!C:C&gt;=$J$4,'领用录入（明细）'!C:C&lt;=$L$4),ROW(),"-")</f>
        <v>-</v>
      </c>
    </row>
    <row r="23426" customHeight="1" spans="2:2">
      <c r="B23426" s="62" t="str">
        <f>IF(AND('领用录入（明细）'!D:D=$F$4,'领用录入（明细）'!C:C&gt;=$J$4,'领用录入（明细）'!C:C&lt;=$L$4),ROW(),"-")</f>
        <v>-</v>
      </c>
    </row>
    <row r="23427" customHeight="1" spans="2:2">
      <c r="B23427" s="62" t="str">
        <f>IF(AND('领用录入（明细）'!D:D=$F$4,'领用录入（明细）'!C:C&gt;=$J$4,'领用录入（明细）'!C:C&lt;=$L$4),ROW(),"-")</f>
        <v>-</v>
      </c>
    </row>
    <row r="23428" customHeight="1" spans="2:2">
      <c r="B23428" s="62" t="str">
        <f>IF(AND('领用录入（明细）'!D:D=$F$4,'领用录入（明细）'!C:C&gt;=$J$4,'领用录入（明细）'!C:C&lt;=$L$4),ROW(),"-")</f>
        <v>-</v>
      </c>
    </row>
    <row r="23429" customHeight="1" spans="2:2">
      <c r="B23429" s="62" t="str">
        <f>IF(AND('领用录入（明细）'!D:D=$F$4,'领用录入（明细）'!C:C&gt;=$J$4,'领用录入（明细）'!C:C&lt;=$L$4),ROW(),"-")</f>
        <v>-</v>
      </c>
    </row>
    <row r="23430" customHeight="1" spans="2:2">
      <c r="B23430" s="62" t="str">
        <f>IF(AND('领用录入（明细）'!D:D=$F$4,'领用录入（明细）'!C:C&gt;=$J$4,'领用录入（明细）'!C:C&lt;=$L$4),ROW(),"-")</f>
        <v>-</v>
      </c>
    </row>
    <row r="23431" customHeight="1" spans="2:2">
      <c r="B23431" s="62" t="str">
        <f>IF(AND('领用录入（明细）'!D:D=$F$4,'领用录入（明细）'!C:C&gt;=$J$4,'领用录入（明细）'!C:C&lt;=$L$4),ROW(),"-")</f>
        <v>-</v>
      </c>
    </row>
    <row r="23432" customHeight="1" spans="2:2">
      <c r="B23432" s="62" t="str">
        <f>IF(AND('领用录入（明细）'!D:D=$F$4,'领用录入（明细）'!C:C&gt;=$J$4,'领用录入（明细）'!C:C&lt;=$L$4),ROW(),"-")</f>
        <v>-</v>
      </c>
    </row>
    <row r="23433" customHeight="1" spans="2:2">
      <c r="B23433" s="62" t="str">
        <f>IF(AND('领用录入（明细）'!D:D=$F$4,'领用录入（明细）'!C:C&gt;=$J$4,'领用录入（明细）'!C:C&lt;=$L$4),ROW(),"-")</f>
        <v>-</v>
      </c>
    </row>
    <row r="23434" customHeight="1" spans="2:2">
      <c r="B23434" s="62" t="str">
        <f>IF(AND('领用录入（明细）'!D:D=$F$4,'领用录入（明细）'!C:C&gt;=$J$4,'领用录入（明细）'!C:C&lt;=$L$4),ROW(),"-")</f>
        <v>-</v>
      </c>
    </row>
    <row r="23435" customHeight="1" spans="2:2">
      <c r="B23435" s="62" t="str">
        <f>IF(AND('领用录入（明细）'!D:D=$F$4,'领用录入（明细）'!C:C&gt;=$J$4,'领用录入（明细）'!C:C&lt;=$L$4),ROW(),"-")</f>
        <v>-</v>
      </c>
    </row>
    <row r="23436" customHeight="1" spans="2:2">
      <c r="B23436" s="62" t="str">
        <f>IF(AND('领用录入（明细）'!D:D=$F$4,'领用录入（明细）'!C:C&gt;=$J$4,'领用录入（明细）'!C:C&lt;=$L$4),ROW(),"-")</f>
        <v>-</v>
      </c>
    </row>
    <row r="23437" customHeight="1" spans="2:2">
      <c r="B23437" s="62" t="str">
        <f>IF(AND('领用录入（明细）'!D:D=$F$4,'领用录入（明细）'!C:C&gt;=$J$4,'领用录入（明细）'!C:C&lt;=$L$4),ROW(),"-")</f>
        <v>-</v>
      </c>
    </row>
    <row r="23438" customHeight="1" spans="2:2">
      <c r="B23438" s="62" t="str">
        <f>IF(AND('领用录入（明细）'!D:D=$F$4,'领用录入（明细）'!C:C&gt;=$J$4,'领用录入（明细）'!C:C&lt;=$L$4),ROW(),"-")</f>
        <v>-</v>
      </c>
    </row>
    <row r="23439" customHeight="1" spans="2:2">
      <c r="B23439" s="62" t="str">
        <f>IF(AND('领用录入（明细）'!D:D=$F$4,'领用录入（明细）'!C:C&gt;=$J$4,'领用录入（明细）'!C:C&lt;=$L$4),ROW(),"-")</f>
        <v>-</v>
      </c>
    </row>
    <row r="23440" customHeight="1" spans="2:2">
      <c r="B23440" s="62" t="str">
        <f>IF(AND('领用录入（明细）'!D:D=$F$4,'领用录入（明细）'!C:C&gt;=$J$4,'领用录入（明细）'!C:C&lt;=$L$4),ROW(),"-")</f>
        <v>-</v>
      </c>
    </row>
    <row r="23441" customHeight="1" spans="2:2">
      <c r="B23441" s="62" t="str">
        <f>IF(AND('领用录入（明细）'!D:D=$F$4,'领用录入（明细）'!C:C&gt;=$J$4,'领用录入（明细）'!C:C&lt;=$L$4),ROW(),"-")</f>
        <v>-</v>
      </c>
    </row>
    <row r="23442" customHeight="1" spans="2:2">
      <c r="B23442" s="62" t="str">
        <f>IF(AND('领用录入（明细）'!D:D=$F$4,'领用录入（明细）'!C:C&gt;=$J$4,'领用录入（明细）'!C:C&lt;=$L$4),ROW(),"-")</f>
        <v>-</v>
      </c>
    </row>
    <row r="23443" customHeight="1" spans="2:2">
      <c r="B23443" s="62" t="str">
        <f>IF(AND('领用录入（明细）'!D:D=$F$4,'领用录入（明细）'!C:C&gt;=$J$4,'领用录入（明细）'!C:C&lt;=$L$4),ROW(),"-")</f>
        <v>-</v>
      </c>
    </row>
    <row r="23444" customHeight="1" spans="2:2">
      <c r="B23444" s="62" t="str">
        <f>IF(AND('领用录入（明细）'!D:D=$F$4,'领用录入（明细）'!C:C&gt;=$J$4,'领用录入（明细）'!C:C&lt;=$L$4),ROW(),"-")</f>
        <v>-</v>
      </c>
    </row>
    <row r="23445" customHeight="1" spans="2:2">
      <c r="B23445" s="62" t="str">
        <f>IF(AND('领用录入（明细）'!D:D=$F$4,'领用录入（明细）'!C:C&gt;=$J$4,'领用录入（明细）'!C:C&lt;=$L$4),ROW(),"-")</f>
        <v>-</v>
      </c>
    </row>
    <row r="23446" customHeight="1" spans="2:2">
      <c r="B23446" s="62" t="str">
        <f>IF(AND('领用录入（明细）'!D:D=$F$4,'领用录入（明细）'!C:C&gt;=$J$4,'领用录入（明细）'!C:C&lt;=$L$4),ROW(),"-")</f>
        <v>-</v>
      </c>
    </row>
    <row r="23447" customHeight="1" spans="2:2">
      <c r="B23447" s="62" t="str">
        <f>IF(AND('领用录入（明细）'!D:D=$F$4,'领用录入（明细）'!C:C&gt;=$J$4,'领用录入（明细）'!C:C&lt;=$L$4),ROW(),"-")</f>
        <v>-</v>
      </c>
    </row>
    <row r="23448" customHeight="1" spans="2:2">
      <c r="B23448" s="62" t="str">
        <f>IF(AND('领用录入（明细）'!D:D=$F$4,'领用录入（明细）'!C:C&gt;=$J$4,'领用录入（明细）'!C:C&lt;=$L$4),ROW(),"-")</f>
        <v>-</v>
      </c>
    </row>
    <row r="23449" customHeight="1" spans="2:2">
      <c r="B23449" s="62" t="str">
        <f>IF(AND('领用录入（明细）'!D:D=$F$4,'领用录入（明细）'!C:C&gt;=$J$4,'领用录入（明细）'!C:C&lt;=$L$4),ROW(),"-")</f>
        <v>-</v>
      </c>
    </row>
    <row r="23450" customHeight="1" spans="2:2">
      <c r="B23450" s="62" t="str">
        <f>IF(AND('领用录入（明细）'!D:D=$F$4,'领用录入（明细）'!C:C&gt;=$J$4,'领用录入（明细）'!C:C&lt;=$L$4),ROW(),"-")</f>
        <v>-</v>
      </c>
    </row>
    <row r="23451" customHeight="1" spans="2:2">
      <c r="B23451" s="62" t="str">
        <f>IF(AND('领用录入（明细）'!D:D=$F$4,'领用录入（明细）'!C:C&gt;=$J$4,'领用录入（明细）'!C:C&lt;=$L$4),ROW(),"-")</f>
        <v>-</v>
      </c>
    </row>
    <row r="23452" customHeight="1" spans="2:2">
      <c r="B23452" s="62" t="str">
        <f>IF(AND('领用录入（明细）'!D:D=$F$4,'领用录入（明细）'!C:C&gt;=$J$4,'领用录入（明细）'!C:C&lt;=$L$4),ROW(),"-")</f>
        <v>-</v>
      </c>
    </row>
    <row r="23453" customHeight="1" spans="2:2">
      <c r="B23453" s="62" t="str">
        <f>IF(AND('领用录入（明细）'!D:D=$F$4,'领用录入（明细）'!C:C&gt;=$J$4,'领用录入（明细）'!C:C&lt;=$L$4),ROW(),"-")</f>
        <v>-</v>
      </c>
    </row>
    <row r="23454" customHeight="1" spans="2:2">
      <c r="B23454" s="62" t="str">
        <f>IF(AND('领用录入（明细）'!D:D=$F$4,'领用录入（明细）'!C:C&gt;=$J$4,'领用录入（明细）'!C:C&lt;=$L$4),ROW(),"-")</f>
        <v>-</v>
      </c>
    </row>
    <row r="23455" customHeight="1" spans="2:2">
      <c r="B23455" s="62" t="str">
        <f>IF(AND('领用录入（明细）'!D:D=$F$4,'领用录入（明细）'!C:C&gt;=$J$4,'领用录入（明细）'!C:C&lt;=$L$4),ROW(),"-")</f>
        <v>-</v>
      </c>
    </row>
    <row r="23456" customHeight="1" spans="2:2">
      <c r="B23456" s="62" t="str">
        <f>IF(AND('领用录入（明细）'!D:D=$F$4,'领用录入（明细）'!C:C&gt;=$J$4,'领用录入（明细）'!C:C&lt;=$L$4),ROW(),"-")</f>
        <v>-</v>
      </c>
    </row>
    <row r="23457" customHeight="1" spans="2:2">
      <c r="B23457" s="62" t="str">
        <f>IF(AND('领用录入（明细）'!D:D=$F$4,'领用录入（明细）'!C:C&gt;=$J$4,'领用录入（明细）'!C:C&lt;=$L$4),ROW(),"-")</f>
        <v>-</v>
      </c>
    </row>
    <row r="23458" customHeight="1" spans="2:2">
      <c r="B23458" s="62" t="str">
        <f>IF(AND('领用录入（明细）'!D:D=$F$4,'领用录入（明细）'!C:C&gt;=$J$4,'领用录入（明细）'!C:C&lt;=$L$4),ROW(),"-")</f>
        <v>-</v>
      </c>
    </row>
    <row r="23459" customHeight="1" spans="2:2">
      <c r="B23459" s="62" t="str">
        <f>IF(AND('领用录入（明细）'!D:D=$F$4,'领用录入（明细）'!C:C&gt;=$J$4,'领用录入（明细）'!C:C&lt;=$L$4),ROW(),"-")</f>
        <v>-</v>
      </c>
    </row>
    <row r="23460" customHeight="1" spans="2:2">
      <c r="B23460" s="62" t="str">
        <f>IF(AND('领用录入（明细）'!D:D=$F$4,'领用录入（明细）'!C:C&gt;=$J$4,'领用录入（明细）'!C:C&lt;=$L$4),ROW(),"-")</f>
        <v>-</v>
      </c>
    </row>
    <row r="23461" customHeight="1" spans="2:2">
      <c r="B23461" s="62" t="str">
        <f>IF(AND('领用录入（明细）'!D:D=$F$4,'领用录入（明细）'!C:C&gt;=$J$4,'领用录入（明细）'!C:C&lt;=$L$4),ROW(),"-")</f>
        <v>-</v>
      </c>
    </row>
    <row r="23462" customHeight="1" spans="2:2">
      <c r="B23462" s="62" t="str">
        <f>IF(AND('领用录入（明细）'!D:D=$F$4,'领用录入（明细）'!C:C&gt;=$J$4,'领用录入（明细）'!C:C&lt;=$L$4),ROW(),"-")</f>
        <v>-</v>
      </c>
    </row>
    <row r="23463" customHeight="1" spans="2:2">
      <c r="B23463" s="62" t="str">
        <f>IF(AND('领用录入（明细）'!D:D=$F$4,'领用录入（明细）'!C:C&gt;=$J$4,'领用录入（明细）'!C:C&lt;=$L$4),ROW(),"-")</f>
        <v>-</v>
      </c>
    </row>
    <row r="23464" customHeight="1" spans="2:2">
      <c r="B23464" s="62" t="str">
        <f>IF(AND('领用录入（明细）'!D:D=$F$4,'领用录入（明细）'!C:C&gt;=$J$4,'领用录入（明细）'!C:C&lt;=$L$4),ROW(),"-")</f>
        <v>-</v>
      </c>
    </row>
    <row r="23465" customHeight="1" spans="2:2">
      <c r="B23465" s="62" t="str">
        <f>IF(AND('领用录入（明细）'!D:D=$F$4,'领用录入（明细）'!C:C&gt;=$J$4,'领用录入（明细）'!C:C&lt;=$L$4),ROW(),"-")</f>
        <v>-</v>
      </c>
    </row>
    <row r="23466" customHeight="1" spans="2:2">
      <c r="B23466" s="62" t="str">
        <f>IF(AND('领用录入（明细）'!D:D=$F$4,'领用录入（明细）'!C:C&gt;=$J$4,'领用录入（明细）'!C:C&lt;=$L$4),ROW(),"-")</f>
        <v>-</v>
      </c>
    </row>
    <row r="23467" customHeight="1" spans="2:2">
      <c r="B23467" s="62" t="str">
        <f>IF(AND('领用录入（明细）'!D:D=$F$4,'领用录入（明细）'!C:C&gt;=$J$4,'领用录入（明细）'!C:C&lt;=$L$4),ROW(),"-")</f>
        <v>-</v>
      </c>
    </row>
    <row r="23468" customHeight="1" spans="2:2">
      <c r="B23468" s="62" t="str">
        <f>IF(AND('领用录入（明细）'!D:D=$F$4,'领用录入（明细）'!C:C&gt;=$J$4,'领用录入（明细）'!C:C&lt;=$L$4),ROW(),"-")</f>
        <v>-</v>
      </c>
    </row>
    <row r="23469" customHeight="1" spans="2:2">
      <c r="B23469" s="62" t="str">
        <f>IF(AND('领用录入（明细）'!D:D=$F$4,'领用录入（明细）'!C:C&gt;=$J$4,'领用录入（明细）'!C:C&lt;=$L$4),ROW(),"-")</f>
        <v>-</v>
      </c>
    </row>
    <row r="23470" customHeight="1" spans="2:2">
      <c r="B23470" s="62" t="str">
        <f>IF(AND('领用录入（明细）'!D:D=$F$4,'领用录入（明细）'!C:C&gt;=$J$4,'领用录入（明细）'!C:C&lt;=$L$4),ROW(),"-")</f>
        <v>-</v>
      </c>
    </row>
    <row r="23471" customHeight="1" spans="2:2">
      <c r="B23471" s="62" t="str">
        <f>IF(AND('领用录入（明细）'!D:D=$F$4,'领用录入（明细）'!C:C&gt;=$J$4,'领用录入（明细）'!C:C&lt;=$L$4),ROW(),"-")</f>
        <v>-</v>
      </c>
    </row>
    <row r="23472" customHeight="1" spans="2:2">
      <c r="B23472" s="62" t="str">
        <f>IF(AND('领用录入（明细）'!D:D=$F$4,'领用录入（明细）'!C:C&gt;=$J$4,'领用录入（明细）'!C:C&lt;=$L$4),ROW(),"-")</f>
        <v>-</v>
      </c>
    </row>
    <row r="23473" customHeight="1" spans="2:2">
      <c r="B23473" s="62" t="str">
        <f>IF(AND('领用录入（明细）'!D:D=$F$4,'领用录入（明细）'!C:C&gt;=$J$4,'领用录入（明细）'!C:C&lt;=$L$4),ROW(),"-")</f>
        <v>-</v>
      </c>
    </row>
    <row r="23474" customHeight="1" spans="2:2">
      <c r="B23474" s="62" t="str">
        <f>IF(AND('领用录入（明细）'!D:D=$F$4,'领用录入（明细）'!C:C&gt;=$J$4,'领用录入（明细）'!C:C&lt;=$L$4),ROW(),"-")</f>
        <v>-</v>
      </c>
    </row>
    <row r="23475" customHeight="1" spans="2:2">
      <c r="B23475" s="62" t="str">
        <f>IF(AND('领用录入（明细）'!D:D=$F$4,'领用录入（明细）'!C:C&gt;=$J$4,'领用录入（明细）'!C:C&lt;=$L$4),ROW(),"-")</f>
        <v>-</v>
      </c>
    </row>
    <row r="23476" customHeight="1" spans="2:2">
      <c r="B23476" s="62" t="str">
        <f>IF(AND('领用录入（明细）'!D:D=$F$4,'领用录入（明细）'!C:C&gt;=$J$4,'领用录入（明细）'!C:C&lt;=$L$4),ROW(),"-")</f>
        <v>-</v>
      </c>
    </row>
    <row r="23477" customHeight="1" spans="2:2">
      <c r="B23477" s="62" t="str">
        <f>IF(AND('领用录入（明细）'!D:D=$F$4,'领用录入（明细）'!C:C&gt;=$J$4,'领用录入（明细）'!C:C&lt;=$L$4),ROW(),"-")</f>
        <v>-</v>
      </c>
    </row>
    <row r="23478" customHeight="1" spans="2:2">
      <c r="B23478" s="62" t="str">
        <f>IF(AND('领用录入（明细）'!D:D=$F$4,'领用录入（明细）'!C:C&gt;=$J$4,'领用录入（明细）'!C:C&lt;=$L$4),ROW(),"-")</f>
        <v>-</v>
      </c>
    </row>
    <row r="23479" customHeight="1" spans="2:2">
      <c r="B23479" s="62" t="str">
        <f>IF(AND('领用录入（明细）'!D:D=$F$4,'领用录入（明细）'!C:C&gt;=$J$4,'领用录入（明细）'!C:C&lt;=$L$4),ROW(),"-")</f>
        <v>-</v>
      </c>
    </row>
    <row r="23480" customHeight="1" spans="2:2">
      <c r="B23480" s="62" t="str">
        <f>IF(AND('领用录入（明细）'!D:D=$F$4,'领用录入（明细）'!C:C&gt;=$J$4,'领用录入（明细）'!C:C&lt;=$L$4),ROW(),"-")</f>
        <v>-</v>
      </c>
    </row>
    <row r="23481" customHeight="1" spans="2:2">
      <c r="B23481" s="62" t="str">
        <f>IF(AND('领用录入（明细）'!D:D=$F$4,'领用录入（明细）'!C:C&gt;=$J$4,'领用录入（明细）'!C:C&lt;=$L$4),ROW(),"-")</f>
        <v>-</v>
      </c>
    </row>
    <row r="23482" customHeight="1" spans="2:2">
      <c r="B23482" s="62" t="str">
        <f>IF(AND('领用录入（明细）'!D:D=$F$4,'领用录入（明细）'!C:C&gt;=$J$4,'领用录入（明细）'!C:C&lt;=$L$4),ROW(),"-")</f>
        <v>-</v>
      </c>
    </row>
    <row r="23483" customHeight="1" spans="2:2">
      <c r="B23483" s="62" t="str">
        <f>IF(AND('领用录入（明细）'!D:D=$F$4,'领用录入（明细）'!C:C&gt;=$J$4,'领用录入（明细）'!C:C&lt;=$L$4),ROW(),"-")</f>
        <v>-</v>
      </c>
    </row>
    <row r="23484" customHeight="1" spans="2:2">
      <c r="B23484" s="62" t="str">
        <f>IF(AND('领用录入（明细）'!D:D=$F$4,'领用录入（明细）'!C:C&gt;=$J$4,'领用录入（明细）'!C:C&lt;=$L$4),ROW(),"-")</f>
        <v>-</v>
      </c>
    </row>
    <row r="23485" customHeight="1" spans="2:2">
      <c r="B23485" s="62" t="str">
        <f>IF(AND('领用录入（明细）'!D:D=$F$4,'领用录入（明细）'!C:C&gt;=$J$4,'领用录入（明细）'!C:C&lt;=$L$4),ROW(),"-")</f>
        <v>-</v>
      </c>
    </row>
    <row r="23486" customHeight="1" spans="2:2">
      <c r="B23486" s="62" t="str">
        <f>IF(AND('领用录入（明细）'!D:D=$F$4,'领用录入（明细）'!C:C&gt;=$J$4,'领用录入（明细）'!C:C&lt;=$L$4),ROW(),"-")</f>
        <v>-</v>
      </c>
    </row>
    <row r="23487" customHeight="1" spans="2:2">
      <c r="B23487" s="62" t="str">
        <f>IF(AND('领用录入（明细）'!D:D=$F$4,'领用录入（明细）'!C:C&gt;=$J$4,'领用录入（明细）'!C:C&lt;=$L$4),ROW(),"-")</f>
        <v>-</v>
      </c>
    </row>
    <row r="23488" customHeight="1" spans="2:2">
      <c r="B23488" s="62" t="str">
        <f>IF(AND('领用录入（明细）'!D:D=$F$4,'领用录入（明细）'!C:C&gt;=$J$4,'领用录入（明细）'!C:C&lt;=$L$4),ROW(),"-")</f>
        <v>-</v>
      </c>
    </row>
    <row r="23489" customHeight="1" spans="2:2">
      <c r="B23489" s="62" t="str">
        <f>IF(AND('领用录入（明细）'!D:D=$F$4,'领用录入（明细）'!C:C&gt;=$J$4,'领用录入（明细）'!C:C&lt;=$L$4),ROW(),"-")</f>
        <v>-</v>
      </c>
    </row>
    <row r="23490" customHeight="1" spans="2:2">
      <c r="B23490" s="62" t="str">
        <f>IF(AND('领用录入（明细）'!D:D=$F$4,'领用录入（明细）'!C:C&gt;=$J$4,'领用录入（明细）'!C:C&lt;=$L$4),ROW(),"-")</f>
        <v>-</v>
      </c>
    </row>
    <row r="23491" customHeight="1" spans="2:2">
      <c r="B23491" s="62" t="str">
        <f>IF(AND('领用录入（明细）'!D:D=$F$4,'领用录入（明细）'!C:C&gt;=$J$4,'领用录入（明细）'!C:C&lt;=$L$4),ROW(),"-")</f>
        <v>-</v>
      </c>
    </row>
    <row r="23492" customHeight="1" spans="2:2">
      <c r="B23492" s="62" t="str">
        <f>IF(AND('领用录入（明细）'!D:D=$F$4,'领用录入（明细）'!C:C&gt;=$J$4,'领用录入（明细）'!C:C&lt;=$L$4),ROW(),"-")</f>
        <v>-</v>
      </c>
    </row>
    <row r="23493" customHeight="1" spans="2:2">
      <c r="B23493" s="62" t="str">
        <f>IF(AND('领用录入（明细）'!D:D=$F$4,'领用录入（明细）'!C:C&gt;=$J$4,'领用录入（明细）'!C:C&lt;=$L$4),ROW(),"-")</f>
        <v>-</v>
      </c>
    </row>
    <row r="23494" customHeight="1" spans="2:2">
      <c r="B23494" s="62" t="str">
        <f>IF(AND('领用录入（明细）'!D:D=$F$4,'领用录入（明细）'!C:C&gt;=$J$4,'领用录入（明细）'!C:C&lt;=$L$4),ROW(),"-")</f>
        <v>-</v>
      </c>
    </row>
    <row r="23495" customHeight="1" spans="2:2">
      <c r="B23495" s="62" t="str">
        <f>IF(AND('领用录入（明细）'!D:D=$F$4,'领用录入（明细）'!C:C&gt;=$J$4,'领用录入（明细）'!C:C&lt;=$L$4),ROW(),"-")</f>
        <v>-</v>
      </c>
    </row>
    <row r="23496" customHeight="1" spans="2:2">
      <c r="B23496" s="62" t="str">
        <f>IF(AND('领用录入（明细）'!D:D=$F$4,'领用录入（明细）'!C:C&gt;=$J$4,'领用录入（明细）'!C:C&lt;=$L$4),ROW(),"-")</f>
        <v>-</v>
      </c>
    </row>
    <row r="23497" customHeight="1" spans="2:2">
      <c r="B23497" s="62" t="str">
        <f>IF(AND('领用录入（明细）'!D:D=$F$4,'领用录入（明细）'!C:C&gt;=$J$4,'领用录入（明细）'!C:C&lt;=$L$4),ROW(),"-")</f>
        <v>-</v>
      </c>
    </row>
    <row r="23498" customHeight="1" spans="2:2">
      <c r="B23498" s="62" t="str">
        <f>IF(AND('领用录入（明细）'!D:D=$F$4,'领用录入（明细）'!C:C&gt;=$J$4,'领用录入（明细）'!C:C&lt;=$L$4),ROW(),"-")</f>
        <v>-</v>
      </c>
    </row>
    <row r="23499" customHeight="1" spans="2:2">
      <c r="B23499" s="62" t="str">
        <f>IF(AND('领用录入（明细）'!D:D=$F$4,'领用录入（明细）'!C:C&gt;=$J$4,'领用录入（明细）'!C:C&lt;=$L$4),ROW(),"-")</f>
        <v>-</v>
      </c>
    </row>
    <row r="23500" customHeight="1" spans="2:2">
      <c r="B23500" s="62" t="str">
        <f>IF(AND('领用录入（明细）'!D:D=$F$4,'领用录入（明细）'!C:C&gt;=$J$4,'领用录入（明细）'!C:C&lt;=$L$4),ROW(),"-")</f>
        <v>-</v>
      </c>
    </row>
    <row r="23501" customHeight="1" spans="2:2">
      <c r="B23501" s="62" t="str">
        <f>IF(AND('领用录入（明细）'!D:D=$F$4,'领用录入（明细）'!C:C&gt;=$J$4,'领用录入（明细）'!C:C&lt;=$L$4),ROW(),"-")</f>
        <v>-</v>
      </c>
    </row>
    <row r="23502" customHeight="1" spans="2:2">
      <c r="B23502" s="62" t="str">
        <f>IF(AND('领用录入（明细）'!D:D=$F$4,'领用录入（明细）'!C:C&gt;=$J$4,'领用录入（明细）'!C:C&lt;=$L$4),ROW(),"-")</f>
        <v>-</v>
      </c>
    </row>
    <row r="23503" customHeight="1" spans="2:2">
      <c r="B23503" s="62" t="str">
        <f>IF(AND('领用录入（明细）'!D:D=$F$4,'领用录入（明细）'!C:C&gt;=$J$4,'领用录入（明细）'!C:C&lt;=$L$4),ROW(),"-")</f>
        <v>-</v>
      </c>
    </row>
    <row r="23504" customHeight="1" spans="2:2">
      <c r="B23504" s="62" t="str">
        <f>IF(AND('领用录入（明细）'!D:D=$F$4,'领用录入（明细）'!C:C&gt;=$J$4,'领用录入（明细）'!C:C&lt;=$L$4),ROW(),"-")</f>
        <v>-</v>
      </c>
    </row>
    <row r="23505" customHeight="1" spans="2:2">
      <c r="B23505" s="62" t="str">
        <f>IF(AND('领用录入（明细）'!D:D=$F$4,'领用录入（明细）'!C:C&gt;=$J$4,'领用录入（明细）'!C:C&lt;=$L$4),ROW(),"-")</f>
        <v>-</v>
      </c>
    </row>
    <row r="23506" customHeight="1" spans="2:2">
      <c r="B23506" s="62" t="str">
        <f>IF(AND('领用录入（明细）'!D:D=$F$4,'领用录入（明细）'!C:C&gt;=$J$4,'领用录入（明细）'!C:C&lt;=$L$4),ROW(),"-")</f>
        <v>-</v>
      </c>
    </row>
    <row r="23507" customHeight="1" spans="2:2">
      <c r="B23507" s="62" t="str">
        <f>IF(AND('领用录入（明细）'!D:D=$F$4,'领用录入（明细）'!C:C&gt;=$J$4,'领用录入（明细）'!C:C&lt;=$L$4),ROW(),"-")</f>
        <v>-</v>
      </c>
    </row>
    <row r="23508" customHeight="1" spans="2:2">
      <c r="B23508" s="62" t="str">
        <f>IF(AND('领用录入（明细）'!D:D=$F$4,'领用录入（明细）'!C:C&gt;=$J$4,'领用录入（明细）'!C:C&lt;=$L$4),ROW(),"-")</f>
        <v>-</v>
      </c>
    </row>
    <row r="23509" customHeight="1" spans="2:2">
      <c r="B23509" s="62" t="str">
        <f>IF(AND('领用录入（明细）'!D:D=$F$4,'领用录入（明细）'!C:C&gt;=$J$4,'领用录入（明细）'!C:C&lt;=$L$4),ROW(),"-")</f>
        <v>-</v>
      </c>
    </row>
    <row r="23510" customHeight="1" spans="2:2">
      <c r="B23510" s="62" t="str">
        <f>IF(AND('领用录入（明细）'!D:D=$F$4,'领用录入（明细）'!C:C&gt;=$J$4,'领用录入（明细）'!C:C&lt;=$L$4),ROW(),"-")</f>
        <v>-</v>
      </c>
    </row>
    <row r="23511" customHeight="1" spans="2:2">
      <c r="B23511" s="62" t="str">
        <f>IF(AND('领用录入（明细）'!D:D=$F$4,'领用录入（明细）'!C:C&gt;=$J$4,'领用录入（明细）'!C:C&lt;=$L$4),ROW(),"-")</f>
        <v>-</v>
      </c>
    </row>
    <row r="23512" customHeight="1" spans="2:2">
      <c r="B23512" s="62" t="str">
        <f>IF(AND('领用录入（明细）'!D:D=$F$4,'领用录入（明细）'!C:C&gt;=$J$4,'领用录入（明细）'!C:C&lt;=$L$4),ROW(),"-")</f>
        <v>-</v>
      </c>
    </row>
    <row r="23513" customHeight="1" spans="2:2">
      <c r="B23513" s="62" t="str">
        <f>IF(AND('领用录入（明细）'!D:D=$F$4,'领用录入（明细）'!C:C&gt;=$J$4,'领用录入（明细）'!C:C&lt;=$L$4),ROW(),"-")</f>
        <v>-</v>
      </c>
    </row>
    <row r="23514" customHeight="1" spans="2:2">
      <c r="B23514" s="62" t="str">
        <f>IF(AND('领用录入（明细）'!D:D=$F$4,'领用录入（明细）'!C:C&gt;=$J$4,'领用录入（明细）'!C:C&lt;=$L$4),ROW(),"-")</f>
        <v>-</v>
      </c>
    </row>
    <row r="23515" customHeight="1" spans="2:2">
      <c r="B23515" s="62" t="str">
        <f>IF(AND('领用录入（明细）'!D:D=$F$4,'领用录入（明细）'!C:C&gt;=$J$4,'领用录入（明细）'!C:C&lt;=$L$4),ROW(),"-")</f>
        <v>-</v>
      </c>
    </row>
    <row r="23516" customHeight="1" spans="2:2">
      <c r="B23516" s="62" t="str">
        <f>IF(AND('领用录入（明细）'!D:D=$F$4,'领用录入（明细）'!C:C&gt;=$J$4,'领用录入（明细）'!C:C&lt;=$L$4),ROW(),"-")</f>
        <v>-</v>
      </c>
    </row>
    <row r="23517" customHeight="1" spans="2:2">
      <c r="B23517" s="62" t="str">
        <f>IF(AND('领用录入（明细）'!D:D=$F$4,'领用录入（明细）'!C:C&gt;=$J$4,'领用录入（明细）'!C:C&lt;=$L$4),ROW(),"-")</f>
        <v>-</v>
      </c>
    </row>
    <row r="23518" customHeight="1" spans="2:2">
      <c r="B23518" s="62" t="str">
        <f>IF(AND('领用录入（明细）'!D:D=$F$4,'领用录入（明细）'!C:C&gt;=$J$4,'领用录入（明细）'!C:C&lt;=$L$4),ROW(),"-")</f>
        <v>-</v>
      </c>
    </row>
    <row r="23519" customHeight="1" spans="2:2">
      <c r="B23519" s="62" t="str">
        <f>IF(AND('领用录入（明细）'!D:D=$F$4,'领用录入（明细）'!C:C&gt;=$J$4,'领用录入（明细）'!C:C&lt;=$L$4),ROW(),"-")</f>
        <v>-</v>
      </c>
    </row>
    <row r="23520" customHeight="1" spans="2:2">
      <c r="B23520" s="62" t="str">
        <f>IF(AND('领用录入（明细）'!D:D=$F$4,'领用录入（明细）'!C:C&gt;=$J$4,'领用录入（明细）'!C:C&lt;=$L$4),ROW(),"-")</f>
        <v>-</v>
      </c>
    </row>
    <row r="23521" customHeight="1" spans="2:2">
      <c r="B23521" s="62" t="str">
        <f>IF(AND('领用录入（明细）'!D:D=$F$4,'领用录入（明细）'!C:C&gt;=$J$4,'领用录入（明细）'!C:C&lt;=$L$4),ROW(),"-")</f>
        <v>-</v>
      </c>
    </row>
    <row r="23522" customHeight="1" spans="2:2">
      <c r="B23522" s="62" t="str">
        <f>IF(AND('领用录入（明细）'!D:D=$F$4,'领用录入（明细）'!C:C&gt;=$J$4,'领用录入（明细）'!C:C&lt;=$L$4),ROW(),"-")</f>
        <v>-</v>
      </c>
    </row>
    <row r="23523" customHeight="1" spans="2:2">
      <c r="B23523" s="62" t="str">
        <f>IF(AND('领用录入（明细）'!D:D=$F$4,'领用录入（明细）'!C:C&gt;=$J$4,'领用录入（明细）'!C:C&lt;=$L$4),ROW(),"-")</f>
        <v>-</v>
      </c>
    </row>
    <row r="23524" customHeight="1" spans="2:2">
      <c r="B23524" s="62" t="str">
        <f>IF(AND('领用录入（明细）'!D:D=$F$4,'领用录入（明细）'!C:C&gt;=$J$4,'领用录入（明细）'!C:C&lt;=$L$4),ROW(),"-")</f>
        <v>-</v>
      </c>
    </row>
    <row r="23525" customHeight="1" spans="2:2">
      <c r="B23525" s="62" t="str">
        <f>IF(AND('领用录入（明细）'!D:D=$F$4,'领用录入（明细）'!C:C&gt;=$J$4,'领用录入（明细）'!C:C&lt;=$L$4),ROW(),"-")</f>
        <v>-</v>
      </c>
    </row>
    <row r="23526" customHeight="1" spans="2:2">
      <c r="B23526" s="62" t="str">
        <f>IF(AND('领用录入（明细）'!D:D=$F$4,'领用录入（明细）'!C:C&gt;=$J$4,'领用录入（明细）'!C:C&lt;=$L$4),ROW(),"-")</f>
        <v>-</v>
      </c>
    </row>
    <row r="23527" customHeight="1" spans="2:2">
      <c r="B23527" s="62" t="str">
        <f>IF(AND('领用录入（明细）'!D:D=$F$4,'领用录入（明细）'!C:C&gt;=$J$4,'领用录入（明细）'!C:C&lt;=$L$4),ROW(),"-")</f>
        <v>-</v>
      </c>
    </row>
    <row r="23528" customHeight="1" spans="2:2">
      <c r="B23528" s="62" t="str">
        <f>IF(AND('领用录入（明细）'!D:D=$F$4,'领用录入（明细）'!C:C&gt;=$J$4,'领用录入（明细）'!C:C&lt;=$L$4),ROW(),"-")</f>
        <v>-</v>
      </c>
    </row>
    <row r="23529" customHeight="1" spans="2:2">
      <c r="B23529" s="62" t="str">
        <f>IF(AND('领用录入（明细）'!D:D=$F$4,'领用录入（明细）'!C:C&gt;=$J$4,'领用录入（明细）'!C:C&lt;=$L$4),ROW(),"-")</f>
        <v>-</v>
      </c>
    </row>
    <row r="23530" customHeight="1" spans="2:2">
      <c r="B23530" s="62" t="str">
        <f>IF(AND('领用录入（明细）'!D:D=$F$4,'领用录入（明细）'!C:C&gt;=$J$4,'领用录入（明细）'!C:C&lt;=$L$4),ROW(),"-")</f>
        <v>-</v>
      </c>
    </row>
    <row r="23531" customHeight="1" spans="2:2">
      <c r="B23531" s="62" t="str">
        <f>IF(AND('领用录入（明细）'!D:D=$F$4,'领用录入（明细）'!C:C&gt;=$J$4,'领用录入（明细）'!C:C&lt;=$L$4),ROW(),"-")</f>
        <v>-</v>
      </c>
    </row>
    <row r="23532" customHeight="1" spans="2:2">
      <c r="B23532" s="62" t="str">
        <f>IF(AND('领用录入（明细）'!D:D=$F$4,'领用录入（明细）'!C:C&gt;=$J$4,'领用录入（明细）'!C:C&lt;=$L$4),ROW(),"-")</f>
        <v>-</v>
      </c>
    </row>
    <row r="23533" customHeight="1" spans="2:2">
      <c r="B23533" s="62" t="str">
        <f>IF(AND('领用录入（明细）'!D:D=$F$4,'领用录入（明细）'!C:C&gt;=$J$4,'领用录入（明细）'!C:C&lt;=$L$4),ROW(),"-")</f>
        <v>-</v>
      </c>
    </row>
    <row r="23534" customHeight="1" spans="2:2">
      <c r="B23534" s="62" t="str">
        <f>IF(AND('领用录入（明细）'!D:D=$F$4,'领用录入（明细）'!C:C&gt;=$J$4,'领用录入（明细）'!C:C&lt;=$L$4),ROW(),"-")</f>
        <v>-</v>
      </c>
    </row>
    <row r="23535" customHeight="1" spans="2:2">
      <c r="B23535" s="62" t="str">
        <f>IF(AND('领用录入（明细）'!D:D=$F$4,'领用录入（明细）'!C:C&gt;=$J$4,'领用录入（明细）'!C:C&lt;=$L$4),ROW(),"-")</f>
        <v>-</v>
      </c>
    </row>
    <row r="23536" customHeight="1" spans="2:2">
      <c r="B23536" s="62" t="str">
        <f>IF(AND('领用录入（明细）'!D:D=$F$4,'领用录入（明细）'!C:C&gt;=$J$4,'领用录入（明细）'!C:C&lt;=$L$4),ROW(),"-")</f>
        <v>-</v>
      </c>
    </row>
    <row r="23537" customHeight="1" spans="2:2">
      <c r="B23537" s="62" t="str">
        <f>IF(AND('领用录入（明细）'!D:D=$F$4,'领用录入（明细）'!C:C&gt;=$J$4,'领用录入（明细）'!C:C&lt;=$L$4),ROW(),"-")</f>
        <v>-</v>
      </c>
    </row>
    <row r="23538" customHeight="1" spans="2:2">
      <c r="B23538" s="62" t="str">
        <f>IF(AND('领用录入（明细）'!D:D=$F$4,'领用录入（明细）'!C:C&gt;=$J$4,'领用录入（明细）'!C:C&lt;=$L$4),ROW(),"-")</f>
        <v>-</v>
      </c>
    </row>
    <row r="23539" customHeight="1" spans="2:2">
      <c r="B23539" s="62" t="str">
        <f>IF(AND('领用录入（明细）'!D:D=$F$4,'领用录入（明细）'!C:C&gt;=$J$4,'领用录入（明细）'!C:C&lt;=$L$4),ROW(),"-")</f>
        <v>-</v>
      </c>
    </row>
    <row r="23540" customHeight="1" spans="2:2">
      <c r="B23540" s="62" t="str">
        <f>IF(AND('领用录入（明细）'!D:D=$F$4,'领用录入（明细）'!C:C&gt;=$J$4,'领用录入（明细）'!C:C&lt;=$L$4),ROW(),"-")</f>
        <v>-</v>
      </c>
    </row>
    <row r="23541" customHeight="1" spans="2:2">
      <c r="B23541" s="62" t="str">
        <f>IF(AND('领用录入（明细）'!D:D=$F$4,'领用录入（明细）'!C:C&gt;=$J$4,'领用录入（明细）'!C:C&lt;=$L$4),ROW(),"-")</f>
        <v>-</v>
      </c>
    </row>
    <row r="23542" customHeight="1" spans="2:2">
      <c r="B23542" s="62" t="str">
        <f>IF(AND('领用录入（明细）'!D:D=$F$4,'领用录入（明细）'!C:C&gt;=$J$4,'领用录入（明细）'!C:C&lt;=$L$4),ROW(),"-")</f>
        <v>-</v>
      </c>
    </row>
    <row r="23543" customHeight="1" spans="2:2">
      <c r="B23543" s="62" t="str">
        <f>IF(AND('领用录入（明细）'!D:D=$F$4,'领用录入（明细）'!C:C&gt;=$J$4,'领用录入（明细）'!C:C&lt;=$L$4),ROW(),"-")</f>
        <v>-</v>
      </c>
    </row>
    <row r="23544" customHeight="1" spans="2:2">
      <c r="B23544" s="62" t="str">
        <f>IF(AND('领用录入（明细）'!D:D=$F$4,'领用录入（明细）'!C:C&gt;=$J$4,'领用录入（明细）'!C:C&lt;=$L$4),ROW(),"-")</f>
        <v>-</v>
      </c>
    </row>
    <row r="23545" customHeight="1" spans="2:2">
      <c r="B23545" s="62" t="str">
        <f>IF(AND('领用录入（明细）'!D:D=$F$4,'领用录入（明细）'!C:C&gt;=$J$4,'领用录入（明细）'!C:C&lt;=$L$4),ROW(),"-")</f>
        <v>-</v>
      </c>
    </row>
    <row r="23546" customHeight="1" spans="2:2">
      <c r="B23546" s="62" t="str">
        <f>IF(AND('领用录入（明细）'!D:D=$F$4,'领用录入（明细）'!C:C&gt;=$J$4,'领用录入（明细）'!C:C&lt;=$L$4),ROW(),"-")</f>
        <v>-</v>
      </c>
    </row>
    <row r="23547" customHeight="1" spans="2:2">
      <c r="B23547" s="62" t="str">
        <f>IF(AND('领用录入（明细）'!D:D=$F$4,'领用录入（明细）'!C:C&gt;=$J$4,'领用录入（明细）'!C:C&lt;=$L$4),ROW(),"-")</f>
        <v>-</v>
      </c>
    </row>
    <row r="23548" customHeight="1" spans="2:2">
      <c r="B23548" s="62" t="str">
        <f>IF(AND('领用录入（明细）'!D:D=$F$4,'领用录入（明细）'!C:C&gt;=$J$4,'领用录入（明细）'!C:C&lt;=$L$4),ROW(),"-")</f>
        <v>-</v>
      </c>
    </row>
    <row r="23549" customHeight="1" spans="2:2">
      <c r="B23549" s="62" t="str">
        <f>IF(AND('领用录入（明细）'!D:D=$F$4,'领用录入（明细）'!C:C&gt;=$J$4,'领用录入（明细）'!C:C&lt;=$L$4),ROW(),"-")</f>
        <v>-</v>
      </c>
    </row>
    <row r="23550" customHeight="1" spans="2:2">
      <c r="B23550" s="62" t="str">
        <f>IF(AND('领用录入（明细）'!D:D=$F$4,'领用录入（明细）'!C:C&gt;=$J$4,'领用录入（明细）'!C:C&lt;=$L$4),ROW(),"-")</f>
        <v>-</v>
      </c>
    </row>
    <row r="23551" customHeight="1" spans="2:2">
      <c r="B23551" s="62" t="str">
        <f>IF(AND('领用录入（明细）'!D:D=$F$4,'领用录入（明细）'!C:C&gt;=$J$4,'领用录入（明细）'!C:C&lt;=$L$4),ROW(),"-")</f>
        <v>-</v>
      </c>
    </row>
    <row r="23552" customHeight="1" spans="2:2">
      <c r="B23552" s="62" t="str">
        <f>IF(AND('领用录入（明细）'!D:D=$F$4,'领用录入（明细）'!C:C&gt;=$J$4,'领用录入（明细）'!C:C&lt;=$L$4),ROW(),"-")</f>
        <v>-</v>
      </c>
    </row>
    <row r="23553" customHeight="1" spans="2:2">
      <c r="B23553" s="62" t="str">
        <f>IF(AND('领用录入（明细）'!D:D=$F$4,'领用录入（明细）'!C:C&gt;=$J$4,'领用录入（明细）'!C:C&lt;=$L$4),ROW(),"-")</f>
        <v>-</v>
      </c>
    </row>
    <row r="23554" customHeight="1" spans="2:2">
      <c r="B23554" s="62" t="str">
        <f>IF(AND('领用录入（明细）'!D:D=$F$4,'领用录入（明细）'!C:C&gt;=$J$4,'领用录入（明细）'!C:C&lt;=$L$4),ROW(),"-")</f>
        <v>-</v>
      </c>
    </row>
    <row r="23555" customHeight="1" spans="2:2">
      <c r="B23555" s="62" t="str">
        <f>IF(AND('领用录入（明细）'!D:D=$F$4,'领用录入（明细）'!C:C&gt;=$J$4,'领用录入（明细）'!C:C&lt;=$L$4),ROW(),"-")</f>
        <v>-</v>
      </c>
    </row>
    <row r="23556" customHeight="1" spans="2:2">
      <c r="B23556" s="62" t="str">
        <f>IF(AND('领用录入（明细）'!D:D=$F$4,'领用录入（明细）'!C:C&gt;=$J$4,'领用录入（明细）'!C:C&lt;=$L$4),ROW(),"-")</f>
        <v>-</v>
      </c>
    </row>
    <row r="23557" customHeight="1" spans="2:2">
      <c r="B23557" s="62" t="str">
        <f>IF(AND('领用录入（明细）'!D:D=$F$4,'领用录入（明细）'!C:C&gt;=$J$4,'领用录入（明细）'!C:C&lt;=$L$4),ROW(),"-")</f>
        <v>-</v>
      </c>
    </row>
    <row r="23558" customHeight="1" spans="2:2">
      <c r="B23558" s="62" t="str">
        <f>IF(AND('领用录入（明细）'!D:D=$F$4,'领用录入（明细）'!C:C&gt;=$J$4,'领用录入（明细）'!C:C&lt;=$L$4),ROW(),"-")</f>
        <v>-</v>
      </c>
    </row>
    <row r="23559" customHeight="1" spans="2:2">
      <c r="B23559" s="62" t="str">
        <f>IF(AND('领用录入（明细）'!D:D=$F$4,'领用录入（明细）'!C:C&gt;=$J$4,'领用录入（明细）'!C:C&lt;=$L$4),ROW(),"-")</f>
        <v>-</v>
      </c>
    </row>
    <row r="23560" customHeight="1" spans="2:2">
      <c r="B23560" s="62" t="str">
        <f>IF(AND('领用录入（明细）'!D:D=$F$4,'领用录入（明细）'!C:C&gt;=$J$4,'领用录入（明细）'!C:C&lt;=$L$4),ROW(),"-")</f>
        <v>-</v>
      </c>
    </row>
    <row r="23561" customHeight="1" spans="2:2">
      <c r="B23561" s="62" t="str">
        <f>IF(AND('领用录入（明细）'!D:D=$F$4,'领用录入（明细）'!C:C&gt;=$J$4,'领用录入（明细）'!C:C&lt;=$L$4),ROW(),"-")</f>
        <v>-</v>
      </c>
    </row>
    <row r="23562" customHeight="1" spans="2:2">
      <c r="B23562" s="62" t="str">
        <f>IF(AND('领用录入（明细）'!D:D=$F$4,'领用录入（明细）'!C:C&gt;=$J$4,'领用录入（明细）'!C:C&lt;=$L$4),ROW(),"-")</f>
        <v>-</v>
      </c>
    </row>
    <row r="23563" customHeight="1" spans="2:2">
      <c r="B23563" s="62" t="str">
        <f>IF(AND('领用录入（明细）'!D:D=$F$4,'领用录入（明细）'!C:C&gt;=$J$4,'领用录入（明细）'!C:C&lt;=$L$4),ROW(),"-")</f>
        <v>-</v>
      </c>
    </row>
    <row r="23564" customHeight="1" spans="2:2">
      <c r="B23564" s="62" t="str">
        <f>IF(AND('领用录入（明细）'!D:D=$F$4,'领用录入（明细）'!C:C&gt;=$J$4,'领用录入（明细）'!C:C&lt;=$L$4),ROW(),"-")</f>
        <v>-</v>
      </c>
    </row>
    <row r="23565" customHeight="1" spans="2:2">
      <c r="B23565" s="62" t="str">
        <f>IF(AND('领用录入（明细）'!D:D=$F$4,'领用录入（明细）'!C:C&gt;=$J$4,'领用录入（明细）'!C:C&lt;=$L$4),ROW(),"-")</f>
        <v>-</v>
      </c>
    </row>
    <row r="23566" customHeight="1" spans="2:2">
      <c r="B23566" s="62" t="str">
        <f>IF(AND('领用录入（明细）'!D:D=$F$4,'领用录入（明细）'!C:C&gt;=$J$4,'领用录入（明细）'!C:C&lt;=$L$4),ROW(),"-")</f>
        <v>-</v>
      </c>
    </row>
    <row r="23567" customHeight="1" spans="2:2">
      <c r="B23567" s="62" t="str">
        <f>IF(AND('领用录入（明细）'!D:D=$F$4,'领用录入（明细）'!C:C&gt;=$J$4,'领用录入（明细）'!C:C&lt;=$L$4),ROW(),"-")</f>
        <v>-</v>
      </c>
    </row>
    <row r="23568" customHeight="1" spans="2:2">
      <c r="B23568" s="62" t="str">
        <f>IF(AND('领用录入（明细）'!D:D=$F$4,'领用录入（明细）'!C:C&gt;=$J$4,'领用录入（明细）'!C:C&lt;=$L$4),ROW(),"-")</f>
        <v>-</v>
      </c>
    </row>
    <row r="23569" customHeight="1" spans="2:2">
      <c r="B23569" s="62" t="str">
        <f>IF(AND('领用录入（明细）'!D:D=$F$4,'领用录入（明细）'!C:C&gt;=$J$4,'领用录入（明细）'!C:C&lt;=$L$4),ROW(),"-")</f>
        <v>-</v>
      </c>
    </row>
    <row r="23570" customHeight="1" spans="2:2">
      <c r="B23570" s="62" t="str">
        <f>IF(AND('领用录入（明细）'!D:D=$F$4,'领用录入（明细）'!C:C&gt;=$J$4,'领用录入（明细）'!C:C&lt;=$L$4),ROW(),"-")</f>
        <v>-</v>
      </c>
    </row>
    <row r="23571" customHeight="1" spans="2:2">
      <c r="B23571" s="62" t="str">
        <f>IF(AND('领用录入（明细）'!D:D=$F$4,'领用录入（明细）'!C:C&gt;=$J$4,'领用录入（明细）'!C:C&lt;=$L$4),ROW(),"-")</f>
        <v>-</v>
      </c>
    </row>
    <row r="23572" customHeight="1" spans="2:2">
      <c r="B23572" s="62" t="str">
        <f>IF(AND('领用录入（明细）'!D:D=$F$4,'领用录入（明细）'!C:C&gt;=$J$4,'领用录入（明细）'!C:C&lt;=$L$4),ROW(),"-")</f>
        <v>-</v>
      </c>
    </row>
    <row r="23573" customHeight="1" spans="2:2">
      <c r="B23573" s="62" t="str">
        <f>IF(AND('领用录入（明细）'!D:D=$F$4,'领用录入（明细）'!C:C&gt;=$J$4,'领用录入（明细）'!C:C&lt;=$L$4),ROW(),"-")</f>
        <v>-</v>
      </c>
    </row>
    <row r="23574" customHeight="1" spans="2:2">
      <c r="B23574" s="62" t="str">
        <f>IF(AND('领用录入（明细）'!D:D=$F$4,'领用录入（明细）'!C:C&gt;=$J$4,'领用录入（明细）'!C:C&lt;=$L$4),ROW(),"-")</f>
        <v>-</v>
      </c>
    </row>
    <row r="23575" customHeight="1" spans="2:2">
      <c r="B23575" s="62" t="str">
        <f>IF(AND('领用录入（明细）'!D:D=$F$4,'领用录入（明细）'!C:C&gt;=$J$4,'领用录入（明细）'!C:C&lt;=$L$4),ROW(),"-")</f>
        <v>-</v>
      </c>
    </row>
    <row r="23576" customHeight="1" spans="2:2">
      <c r="B23576" s="62" t="str">
        <f>IF(AND('领用录入（明细）'!D:D=$F$4,'领用录入（明细）'!C:C&gt;=$J$4,'领用录入（明细）'!C:C&lt;=$L$4),ROW(),"-")</f>
        <v>-</v>
      </c>
    </row>
    <row r="23577" customHeight="1" spans="2:2">
      <c r="B23577" s="62" t="str">
        <f>IF(AND('领用录入（明细）'!D:D=$F$4,'领用录入（明细）'!C:C&gt;=$J$4,'领用录入（明细）'!C:C&lt;=$L$4),ROW(),"-")</f>
        <v>-</v>
      </c>
    </row>
    <row r="23578" customHeight="1" spans="2:2">
      <c r="B23578" s="62" t="str">
        <f>IF(AND('领用录入（明细）'!D:D=$F$4,'领用录入（明细）'!C:C&gt;=$J$4,'领用录入（明细）'!C:C&lt;=$L$4),ROW(),"-")</f>
        <v>-</v>
      </c>
    </row>
    <row r="23579" customHeight="1" spans="2:2">
      <c r="B23579" s="62" t="str">
        <f>IF(AND('领用录入（明细）'!D:D=$F$4,'领用录入（明细）'!C:C&gt;=$J$4,'领用录入（明细）'!C:C&lt;=$L$4),ROW(),"-")</f>
        <v>-</v>
      </c>
    </row>
    <row r="23580" customHeight="1" spans="2:2">
      <c r="B23580" s="62" t="str">
        <f>IF(AND('领用录入（明细）'!D:D=$F$4,'领用录入（明细）'!C:C&gt;=$J$4,'领用录入（明细）'!C:C&lt;=$L$4),ROW(),"-")</f>
        <v>-</v>
      </c>
    </row>
    <row r="23581" customHeight="1" spans="2:2">
      <c r="B23581" s="62" t="str">
        <f>IF(AND('领用录入（明细）'!D:D=$F$4,'领用录入（明细）'!C:C&gt;=$J$4,'领用录入（明细）'!C:C&lt;=$L$4),ROW(),"-")</f>
        <v>-</v>
      </c>
    </row>
    <row r="23582" customHeight="1" spans="2:2">
      <c r="B23582" s="62" t="str">
        <f>IF(AND('领用录入（明细）'!D:D=$F$4,'领用录入（明细）'!C:C&gt;=$J$4,'领用录入（明细）'!C:C&lt;=$L$4),ROW(),"-")</f>
        <v>-</v>
      </c>
    </row>
    <row r="23583" customHeight="1" spans="2:2">
      <c r="B23583" s="62" t="str">
        <f>IF(AND('领用录入（明细）'!D:D=$F$4,'领用录入（明细）'!C:C&gt;=$J$4,'领用录入（明细）'!C:C&lt;=$L$4),ROW(),"-")</f>
        <v>-</v>
      </c>
    </row>
    <row r="23584" customHeight="1" spans="2:2">
      <c r="B23584" s="62" t="str">
        <f>IF(AND('领用录入（明细）'!D:D=$F$4,'领用录入（明细）'!C:C&gt;=$J$4,'领用录入（明细）'!C:C&lt;=$L$4),ROW(),"-")</f>
        <v>-</v>
      </c>
    </row>
    <row r="23585" customHeight="1" spans="2:2">
      <c r="B23585" s="62" t="str">
        <f>IF(AND('领用录入（明细）'!D:D=$F$4,'领用录入（明细）'!C:C&gt;=$J$4,'领用录入（明细）'!C:C&lt;=$L$4),ROW(),"-")</f>
        <v>-</v>
      </c>
    </row>
    <row r="23586" customHeight="1" spans="2:2">
      <c r="B23586" s="62" t="str">
        <f>IF(AND('领用录入（明细）'!D:D=$F$4,'领用录入（明细）'!C:C&gt;=$J$4,'领用录入（明细）'!C:C&lt;=$L$4),ROW(),"-")</f>
        <v>-</v>
      </c>
    </row>
    <row r="23587" customHeight="1" spans="2:2">
      <c r="B23587" s="62" t="str">
        <f>IF(AND('领用录入（明细）'!D:D=$F$4,'领用录入（明细）'!C:C&gt;=$J$4,'领用录入（明细）'!C:C&lt;=$L$4),ROW(),"-")</f>
        <v>-</v>
      </c>
    </row>
    <row r="23588" customHeight="1" spans="2:2">
      <c r="B23588" s="62" t="str">
        <f>IF(AND('领用录入（明细）'!D:D=$F$4,'领用录入（明细）'!C:C&gt;=$J$4,'领用录入（明细）'!C:C&lt;=$L$4),ROW(),"-")</f>
        <v>-</v>
      </c>
    </row>
    <row r="23589" customHeight="1" spans="2:2">
      <c r="B23589" s="62" t="str">
        <f>IF(AND('领用录入（明细）'!D:D=$F$4,'领用录入（明细）'!C:C&gt;=$J$4,'领用录入（明细）'!C:C&lt;=$L$4),ROW(),"-")</f>
        <v>-</v>
      </c>
    </row>
    <row r="23590" customHeight="1" spans="2:2">
      <c r="B23590" s="62" t="str">
        <f>IF(AND('领用录入（明细）'!D:D=$F$4,'领用录入（明细）'!C:C&gt;=$J$4,'领用录入（明细）'!C:C&lt;=$L$4),ROW(),"-")</f>
        <v>-</v>
      </c>
    </row>
    <row r="23591" customHeight="1" spans="2:2">
      <c r="B23591" s="62" t="str">
        <f>IF(AND('领用录入（明细）'!D:D=$F$4,'领用录入（明细）'!C:C&gt;=$J$4,'领用录入（明细）'!C:C&lt;=$L$4),ROW(),"-")</f>
        <v>-</v>
      </c>
    </row>
    <row r="23592" customHeight="1" spans="2:2">
      <c r="B23592" s="62" t="str">
        <f>IF(AND('领用录入（明细）'!D:D=$F$4,'领用录入（明细）'!C:C&gt;=$J$4,'领用录入（明细）'!C:C&lt;=$L$4),ROW(),"-")</f>
        <v>-</v>
      </c>
    </row>
    <row r="23593" customHeight="1" spans="2:2">
      <c r="B23593" s="62" t="str">
        <f>IF(AND('领用录入（明细）'!D:D=$F$4,'领用录入（明细）'!C:C&gt;=$J$4,'领用录入（明细）'!C:C&lt;=$L$4),ROW(),"-")</f>
        <v>-</v>
      </c>
    </row>
    <row r="23594" customHeight="1" spans="2:2">
      <c r="B23594" s="62" t="str">
        <f>IF(AND('领用录入（明细）'!D:D=$F$4,'领用录入（明细）'!C:C&gt;=$J$4,'领用录入（明细）'!C:C&lt;=$L$4),ROW(),"-")</f>
        <v>-</v>
      </c>
    </row>
    <row r="23595" customHeight="1" spans="2:2">
      <c r="B23595" s="62" t="str">
        <f>IF(AND('领用录入（明细）'!D:D=$F$4,'领用录入（明细）'!C:C&gt;=$J$4,'领用录入（明细）'!C:C&lt;=$L$4),ROW(),"-")</f>
        <v>-</v>
      </c>
    </row>
    <row r="23596" customHeight="1" spans="2:2">
      <c r="B23596" s="62" t="str">
        <f>IF(AND('领用录入（明细）'!D:D=$F$4,'领用录入（明细）'!C:C&gt;=$J$4,'领用录入（明细）'!C:C&lt;=$L$4),ROW(),"-")</f>
        <v>-</v>
      </c>
    </row>
    <row r="23597" customHeight="1" spans="2:2">
      <c r="B23597" s="62" t="str">
        <f>IF(AND('领用录入（明细）'!D:D=$F$4,'领用录入（明细）'!C:C&gt;=$J$4,'领用录入（明细）'!C:C&lt;=$L$4),ROW(),"-")</f>
        <v>-</v>
      </c>
    </row>
    <row r="23598" customHeight="1" spans="2:2">
      <c r="B23598" s="62" t="str">
        <f>IF(AND('领用录入（明细）'!D:D=$F$4,'领用录入（明细）'!C:C&gt;=$J$4,'领用录入（明细）'!C:C&lt;=$L$4),ROW(),"-")</f>
        <v>-</v>
      </c>
    </row>
    <row r="23599" customHeight="1" spans="2:2">
      <c r="B23599" s="62" t="str">
        <f>IF(AND('领用录入（明细）'!D:D=$F$4,'领用录入（明细）'!C:C&gt;=$J$4,'领用录入（明细）'!C:C&lt;=$L$4),ROW(),"-")</f>
        <v>-</v>
      </c>
    </row>
    <row r="23600" customHeight="1" spans="2:2">
      <c r="B23600" s="62" t="str">
        <f>IF(AND('领用录入（明细）'!D:D=$F$4,'领用录入（明细）'!C:C&gt;=$J$4,'领用录入（明细）'!C:C&lt;=$L$4),ROW(),"-")</f>
        <v>-</v>
      </c>
    </row>
    <row r="23601" customHeight="1" spans="2:2">
      <c r="B23601" s="62" t="str">
        <f>IF(AND('领用录入（明细）'!D:D=$F$4,'领用录入（明细）'!C:C&gt;=$J$4,'领用录入（明细）'!C:C&lt;=$L$4),ROW(),"-")</f>
        <v>-</v>
      </c>
    </row>
    <row r="23602" customHeight="1" spans="2:2">
      <c r="B23602" s="62" t="str">
        <f>IF(AND('领用录入（明细）'!D:D=$F$4,'领用录入（明细）'!C:C&gt;=$J$4,'领用录入（明细）'!C:C&lt;=$L$4),ROW(),"-")</f>
        <v>-</v>
      </c>
    </row>
    <row r="23603" customHeight="1" spans="2:2">
      <c r="B23603" s="62" t="str">
        <f>IF(AND('领用录入（明细）'!D:D=$F$4,'领用录入（明细）'!C:C&gt;=$J$4,'领用录入（明细）'!C:C&lt;=$L$4),ROW(),"-")</f>
        <v>-</v>
      </c>
    </row>
    <row r="23604" customHeight="1" spans="2:2">
      <c r="B23604" s="62" t="str">
        <f>IF(AND('领用录入（明细）'!D:D=$F$4,'领用录入（明细）'!C:C&gt;=$J$4,'领用录入（明细）'!C:C&lt;=$L$4),ROW(),"-")</f>
        <v>-</v>
      </c>
    </row>
    <row r="23605" customHeight="1" spans="2:2">
      <c r="B23605" s="62" t="str">
        <f>IF(AND('领用录入（明细）'!D:D=$F$4,'领用录入（明细）'!C:C&gt;=$J$4,'领用录入（明细）'!C:C&lt;=$L$4),ROW(),"-")</f>
        <v>-</v>
      </c>
    </row>
    <row r="23606" customHeight="1" spans="2:2">
      <c r="B23606" s="62" t="str">
        <f>IF(AND('领用录入（明细）'!D:D=$F$4,'领用录入（明细）'!C:C&gt;=$J$4,'领用录入（明细）'!C:C&lt;=$L$4),ROW(),"-")</f>
        <v>-</v>
      </c>
    </row>
    <row r="23607" customHeight="1" spans="2:2">
      <c r="B23607" s="62" t="str">
        <f>IF(AND('领用录入（明细）'!D:D=$F$4,'领用录入（明细）'!C:C&gt;=$J$4,'领用录入（明细）'!C:C&lt;=$L$4),ROW(),"-")</f>
        <v>-</v>
      </c>
    </row>
    <row r="23608" customHeight="1" spans="2:2">
      <c r="B23608" s="62" t="str">
        <f>IF(AND('领用录入（明细）'!D:D=$F$4,'领用录入（明细）'!C:C&gt;=$J$4,'领用录入（明细）'!C:C&lt;=$L$4),ROW(),"-")</f>
        <v>-</v>
      </c>
    </row>
    <row r="23609" customHeight="1" spans="2:2">
      <c r="B23609" s="62" t="str">
        <f>IF(AND('领用录入（明细）'!D:D=$F$4,'领用录入（明细）'!C:C&gt;=$J$4,'领用录入（明细）'!C:C&lt;=$L$4),ROW(),"-")</f>
        <v>-</v>
      </c>
    </row>
    <row r="23610" customHeight="1" spans="2:2">
      <c r="B23610" s="62" t="str">
        <f>IF(AND('领用录入（明细）'!D:D=$F$4,'领用录入（明细）'!C:C&gt;=$J$4,'领用录入（明细）'!C:C&lt;=$L$4),ROW(),"-")</f>
        <v>-</v>
      </c>
    </row>
    <row r="23611" customHeight="1" spans="2:2">
      <c r="B23611" s="62" t="str">
        <f>IF(AND('领用录入（明细）'!D:D=$F$4,'领用录入（明细）'!C:C&gt;=$J$4,'领用录入（明细）'!C:C&lt;=$L$4),ROW(),"-")</f>
        <v>-</v>
      </c>
    </row>
    <row r="23612" customHeight="1" spans="2:2">
      <c r="B23612" s="62" t="str">
        <f>IF(AND('领用录入（明细）'!D:D=$F$4,'领用录入（明细）'!C:C&gt;=$J$4,'领用录入（明细）'!C:C&lt;=$L$4),ROW(),"-")</f>
        <v>-</v>
      </c>
    </row>
    <row r="23613" customHeight="1" spans="2:2">
      <c r="B23613" s="62" t="str">
        <f>IF(AND('领用录入（明细）'!D:D=$F$4,'领用录入（明细）'!C:C&gt;=$J$4,'领用录入（明细）'!C:C&lt;=$L$4),ROW(),"-")</f>
        <v>-</v>
      </c>
    </row>
    <row r="23614" customHeight="1" spans="2:2">
      <c r="B23614" s="62" t="str">
        <f>IF(AND('领用录入（明细）'!D:D=$F$4,'领用录入（明细）'!C:C&gt;=$J$4,'领用录入（明细）'!C:C&lt;=$L$4),ROW(),"-")</f>
        <v>-</v>
      </c>
    </row>
    <row r="23615" customHeight="1" spans="2:2">
      <c r="B23615" s="62" t="str">
        <f>IF(AND('领用录入（明细）'!D:D=$F$4,'领用录入（明细）'!C:C&gt;=$J$4,'领用录入（明细）'!C:C&lt;=$L$4),ROW(),"-")</f>
        <v>-</v>
      </c>
    </row>
    <row r="23616" customHeight="1" spans="2:2">
      <c r="B23616" s="62" t="str">
        <f>IF(AND('领用录入（明细）'!D:D=$F$4,'领用录入（明细）'!C:C&gt;=$J$4,'领用录入（明细）'!C:C&lt;=$L$4),ROW(),"-")</f>
        <v>-</v>
      </c>
    </row>
    <row r="23617" customHeight="1" spans="2:2">
      <c r="B23617" s="62" t="str">
        <f>IF(AND('领用录入（明细）'!D:D=$F$4,'领用录入（明细）'!C:C&gt;=$J$4,'领用录入（明细）'!C:C&lt;=$L$4),ROW(),"-")</f>
        <v>-</v>
      </c>
    </row>
    <row r="23618" customHeight="1" spans="2:2">
      <c r="B23618" s="62" t="str">
        <f>IF(AND('领用录入（明细）'!D:D=$F$4,'领用录入（明细）'!C:C&gt;=$J$4,'领用录入（明细）'!C:C&lt;=$L$4),ROW(),"-")</f>
        <v>-</v>
      </c>
    </row>
    <row r="23619" customHeight="1" spans="2:2">
      <c r="B23619" s="62" t="str">
        <f>IF(AND('领用录入（明细）'!D:D=$F$4,'领用录入（明细）'!C:C&gt;=$J$4,'领用录入（明细）'!C:C&lt;=$L$4),ROW(),"-")</f>
        <v>-</v>
      </c>
    </row>
    <row r="23620" customHeight="1" spans="2:2">
      <c r="B23620" s="62" t="str">
        <f>IF(AND('领用录入（明细）'!D:D=$F$4,'领用录入（明细）'!C:C&gt;=$J$4,'领用录入（明细）'!C:C&lt;=$L$4),ROW(),"-")</f>
        <v>-</v>
      </c>
    </row>
    <row r="23621" customHeight="1" spans="2:2">
      <c r="B23621" s="62" t="str">
        <f>IF(AND('领用录入（明细）'!D:D=$F$4,'领用录入（明细）'!C:C&gt;=$J$4,'领用录入（明细）'!C:C&lt;=$L$4),ROW(),"-")</f>
        <v>-</v>
      </c>
    </row>
    <row r="23622" customHeight="1" spans="2:2">
      <c r="B23622" s="62" t="str">
        <f>IF(AND('领用录入（明细）'!D:D=$F$4,'领用录入（明细）'!C:C&gt;=$J$4,'领用录入（明细）'!C:C&lt;=$L$4),ROW(),"-")</f>
        <v>-</v>
      </c>
    </row>
    <row r="23623" customHeight="1" spans="2:2">
      <c r="B23623" s="62" t="str">
        <f>IF(AND('领用录入（明细）'!D:D=$F$4,'领用录入（明细）'!C:C&gt;=$J$4,'领用录入（明细）'!C:C&lt;=$L$4),ROW(),"-")</f>
        <v>-</v>
      </c>
    </row>
    <row r="23624" customHeight="1" spans="2:2">
      <c r="B23624" s="62" t="str">
        <f>IF(AND('领用录入（明细）'!D:D=$F$4,'领用录入（明细）'!C:C&gt;=$J$4,'领用录入（明细）'!C:C&lt;=$L$4),ROW(),"-")</f>
        <v>-</v>
      </c>
    </row>
    <row r="23625" customHeight="1" spans="2:2">
      <c r="B23625" s="62" t="str">
        <f>IF(AND('领用录入（明细）'!D:D=$F$4,'领用录入（明细）'!C:C&gt;=$J$4,'领用录入（明细）'!C:C&lt;=$L$4),ROW(),"-")</f>
        <v>-</v>
      </c>
    </row>
    <row r="23626" customHeight="1" spans="2:2">
      <c r="B23626" s="62" t="str">
        <f>IF(AND('领用录入（明细）'!D:D=$F$4,'领用录入（明细）'!C:C&gt;=$J$4,'领用录入（明细）'!C:C&lt;=$L$4),ROW(),"-")</f>
        <v>-</v>
      </c>
    </row>
    <row r="23627" customHeight="1" spans="2:2">
      <c r="B23627" s="62" t="str">
        <f>IF(AND('领用录入（明细）'!D:D=$F$4,'领用录入（明细）'!C:C&gt;=$J$4,'领用录入（明细）'!C:C&lt;=$L$4),ROW(),"-")</f>
        <v>-</v>
      </c>
    </row>
    <row r="23628" customHeight="1" spans="2:2">
      <c r="B23628" s="62" t="str">
        <f>IF(AND('领用录入（明细）'!D:D=$F$4,'领用录入（明细）'!C:C&gt;=$J$4,'领用录入（明细）'!C:C&lt;=$L$4),ROW(),"-")</f>
        <v>-</v>
      </c>
    </row>
    <row r="23629" customHeight="1" spans="2:2">
      <c r="B23629" s="62" t="str">
        <f>IF(AND('领用录入（明细）'!D:D=$F$4,'领用录入（明细）'!C:C&gt;=$J$4,'领用录入（明细）'!C:C&lt;=$L$4),ROW(),"-")</f>
        <v>-</v>
      </c>
    </row>
    <row r="23630" customHeight="1" spans="2:2">
      <c r="B23630" s="62" t="str">
        <f>IF(AND('领用录入（明细）'!D:D=$F$4,'领用录入（明细）'!C:C&gt;=$J$4,'领用录入（明细）'!C:C&lt;=$L$4),ROW(),"-")</f>
        <v>-</v>
      </c>
    </row>
    <row r="23631" customHeight="1" spans="2:2">
      <c r="B23631" s="62" t="str">
        <f>IF(AND('领用录入（明细）'!D:D=$F$4,'领用录入（明细）'!C:C&gt;=$J$4,'领用录入（明细）'!C:C&lt;=$L$4),ROW(),"-")</f>
        <v>-</v>
      </c>
    </row>
    <row r="23632" customHeight="1" spans="2:2">
      <c r="B23632" s="62" t="str">
        <f>IF(AND('领用录入（明细）'!D:D=$F$4,'领用录入（明细）'!C:C&gt;=$J$4,'领用录入（明细）'!C:C&lt;=$L$4),ROW(),"-")</f>
        <v>-</v>
      </c>
    </row>
    <row r="23633" customHeight="1" spans="2:2">
      <c r="B23633" s="62" t="str">
        <f>IF(AND('领用录入（明细）'!D:D=$F$4,'领用录入（明细）'!C:C&gt;=$J$4,'领用录入（明细）'!C:C&lt;=$L$4),ROW(),"-")</f>
        <v>-</v>
      </c>
    </row>
    <row r="23634" customHeight="1" spans="2:2">
      <c r="B23634" s="62" t="str">
        <f>IF(AND('领用录入（明细）'!D:D=$F$4,'领用录入（明细）'!C:C&gt;=$J$4,'领用录入（明细）'!C:C&lt;=$L$4),ROW(),"-")</f>
        <v>-</v>
      </c>
    </row>
    <row r="23635" customHeight="1" spans="2:2">
      <c r="B23635" s="62" t="str">
        <f>IF(AND('领用录入（明细）'!D:D=$F$4,'领用录入（明细）'!C:C&gt;=$J$4,'领用录入（明细）'!C:C&lt;=$L$4),ROW(),"-")</f>
        <v>-</v>
      </c>
    </row>
    <row r="23636" customHeight="1" spans="2:2">
      <c r="B23636" s="62" t="str">
        <f>IF(AND('领用录入（明细）'!D:D=$F$4,'领用录入（明细）'!C:C&gt;=$J$4,'领用录入（明细）'!C:C&lt;=$L$4),ROW(),"-")</f>
        <v>-</v>
      </c>
    </row>
    <row r="23637" customHeight="1" spans="2:2">
      <c r="B23637" s="62" t="str">
        <f>IF(AND('领用录入（明细）'!D:D=$F$4,'领用录入（明细）'!C:C&gt;=$J$4,'领用录入（明细）'!C:C&lt;=$L$4),ROW(),"-")</f>
        <v>-</v>
      </c>
    </row>
    <row r="23638" customHeight="1" spans="2:2">
      <c r="B23638" s="62" t="str">
        <f>IF(AND('领用录入（明细）'!D:D=$F$4,'领用录入（明细）'!C:C&gt;=$J$4,'领用录入（明细）'!C:C&lt;=$L$4),ROW(),"-")</f>
        <v>-</v>
      </c>
    </row>
    <row r="23639" customHeight="1" spans="2:2">
      <c r="B23639" s="62" t="str">
        <f>IF(AND('领用录入（明细）'!D:D=$F$4,'领用录入（明细）'!C:C&gt;=$J$4,'领用录入（明细）'!C:C&lt;=$L$4),ROW(),"-")</f>
        <v>-</v>
      </c>
    </row>
    <row r="23640" customHeight="1" spans="2:2">
      <c r="B23640" s="62" t="str">
        <f>IF(AND('领用录入（明细）'!D:D=$F$4,'领用录入（明细）'!C:C&gt;=$J$4,'领用录入（明细）'!C:C&lt;=$L$4),ROW(),"-")</f>
        <v>-</v>
      </c>
    </row>
    <row r="23641" customHeight="1" spans="2:2">
      <c r="B23641" s="62" t="str">
        <f>IF(AND('领用录入（明细）'!D:D=$F$4,'领用录入（明细）'!C:C&gt;=$J$4,'领用录入（明细）'!C:C&lt;=$L$4),ROW(),"-")</f>
        <v>-</v>
      </c>
    </row>
    <row r="23642" customHeight="1" spans="2:2">
      <c r="B23642" s="62" t="str">
        <f>IF(AND('领用录入（明细）'!D:D=$F$4,'领用录入（明细）'!C:C&gt;=$J$4,'领用录入（明细）'!C:C&lt;=$L$4),ROW(),"-")</f>
        <v>-</v>
      </c>
    </row>
    <row r="23643" customHeight="1" spans="2:2">
      <c r="B23643" s="62" t="str">
        <f>IF(AND('领用录入（明细）'!D:D=$F$4,'领用录入（明细）'!C:C&gt;=$J$4,'领用录入（明细）'!C:C&lt;=$L$4),ROW(),"-")</f>
        <v>-</v>
      </c>
    </row>
    <row r="23644" customHeight="1" spans="2:2">
      <c r="B23644" s="62" t="str">
        <f>IF(AND('领用录入（明细）'!D:D=$F$4,'领用录入（明细）'!C:C&gt;=$J$4,'领用录入（明细）'!C:C&lt;=$L$4),ROW(),"-")</f>
        <v>-</v>
      </c>
    </row>
    <row r="23645" customHeight="1" spans="2:2">
      <c r="B23645" s="62" t="str">
        <f>IF(AND('领用录入（明细）'!D:D=$F$4,'领用录入（明细）'!C:C&gt;=$J$4,'领用录入（明细）'!C:C&lt;=$L$4),ROW(),"-")</f>
        <v>-</v>
      </c>
    </row>
    <row r="23646" customHeight="1" spans="2:2">
      <c r="B23646" s="62" t="str">
        <f>IF(AND('领用录入（明细）'!D:D=$F$4,'领用录入（明细）'!C:C&gt;=$J$4,'领用录入（明细）'!C:C&lt;=$L$4),ROW(),"-")</f>
        <v>-</v>
      </c>
    </row>
    <row r="23647" customHeight="1" spans="2:2">
      <c r="B23647" s="62" t="str">
        <f>IF(AND('领用录入（明细）'!D:D=$F$4,'领用录入（明细）'!C:C&gt;=$J$4,'领用录入（明细）'!C:C&lt;=$L$4),ROW(),"-")</f>
        <v>-</v>
      </c>
    </row>
    <row r="23648" customHeight="1" spans="2:2">
      <c r="B23648" s="62" t="str">
        <f>IF(AND('领用录入（明细）'!D:D=$F$4,'领用录入（明细）'!C:C&gt;=$J$4,'领用录入（明细）'!C:C&lt;=$L$4),ROW(),"-")</f>
        <v>-</v>
      </c>
    </row>
    <row r="23649" customHeight="1" spans="2:2">
      <c r="B23649" s="62" t="str">
        <f>IF(AND('领用录入（明细）'!D:D=$F$4,'领用录入（明细）'!C:C&gt;=$J$4,'领用录入（明细）'!C:C&lt;=$L$4),ROW(),"-")</f>
        <v>-</v>
      </c>
    </row>
    <row r="23650" customHeight="1" spans="2:2">
      <c r="B23650" s="62" t="str">
        <f>IF(AND('领用录入（明细）'!D:D=$F$4,'领用录入（明细）'!C:C&gt;=$J$4,'领用录入（明细）'!C:C&lt;=$L$4),ROW(),"-")</f>
        <v>-</v>
      </c>
    </row>
    <row r="23651" customHeight="1" spans="2:2">
      <c r="B23651" s="62" t="str">
        <f>IF(AND('领用录入（明细）'!D:D=$F$4,'领用录入（明细）'!C:C&gt;=$J$4,'领用录入（明细）'!C:C&lt;=$L$4),ROW(),"-")</f>
        <v>-</v>
      </c>
    </row>
    <row r="23652" customHeight="1" spans="2:2">
      <c r="B23652" s="62" t="str">
        <f>IF(AND('领用录入（明细）'!D:D=$F$4,'领用录入（明细）'!C:C&gt;=$J$4,'领用录入（明细）'!C:C&lt;=$L$4),ROW(),"-")</f>
        <v>-</v>
      </c>
    </row>
    <row r="23653" customHeight="1" spans="2:2">
      <c r="B23653" s="62" t="str">
        <f>IF(AND('领用录入（明细）'!D:D=$F$4,'领用录入（明细）'!C:C&gt;=$J$4,'领用录入（明细）'!C:C&lt;=$L$4),ROW(),"-")</f>
        <v>-</v>
      </c>
    </row>
    <row r="23654" customHeight="1" spans="2:2">
      <c r="B23654" s="62" t="str">
        <f>IF(AND('领用录入（明细）'!D:D=$F$4,'领用录入（明细）'!C:C&gt;=$J$4,'领用录入（明细）'!C:C&lt;=$L$4),ROW(),"-")</f>
        <v>-</v>
      </c>
    </row>
    <row r="23655" customHeight="1" spans="2:2">
      <c r="B23655" s="62" t="str">
        <f>IF(AND('领用录入（明细）'!D:D=$F$4,'领用录入（明细）'!C:C&gt;=$J$4,'领用录入（明细）'!C:C&lt;=$L$4),ROW(),"-")</f>
        <v>-</v>
      </c>
    </row>
    <row r="23656" customHeight="1" spans="2:2">
      <c r="B23656" s="62" t="str">
        <f>IF(AND('领用录入（明细）'!D:D=$F$4,'领用录入（明细）'!C:C&gt;=$J$4,'领用录入（明细）'!C:C&lt;=$L$4),ROW(),"-")</f>
        <v>-</v>
      </c>
    </row>
    <row r="23657" customHeight="1" spans="2:2">
      <c r="B23657" s="62" t="str">
        <f>IF(AND('领用录入（明细）'!D:D=$F$4,'领用录入（明细）'!C:C&gt;=$J$4,'领用录入（明细）'!C:C&lt;=$L$4),ROW(),"-")</f>
        <v>-</v>
      </c>
    </row>
    <row r="23658" customHeight="1" spans="2:2">
      <c r="B23658" s="62" t="str">
        <f>IF(AND('领用录入（明细）'!D:D=$F$4,'领用录入（明细）'!C:C&gt;=$J$4,'领用录入（明细）'!C:C&lt;=$L$4),ROW(),"-")</f>
        <v>-</v>
      </c>
    </row>
    <row r="23659" customHeight="1" spans="2:2">
      <c r="B23659" s="62" t="str">
        <f>IF(AND('领用录入（明细）'!D:D=$F$4,'领用录入（明细）'!C:C&gt;=$J$4,'领用录入（明细）'!C:C&lt;=$L$4),ROW(),"-")</f>
        <v>-</v>
      </c>
    </row>
    <row r="23660" customHeight="1" spans="2:2">
      <c r="B23660" s="62" t="str">
        <f>IF(AND('领用录入（明细）'!D:D=$F$4,'领用录入（明细）'!C:C&gt;=$J$4,'领用录入（明细）'!C:C&lt;=$L$4),ROW(),"-")</f>
        <v>-</v>
      </c>
    </row>
    <row r="23661" customHeight="1" spans="2:2">
      <c r="B23661" s="62" t="str">
        <f>IF(AND('领用录入（明细）'!D:D=$F$4,'领用录入（明细）'!C:C&gt;=$J$4,'领用录入（明细）'!C:C&lt;=$L$4),ROW(),"-")</f>
        <v>-</v>
      </c>
    </row>
    <row r="23662" customHeight="1" spans="2:2">
      <c r="B23662" s="62" t="str">
        <f>IF(AND('领用录入（明细）'!D:D=$F$4,'领用录入（明细）'!C:C&gt;=$J$4,'领用录入（明细）'!C:C&lt;=$L$4),ROW(),"-")</f>
        <v>-</v>
      </c>
    </row>
    <row r="23663" customHeight="1" spans="2:2">
      <c r="B23663" s="62" t="str">
        <f>IF(AND('领用录入（明细）'!D:D=$F$4,'领用录入（明细）'!C:C&gt;=$J$4,'领用录入（明细）'!C:C&lt;=$L$4),ROW(),"-")</f>
        <v>-</v>
      </c>
    </row>
    <row r="23664" customHeight="1" spans="2:2">
      <c r="B23664" s="62" t="str">
        <f>IF(AND('领用录入（明细）'!D:D=$F$4,'领用录入（明细）'!C:C&gt;=$J$4,'领用录入（明细）'!C:C&lt;=$L$4),ROW(),"-")</f>
        <v>-</v>
      </c>
    </row>
    <row r="23665" customHeight="1" spans="2:2">
      <c r="B23665" s="62" t="str">
        <f>IF(AND('领用录入（明细）'!D:D=$F$4,'领用录入（明细）'!C:C&gt;=$J$4,'领用录入（明细）'!C:C&lt;=$L$4),ROW(),"-")</f>
        <v>-</v>
      </c>
    </row>
    <row r="23666" customHeight="1" spans="2:2">
      <c r="B23666" s="62" t="str">
        <f>IF(AND('领用录入（明细）'!D:D=$F$4,'领用录入（明细）'!C:C&gt;=$J$4,'领用录入（明细）'!C:C&lt;=$L$4),ROW(),"-")</f>
        <v>-</v>
      </c>
    </row>
    <row r="23667" customHeight="1" spans="2:2">
      <c r="B23667" s="62" t="str">
        <f>IF(AND('领用录入（明细）'!D:D=$F$4,'领用录入（明细）'!C:C&gt;=$J$4,'领用录入（明细）'!C:C&lt;=$L$4),ROW(),"-")</f>
        <v>-</v>
      </c>
    </row>
    <row r="23668" customHeight="1" spans="2:2">
      <c r="B23668" s="62" t="str">
        <f>IF(AND('领用录入（明细）'!D:D=$F$4,'领用录入（明细）'!C:C&gt;=$J$4,'领用录入（明细）'!C:C&lt;=$L$4),ROW(),"-")</f>
        <v>-</v>
      </c>
    </row>
    <row r="23669" customHeight="1" spans="2:2">
      <c r="B23669" s="62" t="str">
        <f>IF(AND('领用录入（明细）'!D:D=$F$4,'领用录入（明细）'!C:C&gt;=$J$4,'领用录入（明细）'!C:C&lt;=$L$4),ROW(),"-")</f>
        <v>-</v>
      </c>
    </row>
    <row r="23670" customHeight="1" spans="2:2">
      <c r="B23670" s="62" t="str">
        <f>IF(AND('领用录入（明细）'!D:D=$F$4,'领用录入（明细）'!C:C&gt;=$J$4,'领用录入（明细）'!C:C&lt;=$L$4),ROW(),"-")</f>
        <v>-</v>
      </c>
    </row>
    <row r="23671" customHeight="1" spans="2:2">
      <c r="B23671" s="62" t="str">
        <f>IF(AND('领用录入（明细）'!D:D=$F$4,'领用录入（明细）'!C:C&gt;=$J$4,'领用录入（明细）'!C:C&lt;=$L$4),ROW(),"-")</f>
        <v>-</v>
      </c>
    </row>
    <row r="23672" customHeight="1" spans="2:2">
      <c r="B23672" s="62" t="str">
        <f>IF(AND('领用录入（明细）'!D:D=$F$4,'领用录入（明细）'!C:C&gt;=$J$4,'领用录入（明细）'!C:C&lt;=$L$4),ROW(),"-")</f>
        <v>-</v>
      </c>
    </row>
    <row r="23673" customHeight="1" spans="2:2">
      <c r="B23673" s="62" t="str">
        <f>IF(AND('领用录入（明细）'!D:D=$F$4,'领用录入（明细）'!C:C&gt;=$J$4,'领用录入（明细）'!C:C&lt;=$L$4),ROW(),"-")</f>
        <v>-</v>
      </c>
    </row>
    <row r="23674" customHeight="1" spans="2:2">
      <c r="B23674" s="62" t="str">
        <f>IF(AND('领用录入（明细）'!D:D=$F$4,'领用录入（明细）'!C:C&gt;=$J$4,'领用录入（明细）'!C:C&lt;=$L$4),ROW(),"-")</f>
        <v>-</v>
      </c>
    </row>
    <row r="23675" customHeight="1" spans="2:2">
      <c r="B23675" s="62" t="str">
        <f>IF(AND('领用录入（明细）'!D:D=$F$4,'领用录入（明细）'!C:C&gt;=$J$4,'领用录入（明细）'!C:C&lt;=$L$4),ROW(),"-")</f>
        <v>-</v>
      </c>
    </row>
    <row r="23676" customHeight="1" spans="2:2">
      <c r="B23676" s="62" t="str">
        <f>IF(AND('领用录入（明细）'!D:D=$F$4,'领用录入（明细）'!C:C&gt;=$J$4,'领用录入（明细）'!C:C&lt;=$L$4),ROW(),"-")</f>
        <v>-</v>
      </c>
    </row>
    <row r="23677" customHeight="1" spans="2:2">
      <c r="B23677" s="62" t="str">
        <f>IF(AND('领用录入（明细）'!D:D=$F$4,'领用录入（明细）'!C:C&gt;=$J$4,'领用录入（明细）'!C:C&lt;=$L$4),ROW(),"-")</f>
        <v>-</v>
      </c>
    </row>
    <row r="23678" customHeight="1" spans="2:2">
      <c r="B23678" s="62" t="str">
        <f>IF(AND('领用录入（明细）'!D:D=$F$4,'领用录入（明细）'!C:C&gt;=$J$4,'领用录入（明细）'!C:C&lt;=$L$4),ROW(),"-")</f>
        <v>-</v>
      </c>
    </row>
    <row r="23679" customHeight="1" spans="2:2">
      <c r="B23679" s="62" t="str">
        <f>IF(AND('领用录入（明细）'!D:D=$F$4,'领用录入（明细）'!C:C&gt;=$J$4,'领用录入（明细）'!C:C&lt;=$L$4),ROW(),"-")</f>
        <v>-</v>
      </c>
    </row>
    <row r="23680" customHeight="1" spans="2:2">
      <c r="B23680" s="62" t="str">
        <f>IF(AND('领用录入（明细）'!D:D=$F$4,'领用录入（明细）'!C:C&gt;=$J$4,'领用录入（明细）'!C:C&lt;=$L$4),ROW(),"-")</f>
        <v>-</v>
      </c>
    </row>
    <row r="23681" customHeight="1" spans="2:2">
      <c r="B23681" s="62" t="str">
        <f>IF(AND('领用录入（明细）'!D:D=$F$4,'领用录入（明细）'!C:C&gt;=$J$4,'领用录入（明细）'!C:C&lt;=$L$4),ROW(),"-")</f>
        <v>-</v>
      </c>
    </row>
    <row r="23682" customHeight="1" spans="2:2">
      <c r="B23682" s="62" t="str">
        <f>IF(AND('领用录入（明细）'!D:D=$F$4,'领用录入（明细）'!C:C&gt;=$J$4,'领用录入（明细）'!C:C&lt;=$L$4),ROW(),"-")</f>
        <v>-</v>
      </c>
    </row>
    <row r="23683" customHeight="1" spans="2:2">
      <c r="B23683" s="62" t="str">
        <f>IF(AND('领用录入（明细）'!D:D=$F$4,'领用录入（明细）'!C:C&gt;=$J$4,'领用录入（明细）'!C:C&lt;=$L$4),ROW(),"-")</f>
        <v>-</v>
      </c>
    </row>
    <row r="23684" customHeight="1" spans="2:2">
      <c r="B23684" s="62" t="str">
        <f>IF(AND('领用录入（明细）'!D:D=$F$4,'领用录入（明细）'!C:C&gt;=$J$4,'领用录入（明细）'!C:C&lt;=$L$4),ROW(),"-")</f>
        <v>-</v>
      </c>
    </row>
    <row r="23685" customHeight="1" spans="2:2">
      <c r="B23685" s="62" t="str">
        <f>IF(AND('领用录入（明细）'!D:D=$F$4,'领用录入（明细）'!C:C&gt;=$J$4,'领用录入（明细）'!C:C&lt;=$L$4),ROW(),"-")</f>
        <v>-</v>
      </c>
    </row>
    <row r="23686" customHeight="1" spans="2:2">
      <c r="B23686" s="62" t="str">
        <f>IF(AND('领用录入（明细）'!D:D=$F$4,'领用录入（明细）'!C:C&gt;=$J$4,'领用录入（明细）'!C:C&lt;=$L$4),ROW(),"-")</f>
        <v>-</v>
      </c>
    </row>
    <row r="23687" customHeight="1" spans="2:2">
      <c r="B23687" s="62" t="str">
        <f>IF(AND('领用录入（明细）'!D:D=$F$4,'领用录入（明细）'!C:C&gt;=$J$4,'领用录入（明细）'!C:C&lt;=$L$4),ROW(),"-")</f>
        <v>-</v>
      </c>
    </row>
    <row r="23688" customHeight="1" spans="2:2">
      <c r="B23688" s="62" t="str">
        <f>IF(AND('领用录入（明细）'!D:D=$F$4,'领用录入（明细）'!C:C&gt;=$J$4,'领用录入（明细）'!C:C&lt;=$L$4),ROW(),"-")</f>
        <v>-</v>
      </c>
    </row>
    <row r="23689" customHeight="1" spans="2:2">
      <c r="B23689" s="62" t="str">
        <f>IF(AND('领用录入（明细）'!D:D=$F$4,'领用录入（明细）'!C:C&gt;=$J$4,'领用录入（明细）'!C:C&lt;=$L$4),ROW(),"-")</f>
        <v>-</v>
      </c>
    </row>
    <row r="23690" customHeight="1" spans="2:2">
      <c r="B23690" s="62" t="str">
        <f>IF(AND('领用录入（明细）'!D:D=$F$4,'领用录入（明细）'!C:C&gt;=$J$4,'领用录入（明细）'!C:C&lt;=$L$4),ROW(),"-")</f>
        <v>-</v>
      </c>
    </row>
    <row r="23691" customHeight="1" spans="2:2">
      <c r="B23691" s="62" t="str">
        <f>IF(AND('领用录入（明细）'!D:D=$F$4,'领用录入（明细）'!C:C&gt;=$J$4,'领用录入（明细）'!C:C&lt;=$L$4),ROW(),"-")</f>
        <v>-</v>
      </c>
    </row>
    <row r="23692" customHeight="1" spans="2:2">
      <c r="B23692" s="62" t="str">
        <f>IF(AND('领用录入（明细）'!D:D=$F$4,'领用录入（明细）'!C:C&gt;=$J$4,'领用录入（明细）'!C:C&lt;=$L$4),ROW(),"-")</f>
        <v>-</v>
      </c>
    </row>
    <row r="23693" customHeight="1" spans="2:2">
      <c r="B23693" s="62" t="str">
        <f>IF(AND('领用录入（明细）'!D:D=$F$4,'领用录入（明细）'!C:C&gt;=$J$4,'领用录入（明细）'!C:C&lt;=$L$4),ROW(),"-")</f>
        <v>-</v>
      </c>
    </row>
    <row r="23694" customHeight="1" spans="2:2">
      <c r="B23694" s="62" t="str">
        <f>IF(AND('领用录入（明细）'!D:D=$F$4,'领用录入（明细）'!C:C&gt;=$J$4,'领用录入（明细）'!C:C&lt;=$L$4),ROW(),"-")</f>
        <v>-</v>
      </c>
    </row>
    <row r="23695" customHeight="1" spans="2:2">
      <c r="B23695" s="62" t="str">
        <f>IF(AND('领用录入（明细）'!D:D=$F$4,'领用录入（明细）'!C:C&gt;=$J$4,'领用录入（明细）'!C:C&lt;=$L$4),ROW(),"-")</f>
        <v>-</v>
      </c>
    </row>
    <row r="23696" customHeight="1" spans="2:2">
      <c r="B23696" s="62" t="str">
        <f>IF(AND('领用录入（明细）'!D:D=$F$4,'领用录入（明细）'!C:C&gt;=$J$4,'领用录入（明细）'!C:C&lt;=$L$4),ROW(),"-")</f>
        <v>-</v>
      </c>
    </row>
    <row r="23697" customHeight="1" spans="2:2">
      <c r="B23697" s="62" t="str">
        <f>IF(AND('领用录入（明细）'!D:D=$F$4,'领用录入（明细）'!C:C&gt;=$J$4,'领用录入（明细）'!C:C&lt;=$L$4),ROW(),"-")</f>
        <v>-</v>
      </c>
    </row>
    <row r="23698" customHeight="1" spans="2:2">
      <c r="B23698" s="62" t="str">
        <f>IF(AND('领用录入（明细）'!D:D=$F$4,'领用录入（明细）'!C:C&gt;=$J$4,'领用录入（明细）'!C:C&lt;=$L$4),ROW(),"-")</f>
        <v>-</v>
      </c>
    </row>
    <row r="23699" customHeight="1" spans="2:2">
      <c r="B23699" s="62" t="str">
        <f>IF(AND('领用录入（明细）'!D:D=$F$4,'领用录入（明细）'!C:C&gt;=$J$4,'领用录入（明细）'!C:C&lt;=$L$4),ROW(),"-")</f>
        <v>-</v>
      </c>
    </row>
    <row r="23700" customHeight="1" spans="2:2">
      <c r="B23700" s="62" t="str">
        <f>IF(AND('领用录入（明细）'!D:D=$F$4,'领用录入（明细）'!C:C&gt;=$J$4,'领用录入（明细）'!C:C&lt;=$L$4),ROW(),"-")</f>
        <v>-</v>
      </c>
    </row>
    <row r="23701" customHeight="1" spans="2:2">
      <c r="B23701" s="62" t="str">
        <f>IF(AND('领用录入（明细）'!D:D=$F$4,'领用录入（明细）'!C:C&gt;=$J$4,'领用录入（明细）'!C:C&lt;=$L$4),ROW(),"-")</f>
        <v>-</v>
      </c>
    </row>
    <row r="23702" customHeight="1" spans="2:2">
      <c r="B23702" s="62" t="str">
        <f>IF(AND('领用录入（明细）'!D:D=$F$4,'领用录入（明细）'!C:C&gt;=$J$4,'领用录入（明细）'!C:C&lt;=$L$4),ROW(),"-")</f>
        <v>-</v>
      </c>
    </row>
    <row r="23703" customHeight="1" spans="2:2">
      <c r="B23703" s="62" t="str">
        <f>IF(AND('领用录入（明细）'!D:D=$F$4,'领用录入（明细）'!C:C&gt;=$J$4,'领用录入（明细）'!C:C&lt;=$L$4),ROW(),"-")</f>
        <v>-</v>
      </c>
    </row>
    <row r="23704" customHeight="1" spans="2:2">
      <c r="B23704" s="62" t="str">
        <f>IF(AND('领用录入（明细）'!D:D=$F$4,'领用录入（明细）'!C:C&gt;=$J$4,'领用录入（明细）'!C:C&lt;=$L$4),ROW(),"-")</f>
        <v>-</v>
      </c>
    </row>
    <row r="23705" customHeight="1" spans="2:2">
      <c r="B23705" s="62" t="str">
        <f>IF(AND('领用录入（明细）'!D:D=$F$4,'领用录入（明细）'!C:C&gt;=$J$4,'领用录入（明细）'!C:C&lt;=$L$4),ROW(),"-")</f>
        <v>-</v>
      </c>
    </row>
    <row r="23706" customHeight="1" spans="2:2">
      <c r="B23706" s="62" t="str">
        <f>IF(AND('领用录入（明细）'!D:D=$F$4,'领用录入（明细）'!C:C&gt;=$J$4,'领用录入（明细）'!C:C&lt;=$L$4),ROW(),"-")</f>
        <v>-</v>
      </c>
    </row>
    <row r="23707" customHeight="1" spans="2:2">
      <c r="B23707" s="62" t="str">
        <f>IF(AND('领用录入（明细）'!D:D=$F$4,'领用录入（明细）'!C:C&gt;=$J$4,'领用录入（明细）'!C:C&lt;=$L$4),ROW(),"-")</f>
        <v>-</v>
      </c>
    </row>
    <row r="23708" customHeight="1" spans="2:2">
      <c r="B23708" s="62" t="str">
        <f>IF(AND('领用录入（明细）'!D:D=$F$4,'领用录入（明细）'!C:C&gt;=$J$4,'领用录入（明细）'!C:C&lt;=$L$4),ROW(),"-")</f>
        <v>-</v>
      </c>
    </row>
    <row r="23709" customHeight="1" spans="2:2">
      <c r="B23709" s="62" t="str">
        <f>IF(AND('领用录入（明细）'!D:D=$F$4,'领用录入（明细）'!C:C&gt;=$J$4,'领用录入（明细）'!C:C&lt;=$L$4),ROW(),"-")</f>
        <v>-</v>
      </c>
    </row>
    <row r="23710" customHeight="1" spans="2:2">
      <c r="B23710" s="62" t="str">
        <f>IF(AND('领用录入（明细）'!D:D=$F$4,'领用录入（明细）'!C:C&gt;=$J$4,'领用录入（明细）'!C:C&lt;=$L$4),ROW(),"-")</f>
        <v>-</v>
      </c>
    </row>
    <row r="23711" customHeight="1" spans="2:2">
      <c r="B23711" s="62" t="str">
        <f>IF(AND('领用录入（明细）'!D:D=$F$4,'领用录入（明细）'!C:C&gt;=$J$4,'领用录入（明细）'!C:C&lt;=$L$4),ROW(),"-")</f>
        <v>-</v>
      </c>
    </row>
    <row r="23712" customHeight="1" spans="2:2">
      <c r="B23712" s="62" t="str">
        <f>IF(AND('领用录入（明细）'!D:D=$F$4,'领用录入（明细）'!C:C&gt;=$J$4,'领用录入（明细）'!C:C&lt;=$L$4),ROW(),"-")</f>
        <v>-</v>
      </c>
    </row>
    <row r="23713" customHeight="1" spans="2:2">
      <c r="B23713" s="62" t="str">
        <f>IF(AND('领用录入（明细）'!D:D=$F$4,'领用录入（明细）'!C:C&gt;=$J$4,'领用录入（明细）'!C:C&lt;=$L$4),ROW(),"-")</f>
        <v>-</v>
      </c>
    </row>
    <row r="23714" customHeight="1" spans="2:2">
      <c r="B23714" s="62" t="str">
        <f>IF(AND('领用录入（明细）'!D:D=$F$4,'领用录入（明细）'!C:C&gt;=$J$4,'领用录入（明细）'!C:C&lt;=$L$4),ROW(),"-")</f>
        <v>-</v>
      </c>
    </row>
    <row r="23715" customHeight="1" spans="2:2">
      <c r="B23715" s="62" t="str">
        <f>IF(AND('领用录入（明细）'!D:D=$F$4,'领用录入（明细）'!C:C&gt;=$J$4,'领用录入（明细）'!C:C&lt;=$L$4),ROW(),"-")</f>
        <v>-</v>
      </c>
    </row>
    <row r="23716" customHeight="1" spans="2:2">
      <c r="B23716" s="62" t="str">
        <f>IF(AND('领用录入（明细）'!D:D=$F$4,'领用录入（明细）'!C:C&gt;=$J$4,'领用录入（明细）'!C:C&lt;=$L$4),ROW(),"-")</f>
        <v>-</v>
      </c>
    </row>
    <row r="23717" customHeight="1" spans="2:2">
      <c r="B23717" s="62" t="str">
        <f>IF(AND('领用录入（明细）'!D:D=$F$4,'领用录入（明细）'!C:C&gt;=$J$4,'领用录入（明细）'!C:C&lt;=$L$4),ROW(),"-")</f>
        <v>-</v>
      </c>
    </row>
    <row r="23718" customHeight="1" spans="2:2">
      <c r="B23718" s="62" t="str">
        <f>IF(AND('领用录入（明细）'!D:D=$F$4,'领用录入（明细）'!C:C&gt;=$J$4,'领用录入（明细）'!C:C&lt;=$L$4),ROW(),"-")</f>
        <v>-</v>
      </c>
    </row>
    <row r="23719" customHeight="1" spans="2:2">
      <c r="B23719" s="62" t="str">
        <f>IF(AND('领用录入（明细）'!D:D=$F$4,'领用录入（明细）'!C:C&gt;=$J$4,'领用录入（明细）'!C:C&lt;=$L$4),ROW(),"-")</f>
        <v>-</v>
      </c>
    </row>
    <row r="23720" customHeight="1" spans="2:2">
      <c r="B23720" s="62" t="str">
        <f>IF(AND('领用录入（明细）'!D:D=$F$4,'领用录入（明细）'!C:C&gt;=$J$4,'领用录入（明细）'!C:C&lt;=$L$4),ROW(),"-")</f>
        <v>-</v>
      </c>
    </row>
    <row r="23721" customHeight="1" spans="2:2">
      <c r="B23721" s="62" t="str">
        <f>IF(AND('领用录入（明细）'!D:D=$F$4,'领用录入（明细）'!C:C&gt;=$J$4,'领用录入（明细）'!C:C&lt;=$L$4),ROW(),"-")</f>
        <v>-</v>
      </c>
    </row>
    <row r="23722" customHeight="1" spans="2:2">
      <c r="B23722" s="62" t="str">
        <f>IF(AND('领用录入（明细）'!D:D=$F$4,'领用录入（明细）'!C:C&gt;=$J$4,'领用录入（明细）'!C:C&lt;=$L$4),ROW(),"-")</f>
        <v>-</v>
      </c>
    </row>
    <row r="23723" customHeight="1" spans="2:2">
      <c r="B23723" s="62" t="str">
        <f>IF(AND('领用录入（明细）'!D:D=$F$4,'领用录入（明细）'!C:C&gt;=$J$4,'领用录入（明细）'!C:C&lt;=$L$4),ROW(),"-")</f>
        <v>-</v>
      </c>
    </row>
    <row r="23724" customHeight="1" spans="2:2">
      <c r="B23724" s="62" t="str">
        <f>IF(AND('领用录入（明细）'!D:D=$F$4,'领用录入（明细）'!C:C&gt;=$J$4,'领用录入（明细）'!C:C&lt;=$L$4),ROW(),"-")</f>
        <v>-</v>
      </c>
    </row>
    <row r="23725" customHeight="1" spans="2:2">
      <c r="B23725" s="62" t="str">
        <f>IF(AND('领用录入（明细）'!D:D=$F$4,'领用录入（明细）'!C:C&gt;=$J$4,'领用录入（明细）'!C:C&lt;=$L$4),ROW(),"-")</f>
        <v>-</v>
      </c>
    </row>
    <row r="23726" customHeight="1" spans="2:2">
      <c r="B23726" s="62" t="str">
        <f>IF(AND('领用录入（明细）'!D:D=$F$4,'领用录入（明细）'!C:C&gt;=$J$4,'领用录入（明细）'!C:C&lt;=$L$4),ROW(),"-")</f>
        <v>-</v>
      </c>
    </row>
    <row r="23727" customHeight="1" spans="2:2">
      <c r="B23727" s="62" t="str">
        <f>IF(AND('领用录入（明细）'!D:D=$F$4,'领用录入（明细）'!C:C&gt;=$J$4,'领用录入（明细）'!C:C&lt;=$L$4),ROW(),"-")</f>
        <v>-</v>
      </c>
    </row>
    <row r="23728" customHeight="1" spans="2:2">
      <c r="B23728" s="62" t="str">
        <f>IF(AND('领用录入（明细）'!D:D=$F$4,'领用录入（明细）'!C:C&gt;=$J$4,'领用录入（明细）'!C:C&lt;=$L$4),ROW(),"-")</f>
        <v>-</v>
      </c>
    </row>
    <row r="23729" customHeight="1" spans="2:2">
      <c r="B23729" s="62" t="str">
        <f>IF(AND('领用录入（明细）'!D:D=$F$4,'领用录入（明细）'!C:C&gt;=$J$4,'领用录入（明细）'!C:C&lt;=$L$4),ROW(),"-")</f>
        <v>-</v>
      </c>
    </row>
    <row r="23730" customHeight="1" spans="2:2">
      <c r="B23730" s="62" t="str">
        <f>IF(AND('领用录入（明细）'!D:D=$F$4,'领用录入（明细）'!C:C&gt;=$J$4,'领用录入（明细）'!C:C&lt;=$L$4),ROW(),"-")</f>
        <v>-</v>
      </c>
    </row>
    <row r="23731" customHeight="1" spans="2:2">
      <c r="B23731" s="62" t="str">
        <f>IF(AND('领用录入（明细）'!D:D=$F$4,'领用录入（明细）'!C:C&gt;=$J$4,'领用录入（明细）'!C:C&lt;=$L$4),ROW(),"-")</f>
        <v>-</v>
      </c>
    </row>
    <row r="23732" customHeight="1" spans="2:2">
      <c r="B23732" s="62" t="str">
        <f>IF(AND('领用录入（明细）'!D:D=$F$4,'领用录入（明细）'!C:C&gt;=$J$4,'领用录入（明细）'!C:C&lt;=$L$4),ROW(),"-")</f>
        <v>-</v>
      </c>
    </row>
    <row r="23733" customHeight="1" spans="2:2">
      <c r="B23733" s="62" t="str">
        <f>IF(AND('领用录入（明细）'!D:D=$F$4,'领用录入（明细）'!C:C&gt;=$J$4,'领用录入（明细）'!C:C&lt;=$L$4),ROW(),"-")</f>
        <v>-</v>
      </c>
    </row>
    <row r="23734" customHeight="1" spans="2:2">
      <c r="B23734" s="62" t="str">
        <f>IF(AND('领用录入（明细）'!D:D=$F$4,'领用录入（明细）'!C:C&gt;=$J$4,'领用录入（明细）'!C:C&lt;=$L$4),ROW(),"-")</f>
        <v>-</v>
      </c>
    </row>
    <row r="23735" customHeight="1" spans="2:2">
      <c r="B23735" s="62" t="str">
        <f>IF(AND('领用录入（明细）'!D:D=$F$4,'领用录入（明细）'!C:C&gt;=$J$4,'领用录入（明细）'!C:C&lt;=$L$4),ROW(),"-")</f>
        <v>-</v>
      </c>
    </row>
    <row r="23736" customHeight="1" spans="2:2">
      <c r="B23736" s="62" t="str">
        <f>IF(AND('领用录入（明细）'!D:D=$F$4,'领用录入（明细）'!C:C&gt;=$J$4,'领用录入（明细）'!C:C&lt;=$L$4),ROW(),"-")</f>
        <v>-</v>
      </c>
    </row>
    <row r="23737" customHeight="1" spans="2:2">
      <c r="B23737" s="62" t="str">
        <f>IF(AND('领用录入（明细）'!D:D=$F$4,'领用录入（明细）'!C:C&gt;=$J$4,'领用录入（明细）'!C:C&lt;=$L$4),ROW(),"-")</f>
        <v>-</v>
      </c>
    </row>
    <row r="23738" customHeight="1" spans="2:2">
      <c r="B23738" s="62" t="str">
        <f>IF(AND('领用录入（明细）'!D:D=$F$4,'领用录入（明细）'!C:C&gt;=$J$4,'领用录入（明细）'!C:C&lt;=$L$4),ROW(),"-")</f>
        <v>-</v>
      </c>
    </row>
    <row r="23739" customHeight="1" spans="2:2">
      <c r="B23739" s="62" t="str">
        <f>IF(AND('领用录入（明细）'!D:D=$F$4,'领用录入（明细）'!C:C&gt;=$J$4,'领用录入（明细）'!C:C&lt;=$L$4),ROW(),"-")</f>
        <v>-</v>
      </c>
    </row>
    <row r="23740" customHeight="1" spans="2:2">
      <c r="B23740" s="62" t="str">
        <f>IF(AND('领用录入（明细）'!D:D=$F$4,'领用录入（明细）'!C:C&gt;=$J$4,'领用录入（明细）'!C:C&lt;=$L$4),ROW(),"-")</f>
        <v>-</v>
      </c>
    </row>
    <row r="23741" customHeight="1" spans="2:2">
      <c r="B23741" s="62" t="str">
        <f>IF(AND('领用录入（明细）'!D:D=$F$4,'领用录入（明细）'!C:C&gt;=$J$4,'领用录入（明细）'!C:C&lt;=$L$4),ROW(),"-")</f>
        <v>-</v>
      </c>
    </row>
    <row r="23742" customHeight="1" spans="2:2">
      <c r="B23742" s="62" t="str">
        <f>IF(AND('领用录入（明细）'!D:D=$F$4,'领用录入（明细）'!C:C&gt;=$J$4,'领用录入（明细）'!C:C&lt;=$L$4),ROW(),"-")</f>
        <v>-</v>
      </c>
    </row>
    <row r="23743" customHeight="1" spans="2:2">
      <c r="B23743" s="62" t="str">
        <f>IF(AND('领用录入（明细）'!D:D=$F$4,'领用录入（明细）'!C:C&gt;=$J$4,'领用录入（明细）'!C:C&lt;=$L$4),ROW(),"-")</f>
        <v>-</v>
      </c>
    </row>
    <row r="23744" customHeight="1" spans="2:2">
      <c r="B23744" s="62" t="str">
        <f>IF(AND('领用录入（明细）'!D:D=$F$4,'领用录入（明细）'!C:C&gt;=$J$4,'领用录入（明细）'!C:C&lt;=$L$4),ROW(),"-")</f>
        <v>-</v>
      </c>
    </row>
    <row r="23745" customHeight="1" spans="2:2">
      <c r="B23745" s="62" t="str">
        <f>IF(AND('领用录入（明细）'!D:D=$F$4,'领用录入（明细）'!C:C&gt;=$J$4,'领用录入（明细）'!C:C&lt;=$L$4),ROW(),"-")</f>
        <v>-</v>
      </c>
    </row>
    <row r="23746" customHeight="1" spans="2:2">
      <c r="B23746" s="62" t="str">
        <f>IF(AND('领用录入（明细）'!D:D=$F$4,'领用录入（明细）'!C:C&gt;=$J$4,'领用录入（明细）'!C:C&lt;=$L$4),ROW(),"-")</f>
        <v>-</v>
      </c>
    </row>
    <row r="23747" customHeight="1" spans="2:2">
      <c r="B23747" s="62" t="str">
        <f>IF(AND('领用录入（明细）'!D:D=$F$4,'领用录入（明细）'!C:C&gt;=$J$4,'领用录入（明细）'!C:C&lt;=$L$4),ROW(),"-")</f>
        <v>-</v>
      </c>
    </row>
    <row r="23748" customHeight="1" spans="2:2">
      <c r="B23748" s="62" t="str">
        <f>IF(AND('领用录入（明细）'!D:D=$F$4,'领用录入（明细）'!C:C&gt;=$J$4,'领用录入（明细）'!C:C&lt;=$L$4),ROW(),"-")</f>
        <v>-</v>
      </c>
    </row>
    <row r="23749" customHeight="1" spans="2:2">
      <c r="B23749" s="62" t="str">
        <f>IF(AND('领用录入（明细）'!D:D=$F$4,'领用录入（明细）'!C:C&gt;=$J$4,'领用录入（明细）'!C:C&lt;=$L$4),ROW(),"-")</f>
        <v>-</v>
      </c>
    </row>
    <row r="23750" customHeight="1" spans="2:2">
      <c r="B23750" s="62" t="str">
        <f>IF(AND('领用录入（明细）'!D:D=$F$4,'领用录入（明细）'!C:C&gt;=$J$4,'领用录入（明细）'!C:C&lt;=$L$4),ROW(),"-")</f>
        <v>-</v>
      </c>
    </row>
    <row r="23751" customHeight="1" spans="2:2">
      <c r="B23751" s="62" t="str">
        <f>IF(AND('领用录入（明细）'!D:D=$F$4,'领用录入（明细）'!C:C&gt;=$J$4,'领用录入（明细）'!C:C&lt;=$L$4),ROW(),"-")</f>
        <v>-</v>
      </c>
    </row>
    <row r="23752" customHeight="1" spans="2:2">
      <c r="B23752" s="62" t="str">
        <f>IF(AND('领用录入（明细）'!D:D=$F$4,'领用录入（明细）'!C:C&gt;=$J$4,'领用录入（明细）'!C:C&lt;=$L$4),ROW(),"-")</f>
        <v>-</v>
      </c>
    </row>
    <row r="23753" customHeight="1" spans="2:2">
      <c r="B23753" s="62" t="str">
        <f>IF(AND('领用录入（明细）'!D:D=$F$4,'领用录入（明细）'!C:C&gt;=$J$4,'领用录入（明细）'!C:C&lt;=$L$4),ROW(),"-")</f>
        <v>-</v>
      </c>
    </row>
    <row r="23754" customHeight="1" spans="2:2">
      <c r="B23754" s="62" t="str">
        <f>IF(AND('领用录入（明细）'!D:D=$F$4,'领用录入（明细）'!C:C&gt;=$J$4,'领用录入（明细）'!C:C&lt;=$L$4),ROW(),"-")</f>
        <v>-</v>
      </c>
    </row>
    <row r="23755" customHeight="1" spans="2:2">
      <c r="B23755" s="62" t="str">
        <f>IF(AND('领用录入（明细）'!D:D=$F$4,'领用录入（明细）'!C:C&gt;=$J$4,'领用录入（明细）'!C:C&lt;=$L$4),ROW(),"-")</f>
        <v>-</v>
      </c>
    </row>
    <row r="23756" customHeight="1" spans="2:2">
      <c r="B23756" s="62" t="str">
        <f>IF(AND('领用录入（明细）'!D:D=$F$4,'领用录入（明细）'!C:C&gt;=$J$4,'领用录入（明细）'!C:C&lt;=$L$4),ROW(),"-")</f>
        <v>-</v>
      </c>
    </row>
    <row r="23757" customHeight="1" spans="2:2">
      <c r="B23757" s="62" t="str">
        <f>IF(AND('领用录入（明细）'!D:D=$F$4,'领用录入（明细）'!C:C&gt;=$J$4,'领用录入（明细）'!C:C&lt;=$L$4),ROW(),"-")</f>
        <v>-</v>
      </c>
    </row>
    <row r="23758" customHeight="1" spans="2:2">
      <c r="B23758" s="62" t="str">
        <f>IF(AND('领用录入（明细）'!D:D=$F$4,'领用录入（明细）'!C:C&gt;=$J$4,'领用录入（明细）'!C:C&lt;=$L$4),ROW(),"-")</f>
        <v>-</v>
      </c>
    </row>
    <row r="23759" customHeight="1" spans="2:2">
      <c r="B23759" s="62" t="str">
        <f>IF(AND('领用录入（明细）'!D:D=$F$4,'领用录入（明细）'!C:C&gt;=$J$4,'领用录入（明细）'!C:C&lt;=$L$4),ROW(),"-")</f>
        <v>-</v>
      </c>
    </row>
    <row r="23760" customHeight="1" spans="2:2">
      <c r="B23760" s="62" t="str">
        <f>IF(AND('领用录入（明细）'!D:D=$F$4,'领用录入（明细）'!C:C&gt;=$J$4,'领用录入（明细）'!C:C&lt;=$L$4),ROW(),"-")</f>
        <v>-</v>
      </c>
    </row>
    <row r="23761" customHeight="1" spans="2:2">
      <c r="B23761" s="62" t="str">
        <f>IF(AND('领用录入（明细）'!D:D=$F$4,'领用录入（明细）'!C:C&gt;=$J$4,'领用录入（明细）'!C:C&lt;=$L$4),ROW(),"-")</f>
        <v>-</v>
      </c>
    </row>
    <row r="23762" customHeight="1" spans="2:2">
      <c r="B23762" s="62" t="str">
        <f>IF(AND('领用录入（明细）'!D:D=$F$4,'领用录入（明细）'!C:C&gt;=$J$4,'领用录入（明细）'!C:C&lt;=$L$4),ROW(),"-")</f>
        <v>-</v>
      </c>
    </row>
    <row r="23763" customHeight="1" spans="2:2">
      <c r="B23763" s="62" t="str">
        <f>IF(AND('领用录入（明细）'!D:D=$F$4,'领用录入（明细）'!C:C&gt;=$J$4,'领用录入（明细）'!C:C&lt;=$L$4),ROW(),"-")</f>
        <v>-</v>
      </c>
    </row>
    <row r="23764" customHeight="1" spans="2:2">
      <c r="B23764" s="62" t="str">
        <f>IF(AND('领用录入（明细）'!D:D=$F$4,'领用录入（明细）'!C:C&gt;=$J$4,'领用录入（明细）'!C:C&lt;=$L$4),ROW(),"-")</f>
        <v>-</v>
      </c>
    </row>
    <row r="23765" customHeight="1" spans="2:2">
      <c r="B23765" s="62" t="str">
        <f>IF(AND('领用录入（明细）'!D:D=$F$4,'领用录入（明细）'!C:C&gt;=$J$4,'领用录入（明细）'!C:C&lt;=$L$4),ROW(),"-")</f>
        <v>-</v>
      </c>
    </row>
    <row r="23766" customHeight="1" spans="2:2">
      <c r="B23766" s="62" t="str">
        <f>IF(AND('领用录入（明细）'!D:D=$F$4,'领用录入（明细）'!C:C&gt;=$J$4,'领用录入（明细）'!C:C&lt;=$L$4),ROW(),"-")</f>
        <v>-</v>
      </c>
    </row>
    <row r="23767" customHeight="1" spans="2:2">
      <c r="B23767" s="62" t="str">
        <f>IF(AND('领用录入（明细）'!D:D=$F$4,'领用录入（明细）'!C:C&gt;=$J$4,'领用录入（明细）'!C:C&lt;=$L$4),ROW(),"-")</f>
        <v>-</v>
      </c>
    </row>
    <row r="23768" customHeight="1" spans="2:2">
      <c r="B23768" s="62" t="str">
        <f>IF(AND('领用录入（明细）'!D:D=$F$4,'领用录入（明细）'!C:C&gt;=$J$4,'领用录入（明细）'!C:C&lt;=$L$4),ROW(),"-")</f>
        <v>-</v>
      </c>
    </row>
    <row r="23769" customHeight="1" spans="2:2">
      <c r="B23769" s="62" t="str">
        <f>IF(AND('领用录入（明细）'!D:D=$F$4,'领用录入（明细）'!C:C&gt;=$J$4,'领用录入（明细）'!C:C&lt;=$L$4),ROW(),"-")</f>
        <v>-</v>
      </c>
    </row>
    <row r="23770" customHeight="1" spans="2:2">
      <c r="B23770" s="62" t="str">
        <f>IF(AND('领用录入（明细）'!D:D=$F$4,'领用录入（明细）'!C:C&gt;=$J$4,'领用录入（明细）'!C:C&lt;=$L$4),ROW(),"-")</f>
        <v>-</v>
      </c>
    </row>
    <row r="23771" customHeight="1" spans="2:2">
      <c r="B23771" s="62" t="str">
        <f>IF(AND('领用录入（明细）'!D:D=$F$4,'领用录入（明细）'!C:C&gt;=$J$4,'领用录入（明细）'!C:C&lt;=$L$4),ROW(),"-")</f>
        <v>-</v>
      </c>
    </row>
    <row r="23772" customHeight="1" spans="2:2">
      <c r="B23772" s="62" t="str">
        <f>IF(AND('领用录入（明细）'!D:D=$F$4,'领用录入（明细）'!C:C&gt;=$J$4,'领用录入（明细）'!C:C&lt;=$L$4),ROW(),"-")</f>
        <v>-</v>
      </c>
    </row>
    <row r="23773" customHeight="1" spans="2:2">
      <c r="B23773" s="62" t="str">
        <f>IF(AND('领用录入（明细）'!D:D=$F$4,'领用录入（明细）'!C:C&gt;=$J$4,'领用录入（明细）'!C:C&lt;=$L$4),ROW(),"-")</f>
        <v>-</v>
      </c>
    </row>
    <row r="23774" customHeight="1" spans="2:2">
      <c r="B23774" s="62" t="str">
        <f>IF(AND('领用录入（明细）'!D:D=$F$4,'领用录入（明细）'!C:C&gt;=$J$4,'领用录入（明细）'!C:C&lt;=$L$4),ROW(),"-")</f>
        <v>-</v>
      </c>
    </row>
    <row r="23775" customHeight="1" spans="2:2">
      <c r="B23775" s="62" t="str">
        <f>IF(AND('领用录入（明细）'!D:D=$F$4,'领用录入（明细）'!C:C&gt;=$J$4,'领用录入（明细）'!C:C&lt;=$L$4),ROW(),"-")</f>
        <v>-</v>
      </c>
    </row>
    <row r="23776" customHeight="1" spans="2:2">
      <c r="B23776" s="62" t="str">
        <f>IF(AND('领用录入（明细）'!D:D=$F$4,'领用录入（明细）'!C:C&gt;=$J$4,'领用录入（明细）'!C:C&lt;=$L$4),ROW(),"-")</f>
        <v>-</v>
      </c>
    </row>
    <row r="23777" customHeight="1" spans="2:2">
      <c r="B23777" s="62" t="str">
        <f>IF(AND('领用录入（明细）'!D:D=$F$4,'领用录入（明细）'!C:C&gt;=$J$4,'领用录入（明细）'!C:C&lt;=$L$4),ROW(),"-")</f>
        <v>-</v>
      </c>
    </row>
    <row r="23778" customHeight="1" spans="2:2">
      <c r="B23778" s="62" t="str">
        <f>IF(AND('领用录入（明细）'!D:D=$F$4,'领用录入（明细）'!C:C&gt;=$J$4,'领用录入（明细）'!C:C&lt;=$L$4),ROW(),"-")</f>
        <v>-</v>
      </c>
    </row>
    <row r="23779" customHeight="1" spans="2:2">
      <c r="B23779" s="62" t="str">
        <f>IF(AND('领用录入（明细）'!D:D=$F$4,'领用录入（明细）'!C:C&gt;=$J$4,'领用录入（明细）'!C:C&lt;=$L$4),ROW(),"-")</f>
        <v>-</v>
      </c>
    </row>
    <row r="23780" customHeight="1" spans="2:2">
      <c r="B23780" s="62" t="str">
        <f>IF(AND('领用录入（明细）'!D:D=$F$4,'领用录入（明细）'!C:C&gt;=$J$4,'领用录入（明细）'!C:C&lt;=$L$4),ROW(),"-")</f>
        <v>-</v>
      </c>
    </row>
    <row r="23781" customHeight="1" spans="2:2">
      <c r="B23781" s="62" t="str">
        <f>IF(AND('领用录入（明细）'!D:D=$F$4,'领用录入（明细）'!C:C&gt;=$J$4,'领用录入（明细）'!C:C&lt;=$L$4),ROW(),"-")</f>
        <v>-</v>
      </c>
    </row>
    <row r="23782" customHeight="1" spans="2:2">
      <c r="B23782" s="62" t="str">
        <f>IF(AND('领用录入（明细）'!D:D=$F$4,'领用录入（明细）'!C:C&gt;=$J$4,'领用录入（明细）'!C:C&lt;=$L$4),ROW(),"-")</f>
        <v>-</v>
      </c>
    </row>
    <row r="23783" customHeight="1" spans="2:2">
      <c r="B23783" s="62" t="str">
        <f>IF(AND('领用录入（明细）'!D:D=$F$4,'领用录入（明细）'!C:C&gt;=$J$4,'领用录入（明细）'!C:C&lt;=$L$4),ROW(),"-")</f>
        <v>-</v>
      </c>
    </row>
    <row r="23784" customHeight="1" spans="2:2">
      <c r="B23784" s="62" t="str">
        <f>IF(AND('领用录入（明细）'!D:D=$F$4,'领用录入（明细）'!C:C&gt;=$J$4,'领用录入（明细）'!C:C&lt;=$L$4),ROW(),"-")</f>
        <v>-</v>
      </c>
    </row>
    <row r="23785" customHeight="1" spans="2:2">
      <c r="B23785" s="62" t="str">
        <f>IF(AND('领用录入（明细）'!D:D=$F$4,'领用录入（明细）'!C:C&gt;=$J$4,'领用录入（明细）'!C:C&lt;=$L$4),ROW(),"-")</f>
        <v>-</v>
      </c>
    </row>
    <row r="23786" customHeight="1" spans="2:2">
      <c r="B23786" s="62" t="str">
        <f>IF(AND('领用录入（明细）'!D:D=$F$4,'领用录入（明细）'!C:C&gt;=$J$4,'领用录入（明细）'!C:C&lt;=$L$4),ROW(),"-")</f>
        <v>-</v>
      </c>
    </row>
    <row r="23787" customHeight="1" spans="2:2">
      <c r="B23787" s="62" t="str">
        <f>IF(AND('领用录入（明细）'!D:D=$F$4,'领用录入（明细）'!C:C&gt;=$J$4,'领用录入（明细）'!C:C&lt;=$L$4),ROW(),"-")</f>
        <v>-</v>
      </c>
    </row>
    <row r="23788" customHeight="1" spans="2:2">
      <c r="B23788" s="62" t="str">
        <f>IF(AND('领用录入（明细）'!D:D=$F$4,'领用录入（明细）'!C:C&gt;=$J$4,'领用录入（明细）'!C:C&lt;=$L$4),ROW(),"-")</f>
        <v>-</v>
      </c>
    </row>
    <row r="23789" customHeight="1" spans="2:2">
      <c r="B23789" s="62" t="str">
        <f>IF(AND('领用录入（明细）'!D:D=$F$4,'领用录入（明细）'!C:C&gt;=$J$4,'领用录入（明细）'!C:C&lt;=$L$4),ROW(),"-")</f>
        <v>-</v>
      </c>
    </row>
    <row r="23790" customHeight="1" spans="2:2">
      <c r="B23790" s="62" t="str">
        <f>IF(AND('领用录入（明细）'!D:D=$F$4,'领用录入（明细）'!C:C&gt;=$J$4,'领用录入（明细）'!C:C&lt;=$L$4),ROW(),"-")</f>
        <v>-</v>
      </c>
    </row>
    <row r="23791" customHeight="1" spans="2:2">
      <c r="B23791" s="62" t="str">
        <f>IF(AND('领用录入（明细）'!D:D=$F$4,'领用录入（明细）'!C:C&gt;=$J$4,'领用录入（明细）'!C:C&lt;=$L$4),ROW(),"-")</f>
        <v>-</v>
      </c>
    </row>
    <row r="23792" customHeight="1" spans="2:2">
      <c r="B23792" s="62" t="str">
        <f>IF(AND('领用录入（明细）'!D:D=$F$4,'领用录入（明细）'!C:C&gt;=$J$4,'领用录入（明细）'!C:C&lt;=$L$4),ROW(),"-")</f>
        <v>-</v>
      </c>
    </row>
    <row r="23793" customHeight="1" spans="2:2">
      <c r="B23793" s="62" t="str">
        <f>IF(AND('领用录入（明细）'!D:D=$F$4,'领用录入（明细）'!C:C&gt;=$J$4,'领用录入（明细）'!C:C&lt;=$L$4),ROW(),"-")</f>
        <v>-</v>
      </c>
    </row>
    <row r="23794" customHeight="1" spans="2:2">
      <c r="B23794" s="62" t="str">
        <f>IF(AND('领用录入（明细）'!D:D=$F$4,'领用录入（明细）'!C:C&gt;=$J$4,'领用录入（明细）'!C:C&lt;=$L$4),ROW(),"-")</f>
        <v>-</v>
      </c>
    </row>
    <row r="23795" customHeight="1" spans="2:2">
      <c r="B23795" s="62" t="str">
        <f>IF(AND('领用录入（明细）'!D:D=$F$4,'领用录入（明细）'!C:C&gt;=$J$4,'领用录入（明细）'!C:C&lt;=$L$4),ROW(),"-")</f>
        <v>-</v>
      </c>
    </row>
    <row r="23796" customHeight="1" spans="2:2">
      <c r="B23796" s="62" t="str">
        <f>IF(AND('领用录入（明细）'!D:D=$F$4,'领用录入（明细）'!C:C&gt;=$J$4,'领用录入（明细）'!C:C&lt;=$L$4),ROW(),"-")</f>
        <v>-</v>
      </c>
    </row>
    <row r="23797" customHeight="1" spans="2:2">
      <c r="B23797" s="62" t="str">
        <f>IF(AND('领用录入（明细）'!D:D=$F$4,'领用录入（明细）'!C:C&gt;=$J$4,'领用录入（明细）'!C:C&lt;=$L$4),ROW(),"-")</f>
        <v>-</v>
      </c>
    </row>
    <row r="23798" customHeight="1" spans="2:2">
      <c r="B23798" s="62" t="str">
        <f>IF(AND('领用录入（明细）'!D:D=$F$4,'领用录入（明细）'!C:C&gt;=$J$4,'领用录入（明细）'!C:C&lt;=$L$4),ROW(),"-")</f>
        <v>-</v>
      </c>
    </row>
    <row r="23799" customHeight="1" spans="2:2">
      <c r="B23799" s="62" t="str">
        <f>IF(AND('领用录入（明细）'!D:D=$F$4,'领用录入（明细）'!C:C&gt;=$J$4,'领用录入（明细）'!C:C&lt;=$L$4),ROW(),"-")</f>
        <v>-</v>
      </c>
    </row>
    <row r="23800" customHeight="1" spans="2:2">
      <c r="B23800" s="62" t="str">
        <f>IF(AND('领用录入（明细）'!D:D=$F$4,'领用录入（明细）'!C:C&gt;=$J$4,'领用录入（明细）'!C:C&lt;=$L$4),ROW(),"-")</f>
        <v>-</v>
      </c>
    </row>
    <row r="23801" customHeight="1" spans="2:2">
      <c r="B23801" s="62" t="str">
        <f>IF(AND('领用录入（明细）'!D:D=$F$4,'领用录入（明细）'!C:C&gt;=$J$4,'领用录入（明细）'!C:C&lt;=$L$4),ROW(),"-")</f>
        <v>-</v>
      </c>
    </row>
    <row r="23802" customHeight="1" spans="2:2">
      <c r="B23802" s="62" t="str">
        <f>IF(AND('领用录入（明细）'!D:D=$F$4,'领用录入（明细）'!C:C&gt;=$J$4,'领用录入（明细）'!C:C&lt;=$L$4),ROW(),"-")</f>
        <v>-</v>
      </c>
    </row>
    <row r="23803" customHeight="1" spans="2:2">
      <c r="B23803" s="62" t="str">
        <f>IF(AND('领用录入（明细）'!D:D=$F$4,'领用录入（明细）'!C:C&gt;=$J$4,'领用录入（明细）'!C:C&lt;=$L$4),ROW(),"-")</f>
        <v>-</v>
      </c>
    </row>
    <row r="23804" customHeight="1" spans="2:2">
      <c r="B23804" s="62" t="str">
        <f>IF(AND('领用录入（明细）'!D:D=$F$4,'领用录入（明细）'!C:C&gt;=$J$4,'领用录入（明细）'!C:C&lt;=$L$4),ROW(),"-")</f>
        <v>-</v>
      </c>
    </row>
    <row r="23805" customHeight="1" spans="2:2">
      <c r="B23805" s="62" t="str">
        <f>IF(AND('领用录入（明细）'!D:D=$F$4,'领用录入（明细）'!C:C&gt;=$J$4,'领用录入（明细）'!C:C&lt;=$L$4),ROW(),"-")</f>
        <v>-</v>
      </c>
    </row>
    <row r="23806" customHeight="1" spans="2:2">
      <c r="B23806" s="62" t="str">
        <f>IF(AND('领用录入（明细）'!D:D=$F$4,'领用录入（明细）'!C:C&gt;=$J$4,'领用录入（明细）'!C:C&lt;=$L$4),ROW(),"-")</f>
        <v>-</v>
      </c>
    </row>
    <row r="23807" customHeight="1" spans="2:2">
      <c r="B23807" s="62" t="str">
        <f>IF(AND('领用录入（明细）'!D:D=$F$4,'领用录入（明细）'!C:C&gt;=$J$4,'领用录入（明细）'!C:C&lt;=$L$4),ROW(),"-")</f>
        <v>-</v>
      </c>
    </row>
    <row r="23808" customHeight="1" spans="2:2">
      <c r="B23808" s="62" t="str">
        <f>IF(AND('领用录入（明细）'!D:D=$F$4,'领用录入（明细）'!C:C&gt;=$J$4,'领用录入（明细）'!C:C&lt;=$L$4),ROW(),"-")</f>
        <v>-</v>
      </c>
    </row>
    <row r="23809" customHeight="1" spans="2:2">
      <c r="B23809" s="62" t="str">
        <f>IF(AND('领用录入（明细）'!D:D=$F$4,'领用录入（明细）'!C:C&gt;=$J$4,'领用录入（明细）'!C:C&lt;=$L$4),ROW(),"-")</f>
        <v>-</v>
      </c>
    </row>
    <row r="23810" customHeight="1" spans="2:2">
      <c r="B23810" s="62" t="str">
        <f>IF(AND('领用录入（明细）'!D:D=$F$4,'领用录入（明细）'!C:C&gt;=$J$4,'领用录入（明细）'!C:C&lt;=$L$4),ROW(),"-")</f>
        <v>-</v>
      </c>
    </row>
    <row r="23811" customHeight="1" spans="2:2">
      <c r="B23811" s="62" t="str">
        <f>IF(AND('领用录入（明细）'!D:D=$F$4,'领用录入（明细）'!C:C&gt;=$J$4,'领用录入（明细）'!C:C&lt;=$L$4),ROW(),"-")</f>
        <v>-</v>
      </c>
    </row>
    <row r="23812" customHeight="1" spans="2:2">
      <c r="B23812" s="62" t="str">
        <f>IF(AND('领用录入（明细）'!D:D=$F$4,'领用录入（明细）'!C:C&gt;=$J$4,'领用录入（明细）'!C:C&lt;=$L$4),ROW(),"-")</f>
        <v>-</v>
      </c>
    </row>
    <row r="23813" customHeight="1" spans="2:2">
      <c r="B23813" s="62" t="str">
        <f>IF(AND('领用录入（明细）'!D:D=$F$4,'领用录入（明细）'!C:C&gt;=$J$4,'领用录入（明细）'!C:C&lt;=$L$4),ROW(),"-")</f>
        <v>-</v>
      </c>
    </row>
    <row r="23814" customHeight="1" spans="2:2">
      <c r="B23814" s="62" t="str">
        <f>IF(AND('领用录入（明细）'!D:D=$F$4,'领用录入（明细）'!C:C&gt;=$J$4,'领用录入（明细）'!C:C&lt;=$L$4),ROW(),"-")</f>
        <v>-</v>
      </c>
    </row>
    <row r="23815" customHeight="1" spans="2:2">
      <c r="B23815" s="62" t="str">
        <f>IF(AND('领用录入（明细）'!D:D=$F$4,'领用录入（明细）'!C:C&gt;=$J$4,'领用录入（明细）'!C:C&lt;=$L$4),ROW(),"-")</f>
        <v>-</v>
      </c>
    </row>
    <row r="23816" customHeight="1" spans="2:2">
      <c r="B23816" s="62" t="str">
        <f>IF(AND('领用录入（明细）'!D:D=$F$4,'领用录入（明细）'!C:C&gt;=$J$4,'领用录入（明细）'!C:C&lt;=$L$4),ROW(),"-")</f>
        <v>-</v>
      </c>
    </row>
    <row r="23817" customHeight="1" spans="2:2">
      <c r="B23817" s="62" t="str">
        <f>IF(AND('领用录入（明细）'!D:D=$F$4,'领用录入（明细）'!C:C&gt;=$J$4,'领用录入（明细）'!C:C&lt;=$L$4),ROW(),"-")</f>
        <v>-</v>
      </c>
    </row>
    <row r="23818" customHeight="1" spans="2:2">
      <c r="B23818" s="62" t="str">
        <f>IF(AND('领用录入（明细）'!D:D=$F$4,'领用录入（明细）'!C:C&gt;=$J$4,'领用录入（明细）'!C:C&lt;=$L$4),ROW(),"-")</f>
        <v>-</v>
      </c>
    </row>
    <row r="23819" customHeight="1" spans="2:2">
      <c r="B23819" s="62" t="str">
        <f>IF(AND('领用录入（明细）'!D:D=$F$4,'领用录入（明细）'!C:C&gt;=$J$4,'领用录入（明细）'!C:C&lt;=$L$4),ROW(),"-")</f>
        <v>-</v>
      </c>
    </row>
    <row r="23820" customHeight="1" spans="2:2">
      <c r="B23820" s="62" t="str">
        <f>IF(AND('领用录入（明细）'!D:D=$F$4,'领用录入（明细）'!C:C&gt;=$J$4,'领用录入（明细）'!C:C&lt;=$L$4),ROW(),"-")</f>
        <v>-</v>
      </c>
    </row>
    <row r="23821" customHeight="1" spans="2:2">
      <c r="B23821" s="62" t="str">
        <f>IF(AND('领用录入（明细）'!D:D=$F$4,'领用录入（明细）'!C:C&gt;=$J$4,'领用录入（明细）'!C:C&lt;=$L$4),ROW(),"-")</f>
        <v>-</v>
      </c>
    </row>
    <row r="23822" customHeight="1" spans="2:2">
      <c r="B23822" s="62" t="str">
        <f>IF(AND('领用录入（明细）'!D:D=$F$4,'领用录入（明细）'!C:C&gt;=$J$4,'领用录入（明细）'!C:C&lt;=$L$4),ROW(),"-")</f>
        <v>-</v>
      </c>
    </row>
    <row r="23823" customHeight="1" spans="2:2">
      <c r="B23823" s="62" t="str">
        <f>IF(AND('领用录入（明细）'!D:D=$F$4,'领用录入（明细）'!C:C&gt;=$J$4,'领用录入（明细）'!C:C&lt;=$L$4),ROW(),"-")</f>
        <v>-</v>
      </c>
    </row>
    <row r="23824" customHeight="1" spans="2:2">
      <c r="B23824" s="62" t="str">
        <f>IF(AND('领用录入（明细）'!D:D=$F$4,'领用录入（明细）'!C:C&gt;=$J$4,'领用录入（明细）'!C:C&lt;=$L$4),ROW(),"-")</f>
        <v>-</v>
      </c>
    </row>
    <row r="23825" customHeight="1" spans="2:2">
      <c r="B23825" s="62" t="str">
        <f>IF(AND('领用录入（明细）'!D:D=$F$4,'领用录入（明细）'!C:C&gt;=$J$4,'领用录入（明细）'!C:C&lt;=$L$4),ROW(),"-")</f>
        <v>-</v>
      </c>
    </row>
    <row r="23826" customHeight="1" spans="2:2">
      <c r="B23826" s="62" t="str">
        <f>IF(AND('领用录入（明细）'!D:D=$F$4,'领用录入（明细）'!C:C&gt;=$J$4,'领用录入（明细）'!C:C&lt;=$L$4),ROW(),"-")</f>
        <v>-</v>
      </c>
    </row>
    <row r="23827" customHeight="1" spans="2:2">
      <c r="B23827" s="62" t="str">
        <f>IF(AND('领用录入（明细）'!D:D=$F$4,'领用录入（明细）'!C:C&gt;=$J$4,'领用录入（明细）'!C:C&lt;=$L$4),ROW(),"-")</f>
        <v>-</v>
      </c>
    </row>
    <row r="23828" customHeight="1" spans="2:2">
      <c r="B23828" s="62" t="str">
        <f>IF(AND('领用录入（明细）'!D:D=$F$4,'领用录入（明细）'!C:C&gt;=$J$4,'领用录入（明细）'!C:C&lt;=$L$4),ROW(),"-")</f>
        <v>-</v>
      </c>
    </row>
    <row r="23829" customHeight="1" spans="2:2">
      <c r="B23829" s="62" t="str">
        <f>IF(AND('领用录入（明细）'!D:D=$F$4,'领用录入（明细）'!C:C&gt;=$J$4,'领用录入（明细）'!C:C&lt;=$L$4),ROW(),"-")</f>
        <v>-</v>
      </c>
    </row>
    <row r="23830" customHeight="1" spans="2:2">
      <c r="B23830" s="62" t="str">
        <f>IF(AND('领用录入（明细）'!D:D=$F$4,'领用录入（明细）'!C:C&gt;=$J$4,'领用录入（明细）'!C:C&lt;=$L$4),ROW(),"-")</f>
        <v>-</v>
      </c>
    </row>
    <row r="23831" customHeight="1" spans="2:2">
      <c r="B23831" s="62" t="str">
        <f>IF(AND('领用录入（明细）'!D:D=$F$4,'领用录入（明细）'!C:C&gt;=$J$4,'领用录入（明细）'!C:C&lt;=$L$4),ROW(),"-")</f>
        <v>-</v>
      </c>
    </row>
    <row r="23832" customHeight="1" spans="2:2">
      <c r="B23832" s="62" t="str">
        <f>IF(AND('领用录入（明细）'!D:D=$F$4,'领用录入（明细）'!C:C&gt;=$J$4,'领用录入（明细）'!C:C&lt;=$L$4),ROW(),"-")</f>
        <v>-</v>
      </c>
    </row>
    <row r="23833" customHeight="1" spans="2:2">
      <c r="B23833" s="62" t="str">
        <f>IF(AND('领用录入（明细）'!D:D=$F$4,'领用录入（明细）'!C:C&gt;=$J$4,'领用录入（明细）'!C:C&lt;=$L$4),ROW(),"-")</f>
        <v>-</v>
      </c>
    </row>
    <row r="23834" customHeight="1" spans="2:2">
      <c r="B23834" s="62" t="str">
        <f>IF(AND('领用录入（明细）'!D:D=$F$4,'领用录入（明细）'!C:C&gt;=$J$4,'领用录入（明细）'!C:C&lt;=$L$4),ROW(),"-")</f>
        <v>-</v>
      </c>
    </row>
    <row r="23835" customHeight="1" spans="2:2">
      <c r="B23835" s="62" t="str">
        <f>IF(AND('领用录入（明细）'!D:D=$F$4,'领用录入（明细）'!C:C&gt;=$J$4,'领用录入（明细）'!C:C&lt;=$L$4),ROW(),"-")</f>
        <v>-</v>
      </c>
    </row>
    <row r="23836" customHeight="1" spans="2:2">
      <c r="B23836" s="62" t="str">
        <f>IF(AND('领用录入（明细）'!D:D=$F$4,'领用录入（明细）'!C:C&gt;=$J$4,'领用录入（明细）'!C:C&lt;=$L$4),ROW(),"-")</f>
        <v>-</v>
      </c>
    </row>
    <row r="23837" customHeight="1" spans="2:2">
      <c r="B23837" s="62" t="str">
        <f>IF(AND('领用录入（明细）'!D:D=$F$4,'领用录入（明细）'!C:C&gt;=$J$4,'领用录入（明细）'!C:C&lt;=$L$4),ROW(),"-")</f>
        <v>-</v>
      </c>
    </row>
    <row r="23838" customHeight="1" spans="2:2">
      <c r="B23838" s="62" t="str">
        <f>IF(AND('领用录入（明细）'!D:D=$F$4,'领用录入（明细）'!C:C&gt;=$J$4,'领用录入（明细）'!C:C&lt;=$L$4),ROW(),"-")</f>
        <v>-</v>
      </c>
    </row>
    <row r="23839" customHeight="1" spans="2:2">
      <c r="B23839" s="62" t="str">
        <f>IF(AND('领用录入（明细）'!D:D=$F$4,'领用录入（明细）'!C:C&gt;=$J$4,'领用录入（明细）'!C:C&lt;=$L$4),ROW(),"-")</f>
        <v>-</v>
      </c>
    </row>
    <row r="23840" customHeight="1" spans="2:2">
      <c r="B23840" s="62" t="str">
        <f>IF(AND('领用录入（明细）'!D:D=$F$4,'领用录入（明细）'!C:C&gt;=$J$4,'领用录入（明细）'!C:C&lt;=$L$4),ROW(),"-")</f>
        <v>-</v>
      </c>
    </row>
    <row r="23841" customHeight="1" spans="2:2">
      <c r="B23841" s="62" t="str">
        <f>IF(AND('领用录入（明细）'!D:D=$F$4,'领用录入（明细）'!C:C&gt;=$J$4,'领用录入（明细）'!C:C&lt;=$L$4),ROW(),"-")</f>
        <v>-</v>
      </c>
    </row>
    <row r="23842" customHeight="1" spans="2:2">
      <c r="B23842" s="62" t="str">
        <f>IF(AND('领用录入（明细）'!D:D=$F$4,'领用录入（明细）'!C:C&gt;=$J$4,'领用录入（明细）'!C:C&lt;=$L$4),ROW(),"-")</f>
        <v>-</v>
      </c>
    </row>
    <row r="23843" customHeight="1" spans="2:2">
      <c r="B23843" s="62" t="str">
        <f>IF(AND('领用录入（明细）'!D:D=$F$4,'领用录入（明细）'!C:C&gt;=$J$4,'领用录入（明细）'!C:C&lt;=$L$4),ROW(),"-")</f>
        <v>-</v>
      </c>
    </row>
    <row r="23844" customHeight="1" spans="2:2">
      <c r="B23844" s="62" t="str">
        <f>IF(AND('领用录入（明细）'!D:D=$F$4,'领用录入（明细）'!C:C&gt;=$J$4,'领用录入（明细）'!C:C&lt;=$L$4),ROW(),"-")</f>
        <v>-</v>
      </c>
    </row>
    <row r="23845" customHeight="1" spans="2:2">
      <c r="B23845" s="62" t="str">
        <f>IF(AND('领用录入（明细）'!D:D=$F$4,'领用录入（明细）'!C:C&gt;=$J$4,'领用录入（明细）'!C:C&lt;=$L$4),ROW(),"-")</f>
        <v>-</v>
      </c>
    </row>
    <row r="23846" customHeight="1" spans="2:2">
      <c r="B23846" s="62" t="str">
        <f>IF(AND('领用录入（明细）'!D:D=$F$4,'领用录入（明细）'!C:C&gt;=$J$4,'领用录入（明细）'!C:C&lt;=$L$4),ROW(),"-")</f>
        <v>-</v>
      </c>
    </row>
    <row r="23847" customHeight="1" spans="2:2">
      <c r="B23847" s="62" t="str">
        <f>IF(AND('领用录入（明细）'!D:D=$F$4,'领用录入（明细）'!C:C&gt;=$J$4,'领用录入（明细）'!C:C&lt;=$L$4),ROW(),"-")</f>
        <v>-</v>
      </c>
    </row>
    <row r="23848" customHeight="1" spans="2:2">
      <c r="B23848" s="62" t="str">
        <f>IF(AND('领用录入（明细）'!D:D=$F$4,'领用录入（明细）'!C:C&gt;=$J$4,'领用录入（明细）'!C:C&lt;=$L$4),ROW(),"-")</f>
        <v>-</v>
      </c>
    </row>
    <row r="23849" customHeight="1" spans="2:2">
      <c r="B23849" s="62" t="str">
        <f>IF(AND('领用录入（明细）'!D:D=$F$4,'领用录入（明细）'!C:C&gt;=$J$4,'领用录入（明细）'!C:C&lt;=$L$4),ROW(),"-")</f>
        <v>-</v>
      </c>
    </row>
    <row r="23850" customHeight="1" spans="2:2">
      <c r="B23850" s="62" t="str">
        <f>IF(AND('领用录入（明细）'!D:D=$F$4,'领用录入（明细）'!C:C&gt;=$J$4,'领用录入（明细）'!C:C&lt;=$L$4),ROW(),"-")</f>
        <v>-</v>
      </c>
    </row>
    <row r="23851" customHeight="1" spans="2:2">
      <c r="B23851" s="62" t="str">
        <f>IF(AND('领用录入（明细）'!D:D=$F$4,'领用录入（明细）'!C:C&gt;=$J$4,'领用录入（明细）'!C:C&lt;=$L$4),ROW(),"-")</f>
        <v>-</v>
      </c>
    </row>
    <row r="23852" customHeight="1" spans="2:2">
      <c r="B23852" s="62" t="str">
        <f>IF(AND('领用录入（明细）'!D:D=$F$4,'领用录入（明细）'!C:C&gt;=$J$4,'领用录入（明细）'!C:C&lt;=$L$4),ROW(),"-")</f>
        <v>-</v>
      </c>
    </row>
    <row r="23853" customHeight="1" spans="2:2">
      <c r="B23853" s="62" t="str">
        <f>IF(AND('领用录入（明细）'!D:D=$F$4,'领用录入（明细）'!C:C&gt;=$J$4,'领用录入（明细）'!C:C&lt;=$L$4),ROW(),"-")</f>
        <v>-</v>
      </c>
    </row>
    <row r="23854" customHeight="1" spans="2:2">
      <c r="B23854" s="62" t="str">
        <f>IF(AND('领用录入（明细）'!D:D=$F$4,'领用录入（明细）'!C:C&gt;=$J$4,'领用录入（明细）'!C:C&lt;=$L$4),ROW(),"-")</f>
        <v>-</v>
      </c>
    </row>
    <row r="23855" customHeight="1" spans="2:2">
      <c r="B23855" s="62" t="str">
        <f>IF(AND('领用录入（明细）'!D:D=$F$4,'领用录入（明细）'!C:C&gt;=$J$4,'领用录入（明细）'!C:C&lt;=$L$4),ROW(),"-")</f>
        <v>-</v>
      </c>
    </row>
    <row r="23856" customHeight="1" spans="2:2">
      <c r="B23856" s="62" t="str">
        <f>IF(AND('领用录入（明细）'!D:D=$F$4,'领用录入（明细）'!C:C&gt;=$J$4,'领用录入（明细）'!C:C&lt;=$L$4),ROW(),"-")</f>
        <v>-</v>
      </c>
    </row>
    <row r="23857" customHeight="1" spans="2:2">
      <c r="B23857" s="62" t="str">
        <f>IF(AND('领用录入（明细）'!D:D=$F$4,'领用录入（明细）'!C:C&gt;=$J$4,'领用录入（明细）'!C:C&lt;=$L$4),ROW(),"-")</f>
        <v>-</v>
      </c>
    </row>
    <row r="23858" customHeight="1" spans="2:2">
      <c r="B23858" s="62" t="str">
        <f>IF(AND('领用录入（明细）'!D:D=$F$4,'领用录入（明细）'!C:C&gt;=$J$4,'领用录入（明细）'!C:C&lt;=$L$4),ROW(),"-")</f>
        <v>-</v>
      </c>
    </row>
    <row r="23859" customHeight="1" spans="2:2">
      <c r="B23859" s="62" t="str">
        <f>IF(AND('领用录入（明细）'!D:D=$F$4,'领用录入（明细）'!C:C&gt;=$J$4,'领用录入（明细）'!C:C&lt;=$L$4),ROW(),"-")</f>
        <v>-</v>
      </c>
    </row>
    <row r="23860" customHeight="1" spans="2:2">
      <c r="B23860" s="62" t="str">
        <f>IF(AND('领用录入（明细）'!D:D=$F$4,'领用录入（明细）'!C:C&gt;=$J$4,'领用录入（明细）'!C:C&lt;=$L$4),ROW(),"-")</f>
        <v>-</v>
      </c>
    </row>
    <row r="23861" customHeight="1" spans="2:2">
      <c r="B23861" s="62" t="str">
        <f>IF(AND('领用录入（明细）'!D:D=$F$4,'领用录入（明细）'!C:C&gt;=$J$4,'领用录入（明细）'!C:C&lt;=$L$4),ROW(),"-")</f>
        <v>-</v>
      </c>
    </row>
    <row r="23862" customHeight="1" spans="2:2">
      <c r="B23862" s="62" t="str">
        <f>IF(AND('领用录入（明细）'!D:D=$F$4,'领用录入（明细）'!C:C&gt;=$J$4,'领用录入（明细）'!C:C&lt;=$L$4),ROW(),"-")</f>
        <v>-</v>
      </c>
    </row>
    <row r="23863" customHeight="1" spans="2:2">
      <c r="B23863" s="62" t="str">
        <f>IF(AND('领用录入（明细）'!D:D=$F$4,'领用录入（明细）'!C:C&gt;=$J$4,'领用录入（明细）'!C:C&lt;=$L$4),ROW(),"-")</f>
        <v>-</v>
      </c>
    </row>
    <row r="23864" customHeight="1" spans="2:2">
      <c r="B23864" s="62" t="str">
        <f>IF(AND('领用录入（明细）'!D:D=$F$4,'领用录入（明细）'!C:C&gt;=$J$4,'领用录入（明细）'!C:C&lt;=$L$4),ROW(),"-")</f>
        <v>-</v>
      </c>
    </row>
    <row r="23865" customHeight="1" spans="2:2">
      <c r="B23865" s="62" t="str">
        <f>IF(AND('领用录入（明细）'!D:D=$F$4,'领用录入（明细）'!C:C&gt;=$J$4,'领用录入（明细）'!C:C&lt;=$L$4),ROW(),"-")</f>
        <v>-</v>
      </c>
    </row>
    <row r="23866" customHeight="1" spans="2:2">
      <c r="B23866" s="62" t="str">
        <f>IF(AND('领用录入（明细）'!D:D=$F$4,'领用录入（明细）'!C:C&gt;=$J$4,'领用录入（明细）'!C:C&lt;=$L$4),ROW(),"-")</f>
        <v>-</v>
      </c>
    </row>
    <row r="23867" customHeight="1" spans="2:2">
      <c r="B23867" s="62" t="str">
        <f>IF(AND('领用录入（明细）'!D:D=$F$4,'领用录入（明细）'!C:C&gt;=$J$4,'领用录入（明细）'!C:C&lt;=$L$4),ROW(),"-")</f>
        <v>-</v>
      </c>
    </row>
    <row r="23868" customHeight="1" spans="2:2">
      <c r="B23868" s="62" t="str">
        <f>IF(AND('领用录入（明细）'!D:D=$F$4,'领用录入（明细）'!C:C&gt;=$J$4,'领用录入（明细）'!C:C&lt;=$L$4),ROW(),"-")</f>
        <v>-</v>
      </c>
    </row>
    <row r="23869" customHeight="1" spans="2:2">
      <c r="B23869" s="62" t="str">
        <f>IF(AND('领用录入（明细）'!D:D=$F$4,'领用录入（明细）'!C:C&gt;=$J$4,'领用录入（明细）'!C:C&lt;=$L$4),ROW(),"-")</f>
        <v>-</v>
      </c>
    </row>
    <row r="23870" customHeight="1" spans="2:2">
      <c r="B23870" s="62" t="str">
        <f>IF(AND('领用录入（明细）'!D:D=$F$4,'领用录入（明细）'!C:C&gt;=$J$4,'领用录入（明细）'!C:C&lt;=$L$4),ROW(),"-")</f>
        <v>-</v>
      </c>
    </row>
    <row r="23871" customHeight="1" spans="2:2">
      <c r="B23871" s="62" t="str">
        <f>IF(AND('领用录入（明细）'!D:D=$F$4,'领用录入（明细）'!C:C&gt;=$J$4,'领用录入（明细）'!C:C&lt;=$L$4),ROW(),"-")</f>
        <v>-</v>
      </c>
    </row>
    <row r="23872" customHeight="1" spans="2:2">
      <c r="B23872" s="62" t="str">
        <f>IF(AND('领用录入（明细）'!D:D=$F$4,'领用录入（明细）'!C:C&gt;=$J$4,'领用录入（明细）'!C:C&lt;=$L$4),ROW(),"-")</f>
        <v>-</v>
      </c>
    </row>
    <row r="23873" customHeight="1" spans="2:2">
      <c r="B23873" s="62" t="str">
        <f>IF(AND('领用录入（明细）'!D:D=$F$4,'领用录入（明细）'!C:C&gt;=$J$4,'领用录入（明细）'!C:C&lt;=$L$4),ROW(),"-")</f>
        <v>-</v>
      </c>
    </row>
    <row r="23874" customHeight="1" spans="2:2">
      <c r="B23874" s="62" t="str">
        <f>IF(AND('领用录入（明细）'!D:D=$F$4,'领用录入（明细）'!C:C&gt;=$J$4,'领用录入（明细）'!C:C&lt;=$L$4),ROW(),"-")</f>
        <v>-</v>
      </c>
    </row>
    <row r="23875" customHeight="1" spans="2:2">
      <c r="B23875" s="62" t="str">
        <f>IF(AND('领用录入（明细）'!D:D=$F$4,'领用录入（明细）'!C:C&gt;=$J$4,'领用录入（明细）'!C:C&lt;=$L$4),ROW(),"-")</f>
        <v>-</v>
      </c>
    </row>
    <row r="23876" customHeight="1" spans="2:2">
      <c r="B23876" s="62" t="str">
        <f>IF(AND('领用录入（明细）'!D:D=$F$4,'领用录入（明细）'!C:C&gt;=$J$4,'领用录入（明细）'!C:C&lt;=$L$4),ROW(),"-")</f>
        <v>-</v>
      </c>
    </row>
    <row r="23877" customHeight="1" spans="2:2">
      <c r="B23877" s="62" t="str">
        <f>IF(AND('领用录入（明细）'!D:D=$F$4,'领用录入（明细）'!C:C&gt;=$J$4,'领用录入（明细）'!C:C&lt;=$L$4),ROW(),"-")</f>
        <v>-</v>
      </c>
    </row>
    <row r="23878" customHeight="1" spans="2:2">
      <c r="B23878" s="62" t="str">
        <f>IF(AND('领用录入（明细）'!D:D=$F$4,'领用录入（明细）'!C:C&gt;=$J$4,'领用录入（明细）'!C:C&lt;=$L$4),ROW(),"-")</f>
        <v>-</v>
      </c>
    </row>
    <row r="23879" customHeight="1" spans="2:2">
      <c r="B23879" s="62" t="str">
        <f>IF(AND('领用录入（明细）'!D:D=$F$4,'领用录入（明细）'!C:C&gt;=$J$4,'领用录入（明细）'!C:C&lt;=$L$4),ROW(),"-")</f>
        <v>-</v>
      </c>
    </row>
    <row r="23880" customHeight="1" spans="2:2">
      <c r="B23880" s="62" t="str">
        <f>IF(AND('领用录入（明细）'!D:D=$F$4,'领用录入（明细）'!C:C&gt;=$J$4,'领用录入（明细）'!C:C&lt;=$L$4),ROW(),"-")</f>
        <v>-</v>
      </c>
    </row>
    <row r="23881" customHeight="1" spans="2:2">
      <c r="B23881" s="62" t="str">
        <f>IF(AND('领用录入（明细）'!D:D=$F$4,'领用录入（明细）'!C:C&gt;=$J$4,'领用录入（明细）'!C:C&lt;=$L$4),ROW(),"-")</f>
        <v>-</v>
      </c>
    </row>
    <row r="23882" customHeight="1" spans="2:2">
      <c r="B23882" s="62" t="str">
        <f>IF(AND('领用录入（明细）'!D:D=$F$4,'领用录入（明细）'!C:C&gt;=$J$4,'领用录入（明细）'!C:C&lt;=$L$4),ROW(),"-")</f>
        <v>-</v>
      </c>
    </row>
    <row r="23883" customHeight="1" spans="2:2">
      <c r="B23883" s="62" t="str">
        <f>IF(AND('领用录入（明细）'!D:D=$F$4,'领用录入（明细）'!C:C&gt;=$J$4,'领用录入（明细）'!C:C&lt;=$L$4),ROW(),"-")</f>
        <v>-</v>
      </c>
    </row>
    <row r="23884" customHeight="1" spans="2:2">
      <c r="B23884" s="62" t="str">
        <f>IF(AND('领用录入（明细）'!D:D=$F$4,'领用录入（明细）'!C:C&gt;=$J$4,'领用录入（明细）'!C:C&lt;=$L$4),ROW(),"-")</f>
        <v>-</v>
      </c>
    </row>
    <row r="23885" customHeight="1" spans="2:2">
      <c r="B23885" s="62" t="str">
        <f>IF(AND('领用录入（明细）'!D:D=$F$4,'领用录入（明细）'!C:C&gt;=$J$4,'领用录入（明细）'!C:C&lt;=$L$4),ROW(),"-")</f>
        <v>-</v>
      </c>
    </row>
    <row r="23886" customHeight="1" spans="2:2">
      <c r="B23886" s="62" t="str">
        <f>IF(AND('领用录入（明细）'!D:D=$F$4,'领用录入（明细）'!C:C&gt;=$J$4,'领用录入（明细）'!C:C&lt;=$L$4),ROW(),"-")</f>
        <v>-</v>
      </c>
    </row>
    <row r="23887" customHeight="1" spans="2:2">
      <c r="B23887" s="62" t="str">
        <f>IF(AND('领用录入（明细）'!D:D=$F$4,'领用录入（明细）'!C:C&gt;=$J$4,'领用录入（明细）'!C:C&lt;=$L$4),ROW(),"-")</f>
        <v>-</v>
      </c>
    </row>
    <row r="23888" customHeight="1" spans="2:2">
      <c r="B23888" s="62" t="str">
        <f>IF(AND('领用录入（明细）'!D:D=$F$4,'领用录入（明细）'!C:C&gt;=$J$4,'领用录入（明细）'!C:C&lt;=$L$4),ROW(),"-")</f>
        <v>-</v>
      </c>
    </row>
    <row r="23889" customHeight="1" spans="2:2">
      <c r="B23889" s="62" t="str">
        <f>IF(AND('领用录入（明细）'!D:D=$F$4,'领用录入（明细）'!C:C&gt;=$J$4,'领用录入（明细）'!C:C&lt;=$L$4),ROW(),"-")</f>
        <v>-</v>
      </c>
    </row>
    <row r="23890" customHeight="1" spans="2:2">
      <c r="B23890" s="62" t="str">
        <f>IF(AND('领用录入（明细）'!D:D=$F$4,'领用录入（明细）'!C:C&gt;=$J$4,'领用录入（明细）'!C:C&lt;=$L$4),ROW(),"-")</f>
        <v>-</v>
      </c>
    </row>
    <row r="23891" customHeight="1" spans="2:2">
      <c r="B23891" s="62" t="str">
        <f>IF(AND('领用录入（明细）'!D:D=$F$4,'领用录入（明细）'!C:C&gt;=$J$4,'领用录入（明细）'!C:C&lt;=$L$4),ROW(),"-")</f>
        <v>-</v>
      </c>
    </row>
    <row r="23892" customHeight="1" spans="2:2">
      <c r="B23892" s="62" t="str">
        <f>IF(AND('领用录入（明细）'!D:D=$F$4,'领用录入（明细）'!C:C&gt;=$J$4,'领用录入（明细）'!C:C&lt;=$L$4),ROW(),"-")</f>
        <v>-</v>
      </c>
    </row>
    <row r="23893" customHeight="1" spans="2:2">
      <c r="B23893" s="62" t="str">
        <f>IF(AND('领用录入（明细）'!D:D=$F$4,'领用录入（明细）'!C:C&gt;=$J$4,'领用录入（明细）'!C:C&lt;=$L$4),ROW(),"-")</f>
        <v>-</v>
      </c>
    </row>
    <row r="23894" customHeight="1" spans="2:2">
      <c r="B23894" s="62" t="str">
        <f>IF(AND('领用录入（明细）'!D:D=$F$4,'领用录入（明细）'!C:C&gt;=$J$4,'领用录入（明细）'!C:C&lt;=$L$4),ROW(),"-")</f>
        <v>-</v>
      </c>
    </row>
    <row r="23895" customHeight="1" spans="2:2">
      <c r="B23895" s="62" t="str">
        <f>IF(AND('领用录入（明细）'!D:D=$F$4,'领用录入（明细）'!C:C&gt;=$J$4,'领用录入（明细）'!C:C&lt;=$L$4),ROW(),"-")</f>
        <v>-</v>
      </c>
    </row>
    <row r="23896" customHeight="1" spans="2:2">
      <c r="B23896" s="62" t="str">
        <f>IF(AND('领用录入（明细）'!D:D=$F$4,'领用录入（明细）'!C:C&gt;=$J$4,'领用录入（明细）'!C:C&lt;=$L$4),ROW(),"-")</f>
        <v>-</v>
      </c>
    </row>
    <row r="23897" customHeight="1" spans="2:2">
      <c r="B23897" s="62" t="str">
        <f>IF(AND('领用录入（明细）'!D:D=$F$4,'领用录入（明细）'!C:C&gt;=$J$4,'领用录入（明细）'!C:C&lt;=$L$4),ROW(),"-")</f>
        <v>-</v>
      </c>
    </row>
    <row r="23898" customHeight="1" spans="2:2">
      <c r="B23898" s="62" t="str">
        <f>IF(AND('领用录入（明细）'!D:D=$F$4,'领用录入（明细）'!C:C&gt;=$J$4,'领用录入（明细）'!C:C&lt;=$L$4),ROW(),"-")</f>
        <v>-</v>
      </c>
    </row>
    <row r="23899" customHeight="1" spans="2:2">
      <c r="B23899" s="62" t="str">
        <f>IF(AND('领用录入（明细）'!D:D=$F$4,'领用录入（明细）'!C:C&gt;=$J$4,'领用录入（明细）'!C:C&lt;=$L$4),ROW(),"-")</f>
        <v>-</v>
      </c>
    </row>
    <row r="23900" customHeight="1" spans="2:2">
      <c r="B23900" s="62" t="str">
        <f>IF(AND('领用录入（明细）'!D:D=$F$4,'领用录入（明细）'!C:C&gt;=$J$4,'领用录入（明细）'!C:C&lt;=$L$4),ROW(),"-")</f>
        <v>-</v>
      </c>
    </row>
    <row r="23901" customHeight="1" spans="2:2">
      <c r="B23901" s="62" t="str">
        <f>IF(AND('领用录入（明细）'!D:D=$F$4,'领用录入（明细）'!C:C&gt;=$J$4,'领用录入（明细）'!C:C&lt;=$L$4),ROW(),"-")</f>
        <v>-</v>
      </c>
    </row>
    <row r="23902" customHeight="1" spans="2:2">
      <c r="B23902" s="62" t="str">
        <f>IF(AND('领用录入（明细）'!D:D=$F$4,'领用录入（明细）'!C:C&gt;=$J$4,'领用录入（明细）'!C:C&lt;=$L$4),ROW(),"-")</f>
        <v>-</v>
      </c>
    </row>
    <row r="23903" customHeight="1" spans="2:2">
      <c r="B23903" s="62" t="str">
        <f>IF(AND('领用录入（明细）'!D:D=$F$4,'领用录入（明细）'!C:C&gt;=$J$4,'领用录入（明细）'!C:C&lt;=$L$4),ROW(),"-")</f>
        <v>-</v>
      </c>
    </row>
    <row r="23904" customHeight="1" spans="2:2">
      <c r="B23904" s="62" t="str">
        <f>IF(AND('领用录入（明细）'!D:D=$F$4,'领用录入（明细）'!C:C&gt;=$J$4,'领用录入（明细）'!C:C&lt;=$L$4),ROW(),"-")</f>
        <v>-</v>
      </c>
    </row>
    <row r="23905" customHeight="1" spans="2:2">
      <c r="B23905" s="62" t="str">
        <f>IF(AND('领用录入（明细）'!D:D=$F$4,'领用录入（明细）'!C:C&gt;=$J$4,'领用录入（明细）'!C:C&lt;=$L$4),ROW(),"-")</f>
        <v>-</v>
      </c>
    </row>
    <row r="23906" customHeight="1" spans="2:2">
      <c r="B23906" s="62" t="str">
        <f>IF(AND('领用录入（明细）'!D:D=$F$4,'领用录入（明细）'!C:C&gt;=$J$4,'领用录入（明细）'!C:C&lt;=$L$4),ROW(),"-")</f>
        <v>-</v>
      </c>
    </row>
    <row r="23907" customHeight="1" spans="2:2">
      <c r="B23907" s="62" t="str">
        <f>IF(AND('领用录入（明细）'!D:D=$F$4,'领用录入（明细）'!C:C&gt;=$J$4,'领用录入（明细）'!C:C&lt;=$L$4),ROW(),"-")</f>
        <v>-</v>
      </c>
    </row>
    <row r="23908" customHeight="1" spans="2:2">
      <c r="B23908" s="62" t="str">
        <f>IF(AND('领用录入（明细）'!D:D=$F$4,'领用录入（明细）'!C:C&gt;=$J$4,'领用录入（明细）'!C:C&lt;=$L$4),ROW(),"-")</f>
        <v>-</v>
      </c>
    </row>
    <row r="23909" customHeight="1" spans="2:2">
      <c r="B23909" s="62" t="str">
        <f>IF(AND('领用录入（明细）'!D:D=$F$4,'领用录入（明细）'!C:C&gt;=$J$4,'领用录入（明细）'!C:C&lt;=$L$4),ROW(),"-")</f>
        <v>-</v>
      </c>
    </row>
    <row r="23910" customHeight="1" spans="2:2">
      <c r="B23910" s="62" t="str">
        <f>IF(AND('领用录入（明细）'!D:D=$F$4,'领用录入（明细）'!C:C&gt;=$J$4,'领用录入（明细）'!C:C&lt;=$L$4),ROW(),"-")</f>
        <v>-</v>
      </c>
    </row>
    <row r="23911" customHeight="1" spans="2:2">
      <c r="B23911" s="62" t="str">
        <f>IF(AND('领用录入（明细）'!D:D=$F$4,'领用录入（明细）'!C:C&gt;=$J$4,'领用录入（明细）'!C:C&lt;=$L$4),ROW(),"-")</f>
        <v>-</v>
      </c>
    </row>
    <row r="23912" customHeight="1" spans="2:2">
      <c r="B23912" s="62" t="str">
        <f>IF(AND('领用录入（明细）'!D:D=$F$4,'领用录入（明细）'!C:C&gt;=$J$4,'领用录入（明细）'!C:C&lt;=$L$4),ROW(),"-")</f>
        <v>-</v>
      </c>
    </row>
    <row r="23913" customHeight="1" spans="2:2">
      <c r="B23913" s="62" t="str">
        <f>IF(AND('领用录入（明细）'!D:D=$F$4,'领用录入（明细）'!C:C&gt;=$J$4,'领用录入（明细）'!C:C&lt;=$L$4),ROW(),"-")</f>
        <v>-</v>
      </c>
    </row>
    <row r="23914" customHeight="1" spans="2:2">
      <c r="B23914" s="62" t="str">
        <f>IF(AND('领用录入（明细）'!D:D=$F$4,'领用录入（明细）'!C:C&gt;=$J$4,'领用录入（明细）'!C:C&lt;=$L$4),ROW(),"-")</f>
        <v>-</v>
      </c>
    </row>
    <row r="23915" customHeight="1" spans="2:2">
      <c r="B23915" s="62" t="str">
        <f>IF(AND('领用录入（明细）'!D:D=$F$4,'领用录入（明细）'!C:C&gt;=$J$4,'领用录入（明细）'!C:C&lt;=$L$4),ROW(),"-")</f>
        <v>-</v>
      </c>
    </row>
    <row r="23916" customHeight="1" spans="2:2">
      <c r="B23916" s="62" t="str">
        <f>IF(AND('领用录入（明细）'!D:D=$F$4,'领用录入（明细）'!C:C&gt;=$J$4,'领用录入（明细）'!C:C&lt;=$L$4),ROW(),"-")</f>
        <v>-</v>
      </c>
    </row>
    <row r="23917" customHeight="1" spans="2:2">
      <c r="B23917" s="62" t="str">
        <f>IF(AND('领用录入（明细）'!D:D=$F$4,'领用录入（明细）'!C:C&gt;=$J$4,'领用录入（明细）'!C:C&lt;=$L$4),ROW(),"-")</f>
        <v>-</v>
      </c>
    </row>
    <row r="23918" customHeight="1" spans="2:2">
      <c r="B23918" s="62" t="str">
        <f>IF(AND('领用录入（明细）'!D:D=$F$4,'领用录入（明细）'!C:C&gt;=$J$4,'领用录入（明细）'!C:C&lt;=$L$4),ROW(),"-")</f>
        <v>-</v>
      </c>
    </row>
    <row r="23919" customHeight="1" spans="2:2">
      <c r="B23919" s="62" t="str">
        <f>IF(AND('领用录入（明细）'!D:D=$F$4,'领用录入（明细）'!C:C&gt;=$J$4,'领用录入（明细）'!C:C&lt;=$L$4),ROW(),"-")</f>
        <v>-</v>
      </c>
    </row>
    <row r="23920" customHeight="1" spans="2:2">
      <c r="B23920" s="62" t="str">
        <f>IF(AND('领用录入（明细）'!D:D=$F$4,'领用录入（明细）'!C:C&gt;=$J$4,'领用录入（明细）'!C:C&lt;=$L$4),ROW(),"-")</f>
        <v>-</v>
      </c>
    </row>
    <row r="23921" customHeight="1" spans="2:2">
      <c r="B23921" s="62" t="str">
        <f>IF(AND('领用录入（明细）'!D:D=$F$4,'领用录入（明细）'!C:C&gt;=$J$4,'领用录入（明细）'!C:C&lt;=$L$4),ROW(),"-")</f>
        <v>-</v>
      </c>
    </row>
    <row r="23922" customHeight="1" spans="2:2">
      <c r="B23922" s="62" t="str">
        <f>IF(AND('领用录入（明细）'!D:D=$F$4,'领用录入（明细）'!C:C&gt;=$J$4,'领用录入（明细）'!C:C&lt;=$L$4),ROW(),"-")</f>
        <v>-</v>
      </c>
    </row>
    <row r="23923" customHeight="1" spans="2:2">
      <c r="B23923" s="62" t="str">
        <f>IF(AND('领用录入（明细）'!D:D=$F$4,'领用录入（明细）'!C:C&gt;=$J$4,'领用录入（明细）'!C:C&lt;=$L$4),ROW(),"-")</f>
        <v>-</v>
      </c>
    </row>
    <row r="23924" customHeight="1" spans="2:2">
      <c r="B23924" s="62" t="str">
        <f>IF(AND('领用录入（明细）'!D:D=$F$4,'领用录入（明细）'!C:C&gt;=$J$4,'领用录入（明细）'!C:C&lt;=$L$4),ROW(),"-")</f>
        <v>-</v>
      </c>
    </row>
    <row r="23925" customHeight="1" spans="2:2">
      <c r="B23925" s="62" t="str">
        <f>IF(AND('领用录入（明细）'!D:D=$F$4,'领用录入（明细）'!C:C&gt;=$J$4,'领用录入（明细）'!C:C&lt;=$L$4),ROW(),"-")</f>
        <v>-</v>
      </c>
    </row>
    <row r="23926" customHeight="1" spans="2:2">
      <c r="B23926" s="62" t="str">
        <f>IF(AND('领用录入（明细）'!D:D=$F$4,'领用录入（明细）'!C:C&gt;=$J$4,'领用录入（明细）'!C:C&lt;=$L$4),ROW(),"-")</f>
        <v>-</v>
      </c>
    </row>
    <row r="23927" customHeight="1" spans="2:2">
      <c r="B23927" s="62" t="str">
        <f>IF(AND('领用录入（明细）'!D:D=$F$4,'领用录入（明细）'!C:C&gt;=$J$4,'领用录入（明细）'!C:C&lt;=$L$4),ROW(),"-")</f>
        <v>-</v>
      </c>
    </row>
    <row r="23928" customHeight="1" spans="2:2">
      <c r="B23928" s="62" t="str">
        <f>IF(AND('领用录入（明细）'!D:D=$F$4,'领用录入（明细）'!C:C&gt;=$J$4,'领用录入（明细）'!C:C&lt;=$L$4),ROW(),"-")</f>
        <v>-</v>
      </c>
    </row>
    <row r="23929" customHeight="1" spans="2:2">
      <c r="B23929" s="62" t="str">
        <f>IF(AND('领用录入（明细）'!D:D=$F$4,'领用录入（明细）'!C:C&gt;=$J$4,'领用录入（明细）'!C:C&lt;=$L$4),ROW(),"-")</f>
        <v>-</v>
      </c>
    </row>
    <row r="23930" customHeight="1" spans="2:2">
      <c r="B23930" s="62" t="str">
        <f>IF(AND('领用录入（明细）'!D:D=$F$4,'领用录入（明细）'!C:C&gt;=$J$4,'领用录入（明细）'!C:C&lt;=$L$4),ROW(),"-")</f>
        <v>-</v>
      </c>
    </row>
    <row r="23931" customHeight="1" spans="2:2">
      <c r="B23931" s="62" t="str">
        <f>IF(AND('领用录入（明细）'!D:D=$F$4,'领用录入（明细）'!C:C&gt;=$J$4,'领用录入（明细）'!C:C&lt;=$L$4),ROW(),"-")</f>
        <v>-</v>
      </c>
    </row>
    <row r="23932" customHeight="1" spans="2:2">
      <c r="B23932" s="62" t="str">
        <f>IF(AND('领用录入（明细）'!D:D=$F$4,'领用录入（明细）'!C:C&gt;=$J$4,'领用录入（明细）'!C:C&lt;=$L$4),ROW(),"-")</f>
        <v>-</v>
      </c>
    </row>
    <row r="23933" customHeight="1" spans="2:2">
      <c r="B23933" s="62" t="str">
        <f>IF(AND('领用录入（明细）'!D:D=$F$4,'领用录入（明细）'!C:C&gt;=$J$4,'领用录入（明细）'!C:C&lt;=$L$4),ROW(),"-")</f>
        <v>-</v>
      </c>
    </row>
    <row r="23934" customHeight="1" spans="2:2">
      <c r="B23934" s="62" t="str">
        <f>IF(AND('领用录入（明细）'!D:D=$F$4,'领用录入（明细）'!C:C&gt;=$J$4,'领用录入（明细）'!C:C&lt;=$L$4),ROW(),"-")</f>
        <v>-</v>
      </c>
    </row>
    <row r="23935" customHeight="1" spans="2:2">
      <c r="B23935" s="62" t="str">
        <f>IF(AND('领用录入（明细）'!D:D=$F$4,'领用录入（明细）'!C:C&gt;=$J$4,'领用录入（明细）'!C:C&lt;=$L$4),ROW(),"-")</f>
        <v>-</v>
      </c>
    </row>
    <row r="23936" customHeight="1" spans="2:2">
      <c r="B23936" s="62" t="str">
        <f>IF(AND('领用录入（明细）'!D:D=$F$4,'领用录入（明细）'!C:C&gt;=$J$4,'领用录入（明细）'!C:C&lt;=$L$4),ROW(),"-")</f>
        <v>-</v>
      </c>
    </row>
    <row r="23937" customHeight="1" spans="2:2">
      <c r="B23937" s="62" t="str">
        <f>IF(AND('领用录入（明细）'!D:D=$F$4,'领用录入（明细）'!C:C&gt;=$J$4,'领用录入（明细）'!C:C&lt;=$L$4),ROW(),"-")</f>
        <v>-</v>
      </c>
    </row>
    <row r="23938" customHeight="1" spans="2:2">
      <c r="B23938" s="62" t="str">
        <f>IF(AND('领用录入（明细）'!D:D=$F$4,'领用录入（明细）'!C:C&gt;=$J$4,'领用录入（明细）'!C:C&lt;=$L$4),ROW(),"-")</f>
        <v>-</v>
      </c>
    </row>
    <row r="23939" customHeight="1" spans="2:2">
      <c r="B23939" s="62" t="str">
        <f>IF(AND('领用录入（明细）'!D:D=$F$4,'领用录入（明细）'!C:C&gt;=$J$4,'领用录入（明细）'!C:C&lt;=$L$4),ROW(),"-")</f>
        <v>-</v>
      </c>
    </row>
    <row r="23940" customHeight="1" spans="2:2">
      <c r="B23940" s="62" t="str">
        <f>IF(AND('领用录入（明细）'!D:D=$F$4,'领用录入（明细）'!C:C&gt;=$J$4,'领用录入（明细）'!C:C&lt;=$L$4),ROW(),"-")</f>
        <v>-</v>
      </c>
    </row>
    <row r="23941" customHeight="1" spans="2:2">
      <c r="B23941" s="62" t="str">
        <f>IF(AND('领用录入（明细）'!D:D=$F$4,'领用录入（明细）'!C:C&gt;=$J$4,'领用录入（明细）'!C:C&lt;=$L$4),ROW(),"-")</f>
        <v>-</v>
      </c>
    </row>
    <row r="23942" customHeight="1" spans="2:2">
      <c r="B23942" s="62" t="str">
        <f>IF(AND('领用录入（明细）'!D:D=$F$4,'领用录入（明细）'!C:C&gt;=$J$4,'领用录入（明细）'!C:C&lt;=$L$4),ROW(),"-")</f>
        <v>-</v>
      </c>
    </row>
    <row r="23943" customHeight="1" spans="2:2">
      <c r="B23943" s="62" t="str">
        <f>IF(AND('领用录入（明细）'!D:D=$F$4,'领用录入（明细）'!C:C&gt;=$J$4,'领用录入（明细）'!C:C&lt;=$L$4),ROW(),"-")</f>
        <v>-</v>
      </c>
    </row>
    <row r="23944" customHeight="1" spans="2:2">
      <c r="B23944" s="62" t="str">
        <f>IF(AND('领用录入（明细）'!D:D=$F$4,'领用录入（明细）'!C:C&gt;=$J$4,'领用录入（明细）'!C:C&lt;=$L$4),ROW(),"-")</f>
        <v>-</v>
      </c>
    </row>
    <row r="23945" customHeight="1" spans="2:2">
      <c r="B23945" s="62" t="str">
        <f>IF(AND('领用录入（明细）'!D:D=$F$4,'领用录入（明细）'!C:C&gt;=$J$4,'领用录入（明细）'!C:C&lt;=$L$4),ROW(),"-")</f>
        <v>-</v>
      </c>
    </row>
    <row r="23946" customHeight="1" spans="2:2">
      <c r="B23946" s="62" t="str">
        <f>IF(AND('领用录入（明细）'!D:D=$F$4,'领用录入（明细）'!C:C&gt;=$J$4,'领用录入（明细）'!C:C&lt;=$L$4),ROW(),"-")</f>
        <v>-</v>
      </c>
    </row>
    <row r="23947" customHeight="1" spans="2:2">
      <c r="B23947" s="62" t="str">
        <f>IF(AND('领用录入（明细）'!D:D=$F$4,'领用录入（明细）'!C:C&gt;=$J$4,'领用录入（明细）'!C:C&lt;=$L$4),ROW(),"-")</f>
        <v>-</v>
      </c>
    </row>
    <row r="23948" customHeight="1" spans="2:2">
      <c r="B23948" s="62" t="str">
        <f>IF(AND('领用录入（明细）'!D:D=$F$4,'领用录入（明细）'!C:C&gt;=$J$4,'领用录入（明细）'!C:C&lt;=$L$4),ROW(),"-")</f>
        <v>-</v>
      </c>
    </row>
    <row r="23949" customHeight="1" spans="2:2">
      <c r="B23949" s="62" t="str">
        <f>IF(AND('领用录入（明细）'!D:D=$F$4,'领用录入（明细）'!C:C&gt;=$J$4,'领用录入（明细）'!C:C&lt;=$L$4),ROW(),"-")</f>
        <v>-</v>
      </c>
    </row>
    <row r="23950" customHeight="1" spans="2:2">
      <c r="B23950" s="62" t="str">
        <f>IF(AND('领用录入（明细）'!D:D=$F$4,'领用录入（明细）'!C:C&gt;=$J$4,'领用录入（明细）'!C:C&lt;=$L$4),ROW(),"-")</f>
        <v>-</v>
      </c>
    </row>
    <row r="23951" customHeight="1" spans="2:2">
      <c r="B23951" s="62" t="str">
        <f>IF(AND('领用录入（明细）'!D:D=$F$4,'领用录入（明细）'!C:C&gt;=$J$4,'领用录入（明细）'!C:C&lt;=$L$4),ROW(),"-")</f>
        <v>-</v>
      </c>
    </row>
    <row r="23952" customHeight="1" spans="2:2">
      <c r="B23952" s="62" t="str">
        <f>IF(AND('领用录入（明细）'!D:D=$F$4,'领用录入（明细）'!C:C&gt;=$J$4,'领用录入（明细）'!C:C&lt;=$L$4),ROW(),"-")</f>
        <v>-</v>
      </c>
    </row>
    <row r="23953" customHeight="1" spans="2:2">
      <c r="B23953" s="62" t="str">
        <f>IF(AND('领用录入（明细）'!D:D=$F$4,'领用录入（明细）'!C:C&gt;=$J$4,'领用录入（明细）'!C:C&lt;=$L$4),ROW(),"-")</f>
        <v>-</v>
      </c>
    </row>
    <row r="23954" customHeight="1" spans="2:2">
      <c r="B23954" s="62" t="str">
        <f>IF(AND('领用录入（明细）'!D:D=$F$4,'领用录入（明细）'!C:C&gt;=$J$4,'领用录入（明细）'!C:C&lt;=$L$4),ROW(),"-")</f>
        <v>-</v>
      </c>
    </row>
    <row r="23955" customHeight="1" spans="2:2">
      <c r="B23955" s="62" t="str">
        <f>IF(AND('领用录入（明细）'!D:D=$F$4,'领用录入（明细）'!C:C&gt;=$J$4,'领用录入（明细）'!C:C&lt;=$L$4),ROW(),"-")</f>
        <v>-</v>
      </c>
    </row>
    <row r="23956" customHeight="1" spans="2:2">
      <c r="B23956" s="62" t="str">
        <f>IF(AND('领用录入（明细）'!D:D=$F$4,'领用录入（明细）'!C:C&gt;=$J$4,'领用录入（明细）'!C:C&lt;=$L$4),ROW(),"-")</f>
        <v>-</v>
      </c>
    </row>
    <row r="23957" customHeight="1" spans="2:2">
      <c r="B23957" s="62" t="str">
        <f>IF(AND('领用录入（明细）'!D:D=$F$4,'领用录入（明细）'!C:C&gt;=$J$4,'领用录入（明细）'!C:C&lt;=$L$4),ROW(),"-")</f>
        <v>-</v>
      </c>
    </row>
    <row r="23958" customHeight="1" spans="2:2">
      <c r="B23958" s="62" t="str">
        <f>IF(AND('领用录入（明细）'!D:D=$F$4,'领用录入（明细）'!C:C&gt;=$J$4,'领用录入（明细）'!C:C&lt;=$L$4),ROW(),"-")</f>
        <v>-</v>
      </c>
    </row>
    <row r="23959" customHeight="1" spans="2:2">
      <c r="B23959" s="62" t="str">
        <f>IF(AND('领用录入（明细）'!D:D=$F$4,'领用录入（明细）'!C:C&gt;=$J$4,'领用录入（明细）'!C:C&lt;=$L$4),ROW(),"-")</f>
        <v>-</v>
      </c>
    </row>
    <row r="23960" customHeight="1" spans="2:2">
      <c r="B23960" s="62" t="str">
        <f>IF(AND('领用录入（明细）'!D:D=$F$4,'领用录入（明细）'!C:C&gt;=$J$4,'领用录入（明细）'!C:C&lt;=$L$4),ROW(),"-")</f>
        <v>-</v>
      </c>
    </row>
    <row r="23961" customHeight="1" spans="2:2">
      <c r="B23961" s="62" t="str">
        <f>IF(AND('领用录入（明细）'!D:D=$F$4,'领用录入（明细）'!C:C&gt;=$J$4,'领用录入（明细）'!C:C&lt;=$L$4),ROW(),"-")</f>
        <v>-</v>
      </c>
    </row>
    <row r="23962" customHeight="1" spans="2:2">
      <c r="B23962" s="62" t="str">
        <f>IF(AND('领用录入（明细）'!D:D=$F$4,'领用录入（明细）'!C:C&gt;=$J$4,'领用录入（明细）'!C:C&lt;=$L$4),ROW(),"-")</f>
        <v>-</v>
      </c>
    </row>
    <row r="23963" customHeight="1" spans="2:2">
      <c r="B23963" s="62" t="str">
        <f>IF(AND('领用录入（明细）'!D:D=$F$4,'领用录入（明细）'!C:C&gt;=$J$4,'领用录入（明细）'!C:C&lt;=$L$4),ROW(),"-")</f>
        <v>-</v>
      </c>
    </row>
    <row r="23964" customHeight="1" spans="2:2">
      <c r="B23964" s="62" t="str">
        <f>IF(AND('领用录入（明细）'!D:D=$F$4,'领用录入（明细）'!C:C&gt;=$J$4,'领用录入（明细）'!C:C&lt;=$L$4),ROW(),"-")</f>
        <v>-</v>
      </c>
    </row>
    <row r="23965" customHeight="1" spans="2:2">
      <c r="B23965" s="62" t="str">
        <f>IF(AND('领用录入（明细）'!D:D=$F$4,'领用录入（明细）'!C:C&gt;=$J$4,'领用录入（明细）'!C:C&lt;=$L$4),ROW(),"-")</f>
        <v>-</v>
      </c>
    </row>
    <row r="23966" customHeight="1" spans="2:2">
      <c r="B23966" s="62" t="str">
        <f>IF(AND('领用录入（明细）'!D:D=$F$4,'领用录入（明细）'!C:C&gt;=$J$4,'领用录入（明细）'!C:C&lt;=$L$4),ROW(),"-")</f>
        <v>-</v>
      </c>
    </row>
    <row r="23967" customHeight="1" spans="2:2">
      <c r="B23967" s="62" t="str">
        <f>IF(AND('领用录入（明细）'!D:D=$F$4,'领用录入（明细）'!C:C&gt;=$J$4,'领用录入（明细）'!C:C&lt;=$L$4),ROW(),"-")</f>
        <v>-</v>
      </c>
    </row>
    <row r="23968" customHeight="1" spans="2:2">
      <c r="B23968" s="62" t="str">
        <f>IF(AND('领用录入（明细）'!D:D=$F$4,'领用录入（明细）'!C:C&gt;=$J$4,'领用录入（明细）'!C:C&lt;=$L$4),ROW(),"-")</f>
        <v>-</v>
      </c>
    </row>
    <row r="23969" customHeight="1" spans="2:2">
      <c r="B23969" s="62" t="str">
        <f>IF(AND('领用录入（明细）'!D:D=$F$4,'领用录入（明细）'!C:C&gt;=$J$4,'领用录入（明细）'!C:C&lt;=$L$4),ROW(),"-")</f>
        <v>-</v>
      </c>
    </row>
    <row r="23970" customHeight="1" spans="2:2">
      <c r="B23970" s="62" t="str">
        <f>IF(AND('领用录入（明细）'!D:D=$F$4,'领用录入（明细）'!C:C&gt;=$J$4,'领用录入（明细）'!C:C&lt;=$L$4),ROW(),"-")</f>
        <v>-</v>
      </c>
    </row>
    <row r="23971" customHeight="1" spans="2:2">
      <c r="B23971" s="62" t="str">
        <f>IF(AND('领用录入（明细）'!D:D=$F$4,'领用录入（明细）'!C:C&gt;=$J$4,'领用录入（明细）'!C:C&lt;=$L$4),ROW(),"-")</f>
        <v>-</v>
      </c>
    </row>
    <row r="23972" customHeight="1" spans="2:2">
      <c r="B23972" s="62" t="str">
        <f>IF(AND('领用录入（明细）'!D:D=$F$4,'领用录入（明细）'!C:C&gt;=$J$4,'领用录入（明细）'!C:C&lt;=$L$4),ROW(),"-")</f>
        <v>-</v>
      </c>
    </row>
    <row r="23973" customHeight="1" spans="2:2">
      <c r="B23973" s="62" t="str">
        <f>IF(AND('领用录入（明细）'!D:D=$F$4,'领用录入（明细）'!C:C&gt;=$J$4,'领用录入（明细）'!C:C&lt;=$L$4),ROW(),"-")</f>
        <v>-</v>
      </c>
    </row>
    <row r="23974" customHeight="1" spans="2:2">
      <c r="B23974" s="62" t="str">
        <f>IF(AND('领用录入（明细）'!D:D=$F$4,'领用录入（明细）'!C:C&gt;=$J$4,'领用录入（明细）'!C:C&lt;=$L$4),ROW(),"-")</f>
        <v>-</v>
      </c>
    </row>
    <row r="23975" customHeight="1" spans="2:2">
      <c r="B23975" s="62" t="str">
        <f>IF(AND('领用录入（明细）'!D:D=$F$4,'领用录入（明细）'!C:C&gt;=$J$4,'领用录入（明细）'!C:C&lt;=$L$4),ROW(),"-")</f>
        <v>-</v>
      </c>
    </row>
    <row r="23976" customHeight="1" spans="2:2">
      <c r="B23976" s="62" t="str">
        <f>IF(AND('领用录入（明细）'!D:D=$F$4,'领用录入（明细）'!C:C&gt;=$J$4,'领用录入（明细）'!C:C&lt;=$L$4),ROW(),"-")</f>
        <v>-</v>
      </c>
    </row>
    <row r="23977" customHeight="1" spans="2:2">
      <c r="B23977" s="62" t="str">
        <f>IF(AND('领用录入（明细）'!D:D=$F$4,'领用录入（明细）'!C:C&gt;=$J$4,'领用录入（明细）'!C:C&lt;=$L$4),ROW(),"-")</f>
        <v>-</v>
      </c>
    </row>
    <row r="23978" customHeight="1" spans="2:2">
      <c r="B23978" s="62" t="str">
        <f>IF(AND('领用录入（明细）'!D:D=$F$4,'领用录入（明细）'!C:C&gt;=$J$4,'领用录入（明细）'!C:C&lt;=$L$4),ROW(),"-")</f>
        <v>-</v>
      </c>
    </row>
    <row r="23979" customHeight="1" spans="2:2">
      <c r="B23979" s="62" t="str">
        <f>IF(AND('领用录入（明细）'!D:D=$F$4,'领用录入（明细）'!C:C&gt;=$J$4,'领用录入（明细）'!C:C&lt;=$L$4),ROW(),"-")</f>
        <v>-</v>
      </c>
    </row>
    <row r="23980" customHeight="1" spans="2:2">
      <c r="B23980" s="62" t="str">
        <f>IF(AND('领用录入（明细）'!D:D=$F$4,'领用录入（明细）'!C:C&gt;=$J$4,'领用录入（明细）'!C:C&lt;=$L$4),ROW(),"-")</f>
        <v>-</v>
      </c>
    </row>
    <row r="23981" customHeight="1" spans="2:2">
      <c r="B23981" s="62" t="str">
        <f>IF(AND('领用录入（明细）'!D:D=$F$4,'领用录入（明细）'!C:C&gt;=$J$4,'领用录入（明细）'!C:C&lt;=$L$4),ROW(),"-")</f>
        <v>-</v>
      </c>
    </row>
    <row r="23982" customHeight="1" spans="2:2">
      <c r="B23982" s="62" t="str">
        <f>IF(AND('领用录入（明细）'!D:D=$F$4,'领用录入（明细）'!C:C&gt;=$J$4,'领用录入（明细）'!C:C&lt;=$L$4),ROW(),"-")</f>
        <v>-</v>
      </c>
    </row>
    <row r="23983" customHeight="1" spans="2:2">
      <c r="B23983" s="62" t="str">
        <f>IF(AND('领用录入（明细）'!D:D=$F$4,'领用录入（明细）'!C:C&gt;=$J$4,'领用录入（明细）'!C:C&lt;=$L$4),ROW(),"-")</f>
        <v>-</v>
      </c>
    </row>
    <row r="23984" customHeight="1" spans="2:2">
      <c r="B23984" s="62" t="str">
        <f>IF(AND('领用录入（明细）'!D:D=$F$4,'领用录入（明细）'!C:C&gt;=$J$4,'领用录入（明细）'!C:C&lt;=$L$4),ROW(),"-")</f>
        <v>-</v>
      </c>
    </row>
    <row r="23985" customHeight="1" spans="2:2">
      <c r="B23985" s="62" t="str">
        <f>IF(AND('领用录入（明细）'!D:D=$F$4,'领用录入（明细）'!C:C&gt;=$J$4,'领用录入（明细）'!C:C&lt;=$L$4),ROW(),"-")</f>
        <v>-</v>
      </c>
    </row>
    <row r="23986" customHeight="1" spans="2:2">
      <c r="B23986" s="62" t="str">
        <f>IF(AND('领用录入（明细）'!D:D=$F$4,'领用录入（明细）'!C:C&gt;=$J$4,'领用录入（明细）'!C:C&lt;=$L$4),ROW(),"-")</f>
        <v>-</v>
      </c>
    </row>
    <row r="23987" customHeight="1" spans="2:2">
      <c r="B23987" s="62" t="str">
        <f>IF(AND('领用录入（明细）'!D:D=$F$4,'领用录入（明细）'!C:C&gt;=$J$4,'领用录入（明细）'!C:C&lt;=$L$4),ROW(),"-")</f>
        <v>-</v>
      </c>
    </row>
    <row r="23988" customHeight="1" spans="2:2">
      <c r="B23988" s="62" t="str">
        <f>IF(AND('领用录入（明细）'!D:D=$F$4,'领用录入（明细）'!C:C&gt;=$J$4,'领用录入（明细）'!C:C&lt;=$L$4),ROW(),"-")</f>
        <v>-</v>
      </c>
    </row>
    <row r="23989" customHeight="1" spans="2:2">
      <c r="B23989" s="62" t="str">
        <f>IF(AND('领用录入（明细）'!D:D=$F$4,'领用录入（明细）'!C:C&gt;=$J$4,'领用录入（明细）'!C:C&lt;=$L$4),ROW(),"-")</f>
        <v>-</v>
      </c>
    </row>
    <row r="23990" customHeight="1" spans="2:2">
      <c r="B23990" s="62" t="str">
        <f>IF(AND('领用录入（明细）'!D:D=$F$4,'领用录入（明细）'!C:C&gt;=$J$4,'领用录入（明细）'!C:C&lt;=$L$4),ROW(),"-")</f>
        <v>-</v>
      </c>
    </row>
    <row r="23991" customHeight="1" spans="2:2">
      <c r="B23991" s="62" t="str">
        <f>IF(AND('领用录入（明细）'!D:D=$F$4,'领用录入（明细）'!C:C&gt;=$J$4,'领用录入（明细）'!C:C&lt;=$L$4),ROW(),"-")</f>
        <v>-</v>
      </c>
    </row>
    <row r="23992" customHeight="1" spans="2:2">
      <c r="B23992" s="62" t="str">
        <f>IF(AND('领用录入（明细）'!D:D=$F$4,'领用录入（明细）'!C:C&gt;=$J$4,'领用录入（明细）'!C:C&lt;=$L$4),ROW(),"-")</f>
        <v>-</v>
      </c>
    </row>
    <row r="23993" customHeight="1" spans="2:2">
      <c r="B23993" s="62" t="str">
        <f>IF(AND('领用录入（明细）'!D:D=$F$4,'领用录入（明细）'!C:C&gt;=$J$4,'领用录入（明细）'!C:C&lt;=$L$4),ROW(),"-")</f>
        <v>-</v>
      </c>
    </row>
    <row r="23994" customHeight="1" spans="2:2">
      <c r="B23994" s="62" t="str">
        <f>IF(AND('领用录入（明细）'!D:D=$F$4,'领用录入（明细）'!C:C&gt;=$J$4,'领用录入（明细）'!C:C&lt;=$L$4),ROW(),"-")</f>
        <v>-</v>
      </c>
    </row>
    <row r="23995" customHeight="1" spans="2:2">
      <c r="B23995" s="62" t="str">
        <f>IF(AND('领用录入（明细）'!D:D=$F$4,'领用录入（明细）'!C:C&gt;=$J$4,'领用录入（明细）'!C:C&lt;=$L$4),ROW(),"-")</f>
        <v>-</v>
      </c>
    </row>
    <row r="23996" customHeight="1" spans="2:2">
      <c r="B23996" s="62" t="str">
        <f>IF(AND('领用录入（明细）'!D:D=$F$4,'领用录入（明细）'!C:C&gt;=$J$4,'领用录入（明细）'!C:C&lt;=$L$4),ROW(),"-")</f>
        <v>-</v>
      </c>
    </row>
    <row r="23997" customHeight="1" spans="2:2">
      <c r="B23997" s="62" t="str">
        <f>IF(AND('领用录入（明细）'!D:D=$F$4,'领用录入（明细）'!C:C&gt;=$J$4,'领用录入（明细）'!C:C&lt;=$L$4),ROW(),"-")</f>
        <v>-</v>
      </c>
    </row>
    <row r="23998" customHeight="1" spans="2:2">
      <c r="B23998" s="62" t="str">
        <f>IF(AND('领用录入（明细）'!D:D=$F$4,'领用录入（明细）'!C:C&gt;=$J$4,'领用录入（明细）'!C:C&lt;=$L$4),ROW(),"-")</f>
        <v>-</v>
      </c>
    </row>
    <row r="23999" customHeight="1" spans="2:2">
      <c r="B23999" s="62" t="str">
        <f>IF(AND('领用录入（明细）'!D:D=$F$4,'领用录入（明细）'!C:C&gt;=$J$4,'领用录入（明细）'!C:C&lt;=$L$4),ROW(),"-")</f>
        <v>-</v>
      </c>
    </row>
    <row r="24000" customHeight="1" spans="2:2">
      <c r="B24000" s="62" t="str">
        <f>IF(AND('领用录入（明细）'!D:D=$F$4,'领用录入（明细）'!C:C&gt;=$J$4,'领用录入（明细）'!C:C&lt;=$L$4),ROW(),"-")</f>
        <v>-</v>
      </c>
    </row>
    <row r="24001" customHeight="1" spans="2:2">
      <c r="B24001" s="62" t="str">
        <f>IF(AND('领用录入（明细）'!D:D=$F$4,'领用录入（明细）'!C:C&gt;=$J$4,'领用录入（明细）'!C:C&lt;=$L$4),ROW(),"-")</f>
        <v>-</v>
      </c>
    </row>
    <row r="24002" customHeight="1" spans="2:2">
      <c r="B24002" s="62" t="str">
        <f>IF(AND('领用录入（明细）'!D:D=$F$4,'领用录入（明细）'!C:C&gt;=$J$4,'领用录入（明细）'!C:C&lt;=$L$4),ROW(),"-")</f>
        <v>-</v>
      </c>
    </row>
    <row r="24003" customHeight="1" spans="2:2">
      <c r="B24003" s="62" t="str">
        <f>IF(AND('领用录入（明细）'!D:D=$F$4,'领用录入（明细）'!C:C&gt;=$J$4,'领用录入（明细）'!C:C&lt;=$L$4),ROW(),"-")</f>
        <v>-</v>
      </c>
    </row>
    <row r="24004" customHeight="1" spans="2:2">
      <c r="B24004" s="62" t="str">
        <f>IF(AND('领用录入（明细）'!D:D=$F$4,'领用录入（明细）'!C:C&gt;=$J$4,'领用录入（明细）'!C:C&lt;=$L$4),ROW(),"-")</f>
        <v>-</v>
      </c>
    </row>
    <row r="24005" customHeight="1" spans="2:2">
      <c r="B24005" s="62" t="str">
        <f>IF(AND('领用录入（明细）'!D:D=$F$4,'领用录入（明细）'!C:C&gt;=$J$4,'领用录入（明细）'!C:C&lt;=$L$4),ROW(),"-")</f>
        <v>-</v>
      </c>
    </row>
    <row r="24006" customHeight="1" spans="2:2">
      <c r="B24006" s="62" t="str">
        <f>IF(AND('领用录入（明细）'!D:D=$F$4,'领用录入（明细）'!C:C&gt;=$J$4,'领用录入（明细）'!C:C&lt;=$L$4),ROW(),"-")</f>
        <v>-</v>
      </c>
    </row>
    <row r="24007" customHeight="1" spans="2:2">
      <c r="B24007" s="62" t="str">
        <f>IF(AND('领用录入（明细）'!D:D=$F$4,'领用录入（明细）'!C:C&gt;=$J$4,'领用录入（明细）'!C:C&lt;=$L$4),ROW(),"-")</f>
        <v>-</v>
      </c>
    </row>
    <row r="24008" customHeight="1" spans="2:2">
      <c r="B24008" s="62" t="str">
        <f>IF(AND('领用录入（明细）'!D:D=$F$4,'领用录入（明细）'!C:C&gt;=$J$4,'领用录入（明细）'!C:C&lt;=$L$4),ROW(),"-")</f>
        <v>-</v>
      </c>
    </row>
    <row r="24009" customHeight="1" spans="2:2">
      <c r="B24009" s="62" t="str">
        <f>IF(AND('领用录入（明细）'!D:D=$F$4,'领用录入（明细）'!C:C&gt;=$J$4,'领用录入（明细）'!C:C&lt;=$L$4),ROW(),"-")</f>
        <v>-</v>
      </c>
    </row>
    <row r="24010" customHeight="1" spans="2:2">
      <c r="B24010" s="62" t="str">
        <f>IF(AND('领用录入（明细）'!D:D=$F$4,'领用录入（明细）'!C:C&gt;=$J$4,'领用录入（明细）'!C:C&lt;=$L$4),ROW(),"-")</f>
        <v>-</v>
      </c>
    </row>
    <row r="24011" customHeight="1" spans="2:2">
      <c r="B24011" s="62" t="str">
        <f>IF(AND('领用录入（明细）'!D:D=$F$4,'领用录入（明细）'!C:C&gt;=$J$4,'领用录入（明细）'!C:C&lt;=$L$4),ROW(),"-")</f>
        <v>-</v>
      </c>
    </row>
    <row r="24012" customHeight="1" spans="2:2">
      <c r="B24012" s="62" t="str">
        <f>IF(AND('领用录入（明细）'!D:D=$F$4,'领用录入（明细）'!C:C&gt;=$J$4,'领用录入（明细）'!C:C&lt;=$L$4),ROW(),"-")</f>
        <v>-</v>
      </c>
    </row>
    <row r="24013" customHeight="1" spans="2:2">
      <c r="B24013" s="62" t="str">
        <f>IF(AND('领用录入（明细）'!D:D=$F$4,'领用录入（明细）'!C:C&gt;=$J$4,'领用录入（明细）'!C:C&lt;=$L$4),ROW(),"-")</f>
        <v>-</v>
      </c>
    </row>
    <row r="24014" customHeight="1" spans="2:2">
      <c r="B24014" s="62" t="str">
        <f>IF(AND('领用录入（明细）'!D:D=$F$4,'领用录入（明细）'!C:C&gt;=$J$4,'领用录入（明细）'!C:C&lt;=$L$4),ROW(),"-")</f>
        <v>-</v>
      </c>
    </row>
    <row r="24015" customHeight="1" spans="2:2">
      <c r="B24015" s="62" t="str">
        <f>IF(AND('领用录入（明细）'!D:D=$F$4,'领用录入（明细）'!C:C&gt;=$J$4,'领用录入（明细）'!C:C&lt;=$L$4),ROW(),"-")</f>
        <v>-</v>
      </c>
    </row>
    <row r="24016" customHeight="1" spans="2:2">
      <c r="B24016" s="62" t="str">
        <f>IF(AND('领用录入（明细）'!D:D=$F$4,'领用录入（明细）'!C:C&gt;=$J$4,'领用录入（明细）'!C:C&lt;=$L$4),ROW(),"-")</f>
        <v>-</v>
      </c>
    </row>
    <row r="24017" customHeight="1" spans="2:2">
      <c r="B24017" s="62" t="str">
        <f>IF(AND('领用录入（明细）'!D:D=$F$4,'领用录入（明细）'!C:C&gt;=$J$4,'领用录入（明细）'!C:C&lt;=$L$4),ROW(),"-")</f>
        <v>-</v>
      </c>
    </row>
    <row r="24018" customHeight="1" spans="2:2">
      <c r="B24018" s="62" t="str">
        <f>IF(AND('领用录入（明细）'!D:D=$F$4,'领用录入（明细）'!C:C&gt;=$J$4,'领用录入（明细）'!C:C&lt;=$L$4),ROW(),"-")</f>
        <v>-</v>
      </c>
    </row>
    <row r="24019" customHeight="1" spans="2:2">
      <c r="B24019" s="62" t="str">
        <f>IF(AND('领用录入（明细）'!D:D=$F$4,'领用录入（明细）'!C:C&gt;=$J$4,'领用录入（明细）'!C:C&lt;=$L$4),ROW(),"-")</f>
        <v>-</v>
      </c>
    </row>
    <row r="24020" customHeight="1" spans="2:2">
      <c r="B24020" s="62" t="str">
        <f>IF(AND('领用录入（明细）'!D:D=$F$4,'领用录入（明细）'!C:C&gt;=$J$4,'领用录入（明细）'!C:C&lt;=$L$4),ROW(),"-")</f>
        <v>-</v>
      </c>
    </row>
    <row r="24021" customHeight="1" spans="2:2">
      <c r="B24021" s="62" t="str">
        <f>IF(AND('领用录入（明细）'!D:D=$F$4,'领用录入（明细）'!C:C&gt;=$J$4,'领用录入（明细）'!C:C&lt;=$L$4),ROW(),"-")</f>
        <v>-</v>
      </c>
    </row>
    <row r="24022" customHeight="1" spans="2:2">
      <c r="B24022" s="62" t="str">
        <f>IF(AND('领用录入（明细）'!D:D=$F$4,'领用录入（明细）'!C:C&gt;=$J$4,'领用录入（明细）'!C:C&lt;=$L$4),ROW(),"-")</f>
        <v>-</v>
      </c>
    </row>
    <row r="24023" customHeight="1" spans="2:2">
      <c r="B24023" s="62" t="str">
        <f>IF(AND('领用录入（明细）'!D:D=$F$4,'领用录入（明细）'!C:C&gt;=$J$4,'领用录入（明细）'!C:C&lt;=$L$4),ROW(),"-")</f>
        <v>-</v>
      </c>
    </row>
    <row r="24024" customHeight="1" spans="2:2">
      <c r="B24024" s="62" t="str">
        <f>IF(AND('领用录入（明细）'!D:D=$F$4,'领用录入（明细）'!C:C&gt;=$J$4,'领用录入（明细）'!C:C&lt;=$L$4),ROW(),"-")</f>
        <v>-</v>
      </c>
    </row>
    <row r="24025" customHeight="1" spans="2:2">
      <c r="B24025" s="62" t="str">
        <f>IF(AND('领用录入（明细）'!D:D=$F$4,'领用录入（明细）'!C:C&gt;=$J$4,'领用录入（明细）'!C:C&lt;=$L$4),ROW(),"-")</f>
        <v>-</v>
      </c>
    </row>
    <row r="24026" customHeight="1" spans="2:2">
      <c r="B24026" s="62" t="str">
        <f>IF(AND('领用录入（明细）'!D:D=$F$4,'领用录入（明细）'!C:C&gt;=$J$4,'领用录入（明细）'!C:C&lt;=$L$4),ROW(),"-")</f>
        <v>-</v>
      </c>
    </row>
    <row r="24027" customHeight="1" spans="2:2">
      <c r="B24027" s="62" t="str">
        <f>IF(AND('领用录入（明细）'!D:D=$F$4,'领用录入（明细）'!C:C&gt;=$J$4,'领用录入（明细）'!C:C&lt;=$L$4),ROW(),"-")</f>
        <v>-</v>
      </c>
    </row>
    <row r="24028" customHeight="1" spans="2:2">
      <c r="B24028" s="62" t="str">
        <f>IF(AND('领用录入（明细）'!D:D=$F$4,'领用录入（明细）'!C:C&gt;=$J$4,'领用录入（明细）'!C:C&lt;=$L$4),ROW(),"-")</f>
        <v>-</v>
      </c>
    </row>
    <row r="24029" customHeight="1" spans="2:2">
      <c r="B24029" s="62" t="str">
        <f>IF(AND('领用录入（明细）'!D:D=$F$4,'领用录入（明细）'!C:C&gt;=$J$4,'领用录入（明细）'!C:C&lt;=$L$4),ROW(),"-")</f>
        <v>-</v>
      </c>
    </row>
    <row r="24030" customHeight="1" spans="2:2">
      <c r="B24030" s="62" t="str">
        <f>IF(AND('领用录入（明细）'!D:D=$F$4,'领用录入（明细）'!C:C&gt;=$J$4,'领用录入（明细）'!C:C&lt;=$L$4),ROW(),"-")</f>
        <v>-</v>
      </c>
    </row>
    <row r="24031" customHeight="1" spans="2:2">
      <c r="B24031" s="62" t="str">
        <f>IF(AND('领用录入（明细）'!D:D=$F$4,'领用录入（明细）'!C:C&gt;=$J$4,'领用录入（明细）'!C:C&lt;=$L$4),ROW(),"-")</f>
        <v>-</v>
      </c>
    </row>
    <row r="24032" customHeight="1" spans="2:2">
      <c r="B24032" s="62" t="str">
        <f>IF(AND('领用录入（明细）'!D:D=$F$4,'领用录入（明细）'!C:C&gt;=$J$4,'领用录入（明细）'!C:C&lt;=$L$4),ROW(),"-")</f>
        <v>-</v>
      </c>
    </row>
    <row r="24033" customHeight="1" spans="2:2">
      <c r="B24033" s="62" t="str">
        <f>IF(AND('领用录入（明细）'!D:D=$F$4,'领用录入（明细）'!C:C&gt;=$J$4,'领用录入（明细）'!C:C&lt;=$L$4),ROW(),"-")</f>
        <v>-</v>
      </c>
    </row>
    <row r="24034" customHeight="1" spans="2:2">
      <c r="B24034" s="62" t="str">
        <f>IF(AND('领用录入（明细）'!D:D=$F$4,'领用录入（明细）'!C:C&gt;=$J$4,'领用录入（明细）'!C:C&lt;=$L$4),ROW(),"-")</f>
        <v>-</v>
      </c>
    </row>
    <row r="24035" customHeight="1" spans="2:2">
      <c r="B24035" s="62" t="str">
        <f>IF(AND('领用录入（明细）'!D:D=$F$4,'领用录入（明细）'!C:C&gt;=$J$4,'领用录入（明细）'!C:C&lt;=$L$4),ROW(),"-")</f>
        <v>-</v>
      </c>
    </row>
    <row r="24036" customHeight="1" spans="2:2">
      <c r="B24036" s="62" t="str">
        <f>IF(AND('领用录入（明细）'!D:D=$F$4,'领用录入（明细）'!C:C&gt;=$J$4,'领用录入（明细）'!C:C&lt;=$L$4),ROW(),"-")</f>
        <v>-</v>
      </c>
    </row>
    <row r="24037" customHeight="1" spans="2:2">
      <c r="B24037" s="62" t="str">
        <f>IF(AND('领用录入（明细）'!D:D=$F$4,'领用录入（明细）'!C:C&gt;=$J$4,'领用录入（明细）'!C:C&lt;=$L$4),ROW(),"-")</f>
        <v>-</v>
      </c>
    </row>
    <row r="24038" customHeight="1" spans="2:2">
      <c r="B24038" s="62" t="str">
        <f>IF(AND('领用录入（明细）'!D:D=$F$4,'领用录入（明细）'!C:C&gt;=$J$4,'领用录入（明细）'!C:C&lt;=$L$4),ROW(),"-")</f>
        <v>-</v>
      </c>
    </row>
    <row r="24039" customHeight="1" spans="2:2">
      <c r="B24039" s="62" t="str">
        <f>IF(AND('领用录入（明细）'!D:D=$F$4,'领用录入（明细）'!C:C&gt;=$J$4,'领用录入（明细）'!C:C&lt;=$L$4),ROW(),"-")</f>
        <v>-</v>
      </c>
    </row>
    <row r="24040" customHeight="1" spans="2:2">
      <c r="B24040" s="62" t="str">
        <f>IF(AND('领用录入（明细）'!D:D=$F$4,'领用录入（明细）'!C:C&gt;=$J$4,'领用录入（明细）'!C:C&lt;=$L$4),ROW(),"-")</f>
        <v>-</v>
      </c>
    </row>
    <row r="24041" customHeight="1" spans="2:2">
      <c r="B24041" s="62" t="str">
        <f>IF(AND('领用录入（明细）'!D:D=$F$4,'领用录入（明细）'!C:C&gt;=$J$4,'领用录入（明细）'!C:C&lt;=$L$4),ROW(),"-")</f>
        <v>-</v>
      </c>
    </row>
    <row r="24042" customHeight="1" spans="2:2">
      <c r="B24042" s="62" t="str">
        <f>IF(AND('领用录入（明细）'!D:D=$F$4,'领用录入（明细）'!C:C&gt;=$J$4,'领用录入（明细）'!C:C&lt;=$L$4),ROW(),"-")</f>
        <v>-</v>
      </c>
    </row>
    <row r="24043" customHeight="1" spans="2:2">
      <c r="B24043" s="62" t="str">
        <f>IF(AND('领用录入（明细）'!D:D=$F$4,'领用录入（明细）'!C:C&gt;=$J$4,'领用录入（明细）'!C:C&lt;=$L$4),ROW(),"-")</f>
        <v>-</v>
      </c>
    </row>
    <row r="24044" customHeight="1" spans="2:2">
      <c r="B24044" s="62" t="str">
        <f>IF(AND('领用录入（明细）'!D:D=$F$4,'领用录入（明细）'!C:C&gt;=$J$4,'领用录入（明细）'!C:C&lt;=$L$4),ROW(),"-")</f>
        <v>-</v>
      </c>
    </row>
    <row r="24045" customHeight="1" spans="2:2">
      <c r="B24045" s="62" t="str">
        <f>IF(AND('领用录入（明细）'!D:D=$F$4,'领用录入（明细）'!C:C&gt;=$J$4,'领用录入（明细）'!C:C&lt;=$L$4),ROW(),"-")</f>
        <v>-</v>
      </c>
    </row>
    <row r="24046" customHeight="1" spans="2:2">
      <c r="B24046" s="62" t="str">
        <f>IF(AND('领用录入（明细）'!D:D=$F$4,'领用录入（明细）'!C:C&gt;=$J$4,'领用录入（明细）'!C:C&lt;=$L$4),ROW(),"-")</f>
        <v>-</v>
      </c>
    </row>
    <row r="24047" customHeight="1" spans="2:2">
      <c r="B24047" s="62" t="str">
        <f>IF(AND('领用录入（明细）'!D:D=$F$4,'领用录入（明细）'!C:C&gt;=$J$4,'领用录入（明细）'!C:C&lt;=$L$4),ROW(),"-")</f>
        <v>-</v>
      </c>
    </row>
    <row r="24048" customHeight="1" spans="2:2">
      <c r="B24048" s="62" t="str">
        <f>IF(AND('领用录入（明细）'!D:D=$F$4,'领用录入（明细）'!C:C&gt;=$J$4,'领用录入（明细）'!C:C&lt;=$L$4),ROW(),"-")</f>
        <v>-</v>
      </c>
    </row>
    <row r="24049" customHeight="1" spans="2:2">
      <c r="B24049" s="62" t="str">
        <f>IF(AND('领用录入（明细）'!D:D=$F$4,'领用录入（明细）'!C:C&gt;=$J$4,'领用录入（明细）'!C:C&lt;=$L$4),ROW(),"-")</f>
        <v>-</v>
      </c>
    </row>
    <row r="24050" customHeight="1" spans="2:2">
      <c r="B24050" s="62" t="str">
        <f>IF(AND('领用录入（明细）'!D:D=$F$4,'领用录入（明细）'!C:C&gt;=$J$4,'领用录入（明细）'!C:C&lt;=$L$4),ROW(),"-")</f>
        <v>-</v>
      </c>
    </row>
    <row r="24051" customHeight="1" spans="2:2">
      <c r="B24051" s="62" t="str">
        <f>IF(AND('领用录入（明细）'!D:D=$F$4,'领用录入（明细）'!C:C&gt;=$J$4,'领用录入（明细）'!C:C&lt;=$L$4),ROW(),"-")</f>
        <v>-</v>
      </c>
    </row>
    <row r="24052" customHeight="1" spans="2:2">
      <c r="B24052" s="62" t="str">
        <f>IF(AND('领用录入（明细）'!D:D=$F$4,'领用录入（明细）'!C:C&gt;=$J$4,'领用录入（明细）'!C:C&lt;=$L$4),ROW(),"-")</f>
        <v>-</v>
      </c>
    </row>
    <row r="24053" customHeight="1" spans="2:2">
      <c r="B24053" s="62" t="str">
        <f>IF(AND('领用录入（明细）'!D:D=$F$4,'领用录入（明细）'!C:C&gt;=$J$4,'领用录入（明细）'!C:C&lt;=$L$4),ROW(),"-")</f>
        <v>-</v>
      </c>
    </row>
    <row r="24054" customHeight="1" spans="2:2">
      <c r="B24054" s="62" t="str">
        <f>IF(AND('领用录入（明细）'!D:D=$F$4,'领用录入（明细）'!C:C&gt;=$J$4,'领用录入（明细）'!C:C&lt;=$L$4),ROW(),"-")</f>
        <v>-</v>
      </c>
    </row>
    <row r="24055" customHeight="1" spans="2:2">
      <c r="B24055" s="62" t="str">
        <f>IF(AND('领用录入（明细）'!D:D=$F$4,'领用录入（明细）'!C:C&gt;=$J$4,'领用录入（明细）'!C:C&lt;=$L$4),ROW(),"-")</f>
        <v>-</v>
      </c>
    </row>
    <row r="24056" customHeight="1" spans="2:2">
      <c r="B24056" s="62" t="str">
        <f>IF(AND('领用录入（明细）'!D:D=$F$4,'领用录入（明细）'!C:C&gt;=$J$4,'领用录入（明细）'!C:C&lt;=$L$4),ROW(),"-")</f>
        <v>-</v>
      </c>
    </row>
    <row r="24057" customHeight="1" spans="2:2">
      <c r="B24057" s="62" t="str">
        <f>IF(AND('领用录入（明细）'!D:D=$F$4,'领用录入（明细）'!C:C&gt;=$J$4,'领用录入（明细）'!C:C&lt;=$L$4),ROW(),"-")</f>
        <v>-</v>
      </c>
    </row>
    <row r="24058" customHeight="1" spans="2:2">
      <c r="B24058" s="62" t="str">
        <f>IF(AND('领用录入（明细）'!D:D=$F$4,'领用录入（明细）'!C:C&gt;=$J$4,'领用录入（明细）'!C:C&lt;=$L$4),ROW(),"-")</f>
        <v>-</v>
      </c>
    </row>
    <row r="24059" customHeight="1" spans="2:2">
      <c r="B24059" s="62" t="str">
        <f>IF(AND('领用录入（明细）'!D:D=$F$4,'领用录入（明细）'!C:C&gt;=$J$4,'领用录入（明细）'!C:C&lt;=$L$4),ROW(),"-")</f>
        <v>-</v>
      </c>
    </row>
    <row r="24060" customHeight="1" spans="2:2">
      <c r="B24060" s="62" t="str">
        <f>IF(AND('领用录入（明细）'!D:D=$F$4,'领用录入（明细）'!C:C&gt;=$J$4,'领用录入（明细）'!C:C&lt;=$L$4),ROW(),"-")</f>
        <v>-</v>
      </c>
    </row>
    <row r="24061" customHeight="1" spans="2:2">
      <c r="B24061" s="62" t="str">
        <f>IF(AND('领用录入（明细）'!D:D=$F$4,'领用录入（明细）'!C:C&gt;=$J$4,'领用录入（明细）'!C:C&lt;=$L$4),ROW(),"-")</f>
        <v>-</v>
      </c>
    </row>
    <row r="24062" customHeight="1" spans="2:2">
      <c r="B24062" s="62" t="str">
        <f>IF(AND('领用录入（明细）'!D:D=$F$4,'领用录入（明细）'!C:C&gt;=$J$4,'领用录入（明细）'!C:C&lt;=$L$4),ROW(),"-")</f>
        <v>-</v>
      </c>
    </row>
    <row r="24063" customHeight="1" spans="2:2">
      <c r="B24063" s="62" t="str">
        <f>IF(AND('领用录入（明细）'!D:D=$F$4,'领用录入（明细）'!C:C&gt;=$J$4,'领用录入（明细）'!C:C&lt;=$L$4),ROW(),"-")</f>
        <v>-</v>
      </c>
    </row>
    <row r="24064" customHeight="1" spans="2:2">
      <c r="B24064" s="62" t="str">
        <f>IF(AND('领用录入（明细）'!D:D=$F$4,'领用录入（明细）'!C:C&gt;=$J$4,'领用录入（明细）'!C:C&lt;=$L$4),ROW(),"-")</f>
        <v>-</v>
      </c>
    </row>
    <row r="24065" customHeight="1" spans="2:2">
      <c r="B24065" s="62" t="str">
        <f>IF(AND('领用录入（明细）'!D:D=$F$4,'领用录入（明细）'!C:C&gt;=$J$4,'领用录入（明细）'!C:C&lt;=$L$4),ROW(),"-")</f>
        <v>-</v>
      </c>
    </row>
    <row r="24066" customHeight="1" spans="2:2">
      <c r="B24066" s="62" t="str">
        <f>IF(AND('领用录入（明细）'!D:D=$F$4,'领用录入（明细）'!C:C&gt;=$J$4,'领用录入（明细）'!C:C&lt;=$L$4),ROW(),"-")</f>
        <v>-</v>
      </c>
    </row>
    <row r="24067" customHeight="1" spans="2:2">
      <c r="B24067" s="62" t="str">
        <f>IF(AND('领用录入（明细）'!D:D=$F$4,'领用录入（明细）'!C:C&gt;=$J$4,'领用录入（明细）'!C:C&lt;=$L$4),ROW(),"-")</f>
        <v>-</v>
      </c>
    </row>
    <row r="24068" customHeight="1" spans="2:2">
      <c r="B24068" s="62" t="str">
        <f>IF(AND('领用录入（明细）'!D:D=$F$4,'领用录入（明细）'!C:C&gt;=$J$4,'领用录入（明细）'!C:C&lt;=$L$4),ROW(),"-")</f>
        <v>-</v>
      </c>
    </row>
    <row r="24069" customHeight="1" spans="2:2">
      <c r="B24069" s="62" t="str">
        <f>IF(AND('领用录入（明细）'!D:D=$F$4,'领用录入（明细）'!C:C&gt;=$J$4,'领用录入（明细）'!C:C&lt;=$L$4),ROW(),"-")</f>
        <v>-</v>
      </c>
    </row>
    <row r="24070" customHeight="1" spans="2:2">
      <c r="B24070" s="62" t="str">
        <f>IF(AND('领用录入（明细）'!D:D=$F$4,'领用录入（明细）'!C:C&gt;=$J$4,'领用录入（明细）'!C:C&lt;=$L$4),ROW(),"-")</f>
        <v>-</v>
      </c>
    </row>
    <row r="24071" customHeight="1" spans="2:2">
      <c r="B24071" s="62" t="str">
        <f>IF(AND('领用录入（明细）'!D:D=$F$4,'领用录入（明细）'!C:C&gt;=$J$4,'领用录入（明细）'!C:C&lt;=$L$4),ROW(),"-")</f>
        <v>-</v>
      </c>
    </row>
    <row r="24072" customHeight="1" spans="2:2">
      <c r="B24072" s="62" t="str">
        <f>IF(AND('领用录入（明细）'!D:D=$F$4,'领用录入（明细）'!C:C&gt;=$J$4,'领用录入（明细）'!C:C&lt;=$L$4),ROW(),"-")</f>
        <v>-</v>
      </c>
    </row>
    <row r="24073" customHeight="1" spans="2:2">
      <c r="B24073" s="62" t="str">
        <f>IF(AND('领用录入（明细）'!D:D=$F$4,'领用录入（明细）'!C:C&gt;=$J$4,'领用录入（明细）'!C:C&lt;=$L$4),ROW(),"-")</f>
        <v>-</v>
      </c>
    </row>
    <row r="24074" customHeight="1" spans="2:2">
      <c r="B24074" s="62" t="str">
        <f>IF(AND('领用录入（明细）'!D:D=$F$4,'领用录入（明细）'!C:C&gt;=$J$4,'领用录入（明细）'!C:C&lt;=$L$4),ROW(),"-")</f>
        <v>-</v>
      </c>
    </row>
    <row r="24075" customHeight="1" spans="2:2">
      <c r="B24075" s="62" t="str">
        <f>IF(AND('领用录入（明细）'!D:D=$F$4,'领用录入（明细）'!C:C&gt;=$J$4,'领用录入（明细）'!C:C&lt;=$L$4),ROW(),"-")</f>
        <v>-</v>
      </c>
    </row>
    <row r="24076" customHeight="1" spans="2:2">
      <c r="B24076" s="62" t="str">
        <f>IF(AND('领用录入（明细）'!D:D=$F$4,'领用录入（明细）'!C:C&gt;=$J$4,'领用录入（明细）'!C:C&lt;=$L$4),ROW(),"-")</f>
        <v>-</v>
      </c>
    </row>
    <row r="24077" customHeight="1" spans="2:2">
      <c r="B24077" s="62" t="str">
        <f>IF(AND('领用录入（明细）'!D:D=$F$4,'领用录入（明细）'!C:C&gt;=$J$4,'领用录入（明细）'!C:C&lt;=$L$4),ROW(),"-")</f>
        <v>-</v>
      </c>
    </row>
    <row r="24078" customHeight="1" spans="2:2">
      <c r="B24078" s="62" t="str">
        <f>IF(AND('领用录入（明细）'!D:D=$F$4,'领用录入（明细）'!C:C&gt;=$J$4,'领用录入（明细）'!C:C&lt;=$L$4),ROW(),"-")</f>
        <v>-</v>
      </c>
    </row>
    <row r="24079" customHeight="1" spans="2:2">
      <c r="B24079" s="62" t="str">
        <f>IF(AND('领用录入（明细）'!D:D=$F$4,'领用录入（明细）'!C:C&gt;=$J$4,'领用录入（明细）'!C:C&lt;=$L$4),ROW(),"-")</f>
        <v>-</v>
      </c>
    </row>
    <row r="24080" customHeight="1" spans="2:2">
      <c r="B24080" s="62" t="str">
        <f>IF(AND('领用录入（明细）'!D:D=$F$4,'领用录入（明细）'!C:C&gt;=$J$4,'领用录入（明细）'!C:C&lt;=$L$4),ROW(),"-")</f>
        <v>-</v>
      </c>
    </row>
    <row r="24081" customHeight="1" spans="2:2">
      <c r="B24081" s="62" t="str">
        <f>IF(AND('领用录入（明细）'!D:D=$F$4,'领用录入（明细）'!C:C&gt;=$J$4,'领用录入（明细）'!C:C&lt;=$L$4),ROW(),"-")</f>
        <v>-</v>
      </c>
    </row>
    <row r="24082" customHeight="1" spans="2:2">
      <c r="B24082" s="62" t="str">
        <f>IF(AND('领用录入（明细）'!D:D=$F$4,'领用录入（明细）'!C:C&gt;=$J$4,'领用录入（明细）'!C:C&lt;=$L$4),ROW(),"-")</f>
        <v>-</v>
      </c>
    </row>
    <row r="24083" customHeight="1" spans="2:2">
      <c r="B24083" s="62" t="str">
        <f>IF(AND('领用录入（明细）'!D:D=$F$4,'领用录入（明细）'!C:C&gt;=$J$4,'领用录入（明细）'!C:C&lt;=$L$4),ROW(),"-")</f>
        <v>-</v>
      </c>
    </row>
    <row r="24084" customHeight="1" spans="2:2">
      <c r="B24084" s="62" t="str">
        <f>IF(AND('领用录入（明细）'!D:D=$F$4,'领用录入（明细）'!C:C&gt;=$J$4,'领用录入（明细）'!C:C&lt;=$L$4),ROW(),"-")</f>
        <v>-</v>
      </c>
    </row>
    <row r="24085" customHeight="1" spans="2:2">
      <c r="B24085" s="62" t="str">
        <f>IF(AND('领用录入（明细）'!D:D=$F$4,'领用录入（明细）'!C:C&gt;=$J$4,'领用录入（明细）'!C:C&lt;=$L$4),ROW(),"-")</f>
        <v>-</v>
      </c>
    </row>
    <row r="24086" customHeight="1" spans="2:2">
      <c r="B24086" s="62" t="str">
        <f>IF(AND('领用录入（明细）'!D:D=$F$4,'领用录入（明细）'!C:C&gt;=$J$4,'领用录入（明细）'!C:C&lt;=$L$4),ROW(),"-")</f>
        <v>-</v>
      </c>
    </row>
    <row r="24087" customHeight="1" spans="2:2">
      <c r="B24087" s="62" t="str">
        <f>IF(AND('领用录入（明细）'!D:D=$F$4,'领用录入（明细）'!C:C&gt;=$J$4,'领用录入（明细）'!C:C&lt;=$L$4),ROW(),"-")</f>
        <v>-</v>
      </c>
    </row>
    <row r="24088" customHeight="1" spans="2:2">
      <c r="B24088" s="62" t="str">
        <f>IF(AND('领用录入（明细）'!D:D=$F$4,'领用录入（明细）'!C:C&gt;=$J$4,'领用录入（明细）'!C:C&lt;=$L$4),ROW(),"-")</f>
        <v>-</v>
      </c>
    </row>
    <row r="24089" customHeight="1" spans="2:2">
      <c r="B24089" s="62" t="str">
        <f>IF(AND('领用录入（明细）'!D:D=$F$4,'领用录入（明细）'!C:C&gt;=$J$4,'领用录入（明细）'!C:C&lt;=$L$4),ROW(),"-")</f>
        <v>-</v>
      </c>
    </row>
    <row r="24090" customHeight="1" spans="2:2">
      <c r="B24090" s="62" t="str">
        <f>IF(AND('领用录入（明细）'!D:D=$F$4,'领用录入（明细）'!C:C&gt;=$J$4,'领用录入（明细）'!C:C&lt;=$L$4),ROW(),"-")</f>
        <v>-</v>
      </c>
    </row>
    <row r="24091" customHeight="1" spans="2:2">
      <c r="B24091" s="62" t="str">
        <f>IF(AND('领用录入（明细）'!D:D=$F$4,'领用录入（明细）'!C:C&gt;=$J$4,'领用录入（明细）'!C:C&lt;=$L$4),ROW(),"-")</f>
        <v>-</v>
      </c>
    </row>
    <row r="24092" customHeight="1" spans="2:2">
      <c r="B24092" s="62" t="str">
        <f>IF(AND('领用录入（明细）'!D:D=$F$4,'领用录入（明细）'!C:C&gt;=$J$4,'领用录入（明细）'!C:C&lt;=$L$4),ROW(),"-")</f>
        <v>-</v>
      </c>
    </row>
    <row r="24093" customHeight="1" spans="2:2">
      <c r="B24093" s="62" t="str">
        <f>IF(AND('领用录入（明细）'!D:D=$F$4,'领用录入（明细）'!C:C&gt;=$J$4,'领用录入（明细）'!C:C&lt;=$L$4),ROW(),"-")</f>
        <v>-</v>
      </c>
    </row>
    <row r="24094" customHeight="1" spans="2:2">
      <c r="B24094" s="62" t="str">
        <f>IF(AND('领用录入（明细）'!D:D=$F$4,'领用录入（明细）'!C:C&gt;=$J$4,'领用录入（明细）'!C:C&lt;=$L$4),ROW(),"-")</f>
        <v>-</v>
      </c>
    </row>
    <row r="24095" customHeight="1" spans="2:2">
      <c r="B24095" s="62" t="str">
        <f>IF(AND('领用录入（明细）'!D:D=$F$4,'领用录入（明细）'!C:C&gt;=$J$4,'领用录入（明细）'!C:C&lt;=$L$4),ROW(),"-")</f>
        <v>-</v>
      </c>
    </row>
    <row r="24096" customHeight="1" spans="2:2">
      <c r="B24096" s="62" t="str">
        <f>IF(AND('领用录入（明细）'!D:D=$F$4,'领用录入（明细）'!C:C&gt;=$J$4,'领用录入（明细）'!C:C&lt;=$L$4),ROW(),"-")</f>
        <v>-</v>
      </c>
    </row>
    <row r="24097" customHeight="1" spans="2:2">
      <c r="B24097" s="62" t="str">
        <f>IF(AND('领用录入（明细）'!D:D=$F$4,'领用录入（明细）'!C:C&gt;=$J$4,'领用录入（明细）'!C:C&lt;=$L$4),ROW(),"-")</f>
        <v>-</v>
      </c>
    </row>
    <row r="24098" customHeight="1" spans="2:2">
      <c r="B24098" s="62" t="str">
        <f>IF(AND('领用录入（明细）'!D:D=$F$4,'领用录入（明细）'!C:C&gt;=$J$4,'领用录入（明细）'!C:C&lt;=$L$4),ROW(),"-")</f>
        <v>-</v>
      </c>
    </row>
    <row r="24099" customHeight="1" spans="2:2">
      <c r="B24099" s="62" t="str">
        <f>IF(AND('领用录入（明细）'!D:D=$F$4,'领用录入（明细）'!C:C&gt;=$J$4,'领用录入（明细）'!C:C&lt;=$L$4),ROW(),"-")</f>
        <v>-</v>
      </c>
    </row>
    <row r="24100" customHeight="1" spans="2:2">
      <c r="B24100" s="62" t="str">
        <f>IF(AND('领用录入（明细）'!D:D=$F$4,'领用录入（明细）'!C:C&gt;=$J$4,'领用录入（明细）'!C:C&lt;=$L$4),ROW(),"-")</f>
        <v>-</v>
      </c>
    </row>
    <row r="24101" customHeight="1" spans="2:2">
      <c r="B24101" s="62" t="str">
        <f>IF(AND('领用录入（明细）'!D:D=$F$4,'领用录入（明细）'!C:C&gt;=$J$4,'领用录入（明细）'!C:C&lt;=$L$4),ROW(),"-")</f>
        <v>-</v>
      </c>
    </row>
    <row r="24102" customHeight="1" spans="2:2">
      <c r="B24102" s="62" t="str">
        <f>IF(AND('领用录入（明细）'!D:D=$F$4,'领用录入（明细）'!C:C&gt;=$J$4,'领用录入（明细）'!C:C&lt;=$L$4),ROW(),"-")</f>
        <v>-</v>
      </c>
    </row>
    <row r="24103" customHeight="1" spans="2:2">
      <c r="B24103" s="62" t="str">
        <f>IF(AND('领用录入（明细）'!D:D=$F$4,'领用录入（明细）'!C:C&gt;=$J$4,'领用录入（明细）'!C:C&lt;=$L$4),ROW(),"-")</f>
        <v>-</v>
      </c>
    </row>
    <row r="24104" customHeight="1" spans="2:2">
      <c r="B24104" s="62" t="str">
        <f>IF(AND('领用录入（明细）'!D:D=$F$4,'领用录入（明细）'!C:C&gt;=$J$4,'领用录入（明细）'!C:C&lt;=$L$4),ROW(),"-")</f>
        <v>-</v>
      </c>
    </row>
    <row r="24105" customHeight="1" spans="2:2">
      <c r="B24105" s="62" t="str">
        <f>IF(AND('领用录入（明细）'!D:D=$F$4,'领用录入（明细）'!C:C&gt;=$J$4,'领用录入（明细）'!C:C&lt;=$L$4),ROW(),"-")</f>
        <v>-</v>
      </c>
    </row>
    <row r="24106" customHeight="1" spans="2:2">
      <c r="B24106" s="62" t="str">
        <f>IF(AND('领用录入（明细）'!D:D=$F$4,'领用录入（明细）'!C:C&gt;=$J$4,'领用录入（明细）'!C:C&lt;=$L$4),ROW(),"-")</f>
        <v>-</v>
      </c>
    </row>
    <row r="24107" customHeight="1" spans="2:2">
      <c r="B24107" s="62" t="str">
        <f>IF(AND('领用录入（明细）'!D:D=$F$4,'领用录入（明细）'!C:C&gt;=$J$4,'领用录入（明细）'!C:C&lt;=$L$4),ROW(),"-")</f>
        <v>-</v>
      </c>
    </row>
    <row r="24108" customHeight="1" spans="2:2">
      <c r="B24108" s="62" t="str">
        <f>IF(AND('领用录入（明细）'!D:D=$F$4,'领用录入（明细）'!C:C&gt;=$J$4,'领用录入（明细）'!C:C&lt;=$L$4),ROW(),"-")</f>
        <v>-</v>
      </c>
    </row>
    <row r="24109" customHeight="1" spans="2:2">
      <c r="B24109" s="62" t="str">
        <f>IF(AND('领用录入（明细）'!D:D=$F$4,'领用录入（明细）'!C:C&gt;=$J$4,'领用录入（明细）'!C:C&lt;=$L$4),ROW(),"-")</f>
        <v>-</v>
      </c>
    </row>
    <row r="24110" customHeight="1" spans="2:2">
      <c r="B24110" s="62" t="str">
        <f>IF(AND('领用录入（明细）'!D:D=$F$4,'领用录入（明细）'!C:C&gt;=$J$4,'领用录入（明细）'!C:C&lt;=$L$4),ROW(),"-")</f>
        <v>-</v>
      </c>
    </row>
    <row r="24111" customHeight="1" spans="2:2">
      <c r="B24111" s="62" t="str">
        <f>IF(AND('领用录入（明细）'!D:D=$F$4,'领用录入（明细）'!C:C&gt;=$J$4,'领用录入（明细）'!C:C&lt;=$L$4),ROW(),"-")</f>
        <v>-</v>
      </c>
    </row>
    <row r="24112" customHeight="1" spans="2:2">
      <c r="B24112" s="62" t="str">
        <f>IF(AND('领用录入（明细）'!D:D=$F$4,'领用录入（明细）'!C:C&gt;=$J$4,'领用录入（明细）'!C:C&lt;=$L$4),ROW(),"-")</f>
        <v>-</v>
      </c>
    </row>
    <row r="24113" customHeight="1" spans="2:2">
      <c r="B24113" s="62" t="str">
        <f>IF(AND('领用录入（明细）'!D:D=$F$4,'领用录入（明细）'!C:C&gt;=$J$4,'领用录入（明细）'!C:C&lt;=$L$4),ROW(),"-")</f>
        <v>-</v>
      </c>
    </row>
    <row r="24114" customHeight="1" spans="2:2">
      <c r="B24114" s="62" t="str">
        <f>IF(AND('领用录入（明细）'!D:D=$F$4,'领用录入（明细）'!C:C&gt;=$J$4,'领用录入（明细）'!C:C&lt;=$L$4),ROW(),"-")</f>
        <v>-</v>
      </c>
    </row>
    <row r="24115" customHeight="1" spans="2:2">
      <c r="B24115" s="62" t="str">
        <f>IF(AND('领用录入（明细）'!D:D=$F$4,'领用录入（明细）'!C:C&gt;=$J$4,'领用录入（明细）'!C:C&lt;=$L$4),ROW(),"-")</f>
        <v>-</v>
      </c>
    </row>
    <row r="24116" customHeight="1" spans="2:2">
      <c r="B24116" s="62" t="str">
        <f>IF(AND('领用录入（明细）'!D:D=$F$4,'领用录入（明细）'!C:C&gt;=$J$4,'领用录入（明细）'!C:C&lt;=$L$4),ROW(),"-")</f>
        <v>-</v>
      </c>
    </row>
    <row r="24117" customHeight="1" spans="2:2">
      <c r="B24117" s="62" t="str">
        <f>IF(AND('领用录入（明细）'!D:D=$F$4,'领用录入（明细）'!C:C&gt;=$J$4,'领用录入（明细）'!C:C&lt;=$L$4),ROW(),"-")</f>
        <v>-</v>
      </c>
    </row>
    <row r="24118" customHeight="1" spans="2:2">
      <c r="B24118" s="62" t="str">
        <f>IF(AND('领用录入（明细）'!D:D=$F$4,'领用录入（明细）'!C:C&gt;=$J$4,'领用录入（明细）'!C:C&lt;=$L$4),ROW(),"-")</f>
        <v>-</v>
      </c>
    </row>
    <row r="24119" customHeight="1" spans="2:2">
      <c r="B24119" s="62" t="str">
        <f>IF(AND('领用录入（明细）'!D:D=$F$4,'领用录入（明细）'!C:C&gt;=$J$4,'领用录入（明细）'!C:C&lt;=$L$4),ROW(),"-")</f>
        <v>-</v>
      </c>
    </row>
    <row r="24120" customHeight="1" spans="2:2">
      <c r="B24120" s="62" t="str">
        <f>IF(AND('领用录入（明细）'!D:D=$F$4,'领用录入（明细）'!C:C&gt;=$J$4,'领用录入（明细）'!C:C&lt;=$L$4),ROW(),"-")</f>
        <v>-</v>
      </c>
    </row>
    <row r="24121" customHeight="1" spans="2:2">
      <c r="B24121" s="62" t="str">
        <f>IF(AND('领用录入（明细）'!D:D=$F$4,'领用录入（明细）'!C:C&gt;=$J$4,'领用录入（明细）'!C:C&lt;=$L$4),ROW(),"-")</f>
        <v>-</v>
      </c>
    </row>
    <row r="24122" customHeight="1" spans="2:2">
      <c r="B24122" s="62" t="str">
        <f>IF(AND('领用录入（明细）'!D:D=$F$4,'领用录入（明细）'!C:C&gt;=$J$4,'领用录入（明细）'!C:C&lt;=$L$4),ROW(),"-")</f>
        <v>-</v>
      </c>
    </row>
    <row r="24123" customHeight="1" spans="2:2">
      <c r="B24123" s="62" t="str">
        <f>IF(AND('领用录入（明细）'!D:D=$F$4,'领用录入（明细）'!C:C&gt;=$J$4,'领用录入（明细）'!C:C&lt;=$L$4),ROW(),"-")</f>
        <v>-</v>
      </c>
    </row>
    <row r="24124" customHeight="1" spans="2:2">
      <c r="B24124" s="62" t="str">
        <f>IF(AND('领用录入（明细）'!D:D=$F$4,'领用录入（明细）'!C:C&gt;=$J$4,'领用录入（明细）'!C:C&lt;=$L$4),ROW(),"-")</f>
        <v>-</v>
      </c>
    </row>
    <row r="24125" customHeight="1" spans="2:2">
      <c r="B24125" s="62" t="str">
        <f>IF(AND('领用录入（明细）'!D:D=$F$4,'领用录入（明细）'!C:C&gt;=$J$4,'领用录入（明细）'!C:C&lt;=$L$4),ROW(),"-")</f>
        <v>-</v>
      </c>
    </row>
    <row r="24126" customHeight="1" spans="2:2">
      <c r="B24126" s="62" t="str">
        <f>IF(AND('领用录入（明细）'!D:D=$F$4,'领用录入（明细）'!C:C&gt;=$J$4,'领用录入（明细）'!C:C&lt;=$L$4),ROW(),"-")</f>
        <v>-</v>
      </c>
    </row>
    <row r="24127" customHeight="1" spans="2:2">
      <c r="B24127" s="62" t="str">
        <f>IF(AND('领用录入（明细）'!D:D=$F$4,'领用录入（明细）'!C:C&gt;=$J$4,'领用录入（明细）'!C:C&lt;=$L$4),ROW(),"-")</f>
        <v>-</v>
      </c>
    </row>
    <row r="24128" customHeight="1" spans="2:2">
      <c r="B24128" s="62" t="str">
        <f>IF(AND('领用录入（明细）'!D:D=$F$4,'领用录入（明细）'!C:C&gt;=$J$4,'领用录入（明细）'!C:C&lt;=$L$4),ROW(),"-")</f>
        <v>-</v>
      </c>
    </row>
    <row r="24129" customHeight="1" spans="2:2">
      <c r="B24129" s="62" t="str">
        <f>IF(AND('领用录入（明细）'!D:D=$F$4,'领用录入（明细）'!C:C&gt;=$J$4,'领用录入（明细）'!C:C&lt;=$L$4),ROW(),"-")</f>
        <v>-</v>
      </c>
    </row>
    <row r="24130" customHeight="1" spans="2:2">
      <c r="B24130" s="62" t="str">
        <f>IF(AND('领用录入（明细）'!D:D=$F$4,'领用录入（明细）'!C:C&gt;=$J$4,'领用录入（明细）'!C:C&lt;=$L$4),ROW(),"-")</f>
        <v>-</v>
      </c>
    </row>
    <row r="24131" customHeight="1" spans="2:2">
      <c r="B24131" s="62" t="str">
        <f>IF(AND('领用录入（明细）'!D:D=$F$4,'领用录入（明细）'!C:C&gt;=$J$4,'领用录入（明细）'!C:C&lt;=$L$4),ROW(),"-")</f>
        <v>-</v>
      </c>
    </row>
    <row r="24132" customHeight="1" spans="2:2">
      <c r="B24132" s="62" t="str">
        <f>IF(AND('领用录入（明细）'!D:D=$F$4,'领用录入（明细）'!C:C&gt;=$J$4,'领用录入（明细）'!C:C&lt;=$L$4),ROW(),"-")</f>
        <v>-</v>
      </c>
    </row>
    <row r="24133" customHeight="1" spans="2:2">
      <c r="B24133" s="62" t="str">
        <f>IF(AND('领用录入（明细）'!D:D=$F$4,'领用录入（明细）'!C:C&gt;=$J$4,'领用录入（明细）'!C:C&lt;=$L$4),ROW(),"-")</f>
        <v>-</v>
      </c>
    </row>
    <row r="24134" customHeight="1" spans="2:2">
      <c r="B24134" s="62" t="str">
        <f>IF(AND('领用录入（明细）'!D:D=$F$4,'领用录入（明细）'!C:C&gt;=$J$4,'领用录入（明细）'!C:C&lt;=$L$4),ROW(),"-")</f>
        <v>-</v>
      </c>
    </row>
    <row r="24135" customHeight="1" spans="2:2">
      <c r="B24135" s="62" t="str">
        <f>IF(AND('领用录入（明细）'!D:D=$F$4,'领用录入（明细）'!C:C&gt;=$J$4,'领用录入（明细）'!C:C&lt;=$L$4),ROW(),"-")</f>
        <v>-</v>
      </c>
    </row>
    <row r="24136" customHeight="1" spans="2:2">
      <c r="B24136" s="62" t="str">
        <f>IF(AND('领用录入（明细）'!D:D=$F$4,'领用录入（明细）'!C:C&gt;=$J$4,'领用录入（明细）'!C:C&lt;=$L$4),ROW(),"-")</f>
        <v>-</v>
      </c>
    </row>
    <row r="24137" customHeight="1" spans="2:2">
      <c r="B24137" s="62" t="str">
        <f>IF(AND('领用录入（明细）'!D:D=$F$4,'领用录入（明细）'!C:C&gt;=$J$4,'领用录入（明细）'!C:C&lt;=$L$4),ROW(),"-")</f>
        <v>-</v>
      </c>
    </row>
    <row r="24138" customHeight="1" spans="2:2">
      <c r="B24138" s="62" t="str">
        <f>IF(AND('领用录入（明细）'!D:D=$F$4,'领用录入（明细）'!C:C&gt;=$J$4,'领用录入（明细）'!C:C&lt;=$L$4),ROW(),"-")</f>
        <v>-</v>
      </c>
    </row>
    <row r="24139" customHeight="1" spans="2:2">
      <c r="B24139" s="62" t="str">
        <f>IF(AND('领用录入（明细）'!D:D=$F$4,'领用录入（明细）'!C:C&gt;=$J$4,'领用录入（明细）'!C:C&lt;=$L$4),ROW(),"-")</f>
        <v>-</v>
      </c>
    </row>
    <row r="24140" customHeight="1" spans="2:2">
      <c r="B24140" s="62" t="str">
        <f>IF(AND('领用录入（明细）'!D:D=$F$4,'领用录入（明细）'!C:C&gt;=$J$4,'领用录入（明细）'!C:C&lt;=$L$4),ROW(),"-")</f>
        <v>-</v>
      </c>
    </row>
    <row r="24141" customHeight="1" spans="2:2">
      <c r="B24141" s="62" t="str">
        <f>IF(AND('领用录入（明细）'!D:D=$F$4,'领用录入（明细）'!C:C&gt;=$J$4,'领用录入（明细）'!C:C&lt;=$L$4),ROW(),"-")</f>
        <v>-</v>
      </c>
    </row>
    <row r="24142" customHeight="1" spans="2:2">
      <c r="B24142" s="62" t="str">
        <f>IF(AND('领用录入（明细）'!D:D=$F$4,'领用录入（明细）'!C:C&gt;=$J$4,'领用录入（明细）'!C:C&lt;=$L$4),ROW(),"-")</f>
        <v>-</v>
      </c>
    </row>
    <row r="24143" customHeight="1" spans="2:2">
      <c r="B24143" s="62" t="str">
        <f>IF(AND('领用录入（明细）'!D:D=$F$4,'领用录入（明细）'!C:C&gt;=$J$4,'领用录入（明细）'!C:C&lt;=$L$4),ROW(),"-")</f>
        <v>-</v>
      </c>
    </row>
    <row r="24144" customHeight="1" spans="2:2">
      <c r="B24144" s="62" t="str">
        <f>IF(AND('领用录入（明细）'!D:D=$F$4,'领用录入（明细）'!C:C&gt;=$J$4,'领用录入（明细）'!C:C&lt;=$L$4),ROW(),"-")</f>
        <v>-</v>
      </c>
    </row>
    <row r="24145" customHeight="1" spans="2:2">
      <c r="B24145" s="62" t="str">
        <f>IF(AND('领用录入（明细）'!D:D=$F$4,'领用录入（明细）'!C:C&gt;=$J$4,'领用录入（明细）'!C:C&lt;=$L$4),ROW(),"-")</f>
        <v>-</v>
      </c>
    </row>
    <row r="24146" customHeight="1" spans="2:2">
      <c r="B24146" s="62" t="str">
        <f>IF(AND('领用录入（明细）'!D:D=$F$4,'领用录入（明细）'!C:C&gt;=$J$4,'领用录入（明细）'!C:C&lt;=$L$4),ROW(),"-")</f>
        <v>-</v>
      </c>
    </row>
    <row r="24147" customHeight="1" spans="2:2">
      <c r="B24147" s="62" t="str">
        <f>IF(AND('领用录入（明细）'!D:D=$F$4,'领用录入（明细）'!C:C&gt;=$J$4,'领用录入（明细）'!C:C&lt;=$L$4),ROW(),"-")</f>
        <v>-</v>
      </c>
    </row>
    <row r="24148" customHeight="1" spans="2:2">
      <c r="B24148" s="62" t="str">
        <f>IF(AND('领用录入（明细）'!D:D=$F$4,'领用录入（明细）'!C:C&gt;=$J$4,'领用录入（明细）'!C:C&lt;=$L$4),ROW(),"-")</f>
        <v>-</v>
      </c>
    </row>
    <row r="24149" customHeight="1" spans="2:2">
      <c r="B24149" s="62" t="str">
        <f>IF(AND('领用录入（明细）'!D:D=$F$4,'领用录入（明细）'!C:C&gt;=$J$4,'领用录入（明细）'!C:C&lt;=$L$4),ROW(),"-")</f>
        <v>-</v>
      </c>
    </row>
    <row r="24150" customHeight="1" spans="2:2">
      <c r="B24150" s="62" t="str">
        <f>IF(AND('领用录入（明细）'!D:D=$F$4,'领用录入（明细）'!C:C&gt;=$J$4,'领用录入（明细）'!C:C&lt;=$L$4),ROW(),"-")</f>
        <v>-</v>
      </c>
    </row>
    <row r="24151" customHeight="1" spans="2:2">
      <c r="B24151" s="62" t="str">
        <f>IF(AND('领用录入（明细）'!D:D=$F$4,'领用录入（明细）'!C:C&gt;=$J$4,'领用录入（明细）'!C:C&lt;=$L$4),ROW(),"-")</f>
        <v>-</v>
      </c>
    </row>
    <row r="24152" customHeight="1" spans="2:2">
      <c r="B24152" s="62" t="str">
        <f>IF(AND('领用录入（明细）'!D:D=$F$4,'领用录入（明细）'!C:C&gt;=$J$4,'领用录入（明细）'!C:C&lt;=$L$4),ROW(),"-")</f>
        <v>-</v>
      </c>
    </row>
    <row r="24153" customHeight="1" spans="2:2">
      <c r="B24153" s="62" t="str">
        <f>IF(AND('领用录入（明细）'!D:D=$F$4,'领用录入（明细）'!C:C&gt;=$J$4,'领用录入（明细）'!C:C&lt;=$L$4),ROW(),"-")</f>
        <v>-</v>
      </c>
    </row>
    <row r="24154" customHeight="1" spans="2:2">
      <c r="B24154" s="62" t="str">
        <f>IF(AND('领用录入（明细）'!D:D=$F$4,'领用录入（明细）'!C:C&gt;=$J$4,'领用录入（明细）'!C:C&lt;=$L$4),ROW(),"-")</f>
        <v>-</v>
      </c>
    </row>
    <row r="24155" customHeight="1" spans="2:2">
      <c r="B24155" s="62" t="str">
        <f>IF(AND('领用录入（明细）'!D:D=$F$4,'领用录入（明细）'!C:C&gt;=$J$4,'领用录入（明细）'!C:C&lt;=$L$4),ROW(),"-")</f>
        <v>-</v>
      </c>
    </row>
    <row r="24156" customHeight="1" spans="2:2">
      <c r="B24156" s="62" t="str">
        <f>IF(AND('领用录入（明细）'!D:D=$F$4,'领用录入（明细）'!C:C&gt;=$J$4,'领用录入（明细）'!C:C&lt;=$L$4),ROW(),"-")</f>
        <v>-</v>
      </c>
    </row>
    <row r="24157" customHeight="1" spans="2:2">
      <c r="B24157" s="62" t="str">
        <f>IF(AND('领用录入（明细）'!D:D=$F$4,'领用录入（明细）'!C:C&gt;=$J$4,'领用录入（明细）'!C:C&lt;=$L$4),ROW(),"-")</f>
        <v>-</v>
      </c>
    </row>
    <row r="24158" customHeight="1" spans="2:2">
      <c r="B24158" s="62" t="str">
        <f>IF(AND('领用录入（明细）'!D:D=$F$4,'领用录入（明细）'!C:C&gt;=$J$4,'领用录入（明细）'!C:C&lt;=$L$4),ROW(),"-")</f>
        <v>-</v>
      </c>
    </row>
    <row r="24159" customHeight="1" spans="2:2">
      <c r="B24159" s="62" t="str">
        <f>IF(AND('领用录入（明细）'!D:D=$F$4,'领用录入（明细）'!C:C&gt;=$J$4,'领用录入（明细）'!C:C&lt;=$L$4),ROW(),"-")</f>
        <v>-</v>
      </c>
    </row>
    <row r="24160" customHeight="1" spans="2:2">
      <c r="B24160" s="62" t="str">
        <f>IF(AND('领用录入（明细）'!D:D=$F$4,'领用录入（明细）'!C:C&gt;=$J$4,'领用录入（明细）'!C:C&lt;=$L$4),ROW(),"-")</f>
        <v>-</v>
      </c>
    </row>
    <row r="24161" customHeight="1" spans="2:2">
      <c r="B24161" s="62" t="str">
        <f>IF(AND('领用录入（明细）'!D:D=$F$4,'领用录入（明细）'!C:C&gt;=$J$4,'领用录入（明细）'!C:C&lt;=$L$4),ROW(),"-")</f>
        <v>-</v>
      </c>
    </row>
    <row r="24162" customHeight="1" spans="2:2">
      <c r="B24162" s="62" t="str">
        <f>IF(AND('领用录入（明细）'!D:D=$F$4,'领用录入（明细）'!C:C&gt;=$J$4,'领用录入（明细）'!C:C&lt;=$L$4),ROW(),"-")</f>
        <v>-</v>
      </c>
    </row>
    <row r="24163" customHeight="1" spans="2:2">
      <c r="B24163" s="62" t="str">
        <f>IF(AND('领用录入（明细）'!D:D=$F$4,'领用录入（明细）'!C:C&gt;=$J$4,'领用录入（明细）'!C:C&lt;=$L$4),ROW(),"-")</f>
        <v>-</v>
      </c>
    </row>
    <row r="24164" customHeight="1" spans="2:2">
      <c r="B24164" s="62" t="str">
        <f>IF(AND('领用录入（明细）'!D:D=$F$4,'领用录入（明细）'!C:C&gt;=$J$4,'领用录入（明细）'!C:C&lt;=$L$4),ROW(),"-")</f>
        <v>-</v>
      </c>
    </row>
    <row r="24165" customHeight="1" spans="2:2">
      <c r="B24165" s="62" t="str">
        <f>IF(AND('领用录入（明细）'!D:D=$F$4,'领用录入（明细）'!C:C&gt;=$J$4,'领用录入（明细）'!C:C&lt;=$L$4),ROW(),"-")</f>
        <v>-</v>
      </c>
    </row>
    <row r="24166" customHeight="1" spans="2:2">
      <c r="B24166" s="62" t="str">
        <f>IF(AND('领用录入（明细）'!D:D=$F$4,'领用录入（明细）'!C:C&gt;=$J$4,'领用录入（明细）'!C:C&lt;=$L$4),ROW(),"-")</f>
        <v>-</v>
      </c>
    </row>
    <row r="24167" customHeight="1" spans="2:2">
      <c r="B24167" s="62" t="str">
        <f>IF(AND('领用录入（明细）'!D:D=$F$4,'领用录入（明细）'!C:C&gt;=$J$4,'领用录入（明细）'!C:C&lt;=$L$4),ROW(),"-")</f>
        <v>-</v>
      </c>
    </row>
    <row r="24168" customHeight="1" spans="2:2">
      <c r="B24168" s="62" t="str">
        <f>IF(AND('领用录入（明细）'!D:D=$F$4,'领用录入（明细）'!C:C&gt;=$J$4,'领用录入（明细）'!C:C&lt;=$L$4),ROW(),"-")</f>
        <v>-</v>
      </c>
    </row>
    <row r="24169" customHeight="1" spans="2:2">
      <c r="B24169" s="62" t="str">
        <f>IF(AND('领用录入（明细）'!D:D=$F$4,'领用录入（明细）'!C:C&gt;=$J$4,'领用录入（明细）'!C:C&lt;=$L$4),ROW(),"-")</f>
        <v>-</v>
      </c>
    </row>
    <row r="24170" customHeight="1" spans="2:2">
      <c r="B24170" s="62" t="str">
        <f>IF(AND('领用录入（明细）'!D:D=$F$4,'领用录入（明细）'!C:C&gt;=$J$4,'领用录入（明细）'!C:C&lt;=$L$4),ROW(),"-")</f>
        <v>-</v>
      </c>
    </row>
    <row r="24171" customHeight="1" spans="2:2">
      <c r="B24171" s="62" t="str">
        <f>IF(AND('领用录入（明细）'!D:D=$F$4,'领用录入（明细）'!C:C&gt;=$J$4,'领用录入（明细）'!C:C&lt;=$L$4),ROW(),"-")</f>
        <v>-</v>
      </c>
    </row>
    <row r="24172" customHeight="1" spans="2:2">
      <c r="B24172" s="62" t="str">
        <f>IF(AND('领用录入（明细）'!D:D=$F$4,'领用录入（明细）'!C:C&gt;=$J$4,'领用录入（明细）'!C:C&lt;=$L$4),ROW(),"-")</f>
        <v>-</v>
      </c>
    </row>
    <row r="24173" customHeight="1" spans="2:2">
      <c r="B24173" s="62" t="str">
        <f>IF(AND('领用录入（明细）'!D:D=$F$4,'领用录入（明细）'!C:C&gt;=$J$4,'领用录入（明细）'!C:C&lt;=$L$4),ROW(),"-")</f>
        <v>-</v>
      </c>
    </row>
    <row r="24174" customHeight="1" spans="2:2">
      <c r="B24174" s="62" t="str">
        <f>IF(AND('领用录入（明细）'!D:D=$F$4,'领用录入（明细）'!C:C&gt;=$J$4,'领用录入（明细）'!C:C&lt;=$L$4),ROW(),"-")</f>
        <v>-</v>
      </c>
    </row>
    <row r="24175" customHeight="1" spans="2:2">
      <c r="B24175" s="62" t="str">
        <f>IF(AND('领用录入（明细）'!D:D=$F$4,'领用录入（明细）'!C:C&gt;=$J$4,'领用录入（明细）'!C:C&lt;=$L$4),ROW(),"-")</f>
        <v>-</v>
      </c>
    </row>
    <row r="24176" customHeight="1" spans="2:2">
      <c r="B24176" s="62" t="str">
        <f>IF(AND('领用录入（明细）'!D:D=$F$4,'领用录入（明细）'!C:C&gt;=$J$4,'领用录入（明细）'!C:C&lt;=$L$4),ROW(),"-")</f>
        <v>-</v>
      </c>
    </row>
    <row r="24177" customHeight="1" spans="2:2">
      <c r="B24177" s="62" t="str">
        <f>IF(AND('领用录入（明细）'!D:D=$F$4,'领用录入（明细）'!C:C&gt;=$J$4,'领用录入（明细）'!C:C&lt;=$L$4),ROW(),"-")</f>
        <v>-</v>
      </c>
    </row>
    <row r="24178" customHeight="1" spans="2:2">
      <c r="B24178" s="62" t="str">
        <f>IF(AND('领用录入（明细）'!D:D=$F$4,'领用录入（明细）'!C:C&gt;=$J$4,'领用录入（明细）'!C:C&lt;=$L$4),ROW(),"-")</f>
        <v>-</v>
      </c>
    </row>
    <row r="24179" customHeight="1" spans="2:2">
      <c r="B24179" s="62" t="str">
        <f>IF(AND('领用录入（明细）'!D:D=$F$4,'领用录入（明细）'!C:C&gt;=$J$4,'领用录入（明细）'!C:C&lt;=$L$4),ROW(),"-")</f>
        <v>-</v>
      </c>
    </row>
    <row r="24180" customHeight="1" spans="2:2">
      <c r="B24180" s="62" t="str">
        <f>IF(AND('领用录入（明细）'!D:D=$F$4,'领用录入（明细）'!C:C&gt;=$J$4,'领用录入（明细）'!C:C&lt;=$L$4),ROW(),"-")</f>
        <v>-</v>
      </c>
    </row>
    <row r="24181" customHeight="1" spans="2:2">
      <c r="B24181" s="62" t="str">
        <f>IF(AND('领用录入（明细）'!D:D=$F$4,'领用录入（明细）'!C:C&gt;=$J$4,'领用录入（明细）'!C:C&lt;=$L$4),ROW(),"-")</f>
        <v>-</v>
      </c>
    </row>
    <row r="24182" customHeight="1" spans="2:2">
      <c r="B24182" s="62" t="str">
        <f>IF(AND('领用录入（明细）'!D:D=$F$4,'领用录入（明细）'!C:C&gt;=$J$4,'领用录入（明细）'!C:C&lt;=$L$4),ROW(),"-")</f>
        <v>-</v>
      </c>
    </row>
    <row r="24183" customHeight="1" spans="2:2">
      <c r="B24183" s="62" t="str">
        <f>IF(AND('领用录入（明细）'!D:D=$F$4,'领用录入（明细）'!C:C&gt;=$J$4,'领用录入（明细）'!C:C&lt;=$L$4),ROW(),"-")</f>
        <v>-</v>
      </c>
    </row>
    <row r="24184" customHeight="1" spans="2:2">
      <c r="B24184" s="62" t="str">
        <f>IF(AND('领用录入（明细）'!D:D=$F$4,'领用录入（明细）'!C:C&gt;=$J$4,'领用录入（明细）'!C:C&lt;=$L$4),ROW(),"-")</f>
        <v>-</v>
      </c>
    </row>
    <row r="24185" customHeight="1" spans="2:2">
      <c r="B24185" s="62" t="str">
        <f>IF(AND('领用录入（明细）'!D:D=$F$4,'领用录入（明细）'!C:C&gt;=$J$4,'领用录入（明细）'!C:C&lt;=$L$4),ROW(),"-")</f>
        <v>-</v>
      </c>
    </row>
    <row r="24186" customHeight="1" spans="2:2">
      <c r="B24186" s="62" t="str">
        <f>IF(AND('领用录入（明细）'!D:D=$F$4,'领用录入（明细）'!C:C&gt;=$J$4,'领用录入（明细）'!C:C&lt;=$L$4),ROW(),"-")</f>
        <v>-</v>
      </c>
    </row>
    <row r="24187" customHeight="1" spans="2:2">
      <c r="B24187" s="62" t="str">
        <f>IF(AND('领用录入（明细）'!D:D=$F$4,'领用录入（明细）'!C:C&gt;=$J$4,'领用录入（明细）'!C:C&lt;=$L$4),ROW(),"-")</f>
        <v>-</v>
      </c>
    </row>
    <row r="24188" customHeight="1" spans="2:2">
      <c r="B24188" s="62" t="str">
        <f>IF(AND('领用录入（明细）'!D:D=$F$4,'领用录入（明细）'!C:C&gt;=$J$4,'领用录入（明细）'!C:C&lt;=$L$4),ROW(),"-")</f>
        <v>-</v>
      </c>
    </row>
    <row r="24189" customHeight="1" spans="2:2">
      <c r="B24189" s="62" t="str">
        <f>IF(AND('领用录入（明细）'!D:D=$F$4,'领用录入（明细）'!C:C&gt;=$J$4,'领用录入（明细）'!C:C&lt;=$L$4),ROW(),"-")</f>
        <v>-</v>
      </c>
    </row>
    <row r="24190" customHeight="1" spans="2:2">
      <c r="B24190" s="62" t="str">
        <f>IF(AND('领用录入（明细）'!D:D=$F$4,'领用录入（明细）'!C:C&gt;=$J$4,'领用录入（明细）'!C:C&lt;=$L$4),ROW(),"-")</f>
        <v>-</v>
      </c>
    </row>
    <row r="24191" customHeight="1" spans="2:2">
      <c r="B24191" s="62" t="str">
        <f>IF(AND('领用录入（明细）'!D:D=$F$4,'领用录入（明细）'!C:C&gt;=$J$4,'领用录入（明细）'!C:C&lt;=$L$4),ROW(),"-")</f>
        <v>-</v>
      </c>
    </row>
    <row r="24192" customHeight="1" spans="2:2">
      <c r="B24192" s="62" t="str">
        <f>IF(AND('领用录入（明细）'!D:D=$F$4,'领用录入（明细）'!C:C&gt;=$J$4,'领用录入（明细）'!C:C&lt;=$L$4),ROW(),"-")</f>
        <v>-</v>
      </c>
    </row>
    <row r="24193" customHeight="1" spans="2:2">
      <c r="B24193" s="62" t="str">
        <f>IF(AND('领用录入（明细）'!D:D=$F$4,'领用录入（明细）'!C:C&gt;=$J$4,'领用录入（明细）'!C:C&lt;=$L$4),ROW(),"-")</f>
        <v>-</v>
      </c>
    </row>
    <row r="24194" customHeight="1" spans="2:2">
      <c r="B24194" s="62" t="str">
        <f>IF(AND('领用录入（明细）'!D:D=$F$4,'领用录入（明细）'!C:C&gt;=$J$4,'领用录入（明细）'!C:C&lt;=$L$4),ROW(),"-")</f>
        <v>-</v>
      </c>
    </row>
    <row r="24195" customHeight="1" spans="2:2">
      <c r="B24195" s="62" t="str">
        <f>IF(AND('领用录入（明细）'!D:D=$F$4,'领用录入（明细）'!C:C&gt;=$J$4,'领用录入（明细）'!C:C&lt;=$L$4),ROW(),"-")</f>
        <v>-</v>
      </c>
    </row>
    <row r="24196" customHeight="1" spans="2:2">
      <c r="B24196" s="62" t="str">
        <f>IF(AND('领用录入（明细）'!D:D=$F$4,'领用录入（明细）'!C:C&gt;=$J$4,'领用录入（明细）'!C:C&lt;=$L$4),ROW(),"-")</f>
        <v>-</v>
      </c>
    </row>
    <row r="24197" customHeight="1" spans="2:2">
      <c r="B24197" s="62" t="str">
        <f>IF(AND('领用录入（明细）'!D:D=$F$4,'领用录入（明细）'!C:C&gt;=$J$4,'领用录入（明细）'!C:C&lt;=$L$4),ROW(),"-")</f>
        <v>-</v>
      </c>
    </row>
    <row r="24198" customHeight="1" spans="2:2">
      <c r="B24198" s="62" t="str">
        <f>IF(AND('领用录入（明细）'!D:D=$F$4,'领用录入（明细）'!C:C&gt;=$J$4,'领用录入（明细）'!C:C&lt;=$L$4),ROW(),"-")</f>
        <v>-</v>
      </c>
    </row>
    <row r="24199" customHeight="1" spans="2:2">
      <c r="B24199" s="62" t="str">
        <f>IF(AND('领用录入（明细）'!D:D=$F$4,'领用录入（明细）'!C:C&gt;=$J$4,'领用录入（明细）'!C:C&lt;=$L$4),ROW(),"-")</f>
        <v>-</v>
      </c>
    </row>
    <row r="24200" customHeight="1" spans="2:2">
      <c r="B24200" s="62" t="str">
        <f>IF(AND('领用录入（明细）'!D:D=$F$4,'领用录入（明细）'!C:C&gt;=$J$4,'领用录入（明细）'!C:C&lt;=$L$4),ROW(),"-")</f>
        <v>-</v>
      </c>
    </row>
    <row r="24201" customHeight="1" spans="2:2">
      <c r="B24201" s="62" t="str">
        <f>IF(AND('领用录入（明细）'!D:D=$F$4,'领用录入（明细）'!C:C&gt;=$J$4,'领用录入（明细）'!C:C&lt;=$L$4),ROW(),"-")</f>
        <v>-</v>
      </c>
    </row>
    <row r="24202" customHeight="1" spans="2:2">
      <c r="B24202" s="62" t="str">
        <f>IF(AND('领用录入（明细）'!D:D=$F$4,'领用录入（明细）'!C:C&gt;=$J$4,'领用录入（明细）'!C:C&lt;=$L$4),ROW(),"-")</f>
        <v>-</v>
      </c>
    </row>
    <row r="24203" customHeight="1" spans="2:2">
      <c r="B24203" s="62" t="str">
        <f>IF(AND('领用录入（明细）'!D:D=$F$4,'领用录入（明细）'!C:C&gt;=$J$4,'领用录入（明细）'!C:C&lt;=$L$4),ROW(),"-")</f>
        <v>-</v>
      </c>
    </row>
    <row r="24204" customHeight="1" spans="2:2">
      <c r="B24204" s="62" t="str">
        <f>IF(AND('领用录入（明细）'!D:D=$F$4,'领用录入（明细）'!C:C&gt;=$J$4,'领用录入（明细）'!C:C&lt;=$L$4),ROW(),"-")</f>
        <v>-</v>
      </c>
    </row>
    <row r="24205" customHeight="1" spans="2:2">
      <c r="B24205" s="62" t="str">
        <f>IF(AND('领用录入（明细）'!D:D=$F$4,'领用录入（明细）'!C:C&gt;=$J$4,'领用录入（明细）'!C:C&lt;=$L$4),ROW(),"-")</f>
        <v>-</v>
      </c>
    </row>
    <row r="24206" customHeight="1" spans="2:2">
      <c r="B24206" s="62" t="str">
        <f>IF(AND('领用录入（明细）'!D:D=$F$4,'领用录入（明细）'!C:C&gt;=$J$4,'领用录入（明细）'!C:C&lt;=$L$4),ROW(),"-")</f>
        <v>-</v>
      </c>
    </row>
    <row r="24207" customHeight="1" spans="2:2">
      <c r="B24207" s="62" t="str">
        <f>IF(AND('领用录入（明细）'!D:D=$F$4,'领用录入（明细）'!C:C&gt;=$J$4,'领用录入（明细）'!C:C&lt;=$L$4),ROW(),"-")</f>
        <v>-</v>
      </c>
    </row>
    <row r="24208" customHeight="1" spans="2:2">
      <c r="B24208" s="62" t="str">
        <f>IF(AND('领用录入（明细）'!D:D=$F$4,'领用录入（明细）'!C:C&gt;=$J$4,'领用录入（明细）'!C:C&lt;=$L$4),ROW(),"-")</f>
        <v>-</v>
      </c>
    </row>
    <row r="24209" customHeight="1" spans="2:2">
      <c r="B24209" s="62" t="str">
        <f>IF(AND('领用录入（明细）'!D:D=$F$4,'领用录入（明细）'!C:C&gt;=$J$4,'领用录入（明细）'!C:C&lt;=$L$4),ROW(),"-")</f>
        <v>-</v>
      </c>
    </row>
    <row r="24210" customHeight="1" spans="2:2">
      <c r="B24210" s="62" t="str">
        <f>IF(AND('领用录入（明细）'!D:D=$F$4,'领用录入（明细）'!C:C&gt;=$J$4,'领用录入（明细）'!C:C&lt;=$L$4),ROW(),"-")</f>
        <v>-</v>
      </c>
    </row>
    <row r="24211" customHeight="1" spans="2:2">
      <c r="B24211" s="62" t="str">
        <f>IF(AND('领用录入（明细）'!D:D=$F$4,'领用录入（明细）'!C:C&gt;=$J$4,'领用录入（明细）'!C:C&lt;=$L$4),ROW(),"-")</f>
        <v>-</v>
      </c>
    </row>
    <row r="24212" customHeight="1" spans="2:2">
      <c r="B24212" s="62" t="str">
        <f>IF(AND('领用录入（明细）'!D:D=$F$4,'领用录入（明细）'!C:C&gt;=$J$4,'领用录入（明细）'!C:C&lt;=$L$4),ROW(),"-")</f>
        <v>-</v>
      </c>
    </row>
    <row r="24213" customHeight="1" spans="2:2">
      <c r="B24213" s="62" t="str">
        <f>IF(AND('领用录入（明细）'!D:D=$F$4,'领用录入（明细）'!C:C&gt;=$J$4,'领用录入（明细）'!C:C&lt;=$L$4),ROW(),"-")</f>
        <v>-</v>
      </c>
    </row>
    <row r="24214" customHeight="1" spans="2:2">
      <c r="B24214" s="62" t="str">
        <f>IF(AND('领用录入（明细）'!D:D=$F$4,'领用录入（明细）'!C:C&gt;=$J$4,'领用录入（明细）'!C:C&lt;=$L$4),ROW(),"-")</f>
        <v>-</v>
      </c>
    </row>
    <row r="24215" customHeight="1" spans="2:2">
      <c r="B24215" s="62" t="str">
        <f>IF(AND('领用录入（明细）'!D:D=$F$4,'领用录入（明细）'!C:C&gt;=$J$4,'领用录入（明细）'!C:C&lt;=$L$4),ROW(),"-")</f>
        <v>-</v>
      </c>
    </row>
    <row r="24216" customHeight="1" spans="2:2">
      <c r="B24216" s="62" t="str">
        <f>IF(AND('领用录入（明细）'!D:D=$F$4,'领用录入（明细）'!C:C&gt;=$J$4,'领用录入（明细）'!C:C&lt;=$L$4),ROW(),"-")</f>
        <v>-</v>
      </c>
    </row>
    <row r="24217" customHeight="1" spans="2:2">
      <c r="B24217" s="62" t="str">
        <f>IF(AND('领用录入（明细）'!D:D=$F$4,'领用录入（明细）'!C:C&gt;=$J$4,'领用录入（明细）'!C:C&lt;=$L$4),ROW(),"-")</f>
        <v>-</v>
      </c>
    </row>
    <row r="24218" customHeight="1" spans="2:2">
      <c r="B24218" s="62" t="str">
        <f>IF(AND('领用录入（明细）'!D:D=$F$4,'领用录入（明细）'!C:C&gt;=$J$4,'领用录入（明细）'!C:C&lt;=$L$4),ROW(),"-")</f>
        <v>-</v>
      </c>
    </row>
    <row r="24219" customHeight="1" spans="2:2">
      <c r="B24219" s="62" t="str">
        <f>IF(AND('领用录入（明细）'!D:D=$F$4,'领用录入（明细）'!C:C&gt;=$J$4,'领用录入（明细）'!C:C&lt;=$L$4),ROW(),"-")</f>
        <v>-</v>
      </c>
    </row>
    <row r="24220" customHeight="1" spans="2:2">
      <c r="B24220" s="62" t="str">
        <f>IF(AND('领用录入（明细）'!D:D=$F$4,'领用录入（明细）'!C:C&gt;=$J$4,'领用录入（明细）'!C:C&lt;=$L$4),ROW(),"-")</f>
        <v>-</v>
      </c>
    </row>
    <row r="24221" customHeight="1" spans="2:2">
      <c r="B24221" s="62" t="str">
        <f>IF(AND('领用录入（明细）'!D:D=$F$4,'领用录入（明细）'!C:C&gt;=$J$4,'领用录入（明细）'!C:C&lt;=$L$4),ROW(),"-")</f>
        <v>-</v>
      </c>
    </row>
    <row r="24222" customHeight="1" spans="2:2">
      <c r="B24222" s="62" t="str">
        <f>IF(AND('领用录入（明细）'!D:D=$F$4,'领用录入（明细）'!C:C&gt;=$J$4,'领用录入（明细）'!C:C&lt;=$L$4),ROW(),"-")</f>
        <v>-</v>
      </c>
    </row>
    <row r="24223" customHeight="1" spans="2:2">
      <c r="B24223" s="62" t="str">
        <f>IF(AND('领用录入（明细）'!D:D=$F$4,'领用录入（明细）'!C:C&gt;=$J$4,'领用录入（明细）'!C:C&lt;=$L$4),ROW(),"-")</f>
        <v>-</v>
      </c>
    </row>
    <row r="24224" customHeight="1" spans="2:2">
      <c r="B24224" s="62" t="str">
        <f>IF(AND('领用录入（明细）'!D:D=$F$4,'领用录入（明细）'!C:C&gt;=$J$4,'领用录入（明细）'!C:C&lt;=$L$4),ROW(),"-")</f>
        <v>-</v>
      </c>
    </row>
    <row r="24225" customHeight="1" spans="2:2">
      <c r="B24225" s="62" t="str">
        <f>IF(AND('领用录入（明细）'!D:D=$F$4,'领用录入（明细）'!C:C&gt;=$J$4,'领用录入（明细）'!C:C&lt;=$L$4),ROW(),"-")</f>
        <v>-</v>
      </c>
    </row>
    <row r="24226" customHeight="1" spans="2:2">
      <c r="B24226" s="62" t="str">
        <f>IF(AND('领用录入（明细）'!D:D=$F$4,'领用录入（明细）'!C:C&gt;=$J$4,'领用录入（明细）'!C:C&lt;=$L$4),ROW(),"-")</f>
        <v>-</v>
      </c>
    </row>
    <row r="24227" customHeight="1" spans="2:2">
      <c r="B24227" s="62" t="str">
        <f>IF(AND('领用录入（明细）'!D:D=$F$4,'领用录入（明细）'!C:C&gt;=$J$4,'领用录入（明细）'!C:C&lt;=$L$4),ROW(),"-")</f>
        <v>-</v>
      </c>
    </row>
    <row r="24228" customHeight="1" spans="2:2">
      <c r="B24228" s="62" t="str">
        <f>IF(AND('领用录入（明细）'!D:D=$F$4,'领用录入（明细）'!C:C&gt;=$J$4,'领用录入（明细）'!C:C&lt;=$L$4),ROW(),"-")</f>
        <v>-</v>
      </c>
    </row>
    <row r="24229" customHeight="1" spans="2:2">
      <c r="B24229" s="62" t="str">
        <f>IF(AND('领用录入（明细）'!D:D=$F$4,'领用录入（明细）'!C:C&gt;=$J$4,'领用录入（明细）'!C:C&lt;=$L$4),ROW(),"-")</f>
        <v>-</v>
      </c>
    </row>
    <row r="24230" customHeight="1" spans="2:2">
      <c r="B24230" s="62" t="str">
        <f>IF(AND('领用录入（明细）'!D:D=$F$4,'领用录入（明细）'!C:C&gt;=$J$4,'领用录入（明细）'!C:C&lt;=$L$4),ROW(),"-")</f>
        <v>-</v>
      </c>
    </row>
    <row r="24231" customHeight="1" spans="2:2">
      <c r="B24231" s="62" t="str">
        <f>IF(AND('领用录入（明细）'!D:D=$F$4,'领用录入（明细）'!C:C&gt;=$J$4,'领用录入（明细）'!C:C&lt;=$L$4),ROW(),"-")</f>
        <v>-</v>
      </c>
    </row>
    <row r="24232" customHeight="1" spans="2:2">
      <c r="B24232" s="62" t="str">
        <f>IF(AND('领用录入（明细）'!D:D=$F$4,'领用录入（明细）'!C:C&gt;=$J$4,'领用录入（明细）'!C:C&lt;=$L$4),ROW(),"-")</f>
        <v>-</v>
      </c>
    </row>
    <row r="24233" customHeight="1" spans="2:2">
      <c r="B24233" s="62" t="str">
        <f>IF(AND('领用录入（明细）'!D:D=$F$4,'领用录入（明细）'!C:C&gt;=$J$4,'领用录入（明细）'!C:C&lt;=$L$4),ROW(),"-")</f>
        <v>-</v>
      </c>
    </row>
    <row r="24234" customHeight="1" spans="2:2">
      <c r="B24234" s="62" t="str">
        <f>IF(AND('领用录入（明细）'!D:D=$F$4,'领用录入（明细）'!C:C&gt;=$J$4,'领用录入（明细）'!C:C&lt;=$L$4),ROW(),"-")</f>
        <v>-</v>
      </c>
    </row>
    <row r="24235" customHeight="1" spans="2:2">
      <c r="B24235" s="62" t="str">
        <f>IF(AND('领用录入（明细）'!D:D=$F$4,'领用录入（明细）'!C:C&gt;=$J$4,'领用录入（明细）'!C:C&lt;=$L$4),ROW(),"-")</f>
        <v>-</v>
      </c>
    </row>
    <row r="24236" customHeight="1" spans="2:2">
      <c r="B24236" s="62" t="str">
        <f>IF(AND('领用录入（明细）'!D:D=$F$4,'领用录入（明细）'!C:C&gt;=$J$4,'领用录入（明细）'!C:C&lt;=$L$4),ROW(),"-")</f>
        <v>-</v>
      </c>
    </row>
    <row r="24237" customHeight="1" spans="2:2">
      <c r="B24237" s="62" t="str">
        <f>IF(AND('领用录入（明细）'!D:D=$F$4,'领用录入（明细）'!C:C&gt;=$J$4,'领用录入（明细）'!C:C&lt;=$L$4),ROW(),"-")</f>
        <v>-</v>
      </c>
    </row>
    <row r="24238" customHeight="1" spans="2:2">
      <c r="B24238" s="62" t="str">
        <f>IF(AND('领用录入（明细）'!D:D=$F$4,'领用录入（明细）'!C:C&gt;=$J$4,'领用录入（明细）'!C:C&lt;=$L$4),ROW(),"-")</f>
        <v>-</v>
      </c>
    </row>
    <row r="24239" customHeight="1" spans="2:2">
      <c r="B24239" s="62" t="str">
        <f>IF(AND('领用录入（明细）'!D:D=$F$4,'领用录入（明细）'!C:C&gt;=$J$4,'领用录入（明细）'!C:C&lt;=$L$4),ROW(),"-")</f>
        <v>-</v>
      </c>
    </row>
    <row r="24240" customHeight="1" spans="2:2">
      <c r="B24240" s="62" t="str">
        <f>IF(AND('领用录入（明细）'!D:D=$F$4,'领用录入（明细）'!C:C&gt;=$J$4,'领用录入（明细）'!C:C&lt;=$L$4),ROW(),"-")</f>
        <v>-</v>
      </c>
    </row>
    <row r="24241" customHeight="1" spans="2:2">
      <c r="B24241" s="62" t="str">
        <f>IF(AND('领用录入（明细）'!D:D=$F$4,'领用录入（明细）'!C:C&gt;=$J$4,'领用录入（明细）'!C:C&lt;=$L$4),ROW(),"-")</f>
        <v>-</v>
      </c>
    </row>
    <row r="24242" customHeight="1" spans="2:2">
      <c r="B24242" s="62" t="str">
        <f>IF(AND('领用录入（明细）'!D:D=$F$4,'领用录入（明细）'!C:C&gt;=$J$4,'领用录入（明细）'!C:C&lt;=$L$4),ROW(),"-")</f>
        <v>-</v>
      </c>
    </row>
    <row r="24243" customHeight="1" spans="2:2">
      <c r="B24243" s="62" t="str">
        <f>IF(AND('领用录入（明细）'!D:D=$F$4,'领用录入（明细）'!C:C&gt;=$J$4,'领用录入（明细）'!C:C&lt;=$L$4),ROW(),"-")</f>
        <v>-</v>
      </c>
    </row>
    <row r="24244" customHeight="1" spans="2:2">
      <c r="B24244" s="62" t="str">
        <f>IF(AND('领用录入（明细）'!D:D=$F$4,'领用录入（明细）'!C:C&gt;=$J$4,'领用录入（明细）'!C:C&lt;=$L$4),ROW(),"-")</f>
        <v>-</v>
      </c>
    </row>
    <row r="24245" customHeight="1" spans="2:2">
      <c r="B24245" s="62" t="str">
        <f>IF(AND('领用录入（明细）'!D:D=$F$4,'领用录入（明细）'!C:C&gt;=$J$4,'领用录入（明细）'!C:C&lt;=$L$4),ROW(),"-")</f>
        <v>-</v>
      </c>
    </row>
    <row r="24246" customHeight="1" spans="2:2">
      <c r="B24246" s="62" t="str">
        <f>IF(AND('领用录入（明细）'!D:D=$F$4,'领用录入（明细）'!C:C&gt;=$J$4,'领用录入（明细）'!C:C&lt;=$L$4),ROW(),"-")</f>
        <v>-</v>
      </c>
    </row>
    <row r="24247" customHeight="1" spans="2:2">
      <c r="B24247" s="62" t="str">
        <f>IF(AND('领用录入（明细）'!D:D=$F$4,'领用录入（明细）'!C:C&gt;=$J$4,'领用录入（明细）'!C:C&lt;=$L$4),ROW(),"-")</f>
        <v>-</v>
      </c>
    </row>
    <row r="24248" customHeight="1" spans="2:2">
      <c r="B24248" s="62" t="str">
        <f>IF(AND('领用录入（明细）'!D:D=$F$4,'领用录入（明细）'!C:C&gt;=$J$4,'领用录入（明细）'!C:C&lt;=$L$4),ROW(),"-")</f>
        <v>-</v>
      </c>
    </row>
    <row r="24249" customHeight="1" spans="2:2">
      <c r="B24249" s="62" t="str">
        <f>IF(AND('领用录入（明细）'!D:D=$F$4,'领用录入（明细）'!C:C&gt;=$J$4,'领用录入（明细）'!C:C&lt;=$L$4),ROW(),"-")</f>
        <v>-</v>
      </c>
    </row>
    <row r="24250" customHeight="1" spans="2:2">
      <c r="B24250" s="62" t="str">
        <f>IF(AND('领用录入（明细）'!D:D=$F$4,'领用录入（明细）'!C:C&gt;=$J$4,'领用录入（明细）'!C:C&lt;=$L$4),ROW(),"-")</f>
        <v>-</v>
      </c>
    </row>
    <row r="24251" customHeight="1" spans="2:2">
      <c r="B24251" s="62" t="str">
        <f>IF(AND('领用录入（明细）'!D:D=$F$4,'领用录入（明细）'!C:C&gt;=$J$4,'领用录入（明细）'!C:C&lt;=$L$4),ROW(),"-")</f>
        <v>-</v>
      </c>
    </row>
    <row r="24252" customHeight="1" spans="2:2">
      <c r="B24252" s="62" t="str">
        <f>IF(AND('领用录入（明细）'!D:D=$F$4,'领用录入（明细）'!C:C&gt;=$J$4,'领用录入（明细）'!C:C&lt;=$L$4),ROW(),"-")</f>
        <v>-</v>
      </c>
    </row>
    <row r="24253" customHeight="1" spans="2:2">
      <c r="B24253" s="62" t="str">
        <f>IF(AND('领用录入（明细）'!D:D=$F$4,'领用录入（明细）'!C:C&gt;=$J$4,'领用录入（明细）'!C:C&lt;=$L$4),ROW(),"-")</f>
        <v>-</v>
      </c>
    </row>
    <row r="24254" customHeight="1" spans="2:2">
      <c r="B24254" s="62" t="str">
        <f>IF(AND('领用录入（明细）'!D:D=$F$4,'领用录入（明细）'!C:C&gt;=$J$4,'领用录入（明细）'!C:C&lt;=$L$4),ROW(),"-")</f>
        <v>-</v>
      </c>
    </row>
    <row r="24255" customHeight="1" spans="2:2">
      <c r="B24255" s="62" t="str">
        <f>IF(AND('领用录入（明细）'!D:D=$F$4,'领用录入（明细）'!C:C&gt;=$J$4,'领用录入（明细）'!C:C&lt;=$L$4),ROW(),"-")</f>
        <v>-</v>
      </c>
    </row>
    <row r="24256" customHeight="1" spans="2:2">
      <c r="B24256" s="62" t="str">
        <f>IF(AND('领用录入（明细）'!D:D=$F$4,'领用录入（明细）'!C:C&gt;=$J$4,'领用录入（明细）'!C:C&lt;=$L$4),ROW(),"-")</f>
        <v>-</v>
      </c>
    </row>
    <row r="24257" customHeight="1" spans="2:2">
      <c r="B24257" s="62" t="str">
        <f>IF(AND('领用录入（明细）'!D:D=$F$4,'领用录入（明细）'!C:C&gt;=$J$4,'领用录入（明细）'!C:C&lt;=$L$4),ROW(),"-")</f>
        <v>-</v>
      </c>
    </row>
    <row r="24258" customHeight="1" spans="2:2">
      <c r="B24258" s="62" t="str">
        <f>IF(AND('领用录入（明细）'!D:D=$F$4,'领用录入（明细）'!C:C&gt;=$J$4,'领用录入（明细）'!C:C&lt;=$L$4),ROW(),"-")</f>
        <v>-</v>
      </c>
    </row>
    <row r="24259" customHeight="1" spans="2:2">
      <c r="B24259" s="62" t="str">
        <f>IF(AND('领用录入（明细）'!D:D=$F$4,'领用录入（明细）'!C:C&gt;=$J$4,'领用录入（明细）'!C:C&lt;=$L$4),ROW(),"-")</f>
        <v>-</v>
      </c>
    </row>
    <row r="24260" customHeight="1" spans="2:2">
      <c r="B24260" s="62" t="str">
        <f>IF(AND('领用录入（明细）'!D:D=$F$4,'领用录入（明细）'!C:C&gt;=$J$4,'领用录入（明细）'!C:C&lt;=$L$4),ROW(),"-")</f>
        <v>-</v>
      </c>
    </row>
    <row r="24261" customHeight="1" spans="2:2">
      <c r="B24261" s="62" t="str">
        <f>IF(AND('领用录入（明细）'!D:D=$F$4,'领用录入（明细）'!C:C&gt;=$J$4,'领用录入（明细）'!C:C&lt;=$L$4),ROW(),"-")</f>
        <v>-</v>
      </c>
    </row>
    <row r="24262" customHeight="1" spans="2:2">
      <c r="B24262" s="62" t="str">
        <f>IF(AND('领用录入（明细）'!D:D=$F$4,'领用录入（明细）'!C:C&gt;=$J$4,'领用录入（明细）'!C:C&lt;=$L$4),ROW(),"-")</f>
        <v>-</v>
      </c>
    </row>
    <row r="24263" customHeight="1" spans="2:2">
      <c r="B24263" s="62" t="str">
        <f>IF(AND('领用录入（明细）'!D:D=$F$4,'领用录入（明细）'!C:C&gt;=$J$4,'领用录入（明细）'!C:C&lt;=$L$4),ROW(),"-")</f>
        <v>-</v>
      </c>
    </row>
    <row r="24264" customHeight="1" spans="2:2">
      <c r="B24264" s="62" t="str">
        <f>IF(AND('领用录入（明细）'!D:D=$F$4,'领用录入（明细）'!C:C&gt;=$J$4,'领用录入（明细）'!C:C&lt;=$L$4),ROW(),"-")</f>
        <v>-</v>
      </c>
    </row>
    <row r="24265" customHeight="1" spans="2:2">
      <c r="B24265" s="62" t="str">
        <f>IF(AND('领用录入（明细）'!D:D=$F$4,'领用录入（明细）'!C:C&gt;=$J$4,'领用录入（明细）'!C:C&lt;=$L$4),ROW(),"-")</f>
        <v>-</v>
      </c>
    </row>
    <row r="24266" customHeight="1" spans="2:2">
      <c r="B24266" s="62" t="str">
        <f>IF(AND('领用录入（明细）'!D:D=$F$4,'领用录入（明细）'!C:C&gt;=$J$4,'领用录入（明细）'!C:C&lt;=$L$4),ROW(),"-")</f>
        <v>-</v>
      </c>
    </row>
    <row r="24267" customHeight="1" spans="2:2">
      <c r="B24267" s="62" t="str">
        <f>IF(AND('领用录入（明细）'!D:D=$F$4,'领用录入（明细）'!C:C&gt;=$J$4,'领用录入（明细）'!C:C&lt;=$L$4),ROW(),"-")</f>
        <v>-</v>
      </c>
    </row>
    <row r="24268" customHeight="1" spans="2:2">
      <c r="B24268" s="62" t="str">
        <f>IF(AND('领用录入（明细）'!D:D=$F$4,'领用录入（明细）'!C:C&gt;=$J$4,'领用录入（明细）'!C:C&lt;=$L$4),ROW(),"-")</f>
        <v>-</v>
      </c>
    </row>
    <row r="24269" customHeight="1" spans="2:2">
      <c r="B24269" s="62" t="str">
        <f>IF(AND('领用录入（明细）'!D:D=$F$4,'领用录入（明细）'!C:C&gt;=$J$4,'领用录入（明细）'!C:C&lt;=$L$4),ROW(),"-")</f>
        <v>-</v>
      </c>
    </row>
    <row r="24270" customHeight="1" spans="2:2">
      <c r="B24270" s="62" t="str">
        <f>IF(AND('领用录入（明细）'!D:D=$F$4,'领用录入（明细）'!C:C&gt;=$J$4,'领用录入（明细）'!C:C&lt;=$L$4),ROW(),"-")</f>
        <v>-</v>
      </c>
    </row>
    <row r="24271" customHeight="1" spans="2:2">
      <c r="B24271" s="62" t="str">
        <f>IF(AND('领用录入（明细）'!D:D=$F$4,'领用录入（明细）'!C:C&gt;=$J$4,'领用录入（明细）'!C:C&lt;=$L$4),ROW(),"-")</f>
        <v>-</v>
      </c>
    </row>
    <row r="24272" customHeight="1" spans="2:2">
      <c r="B24272" s="62" t="str">
        <f>IF(AND('领用录入（明细）'!D:D=$F$4,'领用录入（明细）'!C:C&gt;=$J$4,'领用录入（明细）'!C:C&lt;=$L$4),ROW(),"-")</f>
        <v>-</v>
      </c>
    </row>
    <row r="24273" customHeight="1" spans="2:2">
      <c r="B24273" s="62" t="str">
        <f>IF(AND('领用录入（明细）'!D:D=$F$4,'领用录入（明细）'!C:C&gt;=$J$4,'领用录入（明细）'!C:C&lt;=$L$4),ROW(),"-")</f>
        <v>-</v>
      </c>
    </row>
    <row r="24274" customHeight="1" spans="2:2">
      <c r="B24274" s="62" t="str">
        <f>IF(AND('领用录入（明细）'!D:D=$F$4,'领用录入（明细）'!C:C&gt;=$J$4,'领用录入（明细）'!C:C&lt;=$L$4),ROW(),"-")</f>
        <v>-</v>
      </c>
    </row>
    <row r="24275" customHeight="1" spans="2:2">
      <c r="B24275" s="62" t="str">
        <f>IF(AND('领用录入（明细）'!D:D=$F$4,'领用录入（明细）'!C:C&gt;=$J$4,'领用录入（明细）'!C:C&lt;=$L$4),ROW(),"-")</f>
        <v>-</v>
      </c>
    </row>
    <row r="24276" customHeight="1" spans="2:2">
      <c r="B24276" s="62" t="str">
        <f>IF(AND('领用录入（明细）'!D:D=$F$4,'领用录入（明细）'!C:C&gt;=$J$4,'领用录入（明细）'!C:C&lt;=$L$4),ROW(),"-")</f>
        <v>-</v>
      </c>
    </row>
    <row r="24277" customHeight="1" spans="2:2">
      <c r="B24277" s="62" t="str">
        <f>IF(AND('领用录入（明细）'!D:D=$F$4,'领用录入（明细）'!C:C&gt;=$J$4,'领用录入（明细）'!C:C&lt;=$L$4),ROW(),"-")</f>
        <v>-</v>
      </c>
    </row>
    <row r="24278" customHeight="1" spans="2:2">
      <c r="B24278" s="62" t="str">
        <f>IF(AND('领用录入（明细）'!D:D=$F$4,'领用录入（明细）'!C:C&gt;=$J$4,'领用录入（明细）'!C:C&lt;=$L$4),ROW(),"-")</f>
        <v>-</v>
      </c>
    </row>
    <row r="24279" customHeight="1" spans="2:2">
      <c r="B24279" s="62" t="str">
        <f>IF(AND('领用录入（明细）'!D:D=$F$4,'领用录入（明细）'!C:C&gt;=$J$4,'领用录入（明细）'!C:C&lt;=$L$4),ROW(),"-")</f>
        <v>-</v>
      </c>
    </row>
    <row r="24280" customHeight="1" spans="2:2">
      <c r="B24280" s="62" t="str">
        <f>IF(AND('领用录入（明细）'!D:D=$F$4,'领用录入（明细）'!C:C&gt;=$J$4,'领用录入（明细）'!C:C&lt;=$L$4),ROW(),"-")</f>
        <v>-</v>
      </c>
    </row>
    <row r="24281" customHeight="1" spans="2:2">
      <c r="B24281" s="62" t="str">
        <f>IF(AND('领用录入（明细）'!D:D=$F$4,'领用录入（明细）'!C:C&gt;=$J$4,'领用录入（明细）'!C:C&lt;=$L$4),ROW(),"-")</f>
        <v>-</v>
      </c>
    </row>
    <row r="24282" customHeight="1" spans="2:2">
      <c r="B24282" s="62" t="str">
        <f>IF(AND('领用录入（明细）'!D:D=$F$4,'领用录入（明细）'!C:C&gt;=$J$4,'领用录入（明细）'!C:C&lt;=$L$4),ROW(),"-")</f>
        <v>-</v>
      </c>
    </row>
    <row r="24283" customHeight="1" spans="2:2">
      <c r="B24283" s="62" t="str">
        <f>IF(AND('领用录入（明细）'!D:D=$F$4,'领用录入（明细）'!C:C&gt;=$J$4,'领用录入（明细）'!C:C&lt;=$L$4),ROW(),"-")</f>
        <v>-</v>
      </c>
    </row>
    <row r="24284" customHeight="1" spans="2:2">
      <c r="B24284" s="62" t="str">
        <f>IF(AND('领用录入（明细）'!D:D=$F$4,'领用录入（明细）'!C:C&gt;=$J$4,'领用录入（明细）'!C:C&lt;=$L$4),ROW(),"-")</f>
        <v>-</v>
      </c>
    </row>
    <row r="24285" customHeight="1" spans="2:2">
      <c r="B24285" s="62" t="str">
        <f>IF(AND('领用录入（明细）'!D:D=$F$4,'领用录入（明细）'!C:C&gt;=$J$4,'领用录入（明细）'!C:C&lt;=$L$4),ROW(),"-")</f>
        <v>-</v>
      </c>
    </row>
    <row r="24286" customHeight="1" spans="2:2">
      <c r="B24286" s="62" t="str">
        <f>IF(AND('领用录入（明细）'!D:D=$F$4,'领用录入（明细）'!C:C&gt;=$J$4,'领用录入（明细）'!C:C&lt;=$L$4),ROW(),"-")</f>
        <v>-</v>
      </c>
    </row>
    <row r="24287" customHeight="1" spans="2:2">
      <c r="B24287" s="62" t="str">
        <f>IF(AND('领用录入（明细）'!D:D=$F$4,'领用录入（明细）'!C:C&gt;=$J$4,'领用录入（明细）'!C:C&lt;=$L$4),ROW(),"-")</f>
        <v>-</v>
      </c>
    </row>
    <row r="24288" customHeight="1" spans="2:2">
      <c r="B24288" s="62" t="str">
        <f>IF(AND('领用录入（明细）'!D:D=$F$4,'领用录入（明细）'!C:C&gt;=$J$4,'领用录入（明细）'!C:C&lt;=$L$4),ROW(),"-")</f>
        <v>-</v>
      </c>
    </row>
    <row r="24289" customHeight="1" spans="2:2">
      <c r="B24289" s="62" t="str">
        <f>IF(AND('领用录入（明细）'!D:D=$F$4,'领用录入（明细）'!C:C&gt;=$J$4,'领用录入（明细）'!C:C&lt;=$L$4),ROW(),"-")</f>
        <v>-</v>
      </c>
    </row>
    <row r="24290" customHeight="1" spans="2:2">
      <c r="B24290" s="62" t="str">
        <f>IF(AND('领用录入（明细）'!D:D=$F$4,'领用录入（明细）'!C:C&gt;=$J$4,'领用录入（明细）'!C:C&lt;=$L$4),ROW(),"-")</f>
        <v>-</v>
      </c>
    </row>
    <row r="24291" customHeight="1" spans="2:2">
      <c r="B24291" s="62" t="str">
        <f>IF(AND('领用录入（明细）'!D:D=$F$4,'领用录入（明细）'!C:C&gt;=$J$4,'领用录入（明细）'!C:C&lt;=$L$4),ROW(),"-")</f>
        <v>-</v>
      </c>
    </row>
    <row r="24292" customHeight="1" spans="2:2">
      <c r="B24292" s="62" t="str">
        <f>IF(AND('领用录入（明细）'!D:D=$F$4,'领用录入（明细）'!C:C&gt;=$J$4,'领用录入（明细）'!C:C&lt;=$L$4),ROW(),"-")</f>
        <v>-</v>
      </c>
    </row>
    <row r="24293" customHeight="1" spans="2:2">
      <c r="B24293" s="62" t="str">
        <f>IF(AND('领用录入（明细）'!D:D=$F$4,'领用录入（明细）'!C:C&gt;=$J$4,'领用录入（明细）'!C:C&lt;=$L$4),ROW(),"-")</f>
        <v>-</v>
      </c>
    </row>
    <row r="24294" customHeight="1" spans="2:2">
      <c r="B24294" s="62" t="str">
        <f>IF(AND('领用录入（明细）'!D:D=$F$4,'领用录入（明细）'!C:C&gt;=$J$4,'领用录入（明细）'!C:C&lt;=$L$4),ROW(),"-")</f>
        <v>-</v>
      </c>
    </row>
    <row r="24295" customHeight="1" spans="2:2">
      <c r="B24295" s="62" t="str">
        <f>IF(AND('领用录入（明细）'!D:D=$F$4,'领用录入（明细）'!C:C&gt;=$J$4,'领用录入（明细）'!C:C&lt;=$L$4),ROW(),"-")</f>
        <v>-</v>
      </c>
    </row>
    <row r="24296" customHeight="1" spans="2:2">
      <c r="B24296" s="62" t="str">
        <f>IF(AND('领用录入（明细）'!D:D=$F$4,'领用录入（明细）'!C:C&gt;=$J$4,'领用录入（明细）'!C:C&lt;=$L$4),ROW(),"-")</f>
        <v>-</v>
      </c>
    </row>
    <row r="24297" customHeight="1" spans="2:2">
      <c r="B24297" s="62" t="str">
        <f>IF(AND('领用录入（明细）'!D:D=$F$4,'领用录入（明细）'!C:C&gt;=$J$4,'领用录入（明细）'!C:C&lt;=$L$4),ROW(),"-")</f>
        <v>-</v>
      </c>
    </row>
    <row r="24298" customHeight="1" spans="2:2">
      <c r="B24298" s="62" t="str">
        <f>IF(AND('领用录入（明细）'!D:D=$F$4,'领用录入（明细）'!C:C&gt;=$J$4,'领用录入（明细）'!C:C&lt;=$L$4),ROW(),"-")</f>
        <v>-</v>
      </c>
    </row>
    <row r="24299" customHeight="1" spans="2:2">
      <c r="B24299" s="62" t="str">
        <f>IF(AND('领用录入（明细）'!D:D=$F$4,'领用录入（明细）'!C:C&gt;=$J$4,'领用录入（明细）'!C:C&lt;=$L$4),ROW(),"-")</f>
        <v>-</v>
      </c>
    </row>
    <row r="24300" customHeight="1" spans="2:2">
      <c r="B24300" s="62" t="str">
        <f>IF(AND('领用录入（明细）'!D:D=$F$4,'领用录入（明细）'!C:C&gt;=$J$4,'领用录入（明细）'!C:C&lt;=$L$4),ROW(),"-")</f>
        <v>-</v>
      </c>
    </row>
    <row r="24301" customHeight="1" spans="2:2">
      <c r="B24301" s="62" t="str">
        <f>IF(AND('领用录入（明细）'!D:D=$F$4,'领用录入（明细）'!C:C&gt;=$J$4,'领用录入（明细）'!C:C&lt;=$L$4),ROW(),"-")</f>
        <v>-</v>
      </c>
    </row>
    <row r="24302" customHeight="1" spans="2:2">
      <c r="B24302" s="62" t="str">
        <f>IF(AND('领用录入（明细）'!D:D=$F$4,'领用录入（明细）'!C:C&gt;=$J$4,'领用录入（明细）'!C:C&lt;=$L$4),ROW(),"-")</f>
        <v>-</v>
      </c>
    </row>
    <row r="24303" customHeight="1" spans="2:2">
      <c r="B24303" s="62" t="str">
        <f>IF(AND('领用录入（明细）'!D:D=$F$4,'领用录入（明细）'!C:C&gt;=$J$4,'领用录入（明细）'!C:C&lt;=$L$4),ROW(),"-")</f>
        <v>-</v>
      </c>
    </row>
    <row r="24304" customHeight="1" spans="2:2">
      <c r="B24304" s="62" t="str">
        <f>IF(AND('领用录入（明细）'!D:D=$F$4,'领用录入（明细）'!C:C&gt;=$J$4,'领用录入（明细）'!C:C&lt;=$L$4),ROW(),"-")</f>
        <v>-</v>
      </c>
    </row>
    <row r="24305" customHeight="1" spans="2:2">
      <c r="B24305" s="62" t="str">
        <f>IF(AND('领用录入（明细）'!D:D=$F$4,'领用录入（明细）'!C:C&gt;=$J$4,'领用录入（明细）'!C:C&lt;=$L$4),ROW(),"-")</f>
        <v>-</v>
      </c>
    </row>
    <row r="24306" customHeight="1" spans="2:2">
      <c r="B24306" s="62" t="str">
        <f>IF(AND('领用录入（明细）'!D:D=$F$4,'领用录入（明细）'!C:C&gt;=$J$4,'领用录入（明细）'!C:C&lt;=$L$4),ROW(),"-")</f>
        <v>-</v>
      </c>
    </row>
    <row r="24307" customHeight="1" spans="2:2">
      <c r="B24307" s="62" t="str">
        <f>IF(AND('领用录入（明细）'!D:D=$F$4,'领用录入（明细）'!C:C&gt;=$J$4,'领用录入（明细）'!C:C&lt;=$L$4),ROW(),"-")</f>
        <v>-</v>
      </c>
    </row>
    <row r="24308" customHeight="1" spans="2:2">
      <c r="B24308" s="62" t="str">
        <f>IF(AND('领用录入（明细）'!D:D=$F$4,'领用录入（明细）'!C:C&gt;=$J$4,'领用录入（明细）'!C:C&lt;=$L$4),ROW(),"-")</f>
        <v>-</v>
      </c>
    </row>
    <row r="24309" customHeight="1" spans="2:2">
      <c r="B24309" s="62" t="str">
        <f>IF(AND('领用录入（明细）'!D:D=$F$4,'领用录入（明细）'!C:C&gt;=$J$4,'领用录入（明细）'!C:C&lt;=$L$4),ROW(),"-")</f>
        <v>-</v>
      </c>
    </row>
    <row r="24310" customHeight="1" spans="2:2">
      <c r="B24310" s="62" t="str">
        <f>IF(AND('领用录入（明细）'!D:D=$F$4,'领用录入（明细）'!C:C&gt;=$J$4,'领用录入（明细）'!C:C&lt;=$L$4),ROW(),"-")</f>
        <v>-</v>
      </c>
    </row>
    <row r="24311" customHeight="1" spans="2:2">
      <c r="B24311" s="62" t="str">
        <f>IF(AND('领用录入（明细）'!D:D=$F$4,'领用录入（明细）'!C:C&gt;=$J$4,'领用录入（明细）'!C:C&lt;=$L$4),ROW(),"-")</f>
        <v>-</v>
      </c>
    </row>
    <row r="24312" customHeight="1" spans="2:2">
      <c r="B24312" s="62" t="str">
        <f>IF(AND('领用录入（明细）'!D:D=$F$4,'领用录入（明细）'!C:C&gt;=$J$4,'领用录入（明细）'!C:C&lt;=$L$4),ROW(),"-")</f>
        <v>-</v>
      </c>
    </row>
    <row r="24313" customHeight="1" spans="2:2">
      <c r="B24313" s="62" t="str">
        <f>IF(AND('领用录入（明细）'!D:D=$F$4,'领用录入（明细）'!C:C&gt;=$J$4,'领用录入（明细）'!C:C&lt;=$L$4),ROW(),"-")</f>
        <v>-</v>
      </c>
    </row>
    <row r="24314" customHeight="1" spans="2:2">
      <c r="B24314" s="62" t="str">
        <f>IF(AND('领用录入（明细）'!D:D=$F$4,'领用录入（明细）'!C:C&gt;=$J$4,'领用录入（明细）'!C:C&lt;=$L$4),ROW(),"-")</f>
        <v>-</v>
      </c>
    </row>
    <row r="24315" customHeight="1" spans="2:2">
      <c r="B24315" s="62" t="str">
        <f>IF(AND('领用录入（明细）'!D:D=$F$4,'领用录入（明细）'!C:C&gt;=$J$4,'领用录入（明细）'!C:C&lt;=$L$4),ROW(),"-")</f>
        <v>-</v>
      </c>
    </row>
    <row r="24316" customHeight="1" spans="2:2">
      <c r="B24316" s="62" t="str">
        <f>IF(AND('领用录入（明细）'!D:D=$F$4,'领用录入（明细）'!C:C&gt;=$J$4,'领用录入（明细）'!C:C&lt;=$L$4),ROW(),"-")</f>
        <v>-</v>
      </c>
    </row>
    <row r="24317" customHeight="1" spans="2:2">
      <c r="B24317" s="62" t="str">
        <f>IF(AND('领用录入（明细）'!D:D=$F$4,'领用录入（明细）'!C:C&gt;=$J$4,'领用录入（明细）'!C:C&lt;=$L$4),ROW(),"-")</f>
        <v>-</v>
      </c>
    </row>
    <row r="24318" customHeight="1" spans="2:2">
      <c r="B24318" s="62" t="str">
        <f>IF(AND('领用录入（明细）'!D:D=$F$4,'领用录入（明细）'!C:C&gt;=$J$4,'领用录入（明细）'!C:C&lt;=$L$4),ROW(),"-")</f>
        <v>-</v>
      </c>
    </row>
    <row r="24319" customHeight="1" spans="2:2">
      <c r="B24319" s="62" t="str">
        <f>IF(AND('领用录入（明细）'!D:D=$F$4,'领用录入（明细）'!C:C&gt;=$J$4,'领用录入（明细）'!C:C&lt;=$L$4),ROW(),"-")</f>
        <v>-</v>
      </c>
    </row>
    <row r="24320" customHeight="1" spans="2:2">
      <c r="B24320" s="62" t="str">
        <f>IF(AND('领用录入（明细）'!D:D=$F$4,'领用录入（明细）'!C:C&gt;=$J$4,'领用录入（明细）'!C:C&lt;=$L$4),ROW(),"-")</f>
        <v>-</v>
      </c>
    </row>
    <row r="24321" customHeight="1" spans="2:2">
      <c r="B24321" s="62" t="str">
        <f>IF(AND('领用录入（明细）'!D:D=$F$4,'领用录入（明细）'!C:C&gt;=$J$4,'领用录入（明细）'!C:C&lt;=$L$4),ROW(),"-")</f>
        <v>-</v>
      </c>
    </row>
    <row r="24322" customHeight="1" spans="2:2">
      <c r="B24322" s="62" t="str">
        <f>IF(AND('领用录入（明细）'!D:D=$F$4,'领用录入（明细）'!C:C&gt;=$J$4,'领用录入（明细）'!C:C&lt;=$L$4),ROW(),"-")</f>
        <v>-</v>
      </c>
    </row>
    <row r="24323" customHeight="1" spans="2:2">
      <c r="B24323" s="62" t="str">
        <f>IF(AND('领用录入（明细）'!D:D=$F$4,'领用录入（明细）'!C:C&gt;=$J$4,'领用录入（明细）'!C:C&lt;=$L$4),ROW(),"-")</f>
        <v>-</v>
      </c>
    </row>
    <row r="24324" customHeight="1" spans="2:2">
      <c r="B24324" s="62" t="str">
        <f>IF(AND('领用录入（明细）'!D:D=$F$4,'领用录入（明细）'!C:C&gt;=$J$4,'领用录入（明细）'!C:C&lt;=$L$4),ROW(),"-")</f>
        <v>-</v>
      </c>
    </row>
    <row r="24325" customHeight="1" spans="2:2">
      <c r="B24325" s="62" t="str">
        <f>IF(AND('领用录入（明细）'!D:D=$F$4,'领用录入（明细）'!C:C&gt;=$J$4,'领用录入（明细）'!C:C&lt;=$L$4),ROW(),"-")</f>
        <v>-</v>
      </c>
    </row>
    <row r="24326" customHeight="1" spans="2:2">
      <c r="B24326" s="62" t="str">
        <f>IF(AND('领用录入（明细）'!D:D=$F$4,'领用录入（明细）'!C:C&gt;=$J$4,'领用录入（明细）'!C:C&lt;=$L$4),ROW(),"-")</f>
        <v>-</v>
      </c>
    </row>
    <row r="24327" customHeight="1" spans="2:2">
      <c r="B24327" s="62" t="str">
        <f>IF(AND('领用录入（明细）'!D:D=$F$4,'领用录入（明细）'!C:C&gt;=$J$4,'领用录入（明细）'!C:C&lt;=$L$4),ROW(),"-")</f>
        <v>-</v>
      </c>
    </row>
    <row r="24328" customHeight="1" spans="2:2">
      <c r="B24328" s="62" t="str">
        <f>IF(AND('领用录入（明细）'!D:D=$F$4,'领用录入（明细）'!C:C&gt;=$J$4,'领用录入（明细）'!C:C&lt;=$L$4),ROW(),"-")</f>
        <v>-</v>
      </c>
    </row>
    <row r="24329" customHeight="1" spans="2:2">
      <c r="B24329" s="62" t="str">
        <f>IF(AND('领用录入（明细）'!D:D=$F$4,'领用录入（明细）'!C:C&gt;=$J$4,'领用录入（明细）'!C:C&lt;=$L$4),ROW(),"-")</f>
        <v>-</v>
      </c>
    </row>
    <row r="24330" customHeight="1" spans="2:2">
      <c r="B24330" s="62" t="str">
        <f>IF(AND('领用录入（明细）'!D:D=$F$4,'领用录入（明细）'!C:C&gt;=$J$4,'领用录入（明细）'!C:C&lt;=$L$4),ROW(),"-")</f>
        <v>-</v>
      </c>
    </row>
    <row r="24331" customHeight="1" spans="2:2">
      <c r="B24331" s="62" t="str">
        <f>IF(AND('领用录入（明细）'!D:D=$F$4,'领用录入（明细）'!C:C&gt;=$J$4,'领用录入（明细）'!C:C&lt;=$L$4),ROW(),"-")</f>
        <v>-</v>
      </c>
    </row>
    <row r="24332" customHeight="1" spans="2:2">
      <c r="B24332" s="62" t="str">
        <f>IF(AND('领用录入（明细）'!D:D=$F$4,'领用录入（明细）'!C:C&gt;=$J$4,'领用录入（明细）'!C:C&lt;=$L$4),ROW(),"-")</f>
        <v>-</v>
      </c>
    </row>
    <row r="24333" customHeight="1" spans="2:2">
      <c r="B24333" s="62" t="str">
        <f>IF(AND('领用录入（明细）'!D:D=$F$4,'领用录入（明细）'!C:C&gt;=$J$4,'领用录入（明细）'!C:C&lt;=$L$4),ROW(),"-")</f>
        <v>-</v>
      </c>
    </row>
    <row r="24334" customHeight="1" spans="2:2">
      <c r="B24334" s="62" t="str">
        <f>IF(AND('领用录入（明细）'!D:D=$F$4,'领用录入（明细）'!C:C&gt;=$J$4,'领用录入（明细）'!C:C&lt;=$L$4),ROW(),"-")</f>
        <v>-</v>
      </c>
    </row>
    <row r="24335" customHeight="1" spans="2:2">
      <c r="B24335" s="62" t="str">
        <f>IF(AND('领用录入（明细）'!D:D=$F$4,'领用录入（明细）'!C:C&gt;=$J$4,'领用录入（明细）'!C:C&lt;=$L$4),ROW(),"-")</f>
        <v>-</v>
      </c>
    </row>
    <row r="24336" customHeight="1" spans="2:2">
      <c r="B24336" s="62" t="str">
        <f>IF(AND('领用录入（明细）'!D:D=$F$4,'领用录入（明细）'!C:C&gt;=$J$4,'领用录入（明细）'!C:C&lt;=$L$4),ROW(),"-")</f>
        <v>-</v>
      </c>
    </row>
    <row r="24337" customHeight="1" spans="2:2">
      <c r="B24337" s="62" t="str">
        <f>IF(AND('领用录入（明细）'!D:D=$F$4,'领用录入（明细）'!C:C&gt;=$J$4,'领用录入（明细）'!C:C&lt;=$L$4),ROW(),"-")</f>
        <v>-</v>
      </c>
    </row>
    <row r="24338" customHeight="1" spans="2:2">
      <c r="B24338" s="62" t="str">
        <f>IF(AND('领用录入（明细）'!D:D=$F$4,'领用录入（明细）'!C:C&gt;=$J$4,'领用录入（明细）'!C:C&lt;=$L$4),ROW(),"-")</f>
        <v>-</v>
      </c>
    </row>
    <row r="24339" customHeight="1" spans="2:2">
      <c r="B24339" s="62" t="str">
        <f>IF(AND('领用录入（明细）'!D:D=$F$4,'领用录入（明细）'!C:C&gt;=$J$4,'领用录入（明细）'!C:C&lt;=$L$4),ROW(),"-")</f>
        <v>-</v>
      </c>
    </row>
    <row r="24340" customHeight="1" spans="2:2">
      <c r="B24340" s="62" t="str">
        <f>IF(AND('领用录入（明细）'!D:D=$F$4,'领用录入（明细）'!C:C&gt;=$J$4,'领用录入（明细）'!C:C&lt;=$L$4),ROW(),"-")</f>
        <v>-</v>
      </c>
    </row>
    <row r="24341" customHeight="1" spans="2:2">
      <c r="B24341" s="62" t="str">
        <f>IF(AND('领用录入（明细）'!D:D=$F$4,'领用录入（明细）'!C:C&gt;=$J$4,'领用录入（明细）'!C:C&lt;=$L$4),ROW(),"-")</f>
        <v>-</v>
      </c>
    </row>
    <row r="24342" customHeight="1" spans="2:2">
      <c r="B24342" s="62" t="str">
        <f>IF(AND('领用录入（明细）'!D:D=$F$4,'领用录入（明细）'!C:C&gt;=$J$4,'领用录入（明细）'!C:C&lt;=$L$4),ROW(),"-")</f>
        <v>-</v>
      </c>
    </row>
    <row r="24343" customHeight="1" spans="2:2">
      <c r="B24343" s="62" t="str">
        <f>IF(AND('领用录入（明细）'!D:D=$F$4,'领用录入（明细）'!C:C&gt;=$J$4,'领用录入（明细）'!C:C&lt;=$L$4),ROW(),"-")</f>
        <v>-</v>
      </c>
    </row>
    <row r="24344" customHeight="1" spans="2:2">
      <c r="B24344" s="62" t="str">
        <f>IF(AND('领用录入（明细）'!D:D=$F$4,'领用录入（明细）'!C:C&gt;=$J$4,'领用录入（明细）'!C:C&lt;=$L$4),ROW(),"-")</f>
        <v>-</v>
      </c>
    </row>
    <row r="24345" customHeight="1" spans="2:2">
      <c r="B24345" s="62" t="str">
        <f>IF(AND('领用录入（明细）'!D:D=$F$4,'领用录入（明细）'!C:C&gt;=$J$4,'领用录入（明细）'!C:C&lt;=$L$4),ROW(),"-")</f>
        <v>-</v>
      </c>
    </row>
    <row r="24346" customHeight="1" spans="2:2">
      <c r="B24346" s="62" t="str">
        <f>IF(AND('领用录入（明细）'!D:D=$F$4,'领用录入（明细）'!C:C&gt;=$J$4,'领用录入（明细）'!C:C&lt;=$L$4),ROW(),"-")</f>
        <v>-</v>
      </c>
    </row>
    <row r="24347" customHeight="1" spans="2:2">
      <c r="B24347" s="62" t="str">
        <f>IF(AND('领用录入（明细）'!D:D=$F$4,'领用录入（明细）'!C:C&gt;=$J$4,'领用录入（明细）'!C:C&lt;=$L$4),ROW(),"-")</f>
        <v>-</v>
      </c>
    </row>
    <row r="24348" customHeight="1" spans="2:2">
      <c r="B24348" s="62" t="str">
        <f>IF(AND('领用录入（明细）'!D:D=$F$4,'领用录入（明细）'!C:C&gt;=$J$4,'领用录入（明细）'!C:C&lt;=$L$4),ROW(),"-")</f>
        <v>-</v>
      </c>
    </row>
    <row r="24349" customHeight="1" spans="2:2">
      <c r="B24349" s="62" t="str">
        <f>IF(AND('领用录入（明细）'!D:D=$F$4,'领用录入（明细）'!C:C&gt;=$J$4,'领用录入（明细）'!C:C&lt;=$L$4),ROW(),"-")</f>
        <v>-</v>
      </c>
    </row>
    <row r="24350" customHeight="1" spans="2:2">
      <c r="B24350" s="62" t="str">
        <f>IF(AND('领用录入（明细）'!D:D=$F$4,'领用录入（明细）'!C:C&gt;=$J$4,'领用录入（明细）'!C:C&lt;=$L$4),ROW(),"-")</f>
        <v>-</v>
      </c>
    </row>
    <row r="24351" customHeight="1" spans="2:2">
      <c r="B24351" s="62" t="str">
        <f>IF(AND('领用录入（明细）'!D:D=$F$4,'领用录入（明细）'!C:C&gt;=$J$4,'领用录入（明细）'!C:C&lt;=$L$4),ROW(),"-")</f>
        <v>-</v>
      </c>
    </row>
    <row r="24352" customHeight="1" spans="2:2">
      <c r="B24352" s="62" t="str">
        <f>IF(AND('领用录入（明细）'!D:D=$F$4,'领用录入（明细）'!C:C&gt;=$J$4,'领用录入（明细）'!C:C&lt;=$L$4),ROW(),"-")</f>
        <v>-</v>
      </c>
    </row>
    <row r="24353" customHeight="1" spans="2:2">
      <c r="B24353" s="62" t="str">
        <f>IF(AND('领用录入（明细）'!D:D=$F$4,'领用录入（明细）'!C:C&gt;=$J$4,'领用录入（明细）'!C:C&lt;=$L$4),ROW(),"-")</f>
        <v>-</v>
      </c>
    </row>
    <row r="24354" customHeight="1" spans="2:2">
      <c r="B24354" s="62" t="str">
        <f>IF(AND('领用录入（明细）'!D:D=$F$4,'领用录入（明细）'!C:C&gt;=$J$4,'领用录入（明细）'!C:C&lt;=$L$4),ROW(),"-")</f>
        <v>-</v>
      </c>
    </row>
    <row r="24355" customHeight="1" spans="2:2">
      <c r="B24355" s="62" t="str">
        <f>IF(AND('领用录入（明细）'!D:D=$F$4,'领用录入（明细）'!C:C&gt;=$J$4,'领用录入（明细）'!C:C&lt;=$L$4),ROW(),"-")</f>
        <v>-</v>
      </c>
    </row>
    <row r="24356" customHeight="1" spans="2:2">
      <c r="B24356" s="62" t="str">
        <f>IF(AND('领用录入（明细）'!D:D=$F$4,'领用录入（明细）'!C:C&gt;=$J$4,'领用录入（明细）'!C:C&lt;=$L$4),ROW(),"-")</f>
        <v>-</v>
      </c>
    </row>
    <row r="24357" customHeight="1" spans="2:2">
      <c r="B24357" s="62" t="str">
        <f>IF(AND('领用录入（明细）'!D:D=$F$4,'领用录入（明细）'!C:C&gt;=$J$4,'领用录入（明细）'!C:C&lt;=$L$4),ROW(),"-")</f>
        <v>-</v>
      </c>
    </row>
    <row r="24358" customHeight="1" spans="2:2">
      <c r="B24358" s="62" t="str">
        <f>IF(AND('领用录入（明细）'!D:D=$F$4,'领用录入（明细）'!C:C&gt;=$J$4,'领用录入（明细）'!C:C&lt;=$L$4),ROW(),"-")</f>
        <v>-</v>
      </c>
    </row>
    <row r="24359" customHeight="1" spans="2:2">
      <c r="B24359" s="62" t="str">
        <f>IF(AND('领用录入（明细）'!D:D=$F$4,'领用录入（明细）'!C:C&gt;=$J$4,'领用录入（明细）'!C:C&lt;=$L$4),ROW(),"-")</f>
        <v>-</v>
      </c>
    </row>
    <row r="24360" customHeight="1" spans="2:2">
      <c r="B24360" s="62" t="str">
        <f>IF(AND('领用录入（明细）'!D:D=$F$4,'领用录入（明细）'!C:C&gt;=$J$4,'领用录入（明细）'!C:C&lt;=$L$4),ROW(),"-")</f>
        <v>-</v>
      </c>
    </row>
    <row r="24361" customHeight="1" spans="2:2">
      <c r="B24361" s="62" t="str">
        <f>IF(AND('领用录入（明细）'!D:D=$F$4,'领用录入（明细）'!C:C&gt;=$J$4,'领用录入（明细）'!C:C&lt;=$L$4),ROW(),"-")</f>
        <v>-</v>
      </c>
    </row>
    <row r="24362" customHeight="1" spans="2:2">
      <c r="B24362" s="62" t="str">
        <f>IF(AND('领用录入（明细）'!D:D=$F$4,'领用录入（明细）'!C:C&gt;=$J$4,'领用录入（明细）'!C:C&lt;=$L$4),ROW(),"-")</f>
        <v>-</v>
      </c>
    </row>
    <row r="24363" customHeight="1" spans="2:2">
      <c r="B24363" s="62" t="str">
        <f>IF(AND('领用录入（明细）'!D:D=$F$4,'领用录入（明细）'!C:C&gt;=$J$4,'领用录入（明细）'!C:C&lt;=$L$4),ROW(),"-")</f>
        <v>-</v>
      </c>
    </row>
    <row r="24364" customHeight="1" spans="2:2">
      <c r="B24364" s="62" t="str">
        <f>IF(AND('领用录入（明细）'!D:D=$F$4,'领用录入（明细）'!C:C&gt;=$J$4,'领用录入（明细）'!C:C&lt;=$L$4),ROW(),"-")</f>
        <v>-</v>
      </c>
    </row>
    <row r="24365" customHeight="1" spans="2:2">
      <c r="B24365" s="62" t="str">
        <f>IF(AND('领用录入（明细）'!D:D=$F$4,'领用录入（明细）'!C:C&gt;=$J$4,'领用录入（明细）'!C:C&lt;=$L$4),ROW(),"-")</f>
        <v>-</v>
      </c>
    </row>
    <row r="24366" customHeight="1" spans="2:2">
      <c r="B24366" s="62" t="str">
        <f>IF(AND('领用录入（明细）'!D:D=$F$4,'领用录入（明细）'!C:C&gt;=$J$4,'领用录入（明细）'!C:C&lt;=$L$4),ROW(),"-")</f>
        <v>-</v>
      </c>
    </row>
    <row r="24367" customHeight="1" spans="2:2">
      <c r="B24367" s="62" t="str">
        <f>IF(AND('领用录入（明细）'!D:D=$F$4,'领用录入（明细）'!C:C&gt;=$J$4,'领用录入（明细）'!C:C&lt;=$L$4),ROW(),"-")</f>
        <v>-</v>
      </c>
    </row>
    <row r="24368" customHeight="1" spans="2:2">
      <c r="B24368" s="62" t="str">
        <f>IF(AND('领用录入（明细）'!D:D=$F$4,'领用录入（明细）'!C:C&gt;=$J$4,'领用录入（明细）'!C:C&lt;=$L$4),ROW(),"-")</f>
        <v>-</v>
      </c>
    </row>
    <row r="24369" customHeight="1" spans="2:2">
      <c r="B24369" s="62" t="str">
        <f>IF(AND('领用录入（明细）'!D:D=$F$4,'领用录入（明细）'!C:C&gt;=$J$4,'领用录入（明细）'!C:C&lt;=$L$4),ROW(),"-")</f>
        <v>-</v>
      </c>
    </row>
    <row r="24370" customHeight="1" spans="2:2">
      <c r="B24370" s="62" t="str">
        <f>IF(AND('领用录入（明细）'!D:D=$F$4,'领用录入（明细）'!C:C&gt;=$J$4,'领用录入（明细）'!C:C&lt;=$L$4),ROW(),"-")</f>
        <v>-</v>
      </c>
    </row>
    <row r="24371" customHeight="1" spans="2:2">
      <c r="B24371" s="62" t="str">
        <f>IF(AND('领用录入（明细）'!D:D=$F$4,'领用录入（明细）'!C:C&gt;=$J$4,'领用录入（明细）'!C:C&lt;=$L$4),ROW(),"-")</f>
        <v>-</v>
      </c>
    </row>
    <row r="24372" customHeight="1" spans="2:2">
      <c r="B24372" s="62" t="str">
        <f>IF(AND('领用录入（明细）'!D:D=$F$4,'领用录入（明细）'!C:C&gt;=$J$4,'领用录入（明细）'!C:C&lt;=$L$4),ROW(),"-")</f>
        <v>-</v>
      </c>
    </row>
    <row r="24373" customHeight="1" spans="2:2">
      <c r="B24373" s="62" t="str">
        <f>IF(AND('领用录入（明细）'!D:D=$F$4,'领用录入（明细）'!C:C&gt;=$J$4,'领用录入（明细）'!C:C&lt;=$L$4),ROW(),"-")</f>
        <v>-</v>
      </c>
    </row>
    <row r="24374" customHeight="1" spans="2:2">
      <c r="B24374" s="62" t="str">
        <f>IF(AND('领用录入（明细）'!D:D=$F$4,'领用录入（明细）'!C:C&gt;=$J$4,'领用录入（明细）'!C:C&lt;=$L$4),ROW(),"-")</f>
        <v>-</v>
      </c>
    </row>
    <row r="24375" customHeight="1" spans="2:2">
      <c r="B24375" s="62" t="str">
        <f>IF(AND('领用录入（明细）'!D:D=$F$4,'领用录入（明细）'!C:C&gt;=$J$4,'领用录入（明细）'!C:C&lt;=$L$4),ROW(),"-")</f>
        <v>-</v>
      </c>
    </row>
    <row r="24376" customHeight="1" spans="2:2">
      <c r="B24376" s="62" t="str">
        <f>IF(AND('领用录入（明细）'!D:D=$F$4,'领用录入（明细）'!C:C&gt;=$J$4,'领用录入（明细）'!C:C&lt;=$L$4),ROW(),"-")</f>
        <v>-</v>
      </c>
    </row>
    <row r="24377" customHeight="1" spans="2:2">
      <c r="B24377" s="62" t="str">
        <f>IF(AND('领用录入（明细）'!D:D=$F$4,'领用录入（明细）'!C:C&gt;=$J$4,'领用录入（明细）'!C:C&lt;=$L$4),ROW(),"-")</f>
        <v>-</v>
      </c>
    </row>
    <row r="24378" customHeight="1" spans="2:2">
      <c r="B24378" s="62" t="str">
        <f>IF(AND('领用录入（明细）'!D:D=$F$4,'领用录入（明细）'!C:C&gt;=$J$4,'领用录入（明细）'!C:C&lt;=$L$4),ROW(),"-")</f>
        <v>-</v>
      </c>
    </row>
    <row r="24379" customHeight="1" spans="2:2">
      <c r="B24379" s="62" t="str">
        <f>IF(AND('领用录入（明细）'!D:D=$F$4,'领用录入（明细）'!C:C&gt;=$J$4,'领用录入（明细）'!C:C&lt;=$L$4),ROW(),"-")</f>
        <v>-</v>
      </c>
    </row>
    <row r="24380" customHeight="1" spans="2:2">
      <c r="B24380" s="62" t="str">
        <f>IF(AND('领用录入（明细）'!D:D=$F$4,'领用录入（明细）'!C:C&gt;=$J$4,'领用录入（明细）'!C:C&lt;=$L$4),ROW(),"-")</f>
        <v>-</v>
      </c>
    </row>
    <row r="24381" customHeight="1" spans="2:2">
      <c r="B24381" s="62" t="str">
        <f>IF(AND('领用录入（明细）'!D:D=$F$4,'领用录入（明细）'!C:C&gt;=$J$4,'领用录入（明细）'!C:C&lt;=$L$4),ROW(),"-")</f>
        <v>-</v>
      </c>
    </row>
    <row r="24382" customHeight="1" spans="2:2">
      <c r="B24382" s="62" t="str">
        <f>IF(AND('领用录入（明细）'!D:D=$F$4,'领用录入（明细）'!C:C&gt;=$J$4,'领用录入（明细）'!C:C&lt;=$L$4),ROW(),"-")</f>
        <v>-</v>
      </c>
    </row>
    <row r="24383" customHeight="1" spans="2:2">
      <c r="B24383" s="62" t="str">
        <f>IF(AND('领用录入（明细）'!D:D=$F$4,'领用录入（明细）'!C:C&gt;=$J$4,'领用录入（明细）'!C:C&lt;=$L$4),ROW(),"-")</f>
        <v>-</v>
      </c>
    </row>
    <row r="24384" customHeight="1" spans="2:2">
      <c r="B24384" s="62" t="str">
        <f>IF(AND('领用录入（明细）'!D:D=$F$4,'领用录入（明细）'!C:C&gt;=$J$4,'领用录入（明细）'!C:C&lt;=$L$4),ROW(),"-")</f>
        <v>-</v>
      </c>
    </row>
    <row r="24385" customHeight="1" spans="2:2">
      <c r="B24385" s="62" t="str">
        <f>IF(AND('领用录入（明细）'!D:D=$F$4,'领用录入（明细）'!C:C&gt;=$J$4,'领用录入（明细）'!C:C&lt;=$L$4),ROW(),"-")</f>
        <v>-</v>
      </c>
    </row>
    <row r="24386" customHeight="1" spans="2:2">
      <c r="B24386" s="62" t="str">
        <f>IF(AND('领用录入（明细）'!D:D=$F$4,'领用录入（明细）'!C:C&gt;=$J$4,'领用录入（明细）'!C:C&lt;=$L$4),ROW(),"-")</f>
        <v>-</v>
      </c>
    </row>
    <row r="24387" customHeight="1" spans="2:2">
      <c r="B24387" s="62" t="str">
        <f>IF(AND('领用录入（明细）'!D:D=$F$4,'领用录入（明细）'!C:C&gt;=$J$4,'领用录入（明细）'!C:C&lt;=$L$4),ROW(),"-")</f>
        <v>-</v>
      </c>
    </row>
    <row r="24388" customHeight="1" spans="2:2">
      <c r="B24388" s="62" t="str">
        <f>IF(AND('领用录入（明细）'!D:D=$F$4,'领用录入（明细）'!C:C&gt;=$J$4,'领用录入（明细）'!C:C&lt;=$L$4),ROW(),"-")</f>
        <v>-</v>
      </c>
    </row>
    <row r="24389" customHeight="1" spans="2:2">
      <c r="B24389" s="62" t="str">
        <f>IF(AND('领用录入（明细）'!D:D=$F$4,'领用录入（明细）'!C:C&gt;=$J$4,'领用录入（明细）'!C:C&lt;=$L$4),ROW(),"-")</f>
        <v>-</v>
      </c>
    </row>
    <row r="24390" customHeight="1" spans="2:2">
      <c r="B24390" s="62" t="str">
        <f>IF(AND('领用录入（明细）'!D:D=$F$4,'领用录入（明细）'!C:C&gt;=$J$4,'领用录入（明细）'!C:C&lt;=$L$4),ROW(),"-")</f>
        <v>-</v>
      </c>
    </row>
    <row r="24391" customHeight="1" spans="2:2">
      <c r="B24391" s="62" t="str">
        <f>IF(AND('领用录入（明细）'!D:D=$F$4,'领用录入（明细）'!C:C&gt;=$J$4,'领用录入（明细）'!C:C&lt;=$L$4),ROW(),"-")</f>
        <v>-</v>
      </c>
    </row>
    <row r="24392" customHeight="1" spans="2:2">
      <c r="B24392" s="62" t="str">
        <f>IF(AND('领用录入（明细）'!D:D=$F$4,'领用录入（明细）'!C:C&gt;=$J$4,'领用录入（明细）'!C:C&lt;=$L$4),ROW(),"-")</f>
        <v>-</v>
      </c>
    </row>
    <row r="24393" customHeight="1" spans="2:2">
      <c r="B24393" s="62" t="str">
        <f>IF(AND('领用录入（明细）'!D:D=$F$4,'领用录入（明细）'!C:C&gt;=$J$4,'领用录入（明细）'!C:C&lt;=$L$4),ROW(),"-")</f>
        <v>-</v>
      </c>
    </row>
    <row r="24394" customHeight="1" spans="2:2">
      <c r="B24394" s="62" t="str">
        <f>IF(AND('领用录入（明细）'!D:D=$F$4,'领用录入（明细）'!C:C&gt;=$J$4,'领用录入（明细）'!C:C&lt;=$L$4),ROW(),"-")</f>
        <v>-</v>
      </c>
    </row>
    <row r="24395" customHeight="1" spans="2:2">
      <c r="B24395" s="62" t="str">
        <f>IF(AND('领用录入（明细）'!D:D=$F$4,'领用录入（明细）'!C:C&gt;=$J$4,'领用录入（明细）'!C:C&lt;=$L$4),ROW(),"-")</f>
        <v>-</v>
      </c>
    </row>
    <row r="24396" customHeight="1" spans="2:2">
      <c r="B24396" s="62" t="str">
        <f>IF(AND('领用录入（明细）'!D:D=$F$4,'领用录入（明细）'!C:C&gt;=$J$4,'领用录入（明细）'!C:C&lt;=$L$4),ROW(),"-")</f>
        <v>-</v>
      </c>
    </row>
    <row r="24397" customHeight="1" spans="2:2">
      <c r="B24397" s="62" t="str">
        <f>IF(AND('领用录入（明细）'!D:D=$F$4,'领用录入（明细）'!C:C&gt;=$J$4,'领用录入（明细）'!C:C&lt;=$L$4),ROW(),"-")</f>
        <v>-</v>
      </c>
    </row>
    <row r="24398" customHeight="1" spans="2:2">
      <c r="B24398" s="62" t="str">
        <f>IF(AND('领用录入（明细）'!D:D=$F$4,'领用录入（明细）'!C:C&gt;=$J$4,'领用录入（明细）'!C:C&lt;=$L$4),ROW(),"-")</f>
        <v>-</v>
      </c>
    </row>
    <row r="24399" customHeight="1" spans="2:2">
      <c r="B24399" s="62" t="str">
        <f>IF(AND('领用录入（明细）'!D:D=$F$4,'领用录入（明细）'!C:C&gt;=$J$4,'领用录入（明细）'!C:C&lt;=$L$4),ROW(),"-")</f>
        <v>-</v>
      </c>
    </row>
    <row r="24400" customHeight="1" spans="2:2">
      <c r="B24400" s="62" t="str">
        <f>IF(AND('领用录入（明细）'!D:D=$F$4,'领用录入（明细）'!C:C&gt;=$J$4,'领用录入（明细）'!C:C&lt;=$L$4),ROW(),"-")</f>
        <v>-</v>
      </c>
    </row>
    <row r="24401" customHeight="1" spans="2:2">
      <c r="B24401" s="62" t="str">
        <f>IF(AND('领用录入（明细）'!D:D=$F$4,'领用录入（明细）'!C:C&gt;=$J$4,'领用录入（明细）'!C:C&lt;=$L$4),ROW(),"-")</f>
        <v>-</v>
      </c>
    </row>
    <row r="24402" customHeight="1" spans="2:2">
      <c r="B24402" s="62" t="str">
        <f>IF(AND('领用录入（明细）'!D:D=$F$4,'领用录入（明细）'!C:C&gt;=$J$4,'领用录入（明细）'!C:C&lt;=$L$4),ROW(),"-")</f>
        <v>-</v>
      </c>
    </row>
    <row r="24403" customHeight="1" spans="2:2">
      <c r="B24403" s="62" t="str">
        <f>IF(AND('领用录入（明细）'!D:D=$F$4,'领用录入（明细）'!C:C&gt;=$J$4,'领用录入（明细）'!C:C&lt;=$L$4),ROW(),"-")</f>
        <v>-</v>
      </c>
    </row>
    <row r="24404" customHeight="1" spans="2:2">
      <c r="B24404" s="62" t="str">
        <f>IF(AND('领用录入（明细）'!D:D=$F$4,'领用录入（明细）'!C:C&gt;=$J$4,'领用录入（明细）'!C:C&lt;=$L$4),ROW(),"-")</f>
        <v>-</v>
      </c>
    </row>
    <row r="24405" customHeight="1" spans="2:2">
      <c r="B24405" s="62" t="str">
        <f>IF(AND('领用录入（明细）'!D:D=$F$4,'领用录入（明细）'!C:C&gt;=$J$4,'领用录入（明细）'!C:C&lt;=$L$4),ROW(),"-")</f>
        <v>-</v>
      </c>
    </row>
    <row r="24406" customHeight="1" spans="2:2">
      <c r="B24406" s="62" t="str">
        <f>IF(AND('领用录入（明细）'!D:D=$F$4,'领用录入（明细）'!C:C&gt;=$J$4,'领用录入（明细）'!C:C&lt;=$L$4),ROW(),"-")</f>
        <v>-</v>
      </c>
    </row>
    <row r="24407" customHeight="1" spans="2:2">
      <c r="B24407" s="62" t="str">
        <f>IF(AND('领用录入（明细）'!D:D=$F$4,'领用录入（明细）'!C:C&gt;=$J$4,'领用录入（明细）'!C:C&lt;=$L$4),ROW(),"-")</f>
        <v>-</v>
      </c>
    </row>
    <row r="24408" customHeight="1" spans="2:2">
      <c r="B24408" s="62" t="str">
        <f>IF(AND('领用录入（明细）'!D:D=$F$4,'领用录入（明细）'!C:C&gt;=$J$4,'领用录入（明细）'!C:C&lt;=$L$4),ROW(),"-")</f>
        <v>-</v>
      </c>
    </row>
    <row r="24409" customHeight="1" spans="2:2">
      <c r="B24409" s="62" t="str">
        <f>IF(AND('领用录入（明细）'!D:D=$F$4,'领用录入（明细）'!C:C&gt;=$J$4,'领用录入（明细）'!C:C&lt;=$L$4),ROW(),"-")</f>
        <v>-</v>
      </c>
    </row>
    <row r="24410" customHeight="1" spans="2:2">
      <c r="B24410" s="62" t="str">
        <f>IF(AND('领用录入（明细）'!D:D=$F$4,'领用录入（明细）'!C:C&gt;=$J$4,'领用录入（明细）'!C:C&lt;=$L$4),ROW(),"-")</f>
        <v>-</v>
      </c>
    </row>
    <row r="24411" customHeight="1" spans="2:2">
      <c r="B24411" s="62" t="str">
        <f>IF(AND('领用录入（明细）'!D:D=$F$4,'领用录入（明细）'!C:C&gt;=$J$4,'领用录入（明细）'!C:C&lt;=$L$4),ROW(),"-")</f>
        <v>-</v>
      </c>
    </row>
    <row r="24412" customHeight="1" spans="2:2">
      <c r="B24412" s="62" t="str">
        <f>IF(AND('领用录入（明细）'!D:D=$F$4,'领用录入（明细）'!C:C&gt;=$J$4,'领用录入（明细）'!C:C&lt;=$L$4),ROW(),"-")</f>
        <v>-</v>
      </c>
    </row>
    <row r="24413" customHeight="1" spans="2:2">
      <c r="B24413" s="62" t="str">
        <f>IF(AND('领用录入（明细）'!D:D=$F$4,'领用录入（明细）'!C:C&gt;=$J$4,'领用录入（明细）'!C:C&lt;=$L$4),ROW(),"-")</f>
        <v>-</v>
      </c>
    </row>
    <row r="24414" customHeight="1" spans="2:2">
      <c r="B24414" s="62" t="str">
        <f>IF(AND('领用录入（明细）'!D:D=$F$4,'领用录入（明细）'!C:C&gt;=$J$4,'领用录入（明细）'!C:C&lt;=$L$4),ROW(),"-")</f>
        <v>-</v>
      </c>
    </row>
    <row r="24415" customHeight="1" spans="2:2">
      <c r="B24415" s="62" t="str">
        <f>IF(AND('领用录入（明细）'!D:D=$F$4,'领用录入（明细）'!C:C&gt;=$J$4,'领用录入（明细）'!C:C&lt;=$L$4),ROW(),"-")</f>
        <v>-</v>
      </c>
    </row>
    <row r="24416" customHeight="1" spans="2:2">
      <c r="B24416" s="62" t="str">
        <f>IF(AND('领用录入（明细）'!D:D=$F$4,'领用录入（明细）'!C:C&gt;=$J$4,'领用录入（明细）'!C:C&lt;=$L$4),ROW(),"-")</f>
        <v>-</v>
      </c>
    </row>
    <row r="24417" customHeight="1" spans="2:2">
      <c r="B24417" s="62" t="str">
        <f>IF(AND('领用录入（明细）'!D:D=$F$4,'领用录入（明细）'!C:C&gt;=$J$4,'领用录入（明细）'!C:C&lt;=$L$4),ROW(),"-")</f>
        <v>-</v>
      </c>
    </row>
    <row r="24418" customHeight="1" spans="2:2">
      <c r="B24418" s="62" t="str">
        <f>IF(AND('领用录入（明细）'!D:D=$F$4,'领用录入（明细）'!C:C&gt;=$J$4,'领用录入（明细）'!C:C&lt;=$L$4),ROW(),"-")</f>
        <v>-</v>
      </c>
    </row>
    <row r="24419" customHeight="1" spans="2:2">
      <c r="B24419" s="62" t="str">
        <f>IF(AND('领用录入（明细）'!D:D=$F$4,'领用录入（明细）'!C:C&gt;=$J$4,'领用录入（明细）'!C:C&lt;=$L$4),ROW(),"-")</f>
        <v>-</v>
      </c>
    </row>
    <row r="24420" customHeight="1" spans="2:2">
      <c r="B24420" s="62" t="str">
        <f>IF(AND('领用录入（明细）'!D:D=$F$4,'领用录入（明细）'!C:C&gt;=$J$4,'领用录入（明细）'!C:C&lt;=$L$4),ROW(),"-")</f>
        <v>-</v>
      </c>
    </row>
    <row r="24421" customHeight="1" spans="2:2">
      <c r="B24421" s="62" t="str">
        <f>IF(AND('领用录入（明细）'!D:D=$F$4,'领用录入（明细）'!C:C&gt;=$J$4,'领用录入（明细）'!C:C&lt;=$L$4),ROW(),"-")</f>
        <v>-</v>
      </c>
    </row>
    <row r="24422" customHeight="1" spans="2:2">
      <c r="B24422" s="62" t="str">
        <f>IF(AND('领用录入（明细）'!D:D=$F$4,'领用录入（明细）'!C:C&gt;=$J$4,'领用录入（明细）'!C:C&lt;=$L$4),ROW(),"-")</f>
        <v>-</v>
      </c>
    </row>
    <row r="24423" customHeight="1" spans="2:2">
      <c r="B24423" s="62" t="str">
        <f>IF(AND('领用录入（明细）'!D:D=$F$4,'领用录入（明细）'!C:C&gt;=$J$4,'领用录入（明细）'!C:C&lt;=$L$4),ROW(),"-")</f>
        <v>-</v>
      </c>
    </row>
    <row r="24424" customHeight="1" spans="2:2">
      <c r="B24424" s="62" t="str">
        <f>IF(AND('领用录入（明细）'!D:D=$F$4,'领用录入（明细）'!C:C&gt;=$J$4,'领用录入（明细）'!C:C&lt;=$L$4),ROW(),"-")</f>
        <v>-</v>
      </c>
    </row>
    <row r="24425" customHeight="1" spans="2:2">
      <c r="B24425" s="62" t="str">
        <f>IF(AND('领用录入（明细）'!D:D=$F$4,'领用录入（明细）'!C:C&gt;=$J$4,'领用录入（明细）'!C:C&lt;=$L$4),ROW(),"-")</f>
        <v>-</v>
      </c>
    </row>
    <row r="24426" customHeight="1" spans="2:2">
      <c r="B24426" s="62" t="str">
        <f>IF(AND('领用录入（明细）'!D:D=$F$4,'领用录入（明细）'!C:C&gt;=$J$4,'领用录入（明细）'!C:C&lt;=$L$4),ROW(),"-")</f>
        <v>-</v>
      </c>
    </row>
    <row r="24427" customHeight="1" spans="2:2">
      <c r="B24427" s="62" t="str">
        <f>IF(AND('领用录入（明细）'!D:D=$F$4,'领用录入（明细）'!C:C&gt;=$J$4,'领用录入（明细）'!C:C&lt;=$L$4),ROW(),"-")</f>
        <v>-</v>
      </c>
    </row>
    <row r="24428" customHeight="1" spans="2:2">
      <c r="B24428" s="62" t="str">
        <f>IF(AND('领用录入（明细）'!D:D=$F$4,'领用录入（明细）'!C:C&gt;=$J$4,'领用录入（明细）'!C:C&lt;=$L$4),ROW(),"-")</f>
        <v>-</v>
      </c>
    </row>
    <row r="24429" customHeight="1" spans="2:2">
      <c r="B24429" s="62" t="str">
        <f>IF(AND('领用录入（明细）'!D:D=$F$4,'领用录入（明细）'!C:C&gt;=$J$4,'领用录入（明细）'!C:C&lt;=$L$4),ROW(),"-")</f>
        <v>-</v>
      </c>
    </row>
    <row r="24430" customHeight="1" spans="2:2">
      <c r="B24430" s="62" t="str">
        <f>IF(AND('领用录入（明细）'!D:D=$F$4,'领用录入（明细）'!C:C&gt;=$J$4,'领用录入（明细）'!C:C&lt;=$L$4),ROW(),"-")</f>
        <v>-</v>
      </c>
    </row>
    <row r="24431" customHeight="1" spans="2:2">
      <c r="B24431" s="62" t="str">
        <f>IF(AND('领用录入（明细）'!D:D=$F$4,'领用录入（明细）'!C:C&gt;=$J$4,'领用录入（明细）'!C:C&lt;=$L$4),ROW(),"-")</f>
        <v>-</v>
      </c>
    </row>
    <row r="24432" customHeight="1" spans="2:2">
      <c r="B24432" s="62" t="str">
        <f>IF(AND('领用录入（明细）'!D:D=$F$4,'领用录入（明细）'!C:C&gt;=$J$4,'领用录入（明细）'!C:C&lt;=$L$4),ROW(),"-")</f>
        <v>-</v>
      </c>
    </row>
    <row r="24433" customHeight="1" spans="2:2">
      <c r="B24433" s="62" t="str">
        <f>IF(AND('领用录入（明细）'!D:D=$F$4,'领用录入（明细）'!C:C&gt;=$J$4,'领用录入（明细）'!C:C&lt;=$L$4),ROW(),"-")</f>
        <v>-</v>
      </c>
    </row>
    <row r="24434" customHeight="1" spans="2:2">
      <c r="B24434" s="62" t="str">
        <f>IF(AND('领用录入（明细）'!D:D=$F$4,'领用录入（明细）'!C:C&gt;=$J$4,'领用录入（明细）'!C:C&lt;=$L$4),ROW(),"-")</f>
        <v>-</v>
      </c>
    </row>
    <row r="24435" customHeight="1" spans="2:2">
      <c r="B24435" s="62" t="str">
        <f>IF(AND('领用录入（明细）'!D:D=$F$4,'领用录入（明细）'!C:C&gt;=$J$4,'领用录入（明细）'!C:C&lt;=$L$4),ROW(),"-")</f>
        <v>-</v>
      </c>
    </row>
    <row r="24436" customHeight="1" spans="2:2">
      <c r="B24436" s="62" t="str">
        <f>IF(AND('领用录入（明细）'!D:D=$F$4,'领用录入（明细）'!C:C&gt;=$J$4,'领用录入（明细）'!C:C&lt;=$L$4),ROW(),"-")</f>
        <v>-</v>
      </c>
    </row>
    <row r="24437" customHeight="1" spans="2:2">
      <c r="B24437" s="62" t="str">
        <f>IF(AND('领用录入（明细）'!D:D=$F$4,'领用录入（明细）'!C:C&gt;=$J$4,'领用录入（明细）'!C:C&lt;=$L$4),ROW(),"-")</f>
        <v>-</v>
      </c>
    </row>
    <row r="24438" customHeight="1" spans="2:2">
      <c r="B24438" s="62" t="str">
        <f>IF(AND('领用录入（明细）'!D:D=$F$4,'领用录入（明细）'!C:C&gt;=$J$4,'领用录入（明细）'!C:C&lt;=$L$4),ROW(),"-")</f>
        <v>-</v>
      </c>
    </row>
    <row r="24439" customHeight="1" spans="2:2">
      <c r="B24439" s="62" t="str">
        <f>IF(AND('领用录入（明细）'!D:D=$F$4,'领用录入（明细）'!C:C&gt;=$J$4,'领用录入（明细）'!C:C&lt;=$L$4),ROW(),"-")</f>
        <v>-</v>
      </c>
    </row>
    <row r="24440" customHeight="1" spans="2:2">
      <c r="B24440" s="62" t="str">
        <f>IF(AND('领用录入（明细）'!D:D=$F$4,'领用录入（明细）'!C:C&gt;=$J$4,'领用录入（明细）'!C:C&lt;=$L$4),ROW(),"-")</f>
        <v>-</v>
      </c>
    </row>
    <row r="24441" customHeight="1" spans="2:2">
      <c r="B24441" s="62" t="str">
        <f>IF(AND('领用录入（明细）'!D:D=$F$4,'领用录入（明细）'!C:C&gt;=$J$4,'领用录入（明细）'!C:C&lt;=$L$4),ROW(),"-")</f>
        <v>-</v>
      </c>
    </row>
    <row r="24442" customHeight="1" spans="2:2">
      <c r="B24442" s="62" t="str">
        <f>IF(AND('领用录入（明细）'!D:D=$F$4,'领用录入（明细）'!C:C&gt;=$J$4,'领用录入（明细）'!C:C&lt;=$L$4),ROW(),"-")</f>
        <v>-</v>
      </c>
    </row>
    <row r="24443" customHeight="1" spans="2:2">
      <c r="B24443" s="62" t="str">
        <f>IF(AND('领用录入（明细）'!D:D=$F$4,'领用录入（明细）'!C:C&gt;=$J$4,'领用录入（明细）'!C:C&lt;=$L$4),ROW(),"-")</f>
        <v>-</v>
      </c>
    </row>
    <row r="24444" customHeight="1" spans="2:2">
      <c r="B24444" s="62" t="str">
        <f>IF(AND('领用录入（明细）'!D:D=$F$4,'领用录入（明细）'!C:C&gt;=$J$4,'领用录入（明细）'!C:C&lt;=$L$4),ROW(),"-")</f>
        <v>-</v>
      </c>
    </row>
    <row r="24445" customHeight="1" spans="2:2">
      <c r="B24445" s="62" t="str">
        <f>IF(AND('领用录入（明细）'!D:D=$F$4,'领用录入（明细）'!C:C&gt;=$J$4,'领用录入（明细）'!C:C&lt;=$L$4),ROW(),"-")</f>
        <v>-</v>
      </c>
    </row>
    <row r="24446" customHeight="1" spans="2:2">
      <c r="B24446" s="62" t="str">
        <f>IF(AND('领用录入（明细）'!D:D=$F$4,'领用录入（明细）'!C:C&gt;=$J$4,'领用录入（明细）'!C:C&lt;=$L$4),ROW(),"-")</f>
        <v>-</v>
      </c>
    </row>
    <row r="24447" customHeight="1" spans="2:2">
      <c r="B24447" s="62" t="str">
        <f>IF(AND('领用录入（明细）'!D:D=$F$4,'领用录入（明细）'!C:C&gt;=$J$4,'领用录入（明细）'!C:C&lt;=$L$4),ROW(),"-")</f>
        <v>-</v>
      </c>
    </row>
    <row r="24448" customHeight="1" spans="2:2">
      <c r="B24448" s="62" t="str">
        <f>IF(AND('领用录入（明细）'!D:D=$F$4,'领用录入（明细）'!C:C&gt;=$J$4,'领用录入（明细）'!C:C&lt;=$L$4),ROW(),"-")</f>
        <v>-</v>
      </c>
    </row>
    <row r="24449" customHeight="1" spans="2:2">
      <c r="B24449" s="62" t="str">
        <f>IF(AND('领用录入（明细）'!D:D=$F$4,'领用录入（明细）'!C:C&gt;=$J$4,'领用录入（明细）'!C:C&lt;=$L$4),ROW(),"-")</f>
        <v>-</v>
      </c>
    </row>
    <row r="24450" customHeight="1" spans="2:2">
      <c r="B24450" s="62" t="str">
        <f>IF(AND('领用录入（明细）'!D:D=$F$4,'领用录入（明细）'!C:C&gt;=$J$4,'领用录入（明细）'!C:C&lt;=$L$4),ROW(),"-")</f>
        <v>-</v>
      </c>
    </row>
    <row r="24451" customHeight="1" spans="2:2">
      <c r="B24451" s="62" t="str">
        <f>IF(AND('领用录入（明细）'!D:D=$F$4,'领用录入（明细）'!C:C&gt;=$J$4,'领用录入（明细）'!C:C&lt;=$L$4),ROW(),"-")</f>
        <v>-</v>
      </c>
    </row>
    <row r="24452" customHeight="1" spans="2:2">
      <c r="B24452" s="62" t="str">
        <f>IF(AND('领用录入（明细）'!D:D=$F$4,'领用录入（明细）'!C:C&gt;=$J$4,'领用录入（明细）'!C:C&lt;=$L$4),ROW(),"-")</f>
        <v>-</v>
      </c>
    </row>
    <row r="24453" customHeight="1" spans="2:2">
      <c r="B24453" s="62" t="str">
        <f>IF(AND('领用录入（明细）'!D:D=$F$4,'领用录入（明细）'!C:C&gt;=$J$4,'领用录入（明细）'!C:C&lt;=$L$4),ROW(),"-")</f>
        <v>-</v>
      </c>
    </row>
    <row r="24454" customHeight="1" spans="2:2">
      <c r="B24454" s="62" t="str">
        <f>IF(AND('领用录入（明细）'!D:D=$F$4,'领用录入（明细）'!C:C&gt;=$J$4,'领用录入（明细）'!C:C&lt;=$L$4),ROW(),"-")</f>
        <v>-</v>
      </c>
    </row>
    <row r="24455" customHeight="1" spans="2:2">
      <c r="B24455" s="62" t="str">
        <f>IF(AND('领用录入（明细）'!D:D=$F$4,'领用录入（明细）'!C:C&gt;=$J$4,'领用录入（明细）'!C:C&lt;=$L$4),ROW(),"-")</f>
        <v>-</v>
      </c>
    </row>
    <row r="24456" customHeight="1" spans="2:2">
      <c r="B24456" s="62" t="str">
        <f>IF(AND('领用录入（明细）'!D:D=$F$4,'领用录入（明细）'!C:C&gt;=$J$4,'领用录入（明细）'!C:C&lt;=$L$4),ROW(),"-")</f>
        <v>-</v>
      </c>
    </row>
    <row r="24457" customHeight="1" spans="2:2">
      <c r="B24457" s="62" t="str">
        <f>IF(AND('领用录入（明细）'!D:D=$F$4,'领用录入（明细）'!C:C&gt;=$J$4,'领用录入（明细）'!C:C&lt;=$L$4),ROW(),"-")</f>
        <v>-</v>
      </c>
    </row>
    <row r="24458" customHeight="1" spans="2:2">
      <c r="B24458" s="62" t="str">
        <f>IF(AND('领用录入（明细）'!D:D=$F$4,'领用录入（明细）'!C:C&gt;=$J$4,'领用录入（明细）'!C:C&lt;=$L$4),ROW(),"-")</f>
        <v>-</v>
      </c>
    </row>
    <row r="24459" customHeight="1" spans="2:2">
      <c r="B24459" s="62" t="str">
        <f>IF(AND('领用录入（明细）'!D:D=$F$4,'领用录入（明细）'!C:C&gt;=$J$4,'领用录入（明细）'!C:C&lt;=$L$4),ROW(),"-")</f>
        <v>-</v>
      </c>
    </row>
    <row r="24460" customHeight="1" spans="2:2">
      <c r="B24460" s="62" t="str">
        <f>IF(AND('领用录入（明细）'!D:D=$F$4,'领用录入（明细）'!C:C&gt;=$J$4,'领用录入（明细）'!C:C&lt;=$L$4),ROW(),"-")</f>
        <v>-</v>
      </c>
    </row>
    <row r="24461" customHeight="1" spans="2:2">
      <c r="B24461" s="62" t="str">
        <f>IF(AND('领用录入（明细）'!D:D=$F$4,'领用录入（明细）'!C:C&gt;=$J$4,'领用录入（明细）'!C:C&lt;=$L$4),ROW(),"-")</f>
        <v>-</v>
      </c>
    </row>
    <row r="24462" customHeight="1" spans="2:2">
      <c r="B24462" s="62" t="str">
        <f>IF(AND('领用录入（明细）'!D:D=$F$4,'领用录入（明细）'!C:C&gt;=$J$4,'领用录入（明细）'!C:C&lt;=$L$4),ROW(),"-")</f>
        <v>-</v>
      </c>
    </row>
    <row r="24463" customHeight="1" spans="2:2">
      <c r="B24463" s="62" t="str">
        <f>IF(AND('领用录入（明细）'!D:D=$F$4,'领用录入（明细）'!C:C&gt;=$J$4,'领用录入（明细）'!C:C&lt;=$L$4),ROW(),"-")</f>
        <v>-</v>
      </c>
    </row>
    <row r="24464" customHeight="1" spans="2:2">
      <c r="B24464" s="62" t="str">
        <f>IF(AND('领用录入（明细）'!D:D=$F$4,'领用录入（明细）'!C:C&gt;=$J$4,'领用录入（明细）'!C:C&lt;=$L$4),ROW(),"-")</f>
        <v>-</v>
      </c>
    </row>
    <row r="24465" customHeight="1" spans="2:2">
      <c r="B24465" s="62" t="str">
        <f>IF(AND('领用录入（明细）'!D:D=$F$4,'领用录入（明细）'!C:C&gt;=$J$4,'领用录入（明细）'!C:C&lt;=$L$4),ROW(),"-")</f>
        <v>-</v>
      </c>
    </row>
    <row r="24466" customHeight="1" spans="2:2">
      <c r="B24466" s="62" t="str">
        <f>IF(AND('领用录入（明细）'!D:D=$F$4,'领用录入（明细）'!C:C&gt;=$J$4,'领用录入（明细）'!C:C&lt;=$L$4),ROW(),"-")</f>
        <v>-</v>
      </c>
    </row>
    <row r="24467" customHeight="1" spans="2:2">
      <c r="B24467" s="62" t="str">
        <f>IF(AND('领用录入（明细）'!D:D=$F$4,'领用录入（明细）'!C:C&gt;=$J$4,'领用录入（明细）'!C:C&lt;=$L$4),ROW(),"-")</f>
        <v>-</v>
      </c>
    </row>
    <row r="24468" customHeight="1" spans="2:2">
      <c r="B24468" s="62" t="str">
        <f>IF(AND('领用录入（明细）'!D:D=$F$4,'领用录入（明细）'!C:C&gt;=$J$4,'领用录入（明细）'!C:C&lt;=$L$4),ROW(),"-")</f>
        <v>-</v>
      </c>
    </row>
    <row r="24469" customHeight="1" spans="2:2">
      <c r="B24469" s="62" t="str">
        <f>IF(AND('领用录入（明细）'!D:D=$F$4,'领用录入（明细）'!C:C&gt;=$J$4,'领用录入（明细）'!C:C&lt;=$L$4),ROW(),"-")</f>
        <v>-</v>
      </c>
    </row>
    <row r="24470" customHeight="1" spans="2:2">
      <c r="B24470" s="62" t="str">
        <f>IF(AND('领用录入（明细）'!D:D=$F$4,'领用录入（明细）'!C:C&gt;=$J$4,'领用录入（明细）'!C:C&lt;=$L$4),ROW(),"-")</f>
        <v>-</v>
      </c>
    </row>
    <row r="24471" customHeight="1" spans="2:2">
      <c r="B24471" s="62" t="str">
        <f>IF(AND('领用录入（明细）'!D:D=$F$4,'领用录入（明细）'!C:C&gt;=$J$4,'领用录入（明细）'!C:C&lt;=$L$4),ROW(),"-")</f>
        <v>-</v>
      </c>
    </row>
    <row r="24472" customHeight="1" spans="2:2">
      <c r="B24472" s="62" t="str">
        <f>IF(AND('领用录入（明细）'!D:D=$F$4,'领用录入（明细）'!C:C&gt;=$J$4,'领用录入（明细）'!C:C&lt;=$L$4),ROW(),"-")</f>
        <v>-</v>
      </c>
    </row>
    <row r="24473" customHeight="1" spans="2:2">
      <c r="B24473" s="62" t="str">
        <f>IF(AND('领用录入（明细）'!D:D=$F$4,'领用录入（明细）'!C:C&gt;=$J$4,'领用录入（明细）'!C:C&lt;=$L$4),ROW(),"-")</f>
        <v>-</v>
      </c>
    </row>
    <row r="24474" customHeight="1" spans="2:2">
      <c r="B24474" s="62" t="str">
        <f>IF(AND('领用录入（明细）'!D:D=$F$4,'领用录入（明细）'!C:C&gt;=$J$4,'领用录入（明细）'!C:C&lt;=$L$4),ROW(),"-")</f>
        <v>-</v>
      </c>
    </row>
    <row r="24475" customHeight="1" spans="2:2">
      <c r="B24475" s="62" t="str">
        <f>IF(AND('领用录入（明细）'!D:D=$F$4,'领用录入（明细）'!C:C&gt;=$J$4,'领用录入（明细）'!C:C&lt;=$L$4),ROW(),"-")</f>
        <v>-</v>
      </c>
    </row>
    <row r="24476" customHeight="1" spans="2:2">
      <c r="B24476" s="62" t="str">
        <f>IF(AND('领用录入（明细）'!D:D=$F$4,'领用录入（明细）'!C:C&gt;=$J$4,'领用录入（明细）'!C:C&lt;=$L$4),ROW(),"-")</f>
        <v>-</v>
      </c>
    </row>
    <row r="24477" customHeight="1" spans="2:2">
      <c r="B24477" s="62" t="str">
        <f>IF(AND('领用录入（明细）'!D:D=$F$4,'领用录入（明细）'!C:C&gt;=$J$4,'领用录入（明细）'!C:C&lt;=$L$4),ROW(),"-")</f>
        <v>-</v>
      </c>
    </row>
    <row r="24478" customHeight="1" spans="2:2">
      <c r="B24478" s="62" t="str">
        <f>IF(AND('领用录入（明细）'!D:D=$F$4,'领用录入（明细）'!C:C&gt;=$J$4,'领用录入（明细）'!C:C&lt;=$L$4),ROW(),"-")</f>
        <v>-</v>
      </c>
    </row>
    <row r="24479" customHeight="1" spans="2:2">
      <c r="B24479" s="62" t="str">
        <f>IF(AND('领用录入（明细）'!D:D=$F$4,'领用录入（明细）'!C:C&gt;=$J$4,'领用录入（明细）'!C:C&lt;=$L$4),ROW(),"-")</f>
        <v>-</v>
      </c>
    </row>
    <row r="24480" customHeight="1" spans="2:2">
      <c r="B24480" s="62" t="str">
        <f>IF(AND('领用录入（明细）'!D:D=$F$4,'领用录入（明细）'!C:C&gt;=$J$4,'领用录入（明细）'!C:C&lt;=$L$4),ROW(),"-")</f>
        <v>-</v>
      </c>
    </row>
    <row r="24481" customHeight="1" spans="2:2">
      <c r="B24481" s="62" t="str">
        <f>IF(AND('领用录入（明细）'!D:D=$F$4,'领用录入（明细）'!C:C&gt;=$J$4,'领用录入（明细）'!C:C&lt;=$L$4),ROW(),"-")</f>
        <v>-</v>
      </c>
    </row>
    <row r="24482" customHeight="1" spans="2:2">
      <c r="B24482" s="62" t="str">
        <f>IF(AND('领用录入（明细）'!D:D=$F$4,'领用录入（明细）'!C:C&gt;=$J$4,'领用录入（明细）'!C:C&lt;=$L$4),ROW(),"-")</f>
        <v>-</v>
      </c>
    </row>
    <row r="24483" customHeight="1" spans="2:2">
      <c r="B24483" s="62" t="str">
        <f>IF(AND('领用录入（明细）'!D:D=$F$4,'领用录入（明细）'!C:C&gt;=$J$4,'领用录入（明细）'!C:C&lt;=$L$4),ROW(),"-")</f>
        <v>-</v>
      </c>
    </row>
    <row r="24484" customHeight="1" spans="2:2">
      <c r="B24484" s="62" t="str">
        <f>IF(AND('领用录入（明细）'!D:D=$F$4,'领用录入（明细）'!C:C&gt;=$J$4,'领用录入（明细）'!C:C&lt;=$L$4),ROW(),"-")</f>
        <v>-</v>
      </c>
    </row>
    <row r="24485" customHeight="1" spans="2:2">
      <c r="B24485" s="62" t="str">
        <f>IF(AND('领用录入（明细）'!D:D=$F$4,'领用录入（明细）'!C:C&gt;=$J$4,'领用录入（明细）'!C:C&lt;=$L$4),ROW(),"-")</f>
        <v>-</v>
      </c>
    </row>
    <row r="24486" customHeight="1" spans="2:2">
      <c r="B24486" s="62" t="str">
        <f>IF(AND('领用录入（明细）'!D:D=$F$4,'领用录入（明细）'!C:C&gt;=$J$4,'领用录入（明细）'!C:C&lt;=$L$4),ROW(),"-")</f>
        <v>-</v>
      </c>
    </row>
    <row r="24487" customHeight="1" spans="2:2">
      <c r="B24487" s="62" t="str">
        <f>IF(AND('领用录入（明细）'!D:D=$F$4,'领用录入（明细）'!C:C&gt;=$J$4,'领用录入（明细）'!C:C&lt;=$L$4),ROW(),"-")</f>
        <v>-</v>
      </c>
    </row>
    <row r="24488" customHeight="1" spans="2:2">
      <c r="B24488" s="62" t="str">
        <f>IF(AND('领用录入（明细）'!D:D=$F$4,'领用录入（明细）'!C:C&gt;=$J$4,'领用录入（明细）'!C:C&lt;=$L$4),ROW(),"-")</f>
        <v>-</v>
      </c>
    </row>
    <row r="24489" customHeight="1" spans="2:2">
      <c r="B24489" s="62" t="str">
        <f>IF(AND('领用录入（明细）'!D:D=$F$4,'领用录入（明细）'!C:C&gt;=$J$4,'领用录入（明细）'!C:C&lt;=$L$4),ROW(),"-")</f>
        <v>-</v>
      </c>
    </row>
    <row r="24490" customHeight="1" spans="2:2">
      <c r="B24490" s="62" t="str">
        <f>IF(AND('领用录入（明细）'!D:D=$F$4,'领用录入（明细）'!C:C&gt;=$J$4,'领用录入（明细）'!C:C&lt;=$L$4),ROW(),"-")</f>
        <v>-</v>
      </c>
    </row>
    <row r="24491" customHeight="1" spans="2:2">
      <c r="B24491" s="62" t="str">
        <f>IF(AND('领用录入（明细）'!D:D=$F$4,'领用录入（明细）'!C:C&gt;=$J$4,'领用录入（明细）'!C:C&lt;=$L$4),ROW(),"-")</f>
        <v>-</v>
      </c>
    </row>
    <row r="24492" customHeight="1" spans="2:2">
      <c r="B24492" s="62" t="str">
        <f>IF(AND('领用录入（明细）'!D:D=$F$4,'领用录入（明细）'!C:C&gt;=$J$4,'领用录入（明细）'!C:C&lt;=$L$4),ROW(),"-")</f>
        <v>-</v>
      </c>
    </row>
    <row r="24493" customHeight="1" spans="2:2">
      <c r="B24493" s="62" t="str">
        <f>IF(AND('领用录入（明细）'!D:D=$F$4,'领用录入（明细）'!C:C&gt;=$J$4,'领用录入（明细）'!C:C&lt;=$L$4),ROW(),"-")</f>
        <v>-</v>
      </c>
    </row>
    <row r="24494" customHeight="1" spans="2:2">
      <c r="B24494" s="62" t="str">
        <f>IF(AND('领用录入（明细）'!D:D=$F$4,'领用录入（明细）'!C:C&gt;=$J$4,'领用录入（明细）'!C:C&lt;=$L$4),ROW(),"-")</f>
        <v>-</v>
      </c>
    </row>
    <row r="24495" customHeight="1" spans="2:2">
      <c r="B24495" s="62" t="str">
        <f>IF(AND('领用录入（明细）'!D:D=$F$4,'领用录入（明细）'!C:C&gt;=$J$4,'领用录入（明细）'!C:C&lt;=$L$4),ROW(),"-")</f>
        <v>-</v>
      </c>
    </row>
    <row r="24496" customHeight="1" spans="2:2">
      <c r="B24496" s="62" t="str">
        <f>IF(AND('领用录入（明细）'!D:D=$F$4,'领用录入（明细）'!C:C&gt;=$J$4,'领用录入（明细）'!C:C&lt;=$L$4),ROW(),"-")</f>
        <v>-</v>
      </c>
    </row>
    <row r="24497" customHeight="1" spans="2:2">
      <c r="B24497" s="62" t="str">
        <f>IF(AND('领用录入（明细）'!D:D=$F$4,'领用录入（明细）'!C:C&gt;=$J$4,'领用录入（明细）'!C:C&lt;=$L$4),ROW(),"-")</f>
        <v>-</v>
      </c>
    </row>
    <row r="24498" customHeight="1" spans="2:2">
      <c r="B24498" s="62" t="str">
        <f>IF(AND('领用录入（明细）'!D:D=$F$4,'领用录入（明细）'!C:C&gt;=$J$4,'领用录入（明细）'!C:C&lt;=$L$4),ROW(),"-")</f>
        <v>-</v>
      </c>
    </row>
    <row r="24499" customHeight="1" spans="2:2">
      <c r="B24499" s="62" t="str">
        <f>IF(AND('领用录入（明细）'!D:D=$F$4,'领用录入（明细）'!C:C&gt;=$J$4,'领用录入（明细）'!C:C&lt;=$L$4),ROW(),"-")</f>
        <v>-</v>
      </c>
    </row>
    <row r="24500" customHeight="1" spans="2:2">
      <c r="B24500" s="62" t="str">
        <f>IF(AND('领用录入（明细）'!D:D=$F$4,'领用录入（明细）'!C:C&gt;=$J$4,'领用录入（明细）'!C:C&lt;=$L$4),ROW(),"-")</f>
        <v>-</v>
      </c>
    </row>
    <row r="24501" customHeight="1" spans="2:2">
      <c r="B24501" s="62" t="str">
        <f>IF(AND('领用录入（明细）'!D:D=$F$4,'领用录入（明细）'!C:C&gt;=$J$4,'领用录入（明细）'!C:C&lt;=$L$4),ROW(),"-")</f>
        <v>-</v>
      </c>
    </row>
    <row r="24502" customHeight="1" spans="2:2">
      <c r="B24502" s="62" t="str">
        <f>IF(AND('领用录入（明细）'!D:D=$F$4,'领用录入（明细）'!C:C&gt;=$J$4,'领用录入（明细）'!C:C&lt;=$L$4),ROW(),"-")</f>
        <v>-</v>
      </c>
    </row>
    <row r="24503" customHeight="1" spans="2:2">
      <c r="B24503" s="62" t="str">
        <f>IF(AND('领用录入（明细）'!D:D=$F$4,'领用录入（明细）'!C:C&gt;=$J$4,'领用录入（明细）'!C:C&lt;=$L$4),ROW(),"-")</f>
        <v>-</v>
      </c>
    </row>
    <row r="24504" customHeight="1" spans="2:2">
      <c r="B24504" s="62" t="str">
        <f>IF(AND('领用录入（明细）'!D:D=$F$4,'领用录入（明细）'!C:C&gt;=$J$4,'领用录入（明细）'!C:C&lt;=$L$4),ROW(),"-")</f>
        <v>-</v>
      </c>
    </row>
    <row r="24505" customHeight="1" spans="2:2">
      <c r="B24505" s="62" t="str">
        <f>IF(AND('领用录入（明细）'!D:D=$F$4,'领用录入（明细）'!C:C&gt;=$J$4,'领用录入（明细）'!C:C&lt;=$L$4),ROW(),"-")</f>
        <v>-</v>
      </c>
    </row>
    <row r="24506" customHeight="1" spans="2:2">
      <c r="B24506" s="62" t="str">
        <f>IF(AND('领用录入（明细）'!D:D=$F$4,'领用录入（明细）'!C:C&gt;=$J$4,'领用录入（明细）'!C:C&lt;=$L$4),ROW(),"-")</f>
        <v>-</v>
      </c>
    </row>
    <row r="24507" customHeight="1" spans="2:2">
      <c r="B24507" s="62" t="str">
        <f>IF(AND('领用录入（明细）'!D:D=$F$4,'领用录入（明细）'!C:C&gt;=$J$4,'领用录入（明细）'!C:C&lt;=$L$4),ROW(),"-")</f>
        <v>-</v>
      </c>
    </row>
    <row r="24508" customHeight="1" spans="2:2">
      <c r="B24508" s="62" t="str">
        <f>IF(AND('领用录入（明细）'!D:D=$F$4,'领用录入（明细）'!C:C&gt;=$J$4,'领用录入（明细）'!C:C&lt;=$L$4),ROW(),"-")</f>
        <v>-</v>
      </c>
    </row>
    <row r="24509" customHeight="1" spans="2:2">
      <c r="B24509" s="62" t="str">
        <f>IF(AND('领用录入（明细）'!D:D=$F$4,'领用录入（明细）'!C:C&gt;=$J$4,'领用录入（明细）'!C:C&lt;=$L$4),ROW(),"-")</f>
        <v>-</v>
      </c>
    </row>
    <row r="24510" customHeight="1" spans="2:2">
      <c r="B24510" s="62" t="str">
        <f>IF(AND('领用录入（明细）'!D:D=$F$4,'领用录入（明细）'!C:C&gt;=$J$4,'领用录入（明细）'!C:C&lt;=$L$4),ROW(),"-")</f>
        <v>-</v>
      </c>
    </row>
    <row r="24511" customHeight="1" spans="2:2">
      <c r="B24511" s="62" t="str">
        <f>IF(AND('领用录入（明细）'!D:D=$F$4,'领用录入（明细）'!C:C&gt;=$J$4,'领用录入（明细）'!C:C&lt;=$L$4),ROW(),"-")</f>
        <v>-</v>
      </c>
    </row>
    <row r="24512" customHeight="1" spans="2:2">
      <c r="B24512" s="62" t="str">
        <f>IF(AND('领用录入（明细）'!D:D=$F$4,'领用录入（明细）'!C:C&gt;=$J$4,'领用录入（明细）'!C:C&lt;=$L$4),ROW(),"-")</f>
        <v>-</v>
      </c>
    </row>
    <row r="24513" customHeight="1" spans="2:2">
      <c r="B24513" s="62" t="str">
        <f>IF(AND('领用录入（明细）'!D:D=$F$4,'领用录入（明细）'!C:C&gt;=$J$4,'领用录入（明细）'!C:C&lt;=$L$4),ROW(),"-")</f>
        <v>-</v>
      </c>
    </row>
    <row r="24514" customHeight="1" spans="2:2">
      <c r="B24514" s="62" t="str">
        <f>IF(AND('领用录入（明细）'!D:D=$F$4,'领用录入（明细）'!C:C&gt;=$J$4,'领用录入（明细）'!C:C&lt;=$L$4),ROW(),"-")</f>
        <v>-</v>
      </c>
    </row>
    <row r="24515" customHeight="1" spans="2:2">
      <c r="B24515" s="62" t="str">
        <f>IF(AND('领用录入（明细）'!D:D=$F$4,'领用录入（明细）'!C:C&gt;=$J$4,'领用录入（明细）'!C:C&lt;=$L$4),ROW(),"-")</f>
        <v>-</v>
      </c>
    </row>
    <row r="24516" customHeight="1" spans="2:2">
      <c r="B24516" s="62" t="str">
        <f>IF(AND('领用录入（明细）'!D:D=$F$4,'领用录入（明细）'!C:C&gt;=$J$4,'领用录入（明细）'!C:C&lt;=$L$4),ROW(),"-")</f>
        <v>-</v>
      </c>
    </row>
    <row r="24517" customHeight="1" spans="2:2">
      <c r="B24517" s="62" t="str">
        <f>IF(AND('领用录入（明细）'!D:D=$F$4,'领用录入（明细）'!C:C&gt;=$J$4,'领用录入（明细）'!C:C&lt;=$L$4),ROW(),"-")</f>
        <v>-</v>
      </c>
    </row>
    <row r="24518" customHeight="1" spans="2:2">
      <c r="B24518" s="62" t="str">
        <f>IF(AND('领用录入（明细）'!D:D=$F$4,'领用录入（明细）'!C:C&gt;=$J$4,'领用录入（明细）'!C:C&lt;=$L$4),ROW(),"-")</f>
        <v>-</v>
      </c>
    </row>
    <row r="24519" customHeight="1" spans="2:2">
      <c r="B24519" s="62" t="str">
        <f>IF(AND('领用录入（明细）'!D:D=$F$4,'领用录入（明细）'!C:C&gt;=$J$4,'领用录入（明细）'!C:C&lt;=$L$4),ROW(),"-")</f>
        <v>-</v>
      </c>
    </row>
    <row r="24520" customHeight="1" spans="2:2">
      <c r="B24520" s="62" t="str">
        <f>IF(AND('领用录入（明细）'!D:D=$F$4,'领用录入（明细）'!C:C&gt;=$J$4,'领用录入（明细）'!C:C&lt;=$L$4),ROW(),"-")</f>
        <v>-</v>
      </c>
    </row>
    <row r="24521" customHeight="1" spans="2:2">
      <c r="B24521" s="62" t="str">
        <f>IF(AND('领用录入（明细）'!D:D=$F$4,'领用录入（明细）'!C:C&gt;=$J$4,'领用录入（明细）'!C:C&lt;=$L$4),ROW(),"-")</f>
        <v>-</v>
      </c>
    </row>
    <row r="24522" customHeight="1" spans="2:2">
      <c r="B24522" s="62" t="str">
        <f>IF(AND('领用录入（明细）'!D:D=$F$4,'领用录入（明细）'!C:C&gt;=$J$4,'领用录入（明细）'!C:C&lt;=$L$4),ROW(),"-")</f>
        <v>-</v>
      </c>
    </row>
    <row r="24523" customHeight="1" spans="2:2">
      <c r="B24523" s="62" t="str">
        <f>IF(AND('领用录入（明细）'!D:D=$F$4,'领用录入（明细）'!C:C&gt;=$J$4,'领用录入（明细）'!C:C&lt;=$L$4),ROW(),"-")</f>
        <v>-</v>
      </c>
    </row>
    <row r="24524" customHeight="1" spans="2:2">
      <c r="B24524" s="62" t="str">
        <f>IF(AND('领用录入（明细）'!D:D=$F$4,'领用录入（明细）'!C:C&gt;=$J$4,'领用录入（明细）'!C:C&lt;=$L$4),ROW(),"-")</f>
        <v>-</v>
      </c>
    </row>
    <row r="24525" customHeight="1" spans="2:2">
      <c r="B24525" s="62" t="str">
        <f>IF(AND('领用录入（明细）'!D:D=$F$4,'领用录入（明细）'!C:C&gt;=$J$4,'领用录入（明细）'!C:C&lt;=$L$4),ROW(),"-")</f>
        <v>-</v>
      </c>
    </row>
    <row r="24526" customHeight="1" spans="2:2">
      <c r="B24526" s="62" t="str">
        <f>IF(AND('领用录入（明细）'!D:D=$F$4,'领用录入（明细）'!C:C&gt;=$J$4,'领用录入（明细）'!C:C&lt;=$L$4),ROW(),"-")</f>
        <v>-</v>
      </c>
    </row>
    <row r="24527" customHeight="1" spans="2:2">
      <c r="B24527" s="62" t="str">
        <f>IF(AND('领用录入（明细）'!D:D=$F$4,'领用录入（明细）'!C:C&gt;=$J$4,'领用录入（明细）'!C:C&lt;=$L$4),ROW(),"-")</f>
        <v>-</v>
      </c>
    </row>
    <row r="24528" customHeight="1" spans="2:2">
      <c r="B24528" s="62" t="str">
        <f>IF(AND('领用录入（明细）'!D:D=$F$4,'领用录入（明细）'!C:C&gt;=$J$4,'领用录入（明细）'!C:C&lt;=$L$4),ROW(),"-")</f>
        <v>-</v>
      </c>
    </row>
    <row r="24529" customHeight="1" spans="2:2">
      <c r="B24529" s="62" t="str">
        <f>IF(AND('领用录入（明细）'!D:D=$F$4,'领用录入（明细）'!C:C&gt;=$J$4,'领用录入（明细）'!C:C&lt;=$L$4),ROW(),"-")</f>
        <v>-</v>
      </c>
    </row>
    <row r="24530" customHeight="1" spans="2:2">
      <c r="B24530" s="62" t="str">
        <f>IF(AND('领用录入（明细）'!D:D=$F$4,'领用录入（明细）'!C:C&gt;=$J$4,'领用录入（明细）'!C:C&lt;=$L$4),ROW(),"-")</f>
        <v>-</v>
      </c>
    </row>
    <row r="24531" customHeight="1" spans="2:2">
      <c r="B24531" s="62" t="str">
        <f>IF(AND('领用录入（明细）'!D:D=$F$4,'领用录入（明细）'!C:C&gt;=$J$4,'领用录入（明细）'!C:C&lt;=$L$4),ROW(),"-")</f>
        <v>-</v>
      </c>
    </row>
    <row r="24532" customHeight="1" spans="2:2">
      <c r="B24532" s="62" t="str">
        <f>IF(AND('领用录入（明细）'!D:D=$F$4,'领用录入（明细）'!C:C&gt;=$J$4,'领用录入（明细）'!C:C&lt;=$L$4),ROW(),"-")</f>
        <v>-</v>
      </c>
    </row>
    <row r="24533" customHeight="1" spans="2:2">
      <c r="B24533" s="62" t="str">
        <f>IF(AND('领用录入（明细）'!D:D=$F$4,'领用录入（明细）'!C:C&gt;=$J$4,'领用录入（明细）'!C:C&lt;=$L$4),ROW(),"-")</f>
        <v>-</v>
      </c>
    </row>
    <row r="24534" customHeight="1" spans="2:2">
      <c r="B24534" s="62" t="str">
        <f>IF(AND('领用录入（明细）'!D:D=$F$4,'领用录入（明细）'!C:C&gt;=$J$4,'领用录入（明细）'!C:C&lt;=$L$4),ROW(),"-")</f>
        <v>-</v>
      </c>
    </row>
    <row r="24535" customHeight="1" spans="2:2">
      <c r="B24535" s="62" t="str">
        <f>IF(AND('领用录入（明细）'!D:D=$F$4,'领用录入（明细）'!C:C&gt;=$J$4,'领用录入（明细）'!C:C&lt;=$L$4),ROW(),"-")</f>
        <v>-</v>
      </c>
    </row>
    <row r="24536" customHeight="1" spans="2:2">
      <c r="B24536" s="62" t="str">
        <f>IF(AND('领用录入（明细）'!D:D=$F$4,'领用录入（明细）'!C:C&gt;=$J$4,'领用录入（明细）'!C:C&lt;=$L$4),ROW(),"-")</f>
        <v>-</v>
      </c>
    </row>
    <row r="24537" customHeight="1" spans="2:2">
      <c r="B24537" s="62" t="str">
        <f>IF(AND('领用录入（明细）'!D:D=$F$4,'领用录入（明细）'!C:C&gt;=$J$4,'领用录入（明细）'!C:C&lt;=$L$4),ROW(),"-")</f>
        <v>-</v>
      </c>
    </row>
    <row r="24538" customHeight="1" spans="2:2">
      <c r="B24538" s="62" t="str">
        <f>IF(AND('领用录入（明细）'!D:D=$F$4,'领用录入（明细）'!C:C&gt;=$J$4,'领用录入（明细）'!C:C&lt;=$L$4),ROW(),"-")</f>
        <v>-</v>
      </c>
    </row>
    <row r="24539" customHeight="1" spans="2:2">
      <c r="B24539" s="62" t="str">
        <f>IF(AND('领用录入（明细）'!D:D=$F$4,'领用录入（明细）'!C:C&gt;=$J$4,'领用录入（明细）'!C:C&lt;=$L$4),ROW(),"-")</f>
        <v>-</v>
      </c>
    </row>
    <row r="24540" customHeight="1" spans="2:2">
      <c r="B24540" s="62" t="str">
        <f>IF(AND('领用录入（明细）'!D:D=$F$4,'领用录入（明细）'!C:C&gt;=$J$4,'领用录入（明细）'!C:C&lt;=$L$4),ROW(),"-")</f>
        <v>-</v>
      </c>
    </row>
    <row r="24541" customHeight="1" spans="2:2">
      <c r="B24541" s="62" t="str">
        <f>IF(AND('领用录入（明细）'!D:D=$F$4,'领用录入（明细）'!C:C&gt;=$J$4,'领用录入（明细）'!C:C&lt;=$L$4),ROW(),"-")</f>
        <v>-</v>
      </c>
    </row>
    <row r="24542" customHeight="1" spans="2:2">
      <c r="B24542" s="62" t="str">
        <f>IF(AND('领用录入（明细）'!D:D=$F$4,'领用录入（明细）'!C:C&gt;=$J$4,'领用录入（明细）'!C:C&lt;=$L$4),ROW(),"-")</f>
        <v>-</v>
      </c>
    </row>
    <row r="24543" customHeight="1" spans="2:2">
      <c r="B24543" s="62" t="str">
        <f>IF(AND('领用录入（明细）'!D:D=$F$4,'领用录入（明细）'!C:C&gt;=$J$4,'领用录入（明细）'!C:C&lt;=$L$4),ROW(),"-")</f>
        <v>-</v>
      </c>
    </row>
    <row r="24544" customHeight="1" spans="2:2">
      <c r="B24544" s="62" t="str">
        <f>IF(AND('领用录入（明细）'!D:D=$F$4,'领用录入（明细）'!C:C&gt;=$J$4,'领用录入（明细）'!C:C&lt;=$L$4),ROW(),"-")</f>
        <v>-</v>
      </c>
    </row>
    <row r="24545" customHeight="1" spans="2:2">
      <c r="B24545" s="62" t="str">
        <f>IF(AND('领用录入（明细）'!D:D=$F$4,'领用录入（明细）'!C:C&gt;=$J$4,'领用录入（明细）'!C:C&lt;=$L$4),ROW(),"-")</f>
        <v>-</v>
      </c>
    </row>
    <row r="24546" customHeight="1" spans="2:2">
      <c r="B24546" s="62" t="str">
        <f>IF(AND('领用录入（明细）'!D:D=$F$4,'领用录入（明细）'!C:C&gt;=$J$4,'领用录入（明细）'!C:C&lt;=$L$4),ROW(),"-")</f>
        <v>-</v>
      </c>
    </row>
    <row r="24547" customHeight="1" spans="2:2">
      <c r="B24547" s="62" t="str">
        <f>IF(AND('领用录入（明细）'!D:D=$F$4,'领用录入（明细）'!C:C&gt;=$J$4,'领用录入（明细）'!C:C&lt;=$L$4),ROW(),"-")</f>
        <v>-</v>
      </c>
    </row>
    <row r="24548" customHeight="1" spans="2:2">
      <c r="B24548" s="62" t="str">
        <f>IF(AND('领用录入（明细）'!D:D=$F$4,'领用录入（明细）'!C:C&gt;=$J$4,'领用录入（明细）'!C:C&lt;=$L$4),ROW(),"-")</f>
        <v>-</v>
      </c>
    </row>
    <row r="24549" customHeight="1" spans="2:2">
      <c r="B24549" s="62" t="str">
        <f>IF(AND('领用录入（明细）'!D:D=$F$4,'领用录入（明细）'!C:C&gt;=$J$4,'领用录入（明细）'!C:C&lt;=$L$4),ROW(),"-")</f>
        <v>-</v>
      </c>
    </row>
    <row r="24550" customHeight="1" spans="2:2">
      <c r="B24550" s="62" t="str">
        <f>IF(AND('领用录入（明细）'!D:D=$F$4,'领用录入（明细）'!C:C&gt;=$J$4,'领用录入（明细）'!C:C&lt;=$L$4),ROW(),"-")</f>
        <v>-</v>
      </c>
    </row>
    <row r="24551" customHeight="1" spans="2:2">
      <c r="B24551" s="62" t="str">
        <f>IF(AND('领用录入（明细）'!D:D=$F$4,'领用录入（明细）'!C:C&gt;=$J$4,'领用录入（明细）'!C:C&lt;=$L$4),ROW(),"-")</f>
        <v>-</v>
      </c>
    </row>
    <row r="24552" customHeight="1" spans="2:2">
      <c r="B24552" s="62" t="str">
        <f>IF(AND('领用录入（明细）'!D:D=$F$4,'领用录入（明细）'!C:C&gt;=$J$4,'领用录入（明细）'!C:C&lt;=$L$4),ROW(),"-")</f>
        <v>-</v>
      </c>
    </row>
    <row r="24553" customHeight="1" spans="2:2">
      <c r="B24553" s="62" t="str">
        <f>IF(AND('领用录入（明细）'!D:D=$F$4,'领用录入（明细）'!C:C&gt;=$J$4,'领用录入（明细）'!C:C&lt;=$L$4),ROW(),"-")</f>
        <v>-</v>
      </c>
    </row>
    <row r="24554" customHeight="1" spans="2:2">
      <c r="B24554" s="62" t="str">
        <f>IF(AND('领用录入（明细）'!D:D=$F$4,'领用录入（明细）'!C:C&gt;=$J$4,'领用录入（明细）'!C:C&lt;=$L$4),ROW(),"-")</f>
        <v>-</v>
      </c>
    </row>
    <row r="24555" customHeight="1" spans="2:2">
      <c r="B24555" s="62" t="str">
        <f>IF(AND('领用录入（明细）'!D:D=$F$4,'领用录入（明细）'!C:C&gt;=$J$4,'领用录入（明细）'!C:C&lt;=$L$4),ROW(),"-")</f>
        <v>-</v>
      </c>
    </row>
    <row r="24556" customHeight="1" spans="2:2">
      <c r="B24556" s="62" t="str">
        <f>IF(AND('领用录入（明细）'!D:D=$F$4,'领用录入（明细）'!C:C&gt;=$J$4,'领用录入（明细）'!C:C&lt;=$L$4),ROW(),"-")</f>
        <v>-</v>
      </c>
    </row>
    <row r="24557" customHeight="1" spans="2:2">
      <c r="B24557" s="62" t="str">
        <f>IF(AND('领用录入（明细）'!D:D=$F$4,'领用录入（明细）'!C:C&gt;=$J$4,'领用录入（明细）'!C:C&lt;=$L$4),ROW(),"-")</f>
        <v>-</v>
      </c>
    </row>
    <row r="24558" customHeight="1" spans="2:2">
      <c r="B24558" s="62" t="str">
        <f>IF(AND('领用录入（明细）'!D:D=$F$4,'领用录入（明细）'!C:C&gt;=$J$4,'领用录入（明细）'!C:C&lt;=$L$4),ROW(),"-")</f>
        <v>-</v>
      </c>
    </row>
    <row r="24559" customHeight="1" spans="2:2">
      <c r="B24559" s="62" t="str">
        <f>IF(AND('领用录入（明细）'!D:D=$F$4,'领用录入（明细）'!C:C&gt;=$J$4,'领用录入（明细）'!C:C&lt;=$L$4),ROW(),"-")</f>
        <v>-</v>
      </c>
    </row>
    <row r="24560" customHeight="1" spans="2:2">
      <c r="B24560" s="62" t="str">
        <f>IF(AND('领用录入（明细）'!D:D=$F$4,'领用录入（明细）'!C:C&gt;=$J$4,'领用录入（明细）'!C:C&lt;=$L$4),ROW(),"-")</f>
        <v>-</v>
      </c>
    </row>
    <row r="24561" customHeight="1" spans="2:2">
      <c r="B24561" s="62" t="str">
        <f>IF(AND('领用录入（明细）'!D:D=$F$4,'领用录入（明细）'!C:C&gt;=$J$4,'领用录入（明细）'!C:C&lt;=$L$4),ROW(),"-")</f>
        <v>-</v>
      </c>
    </row>
    <row r="24562" customHeight="1" spans="2:2">
      <c r="B24562" s="62" t="str">
        <f>IF(AND('领用录入（明细）'!D:D=$F$4,'领用录入（明细）'!C:C&gt;=$J$4,'领用录入（明细）'!C:C&lt;=$L$4),ROW(),"-")</f>
        <v>-</v>
      </c>
    </row>
    <row r="24563" customHeight="1" spans="2:2">
      <c r="B24563" s="62" t="str">
        <f>IF(AND('领用录入（明细）'!D:D=$F$4,'领用录入（明细）'!C:C&gt;=$J$4,'领用录入（明细）'!C:C&lt;=$L$4),ROW(),"-")</f>
        <v>-</v>
      </c>
    </row>
    <row r="24564" customHeight="1" spans="2:2">
      <c r="B24564" s="62" t="str">
        <f>IF(AND('领用录入（明细）'!D:D=$F$4,'领用录入（明细）'!C:C&gt;=$J$4,'领用录入（明细）'!C:C&lt;=$L$4),ROW(),"-")</f>
        <v>-</v>
      </c>
    </row>
    <row r="24565" customHeight="1" spans="2:2">
      <c r="B24565" s="62" t="str">
        <f>IF(AND('领用录入（明细）'!D:D=$F$4,'领用录入（明细）'!C:C&gt;=$J$4,'领用录入（明细）'!C:C&lt;=$L$4),ROW(),"-")</f>
        <v>-</v>
      </c>
    </row>
    <row r="24566" customHeight="1" spans="2:2">
      <c r="B24566" s="62" t="str">
        <f>IF(AND('领用录入（明细）'!D:D=$F$4,'领用录入（明细）'!C:C&gt;=$J$4,'领用录入（明细）'!C:C&lt;=$L$4),ROW(),"-")</f>
        <v>-</v>
      </c>
    </row>
    <row r="24567" customHeight="1" spans="2:2">
      <c r="B24567" s="62" t="str">
        <f>IF(AND('领用录入（明细）'!D:D=$F$4,'领用录入（明细）'!C:C&gt;=$J$4,'领用录入（明细）'!C:C&lt;=$L$4),ROW(),"-")</f>
        <v>-</v>
      </c>
    </row>
    <row r="24568" customHeight="1" spans="2:2">
      <c r="B24568" s="62" t="str">
        <f>IF(AND('领用录入（明细）'!D:D=$F$4,'领用录入（明细）'!C:C&gt;=$J$4,'领用录入（明细）'!C:C&lt;=$L$4),ROW(),"-")</f>
        <v>-</v>
      </c>
    </row>
    <row r="24569" customHeight="1" spans="2:2">
      <c r="B24569" s="62" t="str">
        <f>IF(AND('领用录入（明细）'!D:D=$F$4,'领用录入（明细）'!C:C&gt;=$J$4,'领用录入（明细）'!C:C&lt;=$L$4),ROW(),"-")</f>
        <v>-</v>
      </c>
    </row>
    <row r="24570" customHeight="1" spans="2:2">
      <c r="B24570" s="62" t="str">
        <f>IF(AND('领用录入（明细）'!D:D=$F$4,'领用录入（明细）'!C:C&gt;=$J$4,'领用录入（明细）'!C:C&lt;=$L$4),ROW(),"-")</f>
        <v>-</v>
      </c>
    </row>
    <row r="24571" customHeight="1" spans="2:2">
      <c r="B24571" s="62" t="str">
        <f>IF(AND('领用录入（明细）'!D:D=$F$4,'领用录入（明细）'!C:C&gt;=$J$4,'领用录入（明细）'!C:C&lt;=$L$4),ROW(),"-")</f>
        <v>-</v>
      </c>
    </row>
    <row r="24572" customHeight="1" spans="2:2">
      <c r="B24572" s="62" t="str">
        <f>IF(AND('领用录入（明细）'!D:D=$F$4,'领用录入（明细）'!C:C&gt;=$J$4,'领用录入（明细）'!C:C&lt;=$L$4),ROW(),"-")</f>
        <v>-</v>
      </c>
    </row>
    <row r="24573" customHeight="1" spans="2:2">
      <c r="B24573" s="62" t="str">
        <f>IF(AND('领用录入（明细）'!D:D=$F$4,'领用录入（明细）'!C:C&gt;=$J$4,'领用录入（明细）'!C:C&lt;=$L$4),ROW(),"-")</f>
        <v>-</v>
      </c>
    </row>
    <row r="24574" customHeight="1" spans="2:2">
      <c r="B24574" s="62" t="str">
        <f>IF(AND('领用录入（明细）'!D:D=$F$4,'领用录入（明细）'!C:C&gt;=$J$4,'领用录入（明细）'!C:C&lt;=$L$4),ROW(),"-")</f>
        <v>-</v>
      </c>
    </row>
    <row r="24575" customHeight="1" spans="2:2">
      <c r="B24575" s="62" t="str">
        <f>IF(AND('领用录入（明细）'!D:D=$F$4,'领用录入（明细）'!C:C&gt;=$J$4,'领用录入（明细）'!C:C&lt;=$L$4),ROW(),"-")</f>
        <v>-</v>
      </c>
    </row>
    <row r="24576" customHeight="1" spans="2:2">
      <c r="B24576" s="62" t="str">
        <f>IF(AND('领用录入（明细）'!D:D=$F$4,'领用录入（明细）'!C:C&gt;=$J$4,'领用录入（明细）'!C:C&lt;=$L$4),ROW(),"-")</f>
        <v>-</v>
      </c>
    </row>
    <row r="24577" customHeight="1" spans="2:2">
      <c r="B24577" s="62" t="str">
        <f>IF(AND('领用录入（明细）'!D:D=$F$4,'领用录入（明细）'!C:C&gt;=$J$4,'领用录入（明细）'!C:C&lt;=$L$4),ROW(),"-")</f>
        <v>-</v>
      </c>
    </row>
    <row r="24578" customHeight="1" spans="2:2">
      <c r="B24578" s="62" t="str">
        <f>IF(AND('领用录入（明细）'!D:D=$F$4,'领用录入（明细）'!C:C&gt;=$J$4,'领用录入（明细）'!C:C&lt;=$L$4),ROW(),"-")</f>
        <v>-</v>
      </c>
    </row>
    <row r="24579" customHeight="1" spans="2:2">
      <c r="B24579" s="62" t="str">
        <f>IF(AND('领用录入（明细）'!D:D=$F$4,'领用录入（明细）'!C:C&gt;=$J$4,'领用录入（明细）'!C:C&lt;=$L$4),ROW(),"-")</f>
        <v>-</v>
      </c>
    </row>
    <row r="24580" customHeight="1" spans="2:2">
      <c r="B24580" s="62" t="str">
        <f>IF(AND('领用录入（明细）'!D:D=$F$4,'领用录入（明细）'!C:C&gt;=$J$4,'领用录入（明细）'!C:C&lt;=$L$4),ROW(),"-")</f>
        <v>-</v>
      </c>
    </row>
    <row r="24581" customHeight="1" spans="2:2">
      <c r="B24581" s="62" t="str">
        <f>IF(AND('领用录入（明细）'!D:D=$F$4,'领用录入（明细）'!C:C&gt;=$J$4,'领用录入（明细）'!C:C&lt;=$L$4),ROW(),"-")</f>
        <v>-</v>
      </c>
    </row>
    <row r="24582" customHeight="1" spans="2:2">
      <c r="B24582" s="62" t="str">
        <f>IF(AND('领用录入（明细）'!D:D=$F$4,'领用录入（明细）'!C:C&gt;=$J$4,'领用录入（明细）'!C:C&lt;=$L$4),ROW(),"-")</f>
        <v>-</v>
      </c>
    </row>
    <row r="24583" customHeight="1" spans="2:2">
      <c r="B24583" s="62" t="str">
        <f>IF(AND('领用录入（明细）'!D:D=$F$4,'领用录入（明细）'!C:C&gt;=$J$4,'领用录入（明细）'!C:C&lt;=$L$4),ROW(),"-")</f>
        <v>-</v>
      </c>
    </row>
    <row r="24584" customHeight="1" spans="2:2">
      <c r="B24584" s="62" t="str">
        <f>IF(AND('领用录入（明细）'!D:D=$F$4,'领用录入（明细）'!C:C&gt;=$J$4,'领用录入（明细）'!C:C&lt;=$L$4),ROW(),"-")</f>
        <v>-</v>
      </c>
    </row>
    <row r="24585" customHeight="1" spans="2:2">
      <c r="B24585" s="62" t="str">
        <f>IF(AND('领用录入（明细）'!D:D=$F$4,'领用录入（明细）'!C:C&gt;=$J$4,'领用录入（明细）'!C:C&lt;=$L$4),ROW(),"-")</f>
        <v>-</v>
      </c>
    </row>
    <row r="24586" customHeight="1" spans="2:2">
      <c r="B24586" s="62" t="str">
        <f>IF(AND('领用录入（明细）'!D:D=$F$4,'领用录入（明细）'!C:C&gt;=$J$4,'领用录入（明细）'!C:C&lt;=$L$4),ROW(),"-")</f>
        <v>-</v>
      </c>
    </row>
    <row r="24587" customHeight="1" spans="2:2">
      <c r="B24587" s="62" t="str">
        <f>IF(AND('领用录入（明细）'!D:D=$F$4,'领用录入（明细）'!C:C&gt;=$J$4,'领用录入（明细）'!C:C&lt;=$L$4),ROW(),"-")</f>
        <v>-</v>
      </c>
    </row>
    <row r="24588" customHeight="1" spans="2:2">
      <c r="B24588" s="62" t="str">
        <f>IF(AND('领用录入（明细）'!D:D=$F$4,'领用录入（明细）'!C:C&gt;=$J$4,'领用录入（明细）'!C:C&lt;=$L$4),ROW(),"-")</f>
        <v>-</v>
      </c>
    </row>
    <row r="24589" customHeight="1" spans="2:2">
      <c r="B24589" s="62" t="str">
        <f>IF(AND('领用录入（明细）'!D:D=$F$4,'领用录入（明细）'!C:C&gt;=$J$4,'领用录入（明细）'!C:C&lt;=$L$4),ROW(),"-")</f>
        <v>-</v>
      </c>
    </row>
    <row r="24590" customHeight="1" spans="2:2">
      <c r="B24590" s="62" t="str">
        <f>IF(AND('领用录入（明细）'!D:D=$F$4,'领用录入（明细）'!C:C&gt;=$J$4,'领用录入（明细）'!C:C&lt;=$L$4),ROW(),"-")</f>
        <v>-</v>
      </c>
    </row>
    <row r="24591" customHeight="1" spans="2:2">
      <c r="B24591" s="62" t="str">
        <f>IF(AND('领用录入（明细）'!D:D=$F$4,'领用录入（明细）'!C:C&gt;=$J$4,'领用录入（明细）'!C:C&lt;=$L$4),ROW(),"-")</f>
        <v>-</v>
      </c>
    </row>
    <row r="24592" customHeight="1" spans="2:2">
      <c r="B24592" s="62" t="str">
        <f>IF(AND('领用录入（明细）'!D:D=$F$4,'领用录入（明细）'!C:C&gt;=$J$4,'领用录入（明细）'!C:C&lt;=$L$4),ROW(),"-")</f>
        <v>-</v>
      </c>
    </row>
    <row r="24593" customHeight="1" spans="2:2">
      <c r="B24593" s="62" t="str">
        <f>IF(AND('领用录入（明细）'!D:D=$F$4,'领用录入（明细）'!C:C&gt;=$J$4,'领用录入（明细）'!C:C&lt;=$L$4),ROW(),"-")</f>
        <v>-</v>
      </c>
    </row>
    <row r="24594" customHeight="1" spans="2:2">
      <c r="B24594" s="62" t="str">
        <f>IF(AND('领用录入（明细）'!D:D=$F$4,'领用录入（明细）'!C:C&gt;=$J$4,'领用录入（明细）'!C:C&lt;=$L$4),ROW(),"-")</f>
        <v>-</v>
      </c>
    </row>
    <row r="24595" customHeight="1" spans="2:2">
      <c r="B24595" s="62" t="str">
        <f>IF(AND('领用录入（明细）'!D:D=$F$4,'领用录入（明细）'!C:C&gt;=$J$4,'领用录入（明细）'!C:C&lt;=$L$4),ROW(),"-")</f>
        <v>-</v>
      </c>
    </row>
    <row r="24596" customHeight="1" spans="2:2">
      <c r="B24596" s="62" t="str">
        <f>IF(AND('领用录入（明细）'!D:D=$F$4,'领用录入（明细）'!C:C&gt;=$J$4,'领用录入（明细）'!C:C&lt;=$L$4),ROW(),"-")</f>
        <v>-</v>
      </c>
    </row>
    <row r="24597" customHeight="1" spans="2:2">
      <c r="B24597" s="62" t="str">
        <f>IF(AND('领用录入（明细）'!D:D=$F$4,'领用录入（明细）'!C:C&gt;=$J$4,'领用录入（明细）'!C:C&lt;=$L$4),ROW(),"-")</f>
        <v>-</v>
      </c>
    </row>
    <row r="24598" customHeight="1" spans="2:2">
      <c r="B24598" s="62" t="str">
        <f>IF(AND('领用录入（明细）'!D:D=$F$4,'领用录入（明细）'!C:C&gt;=$J$4,'领用录入（明细）'!C:C&lt;=$L$4),ROW(),"-")</f>
        <v>-</v>
      </c>
    </row>
    <row r="24599" customHeight="1" spans="2:2">
      <c r="B24599" s="62" t="str">
        <f>IF(AND('领用录入（明细）'!D:D=$F$4,'领用录入（明细）'!C:C&gt;=$J$4,'领用录入（明细）'!C:C&lt;=$L$4),ROW(),"-")</f>
        <v>-</v>
      </c>
    </row>
    <row r="24600" customHeight="1" spans="2:2">
      <c r="B24600" s="62" t="str">
        <f>IF(AND('领用录入（明细）'!D:D=$F$4,'领用录入（明细）'!C:C&gt;=$J$4,'领用录入（明细）'!C:C&lt;=$L$4),ROW(),"-")</f>
        <v>-</v>
      </c>
    </row>
    <row r="24601" customHeight="1" spans="2:2">
      <c r="B24601" s="62" t="str">
        <f>IF(AND('领用录入（明细）'!D:D=$F$4,'领用录入（明细）'!C:C&gt;=$J$4,'领用录入（明细）'!C:C&lt;=$L$4),ROW(),"-")</f>
        <v>-</v>
      </c>
    </row>
    <row r="24602" customHeight="1" spans="2:2">
      <c r="B24602" s="62" t="str">
        <f>IF(AND('领用录入（明细）'!D:D=$F$4,'领用录入（明细）'!C:C&gt;=$J$4,'领用录入（明细）'!C:C&lt;=$L$4),ROW(),"-")</f>
        <v>-</v>
      </c>
    </row>
    <row r="24603" customHeight="1" spans="2:2">
      <c r="B24603" s="62" t="str">
        <f>IF(AND('领用录入（明细）'!D:D=$F$4,'领用录入（明细）'!C:C&gt;=$J$4,'领用录入（明细）'!C:C&lt;=$L$4),ROW(),"-")</f>
        <v>-</v>
      </c>
    </row>
    <row r="24604" customHeight="1" spans="2:2">
      <c r="B24604" s="62" t="str">
        <f>IF(AND('领用录入（明细）'!D:D=$F$4,'领用录入（明细）'!C:C&gt;=$J$4,'领用录入（明细）'!C:C&lt;=$L$4),ROW(),"-")</f>
        <v>-</v>
      </c>
    </row>
    <row r="24605" customHeight="1" spans="2:2">
      <c r="B24605" s="62" t="str">
        <f>IF(AND('领用录入（明细）'!D:D=$F$4,'领用录入（明细）'!C:C&gt;=$J$4,'领用录入（明细）'!C:C&lt;=$L$4),ROW(),"-")</f>
        <v>-</v>
      </c>
    </row>
    <row r="24606" customHeight="1" spans="2:2">
      <c r="B24606" s="62" t="str">
        <f>IF(AND('领用录入（明细）'!D:D=$F$4,'领用录入（明细）'!C:C&gt;=$J$4,'领用录入（明细）'!C:C&lt;=$L$4),ROW(),"-")</f>
        <v>-</v>
      </c>
    </row>
    <row r="24607" customHeight="1" spans="2:2">
      <c r="B24607" s="62" t="str">
        <f>IF(AND('领用录入（明细）'!D:D=$F$4,'领用录入（明细）'!C:C&gt;=$J$4,'领用录入（明细）'!C:C&lt;=$L$4),ROW(),"-")</f>
        <v>-</v>
      </c>
    </row>
    <row r="24608" customHeight="1" spans="2:2">
      <c r="B24608" s="62" t="str">
        <f>IF(AND('领用录入（明细）'!D:D=$F$4,'领用录入（明细）'!C:C&gt;=$J$4,'领用录入（明细）'!C:C&lt;=$L$4),ROW(),"-")</f>
        <v>-</v>
      </c>
    </row>
    <row r="24609" customHeight="1" spans="2:2">
      <c r="B24609" s="62" t="str">
        <f>IF(AND('领用录入（明细）'!D:D=$F$4,'领用录入（明细）'!C:C&gt;=$J$4,'领用录入（明细）'!C:C&lt;=$L$4),ROW(),"-")</f>
        <v>-</v>
      </c>
    </row>
    <row r="24610" customHeight="1" spans="2:2">
      <c r="B24610" s="62" t="str">
        <f>IF(AND('领用录入（明细）'!D:D=$F$4,'领用录入（明细）'!C:C&gt;=$J$4,'领用录入（明细）'!C:C&lt;=$L$4),ROW(),"-")</f>
        <v>-</v>
      </c>
    </row>
    <row r="24611" customHeight="1" spans="2:2">
      <c r="B24611" s="62" t="str">
        <f>IF(AND('领用录入（明细）'!D:D=$F$4,'领用录入（明细）'!C:C&gt;=$J$4,'领用录入（明细）'!C:C&lt;=$L$4),ROW(),"-")</f>
        <v>-</v>
      </c>
    </row>
    <row r="24612" customHeight="1" spans="2:2">
      <c r="B24612" s="62" t="str">
        <f>IF(AND('领用录入（明细）'!D:D=$F$4,'领用录入（明细）'!C:C&gt;=$J$4,'领用录入（明细）'!C:C&lt;=$L$4),ROW(),"-")</f>
        <v>-</v>
      </c>
    </row>
    <row r="24613" customHeight="1" spans="2:2">
      <c r="B24613" s="62" t="str">
        <f>IF(AND('领用录入（明细）'!D:D=$F$4,'领用录入（明细）'!C:C&gt;=$J$4,'领用录入（明细）'!C:C&lt;=$L$4),ROW(),"-")</f>
        <v>-</v>
      </c>
    </row>
    <row r="24614" customHeight="1" spans="2:2">
      <c r="B24614" s="62" t="str">
        <f>IF(AND('领用录入（明细）'!D:D=$F$4,'领用录入（明细）'!C:C&gt;=$J$4,'领用录入（明细）'!C:C&lt;=$L$4),ROW(),"-")</f>
        <v>-</v>
      </c>
    </row>
    <row r="24615" customHeight="1" spans="2:2">
      <c r="B24615" s="62" t="str">
        <f>IF(AND('领用录入（明细）'!D:D=$F$4,'领用录入（明细）'!C:C&gt;=$J$4,'领用录入（明细）'!C:C&lt;=$L$4),ROW(),"-")</f>
        <v>-</v>
      </c>
    </row>
    <row r="24616" customHeight="1" spans="2:2">
      <c r="B24616" s="62" t="str">
        <f>IF(AND('领用录入（明细）'!D:D=$F$4,'领用录入（明细）'!C:C&gt;=$J$4,'领用录入（明细）'!C:C&lt;=$L$4),ROW(),"-")</f>
        <v>-</v>
      </c>
    </row>
    <row r="24617" customHeight="1" spans="2:2">
      <c r="B24617" s="62" t="str">
        <f>IF(AND('领用录入（明细）'!D:D=$F$4,'领用录入（明细）'!C:C&gt;=$J$4,'领用录入（明细）'!C:C&lt;=$L$4),ROW(),"-")</f>
        <v>-</v>
      </c>
    </row>
    <row r="24618" customHeight="1" spans="2:2">
      <c r="B24618" s="62" t="str">
        <f>IF(AND('领用录入（明细）'!D:D=$F$4,'领用录入（明细）'!C:C&gt;=$J$4,'领用录入（明细）'!C:C&lt;=$L$4),ROW(),"-")</f>
        <v>-</v>
      </c>
    </row>
    <row r="24619" customHeight="1" spans="2:2">
      <c r="B24619" s="62" t="str">
        <f>IF(AND('领用录入（明细）'!D:D=$F$4,'领用录入（明细）'!C:C&gt;=$J$4,'领用录入（明细）'!C:C&lt;=$L$4),ROW(),"-")</f>
        <v>-</v>
      </c>
    </row>
    <row r="24620" customHeight="1" spans="2:2">
      <c r="B24620" s="62" t="str">
        <f>IF(AND('领用录入（明细）'!D:D=$F$4,'领用录入（明细）'!C:C&gt;=$J$4,'领用录入（明细）'!C:C&lt;=$L$4),ROW(),"-")</f>
        <v>-</v>
      </c>
    </row>
    <row r="24621" customHeight="1" spans="2:2">
      <c r="B24621" s="62" t="str">
        <f>IF(AND('领用录入（明细）'!D:D=$F$4,'领用录入（明细）'!C:C&gt;=$J$4,'领用录入（明细）'!C:C&lt;=$L$4),ROW(),"-")</f>
        <v>-</v>
      </c>
    </row>
    <row r="24622" customHeight="1" spans="2:2">
      <c r="B24622" s="62" t="str">
        <f>IF(AND('领用录入（明细）'!D:D=$F$4,'领用录入（明细）'!C:C&gt;=$J$4,'领用录入（明细）'!C:C&lt;=$L$4),ROW(),"-")</f>
        <v>-</v>
      </c>
    </row>
    <row r="24623" customHeight="1" spans="2:2">
      <c r="B24623" s="62" t="str">
        <f>IF(AND('领用录入（明细）'!D:D=$F$4,'领用录入（明细）'!C:C&gt;=$J$4,'领用录入（明细）'!C:C&lt;=$L$4),ROW(),"-")</f>
        <v>-</v>
      </c>
    </row>
    <row r="24624" customHeight="1" spans="2:2">
      <c r="B24624" s="62" t="str">
        <f>IF(AND('领用录入（明细）'!D:D=$F$4,'领用录入（明细）'!C:C&gt;=$J$4,'领用录入（明细）'!C:C&lt;=$L$4),ROW(),"-")</f>
        <v>-</v>
      </c>
    </row>
    <row r="24625" customHeight="1" spans="2:2">
      <c r="B24625" s="62" t="str">
        <f>IF(AND('领用录入（明细）'!D:D=$F$4,'领用录入（明细）'!C:C&gt;=$J$4,'领用录入（明细）'!C:C&lt;=$L$4),ROW(),"-")</f>
        <v>-</v>
      </c>
    </row>
    <row r="24626" customHeight="1" spans="2:2">
      <c r="B24626" s="62" t="str">
        <f>IF(AND('领用录入（明细）'!D:D=$F$4,'领用录入（明细）'!C:C&gt;=$J$4,'领用录入（明细）'!C:C&lt;=$L$4),ROW(),"-")</f>
        <v>-</v>
      </c>
    </row>
    <row r="24627" customHeight="1" spans="2:2">
      <c r="B24627" s="62" t="str">
        <f>IF(AND('领用录入（明细）'!D:D=$F$4,'领用录入（明细）'!C:C&gt;=$J$4,'领用录入（明细）'!C:C&lt;=$L$4),ROW(),"-")</f>
        <v>-</v>
      </c>
    </row>
    <row r="24628" customHeight="1" spans="2:2">
      <c r="B24628" s="62" t="str">
        <f>IF(AND('领用录入（明细）'!D:D=$F$4,'领用录入（明细）'!C:C&gt;=$J$4,'领用录入（明细）'!C:C&lt;=$L$4),ROW(),"-")</f>
        <v>-</v>
      </c>
    </row>
    <row r="24629" customHeight="1" spans="2:2">
      <c r="B24629" s="62" t="str">
        <f>IF(AND('领用录入（明细）'!D:D=$F$4,'领用录入（明细）'!C:C&gt;=$J$4,'领用录入（明细）'!C:C&lt;=$L$4),ROW(),"-")</f>
        <v>-</v>
      </c>
    </row>
    <row r="24630" customHeight="1" spans="2:2">
      <c r="B24630" s="62" t="str">
        <f>IF(AND('领用录入（明细）'!D:D=$F$4,'领用录入（明细）'!C:C&gt;=$J$4,'领用录入（明细）'!C:C&lt;=$L$4),ROW(),"-")</f>
        <v>-</v>
      </c>
    </row>
    <row r="24631" customHeight="1" spans="2:2">
      <c r="B24631" s="62" t="str">
        <f>IF(AND('领用录入（明细）'!D:D=$F$4,'领用录入（明细）'!C:C&gt;=$J$4,'领用录入（明细）'!C:C&lt;=$L$4),ROW(),"-")</f>
        <v>-</v>
      </c>
    </row>
    <row r="24632" customHeight="1" spans="2:2">
      <c r="B24632" s="62" t="str">
        <f>IF(AND('领用录入（明细）'!D:D=$F$4,'领用录入（明细）'!C:C&gt;=$J$4,'领用录入（明细）'!C:C&lt;=$L$4),ROW(),"-")</f>
        <v>-</v>
      </c>
    </row>
    <row r="24633" customHeight="1" spans="2:2">
      <c r="B24633" s="62" t="str">
        <f>IF(AND('领用录入（明细）'!D:D=$F$4,'领用录入（明细）'!C:C&gt;=$J$4,'领用录入（明细）'!C:C&lt;=$L$4),ROW(),"-")</f>
        <v>-</v>
      </c>
    </row>
    <row r="24634" customHeight="1" spans="2:2">
      <c r="B24634" s="62" t="str">
        <f>IF(AND('领用录入（明细）'!D:D=$F$4,'领用录入（明细）'!C:C&gt;=$J$4,'领用录入（明细）'!C:C&lt;=$L$4),ROW(),"-")</f>
        <v>-</v>
      </c>
    </row>
    <row r="24635" customHeight="1" spans="2:2">
      <c r="B24635" s="62" t="str">
        <f>IF(AND('领用录入（明细）'!D:D=$F$4,'领用录入（明细）'!C:C&gt;=$J$4,'领用录入（明细）'!C:C&lt;=$L$4),ROW(),"-")</f>
        <v>-</v>
      </c>
    </row>
    <row r="24636" customHeight="1" spans="2:2">
      <c r="B24636" s="62" t="str">
        <f>IF(AND('领用录入（明细）'!D:D=$F$4,'领用录入（明细）'!C:C&gt;=$J$4,'领用录入（明细）'!C:C&lt;=$L$4),ROW(),"-")</f>
        <v>-</v>
      </c>
    </row>
    <row r="24637" customHeight="1" spans="2:2">
      <c r="B24637" s="62" t="str">
        <f>IF(AND('领用录入（明细）'!D:D=$F$4,'领用录入（明细）'!C:C&gt;=$J$4,'领用录入（明细）'!C:C&lt;=$L$4),ROW(),"-")</f>
        <v>-</v>
      </c>
    </row>
    <row r="24638" customHeight="1" spans="2:2">
      <c r="B24638" s="62" t="str">
        <f>IF(AND('领用录入（明细）'!D:D=$F$4,'领用录入（明细）'!C:C&gt;=$J$4,'领用录入（明细）'!C:C&lt;=$L$4),ROW(),"-")</f>
        <v>-</v>
      </c>
    </row>
    <row r="24639" customHeight="1" spans="2:2">
      <c r="B24639" s="62" t="str">
        <f>IF(AND('领用录入（明细）'!D:D=$F$4,'领用录入（明细）'!C:C&gt;=$J$4,'领用录入（明细）'!C:C&lt;=$L$4),ROW(),"-")</f>
        <v>-</v>
      </c>
    </row>
    <row r="24640" customHeight="1" spans="2:2">
      <c r="B24640" s="62" t="str">
        <f>IF(AND('领用录入（明细）'!D:D=$F$4,'领用录入（明细）'!C:C&gt;=$J$4,'领用录入（明细）'!C:C&lt;=$L$4),ROW(),"-")</f>
        <v>-</v>
      </c>
    </row>
    <row r="24641" customHeight="1" spans="2:2">
      <c r="B24641" s="62" t="str">
        <f>IF(AND('领用录入（明细）'!D:D=$F$4,'领用录入（明细）'!C:C&gt;=$J$4,'领用录入（明细）'!C:C&lt;=$L$4),ROW(),"-")</f>
        <v>-</v>
      </c>
    </row>
    <row r="24642" customHeight="1" spans="2:2">
      <c r="B24642" s="62" t="str">
        <f>IF(AND('领用录入（明细）'!D:D=$F$4,'领用录入（明细）'!C:C&gt;=$J$4,'领用录入（明细）'!C:C&lt;=$L$4),ROW(),"-")</f>
        <v>-</v>
      </c>
    </row>
    <row r="24643" customHeight="1" spans="2:2">
      <c r="B24643" s="62" t="str">
        <f>IF(AND('领用录入（明细）'!D:D=$F$4,'领用录入（明细）'!C:C&gt;=$J$4,'领用录入（明细）'!C:C&lt;=$L$4),ROW(),"-")</f>
        <v>-</v>
      </c>
    </row>
    <row r="24644" customHeight="1" spans="2:2">
      <c r="B24644" s="62" t="str">
        <f>IF(AND('领用录入（明细）'!D:D=$F$4,'领用录入（明细）'!C:C&gt;=$J$4,'领用录入（明细）'!C:C&lt;=$L$4),ROW(),"-")</f>
        <v>-</v>
      </c>
    </row>
    <row r="24645" customHeight="1" spans="2:2">
      <c r="B24645" s="62" t="str">
        <f>IF(AND('领用录入（明细）'!D:D=$F$4,'领用录入（明细）'!C:C&gt;=$J$4,'领用录入（明细）'!C:C&lt;=$L$4),ROW(),"-")</f>
        <v>-</v>
      </c>
    </row>
    <row r="24646" customHeight="1" spans="2:2">
      <c r="B24646" s="62" t="str">
        <f>IF(AND('领用录入（明细）'!D:D=$F$4,'领用录入（明细）'!C:C&gt;=$J$4,'领用录入（明细）'!C:C&lt;=$L$4),ROW(),"-")</f>
        <v>-</v>
      </c>
    </row>
    <row r="24647" customHeight="1" spans="2:2">
      <c r="B24647" s="62" t="str">
        <f>IF(AND('领用录入（明细）'!D:D=$F$4,'领用录入（明细）'!C:C&gt;=$J$4,'领用录入（明细）'!C:C&lt;=$L$4),ROW(),"-")</f>
        <v>-</v>
      </c>
    </row>
    <row r="24648" customHeight="1" spans="2:2">
      <c r="B24648" s="62" t="str">
        <f>IF(AND('领用录入（明细）'!D:D=$F$4,'领用录入（明细）'!C:C&gt;=$J$4,'领用录入（明细）'!C:C&lt;=$L$4),ROW(),"-")</f>
        <v>-</v>
      </c>
    </row>
    <row r="24649" customHeight="1" spans="2:2">
      <c r="B24649" s="62" t="str">
        <f>IF(AND('领用录入（明细）'!D:D=$F$4,'领用录入（明细）'!C:C&gt;=$J$4,'领用录入（明细）'!C:C&lt;=$L$4),ROW(),"-")</f>
        <v>-</v>
      </c>
    </row>
    <row r="24650" customHeight="1" spans="2:2">
      <c r="B24650" s="62" t="str">
        <f>IF(AND('领用录入（明细）'!D:D=$F$4,'领用录入（明细）'!C:C&gt;=$J$4,'领用录入（明细）'!C:C&lt;=$L$4),ROW(),"-")</f>
        <v>-</v>
      </c>
    </row>
    <row r="24651" customHeight="1" spans="2:2">
      <c r="B24651" s="62" t="str">
        <f>IF(AND('领用录入（明细）'!D:D=$F$4,'领用录入（明细）'!C:C&gt;=$J$4,'领用录入（明细）'!C:C&lt;=$L$4),ROW(),"-")</f>
        <v>-</v>
      </c>
    </row>
    <row r="24652" customHeight="1" spans="2:2">
      <c r="B24652" s="62" t="str">
        <f>IF(AND('领用录入（明细）'!D:D=$F$4,'领用录入（明细）'!C:C&gt;=$J$4,'领用录入（明细）'!C:C&lt;=$L$4),ROW(),"-")</f>
        <v>-</v>
      </c>
    </row>
    <row r="24653" customHeight="1" spans="2:2">
      <c r="B24653" s="62" t="str">
        <f>IF(AND('领用录入（明细）'!D:D=$F$4,'领用录入（明细）'!C:C&gt;=$J$4,'领用录入（明细）'!C:C&lt;=$L$4),ROW(),"-")</f>
        <v>-</v>
      </c>
    </row>
    <row r="24654" customHeight="1" spans="2:2">
      <c r="B24654" s="62" t="str">
        <f>IF(AND('领用录入（明细）'!D:D=$F$4,'领用录入（明细）'!C:C&gt;=$J$4,'领用录入（明细）'!C:C&lt;=$L$4),ROW(),"-")</f>
        <v>-</v>
      </c>
    </row>
    <row r="24655" customHeight="1" spans="2:2">
      <c r="B24655" s="62" t="str">
        <f>IF(AND('领用录入（明细）'!D:D=$F$4,'领用录入（明细）'!C:C&gt;=$J$4,'领用录入（明细）'!C:C&lt;=$L$4),ROW(),"-")</f>
        <v>-</v>
      </c>
    </row>
    <row r="24656" customHeight="1" spans="2:2">
      <c r="B24656" s="62" t="str">
        <f>IF(AND('领用录入（明细）'!D:D=$F$4,'领用录入（明细）'!C:C&gt;=$J$4,'领用录入（明细）'!C:C&lt;=$L$4),ROW(),"-")</f>
        <v>-</v>
      </c>
    </row>
    <row r="24657" customHeight="1" spans="2:2">
      <c r="B24657" s="62" t="str">
        <f>IF(AND('领用录入（明细）'!D:D=$F$4,'领用录入（明细）'!C:C&gt;=$J$4,'领用录入（明细）'!C:C&lt;=$L$4),ROW(),"-")</f>
        <v>-</v>
      </c>
    </row>
    <row r="24658" customHeight="1" spans="2:2">
      <c r="B24658" s="62" t="str">
        <f>IF(AND('领用录入（明细）'!D:D=$F$4,'领用录入（明细）'!C:C&gt;=$J$4,'领用录入（明细）'!C:C&lt;=$L$4),ROW(),"-")</f>
        <v>-</v>
      </c>
    </row>
    <row r="24659" customHeight="1" spans="2:2">
      <c r="B24659" s="62" t="str">
        <f>IF(AND('领用录入（明细）'!D:D=$F$4,'领用录入（明细）'!C:C&gt;=$J$4,'领用录入（明细）'!C:C&lt;=$L$4),ROW(),"-")</f>
        <v>-</v>
      </c>
    </row>
    <row r="24660" customHeight="1" spans="2:2">
      <c r="B24660" s="62" t="str">
        <f>IF(AND('领用录入（明细）'!D:D=$F$4,'领用录入（明细）'!C:C&gt;=$J$4,'领用录入（明细）'!C:C&lt;=$L$4),ROW(),"-")</f>
        <v>-</v>
      </c>
    </row>
    <row r="24661" customHeight="1" spans="2:2">
      <c r="B24661" s="62" t="str">
        <f>IF(AND('领用录入（明细）'!D:D=$F$4,'领用录入（明细）'!C:C&gt;=$J$4,'领用录入（明细）'!C:C&lt;=$L$4),ROW(),"-")</f>
        <v>-</v>
      </c>
    </row>
    <row r="24662" customHeight="1" spans="2:2">
      <c r="B24662" s="62" t="str">
        <f>IF(AND('领用录入（明细）'!D:D=$F$4,'领用录入（明细）'!C:C&gt;=$J$4,'领用录入（明细）'!C:C&lt;=$L$4),ROW(),"-")</f>
        <v>-</v>
      </c>
    </row>
    <row r="24663" customHeight="1" spans="2:2">
      <c r="B24663" s="62" t="str">
        <f>IF(AND('领用录入（明细）'!D:D=$F$4,'领用录入（明细）'!C:C&gt;=$J$4,'领用录入（明细）'!C:C&lt;=$L$4),ROW(),"-")</f>
        <v>-</v>
      </c>
    </row>
    <row r="24664" customHeight="1" spans="2:2">
      <c r="B24664" s="62" t="str">
        <f>IF(AND('领用录入（明细）'!D:D=$F$4,'领用录入（明细）'!C:C&gt;=$J$4,'领用录入（明细）'!C:C&lt;=$L$4),ROW(),"-")</f>
        <v>-</v>
      </c>
    </row>
    <row r="24665" customHeight="1" spans="2:2">
      <c r="B24665" s="62" t="str">
        <f>IF(AND('领用录入（明细）'!D:D=$F$4,'领用录入（明细）'!C:C&gt;=$J$4,'领用录入（明细）'!C:C&lt;=$L$4),ROW(),"-")</f>
        <v>-</v>
      </c>
    </row>
    <row r="24666" customHeight="1" spans="2:2">
      <c r="B24666" s="62" t="str">
        <f>IF(AND('领用录入（明细）'!D:D=$F$4,'领用录入（明细）'!C:C&gt;=$J$4,'领用录入（明细）'!C:C&lt;=$L$4),ROW(),"-")</f>
        <v>-</v>
      </c>
    </row>
    <row r="24667" customHeight="1" spans="2:2">
      <c r="B24667" s="62" t="str">
        <f>IF(AND('领用录入（明细）'!D:D=$F$4,'领用录入（明细）'!C:C&gt;=$J$4,'领用录入（明细）'!C:C&lt;=$L$4),ROW(),"-")</f>
        <v>-</v>
      </c>
    </row>
    <row r="24668" customHeight="1" spans="2:2">
      <c r="B24668" s="62" t="str">
        <f>IF(AND('领用录入（明细）'!D:D=$F$4,'领用录入（明细）'!C:C&gt;=$J$4,'领用录入（明细）'!C:C&lt;=$L$4),ROW(),"-")</f>
        <v>-</v>
      </c>
    </row>
    <row r="24669" customHeight="1" spans="2:2">
      <c r="B24669" s="62" t="str">
        <f>IF(AND('领用录入（明细）'!D:D=$F$4,'领用录入（明细）'!C:C&gt;=$J$4,'领用录入（明细）'!C:C&lt;=$L$4),ROW(),"-")</f>
        <v>-</v>
      </c>
    </row>
    <row r="24670" customHeight="1" spans="2:2">
      <c r="B24670" s="62" t="str">
        <f>IF(AND('领用录入（明细）'!D:D=$F$4,'领用录入（明细）'!C:C&gt;=$J$4,'领用录入（明细）'!C:C&lt;=$L$4),ROW(),"-")</f>
        <v>-</v>
      </c>
    </row>
    <row r="24671" customHeight="1" spans="2:2">
      <c r="B24671" s="62" t="str">
        <f>IF(AND('领用录入（明细）'!D:D=$F$4,'领用录入（明细）'!C:C&gt;=$J$4,'领用录入（明细）'!C:C&lt;=$L$4),ROW(),"-")</f>
        <v>-</v>
      </c>
    </row>
    <row r="24672" customHeight="1" spans="2:2">
      <c r="B24672" s="62" t="str">
        <f>IF(AND('领用录入（明细）'!D:D=$F$4,'领用录入（明细）'!C:C&gt;=$J$4,'领用录入（明细）'!C:C&lt;=$L$4),ROW(),"-")</f>
        <v>-</v>
      </c>
    </row>
    <row r="24673" customHeight="1" spans="2:2">
      <c r="B24673" s="62" t="str">
        <f>IF(AND('领用录入（明细）'!D:D=$F$4,'领用录入（明细）'!C:C&gt;=$J$4,'领用录入（明细）'!C:C&lt;=$L$4),ROW(),"-")</f>
        <v>-</v>
      </c>
    </row>
    <row r="24674" customHeight="1" spans="2:2">
      <c r="B24674" s="62" t="str">
        <f>IF(AND('领用录入（明细）'!D:D=$F$4,'领用录入（明细）'!C:C&gt;=$J$4,'领用录入（明细）'!C:C&lt;=$L$4),ROW(),"-")</f>
        <v>-</v>
      </c>
    </row>
    <row r="24675" customHeight="1" spans="2:2">
      <c r="B24675" s="62" t="str">
        <f>IF(AND('领用录入（明细）'!D:D=$F$4,'领用录入（明细）'!C:C&gt;=$J$4,'领用录入（明细）'!C:C&lt;=$L$4),ROW(),"-")</f>
        <v>-</v>
      </c>
    </row>
    <row r="24676" customHeight="1" spans="2:2">
      <c r="B24676" s="62" t="str">
        <f>IF(AND('领用录入（明细）'!D:D=$F$4,'领用录入（明细）'!C:C&gt;=$J$4,'领用录入（明细）'!C:C&lt;=$L$4),ROW(),"-")</f>
        <v>-</v>
      </c>
    </row>
    <row r="24677" customHeight="1" spans="2:2">
      <c r="B24677" s="62" t="str">
        <f>IF(AND('领用录入（明细）'!D:D=$F$4,'领用录入（明细）'!C:C&gt;=$J$4,'领用录入（明细）'!C:C&lt;=$L$4),ROW(),"-")</f>
        <v>-</v>
      </c>
    </row>
    <row r="24678" customHeight="1" spans="2:2">
      <c r="B24678" s="62" t="str">
        <f>IF(AND('领用录入（明细）'!D:D=$F$4,'领用录入（明细）'!C:C&gt;=$J$4,'领用录入（明细）'!C:C&lt;=$L$4),ROW(),"-")</f>
        <v>-</v>
      </c>
    </row>
    <row r="24679" customHeight="1" spans="2:2">
      <c r="B24679" s="62" t="str">
        <f>IF(AND('领用录入（明细）'!D:D=$F$4,'领用录入（明细）'!C:C&gt;=$J$4,'领用录入（明细）'!C:C&lt;=$L$4),ROW(),"-")</f>
        <v>-</v>
      </c>
    </row>
    <row r="24680" customHeight="1" spans="2:2">
      <c r="B24680" s="62" t="str">
        <f>IF(AND('领用录入（明细）'!D:D=$F$4,'领用录入（明细）'!C:C&gt;=$J$4,'领用录入（明细）'!C:C&lt;=$L$4),ROW(),"-")</f>
        <v>-</v>
      </c>
    </row>
    <row r="24681" customHeight="1" spans="2:2">
      <c r="B24681" s="62" t="str">
        <f>IF(AND('领用录入（明细）'!D:D=$F$4,'领用录入（明细）'!C:C&gt;=$J$4,'领用录入（明细）'!C:C&lt;=$L$4),ROW(),"-")</f>
        <v>-</v>
      </c>
    </row>
    <row r="24682" customHeight="1" spans="2:2">
      <c r="B24682" s="62" t="str">
        <f>IF(AND('领用录入（明细）'!D:D=$F$4,'领用录入（明细）'!C:C&gt;=$J$4,'领用录入（明细）'!C:C&lt;=$L$4),ROW(),"-")</f>
        <v>-</v>
      </c>
    </row>
    <row r="24683" customHeight="1" spans="2:2">
      <c r="B24683" s="62" t="str">
        <f>IF(AND('领用录入（明细）'!D:D=$F$4,'领用录入（明细）'!C:C&gt;=$J$4,'领用录入（明细）'!C:C&lt;=$L$4),ROW(),"-")</f>
        <v>-</v>
      </c>
    </row>
    <row r="24684" customHeight="1" spans="2:2">
      <c r="B24684" s="62" t="str">
        <f>IF(AND('领用录入（明细）'!D:D=$F$4,'领用录入（明细）'!C:C&gt;=$J$4,'领用录入（明细）'!C:C&lt;=$L$4),ROW(),"-")</f>
        <v>-</v>
      </c>
    </row>
    <row r="24685" customHeight="1" spans="2:2">
      <c r="B24685" s="62" t="str">
        <f>IF(AND('领用录入（明细）'!D:D=$F$4,'领用录入（明细）'!C:C&gt;=$J$4,'领用录入（明细）'!C:C&lt;=$L$4),ROW(),"-")</f>
        <v>-</v>
      </c>
    </row>
    <row r="24686" customHeight="1" spans="2:2">
      <c r="B24686" s="62" t="str">
        <f>IF(AND('领用录入（明细）'!D:D=$F$4,'领用录入（明细）'!C:C&gt;=$J$4,'领用录入（明细）'!C:C&lt;=$L$4),ROW(),"-")</f>
        <v>-</v>
      </c>
    </row>
    <row r="24687" customHeight="1" spans="2:2">
      <c r="B24687" s="62" t="str">
        <f>IF(AND('领用录入（明细）'!D:D=$F$4,'领用录入（明细）'!C:C&gt;=$J$4,'领用录入（明细）'!C:C&lt;=$L$4),ROW(),"-")</f>
        <v>-</v>
      </c>
    </row>
    <row r="24688" customHeight="1" spans="2:2">
      <c r="B24688" s="62" t="str">
        <f>IF(AND('领用录入（明细）'!D:D=$F$4,'领用录入（明细）'!C:C&gt;=$J$4,'领用录入（明细）'!C:C&lt;=$L$4),ROW(),"-")</f>
        <v>-</v>
      </c>
    </row>
    <row r="24689" customHeight="1" spans="2:2">
      <c r="B24689" s="62" t="str">
        <f>IF(AND('领用录入（明细）'!D:D=$F$4,'领用录入（明细）'!C:C&gt;=$J$4,'领用录入（明细）'!C:C&lt;=$L$4),ROW(),"-")</f>
        <v>-</v>
      </c>
    </row>
    <row r="24690" customHeight="1" spans="2:2">
      <c r="B24690" s="62" t="str">
        <f>IF(AND('领用录入（明细）'!D:D=$F$4,'领用录入（明细）'!C:C&gt;=$J$4,'领用录入（明细）'!C:C&lt;=$L$4),ROW(),"-")</f>
        <v>-</v>
      </c>
    </row>
    <row r="24691" customHeight="1" spans="2:2">
      <c r="B24691" s="62" t="str">
        <f>IF(AND('领用录入（明细）'!D:D=$F$4,'领用录入（明细）'!C:C&gt;=$J$4,'领用录入（明细）'!C:C&lt;=$L$4),ROW(),"-")</f>
        <v>-</v>
      </c>
    </row>
    <row r="24692" customHeight="1" spans="2:2">
      <c r="B24692" s="62" t="str">
        <f>IF(AND('领用录入（明细）'!D:D=$F$4,'领用录入（明细）'!C:C&gt;=$J$4,'领用录入（明细）'!C:C&lt;=$L$4),ROW(),"-")</f>
        <v>-</v>
      </c>
    </row>
    <row r="24693" customHeight="1" spans="2:2">
      <c r="B24693" s="62" t="str">
        <f>IF(AND('领用录入（明细）'!D:D=$F$4,'领用录入（明细）'!C:C&gt;=$J$4,'领用录入（明细）'!C:C&lt;=$L$4),ROW(),"-")</f>
        <v>-</v>
      </c>
    </row>
    <row r="24694" customHeight="1" spans="2:2">
      <c r="B24694" s="62" t="str">
        <f>IF(AND('领用录入（明细）'!D:D=$F$4,'领用录入（明细）'!C:C&gt;=$J$4,'领用录入（明细）'!C:C&lt;=$L$4),ROW(),"-")</f>
        <v>-</v>
      </c>
    </row>
    <row r="24695" customHeight="1" spans="2:2">
      <c r="B24695" s="62" t="str">
        <f>IF(AND('领用录入（明细）'!D:D=$F$4,'领用录入（明细）'!C:C&gt;=$J$4,'领用录入（明细）'!C:C&lt;=$L$4),ROW(),"-")</f>
        <v>-</v>
      </c>
    </row>
    <row r="24696" customHeight="1" spans="2:2">
      <c r="B24696" s="62" t="str">
        <f>IF(AND('领用录入（明细）'!D:D=$F$4,'领用录入（明细）'!C:C&gt;=$J$4,'领用录入（明细）'!C:C&lt;=$L$4),ROW(),"-")</f>
        <v>-</v>
      </c>
    </row>
    <row r="24697" customHeight="1" spans="2:2">
      <c r="B24697" s="62" t="str">
        <f>IF(AND('领用录入（明细）'!D:D=$F$4,'领用录入（明细）'!C:C&gt;=$J$4,'领用录入（明细）'!C:C&lt;=$L$4),ROW(),"-")</f>
        <v>-</v>
      </c>
    </row>
    <row r="24698" customHeight="1" spans="2:2">
      <c r="B24698" s="62" t="str">
        <f>IF(AND('领用录入（明细）'!D:D=$F$4,'领用录入（明细）'!C:C&gt;=$J$4,'领用录入（明细）'!C:C&lt;=$L$4),ROW(),"-")</f>
        <v>-</v>
      </c>
    </row>
    <row r="24699" customHeight="1" spans="2:2">
      <c r="B24699" s="62" t="str">
        <f>IF(AND('领用录入（明细）'!D:D=$F$4,'领用录入（明细）'!C:C&gt;=$J$4,'领用录入（明细）'!C:C&lt;=$L$4),ROW(),"-")</f>
        <v>-</v>
      </c>
    </row>
    <row r="24700" customHeight="1" spans="2:2">
      <c r="B24700" s="62" t="str">
        <f>IF(AND('领用录入（明细）'!D:D=$F$4,'领用录入（明细）'!C:C&gt;=$J$4,'领用录入（明细）'!C:C&lt;=$L$4),ROW(),"-")</f>
        <v>-</v>
      </c>
    </row>
    <row r="24701" customHeight="1" spans="2:2">
      <c r="B24701" s="62" t="str">
        <f>IF(AND('领用录入（明细）'!D:D=$F$4,'领用录入（明细）'!C:C&gt;=$J$4,'领用录入（明细）'!C:C&lt;=$L$4),ROW(),"-")</f>
        <v>-</v>
      </c>
    </row>
    <row r="24702" customHeight="1" spans="2:2">
      <c r="B24702" s="62" t="str">
        <f>IF(AND('领用录入（明细）'!D:D=$F$4,'领用录入（明细）'!C:C&gt;=$J$4,'领用录入（明细）'!C:C&lt;=$L$4),ROW(),"-")</f>
        <v>-</v>
      </c>
    </row>
    <row r="24703" customHeight="1" spans="2:2">
      <c r="B24703" s="62" t="str">
        <f>IF(AND('领用录入（明细）'!D:D=$F$4,'领用录入（明细）'!C:C&gt;=$J$4,'领用录入（明细）'!C:C&lt;=$L$4),ROW(),"-")</f>
        <v>-</v>
      </c>
    </row>
    <row r="24704" customHeight="1" spans="2:2">
      <c r="B24704" s="62" t="str">
        <f>IF(AND('领用录入（明细）'!D:D=$F$4,'领用录入（明细）'!C:C&gt;=$J$4,'领用录入（明细）'!C:C&lt;=$L$4),ROW(),"-")</f>
        <v>-</v>
      </c>
    </row>
    <row r="24705" customHeight="1" spans="2:2">
      <c r="B24705" s="62" t="str">
        <f>IF(AND('领用录入（明细）'!D:D=$F$4,'领用录入（明细）'!C:C&gt;=$J$4,'领用录入（明细）'!C:C&lt;=$L$4),ROW(),"-")</f>
        <v>-</v>
      </c>
    </row>
    <row r="24706" customHeight="1" spans="2:2">
      <c r="B24706" s="62" t="str">
        <f>IF(AND('领用录入（明细）'!D:D=$F$4,'领用录入（明细）'!C:C&gt;=$J$4,'领用录入（明细）'!C:C&lt;=$L$4),ROW(),"-")</f>
        <v>-</v>
      </c>
    </row>
    <row r="24707" customHeight="1" spans="2:2">
      <c r="B24707" s="62" t="str">
        <f>IF(AND('领用录入（明细）'!D:D=$F$4,'领用录入（明细）'!C:C&gt;=$J$4,'领用录入（明细）'!C:C&lt;=$L$4),ROW(),"-")</f>
        <v>-</v>
      </c>
    </row>
    <row r="24708" customHeight="1" spans="2:2">
      <c r="B24708" s="62" t="str">
        <f>IF(AND('领用录入（明细）'!D:D=$F$4,'领用录入（明细）'!C:C&gt;=$J$4,'领用录入（明细）'!C:C&lt;=$L$4),ROW(),"-")</f>
        <v>-</v>
      </c>
    </row>
    <row r="24709" customHeight="1" spans="2:2">
      <c r="B24709" s="62" t="str">
        <f>IF(AND('领用录入（明细）'!D:D=$F$4,'领用录入（明细）'!C:C&gt;=$J$4,'领用录入（明细）'!C:C&lt;=$L$4),ROW(),"-")</f>
        <v>-</v>
      </c>
    </row>
    <row r="24710" customHeight="1" spans="2:2">
      <c r="B24710" s="62" t="str">
        <f>IF(AND('领用录入（明细）'!D:D=$F$4,'领用录入（明细）'!C:C&gt;=$J$4,'领用录入（明细）'!C:C&lt;=$L$4),ROW(),"-")</f>
        <v>-</v>
      </c>
    </row>
    <row r="24711" customHeight="1" spans="2:2">
      <c r="B24711" s="62" t="str">
        <f>IF(AND('领用录入（明细）'!D:D=$F$4,'领用录入（明细）'!C:C&gt;=$J$4,'领用录入（明细）'!C:C&lt;=$L$4),ROW(),"-")</f>
        <v>-</v>
      </c>
    </row>
    <row r="24712" customHeight="1" spans="2:2">
      <c r="B24712" s="62" t="str">
        <f>IF(AND('领用录入（明细）'!D:D=$F$4,'领用录入（明细）'!C:C&gt;=$J$4,'领用录入（明细）'!C:C&lt;=$L$4),ROW(),"-")</f>
        <v>-</v>
      </c>
    </row>
    <row r="24713" customHeight="1" spans="2:2">
      <c r="B24713" s="62" t="str">
        <f>IF(AND('领用录入（明细）'!D:D=$F$4,'领用录入（明细）'!C:C&gt;=$J$4,'领用录入（明细）'!C:C&lt;=$L$4),ROW(),"-")</f>
        <v>-</v>
      </c>
    </row>
    <row r="24714" customHeight="1" spans="2:2">
      <c r="B24714" s="62" t="str">
        <f>IF(AND('领用录入（明细）'!D:D=$F$4,'领用录入（明细）'!C:C&gt;=$J$4,'领用录入（明细）'!C:C&lt;=$L$4),ROW(),"-")</f>
        <v>-</v>
      </c>
    </row>
    <row r="24715" customHeight="1" spans="2:2">
      <c r="B24715" s="62" t="str">
        <f>IF(AND('领用录入（明细）'!D:D=$F$4,'领用录入（明细）'!C:C&gt;=$J$4,'领用录入（明细）'!C:C&lt;=$L$4),ROW(),"-")</f>
        <v>-</v>
      </c>
    </row>
    <row r="24716" customHeight="1" spans="2:2">
      <c r="B24716" s="62" t="str">
        <f>IF(AND('领用录入（明细）'!D:D=$F$4,'领用录入（明细）'!C:C&gt;=$J$4,'领用录入（明细）'!C:C&lt;=$L$4),ROW(),"-")</f>
        <v>-</v>
      </c>
    </row>
    <row r="24717" customHeight="1" spans="2:2">
      <c r="B24717" s="62" t="str">
        <f>IF(AND('领用录入（明细）'!D:D=$F$4,'领用录入（明细）'!C:C&gt;=$J$4,'领用录入（明细）'!C:C&lt;=$L$4),ROW(),"-")</f>
        <v>-</v>
      </c>
    </row>
    <row r="24718" customHeight="1" spans="2:2">
      <c r="B24718" s="62" t="str">
        <f>IF(AND('领用录入（明细）'!D:D=$F$4,'领用录入（明细）'!C:C&gt;=$J$4,'领用录入（明细）'!C:C&lt;=$L$4),ROW(),"-")</f>
        <v>-</v>
      </c>
    </row>
    <row r="24719" customHeight="1" spans="2:2">
      <c r="B24719" s="62" t="str">
        <f>IF(AND('领用录入（明细）'!D:D=$F$4,'领用录入（明细）'!C:C&gt;=$J$4,'领用录入（明细）'!C:C&lt;=$L$4),ROW(),"-")</f>
        <v>-</v>
      </c>
    </row>
    <row r="24720" customHeight="1" spans="2:2">
      <c r="B24720" s="62" t="str">
        <f>IF(AND('领用录入（明细）'!D:D=$F$4,'领用录入（明细）'!C:C&gt;=$J$4,'领用录入（明细）'!C:C&lt;=$L$4),ROW(),"-")</f>
        <v>-</v>
      </c>
    </row>
    <row r="24721" customHeight="1" spans="2:2">
      <c r="B24721" s="62" t="str">
        <f>IF(AND('领用录入（明细）'!D:D=$F$4,'领用录入（明细）'!C:C&gt;=$J$4,'领用录入（明细）'!C:C&lt;=$L$4),ROW(),"-")</f>
        <v>-</v>
      </c>
    </row>
    <row r="24722" customHeight="1" spans="2:2">
      <c r="B24722" s="62" t="str">
        <f>IF(AND('领用录入（明细）'!D:D=$F$4,'领用录入（明细）'!C:C&gt;=$J$4,'领用录入（明细）'!C:C&lt;=$L$4),ROW(),"-")</f>
        <v>-</v>
      </c>
    </row>
    <row r="24723" customHeight="1" spans="2:2">
      <c r="B24723" s="62" t="str">
        <f>IF(AND('领用录入（明细）'!D:D=$F$4,'领用录入（明细）'!C:C&gt;=$J$4,'领用录入（明细）'!C:C&lt;=$L$4),ROW(),"-")</f>
        <v>-</v>
      </c>
    </row>
    <row r="24724" customHeight="1" spans="2:2">
      <c r="B24724" s="62" t="str">
        <f>IF(AND('领用录入（明细）'!D:D=$F$4,'领用录入（明细）'!C:C&gt;=$J$4,'领用录入（明细）'!C:C&lt;=$L$4),ROW(),"-")</f>
        <v>-</v>
      </c>
    </row>
    <row r="24725" customHeight="1" spans="2:2">
      <c r="B24725" s="62" t="str">
        <f>IF(AND('领用录入（明细）'!D:D=$F$4,'领用录入（明细）'!C:C&gt;=$J$4,'领用录入（明细）'!C:C&lt;=$L$4),ROW(),"-")</f>
        <v>-</v>
      </c>
    </row>
    <row r="24726" customHeight="1" spans="2:2">
      <c r="B24726" s="62" t="str">
        <f>IF(AND('领用录入（明细）'!D:D=$F$4,'领用录入（明细）'!C:C&gt;=$J$4,'领用录入（明细）'!C:C&lt;=$L$4),ROW(),"-")</f>
        <v>-</v>
      </c>
    </row>
    <row r="24727" customHeight="1" spans="2:2">
      <c r="B24727" s="62" t="str">
        <f>IF(AND('领用录入（明细）'!D:D=$F$4,'领用录入（明细）'!C:C&gt;=$J$4,'领用录入（明细）'!C:C&lt;=$L$4),ROW(),"-")</f>
        <v>-</v>
      </c>
    </row>
    <row r="24728" customHeight="1" spans="2:2">
      <c r="B24728" s="62" t="str">
        <f>IF(AND('领用录入（明细）'!D:D=$F$4,'领用录入（明细）'!C:C&gt;=$J$4,'领用录入（明细）'!C:C&lt;=$L$4),ROW(),"-")</f>
        <v>-</v>
      </c>
    </row>
    <row r="24729" customHeight="1" spans="2:2">
      <c r="B24729" s="62" t="str">
        <f>IF(AND('领用录入（明细）'!D:D=$F$4,'领用录入（明细）'!C:C&gt;=$J$4,'领用录入（明细）'!C:C&lt;=$L$4),ROW(),"-")</f>
        <v>-</v>
      </c>
    </row>
    <row r="24730" customHeight="1" spans="2:2">
      <c r="B24730" s="62" t="str">
        <f>IF(AND('领用录入（明细）'!D:D=$F$4,'领用录入（明细）'!C:C&gt;=$J$4,'领用录入（明细）'!C:C&lt;=$L$4),ROW(),"-")</f>
        <v>-</v>
      </c>
    </row>
    <row r="24731" customHeight="1" spans="2:2">
      <c r="B24731" s="62" t="str">
        <f>IF(AND('领用录入（明细）'!D:D=$F$4,'领用录入（明细）'!C:C&gt;=$J$4,'领用录入（明细）'!C:C&lt;=$L$4),ROW(),"-")</f>
        <v>-</v>
      </c>
    </row>
    <row r="24732" customHeight="1" spans="2:2">
      <c r="B24732" s="62" t="str">
        <f>IF(AND('领用录入（明细）'!D:D=$F$4,'领用录入（明细）'!C:C&gt;=$J$4,'领用录入（明细）'!C:C&lt;=$L$4),ROW(),"-")</f>
        <v>-</v>
      </c>
    </row>
    <row r="24733" customHeight="1" spans="2:2">
      <c r="B24733" s="62" t="str">
        <f>IF(AND('领用录入（明细）'!D:D=$F$4,'领用录入（明细）'!C:C&gt;=$J$4,'领用录入（明细）'!C:C&lt;=$L$4),ROW(),"-")</f>
        <v>-</v>
      </c>
    </row>
    <row r="24734" customHeight="1" spans="2:2">
      <c r="B24734" s="62" t="str">
        <f>IF(AND('领用录入（明细）'!D:D=$F$4,'领用录入（明细）'!C:C&gt;=$J$4,'领用录入（明细）'!C:C&lt;=$L$4),ROW(),"-")</f>
        <v>-</v>
      </c>
    </row>
    <row r="24735" customHeight="1" spans="2:2">
      <c r="B24735" s="62" t="str">
        <f>IF(AND('领用录入（明细）'!D:D=$F$4,'领用录入（明细）'!C:C&gt;=$J$4,'领用录入（明细）'!C:C&lt;=$L$4),ROW(),"-")</f>
        <v>-</v>
      </c>
    </row>
    <row r="24736" customHeight="1" spans="2:2">
      <c r="B24736" s="62" t="str">
        <f>IF(AND('领用录入（明细）'!D:D=$F$4,'领用录入（明细）'!C:C&gt;=$J$4,'领用录入（明细）'!C:C&lt;=$L$4),ROW(),"-")</f>
        <v>-</v>
      </c>
    </row>
    <row r="24737" customHeight="1" spans="2:2">
      <c r="B24737" s="62" t="str">
        <f>IF(AND('领用录入（明细）'!D:D=$F$4,'领用录入（明细）'!C:C&gt;=$J$4,'领用录入（明细）'!C:C&lt;=$L$4),ROW(),"-")</f>
        <v>-</v>
      </c>
    </row>
    <row r="24738" customHeight="1" spans="2:2">
      <c r="B24738" s="62" t="str">
        <f>IF(AND('领用录入（明细）'!D:D=$F$4,'领用录入（明细）'!C:C&gt;=$J$4,'领用录入（明细）'!C:C&lt;=$L$4),ROW(),"-")</f>
        <v>-</v>
      </c>
    </row>
    <row r="24739" customHeight="1" spans="2:2">
      <c r="B24739" s="62" t="str">
        <f>IF(AND('领用录入（明细）'!D:D=$F$4,'领用录入（明细）'!C:C&gt;=$J$4,'领用录入（明细）'!C:C&lt;=$L$4),ROW(),"-")</f>
        <v>-</v>
      </c>
    </row>
    <row r="24740" customHeight="1" spans="2:2">
      <c r="B24740" s="62" t="str">
        <f>IF(AND('领用录入（明细）'!D:D=$F$4,'领用录入（明细）'!C:C&gt;=$J$4,'领用录入（明细）'!C:C&lt;=$L$4),ROW(),"-")</f>
        <v>-</v>
      </c>
    </row>
    <row r="24741" customHeight="1" spans="2:2">
      <c r="B24741" s="62" t="str">
        <f>IF(AND('领用录入（明细）'!D:D=$F$4,'领用录入（明细）'!C:C&gt;=$J$4,'领用录入（明细）'!C:C&lt;=$L$4),ROW(),"-")</f>
        <v>-</v>
      </c>
    </row>
    <row r="24742" customHeight="1" spans="2:2">
      <c r="B24742" s="62" t="str">
        <f>IF(AND('领用录入（明细）'!D:D=$F$4,'领用录入（明细）'!C:C&gt;=$J$4,'领用录入（明细）'!C:C&lt;=$L$4),ROW(),"-")</f>
        <v>-</v>
      </c>
    </row>
    <row r="24743" customHeight="1" spans="2:2">
      <c r="B24743" s="62" t="str">
        <f>IF(AND('领用录入（明细）'!D:D=$F$4,'领用录入（明细）'!C:C&gt;=$J$4,'领用录入（明细）'!C:C&lt;=$L$4),ROW(),"-")</f>
        <v>-</v>
      </c>
    </row>
    <row r="24744" customHeight="1" spans="2:2">
      <c r="B24744" s="62" t="str">
        <f>IF(AND('领用录入（明细）'!D:D=$F$4,'领用录入（明细）'!C:C&gt;=$J$4,'领用录入（明细）'!C:C&lt;=$L$4),ROW(),"-")</f>
        <v>-</v>
      </c>
    </row>
    <row r="24745" customHeight="1" spans="2:2">
      <c r="B24745" s="62" t="str">
        <f>IF(AND('领用录入（明细）'!D:D=$F$4,'领用录入（明细）'!C:C&gt;=$J$4,'领用录入（明细）'!C:C&lt;=$L$4),ROW(),"-")</f>
        <v>-</v>
      </c>
    </row>
    <row r="24746" customHeight="1" spans="2:2">
      <c r="B24746" s="62" t="str">
        <f>IF(AND('领用录入（明细）'!D:D=$F$4,'领用录入（明细）'!C:C&gt;=$J$4,'领用录入（明细）'!C:C&lt;=$L$4),ROW(),"-")</f>
        <v>-</v>
      </c>
    </row>
    <row r="24747" customHeight="1" spans="2:2">
      <c r="B24747" s="62" t="str">
        <f>IF(AND('领用录入（明细）'!D:D=$F$4,'领用录入（明细）'!C:C&gt;=$J$4,'领用录入（明细）'!C:C&lt;=$L$4),ROW(),"-")</f>
        <v>-</v>
      </c>
    </row>
    <row r="24748" customHeight="1" spans="2:2">
      <c r="B24748" s="62" t="str">
        <f>IF(AND('领用录入（明细）'!D:D=$F$4,'领用录入（明细）'!C:C&gt;=$J$4,'领用录入（明细）'!C:C&lt;=$L$4),ROW(),"-")</f>
        <v>-</v>
      </c>
    </row>
    <row r="24749" customHeight="1" spans="2:2">
      <c r="B24749" s="62" t="str">
        <f>IF(AND('领用录入（明细）'!D:D=$F$4,'领用录入（明细）'!C:C&gt;=$J$4,'领用录入（明细）'!C:C&lt;=$L$4),ROW(),"-")</f>
        <v>-</v>
      </c>
    </row>
    <row r="24750" customHeight="1" spans="2:2">
      <c r="B24750" s="62" t="str">
        <f>IF(AND('领用录入（明细）'!D:D=$F$4,'领用录入（明细）'!C:C&gt;=$J$4,'领用录入（明细）'!C:C&lt;=$L$4),ROW(),"-")</f>
        <v>-</v>
      </c>
    </row>
    <row r="24751" customHeight="1" spans="2:2">
      <c r="B24751" s="62" t="str">
        <f>IF(AND('领用录入（明细）'!D:D=$F$4,'领用录入（明细）'!C:C&gt;=$J$4,'领用录入（明细）'!C:C&lt;=$L$4),ROW(),"-")</f>
        <v>-</v>
      </c>
    </row>
    <row r="24752" customHeight="1" spans="2:2">
      <c r="B24752" s="62" t="str">
        <f>IF(AND('领用录入（明细）'!D:D=$F$4,'领用录入（明细）'!C:C&gt;=$J$4,'领用录入（明细）'!C:C&lt;=$L$4),ROW(),"-")</f>
        <v>-</v>
      </c>
    </row>
    <row r="24753" customHeight="1" spans="2:2">
      <c r="B24753" s="62" t="str">
        <f>IF(AND('领用录入（明细）'!D:D=$F$4,'领用录入（明细）'!C:C&gt;=$J$4,'领用录入（明细）'!C:C&lt;=$L$4),ROW(),"-")</f>
        <v>-</v>
      </c>
    </row>
    <row r="24754" customHeight="1" spans="2:2">
      <c r="B24754" s="62" t="str">
        <f>IF(AND('领用录入（明细）'!D:D=$F$4,'领用录入（明细）'!C:C&gt;=$J$4,'领用录入（明细）'!C:C&lt;=$L$4),ROW(),"-")</f>
        <v>-</v>
      </c>
    </row>
    <row r="24755" customHeight="1" spans="2:2">
      <c r="B24755" s="62" t="str">
        <f>IF(AND('领用录入（明细）'!D:D=$F$4,'领用录入（明细）'!C:C&gt;=$J$4,'领用录入（明细）'!C:C&lt;=$L$4),ROW(),"-")</f>
        <v>-</v>
      </c>
    </row>
    <row r="24756" customHeight="1" spans="2:2">
      <c r="B24756" s="62" t="str">
        <f>IF(AND('领用录入（明细）'!D:D=$F$4,'领用录入（明细）'!C:C&gt;=$J$4,'领用录入（明细）'!C:C&lt;=$L$4),ROW(),"-")</f>
        <v>-</v>
      </c>
    </row>
    <row r="24757" customHeight="1" spans="2:2">
      <c r="B24757" s="62" t="str">
        <f>IF(AND('领用录入（明细）'!D:D=$F$4,'领用录入（明细）'!C:C&gt;=$J$4,'领用录入（明细）'!C:C&lt;=$L$4),ROW(),"-")</f>
        <v>-</v>
      </c>
    </row>
    <row r="24758" customHeight="1" spans="2:2">
      <c r="B24758" s="62" t="str">
        <f>IF(AND('领用录入（明细）'!D:D=$F$4,'领用录入（明细）'!C:C&gt;=$J$4,'领用录入（明细）'!C:C&lt;=$L$4),ROW(),"-")</f>
        <v>-</v>
      </c>
    </row>
    <row r="24759" customHeight="1" spans="2:2">
      <c r="B24759" s="62" t="str">
        <f>IF(AND('领用录入（明细）'!D:D=$F$4,'领用录入（明细）'!C:C&gt;=$J$4,'领用录入（明细）'!C:C&lt;=$L$4),ROW(),"-")</f>
        <v>-</v>
      </c>
    </row>
    <row r="24760" customHeight="1" spans="2:2">
      <c r="B24760" s="62" t="str">
        <f>IF(AND('领用录入（明细）'!D:D=$F$4,'领用录入（明细）'!C:C&gt;=$J$4,'领用录入（明细）'!C:C&lt;=$L$4),ROW(),"-")</f>
        <v>-</v>
      </c>
    </row>
    <row r="24761" customHeight="1" spans="2:2">
      <c r="B24761" s="62" t="str">
        <f>IF(AND('领用录入（明细）'!D:D=$F$4,'领用录入（明细）'!C:C&gt;=$J$4,'领用录入（明细）'!C:C&lt;=$L$4),ROW(),"-")</f>
        <v>-</v>
      </c>
    </row>
    <row r="24762" customHeight="1" spans="2:2">
      <c r="B24762" s="62" t="str">
        <f>IF(AND('领用录入（明细）'!D:D=$F$4,'领用录入（明细）'!C:C&gt;=$J$4,'领用录入（明细）'!C:C&lt;=$L$4),ROW(),"-")</f>
        <v>-</v>
      </c>
    </row>
    <row r="24763" customHeight="1" spans="2:2">
      <c r="B24763" s="62" t="str">
        <f>IF(AND('领用录入（明细）'!D:D=$F$4,'领用录入（明细）'!C:C&gt;=$J$4,'领用录入（明细）'!C:C&lt;=$L$4),ROW(),"-")</f>
        <v>-</v>
      </c>
    </row>
    <row r="24764" customHeight="1" spans="2:2">
      <c r="B24764" s="62" t="str">
        <f>IF(AND('领用录入（明细）'!D:D=$F$4,'领用录入（明细）'!C:C&gt;=$J$4,'领用录入（明细）'!C:C&lt;=$L$4),ROW(),"-")</f>
        <v>-</v>
      </c>
    </row>
    <row r="24765" customHeight="1" spans="2:2">
      <c r="B24765" s="62" t="str">
        <f>IF(AND('领用录入（明细）'!D:D=$F$4,'领用录入（明细）'!C:C&gt;=$J$4,'领用录入（明细）'!C:C&lt;=$L$4),ROW(),"-")</f>
        <v>-</v>
      </c>
    </row>
    <row r="24766" customHeight="1" spans="2:2">
      <c r="B24766" s="62" t="str">
        <f>IF(AND('领用录入（明细）'!D:D=$F$4,'领用录入（明细）'!C:C&gt;=$J$4,'领用录入（明细）'!C:C&lt;=$L$4),ROW(),"-")</f>
        <v>-</v>
      </c>
    </row>
    <row r="24767" customHeight="1" spans="2:2">
      <c r="B24767" s="62" t="str">
        <f>IF(AND('领用录入（明细）'!D:D=$F$4,'领用录入（明细）'!C:C&gt;=$J$4,'领用录入（明细）'!C:C&lt;=$L$4),ROW(),"-")</f>
        <v>-</v>
      </c>
    </row>
    <row r="24768" customHeight="1" spans="2:2">
      <c r="B24768" s="62" t="str">
        <f>IF(AND('领用录入（明细）'!D:D=$F$4,'领用录入（明细）'!C:C&gt;=$J$4,'领用录入（明细）'!C:C&lt;=$L$4),ROW(),"-")</f>
        <v>-</v>
      </c>
    </row>
    <row r="24769" customHeight="1" spans="2:2">
      <c r="B24769" s="62" t="str">
        <f>IF(AND('领用录入（明细）'!D:D=$F$4,'领用录入（明细）'!C:C&gt;=$J$4,'领用录入（明细）'!C:C&lt;=$L$4),ROW(),"-")</f>
        <v>-</v>
      </c>
    </row>
    <row r="24770" customHeight="1" spans="2:2">
      <c r="B24770" s="62" t="str">
        <f>IF(AND('领用录入（明细）'!D:D=$F$4,'领用录入（明细）'!C:C&gt;=$J$4,'领用录入（明细）'!C:C&lt;=$L$4),ROW(),"-")</f>
        <v>-</v>
      </c>
    </row>
    <row r="24771" customHeight="1" spans="2:2">
      <c r="B24771" s="62" t="str">
        <f>IF(AND('领用录入（明细）'!D:D=$F$4,'领用录入（明细）'!C:C&gt;=$J$4,'领用录入（明细）'!C:C&lt;=$L$4),ROW(),"-")</f>
        <v>-</v>
      </c>
    </row>
    <row r="24772" customHeight="1" spans="2:2">
      <c r="B24772" s="62" t="str">
        <f>IF(AND('领用录入（明细）'!D:D=$F$4,'领用录入（明细）'!C:C&gt;=$J$4,'领用录入（明细）'!C:C&lt;=$L$4),ROW(),"-")</f>
        <v>-</v>
      </c>
    </row>
    <row r="24773" customHeight="1" spans="2:2">
      <c r="B24773" s="62" t="str">
        <f>IF(AND('领用录入（明细）'!D:D=$F$4,'领用录入（明细）'!C:C&gt;=$J$4,'领用录入（明细）'!C:C&lt;=$L$4),ROW(),"-")</f>
        <v>-</v>
      </c>
    </row>
    <row r="24774" customHeight="1" spans="2:2">
      <c r="B24774" s="62" t="str">
        <f>IF(AND('领用录入（明细）'!D:D=$F$4,'领用录入（明细）'!C:C&gt;=$J$4,'领用录入（明细）'!C:C&lt;=$L$4),ROW(),"-")</f>
        <v>-</v>
      </c>
    </row>
    <row r="24775" customHeight="1" spans="2:2">
      <c r="B24775" s="62" t="str">
        <f>IF(AND('领用录入（明细）'!D:D=$F$4,'领用录入（明细）'!C:C&gt;=$J$4,'领用录入（明细）'!C:C&lt;=$L$4),ROW(),"-")</f>
        <v>-</v>
      </c>
    </row>
    <row r="24776" customHeight="1" spans="2:2">
      <c r="B24776" s="62" t="str">
        <f>IF(AND('领用录入（明细）'!D:D=$F$4,'领用录入（明细）'!C:C&gt;=$J$4,'领用录入（明细）'!C:C&lt;=$L$4),ROW(),"-")</f>
        <v>-</v>
      </c>
    </row>
    <row r="24777" customHeight="1" spans="2:2">
      <c r="B24777" s="62" t="str">
        <f>IF(AND('领用录入（明细）'!D:D=$F$4,'领用录入（明细）'!C:C&gt;=$J$4,'领用录入（明细）'!C:C&lt;=$L$4),ROW(),"-")</f>
        <v>-</v>
      </c>
    </row>
    <row r="24778" customHeight="1" spans="2:2">
      <c r="B24778" s="62" t="str">
        <f>IF(AND('领用录入（明细）'!D:D=$F$4,'领用录入（明细）'!C:C&gt;=$J$4,'领用录入（明细）'!C:C&lt;=$L$4),ROW(),"-")</f>
        <v>-</v>
      </c>
    </row>
    <row r="24779" customHeight="1" spans="2:2">
      <c r="B24779" s="62" t="str">
        <f>IF(AND('领用录入（明细）'!D:D=$F$4,'领用录入（明细）'!C:C&gt;=$J$4,'领用录入（明细）'!C:C&lt;=$L$4),ROW(),"-")</f>
        <v>-</v>
      </c>
    </row>
    <row r="24780" customHeight="1" spans="2:2">
      <c r="B24780" s="62" t="str">
        <f>IF(AND('领用录入（明细）'!D:D=$F$4,'领用录入（明细）'!C:C&gt;=$J$4,'领用录入（明细）'!C:C&lt;=$L$4),ROW(),"-")</f>
        <v>-</v>
      </c>
    </row>
    <row r="24781" customHeight="1" spans="2:2">
      <c r="B24781" s="62" t="str">
        <f>IF(AND('领用录入（明细）'!D:D=$F$4,'领用录入（明细）'!C:C&gt;=$J$4,'领用录入（明细）'!C:C&lt;=$L$4),ROW(),"-")</f>
        <v>-</v>
      </c>
    </row>
    <row r="24782" customHeight="1" spans="2:2">
      <c r="B24782" s="62" t="str">
        <f>IF(AND('领用录入（明细）'!D:D=$F$4,'领用录入（明细）'!C:C&gt;=$J$4,'领用录入（明细）'!C:C&lt;=$L$4),ROW(),"-")</f>
        <v>-</v>
      </c>
    </row>
    <row r="24783" customHeight="1" spans="2:2">
      <c r="B24783" s="62" t="str">
        <f>IF(AND('领用录入（明细）'!D:D=$F$4,'领用录入（明细）'!C:C&gt;=$J$4,'领用录入（明细）'!C:C&lt;=$L$4),ROW(),"-")</f>
        <v>-</v>
      </c>
    </row>
    <row r="24784" customHeight="1" spans="2:2">
      <c r="B24784" s="62" t="str">
        <f>IF(AND('领用录入（明细）'!D:D=$F$4,'领用录入（明细）'!C:C&gt;=$J$4,'领用录入（明细）'!C:C&lt;=$L$4),ROW(),"-")</f>
        <v>-</v>
      </c>
    </row>
    <row r="24785" customHeight="1" spans="2:2">
      <c r="B24785" s="62" t="str">
        <f>IF(AND('领用录入（明细）'!D:D=$F$4,'领用录入（明细）'!C:C&gt;=$J$4,'领用录入（明细）'!C:C&lt;=$L$4),ROW(),"-")</f>
        <v>-</v>
      </c>
    </row>
    <row r="24786" customHeight="1" spans="2:2">
      <c r="B24786" s="62" t="str">
        <f>IF(AND('领用录入（明细）'!D:D=$F$4,'领用录入（明细）'!C:C&gt;=$J$4,'领用录入（明细）'!C:C&lt;=$L$4),ROW(),"-")</f>
        <v>-</v>
      </c>
    </row>
    <row r="24787" customHeight="1" spans="2:2">
      <c r="B24787" s="62" t="str">
        <f>IF(AND('领用录入（明细）'!D:D=$F$4,'领用录入（明细）'!C:C&gt;=$J$4,'领用录入（明细）'!C:C&lt;=$L$4),ROW(),"-")</f>
        <v>-</v>
      </c>
    </row>
    <row r="24788" customHeight="1" spans="2:2">
      <c r="B24788" s="62" t="str">
        <f>IF(AND('领用录入（明细）'!D:D=$F$4,'领用录入（明细）'!C:C&gt;=$J$4,'领用录入（明细）'!C:C&lt;=$L$4),ROW(),"-")</f>
        <v>-</v>
      </c>
    </row>
    <row r="24789" customHeight="1" spans="2:2">
      <c r="B24789" s="62" t="str">
        <f>IF(AND('领用录入（明细）'!D:D=$F$4,'领用录入（明细）'!C:C&gt;=$J$4,'领用录入（明细）'!C:C&lt;=$L$4),ROW(),"-")</f>
        <v>-</v>
      </c>
    </row>
    <row r="24790" customHeight="1" spans="2:2">
      <c r="B24790" s="62" t="str">
        <f>IF(AND('领用录入（明细）'!D:D=$F$4,'领用录入（明细）'!C:C&gt;=$J$4,'领用录入（明细）'!C:C&lt;=$L$4),ROW(),"-")</f>
        <v>-</v>
      </c>
    </row>
    <row r="24791" customHeight="1" spans="2:2">
      <c r="B24791" s="62" t="str">
        <f>IF(AND('领用录入（明细）'!D:D=$F$4,'领用录入（明细）'!C:C&gt;=$J$4,'领用录入（明细）'!C:C&lt;=$L$4),ROW(),"-")</f>
        <v>-</v>
      </c>
    </row>
    <row r="24792" customHeight="1" spans="2:2">
      <c r="B24792" s="62" t="str">
        <f>IF(AND('领用录入（明细）'!D:D=$F$4,'领用录入（明细）'!C:C&gt;=$J$4,'领用录入（明细）'!C:C&lt;=$L$4),ROW(),"-")</f>
        <v>-</v>
      </c>
    </row>
    <row r="24793" customHeight="1" spans="2:2">
      <c r="B24793" s="62" t="str">
        <f>IF(AND('领用录入（明细）'!D:D=$F$4,'领用录入（明细）'!C:C&gt;=$J$4,'领用录入（明细）'!C:C&lt;=$L$4),ROW(),"-")</f>
        <v>-</v>
      </c>
    </row>
    <row r="24794" customHeight="1" spans="2:2">
      <c r="B24794" s="62" t="str">
        <f>IF(AND('领用录入（明细）'!D:D=$F$4,'领用录入（明细）'!C:C&gt;=$J$4,'领用录入（明细）'!C:C&lt;=$L$4),ROW(),"-")</f>
        <v>-</v>
      </c>
    </row>
    <row r="24795" customHeight="1" spans="2:2">
      <c r="B24795" s="62" t="str">
        <f>IF(AND('领用录入（明细）'!D:D=$F$4,'领用录入（明细）'!C:C&gt;=$J$4,'领用录入（明细）'!C:C&lt;=$L$4),ROW(),"-")</f>
        <v>-</v>
      </c>
    </row>
    <row r="24796" customHeight="1" spans="2:2">
      <c r="B24796" s="62" t="str">
        <f>IF(AND('领用录入（明细）'!D:D=$F$4,'领用录入（明细）'!C:C&gt;=$J$4,'领用录入（明细）'!C:C&lt;=$L$4),ROW(),"-")</f>
        <v>-</v>
      </c>
    </row>
    <row r="24797" customHeight="1" spans="2:2">
      <c r="B24797" s="62" t="str">
        <f>IF(AND('领用录入（明细）'!D:D=$F$4,'领用录入（明细）'!C:C&gt;=$J$4,'领用录入（明细）'!C:C&lt;=$L$4),ROW(),"-")</f>
        <v>-</v>
      </c>
    </row>
    <row r="24798" customHeight="1" spans="2:2">
      <c r="B24798" s="62" t="str">
        <f>IF(AND('领用录入（明细）'!D:D=$F$4,'领用录入（明细）'!C:C&gt;=$J$4,'领用录入（明细）'!C:C&lt;=$L$4),ROW(),"-")</f>
        <v>-</v>
      </c>
    </row>
    <row r="24799" customHeight="1" spans="2:2">
      <c r="B24799" s="62" t="str">
        <f>IF(AND('领用录入（明细）'!D:D=$F$4,'领用录入（明细）'!C:C&gt;=$J$4,'领用录入（明细）'!C:C&lt;=$L$4),ROW(),"-")</f>
        <v>-</v>
      </c>
    </row>
    <row r="24800" customHeight="1" spans="2:2">
      <c r="B24800" s="62" t="str">
        <f>IF(AND('领用录入（明细）'!D:D=$F$4,'领用录入（明细）'!C:C&gt;=$J$4,'领用录入（明细）'!C:C&lt;=$L$4),ROW(),"-")</f>
        <v>-</v>
      </c>
    </row>
    <row r="24801" customHeight="1" spans="2:2">
      <c r="B24801" s="62" t="str">
        <f>IF(AND('领用录入（明细）'!D:D=$F$4,'领用录入（明细）'!C:C&gt;=$J$4,'领用录入（明细）'!C:C&lt;=$L$4),ROW(),"-")</f>
        <v>-</v>
      </c>
    </row>
    <row r="24802" customHeight="1" spans="2:2">
      <c r="B24802" s="62" t="str">
        <f>IF(AND('领用录入（明细）'!D:D=$F$4,'领用录入（明细）'!C:C&gt;=$J$4,'领用录入（明细）'!C:C&lt;=$L$4),ROW(),"-")</f>
        <v>-</v>
      </c>
    </row>
    <row r="24803" customHeight="1" spans="2:2">
      <c r="B24803" s="62" t="str">
        <f>IF(AND('领用录入（明细）'!D:D=$F$4,'领用录入（明细）'!C:C&gt;=$J$4,'领用录入（明细）'!C:C&lt;=$L$4),ROW(),"-")</f>
        <v>-</v>
      </c>
    </row>
    <row r="24804" customHeight="1" spans="2:2">
      <c r="B24804" s="62" t="str">
        <f>IF(AND('领用录入（明细）'!D:D=$F$4,'领用录入（明细）'!C:C&gt;=$J$4,'领用录入（明细）'!C:C&lt;=$L$4),ROW(),"-")</f>
        <v>-</v>
      </c>
    </row>
    <row r="24805" customHeight="1" spans="2:2">
      <c r="B24805" s="62" t="str">
        <f>IF(AND('领用录入（明细）'!D:D=$F$4,'领用录入（明细）'!C:C&gt;=$J$4,'领用录入（明细）'!C:C&lt;=$L$4),ROW(),"-")</f>
        <v>-</v>
      </c>
    </row>
    <row r="24806" customHeight="1" spans="2:2">
      <c r="B24806" s="62" t="str">
        <f>IF(AND('领用录入（明细）'!D:D=$F$4,'领用录入（明细）'!C:C&gt;=$J$4,'领用录入（明细）'!C:C&lt;=$L$4),ROW(),"-")</f>
        <v>-</v>
      </c>
    </row>
    <row r="24807" customHeight="1" spans="2:2">
      <c r="B24807" s="62" t="str">
        <f>IF(AND('领用录入（明细）'!D:D=$F$4,'领用录入（明细）'!C:C&gt;=$J$4,'领用录入（明细）'!C:C&lt;=$L$4),ROW(),"-")</f>
        <v>-</v>
      </c>
    </row>
    <row r="24808" customHeight="1" spans="2:2">
      <c r="B24808" s="62" t="str">
        <f>IF(AND('领用录入（明细）'!D:D=$F$4,'领用录入（明细）'!C:C&gt;=$J$4,'领用录入（明细）'!C:C&lt;=$L$4),ROW(),"-")</f>
        <v>-</v>
      </c>
    </row>
    <row r="24809" customHeight="1" spans="2:2">
      <c r="B24809" s="62" t="str">
        <f>IF(AND('领用录入（明细）'!D:D=$F$4,'领用录入（明细）'!C:C&gt;=$J$4,'领用录入（明细）'!C:C&lt;=$L$4),ROW(),"-")</f>
        <v>-</v>
      </c>
    </row>
    <row r="24810" customHeight="1" spans="2:2">
      <c r="B24810" s="62" t="str">
        <f>IF(AND('领用录入（明细）'!D:D=$F$4,'领用录入（明细）'!C:C&gt;=$J$4,'领用录入（明细）'!C:C&lt;=$L$4),ROW(),"-")</f>
        <v>-</v>
      </c>
    </row>
    <row r="24811" customHeight="1" spans="2:2">
      <c r="B24811" s="62" t="str">
        <f>IF(AND('领用录入（明细）'!D:D=$F$4,'领用录入（明细）'!C:C&gt;=$J$4,'领用录入（明细）'!C:C&lt;=$L$4),ROW(),"-")</f>
        <v>-</v>
      </c>
    </row>
    <row r="24812" customHeight="1" spans="2:2">
      <c r="B24812" s="62" t="str">
        <f>IF(AND('领用录入（明细）'!D:D=$F$4,'领用录入（明细）'!C:C&gt;=$J$4,'领用录入（明细）'!C:C&lt;=$L$4),ROW(),"-")</f>
        <v>-</v>
      </c>
    </row>
    <row r="24813" customHeight="1" spans="2:2">
      <c r="B24813" s="62" t="str">
        <f>IF(AND('领用录入（明细）'!D:D=$F$4,'领用录入（明细）'!C:C&gt;=$J$4,'领用录入（明细）'!C:C&lt;=$L$4),ROW(),"-")</f>
        <v>-</v>
      </c>
    </row>
    <row r="24814" customHeight="1" spans="2:2">
      <c r="B24814" s="62" t="str">
        <f>IF(AND('领用录入（明细）'!D:D=$F$4,'领用录入（明细）'!C:C&gt;=$J$4,'领用录入（明细）'!C:C&lt;=$L$4),ROW(),"-")</f>
        <v>-</v>
      </c>
    </row>
    <row r="24815" customHeight="1" spans="2:2">
      <c r="B24815" s="62" t="str">
        <f>IF(AND('领用录入（明细）'!D:D=$F$4,'领用录入（明细）'!C:C&gt;=$J$4,'领用录入（明细）'!C:C&lt;=$L$4),ROW(),"-")</f>
        <v>-</v>
      </c>
    </row>
    <row r="24816" customHeight="1" spans="2:2">
      <c r="B24816" s="62" t="str">
        <f>IF(AND('领用录入（明细）'!D:D=$F$4,'领用录入（明细）'!C:C&gt;=$J$4,'领用录入（明细）'!C:C&lt;=$L$4),ROW(),"-")</f>
        <v>-</v>
      </c>
    </row>
    <row r="24817" customHeight="1" spans="2:2">
      <c r="B24817" s="62" t="str">
        <f>IF(AND('领用录入（明细）'!D:D=$F$4,'领用录入（明细）'!C:C&gt;=$J$4,'领用录入（明细）'!C:C&lt;=$L$4),ROW(),"-")</f>
        <v>-</v>
      </c>
    </row>
    <row r="24818" customHeight="1" spans="2:2">
      <c r="B24818" s="62" t="str">
        <f>IF(AND('领用录入（明细）'!D:D=$F$4,'领用录入（明细）'!C:C&gt;=$J$4,'领用录入（明细）'!C:C&lt;=$L$4),ROW(),"-")</f>
        <v>-</v>
      </c>
    </row>
    <row r="24819" customHeight="1" spans="2:2">
      <c r="B24819" s="62" t="str">
        <f>IF(AND('领用录入（明细）'!D:D=$F$4,'领用录入（明细）'!C:C&gt;=$J$4,'领用录入（明细）'!C:C&lt;=$L$4),ROW(),"-")</f>
        <v>-</v>
      </c>
    </row>
    <row r="24820" customHeight="1" spans="2:2">
      <c r="B24820" s="62" t="str">
        <f>IF(AND('领用录入（明细）'!D:D=$F$4,'领用录入（明细）'!C:C&gt;=$J$4,'领用录入（明细）'!C:C&lt;=$L$4),ROW(),"-")</f>
        <v>-</v>
      </c>
    </row>
    <row r="24821" customHeight="1" spans="2:2">
      <c r="B24821" s="62" t="str">
        <f>IF(AND('领用录入（明细）'!D:D=$F$4,'领用录入（明细）'!C:C&gt;=$J$4,'领用录入（明细）'!C:C&lt;=$L$4),ROW(),"-")</f>
        <v>-</v>
      </c>
    </row>
    <row r="24822" customHeight="1" spans="2:2">
      <c r="B24822" s="62" t="str">
        <f>IF(AND('领用录入（明细）'!D:D=$F$4,'领用录入（明细）'!C:C&gt;=$J$4,'领用录入（明细）'!C:C&lt;=$L$4),ROW(),"-")</f>
        <v>-</v>
      </c>
    </row>
    <row r="24823" customHeight="1" spans="2:2">
      <c r="B24823" s="62" t="str">
        <f>IF(AND('领用录入（明细）'!D:D=$F$4,'领用录入（明细）'!C:C&gt;=$J$4,'领用录入（明细）'!C:C&lt;=$L$4),ROW(),"-")</f>
        <v>-</v>
      </c>
    </row>
    <row r="24824" customHeight="1" spans="2:2">
      <c r="B24824" s="62" t="str">
        <f>IF(AND('领用录入（明细）'!D:D=$F$4,'领用录入（明细）'!C:C&gt;=$J$4,'领用录入（明细）'!C:C&lt;=$L$4),ROW(),"-")</f>
        <v>-</v>
      </c>
    </row>
    <row r="24825" customHeight="1" spans="2:2">
      <c r="B24825" s="62" t="str">
        <f>IF(AND('领用录入（明细）'!D:D=$F$4,'领用录入（明细）'!C:C&gt;=$J$4,'领用录入（明细）'!C:C&lt;=$L$4),ROW(),"-")</f>
        <v>-</v>
      </c>
    </row>
    <row r="24826" customHeight="1" spans="2:2">
      <c r="B24826" s="62" t="str">
        <f>IF(AND('领用录入（明细）'!D:D=$F$4,'领用录入（明细）'!C:C&gt;=$J$4,'领用录入（明细）'!C:C&lt;=$L$4),ROW(),"-")</f>
        <v>-</v>
      </c>
    </row>
    <row r="24827" customHeight="1" spans="2:2">
      <c r="B24827" s="62" t="str">
        <f>IF(AND('领用录入（明细）'!D:D=$F$4,'领用录入（明细）'!C:C&gt;=$J$4,'领用录入（明细）'!C:C&lt;=$L$4),ROW(),"-")</f>
        <v>-</v>
      </c>
    </row>
    <row r="24828" customHeight="1" spans="2:2">
      <c r="B24828" s="62" t="str">
        <f>IF(AND('领用录入（明细）'!D:D=$F$4,'领用录入（明细）'!C:C&gt;=$J$4,'领用录入（明细）'!C:C&lt;=$L$4),ROW(),"-")</f>
        <v>-</v>
      </c>
    </row>
    <row r="24829" customHeight="1" spans="2:2">
      <c r="B24829" s="62" t="str">
        <f>IF(AND('领用录入（明细）'!D:D=$F$4,'领用录入（明细）'!C:C&gt;=$J$4,'领用录入（明细）'!C:C&lt;=$L$4),ROW(),"-")</f>
        <v>-</v>
      </c>
    </row>
    <row r="24830" customHeight="1" spans="2:2">
      <c r="B24830" s="62" t="str">
        <f>IF(AND('领用录入（明细）'!D:D=$F$4,'领用录入（明细）'!C:C&gt;=$J$4,'领用录入（明细）'!C:C&lt;=$L$4),ROW(),"-")</f>
        <v>-</v>
      </c>
    </row>
    <row r="24831" customHeight="1" spans="2:2">
      <c r="B24831" s="62" t="str">
        <f>IF(AND('领用录入（明细）'!D:D=$F$4,'领用录入（明细）'!C:C&gt;=$J$4,'领用录入（明细）'!C:C&lt;=$L$4),ROW(),"-")</f>
        <v>-</v>
      </c>
    </row>
    <row r="24832" customHeight="1" spans="2:2">
      <c r="B24832" s="62" t="str">
        <f>IF(AND('领用录入（明细）'!D:D=$F$4,'领用录入（明细）'!C:C&gt;=$J$4,'领用录入（明细）'!C:C&lt;=$L$4),ROW(),"-")</f>
        <v>-</v>
      </c>
    </row>
    <row r="24833" customHeight="1" spans="2:2">
      <c r="B24833" s="62" t="str">
        <f>IF(AND('领用录入（明细）'!D:D=$F$4,'领用录入（明细）'!C:C&gt;=$J$4,'领用录入（明细）'!C:C&lt;=$L$4),ROW(),"-")</f>
        <v>-</v>
      </c>
    </row>
    <row r="24834" customHeight="1" spans="2:2">
      <c r="B24834" s="62" t="str">
        <f>IF(AND('领用录入（明细）'!D:D=$F$4,'领用录入（明细）'!C:C&gt;=$J$4,'领用录入（明细）'!C:C&lt;=$L$4),ROW(),"-")</f>
        <v>-</v>
      </c>
    </row>
    <row r="24835" customHeight="1" spans="2:2">
      <c r="B24835" s="62" t="str">
        <f>IF(AND('领用录入（明细）'!D:D=$F$4,'领用录入（明细）'!C:C&gt;=$J$4,'领用录入（明细）'!C:C&lt;=$L$4),ROW(),"-")</f>
        <v>-</v>
      </c>
    </row>
    <row r="24836" customHeight="1" spans="2:2">
      <c r="B24836" s="62" t="str">
        <f>IF(AND('领用录入（明细）'!D:D=$F$4,'领用录入（明细）'!C:C&gt;=$J$4,'领用录入（明细）'!C:C&lt;=$L$4),ROW(),"-")</f>
        <v>-</v>
      </c>
    </row>
    <row r="24837" customHeight="1" spans="2:2">
      <c r="B24837" s="62" t="str">
        <f>IF(AND('领用录入（明细）'!D:D=$F$4,'领用录入（明细）'!C:C&gt;=$J$4,'领用录入（明细）'!C:C&lt;=$L$4),ROW(),"-")</f>
        <v>-</v>
      </c>
    </row>
    <row r="24838" customHeight="1" spans="2:2">
      <c r="B24838" s="62" t="str">
        <f>IF(AND('领用录入（明细）'!D:D=$F$4,'领用录入（明细）'!C:C&gt;=$J$4,'领用录入（明细）'!C:C&lt;=$L$4),ROW(),"-")</f>
        <v>-</v>
      </c>
    </row>
    <row r="24839" customHeight="1" spans="2:2">
      <c r="B24839" s="62" t="str">
        <f>IF(AND('领用录入（明细）'!D:D=$F$4,'领用录入（明细）'!C:C&gt;=$J$4,'领用录入（明细）'!C:C&lt;=$L$4),ROW(),"-")</f>
        <v>-</v>
      </c>
    </row>
    <row r="24840" customHeight="1" spans="2:2">
      <c r="B24840" s="62" t="str">
        <f>IF(AND('领用录入（明细）'!D:D=$F$4,'领用录入（明细）'!C:C&gt;=$J$4,'领用录入（明细）'!C:C&lt;=$L$4),ROW(),"-")</f>
        <v>-</v>
      </c>
    </row>
    <row r="24841" customHeight="1" spans="2:2">
      <c r="B24841" s="62" t="str">
        <f>IF(AND('领用录入（明细）'!D:D=$F$4,'领用录入（明细）'!C:C&gt;=$J$4,'领用录入（明细）'!C:C&lt;=$L$4),ROW(),"-")</f>
        <v>-</v>
      </c>
    </row>
    <row r="24842" customHeight="1" spans="2:2">
      <c r="B24842" s="62" t="str">
        <f>IF(AND('领用录入（明细）'!D:D=$F$4,'领用录入（明细）'!C:C&gt;=$J$4,'领用录入（明细）'!C:C&lt;=$L$4),ROW(),"-")</f>
        <v>-</v>
      </c>
    </row>
    <row r="24843" customHeight="1" spans="2:2">
      <c r="B24843" s="62" t="str">
        <f>IF(AND('领用录入（明细）'!D:D=$F$4,'领用录入（明细）'!C:C&gt;=$J$4,'领用录入（明细）'!C:C&lt;=$L$4),ROW(),"-")</f>
        <v>-</v>
      </c>
    </row>
    <row r="24844" customHeight="1" spans="2:2">
      <c r="B24844" s="62" t="str">
        <f>IF(AND('领用录入（明细）'!D:D=$F$4,'领用录入（明细）'!C:C&gt;=$J$4,'领用录入（明细）'!C:C&lt;=$L$4),ROW(),"-")</f>
        <v>-</v>
      </c>
    </row>
    <row r="24845" customHeight="1" spans="2:2">
      <c r="B24845" s="62" t="str">
        <f>IF(AND('领用录入（明细）'!D:D=$F$4,'领用录入（明细）'!C:C&gt;=$J$4,'领用录入（明细）'!C:C&lt;=$L$4),ROW(),"-")</f>
        <v>-</v>
      </c>
    </row>
    <row r="24846" customHeight="1" spans="2:2">
      <c r="B24846" s="62" t="str">
        <f>IF(AND('领用录入（明细）'!D:D=$F$4,'领用录入（明细）'!C:C&gt;=$J$4,'领用录入（明细）'!C:C&lt;=$L$4),ROW(),"-")</f>
        <v>-</v>
      </c>
    </row>
    <row r="24847" customHeight="1" spans="2:2">
      <c r="B24847" s="62" t="str">
        <f>IF(AND('领用录入（明细）'!D:D=$F$4,'领用录入（明细）'!C:C&gt;=$J$4,'领用录入（明细）'!C:C&lt;=$L$4),ROW(),"-")</f>
        <v>-</v>
      </c>
    </row>
    <row r="24848" customHeight="1" spans="2:2">
      <c r="B24848" s="62" t="str">
        <f>IF(AND('领用录入（明细）'!D:D=$F$4,'领用录入（明细）'!C:C&gt;=$J$4,'领用录入（明细）'!C:C&lt;=$L$4),ROW(),"-")</f>
        <v>-</v>
      </c>
    </row>
    <row r="24849" customHeight="1" spans="2:2">
      <c r="B24849" s="62" t="str">
        <f>IF(AND('领用录入（明细）'!D:D=$F$4,'领用录入（明细）'!C:C&gt;=$J$4,'领用录入（明细）'!C:C&lt;=$L$4),ROW(),"-")</f>
        <v>-</v>
      </c>
    </row>
    <row r="24850" customHeight="1" spans="2:2">
      <c r="B24850" s="62" t="str">
        <f>IF(AND('领用录入（明细）'!D:D=$F$4,'领用录入（明细）'!C:C&gt;=$J$4,'领用录入（明细）'!C:C&lt;=$L$4),ROW(),"-")</f>
        <v>-</v>
      </c>
    </row>
    <row r="24851" customHeight="1" spans="2:2">
      <c r="B24851" s="62" t="str">
        <f>IF(AND('领用录入（明细）'!D:D=$F$4,'领用录入（明细）'!C:C&gt;=$J$4,'领用录入（明细）'!C:C&lt;=$L$4),ROW(),"-")</f>
        <v>-</v>
      </c>
    </row>
    <row r="24852" customHeight="1" spans="2:2">
      <c r="B24852" s="62" t="str">
        <f>IF(AND('领用录入（明细）'!D:D=$F$4,'领用录入（明细）'!C:C&gt;=$J$4,'领用录入（明细）'!C:C&lt;=$L$4),ROW(),"-")</f>
        <v>-</v>
      </c>
    </row>
    <row r="24853" customHeight="1" spans="2:2">
      <c r="B24853" s="62" t="str">
        <f>IF(AND('领用录入（明细）'!D:D=$F$4,'领用录入（明细）'!C:C&gt;=$J$4,'领用录入（明细）'!C:C&lt;=$L$4),ROW(),"-")</f>
        <v>-</v>
      </c>
    </row>
    <row r="24854" customHeight="1" spans="2:2">
      <c r="B24854" s="62" t="str">
        <f>IF(AND('领用录入（明细）'!D:D=$F$4,'领用录入（明细）'!C:C&gt;=$J$4,'领用录入（明细）'!C:C&lt;=$L$4),ROW(),"-")</f>
        <v>-</v>
      </c>
    </row>
    <row r="24855" customHeight="1" spans="2:2">
      <c r="B24855" s="62" t="str">
        <f>IF(AND('领用录入（明细）'!D:D=$F$4,'领用录入（明细）'!C:C&gt;=$J$4,'领用录入（明细）'!C:C&lt;=$L$4),ROW(),"-")</f>
        <v>-</v>
      </c>
    </row>
    <row r="24856" customHeight="1" spans="2:2">
      <c r="B24856" s="62" t="str">
        <f>IF(AND('领用录入（明细）'!D:D=$F$4,'领用录入（明细）'!C:C&gt;=$J$4,'领用录入（明细）'!C:C&lt;=$L$4),ROW(),"-")</f>
        <v>-</v>
      </c>
    </row>
    <row r="24857" customHeight="1" spans="2:2">
      <c r="B24857" s="62" t="str">
        <f>IF(AND('领用录入（明细）'!D:D=$F$4,'领用录入（明细）'!C:C&gt;=$J$4,'领用录入（明细）'!C:C&lt;=$L$4),ROW(),"-")</f>
        <v>-</v>
      </c>
    </row>
    <row r="24858" customHeight="1" spans="2:2">
      <c r="B24858" s="62" t="str">
        <f>IF(AND('领用录入（明细）'!D:D=$F$4,'领用录入（明细）'!C:C&gt;=$J$4,'领用录入（明细）'!C:C&lt;=$L$4),ROW(),"-")</f>
        <v>-</v>
      </c>
    </row>
    <row r="24859" customHeight="1" spans="2:2">
      <c r="B24859" s="62" t="str">
        <f>IF(AND('领用录入（明细）'!D:D=$F$4,'领用录入（明细）'!C:C&gt;=$J$4,'领用录入（明细）'!C:C&lt;=$L$4),ROW(),"-")</f>
        <v>-</v>
      </c>
    </row>
    <row r="24860" customHeight="1" spans="2:2">
      <c r="B24860" s="62" t="str">
        <f>IF(AND('领用录入（明细）'!D:D=$F$4,'领用录入（明细）'!C:C&gt;=$J$4,'领用录入（明细）'!C:C&lt;=$L$4),ROW(),"-")</f>
        <v>-</v>
      </c>
    </row>
    <row r="24861" customHeight="1" spans="2:2">
      <c r="B24861" s="62" t="str">
        <f>IF(AND('领用录入（明细）'!D:D=$F$4,'领用录入（明细）'!C:C&gt;=$J$4,'领用录入（明细）'!C:C&lt;=$L$4),ROW(),"-")</f>
        <v>-</v>
      </c>
    </row>
    <row r="24862" customHeight="1" spans="2:2">
      <c r="B24862" s="62" t="str">
        <f>IF(AND('领用录入（明细）'!D:D=$F$4,'领用录入（明细）'!C:C&gt;=$J$4,'领用录入（明细）'!C:C&lt;=$L$4),ROW(),"-")</f>
        <v>-</v>
      </c>
    </row>
    <row r="24863" customHeight="1" spans="2:2">
      <c r="B24863" s="62" t="str">
        <f>IF(AND('领用录入（明细）'!D:D=$F$4,'领用录入（明细）'!C:C&gt;=$J$4,'领用录入（明细）'!C:C&lt;=$L$4),ROW(),"-")</f>
        <v>-</v>
      </c>
    </row>
    <row r="24864" customHeight="1" spans="2:2">
      <c r="B24864" s="62" t="str">
        <f>IF(AND('领用录入（明细）'!D:D=$F$4,'领用录入（明细）'!C:C&gt;=$J$4,'领用录入（明细）'!C:C&lt;=$L$4),ROW(),"-")</f>
        <v>-</v>
      </c>
    </row>
    <row r="24865" customHeight="1" spans="2:2">
      <c r="B24865" s="62" t="str">
        <f>IF(AND('领用录入（明细）'!D:D=$F$4,'领用录入（明细）'!C:C&gt;=$J$4,'领用录入（明细）'!C:C&lt;=$L$4),ROW(),"-")</f>
        <v>-</v>
      </c>
    </row>
    <row r="24866" customHeight="1" spans="2:2">
      <c r="B24866" s="62" t="str">
        <f>IF(AND('领用录入（明细）'!D:D=$F$4,'领用录入（明细）'!C:C&gt;=$J$4,'领用录入（明细）'!C:C&lt;=$L$4),ROW(),"-")</f>
        <v>-</v>
      </c>
    </row>
    <row r="24867" customHeight="1" spans="2:2">
      <c r="B24867" s="62" t="str">
        <f>IF(AND('领用录入（明细）'!D:D=$F$4,'领用录入（明细）'!C:C&gt;=$J$4,'领用录入（明细）'!C:C&lt;=$L$4),ROW(),"-")</f>
        <v>-</v>
      </c>
    </row>
    <row r="24868" customHeight="1" spans="2:2">
      <c r="B24868" s="62" t="str">
        <f>IF(AND('领用录入（明细）'!D:D=$F$4,'领用录入（明细）'!C:C&gt;=$J$4,'领用录入（明细）'!C:C&lt;=$L$4),ROW(),"-")</f>
        <v>-</v>
      </c>
    </row>
    <row r="24869" customHeight="1" spans="2:2">
      <c r="B24869" s="62" t="str">
        <f>IF(AND('领用录入（明细）'!D:D=$F$4,'领用录入（明细）'!C:C&gt;=$J$4,'领用录入（明细）'!C:C&lt;=$L$4),ROW(),"-")</f>
        <v>-</v>
      </c>
    </row>
    <row r="24870" customHeight="1" spans="2:2">
      <c r="B24870" s="62" t="str">
        <f>IF(AND('领用录入（明细）'!D:D=$F$4,'领用录入（明细）'!C:C&gt;=$J$4,'领用录入（明细）'!C:C&lt;=$L$4),ROW(),"-")</f>
        <v>-</v>
      </c>
    </row>
    <row r="24871" customHeight="1" spans="2:2">
      <c r="B24871" s="62" t="str">
        <f>IF(AND('领用录入（明细）'!D:D=$F$4,'领用录入（明细）'!C:C&gt;=$J$4,'领用录入（明细）'!C:C&lt;=$L$4),ROW(),"-")</f>
        <v>-</v>
      </c>
    </row>
    <row r="24872" customHeight="1" spans="2:2">
      <c r="B24872" s="62" t="str">
        <f>IF(AND('领用录入（明细）'!D:D=$F$4,'领用录入（明细）'!C:C&gt;=$J$4,'领用录入（明细）'!C:C&lt;=$L$4),ROW(),"-")</f>
        <v>-</v>
      </c>
    </row>
    <row r="24873" customHeight="1" spans="2:2">
      <c r="B24873" s="62" t="str">
        <f>IF(AND('领用录入（明细）'!D:D=$F$4,'领用录入（明细）'!C:C&gt;=$J$4,'领用录入（明细）'!C:C&lt;=$L$4),ROW(),"-")</f>
        <v>-</v>
      </c>
    </row>
    <row r="24874" customHeight="1" spans="2:2">
      <c r="B24874" s="62" t="str">
        <f>IF(AND('领用录入（明细）'!D:D=$F$4,'领用录入（明细）'!C:C&gt;=$J$4,'领用录入（明细）'!C:C&lt;=$L$4),ROW(),"-")</f>
        <v>-</v>
      </c>
    </row>
    <row r="24875" customHeight="1" spans="2:2">
      <c r="B24875" s="62" t="str">
        <f>IF(AND('领用录入（明细）'!D:D=$F$4,'领用录入（明细）'!C:C&gt;=$J$4,'领用录入（明细）'!C:C&lt;=$L$4),ROW(),"-")</f>
        <v>-</v>
      </c>
    </row>
    <row r="24876" customHeight="1" spans="2:2">
      <c r="B24876" s="62" t="str">
        <f>IF(AND('领用录入（明细）'!D:D=$F$4,'领用录入（明细）'!C:C&gt;=$J$4,'领用录入（明细）'!C:C&lt;=$L$4),ROW(),"-")</f>
        <v>-</v>
      </c>
    </row>
    <row r="24877" customHeight="1" spans="2:2">
      <c r="B24877" s="62" t="str">
        <f>IF(AND('领用录入（明细）'!D:D=$F$4,'领用录入（明细）'!C:C&gt;=$J$4,'领用录入（明细）'!C:C&lt;=$L$4),ROW(),"-")</f>
        <v>-</v>
      </c>
    </row>
    <row r="24878" customHeight="1" spans="2:2">
      <c r="B24878" s="62" t="str">
        <f>IF(AND('领用录入（明细）'!D:D=$F$4,'领用录入（明细）'!C:C&gt;=$J$4,'领用录入（明细）'!C:C&lt;=$L$4),ROW(),"-")</f>
        <v>-</v>
      </c>
    </row>
    <row r="24879" customHeight="1" spans="2:2">
      <c r="B24879" s="62" t="str">
        <f>IF(AND('领用录入（明细）'!D:D=$F$4,'领用录入（明细）'!C:C&gt;=$J$4,'领用录入（明细）'!C:C&lt;=$L$4),ROW(),"-")</f>
        <v>-</v>
      </c>
    </row>
    <row r="24880" customHeight="1" spans="2:2">
      <c r="B24880" s="62" t="str">
        <f>IF(AND('领用录入（明细）'!D:D=$F$4,'领用录入（明细）'!C:C&gt;=$J$4,'领用录入（明细）'!C:C&lt;=$L$4),ROW(),"-")</f>
        <v>-</v>
      </c>
    </row>
    <row r="24881" customHeight="1" spans="2:2">
      <c r="B24881" s="62" t="str">
        <f>IF(AND('领用录入（明细）'!D:D=$F$4,'领用录入（明细）'!C:C&gt;=$J$4,'领用录入（明细）'!C:C&lt;=$L$4),ROW(),"-")</f>
        <v>-</v>
      </c>
    </row>
    <row r="24882" customHeight="1" spans="2:2">
      <c r="B24882" s="62" t="str">
        <f>IF(AND('领用录入（明细）'!D:D=$F$4,'领用录入（明细）'!C:C&gt;=$J$4,'领用录入（明细）'!C:C&lt;=$L$4),ROW(),"-")</f>
        <v>-</v>
      </c>
    </row>
    <row r="24883" customHeight="1" spans="2:2">
      <c r="B24883" s="62" t="str">
        <f>IF(AND('领用录入（明细）'!D:D=$F$4,'领用录入（明细）'!C:C&gt;=$J$4,'领用录入（明细）'!C:C&lt;=$L$4),ROW(),"-")</f>
        <v>-</v>
      </c>
    </row>
    <row r="24884" customHeight="1" spans="2:2">
      <c r="B24884" s="62" t="str">
        <f>IF(AND('领用录入（明细）'!D:D=$F$4,'领用录入（明细）'!C:C&gt;=$J$4,'领用录入（明细）'!C:C&lt;=$L$4),ROW(),"-")</f>
        <v>-</v>
      </c>
    </row>
    <row r="24885" customHeight="1" spans="2:2">
      <c r="B24885" s="62" t="str">
        <f>IF(AND('领用录入（明细）'!D:D=$F$4,'领用录入（明细）'!C:C&gt;=$J$4,'领用录入（明细）'!C:C&lt;=$L$4),ROW(),"-")</f>
        <v>-</v>
      </c>
    </row>
    <row r="24886" customHeight="1" spans="2:2">
      <c r="B24886" s="62" t="str">
        <f>IF(AND('领用录入（明细）'!D:D=$F$4,'领用录入（明细）'!C:C&gt;=$J$4,'领用录入（明细）'!C:C&lt;=$L$4),ROW(),"-")</f>
        <v>-</v>
      </c>
    </row>
    <row r="24887" customHeight="1" spans="2:2">
      <c r="B24887" s="62" t="str">
        <f>IF(AND('领用录入（明细）'!D:D=$F$4,'领用录入（明细）'!C:C&gt;=$J$4,'领用录入（明细）'!C:C&lt;=$L$4),ROW(),"-")</f>
        <v>-</v>
      </c>
    </row>
    <row r="24888" customHeight="1" spans="2:2">
      <c r="B24888" s="62" t="str">
        <f>IF(AND('领用录入（明细）'!D:D=$F$4,'领用录入（明细）'!C:C&gt;=$J$4,'领用录入（明细）'!C:C&lt;=$L$4),ROW(),"-")</f>
        <v>-</v>
      </c>
    </row>
    <row r="24889" customHeight="1" spans="2:2">
      <c r="B24889" s="62" t="str">
        <f>IF(AND('领用录入（明细）'!D:D=$F$4,'领用录入（明细）'!C:C&gt;=$J$4,'领用录入（明细）'!C:C&lt;=$L$4),ROW(),"-")</f>
        <v>-</v>
      </c>
    </row>
    <row r="24890" customHeight="1" spans="2:2">
      <c r="B24890" s="62" t="str">
        <f>IF(AND('领用录入（明细）'!D:D=$F$4,'领用录入（明细）'!C:C&gt;=$J$4,'领用录入（明细）'!C:C&lt;=$L$4),ROW(),"-")</f>
        <v>-</v>
      </c>
    </row>
    <row r="24891" customHeight="1" spans="2:2">
      <c r="B24891" s="62" t="str">
        <f>IF(AND('领用录入（明细）'!D:D=$F$4,'领用录入（明细）'!C:C&gt;=$J$4,'领用录入（明细）'!C:C&lt;=$L$4),ROW(),"-")</f>
        <v>-</v>
      </c>
    </row>
    <row r="24892" customHeight="1" spans="2:2">
      <c r="B24892" s="62" t="str">
        <f>IF(AND('领用录入（明细）'!D:D=$F$4,'领用录入（明细）'!C:C&gt;=$J$4,'领用录入（明细）'!C:C&lt;=$L$4),ROW(),"-")</f>
        <v>-</v>
      </c>
    </row>
    <row r="24893" customHeight="1" spans="2:2">
      <c r="B24893" s="62" t="str">
        <f>IF(AND('领用录入（明细）'!D:D=$F$4,'领用录入（明细）'!C:C&gt;=$J$4,'领用录入（明细）'!C:C&lt;=$L$4),ROW(),"-")</f>
        <v>-</v>
      </c>
    </row>
    <row r="24894" customHeight="1" spans="2:2">
      <c r="B24894" s="62" t="str">
        <f>IF(AND('领用录入（明细）'!D:D=$F$4,'领用录入（明细）'!C:C&gt;=$J$4,'领用录入（明细）'!C:C&lt;=$L$4),ROW(),"-")</f>
        <v>-</v>
      </c>
    </row>
    <row r="24895" customHeight="1" spans="2:2">
      <c r="B24895" s="62" t="str">
        <f>IF(AND('领用录入（明细）'!D:D=$F$4,'领用录入（明细）'!C:C&gt;=$J$4,'领用录入（明细）'!C:C&lt;=$L$4),ROW(),"-")</f>
        <v>-</v>
      </c>
    </row>
    <row r="24896" customHeight="1" spans="2:2">
      <c r="B24896" s="62" t="str">
        <f>IF(AND('领用录入（明细）'!D:D=$F$4,'领用录入（明细）'!C:C&gt;=$J$4,'领用录入（明细）'!C:C&lt;=$L$4),ROW(),"-")</f>
        <v>-</v>
      </c>
    </row>
    <row r="24897" customHeight="1" spans="2:2">
      <c r="B24897" s="62" t="str">
        <f>IF(AND('领用录入（明细）'!D:D=$F$4,'领用录入（明细）'!C:C&gt;=$J$4,'领用录入（明细）'!C:C&lt;=$L$4),ROW(),"-")</f>
        <v>-</v>
      </c>
    </row>
    <row r="24898" customHeight="1" spans="2:2">
      <c r="B24898" s="62" t="str">
        <f>IF(AND('领用录入（明细）'!D:D=$F$4,'领用录入（明细）'!C:C&gt;=$J$4,'领用录入（明细）'!C:C&lt;=$L$4),ROW(),"-")</f>
        <v>-</v>
      </c>
    </row>
    <row r="24899" customHeight="1" spans="2:2">
      <c r="B24899" s="62" t="str">
        <f>IF(AND('领用录入（明细）'!D:D=$F$4,'领用录入（明细）'!C:C&gt;=$J$4,'领用录入（明细）'!C:C&lt;=$L$4),ROW(),"-")</f>
        <v>-</v>
      </c>
    </row>
    <row r="24900" customHeight="1" spans="2:2">
      <c r="B24900" s="62" t="str">
        <f>IF(AND('领用录入（明细）'!D:D=$F$4,'领用录入（明细）'!C:C&gt;=$J$4,'领用录入（明细）'!C:C&lt;=$L$4),ROW(),"-")</f>
        <v>-</v>
      </c>
    </row>
    <row r="24901" customHeight="1" spans="2:2">
      <c r="B24901" s="62" t="str">
        <f>IF(AND('领用录入（明细）'!D:D=$F$4,'领用录入（明细）'!C:C&gt;=$J$4,'领用录入（明细）'!C:C&lt;=$L$4),ROW(),"-")</f>
        <v>-</v>
      </c>
    </row>
    <row r="24902" customHeight="1" spans="2:2">
      <c r="B24902" s="62" t="str">
        <f>IF(AND('领用录入（明细）'!D:D=$F$4,'领用录入（明细）'!C:C&gt;=$J$4,'领用录入（明细）'!C:C&lt;=$L$4),ROW(),"-")</f>
        <v>-</v>
      </c>
    </row>
    <row r="24903" customHeight="1" spans="2:2">
      <c r="B24903" s="62" t="str">
        <f>IF(AND('领用录入（明细）'!D:D=$F$4,'领用录入（明细）'!C:C&gt;=$J$4,'领用录入（明细）'!C:C&lt;=$L$4),ROW(),"-")</f>
        <v>-</v>
      </c>
    </row>
    <row r="24904" customHeight="1" spans="2:2">
      <c r="B24904" s="62" t="str">
        <f>IF(AND('领用录入（明细）'!D:D=$F$4,'领用录入（明细）'!C:C&gt;=$J$4,'领用录入（明细）'!C:C&lt;=$L$4),ROW(),"-")</f>
        <v>-</v>
      </c>
    </row>
    <row r="24905" customHeight="1" spans="2:2">
      <c r="B24905" s="62" t="str">
        <f>IF(AND('领用录入（明细）'!D:D=$F$4,'领用录入（明细）'!C:C&gt;=$J$4,'领用录入（明细）'!C:C&lt;=$L$4),ROW(),"-")</f>
        <v>-</v>
      </c>
    </row>
    <row r="24906" customHeight="1" spans="2:2">
      <c r="B24906" s="62" t="str">
        <f>IF(AND('领用录入（明细）'!D:D=$F$4,'领用录入（明细）'!C:C&gt;=$J$4,'领用录入（明细）'!C:C&lt;=$L$4),ROW(),"-")</f>
        <v>-</v>
      </c>
    </row>
    <row r="24907" customHeight="1" spans="2:2">
      <c r="B24907" s="62" t="str">
        <f>IF(AND('领用录入（明细）'!D:D=$F$4,'领用录入（明细）'!C:C&gt;=$J$4,'领用录入（明细）'!C:C&lt;=$L$4),ROW(),"-")</f>
        <v>-</v>
      </c>
    </row>
    <row r="24908" customHeight="1" spans="2:2">
      <c r="B24908" s="62" t="str">
        <f>IF(AND('领用录入（明细）'!D:D=$F$4,'领用录入（明细）'!C:C&gt;=$J$4,'领用录入（明细）'!C:C&lt;=$L$4),ROW(),"-")</f>
        <v>-</v>
      </c>
    </row>
    <row r="24909" customHeight="1" spans="2:2">
      <c r="B24909" s="62" t="str">
        <f>IF(AND('领用录入（明细）'!D:D=$F$4,'领用录入（明细）'!C:C&gt;=$J$4,'领用录入（明细）'!C:C&lt;=$L$4),ROW(),"-")</f>
        <v>-</v>
      </c>
    </row>
    <row r="24910" customHeight="1" spans="2:2">
      <c r="B24910" s="62" t="str">
        <f>IF(AND('领用录入（明细）'!D:D=$F$4,'领用录入（明细）'!C:C&gt;=$J$4,'领用录入（明细）'!C:C&lt;=$L$4),ROW(),"-")</f>
        <v>-</v>
      </c>
    </row>
    <row r="24911" customHeight="1" spans="2:2">
      <c r="B24911" s="62" t="str">
        <f>IF(AND('领用录入（明细）'!D:D=$F$4,'领用录入（明细）'!C:C&gt;=$J$4,'领用录入（明细）'!C:C&lt;=$L$4),ROW(),"-")</f>
        <v>-</v>
      </c>
    </row>
    <row r="24912" customHeight="1" spans="2:2">
      <c r="B24912" s="62" t="str">
        <f>IF(AND('领用录入（明细）'!D:D=$F$4,'领用录入（明细）'!C:C&gt;=$J$4,'领用录入（明细）'!C:C&lt;=$L$4),ROW(),"-")</f>
        <v>-</v>
      </c>
    </row>
    <row r="24913" customHeight="1" spans="2:2">
      <c r="B24913" s="62" t="str">
        <f>IF(AND('领用录入（明细）'!D:D=$F$4,'领用录入（明细）'!C:C&gt;=$J$4,'领用录入（明细）'!C:C&lt;=$L$4),ROW(),"-")</f>
        <v>-</v>
      </c>
    </row>
    <row r="24914" customHeight="1" spans="2:2">
      <c r="B24914" s="62" t="str">
        <f>IF(AND('领用录入（明细）'!D:D=$F$4,'领用录入（明细）'!C:C&gt;=$J$4,'领用录入（明细）'!C:C&lt;=$L$4),ROW(),"-")</f>
        <v>-</v>
      </c>
    </row>
    <row r="24915" customHeight="1" spans="2:2">
      <c r="B24915" s="62" t="str">
        <f>IF(AND('领用录入（明细）'!D:D=$F$4,'领用录入（明细）'!C:C&gt;=$J$4,'领用录入（明细）'!C:C&lt;=$L$4),ROW(),"-")</f>
        <v>-</v>
      </c>
    </row>
    <row r="24916" customHeight="1" spans="2:2">
      <c r="B24916" s="62" t="str">
        <f>IF(AND('领用录入（明细）'!D:D=$F$4,'领用录入（明细）'!C:C&gt;=$J$4,'领用录入（明细）'!C:C&lt;=$L$4),ROW(),"-")</f>
        <v>-</v>
      </c>
    </row>
    <row r="24917" customHeight="1" spans="2:2">
      <c r="B24917" s="62" t="str">
        <f>IF(AND('领用录入（明细）'!D:D=$F$4,'领用录入（明细）'!C:C&gt;=$J$4,'领用录入（明细）'!C:C&lt;=$L$4),ROW(),"-")</f>
        <v>-</v>
      </c>
    </row>
    <row r="24918" customHeight="1" spans="2:2">
      <c r="B24918" s="62" t="str">
        <f>IF(AND('领用录入（明细）'!D:D=$F$4,'领用录入（明细）'!C:C&gt;=$J$4,'领用录入（明细）'!C:C&lt;=$L$4),ROW(),"-")</f>
        <v>-</v>
      </c>
    </row>
    <row r="24919" customHeight="1" spans="2:2">
      <c r="B24919" s="62" t="str">
        <f>IF(AND('领用录入（明细）'!D:D=$F$4,'领用录入（明细）'!C:C&gt;=$J$4,'领用录入（明细）'!C:C&lt;=$L$4),ROW(),"-")</f>
        <v>-</v>
      </c>
    </row>
    <row r="24920" customHeight="1" spans="2:2">
      <c r="B24920" s="62" t="str">
        <f>IF(AND('领用录入（明细）'!D:D=$F$4,'领用录入（明细）'!C:C&gt;=$J$4,'领用录入（明细）'!C:C&lt;=$L$4),ROW(),"-")</f>
        <v>-</v>
      </c>
    </row>
    <row r="24921" customHeight="1" spans="2:2">
      <c r="B24921" s="62" t="str">
        <f>IF(AND('领用录入（明细）'!D:D=$F$4,'领用录入（明细）'!C:C&gt;=$J$4,'领用录入（明细）'!C:C&lt;=$L$4),ROW(),"-")</f>
        <v>-</v>
      </c>
    </row>
    <row r="24922" customHeight="1" spans="2:2">
      <c r="B24922" s="62" t="str">
        <f>IF(AND('领用录入（明细）'!D:D=$F$4,'领用录入（明细）'!C:C&gt;=$J$4,'领用录入（明细）'!C:C&lt;=$L$4),ROW(),"-")</f>
        <v>-</v>
      </c>
    </row>
    <row r="24923" customHeight="1" spans="2:2">
      <c r="B24923" s="62" t="str">
        <f>IF(AND('领用录入（明细）'!D:D=$F$4,'领用录入（明细）'!C:C&gt;=$J$4,'领用录入（明细）'!C:C&lt;=$L$4),ROW(),"-")</f>
        <v>-</v>
      </c>
    </row>
    <row r="24924" customHeight="1" spans="2:2">
      <c r="B24924" s="62" t="str">
        <f>IF(AND('领用录入（明细）'!D:D=$F$4,'领用录入（明细）'!C:C&gt;=$J$4,'领用录入（明细）'!C:C&lt;=$L$4),ROW(),"-")</f>
        <v>-</v>
      </c>
    </row>
    <row r="24925" customHeight="1" spans="2:2">
      <c r="B24925" s="62" t="str">
        <f>IF(AND('领用录入（明细）'!D:D=$F$4,'领用录入（明细）'!C:C&gt;=$J$4,'领用录入（明细）'!C:C&lt;=$L$4),ROW(),"-")</f>
        <v>-</v>
      </c>
    </row>
    <row r="24926" customHeight="1" spans="2:2">
      <c r="B24926" s="62" t="str">
        <f>IF(AND('领用录入（明细）'!D:D=$F$4,'领用录入（明细）'!C:C&gt;=$J$4,'领用录入（明细）'!C:C&lt;=$L$4),ROW(),"-")</f>
        <v>-</v>
      </c>
    </row>
    <row r="24927" customHeight="1" spans="2:2">
      <c r="B24927" s="62" t="str">
        <f>IF(AND('领用录入（明细）'!D:D=$F$4,'领用录入（明细）'!C:C&gt;=$J$4,'领用录入（明细）'!C:C&lt;=$L$4),ROW(),"-")</f>
        <v>-</v>
      </c>
    </row>
    <row r="24928" customHeight="1" spans="2:2">
      <c r="B24928" s="62" t="str">
        <f>IF(AND('领用录入（明细）'!D:D=$F$4,'领用录入（明细）'!C:C&gt;=$J$4,'领用录入（明细）'!C:C&lt;=$L$4),ROW(),"-")</f>
        <v>-</v>
      </c>
    </row>
    <row r="24929" customHeight="1" spans="2:2">
      <c r="B24929" s="62" t="str">
        <f>IF(AND('领用录入（明细）'!D:D=$F$4,'领用录入（明细）'!C:C&gt;=$J$4,'领用录入（明细）'!C:C&lt;=$L$4),ROW(),"-")</f>
        <v>-</v>
      </c>
    </row>
    <row r="24930" customHeight="1" spans="2:2">
      <c r="B24930" s="62" t="str">
        <f>IF(AND('领用录入（明细）'!D:D=$F$4,'领用录入（明细）'!C:C&gt;=$J$4,'领用录入（明细）'!C:C&lt;=$L$4),ROW(),"-")</f>
        <v>-</v>
      </c>
    </row>
    <row r="24931" customHeight="1" spans="2:2">
      <c r="B24931" s="62" t="str">
        <f>IF(AND('领用录入（明细）'!D:D=$F$4,'领用录入（明细）'!C:C&gt;=$J$4,'领用录入（明细）'!C:C&lt;=$L$4),ROW(),"-")</f>
        <v>-</v>
      </c>
    </row>
    <row r="24932" customHeight="1" spans="2:2">
      <c r="B24932" s="62" t="str">
        <f>IF(AND('领用录入（明细）'!D:D=$F$4,'领用录入（明细）'!C:C&gt;=$J$4,'领用录入（明细）'!C:C&lt;=$L$4),ROW(),"-")</f>
        <v>-</v>
      </c>
    </row>
    <row r="24933" customHeight="1" spans="2:2">
      <c r="B24933" s="62" t="str">
        <f>IF(AND('领用录入（明细）'!D:D=$F$4,'领用录入（明细）'!C:C&gt;=$J$4,'领用录入（明细）'!C:C&lt;=$L$4),ROW(),"-")</f>
        <v>-</v>
      </c>
    </row>
    <row r="24934" customHeight="1" spans="2:2">
      <c r="B24934" s="62" t="str">
        <f>IF(AND('领用录入（明细）'!D:D=$F$4,'领用录入（明细）'!C:C&gt;=$J$4,'领用录入（明细）'!C:C&lt;=$L$4),ROW(),"-")</f>
        <v>-</v>
      </c>
    </row>
    <row r="24935" customHeight="1" spans="2:2">
      <c r="B24935" s="62" t="str">
        <f>IF(AND('领用录入（明细）'!D:D=$F$4,'领用录入（明细）'!C:C&gt;=$J$4,'领用录入（明细）'!C:C&lt;=$L$4),ROW(),"-")</f>
        <v>-</v>
      </c>
    </row>
    <row r="24936" customHeight="1" spans="2:2">
      <c r="B24936" s="62" t="str">
        <f>IF(AND('领用录入（明细）'!D:D=$F$4,'领用录入（明细）'!C:C&gt;=$J$4,'领用录入（明细）'!C:C&lt;=$L$4),ROW(),"-")</f>
        <v>-</v>
      </c>
    </row>
    <row r="24937" customHeight="1" spans="2:2">
      <c r="B24937" s="62" t="str">
        <f>IF(AND('领用录入（明细）'!D:D=$F$4,'领用录入（明细）'!C:C&gt;=$J$4,'领用录入（明细）'!C:C&lt;=$L$4),ROW(),"-")</f>
        <v>-</v>
      </c>
    </row>
    <row r="24938" customHeight="1" spans="2:2">
      <c r="B24938" s="62" t="str">
        <f>IF(AND('领用录入（明细）'!D:D=$F$4,'领用录入（明细）'!C:C&gt;=$J$4,'领用录入（明细）'!C:C&lt;=$L$4),ROW(),"-")</f>
        <v>-</v>
      </c>
    </row>
    <row r="24939" customHeight="1" spans="2:2">
      <c r="B24939" s="62" t="str">
        <f>IF(AND('领用录入（明细）'!D:D=$F$4,'领用录入（明细）'!C:C&gt;=$J$4,'领用录入（明细）'!C:C&lt;=$L$4),ROW(),"-")</f>
        <v>-</v>
      </c>
    </row>
    <row r="24940" customHeight="1" spans="2:2">
      <c r="B24940" s="62" t="str">
        <f>IF(AND('领用录入（明细）'!D:D=$F$4,'领用录入（明细）'!C:C&gt;=$J$4,'领用录入（明细）'!C:C&lt;=$L$4),ROW(),"-")</f>
        <v>-</v>
      </c>
    </row>
    <row r="24941" customHeight="1" spans="2:2">
      <c r="B24941" s="62" t="str">
        <f>IF(AND('领用录入（明细）'!D:D=$F$4,'领用录入（明细）'!C:C&gt;=$J$4,'领用录入（明细）'!C:C&lt;=$L$4),ROW(),"-")</f>
        <v>-</v>
      </c>
    </row>
    <row r="24942" customHeight="1" spans="2:2">
      <c r="B24942" s="62" t="str">
        <f>IF(AND('领用录入（明细）'!D:D=$F$4,'领用录入（明细）'!C:C&gt;=$J$4,'领用录入（明细）'!C:C&lt;=$L$4),ROW(),"-")</f>
        <v>-</v>
      </c>
    </row>
    <row r="24943" customHeight="1" spans="2:2">
      <c r="B24943" s="62" t="str">
        <f>IF(AND('领用录入（明细）'!D:D=$F$4,'领用录入（明细）'!C:C&gt;=$J$4,'领用录入（明细）'!C:C&lt;=$L$4),ROW(),"-")</f>
        <v>-</v>
      </c>
    </row>
    <row r="24944" customHeight="1" spans="2:2">
      <c r="B24944" s="62" t="str">
        <f>IF(AND('领用录入（明细）'!D:D=$F$4,'领用录入（明细）'!C:C&gt;=$J$4,'领用录入（明细）'!C:C&lt;=$L$4),ROW(),"-")</f>
        <v>-</v>
      </c>
    </row>
    <row r="24945" customHeight="1" spans="2:2">
      <c r="B24945" s="62" t="str">
        <f>IF(AND('领用录入（明细）'!D:D=$F$4,'领用录入（明细）'!C:C&gt;=$J$4,'领用录入（明细）'!C:C&lt;=$L$4),ROW(),"-")</f>
        <v>-</v>
      </c>
    </row>
    <row r="24946" customHeight="1" spans="2:2">
      <c r="B24946" s="62" t="str">
        <f>IF(AND('领用录入（明细）'!D:D=$F$4,'领用录入（明细）'!C:C&gt;=$J$4,'领用录入（明细）'!C:C&lt;=$L$4),ROW(),"-")</f>
        <v>-</v>
      </c>
    </row>
    <row r="24947" customHeight="1" spans="2:2">
      <c r="B24947" s="62" t="str">
        <f>IF(AND('领用录入（明细）'!D:D=$F$4,'领用录入（明细）'!C:C&gt;=$J$4,'领用录入（明细）'!C:C&lt;=$L$4),ROW(),"-")</f>
        <v>-</v>
      </c>
    </row>
    <row r="24948" customHeight="1" spans="2:2">
      <c r="B24948" s="62" t="str">
        <f>IF(AND('领用录入（明细）'!D:D=$F$4,'领用录入（明细）'!C:C&gt;=$J$4,'领用录入（明细）'!C:C&lt;=$L$4),ROW(),"-")</f>
        <v>-</v>
      </c>
    </row>
    <row r="24949" customHeight="1" spans="2:2">
      <c r="B24949" s="62" t="str">
        <f>IF(AND('领用录入（明细）'!D:D=$F$4,'领用录入（明细）'!C:C&gt;=$J$4,'领用录入（明细）'!C:C&lt;=$L$4),ROW(),"-")</f>
        <v>-</v>
      </c>
    </row>
    <row r="24950" customHeight="1" spans="2:2">
      <c r="B24950" s="62" t="str">
        <f>IF(AND('领用录入（明细）'!D:D=$F$4,'领用录入（明细）'!C:C&gt;=$J$4,'领用录入（明细）'!C:C&lt;=$L$4),ROW(),"-")</f>
        <v>-</v>
      </c>
    </row>
    <row r="24951" customHeight="1" spans="2:2">
      <c r="B24951" s="62" t="str">
        <f>IF(AND('领用录入（明细）'!D:D=$F$4,'领用录入（明细）'!C:C&gt;=$J$4,'领用录入（明细）'!C:C&lt;=$L$4),ROW(),"-")</f>
        <v>-</v>
      </c>
    </row>
    <row r="24952" customHeight="1" spans="2:2">
      <c r="B24952" s="62" t="str">
        <f>IF(AND('领用录入（明细）'!D:D=$F$4,'领用录入（明细）'!C:C&gt;=$J$4,'领用录入（明细）'!C:C&lt;=$L$4),ROW(),"-")</f>
        <v>-</v>
      </c>
    </row>
    <row r="24953" customHeight="1" spans="2:2">
      <c r="B24953" s="62" t="str">
        <f>IF(AND('领用录入（明细）'!D:D=$F$4,'领用录入（明细）'!C:C&gt;=$J$4,'领用录入（明细）'!C:C&lt;=$L$4),ROW(),"-")</f>
        <v>-</v>
      </c>
    </row>
    <row r="24954" customHeight="1" spans="2:2">
      <c r="B24954" s="62" t="str">
        <f>IF(AND('领用录入（明细）'!D:D=$F$4,'领用录入（明细）'!C:C&gt;=$J$4,'领用录入（明细）'!C:C&lt;=$L$4),ROW(),"-")</f>
        <v>-</v>
      </c>
    </row>
    <row r="24955" customHeight="1" spans="2:2">
      <c r="B24955" s="62" t="str">
        <f>IF(AND('领用录入（明细）'!D:D=$F$4,'领用录入（明细）'!C:C&gt;=$J$4,'领用录入（明细）'!C:C&lt;=$L$4),ROW(),"-")</f>
        <v>-</v>
      </c>
    </row>
    <row r="24956" customHeight="1" spans="2:2">
      <c r="B24956" s="62" t="str">
        <f>IF(AND('领用录入（明细）'!D:D=$F$4,'领用录入（明细）'!C:C&gt;=$J$4,'领用录入（明细）'!C:C&lt;=$L$4),ROW(),"-")</f>
        <v>-</v>
      </c>
    </row>
    <row r="24957" customHeight="1" spans="2:2">
      <c r="B24957" s="62" t="str">
        <f>IF(AND('领用录入（明细）'!D:D=$F$4,'领用录入（明细）'!C:C&gt;=$J$4,'领用录入（明细）'!C:C&lt;=$L$4),ROW(),"-")</f>
        <v>-</v>
      </c>
    </row>
    <row r="24958" customHeight="1" spans="2:2">
      <c r="B24958" s="62" t="str">
        <f>IF(AND('领用录入（明细）'!D:D=$F$4,'领用录入（明细）'!C:C&gt;=$J$4,'领用录入（明细）'!C:C&lt;=$L$4),ROW(),"-")</f>
        <v>-</v>
      </c>
    </row>
    <row r="24959" customHeight="1" spans="2:2">
      <c r="B24959" s="62" t="str">
        <f>IF(AND('领用录入（明细）'!D:D=$F$4,'领用录入（明细）'!C:C&gt;=$J$4,'领用录入（明细）'!C:C&lt;=$L$4),ROW(),"-")</f>
        <v>-</v>
      </c>
    </row>
    <row r="24960" customHeight="1" spans="2:2">
      <c r="B24960" s="62" t="str">
        <f>IF(AND('领用录入（明细）'!D:D=$F$4,'领用录入（明细）'!C:C&gt;=$J$4,'领用录入（明细）'!C:C&lt;=$L$4),ROW(),"-")</f>
        <v>-</v>
      </c>
    </row>
    <row r="24961" customHeight="1" spans="2:2">
      <c r="B24961" s="62" t="str">
        <f>IF(AND('领用录入（明细）'!D:D=$F$4,'领用录入（明细）'!C:C&gt;=$J$4,'领用录入（明细）'!C:C&lt;=$L$4),ROW(),"-")</f>
        <v>-</v>
      </c>
    </row>
    <row r="24962" customHeight="1" spans="2:2">
      <c r="B24962" s="62" t="str">
        <f>IF(AND('领用录入（明细）'!D:D=$F$4,'领用录入（明细）'!C:C&gt;=$J$4,'领用录入（明细）'!C:C&lt;=$L$4),ROW(),"-")</f>
        <v>-</v>
      </c>
    </row>
    <row r="24963" customHeight="1" spans="2:2">
      <c r="B24963" s="62" t="str">
        <f>IF(AND('领用录入（明细）'!D:D=$F$4,'领用录入（明细）'!C:C&gt;=$J$4,'领用录入（明细）'!C:C&lt;=$L$4),ROW(),"-")</f>
        <v>-</v>
      </c>
    </row>
    <row r="24964" customHeight="1" spans="2:2">
      <c r="B24964" s="62" t="str">
        <f>IF(AND('领用录入（明细）'!D:D=$F$4,'领用录入（明细）'!C:C&gt;=$J$4,'领用录入（明细）'!C:C&lt;=$L$4),ROW(),"-")</f>
        <v>-</v>
      </c>
    </row>
    <row r="24965" customHeight="1" spans="2:2">
      <c r="B24965" s="62" t="str">
        <f>IF(AND('领用录入（明细）'!D:D=$F$4,'领用录入（明细）'!C:C&gt;=$J$4,'领用录入（明细）'!C:C&lt;=$L$4),ROW(),"-")</f>
        <v>-</v>
      </c>
    </row>
    <row r="24966" customHeight="1" spans="2:2">
      <c r="B24966" s="62" t="str">
        <f>IF(AND('领用录入（明细）'!D:D=$F$4,'领用录入（明细）'!C:C&gt;=$J$4,'领用录入（明细）'!C:C&lt;=$L$4),ROW(),"-")</f>
        <v>-</v>
      </c>
    </row>
    <row r="24967" customHeight="1" spans="2:2">
      <c r="B24967" s="62" t="str">
        <f>IF(AND('领用录入（明细）'!D:D=$F$4,'领用录入（明细）'!C:C&gt;=$J$4,'领用录入（明细）'!C:C&lt;=$L$4),ROW(),"-")</f>
        <v>-</v>
      </c>
    </row>
    <row r="24968" customHeight="1" spans="2:2">
      <c r="B24968" s="62" t="str">
        <f>IF(AND('领用录入（明细）'!D:D=$F$4,'领用录入（明细）'!C:C&gt;=$J$4,'领用录入（明细）'!C:C&lt;=$L$4),ROW(),"-")</f>
        <v>-</v>
      </c>
    </row>
    <row r="24969" customHeight="1" spans="2:2">
      <c r="B24969" s="62" t="str">
        <f>IF(AND('领用录入（明细）'!D:D=$F$4,'领用录入（明细）'!C:C&gt;=$J$4,'领用录入（明细）'!C:C&lt;=$L$4),ROW(),"-")</f>
        <v>-</v>
      </c>
    </row>
    <row r="24970" customHeight="1" spans="2:2">
      <c r="B24970" s="62" t="str">
        <f>IF(AND('领用录入（明细）'!D:D=$F$4,'领用录入（明细）'!C:C&gt;=$J$4,'领用录入（明细）'!C:C&lt;=$L$4),ROW(),"-")</f>
        <v>-</v>
      </c>
    </row>
    <row r="24971" customHeight="1" spans="2:2">
      <c r="B24971" s="62" t="str">
        <f>IF(AND('领用录入（明细）'!D:D=$F$4,'领用录入（明细）'!C:C&gt;=$J$4,'领用录入（明细）'!C:C&lt;=$L$4),ROW(),"-")</f>
        <v>-</v>
      </c>
    </row>
    <row r="24972" customHeight="1" spans="2:2">
      <c r="B24972" s="62" t="str">
        <f>IF(AND('领用录入（明细）'!D:D=$F$4,'领用录入（明细）'!C:C&gt;=$J$4,'领用录入（明细）'!C:C&lt;=$L$4),ROW(),"-")</f>
        <v>-</v>
      </c>
    </row>
    <row r="24973" customHeight="1" spans="2:2">
      <c r="B24973" s="62" t="str">
        <f>IF(AND('领用录入（明细）'!D:D=$F$4,'领用录入（明细）'!C:C&gt;=$J$4,'领用录入（明细）'!C:C&lt;=$L$4),ROW(),"-")</f>
        <v>-</v>
      </c>
    </row>
    <row r="24974" customHeight="1" spans="2:2">
      <c r="B24974" s="62" t="str">
        <f>IF(AND('领用录入（明细）'!D:D=$F$4,'领用录入（明细）'!C:C&gt;=$J$4,'领用录入（明细）'!C:C&lt;=$L$4),ROW(),"-")</f>
        <v>-</v>
      </c>
    </row>
    <row r="24975" customHeight="1" spans="2:2">
      <c r="B24975" s="62" t="str">
        <f>IF(AND('领用录入（明细）'!D:D=$F$4,'领用录入（明细）'!C:C&gt;=$J$4,'领用录入（明细）'!C:C&lt;=$L$4),ROW(),"-")</f>
        <v>-</v>
      </c>
    </row>
    <row r="24976" customHeight="1" spans="2:2">
      <c r="B24976" s="62" t="str">
        <f>IF(AND('领用录入（明细）'!D:D=$F$4,'领用录入（明细）'!C:C&gt;=$J$4,'领用录入（明细）'!C:C&lt;=$L$4),ROW(),"-")</f>
        <v>-</v>
      </c>
    </row>
    <row r="24977" customHeight="1" spans="2:2">
      <c r="B24977" s="62" t="str">
        <f>IF(AND('领用录入（明细）'!D:D=$F$4,'领用录入（明细）'!C:C&gt;=$J$4,'领用录入（明细）'!C:C&lt;=$L$4),ROW(),"-")</f>
        <v>-</v>
      </c>
    </row>
    <row r="24978" customHeight="1" spans="2:2">
      <c r="B24978" s="62" t="str">
        <f>IF(AND('领用录入（明细）'!D:D=$F$4,'领用录入（明细）'!C:C&gt;=$J$4,'领用录入（明细）'!C:C&lt;=$L$4),ROW(),"-")</f>
        <v>-</v>
      </c>
    </row>
    <row r="24979" customHeight="1" spans="2:2">
      <c r="B24979" s="62" t="str">
        <f>IF(AND('领用录入（明细）'!D:D=$F$4,'领用录入（明细）'!C:C&gt;=$J$4,'领用录入（明细）'!C:C&lt;=$L$4),ROW(),"-")</f>
        <v>-</v>
      </c>
    </row>
    <row r="24980" customHeight="1" spans="2:2">
      <c r="B24980" s="62" t="str">
        <f>IF(AND('领用录入（明细）'!D:D=$F$4,'领用录入（明细）'!C:C&gt;=$J$4,'领用录入（明细）'!C:C&lt;=$L$4),ROW(),"-")</f>
        <v>-</v>
      </c>
    </row>
    <row r="24981" customHeight="1" spans="2:2">
      <c r="B24981" s="62" t="str">
        <f>IF(AND('领用录入（明细）'!D:D=$F$4,'领用录入（明细）'!C:C&gt;=$J$4,'领用录入（明细）'!C:C&lt;=$L$4),ROW(),"-")</f>
        <v>-</v>
      </c>
    </row>
    <row r="24982" customHeight="1" spans="2:2">
      <c r="B24982" s="62" t="str">
        <f>IF(AND('领用录入（明细）'!D:D=$F$4,'领用录入（明细）'!C:C&gt;=$J$4,'领用录入（明细）'!C:C&lt;=$L$4),ROW(),"-")</f>
        <v>-</v>
      </c>
    </row>
    <row r="24983" customHeight="1" spans="2:2">
      <c r="B24983" s="62" t="str">
        <f>IF(AND('领用录入（明细）'!D:D=$F$4,'领用录入（明细）'!C:C&gt;=$J$4,'领用录入（明细）'!C:C&lt;=$L$4),ROW(),"-")</f>
        <v>-</v>
      </c>
    </row>
    <row r="24984" customHeight="1" spans="2:2">
      <c r="B24984" s="62" t="str">
        <f>IF(AND('领用录入（明细）'!D:D=$F$4,'领用录入（明细）'!C:C&gt;=$J$4,'领用录入（明细）'!C:C&lt;=$L$4),ROW(),"-")</f>
        <v>-</v>
      </c>
    </row>
    <row r="24985" customHeight="1" spans="2:2">
      <c r="B24985" s="62" t="str">
        <f>IF(AND('领用录入（明细）'!D:D=$F$4,'领用录入（明细）'!C:C&gt;=$J$4,'领用录入（明细）'!C:C&lt;=$L$4),ROW(),"-")</f>
        <v>-</v>
      </c>
    </row>
    <row r="24986" customHeight="1" spans="2:2">
      <c r="B24986" s="62" t="str">
        <f>IF(AND('领用录入（明细）'!D:D=$F$4,'领用录入（明细）'!C:C&gt;=$J$4,'领用录入（明细）'!C:C&lt;=$L$4),ROW(),"-")</f>
        <v>-</v>
      </c>
    </row>
    <row r="24987" customHeight="1" spans="2:2">
      <c r="B24987" s="62" t="str">
        <f>IF(AND('领用录入（明细）'!D:D=$F$4,'领用录入（明细）'!C:C&gt;=$J$4,'领用录入（明细）'!C:C&lt;=$L$4),ROW(),"-")</f>
        <v>-</v>
      </c>
    </row>
    <row r="24988" customHeight="1" spans="2:2">
      <c r="B24988" s="62" t="str">
        <f>IF(AND('领用录入（明细）'!D:D=$F$4,'领用录入（明细）'!C:C&gt;=$J$4,'领用录入（明细）'!C:C&lt;=$L$4),ROW(),"-")</f>
        <v>-</v>
      </c>
    </row>
    <row r="24989" customHeight="1" spans="2:2">
      <c r="B24989" s="62" t="str">
        <f>IF(AND('领用录入（明细）'!D:D=$F$4,'领用录入（明细）'!C:C&gt;=$J$4,'领用录入（明细）'!C:C&lt;=$L$4),ROW(),"-")</f>
        <v>-</v>
      </c>
    </row>
    <row r="24990" customHeight="1" spans="2:2">
      <c r="B24990" s="62" t="str">
        <f>IF(AND('领用录入（明细）'!D:D=$F$4,'领用录入（明细）'!C:C&gt;=$J$4,'领用录入（明细）'!C:C&lt;=$L$4),ROW(),"-")</f>
        <v>-</v>
      </c>
    </row>
    <row r="24991" customHeight="1" spans="2:2">
      <c r="B24991" s="62" t="str">
        <f>IF(AND('领用录入（明细）'!D:D=$F$4,'领用录入（明细）'!C:C&gt;=$J$4,'领用录入（明细）'!C:C&lt;=$L$4),ROW(),"-")</f>
        <v>-</v>
      </c>
    </row>
    <row r="24992" customHeight="1" spans="2:2">
      <c r="B24992" s="62" t="str">
        <f>IF(AND('领用录入（明细）'!D:D=$F$4,'领用录入（明细）'!C:C&gt;=$J$4,'领用录入（明细）'!C:C&lt;=$L$4),ROW(),"-")</f>
        <v>-</v>
      </c>
    </row>
    <row r="24993" customHeight="1" spans="2:2">
      <c r="B24993" s="62" t="str">
        <f>IF(AND('领用录入（明细）'!D:D=$F$4,'领用录入（明细）'!C:C&gt;=$J$4,'领用录入（明细）'!C:C&lt;=$L$4),ROW(),"-")</f>
        <v>-</v>
      </c>
    </row>
    <row r="24994" customHeight="1" spans="2:2">
      <c r="B24994" s="62" t="str">
        <f>IF(AND('领用录入（明细）'!D:D=$F$4,'领用录入（明细）'!C:C&gt;=$J$4,'领用录入（明细）'!C:C&lt;=$L$4),ROW(),"-")</f>
        <v>-</v>
      </c>
    </row>
    <row r="24995" customHeight="1" spans="2:2">
      <c r="B24995" s="62" t="str">
        <f>IF(AND('领用录入（明细）'!D:D=$F$4,'领用录入（明细）'!C:C&gt;=$J$4,'领用录入（明细）'!C:C&lt;=$L$4),ROW(),"-")</f>
        <v>-</v>
      </c>
    </row>
    <row r="24996" customHeight="1" spans="2:2">
      <c r="B24996" s="62" t="str">
        <f>IF(AND('领用录入（明细）'!D:D=$F$4,'领用录入（明细）'!C:C&gt;=$J$4,'领用录入（明细）'!C:C&lt;=$L$4),ROW(),"-")</f>
        <v>-</v>
      </c>
    </row>
    <row r="24997" customHeight="1" spans="2:2">
      <c r="B24997" s="62" t="str">
        <f>IF(AND('领用录入（明细）'!D:D=$F$4,'领用录入（明细）'!C:C&gt;=$J$4,'领用录入（明细）'!C:C&lt;=$L$4),ROW(),"-")</f>
        <v>-</v>
      </c>
    </row>
    <row r="24998" customHeight="1" spans="2:2">
      <c r="B24998" s="62" t="str">
        <f>IF(AND('领用录入（明细）'!D:D=$F$4,'领用录入（明细）'!C:C&gt;=$J$4,'领用录入（明细）'!C:C&lt;=$L$4),ROW(),"-")</f>
        <v>-</v>
      </c>
    </row>
    <row r="24999" customHeight="1" spans="2:2">
      <c r="B24999" s="62" t="str">
        <f>IF(AND('领用录入（明细）'!D:D=$F$4,'领用录入（明细）'!C:C&gt;=$J$4,'领用录入（明细）'!C:C&lt;=$L$4),ROW(),"-")</f>
        <v>-</v>
      </c>
    </row>
    <row r="25000" customHeight="1" spans="2:2">
      <c r="B25000" s="62" t="str">
        <f>IF(AND('领用录入（明细）'!D:D=$F$4,'领用录入（明细）'!C:C&gt;=$J$4,'领用录入（明细）'!C:C&lt;=$L$4),ROW(),"-")</f>
        <v>-</v>
      </c>
    </row>
    <row r="25001" customHeight="1" spans="2:2">
      <c r="B25001" s="62" t="str">
        <f>IF(AND('领用录入（明细）'!D:D=$F$4,'领用录入（明细）'!C:C&gt;=$J$4,'领用录入（明细）'!C:C&lt;=$L$4),ROW(),"-")</f>
        <v>-</v>
      </c>
    </row>
    <row r="25002" customHeight="1" spans="2:2">
      <c r="B25002" s="62" t="str">
        <f>IF(AND('领用录入（明细）'!D:D=$F$4,'领用录入（明细）'!C:C&gt;=$J$4,'领用录入（明细）'!C:C&lt;=$L$4),ROW(),"-")</f>
        <v>-</v>
      </c>
    </row>
    <row r="25003" customHeight="1" spans="2:2">
      <c r="B25003" s="62" t="str">
        <f>IF(AND('领用录入（明细）'!D:D=$F$4,'领用录入（明细）'!C:C&gt;=$J$4,'领用录入（明细）'!C:C&lt;=$L$4),ROW(),"-")</f>
        <v>-</v>
      </c>
    </row>
    <row r="25004" customHeight="1" spans="2:2">
      <c r="B25004" s="62" t="str">
        <f>IF(AND('领用录入（明细）'!D:D=$F$4,'领用录入（明细）'!C:C&gt;=$J$4,'领用录入（明细）'!C:C&lt;=$L$4),ROW(),"-")</f>
        <v>-</v>
      </c>
    </row>
    <row r="25005" customHeight="1" spans="2:2">
      <c r="B25005" s="62" t="str">
        <f>IF(AND('领用录入（明细）'!D:D=$F$4,'领用录入（明细）'!C:C&gt;=$J$4,'领用录入（明细）'!C:C&lt;=$L$4),ROW(),"-")</f>
        <v>-</v>
      </c>
    </row>
    <row r="25006" customHeight="1" spans="2:2">
      <c r="B25006" s="62" t="str">
        <f>IF(AND('领用录入（明细）'!D:D=$F$4,'领用录入（明细）'!C:C&gt;=$J$4,'领用录入（明细）'!C:C&lt;=$L$4),ROW(),"-")</f>
        <v>-</v>
      </c>
    </row>
    <row r="25007" customHeight="1" spans="2:2">
      <c r="B25007" s="62" t="str">
        <f>IF(AND('领用录入（明细）'!D:D=$F$4,'领用录入（明细）'!C:C&gt;=$J$4,'领用录入（明细）'!C:C&lt;=$L$4),ROW(),"-")</f>
        <v>-</v>
      </c>
    </row>
    <row r="25008" customHeight="1" spans="2:2">
      <c r="B25008" s="62" t="str">
        <f>IF(AND('领用录入（明细）'!D:D=$F$4,'领用录入（明细）'!C:C&gt;=$J$4,'领用录入（明细）'!C:C&lt;=$L$4),ROW(),"-")</f>
        <v>-</v>
      </c>
    </row>
    <row r="25009" customHeight="1" spans="2:2">
      <c r="B25009" s="62" t="str">
        <f>IF(AND('领用录入（明细）'!D:D=$F$4,'领用录入（明细）'!C:C&gt;=$J$4,'领用录入（明细）'!C:C&lt;=$L$4),ROW(),"-")</f>
        <v>-</v>
      </c>
    </row>
    <row r="25010" customHeight="1" spans="2:2">
      <c r="B25010" s="62" t="str">
        <f>IF(AND('领用录入（明细）'!D:D=$F$4,'领用录入（明细）'!C:C&gt;=$J$4,'领用录入（明细）'!C:C&lt;=$L$4),ROW(),"-")</f>
        <v>-</v>
      </c>
    </row>
    <row r="25011" customHeight="1" spans="2:2">
      <c r="B25011" s="62" t="str">
        <f>IF(AND('领用录入（明细）'!D:D=$F$4,'领用录入（明细）'!C:C&gt;=$J$4,'领用录入（明细）'!C:C&lt;=$L$4),ROW(),"-")</f>
        <v>-</v>
      </c>
    </row>
    <row r="25012" customHeight="1" spans="2:2">
      <c r="B25012" s="62" t="str">
        <f>IF(AND('领用录入（明细）'!D:D=$F$4,'领用录入（明细）'!C:C&gt;=$J$4,'领用录入（明细）'!C:C&lt;=$L$4),ROW(),"-")</f>
        <v>-</v>
      </c>
    </row>
    <row r="25013" customHeight="1" spans="2:2">
      <c r="B25013" s="62" t="str">
        <f>IF(AND('领用录入（明细）'!D:D=$F$4,'领用录入（明细）'!C:C&gt;=$J$4,'领用录入（明细）'!C:C&lt;=$L$4),ROW(),"-")</f>
        <v>-</v>
      </c>
    </row>
    <row r="25014" customHeight="1" spans="2:2">
      <c r="B25014" s="62" t="str">
        <f>IF(AND('领用录入（明细）'!D:D=$F$4,'领用录入（明细）'!C:C&gt;=$J$4,'领用录入（明细）'!C:C&lt;=$L$4),ROW(),"-")</f>
        <v>-</v>
      </c>
    </row>
    <row r="25015" customHeight="1" spans="2:2">
      <c r="B25015" s="62" t="str">
        <f>IF(AND('领用录入（明细）'!D:D=$F$4,'领用录入（明细）'!C:C&gt;=$J$4,'领用录入（明细）'!C:C&lt;=$L$4),ROW(),"-")</f>
        <v>-</v>
      </c>
    </row>
    <row r="25016" customHeight="1" spans="2:2">
      <c r="B25016" s="62" t="str">
        <f>IF(AND('领用录入（明细）'!D:D=$F$4,'领用录入（明细）'!C:C&gt;=$J$4,'领用录入（明细）'!C:C&lt;=$L$4),ROW(),"-")</f>
        <v>-</v>
      </c>
    </row>
    <row r="25017" customHeight="1" spans="2:2">
      <c r="B25017" s="62" t="str">
        <f>IF(AND('领用录入（明细）'!D:D=$F$4,'领用录入（明细）'!C:C&gt;=$J$4,'领用录入（明细）'!C:C&lt;=$L$4),ROW(),"-")</f>
        <v>-</v>
      </c>
    </row>
    <row r="25018" customHeight="1" spans="2:2">
      <c r="B25018" s="62" t="str">
        <f>IF(AND('领用录入（明细）'!D:D=$F$4,'领用录入（明细）'!C:C&gt;=$J$4,'领用录入（明细）'!C:C&lt;=$L$4),ROW(),"-")</f>
        <v>-</v>
      </c>
    </row>
    <row r="25019" customHeight="1" spans="2:2">
      <c r="B25019" s="62" t="str">
        <f>IF(AND('领用录入（明细）'!D:D=$F$4,'领用录入（明细）'!C:C&gt;=$J$4,'领用录入（明细）'!C:C&lt;=$L$4),ROW(),"-")</f>
        <v>-</v>
      </c>
    </row>
    <row r="25020" customHeight="1" spans="2:2">
      <c r="B25020" s="62" t="str">
        <f>IF(AND('领用录入（明细）'!D:D=$F$4,'领用录入（明细）'!C:C&gt;=$J$4,'领用录入（明细）'!C:C&lt;=$L$4),ROW(),"-")</f>
        <v>-</v>
      </c>
    </row>
    <row r="25021" customHeight="1" spans="2:2">
      <c r="B25021" s="62" t="str">
        <f>IF(AND('领用录入（明细）'!D:D=$F$4,'领用录入（明细）'!C:C&gt;=$J$4,'领用录入（明细）'!C:C&lt;=$L$4),ROW(),"-")</f>
        <v>-</v>
      </c>
    </row>
    <row r="25022" customHeight="1" spans="2:2">
      <c r="B25022" s="62" t="str">
        <f>IF(AND('领用录入（明细）'!D:D=$F$4,'领用录入（明细）'!C:C&gt;=$J$4,'领用录入（明细）'!C:C&lt;=$L$4),ROW(),"-")</f>
        <v>-</v>
      </c>
    </row>
    <row r="25023" customHeight="1" spans="2:2">
      <c r="B25023" s="62" t="str">
        <f>IF(AND('领用录入（明细）'!D:D=$F$4,'领用录入（明细）'!C:C&gt;=$J$4,'领用录入（明细）'!C:C&lt;=$L$4),ROW(),"-")</f>
        <v>-</v>
      </c>
    </row>
    <row r="25024" customHeight="1" spans="2:2">
      <c r="B25024" s="62" t="str">
        <f>IF(AND('领用录入（明细）'!D:D=$F$4,'领用录入（明细）'!C:C&gt;=$J$4,'领用录入（明细）'!C:C&lt;=$L$4),ROW(),"-")</f>
        <v>-</v>
      </c>
    </row>
    <row r="25025" customHeight="1" spans="2:2">
      <c r="B25025" s="62" t="str">
        <f>IF(AND('领用录入（明细）'!D:D=$F$4,'领用录入（明细）'!C:C&gt;=$J$4,'领用录入（明细）'!C:C&lt;=$L$4),ROW(),"-")</f>
        <v>-</v>
      </c>
    </row>
    <row r="25026" customHeight="1" spans="2:2">
      <c r="B25026" s="62" t="str">
        <f>IF(AND('领用录入（明细）'!D:D=$F$4,'领用录入（明细）'!C:C&gt;=$J$4,'领用录入（明细）'!C:C&lt;=$L$4),ROW(),"-")</f>
        <v>-</v>
      </c>
    </row>
    <row r="25027" customHeight="1" spans="2:2">
      <c r="B25027" s="62" t="str">
        <f>IF(AND('领用录入（明细）'!D:D=$F$4,'领用录入（明细）'!C:C&gt;=$J$4,'领用录入（明细）'!C:C&lt;=$L$4),ROW(),"-")</f>
        <v>-</v>
      </c>
    </row>
    <row r="25028" customHeight="1" spans="2:2">
      <c r="B25028" s="62" t="str">
        <f>IF(AND('领用录入（明细）'!D:D=$F$4,'领用录入（明细）'!C:C&gt;=$J$4,'领用录入（明细）'!C:C&lt;=$L$4),ROW(),"-")</f>
        <v>-</v>
      </c>
    </row>
    <row r="25029" customHeight="1" spans="2:2">
      <c r="B25029" s="62" t="str">
        <f>IF(AND('领用录入（明细）'!D:D=$F$4,'领用录入（明细）'!C:C&gt;=$J$4,'领用录入（明细）'!C:C&lt;=$L$4),ROW(),"-")</f>
        <v>-</v>
      </c>
    </row>
    <row r="25030" customHeight="1" spans="2:2">
      <c r="B25030" s="62" t="str">
        <f>IF(AND('领用录入（明细）'!D:D=$F$4,'领用录入（明细）'!C:C&gt;=$J$4,'领用录入（明细）'!C:C&lt;=$L$4),ROW(),"-")</f>
        <v>-</v>
      </c>
    </row>
    <row r="25031" customHeight="1" spans="2:2">
      <c r="B25031" s="62" t="str">
        <f>IF(AND('领用录入（明细）'!D:D=$F$4,'领用录入（明细）'!C:C&gt;=$J$4,'领用录入（明细）'!C:C&lt;=$L$4),ROW(),"-")</f>
        <v>-</v>
      </c>
    </row>
    <row r="25032" customHeight="1" spans="2:2">
      <c r="B25032" s="62" t="str">
        <f>IF(AND('领用录入（明细）'!D:D=$F$4,'领用录入（明细）'!C:C&gt;=$J$4,'领用录入（明细）'!C:C&lt;=$L$4),ROW(),"-")</f>
        <v>-</v>
      </c>
    </row>
    <row r="25033" customHeight="1" spans="2:2">
      <c r="B25033" s="62" t="str">
        <f>IF(AND('领用录入（明细）'!D:D=$F$4,'领用录入（明细）'!C:C&gt;=$J$4,'领用录入（明细）'!C:C&lt;=$L$4),ROW(),"-")</f>
        <v>-</v>
      </c>
    </row>
    <row r="25034" customHeight="1" spans="2:2">
      <c r="B25034" s="62" t="str">
        <f>IF(AND('领用录入（明细）'!D:D=$F$4,'领用录入（明细）'!C:C&gt;=$J$4,'领用录入（明细）'!C:C&lt;=$L$4),ROW(),"-")</f>
        <v>-</v>
      </c>
    </row>
    <row r="25035" customHeight="1" spans="2:2">
      <c r="B25035" s="62" t="str">
        <f>IF(AND('领用录入（明细）'!D:D=$F$4,'领用录入（明细）'!C:C&gt;=$J$4,'领用录入（明细）'!C:C&lt;=$L$4),ROW(),"-")</f>
        <v>-</v>
      </c>
    </row>
    <row r="25036" customHeight="1" spans="2:2">
      <c r="B25036" s="62" t="str">
        <f>IF(AND('领用录入（明细）'!D:D=$F$4,'领用录入（明细）'!C:C&gt;=$J$4,'领用录入（明细）'!C:C&lt;=$L$4),ROW(),"-")</f>
        <v>-</v>
      </c>
    </row>
    <row r="25037" customHeight="1" spans="2:2">
      <c r="B25037" s="62" t="str">
        <f>IF(AND('领用录入（明细）'!D:D=$F$4,'领用录入（明细）'!C:C&gt;=$J$4,'领用录入（明细）'!C:C&lt;=$L$4),ROW(),"-")</f>
        <v>-</v>
      </c>
    </row>
    <row r="25038" customHeight="1" spans="2:2">
      <c r="B25038" s="62" t="str">
        <f>IF(AND('领用录入（明细）'!D:D=$F$4,'领用录入（明细）'!C:C&gt;=$J$4,'领用录入（明细）'!C:C&lt;=$L$4),ROW(),"-")</f>
        <v>-</v>
      </c>
    </row>
    <row r="25039" customHeight="1" spans="2:2">
      <c r="B25039" s="62" t="str">
        <f>IF(AND('领用录入（明细）'!D:D=$F$4,'领用录入（明细）'!C:C&gt;=$J$4,'领用录入（明细）'!C:C&lt;=$L$4),ROW(),"-")</f>
        <v>-</v>
      </c>
    </row>
    <row r="25040" customHeight="1" spans="2:2">
      <c r="B25040" s="62" t="str">
        <f>IF(AND('领用录入（明细）'!D:D=$F$4,'领用录入（明细）'!C:C&gt;=$J$4,'领用录入（明细）'!C:C&lt;=$L$4),ROW(),"-")</f>
        <v>-</v>
      </c>
    </row>
    <row r="25041" customHeight="1" spans="2:2">
      <c r="B25041" s="62" t="str">
        <f>IF(AND('领用录入（明细）'!D:D=$F$4,'领用录入（明细）'!C:C&gt;=$J$4,'领用录入（明细）'!C:C&lt;=$L$4),ROW(),"-")</f>
        <v>-</v>
      </c>
    </row>
    <row r="25042" customHeight="1" spans="2:2">
      <c r="B25042" s="62" t="str">
        <f>IF(AND('领用录入（明细）'!D:D=$F$4,'领用录入（明细）'!C:C&gt;=$J$4,'领用录入（明细）'!C:C&lt;=$L$4),ROW(),"-")</f>
        <v>-</v>
      </c>
    </row>
    <row r="25043" customHeight="1" spans="2:2">
      <c r="B25043" s="62" t="str">
        <f>IF(AND('领用录入（明细）'!D:D=$F$4,'领用录入（明细）'!C:C&gt;=$J$4,'领用录入（明细）'!C:C&lt;=$L$4),ROW(),"-")</f>
        <v>-</v>
      </c>
    </row>
    <row r="25044" customHeight="1" spans="2:2">
      <c r="B25044" s="62" t="str">
        <f>IF(AND('领用录入（明细）'!D:D=$F$4,'领用录入（明细）'!C:C&gt;=$J$4,'领用录入（明细）'!C:C&lt;=$L$4),ROW(),"-")</f>
        <v>-</v>
      </c>
    </row>
    <row r="25045" customHeight="1" spans="2:2">
      <c r="B25045" s="62" t="str">
        <f>IF(AND('领用录入（明细）'!D:D=$F$4,'领用录入（明细）'!C:C&gt;=$J$4,'领用录入（明细）'!C:C&lt;=$L$4),ROW(),"-")</f>
        <v>-</v>
      </c>
    </row>
    <row r="25046" customHeight="1" spans="2:2">
      <c r="B25046" s="62" t="str">
        <f>IF(AND('领用录入（明细）'!D:D=$F$4,'领用录入（明细）'!C:C&gt;=$J$4,'领用录入（明细）'!C:C&lt;=$L$4),ROW(),"-")</f>
        <v>-</v>
      </c>
    </row>
    <row r="25047" customHeight="1" spans="2:2">
      <c r="B25047" s="62" t="str">
        <f>IF(AND('领用录入（明细）'!D:D=$F$4,'领用录入（明细）'!C:C&gt;=$J$4,'领用录入（明细）'!C:C&lt;=$L$4),ROW(),"-")</f>
        <v>-</v>
      </c>
    </row>
    <row r="25048" customHeight="1" spans="2:2">
      <c r="B25048" s="62" t="str">
        <f>IF(AND('领用录入（明细）'!D:D=$F$4,'领用录入（明细）'!C:C&gt;=$J$4,'领用录入（明细）'!C:C&lt;=$L$4),ROW(),"-")</f>
        <v>-</v>
      </c>
    </row>
    <row r="25049" customHeight="1" spans="2:2">
      <c r="B25049" s="62" t="str">
        <f>IF(AND('领用录入（明细）'!D:D=$F$4,'领用录入（明细）'!C:C&gt;=$J$4,'领用录入（明细）'!C:C&lt;=$L$4),ROW(),"-")</f>
        <v>-</v>
      </c>
    </row>
    <row r="25050" customHeight="1" spans="2:2">
      <c r="B25050" s="62" t="str">
        <f>IF(AND('领用录入（明细）'!D:D=$F$4,'领用录入（明细）'!C:C&gt;=$J$4,'领用录入（明细）'!C:C&lt;=$L$4),ROW(),"-")</f>
        <v>-</v>
      </c>
    </row>
    <row r="25051" customHeight="1" spans="2:2">
      <c r="B25051" s="62" t="str">
        <f>IF(AND('领用录入（明细）'!D:D=$F$4,'领用录入（明细）'!C:C&gt;=$J$4,'领用录入（明细）'!C:C&lt;=$L$4),ROW(),"-")</f>
        <v>-</v>
      </c>
    </row>
    <row r="25052" customHeight="1" spans="2:2">
      <c r="B25052" s="62" t="str">
        <f>IF(AND('领用录入（明细）'!D:D=$F$4,'领用录入（明细）'!C:C&gt;=$J$4,'领用录入（明细）'!C:C&lt;=$L$4),ROW(),"-")</f>
        <v>-</v>
      </c>
    </row>
    <row r="25053" customHeight="1" spans="2:2">
      <c r="B25053" s="62" t="str">
        <f>IF(AND('领用录入（明细）'!D:D=$F$4,'领用录入（明细）'!C:C&gt;=$J$4,'领用录入（明细）'!C:C&lt;=$L$4),ROW(),"-")</f>
        <v>-</v>
      </c>
    </row>
    <row r="25054" customHeight="1" spans="2:2">
      <c r="B25054" s="62" t="str">
        <f>IF(AND('领用录入（明细）'!D:D=$F$4,'领用录入（明细）'!C:C&gt;=$J$4,'领用录入（明细）'!C:C&lt;=$L$4),ROW(),"-")</f>
        <v>-</v>
      </c>
    </row>
    <row r="25055" customHeight="1" spans="2:2">
      <c r="B25055" s="62" t="str">
        <f>IF(AND('领用录入（明细）'!D:D=$F$4,'领用录入（明细）'!C:C&gt;=$J$4,'领用录入（明细）'!C:C&lt;=$L$4),ROW(),"-")</f>
        <v>-</v>
      </c>
    </row>
    <row r="25056" customHeight="1" spans="2:2">
      <c r="B25056" s="62" t="str">
        <f>IF(AND('领用录入（明细）'!D:D=$F$4,'领用录入（明细）'!C:C&gt;=$J$4,'领用录入（明细）'!C:C&lt;=$L$4),ROW(),"-")</f>
        <v>-</v>
      </c>
    </row>
    <row r="25057" customHeight="1" spans="2:2">
      <c r="B25057" s="62" t="str">
        <f>IF(AND('领用录入（明细）'!D:D=$F$4,'领用录入（明细）'!C:C&gt;=$J$4,'领用录入（明细）'!C:C&lt;=$L$4),ROW(),"-")</f>
        <v>-</v>
      </c>
    </row>
    <row r="25058" customHeight="1" spans="2:2">
      <c r="B25058" s="62" t="str">
        <f>IF(AND('领用录入（明细）'!D:D=$F$4,'领用录入（明细）'!C:C&gt;=$J$4,'领用录入（明细）'!C:C&lt;=$L$4),ROW(),"-")</f>
        <v>-</v>
      </c>
    </row>
    <row r="25059" customHeight="1" spans="2:2">
      <c r="B25059" s="62" t="str">
        <f>IF(AND('领用录入（明细）'!D:D=$F$4,'领用录入（明细）'!C:C&gt;=$J$4,'领用录入（明细）'!C:C&lt;=$L$4),ROW(),"-")</f>
        <v>-</v>
      </c>
    </row>
    <row r="25060" customHeight="1" spans="2:2">
      <c r="B25060" s="62" t="str">
        <f>IF(AND('领用录入（明细）'!D:D=$F$4,'领用录入（明细）'!C:C&gt;=$J$4,'领用录入（明细）'!C:C&lt;=$L$4),ROW(),"-")</f>
        <v>-</v>
      </c>
    </row>
    <row r="25061" customHeight="1" spans="2:2">
      <c r="B25061" s="62" t="str">
        <f>IF(AND('领用录入（明细）'!D:D=$F$4,'领用录入（明细）'!C:C&gt;=$J$4,'领用录入（明细）'!C:C&lt;=$L$4),ROW(),"-")</f>
        <v>-</v>
      </c>
    </row>
    <row r="25062" customHeight="1" spans="2:2">
      <c r="B25062" s="62" t="str">
        <f>IF(AND('领用录入（明细）'!D:D=$F$4,'领用录入（明细）'!C:C&gt;=$J$4,'领用录入（明细）'!C:C&lt;=$L$4),ROW(),"-")</f>
        <v>-</v>
      </c>
    </row>
    <row r="25063" customHeight="1" spans="2:2">
      <c r="B25063" s="62" t="str">
        <f>IF(AND('领用录入（明细）'!D:D=$F$4,'领用录入（明细）'!C:C&gt;=$J$4,'领用录入（明细）'!C:C&lt;=$L$4),ROW(),"-")</f>
        <v>-</v>
      </c>
    </row>
    <row r="25064" customHeight="1" spans="2:2">
      <c r="B25064" s="62" t="str">
        <f>IF(AND('领用录入（明细）'!D:D=$F$4,'领用录入（明细）'!C:C&gt;=$J$4,'领用录入（明细）'!C:C&lt;=$L$4),ROW(),"-")</f>
        <v>-</v>
      </c>
    </row>
    <row r="25065" customHeight="1" spans="2:2">
      <c r="B25065" s="62" t="str">
        <f>IF(AND('领用录入（明细）'!D:D=$F$4,'领用录入（明细）'!C:C&gt;=$J$4,'领用录入（明细）'!C:C&lt;=$L$4),ROW(),"-")</f>
        <v>-</v>
      </c>
    </row>
    <row r="25066" customHeight="1" spans="2:2">
      <c r="B25066" s="62" t="str">
        <f>IF(AND('领用录入（明细）'!D:D=$F$4,'领用录入（明细）'!C:C&gt;=$J$4,'领用录入（明细）'!C:C&lt;=$L$4),ROW(),"-")</f>
        <v>-</v>
      </c>
    </row>
    <row r="25067" customHeight="1" spans="2:2">
      <c r="B25067" s="62" t="str">
        <f>IF(AND('领用录入（明细）'!D:D=$F$4,'领用录入（明细）'!C:C&gt;=$J$4,'领用录入（明细）'!C:C&lt;=$L$4),ROW(),"-")</f>
        <v>-</v>
      </c>
    </row>
    <row r="25068" customHeight="1" spans="2:2">
      <c r="B25068" s="62" t="str">
        <f>IF(AND('领用录入（明细）'!D:D=$F$4,'领用录入（明细）'!C:C&gt;=$J$4,'领用录入（明细）'!C:C&lt;=$L$4),ROW(),"-")</f>
        <v>-</v>
      </c>
    </row>
    <row r="25069" customHeight="1" spans="2:2">
      <c r="B25069" s="62" t="str">
        <f>IF(AND('领用录入（明细）'!D:D=$F$4,'领用录入（明细）'!C:C&gt;=$J$4,'领用录入（明细）'!C:C&lt;=$L$4),ROW(),"-")</f>
        <v>-</v>
      </c>
    </row>
    <row r="25070" customHeight="1" spans="2:2">
      <c r="B25070" s="62" t="str">
        <f>IF(AND('领用录入（明细）'!D:D=$F$4,'领用录入（明细）'!C:C&gt;=$J$4,'领用录入（明细）'!C:C&lt;=$L$4),ROW(),"-")</f>
        <v>-</v>
      </c>
    </row>
    <row r="25071" customHeight="1" spans="2:2">
      <c r="B25071" s="62" t="str">
        <f>IF(AND('领用录入（明细）'!D:D=$F$4,'领用录入（明细）'!C:C&gt;=$J$4,'领用录入（明细）'!C:C&lt;=$L$4),ROW(),"-")</f>
        <v>-</v>
      </c>
    </row>
    <row r="25072" customHeight="1" spans="2:2">
      <c r="B25072" s="62" t="str">
        <f>IF(AND('领用录入（明细）'!D:D=$F$4,'领用录入（明细）'!C:C&gt;=$J$4,'领用录入（明细）'!C:C&lt;=$L$4),ROW(),"-")</f>
        <v>-</v>
      </c>
    </row>
    <row r="25073" customHeight="1" spans="2:2">
      <c r="B25073" s="62" t="str">
        <f>IF(AND('领用录入（明细）'!D:D=$F$4,'领用录入（明细）'!C:C&gt;=$J$4,'领用录入（明细）'!C:C&lt;=$L$4),ROW(),"-")</f>
        <v>-</v>
      </c>
    </row>
    <row r="25074" customHeight="1" spans="2:2">
      <c r="B25074" s="62" t="str">
        <f>IF(AND('领用录入（明细）'!D:D=$F$4,'领用录入（明细）'!C:C&gt;=$J$4,'领用录入（明细）'!C:C&lt;=$L$4),ROW(),"-")</f>
        <v>-</v>
      </c>
    </row>
    <row r="25075" customHeight="1" spans="2:2">
      <c r="B25075" s="62" t="str">
        <f>IF(AND('领用录入（明细）'!D:D=$F$4,'领用录入（明细）'!C:C&gt;=$J$4,'领用录入（明细）'!C:C&lt;=$L$4),ROW(),"-")</f>
        <v>-</v>
      </c>
    </row>
    <row r="25076" customHeight="1" spans="2:2">
      <c r="B25076" s="62" t="str">
        <f>IF(AND('领用录入（明细）'!D:D=$F$4,'领用录入（明细）'!C:C&gt;=$J$4,'领用录入（明细）'!C:C&lt;=$L$4),ROW(),"-")</f>
        <v>-</v>
      </c>
    </row>
    <row r="25077" customHeight="1" spans="2:2">
      <c r="B25077" s="62" t="str">
        <f>IF(AND('领用录入（明细）'!D:D=$F$4,'领用录入（明细）'!C:C&gt;=$J$4,'领用录入（明细）'!C:C&lt;=$L$4),ROW(),"-")</f>
        <v>-</v>
      </c>
    </row>
    <row r="25078" customHeight="1" spans="2:2">
      <c r="B25078" s="62" t="str">
        <f>IF(AND('领用录入（明细）'!D:D=$F$4,'领用录入（明细）'!C:C&gt;=$J$4,'领用录入（明细）'!C:C&lt;=$L$4),ROW(),"-")</f>
        <v>-</v>
      </c>
    </row>
    <row r="25079" customHeight="1" spans="2:2">
      <c r="B25079" s="62" t="str">
        <f>IF(AND('领用录入（明细）'!D:D=$F$4,'领用录入（明细）'!C:C&gt;=$J$4,'领用录入（明细）'!C:C&lt;=$L$4),ROW(),"-")</f>
        <v>-</v>
      </c>
    </row>
    <row r="25080" customHeight="1" spans="2:2">
      <c r="B25080" s="62" t="str">
        <f>IF(AND('领用录入（明细）'!D:D=$F$4,'领用录入（明细）'!C:C&gt;=$J$4,'领用录入（明细）'!C:C&lt;=$L$4),ROW(),"-")</f>
        <v>-</v>
      </c>
    </row>
    <row r="25081" customHeight="1" spans="2:2">
      <c r="B25081" s="62" t="str">
        <f>IF(AND('领用录入（明细）'!D:D=$F$4,'领用录入（明细）'!C:C&gt;=$J$4,'领用录入（明细）'!C:C&lt;=$L$4),ROW(),"-")</f>
        <v>-</v>
      </c>
    </row>
    <row r="25082" customHeight="1" spans="2:2">
      <c r="B25082" s="62" t="str">
        <f>IF(AND('领用录入（明细）'!D:D=$F$4,'领用录入（明细）'!C:C&gt;=$J$4,'领用录入（明细）'!C:C&lt;=$L$4),ROW(),"-")</f>
        <v>-</v>
      </c>
    </row>
    <row r="25083" customHeight="1" spans="2:2">
      <c r="B25083" s="62" t="str">
        <f>IF(AND('领用录入（明细）'!D:D=$F$4,'领用录入（明细）'!C:C&gt;=$J$4,'领用录入（明细）'!C:C&lt;=$L$4),ROW(),"-")</f>
        <v>-</v>
      </c>
    </row>
    <row r="25084" customHeight="1" spans="2:2">
      <c r="B25084" s="62" t="str">
        <f>IF(AND('领用录入（明细）'!D:D=$F$4,'领用录入（明细）'!C:C&gt;=$J$4,'领用录入（明细）'!C:C&lt;=$L$4),ROW(),"-")</f>
        <v>-</v>
      </c>
    </row>
    <row r="25085" customHeight="1" spans="2:2">
      <c r="B25085" s="62" t="str">
        <f>IF(AND('领用录入（明细）'!D:D=$F$4,'领用录入（明细）'!C:C&gt;=$J$4,'领用录入（明细）'!C:C&lt;=$L$4),ROW(),"-")</f>
        <v>-</v>
      </c>
    </row>
    <row r="25086" customHeight="1" spans="2:2">
      <c r="B25086" s="62" t="str">
        <f>IF(AND('领用录入（明细）'!D:D=$F$4,'领用录入（明细）'!C:C&gt;=$J$4,'领用录入（明细）'!C:C&lt;=$L$4),ROW(),"-")</f>
        <v>-</v>
      </c>
    </row>
    <row r="25087" customHeight="1" spans="2:2">
      <c r="B25087" s="62" t="str">
        <f>IF(AND('领用录入（明细）'!D:D=$F$4,'领用录入（明细）'!C:C&gt;=$J$4,'领用录入（明细）'!C:C&lt;=$L$4),ROW(),"-")</f>
        <v>-</v>
      </c>
    </row>
    <row r="25088" customHeight="1" spans="2:2">
      <c r="B25088" s="62" t="str">
        <f>IF(AND('领用录入（明细）'!D:D=$F$4,'领用录入（明细）'!C:C&gt;=$J$4,'领用录入（明细）'!C:C&lt;=$L$4),ROW(),"-")</f>
        <v>-</v>
      </c>
    </row>
    <row r="25089" customHeight="1" spans="2:2">
      <c r="B25089" s="62" t="str">
        <f>IF(AND('领用录入（明细）'!D:D=$F$4,'领用录入（明细）'!C:C&gt;=$J$4,'领用录入（明细）'!C:C&lt;=$L$4),ROW(),"-")</f>
        <v>-</v>
      </c>
    </row>
    <row r="25090" customHeight="1" spans="2:2">
      <c r="B25090" s="62" t="str">
        <f>IF(AND('领用录入（明细）'!D:D=$F$4,'领用录入（明细）'!C:C&gt;=$J$4,'领用录入（明细）'!C:C&lt;=$L$4),ROW(),"-")</f>
        <v>-</v>
      </c>
    </row>
    <row r="25091" customHeight="1" spans="2:2">
      <c r="B25091" s="62" t="str">
        <f>IF(AND('领用录入（明细）'!D:D=$F$4,'领用录入（明细）'!C:C&gt;=$J$4,'领用录入（明细）'!C:C&lt;=$L$4),ROW(),"-")</f>
        <v>-</v>
      </c>
    </row>
    <row r="25092" customHeight="1" spans="2:2">
      <c r="B25092" s="62" t="str">
        <f>IF(AND('领用录入（明细）'!D:D=$F$4,'领用录入（明细）'!C:C&gt;=$J$4,'领用录入（明细）'!C:C&lt;=$L$4),ROW(),"-")</f>
        <v>-</v>
      </c>
    </row>
    <row r="25093" customHeight="1" spans="2:2">
      <c r="B25093" s="62" t="str">
        <f>IF(AND('领用录入（明细）'!D:D=$F$4,'领用录入（明细）'!C:C&gt;=$J$4,'领用录入（明细）'!C:C&lt;=$L$4),ROW(),"-")</f>
        <v>-</v>
      </c>
    </row>
    <row r="25094" customHeight="1" spans="2:2">
      <c r="B25094" s="62" t="str">
        <f>IF(AND('领用录入（明细）'!D:D=$F$4,'领用录入（明细）'!C:C&gt;=$J$4,'领用录入（明细）'!C:C&lt;=$L$4),ROW(),"-")</f>
        <v>-</v>
      </c>
    </row>
    <row r="25095" customHeight="1" spans="2:2">
      <c r="B25095" s="62" t="str">
        <f>IF(AND('领用录入（明细）'!D:D=$F$4,'领用录入（明细）'!C:C&gt;=$J$4,'领用录入（明细）'!C:C&lt;=$L$4),ROW(),"-")</f>
        <v>-</v>
      </c>
    </row>
    <row r="25096" customHeight="1" spans="2:2">
      <c r="B25096" s="62" t="str">
        <f>IF(AND('领用录入（明细）'!D:D=$F$4,'领用录入（明细）'!C:C&gt;=$J$4,'领用录入（明细）'!C:C&lt;=$L$4),ROW(),"-")</f>
        <v>-</v>
      </c>
    </row>
    <row r="25097" customHeight="1" spans="2:2">
      <c r="B25097" s="62" t="str">
        <f>IF(AND('领用录入（明细）'!D:D=$F$4,'领用录入（明细）'!C:C&gt;=$J$4,'领用录入（明细）'!C:C&lt;=$L$4),ROW(),"-")</f>
        <v>-</v>
      </c>
    </row>
    <row r="25098" customHeight="1" spans="2:2">
      <c r="B25098" s="62" t="str">
        <f>IF(AND('领用录入（明细）'!D:D=$F$4,'领用录入（明细）'!C:C&gt;=$J$4,'领用录入（明细）'!C:C&lt;=$L$4),ROW(),"-")</f>
        <v>-</v>
      </c>
    </row>
    <row r="25099" customHeight="1" spans="2:2">
      <c r="B25099" s="62" t="str">
        <f>IF(AND('领用录入（明细）'!D:D=$F$4,'领用录入（明细）'!C:C&gt;=$J$4,'领用录入（明细）'!C:C&lt;=$L$4),ROW(),"-")</f>
        <v>-</v>
      </c>
    </row>
    <row r="25100" customHeight="1" spans="2:2">
      <c r="B25100" s="62" t="str">
        <f>IF(AND('领用录入（明细）'!D:D=$F$4,'领用录入（明细）'!C:C&gt;=$J$4,'领用录入（明细）'!C:C&lt;=$L$4),ROW(),"-")</f>
        <v>-</v>
      </c>
    </row>
    <row r="25101" customHeight="1" spans="2:2">
      <c r="B25101" s="62" t="str">
        <f>IF(AND('领用录入（明细）'!D:D=$F$4,'领用录入（明细）'!C:C&gt;=$J$4,'领用录入（明细）'!C:C&lt;=$L$4),ROW(),"-")</f>
        <v>-</v>
      </c>
    </row>
    <row r="25102" customHeight="1" spans="2:2">
      <c r="B25102" s="62" t="str">
        <f>IF(AND('领用录入（明细）'!D:D=$F$4,'领用录入（明细）'!C:C&gt;=$J$4,'领用录入（明细）'!C:C&lt;=$L$4),ROW(),"-")</f>
        <v>-</v>
      </c>
    </row>
    <row r="25103" customHeight="1" spans="2:2">
      <c r="B25103" s="62" t="str">
        <f>IF(AND('领用录入（明细）'!D:D=$F$4,'领用录入（明细）'!C:C&gt;=$J$4,'领用录入（明细）'!C:C&lt;=$L$4),ROW(),"-")</f>
        <v>-</v>
      </c>
    </row>
    <row r="25104" customHeight="1" spans="2:2">
      <c r="B25104" s="62" t="str">
        <f>IF(AND('领用录入（明细）'!D:D=$F$4,'领用录入（明细）'!C:C&gt;=$J$4,'领用录入（明细）'!C:C&lt;=$L$4),ROW(),"-")</f>
        <v>-</v>
      </c>
    </row>
    <row r="25105" customHeight="1" spans="2:2">
      <c r="B25105" s="62" t="str">
        <f>IF(AND('领用录入（明细）'!D:D=$F$4,'领用录入（明细）'!C:C&gt;=$J$4,'领用录入（明细）'!C:C&lt;=$L$4),ROW(),"-")</f>
        <v>-</v>
      </c>
    </row>
    <row r="25106" customHeight="1" spans="2:2">
      <c r="B25106" s="62" t="str">
        <f>IF(AND('领用录入（明细）'!D:D=$F$4,'领用录入（明细）'!C:C&gt;=$J$4,'领用录入（明细）'!C:C&lt;=$L$4),ROW(),"-")</f>
        <v>-</v>
      </c>
    </row>
    <row r="25107" customHeight="1" spans="2:2">
      <c r="B25107" s="62" t="str">
        <f>IF(AND('领用录入（明细）'!D:D=$F$4,'领用录入（明细）'!C:C&gt;=$J$4,'领用录入（明细）'!C:C&lt;=$L$4),ROW(),"-")</f>
        <v>-</v>
      </c>
    </row>
    <row r="25108" customHeight="1" spans="2:2">
      <c r="B25108" s="62" t="str">
        <f>IF(AND('领用录入（明细）'!D:D=$F$4,'领用录入（明细）'!C:C&gt;=$J$4,'领用录入（明细）'!C:C&lt;=$L$4),ROW(),"-")</f>
        <v>-</v>
      </c>
    </row>
    <row r="25109" customHeight="1" spans="2:2">
      <c r="B25109" s="62" t="str">
        <f>IF(AND('领用录入（明细）'!D:D=$F$4,'领用录入（明细）'!C:C&gt;=$J$4,'领用录入（明细）'!C:C&lt;=$L$4),ROW(),"-")</f>
        <v>-</v>
      </c>
    </row>
    <row r="25110" customHeight="1" spans="2:2">
      <c r="B25110" s="62" t="str">
        <f>IF(AND('领用录入（明细）'!D:D=$F$4,'领用录入（明细）'!C:C&gt;=$J$4,'领用录入（明细）'!C:C&lt;=$L$4),ROW(),"-")</f>
        <v>-</v>
      </c>
    </row>
    <row r="25111" customHeight="1" spans="2:2">
      <c r="B25111" s="62" t="str">
        <f>IF(AND('领用录入（明细）'!D:D=$F$4,'领用录入（明细）'!C:C&gt;=$J$4,'领用录入（明细）'!C:C&lt;=$L$4),ROW(),"-")</f>
        <v>-</v>
      </c>
    </row>
    <row r="25112" customHeight="1" spans="2:2">
      <c r="B25112" s="62" t="str">
        <f>IF(AND('领用录入（明细）'!D:D=$F$4,'领用录入（明细）'!C:C&gt;=$J$4,'领用录入（明细）'!C:C&lt;=$L$4),ROW(),"-")</f>
        <v>-</v>
      </c>
    </row>
    <row r="25113" customHeight="1" spans="2:2">
      <c r="B25113" s="62" t="str">
        <f>IF(AND('领用录入（明细）'!D:D=$F$4,'领用录入（明细）'!C:C&gt;=$J$4,'领用录入（明细）'!C:C&lt;=$L$4),ROW(),"-")</f>
        <v>-</v>
      </c>
    </row>
    <row r="25114" customHeight="1" spans="2:2">
      <c r="B25114" s="62" t="str">
        <f>IF(AND('领用录入（明细）'!D:D=$F$4,'领用录入（明细）'!C:C&gt;=$J$4,'领用录入（明细）'!C:C&lt;=$L$4),ROW(),"-")</f>
        <v>-</v>
      </c>
    </row>
    <row r="25115" customHeight="1" spans="2:2">
      <c r="B25115" s="62" t="str">
        <f>IF(AND('领用录入（明细）'!D:D=$F$4,'领用录入（明细）'!C:C&gt;=$J$4,'领用录入（明细）'!C:C&lt;=$L$4),ROW(),"-")</f>
        <v>-</v>
      </c>
    </row>
    <row r="25116" customHeight="1" spans="2:2">
      <c r="B25116" s="62" t="str">
        <f>IF(AND('领用录入（明细）'!D:D=$F$4,'领用录入（明细）'!C:C&gt;=$J$4,'领用录入（明细）'!C:C&lt;=$L$4),ROW(),"-")</f>
        <v>-</v>
      </c>
    </row>
    <row r="25117" customHeight="1" spans="2:2">
      <c r="B25117" s="62" t="str">
        <f>IF(AND('领用录入（明细）'!D:D=$F$4,'领用录入（明细）'!C:C&gt;=$J$4,'领用录入（明细）'!C:C&lt;=$L$4),ROW(),"-")</f>
        <v>-</v>
      </c>
    </row>
    <row r="25118" customHeight="1" spans="2:2">
      <c r="B25118" s="62" t="str">
        <f>IF(AND('领用录入（明细）'!D:D=$F$4,'领用录入（明细）'!C:C&gt;=$J$4,'领用录入（明细）'!C:C&lt;=$L$4),ROW(),"-")</f>
        <v>-</v>
      </c>
    </row>
    <row r="25119" customHeight="1" spans="2:2">
      <c r="B25119" s="62" t="str">
        <f>IF(AND('领用录入（明细）'!D:D=$F$4,'领用录入（明细）'!C:C&gt;=$J$4,'领用录入（明细）'!C:C&lt;=$L$4),ROW(),"-")</f>
        <v>-</v>
      </c>
    </row>
    <row r="25120" customHeight="1" spans="2:2">
      <c r="B25120" s="62" t="str">
        <f>IF(AND('领用录入（明细）'!D:D=$F$4,'领用录入（明细）'!C:C&gt;=$J$4,'领用录入（明细）'!C:C&lt;=$L$4),ROW(),"-")</f>
        <v>-</v>
      </c>
    </row>
    <row r="25121" customHeight="1" spans="2:2">
      <c r="B25121" s="62" t="str">
        <f>IF(AND('领用录入（明细）'!D:D=$F$4,'领用录入（明细）'!C:C&gt;=$J$4,'领用录入（明细）'!C:C&lt;=$L$4),ROW(),"-")</f>
        <v>-</v>
      </c>
    </row>
    <row r="25122" customHeight="1" spans="2:2">
      <c r="B25122" s="62" t="str">
        <f>IF(AND('领用录入（明细）'!D:D=$F$4,'领用录入（明细）'!C:C&gt;=$J$4,'领用录入（明细）'!C:C&lt;=$L$4),ROW(),"-")</f>
        <v>-</v>
      </c>
    </row>
    <row r="25123" customHeight="1" spans="2:2">
      <c r="B25123" s="62" t="str">
        <f>IF(AND('领用录入（明细）'!D:D=$F$4,'领用录入（明细）'!C:C&gt;=$J$4,'领用录入（明细）'!C:C&lt;=$L$4),ROW(),"-")</f>
        <v>-</v>
      </c>
    </row>
    <row r="25124" customHeight="1" spans="2:2">
      <c r="B25124" s="62" t="str">
        <f>IF(AND('领用录入（明细）'!D:D=$F$4,'领用录入（明细）'!C:C&gt;=$J$4,'领用录入（明细）'!C:C&lt;=$L$4),ROW(),"-")</f>
        <v>-</v>
      </c>
    </row>
    <row r="25125" customHeight="1" spans="2:2">
      <c r="B25125" s="62" t="str">
        <f>IF(AND('领用录入（明细）'!D:D=$F$4,'领用录入（明细）'!C:C&gt;=$J$4,'领用录入（明细）'!C:C&lt;=$L$4),ROW(),"-")</f>
        <v>-</v>
      </c>
    </row>
    <row r="25126" customHeight="1" spans="2:2">
      <c r="B25126" s="62" t="str">
        <f>IF(AND('领用录入（明细）'!D:D=$F$4,'领用录入（明细）'!C:C&gt;=$J$4,'领用录入（明细）'!C:C&lt;=$L$4),ROW(),"-")</f>
        <v>-</v>
      </c>
    </row>
    <row r="25127" customHeight="1" spans="2:2">
      <c r="B25127" s="62" t="str">
        <f>IF(AND('领用录入（明细）'!D:D=$F$4,'领用录入（明细）'!C:C&gt;=$J$4,'领用录入（明细）'!C:C&lt;=$L$4),ROW(),"-")</f>
        <v>-</v>
      </c>
    </row>
    <row r="25128" customHeight="1" spans="2:2">
      <c r="B25128" s="62" t="str">
        <f>IF(AND('领用录入（明细）'!D:D=$F$4,'领用录入（明细）'!C:C&gt;=$J$4,'领用录入（明细）'!C:C&lt;=$L$4),ROW(),"-")</f>
        <v>-</v>
      </c>
    </row>
    <row r="25129" customHeight="1" spans="2:2">
      <c r="B25129" s="62" t="str">
        <f>IF(AND('领用录入（明细）'!D:D=$F$4,'领用录入（明细）'!C:C&gt;=$J$4,'领用录入（明细）'!C:C&lt;=$L$4),ROW(),"-")</f>
        <v>-</v>
      </c>
    </row>
    <row r="25130" customHeight="1" spans="2:2">
      <c r="B25130" s="62" t="str">
        <f>IF(AND('领用录入（明细）'!D:D=$F$4,'领用录入（明细）'!C:C&gt;=$J$4,'领用录入（明细）'!C:C&lt;=$L$4),ROW(),"-")</f>
        <v>-</v>
      </c>
    </row>
    <row r="25131" customHeight="1" spans="2:2">
      <c r="B25131" s="62" t="str">
        <f>IF(AND('领用录入（明细）'!D:D=$F$4,'领用录入（明细）'!C:C&gt;=$J$4,'领用录入（明细）'!C:C&lt;=$L$4),ROW(),"-")</f>
        <v>-</v>
      </c>
    </row>
    <row r="25132" customHeight="1" spans="2:2">
      <c r="B25132" s="62" t="str">
        <f>IF(AND('领用录入（明细）'!D:D=$F$4,'领用录入（明细）'!C:C&gt;=$J$4,'领用录入（明细）'!C:C&lt;=$L$4),ROW(),"-")</f>
        <v>-</v>
      </c>
    </row>
    <row r="25133" customHeight="1" spans="2:2">
      <c r="B25133" s="62" t="str">
        <f>IF(AND('领用录入（明细）'!D:D=$F$4,'领用录入（明细）'!C:C&gt;=$J$4,'领用录入（明细）'!C:C&lt;=$L$4),ROW(),"-")</f>
        <v>-</v>
      </c>
    </row>
    <row r="25134" customHeight="1" spans="2:2">
      <c r="B25134" s="62" t="str">
        <f>IF(AND('领用录入（明细）'!D:D=$F$4,'领用录入（明细）'!C:C&gt;=$J$4,'领用录入（明细）'!C:C&lt;=$L$4),ROW(),"-")</f>
        <v>-</v>
      </c>
    </row>
    <row r="25135" customHeight="1" spans="2:2">
      <c r="B25135" s="62" t="str">
        <f>IF(AND('领用录入（明细）'!D:D=$F$4,'领用录入（明细）'!C:C&gt;=$J$4,'领用录入（明细）'!C:C&lt;=$L$4),ROW(),"-")</f>
        <v>-</v>
      </c>
    </row>
    <row r="25136" customHeight="1" spans="2:2">
      <c r="B25136" s="62" t="str">
        <f>IF(AND('领用录入（明细）'!D:D=$F$4,'领用录入（明细）'!C:C&gt;=$J$4,'领用录入（明细）'!C:C&lt;=$L$4),ROW(),"-")</f>
        <v>-</v>
      </c>
    </row>
    <row r="25137" customHeight="1" spans="2:2">
      <c r="B25137" s="62" t="str">
        <f>IF(AND('领用录入（明细）'!D:D=$F$4,'领用录入（明细）'!C:C&gt;=$J$4,'领用录入（明细）'!C:C&lt;=$L$4),ROW(),"-")</f>
        <v>-</v>
      </c>
    </row>
    <row r="25138" customHeight="1" spans="2:2">
      <c r="B25138" s="62" t="str">
        <f>IF(AND('领用录入（明细）'!D:D=$F$4,'领用录入（明细）'!C:C&gt;=$J$4,'领用录入（明细）'!C:C&lt;=$L$4),ROW(),"-")</f>
        <v>-</v>
      </c>
    </row>
    <row r="25139" customHeight="1" spans="2:2">
      <c r="B25139" s="62" t="str">
        <f>IF(AND('领用录入（明细）'!D:D=$F$4,'领用录入（明细）'!C:C&gt;=$J$4,'领用录入（明细）'!C:C&lt;=$L$4),ROW(),"-")</f>
        <v>-</v>
      </c>
    </row>
    <row r="25140" customHeight="1" spans="2:2">
      <c r="B25140" s="62" t="str">
        <f>IF(AND('领用录入（明细）'!D:D=$F$4,'领用录入（明细）'!C:C&gt;=$J$4,'领用录入（明细）'!C:C&lt;=$L$4),ROW(),"-")</f>
        <v>-</v>
      </c>
    </row>
    <row r="25141" customHeight="1" spans="2:2">
      <c r="B25141" s="62" t="str">
        <f>IF(AND('领用录入（明细）'!D:D=$F$4,'领用录入（明细）'!C:C&gt;=$J$4,'领用录入（明细）'!C:C&lt;=$L$4),ROW(),"-")</f>
        <v>-</v>
      </c>
    </row>
    <row r="25142" customHeight="1" spans="2:2">
      <c r="B25142" s="62" t="str">
        <f>IF(AND('领用录入（明细）'!D:D=$F$4,'领用录入（明细）'!C:C&gt;=$J$4,'领用录入（明细）'!C:C&lt;=$L$4),ROW(),"-")</f>
        <v>-</v>
      </c>
    </row>
    <row r="25143" customHeight="1" spans="2:2">
      <c r="B25143" s="62" t="str">
        <f>IF(AND('领用录入（明细）'!D:D=$F$4,'领用录入（明细）'!C:C&gt;=$J$4,'领用录入（明细）'!C:C&lt;=$L$4),ROW(),"-")</f>
        <v>-</v>
      </c>
    </row>
    <row r="25144" customHeight="1" spans="2:2">
      <c r="B25144" s="62" t="str">
        <f>IF(AND('领用录入（明细）'!D:D=$F$4,'领用录入（明细）'!C:C&gt;=$J$4,'领用录入（明细）'!C:C&lt;=$L$4),ROW(),"-")</f>
        <v>-</v>
      </c>
    </row>
    <row r="25145" customHeight="1" spans="2:2">
      <c r="B25145" s="62" t="str">
        <f>IF(AND('领用录入（明细）'!D:D=$F$4,'领用录入（明细）'!C:C&gt;=$J$4,'领用录入（明细）'!C:C&lt;=$L$4),ROW(),"-")</f>
        <v>-</v>
      </c>
    </row>
    <row r="25146" customHeight="1" spans="2:2">
      <c r="B25146" s="62" t="str">
        <f>IF(AND('领用录入（明细）'!D:D=$F$4,'领用录入（明细）'!C:C&gt;=$J$4,'领用录入（明细）'!C:C&lt;=$L$4),ROW(),"-")</f>
        <v>-</v>
      </c>
    </row>
    <row r="25147" customHeight="1" spans="2:2">
      <c r="B25147" s="62" t="str">
        <f>IF(AND('领用录入（明细）'!D:D=$F$4,'领用录入（明细）'!C:C&gt;=$J$4,'领用录入（明细）'!C:C&lt;=$L$4),ROW(),"-")</f>
        <v>-</v>
      </c>
    </row>
    <row r="25148" customHeight="1" spans="2:2">
      <c r="B25148" s="62" t="str">
        <f>IF(AND('领用录入（明细）'!D:D=$F$4,'领用录入（明细）'!C:C&gt;=$J$4,'领用录入（明细）'!C:C&lt;=$L$4),ROW(),"-")</f>
        <v>-</v>
      </c>
    </row>
    <row r="25149" customHeight="1" spans="2:2">
      <c r="B25149" s="62" t="str">
        <f>IF(AND('领用录入（明细）'!D:D=$F$4,'领用录入（明细）'!C:C&gt;=$J$4,'领用录入（明细）'!C:C&lt;=$L$4),ROW(),"-")</f>
        <v>-</v>
      </c>
    </row>
    <row r="25150" customHeight="1" spans="2:2">
      <c r="B25150" s="62" t="str">
        <f>IF(AND('领用录入（明细）'!D:D=$F$4,'领用录入（明细）'!C:C&gt;=$J$4,'领用录入（明细）'!C:C&lt;=$L$4),ROW(),"-")</f>
        <v>-</v>
      </c>
    </row>
    <row r="25151" customHeight="1" spans="2:2">
      <c r="B25151" s="62" t="str">
        <f>IF(AND('领用录入（明细）'!D:D=$F$4,'领用录入（明细）'!C:C&gt;=$J$4,'领用录入（明细）'!C:C&lt;=$L$4),ROW(),"-")</f>
        <v>-</v>
      </c>
    </row>
    <row r="25152" customHeight="1" spans="2:2">
      <c r="B25152" s="62" t="str">
        <f>IF(AND('领用录入（明细）'!D:D=$F$4,'领用录入（明细）'!C:C&gt;=$J$4,'领用录入（明细）'!C:C&lt;=$L$4),ROW(),"-")</f>
        <v>-</v>
      </c>
    </row>
    <row r="25153" customHeight="1" spans="2:2">
      <c r="B25153" s="62" t="str">
        <f>IF(AND('领用录入（明细）'!D:D=$F$4,'领用录入（明细）'!C:C&gt;=$J$4,'领用录入（明细）'!C:C&lt;=$L$4),ROW(),"-")</f>
        <v>-</v>
      </c>
    </row>
    <row r="25154" customHeight="1" spans="2:2">
      <c r="B25154" s="62" t="str">
        <f>IF(AND('领用录入（明细）'!D:D=$F$4,'领用录入（明细）'!C:C&gt;=$J$4,'领用录入（明细）'!C:C&lt;=$L$4),ROW(),"-")</f>
        <v>-</v>
      </c>
    </row>
    <row r="25155" customHeight="1" spans="2:2">
      <c r="B25155" s="62" t="str">
        <f>IF(AND('领用录入（明细）'!D:D=$F$4,'领用录入（明细）'!C:C&gt;=$J$4,'领用录入（明细）'!C:C&lt;=$L$4),ROW(),"-")</f>
        <v>-</v>
      </c>
    </row>
    <row r="25156" customHeight="1" spans="2:2">
      <c r="B25156" s="62" t="str">
        <f>IF(AND('领用录入（明细）'!D:D=$F$4,'领用录入（明细）'!C:C&gt;=$J$4,'领用录入（明细）'!C:C&lt;=$L$4),ROW(),"-")</f>
        <v>-</v>
      </c>
    </row>
    <row r="25157" customHeight="1" spans="2:2">
      <c r="B25157" s="62" t="str">
        <f>IF(AND('领用录入（明细）'!D:D=$F$4,'领用录入（明细）'!C:C&gt;=$J$4,'领用录入（明细）'!C:C&lt;=$L$4),ROW(),"-")</f>
        <v>-</v>
      </c>
    </row>
    <row r="25158" customHeight="1" spans="2:2">
      <c r="B25158" s="62" t="str">
        <f>IF(AND('领用录入（明细）'!D:D=$F$4,'领用录入（明细）'!C:C&gt;=$J$4,'领用录入（明细）'!C:C&lt;=$L$4),ROW(),"-")</f>
        <v>-</v>
      </c>
    </row>
    <row r="25159" customHeight="1" spans="2:2">
      <c r="B25159" s="62" t="str">
        <f>IF(AND('领用录入（明细）'!D:D=$F$4,'领用录入（明细）'!C:C&gt;=$J$4,'领用录入（明细）'!C:C&lt;=$L$4),ROW(),"-")</f>
        <v>-</v>
      </c>
    </row>
    <row r="25160" customHeight="1" spans="2:2">
      <c r="B25160" s="62" t="str">
        <f>IF(AND('领用录入（明细）'!D:D=$F$4,'领用录入（明细）'!C:C&gt;=$J$4,'领用录入（明细）'!C:C&lt;=$L$4),ROW(),"-")</f>
        <v>-</v>
      </c>
    </row>
    <row r="25161" customHeight="1" spans="2:2">
      <c r="B25161" s="62" t="str">
        <f>IF(AND('领用录入（明细）'!D:D=$F$4,'领用录入（明细）'!C:C&gt;=$J$4,'领用录入（明细）'!C:C&lt;=$L$4),ROW(),"-")</f>
        <v>-</v>
      </c>
    </row>
    <row r="25162" customHeight="1" spans="2:2">
      <c r="B25162" s="62" t="str">
        <f>IF(AND('领用录入（明细）'!D:D=$F$4,'领用录入（明细）'!C:C&gt;=$J$4,'领用录入（明细）'!C:C&lt;=$L$4),ROW(),"-")</f>
        <v>-</v>
      </c>
    </row>
    <row r="25163" customHeight="1" spans="2:2">
      <c r="B25163" s="62" t="str">
        <f>IF(AND('领用录入（明细）'!D:D=$F$4,'领用录入（明细）'!C:C&gt;=$J$4,'领用录入（明细）'!C:C&lt;=$L$4),ROW(),"-")</f>
        <v>-</v>
      </c>
    </row>
    <row r="25164" customHeight="1" spans="2:2">
      <c r="B25164" s="62" t="str">
        <f>IF(AND('领用录入（明细）'!D:D=$F$4,'领用录入（明细）'!C:C&gt;=$J$4,'领用录入（明细）'!C:C&lt;=$L$4),ROW(),"-")</f>
        <v>-</v>
      </c>
    </row>
    <row r="25165" customHeight="1" spans="2:2">
      <c r="B25165" s="62" t="str">
        <f>IF(AND('领用录入（明细）'!D:D=$F$4,'领用录入（明细）'!C:C&gt;=$J$4,'领用录入（明细）'!C:C&lt;=$L$4),ROW(),"-")</f>
        <v>-</v>
      </c>
    </row>
    <row r="25166" customHeight="1" spans="2:2">
      <c r="B25166" s="62" t="str">
        <f>IF(AND('领用录入（明细）'!D:D=$F$4,'领用录入（明细）'!C:C&gt;=$J$4,'领用录入（明细）'!C:C&lt;=$L$4),ROW(),"-")</f>
        <v>-</v>
      </c>
    </row>
    <row r="25167" customHeight="1" spans="2:2">
      <c r="B25167" s="62" t="str">
        <f>IF(AND('领用录入（明细）'!D:D=$F$4,'领用录入（明细）'!C:C&gt;=$J$4,'领用录入（明细）'!C:C&lt;=$L$4),ROW(),"-")</f>
        <v>-</v>
      </c>
    </row>
    <row r="25168" customHeight="1" spans="2:2">
      <c r="B25168" s="62" t="str">
        <f>IF(AND('领用录入（明细）'!D:D=$F$4,'领用录入（明细）'!C:C&gt;=$J$4,'领用录入（明细）'!C:C&lt;=$L$4),ROW(),"-")</f>
        <v>-</v>
      </c>
    </row>
    <row r="25169" customHeight="1" spans="2:2">
      <c r="B25169" s="62" t="str">
        <f>IF(AND('领用录入（明细）'!D:D=$F$4,'领用录入（明细）'!C:C&gt;=$J$4,'领用录入（明细）'!C:C&lt;=$L$4),ROW(),"-")</f>
        <v>-</v>
      </c>
    </row>
    <row r="25170" customHeight="1" spans="2:2">
      <c r="B25170" s="62" t="str">
        <f>IF(AND('领用录入（明细）'!D:D=$F$4,'领用录入（明细）'!C:C&gt;=$J$4,'领用录入（明细）'!C:C&lt;=$L$4),ROW(),"-")</f>
        <v>-</v>
      </c>
    </row>
    <row r="25171" customHeight="1" spans="2:2">
      <c r="B25171" s="62" t="str">
        <f>IF(AND('领用录入（明细）'!D:D=$F$4,'领用录入（明细）'!C:C&gt;=$J$4,'领用录入（明细）'!C:C&lt;=$L$4),ROW(),"-")</f>
        <v>-</v>
      </c>
    </row>
    <row r="25172" customHeight="1" spans="2:2">
      <c r="B25172" s="62" t="str">
        <f>IF(AND('领用录入（明细）'!D:D=$F$4,'领用录入（明细）'!C:C&gt;=$J$4,'领用录入（明细）'!C:C&lt;=$L$4),ROW(),"-")</f>
        <v>-</v>
      </c>
    </row>
    <row r="25173" customHeight="1" spans="2:2">
      <c r="B25173" s="62" t="str">
        <f>IF(AND('领用录入（明细）'!D:D=$F$4,'领用录入（明细）'!C:C&gt;=$J$4,'领用录入（明细）'!C:C&lt;=$L$4),ROW(),"-")</f>
        <v>-</v>
      </c>
    </row>
    <row r="25174" customHeight="1" spans="2:2">
      <c r="B25174" s="62" t="str">
        <f>IF(AND('领用录入（明细）'!D:D=$F$4,'领用录入（明细）'!C:C&gt;=$J$4,'领用录入（明细）'!C:C&lt;=$L$4),ROW(),"-")</f>
        <v>-</v>
      </c>
    </row>
    <row r="25175" customHeight="1" spans="2:2">
      <c r="B25175" s="62" t="str">
        <f>IF(AND('领用录入（明细）'!D:D=$F$4,'领用录入（明细）'!C:C&gt;=$J$4,'领用录入（明细）'!C:C&lt;=$L$4),ROW(),"-")</f>
        <v>-</v>
      </c>
    </row>
    <row r="25176" customHeight="1" spans="2:2">
      <c r="B25176" s="62" t="str">
        <f>IF(AND('领用录入（明细）'!D:D=$F$4,'领用录入（明细）'!C:C&gt;=$J$4,'领用录入（明细）'!C:C&lt;=$L$4),ROW(),"-")</f>
        <v>-</v>
      </c>
    </row>
    <row r="25177" customHeight="1" spans="2:2">
      <c r="B25177" s="62" t="str">
        <f>IF(AND('领用录入（明细）'!D:D=$F$4,'领用录入（明细）'!C:C&gt;=$J$4,'领用录入（明细）'!C:C&lt;=$L$4),ROW(),"-")</f>
        <v>-</v>
      </c>
    </row>
    <row r="25178" customHeight="1" spans="2:2">
      <c r="B25178" s="62" t="str">
        <f>IF(AND('领用录入（明细）'!D:D=$F$4,'领用录入（明细）'!C:C&gt;=$J$4,'领用录入（明细）'!C:C&lt;=$L$4),ROW(),"-")</f>
        <v>-</v>
      </c>
    </row>
    <row r="25179" customHeight="1" spans="2:2">
      <c r="B25179" s="62" t="str">
        <f>IF(AND('领用录入（明细）'!D:D=$F$4,'领用录入（明细）'!C:C&gt;=$J$4,'领用录入（明细）'!C:C&lt;=$L$4),ROW(),"-")</f>
        <v>-</v>
      </c>
    </row>
    <row r="25180" customHeight="1" spans="2:2">
      <c r="B25180" s="62" t="str">
        <f>IF(AND('领用录入（明细）'!D:D=$F$4,'领用录入（明细）'!C:C&gt;=$J$4,'领用录入（明细）'!C:C&lt;=$L$4),ROW(),"-")</f>
        <v>-</v>
      </c>
    </row>
    <row r="25181" customHeight="1" spans="2:2">
      <c r="B25181" s="62" t="str">
        <f>IF(AND('领用录入（明细）'!D:D=$F$4,'领用录入（明细）'!C:C&gt;=$J$4,'领用录入（明细）'!C:C&lt;=$L$4),ROW(),"-")</f>
        <v>-</v>
      </c>
    </row>
    <row r="25182" customHeight="1" spans="2:2">
      <c r="B25182" s="62" t="str">
        <f>IF(AND('领用录入（明细）'!D:D=$F$4,'领用录入（明细）'!C:C&gt;=$J$4,'领用录入（明细）'!C:C&lt;=$L$4),ROW(),"-")</f>
        <v>-</v>
      </c>
    </row>
    <row r="25183" customHeight="1" spans="2:2">
      <c r="B25183" s="62" t="str">
        <f>IF(AND('领用录入（明细）'!D:D=$F$4,'领用录入（明细）'!C:C&gt;=$J$4,'领用录入（明细）'!C:C&lt;=$L$4),ROW(),"-")</f>
        <v>-</v>
      </c>
    </row>
    <row r="25184" customHeight="1" spans="2:2">
      <c r="B25184" s="62" t="str">
        <f>IF(AND('领用录入（明细）'!D:D=$F$4,'领用录入（明细）'!C:C&gt;=$J$4,'领用录入（明细）'!C:C&lt;=$L$4),ROW(),"-")</f>
        <v>-</v>
      </c>
    </row>
    <row r="25185" customHeight="1" spans="2:2">
      <c r="B25185" s="62" t="str">
        <f>IF(AND('领用录入（明细）'!D:D=$F$4,'领用录入（明细）'!C:C&gt;=$J$4,'领用录入（明细）'!C:C&lt;=$L$4),ROW(),"-")</f>
        <v>-</v>
      </c>
    </row>
    <row r="25186" customHeight="1" spans="2:2">
      <c r="B25186" s="62" t="str">
        <f>IF(AND('领用录入（明细）'!D:D=$F$4,'领用录入（明细）'!C:C&gt;=$J$4,'领用录入（明细）'!C:C&lt;=$L$4),ROW(),"-")</f>
        <v>-</v>
      </c>
    </row>
    <row r="25187" customHeight="1" spans="2:2">
      <c r="B25187" s="62" t="str">
        <f>IF(AND('领用录入（明细）'!D:D=$F$4,'领用录入（明细）'!C:C&gt;=$J$4,'领用录入（明细）'!C:C&lt;=$L$4),ROW(),"-")</f>
        <v>-</v>
      </c>
    </row>
    <row r="25188" customHeight="1" spans="2:2">
      <c r="B25188" s="62" t="str">
        <f>IF(AND('领用录入（明细）'!D:D=$F$4,'领用录入（明细）'!C:C&gt;=$J$4,'领用录入（明细）'!C:C&lt;=$L$4),ROW(),"-")</f>
        <v>-</v>
      </c>
    </row>
    <row r="25189" customHeight="1" spans="2:2">
      <c r="B25189" s="62" t="str">
        <f>IF(AND('领用录入（明细）'!D:D=$F$4,'领用录入（明细）'!C:C&gt;=$J$4,'领用录入（明细）'!C:C&lt;=$L$4),ROW(),"-")</f>
        <v>-</v>
      </c>
    </row>
    <row r="25190" customHeight="1" spans="2:2">
      <c r="B25190" s="62" t="str">
        <f>IF(AND('领用录入（明细）'!D:D=$F$4,'领用录入（明细）'!C:C&gt;=$J$4,'领用录入（明细）'!C:C&lt;=$L$4),ROW(),"-")</f>
        <v>-</v>
      </c>
    </row>
    <row r="25191" customHeight="1" spans="2:2">
      <c r="B25191" s="62" t="str">
        <f>IF(AND('领用录入（明细）'!D:D=$F$4,'领用录入（明细）'!C:C&gt;=$J$4,'领用录入（明细）'!C:C&lt;=$L$4),ROW(),"-")</f>
        <v>-</v>
      </c>
    </row>
    <row r="25192" customHeight="1" spans="2:2">
      <c r="B25192" s="62" t="str">
        <f>IF(AND('领用录入（明细）'!D:D=$F$4,'领用录入（明细）'!C:C&gt;=$J$4,'领用录入（明细）'!C:C&lt;=$L$4),ROW(),"-")</f>
        <v>-</v>
      </c>
    </row>
    <row r="25193" customHeight="1" spans="2:2">
      <c r="B25193" s="62" t="str">
        <f>IF(AND('领用录入（明细）'!D:D=$F$4,'领用录入（明细）'!C:C&gt;=$J$4,'领用录入（明细）'!C:C&lt;=$L$4),ROW(),"-")</f>
        <v>-</v>
      </c>
    </row>
    <row r="25194" customHeight="1" spans="2:2">
      <c r="B25194" s="62" t="str">
        <f>IF(AND('领用录入（明细）'!D:D=$F$4,'领用录入（明细）'!C:C&gt;=$J$4,'领用录入（明细）'!C:C&lt;=$L$4),ROW(),"-")</f>
        <v>-</v>
      </c>
    </row>
    <row r="25195" customHeight="1" spans="2:2">
      <c r="B25195" s="62" t="str">
        <f>IF(AND('领用录入（明细）'!D:D=$F$4,'领用录入（明细）'!C:C&gt;=$J$4,'领用录入（明细）'!C:C&lt;=$L$4),ROW(),"-")</f>
        <v>-</v>
      </c>
    </row>
    <row r="25196" customHeight="1" spans="2:2">
      <c r="B25196" s="62" t="str">
        <f>IF(AND('领用录入（明细）'!D:D=$F$4,'领用录入（明细）'!C:C&gt;=$J$4,'领用录入（明细）'!C:C&lt;=$L$4),ROW(),"-")</f>
        <v>-</v>
      </c>
    </row>
    <row r="25197" customHeight="1" spans="2:2">
      <c r="B25197" s="62" t="str">
        <f>IF(AND('领用录入（明细）'!D:D=$F$4,'领用录入（明细）'!C:C&gt;=$J$4,'领用录入（明细）'!C:C&lt;=$L$4),ROW(),"-")</f>
        <v>-</v>
      </c>
    </row>
    <row r="25198" customHeight="1" spans="2:2">
      <c r="B25198" s="62" t="str">
        <f>IF(AND('领用录入（明细）'!D:D=$F$4,'领用录入（明细）'!C:C&gt;=$J$4,'领用录入（明细）'!C:C&lt;=$L$4),ROW(),"-")</f>
        <v>-</v>
      </c>
    </row>
    <row r="25199" customHeight="1" spans="2:2">
      <c r="B25199" s="62" t="str">
        <f>IF(AND('领用录入（明细）'!D:D=$F$4,'领用录入（明细）'!C:C&gt;=$J$4,'领用录入（明细）'!C:C&lt;=$L$4),ROW(),"-")</f>
        <v>-</v>
      </c>
    </row>
    <row r="25200" customHeight="1" spans="2:2">
      <c r="B25200" s="62" t="str">
        <f>IF(AND('领用录入（明细）'!D:D=$F$4,'领用录入（明细）'!C:C&gt;=$J$4,'领用录入（明细）'!C:C&lt;=$L$4),ROW(),"-")</f>
        <v>-</v>
      </c>
    </row>
    <row r="25201" customHeight="1" spans="2:2">
      <c r="B25201" s="62" t="str">
        <f>IF(AND('领用录入（明细）'!D:D=$F$4,'领用录入（明细）'!C:C&gt;=$J$4,'领用录入（明细）'!C:C&lt;=$L$4),ROW(),"-")</f>
        <v>-</v>
      </c>
    </row>
    <row r="25202" customHeight="1" spans="2:2">
      <c r="B25202" s="62" t="str">
        <f>IF(AND('领用录入（明细）'!D:D=$F$4,'领用录入（明细）'!C:C&gt;=$J$4,'领用录入（明细）'!C:C&lt;=$L$4),ROW(),"-")</f>
        <v>-</v>
      </c>
    </row>
    <row r="25203" customHeight="1" spans="2:2">
      <c r="B25203" s="62" t="str">
        <f>IF(AND('领用录入（明细）'!D:D=$F$4,'领用录入（明细）'!C:C&gt;=$J$4,'领用录入（明细）'!C:C&lt;=$L$4),ROW(),"-")</f>
        <v>-</v>
      </c>
    </row>
    <row r="25204" customHeight="1" spans="2:2">
      <c r="B25204" s="62" t="str">
        <f>IF(AND('领用录入（明细）'!D:D=$F$4,'领用录入（明细）'!C:C&gt;=$J$4,'领用录入（明细）'!C:C&lt;=$L$4),ROW(),"-")</f>
        <v>-</v>
      </c>
    </row>
    <row r="25205" customHeight="1" spans="2:2">
      <c r="B25205" s="62" t="str">
        <f>IF(AND('领用录入（明细）'!D:D=$F$4,'领用录入（明细）'!C:C&gt;=$J$4,'领用录入（明细）'!C:C&lt;=$L$4),ROW(),"-")</f>
        <v>-</v>
      </c>
    </row>
    <row r="25206" customHeight="1" spans="2:2">
      <c r="B25206" s="62" t="str">
        <f>IF(AND('领用录入（明细）'!D:D=$F$4,'领用录入（明细）'!C:C&gt;=$J$4,'领用录入（明细）'!C:C&lt;=$L$4),ROW(),"-")</f>
        <v>-</v>
      </c>
    </row>
    <row r="25207" customHeight="1" spans="2:2">
      <c r="B25207" s="62" t="str">
        <f>IF(AND('领用录入（明细）'!D:D=$F$4,'领用录入（明细）'!C:C&gt;=$J$4,'领用录入（明细）'!C:C&lt;=$L$4),ROW(),"-")</f>
        <v>-</v>
      </c>
    </row>
    <row r="25208" customHeight="1" spans="2:2">
      <c r="B25208" s="62" t="str">
        <f>IF(AND('领用录入（明细）'!D:D=$F$4,'领用录入（明细）'!C:C&gt;=$J$4,'领用录入（明细）'!C:C&lt;=$L$4),ROW(),"-")</f>
        <v>-</v>
      </c>
    </row>
    <row r="25209" customHeight="1" spans="2:2">
      <c r="B25209" s="62" t="str">
        <f>IF(AND('领用录入（明细）'!D:D=$F$4,'领用录入（明细）'!C:C&gt;=$J$4,'领用录入（明细）'!C:C&lt;=$L$4),ROW(),"-")</f>
        <v>-</v>
      </c>
    </row>
    <row r="25210" customHeight="1" spans="2:2">
      <c r="B25210" s="62" t="str">
        <f>IF(AND('领用录入（明细）'!D:D=$F$4,'领用录入（明细）'!C:C&gt;=$J$4,'领用录入（明细）'!C:C&lt;=$L$4),ROW(),"-")</f>
        <v>-</v>
      </c>
    </row>
    <row r="25211" customHeight="1" spans="2:2">
      <c r="B25211" s="62" t="str">
        <f>IF(AND('领用录入（明细）'!D:D=$F$4,'领用录入（明细）'!C:C&gt;=$J$4,'领用录入（明细）'!C:C&lt;=$L$4),ROW(),"-")</f>
        <v>-</v>
      </c>
    </row>
    <row r="25212" customHeight="1" spans="2:2">
      <c r="B25212" s="62" t="str">
        <f>IF(AND('领用录入（明细）'!D:D=$F$4,'领用录入（明细）'!C:C&gt;=$J$4,'领用录入（明细）'!C:C&lt;=$L$4),ROW(),"-")</f>
        <v>-</v>
      </c>
    </row>
    <row r="25213" customHeight="1" spans="2:2">
      <c r="B25213" s="62" t="str">
        <f>IF(AND('领用录入（明细）'!D:D=$F$4,'领用录入（明细）'!C:C&gt;=$J$4,'领用录入（明细）'!C:C&lt;=$L$4),ROW(),"-")</f>
        <v>-</v>
      </c>
    </row>
    <row r="25214" customHeight="1" spans="2:2">
      <c r="B25214" s="62" t="str">
        <f>IF(AND('领用录入（明细）'!D:D=$F$4,'领用录入（明细）'!C:C&gt;=$J$4,'领用录入（明细）'!C:C&lt;=$L$4),ROW(),"-")</f>
        <v>-</v>
      </c>
    </row>
    <row r="25215" customHeight="1" spans="2:2">
      <c r="B25215" s="62" t="str">
        <f>IF(AND('领用录入（明细）'!D:D=$F$4,'领用录入（明细）'!C:C&gt;=$J$4,'领用录入（明细）'!C:C&lt;=$L$4),ROW(),"-")</f>
        <v>-</v>
      </c>
    </row>
    <row r="25216" customHeight="1" spans="2:2">
      <c r="B25216" s="62" t="str">
        <f>IF(AND('领用录入（明细）'!D:D=$F$4,'领用录入（明细）'!C:C&gt;=$J$4,'领用录入（明细）'!C:C&lt;=$L$4),ROW(),"-")</f>
        <v>-</v>
      </c>
    </row>
    <row r="25217" customHeight="1" spans="2:2">
      <c r="B25217" s="62" t="str">
        <f>IF(AND('领用录入（明细）'!D:D=$F$4,'领用录入（明细）'!C:C&gt;=$J$4,'领用录入（明细）'!C:C&lt;=$L$4),ROW(),"-")</f>
        <v>-</v>
      </c>
    </row>
    <row r="25218" customHeight="1" spans="2:2">
      <c r="B25218" s="62" t="str">
        <f>IF(AND('领用录入（明细）'!D:D=$F$4,'领用录入（明细）'!C:C&gt;=$J$4,'领用录入（明细）'!C:C&lt;=$L$4),ROW(),"-")</f>
        <v>-</v>
      </c>
    </row>
    <row r="25219" customHeight="1" spans="2:2">
      <c r="B25219" s="62" t="str">
        <f>IF(AND('领用录入（明细）'!D:D=$F$4,'领用录入（明细）'!C:C&gt;=$J$4,'领用录入（明细）'!C:C&lt;=$L$4),ROW(),"-")</f>
        <v>-</v>
      </c>
    </row>
    <row r="25220" customHeight="1" spans="2:2">
      <c r="B25220" s="62" t="str">
        <f>IF(AND('领用录入（明细）'!D:D=$F$4,'领用录入（明细）'!C:C&gt;=$J$4,'领用录入（明细）'!C:C&lt;=$L$4),ROW(),"-")</f>
        <v>-</v>
      </c>
    </row>
    <row r="25221" customHeight="1" spans="2:2">
      <c r="B25221" s="62" t="str">
        <f>IF(AND('领用录入（明细）'!D:D=$F$4,'领用录入（明细）'!C:C&gt;=$J$4,'领用录入（明细）'!C:C&lt;=$L$4),ROW(),"-")</f>
        <v>-</v>
      </c>
    </row>
    <row r="25222" customHeight="1" spans="2:2">
      <c r="B25222" s="62" t="str">
        <f>IF(AND('领用录入（明细）'!D:D=$F$4,'领用录入（明细）'!C:C&gt;=$J$4,'领用录入（明细）'!C:C&lt;=$L$4),ROW(),"-")</f>
        <v>-</v>
      </c>
    </row>
    <row r="25223" customHeight="1" spans="2:2">
      <c r="B25223" s="62" t="str">
        <f>IF(AND('领用录入（明细）'!D:D=$F$4,'领用录入（明细）'!C:C&gt;=$J$4,'领用录入（明细）'!C:C&lt;=$L$4),ROW(),"-")</f>
        <v>-</v>
      </c>
    </row>
    <row r="25224" customHeight="1" spans="2:2">
      <c r="B25224" s="62" t="str">
        <f>IF(AND('领用录入（明细）'!D:D=$F$4,'领用录入（明细）'!C:C&gt;=$J$4,'领用录入（明细）'!C:C&lt;=$L$4),ROW(),"-")</f>
        <v>-</v>
      </c>
    </row>
    <row r="25225" customHeight="1" spans="2:2">
      <c r="B25225" s="62" t="str">
        <f>IF(AND('领用录入（明细）'!D:D=$F$4,'领用录入（明细）'!C:C&gt;=$J$4,'领用录入（明细）'!C:C&lt;=$L$4),ROW(),"-")</f>
        <v>-</v>
      </c>
    </row>
    <row r="25226" customHeight="1" spans="2:2">
      <c r="B25226" s="62" t="str">
        <f>IF(AND('领用录入（明细）'!D:D=$F$4,'领用录入（明细）'!C:C&gt;=$J$4,'领用录入（明细）'!C:C&lt;=$L$4),ROW(),"-")</f>
        <v>-</v>
      </c>
    </row>
    <row r="25227" customHeight="1" spans="2:2">
      <c r="B25227" s="62" t="str">
        <f>IF(AND('领用录入（明细）'!D:D=$F$4,'领用录入（明细）'!C:C&gt;=$J$4,'领用录入（明细）'!C:C&lt;=$L$4),ROW(),"-")</f>
        <v>-</v>
      </c>
    </row>
    <row r="25228" customHeight="1" spans="2:2">
      <c r="B25228" s="62" t="str">
        <f>IF(AND('领用录入（明细）'!D:D=$F$4,'领用录入（明细）'!C:C&gt;=$J$4,'领用录入（明细）'!C:C&lt;=$L$4),ROW(),"-")</f>
        <v>-</v>
      </c>
    </row>
    <row r="25229" customHeight="1" spans="2:2">
      <c r="B25229" s="62" t="str">
        <f>IF(AND('领用录入（明细）'!D:D=$F$4,'领用录入（明细）'!C:C&gt;=$J$4,'领用录入（明细）'!C:C&lt;=$L$4),ROW(),"-")</f>
        <v>-</v>
      </c>
    </row>
    <row r="25230" customHeight="1" spans="2:2">
      <c r="B25230" s="62" t="str">
        <f>IF(AND('领用录入（明细）'!D:D=$F$4,'领用录入（明细）'!C:C&gt;=$J$4,'领用录入（明细）'!C:C&lt;=$L$4),ROW(),"-")</f>
        <v>-</v>
      </c>
    </row>
    <row r="25231" customHeight="1" spans="2:2">
      <c r="B25231" s="62" t="str">
        <f>IF(AND('领用录入（明细）'!D:D=$F$4,'领用录入（明细）'!C:C&gt;=$J$4,'领用录入（明细）'!C:C&lt;=$L$4),ROW(),"-")</f>
        <v>-</v>
      </c>
    </row>
    <row r="25232" customHeight="1" spans="2:2">
      <c r="B25232" s="62" t="str">
        <f>IF(AND('领用录入（明细）'!D:D=$F$4,'领用录入（明细）'!C:C&gt;=$J$4,'领用录入（明细）'!C:C&lt;=$L$4),ROW(),"-")</f>
        <v>-</v>
      </c>
    </row>
    <row r="25233" customHeight="1" spans="2:2">
      <c r="B25233" s="62" t="str">
        <f>IF(AND('领用录入（明细）'!D:D=$F$4,'领用录入（明细）'!C:C&gt;=$J$4,'领用录入（明细）'!C:C&lt;=$L$4),ROW(),"-")</f>
        <v>-</v>
      </c>
    </row>
    <row r="25234" customHeight="1" spans="2:2">
      <c r="B25234" s="62" t="str">
        <f>IF(AND('领用录入（明细）'!D:D=$F$4,'领用录入（明细）'!C:C&gt;=$J$4,'领用录入（明细）'!C:C&lt;=$L$4),ROW(),"-")</f>
        <v>-</v>
      </c>
    </row>
    <row r="25235" customHeight="1" spans="2:2">
      <c r="B25235" s="62" t="str">
        <f>IF(AND('领用录入（明细）'!D:D=$F$4,'领用录入（明细）'!C:C&gt;=$J$4,'领用录入（明细）'!C:C&lt;=$L$4),ROW(),"-")</f>
        <v>-</v>
      </c>
    </row>
    <row r="25236" customHeight="1" spans="2:2">
      <c r="B25236" s="62" t="str">
        <f>IF(AND('领用录入（明细）'!D:D=$F$4,'领用录入（明细）'!C:C&gt;=$J$4,'领用录入（明细）'!C:C&lt;=$L$4),ROW(),"-")</f>
        <v>-</v>
      </c>
    </row>
    <row r="25237" customHeight="1" spans="2:2">
      <c r="B25237" s="62" t="str">
        <f>IF(AND('领用录入（明细）'!D:D=$F$4,'领用录入（明细）'!C:C&gt;=$J$4,'领用录入（明细）'!C:C&lt;=$L$4),ROW(),"-")</f>
        <v>-</v>
      </c>
    </row>
    <row r="25238" customHeight="1" spans="2:2">
      <c r="B25238" s="62" t="str">
        <f>IF(AND('领用录入（明细）'!D:D=$F$4,'领用录入（明细）'!C:C&gt;=$J$4,'领用录入（明细）'!C:C&lt;=$L$4),ROW(),"-")</f>
        <v>-</v>
      </c>
    </row>
    <row r="25239" customHeight="1" spans="2:2">
      <c r="B25239" s="62" t="str">
        <f>IF(AND('领用录入（明细）'!D:D=$F$4,'领用录入（明细）'!C:C&gt;=$J$4,'领用录入（明细）'!C:C&lt;=$L$4),ROW(),"-")</f>
        <v>-</v>
      </c>
    </row>
    <row r="25240" customHeight="1" spans="2:2">
      <c r="B25240" s="62" t="str">
        <f>IF(AND('领用录入（明细）'!D:D=$F$4,'领用录入（明细）'!C:C&gt;=$J$4,'领用录入（明细）'!C:C&lt;=$L$4),ROW(),"-")</f>
        <v>-</v>
      </c>
    </row>
    <row r="25241" customHeight="1" spans="2:2">
      <c r="B25241" s="62" t="str">
        <f>IF(AND('领用录入（明细）'!D:D=$F$4,'领用录入（明细）'!C:C&gt;=$J$4,'领用录入（明细）'!C:C&lt;=$L$4),ROW(),"-")</f>
        <v>-</v>
      </c>
    </row>
    <row r="25242" customHeight="1" spans="2:2">
      <c r="B25242" s="62" t="str">
        <f>IF(AND('领用录入（明细）'!D:D=$F$4,'领用录入（明细）'!C:C&gt;=$J$4,'领用录入（明细）'!C:C&lt;=$L$4),ROW(),"-")</f>
        <v>-</v>
      </c>
    </row>
    <row r="25243" customHeight="1" spans="2:2">
      <c r="B25243" s="62" t="str">
        <f>IF(AND('领用录入（明细）'!D:D=$F$4,'领用录入（明细）'!C:C&gt;=$J$4,'领用录入（明细）'!C:C&lt;=$L$4),ROW(),"-")</f>
        <v>-</v>
      </c>
    </row>
    <row r="25244" customHeight="1" spans="2:2">
      <c r="B25244" s="62" t="str">
        <f>IF(AND('领用录入（明细）'!D:D=$F$4,'领用录入（明细）'!C:C&gt;=$J$4,'领用录入（明细）'!C:C&lt;=$L$4),ROW(),"-")</f>
        <v>-</v>
      </c>
    </row>
    <row r="25245" customHeight="1" spans="2:2">
      <c r="B25245" s="62" t="str">
        <f>IF(AND('领用录入（明细）'!D:D=$F$4,'领用录入（明细）'!C:C&gt;=$J$4,'领用录入（明细）'!C:C&lt;=$L$4),ROW(),"-")</f>
        <v>-</v>
      </c>
    </row>
    <row r="25246" customHeight="1" spans="2:2">
      <c r="B25246" s="62" t="str">
        <f>IF(AND('领用录入（明细）'!D:D=$F$4,'领用录入（明细）'!C:C&gt;=$J$4,'领用录入（明细）'!C:C&lt;=$L$4),ROW(),"-")</f>
        <v>-</v>
      </c>
    </row>
    <row r="25247" customHeight="1" spans="2:2">
      <c r="B25247" s="62" t="str">
        <f>IF(AND('领用录入（明细）'!D:D=$F$4,'领用录入（明细）'!C:C&gt;=$J$4,'领用录入（明细）'!C:C&lt;=$L$4),ROW(),"-")</f>
        <v>-</v>
      </c>
    </row>
    <row r="25248" customHeight="1" spans="2:2">
      <c r="B25248" s="62" t="str">
        <f>IF(AND('领用录入（明细）'!D:D=$F$4,'领用录入（明细）'!C:C&gt;=$J$4,'领用录入（明细）'!C:C&lt;=$L$4),ROW(),"-")</f>
        <v>-</v>
      </c>
    </row>
    <row r="25249" customHeight="1" spans="2:2">
      <c r="B25249" s="62" t="str">
        <f>IF(AND('领用录入（明细）'!D:D=$F$4,'领用录入（明细）'!C:C&gt;=$J$4,'领用录入（明细）'!C:C&lt;=$L$4),ROW(),"-")</f>
        <v>-</v>
      </c>
    </row>
    <row r="25250" customHeight="1" spans="2:2">
      <c r="B25250" s="62" t="str">
        <f>IF(AND('领用录入（明细）'!D:D=$F$4,'领用录入（明细）'!C:C&gt;=$J$4,'领用录入（明细）'!C:C&lt;=$L$4),ROW(),"-")</f>
        <v>-</v>
      </c>
    </row>
    <row r="25251" customHeight="1" spans="2:2">
      <c r="B25251" s="62" t="str">
        <f>IF(AND('领用录入（明细）'!D:D=$F$4,'领用录入（明细）'!C:C&gt;=$J$4,'领用录入（明细）'!C:C&lt;=$L$4),ROW(),"-")</f>
        <v>-</v>
      </c>
    </row>
    <row r="25252" customHeight="1" spans="2:2">
      <c r="B25252" s="62" t="str">
        <f>IF(AND('领用录入（明细）'!D:D=$F$4,'领用录入（明细）'!C:C&gt;=$J$4,'领用录入（明细）'!C:C&lt;=$L$4),ROW(),"-")</f>
        <v>-</v>
      </c>
    </row>
    <row r="25253" customHeight="1" spans="2:2">
      <c r="B25253" s="62" t="str">
        <f>IF(AND('领用录入（明细）'!D:D=$F$4,'领用录入（明细）'!C:C&gt;=$J$4,'领用录入（明细）'!C:C&lt;=$L$4),ROW(),"-")</f>
        <v>-</v>
      </c>
    </row>
    <row r="25254" customHeight="1" spans="2:2">
      <c r="B25254" s="62" t="str">
        <f>IF(AND('领用录入（明细）'!D:D=$F$4,'领用录入（明细）'!C:C&gt;=$J$4,'领用录入（明细）'!C:C&lt;=$L$4),ROW(),"-")</f>
        <v>-</v>
      </c>
    </row>
    <row r="25255" customHeight="1" spans="2:2">
      <c r="B25255" s="62" t="str">
        <f>IF(AND('领用录入（明细）'!D:D=$F$4,'领用录入（明细）'!C:C&gt;=$J$4,'领用录入（明细）'!C:C&lt;=$L$4),ROW(),"-")</f>
        <v>-</v>
      </c>
    </row>
    <row r="25256" customHeight="1" spans="2:2">
      <c r="B25256" s="62" t="str">
        <f>IF(AND('领用录入（明细）'!D:D=$F$4,'领用录入（明细）'!C:C&gt;=$J$4,'领用录入（明细）'!C:C&lt;=$L$4),ROW(),"-")</f>
        <v>-</v>
      </c>
    </row>
    <row r="25257" customHeight="1" spans="2:2">
      <c r="B25257" s="62" t="str">
        <f>IF(AND('领用录入（明细）'!D:D=$F$4,'领用录入（明细）'!C:C&gt;=$J$4,'领用录入（明细）'!C:C&lt;=$L$4),ROW(),"-")</f>
        <v>-</v>
      </c>
    </row>
    <row r="25258" customHeight="1" spans="2:2">
      <c r="B25258" s="62" t="str">
        <f>IF(AND('领用录入（明细）'!D:D=$F$4,'领用录入（明细）'!C:C&gt;=$J$4,'领用录入（明细）'!C:C&lt;=$L$4),ROW(),"-")</f>
        <v>-</v>
      </c>
    </row>
    <row r="25259" customHeight="1" spans="2:2">
      <c r="B25259" s="62" t="str">
        <f>IF(AND('领用录入（明细）'!D:D=$F$4,'领用录入（明细）'!C:C&gt;=$J$4,'领用录入（明细）'!C:C&lt;=$L$4),ROW(),"-")</f>
        <v>-</v>
      </c>
    </row>
    <row r="25260" customHeight="1" spans="2:2">
      <c r="B25260" s="62" t="str">
        <f>IF(AND('领用录入（明细）'!D:D=$F$4,'领用录入（明细）'!C:C&gt;=$J$4,'领用录入（明细）'!C:C&lt;=$L$4),ROW(),"-")</f>
        <v>-</v>
      </c>
    </row>
    <row r="25261" customHeight="1" spans="2:2">
      <c r="B25261" s="62" t="str">
        <f>IF(AND('领用录入（明细）'!D:D=$F$4,'领用录入（明细）'!C:C&gt;=$J$4,'领用录入（明细）'!C:C&lt;=$L$4),ROW(),"-")</f>
        <v>-</v>
      </c>
    </row>
    <row r="25262" customHeight="1" spans="2:2">
      <c r="B25262" s="62" t="str">
        <f>IF(AND('领用录入（明细）'!D:D=$F$4,'领用录入（明细）'!C:C&gt;=$J$4,'领用录入（明细）'!C:C&lt;=$L$4),ROW(),"-")</f>
        <v>-</v>
      </c>
    </row>
    <row r="25263" customHeight="1" spans="2:2">
      <c r="B25263" s="62" t="str">
        <f>IF(AND('领用录入（明细）'!D:D=$F$4,'领用录入（明细）'!C:C&gt;=$J$4,'领用录入（明细）'!C:C&lt;=$L$4),ROW(),"-")</f>
        <v>-</v>
      </c>
    </row>
    <row r="25264" customHeight="1" spans="2:2">
      <c r="B25264" s="62" t="str">
        <f>IF(AND('领用录入（明细）'!D:D=$F$4,'领用录入（明细）'!C:C&gt;=$J$4,'领用录入（明细）'!C:C&lt;=$L$4),ROW(),"-")</f>
        <v>-</v>
      </c>
    </row>
    <row r="25265" customHeight="1" spans="2:2">
      <c r="B25265" s="62" t="str">
        <f>IF(AND('领用录入（明细）'!D:D=$F$4,'领用录入（明细）'!C:C&gt;=$J$4,'领用录入（明细）'!C:C&lt;=$L$4),ROW(),"-")</f>
        <v>-</v>
      </c>
    </row>
    <row r="25266" customHeight="1" spans="2:2">
      <c r="B25266" s="62" t="str">
        <f>IF(AND('领用录入（明细）'!D:D=$F$4,'领用录入（明细）'!C:C&gt;=$J$4,'领用录入（明细）'!C:C&lt;=$L$4),ROW(),"-")</f>
        <v>-</v>
      </c>
    </row>
    <row r="25267" customHeight="1" spans="2:2">
      <c r="B25267" s="62" t="str">
        <f>IF(AND('领用录入（明细）'!D:D=$F$4,'领用录入（明细）'!C:C&gt;=$J$4,'领用录入（明细）'!C:C&lt;=$L$4),ROW(),"-")</f>
        <v>-</v>
      </c>
    </row>
    <row r="25268" customHeight="1" spans="2:2">
      <c r="B25268" s="62" t="str">
        <f>IF(AND('领用录入（明细）'!D:D=$F$4,'领用录入（明细）'!C:C&gt;=$J$4,'领用录入（明细）'!C:C&lt;=$L$4),ROW(),"-")</f>
        <v>-</v>
      </c>
    </row>
    <row r="25269" customHeight="1" spans="2:2">
      <c r="B25269" s="62" t="str">
        <f>IF(AND('领用录入（明细）'!D:D=$F$4,'领用录入（明细）'!C:C&gt;=$J$4,'领用录入（明细）'!C:C&lt;=$L$4),ROW(),"-")</f>
        <v>-</v>
      </c>
    </row>
    <row r="25270" customHeight="1" spans="2:2">
      <c r="B25270" s="62" t="str">
        <f>IF(AND('领用录入（明细）'!D:D=$F$4,'领用录入（明细）'!C:C&gt;=$J$4,'领用录入（明细）'!C:C&lt;=$L$4),ROW(),"-")</f>
        <v>-</v>
      </c>
    </row>
    <row r="25271" customHeight="1" spans="2:2">
      <c r="B25271" s="62" t="str">
        <f>IF(AND('领用录入（明细）'!D:D=$F$4,'领用录入（明细）'!C:C&gt;=$J$4,'领用录入（明细）'!C:C&lt;=$L$4),ROW(),"-")</f>
        <v>-</v>
      </c>
    </row>
    <row r="25272" customHeight="1" spans="2:2">
      <c r="B25272" s="62" t="str">
        <f>IF(AND('领用录入（明细）'!D:D=$F$4,'领用录入（明细）'!C:C&gt;=$J$4,'领用录入（明细）'!C:C&lt;=$L$4),ROW(),"-")</f>
        <v>-</v>
      </c>
    </row>
    <row r="25273" customHeight="1" spans="2:2">
      <c r="B25273" s="62" t="str">
        <f>IF(AND('领用录入（明细）'!D:D=$F$4,'领用录入（明细）'!C:C&gt;=$J$4,'领用录入（明细）'!C:C&lt;=$L$4),ROW(),"-")</f>
        <v>-</v>
      </c>
    </row>
    <row r="25274" customHeight="1" spans="2:2">
      <c r="B25274" s="62" t="str">
        <f>IF(AND('领用录入（明细）'!D:D=$F$4,'领用录入（明细）'!C:C&gt;=$J$4,'领用录入（明细）'!C:C&lt;=$L$4),ROW(),"-")</f>
        <v>-</v>
      </c>
    </row>
    <row r="25275" customHeight="1" spans="2:2">
      <c r="B25275" s="62" t="str">
        <f>IF(AND('领用录入（明细）'!D:D=$F$4,'领用录入（明细）'!C:C&gt;=$J$4,'领用录入（明细）'!C:C&lt;=$L$4),ROW(),"-")</f>
        <v>-</v>
      </c>
    </row>
    <row r="25276" customHeight="1" spans="2:2">
      <c r="B25276" s="62" t="str">
        <f>IF(AND('领用录入（明细）'!D:D=$F$4,'领用录入（明细）'!C:C&gt;=$J$4,'领用录入（明细）'!C:C&lt;=$L$4),ROW(),"-")</f>
        <v>-</v>
      </c>
    </row>
    <row r="25277" customHeight="1" spans="2:2">
      <c r="B25277" s="62" t="str">
        <f>IF(AND('领用录入（明细）'!D:D=$F$4,'领用录入（明细）'!C:C&gt;=$J$4,'领用录入（明细）'!C:C&lt;=$L$4),ROW(),"-")</f>
        <v>-</v>
      </c>
    </row>
    <row r="25278" customHeight="1" spans="2:2">
      <c r="B25278" s="62" t="str">
        <f>IF(AND('领用录入（明细）'!D:D=$F$4,'领用录入（明细）'!C:C&gt;=$J$4,'领用录入（明细）'!C:C&lt;=$L$4),ROW(),"-")</f>
        <v>-</v>
      </c>
    </row>
    <row r="25279" customHeight="1" spans="2:2">
      <c r="B25279" s="62" t="str">
        <f>IF(AND('领用录入（明细）'!D:D=$F$4,'领用录入（明细）'!C:C&gt;=$J$4,'领用录入（明细）'!C:C&lt;=$L$4),ROW(),"-")</f>
        <v>-</v>
      </c>
    </row>
    <row r="25280" customHeight="1" spans="2:2">
      <c r="B25280" s="62" t="str">
        <f>IF(AND('领用录入（明细）'!D:D=$F$4,'领用录入（明细）'!C:C&gt;=$J$4,'领用录入（明细）'!C:C&lt;=$L$4),ROW(),"-")</f>
        <v>-</v>
      </c>
    </row>
    <row r="25281" customHeight="1" spans="2:2">
      <c r="B25281" s="62" t="str">
        <f>IF(AND('领用录入（明细）'!D:D=$F$4,'领用录入（明细）'!C:C&gt;=$J$4,'领用录入（明细）'!C:C&lt;=$L$4),ROW(),"-")</f>
        <v>-</v>
      </c>
    </row>
    <row r="25282" customHeight="1" spans="2:2">
      <c r="B25282" s="62" t="str">
        <f>IF(AND('领用录入（明细）'!D:D=$F$4,'领用录入（明细）'!C:C&gt;=$J$4,'领用录入（明细）'!C:C&lt;=$L$4),ROW(),"-")</f>
        <v>-</v>
      </c>
    </row>
    <row r="25283" customHeight="1" spans="2:2">
      <c r="B25283" s="62" t="str">
        <f>IF(AND('领用录入（明细）'!D:D=$F$4,'领用录入（明细）'!C:C&gt;=$J$4,'领用录入（明细）'!C:C&lt;=$L$4),ROW(),"-")</f>
        <v>-</v>
      </c>
    </row>
    <row r="25284" customHeight="1" spans="2:2">
      <c r="B25284" s="62" t="str">
        <f>IF(AND('领用录入（明细）'!D:D=$F$4,'领用录入（明细）'!C:C&gt;=$J$4,'领用录入（明细）'!C:C&lt;=$L$4),ROW(),"-")</f>
        <v>-</v>
      </c>
    </row>
    <row r="25285" customHeight="1" spans="2:2">
      <c r="B25285" s="62" t="str">
        <f>IF(AND('领用录入（明细）'!D:D=$F$4,'领用录入（明细）'!C:C&gt;=$J$4,'领用录入（明细）'!C:C&lt;=$L$4),ROW(),"-")</f>
        <v>-</v>
      </c>
    </row>
    <row r="25286" customHeight="1" spans="2:2">
      <c r="B25286" s="62" t="str">
        <f>IF(AND('领用录入（明细）'!D:D=$F$4,'领用录入（明细）'!C:C&gt;=$J$4,'领用录入（明细）'!C:C&lt;=$L$4),ROW(),"-")</f>
        <v>-</v>
      </c>
    </row>
    <row r="25287" customHeight="1" spans="2:2">
      <c r="B25287" s="62" t="str">
        <f>IF(AND('领用录入（明细）'!D:D=$F$4,'领用录入（明细）'!C:C&gt;=$J$4,'领用录入（明细）'!C:C&lt;=$L$4),ROW(),"-")</f>
        <v>-</v>
      </c>
    </row>
    <row r="25288" customHeight="1" spans="2:2">
      <c r="B25288" s="62" t="str">
        <f>IF(AND('领用录入（明细）'!D:D=$F$4,'领用录入（明细）'!C:C&gt;=$J$4,'领用录入（明细）'!C:C&lt;=$L$4),ROW(),"-")</f>
        <v>-</v>
      </c>
    </row>
    <row r="25289" customHeight="1" spans="2:2">
      <c r="B25289" s="62" t="str">
        <f>IF(AND('领用录入（明细）'!D:D=$F$4,'领用录入（明细）'!C:C&gt;=$J$4,'领用录入（明细）'!C:C&lt;=$L$4),ROW(),"-")</f>
        <v>-</v>
      </c>
    </row>
    <row r="25290" customHeight="1" spans="2:2">
      <c r="B25290" s="62" t="str">
        <f>IF(AND('领用录入（明细）'!D:D=$F$4,'领用录入（明细）'!C:C&gt;=$J$4,'领用录入（明细）'!C:C&lt;=$L$4),ROW(),"-")</f>
        <v>-</v>
      </c>
    </row>
    <row r="25291" customHeight="1" spans="2:2">
      <c r="B25291" s="62" t="str">
        <f>IF(AND('领用录入（明细）'!D:D=$F$4,'领用录入（明细）'!C:C&gt;=$J$4,'领用录入（明细）'!C:C&lt;=$L$4),ROW(),"-")</f>
        <v>-</v>
      </c>
    </row>
    <row r="25292" customHeight="1" spans="2:2">
      <c r="B25292" s="62" t="str">
        <f>IF(AND('领用录入（明细）'!D:D=$F$4,'领用录入（明细）'!C:C&gt;=$J$4,'领用录入（明细）'!C:C&lt;=$L$4),ROW(),"-")</f>
        <v>-</v>
      </c>
    </row>
    <row r="25293" customHeight="1" spans="2:2">
      <c r="B25293" s="62" t="str">
        <f>IF(AND('领用录入（明细）'!D:D=$F$4,'领用录入（明细）'!C:C&gt;=$J$4,'领用录入（明细）'!C:C&lt;=$L$4),ROW(),"-")</f>
        <v>-</v>
      </c>
    </row>
    <row r="25294" customHeight="1" spans="2:2">
      <c r="B25294" s="62" t="str">
        <f>IF(AND('领用录入（明细）'!D:D=$F$4,'领用录入（明细）'!C:C&gt;=$J$4,'领用录入（明细）'!C:C&lt;=$L$4),ROW(),"-")</f>
        <v>-</v>
      </c>
    </row>
    <row r="25295" customHeight="1" spans="2:2">
      <c r="B25295" s="62" t="str">
        <f>IF(AND('领用录入（明细）'!D:D=$F$4,'领用录入（明细）'!C:C&gt;=$J$4,'领用录入（明细）'!C:C&lt;=$L$4),ROW(),"-")</f>
        <v>-</v>
      </c>
    </row>
    <row r="25296" customHeight="1" spans="2:2">
      <c r="B25296" s="62" t="str">
        <f>IF(AND('领用录入（明细）'!D:D=$F$4,'领用录入（明细）'!C:C&gt;=$J$4,'领用录入（明细）'!C:C&lt;=$L$4),ROW(),"-")</f>
        <v>-</v>
      </c>
    </row>
    <row r="25297" customHeight="1" spans="2:2">
      <c r="B25297" s="62" t="str">
        <f>IF(AND('领用录入（明细）'!D:D=$F$4,'领用录入（明细）'!C:C&gt;=$J$4,'领用录入（明细）'!C:C&lt;=$L$4),ROW(),"-")</f>
        <v>-</v>
      </c>
    </row>
    <row r="25298" customHeight="1" spans="2:2">
      <c r="B25298" s="62" t="str">
        <f>IF(AND('领用录入（明细）'!D:D=$F$4,'领用录入（明细）'!C:C&gt;=$J$4,'领用录入（明细）'!C:C&lt;=$L$4),ROW(),"-")</f>
        <v>-</v>
      </c>
    </row>
    <row r="25299" customHeight="1" spans="2:2">
      <c r="B25299" s="62" t="str">
        <f>IF(AND('领用录入（明细）'!D:D=$F$4,'领用录入（明细）'!C:C&gt;=$J$4,'领用录入（明细）'!C:C&lt;=$L$4),ROW(),"-")</f>
        <v>-</v>
      </c>
    </row>
    <row r="25300" customHeight="1" spans="2:2">
      <c r="B25300" s="62" t="str">
        <f>IF(AND('领用录入（明细）'!D:D=$F$4,'领用录入（明细）'!C:C&gt;=$J$4,'领用录入（明细）'!C:C&lt;=$L$4),ROW(),"-")</f>
        <v>-</v>
      </c>
    </row>
    <row r="25301" customHeight="1" spans="2:2">
      <c r="B25301" s="62" t="str">
        <f>IF(AND('领用录入（明细）'!D:D=$F$4,'领用录入（明细）'!C:C&gt;=$J$4,'领用录入（明细）'!C:C&lt;=$L$4),ROW(),"-")</f>
        <v>-</v>
      </c>
    </row>
    <row r="25302" customHeight="1" spans="2:2">
      <c r="B25302" s="62" t="str">
        <f>IF(AND('领用录入（明细）'!D:D=$F$4,'领用录入（明细）'!C:C&gt;=$J$4,'领用录入（明细）'!C:C&lt;=$L$4),ROW(),"-")</f>
        <v>-</v>
      </c>
    </row>
    <row r="25303" customHeight="1" spans="2:2">
      <c r="B25303" s="62" t="str">
        <f>IF(AND('领用录入（明细）'!D:D=$F$4,'领用录入（明细）'!C:C&gt;=$J$4,'领用录入（明细）'!C:C&lt;=$L$4),ROW(),"-")</f>
        <v>-</v>
      </c>
    </row>
    <row r="25304" customHeight="1" spans="2:2">
      <c r="B25304" s="62" t="str">
        <f>IF(AND('领用录入（明细）'!D:D=$F$4,'领用录入（明细）'!C:C&gt;=$J$4,'领用录入（明细）'!C:C&lt;=$L$4),ROW(),"-")</f>
        <v>-</v>
      </c>
    </row>
    <row r="25305" customHeight="1" spans="2:2">
      <c r="B25305" s="62" t="str">
        <f>IF(AND('领用录入（明细）'!D:D=$F$4,'领用录入（明细）'!C:C&gt;=$J$4,'领用录入（明细）'!C:C&lt;=$L$4),ROW(),"-")</f>
        <v>-</v>
      </c>
    </row>
    <row r="25306" customHeight="1" spans="2:2">
      <c r="B25306" s="62" t="str">
        <f>IF(AND('领用录入（明细）'!D:D=$F$4,'领用录入（明细）'!C:C&gt;=$J$4,'领用录入（明细）'!C:C&lt;=$L$4),ROW(),"-")</f>
        <v>-</v>
      </c>
    </row>
    <row r="25307" customHeight="1" spans="2:2">
      <c r="B25307" s="62" t="str">
        <f>IF(AND('领用录入（明细）'!D:D=$F$4,'领用录入（明细）'!C:C&gt;=$J$4,'领用录入（明细）'!C:C&lt;=$L$4),ROW(),"-")</f>
        <v>-</v>
      </c>
    </row>
    <row r="25308" customHeight="1" spans="2:2">
      <c r="B25308" s="62" t="str">
        <f>IF(AND('领用录入（明细）'!D:D=$F$4,'领用录入（明细）'!C:C&gt;=$J$4,'领用录入（明细）'!C:C&lt;=$L$4),ROW(),"-")</f>
        <v>-</v>
      </c>
    </row>
    <row r="25309" customHeight="1" spans="2:2">
      <c r="B25309" s="62" t="str">
        <f>IF(AND('领用录入（明细）'!D:D=$F$4,'领用录入（明细）'!C:C&gt;=$J$4,'领用录入（明细）'!C:C&lt;=$L$4),ROW(),"-")</f>
        <v>-</v>
      </c>
    </row>
    <row r="25310" customHeight="1" spans="2:2">
      <c r="B25310" s="62" t="str">
        <f>IF(AND('领用录入（明细）'!D:D=$F$4,'领用录入（明细）'!C:C&gt;=$J$4,'领用录入（明细）'!C:C&lt;=$L$4),ROW(),"-")</f>
        <v>-</v>
      </c>
    </row>
    <row r="25311" customHeight="1" spans="2:2">
      <c r="B25311" s="62" t="str">
        <f>IF(AND('领用录入（明细）'!D:D=$F$4,'领用录入（明细）'!C:C&gt;=$J$4,'领用录入（明细）'!C:C&lt;=$L$4),ROW(),"-")</f>
        <v>-</v>
      </c>
    </row>
    <row r="25312" customHeight="1" spans="2:2">
      <c r="B25312" s="62" t="str">
        <f>IF(AND('领用录入（明细）'!D:D=$F$4,'领用录入（明细）'!C:C&gt;=$J$4,'领用录入（明细）'!C:C&lt;=$L$4),ROW(),"-")</f>
        <v>-</v>
      </c>
    </row>
    <row r="25313" customHeight="1" spans="2:2">
      <c r="B25313" s="62" t="str">
        <f>IF(AND('领用录入（明细）'!D:D=$F$4,'领用录入（明细）'!C:C&gt;=$J$4,'领用录入（明细）'!C:C&lt;=$L$4),ROW(),"-")</f>
        <v>-</v>
      </c>
    </row>
    <row r="25314" customHeight="1" spans="2:2">
      <c r="B25314" s="62" t="str">
        <f>IF(AND('领用录入（明细）'!D:D=$F$4,'领用录入（明细）'!C:C&gt;=$J$4,'领用录入（明细）'!C:C&lt;=$L$4),ROW(),"-")</f>
        <v>-</v>
      </c>
    </row>
    <row r="25315" customHeight="1" spans="2:2">
      <c r="B25315" s="62" t="str">
        <f>IF(AND('领用录入（明细）'!D:D=$F$4,'领用录入（明细）'!C:C&gt;=$J$4,'领用录入（明细）'!C:C&lt;=$L$4),ROW(),"-")</f>
        <v>-</v>
      </c>
    </row>
    <row r="25316" customHeight="1" spans="2:2">
      <c r="B25316" s="62" t="str">
        <f>IF(AND('领用录入（明细）'!D:D=$F$4,'领用录入（明细）'!C:C&gt;=$J$4,'领用录入（明细）'!C:C&lt;=$L$4),ROW(),"-")</f>
        <v>-</v>
      </c>
    </row>
    <row r="25317" customHeight="1" spans="2:2">
      <c r="B25317" s="62" t="str">
        <f>IF(AND('领用录入（明细）'!D:D=$F$4,'领用录入（明细）'!C:C&gt;=$J$4,'领用录入（明细）'!C:C&lt;=$L$4),ROW(),"-")</f>
        <v>-</v>
      </c>
    </row>
    <row r="25318" customHeight="1" spans="2:2">
      <c r="B25318" s="62" t="str">
        <f>IF(AND('领用录入（明细）'!D:D=$F$4,'领用录入（明细）'!C:C&gt;=$J$4,'领用录入（明细）'!C:C&lt;=$L$4),ROW(),"-")</f>
        <v>-</v>
      </c>
    </row>
    <row r="25319" customHeight="1" spans="2:2">
      <c r="B25319" s="62" t="str">
        <f>IF(AND('领用录入（明细）'!D:D=$F$4,'领用录入（明细）'!C:C&gt;=$J$4,'领用录入（明细）'!C:C&lt;=$L$4),ROW(),"-")</f>
        <v>-</v>
      </c>
    </row>
    <row r="25320" customHeight="1" spans="2:2">
      <c r="B25320" s="62" t="str">
        <f>IF(AND('领用录入（明细）'!D:D=$F$4,'领用录入（明细）'!C:C&gt;=$J$4,'领用录入（明细）'!C:C&lt;=$L$4),ROW(),"-")</f>
        <v>-</v>
      </c>
    </row>
    <row r="25321" customHeight="1" spans="2:2">
      <c r="B25321" s="62" t="str">
        <f>IF(AND('领用录入（明细）'!D:D=$F$4,'领用录入（明细）'!C:C&gt;=$J$4,'领用录入（明细）'!C:C&lt;=$L$4),ROW(),"-")</f>
        <v>-</v>
      </c>
    </row>
    <row r="25322" customHeight="1" spans="2:2">
      <c r="B25322" s="62" t="str">
        <f>IF(AND('领用录入（明细）'!D:D=$F$4,'领用录入（明细）'!C:C&gt;=$J$4,'领用录入（明细）'!C:C&lt;=$L$4),ROW(),"-")</f>
        <v>-</v>
      </c>
    </row>
    <row r="25323" customHeight="1" spans="2:2">
      <c r="B25323" s="62" t="str">
        <f>IF(AND('领用录入（明细）'!D:D=$F$4,'领用录入（明细）'!C:C&gt;=$J$4,'领用录入（明细）'!C:C&lt;=$L$4),ROW(),"-")</f>
        <v>-</v>
      </c>
    </row>
    <row r="25324" customHeight="1" spans="2:2">
      <c r="B25324" s="62" t="str">
        <f>IF(AND('领用录入（明细）'!D:D=$F$4,'领用录入（明细）'!C:C&gt;=$J$4,'领用录入（明细）'!C:C&lt;=$L$4),ROW(),"-")</f>
        <v>-</v>
      </c>
    </row>
    <row r="25325" customHeight="1" spans="2:2">
      <c r="B25325" s="62" t="str">
        <f>IF(AND('领用录入（明细）'!D:D=$F$4,'领用录入（明细）'!C:C&gt;=$J$4,'领用录入（明细）'!C:C&lt;=$L$4),ROW(),"-")</f>
        <v>-</v>
      </c>
    </row>
    <row r="25326" customHeight="1" spans="2:2">
      <c r="B25326" s="62" t="str">
        <f>IF(AND('领用录入（明细）'!D:D=$F$4,'领用录入（明细）'!C:C&gt;=$J$4,'领用录入（明细）'!C:C&lt;=$L$4),ROW(),"-")</f>
        <v>-</v>
      </c>
    </row>
    <row r="25327" customHeight="1" spans="2:2">
      <c r="B25327" s="62" t="str">
        <f>IF(AND('领用录入（明细）'!D:D=$F$4,'领用录入（明细）'!C:C&gt;=$J$4,'领用录入（明细）'!C:C&lt;=$L$4),ROW(),"-")</f>
        <v>-</v>
      </c>
    </row>
    <row r="25328" customHeight="1" spans="2:2">
      <c r="B25328" s="62" t="str">
        <f>IF(AND('领用录入（明细）'!D:D=$F$4,'领用录入（明细）'!C:C&gt;=$J$4,'领用录入（明细）'!C:C&lt;=$L$4),ROW(),"-")</f>
        <v>-</v>
      </c>
    </row>
    <row r="25329" customHeight="1" spans="2:2">
      <c r="B25329" s="62" t="str">
        <f>IF(AND('领用录入（明细）'!D:D=$F$4,'领用录入（明细）'!C:C&gt;=$J$4,'领用录入（明细）'!C:C&lt;=$L$4),ROW(),"-")</f>
        <v>-</v>
      </c>
    </row>
    <row r="25330" customHeight="1" spans="2:2">
      <c r="B25330" s="62" t="str">
        <f>IF(AND('领用录入（明细）'!D:D=$F$4,'领用录入（明细）'!C:C&gt;=$J$4,'领用录入（明细）'!C:C&lt;=$L$4),ROW(),"-")</f>
        <v>-</v>
      </c>
    </row>
    <row r="25331" customHeight="1" spans="2:2">
      <c r="B25331" s="62" t="str">
        <f>IF(AND('领用录入（明细）'!D:D=$F$4,'领用录入（明细）'!C:C&gt;=$J$4,'领用录入（明细）'!C:C&lt;=$L$4),ROW(),"-")</f>
        <v>-</v>
      </c>
    </row>
    <row r="25332" customHeight="1" spans="2:2">
      <c r="B25332" s="62" t="str">
        <f>IF(AND('领用录入（明细）'!D:D=$F$4,'领用录入（明细）'!C:C&gt;=$J$4,'领用录入（明细）'!C:C&lt;=$L$4),ROW(),"-")</f>
        <v>-</v>
      </c>
    </row>
    <row r="25333" customHeight="1" spans="2:2">
      <c r="B25333" s="62" t="str">
        <f>IF(AND('领用录入（明细）'!D:D=$F$4,'领用录入（明细）'!C:C&gt;=$J$4,'领用录入（明细）'!C:C&lt;=$L$4),ROW(),"-")</f>
        <v>-</v>
      </c>
    </row>
    <row r="25334" customHeight="1" spans="2:2">
      <c r="B25334" s="62" t="str">
        <f>IF(AND('领用录入（明细）'!D:D=$F$4,'领用录入（明细）'!C:C&gt;=$J$4,'领用录入（明细）'!C:C&lt;=$L$4),ROW(),"-")</f>
        <v>-</v>
      </c>
    </row>
    <row r="25335" customHeight="1" spans="2:2">
      <c r="B25335" s="62" t="str">
        <f>IF(AND('领用录入（明细）'!D:D=$F$4,'领用录入（明细）'!C:C&gt;=$J$4,'领用录入（明细）'!C:C&lt;=$L$4),ROW(),"-")</f>
        <v>-</v>
      </c>
    </row>
    <row r="25336" customHeight="1" spans="2:2">
      <c r="B25336" s="62" t="str">
        <f>IF(AND('领用录入（明细）'!D:D=$F$4,'领用录入（明细）'!C:C&gt;=$J$4,'领用录入（明细）'!C:C&lt;=$L$4),ROW(),"-")</f>
        <v>-</v>
      </c>
    </row>
    <row r="25337" customHeight="1" spans="2:2">
      <c r="B25337" s="62" t="str">
        <f>IF(AND('领用录入（明细）'!D:D=$F$4,'领用录入（明细）'!C:C&gt;=$J$4,'领用录入（明细）'!C:C&lt;=$L$4),ROW(),"-")</f>
        <v>-</v>
      </c>
    </row>
    <row r="25338" customHeight="1" spans="2:2">
      <c r="B25338" s="62" t="str">
        <f>IF(AND('领用录入（明细）'!D:D=$F$4,'领用录入（明细）'!C:C&gt;=$J$4,'领用录入（明细）'!C:C&lt;=$L$4),ROW(),"-")</f>
        <v>-</v>
      </c>
    </row>
    <row r="25339" customHeight="1" spans="2:2">
      <c r="B25339" s="62" t="str">
        <f>IF(AND('领用录入（明细）'!D:D=$F$4,'领用录入（明细）'!C:C&gt;=$J$4,'领用录入（明细）'!C:C&lt;=$L$4),ROW(),"-")</f>
        <v>-</v>
      </c>
    </row>
    <row r="25340" customHeight="1" spans="2:2">
      <c r="B25340" s="62" t="str">
        <f>IF(AND('领用录入（明细）'!D:D=$F$4,'领用录入（明细）'!C:C&gt;=$J$4,'领用录入（明细）'!C:C&lt;=$L$4),ROW(),"-")</f>
        <v>-</v>
      </c>
    </row>
    <row r="25341" customHeight="1" spans="2:2">
      <c r="B25341" s="62" t="str">
        <f>IF(AND('领用录入（明细）'!D:D=$F$4,'领用录入（明细）'!C:C&gt;=$J$4,'领用录入（明细）'!C:C&lt;=$L$4),ROW(),"-")</f>
        <v>-</v>
      </c>
    </row>
    <row r="25342" customHeight="1" spans="2:2">
      <c r="B25342" s="62" t="str">
        <f>IF(AND('领用录入（明细）'!D:D=$F$4,'领用录入（明细）'!C:C&gt;=$J$4,'领用录入（明细）'!C:C&lt;=$L$4),ROW(),"-")</f>
        <v>-</v>
      </c>
    </row>
    <row r="25343" customHeight="1" spans="2:2">
      <c r="B25343" s="62" t="str">
        <f>IF(AND('领用录入（明细）'!D:D=$F$4,'领用录入（明细）'!C:C&gt;=$J$4,'领用录入（明细）'!C:C&lt;=$L$4),ROW(),"-")</f>
        <v>-</v>
      </c>
    </row>
    <row r="25344" customHeight="1" spans="2:2">
      <c r="B25344" s="62" t="str">
        <f>IF(AND('领用录入（明细）'!D:D=$F$4,'领用录入（明细）'!C:C&gt;=$J$4,'领用录入（明细）'!C:C&lt;=$L$4),ROW(),"-")</f>
        <v>-</v>
      </c>
    </row>
    <row r="25345" customHeight="1" spans="2:2">
      <c r="B25345" s="62" t="str">
        <f>IF(AND('领用录入（明细）'!D:D=$F$4,'领用录入（明细）'!C:C&gt;=$J$4,'领用录入（明细）'!C:C&lt;=$L$4),ROW(),"-")</f>
        <v>-</v>
      </c>
    </row>
    <row r="25346" customHeight="1" spans="2:2">
      <c r="B25346" s="62" t="str">
        <f>IF(AND('领用录入（明细）'!D:D=$F$4,'领用录入（明细）'!C:C&gt;=$J$4,'领用录入（明细）'!C:C&lt;=$L$4),ROW(),"-")</f>
        <v>-</v>
      </c>
    </row>
    <row r="25347" customHeight="1" spans="2:2">
      <c r="B25347" s="62" t="str">
        <f>IF(AND('领用录入（明细）'!D:D=$F$4,'领用录入（明细）'!C:C&gt;=$J$4,'领用录入（明细）'!C:C&lt;=$L$4),ROW(),"-")</f>
        <v>-</v>
      </c>
    </row>
    <row r="25348" customHeight="1" spans="2:2">
      <c r="B25348" s="62" t="str">
        <f>IF(AND('领用录入（明细）'!D:D=$F$4,'领用录入（明细）'!C:C&gt;=$J$4,'领用录入（明细）'!C:C&lt;=$L$4),ROW(),"-")</f>
        <v>-</v>
      </c>
    </row>
    <row r="25349" customHeight="1" spans="2:2">
      <c r="B25349" s="62" t="str">
        <f>IF(AND('领用录入（明细）'!D:D=$F$4,'领用录入（明细）'!C:C&gt;=$J$4,'领用录入（明细）'!C:C&lt;=$L$4),ROW(),"-")</f>
        <v>-</v>
      </c>
    </row>
    <row r="25350" customHeight="1" spans="2:2">
      <c r="B25350" s="62" t="str">
        <f>IF(AND('领用录入（明细）'!D:D=$F$4,'领用录入（明细）'!C:C&gt;=$J$4,'领用录入（明细）'!C:C&lt;=$L$4),ROW(),"-")</f>
        <v>-</v>
      </c>
    </row>
    <row r="25351" customHeight="1" spans="2:2">
      <c r="B25351" s="62" t="str">
        <f>IF(AND('领用录入（明细）'!D:D=$F$4,'领用录入（明细）'!C:C&gt;=$J$4,'领用录入（明细）'!C:C&lt;=$L$4),ROW(),"-")</f>
        <v>-</v>
      </c>
    </row>
    <row r="25352" customHeight="1" spans="2:2">
      <c r="B25352" s="62" t="str">
        <f>IF(AND('领用录入（明细）'!D:D=$F$4,'领用录入（明细）'!C:C&gt;=$J$4,'领用录入（明细）'!C:C&lt;=$L$4),ROW(),"-")</f>
        <v>-</v>
      </c>
    </row>
    <row r="25353" customHeight="1" spans="2:2">
      <c r="B25353" s="62" t="str">
        <f>IF(AND('领用录入（明细）'!D:D=$F$4,'领用录入（明细）'!C:C&gt;=$J$4,'领用录入（明细）'!C:C&lt;=$L$4),ROW(),"-")</f>
        <v>-</v>
      </c>
    </row>
    <row r="25354" customHeight="1" spans="2:2">
      <c r="B25354" s="62" t="str">
        <f>IF(AND('领用录入（明细）'!D:D=$F$4,'领用录入（明细）'!C:C&gt;=$J$4,'领用录入（明细）'!C:C&lt;=$L$4),ROW(),"-")</f>
        <v>-</v>
      </c>
    </row>
    <row r="25355" customHeight="1" spans="2:2">
      <c r="B25355" s="62" t="str">
        <f>IF(AND('领用录入（明细）'!D:D=$F$4,'领用录入（明细）'!C:C&gt;=$J$4,'领用录入（明细）'!C:C&lt;=$L$4),ROW(),"-")</f>
        <v>-</v>
      </c>
    </row>
    <row r="25356" customHeight="1" spans="2:2">
      <c r="B25356" s="62" t="str">
        <f>IF(AND('领用录入（明细）'!D:D=$F$4,'领用录入（明细）'!C:C&gt;=$J$4,'领用录入（明细）'!C:C&lt;=$L$4),ROW(),"-")</f>
        <v>-</v>
      </c>
    </row>
    <row r="25357" customHeight="1" spans="2:2">
      <c r="B25357" s="62" t="str">
        <f>IF(AND('领用录入（明细）'!D:D=$F$4,'领用录入（明细）'!C:C&gt;=$J$4,'领用录入（明细）'!C:C&lt;=$L$4),ROW(),"-")</f>
        <v>-</v>
      </c>
    </row>
    <row r="25358" customHeight="1" spans="2:2">
      <c r="B25358" s="62" t="str">
        <f>IF(AND('领用录入（明细）'!D:D=$F$4,'领用录入（明细）'!C:C&gt;=$J$4,'领用录入（明细）'!C:C&lt;=$L$4),ROW(),"-")</f>
        <v>-</v>
      </c>
    </row>
    <row r="25359" customHeight="1" spans="2:2">
      <c r="B25359" s="62" t="str">
        <f>IF(AND('领用录入（明细）'!D:D=$F$4,'领用录入（明细）'!C:C&gt;=$J$4,'领用录入（明细）'!C:C&lt;=$L$4),ROW(),"-")</f>
        <v>-</v>
      </c>
    </row>
    <row r="25360" customHeight="1" spans="2:2">
      <c r="B25360" s="62" t="str">
        <f>IF(AND('领用录入（明细）'!D:D=$F$4,'领用录入（明细）'!C:C&gt;=$J$4,'领用录入（明细）'!C:C&lt;=$L$4),ROW(),"-")</f>
        <v>-</v>
      </c>
    </row>
    <row r="25361" customHeight="1" spans="2:2">
      <c r="B25361" s="62" t="str">
        <f>IF(AND('领用录入（明细）'!D:D=$F$4,'领用录入（明细）'!C:C&gt;=$J$4,'领用录入（明细）'!C:C&lt;=$L$4),ROW(),"-")</f>
        <v>-</v>
      </c>
    </row>
    <row r="25362" customHeight="1" spans="2:2">
      <c r="B25362" s="62" t="str">
        <f>IF(AND('领用录入（明细）'!D:D=$F$4,'领用录入（明细）'!C:C&gt;=$J$4,'领用录入（明细）'!C:C&lt;=$L$4),ROW(),"-")</f>
        <v>-</v>
      </c>
    </row>
    <row r="25363" customHeight="1" spans="2:2">
      <c r="B25363" s="62" t="str">
        <f>IF(AND('领用录入（明细）'!D:D=$F$4,'领用录入（明细）'!C:C&gt;=$J$4,'领用录入（明细）'!C:C&lt;=$L$4),ROW(),"-")</f>
        <v>-</v>
      </c>
    </row>
    <row r="25364" customHeight="1" spans="2:2">
      <c r="B25364" s="62" t="str">
        <f>IF(AND('领用录入（明细）'!D:D=$F$4,'领用录入（明细）'!C:C&gt;=$J$4,'领用录入（明细）'!C:C&lt;=$L$4),ROW(),"-")</f>
        <v>-</v>
      </c>
    </row>
    <row r="25365" customHeight="1" spans="2:2">
      <c r="B25365" s="62" t="str">
        <f>IF(AND('领用录入（明细）'!D:D=$F$4,'领用录入（明细）'!C:C&gt;=$J$4,'领用录入（明细）'!C:C&lt;=$L$4),ROW(),"-")</f>
        <v>-</v>
      </c>
    </row>
    <row r="25366" customHeight="1" spans="2:2">
      <c r="B25366" s="62" t="str">
        <f>IF(AND('领用录入（明细）'!D:D=$F$4,'领用录入（明细）'!C:C&gt;=$J$4,'领用录入（明细）'!C:C&lt;=$L$4),ROW(),"-")</f>
        <v>-</v>
      </c>
    </row>
    <row r="25367" customHeight="1" spans="2:2">
      <c r="B25367" s="62" t="str">
        <f>IF(AND('领用录入（明细）'!D:D=$F$4,'领用录入（明细）'!C:C&gt;=$J$4,'领用录入（明细）'!C:C&lt;=$L$4),ROW(),"-")</f>
        <v>-</v>
      </c>
    </row>
    <row r="25368" customHeight="1" spans="2:2">
      <c r="B25368" s="62" t="str">
        <f>IF(AND('领用录入（明细）'!D:D=$F$4,'领用录入（明细）'!C:C&gt;=$J$4,'领用录入（明细）'!C:C&lt;=$L$4),ROW(),"-")</f>
        <v>-</v>
      </c>
    </row>
    <row r="25369" customHeight="1" spans="2:2">
      <c r="B25369" s="62" t="str">
        <f>IF(AND('领用录入（明细）'!D:D=$F$4,'领用录入（明细）'!C:C&gt;=$J$4,'领用录入（明细）'!C:C&lt;=$L$4),ROW(),"-")</f>
        <v>-</v>
      </c>
    </row>
    <row r="25370" customHeight="1" spans="2:2">
      <c r="B25370" s="62" t="str">
        <f>IF(AND('领用录入（明细）'!D:D=$F$4,'领用录入（明细）'!C:C&gt;=$J$4,'领用录入（明细）'!C:C&lt;=$L$4),ROW(),"-")</f>
        <v>-</v>
      </c>
    </row>
    <row r="25371" customHeight="1" spans="2:2">
      <c r="B25371" s="62" t="str">
        <f>IF(AND('领用录入（明细）'!D:D=$F$4,'领用录入（明细）'!C:C&gt;=$J$4,'领用录入（明细）'!C:C&lt;=$L$4),ROW(),"-")</f>
        <v>-</v>
      </c>
    </row>
    <row r="25372" customHeight="1" spans="2:2">
      <c r="B25372" s="62" t="str">
        <f>IF(AND('领用录入（明细）'!D:D=$F$4,'领用录入（明细）'!C:C&gt;=$J$4,'领用录入（明细）'!C:C&lt;=$L$4),ROW(),"-")</f>
        <v>-</v>
      </c>
    </row>
    <row r="25373" customHeight="1" spans="2:2">
      <c r="B25373" s="62" t="str">
        <f>IF(AND('领用录入（明细）'!D:D=$F$4,'领用录入（明细）'!C:C&gt;=$J$4,'领用录入（明细）'!C:C&lt;=$L$4),ROW(),"-")</f>
        <v>-</v>
      </c>
    </row>
    <row r="25374" customHeight="1" spans="2:2">
      <c r="B25374" s="62" t="str">
        <f>IF(AND('领用录入（明细）'!D:D=$F$4,'领用录入（明细）'!C:C&gt;=$J$4,'领用录入（明细）'!C:C&lt;=$L$4),ROW(),"-")</f>
        <v>-</v>
      </c>
    </row>
    <row r="25375" customHeight="1" spans="2:2">
      <c r="B25375" s="62" t="str">
        <f>IF(AND('领用录入（明细）'!D:D=$F$4,'领用录入（明细）'!C:C&gt;=$J$4,'领用录入（明细）'!C:C&lt;=$L$4),ROW(),"-")</f>
        <v>-</v>
      </c>
    </row>
    <row r="25376" customHeight="1" spans="2:2">
      <c r="B25376" s="62" t="str">
        <f>IF(AND('领用录入（明细）'!D:D=$F$4,'领用录入（明细）'!C:C&gt;=$J$4,'领用录入（明细）'!C:C&lt;=$L$4),ROW(),"-")</f>
        <v>-</v>
      </c>
    </row>
    <row r="25377" customHeight="1" spans="2:2">
      <c r="B25377" s="62" t="str">
        <f>IF(AND('领用录入（明细）'!D:D=$F$4,'领用录入（明细）'!C:C&gt;=$J$4,'领用录入（明细）'!C:C&lt;=$L$4),ROW(),"-")</f>
        <v>-</v>
      </c>
    </row>
    <row r="25378" customHeight="1" spans="2:2">
      <c r="B25378" s="62" t="str">
        <f>IF(AND('领用录入（明细）'!D:D=$F$4,'领用录入（明细）'!C:C&gt;=$J$4,'领用录入（明细）'!C:C&lt;=$L$4),ROW(),"-")</f>
        <v>-</v>
      </c>
    </row>
    <row r="25379" customHeight="1" spans="2:2">
      <c r="B25379" s="62" t="str">
        <f>IF(AND('领用录入（明细）'!D:D=$F$4,'领用录入（明细）'!C:C&gt;=$J$4,'领用录入（明细）'!C:C&lt;=$L$4),ROW(),"-")</f>
        <v>-</v>
      </c>
    </row>
    <row r="25380" customHeight="1" spans="2:2">
      <c r="B25380" s="62" t="str">
        <f>IF(AND('领用录入（明细）'!D:D=$F$4,'领用录入（明细）'!C:C&gt;=$J$4,'领用录入（明细）'!C:C&lt;=$L$4),ROW(),"-")</f>
        <v>-</v>
      </c>
    </row>
    <row r="25381" customHeight="1" spans="2:2">
      <c r="B25381" s="62" t="str">
        <f>IF(AND('领用录入（明细）'!D:D=$F$4,'领用录入（明细）'!C:C&gt;=$J$4,'领用录入（明细）'!C:C&lt;=$L$4),ROW(),"-")</f>
        <v>-</v>
      </c>
    </row>
    <row r="25382" customHeight="1" spans="2:2">
      <c r="B25382" s="62" t="str">
        <f>IF(AND('领用录入（明细）'!D:D=$F$4,'领用录入（明细）'!C:C&gt;=$J$4,'领用录入（明细）'!C:C&lt;=$L$4),ROW(),"-")</f>
        <v>-</v>
      </c>
    </row>
    <row r="25383" customHeight="1" spans="2:2">
      <c r="B25383" s="62" t="str">
        <f>IF(AND('领用录入（明细）'!D:D=$F$4,'领用录入（明细）'!C:C&gt;=$J$4,'领用录入（明细）'!C:C&lt;=$L$4),ROW(),"-")</f>
        <v>-</v>
      </c>
    </row>
    <row r="25384" customHeight="1" spans="2:2">
      <c r="B25384" s="62" t="str">
        <f>IF(AND('领用录入（明细）'!D:D=$F$4,'领用录入（明细）'!C:C&gt;=$J$4,'领用录入（明细）'!C:C&lt;=$L$4),ROW(),"-")</f>
        <v>-</v>
      </c>
    </row>
    <row r="25385" customHeight="1" spans="2:2">
      <c r="B25385" s="62" t="str">
        <f>IF(AND('领用录入（明细）'!D:D=$F$4,'领用录入（明细）'!C:C&gt;=$J$4,'领用录入（明细）'!C:C&lt;=$L$4),ROW(),"-")</f>
        <v>-</v>
      </c>
    </row>
    <row r="25386" customHeight="1" spans="2:2">
      <c r="B25386" s="62" t="str">
        <f>IF(AND('领用录入（明细）'!D:D=$F$4,'领用录入（明细）'!C:C&gt;=$J$4,'领用录入（明细）'!C:C&lt;=$L$4),ROW(),"-")</f>
        <v>-</v>
      </c>
    </row>
    <row r="25387" customHeight="1" spans="2:2">
      <c r="B25387" s="62" t="str">
        <f>IF(AND('领用录入（明细）'!D:D=$F$4,'领用录入（明细）'!C:C&gt;=$J$4,'领用录入（明细）'!C:C&lt;=$L$4),ROW(),"-")</f>
        <v>-</v>
      </c>
    </row>
    <row r="25388" customHeight="1" spans="2:2">
      <c r="B25388" s="62" t="str">
        <f>IF(AND('领用录入（明细）'!D:D=$F$4,'领用录入（明细）'!C:C&gt;=$J$4,'领用录入（明细）'!C:C&lt;=$L$4),ROW(),"-")</f>
        <v>-</v>
      </c>
    </row>
    <row r="25389" customHeight="1" spans="2:2">
      <c r="B25389" s="62" t="str">
        <f>IF(AND('领用录入（明细）'!D:D=$F$4,'领用录入（明细）'!C:C&gt;=$J$4,'领用录入（明细）'!C:C&lt;=$L$4),ROW(),"-")</f>
        <v>-</v>
      </c>
    </row>
    <row r="25390" customHeight="1" spans="2:2">
      <c r="B25390" s="62" t="str">
        <f>IF(AND('领用录入（明细）'!D:D=$F$4,'领用录入（明细）'!C:C&gt;=$J$4,'领用录入（明细）'!C:C&lt;=$L$4),ROW(),"-")</f>
        <v>-</v>
      </c>
    </row>
    <row r="25391" customHeight="1" spans="2:2">
      <c r="B25391" s="62" t="str">
        <f>IF(AND('领用录入（明细）'!D:D=$F$4,'领用录入（明细）'!C:C&gt;=$J$4,'领用录入（明细）'!C:C&lt;=$L$4),ROW(),"-")</f>
        <v>-</v>
      </c>
    </row>
    <row r="25392" customHeight="1" spans="2:2">
      <c r="B25392" s="62" t="str">
        <f>IF(AND('领用录入（明细）'!D:D=$F$4,'领用录入（明细）'!C:C&gt;=$J$4,'领用录入（明细）'!C:C&lt;=$L$4),ROW(),"-")</f>
        <v>-</v>
      </c>
    </row>
    <row r="25393" customHeight="1" spans="2:2">
      <c r="B25393" s="62" t="str">
        <f>IF(AND('领用录入（明细）'!D:D=$F$4,'领用录入（明细）'!C:C&gt;=$J$4,'领用录入（明细）'!C:C&lt;=$L$4),ROW(),"-")</f>
        <v>-</v>
      </c>
    </row>
    <row r="25394" customHeight="1" spans="2:2">
      <c r="B25394" s="62" t="str">
        <f>IF(AND('领用录入（明细）'!D:D=$F$4,'领用录入（明细）'!C:C&gt;=$J$4,'领用录入（明细）'!C:C&lt;=$L$4),ROW(),"-")</f>
        <v>-</v>
      </c>
    </row>
    <row r="25395" customHeight="1" spans="2:2">
      <c r="B25395" s="62" t="str">
        <f>IF(AND('领用录入（明细）'!D:D=$F$4,'领用录入（明细）'!C:C&gt;=$J$4,'领用录入（明细）'!C:C&lt;=$L$4),ROW(),"-")</f>
        <v>-</v>
      </c>
    </row>
    <row r="25396" customHeight="1" spans="2:2">
      <c r="B25396" s="62" t="str">
        <f>IF(AND('领用录入（明细）'!D:D=$F$4,'领用录入（明细）'!C:C&gt;=$J$4,'领用录入（明细）'!C:C&lt;=$L$4),ROW(),"-")</f>
        <v>-</v>
      </c>
    </row>
    <row r="25397" customHeight="1" spans="2:2">
      <c r="B25397" s="62" t="str">
        <f>IF(AND('领用录入（明细）'!D:D=$F$4,'领用录入（明细）'!C:C&gt;=$J$4,'领用录入（明细）'!C:C&lt;=$L$4),ROW(),"-")</f>
        <v>-</v>
      </c>
    </row>
    <row r="25398" customHeight="1" spans="2:2">
      <c r="B25398" s="62" t="str">
        <f>IF(AND('领用录入（明细）'!D:D=$F$4,'领用录入（明细）'!C:C&gt;=$J$4,'领用录入（明细）'!C:C&lt;=$L$4),ROW(),"-")</f>
        <v>-</v>
      </c>
    </row>
    <row r="25399" customHeight="1" spans="2:2">
      <c r="B25399" s="62" t="str">
        <f>IF(AND('领用录入（明细）'!D:D=$F$4,'领用录入（明细）'!C:C&gt;=$J$4,'领用录入（明细）'!C:C&lt;=$L$4),ROW(),"-")</f>
        <v>-</v>
      </c>
    </row>
    <row r="25400" customHeight="1" spans="2:2">
      <c r="B25400" s="62" t="str">
        <f>IF(AND('领用录入（明细）'!D:D=$F$4,'领用录入（明细）'!C:C&gt;=$J$4,'领用录入（明细）'!C:C&lt;=$L$4),ROW(),"-")</f>
        <v>-</v>
      </c>
    </row>
    <row r="25401" customHeight="1" spans="2:2">
      <c r="B25401" s="62" t="str">
        <f>IF(AND('领用录入（明细）'!D:D=$F$4,'领用录入（明细）'!C:C&gt;=$J$4,'领用录入（明细）'!C:C&lt;=$L$4),ROW(),"-")</f>
        <v>-</v>
      </c>
    </row>
    <row r="25402" customHeight="1" spans="2:2">
      <c r="B25402" s="62" t="str">
        <f>IF(AND('领用录入（明细）'!D:D=$F$4,'领用录入（明细）'!C:C&gt;=$J$4,'领用录入（明细）'!C:C&lt;=$L$4),ROW(),"-")</f>
        <v>-</v>
      </c>
    </row>
    <row r="25403" customHeight="1" spans="2:2">
      <c r="B25403" s="62" t="str">
        <f>IF(AND('领用录入（明细）'!D:D=$F$4,'领用录入（明细）'!C:C&gt;=$J$4,'领用录入（明细）'!C:C&lt;=$L$4),ROW(),"-")</f>
        <v>-</v>
      </c>
    </row>
    <row r="25404" customHeight="1" spans="2:2">
      <c r="B25404" s="62" t="str">
        <f>IF(AND('领用录入（明细）'!D:D=$F$4,'领用录入（明细）'!C:C&gt;=$J$4,'领用录入（明细）'!C:C&lt;=$L$4),ROW(),"-")</f>
        <v>-</v>
      </c>
    </row>
    <row r="25405" customHeight="1" spans="2:2">
      <c r="B25405" s="62" t="str">
        <f>IF(AND('领用录入（明细）'!D:D=$F$4,'领用录入（明细）'!C:C&gt;=$J$4,'领用录入（明细）'!C:C&lt;=$L$4),ROW(),"-")</f>
        <v>-</v>
      </c>
    </row>
    <row r="25406" customHeight="1" spans="2:2">
      <c r="B25406" s="62" t="str">
        <f>IF(AND('领用录入（明细）'!D:D=$F$4,'领用录入（明细）'!C:C&gt;=$J$4,'领用录入（明细）'!C:C&lt;=$L$4),ROW(),"-")</f>
        <v>-</v>
      </c>
    </row>
    <row r="25407" customHeight="1" spans="2:2">
      <c r="B25407" s="62" t="str">
        <f>IF(AND('领用录入（明细）'!D:D=$F$4,'领用录入（明细）'!C:C&gt;=$J$4,'领用录入（明细）'!C:C&lt;=$L$4),ROW(),"-")</f>
        <v>-</v>
      </c>
    </row>
    <row r="25408" customHeight="1" spans="2:2">
      <c r="B25408" s="62" t="str">
        <f>IF(AND('领用录入（明细）'!D:D=$F$4,'领用录入（明细）'!C:C&gt;=$J$4,'领用录入（明细）'!C:C&lt;=$L$4),ROW(),"-")</f>
        <v>-</v>
      </c>
    </row>
    <row r="25409" customHeight="1" spans="2:2">
      <c r="B25409" s="62" t="str">
        <f>IF(AND('领用录入（明细）'!D:D=$F$4,'领用录入（明细）'!C:C&gt;=$J$4,'领用录入（明细）'!C:C&lt;=$L$4),ROW(),"-")</f>
        <v>-</v>
      </c>
    </row>
    <row r="25410" customHeight="1" spans="2:2">
      <c r="B25410" s="62" t="str">
        <f>IF(AND('领用录入（明细）'!D:D=$F$4,'领用录入（明细）'!C:C&gt;=$J$4,'领用录入（明细）'!C:C&lt;=$L$4),ROW(),"-")</f>
        <v>-</v>
      </c>
    </row>
    <row r="25411" customHeight="1" spans="2:2">
      <c r="B25411" s="62" t="str">
        <f>IF(AND('领用录入（明细）'!D:D=$F$4,'领用录入（明细）'!C:C&gt;=$J$4,'领用录入（明细）'!C:C&lt;=$L$4),ROW(),"-")</f>
        <v>-</v>
      </c>
    </row>
    <row r="25412" customHeight="1" spans="2:2">
      <c r="B25412" s="62" t="str">
        <f>IF(AND('领用录入（明细）'!D:D=$F$4,'领用录入（明细）'!C:C&gt;=$J$4,'领用录入（明细）'!C:C&lt;=$L$4),ROW(),"-")</f>
        <v>-</v>
      </c>
    </row>
    <row r="25413" customHeight="1" spans="2:2">
      <c r="B25413" s="62" t="str">
        <f>IF(AND('领用录入（明细）'!D:D=$F$4,'领用录入（明细）'!C:C&gt;=$J$4,'领用录入（明细）'!C:C&lt;=$L$4),ROW(),"-")</f>
        <v>-</v>
      </c>
    </row>
    <row r="25414" customHeight="1" spans="2:2">
      <c r="B25414" s="62" t="str">
        <f>IF(AND('领用录入（明细）'!D:D=$F$4,'领用录入（明细）'!C:C&gt;=$J$4,'领用录入（明细）'!C:C&lt;=$L$4),ROW(),"-")</f>
        <v>-</v>
      </c>
    </row>
    <row r="25415" customHeight="1" spans="2:2">
      <c r="B25415" s="62" t="str">
        <f>IF(AND('领用录入（明细）'!D:D=$F$4,'领用录入（明细）'!C:C&gt;=$J$4,'领用录入（明细）'!C:C&lt;=$L$4),ROW(),"-")</f>
        <v>-</v>
      </c>
    </row>
    <row r="25416" customHeight="1" spans="2:2">
      <c r="B25416" s="62" t="str">
        <f>IF(AND('领用录入（明细）'!D:D=$F$4,'领用录入（明细）'!C:C&gt;=$J$4,'领用录入（明细）'!C:C&lt;=$L$4),ROW(),"-")</f>
        <v>-</v>
      </c>
    </row>
    <row r="25417" customHeight="1" spans="2:2">
      <c r="B25417" s="62" t="str">
        <f>IF(AND('领用录入（明细）'!D:D=$F$4,'领用录入（明细）'!C:C&gt;=$J$4,'领用录入（明细）'!C:C&lt;=$L$4),ROW(),"-")</f>
        <v>-</v>
      </c>
    </row>
    <row r="25418" customHeight="1" spans="2:2">
      <c r="B25418" s="62" t="str">
        <f>IF(AND('领用录入（明细）'!D:D=$F$4,'领用录入（明细）'!C:C&gt;=$J$4,'领用录入（明细）'!C:C&lt;=$L$4),ROW(),"-")</f>
        <v>-</v>
      </c>
    </row>
    <row r="25419" customHeight="1" spans="2:2">
      <c r="B25419" s="62" t="str">
        <f>IF(AND('领用录入（明细）'!D:D=$F$4,'领用录入（明细）'!C:C&gt;=$J$4,'领用录入（明细）'!C:C&lt;=$L$4),ROW(),"-")</f>
        <v>-</v>
      </c>
    </row>
    <row r="25420" customHeight="1" spans="2:2">
      <c r="B25420" s="62" t="str">
        <f>IF(AND('领用录入（明细）'!D:D=$F$4,'领用录入（明细）'!C:C&gt;=$J$4,'领用录入（明细）'!C:C&lt;=$L$4),ROW(),"-")</f>
        <v>-</v>
      </c>
    </row>
    <row r="25421" customHeight="1" spans="2:2">
      <c r="B25421" s="62" t="str">
        <f>IF(AND('领用录入（明细）'!D:D=$F$4,'领用录入（明细）'!C:C&gt;=$J$4,'领用录入（明细）'!C:C&lt;=$L$4),ROW(),"-")</f>
        <v>-</v>
      </c>
    </row>
    <row r="25422" customHeight="1" spans="2:2">
      <c r="B25422" s="62" t="str">
        <f>IF(AND('领用录入（明细）'!D:D=$F$4,'领用录入（明细）'!C:C&gt;=$J$4,'领用录入（明细）'!C:C&lt;=$L$4),ROW(),"-")</f>
        <v>-</v>
      </c>
    </row>
    <row r="25423" customHeight="1" spans="2:2">
      <c r="B25423" s="62" t="str">
        <f>IF(AND('领用录入（明细）'!D:D=$F$4,'领用录入（明细）'!C:C&gt;=$J$4,'领用录入（明细）'!C:C&lt;=$L$4),ROW(),"-")</f>
        <v>-</v>
      </c>
    </row>
    <row r="25424" customHeight="1" spans="2:2">
      <c r="B25424" s="62" t="str">
        <f>IF(AND('领用录入（明细）'!D:D=$F$4,'领用录入（明细）'!C:C&gt;=$J$4,'领用录入（明细）'!C:C&lt;=$L$4),ROW(),"-")</f>
        <v>-</v>
      </c>
    </row>
    <row r="25425" customHeight="1" spans="2:2">
      <c r="B25425" s="62" t="str">
        <f>IF(AND('领用录入（明细）'!D:D=$F$4,'领用录入（明细）'!C:C&gt;=$J$4,'领用录入（明细）'!C:C&lt;=$L$4),ROW(),"-")</f>
        <v>-</v>
      </c>
    </row>
    <row r="25426" customHeight="1" spans="2:2">
      <c r="B25426" s="62" t="str">
        <f>IF(AND('领用录入（明细）'!D:D=$F$4,'领用录入（明细）'!C:C&gt;=$J$4,'领用录入（明细）'!C:C&lt;=$L$4),ROW(),"-")</f>
        <v>-</v>
      </c>
    </row>
    <row r="25427" customHeight="1" spans="2:2">
      <c r="B25427" s="62" t="str">
        <f>IF(AND('领用录入（明细）'!D:D=$F$4,'领用录入（明细）'!C:C&gt;=$J$4,'领用录入（明细）'!C:C&lt;=$L$4),ROW(),"-")</f>
        <v>-</v>
      </c>
    </row>
    <row r="25428" customHeight="1" spans="2:2">
      <c r="B25428" s="62" t="str">
        <f>IF(AND('领用录入（明细）'!D:D=$F$4,'领用录入（明细）'!C:C&gt;=$J$4,'领用录入（明细）'!C:C&lt;=$L$4),ROW(),"-")</f>
        <v>-</v>
      </c>
    </row>
    <row r="25429" customHeight="1" spans="2:2">
      <c r="B25429" s="62" t="str">
        <f>IF(AND('领用录入（明细）'!D:D=$F$4,'领用录入（明细）'!C:C&gt;=$J$4,'领用录入（明细）'!C:C&lt;=$L$4),ROW(),"-")</f>
        <v>-</v>
      </c>
    </row>
    <row r="25430" customHeight="1" spans="2:2">
      <c r="B25430" s="62" t="str">
        <f>IF(AND('领用录入（明细）'!D:D=$F$4,'领用录入（明细）'!C:C&gt;=$J$4,'领用录入（明细）'!C:C&lt;=$L$4),ROW(),"-")</f>
        <v>-</v>
      </c>
    </row>
    <row r="25431" customHeight="1" spans="2:2">
      <c r="B25431" s="62" t="str">
        <f>IF(AND('领用录入（明细）'!D:D=$F$4,'领用录入（明细）'!C:C&gt;=$J$4,'领用录入（明细）'!C:C&lt;=$L$4),ROW(),"-")</f>
        <v>-</v>
      </c>
    </row>
    <row r="25432" customHeight="1" spans="2:2">
      <c r="B25432" s="62" t="str">
        <f>IF(AND('领用录入（明细）'!D:D=$F$4,'领用录入（明细）'!C:C&gt;=$J$4,'领用录入（明细）'!C:C&lt;=$L$4),ROW(),"-")</f>
        <v>-</v>
      </c>
    </row>
    <row r="25433" customHeight="1" spans="2:2">
      <c r="B25433" s="62" t="str">
        <f>IF(AND('领用录入（明细）'!D:D=$F$4,'领用录入（明细）'!C:C&gt;=$J$4,'领用录入（明细）'!C:C&lt;=$L$4),ROW(),"-")</f>
        <v>-</v>
      </c>
    </row>
    <row r="25434" customHeight="1" spans="2:2">
      <c r="B25434" s="62" t="str">
        <f>IF(AND('领用录入（明细）'!D:D=$F$4,'领用录入（明细）'!C:C&gt;=$J$4,'领用录入（明细）'!C:C&lt;=$L$4),ROW(),"-")</f>
        <v>-</v>
      </c>
    </row>
    <row r="25435" customHeight="1" spans="2:2">
      <c r="B25435" s="62" t="str">
        <f>IF(AND('领用录入（明细）'!D:D=$F$4,'领用录入（明细）'!C:C&gt;=$J$4,'领用录入（明细）'!C:C&lt;=$L$4),ROW(),"-")</f>
        <v>-</v>
      </c>
    </row>
    <row r="25436" customHeight="1" spans="2:2">
      <c r="B25436" s="62" t="str">
        <f>IF(AND('领用录入（明细）'!D:D=$F$4,'领用录入（明细）'!C:C&gt;=$J$4,'领用录入（明细）'!C:C&lt;=$L$4),ROW(),"-")</f>
        <v>-</v>
      </c>
    </row>
    <row r="25437" customHeight="1" spans="2:2">
      <c r="B25437" s="62" t="str">
        <f>IF(AND('领用录入（明细）'!D:D=$F$4,'领用录入（明细）'!C:C&gt;=$J$4,'领用录入（明细）'!C:C&lt;=$L$4),ROW(),"-")</f>
        <v>-</v>
      </c>
    </row>
    <row r="25438" customHeight="1" spans="2:2">
      <c r="B25438" s="62" t="str">
        <f>IF(AND('领用录入（明细）'!D:D=$F$4,'领用录入（明细）'!C:C&gt;=$J$4,'领用录入（明细）'!C:C&lt;=$L$4),ROW(),"-")</f>
        <v>-</v>
      </c>
    </row>
    <row r="25439" customHeight="1" spans="2:2">
      <c r="B25439" s="62" t="str">
        <f>IF(AND('领用录入（明细）'!D:D=$F$4,'领用录入（明细）'!C:C&gt;=$J$4,'领用录入（明细）'!C:C&lt;=$L$4),ROW(),"-")</f>
        <v>-</v>
      </c>
    </row>
    <row r="25440" customHeight="1" spans="2:2">
      <c r="B25440" s="62" t="str">
        <f>IF(AND('领用录入（明细）'!D:D=$F$4,'领用录入（明细）'!C:C&gt;=$J$4,'领用录入（明细）'!C:C&lt;=$L$4),ROW(),"-")</f>
        <v>-</v>
      </c>
    </row>
    <row r="25441" customHeight="1" spans="2:2">
      <c r="B25441" s="62" t="str">
        <f>IF(AND('领用录入（明细）'!D:D=$F$4,'领用录入（明细）'!C:C&gt;=$J$4,'领用录入（明细）'!C:C&lt;=$L$4),ROW(),"-")</f>
        <v>-</v>
      </c>
    </row>
    <row r="25442" customHeight="1" spans="2:2">
      <c r="B25442" s="62" t="str">
        <f>IF(AND('领用录入（明细）'!D:D=$F$4,'领用录入（明细）'!C:C&gt;=$J$4,'领用录入（明细）'!C:C&lt;=$L$4),ROW(),"-")</f>
        <v>-</v>
      </c>
    </row>
    <row r="25443" customHeight="1" spans="2:2">
      <c r="B25443" s="62" t="str">
        <f>IF(AND('领用录入（明细）'!D:D=$F$4,'领用录入（明细）'!C:C&gt;=$J$4,'领用录入（明细）'!C:C&lt;=$L$4),ROW(),"-")</f>
        <v>-</v>
      </c>
    </row>
    <row r="25444" customHeight="1" spans="2:2">
      <c r="B25444" s="62" t="str">
        <f>IF(AND('领用录入（明细）'!D:D=$F$4,'领用录入（明细）'!C:C&gt;=$J$4,'领用录入（明细）'!C:C&lt;=$L$4),ROW(),"-")</f>
        <v>-</v>
      </c>
    </row>
    <row r="25445" customHeight="1" spans="2:2">
      <c r="B25445" s="62" t="str">
        <f>IF(AND('领用录入（明细）'!D:D=$F$4,'领用录入（明细）'!C:C&gt;=$J$4,'领用录入（明细）'!C:C&lt;=$L$4),ROW(),"-")</f>
        <v>-</v>
      </c>
    </row>
    <row r="25446" customHeight="1" spans="2:2">
      <c r="B25446" s="62" t="str">
        <f>IF(AND('领用录入（明细）'!D:D=$F$4,'领用录入（明细）'!C:C&gt;=$J$4,'领用录入（明细）'!C:C&lt;=$L$4),ROW(),"-")</f>
        <v>-</v>
      </c>
    </row>
    <row r="25447" customHeight="1" spans="2:2">
      <c r="B25447" s="62" t="str">
        <f>IF(AND('领用录入（明细）'!D:D=$F$4,'领用录入（明细）'!C:C&gt;=$J$4,'领用录入（明细）'!C:C&lt;=$L$4),ROW(),"-")</f>
        <v>-</v>
      </c>
    </row>
    <row r="25448" customHeight="1" spans="2:2">
      <c r="B25448" s="62" t="str">
        <f>IF(AND('领用录入（明细）'!D:D=$F$4,'领用录入（明细）'!C:C&gt;=$J$4,'领用录入（明细）'!C:C&lt;=$L$4),ROW(),"-")</f>
        <v>-</v>
      </c>
    </row>
    <row r="25449" customHeight="1" spans="2:2">
      <c r="B25449" s="62" t="str">
        <f>IF(AND('领用录入（明细）'!D:D=$F$4,'领用录入（明细）'!C:C&gt;=$J$4,'领用录入（明细）'!C:C&lt;=$L$4),ROW(),"-")</f>
        <v>-</v>
      </c>
    </row>
    <row r="25450" customHeight="1" spans="2:2">
      <c r="B25450" s="62" t="str">
        <f>IF(AND('领用录入（明细）'!D:D=$F$4,'领用录入（明细）'!C:C&gt;=$J$4,'领用录入（明细）'!C:C&lt;=$L$4),ROW(),"-")</f>
        <v>-</v>
      </c>
    </row>
    <row r="25451" customHeight="1" spans="2:2">
      <c r="B25451" s="62" t="str">
        <f>IF(AND('领用录入（明细）'!D:D=$F$4,'领用录入（明细）'!C:C&gt;=$J$4,'领用录入（明细）'!C:C&lt;=$L$4),ROW(),"-")</f>
        <v>-</v>
      </c>
    </row>
    <row r="25452" customHeight="1" spans="2:2">
      <c r="B25452" s="62" t="str">
        <f>IF(AND('领用录入（明细）'!D:D=$F$4,'领用录入（明细）'!C:C&gt;=$J$4,'领用录入（明细）'!C:C&lt;=$L$4),ROW(),"-")</f>
        <v>-</v>
      </c>
    </row>
    <row r="25453" customHeight="1" spans="2:2">
      <c r="B25453" s="62" t="str">
        <f>IF(AND('领用录入（明细）'!D:D=$F$4,'领用录入（明细）'!C:C&gt;=$J$4,'领用录入（明细）'!C:C&lt;=$L$4),ROW(),"-")</f>
        <v>-</v>
      </c>
    </row>
    <row r="25454" customHeight="1" spans="2:2">
      <c r="B25454" s="62" t="str">
        <f>IF(AND('领用录入（明细）'!D:D=$F$4,'领用录入（明细）'!C:C&gt;=$J$4,'领用录入（明细）'!C:C&lt;=$L$4),ROW(),"-")</f>
        <v>-</v>
      </c>
    </row>
    <row r="25455" customHeight="1" spans="2:2">
      <c r="B25455" s="62" t="str">
        <f>IF(AND('领用录入（明细）'!D:D=$F$4,'领用录入（明细）'!C:C&gt;=$J$4,'领用录入（明细）'!C:C&lt;=$L$4),ROW(),"-")</f>
        <v>-</v>
      </c>
    </row>
    <row r="25456" customHeight="1" spans="2:2">
      <c r="B25456" s="62" t="str">
        <f>IF(AND('领用录入（明细）'!D:D=$F$4,'领用录入（明细）'!C:C&gt;=$J$4,'领用录入（明细）'!C:C&lt;=$L$4),ROW(),"-")</f>
        <v>-</v>
      </c>
    </row>
    <row r="25457" customHeight="1" spans="2:2">
      <c r="B25457" s="62" t="str">
        <f>IF(AND('领用录入（明细）'!D:D=$F$4,'领用录入（明细）'!C:C&gt;=$J$4,'领用录入（明细）'!C:C&lt;=$L$4),ROW(),"-")</f>
        <v>-</v>
      </c>
    </row>
    <row r="25458" customHeight="1" spans="2:2">
      <c r="B25458" s="62" t="str">
        <f>IF(AND('领用录入（明细）'!D:D=$F$4,'领用录入（明细）'!C:C&gt;=$J$4,'领用录入（明细）'!C:C&lt;=$L$4),ROW(),"-")</f>
        <v>-</v>
      </c>
    </row>
    <row r="25459" customHeight="1" spans="2:2">
      <c r="B25459" s="62" t="str">
        <f>IF(AND('领用录入（明细）'!D:D=$F$4,'领用录入（明细）'!C:C&gt;=$J$4,'领用录入（明细）'!C:C&lt;=$L$4),ROW(),"-")</f>
        <v>-</v>
      </c>
    </row>
    <row r="25460" customHeight="1" spans="2:2">
      <c r="B25460" s="62" t="str">
        <f>IF(AND('领用录入（明细）'!D:D=$F$4,'领用录入（明细）'!C:C&gt;=$J$4,'领用录入（明细）'!C:C&lt;=$L$4),ROW(),"-")</f>
        <v>-</v>
      </c>
    </row>
    <row r="25461" customHeight="1" spans="2:2">
      <c r="B25461" s="62" t="str">
        <f>IF(AND('领用录入（明细）'!D:D=$F$4,'领用录入（明细）'!C:C&gt;=$J$4,'领用录入（明细）'!C:C&lt;=$L$4),ROW(),"-")</f>
        <v>-</v>
      </c>
    </row>
    <row r="25462" customHeight="1" spans="2:2">
      <c r="B25462" s="62" t="str">
        <f>IF(AND('领用录入（明细）'!D:D=$F$4,'领用录入（明细）'!C:C&gt;=$J$4,'领用录入（明细）'!C:C&lt;=$L$4),ROW(),"-")</f>
        <v>-</v>
      </c>
    </row>
    <row r="25463" customHeight="1" spans="2:2">
      <c r="B25463" s="62" t="str">
        <f>IF(AND('领用录入（明细）'!D:D=$F$4,'领用录入（明细）'!C:C&gt;=$J$4,'领用录入（明细）'!C:C&lt;=$L$4),ROW(),"-")</f>
        <v>-</v>
      </c>
    </row>
    <row r="25464" customHeight="1" spans="2:2">
      <c r="B25464" s="62" t="str">
        <f>IF(AND('领用录入（明细）'!D:D=$F$4,'领用录入（明细）'!C:C&gt;=$J$4,'领用录入（明细）'!C:C&lt;=$L$4),ROW(),"-")</f>
        <v>-</v>
      </c>
    </row>
    <row r="25465" customHeight="1" spans="2:2">
      <c r="B25465" s="62" t="str">
        <f>IF(AND('领用录入（明细）'!D:D=$F$4,'领用录入（明细）'!C:C&gt;=$J$4,'领用录入（明细）'!C:C&lt;=$L$4),ROW(),"-")</f>
        <v>-</v>
      </c>
    </row>
    <row r="25466" customHeight="1" spans="2:2">
      <c r="B25466" s="62" t="str">
        <f>IF(AND('领用录入（明细）'!D:D=$F$4,'领用录入（明细）'!C:C&gt;=$J$4,'领用录入（明细）'!C:C&lt;=$L$4),ROW(),"-")</f>
        <v>-</v>
      </c>
    </row>
    <row r="25467" customHeight="1" spans="2:2">
      <c r="B25467" s="62" t="str">
        <f>IF(AND('领用录入（明细）'!D:D=$F$4,'领用录入（明细）'!C:C&gt;=$J$4,'领用录入（明细）'!C:C&lt;=$L$4),ROW(),"-")</f>
        <v>-</v>
      </c>
    </row>
    <row r="25468" customHeight="1" spans="2:2">
      <c r="B25468" s="62" t="str">
        <f>IF(AND('领用录入（明细）'!D:D=$F$4,'领用录入（明细）'!C:C&gt;=$J$4,'领用录入（明细）'!C:C&lt;=$L$4),ROW(),"-")</f>
        <v>-</v>
      </c>
    </row>
    <row r="25469" customHeight="1" spans="2:2">
      <c r="B25469" s="62" t="str">
        <f>IF(AND('领用录入（明细）'!D:D=$F$4,'领用录入（明细）'!C:C&gt;=$J$4,'领用录入（明细）'!C:C&lt;=$L$4),ROW(),"-")</f>
        <v>-</v>
      </c>
    </row>
    <row r="25470" customHeight="1" spans="2:2">
      <c r="B25470" s="62" t="str">
        <f>IF(AND('领用录入（明细）'!D:D=$F$4,'领用录入（明细）'!C:C&gt;=$J$4,'领用录入（明细）'!C:C&lt;=$L$4),ROW(),"-")</f>
        <v>-</v>
      </c>
    </row>
    <row r="25471" customHeight="1" spans="2:2">
      <c r="B25471" s="62" t="str">
        <f>IF(AND('领用录入（明细）'!D:D=$F$4,'领用录入（明细）'!C:C&gt;=$J$4,'领用录入（明细）'!C:C&lt;=$L$4),ROW(),"-")</f>
        <v>-</v>
      </c>
    </row>
    <row r="25472" customHeight="1" spans="2:2">
      <c r="B25472" s="62" t="str">
        <f>IF(AND('领用录入（明细）'!D:D=$F$4,'领用录入（明细）'!C:C&gt;=$J$4,'领用录入（明细）'!C:C&lt;=$L$4),ROW(),"-")</f>
        <v>-</v>
      </c>
    </row>
    <row r="25473" customHeight="1" spans="2:2">
      <c r="B25473" s="62" t="str">
        <f>IF(AND('领用录入（明细）'!D:D=$F$4,'领用录入（明细）'!C:C&gt;=$J$4,'领用录入（明细）'!C:C&lt;=$L$4),ROW(),"-")</f>
        <v>-</v>
      </c>
    </row>
    <row r="25474" customHeight="1" spans="2:2">
      <c r="B25474" s="62" t="str">
        <f>IF(AND('领用录入（明细）'!D:D=$F$4,'领用录入（明细）'!C:C&gt;=$J$4,'领用录入（明细）'!C:C&lt;=$L$4),ROW(),"-")</f>
        <v>-</v>
      </c>
    </row>
    <row r="25475" customHeight="1" spans="2:2">
      <c r="B25475" s="62" t="str">
        <f>IF(AND('领用录入（明细）'!D:D=$F$4,'领用录入（明细）'!C:C&gt;=$J$4,'领用录入（明细）'!C:C&lt;=$L$4),ROW(),"-")</f>
        <v>-</v>
      </c>
    </row>
    <row r="25476" customHeight="1" spans="2:2">
      <c r="B25476" s="62" t="str">
        <f>IF(AND('领用录入（明细）'!D:D=$F$4,'领用录入（明细）'!C:C&gt;=$J$4,'领用录入（明细）'!C:C&lt;=$L$4),ROW(),"-")</f>
        <v>-</v>
      </c>
    </row>
    <row r="25477" customHeight="1" spans="2:2">
      <c r="B25477" s="62" t="str">
        <f>IF(AND('领用录入（明细）'!D:D=$F$4,'领用录入（明细）'!C:C&gt;=$J$4,'领用录入（明细）'!C:C&lt;=$L$4),ROW(),"-")</f>
        <v>-</v>
      </c>
    </row>
    <row r="25478" customHeight="1" spans="2:2">
      <c r="B25478" s="62" t="str">
        <f>IF(AND('领用录入（明细）'!D:D=$F$4,'领用录入（明细）'!C:C&gt;=$J$4,'领用录入（明细）'!C:C&lt;=$L$4),ROW(),"-")</f>
        <v>-</v>
      </c>
    </row>
    <row r="25479" customHeight="1" spans="2:2">
      <c r="B25479" s="62" t="str">
        <f>IF(AND('领用录入（明细）'!D:D=$F$4,'领用录入（明细）'!C:C&gt;=$J$4,'领用录入（明细）'!C:C&lt;=$L$4),ROW(),"-")</f>
        <v>-</v>
      </c>
    </row>
    <row r="25480" customHeight="1" spans="2:2">
      <c r="B25480" s="62" t="str">
        <f>IF(AND('领用录入（明细）'!D:D=$F$4,'领用录入（明细）'!C:C&gt;=$J$4,'领用录入（明细）'!C:C&lt;=$L$4),ROW(),"-")</f>
        <v>-</v>
      </c>
    </row>
    <row r="25481" customHeight="1" spans="2:2">
      <c r="B25481" s="62" t="str">
        <f>IF(AND('领用录入（明细）'!D:D=$F$4,'领用录入（明细）'!C:C&gt;=$J$4,'领用录入（明细）'!C:C&lt;=$L$4),ROW(),"-")</f>
        <v>-</v>
      </c>
    </row>
    <row r="25482" customHeight="1" spans="2:2">
      <c r="B25482" s="62" t="str">
        <f>IF(AND('领用录入（明细）'!D:D=$F$4,'领用录入（明细）'!C:C&gt;=$J$4,'领用录入（明细）'!C:C&lt;=$L$4),ROW(),"-")</f>
        <v>-</v>
      </c>
    </row>
    <row r="25483" customHeight="1" spans="2:2">
      <c r="B25483" s="62" t="str">
        <f>IF(AND('领用录入（明细）'!D:D=$F$4,'领用录入（明细）'!C:C&gt;=$J$4,'领用录入（明细）'!C:C&lt;=$L$4),ROW(),"-")</f>
        <v>-</v>
      </c>
    </row>
    <row r="25484" customHeight="1" spans="2:2">
      <c r="B25484" s="62" t="str">
        <f>IF(AND('领用录入（明细）'!D:D=$F$4,'领用录入（明细）'!C:C&gt;=$J$4,'领用录入（明细）'!C:C&lt;=$L$4),ROW(),"-")</f>
        <v>-</v>
      </c>
    </row>
    <row r="25485" customHeight="1" spans="2:2">
      <c r="B25485" s="62" t="str">
        <f>IF(AND('领用录入（明细）'!D:D=$F$4,'领用录入（明细）'!C:C&gt;=$J$4,'领用录入（明细）'!C:C&lt;=$L$4),ROW(),"-")</f>
        <v>-</v>
      </c>
    </row>
    <row r="25486" customHeight="1" spans="2:2">
      <c r="B25486" s="62" t="str">
        <f>IF(AND('领用录入（明细）'!D:D=$F$4,'领用录入（明细）'!C:C&gt;=$J$4,'领用录入（明细）'!C:C&lt;=$L$4),ROW(),"-")</f>
        <v>-</v>
      </c>
    </row>
    <row r="25487" customHeight="1" spans="2:2">
      <c r="B25487" s="62" t="str">
        <f>IF(AND('领用录入（明细）'!D:D=$F$4,'领用录入（明细）'!C:C&gt;=$J$4,'领用录入（明细）'!C:C&lt;=$L$4),ROW(),"-")</f>
        <v>-</v>
      </c>
    </row>
    <row r="25488" customHeight="1" spans="2:2">
      <c r="B25488" s="62" t="str">
        <f>IF(AND('领用录入（明细）'!D:D=$F$4,'领用录入（明细）'!C:C&gt;=$J$4,'领用录入（明细）'!C:C&lt;=$L$4),ROW(),"-")</f>
        <v>-</v>
      </c>
    </row>
    <row r="25489" customHeight="1" spans="2:2">
      <c r="B25489" s="62" t="str">
        <f>IF(AND('领用录入（明细）'!D:D=$F$4,'领用录入（明细）'!C:C&gt;=$J$4,'领用录入（明细）'!C:C&lt;=$L$4),ROW(),"-")</f>
        <v>-</v>
      </c>
    </row>
    <row r="25490" customHeight="1" spans="2:2">
      <c r="B25490" s="62" t="str">
        <f>IF(AND('领用录入（明细）'!D:D=$F$4,'领用录入（明细）'!C:C&gt;=$J$4,'领用录入（明细）'!C:C&lt;=$L$4),ROW(),"-")</f>
        <v>-</v>
      </c>
    </row>
    <row r="25491" customHeight="1" spans="2:2">
      <c r="B25491" s="62" t="str">
        <f>IF(AND('领用录入（明细）'!D:D=$F$4,'领用录入（明细）'!C:C&gt;=$J$4,'领用录入（明细）'!C:C&lt;=$L$4),ROW(),"-")</f>
        <v>-</v>
      </c>
    </row>
    <row r="25492" customHeight="1" spans="2:2">
      <c r="B25492" s="62" t="str">
        <f>IF(AND('领用录入（明细）'!D:D=$F$4,'领用录入（明细）'!C:C&gt;=$J$4,'领用录入（明细）'!C:C&lt;=$L$4),ROW(),"-")</f>
        <v>-</v>
      </c>
    </row>
    <row r="25493" customHeight="1" spans="2:2">
      <c r="B25493" s="62" t="str">
        <f>IF(AND('领用录入（明细）'!D:D=$F$4,'领用录入（明细）'!C:C&gt;=$J$4,'领用录入（明细）'!C:C&lt;=$L$4),ROW(),"-")</f>
        <v>-</v>
      </c>
    </row>
    <row r="25494" customHeight="1" spans="2:2">
      <c r="B25494" s="62" t="str">
        <f>IF(AND('领用录入（明细）'!D:D=$F$4,'领用录入（明细）'!C:C&gt;=$J$4,'领用录入（明细）'!C:C&lt;=$L$4),ROW(),"-")</f>
        <v>-</v>
      </c>
    </row>
    <row r="25495" customHeight="1" spans="2:2">
      <c r="B25495" s="62" t="str">
        <f>IF(AND('领用录入（明细）'!D:D=$F$4,'领用录入（明细）'!C:C&gt;=$J$4,'领用录入（明细）'!C:C&lt;=$L$4),ROW(),"-")</f>
        <v>-</v>
      </c>
    </row>
    <row r="25496" customHeight="1" spans="2:2">
      <c r="B25496" s="62" t="str">
        <f>IF(AND('领用录入（明细）'!D:D=$F$4,'领用录入（明细）'!C:C&gt;=$J$4,'领用录入（明细）'!C:C&lt;=$L$4),ROW(),"-")</f>
        <v>-</v>
      </c>
    </row>
    <row r="25497" customHeight="1" spans="2:2">
      <c r="B25497" s="62" t="str">
        <f>IF(AND('领用录入（明细）'!D:D=$F$4,'领用录入（明细）'!C:C&gt;=$J$4,'领用录入（明细）'!C:C&lt;=$L$4),ROW(),"-")</f>
        <v>-</v>
      </c>
    </row>
    <row r="25498" customHeight="1" spans="2:2">
      <c r="B25498" s="62" t="str">
        <f>IF(AND('领用录入（明细）'!D:D=$F$4,'领用录入（明细）'!C:C&gt;=$J$4,'领用录入（明细）'!C:C&lt;=$L$4),ROW(),"-")</f>
        <v>-</v>
      </c>
    </row>
    <row r="25499" customHeight="1" spans="2:2">
      <c r="B25499" s="62" t="str">
        <f>IF(AND('领用录入（明细）'!D:D=$F$4,'领用录入（明细）'!C:C&gt;=$J$4,'领用录入（明细）'!C:C&lt;=$L$4),ROW(),"-")</f>
        <v>-</v>
      </c>
    </row>
    <row r="25500" customHeight="1" spans="2:2">
      <c r="B25500" s="62" t="str">
        <f>IF(AND('领用录入（明细）'!D:D=$F$4,'领用录入（明细）'!C:C&gt;=$J$4,'领用录入（明细）'!C:C&lt;=$L$4),ROW(),"-")</f>
        <v>-</v>
      </c>
    </row>
    <row r="25501" customHeight="1" spans="2:2">
      <c r="B25501" s="62" t="str">
        <f>IF(AND('领用录入（明细）'!D:D=$F$4,'领用录入（明细）'!C:C&gt;=$J$4,'领用录入（明细）'!C:C&lt;=$L$4),ROW(),"-")</f>
        <v>-</v>
      </c>
    </row>
    <row r="25502" customHeight="1" spans="2:2">
      <c r="B25502" s="62" t="str">
        <f>IF(AND('领用录入（明细）'!D:D=$F$4,'领用录入（明细）'!C:C&gt;=$J$4,'领用录入（明细）'!C:C&lt;=$L$4),ROW(),"-")</f>
        <v>-</v>
      </c>
    </row>
    <row r="25503" customHeight="1" spans="2:2">
      <c r="B25503" s="62" t="str">
        <f>IF(AND('领用录入（明细）'!D:D=$F$4,'领用录入（明细）'!C:C&gt;=$J$4,'领用录入（明细）'!C:C&lt;=$L$4),ROW(),"-")</f>
        <v>-</v>
      </c>
    </row>
    <row r="25504" customHeight="1" spans="2:2">
      <c r="B25504" s="62" t="str">
        <f>IF(AND('领用录入（明细）'!D:D=$F$4,'领用录入（明细）'!C:C&gt;=$J$4,'领用录入（明细）'!C:C&lt;=$L$4),ROW(),"-")</f>
        <v>-</v>
      </c>
    </row>
    <row r="25505" customHeight="1" spans="2:2">
      <c r="B25505" s="62" t="str">
        <f>IF(AND('领用录入（明细）'!D:D=$F$4,'领用录入（明细）'!C:C&gt;=$J$4,'领用录入（明细）'!C:C&lt;=$L$4),ROW(),"-")</f>
        <v>-</v>
      </c>
    </row>
    <row r="25506" customHeight="1" spans="2:2">
      <c r="B25506" s="62" t="str">
        <f>IF(AND('领用录入（明细）'!D:D=$F$4,'领用录入（明细）'!C:C&gt;=$J$4,'领用录入（明细）'!C:C&lt;=$L$4),ROW(),"-")</f>
        <v>-</v>
      </c>
    </row>
    <row r="25507" customHeight="1" spans="2:2">
      <c r="B25507" s="62" t="str">
        <f>IF(AND('领用录入（明细）'!D:D=$F$4,'领用录入（明细）'!C:C&gt;=$J$4,'领用录入（明细）'!C:C&lt;=$L$4),ROW(),"-")</f>
        <v>-</v>
      </c>
    </row>
    <row r="25508" customHeight="1" spans="2:2">
      <c r="B25508" s="62" t="str">
        <f>IF(AND('领用录入（明细）'!D:D=$F$4,'领用录入（明细）'!C:C&gt;=$J$4,'领用录入（明细）'!C:C&lt;=$L$4),ROW(),"-")</f>
        <v>-</v>
      </c>
    </row>
    <row r="25509" customHeight="1" spans="2:2">
      <c r="B25509" s="62" t="str">
        <f>IF(AND('领用录入（明细）'!D:D=$F$4,'领用录入（明细）'!C:C&gt;=$J$4,'领用录入（明细）'!C:C&lt;=$L$4),ROW(),"-")</f>
        <v>-</v>
      </c>
    </row>
    <row r="25510" customHeight="1" spans="2:2">
      <c r="B25510" s="62" t="str">
        <f>IF(AND('领用录入（明细）'!D:D=$F$4,'领用录入（明细）'!C:C&gt;=$J$4,'领用录入（明细）'!C:C&lt;=$L$4),ROW(),"-")</f>
        <v>-</v>
      </c>
    </row>
    <row r="25511" customHeight="1" spans="2:2">
      <c r="B25511" s="62" t="str">
        <f>IF(AND('领用录入（明细）'!D:D=$F$4,'领用录入（明细）'!C:C&gt;=$J$4,'领用录入（明细）'!C:C&lt;=$L$4),ROW(),"-")</f>
        <v>-</v>
      </c>
    </row>
    <row r="25512" customHeight="1" spans="2:2">
      <c r="B25512" s="62" t="str">
        <f>IF(AND('领用录入（明细）'!D:D=$F$4,'领用录入（明细）'!C:C&gt;=$J$4,'领用录入（明细）'!C:C&lt;=$L$4),ROW(),"-")</f>
        <v>-</v>
      </c>
    </row>
    <row r="25513" customHeight="1" spans="2:2">
      <c r="B25513" s="62" t="str">
        <f>IF(AND('领用录入（明细）'!D:D=$F$4,'领用录入（明细）'!C:C&gt;=$J$4,'领用录入（明细）'!C:C&lt;=$L$4),ROW(),"-")</f>
        <v>-</v>
      </c>
    </row>
    <row r="25514" customHeight="1" spans="2:2">
      <c r="B25514" s="62" t="str">
        <f>IF(AND('领用录入（明细）'!D:D=$F$4,'领用录入（明细）'!C:C&gt;=$J$4,'领用录入（明细）'!C:C&lt;=$L$4),ROW(),"-")</f>
        <v>-</v>
      </c>
    </row>
    <row r="25515" customHeight="1" spans="2:2">
      <c r="B25515" s="62" t="str">
        <f>IF(AND('领用录入（明细）'!D:D=$F$4,'领用录入（明细）'!C:C&gt;=$J$4,'领用录入（明细）'!C:C&lt;=$L$4),ROW(),"-")</f>
        <v>-</v>
      </c>
    </row>
    <row r="25516" customHeight="1" spans="2:2">
      <c r="B25516" s="62" t="str">
        <f>IF(AND('领用录入（明细）'!D:D=$F$4,'领用录入（明细）'!C:C&gt;=$J$4,'领用录入（明细）'!C:C&lt;=$L$4),ROW(),"-")</f>
        <v>-</v>
      </c>
    </row>
    <row r="25517" customHeight="1" spans="2:2">
      <c r="B25517" s="62" t="str">
        <f>IF(AND('领用录入（明细）'!D:D=$F$4,'领用录入（明细）'!C:C&gt;=$J$4,'领用录入（明细）'!C:C&lt;=$L$4),ROW(),"-")</f>
        <v>-</v>
      </c>
    </row>
    <row r="25518" customHeight="1" spans="2:2">
      <c r="B25518" s="62" t="str">
        <f>IF(AND('领用录入（明细）'!D:D=$F$4,'领用录入（明细）'!C:C&gt;=$J$4,'领用录入（明细）'!C:C&lt;=$L$4),ROW(),"-")</f>
        <v>-</v>
      </c>
    </row>
    <row r="25519" customHeight="1" spans="2:2">
      <c r="B25519" s="62" t="str">
        <f>IF(AND('领用录入（明细）'!D:D=$F$4,'领用录入（明细）'!C:C&gt;=$J$4,'领用录入（明细）'!C:C&lt;=$L$4),ROW(),"-")</f>
        <v>-</v>
      </c>
    </row>
    <row r="25520" customHeight="1" spans="2:2">
      <c r="B25520" s="62" t="str">
        <f>IF(AND('领用录入（明细）'!D:D=$F$4,'领用录入（明细）'!C:C&gt;=$J$4,'领用录入（明细）'!C:C&lt;=$L$4),ROW(),"-")</f>
        <v>-</v>
      </c>
    </row>
    <row r="25521" customHeight="1" spans="2:2">
      <c r="B25521" s="62" t="str">
        <f>IF(AND('领用录入（明细）'!D:D=$F$4,'领用录入（明细）'!C:C&gt;=$J$4,'领用录入（明细）'!C:C&lt;=$L$4),ROW(),"-")</f>
        <v>-</v>
      </c>
    </row>
    <row r="25522" customHeight="1" spans="2:2">
      <c r="B25522" s="62" t="str">
        <f>IF(AND('领用录入（明细）'!D:D=$F$4,'领用录入（明细）'!C:C&gt;=$J$4,'领用录入（明细）'!C:C&lt;=$L$4),ROW(),"-")</f>
        <v>-</v>
      </c>
    </row>
    <row r="25523" customHeight="1" spans="2:2">
      <c r="B25523" s="62" t="str">
        <f>IF(AND('领用录入（明细）'!D:D=$F$4,'领用录入（明细）'!C:C&gt;=$J$4,'领用录入（明细）'!C:C&lt;=$L$4),ROW(),"-")</f>
        <v>-</v>
      </c>
    </row>
    <row r="25524" customHeight="1" spans="2:2">
      <c r="B25524" s="62" t="str">
        <f>IF(AND('领用录入（明细）'!D:D=$F$4,'领用录入（明细）'!C:C&gt;=$J$4,'领用录入（明细）'!C:C&lt;=$L$4),ROW(),"-")</f>
        <v>-</v>
      </c>
    </row>
    <row r="25525" customHeight="1" spans="2:2">
      <c r="B25525" s="62" t="str">
        <f>IF(AND('领用录入（明细）'!D:D=$F$4,'领用录入（明细）'!C:C&gt;=$J$4,'领用录入（明细）'!C:C&lt;=$L$4),ROW(),"-")</f>
        <v>-</v>
      </c>
    </row>
    <row r="25526" customHeight="1" spans="2:2">
      <c r="B25526" s="62" t="str">
        <f>IF(AND('领用录入（明细）'!D:D=$F$4,'领用录入（明细）'!C:C&gt;=$J$4,'领用录入（明细）'!C:C&lt;=$L$4),ROW(),"-")</f>
        <v>-</v>
      </c>
    </row>
    <row r="25527" customHeight="1" spans="2:2">
      <c r="B25527" s="62" t="str">
        <f>IF(AND('领用录入（明细）'!D:D=$F$4,'领用录入（明细）'!C:C&gt;=$J$4,'领用录入（明细）'!C:C&lt;=$L$4),ROW(),"-")</f>
        <v>-</v>
      </c>
    </row>
    <row r="25528" customHeight="1" spans="2:2">
      <c r="B25528" s="62" t="str">
        <f>IF(AND('领用录入（明细）'!D:D=$F$4,'领用录入（明细）'!C:C&gt;=$J$4,'领用录入（明细）'!C:C&lt;=$L$4),ROW(),"-")</f>
        <v>-</v>
      </c>
    </row>
    <row r="25529" customHeight="1" spans="2:2">
      <c r="B25529" s="62" t="str">
        <f>IF(AND('领用录入（明细）'!D:D=$F$4,'领用录入（明细）'!C:C&gt;=$J$4,'领用录入（明细）'!C:C&lt;=$L$4),ROW(),"-")</f>
        <v>-</v>
      </c>
    </row>
    <row r="25530" customHeight="1" spans="2:2">
      <c r="B25530" s="62" t="str">
        <f>IF(AND('领用录入（明细）'!D:D=$F$4,'领用录入（明细）'!C:C&gt;=$J$4,'领用录入（明细）'!C:C&lt;=$L$4),ROW(),"-")</f>
        <v>-</v>
      </c>
    </row>
    <row r="25531" customHeight="1" spans="2:2">
      <c r="B25531" s="62" t="str">
        <f>IF(AND('领用录入（明细）'!D:D=$F$4,'领用录入（明细）'!C:C&gt;=$J$4,'领用录入（明细）'!C:C&lt;=$L$4),ROW(),"-")</f>
        <v>-</v>
      </c>
    </row>
    <row r="25532" customHeight="1" spans="2:2">
      <c r="B25532" s="62" t="str">
        <f>IF(AND('领用录入（明细）'!D:D=$F$4,'领用录入（明细）'!C:C&gt;=$J$4,'领用录入（明细）'!C:C&lt;=$L$4),ROW(),"-")</f>
        <v>-</v>
      </c>
    </row>
    <row r="25533" customHeight="1" spans="2:2">
      <c r="B25533" s="62" t="str">
        <f>IF(AND('领用录入（明细）'!D:D=$F$4,'领用录入（明细）'!C:C&gt;=$J$4,'领用录入（明细）'!C:C&lt;=$L$4),ROW(),"-")</f>
        <v>-</v>
      </c>
    </row>
    <row r="25534" customHeight="1" spans="2:2">
      <c r="B25534" s="62" t="str">
        <f>IF(AND('领用录入（明细）'!D:D=$F$4,'领用录入（明细）'!C:C&gt;=$J$4,'领用录入（明细）'!C:C&lt;=$L$4),ROW(),"-")</f>
        <v>-</v>
      </c>
    </row>
    <row r="25535" customHeight="1" spans="2:2">
      <c r="B25535" s="62" t="str">
        <f>IF(AND('领用录入（明细）'!D:D=$F$4,'领用录入（明细）'!C:C&gt;=$J$4,'领用录入（明细）'!C:C&lt;=$L$4),ROW(),"-")</f>
        <v>-</v>
      </c>
    </row>
    <row r="25536" customHeight="1" spans="2:2">
      <c r="B25536" s="62" t="str">
        <f>IF(AND('领用录入（明细）'!D:D=$F$4,'领用录入（明细）'!C:C&gt;=$J$4,'领用录入（明细）'!C:C&lt;=$L$4),ROW(),"-")</f>
        <v>-</v>
      </c>
    </row>
    <row r="25537" customHeight="1" spans="2:2">
      <c r="B25537" s="62" t="str">
        <f>IF(AND('领用录入（明细）'!D:D=$F$4,'领用录入（明细）'!C:C&gt;=$J$4,'领用录入（明细）'!C:C&lt;=$L$4),ROW(),"-")</f>
        <v>-</v>
      </c>
    </row>
    <row r="25538" customHeight="1" spans="2:2">
      <c r="B25538" s="62" t="str">
        <f>IF(AND('领用录入（明细）'!D:D=$F$4,'领用录入（明细）'!C:C&gt;=$J$4,'领用录入（明细）'!C:C&lt;=$L$4),ROW(),"-")</f>
        <v>-</v>
      </c>
    </row>
    <row r="25539" customHeight="1" spans="2:2">
      <c r="B25539" s="62" t="str">
        <f>IF(AND('领用录入（明细）'!D:D=$F$4,'领用录入（明细）'!C:C&gt;=$J$4,'领用录入（明细）'!C:C&lt;=$L$4),ROW(),"-")</f>
        <v>-</v>
      </c>
    </row>
    <row r="25540" customHeight="1" spans="2:2">
      <c r="B25540" s="62" t="str">
        <f>IF(AND('领用录入（明细）'!D:D=$F$4,'领用录入（明细）'!C:C&gt;=$J$4,'领用录入（明细）'!C:C&lt;=$L$4),ROW(),"-")</f>
        <v>-</v>
      </c>
    </row>
    <row r="25541" customHeight="1" spans="2:2">
      <c r="B25541" s="62" t="str">
        <f>IF(AND('领用录入（明细）'!D:D=$F$4,'领用录入（明细）'!C:C&gt;=$J$4,'领用录入（明细）'!C:C&lt;=$L$4),ROW(),"-")</f>
        <v>-</v>
      </c>
    </row>
    <row r="25542" customHeight="1" spans="2:2">
      <c r="B25542" s="62" t="str">
        <f>IF(AND('领用录入（明细）'!D:D=$F$4,'领用录入（明细）'!C:C&gt;=$J$4,'领用录入（明细）'!C:C&lt;=$L$4),ROW(),"-")</f>
        <v>-</v>
      </c>
    </row>
    <row r="25543" customHeight="1" spans="2:2">
      <c r="B25543" s="62" t="str">
        <f>IF(AND('领用录入（明细）'!D:D=$F$4,'领用录入（明细）'!C:C&gt;=$J$4,'领用录入（明细）'!C:C&lt;=$L$4),ROW(),"-")</f>
        <v>-</v>
      </c>
    </row>
    <row r="25544" customHeight="1" spans="2:2">
      <c r="B25544" s="62" t="str">
        <f>IF(AND('领用录入（明细）'!D:D=$F$4,'领用录入（明细）'!C:C&gt;=$J$4,'领用录入（明细）'!C:C&lt;=$L$4),ROW(),"-")</f>
        <v>-</v>
      </c>
    </row>
    <row r="25545" customHeight="1" spans="2:2">
      <c r="B25545" s="62" t="str">
        <f>IF(AND('领用录入（明细）'!D:D=$F$4,'领用录入（明细）'!C:C&gt;=$J$4,'领用录入（明细）'!C:C&lt;=$L$4),ROW(),"-")</f>
        <v>-</v>
      </c>
    </row>
    <row r="25546" customHeight="1" spans="2:2">
      <c r="B25546" s="62" t="str">
        <f>IF(AND('领用录入（明细）'!D:D=$F$4,'领用录入（明细）'!C:C&gt;=$J$4,'领用录入（明细）'!C:C&lt;=$L$4),ROW(),"-")</f>
        <v>-</v>
      </c>
    </row>
    <row r="25547" customHeight="1" spans="2:2">
      <c r="B25547" s="62" t="str">
        <f>IF(AND('领用录入（明细）'!D:D=$F$4,'领用录入（明细）'!C:C&gt;=$J$4,'领用录入（明细）'!C:C&lt;=$L$4),ROW(),"-")</f>
        <v>-</v>
      </c>
    </row>
    <row r="25548" customHeight="1" spans="2:2">
      <c r="B25548" s="62" t="str">
        <f>IF(AND('领用录入（明细）'!D:D=$F$4,'领用录入（明细）'!C:C&gt;=$J$4,'领用录入（明细）'!C:C&lt;=$L$4),ROW(),"-")</f>
        <v>-</v>
      </c>
    </row>
    <row r="25549" customHeight="1" spans="2:2">
      <c r="B25549" s="62" t="str">
        <f>IF(AND('领用录入（明细）'!D:D=$F$4,'领用录入（明细）'!C:C&gt;=$J$4,'领用录入（明细）'!C:C&lt;=$L$4),ROW(),"-")</f>
        <v>-</v>
      </c>
    </row>
    <row r="25550" customHeight="1" spans="2:2">
      <c r="B25550" s="62" t="str">
        <f>IF(AND('领用录入（明细）'!D:D=$F$4,'领用录入（明细）'!C:C&gt;=$J$4,'领用录入（明细）'!C:C&lt;=$L$4),ROW(),"-")</f>
        <v>-</v>
      </c>
    </row>
    <row r="25551" customHeight="1" spans="2:2">
      <c r="B25551" s="62" t="str">
        <f>IF(AND('领用录入（明细）'!D:D=$F$4,'领用录入（明细）'!C:C&gt;=$J$4,'领用录入（明细）'!C:C&lt;=$L$4),ROW(),"-")</f>
        <v>-</v>
      </c>
    </row>
    <row r="25552" customHeight="1" spans="2:2">
      <c r="B25552" s="62" t="str">
        <f>IF(AND('领用录入（明细）'!D:D=$F$4,'领用录入（明细）'!C:C&gt;=$J$4,'领用录入（明细）'!C:C&lt;=$L$4),ROW(),"-")</f>
        <v>-</v>
      </c>
    </row>
    <row r="25553" customHeight="1" spans="2:2">
      <c r="B25553" s="62" t="str">
        <f>IF(AND('领用录入（明细）'!D:D=$F$4,'领用录入（明细）'!C:C&gt;=$J$4,'领用录入（明细）'!C:C&lt;=$L$4),ROW(),"-")</f>
        <v>-</v>
      </c>
    </row>
    <row r="25554" customHeight="1" spans="2:2">
      <c r="B25554" s="62" t="str">
        <f>IF(AND('领用录入（明细）'!D:D=$F$4,'领用录入（明细）'!C:C&gt;=$J$4,'领用录入（明细）'!C:C&lt;=$L$4),ROW(),"-")</f>
        <v>-</v>
      </c>
    </row>
    <row r="25555" customHeight="1" spans="2:2">
      <c r="B25555" s="62" t="str">
        <f>IF(AND('领用录入（明细）'!D:D=$F$4,'领用录入（明细）'!C:C&gt;=$J$4,'领用录入（明细）'!C:C&lt;=$L$4),ROW(),"-")</f>
        <v>-</v>
      </c>
    </row>
    <row r="25556" customHeight="1" spans="2:2">
      <c r="B25556" s="62" t="str">
        <f>IF(AND('领用录入（明细）'!D:D=$F$4,'领用录入（明细）'!C:C&gt;=$J$4,'领用录入（明细）'!C:C&lt;=$L$4),ROW(),"-")</f>
        <v>-</v>
      </c>
    </row>
    <row r="25557" customHeight="1" spans="2:2">
      <c r="B25557" s="62" t="str">
        <f>IF(AND('领用录入（明细）'!D:D=$F$4,'领用录入（明细）'!C:C&gt;=$J$4,'领用录入（明细）'!C:C&lt;=$L$4),ROW(),"-")</f>
        <v>-</v>
      </c>
    </row>
    <row r="25558" customHeight="1" spans="2:2">
      <c r="B25558" s="62" t="str">
        <f>IF(AND('领用录入（明细）'!D:D=$F$4,'领用录入（明细）'!C:C&gt;=$J$4,'领用录入（明细）'!C:C&lt;=$L$4),ROW(),"-")</f>
        <v>-</v>
      </c>
    </row>
    <row r="25559" customHeight="1" spans="2:2">
      <c r="B25559" s="62" t="str">
        <f>IF(AND('领用录入（明细）'!D:D=$F$4,'领用录入（明细）'!C:C&gt;=$J$4,'领用录入（明细）'!C:C&lt;=$L$4),ROW(),"-")</f>
        <v>-</v>
      </c>
    </row>
    <row r="25560" customHeight="1" spans="2:2">
      <c r="B25560" s="62" t="str">
        <f>IF(AND('领用录入（明细）'!D:D=$F$4,'领用录入（明细）'!C:C&gt;=$J$4,'领用录入（明细）'!C:C&lt;=$L$4),ROW(),"-")</f>
        <v>-</v>
      </c>
    </row>
    <row r="25561" customHeight="1" spans="2:2">
      <c r="B25561" s="62" t="str">
        <f>IF(AND('领用录入（明细）'!D:D=$F$4,'领用录入（明细）'!C:C&gt;=$J$4,'领用录入（明细）'!C:C&lt;=$L$4),ROW(),"-")</f>
        <v>-</v>
      </c>
    </row>
    <row r="25562" customHeight="1" spans="2:2">
      <c r="B25562" s="62" t="str">
        <f>IF(AND('领用录入（明细）'!D:D=$F$4,'领用录入（明细）'!C:C&gt;=$J$4,'领用录入（明细）'!C:C&lt;=$L$4),ROW(),"-")</f>
        <v>-</v>
      </c>
    </row>
    <row r="25563" customHeight="1" spans="2:2">
      <c r="B25563" s="62" t="str">
        <f>IF(AND('领用录入（明细）'!D:D=$F$4,'领用录入（明细）'!C:C&gt;=$J$4,'领用录入（明细）'!C:C&lt;=$L$4),ROW(),"-")</f>
        <v>-</v>
      </c>
    </row>
    <row r="25564" customHeight="1" spans="2:2">
      <c r="B25564" s="62" t="str">
        <f>IF(AND('领用录入（明细）'!D:D=$F$4,'领用录入（明细）'!C:C&gt;=$J$4,'领用录入（明细）'!C:C&lt;=$L$4),ROW(),"-")</f>
        <v>-</v>
      </c>
    </row>
    <row r="25565" customHeight="1" spans="2:2">
      <c r="B25565" s="62" t="str">
        <f>IF(AND('领用录入（明细）'!D:D=$F$4,'领用录入（明细）'!C:C&gt;=$J$4,'领用录入（明细）'!C:C&lt;=$L$4),ROW(),"-")</f>
        <v>-</v>
      </c>
    </row>
    <row r="25566" customHeight="1" spans="2:2">
      <c r="B25566" s="62" t="str">
        <f>IF(AND('领用录入（明细）'!D:D=$F$4,'领用录入（明细）'!C:C&gt;=$J$4,'领用录入（明细）'!C:C&lt;=$L$4),ROW(),"-")</f>
        <v>-</v>
      </c>
    </row>
    <row r="25567" customHeight="1" spans="2:2">
      <c r="B25567" s="62" t="str">
        <f>IF(AND('领用录入（明细）'!D:D=$F$4,'领用录入（明细）'!C:C&gt;=$J$4,'领用录入（明细）'!C:C&lt;=$L$4),ROW(),"-")</f>
        <v>-</v>
      </c>
    </row>
    <row r="25568" customHeight="1" spans="2:2">
      <c r="B25568" s="62" t="str">
        <f>IF(AND('领用录入（明细）'!D:D=$F$4,'领用录入（明细）'!C:C&gt;=$J$4,'领用录入（明细）'!C:C&lt;=$L$4),ROW(),"-")</f>
        <v>-</v>
      </c>
    </row>
    <row r="25569" customHeight="1" spans="2:2">
      <c r="B25569" s="62" t="str">
        <f>IF(AND('领用录入（明细）'!D:D=$F$4,'领用录入（明细）'!C:C&gt;=$J$4,'领用录入（明细）'!C:C&lt;=$L$4),ROW(),"-")</f>
        <v>-</v>
      </c>
    </row>
    <row r="25570" customHeight="1" spans="2:2">
      <c r="B25570" s="62" t="str">
        <f>IF(AND('领用录入（明细）'!D:D=$F$4,'领用录入（明细）'!C:C&gt;=$J$4,'领用录入（明细）'!C:C&lt;=$L$4),ROW(),"-")</f>
        <v>-</v>
      </c>
    </row>
    <row r="25571" customHeight="1" spans="2:2">
      <c r="B25571" s="62" t="str">
        <f>IF(AND('领用录入（明细）'!D:D=$F$4,'领用录入（明细）'!C:C&gt;=$J$4,'领用录入（明细）'!C:C&lt;=$L$4),ROW(),"-")</f>
        <v>-</v>
      </c>
    </row>
    <row r="25572" customHeight="1" spans="2:2">
      <c r="B25572" s="62" t="str">
        <f>IF(AND('领用录入（明细）'!D:D=$F$4,'领用录入（明细）'!C:C&gt;=$J$4,'领用录入（明细）'!C:C&lt;=$L$4),ROW(),"-")</f>
        <v>-</v>
      </c>
    </row>
    <row r="25573" customHeight="1" spans="2:2">
      <c r="B25573" s="62" t="str">
        <f>IF(AND('领用录入（明细）'!D:D=$F$4,'领用录入（明细）'!C:C&gt;=$J$4,'领用录入（明细）'!C:C&lt;=$L$4),ROW(),"-")</f>
        <v>-</v>
      </c>
    </row>
    <row r="25574" customHeight="1" spans="2:2">
      <c r="B25574" s="62" t="str">
        <f>IF(AND('领用录入（明细）'!D:D=$F$4,'领用录入（明细）'!C:C&gt;=$J$4,'领用录入（明细）'!C:C&lt;=$L$4),ROW(),"-")</f>
        <v>-</v>
      </c>
    </row>
    <row r="25575" customHeight="1" spans="2:2">
      <c r="B25575" s="62" t="str">
        <f>IF(AND('领用录入（明细）'!D:D=$F$4,'领用录入（明细）'!C:C&gt;=$J$4,'领用录入（明细）'!C:C&lt;=$L$4),ROW(),"-")</f>
        <v>-</v>
      </c>
    </row>
    <row r="25576" customHeight="1" spans="2:2">
      <c r="B25576" s="62" t="str">
        <f>IF(AND('领用录入（明细）'!D:D=$F$4,'领用录入（明细）'!C:C&gt;=$J$4,'领用录入（明细）'!C:C&lt;=$L$4),ROW(),"-")</f>
        <v>-</v>
      </c>
    </row>
    <row r="25577" customHeight="1" spans="2:2">
      <c r="B25577" s="62" t="str">
        <f>IF(AND('领用录入（明细）'!D:D=$F$4,'领用录入（明细）'!C:C&gt;=$J$4,'领用录入（明细）'!C:C&lt;=$L$4),ROW(),"-")</f>
        <v>-</v>
      </c>
    </row>
    <row r="25578" customHeight="1" spans="2:2">
      <c r="B25578" s="62" t="str">
        <f>IF(AND('领用录入（明细）'!D:D=$F$4,'领用录入（明细）'!C:C&gt;=$J$4,'领用录入（明细）'!C:C&lt;=$L$4),ROW(),"-")</f>
        <v>-</v>
      </c>
    </row>
    <row r="25579" customHeight="1" spans="2:2">
      <c r="B25579" s="62" t="str">
        <f>IF(AND('领用录入（明细）'!D:D=$F$4,'领用录入（明细）'!C:C&gt;=$J$4,'领用录入（明细）'!C:C&lt;=$L$4),ROW(),"-")</f>
        <v>-</v>
      </c>
    </row>
    <row r="25580" customHeight="1" spans="2:2">
      <c r="B25580" s="62" t="str">
        <f>IF(AND('领用录入（明细）'!D:D=$F$4,'领用录入（明细）'!C:C&gt;=$J$4,'领用录入（明细）'!C:C&lt;=$L$4),ROW(),"-")</f>
        <v>-</v>
      </c>
    </row>
    <row r="25581" customHeight="1" spans="2:2">
      <c r="B25581" s="62" t="str">
        <f>IF(AND('领用录入（明细）'!D:D=$F$4,'领用录入（明细）'!C:C&gt;=$J$4,'领用录入（明细）'!C:C&lt;=$L$4),ROW(),"-")</f>
        <v>-</v>
      </c>
    </row>
    <row r="25582" customHeight="1" spans="2:2">
      <c r="B25582" s="62" t="str">
        <f>IF(AND('领用录入（明细）'!D:D=$F$4,'领用录入（明细）'!C:C&gt;=$J$4,'领用录入（明细）'!C:C&lt;=$L$4),ROW(),"-")</f>
        <v>-</v>
      </c>
    </row>
    <row r="25583" customHeight="1" spans="2:2">
      <c r="B25583" s="62" t="str">
        <f>IF(AND('领用录入（明细）'!D:D=$F$4,'领用录入（明细）'!C:C&gt;=$J$4,'领用录入（明细）'!C:C&lt;=$L$4),ROW(),"-")</f>
        <v>-</v>
      </c>
    </row>
    <row r="25584" customHeight="1" spans="2:2">
      <c r="B25584" s="62" t="str">
        <f>IF(AND('领用录入（明细）'!D:D=$F$4,'领用录入（明细）'!C:C&gt;=$J$4,'领用录入（明细）'!C:C&lt;=$L$4),ROW(),"-")</f>
        <v>-</v>
      </c>
    </row>
    <row r="25585" customHeight="1" spans="2:2">
      <c r="B25585" s="62" t="str">
        <f>IF(AND('领用录入（明细）'!D:D=$F$4,'领用录入（明细）'!C:C&gt;=$J$4,'领用录入（明细）'!C:C&lt;=$L$4),ROW(),"-")</f>
        <v>-</v>
      </c>
    </row>
    <row r="25586" customHeight="1" spans="2:2">
      <c r="B25586" s="62" t="str">
        <f>IF(AND('领用录入（明细）'!D:D=$F$4,'领用录入（明细）'!C:C&gt;=$J$4,'领用录入（明细）'!C:C&lt;=$L$4),ROW(),"-")</f>
        <v>-</v>
      </c>
    </row>
    <row r="25587" customHeight="1" spans="2:2">
      <c r="B25587" s="62" t="str">
        <f>IF(AND('领用录入（明细）'!D:D=$F$4,'领用录入（明细）'!C:C&gt;=$J$4,'领用录入（明细）'!C:C&lt;=$L$4),ROW(),"-")</f>
        <v>-</v>
      </c>
    </row>
    <row r="25588" customHeight="1" spans="2:2">
      <c r="B25588" s="62" t="str">
        <f>IF(AND('领用录入（明细）'!D:D=$F$4,'领用录入（明细）'!C:C&gt;=$J$4,'领用录入（明细）'!C:C&lt;=$L$4),ROW(),"-")</f>
        <v>-</v>
      </c>
    </row>
    <row r="25589" customHeight="1" spans="2:2">
      <c r="B25589" s="62" t="str">
        <f>IF(AND('领用录入（明细）'!D:D=$F$4,'领用录入（明细）'!C:C&gt;=$J$4,'领用录入（明细）'!C:C&lt;=$L$4),ROW(),"-")</f>
        <v>-</v>
      </c>
    </row>
    <row r="25590" customHeight="1" spans="2:2">
      <c r="B25590" s="62" t="str">
        <f>IF(AND('领用录入（明细）'!D:D=$F$4,'领用录入（明细）'!C:C&gt;=$J$4,'领用录入（明细）'!C:C&lt;=$L$4),ROW(),"-")</f>
        <v>-</v>
      </c>
    </row>
    <row r="25591" customHeight="1" spans="2:2">
      <c r="B25591" s="62" t="str">
        <f>IF(AND('领用录入（明细）'!D:D=$F$4,'领用录入（明细）'!C:C&gt;=$J$4,'领用录入（明细）'!C:C&lt;=$L$4),ROW(),"-")</f>
        <v>-</v>
      </c>
    </row>
    <row r="25592" customHeight="1" spans="2:2">
      <c r="B25592" s="62" t="str">
        <f>IF(AND('领用录入（明细）'!D:D=$F$4,'领用录入（明细）'!C:C&gt;=$J$4,'领用录入（明细）'!C:C&lt;=$L$4),ROW(),"-")</f>
        <v>-</v>
      </c>
    </row>
    <row r="25593" customHeight="1" spans="2:2">
      <c r="B25593" s="62" t="str">
        <f>IF(AND('领用录入（明细）'!D:D=$F$4,'领用录入（明细）'!C:C&gt;=$J$4,'领用录入（明细）'!C:C&lt;=$L$4),ROW(),"-")</f>
        <v>-</v>
      </c>
    </row>
    <row r="25594" customHeight="1" spans="2:2">
      <c r="B25594" s="62" t="str">
        <f>IF(AND('领用录入（明细）'!D:D=$F$4,'领用录入（明细）'!C:C&gt;=$J$4,'领用录入（明细）'!C:C&lt;=$L$4),ROW(),"-")</f>
        <v>-</v>
      </c>
    </row>
    <row r="25595" customHeight="1" spans="2:2">
      <c r="B25595" s="62" t="str">
        <f>IF(AND('领用录入（明细）'!D:D=$F$4,'领用录入（明细）'!C:C&gt;=$J$4,'领用录入（明细）'!C:C&lt;=$L$4),ROW(),"-")</f>
        <v>-</v>
      </c>
    </row>
    <row r="25596" customHeight="1" spans="2:2">
      <c r="B25596" s="62" t="str">
        <f>IF(AND('领用录入（明细）'!D:D=$F$4,'领用录入（明细）'!C:C&gt;=$J$4,'领用录入（明细）'!C:C&lt;=$L$4),ROW(),"-")</f>
        <v>-</v>
      </c>
    </row>
    <row r="25597" customHeight="1" spans="2:2">
      <c r="B25597" s="62" t="str">
        <f>IF(AND('领用录入（明细）'!D:D=$F$4,'领用录入（明细）'!C:C&gt;=$J$4,'领用录入（明细）'!C:C&lt;=$L$4),ROW(),"-")</f>
        <v>-</v>
      </c>
    </row>
    <row r="25598" customHeight="1" spans="2:2">
      <c r="B25598" s="62" t="str">
        <f>IF(AND('领用录入（明细）'!D:D=$F$4,'领用录入（明细）'!C:C&gt;=$J$4,'领用录入（明细）'!C:C&lt;=$L$4),ROW(),"-")</f>
        <v>-</v>
      </c>
    </row>
    <row r="25599" customHeight="1" spans="2:2">
      <c r="B25599" s="62" t="str">
        <f>IF(AND('领用录入（明细）'!D:D=$F$4,'领用录入（明细）'!C:C&gt;=$J$4,'领用录入（明细）'!C:C&lt;=$L$4),ROW(),"-")</f>
        <v>-</v>
      </c>
    </row>
    <row r="25600" customHeight="1" spans="2:2">
      <c r="B25600" s="62" t="str">
        <f>IF(AND('领用录入（明细）'!D:D=$F$4,'领用录入（明细）'!C:C&gt;=$J$4,'领用录入（明细）'!C:C&lt;=$L$4),ROW(),"-")</f>
        <v>-</v>
      </c>
    </row>
    <row r="25601" customHeight="1" spans="2:2">
      <c r="B25601" s="62" t="str">
        <f>IF(AND('领用录入（明细）'!D:D=$F$4,'领用录入（明细）'!C:C&gt;=$J$4,'领用录入（明细）'!C:C&lt;=$L$4),ROW(),"-")</f>
        <v>-</v>
      </c>
    </row>
    <row r="25602" customHeight="1" spans="2:2">
      <c r="B25602" s="62" t="str">
        <f>IF(AND('领用录入（明细）'!D:D=$F$4,'领用录入（明细）'!C:C&gt;=$J$4,'领用录入（明细）'!C:C&lt;=$L$4),ROW(),"-")</f>
        <v>-</v>
      </c>
    </row>
    <row r="25603" customHeight="1" spans="2:2">
      <c r="B25603" s="62" t="str">
        <f>IF(AND('领用录入（明细）'!D:D=$F$4,'领用录入（明细）'!C:C&gt;=$J$4,'领用录入（明细）'!C:C&lt;=$L$4),ROW(),"-")</f>
        <v>-</v>
      </c>
    </row>
    <row r="25604" customHeight="1" spans="2:2">
      <c r="B25604" s="62" t="str">
        <f>IF(AND('领用录入（明细）'!D:D=$F$4,'领用录入（明细）'!C:C&gt;=$J$4,'领用录入（明细）'!C:C&lt;=$L$4),ROW(),"-")</f>
        <v>-</v>
      </c>
    </row>
    <row r="25605" customHeight="1" spans="2:2">
      <c r="B25605" s="62" t="str">
        <f>IF(AND('领用录入（明细）'!D:D=$F$4,'领用录入（明细）'!C:C&gt;=$J$4,'领用录入（明细）'!C:C&lt;=$L$4),ROW(),"-")</f>
        <v>-</v>
      </c>
    </row>
    <row r="25606" customHeight="1" spans="2:2">
      <c r="B25606" s="62" t="str">
        <f>IF(AND('领用录入（明细）'!D:D=$F$4,'领用录入（明细）'!C:C&gt;=$J$4,'领用录入（明细）'!C:C&lt;=$L$4),ROW(),"-")</f>
        <v>-</v>
      </c>
    </row>
    <row r="25607" customHeight="1" spans="2:2">
      <c r="B25607" s="62" t="str">
        <f>IF(AND('领用录入（明细）'!D:D=$F$4,'领用录入（明细）'!C:C&gt;=$J$4,'领用录入（明细）'!C:C&lt;=$L$4),ROW(),"-")</f>
        <v>-</v>
      </c>
    </row>
    <row r="25608" customHeight="1" spans="2:2">
      <c r="B25608" s="62" t="str">
        <f>IF(AND('领用录入（明细）'!D:D=$F$4,'领用录入（明细）'!C:C&gt;=$J$4,'领用录入（明细）'!C:C&lt;=$L$4),ROW(),"-")</f>
        <v>-</v>
      </c>
    </row>
    <row r="25609" customHeight="1" spans="2:2">
      <c r="B25609" s="62" t="str">
        <f>IF(AND('领用录入（明细）'!D:D=$F$4,'领用录入（明细）'!C:C&gt;=$J$4,'领用录入（明细）'!C:C&lt;=$L$4),ROW(),"-")</f>
        <v>-</v>
      </c>
    </row>
    <row r="25610" customHeight="1" spans="2:2">
      <c r="B25610" s="62" t="str">
        <f>IF(AND('领用录入（明细）'!D:D=$F$4,'领用录入（明细）'!C:C&gt;=$J$4,'领用录入（明细）'!C:C&lt;=$L$4),ROW(),"-")</f>
        <v>-</v>
      </c>
    </row>
    <row r="25611" customHeight="1" spans="2:2">
      <c r="B25611" s="62" t="str">
        <f>IF(AND('领用录入（明细）'!D:D=$F$4,'领用录入（明细）'!C:C&gt;=$J$4,'领用录入（明细）'!C:C&lt;=$L$4),ROW(),"-")</f>
        <v>-</v>
      </c>
    </row>
    <row r="25612" customHeight="1" spans="2:2">
      <c r="B25612" s="62" t="str">
        <f>IF(AND('领用录入（明细）'!D:D=$F$4,'领用录入（明细）'!C:C&gt;=$J$4,'领用录入（明细）'!C:C&lt;=$L$4),ROW(),"-")</f>
        <v>-</v>
      </c>
    </row>
    <row r="25613" customHeight="1" spans="2:2">
      <c r="B25613" s="62" t="str">
        <f>IF(AND('领用录入（明细）'!D:D=$F$4,'领用录入（明细）'!C:C&gt;=$J$4,'领用录入（明细）'!C:C&lt;=$L$4),ROW(),"-")</f>
        <v>-</v>
      </c>
    </row>
    <row r="25614" customHeight="1" spans="2:2">
      <c r="B25614" s="62" t="str">
        <f>IF(AND('领用录入（明细）'!D:D=$F$4,'领用录入（明细）'!C:C&gt;=$J$4,'领用录入（明细）'!C:C&lt;=$L$4),ROW(),"-")</f>
        <v>-</v>
      </c>
    </row>
    <row r="25615" customHeight="1" spans="2:2">
      <c r="B25615" s="62" t="str">
        <f>IF(AND('领用录入（明细）'!D:D=$F$4,'领用录入（明细）'!C:C&gt;=$J$4,'领用录入（明细）'!C:C&lt;=$L$4),ROW(),"-")</f>
        <v>-</v>
      </c>
    </row>
    <row r="25616" customHeight="1" spans="2:2">
      <c r="B25616" s="62" t="str">
        <f>IF(AND('领用录入（明细）'!D:D=$F$4,'领用录入（明细）'!C:C&gt;=$J$4,'领用录入（明细）'!C:C&lt;=$L$4),ROW(),"-")</f>
        <v>-</v>
      </c>
    </row>
    <row r="25617" customHeight="1" spans="2:2">
      <c r="B25617" s="62" t="str">
        <f>IF(AND('领用录入（明细）'!D:D=$F$4,'领用录入（明细）'!C:C&gt;=$J$4,'领用录入（明细）'!C:C&lt;=$L$4),ROW(),"-")</f>
        <v>-</v>
      </c>
    </row>
    <row r="25618" customHeight="1" spans="2:2">
      <c r="B25618" s="62" t="str">
        <f>IF(AND('领用录入（明细）'!D:D=$F$4,'领用录入（明细）'!C:C&gt;=$J$4,'领用录入（明细）'!C:C&lt;=$L$4),ROW(),"-")</f>
        <v>-</v>
      </c>
    </row>
    <row r="25619" customHeight="1" spans="2:2">
      <c r="B25619" s="62" t="str">
        <f>IF(AND('领用录入（明细）'!D:D=$F$4,'领用录入（明细）'!C:C&gt;=$J$4,'领用录入（明细）'!C:C&lt;=$L$4),ROW(),"-")</f>
        <v>-</v>
      </c>
    </row>
    <row r="25620" customHeight="1" spans="2:2">
      <c r="B25620" s="62" t="str">
        <f>IF(AND('领用录入（明细）'!D:D=$F$4,'领用录入（明细）'!C:C&gt;=$J$4,'领用录入（明细）'!C:C&lt;=$L$4),ROW(),"-")</f>
        <v>-</v>
      </c>
    </row>
    <row r="25621" customHeight="1" spans="2:2">
      <c r="B25621" s="62" t="str">
        <f>IF(AND('领用录入（明细）'!D:D=$F$4,'领用录入（明细）'!C:C&gt;=$J$4,'领用录入（明细）'!C:C&lt;=$L$4),ROW(),"-")</f>
        <v>-</v>
      </c>
    </row>
    <row r="25622" customHeight="1" spans="2:2">
      <c r="B25622" s="62" t="str">
        <f>IF(AND('领用录入（明细）'!D:D=$F$4,'领用录入（明细）'!C:C&gt;=$J$4,'领用录入（明细）'!C:C&lt;=$L$4),ROW(),"-")</f>
        <v>-</v>
      </c>
    </row>
    <row r="25623" customHeight="1" spans="2:2">
      <c r="B25623" s="62" t="str">
        <f>IF(AND('领用录入（明细）'!D:D=$F$4,'领用录入（明细）'!C:C&gt;=$J$4,'领用录入（明细）'!C:C&lt;=$L$4),ROW(),"-")</f>
        <v>-</v>
      </c>
    </row>
    <row r="25624" customHeight="1" spans="2:2">
      <c r="B25624" s="62" t="str">
        <f>IF(AND('领用录入（明细）'!D:D=$F$4,'领用录入（明细）'!C:C&gt;=$J$4,'领用录入（明细）'!C:C&lt;=$L$4),ROW(),"-")</f>
        <v>-</v>
      </c>
    </row>
    <row r="25625" customHeight="1" spans="2:2">
      <c r="B25625" s="62" t="str">
        <f>IF(AND('领用录入（明细）'!D:D=$F$4,'领用录入（明细）'!C:C&gt;=$J$4,'领用录入（明细）'!C:C&lt;=$L$4),ROW(),"-")</f>
        <v>-</v>
      </c>
    </row>
    <row r="25626" customHeight="1" spans="2:2">
      <c r="B25626" s="62" t="str">
        <f>IF(AND('领用录入（明细）'!D:D=$F$4,'领用录入（明细）'!C:C&gt;=$J$4,'领用录入（明细）'!C:C&lt;=$L$4),ROW(),"-")</f>
        <v>-</v>
      </c>
    </row>
    <row r="25627" customHeight="1" spans="2:2">
      <c r="B25627" s="62" t="str">
        <f>IF(AND('领用录入（明细）'!D:D=$F$4,'领用录入（明细）'!C:C&gt;=$J$4,'领用录入（明细）'!C:C&lt;=$L$4),ROW(),"-")</f>
        <v>-</v>
      </c>
    </row>
    <row r="25628" customHeight="1" spans="2:2">
      <c r="B25628" s="62" t="str">
        <f>IF(AND('领用录入（明细）'!D:D=$F$4,'领用录入（明细）'!C:C&gt;=$J$4,'领用录入（明细）'!C:C&lt;=$L$4),ROW(),"-")</f>
        <v>-</v>
      </c>
    </row>
    <row r="25629" customHeight="1" spans="2:2">
      <c r="B25629" s="62" t="str">
        <f>IF(AND('领用录入（明细）'!D:D=$F$4,'领用录入（明细）'!C:C&gt;=$J$4,'领用录入（明细）'!C:C&lt;=$L$4),ROW(),"-")</f>
        <v>-</v>
      </c>
    </row>
    <row r="25630" customHeight="1" spans="2:2">
      <c r="B25630" s="62" t="str">
        <f>IF(AND('领用录入（明细）'!D:D=$F$4,'领用录入（明细）'!C:C&gt;=$J$4,'领用录入（明细）'!C:C&lt;=$L$4),ROW(),"-")</f>
        <v>-</v>
      </c>
    </row>
    <row r="25631" customHeight="1" spans="2:2">
      <c r="B25631" s="62" t="str">
        <f>IF(AND('领用录入（明细）'!D:D=$F$4,'领用录入（明细）'!C:C&gt;=$J$4,'领用录入（明细）'!C:C&lt;=$L$4),ROW(),"-")</f>
        <v>-</v>
      </c>
    </row>
    <row r="25632" customHeight="1" spans="2:2">
      <c r="B25632" s="62" t="str">
        <f>IF(AND('领用录入（明细）'!D:D=$F$4,'领用录入（明细）'!C:C&gt;=$J$4,'领用录入（明细）'!C:C&lt;=$L$4),ROW(),"-")</f>
        <v>-</v>
      </c>
    </row>
    <row r="25633" customHeight="1" spans="2:2">
      <c r="B25633" s="62" t="str">
        <f>IF(AND('领用录入（明细）'!D:D=$F$4,'领用录入（明细）'!C:C&gt;=$J$4,'领用录入（明细）'!C:C&lt;=$L$4),ROW(),"-")</f>
        <v>-</v>
      </c>
    </row>
    <row r="25634" customHeight="1" spans="2:2">
      <c r="B25634" s="62" t="str">
        <f>IF(AND('领用录入（明细）'!D:D=$F$4,'领用录入（明细）'!C:C&gt;=$J$4,'领用录入（明细）'!C:C&lt;=$L$4),ROW(),"-")</f>
        <v>-</v>
      </c>
    </row>
    <row r="25635" customHeight="1" spans="2:2">
      <c r="B25635" s="62" t="str">
        <f>IF(AND('领用录入（明细）'!D:D=$F$4,'领用录入（明细）'!C:C&gt;=$J$4,'领用录入（明细）'!C:C&lt;=$L$4),ROW(),"-")</f>
        <v>-</v>
      </c>
    </row>
    <row r="25636" customHeight="1" spans="2:2">
      <c r="B25636" s="62" t="str">
        <f>IF(AND('领用录入（明细）'!D:D=$F$4,'领用录入（明细）'!C:C&gt;=$J$4,'领用录入（明细）'!C:C&lt;=$L$4),ROW(),"-")</f>
        <v>-</v>
      </c>
    </row>
    <row r="25637" customHeight="1" spans="2:2">
      <c r="B25637" s="62" t="str">
        <f>IF(AND('领用录入（明细）'!D:D=$F$4,'领用录入（明细）'!C:C&gt;=$J$4,'领用录入（明细）'!C:C&lt;=$L$4),ROW(),"-")</f>
        <v>-</v>
      </c>
    </row>
    <row r="25638" customHeight="1" spans="2:2">
      <c r="B25638" s="62" t="str">
        <f>IF(AND('领用录入（明细）'!D:D=$F$4,'领用录入（明细）'!C:C&gt;=$J$4,'领用录入（明细）'!C:C&lt;=$L$4),ROW(),"-")</f>
        <v>-</v>
      </c>
    </row>
    <row r="25639" customHeight="1" spans="2:2">
      <c r="B25639" s="62" t="str">
        <f>IF(AND('领用录入（明细）'!D:D=$F$4,'领用录入（明细）'!C:C&gt;=$J$4,'领用录入（明细）'!C:C&lt;=$L$4),ROW(),"-")</f>
        <v>-</v>
      </c>
    </row>
    <row r="25640" customHeight="1" spans="2:2">
      <c r="B25640" s="62" t="str">
        <f>IF(AND('领用录入（明细）'!D:D=$F$4,'领用录入（明细）'!C:C&gt;=$J$4,'领用录入（明细）'!C:C&lt;=$L$4),ROW(),"-")</f>
        <v>-</v>
      </c>
    </row>
    <row r="25641" customHeight="1" spans="2:2">
      <c r="B25641" s="62" t="str">
        <f>IF(AND('领用录入（明细）'!D:D=$F$4,'领用录入（明细）'!C:C&gt;=$J$4,'领用录入（明细）'!C:C&lt;=$L$4),ROW(),"-")</f>
        <v>-</v>
      </c>
    </row>
    <row r="25642" customHeight="1" spans="2:2">
      <c r="B25642" s="62" t="str">
        <f>IF(AND('领用录入（明细）'!D:D=$F$4,'领用录入（明细）'!C:C&gt;=$J$4,'领用录入（明细）'!C:C&lt;=$L$4),ROW(),"-")</f>
        <v>-</v>
      </c>
    </row>
    <row r="25643" customHeight="1" spans="2:2">
      <c r="B25643" s="62" t="str">
        <f>IF(AND('领用录入（明细）'!D:D=$F$4,'领用录入（明细）'!C:C&gt;=$J$4,'领用录入（明细）'!C:C&lt;=$L$4),ROW(),"-")</f>
        <v>-</v>
      </c>
    </row>
    <row r="25644" customHeight="1" spans="2:2">
      <c r="B25644" s="62" t="str">
        <f>IF(AND('领用录入（明细）'!D:D=$F$4,'领用录入（明细）'!C:C&gt;=$J$4,'领用录入（明细）'!C:C&lt;=$L$4),ROW(),"-")</f>
        <v>-</v>
      </c>
    </row>
    <row r="25645" customHeight="1" spans="2:2">
      <c r="B25645" s="62" t="str">
        <f>IF(AND('领用录入（明细）'!D:D=$F$4,'领用录入（明细）'!C:C&gt;=$J$4,'领用录入（明细）'!C:C&lt;=$L$4),ROW(),"-")</f>
        <v>-</v>
      </c>
    </row>
    <row r="25646" customHeight="1" spans="2:2">
      <c r="B25646" s="62" t="str">
        <f>IF(AND('领用录入（明细）'!D:D=$F$4,'领用录入（明细）'!C:C&gt;=$J$4,'领用录入（明细）'!C:C&lt;=$L$4),ROW(),"-")</f>
        <v>-</v>
      </c>
    </row>
    <row r="25647" customHeight="1" spans="2:2">
      <c r="B25647" s="62" t="str">
        <f>IF(AND('领用录入（明细）'!D:D=$F$4,'领用录入（明细）'!C:C&gt;=$J$4,'领用录入（明细）'!C:C&lt;=$L$4),ROW(),"-")</f>
        <v>-</v>
      </c>
    </row>
    <row r="25648" customHeight="1" spans="2:2">
      <c r="B25648" s="62" t="str">
        <f>IF(AND('领用录入（明细）'!D:D=$F$4,'领用录入（明细）'!C:C&gt;=$J$4,'领用录入（明细）'!C:C&lt;=$L$4),ROW(),"-")</f>
        <v>-</v>
      </c>
    </row>
    <row r="25649" customHeight="1" spans="2:2">
      <c r="B25649" s="62" t="str">
        <f>IF(AND('领用录入（明细）'!D:D=$F$4,'领用录入（明细）'!C:C&gt;=$J$4,'领用录入（明细）'!C:C&lt;=$L$4),ROW(),"-")</f>
        <v>-</v>
      </c>
    </row>
    <row r="25650" customHeight="1" spans="2:2">
      <c r="B25650" s="62" t="str">
        <f>IF(AND('领用录入（明细）'!D:D=$F$4,'领用录入（明细）'!C:C&gt;=$J$4,'领用录入（明细）'!C:C&lt;=$L$4),ROW(),"-")</f>
        <v>-</v>
      </c>
    </row>
    <row r="25651" customHeight="1" spans="2:2">
      <c r="B25651" s="62" t="str">
        <f>IF(AND('领用录入（明细）'!D:D=$F$4,'领用录入（明细）'!C:C&gt;=$J$4,'领用录入（明细）'!C:C&lt;=$L$4),ROW(),"-")</f>
        <v>-</v>
      </c>
    </row>
    <row r="25652" customHeight="1" spans="2:2">
      <c r="B25652" s="62" t="str">
        <f>IF(AND('领用录入（明细）'!D:D=$F$4,'领用录入（明细）'!C:C&gt;=$J$4,'领用录入（明细）'!C:C&lt;=$L$4),ROW(),"-")</f>
        <v>-</v>
      </c>
    </row>
    <row r="25653" customHeight="1" spans="2:2">
      <c r="B25653" s="62" t="str">
        <f>IF(AND('领用录入（明细）'!D:D=$F$4,'领用录入（明细）'!C:C&gt;=$J$4,'领用录入（明细）'!C:C&lt;=$L$4),ROW(),"-")</f>
        <v>-</v>
      </c>
    </row>
    <row r="25654" customHeight="1" spans="2:2">
      <c r="B25654" s="62" t="str">
        <f>IF(AND('领用录入（明细）'!D:D=$F$4,'领用录入（明细）'!C:C&gt;=$J$4,'领用录入（明细）'!C:C&lt;=$L$4),ROW(),"-")</f>
        <v>-</v>
      </c>
    </row>
    <row r="25655" customHeight="1" spans="2:2">
      <c r="B25655" s="62" t="str">
        <f>IF(AND('领用录入（明细）'!D:D=$F$4,'领用录入（明细）'!C:C&gt;=$J$4,'领用录入（明细）'!C:C&lt;=$L$4),ROW(),"-")</f>
        <v>-</v>
      </c>
    </row>
    <row r="25656" customHeight="1" spans="2:2">
      <c r="B25656" s="62" t="str">
        <f>IF(AND('领用录入（明细）'!D:D=$F$4,'领用录入（明细）'!C:C&gt;=$J$4,'领用录入（明细）'!C:C&lt;=$L$4),ROW(),"-")</f>
        <v>-</v>
      </c>
    </row>
    <row r="25657" customHeight="1" spans="2:2">
      <c r="B25657" s="62" t="str">
        <f>IF(AND('领用录入（明细）'!D:D=$F$4,'领用录入（明细）'!C:C&gt;=$J$4,'领用录入（明细）'!C:C&lt;=$L$4),ROW(),"-")</f>
        <v>-</v>
      </c>
    </row>
    <row r="25658" customHeight="1" spans="2:2">
      <c r="B25658" s="62" t="str">
        <f>IF(AND('领用录入（明细）'!D:D=$F$4,'领用录入（明细）'!C:C&gt;=$J$4,'领用录入（明细）'!C:C&lt;=$L$4),ROW(),"-")</f>
        <v>-</v>
      </c>
    </row>
    <row r="25659" customHeight="1" spans="2:2">
      <c r="B25659" s="62" t="str">
        <f>IF(AND('领用录入（明细）'!D:D=$F$4,'领用录入（明细）'!C:C&gt;=$J$4,'领用录入（明细）'!C:C&lt;=$L$4),ROW(),"-")</f>
        <v>-</v>
      </c>
    </row>
    <row r="25660" customHeight="1" spans="2:2">
      <c r="B25660" s="62" t="str">
        <f>IF(AND('领用录入（明细）'!D:D=$F$4,'领用录入（明细）'!C:C&gt;=$J$4,'领用录入（明细）'!C:C&lt;=$L$4),ROW(),"-")</f>
        <v>-</v>
      </c>
    </row>
    <row r="25661" customHeight="1" spans="2:2">
      <c r="B25661" s="62" t="str">
        <f>IF(AND('领用录入（明细）'!D:D=$F$4,'领用录入（明细）'!C:C&gt;=$J$4,'领用录入（明细）'!C:C&lt;=$L$4),ROW(),"-")</f>
        <v>-</v>
      </c>
    </row>
    <row r="25662" customHeight="1" spans="2:2">
      <c r="B25662" s="62" t="str">
        <f>IF(AND('领用录入（明细）'!D:D=$F$4,'领用录入（明细）'!C:C&gt;=$J$4,'领用录入（明细）'!C:C&lt;=$L$4),ROW(),"-")</f>
        <v>-</v>
      </c>
    </row>
    <row r="25663" customHeight="1" spans="2:2">
      <c r="B25663" s="62" t="str">
        <f>IF(AND('领用录入（明细）'!D:D=$F$4,'领用录入（明细）'!C:C&gt;=$J$4,'领用录入（明细）'!C:C&lt;=$L$4),ROW(),"-")</f>
        <v>-</v>
      </c>
    </row>
    <row r="25664" customHeight="1" spans="2:2">
      <c r="B25664" s="62" t="str">
        <f>IF(AND('领用录入（明细）'!D:D=$F$4,'领用录入（明细）'!C:C&gt;=$J$4,'领用录入（明细）'!C:C&lt;=$L$4),ROW(),"-")</f>
        <v>-</v>
      </c>
    </row>
    <row r="25665" customHeight="1" spans="2:2">
      <c r="B25665" s="62" t="str">
        <f>IF(AND('领用录入（明细）'!D:D=$F$4,'领用录入（明细）'!C:C&gt;=$J$4,'领用录入（明细）'!C:C&lt;=$L$4),ROW(),"-")</f>
        <v>-</v>
      </c>
    </row>
    <row r="25666" customHeight="1" spans="2:2">
      <c r="B25666" s="62" t="str">
        <f>IF(AND('领用录入（明细）'!D:D=$F$4,'领用录入（明细）'!C:C&gt;=$J$4,'领用录入（明细）'!C:C&lt;=$L$4),ROW(),"-")</f>
        <v>-</v>
      </c>
    </row>
    <row r="25667" customHeight="1" spans="2:2">
      <c r="B25667" s="62" t="str">
        <f>IF(AND('领用录入（明细）'!D:D=$F$4,'领用录入（明细）'!C:C&gt;=$J$4,'领用录入（明细）'!C:C&lt;=$L$4),ROW(),"-")</f>
        <v>-</v>
      </c>
    </row>
    <row r="25668" customHeight="1" spans="2:2">
      <c r="B25668" s="62" t="str">
        <f>IF(AND('领用录入（明细）'!D:D=$F$4,'领用录入（明细）'!C:C&gt;=$J$4,'领用录入（明细）'!C:C&lt;=$L$4),ROW(),"-")</f>
        <v>-</v>
      </c>
    </row>
    <row r="25669" customHeight="1" spans="2:2">
      <c r="B25669" s="62" t="str">
        <f>IF(AND('领用录入（明细）'!D:D=$F$4,'领用录入（明细）'!C:C&gt;=$J$4,'领用录入（明细）'!C:C&lt;=$L$4),ROW(),"-")</f>
        <v>-</v>
      </c>
    </row>
    <row r="25670" customHeight="1" spans="2:2">
      <c r="B25670" s="62" t="str">
        <f>IF(AND('领用录入（明细）'!D:D=$F$4,'领用录入（明细）'!C:C&gt;=$J$4,'领用录入（明细）'!C:C&lt;=$L$4),ROW(),"-")</f>
        <v>-</v>
      </c>
    </row>
    <row r="25671" customHeight="1" spans="2:2">
      <c r="B25671" s="62" t="str">
        <f>IF(AND('领用录入（明细）'!D:D=$F$4,'领用录入（明细）'!C:C&gt;=$J$4,'领用录入（明细）'!C:C&lt;=$L$4),ROW(),"-")</f>
        <v>-</v>
      </c>
    </row>
    <row r="25672" customHeight="1" spans="2:2">
      <c r="B25672" s="62" t="str">
        <f>IF(AND('领用录入（明细）'!D:D=$F$4,'领用录入（明细）'!C:C&gt;=$J$4,'领用录入（明细）'!C:C&lt;=$L$4),ROW(),"-")</f>
        <v>-</v>
      </c>
    </row>
    <row r="25673" customHeight="1" spans="2:2">
      <c r="B25673" s="62" t="str">
        <f>IF(AND('领用录入（明细）'!D:D=$F$4,'领用录入（明细）'!C:C&gt;=$J$4,'领用录入（明细）'!C:C&lt;=$L$4),ROW(),"-")</f>
        <v>-</v>
      </c>
    </row>
    <row r="25674" customHeight="1" spans="2:2">
      <c r="B25674" s="62" t="str">
        <f>IF(AND('领用录入（明细）'!D:D=$F$4,'领用录入（明细）'!C:C&gt;=$J$4,'领用录入（明细）'!C:C&lt;=$L$4),ROW(),"-")</f>
        <v>-</v>
      </c>
    </row>
    <row r="25675" customHeight="1" spans="2:2">
      <c r="B25675" s="62" t="str">
        <f>IF(AND('领用录入（明细）'!D:D=$F$4,'领用录入（明细）'!C:C&gt;=$J$4,'领用录入（明细）'!C:C&lt;=$L$4),ROW(),"-")</f>
        <v>-</v>
      </c>
    </row>
    <row r="25676" customHeight="1" spans="2:2">
      <c r="B25676" s="62" t="str">
        <f>IF(AND('领用录入（明细）'!D:D=$F$4,'领用录入（明细）'!C:C&gt;=$J$4,'领用录入（明细）'!C:C&lt;=$L$4),ROW(),"-")</f>
        <v>-</v>
      </c>
    </row>
    <row r="25677" customHeight="1" spans="2:2">
      <c r="B25677" s="62" t="str">
        <f>IF(AND('领用录入（明细）'!D:D=$F$4,'领用录入（明细）'!C:C&gt;=$J$4,'领用录入（明细）'!C:C&lt;=$L$4),ROW(),"-")</f>
        <v>-</v>
      </c>
    </row>
    <row r="25678" customHeight="1" spans="2:2">
      <c r="B25678" s="62" t="str">
        <f>IF(AND('领用录入（明细）'!D:D=$F$4,'领用录入（明细）'!C:C&gt;=$J$4,'领用录入（明细）'!C:C&lt;=$L$4),ROW(),"-")</f>
        <v>-</v>
      </c>
    </row>
    <row r="25679" customHeight="1" spans="2:2">
      <c r="B25679" s="62" t="str">
        <f>IF(AND('领用录入（明细）'!D:D=$F$4,'领用录入（明细）'!C:C&gt;=$J$4,'领用录入（明细）'!C:C&lt;=$L$4),ROW(),"-")</f>
        <v>-</v>
      </c>
    </row>
    <row r="25680" customHeight="1" spans="2:2">
      <c r="B25680" s="62" t="str">
        <f>IF(AND('领用录入（明细）'!D:D=$F$4,'领用录入（明细）'!C:C&gt;=$J$4,'领用录入（明细）'!C:C&lt;=$L$4),ROW(),"-")</f>
        <v>-</v>
      </c>
    </row>
    <row r="25681" customHeight="1" spans="2:2">
      <c r="B25681" s="62" t="str">
        <f>IF(AND('领用录入（明细）'!D:D=$F$4,'领用录入（明细）'!C:C&gt;=$J$4,'领用录入（明细）'!C:C&lt;=$L$4),ROW(),"-")</f>
        <v>-</v>
      </c>
    </row>
    <row r="25682" customHeight="1" spans="2:2">
      <c r="B25682" s="62" t="str">
        <f>IF(AND('领用录入（明细）'!D:D=$F$4,'领用录入（明细）'!C:C&gt;=$J$4,'领用录入（明细）'!C:C&lt;=$L$4),ROW(),"-")</f>
        <v>-</v>
      </c>
    </row>
    <row r="25683" customHeight="1" spans="2:2">
      <c r="B25683" s="62" t="str">
        <f>IF(AND('领用录入（明细）'!D:D=$F$4,'领用录入（明细）'!C:C&gt;=$J$4,'领用录入（明细）'!C:C&lt;=$L$4),ROW(),"-")</f>
        <v>-</v>
      </c>
    </row>
    <row r="25684" customHeight="1" spans="2:2">
      <c r="B25684" s="62" t="str">
        <f>IF(AND('领用录入（明细）'!D:D=$F$4,'领用录入（明细）'!C:C&gt;=$J$4,'领用录入（明细）'!C:C&lt;=$L$4),ROW(),"-")</f>
        <v>-</v>
      </c>
    </row>
    <row r="25685" customHeight="1" spans="2:2">
      <c r="B25685" s="62" t="str">
        <f>IF(AND('领用录入（明细）'!D:D=$F$4,'领用录入（明细）'!C:C&gt;=$J$4,'领用录入（明细）'!C:C&lt;=$L$4),ROW(),"-")</f>
        <v>-</v>
      </c>
    </row>
    <row r="25686" customHeight="1" spans="2:2">
      <c r="B25686" s="62" t="str">
        <f>IF(AND('领用录入（明细）'!D:D=$F$4,'领用录入（明细）'!C:C&gt;=$J$4,'领用录入（明细）'!C:C&lt;=$L$4),ROW(),"-")</f>
        <v>-</v>
      </c>
    </row>
    <row r="25687" customHeight="1" spans="2:2">
      <c r="B25687" s="62" t="str">
        <f>IF(AND('领用录入（明细）'!D:D=$F$4,'领用录入（明细）'!C:C&gt;=$J$4,'领用录入（明细）'!C:C&lt;=$L$4),ROW(),"-")</f>
        <v>-</v>
      </c>
    </row>
    <row r="25688" customHeight="1" spans="2:2">
      <c r="B25688" s="62" t="str">
        <f>IF(AND('领用录入（明细）'!D:D=$F$4,'领用录入（明细）'!C:C&gt;=$J$4,'领用录入（明细）'!C:C&lt;=$L$4),ROW(),"-")</f>
        <v>-</v>
      </c>
    </row>
    <row r="25689" customHeight="1" spans="2:2">
      <c r="B25689" s="62" t="str">
        <f>IF(AND('领用录入（明细）'!D:D=$F$4,'领用录入（明细）'!C:C&gt;=$J$4,'领用录入（明细）'!C:C&lt;=$L$4),ROW(),"-")</f>
        <v>-</v>
      </c>
    </row>
    <row r="25690" customHeight="1" spans="2:2">
      <c r="B25690" s="62" t="str">
        <f>IF(AND('领用录入（明细）'!D:D=$F$4,'领用录入（明细）'!C:C&gt;=$J$4,'领用录入（明细）'!C:C&lt;=$L$4),ROW(),"-")</f>
        <v>-</v>
      </c>
    </row>
    <row r="25691" customHeight="1" spans="2:2">
      <c r="B25691" s="62" t="str">
        <f>IF(AND('领用录入（明细）'!D:D=$F$4,'领用录入（明细）'!C:C&gt;=$J$4,'领用录入（明细）'!C:C&lt;=$L$4),ROW(),"-")</f>
        <v>-</v>
      </c>
    </row>
    <row r="25692" customHeight="1" spans="2:2">
      <c r="B25692" s="62" t="str">
        <f>IF(AND('领用录入（明细）'!D:D=$F$4,'领用录入（明细）'!C:C&gt;=$J$4,'领用录入（明细）'!C:C&lt;=$L$4),ROW(),"-")</f>
        <v>-</v>
      </c>
    </row>
    <row r="25693" customHeight="1" spans="2:2">
      <c r="B25693" s="62" t="str">
        <f>IF(AND('领用录入（明细）'!D:D=$F$4,'领用录入（明细）'!C:C&gt;=$J$4,'领用录入（明细）'!C:C&lt;=$L$4),ROW(),"-")</f>
        <v>-</v>
      </c>
    </row>
    <row r="25694" customHeight="1" spans="2:2">
      <c r="B25694" s="62" t="str">
        <f>IF(AND('领用录入（明细）'!D:D=$F$4,'领用录入（明细）'!C:C&gt;=$J$4,'领用录入（明细）'!C:C&lt;=$L$4),ROW(),"-")</f>
        <v>-</v>
      </c>
    </row>
    <row r="25695" customHeight="1" spans="2:2">
      <c r="B25695" s="62" t="str">
        <f>IF(AND('领用录入（明细）'!D:D=$F$4,'领用录入（明细）'!C:C&gt;=$J$4,'领用录入（明细）'!C:C&lt;=$L$4),ROW(),"-")</f>
        <v>-</v>
      </c>
    </row>
    <row r="25696" customHeight="1" spans="2:2">
      <c r="B25696" s="62" t="str">
        <f>IF(AND('领用录入（明细）'!D:D=$F$4,'领用录入（明细）'!C:C&gt;=$J$4,'领用录入（明细）'!C:C&lt;=$L$4),ROW(),"-")</f>
        <v>-</v>
      </c>
    </row>
    <row r="25697" customHeight="1" spans="2:2">
      <c r="B25697" s="62" t="str">
        <f>IF(AND('领用录入（明细）'!D:D=$F$4,'领用录入（明细）'!C:C&gt;=$J$4,'领用录入（明细）'!C:C&lt;=$L$4),ROW(),"-")</f>
        <v>-</v>
      </c>
    </row>
    <row r="25698" customHeight="1" spans="2:2">
      <c r="B25698" s="62" t="str">
        <f>IF(AND('领用录入（明细）'!D:D=$F$4,'领用录入（明细）'!C:C&gt;=$J$4,'领用录入（明细）'!C:C&lt;=$L$4),ROW(),"-")</f>
        <v>-</v>
      </c>
    </row>
    <row r="25699" customHeight="1" spans="2:2">
      <c r="B25699" s="62" t="str">
        <f>IF(AND('领用录入（明细）'!D:D=$F$4,'领用录入（明细）'!C:C&gt;=$J$4,'领用录入（明细）'!C:C&lt;=$L$4),ROW(),"-")</f>
        <v>-</v>
      </c>
    </row>
    <row r="25700" customHeight="1" spans="2:2">
      <c r="B25700" s="62" t="str">
        <f>IF(AND('领用录入（明细）'!D:D=$F$4,'领用录入（明细）'!C:C&gt;=$J$4,'领用录入（明细）'!C:C&lt;=$L$4),ROW(),"-")</f>
        <v>-</v>
      </c>
    </row>
    <row r="25701" customHeight="1" spans="2:2">
      <c r="B25701" s="62" t="str">
        <f>IF(AND('领用录入（明细）'!D:D=$F$4,'领用录入（明细）'!C:C&gt;=$J$4,'领用录入（明细）'!C:C&lt;=$L$4),ROW(),"-")</f>
        <v>-</v>
      </c>
    </row>
    <row r="25702" customHeight="1" spans="2:2">
      <c r="B25702" s="62" t="str">
        <f>IF(AND('领用录入（明细）'!D:D=$F$4,'领用录入（明细）'!C:C&gt;=$J$4,'领用录入（明细）'!C:C&lt;=$L$4),ROW(),"-")</f>
        <v>-</v>
      </c>
    </row>
    <row r="25703" customHeight="1" spans="2:2">
      <c r="B25703" s="62" t="str">
        <f>IF(AND('领用录入（明细）'!D:D=$F$4,'领用录入（明细）'!C:C&gt;=$J$4,'领用录入（明细）'!C:C&lt;=$L$4),ROW(),"-")</f>
        <v>-</v>
      </c>
    </row>
    <row r="25704" customHeight="1" spans="2:2">
      <c r="B25704" s="62" t="str">
        <f>IF(AND('领用录入（明细）'!D:D=$F$4,'领用录入（明细）'!C:C&gt;=$J$4,'领用录入（明细）'!C:C&lt;=$L$4),ROW(),"-")</f>
        <v>-</v>
      </c>
    </row>
    <row r="25705" customHeight="1" spans="2:2">
      <c r="B25705" s="62" t="str">
        <f>IF(AND('领用录入（明细）'!D:D=$F$4,'领用录入（明细）'!C:C&gt;=$J$4,'领用录入（明细）'!C:C&lt;=$L$4),ROW(),"-")</f>
        <v>-</v>
      </c>
    </row>
    <row r="25706" customHeight="1" spans="2:2">
      <c r="B25706" s="62" t="str">
        <f>IF(AND('领用录入（明细）'!D:D=$F$4,'领用录入（明细）'!C:C&gt;=$J$4,'领用录入（明细）'!C:C&lt;=$L$4),ROW(),"-")</f>
        <v>-</v>
      </c>
    </row>
    <row r="25707" customHeight="1" spans="2:2">
      <c r="B25707" s="62" t="str">
        <f>IF(AND('领用录入（明细）'!D:D=$F$4,'领用录入（明细）'!C:C&gt;=$J$4,'领用录入（明细）'!C:C&lt;=$L$4),ROW(),"-")</f>
        <v>-</v>
      </c>
    </row>
    <row r="25708" customHeight="1" spans="2:2">
      <c r="B25708" s="62" t="str">
        <f>IF(AND('领用录入（明细）'!D:D=$F$4,'领用录入（明细）'!C:C&gt;=$J$4,'领用录入（明细）'!C:C&lt;=$L$4),ROW(),"-")</f>
        <v>-</v>
      </c>
    </row>
    <row r="25709" customHeight="1" spans="2:2">
      <c r="B25709" s="62" t="str">
        <f>IF(AND('领用录入（明细）'!D:D=$F$4,'领用录入（明细）'!C:C&gt;=$J$4,'领用录入（明细）'!C:C&lt;=$L$4),ROW(),"-")</f>
        <v>-</v>
      </c>
    </row>
    <row r="25710" customHeight="1" spans="2:2">
      <c r="B25710" s="62" t="str">
        <f>IF(AND('领用录入（明细）'!D:D=$F$4,'领用录入（明细）'!C:C&gt;=$J$4,'领用录入（明细）'!C:C&lt;=$L$4),ROW(),"-")</f>
        <v>-</v>
      </c>
    </row>
    <row r="25711" customHeight="1" spans="2:2">
      <c r="B25711" s="62" t="str">
        <f>IF(AND('领用录入（明细）'!D:D=$F$4,'领用录入（明细）'!C:C&gt;=$J$4,'领用录入（明细）'!C:C&lt;=$L$4),ROW(),"-")</f>
        <v>-</v>
      </c>
    </row>
    <row r="25712" customHeight="1" spans="2:2">
      <c r="B25712" s="62" t="str">
        <f>IF(AND('领用录入（明细）'!D:D=$F$4,'领用录入（明细）'!C:C&gt;=$J$4,'领用录入（明细）'!C:C&lt;=$L$4),ROW(),"-")</f>
        <v>-</v>
      </c>
    </row>
    <row r="25713" customHeight="1" spans="2:2">
      <c r="B25713" s="62" t="str">
        <f>IF(AND('领用录入（明细）'!D:D=$F$4,'领用录入（明细）'!C:C&gt;=$J$4,'领用录入（明细）'!C:C&lt;=$L$4),ROW(),"-")</f>
        <v>-</v>
      </c>
    </row>
    <row r="25714" customHeight="1" spans="2:2">
      <c r="B25714" s="62" t="str">
        <f>IF(AND('领用录入（明细）'!D:D=$F$4,'领用录入（明细）'!C:C&gt;=$J$4,'领用录入（明细）'!C:C&lt;=$L$4),ROW(),"-")</f>
        <v>-</v>
      </c>
    </row>
    <row r="25715" customHeight="1" spans="2:2">
      <c r="B25715" s="62" t="str">
        <f>IF(AND('领用录入（明细）'!D:D=$F$4,'领用录入（明细）'!C:C&gt;=$J$4,'领用录入（明细）'!C:C&lt;=$L$4),ROW(),"-")</f>
        <v>-</v>
      </c>
    </row>
    <row r="25716" customHeight="1" spans="2:2">
      <c r="B25716" s="62" t="str">
        <f>IF(AND('领用录入（明细）'!D:D=$F$4,'领用录入（明细）'!C:C&gt;=$J$4,'领用录入（明细）'!C:C&lt;=$L$4),ROW(),"-")</f>
        <v>-</v>
      </c>
    </row>
    <row r="25717" customHeight="1" spans="2:2">
      <c r="B25717" s="62" t="str">
        <f>IF(AND('领用录入（明细）'!D:D=$F$4,'领用录入（明细）'!C:C&gt;=$J$4,'领用录入（明细）'!C:C&lt;=$L$4),ROW(),"-")</f>
        <v>-</v>
      </c>
    </row>
    <row r="25718" customHeight="1" spans="2:2">
      <c r="B25718" s="62" t="str">
        <f>IF(AND('领用录入（明细）'!D:D=$F$4,'领用录入（明细）'!C:C&gt;=$J$4,'领用录入（明细）'!C:C&lt;=$L$4),ROW(),"-")</f>
        <v>-</v>
      </c>
    </row>
    <row r="25719" customHeight="1" spans="2:2">
      <c r="B25719" s="62" t="str">
        <f>IF(AND('领用录入（明细）'!D:D=$F$4,'领用录入（明细）'!C:C&gt;=$J$4,'领用录入（明细）'!C:C&lt;=$L$4),ROW(),"-")</f>
        <v>-</v>
      </c>
    </row>
    <row r="25720" customHeight="1" spans="2:2">
      <c r="B25720" s="62" t="str">
        <f>IF(AND('领用录入（明细）'!D:D=$F$4,'领用录入（明细）'!C:C&gt;=$J$4,'领用录入（明细）'!C:C&lt;=$L$4),ROW(),"-")</f>
        <v>-</v>
      </c>
    </row>
    <row r="25721" customHeight="1" spans="2:2">
      <c r="B25721" s="62" t="str">
        <f>IF(AND('领用录入（明细）'!D:D=$F$4,'领用录入（明细）'!C:C&gt;=$J$4,'领用录入（明细）'!C:C&lt;=$L$4),ROW(),"-")</f>
        <v>-</v>
      </c>
    </row>
    <row r="25722" customHeight="1" spans="2:2">
      <c r="B25722" s="62" t="str">
        <f>IF(AND('领用录入（明细）'!D:D=$F$4,'领用录入（明细）'!C:C&gt;=$J$4,'领用录入（明细）'!C:C&lt;=$L$4),ROW(),"-")</f>
        <v>-</v>
      </c>
    </row>
    <row r="25723" customHeight="1" spans="2:2">
      <c r="B25723" s="62" t="str">
        <f>IF(AND('领用录入（明细）'!D:D=$F$4,'领用录入（明细）'!C:C&gt;=$J$4,'领用录入（明细）'!C:C&lt;=$L$4),ROW(),"-")</f>
        <v>-</v>
      </c>
    </row>
    <row r="25724" customHeight="1" spans="2:2">
      <c r="B25724" s="62" t="str">
        <f>IF(AND('领用录入（明细）'!D:D=$F$4,'领用录入（明细）'!C:C&gt;=$J$4,'领用录入（明细）'!C:C&lt;=$L$4),ROW(),"-")</f>
        <v>-</v>
      </c>
    </row>
    <row r="25725" customHeight="1" spans="2:2">
      <c r="B25725" s="62" t="str">
        <f>IF(AND('领用录入（明细）'!D:D=$F$4,'领用录入（明细）'!C:C&gt;=$J$4,'领用录入（明细）'!C:C&lt;=$L$4),ROW(),"-")</f>
        <v>-</v>
      </c>
    </row>
    <row r="25726" customHeight="1" spans="2:2">
      <c r="B25726" s="62" t="str">
        <f>IF(AND('领用录入（明细）'!D:D=$F$4,'领用录入（明细）'!C:C&gt;=$J$4,'领用录入（明细）'!C:C&lt;=$L$4),ROW(),"-")</f>
        <v>-</v>
      </c>
    </row>
    <row r="25727" customHeight="1" spans="2:2">
      <c r="B25727" s="62" t="str">
        <f>IF(AND('领用录入（明细）'!D:D=$F$4,'领用录入（明细）'!C:C&gt;=$J$4,'领用录入（明细）'!C:C&lt;=$L$4),ROW(),"-")</f>
        <v>-</v>
      </c>
    </row>
    <row r="25728" customHeight="1" spans="2:2">
      <c r="B25728" s="62" t="str">
        <f>IF(AND('领用录入（明细）'!D:D=$F$4,'领用录入（明细）'!C:C&gt;=$J$4,'领用录入（明细）'!C:C&lt;=$L$4),ROW(),"-")</f>
        <v>-</v>
      </c>
    </row>
    <row r="25729" customHeight="1" spans="2:2">
      <c r="B25729" s="62" t="str">
        <f>IF(AND('领用录入（明细）'!D:D=$F$4,'领用录入（明细）'!C:C&gt;=$J$4,'领用录入（明细）'!C:C&lt;=$L$4),ROW(),"-")</f>
        <v>-</v>
      </c>
    </row>
    <row r="25730" customHeight="1" spans="2:2">
      <c r="B25730" s="62" t="str">
        <f>IF(AND('领用录入（明细）'!D:D=$F$4,'领用录入（明细）'!C:C&gt;=$J$4,'领用录入（明细）'!C:C&lt;=$L$4),ROW(),"-")</f>
        <v>-</v>
      </c>
    </row>
    <row r="25731" customHeight="1" spans="2:2">
      <c r="B25731" s="62" t="str">
        <f>IF(AND('领用录入（明细）'!D:D=$F$4,'领用录入（明细）'!C:C&gt;=$J$4,'领用录入（明细）'!C:C&lt;=$L$4),ROW(),"-")</f>
        <v>-</v>
      </c>
    </row>
    <row r="25732" customHeight="1" spans="2:2">
      <c r="B25732" s="62" t="str">
        <f>IF(AND('领用录入（明细）'!D:D=$F$4,'领用录入（明细）'!C:C&gt;=$J$4,'领用录入（明细）'!C:C&lt;=$L$4),ROW(),"-")</f>
        <v>-</v>
      </c>
    </row>
    <row r="25733" customHeight="1" spans="2:2">
      <c r="B25733" s="62" t="str">
        <f>IF(AND('领用录入（明细）'!D:D=$F$4,'领用录入（明细）'!C:C&gt;=$J$4,'领用录入（明细）'!C:C&lt;=$L$4),ROW(),"-")</f>
        <v>-</v>
      </c>
    </row>
    <row r="25734" customHeight="1" spans="2:2">
      <c r="B25734" s="62" t="str">
        <f>IF(AND('领用录入（明细）'!D:D=$F$4,'领用录入（明细）'!C:C&gt;=$J$4,'领用录入（明细）'!C:C&lt;=$L$4),ROW(),"-")</f>
        <v>-</v>
      </c>
    </row>
    <row r="25735" customHeight="1" spans="2:2">
      <c r="B25735" s="62" t="str">
        <f>IF(AND('领用录入（明细）'!D:D=$F$4,'领用录入（明细）'!C:C&gt;=$J$4,'领用录入（明细）'!C:C&lt;=$L$4),ROW(),"-")</f>
        <v>-</v>
      </c>
    </row>
    <row r="25736" customHeight="1" spans="2:2">
      <c r="B25736" s="62" t="str">
        <f>IF(AND('领用录入（明细）'!D:D=$F$4,'领用录入（明细）'!C:C&gt;=$J$4,'领用录入（明细）'!C:C&lt;=$L$4),ROW(),"-")</f>
        <v>-</v>
      </c>
    </row>
    <row r="25737" customHeight="1" spans="2:2">
      <c r="B25737" s="62" t="str">
        <f>IF(AND('领用录入（明细）'!D:D=$F$4,'领用录入（明细）'!C:C&gt;=$J$4,'领用录入（明细）'!C:C&lt;=$L$4),ROW(),"-")</f>
        <v>-</v>
      </c>
    </row>
    <row r="25738" customHeight="1" spans="2:2">
      <c r="B25738" s="62" t="str">
        <f>IF(AND('领用录入（明细）'!D:D=$F$4,'领用录入（明细）'!C:C&gt;=$J$4,'领用录入（明细）'!C:C&lt;=$L$4),ROW(),"-")</f>
        <v>-</v>
      </c>
    </row>
    <row r="25739" customHeight="1" spans="2:2">
      <c r="B25739" s="62" t="str">
        <f>IF(AND('领用录入（明细）'!D:D=$F$4,'领用录入（明细）'!C:C&gt;=$J$4,'领用录入（明细）'!C:C&lt;=$L$4),ROW(),"-")</f>
        <v>-</v>
      </c>
    </row>
    <row r="25740" customHeight="1" spans="2:2">
      <c r="B25740" s="62" t="str">
        <f>IF(AND('领用录入（明细）'!D:D=$F$4,'领用录入（明细）'!C:C&gt;=$J$4,'领用录入（明细）'!C:C&lt;=$L$4),ROW(),"-")</f>
        <v>-</v>
      </c>
    </row>
    <row r="25741" customHeight="1" spans="2:2">
      <c r="B25741" s="62" t="str">
        <f>IF(AND('领用录入（明细）'!D:D=$F$4,'领用录入（明细）'!C:C&gt;=$J$4,'领用录入（明细）'!C:C&lt;=$L$4),ROW(),"-")</f>
        <v>-</v>
      </c>
    </row>
    <row r="25742" customHeight="1" spans="2:2">
      <c r="B25742" s="62" t="str">
        <f>IF(AND('领用录入（明细）'!D:D=$F$4,'领用录入（明细）'!C:C&gt;=$J$4,'领用录入（明细）'!C:C&lt;=$L$4),ROW(),"-")</f>
        <v>-</v>
      </c>
    </row>
    <row r="25743" customHeight="1" spans="2:2">
      <c r="B25743" s="62" t="str">
        <f>IF(AND('领用录入（明细）'!D:D=$F$4,'领用录入（明细）'!C:C&gt;=$J$4,'领用录入（明细）'!C:C&lt;=$L$4),ROW(),"-")</f>
        <v>-</v>
      </c>
    </row>
    <row r="25744" customHeight="1" spans="2:2">
      <c r="B25744" s="62" t="str">
        <f>IF(AND('领用录入（明细）'!D:D=$F$4,'领用录入（明细）'!C:C&gt;=$J$4,'领用录入（明细）'!C:C&lt;=$L$4),ROW(),"-")</f>
        <v>-</v>
      </c>
    </row>
    <row r="25745" customHeight="1" spans="2:2">
      <c r="B25745" s="62" t="str">
        <f>IF(AND('领用录入（明细）'!D:D=$F$4,'领用录入（明细）'!C:C&gt;=$J$4,'领用录入（明细）'!C:C&lt;=$L$4),ROW(),"-")</f>
        <v>-</v>
      </c>
    </row>
    <row r="25746" customHeight="1" spans="2:2">
      <c r="B25746" s="62" t="str">
        <f>IF(AND('领用录入（明细）'!D:D=$F$4,'领用录入（明细）'!C:C&gt;=$J$4,'领用录入（明细）'!C:C&lt;=$L$4),ROW(),"-")</f>
        <v>-</v>
      </c>
    </row>
    <row r="25747" customHeight="1" spans="2:2">
      <c r="B25747" s="62" t="str">
        <f>IF(AND('领用录入（明细）'!D:D=$F$4,'领用录入（明细）'!C:C&gt;=$J$4,'领用录入（明细）'!C:C&lt;=$L$4),ROW(),"-")</f>
        <v>-</v>
      </c>
    </row>
    <row r="25748" customHeight="1" spans="2:2">
      <c r="B25748" s="62" t="str">
        <f>IF(AND('领用录入（明细）'!D:D=$F$4,'领用录入（明细）'!C:C&gt;=$J$4,'领用录入（明细）'!C:C&lt;=$L$4),ROW(),"-")</f>
        <v>-</v>
      </c>
    </row>
    <row r="25749" customHeight="1" spans="2:2">
      <c r="B25749" s="62" t="str">
        <f>IF(AND('领用录入（明细）'!D:D=$F$4,'领用录入（明细）'!C:C&gt;=$J$4,'领用录入（明细）'!C:C&lt;=$L$4),ROW(),"-")</f>
        <v>-</v>
      </c>
    </row>
    <row r="25750" customHeight="1" spans="2:2">
      <c r="B25750" s="62" t="str">
        <f>IF(AND('领用录入（明细）'!D:D=$F$4,'领用录入（明细）'!C:C&gt;=$J$4,'领用录入（明细）'!C:C&lt;=$L$4),ROW(),"-")</f>
        <v>-</v>
      </c>
    </row>
    <row r="25751" customHeight="1" spans="2:2">
      <c r="B25751" s="62" t="str">
        <f>IF(AND('领用录入（明细）'!D:D=$F$4,'领用录入（明细）'!C:C&gt;=$J$4,'领用录入（明细）'!C:C&lt;=$L$4),ROW(),"-")</f>
        <v>-</v>
      </c>
    </row>
    <row r="25752" customHeight="1" spans="2:2">
      <c r="B25752" s="62" t="str">
        <f>IF(AND('领用录入（明细）'!D:D=$F$4,'领用录入（明细）'!C:C&gt;=$J$4,'领用录入（明细）'!C:C&lt;=$L$4),ROW(),"-")</f>
        <v>-</v>
      </c>
    </row>
    <row r="25753" customHeight="1" spans="2:2">
      <c r="B25753" s="62" t="str">
        <f>IF(AND('领用录入（明细）'!D:D=$F$4,'领用录入（明细）'!C:C&gt;=$J$4,'领用录入（明细）'!C:C&lt;=$L$4),ROW(),"-")</f>
        <v>-</v>
      </c>
    </row>
    <row r="25754" customHeight="1" spans="2:2">
      <c r="B25754" s="62" t="str">
        <f>IF(AND('领用录入（明细）'!D:D=$F$4,'领用录入（明细）'!C:C&gt;=$J$4,'领用录入（明细）'!C:C&lt;=$L$4),ROW(),"-")</f>
        <v>-</v>
      </c>
    </row>
    <row r="25755" customHeight="1" spans="2:2">
      <c r="B25755" s="62" t="str">
        <f>IF(AND('领用录入（明细）'!D:D=$F$4,'领用录入（明细）'!C:C&gt;=$J$4,'领用录入（明细）'!C:C&lt;=$L$4),ROW(),"-")</f>
        <v>-</v>
      </c>
    </row>
    <row r="25756" customHeight="1" spans="2:2">
      <c r="B25756" s="62" t="str">
        <f>IF(AND('领用录入（明细）'!D:D=$F$4,'领用录入（明细）'!C:C&gt;=$J$4,'领用录入（明细）'!C:C&lt;=$L$4),ROW(),"-")</f>
        <v>-</v>
      </c>
    </row>
    <row r="25757" customHeight="1" spans="2:2">
      <c r="B25757" s="62" t="str">
        <f>IF(AND('领用录入（明细）'!D:D=$F$4,'领用录入（明细）'!C:C&gt;=$J$4,'领用录入（明细）'!C:C&lt;=$L$4),ROW(),"-")</f>
        <v>-</v>
      </c>
    </row>
    <row r="25758" customHeight="1" spans="2:2">
      <c r="B25758" s="62" t="str">
        <f>IF(AND('领用录入（明细）'!D:D=$F$4,'领用录入（明细）'!C:C&gt;=$J$4,'领用录入（明细）'!C:C&lt;=$L$4),ROW(),"-")</f>
        <v>-</v>
      </c>
    </row>
    <row r="25759" customHeight="1" spans="2:2">
      <c r="B25759" s="62" t="str">
        <f>IF(AND('领用录入（明细）'!D:D=$F$4,'领用录入（明细）'!C:C&gt;=$J$4,'领用录入（明细）'!C:C&lt;=$L$4),ROW(),"-")</f>
        <v>-</v>
      </c>
    </row>
    <row r="25760" customHeight="1" spans="2:2">
      <c r="B25760" s="62" t="str">
        <f>IF(AND('领用录入（明细）'!D:D=$F$4,'领用录入（明细）'!C:C&gt;=$J$4,'领用录入（明细）'!C:C&lt;=$L$4),ROW(),"-")</f>
        <v>-</v>
      </c>
    </row>
    <row r="25761" customHeight="1" spans="2:2">
      <c r="B25761" s="62" t="str">
        <f>IF(AND('领用录入（明细）'!D:D=$F$4,'领用录入（明细）'!C:C&gt;=$J$4,'领用录入（明细）'!C:C&lt;=$L$4),ROW(),"-")</f>
        <v>-</v>
      </c>
    </row>
    <row r="25762" customHeight="1" spans="2:2">
      <c r="B25762" s="62" t="str">
        <f>IF(AND('领用录入（明细）'!D:D=$F$4,'领用录入（明细）'!C:C&gt;=$J$4,'领用录入（明细）'!C:C&lt;=$L$4),ROW(),"-")</f>
        <v>-</v>
      </c>
    </row>
    <row r="25763" customHeight="1" spans="2:2">
      <c r="B25763" s="62" t="str">
        <f>IF(AND('领用录入（明细）'!D:D=$F$4,'领用录入（明细）'!C:C&gt;=$J$4,'领用录入（明细）'!C:C&lt;=$L$4),ROW(),"-")</f>
        <v>-</v>
      </c>
    </row>
    <row r="25764" customHeight="1" spans="2:2">
      <c r="B25764" s="62" t="str">
        <f>IF(AND('领用录入（明细）'!D:D=$F$4,'领用录入（明细）'!C:C&gt;=$J$4,'领用录入（明细）'!C:C&lt;=$L$4),ROW(),"-")</f>
        <v>-</v>
      </c>
    </row>
    <row r="25765" customHeight="1" spans="2:2">
      <c r="B25765" s="62" t="str">
        <f>IF(AND('领用录入（明细）'!D:D=$F$4,'领用录入（明细）'!C:C&gt;=$J$4,'领用录入（明细）'!C:C&lt;=$L$4),ROW(),"-")</f>
        <v>-</v>
      </c>
    </row>
    <row r="25766" customHeight="1" spans="2:2">
      <c r="B25766" s="62" t="str">
        <f>IF(AND('领用录入（明细）'!D:D=$F$4,'领用录入（明细）'!C:C&gt;=$J$4,'领用录入（明细）'!C:C&lt;=$L$4),ROW(),"-")</f>
        <v>-</v>
      </c>
    </row>
    <row r="25767" customHeight="1" spans="2:2">
      <c r="B25767" s="62" t="str">
        <f>IF(AND('领用录入（明细）'!D:D=$F$4,'领用录入（明细）'!C:C&gt;=$J$4,'领用录入（明细）'!C:C&lt;=$L$4),ROW(),"-")</f>
        <v>-</v>
      </c>
    </row>
    <row r="25768" customHeight="1" spans="2:2">
      <c r="B25768" s="62" t="str">
        <f>IF(AND('领用录入（明细）'!D:D=$F$4,'领用录入（明细）'!C:C&gt;=$J$4,'领用录入（明细）'!C:C&lt;=$L$4),ROW(),"-")</f>
        <v>-</v>
      </c>
    </row>
    <row r="25769" customHeight="1" spans="2:2">
      <c r="B25769" s="62" t="str">
        <f>IF(AND('领用录入（明细）'!D:D=$F$4,'领用录入（明细）'!C:C&gt;=$J$4,'领用录入（明细）'!C:C&lt;=$L$4),ROW(),"-")</f>
        <v>-</v>
      </c>
    </row>
    <row r="25770" customHeight="1" spans="2:2">
      <c r="B25770" s="62" t="str">
        <f>IF(AND('领用录入（明细）'!D:D=$F$4,'领用录入（明细）'!C:C&gt;=$J$4,'领用录入（明细）'!C:C&lt;=$L$4),ROW(),"-")</f>
        <v>-</v>
      </c>
    </row>
    <row r="25771" customHeight="1" spans="2:2">
      <c r="B25771" s="62" t="str">
        <f>IF(AND('领用录入（明细）'!D:D=$F$4,'领用录入（明细）'!C:C&gt;=$J$4,'领用录入（明细）'!C:C&lt;=$L$4),ROW(),"-")</f>
        <v>-</v>
      </c>
    </row>
    <row r="25772" customHeight="1" spans="2:2">
      <c r="B25772" s="62" t="str">
        <f>IF(AND('领用录入（明细）'!D:D=$F$4,'领用录入（明细）'!C:C&gt;=$J$4,'领用录入（明细）'!C:C&lt;=$L$4),ROW(),"-")</f>
        <v>-</v>
      </c>
    </row>
    <row r="25773" customHeight="1" spans="2:2">
      <c r="B25773" s="62" t="str">
        <f>IF(AND('领用录入（明细）'!D:D=$F$4,'领用录入（明细）'!C:C&gt;=$J$4,'领用录入（明细）'!C:C&lt;=$L$4),ROW(),"-")</f>
        <v>-</v>
      </c>
    </row>
    <row r="25774" customHeight="1" spans="2:2">
      <c r="B25774" s="62" t="str">
        <f>IF(AND('领用录入（明细）'!D:D=$F$4,'领用录入（明细）'!C:C&gt;=$J$4,'领用录入（明细）'!C:C&lt;=$L$4),ROW(),"-")</f>
        <v>-</v>
      </c>
    </row>
    <row r="25775" customHeight="1" spans="2:2">
      <c r="B25775" s="62" t="str">
        <f>IF(AND('领用录入（明细）'!D:D=$F$4,'领用录入（明细）'!C:C&gt;=$J$4,'领用录入（明细）'!C:C&lt;=$L$4),ROW(),"-")</f>
        <v>-</v>
      </c>
    </row>
    <row r="25776" customHeight="1" spans="2:2">
      <c r="B25776" s="62" t="str">
        <f>IF(AND('领用录入（明细）'!D:D=$F$4,'领用录入（明细）'!C:C&gt;=$J$4,'领用录入（明细）'!C:C&lt;=$L$4),ROW(),"-")</f>
        <v>-</v>
      </c>
    </row>
    <row r="25777" customHeight="1" spans="2:2">
      <c r="B25777" s="62" t="str">
        <f>IF(AND('领用录入（明细）'!D:D=$F$4,'领用录入（明细）'!C:C&gt;=$J$4,'领用录入（明细）'!C:C&lt;=$L$4),ROW(),"-")</f>
        <v>-</v>
      </c>
    </row>
    <row r="25778" customHeight="1" spans="2:2">
      <c r="B25778" s="62" t="str">
        <f>IF(AND('领用录入（明细）'!D:D=$F$4,'领用录入（明细）'!C:C&gt;=$J$4,'领用录入（明细）'!C:C&lt;=$L$4),ROW(),"-")</f>
        <v>-</v>
      </c>
    </row>
    <row r="25779" customHeight="1" spans="2:2">
      <c r="B25779" s="62" t="str">
        <f>IF(AND('领用录入（明细）'!D:D=$F$4,'领用录入（明细）'!C:C&gt;=$J$4,'领用录入（明细）'!C:C&lt;=$L$4),ROW(),"-")</f>
        <v>-</v>
      </c>
    </row>
    <row r="25780" customHeight="1" spans="2:2">
      <c r="B25780" s="62" t="str">
        <f>IF(AND('领用录入（明细）'!D:D=$F$4,'领用录入（明细）'!C:C&gt;=$J$4,'领用录入（明细）'!C:C&lt;=$L$4),ROW(),"-")</f>
        <v>-</v>
      </c>
    </row>
    <row r="25781" customHeight="1" spans="2:2">
      <c r="B25781" s="62" t="str">
        <f>IF(AND('领用录入（明细）'!D:D=$F$4,'领用录入（明细）'!C:C&gt;=$J$4,'领用录入（明细）'!C:C&lt;=$L$4),ROW(),"-")</f>
        <v>-</v>
      </c>
    </row>
    <row r="25782" customHeight="1" spans="2:2">
      <c r="B25782" s="62" t="str">
        <f>IF(AND('领用录入（明细）'!D:D=$F$4,'领用录入（明细）'!C:C&gt;=$J$4,'领用录入（明细）'!C:C&lt;=$L$4),ROW(),"-")</f>
        <v>-</v>
      </c>
    </row>
    <row r="25783" customHeight="1" spans="2:2">
      <c r="B25783" s="62" t="str">
        <f>IF(AND('领用录入（明细）'!D:D=$F$4,'领用录入（明细）'!C:C&gt;=$J$4,'领用录入（明细）'!C:C&lt;=$L$4),ROW(),"-")</f>
        <v>-</v>
      </c>
    </row>
    <row r="25784" customHeight="1" spans="2:2">
      <c r="B25784" s="62" t="str">
        <f>IF(AND('领用录入（明细）'!D:D=$F$4,'领用录入（明细）'!C:C&gt;=$J$4,'领用录入（明细）'!C:C&lt;=$L$4),ROW(),"-")</f>
        <v>-</v>
      </c>
    </row>
    <row r="25785" customHeight="1" spans="2:2">
      <c r="B25785" s="62" t="str">
        <f>IF(AND('领用录入（明细）'!D:D=$F$4,'领用录入（明细）'!C:C&gt;=$J$4,'领用录入（明细）'!C:C&lt;=$L$4),ROW(),"-")</f>
        <v>-</v>
      </c>
    </row>
    <row r="25786" customHeight="1" spans="2:2">
      <c r="B25786" s="62" t="str">
        <f>IF(AND('领用录入（明细）'!D:D=$F$4,'领用录入（明细）'!C:C&gt;=$J$4,'领用录入（明细）'!C:C&lt;=$L$4),ROW(),"-")</f>
        <v>-</v>
      </c>
    </row>
    <row r="25787" customHeight="1" spans="2:2">
      <c r="B25787" s="62" t="str">
        <f>IF(AND('领用录入（明细）'!D:D=$F$4,'领用录入（明细）'!C:C&gt;=$J$4,'领用录入（明细）'!C:C&lt;=$L$4),ROW(),"-")</f>
        <v>-</v>
      </c>
    </row>
    <row r="25788" customHeight="1" spans="2:2">
      <c r="B25788" s="62" t="str">
        <f>IF(AND('领用录入（明细）'!D:D=$F$4,'领用录入（明细）'!C:C&gt;=$J$4,'领用录入（明细）'!C:C&lt;=$L$4),ROW(),"-")</f>
        <v>-</v>
      </c>
    </row>
    <row r="25789" customHeight="1" spans="2:2">
      <c r="B25789" s="62" t="str">
        <f>IF(AND('领用录入（明细）'!D:D=$F$4,'领用录入（明细）'!C:C&gt;=$J$4,'领用录入（明细）'!C:C&lt;=$L$4),ROW(),"-")</f>
        <v>-</v>
      </c>
    </row>
    <row r="25790" customHeight="1" spans="2:2">
      <c r="B25790" s="62" t="str">
        <f>IF(AND('领用录入（明细）'!D:D=$F$4,'领用录入（明细）'!C:C&gt;=$J$4,'领用录入（明细）'!C:C&lt;=$L$4),ROW(),"-")</f>
        <v>-</v>
      </c>
    </row>
    <row r="25791" customHeight="1" spans="2:2">
      <c r="B25791" s="62" t="str">
        <f>IF(AND('领用录入（明细）'!D:D=$F$4,'领用录入（明细）'!C:C&gt;=$J$4,'领用录入（明细）'!C:C&lt;=$L$4),ROW(),"-")</f>
        <v>-</v>
      </c>
    </row>
    <row r="25792" customHeight="1" spans="2:2">
      <c r="B25792" s="62" t="str">
        <f>IF(AND('领用录入（明细）'!D:D=$F$4,'领用录入（明细）'!C:C&gt;=$J$4,'领用录入（明细）'!C:C&lt;=$L$4),ROW(),"-")</f>
        <v>-</v>
      </c>
    </row>
    <row r="25793" customHeight="1" spans="2:2">
      <c r="B25793" s="62" t="str">
        <f>IF(AND('领用录入（明细）'!D:D=$F$4,'领用录入（明细）'!C:C&gt;=$J$4,'领用录入（明细）'!C:C&lt;=$L$4),ROW(),"-")</f>
        <v>-</v>
      </c>
    </row>
    <row r="25794" customHeight="1" spans="2:2">
      <c r="B25794" s="62" t="str">
        <f>IF(AND('领用录入（明细）'!D:D=$F$4,'领用录入（明细）'!C:C&gt;=$J$4,'领用录入（明细）'!C:C&lt;=$L$4),ROW(),"-")</f>
        <v>-</v>
      </c>
    </row>
    <row r="25795" customHeight="1" spans="2:2">
      <c r="B25795" s="62" t="str">
        <f>IF(AND('领用录入（明细）'!D:D=$F$4,'领用录入（明细）'!C:C&gt;=$J$4,'领用录入（明细）'!C:C&lt;=$L$4),ROW(),"-")</f>
        <v>-</v>
      </c>
    </row>
    <row r="25796" customHeight="1" spans="2:2">
      <c r="B25796" s="62" t="str">
        <f>IF(AND('领用录入（明细）'!D:D=$F$4,'领用录入（明细）'!C:C&gt;=$J$4,'领用录入（明细）'!C:C&lt;=$L$4),ROW(),"-")</f>
        <v>-</v>
      </c>
    </row>
    <row r="25797" customHeight="1" spans="2:2">
      <c r="B25797" s="62" t="str">
        <f>IF(AND('领用录入（明细）'!D:D=$F$4,'领用录入（明细）'!C:C&gt;=$J$4,'领用录入（明细）'!C:C&lt;=$L$4),ROW(),"-")</f>
        <v>-</v>
      </c>
    </row>
    <row r="25798" customHeight="1" spans="2:2">
      <c r="B25798" s="62" t="str">
        <f>IF(AND('领用录入（明细）'!D:D=$F$4,'领用录入（明细）'!C:C&gt;=$J$4,'领用录入（明细）'!C:C&lt;=$L$4),ROW(),"-")</f>
        <v>-</v>
      </c>
    </row>
    <row r="25799" customHeight="1" spans="2:2">
      <c r="B25799" s="62" t="str">
        <f>IF(AND('领用录入（明细）'!D:D=$F$4,'领用录入（明细）'!C:C&gt;=$J$4,'领用录入（明细）'!C:C&lt;=$L$4),ROW(),"-")</f>
        <v>-</v>
      </c>
    </row>
    <row r="25800" customHeight="1" spans="2:2">
      <c r="B25800" s="62" t="str">
        <f>IF(AND('领用录入（明细）'!D:D=$F$4,'领用录入（明细）'!C:C&gt;=$J$4,'领用录入（明细）'!C:C&lt;=$L$4),ROW(),"-")</f>
        <v>-</v>
      </c>
    </row>
    <row r="25801" customHeight="1" spans="2:2">
      <c r="B25801" s="62" t="str">
        <f>IF(AND('领用录入（明细）'!D:D=$F$4,'领用录入（明细）'!C:C&gt;=$J$4,'领用录入（明细）'!C:C&lt;=$L$4),ROW(),"-")</f>
        <v>-</v>
      </c>
    </row>
    <row r="25802" customHeight="1" spans="2:2">
      <c r="B25802" s="62" t="str">
        <f>IF(AND('领用录入（明细）'!D:D=$F$4,'领用录入（明细）'!C:C&gt;=$J$4,'领用录入（明细）'!C:C&lt;=$L$4),ROW(),"-")</f>
        <v>-</v>
      </c>
    </row>
    <row r="25803" customHeight="1" spans="2:2">
      <c r="B25803" s="62" t="str">
        <f>IF(AND('领用录入（明细）'!D:D=$F$4,'领用录入（明细）'!C:C&gt;=$J$4,'领用录入（明细）'!C:C&lt;=$L$4),ROW(),"-")</f>
        <v>-</v>
      </c>
    </row>
    <row r="25804" customHeight="1" spans="2:2">
      <c r="B25804" s="62" t="str">
        <f>IF(AND('领用录入（明细）'!D:D=$F$4,'领用录入（明细）'!C:C&gt;=$J$4,'领用录入（明细）'!C:C&lt;=$L$4),ROW(),"-")</f>
        <v>-</v>
      </c>
    </row>
    <row r="25805" customHeight="1" spans="2:2">
      <c r="B25805" s="62" t="str">
        <f>IF(AND('领用录入（明细）'!D:D=$F$4,'领用录入（明细）'!C:C&gt;=$J$4,'领用录入（明细）'!C:C&lt;=$L$4),ROW(),"-")</f>
        <v>-</v>
      </c>
    </row>
    <row r="25806" customHeight="1" spans="2:2">
      <c r="B25806" s="62" t="str">
        <f>IF(AND('领用录入（明细）'!D:D=$F$4,'领用录入（明细）'!C:C&gt;=$J$4,'领用录入（明细）'!C:C&lt;=$L$4),ROW(),"-")</f>
        <v>-</v>
      </c>
    </row>
    <row r="25807" customHeight="1" spans="2:2">
      <c r="B25807" s="62" t="str">
        <f>IF(AND('领用录入（明细）'!D:D=$F$4,'领用录入（明细）'!C:C&gt;=$J$4,'领用录入（明细）'!C:C&lt;=$L$4),ROW(),"-")</f>
        <v>-</v>
      </c>
    </row>
    <row r="25808" customHeight="1" spans="2:2">
      <c r="B25808" s="62" t="str">
        <f>IF(AND('领用录入（明细）'!D:D=$F$4,'领用录入（明细）'!C:C&gt;=$J$4,'领用录入（明细）'!C:C&lt;=$L$4),ROW(),"-")</f>
        <v>-</v>
      </c>
    </row>
    <row r="25809" customHeight="1" spans="2:2">
      <c r="B25809" s="62" t="str">
        <f>IF(AND('领用录入（明细）'!D:D=$F$4,'领用录入（明细）'!C:C&gt;=$J$4,'领用录入（明细）'!C:C&lt;=$L$4),ROW(),"-")</f>
        <v>-</v>
      </c>
    </row>
    <row r="25810" customHeight="1" spans="2:2">
      <c r="B25810" s="62" t="str">
        <f>IF(AND('领用录入（明细）'!D:D=$F$4,'领用录入（明细）'!C:C&gt;=$J$4,'领用录入（明细）'!C:C&lt;=$L$4),ROW(),"-")</f>
        <v>-</v>
      </c>
    </row>
    <row r="25811" customHeight="1" spans="2:2">
      <c r="B25811" s="62" t="str">
        <f>IF(AND('领用录入（明细）'!D:D=$F$4,'领用录入（明细）'!C:C&gt;=$J$4,'领用录入（明细）'!C:C&lt;=$L$4),ROW(),"-")</f>
        <v>-</v>
      </c>
    </row>
    <row r="25812" customHeight="1" spans="2:2">
      <c r="B25812" s="62" t="str">
        <f>IF(AND('领用录入（明细）'!D:D=$F$4,'领用录入（明细）'!C:C&gt;=$J$4,'领用录入（明细）'!C:C&lt;=$L$4),ROW(),"-")</f>
        <v>-</v>
      </c>
    </row>
    <row r="25813" customHeight="1" spans="2:2">
      <c r="B25813" s="62" t="str">
        <f>IF(AND('领用录入（明细）'!D:D=$F$4,'领用录入（明细）'!C:C&gt;=$J$4,'领用录入（明细）'!C:C&lt;=$L$4),ROW(),"-")</f>
        <v>-</v>
      </c>
    </row>
    <row r="25814" customHeight="1" spans="2:2">
      <c r="B25814" s="62" t="str">
        <f>IF(AND('领用录入（明细）'!D:D=$F$4,'领用录入（明细）'!C:C&gt;=$J$4,'领用录入（明细）'!C:C&lt;=$L$4),ROW(),"-")</f>
        <v>-</v>
      </c>
    </row>
    <row r="25815" customHeight="1" spans="2:2">
      <c r="B25815" s="62" t="str">
        <f>IF(AND('领用录入（明细）'!D:D=$F$4,'领用录入（明细）'!C:C&gt;=$J$4,'领用录入（明细）'!C:C&lt;=$L$4),ROW(),"-")</f>
        <v>-</v>
      </c>
    </row>
    <row r="25816" customHeight="1" spans="2:2">
      <c r="B25816" s="62" t="str">
        <f>IF(AND('领用录入（明细）'!D:D=$F$4,'领用录入（明细）'!C:C&gt;=$J$4,'领用录入（明细）'!C:C&lt;=$L$4),ROW(),"-")</f>
        <v>-</v>
      </c>
    </row>
    <row r="25817" customHeight="1" spans="2:2">
      <c r="B25817" s="62" t="str">
        <f>IF(AND('领用录入（明细）'!D:D=$F$4,'领用录入（明细）'!C:C&gt;=$J$4,'领用录入（明细）'!C:C&lt;=$L$4),ROW(),"-")</f>
        <v>-</v>
      </c>
    </row>
    <row r="25818" customHeight="1" spans="2:2">
      <c r="B25818" s="62" t="str">
        <f>IF(AND('领用录入（明细）'!D:D=$F$4,'领用录入（明细）'!C:C&gt;=$J$4,'领用录入（明细）'!C:C&lt;=$L$4),ROW(),"-")</f>
        <v>-</v>
      </c>
    </row>
    <row r="25819" customHeight="1" spans="2:2">
      <c r="B25819" s="62" t="str">
        <f>IF(AND('领用录入（明细）'!D:D=$F$4,'领用录入（明细）'!C:C&gt;=$J$4,'领用录入（明细）'!C:C&lt;=$L$4),ROW(),"-")</f>
        <v>-</v>
      </c>
    </row>
    <row r="25820" customHeight="1" spans="2:2">
      <c r="B25820" s="62" t="str">
        <f>IF(AND('领用录入（明细）'!D:D=$F$4,'领用录入（明细）'!C:C&gt;=$J$4,'领用录入（明细）'!C:C&lt;=$L$4),ROW(),"-")</f>
        <v>-</v>
      </c>
    </row>
    <row r="25821" customHeight="1" spans="2:2">
      <c r="B25821" s="62" t="str">
        <f>IF(AND('领用录入（明细）'!D:D=$F$4,'领用录入（明细）'!C:C&gt;=$J$4,'领用录入（明细）'!C:C&lt;=$L$4),ROW(),"-")</f>
        <v>-</v>
      </c>
    </row>
    <row r="25822" customHeight="1" spans="2:2">
      <c r="B25822" s="62" t="str">
        <f>IF(AND('领用录入（明细）'!D:D=$F$4,'领用录入（明细）'!C:C&gt;=$J$4,'领用录入（明细）'!C:C&lt;=$L$4),ROW(),"-")</f>
        <v>-</v>
      </c>
    </row>
    <row r="25823" customHeight="1" spans="2:2">
      <c r="B25823" s="62" t="str">
        <f>IF(AND('领用录入（明细）'!D:D=$F$4,'领用录入（明细）'!C:C&gt;=$J$4,'领用录入（明细）'!C:C&lt;=$L$4),ROW(),"-")</f>
        <v>-</v>
      </c>
    </row>
    <row r="25824" customHeight="1" spans="2:2">
      <c r="B25824" s="62" t="str">
        <f>IF(AND('领用录入（明细）'!D:D=$F$4,'领用录入（明细）'!C:C&gt;=$J$4,'领用录入（明细）'!C:C&lt;=$L$4),ROW(),"-")</f>
        <v>-</v>
      </c>
    </row>
    <row r="25825" customHeight="1" spans="2:2">
      <c r="B25825" s="62" t="str">
        <f>IF(AND('领用录入（明细）'!D:D=$F$4,'领用录入（明细）'!C:C&gt;=$J$4,'领用录入（明细）'!C:C&lt;=$L$4),ROW(),"-")</f>
        <v>-</v>
      </c>
    </row>
    <row r="25826" customHeight="1" spans="2:2">
      <c r="B25826" s="62" t="str">
        <f>IF(AND('领用录入（明细）'!D:D=$F$4,'领用录入（明细）'!C:C&gt;=$J$4,'领用录入（明细）'!C:C&lt;=$L$4),ROW(),"-")</f>
        <v>-</v>
      </c>
    </row>
    <row r="25827" customHeight="1" spans="2:2">
      <c r="B25827" s="62" t="str">
        <f>IF(AND('领用录入（明细）'!D:D=$F$4,'领用录入（明细）'!C:C&gt;=$J$4,'领用录入（明细）'!C:C&lt;=$L$4),ROW(),"-")</f>
        <v>-</v>
      </c>
    </row>
    <row r="25828" customHeight="1" spans="2:2">
      <c r="B25828" s="62" t="str">
        <f>IF(AND('领用录入（明细）'!D:D=$F$4,'领用录入（明细）'!C:C&gt;=$J$4,'领用录入（明细）'!C:C&lt;=$L$4),ROW(),"-")</f>
        <v>-</v>
      </c>
    </row>
    <row r="25829" customHeight="1" spans="2:2">
      <c r="B25829" s="62" t="str">
        <f>IF(AND('领用录入（明细）'!D:D=$F$4,'领用录入（明细）'!C:C&gt;=$J$4,'领用录入（明细）'!C:C&lt;=$L$4),ROW(),"-")</f>
        <v>-</v>
      </c>
    </row>
    <row r="25830" customHeight="1" spans="2:2">
      <c r="B25830" s="62" t="str">
        <f>IF(AND('领用录入（明细）'!D:D=$F$4,'领用录入（明细）'!C:C&gt;=$J$4,'领用录入（明细）'!C:C&lt;=$L$4),ROW(),"-")</f>
        <v>-</v>
      </c>
    </row>
    <row r="25831" customHeight="1" spans="2:2">
      <c r="B25831" s="62" t="str">
        <f>IF(AND('领用录入（明细）'!D:D=$F$4,'领用录入（明细）'!C:C&gt;=$J$4,'领用录入（明细）'!C:C&lt;=$L$4),ROW(),"-")</f>
        <v>-</v>
      </c>
    </row>
    <row r="25832" customHeight="1" spans="2:2">
      <c r="B25832" s="62" t="str">
        <f>IF(AND('领用录入（明细）'!D:D=$F$4,'领用录入（明细）'!C:C&gt;=$J$4,'领用录入（明细）'!C:C&lt;=$L$4),ROW(),"-")</f>
        <v>-</v>
      </c>
    </row>
    <row r="25833" customHeight="1" spans="2:2">
      <c r="B25833" s="62" t="str">
        <f>IF(AND('领用录入（明细）'!D:D=$F$4,'领用录入（明细）'!C:C&gt;=$J$4,'领用录入（明细）'!C:C&lt;=$L$4),ROW(),"-")</f>
        <v>-</v>
      </c>
    </row>
    <row r="25834" customHeight="1" spans="2:2">
      <c r="B25834" s="62" t="str">
        <f>IF(AND('领用录入（明细）'!D:D=$F$4,'领用录入（明细）'!C:C&gt;=$J$4,'领用录入（明细）'!C:C&lt;=$L$4),ROW(),"-")</f>
        <v>-</v>
      </c>
    </row>
    <row r="25835" customHeight="1" spans="2:2">
      <c r="B25835" s="62" t="str">
        <f>IF(AND('领用录入（明细）'!D:D=$F$4,'领用录入（明细）'!C:C&gt;=$J$4,'领用录入（明细）'!C:C&lt;=$L$4),ROW(),"-")</f>
        <v>-</v>
      </c>
    </row>
    <row r="25836" customHeight="1" spans="2:2">
      <c r="B25836" s="62" t="str">
        <f>IF(AND('领用录入（明细）'!D:D=$F$4,'领用录入（明细）'!C:C&gt;=$J$4,'领用录入（明细）'!C:C&lt;=$L$4),ROW(),"-")</f>
        <v>-</v>
      </c>
    </row>
    <row r="25837" customHeight="1" spans="2:2">
      <c r="B25837" s="62" t="str">
        <f>IF(AND('领用录入（明细）'!D:D=$F$4,'领用录入（明细）'!C:C&gt;=$J$4,'领用录入（明细）'!C:C&lt;=$L$4),ROW(),"-")</f>
        <v>-</v>
      </c>
    </row>
    <row r="25838" customHeight="1" spans="2:2">
      <c r="B25838" s="62" t="str">
        <f>IF(AND('领用录入（明细）'!D:D=$F$4,'领用录入（明细）'!C:C&gt;=$J$4,'领用录入（明细）'!C:C&lt;=$L$4),ROW(),"-")</f>
        <v>-</v>
      </c>
    </row>
    <row r="25839" customHeight="1" spans="2:2">
      <c r="B25839" s="62" t="str">
        <f>IF(AND('领用录入（明细）'!D:D=$F$4,'领用录入（明细）'!C:C&gt;=$J$4,'领用录入（明细）'!C:C&lt;=$L$4),ROW(),"-")</f>
        <v>-</v>
      </c>
    </row>
    <row r="25840" customHeight="1" spans="2:2">
      <c r="B25840" s="62" t="str">
        <f>IF(AND('领用录入（明细）'!D:D=$F$4,'领用录入（明细）'!C:C&gt;=$J$4,'领用录入（明细）'!C:C&lt;=$L$4),ROW(),"-")</f>
        <v>-</v>
      </c>
    </row>
    <row r="25841" customHeight="1" spans="2:2">
      <c r="B25841" s="62" t="str">
        <f>IF(AND('领用录入（明细）'!D:D=$F$4,'领用录入（明细）'!C:C&gt;=$J$4,'领用录入（明细）'!C:C&lt;=$L$4),ROW(),"-")</f>
        <v>-</v>
      </c>
    </row>
    <row r="25842" customHeight="1" spans="2:2">
      <c r="B25842" s="62" t="str">
        <f>IF(AND('领用录入（明细）'!D:D=$F$4,'领用录入（明细）'!C:C&gt;=$J$4,'领用录入（明细）'!C:C&lt;=$L$4),ROW(),"-")</f>
        <v>-</v>
      </c>
    </row>
    <row r="25843" customHeight="1" spans="2:2">
      <c r="B25843" s="62" t="str">
        <f>IF(AND('领用录入（明细）'!D:D=$F$4,'领用录入（明细）'!C:C&gt;=$J$4,'领用录入（明细）'!C:C&lt;=$L$4),ROW(),"-")</f>
        <v>-</v>
      </c>
    </row>
    <row r="25844" customHeight="1" spans="2:2">
      <c r="B25844" s="62" t="str">
        <f>IF(AND('领用录入（明细）'!D:D=$F$4,'领用录入（明细）'!C:C&gt;=$J$4,'领用录入（明细）'!C:C&lt;=$L$4),ROW(),"-")</f>
        <v>-</v>
      </c>
    </row>
    <row r="25845" customHeight="1" spans="2:2">
      <c r="B25845" s="62" t="str">
        <f>IF(AND('领用录入（明细）'!D:D=$F$4,'领用录入（明细）'!C:C&gt;=$J$4,'领用录入（明细）'!C:C&lt;=$L$4),ROW(),"-")</f>
        <v>-</v>
      </c>
    </row>
    <row r="25846" customHeight="1" spans="2:2">
      <c r="B25846" s="62" t="str">
        <f>IF(AND('领用录入（明细）'!D:D=$F$4,'领用录入（明细）'!C:C&gt;=$J$4,'领用录入（明细）'!C:C&lt;=$L$4),ROW(),"-")</f>
        <v>-</v>
      </c>
    </row>
    <row r="25847" customHeight="1" spans="2:2">
      <c r="B25847" s="62" t="str">
        <f>IF(AND('领用录入（明细）'!D:D=$F$4,'领用录入（明细）'!C:C&gt;=$J$4,'领用录入（明细）'!C:C&lt;=$L$4),ROW(),"-")</f>
        <v>-</v>
      </c>
    </row>
    <row r="25848" customHeight="1" spans="2:2">
      <c r="B25848" s="62" t="str">
        <f>IF(AND('领用录入（明细）'!D:D=$F$4,'领用录入（明细）'!C:C&gt;=$J$4,'领用录入（明细）'!C:C&lt;=$L$4),ROW(),"-")</f>
        <v>-</v>
      </c>
    </row>
    <row r="25849" customHeight="1" spans="2:2">
      <c r="B25849" s="62" t="str">
        <f>IF(AND('领用录入（明细）'!D:D=$F$4,'领用录入（明细）'!C:C&gt;=$J$4,'领用录入（明细）'!C:C&lt;=$L$4),ROW(),"-")</f>
        <v>-</v>
      </c>
    </row>
    <row r="25850" customHeight="1" spans="2:2">
      <c r="B25850" s="62" t="str">
        <f>IF(AND('领用录入（明细）'!D:D=$F$4,'领用录入（明细）'!C:C&gt;=$J$4,'领用录入（明细）'!C:C&lt;=$L$4),ROW(),"-")</f>
        <v>-</v>
      </c>
    </row>
    <row r="25851" customHeight="1" spans="2:2">
      <c r="B25851" s="62" t="str">
        <f>IF(AND('领用录入（明细）'!D:D=$F$4,'领用录入（明细）'!C:C&gt;=$J$4,'领用录入（明细）'!C:C&lt;=$L$4),ROW(),"-")</f>
        <v>-</v>
      </c>
    </row>
    <row r="25852" customHeight="1" spans="2:2">
      <c r="B25852" s="62" t="str">
        <f>IF(AND('领用录入（明细）'!D:D=$F$4,'领用录入（明细）'!C:C&gt;=$J$4,'领用录入（明细）'!C:C&lt;=$L$4),ROW(),"-")</f>
        <v>-</v>
      </c>
    </row>
    <row r="25853" customHeight="1" spans="2:2">
      <c r="B25853" s="62" t="str">
        <f>IF(AND('领用录入（明细）'!D:D=$F$4,'领用录入（明细）'!C:C&gt;=$J$4,'领用录入（明细）'!C:C&lt;=$L$4),ROW(),"-")</f>
        <v>-</v>
      </c>
    </row>
    <row r="25854" customHeight="1" spans="2:2">
      <c r="B25854" s="62" t="str">
        <f>IF(AND('领用录入（明细）'!D:D=$F$4,'领用录入（明细）'!C:C&gt;=$J$4,'领用录入（明细）'!C:C&lt;=$L$4),ROW(),"-")</f>
        <v>-</v>
      </c>
    </row>
    <row r="25855" customHeight="1" spans="2:2">
      <c r="B25855" s="62" t="str">
        <f>IF(AND('领用录入（明细）'!D:D=$F$4,'领用录入（明细）'!C:C&gt;=$J$4,'领用录入（明细）'!C:C&lt;=$L$4),ROW(),"-")</f>
        <v>-</v>
      </c>
    </row>
    <row r="25856" customHeight="1" spans="2:2">
      <c r="B25856" s="62" t="str">
        <f>IF(AND('领用录入（明细）'!D:D=$F$4,'领用录入（明细）'!C:C&gt;=$J$4,'领用录入（明细）'!C:C&lt;=$L$4),ROW(),"-")</f>
        <v>-</v>
      </c>
    </row>
    <row r="25857" customHeight="1" spans="2:2">
      <c r="B25857" s="62" t="str">
        <f>IF(AND('领用录入（明细）'!D:D=$F$4,'领用录入（明细）'!C:C&gt;=$J$4,'领用录入（明细）'!C:C&lt;=$L$4),ROW(),"-")</f>
        <v>-</v>
      </c>
    </row>
    <row r="25858" customHeight="1" spans="2:2">
      <c r="B25858" s="62" t="str">
        <f>IF(AND('领用录入（明细）'!D:D=$F$4,'领用录入（明细）'!C:C&gt;=$J$4,'领用录入（明细）'!C:C&lt;=$L$4),ROW(),"-")</f>
        <v>-</v>
      </c>
    </row>
    <row r="25859" customHeight="1" spans="2:2">
      <c r="B25859" s="62" t="str">
        <f>IF(AND('领用录入（明细）'!D:D=$F$4,'领用录入（明细）'!C:C&gt;=$J$4,'领用录入（明细）'!C:C&lt;=$L$4),ROW(),"-")</f>
        <v>-</v>
      </c>
    </row>
    <row r="25860" customHeight="1" spans="2:2">
      <c r="B25860" s="62" t="str">
        <f>IF(AND('领用录入（明细）'!D:D=$F$4,'领用录入（明细）'!C:C&gt;=$J$4,'领用录入（明细）'!C:C&lt;=$L$4),ROW(),"-")</f>
        <v>-</v>
      </c>
    </row>
    <row r="25861" customHeight="1" spans="2:2">
      <c r="B25861" s="62" t="str">
        <f>IF(AND('领用录入（明细）'!D:D=$F$4,'领用录入（明细）'!C:C&gt;=$J$4,'领用录入（明细）'!C:C&lt;=$L$4),ROW(),"-")</f>
        <v>-</v>
      </c>
    </row>
    <row r="25862" customHeight="1" spans="2:2">
      <c r="B25862" s="62" t="str">
        <f>IF(AND('领用录入（明细）'!D:D=$F$4,'领用录入（明细）'!C:C&gt;=$J$4,'领用录入（明细）'!C:C&lt;=$L$4),ROW(),"-")</f>
        <v>-</v>
      </c>
    </row>
    <row r="25863" customHeight="1" spans="2:2">
      <c r="B25863" s="62" t="str">
        <f>IF(AND('领用录入（明细）'!D:D=$F$4,'领用录入（明细）'!C:C&gt;=$J$4,'领用录入（明细）'!C:C&lt;=$L$4),ROW(),"-")</f>
        <v>-</v>
      </c>
    </row>
    <row r="25864" customHeight="1" spans="2:2">
      <c r="B25864" s="62" t="str">
        <f>IF(AND('领用录入（明细）'!D:D=$F$4,'领用录入（明细）'!C:C&gt;=$J$4,'领用录入（明细）'!C:C&lt;=$L$4),ROW(),"-")</f>
        <v>-</v>
      </c>
    </row>
    <row r="25865" customHeight="1" spans="2:2">
      <c r="B25865" s="62" t="str">
        <f>IF(AND('领用录入（明细）'!D:D=$F$4,'领用录入（明细）'!C:C&gt;=$J$4,'领用录入（明细）'!C:C&lt;=$L$4),ROW(),"-")</f>
        <v>-</v>
      </c>
    </row>
    <row r="25866" customHeight="1" spans="2:2">
      <c r="B25866" s="62" t="str">
        <f>IF(AND('领用录入（明细）'!D:D=$F$4,'领用录入（明细）'!C:C&gt;=$J$4,'领用录入（明细）'!C:C&lt;=$L$4),ROW(),"-")</f>
        <v>-</v>
      </c>
    </row>
    <row r="25867" customHeight="1" spans="2:2">
      <c r="B25867" s="62" t="str">
        <f>IF(AND('领用录入（明细）'!D:D=$F$4,'领用录入（明细）'!C:C&gt;=$J$4,'领用录入（明细）'!C:C&lt;=$L$4),ROW(),"-")</f>
        <v>-</v>
      </c>
    </row>
    <row r="25868" customHeight="1" spans="2:2">
      <c r="B25868" s="62" t="str">
        <f>IF(AND('领用录入（明细）'!D:D=$F$4,'领用录入（明细）'!C:C&gt;=$J$4,'领用录入（明细）'!C:C&lt;=$L$4),ROW(),"-")</f>
        <v>-</v>
      </c>
    </row>
    <row r="25869" customHeight="1" spans="2:2">
      <c r="B25869" s="62" t="str">
        <f>IF(AND('领用录入（明细）'!D:D=$F$4,'领用录入（明细）'!C:C&gt;=$J$4,'领用录入（明细）'!C:C&lt;=$L$4),ROW(),"-")</f>
        <v>-</v>
      </c>
    </row>
    <row r="25870" customHeight="1" spans="2:2">
      <c r="B25870" s="62" t="str">
        <f>IF(AND('领用录入（明细）'!D:D=$F$4,'领用录入（明细）'!C:C&gt;=$J$4,'领用录入（明细）'!C:C&lt;=$L$4),ROW(),"-")</f>
        <v>-</v>
      </c>
    </row>
    <row r="25871" customHeight="1" spans="2:2">
      <c r="B25871" s="62" t="str">
        <f>IF(AND('领用录入（明细）'!D:D=$F$4,'领用录入（明细）'!C:C&gt;=$J$4,'领用录入（明细）'!C:C&lt;=$L$4),ROW(),"-")</f>
        <v>-</v>
      </c>
    </row>
    <row r="25872" customHeight="1" spans="2:2">
      <c r="B25872" s="62" t="str">
        <f>IF(AND('领用录入（明细）'!D:D=$F$4,'领用录入（明细）'!C:C&gt;=$J$4,'领用录入（明细）'!C:C&lt;=$L$4),ROW(),"-")</f>
        <v>-</v>
      </c>
    </row>
    <row r="25873" customHeight="1" spans="2:2">
      <c r="B25873" s="62" t="str">
        <f>IF(AND('领用录入（明细）'!D:D=$F$4,'领用录入（明细）'!C:C&gt;=$J$4,'领用录入（明细）'!C:C&lt;=$L$4),ROW(),"-")</f>
        <v>-</v>
      </c>
    </row>
    <row r="25874" customHeight="1" spans="2:2">
      <c r="B25874" s="62" t="str">
        <f>IF(AND('领用录入（明细）'!D:D=$F$4,'领用录入（明细）'!C:C&gt;=$J$4,'领用录入（明细）'!C:C&lt;=$L$4),ROW(),"-")</f>
        <v>-</v>
      </c>
    </row>
    <row r="25875" customHeight="1" spans="2:2">
      <c r="B25875" s="62" t="str">
        <f>IF(AND('领用录入（明细）'!D:D=$F$4,'领用录入（明细）'!C:C&gt;=$J$4,'领用录入（明细）'!C:C&lt;=$L$4),ROW(),"-")</f>
        <v>-</v>
      </c>
    </row>
    <row r="25876" customHeight="1" spans="2:2">
      <c r="B25876" s="62" t="str">
        <f>IF(AND('领用录入（明细）'!D:D=$F$4,'领用录入（明细）'!C:C&gt;=$J$4,'领用录入（明细）'!C:C&lt;=$L$4),ROW(),"-")</f>
        <v>-</v>
      </c>
    </row>
    <row r="25877" customHeight="1" spans="2:2">
      <c r="B25877" s="62" t="str">
        <f>IF(AND('领用录入（明细）'!D:D=$F$4,'领用录入（明细）'!C:C&gt;=$J$4,'领用录入（明细）'!C:C&lt;=$L$4),ROW(),"-")</f>
        <v>-</v>
      </c>
    </row>
    <row r="25878" customHeight="1" spans="2:2">
      <c r="B25878" s="62" t="str">
        <f>IF(AND('领用录入（明细）'!D:D=$F$4,'领用录入（明细）'!C:C&gt;=$J$4,'领用录入（明细）'!C:C&lt;=$L$4),ROW(),"-")</f>
        <v>-</v>
      </c>
    </row>
    <row r="25879" customHeight="1" spans="2:2">
      <c r="B25879" s="62" t="str">
        <f>IF(AND('领用录入（明细）'!D:D=$F$4,'领用录入（明细）'!C:C&gt;=$J$4,'领用录入（明细）'!C:C&lt;=$L$4),ROW(),"-")</f>
        <v>-</v>
      </c>
    </row>
    <row r="25880" customHeight="1" spans="2:2">
      <c r="B25880" s="62" t="str">
        <f>IF(AND('领用录入（明细）'!D:D=$F$4,'领用录入（明细）'!C:C&gt;=$J$4,'领用录入（明细）'!C:C&lt;=$L$4),ROW(),"-")</f>
        <v>-</v>
      </c>
    </row>
    <row r="25881" customHeight="1" spans="2:2">
      <c r="B25881" s="62" t="str">
        <f>IF(AND('领用录入（明细）'!D:D=$F$4,'领用录入（明细）'!C:C&gt;=$J$4,'领用录入（明细）'!C:C&lt;=$L$4),ROW(),"-")</f>
        <v>-</v>
      </c>
    </row>
    <row r="25882" customHeight="1" spans="2:2">
      <c r="B25882" s="62" t="str">
        <f>IF(AND('领用录入（明细）'!D:D=$F$4,'领用录入（明细）'!C:C&gt;=$J$4,'领用录入（明细）'!C:C&lt;=$L$4),ROW(),"-")</f>
        <v>-</v>
      </c>
    </row>
    <row r="25883" customHeight="1" spans="2:2">
      <c r="B25883" s="62" t="str">
        <f>IF(AND('领用录入（明细）'!D:D=$F$4,'领用录入（明细）'!C:C&gt;=$J$4,'领用录入（明细）'!C:C&lt;=$L$4),ROW(),"-")</f>
        <v>-</v>
      </c>
    </row>
    <row r="25884" customHeight="1" spans="2:2">
      <c r="B25884" s="62" t="str">
        <f>IF(AND('领用录入（明细）'!D:D=$F$4,'领用录入（明细）'!C:C&gt;=$J$4,'领用录入（明细）'!C:C&lt;=$L$4),ROW(),"-")</f>
        <v>-</v>
      </c>
    </row>
    <row r="25885" customHeight="1" spans="2:2">
      <c r="B25885" s="62" t="str">
        <f>IF(AND('领用录入（明细）'!D:D=$F$4,'领用录入（明细）'!C:C&gt;=$J$4,'领用录入（明细）'!C:C&lt;=$L$4),ROW(),"-")</f>
        <v>-</v>
      </c>
    </row>
    <row r="25886" customHeight="1" spans="2:2">
      <c r="B25886" s="62" t="str">
        <f>IF(AND('领用录入（明细）'!D:D=$F$4,'领用录入（明细）'!C:C&gt;=$J$4,'领用录入（明细）'!C:C&lt;=$L$4),ROW(),"-")</f>
        <v>-</v>
      </c>
    </row>
    <row r="25887" customHeight="1" spans="2:2">
      <c r="B25887" s="62" t="str">
        <f>IF(AND('领用录入（明细）'!D:D=$F$4,'领用录入（明细）'!C:C&gt;=$J$4,'领用录入（明细）'!C:C&lt;=$L$4),ROW(),"-")</f>
        <v>-</v>
      </c>
    </row>
    <row r="25888" customHeight="1" spans="2:2">
      <c r="B25888" s="62" t="str">
        <f>IF(AND('领用录入（明细）'!D:D=$F$4,'领用录入（明细）'!C:C&gt;=$J$4,'领用录入（明细）'!C:C&lt;=$L$4),ROW(),"-")</f>
        <v>-</v>
      </c>
    </row>
    <row r="25889" customHeight="1" spans="2:2">
      <c r="B25889" s="62" t="str">
        <f>IF(AND('领用录入（明细）'!D:D=$F$4,'领用录入（明细）'!C:C&gt;=$J$4,'领用录入（明细）'!C:C&lt;=$L$4),ROW(),"-")</f>
        <v>-</v>
      </c>
    </row>
    <row r="25890" customHeight="1" spans="2:2">
      <c r="B25890" s="62" t="str">
        <f>IF(AND('领用录入（明细）'!D:D=$F$4,'领用录入（明细）'!C:C&gt;=$J$4,'领用录入（明细）'!C:C&lt;=$L$4),ROW(),"-")</f>
        <v>-</v>
      </c>
    </row>
    <row r="25891" customHeight="1" spans="2:2">
      <c r="B25891" s="62" t="str">
        <f>IF(AND('领用录入（明细）'!D:D=$F$4,'领用录入（明细）'!C:C&gt;=$J$4,'领用录入（明细）'!C:C&lt;=$L$4),ROW(),"-")</f>
        <v>-</v>
      </c>
    </row>
    <row r="25892" customHeight="1" spans="2:2">
      <c r="B25892" s="62" t="str">
        <f>IF(AND('领用录入（明细）'!D:D=$F$4,'领用录入（明细）'!C:C&gt;=$J$4,'领用录入（明细）'!C:C&lt;=$L$4),ROW(),"-")</f>
        <v>-</v>
      </c>
    </row>
    <row r="25893" customHeight="1" spans="2:2">
      <c r="B25893" s="62" t="str">
        <f>IF(AND('领用录入（明细）'!D:D=$F$4,'领用录入（明细）'!C:C&gt;=$J$4,'领用录入（明细）'!C:C&lt;=$L$4),ROW(),"-")</f>
        <v>-</v>
      </c>
    </row>
    <row r="25894" customHeight="1" spans="2:2">
      <c r="B25894" s="62" t="str">
        <f>IF(AND('领用录入（明细）'!D:D=$F$4,'领用录入（明细）'!C:C&gt;=$J$4,'领用录入（明细）'!C:C&lt;=$L$4),ROW(),"-")</f>
        <v>-</v>
      </c>
    </row>
    <row r="25895" customHeight="1" spans="2:2">
      <c r="B25895" s="62" t="str">
        <f>IF(AND('领用录入（明细）'!D:D=$F$4,'领用录入（明细）'!C:C&gt;=$J$4,'领用录入（明细）'!C:C&lt;=$L$4),ROW(),"-")</f>
        <v>-</v>
      </c>
    </row>
    <row r="25896" customHeight="1" spans="2:2">
      <c r="B25896" s="62" t="str">
        <f>IF(AND('领用录入（明细）'!D:D=$F$4,'领用录入（明细）'!C:C&gt;=$J$4,'领用录入（明细）'!C:C&lt;=$L$4),ROW(),"-")</f>
        <v>-</v>
      </c>
    </row>
    <row r="25897" customHeight="1" spans="2:2">
      <c r="B25897" s="62" t="str">
        <f>IF(AND('领用录入（明细）'!D:D=$F$4,'领用录入（明细）'!C:C&gt;=$J$4,'领用录入（明细）'!C:C&lt;=$L$4),ROW(),"-")</f>
        <v>-</v>
      </c>
    </row>
    <row r="25898" customHeight="1" spans="2:2">
      <c r="B25898" s="62" t="str">
        <f>IF(AND('领用录入（明细）'!D:D=$F$4,'领用录入（明细）'!C:C&gt;=$J$4,'领用录入（明细）'!C:C&lt;=$L$4),ROW(),"-")</f>
        <v>-</v>
      </c>
    </row>
    <row r="25899" customHeight="1" spans="2:2">
      <c r="B25899" s="62" t="str">
        <f>IF(AND('领用录入（明细）'!D:D=$F$4,'领用录入（明细）'!C:C&gt;=$J$4,'领用录入（明细）'!C:C&lt;=$L$4),ROW(),"-")</f>
        <v>-</v>
      </c>
    </row>
    <row r="25900" customHeight="1" spans="2:2">
      <c r="B25900" s="62" t="str">
        <f>IF(AND('领用录入（明细）'!D:D=$F$4,'领用录入（明细）'!C:C&gt;=$J$4,'领用录入（明细）'!C:C&lt;=$L$4),ROW(),"-")</f>
        <v>-</v>
      </c>
    </row>
    <row r="25901" customHeight="1" spans="2:2">
      <c r="B25901" s="62" t="str">
        <f>IF(AND('领用录入（明细）'!D:D=$F$4,'领用录入（明细）'!C:C&gt;=$J$4,'领用录入（明细）'!C:C&lt;=$L$4),ROW(),"-")</f>
        <v>-</v>
      </c>
    </row>
    <row r="25902" customHeight="1" spans="2:2">
      <c r="B25902" s="62" t="str">
        <f>IF(AND('领用录入（明细）'!D:D=$F$4,'领用录入（明细）'!C:C&gt;=$J$4,'领用录入（明细）'!C:C&lt;=$L$4),ROW(),"-")</f>
        <v>-</v>
      </c>
    </row>
    <row r="25903" customHeight="1" spans="2:2">
      <c r="B25903" s="62" t="str">
        <f>IF(AND('领用录入（明细）'!D:D=$F$4,'领用录入（明细）'!C:C&gt;=$J$4,'领用录入（明细）'!C:C&lt;=$L$4),ROW(),"-")</f>
        <v>-</v>
      </c>
    </row>
    <row r="25904" customHeight="1" spans="2:2">
      <c r="B25904" s="62" t="str">
        <f>IF(AND('领用录入（明细）'!D:D=$F$4,'领用录入（明细）'!C:C&gt;=$J$4,'领用录入（明细）'!C:C&lt;=$L$4),ROW(),"-")</f>
        <v>-</v>
      </c>
    </row>
    <row r="25905" customHeight="1" spans="2:2">
      <c r="B25905" s="62" t="str">
        <f>IF(AND('领用录入（明细）'!D:D=$F$4,'领用录入（明细）'!C:C&gt;=$J$4,'领用录入（明细）'!C:C&lt;=$L$4),ROW(),"-")</f>
        <v>-</v>
      </c>
    </row>
    <row r="25906" customHeight="1" spans="2:2">
      <c r="B25906" s="62" t="str">
        <f>IF(AND('领用录入（明细）'!D:D=$F$4,'领用录入（明细）'!C:C&gt;=$J$4,'领用录入（明细）'!C:C&lt;=$L$4),ROW(),"-")</f>
        <v>-</v>
      </c>
    </row>
    <row r="25907" customHeight="1" spans="2:2">
      <c r="B25907" s="62" t="str">
        <f>IF(AND('领用录入（明细）'!D:D=$F$4,'领用录入（明细）'!C:C&gt;=$J$4,'领用录入（明细）'!C:C&lt;=$L$4),ROW(),"-")</f>
        <v>-</v>
      </c>
    </row>
    <row r="25908" customHeight="1" spans="2:2">
      <c r="B25908" s="62" t="str">
        <f>IF(AND('领用录入（明细）'!D:D=$F$4,'领用录入（明细）'!C:C&gt;=$J$4,'领用录入（明细）'!C:C&lt;=$L$4),ROW(),"-")</f>
        <v>-</v>
      </c>
    </row>
    <row r="25909" customHeight="1" spans="2:2">
      <c r="B25909" s="62" t="str">
        <f>IF(AND('领用录入（明细）'!D:D=$F$4,'领用录入（明细）'!C:C&gt;=$J$4,'领用录入（明细）'!C:C&lt;=$L$4),ROW(),"-")</f>
        <v>-</v>
      </c>
    </row>
    <row r="25910" customHeight="1" spans="2:2">
      <c r="B25910" s="62" t="str">
        <f>IF(AND('领用录入（明细）'!D:D=$F$4,'领用录入（明细）'!C:C&gt;=$J$4,'领用录入（明细）'!C:C&lt;=$L$4),ROW(),"-")</f>
        <v>-</v>
      </c>
    </row>
    <row r="25911" customHeight="1" spans="2:2">
      <c r="B25911" s="62" t="str">
        <f>IF(AND('领用录入（明细）'!D:D=$F$4,'领用录入（明细）'!C:C&gt;=$J$4,'领用录入（明细）'!C:C&lt;=$L$4),ROW(),"-")</f>
        <v>-</v>
      </c>
    </row>
    <row r="25912" customHeight="1" spans="2:2">
      <c r="B25912" s="62" t="str">
        <f>IF(AND('领用录入（明细）'!D:D=$F$4,'领用录入（明细）'!C:C&gt;=$J$4,'领用录入（明细）'!C:C&lt;=$L$4),ROW(),"-")</f>
        <v>-</v>
      </c>
    </row>
    <row r="25913" customHeight="1" spans="2:2">
      <c r="B25913" s="62" t="str">
        <f>IF(AND('领用录入（明细）'!D:D=$F$4,'领用录入（明细）'!C:C&gt;=$J$4,'领用录入（明细）'!C:C&lt;=$L$4),ROW(),"-")</f>
        <v>-</v>
      </c>
    </row>
    <row r="25914" customHeight="1" spans="2:2">
      <c r="B25914" s="62" t="str">
        <f>IF(AND('领用录入（明细）'!D:D=$F$4,'领用录入（明细）'!C:C&gt;=$J$4,'领用录入（明细）'!C:C&lt;=$L$4),ROW(),"-")</f>
        <v>-</v>
      </c>
    </row>
    <row r="25915" customHeight="1" spans="2:2">
      <c r="B25915" s="62" t="str">
        <f>IF(AND('领用录入（明细）'!D:D=$F$4,'领用录入（明细）'!C:C&gt;=$J$4,'领用录入（明细）'!C:C&lt;=$L$4),ROW(),"-")</f>
        <v>-</v>
      </c>
    </row>
    <row r="25916" customHeight="1" spans="2:2">
      <c r="B25916" s="62" t="str">
        <f>IF(AND('领用录入（明细）'!D:D=$F$4,'领用录入（明细）'!C:C&gt;=$J$4,'领用录入（明细）'!C:C&lt;=$L$4),ROW(),"-")</f>
        <v>-</v>
      </c>
    </row>
    <row r="25917" customHeight="1" spans="2:2">
      <c r="B25917" s="62" t="str">
        <f>IF(AND('领用录入（明细）'!D:D=$F$4,'领用录入（明细）'!C:C&gt;=$J$4,'领用录入（明细）'!C:C&lt;=$L$4),ROW(),"-")</f>
        <v>-</v>
      </c>
    </row>
    <row r="25918" customHeight="1" spans="2:2">
      <c r="B25918" s="62" t="str">
        <f>IF(AND('领用录入（明细）'!D:D=$F$4,'领用录入（明细）'!C:C&gt;=$J$4,'领用录入（明细）'!C:C&lt;=$L$4),ROW(),"-")</f>
        <v>-</v>
      </c>
    </row>
    <row r="25919" customHeight="1" spans="2:2">
      <c r="B25919" s="62" t="str">
        <f>IF(AND('领用录入（明细）'!D:D=$F$4,'领用录入（明细）'!C:C&gt;=$J$4,'领用录入（明细）'!C:C&lt;=$L$4),ROW(),"-")</f>
        <v>-</v>
      </c>
    </row>
    <row r="25920" customHeight="1" spans="2:2">
      <c r="B25920" s="62" t="str">
        <f>IF(AND('领用录入（明细）'!D:D=$F$4,'领用录入（明细）'!C:C&gt;=$J$4,'领用录入（明细）'!C:C&lt;=$L$4),ROW(),"-")</f>
        <v>-</v>
      </c>
    </row>
    <row r="25921" customHeight="1" spans="2:2">
      <c r="B25921" s="62" t="str">
        <f>IF(AND('领用录入（明细）'!D:D=$F$4,'领用录入（明细）'!C:C&gt;=$J$4,'领用录入（明细）'!C:C&lt;=$L$4),ROW(),"-")</f>
        <v>-</v>
      </c>
    </row>
    <row r="25922" customHeight="1" spans="2:2">
      <c r="B25922" s="62" t="str">
        <f>IF(AND('领用录入（明细）'!D:D=$F$4,'领用录入（明细）'!C:C&gt;=$J$4,'领用录入（明细）'!C:C&lt;=$L$4),ROW(),"-")</f>
        <v>-</v>
      </c>
    </row>
    <row r="25923" customHeight="1" spans="2:2">
      <c r="B25923" s="62" t="str">
        <f>IF(AND('领用录入（明细）'!D:D=$F$4,'领用录入（明细）'!C:C&gt;=$J$4,'领用录入（明细）'!C:C&lt;=$L$4),ROW(),"-")</f>
        <v>-</v>
      </c>
    </row>
    <row r="25924" customHeight="1" spans="2:2">
      <c r="B25924" s="62" t="str">
        <f>IF(AND('领用录入（明细）'!D:D=$F$4,'领用录入（明细）'!C:C&gt;=$J$4,'领用录入（明细）'!C:C&lt;=$L$4),ROW(),"-")</f>
        <v>-</v>
      </c>
    </row>
    <row r="25925" customHeight="1" spans="2:2">
      <c r="B25925" s="62" t="str">
        <f>IF(AND('领用录入（明细）'!D:D=$F$4,'领用录入（明细）'!C:C&gt;=$J$4,'领用录入（明细）'!C:C&lt;=$L$4),ROW(),"-")</f>
        <v>-</v>
      </c>
    </row>
    <row r="25926" customHeight="1" spans="2:2">
      <c r="B25926" s="62" t="str">
        <f>IF(AND('领用录入（明细）'!D:D=$F$4,'领用录入（明细）'!C:C&gt;=$J$4,'领用录入（明细）'!C:C&lt;=$L$4),ROW(),"-")</f>
        <v>-</v>
      </c>
    </row>
    <row r="25927" customHeight="1" spans="2:2">
      <c r="B25927" s="62" t="str">
        <f>IF(AND('领用录入（明细）'!D:D=$F$4,'领用录入（明细）'!C:C&gt;=$J$4,'领用录入（明细）'!C:C&lt;=$L$4),ROW(),"-")</f>
        <v>-</v>
      </c>
    </row>
    <row r="25928" customHeight="1" spans="2:2">
      <c r="B25928" s="62" t="str">
        <f>IF(AND('领用录入（明细）'!D:D=$F$4,'领用录入（明细）'!C:C&gt;=$J$4,'领用录入（明细）'!C:C&lt;=$L$4),ROW(),"-")</f>
        <v>-</v>
      </c>
    </row>
    <row r="25929" customHeight="1" spans="2:2">
      <c r="B25929" s="62" t="str">
        <f>IF(AND('领用录入（明细）'!D:D=$F$4,'领用录入（明细）'!C:C&gt;=$J$4,'领用录入（明细）'!C:C&lt;=$L$4),ROW(),"-")</f>
        <v>-</v>
      </c>
    </row>
    <row r="25930" customHeight="1" spans="2:2">
      <c r="B25930" s="62" t="str">
        <f>IF(AND('领用录入（明细）'!D:D=$F$4,'领用录入（明细）'!C:C&gt;=$J$4,'领用录入（明细）'!C:C&lt;=$L$4),ROW(),"-")</f>
        <v>-</v>
      </c>
    </row>
    <row r="25931" customHeight="1" spans="2:2">
      <c r="B25931" s="62" t="str">
        <f>IF(AND('领用录入（明细）'!D:D=$F$4,'领用录入（明细）'!C:C&gt;=$J$4,'领用录入（明细）'!C:C&lt;=$L$4),ROW(),"-")</f>
        <v>-</v>
      </c>
    </row>
    <row r="25932" customHeight="1" spans="2:2">
      <c r="B25932" s="62" t="str">
        <f>IF(AND('领用录入（明细）'!D:D=$F$4,'领用录入（明细）'!C:C&gt;=$J$4,'领用录入（明细）'!C:C&lt;=$L$4),ROW(),"-")</f>
        <v>-</v>
      </c>
    </row>
    <row r="25933" customHeight="1" spans="2:2">
      <c r="B25933" s="62" t="str">
        <f>IF(AND('领用录入（明细）'!D:D=$F$4,'领用录入（明细）'!C:C&gt;=$J$4,'领用录入（明细）'!C:C&lt;=$L$4),ROW(),"-")</f>
        <v>-</v>
      </c>
    </row>
    <row r="25934" customHeight="1" spans="2:2">
      <c r="B25934" s="62" t="str">
        <f>IF(AND('领用录入（明细）'!D:D=$F$4,'领用录入（明细）'!C:C&gt;=$J$4,'领用录入（明细）'!C:C&lt;=$L$4),ROW(),"-")</f>
        <v>-</v>
      </c>
    </row>
    <row r="25935" customHeight="1" spans="2:2">
      <c r="B25935" s="62" t="str">
        <f>IF(AND('领用录入（明细）'!D:D=$F$4,'领用录入（明细）'!C:C&gt;=$J$4,'领用录入（明细）'!C:C&lt;=$L$4),ROW(),"-")</f>
        <v>-</v>
      </c>
    </row>
    <row r="25936" customHeight="1" spans="2:2">
      <c r="B25936" s="62" t="str">
        <f>IF(AND('领用录入（明细）'!D:D=$F$4,'领用录入（明细）'!C:C&gt;=$J$4,'领用录入（明细）'!C:C&lt;=$L$4),ROW(),"-")</f>
        <v>-</v>
      </c>
    </row>
    <row r="25937" customHeight="1" spans="2:2">
      <c r="B25937" s="62" t="str">
        <f>IF(AND('领用录入（明细）'!D:D=$F$4,'领用录入（明细）'!C:C&gt;=$J$4,'领用录入（明细）'!C:C&lt;=$L$4),ROW(),"-")</f>
        <v>-</v>
      </c>
    </row>
    <row r="25938" customHeight="1" spans="2:2">
      <c r="B25938" s="62" t="str">
        <f>IF(AND('领用录入（明细）'!D:D=$F$4,'领用录入（明细）'!C:C&gt;=$J$4,'领用录入（明细）'!C:C&lt;=$L$4),ROW(),"-")</f>
        <v>-</v>
      </c>
    </row>
    <row r="25939" customHeight="1" spans="2:2">
      <c r="B25939" s="62" t="str">
        <f>IF(AND('领用录入（明细）'!D:D=$F$4,'领用录入（明细）'!C:C&gt;=$J$4,'领用录入（明细）'!C:C&lt;=$L$4),ROW(),"-")</f>
        <v>-</v>
      </c>
    </row>
    <row r="25940" customHeight="1" spans="2:2">
      <c r="B25940" s="62" t="str">
        <f>IF(AND('领用录入（明细）'!D:D=$F$4,'领用录入（明细）'!C:C&gt;=$J$4,'领用录入（明细）'!C:C&lt;=$L$4),ROW(),"-")</f>
        <v>-</v>
      </c>
    </row>
    <row r="25941" customHeight="1" spans="2:2">
      <c r="B25941" s="62" t="str">
        <f>IF(AND('领用录入（明细）'!D:D=$F$4,'领用录入（明细）'!C:C&gt;=$J$4,'领用录入（明细）'!C:C&lt;=$L$4),ROW(),"-")</f>
        <v>-</v>
      </c>
    </row>
    <row r="25942" customHeight="1" spans="2:2">
      <c r="B25942" s="62" t="str">
        <f>IF(AND('领用录入（明细）'!D:D=$F$4,'领用录入（明细）'!C:C&gt;=$J$4,'领用录入（明细）'!C:C&lt;=$L$4),ROW(),"-")</f>
        <v>-</v>
      </c>
    </row>
    <row r="25943" customHeight="1" spans="2:2">
      <c r="B25943" s="62" t="str">
        <f>IF(AND('领用录入（明细）'!D:D=$F$4,'领用录入（明细）'!C:C&gt;=$J$4,'领用录入（明细）'!C:C&lt;=$L$4),ROW(),"-")</f>
        <v>-</v>
      </c>
    </row>
    <row r="25944" customHeight="1" spans="2:2">
      <c r="B25944" s="62" t="str">
        <f>IF(AND('领用录入（明细）'!D:D=$F$4,'领用录入（明细）'!C:C&gt;=$J$4,'领用录入（明细）'!C:C&lt;=$L$4),ROW(),"-")</f>
        <v>-</v>
      </c>
    </row>
    <row r="25945" customHeight="1" spans="2:2">
      <c r="B25945" s="62" t="str">
        <f>IF(AND('领用录入（明细）'!D:D=$F$4,'领用录入（明细）'!C:C&gt;=$J$4,'领用录入（明细）'!C:C&lt;=$L$4),ROW(),"-")</f>
        <v>-</v>
      </c>
    </row>
    <row r="25946" customHeight="1" spans="2:2">
      <c r="B25946" s="62" t="str">
        <f>IF(AND('领用录入（明细）'!D:D=$F$4,'领用录入（明细）'!C:C&gt;=$J$4,'领用录入（明细）'!C:C&lt;=$L$4),ROW(),"-")</f>
        <v>-</v>
      </c>
    </row>
    <row r="25947" customHeight="1" spans="2:2">
      <c r="B25947" s="62" t="str">
        <f>IF(AND('领用录入（明细）'!D:D=$F$4,'领用录入（明细）'!C:C&gt;=$J$4,'领用录入（明细）'!C:C&lt;=$L$4),ROW(),"-")</f>
        <v>-</v>
      </c>
    </row>
    <row r="25948" customHeight="1" spans="2:2">
      <c r="B25948" s="62" t="str">
        <f>IF(AND('领用录入（明细）'!D:D=$F$4,'领用录入（明细）'!C:C&gt;=$J$4,'领用录入（明细）'!C:C&lt;=$L$4),ROW(),"-")</f>
        <v>-</v>
      </c>
    </row>
    <row r="25949" customHeight="1" spans="2:2">
      <c r="B25949" s="62" t="str">
        <f>IF(AND('领用录入（明细）'!D:D=$F$4,'领用录入（明细）'!C:C&gt;=$J$4,'领用录入（明细）'!C:C&lt;=$L$4),ROW(),"-")</f>
        <v>-</v>
      </c>
    </row>
    <row r="25950" customHeight="1" spans="2:2">
      <c r="B25950" s="62" t="str">
        <f>IF(AND('领用录入（明细）'!D:D=$F$4,'领用录入（明细）'!C:C&gt;=$J$4,'领用录入（明细）'!C:C&lt;=$L$4),ROW(),"-")</f>
        <v>-</v>
      </c>
    </row>
    <row r="25951" customHeight="1" spans="2:2">
      <c r="B25951" s="62" t="str">
        <f>IF(AND('领用录入（明细）'!D:D=$F$4,'领用录入（明细）'!C:C&gt;=$J$4,'领用录入（明细）'!C:C&lt;=$L$4),ROW(),"-")</f>
        <v>-</v>
      </c>
    </row>
    <row r="25952" customHeight="1" spans="2:2">
      <c r="B25952" s="62" t="str">
        <f>IF(AND('领用录入（明细）'!D:D=$F$4,'领用录入（明细）'!C:C&gt;=$J$4,'领用录入（明细）'!C:C&lt;=$L$4),ROW(),"-")</f>
        <v>-</v>
      </c>
    </row>
    <row r="25953" customHeight="1" spans="2:2">
      <c r="B25953" s="62" t="str">
        <f>IF(AND('领用录入（明细）'!D:D=$F$4,'领用录入（明细）'!C:C&gt;=$J$4,'领用录入（明细）'!C:C&lt;=$L$4),ROW(),"-")</f>
        <v>-</v>
      </c>
    </row>
    <row r="25954" customHeight="1" spans="2:2">
      <c r="B25954" s="62" t="str">
        <f>IF(AND('领用录入（明细）'!D:D=$F$4,'领用录入（明细）'!C:C&gt;=$J$4,'领用录入（明细）'!C:C&lt;=$L$4),ROW(),"-")</f>
        <v>-</v>
      </c>
    </row>
    <row r="25955" customHeight="1" spans="2:2">
      <c r="B25955" s="62" t="str">
        <f>IF(AND('领用录入（明细）'!D:D=$F$4,'领用录入（明细）'!C:C&gt;=$J$4,'领用录入（明细）'!C:C&lt;=$L$4),ROW(),"-")</f>
        <v>-</v>
      </c>
    </row>
    <row r="25956" customHeight="1" spans="2:2">
      <c r="B25956" s="62" t="str">
        <f>IF(AND('领用录入（明细）'!D:D=$F$4,'领用录入（明细）'!C:C&gt;=$J$4,'领用录入（明细）'!C:C&lt;=$L$4),ROW(),"-")</f>
        <v>-</v>
      </c>
    </row>
    <row r="25957" customHeight="1" spans="2:2">
      <c r="B25957" s="62" t="str">
        <f>IF(AND('领用录入（明细）'!D:D=$F$4,'领用录入（明细）'!C:C&gt;=$J$4,'领用录入（明细）'!C:C&lt;=$L$4),ROW(),"-")</f>
        <v>-</v>
      </c>
    </row>
    <row r="25958" customHeight="1" spans="2:2">
      <c r="B25958" s="62" t="str">
        <f>IF(AND('领用录入（明细）'!D:D=$F$4,'领用录入（明细）'!C:C&gt;=$J$4,'领用录入（明细）'!C:C&lt;=$L$4),ROW(),"-")</f>
        <v>-</v>
      </c>
    </row>
    <row r="25959" customHeight="1" spans="2:2">
      <c r="B25959" s="62" t="str">
        <f>IF(AND('领用录入（明细）'!D:D=$F$4,'领用录入（明细）'!C:C&gt;=$J$4,'领用录入（明细）'!C:C&lt;=$L$4),ROW(),"-")</f>
        <v>-</v>
      </c>
    </row>
    <row r="25960" customHeight="1" spans="2:2">
      <c r="B25960" s="62" t="str">
        <f>IF(AND('领用录入（明细）'!D:D=$F$4,'领用录入（明细）'!C:C&gt;=$J$4,'领用录入（明细）'!C:C&lt;=$L$4),ROW(),"-")</f>
        <v>-</v>
      </c>
    </row>
    <row r="25961" customHeight="1" spans="2:2">
      <c r="B25961" s="62" t="str">
        <f>IF(AND('领用录入（明细）'!D:D=$F$4,'领用录入（明细）'!C:C&gt;=$J$4,'领用录入（明细）'!C:C&lt;=$L$4),ROW(),"-")</f>
        <v>-</v>
      </c>
    </row>
    <row r="25962" customHeight="1" spans="2:2">
      <c r="B25962" s="62" t="str">
        <f>IF(AND('领用录入（明细）'!D:D=$F$4,'领用录入（明细）'!C:C&gt;=$J$4,'领用录入（明细）'!C:C&lt;=$L$4),ROW(),"-")</f>
        <v>-</v>
      </c>
    </row>
    <row r="25963" customHeight="1" spans="2:2">
      <c r="B25963" s="62" t="str">
        <f>IF(AND('领用录入（明细）'!D:D=$F$4,'领用录入（明细）'!C:C&gt;=$J$4,'领用录入（明细）'!C:C&lt;=$L$4),ROW(),"-")</f>
        <v>-</v>
      </c>
    </row>
    <row r="25964" customHeight="1" spans="2:2">
      <c r="B25964" s="62" t="str">
        <f>IF(AND('领用录入（明细）'!D:D=$F$4,'领用录入（明细）'!C:C&gt;=$J$4,'领用录入（明细）'!C:C&lt;=$L$4),ROW(),"-")</f>
        <v>-</v>
      </c>
    </row>
    <row r="25965" customHeight="1" spans="2:2">
      <c r="B25965" s="62" t="str">
        <f>IF(AND('领用录入（明细）'!D:D=$F$4,'领用录入（明细）'!C:C&gt;=$J$4,'领用录入（明细）'!C:C&lt;=$L$4),ROW(),"-")</f>
        <v>-</v>
      </c>
    </row>
    <row r="25966" customHeight="1" spans="2:2">
      <c r="B25966" s="62" t="str">
        <f>IF(AND('领用录入（明细）'!D:D=$F$4,'领用录入（明细）'!C:C&gt;=$J$4,'领用录入（明细）'!C:C&lt;=$L$4),ROW(),"-")</f>
        <v>-</v>
      </c>
    </row>
    <row r="25967" customHeight="1" spans="2:2">
      <c r="B25967" s="62" t="str">
        <f>IF(AND('领用录入（明细）'!D:D=$F$4,'领用录入（明细）'!C:C&gt;=$J$4,'领用录入（明细）'!C:C&lt;=$L$4),ROW(),"-")</f>
        <v>-</v>
      </c>
    </row>
    <row r="25968" customHeight="1" spans="2:2">
      <c r="B25968" s="62" t="str">
        <f>IF(AND('领用录入（明细）'!D:D=$F$4,'领用录入（明细）'!C:C&gt;=$J$4,'领用录入（明细）'!C:C&lt;=$L$4),ROW(),"-")</f>
        <v>-</v>
      </c>
    </row>
    <row r="25969" customHeight="1" spans="2:2">
      <c r="B25969" s="62" t="str">
        <f>IF(AND('领用录入（明细）'!D:D=$F$4,'领用录入（明细）'!C:C&gt;=$J$4,'领用录入（明细）'!C:C&lt;=$L$4),ROW(),"-")</f>
        <v>-</v>
      </c>
    </row>
    <row r="25970" customHeight="1" spans="2:2">
      <c r="B25970" s="62" t="str">
        <f>IF(AND('领用录入（明细）'!D:D=$F$4,'领用录入（明细）'!C:C&gt;=$J$4,'领用录入（明细）'!C:C&lt;=$L$4),ROW(),"-")</f>
        <v>-</v>
      </c>
    </row>
    <row r="25971" customHeight="1" spans="2:2">
      <c r="B25971" s="62" t="str">
        <f>IF(AND('领用录入（明细）'!D:D=$F$4,'领用录入（明细）'!C:C&gt;=$J$4,'领用录入（明细）'!C:C&lt;=$L$4),ROW(),"-")</f>
        <v>-</v>
      </c>
    </row>
    <row r="25972" customHeight="1" spans="2:2">
      <c r="B25972" s="62" t="str">
        <f>IF(AND('领用录入（明细）'!D:D=$F$4,'领用录入（明细）'!C:C&gt;=$J$4,'领用录入（明细）'!C:C&lt;=$L$4),ROW(),"-")</f>
        <v>-</v>
      </c>
    </row>
    <row r="25973" customHeight="1" spans="2:2">
      <c r="B25973" s="62" t="str">
        <f>IF(AND('领用录入（明细）'!D:D=$F$4,'领用录入（明细）'!C:C&gt;=$J$4,'领用录入（明细）'!C:C&lt;=$L$4),ROW(),"-")</f>
        <v>-</v>
      </c>
    </row>
    <row r="25974" customHeight="1" spans="2:2">
      <c r="B25974" s="62" t="str">
        <f>IF(AND('领用录入（明细）'!D:D=$F$4,'领用录入（明细）'!C:C&gt;=$J$4,'领用录入（明细）'!C:C&lt;=$L$4),ROW(),"-")</f>
        <v>-</v>
      </c>
    </row>
    <row r="25975" customHeight="1" spans="2:2">
      <c r="B25975" s="62" t="str">
        <f>IF(AND('领用录入（明细）'!D:D=$F$4,'领用录入（明细）'!C:C&gt;=$J$4,'领用录入（明细）'!C:C&lt;=$L$4),ROW(),"-")</f>
        <v>-</v>
      </c>
    </row>
    <row r="25976" customHeight="1" spans="2:2">
      <c r="B25976" s="62" t="str">
        <f>IF(AND('领用录入（明细）'!D:D=$F$4,'领用录入（明细）'!C:C&gt;=$J$4,'领用录入（明细）'!C:C&lt;=$L$4),ROW(),"-")</f>
        <v>-</v>
      </c>
    </row>
    <row r="25977" customHeight="1" spans="2:2">
      <c r="B25977" s="62" t="str">
        <f>IF(AND('领用录入（明细）'!D:D=$F$4,'领用录入（明细）'!C:C&gt;=$J$4,'领用录入（明细）'!C:C&lt;=$L$4),ROW(),"-")</f>
        <v>-</v>
      </c>
    </row>
    <row r="25978" customHeight="1" spans="2:2">
      <c r="B25978" s="62" t="str">
        <f>IF(AND('领用录入（明细）'!D:D=$F$4,'领用录入（明细）'!C:C&gt;=$J$4,'领用录入（明细）'!C:C&lt;=$L$4),ROW(),"-")</f>
        <v>-</v>
      </c>
    </row>
    <row r="25979" customHeight="1" spans="2:2">
      <c r="B25979" s="62" t="str">
        <f>IF(AND('领用录入（明细）'!D:D=$F$4,'领用录入（明细）'!C:C&gt;=$J$4,'领用录入（明细）'!C:C&lt;=$L$4),ROW(),"-")</f>
        <v>-</v>
      </c>
    </row>
    <row r="25980" customHeight="1" spans="2:2">
      <c r="B25980" s="62" t="str">
        <f>IF(AND('领用录入（明细）'!D:D=$F$4,'领用录入（明细）'!C:C&gt;=$J$4,'领用录入（明细）'!C:C&lt;=$L$4),ROW(),"-")</f>
        <v>-</v>
      </c>
    </row>
    <row r="25981" customHeight="1" spans="2:2">
      <c r="B25981" s="62" t="str">
        <f>IF(AND('领用录入（明细）'!D:D=$F$4,'领用录入（明细）'!C:C&gt;=$J$4,'领用录入（明细）'!C:C&lt;=$L$4),ROW(),"-")</f>
        <v>-</v>
      </c>
    </row>
    <row r="25982" customHeight="1" spans="2:2">
      <c r="B25982" s="62" t="str">
        <f>IF(AND('领用录入（明细）'!D:D=$F$4,'领用录入（明细）'!C:C&gt;=$J$4,'领用录入（明细）'!C:C&lt;=$L$4),ROW(),"-")</f>
        <v>-</v>
      </c>
    </row>
    <row r="25983" customHeight="1" spans="2:2">
      <c r="B25983" s="62" t="str">
        <f>IF(AND('领用录入（明细）'!D:D=$F$4,'领用录入（明细）'!C:C&gt;=$J$4,'领用录入（明细）'!C:C&lt;=$L$4),ROW(),"-")</f>
        <v>-</v>
      </c>
    </row>
    <row r="25984" customHeight="1" spans="2:2">
      <c r="B25984" s="62" t="str">
        <f>IF(AND('领用录入（明细）'!D:D=$F$4,'领用录入（明细）'!C:C&gt;=$J$4,'领用录入（明细）'!C:C&lt;=$L$4),ROW(),"-")</f>
        <v>-</v>
      </c>
    </row>
    <row r="25985" customHeight="1" spans="2:2">
      <c r="B25985" s="62" t="str">
        <f>IF(AND('领用录入（明细）'!D:D=$F$4,'领用录入（明细）'!C:C&gt;=$J$4,'领用录入（明细）'!C:C&lt;=$L$4),ROW(),"-")</f>
        <v>-</v>
      </c>
    </row>
    <row r="25986" customHeight="1" spans="2:2">
      <c r="B25986" s="62" t="str">
        <f>IF(AND('领用录入（明细）'!D:D=$F$4,'领用录入（明细）'!C:C&gt;=$J$4,'领用录入（明细）'!C:C&lt;=$L$4),ROW(),"-")</f>
        <v>-</v>
      </c>
    </row>
    <row r="25987" customHeight="1" spans="2:2">
      <c r="B25987" s="62" t="str">
        <f>IF(AND('领用录入（明细）'!D:D=$F$4,'领用录入（明细）'!C:C&gt;=$J$4,'领用录入（明细）'!C:C&lt;=$L$4),ROW(),"-")</f>
        <v>-</v>
      </c>
    </row>
    <row r="25988" customHeight="1" spans="2:2">
      <c r="B25988" s="62" t="str">
        <f>IF(AND('领用录入（明细）'!D:D=$F$4,'领用录入（明细）'!C:C&gt;=$J$4,'领用录入（明细）'!C:C&lt;=$L$4),ROW(),"-")</f>
        <v>-</v>
      </c>
    </row>
    <row r="25989" customHeight="1" spans="2:2">
      <c r="B25989" s="62" t="str">
        <f>IF(AND('领用录入（明细）'!D:D=$F$4,'领用录入（明细）'!C:C&gt;=$J$4,'领用录入（明细）'!C:C&lt;=$L$4),ROW(),"-")</f>
        <v>-</v>
      </c>
    </row>
    <row r="25990" customHeight="1" spans="2:2">
      <c r="B25990" s="62" t="str">
        <f>IF(AND('领用录入（明细）'!D:D=$F$4,'领用录入（明细）'!C:C&gt;=$J$4,'领用录入（明细）'!C:C&lt;=$L$4),ROW(),"-")</f>
        <v>-</v>
      </c>
    </row>
    <row r="25991" customHeight="1" spans="2:2">
      <c r="B25991" s="62" t="str">
        <f>IF(AND('领用录入（明细）'!D:D=$F$4,'领用录入（明细）'!C:C&gt;=$J$4,'领用录入（明细）'!C:C&lt;=$L$4),ROW(),"-")</f>
        <v>-</v>
      </c>
    </row>
    <row r="25992" customHeight="1" spans="2:2">
      <c r="B25992" s="62" t="str">
        <f>IF(AND('领用录入（明细）'!D:D=$F$4,'领用录入（明细）'!C:C&gt;=$J$4,'领用录入（明细）'!C:C&lt;=$L$4),ROW(),"-")</f>
        <v>-</v>
      </c>
    </row>
    <row r="25993" customHeight="1" spans="2:2">
      <c r="B25993" s="62" t="str">
        <f>IF(AND('领用录入（明细）'!D:D=$F$4,'领用录入（明细）'!C:C&gt;=$J$4,'领用录入（明细）'!C:C&lt;=$L$4),ROW(),"-")</f>
        <v>-</v>
      </c>
    </row>
    <row r="25994" customHeight="1" spans="2:2">
      <c r="B25994" s="62" t="str">
        <f>IF(AND('领用录入（明细）'!D:D=$F$4,'领用录入（明细）'!C:C&gt;=$J$4,'领用录入（明细）'!C:C&lt;=$L$4),ROW(),"-")</f>
        <v>-</v>
      </c>
    </row>
    <row r="25995" customHeight="1" spans="2:2">
      <c r="B25995" s="62" t="str">
        <f>IF(AND('领用录入（明细）'!D:D=$F$4,'领用录入（明细）'!C:C&gt;=$J$4,'领用录入（明细）'!C:C&lt;=$L$4),ROW(),"-")</f>
        <v>-</v>
      </c>
    </row>
    <row r="25996" customHeight="1" spans="2:2">
      <c r="B25996" s="62" t="str">
        <f>IF(AND('领用录入（明细）'!D:D=$F$4,'领用录入（明细）'!C:C&gt;=$J$4,'领用录入（明细）'!C:C&lt;=$L$4),ROW(),"-")</f>
        <v>-</v>
      </c>
    </row>
    <row r="25997" customHeight="1" spans="2:2">
      <c r="B25997" s="62" t="str">
        <f>IF(AND('领用录入（明细）'!D:D=$F$4,'领用录入（明细）'!C:C&gt;=$J$4,'领用录入（明细）'!C:C&lt;=$L$4),ROW(),"-")</f>
        <v>-</v>
      </c>
    </row>
    <row r="25998" customHeight="1" spans="2:2">
      <c r="B25998" s="62" t="str">
        <f>IF(AND('领用录入（明细）'!D:D=$F$4,'领用录入（明细）'!C:C&gt;=$J$4,'领用录入（明细）'!C:C&lt;=$L$4),ROW(),"-")</f>
        <v>-</v>
      </c>
    </row>
    <row r="25999" customHeight="1" spans="2:2">
      <c r="B25999" s="62" t="str">
        <f>IF(AND('领用录入（明细）'!D:D=$F$4,'领用录入（明细）'!C:C&gt;=$J$4,'领用录入（明细）'!C:C&lt;=$L$4),ROW(),"-")</f>
        <v>-</v>
      </c>
    </row>
    <row r="26000" customHeight="1" spans="2:2">
      <c r="B26000" s="62" t="str">
        <f>IF(AND('领用录入（明细）'!D:D=$F$4,'领用录入（明细）'!C:C&gt;=$J$4,'领用录入（明细）'!C:C&lt;=$L$4),ROW(),"-")</f>
        <v>-</v>
      </c>
    </row>
    <row r="26001" customHeight="1" spans="2:2">
      <c r="B26001" s="62" t="str">
        <f>IF(AND('领用录入（明细）'!D:D=$F$4,'领用录入（明细）'!C:C&gt;=$J$4,'领用录入（明细）'!C:C&lt;=$L$4),ROW(),"-")</f>
        <v>-</v>
      </c>
    </row>
    <row r="26002" customHeight="1" spans="2:2">
      <c r="B26002" s="62" t="str">
        <f>IF(AND('领用录入（明细）'!D:D=$F$4,'领用录入（明细）'!C:C&gt;=$J$4,'领用录入（明细）'!C:C&lt;=$L$4),ROW(),"-")</f>
        <v>-</v>
      </c>
    </row>
    <row r="26003" customHeight="1" spans="2:2">
      <c r="B26003" s="62" t="str">
        <f>IF(AND('领用录入（明细）'!D:D=$F$4,'领用录入（明细）'!C:C&gt;=$J$4,'领用录入（明细）'!C:C&lt;=$L$4),ROW(),"-")</f>
        <v>-</v>
      </c>
    </row>
    <row r="26004" customHeight="1" spans="2:2">
      <c r="B26004" s="62" t="str">
        <f>IF(AND('领用录入（明细）'!D:D=$F$4,'领用录入（明细）'!C:C&gt;=$J$4,'领用录入（明细）'!C:C&lt;=$L$4),ROW(),"-")</f>
        <v>-</v>
      </c>
    </row>
    <row r="26005" customHeight="1" spans="2:2">
      <c r="B26005" s="62" t="str">
        <f>IF(AND('领用录入（明细）'!D:D=$F$4,'领用录入（明细）'!C:C&gt;=$J$4,'领用录入（明细）'!C:C&lt;=$L$4),ROW(),"-")</f>
        <v>-</v>
      </c>
    </row>
    <row r="26006" customHeight="1" spans="2:2">
      <c r="B26006" s="62" t="str">
        <f>IF(AND('领用录入（明细）'!D:D=$F$4,'领用录入（明细）'!C:C&gt;=$J$4,'领用录入（明细）'!C:C&lt;=$L$4),ROW(),"-")</f>
        <v>-</v>
      </c>
    </row>
    <row r="26007" customHeight="1" spans="2:2">
      <c r="B26007" s="62" t="str">
        <f>IF(AND('领用录入（明细）'!D:D=$F$4,'领用录入（明细）'!C:C&gt;=$J$4,'领用录入（明细）'!C:C&lt;=$L$4),ROW(),"-")</f>
        <v>-</v>
      </c>
    </row>
    <row r="26008" customHeight="1" spans="2:2">
      <c r="B26008" s="62" t="str">
        <f>IF(AND('领用录入（明细）'!D:D=$F$4,'领用录入（明细）'!C:C&gt;=$J$4,'领用录入（明细）'!C:C&lt;=$L$4),ROW(),"-")</f>
        <v>-</v>
      </c>
    </row>
    <row r="26009" customHeight="1" spans="2:2">
      <c r="B26009" s="62" t="str">
        <f>IF(AND('领用录入（明细）'!D:D=$F$4,'领用录入（明细）'!C:C&gt;=$J$4,'领用录入（明细）'!C:C&lt;=$L$4),ROW(),"-")</f>
        <v>-</v>
      </c>
    </row>
    <row r="26010" customHeight="1" spans="2:2">
      <c r="B26010" s="62" t="str">
        <f>IF(AND('领用录入（明细）'!D:D=$F$4,'领用录入（明细）'!C:C&gt;=$J$4,'领用录入（明细）'!C:C&lt;=$L$4),ROW(),"-")</f>
        <v>-</v>
      </c>
    </row>
    <row r="26011" customHeight="1" spans="2:2">
      <c r="B26011" s="62" t="str">
        <f>IF(AND('领用录入（明细）'!D:D=$F$4,'领用录入（明细）'!C:C&gt;=$J$4,'领用录入（明细）'!C:C&lt;=$L$4),ROW(),"-")</f>
        <v>-</v>
      </c>
    </row>
    <row r="26012" customHeight="1" spans="2:2">
      <c r="B26012" s="62" t="str">
        <f>IF(AND('领用录入（明细）'!D:D=$F$4,'领用录入（明细）'!C:C&gt;=$J$4,'领用录入（明细）'!C:C&lt;=$L$4),ROW(),"-")</f>
        <v>-</v>
      </c>
    </row>
    <row r="26013" customHeight="1" spans="2:2">
      <c r="B26013" s="62" t="str">
        <f>IF(AND('领用录入（明细）'!D:D=$F$4,'领用录入（明细）'!C:C&gt;=$J$4,'领用录入（明细）'!C:C&lt;=$L$4),ROW(),"-")</f>
        <v>-</v>
      </c>
    </row>
    <row r="26014" customHeight="1" spans="2:2">
      <c r="B26014" s="62" t="str">
        <f>IF(AND('领用录入（明细）'!D:D=$F$4,'领用录入（明细）'!C:C&gt;=$J$4,'领用录入（明细）'!C:C&lt;=$L$4),ROW(),"-")</f>
        <v>-</v>
      </c>
    </row>
    <row r="26015" customHeight="1" spans="2:2">
      <c r="B26015" s="62" t="str">
        <f>IF(AND('领用录入（明细）'!D:D=$F$4,'领用录入（明细）'!C:C&gt;=$J$4,'领用录入（明细）'!C:C&lt;=$L$4),ROW(),"-")</f>
        <v>-</v>
      </c>
    </row>
    <row r="26016" customHeight="1" spans="2:2">
      <c r="B26016" s="62" t="str">
        <f>IF(AND('领用录入（明细）'!D:D=$F$4,'领用录入（明细）'!C:C&gt;=$J$4,'领用录入（明细）'!C:C&lt;=$L$4),ROW(),"-")</f>
        <v>-</v>
      </c>
    </row>
    <row r="26017" customHeight="1" spans="2:2">
      <c r="B26017" s="62" t="str">
        <f>IF(AND('领用录入（明细）'!D:D=$F$4,'领用录入（明细）'!C:C&gt;=$J$4,'领用录入（明细）'!C:C&lt;=$L$4),ROW(),"-")</f>
        <v>-</v>
      </c>
    </row>
    <row r="26018" customHeight="1" spans="2:2">
      <c r="B26018" s="62" t="str">
        <f>IF(AND('领用录入（明细）'!D:D=$F$4,'领用录入（明细）'!C:C&gt;=$J$4,'领用录入（明细）'!C:C&lt;=$L$4),ROW(),"-")</f>
        <v>-</v>
      </c>
    </row>
    <row r="26019" customHeight="1" spans="2:2">
      <c r="B26019" s="62" t="str">
        <f>IF(AND('领用录入（明细）'!D:D=$F$4,'领用录入（明细）'!C:C&gt;=$J$4,'领用录入（明细）'!C:C&lt;=$L$4),ROW(),"-")</f>
        <v>-</v>
      </c>
    </row>
    <row r="26020" customHeight="1" spans="2:2">
      <c r="B26020" s="62" t="str">
        <f>IF(AND('领用录入（明细）'!D:D=$F$4,'领用录入（明细）'!C:C&gt;=$J$4,'领用录入（明细）'!C:C&lt;=$L$4),ROW(),"-")</f>
        <v>-</v>
      </c>
    </row>
    <row r="26021" customHeight="1" spans="2:2">
      <c r="B26021" s="62" t="str">
        <f>IF(AND('领用录入（明细）'!D:D=$F$4,'领用录入（明细）'!C:C&gt;=$J$4,'领用录入（明细）'!C:C&lt;=$L$4),ROW(),"-")</f>
        <v>-</v>
      </c>
    </row>
    <row r="26022" customHeight="1" spans="2:2">
      <c r="B26022" s="62" t="str">
        <f>IF(AND('领用录入（明细）'!D:D=$F$4,'领用录入（明细）'!C:C&gt;=$J$4,'领用录入（明细）'!C:C&lt;=$L$4),ROW(),"-")</f>
        <v>-</v>
      </c>
    </row>
    <row r="26023" customHeight="1" spans="2:2">
      <c r="B26023" s="62" t="str">
        <f>IF(AND('领用录入（明细）'!D:D=$F$4,'领用录入（明细）'!C:C&gt;=$J$4,'领用录入（明细）'!C:C&lt;=$L$4),ROW(),"-")</f>
        <v>-</v>
      </c>
    </row>
    <row r="26024" customHeight="1" spans="2:2">
      <c r="B26024" s="62" t="str">
        <f>IF(AND('领用录入（明细）'!D:D=$F$4,'领用录入（明细）'!C:C&gt;=$J$4,'领用录入（明细）'!C:C&lt;=$L$4),ROW(),"-")</f>
        <v>-</v>
      </c>
    </row>
    <row r="26025" customHeight="1" spans="2:2">
      <c r="B26025" s="62" t="str">
        <f>IF(AND('领用录入（明细）'!D:D=$F$4,'领用录入（明细）'!C:C&gt;=$J$4,'领用录入（明细）'!C:C&lt;=$L$4),ROW(),"-")</f>
        <v>-</v>
      </c>
    </row>
    <row r="26026" customHeight="1" spans="2:2">
      <c r="B26026" s="62" t="str">
        <f>IF(AND('领用录入（明细）'!D:D=$F$4,'领用录入（明细）'!C:C&gt;=$J$4,'领用录入（明细）'!C:C&lt;=$L$4),ROW(),"-")</f>
        <v>-</v>
      </c>
    </row>
    <row r="26027" customHeight="1" spans="2:2">
      <c r="B26027" s="62" t="str">
        <f>IF(AND('领用录入（明细）'!D:D=$F$4,'领用录入（明细）'!C:C&gt;=$J$4,'领用录入（明细）'!C:C&lt;=$L$4),ROW(),"-")</f>
        <v>-</v>
      </c>
    </row>
    <row r="26028" customHeight="1" spans="2:2">
      <c r="B26028" s="62" t="str">
        <f>IF(AND('领用录入（明细）'!D:D=$F$4,'领用录入（明细）'!C:C&gt;=$J$4,'领用录入（明细）'!C:C&lt;=$L$4),ROW(),"-")</f>
        <v>-</v>
      </c>
    </row>
    <row r="26029" customHeight="1" spans="2:2">
      <c r="B26029" s="62" t="str">
        <f>IF(AND('领用录入（明细）'!D:D=$F$4,'领用录入（明细）'!C:C&gt;=$J$4,'领用录入（明细）'!C:C&lt;=$L$4),ROW(),"-")</f>
        <v>-</v>
      </c>
    </row>
    <row r="26030" customHeight="1" spans="2:2">
      <c r="B26030" s="62" t="str">
        <f>IF(AND('领用录入（明细）'!D:D=$F$4,'领用录入（明细）'!C:C&gt;=$J$4,'领用录入（明细）'!C:C&lt;=$L$4),ROW(),"-")</f>
        <v>-</v>
      </c>
    </row>
    <row r="26031" customHeight="1" spans="2:2">
      <c r="B26031" s="62" t="str">
        <f>IF(AND('领用录入（明细）'!D:D=$F$4,'领用录入（明细）'!C:C&gt;=$J$4,'领用录入（明细）'!C:C&lt;=$L$4),ROW(),"-")</f>
        <v>-</v>
      </c>
    </row>
    <row r="26032" customHeight="1" spans="2:2">
      <c r="B26032" s="62" t="str">
        <f>IF(AND('领用录入（明细）'!D:D=$F$4,'领用录入（明细）'!C:C&gt;=$J$4,'领用录入（明细）'!C:C&lt;=$L$4),ROW(),"-")</f>
        <v>-</v>
      </c>
    </row>
    <row r="26033" customHeight="1" spans="2:2">
      <c r="B26033" s="62" t="str">
        <f>IF(AND('领用录入（明细）'!D:D=$F$4,'领用录入（明细）'!C:C&gt;=$J$4,'领用录入（明细）'!C:C&lt;=$L$4),ROW(),"-")</f>
        <v>-</v>
      </c>
    </row>
    <row r="26034" customHeight="1" spans="2:2">
      <c r="B26034" s="62" t="str">
        <f>IF(AND('领用录入（明细）'!D:D=$F$4,'领用录入（明细）'!C:C&gt;=$J$4,'领用录入（明细）'!C:C&lt;=$L$4),ROW(),"-")</f>
        <v>-</v>
      </c>
    </row>
    <row r="26035" customHeight="1" spans="2:2">
      <c r="B26035" s="62" t="str">
        <f>IF(AND('领用录入（明细）'!D:D=$F$4,'领用录入（明细）'!C:C&gt;=$J$4,'领用录入（明细）'!C:C&lt;=$L$4),ROW(),"-")</f>
        <v>-</v>
      </c>
    </row>
    <row r="26036" customHeight="1" spans="2:2">
      <c r="B26036" s="62" t="str">
        <f>IF(AND('领用录入（明细）'!D:D=$F$4,'领用录入（明细）'!C:C&gt;=$J$4,'领用录入（明细）'!C:C&lt;=$L$4),ROW(),"-")</f>
        <v>-</v>
      </c>
    </row>
    <row r="26037" customHeight="1" spans="2:2">
      <c r="B26037" s="62" t="str">
        <f>IF(AND('领用录入（明细）'!D:D=$F$4,'领用录入（明细）'!C:C&gt;=$J$4,'领用录入（明细）'!C:C&lt;=$L$4),ROW(),"-")</f>
        <v>-</v>
      </c>
    </row>
    <row r="26038" customHeight="1" spans="2:2">
      <c r="B26038" s="62" t="str">
        <f>IF(AND('领用录入（明细）'!D:D=$F$4,'领用录入（明细）'!C:C&gt;=$J$4,'领用录入（明细）'!C:C&lt;=$L$4),ROW(),"-")</f>
        <v>-</v>
      </c>
    </row>
    <row r="26039" customHeight="1" spans="2:2">
      <c r="B26039" s="62" t="str">
        <f>IF(AND('领用录入（明细）'!D:D=$F$4,'领用录入（明细）'!C:C&gt;=$J$4,'领用录入（明细）'!C:C&lt;=$L$4),ROW(),"-")</f>
        <v>-</v>
      </c>
    </row>
    <row r="26040" customHeight="1" spans="2:2">
      <c r="B26040" s="62" t="str">
        <f>IF(AND('领用录入（明细）'!D:D=$F$4,'领用录入（明细）'!C:C&gt;=$J$4,'领用录入（明细）'!C:C&lt;=$L$4),ROW(),"-")</f>
        <v>-</v>
      </c>
    </row>
    <row r="26041" customHeight="1" spans="2:2">
      <c r="B26041" s="62" t="str">
        <f>IF(AND('领用录入（明细）'!D:D=$F$4,'领用录入（明细）'!C:C&gt;=$J$4,'领用录入（明细）'!C:C&lt;=$L$4),ROW(),"-")</f>
        <v>-</v>
      </c>
    </row>
    <row r="26042" customHeight="1" spans="2:2">
      <c r="B26042" s="62" t="str">
        <f>IF(AND('领用录入（明细）'!D:D=$F$4,'领用录入（明细）'!C:C&gt;=$J$4,'领用录入（明细）'!C:C&lt;=$L$4),ROW(),"-")</f>
        <v>-</v>
      </c>
    </row>
    <row r="26043" customHeight="1" spans="2:2">
      <c r="B26043" s="62" t="str">
        <f>IF(AND('领用录入（明细）'!D:D=$F$4,'领用录入（明细）'!C:C&gt;=$J$4,'领用录入（明细）'!C:C&lt;=$L$4),ROW(),"-")</f>
        <v>-</v>
      </c>
    </row>
    <row r="26044" customHeight="1" spans="2:2">
      <c r="B26044" s="62" t="str">
        <f>IF(AND('领用录入（明细）'!D:D=$F$4,'领用录入（明细）'!C:C&gt;=$J$4,'领用录入（明细）'!C:C&lt;=$L$4),ROW(),"-")</f>
        <v>-</v>
      </c>
    </row>
    <row r="26045" customHeight="1" spans="2:2">
      <c r="B26045" s="62" t="str">
        <f>IF(AND('领用录入（明细）'!D:D=$F$4,'领用录入（明细）'!C:C&gt;=$J$4,'领用录入（明细）'!C:C&lt;=$L$4),ROW(),"-")</f>
        <v>-</v>
      </c>
    </row>
    <row r="26046" customHeight="1" spans="2:2">
      <c r="B26046" s="62" t="str">
        <f>IF(AND('领用录入（明细）'!D:D=$F$4,'领用录入（明细）'!C:C&gt;=$J$4,'领用录入（明细）'!C:C&lt;=$L$4),ROW(),"-")</f>
        <v>-</v>
      </c>
    </row>
    <row r="26047" customHeight="1" spans="2:2">
      <c r="B26047" s="62" t="str">
        <f>IF(AND('领用录入（明细）'!D:D=$F$4,'领用录入（明细）'!C:C&gt;=$J$4,'领用录入（明细）'!C:C&lt;=$L$4),ROW(),"-")</f>
        <v>-</v>
      </c>
    </row>
    <row r="26048" customHeight="1" spans="2:2">
      <c r="B26048" s="62" t="str">
        <f>IF(AND('领用录入（明细）'!D:D=$F$4,'领用录入（明细）'!C:C&gt;=$J$4,'领用录入（明细）'!C:C&lt;=$L$4),ROW(),"-")</f>
        <v>-</v>
      </c>
    </row>
    <row r="26049" customHeight="1" spans="2:2">
      <c r="B26049" s="62" t="str">
        <f>IF(AND('领用录入（明细）'!D:D=$F$4,'领用录入（明细）'!C:C&gt;=$J$4,'领用录入（明细）'!C:C&lt;=$L$4),ROW(),"-")</f>
        <v>-</v>
      </c>
    </row>
    <row r="26050" customHeight="1" spans="2:2">
      <c r="B26050" s="62" t="str">
        <f>IF(AND('领用录入（明细）'!D:D=$F$4,'领用录入（明细）'!C:C&gt;=$J$4,'领用录入（明细）'!C:C&lt;=$L$4),ROW(),"-")</f>
        <v>-</v>
      </c>
    </row>
    <row r="26051" customHeight="1" spans="2:2">
      <c r="B26051" s="62" t="str">
        <f>IF(AND('领用录入（明细）'!D:D=$F$4,'领用录入（明细）'!C:C&gt;=$J$4,'领用录入（明细）'!C:C&lt;=$L$4),ROW(),"-")</f>
        <v>-</v>
      </c>
    </row>
    <row r="26052" customHeight="1" spans="2:2">
      <c r="B26052" s="62" t="str">
        <f>IF(AND('领用录入（明细）'!D:D=$F$4,'领用录入（明细）'!C:C&gt;=$J$4,'领用录入（明细）'!C:C&lt;=$L$4),ROW(),"-")</f>
        <v>-</v>
      </c>
    </row>
    <row r="26053" customHeight="1" spans="2:2">
      <c r="B26053" s="62" t="str">
        <f>IF(AND('领用录入（明细）'!D:D=$F$4,'领用录入（明细）'!C:C&gt;=$J$4,'领用录入（明细）'!C:C&lt;=$L$4),ROW(),"-")</f>
        <v>-</v>
      </c>
    </row>
    <row r="26054" customHeight="1" spans="2:2">
      <c r="B26054" s="62" t="str">
        <f>IF(AND('领用录入（明细）'!D:D=$F$4,'领用录入（明细）'!C:C&gt;=$J$4,'领用录入（明细）'!C:C&lt;=$L$4),ROW(),"-")</f>
        <v>-</v>
      </c>
    </row>
    <row r="26055" customHeight="1" spans="2:2">
      <c r="B26055" s="62" t="str">
        <f>IF(AND('领用录入（明细）'!D:D=$F$4,'领用录入（明细）'!C:C&gt;=$J$4,'领用录入（明细）'!C:C&lt;=$L$4),ROW(),"-")</f>
        <v>-</v>
      </c>
    </row>
    <row r="26056" customHeight="1" spans="2:2">
      <c r="B26056" s="62" t="str">
        <f>IF(AND('领用录入（明细）'!D:D=$F$4,'领用录入（明细）'!C:C&gt;=$J$4,'领用录入（明细）'!C:C&lt;=$L$4),ROW(),"-")</f>
        <v>-</v>
      </c>
    </row>
    <row r="26057" customHeight="1" spans="2:2">
      <c r="B26057" s="62" t="str">
        <f>IF(AND('领用录入（明细）'!D:D=$F$4,'领用录入（明细）'!C:C&gt;=$J$4,'领用录入（明细）'!C:C&lt;=$L$4),ROW(),"-")</f>
        <v>-</v>
      </c>
    </row>
    <row r="26058" customHeight="1" spans="2:2">
      <c r="B26058" s="62" t="str">
        <f>IF(AND('领用录入（明细）'!D:D=$F$4,'领用录入（明细）'!C:C&gt;=$J$4,'领用录入（明细）'!C:C&lt;=$L$4),ROW(),"-")</f>
        <v>-</v>
      </c>
    </row>
    <row r="26059" customHeight="1" spans="2:2">
      <c r="B26059" s="62" t="str">
        <f>IF(AND('领用录入（明细）'!D:D=$F$4,'领用录入（明细）'!C:C&gt;=$J$4,'领用录入（明细）'!C:C&lt;=$L$4),ROW(),"-")</f>
        <v>-</v>
      </c>
    </row>
    <row r="26060" customHeight="1" spans="2:2">
      <c r="B26060" s="62" t="str">
        <f>IF(AND('领用录入（明细）'!D:D=$F$4,'领用录入（明细）'!C:C&gt;=$J$4,'领用录入（明细）'!C:C&lt;=$L$4),ROW(),"-")</f>
        <v>-</v>
      </c>
    </row>
    <row r="26061" customHeight="1" spans="2:2">
      <c r="B26061" s="62" t="str">
        <f>IF(AND('领用录入（明细）'!D:D=$F$4,'领用录入（明细）'!C:C&gt;=$J$4,'领用录入（明细）'!C:C&lt;=$L$4),ROW(),"-")</f>
        <v>-</v>
      </c>
    </row>
    <row r="26062" customHeight="1" spans="2:2">
      <c r="B26062" s="62" t="str">
        <f>IF(AND('领用录入（明细）'!D:D=$F$4,'领用录入（明细）'!C:C&gt;=$J$4,'领用录入（明细）'!C:C&lt;=$L$4),ROW(),"-")</f>
        <v>-</v>
      </c>
    </row>
    <row r="26063" customHeight="1" spans="2:2">
      <c r="B26063" s="62" t="str">
        <f>IF(AND('领用录入（明细）'!D:D=$F$4,'领用录入（明细）'!C:C&gt;=$J$4,'领用录入（明细）'!C:C&lt;=$L$4),ROW(),"-")</f>
        <v>-</v>
      </c>
    </row>
    <row r="26064" customHeight="1" spans="2:2">
      <c r="B26064" s="62" t="str">
        <f>IF(AND('领用录入（明细）'!D:D=$F$4,'领用录入（明细）'!C:C&gt;=$J$4,'领用录入（明细）'!C:C&lt;=$L$4),ROW(),"-")</f>
        <v>-</v>
      </c>
    </row>
    <row r="26065" customHeight="1" spans="2:2">
      <c r="B26065" s="62" t="str">
        <f>IF(AND('领用录入（明细）'!D:D=$F$4,'领用录入（明细）'!C:C&gt;=$J$4,'领用录入（明细）'!C:C&lt;=$L$4),ROW(),"-")</f>
        <v>-</v>
      </c>
    </row>
    <row r="26066" customHeight="1" spans="2:2">
      <c r="B26066" s="62" t="str">
        <f>IF(AND('领用录入（明细）'!D:D=$F$4,'领用录入（明细）'!C:C&gt;=$J$4,'领用录入（明细）'!C:C&lt;=$L$4),ROW(),"-")</f>
        <v>-</v>
      </c>
    </row>
    <row r="26067" customHeight="1" spans="2:2">
      <c r="B26067" s="62" t="str">
        <f>IF(AND('领用录入（明细）'!D:D=$F$4,'领用录入（明细）'!C:C&gt;=$J$4,'领用录入（明细）'!C:C&lt;=$L$4),ROW(),"-")</f>
        <v>-</v>
      </c>
    </row>
    <row r="26068" customHeight="1" spans="2:2">
      <c r="B26068" s="62" t="str">
        <f>IF(AND('领用录入（明细）'!D:D=$F$4,'领用录入（明细）'!C:C&gt;=$J$4,'领用录入（明细）'!C:C&lt;=$L$4),ROW(),"-")</f>
        <v>-</v>
      </c>
    </row>
    <row r="26069" customHeight="1" spans="2:2">
      <c r="B26069" s="62" t="str">
        <f>IF(AND('领用录入（明细）'!D:D=$F$4,'领用录入（明细）'!C:C&gt;=$J$4,'领用录入（明细）'!C:C&lt;=$L$4),ROW(),"-")</f>
        <v>-</v>
      </c>
    </row>
    <row r="26070" customHeight="1" spans="2:2">
      <c r="B26070" s="62" t="str">
        <f>IF(AND('领用录入（明细）'!D:D=$F$4,'领用录入（明细）'!C:C&gt;=$J$4,'领用录入（明细）'!C:C&lt;=$L$4),ROW(),"-")</f>
        <v>-</v>
      </c>
    </row>
    <row r="26071" customHeight="1" spans="2:2">
      <c r="B26071" s="62" t="str">
        <f>IF(AND('领用录入（明细）'!D:D=$F$4,'领用录入（明细）'!C:C&gt;=$J$4,'领用录入（明细）'!C:C&lt;=$L$4),ROW(),"-")</f>
        <v>-</v>
      </c>
    </row>
    <row r="26072" customHeight="1" spans="2:2">
      <c r="B26072" s="62" t="str">
        <f>IF(AND('领用录入（明细）'!D:D=$F$4,'领用录入（明细）'!C:C&gt;=$J$4,'领用录入（明细）'!C:C&lt;=$L$4),ROW(),"-")</f>
        <v>-</v>
      </c>
    </row>
    <row r="26073" customHeight="1" spans="2:2">
      <c r="B26073" s="62" t="str">
        <f>IF(AND('领用录入（明细）'!D:D=$F$4,'领用录入（明细）'!C:C&gt;=$J$4,'领用录入（明细）'!C:C&lt;=$L$4),ROW(),"-")</f>
        <v>-</v>
      </c>
    </row>
    <row r="26074" customHeight="1" spans="2:2">
      <c r="B26074" s="62" t="str">
        <f>IF(AND('领用录入（明细）'!D:D=$F$4,'领用录入（明细）'!C:C&gt;=$J$4,'领用录入（明细）'!C:C&lt;=$L$4),ROW(),"-")</f>
        <v>-</v>
      </c>
    </row>
    <row r="26075" customHeight="1" spans="2:2">
      <c r="B26075" s="62" t="str">
        <f>IF(AND('领用录入（明细）'!D:D=$F$4,'领用录入（明细）'!C:C&gt;=$J$4,'领用录入（明细）'!C:C&lt;=$L$4),ROW(),"-")</f>
        <v>-</v>
      </c>
    </row>
    <row r="26076" customHeight="1" spans="2:2">
      <c r="B26076" s="62" t="str">
        <f>IF(AND('领用录入（明细）'!D:D=$F$4,'领用录入（明细）'!C:C&gt;=$J$4,'领用录入（明细）'!C:C&lt;=$L$4),ROW(),"-")</f>
        <v>-</v>
      </c>
    </row>
    <row r="26077" customHeight="1" spans="2:2">
      <c r="B26077" s="62" t="str">
        <f>IF(AND('领用录入（明细）'!D:D=$F$4,'领用录入（明细）'!C:C&gt;=$J$4,'领用录入（明细）'!C:C&lt;=$L$4),ROW(),"-")</f>
        <v>-</v>
      </c>
    </row>
    <row r="26078" customHeight="1" spans="2:2">
      <c r="B26078" s="62" t="str">
        <f>IF(AND('领用录入（明细）'!D:D=$F$4,'领用录入（明细）'!C:C&gt;=$J$4,'领用录入（明细）'!C:C&lt;=$L$4),ROW(),"-")</f>
        <v>-</v>
      </c>
    </row>
    <row r="26079" customHeight="1" spans="2:2">
      <c r="B26079" s="62" t="str">
        <f>IF(AND('领用录入（明细）'!D:D=$F$4,'领用录入（明细）'!C:C&gt;=$J$4,'领用录入（明细）'!C:C&lt;=$L$4),ROW(),"-")</f>
        <v>-</v>
      </c>
    </row>
    <row r="26080" customHeight="1" spans="2:2">
      <c r="B26080" s="62" t="str">
        <f>IF(AND('领用录入（明细）'!D:D=$F$4,'领用录入（明细）'!C:C&gt;=$J$4,'领用录入（明细）'!C:C&lt;=$L$4),ROW(),"-")</f>
        <v>-</v>
      </c>
    </row>
    <row r="26081" customHeight="1" spans="2:2">
      <c r="B26081" s="62" t="str">
        <f>IF(AND('领用录入（明细）'!D:D=$F$4,'领用录入（明细）'!C:C&gt;=$J$4,'领用录入（明细）'!C:C&lt;=$L$4),ROW(),"-")</f>
        <v>-</v>
      </c>
    </row>
    <row r="26082" customHeight="1" spans="2:2">
      <c r="B26082" s="62" t="str">
        <f>IF(AND('领用录入（明细）'!D:D=$F$4,'领用录入（明细）'!C:C&gt;=$J$4,'领用录入（明细）'!C:C&lt;=$L$4),ROW(),"-")</f>
        <v>-</v>
      </c>
    </row>
    <row r="26083" customHeight="1" spans="2:2">
      <c r="B26083" s="62" t="str">
        <f>IF(AND('领用录入（明细）'!D:D=$F$4,'领用录入（明细）'!C:C&gt;=$J$4,'领用录入（明细）'!C:C&lt;=$L$4),ROW(),"-")</f>
        <v>-</v>
      </c>
    </row>
    <row r="26084" customHeight="1" spans="2:2">
      <c r="B26084" s="62" t="str">
        <f>IF(AND('领用录入（明细）'!D:D=$F$4,'领用录入（明细）'!C:C&gt;=$J$4,'领用录入（明细）'!C:C&lt;=$L$4),ROW(),"-")</f>
        <v>-</v>
      </c>
    </row>
    <row r="26085" customHeight="1" spans="2:2">
      <c r="B26085" s="62" t="str">
        <f>IF(AND('领用录入（明细）'!D:D=$F$4,'领用录入（明细）'!C:C&gt;=$J$4,'领用录入（明细）'!C:C&lt;=$L$4),ROW(),"-")</f>
        <v>-</v>
      </c>
    </row>
    <row r="26086" customHeight="1" spans="2:2">
      <c r="B26086" s="62" t="str">
        <f>IF(AND('领用录入（明细）'!D:D=$F$4,'领用录入（明细）'!C:C&gt;=$J$4,'领用录入（明细）'!C:C&lt;=$L$4),ROW(),"-")</f>
        <v>-</v>
      </c>
    </row>
    <row r="26087" customHeight="1" spans="2:2">
      <c r="B26087" s="62" t="str">
        <f>IF(AND('领用录入（明细）'!D:D=$F$4,'领用录入（明细）'!C:C&gt;=$J$4,'领用录入（明细）'!C:C&lt;=$L$4),ROW(),"-")</f>
        <v>-</v>
      </c>
    </row>
    <row r="26088" customHeight="1" spans="2:2">
      <c r="B26088" s="62" t="str">
        <f>IF(AND('领用录入（明细）'!D:D=$F$4,'领用录入（明细）'!C:C&gt;=$J$4,'领用录入（明细）'!C:C&lt;=$L$4),ROW(),"-")</f>
        <v>-</v>
      </c>
    </row>
    <row r="26089" customHeight="1" spans="2:2">
      <c r="B26089" s="62" t="str">
        <f>IF(AND('领用录入（明细）'!D:D=$F$4,'领用录入（明细）'!C:C&gt;=$J$4,'领用录入（明细）'!C:C&lt;=$L$4),ROW(),"-")</f>
        <v>-</v>
      </c>
    </row>
    <row r="26090" customHeight="1" spans="2:2">
      <c r="B26090" s="62" t="str">
        <f>IF(AND('领用录入（明细）'!D:D=$F$4,'领用录入（明细）'!C:C&gt;=$J$4,'领用录入（明细）'!C:C&lt;=$L$4),ROW(),"-")</f>
        <v>-</v>
      </c>
    </row>
    <row r="26091" customHeight="1" spans="2:2">
      <c r="B26091" s="62" t="str">
        <f>IF(AND('领用录入（明细）'!D:D=$F$4,'领用录入（明细）'!C:C&gt;=$J$4,'领用录入（明细）'!C:C&lt;=$L$4),ROW(),"-")</f>
        <v>-</v>
      </c>
    </row>
    <row r="26092" customHeight="1" spans="2:2">
      <c r="B26092" s="62" t="str">
        <f>IF(AND('领用录入（明细）'!D:D=$F$4,'领用录入（明细）'!C:C&gt;=$J$4,'领用录入（明细）'!C:C&lt;=$L$4),ROW(),"-")</f>
        <v>-</v>
      </c>
    </row>
    <row r="26093" customHeight="1" spans="2:2">
      <c r="B26093" s="62" t="str">
        <f>IF(AND('领用录入（明细）'!D:D=$F$4,'领用录入（明细）'!C:C&gt;=$J$4,'领用录入（明细）'!C:C&lt;=$L$4),ROW(),"-")</f>
        <v>-</v>
      </c>
    </row>
    <row r="26094" customHeight="1" spans="2:2">
      <c r="B26094" s="62" t="str">
        <f>IF(AND('领用录入（明细）'!D:D=$F$4,'领用录入（明细）'!C:C&gt;=$J$4,'领用录入（明细）'!C:C&lt;=$L$4),ROW(),"-")</f>
        <v>-</v>
      </c>
    </row>
    <row r="26095" customHeight="1" spans="2:2">
      <c r="B26095" s="62" t="str">
        <f>IF(AND('领用录入（明细）'!D:D=$F$4,'领用录入（明细）'!C:C&gt;=$J$4,'领用录入（明细）'!C:C&lt;=$L$4),ROW(),"-")</f>
        <v>-</v>
      </c>
    </row>
    <row r="26096" customHeight="1" spans="2:2">
      <c r="B26096" s="62" t="str">
        <f>IF(AND('领用录入（明细）'!D:D=$F$4,'领用录入（明细）'!C:C&gt;=$J$4,'领用录入（明细）'!C:C&lt;=$L$4),ROW(),"-")</f>
        <v>-</v>
      </c>
    </row>
    <row r="26097" customHeight="1" spans="2:2">
      <c r="B26097" s="62" t="str">
        <f>IF(AND('领用录入（明细）'!D:D=$F$4,'领用录入（明细）'!C:C&gt;=$J$4,'领用录入（明细）'!C:C&lt;=$L$4),ROW(),"-")</f>
        <v>-</v>
      </c>
    </row>
    <row r="26098" customHeight="1" spans="2:2">
      <c r="B26098" s="62" t="str">
        <f>IF(AND('领用录入（明细）'!D:D=$F$4,'领用录入（明细）'!C:C&gt;=$J$4,'领用录入（明细）'!C:C&lt;=$L$4),ROW(),"-")</f>
        <v>-</v>
      </c>
    </row>
    <row r="26099" customHeight="1" spans="2:2">
      <c r="B26099" s="62" t="str">
        <f>IF(AND('领用录入（明细）'!D:D=$F$4,'领用录入（明细）'!C:C&gt;=$J$4,'领用录入（明细）'!C:C&lt;=$L$4),ROW(),"-")</f>
        <v>-</v>
      </c>
    </row>
    <row r="26100" customHeight="1" spans="2:2">
      <c r="B26100" s="62" t="str">
        <f>IF(AND('领用录入（明细）'!D:D=$F$4,'领用录入（明细）'!C:C&gt;=$J$4,'领用录入（明细）'!C:C&lt;=$L$4),ROW(),"-")</f>
        <v>-</v>
      </c>
    </row>
    <row r="26101" customHeight="1" spans="2:2">
      <c r="B26101" s="62" t="str">
        <f>IF(AND('领用录入（明细）'!D:D=$F$4,'领用录入（明细）'!C:C&gt;=$J$4,'领用录入（明细）'!C:C&lt;=$L$4),ROW(),"-")</f>
        <v>-</v>
      </c>
    </row>
    <row r="26102" customHeight="1" spans="2:2">
      <c r="B26102" s="62" t="str">
        <f>IF(AND('领用录入（明细）'!D:D=$F$4,'领用录入（明细）'!C:C&gt;=$J$4,'领用录入（明细）'!C:C&lt;=$L$4),ROW(),"-")</f>
        <v>-</v>
      </c>
    </row>
    <row r="26103" customHeight="1" spans="2:2">
      <c r="B26103" s="62" t="str">
        <f>IF(AND('领用录入（明细）'!D:D=$F$4,'领用录入（明细）'!C:C&gt;=$J$4,'领用录入（明细）'!C:C&lt;=$L$4),ROW(),"-")</f>
        <v>-</v>
      </c>
    </row>
    <row r="26104" customHeight="1" spans="2:2">
      <c r="B26104" s="62" t="str">
        <f>IF(AND('领用录入（明细）'!D:D=$F$4,'领用录入（明细）'!C:C&gt;=$J$4,'领用录入（明细）'!C:C&lt;=$L$4),ROW(),"-")</f>
        <v>-</v>
      </c>
    </row>
    <row r="26105" customHeight="1" spans="2:2">
      <c r="B26105" s="62" t="str">
        <f>IF(AND('领用录入（明细）'!D:D=$F$4,'领用录入（明细）'!C:C&gt;=$J$4,'领用录入（明细）'!C:C&lt;=$L$4),ROW(),"-")</f>
        <v>-</v>
      </c>
    </row>
    <row r="26106" customHeight="1" spans="2:2">
      <c r="B26106" s="62" t="str">
        <f>IF(AND('领用录入（明细）'!D:D=$F$4,'领用录入（明细）'!C:C&gt;=$J$4,'领用录入（明细）'!C:C&lt;=$L$4),ROW(),"-")</f>
        <v>-</v>
      </c>
    </row>
    <row r="26107" customHeight="1" spans="2:2">
      <c r="B26107" s="62" t="str">
        <f>IF(AND('领用录入（明细）'!D:D=$F$4,'领用录入（明细）'!C:C&gt;=$J$4,'领用录入（明细）'!C:C&lt;=$L$4),ROW(),"-")</f>
        <v>-</v>
      </c>
    </row>
    <row r="26108" customHeight="1" spans="2:2">
      <c r="B26108" s="62" t="str">
        <f>IF(AND('领用录入（明细）'!D:D=$F$4,'领用录入（明细）'!C:C&gt;=$J$4,'领用录入（明细）'!C:C&lt;=$L$4),ROW(),"-")</f>
        <v>-</v>
      </c>
    </row>
    <row r="26109" customHeight="1" spans="2:2">
      <c r="B26109" s="62" t="str">
        <f>IF(AND('领用录入（明细）'!D:D=$F$4,'领用录入（明细）'!C:C&gt;=$J$4,'领用录入（明细）'!C:C&lt;=$L$4),ROW(),"-")</f>
        <v>-</v>
      </c>
    </row>
    <row r="26110" customHeight="1" spans="2:2">
      <c r="B26110" s="62" t="str">
        <f>IF(AND('领用录入（明细）'!D:D=$F$4,'领用录入（明细）'!C:C&gt;=$J$4,'领用录入（明细）'!C:C&lt;=$L$4),ROW(),"-")</f>
        <v>-</v>
      </c>
    </row>
    <row r="26111" customHeight="1" spans="2:2">
      <c r="B26111" s="62" t="str">
        <f>IF(AND('领用录入（明细）'!D:D=$F$4,'领用录入（明细）'!C:C&gt;=$J$4,'领用录入（明细）'!C:C&lt;=$L$4),ROW(),"-")</f>
        <v>-</v>
      </c>
    </row>
    <row r="26112" customHeight="1" spans="2:2">
      <c r="B26112" s="62" t="str">
        <f>IF(AND('领用录入（明细）'!D:D=$F$4,'领用录入（明细）'!C:C&gt;=$J$4,'领用录入（明细）'!C:C&lt;=$L$4),ROW(),"-")</f>
        <v>-</v>
      </c>
    </row>
    <row r="26113" customHeight="1" spans="2:2">
      <c r="B26113" s="62" t="str">
        <f>IF(AND('领用录入（明细）'!D:D=$F$4,'领用录入（明细）'!C:C&gt;=$J$4,'领用录入（明细）'!C:C&lt;=$L$4),ROW(),"-")</f>
        <v>-</v>
      </c>
    </row>
    <row r="26114" customHeight="1" spans="2:2">
      <c r="B26114" s="62" t="str">
        <f>IF(AND('领用录入（明细）'!D:D=$F$4,'领用录入（明细）'!C:C&gt;=$J$4,'领用录入（明细）'!C:C&lt;=$L$4),ROW(),"-")</f>
        <v>-</v>
      </c>
    </row>
    <row r="26115" customHeight="1" spans="2:2">
      <c r="B26115" s="62" t="str">
        <f>IF(AND('领用录入（明细）'!D:D=$F$4,'领用录入（明细）'!C:C&gt;=$J$4,'领用录入（明细）'!C:C&lt;=$L$4),ROW(),"-")</f>
        <v>-</v>
      </c>
    </row>
    <row r="26116" customHeight="1" spans="2:2">
      <c r="B26116" s="62" t="str">
        <f>IF(AND('领用录入（明细）'!D:D=$F$4,'领用录入（明细）'!C:C&gt;=$J$4,'领用录入（明细）'!C:C&lt;=$L$4),ROW(),"-")</f>
        <v>-</v>
      </c>
    </row>
    <row r="26117" customHeight="1" spans="2:2">
      <c r="B26117" s="62" t="str">
        <f>IF(AND('领用录入（明细）'!D:D=$F$4,'领用录入（明细）'!C:C&gt;=$J$4,'领用录入（明细）'!C:C&lt;=$L$4),ROW(),"-")</f>
        <v>-</v>
      </c>
    </row>
    <row r="26118" customHeight="1" spans="2:2">
      <c r="B26118" s="62" t="str">
        <f>IF(AND('领用录入（明细）'!D:D=$F$4,'领用录入（明细）'!C:C&gt;=$J$4,'领用录入（明细）'!C:C&lt;=$L$4),ROW(),"-")</f>
        <v>-</v>
      </c>
    </row>
    <row r="26119" customHeight="1" spans="2:2">
      <c r="B26119" s="62" t="str">
        <f>IF(AND('领用录入（明细）'!D:D=$F$4,'领用录入（明细）'!C:C&gt;=$J$4,'领用录入（明细）'!C:C&lt;=$L$4),ROW(),"-")</f>
        <v>-</v>
      </c>
    </row>
    <row r="26120" customHeight="1" spans="2:2">
      <c r="B26120" s="62" t="str">
        <f>IF(AND('领用录入（明细）'!D:D=$F$4,'领用录入（明细）'!C:C&gt;=$J$4,'领用录入（明细）'!C:C&lt;=$L$4),ROW(),"-")</f>
        <v>-</v>
      </c>
    </row>
    <row r="26121" customHeight="1" spans="2:2">
      <c r="B26121" s="62" t="str">
        <f>IF(AND('领用录入（明细）'!D:D=$F$4,'领用录入（明细）'!C:C&gt;=$J$4,'领用录入（明细）'!C:C&lt;=$L$4),ROW(),"-")</f>
        <v>-</v>
      </c>
    </row>
    <row r="26122" customHeight="1" spans="2:2">
      <c r="B26122" s="62" t="str">
        <f>IF(AND('领用录入（明细）'!D:D=$F$4,'领用录入（明细）'!C:C&gt;=$J$4,'领用录入（明细）'!C:C&lt;=$L$4),ROW(),"-")</f>
        <v>-</v>
      </c>
    </row>
    <row r="26123" customHeight="1" spans="2:2">
      <c r="B26123" s="62" t="str">
        <f>IF(AND('领用录入（明细）'!D:D=$F$4,'领用录入（明细）'!C:C&gt;=$J$4,'领用录入（明细）'!C:C&lt;=$L$4),ROW(),"-")</f>
        <v>-</v>
      </c>
    </row>
    <row r="26124" customHeight="1" spans="2:2">
      <c r="B26124" s="62" t="str">
        <f>IF(AND('领用录入（明细）'!D:D=$F$4,'领用录入（明细）'!C:C&gt;=$J$4,'领用录入（明细）'!C:C&lt;=$L$4),ROW(),"-")</f>
        <v>-</v>
      </c>
    </row>
    <row r="26125" customHeight="1" spans="2:2">
      <c r="B26125" s="62" t="str">
        <f>IF(AND('领用录入（明细）'!D:D=$F$4,'领用录入（明细）'!C:C&gt;=$J$4,'领用录入（明细）'!C:C&lt;=$L$4),ROW(),"-")</f>
        <v>-</v>
      </c>
    </row>
    <row r="26126" customHeight="1" spans="2:2">
      <c r="B26126" s="62" t="str">
        <f>IF(AND('领用录入（明细）'!D:D=$F$4,'领用录入（明细）'!C:C&gt;=$J$4,'领用录入（明细）'!C:C&lt;=$L$4),ROW(),"-")</f>
        <v>-</v>
      </c>
    </row>
    <row r="26127" customHeight="1" spans="2:2">
      <c r="B26127" s="62" t="str">
        <f>IF(AND('领用录入（明细）'!D:D=$F$4,'领用录入（明细）'!C:C&gt;=$J$4,'领用录入（明细）'!C:C&lt;=$L$4),ROW(),"-")</f>
        <v>-</v>
      </c>
    </row>
    <row r="26128" customHeight="1" spans="2:2">
      <c r="B26128" s="62" t="str">
        <f>IF(AND('领用录入（明细）'!D:D=$F$4,'领用录入（明细）'!C:C&gt;=$J$4,'领用录入（明细）'!C:C&lt;=$L$4),ROW(),"-")</f>
        <v>-</v>
      </c>
    </row>
    <row r="26129" customHeight="1" spans="2:2">
      <c r="B26129" s="62" t="str">
        <f>IF(AND('领用录入（明细）'!D:D=$F$4,'领用录入（明细）'!C:C&gt;=$J$4,'领用录入（明细）'!C:C&lt;=$L$4),ROW(),"-")</f>
        <v>-</v>
      </c>
    </row>
    <row r="26130" customHeight="1" spans="2:2">
      <c r="B26130" s="62" t="str">
        <f>IF(AND('领用录入（明细）'!D:D=$F$4,'领用录入（明细）'!C:C&gt;=$J$4,'领用录入（明细）'!C:C&lt;=$L$4),ROW(),"-")</f>
        <v>-</v>
      </c>
    </row>
    <row r="26131" customHeight="1" spans="2:2">
      <c r="B26131" s="62" t="str">
        <f>IF(AND('领用录入（明细）'!D:D=$F$4,'领用录入（明细）'!C:C&gt;=$J$4,'领用录入（明细）'!C:C&lt;=$L$4),ROW(),"-")</f>
        <v>-</v>
      </c>
    </row>
    <row r="26132" customHeight="1" spans="2:2">
      <c r="B26132" s="62" t="str">
        <f>IF(AND('领用录入（明细）'!D:D=$F$4,'领用录入（明细）'!C:C&gt;=$J$4,'领用录入（明细）'!C:C&lt;=$L$4),ROW(),"-")</f>
        <v>-</v>
      </c>
    </row>
    <row r="26133" customHeight="1" spans="2:2">
      <c r="B26133" s="62" t="str">
        <f>IF(AND('领用录入（明细）'!D:D=$F$4,'领用录入（明细）'!C:C&gt;=$J$4,'领用录入（明细）'!C:C&lt;=$L$4),ROW(),"-")</f>
        <v>-</v>
      </c>
    </row>
    <row r="26134" customHeight="1" spans="2:2">
      <c r="B26134" s="62" t="str">
        <f>IF(AND('领用录入（明细）'!D:D=$F$4,'领用录入（明细）'!C:C&gt;=$J$4,'领用录入（明细）'!C:C&lt;=$L$4),ROW(),"-")</f>
        <v>-</v>
      </c>
    </row>
    <row r="26135" customHeight="1" spans="2:2">
      <c r="B26135" s="62" t="str">
        <f>IF(AND('领用录入（明细）'!D:D=$F$4,'领用录入（明细）'!C:C&gt;=$J$4,'领用录入（明细）'!C:C&lt;=$L$4),ROW(),"-")</f>
        <v>-</v>
      </c>
    </row>
    <row r="26136" customHeight="1" spans="2:2">
      <c r="B26136" s="62" t="str">
        <f>IF(AND('领用录入（明细）'!D:D=$F$4,'领用录入（明细）'!C:C&gt;=$J$4,'领用录入（明细）'!C:C&lt;=$L$4),ROW(),"-")</f>
        <v>-</v>
      </c>
    </row>
    <row r="26137" customHeight="1" spans="2:2">
      <c r="B26137" s="62" t="str">
        <f>IF(AND('领用录入（明细）'!D:D=$F$4,'领用录入（明细）'!C:C&gt;=$J$4,'领用录入（明细）'!C:C&lt;=$L$4),ROW(),"-")</f>
        <v>-</v>
      </c>
    </row>
    <row r="26138" customHeight="1" spans="2:2">
      <c r="B26138" s="62" t="str">
        <f>IF(AND('领用录入（明细）'!D:D=$F$4,'领用录入（明细）'!C:C&gt;=$J$4,'领用录入（明细）'!C:C&lt;=$L$4),ROW(),"-")</f>
        <v>-</v>
      </c>
    </row>
    <row r="26139" customHeight="1" spans="2:2">
      <c r="B26139" s="62" t="str">
        <f>IF(AND('领用录入（明细）'!D:D=$F$4,'领用录入（明细）'!C:C&gt;=$J$4,'领用录入（明细）'!C:C&lt;=$L$4),ROW(),"-")</f>
        <v>-</v>
      </c>
    </row>
    <row r="26140" customHeight="1" spans="2:2">
      <c r="B26140" s="62" t="str">
        <f>IF(AND('领用录入（明细）'!D:D=$F$4,'领用录入（明细）'!C:C&gt;=$J$4,'领用录入（明细）'!C:C&lt;=$L$4),ROW(),"-")</f>
        <v>-</v>
      </c>
    </row>
    <row r="26141" customHeight="1" spans="2:2">
      <c r="B26141" s="62" t="str">
        <f>IF(AND('领用录入（明细）'!D:D=$F$4,'领用录入（明细）'!C:C&gt;=$J$4,'领用录入（明细）'!C:C&lt;=$L$4),ROW(),"-")</f>
        <v>-</v>
      </c>
    </row>
    <row r="26142" customHeight="1" spans="2:2">
      <c r="B26142" s="62" t="str">
        <f>IF(AND('领用录入（明细）'!D:D=$F$4,'领用录入（明细）'!C:C&gt;=$J$4,'领用录入（明细）'!C:C&lt;=$L$4),ROW(),"-")</f>
        <v>-</v>
      </c>
    </row>
    <row r="26143" customHeight="1" spans="2:2">
      <c r="B26143" s="62" t="str">
        <f>IF(AND('领用录入（明细）'!D:D=$F$4,'领用录入（明细）'!C:C&gt;=$J$4,'领用录入（明细）'!C:C&lt;=$L$4),ROW(),"-")</f>
        <v>-</v>
      </c>
    </row>
    <row r="26144" customHeight="1" spans="2:2">
      <c r="B26144" s="62" t="str">
        <f>IF(AND('领用录入（明细）'!D:D=$F$4,'领用录入（明细）'!C:C&gt;=$J$4,'领用录入（明细）'!C:C&lt;=$L$4),ROW(),"-")</f>
        <v>-</v>
      </c>
    </row>
    <row r="26145" customHeight="1" spans="2:2">
      <c r="B26145" s="62" t="str">
        <f>IF(AND('领用录入（明细）'!D:D=$F$4,'领用录入（明细）'!C:C&gt;=$J$4,'领用录入（明细）'!C:C&lt;=$L$4),ROW(),"-")</f>
        <v>-</v>
      </c>
    </row>
    <row r="26146" customHeight="1" spans="2:2">
      <c r="B26146" s="62" t="str">
        <f>IF(AND('领用录入（明细）'!D:D=$F$4,'领用录入（明细）'!C:C&gt;=$J$4,'领用录入（明细）'!C:C&lt;=$L$4),ROW(),"-")</f>
        <v>-</v>
      </c>
    </row>
    <row r="26147" customHeight="1" spans="2:2">
      <c r="B26147" s="62" t="str">
        <f>IF(AND('领用录入（明细）'!D:D=$F$4,'领用录入（明细）'!C:C&gt;=$J$4,'领用录入（明细）'!C:C&lt;=$L$4),ROW(),"-")</f>
        <v>-</v>
      </c>
    </row>
    <row r="26148" customHeight="1" spans="2:2">
      <c r="B26148" s="62" t="str">
        <f>IF(AND('领用录入（明细）'!D:D=$F$4,'领用录入（明细）'!C:C&gt;=$J$4,'领用录入（明细）'!C:C&lt;=$L$4),ROW(),"-")</f>
        <v>-</v>
      </c>
    </row>
    <row r="26149" customHeight="1" spans="2:2">
      <c r="B26149" s="62" t="str">
        <f>IF(AND('领用录入（明细）'!D:D=$F$4,'领用录入（明细）'!C:C&gt;=$J$4,'领用录入（明细）'!C:C&lt;=$L$4),ROW(),"-")</f>
        <v>-</v>
      </c>
    </row>
    <row r="26150" customHeight="1" spans="2:2">
      <c r="B26150" s="62" t="str">
        <f>IF(AND('领用录入（明细）'!D:D=$F$4,'领用录入（明细）'!C:C&gt;=$J$4,'领用录入（明细）'!C:C&lt;=$L$4),ROW(),"-")</f>
        <v>-</v>
      </c>
    </row>
    <row r="26151" customHeight="1" spans="2:2">
      <c r="B26151" s="62" t="str">
        <f>IF(AND('领用录入（明细）'!D:D=$F$4,'领用录入（明细）'!C:C&gt;=$J$4,'领用录入（明细）'!C:C&lt;=$L$4),ROW(),"-")</f>
        <v>-</v>
      </c>
    </row>
    <row r="26152" customHeight="1" spans="2:2">
      <c r="B26152" s="62" t="str">
        <f>IF(AND('领用录入（明细）'!D:D=$F$4,'领用录入（明细）'!C:C&gt;=$J$4,'领用录入（明细）'!C:C&lt;=$L$4),ROW(),"-")</f>
        <v>-</v>
      </c>
    </row>
    <row r="26153" customHeight="1" spans="2:2">
      <c r="B26153" s="62" t="str">
        <f>IF(AND('领用录入（明细）'!D:D=$F$4,'领用录入（明细）'!C:C&gt;=$J$4,'领用录入（明细）'!C:C&lt;=$L$4),ROW(),"-")</f>
        <v>-</v>
      </c>
    </row>
    <row r="26154" customHeight="1" spans="2:2">
      <c r="B26154" s="62" t="str">
        <f>IF(AND('领用录入（明细）'!D:D=$F$4,'领用录入（明细）'!C:C&gt;=$J$4,'领用录入（明细）'!C:C&lt;=$L$4),ROW(),"-")</f>
        <v>-</v>
      </c>
    </row>
    <row r="26155" customHeight="1" spans="2:2">
      <c r="B26155" s="62" t="str">
        <f>IF(AND('领用录入（明细）'!D:D=$F$4,'领用录入（明细）'!C:C&gt;=$J$4,'领用录入（明细）'!C:C&lt;=$L$4),ROW(),"-")</f>
        <v>-</v>
      </c>
    </row>
    <row r="26156" customHeight="1" spans="2:2">
      <c r="B26156" s="62" t="str">
        <f>IF(AND('领用录入（明细）'!D:D=$F$4,'领用录入（明细）'!C:C&gt;=$J$4,'领用录入（明细）'!C:C&lt;=$L$4),ROW(),"-")</f>
        <v>-</v>
      </c>
    </row>
    <row r="26157" customHeight="1" spans="2:2">
      <c r="B26157" s="62" t="str">
        <f>IF(AND('领用录入（明细）'!D:D=$F$4,'领用录入（明细）'!C:C&gt;=$J$4,'领用录入（明细）'!C:C&lt;=$L$4),ROW(),"-")</f>
        <v>-</v>
      </c>
    </row>
    <row r="26158" customHeight="1" spans="2:2">
      <c r="B26158" s="62" t="str">
        <f>IF(AND('领用录入（明细）'!D:D=$F$4,'领用录入（明细）'!C:C&gt;=$J$4,'领用录入（明细）'!C:C&lt;=$L$4),ROW(),"-")</f>
        <v>-</v>
      </c>
    </row>
    <row r="26159" customHeight="1" spans="2:2">
      <c r="B26159" s="62" t="str">
        <f>IF(AND('领用录入（明细）'!D:D=$F$4,'领用录入（明细）'!C:C&gt;=$J$4,'领用录入（明细）'!C:C&lt;=$L$4),ROW(),"-")</f>
        <v>-</v>
      </c>
    </row>
    <row r="26160" customHeight="1" spans="2:2">
      <c r="B26160" s="62" t="str">
        <f>IF(AND('领用录入（明细）'!D:D=$F$4,'领用录入（明细）'!C:C&gt;=$J$4,'领用录入（明细）'!C:C&lt;=$L$4),ROW(),"-")</f>
        <v>-</v>
      </c>
    </row>
    <row r="26161" customHeight="1" spans="2:2">
      <c r="B26161" s="62" t="str">
        <f>IF(AND('领用录入（明细）'!D:D=$F$4,'领用录入（明细）'!C:C&gt;=$J$4,'领用录入（明细）'!C:C&lt;=$L$4),ROW(),"-")</f>
        <v>-</v>
      </c>
    </row>
    <row r="26162" customHeight="1" spans="2:2">
      <c r="B26162" s="62" t="str">
        <f>IF(AND('领用录入（明细）'!D:D=$F$4,'领用录入（明细）'!C:C&gt;=$J$4,'领用录入（明细）'!C:C&lt;=$L$4),ROW(),"-")</f>
        <v>-</v>
      </c>
    </row>
    <row r="26163" customHeight="1" spans="2:2">
      <c r="B26163" s="62" t="str">
        <f>IF(AND('领用录入（明细）'!D:D=$F$4,'领用录入（明细）'!C:C&gt;=$J$4,'领用录入（明细）'!C:C&lt;=$L$4),ROW(),"-")</f>
        <v>-</v>
      </c>
    </row>
    <row r="26164" customHeight="1" spans="2:2">
      <c r="B26164" s="62" t="str">
        <f>IF(AND('领用录入（明细）'!D:D=$F$4,'领用录入（明细）'!C:C&gt;=$J$4,'领用录入（明细）'!C:C&lt;=$L$4),ROW(),"-")</f>
        <v>-</v>
      </c>
    </row>
    <row r="26165" customHeight="1" spans="2:2">
      <c r="B26165" s="62" t="str">
        <f>IF(AND('领用录入（明细）'!D:D=$F$4,'领用录入（明细）'!C:C&gt;=$J$4,'领用录入（明细）'!C:C&lt;=$L$4),ROW(),"-")</f>
        <v>-</v>
      </c>
    </row>
    <row r="26166" customHeight="1" spans="2:2">
      <c r="B26166" s="62" t="str">
        <f>IF(AND('领用录入（明细）'!D:D=$F$4,'领用录入（明细）'!C:C&gt;=$J$4,'领用录入（明细）'!C:C&lt;=$L$4),ROW(),"-")</f>
        <v>-</v>
      </c>
    </row>
    <row r="26167" customHeight="1" spans="2:2">
      <c r="B26167" s="62" t="str">
        <f>IF(AND('领用录入（明细）'!D:D=$F$4,'领用录入（明细）'!C:C&gt;=$J$4,'领用录入（明细）'!C:C&lt;=$L$4),ROW(),"-")</f>
        <v>-</v>
      </c>
    </row>
    <row r="26168" customHeight="1" spans="2:2">
      <c r="B26168" s="62" t="str">
        <f>IF(AND('领用录入（明细）'!D:D=$F$4,'领用录入（明细）'!C:C&gt;=$J$4,'领用录入（明细）'!C:C&lt;=$L$4),ROW(),"-")</f>
        <v>-</v>
      </c>
    </row>
    <row r="26169" customHeight="1" spans="2:2">
      <c r="B26169" s="62" t="str">
        <f>IF(AND('领用录入（明细）'!D:D=$F$4,'领用录入（明细）'!C:C&gt;=$J$4,'领用录入（明细）'!C:C&lt;=$L$4),ROW(),"-")</f>
        <v>-</v>
      </c>
    </row>
    <row r="26170" customHeight="1" spans="2:2">
      <c r="B26170" s="62" t="str">
        <f>IF(AND('领用录入（明细）'!D:D=$F$4,'领用录入（明细）'!C:C&gt;=$J$4,'领用录入（明细）'!C:C&lt;=$L$4),ROW(),"-")</f>
        <v>-</v>
      </c>
    </row>
    <row r="26171" customHeight="1" spans="2:2">
      <c r="B26171" s="62" t="str">
        <f>IF(AND('领用录入（明细）'!D:D=$F$4,'领用录入（明细）'!C:C&gt;=$J$4,'领用录入（明细）'!C:C&lt;=$L$4),ROW(),"-")</f>
        <v>-</v>
      </c>
    </row>
    <row r="26172" customHeight="1" spans="2:2">
      <c r="B26172" s="62" t="str">
        <f>IF(AND('领用录入（明细）'!D:D=$F$4,'领用录入（明细）'!C:C&gt;=$J$4,'领用录入（明细）'!C:C&lt;=$L$4),ROW(),"-")</f>
        <v>-</v>
      </c>
    </row>
    <row r="26173" customHeight="1" spans="2:2">
      <c r="B26173" s="62" t="str">
        <f>IF(AND('领用录入（明细）'!D:D=$F$4,'领用录入（明细）'!C:C&gt;=$J$4,'领用录入（明细）'!C:C&lt;=$L$4),ROW(),"-")</f>
        <v>-</v>
      </c>
    </row>
    <row r="26174" customHeight="1" spans="2:2">
      <c r="B26174" s="62" t="str">
        <f>IF(AND('领用录入（明细）'!D:D=$F$4,'领用录入（明细）'!C:C&gt;=$J$4,'领用录入（明细）'!C:C&lt;=$L$4),ROW(),"-")</f>
        <v>-</v>
      </c>
    </row>
    <row r="26175" customHeight="1" spans="2:2">
      <c r="B26175" s="62" t="str">
        <f>IF(AND('领用录入（明细）'!D:D=$F$4,'领用录入（明细）'!C:C&gt;=$J$4,'领用录入（明细）'!C:C&lt;=$L$4),ROW(),"-")</f>
        <v>-</v>
      </c>
    </row>
    <row r="26176" customHeight="1" spans="2:2">
      <c r="B26176" s="62" t="str">
        <f>IF(AND('领用录入（明细）'!D:D=$F$4,'领用录入（明细）'!C:C&gt;=$J$4,'领用录入（明细）'!C:C&lt;=$L$4),ROW(),"-")</f>
        <v>-</v>
      </c>
    </row>
    <row r="26177" customHeight="1" spans="2:2">
      <c r="B26177" s="62" t="str">
        <f>IF(AND('领用录入（明细）'!D:D=$F$4,'领用录入（明细）'!C:C&gt;=$J$4,'领用录入（明细）'!C:C&lt;=$L$4),ROW(),"-")</f>
        <v>-</v>
      </c>
    </row>
    <row r="26178" customHeight="1" spans="2:2">
      <c r="B26178" s="62" t="str">
        <f>IF(AND('领用录入（明细）'!D:D=$F$4,'领用录入（明细）'!C:C&gt;=$J$4,'领用录入（明细）'!C:C&lt;=$L$4),ROW(),"-")</f>
        <v>-</v>
      </c>
    </row>
    <row r="26179" customHeight="1" spans="2:2">
      <c r="B26179" s="62" t="str">
        <f>IF(AND('领用录入（明细）'!D:D=$F$4,'领用录入（明细）'!C:C&gt;=$J$4,'领用录入（明细）'!C:C&lt;=$L$4),ROW(),"-")</f>
        <v>-</v>
      </c>
    </row>
    <row r="26180" customHeight="1" spans="2:2">
      <c r="B26180" s="62" t="str">
        <f>IF(AND('领用录入（明细）'!D:D=$F$4,'领用录入（明细）'!C:C&gt;=$J$4,'领用录入（明细）'!C:C&lt;=$L$4),ROW(),"-")</f>
        <v>-</v>
      </c>
    </row>
    <row r="26181" customHeight="1" spans="2:2">
      <c r="B26181" s="62" t="str">
        <f>IF(AND('领用录入（明细）'!D:D=$F$4,'领用录入（明细）'!C:C&gt;=$J$4,'领用录入（明细）'!C:C&lt;=$L$4),ROW(),"-")</f>
        <v>-</v>
      </c>
    </row>
    <row r="26182" customHeight="1" spans="2:2">
      <c r="B26182" s="62" t="str">
        <f>IF(AND('领用录入（明细）'!D:D=$F$4,'领用录入（明细）'!C:C&gt;=$J$4,'领用录入（明细）'!C:C&lt;=$L$4),ROW(),"-")</f>
        <v>-</v>
      </c>
    </row>
    <row r="26183" customHeight="1" spans="2:2">
      <c r="B26183" s="62" t="str">
        <f>IF(AND('领用录入（明细）'!D:D=$F$4,'领用录入（明细）'!C:C&gt;=$J$4,'领用录入（明细）'!C:C&lt;=$L$4),ROW(),"-")</f>
        <v>-</v>
      </c>
    </row>
    <row r="26184" customHeight="1" spans="2:2">
      <c r="B26184" s="62" t="str">
        <f>IF(AND('领用录入（明细）'!D:D=$F$4,'领用录入（明细）'!C:C&gt;=$J$4,'领用录入（明细）'!C:C&lt;=$L$4),ROW(),"-")</f>
        <v>-</v>
      </c>
    </row>
    <row r="26185" customHeight="1" spans="2:2">
      <c r="B26185" s="62" t="str">
        <f>IF(AND('领用录入（明细）'!D:D=$F$4,'领用录入（明细）'!C:C&gt;=$J$4,'领用录入（明细）'!C:C&lt;=$L$4),ROW(),"-")</f>
        <v>-</v>
      </c>
    </row>
    <row r="26186" customHeight="1" spans="2:2">
      <c r="B26186" s="62" t="str">
        <f>IF(AND('领用录入（明细）'!D:D=$F$4,'领用录入（明细）'!C:C&gt;=$J$4,'领用录入（明细）'!C:C&lt;=$L$4),ROW(),"-")</f>
        <v>-</v>
      </c>
    </row>
    <row r="26187" customHeight="1" spans="2:2">
      <c r="B26187" s="62" t="str">
        <f>IF(AND('领用录入（明细）'!D:D=$F$4,'领用录入（明细）'!C:C&gt;=$J$4,'领用录入（明细）'!C:C&lt;=$L$4),ROW(),"-")</f>
        <v>-</v>
      </c>
    </row>
    <row r="26188" customHeight="1" spans="2:2">
      <c r="B26188" s="62" t="str">
        <f>IF(AND('领用录入（明细）'!D:D=$F$4,'领用录入（明细）'!C:C&gt;=$J$4,'领用录入（明细）'!C:C&lt;=$L$4),ROW(),"-")</f>
        <v>-</v>
      </c>
    </row>
    <row r="26189" customHeight="1" spans="2:2">
      <c r="B26189" s="62" t="str">
        <f>IF(AND('领用录入（明细）'!D:D=$F$4,'领用录入（明细）'!C:C&gt;=$J$4,'领用录入（明细）'!C:C&lt;=$L$4),ROW(),"-")</f>
        <v>-</v>
      </c>
    </row>
    <row r="26190" customHeight="1" spans="2:2">
      <c r="B26190" s="62" t="str">
        <f>IF(AND('领用录入（明细）'!D:D=$F$4,'领用录入（明细）'!C:C&gt;=$J$4,'领用录入（明细）'!C:C&lt;=$L$4),ROW(),"-")</f>
        <v>-</v>
      </c>
    </row>
    <row r="26191" customHeight="1" spans="2:2">
      <c r="B26191" s="62" t="str">
        <f>IF(AND('领用录入（明细）'!D:D=$F$4,'领用录入（明细）'!C:C&gt;=$J$4,'领用录入（明细）'!C:C&lt;=$L$4),ROW(),"-")</f>
        <v>-</v>
      </c>
    </row>
    <row r="26192" customHeight="1" spans="2:2">
      <c r="B26192" s="62" t="str">
        <f>IF(AND('领用录入（明细）'!D:D=$F$4,'领用录入（明细）'!C:C&gt;=$J$4,'领用录入（明细）'!C:C&lt;=$L$4),ROW(),"-")</f>
        <v>-</v>
      </c>
    </row>
    <row r="26193" customHeight="1" spans="2:2">
      <c r="B26193" s="62" t="str">
        <f>IF(AND('领用录入（明细）'!D:D=$F$4,'领用录入（明细）'!C:C&gt;=$J$4,'领用录入（明细）'!C:C&lt;=$L$4),ROW(),"-")</f>
        <v>-</v>
      </c>
    </row>
    <row r="26194" customHeight="1" spans="2:2">
      <c r="B26194" s="62" t="str">
        <f>IF(AND('领用录入（明细）'!D:D=$F$4,'领用录入（明细）'!C:C&gt;=$J$4,'领用录入（明细）'!C:C&lt;=$L$4),ROW(),"-")</f>
        <v>-</v>
      </c>
    </row>
    <row r="26195" customHeight="1" spans="2:2">
      <c r="B26195" s="62" t="str">
        <f>IF(AND('领用录入（明细）'!D:D=$F$4,'领用录入（明细）'!C:C&gt;=$J$4,'领用录入（明细）'!C:C&lt;=$L$4),ROW(),"-")</f>
        <v>-</v>
      </c>
    </row>
    <row r="26196" customHeight="1" spans="2:2">
      <c r="B26196" s="62" t="str">
        <f>IF(AND('领用录入（明细）'!D:D=$F$4,'领用录入（明细）'!C:C&gt;=$J$4,'领用录入（明细）'!C:C&lt;=$L$4),ROW(),"-")</f>
        <v>-</v>
      </c>
    </row>
    <row r="26197" customHeight="1" spans="2:2">
      <c r="B26197" s="62" t="str">
        <f>IF(AND('领用录入（明细）'!D:D=$F$4,'领用录入（明细）'!C:C&gt;=$J$4,'领用录入（明细）'!C:C&lt;=$L$4),ROW(),"-")</f>
        <v>-</v>
      </c>
    </row>
    <row r="26198" customHeight="1" spans="2:2">
      <c r="B26198" s="62" t="str">
        <f>IF(AND('领用录入（明细）'!D:D=$F$4,'领用录入（明细）'!C:C&gt;=$J$4,'领用录入（明细）'!C:C&lt;=$L$4),ROW(),"-")</f>
        <v>-</v>
      </c>
    </row>
    <row r="26199" customHeight="1" spans="2:2">
      <c r="B26199" s="62" t="str">
        <f>IF(AND('领用录入（明细）'!D:D=$F$4,'领用录入（明细）'!C:C&gt;=$J$4,'领用录入（明细）'!C:C&lt;=$L$4),ROW(),"-")</f>
        <v>-</v>
      </c>
    </row>
    <row r="26200" customHeight="1" spans="2:2">
      <c r="B26200" s="62" t="str">
        <f>IF(AND('领用录入（明细）'!D:D=$F$4,'领用录入（明细）'!C:C&gt;=$J$4,'领用录入（明细）'!C:C&lt;=$L$4),ROW(),"-")</f>
        <v>-</v>
      </c>
    </row>
    <row r="26201" customHeight="1" spans="2:2">
      <c r="B26201" s="62" t="str">
        <f>IF(AND('领用录入（明细）'!D:D=$F$4,'领用录入（明细）'!C:C&gt;=$J$4,'领用录入（明细）'!C:C&lt;=$L$4),ROW(),"-")</f>
        <v>-</v>
      </c>
    </row>
    <row r="26202" customHeight="1" spans="2:2">
      <c r="B26202" s="62" t="str">
        <f>IF(AND('领用录入（明细）'!D:D=$F$4,'领用录入（明细）'!C:C&gt;=$J$4,'领用录入（明细）'!C:C&lt;=$L$4),ROW(),"-")</f>
        <v>-</v>
      </c>
    </row>
    <row r="26203" customHeight="1" spans="2:2">
      <c r="B26203" s="62" t="str">
        <f>IF(AND('领用录入（明细）'!D:D=$F$4,'领用录入（明细）'!C:C&gt;=$J$4,'领用录入（明细）'!C:C&lt;=$L$4),ROW(),"-")</f>
        <v>-</v>
      </c>
    </row>
    <row r="26204" customHeight="1" spans="2:2">
      <c r="B26204" s="62" t="str">
        <f>IF(AND('领用录入（明细）'!D:D=$F$4,'领用录入（明细）'!C:C&gt;=$J$4,'领用录入（明细）'!C:C&lt;=$L$4),ROW(),"-")</f>
        <v>-</v>
      </c>
    </row>
    <row r="26205" customHeight="1" spans="2:2">
      <c r="B26205" s="62" t="str">
        <f>IF(AND('领用录入（明细）'!D:D=$F$4,'领用录入（明细）'!C:C&gt;=$J$4,'领用录入（明细）'!C:C&lt;=$L$4),ROW(),"-")</f>
        <v>-</v>
      </c>
    </row>
    <row r="26206" customHeight="1" spans="2:2">
      <c r="B26206" s="62" t="str">
        <f>IF(AND('领用录入（明细）'!D:D=$F$4,'领用录入（明细）'!C:C&gt;=$J$4,'领用录入（明细）'!C:C&lt;=$L$4),ROW(),"-")</f>
        <v>-</v>
      </c>
    </row>
    <row r="26207" customHeight="1" spans="2:2">
      <c r="B26207" s="62" t="str">
        <f>IF(AND('领用录入（明细）'!D:D=$F$4,'领用录入（明细）'!C:C&gt;=$J$4,'领用录入（明细）'!C:C&lt;=$L$4),ROW(),"-")</f>
        <v>-</v>
      </c>
    </row>
    <row r="26208" customHeight="1" spans="2:2">
      <c r="B26208" s="62" t="str">
        <f>IF(AND('领用录入（明细）'!D:D=$F$4,'领用录入（明细）'!C:C&gt;=$J$4,'领用录入（明细）'!C:C&lt;=$L$4),ROW(),"-")</f>
        <v>-</v>
      </c>
    </row>
    <row r="26209" customHeight="1" spans="2:2">
      <c r="B26209" s="62" t="str">
        <f>IF(AND('领用录入（明细）'!D:D=$F$4,'领用录入（明细）'!C:C&gt;=$J$4,'领用录入（明细）'!C:C&lt;=$L$4),ROW(),"-")</f>
        <v>-</v>
      </c>
    </row>
    <row r="26210" customHeight="1" spans="2:2">
      <c r="B26210" s="62" t="str">
        <f>IF(AND('领用录入（明细）'!D:D=$F$4,'领用录入（明细）'!C:C&gt;=$J$4,'领用录入（明细）'!C:C&lt;=$L$4),ROW(),"-")</f>
        <v>-</v>
      </c>
    </row>
    <row r="26211" customHeight="1" spans="2:2">
      <c r="B26211" s="62" t="str">
        <f>IF(AND('领用录入（明细）'!D:D=$F$4,'领用录入（明细）'!C:C&gt;=$J$4,'领用录入（明细）'!C:C&lt;=$L$4),ROW(),"-")</f>
        <v>-</v>
      </c>
    </row>
    <row r="26212" customHeight="1" spans="2:2">
      <c r="B26212" s="62" t="str">
        <f>IF(AND('领用录入（明细）'!D:D=$F$4,'领用录入（明细）'!C:C&gt;=$J$4,'领用录入（明细）'!C:C&lt;=$L$4),ROW(),"-")</f>
        <v>-</v>
      </c>
    </row>
    <row r="26213" customHeight="1" spans="2:2">
      <c r="B26213" s="62" t="str">
        <f>IF(AND('领用录入（明细）'!D:D=$F$4,'领用录入（明细）'!C:C&gt;=$J$4,'领用录入（明细）'!C:C&lt;=$L$4),ROW(),"-")</f>
        <v>-</v>
      </c>
    </row>
    <row r="26214" customHeight="1" spans="2:2">
      <c r="B26214" s="62" t="str">
        <f>IF(AND('领用录入（明细）'!D:D=$F$4,'领用录入（明细）'!C:C&gt;=$J$4,'领用录入（明细）'!C:C&lt;=$L$4),ROW(),"-")</f>
        <v>-</v>
      </c>
    </row>
    <row r="26215" customHeight="1" spans="2:2">
      <c r="B26215" s="62" t="str">
        <f>IF(AND('领用录入（明细）'!D:D=$F$4,'领用录入（明细）'!C:C&gt;=$J$4,'领用录入（明细）'!C:C&lt;=$L$4),ROW(),"-")</f>
        <v>-</v>
      </c>
    </row>
    <row r="26216" customHeight="1" spans="2:2">
      <c r="B26216" s="62" t="str">
        <f>IF(AND('领用录入（明细）'!D:D=$F$4,'领用录入（明细）'!C:C&gt;=$J$4,'领用录入（明细）'!C:C&lt;=$L$4),ROW(),"-")</f>
        <v>-</v>
      </c>
    </row>
    <row r="26217" customHeight="1" spans="2:2">
      <c r="B26217" s="62" t="str">
        <f>IF(AND('领用录入（明细）'!D:D=$F$4,'领用录入（明细）'!C:C&gt;=$J$4,'领用录入（明细）'!C:C&lt;=$L$4),ROW(),"-")</f>
        <v>-</v>
      </c>
    </row>
    <row r="26218" customHeight="1" spans="2:2">
      <c r="B26218" s="62" t="str">
        <f>IF(AND('领用录入（明细）'!D:D=$F$4,'领用录入（明细）'!C:C&gt;=$J$4,'领用录入（明细）'!C:C&lt;=$L$4),ROW(),"-")</f>
        <v>-</v>
      </c>
    </row>
    <row r="26219" customHeight="1" spans="2:2">
      <c r="B26219" s="62" t="str">
        <f>IF(AND('领用录入（明细）'!D:D=$F$4,'领用录入（明细）'!C:C&gt;=$J$4,'领用录入（明细）'!C:C&lt;=$L$4),ROW(),"-")</f>
        <v>-</v>
      </c>
    </row>
    <row r="26220" customHeight="1" spans="2:2">
      <c r="B26220" s="62" t="str">
        <f>IF(AND('领用录入（明细）'!D:D=$F$4,'领用录入（明细）'!C:C&gt;=$J$4,'领用录入（明细）'!C:C&lt;=$L$4),ROW(),"-")</f>
        <v>-</v>
      </c>
    </row>
    <row r="26221" customHeight="1" spans="2:2">
      <c r="B26221" s="62" t="str">
        <f>IF(AND('领用录入（明细）'!D:D=$F$4,'领用录入（明细）'!C:C&gt;=$J$4,'领用录入（明细）'!C:C&lt;=$L$4),ROW(),"-")</f>
        <v>-</v>
      </c>
    </row>
    <row r="26222" customHeight="1" spans="2:2">
      <c r="B26222" s="62" t="str">
        <f>IF(AND('领用录入（明细）'!D:D=$F$4,'领用录入（明细）'!C:C&gt;=$J$4,'领用录入（明细）'!C:C&lt;=$L$4),ROW(),"-")</f>
        <v>-</v>
      </c>
    </row>
    <row r="26223" customHeight="1" spans="2:2">
      <c r="B26223" s="62" t="str">
        <f>IF(AND('领用录入（明细）'!D:D=$F$4,'领用录入（明细）'!C:C&gt;=$J$4,'领用录入（明细）'!C:C&lt;=$L$4),ROW(),"-")</f>
        <v>-</v>
      </c>
    </row>
    <row r="26224" customHeight="1" spans="2:2">
      <c r="B26224" s="62" t="str">
        <f>IF(AND('领用录入（明细）'!D:D=$F$4,'领用录入（明细）'!C:C&gt;=$J$4,'领用录入（明细）'!C:C&lt;=$L$4),ROW(),"-")</f>
        <v>-</v>
      </c>
    </row>
    <row r="26225" customHeight="1" spans="2:2">
      <c r="B26225" s="62" t="str">
        <f>IF(AND('领用录入（明细）'!D:D=$F$4,'领用录入（明细）'!C:C&gt;=$J$4,'领用录入（明细）'!C:C&lt;=$L$4),ROW(),"-")</f>
        <v>-</v>
      </c>
    </row>
    <row r="26226" customHeight="1" spans="2:2">
      <c r="B26226" s="62" t="str">
        <f>IF(AND('领用录入（明细）'!D:D=$F$4,'领用录入（明细）'!C:C&gt;=$J$4,'领用录入（明细）'!C:C&lt;=$L$4),ROW(),"-")</f>
        <v>-</v>
      </c>
    </row>
    <row r="26227" customHeight="1" spans="2:2">
      <c r="B26227" s="62" t="str">
        <f>IF(AND('领用录入（明细）'!D:D=$F$4,'领用录入（明细）'!C:C&gt;=$J$4,'领用录入（明细）'!C:C&lt;=$L$4),ROW(),"-")</f>
        <v>-</v>
      </c>
    </row>
    <row r="26228" customHeight="1" spans="2:2">
      <c r="B26228" s="62" t="str">
        <f>IF(AND('领用录入（明细）'!D:D=$F$4,'领用录入（明细）'!C:C&gt;=$J$4,'领用录入（明细）'!C:C&lt;=$L$4),ROW(),"-")</f>
        <v>-</v>
      </c>
    </row>
    <row r="26229" customHeight="1" spans="2:2">
      <c r="B26229" s="62" t="str">
        <f>IF(AND('领用录入（明细）'!D:D=$F$4,'领用录入（明细）'!C:C&gt;=$J$4,'领用录入（明细）'!C:C&lt;=$L$4),ROW(),"-")</f>
        <v>-</v>
      </c>
    </row>
    <row r="26230" customHeight="1" spans="2:2">
      <c r="B26230" s="62" t="str">
        <f>IF(AND('领用录入（明细）'!D:D=$F$4,'领用录入（明细）'!C:C&gt;=$J$4,'领用录入（明细）'!C:C&lt;=$L$4),ROW(),"-")</f>
        <v>-</v>
      </c>
    </row>
    <row r="26231" customHeight="1" spans="2:2">
      <c r="B26231" s="62" t="str">
        <f>IF(AND('领用录入（明细）'!D:D=$F$4,'领用录入（明细）'!C:C&gt;=$J$4,'领用录入（明细）'!C:C&lt;=$L$4),ROW(),"-")</f>
        <v>-</v>
      </c>
    </row>
    <row r="26232" customHeight="1" spans="2:2">
      <c r="B26232" s="62" t="str">
        <f>IF(AND('领用录入（明细）'!D:D=$F$4,'领用录入（明细）'!C:C&gt;=$J$4,'领用录入（明细）'!C:C&lt;=$L$4),ROW(),"-")</f>
        <v>-</v>
      </c>
    </row>
    <row r="26233" customHeight="1" spans="2:2">
      <c r="B26233" s="62" t="str">
        <f>IF(AND('领用录入（明细）'!D:D=$F$4,'领用录入（明细）'!C:C&gt;=$J$4,'领用录入（明细）'!C:C&lt;=$L$4),ROW(),"-")</f>
        <v>-</v>
      </c>
    </row>
    <row r="26234" customHeight="1" spans="2:2">
      <c r="B26234" s="62" t="str">
        <f>IF(AND('领用录入（明细）'!D:D=$F$4,'领用录入（明细）'!C:C&gt;=$J$4,'领用录入（明细）'!C:C&lt;=$L$4),ROW(),"-")</f>
        <v>-</v>
      </c>
    </row>
    <row r="26235" customHeight="1" spans="2:2">
      <c r="B26235" s="62" t="str">
        <f>IF(AND('领用录入（明细）'!D:D=$F$4,'领用录入（明细）'!C:C&gt;=$J$4,'领用录入（明细）'!C:C&lt;=$L$4),ROW(),"-")</f>
        <v>-</v>
      </c>
    </row>
    <row r="26236" customHeight="1" spans="2:2">
      <c r="B26236" s="62" t="str">
        <f>IF(AND('领用录入（明细）'!D:D=$F$4,'领用录入（明细）'!C:C&gt;=$J$4,'领用录入（明细）'!C:C&lt;=$L$4),ROW(),"-")</f>
        <v>-</v>
      </c>
    </row>
    <row r="26237" customHeight="1" spans="2:2">
      <c r="B26237" s="62" t="str">
        <f>IF(AND('领用录入（明细）'!D:D=$F$4,'领用录入（明细）'!C:C&gt;=$J$4,'领用录入（明细）'!C:C&lt;=$L$4),ROW(),"-")</f>
        <v>-</v>
      </c>
    </row>
    <row r="26238" customHeight="1" spans="2:2">
      <c r="B26238" s="62" t="str">
        <f>IF(AND('领用录入（明细）'!D:D=$F$4,'领用录入（明细）'!C:C&gt;=$J$4,'领用录入（明细）'!C:C&lt;=$L$4),ROW(),"-")</f>
        <v>-</v>
      </c>
    </row>
    <row r="26239" customHeight="1" spans="2:2">
      <c r="B26239" s="62" t="str">
        <f>IF(AND('领用录入（明细）'!D:D=$F$4,'领用录入（明细）'!C:C&gt;=$J$4,'领用录入（明细）'!C:C&lt;=$L$4),ROW(),"-")</f>
        <v>-</v>
      </c>
    </row>
    <row r="26240" customHeight="1" spans="2:2">
      <c r="B26240" s="62" t="str">
        <f>IF(AND('领用录入（明细）'!D:D=$F$4,'领用录入（明细）'!C:C&gt;=$J$4,'领用录入（明细）'!C:C&lt;=$L$4),ROW(),"-")</f>
        <v>-</v>
      </c>
    </row>
    <row r="26241" customHeight="1" spans="2:2">
      <c r="B26241" s="62" t="str">
        <f>IF(AND('领用录入（明细）'!D:D=$F$4,'领用录入（明细）'!C:C&gt;=$J$4,'领用录入（明细）'!C:C&lt;=$L$4),ROW(),"-")</f>
        <v>-</v>
      </c>
    </row>
    <row r="26242" customHeight="1" spans="2:2">
      <c r="B26242" s="62" t="str">
        <f>IF(AND('领用录入（明细）'!D:D=$F$4,'领用录入（明细）'!C:C&gt;=$J$4,'领用录入（明细）'!C:C&lt;=$L$4),ROW(),"-")</f>
        <v>-</v>
      </c>
    </row>
    <row r="26243" customHeight="1" spans="2:2">
      <c r="B26243" s="62" t="str">
        <f>IF(AND('领用录入（明细）'!D:D=$F$4,'领用录入（明细）'!C:C&gt;=$J$4,'领用录入（明细）'!C:C&lt;=$L$4),ROW(),"-")</f>
        <v>-</v>
      </c>
    </row>
    <row r="26244" customHeight="1" spans="2:2">
      <c r="B26244" s="62" t="str">
        <f>IF(AND('领用录入（明细）'!D:D=$F$4,'领用录入（明细）'!C:C&gt;=$J$4,'领用录入（明细）'!C:C&lt;=$L$4),ROW(),"-")</f>
        <v>-</v>
      </c>
    </row>
    <row r="26245" customHeight="1" spans="2:2">
      <c r="B26245" s="62" t="str">
        <f>IF(AND('领用录入（明细）'!D:D=$F$4,'领用录入（明细）'!C:C&gt;=$J$4,'领用录入（明细）'!C:C&lt;=$L$4),ROW(),"-")</f>
        <v>-</v>
      </c>
    </row>
    <row r="26246" customHeight="1" spans="2:2">
      <c r="B26246" s="62" t="str">
        <f>IF(AND('领用录入（明细）'!D:D=$F$4,'领用录入（明细）'!C:C&gt;=$J$4,'领用录入（明细）'!C:C&lt;=$L$4),ROW(),"-")</f>
        <v>-</v>
      </c>
    </row>
    <row r="26247" customHeight="1" spans="2:2">
      <c r="B26247" s="62" t="str">
        <f>IF(AND('领用录入（明细）'!D:D=$F$4,'领用录入（明细）'!C:C&gt;=$J$4,'领用录入（明细）'!C:C&lt;=$L$4),ROW(),"-")</f>
        <v>-</v>
      </c>
    </row>
    <row r="26248" customHeight="1" spans="2:2">
      <c r="B26248" s="62" t="str">
        <f>IF(AND('领用录入（明细）'!D:D=$F$4,'领用录入（明细）'!C:C&gt;=$J$4,'领用录入（明细）'!C:C&lt;=$L$4),ROW(),"-")</f>
        <v>-</v>
      </c>
    </row>
    <row r="26249" customHeight="1" spans="2:2">
      <c r="B26249" s="62" t="str">
        <f>IF(AND('领用录入（明细）'!D:D=$F$4,'领用录入（明细）'!C:C&gt;=$J$4,'领用录入（明细）'!C:C&lt;=$L$4),ROW(),"-")</f>
        <v>-</v>
      </c>
    </row>
    <row r="26250" customHeight="1" spans="2:2">
      <c r="B26250" s="62" t="str">
        <f>IF(AND('领用录入（明细）'!D:D=$F$4,'领用录入（明细）'!C:C&gt;=$J$4,'领用录入（明细）'!C:C&lt;=$L$4),ROW(),"-")</f>
        <v>-</v>
      </c>
    </row>
    <row r="26251" customHeight="1" spans="2:2">
      <c r="B26251" s="62" t="str">
        <f>IF(AND('领用录入（明细）'!D:D=$F$4,'领用录入（明细）'!C:C&gt;=$J$4,'领用录入（明细）'!C:C&lt;=$L$4),ROW(),"-")</f>
        <v>-</v>
      </c>
    </row>
    <row r="26252" customHeight="1" spans="2:2">
      <c r="B26252" s="62" t="str">
        <f>IF(AND('领用录入（明细）'!D:D=$F$4,'领用录入（明细）'!C:C&gt;=$J$4,'领用录入（明细）'!C:C&lt;=$L$4),ROW(),"-")</f>
        <v>-</v>
      </c>
    </row>
    <row r="26253" customHeight="1" spans="2:2">
      <c r="B26253" s="62" t="str">
        <f>IF(AND('领用录入（明细）'!D:D=$F$4,'领用录入（明细）'!C:C&gt;=$J$4,'领用录入（明细）'!C:C&lt;=$L$4),ROW(),"-")</f>
        <v>-</v>
      </c>
    </row>
    <row r="26254" customHeight="1" spans="2:2">
      <c r="B26254" s="62" t="str">
        <f>IF(AND('领用录入（明细）'!D:D=$F$4,'领用录入（明细）'!C:C&gt;=$J$4,'领用录入（明细）'!C:C&lt;=$L$4),ROW(),"-")</f>
        <v>-</v>
      </c>
    </row>
    <row r="26255" customHeight="1" spans="2:2">
      <c r="B26255" s="62" t="str">
        <f>IF(AND('领用录入（明细）'!D:D=$F$4,'领用录入（明细）'!C:C&gt;=$J$4,'领用录入（明细）'!C:C&lt;=$L$4),ROW(),"-")</f>
        <v>-</v>
      </c>
    </row>
    <row r="26256" customHeight="1" spans="2:2">
      <c r="B26256" s="62" t="str">
        <f>IF(AND('领用录入（明细）'!D:D=$F$4,'领用录入（明细）'!C:C&gt;=$J$4,'领用录入（明细）'!C:C&lt;=$L$4),ROW(),"-")</f>
        <v>-</v>
      </c>
    </row>
    <row r="26257" customHeight="1" spans="2:2">
      <c r="B26257" s="62" t="str">
        <f>IF(AND('领用录入（明细）'!D:D=$F$4,'领用录入（明细）'!C:C&gt;=$J$4,'领用录入（明细）'!C:C&lt;=$L$4),ROW(),"-")</f>
        <v>-</v>
      </c>
    </row>
    <row r="26258" customHeight="1" spans="2:2">
      <c r="B26258" s="62" t="str">
        <f>IF(AND('领用录入（明细）'!D:D=$F$4,'领用录入（明细）'!C:C&gt;=$J$4,'领用录入（明细）'!C:C&lt;=$L$4),ROW(),"-")</f>
        <v>-</v>
      </c>
    </row>
    <row r="26259" customHeight="1" spans="2:2">
      <c r="B26259" s="62" t="str">
        <f>IF(AND('领用录入（明细）'!D:D=$F$4,'领用录入（明细）'!C:C&gt;=$J$4,'领用录入（明细）'!C:C&lt;=$L$4),ROW(),"-")</f>
        <v>-</v>
      </c>
    </row>
    <row r="26260" customHeight="1" spans="2:2">
      <c r="B26260" s="62" t="str">
        <f>IF(AND('领用录入（明细）'!D:D=$F$4,'领用录入（明细）'!C:C&gt;=$J$4,'领用录入（明细）'!C:C&lt;=$L$4),ROW(),"-")</f>
        <v>-</v>
      </c>
    </row>
    <row r="26261" customHeight="1" spans="2:2">
      <c r="B26261" s="62" t="str">
        <f>IF(AND('领用录入（明细）'!D:D=$F$4,'领用录入（明细）'!C:C&gt;=$J$4,'领用录入（明细）'!C:C&lt;=$L$4),ROW(),"-")</f>
        <v>-</v>
      </c>
    </row>
    <row r="26262" customHeight="1" spans="2:2">
      <c r="B26262" s="62" t="str">
        <f>IF(AND('领用录入（明细）'!D:D=$F$4,'领用录入（明细）'!C:C&gt;=$J$4,'领用录入（明细）'!C:C&lt;=$L$4),ROW(),"-")</f>
        <v>-</v>
      </c>
    </row>
    <row r="26263" customHeight="1" spans="2:2">
      <c r="B26263" s="62" t="str">
        <f>IF(AND('领用录入（明细）'!D:D=$F$4,'领用录入（明细）'!C:C&gt;=$J$4,'领用录入（明细）'!C:C&lt;=$L$4),ROW(),"-")</f>
        <v>-</v>
      </c>
    </row>
    <row r="26264" customHeight="1" spans="2:2">
      <c r="B26264" s="62" t="str">
        <f>IF(AND('领用录入（明细）'!D:D=$F$4,'领用录入（明细）'!C:C&gt;=$J$4,'领用录入（明细）'!C:C&lt;=$L$4),ROW(),"-")</f>
        <v>-</v>
      </c>
    </row>
    <row r="26265" customHeight="1" spans="2:2">
      <c r="B26265" s="62" t="str">
        <f>IF(AND('领用录入（明细）'!D:D=$F$4,'领用录入（明细）'!C:C&gt;=$J$4,'领用录入（明细）'!C:C&lt;=$L$4),ROW(),"-")</f>
        <v>-</v>
      </c>
    </row>
    <row r="26266" customHeight="1" spans="2:2">
      <c r="B26266" s="62" t="str">
        <f>IF(AND('领用录入（明细）'!D:D=$F$4,'领用录入（明细）'!C:C&gt;=$J$4,'领用录入（明细）'!C:C&lt;=$L$4),ROW(),"-")</f>
        <v>-</v>
      </c>
    </row>
    <row r="26267" customHeight="1" spans="2:2">
      <c r="B26267" s="62" t="str">
        <f>IF(AND('领用录入（明细）'!D:D=$F$4,'领用录入（明细）'!C:C&gt;=$J$4,'领用录入（明细）'!C:C&lt;=$L$4),ROW(),"-")</f>
        <v>-</v>
      </c>
    </row>
    <row r="26268" customHeight="1" spans="2:2">
      <c r="B26268" s="62" t="str">
        <f>IF(AND('领用录入（明细）'!D:D=$F$4,'领用录入（明细）'!C:C&gt;=$J$4,'领用录入（明细）'!C:C&lt;=$L$4),ROW(),"-")</f>
        <v>-</v>
      </c>
    </row>
    <row r="26269" customHeight="1" spans="2:2">
      <c r="B26269" s="62" t="str">
        <f>IF(AND('领用录入（明细）'!D:D=$F$4,'领用录入（明细）'!C:C&gt;=$J$4,'领用录入（明细）'!C:C&lt;=$L$4),ROW(),"-")</f>
        <v>-</v>
      </c>
    </row>
    <row r="26270" customHeight="1" spans="2:2">
      <c r="B26270" s="62" t="str">
        <f>IF(AND('领用录入（明细）'!D:D=$F$4,'领用录入（明细）'!C:C&gt;=$J$4,'领用录入（明细）'!C:C&lt;=$L$4),ROW(),"-")</f>
        <v>-</v>
      </c>
    </row>
    <row r="26271" customHeight="1" spans="2:2">
      <c r="B26271" s="62" t="str">
        <f>IF(AND('领用录入（明细）'!D:D=$F$4,'领用录入（明细）'!C:C&gt;=$J$4,'领用录入（明细）'!C:C&lt;=$L$4),ROW(),"-")</f>
        <v>-</v>
      </c>
    </row>
    <row r="26272" customHeight="1" spans="2:2">
      <c r="B26272" s="62" t="str">
        <f>IF(AND('领用录入（明细）'!D:D=$F$4,'领用录入（明细）'!C:C&gt;=$J$4,'领用录入（明细）'!C:C&lt;=$L$4),ROW(),"-")</f>
        <v>-</v>
      </c>
    </row>
    <row r="26273" customHeight="1" spans="2:2">
      <c r="B26273" s="62" t="str">
        <f>IF(AND('领用录入（明细）'!D:D=$F$4,'领用录入（明细）'!C:C&gt;=$J$4,'领用录入（明细）'!C:C&lt;=$L$4),ROW(),"-")</f>
        <v>-</v>
      </c>
    </row>
    <row r="26274" customHeight="1" spans="2:2">
      <c r="B26274" s="62" t="str">
        <f>IF(AND('领用录入（明细）'!D:D=$F$4,'领用录入（明细）'!C:C&gt;=$J$4,'领用录入（明细）'!C:C&lt;=$L$4),ROW(),"-")</f>
        <v>-</v>
      </c>
    </row>
    <row r="26275" customHeight="1" spans="2:2">
      <c r="B26275" s="62" t="str">
        <f>IF(AND('领用录入（明细）'!D:D=$F$4,'领用录入（明细）'!C:C&gt;=$J$4,'领用录入（明细）'!C:C&lt;=$L$4),ROW(),"-")</f>
        <v>-</v>
      </c>
    </row>
    <row r="26276" customHeight="1" spans="2:2">
      <c r="B26276" s="62" t="str">
        <f>IF(AND('领用录入（明细）'!D:D=$F$4,'领用录入（明细）'!C:C&gt;=$J$4,'领用录入（明细）'!C:C&lt;=$L$4),ROW(),"-")</f>
        <v>-</v>
      </c>
    </row>
    <row r="26277" customHeight="1" spans="2:2">
      <c r="B26277" s="62" t="str">
        <f>IF(AND('领用录入（明细）'!D:D=$F$4,'领用录入（明细）'!C:C&gt;=$J$4,'领用录入（明细）'!C:C&lt;=$L$4),ROW(),"-")</f>
        <v>-</v>
      </c>
    </row>
    <row r="26278" customHeight="1" spans="2:2">
      <c r="B26278" s="62" t="str">
        <f>IF(AND('领用录入（明细）'!D:D=$F$4,'领用录入（明细）'!C:C&gt;=$J$4,'领用录入（明细）'!C:C&lt;=$L$4),ROW(),"-")</f>
        <v>-</v>
      </c>
    </row>
    <row r="26279" customHeight="1" spans="2:2">
      <c r="B26279" s="62" t="str">
        <f>IF(AND('领用录入（明细）'!D:D=$F$4,'领用录入（明细）'!C:C&gt;=$J$4,'领用录入（明细）'!C:C&lt;=$L$4),ROW(),"-")</f>
        <v>-</v>
      </c>
    </row>
    <row r="26280" customHeight="1" spans="2:2">
      <c r="B26280" s="62" t="str">
        <f>IF(AND('领用录入（明细）'!D:D=$F$4,'领用录入（明细）'!C:C&gt;=$J$4,'领用录入（明细）'!C:C&lt;=$L$4),ROW(),"-")</f>
        <v>-</v>
      </c>
    </row>
    <row r="26281" customHeight="1" spans="2:2">
      <c r="B26281" s="62" t="str">
        <f>IF(AND('领用录入（明细）'!D:D=$F$4,'领用录入（明细）'!C:C&gt;=$J$4,'领用录入（明细）'!C:C&lt;=$L$4),ROW(),"-")</f>
        <v>-</v>
      </c>
    </row>
    <row r="26282" customHeight="1" spans="2:2">
      <c r="B26282" s="62" t="str">
        <f>IF(AND('领用录入（明细）'!D:D=$F$4,'领用录入（明细）'!C:C&gt;=$J$4,'领用录入（明细）'!C:C&lt;=$L$4),ROW(),"-")</f>
        <v>-</v>
      </c>
    </row>
    <row r="26283" customHeight="1" spans="2:2">
      <c r="B26283" s="62" t="str">
        <f>IF(AND('领用录入（明细）'!D:D=$F$4,'领用录入（明细）'!C:C&gt;=$J$4,'领用录入（明细）'!C:C&lt;=$L$4),ROW(),"-")</f>
        <v>-</v>
      </c>
    </row>
    <row r="26284" customHeight="1" spans="2:2">
      <c r="B26284" s="62" t="str">
        <f>IF(AND('领用录入（明细）'!D:D=$F$4,'领用录入（明细）'!C:C&gt;=$J$4,'领用录入（明细）'!C:C&lt;=$L$4),ROW(),"-")</f>
        <v>-</v>
      </c>
    </row>
    <row r="26285" customHeight="1" spans="2:2">
      <c r="B26285" s="62" t="str">
        <f>IF(AND('领用录入（明细）'!D:D=$F$4,'领用录入（明细）'!C:C&gt;=$J$4,'领用录入（明细）'!C:C&lt;=$L$4),ROW(),"-")</f>
        <v>-</v>
      </c>
    </row>
    <row r="26286" customHeight="1" spans="2:2">
      <c r="B26286" s="62" t="str">
        <f>IF(AND('领用录入（明细）'!D:D=$F$4,'领用录入（明细）'!C:C&gt;=$J$4,'领用录入（明细）'!C:C&lt;=$L$4),ROW(),"-")</f>
        <v>-</v>
      </c>
    </row>
    <row r="26287" customHeight="1" spans="2:2">
      <c r="B26287" s="62" t="str">
        <f>IF(AND('领用录入（明细）'!D:D=$F$4,'领用录入（明细）'!C:C&gt;=$J$4,'领用录入（明细）'!C:C&lt;=$L$4),ROW(),"-")</f>
        <v>-</v>
      </c>
    </row>
    <row r="26288" customHeight="1" spans="2:2">
      <c r="B26288" s="62" t="str">
        <f>IF(AND('领用录入（明细）'!D:D=$F$4,'领用录入（明细）'!C:C&gt;=$J$4,'领用录入（明细）'!C:C&lt;=$L$4),ROW(),"-")</f>
        <v>-</v>
      </c>
    </row>
    <row r="26289" customHeight="1" spans="2:2">
      <c r="B26289" s="62" t="str">
        <f>IF(AND('领用录入（明细）'!D:D=$F$4,'领用录入（明细）'!C:C&gt;=$J$4,'领用录入（明细）'!C:C&lt;=$L$4),ROW(),"-")</f>
        <v>-</v>
      </c>
    </row>
    <row r="26290" customHeight="1" spans="2:2">
      <c r="B26290" s="62" t="str">
        <f>IF(AND('领用录入（明细）'!D:D=$F$4,'领用录入（明细）'!C:C&gt;=$J$4,'领用录入（明细）'!C:C&lt;=$L$4),ROW(),"-")</f>
        <v>-</v>
      </c>
    </row>
    <row r="26291" customHeight="1" spans="2:2">
      <c r="B26291" s="62" t="str">
        <f>IF(AND('领用录入（明细）'!D:D=$F$4,'领用录入（明细）'!C:C&gt;=$J$4,'领用录入（明细）'!C:C&lt;=$L$4),ROW(),"-")</f>
        <v>-</v>
      </c>
    </row>
    <row r="26292" customHeight="1" spans="2:2">
      <c r="B26292" s="62" t="str">
        <f>IF(AND('领用录入（明细）'!D:D=$F$4,'领用录入（明细）'!C:C&gt;=$J$4,'领用录入（明细）'!C:C&lt;=$L$4),ROW(),"-")</f>
        <v>-</v>
      </c>
    </row>
    <row r="26293" customHeight="1" spans="2:2">
      <c r="B26293" s="62" t="str">
        <f>IF(AND('领用录入（明细）'!D:D=$F$4,'领用录入（明细）'!C:C&gt;=$J$4,'领用录入（明细）'!C:C&lt;=$L$4),ROW(),"-")</f>
        <v>-</v>
      </c>
    </row>
    <row r="26294" customHeight="1" spans="2:2">
      <c r="B26294" s="62" t="str">
        <f>IF(AND('领用录入（明细）'!D:D=$F$4,'领用录入（明细）'!C:C&gt;=$J$4,'领用录入（明细）'!C:C&lt;=$L$4),ROW(),"-")</f>
        <v>-</v>
      </c>
    </row>
    <row r="26295" customHeight="1" spans="2:2">
      <c r="B26295" s="62" t="str">
        <f>IF(AND('领用录入（明细）'!D:D=$F$4,'领用录入（明细）'!C:C&gt;=$J$4,'领用录入（明细）'!C:C&lt;=$L$4),ROW(),"-")</f>
        <v>-</v>
      </c>
    </row>
    <row r="26296" customHeight="1" spans="2:2">
      <c r="B26296" s="62" t="str">
        <f>IF(AND('领用录入（明细）'!D:D=$F$4,'领用录入（明细）'!C:C&gt;=$J$4,'领用录入（明细）'!C:C&lt;=$L$4),ROW(),"-")</f>
        <v>-</v>
      </c>
    </row>
    <row r="26297" customHeight="1" spans="2:2">
      <c r="B26297" s="62" t="str">
        <f>IF(AND('领用录入（明细）'!D:D=$F$4,'领用录入（明细）'!C:C&gt;=$J$4,'领用录入（明细）'!C:C&lt;=$L$4),ROW(),"-")</f>
        <v>-</v>
      </c>
    </row>
    <row r="26298" customHeight="1" spans="2:2">
      <c r="B26298" s="62" t="str">
        <f>IF(AND('领用录入（明细）'!D:D=$F$4,'领用录入（明细）'!C:C&gt;=$J$4,'领用录入（明细）'!C:C&lt;=$L$4),ROW(),"-")</f>
        <v>-</v>
      </c>
    </row>
    <row r="26299" customHeight="1" spans="2:2">
      <c r="B26299" s="62" t="str">
        <f>IF(AND('领用录入（明细）'!D:D=$F$4,'领用录入（明细）'!C:C&gt;=$J$4,'领用录入（明细）'!C:C&lt;=$L$4),ROW(),"-")</f>
        <v>-</v>
      </c>
    </row>
    <row r="26300" customHeight="1" spans="2:2">
      <c r="B26300" s="62" t="str">
        <f>IF(AND('领用录入（明细）'!D:D=$F$4,'领用录入（明细）'!C:C&gt;=$J$4,'领用录入（明细）'!C:C&lt;=$L$4),ROW(),"-")</f>
        <v>-</v>
      </c>
    </row>
    <row r="26301" customHeight="1" spans="2:2">
      <c r="B26301" s="62" t="str">
        <f>IF(AND('领用录入（明细）'!D:D=$F$4,'领用录入（明细）'!C:C&gt;=$J$4,'领用录入（明细）'!C:C&lt;=$L$4),ROW(),"-")</f>
        <v>-</v>
      </c>
    </row>
    <row r="26302" customHeight="1" spans="2:2">
      <c r="B26302" s="62" t="str">
        <f>IF(AND('领用录入（明细）'!D:D=$F$4,'领用录入（明细）'!C:C&gt;=$J$4,'领用录入（明细）'!C:C&lt;=$L$4),ROW(),"-")</f>
        <v>-</v>
      </c>
    </row>
    <row r="26303" customHeight="1" spans="2:2">
      <c r="B26303" s="62" t="str">
        <f>IF(AND('领用录入（明细）'!D:D=$F$4,'领用录入（明细）'!C:C&gt;=$J$4,'领用录入（明细）'!C:C&lt;=$L$4),ROW(),"-")</f>
        <v>-</v>
      </c>
    </row>
    <row r="26304" customHeight="1" spans="2:2">
      <c r="B26304" s="62" t="str">
        <f>IF(AND('领用录入（明细）'!D:D=$F$4,'领用录入（明细）'!C:C&gt;=$J$4,'领用录入（明细）'!C:C&lt;=$L$4),ROW(),"-")</f>
        <v>-</v>
      </c>
    </row>
    <row r="26305" customHeight="1" spans="2:2">
      <c r="B26305" s="62" t="str">
        <f>IF(AND('领用录入（明细）'!D:D=$F$4,'领用录入（明细）'!C:C&gt;=$J$4,'领用录入（明细）'!C:C&lt;=$L$4),ROW(),"-")</f>
        <v>-</v>
      </c>
    </row>
    <row r="26306" customHeight="1" spans="2:2">
      <c r="B26306" s="62" t="str">
        <f>IF(AND('领用录入（明细）'!D:D=$F$4,'领用录入（明细）'!C:C&gt;=$J$4,'领用录入（明细）'!C:C&lt;=$L$4),ROW(),"-")</f>
        <v>-</v>
      </c>
    </row>
    <row r="26307" customHeight="1" spans="2:2">
      <c r="B26307" s="62" t="str">
        <f>IF(AND('领用录入（明细）'!D:D=$F$4,'领用录入（明细）'!C:C&gt;=$J$4,'领用录入（明细）'!C:C&lt;=$L$4),ROW(),"-")</f>
        <v>-</v>
      </c>
    </row>
    <row r="26308" customHeight="1" spans="2:2">
      <c r="B26308" s="62" t="str">
        <f>IF(AND('领用录入（明细）'!D:D=$F$4,'领用录入（明细）'!C:C&gt;=$J$4,'领用录入（明细）'!C:C&lt;=$L$4),ROW(),"-")</f>
        <v>-</v>
      </c>
    </row>
    <row r="26309" customHeight="1" spans="2:2">
      <c r="B26309" s="62" t="str">
        <f>IF(AND('领用录入（明细）'!D:D=$F$4,'领用录入（明细）'!C:C&gt;=$J$4,'领用录入（明细）'!C:C&lt;=$L$4),ROW(),"-")</f>
        <v>-</v>
      </c>
    </row>
    <row r="26310" customHeight="1" spans="2:2">
      <c r="B26310" s="62" t="str">
        <f>IF(AND('领用录入（明细）'!D:D=$F$4,'领用录入（明细）'!C:C&gt;=$J$4,'领用录入（明细）'!C:C&lt;=$L$4),ROW(),"-")</f>
        <v>-</v>
      </c>
    </row>
    <row r="26311" customHeight="1" spans="2:2">
      <c r="B26311" s="62" t="str">
        <f>IF(AND('领用录入（明细）'!D:D=$F$4,'领用录入（明细）'!C:C&gt;=$J$4,'领用录入（明细）'!C:C&lt;=$L$4),ROW(),"-")</f>
        <v>-</v>
      </c>
    </row>
    <row r="26312" customHeight="1" spans="2:2">
      <c r="B26312" s="62" t="str">
        <f>IF(AND('领用录入（明细）'!D:D=$F$4,'领用录入（明细）'!C:C&gt;=$J$4,'领用录入（明细）'!C:C&lt;=$L$4),ROW(),"-")</f>
        <v>-</v>
      </c>
    </row>
    <row r="26313" customHeight="1" spans="2:2">
      <c r="B26313" s="62" t="str">
        <f>IF(AND('领用录入（明细）'!D:D=$F$4,'领用录入（明细）'!C:C&gt;=$J$4,'领用录入（明细）'!C:C&lt;=$L$4),ROW(),"-")</f>
        <v>-</v>
      </c>
    </row>
    <row r="26314" customHeight="1" spans="2:2">
      <c r="B26314" s="62" t="str">
        <f>IF(AND('领用录入（明细）'!D:D=$F$4,'领用录入（明细）'!C:C&gt;=$J$4,'领用录入（明细）'!C:C&lt;=$L$4),ROW(),"-")</f>
        <v>-</v>
      </c>
    </row>
    <row r="26315" customHeight="1" spans="2:2">
      <c r="B26315" s="62" t="str">
        <f>IF(AND('领用录入（明细）'!D:D=$F$4,'领用录入（明细）'!C:C&gt;=$J$4,'领用录入（明细）'!C:C&lt;=$L$4),ROW(),"-")</f>
        <v>-</v>
      </c>
    </row>
    <row r="26316" customHeight="1" spans="2:2">
      <c r="B26316" s="62" t="str">
        <f>IF(AND('领用录入（明细）'!D:D=$F$4,'领用录入（明细）'!C:C&gt;=$J$4,'领用录入（明细）'!C:C&lt;=$L$4),ROW(),"-")</f>
        <v>-</v>
      </c>
    </row>
    <row r="26317" customHeight="1" spans="2:2">
      <c r="B26317" s="62" t="str">
        <f>IF(AND('领用录入（明细）'!D:D=$F$4,'领用录入（明细）'!C:C&gt;=$J$4,'领用录入（明细）'!C:C&lt;=$L$4),ROW(),"-")</f>
        <v>-</v>
      </c>
    </row>
    <row r="26318" customHeight="1" spans="2:2">
      <c r="B26318" s="62" t="str">
        <f>IF(AND('领用录入（明细）'!D:D=$F$4,'领用录入（明细）'!C:C&gt;=$J$4,'领用录入（明细）'!C:C&lt;=$L$4),ROW(),"-")</f>
        <v>-</v>
      </c>
    </row>
    <row r="26319" customHeight="1" spans="2:2">
      <c r="B26319" s="62" t="str">
        <f>IF(AND('领用录入（明细）'!D:D=$F$4,'领用录入（明细）'!C:C&gt;=$J$4,'领用录入（明细）'!C:C&lt;=$L$4),ROW(),"-")</f>
        <v>-</v>
      </c>
    </row>
    <row r="26320" customHeight="1" spans="2:2">
      <c r="B26320" s="62" t="str">
        <f>IF(AND('领用录入（明细）'!D:D=$F$4,'领用录入（明细）'!C:C&gt;=$J$4,'领用录入（明细）'!C:C&lt;=$L$4),ROW(),"-")</f>
        <v>-</v>
      </c>
    </row>
    <row r="26321" customHeight="1" spans="2:2">
      <c r="B26321" s="62" t="str">
        <f>IF(AND('领用录入（明细）'!D:D=$F$4,'领用录入（明细）'!C:C&gt;=$J$4,'领用录入（明细）'!C:C&lt;=$L$4),ROW(),"-")</f>
        <v>-</v>
      </c>
    </row>
    <row r="26322" customHeight="1" spans="2:2">
      <c r="B26322" s="62" t="str">
        <f>IF(AND('领用录入（明细）'!D:D=$F$4,'领用录入（明细）'!C:C&gt;=$J$4,'领用录入（明细）'!C:C&lt;=$L$4),ROW(),"-")</f>
        <v>-</v>
      </c>
    </row>
    <row r="26323" customHeight="1" spans="2:2">
      <c r="B26323" s="62" t="str">
        <f>IF(AND('领用录入（明细）'!D:D=$F$4,'领用录入（明细）'!C:C&gt;=$J$4,'领用录入（明细）'!C:C&lt;=$L$4),ROW(),"-")</f>
        <v>-</v>
      </c>
    </row>
    <row r="26324" customHeight="1" spans="2:2">
      <c r="B26324" s="62" t="str">
        <f>IF(AND('领用录入（明细）'!D:D=$F$4,'领用录入（明细）'!C:C&gt;=$J$4,'领用录入（明细）'!C:C&lt;=$L$4),ROW(),"-")</f>
        <v>-</v>
      </c>
    </row>
    <row r="26325" customHeight="1" spans="2:2">
      <c r="B26325" s="62" t="str">
        <f>IF(AND('领用录入（明细）'!D:D=$F$4,'领用录入（明细）'!C:C&gt;=$J$4,'领用录入（明细）'!C:C&lt;=$L$4),ROW(),"-")</f>
        <v>-</v>
      </c>
    </row>
    <row r="26326" customHeight="1" spans="2:2">
      <c r="B26326" s="62" t="str">
        <f>IF(AND('领用录入（明细）'!D:D=$F$4,'领用录入（明细）'!C:C&gt;=$J$4,'领用录入（明细）'!C:C&lt;=$L$4),ROW(),"-")</f>
        <v>-</v>
      </c>
    </row>
    <row r="26327" customHeight="1" spans="2:2">
      <c r="B26327" s="62" t="str">
        <f>IF(AND('领用录入（明细）'!D:D=$F$4,'领用录入（明细）'!C:C&gt;=$J$4,'领用录入（明细）'!C:C&lt;=$L$4),ROW(),"-")</f>
        <v>-</v>
      </c>
    </row>
    <row r="26328" customHeight="1" spans="2:2">
      <c r="B26328" s="62" t="str">
        <f>IF(AND('领用录入（明细）'!D:D=$F$4,'领用录入（明细）'!C:C&gt;=$J$4,'领用录入（明细）'!C:C&lt;=$L$4),ROW(),"-")</f>
        <v>-</v>
      </c>
    </row>
    <row r="26329" customHeight="1" spans="2:2">
      <c r="B26329" s="62" t="str">
        <f>IF(AND('领用录入（明细）'!D:D=$F$4,'领用录入（明细）'!C:C&gt;=$J$4,'领用录入（明细）'!C:C&lt;=$L$4),ROW(),"-")</f>
        <v>-</v>
      </c>
    </row>
    <row r="26330" customHeight="1" spans="2:2">
      <c r="B26330" s="62" t="str">
        <f>IF(AND('领用录入（明细）'!D:D=$F$4,'领用录入（明细）'!C:C&gt;=$J$4,'领用录入（明细）'!C:C&lt;=$L$4),ROW(),"-")</f>
        <v>-</v>
      </c>
    </row>
    <row r="26331" customHeight="1" spans="2:2">
      <c r="B26331" s="62" t="str">
        <f>IF(AND('领用录入（明细）'!D:D=$F$4,'领用录入（明细）'!C:C&gt;=$J$4,'领用录入（明细）'!C:C&lt;=$L$4),ROW(),"-")</f>
        <v>-</v>
      </c>
    </row>
    <row r="26332" customHeight="1" spans="2:2">
      <c r="B26332" s="62" t="str">
        <f>IF(AND('领用录入（明细）'!D:D=$F$4,'领用录入（明细）'!C:C&gt;=$J$4,'领用录入（明细）'!C:C&lt;=$L$4),ROW(),"-")</f>
        <v>-</v>
      </c>
    </row>
    <row r="26333" customHeight="1" spans="2:2">
      <c r="B26333" s="62" t="str">
        <f>IF(AND('领用录入（明细）'!D:D=$F$4,'领用录入（明细）'!C:C&gt;=$J$4,'领用录入（明细）'!C:C&lt;=$L$4),ROW(),"-")</f>
        <v>-</v>
      </c>
    </row>
    <row r="26334" customHeight="1" spans="2:2">
      <c r="B26334" s="62" t="str">
        <f>IF(AND('领用录入（明细）'!D:D=$F$4,'领用录入（明细）'!C:C&gt;=$J$4,'领用录入（明细）'!C:C&lt;=$L$4),ROW(),"-")</f>
        <v>-</v>
      </c>
    </row>
    <row r="26335" customHeight="1" spans="2:2">
      <c r="B26335" s="62" t="str">
        <f>IF(AND('领用录入（明细）'!D:D=$F$4,'领用录入（明细）'!C:C&gt;=$J$4,'领用录入（明细）'!C:C&lt;=$L$4),ROW(),"-")</f>
        <v>-</v>
      </c>
    </row>
    <row r="26336" customHeight="1" spans="2:2">
      <c r="B26336" s="62" t="str">
        <f>IF(AND('领用录入（明细）'!D:D=$F$4,'领用录入（明细）'!C:C&gt;=$J$4,'领用录入（明细）'!C:C&lt;=$L$4),ROW(),"-")</f>
        <v>-</v>
      </c>
    </row>
    <row r="26337" customHeight="1" spans="2:2">
      <c r="B26337" s="62" t="str">
        <f>IF(AND('领用录入（明细）'!D:D=$F$4,'领用录入（明细）'!C:C&gt;=$J$4,'领用录入（明细）'!C:C&lt;=$L$4),ROW(),"-")</f>
        <v>-</v>
      </c>
    </row>
    <row r="26338" customHeight="1" spans="2:2">
      <c r="B26338" s="62" t="str">
        <f>IF(AND('领用录入（明细）'!D:D=$F$4,'领用录入（明细）'!C:C&gt;=$J$4,'领用录入（明细）'!C:C&lt;=$L$4),ROW(),"-")</f>
        <v>-</v>
      </c>
    </row>
    <row r="26339" customHeight="1" spans="2:2">
      <c r="B26339" s="62" t="str">
        <f>IF(AND('领用录入（明细）'!D:D=$F$4,'领用录入（明细）'!C:C&gt;=$J$4,'领用录入（明细）'!C:C&lt;=$L$4),ROW(),"-")</f>
        <v>-</v>
      </c>
    </row>
    <row r="26340" customHeight="1" spans="2:2">
      <c r="B26340" s="62" t="str">
        <f>IF(AND('领用录入（明细）'!D:D=$F$4,'领用录入（明细）'!C:C&gt;=$J$4,'领用录入（明细）'!C:C&lt;=$L$4),ROW(),"-")</f>
        <v>-</v>
      </c>
    </row>
    <row r="26341" customHeight="1" spans="2:2">
      <c r="B26341" s="62" t="str">
        <f>IF(AND('领用录入（明细）'!D:D=$F$4,'领用录入（明细）'!C:C&gt;=$J$4,'领用录入（明细）'!C:C&lt;=$L$4),ROW(),"-")</f>
        <v>-</v>
      </c>
    </row>
    <row r="26342" customHeight="1" spans="2:2">
      <c r="B26342" s="62" t="str">
        <f>IF(AND('领用录入（明细）'!D:D=$F$4,'领用录入（明细）'!C:C&gt;=$J$4,'领用录入（明细）'!C:C&lt;=$L$4),ROW(),"-")</f>
        <v>-</v>
      </c>
    </row>
    <row r="26343" customHeight="1" spans="2:2">
      <c r="B26343" s="62" t="str">
        <f>IF(AND('领用录入（明细）'!D:D=$F$4,'领用录入（明细）'!C:C&gt;=$J$4,'领用录入（明细）'!C:C&lt;=$L$4),ROW(),"-")</f>
        <v>-</v>
      </c>
    </row>
    <row r="26344" customHeight="1" spans="2:2">
      <c r="B26344" s="62" t="str">
        <f>IF(AND('领用录入（明细）'!D:D=$F$4,'领用录入（明细）'!C:C&gt;=$J$4,'领用录入（明细）'!C:C&lt;=$L$4),ROW(),"-")</f>
        <v>-</v>
      </c>
    </row>
    <row r="26345" customHeight="1" spans="2:2">
      <c r="B26345" s="62" t="str">
        <f>IF(AND('领用录入（明细）'!D:D=$F$4,'领用录入（明细）'!C:C&gt;=$J$4,'领用录入（明细）'!C:C&lt;=$L$4),ROW(),"-")</f>
        <v>-</v>
      </c>
    </row>
    <row r="26346" customHeight="1" spans="2:2">
      <c r="B26346" s="62" t="str">
        <f>IF(AND('领用录入（明细）'!D:D=$F$4,'领用录入（明细）'!C:C&gt;=$J$4,'领用录入（明细）'!C:C&lt;=$L$4),ROW(),"-")</f>
        <v>-</v>
      </c>
    </row>
    <row r="26347" customHeight="1" spans="2:2">
      <c r="B26347" s="62" t="str">
        <f>IF(AND('领用录入（明细）'!D:D=$F$4,'领用录入（明细）'!C:C&gt;=$J$4,'领用录入（明细）'!C:C&lt;=$L$4),ROW(),"-")</f>
        <v>-</v>
      </c>
    </row>
    <row r="26348" customHeight="1" spans="2:2">
      <c r="B26348" s="62" t="str">
        <f>IF(AND('领用录入（明细）'!D:D=$F$4,'领用录入（明细）'!C:C&gt;=$J$4,'领用录入（明细）'!C:C&lt;=$L$4),ROW(),"-")</f>
        <v>-</v>
      </c>
    </row>
    <row r="26349" customHeight="1" spans="2:2">
      <c r="B26349" s="62" t="str">
        <f>IF(AND('领用录入（明细）'!D:D=$F$4,'领用录入（明细）'!C:C&gt;=$J$4,'领用录入（明细）'!C:C&lt;=$L$4),ROW(),"-")</f>
        <v>-</v>
      </c>
    </row>
    <row r="26350" customHeight="1" spans="2:2">
      <c r="B26350" s="62" t="str">
        <f>IF(AND('领用录入（明细）'!D:D=$F$4,'领用录入（明细）'!C:C&gt;=$J$4,'领用录入（明细）'!C:C&lt;=$L$4),ROW(),"-")</f>
        <v>-</v>
      </c>
    </row>
    <row r="26351" customHeight="1" spans="2:2">
      <c r="B26351" s="62" t="str">
        <f>IF(AND('领用录入（明细）'!D:D=$F$4,'领用录入（明细）'!C:C&gt;=$J$4,'领用录入（明细）'!C:C&lt;=$L$4),ROW(),"-")</f>
        <v>-</v>
      </c>
    </row>
    <row r="26352" customHeight="1" spans="2:2">
      <c r="B26352" s="62" t="str">
        <f>IF(AND('领用录入（明细）'!D:D=$F$4,'领用录入（明细）'!C:C&gt;=$J$4,'领用录入（明细）'!C:C&lt;=$L$4),ROW(),"-")</f>
        <v>-</v>
      </c>
    </row>
    <row r="26353" customHeight="1" spans="2:2">
      <c r="B26353" s="62" t="str">
        <f>IF(AND('领用录入（明细）'!D:D=$F$4,'领用录入（明细）'!C:C&gt;=$J$4,'领用录入（明细）'!C:C&lt;=$L$4),ROW(),"-")</f>
        <v>-</v>
      </c>
    </row>
    <row r="26354" customHeight="1" spans="2:2">
      <c r="B26354" s="62" t="str">
        <f>IF(AND('领用录入（明细）'!D:D=$F$4,'领用录入（明细）'!C:C&gt;=$J$4,'领用录入（明细）'!C:C&lt;=$L$4),ROW(),"-")</f>
        <v>-</v>
      </c>
    </row>
    <row r="26355" customHeight="1" spans="2:2">
      <c r="B26355" s="62" t="str">
        <f>IF(AND('领用录入（明细）'!D:D=$F$4,'领用录入（明细）'!C:C&gt;=$J$4,'领用录入（明细）'!C:C&lt;=$L$4),ROW(),"-")</f>
        <v>-</v>
      </c>
    </row>
    <row r="26356" customHeight="1" spans="2:2">
      <c r="B26356" s="62" t="str">
        <f>IF(AND('领用录入（明细）'!D:D=$F$4,'领用录入（明细）'!C:C&gt;=$J$4,'领用录入（明细）'!C:C&lt;=$L$4),ROW(),"-")</f>
        <v>-</v>
      </c>
    </row>
    <row r="26357" customHeight="1" spans="2:2">
      <c r="B26357" s="62" t="str">
        <f>IF(AND('领用录入（明细）'!D:D=$F$4,'领用录入（明细）'!C:C&gt;=$J$4,'领用录入（明细）'!C:C&lt;=$L$4),ROW(),"-")</f>
        <v>-</v>
      </c>
    </row>
    <row r="26358" customHeight="1" spans="2:2">
      <c r="B26358" s="62" t="str">
        <f>IF(AND('领用录入（明细）'!D:D=$F$4,'领用录入（明细）'!C:C&gt;=$J$4,'领用录入（明细）'!C:C&lt;=$L$4),ROW(),"-")</f>
        <v>-</v>
      </c>
    </row>
    <row r="26359" customHeight="1" spans="2:2">
      <c r="B26359" s="62" t="str">
        <f>IF(AND('领用录入（明细）'!D:D=$F$4,'领用录入（明细）'!C:C&gt;=$J$4,'领用录入（明细）'!C:C&lt;=$L$4),ROW(),"-")</f>
        <v>-</v>
      </c>
    </row>
    <row r="26360" customHeight="1" spans="2:2">
      <c r="B26360" s="62" t="str">
        <f>IF(AND('领用录入（明细）'!D:D=$F$4,'领用录入（明细）'!C:C&gt;=$J$4,'领用录入（明细）'!C:C&lt;=$L$4),ROW(),"-")</f>
        <v>-</v>
      </c>
    </row>
    <row r="26361" customHeight="1" spans="2:2">
      <c r="B26361" s="62" t="str">
        <f>IF(AND('领用录入（明细）'!D:D=$F$4,'领用录入（明细）'!C:C&gt;=$J$4,'领用录入（明细）'!C:C&lt;=$L$4),ROW(),"-")</f>
        <v>-</v>
      </c>
    </row>
    <row r="26362" customHeight="1" spans="2:2">
      <c r="B26362" s="62" t="str">
        <f>IF(AND('领用录入（明细）'!D:D=$F$4,'领用录入（明细）'!C:C&gt;=$J$4,'领用录入（明细）'!C:C&lt;=$L$4),ROW(),"-")</f>
        <v>-</v>
      </c>
    </row>
    <row r="26363" customHeight="1" spans="2:2">
      <c r="B26363" s="62" t="str">
        <f>IF(AND('领用录入（明细）'!D:D=$F$4,'领用录入（明细）'!C:C&gt;=$J$4,'领用录入（明细）'!C:C&lt;=$L$4),ROW(),"-")</f>
        <v>-</v>
      </c>
    </row>
    <row r="26364" customHeight="1" spans="2:2">
      <c r="B26364" s="62" t="str">
        <f>IF(AND('领用录入（明细）'!D:D=$F$4,'领用录入（明细）'!C:C&gt;=$J$4,'领用录入（明细）'!C:C&lt;=$L$4),ROW(),"-")</f>
        <v>-</v>
      </c>
    </row>
    <row r="26365" customHeight="1" spans="2:2">
      <c r="B26365" s="62" t="str">
        <f>IF(AND('领用录入（明细）'!D:D=$F$4,'领用录入（明细）'!C:C&gt;=$J$4,'领用录入（明细）'!C:C&lt;=$L$4),ROW(),"-")</f>
        <v>-</v>
      </c>
    </row>
    <row r="26366" customHeight="1" spans="2:2">
      <c r="B26366" s="62" t="str">
        <f>IF(AND('领用录入（明细）'!D:D=$F$4,'领用录入（明细）'!C:C&gt;=$J$4,'领用录入（明细）'!C:C&lt;=$L$4),ROW(),"-")</f>
        <v>-</v>
      </c>
    </row>
    <row r="26367" customHeight="1" spans="2:2">
      <c r="B26367" s="62" t="str">
        <f>IF(AND('领用录入（明细）'!D:D=$F$4,'领用录入（明细）'!C:C&gt;=$J$4,'领用录入（明细）'!C:C&lt;=$L$4),ROW(),"-")</f>
        <v>-</v>
      </c>
    </row>
    <row r="26368" customHeight="1" spans="2:2">
      <c r="B26368" s="62" t="str">
        <f>IF(AND('领用录入（明细）'!D:D=$F$4,'领用录入（明细）'!C:C&gt;=$J$4,'领用录入（明细）'!C:C&lt;=$L$4),ROW(),"-")</f>
        <v>-</v>
      </c>
    </row>
    <row r="26369" customHeight="1" spans="2:2">
      <c r="B26369" s="62" t="str">
        <f>IF(AND('领用录入（明细）'!D:D=$F$4,'领用录入（明细）'!C:C&gt;=$J$4,'领用录入（明细）'!C:C&lt;=$L$4),ROW(),"-")</f>
        <v>-</v>
      </c>
    </row>
    <row r="26370" customHeight="1" spans="2:2">
      <c r="B26370" s="62" t="str">
        <f>IF(AND('领用录入（明细）'!D:D=$F$4,'领用录入（明细）'!C:C&gt;=$J$4,'领用录入（明细）'!C:C&lt;=$L$4),ROW(),"-")</f>
        <v>-</v>
      </c>
    </row>
    <row r="26371" customHeight="1" spans="2:2">
      <c r="B26371" s="62" t="str">
        <f>IF(AND('领用录入（明细）'!D:D=$F$4,'领用录入（明细）'!C:C&gt;=$J$4,'领用录入（明细）'!C:C&lt;=$L$4),ROW(),"-")</f>
        <v>-</v>
      </c>
    </row>
    <row r="26372" customHeight="1" spans="2:2">
      <c r="B26372" s="62" t="str">
        <f>IF(AND('领用录入（明细）'!D:D=$F$4,'领用录入（明细）'!C:C&gt;=$J$4,'领用录入（明细）'!C:C&lt;=$L$4),ROW(),"-")</f>
        <v>-</v>
      </c>
    </row>
    <row r="26373" customHeight="1" spans="2:2">
      <c r="B26373" s="62" t="str">
        <f>IF(AND('领用录入（明细）'!D:D=$F$4,'领用录入（明细）'!C:C&gt;=$J$4,'领用录入（明细）'!C:C&lt;=$L$4),ROW(),"-")</f>
        <v>-</v>
      </c>
    </row>
    <row r="26374" customHeight="1" spans="2:2">
      <c r="B26374" s="62" t="str">
        <f>IF(AND('领用录入（明细）'!D:D=$F$4,'领用录入（明细）'!C:C&gt;=$J$4,'领用录入（明细）'!C:C&lt;=$L$4),ROW(),"-")</f>
        <v>-</v>
      </c>
    </row>
    <row r="26375" customHeight="1" spans="2:2">
      <c r="B26375" s="62" t="str">
        <f>IF(AND('领用录入（明细）'!D:D=$F$4,'领用录入（明细）'!C:C&gt;=$J$4,'领用录入（明细）'!C:C&lt;=$L$4),ROW(),"-")</f>
        <v>-</v>
      </c>
    </row>
    <row r="26376" customHeight="1" spans="2:2">
      <c r="B26376" s="62" t="str">
        <f>IF(AND('领用录入（明细）'!D:D=$F$4,'领用录入（明细）'!C:C&gt;=$J$4,'领用录入（明细）'!C:C&lt;=$L$4),ROW(),"-")</f>
        <v>-</v>
      </c>
    </row>
    <row r="26377" customHeight="1" spans="2:2">
      <c r="B26377" s="62" t="str">
        <f>IF(AND('领用录入（明细）'!D:D=$F$4,'领用录入（明细）'!C:C&gt;=$J$4,'领用录入（明细）'!C:C&lt;=$L$4),ROW(),"-")</f>
        <v>-</v>
      </c>
    </row>
    <row r="26378" customHeight="1" spans="2:2">
      <c r="B26378" s="62" t="str">
        <f>IF(AND('领用录入（明细）'!D:D=$F$4,'领用录入（明细）'!C:C&gt;=$J$4,'领用录入（明细）'!C:C&lt;=$L$4),ROW(),"-")</f>
        <v>-</v>
      </c>
    </row>
    <row r="26379" customHeight="1" spans="2:2">
      <c r="B26379" s="62" t="str">
        <f>IF(AND('领用录入（明细）'!D:D=$F$4,'领用录入（明细）'!C:C&gt;=$J$4,'领用录入（明细）'!C:C&lt;=$L$4),ROW(),"-")</f>
        <v>-</v>
      </c>
    </row>
    <row r="26380" customHeight="1" spans="2:2">
      <c r="B26380" s="62" t="str">
        <f>IF(AND('领用录入（明细）'!D:D=$F$4,'领用录入（明细）'!C:C&gt;=$J$4,'领用录入（明细）'!C:C&lt;=$L$4),ROW(),"-")</f>
        <v>-</v>
      </c>
    </row>
    <row r="26381" customHeight="1" spans="2:2">
      <c r="B26381" s="62" t="str">
        <f>IF(AND('领用录入（明细）'!D:D=$F$4,'领用录入（明细）'!C:C&gt;=$J$4,'领用录入（明细）'!C:C&lt;=$L$4),ROW(),"-")</f>
        <v>-</v>
      </c>
    </row>
    <row r="26382" customHeight="1" spans="2:2">
      <c r="B26382" s="62" t="str">
        <f>IF(AND('领用录入（明细）'!D:D=$F$4,'领用录入（明细）'!C:C&gt;=$J$4,'领用录入（明细）'!C:C&lt;=$L$4),ROW(),"-")</f>
        <v>-</v>
      </c>
    </row>
    <row r="26383" customHeight="1" spans="2:2">
      <c r="B26383" s="62" t="str">
        <f>IF(AND('领用录入（明细）'!D:D=$F$4,'领用录入（明细）'!C:C&gt;=$J$4,'领用录入（明细）'!C:C&lt;=$L$4),ROW(),"-")</f>
        <v>-</v>
      </c>
    </row>
    <row r="26384" customHeight="1" spans="2:2">
      <c r="B26384" s="62" t="str">
        <f>IF(AND('领用录入（明细）'!D:D=$F$4,'领用录入（明细）'!C:C&gt;=$J$4,'领用录入（明细）'!C:C&lt;=$L$4),ROW(),"-")</f>
        <v>-</v>
      </c>
    </row>
    <row r="26385" customHeight="1" spans="2:2">
      <c r="B26385" s="62" t="str">
        <f>IF(AND('领用录入（明细）'!D:D=$F$4,'领用录入（明细）'!C:C&gt;=$J$4,'领用录入（明细）'!C:C&lt;=$L$4),ROW(),"-")</f>
        <v>-</v>
      </c>
    </row>
    <row r="26386" customHeight="1" spans="2:2">
      <c r="B26386" s="62" t="str">
        <f>IF(AND('领用录入（明细）'!D:D=$F$4,'领用录入（明细）'!C:C&gt;=$J$4,'领用录入（明细）'!C:C&lt;=$L$4),ROW(),"-")</f>
        <v>-</v>
      </c>
    </row>
    <row r="26387" customHeight="1" spans="2:2">
      <c r="B26387" s="62" t="str">
        <f>IF(AND('领用录入（明细）'!D:D=$F$4,'领用录入（明细）'!C:C&gt;=$J$4,'领用录入（明细）'!C:C&lt;=$L$4),ROW(),"-")</f>
        <v>-</v>
      </c>
    </row>
    <row r="26388" customHeight="1" spans="2:2">
      <c r="B26388" s="62" t="str">
        <f>IF(AND('领用录入（明细）'!D:D=$F$4,'领用录入（明细）'!C:C&gt;=$J$4,'领用录入（明细）'!C:C&lt;=$L$4),ROW(),"-")</f>
        <v>-</v>
      </c>
    </row>
    <row r="26389" customHeight="1" spans="2:2">
      <c r="B26389" s="62" t="str">
        <f>IF(AND('领用录入（明细）'!D:D=$F$4,'领用录入（明细）'!C:C&gt;=$J$4,'领用录入（明细）'!C:C&lt;=$L$4),ROW(),"-")</f>
        <v>-</v>
      </c>
    </row>
    <row r="26390" customHeight="1" spans="2:2">
      <c r="B26390" s="62" t="str">
        <f>IF(AND('领用录入（明细）'!D:D=$F$4,'领用录入（明细）'!C:C&gt;=$J$4,'领用录入（明细）'!C:C&lt;=$L$4),ROW(),"-")</f>
        <v>-</v>
      </c>
    </row>
    <row r="26391" customHeight="1" spans="2:2">
      <c r="B26391" s="62" t="str">
        <f>IF(AND('领用录入（明细）'!D:D=$F$4,'领用录入（明细）'!C:C&gt;=$J$4,'领用录入（明细）'!C:C&lt;=$L$4),ROW(),"-")</f>
        <v>-</v>
      </c>
    </row>
    <row r="26392" customHeight="1" spans="2:2">
      <c r="B26392" s="62" t="str">
        <f>IF(AND('领用录入（明细）'!D:D=$F$4,'领用录入（明细）'!C:C&gt;=$J$4,'领用录入（明细）'!C:C&lt;=$L$4),ROW(),"-")</f>
        <v>-</v>
      </c>
    </row>
    <row r="26393" customHeight="1" spans="2:2">
      <c r="B26393" s="62" t="str">
        <f>IF(AND('领用录入（明细）'!D:D=$F$4,'领用录入（明细）'!C:C&gt;=$J$4,'领用录入（明细）'!C:C&lt;=$L$4),ROW(),"-")</f>
        <v>-</v>
      </c>
    </row>
    <row r="26394" customHeight="1" spans="2:2">
      <c r="B26394" s="62" t="str">
        <f>IF(AND('领用录入（明细）'!D:D=$F$4,'领用录入（明细）'!C:C&gt;=$J$4,'领用录入（明细）'!C:C&lt;=$L$4),ROW(),"-")</f>
        <v>-</v>
      </c>
    </row>
    <row r="26395" customHeight="1" spans="2:2">
      <c r="B26395" s="62" t="str">
        <f>IF(AND('领用录入（明细）'!D:D=$F$4,'领用录入（明细）'!C:C&gt;=$J$4,'领用录入（明细）'!C:C&lt;=$L$4),ROW(),"-")</f>
        <v>-</v>
      </c>
    </row>
    <row r="26396" customHeight="1" spans="2:2">
      <c r="B26396" s="62" t="str">
        <f>IF(AND('领用录入（明细）'!D:D=$F$4,'领用录入（明细）'!C:C&gt;=$J$4,'领用录入（明细）'!C:C&lt;=$L$4),ROW(),"-")</f>
        <v>-</v>
      </c>
    </row>
    <row r="26397" customHeight="1" spans="2:2">
      <c r="B26397" s="62" t="str">
        <f>IF(AND('领用录入（明细）'!D:D=$F$4,'领用录入（明细）'!C:C&gt;=$J$4,'领用录入（明细）'!C:C&lt;=$L$4),ROW(),"-")</f>
        <v>-</v>
      </c>
    </row>
    <row r="26398" customHeight="1" spans="2:2">
      <c r="B26398" s="62" t="str">
        <f>IF(AND('领用录入（明细）'!D:D=$F$4,'领用录入（明细）'!C:C&gt;=$J$4,'领用录入（明细）'!C:C&lt;=$L$4),ROW(),"-")</f>
        <v>-</v>
      </c>
    </row>
    <row r="26399" customHeight="1" spans="2:2">
      <c r="B26399" s="62" t="str">
        <f>IF(AND('领用录入（明细）'!D:D=$F$4,'领用录入（明细）'!C:C&gt;=$J$4,'领用录入（明细）'!C:C&lt;=$L$4),ROW(),"-")</f>
        <v>-</v>
      </c>
    </row>
    <row r="26400" customHeight="1" spans="2:2">
      <c r="B26400" s="62" t="str">
        <f>IF(AND('领用录入（明细）'!D:D=$F$4,'领用录入（明细）'!C:C&gt;=$J$4,'领用录入（明细）'!C:C&lt;=$L$4),ROW(),"-")</f>
        <v>-</v>
      </c>
    </row>
    <row r="26401" customHeight="1" spans="2:2">
      <c r="B26401" s="62" t="str">
        <f>IF(AND('领用录入（明细）'!D:D=$F$4,'领用录入（明细）'!C:C&gt;=$J$4,'领用录入（明细）'!C:C&lt;=$L$4),ROW(),"-")</f>
        <v>-</v>
      </c>
    </row>
    <row r="26402" customHeight="1" spans="2:2">
      <c r="B26402" s="62" t="str">
        <f>IF(AND('领用录入（明细）'!D:D=$F$4,'领用录入（明细）'!C:C&gt;=$J$4,'领用录入（明细）'!C:C&lt;=$L$4),ROW(),"-")</f>
        <v>-</v>
      </c>
    </row>
    <row r="26403" customHeight="1" spans="2:2">
      <c r="B26403" s="62" t="str">
        <f>IF(AND('领用录入（明细）'!D:D=$F$4,'领用录入（明细）'!C:C&gt;=$J$4,'领用录入（明细）'!C:C&lt;=$L$4),ROW(),"-")</f>
        <v>-</v>
      </c>
    </row>
    <row r="26404" customHeight="1" spans="2:2">
      <c r="B26404" s="62" t="str">
        <f>IF(AND('领用录入（明细）'!D:D=$F$4,'领用录入（明细）'!C:C&gt;=$J$4,'领用录入（明细）'!C:C&lt;=$L$4),ROW(),"-")</f>
        <v>-</v>
      </c>
    </row>
    <row r="26405" customHeight="1" spans="2:2">
      <c r="B26405" s="62" t="str">
        <f>IF(AND('领用录入（明细）'!D:D=$F$4,'领用录入（明细）'!C:C&gt;=$J$4,'领用录入（明细）'!C:C&lt;=$L$4),ROW(),"-")</f>
        <v>-</v>
      </c>
    </row>
    <row r="26406" customHeight="1" spans="2:2">
      <c r="B26406" s="62" t="str">
        <f>IF(AND('领用录入（明细）'!D:D=$F$4,'领用录入（明细）'!C:C&gt;=$J$4,'领用录入（明细）'!C:C&lt;=$L$4),ROW(),"-")</f>
        <v>-</v>
      </c>
    </row>
    <row r="26407" customHeight="1" spans="2:2">
      <c r="B26407" s="62" t="str">
        <f>IF(AND('领用录入（明细）'!D:D=$F$4,'领用录入（明细）'!C:C&gt;=$J$4,'领用录入（明细）'!C:C&lt;=$L$4),ROW(),"-")</f>
        <v>-</v>
      </c>
    </row>
    <row r="26408" customHeight="1" spans="2:2">
      <c r="B26408" s="62" t="str">
        <f>IF(AND('领用录入（明细）'!D:D=$F$4,'领用录入（明细）'!C:C&gt;=$J$4,'领用录入（明细）'!C:C&lt;=$L$4),ROW(),"-")</f>
        <v>-</v>
      </c>
    </row>
    <row r="26409" customHeight="1" spans="2:2">
      <c r="B26409" s="62" t="str">
        <f>IF(AND('领用录入（明细）'!D:D=$F$4,'领用录入（明细）'!C:C&gt;=$J$4,'领用录入（明细）'!C:C&lt;=$L$4),ROW(),"-")</f>
        <v>-</v>
      </c>
    </row>
    <row r="26410" customHeight="1" spans="2:2">
      <c r="B26410" s="62" t="str">
        <f>IF(AND('领用录入（明细）'!D:D=$F$4,'领用录入（明细）'!C:C&gt;=$J$4,'领用录入（明细）'!C:C&lt;=$L$4),ROW(),"-")</f>
        <v>-</v>
      </c>
    </row>
    <row r="26411" customHeight="1" spans="2:2">
      <c r="B26411" s="62" t="str">
        <f>IF(AND('领用录入（明细）'!D:D=$F$4,'领用录入（明细）'!C:C&gt;=$J$4,'领用录入（明细）'!C:C&lt;=$L$4),ROW(),"-")</f>
        <v>-</v>
      </c>
    </row>
    <row r="26412" customHeight="1" spans="2:2">
      <c r="B26412" s="62" t="str">
        <f>IF(AND('领用录入（明细）'!D:D=$F$4,'领用录入（明细）'!C:C&gt;=$J$4,'领用录入（明细）'!C:C&lt;=$L$4),ROW(),"-")</f>
        <v>-</v>
      </c>
    </row>
    <row r="26413" customHeight="1" spans="2:2">
      <c r="B26413" s="62" t="str">
        <f>IF(AND('领用录入（明细）'!D:D=$F$4,'领用录入（明细）'!C:C&gt;=$J$4,'领用录入（明细）'!C:C&lt;=$L$4),ROW(),"-")</f>
        <v>-</v>
      </c>
    </row>
    <row r="26414" customHeight="1" spans="2:2">
      <c r="B26414" s="62" t="str">
        <f>IF(AND('领用录入（明细）'!D:D=$F$4,'领用录入（明细）'!C:C&gt;=$J$4,'领用录入（明细）'!C:C&lt;=$L$4),ROW(),"-")</f>
        <v>-</v>
      </c>
    </row>
    <row r="26415" customHeight="1" spans="2:2">
      <c r="B26415" s="62" t="str">
        <f>IF(AND('领用录入（明细）'!D:D=$F$4,'领用录入（明细）'!C:C&gt;=$J$4,'领用录入（明细）'!C:C&lt;=$L$4),ROW(),"-")</f>
        <v>-</v>
      </c>
    </row>
    <row r="26416" customHeight="1" spans="2:2">
      <c r="B26416" s="62" t="str">
        <f>IF(AND('领用录入（明细）'!D:D=$F$4,'领用录入（明细）'!C:C&gt;=$J$4,'领用录入（明细）'!C:C&lt;=$L$4),ROW(),"-")</f>
        <v>-</v>
      </c>
    </row>
    <row r="26417" customHeight="1" spans="2:2">
      <c r="B26417" s="62" t="str">
        <f>IF(AND('领用录入（明细）'!D:D=$F$4,'领用录入（明细）'!C:C&gt;=$J$4,'领用录入（明细）'!C:C&lt;=$L$4),ROW(),"-")</f>
        <v>-</v>
      </c>
    </row>
    <row r="26418" customHeight="1" spans="2:2">
      <c r="B26418" s="62" t="str">
        <f>IF(AND('领用录入（明细）'!D:D=$F$4,'领用录入（明细）'!C:C&gt;=$J$4,'领用录入（明细）'!C:C&lt;=$L$4),ROW(),"-")</f>
        <v>-</v>
      </c>
    </row>
    <row r="26419" customHeight="1" spans="2:2">
      <c r="B26419" s="62" t="str">
        <f>IF(AND('领用录入（明细）'!D:D=$F$4,'领用录入（明细）'!C:C&gt;=$J$4,'领用录入（明细）'!C:C&lt;=$L$4),ROW(),"-")</f>
        <v>-</v>
      </c>
    </row>
    <row r="26420" customHeight="1" spans="2:2">
      <c r="B26420" s="62" t="str">
        <f>IF(AND('领用录入（明细）'!D:D=$F$4,'领用录入（明细）'!C:C&gt;=$J$4,'领用录入（明细）'!C:C&lt;=$L$4),ROW(),"-")</f>
        <v>-</v>
      </c>
    </row>
    <row r="26421" customHeight="1" spans="2:2">
      <c r="B26421" s="62" t="str">
        <f>IF(AND('领用录入（明细）'!D:D=$F$4,'领用录入（明细）'!C:C&gt;=$J$4,'领用录入（明细）'!C:C&lt;=$L$4),ROW(),"-")</f>
        <v>-</v>
      </c>
    </row>
    <row r="26422" customHeight="1" spans="2:2">
      <c r="B26422" s="62" t="str">
        <f>IF(AND('领用录入（明细）'!D:D=$F$4,'领用录入（明细）'!C:C&gt;=$J$4,'领用录入（明细）'!C:C&lt;=$L$4),ROW(),"-")</f>
        <v>-</v>
      </c>
    </row>
    <row r="26423" customHeight="1" spans="2:2">
      <c r="B26423" s="62" t="str">
        <f>IF(AND('领用录入（明细）'!D:D=$F$4,'领用录入（明细）'!C:C&gt;=$J$4,'领用录入（明细）'!C:C&lt;=$L$4),ROW(),"-")</f>
        <v>-</v>
      </c>
    </row>
    <row r="26424" customHeight="1" spans="2:2">
      <c r="B26424" s="62" t="str">
        <f>IF(AND('领用录入（明细）'!D:D=$F$4,'领用录入（明细）'!C:C&gt;=$J$4,'领用录入（明细）'!C:C&lt;=$L$4),ROW(),"-")</f>
        <v>-</v>
      </c>
    </row>
    <row r="26425" customHeight="1" spans="2:2">
      <c r="B26425" s="62" t="str">
        <f>IF(AND('领用录入（明细）'!D:D=$F$4,'领用录入（明细）'!C:C&gt;=$J$4,'领用录入（明细）'!C:C&lt;=$L$4),ROW(),"-")</f>
        <v>-</v>
      </c>
    </row>
    <row r="26426" customHeight="1" spans="2:2">
      <c r="B26426" s="62" t="str">
        <f>IF(AND('领用录入（明细）'!D:D=$F$4,'领用录入（明细）'!C:C&gt;=$J$4,'领用录入（明细）'!C:C&lt;=$L$4),ROW(),"-")</f>
        <v>-</v>
      </c>
    </row>
    <row r="26427" customHeight="1" spans="2:2">
      <c r="B26427" s="62" t="str">
        <f>IF(AND('领用录入（明细）'!D:D=$F$4,'领用录入（明细）'!C:C&gt;=$J$4,'领用录入（明细）'!C:C&lt;=$L$4),ROW(),"-")</f>
        <v>-</v>
      </c>
    </row>
    <row r="26428" customHeight="1" spans="2:2">
      <c r="B26428" s="62" t="str">
        <f>IF(AND('领用录入（明细）'!D:D=$F$4,'领用录入（明细）'!C:C&gt;=$J$4,'领用录入（明细）'!C:C&lt;=$L$4),ROW(),"-")</f>
        <v>-</v>
      </c>
    </row>
    <row r="26429" customHeight="1" spans="2:2">
      <c r="B26429" s="62" t="str">
        <f>IF(AND('领用录入（明细）'!D:D=$F$4,'领用录入（明细）'!C:C&gt;=$J$4,'领用录入（明细）'!C:C&lt;=$L$4),ROW(),"-")</f>
        <v>-</v>
      </c>
    </row>
    <row r="26430" customHeight="1" spans="2:2">
      <c r="B26430" s="62" t="str">
        <f>IF(AND('领用录入（明细）'!D:D=$F$4,'领用录入（明细）'!C:C&gt;=$J$4,'领用录入（明细）'!C:C&lt;=$L$4),ROW(),"-")</f>
        <v>-</v>
      </c>
    </row>
    <row r="26431" customHeight="1" spans="2:2">
      <c r="B26431" s="62" t="str">
        <f>IF(AND('领用录入（明细）'!D:D=$F$4,'领用录入（明细）'!C:C&gt;=$J$4,'领用录入（明细）'!C:C&lt;=$L$4),ROW(),"-")</f>
        <v>-</v>
      </c>
    </row>
    <row r="26432" customHeight="1" spans="2:2">
      <c r="B26432" s="62" t="str">
        <f>IF(AND('领用录入（明细）'!D:D=$F$4,'领用录入（明细）'!C:C&gt;=$J$4,'领用录入（明细）'!C:C&lt;=$L$4),ROW(),"-")</f>
        <v>-</v>
      </c>
    </row>
    <row r="26433" customHeight="1" spans="2:2">
      <c r="B26433" s="62" t="str">
        <f>IF(AND('领用录入（明细）'!D:D=$F$4,'领用录入（明细）'!C:C&gt;=$J$4,'领用录入（明细）'!C:C&lt;=$L$4),ROW(),"-")</f>
        <v>-</v>
      </c>
    </row>
    <row r="26434" customHeight="1" spans="2:2">
      <c r="B26434" s="62" t="str">
        <f>IF(AND('领用录入（明细）'!D:D=$F$4,'领用录入（明细）'!C:C&gt;=$J$4,'领用录入（明细）'!C:C&lt;=$L$4),ROW(),"-")</f>
        <v>-</v>
      </c>
    </row>
    <row r="26435" customHeight="1" spans="2:2">
      <c r="B26435" s="62" t="str">
        <f>IF(AND('领用录入（明细）'!D:D=$F$4,'领用录入（明细）'!C:C&gt;=$J$4,'领用录入（明细）'!C:C&lt;=$L$4),ROW(),"-")</f>
        <v>-</v>
      </c>
    </row>
    <row r="26436" customHeight="1" spans="2:2">
      <c r="B26436" s="62" t="str">
        <f>IF(AND('领用录入（明细）'!D:D=$F$4,'领用录入（明细）'!C:C&gt;=$J$4,'领用录入（明细）'!C:C&lt;=$L$4),ROW(),"-")</f>
        <v>-</v>
      </c>
    </row>
    <row r="26437" customHeight="1" spans="2:2">
      <c r="B26437" s="62" t="str">
        <f>IF(AND('领用录入（明细）'!D:D=$F$4,'领用录入（明细）'!C:C&gt;=$J$4,'领用录入（明细）'!C:C&lt;=$L$4),ROW(),"-")</f>
        <v>-</v>
      </c>
    </row>
    <row r="26438" customHeight="1" spans="2:2">
      <c r="B26438" s="62" t="str">
        <f>IF(AND('领用录入（明细）'!D:D=$F$4,'领用录入（明细）'!C:C&gt;=$J$4,'领用录入（明细）'!C:C&lt;=$L$4),ROW(),"-")</f>
        <v>-</v>
      </c>
    </row>
    <row r="26439" customHeight="1" spans="2:2">
      <c r="B26439" s="62" t="str">
        <f>IF(AND('领用录入（明细）'!D:D=$F$4,'领用录入（明细）'!C:C&gt;=$J$4,'领用录入（明细）'!C:C&lt;=$L$4),ROW(),"-")</f>
        <v>-</v>
      </c>
    </row>
    <row r="26440" customHeight="1" spans="2:2">
      <c r="B26440" s="62" t="str">
        <f>IF(AND('领用录入（明细）'!D:D=$F$4,'领用录入（明细）'!C:C&gt;=$J$4,'领用录入（明细）'!C:C&lt;=$L$4),ROW(),"-")</f>
        <v>-</v>
      </c>
    </row>
    <row r="26441" customHeight="1" spans="2:2">
      <c r="B26441" s="62" t="str">
        <f>IF(AND('领用录入（明细）'!D:D=$F$4,'领用录入（明细）'!C:C&gt;=$J$4,'领用录入（明细）'!C:C&lt;=$L$4),ROW(),"-")</f>
        <v>-</v>
      </c>
    </row>
    <row r="26442" customHeight="1" spans="2:2">
      <c r="B26442" s="62" t="str">
        <f>IF(AND('领用录入（明细）'!D:D=$F$4,'领用录入（明细）'!C:C&gt;=$J$4,'领用录入（明细）'!C:C&lt;=$L$4),ROW(),"-")</f>
        <v>-</v>
      </c>
    </row>
    <row r="26443" customHeight="1" spans="2:2">
      <c r="B26443" s="62" t="str">
        <f>IF(AND('领用录入（明细）'!D:D=$F$4,'领用录入（明细）'!C:C&gt;=$J$4,'领用录入（明细）'!C:C&lt;=$L$4),ROW(),"-")</f>
        <v>-</v>
      </c>
    </row>
    <row r="26444" customHeight="1" spans="2:2">
      <c r="B26444" s="62" t="str">
        <f>IF(AND('领用录入（明细）'!D:D=$F$4,'领用录入（明细）'!C:C&gt;=$J$4,'领用录入（明细）'!C:C&lt;=$L$4),ROW(),"-")</f>
        <v>-</v>
      </c>
    </row>
    <row r="26445" customHeight="1" spans="2:2">
      <c r="B26445" s="62" t="str">
        <f>IF(AND('领用录入（明细）'!D:D=$F$4,'领用录入（明细）'!C:C&gt;=$J$4,'领用录入（明细）'!C:C&lt;=$L$4),ROW(),"-")</f>
        <v>-</v>
      </c>
    </row>
    <row r="26446" customHeight="1" spans="2:2">
      <c r="B26446" s="62" t="str">
        <f>IF(AND('领用录入（明细）'!D:D=$F$4,'领用录入（明细）'!C:C&gt;=$J$4,'领用录入（明细）'!C:C&lt;=$L$4),ROW(),"-")</f>
        <v>-</v>
      </c>
    </row>
    <row r="26447" customHeight="1" spans="2:2">
      <c r="B26447" s="62" t="str">
        <f>IF(AND('领用录入（明细）'!D:D=$F$4,'领用录入（明细）'!C:C&gt;=$J$4,'领用录入（明细）'!C:C&lt;=$L$4),ROW(),"-")</f>
        <v>-</v>
      </c>
    </row>
    <row r="26448" customHeight="1" spans="2:2">
      <c r="B26448" s="62" t="str">
        <f>IF(AND('领用录入（明细）'!D:D=$F$4,'领用录入（明细）'!C:C&gt;=$J$4,'领用录入（明细）'!C:C&lt;=$L$4),ROW(),"-")</f>
        <v>-</v>
      </c>
    </row>
    <row r="26449" customHeight="1" spans="2:2">
      <c r="B26449" s="62" t="str">
        <f>IF(AND('领用录入（明细）'!D:D=$F$4,'领用录入（明细）'!C:C&gt;=$J$4,'领用录入（明细）'!C:C&lt;=$L$4),ROW(),"-")</f>
        <v>-</v>
      </c>
    </row>
    <row r="26450" customHeight="1" spans="2:2">
      <c r="B26450" s="62" t="str">
        <f>IF(AND('领用录入（明细）'!D:D=$F$4,'领用录入（明细）'!C:C&gt;=$J$4,'领用录入（明细）'!C:C&lt;=$L$4),ROW(),"-")</f>
        <v>-</v>
      </c>
    </row>
    <row r="26451" customHeight="1" spans="2:2">
      <c r="B26451" s="62" t="str">
        <f>IF(AND('领用录入（明细）'!D:D=$F$4,'领用录入（明细）'!C:C&gt;=$J$4,'领用录入（明细）'!C:C&lt;=$L$4),ROW(),"-")</f>
        <v>-</v>
      </c>
    </row>
    <row r="26452" customHeight="1" spans="2:2">
      <c r="B26452" s="62" t="str">
        <f>IF(AND('领用录入（明细）'!D:D=$F$4,'领用录入（明细）'!C:C&gt;=$J$4,'领用录入（明细）'!C:C&lt;=$L$4),ROW(),"-")</f>
        <v>-</v>
      </c>
    </row>
    <row r="26453" customHeight="1" spans="2:2">
      <c r="B26453" s="62" t="str">
        <f>IF(AND('领用录入（明细）'!D:D=$F$4,'领用录入（明细）'!C:C&gt;=$J$4,'领用录入（明细）'!C:C&lt;=$L$4),ROW(),"-")</f>
        <v>-</v>
      </c>
    </row>
    <row r="26454" customHeight="1" spans="2:2">
      <c r="B26454" s="62" t="str">
        <f>IF(AND('领用录入（明细）'!D:D=$F$4,'领用录入（明细）'!C:C&gt;=$J$4,'领用录入（明细）'!C:C&lt;=$L$4),ROW(),"-")</f>
        <v>-</v>
      </c>
    </row>
    <row r="26455" customHeight="1" spans="2:2">
      <c r="B26455" s="62" t="str">
        <f>IF(AND('领用录入（明细）'!D:D=$F$4,'领用录入（明细）'!C:C&gt;=$J$4,'领用录入（明细）'!C:C&lt;=$L$4),ROW(),"-")</f>
        <v>-</v>
      </c>
    </row>
    <row r="26456" customHeight="1" spans="2:2">
      <c r="B26456" s="62" t="str">
        <f>IF(AND('领用录入（明细）'!D:D=$F$4,'领用录入（明细）'!C:C&gt;=$J$4,'领用录入（明细）'!C:C&lt;=$L$4),ROW(),"-")</f>
        <v>-</v>
      </c>
    </row>
    <row r="26457" customHeight="1" spans="2:2">
      <c r="B26457" s="62" t="str">
        <f>IF(AND('领用录入（明细）'!D:D=$F$4,'领用录入（明细）'!C:C&gt;=$J$4,'领用录入（明细）'!C:C&lt;=$L$4),ROW(),"-")</f>
        <v>-</v>
      </c>
    </row>
    <row r="26458" customHeight="1" spans="2:2">
      <c r="B26458" s="62" t="str">
        <f>IF(AND('领用录入（明细）'!D:D=$F$4,'领用录入（明细）'!C:C&gt;=$J$4,'领用录入（明细）'!C:C&lt;=$L$4),ROW(),"-")</f>
        <v>-</v>
      </c>
    </row>
    <row r="26459" customHeight="1" spans="2:2">
      <c r="B26459" s="62" t="str">
        <f>IF(AND('领用录入（明细）'!D:D=$F$4,'领用录入（明细）'!C:C&gt;=$J$4,'领用录入（明细）'!C:C&lt;=$L$4),ROW(),"-")</f>
        <v>-</v>
      </c>
    </row>
    <row r="26460" customHeight="1" spans="2:2">
      <c r="B26460" s="62" t="str">
        <f>IF(AND('领用录入（明细）'!D:D=$F$4,'领用录入（明细）'!C:C&gt;=$J$4,'领用录入（明细）'!C:C&lt;=$L$4),ROW(),"-")</f>
        <v>-</v>
      </c>
    </row>
    <row r="26461" customHeight="1" spans="2:2">
      <c r="B26461" s="62" t="str">
        <f>IF(AND('领用录入（明细）'!D:D=$F$4,'领用录入（明细）'!C:C&gt;=$J$4,'领用录入（明细）'!C:C&lt;=$L$4),ROW(),"-")</f>
        <v>-</v>
      </c>
    </row>
    <row r="26462" customHeight="1" spans="2:2">
      <c r="B26462" s="62" t="str">
        <f>IF(AND('领用录入（明细）'!D:D=$F$4,'领用录入（明细）'!C:C&gt;=$J$4,'领用录入（明细）'!C:C&lt;=$L$4),ROW(),"-")</f>
        <v>-</v>
      </c>
    </row>
    <row r="26463" customHeight="1" spans="2:2">
      <c r="B26463" s="62" t="str">
        <f>IF(AND('领用录入（明细）'!D:D=$F$4,'领用录入（明细）'!C:C&gt;=$J$4,'领用录入（明细）'!C:C&lt;=$L$4),ROW(),"-")</f>
        <v>-</v>
      </c>
    </row>
    <row r="26464" customHeight="1" spans="2:2">
      <c r="B26464" s="62" t="str">
        <f>IF(AND('领用录入（明细）'!D:D=$F$4,'领用录入（明细）'!C:C&gt;=$J$4,'领用录入（明细）'!C:C&lt;=$L$4),ROW(),"-")</f>
        <v>-</v>
      </c>
    </row>
    <row r="26465" customHeight="1" spans="2:2">
      <c r="B26465" s="62" t="str">
        <f>IF(AND('领用录入（明细）'!D:D=$F$4,'领用录入（明细）'!C:C&gt;=$J$4,'领用录入（明细）'!C:C&lt;=$L$4),ROW(),"-")</f>
        <v>-</v>
      </c>
    </row>
    <row r="26466" customHeight="1" spans="2:2">
      <c r="B26466" s="62" t="str">
        <f>IF(AND('领用录入（明细）'!D:D=$F$4,'领用录入（明细）'!C:C&gt;=$J$4,'领用录入（明细）'!C:C&lt;=$L$4),ROW(),"-")</f>
        <v>-</v>
      </c>
    </row>
    <row r="26467" customHeight="1" spans="2:2">
      <c r="B26467" s="62" t="str">
        <f>IF(AND('领用录入（明细）'!D:D=$F$4,'领用录入（明细）'!C:C&gt;=$J$4,'领用录入（明细）'!C:C&lt;=$L$4),ROW(),"-")</f>
        <v>-</v>
      </c>
    </row>
    <row r="26468" customHeight="1" spans="2:2">
      <c r="B26468" s="62" t="str">
        <f>IF(AND('领用录入（明细）'!D:D=$F$4,'领用录入（明细）'!C:C&gt;=$J$4,'领用录入（明细）'!C:C&lt;=$L$4),ROW(),"-")</f>
        <v>-</v>
      </c>
    </row>
    <row r="26469" customHeight="1" spans="2:2">
      <c r="B26469" s="62" t="str">
        <f>IF(AND('领用录入（明细）'!D:D=$F$4,'领用录入（明细）'!C:C&gt;=$J$4,'领用录入（明细）'!C:C&lt;=$L$4),ROW(),"-")</f>
        <v>-</v>
      </c>
    </row>
    <row r="26470" customHeight="1" spans="2:2">
      <c r="B26470" s="62" t="str">
        <f>IF(AND('领用录入（明细）'!D:D=$F$4,'领用录入（明细）'!C:C&gt;=$J$4,'领用录入（明细）'!C:C&lt;=$L$4),ROW(),"-")</f>
        <v>-</v>
      </c>
    </row>
    <row r="26471" customHeight="1" spans="2:2">
      <c r="B26471" s="62" t="str">
        <f>IF(AND('领用录入（明细）'!D:D=$F$4,'领用录入（明细）'!C:C&gt;=$J$4,'领用录入（明细）'!C:C&lt;=$L$4),ROW(),"-")</f>
        <v>-</v>
      </c>
    </row>
    <row r="26472" customHeight="1" spans="2:2">
      <c r="B26472" s="62" t="str">
        <f>IF(AND('领用录入（明细）'!D:D=$F$4,'领用录入（明细）'!C:C&gt;=$J$4,'领用录入（明细）'!C:C&lt;=$L$4),ROW(),"-")</f>
        <v>-</v>
      </c>
    </row>
    <row r="26473" customHeight="1" spans="2:2">
      <c r="B26473" s="62" t="str">
        <f>IF(AND('领用录入（明细）'!D:D=$F$4,'领用录入（明细）'!C:C&gt;=$J$4,'领用录入（明细）'!C:C&lt;=$L$4),ROW(),"-")</f>
        <v>-</v>
      </c>
    </row>
    <row r="26474" customHeight="1" spans="2:2">
      <c r="B26474" s="62" t="str">
        <f>IF(AND('领用录入（明细）'!D:D=$F$4,'领用录入（明细）'!C:C&gt;=$J$4,'领用录入（明细）'!C:C&lt;=$L$4),ROW(),"-")</f>
        <v>-</v>
      </c>
    </row>
    <row r="26475" customHeight="1" spans="2:2">
      <c r="B26475" s="62" t="str">
        <f>IF(AND('领用录入（明细）'!D:D=$F$4,'领用录入（明细）'!C:C&gt;=$J$4,'领用录入（明细）'!C:C&lt;=$L$4),ROW(),"-")</f>
        <v>-</v>
      </c>
    </row>
    <row r="26476" customHeight="1" spans="2:2">
      <c r="B26476" s="62" t="str">
        <f>IF(AND('领用录入（明细）'!D:D=$F$4,'领用录入（明细）'!C:C&gt;=$J$4,'领用录入（明细）'!C:C&lt;=$L$4),ROW(),"-")</f>
        <v>-</v>
      </c>
    </row>
    <row r="26477" customHeight="1" spans="2:2">
      <c r="B26477" s="62" t="str">
        <f>IF(AND('领用录入（明细）'!D:D=$F$4,'领用录入（明细）'!C:C&gt;=$J$4,'领用录入（明细）'!C:C&lt;=$L$4),ROW(),"-")</f>
        <v>-</v>
      </c>
    </row>
    <row r="26478" customHeight="1" spans="2:2">
      <c r="B26478" s="62" t="str">
        <f>IF(AND('领用录入（明细）'!D:D=$F$4,'领用录入（明细）'!C:C&gt;=$J$4,'领用录入（明细）'!C:C&lt;=$L$4),ROW(),"-")</f>
        <v>-</v>
      </c>
    </row>
    <row r="26479" customHeight="1" spans="2:2">
      <c r="B26479" s="62" t="str">
        <f>IF(AND('领用录入（明细）'!D:D=$F$4,'领用录入（明细）'!C:C&gt;=$J$4,'领用录入（明细）'!C:C&lt;=$L$4),ROW(),"-")</f>
        <v>-</v>
      </c>
    </row>
    <row r="26480" customHeight="1" spans="2:2">
      <c r="B26480" s="62" t="str">
        <f>IF(AND('领用录入（明细）'!D:D=$F$4,'领用录入（明细）'!C:C&gt;=$J$4,'领用录入（明细）'!C:C&lt;=$L$4),ROW(),"-")</f>
        <v>-</v>
      </c>
    </row>
    <row r="26481" customHeight="1" spans="2:2">
      <c r="B26481" s="62" t="str">
        <f>IF(AND('领用录入（明细）'!D:D=$F$4,'领用录入（明细）'!C:C&gt;=$J$4,'领用录入（明细）'!C:C&lt;=$L$4),ROW(),"-")</f>
        <v>-</v>
      </c>
    </row>
    <row r="26482" customHeight="1" spans="2:2">
      <c r="B26482" s="62" t="str">
        <f>IF(AND('领用录入（明细）'!D:D=$F$4,'领用录入（明细）'!C:C&gt;=$J$4,'领用录入（明细）'!C:C&lt;=$L$4),ROW(),"-")</f>
        <v>-</v>
      </c>
    </row>
    <row r="26483" customHeight="1" spans="2:2">
      <c r="B26483" s="62" t="str">
        <f>IF(AND('领用录入（明细）'!D:D=$F$4,'领用录入（明细）'!C:C&gt;=$J$4,'领用录入（明细）'!C:C&lt;=$L$4),ROW(),"-")</f>
        <v>-</v>
      </c>
    </row>
    <row r="26484" customHeight="1" spans="2:2">
      <c r="B26484" s="62" t="str">
        <f>IF(AND('领用录入（明细）'!D:D=$F$4,'领用录入（明细）'!C:C&gt;=$J$4,'领用录入（明细）'!C:C&lt;=$L$4),ROW(),"-")</f>
        <v>-</v>
      </c>
    </row>
    <row r="26485" customHeight="1" spans="2:2">
      <c r="B26485" s="62" t="str">
        <f>IF(AND('领用录入（明细）'!D:D=$F$4,'领用录入（明细）'!C:C&gt;=$J$4,'领用录入（明细）'!C:C&lt;=$L$4),ROW(),"-")</f>
        <v>-</v>
      </c>
    </row>
    <row r="26486" customHeight="1" spans="2:2">
      <c r="B26486" s="62" t="str">
        <f>IF(AND('领用录入（明细）'!D:D=$F$4,'领用录入（明细）'!C:C&gt;=$J$4,'领用录入（明细）'!C:C&lt;=$L$4),ROW(),"-")</f>
        <v>-</v>
      </c>
    </row>
    <row r="26487" customHeight="1" spans="2:2">
      <c r="B26487" s="62" t="str">
        <f>IF(AND('领用录入（明细）'!D:D=$F$4,'领用录入（明细）'!C:C&gt;=$J$4,'领用录入（明细）'!C:C&lt;=$L$4),ROW(),"-")</f>
        <v>-</v>
      </c>
    </row>
    <row r="26488" customHeight="1" spans="2:2">
      <c r="B26488" s="62" t="str">
        <f>IF(AND('领用录入（明细）'!D:D=$F$4,'领用录入（明细）'!C:C&gt;=$J$4,'领用录入（明细）'!C:C&lt;=$L$4),ROW(),"-")</f>
        <v>-</v>
      </c>
    </row>
    <row r="26489" customHeight="1" spans="2:2">
      <c r="B26489" s="62" t="str">
        <f>IF(AND('领用录入（明细）'!D:D=$F$4,'领用录入（明细）'!C:C&gt;=$J$4,'领用录入（明细）'!C:C&lt;=$L$4),ROW(),"-")</f>
        <v>-</v>
      </c>
    </row>
    <row r="26490" customHeight="1" spans="2:2">
      <c r="B26490" s="62" t="str">
        <f>IF(AND('领用录入（明细）'!D:D=$F$4,'领用录入（明细）'!C:C&gt;=$J$4,'领用录入（明细）'!C:C&lt;=$L$4),ROW(),"-")</f>
        <v>-</v>
      </c>
    </row>
    <row r="26491" customHeight="1" spans="2:2">
      <c r="B26491" s="62" t="str">
        <f>IF(AND('领用录入（明细）'!D:D=$F$4,'领用录入（明细）'!C:C&gt;=$J$4,'领用录入（明细）'!C:C&lt;=$L$4),ROW(),"-")</f>
        <v>-</v>
      </c>
    </row>
    <row r="26492" customHeight="1" spans="2:2">
      <c r="B26492" s="62" t="str">
        <f>IF(AND('领用录入（明细）'!D:D=$F$4,'领用录入（明细）'!C:C&gt;=$J$4,'领用录入（明细）'!C:C&lt;=$L$4),ROW(),"-")</f>
        <v>-</v>
      </c>
    </row>
    <row r="26493" customHeight="1" spans="2:2">
      <c r="B26493" s="62" t="str">
        <f>IF(AND('领用录入（明细）'!D:D=$F$4,'领用录入（明细）'!C:C&gt;=$J$4,'领用录入（明细）'!C:C&lt;=$L$4),ROW(),"-")</f>
        <v>-</v>
      </c>
    </row>
    <row r="26494" customHeight="1" spans="2:2">
      <c r="B26494" s="62" t="str">
        <f>IF(AND('领用录入（明细）'!D:D=$F$4,'领用录入（明细）'!C:C&gt;=$J$4,'领用录入（明细）'!C:C&lt;=$L$4),ROW(),"-")</f>
        <v>-</v>
      </c>
    </row>
    <row r="26495" customHeight="1" spans="2:2">
      <c r="B26495" s="62" t="str">
        <f>IF(AND('领用录入（明细）'!D:D=$F$4,'领用录入（明细）'!C:C&gt;=$J$4,'领用录入（明细）'!C:C&lt;=$L$4),ROW(),"-")</f>
        <v>-</v>
      </c>
    </row>
    <row r="26496" customHeight="1" spans="2:2">
      <c r="B26496" s="62" t="str">
        <f>IF(AND('领用录入（明细）'!D:D=$F$4,'领用录入（明细）'!C:C&gt;=$J$4,'领用录入（明细）'!C:C&lt;=$L$4),ROW(),"-")</f>
        <v>-</v>
      </c>
    </row>
    <row r="26497" customHeight="1" spans="2:2">
      <c r="B26497" s="62" t="str">
        <f>IF(AND('领用录入（明细）'!D:D=$F$4,'领用录入（明细）'!C:C&gt;=$J$4,'领用录入（明细）'!C:C&lt;=$L$4),ROW(),"-")</f>
        <v>-</v>
      </c>
    </row>
    <row r="26498" customHeight="1" spans="2:2">
      <c r="B26498" s="62" t="str">
        <f>IF(AND('领用录入（明细）'!D:D=$F$4,'领用录入（明细）'!C:C&gt;=$J$4,'领用录入（明细）'!C:C&lt;=$L$4),ROW(),"-")</f>
        <v>-</v>
      </c>
    </row>
    <row r="26499" customHeight="1" spans="2:2">
      <c r="B26499" s="62" t="str">
        <f>IF(AND('领用录入（明细）'!D:D=$F$4,'领用录入（明细）'!C:C&gt;=$J$4,'领用录入（明细）'!C:C&lt;=$L$4),ROW(),"-")</f>
        <v>-</v>
      </c>
    </row>
    <row r="26500" customHeight="1" spans="2:2">
      <c r="B26500" s="62" t="str">
        <f>IF(AND('领用录入（明细）'!D:D=$F$4,'领用录入（明细）'!C:C&gt;=$J$4,'领用录入（明细）'!C:C&lt;=$L$4),ROW(),"-")</f>
        <v>-</v>
      </c>
    </row>
    <row r="26501" customHeight="1" spans="2:2">
      <c r="B26501" s="62" t="str">
        <f>IF(AND('领用录入（明细）'!D:D=$F$4,'领用录入（明细）'!C:C&gt;=$J$4,'领用录入（明细）'!C:C&lt;=$L$4),ROW(),"-")</f>
        <v>-</v>
      </c>
    </row>
    <row r="26502" customHeight="1" spans="2:2">
      <c r="B26502" s="62" t="str">
        <f>IF(AND('领用录入（明细）'!D:D=$F$4,'领用录入（明细）'!C:C&gt;=$J$4,'领用录入（明细）'!C:C&lt;=$L$4),ROW(),"-")</f>
        <v>-</v>
      </c>
    </row>
    <row r="26503" customHeight="1" spans="2:2">
      <c r="B26503" s="62" t="str">
        <f>IF(AND('领用录入（明细）'!D:D=$F$4,'领用录入（明细）'!C:C&gt;=$J$4,'领用录入（明细）'!C:C&lt;=$L$4),ROW(),"-")</f>
        <v>-</v>
      </c>
    </row>
    <row r="26504" customHeight="1" spans="2:2">
      <c r="B26504" s="62" t="str">
        <f>IF(AND('领用录入（明细）'!D:D=$F$4,'领用录入（明细）'!C:C&gt;=$J$4,'领用录入（明细）'!C:C&lt;=$L$4),ROW(),"-")</f>
        <v>-</v>
      </c>
    </row>
    <row r="26505" customHeight="1" spans="2:2">
      <c r="B26505" s="62" t="str">
        <f>IF(AND('领用录入（明细）'!D:D=$F$4,'领用录入（明细）'!C:C&gt;=$J$4,'领用录入（明细）'!C:C&lt;=$L$4),ROW(),"-")</f>
        <v>-</v>
      </c>
    </row>
    <row r="26506" customHeight="1" spans="2:2">
      <c r="B26506" s="62" t="str">
        <f>IF(AND('领用录入（明细）'!D:D=$F$4,'领用录入（明细）'!C:C&gt;=$J$4,'领用录入（明细）'!C:C&lt;=$L$4),ROW(),"-")</f>
        <v>-</v>
      </c>
    </row>
    <row r="26507" customHeight="1" spans="2:2">
      <c r="B26507" s="62" t="str">
        <f>IF(AND('领用录入（明细）'!D:D=$F$4,'领用录入（明细）'!C:C&gt;=$J$4,'领用录入（明细）'!C:C&lt;=$L$4),ROW(),"-")</f>
        <v>-</v>
      </c>
    </row>
    <row r="26508" customHeight="1" spans="2:2">
      <c r="B26508" s="62" t="str">
        <f>IF(AND('领用录入（明细）'!D:D=$F$4,'领用录入（明细）'!C:C&gt;=$J$4,'领用录入（明细）'!C:C&lt;=$L$4),ROW(),"-")</f>
        <v>-</v>
      </c>
    </row>
    <row r="26509" customHeight="1" spans="2:2">
      <c r="B26509" s="62" t="str">
        <f>IF(AND('领用录入（明细）'!D:D=$F$4,'领用录入（明细）'!C:C&gt;=$J$4,'领用录入（明细）'!C:C&lt;=$L$4),ROW(),"-")</f>
        <v>-</v>
      </c>
    </row>
    <row r="26510" customHeight="1" spans="2:2">
      <c r="B26510" s="62" t="str">
        <f>IF(AND('领用录入（明细）'!D:D=$F$4,'领用录入（明细）'!C:C&gt;=$J$4,'领用录入（明细）'!C:C&lt;=$L$4),ROW(),"-")</f>
        <v>-</v>
      </c>
    </row>
    <row r="26511" customHeight="1" spans="2:2">
      <c r="B26511" s="62" t="str">
        <f>IF(AND('领用录入（明细）'!D:D=$F$4,'领用录入（明细）'!C:C&gt;=$J$4,'领用录入（明细）'!C:C&lt;=$L$4),ROW(),"-")</f>
        <v>-</v>
      </c>
    </row>
    <row r="26512" customHeight="1" spans="2:2">
      <c r="B26512" s="62" t="str">
        <f>IF(AND('领用录入（明细）'!D:D=$F$4,'领用录入（明细）'!C:C&gt;=$J$4,'领用录入（明细）'!C:C&lt;=$L$4),ROW(),"-")</f>
        <v>-</v>
      </c>
    </row>
    <row r="26513" customHeight="1" spans="2:2">
      <c r="B26513" s="62" t="str">
        <f>IF(AND('领用录入（明细）'!D:D=$F$4,'领用录入（明细）'!C:C&gt;=$J$4,'领用录入（明细）'!C:C&lt;=$L$4),ROW(),"-")</f>
        <v>-</v>
      </c>
    </row>
    <row r="26514" customHeight="1" spans="2:2">
      <c r="B26514" s="62" t="str">
        <f>IF(AND('领用录入（明细）'!D:D=$F$4,'领用录入（明细）'!C:C&gt;=$J$4,'领用录入（明细）'!C:C&lt;=$L$4),ROW(),"-")</f>
        <v>-</v>
      </c>
    </row>
    <row r="26515" customHeight="1" spans="2:2">
      <c r="B26515" s="62" t="str">
        <f>IF(AND('领用录入（明细）'!D:D=$F$4,'领用录入（明细）'!C:C&gt;=$J$4,'领用录入（明细）'!C:C&lt;=$L$4),ROW(),"-")</f>
        <v>-</v>
      </c>
    </row>
    <row r="26516" customHeight="1" spans="2:2">
      <c r="B26516" s="62" t="str">
        <f>IF(AND('领用录入（明细）'!D:D=$F$4,'领用录入（明细）'!C:C&gt;=$J$4,'领用录入（明细）'!C:C&lt;=$L$4),ROW(),"-")</f>
        <v>-</v>
      </c>
    </row>
    <row r="26517" customHeight="1" spans="2:2">
      <c r="B26517" s="62" t="str">
        <f>IF(AND('领用录入（明细）'!D:D=$F$4,'领用录入（明细）'!C:C&gt;=$J$4,'领用录入（明细）'!C:C&lt;=$L$4),ROW(),"-")</f>
        <v>-</v>
      </c>
    </row>
    <row r="26518" customHeight="1" spans="2:2">
      <c r="B26518" s="62" t="str">
        <f>IF(AND('领用录入（明细）'!D:D=$F$4,'领用录入（明细）'!C:C&gt;=$J$4,'领用录入（明细）'!C:C&lt;=$L$4),ROW(),"-")</f>
        <v>-</v>
      </c>
    </row>
    <row r="26519" customHeight="1" spans="2:2">
      <c r="B26519" s="62" t="str">
        <f>IF(AND('领用录入（明细）'!D:D=$F$4,'领用录入（明细）'!C:C&gt;=$J$4,'领用录入（明细）'!C:C&lt;=$L$4),ROW(),"-")</f>
        <v>-</v>
      </c>
    </row>
    <row r="26520" customHeight="1" spans="2:2">
      <c r="B26520" s="62" t="str">
        <f>IF(AND('领用录入（明细）'!D:D=$F$4,'领用录入（明细）'!C:C&gt;=$J$4,'领用录入（明细）'!C:C&lt;=$L$4),ROW(),"-")</f>
        <v>-</v>
      </c>
    </row>
    <row r="26521" customHeight="1" spans="2:2">
      <c r="B26521" s="62" t="str">
        <f>IF(AND('领用录入（明细）'!D:D=$F$4,'领用录入（明细）'!C:C&gt;=$J$4,'领用录入（明细）'!C:C&lt;=$L$4),ROW(),"-")</f>
        <v>-</v>
      </c>
    </row>
    <row r="26522" customHeight="1" spans="2:2">
      <c r="B26522" s="62" t="str">
        <f>IF(AND('领用录入（明细）'!D:D=$F$4,'领用录入（明细）'!C:C&gt;=$J$4,'领用录入（明细）'!C:C&lt;=$L$4),ROW(),"-")</f>
        <v>-</v>
      </c>
    </row>
    <row r="26523" customHeight="1" spans="2:2">
      <c r="B26523" s="62" t="str">
        <f>IF(AND('领用录入（明细）'!D:D=$F$4,'领用录入（明细）'!C:C&gt;=$J$4,'领用录入（明细）'!C:C&lt;=$L$4),ROW(),"-")</f>
        <v>-</v>
      </c>
    </row>
    <row r="26524" customHeight="1" spans="2:2">
      <c r="B26524" s="62" t="str">
        <f>IF(AND('领用录入（明细）'!D:D=$F$4,'领用录入（明细）'!C:C&gt;=$J$4,'领用录入（明细）'!C:C&lt;=$L$4),ROW(),"-")</f>
        <v>-</v>
      </c>
    </row>
    <row r="26525" customHeight="1" spans="2:2">
      <c r="B26525" s="62" t="str">
        <f>IF(AND('领用录入（明细）'!D:D=$F$4,'领用录入（明细）'!C:C&gt;=$J$4,'领用录入（明细）'!C:C&lt;=$L$4),ROW(),"-")</f>
        <v>-</v>
      </c>
    </row>
    <row r="26526" customHeight="1" spans="2:2">
      <c r="B26526" s="62" t="str">
        <f>IF(AND('领用录入（明细）'!D:D=$F$4,'领用录入（明细）'!C:C&gt;=$J$4,'领用录入（明细）'!C:C&lt;=$L$4),ROW(),"-")</f>
        <v>-</v>
      </c>
    </row>
    <row r="26527" customHeight="1" spans="2:2">
      <c r="B26527" s="62" t="str">
        <f>IF(AND('领用录入（明细）'!D:D=$F$4,'领用录入（明细）'!C:C&gt;=$J$4,'领用录入（明细）'!C:C&lt;=$L$4),ROW(),"-")</f>
        <v>-</v>
      </c>
    </row>
    <row r="26528" customHeight="1" spans="2:2">
      <c r="B26528" s="62" t="str">
        <f>IF(AND('领用录入（明细）'!D:D=$F$4,'领用录入（明细）'!C:C&gt;=$J$4,'领用录入（明细）'!C:C&lt;=$L$4),ROW(),"-")</f>
        <v>-</v>
      </c>
    </row>
    <row r="26529" customHeight="1" spans="2:2">
      <c r="B26529" s="62" t="str">
        <f>IF(AND('领用录入（明细）'!D:D=$F$4,'领用录入（明细）'!C:C&gt;=$J$4,'领用录入（明细）'!C:C&lt;=$L$4),ROW(),"-")</f>
        <v>-</v>
      </c>
    </row>
    <row r="26530" customHeight="1" spans="2:2">
      <c r="B26530" s="62" t="str">
        <f>IF(AND('领用录入（明细）'!D:D=$F$4,'领用录入（明细）'!C:C&gt;=$J$4,'领用录入（明细）'!C:C&lt;=$L$4),ROW(),"-")</f>
        <v>-</v>
      </c>
    </row>
    <row r="26531" customHeight="1" spans="2:2">
      <c r="B26531" s="62" t="str">
        <f>IF(AND('领用录入（明细）'!D:D=$F$4,'领用录入（明细）'!C:C&gt;=$J$4,'领用录入（明细）'!C:C&lt;=$L$4),ROW(),"-")</f>
        <v>-</v>
      </c>
    </row>
    <row r="26532" customHeight="1" spans="2:2">
      <c r="B26532" s="62" t="str">
        <f>IF(AND('领用录入（明细）'!D:D=$F$4,'领用录入（明细）'!C:C&gt;=$J$4,'领用录入（明细）'!C:C&lt;=$L$4),ROW(),"-")</f>
        <v>-</v>
      </c>
    </row>
    <row r="26533" customHeight="1" spans="2:2">
      <c r="B26533" s="62" t="str">
        <f>IF(AND('领用录入（明细）'!D:D=$F$4,'领用录入（明细）'!C:C&gt;=$J$4,'领用录入（明细）'!C:C&lt;=$L$4),ROW(),"-")</f>
        <v>-</v>
      </c>
    </row>
    <row r="26534" customHeight="1" spans="2:2">
      <c r="B26534" s="62" t="str">
        <f>IF(AND('领用录入（明细）'!D:D=$F$4,'领用录入（明细）'!C:C&gt;=$J$4,'领用录入（明细）'!C:C&lt;=$L$4),ROW(),"-")</f>
        <v>-</v>
      </c>
    </row>
    <row r="26535" customHeight="1" spans="2:2">
      <c r="B26535" s="62" t="str">
        <f>IF(AND('领用录入（明细）'!D:D=$F$4,'领用录入（明细）'!C:C&gt;=$J$4,'领用录入（明细）'!C:C&lt;=$L$4),ROW(),"-")</f>
        <v>-</v>
      </c>
    </row>
    <row r="26536" customHeight="1" spans="2:2">
      <c r="B26536" s="62" t="str">
        <f>IF(AND('领用录入（明细）'!D:D=$F$4,'领用录入（明细）'!C:C&gt;=$J$4,'领用录入（明细）'!C:C&lt;=$L$4),ROW(),"-")</f>
        <v>-</v>
      </c>
    </row>
    <row r="26537" customHeight="1" spans="2:2">
      <c r="B26537" s="62" t="str">
        <f>IF(AND('领用录入（明细）'!D:D=$F$4,'领用录入（明细）'!C:C&gt;=$J$4,'领用录入（明细）'!C:C&lt;=$L$4),ROW(),"-")</f>
        <v>-</v>
      </c>
    </row>
    <row r="26538" customHeight="1" spans="2:2">
      <c r="B26538" s="62" t="str">
        <f>IF(AND('领用录入（明细）'!D:D=$F$4,'领用录入（明细）'!C:C&gt;=$J$4,'领用录入（明细）'!C:C&lt;=$L$4),ROW(),"-")</f>
        <v>-</v>
      </c>
    </row>
    <row r="26539" customHeight="1" spans="2:2">
      <c r="B26539" s="62" t="str">
        <f>IF(AND('领用录入（明细）'!D:D=$F$4,'领用录入（明细）'!C:C&gt;=$J$4,'领用录入（明细）'!C:C&lt;=$L$4),ROW(),"-")</f>
        <v>-</v>
      </c>
    </row>
    <row r="26540" customHeight="1" spans="2:2">
      <c r="B26540" s="62" t="str">
        <f>IF(AND('领用录入（明细）'!D:D=$F$4,'领用录入（明细）'!C:C&gt;=$J$4,'领用录入（明细）'!C:C&lt;=$L$4),ROW(),"-")</f>
        <v>-</v>
      </c>
    </row>
    <row r="26541" customHeight="1" spans="2:2">
      <c r="B26541" s="62" t="str">
        <f>IF(AND('领用录入（明细）'!D:D=$F$4,'领用录入（明细）'!C:C&gt;=$J$4,'领用录入（明细）'!C:C&lt;=$L$4),ROW(),"-")</f>
        <v>-</v>
      </c>
    </row>
    <row r="26542" customHeight="1" spans="2:2">
      <c r="B26542" s="62" t="str">
        <f>IF(AND('领用录入（明细）'!D:D=$F$4,'领用录入（明细）'!C:C&gt;=$J$4,'领用录入（明细）'!C:C&lt;=$L$4),ROW(),"-")</f>
        <v>-</v>
      </c>
    </row>
    <row r="26543" customHeight="1" spans="2:2">
      <c r="B26543" s="62" t="str">
        <f>IF(AND('领用录入（明细）'!D:D=$F$4,'领用录入（明细）'!C:C&gt;=$J$4,'领用录入（明细）'!C:C&lt;=$L$4),ROW(),"-")</f>
        <v>-</v>
      </c>
    </row>
    <row r="26544" customHeight="1" spans="2:2">
      <c r="B26544" s="62" t="str">
        <f>IF(AND('领用录入（明细）'!D:D=$F$4,'领用录入（明细）'!C:C&gt;=$J$4,'领用录入（明细）'!C:C&lt;=$L$4),ROW(),"-")</f>
        <v>-</v>
      </c>
    </row>
    <row r="26545" customHeight="1" spans="2:2">
      <c r="B26545" s="62" t="str">
        <f>IF(AND('领用录入（明细）'!D:D=$F$4,'领用录入（明细）'!C:C&gt;=$J$4,'领用录入（明细）'!C:C&lt;=$L$4),ROW(),"-")</f>
        <v>-</v>
      </c>
    </row>
    <row r="26546" customHeight="1" spans="2:2">
      <c r="B26546" s="62" t="str">
        <f>IF(AND('领用录入（明细）'!D:D=$F$4,'领用录入（明细）'!C:C&gt;=$J$4,'领用录入（明细）'!C:C&lt;=$L$4),ROW(),"-")</f>
        <v>-</v>
      </c>
    </row>
    <row r="26547" customHeight="1" spans="2:2">
      <c r="B26547" s="62" t="str">
        <f>IF(AND('领用录入（明细）'!D:D=$F$4,'领用录入（明细）'!C:C&gt;=$J$4,'领用录入（明细）'!C:C&lt;=$L$4),ROW(),"-")</f>
        <v>-</v>
      </c>
    </row>
    <row r="26548" customHeight="1" spans="2:2">
      <c r="B26548" s="62" t="str">
        <f>IF(AND('领用录入（明细）'!D:D=$F$4,'领用录入（明细）'!C:C&gt;=$J$4,'领用录入（明细）'!C:C&lt;=$L$4),ROW(),"-")</f>
        <v>-</v>
      </c>
    </row>
    <row r="26549" customHeight="1" spans="2:2">
      <c r="B26549" s="62" t="str">
        <f>IF(AND('领用录入（明细）'!D:D=$F$4,'领用录入（明细）'!C:C&gt;=$J$4,'领用录入（明细）'!C:C&lt;=$L$4),ROW(),"-")</f>
        <v>-</v>
      </c>
    </row>
    <row r="26550" customHeight="1" spans="2:2">
      <c r="B26550" s="62" t="str">
        <f>IF(AND('领用录入（明细）'!D:D=$F$4,'领用录入（明细）'!C:C&gt;=$J$4,'领用录入（明细）'!C:C&lt;=$L$4),ROW(),"-")</f>
        <v>-</v>
      </c>
    </row>
    <row r="26551" customHeight="1" spans="2:2">
      <c r="B26551" s="62" t="str">
        <f>IF(AND('领用录入（明细）'!D:D=$F$4,'领用录入（明细）'!C:C&gt;=$J$4,'领用录入（明细）'!C:C&lt;=$L$4),ROW(),"-")</f>
        <v>-</v>
      </c>
    </row>
    <row r="26552" customHeight="1" spans="2:2">
      <c r="B26552" s="62" t="str">
        <f>IF(AND('领用录入（明细）'!D:D=$F$4,'领用录入（明细）'!C:C&gt;=$J$4,'领用录入（明细）'!C:C&lt;=$L$4),ROW(),"-")</f>
        <v>-</v>
      </c>
    </row>
    <row r="26553" customHeight="1" spans="2:2">
      <c r="B26553" s="62" t="str">
        <f>IF(AND('领用录入（明细）'!D:D=$F$4,'领用录入（明细）'!C:C&gt;=$J$4,'领用录入（明细）'!C:C&lt;=$L$4),ROW(),"-")</f>
        <v>-</v>
      </c>
    </row>
    <row r="26554" customHeight="1" spans="2:2">
      <c r="B26554" s="62" t="str">
        <f>IF(AND('领用录入（明细）'!D:D=$F$4,'领用录入（明细）'!C:C&gt;=$J$4,'领用录入（明细）'!C:C&lt;=$L$4),ROW(),"-")</f>
        <v>-</v>
      </c>
    </row>
    <row r="26555" customHeight="1" spans="2:2">
      <c r="B26555" s="62" t="str">
        <f>IF(AND('领用录入（明细）'!D:D=$F$4,'领用录入（明细）'!C:C&gt;=$J$4,'领用录入（明细）'!C:C&lt;=$L$4),ROW(),"-")</f>
        <v>-</v>
      </c>
    </row>
    <row r="26556" customHeight="1" spans="2:2">
      <c r="B26556" s="62" t="str">
        <f>IF(AND('领用录入（明细）'!D:D=$F$4,'领用录入（明细）'!C:C&gt;=$J$4,'领用录入（明细）'!C:C&lt;=$L$4),ROW(),"-")</f>
        <v>-</v>
      </c>
    </row>
    <row r="26557" customHeight="1" spans="2:2">
      <c r="B26557" s="62" t="str">
        <f>IF(AND('领用录入（明细）'!D:D=$F$4,'领用录入（明细）'!C:C&gt;=$J$4,'领用录入（明细）'!C:C&lt;=$L$4),ROW(),"-")</f>
        <v>-</v>
      </c>
    </row>
    <row r="26558" customHeight="1" spans="2:2">
      <c r="B26558" s="62" t="str">
        <f>IF(AND('领用录入（明细）'!D:D=$F$4,'领用录入（明细）'!C:C&gt;=$J$4,'领用录入（明细）'!C:C&lt;=$L$4),ROW(),"-")</f>
        <v>-</v>
      </c>
    </row>
    <row r="26559" customHeight="1" spans="2:2">
      <c r="B26559" s="62" t="str">
        <f>IF(AND('领用录入（明细）'!D:D=$F$4,'领用录入（明细）'!C:C&gt;=$J$4,'领用录入（明细）'!C:C&lt;=$L$4),ROW(),"-")</f>
        <v>-</v>
      </c>
    </row>
    <row r="26560" customHeight="1" spans="2:2">
      <c r="B26560" s="62" t="str">
        <f>IF(AND('领用录入（明细）'!D:D=$F$4,'领用录入（明细）'!C:C&gt;=$J$4,'领用录入（明细）'!C:C&lt;=$L$4),ROW(),"-")</f>
        <v>-</v>
      </c>
    </row>
    <row r="26561" customHeight="1" spans="2:2">
      <c r="B26561" s="62" t="str">
        <f>IF(AND('领用录入（明细）'!D:D=$F$4,'领用录入（明细）'!C:C&gt;=$J$4,'领用录入（明细）'!C:C&lt;=$L$4),ROW(),"-")</f>
        <v>-</v>
      </c>
    </row>
    <row r="26562" customHeight="1" spans="2:2">
      <c r="B26562" s="62" t="str">
        <f>IF(AND('领用录入（明细）'!D:D=$F$4,'领用录入（明细）'!C:C&gt;=$J$4,'领用录入（明细）'!C:C&lt;=$L$4),ROW(),"-")</f>
        <v>-</v>
      </c>
    </row>
    <row r="26563" customHeight="1" spans="2:2">
      <c r="B26563" s="62" t="str">
        <f>IF(AND('领用录入（明细）'!D:D=$F$4,'领用录入（明细）'!C:C&gt;=$J$4,'领用录入（明细）'!C:C&lt;=$L$4),ROW(),"-")</f>
        <v>-</v>
      </c>
    </row>
    <row r="26564" customHeight="1" spans="2:2">
      <c r="B26564" s="62" t="str">
        <f>IF(AND('领用录入（明细）'!D:D=$F$4,'领用录入（明细）'!C:C&gt;=$J$4,'领用录入（明细）'!C:C&lt;=$L$4),ROW(),"-")</f>
        <v>-</v>
      </c>
    </row>
    <row r="26565" customHeight="1" spans="2:2">
      <c r="B26565" s="62" t="str">
        <f>IF(AND('领用录入（明细）'!D:D=$F$4,'领用录入（明细）'!C:C&gt;=$J$4,'领用录入（明细）'!C:C&lt;=$L$4),ROW(),"-")</f>
        <v>-</v>
      </c>
    </row>
    <row r="26566" customHeight="1" spans="2:2">
      <c r="B26566" s="62" t="str">
        <f>IF(AND('领用录入（明细）'!D:D=$F$4,'领用录入（明细）'!C:C&gt;=$J$4,'领用录入（明细）'!C:C&lt;=$L$4),ROW(),"-")</f>
        <v>-</v>
      </c>
    </row>
    <row r="26567" customHeight="1" spans="2:2">
      <c r="B26567" s="62" t="str">
        <f>IF(AND('领用录入（明细）'!D:D=$F$4,'领用录入（明细）'!C:C&gt;=$J$4,'领用录入（明细）'!C:C&lt;=$L$4),ROW(),"-")</f>
        <v>-</v>
      </c>
    </row>
    <row r="26568" customHeight="1" spans="2:2">
      <c r="B26568" s="62" t="str">
        <f>IF(AND('领用录入（明细）'!D:D=$F$4,'领用录入（明细）'!C:C&gt;=$J$4,'领用录入（明细）'!C:C&lt;=$L$4),ROW(),"-")</f>
        <v>-</v>
      </c>
    </row>
    <row r="26569" customHeight="1" spans="2:2">
      <c r="B26569" s="62" t="str">
        <f>IF(AND('领用录入（明细）'!D:D=$F$4,'领用录入（明细）'!C:C&gt;=$J$4,'领用录入（明细）'!C:C&lt;=$L$4),ROW(),"-")</f>
        <v>-</v>
      </c>
    </row>
    <row r="26570" customHeight="1" spans="2:2">
      <c r="B26570" s="62" t="str">
        <f>IF(AND('领用录入（明细）'!D:D=$F$4,'领用录入（明细）'!C:C&gt;=$J$4,'领用录入（明细）'!C:C&lt;=$L$4),ROW(),"-")</f>
        <v>-</v>
      </c>
    </row>
    <row r="26571" customHeight="1" spans="2:2">
      <c r="B26571" s="62" t="str">
        <f>IF(AND('领用录入（明细）'!D:D=$F$4,'领用录入（明细）'!C:C&gt;=$J$4,'领用录入（明细）'!C:C&lt;=$L$4),ROW(),"-")</f>
        <v>-</v>
      </c>
    </row>
    <row r="26572" customHeight="1" spans="2:2">
      <c r="B26572" s="62" t="str">
        <f>IF(AND('领用录入（明细）'!D:D=$F$4,'领用录入（明细）'!C:C&gt;=$J$4,'领用录入（明细）'!C:C&lt;=$L$4),ROW(),"-")</f>
        <v>-</v>
      </c>
    </row>
    <row r="26573" customHeight="1" spans="2:2">
      <c r="B26573" s="62" t="str">
        <f>IF(AND('领用录入（明细）'!D:D=$F$4,'领用录入（明细）'!C:C&gt;=$J$4,'领用录入（明细）'!C:C&lt;=$L$4),ROW(),"-")</f>
        <v>-</v>
      </c>
    </row>
    <row r="26574" customHeight="1" spans="2:2">
      <c r="B26574" s="62" t="str">
        <f>IF(AND('领用录入（明细）'!D:D=$F$4,'领用录入（明细）'!C:C&gt;=$J$4,'领用录入（明细）'!C:C&lt;=$L$4),ROW(),"-")</f>
        <v>-</v>
      </c>
    </row>
    <row r="26575" customHeight="1" spans="2:2">
      <c r="B26575" s="62" t="str">
        <f>IF(AND('领用录入（明细）'!D:D=$F$4,'领用录入（明细）'!C:C&gt;=$J$4,'领用录入（明细）'!C:C&lt;=$L$4),ROW(),"-")</f>
        <v>-</v>
      </c>
    </row>
    <row r="26576" customHeight="1" spans="2:2">
      <c r="B26576" s="62" t="str">
        <f>IF(AND('领用录入（明细）'!D:D=$F$4,'领用录入（明细）'!C:C&gt;=$J$4,'领用录入（明细）'!C:C&lt;=$L$4),ROW(),"-")</f>
        <v>-</v>
      </c>
    </row>
    <row r="26577" customHeight="1" spans="2:2">
      <c r="B26577" s="62" t="str">
        <f>IF(AND('领用录入（明细）'!D:D=$F$4,'领用录入（明细）'!C:C&gt;=$J$4,'领用录入（明细）'!C:C&lt;=$L$4),ROW(),"-")</f>
        <v>-</v>
      </c>
    </row>
    <row r="26578" customHeight="1" spans="2:2">
      <c r="B26578" s="62" t="str">
        <f>IF(AND('领用录入（明细）'!D:D=$F$4,'领用录入（明细）'!C:C&gt;=$J$4,'领用录入（明细）'!C:C&lt;=$L$4),ROW(),"-")</f>
        <v>-</v>
      </c>
    </row>
    <row r="26579" customHeight="1" spans="2:2">
      <c r="B26579" s="62" t="str">
        <f>IF(AND('领用录入（明细）'!D:D=$F$4,'领用录入（明细）'!C:C&gt;=$J$4,'领用录入（明细）'!C:C&lt;=$L$4),ROW(),"-")</f>
        <v>-</v>
      </c>
    </row>
    <row r="26580" customHeight="1" spans="2:2">
      <c r="B26580" s="62" t="str">
        <f>IF(AND('领用录入（明细）'!D:D=$F$4,'领用录入（明细）'!C:C&gt;=$J$4,'领用录入（明细）'!C:C&lt;=$L$4),ROW(),"-")</f>
        <v>-</v>
      </c>
    </row>
    <row r="26581" customHeight="1" spans="2:2">
      <c r="B26581" s="62" t="str">
        <f>IF(AND('领用录入（明细）'!D:D=$F$4,'领用录入（明细）'!C:C&gt;=$J$4,'领用录入（明细）'!C:C&lt;=$L$4),ROW(),"-")</f>
        <v>-</v>
      </c>
    </row>
    <row r="26582" customHeight="1" spans="2:2">
      <c r="B26582" s="62" t="str">
        <f>IF(AND('领用录入（明细）'!D:D=$F$4,'领用录入（明细）'!C:C&gt;=$J$4,'领用录入（明细）'!C:C&lt;=$L$4),ROW(),"-")</f>
        <v>-</v>
      </c>
    </row>
    <row r="26583" customHeight="1" spans="2:2">
      <c r="B26583" s="62" t="str">
        <f>IF(AND('领用录入（明细）'!D:D=$F$4,'领用录入（明细）'!C:C&gt;=$J$4,'领用录入（明细）'!C:C&lt;=$L$4),ROW(),"-")</f>
        <v>-</v>
      </c>
    </row>
    <row r="26584" customHeight="1" spans="2:2">
      <c r="B26584" s="62" t="str">
        <f>IF(AND('领用录入（明细）'!D:D=$F$4,'领用录入（明细）'!C:C&gt;=$J$4,'领用录入（明细）'!C:C&lt;=$L$4),ROW(),"-")</f>
        <v>-</v>
      </c>
    </row>
    <row r="26585" customHeight="1" spans="2:2">
      <c r="B26585" s="62" t="str">
        <f>IF(AND('领用录入（明细）'!D:D=$F$4,'领用录入（明细）'!C:C&gt;=$J$4,'领用录入（明细）'!C:C&lt;=$L$4),ROW(),"-")</f>
        <v>-</v>
      </c>
    </row>
    <row r="26586" customHeight="1" spans="2:2">
      <c r="B26586" s="62" t="str">
        <f>IF(AND('领用录入（明细）'!D:D=$F$4,'领用录入（明细）'!C:C&gt;=$J$4,'领用录入（明细）'!C:C&lt;=$L$4),ROW(),"-")</f>
        <v>-</v>
      </c>
    </row>
    <row r="26587" customHeight="1" spans="2:2">
      <c r="B26587" s="62" t="str">
        <f>IF(AND('领用录入（明细）'!D:D=$F$4,'领用录入（明细）'!C:C&gt;=$J$4,'领用录入（明细）'!C:C&lt;=$L$4),ROW(),"-")</f>
        <v>-</v>
      </c>
    </row>
    <row r="26588" customHeight="1" spans="2:2">
      <c r="B26588" s="62" t="str">
        <f>IF(AND('领用录入（明细）'!D:D=$F$4,'领用录入（明细）'!C:C&gt;=$J$4,'领用录入（明细）'!C:C&lt;=$L$4),ROW(),"-")</f>
        <v>-</v>
      </c>
    </row>
    <row r="26589" customHeight="1" spans="2:2">
      <c r="B26589" s="62" t="str">
        <f>IF(AND('领用录入（明细）'!D:D=$F$4,'领用录入（明细）'!C:C&gt;=$J$4,'领用录入（明细）'!C:C&lt;=$L$4),ROW(),"-")</f>
        <v>-</v>
      </c>
    </row>
    <row r="26590" customHeight="1" spans="2:2">
      <c r="B26590" s="62" t="str">
        <f>IF(AND('领用录入（明细）'!D:D=$F$4,'领用录入（明细）'!C:C&gt;=$J$4,'领用录入（明细）'!C:C&lt;=$L$4),ROW(),"-")</f>
        <v>-</v>
      </c>
    </row>
    <row r="26591" customHeight="1" spans="2:2">
      <c r="B26591" s="62" t="str">
        <f>IF(AND('领用录入（明细）'!D:D=$F$4,'领用录入（明细）'!C:C&gt;=$J$4,'领用录入（明细）'!C:C&lt;=$L$4),ROW(),"-")</f>
        <v>-</v>
      </c>
    </row>
    <row r="26592" customHeight="1" spans="2:2">
      <c r="B26592" s="62" t="str">
        <f>IF(AND('领用录入（明细）'!D:D=$F$4,'领用录入（明细）'!C:C&gt;=$J$4,'领用录入（明细）'!C:C&lt;=$L$4),ROW(),"-")</f>
        <v>-</v>
      </c>
    </row>
    <row r="26593" customHeight="1" spans="2:2">
      <c r="B26593" s="62" t="str">
        <f>IF(AND('领用录入（明细）'!D:D=$F$4,'领用录入（明细）'!C:C&gt;=$J$4,'领用录入（明细）'!C:C&lt;=$L$4),ROW(),"-")</f>
        <v>-</v>
      </c>
    </row>
    <row r="26594" customHeight="1" spans="2:2">
      <c r="B26594" s="62" t="str">
        <f>IF(AND('领用录入（明细）'!D:D=$F$4,'领用录入（明细）'!C:C&gt;=$J$4,'领用录入（明细）'!C:C&lt;=$L$4),ROW(),"-")</f>
        <v>-</v>
      </c>
    </row>
    <row r="26595" customHeight="1" spans="2:2">
      <c r="B26595" s="62" t="str">
        <f>IF(AND('领用录入（明细）'!D:D=$F$4,'领用录入（明细）'!C:C&gt;=$J$4,'领用录入（明细）'!C:C&lt;=$L$4),ROW(),"-")</f>
        <v>-</v>
      </c>
    </row>
    <row r="26596" customHeight="1" spans="2:2">
      <c r="B26596" s="62" t="str">
        <f>IF(AND('领用录入（明细）'!D:D=$F$4,'领用录入（明细）'!C:C&gt;=$J$4,'领用录入（明细）'!C:C&lt;=$L$4),ROW(),"-")</f>
        <v>-</v>
      </c>
    </row>
    <row r="26597" customHeight="1" spans="2:2">
      <c r="B26597" s="62" t="str">
        <f>IF(AND('领用录入（明细）'!D:D=$F$4,'领用录入（明细）'!C:C&gt;=$J$4,'领用录入（明细）'!C:C&lt;=$L$4),ROW(),"-")</f>
        <v>-</v>
      </c>
    </row>
    <row r="26598" customHeight="1" spans="2:2">
      <c r="B26598" s="62" t="str">
        <f>IF(AND('领用录入（明细）'!D:D=$F$4,'领用录入（明细）'!C:C&gt;=$J$4,'领用录入（明细）'!C:C&lt;=$L$4),ROW(),"-")</f>
        <v>-</v>
      </c>
    </row>
    <row r="26599" customHeight="1" spans="2:2">
      <c r="B26599" s="62" t="str">
        <f>IF(AND('领用录入（明细）'!D:D=$F$4,'领用录入（明细）'!C:C&gt;=$J$4,'领用录入（明细）'!C:C&lt;=$L$4),ROW(),"-")</f>
        <v>-</v>
      </c>
    </row>
    <row r="26600" customHeight="1" spans="2:2">
      <c r="B26600" s="62" t="str">
        <f>IF(AND('领用录入（明细）'!D:D=$F$4,'领用录入（明细）'!C:C&gt;=$J$4,'领用录入（明细）'!C:C&lt;=$L$4),ROW(),"-")</f>
        <v>-</v>
      </c>
    </row>
    <row r="26601" customHeight="1" spans="2:2">
      <c r="B26601" s="62" t="str">
        <f>IF(AND('领用录入（明细）'!D:D=$F$4,'领用录入（明细）'!C:C&gt;=$J$4,'领用录入（明细）'!C:C&lt;=$L$4),ROW(),"-")</f>
        <v>-</v>
      </c>
    </row>
    <row r="26602" customHeight="1" spans="2:2">
      <c r="B26602" s="62" t="str">
        <f>IF(AND('领用录入（明细）'!D:D=$F$4,'领用录入（明细）'!C:C&gt;=$J$4,'领用录入（明细）'!C:C&lt;=$L$4),ROW(),"-")</f>
        <v>-</v>
      </c>
    </row>
    <row r="26603" customHeight="1" spans="2:2">
      <c r="B26603" s="62" t="str">
        <f>IF(AND('领用录入（明细）'!D:D=$F$4,'领用录入（明细）'!C:C&gt;=$J$4,'领用录入（明细）'!C:C&lt;=$L$4),ROW(),"-")</f>
        <v>-</v>
      </c>
    </row>
    <row r="26604" customHeight="1" spans="2:2">
      <c r="B26604" s="62" t="str">
        <f>IF(AND('领用录入（明细）'!D:D=$F$4,'领用录入（明细）'!C:C&gt;=$J$4,'领用录入（明细）'!C:C&lt;=$L$4),ROW(),"-")</f>
        <v>-</v>
      </c>
    </row>
    <row r="26605" customHeight="1" spans="2:2">
      <c r="B26605" s="62" t="str">
        <f>IF(AND('领用录入（明细）'!D:D=$F$4,'领用录入（明细）'!C:C&gt;=$J$4,'领用录入（明细）'!C:C&lt;=$L$4),ROW(),"-")</f>
        <v>-</v>
      </c>
    </row>
    <row r="26606" customHeight="1" spans="2:2">
      <c r="B26606" s="62" t="str">
        <f>IF(AND('领用录入（明细）'!D:D=$F$4,'领用录入（明细）'!C:C&gt;=$J$4,'领用录入（明细）'!C:C&lt;=$L$4),ROW(),"-")</f>
        <v>-</v>
      </c>
    </row>
    <row r="26607" customHeight="1" spans="2:2">
      <c r="B26607" s="62" t="str">
        <f>IF(AND('领用录入（明细）'!D:D=$F$4,'领用录入（明细）'!C:C&gt;=$J$4,'领用录入（明细）'!C:C&lt;=$L$4),ROW(),"-")</f>
        <v>-</v>
      </c>
    </row>
    <row r="26608" customHeight="1" spans="2:2">
      <c r="B26608" s="62" t="str">
        <f>IF(AND('领用录入（明细）'!D:D=$F$4,'领用录入（明细）'!C:C&gt;=$J$4,'领用录入（明细）'!C:C&lt;=$L$4),ROW(),"-")</f>
        <v>-</v>
      </c>
    </row>
    <row r="26609" customHeight="1" spans="2:2">
      <c r="B26609" s="62" t="str">
        <f>IF(AND('领用录入（明细）'!D:D=$F$4,'领用录入（明细）'!C:C&gt;=$J$4,'领用录入（明细）'!C:C&lt;=$L$4),ROW(),"-")</f>
        <v>-</v>
      </c>
    </row>
    <row r="26610" customHeight="1" spans="2:2">
      <c r="B26610" s="62" t="str">
        <f>IF(AND('领用录入（明细）'!D:D=$F$4,'领用录入（明细）'!C:C&gt;=$J$4,'领用录入（明细）'!C:C&lt;=$L$4),ROW(),"-")</f>
        <v>-</v>
      </c>
    </row>
    <row r="26611" customHeight="1" spans="2:2">
      <c r="B26611" s="62" t="str">
        <f>IF(AND('领用录入（明细）'!D:D=$F$4,'领用录入（明细）'!C:C&gt;=$J$4,'领用录入（明细）'!C:C&lt;=$L$4),ROW(),"-")</f>
        <v>-</v>
      </c>
    </row>
    <row r="26612" customHeight="1" spans="2:2">
      <c r="B26612" s="62" t="str">
        <f>IF(AND('领用录入（明细）'!D:D=$F$4,'领用录入（明细）'!C:C&gt;=$J$4,'领用录入（明细）'!C:C&lt;=$L$4),ROW(),"-")</f>
        <v>-</v>
      </c>
    </row>
    <row r="26613" customHeight="1" spans="2:2">
      <c r="B26613" s="62" t="str">
        <f>IF(AND('领用录入（明细）'!D:D=$F$4,'领用录入（明细）'!C:C&gt;=$J$4,'领用录入（明细）'!C:C&lt;=$L$4),ROW(),"-")</f>
        <v>-</v>
      </c>
    </row>
    <row r="26614" customHeight="1" spans="2:2">
      <c r="B26614" s="62" t="str">
        <f>IF(AND('领用录入（明细）'!D:D=$F$4,'领用录入（明细）'!C:C&gt;=$J$4,'领用录入（明细）'!C:C&lt;=$L$4),ROW(),"-")</f>
        <v>-</v>
      </c>
    </row>
    <row r="26615" customHeight="1" spans="2:2">
      <c r="B26615" s="62" t="str">
        <f>IF(AND('领用录入（明细）'!D:D=$F$4,'领用录入（明细）'!C:C&gt;=$J$4,'领用录入（明细）'!C:C&lt;=$L$4),ROW(),"-")</f>
        <v>-</v>
      </c>
    </row>
    <row r="26616" customHeight="1" spans="2:2">
      <c r="B26616" s="62" t="str">
        <f>IF(AND('领用录入（明细）'!D:D=$F$4,'领用录入（明细）'!C:C&gt;=$J$4,'领用录入（明细）'!C:C&lt;=$L$4),ROW(),"-")</f>
        <v>-</v>
      </c>
    </row>
    <row r="26617" customHeight="1" spans="2:2">
      <c r="B26617" s="62" t="str">
        <f>IF(AND('领用录入（明细）'!D:D=$F$4,'领用录入（明细）'!C:C&gt;=$J$4,'领用录入（明细）'!C:C&lt;=$L$4),ROW(),"-")</f>
        <v>-</v>
      </c>
    </row>
    <row r="26618" customHeight="1" spans="2:2">
      <c r="B26618" s="62" t="str">
        <f>IF(AND('领用录入（明细）'!D:D=$F$4,'领用录入（明细）'!C:C&gt;=$J$4,'领用录入（明细）'!C:C&lt;=$L$4),ROW(),"-")</f>
        <v>-</v>
      </c>
    </row>
    <row r="26619" customHeight="1" spans="2:2">
      <c r="B26619" s="62" t="str">
        <f>IF(AND('领用录入（明细）'!D:D=$F$4,'领用录入（明细）'!C:C&gt;=$J$4,'领用录入（明细）'!C:C&lt;=$L$4),ROW(),"-")</f>
        <v>-</v>
      </c>
    </row>
    <row r="26620" customHeight="1" spans="2:2">
      <c r="B26620" s="62" t="str">
        <f>IF(AND('领用录入（明细）'!D:D=$F$4,'领用录入（明细）'!C:C&gt;=$J$4,'领用录入（明细）'!C:C&lt;=$L$4),ROW(),"-")</f>
        <v>-</v>
      </c>
    </row>
    <row r="26621" customHeight="1" spans="2:2">
      <c r="B26621" s="62" t="str">
        <f>IF(AND('领用录入（明细）'!D:D=$F$4,'领用录入（明细）'!C:C&gt;=$J$4,'领用录入（明细）'!C:C&lt;=$L$4),ROW(),"-")</f>
        <v>-</v>
      </c>
    </row>
    <row r="26622" customHeight="1" spans="2:2">
      <c r="B26622" s="62" t="str">
        <f>IF(AND('领用录入（明细）'!D:D=$F$4,'领用录入（明细）'!C:C&gt;=$J$4,'领用录入（明细）'!C:C&lt;=$L$4),ROW(),"-")</f>
        <v>-</v>
      </c>
    </row>
    <row r="26623" customHeight="1" spans="2:2">
      <c r="B26623" s="62" t="str">
        <f>IF(AND('领用录入（明细）'!D:D=$F$4,'领用录入（明细）'!C:C&gt;=$J$4,'领用录入（明细）'!C:C&lt;=$L$4),ROW(),"-")</f>
        <v>-</v>
      </c>
    </row>
    <row r="26624" customHeight="1" spans="2:2">
      <c r="B26624" s="62" t="str">
        <f>IF(AND('领用录入（明细）'!D:D=$F$4,'领用录入（明细）'!C:C&gt;=$J$4,'领用录入（明细）'!C:C&lt;=$L$4),ROW(),"-")</f>
        <v>-</v>
      </c>
    </row>
    <row r="26625" customHeight="1" spans="2:2">
      <c r="B26625" s="62" t="str">
        <f>IF(AND('领用录入（明细）'!D:D=$F$4,'领用录入（明细）'!C:C&gt;=$J$4,'领用录入（明细）'!C:C&lt;=$L$4),ROW(),"-")</f>
        <v>-</v>
      </c>
    </row>
    <row r="26626" customHeight="1" spans="2:2">
      <c r="B26626" s="62" t="str">
        <f>IF(AND('领用录入（明细）'!D:D=$F$4,'领用录入（明细）'!C:C&gt;=$J$4,'领用录入（明细）'!C:C&lt;=$L$4),ROW(),"-")</f>
        <v>-</v>
      </c>
    </row>
    <row r="26627" customHeight="1" spans="2:2">
      <c r="B26627" s="62" t="str">
        <f>IF(AND('领用录入（明细）'!D:D=$F$4,'领用录入（明细）'!C:C&gt;=$J$4,'领用录入（明细）'!C:C&lt;=$L$4),ROW(),"-")</f>
        <v>-</v>
      </c>
    </row>
    <row r="26628" customHeight="1" spans="2:2">
      <c r="B26628" s="62" t="str">
        <f>IF(AND('领用录入（明细）'!D:D=$F$4,'领用录入（明细）'!C:C&gt;=$J$4,'领用录入（明细）'!C:C&lt;=$L$4),ROW(),"-")</f>
        <v>-</v>
      </c>
    </row>
    <row r="26629" customHeight="1" spans="2:2">
      <c r="B26629" s="62" t="str">
        <f>IF(AND('领用录入（明细）'!D:D=$F$4,'领用录入（明细）'!C:C&gt;=$J$4,'领用录入（明细）'!C:C&lt;=$L$4),ROW(),"-")</f>
        <v>-</v>
      </c>
    </row>
    <row r="26630" customHeight="1" spans="2:2">
      <c r="B26630" s="62" t="str">
        <f>IF(AND('领用录入（明细）'!D:D=$F$4,'领用录入（明细）'!C:C&gt;=$J$4,'领用录入（明细）'!C:C&lt;=$L$4),ROW(),"-")</f>
        <v>-</v>
      </c>
    </row>
    <row r="26631" customHeight="1" spans="2:2">
      <c r="B26631" s="62" t="str">
        <f>IF(AND('领用录入（明细）'!D:D=$F$4,'领用录入（明细）'!C:C&gt;=$J$4,'领用录入（明细）'!C:C&lt;=$L$4),ROW(),"-")</f>
        <v>-</v>
      </c>
    </row>
    <row r="26632" customHeight="1" spans="2:2">
      <c r="B26632" s="62" t="str">
        <f>IF(AND('领用录入（明细）'!D:D=$F$4,'领用录入（明细）'!C:C&gt;=$J$4,'领用录入（明细）'!C:C&lt;=$L$4),ROW(),"-")</f>
        <v>-</v>
      </c>
    </row>
    <row r="26633" customHeight="1" spans="2:2">
      <c r="B26633" s="62" t="str">
        <f>IF(AND('领用录入（明细）'!D:D=$F$4,'领用录入（明细）'!C:C&gt;=$J$4,'领用录入（明细）'!C:C&lt;=$L$4),ROW(),"-")</f>
        <v>-</v>
      </c>
    </row>
    <row r="26634" customHeight="1" spans="2:2">
      <c r="B26634" s="62" t="str">
        <f>IF(AND('领用录入（明细）'!D:D=$F$4,'领用录入（明细）'!C:C&gt;=$J$4,'领用录入（明细）'!C:C&lt;=$L$4),ROW(),"-")</f>
        <v>-</v>
      </c>
    </row>
    <row r="26635" customHeight="1" spans="2:2">
      <c r="B26635" s="62" t="str">
        <f>IF(AND('领用录入（明细）'!D:D=$F$4,'领用录入（明细）'!C:C&gt;=$J$4,'领用录入（明细）'!C:C&lt;=$L$4),ROW(),"-")</f>
        <v>-</v>
      </c>
    </row>
    <row r="26636" customHeight="1" spans="2:2">
      <c r="B26636" s="62" t="str">
        <f>IF(AND('领用录入（明细）'!D:D=$F$4,'领用录入（明细）'!C:C&gt;=$J$4,'领用录入（明细）'!C:C&lt;=$L$4),ROW(),"-")</f>
        <v>-</v>
      </c>
    </row>
    <row r="26637" customHeight="1" spans="2:2">
      <c r="B26637" s="62" t="str">
        <f>IF(AND('领用录入（明细）'!D:D=$F$4,'领用录入（明细）'!C:C&gt;=$J$4,'领用录入（明细）'!C:C&lt;=$L$4),ROW(),"-")</f>
        <v>-</v>
      </c>
    </row>
    <row r="26638" customHeight="1" spans="2:2">
      <c r="B26638" s="62" t="str">
        <f>IF(AND('领用录入（明细）'!D:D=$F$4,'领用录入（明细）'!C:C&gt;=$J$4,'领用录入（明细）'!C:C&lt;=$L$4),ROW(),"-")</f>
        <v>-</v>
      </c>
    </row>
    <row r="26639" customHeight="1" spans="2:2">
      <c r="B26639" s="62" t="str">
        <f>IF(AND('领用录入（明细）'!D:D=$F$4,'领用录入（明细）'!C:C&gt;=$J$4,'领用录入（明细）'!C:C&lt;=$L$4),ROW(),"-")</f>
        <v>-</v>
      </c>
    </row>
    <row r="26640" customHeight="1" spans="2:2">
      <c r="B26640" s="62" t="str">
        <f>IF(AND('领用录入（明细）'!D:D=$F$4,'领用录入（明细）'!C:C&gt;=$J$4,'领用录入（明细）'!C:C&lt;=$L$4),ROW(),"-")</f>
        <v>-</v>
      </c>
    </row>
    <row r="26641" customHeight="1" spans="2:2">
      <c r="B26641" s="62" t="str">
        <f>IF(AND('领用录入（明细）'!D:D=$F$4,'领用录入（明细）'!C:C&gt;=$J$4,'领用录入（明细）'!C:C&lt;=$L$4),ROW(),"-")</f>
        <v>-</v>
      </c>
    </row>
    <row r="26642" customHeight="1" spans="2:2">
      <c r="B26642" s="62" t="str">
        <f>IF(AND('领用录入（明细）'!D:D=$F$4,'领用录入（明细）'!C:C&gt;=$J$4,'领用录入（明细）'!C:C&lt;=$L$4),ROW(),"-")</f>
        <v>-</v>
      </c>
    </row>
    <row r="26643" customHeight="1" spans="2:2">
      <c r="B26643" s="62" t="str">
        <f>IF(AND('领用录入（明细）'!D:D=$F$4,'领用录入（明细）'!C:C&gt;=$J$4,'领用录入（明细）'!C:C&lt;=$L$4),ROW(),"-")</f>
        <v>-</v>
      </c>
    </row>
    <row r="26644" customHeight="1" spans="2:2">
      <c r="B26644" s="62" t="str">
        <f>IF(AND('领用录入（明细）'!D:D=$F$4,'领用录入（明细）'!C:C&gt;=$J$4,'领用录入（明细）'!C:C&lt;=$L$4),ROW(),"-")</f>
        <v>-</v>
      </c>
    </row>
    <row r="26645" customHeight="1" spans="2:2">
      <c r="B26645" s="62" t="str">
        <f>IF(AND('领用录入（明细）'!D:D=$F$4,'领用录入（明细）'!C:C&gt;=$J$4,'领用录入（明细）'!C:C&lt;=$L$4),ROW(),"-")</f>
        <v>-</v>
      </c>
    </row>
    <row r="26646" customHeight="1" spans="2:2">
      <c r="B26646" s="62" t="str">
        <f>IF(AND('领用录入（明细）'!D:D=$F$4,'领用录入（明细）'!C:C&gt;=$J$4,'领用录入（明细）'!C:C&lt;=$L$4),ROW(),"-")</f>
        <v>-</v>
      </c>
    </row>
    <row r="26647" customHeight="1" spans="2:2">
      <c r="B26647" s="62" t="str">
        <f>IF(AND('领用录入（明细）'!D:D=$F$4,'领用录入（明细）'!C:C&gt;=$J$4,'领用录入（明细）'!C:C&lt;=$L$4),ROW(),"-")</f>
        <v>-</v>
      </c>
    </row>
    <row r="26648" customHeight="1" spans="2:2">
      <c r="B26648" s="62" t="str">
        <f>IF(AND('领用录入（明细）'!D:D=$F$4,'领用录入（明细）'!C:C&gt;=$J$4,'领用录入（明细）'!C:C&lt;=$L$4),ROW(),"-")</f>
        <v>-</v>
      </c>
    </row>
    <row r="26649" customHeight="1" spans="2:2">
      <c r="B26649" s="62" t="str">
        <f>IF(AND('领用录入（明细）'!D:D=$F$4,'领用录入（明细）'!C:C&gt;=$J$4,'领用录入（明细）'!C:C&lt;=$L$4),ROW(),"-")</f>
        <v>-</v>
      </c>
    </row>
    <row r="26650" customHeight="1" spans="2:2">
      <c r="B26650" s="62" t="str">
        <f>IF(AND('领用录入（明细）'!D:D=$F$4,'领用录入（明细）'!C:C&gt;=$J$4,'领用录入（明细）'!C:C&lt;=$L$4),ROW(),"-")</f>
        <v>-</v>
      </c>
    </row>
    <row r="26651" customHeight="1" spans="2:2">
      <c r="B26651" s="62" t="str">
        <f>IF(AND('领用录入（明细）'!D:D=$F$4,'领用录入（明细）'!C:C&gt;=$J$4,'领用录入（明细）'!C:C&lt;=$L$4),ROW(),"-")</f>
        <v>-</v>
      </c>
    </row>
    <row r="26652" customHeight="1" spans="2:2">
      <c r="B26652" s="62" t="str">
        <f>IF(AND('领用录入（明细）'!D:D=$F$4,'领用录入（明细）'!C:C&gt;=$J$4,'领用录入（明细）'!C:C&lt;=$L$4),ROW(),"-")</f>
        <v>-</v>
      </c>
    </row>
    <row r="26653" customHeight="1" spans="2:2">
      <c r="B26653" s="62" t="str">
        <f>IF(AND('领用录入（明细）'!D:D=$F$4,'领用录入（明细）'!C:C&gt;=$J$4,'领用录入（明细）'!C:C&lt;=$L$4),ROW(),"-")</f>
        <v>-</v>
      </c>
    </row>
    <row r="26654" customHeight="1" spans="2:2">
      <c r="B26654" s="62" t="str">
        <f>IF(AND('领用录入（明细）'!D:D=$F$4,'领用录入（明细）'!C:C&gt;=$J$4,'领用录入（明细）'!C:C&lt;=$L$4),ROW(),"-")</f>
        <v>-</v>
      </c>
    </row>
    <row r="26655" customHeight="1" spans="2:2">
      <c r="B26655" s="62" t="str">
        <f>IF(AND('领用录入（明细）'!D:D=$F$4,'领用录入（明细）'!C:C&gt;=$J$4,'领用录入（明细）'!C:C&lt;=$L$4),ROW(),"-")</f>
        <v>-</v>
      </c>
    </row>
    <row r="26656" customHeight="1" spans="2:2">
      <c r="B26656" s="62" t="str">
        <f>IF(AND('领用录入（明细）'!D:D=$F$4,'领用录入（明细）'!C:C&gt;=$J$4,'领用录入（明细）'!C:C&lt;=$L$4),ROW(),"-")</f>
        <v>-</v>
      </c>
    </row>
    <row r="26657" customHeight="1" spans="2:2">
      <c r="B26657" s="62" t="str">
        <f>IF(AND('领用录入（明细）'!D:D=$F$4,'领用录入（明细）'!C:C&gt;=$J$4,'领用录入（明细）'!C:C&lt;=$L$4),ROW(),"-")</f>
        <v>-</v>
      </c>
    </row>
    <row r="26658" customHeight="1" spans="2:2">
      <c r="B26658" s="62" t="str">
        <f>IF(AND('领用录入（明细）'!D:D=$F$4,'领用录入（明细）'!C:C&gt;=$J$4,'领用录入（明细）'!C:C&lt;=$L$4),ROW(),"-")</f>
        <v>-</v>
      </c>
    </row>
    <row r="26659" customHeight="1" spans="2:2">
      <c r="B26659" s="62" t="str">
        <f>IF(AND('领用录入（明细）'!D:D=$F$4,'领用录入（明细）'!C:C&gt;=$J$4,'领用录入（明细）'!C:C&lt;=$L$4),ROW(),"-")</f>
        <v>-</v>
      </c>
    </row>
    <row r="26660" customHeight="1" spans="2:2">
      <c r="B26660" s="62" t="str">
        <f>IF(AND('领用录入（明细）'!D:D=$F$4,'领用录入（明细）'!C:C&gt;=$J$4,'领用录入（明细）'!C:C&lt;=$L$4),ROW(),"-")</f>
        <v>-</v>
      </c>
    </row>
    <row r="26661" customHeight="1" spans="2:2">
      <c r="B26661" s="62" t="str">
        <f>IF(AND('领用录入（明细）'!D:D=$F$4,'领用录入（明细）'!C:C&gt;=$J$4,'领用录入（明细）'!C:C&lt;=$L$4),ROW(),"-")</f>
        <v>-</v>
      </c>
    </row>
    <row r="26662" customHeight="1" spans="2:2">
      <c r="B26662" s="62" t="str">
        <f>IF(AND('领用录入（明细）'!D:D=$F$4,'领用录入（明细）'!C:C&gt;=$J$4,'领用录入（明细）'!C:C&lt;=$L$4),ROW(),"-")</f>
        <v>-</v>
      </c>
    </row>
    <row r="26663" customHeight="1" spans="2:2">
      <c r="B26663" s="62" t="str">
        <f>IF(AND('领用录入（明细）'!D:D=$F$4,'领用录入（明细）'!C:C&gt;=$J$4,'领用录入（明细）'!C:C&lt;=$L$4),ROW(),"-")</f>
        <v>-</v>
      </c>
    </row>
    <row r="26664" customHeight="1" spans="2:2">
      <c r="B26664" s="62" t="str">
        <f>IF(AND('领用录入（明细）'!D:D=$F$4,'领用录入（明细）'!C:C&gt;=$J$4,'领用录入（明细）'!C:C&lt;=$L$4),ROW(),"-")</f>
        <v>-</v>
      </c>
    </row>
    <row r="26665" customHeight="1" spans="2:2">
      <c r="B26665" s="62" t="str">
        <f>IF(AND('领用录入（明细）'!D:D=$F$4,'领用录入（明细）'!C:C&gt;=$J$4,'领用录入（明细）'!C:C&lt;=$L$4),ROW(),"-")</f>
        <v>-</v>
      </c>
    </row>
    <row r="26666" customHeight="1" spans="2:2">
      <c r="B26666" s="62" t="str">
        <f>IF(AND('领用录入（明细）'!D:D=$F$4,'领用录入（明细）'!C:C&gt;=$J$4,'领用录入（明细）'!C:C&lt;=$L$4),ROW(),"-")</f>
        <v>-</v>
      </c>
    </row>
    <row r="26667" customHeight="1" spans="2:2">
      <c r="B26667" s="62" t="str">
        <f>IF(AND('领用录入（明细）'!D:D=$F$4,'领用录入（明细）'!C:C&gt;=$J$4,'领用录入（明细）'!C:C&lt;=$L$4),ROW(),"-")</f>
        <v>-</v>
      </c>
    </row>
    <row r="26668" customHeight="1" spans="2:2">
      <c r="B26668" s="62" t="str">
        <f>IF(AND('领用录入（明细）'!D:D=$F$4,'领用录入（明细）'!C:C&gt;=$J$4,'领用录入（明细）'!C:C&lt;=$L$4),ROW(),"-")</f>
        <v>-</v>
      </c>
    </row>
    <row r="26669" customHeight="1" spans="2:2">
      <c r="B26669" s="62" t="str">
        <f>IF(AND('领用录入（明细）'!D:D=$F$4,'领用录入（明细）'!C:C&gt;=$J$4,'领用录入（明细）'!C:C&lt;=$L$4),ROW(),"-")</f>
        <v>-</v>
      </c>
    </row>
    <row r="26670" customHeight="1" spans="2:2">
      <c r="B26670" s="62" t="str">
        <f>IF(AND('领用录入（明细）'!D:D=$F$4,'领用录入（明细）'!C:C&gt;=$J$4,'领用录入（明细）'!C:C&lt;=$L$4),ROW(),"-")</f>
        <v>-</v>
      </c>
    </row>
    <row r="26671" customHeight="1" spans="2:2">
      <c r="B26671" s="62" t="str">
        <f>IF(AND('领用录入（明细）'!D:D=$F$4,'领用录入（明细）'!C:C&gt;=$J$4,'领用录入（明细）'!C:C&lt;=$L$4),ROW(),"-")</f>
        <v>-</v>
      </c>
    </row>
    <row r="26672" customHeight="1" spans="2:2">
      <c r="B26672" s="62" t="str">
        <f>IF(AND('领用录入（明细）'!D:D=$F$4,'领用录入（明细）'!C:C&gt;=$J$4,'领用录入（明细）'!C:C&lt;=$L$4),ROW(),"-")</f>
        <v>-</v>
      </c>
    </row>
    <row r="26673" customHeight="1" spans="2:2">
      <c r="B26673" s="62" t="str">
        <f>IF(AND('领用录入（明细）'!D:D=$F$4,'领用录入（明细）'!C:C&gt;=$J$4,'领用录入（明细）'!C:C&lt;=$L$4),ROW(),"-")</f>
        <v>-</v>
      </c>
    </row>
    <row r="26674" customHeight="1" spans="2:2">
      <c r="B26674" s="62" t="str">
        <f>IF(AND('领用录入（明细）'!D:D=$F$4,'领用录入（明细）'!C:C&gt;=$J$4,'领用录入（明细）'!C:C&lt;=$L$4),ROW(),"-")</f>
        <v>-</v>
      </c>
    </row>
    <row r="26675" customHeight="1" spans="2:2">
      <c r="B26675" s="62" t="str">
        <f>IF(AND('领用录入（明细）'!D:D=$F$4,'领用录入（明细）'!C:C&gt;=$J$4,'领用录入（明细）'!C:C&lt;=$L$4),ROW(),"-")</f>
        <v>-</v>
      </c>
    </row>
    <row r="26676" customHeight="1" spans="2:2">
      <c r="B26676" s="62" t="str">
        <f>IF(AND('领用录入（明细）'!D:D=$F$4,'领用录入（明细）'!C:C&gt;=$J$4,'领用录入（明细）'!C:C&lt;=$L$4),ROW(),"-")</f>
        <v>-</v>
      </c>
    </row>
    <row r="26677" customHeight="1" spans="2:2">
      <c r="B26677" s="62" t="str">
        <f>IF(AND('领用录入（明细）'!D:D=$F$4,'领用录入（明细）'!C:C&gt;=$J$4,'领用录入（明细）'!C:C&lt;=$L$4),ROW(),"-")</f>
        <v>-</v>
      </c>
    </row>
    <row r="26678" customHeight="1" spans="2:2">
      <c r="B26678" s="62" t="str">
        <f>IF(AND('领用录入（明细）'!D:D=$F$4,'领用录入（明细）'!C:C&gt;=$J$4,'领用录入（明细）'!C:C&lt;=$L$4),ROW(),"-")</f>
        <v>-</v>
      </c>
    </row>
    <row r="26679" customHeight="1" spans="2:2">
      <c r="B26679" s="62" t="str">
        <f>IF(AND('领用录入（明细）'!D:D=$F$4,'领用录入（明细）'!C:C&gt;=$J$4,'领用录入（明细）'!C:C&lt;=$L$4),ROW(),"-")</f>
        <v>-</v>
      </c>
    </row>
    <row r="26680" customHeight="1" spans="2:2">
      <c r="B26680" s="62" t="str">
        <f>IF(AND('领用录入（明细）'!D:D=$F$4,'领用录入（明细）'!C:C&gt;=$J$4,'领用录入（明细）'!C:C&lt;=$L$4),ROW(),"-")</f>
        <v>-</v>
      </c>
    </row>
    <row r="26681" customHeight="1" spans="2:2">
      <c r="B26681" s="62" t="str">
        <f>IF(AND('领用录入（明细）'!D:D=$F$4,'领用录入（明细）'!C:C&gt;=$J$4,'领用录入（明细）'!C:C&lt;=$L$4),ROW(),"-")</f>
        <v>-</v>
      </c>
    </row>
    <row r="26682" customHeight="1" spans="2:2">
      <c r="B26682" s="62" t="str">
        <f>IF(AND('领用录入（明细）'!D:D=$F$4,'领用录入（明细）'!C:C&gt;=$J$4,'领用录入（明细）'!C:C&lt;=$L$4),ROW(),"-")</f>
        <v>-</v>
      </c>
    </row>
    <row r="26683" customHeight="1" spans="2:2">
      <c r="B26683" s="62" t="str">
        <f>IF(AND('领用录入（明细）'!D:D=$F$4,'领用录入（明细）'!C:C&gt;=$J$4,'领用录入（明细）'!C:C&lt;=$L$4),ROW(),"-")</f>
        <v>-</v>
      </c>
    </row>
    <row r="26684" customHeight="1" spans="2:2">
      <c r="B26684" s="62" t="str">
        <f>IF(AND('领用录入（明细）'!D:D=$F$4,'领用录入（明细）'!C:C&gt;=$J$4,'领用录入（明细）'!C:C&lt;=$L$4),ROW(),"-")</f>
        <v>-</v>
      </c>
    </row>
    <row r="26685" customHeight="1" spans="2:2">
      <c r="B26685" s="62" t="str">
        <f>IF(AND('领用录入（明细）'!D:D=$F$4,'领用录入（明细）'!C:C&gt;=$J$4,'领用录入（明细）'!C:C&lt;=$L$4),ROW(),"-")</f>
        <v>-</v>
      </c>
    </row>
    <row r="26686" customHeight="1" spans="2:2">
      <c r="B26686" s="62" t="str">
        <f>IF(AND('领用录入（明细）'!D:D=$F$4,'领用录入（明细）'!C:C&gt;=$J$4,'领用录入（明细）'!C:C&lt;=$L$4),ROW(),"-")</f>
        <v>-</v>
      </c>
    </row>
    <row r="26687" customHeight="1" spans="2:2">
      <c r="B26687" s="62" t="str">
        <f>IF(AND('领用录入（明细）'!D:D=$F$4,'领用录入（明细）'!C:C&gt;=$J$4,'领用录入（明细）'!C:C&lt;=$L$4),ROW(),"-")</f>
        <v>-</v>
      </c>
    </row>
    <row r="26688" customHeight="1" spans="2:2">
      <c r="B26688" s="62" t="str">
        <f>IF(AND('领用录入（明细）'!D:D=$F$4,'领用录入（明细）'!C:C&gt;=$J$4,'领用录入（明细）'!C:C&lt;=$L$4),ROW(),"-")</f>
        <v>-</v>
      </c>
    </row>
    <row r="26689" customHeight="1" spans="2:2">
      <c r="B26689" s="62" t="str">
        <f>IF(AND('领用录入（明细）'!D:D=$F$4,'领用录入（明细）'!C:C&gt;=$J$4,'领用录入（明细）'!C:C&lt;=$L$4),ROW(),"-")</f>
        <v>-</v>
      </c>
    </row>
    <row r="26690" customHeight="1" spans="2:2">
      <c r="B26690" s="62" t="str">
        <f>IF(AND('领用录入（明细）'!D:D=$F$4,'领用录入（明细）'!C:C&gt;=$J$4,'领用录入（明细）'!C:C&lt;=$L$4),ROW(),"-")</f>
        <v>-</v>
      </c>
    </row>
    <row r="26691" customHeight="1" spans="2:2">
      <c r="B26691" s="62" t="str">
        <f>IF(AND('领用录入（明细）'!D:D=$F$4,'领用录入（明细）'!C:C&gt;=$J$4,'领用录入（明细）'!C:C&lt;=$L$4),ROW(),"-")</f>
        <v>-</v>
      </c>
    </row>
    <row r="26692" customHeight="1" spans="2:2">
      <c r="B26692" s="62" t="str">
        <f>IF(AND('领用录入（明细）'!D:D=$F$4,'领用录入（明细）'!C:C&gt;=$J$4,'领用录入（明细）'!C:C&lt;=$L$4),ROW(),"-")</f>
        <v>-</v>
      </c>
    </row>
    <row r="26693" customHeight="1" spans="2:2">
      <c r="B26693" s="62" t="str">
        <f>IF(AND('领用录入（明细）'!D:D=$F$4,'领用录入（明细）'!C:C&gt;=$J$4,'领用录入（明细）'!C:C&lt;=$L$4),ROW(),"-")</f>
        <v>-</v>
      </c>
    </row>
    <row r="26694" customHeight="1" spans="2:2">
      <c r="B26694" s="62" t="str">
        <f>IF(AND('领用录入（明细）'!D:D=$F$4,'领用录入（明细）'!C:C&gt;=$J$4,'领用录入（明细）'!C:C&lt;=$L$4),ROW(),"-")</f>
        <v>-</v>
      </c>
    </row>
    <row r="26695" customHeight="1" spans="2:2">
      <c r="B26695" s="62" t="str">
        <f>IF(AND('领用录入（明细）'!D:D=$F$4,'领用录入（明细）'!C:C&gt;=$J$4,'领用录入（明细）'!C:C&lt;=$L$4),ROW(),"-")</f>
        <v>-</v>
      </c>
    </row>
    <row r="26696" customHeight="1" spans="2:2">
      <c r="B26696" s="62" t="str">
        <f>IF(AND('领用录入（明细）'!D:D=$F$4,'领用录入（明细）'!C:C&gt;=$J$4,'领用录入（明细）'!C:C&lt;=$L$4),ROW(),"-")</f>
        <v>-</v>
      </c>
    </row>
    <row r="26697" customHeight="1" spans="2:2">
      <c r="B26697" s="62" t="str">
        <f>IF(AND('领用录入（明细）'!D:D=$F$4,'领用录入（明细）'!C:C&gt;=$J$4,'领用录入（明细）'!C:C&lt;=$L$4),ROW(),"-")</f>
        <v>-</v>
      </c>
    </row>
    <row r="26698" customHeight="1" spans="2:2">
      <c r="B26698" s="62" t="str">
        <f>IF(AND('领用录入（明细）'!D:D=$F$4,'领用录入（明细）'!C:C&gt;=$J$4,'领用录入（明细）'!C:C&lt;=$L$4),ROW(),"-")</f>
        <v>-</v>
      </c>
    </row>
    <row r="26699" customHeight="1" spans="2:2">
      <c r="B26699" s="62" t="str">
        <f>IF(AND('领用录入（明细）'!D:D=$F$4,'领用录入（明细）'!C:C&gt;=$J$4,'领用录入（明细）'!C:C&lt;=$L$4),ROW(),"-")</f>
        <v>-</v>
      </c>
    </row>
    <row r="26700" customHeight="1" spans="2:2">
      <c r="B26700" s="62" t="str">
        <f>IF(AND('领用录入（明细）'!D:D=$F$4,'领用录入（明细）'!C:C&gt;=$J$4,'领用录入（明细）'!C:C&lt;=$L$4),ROW(),"-")</f>
        <v>-</v>
      </c>
    </row>
    <row r="26701" customHeight="1" spans="2:2">
      <c r="B26701" s="62" t="str">
        <f>IF(AND('领用录入（明细）'!D:D=$F$4,'领用录入（明细）'!C:C&gt;=$J$4,'领用录入（明细）'!C:C&lt;=$L$4),ROW(),"-")</f>
        <v>-</v>
      </c>
    </row>
    <row r="26702" customHeight="1" spans="2:2">
      <c r="B26702" s="62" t="str">
        <f>IF(AND('领用录入（明细）'!D:D=$F$4,'领用录入（明细）'!C:C&gt;=$J$4,'领用录入（明细）'!C:C&lt;=$L$4),ROW(),"-")</f>
        <v>-</v>
      </c>
    </row>
    <row r="26703" customHeight="1" spans="2:2">
      <c r="B26703" s="62" t="str">
        <f>IF(AND('领用录入（明细）'!D:D=$F$4,'领用录入（明细）'!C:C&gt;=$J$4,'领用录入（明细）'!C:C&lt;=$L$4),ROW(),"-")</f>
        <v>-</v>
      </c>
    </row>
    <row r="26704" customHeight="1" spans="2:2">
      <c r="B26704" s="62" t="str">
        <f>IF(AND('领用录入（明细）'!D:D=$F$4,'领用录入（明细）'!C:C&gt;=$J$4,'领用录入（明细）'!C:C&lt;=$L$4),ROW(),"-")</f>
        <v>-</v>
      </c>
    </row>
    <row r="26705" customHeight="1" spans="2:2">
      <c r="B26705" s="62" t="str">
        <f>IF(AND('领用录入（明细）'!D:D=$F$4,'领用录入（明细）'!C:C&gt;=$J$4,'领用录入（明细）'!C:C&lt;=$L$4),ROW(),"-")</f>
        <v>-</v>
      </c>
    </row>
    <row r="26706" customHeight="1" spans="2:2">
      <c r="B26706" s="62" t="str">
        <f>IF(AND('领用录入（明细）'!D:D=$F$4,'领用录入（明细）'!C:C&gt;=$J$4,'领用录入（明细）'!C:C&lt;=$L$4),ROW(),"-")</f>
        <v>-</v>
      </c>
    </row>
    <row r="26707" customHeight="1" spans="2:2">
      <c r="B26707" s="62" t="str">
        <f>IF(AND('领用录入（明细）'!D:D=$F$4,'领用录入（明细）'!C:C&gt;=$J$4,'领用录入（明细）'!C:C&lt;=$L$4),ROW(),"-")</f>
        <v>-</v>
      </c>
    </row>
    <row r="26708" customHeight="1" spans="2:2">
      <c r="B26708" s="62" t="str">
        <f>IF(AND('领用录入（明细）'!D:D=$F$4,'领用录入（明细）'!C:C&gt;=$J$4,'领用录入（明细）'!C:C&lt;=$L$4),ROW(),"-")</f>
        <v>-</v>
      </c>
    </row>
    <row r="26709" customHeight="1" spans="2:2">
      <c r="B26709" s="62" t="str">
        <f>IF(AND('领用录入（明细）'!D:D=$F$4,'领用录入（明细）'!C:C&gt;=$J$4,'领用录入（明细）'!C:C&lt;=$L$4),ROW(),"-")</f>
        <v>-</v>
      </c>
    </row>
    <row r="26710" customHeight="1" spans="2:2">
      <c r="B26710" s="62" t="str">
        <f>IF(AND('领用录入（明细）'!D:D=$F$4,'领用录入（明细）'!C:C&gt;=$J$4,'领用录入（明细）'!C:C&lt;=$L$4),ROW(),"-")</f>
        <v>-</v>
      </c>
    </row>
    <row r="26711" customHeight="1" spans="2:2">
      <c r="B26711" s="62" t="str">
        <f>IF(AND('领用录入（明细）'!D:D=$F$4,'领用录入（明细）'!C:C&gt;=$J$4,'领用录入（明细）'!C:C&lt;=$L$4),ROW(),"-")</f>
        <v>-</v>
      </c>
    </row>
    <row r="26712" customHeight="1" spans="2:2">
      <c r="B26712" s="62" t="str">
        <f>IF(AND('领用录入（明细）'!D:D=$F$4,'领用录入（明细）'!C:C&gt;=$J$4,'领用录入（明细）'!C:C&lt;=$L$4),ROW(),"-")</f>
        <v>-</v>
      </c>
    </row>
    <row r="26713" customHeight="1" spans="2:2">
      <c r="B26713" s="62" t="str">
        <f>IF(AND('领用录入（明细）'!D:D=$F$4,'领用录入（明细）'!C:C&gt;=$J$4,'领用录入（明细）'!C:C&lt;=$L$4),ROW(),"-")</f>
        <v>-</v>
      </c>
    </row>
    <row r="26714" customHeight="1" spans="2:2">
      <c r="B26714" s="62" t="str">
        <f>IF(AND('领用录入（明细）'!D:D=$F$4,'领用录入（明细）'!C:C&gt;=$J$4,'领用录入（明细）'!C:C&lt;=$L$4),ROW(),"-")</f>
        <v>-</v>
      </c>
    </row>
    <row r="26715" customHeight="1" spans="2:2">
      <c r="B26715" s="62" t="str">
        <f>IF(AND('领用录入（明细）'!D:D=$F$4,'领用录入（明细）'!C:C&gt;=$J$4,'领用录入（明细）'!C:C&lt;=$L$4),ROW(),"-")</f>
        <v>-</v>
      </c>
    </row>
    <row r="26716" customHeight="1" spans="2:2">
      <c r="B26716" s="62" t="str">
        <f>IF(AND('领用录入（明细）'!D:D=$F$4,'领用录入（明细）'!C:C&gt;=$J$4,'领用录入（明细）'!C:C&lt;=$L$4),ROW(),"-")</f>
        <v>-</v>
      </c>
    </row>
    <row r="26717" customHeight="1" spans="2:2">
      <c r="B26717" s="62" t="str">
        <f>IF(AND('领用录入（明细）'!D:D=$F$4,'领用录入（明细）'!C:C&gt;=$J$4,'领用录入（明细）'!C:C&lt;=$L$4),ROW(),"-")</f>
        <v>-</v>
      </c>
    </row>
    <row r="26718" customHeight="1" spans="2:2">
      <c r="B26718" s="62" t="str">
        <f>IF(AND('领用录入（明细）'!D:D=$F$4,'领用录入（明细）'!C:C&gt;=$J$4,'领用录入（明细）'!C:C&lt;=$L$4),ROW(),"-")</f>
        <v>-</v>
      </c>
    </row>
    <row r="26719" customHeight="1" spans="2:2">
      <c r="B26719" s="62" t="str">
        <f>IF(AND('领用录入（明细）'!D:D=$F$4,'领用录入（明细）'!C:C&gt;=$J$4,'领用录入（明细）'!C:C&lt;=$L$4),ROW(),"-")</f>
        <v>-</v>
      </c>
    </row>
    <row r="26720" customHeight="1" spans="2:2">
      <c r="B26720" s="62" t="str">
        <f>IF(AND('领用录入（明细）'!D:D=$F$4,'领用录入（明细）'!C:C&gt;=$J$4,'领用录入（明细）'!C:C&lt;=$L$4),ROW(),"-")</f>
        <v>-</v>
      </c>
    </row>
    <row r="26721" customHeight="1" spans="2:2">
      <c r="B26721" s="62" t="str">
        <f>IF(AND('领用录入（明细）'!D:D=$F$4,'领用录入（明细）'!C:C&gt;=$J$4,'领用录入（明细）'!C:C&lt;=$L$4),ROW(),"-")</f>
        <v>-</v>
      </c>
    </row>
    <row r="26722" customHeight="1" spans="2:2">
      <c r="B26722" s="62" t="str">
        <f>IF(AND('领用录入（明细）'!D:D=$F$4,'领用录入（明细）'!C:C&gt;=$J$4,'领用录入（明细）'!C:C&lt;=$L$4),ROW(),"-")</f>
        <v>-</v>
      </c>
    </row>
    <row r="26723" customHeight="1" spans="2:2">
      <c r="B26723" s="62" t="str">
        <f>IF(AND('领用录入（明细）'!D:D=$F$4,'领用录入（明细）'!C:C&gt;=$J$4,'领用录入（明细）'!C:C&lt;=$L$4),ROW(),"-")</f>
        <v>-</v>
      </c>
    </row>
    <row r="26724" customHeight="1" spans="2:2">
      <c r="B26724" s="62" t="str">
        <f>IF(AND('领用录入（明细）'!D:D=$F$4,'领用录入（明细）'!C:C&gt;=$J$4,'领用录入（明细）'!C:C&lt;=$L$4),ROW(),"-")</f>
        <v>-</v>
      </c>
    </row>
    <row r="26725" customHeight="1" spans="2:2">
      <c r="B26725" s="62" t="str">
        <f>IF(AND('领用录入（明细）'!D:D=$F$4,'领用录入（明细）'!C:C&gt;=$J$4,'领用录入（明细）'!C:C&lt;=$L$4),ROW(),"-")</f>
        <v>-</v>
      </c>
    </row>
    <row r="26726" customHeight="1" spans="2:2">
      <c r="B26726" s="62" t="str">
        <f>IF(AND('领用录入（明细）'!D:D=$F$4,'领用录入（明细）'!C:C&gt;=$J$4,'领用录入（明细）'!C:C&lt;=$L$4),ROW(),"-")</f>
        <v>-</v>
      </c>
    </row>
    <row r="26727" customHeight="1" spans="2:2">
      <c r="B26727" s="62" t="str">
        <f>IF(AND('领用录入（明细）'!D:D=$F$4,'领用录入（明细）'!C:C&gt;=$J$4,'领用录入（明细）'!C:C&lt;=$L$4),ROW(),"-")</f>
        <v>-</v>
      </c>
    </row>
    <row r="26728" customHeight="1" spans="2:2">
      <c r="B26728" s="62" t="str">
        <f>IF(AND('领用录入（明细）'!D:D=$F$4,'领用录入（明细）'!C:C&gt;=$J$4,'领用录入（明细）'!C:C&lt;=$L$4),ROW(),"-")</f>
        <v>-</v>
      </c>
    </row>
    <row r="26729" customHeight="1" spans="2:2">
      <c r="B26729" s="62" t="str">
        <f>IF(AND('领用录入（明细）'!D:D=$F$4,'领用录入（明细）'!C:C&gt;=$J$4,'领用录入（明细）'!C:C&lt;=$L$4),ROW(),"-")</f>
        <v>-</v>
      </c>
    </row>
    <row r="26730" customHeight="1" spans="2:2">
      <c r="B26730" s="62" t="str">
        <f>IF(AND('领用录入（明细）'!D:D=$F$4,'领用录入（明细）'!C:C&gt;=$J$4,'领用录入（明细）'!C:C&lt;=$L$4),ROW(),"-")</f>
        <v>-</v>
      </c>
    </row>
    <row r="26731" customHeight="1" spans="2:2">
      <c r="B26731" s="62" t="str">
        <f>IF(AND('领用录入（明细）'!D:D=$F$4,'领用录入（明细）'!C:C&gt;=$J$4,'领用录入（明细）'!C:C&lt;=$L$4),ROW(),"-")</f>
        <v>-</v>
      </c>
    </row>
    <row r="26732" customHeight="1" spans="2:2">
      <c r="B26732" s="62" t="str">
        <f>IF(AND('领用录入（明细）'!D:D=$F$4,'领用录入（明细）'!C:C&gt;=$J$4,'领用录入（明细）'!C:C&lt;=$L$4),ROW(),"-")</f>
        <v>-</v>
      </c>
    </row>
    <row r="26733" customHeight="1" spans="2:2">
      <c r="B26733" s="62" t="str">
        <f>IF(AND('领用录入（明细）'!D:D=$F$4,'领用录入（明细）'!C:C&gt;=$J$4,'领用录入（明细）'!C:C&lt;=$L$4),ROW(),"-")</f>
        <v>-</v>
      </c>
    </row>
    <row r="26734" customHeight="1" spans="2:2">
      <c r="B26734" s="62" t="str">
        <f>IF(AND('领用录入（明细）'!D:D=$F$4,'领用录入（明细）'!C:C&gt;=$J$4,'领用录入（明细）'!C:C&lt;=$L$4),ROW(),"-")</f>
        <v>-</v>
      </c>
    </row>
    <row r="26735" customHeight="1" spans="2:2">
      <c r="B26735" s="62" t="str">
        <f>IF(AND('领用录入（明细）'!D:D=$F$4,'领用录入（明细）'!C:C&gt;=$J$4,'领用录入（明细）'!C:C&lt;=$L$4),ROW(),"-")</f>
        <v>-</v>
      </c>
    </row>
    <row r="26736" customHeight="1" spans="2:2">
      <c r="B26736" s="62" t="str">
        <f>IF(AND('领用录入（明细）'!D:D=$F$4,'领用录入（明细）'!C:C&gt;=$J$4,'领用录入（明细）'!C:C&lt;=$L$4),ROW(),"-")</f>
        <v>-</v>
      </c>
    </row>
    <row r="26737" customHeight="1" spans="2:2">
      <c r="B26737" s="62" t="str">
        <f>IF(AND('领用录入（明细）'!D:D=$F$4,'领用录入（明细）'!C:C&gt;=$J$4,'领用录入（明细）'!C:C&lt;=$L$4),ROW(),"-")</f>
        <v>-</v>
      </c>
    </row>
    <row r="26738" customHeight="1" spans="2:2">
      <c r="B26738" s="62" t="str">
        <f>IF(AND('领用录入（明细）'!D:D=$F$4,'领用录入（明细）'!C:C&gt;=$J$4,'领用录入（明细）'!C:C&lt;=$L$4),ROW(),"-")</f>
        <v>-</v>
      </c>
    </row>
    <row r="26739" customHeight="1" spans="2:2">
      <c r="B26739" s="62" t="str">
        <f>IF(AND('领用录入（明细）'!D:D=$F$4,'领用录入（明细）'!C:C&gt;=$J$4,'领用录入（明细）'!C:C&lt;=$L$4),ROW(),"-")</f>
        <v>-</v>
      </c>
    </row>
    <row r="26740" customHeight="1" spans="2:2">
      <c r="B26740" s="62" t="str">
        <f>IF(AND('领用录入（明细）'!D:D=$F$4,'领用录入（明细）'!C:C&gt;=$J$4,'领用录入（明细）'!C:C&lt;=$L$4),ROW(),"-")</f>
        <v>-</v>
      </c>
    </row>
    <row r="26741" customHeight="1" spans="2:2">
      <c r="B26741" s="62" t="str">
        <f>IF(AND('领用录入（明细）'!D:D=$F$4,'领用录入（明细）'!C:C&gt;=$J$4,'领用录入（明细）'!C:C&lt;=$L$4),ROW(),"-")</f>
        <v>-</v>
      </c>
    </row>
    <row r="26742" customHeight="1" spans="2:2">
      <c r="B26742" s="62" t="str">
        <f>IF(AND('领用录入（明细）'!D:D=$F$4,'领用录入（明细）'!C:C&gt;=$J$4,'领用录入（明细）'!C:C&lt;=$L$4),ROW(),"-")</f>
        <v>-</v>
      </c>
    </row>
    <row r="26743" customHeight="1" spans="2:2">
      <c r="B26743" s="62" t="str">
        <f>IF(AND('领用录入（明细）'!D:D=$F$4,'领用录入（明细）'!C:C&gt;=$J$4,'领用录入（明细）'!C:C&lt;=$L$4),ROW(),"-")</f>
        <v>-</v>
      </c>
    </row>
    <row r="26744" customHeight="1" spans="2:2">
      <c r="B26744" s="62" t="str">
        <f>IF(AND('领用录入（明细）'!D:D=$F$4,'领用录入（明细）'!C:C&gt;=$J$4,'领用录入（明细）'!C:C&lt;=$L$4),ROW(),"-")</f>
        <v>-</v>
      </c>
    </row>
    <row r="26745" customHeight="1" spans="2:2">
      <c r="B26745" s="62" t="str">
        <f>IF(AND('领用录入（明细）'!D:D=$F$4,'领用录入（明细）'!C:C&gt;=$J$4,'领用录入（明细）'!C:C&lt;=$L$4),ROW(),"-")</f>
        <v>-</v>
      </c>
    </row>
    <row r="26746" customHeight="1" spans="2:2">
      <c r="B26746" s="62" t="str">
        <f>IF(AND('领用录入（明细）'!D:D=$F$4,'领用录入（明细）'!C:C&gt;=$J$4,'领用录入（明细）'!C:C&lt;=$L$4),ROW(),"-")</f>
        <v>-</v>
      </c>
    </row>
    <row r="26747" customHeight="1" spans="2:2">
      <c r="B26747" s="62" t="str">
        <f>IF(AND('领用录入（明细）'!D:D=$F$4,'领用录入（明细）'!C:C&gt;=$J$4,'领用录入（明细）'!C:C&lt;=$L$4),ROW(),"-")</f>
        <v>-</v>
      </c>
    </row>
    <row r="26748" customHeight="1" spans="2:2">
      <c r="B26748" s="62" t="str">
        <f>IF(AND('领用录入（明细）'!D:D=$F$4,'领用录入（明细）'!C:C&gt;=$J$4,'领用录入（明细）'!C:C&lt;=$L$4),ROW(),"-")</f>
        <v>-</v>
      </c>
    </row>
    <row r="26749" customHeight="1" spans="2:2">
      <c r="B26749" s="62" t="str">
        <f>IF(AND('领用录入（明细）'!D:D=$F$4,'领用录入（明细）'!C:C&gt;=$J$4,'领用录入（明细）'!C:C&lt;=$L$4),ROW(),"-")</f>
        <v>-</v>
      </c>
    </row>
    <row r="26750" customHeight="1" spans="2:2">
      <c r="B26750" s="62" t="str">
        <f>IF(AND('领用录入（明细）'!D:D=$F$4,'领用录入（明细）'!C:C&gt;=$J$4,'领用录入（明细）'!C:C&lt;=$L$4),ROW(),"-")</f>
        <v>-</v>
      </c>
    </row>
    <row r="26751" customHeight="1" spans="2:2">
      <c r="B26751" s="62" t="str">
        <f>IF(AND('领用录入（明细）'!D:D=$F$4,'领用录入（明细）'!C:C&gt;=$J$4,'领用录入（明细）'!C:C&lt;=$L$4),ROW(),"-")</f>
        <v>-</v>
      </c>
    </row>
    <row r="26752" customHeight="1" spans="2:2">
      <c r="B26752" s="62" t="str">
        <f>IF(AND('领用录入（明细）'!D:D=$F$4,'领用录入（明细）'!C:C&gt;=$J$4,'领用录入（明细）'!C:C&lt;=$L$4),ROW(),"-")</f>
        <v>-</v>
      </c>
    </row>
    <row r="26753" customHeight="1" spans="2:2">
      <c r="B26753" s="62" t="str">
        <f>IF(AND('领用录入（明细）'!D:D=$F$4,'领用录入（明细）'!C:C&gt;=$J$4,'领用录入（明细）'!C:C&lt;=$L$4),ROW(),"-")</f>
        <v>-</v>
      </c>
    </row>
    <row r="26754" customHeight="1" spans="2:2">
      <c r="B26754" s="62" t="str">
        <f>IF(AND('领用录入（明细）'!D:D=$F$4,'领用录入（明细）'!C:C&gt;=$J$4,'领用录入（明细）'!C:C&lt;=$L$4),ROW(),"-")</f>
        <v>-</v>
      </c>
    </row>
    <row r="26755" customHeight="1" spans="2:2">
      <c r="B26755" s="62" t="str">
        <f>IF(AND('领用录入（明细）'!D:D=$F$4,'领用录入（明细）'!C:C&gt;=$J$4,'领用录入（明细）'!C:C&lt;=$L$4),ROW(),"-")</f>
        <v>-</v>
      </c>
    </row>
    <row r="26756" customHeight="1" spans="2:2">
      <c r="B26756" s="62" t="str">
        <f>IF(AND('领用录入（明细）'!D:D=$F$4,'领用录入（明细）'!C:C&gt;=$J$4,'领用录入（明细）'!C:C&lt;=$L$4),ROW(),"-")</f>
        <v>-</v>
      </c>
    </row>
    <row r="26757" customHeight="1" spans="2:2">
      <c r="B26757" s="62" t="str">
        <f>IF(AND('领用录入（明细）'!D:D=$F$4,'领用录入（明细）'!C:C&gt;=$J$4,'领用录入（明细）'!C:C&lt;=$L$4),ROW(),"-")</f>
        <v>-</v>
      </c>
    </row>
    <row r="26758" customHeight="1" spans="2:2">
      <c r="B26758" s="62" t="str">
        <f>IF(AND('领用录入（明细）'!D:D=$F$4,'领用录入（明细）'!C:C&gt;=$J$4,'领用录入（明细）'!C:C&lt;=$L$4),ROW(),"-")</f>
        <v>-</v>
      </c>
    </row>
    <row r="26759" customHeight="1" spans="2:2">
      <c r="B26759" s="62" t="str">
        <f>IF(AND('领用录入（明细）'!D:D=$F$4,'领用录入（明细）'!C:C&gt;=$J$4,'领用录入（明细）'!C:C&lt;=$L$4),ROW(),"-")</f>
        <v>-</v>
      </c>
    </row>
    <row r="26760" customHeight="1" spans="2:2">
      <c r="B26760" s="62" t="str">
        <f>IF(AND('领用录入（明细）'!D:D=$F$4,'领用录入（明细）'!C:C&gt;=$J$4,'领用录入（明细）'!C:C&lt;=$L$4),ROW(),"-")</f>
        <v>-</v>
      </c>
    </row>
    <row r="26761" customHeight="1" spans="2:2">
      <c r="B26761" s="62" t="str">
        <f>IF(AND('领用录入（明细）'!D:D=$F$4,'领用录入（明细）'!C:C&gt;=$J$4,'领用录入（明细）'!C:C&lt;=$L$4),ROW(),"-")</f>
        <v>-</v>
      </c>
    </row>
    <row r="26762" customHeight="1" spans="2:2">
      <c r="B26762" s="62" t="str">
        <f>IF(AND('领用录入（明细）'!D:D=$F$4,'领用录入（明细）'!C:C&gt;=$J$4,'领用录入（明细）'!C:C&lt;=$L$4),ROW(),"-")</f>
        <v>-</v>
      </c>
    </row>
    <row r="26763" customHeight="1" spans="2:2">
      <c r="B26763" s="62" t="str">
        <f>IF(AND('领用录入（明细）'!D:D=$F$4,'领用录入（明细）'!C:C&gt;=$J$4,'领用录入（明细）'!C:C&lt;=$L$4),ROW(),"-")</f>
        <v>-</v>
      </c>
    </row>
    <row r="26764" customHeight="1" spans="2:2">
      <c r="B26764" s="62" t="str">
        <f>IF(AND('领用录入（明细）'!D:D=$F$4,'领用录入（明细）'!C:C&gt;=$J$4,'领用录入（明细）'!C:C&lt;=$L$4),ROW(),"-")</f>
        <v>-</v>
      </c>
    </row>
    <row r="26765" customHeight="1" spans="2:2">
      <c r="B26765" s="62" t="str">
        <f>IF(AND('领用录入（明细）'!D:D=$F$4,'领用录入（明细）'!C:C&gt;=$J$4,'领用录入（明细）'!C:C&lt;=$L$4),ROW(),"-")</f>
        <v>-</v>
      </c>
    </row>
    <row r="26766" customHeight="1" spans="2:2">
      <c r="B26766" s="62" t="str">
        <f>IF(AND('领用录入（明细）'!D:D=$F$4,'领用录入（明细）'!C:C&gt;=$J$4,'领用录入（明细）'!C:C&lt;=$L$4),ROW(),"-")</f>
        <v>-</v>
      </c>
    </row>
    <row r="26767" customHeight="1" spans="2:2">
      <c r="B26767" s="62" t="str">
        <f>IF(AND('领用录入（明细）'!D:D=$F$4,'领用录入（明细）'!C:C&gt;=$J$4,'领用录入（明细）'!C:C&lt;=$L$4),ROW(),"-")</f>
        <v>-</v>
      </c>
    </row>
    <row r="26768" customHeight="1" spans="2:2">
      <c r="B26768" s="62" t="str">
        <f>IF(AND('领用录入（明细）'!D:D=$F$4,'领用录入（明细）'!C:C&gt;=$J$4,'领用录入（明细）'!C:C&lt;=$L$4),ROW(),"-")</f>
        <v>-</v>
      </c>
    </row>
    <row r="26769" customHeight="1" spans="2:2">
      <c r="B26769" s="62" t="str">
        <f>IF(AND('领用录入（明细）'!D:D=$F$4,'领用录入（明细）'!C:C&gt;=$J$4,'领用录入（明细）'!C:C&lt;=$L$4),ROW(),"-")</f>
        <v>-</v>
      </c>
    </row>
    <row r="26770" customHeight="1" spans="2:2">
      <c r="B26770" s="62" t="str">
        <f>IF(AND('领用录入（明细）'!D:D=$F$4,'领用录入（明细）'!C:C&gt;=$J$4,'领用录入（明细）'!C:C&lt;=$L$4),ROW(),"-")</f>
        <v>-</v>
      </c>
    </row>
    <row r="26771" customHeight="1" spans="2:2">
      <c r="B26771" s="62" t="str">
        <f>IF(AND('领用录入（明细）'!D:D=$F$4,'领用录入（明细）'!C:C&gt;=$J$4,'领用录入（明细）'!C:C&lt;=$L$4),ROW(),"-")</f>
        <v>-</v>
      </c>
    </row>
    <row r="26772" customHeight="1" spans="2:2">
      <c r="B26772" s="62" t="str">
        <f>IF(AND('领用录入（明细）'!D:D=$F$4,'领用录入（明细）'!C:C&gt;=$J$4,'领用录入（明细）'!C:C&lt;=$L$4),ROW(),"-")</f>
        <v>-</v>
      </c>
    </row>
    <row r="26773" customHeight="1" spans="2:2">
      <c r="B26773" s="62" t="str">
        <f>IF(AND('领用录入（明细）'!D:D=$F$4,'领用录入（明细）'!C:C&gt;=$J$4,'领用录入（明细）'!C:C&lt;=$L$4),ROW(),"-")</f>
        <v>-</v>
      </c>
    </row>
    <row r="26774" customHeight="1" spans="2:2">
      <c r="B26774" s="62" t="str">
        <f>IF(AND('领用录入（明细）'!D:D=$F$4,'领用录入（明细）'!C:C&gt;=$J$4,'领用录入（明细）'!C:C&lt;=$L$4),ROW(),"-")</f>
        <v>-</v>
      </c>
    </row>
    <row r="26775" customHeight="1" spans="2:2">
      <c r="B26775" s="62" t="str">
        <f>IF(AND('领用录入（明细）'!D:D=$F$4,'领用录入（明细）'!C:C&gt;=$J$4,'领用录入（明细）'!C:C&lt;=$L$4),ROW(),"-")</f>
        <v>-</v>
      </c>
    </row>
    <row r="26776" customHeight="1" spans="2:2">
      <c r="B26776" s="62" t="str">
        <f>IF(AND('领用录入（明细）'!D:D=$F$4,'领用录入（明细）'!C:C&gt;=$J$4,'领用录入（明细）'!C:C&lt;=$L$4),ROW(),"-")</f>
        <v>-</v>
      </c>
    </row>
    <row r="26777" customHeight="1" spans="2:2">
      <c r="B26777" s="62" t="str">
        <f>IF(AND('领用录入（明细）'!D:D=$F$4,'领用录入（明细）'!C:C&gt;=$J$4,'领用录入（明细）'!C:C&lt;=$L$4),ROW(),"-")</f>
        <v>-</v>
      </c>
    </row>
    <row r="26778" customHeight="1" spans="2:2">
      <c r="B26778" s="62" t="str">
        <f>IF(AND('领用录入（明细）'!D:D=$F$4,'领用录入（明细）'!C:C&gt;=$J$4,'领用录入（明细）'!C:C&lt;=$L$4),ROW(),"-")</f>
        <v>-</v>
      </c>
    </row>
    <row r="26779" customHeight="1" spans="2:2">
      <c r="B26779" s="62" t="str">
        <f>IF(AND('领用录入（明细）'!D:D=$F$4,'领用录入（明细）'!C:C&gt;=$J$4,'领用录入（明细）'!C:C&lt;=$L$4),ROW(),"-")</f>
        <v>-</v>
      </c>
    </row>
    <row r="26780" customHeight="1" spans="2:2">
      <c r="B26780" s="62" t="str">
        <f>IF(AND('领用录入（明细）'!D:D=$F$4,'领用录入（明细）'!C:C&gt;=$J$4,'领用录入（明细）'!C:C&lt;=$L$4),ROW(),"-")</f>
        <v>-</v>
      </c>
    </row>
    <row r="26781" customHeight="1" spans="2:2">
      <c r="B26781" s="62" t="str">
        <f>IF(AND('领用录入（明细）'!D:D=$F$4,'领用录入（明细）'!C:C&gt;=$J$4,'领用录入（明细）'!C:C&lt;=$L$4),ROW(),"-")</f>
        <v>-</v>
      </c>
    </row>
    <row r="26782" customHeight="1" spans="2:2">
      <c r="B26782" s="62" t="str">
        <f>IF(AND('领用录入（明细）'!D:D=$F$4,'领用录入（明细）'!C:C&gt;=$J$4,'领用录入（明细）'!C:C&lt;=$L$4),ROW(),"-")</f>
        <v>-</v>
      </c>
    </row>
    <row r="26783" customHeight="1" spans="2:2">
      <c r="B26783" s="62" t="str">
        <f>IF(AND('领用录入（明细）'!D:D=$F$4,'领用录入（明细）'!C:C&gt;=$J$4,'领用录入（明细）'!C:C&lt;=$L$4),ROW(),"-")</f>
        <v>-</v>
      </c>
    </row>
    <row r="26784" customHeight="1" spans="2:2">
      <c r="B26784" s="62" t="str">
        <f>IF(AND('领用录入（明细）'!D:D=$F$4,'领用录入（明细）'!C:C&gt;=$J$4,'领用录入（明细）'!C:C&lt;=$L$4),ROW(),"-")</f>
        <v>-</v>
      </c>
    </row>
    <row r="26785" customHeight="1" spans="2:2">
      <c r="B26785" s="62" t="str">
        <f>IF(AND('领用录入（明细）'!D:D=$F$4,'领用录入（明细）'!C:C&gt;=$J$4,'领用录入（明细）'!C:C&lt;=$L$4),ROW(),"-")</f>
        <v>-</v>
      </c>
    </row>
    <row r="26786" customHeight="1" spans="2:2">
      <c r="B26786" s="62" t="str">
        <f>IF(AND('领用录入（明细）'!D:D=$F$4,'领用录入（明细）'!C:C&gt;=$J$4,'领用录入（明细）'!C:C&lt;=$L$4),ROW(),"-")</f>
        <v>-</v>
      </c>
    </row>
    <row r="26787" customHeight="1" spans="2:2">
      <c r="B26787" s="62" t="str">
        <f>IF(AND('领用录入（明细）'!D:D=$F$4,'领用录入（明细）'!C:C&gt;=$J$4,'领用录入（明细）'!C:C&lt;=$L$4),ROW(),"-")</f>
        <v>-</v>
      </c>
    </row>
    <row r="26788" customHeight="1" spans="2:2">
      <c r="B26788" s="62" t="str">
        <f>IF(AND('领用录入（明细）'!D:D=$F$4,'领用录入（明细）'!C:C&gt;=$J$4,'领用录入（明细）'!C:C&lt;=$L$4),ROW(),"-")</f>
        <v>-</v>
      </c>
    </row>
    <row r="26789" customHeight="1" spans="2:2">
      <c r="B26789" s="62" t="str">
        <f>IF(AND('领用录入（明细）'!D:D=$F$4,'领用录入（明细）'!C:C&gt;=$J$4,'领用录入（明细）'!C:C&lt;=$L$4),ROW(),"-")</f>
        <v>-</v>
      </c>
    </row>
    <row r="26790" customHeight="1" spans="2:2">
      <c r="B26790" s="62" t="str">
        <f>IF(AND('领用录入（明细）'!D:D=$F$4,'领用录入（明细）'!C:C&gt;=$J$4,'领用录入（明细）'!C:C&lt;=$L$4),ROW(),"-")</f>
        <v>-</v>
      </c>
    </row>
    <row r="26791" customHeight="1" spans="2:2">
      <c r="B26791" s="62" t="str">
        <f>IF(AND('领用录入（明细）'!D:D=$F$4,'领用录入（明细）'!C:C&gt;=$J$4,'领用录入（明细）'!C:C&lt;=$L$4),ROW(),"-")</f>
        <v>-</v>
      </c>
    </row>
    <row r="26792" customHeight="1" spans="2:2">
      <c r="B26792" s="62" t="str">
        <f>IF(AND('领用录入（明细）'!D:D=$F$4,'领用录入（明细）'!C:C&gt;=$J$4,'领用录入（明细）'!C:C&lt;=$L$4),ROW(),"-")</f>
        <v>-</v>
      </c>
    </row>
    <row r="26793" customHeight="1" spans="2:2">
      <c r="B26793" s="62" t="str">
        <f>IF(AND('领用录入（明细）'!D:D=$F$4,'领用录入（明细）'!C:C&gt;=$J$4,'领用录入（明细）'!C:C&lt;=$L$4),ROW(),"-")</f>
        <v>-</v>
      </c>
    </row>
    <row r="26794" customHeight="1" spans="2:2">
      <c r="B26794" s="62" t="str">
        <f>IF(AND('领用录入（明细）'!D:D=$F$4,'领用录入（明细）'!C:C&gt;=$J$4,'领用录入（明细）'!C:C&lt;=$L$4),ROW(),"-")</f>
        <v>-</v>
      </c>
    </row>
    <row r="26795" customHeight="1" spans="2:2">
      <c r="B26795" s="62" t="str">
        <f>IF(AND('领用录入（明细）'!D:D=$F$4,'领用录入（明细）'!C:C&gt;=$J$4,'领用录入（明细）'!C:C&lt;=$L$4),ROW(),"-")</f>
        <v>-</v>
      </c>
    </row>
    <row r="26796" customHeight="1" spans="2:2">
      <c r="B26796" s="62" t="str">
        <f>IF(AND('领用录入（明细）'!D:D=$F$4,'领用录入（明细）'!C:C&gt;=$J$4,'领用录入（明细）'!C:C&lt;=$L$4),ROW(),"-")</f>
        <v>-</v>
      </c>
    </row>
    <row r="26797" customHeight="1" spans="2:2">
      <c r="B26797" s="62" t="str">
        <f>IF(AND('领用录入（明细）'!D:D=$F$4,'领用录入（明细）'!C:C&gt;=$J$4,'领用录入（明细）'!C:C&lt;=$L$4),ROW(),"-")</f>
        <v>-</v>
      </c>
    </row>
    <row r="26798" customHeight="1" spans="2:2">
      <c r="B26798" s="62" t="str">
        <f>IF(AND('领用录入（明细）'!D:D=$F$4,'领用录入（明细）'!C:C&gt;=$J$4,'领用录入（明细）'!C:C&lt;=$L$4),ROW(),"-")</f>
        <v>-</v>
      </c>
    </row>
    <row r="26799" customHeight="1" spans="2:2">
      <c r="B26799" s="62" t="str">
        <f>IF(AND('领用录入（明细）'!D:D=$F$4,'领用录入（明细）'!C:C&gt;=$J$4,'领用录入（明细）'!C:C&lt;=$L$4),ROW(),"-")</f>
        <v>-</v>
      </c>
    </row>
    <row r="26800" customHeight="1" spans="2:2">
      <c r="B26800" s="62" t="str">
        <f>IF(AND('领用录入（明细）'!D:D=$F$4,'领用录入（明细）'!C:C&gt;=$J$4,'领用录入（明细）'!C:C&lt;=$L$4),ROW(),"-")</f>
        <v>-</v>
      </c>
    </row>
    <row r="26801" customHeight="1" spans="2:2">
      <c r="B26801" s="62" t="str">
        <f>IF(AND('领用录入（明细）'!D:D=$F$4,'领用录入（明细）'!C:C&gt;=$J$4,'领用录入（明细）'!C:C&lt;=$L$4),ROW(),"-")</f>
        <v>-</v>
      </c>
    </row>
    <row r="26802" customHeight="1" spans="2:2">
      <c r="B26802" s="62" t="str">
        <f>IF(AND('领用录入（明细）'!D:D=$F$4,'领用录入（明细）'!C:C&gt;=$J$4,'领用录入（明细）'!C:C&lt;=$L$4),ROW(),"-")</f>
        <v>-</v>
      </c>
    </row>
    <row r="26803" customHeight="1" spans="2:2">
      <c r="B26803" s="62" t="str">
        <f>IF(AND('领用录入（明细）'!D:D=$F$4,'领用录入（明细）'!C:C&gt;=$J$4,'领用录入（明细）'!C:C&lt;=$L$4),ROW(),"-")</f>
        <v>-</v>
      </c>
    </row>
    <row r="26804" customHeight="1" spans="2:2">
      <c r="B26804" s="62" t="str">
        <f>IF(AND('领用录入（明细）'!D:D=$F$4,'领用录入（明细）'!C:C&gt;=$J$4,'领用录入（明细）'!C:C&lt;=$L$4),ROW(),"-")</f>
        <v>-</v>
      </c>
    </row>
    <row r="26805" customHeight="1" spans="2:2">
      <c r="B26805" s="62" t="str">
        <f>IF(AND('领用录入（明细）'!D:D=$F$4,'领用录入（明细）'!C:C&gt;=$J$4,'领用录入（明细）'!C:C&lt;=$L$4),ROW(),"-")</f>
        <v>-</v>
      </c>
    </row>
    <row r="26806" customHeight="1" spans="2:2">
      <c r="B26806" s="62" t="str">
        <f>IF(AND('领用录入（明细）'!D:D=$F$4,'领用录入（明细）'!C:C&gt;=$J$4,'领用录入（明细）'!C:C&lt;=$L$4),ROW(),"-")</f>
        <v>-</v>
      </c>
    </row>
    <row r="26807" customHeight="1" spans="2:2">
      <c r="B26807" s="62" t="str">
        <f>IF(AND('领用录入（明细）'!D:D=$F$4,'领用录入（明细）'!C:C&gt;=$J$4,'领用录入（明细）'!C:C&lt;=$L$4),ROW(),"-")</f>
        <v>-</v>
      </c>
    </row>
    <row r="26808" customHeight="1" spans="2:2">
      <c r="B26808" s="62" t="str">
        <f>IF(AND('领用录入（明细）'!D:D=$F$4,'领用录入（明细）'!C:C&gt;=$J$4,'领用录入（明细）'!C:C&lt;=$L$4),ROW(),"-")</f>
        <v>-</v>
      </c>
    </row>
    <row r="26809" customHeight="1" spans="2:2">
      <c r="B26809" s="62" t="str">
        <f>IF(AND('领用录入（明细）'!D:D=$F$4,'领用录入（明细）'!C:C&gt;=$J$4,'领用录入（明细）'!C:C&lt;=$L$4),ROW(),"-")</f>
        <v>-</v>
      </c>
    </row>
    <row r="26810" customHeight="1" spans="2:2">
      <c r="B26810" s="62" t="str">
        <f>IF(AND('领用录入（明细）'!D:D=$F$4,'领用录入（明细）'!C:C&gt;=$J$4,'领用录入（明细）'!C:C&lt;=$L$4),ROW(),"-")</f>
        <v>-</v>
      </c>
    </row>
    <row r="26811" customHeight="1" spans="2:2">
      <c r="B26811" s="62" t="str">
        <f>IF(AND('领用录入（明细）'!D:D=$F$4,'领用录入（明细）'!C:C&gt;=$J$4,'领用录入（明细）'!C:C&lt;=$L$4),ROW(),"-")</f>
        <v>-</v>
      </c>
    </row>
    <row r="26812" customHeight="1" spans="2:2">
      <c r="B26812" s="62" t="str">
        <f>IF(AND('领用录入（明细）'!D:D=$F$4,'领用录入（明细）'!C:C&gt;=$J$4,'领用录入（明细）'!C:C&lt;=$L$4),ROW(),"-")</f>
        <v>-</v>
      </c>
    </row>
    <row r="26813" customHeight="1" spans="2:2">
      <c r="B26813" s="62" t="str">
        <f>IF(AND('领用录入（明细）'!D:D=$F$4,'领用录入（明细）'!C:C&gt;=$J$4,'领用录入（明细）'!C:C&lt;=$L$4),ROW(),"-")</f>
        <v>-</v>
      </c>
    </row>
    <row r="26814" customHeight="1" spans="2:2">
      <c r="B26814" s="62" t="str">
        <f>IF(AND('领用录入（明细）'!D:D=$F$4,'领用录入（明细）'!C:C&gt;=$J$4,'领用录入（明细）'!C:C&lt;=$L$4),ROW(),"-")</f>
        <v>-</v>
      </c>
    </row>
    <row r="26815" customHeight="1" spans="2:2">
      <c r="B26815" s="62" t="str">
        <f>IF(AND('领用录入（明细）'!D:D=$F$4,'领用录入（明细）'!C:C&gt;=$J$4,'领用录入（明细）'!C:C&lt;=$L$4),ROW(),"-")</f>
        <v>-</v>
      </c>
    </row>
    <row r="26816" customHeight="1" spans="2:2">
      <c r="B26816" s="62" t="str">
        <f>IF(AND('领用录入（明细）'!D:D=$F$4,'领用录入（明细）'!C:C&gt;=$J$4,'领用录入（明细）'!C:C&lt;=$L$4),ROW(),"-")</f>
        <v>-</v>
      </c>
    </row>
    <row r="26817" customHeight="1" spans="2:2">
      <c r="B26817" s="62" t="str">
        <f>IF(AND('领用录入（明细）'!D:D=$F$4,'领用录入（明细）'!C:C&gt;=$J$4,'领用录入（明细）'!C:C&lt;=$L$4),ROW(),"-")</f>
        <v>-</v>
      </c>
    </row>
    <row r="26818" customHeight="1" spans="2:2">
      <c r="B26818" s="62" t="str">
        <f>IF(AND('领用录入（明细）'!D:D=$F$4,'领用录入（明细）'!C:C&gt;=$J$4,'领用录入（明细）'!C:C&lt;=$L$4),ROW(),"-")</f>
        <v>-</v>
      </c>
    </row>
    <row r="26819" customHeight="1" spans="2:2">
      <c r="B26819" s="62" t="str">
        <f>IF(AND('领用录入（明细）'!D:D=$F$4,'领用录入（明细）'!C:C&gt;=$J$4,'领用录入（明细）'!C:C&lt;=$L$4),ROW(),"-")</f>
        <v>-</v>
      </c>
    </row>
    <row r="26820" customHeight="1" spans="2:2">
      <c r="B26820" s="62" t="str">
        <f>IF(AND('领用录入（明细）'!D:D=$F$4,'领用录入（明细）'!C:C&gt;=$J$4,'领用录入（明细）'!C:C&lt;=$L$4),ROW(),"-")</f>
        <v>-</v>
      </c>
    </row>
    <row r="26821" customHeight="1" spans="2:2">
      <c r="B26821" s="62" t="str">
        <f>IF(AND('领用录入（明细）'!D:D=$F$4,'领用录入（明细）'!C:C&gt;=$J$4,'领用录入（明细）'!C:C&lt;=$L$4),ROW(),"-")</f>
        <v>-</v>
      </c>
    </row>
    <row r="26822" customHeight="1" spans="2:2">
      <c r="B26822" s="62" t="str">
        <f>IF(AND('领用录入（明细）'!D:D=$F$4,'领用录入（明细）'!C:C&gt;=$J$4,'领用录入（明细）'!C:C&lt;=$L$4),ROW(),"-")</f>
        <v>-</v>
      </c>
    </row>
    <row r="26823" customHeight="1" spans="2:2">
      <c r="B26823" s="62" t="str">
        <f>IF(AND('领用录入（明细）'!D:D=$F$4,'领用录入（明细）'!C:C&gt;=$J$4,'领用录入（明细）'!C:C&lt;=$L$4),ROW(),"-")</f>
        <v>-</v>
      </c>
    </row>
    <row r="26824" customHeight="1" spans="2:2">
      <c r="B26824" s="62" t="str">
        <f>IF(AND('领用录入（明细）'!D:D=$F$4,'领用录入（明细）'!C:C&gt;=$J$4,'领用录入（明细）'!C:C&lt;=$L$4),ROW(),"-")</f>
        <v>-</v>
      </c>
    </row>
    <row r="26825" customHeight="1" spans="2:2">
      <c r="B26825" s="62" t="str">
        <f>IF(AND('领用录入（明细）'!D:D=$F$4,'领用录入（明细）'!C:C&gt;=$J$4,'领用录入（明细）'!C:C&lt;=$L$4),ROW(),"-")</f>
        <v>-</v>
      </c>
    </row>
    <row r="26826" customHeight="1" spans="2:2">
      <c r="B26826" s="62" t="str">
        <f>IF(AND('领用录入（明细）'!D:D=$F$4,'领用录入（明细）'!C:C&gt;=$J$4,'领用录入（明细）'!C:C&lt;=$L$4),ROW(),"-")</f>
        <v>-</v>
      </c>
    </row>
    <row r="26827" customHeight="1" spans="2:2">
      <c r="B26827" s="62" t="str">
        <f>IF(AND('领用录入（明细）'!D:D=$F$4,'领用录入（明细）'!C:C&gt;=$J$4,'领用录入（明细）'!C:C&lt;=$L$4),ROW(),"-")</f>
        <v>-</v>
      </c>
    </row>
    <row r="26828" customHeight="1" spans="2:2">
      <c r="B26828" s="62" t="str">
        <f>IF(AND('领用录入（明细）'!D:D=$F$4,'领用录入（明细）'!C:C&gt;=$J$4,'领用录入（明细）'!C:C&lt;=$L$4),ROW(),"-")</f>
        <v>-</v>
      </c>
    </row>
    <row r="26829" customHeight="1" spans="2:2">
      <c r="B26829" s="62" t="str">
        <f>IF(AND('领用录入（明细）'!D:D=$F$4,'领用录入（明细）'!C:C&gt;=$J$4,'领用录入（明细）'!C:C&lt;=$L$4),ROW(),"-")</f>
        <v>-</v>
      </c>
    </row>
    <row r="26830" customHeight="1" spans="2:2">
      <c r="B26830" s="62" t="str">
        <f>IF(AND('领用录入（明细）'!D:D=$F$4,'领用录入（明细）'!C:C&gt;=$J$4,'领用录入（明细）'!C:C&lt;=$L$4),ROW(),"-")</f>
        <v>-</v>
      </c>
    </row>
    <row r="26831" customHeight="1" spans="2:2">
      <c r="B26831" s="62" t="str">
        <f>IF(AND('领用录入（明细）'!D:D=$F$4,'领用录入（明细）'!C:C&gt;=$J$4,'领用录入（明细）'!C:C&lt;=$L$4),ROW(),"-")</f>
        <v>-</v>
      </c>
    </row>
    <row r="26832" customHeight="1" spans="2:2">
      <c r="B26832" s="62" t="str">
        <f>IF(AND('领用录入（明细）'!D:D=$F$4,'领用录入（明细）'!C:C&gt;=$J$4,'领用录入（明细）'!C:C&lt;=$L$4),ROW(),"-")</f>
        <v>-</v>
      </c>
    </row>
    <row r="26833" customHeight="1" spans="2:2">
      <c r="B26833" s="62" t="str">
        <f>IF(AND('领用录入（明细）'!D:D=$F$4,'领用录入（明细）'!C:C&gt;=$J$4,'领用录入（明细）'!C:C&lt;=$L$4),ROW(),"-")</f>
        <v>-</v>
      </c>
    </row>
    <row r="26834" customHeight="1" spans="2:2">
      <c r="B26834" s="62" t="str">
        <f>IF(AND('领用录入（明细）'!D:D=$F$4,'领用录入（明细）'!C:C&gt;=$J$4,'领用录入（明细）'!C:C&lt;=$L$4),ROW(),"-")</f>
        <v>-</v>
      </c>
    </row>
    <row r="26835" customHeight="1" spans="2:2">
      <c r="B26835" s="62" t="str">
        <f>IF(AND('领用录入（明细）'!D:D=$F$4,'领用录入（明细）'!C:C&gt;=$J$4,'领用录入（明细）'!C:C&lt;=$L$4),ROW(),"-")</f>
        <v>-</v>
      </c>
    </row>
    <row r="26836" customHeight="1" spans="2:2">
      <c r="B26836" s="62" t="str">
        <f>IF(AND('领用录入（明细）'!D:D=$F$4,'领用录入（明细）'!C:C&gt;=$J$4,'领用录入（明细）'!C:C&lt;=$L$4),ROW(),"-")</f>
        <v>-</v>
      </c>
    </row>
    <row r="26837" customHeight="1" spans="2:2">
      <c r="B26837" s="62" t="str">
        <f>IF(AND('领用录入（明细）'!D:D=$F$4,'领用录入（明细）'!C:C&gt;=$J$4,'领用录入（明细）'!C:C&lt;=$L$4),ROW(),"-")</f>
        <v>-</v>
      </c>
    </row>
    <row r="26838" customHeight="1" spans="2:2">
      <c r="B26838" s="62" t="str">
        <f>IF(AND('领用录入（明细）'!D:D=$F$4,'领用录入（明细）'!C:C&gt;=$J$4,'领用录入（明细）'!C:C&lt;=$L$4),ROW(),"-")</f>
        <v>-</v>
      </c>
    </row>
    <row r="26839" customHeight="1" spans="2:2">
      <c r="B26839" s="62" t="str">
        <f>IF(AND('领用录入（明细）'!D:D=$F$4,'领用录入（明细）'!C:C&gt;=$J$4,'领用录入（明细）'!C:C&lt;=$L$4),ROW(),"-")</f>
        <v>-</v>
      </c>
    </row>
    <row r="26840" customHeight="1" spans="2:2">
      <c r="B26840" s="62" t="str">
        <f>IF(AND('领用录入（明细）'!D:D=$F$4,'领用录入（明细）'!C:C&gt;=$J$4,'领用录入（明细）'!C:C&lt;=$L$4),ROW(),"-")</f>
        <v>-</v>
      </c>
    </row>
    <row r="26841" customHeight="1" spans="2:2">
      <c r="B26841" s="62" t="str">
        <f>IF(AND('领用录入（明细）'!D:D=$F$4,'领用录入（明细）'!C:C&gt;=$J$4,'领用录入（明细）'!C:C&lt;=$L$4),ROW(),"-")</f>
        <v>-</v>
      </c>
    </row>
    <row r="26842" customHeight="1" spans="2:2">
      <c r="B26842" s="62" t="str">
        <f>IF(AND('领用录入（明细）'!D:D=$F$4,'领用录入（明细）'!C:C&gt;=$J$4,'领用录入（明细）'!C:C&lt;=$L$4),ROW(),"-")</f>
        <v>-</v>
      </c>
    </row>
    <row r="26843" customHeight="1" spans="2:2">
      <c r="B26843" s="62" t="str">
        <f>IF(AND('领用录入（明细）'!D:D=$F$4,'领用录入（明细）'!C:C&gt;=$J$4,'领用录入（明细）'!C:C&lt;=$L$4),ROW(),"-")</f>
        <v>-</v>
      </c>
    </row>
    <row r="26844" customHeight="1" spans="2:2">
      <c r="B26844" s="62" t="str">
        <f>IF(AND('领用录入（明细）'!D:D=$F$4,'领用录入（明细）'!C:C&gt;=$J$4,'领用录入（明细）'!C:C&lt;=$L$4),ROW(),"-")</f>
        <v>-</v>
      </c>
    </row>
    <row r="26845" customHeight="1" spans="2:2">
      <c r="B26845" s="62" t="str">
        <f>IF(AND('领用录入（明细）'!D:D=$F$4,'领用录入（明细）'!C:C&gt;=$J$4,'领用录入（明细）'!C:C&lt;=$L$4),ROW(),"-")</f>
        <v>-</v>
      </c>
    </row>
    <row r="26846" customHeight="1" spans="2:2">
      <c r="B26846" s="62" t="str">
        <f>IF(AND('领用录入（明细）'!D:D=$F$4,'领用录入（明细）'!C:C&gt;=$J$4,'领用录入（明细）'!C:C&lt;=$L$4),ROW(),"-")</f>
        <v>-</v>
      </c>
    </row>
    <row r="26847" customHeight="1" spans="2:2">
      <c r="B26847" s="62" t="str">
        <f>IF(AND('领用录入（明细）'!D:D=$F$4,'领用录入（明细）'!C:C&gt;=$J$4,'领用录入（明细）'!C:C&lt;=$L$4),ROW(),"-")</f>
        <v>-</v>
      </c>
    </row>
    <row r="26848" customHeight="1" spans="2:2">
      <c r="B26848" s="62" t="str">
        <f>IF(AND('领用录入（明细）'!D:D=$F$4,'领用录入（明细）'!C:C&gt;=$J$4,'领用录入（明细）'!C:C&lt;=$L$4),ROW(),"-")</f>
        <v>-</v>
      </c>
    </row>
    <row r="26849" customHeight="1" spans="2:2">
      <c r="B26849" s="62" t="str">
        <f>IF(AND('领用录入（明细）'!D:D=$F$4,'领用录入（明细）'!C:C&gt;=$J$4,'领用录入（明细）'!C:C&lt;=$L$4),ROW(),"-")</f>
        <v>-</v>
      </c>
    </row>
    <row r="26850" customHeight="1" spans="2:2">
      <c r="B26850" s="62" t="str">
        <f>IF(AND('领用录入（明细）'!D:D=$F$4,'领用录入（明细）'!C:C&gt;=$J$4,'领用录入（明细）'!C:C&lt;=$L$4),ROW(),"-")</f>
        <v>-</v>
      </c>
    </row>
    <row r="26851" customHeight="1" spans="2:2">
      <c r="B26851" s="62" t="str">
        <f>IF(AND('领用录入（明细）'!D:D=$F$4,'领用录入（明细）'!C:C&gt;=$J$4,'领用录入（明细）'!C:C&lt;=$L$4),ROW(),"-")</f>
        <v>-</v>
      </c>
    </row>
    <row r="26852" customHeight="1" spans="2:2">
      <c r="B26852" s="62" t="str">
        <f>IF(AND('领用录入（明细）'!D:D=$F$4,'领用录入（明细）'!C:C&gt;=$J$4,'领用录入（明细）'!C:C&lt;=$L$4),ROW(),"-")</f>
        <v>-</v>
      </c>
    </row>
    <row r="26853" customHeight="1" spans="2:2">
      <c r="B26853" s="62" t="str">
        <f>IF(AND('领用录入（明细）'!D:D=$F$4,'领用录入（明细）'!C:C&gt;=$J$4,'领用录入（明细）'!C:C&lt;=$L$4),ROW(),"-")</f>
        <v>-</v>
      </c>
    </row>
    <row r="26854" customHeight="1" spans="2:2">
      <c r="B26854" s="62" t="str">
        <f>IF(AND('领用录入（明细）'!D:D=$F$4,'领用录入（明细）'!C:C&gt;=$J$4,'领用录入（明细）'!C:C&lt;=$L$4),ROW(),"-")</f>
        <v>-</v>
      </c>
    </row>
    <row r="26855" customHeight="1" spans="2:2">
      <c r="B26855" s="62" t="str">
        <f>IF(AND('领用录入（明细）'!D:D=$F$4,'领用录入（明细）'!C:C&gt;=$J$4,'领用录入（明细）'!C:C&lt;=$L$4),ROW(),"-")</f>
        <v>-</v>
      </c>
    </row>
    <row r="26856" customHeight="1" spans="2:2">
      <c r="B26856" s="62" t="str">
        <f>IF(AND('领用录入（明细）'!D:D=$F$4,'领用录入（明细）'!C:C&gt;=$J$4,'领用录入（明细）'!C:C&lt;=$L$4),ROW(),"-")</f>
        <v>-</v>
      </c>
    </row>
    <row r="26857" customHeight="1" spans="2:2">
      <c r="B26857" s="62" t="str">
        <f>IF(AND('领用录入（明细）'!D:D=$F$4,'领用录入（明细）'!C:C&gt;=$J$4,'领用录入（明细）'!C:C&lt;=$L$4),ROW(),"-")</f>
        <v>-</v>
      </c>
    </row>
    <row r="26858" customHeight="1" spans="2:2">
      <c r="B26858" s="62" t="str">
        <f>IF(AND('领用录入（明细）'!D:D=$F$4,'领用录入（明细）'!C:C&gt;=$J$4,'领用录入（明细）'!C:C&lt;=$L$4),ROW(),"-")</f>
        <v>-</v>
      </c>
    </row>
    <row r="26859" customHeight="1" spans="2:2">
      <c r="B26859" s="62" t="str">
        <f>IF(AND('领用录入（明细）'!D:D=$F$4,'领用录入（明细）'!C:C&gt;=$J$4,'领用录入（明细）'!C:C&lt;=$L$4),ROW(),"-")</f>
        <v>-</v>
      </c>
    </row>
    <row r="26860" customHeight="1" spans="2:2">
      <c r="B26860" s="62" t="str">
        <f>IF(AND('领用录入（明细）'!D:D=$F$4,'领用录入（明细）'!C:C&gt;=$J$4,'领用录入（明细）'!C:C&lt;=$L$4),ROW(),"-")</f>
        <v>-</v>
      </c>
    </row>
    <row r="26861" customHeight="1" spans="2:2">
      <c r="B26861" s="62" t="str">
        <f>IF(AND('领用录入（明细）'!D:D=$F$4,'领用录入（明细）'!C:C&gt;=$J$4,'领用录入（明细）'!C:C&lt;=$L$4),ROW(),"-")</f>
        <v>-</v>
      </c>
    </row>
    <row r="26862" customHeight="1" spans="2:2">
      <c r="B26862" s="62" t="str">
        <f>IF(AND('领用录入（明细）'!D:D=$F$4,'领用录入（明细）'!C:C&gt;=$J$4,'领用录入（明细）'!C:C&lt;=$L$4),ROW(),"-")</f>
        <v>-</v>
      </c>
    </row>
    <row r="26863" customHeight="1" spans="2:2">
      <c r="B26863" s="62" t="str">
        <f>IF(AND('领用录入（明细）'!D:D=$F$4,'领用录入（明细）'!C:C&gt;=$J$4,'领用录入（明细）'!C:C&lt;=$L$4),ROW(),"-")</f>
        <v>-</v>
      </c>
    </row>
    <row r="26864" customHeight="1" spans="2:2">
      <c r="B26864" s="62" t="str">
        <f>IF(AND('领用录入（明细）'!D:D=$F$4,'领用录入（明细）'!C:C&gt;=$J$4,'领用录入（明细）'!C:C&lt;=$L$4),ROW(),"-")</f>
        <v>-</v>
      </c>
    </row>
    <row r="26865" customHeight="1" spans="2:2">
      <c r="B26865" s="62" t="str">
        <f>IF(AND('领用录入（明细）'!D:D=$F$4,'领用录入（明细）'!C:C&gt;=$J$4,'领用录入（明细）'!C:C&lt;=$L$4),ROW(),"-")</f>
        <v>-</v>
      </c>
    </row>
    <row r="26866" customHeight="1" spans="2:2">
      <c r="B26866" s="62" t="str">
        <f>IF(AND('领用录入（明细）'!D:D=$F$4,'领用录入（明细）'!C:C&gt;=$J$4,'领用录入（明细）'!C:C&lt;=$L$4),ROW(),"-")</f>
        <v>-</v>
      </c>
    </row>
    <row r="26867" customHeight="1" spans="2:2">
      <c r="B26867" s="62" t="str">
        <f>IF(AND('领用录入（明细）'!D:D=$F$4,'领用录入（明细）'!C:C&gt;=$J$4,'领用录入（明细）'!C:C&lt;=$L$4),ROW(),"-")</f>
        <v>-</v>
      </c>
    </row>
    <row r="26868" customHeight="1" spans="2:2">
      <c r="B26868" s="62" t="str">
        <f>IF(AND('领用录入（明细）'!D:D=$F$4,'领用录入（明细）'!C:C&gt;=$J$4,'领用录入（明细）'!C:C&lt;=$L$4),ROW(),"-")</f>
        <v>-</v>
      </c>
    </row>
    <row r="26869" customHeight="1" spans="2:2">
      <c r="B26869" s="62" t="str">
        <f>IF(AND('领用录入（明细）'!D:D=$F$4,'领用录入（明细）'!C:C&gt;=$J$4,'领用录入（明细）'!C:C&lt;=$L$4),ROW(),"-")</f>
        <v>-</v>
      </c>
    </row>
    <row r="26870" customHeight="1" spans="2:2">
      <c r="B26870" s="62" t="str">
        <f>IF(AND('领用录入（明细）'!D:D=$F$4,'领用录入（明细）'!C:C&gt;=$J$4,'领用录入（明细）'!C:C&lt;=$L$4),ROW(),"-")</f>
        <v>-</v>
      </c>
    </row>
    <row r="26871" customHeight="1" spans="2:2">
      <c r="B26871" s="62" t="str">
        <f>IF(AND('领用录入（明细）'!D:D=$F$4,'领用录入（明细）'!C:C&gt;=$J$4,'领用录入（明细）'!C:C&lt;=$L$4),ROW(),"-")</f>
        <v>-</v>
      </c>
    </row>
    <row r="26872" customHeight="1" spans="2:2">
      <c r="B26872" s="62" t="str">
        <f>IF(AND('领用录入（明细）'!D:D=$F$4,'领用录入（明细）'!C:C&gt;=$J$4,'领用录入（明细）'!C:C&lt;=$L$4),ROW(),"-")</f>
        <v>-</v>
      </c>
    </row>
    <row r="26873" customHeight="1" spans="2:2">
      <c r="B26873" s="62" t="str">
        <f>IF(AND('领用录入（明细）'!D:D=$F$4,'领用录入（明细）'!C:C&gt;=$J$4,'领用录入（明细）'!C:C&lt;=$L$4),ROW(),"-")</f>
        <v>-</v>
      </c>
    </row>
    <row r="26874" customHeight="1" spans="2:2">
      <c r="B26874" s="62" t="str">
        <f>IF(AND('领用录入（明细）'!D:D=$F$4,'领用录入（明细）'!C:C&gt;=$J$4,'领用录入（明细）'!C:C&lt;=$L$4),ROW(),"-")</f>
        <v>-</v>
      </c>
    </row>
    <row r="26875" customHeight="1" spans="2:2">
      <c r="B26875" s="62" t="str">
        <f>IF(AND('领用录入（明细）'!D:D=$F$4,'领用录入（明细）'!C:C&gt;=$J$4,'领用录入（明细）'!C:C&lt;=$L$4),ROW(),"-")</f>
        <v>-</v>
      </c>
    </row>
    <row r="26876" customHeight="1" spans="2:2">
      <c r="B26876" s="62" t="str">
        <f>IF(AND('领用录入（明细）'!D:D=$F$4,'领用录入（明细）'!C:C&gt;=$J$4,'领用录入（明细）'!C:C&lt;=$L$4),ROW(),"-")</f>
        <v>-</v>
      </c>
    </row>
    <row r="26877" customHeight="1" spans="2:2">
      <c r="B26877" s="62" t="str">
        <f>IF(AND('领用录入（明细）'!D:D=$F$4,'领用录入（明细）'!C:C&gt;=$J$4,'领用录入（明细）'!C:C&lt;=$L$4),ROW(),"-")</f>
        <v>-</v>
      </c>
    </row>
    <row r="26878" customHeight="1" spans="2:2">
      <c r="B26878" s="62" t="str">
        <f>IF(AND('领用录入（明细）'!D:D=$F$4,'领用录入（明细）'!C:C&gt;=$J$4,'领用录入（明细）'!C:C&lt;=$L$4),ROW(),"-")</f>
        <v>-</v>
      </c>
    </row>
    <row r="26879" customHeight="1" spans="2:2">
      <c r="B26879" s="62" t="str">
        <f>IF(AND('领用录入（明细）'!D:D=$F$4,'领用录入（明细）'!C:C&gt;=$J$4,'领用录入（明细）'!C:C&lt;=$L$4),ROW(),"-")</f>
        <v>-</v>
      </c>
    </row>
    <row r="26880" customHeight="1" spans="2:2">
      <c r="B26880" s="62" t="str">
        <f>IF(AND('领用录入（明细）'!D:D=$F$4,'领用录入（明细）'!C:C&gt;=$J$4,'领用录入（明细）'!C:C&lt;=$L$4),ROW(),"-")</f>
        <v>-</v>
      </c>
    </row>
    <row r="26881" customHeight="1" spans="2:2">
      <c r="B26881" s="62" t="str">
        <f>IF(AND('领用录入（明细）'!D:D=$F$4,'领用录入（明细）'!C:C&gt;=$J$4,'领用录入（明细）'!C:C&lt;=$L$4),ROW(),"-")</f>
        <v>-</v>
      </c>
    </row>
    <row r="26882" customHeight="1" spans="2:2">
      <c r="B26882" s="62" t="str">
        <f>IF(AND('领用录入（明细）'!D:D=$F$4,'领用录入（明细）'!C:C&gt;=$J$4,'领用录入（明细）'!C:C&lt;=$L$4),ROW(),"-")</f>
        <v>-</v>
      </c>
    </row>
    <row r="26883" customHeight="1" spans="2:2">
      <c r="B26883" s="62" t="str">
        <f>IF(AND('领用录入（明细）'!D:D=$F$4,'领用录入（明细）'!C:C&gt;=$J$4,'领用录入（明细）'!C:C&lt;=$L$4),ROW(),"-")</f>
        <v>-</v>
      </c>
    </row>
    <row r="26884" customHeight="1" spans="2:2">
      <c r="B26884" s="62" t="str">
        <f>IF(AND('领用录入（明细）'!D:D=$F$4,'领用录入（明细）'!C:C&gt;=$J$4,'领用录入（明细）'!C:C&lt;=$L$4),ROW(),"-")</f>
        <v>-</v>
      </c>
    </row>
    <row r="26885" customHeight="1" spans="2:2">
      <c r="B26885" s="62" t="str">
        <f>IF(AND('领用录入（明细）'!D:D=$F$4,'领用录入（明细）'!C:C&gt;=$J$4,'领用录入（明细）'!C:C&lt;=$L$4),ROW(),"-")</f>
        <v>-</v>
      </c>
    </row>
    <row r="26886" customHeight="1" spans="2:2">
      <c r="B26886" s="62" t="str">
        <f>IF(AND('领用录入（明细）'!D:D=$F$4,'领用录入（明细）'!C:C&gt;=$J$4,'领用录入（明细）'!C:C&lt;=$L$4),ROW(),"-")</f>
        <v>-</v>
      </c>
    </row>
    <row r="26887" customHeight="1" spans="2:2">
      <c r="B26887" s="62" t="str">
        <f>IF(AND('领用录入（明细）'!D:D=$F$4,'领用录入（明细）'!C:C&gt;=$J$4,'领用录入（明细）'!C:C&lt;=$L$4),ROW(),"-")</f>
        <v>-</v>
      </c>
    </row>
    <row r="26888" customHeight="1" spans="2:2">
      <c r="B26888" s="62" t="str">
        <f>IF(AND('领用录入（明细）'!D:D=$F$4,'领用录入（明细）'!C:C&gt;=$J$4,'领用录入（明细）'!C:C&lt;=$L$4),ROW(),"-")</f>
        <v>-</v>
      </c>
    </row>
    <row r="26889" customHeight="1" spans="2:2">
      <c r="B26889" s="62" t="str">
        <f>IF(AND('领用录入（明细）'!D:D=$F$4,'领用录入（明细）'!C:C&gt;=$J$4,'领用录入（明细）'!C:C&lt;=$L$4),ROW(),"-")</f>
        <v>-</v>
      </c>
    </row>
    <row r="26890" customHeight="1" spans="2:2">
      <c r="B26890" s="62" t="str">
        <f>IF(AND('领用录入（明细）'!D:D=$F$4,'领用录入（明细）'!C:C&gt;=$J$4,'领用录入（明细）'!C:C&lt;=$L$4),ROW(),"-")</f>
        <v>-</v>
      </c>
    </row>
    <row r="26891" customHeight="1" spans="2:2">
      <c r="B26891" s="62" t="str">
        <f>IF(AND('领用录入（明细）'!D:D=$F$4,'领用录入（明细）'!C:C&gt;=$J$4,'领用录入（明细）'!C:C&lt;=$L$4),ROW(),"-")</f>
        <v>-</v>
      </c>
    </row>
    <row r="26892" customHeight="1" spans="2:2">
      <c r="B26892" s="62" t="str">
        <f>IF(AND('领用录入（明细）'!D:D=$F$4,'领用录入（明细）'!C:C&gt;=$J$4,'领用录入（明细）'!C:C&lt;=$L$4),ROW(),"-")</f>
        <v>-</v>
      </c>
    </row>
    <row r="26893" customHeight="1" spans="2:2">
      <c r="B26893" s="62" t="str">
        <f>IF(AND('领用录入（明细）'!D:D=$F$4,'领用录入（明细）'!C:C&gt;=$J$4,'领用录入（明细）'!C:C&lt;=$L$4),ROW(),"-")</f>
        <v>-</v>
      </c>
    </row>
    <row r="26894" customHeight="1" spans="2:2">
      <c r="B26894" s="62" t="str">
        <f>IF(AND('领用录入（明细）'!D:D=$F$4,'领用录入（明细）'!C:C&gt;=$J$4,'领用录入（明细）'!C:C&lt;=$L$4),ROW(),"-")</f>
        <v>-</v>
      </c>
    </row>
    <row r="26895" customHeight="1" spans="2:2">
      <c r="B26895" s="62" t="str">
        <f>IF(AND('领用录入（明细）'!D:D=$F$4,'领用录入（明细）'!C:C&gt;=$J$4,'领用录入（明细）'!C:C&lt;=$L$4),ROW(),"-")</f>
        <v>-</v>
      </c>
    </row>
    <row r="26896" customHeight="1" spans="2:2">
      <c r="B26896" s="62" t="str">
        <f>IF(AND('领用录入（明细）'!D:D=$F$4,'领用录入（明细）'!C:C&gt;=$J$4,'领用录入（明细）'!C:C&lt;=$L$4),ROW(),"-")</f>
        <v>-</v>
      </c>
    </row>
    <row r="26897" customHeight="1" spans="2:2">
      <c r="B26897" s="62" t="str">
        <f>IF(AND('领用录入（明细）'!D:D=$F$4,'领用录入（明细）'!C:C&gt;=$J$4,'领用录入（明细）'!C:C&lt;=$L$4),ROW(),"-")</f>
        <v>-</v>
      </c>
    </row>
    <row r="26898" customHeight="1" spans="2:2">
      <c r="B26898" s="62" t="str">
        <f>IF(AND('领用录入（明细）'!D:D=$F$4,'领用录入（明细）'!C:C&gt;=$J$4,'领用录入（明细）'!C:C&lt;=$L$4),ROW(),"-")</f>
        <v>-</v>
      </c>
    </row>
    <row r="26899" customHeight="1" spans="2:2">
      <c r="B26899" s="62" t="str">
        <f>IF(AND('领用录入（明细）'!D:D=$F$4,'领用录入（明细）'!C:C&gt;=$J$4,'领用录入（明细）'!C:C&lt;=$L$4),ROW(),"-")</f>
        <v>-</v>
      </c>
    </row>
    <row r="26900" customHeight="1" spans="2:2">
      <c r="B26900" s="62" t="str">
        <f>IF(AND('领用录入（明细）'!D:D=$F$4,'领用录入（明细）'!C:C&gt;=$J$4,'领用录入（明细）'!C:C&lt;=$L$4),ROW(),"-")</f>
        <v>-</v>
      </c>
    </row>
    <row r="26901" customHeight="1" spans="2:2">
      <c r="B26901" s="62" t="str">
        <f>IF(AND('领用录入（明细）'!D:D=$F$4,'领用录入（明细）'!C:C&gt;=$J$4,'领用录入（明细）'!C:C&lt;=$L$4),ROW(),"-")</f>
        <v>-</v>
      </c>
    </row>
    <row r="26902" customHeight="1" spans="2:2">
      <c r="B26902" s="62" t="str">
        <f>IF(AND('领用录入（明细）'!D:D=$F$4,'领用录入（明细）'!C:C&gt;=$J$4,'领用录入（明细）'!C:C&lt;=$L$4),ROW(),"-")</f>
        <v>-</v>
      </c>
    </row>
    <row r="26903" customHeight="1" spans="2:2">
      <c r="B26903" s="62" t="str">
        <f>IF(AND('领用录入（明细）'!D:D=$F$4,'领用录入（明细）'!C:C&gt;=$J$4,'领用录入（明细）'!C:C&lt;=$L$4),ROW(),"-")</f>
        <v>-</v>
      </c>
    </row>
    <row r="26904" customHeight="1" spans="2:2">
      <c r="B26904" s="62" t="str">
        <f>IF(AND('领用录入（明细）'!D:D=$F$4,'领用录入（明细）'!C:C&gt;=$J$4,'领用录入（明细）'!C:C&lt;=$L$4),ROW(),"-")</f>
        <v>-</v>
      </c>
    </row>
    <row r="26905" customHeight="1" spans="2:2">
      <c r="B26905" s="62" t="str">
        <f>IF(AND('领用录入（明细）'!D:D=$F$4,'领用录入（明细）'!C:C&gt;=$J$4,'领用录入（明细）'!C:C&lt;=$L$4),ROW(),"-")</f>
        <v>-</v>
      </c>
    </row>
    <row r="26906" customHeight="1" spans="2:2">
      <c r="B26906" s="62" t="str">
        <f>IF(AND('领用录入（明细）'!D:D=$F$4,'领用录入（明细）'!C:C&gt;=$J$4,'领用录入（明细）'!C:C&lt;=$L$4),ROW(),"-")</f>
        <v>-</v>
      </c>
    </row>
    <row r="26907" customHeight="1" spans="2:2">
      <c r="B26907" s="62" t="str">
        <f>IF(AND('领用录入（明细）'!D:D=$F$4,'领用录入（明细）'!C:C&gt;=$J$4,'领用录入（明细）'!C:C&lt;=$L$4),ROW(),"-")</f>
        <v>-</v>
      </c>
    </row>
    <row r="26908" customHeight="1" spans="2:2">
      <c r="B26908" s="62" t="str">
        <f>IF(AND('领用录入（明细）'!D:D=$F$4,'领用录入（明细）'!C:C&gt;=$J$4,'领用录入（明细）'!C:C&lt;=$L$4),ROW(),"-")</f>
        <v>-</v>
      </c>
    </row>
    <row r="26909" customHeight="1" spans="2:2">
      <c r="B26909" s="62" t="str">
        <f>IF(AND('领用录入（明细）'!D:D=$F$4,'领用录入（明细）'!C:C&gt;=$J$4,'领用录入（明细）'!C:C&lt;=$L$4),ROW(),"-")</f>
        <v>-</v>
      </c>
    </row>
    <row r="26910" customHeight="1" spans="2:2">
      <c r="B26910" s="62" t="str">
        <f>IF(AND('领用录入（明细）'!D:D=$F$4,'领用录入（明细）'!C:C&gt;=$J$4,'领用录入（明细）'!C:C&lt;=$L$4),ROW(),"-")</f>
        <v>-</v>
      </c>
    </row>
    <row r="26911" customHeight="1" spans="2:2">
      <c r="B26911" s="62" t="str">
        <f>IF(AND('领用录入（明细）'!D:D=$F$4,'领用录入（明细）'!C:C&gt;=$J$4,'领用录入（明细）'!C:C&lt;=$L$4),ROW(),"-")</f>
        <v>-</v>
      </c>
    </row>
    <row r="26912" customHeight="1" spans="2:2">
      <c r="B26912" s="62" t="str">
        <f>IF(AND('领用录入（明细）'!D:D=$F$4,'领用录入（明细）'!C:C&gt;=$J$4,'领用录入（明细）'!C:C&lt;=$L$4),ROW(),"-")</f>
        <v>-</v>
      </c>
    </row>
    <row r="26913" customHeight="1" spans="2:2">
      <c r="B26913" s="62" t="str">
        <f>IF(AND('领用录入（明细）'!D:D=$F$4,'领用录入（明细）'!C:C&gt;=$J$4,'领用录入（明细）'!C:C&lt;=$L$4),ROW(),"-")</f>
        <v>-</v>
      </c>
    </row>
    <row r="26914" customHeight="1" spans="2:2">
      <c r="B26914" s="62" t="str">
        <f>IF(AND('领用录入（明细）'!D:D=$F$4,'领用录入（明细）'!C:C&gt;=$J$4,'领用录入（明细）'!C:C&lt;=$L$4),ROW(),"-")</f>
        <v>-</v>
      </c>
    </row>
    <row r="26915" customHeight="1" spans="2:2">
      <c r="B26915" s="62" t="str">
        <f>IF(AND('领用录入（明细）'!D:D=$F$4,'领用录入（明细）'!C:C&gt;=$J$4,'领用录入（明细）'!C:C&lt;=$L$4),ROW(),"-")</f>
        <v>-</v>
      </c>
    </row>
    <row r="26916" customHeight="1" spans="2:2">
      <c r="B26916" s="62" t="str">
        <f>IF(AND('领用录入（明细）'!D:D=$F$4,'领用录入（明细）'!C:C&gt;=$J$4,'领用录入（明细）'!C:C&lt;=$L$4),ROW(),"-")</f>
        <v>-</v>
      </c>
    </row>
    <row r="26917" customHeight="1" spans="2:2">
      <c r="B26917" s="62" t="str">
        <f>IF(AND('领用录入（明细）'!D:D=$F$4,'领用录入（明细）'!C:C&gt;=$J$4,'领用录入（明细）'!C:C&lt;=$L$4),ROW(),"-")</f>
        <v>-</v>
      </c>
    </row>
    <row r="26918" customHeight="1" spans="2:2">
      <c r="B26918" s="62" t="str">
        <f>IF(AND('领用录入（明细）'!D:D=$F$4,'领用录入（明细）'!C:C&gt;=$J$4,'领用录入（明细）'!C:C&lt;=$L$4),ROW(),"-")</f>
        <v>-</v>
      </c>
    </row>
    <row r="26919" customHeight="1" spans="2:2">
      <c r="B26919" s="62" t="str">
        <f>IF(AND('领用录入（明细）'!D:D=$F$4,'领用录入（明细）'!C:C&gt;=$J$4,'领用录入（明细）'!C:C&lt;=$L$4),ROW(),"-")</f>
        <v>-</v>
      </c>
    </row>
    <row r="26920" customHeight="1" spans="2:2">
      <c r="B26920" s="62" t="str">
        <f>IF(AND('领用录入（明细）'!D:D=$F$4,'领用录入（明细）'!C:C&gt;=$J$4,'领用录入（明细）'!C:C&lt;=$L$4),ROW(),"-")</f>
        <v>-</v>
      </c>
    </row>
    <row r="26921" customHeight="1" spans="2:2">
      <c r="B26921" s="62" t="str">
        <f>IF(AND('领用录入（明细）'!D:D=$F$4,'领用录入（明细）'!C:C&gt;=$J$4,'领用录入（明细）'!C:C&lt;=$L$4),ROW(),"-")</f>
        <v>-</v>
      </c>
    </row>
    <row r="26922" customHeight="1" spans="2:2">
      <c r="B26922" s="62" t="str">
        <f>IF(AND('领用录入（明细）'!D:D=$F$4,'领用录入（明细）'!C:C&gt;=$J$4,'领用录入（明细）'!C:C&lt;=$L$4),ROW(),"-")</f>
        <v>-</v>
      </c>
    </row>
    <row r="26923" customHeight="1" spans="2:2">
      <c r="B26923" s="62" t="str">
        <f>IF(AND('领用录入（明细）'!D:D=$F$4,'领用录入（明细）'!C:C&gt;=$J$4,'领用录入（明细）'!C:C&lt;=$L$4),ROW(),"-")</f>
        <v>-</v>
      </c>
    </row>
    <row r="26924" customHeight="1" spans="2:2">
      <c r="B26924" s="62" t="str">
        <f>IF(AND('领用录入（明细）'!D:D=$F$4,'领用录入（明细）'!C:C&gt;=$J$4,'领用录入（明细）'!C:C&lt;=$L$4),ROW(),"-")</f>
        <v>-</v>
      </c>
    </row>
    <row r="26925" customHeight="1" spans="2:2">
      <c r="B26925" s="62" t="str">
        <f>IF(AND('领用录入（明细）'!D:D=$F$4,'领用录入（明细）'!C:C&gt;=$J$4,'领用录入（明细）'!C:C&lt;=$L$4),ROW(),"-")</f>
        <v>-</v>
      </c>
    </row>
    <row r="26926" customHeight="1" spans="2:2">
      <c r="B26926" s="62" t="str">
        <f>IF(AND('领用录入（明细）'!D:D=$F$4,'领用录入（明细）'!C:C&gt;=$J$4,'领用录入（明细）'!C:C&lt;=$L$4),ROW(),"-")</f>
        <v>-</v>
      </c>
    </row>
    <row r="26927" customHeight="1" spans="2:2">
      <c r="B26927" s="62" t="str">
        <f>IF(AND('领用录入（明细）'!D:D=$F$4,'领用录入（明细）'!C:C&gt;=$J$4,'领用录入（明细）'!C:C&lt;=$L$4),ROW(),"-")</f>
        <v>-</v>
      </c>
    </row>
    <row r="26928" customHeight="1" spans="2:2">
      <c r="B26928" s="62" t="str">
        <f>IF(AND('领用录入（明细）'!D:D=$F$4,'领用录入（明细）'!C:C&gt;=$J$4,'领用录入（明细）'!C:C&lt;=$L$4),ROW(),"-")</f>
        <v>-</v>
      </c>
    </row>
    <row r="26929" customHeight="1" spans="2:2">
      <c r="B26929" s="62" t="str">
        <f>IF(AND('领用录入（明细）'!D:D=$F$4,'领用录入（明细）'!C:C&gt;=$J$4,'领用录入（明细）'!C:C&lt;=$L$4),ROW(),"-")</f>
        <v>-</v>
      </c>
    </row>
    <row r="26930" customHeight="1" spans="2:2">
      <c r="B26930" s="62" t="str">
        <f>IF(AND('领用录入（明细）'!D:D=$F$4,'领用录入（明细）'!C:C&gt;=$J$4,'领用录入（明细）'!C:C&lt;=$L$4),ROW(),"-")</f>
        <v>-</v>
      </c>
    </row>
    <row r="26931" customHeight="1" spans="2:2">
      <c r="B26931" s="62" t="str">
        <f>IF(AND('领用录入（明细）'!D:D=$F$4,'领用录入（明细）'!C:C&gt;=$J$4,'领用录入（明细）'!C:C&lt;=$L$4),ROW(),"-")</f>
        <v>-</v>
      </c>
    </row>
    <row r="26932" customHeight="1" spans="2:2">
      <c r="B26932" s="62" t="str">
        <f>IF(AND('领用录入（明细）'!D:D=$F$4,'领用录入（明细）'!C:C&gt;=$J$4,'领用录入（明细）'!C:C&lt;=$L$4),ROW(),"-")</f>
        <v>-</v>
      </c>
    </row>
    <row r="26933" customHeight="1" spans="2:2">
      <c r="B26933" s="62" t="str">
        <f>IF(AND('领用录入（明细）'!D:D=$F$4,'领用录入（明细）'!C:C&gt;=$J$4,'领用录入（明细）'!C:C&lt;=$L$4),ROW(),"-")</f>
        <v>-</v>
      </c>
    </row>
    <row r="26934" customHeight="1" spans="2:2">
      <c r="B26934" s="62" t="str">
        <f>IF(AND('领用录入（明细）'!D:D=$F$4,'领用录入（明细）'!C:C&gt;=$J$4,'领用录入（明细）'!C:C&lt;=$L$4),ROW(),"-")</f>
        <v>-</v>
      </c>
    </row>
    <row r="26935" customHeight="1" spans="2:2">
      <c r="B26935" s="62" t="str">
        <f>IF(AND('领用录入（明细）'!D:D=$F$4,'领用录入（明细）'!C:C&gt;=$J$4,'领用录入（明细）'!C:C&lt;=$L$4),ROW(),"-")</f>
        <v>-</v>
      </c>
    </row>
    <row r="26936" customHeight="1" spans="2:2">
      <c r="B26936" s="62" t="str">
        <f>IF(AND('领用录入（明细）'!D:D=$F$4,'领用录入（明细）'!C:C&gt;=$J$4,'领用录入（明细）'!C:C&lt;=$L$4),ROW(),"-")</f>
        <v>-</v>
      </c>
    </row>
    <row r="26937" customHeight="1" spans="2:2">
      <c r="B26937" s="62" t="str">
        <f>IF(AND('领用录入（明细）'!D:D=$F$4,'领用录入（明细）'!C:C&gt;=$J$4,'领用录入（明细）'!C:C&lt;=$L$4),ROW(),"-")</f>
        <v>-</v>
      </c>
    </row>
    <row r="26938" customHeight="1" spans="2:2">
      <c r="B26938" s="62" t="str">
        <f>IF(AND('领用录入（明细）'!D:D=$F$4,'领用录入（明细）'!C:C&gt;=$J$4,'领用录入（明细）'!C:C&lt;=$L$4),ROW(),"-")</f>
        <v>-</v>
      </c>
    </row>
    <row r="26939" customHeight="1" spans="2:2">
      <c r="B26939" s="62" t="str">
        <f>IF(AND('领用录入（明细）'!D:D=$F$4,'领用录入（明细）'!C:C&gt;=$J$4,'领用录入（明细）'!C:C&lt;=$L$4),ROW(),"-")</f>
        <v>-</v>
      </c>
    </row>
    <row r="26940" customHeight="1" spans="2:2">
      <c r="B26940" s="62" t="str">
        <f>IF(AND('领用录入（明细）'!D:D=$F$4,'领用录入（明细）'!C:C&gt;=$J$4,'领用录入（明细）'!C:C&lt;=$L$4),ROW(),"-")</f>
        <v>-</v>
      </c>
    </row>
    <row r="26941" customHeight="1" spans="2:2">
      <c r="B26941" s="62" t="str">
        <f>IF(AND('领用录入（明细）'!D:D=$F$4,'领用录入（明细）'!C:C&gt;=$J$4,'领用录入（明细）'!C:C&lt;=$L$4),ROW(),"-")</f>
        <v>-</v>
      </c>
    </row>
    <row r="26942" customHeight="1" spans="2:2">
      <c r="B26942" s="62" t="str">
        <f>IF(AND('领用录入（明细）'!D:D=$F$4,'领用录入（明细）'!C:C&gt;=$J$4,'领用录入（明细）'!C:C&lt;=$L$4),ROW(),"-")</f>
        <v>-</v>
      </c>
    </row>
    <row r="26943" customHeight="1" spans="2:2">
      <c r="B26943" s="62" t="str">
        <f>IF(AND('领用录入（明细）'!D:D=$F$4,'领用录入（明细）'!C:C&gt;=$J$4,'领用录入（明细）'!C:C&lt;=$L$4),ROW(),"-")</f>
        <v>-</v>
      </c>
    </row>
    <row r="26944" customHeight="1" spans="2:2">
      <c r="B26944" s="62" t="str">
        <f>IF(AND('领用录入（明细）'!D:D=$F$4,'领用录入（明细）'!C:C&gt;=$J$4,'领用录入（明细）'!C:C&lt;=$L$4),ROW(),"-")</f>
        <v>-</v>
      </c>
    </row>
    <row r="26945" customHeight="1" spans="2:2">
      <c r="B26945" s="62" t="str">
        <f>IF(AND('领用录入（明细）'!D:D=$F$4,'领用录入（明细）'!C:C&gt;=$J$4,'领用录入（明细）'!C:C&lt;=$L$4),ROW(),"-")</f>
        <v>-</v>
      </c>
    </row>
    <row r="26946" customHeight="1" spans="2:2">
      <c r="B26946" s="62" t="str">
        <f>IF(AND('领用录入（明细）'!D:D=$F$4,'领用录入（明细）'!C:C&gt;=$J$4,'领用录入（明细）'!C:C&lt;=$L$4),ROW(),"-")</f>
        <v>-</v>
      </c>
    </row>
    <row r="26947" customHeight="1" spans="2:2">
      <c r="B26947" s="62" t="str">
        <f>IF(AND('领用录入（明细）'!D:D=$F$4,'领用录入（明细）'!C:C&gt;=$J$4,'领用录入（明细）'!C:C&lt;=$L$4),ROW(),"-")</f>
        <v>-</v>
      </c>
    </row>
    <row r="26948" customHeight="1" spans="2:2">
      <c r="B26948" s="62" t="str">
        <f>IF(AND('领用录入（明细）'!D:D=$F$4,'领用录入（明细）'!C:C&gt;=$J$4,'领用录入（明细）'!C:C&lt;=$L$4),ROW(),"-")</f>
        <v>-</v>
      </c>
    </row>
    <row r="26949" customHeight="1" spans="2:2">
      <c r="B26949" s="62" t="str">
        <f>IF(AND('领用录入（明细）'!D:D=$F$4,'领用录入（明细）'!C:C&gt;=$J$4,'领用录入（明细）'!C:C&lt;=$L$4),ROW(),"-")</f>
        <v>-</v>
      </c>
    </row>
    <row r="26950" customHeight="1" spans="2:2">
      <c r="B26950" s="62" t="str">
        <f>IF(AND('领用录入（明细）'!D:D=$F$4,'领用录入（明细）'!C:C&gt;=$J$4,'领用录入（明细）'!C:C&lt;=$L$4),ROW(),"-")</f>
        <v>-</v>
      </c>
    </row>
    <row r="26951" customHeight="1" spans="2:2">
      <c r="B26951" s="62" t="str">
        <f>IF(AND('领用录入（明细）'!D:D=$F$4,'领用录入（明细）'!C:C&gt;=$J$4,'领用录入（明细）'!C:C&lt;=$L$4),ROW(),"-")</f>
        <v>-</v>
      </c>
    </row>
    <row r="26952" customHeight="1" spans="2:2">
      <c r="B26952" s="62" t="str">
        <f>IF(AND('领用录入（明细）'!D:D=$F$4,'领用录入（明细）'!C:C&gt;=$J$4,'领用录入（明细）'!C:C&lt;=$L$4),ROW(),"-")</f>
        <v>-</v>
      </c>
    </row>
    <row r="26953" customHeight="1" spans="2:2">
      <c r="B26953" s="62" t="str">
        <f>IF(AND('领用录入（明细）'!D:D=$F$4,'领用录入（明细）'!C:C&gt;=$J$4,'领用录入（明细）'!C:C&lt;=$L$4),ROW(),"-")</f>
        <v>-</v>
      </c>
    </row>
    <row r="26954" customHeight="1" spans="2:2">
      <c r="B26954" s="62" t="str">
        <f>IF(AND('领用录入（明细）'!D:D=$F$4,'领用录入（明细）'!C:C&gt;=$J$4,'领用录入（明细）'!C:C&lt;=$L$4),ROW(),"-")</f>
        <v>-</v>
      </c>
    </row>
    <row r="26955" customHeight="1" spans="2:2">
      <c r="B26955" s="62" t="str">
        <f>IF(AND('领用录入（明细）'!D:D=$F$4,'领用录入（明细）'!C:C&gt;=$J$4,'领用录入（明细）'!C:C&lt;=$L$4),ROW(),"-")</f>
        <v>-</v>
      </c>
    </row>
    <row r="26956" customHeight="1" spans="2:2">
      <c r="B26956" s="62" t="str">
        <f>IF(AND('领用录入（明细）'!D:D=$F$4,'领用录入（明细）'!C:C&gt;=$J$4,'领用录入（明细）'!C:C&lt;=$L$4),ROW(),"-")</f>
        <v>-</v>
      </c>
    </row>
    <row r="26957" customHeight="1" spans="2:2">
      <c r="B26957" s="62" t="str">
        <f>IF(AND('领用录入（明细）'!D:D=$F$4,'领用录入（明细）'!C:C&gt;=$J$4,'领用录入（明细）'!C:C&lt;=$L$4),ROW(),"-")</f>
        <v>-</v>
      </c>
    </row>
    <row r="26958" customHeight="1" spans="2:2">
      <c r="B26958" s="62" t="str">
        <f>IF(AND('领用录入（明细）'!D:D=$F$4,'领用录入（明细）'!C:C&gt;=$J$4,'领用录入（明细）'!C:C&lt;=$L$4),ROW(),"-")</f>
        <v>-</v>
      </c>
    </row>
    <row r="26959" customHeight="1" spans="2:2">
      <c r="B26959" s="62" t="str">
        <f>IF(AND('领用录入（明细）'!D:D=$F$4,'领用录入（明细）'!C:C&gt;=$J$4,'领用录入（明细）'!C:C&lt;=$L$4),ROW(),"-")</f>
        <v>-</v>
      </c>
    </row>
    <row r="26960" customHeight="1" spans="2:2">
      <c r="B26960" s="62" t="str">
        <f>IF(AND('领用录入（明细）'!D:D=$F$4,'领用录入（明细）'!C:C&gt;=$J$4,'领用录入（明细）'!C:C&lt;=$L$4),ROW(),"-")</f>
        <v>-</v>
      </c>
    </row>
    <row r="26961" customHeight="1" spans="2:2">
      <c r="B26961" s="62" t="str">
        <f>IF(AND('领用录入（明细）'!D:D=$F$4,'领用录入（明细）'!C:C&gt;=$J$4,'领用录入（明细）'!C:C&lt;=$L$4),ROW(),"-")</f>
        <v>-</v>
      </c>
    </row>
    <row r="26962" customHeight="1" spans="2:2">
      <c r="B26962" s="62" t="str">
        <f>IF(AND('领用录入（明细）'!D:D=$F$4,'领用录入（明细）'!C:C&gt;=$J$4,'领用录入（明细）'!C:C&lt;=$L$4),ROW(),"-")</f>
        <v>-</v>
      </c>
    </row>
    <row r="26963" customHeight="1" spans="2:2">
      <c r="B26963" s="62" t="str">
        <f>IF(AND('领用录入（明细）'!D:D=$F$4,'领用录入（明细）'!C:C&gt;=$J$4,'领用录入（明细）'!C:C&lt;=$L$4),ROW(),"-")</f>
        <v>-</v>
      </c>
    </row>
    <row r="26964" customHeight="1" spans="2:2">
      <c r="B26964" s="62" t="str">
        <f>IF(AND('领用录入（明细）'!D:D=$F$4,'领用录入（明细）'!C:C&gt;=$J$4,'领用录入（明细）'!C:C&lt;=$L$4),ROW(),"-")</f>
        <v>-</v>
      </c>
    </row>
    <row r="26965" customHeight="1" spans="2:2">
      <c r="B26965" s="62" t="str">
        <f>IF(AND('领用录入（明细）'!D:D=$F$4,'领用录入（明细）'!C:C&gt;=$J$4,'领用录入（明细）'!C:C&lt;=$L$4),ROW(),"-")</f>
        <v>-</v>
      </c>
    </row>
    <row r="26966" customHeight="1" spans="2:2">
      <c r="B26966" s="62" t="str">
        <f>IF(AND('领用录入（明细）'!D:D=$F$4,'领用录入（明细）'!C:C&gt;=$J$4,'领用录入（明细）'!C:C&lt;=$L$4),ROW(),"-")</f>
        <v>-</v>
      </c>
    </row>
    <row r="26967" customHeight="1" spans="2:2">
      <c r="B26967" s="62" t="str">
        <f>IF(AND('领用录入（明细）'!D:D=$F$4,'领用录入（明细）'!C:C&gt;=$J$4,'领用录入（明细）'!C:C&lt;=$L$4),ROW(),"-")</f>
        <v>-</v>
      </c>
    </row>
    <row r="26968" customHeight="1" spans="2:2">
      <c r="B26968" s="62" t="str">
        <f>IF(AND('领用录入（明细）'!D:D=$F$4,'领用录入（明细）'!C:C&gt;=$J$4,'领用录入（明细）'!C:C&lt;=$L$4),ROW(),"-")</f>
        <v>-</v>
      </c>
    </row>
    <row r="26969" customHeight="1" spans="2:2">
      <c r="B26969" s="62" t="str">
        <f>IF(AND('领用录入（明细）'!D:D=$F$4,'领用录入（明细）'!C:C&gt;=$J$4,'领用录入（明细）'!C:C&lt;=$L$4),ROW(),"-")</f>
        <v>-</v>
      </c>
    </row>
    <row r="26970" customHeight="1" spans="2:2">
      <c r="B26970" s="62" t="str">
        <f>IF(AND('领用录入（明细）'!D:D=$F$4,'领用录入（明细）'!C:C&gt;=$J$4,'领用录入（明细）'!C:C&lt;=$L$4),ROW(),"-")</f>
        <v>-</v>
      </c>
    </row>
    <row r="26971" customHeight="1" spans="2:2">
      <c r="B26971" s="62" t="str">
        <f>IF(AND('领用录入（明细）'!D:D=$F$4,'领用录入（明细）'!C:C&gt;=$J$4,'领用录入（明细）'!C:C&lt;=$L$4),ROW(),"-")</f>
        <v>-</v>
      </c>
    </row>
    <row r="26972" customHeight="1" spans="2:2">
      <c r="B26972" s="62" t="str">
        <f>IF(AND('领用录入（明细）'!D:D=$F$4,'领用录入（明细）'!C:C&gt;=$J$4,'领用录入（明细）'!C:C&lt;=$L$4),ROW(),"-")</f>
        <v>-</v>
      </c>
    </row>
    <row r="26973" customHeight="1" spans="2:2">
      <c r="B26973" s="62" t="str">
        <f>IF(AND('领用录入（明细）'!D:D=$F$4,'领用录入（明细）'!C:C&gt;=$J$4,'领用录入（明细）'!C:C&lt;=$L$4),ROW(),"-")</f>
        <v>-</v>
      </c>
    </row>
    <row r="26974" customHeight="1" spans="2:2">
      <c r="B26974" s="62" t="str">
        <f>IF(AND('领用录入（明细）'!D:D=$F$4,'领用录入（明细）'!C:C&gt;=$J$4,'领用录入（明细）'!C:C&lt;=$L$4),ROW(),"-")</f>
        <v>-</v>
      </c>
    </row>
    <row r="26975" customHeight="1" spans="2:2">
      <c r="B26975" s="62" t="str">
        <f>IF(AND('领用录入（明细）'!D:D=$F$4,'领用录入（明细）'!C:C&gt;=$J$4,'领用录入（明细）'!C:C&lt;=$L$4),ROW(),"-")</f>
        <v>-</v>
      </c>
    </row>
    <row r="26976" customHeight="1" spans="2:2">
      <c r="B26976" s="62" t="str">
        <f>IF(AND('领用录入（明细）'!D:D=$F$4,'领用录入（明细）'!C:C&gt;=$J$4,'领用录入（明细）'!C:C&lt;=$L$4),ROW(),"-")</f>
        <v>-</v>
      </c>
    </row>
    <row r="26977" customHeight="1" spans="2:2">
      <c r="B26977" s="62" t="str">
        <f>IF(AND('领用录入（明细）'!D:D=$F$4,'领用录入（明细）'!C:C&gt;=$J$4,'领用录入（明细）'!C:C&lt;=$L$4),ROW(),"-")</f>
        <v>-</v>
      </c>
    </row>
    <row r="26978" customHeight="1" spans="2:2">
      <c r="B26978" s="62" t="str">
        <f>IF(AND('领用录入（明细）'!D:D=$F$4,'领用录入（明细）'!C:C&gt;=$J$4,'领用录入（明细）'!C:C&lt;=$L$4),ROW(),"-")</f>
        <v>-</v>
      </c>
    </row>
    <row r="26979" customHeight="1" spans="2:2">
      <c r="B26979" s="62" t="str">
        <f>IF(AND('领用录入（明细）'!D:D=$F$4,'领用录入（明细）'!C:C&gt;=$J$4,'领用录入（明细）'!C:C&lt;=$L$4),ROW(),"-")</f>
        <v>-</v>
      </c>
    </row>
    <row r="26980" customHeight="1" spans="2:2">
      <c r="B26980" s="62" t="str">
        <f>IF(AND('领用录入（明细）'!D:D=$F$4,'领用录入（明细）'!C:C&gt;=$J$4,'领用录入（明细）'!C:C&lt;=$L$4),ROW(),"-")</f>
        <v>-</v>
      </c>
    </row>
    <row r="26981" customHeight="1" spans="2:2">
      <c r="B26981" s="62" t="str">
        <f>IF(AND('领用录入（明细）'!D:D=$F$4,'领用录入（明细）'!C:C&gt;=$J$4,'领用录入（明细）'!C:C&lt;=$L$4),ROW(),"-")</f>
        <v>-</v>
      </c>
    </row>
    <row r="26982" customHeight="1" spans="2:2">
      <c r="B26982" s="62" t="str">
        <f>IF(AND('领用录入（明细）'!D:D=$F$4,'领用录入（明细）'!C:C&gt;=$J$4,'领用录入（明细）'!C:C&lt;=$L$4),ROW(),"-")</f>
        <v>-</v>
      </c>
    </row>
    <row r="26983" customHeight="1" spans="2:2">
      <c r="B26983" s="62" t="str">
        <f>IF(AND('领用录入（明细）'!D:D=$F$4,'领用录入（明细）'!C:C&gt;=$J$4,'领用录入（明细）'!C:C&lt;=$L$4),ROW(),"-")</f>
        <v>-</v>
      </c>
    </row>
    <row r="26984" customHeight="1" spans="2:2">
      <c r="B26984" s="62" t="str">
        <f>IF(AND('领用录入（明细）'!D:D=$F$4,'领用录入（明细）'!C:C&gt;=$J$4,'领用录入（明细）'!C:C&lt;=$L$4),ROW(),"-")</f>
        <v>-</v>
      </c>
    </row>
    <row r="26985" customHeight="1" spans="2:2">
      <c r="B26985" s="62" t="str">
        <f>IF(AND('领用录入（明细）'!D:D=$F$4,'领用录入（明细）'!C:C&gt;=$J$4,'领用录入（明细）'!C:C&lt;=$L$4),ROW(),"-")</f>
        <v>-</v>
      </c>
    </row>
    <row r="26986" customHeight="1" spans="2:2">
      <c r="B26986" s="62" t="str">
        <f>IF(AND('领用录入（明细）'!D:D=$F$4,'领用录入（明细）'!C:C&gt;=$J$4,'领用录入（明细）'!C:C&lt;=$L$4),ROW(),"-")</f>
        <v>-</v>
      </c>
    </row>
    <row r="26987" customHeight="1" spans="2:2">
      <c r="B26987" s="62" t="str">
        <f>IF(AND('领用录入（明细）'!D:D=$F$4,'领用录入（明细）'!C:C&gt;=$J$4,'领用录入（明细）'!C:C&lt;=$L$4),ROW(),"-")</f>
        <v>-</v>
      </c>
    </row>
    <row r="26988" customHeight="1" spans="2:2">
      <c r="B26988" s="62" t="str">
        <f>IF(AND('领用录入（明细）'!D:D=$F$4,'领用录入（明细）'!C:C&gt;=$J$4,'领用录入（明细）'!C:C&lt;=$L$4),ROW(),"-")</f>
        <v>-</v>
      </c>
    </row>
    <row r="26989" customHeight="1" spans="2:2">
      <c r="B26989" s="62" t="str">
        <f>IF(AND('领用录入（明细）'!D:D=$F$4,'领用录入（明细）'!C:C&gt;=$J$4,'领用录入（明细）'!C:C&lt;=$L$4),ROW(),"-")</f>
        <v>-</v>
      </c>
    </row>
    <row r="26990" customHeight="1" spans="2:2">
      <c r="B26990" s="62" t="str">
        <f>IF(AND('领用录入（明细）'!D:D=$F$4,'领用录入（明细）'!C:C&gt;=$J$4,'领用录入（明细）'!C:C&lt;=$L$4),ROW(),"-")</f>
        <v>-</v>
      </c>
    </row>
    <row r="26991" customHeight="1" spans="2:2">
      <c r="B26991" s="62" t="str">
        <f>IF(AND('领用录入（明细）'!D:D=$F$4,'领用录入（明细）'!C:C&gt;=$J$4,'领用录入（明细）'!C:C&lt;=$L$4),ROW(),"-")</f>
        <v>-</v>
      </c>
    </row>
    <row r="26992" customHeight="1" spans="2:2">
      <c r="B26992" s="62" t="str">
        <f>IF(AND('领用录入（明细）'!D:D=$F$4,'领用录入（明细）'!C:C&gt;=$J$4,'领用录入（明细）'!C:C&lt;=$L$4),ROW(),"-")</f>
        <v>-</v>
      </c>
    </row>
    <row r="26993" customHeight="1" spans="2:2">
      <c r="B26993" s="62" t="str">
        <f>IF(AND('领用录入（明细）'!D:D=$F$4,'领用录入（明细）'!C:C&gt;=$J$4,'领用录入（明细）'!C:C&lt;=$L$4),ROW(),"-")</f>
        <v>-</v>
      </c>
    </row>
    <row r="26994" customHeight="1" spans="2:2">
      <c r="B26994" s="62" t="str">
        <f>IF(AND('领用录入（明细）'!D:D=$F$4,'领用录入（明细）'!C:C&gt;=$J$4,'领用录入（明细）'!C:C&lt;=$L$4),ROW(),"-")</f>
        <v>-</v>
      </c>
    </row>
    <row r="26995" customHeight="1" spans="2:2">
      <c r="B26995" s="62" t="str">
        <f>IF(AND('领用录入（明细）'!D:D=$F$4,'领用录入（明细）'!C:C&gt;=$J$4,'领用录入（明细）'!C:C&lt;=$L$4),ROW(),"-")</f>
        <v>-</v>
      </c>
    </row>
    <row r="26996" customHeight="1" spans="2:2">
      <c r="B26996" s="62" t="str">
        <f>IF(AND('领用录入（明细）'!D:D=$F$4,'领用录入（明细）'!C:C&gt;=$J$4,'领用录入（明细）'!C:C&lt;=$L$4),ROW(),"-")</f>
        <v>-</v>
      </c>
    </row>
    <row r="26997" customHeight="1" spans="2:2">
      <c r="B26997" s="62" t="str">
        <f>IF(AND('领用录入（明细）'!D:D=$F$4,'领用录入（明细）'!C:C&gt;=$J$4,'领用录入（明细）'!C:C&lt;=$L$4),ROW(),"-")</f>
        <v>-</v>
      </c>
    </row>
    <row r="26998" customHeight="1" spans="2:2">
      <c r="B26998" s="62" t="str">
        <f>IF(AND('领用录入（明细）'!D:D=$F$4,'领用录入（明细）'!C:C&gt;=$J$4,'领用录入（明细）'!C:C&lt;=$L$4),ROW(),"-")</f>
        <v>-</v>
      </c>
    </row>
    <row r="26999" customHeight="1" spans="2:2">
      <c r="B26999" s="62" t="str">
        <f>IF(AND('领用录入（明细）'!D:D=$F$4,'领用录入（明细）'!C:C&gt;=$J$4,'领用录入（明细）'!C:C&lt;=$L$4),ROW(),"-")</f>
        <v>-</v>
      </c>
    </row>
    <row r="27000" customHeight="1" spans="2:2">
      <c r="B27000" s="62" t="str">
        <f>IF(AND('领用录入（明细）'!D:D=$F$4,'领用录入（明细）'!C:C&gt;=$J$4,'领用录入（明细）'!C:C&lt;=$L$4),ROW(),"-")</f>
        <v>-</v>
      </c>
    </row>
    <row r="27001" customHeight="1" spans="2:2">
      <c r="B27001" s="62" t="str">
        <f>IF(AND('领用录入（明细）'!D:D=$F$4,'领用录入（明细）'!C:C&gt;=$J$4,'领用录入（明细）'!C:C&lt;=$L$4),ROW(),"-")</f>
        <v>-</v>
      </c>
    </row>
    <row r="27002" customHeight="1" spans="2:2">
      <c r="B27002" s="62" t="str">
        <f>IF(AND('领用录入（明细）'!D:D=$F$4,'领用录入（明细）'!C:C&gt;=$J$4,'领用录入（明细）'!C:C&lt;=$L$4),ROW(),"-")</f>
        <v>-</v>
      </c>
    </row>
    <row r="27003" customHeight="1" spans="2:2">
      <c r="B27003" s="62" t="str">
        <f>IF(AND('领用录入（明细）'!D:D=$F$4,'领用录入（明细）'!C:C&gt;=$J$4,'领用录入（明细）'!C:C&lt;=$L$4),ROW(),"-")</f>
        <v>-</v>
      </c>
    </row>
    <row r="27004" customHeight="1" spans="2:2">
      <c r="B27004" s="62" t="str">
        <f>IF(AND('领用录入（明细）'!D:D=$F$4,'领用录入（明细）'!C:C&gt;=$J$4,'领用录入（明细）'!C:C&lt;=$L$4),ROW(),"-")</f>
        <v>-</v>
      </c>
    </row>
    <row r="27005" customHeight="1" spans="2:2">
      <c r="B27005" s="62" t="str">
        <f>IF(AND('领用录入（明细）'!D:D=$F$4,'领用录入（明细）'!C:C&gt;=$J$4,'领用录入（明细）'!C:C&lt;=$L$4),ROW(),"-")</f>
        <v>-</v>
      </c>
    </row>
    <row r="27006" customHeight="1" spans="2:2">
      <c r="B27006" s="62" t="str">
        <f>IF(AND('领用录入（明细）'!D:D=$F$4,'领用录入（明细）'!C:C&gt;=$J$4,'领用录入（明细）'!C:C&lt;=$L$4),ROW(),"-")</f>
        <v>-</v>
      </c>
    </row>
    <row r="27007" customHeight="1" spans="2:2">
      <c r="B27007" s="62" t="str">
        <f>IF(AND('领用录入（明细）'!D:D=$F$4,'领用录入（明细）'!C:C&gt;=$J$4,'领用录入（明细）'!C:C&lt;=$L$4),ROW(),"-")</f>
        <v>-</v>
      </c>
    </row>
    <row r="27008" customHeight="1" spans="2:2">
      <c r="B27008" s="62" t="str">
        <f>IF(AND('领用录入（明细）'!D:D=$F$4,'领用录入（明细）'!C:C&gt;=$J$4,'领用录入（明细）'!C:C&lt;=$L$4),ROW(),"-")</f>
        <v>-</v>
      </c>
    </row>
    <row r="27009" customHeight="1" spans="2:2">
      <c r="B27009" s="62" t="str">
        <f>IF(AND('领用录入（明细）'!D:D=$F$4,'领用录入（明细）'!C:C&gt;=$J$4,'领用录入（明细）'!C:C&lt;=$L$4),ROW(),"-")</f>
        <v>-</v>
      </c>
    </row>
    <row r="27010" customHeight="1" spans="2:2">
      <c r="B27010" s="62" t="str">
        <f>IF(AND('领用录入（明细）'!D:D=$F$4,'领用录入（明细）'!C:C&gt;=$J$4,'领用录入（明细）'!C:C&lt;=$L$4),ROW(),"-")</f>
        <v>-</v>
      </c>
    </row>
    <row r="27011" customHeight="1" spans="2:2">
      <c r="B27011" s="62" t="str">
        <f>IF(AND('领用录入（明细）'!D:D=$F$4,'领用录入（明细）'!C:C&gt;=$J$4,'领用录入（明细）'!C:C&lt;=$L$4),ROW(),"-")</f>
        <v>-</v>
      </c>
    </row>
    <row r="27012" customHeight="1" spans="2:2">
      <c r="B27012" s="62" t="str">
        <f>IF(AND('领用录入（明细）'!D:D=$F$4,'领用录入（明细）'!C:C&gt;=$J$4,'领用录入（明细）'!C:C&lt;=$L$4),ROW(),"-")</f>
        <v>-</v>
      </c>
    </row>
    <row r="27013" customHeight="1" spans="2:2">
      <c r="B27013" s="62" t="str">
        <f>IF(AND('领用录入（明细）'!D:D=$F$4,'领用录入（明细）'!C:C&gt;=$J$4,'领用录入（明细）'!C:C&lt;=$L$4),ROW(),"-")</f>
        <v>-</v>
      </c>
    </row>
    <row r="27014" customHeight="1" spans="2:2">
      <c r="B27014" s="62" t="str">
        <f>IF(AND('领用录入（明细）'!D:D=$F$4,'领用录入（明细）'!C:C&gt;=$J$4,'领用录入（明细）'!C:C&lt;=$L$4),ROW(),"-")</f>
        <v>-</v>
      </c>
    </row>
    <row r="27015" customHeight="1" spans="2:2">
      <c r="B27015" s="62" t="str">
        <f>IF(AND('领用录入（明细）'!D:D=$F$4,'领用录入（明细）'!C:C&gt;=$J$4,'领用录入（明细）'!C:C&lt;=$L$4),ROW(),"-")</f>
        <v>-</v>
      </c>
    </row>
    <row r="27016" customHeight="1" spans="2:2">
      <c r="B27016" s="62" t="str">
        <f>IF(AND('领用录入（明细）'!D:D=$F$4,'领用录入（明细）'!C:C&gt;=$J$4,'领用录入（明细）'!C:C&lt;=$L$4),ROW(),"-")</f>
        <v>-</v>
      </c>
    </row>
    <row r="27017" customHeight="1" spans="2:2">
      <c r="B27017" s="62" t="str">
        <f>IF(AND('领用录入（明细）'!D:D=$F$4,'领用录入（明细）'!C:C&gt;=$J$4,'领用录入（明细）'!C:C&lt;=$L$4),ROW(),"-")</f>
        <v>-</v>
      </c>
    </row>
    <row r="27018" customHeight="1" spans="2:2">
      <c r="B27018" s="62" t="str">
        <f>IF(AND('领用录入（明细）'!D:D=$F$4,'领用录入（明细）'!C:C&gt;=$J$4,'领用录入（明细）'!C:C&lt;=$L$4),ROW(),"-")</f>
        <v>-</v>
      </c>
    </row>
    <row r="27019" customHeight="1" spans="2:2">
      <c r="B27019" s="62" t="str">
        <f>IF(AND('领用录入（明细）'!D:D=$F$4,'领用录入（明细）'!C:C&gt;=$J$4,'领用录入（明细）'!C:C&lt;=$L$4),ROW(),"-")</f>
        <v>-</v>
      </c>
    </row>
    <row r="27020" customHeight="1" spans="2:2">
      <c r="B27020" s="62" t="str">
        <f>IF(AND('领用录入（明细）'!D:D=$F$4,'领用录入（明细）'!C:C&gt;=$J$4,'领用录入（明细）'!C:C&lt;=$L$4),ROW(),"-")</f>
        <v>-</v>
      </c>
    </row>
    <row r="27021" customHeight="1" spans="2:2">
      <c r="B27021" s="62" t="str">
        <f>IF(AND('领用录入（明细）'!D:D=$F$4,'领用录入（明细）'!C:C&gt;=$J$4,'领用录入（明细）'!C:C&lt;=$L$4),ROW(),"-")</f>
        <v>-</v>
      </c>
    </row>
    <row r="27022" customHeight="1" spans="2:2">
      <c r="B27022" s="62" t="str">
        <f>IF(AND('领用录入（明细）'!D:D=$F$4,'领用录入（明细）'!C:C&gt;=$J$4,'领用录入（明细）'!C:C&lt;=$L$4),ROW(),"-")</f>
        <v>-</v>
      </c>
    </row>
    <row r="27023" customHeight="1" spans="2:2">
      <c r="B27023" s="62" t="str">
        <f>IF(AND('领用录入（明细）'!D:D=$F$4,'领用录入（明细）'!C:C&gt;=$J$4,'领用录入（明细）'!C:C&lt;=$L$4),ROW(),"-")</f>
        <v>-</v>
      </c>
    </row>
    <row r="27024" customHeight="1" spans="2:2">
      <c r="B27024" s="62" t="str">
        <f>IF(AND('领用录入（明细）'!D:D=$F$4,'领用录入（明细）'!C:C&gt;=$J$4,'领用录入（明细）'!C:C&lt;=$L$4),ROW(),"-")</f>
        <v>-</v>
      </c>
    </row>
    <row r="27025" customHeight="1" spans="2:2">
      <c r="B27025" s="62" t="str">
        <f>IF(AND('领用录入（明细）'!D:D=$F$4,'领用录入（明细）'!C:C&gt;=$J$4,'领用录入（明细）'!C:C&lt;=$L$4),ROW(),"-")</f>
        <v>-</v>
      </c>
    </row>
    <row r="27026" customHeight="1" spans="2:2">
      <c r="B27026" s="62" t="str">
        <f>IF(AND('领用录入（明细）'!D:D=$F$4,'领用录入（明细）'!C:C&gt;=$J$4,'领用录入（明细）'!C:C&lt;=$L$4),ROW(),"-")</f>
        <v>-</v>
      </c>
    </row>
    <row r="27027" customHeight="1" spans="2:2">
      <c r="B27027" s="62" t="str">
        <f>IF(AND('领用录入（明细）'!D:D=$F$4,'领用录入（明细）'!C:C&gt;=$J$4,'领用录入（明细）'!C:C&lt;=$L$4),ROW(),"-")</f>
        <v>-</v>
      </c>
    </row>
    <row r="27028" customHeight="1" spans="2:2">
      <c r="B27028" s="62" t="str">
        <f>IF(AND('领用录入（明细）'!D:D=$F$4,'领用录入（明细）'!C:C&gt;=$J$4,'领用录入（明细）'!C:C&lt;=$L$4),ROW(),"-")</f>
        <v>-</v>
      </c>
    </row>
    <row r="27029" customHeight="1" spans="2:2">
      <c r="B27029" s="62" t="str">
        <f>IF(AND('领用录入（明细）'!D:D=$F$4,'领用录入（明细）'!C:C&gt;=$J$4,'领用录入（明细）'!C:C&lt;=$L$4),ROW(),"-")</f>
        <v>-</v>
      </c>
    </row>
    <row r="27030" customHeight="1" spans="2:2">
      <c r="B27030" s="62" t="str">
        <f>IF(AND('领用录入（明细）'!D:D=$F$4,'领用录入（明细）'!C:C&gt;=$J$4,'领用录入（明细）'!C:C&lt;=$L$4),ROW(),"-")</f>
        <v>-</v>
      </c>
    </row>
    <row r="27031" customHeight="1" spans="2:2">
      <c r="B27031" s="62" t="str">
        <f>IF(AND('领用录入（明细）'!D:D=$F$4,'领用录入（明细）'!C:C&gt;=$J$4,'领用录入（明细）'!C:C&lt;=$L$4),ROW(),"-")</f>
        <v>-</v>
      </c>
    </row>
    <row r="27032" customHeight="1" spans="2:2">
      <c r="B27032" s="62" t="str">
        <f>IF(AND('领用录入（明细）'!D:D=$F$4,'领用录入（明细）'!C:C&gt;=$J$4,'领用录入（明细）'!C:C&lt;=$L$4),ROW(),"-")</f>
        <v>-</v>
      </c>
    </row>
    <row r="27033" customHeight="1" spans="2:2">
      <c r="B27033" s="62" t="str">
        <f>IF(AND('领用录入（明细）'!D:D=$F$4,'领用录入（明细）'!C:C&gt;=$J$4,'领用录入（明细）'!C:C&lt;=$L$4),ROW(),"-")</f>
        <v>-</v>
      </c>
    </row>
    <row r="27034" customHeight="1" spans="2:2">
      <c r="B27034" s="62" t="str">
        <f>IF(AND('领用录入（明细）'!D:D=$F$4,'领用录入（明细）'!C:C&gt;=$J$4,'领用录入（明细）'!C:C&lt;=$L$4),ROW(),"-")</f>
        <v>-</v>
      </c>
    </row>
    <row r="27035" customHeight="1" spans="2:2">
      <c r="B27035" s="62" t="str">
        <f>IF(AND('领用录入（明细）'!D:D=$F$4,'领用录入（明细）'!C:C&gt;=$J$4,'领用录入（明细）'!C:C&lt;=$L$4),ROW(),"-")</f>
        <v>-</v>
      </c>
    </row>
    <row r="27036" customHeight="1" spans="2:2">
      <c r="B27036" s="62" t="str">
        <f>IF(AND('领用录入（明细）'!D:D=$F$4,'领用录入（明细）'!C:C&gt;=$J$4,'领用录入（明细）'!C:C&lt;=$L$4),ROW(),"-")</f>
        <v>-</v>
      </c>
    </row>
    <row r="27037" customHeight="1" spans="2:2">
      <c r="B27037" s="62" t="str">
        <f>IF(AND('领用录入（明细）'!D:D=$F$4,'领用录入（明细）'!C:C&gt;=$J$4,'领用录入（明细）'!C:C&lt;=$L$4),ROW(),"-")</f>
        <v>-</v>
      </c>
    </row>
    <row r="27038" customHeight="1" spans="2:2">
      <c r="B27038" s="62" t="str">
        <f>IF(AND('领用录入（明细）'!D:D=$F$4,'领用录入（明细）'!C:C&gt;=$J$4,'领用录入（明细）'!C:C&lt;=$L$4),ROW(),"-")</f>
        <v>-</v>
      </c>
    </row>
    <row r="27039" customHeight="1" spans="2:2">
      <c r="B27039" s="62" t="str">
        <f>IF(AND('领用录入（明细）'!D:D=$F$4,'领用录入（明细）'!C:C&gt;=$J$4,'领用录入（明细）'!C:C&lt;=$L$4),ROW(),"-")</f>
        <v>-</v>
      </c>
    </row>
    <row r="27040" customHeight="1" spans="2:2">
      <c r="B27040" s="62" t="str">
        <f>IF(AND('领用录入（明细）'!D:D=$F$4,'领用录入（明细）'!C:C&gt;=$J$4,'领用录入（明细）'!C:C&lt;=$L$4),ROW(),"-")</f>
        <v>-</v>
      </c>
    </row>
    <row r="27041" customHeight="1" spans="2:2">
      <c r="B27041" s="62" t="str">
        <f>IF(AND('领用录入（明细）'!D:D=$F$4,'领用录入（明细）'!C:C&gt;=$J$4,'领用录入（明细）'!C:C&lt;=$L$4),ROW(),"-")</f>
        <v>-</v>
      </c>
    </row>
    <row r="27042" customHeight="1" spans="2:2">
      <c r="B27042" s="62" t="str">
        <f>IF(AND('领用录入（明细）'!D:D=$F$4,'领用录入（明细）'!C:C&gt;=$J$4,'领用录入（明细）'!C:C&lt;=$L$4),ROW(),"-")</f>
        <v>-</v>
      </c>
    </row>
    <row r="27043" customHeight="1" spans="2:2">
      <c r="B27043" s="62" t="str">
        <f>IF(AND('领用录入（明细）'!D:D=$F$4,'领用录入（明细）'!C:C&gt;=$J$4,'领用录入（明细）'!C:C&lt;=$L$4),ROW(),"-")</f>
        <v>-</v>
      </c>
    </row>
    <row r="27044" customHeight="1" spans="2:2">
      <c r="B27044" s="62" t="str">
        <f>IF(AND('领用录入（明细）'!D:D=$F$4,'领用录入（明细）'!C:C&gt;=$J$4,'领用录入（明细）'!C:C&lt;=$L$4),ROW(),"-")</f>
        <v>-</v>
      </c>
    </row>
    <row r="27045" customHeight="1" spans="2:2">
      <c r="B27045" s="62" t="str">
        <f>IF(AND('领用录入（明细）'!D:D=$F$4,'领用录入（明细）'!C:C&gt;=$J$4,'领用录入（明细）'!C:C&lt;=$L$4),ROW(),"-")</f>
        <v>-</v>
      </c>
    </row>
    <row r="27046" customHeight="1" spans="2:2">
      <c r="B27046" s="62" t="str">
        <f>IF(AND('领用录入（明细）'!D:D=$F$4,'领用录入（明细）'!C:C&gt;=$J$4,'领用录入（明细）'!C:C&lt;=$L$4),ROW(),"-")</f>
        <v>-</v>
      </c>
    </row>
    <row r="27047" customHeight="1" spans="2:2">
      <c r="B27047" s="62" t="str">
        <f>IF(AND('领用录入（明细）'!D:D=$F$4,'领用录入（明细）'!C:C&gt;=$J$4,'领用录入（明细）'!C:C&lt;=$L$4),ROW(),"-")</f>
        <v>-</v>
      </c>
    </row>
    <row r="27048" customHeight="1" spans="2:2">
      <c r="B27048" s="62" t="str">
        <f>IF(AND('领用录入（明细）'!D:D=$F$4,'领用录入（明细）'!C:C&gt;=$J$4,'领用录入（明细）'!C:C&lt;=$L$4),ROW(),"-")</f>
        <v>-</v>
      </c>
    </row>
    <row r="27049" customHeight="1" spans="2:2">
      <c r="B27049" s="62" t="str">
        <f>IF(AND('领用录入（明细）'!D:D=$F$4,'领用录入（明细）'!C:C&gt;=$J$4,'领用录入（明细）'!C:C&lt;=$L$4),ROW(),"-")</f>
        <v>-</v>
      </c>
    </row>
    <row r="27050" customHeight="1" spans="2:2">
      <c r="B27050" s="62" t="str">
        <f>IF(AND('领用录入（明细）'!D:D=$F$4,'领用录入（明细）'!C:C&gt;=$J$4,'领用录入（明细）'!C:C&lt;=$L$4),ROW(),"-")</f>
        <v>-</v>
      </c>
    </row>
    <row r="27051" customHeight="1" spans="2:2">
      <c r="B27051" s="62" t="str">
        <f>IF(AND('领用录入（明细）'!D:D=$F$4,'领用录入（明细）'!C:C&gt;=$J$4,'领用录入（明细）'!C:C&lt;=$L$4),ROW(),"-")</f>
        <v>-</v>
      </c>
    </row>
    <row r="27052" customHeight="1" spans="2:2">
      <c r="B27052" s="62" t="str">
        <f>IF(AND('领用录入（明细）'!D:D=$F$4,'领用录入（明细）'!C:C&gt;=$J$4,'领用录入（明细）'!C:C&lt;=$L$4),ROW(),"-")</f>
        <v>-</v>
      </c>
    </row>
    <row r="27053" customHeight="1" spans="2:2">
      <c r="B27053" s="62" t="str">
        <f>IF(AND('领用录入（明细）'!D:D=$F$4,'领用录入（明细）'!C:C&gt;=$J$4,'领用录入（明细）'!C:C&lt;=$L$4),ROW(),"-")</f>
        <v>-</v>
      </c>
    </row>
    <row r="27054" customHeight="1" spans="2:2">
      <c r="B27054" s="62" t="str">
        <f>IF(AND('领用录入（明细）'!D:D=$F$4,'领用录入（明细）'!C:C&gt;=$J$4,'领用录入（明细）'!C:C&lt;=$L$4),ROW(),"-")</f>
        <v>-</v>
      </c>
    </row>
    <row r="27055" customHeight="1" spans="2:2">
      <c r="B27055" s="62" t="str">
        <f>IF(AND('领用录入（明细）'!D:D=$F$4,'领用录入（明细）'!C:C&gt;=$J$4,'领用录入（明细）'!C:C&lt;=$L$4),ROW(),"-")</f>
        <v>-</v>
      </c>
    </row>
    <row r="27056" customHeight="1" spans="2:2">
      <c r="B27056" s="62" t="str">
        <f>IF(AND('领用录入（明细）'!D:D=$F$4,'领用录入（明细）'!C:C&gt;=$J$4,'领用录入（明细）'!C:C&lt;=$L$4),ROW(),"-")</f>
        <v>-</v>
      </c>
    </row>
    <row r="27057" customHeight="1" spans="2:2">
      <c r="B27057" s="62" t="str">
        <f>IF(AND('领用录入（明细）'!D:D=$F$4,'领用录入（明细）'!C:C&gt;=$J$4,'领用录入（明细）'!C:C&lt;=$L$4),ROW(),"-")</f>
        <v>-</v>
      </c>
    </row>
    <row r="27058" customHeight="1" spans="2:2">
      <c r="B27058" s="62" t="str">
        <f>IF(AND('领用录入（明细）'!D:D=$F$4,'领用录入（明细）'!C:C&gt;=$J$4,'领用录入（明细）'!C:C&lt;=$L$4),ROW(),"-")</f>
        <v>-</v>
      </c>
    </row>
    <row r="27059" customHeight="1" spans="2:2">
      <c r="B27059" s="62" t="str">
        <f>IF(AND('领用录入（明细）'!D:D=$F$4,'领用录入（明细）'!C:C&gt;=$J$4,'领用录入（明细）'!C:C&lt;=$L$4),ROW(),"-")</f>
        <v>-</v>
      </c>
    </row>
    <row r="27060" customHeight="1" spans="2:2">
      <c r="B27060" s="62" t="str">
        <f>IF(AND('领用录入（明细）'!D:D=$F$4,'领用录入（明细）'!C:C&gt;=$J$4,'领用录入（明细）'!C:C&lt;=$L$4),ROW(),"-")</f>
        <v>-</v>
      </c>
    </row>
    <row r="27061" customHeight="1" spans="2:2">
      <c r="B27061" s="62" t="str">
        <f>IF(AND('领用录入（明细）'!D:D=$F$4,'领用录入（明细）'!C:C&gt;=$J$4,'领用录入（明细）'!C:C&lt;=$L$4),ROW(),"-")</f>
        <v>-</v>
      </c>
    </row>
    <row r="27062" customHeight="1" spans="2:2">
      <c r="B27062" s="62" t="str">
        <f>IF(AND('领用录入（明细）'!D:D=$F$4,'领用录入（明细）'!C:C&gt;=$J$4,'领用录入（明细）'!C:C&lt;=$L$4),ROW(),"-")</f>
        <v>-</v>
      </c>
    </row>
    <row r="27063" customHeight="1" spans="2:2">
      <c r="B27063" s="62" t="str">
        <f>IF(AND('领用录入（明细）'!D:D=$F$4,'领用录入（明细）'!C:C&gt;=$J$4,'领用录入（明细）'!C:C&lt;=$L$4),ROW(),"-")</f>
        <v>-</v>
      </c>
    </row>
    <row r="27064" customHeight="1" spans="2:2">
      <c r="B27064" s="62" t="str">
        <f>IF(AND('领用录入（明细）'!D:D=$F$4,'领用录入（明细）'!C:C&gt;=$J$4,'领用录入（明细）'!C:C&lt;=$L$4),ROW(),"-")</f>
        <v>-</v>
      </c>
    </row>
    <row r="27065" customHeight="1" spans="2:2">
      <c r="B27065" s="62" t="str">
        <f>IF(AND('领用录入（明细）'!D:D=$F$4,'领用录入（明细）'!C:C&gt;=$J$4,'领用录入（明细）'!C:C&lt;=$L$4),ROW(),"-")</f>
        <v>-</v>
      </c>
    </row>
    <row r="27066" customHeight="1" spans="2:2">
      <c r="B27066" s="62" t="str">
        <f>IF(AND('领用录入（明细）'!D:D=$F$4,'领用录入（明细）'!C:C&gt;=$J$4,'领用录入（明细）'!C:C&lt;=$L$4),ROW(),"-")</f>
        <v>-</v>
      </c>
    </row>
    <row r="27067" customHeight="1" spans="2:2">
      <c r="B27067" s="62" t="str">
        <f>IF(AND('领用录入（明细）'!D:D=$F$4,'领用录入（明细）'!C:C&gt;=$J$4,'领用录入（明细）'!C:C&lt;=$L$4),ROW(),"-")</f>
        <v>-</v>
      </c>
    </row>
    <row r="27068" customHeight="1" spans="2:2">
      <c r="B27068" s="62" t="str">
        <f>IF(AND('领用录入（明细）'!D:D=$F$4,'领用录入（明细）'!C:C&gt;=$J$4,'领用录入（明细）'!C:C&lt;=$L$4),ROW(),"-")</f>
        <v>-</v>
      </c>
    </row>
    <row r="27069" customHeight="1" spans="2:2">
      <c r="B27069" s="62" t="str">
        <f>IF(AND('领用录入（明细）'!D:D=$F$4,'领用录入（明细）'!C:C&gt;=$J$4,'领用录入（明细）'!C:C&lt;=$L$4),ROW(),"-")</f>
        <v>-</v>
      </c>
    </row>
    <row r="27070" customHeight="1" spans="2:2">
      <c r="B27070" s="62" t="str">
        <f>IF(AND('领用录入（明细）'!D:D=$F$4,'领用录入（明细）'!C:C&gt;=$J$4,'领用录入（明细）'!C:C&lt;=$L$4),ROW(),"-")</f>
        <v>-</v>
      </c>
    </row>
    <row r="27071" customHeight="1" spans="2:2">
      <c r="B27071" s="62" t="str">
        <f>IF(AND('领用录入（明细）'!D:D=$F$4,'领用录入（明细）'!C:C&gt;=$J$4,'领用录入（明细）'!C:C&lt;=$L$4),ROW(),"-")</f>
        <v>-</v>
      </c>
    </row>
    <row r="27072" customHeight="1" spans="2:2">
      <c r="B27072" s="62" t="str">
        <f>IF(AND('领用录入（明细）'!D:D=$F$4,'领用录入（明细）'!C:C&gt;=$J$4,'领用录入（明细）'!C:C&lt;=$L$4),ROW(),"-")</f>
        <v>-</v>
      </c>
    </row>
    <row r="27073" customHeight="1" spans="2:2">
      <c r="B27073" s="62" t="str">
        <f>IF(AND('领用录入（明细）'!D:D=$F$4,'领用录入（明细）'!C:C&gt;=$J$4,'领用录入（明细）'!C:C&lt;=$L$4),ROW(),"-")</f>
        <v>-</v>
      </c>
    </row>
    <row r="27074" customHeight="1" spans="2:2">
      <c r="B27074" s="62" t="str">
        <f>IF(AND('领用录入（明细）'!D:D=$F$4,'领用录入（明细）'!C:C&gt;=$J$4,'领用录入（明细）'!C:C&lt;=$L$4),ROW(),"-")</f>
        <v>-</v>
      </c>
    </row>
    <row r="27075" customHeight="1" spans="2:2">
      <c r="B27075" s="62" t="str">
        <f>IF(AND('领用录入（明细）'!D:D=$F$4,'领用录入（明细）'!C:C&gt;=$J$4,'领用录入（明细）'!C:C&lt;=$L$4),ROW(),"-")</f>
        <v>-</v>
      </c>
    </row>
    <row r="27076" customHeight="1" spans="2:2">
      <c r="B27076" s="62" t="str">
        <f>IF(AND('领用录入（明细）'!D:D=$F$4,'领用录入（明细）'!C:C&gt;=$J$4,'领用录入（明细）'!C:C&lt;=$L$4),ROW(),"-")</f>
        <v>-</v>
      </c>
    </row>
    <row r="27077" customHeight="1" spans="2:2">
      <c r="B27077" s="62" t="str">
        <f>IF(AND('领用录入（明细）'!D:D=$F$4,'领用录入（明细）'!C:C&gt;=$J$4,'领用录入（明细）'!C:C&lt;=$L$4),ROW(),"-")</f>
        <v>-</v>
      </c>
    </row>
    <row r="27078" customHeight="1" spans="2:2">
      <c r="B27078" s="62" t="str">
        <f>IF(AND('领用录入（明细）'!D:D=$F$4,'领用录入（明细）'!C:C&gt;=$J$4,'领用录入（明细）'!C:C&lt;=$L$4),ROW(),"-")</f>
        <v>-</v>
      </c>
    </row>
    <row r="27079" customHeight="1" spans="2:2">
      <c r="B27079" s="62" t="str">
        <f>IF(AND('领用录入（明细）'!D:D=$F$4,'领用录入（明细）'!C:C&gt;=$J$4,'领用录入（明细）'!C:C&lt;=$L$4),ROW(),"-")</f>
        <v>-</v>
      </c>
    </row>
    <row r="27080" customHeight="1" spans="2:2">
      <c r="B27080" s="62" t="str">
        <f>IF(AND('领用录入（明细）'!D:D=$F$4,'领用录入（明细）'!C:C&gt;=$J$4,'领用录入（明细）'!C:C&lt;=$L$4),ROW(),"-")</f>
        <v>-</v>
      </c>
    </row>
    <row r="27081" customHeight="1" spans="2:2">
      <c r="B27081" s="62" t="str">
        <f>IF(AND('领用录入（明细）'!D:D=$F$4,'领用录入（明细）'!C:C&gt;=$J$4,'领用录入（明细）'!C:C&lt;=$L$4),ROW(),"-")</f>
        <v>-</v>
      </c>
    </row>
    <row r="27082" customHeight="1" spans="2:2">
      <c r="B27082" s="62" t="str">
        <f>IF(AND('领用录入（明细）'!D:D=$F$4,'领用录入（明细）'!C:C&gt;=$J$4,'领用录入（明细）'!C:C&lt;=$L$4),ROW(),"-")</f>
        <v>-</v>
      </c>
    </row>
    <row r="27083" customHeight="1" spans="2:2">
      <c r="B27083" s="62" t="str">
        <f>IF(AND('领用录入（明细）'!D:D=$F$4,'领用录入（明细）'!C:C&gt;=$J$4,'领用录入（明细）'!C:C&lt;=$L$4),ROW(),"-")</f>
        <v>-</v>
      </c>
    </row>
    <row r="27084" customHeight="1" spans="2:2">
      <c r="B27084" s="62" t="str">
        <f>IF(AND('领用录入（明细）'!D:D=$F$4,'领用录入（明细）'!C:C&gt;=$J$4,'领用录入（明细）'!C:C&lt;=$L$4),ROW(),"-")</f>
        <v>-</v>
      </c>
    </row>
    <row r="27085" customHeight="1" spans="2:2">
      <c r="B27085" s="62" t="str">
        <f>IF(AND('领用录入（明细）'!D:D=$F$4,'领用录入（明细）'!C:C&gt;=$J$4,'领用录入（明细）'!C:C&lt;=$L$4),ROW(),"-")</f>
        <v>-</v>
      </c>
    </row>
    <row r="27086" customHeight="1" spans="2:2">
      <c r="B27086" s="62" t="str">
        <f>IF(AND('领用录入（明细）'!D:D=$F$4,'领用录入（明细）'!C:C&gt;=$J$4,'领用录入（明细）'!C:C&lt;=$L$4),ROW(),"-")</f>
        <v>-</v>
      </c>
    </row>
    <row r="27087" customHeight="1" spans="2:2">
      <c r="B27087" s="62" t="str">
        <f>IF(AND('领用录入（明细）'!D:D=$F$4,'领用录入（明细）'!C:C&gt;=$J$4,'领用录入（明细）'!C:C&lt;=$L$4),ROW(),"-")</f>
        <v>-</v>
      </c>
    </row>
    <row r="27088" customHeight="1" spans="2:2">
      <c r="B27088" s="62" t="str">
        <f>IF(AND('领用录入（明细）'!D:D=$F$4,'领用录入（明细）'!C:C&gt;=$J$4,'领用录入（明细）'!C:C&lt;=$L$4),ROW(),"-")</f>
        <v>-</v>
      </c>
    </row>
    <row r="27089" customHeight="1" spans="2:2">
      <c r="B27089" s="62" t="str">
        <f>IF(AND('领用录入（明细）'!D:D=$F$4,'领用录入（明细）'!C:C&gt;=$J$4,'领用录入（明细）'!C:C&lt;=$L$4),ROW(),"-")</f>
        <v>-</v>
      </c>
    </row>
    <row r="27090" customHeight="1" spans="2:2">
      <c r="B27090" s="62" t="str">
        <f>IF(AND('领用录入（明细）'!D:D=$F$4,'领用录入（明细）'!C:C&gt;=$J$4,'领用录入（明细）'!C:C&lt;=$L$4),ROW(),"-")</f>
        <v>-</v>
      </c>
    </row>
    <row r="27091" customHeight="1" spans="2:2">
      <c r="B27091" s="62" t="str">
        <f>IF(AND('领用录入（明细）'!D:D=$F$4,'领用录入（明细）'!C:C&gt;=$J$4,'领用录入（明细）'!C:C&lt;=$L$4),ROW(),"-")</f>
        <v>-</v>
      </c>
    </row>
    <row r="27092" customHeight="1" spans="2:2">
      <c r="B27092" s="62" t="str">
        <f>IF(AND('领用录入（明细）'!D:D=$F$4,'领用录入（明细）'!C:C&gt;=$J$4,'领用录入（明细）'!C:C&lt;=$L$4),ROW(),"-")</f>
        <v>-</v>
      </c>
    </row>
    <row r="27093" customHeight="1" spans="2:2">
      <c r="B27093" s="62" t="str">
        <f>IF(AND('领用录入（明细）'!D:D=$F$4,'领用录入（明细）'!C:C&gt;=$J$4,'领用录入（明细）'!C:C&lt;=$L$4),ROW(),"-")</f>
        <v>-</v>
      </c>
    </row>
    <row r="27094" customHeight="1" spans="2:2">
      <c r="B27094" s="62" t="str">
        <f>IF(AND('领用录入（明细）'!D:D=$F$4,'领用录入（明细）'!C:C&gt;=$J$4,'领用录入（明细）'!C:C&lt;=$L$4),ROW(),"-")</f>
        <v>-</v>
      </c>
    </row>
    <row r="27095" customHeight="1" spans="2:2">
      <c r="B27095" s="62" t="str">
        <f>IF(AND('领用录入（明细）'!D:D=$F$4,'领用录入（明细）'!C:C&gt;=$J$4,'领用录入（明细）'!C:C&lt;=$L$4),ROW(),"-")</f>
        <v>-</v>
      </c>
    </row>
    <row r="27096" customHeight="1" spans="2:2">
      <c r="B27096" s="62" t="str">
        <f>IF(AND('领用录入（明细）'!D:D=$F$4,'领用录入（明细）'!C:C&gt;=$J$4,'领用录入（明细）'!C:C&lt;=$L$4),ROW(),"-")</f>
        <v>-</v>
      </c>
    </row>
    <row r="27097" customHeight="1" spans="2:2">
      <c r="B27097" s="62" t="str">
        <f>IF(AND('领用录入（明细）'!D:D=$F$4,'领用录入（明细）'!C:C&gt;=$J$4,'领用录入（明细）'!C:C&lt;=$L$4),ROW(),"-")</f>
        <v>-</v>
      </c>
    </row>
    <row r="27098" customHeight="1" spans="2:2">
      <c r="B27098" s="62" t="str">
        <f>IF(AND('领用录入（明细）'!D:D=$F$4,'领用录入（明细）'!C:C&gt;=$J$4,'领用录入（明细）'!C:C&lt;=$L$4),ROW(),"-")</f>
        <v>-</v>
      </c>
    </row>
    <row r="27099" customHeight="1" spans="2:2">
      <c r="B27099" s="62" t="str">
        <f>IF(AND('领用录入（明细）'!D:D=$F$4,'领用录入（明细）'!C:C&gt;=$J$4,'领用录入（明细）'!C:C&lt;=$L$4),ROW(),"-")</f>
        <v>-</v>
      </c>
    </row>
    <row r="27100" customHeight="1" spans="2:2">
      <c r="B27100" s="62" t="str">
        <f>IF(AND('领用录入（明细）'!D:D=$F$4,'领用录入（明细）'!C:C&gt;=$J$4,'领用录入（明细）'!C:C&lt;=$L$4),ROW(),"-")</f>
        <v>-</v>
      </c>
    </row>
    <row r="27101" customHeight="1" spans="2:2">
      <c r="B27101" s="62" t="str">
        <f>IF(AND('领用录入（明细）'!D:D=$F$4,'领用录入（明细）'!C:C&gt;=$J$4,'领用录入（明细）'!C:C&lt;=$L$4),ROW(),"-")</f>
        <v>-</v>
      </c>
    </row>
    <row r="27102" customHeight="1" spans="2:2">
      <c r="B27102" s="62" t="str">
        <f>IF(AND('领用录入（明细）'!D:D=$F$4,'领用录入（明细）'!C:C&gt;=$J$4,'领用录入（明细）'!C:C&lt;=$L$4),ROW(),"-")</f>
        <v>-</v>
      </c>
    </row>
    <row r="27103" customHeight="1" spans="2:2">
      <c r="B27103" s="62" t="str">
        <f>IF(AND('领用录入（明细）'!D:D=$F$4,'领用录入（明细）'!C:C&gt;=$J$4,'领用录入（明细）'!C:C&lt;=$L$4),ROW(),"-")</f>
        <v>-</v>
      </c>
    </row>
    <row r="27104" customHeight="1" spans="2:2">
      <c r="B27104" s="62" t="str">
        <f>IF(AND('领用录入（明细）'!D:D=$F$4,'领用录入（明细）'!C:C&gt;=$J$4,'领用录入（明细）'!C:C&lt;=$L$4),ROW(),"-")</f>
        <v>-</v>
      </c>
    </row>
    <row r="27105" customHeight="1" spans="2:2">
      <c r="B27105" s="62" t="str">
        <f>IF(AND('领用录入（明细）'!D:D=$F$4,'领用录入（明细）'!C:C&gt;=$J$4,'领用录入（明细）'!C:C&lt;=$L$4),ROW(),"-")</f>
        <v>-</v>
      </c>
    </row>
    <row r="27106" customHeight="1" spans="2:2">
      <c r="B27106" s="62" t="str">
        <f>IF(AND('领用录入（明细）'!D:D=$F$4,'领用录入（明细）'!C:C&gt;=$J$4,'领用录入（明细）'!C:C&lt;=$L$4),ROW(),"-")</f>
        <v>-</v>
      </c>
    </row>
    <row r="27107" customHeight="1" spans="2:2">
      <c r="B27107" s="62" t="str">
        <f>IF(AND('领用录入（明细）'!D:D=$F$4,'领用录入（明细）'!C:C&gt;=$J$4,'领用录入（明细）'!C:C&lt;=$L$4),ROW(),"-")</f>
        <v>-</v>
      </c>
    </row>
    <row r="27108" customHeight="1" spans="2:2">
      <c r="B27108" s="62" t="str">
        <f>IF(AND('领用录入（明细）'!D:D=$F$4,'领用录入（明细）'!C:C&gt;=$J$4,'领用录入（明细）'!C:C&lt;=$L$4),ROW(),"-")</f>
        <v>-</v>
      </c>
    </row>
    <row r="27109" customHeight="1" spans="2:2">
      <c r="B27109" s="62" t="str">
        <f>IF(AND('领用录入（明细）'!D:D=$F$4,'领用录入（明细）'!C:C&gt;=$J$4,'领用录入（明细）'!C:C&lt;=$L$4),ROW(),"-")</f>
        <v>-</v>
      </c>
    </row>
    <row r="27110" customHeight="1" spans="2:2">
      <c r="B27110" s="62" t="str">
        <f>IF(AND('领用录入（明细）'!D:D=$F$4,'领用录入（明细）'!C:C&gt;=$J$4,'领用录入（明细）'!C:C&lt;=$L$4),ROW(),"-")</f>
        <v>-</v>
      </c>
    </row>
    <row r="27111" customHeight="1" spans="2:2">
      <c r="B27111" s="62" t="str">
        <f>IF(AND('领用录入（明细）'!D:D=$F$4,'领用录入（明细）'!C:C&gt;=$J$4,'领用录入（明细）'!C:C&lt;=$L$4),ROW(),"-")</f>
        <v>-</v>
      </c>
    </row>
    <row r="27112" customHeight="1" spans="2:2">
      <c r="B27112" s="62" t="str">
        <f>IF(AND('领用录入（明细）'!D:D=$F$4,'领用录入（明细）'!C:C&gt;=$J$4,'领用录入（明细）'!C:C&lt;=$L$4),ROW(),"-")</f>
        <v>-</v>
      </c>
    </row>
    <row r="27113" customHeight="1" spans="2:2">
      <c r="B27113" s="62" t="str">
        <f>IF(AND('领用录入（明细）'!D:D=$F$4,'领用录入（明细）'!C:C&gt;=$J$4,'领用录入（明细）'!C:C&lt;=$L$4),ROW(),"-")</f>
        <v>-</v>
      </c>
    </row>
    <row r="27114" customHeight="1" spans="2:2">
      <c r="B27114" s="62" t="str">
        <f>IF(AND('领用录入（明细）'!D:D=$F$4,'领用录入（明细）'!C:C&gt;=$J$4,'领用录入（明细）'!C:C&lt;=$L$4),ROW(),"-")</f>
        <v>-</v>
      </c>
    </row>
    <row r="27115" customHeight="1" spans="2:2">
      <c r="B27115" s="62" t="str">
        <f>IF(AND('领用录入（明细）'!D:D=$F$4,'领用录入（明细）'!C:C&gt;=$J$4,'领用录入（明细）'!C:C&lt;=$L$4),ROW(),"-")</f>
        <v>-</v>
      </c>
    </row>
    <row r="27116" customHeight="1" spans="2:2">
      <c r="B27116" s="62" t="str">
        <f>IF(AND('领用录入（明细）'!D:D=$F$4,'领用录入（明细）'!C:C&gt;=$J$4,'领用录入（明细）'!C:C&lt;=$L$4),ROW(),"-")</f>
        <v>-</v>
      </c>
    </row>
    <row r="27117" customHeight="1" spans="2:2">
      <c r="B27117" s="62" t="str">
        <f>IF(AND('领用录入（明细）'!D:D=$F$4,'领用录入（明细）'!C:C&gt;=$J$4,'领用录入（明细）'!C:C&lt;=$L$4),ROW(),"-")</f>
        <v>-</v>
      </c>
    </row>
    <row r="27118" customHeight="1" spans="2:2">
      <c r="B27118" s="62" t="str">
        <f>IF(AND('领用录入（明细）'!D:D=$F$4,'领用录入（明细）'!C:C&gt;=$J$4,'领用录入（明细）'!C:C&lt;=$L$4),ROW(),"-")</f>
        <v>-</v>
      </c>
    </row>
    <row r="27119" customHeight="1" spans="2:2">
      <c r="B27119" s="62" t="str">
        <f>IF(AND('领用录入（明细）'!D:D=$F$4,'领用录入（明细）'!C:C&gt;=$J$4,'领用录入（明细）'!C:C&lt;=$L$4),ROW(),"-")</f>
        <v>-</v>
      </c>
    </row>
    <row r="27120" customHeight="1" spans="2:2">
      <c r="B27120" s="62" t="str">
        <f>IF(AND('领用录入（明细）'!D:D=$F$4,'领用录入（明细）'!C:C&gt;=$J$4,'领用录入（明细）'!C:C&lt;=$L$4),ROW(),"-")</f>
        <v>-</v>
      </c>
    </row>
    <row r="27121" customHeight="1" spans="2:2">
      <c r="B27121" s="62" t="str">
        <f>IF(AND('领用录入（明细）'!D:D=$F$4,'领用录入（明细）'!C:C&gt;=$J$4,'领用录入（明细）'!C:C&lt;=$L$4),ROW(),"-")</f>
        <v>-</v>
      </c>
    </row>
    <row r="27122" customHeight="1" spans="2:2">
      <c r="B27122" s="62" t="str">
        <f>IF(AND('领用录入（明细）'!D:D=$F$4,'领用录入（明细）'!C:C&gt;=$J$4,'领用录入（明细）'!C:C&lt;=$L$4),ROW(),"-")</f>
        <v>-</v>
      </c>
    </row>
    <row r="27123" customHeight="1" spans="2:2">
      <c r="B27123" s="62" t="str">
        <f>IF(AND('领用录入（明细）'!D:D=$F$4,'领用录入（明细）'!C:C&gt;=$J$4,'领用录入（明细）'!C:C&lt;=$L$4),ROW(),"-")</f>
        <v>-</v>
      </c>
    </row>
    <row r="27124" customHeight="1" spans="2:2">
      <c r="B27124" s="62" t="str">
        <f>IF(AND('领用录入（明细）'!D:D=$F$4,'领用录入（明细）'!C:C&gt;=$J$4,'领用录入（明细）'!C:C&lt;=$L$4),ROW(),"-")</f>
        <v>-</v>
      </c>
    </row>
    <row r="27125" customHeight="1" spans="2:2">
      <c r="B27125" s="62" t="str">
        <f>IF(AND('领用录入（明细）'!D:D=$F$4,'领用录入（明细）'!C:C&gt;=$J$4,'领用录入（明细）'!C:C&lt;=$L$4),ROW(),"-")</f>
        <v>-</v>
      </c>
    </row>
    <row r="27126" customHeight="1" spans="2:2">
      <c r="B27126" s="62" t="str">
        <f>IF(AND('领用录入（明细）'!D:D=$F$4,'领用录入（明细）'!C:C&gt;=$J$4,'领用录入（明细）'!C:C&lt;=$L$4),ROW(),"-")</f>
        <v>-</v>
      </c>
    </row>
    <row r="27127" customHeight="1" spans="2:2">
      <c r="B27127" s="62" t="str">
        <f>IF(AND('领用录入（明细）'!D:D=$F$4,'领用录入（明细）'!C:C&gt;=$J$4,'领用录入（明细）'!C:C&lt;=$L$4),ROW(),"-")</f>
        <v>-</v>
      </c>
    </row>
    <row r="27128" customHeight="1" spans="2:2">
      <c r="B27128" s="62" t="str">
        <f>IF(AND('领用录入（明细）'!D:D=$F$4,'领用录入（明细）'!C:C&gt;=$J$4,'领用录入（明细）'!C:C&lt;=$L$4),ROW(),"-")</f>
        <v>-</v>
      </c>
    </row>
    <row r="27129" customHeight="1" spans="2:2">
      <c r="B27129" s="62" t="str">
        <f>IF(AND('领用录入（明细）'!D:D=$F$4,'领用录入（明细）'!C:C&gt;=$J$4,'领用录入（明细）'!C:C&lt;=$L$4),ROW(),"-")</f>
        <v>-</v>
      </c>
    </row>
    <row r="27130" customHeight="1" spans="2:2">
      <c r="B27130" s="62" t="str">
        <f>IF(AND('领用录入（明细）'!D:D=$F$4,'领用录入（明细）'!C:C&gt;=$J$4,'领用录入（明细）'!C:C&lt;=$L$4),ROW(),"-")</f>
        <v>-</v>
      </c>
    </row>
    <row r="27131" customHeight="1" spans="2:2">
      <c r="B27131" s="62" t="str">
        <f>IF(AND('领用录入（明细）'!D:D=$F$4,'领用录入（明细）'!C:C&gt;=$J$4,'领用录入（明细）'!C:C&lt;=$L$4),ROW(),"-")</f>
        <v>-</v>
      </c>
    </row>
    <row r="27132" customHeight="1" spans="2:2">
      <c r="B27132" s="62" t="str">
        <f>IF(AND('领用录入（明细）'!D:D=$F$4,'领用录入（明细）'!C:C&gt;=$J$4,'领用录入（明细）'!C:C&lt;=$L$4),ROW(),"-")</f>
        <v>-</v>
      </c>
    </row>
    <row r="27133" customHeight="1" spans="2:2">
      <c r="B27133" s="62" t="str">
        <f>IF(AND('领用录入（明细）'!D:D=$F$4,'领用录入（明细）'!C:C&gt;=$J$4,'领用录入（明细）'!C:C&lt;=$L$4),ROW(),"-")</f>
        <v>-</v>
      </c>
    </row>
    <row r="27134" customHeight="1" spans="2:2">
      <c r="B27134" s="62" t="str">
        <f>IF(AND('领用录入（明细）'!D:D=$F$4,'领用录入（明细）'!C:C&gt;=$J$4,'领用录入（明细）'!C:C&lt;=$L$4),ROW(),"-")</f>
        <v>-</v>
      </c>
    </row>
    <row r="27135" customHeight="1" spans="2:2">
      <c r="B27135" s="62" t="str">
        <f>IF(AND('领用录入（明细）'!D:D=$F$4,'领用录入（明细）'!C:C&gt;=$J$4,'领用录入（明细）'!C:C&lt;=$L$4),ROW(),"-")</f>
        <v>-</v>
      </c>
    </row>
    <row r="27136" customHeight="1" spans="2:2">
      <c r="B27136" s="62" t="str">
        <f>IF(AND('领用录入（明细）'!D:D=$F$4,'领用录入（明细）'!C:C&gt;=$J$4,'领用录入（明细）'!C:C&lt;=$L$4),ROW(),"-")</f>
        <v>-</v>
      </c>
    </row>
    <row r="27137" customHeight="1" spans="2:2">
      <c r="B27137" s="62" t="str">
        <f>IF(AND('领用录入（明细）'!D:D=$F$4,'领用录入（明细）'!C:C&gt;=$J$4,'领用录入（明细）'!C:C&lt;=$L$4),ROW(),"-")</f>
        <v>-</v>
      </c>
    </row>
    <row r="27138" customHeight="1" spans="2:2">
      <c r="B27138" s="62" t="str">
        <f>IF(AND('领用录入（明细）'!D:D=$F$4,'领用录入（明细）'!C:C&gt;=$J$4,'领用录入（明细）'!C:C&lt;=$L$4),ROW(),"-")</f>
        <v>-</v>
      </c>
    </row>
    <row r="27139" customHeight="1" spans="2:2">
      <c r="B27139" s="62" t="str">
        <f>IF(AND('领用录入（明细）'!D:D=$F$4,'领用录入（明细）'!C:C&gt;=$J$4,'领用录入（明细）'!C:C&lt;=$L$4),ROW(),"-")</f>
        <v>-</v>
      </c>
    </row>
    <row r="27140" customHeight="1" spans="2:2">
      <c r="B27140" s="62" t="str">
        <f>IF(AND('领用录入（明细）'!D:D=$F$4,'领用录入（明细）'!C:C&gt;=$J$4,'领用录入（明细）'!C:C&lt;=$L$4),ROW(),"-")</f>
        <v>-</v>
      </c>
    </row>
    <row r="27141" customHeight="1" spans="2:2">
      <c r="B27141" s="62" t="str">
        <f>IF(AND('领用录入（明细）'!D:D=$F$4,'领用录入（明细）'!C:C&gt;=$J$4,'领用录入（明细）'!C:C&lt;=$L$4),ROW(),"-")</f>
        <v>-</v>
      </c>
    </row>
    <row r="27142" customHeight="1" spans="2:2">
      <c r="B27142" s="62" t="str">
        <f>IF(AND('领用录入（明细）'!D:D=$F$4,'领用录入（明细）'!C:C&gt;=$J$4,'领用录入（明细）'!C:C&lt;=$L$4),ROW(),"-")</f>
        <v>-</v>
      </c>
    </row>
    <row r="27143" customHeight="1" spans="2:2">
      <c r="B27143" s="62" t="str">
        <f>IF(AND('领用录入（明细）'!D:D=$F$4,'领用录入（明细）'!C:C&gt;=$J$4,'领用录入（明细）'!C:C&lt;=$L$4),ROW(),"-")</f>
        <v>-</v>
      </c>
    </row>
    <row r="27144" customHeight="1" spans="2:2">
      <c r="B27144" s="62" t="str">
        <f>IF(AND('领用录入（明细）'!D:D=$F$4,'领用录入（明细）'!C:C&gt;=$J$4,'领用录入（明细）'!C:C&lt;=$L$4),ROW(),"-")</f>
        <v>-</v>
      </c>
    </row>
    <row r="27145" customHeight="1" spans="2:2">
      <c r="B27145" s="62" t="str">
        <f>IF(AND('领用录入（明细）'!D:D=$F$4,'领用录入（明细）'!C:C&gt;=$J$4,'领用录入（明细）'!C:C&lt;=$L$4),ROW(),"-")</f>
        <v>-</v>
      </c>
    </row>
    <row r="27146" customHeight="1" spans="2:2">
      <c r="B27146" s="62" t="str">
        <f>IF(AND('领用录入（明细）'!D:D=$F$4,'领用录入（明细）'!C:C&gt;=$J$4,'领用录入（明细）'!C:C&lt;=$L$4),ROW(),"-")</f>
        <v>-</v>
      </c>
    </row>
    <row r="27147" customHeight="1" spans="2:2">
      <c r="B27147" s="62" t="str">
        <f>IF(AND('领用录入（明细）'!D:D=$F$4,'领用录入（明细）'!C:C&gt;=$J$4,'领用录入（明细）'!C:C&lt;=$L$4),ROW(),"-")</f>
        <v>-</v>
      </c>
    </row>
    <row r="27148" customHeight="1" spans="2:2">
      <c r="B27148" s="62" t="str">
        <f>IF(AND('领用录入（明细）'!D:D=$F$4,'领用录入（明细）'!C:C&gt;=$J$4,'领用录入（明细）'!C:C&lt;=$L$4),ROW(),"-")</f>
        <v>-</v>
      </c>
    </row>
    <row r="27149" customHeight="1" spans="2:2">
      <c r="B27149" s="62" t="str">
        <f>IF(AND('领用录入（明细）'!D:D=$F$4,'领用录入（明细）'!C:C&gt;=$J$4,'领用录入（明细）'!C:C&lt;=$L$4),ROW(),"-")</f>
        <v>-</v>
      </c>
    </row>
    <row r="27150" customHeight="1" spans="2:2">
      <c r="B27150" s="62" t="str">
        <f>IF(AND('领用录入（明细）'!D:D=$F$4,'领用录入（明细）'!C:C&gt;=$J$4,'领用录入（明细）'!C:C&lt;=$L$4),ROW(),"-")</f>
        <v>-</v>
      </c>
    </row>
    <row r="27151" customHeight="1" spans="2:2">
      <c r="B27151" s="62" t="str">
        <f>IF(AND('领用录入（明细）'!D:D=$F$4,'领用录入（明细）'!C:C&gt;=$J$4,'领用录入（明细）'!C:C&lt;=$L$4),ROW(),"-")</f>
        <v>-</v>
      </c>
    </row>
    <row r="27152" customHeight="1" spans="2:2">
      <c r="B27152" s="62" t="str">
        <f>IF(AND('领用录入（明细）'!D:D=$F$4,'领用录入（明细）'!C:C&gt;=$J$4,'领用录入（明细）'!C:C&lt;=$L$4),ROW(),"-")</f>
        <v>-</v>
      </c>
    </row>
    <row r="27153" customHeight="1" spans="2:2">
      <c r="B27153" s="62" t="str">
        <f>IF(AND('领用录入（明细）'!D:D=$F$4,'领用录入（明细）'!C:C&gt;=$J$4,'领用录入（明细）'!C:C&lt;=$L$4),ROW(),"-")</f>
        <v>-</v>
      </c>
    </row>
    <row r="27154" customHeight="1" spans="2:2">
      <c r="B27154" s="62" t="str">
        <f>IF(AND('领用录入（明细）'!D:D=$F$4,'领用录入（明细）'!C:C&gt;=$J$4,'领用录入（明细）'!C:C&lt;=$L$4),ROW(),"-")</f>
        <v>-</v>
      </c>
    </row>
    <row r="27155" customHeight="1" spans="2:2">
      <c r="B27155" s="62" t="str">
        <f>IF(AND('领用录入（明细）'!D:D=$F$4,'领用录入（明细）'!C:C&gt;=$J$4,'领用录入（明细）'!C:C&lt;=$L$4),ROW(),"-")</f>
        <v>-</v>
      </c>
    </row>
    <row r="27156" customHeight="1" spans="2:2">
      <c r="B27156" s="62" t="str">
        <f>IF(AND('领用录入（明细）'!D:D=$F$4,'领用录入（明细）'!C:C&gt;=$J$4,'领用录入（明细）'!C:C&lt;=$L$4),ROW(),"-")</f>
        <v>-</v>
      </c>
    </row>
    <row r="27157" customHeight="1" spans="2:2">
      <c r="B27157" s="62" t="str">
        <f>IF(AND('领用录入（明细）'!D:D=$F$4,'领用录入（明细）'!C:C&gt;=$J$4,'领用录入（明细）'!C:C&lt;=$L$4),ROW(),"-")</f>
        <v>-</v>
      </c>
    </row>
    <row r="27158" customHeight="1" spans="2:2">
      <c r="B27158" s="62" t="str">
        <f>IF(AND('领用录入（明细）'!D:D=$F$4,'领用录入（明细）'!C:C&gt;=$J$4,'领用录入（明细）'!C:C&lt;=$L$4),ROW(),"-")</f>
        <v>-</v>
      </c>
    </row>
    <row r="27159" customHeight="1" spans="2:2">
      <c r="B27159" s="62" t="str">
        <f>IF(AND('领用录入（明细）'!D:D=$F$4,'领用录入（明细）'!C:C&gt;=$J$4,'领用录入（明细）'!C:C&lt;=$L$4),ROW(),"-")</f>
        <v>-</v>
      </c>
    </row>
    <row r="27160" customHeight="1" spans="2:2">
      <c r="B27160" s="62" t="str">
        <f>IF(AND('领用录入（明细）'!D:D=$F$4,'领用录入（明细）'!C:C&gt;=$J$4,'领用录入（明细）'!C:C&lt;=$L$4),ROW(),"-")</f>
        <v>-</v>
      </c>
    </row>
    <row r="27161" customHeight="1" spans="2:2">
      <c r="B27161" s="62" t="str">
        <f>IF(AND('领用录入（明细）'!D:D=$F$4,'领用录入（明细）'!C:C&gt;=$J$4,'领用录入（明细）'!C:C&lt;=$L$4),ROW(),"-")</f>
        <v>-</v>
      </c>
    </row>
    <row r="27162" customHeight="1" spans="2:2">
      <c r="B27162" s="62" t="str">
        <f>IF(AND('领用录入（明细）'!D:D=$F$4,'领用录入（明细）'!C:C&gt;=$J$4,'领用录入（明细）'!C:C&lt;=$L$4),ROW(),"-")</f>
        <v>-</v>
      </c>
    </row>
    <row r="27163" customHeight="1" spans="2:2">
      <c r="B27163" s="62" t="str">
        <f>IF(AND('领用录入（明细）'!D:D=$F$4,'领用录入（明细）'!C:C&gt;=$J$4,'领用录入（明细）'!C:C&lt;=$L$4),ROW(),"-")</f>
        <v>-</v>
      </c>
    </row>
    <row r="27164" customHeight="1" spans="2:2">
      <c r="B27164" s="62" t="str">
        <f>IF(AND('领用录入（明细）'!D:D=$F$4,'领用录入（明细）'!C:C&gt;=$J$4,'领用录入（明细）'!C:C&lt;=$L$4),ROW(),"-")</f>
        <v>-</v>
      </c>
    </row>
    <row r="27165" customHeight="1" spans="2:2">
      <c r="B27165" s="62" t="str">
        <f>IF(AND('领用录入（明细）'!D:D=$F$4,'领用录入（明细）'!C:C&gt;=$J$4,'领用录入（明细）'!C:C&lt;=$L$4),ROW(),"-")</f>
        <v>-</v>
      </c>
    </row>
    <row r="27166" customHeight="1" spans="2:2">
      <c r="B27166" s="62" t="str">
        <f>IF(AND('领用录入（明细）'!D:D=$F$4,'领用录入（明细）'!C:C&gt;=$J$4,'领用录入（明细）'!C:C&lt;=$L$4),ROW(),"-")</f>
        <v>-</v>
      </c>
    </row>
    <row r="27167" customHeight="1" spans="2:2">
      <c r="B27167" s="62" t="str">
        <f>IF(AND('领用录入（明细）'!D:D=$F$4,'领用录入（明细）'!C:C&gt;=$J$4,'领用录入（明细）'!C:C&lt;=$L$4),ROW(),"-")</f>
        <v>-</v>
      </c>
    </row>
    <row r="27168" customHeight="1" spans="2:2">
      <c r="B27168" s="62" t="str">
        <f>IF(AND('领用录入（明细）'!D:D=$F$4,'领用录入（明细）'!C:C&gt;=$J$4,'领用录入（明细）'!C:C&lt;=$L$4),ROW(),"-")</f>
        <v>-</v>
      </c>
    </row>
    <row r="27169" customHeight="1" spans="2:2">
      <c r="B27169" s="62" t="str">
        <f>IF(AND('领用录入（明细）'!D:D=$F$4,'领用录入（明细）'!C:C&gt;=$J$4,'领用录入（明细）'!C:C&lt;=$L$4),ROW(),"-")</f>
        <v>-</v>
      </c>
    </row>
    <row r="27170" customHeight="1" spans="2:2">
      <c r="B27170" s="62" t="str">
        <f>IF(AND('领用录入（明细）'!D:D=$F$4,'领用录入（明细）'!C:C&gt;=$J$4,'领用录入（明细）'!C:C&lt;=$L$4),ROW(),"-")</f>
        <v>-</v>
      </c>
    </row>
    <row r="27171" customHeight="1" spans="2:2">
      <c r="B27171" s="62" t="str">
        <f>IF(AND('领用录入（明细）'!D:D=$F$4,'领用录入（明细）'!C:C&gt;=$J$4,'领用录入（明细）'!C:C&lt;=$L$4),ROW(),"-")</f>
        <v>-</v>
      </c>
    </row>
    <row r="27172" customHeight="1" spans="2:2">
      <c r="B27172" s="62" t="str">
        <f>IF(AND('领用录入（明细）'!D:D=$F$4,'领用录入（明细）'!C:C&gt;=$J$4,'领用录入（明细）'!C:C&lt;=$L$4),ROW(),"-")</f>
        <v>-</v>
      </c>
    </row>
    <row r="27173" customHeight="1" spans="2:2">
      <c r="B27173" s="62" t="str">
        <f>IF(AND('领用录入（明细）'!D:D=$F$4,'领用录入（明细）'!C:C&gt;=$J$4,'领用录入（明细）'!C:C&lt;=$L$4),ROW(),"-")</f>
        <v>-</v>
      </c>
    </row>
    <row r="27174" customHeight="1" spans="2:2">
      <c r="B27174" s="62" t="str">
        <f>IF(AND('领用录入（明细）'!D:D=$F$4,'领用录入（明细）'!C:C&gt;=$J$4,'领用录入（明细）'!C:C&lt;=$L$4),ROW(),"-")</f>
        <v>-</v>
      </c>
    </row>
    <row r="27175" customHeight="1" spans="2:2">
      <c r="B27175" s="62" t="str">
        <f>IF(AND('领用录入（明细）'!D:D=$F$4,'领用录入（明细）'!C:C&gt;=$J$4,'领用录入（明细）'!C:C&lt;=$L$4),ROW(),"-")</f>
        <v>-</v>
      </c>
    </row>
    <row r="27176" customHeight="1" spans="2:2">
      <c r="B27176" s="62" t="str">
        <f>IF(AND('领用录入（明细）'!D:D=$F$4,'领用录入（明细）'!C:C&gt;=$J$4,'领用录入（明细）'!C:C&lt;=$L$4),ROW(),"-")</f>
        <v>-</v>
      </c>
    </row>
    <row r="27177" customHeight="1" spans="2:2">
      <c r="B27177" s="62" t="str">
        <f>IF(AND('领用录入（明细）'!D:D=$F$4,'领用录入（明细）'!C:C&gt;=$J$4,'领用录入（明细）'!C:C&lt;=$L$4),ROW(),"-")</f>
        <v>-</v>
      </c>
    </row>
    <row r="27178" customHeight="1" spans="2:2">
      <c r="B27178" s="62" t="str">
        <f>IF(AND('领用录入（明细）'!D:D=$F$4,'领用录入（明细）'!C:C&gt;=$J$4,'领用录入（明细）'!C:C&lt;=$L$4),ROW(),"-")</f>
        <v>-</v>
      </c>
    </row>
    <row r="27179" customHeight="1" spans="2:2">
      <c r="B27179" s="62" t="str">
        <f>IF(AND('领用录入（明细）'!D:D=$F$4,'领用录入（明细）'!C:C&gt;=$J$4,'领用录入（明细）'!C:C&lt;=$L$4),ROW(),"-")</f>
        <v>-</v>
      </c>
    </row>
    <row r="27180" customHeight="1" spans="2:2">
      <c r="B27180" s="62" t="str">
        <f>IF(AND('领用录入（明细）'!D:D=$F$4,'领用录入（明细）'!C:C&gt;=$J$4,'领用录入（明细）'!C:C&lt;=$L$4),ROW(),"-")</f>
        <v>-</v>
      </c>
    </row>
    <row r="27181" customHeight="1" spans="2:2">
      <c r="B27181" s="62" t="str">
        <f>IF(AND('领用录入（明细）'!D:D=$F$4,'领用录入（明细）'!C:C&gt;=$J$4,'领用录入（明细）'!C:C&lt;=$L$4),ROW(),"-")</f>
        <v>-</v>
      </c>
    </row>
    <row r="27182" customHeight="1" spans="2:2">
      <c r="B27182" s="62" t="str">
        <f>IF(AND('领用录入（明细）'!D:D=$F$4,'领用录入（明细）'!C:C&gt;=$J$4,'领用录入（明细）'!C:C&lt;=$L$4),ROW(),"-")</f>
        <v>-</v>
      </c>
    </row>
    <row r="27183" customHeight="1" spans="2:2">
      <c r="B27183" s="62" t="str">
        <f>IF(AND('领用录入（明细）'!D:D=$F$4,'领用录入（明细）'!C:C&gt;=$J$4,'领用录入（明细）'!C:C&lt;=$L$4),ROW(),"-")</f>
        <v>-</v>
      </c>
    </row>
    <row r="27184" customHeight="1" spans="2:2">
      <c r="B27184" s="62" t="str">
        <f>IF(AND('领用录入（明细）'!D:D=$F$4,'领用录入（明细）'!C:C&gt;=$J$4,'领用录入（明细）'!C:C&lt;=$L$4),ROW(),"-")</f>
        <v>-</v>
      </c>
    </row>
    <row r="27185" customHeight="1" spans="2:2">
      <c r="B27185" s="62" t="str">
        <f>IF(AND('领用录入（明细）'!D:D=$F$4,'领用录入（明细）'!C:C&gt;=$J$4,'领用录入（明细）'!C:C&lt;=$L$4),ROW(),"-")</f>
        <v>-</v>
      </c>
    </row>
    <row r="27186" customHeight="1" spans="2:2">
      <c r="B27186" s="62" t="str">
        <f>IF(AND('领用录入（明细）'!D:D=$F$4,'领用录入（明细）'!C:C&gt;=$J$4,'领用录入（明细）'!C:C&lt;=$L$4),ROW(),"-")</f>
        <v>-</v>
      </c>
    </row>
    <row r="27187" customHeight="1" spans="2:2">
      <c r="B27187" s="62" t="str">
        <f>IF(AND('领用录入（明细）'!D:D=$F$4,'领用录入（明细）'!C:C&gt;=$J$4,'领用录入（明细）'!C:C&lt;=$L$4),ROW(),"-")</f>
        <v>-</v>
      </c>
    </row>
    <row r="27188" customHeight="1" spans="2:2">
      <c r="B27188" s="62" t="str">
        <f>IF(AND('领用录入（明细）'!D:D=$F$4,'领用录入（明细）'!C:C&gt;=$J$4,'领用录入（明细）'!C:C&lt;=$L$4),ROW(),"-")</f>
        <v>-</v>
      </c>
    </row>
    <row r="27189" customHeight="1" spans="2:2">
      <c r="B27189" s="62" t="str">
        <f>IF(AND('领用录入（明细）'!D:D=$F$4,'领用录入（明细）'!C:C&gt;=$J$4,'领用录入（明细）'!C:C&lt;=$L$4),ROW(),"-")</f>
        <v>-</v>
      </c>
    </row>
    <row r="27190" customHeight="1" spans="2:2">
      <c r="B27190" s="62" t="str">
        <f>IF(AND('领用录入（明细）'!D:D=$F$4,'领用录入（明细）'!C:C&gt;=$J$4,'领用录入（明细）'!C:C&lt;=$L$4),ROW(),"-")</f>
        <v>-</v>
      </c>
    </row>
    <row r="27191" customHeight="1" spans="2:2">
      <c r="B27191" s="62" t="str">
        <f>IF(AND('领用录入（明细）'!D:D=$F$4,'领用录入（明细）'!C:C&gt;=$J$4,'领用录入（明细）'!C:C&lt;=$L$4),ROW(),"-")</f>
        <v>-</v>
      </c>
    </row>
    <row r="27192" customHeight="1" spans="2:2">
      <c r="B27192" s="62" t="str">
        <f>IF(AND('领用录入（明细）'!D:D=$F$4,'领用录入（明细）'!C:C&gt;=$J$4,'领用录入（明细）'!C:C&lt;=$L$4),ROW(),"-")</f>
        <v>-</v>
      </c>
    </row>
    <row r="27193" customHeight="1" spans="2:2">
      <c r="B27193" s="62" t="str">
        <f>IF(AND('领用录入（明细）'!D:D=$F$4,'领用录入（明细）'!C:C&gt;=$J$4,'领用录入（明细）'!C:C&lt;=$L$4),ROW(),"-")</f>
        <v>-</v>
      </c>
    </row>
    <row r="27194" customHeight="1" spans="2:2">
      <c r="B27194" s="62" t="str">
        <f>IF(AND('领用录入（明细）'!D:D=$F$4,'领用录入（明细）'!C:C&gt;=$J$4,'领用录入（明细）'!C:C&lt;=$L$4),ROW(),"-")</f>
        <v>-</v>
      </c>
    </row>
    <row r="27195" customHeight="1" spans="2:2">
      <c r="B27195" s="62" t="str">
        <f>IF(AND('领用录入（明细）'!D:D=$F$4,'领用录入（明细）'!C:C&gt;=$J$4,'领用录入（明细）'!C:C&lt;=$L$4),ROW(),"-")</f>
        <v>-</v>
      </c>
    </row>
    <row r="27196" customHeight="1" spans="2:2">
      <c r="B27196" s="62" t="str">
        <f>IF(AND('领用录入（明细）'!D:D=$F$4,'领用录入（明细）'!C:C&gt;=$J$4,'领用录入（明细）'!C:C&lt;=$L$4),ROW(),"-")</f>
        <v>-</v>
      </c>
    </row>
    <row r="27197" customHeight="1" spans="2:2">
      <c r="B27197" s="62" t="str">
        <f>IF(AND('领用录入（明细）'!D:D=$F$4,'领用录入（明细）'!C:C&gt;=$J$4,'领用录入（明细）'!C:C&lt;=$L$4),ROW(),"-")</f>
        <v>-</v>
      </c>
    </row>
    <row r="27198" customHeight="1" spans="2:2">
      <c r="B27198" s="62" t="str">
        <f>IF(AND('领用录入（明细）'!D:D=$F$4,'领用录入（明细）'!C:C&gt;=$J$4,'领用录入（明细）'!C:C&lt;=$L$4),ROW(),"-")</f>
        <v>-</v>
      </c>
    </row>
    <row r="27199" customHeight="1" spans="2:2">
      <c r="B27199" s="62" t="str">
        <f>IF(AND('领用录入（明细）'!D:D=$F$4,'领用录入（明细）'!C:C&gt;=$J$4,'领用录入（明细）'!C:C&lt;=$L$4),ROW(),"-")</f>
        <v>-</v>
      </c>
    </row>
    <row r="27200" customHeight="1" spans="2:2">
      <c r="B27200" s="62" t="str">
        <f>IF(AND('领用录入（明细）'!D:D=$F$4,'领用录入（明细）'!C:C&gt;=$J$4,'领用录入（明细）'!C:C&lt;=$L$4),ROW(),"-")</f>
        <v>-</v>
      </c>
    </row>
    <row r="27201" customHeight="1" spans="2:2">
      <c r="B27201" s="62" t="str">
        <f>IF(AND('领用录入（明细）'!D:D=$F$4,'领用录入（明细）'!C:C&gt;=$J$4,'领用录入（明细）'!C:C&lt;=$L$4),ROW(),"-")</f>
        <v>-</v>
      </c>
    </row>
    <row r="27202" customHeight="1" spans="2:2">
      <c r="B27202" s="62" t="str">
        <f>IF(AND('领用录入（明细）'!D:D=$F$4,'领用录入（明细）'!C:C&gt;=$J$4,'领用录入（明细）'!C:C&lt;=$L$4),ROW(),"-")</f>
        <v>-</v>
      </c>
    </row>
    <row r="27203" customHeight="1" spans="2:2">
      <c r="B27203" s="62" t="str">
        <f>IF(AND('领用录入（明细）'!D:D=$F$4,'领用录入（明细）'!C:C&gt;=$J$4,'领用录入（明细）'!C:C&lt;=$L$4),ROW(),"-")</f>
        <v>-</v>
      </c>
    </row>
    <row r="27204" customHeight="1" spans="2:2">
      <c r="B27204" s="62" t="str">
        <f>IF(AND('领用录入（明细）'!D:D=$F$4,'领用录入（明细）'!C:C&gt;=$J$4,'领用录入（明细）'!C:C&lt;=$L$4),ROW(),"-")</f>
        <v>-</v>
      </c>
    </row>
    <row r="27205" customHeight="1" spans="2:2">
      <c r="B27205" s="62" t="str">
        <f>IF(AND('领用录入（明细）'!D:D=$F$4,'领用录入（明细）'!C:C&gt;=$J$4,'领用录入（明细）'!C:C&lt;=$L$4),ROW(),"-")</f>
        <v>-</v>
      </c>
    </row>
    <row r="27206" customHeight="1" spans="2:2">
      <c r="B27206" s="62" t="str">
        <f>IF(AND('领用录入（明细）'!D:D=$F$4,'领用录入（明细）'!C:C&gt;=$J$4,'领用录入（明细）'!C:C&lt;=$L$4),ROW(),"-")</f>
        <v>-</v>
      </c>
    </row>
    <row r="27207" customHeight="1" spans="2:2">
      <c r="B27207" s="62" t="str">
        <f>IF(AND('领用录入（明细）'!D:D=$F$4,'领用录入（明细）'!C:C&gt;=$J$4,'领用录入（明细）'!C:C&lt;=$L$4),ROW(),"-")</f>
        <v>-</v>
      </c>
    </row>
    <row r="27208" customHeight="1" spans="2:2">
      <c r="B27208" s="62" t="str">
        <f>IF(AND('领用录入（明细）'!D:D=$F$4,'领用录入（明细）'!C:C&gt;=$J$4,'领用录入（明细）'!C:C&lt;=$L$4),ROW(),"-")</f>
        <v>-</v>
      </c>
    </row>
    <row r="27209" customHeight="1" spans="2:2">
      <c r="B27209" s="62" t="str">
        <f>IF(AND('领用录入（明细）'!D:D=$F$4,'领用录入（明细）'!C:C&gt;=$J$4,'领用录入（明细）'!C:C&lt;=$L$4),ROW(),"-")</f>
        <v>-</v>
      </c>
    </row>
    <row r="27210" customHeight="1" spans="2:2">
      <c r="B27210" s="62" t="str">
        <f>IF(AND('领用录入（明细）'!D:D=$F$4,'领用录入（明细）'!C:C&gt;=$J$4,'领用录入（明细）'!C:C&lt;=$L$4),ROW(),"-")</f>
        <v>-</v>
      </c>
    </row>
    <row r="27211" customHeight="1" spans="2:2">
      <c r="B27211" s="62" t="str">
        <f>IF(AND('领用录入（明细）'!D:D=$F$4,'领用录入（明细）'!C:C&gt;=$J$4,'领用录入（明细）'!C:C&lt;=$L$4),ROW(),"-")</f>
        <v>-</v>
      </c>
    </row>
    <row r="27212" customHeight="1" spans="2:2">
      <c r="B27212" s="62" t="str">
        <f>IF(AND('领用录入（明细）'!D:D=$F$4,'领用录入（明细）'!C:C&gt;=$J$4,'领用录入（明细）'!C:C&lt;=$L$4),ROW(),"-")</f>
        <v>-</v>
      </c>
    </row>
    <row r="27213" customHeight="1" spans="2:2">
      <c r="B27213" s="62" t="str">
        <f>IF(AND('领用录入（明细）'!D:D=$F$4,'领用录入（明细）'!C:C&gt;=$J$4,'领用录入（明细）'!C:C&lt;=$L$4),ROW(),"-")</f>
        <v>-</v>
      </c>
    </row>
    <row r="27214" customHeight="1" spans="2:2">
      <c r="B27214" s="62" t="str">
        <f>IF(AND('领用录入（明细）'!D:D=$F$4,'领用录入（明细）'!C:C&gt;=$J$4,'领用录入（明细）'!C:C&lt;=$L$4),ROW(),"-")</f>
        <v>-</v>
      </c>
    </row>
    <row r="27215" customHeight="1" spans="2:2">
      <c r="B27215" s="62" t="str">
        <f>IF(AND('领用录入（明细）'!D:D=$F$4,'领用录入（明细）'!C:C&gt;=$J$4,'领用录入（明细）'!C:C&lt;=$L$4),ROW(),"-")</f>
        <v>-</v>
      </c>
    </row>
    <row r="27216" customHeight="1" spans="2:2">
      <c r="B27216" s="62" t="str">
        <f>IF(AND('领用录入（明细）'!D:D=$F$4,'领用录入（明细）'!C:C&gt;=$J$4,'领用录入（明细）'!C:C&lt;=$L$4),ROW(),"-")</f>
        <v>-</v>
      </c>
    </row>
    <row r="27217" customHeight="1" spans="2:2">
      <c r="B27217" s="62" t="str">
        <f>IF(AND('领用录入（明细）'!D:D=$F$4,'领用录入（明细）'!C:C&gt;=$J$4,'领用录入（明细）'!C:C&lt;=$L$4),ROW(),"-")</f>
        <v>-</v>
      </c>
    </row>
    <row r="27218" customHeight="1" spans="2:2">
      <c r="B27218" s="62" t="str">
        <f>IF(AND('领用录入（明细）'!D:D=$F$4,'领用录入（明细）'!C:C&gt;=$J$4,'领用录入（明细）'!C:C&lt;=$L$4),ROW(),"-")</f>
        <v>-</v>
      </c>
    </row>
    <row r="27219" customHeight="1" spans="2:2">
      <c r="B27219" s="62" t="str">
        <f>IF(AND('领用录入（明细）'!D:D=$F$4,'领用录入（明细）'!C:C&gt;=$J$4,'领用录入（明细）'!C:C&lt;=$L$4),ROW(),"-")</f>
        <v>-</v>
      </c>
    </row>
    <row r="27220" customHeight="1" spans="2:2">
      <c r="B27220" s="62" t="str">
        <f>IF(AND('领用录入（明细）'!D:D=$F$4,'领用录入（明细）'!C:C&gt;=$J$4,'领用录入（明细）'!C:C&lt;=$L$4),ROW(),"-")</f>
        <v>-</v>
      </c>
    </row>
    <row r="27221" customHeight="1" spans="2:2">
      <c r="B27221" s="62" t="str">
        <f>IF(AND('领用录入（明细）'!D:D=$F$4,'领用录入（明细）'!C:C&gt;=$J$4,'领用录入（明细）'!C:C&lt;=$L$4),ROW(),"-")</f>
        <v>-</v>
      </c>
    </row>
    <row r="27222" customHeight="1" spans="2:2">
      <c r="B27222" s="62" t="str">
        <f>IF(AND('领用录入（明细）'!D:D=$F$4,'领用录入（明细）'!C:C&gt;=$J$4,'领用录入（明细）'!C:C&lt;=$L$4),ROW(),"-")</f>
        <v>-</v>
      </c>
    </row>
    <row r="27223" customHeight="1" spans="2:2">
      <c r="B27223" s="62" t="str">
        <f>IF(AND('领用录入（明细）'!D:D=$F$4,'领用录入（明细）'!C:C&gt;=$J$4,'领用录入（明细）'!C:C&lt;=$L$4),ROW(),"-")</f>
        <v>-</v>
      </c>
    </row>
    <row r="27224" customHeight="1" spans="2:2">
      <c r="B27224" s="62" t="str">
        <f>IF(AND('领用录入（明细）'!D:D=$F$4,'领用录入（明细）'!C:C&gt;=$J$4,'领用录入（明细）'!C:C&lt;=$L$4),ROW(),"-")</f>
        <v>-</v>
      </c>
    </row>
    <row r="27225" customHeight="1" spans="2:2">
      <c r="B27225" s="62" t="str">
        <f>IF(AND('领用录入（明细）'!D:D=$F$4,'领用录入（明细）'!C:C&gt;=$J$4,'领用录入（明细）'!C:C&lt;=$L$4),ROW(),"-")</f>
        <v>-</v>
      </c>
    </row>
    <row r="27226" customHeight="1" spans="2:2">
      <c r="B27226" s="62" t="str">
        <f>IF(AND('领用录入（明细）'!D:D=$F$4,'领用录入（明细）'!C:C&gt;=$J$4,'领用录入（明细）'!C:C&lt;=$L$4),ROW(),"-")</f>
        <v>-</v>
      </c>
    </row>
    <row r="27227" customHeight="1" spans="2:2">
      <c r="B27227" s="62" t="str">
        <f>IF(AND('领用录入（明细）'!D:D=$F$4,'领用录入（明细）'!C:C&gt;=$J$4,'领用录入（明细）'!C:C&lt;=$L$4),ROW(),"-")</f>
        <v>-</v>
      </c>
    </row>
    <row r="27228" customHeight="1" spans="2:2">
      <c r="B27228" s="62" t="str">
        <f>IF(AND('领用录入（明细）'!D:D=$F$4,'领用录入（明细）'!C:C&gt;=$J$4,'领用录入（明细）'!C:C&lt;=$L$4),ROW(),"-")</f>
        <v>-</v>
      </c>
    </row>
    <row r="27229" customHeight="1" spans="2:2">
      <c r="B27229" s="62" t="str">
        <f>IF(AND('领用录入（明细）'!D:D=$F$4,'领用录入（明细）'!C:C&gt;=$J$4,'领用录入（明细）'!C:C&lt;=$L$4),ROW(),"-")</f>
        <v>-</v>
      </c>
    </row>
    <row r="27230" customHeight="1" spans="2:2">
      <c r="B27230" s="62" t="str">
        <f>IF(AND('领用录入（明细）'!D:D=$F$4,'领用录入（明细）'!C:C&gt;=$J$4,'领用录入（明细）'!C:C&lt;=$L$4),ROW(),"-")</f>
        <v>-</v>
      </c>
    </row>
    <row r="27231" customHeight="1" spans="2:2">
      <c r="B27231" s="62" t="str">
        <f>IF(AND('领用录入（明细）'!D:D=$F$4,'领用录入（明细）'!C:C&gt;=$J$4,'领用录入（明细）'!C:C&lt;=$L$4),ROW(),"-")</f>
        <v>-</v>
      </c>
    </row>
    <row r="27232" customHeight="1" spans="2:2">
      <c r="B27232" s="62" t="str">
        <f>IF(AND('领用录入（明细）'!D:D=$F$4,'领用录入（明细）'!C:C&gt;=$J$4,'领用录入（明细）'!C:C&lt;=$L$4),ROW(),"-")</f>
        <v>-</v>
      </c>
    </row>
    <row r="27233" customHeight="1" spans="2:2">
      <c r="B27233" s="62" t="str">
        <f>IF(AND('领用录入（明细）'!D:D=$F$4,'领用录入（明细）'!C:C&gt;=$J$4,'领用录入（明细）'!C:C&lt;=$L$4),ROW(),"-")</f>
        <v>-</v>
      </c>
    </row>
    <row r="27234" customHeight="1" spans="2:2">
      <c r="B27234" s="62" t="str">
        <f>IF(AND('领用录入（明细）'!D:D=$F$4,'领用录入（明细）'!C:C&gt;=$J$4,'领用录入（明细）'!C:C&lt;=$L$4),ROW(),"-")</f>
        <v>-</v>
      </c>
    </row>
    <row r="27235" customHeight="1" spans="2:2">
      <c r="B27235" s="62" t="str">
        <f>IF(AND('领用录入（明细）'!D:D=$F$4,'领用录入（明细）'!C:C&gt;=$J$4,'领用录入（明细）'!C:C&lt;=$L$4),ROW(),"-")</f>
        <v>-</v>
      </c>
    </row>
    <row r="27236" customHeight="1" spans="2:2">
      <c r="B27236" s="62" t="str">
        <f>IF(AND('领用录入（明细）'!D:D=$F$4,'领用录入（明细）'!C:C&gt;=$J$4,'领用录入（明细）'!C:C&lt;=$L$4),ROW(),"-")</f>
        <v>-</v>
      </c>
    </row>
    <row r="27237" customHeight="1" spans="2:2">
      <c r="B27237" s="62" t="str">
        <f>IF(AND('领用录入（明细）'!D:D=$F$4,'领用录入（明细）'!C:C&gt;=$J$4,'领用录入（明细）'!C:C&lt;=$L$4),ROW(),"-")</f>
        <v>-</v>
      </c>
    </row>
    <row r="27238" customHeight="1" spans="2:2">
      <c r="B27238" s="62" t="str">
        <f>IF(AND('领用录入（明细）'!D:D=$F$4,'领用录入（明细）'!C:C&gt;=$J$4,'领用录入（明细）'!C:C&lt;=$L$4),ROW(),"-")</f>
        <v>-</v>
      </c>
    </row>
    <row r="27239" customHeight="1" spans="2:2">
      <c r="B27239" s="62" t="str">
        <f>IF(AND('领用录入（明细）'!D:D=$F$4,'领用录入（明细）'!C:C&gt;=$J$4,'领用录入（明细）'!C:C&lt;=$L$4),ROW(),"-")</f>
        <v>-</v>
      </c>
    </row>
    <row r="27240" customHeight="1" spans="2:2">
      <c r="B27240" s="62" t="str">
        <f>IF(AND('领用录入（明细）'!D:D=$F$4,'领用录入（明细）'!C:C&gt;=$J$4,'领用录入（明细）'!C:C&lt;=$L$4),ROW(),"-")</f>
        <v>-</v>
      </c>
    </row>
    <row r="27241" customHeight="1" spans="2:2">
      <c r="B27241" s="62" t="str">
        <f>IF(AND('领用录入（明细）'!D:D=$F$4,'领用录入（明细）'!C:C&gt;=$J$4,'领用录入（明细）'!C:C&lt;=$L$4),ROW(),"-")</f>
        <v>-</v>
      </c>
    </row>
    <row r="27242" customHeight="1" spans="2:2">
      <c r="B27242" s="62" t="str">
        <f>IF(AND('领用录入（明细）'!D:D=$F$4,'领用录入（明细）'!C:C&gt;=$J$4,'领用录入（明细）'!C:C&lt;=$L$4),ROW(),"-")</f>
        <v>-</v>
      </c>
    </row>
    <row r="27243" customHeight="1" spans="2:2">
      <c r="B27243" s="62" t="str">
        <f>IF(AND('领用录入（明细）'!D:D=$F$4,'领用录入（明细）'!C:C&gt;=$J$4,'领用录入（明细）'!C:C&lt;=$L$4),ROW(),"-")</f>
        <v>-</v>
      </c>
    </row>
    <row r="27244" customHeight="1" spans="2:2">
      <c r="B27244" s="62" t="str">
        <f>IF(AND('领用录入（明细）'!D:D=$F$4,'领用录入（明细）'!C:C&gt;=$J$4,'领用录入（明细）'!C:C&lt;=$L$4),ROW(),"-")</f>
        <v>-</v>
      </c>
    </row>
    <row r="27245" customHeight="1" spans="2:2">
      <c r="B27245" s="62" t="str">
        <f>IF(AND('领用录入（明细）'!D:D=$F$4,'领用录入（明细）'!C:C&gt;=$J$4,'领用录入（明细）'!C:C&lt;=$L$4),ROW(),"-")</f>
        <v>-</v>
      </c>
    </row>
    <row r="27246" customHeight="1" spans="2:2">
      <c r="B27246" s="62" t="str">
        <f>IF(AND('领用录入（明细）'!D:D=$F$4,'领用录入（明细）'!C:C&gt;=$J$4,'领用录入（明细）'!C:C&lt;=$L$4),ROW(),"-")</f>
        <v>-</v>
      </c>
    </row>
    <row r="27247" customHeight="1" spans="2:2">
      <c r="B27247" s="62" t="str">
        <f>IF(AND('领用录入（明细）'!D:D=$F$4,'领用录入（明细）'!C:C&gt;=$J$4,'领用录入（明细）'!C:C&lt;=$L$4),ROW(),"-")</f>
        <v>-</v>
      </c>
    </row>
    <row r="27248" customHeight="1" spans="2:2">
      <c r="B27248" s="62" t="str">
        <f>IF(AND('领用录入（明细）'!D:D=$F$4,'领用录入（明细）'!C:C&gt;=$J$4,'领用录入（明细）'!C:C&lt;=$L$4),ROW(),"-")</f>
        <v>-</v>
      </c>
    </row>
    <row r="27249" customHeight="1" spans="2:2">
      <c r="B27249" s="62" t="str">
        <f>IF(AND('领用录入（明细）'!D:D=$F$4,'领用录入（明细）'!C:C&gt;=$J$4,'领用录入（明细）'!C:C&lt;=$L$4),ROW(),"-")</f>
        <v>-</v>
      </c>
    </row>
    <row r="27250" customHeight="1" spans="2:2">
      <c r="B27250" s="62" t="str">
        <f>IF(AND('领用录入（明细）'!D:D=$F$4,'领用录入（明细）'!C:C&gt;=$J$4,'领用录入（明细）'!C:C&lt;=$L$4),ROW(),"-")</f>
        <v>-</v>
      </c>
    </row>
    <row r="27251" customHeight="1" spans="2:2">
      <c r="B27251" s="62" t="str">
        <f>IF(AND('领用录入（明细）'!D:D=$F$4,'领用录入（明细）'!C:C&gt;=$J$4,'领用录入（明细）'!C:C&lt;=$L$4),ROW(),"-")</f>
        <v>-</v>
      </c>
    </row>
    <row r="27252" customHeight="1" spans="2:2">
      <c r="B27252" s="62" t="str">
        <f>IF(AND('领用录入（明细）'!D:D=$F$4,'领用录入（明细）'!C:C&gt;=$J$4,'领用录入（明细）'!C:C&lt;=$L$4),ROW(),"-")</f>
        <v>-</v>
      </c>
    </row>
    <row r="27253" customHeight="1" spans="2:2">
      <c r="B27253" s="62" t="str">
        <f>IF(AND('领用录入（明细）'!D:D=$F$4,'领用录入（明细）'!C:C&gt;=$J$4,'领用录入（明细）'!C:C&lt;=$L$4),ROW(),"-")</f>
        <v>-</v>
      </c>
    </row>
    <row r="27254" customHeight="1" spans="2:2">
      <c r="B27254" s="62" t="str">
        <f>IF(AND('领用录入（明细）'!D:D=$F$4,'领用录入（明细）'!C:C&gt;=$J$4,'领用录入（明细）'!C:C&lt;=$L$4),ROW(),"-")</f>
        <v>-</v>
      </c>
    </row>
    <row r="27255" customHeight="1" spans="2:2">
      <c r="B27255" s="62" t="str">
        <f>IF(AND('领用录入（明细）'!D:D=$F$4,'领用录入（明细）'!C:C&gt;=$J$4,'领用录入（明细）'!C:C&lt;=$L$4),ROW(),"-")</f>
        <v>-</v>
      </c>
    </row>
    <row r="27256" customHeight="1" spans="2:2">
      <c r="B27256" s="62" t="str">
        <f>IF(AND('领用录入（明细）'!D:D=$F$4,'领用录入（明细）'!C:C&gt;=$J$4,'领用录入（明细）'!C:C&lt;=$L$4),ROW(),"-")</f>
        <v>-</v>
      </c>
    </row>
    <row r="27257" customHeight="1" spans="2:2">
      <c r="B27257" s="62" t="str">
        <f>IF(AND('领用录入（明细）'!D:D=$F$4,'领用录入（明细）'!C:C&gt;=$J$4,'领用录入（明细）'!C:C&lt;=$L$4),ROW(),"-")</f>
        <v>-</v>
      </c>
    </row>
    <row r="27258" customHeight="1" spans="2:2">
      <c r="B27258" s="62" t="str">
        <f>IF(AND('领用录入（明细）'!D:D=$F$4,'领用录入（明细）'!C:C&gt;=$J$4,'领用录入（明细）'!C:C&lt;=$L$4),ROW(),"-")</f>
        <v>-</v>
      </c>
    </row>
    <row r="27259" customHeight="1" spans="2:2">
      <c r="B27259" s="62" t="str">
        <f>IF(AND('领用录入（明细）'!D:D=$F$4,'领用录入（明细）'!C:C&gt;=$J$4,'领用录入（明细）'!C:C&lt;=$L$4),ROW(),"-")</f>
        <v>-</v>
      </c>
    </row>
    <row r="27260" customHeight="1" spans="2:2">
      <c r="B27260" s="62" t="str">
        <f>IF(AND('领用录入（明细）'!D:D=$F$4,'领用录入（明细）'!C:C&gt;=$J$4,'领用录入（明细）'!C:C&lt;=$L$4),ROW(),"-")</f>
        <v>-</v>
      </c>
    </row>
    <row r="27261" customHeight="1" spans="2:2">
      <c r="B27261" s="62" t="str">
        <f>IF(AND('领用录入（明细）'!D:D=$F$4,'领用录入（明细）'!C:C&gt;=$J$4,'领用录入（明细）'!C:C&lt;=$L$4),ROW(),"-")</f>
        <v>-</v>
      </c>
    </row>
    <row r="27262" customHeight="1" spans="2:2">
      <c r="B27262" s="62" t="str">
        <f>IF(AND('领用录入（明细）'!D:D=$F$4,'领用录入（明细）'!C:C&gt;=$J$4,'领用录入（明细）'!C:C&lt;=$L$4),ROW(),"-")</f>
        <v>-</v>
      </c>
    </row>
    <row r="27263" customHeight="1" spans="2:2">
      <c r="B27263" s="62" t="str">
        <f>IF(AND('领用录入（明细）'!D:D=$F$4,'领用录入（明细）'!C:C&gt;=$J$4,'领用录入（明细）'!C:C&lt;=$L$4),ROW(),"-")</f>
        <v>-</v>
      </c>
    </row>
    <row r="27264" customHeight="1" spans="2:2">
      <c r="B27264" s="62" t="str">
        <f>IF(AND('领用录入（明细）'!D:D=$F$4,'领用录入（明细）'!C:C&gt;=$J$4,'领用录入（明细）'!C:C&lt;=$L$4),ROW(),"-")</f>
        <v>-</v>
      </c>
    </row>
    <row r="27265" customHeight="1" spans="2:2">
      <c r="B27265" s="62" t="str">
        <f>IF(AND('领用录入（明细）'!D:D=$F$4,'领用录入（明细）'!C:C&gt;=$J$4,'领用录入（明细）'!C:C&lt;=$L$4),ROW(),"-")</f>
        <v>-</v>
      </c>
    </row>
    <row r="27266" customHeight="1" spans="2:2">
      <c r="B27266" s="62" t="str">
        <f>IF(AND('领用录入（明细）'!D:D=$F$4,'领用录入（明细）'!C:C&gt;=$J$4,'领用录入（明细）'!C:C&lt;=$L$4),ROW(),"-")</f>
        <v>-</v>
      </c>
    </row>
    <row r="27267" customHeight="1" spans="2:2">
      <c r="B27267" s="62" t="str">
        <f>IF(AND('领用录入（明细）'!D:D=$F$4,'领用录入（明细）'!C:C&gt;=$J$4,'领用录入（明细）'!C:C&lt;=$L$4),ROW(),"-")</f>
        <v>-</v>
      </c>
    </row>
    <row r="27268" customHeight="1" spans="2:2">
      <c r="B27268" s="62" t="str">
        <f>IF(AND('领用录入（明细）'!D:D=$F$4,'领用录入（明细）'!C:C&gt;=$J$4,'领用录入（明细）'!C:C&lt;=$L$4),ROW(),"-")</f>
        <v>-</v>
      </c>
    </row>
    <row r="27269" customHeight="1" spans="2:2">
      <c r="B27269" s="62" t="str">
        <f>IF(AND('领用录入（明细）'!D:D=$F$4,'领用录入（明细）'!C:C&gt;=$J$4,'领用录入（明细）'!C:C&lt;=$L$4),ROW(),"-")</f>
        <v>-</v>
      </c>
    </row>
    <row r="27270" customHeight="1" spans="2:2">
      <c r="B27270" s="62" t="str">
        <f>IF(AND('领用录入（明细）'!D:D=$F$4,'领用录入（明细）'!C:C&gt;=$J$4,'领用录入（明细）'!C:C&lt;=$L$4),ROW(),"-")</f>
        <v>-</v>
      </c>
    </row>
    <row r="27271" customHeight="1" spans="2:2">
      <c r="B27271" s="62" t="str">
        <f>IF(AND('领用录入（明细）'!D:D=$F$4,'领用录入（明细）'!C:C&gt;=$J$4,'领用录入（明细）'!C:C&lt;=$L$4),ROW(),"-")</f>
        <v>-</v>
      </c>
    </row>
    <row r="27272" customHeight="1" spans="2:2">
      <c r="B27272" s="62" t="str">
        <f>IF(AND('领用录入（明细）'!D:D=$F$4,'领用录入（明细）'!C:C&gt;=$J$4,'领用录入（明细）'!C:C&lt;=$L$4),ROW(),"-")</f>
        <v>-</v>
      </c>
    </row>
    <row r="27273" customHeight="1" spans="2:2">
      <c r="B27273" s="62" t="str">
        <f>IF(AND('领用录入（明细）'!D:D=$F$4,'领用录入（明细）'!C:C&gt;=$J$4,'领用录入（明细）'!C:C&lt;=$L$4),ROW(),"-")</f>
        <v>-</v>
      </c>
    </row>
    <row r="27274" customHeight="1" spans="2:2">
      <c r="B27274" s="62" t="str">
        <f>IF(AND('领用录入（明细）'!D:D=$F$4,'领用录入（明细）'!C:C&gt;=$J$4,'领用录入（明细）'!C:C&lt;=$L$4),ROW(),"-")</f>
        <v>-</v>
      </c>
    </row>
    <row r="27275" customHeight="1" spans="2:2">
      <c r="B27275" s="62" t="str">
        <f>IF(AND('领用录入（明细）'!D:D=$F$4,'领用录入（明细）'!C:C&gt;=$J$4,'领用录入（明细）'!C:C&lt;=$L$4),ROW(),"-")</f>
        <v>-</v>
      </c>
    </row>
    <row r="27276" customHeight="1" spans="2:2">
      <c r="B27276" s="62" t="str">
        <f>IF(AND('领用录入（明细）'!D:D=$F$4,'领用录入（明细）'!C:C&gt;=$J$4,'领用录入（明细）'!C:C&lt;=$L$4),ROW(),"-")</f>
        <v>-</v>
      </c>
    </row>
    <row r="27277" customHeight="1" spans="2:2">
      <c r="B27277" s="62" t="str">
        <f>IF(AND('领用录入（明细）'!D:D=$F$4,'领用录入（明细）'!C:C&gt;=$J$4,'领用录入（明细）'!C:C&lt;=$L$4),ROW(),"-")</f>
        <v>-</v>
      </c>
    </row>
    <row r="27278" customHeight="1" spans="2:2">
      <c r="B27278" s="62" t="str">
        <f>IF(AND('领用录入（明细）'!D:D=$F$4,'领用录入（明细）'!C:C&gt;=$J$4,'领用录入（明细）'!C:C&lt;=$L$4),ROW(),"-")</f>
        <v>-</v>
      </c>
    </row>
    <row r="27279" customHeight="1" spans="2:2">
      <c r="B27279" s="62" t="str">
        <f>IF(AND('领用录入（明细）'!D:D=$F$4,'领用录入（明细）'!C:C&gt;=$J$4,'领用录入（明细）'!C:C&lt;=$L$4),ROW(),"-")</f>
        <v>-</v>
      </c>
    </row>
    <row r="27280" customHeight="1" spans="2:2">
      <c r="B27280" s="62" t="str">
        <f>IF(AND('领用录入（明细）'!D:D=$F$4,'领用录入（明细）'!C:C&gt;=$J$4,'领用录入（明细）'!C:C&lt;=$L$4),ROW(),"-")</f>
        <v>-</v>
      </c>
    </row>
    <row r="27281" customHeight="1" spans="2:2">
      <c r="B27281" s="62" t="str">
        <f>IF(AND('领用录入（明细）'!D:D=$F$4,'领用录入（明细）'!C:C&gt;=$J$4,'领用录入（明细）'!C:C&lt;=$L$4),ROW(),"-")</f>
        <v>-</v>
      </c>
    </row>
    <row r="27282" customHeight="1" spans="2:2">
      <c r="B27282" s="62" t="str">
        <f>IF(AND('领用录入（明细）'!D:D=$F$4,'领用录入（明细）'!C:C&gt;=$J$4,'领用录入（明细）'!C:C&lt;=$L$4),ROW(),"-")</f>
        <v>-</v>
      </c>
    </row>
    <row r="27283" customHeight="1" spans="2:2">
      <c r="B27283" s="62" t="str">
        <f>IF(AND('领用录入（明细）'!D:D=$F$4,'领用录入（明细）'!C:C&gt;=$J$4,'领用录入（明细）'!C:C&lt;=$L$4),ROW(),"-")</f>
        <v>-</v>
      </c>
    </row>
    <row r="27284" customHeight="1" spans="2:2">
      <c r="B27284" s="62" t="str">
        <f>IF(AND('领用录入（明细）'!D:D=$F$4,'领用录入（明细）'!C:C&gt;=$J$4,'领用录入（明细）'!C:C&lt;=$L$4),ROW(),"-")</f>
        <v>-</v>
      </c>
    </row>
    <row r="27285" customHeight="1" spans="2:2">
      <c r="B27285" s="62" t="str">
        <f>IF(AND('领用录入（明细）'!D:D=$F$4,'领用录入（明细）'!C:C&gt;=$J$4,'领用录入（明细）'!C:C&lt;=$L$4),ROW(),"-")</f>
        <v>-</v>
      </c>
    </row>
    <row r="27286" customHeight="1" spans="2:2">
      <c r="B27286" s="62" t="str">
        <f>IF(AND('领用录入（明细）'!D:D=$F$4,'领用录入（明细）'!C:C&gt;=$J$4,'领用录入（明细）'!C:C&lt;=$L$4),ROW(),"-")</f>
        <v>-</v>
      </c>
    </row>
    <row r="27287" customHeight="1" spans="2:2">
      <c r="B27287" s="62" t="str">
        <f>IF(AND('领用录入（明细）'!D:D=$F$4,'领用录入（明细）'!C:C&gt;=$J$4,'领用录入（明细）'!C:C&lt;=$L$4),ROW(),"-")</f>
        <v>-</v>
      </c>
    </row>
    <row r="27288" customHeight="1" spans="2:2">
      <c r="B27288" s="62" t="str">
        <f>IF(AND('领用录入（明细）'!D:D=$F$4,'领用录入（明细）'!C:C&gt;=$J$4,'领用录入（明细）'!C:C&lt;=$L$4),ROW(),"-")</f>
        <v>-</v>
      </c>
    </row>
    <row r="27289" customHeight="1" spans="2:2">
      <c r="B27289" s="62" t="str">
        <f>IF(AND('领用录入（明细）'!D:D=$F$4,'领用录入（明细）'!C:C&gt;=$J$4,'领用录入（明细）'!C:C&lt;=$L$4),ROW(),"-")</f>
        <v>-</v>
      </c>
    </row>
    <row r="27290" customHeight="1" spans="2:2">
      <c r="B27290" s="62" t="str">
        <f>IF(AND('领用录入（明细）'!D:D=$F$4,'领用录入（明细）'!C:C&gt;=$J$4,'领用录入（明细）'!C:C&lt;=$L$4),ROW(),"-")</f>
        <v>-</v>
      </c>
    </row>
    <row r="27291" customHeight="1" spans="2:2">
      <c r="B27291" s="62" t="str">
        <f>IF(AND('领用录入（明细）'!D:D=$F$4,'领用录入（明细）'!C:C&gt;=$J$4,'领用录入（明细）'!C:C&lt;=$L$4),ROW(),"-")</f>
        <v>-</v>
      </c>
    </row>
    <row r="27292" customHeight="1" spans="2:2">
      <c r="B27292" s="62" t="str">
        <f>IF(AND('领用录入（明细）'!D:D=$F$4,'领用录入（明细）'!C:C&gt;=$J$4,'领用录入（明细）'!C:C&lt;=$L$4),ROW(),"-")</f>
        <v>-</v>
      </c>
    </row>
    <row r="27293" customHeight="1" spans="2:2">
      <c r="B27293" s="62" t="str">
        <f>IF(AND('领用录入（明细）'!D:D=$F$4,'领用录入（明细）'!C:C&gt;=$J$4,'领用录入（明细）'!C:C&lt;=$L$4),ROW(),"-")</f>
        <v>-</v>
      </c>
    </row>
    <row r="27294" customHeight="1" spans="2:2">
      <c r="B27294" s="62" t="str">
        <f>IF(AND('领用录入（明细）'!D:D=$F$4,'领用录入（明细）'!C:C&gt;=$J$4,'领用录入（明细）'!C:C&lt;=$L$4),ROW(),"-")</f>
        <v>-</v>
      </c>
    </row>
    <row r="27295" customHeight="1" spans="2:2">
      <c r="B27295" s="62" t="str">
        <f>IF(AND('领用录入（明细）'!D:D=$F$4,'领用录入（明细）'!C:C&gt;=$J$4,'领用录入（明细）'!C:C&lt;=$L$4),ROW(),"-")</f>
        <v>-</v>
      </c>
    </row>
    <row r="27296" customHeight="1" spans="2:2">
      <c r="B27296" s="62" t="str">
        <f>IF(AND('领用录入（明细）'!D:D=$F$4,'领用录入（明细）'!C:C&gt;=$J$4,'领用录入（明细）'!C:C&lt;=$L$4),ROW(),"-")</f>
        <v>-</v>
      </c>
    </row>
    <row r="27297" customHeight="1" spans="2:2">
      <c r="B27297" s="62" t="str">
        <f>IF(AND('领用录入（明细）'!D:D=$F$4,'领用录入（明细）'!C:C&gt;=$J$4,'领用录入（明细）'!C:C&lt;=$L$4),ROW(),"-")</f>
        <v>-</v>
      </c>
    </row>
    <row r="27298" customHeight="1" spans="2:2">
      <c r="B27298" s="62" t="str">
        <f>IF(AND('领用录入（明细）'!D:D=$F$4,'领用录入（明细）'!C:C&gt;=$J$4,'领用录入（明细）'!C:C&lt;=$L$4),ROW(),"-")</f>
        <v>-</v>
      </c>
    </row>
    <row r="27299" customHeight="1" spans="2:2">
      <c r="B27299" s="62" t="str">
        <f>IF(AND('领用录入（明细）'!D:D=$F$4,'领用录入（明细）'!C:C&gt;=$J$4,'领用录入（明细）'!C:C&lt;=$L$4),ROW(),"-")</f>
        <v>-</v>
      </c>
    </row>
    <row r="27300" customHeight="1" spans="2:2">
      <c r="B27300" s="62" t="str">
        <f>IF(AND('领用录入（明细）'!D:D=$F$4,'领用录入（明细）'!C:C&gt;=$J$4,'领用录入（明细）'!C:C&lt;=$L$4),ROW(),"-")</f>
        <v>-</v>
      </c>
    </row>
    <row r="27301" customHeight="1" spans="2:2">
      <c r="B27301" s="62" t="str">
        <f>IF(AND('领用录入（明细）'!D:D=$F$4,'领用录入（明细）'!C:C&gt;=$J$4,'领用录入（明细）'!C:C&lt;=$L$4),ROW(),"-")</f>
        <v>-</v>
      </c>
    </row>
    <row r="27302" customHeight="1" spans="2:2">
      <c r="B27302" s="62" t="str">
        <f>IF(AND('领用录入（明细）'!D:D=$F$4,'领用录入（明细）'!C:C&gt;=$J$4,'领用录入（明细）'!C:C&lt;=$L$4),ROW(),"-")</f>
        <v>-</v>
      </c>
    </row>
    <row r="27303" customHeight="1" spans="2:2">
      <c r="B27303" s="62" t="str">
        <f>IF(AND('领用录入（明细）'!D:D=$F$4,'领用录入（明细）'!C:C&gt;=$J$4,'领用录入（明细）'!C:C&lt;=$L$4),ROW(),"-")</f>
        <v>-</v>
      </c>
    </row>
    <row r="27304" customHeight="1" spans="2:2">
      <c r="B27304" s="62" t="str">
        <f>IF(AND('领用录入（明细）'!D:D=$F$4,'领用录入（明细）'!C:C&gt;=$J$4,'领用录入（明细）'!C:C&lt;=$L$4),ROW(),"-")</f>
        <v>-</v>
      </c>
    </row>
    <row r="27305" customHeight="1" spans="2:2">
      <c r="B27305" s="62" t="str">
        <f>IF(AND('领用录入（明细）'!D:D=$F$4,'领用录入（明细）'!C:C&gt;=$J$4,'领用录入（明细）'!C:C&lt;=$L$4),ROW(),"-")</f>
        <v>-</v>
      </c>
    </row>
    <row r="27306" customHeight="1" spans="2:2">
      <c r="B27306" s="62" t="str">
        <f>IF(AND('领用录入（明细）'!D:D=$F$4,'领用录入（明细）'!C:C&gt;=$J$4,'领用录入（明细）'!C:C&lt;=$L$4),ROW(),"-")</f>
        <v>-</v>
      </c>
    </row>
    <row r="27307" customHeight="1" spans="2:2">
      <c r="B27307" s="62" t="str">
        <f>IF(AND('领用录入（明细）'!D:D=$F$4,'领用录入（明细）'!C:C&gt;=$J$4,'领用录入（明细）'!C:C&lt;=$L$4),ROW(),"-")</f>
        <v>-</v>
      </c>
    </row>
    <row r="27308" customHeight="1" spans="2:2">
      <c r="B27308" s="62" t="str">
        <f>IF(AND('领用录入（明细）'!D:D=$F$4,'领用录入（明细）'!C:C&gt;=$J$4,'领用录入（明细）'!C:C&lt;=$L$4),ROW(),"-")</f>
        <v>-</v>
      </c>
    </row>
    <row r="27309" customHeight="1" spans="2:2">
      <c r="B27309" s="62" t="str">
        <f>IF(AND('领用录入（明细）'!D:D=$F$4,'领用录入（明细）'!C:C&gt;=$J$4,'领用录入（明细）'!C:C&lt;=$L$4),ROW(),"-")</f>
        <v>-</v>
      </c>
    </row>
    <row r="27310" customHeight="1" spans="2:2">
      <c r="B27310" s="62" t="str">
        <f>IF(AND('领用录入（明细）'!D:D=$F$4,'领用录入（明细）'!C:C&gt;=$J$4,'领用录入（明细）'!C:C&lt;=$L$4),ROW(),"-")</f>
        <v>-</v>
      </c>
    </row>
    <row r="27311" customHeight="1" spans="2:2">
      <c r="B27311" s="62" t="str">
        <f>IF(AND('领用录入（明细）'!D:D=$F$4,'领用录入（明细）'!C:C&gt;=$J$4,'领用录入（明细）'!C:C&lt;=$L$4),ROW(),"-")</f>
        <v>-</v>
      </c>
    </row>
    <row r="27312" customHeight="1" spans="2:2">
      <c r="B27312" s="62" t="str">
        <f>IF(AND('领用录入（明细）'!D:D=$F$4,'领用录入（明细）'!C:C&gt;=$J$4,'领用录入（明细）'!C:C&lt;=$L$4),ROW(),"-")</f>
        <v>-</v>
      </c>
    </row>
    <row r="27313" customHeight="1" spans="2:2">
      <c r="B27313" s="62" t="str">
        <f>IF(AND('领用录入（明细）'!D:D=$F$4,'领用录入（明细）'!C:C&gt;=$J$4,'领用录入（明细）'!C:C&lt;=$L$4),ROW(),"-")</f>
        <v>-</v>
      </c>
    </row>
    <row r="27314" customHeight="1" spans="2:2">
      <c r="B27314" s="62" t="str">
        <f>IF(AND('领用录入（明细）'!D:D=$F$4,'领用录入（明细）'!C:C&gt;=$J$4,'领用录入（明细）'!C:C&lt;=$L$4),ROW(),"-")</f>
        <v>-</v>
      </c>
    </row>
    <row r="27315" customHeight="1" spans="2:2">
      <c r="B27315" s="62" t="str">
        <f>IF(AND('领用录入（明细）'!D:D=$F$4,'领用录入（明细）'!C:C&gt;=$J$4,'领用录入（明细）'!C:C&lt;=$L$4),ROW(),"-")</f>
        <v>-</v>
      </c>
    </row>
    <row r="27316" customHeight="1" spans="2:2">
      <c r="B27316" s="62" t="str">
        <f>IF(AND('领用录入（明细）'!D:D=$F$4,'领用录入（明细）'!C:C&gt;=$J$4,'领用录入（明细）'!C:C&lt;=$L$4),ROW(),"-")</f>
        <v>-</v>
      </c>
    </row>
    <row r="27317" customHeight="1" spans="2:2">
      <c r="B27317" s="62" t="str">
        <f>IF(AND('领用录入（明细）'!D:D=$F$4,'领用录入（明细）'!C:C&gt;=$J$4,'领用录入（明细）'!C:C&lt;=$L$4),ROW(),"-")</f>
        <v>-</v>
      </c>
    </row>
    <row r="27318" customHeight="1" spans="2:2">
      <c r="B27318" s="62" t="str">
        <f>IF(AND('领用录入（明细）'!D:D=$F$4,'领用录入（明细）'!C:C&gt;=$J$4,'领用录入（明细）'!C:C&lt;=$L$4),ROW(),"-")</f>
        <v>-</v>
      </c>
    </row>
    <row r="27319" customHeight="1" spans="2:2">
      <c r="B27319" s="62" t="str">
        <f>IF(AND('领用录入（明细）'!D:D=$F$4,'领用录入（明细）'!C:C&gt;=$J$4,'领用录入（明细）'!C:C&lt;=$L$4),ROW(),"-")</f>
        <v>-</v>
      </c>
    </row>
    <row r="27320" customHeight="1" spans="2:2">
      <c r="B27320" s="62" t="str">
        <f>IF(AND('领用录入（明细）'!D:D=$F$4,'领用录入（明细）'!C:C&gt;=$J$4,'领用录入（明细）'!C:C&lt;=$L$4),ROW(),"-")</f>
        <v>-</v>
      </c>
    </row>
    <row r="27321" customHeight="1" spans="2:2">
      <c r="B27321" s="62" t="str">
        <f>IF(AND('领用录入（明细）'!D:D=$F$4,'领用录入（明细）'!C:C&gt;=$J$4,'领用录入（明细）'!C:C&lt;=$L$4),ROW(),"-")</f>
        <v>-</v>
      </c>
    </row>
    <row r="27322" customHeight="1" spans="2:2">
      <c r="B27322" s="62" t="str">
        <f>IF(AND('领用录入（明细）'!D:D=$F$4,'领用录入（明细）'!C:C&gt;=$J$4,'领用录入（明细）'!C:C&lt;=$L$4),ROW(),"-")</f>
        <v>-</v>
      </c>
    </row>
    <row r="27323" customHeight="1" spans="2:2">
      <c r="B27323" s="62" t="str">
        <f>IF(AND('领用录入（明细）'!D:D=$F$4,'领用录入（明细）'!C:C&gt;=$J$4,'领用录入（明细）'!C:C&lt;=$L$4),ROW(),"-")</f>
        <v>-</v>
      </c>
    </row>
    <row r="27324" customHeight="1" spans="2:2">
      <c r="B27324" s="62" t="str">
        <f>IF(AND('领用录入（明细）'!D:D=$F$4,'领用录入（明细）'!C:C&gt;=$J$4,'领用录入（明细）'!C:C&lt;=$L$4),ROW(),"-")</f>
        <v>-</v>
      </c>
    </row>
    <row r="27325" customHeight="1" spans="2:2">
      <c r="B27325" s="62" t="str">
        <f>IF(AND('领用录入（明细）'!D:D=$F$4,'领用录入（明细）'!C:C&gt;=$J$4,'领用录入（明细）'!C:C&lt;=$L$4),ROW(),"-")</f>
        <v>-</v>
      </c>
    </row>
    <row r="27326" customHeight="1" spans="2:2">
      <c r="B27326" s="62" t="str">
        <f>IF(AND('领用录入（明细）'!D:D=$F$4,'领用录入（明细）'!C:C&gt;=$J$4,'领用录入（明细）'!C:C&lt;=$L$4),ROW(),"-")</f>
        <v>-</v>
      </c>
    </row>
    <row r="27327" customHeight="1" spans="2:2">
      <c r="B27327" s="62" t="str">
        <f>IF(AND('领用录入（明细）'!D:D=$F$4,'领用录入（明细）'!C:C&gt;=$J$4,'领用录入（明细）'!C:C&lt;=$L$4),ROW(),"-")</f>
        <v>-</v>
      </c>
    </row>
    <row r="27328" customHeight="1" spans="2:2">
      <c r="B27328" s="62" t="str">
        <f>IF(AND('领用录入（明细）'!D:D=$F$4,'领用录入（明细）'!C:C&gt;=$J$4,'领用录入（明细）'!C:C&lt;=$L$4),ROW(),"-")</f>
        <v>-</v>
      </c>
    </row>
    <row r="27329" customHeight="1" spans="2:2">
      <c r="B27329" s="62" t="str">
        <f>IF(AND('领用录入（明细）'!D:D=$F$4,'领用录入（明细）'!C:C&gt;=$J$4,'领用录入（明细）'!C:C&lt;=$L$4),ROW(),"-")</f>
        <v>-</v>
      </c>
    </row>
    <row r="27330" customHeight="1" spans="2:2">
      <c r="B27330" s="62" t="str">
        <f>IF(AND('领用录入（明细）'!D:D=$F$4,'领用录入（明细）'!C:C&gt;=$J$4,'领用录入（明细）'!C:C&lt;=$L$4),ROW(),"-")</f>
        <v>-</v>
      </c>
    </row>
    <row r="27331" customHeight="1" spans="2:2">
      <c r="B27331" s="62" t="str">
        <f>IF(AND('领用录入（明细）'!D:D=$F$4,'领用录入（明细）'!C:C&gt;=$J$4,'领用录入（明细）'!C:C&lt;=$L$4),ROW(),"-")</f>
        <v>-</v>
      </c>
    </row>
    <row r="27332" customHeight="1" spans="2:2">
      <c r="B27332" s="62" t="str">
        <f>IF(AND('领用录入（明细）'!D:D=$F$4,'领用录入（明细）'!C:C&gt;=$J$4,'领用录入（明细）'!C:C&lt;=$L$4),ROW(),"-")</f>
        <v>-</v>
      </c>
    </row>
    <row r="27333" customHeight="1" spans="2:2">
      <c r="B27333" s="62" t="str">
        <f>IF(AND('领用录入（明细）'!D:D=$F$4,'领用录入（明细）'!C:C&gt;=$J$4,'领用录入（明细）'!C:C&lt;=$L$4),ROW(),"-")</f>
        <v>-</v>
      </c>
    </row>
    <row r="27334" customHeight="1" spans="2:2">
      <c r="B27334" s="62" t="str">
        <f>IF(AND('领用录入（明细）'!D:D=$F$4,'领用录入（明细）'!C:C&gt;=$J$4,'领用录入（明细）'!C:C&lt;=$L$4),ROW(),"-")</f>
        <v>-</v>
      </c>
    </row>
    <row r="27335" customHeight="1" spans="2:2">
      <c r="B27335" s="62" t="str">
        <f>IF(AND('领用录入（明细）'!D:D=$F$4,'领用录入（明细）'!C:C&gt;=$J$4,'领用录入（明细）'!C:C&lt;=$L$4),ROW(),"-")</f>
        <v>-</v>
      </c>
    </row>
    <row r="27336" customHeight="1" spans="2:2">
      <c r="B27336" s="62" t="str">
        <f>IF(AND('领用录入（明细）'!D:D=$F$4,'领用录入（明细）'!C:C&gt;=$J$4,'领用录入（明细）'!C:C&lt;=$L$4),ROW(),"-")</f>
        <v>-</v>
      </c>
    </row>
    <row r="27337" customHeight="1" spans="2:2">
      <c r="B27337" s="62" t="str">
        <f>IF(AND('领用录入（明细）'!D:D=$F$4,'领用录入（明细）'!C:C&gt;=$J$4,'领用录入（明细）'!C:C&lt;=$L$4),ROW(),"-")</f>
        <v>-</v>
      </c>
    </row>
    <row r="27338" customHeight="1" spans="2:2">
      <c r="B27338" s="62" t="str">
        <f>IF(AND('领用录入（明细）'!D:D=$F$4,'领用录入（明细）'!C:C&gt;=$J$4,'领用录入（明细）'!C:C&lt;=$L$4),ROW(),"-")</f>
        <v>-</v>
      </c>
    </row>
    <row r="27339" customHeight="1" spans="2:2">
      <c r="B27339" s="62" t="str">
        <f>IF(AND('领用录入（明细）'!D:D=$F$4,'领用录入（明细）'!C:C&gt;=$J$4,'领用录入（明细）'!C:C&lt;=$L$4),ROW(),"-")</f>
        <v>-</v>
      </c>
    </row>
    <row r="27340" customHeight="1" spans="2:2">
      <c r="B27340" s="62" t="str">
        <f>IF(AND('领用录入（明细）'!D:D=$F$4,'领用录入（明细）'!C:C&gt;=$J$4,'领用录入（明细）'!C:C&lt;=$L$4),ROW(),"-")</f>
        <v>-</v>
      </c>
    </row>
    <row r="27341" customHeight="1" spans="2:2">
      <c r="B27341" s="62" t="str">
        <f>IF(AND('领用录入（明细）'!D:D=$F$4,'领用录入（明细）'!C:C&gt;=$J$4,'领用录入（明细）'!C:C&lt;=$L$4),ROW(),"-")</f>
        <v>-</v>
      </c>
    </row>
    <row r="27342" customHeight="1" spans="2:2">
      <c r="B27342" s="62" t="str">
        <f>IF(AND('领用录入（明细）'!D:D=$F$4,'领用录入（明细）'!C:C&gt;=$J$4,'领用录入（明细）'!C:C&lt;=$L$4),ROW(),"-")</f>
        <v>-</v>
      </c>
    </row>
    <row r="27343" customHeight="1" spans="2:2">
      <c r="B27343" s="62" t="str">
        <f>IF(AND('领用录入（明细）'!D:D=$F$4,'领用录入（明细）'!C:C&gt;=$J$4,'领用录入（明细）'!C:C&lt;=$L$4),ROW(),"-")</f>
        <v>-</v>
      </c>
    </row>
    <row r="27344" customHeight="1" spans="2:2">
      <c r="B27344" s="62" t="str">
        <f>IF(AND('领用录入（明细）'!D:D=$F$4,'领用录入（明细）'!C:C&gt;=$J$4,'领用录入（明细）'!C:C&lt;=$L$4),ROW(),"-")</f>
        <v>-</v>
      </c>
    </row>
    <row r="27345" customHeight="1" spans="2:2">
      <c r="B27345" s="62" t="str">
        <f>IF(AND('领用录入（明细）'!D:D=$F$4,'领用录入（明细）'!C:C&gt;=$J$4,'领用录入（明细）'!C:C&lt;=$L$4),ROW(),"-")</f>
        <v>-</v>
      </c>
    </row>
    <row r="27346" customHeight="1" spans="2:2">
      <c r="B27346" s="62" t="str">
        <f>IF(AND('领用录入（明细）'!D:D=$F$4,'领用录入（明细）'!C:C&gt;=$J$4,'领用录入（明细）'!C:C&lt;=$L$4),ROW(),"-")</f>
        <v>-</v>
      </c>
    </row>
    <row r="27347" customHeight="1" spans="2:2">
      <c r="B27347" s="62" t="str">
        <f>IF(AND('领用录入（明细）'!D:D=$F$4,'领用录入（明细）'!C:C&gt;=$J$4,'领用录入（明细）'!C:C&lt;=$L$4),ROW(),"-")</f>
        <v>-</v>
      </c>
    </row>
    <row r="27348" customHeight="1" spans="2:2">
      <c r="B27348" s="62" t="str">
        <f>IF(AND('领用录入（明细）'!D:D=$F$4,'领用录入（明细）'!C:C&gt;=$J$4,'领用录入（明细）'!C:C&lt;=$L$4),ROW(),"-")</f>
        <v>-</v>
      </c>
    </row>
    <row r="27349" customHeight="1" spans="2:2">
      <c r="B27349" s="62" t="str">
        <f>IF(AND('领用录入（明细）'!D:D=$F$4,'领用录入（明细）'!C:C&gt;=$J$4,'领用录入（明细）'!C:C&lt;=$L$4),ROW(),"-")</f>
        <v>-</v>
      </c>
    </row>
    <row r="27350" customHeight="1" spans="2:2">
      <c r="B27350" s="62" t="str">
        <f>IF(AND('领用录入（明细）'!D:D=$F$4,'领用录入（明细）'!C:C&gt;=$J$4,'领用录入（明细）'!C:C&lt;=$L$4),ROW(),"-")</f>
        <v>-</v>
      </c>
    </row>
    <row r="27351" customHeight="1" spans="2:2">
      <c r="B27351" s="62" t="str">
        <f>IF(AND('领用录入（明细）'!D:D=$F$4,'领用录入（明细）'!C:C&gt;=$J$4,'领用录入（明细）'!C:C&lt;=$L$4),ROW(),"-")</f>
        <v>-</v>
      </c>
    </row>
    <row r="27352" customHeight="1" spans="2:2">
      <c r="B27352" s="62" t="str">
        <f>IF(AND('领用录入（明细）'!D:D=$F$4,'领用录入（明细）'!C:C&gt;=$J$4,'领用录入（明细）'!C:C&lt;=$L$4),ROW(),"-")</f>
        <v>-</v>
      </c>
    </row>
    <row r="27353" customHeight="1" spans="2:2">
      <c r="B27353" s="62" t="str">
        <f>IF(AND('领用录入（明细）'!D:D=$F$4,'领用录入（明细）'!C:C&gt;=$J$4,'领用录入（明细）'!C:C&lt;=$L$4),ROW(),"-")</f>
        <v>-</v>
      </c>
    </row>
    <row r="27354" customHeight="1" spans="2:2">
      <c r="B27354" s="62" t="str">
        <f>IF(AND('领用录入（明细）'!D:D=$F$4,'领用录入（明细）'!C:C&gt;=$J$4,'领用录入（明细）'!C:C&lt;=$L$4),ROW(),"-")</f>
        <v>-</v>
      </c>
    </row>
    <row r="27355" customHeight="1" spans="2:2">
      <c r="B27355" s="62" t="str">
        <f>IF(AND('领用录入（明细）'!D:D=$F$4,'领用录入（明细）'!C:C&gt;=$J$4,'领用录入（明细）'!C:C&lt;=$L$4),ROW(),"-")</f>
        <v>-</v>
      </c>
    </row>
    <row r="27356" customHeight="1" spans="2:2">
      <c r="B27356" s="62" t="str">
        <f>IF(AND('领用录入（明细）'!D:D=$F$4,'领用录入（明细）'!C:C&gt;=$J$4,'领用录入（明细）'!C:C&lt;=$L$4),ROW(),"-")</f>
        <v>-</v>
      </c>
    </row>
    <row r="27357" customHeight="1" spans="2:2">
      <c r="B27357" s="62" t="str">
        <f>IF(AND('领用录入（明细）'!D:D=$F$4,'领用录入（明细）'!C:C&gt;=$J$4,'领用录入（明细）'!C:C&lt;=$L$4),ROW(),"-")</f>
        <v>-</v>
      </c>
    </row>
    <row r="27358" customHeight="1" spans="2:2">
      <c r="B27358" s="62" t="str">
        <f>IF(AND('领用录入（明细）'!D:D=$F$4,'领用录入（明细）'!C:C&gt;=$J$4,'领用录入（明细）'!C:C&lt;=$L$4),ROW(),"-")</f>
        <v>-</v>
      </c>
    </row>
    <row r="27359" customHeight="1" spans="2:2">
      <c r="B27359" s="62" t="str">
        <f>IF(AND('领用录入（明细）'!D:D=$F$4,'领用录入（明细）'!C:C&gt;=$J$4,'领用录入（明细）'!C:C&lt;=$L$4),ROW(),"-")</f>
        <v>-</v>
      </c>
    </row>
    <row r="27360" customHeight="1" spans="2:2">
      <c r="B27360" s="62" t="str">
        <f>IF(AND('领用录入（明细）'!D:D=$F$4,'领用录入（明细）'!C:C&gt;=$J$4,'领用录入（明细）'!C:C&lt;=$L$4),ROW(),"-")</f>
        <v>-</v>
      </c>
    </row>
    <row r="27361" customHeight="1" spans="2:2">
      <c r="B27361" s="62" t="str">
        <f>IF(AND('领用录入（明细）'!D:D=$F$4,'领用录入（明细）'!C:C&gt;=$J$4,'领用录入（明细）'!C:C&lt;=$L$4),ROW(),"-")</f>
        <v>-</v>
      </c>
    </row>
    <row r="27362" customHeight="1" spans="2:2">
      <c r="B27362" s="62" t="str">
        <f>IF(AND('领用录入（明细）'!D:D=$F$4,'领用录入（明细）'!C:C&gt;=$J$4,'领用录入（明细）'!C:C&lt;=$L$4),ROW(),"-")</f>
        <v>-</v>
      </c>
    </row>
    <row r="27363" customHeight="1" spans="2:2">
      <c r="B27363" s="62" t="str">
        <f>IF(AND('领用录入（明细）'!D:D=$F$4,'领用录入（明细）'!C:C&gt;=$J$4,'领用录入（明细）'!C:C&lt;=$L$4),ROW(),"-")</f>
        <v>-</v>
      </c>
    </row>
    <row r="27364" customHeight="1" spans="2:2">
      <c r="B27364" s="62" t="str">
        <f>IF(AND('领用录入（明细）'!D:D=$F$4,'领用录入（明细）'!C:C&gt;=$J$4,'领用录入（明细）'!C:C&lt;=$L$4),ROW(),"-")</f>
        <v>-</v>
      </c>
    </row>
    <row r="27365" customHeight="1" spans="2:2">
      <c r="B27365" s="62" t="str">
        <f>IF(AND('领用录入（明细）'!D:D=$F$4,'领用录入（明细）'!C:C&gt;=$J$4,'领用录入（明细）'!C:C&lt;=$L$4),ROW(),"-")</f>
        <v>-</v>
      </c>
    </row>
    <row r="27366" customHeight="1" spans="2:2">
      <c r="B27366" s="62" t="str">
        <f>IF(AND('领用录入（明细）'!D:D=$F$4,'领用录入（明细）'!C:C&gt;=$J$4,'领用录入（明细）'!C:C&lt;=$L$4),ROW(),"-")</f>
        <v>-</v>
      </c>
    </row>
    <row r="27367" customHeight="1" spans="2:2">
      <c r="B27367" s="62" t="str">
        <f>IF(AND('领用录入（明细）'!D:D=$F$4,'领用录入（明细）'!C:C&gt;=$J$4,'领用录入（明细）'!C:C&lt;=$L$4),ROW(),"-")</f>
        <v>-</v>
      </c>
    </row>
    <row r="27368" customHeight="1" spans="2:2">
      <c r="B27368" s="62" t="str">
        <f>IF(AND('领用录入（明细）'!D:D=$F$4,'领用录入（明细）'!C:C&gt;=$J$4,'领用录入（明细）'!C:C&lt;=$L$4),ROW(),"-")</f>
        <v>-</v>
      </c>
    </row>
    <row r="27369" customHeight="1" spans="2:2">
      <c r="B27369" s="62" t="str">
        <f>IF(AND('领用录入（明细）'!D:D=$F$4,'领用录入（明细）'!C:C&gt;=$J$4,'领用录入（明细）'!C:C&lt;=$L$4),ROW(),"-")</f>
        <v>-</v>
      </c>
    </row>
    <row r="27370" customHeight="1" spans="2:2">
      <c r="B27370" s="62" t="str">
        <f>IF(AND('领用录入（明细）'!D:D=$F$4,'领用录入（明细）'!C:C&gt;=$J$4,'领用录入（明细）'!C:C&lt;=$L$4),ROW(),"-")</f>
        <v>-</v>
      </c>
    </row>
    <row r="27371" customHeight="1" spans="2:2">
      <c r="B27371" s="62" t="str">
        <f>IF(AND('领用录入（明细）'!D:D=$F$4,'领用录入（明细）'!C:C&gt;=$J$4,'领用录入（明细）'!C:C&lt;=$L$4),ROW(),"-")</f>
        <v>-</v>
      </c>
    </row>
    <row r="27372" customHeight="1" spans="2:2">
      <c r="B27372" s="62" t="str">
        <f>IF(AND('领用录入（明细）'!D:D=$F$4,'领用录入（明细）'!C:C&gt;=$J$4,'领用录入（明细）'!C:C&lt;=$L$4),ROW(),"-")</f>
        <v>-</v>
      </c>
    </row>
    <row r="27373" customHeight="1" spans="2:2">
      <c r="B27373" s="62" t="str">
        <f>IF(AND('领用录入（明细）'!D:D=$F$4,'领用录入（明细）'!C:C&gt;=$J$4,'领用录入（明细）'!C:C&lt;=$L$4),ROW(),"-")</f>
        <v>-</v>
      </c>
    </row>
    <row r="27374" customHeight="1" spans="2:2">
      <c r="B27374" s="62" t="str">
        <f>IF(AND('领用录入（明细）'!D:D=$F$4,'领用录入（明细）'!C:C&gt;=$J$4,'领用录入（明细）'!C:C&lt;=$L$4),ROW(),"-")</f>
        <v>-</v>
      </c>
    </row>
    <row r="27375" customHeight="1" spans="2:2">
      <c r="B27375" s="62" t="str">
        <f>IF(AND('领用录入（明细）'!D:D=$F$4,'领用录入（明细）'!C:C&gt;=$J$4,'领用录入（明细）'!C:C&lt;=$L$4),ROW(),"-")</f>
        <v>-</v>
      </c>
    </row>
    <row r="27376" customHeight="1" spans="2:2">
      <c r="B27376" s="62" t="str">
        <f>IF(AND('领用录入（明细）'!D:D=$F$4,'领用录入（明细）'!C:C&gt;=$J$4,'领用录入（明细）'!C:C&lt;=$L$4),ROW(),"-")</f>
        <v>-</v>
      </c>
    </row>
    <row r="27377" customHeight="1" spans="2:2">
      <c r="B27377" s="62" t="str">
        <f>IF(AND('领用录入（明细）'!D:D=$F$4,'领用录入（明细）'!C:C&gt;=$J$4,'领用录入（明细）'!C:C&lt;=$L$4),ROW(),"-")</f>
        <v>-</v>
      </c>
    </row>
    <row r="27378" customHeight="1" spans="2:2">
      <c r="B27378" s="62" t="str">
        <f>IF(AND('领用录入（明细）'!D:D=$F$4,'领用录入（明细）'!C:C&gt;=$J$4,'领用录入（明细）'!C:C&lt;=$L$4),ROW(),"-")</f>
        <v>-</v>
      </c>
    </row>
    <row r="27379" customHeight="1" spans="2:2">
      <c r="B27379" s="62" t="str">
        <f>IF(AND('领用录入（明细）'!D:D=$F$4,'领用录入（明细）'!C:C&gt;=$J$4,'领用录入（明细）'!C:C&lt;=$L$4),ROW(),"-")</f>
        <v>-</v>
      </c>
    </row>
    <row r="27380" customHeight="1" spans="2:2">
      <c r="B27380" s="62" t="str">
        <f>IF(AND('领用录入（明细）'!D:D=$F$4,'领用录入（明细）'!C:C&gt;=$J$4,'领用录入（明细）'!C:C&lt;=$L$4),ROW(),"-")</f>
        <v>-</v>
      </c>
    </row>
    <row r="27381" customHeight="1" spans="2:2">
      <c r="B27381" s="62" t="str">
        <f>IF(AND('领用录入（明细）'!D:D=$F$4,'领用录入（明细）'!C:C&gt;=$J$4,'领用录入（明细）'!C:C&lt;=$L$4),ROW(),"-")</f>
        <v>-</v>
      </c>
    </row>
    <row r="27382" customHeight="1" spans="2:2">
      <c r="B27382" s="62" t="str">
        <f>IF(AND('领用录入（明细）'!D:D=$F$4,'领用录入（明细）'!C:C&gt;=$J$4,'领用录入（明细）'!C:C&lt;=$L$4),ROW(),"-")</f>
        <v>-</v>
      </c>
    </row>
    <row r="27383" customHeight="1" spans="2:2">
      <c r="B27383" s="62" t="str">
        <f>IF(AND('领用录入（明细）'!D:D=$F$4,'领用录入（明细）'!C:C&gt;=$J$4,'领用录入（明细）'!C:C&lt;=$L$4),ROW(),"-")</f>
        <v>-</v>
      </c>
    </row>
    <row r="27384" customHeight="1" spans="2:2">
      <c r="B27384" s="62" t="str">
        <f>IF(AND('领用录入（明细）'!D:D=$F$4,'领用录入（明细）'!C:C&gt;=$J$4,'领用录入（明细）'!C:C&lt;=$L$4),ROW(),"-")</f>
        <v>-</v>
      </c>
    </row>
    <row r="27385" customHeight="1" spans="2:2">
      <c r="B27385" s="62" t="str">
        <f>IF(AND('领用录入（明细）'!D:D=$F$4,'领用录入（明细）'!C:C&gt;=$J$4,'领用录入（明细）'!C:C&lt;=$L$4),ROW(),"-")</f>
        <v>-</v>
      </c>
    </row>
    <row r="27386" customHeight="1" spans="2:2">
      <c r="B27386" s="62" t="str">
        <f>IF(AND('领用录入（明细）'!D:D=$F$4,'领用录入（明细）'!C:C&gt;=$J$4,'领用录入（明细）'!C:C&lt;=$L$4),ROW(),"-")</f>
        <v>-</v>
      </c>
    </row>
    <row r="27387" customHeight="1" spans="2:2">
      <c r="B27387" s="62" t="str">
        <f>IF(AND('领用录入（明细）'!D:D=$F$4,'领用录入（明细）'!C:C&gt;=$J$4,'领用录入（明细）'!C:C&lt;=$L$4),ROW(),"-")</f>
        <v>-</v>
      </c>
    </row>
    <row r="27388" customHeight="1" spans="2:2">
      <c r="B27388" s="62" t="str">
        <f>IF(AND('领用录入（明细）'!D:D=$F$4,'领用录入（明细）'!C:C&gt;=$J$4,'领用录入（明细）'!C:C&lt;=$L$4),ROW(),"-")</f>
        <v>-</v>
      </c>
    </row>
    <row r="27389" customHeight="1" spans="2:2">
      <c r="B27389" s="62" t="str">
        <f>IF(AND('领用录入（明细）'!D:D=$F$4,'领用录入（明细）'!C:C&gt;=$J$4,'领用录入（明细）'!C:C&lt;=$L$4),ROW(),"-")</f>
        <v>-</v>
      </c>
    </row>
    <row r="27390" customHeight="1" spans="2:2">
      <c r="B27390" s="62" t="str">
        <f>IF(AND('领用录入（明细）'!D:D=$F$4,'领用录入（明细）'!C:C&gt;=$J$4,'领用录入（明细）'!C:C&lt;=$L$4),ROW(),"-")</f>
        <v>-</v>
      </c>
    </row>
    <row r="27391" customHeight="1" spans="2:2">
      <c r="B27391" s="62" t="str">
        <f>IF(AND('领用录入（明细）'!D:D=$F$4,'领用录入（明细）'!C:C&gt;=$J$4,'领用录入（明细）'!C:C&lt;=$L$4),ROW(),"-")</f>
        <v>-</v>
      </c>
    </row>
    <row r="27392" customHeight="1" spans="2:2">
      <c r="B27392" s="62" t="str">
        <f>IF(AND('领用录入（明细）'!D:D=$F$4,'领用录入（明细）'!C:C&gt;=$J$4,'领用录入（明细）'!C:C&lt;=$L$4),ROW(),"-")</f>
        <v>-</v>
      </c>
    </row>
    <row r="27393" customHeight="1" spans="2:2">
      <c r="B27393" s="62" t="str">
        <f>IF(AND('领用录入（明细）'!D:D=$F$4,'领用录入（明细）'!C:C&gt;=$J$4,'领用录入（明细）'!C:C&lt;=$L$4),ROW(),"-")</f>
        <v>-</v>
      </c>
    </row>
    <row r="27394" customHeight="1" spans="2:2">
      <c r="B27394" s="62" t="str">
        <f>IF(AND('领用录入（明细）'!D:D=$F$4,'领用录入（明细）'!C:C&gt;=$J$4,'领用录入（明细）'!C:C&lt;=$L$4),ROW(),"-")</f>
        <v>-</v>
      </c>
    </row>
    <row r="27395" customHeight="1" spans="2:2">
      <c r="B27395" s="62" t="str">
        <f>IF(AND('领用录入（明细）'!D:D=$F$4,'领用录入（明细）'!C:C&gt;=$J$4,'领用录入（明细）'!C:C&lt;=$L$4),ROW(),"-")</f>
        <v>-</v>
      </c>
    </row>
    <row r="27396" customHeight="1" spans="2:2">
      <c r="B27396" s="62" t="str">
        <f>IF(AND('领用录入（明细）'!D:D=$F$4,'领用录入（明细）'!C:C&gt;=$J$4,'领用录入（明细）'!C:C&lt;=$L$4),ROW(),"-")</f>
        <v>-</v>
      </c>
    </row>
    <row r="27397" customHeight="1" spans="2:2">
      <c r="B27397" s="62" t="str">
        <f>IF(AND('领用录入（明细）'!D:D=$F$4,'领用录入（明细）'!C:C&gt;=$J$4,'领用录入（明细）'!C:C&lt;=$L$4),ROW(),"-")</f>
        <v>-</v>
      </c>
    </row>
    <row r="27398" customHeight="1" spans="2:2">
      <c r="B27398" s="62" t="str">
        <f>IF(AND('领用录入（明细）'!D:D=$F$4,'领用录入（明细）'!C:C&gt;=$J$4,'领用录入（明细）'!C:C&lt;=$L$4),ROW(),"-")</f>
        <v>-</v>
      </c>
    </row>
    <row r="27399" customHeight="1" spans="2:2">
      <c r="B27399" s="62" t="str">
        <f>IF(AND('领用录入（明细）'!D:D=$F$4,'领用录入（明细）'!C:C&gt;=$J$4,'领用录入（明细）'!C:C&lt;=$L$4),ROW(),"-")</f>
        <v>-</v>
      </c>
    </row>
    <row r="27400" customHeight="1" spans="2:2">
      <c r="B27400" s="62" t="str">
        <f>IF(AND('领用录入（明细）'!D:D=$F$4,'领用录入（明细）'!C:C&gt;=$J$4,'领用录入（明细）'!C:C&lt;=$L$4),ROW(),"-")</f>
        <v>-</v>
      </c>
    </row>
    <row r="27401" customHeight="1" spans="2:2">
      <c r="B27401" s="62" t="str">
        <f>IF(AND('领用录入（明细）'!D:D=$F$4,'领用录入（明细）'!C:C&gt;=$J$4,'领用录入（明细）'!C:C&lt;=$L$4),ROW(),"-")</f>
        <v>-</v>
      </c>
    </row>
    <row r="27402" customHeight="1" spans="2:2">
      <c r="B27402" s="62" t="str">
        <f>IF(AND('领用录入（明细）'!D:D=$F$4,'领用录入（明细）'!C:C&gt;=$J$4,'领用录入（明细）'!C:C&lt;=$L$4),ROW(),"-")</f>
        <v>-</v>
      </c>
    </row>
    <row r="27403" customHeight="1" spans="2:2">
      <c r="B27403" s="62" t="str">
        <f>IF(AND('领用录入（明细）'!D:D=$F$4,'领用录入（明细）'!C:C&gt;=$J$4,'领用录入（明细）'!C:C&lt;=$L$4),ROW(),"-")</f>
        <v>-</v>
      </c>
    </row>
    <row r="27404" customHeight="1" spans="2:2">
      <c r="B27404" s="62" t="str">
        <f>IF(AND('领用录入（明细）'!D:D=$F$4,'领用录入（明细）'!C:C&gt;=$J$4,'领用录入（明细）'!C:C&lt;=$L$4),ROW(),"-")</f>
        <v>-</v>
      </c>
    </row>
    <row r="27405" customHeight="1" spans="2:2">
      <c r="B27405" s="62" t="str">
        <f>IF(AND('领用录入（明细）'!D:D=$F$4,'领用录入（明细）'!C:C&gt;=$J$4,'领用录入（明细）'!C:C&lt;=$L$4),ROW(),"-")</f>
        <v>-</v>
      </c>
    </row>
    <row r="27406" customHeight="1" spans="2:2">
      <c r="B27406" s="62" t="str">
        <f>IF(AND('领用录入（明细）'!D:D=$F$4,'领用录入（明细）'!C:C&gt;=$J$4,'领用录入（明细）'!C:C&lt;=$L$4),ROW(),"-")</f>
        <v>-</v>
      </c>
    </row>
    <row r="27407" customHeight="1" spans="2:2">
      <c r="B27407" s="62" t="str">
        <f>IF(AND('领用录入（明细）'!D:D=$F$4,'领用录入（明细）'!C:C&gt;=$J$4,'领用录入（明细）'!C:C&lt;=$L$4),ROW(),"-")</f>
        <v>-</v>
      </c>
    </row>
    <row r="27408" customHeight="1" spans="2:2">
      <c r="B27408" s="62" t="str">
        <f>IF(AND('领用录入（明细）'!D:D=$F$4,'领用录入（明细）'!C:C&gt;=$J$4,'领用录入（明细）'!C:C&lt;=$L$4),ROW(),"-")</f>
        <v>-</v>
      </c>
    </row>
    <row r="27409" customHeight="1" spans="2:2">
      <c r="B27409" s="62" t="str">
        <f>IF(AND('领用录入（明细）'!D:D=$F$4,'领用录入（明细）'!C:C&gt;=$J$4,'领用录入（明细）'!C:C&lt;=$L$4),ROW(),"-")</f>
        <v>-</v>
      </c>
    </row>
    <row r="27410" customHeight="1" spans="2:2">
      <c r="B27410" s="62" t="str">
        <f>IF(AND('领用录入（明细）'!D:D=$F$4,'领用录入（明细）'!C:C&gt;=$J$4,'领用录入（明细）'!C:C&lt;=$L$4),ROW(),"-")</f>
        <v>-</v>
      </c>
    </row>
    <row r="27411" customHeight="1" spans="2:2">
      <c r="B27411" s="62" t="str">
        <f>IF(AND('领用录入（明细）'!D:D=$F$4,'领用录入（明细）'!C:C&gt;=$J$4,'领用录入（明细）'!C:C&lt;=$L$4),ROW(),"-")</f>
        <v>-</v>
      </c>
    </row>
    <row r="27412" customHeight="1" spans="2:2">
      <c r="B27412" s="62" t="str">
        <f>IF(AND('领用录入（明细）'!D:D=$F$4,'领用录入（明细）'!C:C&gt;=$J$4,'领用录入（明细）'!C:C&lt;=$L$4),ROW(),"-")</f>
        <v>-</v>
      </c>
    </row>
    <row r="27413" customHeight="1" spans="2:2">
      <c r="B27413" s="62" t="str">
        <f>IF(AND('领用录入（明细）'!D:D=$F$4,'领用录入（明细）'!C:C&gt;=$J$4,'领用录入（明细）'!C:C&lt;=$L$4),ROW(),"-")</f>
        <v>-</v>
      </c>
    </row>
    <row r="27414" customHeight="1" spans="2:2">
      <c r="B27414" s="62" t="str">
        <f>IF(AND('领用录入（明细）'!D:D=$F$4,'领用录入（明细）'!C:C&gt;=$J$4,'领用录入（明细）'!C:C&lt;=$L$4),ROW(),"-")</f>
        <v>-</v>
      </c>
    </row>
    <row r="27415" customHeight="1" spans="2:2">
      <c r="B27415" s="62" t="str">
        <f>IF(AND('领用录入（明细）'!D:D=$F$4,'领用录入（明细）'!C:C&gt;=$J$4,'领用录入（明细）'!C:C&lt;=$L$4),ROW(),"-")</f>
        <v>-</v>
      </c>
    </row>
    <row r="27416" customHeight="1" spans="2:2">
      <c r="B27416" s="62" t="str">
        <f>IF(AND('领用录入（明细）'!D:D=$F$4,'领用录入（明细）'!C:C&gt;=$J$4,'领用录入（明细）'!C:C&lt;=$L$4),ROW(),"-")</f>
        <v>-</v>
      </c>
    </row>
    <row r="27417" customHeight="1" spans="2:2">
      <c r="B27417" s="62" t="str">
        <f>IF(AND('领用录入（明细）'!D:D=$F$4,'领用录入（明细）'!C:C&gt;=$J$4,'领用录入（明细）'!C:C&lt;=$L$4),ROW(),"-")</f>
        <v>-</v>
      </c>
    </row>
    <row r="27418" customHeight="1" spans="2:2">
      <c r="B27418" s="62" t="str">
        <f>IF(AND('领用录入（明细）'!D:D=$F$4,'领用录入（明细）'!C:C&gt;=$J$4,'领用录入（明细）'!C:C&lt;=$L$4),ROW(),"-")</f>
        <v>-</v>
      </c>
    </row>
    <row r="27419" customHeight="1" spans="2:2">
      <c r="B27419" s="62" t="str">
        <f>IF(AND('领用录入（明细）'!D:D=$F$4,'领用录入（明细）'!C:C&gt;=$J$4,'领用录入（明细）'!C:C&lt;=$L$4),ROW(),"-")</f>
        <v>-</v>
      </c>
    </row>
    <row r="27420" customHeight="1" spans="2:2">
      <c r="B27420" s="62" t="str">
        <f>IF(AND('领用录入（明细）'!D:D=$F$4,'领用录入（明细）'!C:C&gt;=$J$4,'领用录入（明细）'!C:C&lt;=$L$4),ROW(),"-")</f>
        <v>-</v>
      </c>
    </row>
    <row r="27421" customHeight="1" spans="2:2">
      <c r="B27421" s="62" t="str">
        <f>IF(AND('领用录入（明细）'!D:D=$F$4,'领用录入（明细）'!C:C&gt;=$J$4,'领用录入（明细）'!C:C&lt;=$L$4),ROW(),"-")</f>
        <v>-</v>
      </c>
    </row>
    <row r="27422" customHeight="1" spans="2:2">
      <c r="B27422" s="62" t="str">
        <f>IF(AND('领用录入（明细）'!D:D=$F$4,'领用录入（明细）'!C:C&gt;=$J$4,'领用录入（明细）'!C:C&lt;=$L$4),ROW(),"-")</f>
        <v>-</v>
      </c>
    </row>
    <row r="27423" customHeight="1" spans="2:2">
      <c r="B27423" s="62" t="str">
        <f>IF(AND('领用录入（明细）'!D:D=$F$4,'领用录入（明细）'!C:C&gt;=$J$4,'领用录入（明细）'!C:C&lt;=$L$4),ROW(),"-")</f>
        <v>-</v>
      </c>
    </row>
    <row r="27424" customHeight="1" spans="2:2">
      <c r="B27424" s="62" t="str">
        <f>IF(AND('领用录入（明细）'!D:D=$F$4,'领用录入（明细）'!C:C&gt;=$J$4,'领用录入（明细）'!C:C&lt;=$L$4),ROW(),"-")</f>
        <v>-</v>
      </c>
    </row>
    <row r="27425" customHeight="1" spans="2:2">
      <c r="B27425" s="62" t="str">
        <f>IF(AND('领用录入（明细）'!D:D=$F$4,'领用录入（明细）'!C:C&gt;=$J$4,'领用录入（明细）'!C:C&lt;=$L$4),ROW(),"-")</f>
        <v>-</v>
      </c>
    </row>
    <row r="27426" customHeight="1" spans="2:2">
      <c r="B27426" s="62" t="str">
        <f>IF(AND('领用录入（明细）'!D:D=$F$4,'领用录入（明细）'!C:C&gt;=$J$4,'领用录入（明细）'!C:C&lt;=$L$4),ROW(),"-")</f>
        <v>-</v>
      </c>
    </row>
    <row r="27427" customHeight="1" spans="2:2">
      <c r="B27427" s="62" t="str">
        <f>IF(AND('领用录入（明细）'!D:D=$F$4,'领用录入（明细）'!C:C&gt;=$J$4,'领用录入（明细）'!C:C&lt;=$L$4),ROW(),"-")</f>
        <v>-</v>
      </c>
    </row>
    <row r="27428" customHeight="1" spans="2:2">
      <c r="B27428" s="62" t="str">
        <f>IF(AND('领用录入（明细）'!D:D=$F$4,'领用录入（明细）'!C:C&gt;=$J$4,'领用录入（明细）'!C:C&lt;=$L$4),ROW(),"-")</f>
        <v>-</v>
      </c>
    </row>
    <row r="27429" customHeight="1" spans="2:2">
      <c r="B27429" s="62" t="str">
        <f>IF(AND('领用录入（明细）'!D:D=$F$4,'领用录入（明细）'!C:C&gt;=$J$4,'领用录入（明细）'!C:C&lt;=$L$4),ROW(),"-")</f>
        <v>-</v>
      </c>
    </row>
    <row r="27430" customHeight="1" spans="2:2">
      <c r="B27430" s="62" t="str">
        <f>IF(AND('领用录入（明细）'!D:D=$F$4,'领用录入（明细）'!C:C&gt;=$J$4,'领用录入（明细）'!C:C&lt;=$L$4),ROW(),"-")</f>
        <v>-</v>
      </c>
    </row>
    <row r="27431" customHeight="1" spans="2:2">
      <c r="B27431" s="62" t="str">
        <f>IF(AND('领用录入（明细）'!D:D=$F$4,'领用录入（明细）'!C:C&gt;=$J$4,'领用录入（明细）'!C:C&lt;=$L$4),ROW(),"-")</f>
        <v>-</v>
      </c>
    </row>
    <row r="27432" customHeight="1" spans="2:2">
      <c r="B27432" s="62" t="str">
        <f>IF(AND('领用录入（明细）'!D:D=$F$4,'领用录入（明细）'!C:C&gt;=$J$4,'领用录入（明细）'!C:C&lt;=$L$4),ROW(),"-")</f>
        <v>-</v>
      </c>
    </row>
    <row r="27433" customHeight="1" spans="2:2">
      <c r="B27433" s="62" t="str">
        <f>IF(AND('领用录入（明细）'!D:D=$F$4,'领用录入（明细）'!C:C&gt;=$J$4,'领用录入（明细）'!C:C&lt;=$L$4),ROW(),"-")</f>
        <v>-</v>
      </c>
    </row>
    <row r="27434" customHeight="1" spans="2:2">
      <c r="B27434" s="62" t="str">
        <f>IF(AND('领用录入（明细）'!D:D=$F$4,'领用录入（明细）'!C:C&gt;=$J$4,'领用录入（明细）'!C:C&lt;=$L$4),ROW(),"-")</f>
        <v>-</v>
      </c>
    </row>
    <row r="27435" customHeight="1" spans="2:2">
      <c r="B27435" s="62" t="str">
        <f>IF(AND('领用录入（明细）'!D:D=$F$4,'领用录入（明细）'!C:C&gt;=$J$4,'领用录入（明细）'!C:C&lt;=$L$4),ROW(),"-")</f>
        <v>-</v>
      </c>
    </row>
    <row r="27436" customHeight="1" spans="2:2">
      <c r="B27436" s="62" t="str">
        <f>IF(AND('领用录入（明细）'!D:D=$F$4,'领用录入（明细）'!C:C&gt;=$J$4,'领用录入（明细）'!C:C&lt;=$L$4),ROW(),"-")</f>
        <v>-</v>
      </c>
    </row>
    <row r="27437" customHeight="1" spans="2:2">
      <c r="B27437" s="62" t="str">
        <f>IF(AND('领用录入（明细）'!D:D=$F$4,'领用录入（明细）'!C:C&gt;=$J$4,'领用录入（明细）'!C:C&lt;=$L$4),ROW(),"-")</f>
        <v>-</v>
      </c>
    </row>
    <row r="27438" customHeight="1" spans="2:2">
      <c r="B27438" s="62" t="str">
        <f>IF(AND('领用录入（明细）'!D:D=$F$4,'领用录入（明细）'!C:C&gt;=$J$4,'领用录入（明细）'!C:C&lt;=$L$4),ROW(),"-")</f>
        <v>-</v>
      </c>
    </row>
    <row r="27439" customHeight="1" spans="2:2">
      <c r="B27439" s="62" t="str">
        <f>IF(AND('领用录入（明细）'!D:D=$F$4,'领用录入（明细）'!C:C&gt;=$J$4,'领用录入（明细）'!C:C&lt;=$L$4),ROW(),"-")</f>
        <v>-</v>
      </c>
    </row>
    <row r="27440" customHeight="1" spans="2:2">
      <c r="B27440" s="62" t="str">
        <f>IF(AND('领用录入（明细）'!D:D=$F$4,'领用录入（明细）'!C:C&gt;=$J$4,'领用录入（明细）'!C:C&lt;=$L$4),ROW(),"-")</f>
        <v>-</v>
      </c>
    </row>
    <row r="27441" customHeight="1" spans="2:2">
      <c r="B27441" s="62" t="str">
        <f>IF(AND('领用录入（明细）'!D:D=$F$4,'领用录入（明细）'!C:C&gt;=$J$4,'领用录入（明细）'!C:C&lt;=$L$4),ROW(),"-")</f>
        <v>-</v>
      </c>
    </row>
    <row r="27442" customHeight="1" spans="2:2">
      <c r="B27442" s="62" t="str">
        <f>IF(AND('领用录入（明细）'!D:D=$F$4,'领用录入（明细）'!C:C&gt;=$J$4,'领用录入（明细）'!C:C&lt;=$L$4),ROW(),"-")</f>
        <v>-</v>
      </c>
    </row>
    <row r="27443" customHeight="1" spans="2:2">
      <c r="B27443" s="62" t="str">
        <f>IF(AND('领用录入（明细）'!D:D=$F$4,'领用录入（明细）'!C:C&gt;=$J$4,'领用录入（明细）'!C:C&lt;=$L$4),ROW(),"-")</f>
        <v>-</v>
      </c>
    </row>
    <row r="27444" customHeight="1" spans="2:2">
      <c r="B27444" s="62" t="str">
        <f>IF(AND('领用录入（明细）'!D:D=$F$4,'领用录入（明细）'!C:C&gt;=$J$4,'领用录入（明细）'!C:C&lt;=$L$4),ROW(),"-")</f>
        <v>-</v>
      </c>
    </row>
    <row r="27445" customHeight="1" spans="2:2">
      <c r="B27445" s="62" t="str">
        <f>IF(AND('领用录入（明细）'!D:D=$F$4,'领用录入（明细）'!C:C&gt;=$J$4,'领用录入（明细）'!C:C&lt;=$L$4),ROW(),"-")</f>
        <v>-</v>
      </c>
    </row>
    <row r="27446" customHeight="1" spans="2:2">
      <c r="B27446" s="62" t="str">
        <f>IF(AND('领用录入（明细）'!D:D=$F$4,'领用录入（明细）'!C:C&gt;=$J$4,'领用录入（明细）'!C:C&lt;=$L$4),ROW(),"-")</f>
        <v>-</v>
      </c>
    </row>
    <row r="27447" customHeight="1" spans="2:2">
      <c r="B27447" s="62" t="str">
        <f>IF(AND('领用录入（明细）'!D:D=$F$4,'领用录入（明细）'!C:C&gt;=$J$4,'领用录入（明细）'!C:C&lt;=$L$4),ROW(),"-")</f>
        <v>-</v>
      </c>
    </row>
    <row r="27448" customHeight="1" spans="2:2">
      <c r="B27448" s="62" t="str">
        <f>IF(AND('领用录入（明细）'!D:D=$F$4,'领用录入（明细）'!C:C&gt;=$J$4,'领用录入（明细）'!C:C&lt;=$L$4),ROW(),"-")</f>
        <v>-</v>
      </c>
    </row>
    <row r="27449" customHeight="1" spans="2:2">
      <c r="B27449" s="62" t="str">
        <f>IF(AND('领用录入（明细）'!D:D=$F$4,'领用录入（明细）'!C:C&gt;=$J$4,'领用录入（明细）'!C:C&lt;=$L$4),ROW(),"-")</f>
        <v>-</v>
      </c>
    </row>
    <row r="27450" customHeight="1" spans="2:2">
      <c r="B27450" s="62" t="str">
        <f>IF(AND('领用录入（明细）'!D:D=$F$4,'领用录入（明细）'!C:C&gt;=$J$4,'领用录入（明细）'!C:C&lt;=$L$4),ROW(),"-")</f>
        <v>-</v>
      </c>
    </row>
    <row r="27451" customHeight="1" spans="2:2">
      <c r="B27451" s="62" t="str">
        <f>IF(AND('领用录入（明细）'!D:D=$F$4,'领用录入（明细）'!C:C&gt;=$J$4,'领用录入（明细）'!C:C&lt;=$L$4),ROW(),"-")</f>
        <v>-</v>
      </c>
    </row>
    <row r="27452" customHeight="1" spans="2:2">
      <c r="B27452" s="62" t="str">
        <f>IF(AND('领用录入（明细）'!D:D=$F$4,'领用录入（明细）'!C:C&gt;=$J$4,'领用录入（明细）'!C:C&lt;=$L$4),ROW(),"-")</f>
        <v>-</v>
      </c>
    </row>
    <row r="27453" customHeight="1" spans="2:2">
      <c r="B27453" s="62" t="str">
        <f>IF(AND('领用录入（明细）'!D:D=$F$4,'领用录入（明细）'!C:C&gt;=$J$4,'领用录入（明细）'!C:C&lt;=$L$4),ROW(),"-")</f>
        <v>-</v>
      </c>
    </row>
    <row r="27454" customHeight="1" spans="2:2">
      <c r="B27454" s="62" t="str">
        <f>IF(AND('领用录入（明细）'!D:D=$F$4,'领用录入（明细）'!C:C&gt;=$J$4,'领用录入（明细）'!C:C&lt;=$L$4),ROW(),"-")</f>
        <v>-</v>
      </c>
    </row>
    <row r="27455" customHeight="1" spans="2:2">
      <c r="B27455" s="62" t="str">
        <f>IF(AND('领用录入（明细）'!D:D=$F$4,'领用录入（明细）'!C:C&gt;=$J$4,'领用录入（明细）'!C:C&lt;=$L$4),ROW(),"-")</f>
        <v>-</v>
      </c>
    </row>
    <row r="27456" customHeight="1" spans="2:2">
      <c r="B27456" s="62" t="str">
        <f>IF(AND('领用录入（明细）'!D:D=$F$4,'领用录入（明细）'!C:C&gt;=$J$4,'领用录入（明细）'!C:C&lt;=$L$4),ROW(),"-")</f>
        <v>-</v>
      </c>
    </row>
    <row r="27457" customHeight="1" spans="2:2">
      <c r="B27457" s="62" t="str">
        <f>IF(AND('领用录入（明细）'!D:D=$F$4,'领用录入（明细）'!C:C&gt;=$J$4,'领用录入（明细）'!C:C&lt;=$L$4),ROW(),"-")</f>
        <v>-</v>
      </c>
    </row>
    <row r="27458" customHeight="1" spans="2:2">
      <c r="B27458" s="62" t="str">
        <f>IF(AND('领用录入（明细）'!D:D=$F$4,'领用录入（明细）'!C:C&gt;=$J$4,'领用录入（明细）'!C:C&lt;=$L$4),ROW(),"-")</f>
        <v>-</v>
      </c>
    </row>
    <row r="27459" customHeight="1" spans="2:2">
      <c r="B27459" s="62" t="str">
        <f>IF(AND('领用录入（明细）'!D:D=$F$4,'领用录入（明细）'!C:C&gt;=$J$4,'领用录入（明细）'!C:C&lt;=$L$4),ROW(),"-")</f>
        <v>-</v>
      </c>
    </row>
    <row r="27460" customHeight="1" spans="2:2">
      <c r="B27460" s="62" t="str">
        <f>IF(AND('领用录入（明细）'!D:D=$F$4,'领用录入（明细）'!C:C&gt;=$J$4,'领用录入（明细）'!C:C&lt;=$L$4),ROW(),"-")</f>
        <v>-</v>
      </c>
    </row>
    <row r="27461" customHeight="1" spans="2:2">
      <c r="B27461" s="62" t="str">
        <f>IF(AND('领用录入（明细）'!D:D=$F$4,'领用录入（明细）'!C:C&gt;=$J$4,'领用录入（明细）'!C:C&lt;=$L$4),ROW(),"-")</f>
        <v>-</v>
      </c>
    </row>
    <row r="27462" customHeight="1" spans="2:2">
      <c r="B27462" s="62" t="str">
        <f>IF(AND('领用录入（明细）'!D:D=$F$4,'领用录入（明细）'!C:C&gt;=$J$4,'领用录入（明细）'!C:C&lt;=$L$4),ROW(),"-")</f>
        <v>-</v>
      </c>
    </row>
    <row r="27463" customHeight="1" spans="2:2">
      <c r="B27463" s="62" t="str">
        <f>IF(AND('领用录入（明细）'!D:D=$F$4,'领用录入（明细）'!C:C&gt;=$J$4,'领用录入（明细）'!C:C&lt;=$L$4),ROW(),"-")</f>
        <v>-</v>
      </c>
    </row>
    <row r="27464" customHeight="1" spans="2:2">
      <c r="B27464" s="62" t="str">
        <f>IF(AND('领用录入（明细）'!D:D=$F$4,'领用录入（明细）'!C:C&gt;=$J$4,'领用录入（明细）'!C:C&lt;=$L$4),ROW(),"-")</f>
        <v>-</v>
      </c>
    </row>
    <row r="27465" customHeight="1" spans="2:2">
      <c r="B27465" s="62" t="str">
        <f>IF(AND('领用录入（明细）'!D:D=$F$4,'领用录入（明细）'!C:C&gt;=$J$4,'领用录入（明细）'!C:C&lt;=$L$4),ROW(),"-")</f>
        <v>-</v>
      </c>
    </row>
    <row r="27466" customHeight="1" spans="2:2">
      <c r="B27466" s="62" t="str">
        <f>IF(AND('领用录入（明细）'!D:D=$F$4,'领用录入（明细）'!C:C&gt;=$J$4,'领用录入（明细）'!C:C&lt;=$L$4),ROW(),"-")</f>
        <v>-</v>
      </c>
    </row>
    <row r="27467" customHeight="1" spans="2:2">
      <c r="B27467" s="62" t="str">
        <f>IF(AND('领用录入（明细）'!D:D=$F$4,'领用录入（明细）'!C:C&gt;=$J$4,'领用录入（明细）'!C:C&lt;=$L$4),ROW(),"-")</f>
        <v>-</v>
      </c>
    </row>
    <row r="27468" customHeight="1" spans="2:2">
      <c r="B27468" s="62" t="str">
        <f>IF(AND('领用录入（明细）'!D:D=$F$4,'领用录入（明细）'!C:C&gt;=$J$4,'领用录入（明细）'!C:C&lt;=$L$4),ROW(),"-")</f>
        <v>-</v>
      </c>
    </row>
    <row r="27469" customHeight="1" spans="2:2">
      <c r="B27469" s="62" t="str">
        <f>IF(AND('领用录入（明细）'!D:D=$F$4,'领用录入（明细）'!C:C&gt;=$J$4,'领用录入（明细）'!C:C&lt;=$L$4),ROW(),"-")</f>
        <v>-</v>
      </c>
    </row>
    <row r="27470" customHeight="1" spans="2:2">
      <c r="B27470" s="62" t="str">
        <f>IF(AND('领用录入（明细）'!D:D=$F$4,'领用录入（明细）'!C:C&gt;=$J$4,'领用录入（明细）'!C:C&lt;=$L$4),ROW(),"-")</f>
        <v>-</v>
      </c>
    </row>
    <row r="27471" customHeight="1" spans="2:2">
      <c r="B27471" s="62" t="str">
        <f>IF(AND('领用录入（明细）'!D:D=$F$4,'领用录入（明细）'!C:C&gt;=$J$4,'领用录入（明细）'!C:C&lt;=$L$4),ROW(),"-")</f>
        <v>-</v>
      </c>
    </row>
    <row r="27472" customHeight="1" spans="2:2">
      <c r="B27472" s="62" t="str">
        <f>IF(AND('领用录入（明细）'!D:D=$F$4,'领用录入（明细）'!C:C&gt;=$J$4,'领用录入（明细）'!C:C&lt;=$L$4),ROW(),"-")</f>
        <v>-</v>
      </c>
    </row>
    <row r="27473" customHeight="1" spans="2:2">
      <c r="B27473" s="62" t="str">
        <f>IF(AND('领用录入（明细）'!D:D=$F$4,'领用录入（明细）'!C:C&gt;=$J$4,'领用录入（明细）'!C:C&lt;=$L$4),ROW(),"-")</f>
        <v>-</v>
      </c>
    </row>
    <row r="27474" customHeight="1" spans="2:2">
      <c r="B27474" s="62" t="str">
        <f>IF(AND('领用录入（明细）'!D:D=$F$4,'领用录入（明细）'!C:C&gt;=$J$4,'领用录入（明细）'!C:C&lt;=$L$4),ROW(),"-")</f>
        <v>-</v>
      </c>
    </row>
    <row r="27475" customHeight="1" spans="2:2">
      <c r="B27475" s="62" t="str">
        <f>IF(AND('领用录入（明细）'!D:D=$F$4,'领用录入（明细）'!C:C&gt;=$J$4,'领用录入（明细）'!C:C&lt;=$L$4),ROW(),"-")</f>
        <v>-</v>
      </c>
    </row>
    <row r="27476" customHeight="1" spans="2:2">
      <c r="B27476" s="62" t="str">
        <f>IF(AND('领用录入（明细）'!D:D=$F$4,'领用录入（明细）'!C:C&gt;=$J$4,'领用录入（明细）'!C:C&lt;=$L$4),ROW(),"-")</f>
        <v>-</v>
      </c>
    </row>
    <row r="27477" customHeight="1" spans="2:2">
      <c r="B27477" s="62" t="str">
        <f>IF(AND('领用录入（明细）'!D:D=$F$4,'领用录入（明细）'!C:C&gt;=$J$4,'领用录入（明细）'!C:C&lt;=$L$4),ROW(),"-")</f>
        <v>-</v>
      </c>
    </row>
    <row r="27478" customHeight="1" spans="2:2">
      <c r="B27478" s="62" t="str">
        <f>IF(AND('领用录入（明细）'!D:D=$F$4,'领用录入（明细）'!C:C&gt;=$J$4,'领用录入（明细）'!C:C&lt;=$L$4),ROW(),"-")</f>
        <v>-</v>
      </c>
    </row>
    <row r="27479" customHeight="1" spans="2:2">
      <c r="B27479" s="62" t="str">
        <f>IF(AND('领用录入（明细）'!D:D=$F$4,'领用录入（明细）'!C:C&gt;=$J$4,'领用录入（明细）'!C:C&lt;=$L$4),ROW(),"-")</f>
        <v>-</v>
      </c>
    </row>
    <row r="27480" customHeight="1" spans="2:2">
      <c r="B27480" s="62" t="str">
        <f>IF(AND('领用录入（明细）'!D:D=$F$4,'领用录入（明细）'!C:C&gt;=$J$4,'领用录入（明细）'!C:C&lt;=$L$4),ROW(),"-")</f>
        <v>-</v>
      </c>
    </row>
    <row r="27481" customHeight="1" spans="2:2">
      <c r="B27481" s="62" t="str">
        <f>IF(AND('领用录入（明细）'!D:D=$F$4,'领用录入（明细）'!C:C&gt;=$J$4,'领用录入（明细）'!C:C&lt;=$L$4),ROW(),"-")</f>
        <v>-</v>
      </c>
    </row>
    <row r="27482" customHeight="1" spans="2:2">
      <c r="B27482" s="62" t="str">
        <f>IF(AND('领用录入（明细）'!D:D=$F$4,'领用录入（明细）'!C:C&gt;=$J$4,'领用录入（明细）'!C:C&lt;=$L$4),ROW(),"-")</f>
        <v>-</v>
      </c>
    </row>
    <row r="27483" customHeight="1" spans="2:2">
      <c r="B27483" s="62" t="str">
        <f>IF(AND('领用录入（明细）'!D:D=$F$4,'领用录入（明细）'!C:C&gt;=$J$4,'领用录入（明细）'!C:C&lt;=$L$4),ROW(),"-")</f>
        <v>-</v>
      </c>
    </row>
    <row r="27484" customHeight="1" spans="2:2">
      <c r="B27484" s="62" t="str">
        <f>IF(AND('领用录入（明细）'!D:D=$F$4,'领用录入（明细）'!C:C&gt;=$J$4,'领用录入（明细）'!C:C&lt;=$L$4),ROW(),"-")</f>
        <v>-</v>
      </c>
    </row>
    <row r="27485" customHeight="1" spans="2:2">
      <c r="B27485" s="62" t="str">
        <f>IF(AND('领用录入（明细）'!D:D=$F$4,'领用录入（明细）'!C:C&gt;=$J$4,'领用录入（明细）'!C:C&lt;=$L$4),ROW(),"-")</f>
        <v>-</v>
      </c>
    </row>
    <row r="27486" customHeight="1" spans="2:2">
      <c r="B27486" s="62" t="str">
        <f>IF(AND('领用录入（明细）'!D:D=$F$4,'领用录入（明细）'!C:C&gt;=$J$4,'领用录入（明细）'!C:C&lt;=$L$4),ROW(),"-")</f>
        <v>-</v>
      </c>
    </row>
    <row r="27487" customHeight="1" spans="2:2">
      <c r="B27487" s="62" t="str">
        <f>IF(AND('领用录入（明细）'!D:D=$F$4,'领用录入（明细）'!C:C&gt;=$J$4,'领用录入（明细）'!C:C&lt;=$L$4),ROW(),"-")</f>
        <v>-</v>
      </c>
    </row>
    <row r="27488" customHeight="1" spans="2:2">
      <c r="B27488" s="62" t="str">
        <f>IF(AND('领用录入（明细）'!D:D=$F$4,'领用录入（明细）'!C:C&gt;=$J$4,'领用录入（明细）'!C:C&lt;=$L$4),ROW(),"-")</f>
        <v>-</v>
      </c>
    </row>
    <row r="27489" customHeight="1" spans="2:2">
      <c r="B27489" s="62" t="str">
        <f>IF(AND('领用录入（明细）'!D:D=$F$4,'领用录入（明细）'!C:C&gt;=$J$4,'领用录入（明细）'!C:C&lt;=$L$4),ROW(),"-")</f>
        <v>-</v>
      </c>
    </row>
    <row r="27490" customHeight="1" spans="2:2">
      <c r="B27490" s="62" t="str">
        <f>IF(AND('领用录入（明细）'!D:D=$F$4,'领用录入（明细）'!C:C&gt;=$J$4,'领用录入（明细）'!C:C&lt;=$L$4),ROW(),"-")</f>
        <v>-</v>
      </c>
    </row>
    <row r="27491" customHeight="1" spans="2:2">
      <c r="B27491" s="62" t="str">
        <f>IF(AND('领用录入（明细）'!D:D=$F$4,'领用录入（明细）'!C:C&gt;=$J$4,'领用录入（明细）'!C:C&lt;=$L$4),ROW(),"-")</f>
        <v>-</v>
      </c>
    </row>
    <row r="27492" customHeight="1" spans="2:2">
      <c r="B27492" s="62" t="str">
        <f>IF(AND('领用录入（明细）'!D:D=$F$4,'领用录入（明细）'!C:C&gt;=$J$4,'领用录入（明细）'!C:C&lt;=$L$4),ROW(),"-")</f>
        <v>-</v>
      </c>
    </row>
    <row r="27493" customHeight="1" spans="2:2">
      <c r="B27493" s="62" t="str">
        <f>IF(AND('领用录入（明细）'!D:D=$F$4,'领用录入（明细）'!C:C&gt;=$J$4,'领用录入（明细）'!C:C&lt;=$L$4),ROW(),"-")</f>
        <v>-</v>
      </c>
    </row>
    <row r="27494" customHeight="1" spans="2:2">
      <c r="B27494" s="62" t="str">
        <f>IF(AND('领用录入（明细）'!D:D=$F$4,'领用录入（明细）'!C:C&gt;=$J$4,'领用录入（明细）'!C:C&lt;=$L$4),ROW(),"-")</f>
        <v>-</v>
      </c>
    </row>
    <row r="27495" customHeight="1" spans="2:2">
      <c r="B27495" s="62" t="str">
        <f>IF(AND('领用录入（明细）'!D:D=$F$4,'领用录入（明细）'!C:C&gt;=$J$4,'领用录入（明细）'!C:C&lt;=$L$4),ROW(),"-")</f>
        <v>-</v>
      </c>
    </row>
    <row r="27496" customHeight="1" spans="2:2">
      <c r="B27496" s="62" t="str">
        <f>IF(AND('领用录入（明细）'!D:D=$F$4,'领用录入（明细）'!C:C&gt;=$J$4,'领用录入（明细）'!C:C&lt;=$L$4),ROW(),"-")</f>
        <v>-</v>
      </c>
    </row>
    <row r="27497" customHeight="1" spans="2:2">
      <c r="B27497" s="62" t="str">
        <f>IF(AND('领用录入（明细）'!D:D=$F$4,'领用录入（明细）'!C:C&gt;=$J$4,'领用录入（明细）'!C:C&lt;=$L$4),ROW(),"-")</f>
        <v>-</v>
      </c>
    </row>
    <row r="27498" customHeight="1" spans="2:2">
      <c r="B27498" s="62" t="str">
        <f>IF(AND('领用录入（明细）'!D:D=$F$4,'领用录入（明细）'!C:C&gt;=$J$4,'领用录入（明细）'!C:C&lt;=$L$4),ROW(),"-")</f>
        <v>-</v>
      </c>
    </row>
    <row r="27499" customHeight="1" spans="2:2">
      <c r="B27499" s="62" t="str">
        <f>IF(AND('领用录入（明细）'!D:D=$F$4,'领用录入（明细）'!C:C&gt;=$J$4,'领用录入（明细）'!C:C&lt;=$L$4),ROW(),"-")</f>
        <v>-</v>
      </c>
    </row>
    <row r="27500" customHeight="1" spans="2:2">
      <c r="B27500" s="62" t="str">
        <f>IF(AND('领用录入（明细）'!D:D=$F$4,'领用录入（明细）'!C:C&gt;=$J$4,'领用录入（明细）'!C:C&lt;=$L$4),ROW(),"-")</f>
        <v>-</v>
      </c>
    </row>
    <row r="27501" customHeight="1" spans="2:2">
      <c r="B27501" s="62" t="str">
        <f>IF(AND('领用录入（明细）'!D:D=$F$4,'领用录入（明细）'!C:C&gt;=$J$4,'领用录入（明细）'!C:C&lt;=$L$4),ROW(),"-")</f>
        <v>-</v>
      </c>
    </row>
    <row r="27502" customHeight="1" spans="2:2">
      <c r="B27502" s="62" t="str">
        <f>IF(AND('领用录入（明细）'!D:D=$F$4,'领用录入（明细）'!C:C&gt;=$J$4,'领用录入（明细）'!C:C&lt;=$L$4),ROW(),"-")</f>
        <v>-</v>
      </c>
    </row>
    <row r="27503" customHeight="1" spans="2:2">
      <c r="B27503" s="62" t="str">
        <f>IF(AND('领用录入（明细）'!D:D=$F$4,'领用录入（明细）'!C:C&gt;=$J$4,'领用录入（明细）'!C:C&lt;=$L$4),ROW(),"-")</f>
        <v>-</v>
      </c>
    </row>
    <row r="27504" customHeight="1" spans="2:2">
      <c r="B27504" s="62" t="str">
        <f>IF(AND('领用录入（明细）'!D:D=$F$4,'领用录入（明细）'!C:C&gt;=$J$4,'领用录入（明细）'!C:C&lt;=$L$4),ROW(),"-")</f>
        <v>-</v>
      </c>
    </row>
    <row r="27505" customHeight="1" spans="2:2">
      <c r="B27505" s="62" t="str">
        <f>IF(AND('领用录入（明细）'!D:D=$F$4,'领用录入（明细）'!C:C&gt;=$J$4,'领用录入（明细）'!C:C&lt;=$L$4),ROW(),"-")</f>
        <v>-</v>
      </c>
    </row>
    <row r="27506" customHeight="1" spans="2:2">
      <c r="B27506" s="62" t="str">
        <f>IF(AND('领用录入（明细）'!D:D=$F$4,'领用录入（明细）'!C:C&gt;=$J$4,'领用录入（明细）'!C:C&lt;=$L$4),ROW(),"-")</f>
        <v>-</v>
      </c>
    </row>
    <row r="27507" customHeight="1" spans="2:2">
      <c r="B27507" s="62" t="str">
        <f>IF(AND('领用录入（明细）'!D:D=$F$4,'领用录入（明细）'!C:C&gt;=$J$4,'领用录入（明细）'!C:C&lt;=$L$4),ROW(),"-")</f>
        <v>-</v>
      </c>
    </row>
    <row r="27508" customHeight="1" spans="2:2">
      <c r="B27508" s="62" t="str">
        <f>IF(AND('领用录入（明细）'!D:D=$F$4,'领用录入（明细）'!C:C&gt;=$J$4,'领用录入（明细）'!C:C&lt;=$L$4),ROW(),"-")</f>
        <v>-</v>
      </c>
    </row>
    <row r="27509" customHeight="1" spans="2:2">
      <c r="B27509" s="62" t="str">
        <f>IF(AND('领用录入（明细）'!D:D=$F$4,'领用录入（明细）'!C:C&gt;=$J$4,'领用录入（明细）'!C:C&lt;=$L$4),ROW(),"-")</f>
        <v>-</v>
      </c>
    </row>
    <row r="27510" customHeight="1" spans="2:2">
      <c r="B27510" s="62" t="str">
        <f>IF(AND('领用录入（明细）'!D:D=$F$4,'领用录入（明细）'!C:C&gt;=$J$4,'领用录入（明细）'!C:C&lt;=$L$4),ROW(),"-")</f>
        <v>-</v>
      </c>
    </row>
    <row r="27511" customHeight="1" spans="2:2">
      <c r="B27511" s="62" t="str">
        <f>IF(AND('领用录入（明细）'!D:D=$F$4,'领用录入（明细）'!C:C&gt;=$J$4,'领用录入（明细）'!C:C&lt;=$L$4),ROW(),"-")</f>
        <v>-</v>
      </c>
    </row>
    <row r="27512" customHeight="1" spans="2:2">
      <c r="B27512" s="62" t="str">
        <f>IF(AND('领用录入（明细）'!D:D=$F$4,'领用录入（明细）'!C:C&gt;=$J$4,'领用录入（明细）'!C:C&lt;=$L$4),ROW(),"-")</f>
        <v>-</v>
      </c>
    </row>
    <row r="27513" customHeight="1" spans="2:2">
      <c r="B27513" s="62" t="str">
        <f>IF(AND('领用录入（明细）'!D:D=$F$4,'领用录入（明细）'!C:C&gt;=$J$4,'领用录入（明细）'!C:C&lt;=$L$4),ROW(),"-")</f>
        <v>-</v>
      </c>
    </row>
    <row r="27514" customHeight="1" spans="2:2">
      <c r="B27514" s="62" t="str">
        <f>IF(AND('领用录入（明细）'!D:D=$F$4,'领用录入（明细）'!C:C&gt;=$J$4,'领用录入（明细）'!C:C&lt;=$L$4),ROW(),"-")</f>
        <v>-</v>
      </c>
    </row>
    <row r="27515" customHeight="1" spans="2:2">
      <c r="B27515" s="62" t="str">
        <f>IF(AND('领用录入（明细）'!D:D=$F$4,'领用录入（明细）'!C:C&gt;=$J$4,'领用录入（明细）'!C:C&lt;=$L$4),ROW(),"-")</f>
        <v>-</v>
      </c>
    </row>
    <row r="27516" customHeight="1" spans="2:2">
      <c r="B27516" s="62" t="str">
        <f>IF(AND('领用录入（明细）'!D:D=$F$4,'领用录入（明细）'!C:C&gt;=$J$4,'领用录入（明细）'!C:C&lt;=$L$4),ROW(),"-")</f>
        <v>-</v>
      </c>
    </row>
    <row r="27517" customHeight="1" spans="2:2">
      <c r="B27517" s="62" t="str">
        <f>IF(AND('领用录入（明细）'!D:D=$F$4,'领用录入（明细）'!C:C&gt;=$J$4,'领用录入（明细）'!C:C&lt;=$L$4),ROW(),"-")</f>
        <v>-</v>
      </c>
    </row>
    <row r="27518" customHeight="1" spans="2:2">
      <c r="B27518" s="62" t="str">
        <f>IF(AND('领用录入（明细）'!D:D=$F$4,'领用录入（明细）'!C:C&gt;=$J$4,'领用录入（明细）'!C:C&lt;=$L$4),ROW(),"-")</f>
        <v>-</v>
      </c>
    </row>
    <row r="27519" customHeight="1" spans="2:2">
      <c r="B27519" s="62" t="str">
        <f>IF(AND('领用录入（明细）'!D:D=$F$4,'领用录入（明细）'!C:C&gt;=$J$4,'领用录入（明细）'!C:C&lt;=$L$4),ROW(),"-")</f>
        <v>-</v>
      </c>
    </row>
    <row r="27520" customHeight="1" spans="2:2">
      <c r="B27520" s="62" t="str">
        <f>IF(AND('领用录入（明细）'!D:D=$F$4,'领用录入（明细）'!C:C&gt;=$J$4,'领用录入（明细）'!C:C&lt;=$L$4),ROW(),"-")</f>
        <v>-</v>
      </c>
    </row>
    <row r="27521" customHeight="1" spans="2:2">
      <c r="B27521" s="62" t="str">
        <f>IF(AND('领用录入（明细）'!D:D=$F$4,'领用录入（明细）'!C:C&gt;=$J$4,'领用录入（明细）'!C:C&lt;=$L$4),ROW(),"-")</f>
        <v>-</v>
      </c>
    </row>
    <row r="27522" customHeight="1" spans="2:2">
      <c r="B27522" s="62" t="str">
        <f>IF(AND('领用录入（明细）'!D:D=$F$4,'领用录入（明细）'!C:C&gt;=$J$4,'领用录入（明细）'!C:C&lt;=$L$4),ROW(),"-")</f>
        <v>-</v>
      </c>
    </row>
    <row r="27523" customHeight="1" spans="2:2">
      <c r="B27523" s="62" t="str">
        <f>IF(AND('领用录入（明细）'!D:D=$F$4,'领用录入（明细）'!C:C&gt;=$J$4,'领用录入（明细）'!C:C&lt;=$L$4),ROW(),"-")</f>
        <v>-</v>
      </c>
    </row>
    <row r="27524" customHeight="1" spans="2:2">
      <c r="B27524" s="62" t="str">
        <f>IF(AND('领用录入（明细）'!D:D=$F$4,'领用录入（明细）'!C:C&gt;=$J$4,'领用录入（明细）'!C:C&lt;=$L$4),ROW(),"-")</f>
        <v>-</v>
      </c>
    </row>
    <row r="27525" customHeight="1" spans="2:2">
      <c r="B27525" s="62" t="str">
        <f>IF(AND('领用录入（明细）'!D:D=$F$4,'领用录入（明细）'!C:C&gt;=$J$4,'领用录入（明细）'!C:C&lt;=$L$4),ROW(),"-")</f>
        <v>-</v>
      </c>
    </row>
    <row r="27526" customHeight="1" spans="2:2">
      <c r="B27526" s="62" t="str">
        <f>IF(AND('领用录入（明细）'!D:D=$F$4,'领用录入（明细）'!C:C&gt;=$J$4,'领用录入（明细）'!C:C&lt;=$L$4),ROW(),"-")</f>
        <v>-</v>
      </c>
    </row>
    <row r="27527" customHeight="1" spans="2:2">
      <c r="B27527" s="62" t="str">
        <f>IF(AND('领用录入（明细）'!D:D=$F$4,'领用录入（明细）'!C:C&gt;=$J$4,'领用录入（明细）'!C:C&lt;=$L$4),ROW(),"-")</f>
        <v>-</v>
      </c>
    </row>
    <row r="27528" customHeight="1" spans="2:2">
      <c r="B27528" s="62" t="str">
        <f>IF(AND('领用录入（明细）'!D:D=$F$4,'领用录入（明细）'!C:C&gt;=$J$4,'领用录入（明细）'!C:C&lt;=$L$4),ROW(),"-")</f>
        <v>-</v>
      </c>
    </row>
    <row r="27529" customHeight="1" spans="2:2">
      <c r="B27529" s="62" t="str">
        <f>IF(AND('领用录入（明细）'!D:D=$F$4,'领用录入（明细）'!C:C&gt;=$J$4,'领用录入（明细）'!C:C&lt;=$L$4),ROW(),"-")</f>
        <v>-</v>
      </c>
    </row>
    <row r="27530" customHeight="1" spans="2:2">
      <c r="B27530" s="62" t="str">
        <f>IF(AND('领用录入（明细）'!D:D=$F$4,'领用录入（明细）'!C:C&gt;=$J$4,'领用录入（明细）'!C:C&lt;=$L$4),ROW(),"-")</f>
        <v>-</v>
      </c>
    </row>
    <row r="27531" customHeight="1" spans="2:2">
      <c r="B27531" s="62" t="str">
        <f>IF(AND('领用录入（明细）'!D:D=$F$4,'领用录入（明细）'!C:C&gt;=$J$4,'领用录入（明细）'!C:C&lt;=$L$4),ROW(),"-")</f>
        <v>-</v>
      </c>
    </row>
    <row r="27532" customHeight="1" spans="2:2">
      <c r="B27532" s="62" t="str">
        <f>IF(AND('领用录入（明细）'!D:D=$F$4,'领用录入（明细）'!C:C&gt;=$J$4,'领用录入（明细）'!C:C&lt;=$L$4),ROW(),"-")</f>
        <v>-</v>
      </c>
    </row>
    <row r="27533" customHeight="1" spans="2:2">
      <c r="B27533" s="62" t="str">
        <f>IF(AND('领用录入（明细）'!D:D=$F$4,'领用录入（明细）'!C:C&gt;=$J$4,'领用录入（明细）'!C:C&lt;=$L$4),ROW(),"-")</f>
        <v>-</v>
      </c>
    </row>
    <row r="27534" customHeight="1" spans="2:2">
      <c r="B27534" s="62" t="str">
        <f>IF(AND('领用录入（明细）'!D:D=$F$4,'领用录入（明细）'!C:C&gt;=$J$4,'领用录入（明细）'!C:C&lt;=$L$4),ROW(),"-")</f>
        <v>-</v>
      </c>
    </row>
    <row r="27535" customHeight="1" spans="2:2">
      <c r="B27535" s="62" t="str">
        <f>IF(AND('领用录入（明细）'!D:D=$F$4,'领用录入（明细）'!C:C&gt;=$J$4,'领用录入（明细）'!C:C&lt;=$L$4),ROW(),"-")</f>
        <v>-</v>
      </c>
    </row>
    <row r="27536" customHeight="1" spans="2:2">
      <c r="B27536" s="62" t="str">
        <f>IF(AND('领用录入（明细）'!D:D=$F$4,'领用录入（明细）'!C:C&gt;=$J$4,'领用录入（明细）'!C:C&lt;=$L$4),ROW(),"-")</f>
        <v>-</v>
      </c>
    </row>
    <row r="27537" customHeight="1" spans="2:2">
      <c r="B27537" s="62" t="str">
        <f>IF(AND('领用录入（明细）'!D:D=$F$4,'领用录入（明细）'!C:C&gt;=$J$4,'领用录入（明细）'!C:C&lt;=$L$4),ROW(),"-")</f>
        <v>-</v>
      </c>
    </row>
    <row r="27538" customHeight="1" spans="2:2">
      <c r="B27538" s="62" t="str">
        <f>IF(AND('领用录入（明细）'!D:D=$F$4,'领用录入（明细）'!C:C&gt;=$J$4,'领用录入（明细）'!C:C&lt;=$L$4),ROW(),"-")</f>
        <v>-</v>
      </c>
    </row>
    <row r="27539" customHeight="1" spans="2:2">
      <c r="B27539" s="62" t="str">
        <f>IF(AND('领用录入（明细）'!D:D=$F$4,'领用录入（明细）'!C:C&gt;=$J$4,'领用录入（明细）'!C:C&lt;=$L$4),ROW(),"-")</f>
        <v>-</v>
      </c>
    </row>
    <row r="27540" customHeight="1" spans="2:2">
      <c r="B27540" s="62" t="str">
        <f>IF(AND('领用录入（明细）'!D:D=$F$4,'领用录入（明细）'!C:C&gt;=$J$4,'领用录入（明细）'!C:C&lt;=$L$4),ROW(),"-")</f>
        <v>-</v>
      </c>
    </row>
    <row r="27541" customHeight="1" spans="2:2">
      <c r="B27541" s="62" t="str">
        <f>IF(AND('领用录入（明细）'!D:D=$F$4,'领用录入（明细）'!C:C&gt;=$J$4,'领用录入（明细）'!C:C&lt;=$L$4),ROW(),"-")</f>
        <v>-</v>
      </c>
    </row>
    <row r="27542" customHeight="1" spans="2:2">
      <c r="B27542" s="62" t="str">
        <f>IF(AND('领用录入（明细）'!D:D=$F$4,'领用录入（明细）'!C:C&gt;=$J$4,'领用录入（明细）'!C:C&lt;=$L$4),ROW(),"-")</f>
        <v>-</v>
      </c>
    </row>
    <row r="27543" customHeight="1" spans="2:2">
      <c r="B27543" s="62" t="str">
        <f>IF(AND('领用录入（明细）'!D:D=$F$4,'领用录入（明细）'!C:C&gt;=$J$4,'领用录入（明细）'!C:C&lt;=$L$4),ROW(),"-")</f>
        <v>-</v>
      </c>
    </row>
    <row r="27544" customHeight="1" spans="2:2">
      <c r="B27544" s="62" t="str">
        <f>IF(AND('领用录入（明细）'!D:D=$F$4,'领用录入（明细）'!C:C&gt;=$J$4,'领用录入（明细）'!C:C&lt;=$L$4),ROW(),"-")</f>
        <v>-</v>
      </c>
    </row>
    <row r="27545" customHeight="1" spans="2:2">
      <c r="B27545" s="62" t="str">
        <f>IF(AND('领用录入（明细）'!D:D=$F$4,'领用录入（明细）'!C:C&gt;=$J$4,'领用录入（明细）'!C:C&lt;=$L$4),ROW(),"-")</f>
        <v>-</v>
      </c>
    </row>
    <row r="27546" customHeight="1" spans="2:2">
      <c r="B27546" s="62" t="str">
        <f>IF(AND('领用录入（明细）'!D:D=$F$4,'领用录入（明细）'!C:C&gt;=$J$4,'领用录入（明细）'!C:C&lt;=$L$4),ROW(),"-")</f>
        <v>-</v>
      </c>
    </row>
    <row r="27547" customHeight="1" spans="2:2">
      <c r="B27547" s="62" t="str">
        <f>IF(AND('领用录入（明细）'!D:D=$F$4,'领用录入（明细）'!C:C&gt;=$J$4,'领用录入（明细）'!C:C&lt;=$L$4),ROW(),"-")</f>
        <v>-</v>
      </c>
    </row>
    <row r="27548" customHeight="1" spans="2:2">
      <c r="B27548" s="62" t="str">
        <f>IF(AND('领用录入（明细）'!D:D=$F$4,'领用录入（明细）'!C:C&gt;=$J$4,'领用录入（明细）'!C:C&lt;=$L$4),ROW(),"-")</f>
        <v>-</v>
      </c>
    </row>
    <row r="27549" customHeight="1" spans="2:2">
      <c r="B27549" s="62" t="str">
        <f>IF(AND('领用录入（明细）'!D:D=$F$4,'领用录入（明细）'!C:C&gt;=$J$4,'领用录入（明细）'!C:C&lt;=$L$4),ROW(),"-")</f>
        <v>-</v>
      </c>
    </row>
    <row r="27550" customHeight="1" spans="2:2">
      <c r="B27550" s="62" t="str">
        <f>IF(AND('领用录入（明细）'!D:D=$F$4,'领用录入（明细）'!C:C&gt;=$J$4,'领用录入（明细）'!C:C&lt;=$L$4),ROW(),"-")</f>
        <v>-</v>
      </c>
    </row>
    <row r="27551" customHeight="1" spans="2:2">
      <c r="B27551" s="62" t="str">
        <f>IF(AND('领用录入（明细）'!D:D=$F$4,'领用录入（明细）'!C:C&gt;=$J$4,'领用录入（明细）'!C:C&lt;=$L$4),ROW(),"-")</f>
        <v>-</v>
      </c>
    </row>
    <row r="27552" customHeight="1" spans="2:2">
      <c r="B27552" s="62" t="str">
        <f>IF(AND('领用录入（明细）'!D:D=$F$4,'领用录入（明细）'!C:C&gt;=$J$4,'领用录入（明细）'!C:C&lt;=$L$4),ROW(),"-")</f>
        <v>-</v>
      </c>
    </row>
    <row r="27553" customHeight="1" spans="2:2">
      <c r="B27553" s="62" t="str">
        <f>IF(AND('领用录入（明细）'!D:D=$F$4,'领用录入（明细）'!C:C&gt;=$J$4,'领用录入（明细）'!C:C&lt;=$L$4),ROW(),"-")</f>
        <v>-</v>
      </c>
    </row>
    <row r="27554" customHeight="1" spans="2:2">
      <c r="B27554" s="62" t="str">
        <f>IF(AND('领用录入（明细）'!D:D=$F$4,'领用录入（明细）'!C:C&gt;=$J$4,'领用录入（明细）'!C:C&lt;=$L$4),ROW(),"-")</f>
        <v>-</v>
      </c>
    </row>
    <row r="27555" customHeight="1" spans="2:2">
      <c r="B27555" s="62" t="str">
        <f>IF(AND('领用录入（明细）'!D:D=$F$4,'领用录入（明细）'!C:C&gt;=$J$4,'领用录入（明细）'!C:C&lt;=$L$4),ROW(),"-")</f>
        <v>-</v>
      </c>
    </row>
    <row r="27556" customHeight="1" spans="2:2">
      <c r="B27556" s="62" t="str">
        <f>IF(AND('领用录入（明细）'!D:D=$F$4,'领用录入（明细）'!C:C&gt;=$J$4,'领用录入（明细）'!C:C&lt;=$L$4),ROW(),"-")</f>
        <v>-</v>
      </c>
    </row>
    <row r="27557" customHeight="1" spans="2:2">
      <c r="B27557" s="62" t="str">
        <f>IF(AND('领用录入（明细）'!D:D=$F$4,'领用录入（明细）'!C:C&gt;=$J$4,'领用录入（明细）'!C:C&lt;=$L$4),ROW(),"-")</f>
        <v>-</v>
      </c>
    </row>
    <row r="27558" customHeight="1" spans="2:2">
      <c r="B27558" s="62" t="str">
        <f>IF(AND('领用录入（明细）'!D:D=$F$4,'领用录入（明细）'!C:C&gt;=$J$4,'领用录入（明细）'!C:C&lt;=$L$4),ROW(),"-")</f>
        <v>-</v>
      </c>
    </row>
    <row r="27559" customHeight="1" spans="2:2">
      <c r="B27559" s="62" t="str">
        <f>IF(AND('领用录入（明细）'!D:D=$F$4,'领用录入（明细）'!C:C&gt;=$J$4,'领用录入（明细）'!C:C&lt;=$L$4),ROW(),"-")</f>
        <v>-</v>
      </c>
    </row>
    <row r="27560" customHeight="1" spans="2:2">
      <c r="B27560" s="62" t="str">
        <f>IF(AND('领用录入（明细）'!D:D=$F$4,'领用录入（明细）'!C:C&gt;=$J$4,'领用录入（明细）'!C:C&lt;=$L$4),ROW(),"-")</f>
        <v>-</v>
      </c>
    </row>
    <row r="27561" customHeight="1" spans="2:2">
      <c r="B27561" s="62" t="str">
        <f>IF(AND('领用录入（明细）'!D:D=$F$4,'领用录入（明细）'!C:C&gt;=$J$4,'领用录入（明细）'!C:C&lt;=$L$4),ROW(),"-")</f>
        <v>-</v>
      </c>
    </row>
    <row r="27562" customHeight="1" spans="2:2">
      <c r="B27562" s="62" t="str">
        <f>IF(AND('领用录入（明细）'!D:D=$F$4,'领用录入（明细）'!C:C&gt;=$J$4,'领用录入（明细）'!C:C&lt;=$L$4),ROW(),"-")</f>
        <v>-</v>
      </c>
    </row>
    <row r="27563" customHeight="1" spans="2:2">
      <c r="B27563" s="62" t="str">
        <f>IF(AND('领用录入（明细）'!D:D=$F$4,'领用录入（明细）'!C:C&gt;=$J$4,'领用录入（明细）'!C:C&lt;=$L$4),ROW(),"-")</f>
        <v>-</v>
      </c>
    </row>
    <row r="27564" customHeight="1" spans="2:2">
      <c r="B27564" s="62" t="str">
        <f>IF(AND('领用录入（明细）'!D:D=$F$4,'领用录入（明细）'!C:C&gt;=$J$4,'领用录入（明细）'!C:C&lt;=$L$4),ROW(),"-")</f>
        <v>-</v>
      </c>
    </row>
    <row r="27565" customHeight="1" spans="2:2">
      <c r="B27565" s="62" t="str">
        <f>IF(AND('领用录入（明细）'!D:D=$F$4,'领用录入（明细）'!C:C&gt;=$J$4,'领用录入（明细）'!C:C&lt;=$L$4),ROW(),"-")</f>
        <v>-</v>
      </c>
    </row>
    <row r="27566" customHeight="1" spans="2:2">
      <c r="B27566" s="62" t="str">
        <f>IF(AND('领用录入（明细）'!D:D=$F$4,'领用录入（明细）'!C:C&gt;=$J$4,'领用录入（明细）'!C:C&lt;=$L$4),ROW(),"-")</f>
        <v>-</v>
      </c>
    </row>
    <row r="27567" customHeight="1" spans="2:2">
      <c r="B27567" s="62" t="str">
        <f>IF(AND('领用录入（明细）'!D:D=$F$4,'领用录入（明细）'!C:C&gt;=$J$4,'领用录入（明细）'!C:C&lt;=$L$4),ROW(),"-")</f>
        <v>-</v>
      </c>
    </row>
    <row r="27568" customHeight="1" spans="2:2">
      <c r="B27568" s="62" t="str">
        <f>IF(AND('领用录入（明细）'!D:D=$F$4,'领用录入（明细）'!C:C&gt;=$J$4,'领用录入（明细）'!C:C&lt;=$L$4),ROW(),"-")</f>
        <v>-</v>
      </c>
    </row>
    <row r="27569" customHeight="1" spans="2:2">
      <c r="B27569" s="62" t="str">
        <f>IF(AND('领用录入（明细）'!D:D=$F$4,'领用录入（明细）'!C:C&gt;=$J$4,'领用录入（明细）'!C:C&lt;=$L$4),ROW(),"-")</f>
        <v>-</v>
      </c>
    </row>
    <row r="27570" customHeight="1" spans="2:2">
      <c r="B27570" s="62" t="str">
        <f>IF(AND('领用录入（明细）'!D:D=$F$4,'领用录入（明细）'!C:C&gt;=$J$4,'领用录入（明细）'!C:C&lt;=$L$4),ROW(),"-")</f>
        <v>-</v>
      </c>
    </row>
    <row r="27571" customHeight="1" spans="2:2">
      <c r="B27571" s="62" t="str">
        <f>IF(AND('领用录入（明细）'!D:D=$F$4,'领用录入（明细）'!C:C&gt;=$J$4,'领用录入（明细）'!C:C&lt;=$L$4),ROW(),"-")</f>
        <v>-</v>
      </c>
    </row>
    <row r="27572" customHeight="1" spans="2:2">
      <c r="B27572" s="62" t="str">
        <f>IF(AND('领用录入（明细）'!D:D=$F$4,'领用录入（明细）'!C:C&gt;=$J$4,'领用录入（明细）'!C:C&lt;=$L$4),ROW(),"-")</f>
        <v>-</v>
      </c>
    </row>
    <row r="27573" customHeight="1" spans="2:2">
      <c r="B27573" s="62" t="str">
        <f>IF(AND('领用录入（明细）'!D:D=$F$4,'领用录入（明细）'!C:C&gt;=$J$4,'领用录入（明细）'!C:C&lt;=$L$4),ROW(),"-")</f>
        <v>-</v>
      </c>
    </row>
    <row r="27574" customHeight="1" spans="2:2">
      <c r="B27574" s="62" t="str">
        <f>IF(AND('领用录入（明细）'!D:D=$F$4,'领用录入（明细）'!C:C&gt;=$J$4,'领用录入（明细）'!C:C&lt;=$L$4),ROW(),"-")</f>
        <v>-</v>
      </c>
    </row>
    <row r="27575" customHeight="1" spans="2:2">
      <c r="B27575" s="62" t="str">
        <f>IF(AND('领用录入（明细）'!D:D=$F$4,'领用录入（明细）'!C:C&gt;=$J$4,'领用录入（明细）'!C:C&lt;=$L$4),ROW(),"-")</f>
        <v>-</v>
      </c>
    </row>
    <row r="27576" customHeight="1" spans="2:2">
      <c r="B27576" s="62" t="str">
        <f>IF(AND('领用录入（明细）'!D:D=$F$4,'领用录入（明细）'!C:C&gt;=$J$4,'领用录入（明细）'!C:C&lt;=$L$4),ROW(),"-")</f>
        <v>-</v>
      </c>
    </row>
    <row r="27577" customHeight="1" spans="2:2">
      <c r="B27577" s="62" t="str">
        <f>IF(AND('领用录入（明细）'!D:D=$F$4,'领用录入（明细）'!C:C&gt;=$J$4,'领用录入（明细）'!C:C&lt;=$L$4),ROW(),"-")</f>
        <v>-</v>
      </c>
    </row>
    <row r="27578" customHeight="1" spans="2:2">
      <c r="B27578" s="62" t="str">
        <f>IF(AND('领用录入（明细）'!D:D=$F$4,'领用录入（明细）'!C:C&gt;=$J$4,'领用录入（明细）'!C:C&lt;=$L$4),ROW(),"-")</f>
        <v>-</v>
      </c>
    </row>
    <row r="27579" customHeight="1" spans="2:2">
      <c r="B27579" s="62" t="str">
        <f>IF(AND('领用录入（明细）'!D:D=$F$4,'领用录入（明细）'!C:C&gt;=$J$4,'领用录入（明细）'!C:C&lt;=$L$4),ROW(),"-")</f>
        <v>-</v>
      </c>
    </row>
    <row r="27580" customHeight="1" spans="2:2">
      <c r="B27580" s="62" t="str">
        <f>IF(AND('领用录入（明细）'!D:D=$F$4,'领用录入（明细）'!C:C&gt;=$J$4,'领用录入（明细）'!C:C&lt;=$L$4),ROW(),"-")</f>
        <v>-</v>
      </c>
    </row>
    <row r="27581" customHeight="1" spans="2:2">
      <c r="B27581" s="62" t="str">
        <f>IF(AND('领用录入（明细）'!D:D=$F$4,'领用录入（明细）'!C:C&gt;=$J$4,'领用录入（明细）'!C:C&lt;=$L$4),ROW(),"-")</f>
        <v>-</v>
      </c>
    </row>
    <row r="27582" customHeight="1" spans="2:2">
      <c r="B27582" s="62" t="str">
        <f>IF(AND('领用录入（明细）'!D:D=$F$4,'领用录入（明细）'!C:C&gt;=$J$4,'领用录入（明细）'!C:C&lt;=$L$4),ROW(),"-")</f>
        <v>-</v>
      </c>
    </row>
    <row r="27583" customHeight="1" spans="2:2">
      <c r="B27583" s="62" t="str">
        <f>IF(AND('领用录入（明细）'!D:D=$F$4,'领用录入（明细）'!C:C&gt;=$J$4,'领用录入（明细）'!C:C&lt;=$L$4),ROW(),"-")</f>
        <v>-</v>
      </c>
    </row>
    <row r="27584" customHeight="1" spans="2:2">
      <c r="B27584" s="62" t="str">
        <f>IF(AND('领用录入（明细）'!D:D=$F$4,'领用录入（明细）'!C:C&gt;=$J$4,'领用录入（明细）'!C:C&lt;=$L$4),ROW(),"-")</f>
        <v>-</v>
      </c>
    </row>
    <row r="27585" customHeight="1" spans="2:2">
      <c r="B27585" s="62" t="str">
        <f>IF(AND('领用录入（明细）'!D:D=$F$4,'领用录入（明细）'!C:C&gt;=$J$4,'领用录入（明细）'!C:C&lt;=$L$4),ROW(),"-")</f>
        <v>-</v>
      </c>
    </row>
    <row r="27586" customHeight="1" spans="2:2">
      <c r="B27586" s="62" t="str">
        <f>IF(AND('领用录入（明细）'!D:D=$F$4,'领用录入（明细）'!C:C&gt;=$J$4,'领用录入（明细）'!C:C&lt;=$L$4),ROW(),"-")</f>
        <v>-</v>
      </c>
    </row>
    <row r="27587" customHeight="1" spans="2:2">
      <c r="B27587" s="62" t="str">
        <f>IF(AND('领用录入（明细）'!D:D=$F$4,'领用录入（明细）'!C:C&gt;=$J$4,'领用录入（明细）'!C:C&lt;=$L$4),ROW(),"-")</f>
        <v>-</v>
      </c>
    </row>
    <row r="27588" customHeight="1" spans="2:2">
      <c r="B27588" s="62" t="str">
        <f>IF(AND('领用录入（明细）'!D:D=$F$4,'领用录入（明细）'!C:C&gt;=$J$4,'领用录入（明细）'!C:C&lt;=$L$4),ROW(),"-")</f>
        <v>-</v>
      </c>
    </row>
    <row r="27589" customHeight="1" spans="2:2">
      <c r="B27589" s="62" t="str">
        <f>IF(AND('领用录入（明细）'!D:D=$F$4,'领用录入（明细）'!C:C&gt;=$J$4,'领用录入（明细）'!C:C&lt;=$L$4),ROW(),"-")</f>
        <v>-</v>
      </c>
    </row>
    <row r="27590" customHeight="1" spans="2:2">
      <c r="B27590" s="62" t="str">
        <f>IF(AND('领用录入（明细）'!D:D=$F$4,'领用录入（明细）'!C:C&gt;=$J$4,'领用录入（明细）'!C:C&lt;=$L$4),ROW(),"-")</f>
        <v>-</v>
      </c>
    </row>
    <row r="27591" customHeight="1" spans="2:2">
      <c r="B27591" s="62" t="str">
        <f>IF(AND('领用录入（明细）'!D:D=$F$4,'领用录入（明细）'!C:C&gt;=$J$4,'领用录入（明细）'!C:C&lt;=$L$4),ROW(),"-")</f>
        <v>-</v>
      </c>
    </row>
    <row r="27592" customHeight="1" spans="2:2">
      <c r="B27592" s="62" t="str">
        <f>IF(AND('领用录入（明细）'!D:D=$F$4,'领用录入（明细）'!C:C&gt;=$J$4,'领用录入（明细）'!C:C&lt;=$L$4),ROW(),"-")</f>
        <v>-</v>
      </c>
    </row>
    <row r="27593" customHeight="1" spans="2:2">
      <c r="B27593" s="62" t="str">
        <f>IF(AND('领用录入（明细）'!D:D=$F$4,'领用录入（明细）'!C:C&gt;=$J$4,'领用录入（明细）'!C:C&lt;=$L$4),ROW(),"-")</f>
        <v>-</v>
      </c>
    </row>
    <row r="27594" customHeight="1" spans="2:2">
      <c r="B27594" s="62" t="str">
        <f>IF(AND('领用录入（明细）'!D:D=$F$4,'领用录入（明细）'!C:C&gt;=$J$4,'领用录入（明细）'!C:C&lt;=$L$4),ROW(),"-")</f>
        <v>-</v>
      </c>
    </row>
    <row r="27595" customHeight="1" spans="2:2">
      <c r="B27595" s="62" t="str">
        <f>IF(AND('领用录入（明细）'!D:D=$F$4,'领用录入（明细）'!C:C&gt;=$J$4,'领用录入（明细）'!C:C&lt;=$L$4),ROW(),"-")</f>
        <v>-</v>
      </c>
    </row>
    <row r="27596" customHeight="1" spans="2:2">
      <c r="B27596" s="62" t="str">
        <f>IF(AND('领用录入（明细）'!D:D=$F$4,'领用录入（明细）'!C:C&gt;=$J$4,'领用录入（明细）'!C:C&lt;=$L$4),ROW(),"-")</f>
        <v>-</v>
      </c>
    </row>
    <row r="27597" customHeight="1" spans="2:2">
      <c r="B27597" s="62" t="str">
        <f>IF(AND('领用录入（明细）'!D:D=$F$4,'领用录入（明细）'!C:C&gt;=$J$4,'领用录入（明细）'!C:C&lt;=$L$4),ROW(),"-")</f>
        <v>-</v>
      </c>
    </row>
    <row r="27598" customHeight="1" spans="2:2">
      <c r="B27598" s="62" t="str">
        <f>IF(AND('领用录入（明细）'!D:D=$F$4,'领用录入（明细）'!C:C&gt;=$J$4,'领用录入（明细）'!C:C&lt;=$L$4),ROW(),"-")</f>
        <v>-</v>
      </c>
    </row>
    <row r="27599" customHeight="1" spans="2:2">
      <c r="B27599" s="62" t="str">
        <f>IF(AND('领用录入（明细）'!D:D=$F$4,'领用录入（明细）'!C:C&gt;=$J$4,'领用录入（明细）'!C:C&lt;=$L$4),ROW(),"-")</f>
        <v>-</v>
      </c>
    </row>
    <row r="27600" customHeight="1" spans="2:2">
      <c r="B27600" s="62" t="str">
        <f>IF(AND('领用录入（明细）'!D:D=$F$4,'领用录入（明细）'!C:C&gt;=$J$4,'领用录入（明细）'!C:C&lt;=$L$4),ROW(),"-")</f>
        <v>-</v>
      </c>
    </row>
    <row r="27601" customHeight="1" spans="2:2">
      <c r="B27601" s="62" t="str">
        <f>IF(AND('领用录入（明细）'!D:D=$F$4,'领用录入（明细）'!C:C&gt;=$J$4,'领用录入（明细）'!C:C&lt;=$L$4),ROW(),"-")</f>
        <v>-</v>
      </c>
    </row>
    <row r="27602" customHeight="1" spans="2:2">
      <c r="B27602" s="62" t="str">
        <f>IF(AND('领用录入（明细）'!D:D=$F$4,'领用录入（明细）'!C:C&gt;=$J$4,'领用录入（明细）'!C:C&lt;=$L$4),ROW(),"-")</f>
        <v>-</v>
      </c>
    </row>
    <row r="27603" customHeight="1" spans="2:2">
      <c r="B27603" s="62" t="str">
        <f>IF(AND('领用录入（明细）'!D:D=$F$4,'领用录入（明细）'!C:C&gt;=$J$4,'领用录入（明细）'!C:C&lt;=$L$4),ROW(),"-")</f>
        <v>-</v>
      </c>
    </row>
    <row r="27604" customHeight="1" spans="2:2">
      <c r="B27604" s="62" t="str">
        <f>IF(AND('领用录入（明细）'!D:D=$F$4,'领用录入（明细）'!C:C&gt;=$J$4,'领用录入（明细）'!C:C&lt;=$L$4),ROW(),"-")</f>
        <v>-</v>
      </c>
    </row>
    <row r="27605" customHeight="1" spans="2:2">
      <c r="B27605" s="62" t="str">
        <f>IF(AND('领用录入（明细）'!D:D=$F$4,'领用录入（明细）'!C:C&gt;=$J$4,'领用录入（明细）'!C:C&lt;=$L$4),ROW(),"-")</f>
        <v>-</v>
      </c>
    </row>
    <row r="27606" customHeight="1" spans="2:2">
      <c r="B27606" s="62" t="str">
        <f>IF(AND('领用录入（明细）'!D:D=$F$4,'领用录入（明细）'!C:C&gt;=$J$4,'领用录入（明细）'!C:C&lt;=$L$4),ROW(),"-")</f>
        <v>-</v>
      </c>
    </row>
    <row r="27607" customHeight="1" spans="2:2">
      <c r="B27607" s="62" t="str">
        <f>IF(AND('领用录入（明细）'!D:D=$F$4,'领用录入（明细）'!C:C&gt;=$J$4,'领用录入（明细）'!C:C&lt;=$L$4),ROW(),"-")</f>
        <v>-</v>
      </c>
    </row>
    <row r="27608" customHeight="1" spans="2:2">
      <c r="B27608" s="62" t="str">
        <f>IF(AND('领用录入（明细）'!D:D=$F$4,'领用录入（明细）'!C:C&gt;=$J$4,'领用录入（明细）'!C:C&lt;=$L$4),ROW(),"-")</f>
        <v>-</v>
      </c>
    </row>
    <row r="27609" customHeight="1" spans="2:2">
      <c r="B27609" s="62" t="str">
        <f>IF(AND('领用录入（明细）'!D:D=$F$4,'领用录入（明细）'!C:C&gt;=$J$4,'领用录入（明细）'!C:C&lt;=$L$4),ROW(),"-")</f>
        <v>-</v>
      </c>
    </row>
    <row r="27610" customHeight="1" spans="2:2">
      <c r="B27610" s="62" t="str">
        <f>IF(AND('领用录入（明细）'!D:D=$F$4,'领用录入（明细）'!C:C&gt;=$J$4,'领用录入（明细）'!C:C&lt;=$L$4),ROW(),"-")</f>
        <v>-</v>
      </c>
    </row>
    <row r="27611" customHeight="1" spans="2:2">
      <c r="B27611" s="62" t="str">
        <f>IF(AND('领用录入（明细）'!D:D=$F$4,'领用录入（明细）'!C:C&gt;=$J$4,'领用录入（明细）'!C:C&lt;=$L$4),ROW(),"-")</f>
        <v>-</v>
      </c>
    </row>
    <row r="27612" customHeight="1" spans="2:2">
      <c r="B27612" s="62" t="str">
        <f>IF(AND('领用录入（明细）'!D:D=$F$4,'领用录入（明细）'!C:C&gt;=$J$4,'领用录入（明细）'!C:C&lt;=$L$4),ROW(),"-")</f>
        <v>-</v>
      </c>
    </row>
    <row r="27613" customHeight="1" spans="2:2">
      <c r="B27613" s="62" t="str">
        <f>IF(AND('领用录入（明细）'!D:D=$F$4,'领用录入（明细）'!C:C&gt;=$J$4,'领用录入（明细）'!C:C&lt;=$L$4),ROW(),"-")</f>
        <v>-</v>
      </c>
    </row>
    <row r="27614" customHeight="1" spans="2:2">
      <c r="B27614" s="62" t="str">
        <f>IF(AND('领用录入（明细）'!D:D=$F$4,'领用录入（明细）'!C:C&gt;=$J$4,'领用录入（明细）'!C:C&lt;=$L$4),ROW(),"-")</f>
        <v>-</v>
      </c>
    </row>
    <row r="27615" customHeight="1" spans="2:2">
      <c r="B27615" s="62" t="str">
        <f>IF(AND('领用录入（明细）'!D:D=$F$4,'领用录入（明细）'!C:C&gt;=$J$4,'领用录入（明细）'!C:C&lt;=$L$4),ROW(),"-")</f>
        <v>-</v>
      </c>
    </row>
    <row r="27616" customHeight="1" spans="2:2">
      <c r="B27616" s="62" t="str">
        <f>IF(AND('领用录入（明细）'!D:D=$F$4,'领用录入（明细）'!C:C&gt;=$J$4,'领用录入（明细）'!C:C&lt;=$L$4),ROW(),"-")</f>
        <v>-</v>
      </c>
    </row>
    <row r="27617" customHeight="1" spans="2:2">
      <c r="B27617" s="62" t="str">
        <f>IF(AND('领用录入（明细）'!D:D=$F$4,'领用录入（明细）'!C:C&gt;=$J$4,'领用录入（明细）'!C:C&lt;=$L$4),ROW(),"-")</f>
        <v>-</v>
      </c>
    </row>
    <row r="27618" customHeight="1" spans="2:2">
      <c r="B27618" s="62" t="str">
        <f>IF(AND('领用录入（明细）'!D:D=$F$4,'领用录入（明细）'!C:C&gt;=$J$4,'领用录入（明细）'!C:C&lt;=$L$4),ROW(),"-")</f>
        <v>-</v>
      </c>
    </row>
    <row r="27619" customHeight="1" spans="2:2">
      <c r="B27619" s="62" t="str">
        <f>IF(AND('领用录入（明细）'!D:D=$F$4,'领用录入（明细）'!C:C&gt;=$J$4,'领用录入（明细）'!C:C&lt;=$L$4),ROW(),"-")</f>
        <v>-</v>
      </c>
    </row>
    <row r="27620" customHeight="1" spans="2:2">
      <c r="B27620" s="62" t="str">
        <f>IF(AND('领用录入（明细）'!D:D=$F$4,'领用录入（明细）'!C:C&gt;=$J$4,'领用录入（明细）'!C:C&lt;=$L$4),ROW(),"-")</f>
        <v>-</v>
      </c>
    </row>
    <row r="27621" customHeight="1" spans="2:2">
      <c r="B27621" s="62" t="str">
        <f>IF(AND('领用录入（明细）'!D:D=$F$4,'领用录入（明细）'!C:C&gt;=$J$4,'领用录入（明细）'!C:C&lt;=$L$4),ROW(),"-")</f>
        <v>-</v>
      </c>
    </row>
    <row r="27622" customHeight="1" spans="2:2">
      <c r="B27622" s="62" t="str">
        <f>IF(AND('领用录入（明细）'!D:D=$F$4,'领用录入（明细）'!C:C&gt;=$J$4,'领用录入（明细）'!C:C&lt;=$L$4),ROW(),"-")</f>
        <v>-</v>
      </c>
    </row>
    <row r="27623" customHeight="1" spans="2:2">
      <c r="B27623" s="62" t="str">
        <f>IF(AND('领用录入（明细）'!D:D=$F$4,'领用录入（明细）'!C:C&gt;=$J$4,'领用录入（明细）'!C:C&lt;=$L$4),ROW(),"-")</f>
        <v>-</v>
      </c>
    </row>
    <row r="27624" customHeight="1" spans="2:2">
      <c r="B27624" s="62" t="str">
        <f>IF(AND('领用录入（明细）'!D:D=$F$4,'领用录入（明细）'!C:C&gt;=$J$4,'领用录入（明细）'!C:C&lt;=$L$4),ROW(),"-")</f>
        <v>-</v>
      </c>
    </row>
    <row r="27625" customHeight="1" spans="2:2">
      <c r="B27625" s="62" t="str">
        <f>IF(AND('领用录入（明细）'!D:D=$F$4,'领用录入（明细）'!C:C&gt;=$J$4,'领用录入（明细）'!C:C&lt;=$L$4),ROW(),"-")</f>
        <v>-</v>
      </c>
    </row>
    <row r="27626" customHeight="1" spans="2:2">
      <c r="B27626" s="62" t="str">
        <f>IF(AND('领用录入（明细）'!D:D=$F$4,'领用录入（明细）'!C:C&gt;=$J$4,'领用录入（明细）'!C:C&lt;=$L$4),ROW(),"-")</f>
        <v>-</v>
      </c>
    </row>
    <row r="27627" customHeight="1" spans="2:2">
      <c r="B27627" s="62" t="str">
        <f>IF(AND('领用录入（明细）'!D:D=$F$4,'领用录入（明细）'!C:C&gt;=$J$4,'领用录入（明细）'!C:C&lt;=$L$4),ROW(),"-")</f>
        <v>-</v>
      </c>
    </row>
    <row r="27628" customHeight="1" spans="2:2">
      <c r="B27628" s="62" t="str">
        <f>IF(AND('领用录入（明细）'!D:D=$F$4,'领用录入（明细）'!C:C&gt;=$J$4,'领用录入（明细）'!C:C&lt;=$L$4),ROW(),"-")</f>
        <v>-</v>
      </c>
    </row>
    <row r="27629" customHeight="1" spans="2:2">
      <c r="B27629" s="62" t="str">
        <f>IF(AND('领用录入（明细）'!D:D=$F$4,'领用录入（明细）'!C:C&gt;=$J$4,'领用录入（明细）'!C:C&lt;=$L$4),ROW(),"-")</f>
        <v>-</v>
      </c>
    </row>
    <row r="27630" customHeight="1" spans="2:2">
      <c r="B27630" s="62" t="str">
        <f>IF(AND('领用录入（明细）'!D:D=$F$4,'领用录入（明细）'!C:C&gt;=$J$4,'领用录入（明细）'!C:C&lt;=$L$4),ROW(),"-")</f>
        <v>-</v>
      </c>
    </row>
    <row r="27631" customHeight="1" spans="2:2">
      <c r="B27631" s="62" t="str">
        <f>IF(AND('领用录入（明细）'!D:D=$F$4,'领用录入（明细）'!C:C&gt;=$J$4,'领用录入（明细）'!C:C&lt;=$L$4),ROW(),"-")</f>
        <v>-</v>
      </c>
    </row>
    <row r="27632" customHeight="1" spans="2:2">
      <c r="B27632" s="62" t="str">
        <f>IF(AND('领用录入（明细）'!D:D=$F$4,'领用录入（明细）'!C:C&gt;=$J$4,'领用录入（明细）'!C:C&lt;=$L$4),ROW(),"-")</f>
        <v>-</v>
      </c>
    </row>
    <row r="27633" customHeight="1" spans="2:2">
      <c r="B27633" s="62" t="str">
        <f>IF(AND('领用录入（明细）'!D:D=$F$4,'领用录入（明细）'!C:C&gt;=$J$4,'领用录入（明细）'!C:C&lt;=$L$4),ROW(),"-")</f>
        <v>-</v>
      </c>
    </row>
    <row r="27634" customHeight="1" spans="2:2">
      <c r="B27634" s="62" t="str">
        <f>IF(AND('领用录入（明细）'!D:D=$F$4,'领用录入（明细）'!C:C&gt;=$J$4,'领用录入（明细）'!C:C&lt;=$L$4),ROW(),"-")</f>
        <v>-</v>
      </c>
    </row>
    <row r="27635" customHeight="1" spans="2:2">
      <c r="B27635" s="62" t="str">
        <f>IF(AND('领用录入（明细）'!D:D=$F$4,'领用录入（明细）'!C:C&gt;=$J$4,'领用录入（明细）'!C:C&lt;=$L$4),ROW(),"-")</f>
        <v>-</v>
      </c>
    </row>
    <row r="27636" customHeight="1" spans="2:2">
      <c r="B27636" s="62" t="str">
        <f>IF(AND('领用录入（明细）'!D:D=$F$4,'领用录入（明细）'!C:C&gt;=$J$4,'领用录入（明细）'!C:C&lt;=$L$4),ROW(),"-")</f>
        <v>-</v>
      </c>
    </row>
    <row r="27637" customHeight="1" spans="2:2">
      <c r="B27637" s="62" t="str">
        <f>IF(AND('领用录入（明细）'!D:D=$F$4,'领用录入（明细）'!C:C&gt;=$J$4,'领用录入（明细）'!C:C&lt;=$L$4),ROW(),"-")</f>
        <v>-</v>
      </c>
    </row>
    <row r="27638" customHeight="1" spans="2:2">
      <c r="B27638" s="62" t="str">
        <f>IF(AND('领用录入（明细）'!D:D=$F$4,'领用录入（明细）'!C:C&gt;=$J$4,'领用录入（明细）'!C:C&lt;=$L$4),ROW(),"-")</f>
        <v>-</v>
      </c>
    </row>
    <row r="27639" customHeight="1" spans="2:2">
      <c r="B27639" s="62" t="str">
        <f>IF(AND('领用录入（明细）'!D:D=$F$4,'领用录入（明细）'!C:C&gt;=$J$4,'领用录入（明细）'!C:C&lt;=$L$4),ROW(),"-")</f>
        <v>-</v>
      </c>
    </row>
    <row r="27640" customHeight="1" spans="2:2">
      <c r="B27640" s="62" t="str">
        <f>IF(AND('领用录入（明细）'!D:D=$F$4,'领用录入（明细）'!C:C&gt;=$J$4,'领用录入（明细）'!C:C&lt;=$L$4),ROW(),"-")</f>
        <v>-</v>
      </c>
    </row>
    <row r="27641" customHeight="1" spans="2:2">
      <c r="B27641" s="62" t="str">
        <f>IF(AND('领用录入（明细）'!D:D=$F$4,'领用录入（明细）'!C:C&gt;=$J$4,'领用录入（明细）'!C:C&lt;=$L$4),ROW(),"-")</f>
        <v>-</v>
      </c>
    </row>
    <row r="27642" customHeight="1" spans="2:2">
      <c r="B27642" s="62" t="str">
        <f>IF(AND('领用录入（明细）'!D:D=$F$4,'领用录入（明细）'!C:C&gt;=$J$4,'领用录入（明细）'!C:C&lt;=$L$4),ROW(),"-")</f>
        <v>-</v>
      </c>
    </row>
    <row r="27643" customHeight="1" spans="2:2">
      <c r="B27643" s="62" t="str">
        <f>IF(AND('领用录入（明细）'!D:D=$F$4,'领用录入（明细）'!C:C&gt;=$J$4,'领用录入（明细）'!C:C&lt;=$L$4),ROW(),"-")</f>
        <v>-</v>
      </c>
    </row>
    <row r="27644" customHeight="1" spans="2:2">
      <c r="B27644" s="62" t="str">
        <f>IF(AND('领用录入（明细）'!D:D=$F$4,'领用录入（明细）'!C:C&gt;=$J$4,'领用录入（明细）'!C:C&lt;=$L$4),ROW(),"-")</f>
        <v>-</v>
      </c>
    </row>
    <row r="27645" customHeight="1" spans="2:2">
      <c r="B27645" s="62" t="str">
        <f>IF(AND('领用录入（明细）'!D:D=$F$4,'领用录入（明细）'!C:C&gt;=$J$4,'领用录入（明细）'!C:C&lt;=$L$4),ROW(),"-")</f>
        <v>-</v>
      </c>
    </row>
    <row r="27646" customHeight="1" spans="2:2">
      <c r="B27646" s="62" t="str">
        <f>IF(AND('领用录入（明细）'!D:D=$F$4,'领用录入（明细）'!C:C&gt;=$J$4,'领用录入（明细）'!C:C&lt;=$L$4),ROW(),"-")</f>
        <v>-</v>
      </c>
    </row>
    <row r="27647" customHeight="1" spans="2:2">
      <c r="B27647" s="62" t="str">
        <f>IF(AND('领用录入（明细）'!D:D=$F$4,'领用录入（明细）'!C:C&gt;=$J$4,'领用录入（明细）'!C:C&lt;=$L$4),ROW(),"-")</f>
        <v>-</v>
      </c>
    </row>
    <row r="27648" customHeight="1" spans="2:2">
      <c r="B27648" s="62" t="str">
        <f>IF(AND('领用录入（明细）'!D:D=$F$4,'领用录入（明细）'!C:C&gt;=$J$4,'领用录入（明细）'!C:C&lt;=$L$4),ROW(),"-")</f>
        <v>-</v>
      </c>
    </row>
    <row r="27649" customHeight="1" spans="2:2">
      <c r="B27649" s="62" t="str">
        <f>IF(AND('领用录入（明细）'!D:D=$F$4,'领用录入（明细）'!C:C&gt;=$J$4,'领用录入（明细）'!C:C&lt;=$L$4),ROW(),"-")</f>
        <v>-</v>
      </c>
    </row>
    <row r="27650" customHeight="1" spans="2:2">
      <c r="B27650" s="62" t="str">
        <f>IF(AND('领用录入（明细）'!D:D=$F$4,'领用录入（明细）'!C:C&gt;=$J$4,'领用录入（明细）'!C:C&lt;=$L$4),ROW(),"-")</f>
        <v>-</v>
      </c>
    </row>
    <row r="27651" customHeight="1" spans="2:2">
      <c r="B27651" s="62" t="str">
        <f>IF(AND('领用录入（明细）'!D:D=$F$4,'领用录入（明细）'!C:C&gt;=$J$4,'领用录入（明细）'!C:C&lt;=$L$4),ROW(),"-")</f>
        <v>-</v>
      </c>
    </row>
    <row r="27652" customHeight="1" spans="2:2">
      <c r="B27652" s="62" t="str">
        <f>IF(AND('领用录入（明细）'!D:D=$F$4,'领用录入（明细）'!C:C&gt;=$J$4,'领用录入（明细）'!C:C&lt;=$L$4),ROW(),"-")</f>
        <v>-</v>
      </c>
    </row>
    <row r="27653" customHeight="1" spans="2:2">
      <c r="B27653" s="62" t="str">
        <f>IF(AND('领用录入（明细）'!D:D=$F$4,'领用录入（明细）'!C:C&gt;=$J$4,'领用录入（明细）'!C:C&lt;=$L$4),ROW(),"-")</f>
        <v>-</v>
      </c>
    </row>
    <row r="27654" customHeight="1" spans="2:2">
      <c r="B27654" s="62" t="str">
        <f>IF(AND('领用录入（明细）'!D:D=$F$4,'领用录入（明细）'!C:C&gt;=$J$4,'领用录入（明细）'!C:C&lt;=$L$4),ROW(),"-")</f>
        <v>-</v>
      </c>
    </row>
    <row r="27655" customHeight="1" spans="2:2">
      <c r="B27655" s="62" t="str">
        <f>IF(AND('领用录入（明细）'!D:D=$F$4,'领用录入（明细）'!C:C&gt;=$J$4,'领用录入（明细）'!C:C&lt;=$L$4),ROW(),"-")</f>
        <v>-</v>
      </c>
    </row>
    <row r="27656" customHeight="1" spans="2:2">
      <c r="B27656" s="62" t="str">
        <f>IF(AND('领用录入（明细）'!D:D=$F$4,'领用录入（明细）'!C:C&gt;=$J$4,'领用录入（明细）'!C:C&lt;=$L$4),ROW(),"-")</f>
        <v>-</v>
      </c>
    </row>
    <row r="27657" customHeight="1" spans="2:2">
      <c r="B27657" s="62" t="str">
        <f>IF(AND('领用录入（明细）'!D:D=$F$4,'领用录入（明细）'!C:C&gt;=$J$4,'领用录入（明细）'!C:C&lt;=$L$4),ROW(),"-")</f>
        <v>-</v>
      </c>
    </row>
    <row r="27658" customHeight="1" spans="2:2">
      <c r="B27658" s="62" t="str">
        <f>IF(AND('领用录入（明细）'!D:D=$F$4,'领用录入（明细）'!C:C&gt;=$J$4,'领用录入（明细）'!C:C&lt;=$L$4),ROW(),"-")</f>
        <v>-</v>
      </c>
    </row>
    <row r="27659" customHeight="1" spans="2:2">
      <c r="B27659" s="62" t="str">
        <f>IF(AND('领用录入（明细）'!D:D=$F$4,'领用录入（明细）'!C:C&gt;=$J$4,'领用录入（明细）'!C:C&lt;=$L$4),ROW(),"-")</f>
        <v>-</v>
      </c>
    </row>
    <row r="27660" customHeight="1" spans="2:2">
      <c r="B27660" s="62" t="str">
        <f>IF(AND('领用录入（明细）'!D:D=$F$4,'领用录入（明细）'!C:C&gt;=$J$4,'领用录入（明细）'!C:C&lt;=$L$4),ROW(),"-")</f>
        <v>-</v>
      </c>
    </row>
    <row r="27661" customHeight="1" spans="2:2">
      <c r="B27661" s="62" t="str">
        <f>IF(AND('领用录入（明细）'!D:D=$F$4,'领用录入（明细）'!C:C&gt;=$J$4,'领用录入（明细）'!C:C&lt;=$L$4),ROW(),"-")</f>
        <v>-</v>
      </c>
    </row>
    <row r="27662" customHeight="1" spans="2:2">
      <c r="B27662" s="62" t="str">
        <f>IF(AND('领用录入（明细）'!D:D=$F$4,'领用录入（明细）'!C:C&gt;=$J$4,'领用录入（明细）'!C:C&lt;=$L$4),ROW(),"-")</f>
        <v>-</v>
      </c>
    </row>
    <row r="27663" customHeight="1" spans="2:2">
      <c r="B27663" s="62" t="str">
        <f>IF(AND('领用录入（明细）'!D:D=$F$4,'领用录入（明细）'!C:C&gt;=$J$4,'领用录入（明细）'!C:C&lt;=$L$4),ROW(),"-")</f>
        <v>-</v>
      </c>
    </row>
    <row r="27664" customHeight="1" spans="2:2">
      <c r="B27664" s="62" t="str">
        <f>IF(AND('领用录入（明细）'!D:D=$F$4,'领用录入（明细）'!C:C&gt;=$J$4,'领用录入（明细）'!C:C&lt;=$L$4),ROW(),"-")</f>
        <v>-</v>
      </c>
    </row>
    <row r="27665" customHeight="1" spans="2:2">
      <c r="B27665" s="62" t="str">
        <f>IF(AND('领用录入（明细）'!D:D=$F$4,'领用录入（明细）'!C:C&gt;=$J$4,'领用录入（明细）'!C:C&lt;=$L$4),ROW(),"-")</f>
        <v>-</v>
      </c>
    </row>
    <row r="27666" customHeight="1" spans="2:2">
      <c r="B27666" s="62" t="str">
        <f>IF(AND('领用录入（明细）'!D:D=$F$4,'领用录入（明细）'!C:C&gt;=$J$4,'领用录入（明细）'!C:C&lt;=$L$4),ROW(),"-")</f>
        <v>-</v>
      </c>
    </row>
    <row r="27667" customHeight="1" spans="2:2">
      <c r="B27667" s="62" t="str">
        <f>IF(AND('领用录入（明细）'!D:D=$F$4,'领用录入（明细）'!C:C&gt;=$J$4,'领用录入（明细）'!C:C&lt;=$L$4),ROW(),"-")</f>
        <v>-</v>
      </c>
    </row>
    <row r="27668" customHeight="1" spans="2:2">
      <c r="B27668" s="62" t="str">
        <f>IF(AND('领用录入（明细）'!D:D=$F$4,'领用录入（明细）'!C:C&gt;=$J$4,'领用录入（明细）'!C:C&lt;=$L$4),ROW(),"-")</f>
        <v>-</v>
      </c>
    </row>
    <row r="27669" customHeight="1" spans="2:2">
      <c r="B27669" s="62" t="str">
        <f>IF(AND('领用录入（明细）'!D:D=$F$4,'领用录入（明细）'!C:C&gt;=$J$4,'领用录入（明细）'!C:C&lt;=$L$4),ROW(),"-")</f>
        <v>-</v>
      </c>
    </row>
    <row r="27670" customHeight="1" spans="2:2">
      <c r="B27670" s="62" t="str">
        <f>IF(AND('领用录入（明细）'!D:D=$F$4,'领用录入（明细）'!C:C&gt;=$J$4,'领用录入（明细）'!C:C&lt;=$L$4),ROW(),"-")</f>
        <v>-</v>
      </c>
    </row>
    <row r="27671" customHeight="1" spans="2:2">
      <c r="B27671" s="62" t="str">
        <f>IF(AND('领用录入（明细）'!D:D=$F$4,'领用录入（明细）'!C:C&gt;=$J$4,'领用录入（明细）'!C:C&lt;=$L$4),ROW(),"-")</f>
        <v>-</v>
      </c>
    </row>
    <row r="27672" customHeight="1" spans="2:2">
      <c r="B27672" s="62" t="str">
        <f>IF(AND('领用录入（明细）'!D:D=$F$4,'领用录入（明细）'!C:C&gt;=$J$4,'领用录入（明细）'!C:C&lt;=$L$4),ROW(),"-")</f>
        <v>-</v>
      </c>
    </row>
    <row r="27673" customHeight="1" spans="2:2">
      <c r="B27673" s="62" t="str">
        <f>IF(AND('领用录入（明细）'!D:D=$F$4,'领用录入（明细）'!C:C&gt;=$J$4,'领用录入（明细）'!C:C&lt;=$L$4),ROW(),"-")</f>
        <v>-</v>
      </c>
    </row>
    <row r="27674" customHeight="1" spans="2:2">
      <c r="B27674" s="62" t="str">
        <f>IF(AND('领用录入（明细）'!D:D=$F$4,'领用录入（明细）'!C:C&gt;=$J$4,'领用录入（明细）'!C:C&lt;=$L$4),ROW(),"-")</f>
        <v>-</v>
      </c>
    </row>
    <row r="27675" customHeight="1" spans="2:2">
      <c r="B27675" s="62" t="str">
        <f>IF(AND('领用录入（明细）'!D:D=$F$4,'领用录入（明细）'!C:C&gt;=$J$4,'领用录入（明细）'!C:C&lt;=$L$4),ROW(),"-")</f>
        <v>-</v>
      </c>
    </row>
    <row r="27676" customHeight="1" spans="2:2">
      <c r="B27676" s="62" t="str">
        <f>IF(AND('领用录入（明细）'!D:D=$F$4,'领用录入（明细）'!C:C&gt;=$J$4,'领用录入（明细）'!C:C&lt;=$L$4),ROW(),"-")</f>
        <v>-</v>
      </c>
    </row>
    <row r="27677" customHeight="1" spans="2:2">
      <c r="B27677" s="62" t="str">
        <f>IF(AND('领用录入（明细）'!D:D=$F$4,'领用录入（明细）'!C:C&gt;=$J$4,'领用录入（明细）'!C:C&lt;=$L$4),ROW(),"-")</f>
        <v>-</v>
      </c>
    </row>
    <row r="27678" customHeight="1" spans="2:2">
      <c r="B27678" s="62" t="str">
        <f>IF(AND('领用录入（明细）'!D:D=$F$4,'领用录入（明细）'!C:C&gt;=$J$4,'领用录入（明细）'!C:C&lt;=$L$4),ROW(),"-")</f>
        <v>-</v>
      </c>
    </row>
    <row r="27679" customHeight="1" spans="2:2">
      <c r="B27679" s="62" t="str">
        <f>IF(AND('领用录入（明细）'!D:D=$F$4,'领用录入（明细）'!C:C&gt;=$J$4,'领用录入（明细）'!C:C&lt;=$L$4),ROW(),"-")</f>
        <v>-</v>
      </c>
    </row>
    <row r="27680" customHeight="1" spans="2:2">
      <c r="B27680" s="62" t="str">
        <f>IF(AND('领用录入（明细）'!D:D=$F$4,'领用录入（明细）'!C:C&gt;=$J$4,'领用录入（明细）'!C:C&lt;=$L$4),ROW(),"-")</f>
        <v>-</v>
      </c>
    </row>
    <row r="27681" customHeight="1" spans="2:2">
      <c r="B27681" s="62" t="str">
        <f>IF(AND('领用录入（明细）'!D:D=$F$4,'领用录入（明细）'!C:C&gt;=$J$4,'领用录入（明细）'!C:C&lt;=$L$4),ROW(),"-")</f>
        <v>-</v>
      </c>
    </row>
    <row r="27682" customHeight="1" spans="2:2">
      <c r="B27682" s="62" t="str">
        <f>IF(AND('领用录入（明细）'!D:D=$F$4,'领用录入（明细）'!C:C&gt;=$J$4,'领用录入（明细）'!C:C&lt;=$L$4),ROW(),"-")</f>
        <v>-</v>
      </c>
    </row>
    <row r="27683" customHeight="1" spans="2:2">
      <c r="B27683" s="62" t="str">
        <f>IF(AND('领用录入（明细）'!D:D=$F$4,'领用录入（明细）'!C:C&gt;=$J$4,'领用录入（明细）'!C:C&lt;=$L$4),ROW(),"-")</f>
        <v>-</v>
      </c>
    </row>
    <row r="27684" customHeight="1" spans="2:2">
      <c r="B27684" s="62" t="str">
        <f>IF(AND('领用录入（明细）'!D:D=$F$4,'领用录入（明细）'!C:C&gt;=$J$4,'领用录入（明细）'!C:C&lt;=$L$4),ROW(),"-")</f>
        <v>-</v>
      </c>
    </row>
    <row r="27685" customHeight="1" spans="2:2">
      <c r="B27685" s="62" t="str">
        <f>IF(AND('领用录入（明细）'!D:D=$F$4,'领用录入（明细）'!C:C&gt;=$J$4,'领用录入（明细）'!C:C&lt;=$L$4),ROW(),"-")</f>
        <v>-</v>
      </c>
    </row>
    <row r="27686" customHeight="1" spans="2:2">
      <c r="B27686" s="62" t="str">
        <f>IF(AND('领用录入（明细）'!D:D=$F$4,'领用录入（明细）'!C:C&gt;=$J$4,'领用录入（明细）'!C:C&lt;=$L$4),ROW(),"-")</f>
        <v>-</v>
      </c>
    </row>
    <row r="27687" customHeight="1" spans="2:2">
      <c r="B27687" s="62" t="str">
        <f>IF(AND('领用录入（明细）'!D:D=$F$4,'领用录入（明细）'!C:C&gt;=$J$4,'领用录入（明细）'!C:C&lt;=$L$4),ROW(),"-")</f>
        <v>-</v>
      </c>
    </row>
    <row r="27688" customHeight="1" spans="2:2">
      <c r="B27688" s="62" t="str">
        <f>IF(AND('领用录入（明细）'!D:D=$F$4,'领用录入（明细）'!C:C&gt;=$J$4,'领用录入（明细）'!C:C&lt;=$L$4),ROW(),"-")</f>
        <v>-</v>
      </c>
    </row>
    <row r="27689" customHeight="1" spans="2:2">
      <c r="B27689" s="62" t="str">
        <f>IF(AND('领用录入（明细）'!D:D=$F$4,'领用录入（明细）'!C:C&gt;=$J$4,'领用录入（明细）'!C:C&lt;=$L$4),ROW(),"-")</f>
        <v>-</v>
      </c>
    </row>
    <row r="27690" customHeight="1" spans="2:2">
      <c r="B27690" s="62" t="str">
        <f>IF(AND('领用录入（明细）'!D:D=$F$4,'领用录入（明细）'!C:C&gt;=$J$4,'领用录入（明细）'!C:C&lt;=$L$4),ROW(),"-")</f>
        <v>-</v>
      </c>
    </row>
    <row r="27691" customHeight="1" spans="2:2">
      <c r="B27691" s="62" t="str">
        <f>IF(AND('领用录入（明细）'!D:D=$F$4,'领用录入（明细）'!C:C&gt;=$J$4,'领用录入（明细）'!C:C&lt;=$L$4),ROW(),"-")</f>
        <v>-</v>
      </c>
    </row>
    <row r="27692" customHeight="1" spans="2:2">
      <c r="B27692" s="62" t="str">
        <f>IF(AND('领用录入（明细）'!D:D=$F$4,'领用录入（明细）'!C:C&gt;=$J$4,'领用录入（明细）'!C:C&lt;=$L$4),ROW(),"-")</f>
        <v>-</v>
      </c>
    </row>
    <row r="27693" customHeight="1" spans="2:2">
      <c r="B27693" s="62" t="str">
        <f>IF(AND('领用录入（明细）'!D:D=$F$4,'领用录入（明细）'!C:C&gt;=$J$4,'领用录入（明细）'!C:C&lt;=$L$4),ROW(),"-")</f>
        <v>-</v>
      </c>
    </row>
    <row r="27694" customHeight="1" spans="2:2">
      <c r="B27694" s="62" t="str">
        <f>IF(AND('领用录入（明细）'!D:D=$F$4,'领用录入（明细）'!C:C&gt;=$J$4,'领用录入（明细）'!C:C&lt;=$L$4),ROW(),"-")</f>
        <v>-</v>
      </c>
    </row>
    <row r="27695" customHeight="1" spans="2:2">
      <c r="B27695" s="62" t="str">
        <f>IF(AND('领用录入（明细）'!D:D=$F$4,'领用录入（明细）'!C:C&gt;=$J$4,'领用录入（明细）'!C:C&lt;=$L$4),ROW(),"-")</f>
        <v>-</v>
      </c>
    </row>
    <row r="27696" customHeight="1" spans="2:2">
      <c r="B27696" s="62" t="str">
        <f>IF(AND('领用录入（明细）'!D:D=$F$4,'领用录入（明细）'!C:C&gt;=$J$4,'领用录入（明细）'!C:C&lt;=$L$4),ROW(),"-")</f>
        <v>-</v>
      </c>
    </row>
    <row r="27697" customHeight="1" spans="2:2">
      <c r="B27697" s="62" t="str">
        <f>IF(AND('领用录入（明细）'!D:D=$F$4,'领用录入（明细）'!C:C&gt;=$J$4,'领用录入（明细）'!C:C&lt;=$L$4),ROW(),"-")</f>
        <v>-</v>
      </c>
    </row>
    <row r="27698" customHeight="1" spans="2:2">
      <c r="B27698" s="62" t="str">
        <f>IF(AND('领用录入（明细）'!D:D=$F$4,'领用录入（明细）'!C:C&gt;=$J$4,'领用录入（明细）'!C:C&lt;=$L$4),ROW(),"-")</f>
        <v>-</v>
      </c>
    </row>
    <row r="27699" customHeight="1" spans="2:2">
      <c r="B27699" s="62" t="str">
        <f>IF(AND('领用录入（明细）'!D:D=$F$4,'领用录入（明细）'!C:C&gt;=$J$4,'领用录入（明细）'!C:C&lt;=$L$4),ROW(),"-")</f>
        <v>-</v>
      </c>
    </row>
    <row r="27700" customHeight="1" spans="2:2">
      <c r="B27700" s="62" t="str">
        <f>IF(AND('领用录入（明细）'!D:D=$F$4,'领用录入（明细）'!C:C&gt;=$J$4,'领用录入（明细）'!C:C&lt;=$L$4),ROW(),"-")</f>
        <v>-</v>
      </c>
    </row>
    <row r="27701" customHeight="1" spans="2:2">
      <c r="B27701" s="62" t="str">
        <f>IF(AND('领用录入（明细）'!D:D=$F$4,'领用录入（明细）'!C:C&gt;=$J$4,'领用录入（明细）'!C:C&lt;=$L$4),ROW(),"-")</f>
        <v>-</v>
      </c>
    </row>
    <row r="27702" customHeight="1" spans="2:2">
      <c r="B27702" s="62" t="str">
        <f>IF(AND('领用录入（明细）'!D:D=$F$4,'领用录入（明细）'!C:C&gt;=$J$4,'领用录入（明细）'!C:C&lt;=$L$4),ROW(),"-")</f>
        <v>-</v>
      </c>
    </row>
    <row r="27703" customHeight="1" spans="2:2">
      <c r="B27703" s="62" t="str">
        <f>IF(AND('领用录入（明细）'!D:D=$F$4,'领用录入（明细）'!C:C&gt;=$J$4,'领用录入（明细）'!C:C&lt;=$L$4),ROW(),"-")</f>
        <v>-</v>
      </c>
    </row>
    <row r="27704" customHeight="1" spans="2:2">
      <c r="B27704" s="62" t="str">
        <f>IF(AND('领用录入（明细）'!D:D=$F$4,'领用录入（明细）'!C:C&gt;=$J$4,'领用录入（明细）'!C:C&lt;=$L$4),ROW(),"-")</f>
        <v>-</v>
      </c>
    </row>
    <row r="27705" customHeight="1" spans="2:2">
      <c r="B27705" s="62" t="str">
        <f>IF(AND('领用录入（明细）'!D:D=$F$4,'领用录入（明细）'!C:C&gt;=$J$4,'领用录入（明细）'!C:C&lt;=$L$4),ROW(),"-")</f>
        <v>-</v>
      </c>
    </row>
    <row r="27706" customHeight="1" spans="2:2">
      <c r="B27706" s="62" t="str">
        <f>IF(AND('领用录入（明细）'!D:D=$F$4,'领用录入（明细）'!C:C&gt;=$J$4,'领用录入（明细）'!C:C&lt;=$L$4),ROW(),"-")</f>
        <v>-</v>
      </c>
    </row>
    <row r="27707" customHeight="1" spans="2:2">
      <c r="B27707" s="62" t="str">
        <f>IF(AND('领用录入（明细）'!D:D=$F$4,'领用录入（明细）'!C:C&gt;=$J$4,'领用录入（明细）'!C:C&lt;=$L$4),ROW(),"-")</f>
        <v>-</v>
      </c>
    </row>
    <row r="27708" customHeight="1" spans="2:2">
      <c r="B27708" s="62" t="str">
        <f>IF(AND('领用录入（明细）'!D:D=$F$4,'领用录入（明细）'!C:C&gt;=$J$4,'领用录入（明细）'!C:C&lt;=$L$4),ROW(),"-")</f>
        <v>-</v>
      </c>
    </row>
    <row r="27709" customHeight="1" spans="2:2">
      <c r="B27709" s="62" t="str">
        <f>IF(AND('领用录入（明细）'!D:D=$F$4,'领用录入（明细）'!C:C&gt;=$J$4,'领用录入（明细）'!C:C&lt;=$L$4),ROW(),"-")</f>
        <v>-</v>
      </c>
    </row>
    <row r="27710" customHeight="1" spans="2:2">
      <c r="B27710" s="62" t="str">
        <f>IF(AND('领用录入（明细）'!D:D=$F$4,'领用录入（明细）'!C:C&gt;=$J$4,'领用录入（明细）'!C:C&lt;=$L$4),ROW(),"-")</f>
        <v>-</v>
      </c>
    </row>
    <row r="27711" customHeight="1" spans="2:2">
      <c r="B27711" s="62" t="str">
        <f>IF(AND('领用录入（明细）'!D:D=$F$4,'领用录入（明细）'!C:C&gt;=$J$4,'领用录入（明细）'!C:C&lt;=$L$4),ROW(),"-")</f>
        <v>-</v>
      </c>
    </row>
    <row r="27712" customHeight="1" spans="2:2">
      <c r="B27712" s="62" t="str">
        <f>IF(AND('领用录入（明细）'!D:D=$F$4,'领用录入（明细）'!C:C&gt;=$J$4,'领用录入（明细）'!C:C&lt;=$L$4),ROW(),"-")</f>
        <v>-</v>
      </c>
    </row>
    <row r="27713" customHeight="1" spans="2:2">
      <c r="B27713" s="62" t="str">
        <f>IF(AND('领用录入（明细）'!D:D=$F$4,'领用录入（明细）'!C:C&gt;=$J$4,'领用录入（明细）'!C:C&lt;=$L$4),ROW(),"-")</f>
        <v>-</v>
      </c>
    </row>
    <row r="27714" customHeight="1" spans="2:2">
      <c r="B27714" s="62" t="str">
        <f>IF(AND('领用录入（明细）'!D:D=$F$4,'领用录入（明细）'!C:C&gt;=$J$4,'领用录入（明细）'!C:C&lt;=$L$4),ROW(),"-")</f>
        <v>-</v>
      </c>
    </row>
    <row r="27715" customHeight="1" spans="2:2">
      <c r="B27715" s="62" t="str">
        <f>IF(AND('领用录入（明细）'!D:D=$F$4,'领用录入（明细）'!C:C&gt;=$J$4,'领用录入（明细）'!C:C&lt;=$L$4),ROW(),"-")</f>
        <v>-</v>
      </c>
    </row>
    <row r="27716" customHeight="1" spans="2:2">
      <c r="B27716" s="62" t="str">
        <f>IF(AND('领用录入（明细）'!D:D=$F$4,'领用录入（明细）'!C:C&gt;=$J$4,'领用录入（明细）'!C:C&lt;=$L$4),ROW(),"-")</f>
        <v>-</v>
      </c>
    </row>
    <row r="27717" customHeight="1" spans="2:2">
      <c r="B27717" s="62" t="str">
        <f>IF(AND('领用录入（明细）'!D:D=$F$4,'领用录入（明细）'!C:C&gt;=$J$4,'领用录入（明细）'!C:C&lt;=$L$4),ROW(),"-")</f>
        <v>-</v>
      </c>
    </row>
    <row r="27718" customHeight="1" spans="2:2">
      <c r="B27718" s="62" t="str">
        <f>IF(AND('领用录入（明细）'!D:D=$F$4,'领用录入（明细）'!C:C&gt;=$J$4,'领用录入（明细）'!C:C&lt;=$L$4),ROW(),"-")</f>
        <v>-</v>
      </c>
    </row>
    <row r="27719" customHeight="1" spans="2:2">
      <c r="B27719" s="62" t="str">
        <f>IF(AND('领用录入（明细）'!D:D=$F$4,'领用录入（明细）'!C:C&gt;=$J$4,'领用录入（明细）'!C:C&lt;=$L$4),ROW(),"-")</f>
        <v>-</v>
      </c>
    </row>
    <row r="27720" customHeight="1" spans="2:2">
      <c r="B27720" s="62" t="str">
        <f>IF(AND('领用录入（明细）'!D:D=$F$4,'领用录入（明细）'!C:C&gt;=$J$4,'领用录入（明细）'!C:C&lt;=$L$4),ROW(),"-")</f>
        <v>-</v>
      </c>
    </row>
    <row r="27721" customHeight="1" spans="2:2">
      <c r="B27721" s="62" t="str">
        <f>IF(AND('领用录入（明细）'!D:D=$F$4,'领用录入（明细）'!C:C&gt;=$J$4,'领用录入（明细）'!C:C&lt;=$L$4),ROW(),"-")</f>
        <v>-</v>
      </c>
    </row>
    <row r="27722" customHeight="1" spans="2:2">
      <c r="B27722" s="62" t="str">
        <f>IF(AND('领用录入（明细）'!D:D=$F$4,'领用录入（明细）'!C:C&gt;=$J$4,'领用录入（明细）'!C:C&lt;=$L$4),ROW(),"-")</f>
        <v>-</v>
      </c>
    </row>
    <row r="27723" customHeight="1" spans="2:2">
      <c r="B27723" s="62" t="str">
        <f>IF(AND('领用录入（明细）'!D:D=$F$4,'领用录入（明细）'!C:C&gt;=$J$4,'领用录入（明细）'!C:C&lt;=$L$4),ROW(),"-")</f>
        <v>-</v>
      </c>
    </row>
    <row r="27724" customHeight="1" spans="2:2">
      <c r="B27724" s="62" t="str">
        <f>IF(AND('领用录入（明细）'!D:D=$F$4,'领用录入（明细）'!C:C&gt;=$J$4,'领用录入（明细）'!C:C&lt;=$L$4),ROW(),"-")</f>
        <v>-</v>
      </c>
    </row>
    <row r="27725" customHeight="1" spans="2:2">
      <c r="B27725" s="62" t="str">
        <f>IF(AND('领用录入（明细）'!D:D=$F$4,'领用录入（明细）'!C:C&gt;=$J$4,'领用录入（明细）'!C:C&lt;=$L$4),ROW(),"-")</f>
        <v>-</v>
      </c>
    </row>
    <row r="27726" customHeight="1" spans="2:2">
      <c r="B27726" s="62" t="str">
        <f>IF(AND('领用录入（明细）'!D:D=$F$4,'领用录入（明细）'!C:C&gt;=$J$4,'领用录入（明细）'!C:C&lt;=$L$4),ROW(),"-")</f>
        <v>-</v>
      </c>
    </row>
    <row r="27727" customHeight="1" spans="2:2">
      <c r="B27727" s="62" t="str">
        <f>IF(AND('领用录入（明细）'!D:D=$F$4,'领用录入（明细）'!C:C&gt;=$J$4,'领用录入（明细）'!C:C&lt;=$L$4),ROW(),"-")</f>
        <v>-</v>
      </c>
    </row>
    <row r="27728" customHeight="1" spans="2:2">
      <c r="B27728" s="62" t="str">
        <f>IF(AND('领用录入（明细）'!D:D=$F$4,'领用录入（明细）'!C:C&gt;=$J$4,'领用录入（明细）'!C:C&lt;=$L$4),ROW(),"-")</f>
        <v>-</v>
      </c>
    </row>
    <row r="27729" customHeight="1" spans="2:2">
      <c r="B27729" s="62" t="str">
        <f>IF(AND('领用录入（明细）'!D:D=$F$4,'领用录入（明细）'!C:C&gt;=$J$4,'领用录入（明细）'!C:C&lt;=$L$4),ROW(),"-")</f>
        <v>-</v>
      </c>
    </row>
    <row r="27730" customHeight="1" spans="2:2">
      <c r="B27730" s="62" t="str">
        <f>IF(AND('领用录入（明细）'!D:D=$F$4,'领用录入（明细）'!C:C&gt;=$J$4,'领用录入（明细）'!C:C&lt;=$L$4),ROW(),"-")</f>
        <v>-</v>
      </c>
    </row>
    <row r="27731" customHeight="1" spans="2:2">
      <c r="B27731" s="62" t="str">
        <f>IF(AND('领用录入（明细）'!D:D=$F$4,'领用录入（明细）'!C:C&gt;=$J$4,'领用录入（明细）'!C:C&lt;=$L$4),ROW(),"-")</f>
        <v>-</v>
      </c>
    </row>
    <row r="27732" customHeight="1" spans="2:2">
      <c r="B27732" s="62" t="str">
        <f>IF(AND('领用录入（明细）'!D:D=$F$4,'领用录入（明细）'!C:C&gt;=$J$4,'领用录入（明细）'!C:C&lt;=$L$4),ROW(),"-")</f>
        <v>-</v>
      </c>
    </row>
    <row r="27733" customHeight="1" spans="2:2">
      <c r="B27733" s="62" t="str">
        <f>IF(AND('领用录入（明细）'!D:D=$F$4,'领用录入（明细）'!C:C&gt;=$J$4,'领用录入（明细）'!C:C&lt;=$L$4),ROW(),"-")</f>
        <v>-</v>
      </c>
    </row>
    <row r="27734" customHeight="1" spans="2:2">
      <c r="B27734" s="62" t="str">
        <f>IF(AND('领用录入（明细）'!D:D=$F$4,'领用录入（明细）'!C:C&gt;=$J$4,'领用录入（明细）'!C:C&lt;=$L$4),ROW(),"-")</f>
        <v>-</v>
      </c>
    </row>
    <row r="27735" customHeight="1" spans="2:2">
      <c r="B27735" s="62" t="str">
        <f>IF(AND('领用录入（明细）'!D:D=$F$4,'领用录入（明细）'!C:C&gt;=$J$4,'领用录入（明细）'!C:C&lt;=$L$4),ROW(),"-")</f>
        <v>-</v>
      </c>
    </row>
    <row r="27736" customHeight="1" spans="2:2">
      <c r="B27736" s="62" t="str">
        <f>IF(AND('领用录入（明细）'!D:D=$F$4,'领用录入（明细）'!C:C&gt;=$J$4,'领用录入（明细）'!C:C&lt;=$L$4),ROW(),"-")</f>
        <v>-</v>
      </c>
    </row>
    <row r="27737" customHeight="1" spans="2:2">
      <c r="B27737" s="62" t="str">
        <f>IF(AND('领用录入（明细）'!D:D=$F$4,'领用录入（明细）'!C:C&gt;=$J$4,'领用录入（明细）'!C:C&lt;=$L$4),ROW(),"-")</f>
        <v>-</v>
      </c>
    </row>
    <row r="27738" customHeight="1" spans="2:2">
      <c r="B27738" s="62" t="str">
        <f>IF(AND('领用录入（明细）'!D:D=$F$4,'领用录入（明细）'!C:C&gt;=$J$4,'领用录入（明细）'!C:C&lt;=$L$4),ROW(),"-")</f>
        <v>-</v>
      </c>
    </row>
    <row r="27739" customHeight="1" spans="2:2">
      <c r="B27739" s="62" t="str">
        <f>IF(AND('领用录入（明细）'!D:D=$F$4,'领用录入（明细）'!C:C&gt;=$J$4,'领用录入（明细）'!C:C&lt;=$L$4),ROW(),"-")</f>
        <v>-</v>
      </c>
    </row>
    <row r="27740" customHeight="1" spans="2:2">
      <c r="B27740" s="62" t="str">
        <f>IF(AND('领用录入（明细）'!D:D=$F$4,'领用录入（明细）'!C:C&gt;=$J$4,'领用录入（明细）'!C:C&lt;=$L$4),ROW(),"-")</f>
        <v>-</v>
      </c>
    </row>
    <row r="27741" customHeight="1" spans="2:2">
      <c r="B27741" s="62" t="str">
        <f>IF(AND('领用录入（明细）'!D:D=$F$4,'领用录入（明细）'!C:C&gt;=$J$4,'领用录入（明细）'!C:C&lt;=$L$4),ROW(),"-")</f>
        <v>-</v>
      </c>
    </row>
    <row r="27742" customHeight="1" spans="2:2">
      <c r="B27742" s="62" t="str">
        <f>IF(AND('领用录入（明细）'!D:D=$F$4,'领用录入（明细）'!C:C&gt;=$J$4,'领用录入（明细）'!C:C&lt;=$L$4),ROW(),"-")</f>
        <v>-</v>
      </c>
    </row>
    <row r="27743" customHeight="1" spans="2:2">
      <c r="B27743" s="62" t="str">
        <f>IF(AND('领用录入（明细）'!D:D=$F$4,'领用录入（明细）'!C:C&gt;=$J$4,'领用录入（明细）'!C:C&lt;=$L$4),ROW(),"-")</f>
        <v>-</v>
      </c>
    </row>
    <row r="27744" customHeight="1" spans="2:2">
      <c r="B27744" s="62" t="str">
        <f>IF(AND('领用录入（明细）'!D:D=$F$4,'领用录入（明细）'!C:C&gt;=$J$4,'领用录入（明细）'!C:C&lt;=$L$4),ROW(),"-")</f>
        <v>-</v>
      </c>
    </row>
    <row r="27745" customHeight="1" spans="2:2">
      <c r="B27745" s="62" t="str">
        <f>IF(AND('领用录入（明细）'!D:D=$F$4,'领用录入（明细）'!C:C&gt;=$J$4,'领用录入（明细）'!C:C&lt;=$L$4),ROW(),"-")</f>
        <v>-</v>
      </c>
    </row>
    <row r="27746" customHeight="1" spans="2:2">
      <c r="B27746" s="62" t="str">
        <f>IF(AND('领用录入（明细）'!D:D=$F$4,'领用录入（明细）'!C:C&gt;=$J$4,'领用录入（明细）'!C:C&lt;=$L$4),ROW(),"-")</f>
        <v>-</v>
      </c>
    </row>
    <row r="27747" customHeight="1" spans="2:2">
      <c r="B27747" s="62" t="str">
        <f>IF(AND('领用录入（明细）'!D:D=$F$4,'领用录入（明细）'!C:C&gt;=$J$4,'领用录入（明细）'!C:C&lt;=$L$4),ROW(),"-")</f>
        <v>-</v>
      </c>
    </row>
    <row r="27748" customHeight="1" spans="2:2">
      <c r="B27748" s="62" t="str">
        <f>IF(AND('领用录入（明细）'!D:D=$F$4,'领用录入（明细）'!C:C&gt;=$J$4,'领用录入（明细）'!C:C&lt;=$L$4),ROW(),"-")</f>
        <v>-</v>
      </c>
    </row>
    <row r="27749" customHeight="1" spans="2:2">
      <c r="B27749" s="62" t="str">
        <f>IF(AND('领用录入（明细）'!D:D=$F$4,'领用录入（明细）'!C:C&gt;=$J$4,'领用录入（明细）'!C:C&lt;=$L$4),ROW(),"-")</f>
        <v>-</v>
      </c>
    </row>
    <row r="27750" customHeight="1" spans="2:2">
      <c r="B27750" s="62" t="str">
        <f>IF(AND('领用录入（明细）'!D:D=$F$4,'领用录入（明细）'!C:C&gt;=$J$4,'领用录入（明细）'!C:C&lt;=$L$4),ROW(),"-")</f>
        <v>-</v>
      </c>
    </row>
    <row r="27751" customHeight="1" spans="2:2">
      <c r="B27751" s="62" t="str">
        <f>IF(AND('领用录入（明细）'!D:D=$F$4,'领用录入（明细）'!C:C&gt;=$J$4,'领用录入（明细）'!C:C&lt;=$L$4),ROW(),"-")</f>
        <v>-</v>
      </c>
    </row>
    <row r="27752" customHeight="1" spans="2:2">
      <c r="B27752" s="62" t="str">
        <f>IF(AND('领用录入（明细）'!D:D=$F$4,'领用录入（明细）'!C:C&gt;=$J$4,'领用录入（明细）'!C:C&lt;=$L$4),ROW(),"-")</f>
        <v>-</v>
      </c>
    </row>
    <row r="27753" customHeight="1" spans="2:2">
      <c r="B27753" s="62" t="str">
        <f>IF(AND('领用录入（明细）'!D:D=$F$4,'领用录入（明细）'!C:C&gt;=$J$4,'领用录入（明细）'!C:C&lt;=$L$4),ROW(),"-")</f>
        <v>-</v>
      </c>
    </row>
    <row r="27754" customHeight="1" spans="2:2">
      <c r="B27754" s="62" t="str">
        <f>IF(AND('领用录入（明细）'!D:D=$F$4,'领用录入（明细）'!C:C&gt;=$J$4,'领用录入（明细）'!C:C&lt;=$L$4),ROW(),"-")</f>
        <v>-</v>
      </c>
    </row>
    <row r="27755" customHeight="1" spans="2:2">
      <c r="B27755" s="62" t="str">
        <f>IF(AND('领用录入（明细）'!D:D=$F$4,'领用录入（明细）'!C:C&gt;=$J$4,'领用录入（明细）'!C:C&lt;=$L$4),ROW(),"-")</f>
        <v>-</v>
      </c>
    </row>
    <row r="27756" customHeight="1" spans="2:2">
      <c r="B27756" s="62" t="str">
        <f>IF(AND('领用录入（明细）'!D:D=$F$4,'领用录入（明细）'!C:C&gt;=$J$4,'领用录入（明细）'!C:C&lt;=$L$4),ROW(),"-")</f>
        <v>-</v>
      </c>
    </row>
    <row r="27757" customHeight="1" spans="2:2">
      <c r="B27757" s="62" t="str">
        <f>IF(AND('领用录入（明细）'!D:D=$F$4,'领用录入（明细）'!C:C&gt;=$J$4,'领用录入（明细）'!C:C&lt;=$L$4),ROW(),"-")</f>
        <v>-</v>
      </c>
    </row>
    <row r="27758" customHeight="1" spans="2:2">
      <c r="B27758" s="62" t="str">
        <f>IF(AND('领用录入（明细）'!D:D=$F$4,'领用录入（明细）'!C:C&gt;=$J$4,'领用录入（明细）'!C:C&lt;=$L$4),ROW(),"-")</f>
        <v>-</v>
      </c>
    </row>
    <row r="27759" customHeight="1" spans="2:2">
      <c r="B27759" s="62" t="str">
        <f>IF(AND('领用录入（明细）'!D:D=$F$4,'领用录入（明细）'!C:C&gt;=$J$4,'领用录入（明细）'!C:C&lt;=$L$4),ROW(),"-")</f>
        <v>-</v>
      </c>
    </row>
    <row r="27760" customHeight="1" spans="2:2">
      <c r="B27760" s="62" t="str">
        <f>IF(AND('领用录入（明细）'!D:D=$F$4,'领用录入（明细）'!C:C&gt;=$J$4,'领用录入（明细）'!C:C&lt;=$L$4),ROW(),"-")</f>
        <v>-</v>
      </c>
    </row>
    <row r="27761" customHeight="1" spans="2:2">
      <c r="B27761" s="62" t="str">
        <f>IF(AND('领用录入（明细）'!D:D=$F$4,'领用录入（明细）'!C:C&gt;=$J$4,'领用录入（明细）'!C:C&lt;=$L$4),ROW(),"-")</f>
        <v>-</v>
      </c>
    </row>
    <row r="27762" customHeight="1" spans="2:2">
      <c r="B27762" s="62" t="str">
        <f>IF(AND('领用录入（明细）'!D:D=$F$4,'领用录入（明细）'!C:C&gt;=$J$4,'领用录入（明细）'!C:C&lt;=$L$4),ROW(),"-")</f>
        <v>-</v>
      </c>
    </row>
    <row r="27763" customHeight="1" spans="2:2">
      <c r="B27763" s="62" t="str">
        <f>IF(AND('领用录入（明细）'!D:D=$F$4,'领用录入（明细）'!C:C&gt;=$J$4,'领用录入（明细）'!C:C&lt;=$L$4),ROW(),"-")</f>
        <v>-</v>
      </c>
    </row>
    <row r="27764" customHeight="1" spans="2:2">
      <c r="B27764" s="62" t="str">
        <f>IF(AND('领用录入（明细）'!D:D=$F$4,'领用录入（明细）'!C:C&gt;=$J$4,'领用录入（明细）'!C:C&lt;=$L$4),ROW(),"-")</f>
        <v>-</v>
      </c>
    </row>
    <row r="27765" customHeight="1" spans="2:2">
      <c r="B27765" s="62" t="str">
        <f>IF(AND('领用录入（明细）'!D:D=$F$4,'领用录入（明细）'!C:C&gt;=$J$4,'领用录入（明细）'!C:C&lt;=$L$4),ROW(),"-")</f>
        <v>-</v>
      </c>
    </row>
    <row r="27766" customHeight="1" spans="2:2">
      <c r="B27766" s="62" t="str">
        <f>IF(AND('领用录入（明细）'!D:D=$F$4,'领用录入（明细）'!C:C&gt;=$J$4,'领用录入（明细）'!C:C&lt;=$L$4),ROW(),"-")</f>
        <v>-</v>
      </c>
    </row>
    <row r="27767" customHeight="1" spans="2:2">
      <c r="B27767" s="62" t="str">
        <f>IF(AND('领用录入（明细）'!D:D=$F$4,'领用录入（明细）'!C:C&gt;=$J$4,'领用录入（明细）'!C:C&lt;=$L$4),ROW(),"-")</f>
        <v>-</v>
      </c>
    </row>
    <row r="27768" customHeight="1" spans="2:2">
      <c r="B27768" s="62" t="str">
        <f>IF(AND('领用录入（明细）'!D:D=$F$4,'领用录入（明细）'!C:C&gt;=$J$4,'领用录入（明细）'!C:C&lt;=$L$4),ROW(),"-")</f>
        <v>-</v>
      </c>
    </row>
    <row r="27769" customHeight="1" spans="2:2">
      <c r="B27769" s="62" t="str">
        <f>IF(AND('领用录入（明细）'!D:D=$F$4,'领用录入（明细）'!C:C&gt;=$J$4,'领用录入（明细）'!C:C&lt;=$L$4),ROW(),"-")</f>
        <v>-</v>
      </c>
    </row>
    <row r="27770" customHeight="1" spans="2:2">
      <c r="B27770" s="62" t="str">
        <f>IF(AND('领用录入（明细）'!D:D=$F$4,'领用录入（明细）'!C:C&gt;=$J$4,'领用录入（明细）'!C:C&lt;=$L$4),ROW(),"-")</f>
        <v>-</v>
      </c>
    </row>
    <row r="27771" customHeight="1" spans="2:2">
      <c r="B27771" s="62" t="str">
        <f>IF(AND('领用录入（明细）'!D:D=$F$4,'领用录入（明细）'!C:C&gt;=$J$4,'领用录入（明细）'!C:C&lt;=$L$4),ROW(),"-")</f>
        <v>-</v>
      </c>
    </row>
    <row r="27772" customHeight="1" spans="2:2">
      <c r="B27772" s="62" t="str">
        <f>IF(AND('领用录入（明细）'!D:D=$F$4,'领用录入（明细）'!C:C&gt;=$J$4,'领用录入（明细）'!C:C&lt;=$L$4),ROW(),"-")</f>
        <v>-</v>
      </c>
    </row>
    <row r="27773" customHeight="1" spans="2:2">
      <c r="B27773" s="62" t="str">
        <f>IF(AND('领用录入（明细）'!D:D=$F$4,'领用录入（明细）'!C:C&gt;=$J$4,'领用录入（明细）'!C:C&lt;=$L$4),ROW(),"-")</f>
        <v>-</v>
      </c>
    </row>
    <row r="27774" customHeight="1" spans="2:2">
      <c r="B27774" s="62" t="str">
        <f>IF(AND('领用录入（明细）'!D:D=$F$4,'领用录入（明细）'!C:C&gt;=$J$4,'领用录入（明细）'!C:C&lt;=$L$4),ROW(),"-")</f>
        <v>-</v>
      </c>
    </row>
    <row r="27775" customHeight="1" spans="2:2">
      <c r="B27775" s="62" t="str">
        <f>IF(AND('领用录入（明细）'!D:D=$F$4,'领用录入（明细）'!C:C&gt;=$J$4,'领用录入（明细）'!C:C&lt;=$L$4),ROW(),"-")</f>
        <v>-</v>
      </c>
    </row>
    <row r="27776" customHeight="1" spans="2:2">
      <c r="B27776" s="62" t="str">
        <f>IF(AND('领用录入（明细）'!D:D=$F$4,'领用录入（明细）'!C:C&gt;=$J$4,'领用录入（明细）'!C:C&lt;=$L$4),ROW(),"-")</f>
        <v>-</v>
      </c>
    </row>
    <row r="27777" customHeight="1" spans="2:2">
      <c r="B27777" s="62" t="str">
        <f>IF(AND('领用录入（明细）'!D:D=$F$4,'领用录入（明细）'!C:C&gt;=$J$4,'领用录入（明细）'!C:C&lt;=$L$4),ROW(),"-")</f>
        <v>-</v>
      </c>
    </row>
    <row r="27778" customHeight="1" spans="2:2">
      <c r="B27778" s="62" t="str">
        <f>IF(AND('领用录入（明细）'!D:D=$F$4,'领用录入（明细）'!C:C&gt;=$J$4,'领用录入（明细）'!C:C&lt;=$L$4),ROW(),"-")</f>
        <v>-</v>
      </c>
    </row>
    <row r="27779" customHeight="1" spans="2:2">
      <c r="B27779" s="62" t="str">
        <f>IF(AND('领用录入（明细）'!D:D=$F$4,'领用录入（明细）'!C:C&gt;=$J$4,'领用录入（明细）'!C:C&lt;=$L$4),ROW(),"-")</f>
        <v>-</v>
      </c>
    </row>
    <row r="27780" customHeight="1" spans="2:2">
      <c r="B27780" s="62" t="str">
        <f>IF(AND('领用录入（明细）'!D:D=$F$4,'领用录入（明细）'!C:C&gt;=$J$4,'领用录入（明细）'!C:C&lt;=$L$4),ROW(),"-")</f>
        <v>-</v>
      </c>
    </row>
    <row r="27781" customHeight="1" spans="2:2">
      <c r="B27781" s="62" t="str">
        <f>IF(AND('领用录入（明细）'!D:D=$F$4,'领用录入（明细）'!C:C&gt;=$J$4,'领用录入（明细）'!C:C&lt;=$L$4),ROW(),"-")</f>
        <v>-</v>
      </c>
    </row>
    <row r="27782" customHeight="1" spans="2:2">
      <c r="B27782" s="62" t="str">
        <f>IF(AND('领用录入（明细）'!D:D=$F$4,'领用录入（明细）'!C:C&gt;=$J$4,'领用录入（明细）'!C:C&lt;=$L$4),ROW(),"-")</f>
        <v>-</v>
      </c>
    </row>
    <row r="27783" customHeight="1" spans="2:2">
      <c r="B27783" s="62" t="str">
        <f>IF(AND('领用录入（明细）'!D:D=$F$4,'领用录入（明细）'!C:C&gt;=$J$4,'领用录入（明细）'!C:C&lt;=$L$4),ROW(),"-")</f>
        <v>-</v>
      </c>
    </row>
    <row r="27784" customHeight="1" spans="2:2">
      <c r="B27784" s="62" t="str">
        <f>IF(AND('领用录入（明细）'!D:D=$F$4,'领用录入（明细）'!C:C&gt;=$J$4,'领用录入（明细）'!C:C&lt;=$L$4),ROW(),"-")</f>
        <v>-</v>
      </c>
    </row>
    <row r="27785" customHeight="1" spans="2:2">
      <c r="B27785" s="62" t="str">
        <f>IF(AND('领用录入（明细）'!D:D=$F$4,'领用录入（明细）'!C:C&gt;=$J$4,'领用录入（明细）'!C:C&lt;=$L$4),ROW(),"-")</f>
        <v>-</v>
      </c>
    </row>
    <row r="27786" customHeight="1" spans="2:2">
      <c r="B27786" s="62" t="str">
        <f>IF(AND('领用录入（明细）'!D:D=$F$4,'领用录入（明细）'!C:C&gt;=$J$4,'领用录入（明细）'!C:C&lt;=$L$4),ROW(),"-")</f>
        <v>-</v>
      </c>
    </row>
    <row r="27787" customHeight="1" spans="2:2">
      <c r="B27787" s="62" t="str">
        <f>IF(AND('领用录入（明细）'!D:D=$F$4,'领用录入（明细）'!C:C&gt;=$J$4,'领用录入（明细）'!C:C&lt;=$L$4),ROW(),"-")</f>
        <v>-</v>
      </c>
    </row>
    <row r="27788" customHeight="1" spans="2:2">
      <c r="B27788" s="62" t="str">
        <f>IF(AND('领用录入（明细）'!D:D=$F$4,'领用录入（明细）'!C:C&gt;=$J$4,'领用录入（明细）'!C:C&lt;=$L$4),ROW(),"-")</f>
        <v>-</v>
      </c>
    </row>
    <row r="27789" customHeight="1" spans="2:2">
      <c r="B27789" s="62" t="str">
        <f>IF(AND('领用录入（明细）'!D:D=$F$4,'领用录入（明细）'!C:C&gt;=$J$4,'领用录入（明细）'!C:C&lt;=$L$4),ROW(),"-")</f>
        <v>-</v>
      </c>
    </row>
    <row r="27790" customHeight="1" spans="2:2">
      <c r="B27790" s="62" t="str">
        <f>IF(AND('领用录入（明细）'!D:D=$F$4,'领用录入（明细）'!C:C&gt;=$J$4,'领用录入（明细）'!C:C&lt;=$L$4),ROW(),"-")</f>
        <v>-</v>
      </c>
    </row>
    <row r="27791" customHeight="1" spans="2:2">
      <c r="B27791" s="62" t="str">
        <f>IF(AND('领用录入（明细）'!D:D=$F$4,'领用录入（明细）'!C:C&gt;=$J$4,'领用录入（明细）'!C:C&lt;=$L$4),ROW(),"-")</f>
        <v>-</v>
      </c>
    </row>
    <row r="27792" customHeight="1" spans="2:2">
      <c r="B27792" s="62" t="str">
        <f>IF(AND('领用录入（明细）'!D:D=$F$4,'领用录入（明细）'!C:C&gt;=$J$4,'领用录入（明细）'!C:C&lt;=$L$4),ROW(),"-")</f>
        <v>-</v>
      </c>
    </row>
    <row r="27793" customHeight="1" spans="2:2">
      <c r="B27793" s="62" t="str">
        <f>IF(AND('领用录入（明细）'!D:D=$F$4,'领用录入（明细）'!C:C&gt;=$J$4,'领用录入（明细）'!C:C&lt;=$L$4),ROW(),"-")</f>
        <v>-</v>
      </c>
    </row>
    <row r="27794" customHeight="1" spans="2:2">
      <c r="B27794" s="62" t="str">
        <f>IF(AND('领用录入（明细）'!D:D=$F$4,'领用录入（明细）'!C:C&gt;=$J$4,'领用录入（明细）'!C:C&lt;=$L$4),ROW(),"-")</f>
        <v>-</v>
      </c>
    </row>
    <row r="27795" customHeight="1" spans="2:2">
      <c r="B27795" s="62" t="str">
        <f>IF(AND('领用录入（明细）'!D:D=$F$4,'领用录入（明细）'!C:C&gt;=$J$4,'领用录入（明细）'!C:C&lt;=$L$4),ROW(),"-")</f>
        <v>-</v>
      </c>
    </row>
    <row r="27796" customHeight="1" spans="2:2">
      <c r="B27796" s="62" t="str">
        <f>IF(AND('领用录入（明细）'!D:D=$F$4,'领用录入（明细）'!C:C&gt;=$J$4,'领用录入（明细）'!C:C&lt;=$L$4),ROW(),"-")</f>
        <v>-</v>
      </c>
    </row>
    <row r="27797" customHeight="1" spans="2:2">
      <c r="B27797" s="62" t="str">
        <f>IF(AND('领用录入（明细）'!D:D=$F$4,'领用录入（明细）'!C:C&gt;=$J$4,'领用录入（明细）'!C:C&lt;=$L$4),ROW(),"-")</f>
        <v>-</v>
      </c>
    </row>
    <row r="27798" customHeight="1" spans="2:2">
      <c r="B27798" s="62" t="str">
        <f>IF(AND('领用录入（明细）'!D:D=$F$4,'领用录入（明细）'!C:C&gt;=$J$4,'领用录入（明细）'!C:C&lt;=$L$4),ROW(),"-")</f>
        <v>-</v>
      </c>
    </row>
    <row r="27799" customHeight="1" spans="2:2">
      <c r="B27799" s="62" t="str">
        <f>IF(AND('领用录入（明细）'!D:D=$F$4,'领用录入（明细）'!C:C&gt;=$J$4,'领用录入（明细）'!C:C&lt;=$L$4),ROW(),"-")</f>
        <v>-</v>
      </c>
    </row>
    <row r="27800" customHeight="1" spans="2:2">
      <c r="B27800" s="62" t="str">
        <f>IF(AND('领用录入（明细）'!D:D=$F$4,'领用录入（明细）'!C:C&gt;=$J$4,'领用录入（明细）'!C:C&lt;=$L$4),ROW(),"-")</f>
        <v>-</v>
      </c>
    </row>
    <row r="27801" customHeight="1" spans="2:2">
      <c r="B27801" s="62" t="str">
        <f>IF(AND('领用录入（明细）'!D:D=$F$4,'领用录入（明细）'!C:C&gt;=$J$4,'领用录入（明细）'!C:C&lt;=$L$4),ROW(),"-")</f>
        <v>-</v>
      </c>
    </row>
    <row r="27802" customHeight="1" spans="2:2">
      <c r="B27802" s="62" t="str">
        <f>IF(AND('领用录入（明细）'!D:D=$F$4,'领用录入（明细）'!C:C&gt;=$J$4,'领用录入（明细）'!C:C&lt;=$L$4),ROW(),"-")</f>
        <v>-</v>
      </c>
    </row>
    <row r="27803" customHeight="1" spans="2:2">
      <c r="B27803" s="62" t="str">
        <f>IF(AND('领用录入（明细）'!D:D=$F$4,'领用录入（明细）'!C:C&gt;=$J$4,'领用录入（明细）'!C:C&lt;=$L$4),ROW(),"-")</f>
        <v>-</v>
      </c>
    </row>
    <row r="27804" customHeight="1" spans="2:2">
      <c r="B27804" s="62" t="str">
        <f>IF(AND('领用录入（明细）'!D:D=$F$4,'领用录入（明细）'!C:C&gt;=$J$4,'领用录入（明细）'!C:C&lt;=$L$4),ROW(),"-")</f>
        <v>-</v>
      </c>
    </row>
    <row r="27805" customHeight="1" spans="2:2">
      <c r="B27805" s="62" t="str">
        <f>IF(AND('领用录入（明细）'!D:D=$F$4,'领用录入（明细）'!C:C&gt;=$J$4,'领用录入（明细）'!C:C&lt;=$L$4),ROW(),"-")</f>
        <v>-</v>
      </c>
    </row>
    <row r="27806" customHeight="1" spans="2:2">
      <c r="B27806" s="62" t="str">
        <f>IF(AND('领用录入（明细）'!D:D=$F$4,'领用录入（明细）'!C:C&gt;=$J$4,'领用录入（明细）'!C:C&lt;=$L$4),ROW(),"-")</f>
        <v>-</v>
      </c>
    </row>
    <row r="27807" customHeight="1" spans="2:2">
      <c r="B27807" s="62" t="str">
        <f>IF(AND('领用录入（明细）'!D:D=$F$4,'领用录入（明细）'!C:C&gt;=$J$4,'领用录入（明细）'!C:C&lt;=$L$4),ROW(),"-")</f>
        <v>-</v>
      </c>
    </row>
    <row r="27808" customHeight="1" spans="2:2">
      <c r="B27808" s="62" t="str">
        <f>IF(AND('领用录入（明细）'!D:D=$F$4,'领用录入（明细）'!C:C&gt;=$J$4,'领用录入（明细）'!C:C&lt;=$L$4),ROW(),"-")</f>
        <v>-</v>
      </c>
    </row>
    <row r="27809" customHeight="1" spans="2:2">
      <c r="B27809" s="62" t="str">
        <f>IF(AND('领用录入（明细）'!D:D=$F$4,'领用录入（明细）'!C:C&gt;=$J$4,'领用录入（明细）'!C:C&lt;=$L$4),ROW(),"-")</f>
        <v>-</v>
      </c>
    </row>
    <row r="27810" customHeight="1" spans="2:2">
      <c r="B27810" s="62" t="str">
        <f>IF(AND('领用录入（明细）'!D:D=$F$4,'领用录入（明细）'!C:C&gt;=$J$4,'领用录入（明细）'!C:C&lt;=$L$4),ROW(),"-")</f>
        <v>-</v>
      </c>
    </row>
    <row r="27811" customHeight="1" spans="2:2">
      <c r="B27811" s="62" t="str">
        <f>IF(AND('领用录入（明细）'!D:D=$F$4,'领用录入（明细）'!C:C&gt;=$J$4,'领用录入（明细）'!C:C&lt;=$L$4),ROW(),"-")</f>
        <v>-</v>
      </c>
    </row>
    <row r="27812" customHeight="1" spans="2:2">
      <c r="B27812" s="62" t="str">
        <f>IF(AND('领用录入（明细）'!D:D=$F$4,'领用录入（明细）'!C:C&gt;=$J$4,'领用录入（明细）'!C:C&lt;=$L$4),ROW(),"-")</f>
        <v>-</v>
      </c>
    </row>
    <row r="27813" customHeight="1" spans="2:2">
      <c r="B27813" s="62" t="str">
        <f>IF(AND('领用录入（明细）'!D:D=$F$4,'领用录入（明细）'!C:C&gt;=$J$4,'领用录入（明细）'!C:C&lt;=$L$4),ROW(),"-")</f>
        <v>-</v>
      </c>
    </row>
    <row r="27814" customHeight="1" spans="2:2">
      <c r="B27814" s="62" t="str">
        <f>IF(AND('领用录入（明细）'!D:D=$F$4,'领用录入（明细）'!C:C&gt;=$J$4,'领用录入（明细）'!C:C&lt;=$L$4),ROW(),"-")</f>
        <v>-</v>
      </c>
    </row>
    <row r="27815" customHeight="1" spans="2:2">
      <c r="B27815" s="62" t="str">
        <f>IF(AND('领用录入（明细）'!D:D=$F$4,'领用录入（明细）'!C:C&gt;=$J$4,'领用录入（明细）'!C:C&lt;=$L$4),ROW(),"-")</f>
        <v>-</v>
      </c>
    </row>
    <row r="27816" customHeight="1" spans="2:2">
      <c r="B27816" s="62" t="str">
        <f>IF(AND('领用录入（明细）'!D:D=$F$4,'领用录入（明细）'!C:C&gt;=$J$4,'领用录入（明细）'!C:C&lt;=$L$4),ROW(),"-")</f>
        <v>-</v>
      </c>
    </row>
    <row r="27817" customHeight="1" spans="2:2">
      <c r="B27817" s="62" t="str">
        <f>IF(AND('领用录入（明细）'!D:D=$F$4,'领用录入（明细）'!C:C&gt;=$J$4,'领用录入（明细）'!C:C&lt;=$L$4),ROW(),"-")</f>
        <v>-</v>
      </c>
    </row>
    <row r="27818" customHeight="1" spans="2:2">
      <c r="B27818" s="62" t="str">
        <f>IF(AND('领用录入（明细）'!D:D=$F$4,'领用录入（明细）'!C:C&gt;=$J$4,'领用录入（明细）'!C:C&lt;=$L$4),ROW(),"-")</f>
        <v>-</v>
      </c>
    </row>
    <row r="27819" customHeight="1" spans="2:2">
      <c r="B27819" s="62" t="str">
        <f>IF(AND('领用录入（明细）'!D:D=$F$4,'领用录入（明细）'!C:C&gt;=$J$4,'领用录入（明细）'!C:C&lt;=$L$4),ROW(),"-")</f>
        <v>-</v>
      </c>
    </row>
    <row r="27820" customHeight="1" spans="2:2">
      <c r="B27820" s="62" t="str">
        <f>IF(AND('领用录入（明细）'!D:D=$F$4,'领用录入（明细）'!C:C&gt;=$J$4,'领用录入（明细）'!C:C&lt;=$L$4),ROW(),"-")</f>
        <v>-</v>
      </c>
    </row>
    <row r="27821" customHeight="1" spans="2:2">
      <c r="B27821" s="62" t="str">
        <f>IF(AND('领用录入（明细）'!D:D=$F$4,'领用录入（明细）'!C:C&gt;=$J$4,'领用录入（明细）'!C:C&lt;=$L$4),ROW(),"-")</f>
        <v>-</v>
      </c>
    </row>
    <row r="27822" customHeight="1" spans="2:2">
      <c r="B27822" s="62" t="str">
        <f>IF(AND('领用录入（明细）'!D:D=$F$4,'领用录入（明细）'!C:C&gt;=$J$4,'领用录入（明细）'!C:C&lt;=$L$4),ROW(),"-")</f>
        <v>-</v>
      </c>
    </row>
    <row r="27823" customHeight="1" spans="2:2">
      <c r="B27823" s="62" t="str">
        <f>IF(AND('领用录入（明细）'!D:D=$F$4,'领用录入（明细）'!C:C&gt;=$J$4,'领用录入（明细）'!C:C&lt;=$L$4),ROW(),"-")</f>
        <v>-</v>
      </c>
    </row>
    <row r="27824" customHeight="1" spans="2:2">
      <c r="B27824" s="62" t="str">
        <f>IF(AND('领用录入（明细）'!D:D=$F$4,'领用录入（明细）'!C:C&gt;=$J$4,'领用录入（明细）'!C:C&lt;=$L$4),ROW(),"-")</f>
        <v>-</v>
      </c>
    </row>
    <row r="27825" customHeight="1" spans="2:2">
      <c r="B27825" s="62" t="str">
        <f>IF(AND('领用录入（明细）'!D:D=$F$4,'领用录入（明细）'!C:C&gt;=$J$4,'领用录入（明细）'!C:C&lt;=$L$4),ROW(),"-")</f>
        <v>-</v>
      </c>
    </row>
    <row r="27826" customHeight="1" spans="2:2">
      <c r="B27826" s="62" t="str">
        <f>IF(AND('领用录入（明细）'!D:D=$F$4,'领用录入（明细）'!C:C&gt;=$J$4,'领用录入（明细）'!C:C&lt;=$L$4),ROW(),"-")</f>
        <v>-</v>
      </c>
    </row>
    <row r="27827" customHeight="1" spans="2:2">
      <c r="B27827" s="62" t="str">
        <f>IF(AND('领用录入（明细）'!D:D=$F$4,'领用录入（明细）'!C:C&gt;=$J$4,'领用录入（明细）'!C:C&lt;=$L$4),ROW(),"-")</f>
        <v>-</v>
      </c>
    </row>
    <row r="27828" customHeight="1" spans="2:2">
      <c r="B27828" s="62" t="str">
        <f>IF(AND('领用录入（明细）'!D:D=$F$4,'领用录入（明细）'!C:C&gt;=$J$4,'领用录入（明细）'!C:C&lt;=$L$4),ROW(),"-")</f>
        <v>-</v>
      </c>
    </row>
    <row r="27829" customHeight="1" spans="2:2">
      <c r="B27829" s="62" t="str">
        <f>IF(AND('领用录入（明细）'!D:D=$F$4,'领用录入（明细）'!C:C&gt;=$J$4,'领用录入（明细）'!C:C&lt;=$L$4),ROW(),"-")</f>
        <v>-</v>
      </c>
    </row>
    <row r="27830" customHeight="1" spans="2:2">
      <c r="B27830" s="62" t="str">
        <f>IF(AND('领用录入（明细）'!D:D=$F$4,'领用录入（明细）'!C:C&gt;=$J$4,'领用录入（明细）'!C:C&lt;=$L$4),ROW(),"-")</f>
        <v>-</v>
      </c>
    </row>
    <row r="27831" customHeight="1" spans="2:2">
      <c r="B27831" s="62" t="str">
        <f>IF(AND('领用录入（明细）'!D:D=$F$4,'领用录入（明细）'!C:C&gt;=$J$4,'领用录入（明细）'!C:C&lt;=$L$4),ROW(),"-")</f>
        <v>-</v>
      </c>
    </row>
    <row r="27832" customHeight="1" spans="2:2">
      <c r="B27832" s="62" t="str">
        <f>IF(AND('领用录入（明细）'!D:D=$F$4,'领用录入（明细）'!C:C&gt;=$J$4,'领用录入（明细）'!C:C&lt;=$L$4),ROW(),"-")</f>
        <v>-</v>
      </c>
    </row>
    <row r="27833" customHeight="1" spans="2:2">
      <c r="B27833" s="62" t="str">
        <f>IF(AND('领用录入（明细）'!D:D=$F$4,'领用录入（明细）'!C:C&gt;=$J$4,'领用录入（明细）'!C:C&lt;=$L$4),ROW(),"-")</f>
        <v>-</v>
      </c>
    </row>
    <row r="27834" customHeight="1" spans="2:2">
      <c r="B27834" s="62" t="str">
        <f>IF(AND('领用录入（明细）'!D:D=$F$4,'领用录入（明细）'!C:C&gt;=$J$4,'领用录入（明细）'!C:C&lt;=$L$4),ROW(),"-")</f>
        <v>-</v>
      </c>
    </row>
    <row r="27835" customHeight="1" spans="2:2">
      <c r="B27835" s="62" t="str">
        <f>IF(AND('领用录入（明细）'!D:D=$F$4,'领用录入（明细）'!C:C&gt;=$J$4,'领用录入（明细）'!C:C&lt;=$L$4),ROW(),"-")</f>
        <v>-</v>
      </c>
    </row>
    <row r="27836" customHeight="1" spans="2:2">
      <c r="B27836" s="62" t="str">
        <f>IF(AND('领用录入（明细）'!D:D=$F$4,'领用录入（明细）'!C:C&gt;=$J$4,'领用录入（明细）'!C:C&lt;=$L$4),ROW(),"-")</f>
        <v>-</v>
      </c>
    </row>
    <row r="27837" customHeight="1" spans="2:2">
      <c r="B27837" s="62" t="str">
        <f>IF(AND('领用录入（明细）'!D:D=$F$4,'领用录入（明细）'!C:C&gt;=$J$4,'领用录入（明细）'!C:C&lt;=$L$4),ROW(),"-")</f>
        <v>-</v>
      </c>
    </row>
    <row r="27838" customHeight="1" spans="2:2">
      <c r="B27838" s="62" t="str">
        <f>IF(AND('领用录入（明细）'!D:D=$F$4,'领用录入（明细）'!C:C&gt;=$J$4,'领用录入（明细）'!C:C&lt;=$L$4),ROW(),"-")</f>
        <v>-</v>
      </c>
    </row>
    <row r="27839" customHeight="1" spans="2:2">
      <c r="B27839" s="62" t="str">
        <f>IF(AND('领用录入（明细）'!D:D=$F$4,'领用录入（明细）'!C:C&gt;=$J$4,'领用录入（明细）'!C:C&lt;=$L$4),ROW(),"-")</f>
        <v>-</v>
      </c>
    </row>
    <row r="27840" customHeight="1" spans="2:2">
      <c r="B27840" s="62" t="str">
        <f>IF(AND('领用录入（明细）'!D:D=$F$4,'领用录入（明细）'!C:C&gt;=$J$4,'领用录入（明细）'!C:C&lt;=$L$4),ROW(),"-")</f>
        <v>-</v>
      </c>
    </row>
    <row r="27841" customHeight="1" spans="2:2">
      <c r="B27841" s="62" t="str">
        <f>IF(AND('领用录入（明细）'!D:D=$F$4,'领用录入（明细）'!C:C&gt;=$J$4,'领用录入（明细）'!C:C&lt;=$L$4),ROW(),"-")</f>
        <v>-</v>
      </c>
    </row>
    <row r="27842" customHeight="1" spans="2:2">
      <c r="B27842" s="62" t="str">
        <f>IF(AND('领用录入（明细）'!D:D=$F$4,'领用录入（明细）'!C:C&gt;=$J$4,'领用录入（明细）'!C:C&lt;=$L$4),ROW(),"-")</f>
        <v>-</v>
      </c>
    </row>
    <row r="27843" customHeight="1" spans="2:2">
      <c r="B27843" s="62" t="str">
        <f>IF(AND('领用录入（明细）'!D:D=$F$4,'领用录入（明细）'!C:C&gt;=$J$4,'领用录入（明细）'!C:C&lt;=$L$4),ROW(),"-")</f>
        <v>-</v>
      </c>
    </row>
    <row r="27844" customHeight="1" spans="2:2">
      <c r="B27844" s="62" t="str">
        <f>IF(AND('领用录入（明细）'!D:D=$F$4,'领用录入（明细）'!C:C&gt;=$J$4,'领用录入（明细）'!C:C&lt;=$L$4),ROW(),"-")</f>
        <v>-</v>
      </c>
    </row>
    <row r="27845" customHeight="1" spans="2:2">
      <c r="B27845" s="62" t="str">
        <f>IF(AND('领用录入（明细）'!D:D=$F$4,'领用录入（明细）'!C:C&gt;=$J$4,'领用录入（明细）'!C:C&lt;=$L$4),ROW(),"-")</f>
        <v>-</v>
      </c>
    </row>
    <row r="27846" customHeight="1" spans="2:2">
      <c r="B27846" s="62" t="str">
        <f>IF(AND('领用录入（明细）'!D:D=$F$4,'领用录入（明细）'!C:C&gt;=$J$4,'领用录入（明细）'!C:C&lt;=$L$4),ROW(),"-")</f>
        <v>-</v>
      </c>
    </row>
    <row r="27847" customHeight="1" spans="2:2">
      <c r="B27847" s="62" t="str">
        <f>IF(AND('领用录入（明细）'!D:D=$F$4,'领用录入（明细）'!C:C&gt;=$J$4,'领用录入（明细）'!C:C&lt;=$L$4),ROW(),"-")</f>
        <v>-</v>
      </c>
    </row>
    <row r="27848" customHeight="1" spans="2:2">
      <c r="B27848" s="62" t="str">
        <f>IF(AND('领用录入（明细）'!D:D=$F$4,'领用录入（明细）'!C:C&gt;=$J$4,'领用录入（明细）'!C:C&lt;=$L$4),ROW(),"-")</f>
        <v>-</v>
      </c>
    </row>
    <row r="27849" customHeight="1" spans="2:2">
      <c r="B27849" s="62" t="str">
        <f>IF(AND('领用录入（明细）'!D:D=$F$4,'领用录入（明细）'!C:C&gt;=$J$4,'领用录入（明细）'!C:C&lt;=$L$4),ROW(),"-")</f>
        <v>-</v>
      </c>
    </row>
    <row r="27850" customHeight="1" spans="2:2">
      <c r="B27850" s="62" t="str">
        <f>IF(AND('领用录入（明细）'!D:D=$F$4,'领用录入（明细）'!C:C&gt;=$J$4,'领用录入（明细）'!C:C&lt;=$L$4),ROW(),"-")</f>
        <v>-</v>
      </c>
    </row>
    <row r="27851" customHeight="1" spans="2:2">
      <c r="B27851" s="62" t="str">
        <f>IF(AND('领用录入（明细）'!D:D=$F$4,'领用录入（明细）'!C:C&gt;=$J$4,'领用录入（明细）'!C:C&lt;=$L$4),ROW(),"-")</f>
        <v>-</v>
      </c>
    </row>
    <row r="27852" customHeight="1" spans="2:2">
      <c r="B27852" s="62" t="str">
        <f>IF(AND('领用录入（明细）'!D:D=$F$4,'领用录入（明细）'!C:C&gt;=$J$4,'领用录入（明细）'!C:C&lt;=$L$4),ROW(),"-")</f>
        <v>-</v>
      </c>
    </row>
    <row r="27853" customHeight="1" spans="2:2">
      <c r="B27853" s="62" t="str">
        <f>IF(AND('领用录入（明细）'!D:D=$F$4,'领用录入（明细）'!C:C&gt;=$J$4,'领用录入（明细）'!C:C&lt;=$L$4),ROW(),"-")</f>
        <v>-</v>
      </c>
    </row>
    <row r="27854" customHeight="1" spans="2:2">
      <c r="B27854" s="62" t="str">
        <f>IF(AND('领用录入（明细）'!D:D=$F$4,'领用录入（明细）'!C:C&gt;=$J$4,'领用录入（明细）'!C:C&lt;=$L$4),ROW(),"-")</f>
        <v>-</v>
      </c>
    </row>
    <row r="27855" customHeight="1" spans="2:2">
      <c r="B27855" s="62" t="str">
        <f>IF(AND('领用录入（明细）'!D:D=$F$4,'领用录入（明细）'!C:C&gt;=$J$4,'领用录入（明细）'!C:C&lt;=$L$4),ROW(),"-")</f>
        <v>-</v>
      </c>
    </row>
    <row r="27856" customHeight="1" spans="2:2">
      <c r="B27856" s="62" t="str">
        <f>IF(AND('领用录入（明细）'!D:D=$F$4,'领用录入（明细）'!C:C&gt;=$J$4,'领用录入（明细）'!C:C&lt;=$L$4),ROW(),"-")</f>
        <v>-</v>
      </c>
    </row>
    <row r="27857" customHeight="1" spans="2:2">
      <c r="B27857" s="62" t="str">
        <f>IF(AND('领用录入（明细）'!D:D=$F$4,'领用录入（明细）'!C:C&gt;=$J$4,'领用录入（明细）'!C:C&lt;=$L$4),ROW(),"-")</f>
        <v>-</v>
      </c>
    </row>
    <row r="27858" customHeight="1" spans="2:2">
      <c r="B27858" s="62" t="str">
        <f>IF(AND('领用录入（明细）'!D:D=$F$4,'领用录入（明细）'!C:C&gt;=$J$4,'领用录入（明细）'!C:C&lt;=$L$4),ROW(),"-")</f>
        <v>-</v>
      </c>
    </row>
    <row r="27859" customHeight="1" spans="2:2">
      <c r="B27859" s="62" t="str">
        <f>IF(AND('领用录入（明细）'!D:D=$F$4,'领用录入（明细）'!C:C&gt;=$J$4,'领用录入（明细）'!C:C&lt;=$L$4),ROW(),"-")</f>
        <v>-</v>
      </c>
    </row>
    <row r="27860" customHeight="1" spans="2:2">
      <c r="B27860" s="62" t="str">
        <f>IF(AND('领用录入（明细）'!D:D=$F$4,'领用录入（明细）'!C:C&gt;=$J$4,'领用录入（明细）'!C:C&lt;=$L$4),ROW(),"-")</f>
        <v>-</v>
      </c>
    </row>
    <row r="27861" customHeight="1" spans="2:2">
      <c r="B27861" s="62" t="str">
        <f>IF(AND('领用录入（明细）'!D:D=$F$4,'领用录入（明细）'!C:C&gt;=$J$4,'领用录入（明细）'!C:C&lt;=$L$4),ROW(),"-")</f>
        <v>-</v>
      </c>
    </row>
    <row r="27862" customHeight="1" spans="2:2">
      <c r="B27862" s="62" t="str">
        <f>IF(AND('领用录入（明细）'!D:D=$F$4,'领用录入（明细）'!C:C&gt;=$J$4,'领用录入（明细）'!C:C&lt;=$L$4),ROW(),"-")</f>
        <v>-</v>
      </c>
    </row>
    <row r="27863" customHeight="1" spans="2:2">
      <c r="B27863" s="62" t="str">
        <f>IF(AND('领用录入（明细）'!D:D=$F$4,'领用录入（明细）'!C:C&gt;=$J$4,'领用录入（明细）'!C:C&lt;=$L$4),ROW(),"-")</f>
        <v>-</v>
      </c>
    </row>
    <row r="27864" customHeight="1" spans="2:2">
      <c r="B27864" s="62" t="str">
        <f>IF(AND('领用录入（明细）'!D:D=$F$4,'领用录入（明细）'!C:C&gt;=$J$4,'领用录入（明细）'!C:C&lt;=$L$4),ROW(),"-")</f>
        <v>-</v>
      </c>
    </row>
    <row r="27865" customHeight="1" spans="2:2">
      <c r="B27865" s="62" t="str">
        <f>IF(AND('领用录入（明细）'!D:D=$F$4,'领用录入（明细）'!C:C&gt;=$J$4,'领用录入（明细）'!C:C&lt;=$L$4),ROW(),"-")</f>
        <v>-</v>
      </c>
    </row>
    <row r="27866" customHeight="1" spans="2:2">
      <c r="B27866" s="62" t="str">
        <f>IF(AND('领用录入（明细）'!D:D=$F$4,'领用录入（明细）'!C:C&gt;=$J$4,'领用录入（明细）'!C:C&lt;=$L$4),ROW(),"-")</f>
        <v>-</v>
      </c>
    </row>
    <row r="27867" customHeight="1" spans="2:2">
      <c r="B27867" s="62" t="str">
        <f>IF(AND('领用录入（明细）'!D:D=$F$4,'领用录入（明细）'!C:C&gt;=$J$4,'领用录入（明细）'!C:C&lt;=$L$4),ROW(),"-")</f>
        <v>-</v>
      </c>
    </row>
    <row r="27868" customHeight="1" spans="2:2">
      <c r="B27868" s="62" t="str">
        <f>IF(AND('领用录入（明细）'!D:D=$F$4,'领用录入（明细）'!C:C&gt;=$J$4,'领用录入（明细）'!C:C&lt;=$L$4),ROW(),"-")</f>
        <v>-</v>
      </c>
    </row>
    <row r="27869" customHeight="1" spans="2:2">
      <c r="B27869" s="62" t="str">
        <f>IF(AND('领用录入（明细）'!D:D=$F$4,'领用录入（明细）'!C:C&gt;=$J$4,'领用录入（明细）'!C:C&lt;=$L$4),ROW(),"-")</f>
        <v>-</v>
      </c>
    </row>
    <row r="27870" customHeight="1" spans="2:2">
      <c r="B27870" s="62" t="str">
        <f>IF(AND('领用录入（明细）'!D:D=$F$4,'领用录入（明细）'!C:C&gt;=$J$4,'领用录入（明细）'!C:C&lt;=$L$4),ROW(),"-")</f>
        <v>-</v>
      </c>
    </row>
    <row r="27871" customHeight="1" spans="2:2">
      <c r="B27871" s="62" t="str">
        <f>IF(AND('领用录入（明细）'!D:D=$F$4,'领用录入（明细）'!C:C&gt;=$J$4,'领用录入（明细）'!C:C&lt;=$L$4),ROW(),"-")</f>
        <v>-</v>
      </c>
    </row>
    <row r="27872" customHeight="1" spans="2:2">
      <c r="B27872" s="62" t="str">
        <f>IF(AND('领用录入（明细）'!D:D=$F$4,'领用录入（明细）'!C:C&gt;=$J$4,'领用录入（明细）'!C:C&lt;=$L$4),ROW(),"-")</f>
        <v>-</v>
      </c>
    </row>
    <row r="27873" customHeight="1" spans="2:2">
      <c r="B27873" s="62" t="str">
        <f>IF(AND('领用录入（明细）'!D:D=$F$4,'领用录入（明细）'!C:C&gt;=$J$4,'领用录入（明细）'!C:C&lt;=$L$4),ROW(),"-")</f>
        <v>-</v>
      </c>
    </row>
    <row r="27874" customHeight="1" spans="2:2">
      <c r="B27874" s="62" t="str">
        <f>IF(AND('领用录入（明细）'!D:D=$F$4,'领用录入（明细）'!C:C&gt;=$J$4,'领用录入（明细）'!C:C&lt;=$L$4),ROW(),"-")</f>
        <v>-</v>
      </c>
    </row>
    <row r="27875" customHeight="1" spans="2:2">
      <c r="B27875" s="62" t="str">
        <f>IF(AND('领用录入（明细）'!D:D=$F$4,'领用录入（明细）'!C:C&gt;=$J$4,'领用录入（明细）'!C:C&lt;=$L$4),ROW(),"-")</f>
        <v>-</v>
      </c>
    </row>
    <row r="27876" customHeight="1" spans="2:2">
      <c r="B27876" s="62" t="str">
        <f>IF(AND('领用录入（明细）'!D:D=$F$4,'领用录入（明细）'!C:C&gt;=$J$4,'领用录入（明细）'!C:C&lt;=$L$4),ROW(),"-")</f>
        <v>-</v>
      </c>
    </row>
    <row r="27877" customHeight="1" spans="2:2">
      <c r="B27877" s="62" t="str">
        <f>IF(AND('领用录入（明细）'!D:D=$F$4,'领用录入（明细）'!C:C&gt;=$J$4,'领用录入（明细）'!C:C&lt;=$L$4),ROW(),"-")</f>
        <v>-</v>
      </c>
    </row>
    <row r="27878" customHeight="1" spans="2:2">
      <c r="B27878" s="62" t="str">
        <f>IF(AND('领用录入（明细）'!D:D=$F$4,'领用录入（明细）'!C:C&gt;=$J$4,'领用录入（明细）'!C:C&lt;=$L$4),ROW(),"-")</f>
        <v>-</v>
      </c>
    </row>
    <row r="27879" customHeight="1" spans="2:2">
      <c r="B27879" s="62" t="str">
        <f>IF(AND('领用录入（明细）'!D:D=$F$4,'领用录入（明细）'!C:C&gt;=$J$4,'领用录入（明细）'!C:C&lt;=$L$4),ROW(),"-")</f>
        <v>-</v>
      </c>
    </row>
    <row r="27880" customHeight="1" spans="2:2">
      <c r="B27880" s="62" t="str">
        <f>IF(AND('领用录入（明细）'!D:D=$F$4,'领用录入（明细）'!C:C&gt;=$J$4,'领用录入（明细）'!C:C&lt;=$L$4),ROW(),"-")</f>
        <v>-</v>
      </c>
    </row>
    <row r="27881" customHeight="1" spans="2:2">
      <c r="B27881" s="62" t="str">
        <f>IF(AND('领用录入（明细）'!D:D=$F$4,'领用录入（明细）'!C:C&gt;=$J$4,'领用录入（明细）'!C:C&lt;=$L$4),ROW(),"-")</f>
        <v>-</v>
      </c>
    </row>
    <row r="27882" customHeight="1" spans="2:2">
      <c r="B27882" s="62" t="str">
        <f>IF(AND('领用录入（明细）'!D:D=$F$4,'领用录入（明细）'!C:C&gt;=$J$4,'领用录入（明细）'!C:C&lt;=$L$4),ROW(),"-")</f>
        <v>-</v>
      </c>
    </row>
    <row r="27883" customHeight="1" spans="2:2">
      <c r="B27883" s="62" t="str">
        <f>IF(AND('领用录入（明细）'!D:D=$F$4,'领用录入（明细）'!C:C&gt;=$J$4,'领用录入（明细）'!C:C&lt;=$L$4),ROW(),"-")</f>
        <v>-</v>
      </c>
    </row>
    <row r="27884" customHeight="1" spans="2:2">
      <c r="B27884" s="62" t="str">
        <f>IF(AND('领用录入（明细）'!D:D=$F$4,'领用录入（明细）'!C:C&gt;=$J$4,'领用录入（明细）'!C:C&lt;=$L$4),ROW(),"-")</f>
        <v>-</v>
      </c>
    </row>
    <row r="27885" customHeight="1" spans="2:2">
      <c r="B27885" s="62" t="str">
        <f>IF(AND('领用录入（明细）'!D:D=$F$4,'领用录入（明细）'!C:C&gt;=$J$4,'领用录入（明细）'!C:C&lt;=$L$4),ROW(),"-")</f>
        <v>-</v>
      </c>
    </row>
    <row r="27886" customHeight="1" spans="2:2">
      <c r="B27886" s="62" t="str">
        <f>IF(AND('领用录入（明细）'!D:D=$F$4,'领用录入（明细）'!C:C&gt;=$J$4,'领用录入（明细）'!C:C&lt;=$L$4),ROW(),"-")</f>
        <v>-</v>
      </c>
    </row>
    <row r="27887" customHeight="1" spans="2:2">
      <c r="B27887" s="62" t="str">
        <f>IF(AND('领用录入（明细）'!D:D=$F$4,'领用录入（明细）'!C:C&gt;=$J$4,'领用录入（明细）'!C:C&lt;=$L$4),ROW(),"-")</f>
        <v>-</v>
      </c>
    </row>
    <row r="27888" customHeight="1" spans="2:2">
      <c r="B27888" s="62" t="str">
        <f>IF(AND('领用录入（明细）'!D:D=$F$4,'领用录入（明细）'!C:C&gt;=$J$4,'领用录入（明细）'!C:C&lt;=$L$4),ROW(),"-")</f>
        <v>-</v>
      </c>
    </row>
    <row r="27889" customHeight="1" spans="2:2">
      <c r="B27889" s="62" t="str">
        <f>IF(AND('领用录入（明细）'!D:D=$F$4,'领用录入（明细）'!C:C&gt;=$J$4,'领用录入（明细）'!C:C&lt;=$L$4),ROW(),"-")</f>
        <v>-</v>
      </c>
    </row>
    <row r="27890" customHeight="1" spans="2:2">
      <c r="B27890" s="62" t="str">
        <f>IF(AND('领用录入（明细）'!D:D=$F$4,'领用录入（明细）'!C:C&gt;=$J$4,'领用录入（明细）'!C:C&lt;=$L$4),ROW(),"-")</f>
        <v>-</v>
      </c>
    </row>
    <row r="27891" customHeight="1" spans="2:2">
      <c r="B27891" s="62" t="str">
        <f>IF(AND('领用录入（明细）'!D:D=$F$4,'领用录入（明细）'!C:C&gt;=$J$4,'领用录入（明细）'!C:C&lt;=$L$4),ROW(),"-")</f>
        <v>-</v>
      </c>
    </row>
    <row r="27892" customHeight="1" spans="2:2">
      <c r="B27892" s="62" t="str">
        <f>IF(AND('领用录入（明细）'!D:D=$F$4,'领用录入（明细）'!C:C&gt;=$J$4,'领用录入（明细）'!C:C&lt;=$L$4),ROW(),"-")</f>
        <v>-</v>
      </c>
    </row>
    <row r="27893" customHeight="1" spans="2:2">
      <c r="B27893" s="62" t="str">
        <f>IF(AND('领用录入（明细）'!D:D=$F$4,'领用录入（明细）'!C:C&gt;=$J$4,'领用录入（明细）'!C:C&lt;=$L$4),ROW(),"-")</f>
        <v>-</v>
      </c>
    </row>
    <row r="27894" customHeight="1" spans="2:2">
      <c r="B27894" s="62" t="str">
        <f>IF(AND('领用录入（明细）'!D:D=$F$4,'领用录入（明细）'!C:C&gt;=$J$4,'领用录入（明细）'!C:C&lt;=$L$4),ROW(),"-")</f>
        <v>-</v>
      </c>
    </row>
    <row r="27895" customHeight="1" spans="2:2">
      <c r="B27895" s="62" t="str">
        <f>IF(AND('领用录入（明细）'!D:D=$F$4,'领用录入（明细）'!C:C&gt;=$J$4,'领用录入（明细）'!C:C&lt;=$L$4),ROW(),"-")</f>
        <v>-</v>
      </c>
    </row>
    <row r="27896" customHeight="1" spans="2:2">
      <c r="B27896" s="62" t="str">
        <f>IF(AND('领用录入（明细）'!D:D=$F$4,'领用录入（明细）'!C:C&gt;=$J$4,'领用录入（明细）'!C:C&lt;=$L$4),ROW(),"-")</f>
        <v>-</v>
      </c>
    </row>
    <row r="27897" customHeight="1" spans="2:2">
      <c r="B27897" s="62" t="str">
        <f>IF(AND('领用录入（明细）'!D:D=$F$4,'领用录入（明细）'!C:C&gt;=$J$4,'领用录入（明细）'!C:C&lt;=$L$4),ROW(),"-")</f>
        <v>-</v>
      </c>
    </row>
    <row r="27898" customHeight="1" spans="2:2">
      <c r="B27898" s="62" t="str">
        <f>IF(AND('领用录入（明细）'!D:D=$F$4,'领用录入（明细）'!C:C&gt;=$J$4,'领用录入（明细）'!C:C&lt;=$L$4),ROW(),"-")</f>
        <v>-</v>
      </c>
    </row>
    <row r="27899" customHeight="1" spans="2:2">
      <c r="B27899" s="62" t="str">
        <f>IF(AND('领用录入（明细）'!D:D=$F$4,'领用录入（明细）'!C:C&gt;=$J$4,'领用录入（明细）'!C:C&lt;=$L$4),ROW(),"-")</f>
        <v>-</v>
      </c>
    </row>
    <row r="27900" customHeight="1" spans="2:2">
      <c r="B27900" s="62" t="str">
        <f>IF(AND('领用录入（明细）'!D:D=$F$4,'领用录入（明细）'!C:C&gt;=$J$4,'领用录入（明细）'!C:C&lt;=$L$4),ROW(),"-")</f>
        <v>-</v>
      </c>
    </row>
    <row r="27901" customHeight="1" spans="2:2">
      <c r="B27901" s="62" t="str">
        <f>IF(AND('领用录入（明细）'!D:D=$F$4,'领用录入（明细）'!C:C&gt;=$J$4,'领用录入（明细）'!C:C&lt;=$L$4),ROW(),"-")</f>
        <v>-</v>
      </c>
    </row>
    <row r="27902" customHeight="1" spans="2:2">
      <c r="B27902" s="62" t="str">
        <f>IF(AND('领用录入（明细）'!D:D=$F$4,'领用录入（明细）'!C:C&gt;=$J$4,'领用录入（明细）'!C:C&lt;=$L$4),ROW(),"-")</f>
        <v>-</v>
      </c>
    </row>
    <row r="27903" customHeight="1" spans="2:2">
      <c r="B27903" s="62" t="str">
        <f>IF(AND('领用录入（明细）'!D:D=$F$4,'领用录入（明细）'!C:C&gt;=$J$4,'领用录入（明细）'!C:C&lt;=$L$4),ROW(),"-")</f>
        <v>-</v>
      </c>
    </row>
    <row r="27904" customHeight="1" spans="2:2">
      <c r="B27904" s="62" t="str">
        <f>IF(AND('领用录入（明细）'!D:D=$F$4,'领用录入（明细）'!C:C&gt;=$J$4,'领用录入（明细）'!C:C&lt;=$L$4),ROW(),"-")</f>
        <v>-</v>
      </c>
    </row>
    <row r="27905" customHeight="1" spans="2:2">
      <c r="B27905" s="62" t="str">
        <f>IF(AND('领用录入（明细）'!D:D=$F$4,'领用录入（明细）'!C:C&gt;=$J$4,'领用录入（明细）'!C:C&lt;=$L$4),ROW(),"-")</f>
        <v>-</v>
      </c>
    </row>
    <row r="27906" customHeight="1" spans="2:2">
      <c r="B27906" s="62" t="str">
        <f>IF(AND('领用录入（明细）'!D:D=$F$4,'领用录入（明细）'!C:C&gt;=$J$4,'领用录入（明细）'!C:C&lt;=$L$4),ROW(),"-")</f>
        <v>-</v>
      </c>
    </row>
    <row r="27907" customHeight="1" spans="2:2">
      <c r="B27907" s="62" t="str">
        <f>IF(AND('领用录入（明细）'!D:D=$F$4,'领用录入（明细）'!C:C&gt;=$J$4,'领用录入（明细）'!C:C&lt;=$L$4),ROW(),"-")</f>
        <v>-</v>
      </c>
    </row>
    <row r="27908" customHeight="1" spans="2:2">
      <c r="B27908" s="62" t="str">
        <f>IF(AND('领用录入（明细）'!D:D=$F$4,'领用录入（明细）'!C:C&gt;=$J$4,'领用录入（明细）'!C:C&lt;=$L$4),ROW(),"-")</f>
        <v>-</v>
      </c>
    </row>
    <row r="27909" customHeight="1" spans="2:2">
      <c r="B27909" s="62" t="str">
        <f>IF(AND('领用录入（明细）'!D:D=$F$4,'领用录入（明细）'!C:C&gt;=$J$4,'领用录入（明细）'!C:C&lt;=$L$4),ROW(),"-")</f>
        <v>-</v>
      </c>
    </row>
    <row r="27910" customHeight="1" spans="2:2">
      <c r="B27910" s="62" t="str">
        <f>IF(AND('领用录入（明细）'!D:D=$F$4,'领用录入（明细）'!C:C&gt;=$J$4,'领用录入（明细）'!C:C&lt;=$L$4),ROW(),"-")</f>
        <v>-</v>
      </c>
    </row>
    <row r="27911" customHeight="1" spans="2:2">
      <c r="B27911" s="62" t="str">
        <f>IF(AND('领用录入（明细）'!D:D=$F$4,'领用录入（明细）'!C:C&gt;=$J$4,'领用录入（明细）'!C:C&lt;=$L$4),ROW(),"-")</f>
        <v>-</v>
      </c>
    </row>
    <row r="27912" customHeight="1" spans="2:2">
      <c r="B27912" s="62" t="str">
        <f>IF(AND('领用录入（明细）'!D:D=$F$4,'领用录入（明细）'!C:C&gt;=$J$4,'领用录入（明细）'!C:C&lt;=$L$4),ROW(),"-")</f>
        <v>-</v>
      </c>
    </row>
    <row r="27913" customHeight="1" spans="2:2">
      <c r="B27913" s="62" t="str">
        <f>IF(AND('领用录入（明细）'!D:D=$F$4,'领用录入（明细）'!C:C&gt;=$J$4,'领用录入（明细）'!C:C&lt;=$L$4),ROW(),"-")</f>
        <v>-</v>
      </c>
    </row>
    <row r="27914" customHeight="1" spans="2:2">
      <c r="B27914" s="62" t="str">
        <f>IF(AND('领用录入（明细）'!D:D=$F$4,'领用录入（明细）'!C:C&gt;=$J$4,'领用录入（明细）'!C:C&lt;=$L$4),ROW(),"-")</f>
        <v>-</v>
      </c>
    </row>
    <row r="27915" customHeight="1" spans="2:2">
      <c r="B27915" s="62" t="str">
        <f>IF(AND('领用录入（明细）'!D:D=$F$4,'领用录入（明细）'!C:C&gt;=$J$4,'领用录入（明细）'!C:C&lt;=$L$4),ROW(),"-")</f>
        <v>-</v>
      </c>
    </row>
    <row r="27916" customHeight="1" spans="2:2">
      <c r="B27916" s="62" t="str">
        <f>IF(AND('领用录入（明细）'!D:D=$F$4,'领用录入（明细）'!C:C&gt;=$J$4,'领用录入（明细）'!C:C&lt;=$L$4),ROW(),"-")</f>
        <v>-</v>
      </c>
    </row>
    <row r="27917" customHeight="1" spans="2:2">
      <c r="B27917" s="62" t="str">
        <f>IF(AND('领用录入（明细）'!D:D=$F$4,'领用录入（明细）'!C:C&gt;=$J$4,'领用录入（明细）'!C:C&lt;=$L$4),ROW(),"-")</f>
        <v>-</v>
      </c>
    </row>
    <row r="27918" customHeight="1" spans="2:2">
      <c r="B27918" s="62" t="str">
        <f>IF(AND('领用录入（明细）'!D:D=$F$4,'领用录入（明细）'!C:C&gt;=$J$4,'领用录入（明细）'!C:C&lt;=$L$4),ROW(),"-")</f>
        <v>-</v>
      </c>
    </row>
    <row r="27919" customHeight="1" spans="2:2">
      <c r="B27919" s="62" t="str">
        <f>IF(AND('领用录入（明细）'!D:D=$F$4,'领用录入（明细）'!C:C&gt;=$J$4,'领用录入（明细）'!C:C&lt;=$L$4),ROW(),"-")</f>
        <v>-</v>
      </c>
    </row>
    <row r="27920" customHeight="1" spans="2:2">
      <c r="B27920" s="62" t="str">
        <f>IF(AND('领用录入（明细）'!D:D=$F$4,'领用录入（明细）'!C:C&gt;=$J$4,'领用录入（明细）'!C:C&lt;=$L$4),ROW(),"-")</f>
        <v>-</v>
      </c>
    </row>
    <row r="27921" customHeight="1" spans="2:2">
      <c r="B27921" s="62" t="str">
        <f>IF(AND('领用录入（明细）'!D:D=$F$4,'领用录入（明细）'!C:C&gt;=$J$4,'领用录入（明细）'!C:C&lt;=$L$4),ROW(),"-")</f>
        <v>-</v>
      </c>
    </row>
    <row r="27922" customHeight="1" spans="2:2">
      <c r="B27922" s="62" t="str">
        <f>IF(AND('领用录入（明细）'!D:D=$F$4,'领用录入（明细）'!C:C&gt;=$J$4,'领用录入（明细）'!C:C&lt;=$L$4),ROW(),"-")</f>
        <v>-</v>
      </c>
    </row>
    <row r="27923" customHeight="1" spans="2:2">
      <c r="B27923" s="62" t="str">
        <f>IF(AND('领用录入（明细）'!D:D=$F$4,'领用录入（明细）'!C:C&gt;=$J$4,'领用录入（明细）'!C:C&lt;=$L$4),ROW(),"-")</f>
        <v>-</v>
      </c>
    </row>
    <row r="27924" customHeight="1" spans="2:2">
      <c r="B27924" s="62" t="str">
        <f>IF(AND('领用录入（明细）'!D:D=$F$4,'领用录入（明细）'!C:C&gt;=$J$4,'领用录入（明细）'!C:C&lt;=$L$4),ROW(),"-")</f>
        <v>-</v>
      </c>
    </row>
    <row r="27925" customHeight="1" spans="2:2">
      <c r="B27925" s="62" t="str">
        <f>IF(AND('领用录入（明细）'!D:D=$F$4,'领用录入（明细）'!C:C&gt;=$J$4,'领用录入（明细）'!C:C&lt;=$L$4),ROW(),"-")</f>
        <v>-</v>
      </c>
    </row>
    <row r="27926" customHeight="1" spans="2:2">
      <c r="B27926" s="62" t="str">
        <f>IF(AND('领用录入（明细）'!D:D=$F$4,'领用录入（明细）'!C:C&gt;=$J$4,'领用录入（明细）'!C:C&lt;=$L$4),ROW(),"-")</f>
        <v>-</v>
      </c>
    </row>
    <row r="27927" customHeight="1" spans="2:2">
      <c r="B27927" s="62" t="str">
        <f>IF(AND('领用录入（明细）'!D:D=$F$4,'领用录入（明细）'!C:C&gt;=$J$4,'领用录入（明细）'!C:C&lt;=$L$4),ROW(),"-")</f>
        <v>-</v>
      </c>
    </row>
    <row r="27928" customHeight="1" spans="2:2">
      <c r="B27928" s="62" t="str">
        <f>IF(AND('领用录入（明细）'!D:D=$F$4,'领用录入（明细）'!C:C&gt;=$J$4,'领用录入（明细）'!C:C&lt;=$L$4),ROW(),"-")</f>
        <v>-</v>
      </c>
    </row>
    <row r="27929" customHeight="1" spans="2:2">
      <c r="B27929" s="62" t="str">
        <f>IF(AND('领用录入（明细）'!D:D=$F$4,'领用录入（明细）'!C:C&gt;=$J$4,'领用录入（明细）'!C:C&lt;=$L$4),ROW(),"-")</f>
        <v>-</v>
      </c>
    </row>
    <row r="27930" customHeight="1" spans="2:2">
      <c r="B27930" s="62" t="str">
        <f>IF(AND('领用录入（明细）'!D:D=$F$4,'领用录入（明细）'!C:C&gt;=$J$4,'领用录入（明细）'!C:C&lt;=$L$4),ROW(),"-")</f>
        <v>-</v>
      </c>
    </row>
    <row r="27931" customHeight="1" spans="2:2">
      <c r="B27931" s="62" t="str">
        <f>IF(AND('领用录入（明细）'!D:D=$F$4,'领用录入（明细）'!C:C&gt;=$J$4,'领用录入（明细）'!C:C&lt;=$L$4),ROW(),"-")</f>
        <v>-</v>
      </c>
    </row>
    <row r="27932" customHeight="1" spans="2:2">
      <c r="B27932" s="62" t="str">
        <f>IF(AND('领用录入（明细）'!D:D=$F$4,'领用录入（明细）'!C:C&gt;=$J$4,'领用录入（明细）'!C:C&lt;=$L$4),ROW(),"-")</f>
        <v>-</v>
      </c>
    </row>
    <row r="27933" customHeight="1" spans="2:2">
      <c r="B27933" s="62" t="str">
        <f>IF(AND('领用录入（明细）'!D:D=$F$4,'领用录入（明细）'!C:C&gt;=$J$4,'领用录入（明细）'!C:C&lt;=$L$4),ROW(),"-")</f>
        <v>-</v>
      </c>
    </row>
    <row r="27934" customHeight="1" spans="2:2">
      <c r="B27934" s="62" t="str">
        <f>IF(AND('领用录入（明细）'!D:D=$F$4,'领用录入（明细）'!C:C&gt;=$J$4,'领用录入（明细）'!C:C&lt;=$L$4),ROW(),"-")</f>
        <v>-</v>
      </c>
    </row>
    <row r="27935" customHeight="1" spans="2:2">
      <c r="B27935" s="62" t="str">
        <f>IF(AND('领用录入（明细）'!D:D=$F$4,'领用录入（明细）'!C:C&gt;=$J$4,'领用录入（明细）'!C:C&lt;=$L$4),ROW(),"-")</f>
        <v>-</v>
      </c>
    </row>
    <row r="27936" customHeight="1" spans="2:2">
      <c r="B27936" s="62" t="str">
        <f>IF(AND('领用录入（明细）'!D:D=$F$4,'领用录入（明细）'!C:C&gt;=$J$4,'领用录入（明细）'!C:C&lt;=$L$4),ROW(),"-")</f>
        <v>-</v>
      </c>
    </row>
    <row r="27937" customHeight="1" spans="2:2">
      <c r="B27937" s="62" t="str">
        <f>IF(AND('领用录入（明细）'!D:D=$F$4,'领用录入（明细）'!C:C&gt;=$J$4,'领用录入（明细）'!C:C&lt;=$L$4),ROW(),"-")</f>
        <v>-</v>
      </c>
    </row>
    <row r="27938" customHeight="1" spans="2:2">
      <c r="B27938" s="62" t="str">
        <f>IF(AND('领用录入（明细）'!D:D=$F$4,'领用录入（明细）'!C:C&gt;=$J$4,'领用录入（明细）'!C:C&lt;=$L$4),ROW(),"-")</f>
        <v>-</v>
      </c>
    </row>
    <row r="27939" customHeight="1" spans="2:2">
      <c r="B27939" s="62" t="str">
        <f>IF(AND('领用录入（明细）'!D:D=$F$4,'领用录入（明细）'!C:C&gt;=$J$4,'领用录入（明细）'!C:C&lt;=$L$4),ROW(),"-")</f>
        <v>-</v>
      </c>
    </row>
    <row r="27940" customHeight="1" spans="2:2">
      <c r="B27940" s="62" t="str">
        <f>IF(AND('领用录入（明细）'!D:D=$F$4,'领用录入（明细）'!C:C&gt;=$J$4,'领用录入（明细）'!C:C&lt;=$L$4),ROW(),"-")</f>
        <v>-</v>
      </c>
    </row>
    <row r="27941" customHeight="1" spans="2:2">
      <c r="B27941" s="62" t="str">
        <f>IF(AND('领用录入（明细）'!D:D=$F$4,'领用录入（明细）'!C:C&gt;=$J$4,'领用录入（明细）'!C:C&lt;=$L$4),ROW(),"-")</f>
        <v>-</v>
      </c>
    </row>
    <row r="27942" customHeight="1" spans="2:2">
      <c r="B27942" s="62" t="str">
        <f>IF(AND('领用录入（明细）'!D:D=$F$4,'领用录入（明细）'!C:C&gt;=$J$4,'领用录入（明细）'!C:C&lt;=$L$4),ROW(),"-")</f>
        <v>-</v>
      </c>
    </row>
    <row r="27943" customHeight="1" spans="2:2">
      <c r="B27943" s="62" t="str">
        <f>IF(AND('领用录入（明细）'!D:D=$F$4,'领用录入（明细）'!C:C&gt;=$J$4,'领用录入（明细）'!C:C&lt;=$L$4),ROW(),"-")</f>
        <v>-</v>
      </c>
    </row>
    <row r="27944" customHeight="1" spans="2:2">
      <c r="B27944" s="62" t="str">
        <f>IF(AND('领用录入（明细）'!D:D=$F$4,'领用录入（明细）'!C:C&gt;=$J$4,'领用录入（明细）'!C:C&lt;=$L$4),ROW(),"-")</f>
        <v>-</v>
      </c>
    </row>
    <row r="27945" customHeight="1" spans="2:2">
      <c r="B27945" s="62" t="str">
        <f>IF(AND('领用录入（明细）'!D:D=$F$4,'领用录入（明细）'!C:C&gt;=$J$4,'领用录入（明细）'!C:C&lt;=$L$4),ROW(),"-")</f>
        <v>-</v>
      </c>
    </row>
    <row r="27946" customHeight="1" spans="2:2">
      <c r="B27946" s="62" t="str">
        <f>IF(AND('领用录入（明细）'!D:D=$F$4,'领用录入（明细）'!C:C&gt;=$J$4,'领用录入（明细）'!C:C&lt;=$L$4),ROW(),"-")</f>
        <v>-</v>
      </c>
    </row>
    <row r="27947" customHeight="1" spans="2:2">
      <c r="B27947" s="62" t="str">
        <f>IF(AND('领用录入（明细）'!D:D=$F$4,'领用录入（明细）'!C:C&gt;=$J$4,'领用录入（明细）'!C:C&lt;=$L$4),ROW(),"-")</f>
        <v>-</v>
      </c>
    </row>
    <row r="27948" customHeight="1" spans="2:2">
      <c r="B27948" s="62" t="str">
        <f>IF(AND('领用录入（明细）'!D:D=$F$4,'领用录入（明细）'!C:C&gt;=$J$4,'领用录入（明细）'!C:C&lt;=$L$4),ROW(),"-")</f>
        <v>-</v>
      </c>
    </row>
    <row r="27949" customHeight="1" spans="2:2">
      <c r="B27949" s="62" t="str">
        <f>IF(AND('领用录入（明细）'!D:D=$F$4,'领用录入（明细）'!C:C&gt;=$J$4,'领用录入（明细）'!C:C&lt;=$L$4),ROW(),"-")</f>
        <v>-</v>
      </c>
    </row>
    <row r="27950" customHeight="1" spans="2:2">
      <c r="B27950" s="62" t="str">
        <f>IF(AND('领用录入（明细）'!D:D=$F$4,'领用录入（明细）'!C:C&gt;=$J$4,'领用录入（明细）'!C:C&lt;=$L$4),ROW(),"-")</f>
        <v>-</v>
      </c>
    </row>
    <row r="27951" customHeight="1" spans="2:2">
      <c r="B27951" s="62" t="str">
        <f>IF(AND('领用录入（明细）'!D:D=$F$4,'领用录入（明细）'!C:C&gt;=$J$4,'领用录入（明细）'!C:C&lt;=$L$4),ROW(),"-")</f>
        <v>-</v>
      </c>
    </row>
    <row r="27952" customHeight="1" spans="2:2">
      <c r="B27952" s="62" t="str">
        <f>IF(AND('领用录入（明细）'!D:D=$F$4,'领用录入（明细）'!C:C&gt;=$J$4,'领用录入（明细）'!C:C&lt;=$L$4),ROW(),"-")</f>
        <v>-</v>
      </c>
    </row>
    <row r="27953" customHeight="1" spans="2:2">
      <c r="B27953" s="62" t="str">
        <f>IF(AND('领用录入（明细）'!D:D=$F$4,'领用录入（明细）'!C:C&gt;=$J$4,'领用录入（明细）'!C:C&lt;=$L$4),ROW(),"-")</f>
        <v>-</v>
      </c>
    </row>
    <row r="27954" customHeight="1" spans="2:2">
      <c r="B27954" s="62" t="str">
        <f>IF(AND('领用录入（明细）'!D:D=$F$4,'领用录入（明细）'!C:C&gt;=$J$4,'领用录入（明细）'!C:C&lt;=$L$4),ROW(),"-")</f>
        <v>-</v>
      </c>
    </row>
    <row r="27955" customHeight="1" spans="2:2">
      <c r="B27955" s="62" t="str">
        <f>IF(AND('领用录入（明细）'!D:D=$F$4,'领用录入（明细）'!C:C&gt;=$J$4,'领用录入（明细）'!C:C&lt;=$L$4),ROW(),"-")</f>
        <v>-</v>
      </c>
    </row>
    <row r="27956" customHeight="1" spans="2:2">
      <c r="B27956" s="62" t="str">
        <f>IF(AND('领用录入（明细）'!D:D=$F$4,'领用录入（明细）'!C:C&gt;=$J$4,'领用录入（明细）'!C:C&lt;=$L$4),ROW(),"-")</f>
        <v>-</v>
      </c>
    </row>
    <row r="27957" customHeight="1" spans="2:2">
      <c r="B27957" s="62" t="str">
        <f>IF(AND('领用录入（明细）'!D:D=$F$4,'领用录入（明细）'!C:C&gt;=$J$4,'领用录入（明细）'!C:C&lt;=$L$4),ROW(),"-")</f>
        <v>-</v>
      </c>
    </row>
    <row r="27958" customHeight="1" spans="2:2">
      <c r="B27958" s="62" t="str">
        <f>IF(AND('领用录入（明细）'!D:D=$F$4,'领用录入（明细）'!C:C&gt;=$J$4,'领用录入（明细）'!C:C&lt;=$L$4),ROW(),"-")</f>
        <v>-</v>
      </c>
    </row>
    <row r="27959" customHeight="1" spans="2:2">
      <c r="B27959" s="62" t="str">
        <f>IF(AND('领用录入（明细）'!D:D=$F$4,'领用录入（明细）'!C:C&gt;=$J$4,'领用录入（明细）'!C:C&lt;=$L$4),ROW(),"-")</f>
        <v>-</v>
      </c>
    </row>
    <row r="27960" customHeight="1" spans="2:2">
      <c r="B27960" s="62" t="str">
        <f>IF(AND('领用录入（明细）'!D:D=$F$4,'领用录入（明细）'!C:C&gt;=$J$4,'领用录入（明细）'!C:C&lt;=$L$4),ROW(),"-")</f>
        <v>-</v>
      </c>
    </row>
    <row r="27961" customHeight="1" spans="2:2">
      <c r="B27961" s="62" t="str">
        <f>IF(AND('领用录入（明细）'!D:D=$F$4,'领用录入（明细）'!C:C&gt;=$J$4,'领用录入（明细）'!C:C&lt;=$L$4),ROW(),"-")</f>
        <v>-</v>
      </c>
    </row>
    <row r="27962" customHeight="1" spans="2:2">
      <c r="B27962" s="62" t="str">
        <f>IF(AND('领用录入（明细）'!D:D=$F$4,'领用录入（明细）'!C:C&gt;=$J$4,'领用录入（明细）'!C:C&lt;=$L$4),ROW(),"-")</f>
        <v>-</v>
      </c>
    </row>
    <row r="27963" customHeight="1" spans="2:2">
      <c r="B27963" s="62" t="str">
        <f>IF(AND('领用录入（明细）'!D:D=$F$4,'领用录入（明细）'!C:C&gt;=$J$4,'领用录入（明细）'!C:C&lt;=$L$4),ROW(),"-")</f>
        <v>-</v>
      </c>
    </row>
    <row r="27964" customHeight="1" spans="2:2">
      <c r="B27964" s="62" t="str">
        <f>IF(AND('领用录入（明细）'!D:D=$F$4,'领用录入（明细）'!C:C&gt;=$J$4,'领用录入（明细）'!C:C&lt;=$L$4),ROW(),"-")</f>
        <v>-</v>
      </c>
    </row>
    <row r="27965" customHeight="1" spans="2:2">
      <c r="B27965" s="62" t="str">
        <f>IF(AND('领用录入（明细）'!D:D=$F$4,'领用录入（明细）'!C:C&gt;=$J$4,'领用录入（明细）'!C:C&lt;=$L$4),ROW(),"-")</f>
        <v>-</v>
      </c>
    </row>
    <row r="27966" customHeight="1" spans="2:2">
      <c r="B27966" s="62" t="str">
        <f>IF(AND('领用录入（明细）'!D:D=$F$4,'领用录入（明细）'!C:C&gt;=$J$4,'领用录入（明细）'!C:C&lt;=$L$4),ROW(),"-")</f>
        <v>-</v>
      </c>
    </row>
    <row r="27967" customHeight="1" spans="2:2">
      <c r="B27967" s="62" t="str">
        <f>IF(AND('领用录入（明细）'!D:D=$F$4,'领用录入（明细）'!C:C&gt;=$J$4,'领用录入（明细）'!C:C&lt;=$L$4),ROW(),"-")</f>
        <v>-</v>
      </c>
    </row>
    <row r="27968" customHeight="1" spans="2:2">
      <c r="B27968" s="62" t="str">
        <f>IF(AND('领用录入（明细）'!D:D=$F$4,'领用录入（明细）'!C:C&gt;=$J$4,'领用录入（明细）'!C:C&lt;=$L$4),ROW(),"-")</f>
        <v>-</v>
      </c>
    </row>
    <row r="27969" customHeight="1" spans="2:2">
      <c r="B27969" s="62" t="str">
        <f>IF(AND('领用录入（明细）'!D:D=$F$4,'领用录入（明细）'!C:C&gt;=$J$4,'领用录入（明细）'!C:C&lt;=$L$4),ROW(),"-")</f>
        <v>-</v>
      </c>
    </row>
    <row r="27970" customHeight="1" spans="2:2">
      <c r="B27970" s="62" t="str">
        <f>IF(AND('领用录入（明细）'!D:D=$F$4,'领用录入（明细）'!C:C&gt;=$J$4,'领用录入（明细）'!C:C&lt;=$L$4),ROW(),"-")</f>
        <v>-</v>
      </c>
    </row>
    <row r="27971" customHeight="1" spans="2:2">
      <c r="B27971" s="62" t="str">
        <f>IF(AND('领用录入（明细）'!D:D=$F$4,'领用录入（明细）'!C:C&gt;=$J$4,'领用录入（明细）'!C:C&lt;=$L$4),ROW(),"-")</f>
        <v>-</v>
      </c>
    </row>
    <row r="27972" customHeight="1" spans="2:2">
      <c r="B27972" s="62" t="str">
        <f>IF(AND('领用录入（明细）'!D:D=$F$4,'领用录入（明细）'!C:C&gt;=$J$4,'领用录入（明细）'!C:C&lt;=$L$4),ROW(),"-")</f>
        <v>-</v>
      </c>
    </row>
    <row r="27973" customHeight="1" spans="2:2">
      <c r="B27973" s="62" t="str">
        <f>IF(AND('领用录入（明细）'!D:D=$F$4,'领用录入（明细）'!C:C&gt;=$J$4,'领用录入（明细）'!C:C&lt;=$L$4),ROW(),"-")</f>
        <v>-</v>
      </c>
    </row>
    <row r="27974" customHeight="1" spans="2:2">
      <c r="B27974" s="62" t="str">
        <f>IF(AND('领用录入（明细）'!D:D=$F$4,'领用录入（明细）'!C:C&gt;=$J$4,'领用录入（明细）'!C:C&lt;=$L$4),ROW(),"-")</f>
        <v>-</v>
      </c>
    </row>
    <row r="27975" customHeight="1" spans="2:2">
      <c r="B27975" s="62" t="str">
        <f>IF(AND('领用录入（明细）'!D:D=$F$4,'领用录入（明细）'!C:C&gt;=$J$4,'领用录入（明细）'!C:C&lt;=$L$4),ROW(),"-")</f>
        <v>-</v>
      </c>
    </row>
    <row r="27976" customHeight="1" spans="2:2">
      <c r="B27976" s="62" t="str">
        <f>IF(AND('领用录入（明细）'!D:D=$F$4,'领用录入（明细）'!C:C&gt;=$J$4,'领用录入（明细）'!C:C&lt;=$L$4),ROW(),"-")</f>
        <v>-</v>
      </c>
    </row>
    <row r="27977" customHeight="1" spans="2:2">
      <c r="B27977" s="62" t="str">
        <f>IF(AND('领用录入（明细）'!D:D=$F$4,'领用录入（明细）'!C:C&gt;=$J$4,'领用录入（明细）'!C:C&lt;=$L$4),ROW(),"-")</f>
        <v>-</v>
      </c>
    </row>
    <row r="27978" customHeight="1" spans="2:2">
      <c r="B27978" s="62" t="str">
        <f>IF(AND('领用录入（明细）'!D:D=$F$4,'领用录入（明细）'!C:C&gt;=$J$4,'领用录入（明细）'!C:C&lt;=$L$4),ROW(),"-")</f>
        <v>-</v>
      </c>
    </row>
    <row r="27979" customHeight="1" spans="2:2">
      <c r="B27979" s="62" t="str">
        <f>IF(AND('领用录入（明细）'!D:D=$F$4,'领用录入（明细）'!C:C&gt;=$J$4,'领用录入（明细）'!C:C&lt;=$L$4),ROW(),"-")</f>
        <v>-</v>
      </c>
    </row>
    <row r="27980" customHeight="1" spans="2:2">
      <c r="B27980" s="62" t="str">
        <f>IF(AND('领用录入（明细）'!D:D=$F$4,'领用录入（明细）'!C:C&gt;=$J$4,'领用录入（明细）'!C:C&lt;=$L$4),ROW(),"-")</f>
        <v>-</v>
      </c>
    </row>
    <row r="27981" customHeight="1" spans="2:2">
      <c r="B27981" s="62" t="str">
        <f>IF(AND('领用录入（明细）'!D:D=$F$4,'领用录入（明细）'!C:C&gt;=$J$4,'领用录入（明细）'!C:C&lt;=$L$4),ROW(),"-")</f>
        <v>-</v>
      </c>
    </row>
    <row r="27982" customHeight="1" spans="2:2">
      <c r="B27982" s="62" t="str">
        <f>IF(AND('领用录入（明细）'!D:D=$F$4,'领用录入（明细）'!C:C&gt;=$J$4,'领用录入（明细）'!C:C&lt;=$L$4),ROW(),"-")</f>
        <v>-</v>
      </c>
    </row>
    <row r="27983" customHeight="1" spans="2:2">
      <c r="B27983" s="62" t="str">
        <f>IF(AND('领用录入（明细）'!D:D=$F$4,'领用录入（明细）'!C:C&gt;=$J$4,'领用录入（明细）'!C:C&lt;=$L$4),ROW(),"-")</f>
        <v>-</v>
      </c>
    </row>
    <row r="27984" customHeight="1" spans="2:2">
      <c r="B27984" s="62" t="str">
        <f>IF(AND('领用录入（明细）'!D:D=$F$4,'领用录入（明细）'!C:C&gt;=$J$4,'领用录入（明细）'!C:C&lt;=$L$4),ROW(),"-")</f>
        <v>-</v>
      </c>
    </row>
    <row r="27985" customHeight="1" spans="2:2">
      <c r="B27985" s="62" t="str">
        <f>IF(AND('领用录入（明细）'!D:D=$F$4,'领用录入（明细）'!C:C&gt;=$J$4,'领用录入（明细）'!C:C&lt;=$L$4),ROW(),"-")</f>
        <v>-</v>
      </c>
    </row>
    <row r="27986" customHeight="1" spans="2:2">
      <c r="B27986" s="62" t="str">
        <f>IF(AND('领用录入（明细）'!D:D=$F$4,'领用录入（明细）'!C:C&gt;=$J$4,'领用录入（明细）'!C:C&lt;=$L$4),ROW(),"-")</f>
        <v>-</v>
      </c>
    </row>
    <row r="27987" customHeight="1" spans="2:2">
      <c r="B27987" s="62" t="str">
        <f>IF(AND('领用录入（明细）'!D:D=$F$4,'领用录入（明细）'!C:C&gt;=$J$4,'领用录入（明细）'!C:C&lt;=$L$4),ROW(),"-")</f>
        <v>-</v>
      </c>
    </row>
    <row r="27988" customHeight="1" spans="2:2">
      <c r="B27988" s="62" t="str">
        <f>IF(AND('领用录入（明细）'!D:D=$F$4,'领用录入（明细）'!C:C&gt;=$J$4,'领用录入（明细）'!C:C&lt;=$L$4),ROW(),"-")</f>
        <v>-</v>
      </c>
    </row>
    <row r="27989" customHeight="1" spans="2:2">
      <c r="B27989" s="62" t="str">
        <f>IF(AND('领用录入（明细）'!D:D=$F$4,'领用录入（明细）'!C:C&gt;=$J$4,'领用录入（明细）'!C:C&lt;=$L$4),ROW(),"-")</f>
        <v>-</v>
      </c>
    </row>
    <row r="27990" customHeight="1" spans="2:2">
      <c r="B27990" s="62" t="str">
        <f>IF(AND('领用录入（明细）'!D:D=$F$4,'领用录入（明细）'!C:C&gt;=$J$4,'领用录入（明细）'!C:C&lt;=$L$4),ROW(),"-")</f>
        <v>-</v>
      </c>
    </row>
    <row r="27991" customHeight="1" spans="2:2">
      <c r="B27991" s="62" t="str">
        <f>IF(AND('领用录入（明细）'!D:D=$F$4,'领用录入（明细）'!C:C&gt;=$J$4,'领用录入（明细）'!C:C&lt;=$L$4),ROW(),"-")</f>
        <v>-</v>
      </c>
    </row>
    <row r="27992" customHeight="1" spans="2:2">
      <c r="B27992" s="62" t="str">
        <f>IF(AND('领用录入（明细）'!D:D=$F$4,'领用录入（明细）'!C:C&gt;=$J$4,'领用录入（明细）'!C:C&lt;=$L$4),ROW(),"-")</f>
        <v>-</v>
      </c>
    </row>
    <row r="27993" customHeight="1" spans="2:2">
      <c r="B27993" s="62" t="str">
        <f>IF(AND('领用录入（明细）'!D:D=$F$4,'领用录入（明细）'!C:C&gt;=$J$4,'领用录入（明细）'!C:C&lt;=$L$4),ROW(),"-")</f>
        <v>-</v>
      </c>
    </row>
    <row r="27994" customHeight="1" spans="2:2">
      <c r="B27994" s="62" t="str">
        <f>IF(AND('领用录入（明细）'!D:D=$F$4,'领用录入（明细）'!C:C&gt;=$J$4,'领用录入（明细）'!C:C&lt;=$L$4),ROW(),"-")</f>
        <v>-</v>
      </c>
    </row>
    <row r="27995" customHeight="1" spans="2:2">
      <c r="B27995" s="62" t="str">
        <f>IF(AND('领用录入（明细）'!D:D=$F$4,'领用录入（明细）'!C:C&gt;=$J$4,'领用录入（明细）'!C:C&lt;=$L$4),ROW(),"-")</f>
        <v>-</v>
      </c>
    </row>
    <row r="27996" customHeight="1" spans="2:2">
      <c r="B27996" s="62" t="str">
        <f>IF(AND('领用录入（明细）'!D:D=$F$4,'领用录入（明细）'!C:C&gt;=$J$4,'领用录入（明细）'!C:C&lt;=$L$4),ROW(),"-")</f>
        <v>-</v>
      </c>
    </row>
    <row r="27997" customHeight="1" spans="2:2">
      <c r="B27997" s="62" t="str">
        <f>IF(AND('领用录入（明细）'!D:D=$F$4,'领用录入（明细）'!C:C&gt;=$J$4,'领用录入（明细）'!C:C&lt;=$L$4),ROW(),"-")</f>
        <v>-</v>
      </c>
    </row>
    <row r="27998" customHeight="1" spans="2:2">
      <c r="B27998" s="62" t="str">
        <f>IF(AND('领用录入（明细）'!D:D=$F$4,'领用录入（明细）'!C:C&gt;=$J$4,'领用录入（明细）'!C:C&lt;=$L$4),ROW(),"-")</f>
        <v>-</v>
      </c>
    </row>
    <row r="27999" customHeight="1" spans="2:2">
      <c r="B27999" s="62" t="str">
        <f>IF(AND('领用录入（明细）'!D:D=$F$4,'领用录入（明细）'!C:C&gt;=$J$4,'领用录入（明细）'!C:C&lt;=$L$4),ROW(),"-")</f>
        <v>-</v>
      </c>
    </row>
    <row r="28000" customHeight="1" spans="2:2">
      <c r="B28000" s="62" t="str">
        <f>IF(AND('领用录入（明细）'!D:D=$F$4,'领用录入（明细）'!C:C&gt;=$J$4,'领用录入（明细）'!C:C&lt;=$L$4),ROW(),"-")</f>
        <v>-</v>
      </c>
    </row>
    <row r="28001" customHeight="1" spans="2:2">
      <c r="B28001" s="62" t="str">
        <f>IF(AND('领用录入（明细）'!D:D=$F$4,'领用录入（明细）'!C:C&gt;=$J$4,'领用录入（明细）'!C:C&lt;=$L$4),ROW(),"-")</f>
        <v>-</v>
      </c>
    </row>
    <row r="28002" customHeight="1" spans="2:2">
      <c r="B28002" s="62" t="str">
        <f>IF(AND('领用录入（明细）'!D:D=$F$4,'领用录入（明细）'!C:C&gt;=$J$4,'领用录入（明细）'!C:C&lt;=$L$4),ROW(),"-")</f>
        <v>-</v>
      </c>
    </row>
    <row r="28003" customHeight="1" spans="2:2">
      <c r="B28003" s="62" t="str">
        <f>IF(AND('领用录入（明细）'!D:D=$F$4,'领用录入（明细）'!C:C&gt;=$J$4,'领用录入（明细）'!C:C&lt;=$L$4),ROW(),"-")</f>
        <v>-</v>
      </c>
    </row>
    <row r="28004" customHeight="1" spans="2:2">
      <c r="B28004" s="62" t="str">
        <f>IF(AND('领用录入（明细）'!D:D=$F$4,'领用录入（明细）'!C:C&gt;=$J$4,'领用录入（明细）'!C:C&lt;=$L$4),ROW(),"-")</f>
        <v>-</v>
      </c>
    </row>
    <row r="28005" customHeight="1" spans="2:2">
      <c r="B28005" s="62" t="str">
        <f>IF(AND('领用录入（明细）'!D:D=$F$4,'领用录入（明细）'!C:C&gt;=$J$4,'领用录入（明细）'!C:C&lt;=$L$4),ROW(),"-")</f>
        <v>-</v>
      </c>
    </row>
    <row r="28006" customHeight="1" spans="2:2">
      <c r="B28006" s="62" t="str">
        <f>IF(AND('领用录入（明细）'!D:D=$F$4,'领用录入（明细）'!C:C&gt;=$J$4,'领用录入（明细）'!C:C&lt;=$L$4),ROW(),"-")</f>
        <v>-</v>
      </c>
    </row>
    <row r="28007" customHeight="1" spans="2:2">
      <c r="B28007" s="62" t="str">
        <f>IF(AND('领用录入（明细）'!D:D=$F$4,'领用录入（明细）'!C:C&gt;=$J$4,'领用录入（明细）'!C:C&lt;=$L$4),ROW(),"-")</f>
        <v>-</v>
      </c>
    </row>
    <row r="28008" customHeight="1" spans="2:2">
      <c r="B28008" s="62" t="str">
        <f>IF(AND('领用录入（明细）'!D:D=$F$4,'领用录入（明细）'!C:C&gt;=$J$4,'领用录入（明细）'!C:C&lt;=$L$4),ROW(),"-")</f>
        <v>-</v>
      </c>
    </row>
    <row r="28009" customHeight="1" spans="2:2">
      <c r="B28009" s="62" t="str">
        <f>IF(AND('领用录入（明细）'!D:D=$F$4,'领用录入（明细）'!C:C&gt;=$J$4,'领用录入（明细）'!C:C&lt;=$L$4),ROW(),"-")</f>
        <v>-</v>
      </c>
    </row>
    <row r="28010" customHeight="1" spans="2:2">
      <c r="B28010" s="62" t="str">
        <f>IF(AND('领用录入（明细）'!D:D=$F$4,'领用录入（明细）'!C:C&gt;=$J$4,'领用录入（明细）'!C:C&lt;=$L$4),ROW(),"-")</f>
        <v>-</v>
      </c>
    </row>
    <row r="28011" customHeight="1" spans="2:2">
      <c r="B28011" s="62" t="str">
        <f>IF(AND('领用录入（明细）'!D:D=$F$4,'领用录入（明细）'!C:C&gt;=$J$4,'领用录入（明细）'!C:C&lt;=$L$4),ROW(),"-")</f>
        <v>-</v>
      </c>
    </row>
    <row r="28012" customHeight="1" spans="2:2">
      <c r="B28012" s="62" t="str">
        <f>IF(AND('领用录入（明细）'!D:D=$F$4,'领用录入（明细）'!C:C&gt;=$J$4,'领用录入（明细）'!C:C&lt;=$L$4),ROW(),"-")</f>
        <v>-</v>
      </c>
    </row>
    <row r="28013" customHeight="1" spans="2:2">
      <c r="B28013" s="62" t="str">
        <f>IF(AND('领用录入（明细）'!D:D=$F$4,'领用录入（明细）'!C:C&gt;=$J$4,'领用录入（明细）'!C:C&lt;=$L$4),ROW(),"-")</f>
        <v>-</v>
      </c>
    </row>
    <row r="28014" customHeight="1" spans="2:2">
      <c r="B28014" s="62" t="str">
        <f>IF(AND('领用录入（明细）'!D:D=$F$4,'领用录入（明细）'!C:C&gt;=$J$4,'领用录入（明细）'!C:C&lt;=$L$4),ROW(),"-")</f>
        <v>-</v>
      </c>
    </row>
    <row r="28015" customHeight="1" spans="2:2">
      <c r="B28015" s="62" t="str">
        <f>IF(AND('领用录入（明细）'!D:D=$F$4,'领用录入（明细）'!C:C&gt;=$J$4,'领用录入（明细）'!C:C&lt;=$L$4),ROW(),"-")</f>
        <v>-</v>
      </c>
    </row>
    <row r="28016" customHeight="1" spans="2:2">
      <c r="B28016" s="62" t="str">
        <f>IF(AND('领用录入（明细）'!D:D=$F$4,'领用录入（明细）'!C:C&gt;=$J$4,'领用录入（明细）'!C:C&lt;=$L$4),ROW(),"-")</f>
        <v>-</v>
      </c>
    </row>
    <row r="28017" customHeight="1" spans="2:2">
      <c r="B28017" s="62" t="str">
        <f>IF(AND('领用录入（明细）'!D:D=$F$4,'领用录入（明细）'!C:C&gt;=$J$4,'领用录入（明细）'!C:C&lt;=$L$4),ROW(),"-")</f>
        <v>-</v>
      </c>
    </row>
    <row r="28018" customHeight="1" spans="2:2">
      <c r="B28018" s="62" t="str">
        <f>IF(AND('领用录入（明细）'!D:D=$F$4,'领用录入（明细）'!C:C&gt;=$J$4,'领用录入（明细）'!C:C&lt;=$L$4),ROW(),"-")</f>
        <v>-</v>
      </c>
    </row>
    <row r="28019" customHeight="1" spans="2:2">
      <c r="B28019" s="62" t="str">
        <f>IF(AND('领用录入（明细）'!D:D=$F$4,'领用录入（明细）'!C:C&gt;=$J$4,'领用录入（明细）'!C:C&lt;=$L$4),ROW(),"-")</f>
        <v>-</v>
      </c>
    </row>
    <row r="28020" customHeight="1" spans="2:2">
      <c r="B28020" s="62" t="str">
        <f>IF(AND('领用录入（明细）'!D:D=$F$4,'领用录入（明细）'!C:C&gt;=$J$4,'领用录入（明细）'!C:C&lt;=$L$4),ROW(),"-")</f>
        <v>-</v>
      </c>
    </row>
    <row r="28021" customHeight="1" spans="2:2">
      <c r="B28021" s="62" t="str">
        <f>IF(AND('领用录入（明细）'!D:D=$F$4,'领用录入（明细）'!C:C&gt;=$J$4,'领用录入（明细）'!C:C&lt;=$L$4),ROW(),"-")</f>
        <v>-</v>
      </c>
    </row>
    <row r="28022" customHeight="1" spans="2:2">
      <c r="B28022" s="62" t="str">
        <f>IF(AND('领用录入（明细）'!D:D=$F$4,'领用录入（明细）'!C:C&gt;=$J$4,'领用录入（明细）'!C:C&lt;=$L$4),ROW(),"-")</f>
        <v>-</v>
      </c>
    </row>
    <row r="28023" customHeight="1" spans="2:2">
      <c r="B28023" s="62" t="str">
        <f>IF(AND('领用录入（明细）'!D:D=$F$4,'领用录入（明细）'!C:C&gt;=$J$4,'领用录入（明细）'!C:C&lt;=$L$4),ROW(),"-")</f>
        <v>-</v>
      </c>
    </row>
    <row r="28024" customHeight="1" spans="2:2">
      <c r="B28024" s="62" t="str">
        <f>IF(AND('领用录入（明细）'!D:D=$F$4,'领用录入（明细）'!C:C&gt;=$J$4,'领用录入（明细）'!C:C&lt;=$L$4),ROW(),"-")</f>
        <v>-</v>
      </c>
    </row>
    <row r="28025" customHeight="1" spans="2:2">
      <c r="B28025" s="62" t="str">
        <f>IF(AND('领用录入（明细）'!D:D=$F$4,'领用录入（明细）'!C:C&gt;=$J$4,'领用录入（明细）'!C:C&lt;=$L$4),ROW(),"-")</f>
        <v>-</v>
      </c>
    </row>
    <row r="28026" customHeight="1" spans="2:2">
      <c r="B28026" s="62" t="str">
        <f>IF(AND('领用录入（明细）'!D:D=$F$4,'领用录入（明细）'!C:C&gt;=$J$4,'领用录入（明细）'!C:C&lt;=$L$4),ROW(),"-")</f>
        <v>-</v>
      </c>
    </row>
    <row r="28027" customHeight="1" spans="2:2">
      <c r="B28027" s="62" t="str">
        <f>IF(AND('领用录入（明细）'!D:D=$F$4,'领用录入（明细）'!C:C&gt;=$J$4,'领用录入（明细）'!C:C&lt;=$L$4),ROW(),"-")</f>
        <v>-</v>
      </c>
    </row>
    <row r="28028" customHeight="1" spans="2:2">
      <c r="B28028" s="62" t="str">
        <f>IF(AND('领用录入（明细）'!D:D=$F$4,'领用录入（明细）'!C:C&gt;=$J$4,'领用录入（明细）'!C:C&lt;=$L$4),ROW(),"-")</f>
        <v>-</v>
      </c>
    </row>
    <row r="28029" customHeight="1" spans="2:2">
      <c r="B28029" s="62" t="str">
        <f>IF(AND('领用录入（明细）'!D:D=$F$4,'领用录入（明细）'!C:C&gt;=$J$4,'领用录入（明细）'!C:C&lt;=$L$4),ROW(),"-")</f>
        <v>-</v>
      </c>
    </row>
    <row r="28030" customHeight="1" spans="2:2">
      <c r="B28030" s="62" t="str">
        <f>IF(AND('领用录入（明细）'!D:D=$F$4,'领用录入（明细）'!C:C&gt;=$J$4,'领用录入（明细）'!C:C&lt;=$L$4),ROW(),"-")</f>
        <v>-</v>
      </c>
    </row>
    <row r="28031" customHeight="1" spans="2:2">
      <c r="B28031" s="62" t="str">
        <f>IF(AND('领用录入（明细）'!D:D=$F$4,'领用录入（明细）'!C:C&gt;=$J$4,'领用录入（明细）'!C:C&lt;=$L$4),ROW(),"-")</f>
        <v>-</v>
      </c>
    </row>
    <row r="28032" customHeight="1" spans="2:2">
      <c r="B28032" s="62" t="str">
        <f>IF(AND('领用录入（明细）'!D:D=$F$4,'领用录入（明细）'!C:C&gt;=$J$4,'领用录入（明细）'!C:C&lt;=$L$4),ROW(),"-")</f>
        <v>-</v>
      </c>
    </row>
    <row r="28033" customHeight="1" spans="2:2">
      <c r="B28033" s="62" t="str">
        <f>IF(AND('领用录入（明细）'!D:D=$F$4,'领用录入（明细）'!C:C&gt;=$J$4,'领用录入（明细）'!C:C&lt;=$L$4),ROW(),"-")</f>
        <v>-</v>
      </c>
    </row>
    <row r="28034" customHeight="1" spans="2:2">
      <c r="B28034" s="62" t="str">
        <f>IF(AND('领用录入（明细）'!D:D=$F$4,'领用录入（明细）'!C:C&gt;=$J$4,'领用录入（明细）'!C:C&lt;=$L$4),ROW(),"-")</f>
        <v>-</v>
      </c>
    </row>
    <row r="28035" customHeight="1" spans="2:2">
      <c r="B28035" s="62" t="str">
        <f>IF(AND('领用录入（明细）'!D:D=$F$4,'领用录入（明细）'!C:C&gt;=$J$4,'领用录入（明细）'!C:C&lt;=$L$4),ROW(),"-")</f>
        <v>-</v>
      </c>
    </row>
    <row r="28036" customHeight="1" spans="2:2">
      <c r="B28036" s="62" t="str">
        <f>IF(AND('领用录入（明细）'!D:D=$F$4,'领用录入（明细）'!C:C&gt;=$J$4,'领用录入（明细）'!C:C&lt;=$L$4),ROW(),"-")</f>
        <v>-</v>
      </c>
    </row>
    <row r="28037" customHeight="1" spans="2:2">
      <c r="B28037" s="62" t="str">
        <f>IF(AND('领用录入（明细）'!D:D=$F$4,'领用录入（明细）'!C:C&gt;=$J$4,'领用录入（明细）'!C:C&lt;=$L$4),ROW(),"-")</f>
        <v>-</v>
      </c>
    </row>
    <row r="28038" customHeight="1" spans="2:2">
      <c r="B28038" s="62" t="str">
        <f>IF(AND('领用录入（明细）'!D:D=$F$4,'领用录入（明细）'!C:C&gt;=$J$4,'领用录入（明细）'!C:C&lt;=$L$4),ROW(),"-")</f>
        <v>-</v>
      </c>
    </row>
    <row r="28039" customHeight="1" spans="2:2">
      <c r="B28039" s="62" t="str">
        <f>IF(AND('领用录入（明细）'!D:D=$F$4,'领用录入（明细）'!C:C&gt;=$J$4,'领用录入（明细）'!C:C&lt;=$L$4),ROW(),"-")</f>
        <v>-</v>
      </c>
    </row>
    <row r="28040" customHeight="1" spans="2:2">
      <c r="B28040" s="62" t="str">
        <f>IF(AND('领用录入（明细）'!D:D=$F$4,'领用录入（明细）'!C:C&gt;=$J$4,'领用录入（明细）'!C:C&lt;=$L$4),ROW(),"-")</f>
        <v>-</v>
      </c>
    </row>
    <row r="28041" customHeight="1" spans="2:2">
      <c r="B28041" s="62" t="str">
        <f>IF(AND('领用录入（明细）'!D:D=$F$4,'领用录入（明细）'!C:C&gt;=$J$4,'领用录入（明细）'!C:C&lt;=$L$4),ROW(),"-")</f>
        <v>-</v>
      </c>
    </row>
    <row r="28042" customHeight="1" spans="2:2">
      <c r="B28042" s="62" t="str">
        <f>IF(AND('领用录入（明细）'!D:D=$F$4,'领用录入（明细）'!C:C&gt;=$J$4,'领用录入（明细）'!C:C&lt;=$L$4),ROW(),"-")</f>
        <v>-</v>
      </c>
    </row>
    <row r="28043" customHeight="1" spans="2:2">
      <c r="B28043" s="62" t="str">
        <f>IF(AND('领用录入（明细）'!D:D=$F$4,'领用录入（明细）'!C:C&gt;=$J$4,'领用录入（明细）'!C:C&lt;=$L$4),ROW(),"-")</f>
        <v>-</v>
      </c>
    </row>
    <row r="28044" customHeight="1" spans="2:2">
      <c r="B28044" s="62" t="str">
        <f>IF(AND('领用录入（明细）'!D:D=$F$4,'领用录入（明细）'!C:C&gt;=$J$4,'领用录入（明细）'!C:C&lt;=$L$4),ROW(),"-")</f>
        <v>-</v>
      </c>
    </row>
    <row r="28045" customHeight="1" spans="2:2">
      <c r="B28045" s="62" t="str">
        <f>IF(AND('领用录入（明细）'!D:D=$F$4,'领用录入（明细）'!C:C&gt;=$J$4,'领用录入（明细）'!C:C&lt;=$L$4),ROW(),"-")</f>
        <v>-</v>
      </c>
    </row>
    <row r="28046" customHeight="1" spans="2:2">
      <c r="B28046" s="62" t="str">
        <f>IF(AND('领用录入（明细）'!D:D=$F$4,'领用录入（明细）'!C:C&gt;=$J$4,'领用录入（明细）'!C:C&lt;=$L$4),ROW(),"-")</f>
        <v>-</v>
      </c>
    </row>
    <row r="28047" customHeight="1" spans="2:2">
      <c r="B28047" s="62" t="str">
        <f>IF(AND('领用录入（明细）'!D:D=$F$4,'领用录入（明细）'!C:C&gt;=$J$4,'领用录入（明细）'!C:C&lt;=$L$4),ROW(),"-")</f>
        <v>-</v>
      </c>
    </row>
    <row r="28048" customHeight="1" spans="2:2">
      <c r="B28048" s="62" t="str">
        <f>IF(AND('领用录入（明细）'!D:D=$F$4,'领用录入（明细）'!C:C&gt;=$J$4,'领用录入（明细）'!C:C&lt;=$L$4),ROW(),"-")</f>
        <v>-</v>
      </c>
    </row>
    <row r="28049" customHeight="1" spans="2:2">
      <c r="B28049" s="62" t="str">
        <f>IF(AND('领用录入（明细）'!D:D=$F$4,'领用录入（明细）'!C:C&gt;=$J$4,'领用录入（明细）'!C:C&lt;=$L$4),ROW(),"-")</f>
        <v>-</v>
      </c>
    </row>
    <row r="28050" customHeight="1" spans="2:2">
      <c r="B28050" s="62" t="str">
        <f>IF(AND('领用录入（明细）'!D:D=$F$4,'领用录入（明细）'!C:C&gt;=$J$4,'领用录入（明细）'!C:C&lt;=$L$4),ROW(),"-")</f>
        <v>-</v>
      </c>
    </row>
    <row r="28051" customHeight="1" spans="2:2">
      <c r="B28051" s="62" t="str">
        <f>IF(AND('领用录入（明细）'!D:D=$F$4,'领用录入（明细）'!C:C&gt;=$J$4,'领用录入（明细）'!C:C&lt;=$L$4),ROW(),"-")</f>
        <v>-</v>
      </c>
    </row>
    <row r="28052" customHeight="1" spans="2:2">
      <c r="B28052" s="62" t="str">
        <f>IF(AND('领用录入（明细）'!D:D=$F$4,'领用录入（明细）'!C:C&gt;=$J$4,'领用录入（明细）'!C:C&lt;=$L$4),ROW(),"-")</f>
        <v>-</v>
      </c>
    </row>
    <row r="28053" customHeight="1" spans="2:2">
      <c r="B28053" s="62" t="str">
        <f>IF(AND('领用录入（明细）'!D:D=$F$4,'领用录入（明细）'!C:C&gt;=$J$4,'领用录入（明细）'!C:C&lt;=$L$4),ROW(),"-")</f>
        <v>-</v>
      </c>
    </row>
    <row r="28054" customHeight="1" spans="2:2">
      <c r="B28054" s="62" t="str">
        <f>IF(AND('领用录入（明细）'!D:D=$F$4,'领用录入（明细）'!C:C&gt;=$J$4,'领用录入（明细）'!C:C&lt;=$L$4),ROW(),"-")</f>
        <v>-</v>
      </c>
    </row>
    <row r="28055" customHeight="1" spans="2:2">
      <c r="B28055" s="62" t="str">
        <f>IF(AND('领用录入（明细）'!D:D=$F$4,'领用录入（明细）'!C:C&gt;=$J$4,'领用录入（明细）'!C:C&lt;=$L$4),ROW(),"-")</f>
        <v>-</v>
      </c>
    </row>
    <row r="28056" customHeight="1" spans="2:2">
      <c r="B28056" s="62" t="str">
        <f>IF(AND('领用录入（明细）'!D:D=$F$4,'领用录入（明细）'!C:C&gt;=$J$4,'领用录入（明细）'!C:C&lt;=$L$4),ROW(),"-")</f>
        <v>-</v>
      </c>
    </row>
    <row r="28057" customHeight="1" spans="2:2">
      <c r="B28057" s="62" t="str">
        <f>IF(AND('领用录入（明细）'!D:D=$F$4,'领用录入（明细）'!C:C&gt;=$J$4,'领用录入（明细）'!C:C&lt;=$L$4),ROW(),"-")</f>
        <v>-</v>
      </c>
    </row>
    <row r="28058" customHeight="1" spans="2:2">
      <c r="B28058" s="62" t="str">
        <f>IF(AND('领用录入（明细）'!D:D=$F$4,'领用录入（明细）'!C:C&gt;=$J$4,'领用录入（明细）'!C:C&lt;=$L$4),ROW(),"-")</f>
        <v>-</v>
      </c>
    </row>
    <row r="28059" customHeight="1" spans="2:2">
      <c r="B28059" s="62" t="str">
        <f>IF(AND('领用录入（明细）'!D:D=$F$4,'领用录入（明细）'!C:C&gt;=$J$4,'领用录入（明细）'!C:C&lt;=$L$4),ROW(),"-")</f>
        <v>-</v>
      </c>
    </row>
    <row r="28060" customHeight="1" spans="2:2">
      <c r="B28060" s="62" t="str">
        <f>IF(AND('领用录入（明细）'!D:D=$F$4,'领用录入（明细）'!C:C&gt;=$J$4,'领用录入（明细）'!C:C&lt;=$L$4),ROW(),"-")</f>
        <v>-</v>
      </c>
    </row>
    <row r="28061" customHeight="1" spans="2:2">
      <c r="B28061" s="62" t="str">
        <f>IF(AND('领用录入（明细）'!D:D=$F$4,'领用录入（明细）'!C:C&gt;=$J$4,'领用录入（明细）'!C:C&lt;=$L$4),ROW(),"-")</f>
        <v>-</v>
      </c>
    </row>
    <row r="28062" customHeight="1" spans="2:2">
      <c r="B28062" s="62" t="str">
        <f>IF(AND('领用录入（明细）'!D:D=$F$4,'领用录入（明细）'!C:C&gt;=$J$4,'领用录入（明细）'!C:C&lt;=$L$4),ROW(),"-")</f>
        <v>-</v>
      </c>
    </row>
    <row r="28063" customHeight="1" spans="2:2">
      <c r="B28063" s="62" t="str">
        <f>IF(AND('领用录入（明细）'!D:D=$F$4,'领用录入（明细）'!C:C&gt;=$J$4,'领用录入（明细）'!C:C&lt;=$L$4),ROW(),"-")</f>
        <v>-</v>
      </c>
    </row>
    <row r="28064" customHeight="1" spans="2:2">
      <c r="B28064" s="62" t="str">
        <f>IF(AND('领用录入（明细）'!D:D=$F$4,'领用录入（明细）'!C:C&gt;=$J$4,'领用录入（明细）'!C:C&lt;=$L$4),ROW(),"-")</f>
        <v>-</v>
      </c>
    </row>
    <row r="28065" customHeight="1" spans="2:2">
      <c r="B28065" s="62" t="str">
        <f>IF(AND('领用录入（明细）'!D:D=$F$4,'领用录入（明细）'!C:C&gt;=$J$4,'领用录入（明细）'!C:C&lt;=$L$4),ROW(),"-")</f>
        <v>-</v>
      </c>
    </row>
    <row r="28066" customHeight="1" spans="2:2">
      <c r="B28066" s="62" t="str">
        <f>IF(AND('领用录入（明细）'!D:D=$F$4,'领用录入（明细）'!C:C&gt;=$J$4,'领用录入（明细）'!C:C&lt;=$L$4),ROW(),"-")</f>
        <v>-</v>
      </c>
    </row>
    <row r="28067" customHeight="1" spans="2:2">
      <c r="B28067" s="62" t="str">
        <f>IF(AND('领用录入（明细）'!D:D=$F$4,'领用录入（明细）'!C:C&gt;=$J$4,'领用录入（明细）'!C:C&lt;=$L$4),ROW(),"-")</f>
        <v>-</v>
      </c>
    </row>
    <row r="28068" customHeight="1" spans="2:2">
      <c r="B28068" s="62" t="str">
        <f>IF(AND('领用录入（明细）'!D:D=$F$4,'领用录入（明细）'!C:C&gt;=$J$4,'领用录入（明细）'!C:C&lt;=$L$4),ROW(),"-")</f>
        <v>-</v>
      </c>
    </row>
    <row r="28069" customHeight="1" spans="2:2">
      <c r="B28069" s="62" t="str">
        <f>IF(AND('领用录入（明细）'!D:D=$F$4,'领用录入（明细）'!C:C&gt;=$J$4,'领用录入（明细）'!C:C&lt;=$L$4),ROW(),"-")</f>
        <v>-</v>
      </c>
    </row>
    <row r="28070" customHeight="1" spans="2:2">
      <c r="B28070" s="62" t="str">
        <f>IF(AND('领用录入（明细）'!D:D=$F$4,'领用录入（明细）'!C:C&gt;=$J$4,'领用录入（明细）'!C:C&lt;=$L$4),ROW(),"-")</f>
        <v>-</v>
      </c>
    </row>
    <row r="28071" customHeight="1" spans="2:2">
      <c r="B28071" s="62" t="str">
        <f>IF(AND('领用录入（明细）'!D:D=$F$4,'领用录入（明细）'!C:C&gt;=$J$4,'领用录入（明细）'!C:C&lt;=$L$4),ROW(),"-")</f>
        <v>-</v>
      </c>
    </row>
    <row r="28072" customHeight="1" spans="2:2">
      <c r="B28072" s="62" t="str">
        <f>IF(AND('领用录入（明细）'!D:D=$F$4,'领用录入（明细）'!C:C&gt;=$J$4,'领用录入（明细）'!C:C&lt;=$L$4),ROW(),"-")</f>
        <v>-</v>
      </c>
    </row>
    <row r="28073" customHeight="1" spans="2:2">
      <c r="B28073" s="62" t="str">
        <f>IF(AND('领用录入（明细）'!D:D=$F$4,'领用录入（明细）'!C:C&gt;=$J$4,'领用录入（明细）'!C:C&lt;=$L$4),ROW(),"-")</f>
        <v>-</v>
      </c>
    </row>
    <row r="28074" customHeight="1" spans="2:2">
      <c r="B28074" s="62" t="str">
        <f>IF(AND('领用录入（明细）'!D:D=$F$4,'领用录入（明细）'!C:C&gt;=$J$4,'领用录入（明细）'!C:C&lt;=$L$4),ROW(),"-")</f>
        <v>-</v>
      </c>
    </row>
    <row r="28075" customHeight="1" spans="2:2">
      <c r="B28075" s="62" t="str">
        <f>IF(AND('领用录入（明细）'!D:D=$F$4,'领用录入（明细）'!C:C&gt;=$J$4,'领用录入（明细）'!C:C&lt;=$L$4),ROW(),"-")</f>
        <v>-</v>
      </c>
    </row>
    <row r="28076" customHeight="1" spans="2:2">
      <c r="B28076" s="62" t="str">
        <f>IF(AND('领用录入（明细）'!D:D=$F$4,'领用录入（明细）'!C:C&gt;=$J$4,'领用录入（明细）'!C:C&lt;=$L$4),ROW(),"-")</f>
        <v>-</v>
      </c>
    </row>
    <row r="28077" customHeight="1" spans="2:2">
      <c r="B28077" s="62" t="str">
        <f>IF(AND('领用录入（明细）'!D:D=$F$4,'领用录入（明细）'!C:C&gt;=$J$4,'领用录入（明细）'!C:C&lt;=$L$4),ROW(),"-")</f>
        <v>-</v>
      </c>
    </row>
    <row r="28078" customHeight="1" spans="2:2">
      <c r="B28078" s="62" t="str">
        <f>IF(AND('领用录入（明细）'!D:D=$F$4,'领用录入（明细）'!C:C&gt;=$J$4,'领用录入（明细）'!C:C&lt;=$L$4),ROW(),"-")</f>
        <v>-</v>
      </c>
    </row>
    <row r="28079" customHeight="1" spans="2:2">
      <c r="B28079" s="62" t="str">
        <f>IF(AND('领用录入（明细）'!D:D=$F$4,'领用录入（明细）'!C:C&gt;=$J$4,'领用录入（明细）'!C:C&lt;=$L$4),ROW(),"-")</f>
        <v>-</v>
      </c>
    </row>
    <row r="28080" customHeight="1" spans="2:2">
      <c r="B28080" s="62" t="str">
        <f>IF(AND('领用录入（明细）'!D:D=$F$4,'领用录入（明细）'!C:C&gt;=$J$4,'领用录入（明细）'!C:C&lt;=$L$4),ROW(),"-")</f>
        <v>-</v>
      </c>
    </row>
    <row r="28081" customHeight="1" spans="2:2">
      <c r="B28081" s="62" t="str">
        <f>IF(AND('领用录入（明细）'!D:D=$F$4,'领用录入（明细）'!C:C&gt;=$J$4,'领用录入（明细）'!C:C&lt;=$L$4),ROW(),"-")</f>
        <v>-</v>
      </c>
    </row>
    <row r="28082" customHeight="1" spans="2:2">
      <c r="B28082" s="62" t="str">
        <f>IF(AND('领用录入（明细）'!D:D=$F$4,'领用录入（明细）'!C:C&gt;=$J$4,'领用录入（明细）'!C:C&lt;=$L$4),ROW(),"-")</f>
        <v>-</v>
      </c>
    </row>
    <row r="28083" customHeight="1" spans="2:2">
      <c r="B28083" s="62" t="str">
        <f>IF(AND('领用录入（明细）'!D:D=$F$4,'领用录入（明细）'!C:C&gt;=$J$4,'领用录入（明细）'!C:C&lt;=$L$4),ROW(),"-")</f>
        <v>-</v>
      </c>
    </row>
    <row r="28084" customHeight="1" spans="2:2">
      <c r="B28084" s="62" t="str">
        <f>IF(AND('领用录入（明细）'!D:D=$F$4,'领用录入（明细）'!C:C&gt;=$J$4,'领用录入（明细）'!C:C&lt;=$L$4),ROW(),"-")</f>
        <v>-</v>
      </c>
    </row>
    <row r="28085" customHeight="1" spans="2:2">
      <c r="B28085" s="62" t="str">
        <f>IF(AND('领用录入（明细）'!D:D=$F$4,'领用录入（明细）'!C:C&gt;=$J$4,'领用录入（明细）'!C:C&lt;=$L$4),ROW(),"-")</f>
        <v>-</v>
      </c>
    </row>
    <row r="28086" customHeight="1" spans="2:2">
      <c r="B28086" s="62" t="str">
        <f>IF(AND('领用录入（明细）'!D:D=$F$4,'领用录入（明细）'!C:C&gt;=$J$4,'领用录入（明细）'!C:C&lt;=$L$4),ROW(),"-")</f>
        <v>-</v>
      </c>
    </row>
    <row r="28087" customHeight="1" spans="2:2">
      <c r="B28087" s="62" t="str">
        <f>IF(AND('领用录入（明细）'!D:D=$F$4,'领用录入（明细）'!C:C&gt;=$J$4,'领用录入（明细）'!C:C&lt;=$L$4),ROW(),"-")</f>
        <v>-</v>
      </c>
    </row>
    <row r="28088" customHeight="1" spans="2:2">
      <c r="B28088" s="62" t="str">
        <f>IF(AND('领用录入（明细）'!D:D=$F$4,'领用录入（明细）'!C:C&gt;=$J$4,'领用录入（明细）'!C:C&lt;=$L$4),ROW(),"-")</f>
        <v>-</v>
      </c>
    </row>
    <row r="28089" customHeight="1" spans="2:2">
      <c r="B28089" s="62" t="str">
        <f>IF(AND('领用录入（明细）'!D:D=$F$4,'领用录入（明细）'!C:C&gt;=$J$4,'领用录入（明细）'!C:C&lt;=$L$4),ROW(),"-")</f>
        <v>-</v>
      </c>
    </row>
    <row r="28090" customHeight="1" spans="2:2">
      <c r="B28090" s="62" t="str">
        <f>IF(AND('领用录入（明细）'!D:D=$F$4,'领用录入（明细）'!C:C&gt;=$J$4,'领用录入（明细）'!C:C&lt;=$L$4),ROW(),"-")</f>
        <v>-</v>
      </c>
    </row>
    <row r="28091" customHeight="1" spans="2:2">
      <c r="B28091" s="62" t="str">
        <f>IF(AND('领用录入（明细）'!D:D=$F$4,'领用录入（明细）'!C:C&gt;=$J$4,'领用录入（明细）'!C:C&lt;=$L$4),ROW(),"-")</f>
        <v>-</v>
      </c>
    </row>
    <row r="28092" customHeight="1" spans="2:2">
      <c r="B28092" s="62" t="str">
        <f>IF(AND('领用录入（明细）'!D:D=$F$4,'领用录入（明细）'!C:C&gt;=$J$4,'领用录入（明细）'!C:C&lt;=$L$4),ROW(),"-")</f>
        <v>-</v>
      </c>
    </row>
    <row r="28093" customHeight="1" spans="2:2">
      <c r="B28093" s="62" t="str">
        <f>IF(AND('领用录入（明细）'!D:D=$F$4,'领用录入（明细）'!C:C&gt;=$J$4,'领用录入（明细）'!C:C&lt;=$L$4),ROW(),"-")</f>
        <v>-</v>
      </c>
    </row>
    <row r="28094" customHeight="1" spans="2:2">
      <c r="B28094" s="62" t="str">
        <f>IF(AND('领用录入（明细）'!D:D=$F$4,'领用录入（明细）'!C:C&gt;=$J$4,'领用录入（明细）'!C:C&lt;=$L$4),ROW(),"-")</f>
        <v>-</v>
      </c>
    </row>
    <row r="28095" customHeight="1" spans="2:2">
      <c r="B28095" s="62" t="str">
        <f>IF(AND('领用录入（明细）'!D:D=$F$4,'领用录入（明细）'!C:C&gt;=$J$4,'领用录入（明细）'!C:C&lt;=$L$4),ROW(),"-")</f>
        <v>-</v>
      </c>
    </row>
    <row r="28096" customHeight="1" spans="2:2">
      <c r="B28096" s="62" t="str">
        <f>IF(AND('领用录入（明细）'!D:D=$F$4,'领用录入（明细）'!C:C&gt;=$J$4,'领用录入（明细）'!C:C&lt;=$L$4),ROW(),"-")</f>
        <v>-</v>
      </c>
    </row>
    <row r="28097" customHeight="1" spans="2:2">
      <c r="B28097" s="62" t="str">
        <f>IF(AND('领用录入（明细）'!D:D=$F$4,'领用录入（明细）'!C:C&gt;=$J$4,'领用录入（明细）'!C:C&lt;=$L$4),ROW(),"-")</f>
        <v>-</v>
      </c>
    </row>
    <row r="28098" customHeight="1" spans="2:2">
      <c r="B28098" s="62" t="str">
        <f>IF(AND('领用录入（明细）'!D:D=$F$4,'领用录入（明细）'!C:C&gt;=$J$4,'领用录入（明细）'!C:C&lt;=$L$4),ROW(),"-")</f>
        <v>-</v>
      </c>
    </row>
    <row r="28099" customHeight="1" spans="2:2">
      <c r="B28099" s="62" t="str">
        <f>IF(AND('领用录入（明细）'!D:D=$F$4,'领用录入（明细）'!C:C&gt;=$J$4,'领用录入（明细）'!C:C&lt;=$L$4),ROW(),"-")</f>
        <v>-</v>
      </c>
    </row>
    <row r="28100" customHeight="1" spans="2:2">
      <c r="B28100" s="62" t="str">
        <f>IF(AND('领用录入（明细）'!D:D=$F$4,'领用录入（明细）'!C:C&gt;=$J$4,'领用录入（明细）'!C:C&lt;=$L$4),ROW(),"-")</f>
        <v>-</v>
      </c>
    </row>
    <row r="28101" customHeight="1" spans="2:2">
      <c r="B28101" s="62" t="str">
        <f>IF(AND('领用录入（明细）'!D:D=$F$4,'领用录入（明细）'!C:C&gt;=$J$4,'领用录入（明细）'!C:C&lt;=$L$4),ROW(),"-")</f>
        <v>-</v>
      </c>
    </row>
    <row r="28102" customHeight="1" spans="2:2">
      <c r="B28102" s="62" t="str">
        <f>IF(AND('领用录入（明细）'!D:D=$F$4,'领用录入（明细）'!C:C&gt;=$J$4,'领用录入（明细）'!C:C&lt;=$L$4),ROW(),"-")</f>
        <v>-</v>
      </c>
    </row>
    <row r="28103" customHeight="1" spans="2:2">
      <c r="B28103" s="62" t="str">
        <f>IF(AND('领用录入（明细）'!D:D=$F$4,'领用录入（明细）'!C:C&gt;=$J$4,'领用录入（明细）'!C:C&lt;=$L$4),ROW(),"-")</f>
        <v>-</v>
      </c>
    </row>
    <row r="28104" customHeight="1" spans="2:2">
      <c r="B28104" s="62" t="str">
        <f>IF(AND('领用录入（明细）'!D:D=$F$4,'领用录入（明细）'!C:C&gt;=$J$4,'领用录入（明细）'!C:C&lt;=$L$4),ROW(),"-")</f>
        <v>-</v>
      </c>
    </row>
    <row r="28105" customHeight="1" spans="2:2">
      <c r="B28105" s="62" t="str">
        <f>IF(AND('领用录入（明细）'!D:D=$F$4,'领用录入（明细）'!C:C&gt;=$J$4,'领用录入（明细）'!C:C&lt;=$L$4),ROW(),"-")</f>
        <v>-</v>
      </c>
    </row>
    <row r="28106" customHeight="1" spans="2:2">
      <c r="B28106" s="62" t="str">
        <f>IF(AND('领用录入（明细）'!D:D=$F$4,'领用录入（明细）'!C:C&gt;=$J$4,'领用录入（明细）'!C:C&lt;=$L$4),ROW(),"-")</f>
        <v>-</v>
      </c>
    </row>
    <row r="28107" customHeight="1" spans="2:2">
      <c r="B28107" s="62" t="str">
        <f>IF(AND('领用录入（明细）'!D:D=$F$4,'领用录入（明细）'!C:C&gt;=$J$4,'领用录入（明细）'!C:C&lt;=$L$4),ROW(),"-")</f>
        <v>-</v>
      </c>
    </row>
    <row r="28108" customHeight="1" spans="2:2">
      <c r="B28108" s="62" t="str">
        <f>IF(AND('领用录入（明细）'!D:D=$F$4,'领用录入（明细）'!C:C&gt;=$J$4,'领用录入（明细）'!C:C&lt;=$L$4),ROW(),"-")</f>
        <v>-</v>
      </c>
    </row>
    <row r="28109" customHeight="1" spans="2:2">
      <c r="B28109" s="62" t="str">
        <f>IF(AND('领用录入（明细）'!D:D=$F$4,'领用录入（明细）'!C:C&gt;=$J$4,'领用录入（明细）'!C:C&lt;=$L$4),ROW(),"-")</f>
        <v>-</v>
      </c>
    </row>
    <row r="28110" customHeight="1" spans="2:2">
      <c r="B28110" s="62" t="str">
        <f>IF(AND('领用录入（明细）'!D:D=$F$4,'领用录入（明细）'!C:C&gt;=$J$4,'领用录入（明细）'!C:C&lt;=$L$4),ROW(),"-")</f>
        <v>-</v>
      </c>
    </row>
    <row r="28111" customHeight="1" spans="2:2">
      <c r="B28111" s="62" t="str">
        <f>IF(AND('领用录入（明细）'!D:D=$F$4,'领用录入（明细）'!C:C&gt;=$J$4,'领用录入（明细）'!C:C&lt;=$L$4),ROW(),"-")</f>
        <v>-</v>
      </c>
    </row>
    <row r="28112" customHeight="1" spans="2:2">
      <c r="B28112" s="62" t="str">
        <f>IF(AND('领用录入（明细）'!D:D=$F$4,'领用录入（明细）'!C:C&gt;=$J$4,'领用录入（明细）'!C:C&lt;=$L$4),ROW(),"-")</f>
        <v>-</v>
      </c>
    </row>
    <row r="28113" customHeight="1" spans="2:2">
      <c r="B28113" s="62" t="str">
        <f>IF(AND('领用录入（明细）'!D:D=$F$4,'领用录入（明细）'!C:C&gt;=$J$4,'领用录入（明细）'!C:C&lt;=$L$4),ROW(),"-")</f>
        <v>-</v>
      </c>
    </row>
    <row r="28114" customHeight="1" spans="2:2">
      <c r="B28114" s="62" t="str">
        <f>IF(AND('领用录入（明细）'!D:D=$F$4,'领用录入（明细）'!C:C&gt;=$J$4,'领用录入（明细）'!C:C&lt;=$L$4),ROW(),"-")</f>
        <v>-</v>
      </c>
    </row>
    <row r="28115" customHeight="1" spans="2:2">
      <c r="B28115" s="62" t="str">
        <f>IF(AND('领用录入（明细）'!D:D=$F$4,'领用录入（明细）'!C:C&gt;=$J$4,'领用录入（明细）'!C:C&lt;=$L$4),ROW(),"-")</f>
        <v>-</v>
      </c>
    </row>
    <row r="28116" customHeight="1" spans="2:2">
      <c r="B28116" s="62" t="str">
        <f>IF(AND('领用录入（明细）'!D:D=$F$4,'领用录入（明细）'!C:C&gt;=$J$4,'领用录入（明细）'!C:C&lt;=$L$4),ROW(),"-")</f>
        <v>-</v>
      </c>
    </row>
    <row r="28117" customHeight="1" spans="2:2">
      <c r="B28117" s="62" t="str">
        <f>IF(AND('领用录入（明细）'!D:D=$F$4,'领用录入（明细）'!C:C&gt;=$J$4,'领用录入（明细）'!C:C&lt;=$L$4),ROW(),"-")</f>
        <v>-</v>
      </c>
    </row>
    <row r="28118" customHeight="1" spans="2:2">
      <c r="B28118" s="62" t="str">
        <f>IF(AND('领用录入（明细）'!D:D=$F$4,'领用录入（明细）'!C:C&gt;=$J$4,'领用录入（明细）'!C:C&lt;=$L$4),ROW(),"-")</f>
        <v>-</v>
      </c>
    </row>
    <row r="28119" customHeight="1" spans="2:2">
      <c r="B28119" s="62" t="str">
        <f>IF(AND('领用录入（明细）'!D:D=$F$4,'领用录入（明细）'!C:C&gt;=$J$4,'领用录入（明细）'!C:C&lt;=$L$4),ROW(),"-")</f>
        <v>-</v>
      </c>
    </row>
    <row r="28120" customHeight="1" spans="2:2">
      <c r="B28120" s="62" t="str">
        <f>IF(AND('领用录入（明细）'!D:D=$F$4,'领用录入（明细）'!C:C&gt;=$J$4,'领用录入（明细）'!C:C&lt;=$L$4),ROW(),"-")</f>
        <v>-</v>
      </c>
    </row>
    <row r="28121" customHeight="1" spans="2:2">
      <c r="B28121" s="62" t="str">
        <f>IF(AND('领用录入（明细）'!D:D=$F$4,'领用录入（明细）'!C:C&gt;=$J$4,'领用录入（明细）'!C:C&lt;=$L$4),ROW(),"-")</f>
        <v>-</v>
      </c>
    </row>
    <row r="28122" customHeight="1" spans="2:2">
      <c r="B28122" s="62" t="str">
        <f>IF(AND('领用录入（明细）'!D:D=$F$4,'领用录入（明细）'!C:C&gt;=$J$4,'领用录入（明细）'!C:C&lt;=$L$4),ROW(),"-")</f>
        <v>-</v>
      </c>
    </row>
    <row r="28123" customHeight="1" spans="2:2">
      <c r="B28123" s="62" t="str">
        <f>IF(AND('领用录入（明细）'!D:D=$F$4,'领用录入（明细）'!C:C&gt;=$J$4,'领用录入（明细）'!C:C&lt;=$L$4),ROW(),"-")</f>
        <v>-</v>
      </c>
    </row>
    <row r="28124" customHeight="1" spans="2:2">
      <c r="B28124" s="62" t="str">
        <f>IF(AND('领用录入（明细）'!D:D=$F$4,'领用录入（明细）'!C:C&gt;=$J$4,'领用录入（明细）'!C:C&lt;=$L$4),ROW(),"-")</f>
        <v>-</v>
      </c>
    </row>
    <row r="28125" customHeight="1" spans="2:2">
      <c r="B28125" s="62" t="str">
        <f>IF(AND('领用录入（明细）'!D:D=$F$4,'领用录入（明细）'!C:C&gt;=$J$4,'领用录入（明细）'!C:C&lt;=$L$4),ROW(),"-")</f>
        <v>-</v>
      </c>
    </row>
    <row r="28126" customHeight="1" spans="2:2">
      <c r="B28126" s="62" t="str">
        <f>IF(AND('领用录入（明细）'!D:D=$F$4,'领用录入（明细）'!C:C&gt;=$J$4,'领用录入（明细）'!C:C&lt;=$L$4),ROW(),"-")</f>
        <v>-</v>
      </c>
    </row>
    <row r="28127" customHeight="1" spans="2:2">
      <c r="B28127" s="62" t="str">
        <f>IF(AND('领用录入（明细）'!D:D=$F$4,'领用录入（明细）'!C:C&gt;=$J$4,'领用录入（明细）'!C:C&lt;=$L$4),ROW(),"-")</f>
        <v>-</v>
      </c>
    </row>
    <row r="28128" customHeight="1" spans="2:2">
      <c r="B28128" s="62" t="str">
        <f>IF(AND('领用录入（明细）'!D:D=$F$4,'领用录入（明细）'!C:C&gt;=$J$4,'领用录入（明细）'!C:C&lt;=$L$4),ROW(),"-")</f>
        <v>-</v>
      </c>
    </row>
    <row r="28129" customHeight="1" spans="2:2">
      <c r="B28129" s="62" t="str">
        <f>IF(AND('领用录入（明细）'!D:D=$F$4,'领用录入（明细）'!C:C&gt;=$J$4,'领用录入（明细）'!C:C&lt;=$L$4),ROW(),"-")</f>
        <v>-</v>
      </c>
    </row>
    <row r="28130" customHeight="1" spans="2:2">
      <c r="B28130" s="62" t="str">
        <f>IF(AND('领用录入（明细）'!D:D=$F$4,'领用录入（明细）'!C:C&gt;=$J$4,'领用录入（明细）'!C:C&lt;=$L$4),ROW(),"-")</f>
        <v>-</v>
      </c>
    </row>
    <row r="28131" customHeight="1" spans="2:2">
      <c r="B28131" s="62" t="str">
        <f>IF(AND('领用录入（明细）'!D:D=$F$4,'领用录入（明细）'!C:C&gt;=$J$4,'领用录入（明细）'!C:C&lt;=$L$4),ROW(),"-")</f>
        <v>-</v>
      </c>
    </row>
    <row r="28132" customHeight="1" spans="2:2">
      <c r="B28132" s="62" t="str">
        <f>IF(AND('领用录入（明细）'!D:D=$F$4,'领用录入（明细）'!C:C&gt;=$J$4,'领用录入（明细）'!C:C&lt;=$L$4),ROW(),"-")</f>
        <v>-</v>
      </c>
    </row>
    <row r="28133" customHeight="1" spans="2:2">
      <c r="B28133" s="62" t="str">
        <f>IF(AND('领用录入（明细）'!D:D=$F$4,'领用录入（明细）'!C:C&gt;=$J$4,'领用录入（明细）'!C:C&lt;=$L$4),ROW(),"-")</f>
        <v>-</v>
      </c>
    </row>
    <row r="28134" customHeight="1" spans="2:2">
      <c r="B28134" s="62" t="str">
        <f>IF(AND('领用录入（明细）'!D:D=$F$4,'领用录入（明细）'!C:C&gt;=$J$4,'领用录入（明细）'!C:C&lt;=$L$4),ROW(),"-")</f>
        <v>-</v>
      </c>
    </row>
    <row r="28135" customHeight="1" spans="2:2">
      <c r="B28135" s="62" t="str">
        <f>IF(AND('领用录入（明细）'!D:D=$F$4,'领用录入（明细）'!C:C&gt;=$J$4,'领用录入（明细）'!C:C&lt;=$L$4),ROW(),"-")</f>
        <v>-</v>
      </c>
    </row>
    <row r="28136" customHeight="1" spans="2:2">
      <c r="B28136" s="62" t="str">
        <f>IF(AND('领用录入（明细）'!D:D=$F$4,'领用录入（明细）'!C:C&gt;=$J$4,'领用录入（明细）'!C:C&lt;=$L$4),ROW(),"-")</f>
        <v>-</v>
      </c>
    </row>
    <row r="28137" customHeight="1" spans="2:2">
      <c r="B28137" s="62" t="str">
        <f>IF(AND('领用录入（明细）'!D:D=$F$4,'领用录入（明细）'!C:C&gt;=$J$4,'领用录入（明细）'!C:C&lt;=$L$4),ROW(),"-")</f>
        <v>-</v>
      </c>
    </row>
    <row r="28138" customHeight="1" spans="2:2">
      <c r="B28138" s="62" t="str">
        <f>IF(AND('领用录入（明细）'!D:D=$F$4,'领用录入（明细）'!C:C&gt;=$J$4,'领用录入（明细）'!C:C&lt;=$L$4),ROW(),"-")</f>
        <v>-</v>
      </c>
    </row>
    <row r="28139" customHeight="1" spans="2:2">
      <c r="B28139" s="62" t="str">
        <f>IF(AND('领用录入（明细）'!D:D=$F$4,'领用录入（明细）'!C:C&gt;=$J$4,'领用录入（明细）'!C:C&lt;=$L$4),ROW(),"-")</f>
        <v>-</v>
      </c>
    </row>
    <row r="28140" customHeight="1" spans="2:2">
      <c r="B28140" s="62" t="str">
        <f>IF(AND('领用录入（明细）'!D:D=$F$4,'领用录入（明细）'!C:C&gt;=$J$4,'领用录入（明细）'!C:C&lt;=$L$4),ROW(),"-")</f>
        <v>-</v>
      </c>
    </row>
    <row r="28141" customHeight="1" spans="2:2">
      <c r="B28141" s="62" t="str">
        <f>IF(AND('领用录入（明细）'!D:D=$F$4,'领用录入（明细）'!C:C&gt;=$J$4,'领用录入（明细）'!C:C&lt;=$L$4),ROW(),"-")</f>
        <v>-</v>
      </c>
    </row>
    <row r="28142" customHeight="1" spans="2:2">
      <c r="B28142" s="62" t="str">
        <f>IF(AND('领用录入（明细）'!D:D=$F$4,'领用录入（明细）'!C:C&gt;=$J$4,'领用录入（明细）'!C:C&lt;=$L$4),ROW(),"-")</f>
        <v>-</v>
      </c>
    </row>
    <row r="28143" customHeight="1" spans="2:2">
      <c r="B28143" s="62" t="str">
        <f>IF(AND('领用录入（明细）'!D:D=$F$4,'领用录入（明细）'!C:C&gt;=$J$4,'领用录入（明细）'!C:C&lt;=$L$4),ROW(),"-")</f>
        <v>-</v>
      </c>
    </row>
    <row r="28144" customHeight="1" spans="2:2">
      <c r="B28144" s="62" t="str">
        <f>IF(AND('领用录入（明细）'!D:D=$F$4,'领用录入（明细）'!C:C&gt;=$J$4,'领用录入（明细）'!C:C&lt;=$L$4),ROW(),"-")</f>
        <v>-</v>
      </c>
    </row>
    <row r="28145" customHeight="1" spans="2:2">
      <c r="B28145" s="62" t="str">
        <f>IF(AND('领用录入（明细）'!D:D=$F$4,'领用录入（明细）'!C:C&gt;=$J$4,'领用录入（明细）'!C:C&lt;=$L$4),ROW(),"-")</f>
        <v>-</v>
      </c>
    </row>
    <row r="28146" customHeight="1" spans="2:2">
      <c r="B28146" s="62" t="str">
        <f>IF(AND('领用录入（明细）'!D:D=$F$4,'领用录入（明细）'!C:C&gt;=$J$4,'领用录入（明细）'!C:C&lt;=$L$4),ROW(),"-")</f>
        <v>-</v>
      </c>
    </row>
    <row r="28147" customHeight="1" spans="2:2">
      <c r="B28147" s="62" t="str">
        <f>IF(AND('领用录入（明细）'!D:D=$F$4,'领用录入（明细）'!C:C&gt;=$J$4,'领用录入（明细）'!C:C&lt;=$L$4),ROW(),"-")</f>
        <v>-</v>
      </c>
    </row>
    <row r="28148" customHeight="1" spans="2:2">
      <c r="B28148" s="62" t="str">
        <f>IF(AND('领用录入（明细）'!D:D=$F$4,'领用录入（明细）'!C:C&gt;=$J$4,'领用录入（明细）'!C:C&lt;=$L$4),ROW(),"-")</f>
        <v>-</v>
      </c>
    </row>
    <row r="28149" customHeight="1" spans="2:2">
      <c r="B28149" s="62" t="str">
        <f>IF(AND('领用录入（明细）'!D:D=$F$4,'领用录入（明细）'!C:C&gt;=$J$4,'领用录入（明细）'!C:C&lt;=$L$4),ROW(),"-")</f>
        <v>-</v>
      </c>
    </row>
    <row r="28150" customHeight="1" spans="2:2">
      <c r="B28150" s="62" t="str">
        <f>IF(AND('领用录入（明细）'!D:D=$F$4,'领用录入（明细）'!C:C&gt;=$J$4,'领用录入（明细）'!C:C&lt;=$L$4),ROW(),"-")</f>
        <v>-</v>
      </c>
    </row>
    <row r="28151" customHeight="1" spans="2:2">
      <c r="B28151" s="62" t="str">
        <f>IF(AND('领用录入（明细）'!D:D=$F$4,'领用录入（明细）'!C:C&gt;=$J$4,'领用录入（明细）'!C:C&lt;=$L$4),ROW(),"-")</f>
        <v>-</v>
      </c>
    </row>
    <row r="28152" customHeight="1" spans="2:2">
      <c r="B28152" s="62" t="str">
        <f>IF(AND('领用录入（明细）'!D:D=$F$4,'领用录入（明细）'!C:C&gt;=$J$4,'领用录入（明细）'!C:C&lt;=$L$4),ROW(),"-")</f>
        <v>-</v>
      </c>
    </row>
    <row r="28153" customHeight="1" spans="2:2">
      <c r="B28153" s="62" t="str">
        <f>IF(AND('领用录入（明细）'!D:D=$F$4,'领用录入（明细）'!C:C&gt;=$J$4,'领用录入（明细）'!C:C&lt;=$L$4),ROW(),"-")</f>
        <v>-</v>
      </c>
    </row>
    <row r="28154" customHeight="1" spans="2:2">
      <c r="B28154" s="62" t="str">
        <f>IF(AND('领用录入（明细）'!D:D=$F$4,'领用录入（明细）'!C:C&gt;=$J$4,'领用录入（明细）'!C:C&lt;=$L$4),ROW(),"-")</f>
        <v>-</v>
      </c>
    </row>
    <row r="28155" customHeight="1" spans="2:2">
      <c r="B28155" s="62" t="str">
        <f>IF(AND('领用录入（明细）'!D:D=$F$4,'领用录入（明细）'!C:C&gt;=$J$4,'领用录入（明细）'!C:C&lt;=$L$4),ROW(),"-")</f>
        <v>-</v>
      </c>
    </row>
    <row r="28156" customHeight="1" spans="2:2">
      <c r="B28156" s="62" t="str">
        <f>IF(AND('领用录入（明细）'!D:D=$F$4,'领用录入（明细）'!C:C&gt;=$J$4,'领用录入（明细）'!C:C&lt;=$L$4),ROW(),"-")</f>
        <v>-</v>
      </c>
    </row>
    <row r="28157" customHeight="1" spans="2:2">
      <c r="B28157" s="62" t="str">
        <f>IF(AND('领用录入（明细）'!D:D=$F$4,'领用录入（明细）'!C:C&gt;=$J$4,'领用录入（明细）'!C:C&lt;=$L$4),ROW(),"-")</f>
        <v>-</v>
      </c>
    </row>
    <row r="28158" customHeight="1" spans="2:2">
      <c r="B28158" s="62" t="str">
        <f>IF(AND('领用录入（明细）'!D:D=$F$4,'领用录入（明细）'!C:C&gt;=$J$4,'领用录入（明细）'!C:C&lt;=$L$4),ROW(),"-")</f>
        <v>-</v>
      </c>
    </row>
    <row r="28159" customHeight="1" spans="2:2">
      <c r="B28159" s="62" t="str">
        <f>IF(AND('领用录入（明细）'!D:D=$F$4,'领用录入（明细）'!C:C&gt;=$J$4,'领用录入（明细）'!C:C&lt;=$L$4),ROW(),"-")</f>
        <v>-</v>
      </c>
    </row>
    <row r="28160" customHeight="1" spans="2:2">
      <c r="B28160" s="62" t="str">
        <f>IF(AND('领用录入（明细）'!D:D=$F$4,'领用录入（明细）'!C:C&gt;=$J$4,'领用录入（明细）'!C:C&lt;=$L$4),ROW(),"-")</f>
        <v>-</v>
      </c>
    </row>
    <row r="28161" customHeight="1" spans="2:2">
      <c r="B28161" s="62" t="str">
        <f>IF(AND('领用录入（明细）'!D:D=$F$4,'领用录入（明细）'!C:C&gt;=$J$4,'领用录入（明细）'!C:C&lt;=$L$4),ROW(),"-")</f>
        <v>-</v>
      </c>
    </row>
    <row r="28162" customHeight="1" spans="2:2">
      <c r="B28162" s="62" t="str">
        <f>IF(AND('领用录入（明细）'!D:D=$F$4,'领用录入（明细）'!C:C&gt;=$J$4,'领用录入（明细）'!C:C&lt;=$L$4),ROW(),"-")</f>
        <v>-</v>
      </c>
    </row>
    <row r="28163" customHeight="1" spans="2:2">
      <c r="B28163" s="62" t="str">
        <f>IF(AND('领用录入（明细）'!D:D=$F$4,'领用录入（明细）'!C:C&gt;=$J$4,'领用录入（明细）'!C:C&lt;=$L$4),ROW(),"-")</f>
        <v>-</v>
      </c>
    </row>
    <row r="28164" customHeight="1" spans="2:2">
      <c r="B28164" s="62" t="str">
        <f>IF(AND('领用录入（明细）'!D:D=$F$4,'领用录入（明细）'!C:C&gt;=$J$4,'领用录入（明细）'!C:C&lt;=$L$4),ROW(),"-")</f>
        <v>-</v>
      </c>
    </row>
    <row r="28165" customHeight="1" spans="2:2">
      <c r="B28165" s="62" t="str">
        <f>IF(AND('领用录入（明细）'!D:D=$F$4,'领用录入（明细）'!C:C&gt;=$J$4,'领用录入（明细）'!C:C&lt;=$L$4),ROW(),"-")</f>
        <v>-</v>
      </c>
    </row>
    <row r="28166" customHeight="1" spans="2:2">
      <c r="B28166" s="62" t="str">
        <f>IF(AND('领用录入（明细）'!D:D=$F$4,'领用录入（明细）'!C:C&gt;=$J$4,'领用录入（明细）'!C:C&lt;=$L$4),ROW(),"-")</f>
        <v>-</v>
      </c>
    </row>
    <row r="28167" customHeight="1" spans="2:2">
      <c r="B28167" s="62" t="str">
        <f>IF(AND('领用录入（明细）'!D:D=$F$4,'领用录入（明细）'!C:C&gt;=$J$4,'领用录入（明细）'!C:C&lt;=$L$4),ROW(),"-")</f>
        <v>-</v>
      </c>
    </row>
    <row r="28168" customHeight="1" spans="2:2">
      <c r="B28168" s="62" t="str">
        <f>IF(AND('领用录入（明细）'!D:D=$F$4,'领用录入（明细）'!C:C&gt;=$J$4,'领用录入（明细）'!C:C&lt;=$L$4),ROW(),"-")</f>
        <v>-</v>
      </c>
    </row>
    <row r="28169" customHeight="1" spans="2:2">
      <c r="B28169" s="62" t="str">
        <f>IF(AND('领用录入（明细）'!D:D=$F$4,'领用录入（明细）'!C:C&gt;=$J$4,'领用录入（明细）'!C:C&lt;=$L$4),ROW(),"-")</f>
        <v>-</v>
      </c>
    </row>
    <row r="28170" customHeight="1" spans="2:2">
      <c r="B28170" s="62" t="str">
        <f>IF(AND('领用录入（明细）'!D:D=$F$4,'领用录入（明细）'!C:C&gt;=$J$4,'领用录入（明细）'!C:C&lt;=$L$4),ROW(),"-")</f>
        <v>-</v>
      </c>
    </row>
    <row r="28171" customHeight="1" spans="2:2">
      <c r="B28171" s="62" t="str">
        <f>IF(AND('领用录入（明细）'!D:D=$F$4,'领用录入（明细）'!C:C&gt;=$J$4,'领用录入（明细）'!C:C&lt;=$L$4),ROW(),"-")</f>
        <v>-</v>
      </c>
    </row>
    <row r="28172" customHeight="1" spans="2:2">
      <c r="B28172" s="62" t="str">
        <f>IF(AND('领用录入（明细）'!D:D=$F$4,'领用录入（明细）'!C:C&gt;=$J$4,'领用录入（明细）'!C:C&lt;=$L$4),ROW(),"-")</f>
        <v>-</v>
      </c>
    </row>
    <row r="28173" customHeight="1" spans="2:2">
      <c r="B28173" s="62" t="str">
        <f>IF(AND('领用录入（明细）'!D:D=$F$4,'领用录入（明细）'!C:C&gt;=$J$4,'领用录入（明细）'!C:C&lt;=$L$4),ROW(),"-")</f>
        <v>-</v>
      </c>
    </row>
    <row r="28174" customHeight="1" spans="2:2">
      <c r="B28174" s="62" t="str">
        <f>IF(AND('领用录入（明细）'!D:D=$F$4,'领用录入（明细）'!C:C&gt;=$J$4,'领用录入（明细）'!C:C&lt;=$L$4),ROW(),"-")</f>
        <v>-</v>
      </c>
    </row>
    <row r="28175" customHeight="1" spans="2:2">
      <c r="B28175" s="62" t="str">
        <f>IF(AND('领用录入（明细）'!D:D=$F$4,'领用录入（明细）'!C:C&gt;=$J$4,'领用录入（明细）'!C:C&lt;=$L$4),ROW(),"-")</f>
        <v>-</v>
      </c>
    </row>
    <row r="28176" customHeight="1" spans="2:2">
      <c r="B28176" s="62" t="str">
        <f>IF(AND('领用录入（明细）'!D:D=$F$4,'领用录入（明细）'!C:C&gt;=$J$4,'领用录入（明细）'!C:C&lt;=$L$4),ROW(),"-")</f>
        <v>-</v>
      </c>
    </row>
    <row r="28177" customHeight="1" spans="2:2">
      <c r="B28177" s="62" t="str">
        <f>IF(AND('领用录入（明细）'!D:D=$F$4,'领用录入（明细）'!C:C&gt;=$J$4,'领用录入（明细）'!C:C&lt;=$L$4),ROW(),"-")</f>
        <v>-</v>
      </c>
    </row>
    <row r="28178" customHeight="1" spans="2:2">
      <c r="B28178" s="62" t="str">
        <f>IF(AND('领用录入（明细）'!D:D=$F$4,'领用录入（明细）'!C:C&gt;=$J$4,'领用录入（明细）'!C:C&lt;=$L$4),ROW(),"-")</f>
        <v>-</v>
      </c>
    </row>
    <row r="28179" customHeight="1" spans="2:2">
      <c r="B28179" s="62" t="str">
        <f>IF(AND('领用录入（明细）'!D:D=$F$4,'领用录入（明细）'!C:C&gt;=$J$4,'领用录入（明细）'!C:C&lt;=$L$4),ROW(),"-")</f>
        <v>-</v>
      </c>
    </row>
    <row r="28180" customHeight="1" spans="2:2">
      <c r="B28180" s="62" t="str">
        <f>IF(AND('领用录入（明细）'!D:D=$F$4,'领用录入（明细）'!C:C&gt;=$J$4,'领用录入（明细）'!C:C&lt;=$L$4),ROW(),"-")</f>
        <v>-</v>
      </c>
    </row>
    <row r="28181" customHeight="1" spans="2:2">
      <c r="B28181" s="62" t="str">
        <f>IF(AND('领用录入（明细）'!D:D=$F$4,'领用录入（明细）'!C:C&gt;=$J$4,'领用录入（明细）'!C:C&lt;=$L$4),ROW(),"-")</f>
        <v>-</v>
      </c>
    </row>
    <row r="28182" customHeight="1" spans="2:2">
      <c r="B28182" s="62" t="str">
        <f>IF(AND('领用录入（明细）'!D:D=$F$4,'领用录入（明细）'!C:C&gt;=$J$4,'领用录入（明细）'!C:C&lt;=$L$4),ROW(),"-")</f>
        <v>-</v>
      </c>
    </row>
    <row r="28183" customHeight="1" spans="2:2">
      <c r="B28183" s="62" t="str">
        <f>IF(AND('领用录入（明细）'!D:D=$F$4,'领用录入（明细）'!C:C&gt;=$J$4,'领用录入（明细）'!C:C&lt;=$L$4),ROW(),"-")</f>
        <v>-</v>
      </c>
    </row>
    <row r="28184" customHeight="1" spans="2:2">
      <c r="B28184" s="62" t="str">
        <f>IF(AND('领用录入（明细）'!D:D=$F$4,'领用录入（明细）'!C:C&gt;=$J$4,'领用录入（明细）'!C:C&lt;=$L$4),ROW(),"-")</f>
        <v>-</v>
      </c>
    </row>
    <row r="28185" customHeight="1" spans="2:2">
      <c r="B28185" s="62" t="str">
        <f>IF(AND('领用录入（明细）'!D:D=$F$4,'领用录入（明细）'!C:C&gt;=$J$4,'领用录入（明细）'!C:C&lt;=$L$4),ROW(),"-")</f>
        <v>-</v>
      </c>
    </row>
    <row r="28186" customHeight="1" spans="2:2">
      <c r="B28186" s="62" t="str">
        <f>IF(AND('领用录入（明细）'!D:D=$F$4,'领用录入（明细）'!C:C&gt;=$J$4,'领用录入（明细）'!C:C&lt;=$L$4),ROW(),"-")</f>
        <v>-</v>
      </c>
    </row>
    <row r="28187" customHeight="1" spans="2:2">
      <c r="B28187" s="62" t="str">
        <f>IF(AND('领用录入（明细）'!D:D=$F$4,'领用录入（明细）'!C:C&gt;=$J$4,'领用录入（明细）'!C:C&lt;=$L$4),ROW(),"-")</f>
        <v>-</v>
      </c>
    </row>
    <row r="28188" customHeight="1" spans="2:2">
      <c r="B28188" s="62" t="str">
        <f>IF(AND('领用录入（明细）'!D:D=$F$4,'领用录入（明细）'!C:C&gt;=$J$4,'领用录入（明细）'!C:C&lt;=$L$4),ROW(),"-")</f>
        <v>-</v>
      </c>
    </row>
    <row r="28189" customHeight="1" spans="2:2">
      <c r="B28189" s="62" t="str">
        <f>IF(AND('领用录入（明细）'!D:D=$F$4,'领用录入（明细）'!C:C&gt;=$J$4,'领用录入（明细）'!C:C&lt;=$L$4),ROW(),"-")</f>
        <v>-</v>
      </c>
    </row>
    <row r="28190" customHeight="1" spans="2:2">
      <c r="B28190" s="62" t="str">
        <f>IF(AND('领用录入（明细）'!D:D=$F$4,'领用录入（明细）'!C:C&gt;=$J$4,'领用录入（明细）'!C:C&lt;=$L$4),ROW(),"-")</f>
        <v>-</v>
      </c>
    </row>
    <row r="28191" customHeight="1" spans="2:2">
      <c r="B28191" s="62" t="str">
        <f>IF(AND('领用录入（明细）'!D:D=$F$4,'领用录入（明细）'!C:C&gt;=$J$4,'领用录入（明细）'!C:C&lt;=$L$4),ROW(),"-")</f>
        <v>-</v>
      </c>
    </row>
    <row r="28192" customHeight="1" spans="2:2">
      <c r="B28192" s="62" t="str">
        <f>IF(AND('领用录入（明细）'!D:D=$F$4,'领用录入（明细）'!C:C&gt;=$J$4,'领用录入（明细）'!C:C&lt;=$L$4),ROW(),"-")</f>
        <v>-</v>
      </c>
    </row>
    <row r="28193" customHeight="1" spans="2:2">
      <c r="B28193" s="62" t="str">
        <f>IF(AND('领用录入（明细）'!D:D=$F$4,'领用录入（明细）'!C:C&gt;=$J$4,'领用录入（明细）'!C:C&lt;=$L$4),ROW(),"-")</f>
        <v>-</v>
      </c>
    </row>
    <row r="28194" customHeight="1" spans="2:2">
      <c r="B28194" s="62" t="str">
        <f>IF(AND('领用录入（明细）'!D:D=$F$4,'领用录入（明细）'!C:C&gt;=$J$4,'领用录入（明细）'!C:C&lt;=$L$4),ROW(),"-")</f>
        <v>-</v>
      </c>
    </row>
    <row r="28195" customHeight="1" spans="2:2">
      <c r="B28195" s="62" t="str">
        <f>IF(AND('领用录入（明细）'!D:D=$F$4,'领用录入（明细）'!C:C&gt;=$J$4,'领用录入（明细）'!C:C&lt;=$L$4),ROW(),"-")</f>
        <v>-</v>
      </c>
    </row>
    <row r="28196" customHeight="1" spans="2:2">
      <c r="B28196" s="62" t="str">
        <f>IF(AND('领用录入（明细）'!D:D=$F$4,'领用录入（明细）'!C:C&gt;=$J$4,'领用录入（明细）'!C:C&lt;=$L$4),ROW(),"-")</f>
        <v>-</v>
      </c>
    </row>
    <row r="28197" customHeight="1" spans="2:2">
      <c r="B28197" s="62" t="str">
        <f>IF(AND('领用录入（明细）'!D:D=$F$4,'领用录入（明细）'!C:C&gt;=$J$4,'领用录入（明细）'!C:C&lt;=$L$4),ROW(),"-")</f>
        <v>-</v>
      </c>
    </row>
    <row r="28198" customHeight="1" spans="2:2">
      <c r="B28198" s="62" t="str">
        <f>IF(AND('领用录入（明细）'!D:D=$F$4,'领用录入（明细）'!C:C&gt;=$J$4,'领用录入（明细）'!C:C&lt;=$L$4),ROW(),"-")</f>
        <v>-</v>
      </c>
    </row>
    <row r="28199" customHeight="1" spans="2:2">
      <c r="B28199" s="62" t="str">
        <f>IF(AND('领用录入（明细）'!D:D=$F$4,'领用录入（明细）'!C:C&gt;=$J$4,'领用录入（明细）'!C:C&lt;=$L$4),ROW(),"-")</f>
        <v>-</v>
      </c>
    </row>
    <row r="28200" customHeight="1" spans="2:2">
      <c r="B28200" s="62" t="str">
        <f>IF(AND('领用录入（明细）'!D:D=$F$4,'领用录入（明细）'!C:C&gt;=$J$4,'领用录入（明细）'!C:C&lt;=$L$4),ROW(),"-")</f>
        <v>-</v>
      </c>
    </row>
    <row r="28201" customHeight="1" spans="2:2">
      <c r="B28201" s="62" t="str">
        <f>IF(AND('领用录入（明细）'!D:D=$F$4,'领用录入（明细）'!C:C&gt;=$J$4,'领用录入（明细）'!C:C&lt;=$L$4),ROW(),"-")</f>
        <v>-</v>
      </c>
    </row>
    <row r="28202" customHeight="1" spans="2:2">
      <c r="B28202" s="62" t="str">
        <f>IF(AND('领用录入（明细）'!D:D=$F$4,'领用录入（明细）'!C:C&gt;=$J$4,'领用录入（明细）'!C:C&lt;=$L$4),ROW(),"-")</f>
        <v>-</v>
      </c>
    </row>
    <row r="28203" customHeight="1" spans="2:2">
      <c r="B28203" s="62" t="str">
        <f>IF(AND('领用录入（明细）'!D:D=$F$4,'领用录入（明细）'!C:C&gt;=$J$4,'领用录入（明细）'!C:C&lt;=$L$4),ROW(),"-")</f>
        <v>-</v>
      </c>
    </row>
    <row r="28204" customHeight="1" spans="2:2">
      <c r="B28204" s="62" t="str">
        <f>IF(AND('领用录入（明细）'!D:D=$F$4,'领用录入（明细）'!C:C&gt;=$J$4,'领用录入（明细）'!C:C&lt;=$L$4),ROW(),"-")</f>
        <v>-</v>
      </c>
    </row>
    <row r="28205" customHeight="1" spans="2:2">
      <c r="B28205" s="62" t="str">
        <f>IF(AND('领用录入（明细）'!D:D=$F$4,'领用录入（明细）'!C:C&gt;=$J$4,'领用录入（明细）'!C:C&lt;=$L$4),ROW(),"-")</f>
        <v>-</v>
      </c>
    </row>
    <row r="28206" customHeight="1" spans="2:2">
      <c r="B28206" s="62" t="str">
        <f>IF(AND('领用录入（明细）'!D:D=$F$4,'领用录入（明细）'!C:C&gt;=$J$4,'领用录入（明细）'!C:C&lt;=$L$4),ROW(),"-")</f>
        <v>-</v>
      </c>
    </row>
    <row r="28207" customHeight="1" spans="2:2">
      <c r="B28207" s="62" t="str">
        <f>IF(AND('领用录入（明细）'!D:D=$F$4,'领用录入（明细）'!C:C&gt;=$J$4,'领用录入（明细）'!C:C&lt;=$L$4),ROW(),"-")</f>
        <v>-</v>
      </c>
    </row>
    <row r="28208" customHeight="1" spans="2:2">
      <c r="B28208" s="62" t="str">
        <f>IF(AND('领用录入（明细）'!D:D=$F$4,'领用录入（明细）'!C:C&gt;=$J$4,'领用录入（明细）'!C:C&lt;=$L$4),ROW(),"-")</f>
        <v>-</v>
      </c>
    </row>
    <row r="28209" customHeight="1" spans="2:2">
      <c r="B28209" s="62" t="str">
        <f>IF(AND('领用录入（明细）'!D:D=$F$4,'领用录入（明细）'!C:C&gt;=$J$4,'领用录入（明细）'!C:C&lt;=$L$4),ROW(),"-")</f>
        <v>-</v>
      </c>
    </row>
    <row r="28210" customHeight="1" spans="2:2">
      <c r="B28210" s="62" t="str">
        <f>IF(AND('领用录入（明细）'!D:D=$F$4,'领用录入（明细）'!C:C&gt;=$J$4,'领用录入（明细）'!C:C&lt;=$L$4),ROW(),"-")</f>
        <v>-</v>
      </c>
    </row>
    <row r="28211" customHeight="1" spans="2:2">
      <c r="B28211" s="62" t="str">
        <f>IF(AND('领用录入（明细）'!D:D=$F$4,'领用录入（明细）'!C:C&gt;=$J$4,'领用录入（明细）'!C:C&lt;=$L$4),ROW(),"-")</f>
        <v>-</v>
      </c>
    </row>
    <row r="28212" customHeight="1" spans="2:2">
      <c r="B28212" s="62" t="str">
        <f>IF(AND('领用录入（明细）'!D:D=$F$4,'领用录入（明细）'!C:C&gt;=$J$4,'领用录入（明细）'!C:C&lt;=$L$4),ROW(),"-")</f>
        <v>-</v>
      </c>
    </row>
    <row r="28213" customHeight="1" spans="2:2">
      <c r="B28213" s="62" t="str">
        <f>IF(AND('领用录入（明细）'!D:D=$F$4,'领用录入（明细）'!C:C&gt;=$J$4,'领用录入（明细）'!C:C&lt;=$L$4),ROW(),"-")</f>
        <v>-</v>
      </c>
    </row>
    <row r="28214" customHeight="1" spans="2:2">
      <c r="B28214" s="62" t="str">
        <f>IF(AND('领用录入（明细）'!D:D=$F$4,'领用录入（明细）'!C:C&gt;=$J$4,'领用录入（明细）'!C:C&lt;=$L$4),ROW(),"-")</f>
        <v>-</v>
      </c>
    </row>
    <row r="28215" customHeight="1" spans="2:2">
      <c r="B28215" s="62" t="str">
        <f>IF(AND('领用录入（明细）'!D:D=$F$4,'领用录入（明细）'!C:C&gt;=$J$4,'领用录入（明细）'!C:C&lt;=$L$4),ROW(),"-")</f>
        <v>-</v>
      </c>
    </row>
    <row r="28216" customHeight="1" spans="2:2">
      <c r="B28216" s="62" t="str">
        <f>IF(AND('领用录入（明细）'!D:D=$F$4,'领用录入（明细）'!C:C&gt;=$J$4,'领用录入（明细）'!C:C&lt;=$L$4),ROW(),"-")</f>
        <v>-</v>
      </c>
    </row>
    <row r="28217" customHeight="1" spans="2:2">
      <c r="B28217" s="62" t="str">
        <f>IF(AND('领用录入（明细）'!D:D=$F$4,'领用录入（明细）'!C:C&gt;=$J$4,'领用录入（明细）'!C:C&lt;=$L$4),ROW(),"-")</f>
        <v>-</v>
      </c>
    </row>
    <row r="28218" customHeight="1" spans="2:2">
      <c r="B28218" s="62" t="str">
        <f>IF(AND('领用录入（明细）'!D:D=$F$4,'领用录入（明细）'!C:C&gt;=$J$4,'领用录入（明细）'!C:C&lt;=$L$4),ROW(),"-")</f>
        <v>-</v>
      </c>
    </row>
    <row r="28219" customHeight="1" spans="2:2">
      <c r="B28219" s="62" t="str">
        <f>IF(AND('领用录入（明细）'!D:D=$F$4,'领用录入（明细）'!C:C&gt;=$J$4,'领用录入（明细）'!C:C&lt;=$L$4),ROW(),"-")</f>
        <v>-</v>
      </c>
    </row>
    <row r="28220" customHeight="1" spans="2:2">
      <c r="B28220" s="62" t="str">
        <f>IF(AND('领用录入（明细）'!D:D=$F$4,'领用录入（明细）'!C:C&gt;=$J$4,'领用录入（明细）'!C:C&lt;=$L$4),ROW(),"-")</f>
        <v>-</v>
      </c>
    </row>
    <row r="28221" customHeight="1" spans="2:2">
      <c r="B28221" s="62" t="str">
        <f>IF(AND('领用录入（明细）'!D:D=$F$4,'领用录入（明细）'!C:C&gt;=$J$4,'领用录入（明细）'!C:C&lt;=$L$4),ROW(),"-")</f>
        <v>-</v>
      </c>
    </row>
    <row r="28222" customHeight="1" spans="2:2">
      <c r="B28222" s="62" t="str">
        <f>IF(AND('领用录入（明细）'!D:D=$F$4,'领用录入（明细）'!C:C&gt;=$J$4,'领用录入（明细）'!C:C&lt;=$L$4),ROW(),"-")</f>
        <v>-</v>
      </c>
    </row>
    <row r="28223" customHeight="1" spans="2:2">
      <c r="B28223" s="62" t="str">
        <f>IF(AND('领用录入（明细）'!D:D=$F$4,'领用录入（明细）'!C:C&gt;=$J$4,'领用录入（明细）'!C:C&lt;=$L$4),ROW(),"-")</f>
        <v>-</v>
      </c>
    </row>
    <row r="28224" customHeight="1" spans="2:2">
      <c r="B28224" s="62" t="str">
        <f>IF(AND('领用录入（明细）'!D:D=$F$4,'领用录入（明细）'!C:C&gt;=$J$4,'领用录入（明细）'!C:C&lt;=$L$4),ROW(),"-")</f>
        <v>-</v>
      </c>
    </row>
    <row r="28225" customHeight="1" spans="2:2">
      <c r="B28225" s="62" t="str">
        <f>IF(AND('领用录入（明细）'!D:D=$F$4,'领用录入（明细）'!C:C&gt;=$J$4,'领用录入（明细）'!C:C&lt;=$L$4),ROW(),"-")</f>
        <v>-</v>
      </c>
    </row>
    <row r="28226" customHeight="1" spans="2:2">
      <c r="B28226" s="62" t="str">
        <f>IF(AND('领用录入（明细）'!D:D=$F$4,'领用录入（明细）'!C:C&gt;=$J$4,'领用录入（明细）'!C:C&lt;=$L$4),ROW(),"-")</f>
        <v>-</v>
      </c>
    </row>
    <row r="28227" customHeight="1" spans="2:2">
      <c r="B28227" s="62" t="str">
        <f>IF(AND('领用录入（明细）'!D:D=$F$4,'领用录入（明细）'!C:C&gt;=$J$4,'领用录入（明细）'!C:C&lt;=$L$4),ROW(),"-")</f>
        <v>-</v>
      </c>
    </row>
    <row r="28228" customHeight="1" spans="2:2">
      <c r="B28228" s="62" t="str">
        <f>IF(AND('领用录入（明细）'!D:D=$F$4,'领用录入（明细）'!C:C&gt;=$J$4,'领用录入（明细）'!C:C&lt;=$L$4),ROW(),"-")</f>
        <v>-</v>
      </c>
    </row>
    <row r="28229" customHeight="1" spans="2:2">
      <c r="B28229" s="62" t="str">
        <f>IF(AND('领用录入（明细）'!D:D=$F$4,'领用录入（明细）'!C:C&gt;=$J$4,'领用录入（明细）'!C:C&lt;=$L$4),ROW(),"-")</f>
        <v>-</v>
      </c>
    </row>
    <row r="28230" customHeight="1" spans="2:2">
      <c r="B28230" s="62" t="str">
        <f>IF(AND('领用录入（明细）'!D:D=$F$4,'领用录入（明细）'!C:C&gt;=$J$4,'领用录入（明细）'!C:C&lt;=$L$4),ROW(),"-")</f>
        <v>-</v>
      </c>
    </row>
    <row r="28231" customHeight="1" spans="2:2">
      <c r="B28231" s="62" t="str">
        <f>IF(AND('领用录入（明细）'!D:D=$F$4,'领用录入（明细）'!C:C&gt;=$J$4,'领用录入（明细）'!C:C&lt;=$L$4),ROW(),"-")</f>
        <v>-</v>
      </c>
    </row>
    <row r="28232" customHeight="1" spans="2:2">
      <c r="B28232" s="62" t="str">
        <f>IF(AND('领用录入（明细）'!D:D=$F$4,'领用录入（明细）'!C:C&gt;=$J$4,'领用录入（明细）'!C:C&lt;=$L$4),ROW(),"-")</f>
        <v>-</v>
      </c>
    </row>
    <row r="28233" customHeight="1" spans="2:2">
      <c r="B28233" s="62" t="str">
        <f>IF(AND('领用录入（明细）'!D:D=$F$4,'领用录入（明细）'!C:C&gt;=$J$4,'领用录入（明细）'!C:C&lt;=$L$4),ROW(),"-")</f>
        <v>-</v>
      </c>
    </row>
    <row r="28234" customHeight="1" spans="2:2">
      <c r="B28234" s="62" t="str">
        <f>IF(AND('领用录入（明细）'!D:D=$F$4,'领用录入（明细）'!C:C&gt;=$J$4,'领用录入（明细）'!C:C&lt;=$L$4),ROW(),"-")</f>
        <v>-</v>
      </c>
    </row>
    <row r="28235" customHeight="1" spans="2:2">
      <c r="B28235" s="62" t="str">
        <f>IF(AND('领用录入（明细）'!D:D=$F$4,'领用录入（明细）'!C:C&gt;=$J$4,'领用录入（明细）'!C:C&lt;=$L$4),ROW(),"-")</f>
        <v>-</v>
      </c>
    </row>
    <row r="28236" customHeight="1" spans="2:2">
      <c r="B28236" s="62" t="str">
        <f>IF(AND('领用录入（明细）'!D:D=$F$4,'领用录入（明细）'!C:C&gt;=$J$4,'领用录入（明细）'!C:C&lt;=$L$4),ROW(),"-")</f>
        <v>-</v>
      </c>
    </row>
    <row r="28237" customHeight="1" spans="2:2">
      <c r="B28237" s="62" t="str">
        <f>IF(AND('领用录入（明细）'!D:D=$F$4,'领用录入（明细）'!C:C&gt;=$J$4,'领用录入（明细）'!C:C&lt;=$L$4),ROW(),"-")</f>
        <v>-</v>
      </c>
    </row>
    <row r="28238" customHeight="1" spans="2:2">
      <c r="B28238" s="62" t="str">
        <f>IF(AND('领用录入（明细）'!D:D=$F$4,'领用录入（明细）'!C:C&gt;=$J$4,'领用录入（明细）'!C:C&lt;=$L$4),ROW(),"-")</f>
        <v>-</v>
      </c>
    </row>
    <row r="28239" customHeight="1" spans="2:2">
      <c r="B28239" s="62" t="str">
        <f>IF(AND('领用录入（明细）'!D:D=$F$4,'领用录入（明细）'!C:C&gt;=$J$4,'领用录入（明细）'!C:C&lt;=$L$4),ROW(),"-")</f>
        <v>-</v>
      </c>
    </row>
    <row r="28240" customHeight="1" spans="2:2">
      <c r="B28240" s="62" t="str">
        <f>IF(AND('领用录入（明细）'!D:D=$F$4,'领用录入（明细）'!C:C&gt;=$J$4,'领用录入（明细）'!C:C&lt;=$L$4),ROW(),"-")</f>
        <v>-</v>
      </c>
    </row>
    <row r="28241" customHeight="1" spans="2:2">
      <c r="B28241" s="62" t="str">
        <f>IF(AND('领用录入（明细）'!D:D=$F$4,'领用录入（明细）'!C:C&gt;=$J$4,'领用录入（明细）'!C:C&lt;=$L$4),ROW(),"-")</f>
        <v>-</v>
      </c>
    </row>
    <row r="28242" customHeight="1" spans="2:2">
      <c r="B28242" s="62" t="str">
        <f>IF(AND('领用录入（明细）'!D:D=$F$4,'领用录入（明细）'!C:C&gt;=$J$4,'领用录入（明细）'!C:C&lt;=$L$4),ROW(),"-")</f>
        <v>-</v>
      </c>
    </row>
    <row r="28243" customHeight="1" spans="2:2">
      <c r="B28243" s="62" t="str">
        <f>IF(AND('领用录入（明细）'!D:D=$F$4,'领用录入（明细）'!C:C&gt;=$J$4,'领用录入（明细）'!C:C&lt;=$L$4),ROW(),"-")</f>
        <v>-</v>
      </c>
    </row>
    <row r="28244" customHeight="1" spans="2:2">
      <c r="B28244" s="62" t="str">
        <f>IF(AND('领用录入（明细）'!D:D=$F$4,'领用录入（明细）'!C:C&gt;=$J$4,'领用录入（明细）'!C:C&lt;=$L$4),ROW(),"-")</f>
        <v>-</v>
      </c>
    </row>
    <row r="28245" customHeight="1" spans="2:2">
      <c r="B28245" s="62" t="str">
        <f>IF(AND('领用录入（明细）'!D:D=$F$4,'领用录入（明细）'!C:C&gt;=$J$4,'领用录入（明细）'!C:C&lt;=$L$4),ROW(),"-")</f>
        <v>-</v>
      </c>
    </row>
    <row r="28246" customHeight="1" spans="2:2">
      <c r="B28246" s="62" t="str">
        <f>IF(AND('领用录入（明细）'!D:D=$F$4,'领用录入（明细）'!C:C&gt;=$J$4,'领用录入（明细）'!C:C&lt;=$L$4),ROW(),"-")</f>
        <v>-</v>
      </c>
    </row>
    <row r="28247" customHeight="1" spans="2:2">
      <c r="B28247" s="62" t="str">
        <f>IF(AND('领用录入（明细）'!D:D=$F$4,'领用录入（明细）'!C:C&gt;=$J$4,'领用录入（明细）'!C:C&lt;=$L$4),ROW(),"-")</f>
        <v>-</v>
      </c>
    </row>
    <row r="28248" customHeight="1" spans="2:2">
      <c r="B28248" s="62" t="str">
        <f>IF(AND('领用录入（明细）'!D:D=$F$4,'领用录入（明细）'!C:C&gt;=$J$4,'领用录入（明细）'!C:C&lt;=$L$4),ROW(),"-")</f>
        <v>-</v>
      </c>
    </row>
    <row r="28249" customHeight="1" spans="2:2">
      <c r="B28249" s="62" t="str">
        <f>IF(AND('领用录入（明细）'!D:D=$F$4,'领用录入（明细）'!C:C&gt;=$J$4,'领用录入（明细）'!C:C&lt;=$L$4),ROW(),"-")</f>
        <v>-</v>
      </c>
    </row>
    <row r="28250" customHeight="1" spans="2:2">
      <c r="B28250" s="62" t="str">
        <f>IF(AND('领用录入（明细）'!D:D=$F$4,'领用录入（明细）'!C:C&gt;=$J$4,'领用录入（明细）'!C:C&lt;=$L$4),ROW(),"-")</f>
        <v>-</v>
      </c>
    </row>
    <row r="28251" customHeight="1" spans="2:2">
      <c r="B28251" s="62" t="str">
        <f>IF(AND('领用录入（明细）'!D:D=$F$4,'领用录入（明细）'!C:C&gt;=$J$4,'领用录入（明细）'!C:C&lt;=$L$4),ROW(),"-")</f>
        <v>-</v>
      </c>
    </row>
    <row r="28252" customHeight="1" spans="2:2">
      <c r="B28252" s="62" t="str">
        <f>IF(AND('领用录入（明细）'!D:D=$F$4,'领用录入（明细）'!C:C&gt;=$J$4,'领用录入（明细）'!C:C&lt;=$L$4),ROW(),"-")</f>
        <v>-</v>
      </c>
    </row>
    <row r="28253" customHeight="1" spans="2:2">
      <c r="B28253" s="62" t="str">
        <f>IF(AND('领用录入（明细）'!D:D=$F$4,'领用录入（明细）'!C:C&gt;=$J$4,'领用录入（明细）'!C:C&lt;=$L$4),ROW(),"-")</f>
        <v>-</v>
      </c>
    </row>
    <row r="28254" customHeight="1" spans="2:2">
      <c r="B28254" s="62" t="str">
        <f>IF(AND('领用录入（明细）'!D:D=$F$4,'领用录入（明细）'!C:C&gt;=$J$4,'领用录入（明细）'!C:C&lt;=$L$4),ROW(),"-")</f>
        <v>-</v>
      </c>
    </row>
    <row r="28255" customHeight="1" spans="2:2">
      <c r="B28255" s="62" t="str">
        <f>IF(AND('领用录入（明细）'!D:D=$F$4,'领用录入（明细）'!C:C&gt;=$J$4,'领用录入（明细）'!C:C&lt;=$L$4),ROW(),"-")</f>
        <v>-</v>
      </c>
    </row>
    <row r="28256" customHeight="1" spans="2:2">
      <c r="B28256" s="62" t="str">
        <f>IF(AND('领用录入（明细）'!D:D=$F$4,'领用录入（明细）'!C:C&gt;=$J$4,'领用录入（明细）'!C:C&lt;=$L$4),ROW(),"-")</f>
        <v>-</v>
      </c>
    </row>
    <row r="28257" customHeight="1" spans="2:2">
      <c r="B28257" s="62" t="str">
        <f>IF(AND('领用录入（明细）'!D:D=$F$4,'领用录入（明细）'!C:C&gt;=$J$4,'领用录入（明细）'!C:C&lt;=$L$4),ROW(),"-")</f>
        <v>-</v>
      </c>
    </row>
    <row r="28258" customHeight="1" spans="2:2">
      <c r="B28258" s="62" t="str">
        <f>IF(AND('领用录入（明细）'!D:D=$F$4,'领用录入（明细）'!C:C&gt;=$J$4,'领用录入（明细）'!C:C&lt;=$L$4),ROW(),"-")</f>
        <v>-</v>
      </c>
    </row>
    <row r="28259" customHeight="1" spans="2:2">
      <c r="B28259" s="62" t="str">
        <f>IF(AND('领用录入（明细）'!D:D=$F$4,'领用录入（明细）'!C:C&gt;=$J$4,'领用录入（明细）'!C:C&lt;=$L$4),ROW(),"-")</f>
        <v>-</v>
      </c>
    </row>
    <row r="28260" customHeight="1" spans="2:2">
      <c r="B28260" s="62" t="str">
        <f>IF(AND('领用录入（明细）'!D:D=$F$4,'领用录入（明细）'!C:C&gt;=$J$4,'领用录入（明细）'!C:C&lt;=$L$4),ROW(),"-")</f>
        <v>-</v>
      </c>
    </row>
    <row r="28261" customHeight="1" spans="2:2">
      <c r="B28261" s="62" t="str">
        <f>IF(AND('领用录入（明细）'!D:D=$F$4,'领用录入（明细）'!C:C&gt;=$J$4,'领用录入（明细）'!C:C&lt;=$L$4),ROW(),"-")</f>
        <v>-</v>
      </c>
    </row>
    <row r="28262" customHeight="1" spans="2:2">
      <c r="B28262" s="62" t="str">
        <f>IF(AND('领用录入（明细）'!D:D=$F$4,'领用录入（明细）'!C:C&gt;=$J$4,'领用录入（明细）'!C:C&lt;=$L$4),ROW(),"-")</f>
        <v>-</v>
      </c>
    </row>
    <row r="28263" customHeight="1" spans="2:2">
      <c r="B28263" s="62" t="str">
        <f>IF(AND('领用录入（明细）'!D:D=$F$4,'领用录入（明细）'!C:C&gt;=$J$4,'领用录入（明细）'!C:C&lt;=$L$4),ROW(),"-")</f>
        <v>-</v>
      </c>
    </row>
    <row r="28264" customHeight="1" spans="2:2">
      <c r="B28264" s="62" t="str">
        <f>IF(AND('领用录入（明细）'!D:D=$F$4,'领用录入（明细）'!C:C&gt;=$J$4,'领用录入（明细）'!C:C&lt;=$L$4),ROW(),"-")</f>
        <v>-</v>
      </c>
    </row>
    <row r="28265" customHeight="1" spans="2:2">
      <c r="B28265" s="62" t="str">
        <f>IF(AND('领用录入（明细）'!D:D=$F$4,'领用录入（明细）'!C:C&gt;=$J$4,'领用录入（明细）'!C:C&lt;=$L$4),ROW(),"-")</f>
        <v>-</v>
      </c>
    </row>
    <row r="28266" customHeight="1" spans="2:2">
      <c r="B28266" s="62" t="str">
        <f>IF(AND('领用录入（明细）'!D:D=$F$4,'领用录入（明细）'!C:C&gt;=$J$4,'领用录入（明细）'!C:C&lt;=$L$4),ROW(),"-")</f>
        <v>-</v>
      </c>
    </row>
    <row r="28267" customHeight="1" spans="2:2">
      <c r="B28267" s="62" t="str">
        <f>IF(AND('领用录入（明细）'!D:D=$F$4,'领用录入（明细）'!C:C&gt;=$J$4,'领用录入（明细）'!C:C&lt;=$L$4),ROW(),"-")</f>
        <v>-</v>
      </c>
    </row>
    <row r="28268" customHeight="1" spans="2:2">
      <c r="B28268" s="62" t="str">
        <f>IF(AND('领用录入（明细）'!D:D=$F$4,'领用录入（明细）'!C:C&gt;=$J$4,'领用录入（明细）'!C:C&lt;=$L$4),ROW(),"-")</f>
        <v>-</v>
      </c>
    </row>
    <row r="28269" customHeight="1" spans="2:2">
      <c r="B28269" s="62" t="str">
        <f>IF(AND('领用录入（明细）'!D:D=$F$4,'领用录入（明细）'!C:C&gt;=$J$4,'领用录入（明细）'!C:C&lt;=$L$4),ROW(),"-")</f>
        <v>-</v>
      </c>
    </row>
    <row r="28270" customHeight="1" spans="2:2">
      <c r="B28270" s="62" t="str">
        <f>IF(AND('领用录入（明细）'!D:D=$F$4,'领用录入（明细）'!C:C&gt;=$J$4,'领用录入（明细）'!C:C&lt;=$L$4),ROW(),"-")</f>
        <v>-</v>
      </c>
    </row>
    <row r="28271" customHeight="1" spans="2:2">
      <c r="B28271" s="62" t="str">
        <f>IF(AND('领用录入（明细）'!D:D=$F$4,'领用录入（明细）'!C:C&gt;=$J$4,'领用录入（明细）'!C:C&lt;=$L$4),ROW(),"-")</f>
        <v>-</v>
      </c>
    </row>
    <row r="28272" customHeight="1" spans="2:2">
      <c r="B28272" s="62" t="str">
        <f>IF(AND('领用录入（明细）'!D:D=$F$4,'领用录入（明细）'!C:C&gt;=$J$4,'领用录入（明细）'!C:C&lt;=$L$4),ROW(),"-")</f>
        <v>-</v>
      </c>
    </row>
    <row r="28273" customHeight="1" spans="2:2">
      <c r="B28273" s="62" t="str">
        <f>IF(AND('领用录入（明细）'!D:D=$F$4,'领用录入（明细）'!C:C&gt;=$J$4,'领用录入（明细）'!C:C&lt;=$L$4),ROW(),"-")</f>
        <v>-</v>
      </c>
    </row>
    <row r="28274" customHeight="1" spans="2:2">
      <c r="B28274" s="62" t="str">
        <f>IF(AND('领用录入（明细）'!D:D=$F$4,'领用录入（明细）'!C:C&gt;=$J$4,'领用录入（明细）'!C:C&lt;=$L$4),ROW(),"-")</f>
        <v>-</v>
      </c>
    </row>
    <row r="28275" customHeight="1" spans="2:2">
      <c r="B28275" s="62" t="str">
        <f>IF(AND('领用录入（明细）'!D:D=$F$4,'领用录入（明细）'!C:C&gt;=$J$4,'领用录入（明细）'!C:C&lt;=$L$4),ROW(),"-")</f>
        <v>-</v>
      </c>
    </row>
    <row r="28276" customHeight="1" spans="2:2">
      <c r="B28276" s="62" t="str">
        <f>IF(AND('领用录入（明细）'!D:D=$F$4,'领用录入（明细）'!C:C&gt;=$J$4,'领用录入（明细）'!C:C&lt;=$L$4),ROW(),"-")</f>
        <v>-</v>
      </c>
    </row>
    <row r="28277" customHeight="1" spans="2:2">
      <c r="B28277" s="62" t="str">
        <f>IF(AND('领用录入（明细）'!D:D=$F$4,'领用录入（明细）'!C:C&gt;=$J$4,'领用录入（明细）'!C:C&lt;=$L$4),ROW(),"-")</f>
        <v>-</v>
      </c>
    </row>
    <row r="28278" customHeight="1" spans="2:2">
      <c r="B28278" s="62" t="str">
        <f>IF(AND('领用录入（明细）'!D:D=$F$4,'领用录入（明细）'!C:C&gt;=$J$4,'领用录入（明细）'!C:C&lt;=$L$4),ROW(),"-")</f>
        <v>-</v>
      </c>
    </row>
    <row r="28279" customHeight="1" spans="2:2">
      <c r="B28279" s="62" t="str">
        <f>IF(AND('领用录入（明细）'!D:D=$F$4,'领用录入（明细）'!C:C&gt;=$J$4,'领用录入（明细）'!C:C&lt;=$L$4),ROW(),"-")</f>
        <v>-</v>
      </c>
    </row>
    <row r="28280" customHeight="1" spans="2:2">
      <c r="B28280" s="62" t="str">
        <f>IF(AND('领用录入（明细）'!D:D=$F$4,'领用录入（明细）'!C:C&gt;=$J$4,'领用录入（明细）'!C:C&lt;=$L$4),ROW(),"-")</f>
        <v>-</v>
      </c>
    </row>
    <row r="28281" customHeight="1" spans="2:2">
      <c r="B28281" s="62" t="str">
        <f>IF(AND('领用录入（明细）'!D:D=$F$4,'领用录入（明细）'!C:C&gt;=$J$4,'领用录入（明细）'!C:C&lt;=$L$4),ROW(),"-")</f>
        <v>-</v>
      </c>
    </row>
    <row r="28282" customHeight="1" spans="2:2">
      <c r="B28282" s="62" t="str">
        <f>IF(AND('领用录入（明细）'!D:D=$F$4,'领用录入（明细）'!C:C&gt;=$J$4,'领用录入（明细）'!C:C&lt;=$L$4),ROW(),"-")</f>
        <v>-</v>
      </c>
    </row>
    <row r="28283" customHeight="1" spans="2:2">
      <c r="B28283" s="62" t="str">
        <f>IF(AND('领用录入（明细）'!D:D=$F$4,'领用录入（明细）'!C:C&gt;=$J$4,'领用录入（明细）'!C:C&lt;=$L$4),ROW(),"-")</f>
        <v>-</v>
      </c>
    </row>
    <row r="28284" customHeight="1" spans="2:2">
      <c r="B28284" s="62" t="str">
        <f>IF(AND('领用录入（明细）'!D:D=$F$4,'领用录入（明细）'!C:C&gt;=$J$4,'领用录入（明细）'!C:C&lt;=$L$4),ROW(),"-")</f>
        <v>-</v>
      </c>
    </row>
    <row r="28285" customHeight="1" spans="2:2">
      <c r="B28285" s="62" t="str">
        <f>IF(AND('领用录入（明细）'!D:D=$F$4,'领用录入（明细）'!C:C&gt;=$J$4,'领用录入（明细）'!C:C&lt;=$L$4),ROW(),"-")</f>
        <v>-</v>
      </c>
    </row>
    <row r="28286" customHeight="1" spans="2:2">
      <c r="B28286" s="62" t="str">
        <f>IF(AND('领用录入（明细）'!D:D=$F$4,'领用录入（明细）'!C:C&gt;=$J$4,'领用录入（明细）'!C:C&lt;=$L$4),ROW(),"-")</f>
        <v>-</v>
      </c>
    </row>
    <row r="28287" customHeight="1" spans="2:2">
      <c r="B28287" s="62" t="str">
        <f>IF(AND('领用录入（明细）'!D:D=$F$4,'领用录入（明细）'!C:C&gt;=$J$4,'领用录入（明细）'!C:C&lt;=$L$4),ROW(),"-")</f>
        <v>-</v>
      </c>
    </row>
    <row r="28288" customHeight="1" spans="2:2">
      <c r="B28288" s="62" t="str">
        <f>IF(AND('领用录入（明细）'!D:D=$F$4,'领用录入（明细）'!C:C&gt;=$J$4,'领用录入（明细）'!C:C&lt;=$L$4),ROW(),"-")</f>
        <v>-</v>
      </c>
    </row>
    <row r="28289" customHeight="1" spans="2:2">
      <c r="B28289" s="62" t="str">
        <f>IF(AND('领用录入（明细）'!D:D=$F$4,'领用录入（明细）'!C:C&gt;=$J$4,'领用录入（明细）'!C:C&lt;=$L$4),ROW(),"-")</f>
        <v>-</v>
      </c>
    </row>
    <row r="28290" customHeight="1" spans="2:2">
      <c r="B28290" s="62" t="str">
        <f>IF(AND('领用录入（明细）'!D:D=$F$4,'领用录入（明细）'!C:C&gt;=$J$4,'领用录入（明细）'!C:C&lt;=$L$4),ROW(),"-")</f>
        <v>-</v>
      </c>
    </row>
    <row r="28291" customHeight="1" spans="2:2">
      <c r="B28291" s="62" t="str">
        <f>IF(AND('领用录入（明细）'!D:D=$F$4,'领用录入（明细）'!C:C&gt;=$J$4,'领用录入（明细）'!C:C&lt;=$L$4),ROW(),"-")</f>
        <v>-</v>
      </c>
    </row>
    <row r="28292" customHeight="1" spans="2:2">
      <c r="B28292" s="62" t="str">
        <f>IF(AND('领用录入（明细）'!D:D=$F$4,'领用录入（明细）'!C:C&gt;=$J$4,'领用录入（明细）'!C:C&lt;=$L$4),ROW(),"-")</f>
        <v>-</v>
      </c>
    </row>
    <row r="28293" customHeight="1" spans="2:2">
      <c r="B28293" s="62" t="str">
        <f>IF(AND('领用录入（明细）'!D:D=$F$4,'领用录入（明细）'!C:C&gt;=$J$4,'领用录入（明细）'!C:C&lt;=$L$4),ROW(),"-")</f>
        <v>-</v>
      </c>
    </row>
    <row r="28294" customHeight="1" spans="2:2">
      <c r="B28294" s="62" t="str">
        <f>IF(AND('领用录入（明细）'!D:D=$F$4,'领用录入（明细）'!C:C&gt;=$J$4,'领用录入（明细）'!C:C&lt;=$L$4),ROW(),"-")</f>
        <v>-</v>
      </c>
    </row>
    <row r="28295" customHeight="1" spans="2:2">
      <c r="B28295" s="62" t="str">
        <f>IF(AND('领用录入（明细）'!D:D=$F$4,'领用录入（明细）'!C:C&gt;=$J$4,'领用录入（明细）'!C:C&lt;=$L$4),ROW(),"-")</f>
        <v>-</v>
      </c>
    </row>
    <row r="28296" customHeight="1" spans="2:2">
      <c r="B28296" s="62" t="str">
        <f>IF(AND('领用录入（明细）'!D:D=$F$4,'领用录入（明细）'!C:C&gt;=$J$4,'领用录入（明细）'!C:C&lt;=$L$4),ROW(),"-")</f>
        <v>-</v>
      </c>
    </row>
    <row r="28297" customHeight="1" spans="2:2">
      <c r="B28297" s="62" t="str">
        <f>IF(AND('领用录入（明细）'!D:D=$F$4,'领用录入（明细）'!C:C&gt;=$J$4,'领用录入（明细）'!C:C&lt;=$L$4),ROW(),"-")</f>
        <v>-</v>
      </c>
    </row>
    <row r="28298" customHeight="1" spans="2:2">
      <c r="B28298" s="62" t="str">
        <f>IF(AND('领用录入（明细）'!D:D=$F$4,'领用录入（明细）'!C:C&gt;=$J$4,'领用录入（明细）'!C:C&lt;=$L$4),ROW(),"-")</f>
        <v>-</v>
      </c>
    </row>
    <row r="28299" customHeight="1" spans="2:2">
      <c r="B28299" s="62" t="str">
        <f>IF(AND('领用录入（明细）'!D:D=$F$4,'领用录入（明细）'!C:C&gt;=$J$4,'领用录入（明细）'!C:C&lt;=$L$4),ROW(),"-")</f>
        <v>-</v>
      </c>
    </row>
    <row r="28300" customHeight="1" spans="2:2">
      <c r="B28300" s="62" t="str">
        <f>IF(AND('领用录入（明细）'!D:D=$F$4,'领用录入（明细）'!C:C&gt;=$J$4,'领用录入（明细）'!C:C&lt;=$L$4),ROW(),"-")</f>
        <v>-</v>
      </c>
    </row>
    <row r="28301" customHeight="1" spans="2:2">
      <c r="B28301" s="62" t="str">
        <f>IF(AND('领用录入（明细）'!D:D=$F$4,'领用录入（明细）'!C:C&gt;=$J$4,'领用录入（明细）'!C:C&lt;=$L$4),ROW(),"-")</f>
        <v>-</v>
      </c>
    </row>
    <row r="28302" customHeight="1" spans="2:2">
      <c r="B28302" s="62" t="str">
        <f>IF(AND('领用录入（明细）'!D:D=$F$4,'领用录入（明细）'!C:C&gt;=$J$4,'领用录入（明细）'!C:C&lt;=$L$4),ROW(),"-")</f>
        <v>-</v>
      </c>
    </row>
    <row r="28303" customHeight="1" spans="2:2">
      <c r="B28303" s="62" t="str">
        <f>IF(AND('领用录入（明细）'!D:D=$F$4,'领用录入（明细）'!C:C&gt;=$J$4,'领用录入（明细）'!C:C&lt;=$L$4),ROW(),"-")</f>
        <v>-</v>
      </c>
    </row>
    <row r="28304" customHeight="1" spans="2:2">
      <c r="B28304" s="62" t="str">
        <f>IF(AND('领用录入（明细）'!D:D=$F$4,'领用录入（明细）'!C:C&gt;=$J$4,'领用录入（明细）'!C:C&lt;=$L$4),ROW(),"-")</f>
        <v>-</v>
      </c>
    </row>
    <row r="28305" customHeight="1" spans="2:2">
      <c r="B28305" s="62" t="str">
        <f>IF(AND('领用录入（明细）'!D:D=$F$4,'领用录入（明细）'!C:C&gt;=$J$4,'领用录入（明细）'!C:C&lt;=$L$4),ROW(),"-")</f>
        <v>-</v>
      </c>
    </row>
    <row r="28306" customHeight="1" spans="2:2">
      <c r="B28306" s="62" t="str">
        <f>IF(AND('领用录入（明细）'!D:D=$F$4,'领用录入（明细）'!C:C&gt;=$J$4,'领用录入（明细）'!C:C&lt;=$L$4),ROW(),"-")</f>
        <v>-</v>
      </c>
    </row>
    <row r="28307" customHeight="1" spans="2:2">
      <c r="B28307" s="62" t="str">
        <f>IF(AND('领用录入（明细）'!D:D=$F$4,'领用录入（明细）'!C:C&gt;=$J$4,'领用录入（明细）'!C:C&lt;=$L$4),ROW(),"-")</f>
        <v>-</v>
      </c>
    </row>
    <row r="28308" customHeight="1" spans="2:2">
      <c r="B28308" s="62" t="str">
        <f>IF(AND('领用录入（明细）'!D:D=$F$4,'领用录入（明细）'!C:C&gt;=$J$4,'领用录入（明细）'!C:C&lt;=$L$4),ROW(),"-")</f>
        <v>-</v>
      </c>
    </row>
    <row r="28309" customHeight="1" spans="2:2">
      <c r="B28309" s="62" t="str">
        <f>IF(AND('领用录入（明细）'!D:D=$F$4,'领用录入（明细）'!C:C&gt;=$J$4,'领用录入（明细）'!C:C&lt;=$L$4),ROW(),"-")</f>
        <v>-</v>
      </c>
    </row>
    <row r="28310" customHeight="1" spans="2:2">
      <c r="B28310" s="62" t="str">
        <f>IF(AND('领用录入（明细）'!D:D=$F$4,'领用录入（明细）'!C:C&gt;=$J$4,'领用录入（明细）'!C:C&lt;=$L$4),ROW(),"-")</f>
        <v>-</v>
      </c>
    </row>
    <row r="28311" customHeight="1" spans="2:2">
      <c r="B28311" s="62" t="str">
        <f>IF(AND('领用录入（明细）'!D:D=$F$4,'领用录入（明细）'!C:C&gt;=$J$4,'领用录入（明细）'!C:C&lt;=$L$4),ROW(),"-")</f>
        <v>-</v>
      </c>
    </row>
    <row r="28312" customHeight="1" spans="2:2">
      <c r="B28312" s="62" t="str">
        <f>IF(AND('领用录入（明细）'!D:D=$F$4,'领用录入（明细）'!C:C&gt;=$J$4,'领用录入（明细）'!C:C&lt;=$L$4),ROW(),"-")</f>
        <v>-</v>
      </c>
    </row>
    <row r="28313" customHeight="1" spans="2:2">
      <c r="B28313" s="62" t="str">
        <f>IF(AND('领用录入（明细）'!D:D=$F$4,'领用录入（明细）'!C:C&gt;=$J$4,'领用录入（明细）'!C:C&lt;=$L$4),ROW(),"-")</f>
        <v>-</v>
      </c>
    </row>
    <row r="28314" customHeight="1" spans="2:2">
      <c r="B28314" s="62" t="str">
        <f>IF(AND('领用录入（明细）'!D:D=$F$4,'领用录入（明细）'!C:C&gt;=$J$4,'领用录入（明细）'!C:C&lt;=$L$4),ROW(),"-")</f>
        <v>-</v>
      </c>
    </row>
    <row r="28315" customHeight="1" spans="2:2">
      <c r="B28315" s="62" t="str">
        <f>IF(AND('领用录入（明细）'!D:D=$F$4,'领用录入（明细）'!C:C&gt;=$J$4,'领用录入（明细）'!C:C&lt;=$L$4),ROW(),"-")</f>
        <v>-</v>
      </c>
    </row>
    <row r="28316" customHeight="1" spans="2:2">
      <c r="B28316" s="62" t="str">
        <f>IF(AND('领用录入（明细）'!D:D=$F$4,'领用录入（明细）'!C:C&gt;=$J$4,'领用录入（明细）'!C:C&lt;=$L$4),ROW(),"-")</f>
        <v>-</v>
      </c>
    </row>
    <row r="28317" customHeight="1" spans="2:2">
      <c r="B28317" s="62" t="str">
        <f>IF(AND('领用录入（明细）'!D:D=$F$4,'领用录入（明细）'!C:C&gt;=$J$4,'领用录入（明细）'!C:C&lt;=$L$4),ROW(),"-")</f>
        <v>-</v>
      </c>
    </row>
    <row r="28318" customHeight="1" spans="2:2">
      <c r="B28318" s="62" t="str">
        <f>IF(AND('领用录入（明细）'!D:D=$F$4,'领用录入（明细）'!C:C&gt;=$J$4,'领用录入（明细）'!C:C&lt;=$L$4),ROW(),"-")</f>
        <v>-</v>
      </c>
    </row>
    <row r="28319" customHeight="1" spans="2:2">
      <c r="B28319" s="62" t="str">
        <f>IF(AND('领用录入（明细）'!D:D=$F$4,'领用录入（明细）'!C:C&gt;=$J$4,'领用录入（明细）'!C:C&lt;=$L$4),ROW(),"-")</f>
        <v>-</v>
      </c>
    </row>
    <row r="28320" customHeight="1" spans="2:2">
      <c r="B28320" s="62" t="str">
        <f>IF(AND('领用录入（明细）'!D:D=$F$4,'领用录入（明细）'!C:C&gt;=$J$4,'领用录入（明细）'!C:C&lt;=$L$4),ROW(),"-")</f>
        <v>-</v>
      </c>
    </row>
    <row r="28321" customHeight="1" spans="2:2">
      <c r="B28321" s="62" t="str">
        <f>IF(AND('领用录入（明细）'!D:D=$F$4,'领用录入（明细）'!C:C&gt;=$J$4,'领用录入（明细）'!C:C&lt;=$L$4),ROW(),"-")</f>
        <v>-</v>
      </c>
    </row>
    <row r="28322" customHeight="1" spans="2:2">
      <c r="B28322" s="62" t="str">
        <f>IF(AND('领用录入（明细）'!D:D=$F$4,'领用录入（明细）'!C:C&gt;=$J$4,'领用录入（明细）'!C:C&lt;=$L$4),ROW(),"-")</f>
        <v>-</v>
      </c>
    </row>
    <row r="28323" customHeight="1" spans="2:2">
      <c r="B28323" s="62" t="str">
        <f>IF(AND('领用录入（明细）'!D:D=$F$4,'领用录入（明细）'!C:C&gt;=$J$4,'领用录入（明细）'!C:C&lt;=$L$4),ROW(),"-")</f>
        <v>-</v>
      </c>
    </row>
    <row r="28324" customHeight="1" spans="2:2">
      <c r="B28324" s="62" t="str">
        <f>IF(AND('领用录入（明细）'!D:D=$F$4,'领用录入（明细）'!C:C&gt;=$J$4,'领用录入（明细）'!C:C&lt;=$L$4),ROW(),"-")</f>
        <v>-</v>
      </c>
    </row>
    <row r="28325" customHeight="1" spans="2:2">
      <c r="B28325" s="62" t="str">
        <f>IF(AND('领用录入（明细）'!D:D=$F$4,'领用录入（明细）'!C:C&gt;=$J$4,'领用录入（明细）'!C:C&lt;=$L$4),ROW(),"-")</f>
        <v>-</v>
      </c>
    </row>
    <row r="28326" customHeight="1" spans="2:2">
      <c r="B28326" s="62" t="str">
        <f>IF(AND('领用录入（明细）'!D:D=$F$4,'领用录入（明细）'!C:C&gt;=$J$4,'领用录入（明细）'!C:C&lt;=$L$4),ROW(),"-")</f>
        <v>-</v>
      </c>
    </row>
    <row r="28327" customHeight="1" spans="2:2">
      <c r="B28327" s="62" t="str">
        <f>IF(AND('领用录入（明细）'!D:D=$F$4,'领用录入（明细）'!C:C&gt;=$J$4,'领用录入（明细）'!C:C&lt;=$L$4),ROW(),"-")</f>
        <v>-</v>
      </c>
    </row>
    <row r="28328" customHeight="1" spans="2:2">
      <c r="B28328" s="62" t="str">
        <f>IF(AND('领用录入（明细）'!D:D=$F$4,'领用录入（明细）'!C:C&gt;=$J$4,'领用录入（明细）'!C:C&lt;=$L$4),ROW(),"-")</f>
        <v>-</v>
      </c>
    </row>
    <row r="28329" customHeight="1" spans="2:2">
      <c r="B28329" s="62" t="str">
        <f>IF(AND('领用录入（明细）'!D:D=$F$4,'领用录入（明细）'!C:C&gt;=$J$4,'领用录入（明细）'!C:C&lt;=$L$4),ROW(),"-")</f>
        <v>-</v>
      </c>
    </row>
    <row r="28330" customHeight="1" spans="2:2">
      <c r="B28330" s="62" t="str">
        <f>IF(AND('领用录入（明细）'!D:D=$F$4,'领用录入（明细）'!C:C&gt;=$J$4,'领用录入（明细）'!C:C&lt;=$L$4),ROW(),"-")</f>
        <v>-</v>
      </c>
    </row>
    <row r="28331" customHeight="1" spans="2:2">
      <c r="B28331" s="62" t="str">
        <f>IF(AND('领用录入（明细）'!D:D=$F$4,'领用录入（明细）'!C:C&gt;=$J$4,'领用录入（明细）'!C:C&lt;=$L$4),ROW(),"-")</f>
        <v>-</v>
      </c>
    </row>
    <row r="28332" customHeight="1" spans="2:2">
      <c r="B28332" s="62" t="str">
        <f>IF(AND('领用录入（明细）'!D:D=$F$4,'领用录入（明细）'!C:C&gt;=$J$4,'领用录入（明细）'!C:C&lt;=$L$4),ROW(),"-")</f>
        <v>-</v>
      </c>
    </row>
    <row r="28333" customHeight="1" spans="2:2">
      <c r="B28333" s="62" t="str">
        <f>IF(AND('领用录入（明细）'!D:D=$F$4,'领用录入（明细）'!C:C&gt;=$J$4,'领用录入（明细）'!C:C&lt;=$L$4),ROW(),"-")</f>
        <v>-</v>
      </c>
    </row>
    <row r="28334" customHeight="1" spans="2:2">
      <c r="B28334" s="62" t="str">
        <f>IF(AND('领用录入（明细）'!D:D=$F$4,'领用录入（明细）'!C:C&gt;=$J$4,'领用录入（明细）'!C:C&lt;=$L$4),ROW(),"-")</f>
        <v>-</v>
      </c>
    </row>
    <row r="28335" customHeight="1" spans="2:2">
      <c r="B28335" s="62" t="str">
        <f>IF(AND('领用录入（明细）'!D:D=$F$4,'领用录入（明细）'!C:C&gt;=$J$4,'领用录入（明细）'!C:C&lt;=$L$4),ROW(),"-")</f>
        <v>-</v>
      </c>
    </row>
    <row r="28336" customHeight="1" spans="2:2">
      <c r="B28336" s="62" t="str">
        <f>IF(AND('领用录入（明细）'!D:D=$F$4,'领用录入（明细）'!C:C&gt;=$J$4,'领用录入（明细）'!C:C&lt;=$L$4),ROW(),"-")</f>
        <v>-</v>
      </c>
    </row>
    <row r="28337" customHeight="1" spans="2:2">
      <c r="B28337" s="62" t="str">
        <f>IF(AND('领用录入（明细）'!D:D=$F$4,'领用录入（明细）'!C:C&gt;=$J$4,'领用录入（明细）'!C:C&lt;=$L$4),ROW(),"-")</f>
        <v>-</v>
      </c>
    </row>
    <row r="28338" customHeight="1" spans="2:2">
      <c r="B28338" s="62" t="str">
        <f>IF(AND('领用录入（明细）'!D:D=$F$4,'领用录入（明细）'!C:C&gt;=$J$4,'领用录入（明细）'!C:C&lt;=$L$4),ROW(),"-")</f>
        <v>-</v>
      </c>
    </row>
    <row r="28339" customHeight="1" spans="2:2">
      <c r="B28339" s="62" t="str">
        <f>IF(AND('领用录入（明细）'!D:D=$F$4,'领用录入（明细）'!C:C&gt;=$J$4,'领用录入（明细）'!C:C&lt;=$L$4),ROW(),"-")</f>
        <v>-</v>
      </c>
    </row>
    <row r="28340" customHeight="1" spans="2:2">
      <c r="B28340" s="62" t="str">
        <f>IF(AND('领用录入（明细）'!D:D=$F$4,'领用录入（明细）'!C:C&gt;=$J$4,'领用录入（明细）'!C:C&lt;=$L$4),ROW(),"-")</f>
        <v>-</v>
      </c>
    </row>
    <row r="28341" customHeight="1" spans="2:2">
      <c r="B28341" s="62" t="str">
        <f>IF(AND('领用录入（明细）'!D:D=$F$4,'领用录入（明细）'!C:C&gt;=$J$4,'领用录入（明细）'!C:C&lt;=$L$4),ROW(),"-")</f>
        <v>-</v>
      </c>
    </row>
    <row r="28342" customHeight="1" spans="2:2">
      <c r="B28342" s="62" t="str">
        <f>IF(AND('领用录入（明细）'!D:D=$F$4,'领用录入（明细）'!C:C&gt;=$J$4,'领用录入（明细）'!C:C&lt;=$L$4),ROW(),"-")</f>
        <v>-</v>
      </c>
    </row>
    <row r="28343" customHeight="1" spans="2:2">
      <c r="B28343" s="62" t="str">
        <f>IF(AND('领用录入（明细）'!D:D=$F$4,'领用录入（明细）'!C:C&gt;=$J$4,'领用录入（明细）'!C:C&lt;=$L$4),ROW(),"-")</f>
        <v>-</v>
      </c>
    </row>
    <row r="28344" customHeight="1" spans="2:2">
      <c r="B28344" s="62" t="str">
        <f>IF(AND('领用录入（明细）'!D:D=$F$4,'领用录入（明细）'!C:C&gt;=$J$4,'领用录入（明细）'!C:C&lt;=$L$4),ROW(),"-")</f>
        <v>-</v>
      </c>
    </row>
    <row r="28345" customHeight="1" spans="2:2">
      <c r="B28345" s="62" t="str">
        <f>IF(AND('领用录入（明细）'!D:D=$F$4,'领用录入（明细）'!C:C&gt;=$J$4,'领用录入（明细）'!C:C&lt;=$L$4),ROW(),"-")</f>
        <v>-</v>
      </c>
    </row>
    <row r="28346" customHeight="1" spans="2:2">
      <c r="B28346" s="62" t="str">
        <f>IF(AND('领用录入（明细）'!D:D=$F$4,'领用录入（明细）'!C:C&gt;=$J$4,'领用录入（明细）'!C:C&lt;=$L$4),ROW(),"-")</f>
        <v>-</v>
      </c>
    </row>
    <row r="28347" customHeight="1" spans="2:2">
      <c r="B28347" s="62" t="str">
        <f>IF(AND('领用录入（明细）'!D:D=$F$4,'领用录入（明细）'!C:C&gt;=$J$4,'领用录入（明细）'!C:C&lt;=$L$4),ROW(),"-")</f>
        <v>-</v>
      </c>
    </row>
    <row r="28348" customHeight="1" spans="2:2">
      <c r="B28348" s="62" t="str">
        <f>IF(AND('领用录入（明细）'!D:D=$F$4,'领用录入（明细）'!C:C&gt;=$J$4,'领用录入（明细）'!C:C&lt;=$L$4),ROW(),"-")</f>
        <v>-</v>
      </c>
    </row>
    <row r="28349" customHeight="1" spans="2:2">
      <c r="B28349" s="62" t="str">
        <f>IF(AND('领用录入（明细）'!D:D=$F$4,'领用录入（明细）'!C:C&gt;=$J$4,'领用录入（明细）'!C:C&lt;=$L$4),ROW(),"-")</f>
        <v>-</v>
      </c>
    </row>
    <row r="28350" customHeight="1" spans="2:2">
      <c r="B28350" s="62" t="str">
        <f>IF(AND('领用录入（明细）'!D:D=$F$4,'领用录入（明细）'!C:C&gt;=$J$4,'领用录入（明细）'!C:C&lt;=$L$4),ROW(),"-")</f>
        <v>-</v>
      </c>
    </row>
    <row r="28351" customHeight="1" spans="2:2">
      <c r="B28351" s="62" t="str">
        <f>IF(AND('领用录入（明细）'!D:D=$F$4,'领用录入（明细）'!C:C&gt;=$J$4,'领用录入（明细）'!C:C&lt;=$L$4),ROW(),"-")</f>
        <v>-</v>
      </c>
    </row>
    <row r="28352" customHeight="1" spans="2:2">
      <c r="B28352" s="62" t="str">
        <f>IF(AND('领用录入（明细）'!D:D=$F$4,'领用录入（明细）'!C:C&gt;=$J$4,'领用录入（明细）'!C:C&lt;=$L$4),ROW(),"-")</f>
        <v>-</v>
      </c>
    </row>
    <row r="28353" customHeight="1" spans="2:2">
      <c r="B28353" s="62" t="str">
        <f>IF(AND('领用录入（明细）'!D:D=$F$4,'领用录入（明细）'!C:C&gt;=$J$4,'领用录入（明细）'!C:C&lt;=$L$4),ROW(),"-")</f>
        <v>-</v>
      </c>
    </row>
    <row r="28354" customHeight="1" spans="2:2">
      <c r="B28354" s="62" t="str">
        <f>IF(AND('领用录入（明细）'!D:D=$F$4,'领用录入（明细）'!C:C&gt;=$J$4,'领用录入（明细）'!C:C&lt;=$L$4),ROW(),"-")</f>
        <v>-</v>
      </c>
    </row>
    <row r="28355" customHeight="1" spans="2:2">
      <c r="B28355" s="62" t="str">
        <f>IF(AND('领用录入（明细）'!D:D=$F$4,'领用录入（明细）'!C:C&gt;=$J$4,'领用录入（明细）'!C:C&lt;=$L$4),ROW(),"-")</f>
        <v>-</v>
      </c>
    </row>
    <row r="28356" customHeight="1" spans="2:2">
      <c r="B28356" s="62" t="str">
        <f>IF(AND('领用录入（明细）'!D:D=$F$4,'领用录入（明细）'!C:C&gt;=$J$4,'领用录入（明细）'!C:C&lt;=$L$4),ROW(),"-")</f>
        <v>-</v>
      </c>
    </row>
    <row r="28357" customHeight="1" spans="2:2">
      <c r="B28357" s="62" t="str">
        <f>IF(AND('领用录入（明细）'!D:D=$F$4,'领用录入（明细）'!C:C&gt;=$J$4,'领用录入（明细）'!C:C&lt;=$L$4),ROW(),"-")</f>
        <v>-</v>
      </c>
    </row>
    <row r="28358" customHeight="1" spans="2:2">
      <c r="B28358" s="62" t="str">
        <f>IF(AND('领用录入（明细）'!D:D=$F$4,'领用录入（明细）'!C:C&gt;=$J$4,'领用录入（明细）'!C:C&lt;=$L$4),ROW(),"-")</f>
        <v>-</v>
      </c>
    </row>
    <row r="28359" customHeight="1" spans="2:2">
      <c r="B28359" s="62" t="str">
        <f>IF(AND('领用录入（明细）'!D:D=$F$4,'领用录入（明细）'!C:C&gt;=$J$4,'领用录入（明细）'!C:C&lt;=$L$4),ROW(),"-")</f>
        <v>-</v>
      </c>
    </row>
    <row r="28360" customHeight="1" spans="2:2">
      <c r="B28360" s="62" t="str">
        <f>IF(AND('领用录入（明细）'!D:D=$F$4,'领用录入（明细）'!C:C&gt;=$J$4,'领用录入（明细）'!C:C&lt;=$L$4),ROW(),"-")</f>
        <v>-</v>
      </c>
    </row>
    <row r="28361" customHeight="1" spans="2:2">
      <c r="B28361" s="62" t="str">
        <f>IF(AND('领用录入（明细）'!D:D=$F$4,'领用录入（明细）'!C:C&gt;=$J$4,'领用录入（明细）'!C:C&lt;=$L$4),ROW(),"-")</f>
        <v>-</v>
      </c>
    </row>
    <row r="28362" customHeight="1" spans="2:2">
      <c r="B28362" s="62" t="str">
        <f>IF(AND('领用录入（明细）'!D:D=$F$4,'领用录入（明细）'!C:C&gt;=$J$4,'领用录入（明细）'!C:C&lt;=$L$4),ROW(),"-")</f>
        <v>-</v>
      </c>
    </row>
    <row r="28363" customHeight="1" spans="2:2">
      <c r="B28363" s="62" t="str">
        <f>IF(AND('领用录入（明细）'!D:D=$F$4,'领用录入（明细）'!C:C&gt;=$J$4,'领用录入（明细）'!C:C&lt;=$L$4),ROW(),"-")</f>
        <v>-</v>
      </c>
    </row>
    <row r="28364" customHeight="1" spans="2:2">
      <c r="B28364" s="62" t="str">
        <f>IF(AND('领用录入（明细）'!D:D=$F$4,'领用录入（明细）'!C:C&gt;=$J$4,'领用录入（明细）'!C:C&lt;=$L$4),ROW(),"-")</f>
        <v>-</v>
      </c>
    </row>
    <row r="28365" customHeight="1" spans="2:2">
      <c r="B28365" s="62" t="str">
        <f>IF(AND('领用录入（明细）'!D:D=$F$4,'领用录入（明细）'!C:C&gt;=$J$4,'领用录入（明细）'!C:C&lt;=$L$4),ROW(),"-")</f>
        <v>-</v>
      </c>
    </row>
    <row r="28366" customHeight="1" spans="2:2">
      <c r="B28366" s="62" t="str">
        <f>IF(AND('领用录入（明细）'!D:D=$F$4,'领用录入（明细）'!C:C&gt;=$J$4,'领用录入（明细）'!C:C&lt;=$L$4),ROW(),"-")</f>
        <v>-</v>
      </c>
    </row>
    <row r="28367" customHeight="1" spans="2:2">
      <c r="B28367" s="62" t="str">
        <f>IF(AND('领用录入（明细）'!D:D=$F$4,'领用录入（明细）'!C:C&gt;=$J$4,'领用录入（明细）'!C:C&lt;=$L$4),ROW(),"-")</f>
        <v>-</v>
      </c>
    </row>
    <row r="28368" customHeight="1" spans="2:2">
      <c r="B28368" s="62" t="str">
        <f>IF(AND('领用录入（明细）'!D:D=$F$4,'领用录入（明细）'!C:C&gt;=$J$4,'领用录入（明细）'!C:C&lt;=$L$4),ROW(),"-")</f>
        <v>-</v>
      </c>
    </row>
    <row r="28369" customHeight="1" spans="2:2">
      <c r="B28369" s="62" t="str">
        <f>IF(AND('领用录入（明细）'!D:D=$F$4,'领用录入（明细）'!C:C&gt;=$J$4,'领用录入（明细）'!C:C&lt;=$L$4),ROW(),"-")</f>
        <v>-</v>
      </c>
    </row>
    <row r="28370" customHeight="1" spans="2:2">
      <c r="B28370" s="62" t="str">
        <f>IF(AND('领用录入（明细）'!D:D=$F$4,'领用录入（明细）'!C:C&gt;=$J$4,'领用录入（明细）'!C:C&lt;=$L$4),ROW(),"-")</f>
        <v>-</v>
      </c>
    </row>
    <row r="28371" customHeight="1" spans="2:2">
      <c r="B28371" s="62" t="str">
        <f>IF(AND('领用录入（明细）'!D:D=$F$4,'领用录入（明细）'!C:C&gt;=$J$4,'领用录入（明细）'!C:C&lt;=$L$4),ROW(),"-")</f>
        <v>-</v>
      </c>
    </row>
    <row r="28372" customHeight="1" spans="2:2">
      <c r="B28372" s="62" t="str">
        <f>IF(AND('领用录入（明细）'!D:D=$F$4,'领用录入（明细）'!C:C&gt;=$J$4,'领用录入（明细）'!C:C&lt;=$L$4),ROW(),"-")</f>
        <v>-</v>
      </c>
    </row>
    <row r="28373" customHeight="1" spans="2:2">
      <c r="B28373" s="62" t="str">
        <f>IF(AND('领用录入（明细）'!D:D=$F$4,'领用录入（明细）'!C:C&gt;=$J$4,'领用录入（明细）'!C:C&lt;=$L$4),ROW(),"-")</f>
        <v>-</v>
      </c>
    </row>
    <row r="28374" customHeight="1" spans="2:2">
      <c r="B28374" s="62" t="str">
        <f>IF(AND('领用录入（明细）'!D:D=$F$4,'领用录入（明细）'!C:C&gt;=$J$4,'领用录入（明细）'!C:C&lt;=$L$4),ROW(),"-")</f>
        <v>-</v>
      </c>
    </row>
    <row r="28375" customHeight="1" spans="2:2">
      <c r="B28375" s="62" t="str">
        <f>IF(AND('领用录入（明细）'!D:D=$F$4,'领用录入（明细）'!C:C&gt;=$J$4,'领用录入（明细）'!C:C&lt;=$L$4),ROW(),"-")</f>
        <v>-</v>
      </c>
    </row>
    <row r="28376" customHeight="1" spans="2:2">
      <c r="B28376" s="62" t="str">
        <f>IF(AND('领用录入（明细）'!D:D=$F$4,'领用录入（明细）'!C:C&gt;=$J$4,'领用录入（明细）'!C:C&lt;=$L$4),ROW(),"-")</f>
        <v>-</v>
      </c>
    </row>
    <row r="28377" customHeight="1" spans="2:2">
      <c r="B28377" s="62" t="str">
        <f>IF(AND('领用录入（明细）'!D:D=$F$4,'领用录入（明细）'!C:C&gt;=$J$4,'领用录入（明细）'!C:C&lt;=$L$4),ROW(),"-")</f>
        <v>-</v>
      </c>
    </row>
    <row r="28378" customHeight="1" spans="2:2">
      <c r="B28378" s="62" t="str">
        <f>IF(AND('领用录入（明细）'!D:D=$F$4,'领用录入（明细）'!C:C&gt;=$J$4,'领用录入（明细）'!C:C&lt;=$L$4),ROW(),"-")</f>
        <v>-</v>
      </c>
    </row>
    <row r="28379" customHeight="1" spans="2:2">
      <c r="B28379" s="62" t="str">
        <f>IF(AND('领用录入（明细）'!D:D=$F$4,'领用录入（明细）'!C:C&gt;=$J$4,'领用录入（明细）'!C:C&lt;=$L$4),ROW(),"-")</f>
        <v>-</v>
      </c>
    </row>
    <row r="28380" customHeight="1" spans="2:2">
      <c r="B28380" s="62" t="str">
        <f>IF(AND('领用录入（明细）'!D:D=$F$4,'领用录入（明细）'!C:C&gt;=$J$4,'领用录入（明细）'!C:C&lt;=$L$4),ROW(),"-")</f>
        <v>-</v>
      </c>
    </row>
    <row r="28381" customHeight="1" spans="2:2">
      <c r="B28381" s="62" t="str">
        <f>IF(AND('领用录入（明细）'!D:D=$F$4,'领用录入（明细）'!C:C&gt;=$J$4,'领用录入（明细）'!C:C&lt;=$L$4),ROW(),"-")</f>
        <v>-</v>
      </c>
    </row>
    <row r="28382" customHeight="1" spans="2:2">
      <c r="B28382" s="62" t="str">
        <f>IF(AND('领用录入（明细）'!D:D=$F$4,'领用录入（明细）'!C:C&gt;=$J$4,'领用录入（明细）'!C:C&lt;=$L$4),ROW(),"-")</f>
        <v>-</v>
      </c>
    </row>
    <row r="28383" customHeight="1" spans="2:2">
      <c r="B28383" s="62" t="str">
        <f>IF(AND('领用录入（明细）'!D:D=$F$4,'领用录入（明细）'!C:C&gt;=$J$4,'领用录入（明细）'!C:C&lt;=$L$4),ROW(),"-")</f>
        <v>-</v>
      </c>
    </row>
    <row r="28384" customHeight="1" spans="2:2">
      <c r="B28384" s="62" t="str">
        <f>IF(AND('领用录入（明细）'!D:D=$F$4,'领用录入（明细）'!C:C&gt;=$J$4,'领用录入（明细）'!C:C&lt;=$L$4),ROW(),"-")</f>
        <v>-</v>
      </c>
    </row>
    <row r="28385" customHeight="1" spans="2:2">
      <c r="B28385" s="62" t="str">
        <f>IF(AND('领用录入（明细）'!D:D=$F$4,'领用录入（明细）'!C:C&gt;=$J$4,'领用录入（明细）'!C:C&lt;=$L$4),ROW(),"-")</f>
        <v>-</v>
      </c>
    </row>
    <row r="28386" customHeight="1" spans="2:2">
      <c r="B28386" s="62" t="str">
        <f>IF(AND('领用录入（明细）'!D:D=$F$4,'领用录入（明细）'!C:C&gt;=$J$4,'领用录入（明细）'!C:C&lt;=$L$4),ROW(),"-")</f>
        <v>-</v>
      </c>
    </row>
    <row r="28387" customHeight="1" spans="2:2">
      <c r="B28387" s="62" t="str">
        <f>IF(AND('领用录入（明细）'!D:D=$F$4,'领用录入（明细）'!C:C&gt;=$J$4,'领用录入（明细）'!C:C&lt;=$L$4),ROW(),"-")</f>
        <v>-</v>
      </c>
    </row>
    <row r="28388" customHeight="1" spans="2:2">
      <c r="B28388" s="62" t="str">
        <f>IF(AND('领用录入（明细）'!D:D=$F$4,'领用录入（明细）'!C:C&gt;=$J$4,'领用录入（明细）'!C:C&lt;=$L$4),ROW(),"-")</f>
        <v>-</v>
      </c>
    </row>
    <row r="28389" customHeight="1" spans="2:2">
      <c r="B28389" s="62" t="str">
        <f>IF(AND('领用录入（明细）'!D:D=$F$4,'领用录入（明细）'!C:C&gt;=$J$4,'领用录入（明细）'!C:C&lt;=$L$4),ROW(),"-")</f>
        <v>-</v>
      </c>
    </row>
    <row r="28390" customHeight="1" spans="2:2">
      <c r="B28390" s="62" t="str">
        <f>IF(AND('领用录入（明细）'!D:D=$F$4,'领用录入（明细）'!C:C&gt;=$J$4,'领用录入（明细）'!C:C&lt;=$L$4),ROW(),"-")</f>
        <v>-</v>
      </c>
    </row>
    <row r="28391" customHeight="1" spans="2:2">
      <c r="B28391" s="62" t="str">
        <f>IF(AND('领用录入（明细）'!D:D=$F$4,'领用录入（明细）'!C:C&gt;=$J$4,'领用录入（明细）'!C:C&lt;=$L$4),ROW(),"-")</f>
        <v>-</v>
      </c>
    </row>
    <row r="28392" customHeight="1" spans="2:2">
      <c r="B28392" s="62" t="str">
        <f>IF(AND('领用录入（明细）'!D:D=$F$4,'领用录入（明细）'!C:C&gt;=$J$4,'领用录入（明细）'!C:C&lt;=$L$4),ROW(),"-")</f>
        <v>-</v>
      </c>
    </row>
    <row r="28393" customHeight="1" spans="2:2">
      <c r="B28393" s="62" t="str">
        <f>IF(AND('领用录入（明细）'!D:D=$F$4,'领用录入（明细）'!C:C&gt;=$J$4,'领用录入（明细）'!C:C&lt;=$L$4),ROW(),"-")</f>
        <v>-</v>
      </c>
    </row>
    <row r="28394" customHeight="1" spans="2:2">
      <c r="B28394" s="62" t="str">
        <f>IF(AND('领用录入（明细）'!D:D=$F$4,'领用录入（明细）'!C:C&gt;=$J$4,'领用录入（明细）'!C:C&lt;=$L$4),ROW(),"-")</f>
        <v>-</v>
      </c>
    </row>
    <row r="28395" customHeight="1" spans="2:2">
      <c r="B28395" s="62" t="str">
        <f>IF(AND('领用录入（明细）'!D:D=$F$4,'领用录入（明细）'!C:C&gt;=$J$4,'领用录入（明细）'!C:C&lt;=$L$4),ROW(),"-")</f>
        <v>-</v>
      </c>
    </row>
    <row r="28396" customHeight="1" spans="2:2">
      <c r="B28396" s="62" t="str">
        <f>IF(AND('领用录入（明细）'!D:D=$F$4,'领用录入（明细）'!C:C&gt;=$J$4,'领用录入（明细）'!C:C&lt;=$L$4),ROW(),"-")</f>
        <v>-</v>
      </c>
    </row>
    <row r="28397" customHeight="1" spans="2:2">
      <c r="B28397" s="62" t="str">
        <f>IF(AND('领用录入（明细）'!D:D=$F$4,'领用录入（明细）'!C:C&gt;=$J$4,'领用录入（明细）'!C:C&lt;=$L$4),ROW(),"-")</f>
        <v>-</v>
      </c>
    </row>
    <row r="28398" customHeight="1" spans="2:2">
      <c r="B28398" s="62" t="str">
        <f>IF(AND('领用录入（明细）'!D:D=$F$4,'领用录入（明细）'!C:C&gt;=$J$4,'领用录入（明细）'!C:C&lt;=$L$4),ROW(),"-")</f>
        <v>-</v>
      </c>
    </row>
    <row r="28399" customHeight="1" spans="2:2">
      <c r="B28399" s="62" t="str">
        <f>IF(AND('领用录入（明细）'!D:D=$F$4,'领用录入（明细）'!C:C&gt;=$J$4,'领用录入（明细）'!C:C&lt;=$L$4),ROW(),"-")</f>
        <v>-</v>
      </c>
    </row>
    <row r="28400" customHeight="1" spans="2:2">
      <c r="B28400" s="62" t="str">
        <f>IF(AND('领用录入（明细）'!D:D=$F$4,'领用录入（明细）'!C:C&gt;=$J$4,'领用录入（明细）'!C:C&lt;=$L$4),ROW(),"-")</f>
        <v>-</v>
      </c>
    </row>
    <row r="28401" customHeight="1" spans="2:2">
      <c r="B28401" s="62" t="str">
        <f>IF(AND('领用录入（明细）'!D:D=$F$4,'领用录入（明细）'!C:C&gt;=$J$4,'领用录入（明细）'!C:C&lt;=$L$4),ROW(),"-")</f>
        <v>-</v>
      </c>
    </row>
    <row r="28402" customHeight="1" spans="2:2">
      <c r="B28402" s="62" t="str">
        <f>IF(AND('领用录入（明细）'!D:D=$F$4,'领用录入（明细）'!C:C&gt;=$J$4,'领用录入（明细）'!C:C&lt;=$L$4),ROW(),"-")</f>
        <v>-</v>
      </c>
    </row>
    <row r="28403" customHeight="1" spans="2:2">
      <c r="B28403" s="62" t="str">
        <f>IF(AND('领用录入（明细）'!D:D=$F$4,'领用录入（明细）'!C:C&gt;=$J$4,'领用录入（明细）'!C:C&lt;=$L$4),ROW(),"-")</f>
        <v>-</v>
      </c>
    </row>
    <row r="28404" customHeight="1" spans="2:2">
      <c r="B28404" s="62" t="str">
        <f>IF(AND('领用录入（明细）'!D:D=$F$4,'领用录入（明细）'!C:C&gt;=$J$4,'领用录入（明细）'!C:C&lt;=$L$4),ROW(),"-")</f>
        <v>-</v>
      </c>
    </row>
    <row r="28405" customHeight="1" spans="2:2">
      <c r="B28405" s="62" t="str">
        <f>IF(AND('领用录入（明细）'!D:D=$F$4,'领用录入（明细）'!C:C&gt;=$J$4,'领用录入（明细）'!C:C&lt;=$L$4),ROW(),"-")</f>
        <v>-</v>
      </c>
    </row>
    <row r="28406" customHeight="1" spans="2:2">
      <c r="B28406" s="62" t="str">
        <f>IF(AND('领用录入（明细）'!D:D=$F$4,'领用录入（明细）'!C:C&gt;=$J$4,'领用录入（明细）'!C:C&lt;=$L$4),ROW(),"-")</f>
        <v>-</v>
      </c>
    </row>
    <row r="28407" customHeight="1" spans="2:2">
      <c r="B28407" s="62" t="str">
        <f>IF(AND('领用录入（明细）'!D:D=$F$4,'领用录入（明细）'!C:C&gt;=$J$4,'领用录入（明细）'!C:C&lt;=$L$4),ROW(),"-")</f>
        <v>-</v>
      </c>
    </row>
    <row r="28408" customHeight="1" spans="2:2">
      <c r="B28408" s="62" t="str">
        <f>IF(AND('领用录入（明细）'!D:D=$F$4,'领用录入（明细）'!C:C&gt;=$J$4,'领用录入（明细）'!C:C&lt;=$L$4),ROW(),"-")</f>
        <v>-</v>
      </c>
    </row>
    <row r="28409" customHeight="1" spans="2:2">
      <c r="B28409" s="62" t="str">
        <f>IF(AND('领用录入（明细）'!D:D=$F$4,'领用录入（明细）'!C:C&gt;=$J$4,'领用录入（明细）'!C:C&lt;=$L$4),ROW(),"-")</f>
        <v>-</v>
      </c>
    </row>
    <row r="28410" customHeight="1" spans="2:2">
      <c r="B28410" s="62" t="str">
        <f>IF(AND('领用录入（明细）'!D:D=$F$4,'领用录入（明细）'!C:C&gt;=$J$4,'领用录入（明细）'!C:C&lt;=$L$4),ROW(),"-")</f>
        <v>-</v>
      </c>
    </row>
    <row r="28411" customHeight="1" spans="2:2">
      <c r="B28411" s="62" t="str">
        <f>IF(AND('领用录入（明细）'!D:D=$F$4,'领用录入（明细）'!C:C&gt;=$J$4,'领用录入（明细）'!C:C&lt;=$L$4),ROW(),"-")</f>
        <v>-</v>
      </c>
    </row>
    <row r="28412" customHeight="1" spans="2:2">
      <c r="B28412" s="62" t="str">
        <f>IF(AND('领用录入（明细）'!D:D=$F$4,'领用录入（明细）'!C:C&gt;=$J$4,'领用录入（明细）'!C:C&lt;=$L$4),ROW(),"-")</f>
        <v>-</v>
      </c>
    </row>
    <row r="28413" customHeight="1" spans="2:2">
      <c r="B28413" s="62" t="str">
        <f>IF(AND('领用录入（明细）'!D:D=$F$4,'领用录入（明细）'!C:C&gt;=$J$4,'领用录入（明细）'!C:C&lt;=$L$4),ROW(),"-")</f>
        <v>-</v>
      </c>
    </row>
    <row r="28414" customHeight="1" spans="2:2">
      <c r="B28414" s="62" t="str">
        <f>IF(AND('领用录入（明细）'!D:D=$F$4,'领用录入（明细）'!C:C&gt;=$J$4,'领用录入（明细）'!C:C&lt;=$L$4),ROW(),"-")</f>
        <v>-</v>
      </c>
    </row>
    <row r="28415" customHeight="1" spans="2:2">
      <c r="B28415" s="62" t="str">
        <f>IF(AND('领用录入（明细）'!D:D=$F$4,'领用录入（明细）'!C:C&gt;=$J$4,'领用录入（明细）'!C:C&lt;=$L$4),ROW(),"-")</f>
        <v>-</v>
      </c>
    </row>
    <row r="28416" customHeight="1" spans="2:2">
      <c r="B28416" s="62" t="str">
        <f>IF(AND('领用录入（明细）'!D:D=$F$4,'领用录入（明细）'!C:C&gt;=$J$4,'领用录入（明细）'!C:C&lt;=$L$4),ROW(),"-")</f>
        <v>-</v>
      </c>
    </row>
    <row r="28417" customHeight="1" spans="2:2">
      <c r="B28417" s="62" t="str">
        <f>IF(AND('领用录入（明细）'!D:D=$F$4,'领用录入（明细）'!C:C&gt;=$J$4,'领用录入（明细）'!C:C&lt;=$L$4),ROW(),"-")</f>
        <v>-</v>
      </c>
    </row>
    <row r="28418" customHeight="1" spans="2:2">
      <c r="B28418" s="62" t="str">
        <f>IF(AND('领用录入（明细）'!D:D=$F$4,'领用录入（明细）'!C:C&gt;=$J$4,'领用录入（明细）'!C:C&lt;=$L$4),ROW(),"-")</f>
        <v>-</v>
      </c>
    </row>
    <row r="28419" customHeight="1" spans="2:2">
      <c r="B28419" s="62" t="str">
        <f>IF(AND('领用录入（明细）'!D:D=$F$4,'领用录入（明细）'!C:C&gt;=$J$4,'领用录入（明细）'!C:C&lt;=$L$4),ROW(),"-")</f>
        <v>-</v>
      </c>
    </row>
    <row r="28420" customHeight="1" spans="2:2">
      <c r="B28420" s="62" t="str">
        <f>IF(AND('领用录入（明细）'!D:D=$F$4,'领用录入（明细）'!C:C&gt;=$J$4,'领用录入（明细）'!C:C&lt;=$L$4),ROW(),"-")</f>
        <v>-</v>
      </c>
    </row>
    <row r="28421" customHeight="1" spans="2:2">
      <c r="B28421" s="62" t="str">
        <f>IF(AND('领用录入（明细）'!D:D=$F$4,'领用录入（明细）'!C:C&gt;=$J$4,'领用录入（明细）'!C:C&lt;=$L$4),ROW(),"-")</f>
        <v>-</v>
      </c>
    </row>
    <row r="28422" customHeight="1" spans="2:2">
      <c r="B28422" s="62" t="str">
        <f>IF(AND('领用录入（明细）'!D:D=$F$4,'领用录入（明细）'!C:C&gt;=$J$4,'领用录入（明细）'!C:C&lt;=$L$4),ROW(),"-")</f>
        <v>-</v>
      </c>
    </row>
    <row r="28423" customHeight="1" spans="2:2">
      <c r="B28423" s="62" t="str">
        <f>IF(AND('领用录入（明细）'!D:D=$F$4,'领用录入（明细）'!C:C&gt;=$J$4,'领用录入（明细）'!C:C&lt;=$L$4),ROW(),"-")</f>
        <v>-</v>
      </c>
    </row>
    <row r="28424" customHeight="1" spans="2:2">
      <c r="B28424" s="62" t="str">
        <f>IF(AND('领用录入（明细）'!D:D=$F$4,'领用录入（明细）'!C:C&gt;=$J$4,'领用录入（明细）'!C:C&lt;=$L$4),ROW(),"-")</f>
        <v>-</v>
      </c>
    </row>
    <row r="28425" customHeight="1" spans="2:2">
      <c r="B28425" s="62" t="str">
        <f>IF(AND('领用录入（明细）'!D:D=$F$4,'领用录入（明细）'!C:C&gt;=$J$4,'领用录入（明细）'!C:C&lt;=$L$4),ROW(),"-")</f>
        <v>-</v>
      </c>
    </row>
    <row r="28426" customHeight="1" spans="2:2">
      <c r="B28426" s="62" t="str">
        <f>IF(AND('领用录入（明细）'!D:D=$F$4,'领用录入（明细）'!C:C&gt;=$J$4,'领用录入（明细）'!C:C&lt;=$L$4),ROW(),"-")</f>
        <v>-</v>
      </c>
    </row>
    <row r="28427" customHeight="1" spans="2:2">
      <c r="B28427" s="62" t="str">
        <f>IF(AND('领用录入（明细）'!D:D=$F$4,'领用录入（明细）'!C:C&gt;=$J$4,'领用录入（明细）'!C:C&lt;=$L$4),ROW(),"-")</f>
        <v>-</v>
      </c>
    </row>
    <row r="28428" customHeight="1" spans="2:2">
      <c r="B28428" s="62" t="str">
        <f>IF(AND('领用录入（明细）'!D:D=$F$4,'领用录入（明细）'!C:C&gt;=$J$4,'领用录入（明细）'!C:C&lt;=$L$4),ROW(),"-")</f>
        <v>-</v>
      </c>
    </row>
    <row r="28429" customHeight="1" spans="2:2">
      <c r="B28429" s="62" t="str">
        <f>IF(AND('领用录入（明细）'!D:D=$F$4,'领用录入（明细）'!C:C&gt;=$J$4,'领用录入（明细）'!C:C&lt;=$L$4),ROW(),"-")</f>
        <v>-</v>
      </c>
    </row>
    <row r="28430" customHeight="1" spans="2:2">
      <c r="B28430" s="62" t="str">
        <f>IF(AND('领用录入（明细）'!D:D=$F$4,'领用录入（明细）'!C:C&gt;=$J$4,'领用录入（明细）'!C:C&lt;=$L$4),ROW(),"-")</f>
        <v>-</v>
      </c>
    </row>
    <row r="28431" customHeight="1" spans="2:2">
      <c r="B28431" s="62" t="str">
        <f>IF(AND('领用录入（明细）'!D:D=$F$4,'领用录入（明细）'!C:C&gt;=$J$4,'领用录入（明细）'!C:C&lt;=$L$4),ROW(),"-")</f>
        <v>-</v>
      </c>
    </row>
    <row r="28432" customHeight="1" spans="2:2">
      <c r="B28432" s="62" t="str">
        <f>IF(AND('领用录入（明细）'!D:D=$F$4,'领用录入（明细）'!C:C&gt;=$J$4,'领用录入（明细）'!C:C&lt;=$L$4),ROW(),"-")</f>
        <v>-</v>
      </c>
    </row>
    <row r="28433" customHeight="1" spans="2:2">
      <c r="B28433" s="62" t="str">
        <f>IF(AND('领用录入（明细）'!D:D=$F$4,'领用录入（明细）'!C:C&gt;=$J$4,'领用录入（明细）'!C:C&lt;=$L$4),ROW(),"-")</f>
        <v>-</v>
      </c>
    </row>
    <row r="28434" customHeight="1" spans="2:2">
      <c r="B28434" s="62" t="str">
        <f>IF(AND('领用录入（明细）'!D:D=$F$4,'领用录入（明细）'!C:C&gt;=$J$4,'领用录入（明细）'!C:C&lt;=$L$4),ROW(),"-")</f>
        <v>-</v>
      </c>
    </row>
    <row r="28435" customHeight="1" spans="2:2">
      <c r="B28435" s="62" t="str">
        <f>IF(AND('领用录入（明细）'!D:D=$F$4,'领用录入（明细）'!C:C&gt;=$J$4,'领用录入（明细）'!C:C&lt;=$L$4),ROW(),"-")</f>
        <v>-</v>
      </c>
    </row>
    <row r="28436" customHeight="1" spans="2:2">
      <c r="B28436" s="62" t="str">
        <f>IF(AND('领用录入（明细）'!D:D=$F$4,'领用录入（明细）'!C:C&gt;=$J$4,'领用录入（明细）'!C:C&lt;=$L$4),ROW(),"-")</f>
        <v>-</v>
      </c>
    </row>
    <row r="28437" customHeight="1" spans="2:2">
      <c r="B28437" s="62" t="str">
        <f>IF(AND('领用录入（明细）'!D:D=$F$4,'领用录入（明细）'!C:C&gt;=$J$4,'领用录入（明细）'!C:C&lt;=$L$4),ROW(),"-")</f>
        <v>-</v>
      </c>
    </row>
    <row r="28438" customHeight="1" spans="2:2">
      <c r="B28438" s="62" t="str">
        <f>IF(AND('领用录入（明细）'!D:D=$F$4,'领用录入（明细）'!C:C&gt;=$J$4,'领用录入（明细）'!C:C&lt;=$L$4),ROW(),"-")</f>
        <v>-</v>
      </c>
    </row>
    <row r="28439" customHeight="1" spans="2:2">
      <c r="B28439" s="62" t="str">
        <f>IF(AND('领用录入（明细）'!D:D=$F$4,'领用录入（明细）'!C:C&gt;=$J$4,'领用录入（明细）'!C:C&lt;=$L$4),ROW(),"-")</f>
        <v>-</v>
      </c>
    </row>
    <row r="28440" customHeight="1" spans="2:2">
      <c r="B28440" s="62" t="str">
        <f>IF(AND('领用录入（明细）'!D:D=$F$4,'领用录入（明细）'!C:C&gt;=$J$4,'领用录入（明细）'!C:C&lt;=$L$4),ROW(),"-")</f>
        <v>-</v>
      </c>
    </row>
    <row r="28441" customHeight="1" spans="2:2">
      <c r="B28441" s="62" t="str">
        <f>IF(AND('领用录入（明细）'!D:D=$F$4,'领用录入（明细）'!C:C&gt;=$J$4,'领用录入（明细）'!C:C&lt;=$L$4),ROW(),"-")</f>
        <v>-</v>
      </c>
    </row>
    <row r="28442" customHeight="1" spans="2:2">
      <c r="B28442" s="62" t="str">
        <f>IF(AND('领用录入（明细）'!D:D=$F$4,'领用录入（明细）'!C:C&gt;=$J$4,'领用录入（明细）'!C:C&lt;=$L$4),ROW(),"-")</f>
        <v>-</v>
      </c>
    </row>
    <row r="28443" customHeight="1" spans="2:2">
      <c r="B28443" s="62" t="str">
        <f>IF(AND('领用录入（明细）'!D:D=$F$4,'领用录入（明细）'!C:C&gt;=$J$4,'领用录入（明细）'!C:C&lt;=$L$4),ROW(),"-")</f>
        <v>-</v>
      </c>
    </row>
    <row r="28444" customHeight="1" spans="2:2">
      <c r="B28444" s="62" t="str">
        <f>IF(AND('领用录入（明细）'!D:D=$F$4,'领用录入（明细）'!C:C&gt;=$J$4,'领用录入（明细）'!C:C&lt;=$L$4),ROW(),"-")</f>
        <v>-</v>
      </c>
    </row>
    <row r="28445" customHeight="1" spans="2:2">
      <c r="B28445" s="62" t="str">
        <f>IF(AND('领用录入（明细）'!D:D=$F$4,'领用录入（明细）'!C:C&gt;=$J$4,'领用录入（明细）'!C:C&lt;=$L$4),ROW(),"-")</f>
        <v>-</v>
      </c>
    </row>
    <row r="28446" customHeight="1" spans="2:2">
      <c r="B28446" s="62" t="str">
        <f>IF(AND('领用录入（明细）'!D:D=$F$4,'领用录入（明细）'!C:C&gt;=$J$4,'领用录入（明细）'!C:C&lt;=$L$4),ROW(),"-")</f>
        <v>-</v>
      </c>
    </row>
    <row r="28447" customHeight="1" spans="2:2">
      <c r="B28447" s="62" t="str">
        <f>IF(AND('领用录入（明细）'!D:D=$F$4,'领用录入（明细）'!C:C&gt;=$J$4,'领用录入（明细）'!C:C&lt;=$L$4),ROW(),"-")</f>
        <v>-</v>
      </c>
    </row>
    <row r="28448" customHeight="1" spans="2:2">
      <c r="B28448" s="62" t="str">
        <f>IF(AND('领用录入（明细）'!D:D=$F$4,'领用录入（明细）'!C:C&gt;=$J$4,'领用录入（明细）'!C:C&lt;=$L$4),ROW(),"-")</f>
        <v>-</v>
      </c>
    </row>
    <row r="28449" customHeight="1" spans="2:2">
      <c r="B28449" s="62" t="str">
        <f>IF(AND('领用录入（明细）'!D:D=$F$4,'领用录入（明细）'!C:C&gt;=$J$4,'领用录入（明细）'!C:C&lt;=$L$4),ROW(),"-")</f>
        <v>-</v>
      </c>
    </row>
    <row r="28450" customHeight="1" spans="2:2">
      <c r="B28450" s="62" t="str">
        <f>IF(AND('领用录入（明细）'!D:D=$F$4,'领用录入（明细）'!C:C&gt;=$J$4,'领用录入（明细）'!C:C&lt;=$L$4),ROW(),"-")</f>
        <v>-</v>
      </c>
    </row>
    <row r="28451" customHeight="1" spans="2:2">
      <c r="B28451" s="62" t="str">
        <f>IF(AND('领用录入（明细）'!D:D=$F$4,'领用录入（明细）'!C:C&gt;=$J$4,'领用录入（明细）'!C:C&lt;=$L$4),ROW(),"-")</f>
        <v>-</v>
      </c>
    </row>
    <row r="28452" customHeight="1" spans="2:2">
      <c r="B28452" s="62" t="str">
        <f>IF(AND('领用录入（明细）'!D:D=$F$4,'领用录入（明细）'!C:C&gt;=$J$4,'领用录入（明细）'!C:C&lt;=$L$4),ROW(),"-")</f>
        <v>-</v>
      </c>
    </row>
    <row r="28453" customHeight="1" spans="2:2">
      <c r="B28453" s="62" t="str">
        <f>IF(AND('领用录入（明细）'!D:D=$F$4,'领用录入（明细）'!C:C&gt;=$J$4,'领用录入（明细）'!C:C&lt;=$L$4),ROW(),"-")</f>
        <v>-</v>
      </c>
    </row>
    <row r="28454" customHeight="1" spans="2:2">
      <c r="B28454" s="62" t="str">
        <f>IF(AND('领用录入（明细）'!D:D=$F$4,'领用录入（明细）'!C:C&gt;=$J$4,'领用录入（明细）'!C:C&lt;=$L$4),ROW(),"-")</f>
        <v>-</v>
      </c>
    </row>
    <row r="28455" customHeight="1" spans="2:2">
      <c r="B28455" s="62" t="str">
        <f>IF(AND('领用录入（明细）'!D:D=$F$4,'领用录入（明细）'!C:C&gt;=$J$4,'领用录入（明细）'!C:C&lt;=$L$4),ROW(),"-")</f>
        <v>-</v>
      </c>
    </row>
    <row r="28456" customHeight="1" spans="2:2">
      <c r="B28456" s="62" t="str">
        <f>IF(AND('领用录入（明细）'!D:D=$F$4,'领用录入（明细）'!C:C&gt;=$J$4,'领用录入（明细）'!C:C&lt;=$L$4),ROW(),"-")</f>
        <v>-</v>
      </c>
    </row>
    <row r="28457" customHeight="1" spans="2:2">
      <c r="B28457" s="62" t="str">
        <f>IF(AND('领用录入（明细）'!D:D=$F$4,'领用录入（明细）'!C:C&gt;=$J$4,'领用录入（明细）'!C:C&lt;=$L$4),ROW(),"-")</f>
        <v>-</v>
      </c>
    </row>
    <row r="28458" customHeight="1" spans="2:2">
      <c r="B28458" s="62" t="str">
        <f>IF(AND('领用录入（明细）'!D:D=$F$4,'领用录入（明细）'!C:C&gt;=$J$4,'领用录入（明细）'!C:C&lt;=$L$4),ROW(),"-")</f>
        <v>-</v>
      </c>
    </row>
    <row r="28459" customHeight="1" spans="2:2">
      <c r="B28459" s="62" t="str">
        <f>IF(AND('领用录入（明细）'!D:D=$F$4,'领用录入（明细）'!C:C&gt;=$J$4,'领用录入（明细）'!C:C&lt;=$L$4),ROW(),"-")</f>
        <v>-</v>
      </c>
    </row>
    <row r="28460" customHeight="1" spans="2:2">
      <c r="B28460" s="62" t="str">
        <f>IF(AND('领用录入（明细）'!D:D=$F$4,'领用录入（明细）'!C:C&gt;=$J$4,'领用录入（明细）'!C:C&lt;=$L$4),ROW(),"-")</f>
        <v>-</v>
      </c>
    </row>
    <row r="28461" customHeight="1" spans="2:2">
      <c r="B28461" s="62" t="str">
        <f>IF(AND('领用录入（明细）'!D:D=$F$4,'领用录入（明细）'!C:C&gt;=$J$4,'领用录入（明细）'!C:C&lt;=$L$4),ROW(),"-")</f>
        <v>-</v>
      </c>
    </row>
    <row r="28462" customHeight="1" spans="2:2">
      <c r="B28462" s="62" t="str">
        <f>IF(AND('领用录入（明细）'!D:D=$F$4,'领用录入（明细）'!C:C&gt;=$J$4,'领用录入（明细）'!C:C&lt;=$L$4),ROW(),"-")</f>
        <v>-</v>
      </c>
    </row>
    <row r="28463" customHeight="1" spans="2:2">
      <c r="B28463" s="62" t="str">
        <f>IF(AND('领用录入（明细）'!D:D=$F$4,'领用录入（明细）'!C:C&gt;=$J$4,'领用录入（明细）'!C:C&lt;=$L$4),ROW(),"-")</f>
        <v>-</v>
      </c>
    </row>
    <row r="28464" customHeight="1" spans="2:2">
      <c r="B28464" s="62" t="str">
        <f>IF(AND('领用录入（明细）'!D:D=$F$4,'领用录入（明细）'!C:C&gt;=$J$4,'领用录入（明细）'!C:C&lt;=$L$4),ROW(),"-")</f>
        <v>-</v>
      </c>
    </row>
    <row r="28465" customHeight="1" spans="2:2">
      <c r="B28465" s="62" t="str">
        <f>IF(AND('领用录入（明细）'!D:D=$F$4,'领用录入（明细）'!C:C&gt;=$J$4,'领用录入（明细）'!C:C&lt;=$L$4),ROW(),"-")</f>
        <v>-</v>
      </c>
    </row>
    <row r="28466" customHeight="1" spans="2:2">
      <c r="B28466" s="62" t="str">
        <f>IF(AND('领用录入（明细）'!D:D=$F$4,'领用录入（明细）'!C:C&gt;=$J$4,'领用录入（明细）'!C:C&lt;=$L$4),ROW(),"-")</f>
        <v>-</v>
      </c>
    </row>
    <row r="28467" customHeight="1" spans="2:2">
      <c r="B28467" s="62" t="str">
        <f>IF(AND('领用录入（明细）'!D:D=$F$4,'领用录入（明细）'!C:C&gt;=$J$4,'领用录入（明细）'!C:C&lt;=$L$4),ROW(),"-")</f>
        <v>-</v>
      </c>
    </row>
    <row r="28468" customHeight="1" spans="2:2">
      <c r="B28468" s="62" t="str">
        <f>IF(AND('领用录入（明细）'!D:D=$F$4,'领用录入（明细）'!C:C&gt;=$J$4,'领用录入（明细）'!C:C&lt;=$L$4),ROW(),"-")</f>
        <v>-</v>
      </c>
    </row>
    <row r="28469" customHeight="1" spans="2:2">
      <c r="B28469" s="62" t="str">
        <f>IF(AND('领用录入（明细）'!D:D=$F$4,'领用录入（明细）'!C:C&gt;=$J$4,'领用录入（明细）'!C:C&lt;=$L$4),ROW(),"-")</f>
        <v>-</v>
      </c>
    </row>
    <row r="28470" customHeight="1" spans="2:2">
      <c r="B28470" s="62" t="str">
        <f>IF(AND('领用录入（明细）'!D:D=$F$4,'领用录入（明细）'!C:C&gt;=$J$4,'领用录入（明细）'!C:C&lt;=$L$4),ROW(),"-")</f>
        <v>-</v>
      </c>
    </row>
    <row r="28471" customHeight="1" spans="2:2">
      <c r="B28471" s="62" t="str">
        <f>IF(AND('领用录入（明细）'!D:D=$F$4,'领用录入（明细）'!C:C&gt;=$J$4,'领用录入（明细）'!C:C&lt;=$L$4),ROW(),"-")</f>
        <v>-</v>
      </c>
    </row>
    <row r="28472" customHeight="1" spans="2:2">
      <c r="B28472" s="62" t="str">
        <f>IF(AND('领用录入（明细）'!D:D=$F$4,'领用录入（明细）'!C:C&gt;=$J$4,'领用录入（明细）'!C:C&lt;=$L$4),ROW(),"-")</f>
        <v>-</v>
      </c>
    </row>
    <row r="28473" customHeight="1" spans="2:2">
      <c r="B28473" s="62" t="str">
        <f>IF(AND('领用录入（明细）'!D:D=$F$4,'领用录入（明细）'!C:C&gt;=$J$4,'领用录入（明细）'!C:C&lt;=$L$4),ROW(),"-")</f>
        <v>-</v>
      </c>
    </row>
    <row r="28474" customHeight="1" spans="2:2">
      <c r="B28474" s="62" t="str">
        <f>IF(AND('领用录入（明细）'!D:D=$F$4,'领用录入（明细）'!C:C&gt;=$J$4,'领用录入（明细）'!C:C&lt;=$L$4),ROW(),"-")</f>
        <v>-</v>
      </c>
    </row>
    <row r="28475" customHeight="1" spans="2:2">
      <c r="B28475" s="62" t="str">
        <f>IF(AND('领用录入（明细）'!D:D=$F$4,'领用录入（明细）'!C:C&gt;=$J$4,'领用录入（明细）'!C:C&lt;=$L$4),ROW(),"-")</f>
        <v>-</v>
      </c>
    </row>
    <row r="28476" customHeight="1" spans="2:2">
      <c r="B28476" s="62" t="str">
        <f>IF(AND('领用录入（明细）'!D:D=$F$4,'领用录入（明细）'!C:C&gt;=$J$4,'领用录入（明细）'!C:C&lt;=$L$4),ROW(),"-")</f>
        <v>-</v>
      </c>
    </row>
    <row r="28477" customHeight="1" spans="2:2">
      <c r="B28477" s="62" t="str">
        <f>IF(AND('领用录入（明细）'!D:D=$F$4,'领用录入（明细）'!C:C&gt;=$J$4,'领用录入（明细）'!C:C&lt;=$L$4),ROW(),"-")</f>
        <v>-</v>
      </c>
    </row>
    <row r="28478" customHeight="1" spans="2:2">
      <c r="B28478" s="62" t="str">
        <f>IF(AND('领用录入（明细）'!D:D=$F$4,'领用录入（明细）'!C:C&gt;=$J$4,'领用录入（明细）'!C:C&lt;=$L$4),ROW(),"-")</f>
        <v>-</v>
      </c>
    </row>
    <row r="28479" customHeight="1" spans="2:2">
      <c r="B28479" s="62" t="str">
        <f>IF(AND('领用录入（明细）'!D:D=$F$4,'领用录入（明细）'!C:C&gt;=$J$4,'领用录入（明细）'!C:C&lt;=$L$4),ROW(),"-")</f>
        <v>-</v>
      </c>
    </row>
    <row r="28480" customHeight="1" spans="2:2">
      <c r="B28480" s="62" t="str">
        <f>IF(AND('领用录入（明细）'!D:D=$F$4,'领用录入（明细）'!C:C&gt;=$J$4,'领用录入（明细）'!C:C&lt;=$L$4),ROW(),"-")</f>
        <v>-</v>
      </c>
    </row>
    <row r="28481" customHeight="1" spans="2:2">
      <c r="B28481" s="62" t="str">
        <f>IF(AND('领用录入（明细）'!D:D=$F$4,'领用录入（明细）'!C:C&gt;=$J$4,'领用录入（明细）'!C:C&lt;=$L$4),ROW(),"-")</f>
        <v>-</v>
      </c>
    </row>
    <row r="28482" customHeight="1" spans="2:2">
      <c r="B28482" s="62" t="str">
        <f>IF(AND('领用录入（明细）'!D:D=$F$4,'领用录入（明细）'!C:C&gt;=$J$4,'领用录入（明细）'!C:C&lt;=$L$4),ROW(),"-")</f>
        <v>-</v>
      </c>
    </row>
    <row r="28483" customHeight="1" spans="2:2">
      <c r="B28483" s="62" t="str">
        <f>IF(AND('领用录入（明细）'!D:D=$F$4,'领用录入（明细）'!C:C&gt;=$J$4,'领用录入（明细）'!C:C&lt;=$L$4),ROW(),"-")</f>
        <v>-</v>
      </c>
    </row>
    <row r="28484" customHeight="1" spans="2:2">
      <c r="B28484" s="62" t="str">
        <f>IF(AND('领用录入（明细）'!D:D=$F$4,'领用录入（明细）'!C:C&gt;=$J$4,'领用录入（明细）'!C:C&lt;=$L$4),ROW(),"-")</f>
        <v>-</v>
      </c>
    </row>
    <row r="28485" customHeight="1" spans="2:2">
      <c r="B28485" s="62" t="str">
        <f>IF(AND('领用录入（明细）'!D:D=$F$4,'领用录入（明细）'!C:C&gt;=$J$4,'领用录入（明细）'!C:C&lt;=$L$4),ROW(),"-")</f>
        <v>-</v>
      </c>
    </row>
    <row r="28486" customHeight="1" spans="2:2">
      <c r="B28486" s="62" t="str">
        <f>IF(AND('领用录入（明细）'!D:D=$F$4,'领用录入（明细）'!C:C&gt;=$J$4,'领用录入（明细）'!C:C&lt;=$L$4),ROW(),"-")</f>
        <v>-</v>
      </c>
    </row>
    <row r="28487" customHeight="1" spans="2:2">
      <c r="B28487" s="62" t="str">
        <f>IF(AND('领用录入（明细）'!D:D=$F$4,'领用录入（明细）'!C:C&gt;=$J$4,'领用录入（明细）'!C:C&lt;=$L$4),ROW(),"-")</f>
        <v>-</v>
      </c>
    </row>
    <row r="28488" customHeight="1" spans="2:2">
      <c r="B28488" s="62" t="str">
        <f>IF(AND('领用录入（明细）'!D:D=$F$4,'领用录入（明细）'!C:C&gt;=$J$4,'领用录入（明细）'!C:C&lt;=$L$4),ROW(),"-")</f>
        <v>-</v>
      </c>
    </row>
    <row r="28489" customHeight="1" spans="2:2">
      <c r="B28489" s="62" t="str">
        <f>IF(AND('领用录入（明细）'!D:D=$F$4,'领用录入（明细）'!C:C&gt;=$J$4,'领用录入（明细）'!C:C&lt;=$L$4),ROW(),"-")</f>
        <v>-</v>
      </c>
    </row>
    <row r="28490" customHeight="1" spans="2:2">
      <c r="B28490" s="62" t="str">
        <f>IF(AND('领用录入（明细）'!D:D=$F$4,'领用录入（明细）'!C:C&gt;=$J$4,'领用录入（明细）'!C:C&lt;=$L$4),ROW(),"-")</f>
        <v>-</v>
      </c>
    </row>
    <row r="28491" customHeight="1" spans="2:2">
      <c r="B28491" s="62" t="str">
        <f>IF(AND('领用录入（明细）'!D:D=$F$4,'领用录入（明细）'!C:C&gt;=$J$4,'领用录入（明细）'!C:C&lt;=$L$4),ROW(),"-")</f>
        <v>-</v>
      </c>
    </row>
    <row r="28492" customHeight="1" spans="2:2">
      <c r="B28492" s="62" t="str">
        <f>IF(AND('领用录入（明细）'!D:D=$F$4,'领用录入（明细）'!C:C&gt;=$J$4,'领用录入（明细）'!C:C&lt;=$L$4),ROW(),"-")</f>
        <v>-</v>
      </c>
    </row>
    <row r="28493" customHeight="1" spans="2:2">
      <c r="B28493" s="62" t="str">
        <f>IF(AND('领用录入（明细）'!D:D=$F$4,'领用录入（明细）'!C:C&gt;=$J$4,'领用录入（明细）'!C:C&lt;=$L$4),ROW(),"-")</f>
        <v>-</v>
      </c>
    </row>
    <row r="28494" customHeight="1" spans="2:2">
      <c r="B28494" s="62" t="str">
        <f>IF(AND('领用录入（明细）'!D:D=$F$4,'领用录入（明细）'!C:C&gt;=$J$4,'领用录入（明细）'!C:C&lt;=$L$4),ROW(),"-")</f>
        <v>-</v>
      </c>
    </row>
    <row r="28495" customHeight="1" spans="2:2">
      <c r="B28495" s="62" t="str">
        <f>IF(AND('领用录入（明细）'!D:D=$F$4,'领用录入（明细）'!C:C&gt;=$J$4,'领用录入（明细）'!C:C&lt;=$L$4),ROW(),"-")</f>
        <v>-</v>
      </c>
    </row>
    <row r="28496" customHeight="1" spans="2:2">
      <c r="B28496" s="62" t="str">
        <f>IF(AND('领用录入（明细）'!D:D=$F$4,'领用录入（明细）'!C:C&gt;=$J$4,'领用录入（明细）'!C:C&lt;=$L$4),ROW(),"-")</f>
        <v>-</v>
      </c>
    </row>
    <row r="28497" customHeight="1" spans="2:2">
      <c r="B28497" s="62" t="str">
        <f>IF(AND('领用录入（明细）'!D:D=$F$4,'领用录入（明细）'!C:C&gt;=$J$4,'领用录入（明细）'!C:C&lt;=$L$4),ROW(),"-")</f>
        <v>-</v>
      </c>
    </row>
    <row r="28498" customHeight="1" spans="2:2">
      <c r="B28498" s="62" t="str">
        <f>IF(AND('领用录入（明细）'!D:D=$F$4,'领用录入（明细）'!C:C&gt;=$J$4,'领用录入（明细）'!C:C&lt;=$L$4),ROW(),"-")</f>
        <v>-</v>
      </c>
    </row>
    <row r="28499" customHeight="1" spans="2:2">
      <c r="B28499" s="62" t="str">
        <f>IF(AND('领用录入（明细）'!D:D=$F$4,'领用录入（明细）'!C:C&gt;=$J$4,'领用录入（明细）'!C:C&lt;=$L$4),ROW(),"-")</f>
        <v>-</v>
      </c>
    </row>
    <row r="28500" customHeight="1" spans="2:2">
      <c r="B28500" s="62" t="str">
        <f>IF(AND('领用录入（明细）'!D:D=$F$4,'领用录入（明细）'!C:C&gt;=$J$4,'领用录入（明细）'!C:C&lt;=$L$4),ROW(),"-")</f>
        <v>-</v>
      </c>
    </row>
    <row r="28501" customHeight="1" spans="2:2">
      <c r="B28501" s="62" t="str">
        <f>IF(AND('领用录入（明细）'!D:D=$F$4,'领用录入（明细）'!C:C&gt;=$J$4,'领用录入（明细）'!C:C&lt;=$L$4),ROW(),"-")</f>
        <v>-</v>
      </c>
    </row>
    <row r="28502" customHeight="1" spans="2:2">
      <c r="B28502" s="62" t="str">
        <f>IF(AND('领用录入（明细）'!D:D=$F$4,'领用录入（明细）'!C:C&gt;=$J$4,'领用录入（明细）'!C:C&lt;=$L$4),ROW(),"-")</f>
        <v>-</v>
      </c>
    </row>
    <row r="28503" customHeight="1" spans="2:2">
      <c r="B28503" s="62" t="str">
        <f>IF(AND('领用录入（明细）'!D:D=$F$4,'领用录入（明细）'!C:C&gt;=$J$4,'领用录入（明细）'!C:C&lt;=$L$4),ROW(),"-")</f>
        <v>-</v>
      </c>
    </row>
    <row r="28504" customHeight="1" spans="2:2">
      <c r="B28504" s="62" t="str">
        <f>IF(AND('领用录入（明细）'!D:D=$F$4,'领用录入（明细）'!C:C&gt;=$J$4,'领用录入（明细）'!C:C&lt;=$L$4),ROW(),"-")</f>
        <v>-</v>
      </c>
    </row>
    <row r="28505" customHeight="1" spans="2:2">
      <c r="B28505" s="62" t="str">
        <f>IF(AND('领用录入（明细）'!D:D=$F$4,'领用录入（明细）'!C:C&gt;=$J$4,'领用录入（明细）'!C:C&lt;=$L$4),ROW(),"-")</f>
        <v>-</v>
      </c>
    </row>
    <row r="28506" customHeight="1" spans="2:2">
      <c r="B28506" s="62" t="str">
        <f>IF(AND('领用录入（明细）'!D:D=$F$4,'领用录入（明细）'!C:C&gt;=$J$4,'领用录入（明细）'!C:C&lt;=$L$4),ROW(),"-")</f>
        <v>-</v>
      </c>
    </row>
    <row r="28507" customHeight="1" spans="2:2">
      <c r="B28507" s="62" t="str">
        <f>IF(AND('领用录入（明细）'!D:D=$F$4,'领用录入（明细）'!C:C&gt;=$J$4,'领用录入（明细）'!C:C&lt;=$L$4),ROW(),"-")</f>
        <v>-</v>
      </c>
    </row>
    <row r="28508" customHeight="1" spans="2:2">
      <c r="B28508" s="62" t="str">
        <f>IF(AND('领用录入（明细）'!D:D=$F$4,'领用录入（明细）'!C:C&gt;=$J$4,'领用录入（明细）'!C:C&lt;=$L$4),ROW(),"-")</f>
        <v>-</v>
      </c>
    </row>
    <row r="28509" customHeight="1" spans="2:2">
      <c r="B28509" s="62" t="str">
        <f>IF(AND('领用录入（明细）'!D:D=$F$4,'领用录入（明细）'!C:C&gt;=$J$4,'领用录入（明细）'!C:C&lt;=$L$4),ROW(),"-")</f>
        <v>-</v>
      </c>
    </row>
    <row r="28510" customHeight="1" spans="2:2">
      <c r="B28510" s="62" t="str">
        <f>IF(AND('领用录入（明细）'!D:D=$F$4,'领用录入（明细）'!C:C&gt;=$J$4,'领用录入（明细）'!C:C&lt;=$L$4),ROW(),"-")</f>
        <v>-</v>
      </c>
    </row>
    <row r="28511" customHeight="1" spans="2:2">
      <c r="B28511" s="62" t="str">
        <f>IF(AND('领用录入（明细）'!D:D=$F$4,'领用录入（明细）'!C:C&gt;=$J$4,'领用录入（明细）'!C:C&lt;=$L$4),ROW(),"-")</f>
        <v>-</v>
      </c>
    </row>
    <row r="28512" customHeight="1" spans="2:2">
      <c r="B28512" s="62" t="str">
        <f>IF(AND('领用录入（明细）'!D:D=$F$4,'领用录入（明细）'!C:C&gt;=$J$4,'领用录入（明细）'!C:C&lt;=$L$4),ROW(),"-")</f>
        <v>-</v>
      </c>
    </row>
    <row r="28513" customHeight="1" spans="2:2">
      <c r="B28513" s="62" t="str">
        <f>IF(AND('领用录入（明细）'!D:D=$F$4,'领用录入（明细）'!C:C&gt;=$J$4,'领用录入（明细）'!C:C&lt;=$L$4),ROW(),"-")</f>
        <v>-</v>
      </c>
    </row>
    <row r="28514" customHeight="1" spans="2:2">
      <c r="B28514" s="62" t="str">
        <f>IF(AND('领用录入（明细）'!D:D=$F$4,'领用录入（明细）'!C:C&gt;=$J$4,'领用录入（明细）'!C:C&lt;=$L$4),ROW(),"-")</f>
        <v>-</v>
      </c>
    </row>
    <row r="28515" customHeight="1" spans="2:2">
      <c r="B28515" s="62" t="str">
        <f>IF(AND('领用录入（明细）'!D:D=$F$4,'领用录入（明细）'!C:C&gt;=$J$4,'领用录入（明细）'!C:C&lt;=$L$4),ROW(),"-")</f>
        <v>-</v>
      </c>
    </row>
    <row r="28516" customHeight="1" spans="2:2">
      <c r="B28516" s="62" t="str">
        <f>IF(AND('领用录入（明细）'!D:D=$F$4,'领用录入（明细）'!C:C&gt;=$J$4,'领用录入（明细）'!C:C&lt;=$L$4),ROW(),"-")</f>
        <v>-</v>
      </c>
    </row>
    <row r="28517" customHeight="1" spans="2:2">
      <c r="B28517" s="62" t="str">
        <f>IF(AND('领用录入（明细）'!D:D=$F$4,'领用录入（明细）'!C:C&gt;=$J$4,'领用录入（明细）'!C:C&lt;=$L$4),ROW(),"-")</f>
        <v>-</v>
      </c>
    </row>
    <row r="28518" customHeight="1" spans="2:2">
      <c r="B28518" s="62" t="str">
        <f>IF(AND('领用录入（明细）'!D:D=$F$4,'领用录入（明细）'!C:C&gt;=$J$4,'领用录入（明细）'!C:C&lt;=$L$4),ROW(),"-")</f>
        <v>-</v>
      </c>
    </row>
    <row r="28519" customHeight="1" spans="2:2">
      <c r="B28519" s="62" t="str">
        <f>IF(AND('领用录入（明细）'!D:D=$F$4,'领用录入（明细）'!C:C&gt;=$J$4,'领用录入（明细）'!C:C&lt;=$L$4),ROW(),"-")</f>
        <v>-</v>
      </c>
    </row>
    <row r="28520" customHeight="1" spans="2:2">
      <c r="B28520" s="62" t="str">
        <f>IF(AND('领用录入（明细）'!D:D=$F$4,'领用录入（明细）'!C:C&gt;=$J$4,'领用录入（明细）'!C:C&lt;=$L$4),ROW(),"-")</f>
        <v>-</v>
      </c>
    </row>
    <row r="28521" customHeight="1" spans="2:2">
      <c r="B28521" s="62" t="str">
        <f>IF(AND('领用录入（明细）'!D:D=$F$4,'领用录入（明细）'!C:C&gt;=$J$4,'领用录入（明细）'!C:C&lt;=$L$4),ROW(),"-")</f>
        <v>-</v>
      </c>
    </row>
    <row r="28522" customHeight="1" spans="2:2">
      <c r="B28522" s="62" t="str">
        <f>IF(AND('领用录入（明细）'!D:D=$F$4,'领用录入（明细）'!C:C&gt;=$J$4,'领用录入（明细）'!C:C&lt;=$L$4),ROW(),"-")</f>
        <v>-</v>
      </c>
    </row>
    <row r="28523" customHeight="1" spans="2:2">
      <c r="B28523" s="62" t="str">
        <f>IF(AND('领用录入（明细）'!D:D=$F$4,'领用录入（明细）'!C:C&gt;=$J$4,'领用录入（明细）'!C:C&lt;=$L$4),ROW(),"-")</f>
        <v>-</v>
      </c>
    </row>
    <row r="28524" customHeight="1" spans="2:2">
      <c r="B28524" s="62" t="str">
        <f>IF(AND('领用录入（明细）'!D:D=$F$4,'领用录入（明细）'!C:C&gt;=$J$4,'领用录入（明细）'!C:C&lt;=$L$4),ROW(),"-")</f>
        <v>-</v>
      </c>
    </row>
    <row r="28525" customHeight="1" spans="2:2">
      <c r="B28525" s="62" t="str">
        <f>IF(AND('领用录入（明细）'!D:D=$F$4,'领用录入（明细）'!C:C&gt;=$J$4,'领用录入（明细）'!C:C&lt;=$L$4),ROW(),"-")</f>
        <v>-</v>
      </c>
    </row>
    <row r="28526" customHeight="1" spans="2:2">
      <c r="B28526" s="62" t="str">
        <f>IF(AND('领用录入（明细）'!D:D=$F$4,'领用录入（明细）'!C:C&gt;=$J$4,'领用录入（明细）'!C:C&lt;=$L$4),ROW(),"-")</f>
        <v>-</v>
      </c>
    </row>
    <row r="28527" customHeight="1" spans="2:2">
      <c r="B28527" s="62" t="str">
        <f>IF(AND('领用录入（明细）'!D:D=$F$4,'领用录入（明细）'!C:C&gt;=$J$4,'领用录入（明细）'!C:C&lt;=$L$4),ROW(),"-")</f>
        <v>-</v>
      </c>
    </row>
    <row r="28528" customHeight="1" spans="2:2">
      <c r="B28528" s="62" t="str">
        <f>IF(AND('领用录入（明细）'!D:D=$F$4,'领用录入（明细）'!C:C&gt;=$J$4,'领用录入（明细）'!C:C&lt;=$L$4),ROW(),"-")</f>
        <v>-</v>
      </c>
    </row>
    <row r="28529" customHeight="1" spans="2:2">
      <c r="B28529" s="62" t="str">
        <f>IF(AND('领用录入（明细）'!D:D=$F$4,'领用录入（明细）'!C:C&gt;=$J$4,'领用录入（明细）'!C:C&lt;=$L$4),ROW(),"-")</f>
        <v>-</v>
      </c>
    </row>
    <row r="28530" customHeight="1" spans="2:2">
      <c r="B28530" s="62" t="str">
        <f>IF(AND('领用录入（明细）'!D:D=$F$4,'领用录入（明细）'!C:C&gt;=$J$4,'领用录入（明细）'!C:C&lt;=$L$4),ROW(),"-")</f>
        <v>-</v>
      </c>
    </row>
    <row r="28531" customHeight="1" spans="2:2">
      <c r="B28531" s="62" t="str">
        <f>IF(AND('领用录入（明细）'!D:D=$F$4,'领用录入（明细）'!C:C&gt;=$J$4,'领用录入（明细）'!C:C&lt;=$L$4),ROW(),"-")</f>
        <v>-</v>
      </c>
    </row>
    <row r="28532" customHeight="1" spans="2:2">
      <c r="B28532" s="62" t="str">
        <f>IF(AND('领用录入（明细）'!D:D=$F$4,'领用录入（明细）'!C:C&gt;=$J$4,'领用录入（明细）'!C:C&lt;=$L$4),ROW(),"-")</f>
        <v>-</v>
      </c>
    </row>
    <row r="28533" customHeight="1" spans="2:2">
      <c r="B28533" s="62" t="str">
        <f>IF(AND('领用录入（明细）'!D:D=$F$4,'领用录入（明细）'!C:C&gt;=$J$4,'领用录入（明细）'!C:C&lt;=$L$4),ROW(),"-")</f>
        <v>-</v>
      </c>
    </row>
    <row r="28534" customHeight="1" spans="2:2">
      <c r="B28534" s="62" t="str">
        <f>IF(AND('领用录入（明细）'!D:D=$F$4,'领用录入（明细）'!C:C&gt;=$J$4,'领用录入（明细）'!C:C&lt;=$L$4),ROW(),"-")</f>
        <v>-</v>
      </c>
    </row>
    <row r="28535" customHeight="1" spans="2:2">
      <c r="B28535" s="62" t="str">
        <f>IF(AND('领用录入（明细）'!D:D=$F$4,'领用录入（明细）'!C:C&gt;=$J$4,'领用录入（明细）'!C:C&lt;=$L$4),ROW(),"-")</f>
        <v>-</v>
      </c>
    </row>
    <row r="28536" customHeight="1" spans="2:2">
      <c r="B28536" s="62" t="str">
        <f>IF(AND('领用录入（明细）'!D:D=$F$4,'领用录入（明细）'!C:C&gt;=$J$4,'领用录入（明细）'!C:C&lt;=$L$4),ROW(),"-")</f>
        <v>-</v>
      </c>
    </row>
    <row r="28537" customHeight="1" spans="2:2">
      <c r="B28537" s="62" t="str">
        <f>IF(AND('领用录入（明细）'!D:D=$F$4,'领用录入（明细）'!C:C&gt;=$J$4,'领用录入（明细）'!C:C&lt;=$L$4),ROW(),"-")</f>
        <v>-</v>
      </c>
    </row>
    <row r="28538" customHeight="1" spans="2:2">
      <c r="B28538" s="62" t="str">
        <f>IF(AND('领用录入（明细）'!D:D=$F$4,'领用录入（明细）'!C:C&gt;=$J$4,'领用录入（明细）'!C:C&lt;=$L$4),ROW(),"-")</f>
        <v>-</v>
      </c>
    </row>
    <row r="28539" customHeight="1" spans="2:2">
      <c r="B28539" s="62" t="str">
        <f>IF(AND('领用录入（明细）'!D:D=$F$4,'领用录入（明细）'!C:C&gt;=$J$4,'领用录入（明细）'!C:C&lt;=$L$4),ROW(),"-")</f>
        <v>-</v>
      </c>
    </row>
    <row r="28540" customHeight="1" spans="2:2">
      <c r="B28540" s="62" t="str">
        <f>IF(AND('领用录入（明细）'!D:D=$F$4,'领用录入（明细）'!C:C&gt;=$J$4,'领用录入（明细）'!C:C&lt;=$L$4),ROW(),"-")</f>
        <v>-</v>
      </c>
    </row>
    <row r="28541" customHeight="1" spans="2:2">
      <c r="B28541" s="62" t="str">
        <f>IF(AND('领用录入（明细）'!D:D=$F$4,'领用录入（明细）'!C:C&gt;=$J$4,'领用录入（明细）'!C:C&lt;=$L$4),ROW(),"-")</f>
        <v>-</v>
      </c>
    </row>
    <row r="28542" customHeight="1" spans="2:2">
      <c r="B28542" s="62" t="str">
        <f>IF(AND('领用录入（明细）'!D:D=$F$4,'领用录入（明细）'!C:C&gt;=$J$4,'领用录入（明细）'!C:C&lt;=$L$4),ROW(),"-")</f>
        <v>-</v>
      </c>
    </row>
    <row r="28543" customHeight="1" spans="2:2">
      <c r="B28543" s="62" t="str">
        <f>IF(AND('领用录入（明细）'!D:D=$F$4,'领用录入（明细）'!C:C&gt;=$J$4,'领用录入（明细）'!C:C&lt;=$L$4),ROW(),"-")</f>
        <v>-</v>
      </c>
    </row>
    <row r="28544" customHeight="1" spans="2:2">
      <c r="B28544" s="62" t="str">
        <f>IF(AND('领用录入（明细）'!D:D=$F$4,'领用录入（明细）'!C:C&gt;=$J$4,'领用录入（明细）'!C:C&lt;=$L$4),ROW(),"-")</f>
        <v>-</v>
      </c>
    </row>
    <row r="28545" customHeight="1" spans="2:2">
      <c r="B28545" s="62" t="str">
        <f>IF(AND('领用录入（明细）'!D:D=$F$4,'领用录入（明细）'!C:C&gt;=$J$4,'领用录入（明细）'!C:C&lt;=$L$4),ROW(),"-")</f>
        <v>-</v>
      </c>
    </row>
    <row r="28546" customHeight="1" spans="2:2">
      <c r="B28546" s="62" t="str">
        <f>IF(AND('领用录入（明细）'!D:D=$F$4,'领用录入（明细）'!C:C&gt;=$J$4,'领用录入（明细）'!C:C&lt;=$L$4),ROW(),"-")</f>
        <v>-</v>
      </c>
    </row>
    <row r="28547" customHeight="1" spans="2:2">
      <c r="B28547" s="62" t="str">
        <f>IF(AND('领用录入（明细）'!D:D=$F$4,'领用录入（明细）'!C:C&gt;=$J$4,'领用录入（明细）'!C:C&lt;=$L$4),ROW(),"-")</f>
        <v>-</v>
      </c>
    </row>
    <row r="28548" customHeight="1" spans="2:2">
      <c r="B28548" s="62" t="str">
        <f>IF(AND('领用录入（明细）'!D:D=$F$4,'领用录入（明细）'!C:C&gt;=$J$4,'领用录入（明细）'!C:C&lt;=$L$4),ROW(),"-")</f>
        <v>-</v>
      </c>
    </row>
    <row r="28549" customHeight="1" spans="2:2">
      <c r="B28549" s="62" t="str">
        <f>IF(AND('领用录入（明细）'!D:D=$F$4,'领用录入（明细）'!C:C&gt;=$J$4,'领用录入（明细）'!C:C&lt;=$L$4),ROW(),"-")</f>
        <v>-</v>
      </c>
    </row>
    <row r="28550" customHeight="1" spans="2:2">
      <c r="B28550" s="62" t="str">
        <f>IF(AND('领用录入（明细）'!D:D=$F$4,'领用录入（明细）'!C:C&gt;=$J$4,'领用录入（明细）'!C:C&lt;=$L$4),ROW(),"-")</f>
        <v>-</v>
      </c>
    </row>
    <row r="28551" customHeight="1" spans="2:2">
      <c r="B28551" s="62" t="str">
        <f>IF(AND('领用录入（明细）'!D:D=$F$4,'领用录入（明细）'!C:C&gt;=$J$4,'领用录入（明细）'!C:C&lt;=$L$4),ROW(),"-")</f>
        <v>-</v>
      </c>
    </row>
    <row r="28552" customHeight="1" spans="2:2">
      <c r="B28552" s="62" t="str">
        <f>IF(AND('领用录入（明细）'!D:D=$F$4,'领用录入（明细）'!C:C&gt;=$J$4,'领用录入（明细）'!C:C&lt;=$L$4),ROW(),"-")</f>
        <v>-</v>
      </c>
    </row>
    <row r="28553" customHeight="1" spans="2:2">
      <c r="B28553" s="62" t="str">
        <f>IF(AND('领用录入（明细）'!D:D=$F$4,'领用录入（明细）'!C:C&gt;=$J$4,'领用录入（明细）'!C:C&lt;=$L$4),ROW(),"-")</f>
        <v>-</v>
      </c>
    </row>
    <row r="28554" customHeight="1" spans="2:2">
      <c r="B28554" s="62" t="str">
        <f>IF(AND('领用录入（明细）'!D:D=$F$4,'领用录入（明细）'!C:C&gt;=$J$4,'领用录入（明细）'!C:C&lt;=$L$4),ROW(),"-")</f>
        <v>-</v>
      </c>
    </row>
    <row r="28555" customHeight="1" spans="2:2">
      <c r="B28555" s="62" t="str">
        <f>IF(AND('领用录入（明细）'!D:D=$F$4,'领用录入（明细）'!C:C&gt;=$J$4,'领用录入（明细）'!C:C&lt;=$L$4),ROW(),"-")</f>
        <v>-</v>
      </c>
    </row>
    <row r="28556" customHeight="1" spans="2:2">
      <c r="B28556" s="62" t="str">
        <f>IF(AND('领用录入（明细）'!D:D=$F$4,'领用录入（明细）'!C:C&gt;=$J$4,'领用录入（明细）'!C:C&lt;=$L$4),ROW(),"-")</f>
        <v>-</v>
      </c>
    </row>
    <row r="28557" customHeight="1" spans="2:2">
      <c r="B28557" s="62" t="str">
        <f>IF(AND('领用录入（明细）'!D:D=$F$4,'领用录入（明细）'!C:C&gt;=$J$4,'领用录入（明细）'!C:C&lt;=$L$4),ROW(),"-")</f>
        <v>-</v>
      </c>
    </row>
    <row r="28558" customHeight="1" spans="2:2">
      <c r="B28558" s="62" t="str">
        <f>IF(AND('领用录入（明细）'!D:D=$F$4,'领用录入（明细）'!C:C&gt;=$J$4,'领用录入（明细）'!C:C&lt;=$L$4),ROW(),"-")</f>
        <v>-</v>
      </c>
    </row>
    <row r="28559" customHeight="1" spans="2:2">
      <c r="B28559" s="62" t="str">
        <f>IF(AND('领用录入（明细）'!D:D=$F$4,'领用录入（明细）'!C:C&gt;=$J$4,'领用录入（明细）'!C:C&lt;=$L$4),ROW(),"-")</f>
        <v>-</v>
      </c>
    </row>
    <row r="28560" customHeight="1" spans="2:2">
      <c r="B28560" s="62" t="str">
        <f>IF(AND('领用录入（明细）'!D:D=$F$4,'领用录入（明细）'!C:C&gt;=$J$4,'领用录入（明细）'!C:C&lt;=$L$4),ROW(),"-")</f>
        <v>-</v>
      </c>
    </row>
    <row r="28561" customHeight="1" spans="2:2">
      <c r="B28561" s="62" t="str">
        <f>IF(AND('领用录入（明细）'!D:D=$F$4,'领用录入（明细）'!C:C&gt;=$J$4,'领用录入（明细）'!C:C&lt;=$L$4),ROW(),"-")</f>
        <v>-</v>
      </c>
    </row>
    <row r="28562" customHeight="1" spans="2:2">
      <c r="B28562" s="62" t="str">
        <f>IF(AND('领用录入（明细）'!D:D=$F$4,'领用录入（明细）'!C:C&gt;=$J$4,'领用录入（明细）'!C:C&lt;=$L$4),ROW(),"-")</f>
        <v>-</v>
      </c>
    </row>
    <row r="28563" customHeight="1" spans="2:2">
      <c r="B28563" s="62" t="str">
        <f>IF(AND('领用录入（明细）'!D:D=$F$4,'领用录入（明细）'!C:C&gt;=$J$4,'领用录入（明细）'!C:C&lt;=$L$4),ROW(),"-")</f>
        <v>-</v>
      </c>
    </row>
    <row r="28564" customHeight="1" spans="2:2">
      <c r="B28564" s="62" t="str">
        <f>IF(AND('领用录入（明细）'!D:D=$F$4,'领用录入（明细）'!C:C&gt;=$J$4,'领用录入（明细）'!C:C&lt;=$L$4),ROW(),"-")</f>
        <v>-</v>
      </c>
    </row>
    <row r="28565" customHeight="1" spans="2:2">
      <c r="B28565" s="62" t="str">
        <f>IF(AND('领用录入（明细）'!D:D=$F$4,'领用录入（明细）'!C:C&gt;=$J$4,'领用录入（明细）'!C:C&lt;=$L$4),ROW(),"-")</f>
        <v>-</v>
      </c>
    </row>
    <row r="28566" customHeight="1" spans="2:2">
      <c r="B28566" s="62" t="str">
        <f>IF(AND('领用录入（明细）'!D:D=$F$4,'领用录入（明细）'!C:C&gt;=$J$4,'领用录入（明细）'!C:C&lt;=$L$4),ROW(),"-")</f>
        <v>-</v>
      </c>
    </row>
    <row r="28567" customHeight="1" spans="2:2">
      <c r="B28567" s="62" t="str">
        <f>IF(AND('领用录入（明细）'!D:D=$F$4,'领用录入（明细）'!C:C&gt;=$J$4,'领用录入（明细）'!C:C&lt;=$L$4),ROW(),"-")</f>
        <v>-</v>
      </c>
    </row>
    <row r="28568" customHeight="1" spans="2:2">
      <c r="B28568" s="62" t="str">
        <f>IF(AND('领用录入（明细）'!D:D=$F$4,'领用录入（明细）'!C:C&gt;=$J$4,'领用录入（明细）'!C:C&lt;=$L$4),ROW(),"-")</f>
        <v>-</v>
      </c>
    </row>
    <row r="28569" customHeight="1" spans="2:2">
      <c r="B28569" s="62" t="str">
        <f>IF(AND('领用录入（明细）'!D:D=$F$4,'领用录入（明细）'!C:C&gt;=$J$4,'领用录入（明细）'!C:C&lt;=$L$4),ROW(),"-")</f>
        <v>-</v>
      </c>
    </row>
    <row r="28570" customHeight="1" spans="2:2">
      <c r="B28570" s="62" t="str">
        <f>IF(AND('领用录入（明细）'!D:D=$F$4,'领用录入（明细）'!C:C&gt;=$J$4,'领用录入（明细）'!C:C&lt;=$L$4),ROW(),"-")</f>
        <v>-</v>
      </c>
    </row>
    <row r="28571" customHeight="1" spans="2:2">
      <c r="B28571" s="62" t="str">
        <f>IF(AND('领用录入（明细）'!D:D=$F$4,'领用录入（明细）'!C:C&gt;=$J$4,'领用录入（明细）'!C:C&lt;=$L$4),ROW(),"-")</f>
        <v>-</v>
      </c>
    </row>
    <row r="28572" customHeight="1" spans="2:2">
      <c r="B28572" s="62" t="str">
        <f>IF(AND('领用录入（明细）'!D:D=$F$4,'领用录入（明细）'!C:C&gt;=$J$4,'领用录入（明细）'!C:C&lt;=$L$4),ROW(),"-")</f>
        <v>-</v>
      </c>
    </row>
    <row r="28573" customHeight="1" spans="2:2">
      <c r="B28573" s="62" t="str">
        <f>IF(AND('领用录入（明细）'!D:D=$F$4,'领用录入（明细）'!C:C&gt;=$J$4,'领用录入（明细）'!C:C&lt;=$L$4),ROW(),"-")</f>
        <v>-</v>
      </c>
    </row>
    <row r="28574" customHeight="1" spans="2:2">
      <c r="B28574" s="62" t="str">
        <f>IF(AND('领用录入（明细）'!D:D=$F$4,'领用录入（明细）'!C:C&gt;=$J$4,'领用录入（明细）'!C:C&lt;=$L$4),ROW(),"-")</f>
        <v>-</v>
      </c>
    </row>
    <row r="28575" customHeight="1" spans="2:2">
      <c r="B28575" s="62" t="str">
        <f>IF(AND('领用录入（明细）'!D:D=$F$4,'领用录入（明细）'!C:C&gt;=$J$4,'领用录入（明细）'!C:C&lt;=$L$4),ROW(),"-")</f>
        <v>-</v>
      </c>
    </row>
    <row r="28576" customHeight="1" spans="2:2">
      <c r="B28576" s="62" t="str">
        <f>IF(AND('领用录入（明细）'!D:D=$F$4,'领用录入（明细）'!C:C&gt;=$J$4,'领用录入（明细）'!C:C&lt;=$L$4),ROW(),"-")</f>
        <v>-</v>
      </c>
    </row>
    <row r="28577" customHeight="1" spans="2:2">
      <c r="B28577" s="62" t="str">
        <f>IF(AND('领用录入（明细）'!D:D=$F$4,'领用录入（明细）'!C:C&gt;=$J$4,'领用录入（明细）'!C:C&lt;=$L$4),ROW(),"-")</f>
        <v>-</v>
      </c>
    </row>
    <row r="28578" customHeight="1" spans="2:2">
      <c r="B28578" s="62" t="str">
        <f>IF(AND('领用录入（明细）'!D:D=$F$4,'领用录入（明细）'!C:C&gt;=$J$4,'领用录入（明细）'!C:C&lt;=$L$4),ROW(),"-")</f>
        <v>-</v>
      </c>
    </row>
    <row r="28579" customHeight="1" spans="2:2">
      <c r="B28579" s="62" t="str">
        <f>IF(AND('领用录入（明细）'!D:D=$F$4,'领用录入（明细）'!C:C&gt;=$J$4,'领用录入（明细）'!C:C&lt;=$L$4),ROW(),"-")</f>
        <v>-</v>
      </c>
    </row>
    <row r="28580" customHeight="1" spans="2:2">
      <c r="B28580" s="62" t="str">
        <f>IF(AND('领用录入（明细）'!D:D=$F$4,'领用录入（明细）'!C:C&gt;=$J$4,'领用录入（明细）'!C:C&lt;=$L$4),ROW(),"-")</f>
        <v>-</v>
      </c>
    </row>
    <row r="28581" customHeight="1" spans="2:2">
      <c r="B28581" s="62" t="str">
        <f>IF(AND('领用录入（明细）'!D:D=$F$4,'领用录入（明细）'!C:C&gt;=$J$4,'领用录入（明细）'!C:C&lt;=$L$4),ROW(),"-")</f>
        <v>-</v>
      </c>
    </row>
    <row r="28582" customHeight="1" spans="2:2">
      <c r="B28582" s="62" t="str">
        <f>IF(AND('领用录入（明细）'!D:D=$F$4,'领用录入（明细）'!C:C&gt;=$J$4,'领用录入（明细）'!C:C&lt;=$L$4),ROW(),"-")</f>
        <v>-</v>
      </c>
    </row>
    <row r="28583" customHeight="1" spans="2:2">
      <c r="B28583" s="62" t="str">
        <f>IF(AND('领用录入（明细）'!D:D=$F$4,'领用录入（明细）'!C:C&gt;=$J$4,'领用录入（明细）'!C:C&lt;=$L$4),ROW(),"-")</f>
        <v>-</v>
      </c>
    </row>
    <row r="28584" customHeight="1" spans="2:2">
      <c r="B28584" s="62" t="str">
        <f>IF(AND('领用录入（明细）'!D:D=$F$4,'领用录入（明细）'!C:C&gt;=$J$4,'领用录入（明细）'!C:C&lt;=$L$4),ROW(),"-")</f>
        <v>-</v>
      </c>
    </row>
    <row r="28585" customHeight="1" spans="2:2">
      <c r="B28585" s="62" t="str">
        <f>IF(AND('领用录入（明细）'!D:D=$F$4,'领用录入（明细）'!C:C&gt;=$J$4,'领用录入（明细）'!C:C&lt;=$L$4),ROW(),"-")</f>
        <v>-</v>
      </c>
    </row>
    <row r="28586" customHeight="1" spans="2:2">
      <c r="B28586" s="62" t="str">
        <f>IF(AND('领用录入（明细）'!D:D=$F$4,'领用录入（明细）'!C:C&gt;=$J$4,'领用录入（明细）'!C:C&lt;=$L$4),ROW(),"-")</f>
        <v>-</v>
      </c>
    </row>
    <row r="28587" customHeight="1" spans="2:2">
      <c r="B28587" s="62" t="str">
        <f>IF(AND('领用录入（明细）'!D:D=$F$4,'领用录入（明细）'!C:C&gt;=$J$4,'领用录入（明细）'!C:C&lt;=$L$4),ROW(),"-")</f>
        <v>-</v>
      </c>
    </row>
    <row r="28588" customHeight="1" spans="2:2">
      <c r="B28588" s="62" t="str">
        <f>IF(AND('领用录入（明细）'!D:D=$F$4,'领用录入（明细）'!C:C&gt;=$J$4,'领用录入（明细）'!C:C&lt;=$L$4),ROW(),"-")</f>
        <v>-</v>
      </c>
    </row>
    <row r="28589" customHeight="1" spans="2:2">
      <c r="B28589" s="62" t="str">
        <f>IF(AND('领用录入（明细）'!D:D=$F$4,'领用录入（明细）'!C:C&gt;=$J$4,'领用录入（明细）'!C:C&lt;=$L$4),ROW(),"-")</f>
        <v>-</v>
      </c>
    </row>
    <row r="28590" customHeight="1" spans="2:2">
      <c r="B28590" s="62" t="str">
        <f>IF(AND('领用录入（明细）'!D:D=$F$4,'领用录入（明细）'!C:C&gt;=$J$4,'领用录入（明细）'!C:C&lt;=$L$4),ROW(),"-")</f>
        <v>-</v>
      </c>
    </row>
    <row r="28591" customHeight="1" spans="2:2">
      <c r="B28591" s="62" t="str">
        <f>IF(AND('领用录入（明细）'!D:D=$F$4,'领用录入（明细）'!C:C&gt;=$J$4,'领用录入（明细）'!C:C&lt;=$L$4),ROW(),"-")</f>
        <v>-</v>
      </c>
    </row>
    <row r="28592" customHeight="1" spans="2:2">
      <c r="B28592" s="62" t="str">
        <f>IF(AND('领用录入（明细）'!D:D=$F$4,'领用录入（明细）'!C:C&gt;=$J$4,'领用录入（明细）'!C:C&lt;=$L$4),ROW(),"-")</f>
        <v>-</v>
      </c>
    </row>
    <row r="28593" customHeight="1" spans="2:2">
      <c r="B28593" s="62" t="str">
        <f>IF(AND('领用录入（明细）'!D:D=$F$4,'领用录入（明细）'!C:C&gt;=$J$4,'领用录入（明细）'!C:C&lt;=$L$4),ROW(),"-")</f>
        <v>-</v>
      </c>
    </row>
    <row r="28594" customHeight="1" spans="2:2">
      <c r="B28594" s="62" t="str">
        <f>IF(AND('领用录入（明细）'!D:D=$F$4,'领用录入（明细）'!C:C&gt;=$J$4,'领用录入（明细）'!C:C&lt;=$L$4),ROW(),"-")</f>
        <v>-</v>
      </c>
    </row>
    <row r="28595" customHeight="1" spans="2:2">
      <c r="B28595" s="62" t="str">
        <f>IF(AND('领用录入（明细）'!D:D=$F$4,'领用录入（明细）'!C:C&gt;=$J$4,'领用录入（明细）'!C:C&lt;=$L$4),ROW(),"-")</f>
        <v>-</v>
      </c>
    </row>
    <row r="28596" customHeight="1" spans="2:2">
      <c r="B28596" s="62" t="str">
        <f>IF(AND('领用录入（明细）'!D:D=$F$4,'领用录入（明细）'!C:C&gt;=$J$4,'领用录入（明细）'!C:C&lt;=$L$4),ROW(),"-")</f>
        <v>-</v>
      </c>
    </row>
    <row r="28597" customHeight="1" spans="2:2">
      <c r="B28597" s="62" t="str">
        <f>IF(AND('领用录入（明细）'!D:D=$F$4,'领用录入（明细）'!C:C&gt;=$J$4,'领用录入（明细）'!C:C&lt;=$L$4),ROW(),"-")</f>
        <v>-</v>
      </c>
    </row>
    <row r="28598" customHeight="1" spans="2:2">
      <c r="B28598" s="62" t="str">
        <f>IF(AND('领用录入（明细）'!D:D=$F$4,'领用录入（明细）'!C:C&gt;=$J$4,'领用录入（明细）'!C:C&lt;=$L$4),ROW(),"-")</f>
        <v>-</v>
      </c>
    </row>
    <row r="28599" customHeight="1" spans="2:2">
      <c r="B28599" s="62" t="str">
        <f>IF(AND('领用录入（明细）'!D:D=$F$4,'领用录入（明细）'!C:C&gt;=$J$4,'领用录入（明细）'!C:C&lt;=$L$4),ROW(),"-")</f>
        <v>-</v>
      </c>
    </row>
    <row r="28600" customHeight="1" spans="2:2">
      <c r="B28600" s="62" t="str">
        <f>IF(AND('领用录入（明细）'!D:D=$F$4,'领用录入（明细）'!C:C&gt;=$J$4,'领用录入（明细）'!C:C&lt;=$L$4),ROW(),"-")</f>
        <v>-</v>
      </c>
    </row>
    <row r="28601" customHeight="1" spans="2:2">
      <c r="B28601" s="62" t="str">
        <f>IF(AND('领用录入（明细）'!D:D=$F$4,'领用录入（明细）'!C:C&gt;=$J$4,'领用录入（明细）'!C:C&lt;=$L$4),ROW(),"-")</f>
        <v>-</v>
      </c>
    </row>
    <row r="28602" customHeight="1" spans="2:2">
      <c r="B28602" s="62" t="str">
        <f>IF(AND('领用录入（明细）'!D:D=$F$4,'领用录入（明细）'!C:C&gt;=$J$4,'领用录入（明细）'!C:C&lt;=$L$4),ROW(),"-")</f>
        <v>-</v>
      </c>
    </row>
    <row r="28603" customHeight="1" spans="2:2">
      <c r="B28603" s="62" t="str">
        <f>IF(AND('领用录入（明细）'!D:D=$F$4,'领用录入（明细）'!C:C&gt;=$J$4,'领用录入（明细）'!C:C&lt;=$L$4),ROW(),"-")</f>
        <v>-</v>
      </c>
    </row>
    <row r="28604" customHeight="1" spans="2:2">
      <c r="B28604" s="62" t="str">
        <f>IF(AND('领用录入（明细）'!D:D=$F$4,'领用录入（明细）'!C:C&gt;=$J$4,'领用录入（明细）'!C:C&lt;=$L$4),ROW(),"-")</f>
        <v>-</v>
      </c>
    </row>
    <row r="28605" customHeight="1" spans="2:2">
      <c r="B28605" s="62" t="str">
        <f>IF(AND('领用录入（明细）'!D:D=$F$4,'领用录入（明细）'!C:C&gt;=$J$4,'领用录入（明细）'!C:C&lt;=$L$4),ROW(),"-")</f>
        <v>-</v>
      </c>
    </row>
    <row r="28606" customHeight="1" spans="2:2">
      <c r="B28606" s="62" t="str">
        <f>IF(AND('领用录入（明细）'!D:D=$F$4,'领用录入（明细）'!C:C&gt;=$J$4,'领用录入（明细）'!C:C&lt;=$L$4),ROW(),"-")</f>
        <v>-</v>
      </c>
    </row>
    <row r="28607" customHeight="1" spans="2:2">
      <c r="B28607" s="62" t="str">
        <f>IF(AND('领用录入（明细）'!D:D=$F$4,'领用录入（明细）'!C:C&gt;=$J$4,'领用录入（明细）'!C:C&lt;=$L$4),ROW(),"-")</f>
        <v>-</v>
      </c>
    </row>
    <row r="28608" customHeight="1" spans="2:2">
      <c r="B28608" s="62" t="str">
        <f>IF(AND('领用录入（明细）'!D:D=$F$4,'领用录入（明细）'!C:C&gt;=$J$4,'领用录入（明细）'!C:C&lt;=$L$4),ROW(),"-")</f>
        <v>-</v>
      </c>
    </row>
    <row r="28609" customHeight="1" spans="2:2">
      <c r="B28609" s="62" t="str">
        <f>IF(AND('领用录入（明细）'!D:D=$F$4,'领用录入（明细）'!C:C&gt;=$J$4,'领用录入（明细）'!C:C&lt;=$L$4),ROW(),"-")</f>
        <v>-</v>
      </c>
    </row>
    <row r="28610" customHeight="1" spans="2:2">
      <c r="B28610" s="62" t="str">
        <f>IF(AND('领用录入（明细）'!D:D=$F$4,'领用录入（明细）'!C:C&gt;=$J$4,'领用录入（明细）'!C:C&lt;=$L$4),ROW(),"-")</f>
        <v>-</v>
      </c>
    </row>
    <row r="28611" customHeight="1" spans="2:2">
      <c r="B28611" s="62" t="str">
        <f>IF(AND('领用录入（明细）'!D:D=$F$4,'领用录入（明细）'!C:C&gt;=$J$4,'领用录入（明细）'!C:C&lt;=$L$4),ROW(),"-")</f>
        <v>-</v>
      </c>
    </row>
    <row r="28612" customHeight="1" spans="2:2">
      <c r="B28612" s="62" t="str">
        <f>IF(AND('领用录入（明细）'!D:D=$F$4,'领用录入（明细）'!C:C&gt;=$J$4,'领用录入（明细）'!C:C&lt;=$L$4),ROW(),"-")</f>
        <v>-</v>
      </c>
    </row>
    <row r="28613" customHeight="1" spans="2:2">
      <c r="B28613" s="62" t="str">
        <f>IF(AND('领用录入（明细）'!D:D=$F$4,'领用录入（明细）'!C:C&gt;=$J$4,'领用录入（明细）'!C:C&lt;=$L$4),ROW(),"-")</f>
        <v>-</v>
      </c>
    </row>
    <row r="28614" customHeight="1" spans="2:2">
      <c r="B28614" s="62" t="str">
        <f>IF(AND('领用录入（明细）'!D:D=$F$4,'领用录入（明细）'!C:C&gt;=$J$4,'领用录入（明细）'!C:C&lt;=$L$4),ROW(),"-")</f>
        <v>-</v>
      </c>
    </row>
    <row r="28615" customHeight="1" spans="2:2">
      <c r="B28615" s="62" t="str">
        <f>IF(AND('领用录入（明细）'!D:D=$F$4,'领用录入（明细）'!C:C&gt;=$J$4,'领用录入（明细）'!C:C&lt;=$L$4),ROW(),"-")</f>
        <v>-</v>
      </c>
    </row>
    <row r="28616" customHeight="1" spans="2:2">
      <c r="B28616" s="62" t="str">
        <f>IF(AND('领用录入（明细）'!D:D=$F$4,'领用录入（明细）'!C:C&gt;=$J$4,'领用录入（明细）'!C:C&lt;=$L$4),ROW(),"-")</f>
        <v>-</v>
      </c>
    </row>
    <row r="28617" customHeight="1" spans="2:2">
      <c r="B28617" s="62" t="str">
        <f>IF(AND('领用录入（明细）'!D:D=$F$4,'领用录入（明细）'!C:C&gt;=$J$4,'领用录入（明细）'!C:C&lt;=$L$4),ROW(),"-")</f>
        <v>-</v>
      </c>
    </row>
    <row r="28618" customHeight="1" spans="2:2">
      <c r="B28618" s="62" t="str">
        <f>IF(AND('领用录入（明细）'!D:D=$F$4,'领用录入（明细）'!C:C&gt;=$J$4,'领用录入（明细）'!C:C&lt;=$L$4),ROW(),"-")</f>
        <v>-</v>
      </c>
    </row>
    <row r="28619" customHeight="1" spans="2:2">
      <c r="B28619" s="62" t="str">
        <f>IF(AND('领用录入（明细）'!D:D=$F$4,'领用录入（明细）'!C:C&gt;=$J$4,'领用录入（明细）'!C:C&lt;=$L$4),ROW(),"-")</f>
        <v>-</v>
      </c>
    </row>
    <row r="28620" customHeight="1" spans="2:2">
      <c r="B28620" s="62" t="str">
        <f>IF(AND('领用录入（明细）'!D:D=$F$4,'领用录入（明细）'!C:C&gt;=$J$4,'领用录入（明细）'!C:C&lt;=$L$4),ROW(),"-")</f>
        <v>-</v>
      </c>
    </row>
    <row r="28621" customHeight="1" spans="2:2">
      <c r="B28621" s="62" t="str">
        <f>IF(AND('领用录入（明细）'!D:D=$F$4,'领用录入（明细）'!C:C&gt;=$J$4,'领用录入（明细）'!C:C&lt;=$L$4),ROW(),"-")</f>
        <v>-</v>
      </c>
    </row>
    <row r="28622" customHeight="1" spans="2:2">
      <c r="B28622" s="62" t="str">
        <f>IF(AND('领用录入（明细）'!D:D=$F$4,'领用录入（明细）'!C:C&gt;=$J$4,'领用录入（明细）'!C:C&lt;=$L$4),ROW(),"-")</f>
        <v>-</v>
      </c>
    </row>
    <row r="28623" customHeight="1" spans="2:2">
      <c r="B28623" s="62" t="str">
        <f>IF(AND('领用录入（明细）'!D:D=$F$4,'领用录入（明细）'!C:C&gt;=$J$4,'领用录入（明细）'!C:C&lt;=$L$4),ROW(),"-")</f>
        <v>-</v>
      </c>
    </row>
    <row r="28624" customHeight="1" spans="2:2">
      <c r="B28624" s="62" t="str">
        <f>IF(AND('领用录入（明细）'!D:D=$F$4,'领用录入（明细）'!C:C&gt;=$J$4,'领用录入（明细）'!C:C&lt;=$L$4),ROW(),"-")</f>
        <v>-</v>
      </c>
    </row>
    <row r="28625" customHeight="1" spans="2:2">
      <c r="B28625" s="62" t="str">
        <f>IF(AND('领用录入（明细）'!D:D=$F$4,'领用录入（明细）'!C:C&gt;=$J$4,'领用录入（明细）'!C:C&lt;=$L$4),ROW(),"-")</f>
        <v>-</v>
      </c>
    </row>
    <row r="28626" customHeight="1" spans="2:2">
      <c r="B28626" s="62" t="str">
        <f>IF(AND('领用录入（明细）'!D:D=$F$4,'领用录入（明细）'!C:C&gt;=$J$4,'领用录入（明细）'!C:C&lt;=$L$4),ROW(),"-")</f>
        <v>-</v>
      </c>
    </row>
    <row r="28627" customHeight="1" spans="2:2">
      <c r="B28627" s="62" t="str">
        <f>IF(AND('领用录入（明细）'!D:D=$F$4,'领用录入（明细）'!C:C&gt;=$J$4,'领用录入（明细）'!C:C&lt;=$L$4),ROW(),"-")</f>
        <v>-</v>
      </c>
    </row>
    <row r="28628" customHeight="1" spans="2:2">
      <c r="B28628" s="62" t="str">
        <f>IF(AND('领用录入（明细）'!D:D=$F$4,'领用录入（明细）'!C:C&gt;=$J$4,'领用录入（明细）'!C:C&lt;=$L$4),ROW(),"-")</f>
        <v>-</v>
      </c>
    </row>
    <row r="28629" customHeight="1" spans="2:2">
      <c r="B28629" s="62" t="str">
        <f>IF(AND('领用录入（明细）'!D:D=$F$4,'领用录入（明细）'!C:C&gt;=$J$4,'领用录入（明细）'!C:C&lt;=$L$4),ROW(),"-")</f>
        <v>-</v>
      </c>
    </row>
    <row r="28630" customHeight="1" spans="2:2">
      <c r="B28630" s="62" t="str">
        <f>IF(AND('领用录入（明细）'!D:D=$F$4,'领用录入（明细）'!C:C&gt;=$J$4,'领用录入（明细）'!C:C&lt;=$L$4),ROW(),"-")</f>
        <v>-</v>
      </c>
    </row>
    <row r="28631" customHeight="1" spans="2:2">
      <c r="B28631" s="62" t="str">
        <f>IF(AND('领用录入（明细）'!D:D=$F$4,'领用录入（明细）'!C:C&gt;=$J$4,'领用录入（明细）'!C:C&lt;=$L$4),ROW(),"-")</f>
        <v>-</v>
      </c>
    </row>
    <row r="28632" customHeight="1" spans="2:2">
      <c r="B28632" s="62" t="str">
        <f>IF(AND('领用录入（明细）'!D:D=$F$4,'领用录入（明细）'!C:C&gt;=$J$4,'领用录入（明细）'!C:C&lt;=$L$4),ROW(),"-")</f>
        <v>-</v>
      </c>
    </row>
    <row r="28633" customHeight="1" spans="2:2">
      <c r="B28633" s="62" t="str">
        <f>IF(AND('领用录入（明细）'!D:D=$F$4,'领用录入（明细）'!C:C&gt;=$J$4,'领用录入（明细）'!C:C&lt;=$L$4),ROW(),"-")</f>
        <v>-</v>
      </c>
    </row>
    <row r="28634" customHeight="1" spans="2:2">
      <c r="B28634" s="62" t="str">
        <f>IF(AND('领用录入（明细）'!D:D=$F$4,'领用录入（明细）'!C:C&gt;=$J$4,'领用录入（明细）'!C:C&lt;=$L$4),ROW(),"-")</f>
        <v>-</v>
      </c>
    </row>
    <row r="28635" customHeight="1" spans="2:2">
      <c r="B28635" s="62" t="str">
        <f>IF(AND('领用录入（明细）'!D:D=$F$4,'领用录入（明细）'!C:C&gt;=$J$4,'领用录入（明细）'!C:C&lt;=$L$4),ROW(),"-")</f>
        <v>-</v>
      </c>
    </row>
    <row r="28636" customHeight="1" spans="2:2">
      <c r="B28636" s="62" t="str">
        <f>IF(AND('领用录入（明细）'!D:D=$F$4,'领用录入（明细）'!C:C&gt;=$J$4,'领用录入（明细）'!C:C&lt;=$L$4),ROW(),"-")</f>
        <v>-</v>
      </c>
    </row>
    <row r="28637" customHeight="1" spans="2:2">
      <c r="B28637" s="62" t="str">
        <f>IF(AND('领用录入（明细）'!D:D=$F$4,'领用录入（明细）'!C:C&gt;=$J$4,'领用录入（明细）'!C:C&lt;=$L$4),ROW(),"-")</f>
        <v>-</v>
      </c>
    </row>
    <row r="28638" customHeight="1" spans="2:2">
      <c r="B28638" s="62" t="str">
        <f>IF(AND('领用录入（明细）'!D:D=$F$4,'领用录入（明细）'!C:C&gt;=$J$4,'领用录入（明细）'!C:C&lt;=$L$4),ROW(),"-")</f>
        <v>-</v>
      </c>
    </row>
    <row r="28639" customHeight="1" spans="2:2">
      <c r="B28639" s="62" t="str">
        <f>IF(AND('领用录入（明细）'!D:D=$F$4,'领用录入（明细）'!C:C&gt;=$J$4,'领用录入（明细）'!C:C&lt;=$L$4),ROW(),"-")</f>
        <v>-</v>
      </c>
    </row>
    <row r="28640" customHeight="1" spans="2:2">
      <c r="B28640" s="62" t="str">
        <f>IF(AND('领用录入（明细）'!D:D=$F$4,'领用录入（明细）'!C:C&gt;=$J$4,'领用录入（明细）'!C:C&lt;=$L$4),ROW(),"-")</f>
        <v>-</v>
      </c>
    </row>
    <row r="28641" customHeight="1" spans="2:2">
      <c r="B28641" s="62" t="str">
        <f>IF(AND('领用录入（明细）'!D:D=$F$4,'领用录入（明细）'!C:C&gt;=$J$4,'领用录入（明细）'!C:C&lt;=$L$4),ROW(),"-")</f>
        <v>-</v>
      </c>
    </row>
    <row r="28642" customHeight="1" spans="2:2">
      <c r="B28642" s="62" t="str">
        <f>IF(AND('领用录入（明细）'!D:D=$F$4,'领用录入（明细）'!C:C&gt;=$J$4,'领用录入（明细）'!C:C&lt;=$L$4),ROW(),"-")</f>
        <v>-</v>
      </c>
    </row>
    <row r="28643" customHeight="1" spans="2:2">
      <c r="B28643" s="62" t="str">
        <f>IF(AND('领用录入（明细）'!D:D=$F$4,'领用录入（明细）'!C:C&gt;=$J$4,'领用录入（明细）'!C:C&lt;=$L$4),ROW(),"-")</f>
        <v>-</v>
      </c>
    </row>
    <row r="28644" customHeight="1" spans="2:2">
      <c r="B28644" s="62" t="str">
        <f>IF(AND('领用录入（明细）'!D:D=$F$4,'领用录入（明细）'!C:C&gt;=$J$4,'领用录入（明细）'!C:C&lt;=$L$4),ROW(),"-")</f>
        <v>-</v>
      </c>
    </row>
    <row r="28645" customHeight="1" spans="2:2">
      <c r="B28645" s="62" t="str">
        <f>IF(AND('领用录入（明细）'!D:D=$F$4,'领用录入（明细）'!C:C&gt;=$J$4,'领用录入（明细）'!C:C&lt;=$L$4),ROW(),"-")</f>
        <v>-</v>
      </c>
    </row>
    <row r="28646" customHeight="1" spans="2:2">
      <c r="B28646" s="62" t="str">
        <f>IF(AND('领用录入（明细）'!D:D=$F$4,'领用录入（明细）'!C:C&gt;=$J$4,'领用录入（明细）'!C:C&lt;=$L$4),ROW(),"-")</f>
        <v>-</v>
      </c>
    </row>
    <row r="28647" customHeight="1" spans="2:2">
      <c r="B28647" s="62" t="str">
        <f>IF(AND('领用录入（明细）'!D:D=$F$4,'领用录入（明细）'!C:C&gt;=$J$4,'领用录入（明细）'!C:C&lt;=$L$4),ROW(),"-")</f>
        <v>-</v>
      </c>
    </row>
    <row r="28648" customHeight="1" spans="2:2">
      <c r="B28648" s="62" t="str">
        <f>IF(AND('领用录入（明细）'!D:D=$F$4,'领用录入（明细）'!C:C&gt;=$J$4,'领用录入（明细）'!C:C&lt;=$L$4),ROW(),"-")</f>
        <v>-</v>
      </c>
    </row>
    <row r="28649" customHeight="1" spans="2:2">
      <c r="B28649" s="62" t="str">
        <f>IF(AND('领用录入（明细）'!D:D=$F$4,'领用录入（明细）'!C:C&gt;=$J$4,'领用录入（明细）'!C:C&lt;=$L$4),ROW(),"-")</f>
        <v>-</v>
      </c>
    </row>
    <row r="28650" customHeight="1" spans="2:2">
      <c r="B28650" s="62" t="str">
        <f>IF(AND('领用录入（明细）'!D:D=$F$4,'领用录入（明细）'!C:C&gt;=$J$4,'领用录入（明细）'!C:C&lt;=$L$4),ROW(),"-")</f>
        <v>-</v>
      </c>
    </row>
    <row r="28651" customHeight="1" spans="2:2">
      <c r="B28651" s="62" t="str">
        <f>IF(AND('领用录入（明细）'!D:D=$F$4,'领用录入（明细）'!C:C&gt;=$J$4,'领用录入（明细）'!C:C&lt;=$L$4),ROW(),"-")</f>
        <v>-</v>
      </c>
    </row>
    <row r="28652" customHeight="1" spans="2:2">
      <c r="B28652" s="62" t="str">
        <f>IF(AND('领用录入（明细）'!D:D=$F$4,'领用录入（明细）'!C:C&gt;=$J$4,'领用录入（明细）'!C:C&lt;=$L$4),ROW(),"-")</f>
        <v>-</v>
      </c>
    </row>
    <row r="28653" customHeight="1" spans="2:2">
      <c r="B28653" s="62" t="str">
        <f>IF(AND('领用录入（明细）'!D:D=$F$4,'领用录入（明细）'!C:C&gt;=$J$4,'领用录入（明细）'!C:C&lt;=$L$4),ROW(),"-")</f>
        <v>-</v>
      </c>
    </row>
    <row r="28654" customHeight="1" spans="2:2">
      <c r="B28654" s="62" t="str">
        <f>IF(AND('领用录入（明细）'!D:D=$F$4,'领用录入（明细）'!C:C&gt;=$J$4,'领用录入（明细）'!C:C&lt;=$L$4),ROW(),"-")</f>
        <v>-</v>
      </c>
    </row>
    <row r="28655" customHeight="1" spans="2:2">
      <c r="B28655" s="62" t="str">
        <f>IF(AND('领用录入（明细）'!D:D=$F$4,'领用录入（明细）'!C:C&gt;=$J$4,'领用录入（明细）'!C:C&lt;=$L$4),ROW(),"-")</f>
        <v>-</v>
      </c>
    </row>
    <row r="28656" customHeight="1" spans="2:2">
      <c r="B28656" s="62" t="str">
        <f>IF(AND('领用录入（明细）'!D:D=$F$4,'领用录入（明细）'!C:C&gt;=$J$4,'领用录入（明细）'!C:C&lt;=$L$4),ROW(),"-")</f>
        <v>-</v>
      </c>
    </row>
    <row r="28657" customHeight="1" spans="2:2">
      <c r="B28657" s="62" t="str">
        <f>IF(AND('领用录入（明细）'!D:D=$F$4,'领用录入（明细）'!C:C&gt;=$J$4,'领用录入（明细）'!C:C&lt;=$L$4),ROW(),"-")</f>
        <v>-</v>
      </c>
    </row>
    <row r="28658" customHeight="1" spans="2:2">
      <c r="B28658" s="62" t="str">
        <f>IF(AND('领用录入（明细）'!D:D=$F$4,'领用录入（明细）'!C:C&gt;=$J$4,'领用录入（明细）'!C:C&lt;=$L$4),ROW(),"-")</f>
        <v>-</v>
      </c>
    </row>
    <row r="28659" customHeight="1" spans="2:2">
      <c r="B28659" s="62" t="str">
        <f>IF(AND('领用录入（明细）'!D:D=$F$4,'领用录入（明细）'!C:C&gt;=$J$4,'领用录入（明细）'!C:C&lt;=$L$4),ROW(),"-")</f>
        <v>-</v>
      </c>
    </row>
    <row r="28660" customHeight="1" spans="2:2">
      <c r="B28660" s="62" t="str">
        <f>IF(AND('领用录入（明细）'!D:D=$F$4,'领用录入（明细）'!C:C&gt;=$J$4,'领用录入（明细）'!C:C&lt;=$L$4),ROW(),"-")</f>
        <v>-</v>
      </c>
    </row>
    <row r="28661" customHeight="1" spans="2:2">
      <c r="B28661" s="62" t="str">
        <f>IF(AND('领用录入（明细）'!D:D=$F$4,'领用录入（明细）'!C:C&gt;=$J$4,'领用录入（明细）'!C:C&lt;=$L$4),ROW(),"-")</f>
        <v>-</v>
      </c>
    </row>
    <row r="28662" customHeight="1" spans="2:2">
      <c r="B28662" s="62" t="str">
        <f>IF(AND('领用录入（明细）'!D:D=$F$4,'领用录入（明细）'!C:C&gt;=$J$4,'领用录入（明细）'!C:C&lt;=$L$4),ROW(),"-")</f>
        <v>-</v>
      </c>
    </row>
    <row r="28663" customHeight="1" spans="2:2">
      <c r="B28663" s="62" t="str">
        <f>IF(AND('领用录入（明细）'!D:D=$F$4,'领用录入（明细）'!C:C&gt;=$J$4,'领用录入（明细）'!C:C&lt;=$L$4),ROW(),"-")</f>
        <v>-</v>
      </c>
    </row>
    <row r="28664" customHeight="1" spans="2:2">
      <c r="B28664" s="62" t="str">
        <f>IF(AND('领用录入（明细）'!D:D=$F$4,'领用录入（明细）'!C:C&gt;=$J$4,'领用录入（明细）'!C:C&lt;=$L$4),ROW(),"-")</f>
        <v>-</v>
      </c>
    </row>
    <row r="28665" customHeight="1" spans="2:2">
      <c r="B28665" s="62" t="str">
        <f>IF(AND('领用录入（明细）'!D:D=$F$4,'领用录入（明细）'!C:C&gt;=$J$4,'领用录入（明细）'!C:C&lt;=$L$4),ROW(),"-")</f>
        <v>-</v>
      </c>
    </row>
    <row r="28666" customHeight="1" spans="2:2">
      <c r="B28666" s="62" t="str">
        <f>IF(AND('领用录入（明细）'!D:D=$F$4,'领用录入（明细）'!C:C&gt;=$J$4,'领用录入（明细）'!C:C&lt;=$L$4),ROW(),"-")</f>
        <v>-</v>
      </c>
    </row>
    <row r="28667" customHeight="1" spans="2:2">
      <c r="B28667" s="62" t="str">
        <f>IF(AND('领用录入（明细）'!D:D=$F$4,'领用录入（明细）'!C:C&gt;=$J$4,'领用录入（明细）'!C:C&lt;=$L$4),ROW(),"-")</f>
        <v>-</v>
      </c>
    </row>
    <row r="28668" customHeight="1" spans="2:2">
      <c r="B28668" s="62" t="str">
        <f>IF(AND('领用录入（明细）'!D:D=$F$4,'领用录入（明细）'!C:C&gt;=$J$4,'领用录入（明细）'!C:C&lt;=$L$4),ROW(),"-")</f>
        <v>-</v>
      </c>
    </row>
    <row r="28669" customHeight="1" spans="2:2">
      <c r="B28669" s="62" t="str">
        <f>IF(AND('领用录入（明细）'!D:D=$F$4,'领用录入（明细）'!C:C&gt;=$J$4,'领用录入（明细）'!C:C&lt;=$L$4),ROW(),"-")</f>
        <v>-</v>
      </c>
    </row>
    <row r="28670" customHeight="1" spans="2:2">
      <c r="B28670" s="62" t="str">
        <f>IF(AND('领用录入（明细）'!D:D=$F$4,'领用录入（明细）'!C:C&gt;=$J$4,'领用录入（明细）'!C:C&lt;=$L$4),ROW(),"-")</f>
        <v>-</v>
      </c>
    </row>
    <row r="28671" customHeight="1" spans="2:2">
      <c r="B28671" s="62" t="str">
        <f>IF(AND('领用录入（明细）'!D:D=$F$4,'领用录入（明细）'!C:C&gt;=$J$4,'领用录入（明细）'!C:C&lt;=$L$4),ROW(),"-")</f>
        <v>-</v>
      </c>
    </row>
    <row r="28672" customHeight="1" spans="2:2">
      <c r="B28672" s="62" t="str">
        <f>IF(AND('领用录入（明细）'!D:D=$F$4,'领用录入（明细）'!C:C&gt;=$J$4,'领用录入（明细）'!C:C&lt;=$L$4),ROW(),"-")</f>
        <v>-</v>
      </c>
    </row>
    <row r="28673" customHeight="1" spans="2:2">
      <c r="B28673" s="62" t="str">
        <f>IF(AND('领用录入（明细）'!D:D=$F$4,'领用录入（明细）'!C:C&gt;=$J$4,'领用录入（明细）'!C:C&lt;=$L$4),ROW(),"-")</f>
        <v>-</v>
      </c>
    </row>
    <row r="28674" customHeight="1" spans="2:2">
      <c r="B28674" s="62" t="str">
        <f>IF(AND('领用录入（明细）'!D:D=$F$4,'领用录入（明细）'!C:C&gt;=$J$4,'领用录入（明细）'!C:C&lt;=$L$4),ROW(),"-")</f>
        <v>-</v>
      </c>
    </row>
    <row r="28675" customHeight="1" spans="2:2">
      <c r="B28675" s="62" t="str">
        <f>IF(AND('领用录入（明细）'!D:D=$F$4,'领用录入（明细）'!C:C&gt;=$J$4,'领用录入（明细）'!C:C&lt;=$L$4),ROW(),"-")</f>
        <v>-</v>
      </c>
    </row>
    <row r="28676" customHeight="1" spans="2:2">
      <c r="B28676" s="62" t="str">
        <f>IF(AND('领用录入（明细）'!D:D=$F$4,'领用录入（明细）'!C:C&gt;=$J$4,'领用录入（明细）'!C:C&lt;=$L$4),ROW(),"-")</f>
        <v>-</v>
      </c>
    </row>
    <row r="28677" customHeight="1" spans="2:2">
      <c r="B28677" s="62" t="str">
        <f>IF(AND('领用录入（明细）'!D:D=$F$4,'领用录入（明细）'!C:C&gt;=$J$4,'领用录入（明细）'!C:C&lt;=$L$4),ROW(),"-")</f>
        <v>-</v>
      </c>
    </row>
    <row r="28678" customHeight="1" spans="2:2">
      <c r="B28678" s="62" t="str">
        <f>IF(AND('领用录入（明细）'!D:D=$F$4,'领用录入（明细）'!C:C&gt;=$J$4,'领用录入（明细）'!C:C&lt;=$L$4),ROW(),"-")</f>
        <v>-</v>
      </c>
    </row>
    <row r="28679" customHeight="1" spans="2:2">
      <c r="B28679" s="62" t="str">
        <f>IF(AND('领用录入（明细）'!D:D=$F$4,'领用录入（明细）'!C:C&gt;=$J$4,'领用录入（明细）'!C:C&lt;=$L$4),ROW(),"-")</f>
        <v>-</v>
      </c>
    </row>
    <row r="28680" customHeight="1" spans="2:2">
      <c r="B28680" s="62" t="str">
        <f>IF(AND('领用录入（明细）'!D:D=$F$4,'领用录入（明细）'!C:C&gt;=$J$4,'领用录入（明细）'!C:C&lt;=$L$4),ROW(),"-")</f>
        <v>-</v>
      </c>
    </row>
    <row r="28681" customHeight="1" spans="2:2">
      <c r="B28681" s="62" t="str">
        <f>IF(AND('领用录入（明细）'!D:D=$F$4,'领用录入（明细）'!C:C&gt;=$J$4,'领用录入（明细）'!C:C&lt;=$L$4),ROW(),"-")</f>
        <v>-</v>
      </c>
    </row>
    <row r="28682" customHeight="1" spans="2:2">
      <c r="B28682" s="62" t="str">
        <f>IF(AND('领用录入（明细）'!D:D=$F$4,'领用录入（明细）'!C:C&gt;=$J$4,'领用录入（明细）'!C:C&lt;=$L$4),ROW(),"-")</f>
        <v>-</v>
      </c>
    </row>
    <row r="28683" customHeight="1" spans="2:2">
      <c r="B28683" s="62" t="str">
        <f>IF(AND('领用录入（明细）'!D:D=$F$4,'领用录入（明细）'!C:C&gt;=$J$4,'领用录入（明细）'!C:C&lt;=$L$4),ROW(),"-")</f>
        <v>-</v>
      </c>
    </row>
    <row r="28684" customHeight="1" spans="2:2">
      <c r="B28684" s="62" t="str">
        <f>IF(AND('领用录入（明细）'!D:D=$F$4,'领用录入（明细）'!C:C&gt;=$J$4,'领用录入（明细）'!C:C&lt;=$L$4),ROW(),"-")</f>
        <v>-</v>
      </c>
    </row>
    <row r="28685" customHeight="1" spans="2:2">
      <c r="B28685" s="62" t="str">
        <f>IF(AND('领用录入（明细）'!D:D=$F$4,'领用录入（明细）'!C:C&gt;=$J$4,'领用录入（明细）'!C:C&lt;=$L$4),ROW(),"-")</f>
        <v>-</v>
      </c>
    </row>
    <row r="28686" customHeight="1" spans="2:2">
      <c r="B28686" s="62" t="str">
        <f>IF(AND('领用录入（明细）'!D:D=$F$4,'领用录入（明细）'!C:C&gt;=$J$4,'领用录入（明细）'!C:C&lt;=$L$4),ROW(),"-")</f>
        <v>-</v>
      </c>
    </row>
    <row r="28687" customHeight="1" spans="2:2">
      <c r="B28687" s="62" t="str">
        <f>IF(AND('领用录入（明细）'!D:D=$F$4,'领用录入（明细）'!C:C&gt;=$J$4,'领用录入（明细）'!C:C&lt;=$L$4),ROW(),"-")</f>
        <v>-</v>
      </c>
    </row>
    <row r="28688" customHeight="1" spans="2:2">
      <c r="B28688" s="62" t="str">
        <f>IF(AND('领用录入（明细）'!D:D=$F$4,'领用录入（明细）'!C:C&gt;=$J$4,'领用录入（明细）'!C:C&lt;=$L$4),ROW(),"-")</f>
        <v>-</v>
      </c>
    </row>
    <row r="28689" customHeight="1" spans="2:2">
      <c r="B28689" s="62" t="str">
        <f>IF(AND('领用录入（明细）'!D:D=$F$4,'领用录入（明细）'!C:C&gt;=$J$4,'领用录入（明细）'!C:C&lt;=$L$4),ROW(),"-")</f>
        <v>-</v>
      </c>
    </row>
    <row r="28690" customHeight="1" spans="2:2">
      <c r="B28690" s="62" t="str">
        <f>IF(AND('领用录入（明细）'!D:D=$F$4,'领用录入（明细）'!C:C&gt;=$J$4,'领用录入（明细）'!C:C&lt;=$L$4),ROW(),"-")</f>
        <v>-</v>
      </c>
    </row>
    <row r="28691" customHeight="1" spans="2:2">
      <c r="B28691" s="62" t="str">
        <f>IF(AND('领用录入（明细）'!D:D=$F$4,'领用录入（明细）'!C:C&gt;=$J$4,'领用录入（明细）'!C:C&lt;=$L$4),ROW(),"-")</f>
        <v>-</v>
      </c>
    </row>
    <row r="28692" customHeight="1" spans="2:2">
      <c r="B28692" s="62" t="str">
        <f>IF(AND('领用录入（明细）'!D:D=$F$4,'领用录入（明细）'!C:C&gt;=$J$4,'领用录入（明细）'!C:C&lt;=$L$4),ROW(),"-")</f>
        <v>-</v>
      </c>
    </row>
    <row r="28693" customHeight="1" spans="2:2">
      <c r="B28693" s="62" t="str">
        <f>IF(AND('领用录入（明细）'!D:D=$F$4,'领用录入（明细）'!C:C&gt;=$J$4,'领用录入（明细）'!C:C&lt;=$L$4),ROW(),"-")</f>
        <v>-</v>
      </c>
    </row>
    <row r="28694" customHeight="1" spans="2:2">
      <c r="B28694" s="62" t="str">
        <f>IF(AND('领用录入（明细）'!D:D=$F$4,'领用录入（明细）'!C:C&gt;=$J$4,'领用录入（明细）'!C:C&lt;=$L$4),ROW(),"-")</f>
        <v>-</v>
      </c>
    </row>
    <row r="28695" customHeight="1" spans="2:2">
      <c r="B28695" s="62" t="str">
        <f>IF(AND('领用录入（明细）'!D:D=$F$4,'领用录入（明细）'!C:C&gt;=$J$4,'领用录入（明细）'!C:C&lt;=$L$4),ROW(),"-")</f>
        <v>-</v>
      </c>
    </row>
    <row r="28696" customHeight="1" spans="2:2">
      <c r="B28696" s="62" t="str">
        <f>IF(AND('领用录入（明细）'!D:D=$F$4,'领用录入（明细）'!C:C&gt;=$J$4,'领用录入（明细）'!C:C&lt;=$L$4),ROW(),"-")</f>
        <v>-</v>
      </c>
    </row>
    <row r="28697" customHeight="1" spans="2:2">
      <c r="B28697" s="62" t="str">
        <f>IF(AND('领用录入（明细）'!D:D=$F$4,'领用录入（明细）'!C:C&gt;=$J$4,'领用录入（明细）'!C:C&lt;=$L$4),ROW(),"-")</f>
        <v>-</v>
      </c>
    </row>
    <row r="28698" customHeight="1" spans="2:2">
      <c r="B28698" s="62" t="str">
        <f>IF(AND('领用录入（明细）'!D:D=$F$4,'领用录入（明细）'!C:C&gt;=$J$4,'领用录入（明细）'!C:C&lt;=$L$4),ROW(),"-")</f>
        <v>-</v>
      </c>
    </row>
    <row r="28699" customHeight="1" spans="2:2">
      <c r="B28699" s="62" t="str">
        <f>IF(AND('领用录入（明细）'!D:D=$F$4,'领用录入（明细）'!C:C&gt;=$J$4,'领用录入（明细）'!C:C&lt;=$L$4),ROW(),"-")</f>
        <v>-</v>
      </c>
    </row>
    <row r="28700" customHeight="1" spans="2:2">
      <c r="B28700" s="62" t="str">
        <f>IF(AND('领用录入（明细）'!D:D=$F$4,'领用录入（明细）'!C:C&gt;=$J$4,'领用录入（明细）'!C:C&lt;=$L$4),ROW(),"-")</f>
        <v>-</v>
      </c>
    </row>
    <row r="28701" customHeight="1" spans="2:2">
      <c r="B28701" s="62" t="str">
        <f>IF(AND('领用录入（明细）'!D:D=$F$4,'领用录入（明细）'!C:C&gt;=$J$4,'领用录入（明细）'!C:C&lt;=$L$4),ROW(),"-")</f>
        <v>-</v>
      </c>
    </row>
    <row r="28702" customHeight="1" spans="2:2">
      <c r="B28702" s="62" t="str">
        <f>IF(AND('领用录入（明细）'!D:D=$F$4,'领用录入（明细）'!C:C&gt;=$J$4,'领用录入（明细）'!C:C&lt;=$L$4),ROW(),"-")</f>
        <v>-</v>
      </c>
    </row>
    <row r="28703" customHeight="1" spans="2:2">
      <c r="B28703" s="62" t="str">
        <f>IF(AND('领用录入（明细）'!D:D=$F$4,'领用录入（明细）'!C:C&gt;=$J$4,'领用录入（明细）'!C:C&lt;=$L$4),ROW(),"-")</f>
        <v>-</v>
      </c>
    </row>
    <row r="28704" customHeight="1" spans="2:2">
      <c r="B28704" s="62" t="str">
        <f>IF(AND('领用录入（明细）'!D:D=$F$4,'领用录入（明细）'!C:C&gt;=$J$4,'领用录入（明细）'!C:C&lt;=$L$4),ROW(),"-")</f>
        <v>-</v>
      </c>
    </row>
    <row r="28705" customHeight="1" spans="2:2">
      <c r="B28705" s="62" t="str">
        <f>IF(AND('领用录入（明细）'!D:D=$F$4,'领用录入（明细）'!C:C&gt;=$J$4,'领用录入（明细）'!C:C&lt;=$L$4),ROW(),"-")</f>
        <v>-</v>
      </c>
    </row>
    <row r="28706" customHeight="1" spans="2:2">
      <c r="B28706" s="62" t="str">
        <f>IF(AND('领用录入（明细）'!D:D=$F$4,'领用录入（明细）'!C:C&gt;=$J$4,'领用录入（明细）'!C:C&lt;=$L$4),ROW(),"-")</f>
        <v>-</v>
      </c>
    </row>
    <row r="28707" customHeight="1" spans="2:2">
      <c r="B28707" s="62" t="str">
        <f>IF(AND('领用录入（明细）'!D:D=$F$4,'领用录入（明细）'!C:C&gt;=$J$4,'领用录入（明细）'!C:C&lt;=$L$4),ROW(),"-")</f>
        <v>-</v>
      </c>
    </row>
    <row r="28708" customHeight="1" spans="2:2">
      <c r="B28708" s="62" t="str">
        <f>IF(AND('领用录入（明细）'!D:D=$F$4,'领用录入（明细）'!C:C&gt;=$J$4,'领用录入（明细）'!C:C&lt;=$L$4),ROW(),"-")</f>
        <v>-</v>
      </c>
    </row>
    <row r="28709" customHeight="1" spans="2:2">
      <c r="B28709" s="62" t="str">
        <f>IF(AND('领用录入（明细）'!D:D=$F$4,'领用录入（明细）'!C:C&gt;=$J$4,'领用录入（明细）'!C:C&lt;=$L$4),ROW(),"-")</f>
        <v>-</v>
      </c>
    </row>
    <row r="28710" customHeight="1" spans="2:2">
      <c r="B28710" s="62" t="str">
        <f>IF(AND('领用录入（明细）'!D:D=$F$4,'领用录入（明细）'!C:C&gt;=$J$4,'领用录入（明细）'!C:C&lt;=$L$4),ROW(),"-")</f>
        <v>-</v>
      </c>
    </row>
    <row r="28711" customHeight="1" spans="2:2">
      <c r="B28711" s="62" t="str">
        <f>IF(AND('领用录入（明细）'!D:D=$F$4,'领用录入（明细）'!C:C&gt;=$J$4,'领用录入（明细）'!C:C&lt;=$L$4),ROW(),"-")</f>
        <v>-</v>
      </c>
    </row>
    <row r="28712" customHeight="1" spans="2:2">
      <c r="B28712" s="62" t="str">
        <f>IF(AND('领用录入（明细）'!D:D=$F$4,'领用录入（明细）'!C:C&gt;=$J$4,'领用录入（明细）'!C:C&lt;=$L$4),ROW(),"-")</f>
        <v>-</v>
      </c>
    </row>
    <row r="28713" customHeight="1" spans="2:2">
      <c r="B28713" s="62" t="str">
        <f>IF(AND('领用录入（明细）'!D:D=$F$4,'领用录入（明细）'!C:C&gt;=$J$4,'领用录入（明细）'!C:C&lt;=$L$4),ROW(),"-")</f>
        <v>-</v>
      </c>
    </row>
    <row r="28714" customHeight="1" spans="2:2">
      <c r="B28714" s="62" t="str">
        <f>IF(AND('领用录入（明细）'!D:D=$F$4,'领用录入（明细）'!C:C&gt;=$J$4,'领用录入（明细）'!C:C&lt;=$L$4),ROW(),"-")</f>
        <v>-</v>
      </c>
    </row>
    <row r="28715" customHeight="1" spans="2:2">
      <c r="B28715" s="62" t="str">
        <f>IF(AND('领用录入（明细）'!D:D=$F$4,'领用录入（明细）'!C:C&gt;=$J$4,'领用录入（明细）'!C:C&lt;=$L$4),ROW(),"-")</f>
        <v>-</v>
      </c>
    </row>
    <row r="28716" customHeight="1" spans="2:2">
      <c r="B28716" s="62" t="str">
        <f>IF(AND('领用录入（明细）'!D:D=$F$4,'领用录入（明细）'!C:C&gt;=$J$4,'领用录入（明细）'!C:C&lt;=$L$4),ROW(),"-")</f>
        <v>-</v>
      </c>
    </row>
    <row r="28717" customHeight="1" spans="2:2">
      <c r="B28717" s="62" t="str">
        <f>IF(AND('领用录入（明细）'!D:D=$F$4,'领用录入（明细）'!C:C&gt;=$J$4,'领用录入（明细）'!C:C&lt;=$L$4),ROW(),"-")</f>
        <v>-</v>
      </c>
    </row>
    <row r="28718" customHeight="1" spans="2:2">
      <c r="B28718" s="62" t="str">
        <f>IF(AND('领用录入（明细）'!D:D=$F$4,'领用录入（明细）'!C:C&gt;=$J$4,'领用录入（明细）'!C:C&lt;=$L$4),ROW(),"-")</f>
        <v>-</v>
      </c>
    </row>
    <row r="28719" customHeight="1" spans="2:2">
      <c r="B28719" s="62" t="str">
        <f>IF(AND('领用录入（明细）'!D:D=$F$4,'领用录入（明细）'!C:C&gt;=$J$4,'领用录入（明细）'!C:C&lt;=$L$4),ROW(),"-")</f>
        <v>-</v>
      </c>
    </row>
    <row r="28720" customHeight="1" spans="2:2">
      <c r="B28720" s="62" t="str">
        <f>IF(AND('领用录入（明细）'!D:D=$F$4,'领用录入（明细）'!C:C&gt;=$J$4,'领用录入（明细）'!C:C&lt;=$L$4),ROW(),"-")</f>
        <v>-</v>
      </c>
    </row>
    <row r="28721" customHeight="1" spans="2:2">
      <c r="B28721" s="62" t="str">
        <f>IF(AND('领用录入（明细）'!D:D=$F$4,'领用录入（明细）'!C:C&gt;=$J$4,'领用录入（明细）'!C:C&lt;=$L$4),ROW(),"-")</f>
        <v>-</v>
      </c>
    </row>
    <row r="28722" customHeight="1" spans="2:2">
      <c r="B28722" s="62" t="str">
        <f>IF(AND('领用录入（明细）'!D:D=$F$4,'领用录入（明细）'!C:C&gt;=$J$4,'领用录入（明细）'!C:C&lt;=$L$4),ROW(),"-")</f>
        <v>-</v>
      </c>
    </row>
    <row r="28723" customHeight="1" spans="2:2">
      <c r="B28723" s="62" t="str">
        <f>IF(AND('领用录入（明细）'!D:D=$F$4,'领用录入（明细）'!C:C&gt;=$J$4,'领用录入（明细）'!C:C&lt;=$L$4),ROW(),"-")</f>
        <v>-</v>
      </c>
    </row>
    <row r="28724" customHeight="1" spans="2:2">
      <c r="B28724" s="62" t="str">
        <f>IF(AND('领用录入（明细）'!D:D=$F$4,'领用录入（明细）'!C:C&gt;=$J$4,'领用录入（明细）'!C:C&lt;=$L$4),ROW(),"-")</f>
        <v>-</v>
      </c>
    </row>
    <row r="28725" customHeight="1" spans="2:2">
      <c r="B28725" s="62" t="str">
        <f>IF(AND('领用录入（明细）'!D:D=$F$4,'领用录入（明细）'!C:C&gt;=$J$4,'领用录入（明细）'!C:C&lt;=$L$4),ROW(),"-")</f>
        <v>-</v>
      </c>
    </row>
    <row r="28726" customHeight="1" spans="2:2">
      <c r="B28726" s="62" t="str">
        <f>IF(AND('领用录入（明细）'!D:D=$F$4,'领用录入（明细）'!C:C&gt;=$J$4,'领用录入（明细）'!C:C&lt;=$L$4),ROW(),"-")</f>
        <v>-</v>
      </c>
    </row>
    <row r="28727" customHeight="1" spans="2:2">
      <c r="B28727" s="62" t="str">
        <f>IF(AND('领用录入（明细）'!D:D=$F$4,'领用录入（明细）'!C:C&gt;=$J$4,'领用录入（明细）'!C:C&lt;=$L$4),ROW(),"-")</f>
        <v>-</v>
      </c>
    </row>
    <row r="28728" customHeight="1" spans="2:2">
      <c r="B28728" s="62" t="str">
        <f>IF(AND('领用录入（明细）'!D:D=$F$4,'领用录入（明细）'!C:C&gt;=$J$4,'领用录入（明细）'!C:C&lt;=$L$4),ROW(),"-")</f>
        <v>-</v>
      </c>
    </row>
    <row r="28729" customHeight="1" spans="2:2">
      <c r="B28729" s="62" t="str">
        <f>IF(AND('领用录入（明细）'!D:D=$F$4,'领用录入（明细）'!C:C&gt;=$J$4,'领用录入（明细）'!C:C&lt;=$L$4),ROW(),"-")</f>
        <v>-</v>
      </c>
    </row>
    <row r="28730" customHeight="1" spans="2:2">
      <c r="B28730" s="62" t="str">
        <f>IF(AND('领用录入（明细）'!D:D=$F$4,'领用录入（明细）'!C:C&gt;=$J$4,'领用录入（明细）'!C:C&lt;=$L$4),ROW(),"-")</f>
        <v>-</v>
      </c>
    </row>
    <row r="28731" customHeight="1" spans="2:2">
      <c r="B28731" s="62" t="str">
        <f>IF(AND('领用录入（明细）'!D:D=$F$4,'领用录入（明细）'!C:C&gt;=$J$4,'领用录入（明细）'!C:C&lt;=$L$4),ROW(),"-")</f>
        <v>-</v>
      </c>
    </row>
    <row r="28732" customHeight="1" spans="2:2">
      <c r="B28732" s="62" t="str">
        <f>IF(AND('领用录入（明细）'!D:D=$F$4,'领用录入（明细）'!C:C&gt;=$J$4,'领用录入（明细）'!C:C&lt;=$L$4),ROW(),"-")</f>
        <v>-</v>
      </c>
    </row>
    <row r="28733" customHeight="1" spans="2:2">
      <c r="B28733" s="62" t="str">
        <f>IF(AND('领用录入（明细）'!D:D=$F$4,'领用录入（明细）'!C:C&gt;=$J$4,'领用录入（明细）'!C:C&lt;=$L$4),ROW(),"-")</f>
        <v>-</v>
      </c>
    </row>
    <row r="28734" customHeight="1" spans="2:2">
      <c r="B28734" s="62" t="str">
        <f>IF(AND('领用录入（明细）'!D:D=$F$4,'领用录入（明细）'!C:C&gt;=$J$4,'领用录入（明细）'!C:C&lt;=$L$4),ROW(),"-")</f>
        <v>-</v>
      </c>
    </row>
    <row r="28735" customHeight="1" spans="2:2">
      <c r="B28735" s="62" t="str">
        <f>IF(AND('领用录入（明细）'!D:D=$F$4,'领用录入（明细）'!C:C&gt;=$J$4,'领用录入（明细）'!C:C&lt;=$L$4),ROW(),"-")</f>
        <v>-</v>
      </c>
    </row>
    <row r="28736" customHeight="1" spans="2:2">
      <c r="B28736" s="62" t="str">
        <f>IF(AND('领用录入（明细）'!D:D=$F$4,'领用录入（明细）'!C:C&gt;=$J$4,'领用录入（明细）'!C:C&lt;=$L$4),ROW(),"-")</f>
        <v>-</v>
      </c>
    </row>
    <row r="28737" customHeight="1" spans="2:2">
      <c r="B28737" s="62" t="str">
        <f>IF(AND('领用录入（明细）'!D:D=$F$4,'领用录入（明细）'!C:C&gt;=$J$4,'领用录入（明细）'!C:C&lt;=$L$4),ROW(),"-")</f>
        <v>-</v>
      </c>
    </row>
    <row r="28738" customHeight="1" spans="2:2">
      <c r="B28738" s="62" t="str">
        <f>IF(AND('领用录入（明细）'!D:D=$F$4,'领用录入（明细）'!C:C&gt;=$J$4,'领用录入（明细）'!C:C&lt;=$L$4),ROW(),"-")</f>
        <v>-</v>
      </c>
    </row>
    <row r="28739" customHeight="1" spans="2:2">
      <c r="B28739" s="62" t="str">
        <f>IF(AND('领用录入（明细）'!D:D=$F$4,'领用录入（明细）'!C:C&gt;=$J$4,'领用录入（明细）'!C:C&lt;=$L$4),ROW(),"-")</f>
        <v>-</v>
      </c>
    </row>
    <row r="28740" customHeight="1" spans="2:2">
      <c r="B28740" s="62" t="str">
        <f>IF(AND('领用录入（明细）'!D:D=$F$4,'领用录入（明细）'!C:C&gt;=$J$4,'领用录入（明细）'!C:C&lt;=$L$4),ROW(),"-")</f>
        <v>-</v>
      </c>
    </row>
    <row r="28741" customHeight="1" spans="2:2">
      <c r="B28741" s="62" t="str">
        <f>IF(AND('领用录入（明细）'!D:D=$F$4,'领用录入（明细）'!C:C&gt;=$J$4,'领用录入（明细）'!C:C&lt;=$L$4),ROW(),"-")</f>
        <v>-</v>
      </c>
    </row>
    <row r="28742" customHeight="1" spans="2:2">
      <c r="B28742" s="62" t="str">
        <f>IF(AND('领用录入（明细）'!D:D=$F$4,'领用录入（明细）'!C:C&gt;=$J$4,'领用录入（明细）'!C:C&lt;=$L$4),ROW(),"-")</f>
        <v>-</v>
      </c>
    </row>
    <row r="28743" customHeight="1" spans="2:2">
      <c r="B28743" s="62" t="str">
        <f>IF(AND('领用录入（明细）'!D:D=$F$4,'领用录入（明细）'!C:C&gt;=$J$4,'领用录入（明细）'!C:C&lt;=$L$4),ROW(),"-")</f>
        <v>-</v>
      </c>
    </row>
    <row r="28744" customHeight="1" spans="2:2">
      <c r="B28744" s="62" t="str">
        <f>IF(AND('领用录入（明细）'!D:D=$F$4,'领用录入（明细）'!C:C&gt;=$J$4,'领用录入（明细）'!C:C&lt;=$L$4),ROW(),"-")</f>
        <v>-</v>
      </c>
    </row>
    <row r="28745" customHeight="1" spans="2:2">
      <c r="B28745" s="62" t="str">
        <f>IF(AND('领用录入（明细）'!D:D=$F$4,'领用录入（明细）'!C:C&gt;=$J$4,'领用录入（明细）'!C:C&lt;=$L$4),ROW(),"-")</f>
        <v>-</v>
      </c>
    </row>
    <row r="28746" customHeight="1" spans="2:2">
      <c r="B28746" s="62" t="str">
        <f>IF(AND('领用录入（明细）'!D:D=$F$4,'领用录入（明细）'!C:C&gt;=$J$4,'领用录入（明细）'!C:C&lt;=$L$4),ROW(),"-")</f>
        <v>-</v>
      </c>
    </row>
    <row r="28747" customHeight="1" spans="2:2">
      <c r="B28747" s="62" t="str">
        <f>IF(AND('领用录入（明细）'!D:D=$F$4,'领用录入（明细）'!C:C&gt;=$J$4,'领用录入（明细）'!C:C&lt;=$L$4),ROW(),"-")</f>
        <v>-</v>
      </c>
    </row>
    <row r="28748" customHeight="1" spans="2:2">
      <c r="B28748" s="62" t="str">
        <f>IF(AND('领用录入（明细）'!D:D=$F$4,'领用录入（明细）'!C:C&gt;=$J$4,'领用录入（明细）'!C:C&lt;=$L$4),ROW(),"-")</f>
        <v>-</v>
      </c>
    </row>
    <row r="28749" customHeight="1" spans="2:2">
      <c r="B28749" s="62" t="str">
        <f>IF(AND('领用录入（明细）'!D:D=$F$4,'领用录入（明细）'!C:C&gt;=$J$4,'领用录入（明细）'!C:C&lt;=$L$4),ROW(),"-")</f>
        <v>-</v>
      </c>
    </row>
    <row r="28750" customHeight="1" spans="2:2">
      <c r="B28750" s="62" t="str">
        <f>IF(AND('领用录入（明细）'!D:D=$F$4,'领用录入（明细）'!C:C&gt;=$J$4,'领用录入（明细）'!C:C&lt;=$L$4),ROW(),"-")</f>
        <v>-</v>
      </c>
    </row>
    <row r="28751" customHeight="1" spans="2:2">
      <c r="B28751" s="62" t="str">
        <f>IF(AND('领用录入（明细）'!D:D=$F$4,'领用录入（明细）'!C:C&gt;=$J$4,'领用录入（明细）'!C:C&lt;=$L$4),ROW(),"-")</f>
        <v>-</v>
      </c>
    </row>
    <row r="28752" customHeight="1" spans="2:2">
      <c r="B28752" s="62" t="str">
        <f>IF(AND('领用录入（明细）'!D:D=$F$4,'领用录入（明细）'!C:C&gt;=$J$4,'领用录入（明细）'!C:C&lt;=$L$4),ROW(),"-")</f>
        <v>-</v>
      </c>
    </row>
    <row r="28753" customHeight="1" spans="2:2">
      <c r="B28753" s="62" t="str">
        <f>IF(AND('领用录入（明细）'!D:D=$F$4,'领用录入（明细）'!C:C&gt;=$J$4,'领用录入（明细）'!C:C&lt;=$L$4),ROW(),"-")</f>
        <v>-</v>
      </c>
    </row>
    <row r="28754" customHeight="1" spans="2:2">
      <c r="B28754" s="62" t="str">
        <f>IF(AND('领用录入（明细）'!D:D=$F$4,'领用录入（明细）'!C:C&gt;=$J$4,'领用录入（明细）'!C:C&lt;=$L$4),ROW(),"-")</f>
        <v>-</v>
      </c>
    </row>
    <row r="28755" customHeight="1" spans="2:2">
      <c r="B28755" s="62" t="str">
        <f>IF(AND('领用录入（明细）'!D:D=$F$4,'领用录入（明细）'!C:C&gt;=$J$4,'领用录入（明细）'!C:C&lt;=$L$4),ROW(),"-")</f>
        <v>-</v>
      </c>
    </row>
    <row r="28756" customHeight="1" spans="2:2">
      <c r="B28756" s="62" t="str">
        <f>IF(AND('领用录入（明细）'!D:D=$F$4,'领用录入（明细）'!C:C&gt;=$J$4,'领用录入（明细）'!C:C&lt;=$L$4),ROW(),"-")</f>
        <v>-</v>
      </c>
    </row>
    <row r="28757" customHeight="1" spans="2:2">
      <c r="B28757" s="62" t="str">
        <f>IF(AND('领用录入（明细）'!D:D=$F$4,'领用录入（明细）'!C:C&gt;=$J$4,'领用录入（明细）'!C:C&lt;=$L$4),ROW(),"-")</f>
        <v>-</v>
      </c>
    </row>
    <row r="28758" customHeight="1" spans="2:2">
      <c r="B28758" s="62" t="str">
        <f>IF(AND('领用录入（明细）'!D:D=$F$4,'领用录入（明细）'!C:C&gt;=$J$4,'领用录入（明细）'!C:C&lt;=$L$4),ROW(),"-")</f>
        <v>-</v>
      </c>
    </row>
    <row r="28759" customHeight="1" spans="2:2">
      <c r="B28759" s="62" t="str">
        <f>IF(AND('领用录入（明细）'!D:D=$F$4,'领用录入（明细）'!C:C&gt;=$J$4,'领用录入（明细）'!C:C&lt;=$L$4),ROW(),"-")</f>
        <v>-</v>
      </c>
    </row>
    <row r="28760" customHeight="1" spans="2:2">
      <c r="B28760" s="62" t="str">
        <f>IF(AND('领用录入（明细）'!D:D=$F$4,'领用录入（明细）'!C:C&gt;=$J$4,'领用录入（明细）'!C:C&lt;=$L$4),ROW(),"-")</f>
        <v>-</v>
      </c>
    </row>
    <row r="28761" customHeight="1" spans="2:2">
      <c r="B28761" s="62" t="str">
        <f>IF(AND('领用录入（明细）'!D:D=$F$4,'领用录入（明细）'!C:C&gt;=$J$4,'领用录入（明细）'!C:C&lt;=$L$4),ROW(),"-")</f>
        <v>-</v>
      </c>
    </row>
    <row r="28762" customHeight="1" spans="2:2">
      <c r="B28762" s="62" t="str">
        <f>IF(AND('领用录入（明细）'!D:D=$F$4,'领用录入（明细）'!C:C&gt;=$J$4,'领用录入（明细）'!C:C&lt;=$L$4),ROW(),"-")</f>
        <v>-</v>
      </c>
    </row>
    <row r="28763" customHeight="1" spans="2:2">
      <c r="B28763" s="62" t="str">
        <f>IF(AND('领用录入（明细）'!D:D=$F$4,'领用录入（明细）'!C:C&gt;=$J$4,'领用录入（明细）'!C:C&lt;=$L$4),ROW(),"-")</f>
        <v>-</v>
      </c>
    </row>
    <row r="28764" customHeight="1" spans="2:2">
      <c r="B28764" s="62" t="str">
        <f>IF(AND('领用录入（明细）'!D:D=$F$4,'领用录入（明细）'!C:C&gt;=$J$4,'领用录入（明细）'!C:C&lt;=$L$4),ROW(),"-")</f>
        <v>-</v>
      </c>
    </row>
    <row r="28765" customHeight="1" spans="2:2">
      <c r="B28765" s="62" t="str">
        <f>IF(AND('领用录入（明细）'!D:D=$F$4,'领用录入（明细）'!C:C&gt;=$J$4,'领用录入（明细）'!C:C&lt;=$L$4),ROW(),"-")</f>
        <v>-</v>
      </c>
    </row>
    <row r="28766" customHeight="1" spans="2:2">
      <c r="B28766" s="62" t="str">
        <f>IF(AND('领用录入（明细）'!D:D=$F$4,'领用录入（明细）'!C:C&gt;=$J$4,'领用录入（明细）'!C:C&lt;=$L$4),ROW(),"-")</f>
        <v>-</v>
      </c>
    </row>
    <row r="28767" customHeight="1" spans="2:2">
      <c r="B28767" s="62" t="str">
        <f>IF(AND('领用录入（明细）'!D:D=$F$4,'领用录入（明细）'!C:C&gt;=$J$4,'领用录入（明细）'!C:C&lt;=$L$4),ROW(),"-")</f>
        <v>-</v>
      </c>
    </row>
    <row r="28768" customHeight="1" spans="2:2">
      <c r="B28768" s="62" t="str">
        <f>IF(AND('领用录入（明细）'!D:D=$F$4,'领用录入（明细）'!C:C&gt;=$J$4,'领用录入（明细）'!C:C&lt;=$L$4),ROW(),"-")</f>
        <v>-</v>
      </c>
    </row>
    <row r="28769" customHeight="1" spans="2:2">
      <c r="B28769" s="62" t="str">
        <f>IF(AND('领用录入（明细）'!D:D=$F$4,'领用录入（明细）'!C:C&gt;=$J$4,'领用录入（明细）'!C:C&lt;=$L$4),ROW(),"-")</f>
        <v>-</v>
      </c>
    </row>
    <row r="28770" customHeight="1" spans="2:2">
      <c r="B28770" s="62" t="str">
        <f>IF(AND('领用录入（明细）'!D:D=$F$4,'领用录入（明细）'!C:C&gt;=$J$4,'领用录入（明细）'!C:C&lt;=$L$4),ROW(),"-")</f>
        <v>-</v>
      </c>
    </row>
    <row r="28771" customHeight="1" spans="2:2">
      <c r="B28771" s="62" t="str">
        <f>IF(AND('领用录入（明细）'!D:D=$F$4,'领用录入（明细）'!C:C&gt;=$J$4,'领用录入（明细）'!C:C&lt;=$L$4),ROW(),"-")</f>
        <v>-</v>
      </c>
    </row>
    <row r="28772" customHeight="1" spans="2:2">
      <c r="B28772" s="62" t="str">
        <f>IF(AND('领用录入（明细）'!D:D=$F$4,'领用录入（明细）'!C:C&gt;=$J$4,'领用录入（明细）'!C:C&lt;=$L$4),ROW(),"-")</f>
        <v>-</v>
      </c>
    </row>
    <row r="28773" customHeight="1" spans="2:2">
      <c r="B28773" s="62" t="str">
        <f>IF(AND('领用录入（明细）'!D:D=$F$4,'领用录入（明细）'!C:C&gt;=$J$4,'领用录入（明细）'!C:C&lt;=$L$4),ROW(),"-")</f>
        <v>-</v>
      </c>
    </row>
    <row r="28774" customHeight="1" spans="2:2">
      <c r="B28774" s="62" t="str">
        <f>IF(AND('领用录入（明细）'!D:D=$F$4,'领用录入（明细）'!C:C&gt;=$J$4,'领用录入（明细）'!C:C&lt;=$L$4),ROW(),"-")</f>
        <v>-</v>
      </c>
    </row>
    <row r="28775" customHeight="1" spans="2:2">
      <c r="B28775" s="62" t="str">
        <f>IF(AND('领用录入（明细）'!D:D=$F$4,'领用录入（明细）'!C:C&gt;=$J$4,'领用录入（明细）'!C:C&lt;=$L$4),ROW(),"-")</f>
        <v>-</v>
      </c>
    </row>
    <row r="28776" customHeight="1" spans="2:2">
      <c r="B28776" s="62" t="str">
        <f>IF(AND('领用录入（明细）'!D:D=$F$4,'领用录入（明细）'!C:C&gt;=$J$4,'领用录入（明细）'!C:C&lt;=$L$4),ROW(),"-")</f>
        <v>-</v>
      </c>
    </row>
    <row r="28777" customHeight="1" spans="2:2">
      <c r="B28777" s="62" t="str">
        <f>IF(AND('领用录入（明细）'!D:D=$F$4,'领用录入（明细）'!C:C&gt;=$J$4,'领用录入（明细）'!C:C&lt;=$L$4),ROW(),"-")</f>
        <v>-</v>
      </c>
    </row>
    <row r="28778" customHeight="1" spans="2:2">
      <c r="B28778" s="62" t="str">
        <f>IF(AND('领用录入（明细）'!D:D=$F$4,'领用录入（明细）'!C:C&gt;=$J$4,'领用录入（明细）'!C:C&lt;=$L$4),ROW(),"-")</f>
        <v>-</v>
      </c>
    </row>
    <row r="28779" customHeight="1" spans="2:2">
      <c r="B28779" s="62" t="str">
        <f>IF(AND('领用录入（明细）'!D:D=$F$4,'领用录入（明细）'!C:C&gt;=$J$4,'领用录入（明细）'!C:C&lt;=$L$4),ROW(),"-")</f>
        <v>-</v>
      </c>
    </row>
    <row r="28780" customHeight="1" spans="2:2">
      <c r="B28780" s="62" t="str">
        <f>IF(AND('领用录入（明细）'!D:D=$F$4,'领用录入（明细）'!C:C&gt;=$J$4,'领用录入（明细）'!C:C&lt;=$L$4),ROW(),"-")</f>
        <v>-</v>
      </c>
    </row>
    <row r="28781" customHeight="1" spans="2:2">
      <c r="B28781" s="62" t="str">
        <f>IF(AND('领用录入（明细）'!D:D=$F$4,'领用录入（明细）'!C:C&gt;=$J$4,'领用录入（明细）'!C:C&lt;=$L$4),ROW(),"-")</f>
        <v>-</v>
      </c>
    </row>
    <row r="28782" customHeight="1" spans="2:2">
      <c r="B28782" s="62" t="str">
        <f>IF(AND('领用录入（明细）'!D:D=$F$4,'领用录入（明细）'!C:C&gt;=$J$4,'领用录入（明细）'!C:C&lt;=$L$4),ROW(),"-")</f>
        <v>-</v>
      </c>
    </row>
    <row r="28783" customHeight="1" spans="2:2">
      <c r="B28783" s="62" t="str">
        <f>IF(AND('领用录入（明细）'!D:D=$F$4,'领用录入（明细）'!C:C&gt;=$J$4,'领用录入（明细）'!C:C&lt;=$L$4),ROW(),"-")</f>
        <v>-</v>
      </c>
    </row>
    <row r="28784" customHeight="1" spans="2:2">
      <c r="B28784" s="62" t="str">
        <f>IF(AND('领用录入（明细）'!D:D=$F$4,'领用录入（明细）'!C:C&gt;=$J$4,'领用录入（明细）'!C:C&lt;=$L$4),ROW(),"-")</f>
        <v>-</v>
      </c>
    </row>
    <row r="28785" customHeight="1" spans="2:2">
      <c r="B28785" s="62" t="str">
        <f>IF(AND('领用录入（明细）'!D:D=$F$4,'领用录入（明细）'!C:C&gt;=$J$4,'领用录入（明细）'!C:C&lt;=$L$4),ROW(),"-")</f>
        <v>-</v>
      </c>
    </row>
    <row r="28786" customHeight="1" spans="2:2">
      <c r="B28786" s="62" t="str">
        <f>IF(AND('领用录入（明细）'!D:D=$F$4,'领用录入（明细）'!C:C&gt;=$J$4,'领用录入（明细）'!C:C&lt;=$L$4),ROW(),"-")</f>
        <v>-</v>
      </c>
    </row>
    <row r="28787" customHeight="1" spans="2:2">
      <c r="B28787" s="62" t="str">
        <f>IF(AND('领用录入（明细）'!D:D=$F$4,'领用录入（明细）'!C:C&gt;=$J$4,'领用录入（明细）'!C:C&lt;=$L$4),ROW(),"-")</f>
        <v>-</v>
      </c>
    </row>
    <row r="28788" customHeight="1" spans="2:2">
      <c r="B28788" s="62" t="str">
        <f>IF(AND('领用录入（明细）'!D:D=$F$4,'领用录入（明细）'!C:C&gt;=$J$4,'领用录入（明细）'!C:C&lt;=$L$4),ROW(),"-")</f>
        <v>-</v>
      </c>
    </row>
    <row r="28789" customHeight="1" spans="2:2">
      <c r="B28789" s="62" t="str">
        <f>IF(AND('领用录入（明细）'!D:D=$F$4,'领用录入（明细）'!C:C&gt;=$J$4,'领用录入（明细）'!C:C&lt;=$L$4),ROW(),"-")</f>
        <v>-</v>
      </c>
    </row>
    <row r="28790" customHeight="1" spans="2:2">
      <c r="B28790" s="62" t="str">
        <f>IF(AND('领用录入（明细）'!D:D=$F$4,'领用录入（明细）'!C:C&gt;=$J$4,'领用录入（明细）'!C:C&lt;=$L$4),ROW(),"-")</f>
        <v>-</v>
      </c>
    </row>
    <row r="28791" customHeight="1" spans="2:2">
      <c r="B28791" s="62" t="str">
        <f>IF(AND('领用录入（明细）'!D:D=$F$4,'领用录入（明细）'!C:C&gt;=$J$4,'领用录入（明细）'!C:C&lt;=$L$4),ROW(),"-")</f>
        <v>-</v>
      </c>
    </row>
    <row r="28792" customHeight="1" spans="2:2">
      <c r="B28792" s="62" t="str">
        <f>IF(AND('领用录入（明细）'!D:D=$F$4,'领用录入（明细）'!C:C&gt;=$J$4,'领用录入（明细）'!C:C&lt;=$L$4),ROW(),"-")</f>
        <v>-</v>
      </c>
    </row>
    <row r="28793" customHeight="1" spans="2:2">
      <c r="B28793" s="62" t="str">
        <f>IF(AND('领用录入（明细）'!D:D=$F$4,'领用录入（明细）'!C:C&gt;=$J$4,'领用录入（明细）'!C:C&lt;=$L$4),ROW(),"-")</f>
        <v>-</v>
      </c>
    </row>
    <row r="28794" customHeight="1" spans="2:2">
      <c r="B28794" s="62" t="str">
        <f>IF(AND('领用录入（明细）'!D:D=$F$4,'领用录入（明细）'!C:C&gt;=$J$4,'领用录入（明细）'!C:C&lt;=$L$4),ROW(),"-")</f>
        <v>-</v>
      </c>
    </row>
    <row r="28795" customHeight="1" spans="2:2">
      <c r="B28795" s="62" t="str">
        <f>IF(AND('领用录入（明细）'!D:D=$F$4,'领用录入（明细）'!C:C&gt;=$J$4,'领用录入（明细）'!C:C&lt;=$L$4),ROW(),"-")</f>
        <v>-</v>
      </c>
    </row>
    <row r="28796" customHeight="1" spans="2:2">
      <c r="B28796" s="62" t="str">
        <f>IF(AND('领用录入（明细）'!D:D=$F$4,'领用录入（明细）'!C:C&gt;=$J$4,'领用录入（明细）'!C:C&lt;=$L$4),ROW(),"-")</f>
        <v>-</v>
      </c>
    </row>
    <row r="28797" customHeight="1" spans="2:2">
      <c r="B28797" s="62" t="str">
        <f>IF(AND('领用录入（明细）'!D:D=$F$4,'领用录入（明细）'!C:C&gt;=$J$4,'领用录入（明细）'!C:C&lt;=$L$4),ROW(),"-")</f>
        <v>-</v>
      </c>
    </row>
    <row r="28798" customHeight="1" spans="2:2">
      <c r="B28798" s="62" t="str">
        <f>IF(AND('领用录入（明细）'!D:D=$F$4,'领用录入（明细）'!C:C&gt;=$J$4,'领用录入（明细）'!C:C&lt;=$L$4),ROW(),"-")</f>
        <v>-</v>
      </c>
    </row>
    <row r="28799" customHeight="1" spans="2:2">
      <c r="B28799" s="62" t="str">
        <f>IF(AND('领用录入（明细）'!D:D=$F$4,'领用录入（明细）'!C:C&gt;=$J$4,'领用录入（明细）'!C:C&lt;=$L$4),ROW(),"-")</f>
        <v>-</v>
      </c>
    </row>
    <row r="28800" customHeight="1" spans="2:2">
      <c r="B28800" s="62" t="str">
        <f>IF(AND('领用录入（明细）'!D:D=$F$4,'领用录入（明细）'!C:C&gt;=$J$4,'领用录入（明细）'!C:C&lt;=$L$4),ROW(),"-")</f>
        <v>-</v>
      </c>
    </row>
    <row r="28801" customHeight="1" spans="2:2">
      <c r="B28801" s="62" t="str">
        <f>IF(AND('领用录入（明细）'!D:D=$F$4,'领用录入（明细）'!C:C&gt;=$J$4,'领用录入（明细）'!C:C&lt;=$L$4),ROW(),"-")</f>
        <v>-</v>
      </c>
    </row>
    <row r="28802" customHeight="1" spans="2:2">
      <c r="B28802" s="62" t="str">
        <f>IF(AND('领用录入（明细）'!D:D=$F$4,'领用录入（明细）'!C:C&gt;=$J$4,'领用录入（明细）'!C:C&lt;=$L$4),ROW(),"-")</f>
        <v>-</v>
      </c>
    </row>
    <row r="28803" customHeight="1" spans="2:2">
      <c r="B28803" s="62" t="str">
        <f>IF(AND('领用录入（明细）'!D:D=$F$4,'领用录入（明细）'!C:C&gt;=$J$4,'领用录入（明细）'!C:C&lt;=$L$4),ROW(),"-")</f>
        <v>-</v>
      </c>
    </row>
    <row r="28804" customHeight="1" spans="2:2">
      <c r="B28804" s="62" t="str">
        <f>IF(AND('领用录入（明细）'!D:D=$F$4,'领用录入（明细）'!C:C&gt;=$J$4,'领用录入（明细）'!C:C&lt;=$L$4),ROW(),"-")</f>
        <v>-</v>
      </c>
    </row>
    <row r="28805" customHeight="1" spans="2:2">
      <c r="B28805" s="62" t="str">
        <f>IF(AND('领用录入（明细）'!D:D=$F$4,'领用录入（明细）'!C:C&gt;=$J$4,'领用录入（明细）'!C:C&lt;=$L$4),ROW(),"-")</f>
        <v>-</v>
      </c>
    </row>
    <row r="28806" customHeight="1" spans="2:2">
      <c r="B28806" s="62" t="str">
        <f>IF(AND('领用录入（明细）'!D:D=$F$4,'领用录入（明细）'!C:C&gt;=$J$4,'领用录入（明细）'!C:C&lt;=$L$4),ROW(),"-")</f>
        <v>-</v>
      </c>
    </row>
    <row r="28807" customHeight="1" spans="2:2">
      <c r="B28807" s="62" t="str">
        <f>IF(AND('领用录入（明细）'!D:D=$F$4,'领用录入（明细）'!C:C&gt;=$J$4,'领用录入（明细）'!C:C&lt;=$L$4),ROW(),"-")</f>
        <v>-</v>
      </c>
    </row>
    <row r="28808" customHeight="1" spans="2:2">
      <c r="B28808" s="62" t="str">
        <f>IF(AND('领用录入（明细）'!D:D=$F$4,'领用录入（明细）'!C:C&gt;=$J$4,'领用录入（明细）'!C:C&lt;=$L$4),ROW(),"-")</f>
        <v>-</v>
      </c>
    </row>
    <row r="28809" customHeight="1" spans="2:2">
      <c r="B28809" s="62" t="str">
        <f>IF(AND('领用录入（明细）'!D:D=$F$4,'领用录入（明细）'!C:C&gt;=$J$4,'领用录入（明细）'!C:C&lt;=$L$4),ROW(),"-")</f>
        <v>-</v>
      </c>
    </row>
    <row r="28810" customHeight="1" spans="2:2">
      <c r="B28810" s="62" t="str">
        <f>IF(AND('领用录入（明细）'!D:D=$F$4,'领用录入（明细）'!C:C&gt;=$J$4,'领用录入（明细）'!C:C&lt;=$L$4),ROW(),"-")</f>
        <v>-</v>
      </c>
    </row>
    <row r="28811" customHeight="1" spans="2:2">
      <c r="B28811" s="62" t="str">
        <f>IF(AND('领用录入（明细）'!D:D=$F$4,'领用录入（明细）'!C:C&gt;=$J$4,'领用录入（明细）'!C:C&lt;=$L$4),ROW(),"-")</f>
        <v>-</v>
      </c>
    </row>
    <row r="28812" customHeight="1" spans="2:2">
      <c r="B28812" s="62" t="str">
        <f>IF(AND('领用录入（明细）'!D:D=$F$4,'领用录入（明细）'!C:C&gt;=$J$4,'领用录入（明细）'!C:C&lt;=$L$4),ROW(),"-")</f>
        <v>-</v>
      </c>
    </row>
    <row r="28813" customHeight="1" spans="2:2">
      <c r="B28813" s="62" t="str">
        <f>IF(AND('领用录入（明细）'!D:D=$F$4,'领用录入（明细）'!C:C&gt;=$J$4,'领用录入（明细）'!C:C&lt;=$L$4),ROW(),"-")</f>
        <v>-</v>
      </c>
    </row>
    <row r="28814" customHeight="1" spans="2:2">
      <c r="B28814" s="62" t="str">
        <f>IF(AND('领用录入（明细）'!D:D=$F$4,'领用录入（明细）'!C:C&gt;=$J$4,'领用录入（明细）'!C:C&lt;=$L$4),ROW(),"-")</f>
        <v>-</v>
      </c>
    </row>
    <row r="28815" customHeight="1" spans="2:2">
      <c r="B28815" s="62" t="str">
        <f>IF(AND('领用录入（明细）'!D:D=$F$4,'领用录入（明细）'!C:C&gt;=$J$4,'领用录入（明细）'!C:C&lt;=$L$4),ROW(),"-")</f>
        <v>-</v>
      </c>
    </row>
    <row r="28816" customHeight="1" spans="2:2">
      <c r="B28816" s="62" t="str">
        <f>IF(AND('领用录入（明细）'!D:D=$F$4,'领用录入（明细）'!C:C&gt;=$J$4,'领用录入（明细）'!C:C&lt;=$L$4),ROW(),"-")</f>
        <v>-</v>
      </c>
    </row>
    <row r="28817" customHeight="1" spans="2:2">
      <c r="B28817" s="62" t="str">
        <f>IF(AND('领用录入（明细）'!D:D=$F$4,'领用录入（明细）'!C:C&gt;=$J$4,'领用录入（明细）'!C:C&lt;=$L$4),ROW(),"-")</f>
        <v>-</v>
      </c>
    </row>
    <row r="28818" customHeight="1" spans="2:2">
      <c r="B28818" s="62" t="str">
        <f>IF(AND('领用录入（明细）'!D:D=$F$4,'领用录入（明细）'!C:C&gt;=$J$4,'领用录入（明细）'!C:C&lt;=$L$4),ROW(),"-")</f>
        <v>-</v>
      </c>
    </row>
    <row r="28819" customHeight="1" spans="2:2">
      <c r="B28819" s="62" t="str">
        <f>IF(AND('领用录入（明细）'!D:D=$F$4,'领用录入（明细）'!C:C&gt;=$J$4,'领用录入（明细）'!C:C&lt;=$L$4),ROW(),"-")</f>
        <v>-</v>
      </c>
    </row>
    <row r="28820" customHeight="1" spans="2:2">
      <c r="B28820" s="62" t="str">
        <f>IF(AND('领用录入（明细）'!D:D=$F$4,'领用录入（明细）'!C:C&gt;=$J$4,'领用录入（明细）'!C:C&lt;=$L$4),ROW(),"-")</f>
        <v>-</v>
      </c>
    </row>
    <row r="28821" customHeight="1" spans="2:2">
      <c r="B28821" s="62" t="str">
        <f>IF(AND('领用录入（明细）'!D:D=$F$4,'领用录入（明细）'!C:C&gt;=$J$4,'领用录入（明细）'!C:C&lt;=$L$4),ROW(),"-")</f>
        <v>-</v>
      </c>
    </row>
    <row r="28822" customHeight="1" spans="2:2">
      <c r="B28822" s="62" t="str">
        <f>IF(AND('领用录入（明细）'!D:D=$F$4,'领用录入（明细）'!C:C&gt;=$J$4,'领用录入（明细）'!C:C&lt;=$L$4),ROW(),"-")</f>
        <v>-</v>
      </c>
    </row>
    <row r="28823" customHeight="1" spans="2:2">
      <c r="B28823" s="62" t="str">
        <f>IF(AND('领用录入（明细）'!D:D=$F$4,'领用录入（明细）'!C:C&gt;=$J$4,'领用录入（明细）'!C:C&lt;=$L$4),ROW(),"-")</f>
        <v>-</v>
      </c>
    </row>
    <row r="28824" customHeight="1" spans="2:2">
      <c r="B28824" s="62" t="str">
        <f>IF(AND('领用录入（明细）'!D:D=$F$4,'领用录入（明细）'!C:C&gt;=$J$4,'领用录入（明细）'!C:C&lt;=$L$4),ROW(),"-")</f>
        <v>-</v>
      </c>
    </row>
    <row r="28825" customHeight="1" spans="2:2">
      <c r="B28825" s="62" t="str">
        <f>IF(AND('领用录入（明细）'!D:D=$F$4,'领用录入（明细）'!C:C&gt;=$J$4,'领用录入（明细）'!C:C&lt;=$L$4),ROW(),"-")</f>
        <v>-</v>
      </c>
    </row>
    <row r="28826" customHeight="1" spans="2:2">
      <c r="B28826" s="62" t="str">
        <f>IF(AND('领用录入（明细）'!D:D=$F$4,'领用录入（明细）'!C:C&gt;=$J$4,'领用录入（明细）'!C:C&lt;=$L$4),ROW(),"-")</f>
        <v>-</v>
      </c>
    </row>
    <row r="28827" customHeight="1" spans="2:2">
      <c r="B28827" s="62" t="str">
        <f>IF(AND('领用录入（明细）'!D:D=$F$4,'领用录入（明细）'!C:C&gt;=$J$4,'领用录入（明细）'!C:C&lt;=$L$4),ROW(),"-")</f>
        <v>-</v>
      </c>
    </row>
    <row r="28828" customHeight="1" spans="2:2">
      <c r="B28828" s="62" t="str">
        <f>IF(AND('领用录入（明细）'!D:D=$F$4,'领用录入（明细）'!C:C&gt;=$J$4,'领用录入（明细）'!C:C&lt;=$L$4),ROW(),"-")</f>
        <v>-</v>
      </c>
    </row>
    <row r="28829" customHeight="1" spans="2:2">
      <c r="B28829" s="62" t="str">
        <f>IF(AND('领用录入（明细）'!D:D=$F$4,'领用录入（明细）'!C:C&gt;=$J$4,'领用录入（明细）'!C:C&lt;=$L$4),ROW(),"-")</f>
        <v>-</v>
      </c>
    </row>
    <row r="28830" customHeight="1" spans="2:2">
      <c r="B28830" s="62" t="str">
        <f>IF(AND('领用录入（明细）'!D:D=$F$4,'领用录入（明细）'!C:C&gt;=$J$4,'领用录入（明细）'!C:C&lt;=$L$4),ROW(),"-")</f>
        <v>-</v>
      </c>
    </row>
    <row r="28831" customHeight="1" spans="2:2">
      <c r="B28831" s="62" t="str">
        <f>IF(AND('领用录入（明细）'!D:D=$F$4,'领用录入（明细）'!C:C&gt;=$J$4,'领用录入（明细）'!C:C&lt;=$L$4),ROW(),"-")</f>
        <v>-</v>
      </c>
    </row>
    <row r="28832" customHeight="1" spans="2:2">
      <c r="B28832" s="62" t="str">
        <f>IF(AND('领用录入（明细）'!D:D=$F$4,'领用录入（明细）'!C:C&gt;=$J$4,'领用录入（明细）'!C:C&lt;=$L$4),ROW(),"-")</f>
        <v>-</v>
      </c>
    </row>
    <row r="28833" customHeight="1" spans="2:2">
      <c r="B28833" s="62" t="str">
        <f>IF(AND('领用录入（明细）'!D:D=$F$4,'领用录入（明细）'!C:C&gt;=$J$4,'领用录入（明细）'!C:C&lt;=$L$4),ROW(),"-")</f>
        <v>-</v>
      </c>
    </row>
    <row r="28834" customHeight="1" spans="2:2">
      <c r="B28834" s="62" t="str">
        <f>IF(AND('领用录入（明细）'!D:D=$F$4,'领用录入（明细）'!C:C&gt;=$J$4,'领用录入（明细）'!C:C&lt;=$L$4),ROW(),"-")</f>
        <v>-</v>
      </c>
    </row>
    <row r="28835" customHeight="1" spans="2:2">
      <c r="B28835" s="62" t="str">
        <f>IF(AND('领用录入（明细）'!D:D=$F$4,'领用录入（明细）'!C:C&gt;=$J$4,'领用录入（明细）'!C:C&lt;=$L$4),ROW(),"-")</f>
        <v>-</v>
      </c>
    </row>
    <row r="28836" customHeight="1" spans="2:2">
      <c r="B28836" s="62" t="str">
        <f>IF(AND('领用录入（明细）'!D:D=$F$4,'领用录入（明细）'!C:C&gt;=$J$4,'领用录入（明细）'!C:C&lt;=$L$4),ROW(),"-")</f>
        <v>-</v>
      </c>
    </row>
    <row r="28837" customHeight="1" spans="2:2">
      <c r="B28837" s="62" t="str">
        <f>IF(AND('领用录入（明细）'!D:D=$F$4,'领用录入（明细）'!C:C&gt;=$J$4,'领用录入（明细）'!C:C&lt;=$L$4),ROW(),"-")</f>
        <v>-</v>
      </c>
    </row>
    <row r="28838" customHeight="1" spans="2:2">
      <c r="B28838" s="62" t="str">
        <f>IF(AND('领用录入（明细）'!D:D=$F$4,'领用录入（明细）'!C:C&gt;=$J$4,'领用录入（明细）'!C:C&lt;=$L$4),ROW(),"-")</f>
        <v>-</v>
      </c>
    </row>
    <row r="28839" customHeight="1" spans="2:2">
      <c r="B28839" s="62" t="str">
        <f>IF(AND('领用录入（明细）'!D:D=$F$4,'领用录入（明细）'!C:C&gt;=$J$4,'领用录入（明细）'!C:C&lt;=$L$4),ROW(),"-")</f>
        <v>-</v>
      </c>
    </row>
    <row r="28840" customHeight="1" spans="2:2">
      <c r="B28840" s="62" t="str">
        <f>IF(AND('领用录入（明细）'!D:D=$F$4,'领用录入（明细）'!C:C&gt;=$J$4,'领用录入（明细）'!C:C&lt;=$L$4),ROW(),"-")</f>
        <v>-</v>
      </c>
    </row>
    <row r="28841" customHeight="1" spans="2:2">
      <c r="B28841" s="62" t="str">
        <f>IF(AND('领用录入（明细）'!D:D=$F$4,'领用录入（明细）'!C:C&gt;=$J$4,'领用录入（明细）'!C:C&lt;=$L$4),ROW(),"-")</f>
        <v>-</v>
      </c>
    </row>
    <row r="28842" customHeight="1" spans="2:2">
      <c r="B28842" s="62" t="str">
        <f>IF(AND('领用录入（明细）'!D:D=$F$4,'领用录入（明细）'!C:C&gt;=$J$4,'领用录入（明细）'!C:C&lt;=$L$4),ROW(),"-")</f>
        <v>-</v>
      </c>
    </row>
    <row r="28843" customHeight="1" spans="2:2">
      <c r="B28843" s="62" t="str">
        <f>IF(AND('领用录入（明细）'!D:D=$F$4,'领用录入（明细）'!C:C&gt;=$J$4,'领用录入（明细）'!C:C&lt;=$L$4),ROW(),"-")</f>
        <v>-</v>
      </c>
    </row>
    <row r="28844" customHeight="1" spans="2:2">
      <c r="B28844" s="62" t="str">
        <f>IF(AND('领用录入（明细）'!D:D=$F$4,'领用录入（明细）'!C:C&gt;=$J$4,'领用录入（明细）'!C:C&lt;=$L$4),ROW(),"-")</f>
        <v>-</v>
      </c>
    </row>
    <row r="28845" customHeight="1" spans="2:2">
      <c r="B28845" s="62" t="str">
        <f>IF(AND('领用录入（明细）'!D:D=$F$4,'领用录入（明细）'!C:C&gt;=$J$4,'领用录入（明细）'!C:C&lt;=$L$4),ROW(),"-")</f>
        <v>-</v>
      </c>
    </row>
    <row r="28846" customHeight="1" spans="2:2">
      <c r="B28846" s="62" t="str">
        <f>IF(AND('领用录入（明细）'!D:D=$F$4,'领用录入（明细）'!C:C&gt;=$J$4,'领用录入（明细）'!C:C&lt;=$L$4),ROW(),"-")</f>
        <v>-</v>
      </c>
    </row>
    <row r="28847" customHeight="1" spans="2:2">
      <c r="B28847" s="62" t="str">
        <f>IF(AND('领用录入（明细）'!D:D=$F$4,'领用录入（明细）'!C:C&gt;=$J$4,'领用录入（明细）'!C:C&lt;=$L$4),ROW(),"-")</f>
        <v>-</v>
      </c>
    </row>
    <row r="28848" customHeight="1" spans="2:2">
      <c r="B28848" s="62" t="str">
        <f>IF(AND('领用录入（明细）'!D:D=$F$4,'领用录入（明细）'!C:C&gt;=$J$4,'领用录入（明细）'!C:C&lt;=$L$4),ROW(),"-")</f>
        <v>-</v>
      </c>
    </row>
    <row r="28849" customHeight="1" spans="2:2">
      <c r="B28849" s="62" t="str">
        <f>IF(AND('领用录入（明细）'!D:D=$F$4,'领用录入（明细）'!C:C&gt;=$J$4,'领用录入（明细）'!C:C&lt;=$L$4),ROW(),"-")</f>
        <v>-</v>
      </c>
    </row>
    <row r="28850" customHeight="1" spans="2:2">
      <c r="B28850" s="62" t="str">
        <f>IF(AND('领用录入（明细）'!D:D=$F$4,'领用录入（明细）'!C:C&gt;=$J$4,'领用录入（明细）'!C:C&lt;=$L$4),ROW(),"-")</f>
        <v>-</v>
      </c>
    </row>
    <row r="28851" customHeight="1" spans="2:2">
      <c r="B28851" s="62" t="str">
        <f>IF(AND('领用录入（明细）'!D:D=$F$4,'领用录入（明细）'!C:C&gt;=$J$4,'领用录入（明细）'!C:C&lt;=$L$4),ROW(),"-")</f>
        <v>-</v>
      </c>
    </row>
    <row r="28852" customHeight="1" spans="2:2">
      <c r="B28852" s="62" t="str">
        <f>IF(AND('领用录入（明细）'!D:D=$F$4,'领用录入（明细）'!C:C&gt;=$J$4,'领用录入（明细）'!C:C&lt;=$L$4),ROW(),"-")</f>
        <v>-</v>
      </c>
    </row>
    <row r="28853" customHeight="1" spans="2:2">
      <c r="B28853" s="62" t="str">
        <f>IF(AND('领用录入（明细）'!D:D=$F$4,'领用录入（明细）'!C:C&gt;=$J$4,'领用录入（明细）'!C:C&lt;=$L$4),ROW(),"-")</f>
        <v>-</v>
      </c>
    </row>
    <row r="28854" customHeight="1" spans="2:2">
      <c r="B28854" s="62" t="str">
        <f>IF(AND('领用录入（明细）'!D:D=$F$4,'领用录入（明细）'!C:C&gt;=$J$4,'领用录入（明细）'!C:C&lt;=$L$4),ROW(),"-")</f>
        <v>-</v>
      </c>
    </row>
    <row r="28855" customHeight="1" spans="2:2">
      <c r="B28855" s="62" t="str">
        <f>IF(AND('领用录入（明细）'!D:D=$F$4,'领用录入（明细）'!C:C&gt;=$J$4,'领用录入（明细）'!C:C&lt;=$L$4),ROW(),"-")</f>
        <v>-</v>
      </c>
    </row>
    <row r="28856" customHeight="1" spans="2:2">
      <c r="B28856" s="62" t="str">
        <f>IF(AND('领用录入（明细）'!D:D=$F$4,'领用录入（明细）'!C:C&gt;=$J$4,'领用录入（明细）'!C:C&lt;=$L$4),ROW(),"-")</f>
        <v>-</v>
      </c>
    </row>
    <row r="28857" customHeight="1" spans="2:2">
      <c r="B28857" s="62" t="str">
        <f>IF(AND('领用录入（明细）'!D:D=$F$4,'领用录入（明细）'!C:C&gt;=$J$4,'领用录入（明细）'!C:C&lt;=$L$4),ROW(),"-")</f>
        <v>-</v>
      </c>
    </row>
    <row r="28858" customHeight="1" spans="2:2">
      <c r="B28858" s="62" t="str">
        <f>IF(AND('领用录入（明细）'!D:D=$F$4,'领用录入（明细）'!C:C&gt;=$J$4,'领用录入（明细）'!C:C&lt;=$L$4),ROW(),"-")</f>
        <v>-</v>
      </c>
    </row>
    <row r="28859" customHeight="1" spans="2:2">
      <c r="B28859" s="62" t="str">
        <f>IF(AND('领用录入（明细）'!D:D=$F$4,'领用录入（明细）'!C:C&gt;=$J$4,'领用录入（明细）'!C:C&lt;=$L$4),ROW(),"-")</f>
        <v>-</v>
      </c>
    </row>
    <row r="28860" customHeight="1" spans="2:2">
      <c r="B28860" s="62" t="str">
        <f>IF(AND('领用录入（明细）'!D:D=$F$4,'领用录入（明细）'!C:C&gt;=$J$4,'领用录入（明细）'!C:C&lt;=$L$4),ROW(),"-")</f>
        <v>-</v>
      </c>
    </row>
    <row r="28861" customHeight="1" spans="2:2">
      <c r="B28861" s="62" t="str">
        <f>IF(AND('领用录入（明细）'!D:D=$F$4,'领用录入（明细）'!C:C&gt;=$J$4,'领用录入（明细）'!C:C&lt;=$L$4),ROW(),"-")</f>
        <v>-</v>
      </c>
    </row>
    <row r="28862" customHeight="1" spans="2:2">
      <c r="B28862" s="62" t="str">
        <f>IF(AND('领用录入（明细）'!D:D=$F$4,'领用录入（明细）'!C:C&gt;=$J$4,'领用录入（明细）'!C:C&lt;=$L$4),ROW(),"-")</f>
        <v>-</v>
      </c>
    </row>
    <row r="28863" customHeight="1" spans="2:2">
      <c r="B28863" s="62" t="str">
        <f>IF(AND('领用录入（明细）'!D:D=$F$4,'领用录入（明细）'!C:C&gt;=$J$4,'领用录入（明细）'!C:C&lt;=$L$4),ROW(),"-")</f>
        <v>-</v>
      </c>
    </row>
    <row r="28864" customHeight="1" spans="2:2">
      <c r="B28864" s="62" t="str">
        <f>IF(AND('领用录入（明细）'!D:D=$F$4,'领用录入（明细）'!C:C&gt;=$J$4,'领用录入（明细）'!C:C&lt;=$L$4),ROW(),"-")</f>
        <v>-</v>
      </c>
    </row>
    <row r="28865" customHeight="1" spans="2:2">
      <c r="B28865" s="62" t="str">
        <f>IF(AND('领用录入（明细）'!D:D=$F$4,'领用录入（明细）'!C:C&gt;=$J$4,'领用录入（明细）'!C:C&lt;=$L$4),ROW(),"-")</f>
        <v>-</v>
      </c>
    </row>
    <row r="28866" customHeight="1" spans="2:2">
      <c r="B28866" s="62" t="str">
        <f>IF(AND('领用录入（明细）'!D:D=$F$4,'领用录入（明细）'!C:C&gt;=$J$4,'领用录入（明细）'!C:C&lt;=$L$4),ROW(),"-")</f>
        <v>-</v>
      </c>
    </row>
    <row r="28867" customHeight="1" spans="2:2">
      <c r="B28867" s="62" t="str">
        <f>IF(AND('领用录入（明细）'!D:D=$F$4,'领用录入（明细）'!C:C&gt;=$J$4,'领用录入（明细）'!C:C&lt;=$L$4),ROW(),"-")</f>
        <v>-</v>
      </c>
    </row>
    <row r="28868" customHeight="1" spans="2:2">
      <c r="B28868" s="62" t="str">
        <f>IF(AND('领用录入（明细）'!D:D=$F$4,'领用录入（明细）'!C:C&gt;=$J$4,'领用录入（明细）'!C:C&lt;=$L$4),ROW(),"-")</f>
        <v>-</v>
      </c>
    </row>
    <row r="28869" customHeight="1" spans="2:2">
      <c r="B28869" s="62" t="str">
        <f>IF(AND('领用录入（明细）'!D:D=$F$4,'领用录入（明细）'!C:C&gt;=$J$4,'领用录入（明细）'!C:C&lt;=$L$4),ROW(),"-")</f>
        <v>-</v>
      </c>
    </row>
    <row r="28870" customHeight="1" spans="2:2">
      <c r="B28870" s="62" t="str">
        <f>IF(AND('领用录入（明细）'!D:D=$F$4,'领用录入（明细）'!C:C&gt;=$J$4,'领用录入（明细）'!C:C&lt;=$L$4),ROW(),"-")</f>
        <v>-</v>
      </c>
    </row>
    <row r="28871" customHeight="1" spans="2:2">
      <c r="B28871" s="62" t="str">
        <f>IF(AND('领用录入（明细）'!D:D=$F$4,'领用录入（明细）'!C:C&gt;=$J$4,'领用录入（明细）'!C:C&lt;=$L$4),ROW(),"-")</f>
        <v>-</v>
      </c>
    </row>
    <row r="28872" customHeight="1" spans="2:2">
      <c r="B28872" s="62" t="str">
        <f>IF(AND('领用录入（明细）'!D:D=$F$4,'领用录入（明细）'!C:C&gt;=$J$4,'领用录入（明细）'!C:C&lt;=$L$4),ROW(),"-")</f>
        <v>-</v>
      </c>
    </row>
    <row r="28873" customHeight="1" spans="2:2">
      <c r="B28873" s="62" t="str">
        <f>IF(AND('领用录入（明细）'!D:D=$F$4,'领用录入（明细）'!C:C&gt;=$J$4,'领用录入（明细）'!C:C&lt;=$L$4),ROW(),"-")</f>
        <v>-</v>
      </c>
    </row>
    <row r="28874" customHeight="1" spans="2:2">
      <c r="B28874" s="62" t="str">
        <f>IF(AND('领用录入（明细）'!D:D=$F$4,'领用录入（明细）'!C:C&gt;=$J$4,'领用录入（明细）'!C:C&lt;=$L$4),ROW(),"-")</f>
        <v>-</v>
      </c>
    </row>
    <row r="28875" customHeight="1" spans="2:2">
      <c r="B28875" s="62" t="str">
        <f>IF(AND('领用录入（明细）'!D:D=$F$4,'领用录入（明细）'!C:C&gt;=$J$4,'领用录入（明细）'!C:C&lt;=$L$4),ROW(),"-")</f>
        <v>-</v>
      </c>
    </row>
    <row r="28876" customHeight="1" spans="2:2">
      <c r="B28876" s="62" t="str">
        <f>IF(AND('领用录入（明细）'!D:D=$F$4,'领用录入（明细）'!C:C&gt;=$J$4,'领用录入（明细）'!C:C&lt;=$L$4),ROW(),"-")</f>
        <v>-</v>
      </c>
    </row>
    <row r="28877" customHeight="1" spans="2:2">
      <c r="B28877" s="62" t="str">
        <f>IF(AND('领用录入（明细）'!D:D=$F$4,'领用录入（明细）'!C:C&gt;=$J$4,'领用录入（明细）'!C:C&lt;=$L$4),ROW(),"-")</f>
        <v>-</v>
      </c>
    </row>
    <row r="28878" customHeight="1" spans="2:2">
      <c r="B28878" s="62" t="str">
        <f>IF(AND('领用录入（明细）'!D:D=$F$4,'领用录入（明细）'!C:C&gt;=$J$4,'领用录入（明细）'!C:C&lt;=$L$4),ROW(),"-")</f>
        <v>-</v>
      </c>
    </row>
    <row r="28879" customHeight="1" spans="2:2">
      <c r="B28879" s="62" t="str">
        <f>IF(AND('领用录入（明细）'!D:D=$F$4,'领用录入（明细）'!C:C&gt;=$J$4,'领用录入（明细）'!C:C&lt;=$L$4),ROW(),"-")</f>
        <v>-</v>
      </c>
    </row>
    <row r="28880" customHeight="1" spans="2:2">
      <c r="B28880" s="62" t="str">
        <f>IF(AND('领用录入（明细）'!D:D=$F$4,'领用录入（明细）'!C:C&gt;=$J$4,'领用录入（明细）'!C:C&lt;=$L$4),ROW(),"-")</f>
        <v>-</v>
      </c>
    </row>
    <row r="28881" customHeight="1" spans="2:2">
      <c r="B28881" s="62" t="str">
        <f>IF(AND('领用录入（明细）'!D:D=$F$4,'领用录入（明细）'!C:C&gt;=$J$4,'领用录入（明细）'!C:C&lt;=$L$4),ROW(),"-")</f>
        <v>-</v>
      </c>
    </row>
    <row r="28882" customHeight="1" spans="2:2">
      <c r="B28882" s="62" t="str">
        <f>IF(AND('领用录入（明细）'!D:D=$F$4,'领用录入（明细）'!C:C&gt;=$J$4,'领用录入（明细）'!C:C&lt;=$L$4),ROW(),"-")</f>
        <v>-</v>
      </c>
    </row>
    <row r="28883" customHeight="1" spans="2:2">
      <c r="B28883" s="62" t="str">
        <f>IF(AND('领用录入（明细）'!D:D=$F$4,'领用录入（明细）'!C:C&gt;=$J$4,'领用录入（明细）'!C:C&lt;=$L$4),ROW(),"-")</f>
        <v>-</v>
      </c>
    </row>
    <row r="28884" customHeight="1" spans="2:2">
      <c r="B28884" s="62" t="str">
        <f>IF(AND('领用录入（明细）'!D:D=$F$4,'领用录入（明细）'!C:C&gt;=$J$4,'领用录入（明细）'!C:C&lt;=$L$4),ROW(),"-")</f>
        <v>-</v>
      </c>
    </row>
    <row r="28885" customHeight="1" spans="2:2">
      <c r="B28885" s="62" t="str">
        <f>IF(AND('领用录入（明细）'!D:D=$F$4,'领用录入（明细）'!C:C&gt;=$J$4,'领用录入（明细）'!C:C&lt;=$L$4),ROW(),"-")</f>
        <v>-</v>
      </c>
    </row>
    <row r="28886" customHeight="1" spans="2:2">
      <c r="B28886" s="62" t="str">
        <f>IF(AND('领用录入（明细）'!D:D=$F$4,'领用录入（明细）'!C:C&gt;=$J$4,'领用录入（明细）'!C:C&lt;=$L$4),ROW(),"-")</f>
        <v>-</v>
      </c>
    </row>
    <row r="28887" customHeight="1" spans="2:2">
      <c r="B28887" s="62" t="str">
        <f>IF(AND('领用录入（明细）'!D:D=$F$4,'领用录入（明细）'!C:C&gt;=$J$4,'领用录入（明细）'!C:C&lt;=$L$4),ROW(),"-")</f>
        <v>-</v>
      </c>
    </row>
    <row r="28888" customHeight="1" spans="2:2">
      <c r="B28888" s="62" t="str">
        <f>IF(AND('领用录入（明细）'!D:D=$F$4,'领用录入（明细）'!C:C&gt;=$J$4,'领用录入（明细）'!C:C&lt;=$L$4),ROW(),"-")</f>
        <v>-</v>
      </c>
    </row>
    <row r="28889" customHeight="1" spans="2:2">
      <c r="B28889" s="62" t="str">
        <f>IF(AND('领用录入（明细）'!D:D=$F$4,'领用录入（明细）'!C:C&gt;=$J$4,'领用录入（明细）'!C:C&lt;=$L$4),ROW(),"-")</f>
        <v>-</v>
      </c>
    </row>
    <row r="28890" customHeight="1" spans="2:2">
      <c r="B28890" s="62" t="str">
        <f>IF(AND('领用录入（明细）'!D:D=$F$4,'领用录入（明细）'!C:C&gt;=$J$4,'领用录入（明细）'!C:C&lt;=$L$4),ROW(),"-")</f>
        <v>-</v>
      </c>
    </row>
    <row r="28891" customHeight="1" spans="2:2">
      <c r="B28891" s="62" t="str">
        <f>IF(AND('领用录入（明细）'!D:D=$F$4,'领用录入（明细）'!C:C&gt;=$J$4,'领用录入（明细）'!C:C&lt;=$L$4),ROW(),"-")</f>
        <v>-</v>
      </c>
    </row>
    <row r="28892" customHeight="1" spans="2:2">
      <c r="B28892" s="62" t="str">
        <f>IF(AND('领用录入（明细）'!D:D=$F$4,'领用录入（明细）'!C:C&gt;=$J$4,'领用录入（明细）'!C:C&lt;=$L$4),ROW(),"-")</f>
        <v>-</v>
      </c>
    </row>
    <row r="28893" customHeight="1" spans="2:2">
      <c r="B28893" s="62" t="str">
        <f>IF(AND('领用录入（明细）'!D:D=$F$4,'领用录入（明细）'!C:C&gt;=$J$4,'领用录入（明细）'!C:C&lt;=$L$4),ROW(),"-")</f>
        <v>-</v>
      </c>
    </row>
    <row r="28894" customHeight="1" spans="2:2">
      <c r="B28894" s="62" t="str">
        <f>IF(AND('领用录入（明细）'!D:D=$F$4,'领用录入（明细）'!C:C&gt;=$J$4,'领用录入（明细）'!C:C&lt;=$L$4),ROW(),"-")</f>
        <v>-</v>
      </c>
    </row>
    <row r="28895" customHeight="1" spans="2:2">
      <c r="B28895" s="62" t="str">
        <f>IF(AND('领用录入（明细）'!D:D=$F$4,'领用录入（明细）'!C:C&gt;=$J$4,'领用录入（明细）'!C:C&lt;=$L$4),ROW(),"-")</f>
        <v>-</v>
      </c>
    </row>
    <row r="28896" customHeight="1" spans="2:2">
      <c r="B28896" s="62" t="str">
        <f>IF(AND('领用录入（明细）'!D:D=$F$4,'领用录入（明细）'!C:C&gt;=$J$4,'领用录入（明细）'!C:C&lt;=$L$4),ROW(),"-")</f>
        <v>-</v>
      </c>
    </row>
    <row r="28897" customHeight="1" spans="2:2">
      <c r="B28897" s="62" t="str">
        <f>IF(AND('领用录入（明细）'!D:D=$F$4,'领用录入（明细）'!C:C&gt;=$J$4,'领用录入（明细）'!C:C&lt;=$L$4),ROW(),"-")</f>
        <v>-</v>
      </c>
    </row>
    <row r="28898" customHeight="1" spans="2:2">
      <c r="B28898" s="62" t="str">
        <f>IF(AND('领用录入（明细）'!D:D=$F$4,'领用录入（明细）'!C:C&gt;=$J$4,'领用录入（明细）'!C:C&lt;=$L$4),ROW(),"-")</f>
        <v>-</v>
      </c>
    </row>
    <row r="28899" customHeight="1" spans="2:2">
      <c r="B28899" s="62" t="str">
        <f>IF(AND('领用录入（明细）'!D:D=$F$4,'领用录入（明细）'!C:C&gt;=$J$4,'领用录入（明细）'!C:C&lt;=$L$4),ROW(),"-")</f>
        <v>-</v>
      </c>
    </row>
    <row r="28900" customHeight="1" spans="2:2">
      <c r="B28900" s="62" t="str">
        <f>IF(AND('领用录入（明细）'!D:D=$F$4,'领用录入（明细）'!C:C&gt;=$J$4,'领用录入（明细）'!C:C&lt;=$L$4),ROW(),"-")</f>
        <v>-</v>
      </c>
    </row>
    <row r="28901" customHeight="1" spans="2:2">
      <c r="B28901" s="62" t="str">
        <f>IF(AND('领用录入（明细）'!D:D=$F$4,'领用录入（明细）'!C:C&gt;=$J$4,'领用录入（明细）'!C:C&lt;=$L$4),ROW(),"-")</f>
        <v>-</v>
      </c>
    </row>
    <row r="28902" customHeight="1" spans="2:2">
      <c r="B28902" s="62" t="str">
        <f>IF(AND('领用录入（明细）'!D:D=$F$4,'领用录入（明细）'!C:C&gt;=$J$4,'领用录入（明细）'!C:C&lt;=$L$4),ROW(),"-")</f>
        <v>-</v>
      </c>
    </row>
    <row r="28903" customHeight="1" spans="2:2">
      <c r="B28903" s="62" t="str">
        <f>IF(AND('领用录入（明细）'!D:D=$F$4,'领用录入（明细）'!C:C&gt;=$J$4,'领用录入（明细）'!C:C&lt;=$L$4),ROW(),"-")</f>
        <v>-</v>
      </c>
    </row>
    <row r="28904" customHeight="1" spans="2:2">
      <c r="B28904" s="62" t="str">
        <f>IF(AND('领用录入（明细）'!D:D=$F$4,'领用录入（明细）'!C:C&gt;=$J$4,'领用录入（明细）'!C:C&lt;=$L$4),ROW(),"-")</f>
        <v>-</v>
      </c>
    </row>
    <row r="28905" customHeight="1" spans="2:2">
      <c r="B28905" s="62" t="str">
        <f>IF(AND('领用录入（明细）'!D:D=$F$4,'领用录入（明细）'!C:C&gt;=$J$4,'领用录入（明细）'!C:C&lt;=$L$4),ROW(),"-")</f>
        <v>-</v>
      </c>
    </row>
    <row r="28906" customHeight="1" spans="2:2">
      <c r="B28906" s="62" t="str">
        <f>IF(AND('领用录入（明细）'!D:D=$F$4,'领用录入（明细）'!C:C&gt;=$J$4,'领用录入（明细）'!C:C&lt;=$L$4),ROW(),"-")</f>
        <v>-</v>
      </c>
    </row>
    <row r="28907" customHeight="1" spans="2:2">
      <c r="B28907" s="62" t="str">
        <f>IF(AND('领用录入（明细）'!D:D=$F$4,'领用录入（明细）'!C:C&gt;=$J$4,'领用录入（明细）'!C:C&lt;=$L$4),ROW(),"-")</f>
        <v>-</v>
      </c>
    </row>
    <row r="28908" customHeight="1" spans="2:2">
      <c r="B28908" s="62" t="str">
        <f>IF(AND('领用录入（明细）'!D:D=$F$4,'领用录入（明细）'!C:C&gt;=$J$4,'领用录入（明细）'!C:C&lt;=$L$4),ROW(),"-")</f>
        <v>-</v>
      </c>
    </row>
    <row r="28909" customHeight="1" spans="2:2">
      <c r="B28909" s="62" t="str">
        <f>IF(AND('领用录入（明细）'!D:D=$F$4,'领用录入（明细）'!C:C&gt;=$J$4,'领用录入（明细）'!C:C&lt;=$L$4),ROW(),"-")</f>
        <v>-</v>
      </c>
    </row>
    <row r="28910" customHeight="1" spans="2:2">
      <c r="B28910" s="62" t="str">
        <f>IF(AND('领用录入（明细）'!D:D=$F$4,'领用录入（明细）'!C:C&gt;=$J$4,'领用录入（明细）'!C:C&lt;=$L$4),ROW(),"-")</f>
        <v>-</v>
      </c>
    </row>
    <row r="28911" customHeight="1" spans="2:2">
      <c r="B28911" s="62" t="str">
        <f>IF(AND('领用录入（明细）'!D:D=$F$4,'领用录入（明细）'!C:C&gt;=$J$4,'领用录入（明细）'!C:C&lt;=$L$4),ROW(),"-")</f>
        <v>-</v>
      </c>
    </row>
    <row r="28912" customHeight="1" spans="2:2">
      <c r="B28912" s="62" t="str">
        <f>IF(AND('领用录入（明细）'!D:D=$F$4,'领用录入（明细）'!C:C&gt;=$J$4,'领用录入（明细）'!C:C&lt;=$L$4),ROW(),"-")</f>
        <v>-</v>
      </c>
    </row>
    <row r="28913" customHeight="1" spans="2:2">
      <c r="B28913" s="62" t="str">
        <f>IF(AND('领用录入（明细）'!D:D=$F$4,'领用录入（明细）'!C:C&gt;=$J$4,'领用录入（明细）'!C:C&lt;=$L$4),ROW(),"-")</f>
        <v>-</v>
      </c>
    </row>
    <row r="28914" customHeight="1" spans="2:2">
      <c r="B28914" s="62" t="str">
        <f>IF(AND('领用录入（明细）'!D:D=$F$4,'领用录入（明细）'!C:C&gt;=$J$4,'领用录入（明细）'!C:C&lt;=$L$4),ROW(),"-")</f>
        <v>-</v>
      </c>
    </row>
    <row r="28915" customHeight="1" spans="2:2">
      <c r="B28915" s="62" t="str">
        <f>IF(AND('领用录入（明细）'!D:D=$F$4,'领用录入（明细）'!C:C&gt;=$J$4,'领用录入（明细）'!C:C&lt;=$L$4),ROW(),"-")</f>
        <v>-</v>
      </c>
    </row>
    <row r="28916" customHeight="1" spans="2:2">
      <c r="B28916" s="62" t="str">
        <f>IF(AND('领用录入（明细）'!D:D=$F$4,'领用录入（明细）'!C:C&gt;=$J$4,'领用录入（明细）'!C:C&lt;=$L$4),ROW(),"-")</f>
        <v>-</v>
      </c>
    </row>
    <row r="28917" customHeight="1" spans="2:2">
      <c r="B28917" s="62" t="str">
        <f>IF(AND('领用录入（明细）'!D:D=$F$4,'领用录入（明细）'!C:C&gt;=$J$4,'领用录入（明细）'!C:C&lt;=$L$4),ROW(),"-")</f>
        <v>-</v>
      </c>
    </row>
    <row r="28918" customHeight="1" spans="2:2">
      <c r="B28918" s="62" t="str">
        <f>IF(AND('领用录入（明细）'!D:D=$F$4,'领用录入（明细）'!C:C&gt;=$J$4,'领用录入（明细）'!C:C&lt;=$L$4),ROW(),"-")</f>
        <v>-</v>
      </c>
    </row>
    <row r="28919" customHeight="1" spans="2:2">
      <c r="B28919" s="62" t="str">
        <f>IF(AND('领用录入（明细）'!D:D=$F$4,'领用录入（明细）'!C:C&gt;=$J$4,'领用录入（明细）'!C:C&lt;=$L$4),ROW(),"-")</f>
        <v>-</v>
      </c>
    </row>
    <row r="28920" customHeight="1" spans="2:2">
      <c r="B28920" s="62" t="str">
        <f>IF(AND('领用录入（明细）'!D:D=$F$4,'领用录入（明细）'!C:C&gt;=$J$4,'领用录入（明细）'!C:C&lt;=$L$4),ROW(),"-")</f>
        <v>-</v>
      </c>
    </row>
    <row r="28921" customHeight="1" spans="2:2">
      <c r="B28921" s="62" t="str">
        <f>IF(AND('领用录入（明细）'!D:D=$F$4,'领用录入（明细）'!C:C&gt;=$J$4,'领用录入（明细）'!C:C&lt;=$L$4),ROW(),"-")</f>
        <v>-</v>
      </c>
    </row>
    <row r="28922" customHeight="1" spans="2:2">
      <c r="B28922" s="62" t="str">
        <f>IF(AND('领用录入（明细）'!D:D=$F$4,'领用录入（明细）'!C:C&gt;=$J$4,'领用录入（明细）'!C:C&lt;=$L$4),ROW(),"-")</f>
        <v>-</v>
      </c>
    </row>
    <row r="28923" customHeight="1" spans="2:2">
      <c r="B28923" s="62" t="str">
        <f>IF(AND('领用录入（明细）'!D:D=$F$4,'领用录入（明细）'!C:C&gt;=$J$4,'领用录入（明细）'!C:C&lt;=$L$4),ROW(),"-")</f>
        <v>-</v>
      </c>
    </row>
    <row r="28924" customHeight="1" spans="2:2">
      <c r="B28924" s="62" t="str">
        <f>IF(AND('领用录入（明细）'!D:D=$F$4,'领用录入（明细）'!C:C&gt;=$J$4,'领用录入（明细）'!C:C&lt;=$L$4),ROW(),"-")</f>
        <v>-</v>
      </c>
    </row>
    <row r="28925" customHeight="1" spans="2:2">
      <c r="B28925" s="62" t="str">
        <f>IF(AND('领用录入（明细）'!D:D=$F$4,'领用录入（明细）'!C:C&gt;=$J$4,'领用录入（明细）'!C:C&lt;=$L$4),ROW(),"-")</f>
        <v>-</v>
      </c>
    </row>
    <row r="28926" customHeight="1" spans="2:2">
      <c r="B28926" s="62" t="str">
        <f>IF(AND('领用录入（明细）'!D:D=$F$4,'领用录入（明细）'!C:C&gt;=$J$4,'领用录入（明细）'!C:C&lt;=$L$4),ROW(),"-")</f>
        <v>-</v>
      </c>
    </row>
    <row r="28927" customHeight="1" spans="2:2">
      <c r="B28927" s="62" t="str">
        <f>IF(AND('领用录入（明细）'!D:D=$F$4,'领用录入（明细）'!C:C&gt;=$J$4,'领用录入（明细）'!C:C&lt;=$L$4),ROW(),"-")</f>
        <v>-</v>
      </c>
    </row>
    <row r="28928" customHeight="1" spans="2:2">
      <c r="B28928" s="62" t="str">
        <f>IF(AND('领用录入（明细）'!D:D=$F$4,'领用录入（明细）'!C:C&gt;=$J$4,'领用录入（明细）'!C:C&lt;=$L$4),ROW(),"-")</f>
        <v>-</v>
      </c>
    </row>
    <row r="28929" customHeight="1" spans="2:2">
      <c r="B28929" s="62" t="str">
        <f>IF(AND('领用录入（明细）'!D:D=$F$4,'领用录入（明细）'!C:C&gt;=$J$4,'领用录入（明细）'!C:C&lt;=$L$4),ROW(),"-")</f>
        <v>-</v>
      </c>
    </row>
    <row r="28930" customHeight="1" spans="2:2">
      <c r="B28930" s="62" t="str">
        <f>IF(AND('领用录入（明细）'!D:D=$F$4,'领用录入（明细）'!C:C&gt;=$J$4,'领用录入（明细）'!C:C&lt;=$L$4),ROW(),"-")</f>
        <v>-</v>
      </c>
    </row>
    <row r="28931" customHeight="1" spans="2:2">
      <c r="B28931" s="62" t="str">
        <f>IF(AND('领用录入（明细）'!D:D=$F$4,'领用录入（明细）'!C:C&gt;=$J$4,'领用录入（明细）'!C:C&lt;=$L$4),ROW(),"-")</f>
        <v>-</v>
      </c>
    </row>
    <row r="28932" customHeight="1" spans="2:2">
      <c r="B28932" s="62" t="str">
        <f>IF(AND('领用录入（明细）'!D:D=$F$4,'领用录入（明细）'!C:C&gt;=$J$4,'领用录入（明细）'!C:C&lt;=$L$4),ROW(),"-")</f>
        <v>-</v>
      </c>
    </row>
    <row r="28933" customHeight="1" spans="2:2">
      <c r="B28933" s="62" t="str">
        <f>IF(AND('领用录入（明细）'!D:D=$F$4,'领用录入（明细）'!C:C&gt;=$J$4,'领用录入（明细）'!C:C&lt;=$L$4),ROW(),"-")</f>
        <v>-</v>
      </c>
    </row>
    <row r="28934" customHeight="1" spans="2:2">
      <c r="B28934" s="62" t="str">
        <f>IF(AND('领用录入（明细）'!D:D=$F$4,'领用录入（明细）'!C:C&gt;=$J$4,'领用录入（明细）'!C:C&lt;=$L$4),ROW(),"-")</f>
        <v>-</v>
      </c>
    </row>
    <row r="28935" customHeight="1" spans="2:2">
      <c r="B28935" s="62" t="str">
        <f>IF(AND('领用录入（明细）'!D:D=$F$4,'领用录入（明细）'!C:C&gt;=$J$4,'领用录入（明细）'!C:C&lt;=$L$4),ROW(),"-")</f>
        <v>-</v>
      </c>
    </row>
    <row r="28936" customHeight="1" spans="2:2">
      <c r="B28936" s="62" t="str">
        <f>IF(AND('领用录入（明细）'!D:D=$F$4,'领用录入（明细）'!C:C&gt;=$J$4,'领用录入（明细）'!C:C&lt;=$L$4),ROW(),"-")</f>
        <v>-</v>
      </c>
    </row>
    <row r="28937" customHeight="1" spans="2:2">
      <c r="B28937" s="62" t="str">
        <f>IF(AND('领用录入（明细）'!D:D=$F$4,'领用录入（明细）'!C:C&gt;=$J$4,'领用录入（明细）'!C:C&lt;=$L$4),ROW(),"-")</f>
        <v>-</v>
      </c>
    </row>
    <row r="28938" customHeight="1" spans="2:2">
      <c r="B28938" s="62" t="str">
        <f>IF(AND('领用录入（明细）'!D:D=$F$4,'领用录入（明细）'!C:C&gt;=$J$4,'领用录入（明细）'!C:C&lt;=$L$4),ROW(),"-")</f>
        <v>-</v>
      </c>
    </row>
    <row r="28939" customHeight="1" spans="2:2">
      <c r="B28939" s="62" t="str">
        <f>IF(AND('领用录入（明细）'!D:D=$F$4,'领用录入（明细）'!C:C&gt;=$J$4,'领用录入（明细）'!C:C&lt;=$L$4),ROW(),"-")</f>
        <v>-</v>
      </c>
    </row>
    <row r="28940" customHeight="1" spans="2:2">
      <c r="B28940" s="62" t="str">
        <f>IF(AND('领用录入（明细）'!D:D=$F$4,'领用录入（明细）'!C:C&gt;=$J$4,'领用录入（明细）'!C:C&lt;=$L$4),ROW(),"-")</f>
        <v>-</v>
      </c>
    </row>
    <row r="28941" customHeight="1" spans="2:2">
      <c r="B28941" s="62" t="str">
        <f>IF(AND('领用录入（明细）'!D:D=$F$4,'领用录入（明细）'!C:C&gt;=$J$4,'领用录入（明细）'!C:C&lt;=$L$4),ROW(),"-")</f>
        <v>-</v>
      </c>
    </row>
    <row r="28942" customHeight="1" spans="2:2">
      <c r="B28942" s="62" t="str">
        <f>IF(AND('领用录入（明细）'!D:D=$F$4,'领用录入（明细）'!C:C&gt;=$J$4,'领用录入（明细）'!C:C&lt;=$L$4),ROW(),"-")</f>
        <v>-</v>
      </c>
    </row>
    <row r="28943" customHeight="1" spans="2:2">
      <c r="B28943" s="62" t="str">
        <f>IF(AND('领用录入（明细）'!D:D=$F$4,'领用录入（明细）'!C:C&gt;=$J$4,'领用录入（明细）'!C:C&lt;=$L$4),ROW(),"-")</f>
        <v>-</v>
      </c>
    </row>
    <row r="28944" customHeight="1" spans="2:2">
      <c r="B28944" s="62" t="str">
        <f>IF(AND('领用录入（明细）'!D:D=$F$4,'领用录入（明细）'!C:C&gt;=$J$4,'领用录入（明细）'!C:C&lt;=$L$4),ROW(),"-")</f>
        <v>-</v>
      </c>
    </row>
    <row r="28945" customHeight="1" spans="2:2">
      <c r="B28945" s="62" t="str">
        <f>IF(AND('领用录入（明细）'!D:D=$F$4,'领用录入（明细）'!C:C&gt;=$J$4,'领用录入（明细）'!C:C&lt;=$L$4),ROW(),"-")</f>
        <v>-</v>
      </c>
    </row>
    <row r="28946" customHeight="1" spans="2:2">
      <c r="B28946" s="62" t="str">
        <f>IF(AND('领用录入（明细）'!D:D=$F$4,'领用录入（明细）'!C:C&gt;=$J$4,'领用录入（明细）'!C:C&lt;=$L$4),ROW(),"-")</f>
        <v>-</v>
      </c>
    </row>
    <row r="28947" customHeight="1" spans="2:2">
      <c r="B28947" s="62" t="str">
        <f>IF(AND('领用录入（明细）'!D:D=$F$4,'领用录入（明细）'!C:C&gt;=$J$4,'领用录入（明细）'!C:C&lt;=$L$4),ROW(),"-")</f>
        <v>-</v>
      </c>
    </row>
    <row r="28948" customHeight="1" spans="2:2">
      <c r="B28948" s="62" t="str">
        <f>IF(AND('领用录入（明细）'!D:D=$F$4,'领用录入（明细）'!C:C&gt;=$J$4,'领用录入（明细）'!C:C&lt;=$L$4),ROW(),"-")</f>
        <v>-</v>
      </c>
    </row>
    <row r="28949" customHeight="1" spans="2:2">
      <c r="B28949" s="62" t="str">
        <f>IF(AND('领用录入（明细）'!D:D=$F$4,'领用录入（明细）'!C:C&gt;=$J$4,'领用录入（明细）'!C:C&lt;=$L$4),ROW(),"-")</f>
        <v>-</v>
      </c>
    </row>
    <row r="28950" customHeight="1" spans="2:2">
      <c r="B28950" s="62" t="str">
        <f>IF(AND('领用录入（明细）'!D:D=$F$4,'领用录入（明细）'!C:C&gt;=$J$4,'领用录入（明细）'!C:C&lt;=$L$4),ROW(),"-")</f>
        <v>-</v>
      </c>
    </row>
    <row r="28951" customHeight="1" spans="2:2">
      <c r="B28951" s="62" t="str">
        <f>IF(AND('领用录入（明细）'!D:D=$F$4,'领用录入（明细）'!C:C&gt;=$J$4,'领用录入（明细）'!C:C&lt;=$L$4),ROW(),"-")</f>
        <v>-</v>
      </c>
    </row>
    <row r="28952" customHeight="1" spans="2:2">
      <c r="B28952" s="62" t="str">
        <f>IF(AND('领用录入（明细）'!D:D=$F$4,'领用录入（明细）'!C:C&gt;=$J$4,'领用录入（明细）'!C:C&lt;=$L$4),ROW(),"-")</f>
        <v>-</v>
      </c>
    </row>
    <row r="28953" customHeight="1" spans="2:2">
      <c r="B28953" s="62" t="str">
        <f>IF(AND('领用录入（明细）'!D:D=$F$4,'领用录入（明细）'!C:C&gt;=$J$4,'领用录入（明细）'!C:C&lt;=$L$4),ROW(),"-")</f>
        <v>-</v>
      </c>
    </row>
    <row r="28954" customHeight="1" spans="2:2">
      <c r="B28954" s="62" t="str">
        <f>IF(AND('领用录入（明细）'!D:D=$F$4,'领用录入（明细）'!C:C&gt;=$J$4,'领用录入（明细）'!C:C&lt;=$L$4),ROW(),"-")</f>
        <v>-</v>
      </c>
    </row>
    <row r="28955" customHeight="1" spans="2:2">
      <c r="B28955" s="62" t="str">
        <f>IF(AND('领用录入（明细）'!D:D=$F$4,'领用录入（明细）'!C:C&gt;=$J$4,'领用录入（明细）'!C:C&lt;=$L$4),ROW(),"-")</f>
        <v>-</v>
      </c>
    </row>
    <row r="28956" customHeight="1" spans="2:2">
      <c r="B28956" s="62" t="str">
        <f>IF(AND('领用录入（明细）'!D:D=$F$4,'领用录入（明细）'!C:C&gt;=$J$4,'领用录入（明细）'!C:C&lt;=$L$4),ROW(),"-")</f>
        <v>-</v>
      </c>
    </row>
    <row r="28957" customHeight="1" spans="2:2">
      <c r="B28957" s="62" t="str">
        <f>IF(AND('领用录入（明细）'!D:D=$F$4,'领用录入（明细）'!C:C&gt;=$J$4,'领用录入（明细）'!C:C&lt;=$L$4),ROW(),"-")</f>
        <v>-</v>
      </c>
    </row>
    <row r="28958" customHeight="1" spans="2:2">
      <c r="B28958" s="62" t="str">
        <f>IF(AND('领用录入（明细）'!D:D=$F$4,'领用录入（明细）'!C:C&gt;=$J$4,'领用录入（明细）'!C:C&lt;=$L$4),ROW(),"-")</f>
        <v>-</v>
      </c>
    </row>
    <row r="28959" customHeight="1" spans="2:2">
      <c r="B28959" s="62" t="str">
        <f>IF(AND('领用录入（明细）'!D:D=$F$4,'领用录入（明细）'!C:C&gt;=$J$4,'领用录入（明细）'!C:C&lt;=$L$4),ROW(),"-")</f>
        <v>-</v>
      </c>
    </row>
    <row r="28960" customHeight="1" spans="2:2">
      <c r="B28960" s="62" t="str">
        <f>IF(AND('领用录入（明细）'!D:D=$F$4,'领用录入（明细）'!C:C&gt;=$J$4,'领用录入（明细）'!C:C&lt;=$L$4),ROW(),"-")</f>
        <v>-</v>
      </c>
    </row>
    <row r="28961" customHeight="1" spans="2:2">
      <c r="B28961" s="62" t="str">
        <f>IF(AND('领用录入（明细）'!D:D=$F$4,'领用录入（明细）'!C:C&gt;=$J$4,'领用录入（明细）'!C:C&lt;=$L$4),ROW(),"-")</f>
        <v>-</v>
      </c>
    </row>
    <row r="28962" customHeight="1" spans="2:2">
      <c r="B28962" s="62" t="str">
        <f>IF(AND('领用录入（明细）'!D:D=$F$4,'领用录入（明细）'!C:C&gt;=$J$4,'领用录入（明细）'!C:C&lt;=$L$4),ROW(),"-")</f>
        <v>-</v>
      </c>
    </row>
    <row r="28963" customHeight="1" spans="2:2">
      <c r="B28963" s="62" t="str">
        <f>IF(AND('领用录入（明细）'!D:D=$F$4,'领用录入（明细）'!C:C&gt;=$J$4,'领用录入（明细）'!C:C&lt;=$L$4),ROW(),"-")</f>
        <v>-</v>
      </c>
    </row>
    <row r="28964" customHeight="1" spans="2:2">
      <c r="B28964" s="62" t="str">
        <f>IF(AND('领用录入（明细）'!D:D=$F$4,'领用录入（明细）'!C:C&gt;=$J$4,'领用录入（明细）'!C:C&lt;=$L$4),ROW(),"-")</f>
        <v>-</v>
      </c>
    </row>
    <row r="28965" customHeight="1" spans="2:2">
      <c r="B28965" s="62" t="str">
        <f>IF(AND('领用录入（明细）'!D:D=$F$4,'领用录入（明细）'!C:C&gt;=$J$4,'领用录入（明细）'!C:C&lt;=$L$4),ROW(),"-")</f>
        <v>-</v>
      </c>
    </row>
    <row r="28966" customHeight="1" spans="2:2">
      <c r="B28966" s="62" t="str">
        <f>IF(AND('领用录入（明细）'!D:D=$F$4,'领用录入（明细）'!C:C&gt;=$J$4,'领用录入（明细）'!C:C&lt;=$L$4),ROW(),"-")</f>
        <v>-</v>
      </c>
    </row>
    <row r="28967" customHeight="1" spans="2:2">
      <c r="B28967" s="62" t="str">
        <f>IF(AND('领用录入（明细）'!D:D=$F$4,'领用录入（明细）'!C:C&gt;=$J$4,'领用录入（明细）'!C:C&lt;=$L$4),ROW(),"-")</f>
        <v>-</v>
      </c>
    </row>
    <row r="28968" customHeight="1" spans="2:2">
      <c r="B28968" s="62" t="str">
        <f>IF(AND('领用录入（明细）'!D:D=$F$4,'领用录入（明细）'!C:C&gt;=$J$4,'领用录入（明细）'!C:C&lt;=$L$4),ROW(),"-")</f>
        <v>-</v>
      </c>
    </row>
    <row r="28969" customHeight="1" spans="2:2">
      <c r="B28969" s="62" t="str">
        <f>IF(AND('领用录入（明细）'!D:D=$F$4,'领用录入（明细）'!C:C&gt;=$J$4,'领用录入（明细）'!C:C&lt;=$L$4),ROW(),"-")</f>
        <v>-</v>
      </c>
    </row>
    <row r="28970" customHeight="1" spans="2:2">
      <c r="B28970" s="62" t="str">
        <f>IF(AND('领用录入（明细）'!D:D=$F$4,'领用录入（明细）'!C:C&gt;=$J$4,'领用录入（明细）'!C:C&lt;=$L$4),ROW(),"-")</f>
        <v>-</v>
      </c>
    </row>
    <row r="28971" customHeight="1" spans="2:2">
      <c r="B28971" s="62" t="str">
        <f>IF(AND('领用录入（明细）'!D:D=$F$4,'领用录入（明细）'!C:C&gt;=$J$4,'领用录入（明细）'!C:C&lt;=$L$4),ROW(),"-")</f>
        <v>-</v>
      </c>
    </row>
    <row r="28972" customHeight="1" spans="2:2">
      <c r="B28972" s="62" t="str">
        <f>IF(AND('领用录入（明细）'!D:D=$F$4,'领用录入（明细）'!C:C&gt;=$J$4,'领用录入（明细）'!C:C&lt;=$L$4),ROW(),"-")</f>
        <v>-</v>
      </c>
    </row>
    <row r="28973" customHeight="1" spans="2:2">
      <c r="B28973" s="62" t="str">
        <f>IF(AND('领用录入（明细）'!D:D=$F$4,'领用录入（明细）'!C:C&gt;=$J$4,'领用录入（明细）'!C:C&lt;=$L$4),ROW(),"-")</f>
        <v>-</v>
      </c>
    </row>
    <row r="28974" customHeight="1" spans="2:2">
      <c r="B28974" s="62" t="str">
        <f>IF(AND('领用录入（明细）'!D:D=$F$4,'领用录入（明细）'!C:C&gt;=$J$4,'领用录入（明细）'!C:C&lt;=$L$4),ROW(),"-")</f>
        <v>-</v>
      </c>
    </row>
    <row r="28975" customHeight="1" spans="2:2">
      <c r="B28975" s="62" t="str">
        <f>IF(AND('领用录入（明细）'!D:D=$F$4,'领用录入（明细）'!C:C&gt;=$J$4,'领用录入（明细）'!C:C&lt;=$L$4),ROW(),"-")</f>
        <v>-</v>
      </c>
    </row>
    <row r="28976" customHeight="1" spans="2:2">
      <c r="B28976" s="62" t="str">
        <f>IF(AND('领用录入（明细）'!D:D=$F$4,'领用录入（明细）'!C:C&gt;=$J$4,'领用录入（明细）'!C:C&lt;=$L$4),ROW(),"-")</f>
        <v>-</v>
      </c>
    </row>
    <row r="28977" customHeight="1" spans="2:2">
      <c r="B28977" s="62" t="str">
        <f>IF(AND('领用录入（明细）'!D:D=$F$4,'领用录入（明细）'!C:C&gt;=$J$4,'领用录入（明细）'!C:C&lt;=$L$4),ROW(),"-")</f>
        <v>-</v>
      </c>
    </row>
    <row r="28978" customHeight="1" spans="2:2">
      <c r="B28978" s="62" t="str">
        <f>IF(AND('领用录入（明细）'!D:D=$F$4,'领用录入（明细）'!C:C&gt;=$J$4,'领用录入（明细）'!C:C&lt;=$L$4),ROW(),"-")</f>
        <v>-</v>
      </c>
    </row>
    <row r="28979" customHeight="1" spans="2:2">
      <c r="B28979" s="62" t="str">
        <f>IF(AND('领用录入（明细）'!D:D=$F$4,'领用录入（明细）'!C:C&gt;=$J$4,'领用录入（明细）'!C:C&lt;=$L$4),ROW(),"-")</f>
        <v>-</v>
      </c>
    </row>
    <row r="28980" customHeight="1" spans="2:2">
      <c r="B28980" s="62" t="str">
        <f>IF(AND('领用录入（明细）'!D:D=$F$4,'领用录入（明细）'!C:C&gt;=$J$4,'领用录入（明细）'!C:C&lt;=$L$4),ROW(),"-")</f>
        <v>-</v>
      </c>
    </row>
    <row r="28981" customHeight="1" spans="2:2">
      <c r="B28981" s="62" t="str">
        <f>IF(AND('领用录入（明细）'!D:D=$F$4,'领用录入（明细）'!C:C&gt;=$J$4,'领用录入（明细）'!C:C&lt;=$L$4),ROW(),"-")</f>
        <v>-</v>
      </c>
    </row>
    <row r="28982" customHeight="1" spans="2:2">
      <c r="B28982" s="62" t="str">
        <f>IF(AND('领用录入（明细）'!D:D=$F$4,'领用录入（明细）'!C:C&gt;=$J$4,'领用录入（明细）'!C:C&lt;=$L$4),ROW(),"-")</f>
        <v>-</v>
      </c>
    </row>
    <row r="28983" customHeight="1" spans="2:2">
      <c r="B28983" s="62" t="str">
        <f>IF(AND('领用录入（明细）'!D:D=$F$4,'领用录入（明细）'!C:C&gt;=$J$4,'领用录入（明细）'!C:C&lt;=$L$4),ROW(),"-")</f>
        <v>-</v>
      </c>
    </row>
    <row r="28984" customHeight="1" spans="2:2">
      <c r="B28984" s="62" t="str">
        <f>IF(AND('领用录入（明细）'!D:D=$F$4,'领用录入（明细）'!C:C&gt;=$J$4,'领用录入（明细）'!C:C&lt;=$L$4),ROW(),"-")</f>
        <v>-</v>
      </c>
    </row>
    <row r="28985" customHeight="1" spans="2:2">
      <c r="B28985" s="62" t="str">
        <f>IF(AND('领用录入（明细）'!D:D=$F$4,'领用录入（明细）'!C:C&gt;=$J$4,'领用录入（明细）'!C:C&lt;=$L$4),ROW(),"-")</f>
        <v>-</v>
      </c>
    </row>
    <row r="28986" customHeight="1" spans="2:2">
      <c r="B28986" s="62" t="str">
        <f>IF(AND('领用录入（明细）'!D:D=$F$4,'领用录入（明细）'!C:C&gt;=$J$4,'领用录入（明细）'!C:C&lt;=$L$4),ROW(),"-")</f>
        <v>-</v>
      </c>
    </row>
    <row r="28987" customHeight="1" spans="2:2">
      <c r="B28987" s="62" t="str">
        <f>IF(AND('领用录入（明细）'!D:D=$F$4,'领用录入（明细）'!C:C&gt;=$J$4,'领用录入（明细）'!C:C&lt;=$L$4),ROW(),"-")</f>
        <v>-</v>
      </c>
    </row>
    <row r="28988" customHeight="1" spans="2:2">
      <c r="B28988" s="62" t="str">
        <f>IF(AND('领用录入（明细）'!D:D=$F$4,'领用录入（明细）'!C:C&gt;=$J$4,'领用录入（明细）'!C:C&lt;=$L$4),ROW(),"-")</f>
        <v>-</v>
      </c>
    </row>
    <row r="28989" customHeight="1" spans="2:2">
      <c r="B28989" s="62" t="str">
        <f>IF(AND('领用录入（明细）'!D:D=$F$4,'领用录入（明细）'!C:C&gt;=$J$4,'领用录入（明细）'!C:C&lt;=$L$4),ROW(),"-")</f>
        <v>-</v>
      </c>
    </row>
    <row r="28990" customHeight="1" spans="2:2">
      <c r="B28990" s="62" t="str">
        <f>IF(AND('领用录入（明细）'!D:D=$F$4,'领用录入（明细）'!C:C&gt;=$J$4,'领用录入（明细）'!C:C&lt;=$L$4),ROW(),"-")</f>
        <v>-</v>
      </c>
    </row>
    <row r="28991" customHeight="1" spans="2:2">
      <c r="B28991" s="62" t="str">
        <f>IF(AND('领用录入（明细）'!D:D=$F$4,'领用录入（明细）'!C:C&gt;=$J$4,'领用录入（明细）'!C:C&lt;=$L$4),ROW(),"-")</f>
        <v>-</v>
      </c>
    </row>
    <row r="28992" customHeight="1" spans="2:2">
      <c r="B28992" s="62" t="str">
        <f>IF(AND('领用录入（明细）'!D:D=$F$4,'领用录入（明细）'!C:C&gt;=$J$4,'领用录入（明细）'!C:C&lt;=$L$4),ROW(),"-")</f>
        <v>-</v>
      </c>
    </row>
    <row r="28993" customHeight="1" spans="2:2">
      <c r="B28993" s="62" t="str">
        <f>IF(AND('领用录入（明细）'!D:D=$F$4,'领用录入（明细）'!C:C&gt;=$J$4,'领用录入（明细）'!C:C&lt;=$L$4),ROW(),"-")</f>
        <v>-</v>
      </c>
    </row>
    <row r="28994" customHeight="1" spans="2:2">
      <c r="B28994" s="62" t="str">
        <f>IF(AND('领用录入（明细）'!D:D=$F$4,'领用录入（明细）'!C:C&gt;=$J$4,'领用录入（明细）'!C:C&lt;=$L$4),ROW(),"-")</f>
        <v>-</v>
      </c>
    </row>
    <row r="28995" customHeight="1" spans="2:2">
      <c r="B28995" s="62" t="str">
        <f>IF(AND('领用录入（明细）'!D:D=$F$4,'领用录入（明细）'!C:C&gt;=$J$4,'领用录入（明细）'!C:C&lt;=$L$4),ROW(),"-")</f>
        <v>-</v>
      </c>
    </row>
    <row r="28996" customHeight="1" spans="2:2">
      <c r="B28996" s="62" t="str">
        <f>IF(AND('领用录入（明细）'!D:D=$F$4,'领用录入（明细）'!C:C&gt;=$J$4,'领用录入（明细）'!C:C&lt;=$L$4),ROW(),"-")</f>
        <v>-</v>
      </c>
    </row>
    <row r="28997" customHeight="1" spans="2:2">
      <c r="B28997" s="62" t="str">
        <f>IF(AND('领用录入（明细）'!D:D=$F$4,'领用录入（明细）'!C:C&gt;=$J$4,'领用录入（明细）'!C:C&lt;=$L$4),ROW(),"-")</f>
        <v>-</v>
      </c>
    </row>
    <row r="28998" customHeight="1" spans="2:2">
      <c r="B28998" s="62" t="str">
        <f>IF(AND('领用录入（明细）'!D:D=$F$4,'领用录入（明细）'!C:C&gt;=$J$4,'领用录入（明细）'!C:C&lt;=$L$4),ROW(),"-")</f>
        <v>-</v>
      </c>
    </row>
    <row r="28999" customHeight="1" spans="2:2">
      <c r="B28999" s="62" t="str">
        <f>IF(AND('领用录入（明细）'!D:D=$F$4,'领用录入（明细）'!C:C&gt;=$J$4,'领用录入（明细）'!C:C&lt;=$L$4),ROW(),"-")</f>
        <v>-</v>
      </c>
    </row>
    <row r="29000" customHeight="1" spans="2:2">
      <c r="B29000" s="62" t="str">
        <f>IF(AND('领用录入（明细）'!D:D=$F$4,'领用录入（明细）'!C:C&gt;=$J$4,'领用录入（明细）'!C:C&lt;=$L$4),ROW(),"-")</f>
        <v>-</v>
      </c>
    </row>
    <row r="29001" customHeight="1" spans="2:2">
      <c r="B29001" s="62" t="str">
        <f>IF(AND('领用录入（明细）'!D:D=$F$4,'领用录入（明细）'!C:C&gt;=$J$4,'领用录入（明细）'!C:C&lt;=$L$4),ROW(),"-")</f>
        <v>-</v>
      </c>
    </row>
    <row r="29002" customHeight="1" spans="2:2">
      <c r="B29002" s="62" t="str">
        <f>IF(AND('领用录入（明细）'!D:D=$F$4,'领用录入（明细）'!C:C&gt;=$J$4,'领用录入（明细）'!C:C&lt;=$L$4),ROW(),"-")</f>
        <v>-</v>
      </c>
    </row>
    <row r="29003" customHeight="1" spans="2:2">
      <c r="B29003" s="62" t="str">
        <f>IF(AND('领用录入（明细）'!D:D=$F$4,'领用录入（明细）'!C:C&gt;=$J$4,'领用录入（明细）'!C:C&lt;=$L$4),ROW(),"-")</f>
        <v>-</v>
      </c>
    </row>
    <row r="29004" customHeight="1" spans="2:2">
      <c r="B29004" s="62" t="str">
        <f>IF(AND('领用录入（明细）'!D:D=$F$4,'领用录入（明细）'!C:C&gt;=$J$4,'领用录入（明细）'!C:C&lt;=$L$4),ROW(),"-")</f>
        <v>-</v>
      </c>
    </row>
    <row r="29005" customHeight="1" spans="2:2">
      <c r="B29005" s="62" t="str">
        <f>IF(AND('领用录入（明细）'!D:D=$F$4,'领用录入（明细）'!C:C&gt;=$J$4,'领用录入（明细）'!C:C&lt;=$L$4),ROW(),"-")</f>
        <v>-</v>
      </c>
    </row>
    <row r="29006" customHeight="1" spans="2:2">
      <c r="B29006" s="62" t="str">
        <f>IF(AND('领用录入（明细）'!D:D=$F$4,'领用录入（明细）'!C:C&gt;=$J$4,'领用录入（明细）'!C:C&lt;=$L$4),ROW(),"-")</f>
        <v>-</v>
      </c>
    </row>
    <row r="29007" customHeight="1" spans="2:2">
      <c r="B29007" s="62" t="str">
        <f>IF(AND('领用录入（明细）'!D:D=$F$4,'领用录入（明细）'!C:C&gt;=$J$4,'领用录入（明细）'!C:C&lt;=$L$4),ROW(),"-")</f>
        <v>-</v>
      </c>
    </row>
    <row r="29008" customHeight="1" spans="2:2">
      <c r="B29008" s="62" t="str">
        <f>IF(AND('领用录入（明细）'!D:D=$F$4,'领用录入（明细）'!C:C&gt;=$J$4,'领用录入（明细）'!C:C&lt;=$L$4),ROW(),"-")</f>
        <v>-</v>
      </c>
    </row>
    <row r="29009" customHeight="1" spans="2:2">
      <c r="B29009" s="62" t="str">
        <f>IF(AND('领用录入（明细）'!D:D=$F$4,'领用录入（明细）'!C:C&gt;=$J$4,'领用录入（明细）'!C:C&lt;=$L$4),ROW(),"-")</f>
        <v>-</v>
      </c>
    </row>
    <row r="29010" customHeight="1" spans="2:2">
      <c r="B29010" s="62" t="str">
        <f>IF(AND('领用录入（明细）'!D:D=$F$4,'领用录入（明细）'!C:C&gt;=$J$4,'领用录入（明细）'!C:C&lt;=$L$4),ROW(),"-")</f>
        <v>-</v>
      </c>
    </row>
    <row r="29011" customHeight="1" spans="2:2">
      <c r="B29011" s="62" t="str">
        <f>IF(AND('领用录入（明细）'!D:D=$F$4,'领用录入（明细）'!C:C&gt;=$J$4,'领用录入（明细）'!C:C&lt;=$L$4),ROW(),"-")</f>
        <v>-</v>
      </c>
    </row>
    <row r="29012" customHeight="1" spans="2:2">
      <c r="B29012" s="62" t="str">
        <f>IF(AND('领用录入（明细）'!D:D=$F$4,'领用录入（明细）'!C:C&gt;=$J$4,'领用录入（明细）'!C:C&lt;=$L$4),ROW(),"-")</f>
        <v>-</v>
      </c>
    </row>
    <row r="29013" customHeight="1" spans="2:2">
      <c r="B29013" s="62" t="str">
        <f>IF(AND('领用录入（明细）'!D:D=$F$4,'领用录入（明细）'!C:C&gt;=$J$4,'领用录入（明细）'!C:C&lt;=$L$4),ROW(),"-")</f>
        <v>-</v>
      </c>
    </row>
    <row r="29014" customHeight="1" spans="2:2">
      <c r="B29014" s="62" t="str">
        <f>IF(AND('领用录入（明细）'!D:D=$F$4,'领用录入（明细）'!C:C&gt;=$J$4,'领用录入（明细）'!C:C&lt;=$L$4),ROW(),"-")</f>
        <v>-</v>
      </c>
    </row>
    <row r="29015" customHeight="1" spans="2:2">
      <c r="B29015" s="62" t="str">
        <f>IF(AND('领用录入（明细）'!D:D=$F$4,'领用录入（明细）'!C:C&gt;=$J$4,'领用录入（明细）'!C:C&lt;=$L$4),ROW(),"-")</f>
        <v>-</v>
      </c>
    </row>
    <row r="29016" customHeight="1" spans="2:2">
      <c r="B29016" s="62" t="str">
        <f>IF(AND('领用录入（明细）'!D:D=$F$4,'领用录入（明细）'!C:C&gt;=$J$4,'领用录入（明细）'!C:C&lt;=$L$4),ROW(),"-")</f>
        <v>-</v>
      </c>
    </row>
    <row r="29017" customHeight="1" spans="2:2">
      <c r="B29017" s="62" t="str">
        <f>IF(AND('领用录入（明细）'!D:D=$F$4,'领用录入（明细）'!C:C&gt;=$J$4,'领用录入（明细）'!C:C&lt;=$L$4),ROW(),"-")</f>
        <v>-</v>
      </c>
    </row>
    <row r="29018" customHeight="1" spans="2:2">
      <c r="B29018" s="62" t="str">
        <f>IF(AND('领用录入（明细）'!D:D=$F$4,'领用录入（明细）'!C:C&gt;=$J$4,'领用录入（明细）'!C:C&lt;=$L$4),ROW(),"-")</f>
        <v>-</v>
      </c>
    </row>
    <row r="29019" customHeight="1" spans="2:2">
      <c r="B29019" s="62" t="str">
        <f>IF(AND('领用录入（明细）'!D:D=$F$4,'领用录入（明细）'!C:C&gt;=$J$4,'领用录入（明细）'!C:C&lt;=$L$4),ROW(),"-")</f>
        <v>-</v>
      </c>
    </row>
    <row r="29020" customHeight="1" spans="2:2">
      <c r="B29020" s="62" t="str">
        <f>IF(AND('领用录入（明细）'!D:D=$F$4,'领用录入（明细）'!C:C&gt;=$J$4,'领用录入（明细）'!C:C&lt;=$L$4),ROW(),"-")</f>
        <v>-</v>
      </c>
    </row>
    <row r="29021" customHeight="1" spans="2:2">
      <c r="B29021" s="62" t="str">
        <f>IF(AND('领用录入（明细）'!D:D=$F$4,'领用录入（明细）'!C:C&gt;=$J$4,'领用录入（明细）'!C:C&lt;=$L$4),ROW(),"-")</f>
        <v>-</v>
      </c>
    </row>
    <row r="29022" customHeight="1" spans="2:2">
      <c r="B29022" s="62" t="str">
        <f>IF(AND('领用录入（明细）'!D:D=$F$4,'领用录入（明细）'!C:C&gt;=$J$4,'领用录入（明细）'!C:C&lt;=$L$4),ROW(),"-")</f>
        <v>-</v>
      </c>
    </row>
    <row r="29023" customHeight="1" spans="2:2">
      <c r="B29023" s="62" t="str">
        <f>IF(AND('领用录入（明细）'!D:D=$F$4,'领用录入（明细）'!C:C&gt;=$J$4,'领用录入（明细）'!C:C&lt;=$L$4),ROW(),"-")</f>
        <v>-</v>
      </c>
    </row>
    <row r="29024" customHeight="1" spans="2:2">
      <c r="B29024" s="62" t="str">
        <f>IF(AND('领用录入（明细）'!D:D=$F$4,'领用录入（明细）'!C:C&gt;=$J$4,'领用录入（明细）'!C:C&lt;=$L$4),ROW(),"-")</f>
        <v>-</v>
      </c>
    </row>
    <row r="29025" customHeight="1" spans="2:2">
      <c r="B29025" s="62" t="str">
        <f>IF(AND('领用录入（明细）'!D:D=$F$4,'领用录入（明细）'!C:C&gt;=$J$4,'领用录入（明细）'!C:C&lt;=$L$4),ROW(),"-")</f>
        <v>-</v>
      </c>
    </row>
    <row r="29026" customHeight="1" spans="2:2">
      <c r="B29026" s="62" t="str">
        <f>IF(AND('领用录入（明细）'!D:D=$F$4,'领用录入（明细）'!C:C&gt;=$J$4,'领用录入（明细）'!C:C&lt;=$L$4),ROW(),"-")</f>
        <v>-</v>
      </c>
    </row>
    <row r="29027" customHeight="1" spans="2:2">
      <c r="B29027" s="62" t="str">
        <f>IF(AND('领用录入（明细）'!D:D=$F$4,'领用录入（明细）'!C:C&gt;=$J$4,'领用录入（明细）'!C:C&lt;=$L$4),ROW(),"-")</f>
        <v>-</v>
      </c>
    </row>
    <row r="29028" customHeight="1" spans="2:2">
      <c r="B29028" s="62" t="str">
        <f>IF(AND('领用录入（明细）'!D:D=$F$4,'领用录入（明细）'!C:C&gt;=$J$4,'领用录入（明细）'!C:C&lt;=$L$4),ROW(),"-")</f>
        <v>-</v>
      </c>
    </row>
    <row r="29029" customHeight="1" spans="2:2">
      <c r="B29029" s="62" t="str">
        <f>IF(AND('领用录入（明细）'!D:D=$F$4,'领用录入（明细）'!C:C&gt;=$J$4,'领用录入（明细）'!C:C&lt;=$L$4),ROW(),"-")</f>
        <v>-</v>
      </c>
    </row>
    <row r="29030" customHeight="1" spans="2:2">
      <c r="B29030" s="62" t="str">
        <f>IF(AND('领用录入（明细）'!D:D=$F$4,'领用录入（明细）'!C:C&gt;=$J$4,'领用录入（明细）'!C:C&lt;=$L$4),ROW(),"-")</f>
        <v>-</v>
      </c>
    </row>
    <row r="29031" customHeight="1" spans="2:2">
      <c r="B29031" s="62" t="str">
        <f>IF(AND('领用录入（明细）'!D:D=$F$4,'领用录入（明细）'!C:C&gt;=$J$4,'领用录入（明细）'!C:C&lt;=$L$4),ROW(),"-")</f>
        <v>-</v>
      </c>
    </row>
    <row r="29032" customHeight="1" spans="2:2">
      <c r="B29032" s="62" t="str">
        <f>IF(AND('领用录入（明细）'!D:D=$F$4,'领用录入（明细）'!C:C&gt;=$J$4,'领用录入（明细）'!C:C&lt;=$L$4),ROW(),"-")</f>
        <v>-</v>
      </c>
    </row>
    <row r="29033" customHeight="1" spans="2:2">
      <c r="B29033" s="62" t="str">
        <f>IF(AND('领用录入（明细）'!D:D=$F$4,'领用录入（明细）'!C:C&gt;=$J$4,'领用录入（明细）'!C:C&lt;=$L$4),ROW(),"-")</f>
        <v>-</v>
      </c>
    </row>
    <row r="29034" customHeight="1" spans="2:2">
      <c r="B29034" s="62" t="str">
        <f>IF(AND('领用录入（明细）'!D:D=$F$4,'领用录入（明细）'!C:C&gt;=$J$4,'领用录入（明细）'!C:C&lt;=$L$4),ROW(),"-")</f>
        <v>-</v>
      </c>
    </row>
    <row r="29035" customHeight="1" spans="2:2">
      <c r="B29035" s="62" t="str">
        <f>IF(AND('领用录入（明细）'!D:D=$F$4,'领用录入（明细）'!C:C&gt;=$J$4,'领用录入（明细）'!C:C&lt;=$L$4),ROW(),"-")</f>
        <v>-</v>
      </c>
    </row>
    <row r="29036" customHeight="1" spans="2:2">
      <c r="B29036" s="62" t="str">
        <f>IF(AND('领用录入（明细）'!D:D=$F$4,'领用录入（明细）'!C:C&gt;=$J$4,'领用录入（明细）'!C:C&lt;=$L$4),ROW(),"-")</f>
        <v>-</v>
      </c>
    </row>
    <row r="29037" customHeight="1" spans="2:2">
      <c r="B29037" s="62" t="str">
        <f>IF(AND('领用录入（明细）'!D:D=$F$4,'领用录入（明细）'!C:C&gt;=$J$4,'领用录入（明细）'!C:C&lt;=$L$4),ROW(),"-")</f>
        <v>-</v>
      </c>
    </row>
    <row r="29038" customHeight="1" spans="2:2">
      <c r="B29038" s="62" t="str">
        <f>IF(AND('领用录入（明细）'!D:D=$F$4,'领用录入（明细）'!C:C&gt;=$J$4,'领用录入（明细）'!C:C&lt;=$L$4),ROW(),"-")</f>
        <v>-</v>
      </c>
    </row>
    <row r="29039" customHeight="1" spans="2:2">
      <c r="B29039" s="62" t="str">
        <f>IF(AND('领用录入（明细）'!D:D=$F$4,'领用录入（明细）'!C:C&gt;=$J$4,'领用录入（明细）'!C:C&lt;=$L$4),ROW(),"-")</f>
        <v>-</v>
      </c>
    </row>
    <row r="29040" customHeight="1" spans="2:2">
      <c r="B29040" s="62" t="str">
        <f>IF(AND('领用录入（明细）'!D:D=$F$4,'领用录入（明细）'!C:C&gt;=$J$4,'领用录入（明细）'!C:C&lt;=$L$4),ROW(),"-")</f>
        <v>-</v>
      </c>
    </row>
    <row r="29041" customHeight="1" spans="2:2">
      <c r="B29041" s="62" t="str">
        <f>IF(AND('领用录入（明细）'!D:D=$F$4,'领用录入（明细）'!C:C&gt;=$J$4,'领用录入（明细）'!C:C&lt;=$L$4),ROW(),"-")</f>
        <v>-</v>
      </c>
    </row>
    <row r="29042" customHeight="1" spans="2:2">
      <c r="B29042" s="62" t="str">
        <f>IF(AND('领用录入（明细）'!D:D=$F$4,'领用录入（明细）'!C:C&gt;=$J$4,'领用录入（明细）'!C:C&lt;=$L$4),ROW(),"-")</f>
        <v>-</v>
      </c>
    </row>
    <row r="29043" customHeight="1" spans="2:2">
      <c r="B29043" s="62" t="str">
        <f>IF(AND('领用录入（明细）'!D:D=$F$4,'领用录入（明细）'!C:C&gt;=$J$4,'领用录入（明细）'!C:C&lt;=$L$4),ROW(),"-")</f>
        <v>-</v>
      </c>
    </row>
    <row r="29044" customHeight="1" spans="2:2">
      <c r="B29044" s="62" t="str">
        <f>IF(AND('领用录入（明细）'!D:D=$F$4,'领用录入（明细）'!C:C&gt;=$J$4,'领用录入（明细）'!C:C&lt;=$L$4),ROW(),"-")</f>
        <v>-</v>
      </c>
    </row>
    <row r="29045" customHeight="1" spans="2:2">
      <c r="B29045" s="62" t="str">
        <f>IF(AND('领用录入（明细）'!D:D=$F$4,'领用录入（明细）'!C:C&gt;=$J$4,'领用录入（明细）'!C:C&lt;=$L$4),ROW(),"-")</f>
        <v>-</v>
      </c>
    </row>
    <row r="29046" customHeight="1" spans="2:2">
      <c r="B29046" s="62" t="str">
        <f>IF(AND('领用录入（明细）'!D:D=$F$4,'领用录入（明细）'!C:C&gt;=$J$4,'领用录入（明细）'!C:C&lt;=$L$4),ROW(),"-")</f>
        <v>-</v>
      </c>
    </row>
    <row r="29047" customHeight="1" spans="2:2">
      <c r="B29047" s="62" t="str">
        <f>IF(AND('领用录入（明细）'!D:D=$F$4,'领用录入（明细）'!C:C&gt;=$J$4,'领用录入（明细）'!C:C&lt;=$L$4),ROW(),"-")</f>
        <v>-</v>
      </c>
    </row>
    <row r="29048" customHeight="1" spans="2:2">
      <c r="B29048" s="62" t="str">
        <f>IF(AND('领用录入（明细）'!D:D=$F$4,'领用录入（明细）'!C:C&gt;=$J$4,'领用录入（明细）'!C:C&lt;=$L$4),ROW(),"-")</f>
        <v>-</v>
      </c>
    </row>
    <row r="29049" customHeight="1" spans="2:2">
      <c r="B29049" s="62" t="str">
        <f>IF(AND('领用录入（明细）'!D:D=$F$4,'领用录入（明细）'!C:C&gt;=$J$4,'领用录入（明细）'!C:C&lt;=$L$4),ROW(),"-")</f>
        <v>-</v>
      </c>
    </row>
    <row r="29050" customHeight="1" spans="2:2">
      <c r="B29050" s="62" t="str">
        <f>IF(AND('领用录入（明细）'!D:D=$F$4,'领用录入（明细）'!C:C&gt;=$J$4,'领用录入（明细）'!C:C&lt;=$L$4),ROW(),"-")</f>
        <v>-</v>
      </c>
    </row>
    <row r="29051" customHeight="1" spans="2:2">
      <c r="B29051" s="62" t="str">
        <f>IF(AND('领用录入（明细）'!D:D=$F$4,'领用录入（明细）'!C:C&gt;=$J$4,'领用录入（明细）'!C:C&lt;=$L$4),ROW(),"-")</f>
        <v>-</v>
      </c>
    </row>
    <row r="29052" customHeight="1" spans="2:2">
      <c r="B29052" s="62" t="str">
        <f>IF(AND('领用录入（明细）'!D:D=$F$4,'领用录入（明细）'!C:C&gt;=$J$4,'领用录入（明细）'!C:C&lt;=$L$4),ROW(),"-")</f>
        <v>-</v>
      </c>
    </row>
    <row r="29053" customHeight="1" spans="2:2">
      <c r="B29053" s="62" t="str">
        <f>IF(AND('领用录入（明细）'!D:D=$F$4,'领用录入（明细）'!C:C&gt;=$J$4,'领用录入（明细）'!C:C&lt;=$L$4),ROW(),"-")</f>
        <v>-</v>
      </c>
    </row>
    <row r="29054" customHeight="1" spans="2:2">
      <c r="B29054" s="62" t="str">
        <f>IF(AND('领用录入（明细）'!D:D=$F$4,'领用录入（明细）'!C:C&gt;=$J$4,'领用录入（明细）'!C:C&lt;=$L$4),ROW(),"-")</f>
        <v>-</v>
      </c>
    </row>
    <row r="29055" customHeight="1" spans="2:2">
      <c r="B29055" s="62" t="str">
        <f>IF(AND('领用录入（明细）'!D:D=$F$4,'领用录入（明细）'!C:C&gt;=$J$4,'领用录入（明细）'!C:C&lt;=$L$4),ROW(),"-")</f>
        <v>-</v>
      </c>
    </row>
    <row r="29056" customHeight="1" spans="2:2">
      <c r="B29056" s="62" t="str">
        <f>IF(AND('领用录入（明细）'!D:D=$F$4,'领用录入（明细）'!C:C&gt;=$J$4,'领用录入（明细）'!C:C&lt;=$L$4),ROW(),"-")</f>
        <v>-</v>
      </c>
    </row>
    <row r="29057" customHeight="1" spans="2:2">
      <c r="B29057" s="62" t="str">
        <f>IF(AND('领用录入（明细）'!D:D=$F$4,'领用录入（明细）'!C:C&gt;=$J$4,'领用录入（明细）'!C:C&lt;=$L$4),ROW(),"-")</f>
        <v>-</v>
      </c>
    </row>
    <row r="29058" customHeight="1" spans="2:2">
      <c r="B29058" s="62" t="str">
        <f>IF(AND('领用录入（明细）'!D:D=$F$4,'领用录入（明细）'!C:C&gt;=$J$4,'领用录入（明细）'!C:C&lt;=$L$4),ROW(),"-")</f>
        <v>-</v>
      </c>
    </row>
    <row r="29059" customHeight="1" spans="2:2">
      <c r="B29059" s="62" t="str">
        <f>IF(AND('领用录入（明细）'!D:D=$F$4,'领用录入（明细）'!C:C&gt;=$J$4,'领用录入（明细）'!C:C&lt;=$L$4),ROW(),"-")</f>
        <v>-</v>
      </c>
    </row>
    <row r="29060" customHeight="1" spans="2:2">
      <c r="B29060" s="62" t="str">
        <f>IF(AND('领用录入（明细）'!D:D=$F$4,'领用录入（明细）'!C:C&gt;=$J$4,'领用录入（明细）'!C:C&lt;=$L$4),ROW(),"-")</f>
        <v>-</v>
      </c>
    </row>
    <row r="29061" customHeight="1" spans="2:2">
      <c r="B29061" s="62" t="str">
        <f>IF(AND('领用录入（明细）'!D:D=$F$4,'领用录入（明细）'!C:C&gt;=$J$4,'领用录入（明细）'!C:C&lt;=$L$4),ROW(),"-")</f>
        <v>-</v>
      </c>
    </row>
    <row r="29062" customHeight="1" spans="2:2">
      <c r="B29062" s="62" t="str">
        <f>IF(AND('领用录入（明细）'!D:D=$F$4,'领用录入（明细）'!C:C&gt;=$J$4,'领用录入（明细）'!C:C&lt;=$L$4),ROW(),"-")</f>
        <v>-</v>
      </c>
    </row>
    <row r="29063" customHeight="1" spans="2:2">
      <c r="B29063" s="62" t="str">
        <f>IF(AND('领用录入（明细）'!D:D=$F$4,'领用录入（明细）'!C:C&gt;=$J$4,'领用录入（明细）'!C:C&lt;=$L$4),ROW(),"-")</f>
        <v>-</v>
      </c>
    </row>
    <row r="29064" customHeight="1" spans="2:2">
      <c r="B29064" s="62" t="str">
        <f>IF(AND('领用录入（明细）'!D:D=$F$4,'领用录入（明细）'!C:C&gt;=$J$4,'领用录入（明细）'!C:C&lt;=$L$4),ROW(),"-")</f>
        <v>-</v>
      </c>
    </row>
    <row r="29065" customHeight="1" spans="2:2">
      <c r="B29065" s="62" t="str">
        <f>IF(AND('领用录入（明细）'!D:D=$F$4,'领用录入（明细）'!C:C&gt;=$J$4,'领用录入（明细）'!C:C&lt;=$L$4),ROW(),"-")</f>
        <v>-</v>
      </c>
    </row>
    <row r="29066" customHeight="1" spans="2:2">
      <c r="B29066" s="62" t="str">
        <f>IF(AND('领用录入（明细）'!D:D=$F$4,'领用录入（明细）'!C:C&gt;=$J$4,'领用录入（明细）'!C:C&lt;=$L$4),ROW(),"-")</f>
        <v>-</v>
      </c>
    </row>
    <row r="29067" customHeight="1" spans="2:2">
      <c r="B29067" s="62" t="str">
        <f>IF(AND('领用录入（明细）'!D:D=$F$4,'领用录入（明细）'!C:C&gt;=$J$4,'领用录入（明细）'!C:C&lt;=$L$4),ROW(),"-")</f>
        <v>-</v>
      </c>
    </row>
    <row r="29068" customHeight="1" spans="2:2">
      <c r="B29068" s="62" t="str">
        <f>IF(AND('领用录入（明细）'!D:D=$F$4,'领用录入（明细）'!C:C&gt;=$J$4,'领用录入（明细）'!C:C&lt;=$L$4),ROW(),"-")</f>
        <v>-</v>
      </c>
    </row>
    <row r="29069" customHeight="1" spans="2:2">
      <c r="B29069" s="62" t="str">
        <f>IF(AND('领用录入（明细）'!D:D=$F$4,'领用录入（明细）'!C:C&gt;=$J$4,'领用录入（明细）'!C:C&lt;=$L$4),ROW(),"-")</f>
        <v>-</v>
      </c>
    </row>
    <row r="29070" customHeight="1" spans="2:2">
      <c r="B29070" s="62" t="str">
        <f>IF(AND('领用录入（明细）'!D:D=$F$4,'领用录入（明细）'!C:C&gt;=$J$4,'领用录入（明细）'!C:C&lt;=$L$4),ROW(),"-")</f>
        <v>-</v>
      </c>
    </row>
    <row r="29071" customHeight="1" spans="2:2">
      <c r="B29071" s="62" t="str">
        <f>IF(AND('领用录入（明细）'!D:D=$F$4,'领用录入（明细）'!C:C&gt;=$J$4,'领用录入（明细）'!C:C&lt;=$L$4),ROW(),"-")</f>
        <v>-</v>
      </c>
    </row>
    <row r="29072" customHeight="1" spans="2:2">
      <c r="B29072" s="62" t="str">
        <f>IF(AND('领用录入（明细）'!D:D=$F$4,'领用录入（明细）'!C:C&gt;=$J$4,'领用录入（明细）'!C:C&lt;=$L$4),ROW(),"-")</f>
        <v>-</v>
      </c>
    </row>
    <row r="29073" customHeight="1" spans="2:2">
      <c r="B29073" s="62" t="str">
        <f>IF(AND('领用录入（明细）'!D:D=$F$4,'领用录入（明细）'!C:C&gt;=$J$4,'领用录入（明细）'!C:C&lt;=$L$4),ROW(),"-")</f>
        <v>-</v>
      </c>
    </row>
    <row r="29074" customHeight="1" spans="2:2">
      <c r="B29074" s="62" t="str">
        <f>IF(AND('领用录入（明细）'!D:D=$F$4,'领用录入（明细）'!C:C&gt;=$J$4,'领用录入（明细）'!C:C&lt;=$L$4),ROW(),"-")</f>
        <v>-</v>
      </c>
    </row>
    <row r="29075" customHeight="1" spans="2:2">
      <c r="B29075" s="62" t="str">
        <f>IF(AND('领用录入（明细）'!D:D=$F$4,'领用录入（明细）'!C:C&gt;=$J$4,'领用录入（明细）'!C:C&lt;=$L$4),ROW(),"-")</f>
        <v>-</v>
      </c>
    </row>
    <row r="29076" customHeight="1" spans="2:2">
      <c r="B29076" s="62" t="str">
        <f>IF(AND('领用录入（明细）'!D:D=$F$4,'领用录入（明细）'!C:C&gt;=$J$4,'领用录入（明细）'!C:C&lt;=$L$4),ROW(),"-")</f>
        <v>-</v>
      </c>
    </row>
    <row r="29077" customHeight="1" spans="2:2">
      <c r="B29077" s="62" t="str">
        <f>IF(AND('领用录入（明细）'!D:D=$F$4,'领用录入（明细）'!C:C&gt;=$J$4,'领用录入（明细）'!C:C&lt;=$L$4),ROW(),"-")</f>
        <v>-</v>
      </c>
    </row>
    <row r="29078" customHeight="1" spans="2:2">
      <c r="B29078" s="62" t="str">
        <f>IF(AND('领用录入（明细）'!D:D=$F$4,'领用录入（明细）'!C:C&gt;=$J$4,'领用录入（明细）'!C:C&lt;=$L$4),ROW(),"-")</f>
        <v>-</v>
      </c>
    </row>
    <row r="29079" customHeight="1" spans="2:2">
      <c r="B29079" s="62" t="str">
        <f>IF(AND('领用录入（明细）'!D:D=$F$4,'领用录入（明细）'!C:C&gt;=$J$4,'领用录入（明细）'!C:C&lt;=$L$4),ROW(),"-")</f>
        <v>-</v>
      </c>
    </row>
    <row r="29080" customHeight="1" spans="2:2">
      <c r="B29080" s="62" t="str">
        <f>IF(AND('领用录入（明细）'!D:D=$F$4,'领用录入（明细）'!C:C&gt;=$J$4,'领用录入（明细）'!C:C&lt;=$L$4),ROW(),"-")</f>
        <v>-</v>
      </c>
    </row>
    <row r="29081" customHeight="1" spans="2:2">
      <c r="B29081" s="62" t="str">
        <f>IF(AND('领用录入（明细）'!D:D=$F$4,'领用录入（明细）'!C:C&gt;=$J$4,'领用录入（明细）'!C:C&lt;=$L$4),ROW(),"-")</f>
        <v>-</v>
      </c>
    </row>
    <row r="29082" customHeight="1" spans="2:2">
      <c r="B29082" s="62" t="str">
        <f>IF(AND('领用录入（明细）'!D:D=$F$4,'领用录入（明细）'!C:C&gt;=$J$4,'领用录入（明细）'!C:C&lt;=$L$4),ROW(),"-")</f>
        <v>-</v>
      </c>
    </row>
    <row r="29083" customHeight="1" spans="2:2">
      <c r="B29083" s="62" t="str">
        <f>IF(AND('领用录入（明细）'!D:D=$F$4,'领用录入（明细）'!C:C&gt;=$J$4,'领用录入（明细）'!C:C&lt;=$L$4),ROW(),"-")</f>
        <v>-</v>
      </c>
    </row>
    <row r="29084" customHeight="1" spans="2:2">
      <c r="B29084" s="62" t="str">
        <f>IF(AND('领用录入（明细）'!D:D=$F$4,'领用录入（明细）'!C:C&gt;=$J$4,'领用录入（明细）'!C:C&lt;=$L$4),ROW(),"-")</f>
        <v>-</v>
      </c>
    </row>
    <row r="29085" customHeight="1" spans="2:2">
      <c r="B29085" s="62" t="str">
        <f>IF(AND('领用录入（明细）'!D:D=$F$4,'领用录入（明细）'!C:C&gt;=$J$4,'领用录入（明细）'!C:C&lt;=$L$4),ROW(),"-")</f>
        <v>-</v>
      </c>
    </row>
    <row r="29086" customHeight="1" spans="2:2">
      <c r="B29086" s="62" t="str">
        <f>IF(AND('领用录入（明细）'!D:D=$F$4,'领用录入（明细）'!C:C&gt;=$J$4,'领用录入（明细）'!C:C&lt;=$L$4),ROW(),"-")</f>
        <v>-</v>
      </c>
    </row>
    <row r="29087" customHeight="1" spans="2:2">
      <c r="B29087" s="62" t="str">
        <f>IF(AND('领用录入（明细）'!D:D=$F$4,'领用录入（明细）'!C:C&gt;=$J$4,'领用录入（明细）'!C:C&lt;=$L$4),ROW(),"-")</f>
        <v>-</v>
      </c>
    </row>
    <row r="29088" customHeight="1" spans="2:2">
      <c r="B29088" s="62" t="str">
        <f>IF(AND('领用录入（明细）'!D:D=$F$4,'领用录入（明细）'!C:C&gt;=$J$4,'领用录入（明细）'!C:C&lt;=$L$4),ROW(),"-")</f>
        <v>-</v>
      </c>
    </row>
    <row r="29089" customHeight="1" spans="2:2">
      <c r="B29089" s="62" t="str">
        <f>IF(AND('领用录入（明细）'!D:D=$F$4,'领用录入（明细）'!C:C&gt;=$J$4,'领用录入（明细）'!C:C&lt;=$L$4),ROW(),"-")</f>
        <v>-</v>
      </c>
    </row>
    <row r="29090" customHeight="1" spans="2:2">
      <c r="B29090" s="62" t="str">
        <f>IF(AND('领用录入（明细）'!D:D=$F$4,'领用录入（明细）'!C:C&gt;=$J$4,'领用录入（明细）'!C:C&lt;=$L$4),ROW(),"-")</f>
        <v>-</v>
      </c>
    </row>
    <row r="29091" customHeight="1" spans="2:2">
      <c r="B29091" s="62" t="str">
        <f>IF(AND('领用录入（明细）'!D:D=$F$4,'领用录入（明细）'!C:C&gt;=$J$4,'领用录入（明细）'!C:C&lt;=$L$4),ROW(),"-")</f>
        <v>-</v>
      </c>
    </row>
    <row r="29092" customHeight="1" spans="2:2">
      <c r="B29092" s="62" t="str">
        <f>IF(AND('领用录入（明细）'!D:D=$F$4,'领用录入（明细）'!C:C&gt;=$J$4,'领用录入（明细）'!C:C&lt;=$L$4),ROW(),"-")</f>
        <v>-</v>
      </c>
    </row>
    <row r="29093" customHeight="1" spans="2:2">
      <c r="B29093" s="62" t="str">
        <f>IF(AND('领用录入（明细）'!D:D=$F$4,'领用录入（明细）'!C:C&gt;=$J$4,'领用录入（明细）'!C:C&lt;=$L$4),ROW(),"-")</f>
        <v>-</v>
      </c>
    </row>
    <row r="29094" customHeight="1" spans="2:2">
      <c r="B29094" s="62" t="str">
        <f>IF(AND('领用录入（明细）'!D:D=$F$4,'领用录入（明细）'!C:C&gt;=$J$4,'领用录入（明细）'!C:C&lt;=$L$4),ROW(),"-")</f>
        <v>-</v>
      </c>
    </row>
    <row r="29095" customHeight="1" spans="2:2">
      <c r="B29095" s="62" t="str">
        <f>IF(AND('领用录入（明细）'!D:D=$F$4,'领用录入（明细）'!C:C&gt;=$J$4,'领用录入（明细）'!C:C&lt;=$L$4),ROW(),"-")</f>
        <v>-</v>
      </c>
    </row>
    <row r="29096" customHeight="1" spans="2:2">
      <c r="B29096" s="62" t="str">
        <f>IF(AND('领用录入（明细）'!D:D=$F$4,'领用录入（明细）'!C:C&gt;=$J$4,'领用录入（明细）'!C:C&lt;=$L$4),ROW(),"-")</f>
        <v>-</v>
      </c>
    </row>
    <row r="29097" customHeight="1" spans="2:2">
      <c r="B29097" s="62" t="str">
        <f>IF(AND('领用录入（明细）'!D:D=$F$4,'领用录入（明细）'!C:C&gt;=$J$4,'领用录入（明细）'!C:C&lt;=$L$4),ROW(),"-")</f>
        <v>-</v>
      </c>
    </row>
    <row r="29098" customHeight="1" spans="2:2">
      <c r="B29098" s="62" t="str">
        <f>IF(AND('领用录入（明细）'!D:D=$F$4,'领用录入（明细）'!C:C&gt;=$J$4,'领用录入（明细）'!C:C&lt;=$L$4),ROW(),"-")</f>
        <v>-</v>
      </c>
    </row>
    <row r="29099" customHeight="1" spans="2:2">
      <c r="B29099" s="62" t="str">
        <f>IF(AND('领用录入（明细）'!D:D=$F$4,'领用录入（明细）'!C:C&gt;=$J$4,'领用录入（明细）'!C:C&lt;=$L$4),ROW(),"-")</f>
        <v>-</v>
      </c>
    </row>
    <row r="29100" customHeight="1" spans="2:2">
      <c r="B29100" s="62" t="str">
        <f>IF(AND('领用录入（明细）'!D:D=$F$4,'领用录入（明细）'!C:C&gt;=$J$4,'领用录入（明细）'!C:C&lt;=$L$4),ROW(),"-")</f>
        <v>-</v>
      </c>
    </row>
    <row r="29101" customHeight="1" spans="2:2">
      <c r="B29101" s="62" t="str">
        <f>IF(AND('领用录入（明细）'!D:D=$F$4,'领用录入（明细）'!C:C&gt;=$J$4,'领用录入（明细）'!C:C&lt;=$L$4),ROW(),"-")</f>
        <v>-</v>
      </c>
    </row>
    <row r="29102" customHeight="1" spans="2:2">
      <c r="B29102" s="62" t="str">
        <f>IF(AND('领用录入（明细）'!D:D=$F$4,'领用录入（明细）'!C:C&gt;=$J$4,'领用录入（明细）'!C:C&lt;=$L$4),ROW(),"-")</f>
        <v>-</v>
      </c>
    </row>
    <row r="29103" customHeight="1" spans="2:2">
      <c r="B29103" s="62" t="str">
        <f>IF(AND('领用录入（明细）'!D:D=$F$4,'领用录入（明细）'!C:C&gt;=$J$4,'领用录入（明细）'!C:C&lt;=$L$4),ROW(),"-")</f>
        <v>-</v>
      </c>
    </row>
    <row r="29104" customHeight="1" spans="2:2">
      <c r="B29104" s="62" t="str">
        <f>IF(AND('领用录入（明细）'!D:D=$F$4,'领用录入（明细）'!C:C&gt;=$J$4,'领用录入（明细）'!C:C&lt;=$L$4),ROW(),"-")</f>
        <v>-</v>
      </c>
    </row>
    <row r="29105" customHeight="1" spans="2:2">
      <c r="B29105" s="62" t="str">
        <f>IF(AND('领用录入（明细）'!D:D=$F$4,'领用录入（明细）'!C:C&gt;=$J$4,'领用录入（明细）'!C:C&lt;=$L$4),ROW(),"-")</f>
        <v>-</v>
      </c>
    </row>
    <row r="29106" customHeight="1" spans="2:2">
      <c r="B29106" s="62" t="str">
        <f>IF(AND('领用录入（明细）'!D:D=$F$4,'领用录入（明细）'!C:C&gt;=$J$4,'领用录入（明细）'!C:C&lt;=$L$4),ROW(),"-")</f>
        <v>-</v>
      </c>
    </row>
    <row r="29107" customHeight="1" spans="2:2">
      <c r="B29107" s="62" t="str">
        <f>IF(AND('领用录入（明细）'!D:D=$F$4,'领用录入（明细）'!C:C&gt;=$J$4,'领用录入（明细）'!C:C&lt;=$L$4),ROW(),"-")</f>
        <v>-</v>
      </c>
    </row>
    <row r="29108" customHeight="1" spans="2:2">
      <c r="B29108" s="62" t="str">
        <f>IF(AND('领用录入（明细）'!D:D=$F$4,'领用录入（明细）'!C:C&gt;=$J$4,'领用录入（明细）'!C:C&lt;=$L$4),ROW(),"-")</f>
        <v>-</v>
      </c>
    </row>
    <row r="29109" customHeight="1" spans="2:2">
      <c r="B29109" s="62" t="str">
        <f>IF(AND('领用录入（明细）'!D:D=$F$4,'领用录入（明细）'!C:C&gt;=$J$4,'领用录入（明细）'!C:C&lt;=$L$4),ROW(),"-")</f>
        <v>-</v>
      </c>
    </row>
    <row r="29110" customHeight="1" spans="2:2">
      <c r="B29110" s="62" t="str">
        <f>IF(AND('领用录入（明细）'!D:D=$F$4,'领用录入（明细）'!C:C&gt;=$J$4,'领用录入（明细）'!C:C&lt;=$L$4),ROW(),"-")</f>
        <v>-</v>
      </c>
    </row>
    <row r="29111" customHeight="1" spans="2:2">
      <c r="B29111" s="62" t="str">
        <f>IF(AND('领用录入（明细）'!D:D=$F$4,'领用录入（明细）'!C:C&gt;=$J$4,'领用录入（明细）'!C:C&lt;=$L$4),ROW(),"-")</f>
        <v>-</v>
      </c>
    </row>
    <row r="29112" customHeight="1" spans="2:2">
      <c r="B29112" s="62" t="str">
        <f>IF(AND('领用录入（明细）'!D:D=$F$4,'领用录入（明细）'!C:C&gt;=$J$4,'领用录入（明细）'!C:C&lt;=$L$4),ROW(),"-")</f>
        <v>-</v>
      </c>
    </row>
    <row r="29113" customHeight="1" spans="2:2">
      <c r="B29113" s="62" t="str">
        <f>IF(AND('领用录入（明细）'!D:D=$F$4,'领用录入（明细）'!C:C&gt;=$J$4,'领用录入（明细）'!C:C&lt;=$L$4),ROW(),"-")</f>
        <v>-</v>
      </c>
    </row>
    <row r="29114" customHeight="1" spans="2:2">
      <c r="B29114" s="62" t="str">
        <f>IF(AND('领用录入（明细）'!D:D=$F$4,'领用录入（明细）'!C:C&gt;=$J$4,'领用录入（明细）'!C:C&lt;=$L$4),ROW(),"-")</f>
        <v>-</v>
      </c>
    </row>
    <row r="29115" customHeight="1" spans="2:2">
      <c r="B29115" s="62" t="str">
        <f>IF(AND('领用录入（明细）'!D:D=$F$4,'领用录入（明细）'!C:C&gt;=$J$4,'领用录入（明细）'!C:C&lt;=$L$4),ROW(),"-")</f>
        <v>-</v>
      </c>
    </row>
    <row r="29116" customHeight="1" spans="2:2">
      <c r="B29116" s="62" t="str">
        <f>IF(AND('领用录入（明细）'!D:D=$F$4,'领用录入（明细）'!C:C&gt;=$J$4,'领用录入（明细）'!C:C&lt;=$L$4),ROW(),"-")</f>
        <v>-</v>
      </c>
    </row>
    <row r="29117" customHeight="1" spans="2:2">
      <c r="B29117" s="62" t="str">
        <f>IF(AND('领用录入（明细）'!D:D=$F$4,'领用录入（明细）'!C:C&gt;=$J$4,'领用录入（明细）'!C:C&lt;=$L$4),ROW(),"-")</f>
        <v>-</v>
      </c>
    </row>
    <row r="29118" customHeight="1" spans="2:2">
      <c r="B29118" s="62" t="str">
        <f>IF(AND('领用录入（明细）'!D:D=$F$4,'领用录入（明细）'!C:C&gt;=$J$4,'领用录入（明细）'!C:C&lt;=$L$4),ROW(),"-")</f>
        <v>-</v>
      </c>
    </row>
    <row r="29119" customHeight="1" spans="2:2">
      <c r="B29119" s="62" t="str">
        <f>IF(AND('领用录入（明细）'!D:D=$F$4,'领用录入（明细）'!C:C&gt;=$J$4,'领用录入（明细）'!C:C&lt;=$L$4),ROW(),"-")</f>
        <v>-</v>
      </c>
    </row>
    <row r="29120" customHeight="1" spans="2:2">
      <c r="B29120" s="62" t="str">
        <f>IF(AND('领用录入（明细）'!D:D=$F$4,'领用录入（明细）'!C:C&gt;=$J$4,'领用录入（明细）'!C:C&lt;=$L$4),ROW(),"-")</f>
        <v>-</v>
      </c>
    </row>
    <row r="29121" customHeight="1" spans="2:2">
      <c r="B29121" s="62" t="str">
        <f>IF(AND('领用录入（明细）'!D:D=$F$4,'领用录入（明细）'!C:C&gt;=$J$4,'领用录入（明细）'!C:C&lt;=$L$4),ROW(),"-")</f>
        <v>-</v>
      </c>
    </row>
    <row r="29122" customHeight="1" spans="2:2">
      <c r="B29122" s="62" t="str">
        <f>IF(AND('领用录入（明细）'!D:D=$F$4,'领用录入（明细）'!C:C&gt;=$J$4,'领用录入（明细）'!C:C&lt;=$L$4),ROW(),"-")</f>
        <v>-</v>
      </c>
    </row>
    <row r="29123" customHeight="1" spans="2:2">
      <c r="B29123" s="62" t="str">
        <f>IF(AND('领用录入（明细）'!D:D=$F$4,'领用录入（明细）'!C:C&gt;=$J$4,'领用录入（明细）'!C:C&lt;=$L$4),ROW(),"-")</f>
        <v>-</v>
      </c>
    </row>
    <row r="29124" customHeight="1" spans="2:2">
      <c r="B29124" s="62" t="str">
        <f>IF(AND('领用录入（明细）'!D:D=$F$4,'领用录入（明细）'!C:C&gt;=$J$4,'领用录入（明细）'!C:C&lt;=$L$4),ROW(),"-")</f>
        <v>-</v>
      </c>
    </row>
    <row r="29125" customHeight="1" spans="2:2">
      <c r="B29125" s="62" t="str">
        <f>IF(AND('领用录入（明细）'!D:D=$F$4,'领用录入（明细）'!C:C&gt;=$J$4,'领用录入（明细）'!C:C&lt;=$L$4),ROW(),"-")</f>
        <v>-</v>
      </c>
    </row>
    <row r="29126" customHeight="1" spans="2:2">
      <c r="B29126" s="62" t="str">
        <f>IF(AND('领用录入（明细）'!D:D=$F$4,'领用录入（明细）'!C:C&gt;=$J$4,'领用录入（明细）'!C:C&lt;=$L$4),ROW(),"-")</f>
        <v>-</v>
      </c>
    </row>
    <row r="29127" customHeight="1" spans="2:2">
      <c r="B29127" s="62" t="str">
        <f>IF(AND('领用录入（明细）'!D:D=$F$4,'领用录入（明细）'!C:C&gt;=$J$4,'领用录入（明细）'!C:C&lt;=$L$4),ROW(),"-")</f>
        <v>-</v>
      </c>
    </row>
    <row r="29128" customHeight="1" spans="2:2">
      <c r="B29128" s="62" t="str">
        <f>IF(AND('领用录入（明细）'!D:D=$F$4,'领用录入（明细）'!C:C&gt;=$J$4,'领用录入（明细）'!C:C&lt;=$L$4),ROW(),"-")</f>
        <v>-</v>
      </c>
    </row>
    <row r="29129" customHeight="1" spans="2:2">
      <c r="B29129" s="62" t="str">
        <f>IF(AND('领用录入（明细）'!D:D=$F$4,'领用录入（明细）'!C:C&gt;=$J$4,'领用录入（明细）'!C:C&lt;=$L$4),ROW(),"-")</f>
        <v>-</v>
      </c>
    </row>
    <row r="29130" customHeight="1" spans="2:2">
      <c r="B29130" s="62" t="str">
        <f>IF(AND('领用录入（明细）'!D:D=$F$4,'领用录入（明细）'!C:C&gt;=$J$4,'领用录入（明细）'!C:C&lt;=$L$4),ROW(),"-")</f>
        <v>-</v>
      </c>
    </row>
    <row r="29131" customHeight="1" spans="2:2">
      <c r="B29131" s="62" t="str">
        <f>IF(AND('领用录入（明细）'!D:D=$F$4,'领用录入（明细）'!C:C&gt;=$J$4,'领用录入（明细）'!C:C&lt;=$L$4),ROW(),"-")</f>
        <v>-</v>
      </c>
    </row>
    <row r="29132" customHeight="1" spans="2:2">
      <c r="B29132" s="62" t="str">
        <f>IF(AND('领用录入（明细）'!D:D=$F$4,'领用录入（明细）'!C:C&gt;=$J$4,'领用录入（明细）'!C:C&lt;=$L$4),ROW(),"-")</f>
        <v>-</v>
      </c>
    </row>
    <row r="29133" customHeight="1" spans="2:2">
      <c r="B29133" s="62" t="str">
        <f>IF(AND('领用录入（明细）'!D:D=$F$4,'领用录入（明细）'!C:C&gt;=$J$4,'领用录入（明细）'!C:C&lt;=$L$4),ROW(),"-")</f>
        <v>-</v>
      </c>
    </row>
    <row r="29134" customHeight="1" spans="2:2">
      <c r="B29134" s="62" t="str">
        <f>IF(AND('领用录入（明细）'!D:D=$F$4,'领用录入（明细）'!C:C&gt;=$J$4,'领用录入（明细）'!C:C&lt;=$L$4),ROW(),"-")</f>
        <v>-</v>
      </c>
    </row>
    <row r="29135" customHeight="1" spans="2:2">
      <c r="B29135" s="62" t="str">
        <f>IF(AND('领用录入（明细）'!D:D=$F$4,'领用录入（明细）'!C:C&gt;=$J$4,'领用录入（明细）'!C:C&lt;=$L$4),ROW(),"-")</f>
        <v>-</v>
      </c>
    </row>
    <row r="29136" customHeight="1" spans="2:2">
      <c r="B29136" s="62" t="str">
        <f>IF(AND('领用录入（明细）'!D:D=$F$4,'领用录入（明细）'!C:C&gt;=$J$4,'领用录入（明细）'!C:C&lt;=$L$4),ROW(),"-")</f>
        <v>-</v>
      </c>
    </row>
    <row r="29137" customHeight="1" spans="2:2">
      <c r="B29137" s="62" t="str">
        <f>IF(AND('领用录入（明细）'!D:D=$F$4,'领用录入（明细）'!C:C&gt;=$J$4,'领用录入（明细）'!C:C&lt;=$L$4),ROW(),"-")</f>
        <v>-</v>
      </c>
    </row>
    <row r="29138" customHeight="1" spans="2:2">
      <c r="B29138" s="62" t="str">
        <f>IF(AND('领用录入（明细）'!D:D=$F$4,'领用录入（明细）'!C:C&gt;=$J$4,'领用录入（明细）'!C:C&lt;=$L$4),ROW(),"-")</f>
        <v>-</v>
      </c>
    </row>
    <row r="29139" customHeight="1" spans="2:2">
      <c r="B29139" s="62" t="str">
        <f>IF(AND('领用录入（明细）'!D:D=$F$4,'领用录入（明细）'!C:C&gt;=$J$4,'领用录入（明细）'!C:C&lt;=$L$4),ROW(),"-")</f>
        <v>-</v>
      </c>
    </row>
    <row r="29140" customHeight="1" spans="2:2">
      <c r="B29140" s="62" t="str">
        <f>IF(AND('领用录入（明细）'!D:D=$F$4,'领用录入（明细）'!C:C&gt;=$J$4,'领用录入（明细）'!C:C&lt;=$L$4),ROW(),"-")</f>
        <v>-</v>
      </c>
    </row>
    <row r="29141" customHeight="1" spans="2:2">
      <c r="B29141" s="62" t="str">
        <f>IF(AND('领用录入（明细）'!D:D=$F$4,'领用录入（明细）'!C:C&gt;=$J$4,'领用录入（明细）'!C:C&lt;=$L$4),ROW(),"-")</f>
        <v>-</v>
      </c>
    </row>
    <row r="29142" customHeight="1" spans="2:2">
      <c r="B29142" s="62" t="str">
        <f>IF(AND('领用录入（明细）'!D:D=$F$4,'领用录入（明细）'!C:C&gt;=$J$4,'领用录入（明细）'!C:C&lt;=$L$4),ROW(),"-")</f>
        <v>-</v>
      </c>
    </row>
    <row r="29143" customHeight="1" spans="2:2">
      <c r="B29143" s="62" t="str">
        <f>IF(AND('领用录入（明细）'!D:D=$F$4,'领用录入（明细）'!C:C&gt;=$J$4,'领用录入（明细）'!C:C&lt;=$L$4),ROW(),"-")</f>
        <v>-</v>
      </c>
    </row>
    <row r="29144" customHeight="1" spans="2:2">
      <c r="B29144" s="62" t="str">
        <f>IF(AND('领用录入（明细）'!D:D=$F$4,'领用录入（明细）'!C:C&gt;=$J$4,'领用录入（明细）'!C:C&lt;=$L$4),ROW(),"-")</f>
        <v>-</v>
      </c>
    </row>
    <row r="29145" customHeight="1" spans="2:2">
      <c r="B29145" s="62" t="str">
        <f>IF(AND('领用录入（明细）'!D:D=$F$4,'领用录入（明细）'!C:C&gt;=$J$4,'领用录入（明细）'!C:C&lt;=$L$4),ROW(),"-")</f>
        <v>-</v>
      </c>
    </row>
    <row r="29146" customHeight="1" spans="2:2">
      <c r="B29146" s="62" t="str">
        <f>IF(AND('领用录入（明细）'!D:D=$F$4,'领用录入（明细）'!C:C&gt;=$J$4,'领用录入（明细）'!C:C&lt;=$L$4),ROW(),"-")</f>
        <v>-</v>
      </c>
    </row>
    <row r="29147" customHeight="1" spans="2:2">
      <c r="B29147" s="62" t="str">
        <f>IF(AND('领用录入（明细）'!D:D=$F$4,'领用录入（明细）'!C:C&gt;=$J$4,'领用录入（明细）'!C:C&lt;=$L$4),ROW(),"-")</f>
        <v>-</v>
      </c>
    </row>
    <row r="29148" customHeight="1" spans="2:2">
      <c r="B29148" s="62" t="str">
        <f>IF(AND('领用录入（明细）'!D:D=$F$4,'领用录入（明细）'!C:C&gt;=$J$4,'领用录入（明细）'!C:C&lt;=$L$4),ROW(),"-")</f>
        <v>-</v>
      </c>
    </row>
    <row r="29149" customHeight="1" spans="2:2">
      <c r="B29149" s="62" t="str">
        <f>IF(AND('领用录入（明细）'!D:D=$F$4,'领用录入（明细）'!C:C&gt;=$J$4,'领用录入（明细）'!C:C&lt;=$L$4),ROW(),"-")</f>
        <v>-</v>
      </c>
    </row>
    <row r="29150" customHeight="1" spans="2:2">
      <c r="B29150" s="62" t="str">
        <f>IF(AND('领用录入（明细）'!D:D=$F$4,'领用录入（明细）'!C:C&gt;=$J$4,'领用录入（明细）'!C:C&lt;=$L$4),ROW(),"-")</f>
        <v>-</v>
      </c>
    </row>
    <row r="29151" customHeight="1" spans="2:2">
      <c r="B29151" s="62" t="str">
        <f>IF(AND('领用录入（明细）'!D:D=$F$4,'领用录入（明细）'!C:C&gt;=$J$4,'领用录入（明细）'!C:C&lt;=$L$4),ROW(),"-")</f>
        <v>-</v>
      </c>
    </row>
    <row r="29152" customHeight="1" spans="2:2">
      <c r="B29152" s="62" t="str">
        <f>IF(AND('领用录入（明细）'!D:D=$F$4,'领用录入（明细）'!C:C&gt;=$J$4,'领用录入（明细）'!C:C&lt;=$L$4),ROW(),"-")</f>
        <v>-</v>
      </c>
    </row>
    <row r="29153" customHeight="1" spans="2:2">
      <c r="B29153" s="62" t="str">
        <f>IF(AND('领用录入（明细）'!D:D=$F$4,'领用录入（明细）'!C:C&gt;=$J$4,'领用录入（明细）'!C:C&lt;=$L$4),ROW(),"-")</f>
        <v>-</v>
      </c>
    </row>
    <row r="29154" customHeight="1" spans="2:2">
      <c r="B29154" s="62" t="str">
        <f>IF(AND('领用录入（明细）'!D:D=$F$4,'领用录入（明细）'!C:C&gt;=$J$4,'领用录入（明细）'!C:C&lt;=$L$4),ROW(),"-")</f>
        <v>-</v>
      </c>
    </row>
    <row r="29155" customHeight="1" spans="2:2">
      <c r="B29155" s="62" t="str">
        <f>IF(AND('领用录入（明细）'!D:D=$F$4,'领用录入（明细）'!C:C&gt;=$J$4,'领用录入（明细）'!C:C&lt;=$L$4),ROW(),"-")</f>
        <v>-</v>
      </c>
    </row>
    <row r="29156" customHeight="1" spans="2:2">
      <c r="B29156" s="62" t="str">
        <f>IF(AND('领用录入（明细）'!D:D=$F$4,'领用录入（明细）'!C:C&gt;=$J$4,'领用录入（明细）'!C:C&lt;=$L$4),ROW(),"-")</f>
        <v>-</v>
      </c>
    </row>
    <row r="29157" customHeight="1" spans="2:2">
      <c r="B29157" s="62" t="str">
        <f>IF(AND('领用录入（明细）'!D:D=$F$4,'领用录入（明细）'!C:C&gt;=$J$4,'领用录入（明细）'!C:C&lt;=$L$4),ROW(),"-")</f>
        <v>-</v>
      </c>
    </row>
    <row r="29158" customHeight="1" spans="2:2">
      <c r="B29158" s="62" t="str">
        <f>IF(AND('领用录入（明细）'!D:D=$F$4,'领用录入（明细）'!C:C&gt;=$J$4,'领用录入（明细）'!C:C&lt;=$L$4),ROW(),"-")</f>
        <v>-</v>
      </c>
    </row>
    <row r="29159" customHeight="1" spans="2:2">
      <c r="B29159" s="62" t="str">
        <f>IF(AND('领用录入（明细）'!D:D=$F$4,'领用录入（明细）'!C:C&gt;=$J$4,'领用录入（明细）'!C:C&lt;=$L$4),ROW(),"-")</f>
        <v>-</v>
      </c>
    </row>
    <row r="29160" customHeight="1" spans="2:2">
      <c r="B29160" s="62" t="str">
        <f>IF(AND('领用录入（明细）'!D:D=$F$4,'领用录入（明细）'!C:C&gt;=$J$4,'领用录入（明细）'!C:C&lt;=$L$4),ROW(),"-")</f>
        <v>-</v>
      </c>
    </row>
    <row r="29161" customHeight="1" spans="2:2">
      <c r="B29161" s="62" t="str">
        <f>IF(AND('领用录入（明细）'!D:D=$F$4,'领用录入（明细）'!C:C&gt;=$J$4,'领用录入（明细）'!C:C&lt;=$L$4),ROW(),"-")</f>
        <v>-</v>
      </c>
    </row>
    <row r="29162" customHeight="1" spans="2:2">
      <c r="B29162" s="62" t="str">
        <f>IF(AND('领用录入（明细）'!D:D=$F$4,'领用录入（明细）'!C:C&gt;=$J$4,'领用录入（明细）'!C:C&lt;=$L$4),ROW(),"-")</f>
        <v>-</v>
      </c>
    </row>
    <row r="29163" customHeight="1" spans="2:2">
      <c r="B29163" s="62" t="str">
        <f>IF(AND('领用录入（明细）'!D:D=$F$4,'领用录入（明细）'!C:C&gt;=$J$4,'领用录入（明细）'!C:C&lt;=$L$4),ROW(),"-")</f>
        <v>-</v>
      </c>
    </row>
    <row r="29164" customHeight="1" spans="2:2">
      <c r="B29164" s="62" t="str">
        <f>IF(AND('领用录入（明细）'!D:D=$F$4,'领用录入（明细）'!C:C&gt;=$J$4,'领用录入（明细）'!C:C&lt;=$L$4),ROW(),"-")</f>
        <v>-</v>
      </c>
    </row>
    <row r="29165" customHeight="1" spans="2:2">
      <c r="B29165" s="62" t="str">
        <f>IF(AND('领用录入（明细）'!D:D=$F$4,'领用录入（明细）'!C:C&gt;=$J$4,'领用录入（明细）'!C:C&lt;=$L$4),ROW(),"-")</f>
        <v>-</v>
      </c>
    </row>
    <row r="29166" customHeight="1" spans="2:2">
      <c r="B29166" s="62" t="str">
        <f>IF(AND('领用录入（明细）'!D:D=$F$4,'领用录入（明细）'!C:C&gt;=$J$4,'领用录入（明细）'!C:C&lt;=$L$4),ROW(),"-")</f>
        <v>-</v>
      </c>
    </row>
    <row r="29167" customHeight="1" spans="2:2">
      <c r="B29167" s="62" t="str">
        <f>IF(AND('领用录入（明细）'!D:D=$F$4,'领用录入（明细）'!C:C&gt;=$J$4,'领用录入（明细）'!C:C&lt;=$L$4),ROW(),"-")</f>
        <v>-</v>
      </c>
    </row>
    <row r="29168" customHeight="1" spans="2:2">
      <c r="B29168" s="62" t="str">
        <f>IF(AND('领用录入（明细）'!D:D=$F$4,'领用录入（明细）'!C:C&gt;=$J$4,'领用录入（明细）'!C:C&lt;=$L$4),ROW(),"-")</f>
        <v>-</v>
      </c>
    </row>
    <row r="29169" customHeight="1" spans="2:2">
      <c r="B29169" s="62" t="str">
        <f>IF(AND('领用录入（明细）'!D:D=$F$4,'领用录入（明细）'!C:C&gt;=$J$4,'领用录入（明细）'!C:C&lt;=$L$4),ROW(),"-")</f>
        <v>-</v>
      </c>
    </row>
    <row r="29170" customHeight="1" spans="2:2">
      <c r="B29170" s="62" t="str">
        <f>IF(AND('领用录入（明细）'!D:D=$F$4,'领用录入（明细）'!C:C&gt;=$J$4,'领用录入（明细）'!C:C&lt;=$L$4),ROW(),"-")</f>
        <v>-</v>
      </c>
    </row>
    <row r="29171" customHeight="1" spans="2:2">
      <c r="B29171" s="62" t="str">
        <f>IF(AND('领用录入（明细）'!D:D=$F$4,'领用录入（明细）'!C:C&gt;=$J$4,'领用录入（明细）'!C:C&lt;=$L$4),ROW(),"-")</f>
        <v>-</v>
      </c>
    </row>
    <row r="29172" customHeight="1" spans="2:2">
      <c r="B29172" s="62" t="str">
        <f>IF(AND('领用录入（明细）'!D:D=$F$4,'领用录入（明细）'!C:C&gt;=$J$4,'领用录入（明细）'!C:C&lt;=$L$4),ROW(),"-")</f>
        <v>-</v>
      </c>
    </row>
    <row r="29173" customHeight="1" spans="2:2">
      <c r="B29173" s="62" t="str">
        <f>IF(AND('领用录入（明细）'!D:D=$F$4,'领用录入（明细）'!C:C&gt;=$J$4,'领用录入（明细）'!C:C&lt;=$L$4),ROW(),"-")</f>
        <v>-</v>
      </c>
    </row>
    <row r="29174" customHeight="1" spans="2:2">
      <c r="B29174" s="62" t="str">
        <f>IF(AND('领用录入（明细）'!D:D=$F$4,'领用录入（明细）'!C:C&gt;=$J$4,'领用录入（明细）'!C:C&lt;=$L$4),ROW(),"-")</f>
        <v>-</v>
      </c>
    </row>
    <row r="29175" customHeight="1" spans="2:2">
      <c r="B29175" s="62" t="str">
        <f>IF(AND('领用录入（明细）'!D:D=$F$4,'领用录入（明细）'!C:C&gt;=$J$4,'领用录入（明细）'!C:C&lt;=$L$4),ROW(),"-")</f>
        <v>-</v>
      </c>
    </row>
    <row r="29176" customHeight="1" spans="2:2">
      <c r="B29176" s="62" t="str">
        <f>IF(AND('领用录入（明细）'!D:D=$F$4,'领用录入（明细）'!C:C&gt;=$J$4,'领用录入（明细）'!C:C&lt;=$L$4),ROW(),"-")</f>
        <v>-</v>
      </c>
    </row>
    <row r="29177" customHeight="1" spans="2:2">
      <c r="B29177" s="62" t="str">
        <f>IF(AND('领用录入（明细）'!D:D=$F$4,'领用录入（明细）'!C:C&gt;=$J$4,'领用录入（明细）'!C:C&lt;=$L$4),ROW(),"-")</f>
        <v>-</v>
      </c>
    </row>
    <row r="29178" customHeight="1" spans="2:2">
      <c r="B29178" s="62" t="str">
        <f>IF(AND('领用录入（明细）'!D:D=$F$4,'领用录入（明细）'!C:C&gt;=$J$4,'领用录入（明细）'!C:C&lt;=$L$4),ROW(),"-")</f>
        <v>-</v>
      </c>
    </row>
    <row r="29179" customHeight="1" spans="2:2">
      <c r="B29179" s="62" t="str">
        <f>IF(AND('领用录入（明细）'!D:D=$F$4,'领用录入（明细）'!C:C&gt;=$J$4,'领用录入（明细）'!C:C&lt;=$L$4),ROW(),"-")</f>
        <v>-</v>
      </c>
    </row>
    <row r="29180" customHeight="1" spans="2:2">
      <c r="B29180" s="62" t="str">
        <f>IF(AND('领用录入（明细）'!D:D=$F$4,'领用录入（明细）'!C:C&gt;=$J$4,'领用录入（明细）'!C:C&lt;=$L$4),ROW(),"-")</f>
        <v>-</v>
      </c>
    </row>
    <row r="29181" customHeight="1" spans="2:2">
      <c r="B29181" s="62" t="str">
        <f>IF(AND('领用录入（明细）'!D:D=$F$4,'领用录入（明细）'!C:C&gt;=$J$4,'领用录入（明细）'!C:C&lt;=$L$4),ROW(),"-")</f>
        <v>-</v>
      </c>
    </row>
    <row r="29182" customHeight="1" spans="2:2">
      <c r="B29182" s="62" t="str">
        <f>IF(AND('领用录入（明细）'!D:D=$F$4,'领用录入（明细）'!C:C&gt;=$J$4,'领用录入（明细）'!C:C&lt;=$L$4),ROW(),"-")</f>
        <v>-</v>
      </c>
    </row>
    <row r="29183" customHeight="1" spans="2:2">
      <c r="B29183" s="62" t="str">
        <f>IF(AND('领用录入（明细）'!D:D=$F$4,'领用录入（明细）'!C:C&gt;=$J$4,'领用录入（明细）'!C:C&lt;=$L$4),ROW(),"-")</f>
        <v>-</v>
      </c>
    </row>
    <row r="29184" customHeight="1" spans="2:2">
      <c r="B29184" s="62" t="str">
        <f>IF(AND('领用录入（明细）'!D:D=$F$4,'领用录入（明细）'!C:C&gt;=$J$4,'领用录入（明细）'!C:C&lt;=$L$4),ROW(),"-")</f>
        <v>-</v>
      </c>
    </row>
    <row r="29185" customHeight="1" spans="2:2">
      <c r="B29185" s="62" t="str">
        <f>IF(AND('领用录入（明细）'!D:D=$F$4,'领用录入（明细）'!C:C&gt;=$J$4,'领用录入（明细）'!C:C&lt;=$L$4),ROW(),"-")</f>
        <v>-</v>
      </c>
    </row>
    <row r="29186" customHeight="1" spans="2:2">
      <c r="B29186" s="62" t="str">
        <f>IF(AND('领用录入（明细）'!D:D=$F$4,'领用录入（明细）'!C:C&gt;=$J$4,'领用录入（明细）'!C:C&lt;=$L$4),ROW(),"-")</f>
        <v>-</v>
      </c>
    </row>
    <row r="29187" customHeight="1" spans="2:2">
      <c r="B29187" s="62" t="str">
        <f>IF(AND('领用录入（明细）'!D:D=$F$4,'领用录入（明细）'!C:C&gt;=$J$4,'领用录入（明细）'!C:C&lt;=$L$4),ROW(),"-")</f>
        <v>-</v>
      </c>
    </row>
    <row r="29188" customHeight="1" spans="2:2">
      <c r="B29188" s="62" t="str">
        <f>IF(AND('领用录入（明细）'!D:D=$F$4,'领用录入（明细）'!C:C&gt;=$J$4,'领用录入（明细）'!C:C&lt;=$L$4),ROW(),"-")</f>
        <v>-</v>
      </c>
    </row>
    <row r="29189" customHeight="1" spans="2:2">
      <c r="B29189" s="62" t="str">
        <f>IF(AND('领用录入（明细）'!D:D=$F$4,'领用录入（明细）'!C:C&gt;=$J$4,'领用录入（明细）'!C:C&lt;=$L$4),ROW(),"-")</f>
        <v>-</v>
      </c>
    </row>
    <row r="29190" customHeight="1" spans="2:2">
      <c r="B29190" s="62" t="str">
        <f>IF(AND('领用录入（明细）'!D:D=$F$4,'领用录入（明细）'!C:C&gt;=$J$4,'领用录入（明细）'!C:C&lt;=$L$4),ROW(),"-")</f>
        <v>-</v>
      </c>
    </row>
    <row r="29191" customHeight="1" spans="2:2">
      <c r="B29191" s="62" t="str">
        <f>IF(AND('领用录入（明细）'!D:D=$F$4,'领用录入（明细）'!C:C&gt;=$J$4,'领用录入（明细）'!C:C&lt;=$L$4),ROW(),"-")</f>
        <v>-</v>
      </c>
    </row>
    <row r="29192" customHeight="1" spans="2:2">
      <c r="B29192" s="62" t="str">
        <f>IF(AND('领用录入（明细）'!D:D=$F$4,'领用录入（明细）'!C:C&gt;=$J$4,'领用录入（明细）'!C:C&lt;=$L$4),ROW(),"-")</f>
        <v>-</v>
      </c>
    </row>
    <row r="29193" customHeight="1" spans="2:2">
      <c r="B29193" s="62" t="str">
        <f>IF(AND('领用录入（明细）'!D:D=$F$4,'领用录入（明细）'!C:C&gt;=$J$4,'领用录入（明细）'!C:C&lt;=$L$4),ROW(),"-")</f>
        <v>-</v>
      </c>
    </row>
    <row r="29194" customHeight="1" spans="2:2">
      <c r="B29194" s="62" t="str">
        <f>IF(AND('领用录入（明细）'!D:D=$F$4,'领用录入（明细）'!C:C&gt;=$J$4,'领用录入（明细）'!C:C&lt;=$L$4),ROW(),"-")</f>
        <v>-</v>
      </c>
    </row>
    <row r="29195" customHeight="1" spans="2:2">
      <c r="B29195" s="62" t="str">
        <f>IF(AND('领用录入（明细）'!D:D=$F$4,'领用录入（明细）'!C:C&gt;=$J$4,'领用录入（明细）'!C:C&lt;=$L$4),ROW(),"-")</f>
        <v>-</v>
      </c>
    </row>
    <row r="29196" customHeight="1" spans="2:2">
      <c r="B29196" s="62" t="str">
        <f>IF(AND('领用录入（明细）'!D:D=$F$4,'领用录入（明细）'!C:C&gt;=$J$4,'领用录入（明细）'!C:C&lt;=$L$4),ROW(),"-")</f>
        <v>-</v>
      </c>
    </row>
    <row r="29197" customHeight="1" spans="2:2">
      <c r="B29197" s="62" t="str">
        <f>IF(AND('领用录入（明细）'!D:D=$F$4,'领用录入（明细）'!C:C&gt;=$J$4,'领用录入（明细）'!C:C&lt;=$L$4),ROW(),"-")</f>
        <v>-</v>
      </c>
    </row>
    <row r="29198" customHeight="1" spans="2:2">
      <c r="B29198" s="62" t="str">
        <f>IF(AND('领用录入（明细）'!D:D=$F$4,'领用录入（明细）'!C:C&gt;=$J$4,'领用录入（明细）'!C:C&lt;=$L$4),ROW(),"-")</f>
        <v>-</v>
      </c>
    </row>
    <row r="29199" customHeight="1" spans="2:2">
      <c r="B29199" s="62" t="str">
        <f>IF(AND('领用录入（明细）'!D:D=$F$4,'领用录入（明细）'!C:C&gt;=$J$4,'领用录入（明细）'!C:C&lt;=$L$4),ROW(),"-")</f>
        <v>-</v>
      </c>
    </row>
    <row r="29200" customHeight="1" spans="2:2">
      <c r="B29200" s="62" t="str">
        <f>IF(AND('领用录入（明细）'!D:D=$F$4,'领用录入（明细）'!C:C&gt;=$J$4,'领用录入（明细）'!C:C&lt;=$L$4),ROW(),"-")</f>
        <v>-</v>
      </c>
    </row>
    <row r="29201" customHeight="1" spans="2:2">
      <c r="B29201" s="62" t="str">
        <f>IF(AND('领用录入（明细）'!D:D=$F$4,'领用录入（明细）'!C:C&gt;=$J$4,'领用录入（明细）'!C:C&lt;=$L$4),ROW(),"-")</f>
        <v>-</v>
      </c>
    </row>
    <row r="29202" customHeight="1" spans="2:2">
      <c r="B29202" s="62" t="str">
        <f>IF(AND('领用录入（明细）'!D:D=$F$4,'领用录入（明细）'!C:C&gt;=$J$4,'领用录入（明细）'!C:C&lt;=$L$4),ROW(),"-")</f>
        <v>-</v>
      </c>
    </row>
    <row r="29203" customHeight="1" spans="2:2">
      <c r="B29203" s="62" t="str">
        <f>IF(AND('领用录入（明细）'!D:D=$F$4,'领用录入（明细）'!C:C&gt;=$J$4,'领用录入（明细）'!C:C&lt;=$L$4),ROW(),"-")</f>
        <v>-</v>
      </c>
    </row>
    <row r="29204" customHeight="1" spans="2:2">
      <c r="B29204" s="62" t="str">
        <f>IF(AND('领用录入（明细）'!D:D=$F$4,'领用录入（明细）'!C:C&gt;=$J$4,'领用录入（明细）'!C:C&lt;=$L$4),ROW(),"-")</f>
        <v>-</v>
      </c>
    </row>
    <row r="29205" customHeight="1" spans="2:2">
      <c r="B29205" s="62" t="str">
        <f>IF(AND('领用录入（明细）'!D:D=$F$4,'领用录入（明细）'!C:C&gt;=$J$4,'领用录入（明细）'!C:C&lt;=$L$4),ROW(),"-")</f>
        <v>-</v>
      </c>
    </row>
    <row r="29206" customHeight="1" spans="2:2">
      <c r="B29206" s="62" t="str">
        <f>IF(AND('领用录入（明细）'!D:D=$F$4,'领用录入（明细）'!C:C&gt;=$J$4,'领用录入（明细）'!C:C&lt;=$L$4),ROW(),"-")</f>
        <v>-</v>
      </c>
    </row>
    <row r="29207" customHeight="1" spans="2:2">
      <c r="B29207" s="62" t="str">
        <f>IF(AND('领用录入（明细）'!D:D=$F$4,'领用录入（明细）'!C:C&gt;=$J$4,'领用录入（明细）'!C:C&lt;=$L$4),ROW(),"-")</f>
        <v>-</v>
      </c>
    </row>
    <row r="29208" customHeight="1" spans="2:2">
      <c r="B29208" s="62" t="str">
        <f>IF(AND('领用录入（明细）'!D:D=$F$4,'领用录入（明细）'!C:C&gt;=$J$4,'领用录入（明细）'!C:C&lt;=$L$4),ROW(),"-")</f>
        <v>-</v>
      </c>
    </row>
    <row r="29209" customHeight="1" spans="2:2">
      <c r="B29209" s="62" t="str">
        <f>IF(AND('领用录入（明细）'!D:D=$F$4,'领用录入（明细）'!C:C&gt;=$J$4,'领用录入（明细）'!C:C&lt;=$L$4),ROW(),"-")</f>
        <v>-</v>
      </c>
    </row>
    <row r="29210" customHeight="1" spans="2:2">
      <c r="B29210" s="62" t="str">
        <f>IF(AND('领用录入（明细）'!D:D=$F$4,'领用录入（明细）'!C:C&gt;=$J$4,'领用录入（明细）'!C:C&lt;=$L$4),ROW(),"-")</f>
        <v>-</v>
      </c>
    </row>
    <row r="29211" customHeight="1" spans="2:2">
      <c r="B29211" s="62" t="str">
        <f>IF(AND('领用录入（明细）'!D:D=$F$4,'领用录入（明细）'!C:C&gt;=$J$4,'领用录入（明细）'!C:C&lt;=$L$4),ROW(),"-")</f>
        <v>-</v>
      </c>
    </row>
    <row r="29212" customHeight="1" spans="2:2">
      <c r="B29212" s="62" t="str">
        <f>IF(AND('领用录入（明细）'!D:D=$F$4,'领用录入（明细）'!C:C&gt;=$J$4,'领用录入（明细）'!C:C&lt;=$L$4),ROW(),"-")</f>
        <v>-</v>
      </c>
    </row>
    <row r="29213" customHeight="1" spans="2:2">
      <c r="B29213" s="62" t="str">
        <f>IF(AND('领用录入（明细）'!D:D=$F$4,'领用录入（明细）'!C:C&gt;=$J$4,'领用录入（明细）'!C:C&lt;=$L$4),ROW(),"-")</f>
        <v>-</v>
      </c>
    </row>
    <row r="29214" customHeight="1" spans="2:2">
      <c r="B29214" s="62" t="str">
        <f>IF(AND('领用录入（明细）'!D:D=$F$4,'领用录入（明细）'!C:C&gt;=$J$4,'领用录入（明细）'!C:C&lt;=$L$4),ROW(),"-")</f>
        <v>-</v>
      </c>
    </row>
    <row r="29215" customHeight="1" spans="2:2">
      <c r="B29215" s="62" t="str">
        <f>IF(AND('领用录入（明细）'!D:D=$F$4,'领用录入（明细）'!C:C&gt;=$J$4,'领用录入（明细）'!C:C&lt;=$L$4),ROW(),"-")</f>
        <v>-</v>
      </c>
    </row>
    <row r="29216" customHeight="1" spans="2:2">
      <c r="B29216" s="62" t="str">
        <f>IF(AND('领用录入（明细）'!D:D=$F$4,'领用录入（明细）'!C:C&gt;=$J$4,'领用录入（明细）'!C:C&lt;=$L$4),ROW(),"-")</f>
        <v>-</v>
      </c>
    </row>
    <row r="29217" customHeight="1" spans="2:2">
      <c r="B29217" s="62" t="str">
        <f>IF(AND('领用录入（明细）'!D:D=$F$4,'领用录入（明细）'!C:C&gt;=$J$4,'领用录入（明细）'!C:C&lt;=$L$4),ROW(),"-")</f>
        <v>-</v>
      </c>
    </row>
    <row r="29218" customHeight="1" spans="2:2">
      <c r="B29218" s="62" t="str">
        <f>IF(AND('领用录入（明细）'!D:D=$F$4,'领用录入（明细）'!C:C&gt;=$J$4,'领用录入（明细）'!C:C&lt;=$L$4),ROW(),"-")</f>
        <v>-</v>
      </c>
    </row>
    <row r="29219" customHeight="1" spans="2:2">
      <c r="B29219" s="62" t="str">
        <f>IF(AND('领用录入（明细）'!D:D=$F$4,'领用录入（明细）'!C:C&gt;=$J$4,'领用录入（明细）'!C:C&lt;=$L$4),ROW(),"-")</f>
        <v>-</v>
      </c>
    </row>
    <row r="29220" customHeight="1" spans="2:2">
      <c r="B29220" s="62" t="str">
        <f>IF(AND('领用录入（明细）'!D:D=$F$4,'领用录入（明细）'!C:C&gt;=$J$4,'领用录入（明细）'!C:C&lt;=$L$4),ROW(),"-")</f>
        <v>-</v>
      </c>
    </row>
    <row r="29221" customHeight="1" spans="2:2">
      <c r="B29221" s="62" t="str">
        <f>IF(AND('领用录入（明细）'!D:D=$F$4,'领用录入（明细）'!C:C&gt;=$J$4,'领用录入（明细）'!C:C&lt;=$L$4),ROW(),"-")</f>
        <v>-</v>
      </c>
    </row>
    <row r="29222" customHeight="1" spans="2:2">
      <c r="B29222" s="62" t="str">
        <f>IF(AND('领用录入（明细）'!D:D=$F$4,'领用录入（明细）'!C:C&gt;=$J$4,'领用录入（明细）'!C:C&lt;=$L$4),ROW(),"-")</f>
        <v>-</v>
      </c>
    </row>
    <row r="29223" customHeight="1" spans="2:2">
      <c r="B29223" s="62" t="str">
        <f>IF(AND('领用录入（明细）'!D:D=$F$4,'领用录入（明细）'!C:C&gt;=$J$4,'领用录入（明细）'!C:C&lt;=$L$4),ROW(),"-")</f>
        <v>-</v>
      </c>
    </row>
    <row r="29224" customHeight="1" spans="2:2">
      <c r="B29224" s="62" t="str">
        <f>IF(AND('领用录入（明细）'!D:D=$F$4,'领用录入（明细）'!C:C&gt;=$J$4,'领用录入（明细）'!C:C&lt;=$L$4),ROW(),"-")</f>
        <v>-</v>
      </c>
    </row>
    <row r="29225" customHeight="1" spans="2:2">
      <c r="B29225" s="62" t="str">
        <f>IF(AND('领用录入（明细）'!D:D=$F$4,'领用录入（明细）'!C:C&gt;=$J$4,'领用录入（明细）'!C:C&lt;=$L$4),ROW(),"-")</f>
        <v>-</v>
      </c>
    </row>
    <row r="29226" customHeight="1" spans="2:2">
      <c r="B29226" s="62" t="str">
        <f>IF(AND('领用录入（明细）'!D:D=$F$4,'领用录入（明细）'!C:C&gt;=$J$4,'领用录入（明细）'!C:C&lt;=$L$4),ROW(),"-")</f>
        <v>-</v>
      </c>
    </row>
    <row r="29227" customHeight="1" spans="2:2">
      <c r="B29227" s="62" t="str">
        <f>IF(AND('领用录入（明细）'!D:D=$F$4,'领用录入（明细）'!C:C&gt;=$J$4,'领用录入（明细）'!C:C&lt;=$L$4),ROW(),"-")</f>
        <v>-</v>
      </c>
    </row>
    <row r="29228" customHeight="1" spans="2:2">
      <c r="B29228" s="62" t="str">
        <f>IF(AND('领用录入（明细）'!D:D=$F$4,'领用录入（明细）'!C:C&gt;=$J$4,'领用录入（明细）'!C:C&lt;=$L$4),ROW(),"-")</f>
        <v>-</v>
      </c>
    </row>
    <row r="29229" customHeight="1" spans="2:2">
      <c r="B29229" s="62" t="str">
        <f>IF(AND('领用录入（明细）'!D:D=$F$4,'领用录入（明细）'!C:C&gt;=$J$4,'领用录入（明细）'!C:C&lt;=$L$4),ROW(),"-")</f>
        <v>-</v>
      </c>
    </row>
    <row r="29230" customHeight="1" spans="2:2">
      <c r="B29230" s="62" t="str">
        <f>IF(AND('领用录入（明细）'!D:D=$F$4,'领用录入（明细）'!C:C&gt;=$J$4,'领用录入（明细）'!C:C&lt;=$L$4),ROW(),"-")</f>
        <v>-</v>
      </c>
    </row>
    <row r="29231" customHeight="1" spans="2:2">
      <c r="B29231" s="62" t="str">
        <f>IF(AND('领用录入（明细）'!D:D=$F$4,'领用录入（明细）'!C:C&gt;=$J$4,'领用录入（明细）'!C:C&lt;=$L$4),ROW(),"-")</f>
        <v>-</v>
      </c>
    </row>
    <row r="29232" customHeight="1" spans="2:2">
      <c r="B29232" s="62" t="str">
        <f>IF(AND('领用录入（明细）'!D:D=$F$4,'领用录入（明细）'!C:C&gt;=$J$4,'领用录入（明细）'!C:C&lt;=$L$4),ROW(),"-")</f>
        <v>-</v>
      </c>
    </row>
    <row r="29233" customHeight="1" spans="2:2">
      <c r="B29233" s="62" t="str">
        <f>IF(AND('领用录入（明细）'!D:D=$F$4,'领用录入（明细）'!C:C&gt;=$J$4,'领用录入（明细）'!C:C&lt;=$L$4),ROW(),"-")</f>
        <v>-</v>
      </c>
    </row>
    <row r="29234" customHeight="1" spans="2:2">
      <c r="B29234" s="62" t="str">
        <f>IF(AND('领用录入（明细）'!D:D=$F$4,'领用录入（明细）'!C:C&gt;=$J$4,'领用录入（明细）'!C:C&lt;=$L$4),ROW(),"-")</f>
        <v>-</v>
      </c>
    </row>
    <row r="29235" customHeight="1" spans="2:2">
      <c r="B29235" s="62" t="str">
        <f>IF(AND('领用录入（明细）'!D:D=$F$4,'领用录入（明细）'!C:C&gt;=$J$4,'领用录入（明细）'!C:C&lt;=$L$4),ROW(),"-")</f>
        <v>-</v>
      </c>
    </row>
    <row r="29236" customHeight="1" spans="2:2">
      <c r="B29236" s="62" t="str">
        <f>IF(AND('领用录入（明细）'!D:D=$F$4,'领用录入（明细）'!C:C&gt;=$J$4,'领用录入（明细）'!C:C&lt;=$L$4),ROW(),"-")</f>
        <v>-</v>
      </c>
    </row>
    <row r="29237" customHeight="1" spans="2:2">
      <c r="B29237" s="62" t="str">
        <f>IF(AND('领用录入（明细）'!D:D=$F$4,'领用录入（明细）'!C:C&gt;=$J$4,'领用录入（明细）'!C:C&lt;=$L$4),ROW(),"-")</f>
        <v>-</v>
      </c>
    </row>
    <row r="29238" customHeight="1" spans="2:2">
      <c r="B29238" s="62" t="str">
        <f>IF(AND('领用录入（明细）'!D:D=$F$4,'领用录入（明细）'!C:C&gt;=$J$4,'领用录入（明细）'!C:C&lt;=$L$4),ROW(),"-")</f>
        <v>-</v>
      </c>
    </row>
    <row r="29239" customHeight="1" spans="2:2">
      <c r="B29239" s="62" t="str">
        <f>IF(AND('领用录入（明细）'!D:D=$F$4,'领用录入（明细）'!C:C&gt;=$J$4,'领用录入（明细）'!C:C&lt;=$L$4),ROW(),"-")</f>
        <v>-</v>
      </c>
    </row>
    <row r="29240" customHeight="1" spans="2:2">
      <c r="B29240" s="62" t="str">
        <f>IF(AND('领用录入（明细）'!D:D=$F$4,'领用录入（明细）'!C:C&gt;=$J$4,'领用录入（明细）'!C:C&lt;=$L$4),ROW(),"-")</f>
        <v>-</v>
      </c>
    </row>
    <row r="29241" customHeight="1" spans="2:2">
      <c r="B29241" s="62" t="str">
        <f>IF(AND('领用录入（明细）'!D:D=$F$4,'领用录入（明细）'!C:C&gt;=$J$4,'领用录入（明细）'!C:C&lt;=$L$4),ROW(),"-")</f>
        <v>-</v>
      </c>
    </row>
    <row r="29242" customHeight="1" spans="2:2">
      <c r="B29242" s="62" t="str">
        <f>IF(AND('领用录入（明细）'!D:D=$F$4,'领用录入（明细）'!C:C&gt;=$J$4,'领用录入（明细）'!C:C&lt;=$L$4),ROW(),"-")</f>
        <v>-</v>
      </c>
    </row>
    <row r="29243" customHeight="1" spans="2:2">
      <c r="B29243" s="62" t="str">
        <f>IF(AND('领用录入（明细）'!D:D=$F$4,'领用录入（明细）'!C:C&gt;=$J$4,'领用录入（明细）'!C:C&lt;=$L$4),ROW(),"-")</f>
        <v>-</v>
      </c>
    </row>
    <row r="29244" customHeight="1" spans="2:2">
      <c r="B29244" s="62" t="str">
        <f>IF(AND('领用录入（明细）'!D:D=$F$4,'领用录入（明细）'!C:C&gt;=$J$4,'领用录入（明细）'!C:C&lt;=$L$4),ROW(),"-")</f>
        <v>-</v>
      </c>
    </row>
    <row r="29245" customHeight="1" spans="2:2">
      <c r="B29245" s="62" t="str">
        <f>IF(AND('领用录入（明细）'!D:D=$F$4,'领用录入（明细）'!C:C&gt;=$J$4,'领用录入（明细）'!C:C&lt;=$L$4),ROW(),"-")</f>
        <v>-</v>
      </c>
    </row>
    <row r="29246" customHeight="1" spans="2:2">
      <c r="B29246" s="62" t="str">
        <f>IF(AND('领用录入（明细）'!D:D=$F$4,'领用录入（明细）'!C:C&gt;=$J$4,'领用录入（明细）'!C:C&lt;=$L$4),ROW(),"-")</f>
        <v>-</v>
      </c>
    </row>
    <row r="29247" customHeight="1" spans="2:2">
      <c r="B29247" s="62" t="str">
        <f>IF(AND('领用录入（明细）'!D:D=$F$4,'领用录入（明细）'!C:C&gt;=$J$4,'领用录入（明细）'!C:C&lt;=$L$4),ROW(),"-")</f>
        <v>-</v>
      </c>
    </row>
    <row r="29248" customHeight="1" spans="2:2">
      <c r="B29248" s="62" t="str">
        <f>IF(AND('领用录入（明细）'!D:D=$F$4,'领用录入（明细）'!C:C&gt;=$J$4,'领用录入（明细）'!C:C&lt;=$L$4),ROW(),"-")</f>
        <v>-</v>
      </c>
    </row>
    <row r="29249" customHeight="1" spans="2:2">
      <c r="B29249" s="62" t="str">
        <f>IF(AND('领用录入（明细）'!D:D=$F$4,'领用录入（明细）'!C:C&gt;=$J$4,'领用录入（明细）'!C:C&lt;=$L$4),ROW(),"-")</f>
        <v>-</v>
      </c>
    </row>
    <row r="29250" customHeight="1" spans="2:2">
      <c r="B29250" s="62" t="str">
        <f>IF(AND('领用录入（明细）'!D:D=$F$4,'领用录入（明细）'!C:C&gt;=$J$4,'领用录入（明细）'!C:C&lt;=$L$4),ROW(),"-")</f>
        <v>-</v>
      </c>
    </row>
    <row r="29251" customHeight="1" spans="2:2">
      <c r="B29251" s="62" t="str">
        <f>IF(AND('领用录入（明细）'!D:D=$F$4,'领用录入（明细）'!C:C&gt;=$J$4,'领用录入（明细）'!C:C&lt;=$L$4),ROW(),"-")</f>
        <v>-</v>
      </c>
    </row>
    <row r="29252" customHeight="1" spans="2:2">
      <c r="B29252" s="62" t="str">
        <f>IF(AND('领用录入（明细）'!D:D=$F$4,'领用录入（明细）'!C:C&gt;=$J$4,'领用录入（明细）'!C:C&lt;=$L$4),ROW(),"-")</f>
        <v>-</v>
      </c>
    </row>
    <row r="29253" customHeight="1" spans="2:2">
      <c r="B29253" s="62" t="str">
        <f>IF(AND('领用录入（明细）'!D:D=$F$4,'领用录入（明细）'!C:C&gt;=$J$4,'领用录入（明细）'!C:C&lt;=$L$4),ROW(),"-")</f>
        <v>-</v>
      </c>
    </row>
    <row r="29254" customHeight="1" spans="2:2">
      <c r="B29254" s="62" t="str">
        <f>IF(AND('领用录入（明细）'!D:D=$F$4,'领用录入（明细）'!C:C&gt;=$J$4,'领用录入（明细）'!C:C&lt;=$L$4),ROW(),"-")</f>
        <v>-</v>
      </c>
    </row>
    <row r="29255" customHeight="1" spans="2:2">
      <c r="B29255" s="62" t="str">
        <f>IF(AND('领用录入（明细）'!D:D=$F$4,'领用录入（明细）'!C:C&gt;=$J$4,'领用录入（明细）'!C:C&lt;=$L$4),ROW(),"-")</f>
        <v>-</v>
      </c>
    </row>
    <row r="29256" customHeight="1" spans="2:2">
      <c r="B29256" s="62" t="str">
        <f>IF(AND('领用录入（明细）'!D:D=$F$4,'领用录入（明细）'!C:C&gt;=$J$4,'领用录入（明细）'!C:C&lt;=$L$4),ROW(),"-")</f>
        <v>-</v>
      </c>
    </row>
    <row r="29257" customHeight="1" spans="2:2">
      <c r="B29257" s="62" t="str">
        <f>IF(AND('领用录入（明细）'!D:D=$F$4,'领用录入（明细）'!C:C&gt;=$J$4,'领用录入（明细）'!C:C&lt;=$L$4),ROW(),"-")</f>
        <v>-</v>
      </c>
    </row>
    <row r="29258" customHeight="1" spans="2:2">
      <c r="B29258" s="62" t="str">
        <f>IF(AND('领用录入（明细）'!D:D=$F$4,'领用录入（明细）'!C:C&gt;=$J$4,'领用录入（明细）'!C:C&lt;=$L$4),ROW(),"-")</f>
        <v>-</v>
      </c>
    </row>
    <row r="29259" customHeight="1" spans="2:2">
      <c r="B29259" s="62" t="str">
        <f>IF(AND('领用录入（明细）'!D:D=$F$4,'领用录入（明细）'!C:C&gt;=$J$4,'领用录入（明细）'!C:C&lt;=$L$4),ROW(),"-")</f>
        <v>-</v>
      </c>
    </row>
    <row r="29260" customHeight="1" spans="2:2">
      <c r="B29260" s="62" t="str">
        <f>IF(AND('领用录入（明细）'!D:D=$F$4,'领用录入（明细）'!C:C&gt;=$J$4,'领用录入（明细）'!C:C&lt;=$L$4),ROW(),"-")</f>
        <v>-</v>
      </c>
    </row>
    <row r="29261" customHeight="1" spans="2:2">
      <c r="B29261" s="62" t="str">
        <f>IF(AND('领用录入（明细）'!D:D=$F$4,'领用录入（明细）'!C:C&gt;=$J$4,'领用录入（明细）'!C:C&lt;=$L$4),ROW(),"-")</f>
        <v>-</v>
      </c>
    </row>
    <row r="29262" customHeight="1" spans="2:2">
      <c r="B29262" s="62" t="str">
        <f>IF(AND('领用录入（明细）'!D:D=$F$4,'领用录入（明细）'!C:C&gt;=$J$4,'领用录入（明细）'!C:C&lt;=$L$4),ROW(),"-")</f>
        <v>-</v>
      </c>
    </row>
    <row r="29263" customHeight="1" spans="2:2">
      <c r="B29263" s="62" t="str">
        <f>IF(AND('领用录入（明细）'!D:D=$F$4,'领用录入（明细）'!C:C&gt;=$J$4,'领用录入（明细）'!C:C&lt;=$L$4),ROW(),"-")</f>
        <v>-</v>
      </c>
    </row>
    <row r="29264" customHeight="1" spans="2:2">
      <c r="B29264" s="62" t="str">
        <f>IF(AND('领用录入（明细）'!D:D=$F$4,'领用录入（明细）'!C:C&gt;=$J$4,'领用录入（明细）'!C:C&lt;=$L$4),ROW(),"-")</f>
        <v>-</v>
      </c>
    </row>
    <row r="29265" customHeight="1" spans="2:2">
      <c r="B29265" s="62" t="str">
        <f>IF(AND('领用录入（明细）'!D:D=$F$4,'领用录入（明细）'!C:C&gt;=$J$4,'领用录入（明细）'!C:C&lt;=$L$4),ROW(),"-")</f>
        <v>-</v>
      </c>
    </row>
    <row r="29266" customHeight="1" spans="2:2">
      <c r="B29266" s="62" t="str">
        <f>IF(AND('领用录入（明细）'!D:D=$F$4,'领用录入（明细）'!C:C&gt;=$J$4,'领用录入（明细）'!C:C&lt;=$L$4),ROW(),"-")</f>
        <v>-</v>
      </c>
    </row>
    <row r="29267" customHeight="1" spans="2:2">
      <c r="B29267" s="62" t="str">
        <f>IF(AND('领用录入（明细）'!D:D=$F$4,'领用录入（明细）'!C:C&gt;=$J$4,'领用录入（明细）'!C:C&lt;=$L$4),ROW(),"-")</f>
        <v>-</v>
      </c>
    </row>
    <row r="29268" customHeight="1" spans="2:2">
      <c r="B29268" s="62" t="str">
        <f>IF(AND('领用录入（明细）'!D:D=$F$4,'领用录入（明细）'!C:C&gt;=$J$4,'领用录入（明细）'!C:C&lt;=$L$4),ROW(),"-")</f>
        <v>-</v>
      </c>
    </row>
    <row r="29269" customHeight="1" spans="2:2">
      <c r="B29269" s="62" t="str">
        <f>IF(AND('领用录入（明细）'!D:D=$F$4,'领用录入（明细）'!C:C&gt;=$J$4,'领用录入（明细）'!C:C&lt;=$L$4),ROW(),"-")</f>
        <v>-</v>
      </c>
    </row>
    <row r="29270" customHeight="1" spans="2:2">
      <c r="B29270" s="62" t="str">
        <f>IF(AND('领用录入（明细）'!D:D=$F$4,'领用录入（明细）'!C:C&gt;=$J$4,'领用录入（明细）'!C:C&lt;=$L$4),ROW(),"-")</f>
        <v>-</v>
      </c>
    </row>
    <row r="29271" customHeight="1" spans="2:2">
      <c r="B29271" s="62" t="str">
        <f>IF(AND('领用录入（明细）'!D:D=$F$4,'领用录入（明细）'!C:C&gt;=$J$4,'领用录入（明细）'!C:C&lt;=$L$4),ROW(),"-")</f>
        <v>-</v>
      </c>
    </row>
    <row r="29272" customHeight="1" spans="2:2">
      <c r="B29272" s="62" t="str">
        <f>IF(AND('领用录入（明细）'!D:D=$F$4,'领用录入（明细）'!C:C&gt;=$J$4,'领用录入（明细）'!C:C&lt;=$L$4),ROW(),"-")</f>
        <v>-</v>
      </c>
    </row>
    <row r="29273" customHeight="1" spans="2:2">
      <c r="B29273" s="62" t="str">
        <f>IF(AND('领用录入（明细）'!D:D=$F$4,'领用录入（明细）'!C:C&gt;=$J$4,'领用录入（明细）'!C:C&lt;=$L$4),ROW(),"-")</f>
        <v>-</v>
      </c>
    </row>
    <row r="29274" customHeight="1" spans="2:2">
      <c r="B29274" s="62" t="str">
        <f>IF(AND('领用录入（明细）'!D:D=$F$4,'领用录入（明细）'!C:C&gt;=$J$4,'领用录入（明细）'!C:C&lt;=$L$4),ROW(),"-")</f>
        <v>-</v>
      </c>
    </row>
    <row r="29275" customHeight="1" spans="2:2">
      <c r="B29275" s="62" t="str">
        <f>IF(AND('领用录入（明细）'!D:D=$F$4,'领用录入（明细）'!C:C&gt;=$J$4,'领用录入（明细）'!C:C&lt;=$L$4),ROW(),"-")</f>
        <v>-</v>
      </c>
    </row>
    <row r="29276" customHeight="1" spans="2:2">
      <c r="B29276" s="62" t="str">
        <f>IF(AND('领用录入（明细）'!D:D=$F$4,'领用录入（明细）'!C:C&gt;=$J$4,'领用录入（明细）'!C:C&lt;=$L$4),ROW(),"-")</f>
        <v>-</v>
      </c>
    </row>
    <row r="29277" customHeight="1" spans="2:2">
      <c r="B29277" s="62" t="str">
        <f>IF(AND('领用录入（明细）'!D:D=$F$4,'领用录入（明细）'!C:C&gt;=$J$4,'领用录入（明细）'!C:C&lt;=$L$4),ROW(),"-")</f>
        <v>-</v>
      </c>
    </row>
    <row r="29278" customHeight="1" spans="2:2">
      <c r="B29278" s="62" t="str">
        <f>IF(AND('领用录入（明细）'!D:D=$F$4,'领用录入（明细）'!C:C&gt;=$J$4,'领用录入（明细）'!C:C&lt;=$L$4),ROW(),"-")</f>
        <v>-</v>
      </c>
    </row>
    <row r="29279" customHeight="1" spans="2:2">
      <c r="B29279" s="62" t="str">
        <f>IF(AND('领用录入（明细）'!D:D=$F$4,'领用录入（明细）'!C:C&gt;=$J$4,'领用录入（明细）'!C:C&lt;=$L$4),ROW(),"-")</f>
        <v>-</v>
      </c>
    </row>
    <row r="29280" customHeight="1" spans="2:2">
      <c r="B29280" s="62" t="str">
        <f>IF(AND('领用录入（明细）'!D:D=$F$4,'领用录入（明细）'!C:C&gt;=$J$4,'领用录入（明细）'!C:C&lt;=$L$4),ROW(),"-")</f>
        <v>-</v>
      </c>
    </row>
    <row r="29281" customHeight="1" spans="2:2">
      <c r="B29281" s="62" t="str">
        <f>IF(AND('领用录入（明细）'!D:D=$F$4,'领用录入（明细）'!C:C&gt;=$J$4,'领用录入（明细）'!C:C&lt;=$L$4),ROW(),"-")</f>
        <v>-</v>
      </c>
    </row>
    <row r="29282" customHeight="1" spans="2:2">
      <c r="B29282" s="62" t="str">
        <f>IF(AND('领用录入（明细）'!D:D=$F$4,'领用录入（明细）'!C:C&gt;=$J$4,'领用录入（明细）'!C:C&lt;=$L$4),ROW(),"-")</f>
        <v>-</v>
      </c>
    </row>
    <row r="29283" customHeight="1" spans="2:2">
      <c r="B29283" s="62" t="str">
        <f>IF(AND('领用录入（明细）'!D:D=$F$4,'领用录入（明细）'!C:C&gt;=$J$4,'领用录入（明细）'!C:C&lt;=$L$4),ROW(),"-")</f>
        <v>-</v>
      </c>
    </row>
    <row r="29284" customHeight="1" spans="2:2">
      <c r="B29284" s="62" t="str">
        <f>IF(AND('领用录入（明细）'!D:D=$F$4,'领用录入（明细）'!C:C&gt;=$J$4,'领用录入（明细）'!C:C&lt;=$L$4),ROW(),"-")</f>
        <v>-</v>
      </c>
    </row>
    <row r="29285" customHeight="1" spans="2:2">
      <c r="B29285" s="62" t="str">
        <f>IF(AND('领用录入（明细）'!D:D=$F$4,'领用录入（明细）'!C:C&gt;=$J$4,'领用录入（明细）'!C:C&lt;=$L$4),ROW(),"-")</f>
        <v>-</v>
      </c>
    </row>
    <row r="29286" customHeight="1" spans="2:2">
      <c r="B29286" s="62" t="str">
        <f>IF(AND('领用录入（明细）'!D:D=$F$4,'领用录入（明细）'!C:C&gt;=$J$4,'领用录入（明细）'!C:C&lt;=$L$4),ROW(),"-")</f>
        <v>-</v>
      </c>
    </row>
    <row r="29287" customHeight="1" spans="2:2">
      <c r="B29287" s="62" t="str">
        <f>IF(AND('领用录入（明细）'!D:D=$F$4,'领用录入（明细）'!C:C&gt;=$J$4,'领用录入（明细）'!C:C&lt;=$L$4),ROW(),"-")</f>
        <v>-</v>
      </c>
    </row>
    <row r="29288" customHeight="1" spans="2:2">
      <c r="B29288" s="62" t="str">
        <f>IF(AND('领用录入（明细）'!D:D=$F$4,'领用录入（明细）'!C:C&gt;=$J$4,'领用录入（明细）'!C:C&lt;=$L$4),ROW(),"-")</f>
        <v>-</v>
      </c>
    </row>
    <row r="29289" customHeight="1" spans="2:2">
      <c r="B29289" s="62" t="str">
        <f>IF(AND('领用录入（明细）'!D:D=$F$4,'领用录入（明细）'!C:C&gt;=$J$4,'领用录入（明细）'!C:C&lt;=$L$4),ROW(),"-")</f>
        <v>-</v>
      </c>
    </row>
    <row r="29290" customHeight="1" spans="2:2">
      <c r="B29290" s="62" t="str">
        <f>IF(AND('领用录入（明细）'!D:D=$F$4,'领用录入（明细）'!C:C&gt;=$J$4,'领用录入（明细）'!C:C&lt;=$L$4),ROW(),"-")</f>
        <v>-</v>
      </c>
    </row>
    <row r="29291" customHeight="1" spans="2:2">
      <c r="B29291" s="62" t="str">
        <f>IF(AND('领用录入（明细）'!D:D=$F$4,'领用录入（明细）'!C:C&gt;=$J$4,'领用录入（明细）'!C:C&lt;=$L$4),ROW(),"-")</f>
        <v>-</v>
      </c>
    </row>
    <row r="29292" customHeight="1" spans="2:2">
      <c r="B29292" s="62" t="str">
        <f>IF(AND('领用录入（明细）'!D:D=$F$4,'领用录入（明细）'!C:C&gt;=$J$4,'领用录入（明细）'!C:C&lt;=$L$4),ROW(),"-")</f>
        <v>-</v>
      </c>
    </row>
    <row r="29293" customHeight="1" spans="2:2">
      <c r="B29293" s="62" t="str">
        <f>IF(AND('领用录入（明细）'!D:D=$F$4,'领用录入（明细）'!C:C&gt;=$J$4,'领用录入（明细）'!C:C&lt;=$L$4),ROW(),"-")</f>
        <v>-</v>
      </c>
    </row>
    <row r="29294" customHeight="1" spans="2:2">
      <c r="B29294" s="62" t="str">
        <f>IF(AND('领用录入（明细）'!D:D=$F$4,'领用录入（明细）'!C:C&gt;=$J$4,'领用录入（明细）'!C:C&lt;=$L$4),ROW(),"-")</f>
        <v>-</v>
      </c>
    </row>
    <row r="29295" customHeight="1" spans="2:2">
      <c r="B29295" s="62" t="str">
        <f>IF(AND('领用录入（明细）'!D:D=$F$4,'领用录入（明细）'!C:C&gt;=$J$4,'领用录入（明细）'!C:C&lt;=$L$4),ROW(),"-")</f>
        <v>-</v>
      </c>
    </row>
    <row r="29296" customHeight="1" spans="2:2">
      <c r="B29296" s="62" t="str">
        <f>IF(AND('领用录入（明细）'!D:D=$F$4,'领用录入（明细）'!C:C&gt;=$J$4,'领用录入（明细）'!C:C&lt;=$L$4),ROW(),"-")</f>
        <v>-</v>
      </c>
    </row>
    <row r="29297" customHeight="1" spans="2:2">
      <c r="B29297" s="62" t="str">
        <f>IF(AND('领用录入（明细）'!D:D=$F$4,'领用录入（明细）'!C:C&gt;=$J$4,'领用录入（明细）'!C:C&lt;=$L$4),ROW(),"-")</f>
        <v>-</v>
      </c>
    </row>
    <row r="29298" customHeight="1" spans="2:2">
      <c r="B29298" s="62" t="str">
        <f>IF(AND('领用录入（明细）'!D:D=$F$4,'领用录入（明细）'!C:C&gt;=$J$4,'领用录入（明细）'!C:C&lt;=$L$4),ROW(),"-")</f>
        <v>-</v>
      </c>
    </row>
    <row r="29299" customHeight="1" spans="2:2">
      <c r="B29299" s="62" t="str">
        <f>IF(AND('领用录入（明细）'!D:D=$F$4,'领用录入（明细）'!C:C&gt;=$J$4,'领用录入（明细）'!C:C&lt;=$L$4),ROW(),"-")</f>
        <v>-</v>
      </c>
    </row>
    <row r="29300" customHeight="1" spans="2:2">
      <c r="B29300" s="62" t="str">
        <f>IF(AND('领用录入（明细）'!D:D=$F$4,'领用录入（明细）'!C:C&gt;=$J$4,'领用录入（明细）'!C:C&lt;=$L$4),ROW(),"-")</f>
        <v>-</v>
      </c>
    </row>
    <row r="29301" customHeight="1" spans="2:2">
      <c r="B29301" s="62" t="str">
        <f>IF(AND('领用录入（明细）'!D:D=$F$4,'领用录入（明细）'!C:C&gt;=$J$4,'领用录入（明细）'!C:C&lt;=$L$4),ROW(),"-")</f>
        <v>-</v>
      </c>
    </row>
    <row r="29302" customHeight="1" spans="2:2">
      <c r="B29302" s="62" t="str">
        <f>IF(AND('领用录入（明细）'!D:D=$F$4,'领用录入（明细）'!C:C&gt;=$J$4,'领用录入（明细）'!C:C&lt;=$L$4),ROW(),"-")</f>
        <v>-</v>
      </c>
    </row>
    <row r="29303" customHeight="1" spans="2:2">
      <c r="B29303" s="62" t="str">
        <f>IF(AND('领用录入（明细）'!D:D=$F$4,'领用录入（明细）'!C:C&gt;=$J$4,'领用录入（明细）'!C:C&lt;=$L$4),ROW(),"-")</f>
        <v>-</v>
      </c>
    </row>
    <row r="29304" customHeight="1" spans="2:2">
      <c r="B29304" s="62" t="str">
        <f>IF(AND('领用录入（明细）'!D:D=$F$4,'领用录入（明细）'!C:C&gt;=$J$4,'领用录入（明细）'!C:C&lt;=$L$4),ROW(),"-")</f>
        <v>-</v>
      </c>
    </row>
    <row r="29305" customHeight="1" spans="2:2">
      <c r="B29305" s="62" t="str">
        <f>IF(AND('领用录入（明细）'!D:D=$F$4,'领用录入（明细）'!C:C&gt;=$J$4,'领用录入（明细）'!C:C&lt;=$L$4),ROW(),"-")</f>
        <v>-</v>
      </c>
    </row>
    <row r="29306" customHeight="1" spans="2:2">
      <c r="B29306" s="62" t="str">
        <f>IF(AND('领用录入（明细）'!D:D=$F$4,'领用录入（明细）'!C:C&gt;=$J$4,'领用录入（明细）'!C:C&lt;=$L$4),ROW(),"-")</f>
        <v>-</v>
      </c>
    </row>
    <row r="29307" customHeight="1" spans="2:2">
      <c r="B29307" s="62" t="str">
        <f>IF(AND('领用录入（明细）'!D:D=$F$4,'领用录入（明细）'!C:C&gt;=$J$4,'领用录入（明细）'!C:C&lt;=$L$4),ROW(),"-")</f>
        <v>-</v>
      </c>
    </row>
    <row r="29308" customHeight="1" spans="2:2">
      <c r="B29308" s="62" t="str">
        <f>IF(AND('领用录入（明细）'!D:D=$F$4,'领用录入（明细）'!C:C&gt;=$J$4,'领用录入（明细）'!C:C&lt;=$L$4),ROW(),"-")</f>
        <v>-</v>
      </c>
    </row>
    <row r="29309" customHeight="1" spans="2:2">
      <c r="B29309" s="62" t="str">
        <f>IF(AND('领用录入（明细）'!D:D=$F$4,'领用录入（明细）'!C:C&gt;=$J$4,'领用录入（明细）'!C:C&lt;=$L$4),ROW(),"-")</f>
        <v>-</v>
      </c>
    </row>
    <row r="29310" customHeight="1" spans="2:2">
      <c r="B29310" s="62" t="str">
        <f>IF(AND('领用录入（明细）'!D:D=$F$4,'领用录入（明细）'!C:C&gt;=$J$4,'领用录入（明细）'!C:C&lt;=$L$4),ROW(),"-")</f>
        <v>-</v>
      </c>
    </row>
    <row r="29311" customHeight="1" spans="2:2">
      <c r="B29311" s="62" t="str">
        <f>IF(AND('领用录入（明细）'!D:D=$F$4,'领用录入（明细）'!C:C&gt;=$J$4,'领用录入（明细）'!C:C&lt;=$L$4),ROW(),"-")</f>
        <v>-</v>
      </c>
    </row>
    <row r="29312" customHeight="1" spans="2:2">
      <c r="B29312" s="62" t="str">
        <f>IF(AND('领用录入（明细）'!D:D=$F$4,'领用录入（明细）'!C:C&gt;=$J$4,'领用录入（明细）'!C:C&lt;=$L$4),ROW(),"-")</f>
        <v>-</v>
      </c>
    </row>
    <row r="29313" customHeight="1" spans="2:2">
      <c r="B29313" s="62" t="str">
        <f>IF(AND('领用录入（明细）'!D:D=$F$4,'领用录入（明细）'!C:C&gt;=$J$4,'领用录入（明细）'!C:C&lt;=$L$4),ROW(),"-")</f>
        <v>-</v>
      </c>
    </row>
    <row r="29314" customHeight="1" spans="2:2">
      <c r="B29314" s="62" t="str">
        <f>IF(AND('领用录入（明细）'!D:D=$F$4,'领用录入（明细）'!C:C&gt;=$J$4,'领用录入（明细）'!C:C&lt;=$L$4),ROW(),"-")</f>
        <v>-</v>
      </c>
    </row>
    <row r="29315" customHeight="1" spans="2:2">
      <c r="B29315" s="62" t="str">
        <f>IF(AND('领用录入（明细）'!D:D=$F$4,'领用录入（明细）'!C:C&gt;=$J$4,'领用录入（明细）'!C:C&lt;=$L$4),ROW(),"-")</f>
        <v>-</v>
      </c>
    </row>
    <row r="29316" customHeight="1" spans="2:2">
      <c r="B29316" s="62" t="str">
        <f>IF(AND('领用录入（明细）'!D:D=$F$4,'领用录入（明细）'!C:C&gt;=$J$4,'领用录入（明细）'!C:C&lt;=$L$4),ROW(),"-")</f>
        <v>-</v>
      </c>
    </row>
    <row r="29317" customHeight="1" spans="2:2">
      <c r="B29317" s="62" t="str">
        <f>IF(AND('领用录入（明细）'!D:D=$F$4,'领用录入（明细）'!C:C&gt;=$J$4,'领用录入（明细）'!C:C&lt;=$L$4),ROW(),"-")</f>
        <v>-</v>
      </c>
    </row>
    <row r="29318" customHeight="1" spans="2:2">
      <c r="B29318" s="62" t="str">
        <f>IF(AND('领用录入（明细）'!D:D=$F$4,'领用录入（明细）'!C:C&gt;=$J$4,'领用录入（明细）'!C:C&lt;=$L$4),ROW(),"-")</f>
        <v>-</v>
      </c>
    </row>
    <row r="29319" customHeight="1" spans="2:2">
      <c r="B29319" s="62" t="str">
        <f>IF(AND('领用录入（明细）'!D:D=$F$4,'领用录入（明细）'!C:C&gt;=$J$4,'领用录入（明细）'!C:C&lt;=$L$4),ROW(),"-")</f>
        <v>-</v>
      </c>
    </row>
    <row r="29320" customHeight="1" spans="2:2">
      <c r="B29320" s="62" t="str">
        <f>IF(AND('领用录入（明细）'!D:D=$F$4,'领用录入（明细）'!C:C&gt;=$J$4,'领用录入（明细）'!C:C&lt;=$L$4),ROW(),"-")</f>
        <v>-</v>
      </c>
    </row>
    <row r="29321" customHeight="1" spans="2:2">
      <c r="B29321" s="62" t="str">
        <f>IF(AND('领用录入（明细）'!D:D=$F$4,'领用录入（明细）'!C:C&gt;=$J$4,'领用录入（明细）'!C:C&lt;=$L$4),ROW(),"-")</f>
        <v>-</v>
      </c>
    </row>
    <row r="29322" customHeight="1" spans="2:2">
      <c r="B29322" s="62" t="str">
        <f>IF(AND('领用录入（明细）'!D:D=$F$4,'领用录入（明细）'!C:C&gt;=$J$4,'领用录入（明细）'!C:C&lt;=$L$4),ROW(),"-")</f>
        <v>-</v>
      </c>
    </row>
    <row r="29323" customHeight="1" spans="2:2">
      <c r="B29323" s="62" t="str">
        <f>IF(AND('领用录入（明细）'!D:D=$F$4,'领用录入（明细）'!C:C&gt;=$J$4,'领用录入（明细）'!C:C&lt;=$L$4),ROW(),"-")</f>
        <v>-</v>
      </c>
    </row>
    <row r="29324" customHeight="1" spans="2:2">
      <c r="B29324" s="62" t="str">
        <f>IF(AND('领用录入（明细）'!D:D=$F$4,'领用录入（明细）'!C:C&gt;=$J$4,'领用录入（明细）'!C:C&lt;=$L$4),ROW(),"-")</f>
        <v>-</v>
      </c>
    </row>
    <row r="29325" customHeight="1" spans="2:2">
      <c r="B29325" s="62" t="str">
        <f>IF(AND('领用录入（明细）'!D:D=$F$4,'领用录入（明细）'!C:C&gt;=$J$4,'领用录入（明细）'!C:C&lt;=$L$4),ROW(),"-")</f>
        <v>-</v>
      </c>
    </row>
    <row r="29326" customHeight="1" spans="2:2">
      <c r="B29326" s="62" t="str">
        <f>IF(AND('领用录入（明细）'!D:D=$F$4,'领用录入（明细）'!C:C&gt;=$J$4,'领用录入（明细）'!C:C&lt;=$L$4),ROW(),"-")</f>
        <v>-</v>
      </c>
    </row>
    <row r="29327" customHeight="1" spans="2:2">
      <c r="B29327" s="62" t="str">
        <f>IF(AND('领用录入（明细）'!D:D=$F$4,'领用录入（明细）'!C:C&gt;=$J$4,'领用录入（明细）'!C:C&lt;=$L$4),ROW(),"-")</f>
        <v>-</v>
      </c>
    </row>
    <row r="29328" customHeight="1" spans="2:2">
      <c r="B29328" s="62" t="str">
        <f>IF(AND('领用录入（明细）'!D:D=$F$4,'领用录入（明细）'!C:C&gt;=$J$4,'领用录入（明细）'!C:C&lt;=$L$4),ROW(),"-")</f>
        <v>-</v>
      </c>
    </row>
    <row r="29329" customHeight="1" spans="2:2">
      <c r="B29329" s="62" t="str">
        <f>IF(AND('领用录入（明细）'!D:D=$F$4,'领用录入（明细）'!C:C&gt;=$J$4,'领用录入（明细）'!C:C&lt;=$L$4),ROW(),"-")</f>
        <v>-</v>
      </c>
    </row>
    <row r="29330" customHeight="1" spans="2:2">
      <c r="B29330" s="62" t="str">
        <f>IF(AND('领用录入（明细）'!D:D=$F$4,'领用录入（明细）'!C:C&gt;=$J$4,'领用录入（明细）'!C:C&lt;=$L$4),ROW(),"-")</f>
        <v>-</v>
      </c>
    </row>
    <row r="29331" customHeight="1" spans="2:2">
      <c r="B29331" s="62" t="str">
        <f>IF(AND('领用录入（明细）'!D:D=$F$4,'领用录入（明细）'!C:C&gt;=$J$4,'领用录入（明细）'!C:C&lt;=$L$4),ROW(),"-")</f>
        <v>-</v>
      </c>
    </row>
    <row r="29332" customHeight="1" spans="2:2">
      <c r="B29332" s="62" t="str">
        <f>IF(AND('领用录入（明细）'!D:D=$F$4,'领用录入（明细）'!C:C&gt;=$J$4,'领用录入（明细）'!C:C&lt;=$L$4),ROW(),"-")</f>
        <v>-</v>
      </c>
    </row>
    <row r="29333" customHeight="1" spans="2:2">
      <c r="B29333" s="62" t="str">
        <f>IF(AND('领用录入（明细）'!D:D=$F$4,'领用录入（明细）'!C:C&gt;=$J$4,'领用录入（明细）'!C:C&lt;=$L$4),ROW(),"-")</f>
        <v>-</v>
      </c>
    </row>
    <row r="29334" customHeight="1" spans="2:2">
      <c r="B29334" s="62" t="str">
        <f>IF(AND('领用录入（明细）'!D:D=$F$4,'领用录入（明细）'!C:C&gt;=$J$4,'领用录入（明细）'!C:C&lt;=$L$4),ROW(),"-")</f>
        <v>-</v>
      </c>
    </row>
    <row r="29335" customHeight="1" spans="2:2">
      <c r="B29335" s="62" t="str">
        <f>IF(AND('领用录入（明细）'!D:D=$F$4,'领用录入（明细）'!C:C&gt;=$J$4,'领用录入（明细）'!C:C&lt;=$L$4),ROW(),"-")</f>
        <v>-</v>
      </c>
    </row>
    <row r="29336" customHeight="1" spans="2:2">
      <c r="B29336" s="62" t="str">
        <f>IF(AND('领用录入（明细）'!D:D=$F$4,'领用录入（明细）'!C:C&gt;=$J$4,'领用录入（明细）'!C:C&lt;=$L$4),ROW(),"-")</f>
        <v>-</v>
      </c>
    </row>
    <row r="29337" customHeight="1" spans="2:2">
      <c r="B29337" s="62" t="str">
        <f>IF(AND('领用录入（明细）'!D:D=$F$4,'领用录入（明细）'!C:C&gt;=$J$4,'领用录入（明细）'!C:C&lt;=$L$4),ROW(),"-")</f>
        <v>-</v>
      </c>
    </row>
    <row r="29338" customHeight="1" spans="2:2">
      <c r="B29338" s="62" t="str">
        <f>IF(AND('领用录入（明细）'!D:D=$F$4,'领用录入（明细）'!C:C&gt;=$J$4,'领用录入（明细）'!C:C&lt;=$L$4),ROW(),"-")</f>
        <v>-</v>
      </c>
    </row>
    <row r="29339" customHeight="1" spans="2:2">
      <c r="B29339" s="62" t="str">
        <f>IF(AND('领用录入（明细）'!D:D=$F$4,'领用录入（明细）'!C:C&gt;=$J$4,'领用录入（明细）'!C:C&lt;=$L$4),ROW(),"-")</f>
        <v>-</v>
      </c>
    </row>
    <row r="29340" customHeight="1" spans="2:2">
      <c r="B29340" s="62" t="str">
        <f>IF(AND('领用录入（明细）'!D:D=$F$4,'领用录入（明细）'!C:C&gt;=$J$4,'领用录入（明细）'!C:C&lt;=$L$4),ROW(),"-")</f>
        <v>-</v>
      </c>
    </row>
    <row r="29341" customHeight="1" spans="2:2">
      <c r="B29341" s="62" t="str">
        <f>IF(AND('领用录入（明细）'!D:D=$F$4,'领用录入（明细）'!C:C&gt;=$J$4,'领用录入（明细）'!C:C&lt;=$L$4),ROW(),"-")</f>
        <v>-</v>
      </c>
    </row>
    <row r="29342" customHeight="1" spans="2:2">
      <c r="B29342" s="62" t="str">
        <f>IF(AND('领用录入（明细）'!D:D=$F$4,'领用录入（明细）'!C:C&gt;=$J$4,'领用录入（明细）'!C:C&lt;=$L$4),ROW(),"-")</f>
        <v>-</v>
      </c>
    </row>
    <row r="29343" customHeight="1" spans="2:2">
      <c r="B29343" s="62" t="str">
        <f>IF(AND('领用录入（明细）'!D:D=$F$4,'领用录入（明细）'!C:C&gt;=$J$4,'领用录入（明细）'!C:C&lt;=$L$4),ROW(),"-")</f>
        <v>-</v>
      </c>
    </row>
    <row r="29344" customHeight="1" spans="2:2">
      <c r="B29344" s="62" t="str">
        <f>IF(AND('领用录入（明细）'!D:D=$F$4,'领用录入（明细）'!C:C&gt;=$J$4,'领用录入（明细）'!C:C&lt;=$L$4),ROW(),"-")</f>
        <v>-</v>
      </c>
    </row>
    <row r="29345" customHeight="1" spans="2:2">
      <c r="B29345" s="62" t="str">
        <f>IF(AND('领用录入（明细）'!D:D=$F$4,'领用录入（明细）'!C:C&gt;=$J$4,'领用录入（明细）'!C:C&lt;=$L$4),ROW(),"-")</f>
        <v>-</v>
      </c>
    </row>
    <row r="29346" customHeight="1" spans="2:2">
      <c r="B29346" s="62" t="str">
        <f>IF(AND('领用录入（明细）'!D:D=$F$4,'领用录入（明细）'!C:C&gt;=$J$4,'领用录入（明细）'!C:C&lt;=$L$4),ROW(),"-")</f>
        <v>-</v>
      </c>
    </row>
    <row r="29347" customHeight="1" spans="2:2">
      <c r="B29347" s="62" t="str">
        <f>IF(AND('领用录入（明细）'!D:D=$F$4,'领用录入（明细）'!C:C&gt;=$J$4,'领用录入（明细）'!C:C&lt;=$L$4),ROW(),"-")</f>
        <v>-</v>
      </c>
    </row>
    <row r="29348" customHeight="1" spans="2:2">
      <c r="B29348" s="62" t="str">
        <f>IF(AND('领用录入（明细）'!D:D=$F$4,'领用录入（明细）'!C:C&gt;=$J$4,'领用录入（明细）'!C:C&lt;=$L$4),ROW(),"-")</f>
        <v>-</v>
      </c>
    </row>
    <row r="29349" customHeight="1" spans="2:2">
      <c r="B29349" s="62" t="str">
        <f>IF(AND('领用录入（明细）'!D:D=$F$4,'领用录入（明细）'!C:C&gt;=$J$4,'领用录入（明细）'!C:C&lt;=$L$4),ROW(),"-")</f>
        <v>-</v>
      </c>
    </row>
    <row r="29350" customHeight="1" spans="2:2">
      <c r="B29350" s="62" t="str">
        <f>IF(AND('领用录入（明细）'!D:D=$F$4,'领用录入（明细）'!C:C&gt;=$J$4,'领用录入（明细）'!C:C&lt;=$L$4),ROW(),"-")</f>
        <v>-</v>
      </c>
    </row>
    <row r="29351" customHeight="1" spans="2:2">
      <c r="B29351" s="62" t="str">
        <f>IF(AND('领用录入（明细）'!D:D=$F$4,'领用录入（明细）'!C:C&gt;=$J$4,'领用录入（明细）'!C:C&lt;=$L$4),ROW(),"-")</f>
        <v>-</v>
      </c>
    </row>
    <row r="29352" customHeight="1" spans="2:2">
      <c r="B29352" s="62" t="str">
        <f>IF(AND('领用录入（明细）'!D:D=$F$4,'领用录入（明细）'!C:C&gt;=$J$4,'领用录入（明细）'!C:C&lt;=$L$4),ROW(),"-")</f>
        <v>-</v>
      </c>
    </row>
    <row r="29353" customHeight="1" spans="2:2">
      <c r="B29353" s="62" t="str">
        <f>IF(AND('领用录入（明细）'!D:D=$F$4,'领用录入（明细）'!C:C&gt;=$J$4,'领用录入（明细）'!C:C&lt;=$L$4),ROW(),"-")</f>
        <v>-</v>
      </c>
    </row>
    <row r="29354" customHeight="1" spans="2:2">
      <c r="B29354" s="62" t="str">
        <f>IF(AND('领用录入（明细）'!D:D=$F$4,'领用录入（明细）'!C:C&gt;=$J$4,'领用录入（明细）'!C:C&lt;=$L$4),ROW(),"-")</f>
        <v>-</v>
      </c>
    </row>
    <row r="29355" customHeight="1" spans="2:2">
      <c r="B29355" s="62" t="str">
        <f>IF(AND('领用录入（明细）'!D:D=$F$4,'领用录入（明细）'!C:C&gt;=$J$4,'领用录入（明细）'!C:C&lt;=$L$4),ROW(),"-")</f>
        <v>-</v>
      </c>
    </row>
    <row r="29356" customHeight="1" spans="2:2">
      <c r="B29356" s="62" t="str">
        <f>IF(AND('领用录入（明细）'!D:D=$F$4,'领用录入（明细）'!C:C&gt;=$J$4,'领用录入（明细）'!C:C&lt;=$L$4),ROW(),"-")</f>
        <v>-</v>
      </c>
    </row>
    <row r="29357" customHeight="1" spans="2:2">
      <c r="B29357" s="62" t="str">
        <f>IF(AND('领用录入（明细）'!D:D=$F$4,'领用录入（明细）'!C:C&gt;=$J$4,'领用录入（明细）'!C:C&lt;=$L$4),ROW(),"-")</f>
        <v>-</v>
      </c>
    </row>
    <row r="29358" customHeight="1" spans="2:2">
      <c r="B29358" s="62" t="str">
        <f>IF(AND('领用录入（明细）'!D:D=$F$4,'领用录入（明细）'!C:C&gt;=$J$4,'领用录入（明细）'!C:C&lt;=$L$4),ROW(),"-")</f>
        <v>-</v>
      </c>
    </row>
    <row r="29359" customHeight="1" spans="2:2">
      <c r="B29359" s="62" t="str">
        <f>IF(AND('领用录入（明细）'!D:D=$F$4,'领用录入（明细）'!C:C&gt;=$J$4,'领用录入（明细）'!C:C&lt;=$L$4),ROW(),"-")</f>
        <v>-</v>
      </c>
    </row>
    <row r="29360" customHeight="1" spans="2:2">
      <c r="B29360" s="62" t="str">
        <f>IF(AND('领用录入（明细）'!D:D=$F$4,'领用录入（明细）'!C:C&gt;=$J$4,'领用录入（明细）'!C:C&lt;=$L$4),ROW(),"-")</f>
        <v>-</v>
      </c>
    </row>
    <row r="29361" customHeight="1" spans="2:2">
      <c r="B29361" s="62" t="str">
        <f>IF(AND('领用录入（明细）'!D:D=$F$4,'领用录入（明细）'!C:C&gt;=$J$4,'领用录入（明细）'!C:C&lt;=$L$4),ROW(),"-")</f>
        <v>-</v>
      </c>
    </row>
    <row r="29362" customHeight="1" spans="2:2">
      <c r="B29362" s="62" t="str">
        <f>IF(AND('领用录入（明细）'!D:D=$F$4,'领用录入（明细）'!C:C&gt;=$J$4,'领用录入（明细）'!C:C&lt;=$L$4),ROW(),"-")</f>
        <v>-</v>
      </c>
    </row>
    <row r="29363" customHeight="1" spans="2:2">
      <c r="B29363" s="62" t="str">
        <f>IF(AND('领用录入（明细）'!D:D=$F$4,'领用录入（明细）'!C:C&gt;=$J$4,'领用录入（明细）'!C:C&lt;=$L$4),ROW(),"-")</f>
        <v>-</v>
      </c>
    </row>
    <row r="29364" customHeight="1" spans="2:2">
      <c r="B29364" s="62" t="str">
        <f>IF(AND('领用录入（明细）'!D:D=$F$4,'领用录入（明细）'!C:C&gt;=$J$4,'领用录入（明细）'!C:C&lt;=$L$4),ROW(),"-")</f>
        <v>-</v>
      </c>
    </row>
    <row r="29365" customHeight="1" spans="2:2">
      <c r="B29365" s="62" t="str">
        <f>IF(AND('领用录入（明细）'!D:D=$F$4,'领用录入（明细）'!C:C&gt;=$J$4,'领用录入（明细）'!C:C&lt;=$L$4),ROW(),"-")</f>
        <v>-</v>
      </c>
    </row>
    <row r="29366" customHeight="1" spans="2:2">
      <c r="B29366" s="62" t="str">
        <f>IF(AND('领用录入（明细）'!D:D=$F$4,'领用录入（明细）'!C:C&gt;=$J$4,'领用录入（明细）'!C:C&lt;=$L$4),ROW(),"-")</f>
        <v>-</v>
      </c>
    </row>
    <row r="29367" customHeight="1" spans="2:2">
      <c r="B29367" s="62" t="str">
        <f>IF(AND('领用录入（明细）'!D:D=$F$4,'领用录入（明细）'!C:C&gt;=$J$4,'领用录入（明细）'!C:C&lt;=$L$4),ROW(),"-")</f>
        <v>-</v>
      </c>
    </row>
    <row r="29368" customHeight="1" spans="2:2">
      <c r="B29368" s="62" t="str">
        <f>IF(AND('领用录入（明细）'!D:D=$F$4,'领用录入（明细）'!C:C&gt;=$J$4,'领用录入（明细）'!C:C&lt;=$L$4),ROW(),"-")</f>
        <v>-</v>
      </c>
    </row>
    <row r="29369" customHeight="1" spans="2:2">
      <c r="B29369" s="62" t="str">
        <f>IF(AND('领用录入（明细）'!D:D=$F$4,'领用录入（明细）'!C:C&gt;=$J$4,'领用录入（明细）'!C:C&lt;=$L$4),ROW(),"-")</f>
        <v>-</v>
      </c>
    </row>
    <row r="29370" customHeight="1" spans="2:2">
      <c r="B29370" s="62" t="str">
        <f>IF(AND('领用录入（明细）'!D:D=$F$4,'领用录入（明细）'!C:C&gt;=$J$4,'领用录入（明细）'!C:C&lt;=$L$4),ROW(),"-")</f>
        <v>-</v>
      </c>
    </row>
    <row r="29371" customHeight="1" spans="2:2">
      <c r="B29371" s="62" t="str">
        <f>IF(AND('领用录入（明细）'!D:D=$F$4,'领用录入（明细）'!C:C&gt;=$J$4,'领用录入（明细）'!C:C&lt;=$L$4),ROW(),"-")</f>
        <v>-</v>
      </c>
    </row>
    <row r="29372" customHeight="1" spans="2:2">
      <c r="B29372" s="62" t="str">
        <f>IF(AND('领用录入（明细）'!D:D=$F$4,'领用录入（明细）'!C:C&gt;=$J$4,'领用录入（明细）'!C:C&lt;=$L$4),ROW(),"-")</f>
        <v>-</v>
      </c>
    </row>
    <row r="29373" customHeight="1" spans="2:2">
      <c r="B29373" s="62" t="str">
        <f>IF(AND('领用录入（明细）'!D:D=$F$4,'领用录入（明细）'!C:C&gt;=$J$4,'领用录入（明细）'!C:C&lt;=$L$4),ROW(),"-")</f>
        <v>-</v>
      </c>
    </row>
    <row r="29374" customHeight="1" spans="2:2">
      <c r="B29374" s="62" t="str">
        <f>IF(AND('领用录入（明细）'!D:D=$F$4,'领用录入（明细）'!C:C&gt;=$J$4,'领用录入（明细）'!C:C&lt;=$L$4),ROW(),"-")</f>
        <v>-</v>
      </c>
    </row>
    <row r="29375" customHeight="1" spans="2:2">
      <c r="B29375" s="62" t="str">
        <f>IF(AND('领用录入（明细）'!D:D=$F$4,'领用录入（明细）'!C:C&gt;=$J$4,'领用录入（明细）'!C:C&lt;=$L$4),ROW(),"-")</f>
        <v>-</v>
      </c>
    </row>
    <row r="29376" customHeight="1" spans="2:2">
      <c r="B29376" s="62" t="str">
        <f>IF(AND('领用录入（明细）'!D:D=$F$4,'领用录入（明细）'!C:C&gt;=$J$4,'领用录入（明细）'!C:C&lt;=$L$4),ROW(),"-")</f>
        <v>-</v>
      </c>
    </row>
    <row r="29377" customHeight="1" spans="2:2">
      <c r="B29377" s="62" t="str">
        <f>IF(AND('领用录入（明细）'!D:D=$F$4,'领用录入（明细）'!C:C&gt;=$J$4,'领用录入（明细）'!C:C&lt;=$L$4),ROW(),"-")</f>
        <v>-</v>
      </c>
    </row>
    <row r="29378" customHeight="1" spans="2:2">
      <c r="B29378" s="62" t="str">
        <f>IF(AND('领用录入（明细）'!D:D=$F$4,'领用录入（明细）'!C:C&gt;=$J$4,'领用录入（明细）'!C:C&lt;=$L$4),ROW(),"-")</f>
        <v>-</v>
      </c>
    </row>
    <row r="29379" customHeight="1" spans="2:2">
      <c r="B29379" s="62" t="str">
        <f>IF(AND('领用录入（明细）'!D:D=$F$4,'领用录入（明细）'!C:C&gt;=$J$4,'领用录入（明细）'!C:C&lt;=$L$4),ROW(),"-")</f>
        <v>-</v>
      </c>
    </row>
    <row r="29380" customHeight="1" spans="2:2">
      <c r="B29380" s="62" t="str">
        <f>IF(AND('领用录入（明细）'!D:D=$F$4,'领用录入（明细）'!C:C&gt;=$J$4,'领用录入（明细）'!C:C&lt;=$L$4),ROW(),"-")</f>
        <v>-</v>
      </c>
    </row>
    <row r="29381" customHeight="1" spans="2:2">
      <c r="B29381" s="62" t="str">
        <f>IF(AND('领用录入（明细）'!D:D=$F$4,'领用录入（明细）'!C:C&gt;=$J$4,'领用录入（明细）'!C:C&lt;=$L$4),ROW(),"-")</f>
        <v>-</v>
      </c>
    </row>
    <row r="29382" customHeight="1" spans="2:2">
      <c r="B29382" s="62" t="str">
        <f>IF(AND('领用录入（明细）'!D:D=$F$4,'领用录入（明细）'!C:C&gt;=$J$4,'领用录入（明细）'!C:C&lt;=$L$4),ROW(),"-")</f>
        <v>-</v>
      </c>
    </row>
    <row r="29383" customHeight="1" spans="2:2">
      <c r="B29383" s="62" t="str">
        <f>IF(AND('领用录入（明细）'!D:D=$F$4,'领用录入（明细）'!C:C&gt;=$J$4,'领用录入（明细）'!C:C&lt;=$L$4),ROW(),"-")</f>
        <v>-</v>
      </c>
    </row>
    <row r="29384" customHeight="1" spans="2:2">
      <c r="B29384" s="62" t="str">
        <f>IF(AND('领用录入（明细）'!D:D=$F$4,'领用录入（明细）'!C:C&gt;=$J$4,'领用录入（明细）'!C:C&lt;=$L$4),ROW(),"-")</f>
        <v>-</v>
      </c>
    </row>
    <row r="29385" customHeight="1" spans="2:2">
      <c r="B29385" s="62" t="str">
        <f>IF(AND('领用录入（明细）'!D:D=$F$4,'领用录入（明细）'!C:C&gt;=$J$4,'领用录入（明细）'!C:C&lt;=$L$4),ROW(),"-")</f>
        <v>-</v>
      </c>
    </row>
    <row r="29386" customHeight="1" spans="2:2">
      <c r="B29386" s="62" t="str">
        <f>IF(AND('领用录入（明细）'!D:D=$F$4,'领用录入（明细）'!C:C&gt;=$J$4,'领用录入（明细）'!C:C&lt;=$L$4),ROW(),"-")</f>
        <v>-</v>
      </c>
    </row>
    <row r="29387" customHeight="1" spans="2:2">
      <c r="B29387" s="62" t="str">
        <f>IF(AND('领用录入（明细）'!D:D=$F$4,'领用录入（明细）'!C:C&gt;=$J$4,'领用录入（明细）'!C:C&lt;=$L$4),ROW(),"-")</f>
        <v>-</v>
      </c>
    </row>
    <row r="29388" customHeight="1" spans="2:2">
      <c r="B29388" s="62" t="str">
        <f>IF(AND('领用录入（明细）'!D:D=$F$4,'领用录入（明细）'!C:C&gt;=$J$4,'领用录入（明细）'!C:C&lt;=$L$4),ROW(),"-")</f>
        <v>-</v>
      </c>
    </row>
    <row r="29389" customHeight="1" spans="2:2">
      <c r="B29389" s="62" t="str">
        <f>IF(AND('领用录入（明细）'!D:D=$F$4,'领用录入（明细）'!C:C&gt;=$J$4,'领用录入（明细）'!C:C&lt;=$L$4),ROW(),"-")</f>
        <v>-</v>
      </c>
    </row>
    <row r="29390" customHeight="1" spans="2:2">
      <c r="B29390" s="62" t="str">
        <f>IF(AND('领用录入（明细）'!D:D=$F$4,'领用录入（明细）'!C:C&gt;=$J$4,'领用录入（明细）'!C:C&lt;=$L$4),ROW(),"-")</f>
        <v>-</v>
      </c>
    </row>
    <row r="29391" customHeight="1" spans="2:2">
      <c r="B29391" s="62" t="str">
        <f>IF(AND('领用录入（明细）'!D:D=$F$4,'领用录入（明细）'!C:C&gt;=$J$4,'领用录入（明细）'!C:C&lt;=$L$4),ROW(),"-")</f>
        <v>-</v>
      </c>
    </row>
    <row r="29392" customHeight="1" spans="2:2">
      <c r="B29392" s="62" t="str">
        <f>IF(AND('领用录入（明细）'!D:D=$F$4,'领用录入（明细）'!C:C&gt;=$J$4,'领用录入（明细）'!C:C&lt;=$L$4),ROW(),"-")</f>
        <v>-</v>
      </c>
    </row>
    <row r="29393" customHeight="1" spans="2:2">
      <c r="B29393" s="62" t="str">
        <f>IF(AND('领用录入（明细）'!D:D=$F$4,'领用录入（明细）'!C:C&gt;=$J$4,'领用录入（明细）'!C:C&lt;=$L$4),ROW(),"-")</f>
        <v>-</v>
      </c>
    </row>
    <row r="29394" customHeight="1" spans="2:2">
      <c r="B29394" s="62" t="str">
        <f>IF(AND('领用录入（明细）'!D:D=$F$4,'领用录入（明细）'!C:C&gt;=$J$4,'领用录入（明细）'!C:C&lt;=$L$4),ROW(),"-")</f>
        <v>-</v>
      </c>
    </row>
    <row r="29395" customHeight="1" spans="2:2">
      <c r="B29395" s="62" t="str">
        <f>IF(AND('领用录入（明细）'!D:D=$F$4,'领用录入（明细）'!C:C&gt;=$J$4,'领用录入（明细）'!C:C&lt;=$L$4),ROW(),"-")</f>
        <v>-</v>
      </c>
    </row>
    <row r="29396" customHeight="1" spans="2:2">
      <c r="B29396" s="62" t="str">
        <f>IF(AND('领用录入（明细）'!D:D=$F$4,'领用录入（明细）'!C:C&gt;=$J$4,'领用录入（明细）'!C:C&lt;=$L$4),ROW(),"-")</f>
        <v>-</v>
      </c>
    </row>
    <row r="29397" customHeight="1" spans="2:2">
      <c r="B29397" s="62" t="str">
        <f>IF(AND('领用录入（明细）'!D:D=$F$4,'领用录入（明细）'!C:C&gt;=$J$4,'领用录入（明细）'!C:C&lt;=$L$4),ROW(),"-")</f>
        <v>-</v>
      </c>
    </row>
    <row r="29398" customHeight="1" spans="2:2">
      <c r="B29398" s="62" t="str">
        <f>IF(AND('领用录入（明细）'!D:D=$F$4,'领用录入（明细）'!C:C&gt;=$J$4,'领用录入（明细）'!C:C&lt;=$L$4),ROW(),"-")</f>
        <v>-</v>
      </c>
    </row>
    <row r="29399" customHeight="1" spans="2:2">
      <c r="B29399" s="62" t="str">
        <f>IF(AND('领用录入（明细）'!D:D=$F$4,'领用录入（明细）'!C:C&gt;=$J$4,'领用录入（明细）'!C:C&lt;=$L$4),ROW(),"-")</f>
        <v>-</v>
      </c>
    </row>
    <row r="29400" customHeight="1" spans="2:2">
      <c r="B29400" s="62" t="str">
        <f>IF(AND('领用录入（明细）'!D:D=$F$4,'领用录入（明细）'!C:C&gt;=$J$4,'领用录入（明细）'!C:C&lt;=$L$4),ROW(),"-")</f>
        <v>-</v>
      </c>
    </row>
    <row r="29401" customHeight="1" spans="2:2">
      <c r="B29401" s="62" t="str">
        <f>IF(AND('领用录入（明细）'!D:D=$F$4,'领用录入（明细）'!C:C&gt;=$J$4,'领用录入（明细）'!C:C&lt;=$L$4),ROW(),"-")</f>
        <v>-</v>
      </c>
    </row>
    <row r="29402" customHeight="1" spans="2:2">
      <c r="B29402" s="62" t="str">
        <f>IF(AND('领用录入（明细）'!D:D=$F$4,'领用录入（明细）'!C:C&gt;=$J$4,'领用录入（明细）'!C:C&lt;=$L$4),ROW(),"-")</f>
        <v>-</v>
      </c>
    </row>
    <row r="29403" customHeight="1" spans="2:2">
      <c r="B29403" s="62" t="str">
        <f>IF(AND('领用录入（明细）'!D:D=$F$4,'领用录入（明细）'!C:C&gt;=$J$4,'领用录入（明细）'!C:C&lt;=$L$4),ROW(),"-")</f>
        <v>-</v>
      </c>
    </row>
    <row r="29404" customHeight="1" spans="2:2">
      <c r="B29404" s="62" t="str">
        <f>IF(AND('领用录入（明细）'!D:D=$F$4,'领用录入（明细）'!C:C&gt;=$J$4,'领用录入（明细）'!C:C&lt;=$L$4),ROW(),"-")</f>
        <v>-</v>
      </c>
    </row>
    <row r="29405" customHeight="1" spans="2:2">
      <c r="B29405" s="62" t="str">
        <f>IF(AND('领用录入（明细）'!D:D=$F$4,'领用录入（明细）'!C:C&gt;=$J$4,'领用录入（明细）'!C:C&lt;=$L$4),ROW(),"-")</f>
        <v>-</v>
      </c>
    </row>
    <row r="29406" customHeight="1" spans="2:2">
      <c r="B29406" s="62" t="str">
        <f>IF(AND('领用录入（明细）'!D:D=$F$4,'领用录入（明细）'!C:C&gt;=$J$4,'领用录入（明细）'!C:C&lt;=$L$4),ROW(),"-")</f>
        <v>-</v>
      </c>
    </row>
    <row r="29407" customHeight="1" spans="2:2">
      <c r="B29407" s="62" t="str">
        <f>IF(AND('领用录入（明细）'!D:D=$F$4,'领用录入（明细）'!C:C&gt;=$J$4,'领用录入（明细）'!C:C&lt;=$L$4),ROW(),"-")</f>
        <v>-</v>
      </c>
    </row>
    <row r="29408" customHeight="1" spans="2:2">
      <c r="B29408" s="62" t="str">
        <f>IF(AND('领用录入（明细）'!D:D=$F$4,'领用录入（明细）'!C:C&gt;=$J$4,'领用录入（明细）'!C:C&lt;=$L$4),ROW(),"-")</f>
        <v>-</v>
      </c>
    </row>
    <row r="29409" customHeight="1" spans="2:2">
      <c r="B29409" s="62" t="str">
        <f>IF(AND('领用录入（明细）'!D:D=$F$4,'领用录入（明细）'!C:C&gt;=$J$4,'领用录入（明细）'!C:C&lt;=$L$4),ROW(),"-")</f>
        <v>-</v>
      </c>
    </row>
    <row r="29410" customHeight="1" spans="2:2">
      <c r="B29410" s="62" t="str">
        <f>IF(AND('领用录入（明细）'!D:D=$F$4,'领用录入（明细）'!C:C&gt;=$J$4,'领用录入（明细）'!C:C&lt;=$L$4),ROW(),"-")</f>
        <v>-</v>
      </c>
    </row>
    <row r="29411" customHeight="1" spans="2:2">
      <c r="B29411" s="62" t="str">
        <f>IF(AND('领用录入（明细）'!D:D=$F$4,'领用录入（明细）'!C:C&gt;=$J$4,'领用录入（明细）'!C:C&lt;=$L$4),ROW(),"-")</f>
        <v>-</v>
      </c>
    </row>
    <row r="29412" customHeight="1" spans="2:2">
      <c r="B29412" s="62" t="str">
        <f>IF(AND('领用录入（明细）'!D:D=$F$4,'领用录入（明细）'!C:C&gt;=$J$4,'领用录入（明细）'!C:C&lt;=$L$4),ROW(),"-")</f>
        <v>-</v>
      </c>
    </row>
    <row r="29413" customHeight="1" spans="2:2">
      <c r="B29413" s="62" t="str">
        <f>IF(AND('领用录入（明细）'!D:D=$F$4,'领用录入（明细）'!C:C&gt;=$J$4,'领用录入（明细）'!C:C&lt;=$L$4),ROW(),"-")</f>
        <v>-</v>
      </c>
    </row>
    <row r="29414" customHeight="1" spans="2:2">
      <c r="B29414" s="62" t="str">
        <f>IF(AND('领用录入（明细）'!D:D=$F$4,'领用录入（明细）'!C:C&gt;=$J$4,'领用录入（明细）'!C:C&lt;=$L$4),ROW(),"-")</f>
        <v>-</v>
      </c>
    </row>
    <row r="29415" customHeight="1" spans="2:2">
      <c r="B29415" s="62" t="str">
        <f>IF(AND('领用录入（明细）'!D:D=$F$4,'领用录入（明细）'!C:C&gt;=$J$4,'领用录入（明细）'!C:C&lt;=$L$4),ROW(),"-")</f>
        <v>-</v>
      </c>
    </row>
    <row r="29416" customHeight="1" spans="2:2">
      <c r="B29416" s="62" t="str">
        <f>IF(AND('领用录入（明细）'!D:D=$F$4,'领用录入（明细）'!C:C&gt;=$J$4,'领用录入（明细）'!C:C&lt;=$L$4),ROW(),"-")</f>
        <v>-</v>
      </c>
    </row>
    <row r="29417" customHeight="1" spans="2:2">
      <c r="B29417" s="62" t="str">
        <f>IF(AND('领用录入（明细）'!D:D=$F$4,'领用录入（明细）'!C:C&gt;=$J$4,'领用录入（明细）'!C:C&lt;=$L$4),ROW(),"-")</f>
        <v>-</v>
      </c>
    </row>
    <row r="29418" customHeight="1" spans="2:2">
      <c r="B29418" s="62" t="str">
        <f>IF(AND('领用录入（明细）'!D:D=$F$4,'领用录入（明细）'!C:C&gt;=$J$4,'领用录入（明细）'!C:C&lt;=$L$4),ROW(),"-")</f>
        <v>-</v>
      </c>
    </row>
    <row r="29419" customHeight="1" spans="2:2">
      <c r="B29419" s="62" t="str">
        <f>IF(AND('领用录入（明细）'!D:D=$F$4,'领用录入（明细）'!C:C&gt;=$J$4,'领用录入（明细）'!C:C&lt;=$L$4),ROW(),"-")</f>
        <v>-</v>
      </c>
    </row>
    <row r="29420" customHeight="1" spans="2:2">
      <c r="B29420" s="62" t="str">
        <f>IF(AND('领用录入（明细）'!D:D=$F$4,'领用录入（明细）'!C:C&gt;=$J$4,'领用录入（明细）'!C:C&lt;=$L$4),ROW(),"-")</f>
        <v>-</v>
      </c>
    </row>
    <row r="29421" customHeight="1" spans="2:2">
      <c r="B29421" s="62" t="str">
        <f>IF(AND('领用录入（明细）'!D:D=$F$4,'领用录入（明细）'!C:C&gt;=$J$4,'领用录入（明细）'!C:C&lt;=$L$4),ROW(),"-")</f>
        <v>-</v>
      </c>
    </row>
    <row r="29422" customHeight="1" spans="2:2">
      <c r="B29422" s="62" t="str">
        <f>IF(AND('领用录入（明细）'!D:D=$F$4,'领用录入（明细）'!C:C&gt;=$J$4,'领用录入（明细）'!C:C&lt;=$L$4),ROW(),"-")</f>
        <v>-</v>
      </c>
    </row>
    <row r="29423" customHeight="1" spans="2:2">
      <c r="B29423" s="62" t="str">
        <f>IF(AND('领用录入（明细）'!D:D=$F$4,'领用录入（明细）'!C:C&gt;=$J$4,'领用录入（明细）'!C:C&lt;=$L$4),ROW(),"-")</f>
        <v>-</v>
      </c>
    </row>
    <row r="29424" customHeight="1" spans="2:2">
      <c r="B29424" s="62" t="str">
        <f>IF(AND('领用录入（明细）'!D:D=$F$4,'领用录入（明细）'!C:C&gt;=$J$4,'领用录入（明细）'!C:C&lt;=$L$4),ROW(),"-")</f>
        <v>-</v>
      </c>
    </row>
    <row r="29425" customHeight="1" spans="2:2">
      <c r="B29425" s="62" t="str">
        <f>IF(AND('领用录入（明细）'!D:D=$F$4,'领用录入（明细）'!C:C&gt;=$J$4,'领用录入（明细）'!C:C&lt;=$L$4),ROW(),"-")</f>
        <v>-</v>
      </c>
    </row>
    <row r="29426" customHeight="1" spans="2:2">
      <c r="B29426" s="62" t="str">
        <f>IF(AND('领用录入（明细）'!D:D=$F$4,'领用录入（明细）'!C:C&gt;=$J$4,'领用录入（明细）'!C:C&lt;=$L$4),ROW(),"-")</f>
        <v>-</v>
      </c>
    </row>
    <row r="29427" customHeight="1" spans="2:2">
      <c r="B29427" s="62" t="str">
        <f>IF(AND('领用录入（明细）'!D:D=$F$4,'领用录入（明细）'!C:C&gt;=$J$4,'领用录入（明细）'!C:C&lt;=$L$4),ROW(),"-")</f>
        <v>-</v>
      </c>
    </row>
    <row r="29428" customHeight="1" spans="2:2">
      <c r="B29428" s="62" t="str">
        <f>IF(AND('领用录入（明细）'!D:D=$F$4,'领用录入（明细）'!C:C&gt;=$J$4,'领用录入（明细）'!C:C&lt;=$L$4),ROW(),"-")</f>
        <v>-</v>
      </c>
    </row>
    <row r="29429" customHeight="1" spans="2:2">
      <c r="B29429" s="62" t="str">
        <f>IF(AND('领用录入（明细）'!D:D=$F$4,'领用录入（明细）'!C:C&gt;=$J$4,'领用录入（明细）'!C:C&lt;=$L$4),ROW(),"-")</f>
        <v>-</v>
      </c>
    </row>
    <row r="29430" customHeight="1" spans="2:2">
      <c r="B29430" s="62" t="str">
        <f>IF(AND('领用录入（明细）'!D:D=$F$4,'领用录入（明细）'!C:C&gt;=$J$4,'领用录入（明细）'!C:C&lt;=$L$4),ROW(),"-")</f>
        <v>-</v>
      </c>
    </row>
    <row r="29431" customHeight="1" spans="2:2">
      <c r="B29431" s="62" t="str">
        <f>IF(AND('领用录入（明细）'!D:D=$F$4,'领用录入（明细）'!C:C&gt;=$J$4,'领用录入（明细）'!C:C&lt;=$L$4),ROW(),"-")</f>
        <v>-</v>
      </c>
    </row>
    <row r="29432" customHeight="1" spans="2:2">
      <c r="B29432" s="62" t="str">
        <f>IF(AND('领用录入（明细）'!D:D=$F$4,'领用录入（明细）'!C:C&gt;=$J$4,'领用录入（明细）'!C:C&lt;=$L$4),ROW(),"-")</f>
        <v>-</v>
      </c>
    </row>
    <row r="29433" customHeight="1" spans="2:2">
      <c r="B29433" s="62" t="str">
        <f>IF(AND('领用录入（明细）'!D:D=$F$4,'领用录入（明细）'!C:C&gt;=$J$4,'领用录入（明细）'!C:C&lt;=$L$4),ROW(),"-")</f>
        <v>-</v>
      </c>
    </row>
    <row r="29434" customHeight="1" spans="2:2">
      <c r="B29434" s="62" t="str">
        <f>IF(AND('领用录入（明细）'!D:D=$F$4,'领用录入（明细）'!C:C&gt;=$J$4,'领用录入（明细）'!C:C&lt;=$L$4),ROW(),"-")</f>
        <v>-</v>
      </c>
    </row>
    <row r="29435" customHeight="1" spans="2:2">
      <c r="B29435" s="62" t="str">
        <f>IF(AND('领用录入（明细）'!D:D=$F$4,'领用录入（明细）'!C:C&gt;=$J$4,'领用录入（明细）'!C:C&lt;=$L$4),ROW(),"-")</f>
        <v>-</v>
      </c>
    </row>
    <row r="29436" customHeight="1" spans="2:2">
      <c r="B29436" s="62" t="str">
        <f>IF(AND('领用录入（明细）'!D:D=$F$4,'领用录入（明细）'!C:C&gt;=$J$4,'领用录入（明细）'!C:C&lt;=$L$4),ROW(),"-")</f>
        <v>-</v>
      </c>
    </row>
    <row r="29437" customHeight="1" spans="2:2">
      <c r="B29437" s="62" t="str">
        <f>IF(AND('领用录入（明细）'!D:D=$F$4,'领用录入（明细）'!C:C&gt;=$J$4,'领用录入（明细）'!C:C&lt;=$L$4),ROW(),"-")</f>
        <v>-</v>
      </c>
    </row>
    <row r="29438" customHeight="1" spans="2:2">
      <c r="B29438" s="62" t="str">
        <f>IF(AND('领用录入（明细）'!D:D=$F$4,'领用录入（明细）'!C:C&gt;=$J$4,'领用录入（明细）'!C:C&lt;=$L$4),ROW(),"-")</f>
        <v>-</v>
      </c>
    </row>
    <row r="29439" customHeight="1" spans="2:2">
      <c r="B29439" s="62" t="str">
        <f>IF(AND('领用录入（明细）'!D:D=$F$4,'领用录入（明细）'!C:C&gt;=$J$4,'领用录入（明细）'!C:C&lt;=$L$4),ROW(),"-")</f>
        <v>-</v>
      </c>
    </row>
    <row r="29440" customHeight="1" spans="2:2">
      <c r="B29440" s="62" t="str">
        <f>IF(AND('领用录入（明细）'!D:D=$F$4,'领用录入（明细）'!C:C&gt;=$J$4,'领用录入（明细）'!C:C&lt;=$L$4),ROW(),"-")</f>
        <v>-</v>
      </c>
    </row>
    <row r="29441" customHeight="1" spans="2:2">
      <c r="B29441" s="62" t="str">
        <f>IF(AND('领用录入（明细）'!D:D=$F$4,'领用录入（明细）'!C:C&gt;=$J$4,'领用录入（明细）'!C:C&lt;=$L$4),ROW(),"-")</f>
        <v>-</v>
      </c>
    </row>
    <row r="29442" customHeight="1" spans="2:2">
      <c r="B29442" s="62" t="str">
        <f>IF(AND('领用录入（明细）'!D:D=$F$4,'领用录入（明细）'!C:C&gt;=$J$4,'领用录入（明细）'!C:C&lt;=$L$4),ROW(),"-")</f>
        <v>-</v>
      </c>
    </row>
    <row r="29443" customHeight="1" spans="2:2">
      <c r="B29443" s="62" t="str">
        <f>IF(AND('领用录入（明细）'!D:D=$F$4,'领用录入（明细）'!C:C&gt;=$J$4,'领用录入（明细）'!C:C&lt;=$L$4),ROW(),"-")</f>
        <v>-</v>
      </c>
    </row>
    <row r="29444" customHeight="1" spans="2:2">
      <c r="B29444" s="62" t="str">
        <f>IF(AND('领用录入（明细）'!D:D=$F$4,'领用录入（明细）'!C:C&gt;=$J$4,'领用录入（明细）'!C:C&lt;=$L$4),ROW(),"-")</f>
        <v>-</v>
      </c>
    </row>
    <row r="29445" customHeight="1" spans="2:2">
      <c r="B29445" s="62" t="str">
        <f>IF(AND('领用录入（明细）'!D:D=$F$4,'领用录入（明细）'!C:C&gt;=$J$4,'领用录入（明细）'!C:C&lt;=$L$4),ROW(),"-")</f>
        <v>-</v>
      </c>
    </row>
    <row r="29446" customHeight="1" spans="2:2">
      <c r="B29446" s="62" t="str">
        <f>IF(AND('领用录入（明细）'!D:D=$F$4,'领用录入（明细）'!C:C&gt;=$J$4,'领用录入（明细）'!C:C&lt;=$L$4),ROW(),"-")</f>
        <v>-</v>
      </c>
    </row>
    <row r="29447" customHeight="1" spans="2:2">
      <c r="B29447" s="62" t="str">
        <f>IF(AND('领用录入（明细）'!D:D=$F$4,'领用录入（明细）'!C:C&gt;=$J$4,'领用录入（明细）'!C:C&lt;=$L$4),ROW(),"-")</f>
        <v>-</v>
      </c>
    </row>
    <row r="29448" customHeight="1" spans="2:2">
      <c r="B29448" s="62" t="str">
        <f>IF(AND('领用录入（明细）'!D:D=$F$4,'领用录入（明细）'!C:C&gt;=$J$4,'领用录入（明细）'!C:C&lt;=$L$4),ROW(),"-")</f>
        <v>-</v>
      </c>
    </row>
    <row r="29449" customHeight="1" spans="2:2">
      <c r="B29449" s="62" t="str">
        <f>IF(AND('领用录入（明细）'!D:D=$F$4,'领用录入（明细）'!C:C&gt;=$J$4,'领用录入（明细）'!C:C&lt;=$L$4),ROW(),"-")</f>
        <v>-</v>
      </c>
    </row>
    <row r="29450" customHeight="1" spans="2:2">
      <c r="B29450" s="62" t="str">
        <f>IF(AND('领用录入（明细）'!D:D=$F$4,'领用录入（明细）'!C:C&gt;=$J$4,'领用录入（明细）'!C:C&lt;=$L$4),ROW(),"-")</f>
        <v>-</v>
      </c>
    </row>
    <row r="29451" customHeight="1" spans="2:2">
      <c r="B29451" s="62" t="str">
        <f>IF(AND('领用录入（明细）'!D:D=$F$4,'领用录入（明细）'!C:C&gt;=$J$4,'领用录入（明细）'!C:C&lt;=$L$4),ROW(),"-")</f>
        <v>-</v>
      </c>
    </row>
    <row r="29452" customHeight="1" spans="2:2">
      <c r="B29452" s="62" t="str">
        <f>IF(AND('领用录入（明细）'!D:D=$F$4,'领用录入（明细）'!C:C&gt;=$J$4,'领用录入（明细）'!C:C&lt;=$L$4),ROW(),"-")</f>
        <v>-</v>
      </c>
    </row>
    <row r="29453" customHeight="1" spans="2:2">
      <c r="B29453" s="62" t="str">
        <f>IF(AND('领用录入（明细）'!D:D=$F$4,'领用录入（明细）'!C:C&gt;=$J$4,'领用录入（明细）'!C:C&lt;=$L$4),ROW(),"-")</f>
        <v>-</v>
      </c>
    </row>
    <row r="29454" customHeight="1" spans="2:2">
      <c r="B29454" s="62" t="str">
        <f>IF(AND('领用录入（明细）'!D:D=$F$4,'领用录入（明细）'!C:C&gt;=$J$4,'领用录入（明细）'!C:C&lt;=$L$4),ROW(),"-")</f>
        <v>-</v>
      </c>
    </row>
    <row r="29455" customHeight="1" spans="2:2">
      <c r="B29455" s="62" t="str">
        <f>IF(AND('领用录入（明细）'!D:D=$F$4,'领用录入（明细）'!C:C&gt;=$J$4,'领用录入（明细）'!C:C&lt;=$L$4),ROW(),"-")</f>
        <v>-</v>
      </c>
    </row>
    <row r="29456" customHeight="1" spans="2:2">
      <c r="B29456" s="62" t="str">
        <f>IF(AND('领用录入（明细）'!D:D=$F$4,'领用录入（明细）'!C:C&gt;=$J$4,'领用录入（明细）'!C:C&lt;=$L$4),ROW(),"-")</f>
        <v>-</v>
      </c>
    </row>
    <row r="29457" customHeight="1" spans="2:2">
      <c r="B29457" s="62" t="str">
        <f>IF(AND('领用录入（明细）'!D:D=$F$4,'领用录入（明细）'!C:C&gt;=$J$4,'领用录入（明细）'!C:C&lt;=$L$4),ROW(),"-")</f>
        <v>-</v>
      </c>
    </row>
    <row r="29458" customHeight="1" spans="2:2">
      <c r="B29458" s="62" t="str">
        <f>IF(AND('领用录入（明细）'!D:D=$F$4,'领用录入（明细）'!C:C&gt;=$J$4,'领用录入（明细）'!C:C&lt;=$L$4),ROW(),"-")</f>
        <v>-</v>
      </c>
    </row>
    <row r="29459" customHeight="1" spans="2:2">
      <c r="B29459" s="62" t="str">
        <f>IF(AND('领用录入（明细）'!D:D=$F$4,'领用录入（明细）'!C:C&gt;=$J$4,'领用录入（明细）'!C:C&lt;=$L$4),ROW(),"-")</f>
        <v>-</v>
      </c>
    </row>
    <row r="29460" customHeight="1" spans="2:2">
      <c r="B29460" s="62" t="str">
        <f>IF(AND('领用录入（明细）'!D:D=$F$4,'领用录入（明细）'!C:C&gt;=$J$4,'领用录入（明细）'!C:C&lt;=$L$4),ROW(),"-")</f>
        <v>-</v>
      </c>
    </row>
    <row r="29461" customHeight="1" spans="2:2">
      <c r="B29461" s="62" t="str">
        <f>IF(AND('领用录入（明细）'!D:D=$F$4,'领用录入（明细）'!C:C&gt;=$J$4,'领用录入（明细）'!C:C&lt;=$L$4),ROW(),"-")</f>
        <v>-</v>
      </c>
    </row>
    <row r="29462" customHeight="1" spans="2:2">
      <c r="B29462" s="62" t="str">
        <f>IF(AND('领用录入（明细）'!D:D=$F$4,'领用录入（明细）'!C:C&gt;=$J$4,'领用录入（明细）'!C:C&lt;=$L$4),ROW(),"-")</f>
        <v>-</v>
      </c>
    </row>
    <row r="29463" customHeight="1" spans="2:2">
      <c r="B29463" s="62" t="str">
        <f>IF(AND('领用录入（明细）'!D:D=$F$4,'领用录入（明细）'!C:C&gt;=$J$4,'领用录入（明细）'!C:C&lt;=$L$4),ROW(),"-")</f>
        <v>-</v>
      </c>
    </row>
    <row r="29464" customHeight="1" spans="2:2">
      <c r="B29464" s="62" t="str">
        <f>IF(AND('领用录入（明细）'!D:D=$F$4,'领用录入（明细）'!C:C&gt;=$J$4,'领用录入（明细）'!C:C&lt;=$L$4),ROW(),"-")</f>
        <v>-</v>
      </c>
    </row>
    <row r="29465" customHeight="1" spans="2:2">
      <c r="B29465" s="62" t="str">
        <f>IF(AND('领用录入（明细）'!D:D=$F$4,'领用录入（明细）'!C:C&gt;=$J$4,'领用录入（明细）'!C:C&lt;=$L$4),ROW(),"-")</f>
        <v>-</v>
      </c>
    </row>
    <row r="29466" customHeight="1" spans="2:2">
      <c r="B29466" s="62" t="str">
        <f>IF(AND('领用录入（明细）'!D:D=$F$4,'领用录入（明细）'!C:C&gt;=$J$4,'领用录入（明细）'!C:C&lt;=$L$4),ROW(),"-")</f>
        <v>-</v>
      </c>
    </row>
    <row r="29467" customHeight="1" spans="2:2">
      <c r="B29467" s="62" t="str">
        <f>IF(AND('领用录入（明细）'!D:D=$F$4,'领用录入（明细）'!C:C&gt;=$J$4,'领用录入（明细）'!C:C&lt;=$L$4),ROW(),"-")</f>
        <v>-</v>
      </c>
    </row>
    <row r="29468" customHeight="1" spans="2:2">
      <c r="B29468" s="62" t="str">
        <f>IF(AND('领用录入（明细）'!D:D=$F$4,'领用录入（明细）'!C:C&gt;=$J$4,'领用录入（明细）'!C:C&lt;=$L$4),ROW(),"-")</f>
        <v>-</v>
      </c>
    </row>
    <row r="29469" customHeight="1" spans="2:2">
      <c r="B29469" s="62" t="str">
        <f>IF(AND('领用录入（明细）'!D:D=$F$4,'领用录入（明细）'!C:C&gt;=$J$4,'领用录入（明细）'!C:C&lt;=$L$4),ROW(),"-")</f>
        <v>-</v>
      </c>
    </row>
    <row r="29470" customHeight="1" spans="2:2">
      <c r="B29470" s="62" t="str">
        <f>IF(AND('领用录入（明细）'!D:D=$F$4,'领用录入（明细）'!C:C&gt;=$J$4,'领用录入（明细）'!C:C&lt;=$L$4),ROW(),"-")</f>
        <v>-</v>
      </c>
    </row>
    <row r="29471" customHeight="1" spans="2:2">
      <c r="B29471" s="62" t="str">
        <f>IF(AND('领用录入（明细）'!D:D=$F$4,'领用录入（明细）'!C:C&gt;=$J$4,'领用录入（明细）'!C:C&lt;=$L$4),ROW(),"-")</f>
        <v>-</v>
      </c>
    </row>
    <row r="29472" customHeight="1" spans="2:2">
      <c r="B29472" s="62" t="str">
        <f>IF(AND('领用录入（明细）'!D:D=$F$4,'领用录入（明细）'!C:C&gt;=$J$4,'领用录入（明细）'!C:C&lt;=$L$4),ROW(),"-")</f>
        <v>-</v>
      </c>
    </row>
    <row r="29473" customHeight="1" spans="2:2">
      <c r="B29473" s="62" t="str">
        <f>IF(AND('领用录入（明细）'!D:D=$F$4,'领用录入（明细）'!C:C&gt;=$J$4,'领用录入（明细）'!C:C&lt;=$L$4),ROW(),"-")</f>
        <v>-</v>
      </c>
    </row>
    <row r="29474" customHeight="1" spans="2:2">
      <c r="B29474" s="62" t="str">
        <f>IF(AND('领用录入（明细）'!D:D=$F$4,'领用录入（明细）'!C:C&gt;=$J$4,'领用录入（明细）'!C:C&lt;=$L$4),ROW(),"-")</f>
        <v>-</v>
      </c>
    </row>
    <row r="29475" customHeight="1" spans="2:2">
      <c r="B29475" s="62" t="str">
        <f>IF(AND('领用录入（明细）'!D:D=$F$4,'领用录入（明细）'!C:C&gt;=$J$4,'领用录入（明细）'!C:C&lt;=$L$4),ROW(),"-")</f>
        <v>-</v>
      </c>
    </row>
    <row r="29476" customHeight="1" spans="2:2">
      <c r="B29476" s="62" t="str">
        <f>IF(AND('领用录入（明细）'!D:D=$F$4,'领用录入（明细）'!C:C&gt;=$J$4,'领用录入（明细）'!C:C&lt;=$L$4),ROW(),"-")</f>
        <v>-</v>
      </c>
    </row>
    <row r="29477" customHeight="1" spans="2:2">
      <c r="B29477" s="62" t="str">
        <f>IF(AND('领用录入（明细）'!D:D=$F$4,'领用录入（明细）'!C:C&gt;=$J$4,'领用录入（明细）'!C:C&lt;=$L$4),ROW(),"-")</f>
        <v>-</v>
      </c>
    </row>
    <row r="29478" customHeight="1" spans="2:2">
      <c r="B29478" s="62" t="str">
        <f>IF(AND('领用录入（明细）'!D:D=$F$4,'领用录入（明细）'!C:C&gt;=$J$4,'领用录入（明细）'!C:C&lt;=$L$4),ROW(),"-")</f>
        <v>-</v>
      </c>
    </row>
    <row r="29479" customHeight="1" spans="2:2">
      <c r="B29479" s="62" t="str">
        <f>IF(AND('领用录入（明细）'!D:D=$F$4,'领用录入（明细）'!C:C&gt;=$J$4,'领用录入（明细）'!C:C&lt;=$L$4),ROW(),"-")</f>
        <v>-</v>
      </c>
    </row>
    <row r="29480" customHeight="1" spans="2:2">
      <c r="B29480" s="62" t="str">
        <f>IF(AND('领用录入（明细）'!D:D=$F$4,'领用录入（明细）'!C:C&gt;=$J$4,'领用录入（明细）'!C:C&lt;=$L$4),ROW(),"-")</f>
        <v>-</v>
      </c>
    </row>
    <row r="29481" customHeight="1" spans="2:2">
      <c r="B29481" s="62" t="str">
        <f>IF(AND('领用录入（明细）'!D:D=$F$4,'领用录入（明细）'!C:C&gt;=$J$4,'领用录入（明细）'!C:C&lt;=$L$4),ROW(),"-")</f>
        <v>-</v>
      </c>
    </row>
    <row r="29482" customHeight="1" spans="2:2">
      <c r="B29482" s="62" t="str">
        <f>IF(AND('领用录入（明细）'!D:D=$F$4,'领用录入（明细）'!C:C&gt;=$J$4,'领用录入（明细）'!C:C&lt;=$L$4),ROW(),"-")</f>
        <v>-</v>
      </c>
    </row>
    <row r="29483" customHeight="1" spans="2:2">
      <c r="B29483" s="62" t="str">
        <f>IF(AND('领用录入（明细）'!D:D=$F$4,'领用录入（明细）'!C:C&gt;=$J$4,'领用录入（明细）'!C:C&lt;=$L$4),ROW(),"-")</f>
        <v>-</v>
      </c>
    </row>
    <row r="29484" customHeight="1" spans="2:2">
      <c r="B29484" s="62" t="str">
        <f>IF(AND('领用录入（明细）'!D:D=$F$4,'领用录入（明细）'!C:C&gt;=$J$4,'领用录入（明细）'!C:C&lt;=$L$4),ROW(),"-")</f>
        <v>-</v>
      </c>
    </row>
    <row r="29485" customHeight="1" spans="2:2">
      <c r="B29485" s="62" t="str">
        <f>IF(AND('领用录入（明细）'!D:D=$F$4,'领用录入（明细）'!C:C&gt;=$J$4,'领用录入（明细）'!C:C&lt;=$L$4),ROW(),"-")</f>
        <v>-</v>
      </c>
    </row>
    <row r="29486" customHeight="1" spans="2:2">
      <c r="B29486" s="62" t="str">
        <f>IF(AND('领用录入（明细）'!D:D=$F$4,'领用录入（明细）'!C:C&gt;=$J$4,'领用录入（明细）'!C:C&lt;=$L$4),ROW(),"-")</f>
        <v>-</v>
      </c>
    </row>
    <row r="29487" customHeight="1" spans="2:2">
      <c r="B29487" s="62" t="str">
        <f>IF(AND('领用录入（明细）'!D:D=$F$4,'领用录入（明细）'!C:C&gt;=$J$4,'领用录入（明细）'!C:C&lt;=$L$4),ROW(),"-")</f>
        <v>-</v>
      </c>
    </row>
    <row r="29488" customHeight="1" spans="2:2">
      <c r="B29488" s="62" t="str">
        <f>IF(AND('领用录入（明细）'!D:D=$F$4,'领用录入（明细）'!C:C&gt;=$J$4,'领用录入（明细）'!C:C&lt;=$L$4),ROW(),"-")</f>
        <v>-</v>
      </c>
    </row>
    <row r="29489" customHeight="1" spans="2:2">
      <c r="B29489" s="62" t="str">
        <f>IF(AND('领用录入（明细）'!D:D=$F$4,'领用录入（明细）'!C:C&gt;=$J$4,'领用录入（明细）'!C:C&lt;=$L$4),ROW(),"-")</f>
        <v>-</v>
      </c>
    </row>
    <row r="29490" customHeight="1" spans="2:2">
      <c r="B29490" s="62" t="str">
        <f>IF(AND('领用录入（明细）'!D:D=$F$4,'领用录入（明细）'!C:C&gt;=$J$4,'领用录入（明细）'!C:C&lt;=$L$4),ROW(),"-")</f>
        <v>-</v>
      </c>
    </row>
    <row r="29491" customHeight="1" spans="2:2">
      <c r="B29491" s="62" t="str">
        <f>IF(AND('领用录入（明细）'!D:D=$F$4,'领用录入（明细）'!C:C&gt;=$J$4,'领用录入（明细）'!C:C&lt;=$L$4),ROW(),"-")</f>
        <v>-</v>
      </c>
    </row>
    <row r="29492" customHeight="1" spans="2:2">
      <c r="B29492" s="62" t="str">
        <f>IF(AND('领用录入（明细）'!D:D=$F$4,'领用录入（明细）'!C:C&gt;=$J$4,'领用录入（明细）'!C:C&lt;=$L$4),ROW(),"-")</f>
        <v>-</v>
      </c>
    </row>
    <row r="29493" customHeight="1" spans="2:2">
      <c r="B29493" s="62" t="str">
        <f>IF(AND('领用录入（明细）'!D:D=$F$4,'领用录入（明细）'!C:C&gt;=$J$4,'领用录入（明细）'!C:C&lt;=$L$4),ROW(),"-")</f>
        <v>-</v>
      </c>
    </row>
    <row r="29494" customHeight="1" spans="2:2">
      <c r="B29494" s="62" t="str">
        <f>IF(AND('领用录入（明细）'!D:D=$F$4,'领用录入（明细）'!C:C&gt;=$J$4,'领用录入（明细）'!C:C&lt;=$L$4),ROW(),"-")</f>
        <v>-</v>
      </c>
    </row>
    <row r="29495" customHeight="1" spans="2:2">
      <c r="B29495" s="62" t="str">
        <f>IF(AND('领用录入（明细）'!D:D=$F$4,'领用录入（明细）'!C:C&gt;=$J$4,'领用录入（明细）'!C:C&lt;=$L$4),ROW(),"-")</f>
        <v>-</v>
      </c>
    </row>
    <row r="29496" customHeight="1" spans="2:2">
      <c r="B29496" s="62" t="str">
        <f>IF(AND('领用录入（明细）'!D:D=$F$4,'领用录入（明细）'!C:C&gt;=$J$4,'领用录入（明细）'!C:C&lt;=$L$4),ROW(),"-")</f>
        <v>-</v>
      </c>
    </row>
    <row r="29497" customHeight="1" spans="2:2">
      <c r="B29497" s="62" t="str">
        <f>IF(AND('领用录入（明细）'!D:D=$F$4,'领用录入（明细）'!C:C&gt;=$J$4,'领用录入（明细）'!C:C&lt;=$L$4),ROW(),"-")</f>
        <v>-</v>
      </c>
    </row>
    <row r="29498" customHeight="1" spans="2:2">
      <c r="B29498" s="62" t="str">
        <f>IF(AND('领用录入（明细）'!D:D=$F$4,'领用录入（明细）'!C:C&gt;=$J$4,'领用录入（明细）'!C:C&lt;=$L$4),ROW(),"-")</f>
        <v>-</v>
      </c>
    </row>
    <row r="29499" customHeight="1" spans="2:2">
      <c r="B29499" s="62" t="str">
        <f>IF(AND('领用录入（明细）'!D:D=$F$4,'领用录入（明细）'!C:C&gt;=$J$4,'领用录入（明细）'!C:C&lt;=$L$4),ROW(),"-")</f>
        <v>-</v>
      </c>
    </row>
    <row r="29500" customHeight="1" spans="2:2">
      <c r="B29500" s="62" t="str">
        <f>IF(AND('领用录入（明细）'!D:D=$F$4,'领用录入（明细）'!C:C&gt;=$J$4,'领用录入（明细）'!C:C&lt;=$L$4),ROW(),"-")</f>
        <v>-</v>
      </c>
    </row>
    <row r="29501" customHeight="1" spans="2:2">
      <c r="B29501" s="62" t="str">
        <f>IF(AND('领用录入（明细）'!D:D=$F$4,'领用录入（明细）'!C:C&gt;=$J$4,'领用录入（明细）'!C:C&lt;=$L$4),ROW(),"-")</f>
        <v>-</v>
      </c>
    </row>
    <row r="29502" customHeight="1" spans="2:2">
      <c r="B29502" s="62" t="str">
        <f>IF(AND('领用录入（明细）'!D:D=$F$4,'领用录入（明细）'!C:C&gt;=$J$4,'领用录入（明细）'!C:C&lt;=$L$4),ROW(),"-")</f>
        <v>-</v>
      </c>
    </row>
    <row r="29503" customHeight="1" spans="2:2">
      <c r="B29503" s="62" t="str">
        <f>IF(AND('领用录入（明细）'!D:D=$F$4,'领用录入（明细）'!C:C&gt;=$J$4,'领用录入（明细）'!C:C&lt;=$L$4),ROW(),"-")</f>
        <v>-</v>
      </c>
    </row>
    <row r="29504" customHeight="1" spans="2:2">
      <c r="B29504" s="62" t="str">
        <f>IF(AND('领用录入（明细）'!D:D=$F$4,'领用录入（明细）'!C:C&gt;=$J$4,'领用录入（明细）'!C:C&lt;=$L$4),ROW(),"-")</f>
        <v>-</v>
      </c>
    </row>
    <row r="29505" customHeight="1" spans="2:2">
      <c r="B29505" s="62" t="str">
        <f>IF(AND('领用录入（明细）'!D:D=$F$4,'领用录入（明细）'!C:C&gt;=$J$4,'领用录入（明细）'!C:C&lt;=$L$4),ROW(),"-")</f>
        <v>-</v>
      </c>
    </row>
    <row r="29506" customHeight="1" spans="2:2">
      <c r="B29506" s="62" t="str">
        <f>IF(AND('领用录入（明细）'!D:D=$F$4,'领用录入（明细）'!C:C&gt;=$J$4,'领用录入（明细）'!C:C&lt;=$L$4),ROW(),"-")</f>
        <v>-</v>
      </c>
    </row>
    <row r="29507" customHeight="1" spans="2:2">
      <c r="B29507" s="62" t="str">
        <f>IF(AND('领用录入（明细）'!D:D=$F$4,'领用录入（明细）'!C:C&gt;=$J$4,'领用录入（明细）'!C:C&lt;=$L$4),ROW(),"-")</f>
        <v>-</v>
      </c>
    </row>
    <row r="29508" customHeight="1" spans="2:2">
      <c r="B29508" s="62" t="str">
        <f>IF(AND('领用录入（明细）'!D:D=$F$4,'领用录入（明细）'!C:C&gt;=$J$4,'领用录入（明细）'!C:C&lt;=$L$4),ROW(),"-")</f>
        <v>-</v>
      </c>
    </row>
    <row r="29509" customHeight="1" spans="2:2">
      <c r="B29509" s="62" t="str">
        <f>IF(AND('领用录入（明细）'!D:D=$F$4,'领用录入（明细）'!C:C&gt;=$J$4,'领用录入（明细）'!C:C&lt;=$L$4),ROW(),"-")</f>
        <v>-</v>
      </c>
    </row>
    <row r="29510" customHeight="1" spans="2:2">
      <c r="B29510" s="62" t="str">
        <f>IF(AND('领用录入（明细）'!D:D=$F$4,'领用录入（明细）'!C:C&gt;=$J$4,'领用录入（明细）'!C:C&lt;=$L$4),ROW(),"-")</f>
        <v>-</v>
      </c>
    </row>
    <row r="29511" customHeight="1" spans="2:2">
      <c r="B29511" s="62" t="str">
        <f>IF(AND('领用录入（明细）'!D:D=$F$4,'领用录入（明细）'!C:C&gt;=$J$4,'领用录入（明细）'!C:C&lt;=$L$4),ROW(),"-")</f>
        <v>-</v>
      </c>
    </row>
    <row r="29512" customHeight="1" spans="2:2">
      <c r="B29512" s="62" t="str">
        <f>IF(AND('领用录入（明细）'!D:D=$F$4,'领用录入（明细）'!C:C&gt;=$J$4,'领用录入（明细）'!C:C&lt;=$L$4),ROW(),"-")</f>
        <v>-</v>
      </c>
    </row>
    <row r="29513" customHeight="1" spans="2:2">
      <c r="B29513" s="62" t="str">
        <f>IF(AND('领用录入（明细）'!D:D=$F$4,'领用录入（明细）'!C:C&gt;=$J$4,'领用录入（明细）'!C:C&lt;=$L$4),ROW(),"-")</f>
        <v>-</v>
      </c>
    </row>
    <row r="29514" customHeight="1" spans="2:2">
      <c r="B29514" s="62" t="str">
        <f>IF(AND('领用录入（明细）'!D:D=$F$4,'领用录入（明细）'!C:C&gt;=$J$4,'领用录入（明细）'!C:C&lt;=$L$4),ROW(),"-")</f>
        <v>-</v>
      </c>
    </row>
    <row r="29515" customHeight="1" spans="2:2">
      <c r="B29515" s="62" t="str">
        <f>IF(AND('领用录入（明细）'!D:D=$F$4,'领用录入（明细）'!C:C&gt;=$J$4,'领用录入（明细）'!C:C&lt;=$L$4),ROW(),"-")</f>
        <v>-</v>
      </c>
    </row>
    <row r="29516" customHeight="1" spans="2:2">
      <c r="B29516" s="62" t="str">
        <f>IF(AND('领用录入（明细）'!D:D=$F$4,'领用录入（明细）'!C:C&gt;=$J$4,'领用录入（明细）'!C:C&lt;=$L$4),ROW(),"-")</f>
        <v>-</v>
      </c>
    </row>
    <row r="29517" customHeight="1" spans="2:2">
      <c r="B29517" s="62" t="str">
        <f>IF(AND('领用录入（明细）'!D:D=$F$4,'领用录入（明细）'!C:C&gt;=$J$4,'领用录入（明细）'!C:C&lt;=$L$4),ROW(),"-")</f>
        <v>-</v>
      </c>
    </row>
    <row r="29518" customHeight="1" spans="2:2">
      <c r="B29518" s="62" t="str">
        <f>IF(AND('领用录入（明细）'!D:D=$F$4,'领用录入（明细）'!C:C&gt;=$J$4,'领用录入（明细）'!C:C&lt;=$L$4),ROW(),"-")</f>
        <v>-</v>
      </c>
    </row>
    <row r="29519" customHeight="1" spans="2:2">
      <c r="B29519" s="62" t="str">
        <f>IF(AND('领用录入（明细）'!D:D=$F$4,'领用录入（明细）'!C:C&gt;=$J$4,'领用录入（明细）'!C:C&lt;=$L$4),ROW(),"-")</f>
        <v>-</v>
      </c>
    </row>
    <row r="29520" customHeight="1" spans="2:2">
      <c r="B29520" s="62" t="str">
        <f>IF(AND('领用录入（明细）'!D:D=$F$4,'领用录入（明细）'!C:C&gt;=$J$4,'领用录入（明细）'!C:C&lt;=$L$4),ROW(),"-")</f>
        <v>-</v>
      </c>
    </row>
    <row r="29521" customHeight="1" spans="2:2">
      <c r="B29521" s="62" t="str">
        <f>IF(AND('领用录入（明细）'!D:D=$F$4,'领用录入（明细）'!C:C&gt;=$J$4,'领用录入（明细）'!C:C&lt;=$L$4),ROW(),"-")</f>
        <v>-</v>
      </c>
    </row>
    <row r="29522" customHeight="1" spans="2:2">
      <c r="B29522" s="62" t="str">
        <f>IF(AND('领用录入（明细）'!D:D=$F$4,'领用录入（明细）'!C:C&gt;=$J$4,'领用录入（明细）'!C:C&lt;=$L$4),ROW(),"-")</f>
        <v>-</v>
      </c>
    </row>
    <row r="29523" customHeight="1" spans="2:2">
      <c r="B29523" s="62" t="str">
        <f>IF(AND('领用录入（明细）'!D:D=$F$4,'领用录入（明细）'!C:C&gt;=$J$4,'领用录入（明细）'!C:C&lt;=$L$4),ROW(),"-")</f>
        <v>-</v>
      </c>
    </row>
    <row r="29524" customHeight="1" spans="2:2">
      <c r="B29524" s="62" t="str">
        <f>IF(AND('领用录入（明细）'!D:D=$F$4,'领用录入（明细）'!C:C&gt;=$J$4,'领用录入（明细）'!C:C&lt;=$L$4),ROW(),"-")</f>
        <v>-</v>
      </c>
    </row>
    <row r="29525" customHeight="1" spans="2:2">
      <c r="B29525" s="62" t="str">
        <f>IF(AND('领用录入（明细）'!D:D=$F$4,'领用录入（明细）'!C:C&gt;=$J$4,'领用录入（明细）'!C:C&lt;=$L$4),ROW(),"-")</f>
        <v>-</v>
      </c>
    </row>
    <row r="29526" customHeight="1" spans="2:2">
      <c r="B29526" s="62" t="str">
        <f>IF(AND('领用录入（明细）'!D:D=$F$4,'领用录入（明细）'!C:C&gt;=$J$4,'领用录入（明细）'!C:C&lt;=$L$4),ROW(),"-")</f>
        <v>-</v>
      </c>
    </row>
    <row r="29527" customHeight="1" spans="2:2">
      <c r="B29527" s="62" t="str">
        <f>IF(AND('领用录入（明细）'!D:D=$F$4,'领用录入（明细）'!C:C&gt;=$J$4,'领用录入（明细）'!C:C&lt;=$L$4),ROW(),"-")</f>
        <v>-</v>
      </c>
    </row>
    <row r="29528" customHeight="1" spans="2:2">
      <c r="B29528" s="62" t="str">
        <f>IF(AND('领用录入（明细）'!D:D=$F$4,'领用录入（明细）'!C:C&gt;=$J$4,'领用录入（明细）'!C:C&lt;=$L$4),ROW(),"-")</f>
        <v>-</v>
      </c>
    </row>
    <row r="29529" customHeight="1" spans="2:2">
      <c r="B29529" s="62" t="str">
        <f>IF(AND('领用录入（明细）'!D:D=$F$4,'领用录入（明细）'!C:C&gt;=$J$4,'领用录入（明细）'!C:C&lt;=$L$4),ROW(),"-")</f>
        <v>-</v>
      </c>
    </row>
    <row r="29530" customHeight="1" spans="2:2">
      <c r="B29530" s="62" t="str">
        <f>IF(AND('领用录入（明细）'!D:D=$F$4,'领用录入（明细）'!C:C&gt;=$J$4,'领用录入（明细）'!C:C&lt;=$L$4),ROW(),"-")</f>
        <v>-</v>
      </c>
    </row>
    <row r="29531" customHeight="1" spans="2:2">
      <c r="B29531" s="62" t="str">
        <f>IF(AND('领用录入（明细）'!D:D=$F$4,'领用录入（明细）'!C:C&gt;=$J$4,'领用录入（明细）'!C:C&lt;=$L$4),ROW(),"-")</f>
        <v>-</v>
      </c>
    </row>
    <row r="29532" customHeight="1" spans="2:2">
      <c r="B29532" s="62" t="str">
        <f>IF(AND('领用录入（明细）'!D:D=$F$4,'领用录入（明细）'!C:C&gt;=$J$4,'领用录入（明细）'!C:C&lt;=$L$4),ROW(),"-")</f>
        <v>-</v>
      </c>
    </row>
    <row r="29533" customHeight="1" spans="2:2">
      <c r="B29533" s="62" t="str">
        <f>IF(AND('领用录入（明细）'!D:D=$F$4,'领用录入（明细）'!C:C&gt;=$J$4,'领用录入（明细）'!C:C&lt;=$L$4),ROW(),"-")</f>
        <v>-</v>
      </c>
    </row>
    <row r="29534" customHeight="1" spans="2:2">
      <c r="B29534" s="62" t="str">
        <f>IF(AND('领用录入（明细）'!D:D=$F$4,'领用录入（明细）'!C:C&gt;=$J$4,'领用录入（明细）'!C:C&lt;=$L$4),ROW(),"-")</f>
        <v>-</v>
      </c>
    </row>
    <row r="29535" customHeight="1" spans="2:2">
      <c r="B29535" s="62" t="str">
        <f>IF(AND('领用录入（明细）'!D:D=$F$4,'领用录入（明细）'!C:C&gt;=$J$4,'领用录入（明细）'!C:C&lt;=$L$4),ROW(),"-")</f>
        <v>-</v>
      </c>
    </row>
    <row r="29536" customHeight="1" spans="2:2">
      <c r="B29536" s="62" t="str">
        <f>IF(AND('领用录入（明细）'!D:D=$F$4,'领用录入（明细）'!C:C&gt;=$J$4,'领用录入（明细）'!C:C&lt;=$L$4),ROW(),"-")</f>
        <v>-</v>
      </c>
    </row>
    <row r="29537" customHeight="1" spans="2:2">
      <c r="B29537" s="62" t="str">
        <f>IF(AND('领用录入（明细）'!D:D=$F$4,'领用录入（明细）'!C:C&gt;=$J$4,'领用录入（明细）'!C:C&lt;=$L$4),ROW(),"-")</f>
        <v>-</v>
      </c>
    </row>
    <row r="29538" customHeight="1" spans="2:2">
      <c r="B29538" s="62" t="str">
        <f>IF(AND('领用录入（明细）'!D:D=$F$4,'领用录入（明细）'!C:C&gt;=$J$4,'领用录入（明细）'!C:C&lt;=$L$4),ROW(),"-")</f>
        <v>-</v>
      </c>
    </row>
    <row r="29539" customHeight="1" spans="2:2">
      <c r="B29539" s="62" t="str">
        <f>IF(AND('领用录入（明细）'!D:D=$F$4,'领用录入（明细）'!C:C&gt;=$J$4,'领用录入（明细）'!C:C&lt;=$L$4),ROW(),"-")</f>
        <v>-</v>
      </c>
    </row>
    <row r="29540" customHeight="1" spans="2:2">
      <c r="B29540" s="62" t="str">
        <f>IF(AND('领用录入（明细）'!D:D=$F$4,'领用录入（明细）'!C:C&gt;=$J$4,'领用录入（明细）'!C:C&lt;=$L$4),ROW(),"-")</f>
        <v>-</v>
      </c>
    </row>
    <row r="29541" customHeight="1" spans="2:2">
      <c r="B29541" s="62" t="str">
        <f>IF(AND('领用录入（明细）'!D:D=$F$4,'领用录入（明细）'!C:C&gt;=$J$4,'领用录入（明细）'!C:C&lt;=$L$4),ROW(),"-")</f>
        <v>-</v>
      </c>
    </row>
    <row r="29542" customHeight="1" spans="2:2">
      <c r="B29542" s="62" t="str">
        <f>IF(AND('领用录入（明细）'!D:D=$F$4,'领用录入（明细）'!C:C&gt;=$J$4,'领用录入（明细）'!C:C&lt;=$L$4),ROW(),"-")</f>
        <v>-</v>
      </c>
    </row>
    <row r="29543" customHeight="1" spans="2:2">
      <c r="B29543" s="62" t="str">
        <f>IF(AND('领用录入（明细）'!D:D=$F$4,'领用录入（明细）'!C:C&gt;=$J$4,'领用录入（明细）'!C:C&lt;=$L$4),ROW(),"-")</f>
        <v>-</v>
      </c>
    </row>
    <row r="29544" customHeight="1" spans="2:2">
      <c r="B29544" s="62" t="str">
        <f>IF(AND('领用录入（明细）'!D:D=$F$4,'领用录入（明细）'!C:C&gt;=$J$4,'领用录入（明细）'!C:C&lt;=$L$4),ROW(),"-")</f>
        <v>-</v>
      </c>
    </row>
    <row r="29545" customHeight="1" spans="2:2">
      <c r="B29545" s="62" t="str">
        <f>IF(AND('领用录入（明细）'!D:D=$F$4,'领用录入（明细）'!C:C&gt;=$J$4,'领用录入（明细）'!C:C&lt;=$L$4),ROW(),"-")</f>
        <v>-</v>
      </c>
    </row>
    <row r="29546" customHeight="1" spans="2:2">
      <c r="B29546" s="62" t="str">
        <f>IF(AND('领用录入（明细）'!D:D=$F$4,'领用录入（明细）'!C:C&gt;=$J$4,'领用录入（明细）'!C:C&lt;=$L$4),ROW(),"-")</f>
        <v>-</v>
      </c>
    </row>
    <row r="29547" customHeight="1" spans="2:2">
      <c r="B29547" s="62" t="str">
        <f>IF(AND('领用录入（明细）'!D:D=$F$4,'领用录入（明细）'!C:C&gt;=$J$4,'领用录入（明细）'!C:C&lt;=$L$4),ROW(),"-")</f>
        <v>-</v>
      </c>
    </row>
    <row r="29548" customHeight="1" spans="2:2">
      <c r="B29548" s="62" t="str">
        <f>IF(AND('领用录入（明细）'!D:D=$F$4,'领用录入（明细）'!C:C&gt;=$J$4,'领用录入（明细）'!C:C&lt;=$L$4),ROW(),"-")</f>
        <v>-</v>
      </c>
    </row>
    <row r="29549" customHeight="1" spans="2:2">
      <c r="B29549" s="62" t="str">
        <f>IF(AND('领用录入（明细）'!D:D=$F$4,'领用录入（明细）'!C:C&gt;=$J$4,'领用录入（明细）'!C:C&lt;=$L$4),ROW(),"-")</f>
        <v>-</v>
      </c>
    </row>
    <row r="29550" customHeight="1" spans="2:2">
      <c r="B29550" s="62" t="str">
        <f>IF(AND('领用录入（明细）'!D:D=$F$4,'领用录入（明细）'!C:C&gt;=$J$4,'领用录入（明细）'!C:C&lt;=$L$4),ROW(),"-")</f>
        <v>-</v>
      </c>
    </row>
    <row r="29551" customHeight="1" spans="2:2">
      <c r="B29551" s="62" t="str">
        <f>IF(AND('领用录入（明细）'!D:D=$F$4,'领用录入（明细）'!C:C&gt;=$J$4,'领用录入（明细）'!C:C&lt;=$L$4),ROW(),"-")</f>
        <v>-</v>
      </c>
    </row>
    <row r="29552" customHeight="1" spans="2:2">
      <c r="B29552" s="62" t="str">
        <f>IF(AND('领用录入（明细）'!D:D=$F$4,'领用录入（明细）'!C:C&gt;=$J$4,'领用录入（明细）'!C:C&lt;=$L$4),ROW(),"-")</f>
        <v>-</v>
      </c>
    </row>
    <row r="29553" customHeight="1" spans="2:2">
      <c r="B29553" s="62" t="str">
        <f>IF(AND('领用录入（明细）'!D:D=$F$4,'领用录入（明细）'!C:C&gt;=$J$4,'领用录入（明细）'!C:C&lt;=$L$4),ROW(),"-")</f>
        <v>-</v>
      </c>
    </row>
    <row r="29554" customHeight="1" spans="2:2">
      <c r="B29554" s="62" t="str">
        <f>IF(AND('领用录入（明细）'!D:D=$F$4,'领用录入（明细）'!C:C&gt;=$J$4,'领用录入（明细）'!C:C&lt;=$L$4),ROW(),"-")</f>
        <v>-</v>
      </c>
    </row>
    <row r="29555" customHeight="1" spans="2:2">
      <c r="B29555" s="62" t="str">
        <f>IF(AND('领用录入（明细）'!D:D=$F$4,'领用录入（明细）'!C:C&gt;=$J$4,'领用录入（明细）'!C:C&lt;=$L$4),ROW(),"-")</f>
        <v>-</v>
      </c>
    </row>
    <row r="29556" customHeight="1" spans="2:2">
      <c r="B29556" s="62" t="str">
        <f>IF(AND('领用录入（明细）'!D:D=$F$4,'领用录入（明细）'!C:C&gt;=$J$4,'领用录入（明细）'!C:C&lt;=$L$4),ROW(),"-")</f>
        <v>-</v>
      </c>
    </row>
    <row r="29557" customHeight="1" spans="2:2">
      <c r="B29557" s="62" t="str">
        <f>IF(AND('领用录入（明细）'!D:D=$F$4,'领用录入（明细）'!C:C&gt;=$J$4,'领用录入（明细）'!C:C&lt;=$L$4),ROW(),"-")</f>
        <v>-</v>
      </c>
    </row>
    <row r="29558" customHeight="1" spans="2:2">
      <c r="B29558" s="62" t="str">
        <f>IF(AND('领用录入（明细）'!D:D=$F$4,'领用录入（明细）'!C:C&gt;=$J$4,'领用录入（明细）'!C:C&lt;=$L$4),ROW(),"-")</f>
        <v>-</v>
      </c>
    </row>
    <row r="29559" customHeight="1" spans="2:2">
      <c r="B29559" s="62" t="str">
        <f>IF(AND('领用录入（明细）'!D:D=$F$4,'领用录入（明细）'!C:C&gt;=$J$4,'领用录入（明细）'!C:C&lt;=$L$4),ROW(),"-")</f>
        <v>-</v>
      </c>
    </row>
    <row r="29560" customHeight="1" spans="2:2">
      <c r="B29560" s="62" t="str">
        <f>IF(AND('领用录入（明细）'!D:D=$F$4,'领用录入（明细）'!C:C&gt;=$J$4,'领用录入（明细）'!C:C&lt;=$L$4),ROW(),"-")</f>
        <v>-</v>
      </c>
    </row>
    <row r="29561" customHeight="1" spans="2:2">
      <c r="B29561" s="62" t="str">
        <f>IF(AND('领用录入（明细）'!D:D=$F$4,'领用录入（明细）'!C:C&gt;=$J$4,'领用录入（明细）'!C:C&lt;=$L$4),ROW(),"-")</f>
        <v>-</v>
      </c>
    </row>
    <row r="29562" customHeight="1" spans="2:2">
      <c r="B29562" s="62" t="str">
        <f>IF(AND('领用录入（明细）'!D:D=$F$4,'领用录入（明细）'!C:C&gt;=$J$4,'领用录入（明细）'!C:C&lt;=$L$4),ROW(),"-")</f>
        <v>-</v>
      </c>
    </row>
    <row r="29563" customHeight="1" spans="2:2">
      <c r="B29563" s="62" t="str">
        <f>IF(AND('领用录入（明细）'!D:D=$F$4,'领用录入（明细）'!C:C&gt;=$J$4,'领用录入（明细）'!C:C&lt;=$L$4),ROW(),"-")</f>
        <v>-</v>
      </c>
    </row>
    <row r="29564" customHeight="1" spans="2:2">
      <c r="B29564" s="62" t="str">
        <f>IF(AND('领用录入（明细）'!D:D=$F$4,'领用录入（明细）'!C:C&gt;=$J$4,'领用录入（明细）'!C:C&lt;=$L$4),ROW(),"-")</f>
        <v>-</v>
      </c>
    </row>
    <row r="29565" customHeight="1" spans="2:2">
      <c r="B29565" s="62" t="str">
        <f>IF(AND('领用录入（明细）'!D:D=$F$4,'领用录入（明细）'!C:C&gt;=$J$4,'领用录入（明细）'!C:C&lt;=$L$4),ROW(),"-")</f>
        <v>-</v>
      </c>
    </row>
    <row r="29566" customHeight="1" spans="2:2">
      <c r="B29566" s="62" t="str">
        <f>IF(AND('领用录入（明细）'!D:D=$F$4,'领用录入（明细）'!C:C&gt;=$J$4,'领用录入（明细）'!C:C&lt;=$L$4),ROW(),"-")</f>
        <v>-</v>
      </c>
    </row>
    <row r="29567" customHeight="1" spans="2:2">
      <c r="B29567" s="62" t="str">
        <f>IF(AND('领用录入（明细）'!D:D=$F$4,'领用录入（明细）'!C:C&gt;=$J$4,'领用录入（明细）'!C:C&lt;=$L$4),ROW(),"-")</f>
        <v>-</v>
      </c>
    </row>
    <row r="29568" customHeight="1" spans="2:2">
      <c r="B29568" s="62" t="str">
        <f>IF(AND('领用录入（明细）'!D:D=$F$4,'领用录入（明细）'!C:C&gt;=$J$4,'领用录入（明细）'!C:C&lt;=$L$4),ROW(),"-")</f>
        <v>-</v>
      </c>
    </row>
    <row r="29569" customHeight="1" spans="2:2">
      <c r="B29569" s="62" t="str">
        <f>IF(AND('领用录入（明细）'!D:D=$F$4,'领用录入（明细）'!C:C&gt;=$J$4,'领用录入（明细）'!C:C&lt;=$L$4),ROW(),"-")</f>
        <v>-</v>
      </c>
    </row>
    <row r="29570" customHeight="1" spans="2:2">
      <c r="B29570" s="62" t="str">
        <f>IF(AND('领用录入（明细）'!D:D=$F$4,'领用录入（明细）'!C:C&gt;=$J$4,'领用录入（明细）'!C:C&lt;=$L$4),ROW(),"-")</f>
        <v>-</v>
      </c>
    </row>
    <row r="29571" customHeight="1" spans="2:2">
      <c r="B29571" s="62" t="str">
        <f>IF(AND('领用录入（明细）'!D:D=$F$4,'领用录入（明细）'!C:C&gt;=$J$4,'领用录入（明细）'!C:C&lt;=$L$4),ROW(),"-")</f>
        <v>-</v>
      </c>
    </row>
    <row r="29572" customHeight="1" spans="2:2">
      <c r="B29572" s="62" t="str">
        <f>IF(AND('领用录入（明细）'!D:D=$F$4,'领用录入（明细）'!C:C&gt;=$J$4,'领用录入（明细）'!C:C&lt;=$L$4),ROW(),"-")</f>
        <v>-</v>
      </c>
    </row>
    <row r="29573" customHeight="1" spans="2:2">
      <c r="B29573" s="62" t="str">
        <f>IF(AND('领用录入（明细）'!D:D=$F$4,'领用录入（明细）'!C:C&gt;=$J$4,'领用录入（明细）'!C:C&lt;=$L$4),ROW(),"-")</f>
        <v>-</v>
      </c>
    </row>
    <row r="29574" customHeight="1" spans="2:2">
      <c r="B29574" s="62" t="str">
        <f>IF(AND('领用录入（明细）'!D:D=$F$4,'领用录入（明细）'!C:C&gt;=$J$4,'领用录入（明细）'!C:C&lt;=$L$4),ROW(),"-")</f>
        <v>-</v>
      </c>
    </row>
    <row r="29575" customHeight="1" spans="2:2">
      <c r="B29575" s="62" t="str">
        <f>IF(AND('领用录入（明细）'!D:D=$F$4,'领用录入（明细）'!C:C&gt;=$J$4,'领用录入（明细）'!C:C&lt;=$L$4),ROW(),"-")</f>
        <v>-</v>
      </c>
    </row>
    <row r="29576" customHeight="1" spans="2:2">
      <c r="B29576" s="62" t="str">
        <f>IF(AND('领用录入（明细）'!D:D=$F$4,'领用录入（明细）'!C:C&gt;=$J$4,'领用录入（明细）'!C:C&lt;=$L$4),ROW(),"-")</f>
        <v>-</v>
      </c>
    </row>
    <row r="29577" customHeight="1" spans="2:2">
      <c r="B29577" s="62" t="str">
        <f>IF(AND('领用录入（明细）'!D:D=$F$4,'领用录入（明细）'!C:C&gt;=$J$4,'领用录入（明细）'!C:C&lt;=$L$4),ROW(),"-")</f>
        <v>-</v>
      </c>
    </row>
    <row r="29578" customHeight="1" spans="2:2">
      <c r="B29578" s="62" t="str">
        <f>IF(AND('领用录入（明细）'!D:D=$F$4,'领用录入（明细）'!C:C&gt;=$J$4,'领用录入（明细）'!C:C&lt;=$L$4),ROW(),"-")</f>
        <v>-</v>
      </c>
    </row>
    <row r="29579" customHeight="1" spans="2:2">
      <c r="B29579" s="62" t="str">
        <f>IF(AND('领用录入（明细）'!D:D=$F$4,'领用录入（明细）'!C:C&gt;=$J$4,'领用录入（明细）'!C:C&lt;=$L$4),ROW(),"-")</f>
        <v>-</v>
      </c>
    </row>
    <row r="29580" customHeight="1" spans="2:2">
      <c r="B29580" s="62" t="str">
        <f>IF(AND('领用录入（明细）'!D:D=$F$4,'领用录入（明细）'!C:C&gt;=$J$4,'领用录入（明细）'!C:C&lt;=$L$4),ROW(),"-")</f>
        <v>-</v>
      </c>
    </row>
    <row r="29581" customHeight="1" spans="2:2">
      <c r="B29581" s="62" t="str">
        <f>IF(AND('领用录入（明细）'!D:D=$F$4,'领用录入（明细）'!C:C&gt;=$J$4,'领用录入（明细）'!C:C&lt;=$L$4),ROW(),"-")</f>
        <v>-</v>
      </c>
    </row>
    <row r="29582" customHeight="1" spans="2:2">
      <c r="B29582" s="62" t="str">
        <f>IF(AND('领用录入（明细）'!D:D=$F$4,'领用录入（明细）'!C:C&gt;=$J$4,'领用录入（明细）'!C:C&lt;=$L$4),ROW(),"-")</f>
        <v>-</v>
      </c>
    </row>
    <row r="29583" customHeight="1" spans="2:2">
      <c r="B29583" s="62" t="str">
        <f>IF(AND('领用录入（明细）'!D:D=$F$4,'领用录入（明细）'!C:C&gt;=$J$4,'领用录入（明细）'!C:C&lt;=$L$4),ROW(),"-")</f>
        <v>-</v>
      </c>
    </row>
    <row r="29584" customHeight="1" spans="2:2">
      <c r="B29584" s="62" t="str">
        <f>IF(AND('领用录入（明细）'!D:D=$F$4,'领用录入（明细）'!C:C&gt;=$J$4,'领用录入（明细）'!C:C&lt;=$L$4),ROW(),"-")</f>
        <v>-</v>
      </c>
    </row>
    <row r="29585" customHeight="1" spans="2:2">
      <c r="B29585" s="62" t="str">
        <f>IF(AND('领用录入（明细）'!D:D=$F$4,'领用录入（明细）'!C:C&gt;=$J$4,'领用录入（明细）'!C:C&lt;=$L$4),ROW(),"-")</f>
        <v>-</v>
      </c>
    </row>
    <row r="29586" customHeight="1" spans="2:2">
      <c r="B29586" s="62" t="str">
        <f>IF(AND('领用录入（明细）'!D:D=$F$4,'领用录入（明细）'!C:C&gt;=$J$4,'领用录入（明细）'!C:C&lt;=$L$4),ROW(),"-")</f>
        <v>-</v>
      </c>
    </row>
    <row r="29587" customHeight="1" spans="2:2">
      <c r="B29587" s="62" t="str">
        <f>IF(AND('领用录入（明细）'!D:D=$F$4,'领用录入（明细）'!C:C&gt;=$J$4,'领用录入（明细）'!C:C&lt;=$L$4),ROW(),"-")</f>
        <v>-</v>
      </c>
    </row>
    <row r="29588" customHeight="1" spans="2:2">
      <c r="B29588" s="62" t="str">
        <f>IF(AND('领用录入（明细）'!D:D=$F$4,'领用录入（明细）'!C:C&gt;=$J$4,'领用录入（明细）'!C:C&lt;=$L$4),ROW(),"-")</f>
        <v>-</v>
      </c>
    </row>
    <row r="29589" customHeight="1" spans="2:2">
      <c r="B29589" s="62" t="str">
        <f>IF(AND('领用录入（明细）'!D:D=$F$4,'领用录入（明细）'!C:C&gt;=$J$4,'领用录入（明细）'!C:C&lt;=$L$4),ROW(),"-")</f>
        <v>-</v>
      </c>
    </row>
    <row r="29590" customHeight="1" spans="2:2">
      <c r="B29590" s="62" t="str">
        <f>IF(AND('领用录入（明细）'!D:D=$F$4,'领用录入（明细）'!C:C&gt;=$J$4,'领用录入（明细）'!C:C&lt;=$L$4),ROW(),"-")</f>
        <v>-</v>
      </c>
    </row>
    <row r="29591" customHeight="1" spans="2:2">
      <c r="B29591" s="62" t="str">
        <f>IF(AND('领用录入（明细）'!D:D=$F$4,'领用录入（明细）'!C:C&gt;=$J$4,'领用录入（明细）'!C:C&lt;=$L$4),ROW(),"-")</f>
        <v>-</v>
      </c>
    </row>
    <row r="29592" customHeight="1" spans="2:2">
      <c r="B29592" s="62" t="str">
        <f>IF(AND('领用录入（明细）'!D:D=$F$4,'领用录入（明细）'!C:C&gt;=$J$4,'领用录入（明细）'!C:C&lt;=$L$4),ROW(),"-")</f>
        <v>-</v>
      </c>
    </row>
    <row r="29593" customHeight="1" spans="2:2">
      <c r="B29593" s="62" t="str">
        <f>IF(AND('领用录入（明细）'!D:D=$F$4,'领用录入（明细）'!C:C&gt;=$J$4,'领用录入（明细）'!C:C&lt;=$L$4),ROW(),"-")</f>
        <v>-</v>
      </c>
    </row>
    <row r="29594" customHeight="1" spans="2:2">
      <c r="B29594" s="62" t="str">
        <f>IF(AND('领用录入（明细）'!D:D=$F$4,'领用录入（明细）'!C:C&gt;=$J$4,'领用录入（明细）'!C:C&lt;=$L$4),ROW(),"-")</f>
        <v>-</v>
      </c>
    </row>
    <row r="29595" customHeight="1" spans="2:2">
      <c r="B29595" s="62" t="str">
        <f>IF(AND('领用录入（明细）'!D:D=$F$4,'领用录入（明细）'!C:C&gt;=$J$4,'领用录入（明细）'!C:C&lt;=$L$4),ROW(),"-")</f>
        <v>-</v>
      </c>
    </row>
    <row r="29596" customHeight="1" spans="2:2">
      <c r="B29596" s="62" t="str">
        <f>IF(AND('领用录入（明细）'!D:D=$F$4,'领用录入（明细）'!C:C&gt;=$J$4,'领用录入（明细）'!C:C&lt;=$L$4),ROW(),"-")</f>
        <v>-</v>
      </c>
    </row>
    <row r="29597" customHeight="1" spans="2:2">
      <c r="B29597" s="62" t="str">
        <f>IF(AND('领用录入（明细）'!D:D=$F$4,'领用录入（明细）'!C:C&gt;=$J$4,'领用录入（明细）'!C:C&lt;=$L$4),ROW(),"-")</f>
        <v>-</v>
      </c>
    </row>
    <row r="29598" customHeight="1" spans="2:2">
      <c r="B29598" s="62" t="str">
        <f>IF(AND('领用录入（明细）'!D:D=$F$4,'领用录入（明细）'!C:C&gt;=$J$4,'领用录入（明细）'!C:C&lt;=$L$4),ROW(),"-")</f>
        <v>-</v>
      </c>
    </row>
    <row r="29599" customHeight="1" spans="2:2">
      <c r="B29599" s="62" t="str">
        <f>IF(AND('领用录入（明细）'!D:D=$F$4,'领用录入（明细）'!C:C&gt;=$J$4,'领用录入（明细）'!C:C&lt;=$L$4),ROW(),"-")</f>
        <v>-</v>
      </c>
    </row>
    <row r="29600" customHeight="1" spans="2:2">
      <c r="B29600" s="62" t="str">
        <f>IF(AND('领用录入（明细）'!D:D=$F$4,'领用录入（明细）'!C:C&gt;=$J$4,'领用录入（明细）'!C:C&lt;=$L$4),ROW(),"-")</f>
        <v>-</v>
      </c>
    </row>
    <row r="29601" customHeight="1" spans="2:2">
      <c r="B29601" s="62" t="str">
        <f>IF(AND('领用录入（明细）'!D:D=$F$4,'领用录入（明细）'!C:C&gt;=$J$4,'领用录入（明细）'!C:C&lt;=$L$4),ROW(),"-")</f>
        <v>-</v>
      </c>
    </row>
    <row r="29602" customHeight="1" spans="2:2">
      <c r="B29602" s="62" t="str">
        <f>IF(AND('领用录入（明细）'!D:D=$F$4,'领用录入（明细）'!C:C&gt;=$J$4,'领用录入（明细）'!C:C&lt;=$L$4),ROW(),"-")</f>
        <v>-</v>
      </c>
    </row>
    <row r="29603" customHeight="1" spans="2:2">
      <c r="B29603" s="62" t="str">
        <f>IF(AND('领用录入（明细）'!D:D=$F$4,'领用录入（明细）'!C:C&gt;=$J$4,'领用录入（明细）'!C:C&lt;=$L$4),ROW(),"-")</f>
        <v>-</v>
      </c>
    </row>
    <row r="29604" customHeight="1" spans="2:2">
      <c r="B29604" s="62" t="str">
        <f>IF(AND('领用录入（明细）'!D:D=$F$4,'领用录入（明细）'!C:C&gt;=$J$4,'领用录入（明细）'!C:C&lt;=$L$4),ROW(),"-")</f>
        <v>-</v>
      </c>
    </row>
    <row r="29605" customHeight="1" spans="2:2">
      <c r="B29605" s="62" t="str">
        <f>IF(AND('领用录入（明细）'!D:D=$F$4,'领用录入（明细）'!C:C&gt;=$J$4,'领用录入（明细）'!C:C&lt;=$L$4),ROW(),"-")</f>
        <v>-</v>
      </c>
    </row>
    <row r="29606" customHeight="1" spans="2:2">
      <c r="B29606" s="62" t="str">
        <f>IF(AND('领用录入（明细）'!D:D=$F$4,'领用录入（明细）'!C:C&gt;=$J$4,'领用录入（明细）'!C:C&lt;=$L$4),ROW(),"-")</f>
        <v>-</v>
      </c>
    </row>
    <row r="29607" customHeight="1" spans="2:2">
      <c r="B29607" s="62" t="str">
        <f>IF(AND('领用录入（明细）'!D:D=$F$4,'领用录入（明细）'!C:C&gt;=$J$4,'领用录入（明细）'!C:C&lt;=$L$4),ROW(),"-")</f>
        <v>-</v>
      </c>
    </row>
    <row r="29608" customHeight="1" spans="2:2">
      <c r="B29608" s="62" t="str">
        <f>IF(AND('领用录入（明细）'!D:D=$F$4,'领用录入（明细）'!C:C&gt;=$J$4,'领用录入（明细）'!C:C&lt;=$L$4),ROW(),"-")</f>
        <v>-</v>
      </c>
    </row>
    <row r="29609" customHeight="1" spans="2:2">
      <c r="B29609" s="62" t="str">
        <f>IF(AND('领用录入（明细）'!D:D=$F$4,'领用录入（明细）'!C:C&gt;=$J$4,'领用录入（明细）'!C:C&lt;=$L$4),ROW(),"-")</f>
        <v>-</v>
      </c>
    </row>
    <row r="29610" customHeight="1" spans="2:2">
      <c r="B29610" s="62" t="str">
        <f>IF(AND('领用录入（明细）'!D:D=$F$4,'领用录入（明细）'!C:C&gt;=$J$4,'领用录入（明细）'!C:C&lt;=$L$4),ROW(),"-")</f>
        <v>-</v>
      </c>
    </row>
    <row r="29611" customHeight="1" spans="2:2">
      <c r="B29611" s="62" t="str">
        <f>IF(AND('领用录入（明细）'!D:D=$F$4,'领用录入（明细）'!C:C&gt;=$J$4,'领用录入（明细）'!C:C&lt;=$L$4),ROW(),"-")</f>
        <v>-</v>
      </c>
    </row>
    <row r="29612" customHeight="1" spans="2:2">
      <c r="B29612" s="62" t="str">
        <f>IF(AND('领用录入（明细）'!D:D=$F$4,'领用录入（明细）'!C:C&gt;=$J$4,'领用录入（明细）'!C:C&lt;=$L$4),ROW(),"-")</f>
        <v>-</v>
      </c>
    </row>
    <row r="29613" customHeight="1" spans="2:2">
      <c r="B29613" s="62" t="str">
        <f>IF(AND('领用录入（明细）'!D:D=$F$4,'领用录入（明细）'!C:C&gt;=$J$4,'领用录入（明细）'!C:C&lt;=$L$4),ROW(),"-")</f>
        <v>-</v>
      </c>
    </row>
    <row r="29614" customHeight="1" spans="2:2">
      <c r="B29614" s="62" t="str">
        <f>IF(AND('领用录入（明细）'!D:D=$F$4,'领用录入（明细）'!C:C&gt;=$J$4,'领用录入（明细）'!C:C&lt;=$L$4),ROW(),"-")</f>
        <v>-</v>
      </c>
    </row>
    <row r="29615" customHeight="1" spans="2:2">
      <c r="B29615" s="62" t="str">
        <f>IF(AND('领用录入（明细）'!D:D=$F$4,'领用录入（明细）'!C:C&gt;=$J$4,'领用录入（明细）'!C:C&lt;=$L$4),ROW(),"-")</f>
        <v>-</v>
      </c>
    </row>
    <row r="29616" customHeight="1" spans="2:2">
      <c r="B29616" s="62" t="str">
        <f>IF(AND('领用录入（明细）'!D:D=$F$4,'领用录入（明细）'!C:C&gt;=$J$4,'领用录入（明细）'!C:C&lt;=$L$4),ROW(),"-")</f>
        <v>-</v>
      </c>
    </row>
    <row r="29617" customHeight="1" spans="2:2">
      <c r="B29617" s="62" t="str">
        <f>IF(AND('领用录入（明细）'!D:D=$F$4,'领用录入（明细）'!C:C&gt;=$J$4,'领用录入（明细）'!C:C&lt;=$L$4),ROW(),"-")</f>
        <v>-</v>
      </c>
    </row>
    <row r="29618" customHeight="1" spans="2:2">
      <c r="B29618" s="62" t="str">
        <f>IF(AND('领用录入（明细）'!D:D=$F$4,'领用录入（明细）'!C:C&gt;=$J$4,'领用录入（明细）'!C:C&lt;=$L$4),ROW(),"-")</f>
        <v>-</v>
      </c>
    </row>
    <row r="29619" customHeight="1" spans="2:2">
      <c r="B29619" s="62" t="str">
        <f>IF(AND('领用录入（明细）'!D:D=$F$4,'领用录入（明细）'!C:C&gt;=$J$4,'领用录入（明细）'!C:C&lt;=$L$4),ROW(),"-")</f>
        <v>-</v>
      </c>
    </row>
    <row r="29620" customHeight="1" spans="2:2">
      <c r="B29620" s="62" t="str">
        <f>IF(AND('领用录入（明细）'!D:D=$F$4,'领用录入（明细）'!C:C&gt;=$J$4,'领用录入（明细）'!C:C&lt;=$L$4),ROW(),"-")</f>
        <v>-</v>
      </c>
    </row>
    <row r="29621" customHeight="1" spans="2:2">
      <c r="B29621" s="62" t="str">
        <f>IF(AND('领用录入（明细）'!D:D=$F$4,'领用录入（明细）'!C:C&gt;=$J$4,'领用录入（明细）'!C:C&lt;=$L$4),ROW(),"-")</f>
        <v>-</v>
      </c>
    </row>
    <row r="29622" customHeight="1" spans="2:2">
      <c r="B29622" s="62" t="str">
        <f>IF(AND('领用录入（明细）'!D:D=$F$4,'领用录入（明细）'!C:C&gt;=$J$4,'领用录入（明细）'!C:C&lt;=$L$4),ROW(),"-")</f>
        <v>-</v>
      </c>
    </row>
    <row r="29623" customHeight="1" spans="2:2">
      <c r="B29623" s="62" t="str">
        <f>IF(AND('领用录入（明细）'!D:D=$F$4,'领用录入（明细）'!C:C&gt;=$J$4,'领用录入（明细）'!C:C&lt;=$L$4),ROW(),"-")</f>
        <v>-</v>
      </c>
    </row>
    <row r="29624" customHeight="1" spans="2:2">
      <c r="B29624" s="62" t="str">
        <f>IF(AND('领用录入（明细）'!D:D=$F$4,'领用录入（明细）'!C:C&gt;=$J$4,'领用录入（明细）'!C:C&lt;=$L$4),ROW(),"-")</f>
        <v>-</v>
      </c>
    </row>
    <row r="29625" customHeight="1" spans="2:2">
      <c r="B29625" s="62" t="str">
        <f>IF(AND('领用录入（明细）'!D:D=$F$4,'领用录入（明细）'!C:C&gt;=$J$4,'领用录入（明细）'!C:C&lt;=$L$4),ROW(),"-")</f>
        <v>-</v>
      </c>
    </row>
    <row r="29626" customHeight="1" spans="2:2">
      <c r="B29626" s="62" t="str">
        <f>IF(AND('领用录入（明细）'!D:D=$F$4,'领用录入（明细）'!C:C&gt;=$J$4,'领用录入（明细）'!C:C&lt;=$L$4),ROW(),"-")</f>
        <v>-</v>
      </c>
    </row>
    <row r="29627" customHeight="1" spans="2:2">
      <c r="B29627" s="62" t="str">
        <f>IF(AND('领用录入（明细）'!D:D=$F$4,'领用录入（明细）'!C:C&gt;=$J$4,'领用录入（明细）'!C:C&lt;=$L$4),ROW(),"-")</f>
        <v>-</v>
      </c>
    </row>
    <row r="29628" customHeight="1" spans="2:2">
      <c r="B29628" s="62" t="str">
        <f>IF(AND('领用录入（明细）'!D:D=$F$4,'领用录入（明细）'!C:C&gt;=$J$4,'领用录入（明细）'!C:C&lt;=$L$4),ROW(),"-")</f>
        <v>-</v>
      </c>
    </row>
    <row r="29629" customHeight="1" spans="2:2">
      <c r="B29629" s="62" t="str">
        <f>IF(AND('领用录入（明细）'!D:D=$F$4,'领用录入（明细）'!C:C&gt;=$J$4,'领用录入（明细）'!C:C&lt;=$L$4),ROW(),"-")</f>
        <v>-</v>
      </c>
    </row>
    <row r="29630" customHeight="1" spans="2:2">
      <c r="B29630" s="62" t="str">
        <f>IF(AND('领用录入（明细）'!D:D=$F$4,'领用录入（明细）'!C:C&gt;=$J$4,'领用录入（明细）'!C:C&lt;=$L$4),ROW(),"-")</f>
        <v>-</v>
      </c>
    </row>
    <row r="29631" customHeight="1" spans="2:2">
      <c r="B29631" s="62" t="str">
        <f>IF(AND('领用录入（明细）'!D:D=$F$4,'领用录入（明细）'!C:C&gt;=$J$4,'领用录入（明细）'!C:C&lt;=$L$4),ROW(),"-")</f>
        <v>-</v>
      </c>
    </row>
    <row r="29632" customHeight="1" spans="2:2">
      <c r="B29632" s="62" t="str">
        <f>IF(AND('领用录入（明细）'!D:D=$F$4,'领用录入（明细）'!C:C&gt;=$J$4,'领用录入（明细）'!C:C&lt;=$L$4),ROW(),"-")</f>
        <v>-</v>
      </c>
    </row>
    <row r="29633" customHeight="1" spans="2:2">
      <c r="B29633" s="62" t="str">
        <f>IF(AND('领用录入（明细）'!D:D=$F$4,'领用录入（明细）'!C:C&gt;=$J$4,'领用录入（明细）'!C:C&lt;=$L$4),ROW(),"-")</f>
        <v>-</v>
      </c>
    </row>
    <row r="29634" customHeight="1" spans="2:2">
      <c r="B29634" s="62" t="str">
        <f>IF(AND('领用录入（明细）'!D:D=$F$4,'领用录入（明细）'!C:C&gt;=$J$4,'领用录入（明细）'!C:C&lt;=$L$4),ROW(),"-")</f>
        <v>-</v>
      </c>
    </row>
    <row r="29635" customHeight="1" spans="2:2">
      <c r="B29635" s="62" t="str">
        <f>IF(AND('领用录入（明细）'!D:D=$F$4,'领用录入（明细）'!C:C&gt;=$J$4,'领用录入（明细）'!C:C&lt;=$L$4),ROW(),"-")</f>
        <v>-</v>
      </c>
    </row>
    <row r="29636" customHeight="1" spans="2:2">
      <c r="B29636" s="62" t="str">
        <f>IF(AND('领用录入（明细）'!D:D=$F$4,'领用录入（明细）'!C:C&gt;=$J$4,'领用录入（明细）'!C:C&lt;=$L$4),ROW(),"-")</f>
        <v>-</v>
      </c>
    </row>
    <row r="29637" customHeight="1" spans="2:2">
      <c r="B29637" s="62" t="str">
        <f>IF(AND('领用录入（明细）'!D:D=$F$4,'领用录入（明细）'!C:C&gt;=$J$4,'领用录入（明细）'!C:C&lt;=$L$4),ROW(),"-")</f>
        <v>-</v>
      </c>
    </row>
    <row r="29638" customHeight="1" spans="2:2">
      <c r="B29638" s="62" t="str">
        <f>IF(AND('领用录入（明细）'!D:D=$F$4,'领用录入（明细）'!C:C&gt;=$J$4,'领用录入（明细）'!C:C&lt;=$L$4),ROW(),"-")</f>
        <v>-</v>
      </c>
    </row>
    <row r="29639" customHeight="1" spans="2:2">
      <c r="B29639" s="62" t="str">
        <f>IF(AND('领用录入（明细）'!D:D=$F$4,'领用录入（明细）'!C:C&gt;=$J$4,'领用录入（明细）'!C:C&lt;=$L$4),ROW(),"-")</f>
        <v>-</v>
      </c>
    </row>
    <row r="29640" customHeight="1" spans="2:2">
      <c r="B29640" s="62" t="str">
        <f>IF(AND('领用录入（明细）'!D:D=$F$4,'领用录入（明细）'!C:C&gt;=$J$4,'领用录入（明细）'!C:C&lt;=$L$4),ROW(),"-")</f>
        <v>-</v>
      </c>
    </row>
    <row r="29641" customHeight="1" spans="2:2">
      <c r="B29641" s="62" t="str">
        <f>IF(AND('领用录入（明细）'!D:D=$F$4,'领用录入（明细）'!C:C&gt;=$J$4,'领用录入（明细）'!C:C&lt;=$L$4),ROW(),"-")</f>
        <v>-</v>
      </c>
    </row>
    <row r="29642" customHeight="1" spans="2:2">
      <c r="B29642" s="62" t="str">
        <f>IF(AND('领用录入（明细）'!D:D=$F$4,'领用录入（明细）'!C:C&gt;=$J$4,'领用录入（明细）'!C:C&lt;=$L$4),ROW(),"-")</f>
        <v>-</v>
      </c>
    </row>
    <row r="29643" customHeight="1" spans="2:2">
      <c r="B29643" s="62" t="str">
        <f>IF(AND('领用录入（明细）'!D:D=$F$4,'领用录入（明细）'!C:C&gt;=$J$4,'领用录入（明细）'!C:C&lt;=$L$4),ROW(),"-")</f>
        <v>-</v>
      </c>
    </row>
    <row r="29644" customHeight="1" spans="2:2">
      <c r="B29644" s="62" t="str">
        <f>IF(AND('领用录入（明细）'!D:D=$F$4,'领用录入（明细）'!C:C&gt;=$J$4,'领用录入（明细）'!C:C&lt;=$L$4),ROW(),"-")</f>
        <v>-</v>
      </c>
    </row>
    <row r="29645" customHeight="1" spans="2:2">
      <c r="B29645" s="62" t="str">
        <f>IF(AND('领用录入（明细）'!D:D=$F$4,'领用录入（明细）'!C:C&gt;=$J$4,'领用录入（明细）'!C:C&lt;=$L$4),ROW(),"-")</f>
        <v>-</v>
      </c>
    </row>
    <row r="29646" customHeight="1" spans="2:2">
      <c r="B29646" s="62" t="str">
        <f>IF(AND('领用录入（明细）'!D:D=$F$4,'领用录入（明细）'!C:C&gt;=$J$4,'领用录入（明细）'!C:C&lt;=$L$4),ROW(),"-")</f>
        <v>-</v>
      </c>
    </row>
    <row r="29647" customHeight="1" spans="2:2">
      <c r="B29647" s="62" t="str">
        <f>IF(AND('领用录入（明细）'!D:D=$F$4,'领用录入（明细）'!C:C&gt;=$J$4,'领用录入（明细）'!C:C&lt;=$L$4),ROW(),"-")</f>
        <v>-</v>
      </c>
    </row>
    <row r="29648" customHeight="1" spans="2:2">
      <c r="B29648" s="62" t="str">
        <f>IF(AND('领用录入（明细）'!D:D=$F$4,'领用录入（明细）'!C:C&gt;=$J$4,'领用录入（明细）'!C:C&lt;=$L$4),ROW(),"-")</f>
        <v>-</v>
      </c>
    </row>
    <row r="29649" customHeight="1" spans="2:2">
      <c r="B29649" s="62" t="str">
        <f>IF(AND('领用录入（明细）'!D:D=$F$4,'领用录入（明细）'!C:C&gt;=$J$4,'领用录入（明细）'!C:C&lt;=$L$4),ROW(),"-")</f>
        <v>-</v>
      </c>
    </row>
    <row r="29650" customHeight="1" spans="2:2">
      <c r="B29650" s="62" t="str">
        <f>IF(AND('领用录入（明细）'!D:D=$F$4,'领用录入（明细）'!C:C&gt;=$J$4,'领用录入（明细）'!C:C&lt;=$L$4),ROW(),"-")</f>
        <v>-</v>
      </c>
    </row>
    <row r="29651" customHeight="1" spans="2:2">
      <c r="B29651" s="62" t="str">
        <f>IF(AND('领用录入（明细）'!D:D=$F$4,'领用录入（明细）'!C:C&gt;=$J$4,'领用录入（明细）'!C:C&lt;=$L$4),ROW(),"-")</f>
        <v>-</v>
      </c>
    </row>
    <row r="29652" customHeight="1" spans="2:2">
      <c r="B29652" s="62" t="str">
        <f>IF(AND('领用录入（明细）'!D:D=$F$4,'领用录入（明细）'!C:C&gt;=$J$4,'领用录入（明细）'!C:C&lt;=$L$4),ROW(),"-")</f>
        <v>-</v>
      </c>
    </row>
    <row r="29653" customHeight="1" spans="2:2">
      <c r="B29653" s="62" t="str">
        <f>IF(AND('领用录入（明细）'!D:D=$F$4,'领用录入（明细）'!C:C&gt;=$J$4,'领用录入（明细）'!C:C&lt;=$L$4),ROW(),"-")</f>
        <v>-</v>
      </c>
    </row>
    <row r="29654" customHeight="1" spans="2:2">
      <c r="B29654" s="62" t="str">
        <f>IF(AND('领用录入（明细）'!D:D=$F$4,'领用录入（明细）'!C:C&gt;=$J$4,'领用录入（明细）'!C:C&lt;=$L$4),ROW(),"-")</f>
        <v>-</v>
      </c>
    </row>
    <row r="29655" customHeight="1" spans="2:2">
      <c r="B29655" s="62" t="str">
        <f>IF(AND('领用录入（明细）'!D:D=$F$4,'领用录入（明细）'!C:C&gt;=$J$4,'领用录入（明细）'!C:C&lt;=$L$4),ROW(),"-")</f>
        <v>-</v>
      </c>
    </row>
    <row r="29656" customHeight="1" spans="2:2">
      <c r="B29656" s="62" t="str">
        <f>IF(AND('领用录入（明细）'!D:D=$F$4,'领用录入（明细）'!C:C&gt;=$J$4,'领用录入（明细）'!C:C&lt;=$L$4),ROW(),"-")</f>
        <v>-</v>
      </c>
    </row>
    <row r="29657" customHeight="1" spans="2:2">
      <c r="B29657" s="62" t="str">
        <f>IF(AND('领用录入（明细）'!D:D=$F$4,'领用录入（明细）'!C:C&gt;=$J$4,'领用录入（明细）'!C:C&lt;=$L$4),ROW(),"-")</f>
        <v>-</v>
      </c>
    </row>
    <row r="29658" customHeight="1" spans="2:2">
      <c r="B29658" s="62" t="str">
        <f>IF(AND('领用录入（明细）'!D:D=$F$4,'领用录入（明细）'!C:C&gt;=$J$4,'领用录入（明细）'!C:C&lt;=$L$4),ROW(),"-")</f>
        <v>-</v>
      </c>
    </row>
    <row r="29659" customHeight="1" spans="2:2">
      <c r="B29659" s="62" t="str">
        <f>IF(AND('领用录入（明细）'!D:D=$F$4,'领用录入（明细）'!C:C&gt;=$J$4,'领用录入（明细）'!C:C&lt;=$L$4),ROW(),"-")</f>
        <v>-</v>
      </c>
    </row>
    <row r="29660" customHeight="1" spans="2:2">
      <c r="B29660" s="62" t="str">
        <f>IF(AND('领用录入（明细）'!D:D=$F$4,'领用录入（明细）'!C:C&gt;=$J$4,'领用录入（明细）'!C:C&lt;=$L$4),ROW(),"-")</f>
        <v>-</v>
      </c>
    </row>
    <row r="29661" customHeight="1" spans="2:2">
      <c r="B29661" s="62" t="str">
        <f>IF(AND('领用录入（明细）'!D:D=$F$4,'领用录入（明细）'!C:C&gt;=$J$4,'领用录入（明细）'!C:C&lt;=$L$4),ROW(),"-")</f>
        <v>-</v>
      </c>
    </row>
    <row r="29662" customHeight="1" spans="2:2">
      <c r="B29662" s="62" t="str">
        <f>IF(AND('领用录入（明细）'!D:D=$F$4,'领用录入（明细）'!C:C&gt;=$J$4,'领用录入（明细）'!C:C&lt;=$L$4),ROW(),"-")</f>
        <v>-</v>
      </c>
    </row>
    <row r="29663" customHeight="1" spans="2:2">
      <c r="B29663" s="62" t="str">
        <f>IF(AND('领用录入（明细）'!D:D=$F$4,'领用录入（明细）'!C:C&gt;=$J$4,'领用录入（明细）'!C:C&lt;=$L$4),ROW(),"-")</f>
        <v>-</v>
      </c>
    </row>
    <row r="29664" customHeight="1" spans="2:2">
      <c r="B29664" s="62" t="str">
        <f>IF(AND('领用录入（明细）'!D:D=$F$4,'领用录入（明细）'!C:C&gt;=$J$4,'领用录入（明细）'!C:C&lt;=$L$4),ROW(),"-")</f>
        <v>-</v>
      </c>
    </row>
    <row r="29665" customHeight="1" spans="2:2">
      <c r="B29665" s="62" t="str">
        <f>IF(AND('领用录入（明细）'!D:D=$F$4,'领用录入（明细）'!C:C&gt;=$J$4,'领用录入（明细）'!C:C&lt;=$L$4),ROW(),"-")</f>
        <v>-</v>
      </c>
    </row>
    <row r="29666" customHeight="1" spans="2:2">
      <c r="B29666" s="62" t="str">
        <f>IF(AND('领用录入（明细）'!D:D=$F$4,'领用录入（明细）'!C:C&gt;=$J$4,'领用录入（明细）'!C:C&lt;=$L$4),ROW(),"-")</f>
        <v>-</v>
      </c>
    </row>
    <row r="29667" customHeight="1" spans="2:2">
      <c r="B29667" s="62" t="str">
        <f>IF(AND('领用录入（明细）'!D:D=$F$4,'领用录入（明细）'!C:C&gt;=$J$4,'领用录入（明细）'!C:C&lt;=$L$4),ROW(),"-")</f>
        <v>-</v>
      </c>
    </row>
    <row r="29668" customHeight="1" spans="2:2">
      <c r="B29668" s="62" t="str">
        <f>IF(AND('领用录入（明细）'!D:D=$F$4,'领用录入（明细）'!C:C&gt;=$J$4,'领用录入（明细）'!C:C&lt;=$L$4),ROW(),"-")</f>
        <v>-</v>
      </c>
    </row>
    <row r="29669" customHeight="1" spans="2:2">
      <c r="B29669" s="62" t="str">
        <f>IF(AND('领用录入（明细）'!D:D=$F$4,'领用录入（明细）'!C:C&gt;=$J$4,'领用录入（明细）'!C:C&lt;=$L$4),ROW(),"-")</f>
        <v>-</v>
      </c>
    </row>
    <row r="29670" customHeight="1" spans="2:2">
      <c r="B29670" s="62" t="str">
        <f>IF(AND('领用录入（明细）'!D:D=$F$4,'领用录入（明细）'!C:C&gt;=$J$4,'领用录入（明细）'!C:C&lt;=$L$4),ROW(),"-")</f>
        <v>-</v>
      </c>
    </row>
    <row r="29671" customHeight="1" spans="2:2">
      <c r="B29671" s="62" t="str">
        <f>IF(AND('领用录入（明细）'!D:D=$F$4,'领用录入（明细）'!C:C&gt;=$J$4,'领用录入（明细）'!C:C&lt;=$L$4),ROW(),"-")</f>
        <v>-</v>
      </c>
    </row>
    <row r="29672" customHeight="1" spans="2:2">
      <c r="B29672" s="62" t="str">
        <f>IF(AND('领用录入（明细）'!D:D=$F$4,'领用录入（明细）'!C:C&gt;=$J$4,'领用录入（明细）'!C:C&lt;=$L$4),ROW(),"-")</f>
        <v>-</v>
      </c>
    </row>
    <row r="29673" customHeight="1" spans="2:2">
      <c r="B29673" s="62" t="str">
        <f>IF(AND('领用录入（明细）'!D:D=$F$4,'领用录入（明细）'!C:C&gt;=$J$4,'领用录入（明细）'!C:C&lt;=$L$4),ROW(),"-")</f>
        <v>-</v>
      </c>
    </row>
    <row r="29674" customHeight="1" spans="2:2">
      <c r="B29674" s="62" t="str">
        <f>IF(AND('领用录入（明细）'!D:D=$F$4,'领用录入（明细）'!C:C&gt;=$J$4,'领用录入（明细）'!C:C&lt;=$L$4),ROW(),"-")</f>
        <v>-</v>
      </c>
    </row>
    <row r="29675" customHeight="1" spans="2:2">
      <c r="B29675" s="62" t="str">
        <f>IF(AND('领用录入（明细）'!D:D=$F$4,'领用录入（明细）'!C:C&gt;=$J$4,'领用录入（明细）'!C:C&lt;=$L$4),ROW(),"-")</f>
        <v>-</v>
      </c>
    </row>
    <row r="29676" customHeight="1" spans="2:2">
      <c r="B29676" s="62" t="str">
        <f>IF(AND('领用录入（明细）'!D:D=$F$4,'领用录入（明细）'!C:C&gt;=$J$4,'领用录入（明细）'!C:C&lt;=$L$4),ROW(),"-")</f>
        <v>-</v>
      </c>
    </row>
    <row r="29677" customHeight="1" spans="2:2">
      <c r="B29677" s="62" t="str">
        <f>IF(AND('领用录入（明细）'!D:D=$F$4,'领用录入（明细）'!C:C&gt;=$J$4,'领用录入（明细）'!C:C&lt;=$L$4),ROW(),"-")</f>
        <v>-</v>
      </c>
    </row>
    <row r="29678" customHeight="1" spans="2:2">
      <c r="B29678" s="62" t="str">
        <f>IF(AND('领用录入（明细）'!D:D=$F$4,'领用录入（明细）'!C:C&gt;=$J$4,'领用录入（明细）'!C:C&lt;=$L$4),ROW(),"-")</f>
        <v>-</v>
      </c>
    </row>
    <row r="29679" customHeight="1" spans="2:2">
      <c r="B29679" s="62" t="str">
        <f>IF(AND('领用录入（明细）'!D:D=$F$4,'领用录入（明细）'!C:C&gt;=$J$4,'领用录入（明细）'!C:C&lt;=$L$4),ROW(),"-")</f>
        <v>-</v>
      </c>
    </row>
    <row r="29680" customHeight="1" spans="2:2">
      <c r="B29680" s="62" t="str">
        <f>IF(AND('领用录入（明细）'!D:D=$F$4,'领用录入（明细）'!C:C&gt;=$J$4,'领用录入（明细）'!C:C&lt;=$L$4),ROW(),"-")</f>
        <v>-</v>
      </c>
    </row>
    <row r="29681" customHeight="1" spans="2:2">
      <c r="B29681" s="62" t="str">
        <f>IF(AND('领用录入（明细）'!D:D=$F$4,'领用录入（明细）'!C:C&gt;=$J$4,'领用录入（明细）'!C:C&lt;=$L$4),ROW(),"-")</f>
        <v>-</v>
      </c>
    </row>
    <row r="29682" customHeight="1" spans="2:2">
      <c r="B29682" s="62" t="str">
        <f>IF(AND('领用录入（明细）'!D:D=$F$4,'领用录入（明细）'!C:C&gt;=$J$4,'领用录入（明细）'!C:C&lt;=$L$4),ROW(),"-")</f>
        <v>-</v>
      </c>
    </row>
    <row r="29683" customHeight="1" spans="2:2">
      <c r="B29683" s="62" t="str">
        <f>IF(AND('领用录入（明细）'!D:D=$F$4,'领用录入（明细）'!C:C&gt;=$J$4,'领用录入（明细）'!C:C&lt;=$L$4),ROW(),"-")</f>
        <v>-</v>
      </c>
    </row>
    <row r="29684" customHeight="1" spans="2:2">
      <c r="B29684" s="62" t="str">
        <f>IF(AND('领用录入（明细）'!D:D=$F$4,'领用录入（明细）'!C:C&gt;=$J$4,'领用录入（明细）'!C:C&lt;=$L$4),ROW(),"-")</f>
        <v>-</v>
      </c>
    </row>
    <row r="29685" customHeight="1" spans="2:2">
      <c r="B29685" s="62" t="str">
        <f>IF(AND('领用录入（明细）'!D:D=$F$4,'领用录入（明细）'!C:C&gt;=$J$4,'领用录入（明细）'!C:C&lt;=$L$4),ROW(),"-")</f>
        <v>-</v>
      </c>
    </row>
    <row r="29686" customHeight="1" spans="2:2">
      <c r="B29686" s="62" t="str">
        <f>IF(AND('领用录入（明细）'!D:D=$F$4,'领用录入（明细）'!C:C&gt;=$J$4,'领用录入（明细）'!C:C&lt;=$L$4),ROW(),"-")</f>
        <v>-</v>
      </c>
    </row>
    <row r="29687" customHeight="1" spans="2:2">
      <c r="B29687" s="62" t="str">
        <f>IF(AND('领用录入（明细）'!D:D=$F$4,'领用录入（明细）'!C:C&gt;=$J$4,'领用录入（明细）'!C:C&lt;=$L$4),ROW(),"-")</f>
        <v>-</v>
      </c>
    </row>
    <row r="29688" customHeight="1" spans="2:2">
      <c r="B29688" s="62" t="str">
        <f>IF(AND('领用录入（明细）'!D:D=$F$4,'领用录入（明细）'!C:C&gt;=$J$4,'领用录入（明细）'!C:C&lt;=$L$4),ROW(),"-")</f>
        <v>-</v>
      </c>
    </row>
    <row r="29689" customHeight="1" spans="2:2">
      <c r="B29689" s="62" t="str">
        <f>IF(AND('领用录入（明细）'!D:D=$F$4,'领用录入（明细）'!C:C&gt;=$J$4,'领用录入（明细）'!C:C&lt;=$L$4),ROW(),"-")</f>
        <v>-</v>
      </c>
    </row>
    <row r="29690" customHeight="1" spans="2:2">
      <c r="B29690" s="62" t="str">
        <f>IF(AND('领用录入（明细）'!D:D=$F$4,'领用录入（明细）'!C:C&gt;=$J$4,'领用录入（明细）'!C:C&lt;=$L$4),ROW(),"-")</f>
        <v>-</v>
      </c>
    </row>
    <row r="29691" customHeight="1" spans="2:2">
      <c r="B29691" s="62" t="str">
        <f>IF(AND('领用录入（明细）'!D:D=$F$4,'领用录入（明细）'!C:C&gt;=$J$4,'领用录入（明细）'!C:C&lt;=$L$4),ROW(),"-")</f>
        <v>-</v>
      </c>
    </row>
    <row r="29692" customHeight="1" spans="2:2">
      <c r="B29692" s="62" t="str">
        <f>IF(AND('领用录入（明细）'!D:D=$F$4,'领用录入（明细）'!C:C&gt;=$J$4,'领用录入（明细）'!C:C&lt;=$L$4),ROW(),"-")</f>
        <v>-</v>
      </c>
    </row>
    <row r="29693" customHeight="1" spans="2:2">
      <c r="B29693" s="62" t="str">
        <f>IF(AND('领用录入（明细）'!D:D=$F$4,'领用录入（明细）'!C:C&gt;=$J$4,'领用录入（明细）'!C:C&lt;=$L$4),ROW(),"-")</f>
        <v>-</v>
      </c>
    </row>
    <row r="29694" customHeight="1" spans="2:2">
      <c r="B29694" s="62" t="str">
        <f>IF(AND('领用录入（明细）'!D:D=$F$4,'领用录入（明细）'!C:C&gt;=$J$4,'领用录入（明细）'!C:C&lt;=$L$4),ROW(),"-")</f>
        <v>-</v>
      </c>
    </row>
    <row r="29695" customHeight="1" spans="2:2">
      <c r="B29695" s="62" t="str">
        <f>IF(AND('领用录入（明细）'!D:D=$F$4,'领用录入（明细）'!C:C&gt;=$J$4,'领用录入（明细）'!C:C&lt;=$L$4),ROW(),"-")</f>
        <v>-</v>
      </c>
    </row>
    <row r="29696" customHeight="1" spans="2:2">
      <c r="B29696" s="62" t="str">
        <f>IF(AND('领用录入（明细）'!D:D=$F$4,'领用录入（明细）'!C:C&gt;=$J$4,'领用录入（明细）'!C:C&lt;=$L$4),ROW(),"-")</f>
        <v>-</v>
      </c>
    </row>
    <row r="29697" customHeight="1" spans="2:2">
      <c r="B29697" s="62" t="str">
        <f>IF(AND('领用录入（明细）'!D:D=$F$4,'领用录入（明细）'!C:C&gt;=$J$4,'领用录入（明细）'!C:C&lt;=$L$4),ROW(),"-")</f>
        <v>-</v>
      </c>
    </row>
    <row r="29698" customHeight="1" spans="2:2">
      <c r="B29698" s="62" t="str">
        <f>IF(AND('领用录入（明细）'!D:D=$F$4,'领用录入（明细）'!C:C&gt;=$J$4,'领用录入（明细）'!C:C&lt;=$L$4),ROW(),"-")</f>
        <v>-</v>
      </c>
    </row>
    <row r="29699" customHeight="1" spans="2:2">
      <c r="B29699" s="62" t="str">
        <f>IF(AND('领用录入（明细）'!D:D=$F$4,'领用录入（明细）'!C:C&gt;=$J$4,'领用录入（明细）'!C:C&lt;=$L$4),ROW(),"-")</f>
        <v>-</v>
      </c>
    </row>
    <row r="29700" customHeight="1" spans="2:2">
      <c r="B29700" s="62" t="str">
        <f>IF(AND('领用录入（明细）'!D:D=$F$4,'领用录入（明细）'!C:C&gt;=$J$4,'领用录入（明细）'!C:C&lt;=$L$4),ROW(),"-")</f>
        <v>-</v>
      </c>
    </row>
    <row r="29701" customHeight="1" spans="2:2">
      <c r="B29701" s="62" t="str">
        <f>IF(AND('领用录入（明细）'!D:D=$F$4,'领用录入（明细）'!C:C&gt;=$J$4,'领用录入（明细）'!C:C&lt;=$L$4),ROW(),"-")</f>
        <v>-</v>
      </c>
    </row>
    <row r="29702" customHeight="1" spans="2:2">
      <c r="B29702" s="62" t="str">
        <f>IF(AND('领用录入（明细）'!D:D=$F$4,'领用录入（明细）'!C:C&gt;=$J$4,'领用录入（明细）'!C:C&lt;=$L$4),ROW(),"-")</f>
        <v>-</v>
      </c>
    </row>
    <row r="29703" customHeight="1" spans="2:2">
      <c r="B29703" s="62" t="str">
        <f>IF(AND('领用录入（明细）'!D:D=$F$4,'领用录入（明细）'!C:C&gt;=$J$4,'领用录入（明细）'!C:C&lt;=$L$4),ROW(),"-")</f>
        <v>-</v>
      </c>
    </row>
    <row r="29704" customHeight="1" spans="2:2">
      <c r="B29704" s="62" t="str">
        <f>IF(AND('领用录入（明细）'!D:D=$F$4,'领用录入（明细）'!C:C&gt;=$J$4,'领用录入（明细）'!C:C&lt;=$L$4),ROW(),"-")</f>
        <v>-</v>
      </c>
    </row>
    <row r="29705" customHeight="1" spans="2:2">
      <c r="B29705" s="62" t="str">
        <f>IF(AND('领用录入（明细）'!D:D=$F$4,'领用录入（明细）'!C:C&gt;=$J$4,'领用录入（明细）'!C:C&lt;=$L$4),ROW(),"-")</f>
        <v>-</v>
      </c>
    </row>
    <row r="29706" customHeight="1" spans="2:2">
      <c r="B29706" s="62" t="str">
        <f>IF(AND('领用录入（明细）'!D:D=$F$4,'领用录入（明细）'!C:C&gt;=$J$4,'领用录入（明细）'!C:C&lt;=$L$4),ROW(),"-")</f>
        <v>-</v>
      </c>
    </row>
    <row r="29707" customHeight="1" spans="2:2">
      <c r="B29707" s="62" t="str">
        <f>IF(AND('领用录入（明细）'!D:D=$F$4,'领用录入（明细）'!C:C&gt;=$J$4,'领用录入（明细）'!C:C&lt;=$L$4),ROW(),"-")</f>
        <v>-</v>
      </c>
    </row>
    <row r="29708" customHeight="1" spans="2:2">
      <c r="B29708" s="62" t="str">
        <f>IF(AND('领用录入（明细）'!D:D=$F$4,'领用录入（明细）'!C:C&gt;=$J$4,'领用录入（明细）'!C:C&lt;=$L$4),ROW(),"-")</f>
        <v>-</v>
      </c>
    </row>
    <row r="29709" customHeight="1" spans="2:2">
      <c r="B29709" s="62" t="str">
        <f>IF(AND('领用录入（明细）'!D:D=$F$4,'领用录入（明细）'!C:C&gt;=$J$4,'领用录入（明细）'!C:C&lt;=$L$4),ROW(),"-")</f>
        <v>-</v>
      </c>
    </row>
    <row r="29710" customHeight="1" spans="2:2">
      <c r="B29710" s="62" t="str">
        <f>IF(AND('领用录入（明细）'!D:D=$F$4,'领用录入（明细）'!C:C&gt;=$J$4,'领用录入（明细）'!C:C&lt;=$L$4),ROW(),"-")</f>
        <v>-</v>
      </c>
    </row>
    <row r="29711" customHeight="1" spans="2:2">
      <c r="B29711" s="62" t="str">
        <f>IF(AND('领用录入（明细）'!D:D=$F$4,'领用录入（明细）'!C:C&gt;=$J$4,'领用录入（明细）'!C:C&lt;=$L$4),ROW(),"-")</f>
        <v>-</v>
      </c>
    </row>
    <row r="29712" customHeight="1" spans="2:2">
      <c r="B29712" s="62" t="str">
        <f>IF(AND('领用录入（明细）'!D:D=$F$4,'领用录入（明细）'!C:C&gt;=$J$4,'领用录入（明细）'!C:C&lt;=$L$4),ROW(),"-")</f>
        <v>-</v>
      </c>
    </row>
    <row r="29713" customHeight="1" spans="2:2">
      <c r="B29713" s="62" t="str">
        <f>IF(AND('领用录入（明细）'!D:D=$F$4,'领用录入（明细）'!C:C&gt;=$J$4,'领用录入（明细）'!C:C&lt;=$L$4),ROW(),"-")</f>
        <v>-</v>
      </c>
    </row>
    <row r="29714" customHeight="1" spans="2:2">
      <c r="B29714" s="62" t="str">
        <f>IF(AND('领用录入（明细）'!D:D=$F$4,'领用录入（明细）'!C:C&gt;=$J$4,'领用录入（明细）'!C:C&lt;=$L$4),ROW(),"-")</f>
        <v>-</v>
      </c>
    </row>
    <row r="29715" customHeight="1" spans="2:2">
      <c r="B29715" s="62" t="str">
        <f>IF(AND('领用录入（明细）'!D:D=$F$4,'领用录入（明细）'!C:C&gt;=$J$4,'领用录入（明细）'!C:C&lt;=$L$4),ROW(),"-")</f>
        <v>-</v>
      </c>
    </row>
    <row r="29716" customHeight="1" spans="2:2">
      <c r="B29716" s="62" t="str">
        <f>IF(AND('领用录入（明细）'!D:D=$F$4,'领用录入（明细）'!C:C&gt;=$J$4,'领用录入（明细）'!C:C&lt;=$L$4),ROW(),"-")</f>
        <v>-</v>
      </c>
    </row>
    <row r="29717" customHeight="1" spans="2:2">
      <c r="B29717" s="62" t="str">
        <f>IF(AND('领用录入（明细）'!D:D=$F$4,'领用录入（明细）'!C:C&gt;=$J$4,'领用录入（明细）'!C:C&lt;=$L$4),ROW(),"-")</f>
        <v>-</v>
      </c>
    </row>
    <row r="29718" customHeight="1" spans="2:2">
      <c r="B29718" s="62" t="str">
        <f>IF(AND('领用录入（明细）'!D:D=$F$4,'领用录入（明细）'!C:C&gt;=$J$4,'领用录入（明细）'!C:C&lt;=$L$4),ROW(),"-")</f>
        <v>-</v>
      </c>
    </row>
    <row r="29719" customHeight="1" spans="2:2">
      <c r="B29719" s="62" t="str">
        <f>IF(AND('领用录入（明细）'!D:D=$F$4,'领用录入（明细）'!C:C&gt;=$J$4,'领用录入（明细）'!C:C&lt;=$L$4),ROW(),"-")</f>
        <v>-</v>
      </c>
    </row>
    <row r="29720" customHeight="1" spans="2:2">
      <c r="B29720" s="62" t="str">
        <f>IF(AND('领用录入（明细）'!D:D=$F$4,'领用录入（明细）'!C:C&gt;=$J$4,'领用录入（明细）'!C:C&lt;=$L$4),ROW(),"-")</f>
        <v>-</v>
      </c>
    </row>
    <row r="29721" customHeight="1" spans="2:2">
      <c r="B29721" s="62" t="str">
        <f>IF(AND('领用录入（明细）'!D:D=$F$4,'领用录入（明细）'!C:C&gt;=$J$4,'领用录入（明细）'!C:C&lt;=$L$4),ROW(),"-")</f>
        <v>-</v>
      </c>
    </row>
    <row r="29722" customHeight="1" spans="2:2">
      <c r="B29722" s="62" t="str">
        <f>IF(AND('领用录入（明细）'!D:D=$F$4,'领用录入（明细）'!C:C&gt;=$J$4,'领用录入（明细）'!C:C&lt;=$L$4),ROW(),"-")</f>
        <v>-</v>
      </c>
    </row>
    <row r="29723" customHeight="1" spans="2:2">
      <c r="B29723" s="62" t="str">
        <f>IF(AND('领用录入（明细）'!D:D=$F$4,'领用录入（明细）'!C:C&gt;=$J$4,'领用录入（明细）'!C:C&lt;=$L$4),ROW(),"-")</f>
        <v>-</v>
      </c>
    </row>
    <row r="29724" customHeight="1" spans="2:2">
      <c r="B29724" s="62" t="str">
        <f>IF(AND('领用录入（明细）'!D:D=$F$4,'领用录入（明细）'!C:C&gt;=$J$4,'领用录入（明细）'!C:C&lt;=$L$4),ROW(),"-")</f>
        <v>-</v>
      </c>
    </row>
    <row r="29725" customHeight="1" spans="2:2">
      <c r="B29725" s="62" t="str">
        <f>IF(AND('领用录入（明细）'!D:D=$F$4,'领用录入（明细）'!C:C&gt;=$J$4,'领用录入（明细）'!C:C&lt;=$L$4),ROW(),"-")</f>
        <v>-</v>
      </c>
    </row>
    <row r="29726" customHeight="1" spans="2:2">
      <c r="B29726" s="62" t="str">
        <f>IF(AND('领用录入（明细）'!D:D=$F$4,'领用录入（明细）'!C:C&gt;=$J$4,'领用录入（明细）'!C:C&lt;=$L$4),ROW(),"-")</f>
        <v>-</v>
      </c>
    </row>
    <row r="29727" customHeight="1" spans="2:2">
      <c r="B29727" s="62" t="str">
        <f>IF(AND('领用录入（明细）'!D:D=$F$4,'领用录入（明细）'!C:C&gt;=$J$4,'领用录入（明细）'!C:C&lt;=$L$4),ROW(),"-")</f>
        <v>-</v>
      </c>
    </row>
    <row r="29728" customHeight="1" spans="2:2">
      <c r="B29728" s="62" t="str">
        <f>IF(AND('领用录入（明细）'!D:D=$F$4,'领用录入（明细）'!C:C&gt;=$J$4,'领用录入（明细）'!C:C&lt;=$L$4),ROW(),"-")</f>
        <v>-</v>
      </c>
    </row>
    <row r="29729" customHeight="1" spans="2:2">
      <c r="B29729" s="62" t="str">
        <f>IF(AND('领用录入（明细）'!D:D=$F$4,'领用录入（明细）'!C:C&gt;=$J$4,'领用录入（明细）'!C:C&lt;=$L$4),ROW(),"-")</f>
        <v>-</v>
      </c>
    </row>
    <row r="29730" customHeight="1" spans="2:2">
      <c r="B29730" s="62" t="str">
        <f>IF(AND('领用录入（明细）'!D:D=$F$4,'领用录入（明细）'!C:C&gt;=$J$4,'领用录入（明细）'!C:C&lt;=$L$4),ROW(),"-")</f>
        <v>-</v>
      </c>
    </row>
    <row r="29731" customHeight="1" spans="2:2">
      <c r="B29731" s="62" t="str">
        <f>IF(AND('领用录入（明细）'!D:D=$F$4,'领用录入（明细）'!C:C&gt;=$J$4,'领用录入（明细）'!C:C&lt;=$L$4),ROW(),"-")</f>
        <v>-</v>
      </c>
    </row>
    <row r="29732" customHeight="1" spans="2:2">
      <c r="B29732" s="62" t="str">
        <f>IF(AND('领用录入（明细）'!D:D=$F$4,'领用录入（明细）'!C:C&gt;=$J$4,'领用录入（明细）'!C:C&lt;=$L$4),ROW(),"-")</f>
        <v>-</v>
      </c>
    </row>
    <row r="29733" customHeight="1" spans="2:2">
      <c r="B29733" s="62" t="str">
        <f>IF(AND('领用录入（明细）'!D:D=$F$4,'领用录入（明细）'!C:C&gt;=$J$4,'领用录入（明细）'!C:C&lt;=$L$4),ROW(),"-")</f>
        <v>-</v>
      </c>
    </row>
    <row r="29734" customHeight="1" spans="2:2">
      <c r="B29734" s="62" t="str">
        <f>IF(AND('领用录入（明细）'!D:D=$F$4,'领用录入（明细）'!C:C&gt;=$J$4,'领用录入（明细）'!C:C&lt;=$L$4),ROW(),"-")</f>
        <v>-</v>
      </c>
    </row>
    <row r="29735" customHeight="1" spans="2:2">
      <c r="B29735" s="62" t="str">
        <f>IF(AND('领用录入（明细）'!D:D=$F$4,'领用录入（明细）'!C:C&gt;=$J$4,'领用录入（明细）'!C:C&lt;=$L$4),ROW(),"-")</f>
        <v>-</v>
      </c>
    </row>
    <row r="29736" customHeight="1" spans="2:2">
      <c r="B29736" s="62" t="str">
        <f>IF(AND('领用录入（明细）'!D:D=$F$4,'领用录入（明细）'!C:C&gt;=$J$4,'领用录入（明细）'!C:C&lt;=$L$4),ROW(),"-")</f>
        <v>-</v>
      </c>
    </row>
    <row r="29737" customHeight="1" spans="2:2">
      <c r="B29737" s="62" t="str">
        <f>IF(AND('领用录入（明细）'!D:D=$F$4,'领用录入（明细）'!C:C&gt;=$J$4,'领用录入（明细）'!C:C&lt;=$L$4),ROW(),"-")</f>
        <v>-</v>
      </c>
    </row>
    <row r="29738" customHeight="1" spans="2:2">
      <c r="B29738" s="62" t="str">
        <f>IF(AND('领用录入（明细）'!D:D=$F$4,'领用录入（明细）'!C:C&gt;=$J$4,'领用录入（明细）'!C:C&lt;=$L$4),ROW(),"-")</f>
        <v>-</v>
      </c>
    </row>
    <row r="29739" customHeight="1" spans="2:2">
      <c r="B29739" s="62" t="str">
        <f>IF(AND('领用录入（明细）'!D:D=$F$4,'领用录入（明细）'!C:C&gt;=$J$4,'领用录入（明细）'!C:C&lt;=$L$4),ROW(),"-")</f>
        <v>-</v>
      </c>
    </row>
    <row r="29740" customHeight="1" spans="2:2">
      <c r="B29740" s="62" t="str">
        <f>IF(AND('领用录入（明细）'!D:D=$F$4,'领用录入（明细）'!C:C&gt;=$J$4,'领用录入（明细）'!C:C&lt;=$L$4),ROW(),"-")</f>
        <v>-</v>
      </c>
    </row>
    <row r="29741" customHeight="1" spans="2:2">
      <c r="B29741" s="62" t="str">
        <f>IF(AND('领用录入（明细）'!D:D=$F$4,'领用录入（明细）'!C:C&gt;=$J$4,'领用录入（明细）'!C:C&lt;=$L$4),ROW(),"-")</f>
        <v>-</v>
      </c>
    </row>
    <row r="29742" customHeight="1" spans="2:2">
      <c r="B29742" s="62" t="str">
        <f>IF(AND('领用录入（明细）'!D:D=$F$4,'领用录入（明细）'!C:C&gt;=$J$4,'领用录入（明细）'!C:C&lt;=$L$4),ROW(),"-")</f>
        <v>-</v>
      </c>
    </row>
    <row r="29743" customHeight="1" spans="2:2">
      <c r="B29743" s="62" t="str">
        <f>IF(AND('领用录入（明细）'!D:D=$F$4,'领用录入（明细）'!C:C&gt;=$J$4,'领用录入（明细）'!C:C&lt;=$L$4),ROW(),"-")</f>
        <v>-</v>
      </c>
    </row>
    <row r="29744" customHeight="1" spans="2:2">
      <c r="B29744" s="62" t="str">
        <f>IF(AND('领用录入（明细）'!D:D=$F$4,'领用录入（明细）'!C:C&gt;=$J$4,'领用录入（明细）'!C:C&lt;=$L$4),ROW(),"-")</f>
        <v>-</v>
      </c>
    </row>
    <row r="29745" customHeight="1" spans="2:2">
      <c r="B29745" s="62" t="str">
        <f>IF(AND('领用录入（明细）'!D:D=$F$4,'领用录入（明细）'!C:C&gt;=$J$4,'领用录入（明细）'!C:C&lt;=$L$4),ROW(),"-")</f>
        <v>-</v>
      </c>
    </row>
    <row r="29746" customHeight="1" spans="2:2">
      <c r="B29746" s="62" t="str">
        <f>IF(AND('领用录入（明细）'!D:D=$F$4,'领用录入（明细）'!C:C&gt;=$J$4,'领用录入（明细）'!C:C&lt;=$L$4),ROW(),"-")</f>
        <v>-</v>
      </c>
    </row>
    <row r="29747" customHeight="1" spans="2:2">
      <c r="B29747" s="62" t="str">
        <f>IF(AND('领用录入（明细）'!D:D=$F$4,'领用录入（明细）'!C:C&gt;=$J$4,'领用录入（明细）'!C:C&lt;=$L$4),ROW(),"-")</f>
        <v>-</v>
      </c>
    </row>
    <row r="29748" customHeight="1" spans="2:2">
      <c r="B29748" s="62" t="str">
        <f>IF(AND('领用录入（明细）'!D:D=$F$4,'领用录入（明细）'!C:C&gt;=$J$4,'领用录入（明细）'!C:C&lt;=$L$4),ROW(),"-")</f>
        <v>-</v>
      </c>
    </row>
    <row r="29749" customHeight="1" spans="2:2">
      <c r="B29749" s="62" t="str">
        <f>IF(AND('领用录入（明细）'!D:D=$F$4,'领用录入（明细）'!C:C&gt;=$J$4,'领用录入（明细）'!C:C&lt;=$L$4),ROW(),"-")</f>
        <v>-</v>
      </c>
    </row>
    <row r="29750" customHeight="1" spans="2:2">
      <c r="B29750" s="62" t="str">
        <f>IF(AND('领用录入（明细）'!D:D=$F$4,'领用录入（明细）'!C:C&gt;=$J$4,'领用录入（明细）'!C:C&lt;=$L$4),ROW(),"-")</f>
        <v>-</v>
      </c>
    </row>
    <row r="29751" customHeight="1" spans="2:2">
      <c r="B29751" s="62" t="str">
        <f>IF(AND('领用录入（明细）'!D:D=$F$4,'领用录入（明细）'!C:C&gt;=$J$4,'领用录入（明细）'!C:C&lt;=$L$4),ROW(),"-")</f>
        <v>-</v>
      </c>
    </row>
    <row r="29752" customHeight="1" spans="2:2">
      <c r="B29752" s="62" t="str">
        <f>IF(AND('领用录入（明细）'!D:D=$F$4,'领用录入（明细）'!C:C&gt;=$J$4,'领用录入（明细）'!C:C&lt;=$L$4),ROW(),"-")</f>
        <v>-</v>
      </c>
    </row>
    <row r="29753" customHeight="1" spans="2:2">
      <c r="B29753" s="62" t="str">
        <f>IF(AND('领用录入（明细）'!D:D=$F$4,'领用录入（明细）'!C:C&gt;=$J$4,'领用录入（明细）'!C:C&lt;=$L$4),ROW(),"-")</f>
        <v>-</v>
      </c>
    </row>
    <row r="29754" customHeight="1" spans="2:2">
      <c r="B29754" s="62" t="str">
        <f>IF(AND('领用录入（明细）'!D:D=$F$4,'领用录入（明细）'!C:C&gt;=$J$4,'领用录入（明细）'!C:C&lt;=$L$4),ROW(),"-")</f>
        <v>-</v>
      </c>
    </row>
    <row r="29755" customHeight="1" spans="2:2">
      <c r="B29755" s="62" t="str">
        <f>IF(AND('领用录入（明细）'!D:D=$F$4,'领用录入（明细）'!C:C&gt;=$J$4,'领用录入（明细）'!C:C&lt;=$L$4),ROW(),"-")</f>
        <v>-</v>
      </c>
    </row>
    <row r="29756" customHeight="1" spans="2:2">
      <c r="B29756" s="62" t="str">
        <f>IF(AND('领用录入（明细）'!D:D=$F$4,'领用录入（明细）'!C:C&gt;=$J$4,'领用录入（明细）'!C:C&lt;=$L$4),ROW(),"-")</f>
        <v>-</v>
      </c>
    </row>
    <row r="29757" customHeight="1" spans="2:2">
      <c r="B29757" s="62" t="str">
        <f>IF(AND('领用录入（明细）'!D:D=$F$4,'领用录入（明细）'!C:C&gt;=$J$4,'领用录入（明细）'!C:C&lt;=$L$4),ROW(),"-")</f>
        <v>-</v>
      </c>
    </row>
    <row r="29758" customHeight="1" spans="2:2">
      <c r="B29758" s="62" t="str">
        <f>IF(AND('领用录入（明细）'!D:D=$F$4,'领用录入（明细）'!C:C&gt;=$J$4,'领用录入（明细）'!C:C&lt;=$L$4),ROW(),"-")</f>
        <v>-</v>
      </c>
    </row>
    <row r="29759" customHeight="1" spans="2:2">
      <c r="B29759" s="62" t="str">
        <f>IF(AND('领用录入（明细）'!D:D=$F$4,'领用录入（明细）'!C:C&gt;=$J$4,'领用录入（明细）'!C:C&lt;=$L$4),ROW(),"-")</f>
        <v>-</v>
      </c>
    </row>
    <row r="29760" customHeight="1" spans="2:2">
      <c r="B29760" s="62" t="str">
        <f>IF(AND('领用录入（明细）'!D:D=$F$4,'领用录入（明细）'!C:C&gt;=$J$4,'领用录入（明细）'!C:C&lt;=$L$4),ROW(),"-")</f>
        <v>-</v>
      </c>
    </row>
    <row r="29761" customHeight="1" spans="2:2">
      <c r="B29761" s="62" t="str">
        <f>IF(AND('领用录入（明细）'!D:D=$F$4,'领用录入（明细）'!C:C&gt;=$J$4,'领用录入（明细）'!C:C&lt;=$L$4),ROW(),"-")</f>
        <v>-</v>
      </c>
    </row>
    <row r="29762" customHeight="1" spans="2:2">
      <c r="B29762" s="62" t="str">
        <f>IF(AND('领用录入（明细）'!D:D=$F$4,'领用录入（明细）'!C:C&gt;=$J$4,'领用录入（明细）'!C:C&lt;=$L$4),ROW(),"-")</f>
        <v>-</v>
      </c>
    </row>
    <row r="29763" customHeight="1" spans="2:2">
      <c r="B29763" s="62" t="str">
        <f>IF(AND('领用录入（明细）'!D:D=$F$4,'领用录入（明细）'!C:C&gt;=$J$4,'领用录入（明细）'!C:C&lt;=$L$4),ROW(),"-")</f>
        <v>-</v>
      </c>
    </row>
    <row r="29764" customHeight="1" spans="2:2">
      <c r="B29764" s="62" t="str">
        <f>IF(AND('领用录入（明细）'!D:D=$F$4,'领用录入（明细）'!C:C&gt;=$J$4,'领用录入（明细）'!C:C&lt;=$L$4),ROW(),"-")</f>
        <v>-</v>
      </c>
    </row>
    <row r="29765" customHeight="1" spans="2:2">
      <c r="B29765" s="62" t="str">
        <f>IF(AND('领用录入（明细）'!D:D=$F$4,'领用录入（明细）'!C:C&gt;=$J$4,'领用录入（明细）'!C:C&lt;=$L$4),ROW(),"-")</f>
        <v>-</v>
      </c>
    </row>
    <row r="29766" customHeight="1" spans="2:2">
      <c r="B29766" s="62" t="str">
        <f>IF(AND('领用录入（明细）'!D:D=$F$4,'领用录入（明细）'!C:C&gt;=$J$4,'领用录入（明细）'!C:C&lt;=$L$4),ROW(),"-")</f>
        <v>-</v>
      </c>
    </row>
    <row r="29767" customHeight="1" spans="2:2">
      <c r="B29767" s="62" t="str">
        <f>IF(AND('领用录入（明细）'!D:D=$F$4,'领用录入（明细）'!C:C&gt;=$J$4,'领用录入（明细）'!C:C&lt;=$L$4),ROW(),"-")</f>
        <v>-</v>
      </c>
    </row>
    <row r="29768" customHeight="1" spans="2:2">
      <c r="B29768" s="62" t="str">
        <f>IF(AND('领用录入（明细）'!D:D=$F$4,'领用录入（明细）'!C:C&gt;=$J$4,'领用录入（明细）'!C:C&lt;=$L$4),ROW(),"-")</f>
        <v>-</v>
      </c>
    </row>
    <row r="29769" customHeight="1" spans="2:2">
      <c r="B29769" s="62" t="str">
        <f>IF(AND('领用录入（明细）'!D:D=$F$4,'领用录入（明细）'!C:C&gt;=$J$4,'领用录入（明细）'!C:C&lt;=$L$4),ROW(),"-")</f>
        <v>-</v>
      </c>
    </row>
    <row r="29770" customHeight="1" spans="2:2">
      <c r="B29770" s="62" t="str">
        <f>IF(AND('领用录入（明细）'!D:D=$F$4,'领用录入（明细）'!C:C&gt;=$J$4,'领用录入（明细）'!C:C&lt;=$L$4),ROW(),"-")</f>
        <v>-</v>
      </c>
    </row>
    <row r="29771" customHeight="1" spans="2:2">
      <c r="B29771" s="62" t="str">
        <f>IF(AND('领用录入（明细）'!D:D=$F$4,'领用录入（明细）'!C:C&gt;=$J$4,'领用录入（明细）'!C:C&lt;=$L$4),ROW(),"-")</f>
        <v>-</v>
      </c>
    </row>
    <row r="29772" customHeight="1" spans="2:2">
      <c r="B29772" s="62" t="str">
        <f>IF(AND('领用录入（明细）'!D:D=$F$4,'领用录入（明细）'!C:C&gt;=$J$4,'领用录入（明细）'!C:C&lt;=$L$4),ROW(),"-")</f>
        <v>-</v>
      </c>
    </row>
    <row r="29773" customHeight="1" spans="2:2">
      <c r="B29773" s="62" t="str">
        <f>IF(AND('领用录入（明细）'!D:D=$F$4,'领用录入（明细）'!C:C&gt;=$J$4,'领用录入（明细）'!C:C&lt;=$L$4),ROW(),"-")</f>
        <v>-</v>
      </c>
    </row>
    <row r="29774" customHeight="1" spans="2:2">
      <c r="B29774" s="62" t="str">
        <f>IF(AND('领用录入（明细）'!D:D=$F$4,'领用录入（明细）'!C:C&gt;=$J$4,'领用录入（明细）'!C:C&lt;=$L$4),ROW(),"-")</f>
        <v>-</v>
      </c>
    </row>
    <row r="29775" customHeight="1" spans="2:2">
      <c r="B29775" s="62" t="str">
        <f>IF(AND('领用录入（明细）'!D:D=$F$4,'领用录入（明细）'!C:C&gt;=$J$4,'领用录入（明细）'!C:C&lt;=$L$4),ROW(),"-")</f>
        <v>-</v>
      </c>
    </row>
    <row r="29776" customHeight="1" spans="2:2">
      <c r="B29776" s="62" t="str">
        <f>IF(AND('领用录入（明细）'!D:D=$F$4,'领用录入（明细）'!C:C&gt;=$J$4,'领用录入（明细）'!C:C&lt;=$L$4),ROW(),"-")</f>
        <v>-</v>
      </c>
    </row>
    <row r="29777" customHeight="1" spans="2:2">
      <c r="B29777" s="62" t="str">
        <f>IF(AND('领用录入（明细）'!D:D=$F$4,'领用录入（明细）'!C:C&gt;=$J$4,'领用录入（明细）'!C:C&lt;=$L$4),ROW(),"-")</f>
        <v>-</v>
      </c>
    </row>
    <row r="29778" customHeight="1" spans="2:2">
      <c r="B29778" s="62" t="str">
        <f>IF(AND('领用录入（明细）'!D:D=$F$4,'领用录入（明细）'!C:C&gt;=$J$4,'领用录入（明细）'!C:C&lt;=$L$4),ROW(),"-")</f>
        <v>-</v>
      </c>
    </row>
    <row r="29779" customHeight="1" spans="2:2">
      <c r="B29779" s="62" t="str">
        <f>IF(AND('领用录入（明细）'!D:D=$F$4,'领用录入（明细）'!C:C&gt;=$J$4,'领用录入（明细）'!C:C&lt;=$L$4),ROW(),"-")</f>
        <v>-</v>
      </c>
    </row>
    <row r="29780" customHeight="1" spans="2:2">
      <c r="B29780" s="62" t="str">
        <f>IF(AND('领用录入（明细）'!D:D=$F$4,'领用录入（明细）'!C:C&gt;=$J$4,'领用录入（明细）'!C:C&lt;=$L$4),ROW(),"-")</f>
        <v>-</v>
      </c>
    </row>
    <row r="29781" customHeight="1" spans="2:2">
      <c r="B29781" s="62" t="str">
        <f>IF(AND('领用录入（明细）'!D:D=$F$4,'领用录入（明细）'!C:C&gt;=$J$4,'领用录入（明细）'!C:C&lt;=$L$4),ROW(),"-")</f>
        <v>-</v>
      </c>
    </row>
    <row r="29782" customHeight="1" spans="2:2">
      <c r="B29782" s="62" t="str">
        <f>IF(AND('领用录入（明细）'!D:D=$F$4,'领用录入（明细）'!C:C&gt;=$J$4,'领用录入（明细）'!C:C&lt;=$L$4),ROW(),"-")</f>
        <v>-</v>
      </c>
    </row>
    <row r="29783" customHeight="1" spans="2:2">
      <c r="B29783" s="62" t="str">
        <f>IF(AND('领用录入（明细）'!D:D=$F$4,'领用录入（明细）'!C:C&gt;=$J$4,'领用录入（明细）'!C:C&lt;=$L$4),ROW(),"-")</f>
        <v>-</v>
      </c>
    </row>
    <row r="29784" customHeight="1" spans="2:2">
      <c r="B29784" s="62" t="str">
        <f>IF(AND('领用录入（明细）'!D:D=$F$4,'领用录入（明细）'!C:C&gt;=$J$4,'领用录入（明细）'!C:C&lt;=$L$4),ROW(),"-")</f>
        <v>-</v>
      </c>
    </row>
    <row r="29785" customHeight="1" spans="2:2">
      <c r="B29785" s="62" t="str">
        <f>IF(AND('领用录入（明细）'!D:D=$F$4,'领用录入（明细）'!C:C&gt;=$J$4,'领用录入（明细）'!C:C&lt;=$L$4),ROW(),"-")</f>
        <v>-</v>
      </c>
    </row>
    <row r="29786" customHeight="1" spans="2:2">
      <c r="B29786" s="62" t="str">
        <f>IF(AND('领用录入（明细）'!D:D=$F$4,'领用录入（明细）'!C:C&gt;=$J$4,'领用录入（明细）'!C:C&lt;=$L$4),ROW(),"-")</f>
        <v>-</v>
      </c>
    </row>
    <row r="29787" customHeight="1" spans="2:2">
      <c r="B29787" s="62" t="str">
        <f>IF(AND('领用录入（明细）'!D:D=$F$4,'领用录入（明细）'!C:C&gt;=$J$4,'领用录入（明细）'!C:C&lt;=$L$4),ROW(),"-")</f>
        <v>-</v>
      </c>
    </row>
    <row r="29788" customHeight="1" spans="2:2">
      <c r="B29788" s="62" t="str">
        <f>IF(AND('领用录入（明细）'!D:D=$F$4,'领用录入（明细）'!C:C&gt;=$J$4,'领用录入（明细）'!C:C&lt;=$L$4),ROW(),"-")</f>
        <v>-</v>
      </c>
    </row>
    <row r="29789" customHeight="1" spans="2:2">
      <c r="B29789" s="62" t="str">
        <f>IF(AND('领用录入（明细）'!D:D=$F$4,'领用录入（明细）'!C:C&gt;=$J$4,'领用录入（明细）'!C:C&lt;=$L$4),ROW(),"-")</f>
        <v>-</v>
      </c>
    </row>
    <row r="29790" customHeight="1" spans="2:2">
      <c r="B29790" s="62" t="str">
        <f>IF(AND('领用录入（明细）'!D:D=$F$4,'领用录入（明细）'!C:C&gt;=$J$4,'领用录入（明细）'!C:C&lt;=$L$4),ROW(),"-")</f>
        <v>-</v>
      </c>
    </row>
    <row r="29791" customHeight="1" spans="2:2">
      <c r="B29791" s="62" t="str">
        <f>IF(AND('领用录入（明细）'!D:D=$F$4,'领用录入（明细）'!C:C&gt;=$J$4,'领用录入（明细）'!C:C&lt;=$L$4),ROW(),"-")</f>
        <v>-</v>
      </c>
    </row>
    <row r="29792" customHeight="1" spans="2:2">
      <c r="B29792" s="62" t="str">
        <f>IF(AND('领用录入（明细）'!D:D=$F$4,'领用录入（明细）'!C:C&gt;=$J$4,'领用录入（明细）'!C:C&lt;=$L$4),ROW(),"-")</f>
        <v>-</v>
      </c>
    </row>
    <row r="29793" customHeight="1" spans="2:2">
      <c r="B29793" s="62" t="str">
        <f>IF(AND('领用录入（明细）'!D:D=$F$4,'领用录入（明细）'!C:C&gt;=$J$4,'领用录入（明细）'!C:C&lt;=$L$4),ROW(),"-")</f>
        <v>-</v>
      </c>
    </row>
    <row r="29794" customHeight="1" spans="2:2">
      <c r="B29794" s="62" t="str">
        <f>IF(AND('领用录入（明细）'!D:D=$F$4,'领用录入（明细）'!C:C&gt;=$J$4,'领用录入（明细）'!C:C&lt;=$L$4),ROW(),"-")</f>
        <v>-</v>
      </c>
    </row>
    <row r="29795" customHeight="1" spans="2:2">
      <c r="B29795" s="62" t="str">
        <f>IF(AND('领用录入（明细）'!D:D=$F$4,'领用录入（明细）'!C:C&gt;=$J$4,'领用录入（明细）'!C:C&lt;=$L$4),ROW(),"-")</f>
        <v>-</v>
      </c>
    </row>
    <row r="29796" customHeight="1" spans="2:2">
      <c r="B29796" s="62" t="str">
        <f>IF(AND('领用录入（明细）'!D:D=$F$4,'领用录入（明细）'!C:C&gt;=$J$4,'领用录入（明细）'!C:C&lt;=$L$4),ROW(),"-")</f>
        <v>-</v>
      </c>
    </row>
    <row r="29797" customHeight="1" spans="2:2">
      <c r="B29797" s="62" t="str">
        <f>IF(AND('领用录入（明细）'!D:D=$F$4,'领用录入（明细）'!C:C&gt;=$J$4,'领用录入（明细）'!C:C&lt;=$L$4),ROW(),"-")</f>
        <v>-</v>
      </c>
    </row>
    <row r="29798" customHeight="1" spans="2:2">
      <c r="B29798" s="62" t="str">
        <f>IF(AND('领用录入（明细）'!D:D=$F$4,'领用录入（明细）'!C:C&gt;=$J$4,'领用录入（明细）'!C:C&lt;=$L$4),ROW(),"-")</f>
        <v>-</v>
      </c>
    </row>
    <row r="29799" customHeight="1" spans="2:2">
      <c r="B29799" s="62" t="str">
        <f>IF(AND('领用录入（明细）'!D:D=$F$4,'领用录入（明细）'!C:C&gt;=$J$4,'领用录入（明细）'!C:C&lt;=$L$4),ROW(),"-")</f>
        <v>-</v>
      </c>
    </row>
    <row r="29800" customHeight="1" spans="2:2">
      <c r="B29800" s="62" t="str">
        <f>IF(AND('领用录入（明细）'!D:D=$F$4,'领用录入（明细）'!C:C&gt;=$J$4,'领用录入（明细）'!C:C&lt;=$L$4),ROW(),"-")</f>
        <v>-</v>
      </c>
    </row>
    <row r="29801" customHeight="1" spans="2:2">
      <c r="B29801" s="62" t="str">
        <f>IF(AND('领用录入（明细）'!D:D=$F$4,'领用录入（明细）'!C:C&gt;=$J$4,'领用录入（明细）'!C:C&lt;=$L$4),ROW(),"-")</f>
        <v>-</v>
      </c>
    </row>
    <row r="29802" customHeight="1" spans="2:2">
      <c r="B29802" s="62" t="str">
        <f>IF(AND('领用录入（明细）'!D:D=$F$4,'领用录入（明细）'!C:C&gt;=$J$4,'领用录入（明细）'!C:C&lt;=$L$4),ROW(),"-")</f>
        <v>-</v>
      </c>
    </row>
    <row r="29803" customHeight="1" spans="2:2">
      <c r="B29803" s="62" t="str">
        <f>IF(AND('领用录入（明细）'!D:D=$F$4,'领用录入（明细）'!C:C&gt;=$J$4,'领用录入（明细）'!C:C&lt;=$L$4),ROW(),"-")</f>
        <v>-</v>
      </c>
    </row>
    <row r="29804" customHeight="1" spans="2:2">
      <c r="B29804" s="62" t="str">
        <f>IF(AND('领用录入（明细）'!D:D=$F$4,'领用录入（明细）'!C:C&gt;=$J$4,'领用录入（明细）'!C:C&lt;=$L$4),ROW(),"-")</f>
        <v>-</v>
      </c>
    </row>
    <row r="29805" customHeight="1" spans="2:2">
      <c r="B29805" s="62" t="str">
        <f>IF(AND('领用录入（明细）'!D:D=$F$4,'领用录入（明细）'!C:C&gt;=$J$4,'领用录入（明细）'!C:C&lt;=$L$4),ROW(),"-")</f>
        <v>-</v>
      </c>
    </row>
    <row r="29806" customHeight="1" spans="2:2">
      <c r="B29806" s="62" t="str">
        <f>IF(AND('领用录入（明细）'!D:D=$F$4,'领用录入（明细）'!C:C&gt;=$J$4,'领用录入（明细）'!C:C&lt;=$L$4),ROW(),"-")</f>
        <v>-</v>
      </c>
    </row>
    <row r="29807" customHeight="1" spans="2:2">
      <c r="B29807" s="62" t="str">
        <f>IF(AND('领用录入（明细）'!D:D=$F$4,'领用录入（明细）'!C:C&gt;=$J$4,'领用录入（明细）'!C:C&lt;=$L$4),ROW(),"-")</f>
        <v>-</v>
      </c>
    </row>
    <row r="29808" customHeight="1" spans="2:2">
      <c r="B29808" s="62" t="str">
        <f>IF(AND('领用录入（明细）'!D:D=$F$4,'领用录入（明细）'!C:C&gt;=$J$4,'领用录入（明细）'!C:C&lt;=$L$4),ROW(),"-")</f>
        <v>-</v>
      </c>
    </row>
    <row r="29809" customHeight="1" spans="2:2">
      <c r="B29809" s="62" t="str">
        <f>IF(AND('领用录入（明细）'!D:D=$F$4,'领用录入（明细）'!C:C&gt;=$J$4,'领用录入（明细）'!C:C&lt;=$L$4),ROW(),"-")</f>
        <v>-</v>
      </c>
    </row>
    <row r="29810" customHeight="1" spans="2:2">
      <c r="B29810" s="62" t="str">
        <f>IF(AND('领用录入（明细）'!D:D=$F$4,'领用录入（明细）'!C:C&gt;=$J$4,'领用录入（明细）'!C:C&lt;=$L$4),ROW(),"-")</f>
        <v>-</v>
      </c>
    </row>
    <row r="29811" customHeight="1" spans="2:2">
      <c r="B29811" s="62" t="str">
        <f>IF(AND('领用录入（明细）'!D:D=$F$4,'领用录入（明细）'!C:C&gt;=$J$4,'领用录入（明细）'!C:C&lt;=$L$4),ROW(),"-")</f>
        <v>-</v>
      </c>
    </row>
    <row r="29812" customHeight="1" spans="2:2">
      <c r="B29812" s="62" t="str">
        <f>IF(AND('领用录入（明细）'!D:D=$F$4,'领用录入（明细）'!C:C&gt;=$J$4,'领用录入（明细）'!C:C&lt;=$L$4),ROW(),"-")</f>
        <v>-</v>
      </c>
    </row>
    <row r="29813" customHeight="1" spans="2:2">
      <c r="B29813" s="62" t="str">
        <f>IF(AND('领用录入（明细）'!D:D=$F$4,'领用录入（明细）'!C:C&gt;=$J$4,'领用录入（明细）'!C:C&lt;=$L$4),ROW(),"-")</f>
        <v>-</v>
      </c>
    </row>
    <row r="29814" customHeight="1" spans="2:2">
      <c r="B29814" s="62" t="str">
        <f>IF(AND('领用录入（明细）'!D:D=$F$4,'领用录入（明细）'!C:C&gt;=$J$4,'领用录入（明细）'!C:C&lt;=$L$4),ROW(),"-")</f>
        <v>-</v>
      </c>
    </row>
    <row r="29815" customHeight="1" spans="2:2">
      <c r="B29815" s="62" t="str">
        <f>IF(AND('领用录入（明细）'!D:D=$F$4,'领用录入（明细）'!C:C&gt;=$J$4,'领用录入（明细）'!C:C&lt;=$L$4),ROW(),"-")</f>
        <v>-</v>
      </c>
    </row>
    <row r="29816" customHeight="1" spans="2:2">
      <c r="B29816" s="62" t="str">
        <f>IF(AND('领用录入（明细）'!D:D=$F$4,'领用录入（明细）'!C:C&gt;=$J$4,'领用录入（明细）'!C:C&lt;=$L$4),ROW(),"-")</f>
        <v>-</v>
      </c>
    </row>
    <row r="29817" customHeight="1" spans="2:2">
      <c r="B29817" s="62" t="str">
        <f>IF(AND('领用录入（明细）'!D:D=$F$4,'领用录入（明细）'!C:C&gt;=$J$4,'领用录入（明细）'!C:C&lt;=$L$4),ROW(),"-")</f>
        <v>-</v>
      </c>
    </row>
    <row r="29818" customHeight="1" spans="2:2">
      <c r="B29818" s="62" t="str">
        <f>IF(AND('领用录入（明细）'!D:D=$F$4,'领用录入（明细）'!C:C&gt;=$J$4,'领用录入（明细）'!C:C&lt;=$L$4),ROW(),"-")</f>
        <v>-</v>
      </c>
    </row>
    <row r="29819" customHeight="1" spans="2:2">
      <c r="B29819" s="62" t="str">
        <f>IF(AND('领用录入（明细）'!D:D=$F$4,'领用录入（明细）'!C:C&gt;=$J$4,'领用录入（明细）'!C:C&lt;=$L$4),ROW(),"-")</f>
        <v>-</v>
      </c>
    </row>
    <row r="29820" customHeight="1" spans="2:2">
      <c r="B29820" s="62" t="str">
        <f>IF(AND('领用录入（明细）'!D:D=$F$4,'领用录入（明细）'!C:C&gt;=$J$4,'领用录入（明细）'!C:C&lt;=$L$4),ROW(),"-")</f>
        <v>-</v>
      </c>
    </row>
    <row r="29821" customHeight="1" spans="2:2">
      <c r="B29821" s="62" t="str">
        <f>IF(AND('领用录入（明细）'!D:D=$F$4,'领用录入（明细）'!C:C&gt;=$J$4,'领用录入（明细）'!C:C&lt;=$L$4),ROW(),"-")</f>
        <v>-</v>
      </c>
    </row>
    <row r="29822" customHeight="1" spans="2:2">
      <c r="B29822" s="62" t="str">
        <f>IF(AND('领用录入（明细）'!D:D=$F$4,'领用录入（明细）'!C:C&gt;=$J$4,'领用录入（明细）'!C:C&lt;=$L$4),ROW(),"-")</f>
        <v>-</v>
      </c>
    </row>
    <row r="29823" customHeight="1" spans="2:2">
      <c r="B29823" s="62" t="str">
        <f>IF(AND('领用录入（明细）'!D:D=$F$4,'领用录入（明细）'!C:C&gt;=$J$4,'领用录入（明细）'!C:C&lt;=$L$4),ROW(),"-")</f>
        <v>-</v>
      </c>
    </row>
    <row r="29824" customHeight="1" spans="2:2">
      <c r="B29824" s="62" t="str">
        <f>IF(AND('领用录入（明细）'!D:D=$F$4,'领用录入（明细）'!C:C&gt;=$J$4,'领用录入（明细）'!C:C&lt;=$L$4),ROW(),"-")</f>
        <v>-</v>
      </c>
    </row>
    <row r="29825" customHeight="1" spans="2:2">
      <c r="B29825" s="62" t="str">
        <f>IF(AND('领用录入（明细）'!D:D=$F$4,'领用录入（明细）'!C:C&gt;=$J$4,'领用录入（明细）'!C:C&lt;=$L$4),ROW(),"-")</f>
        <v>-</v>
      </c>
    </row>
    <row r="29826" customHeight="1" spans="2:2">
      <c r="B29826" s="62" t="str">
        <f>IF(AND('领用录入（明细）'!D:D=$F$4,'领用录入（明细）'!C:C&gt;=$J$4,'领用录入（明细）'!C:C&lt;=$L$4),ROW(),"-")</f>
        <v>-</v>
      </c>
    </row>
    <row r="29827" customHeight="1" spans="2:2">
      <c r="B29827" s="62" t="str">
        <f>IF(AND('领用录入（明细）'!D:D=$F$4,'领用录入（明细）'!C:C&gt;=$J$4,'领用录入（明细）'!C:C&lt;=$L$4),ROW(),"-")</f>
        <v>-</v>
      </c>
    </row>
    <row r="29828" customHeight="1" spans="2:2">
      <c r="B29828" s="62" t="str">
        <f>IF(AND('领用录入（明细）'!D:D=$F$4,'领用录入（明细）'!C:C&gt;=$J$4,'领用录入（明细）'!C:C&lt;=$L$4),ROW(),"-")</f>
        <v>-</v>
      </c>
    </row>
    <row r="29829" customHeight="1" spans="2:2">
      <c r="B29829" s="62" t="str">
        <f>IF(AND('领用录入（明细）'!D:D=$F$4,'领用录入（明细）'!C:C&gt;=$J$4,'领用录入（明细）'!C:C&lt;=$L$4),ROW(),"-")</f>
        <v>-</v>
      </c>
    </row>
    <row r="29830" customHeight="1" spans="2:2">
      <c r="B29830" s="62" t="str">
        <f>IF(AND('领用录入（明细）'!D:D=$F$4,'领用录入（明细）'!C:C&gt;=$J$4,'领用录入（明细）'!C:C&lt;=$L$4),ROW(),"-")</f>
        <v>-</v>
      </c>
    </row>
    <row r="29831" customHeight="1" spans="2:2">
      <c r="B29831" s="62" t="str">
        <f>IF(AND('领用录入（明细）'!D:D=$F$4,'领用录入（明细）'!C:C&gt;=$J$4,'领用录入（明细）'!C:C&lt;=$L$4),ROW(),"-")</f>
        <v>-</v>
      </c>
    </row>
    <row r="29832" customHeight="1" spans="2:2">
      <c r="B29832" s="62" t="str">
        <f>IF(AND('领用录入（明细）'!D:D=$F$4,'领用录入（明细）'!C:C&gt;=$J$4,'领用录入（明细）'!C:C&lt;=$L$4),ROW(),"-")</f>
        <v>-</v>
      </c>
    </row>
    <row r="29833" customHeight="1" spans="2:2">
      <c r="B29833" s="62" t="str">
        <f>IF(AND('领用录入（明细）'!D:D=$F$4,'领用录入（明细）'!C:C&gt;=$J$4,'领用录入（明细）'!C:C&lt;=$L$4),ROW(),"-")</f>
        <v>-</v>
      </c>
    </row>
    <row r="29834" customHeight="1" spans="2:2">
      <c r="B29834" s="62" t="str">
        <f>IF(AND('领用录入（明细）'!D:D=$F$4,'领用录入（明细）'!C:C&gt;=$J$4,'领用录入（明细）'!C:C&lt;=$L$4),ROW(),"-")</f>
        <v>-</v>
      </c>
    </row>
    <row r="29835" customHeight="1" spans="2:2">
      <c r="B29835" s="62" t="str">
        <f>IF(AND('领用录入（明细）'!D:D=$F$4,'领用录入（明细）'!C:C&gt;=$J$4,'领用录入（明细）'!C:C&lt;=$L$4),ROW(),"-")</f>
        <v>-</v>
      </c>
    </row>
    <row r="29836" customHeight="1" spans="2:2">
      <c r="B29836" s="62" t="str">
        <f>IF(AND('领用录入（明细）'!D:D=$F$4,'领用录入（明细）'!C:C&gt;=$J$4,'领用录入（明细）'!C:C&lt;=$L$4),ROW(),"-")</f>
        <v>-</v>
      </c>
    </row>
    <row r="29837" customHeight="1" spans="2:2">
      <c r="B29837" s="62" t="str">
        <f>IF(AND('领用录入（明细）'!D:D=$F$4,'领用录入（明细）'!C:C&gt;=$J$4,'领用录入（明细）'!C:C&lt;=$L$4),ROW(),"-")</f>
        <v>-</v>
      </c>
    </row>
    <row r="29838" customHeight="1" spans="2:2">
      <c r="B29838" s="62" t="str">
        <f>IF(AND('领用录入（明细）'!D:D=$F$4,'领用录入（明细）'!C:C&gt;=$J$4,'领用录入（明细）'!C:C&lt;=$L$4),ROW(),"-")</f>
        <v>-</v>
      </c>
    </row>
    <row r="29839" customHeight="1" spans="2:2">
      <c r="B29839" s="62" t="str">
        <f>IF(AND('领用录入（明细）'!D:D=$F$4,'领用录入（明细）'!C:C&gt;=$J$4,'领用录入（明细）'!C:C&lt;=$L$4),ROW(),"-")</f>
        <v>-</v>
      </c>
    </row>
    <row r="29840" customHeight="1" spans="2:2">
      <c r="B29840" s="62" t="str">
        <f>IF(AND('领用录入（明细）'!D:D=$F$4,'领用录入（明细）'!C:C&gt;=$J$4,'领用录入（明细）'!C:C&lt;=$L$4),ROW(),"-")</f>
        <v>-</v>
      </c>
    </row>
    <row r="29841" customHeight="1" spans="2:2">
      <c r="B29841" s="62" t="str">
        <f>IF(AND('领用录入（明细）'!D:D=$F$4,'领用录入（明细）'!C:C&gt;=$J$4,'领用录入（明细）'!C:C&lt;=$L$4),ROW(),"-")</f>
        <v>-</v>
      </c>
    </row>
    <row r="29842" customHeight="1" spans="2:2">
      <c r="B29842" s="62" t="str">
        <f>IF(AND('领用录入（明细）'!D:D=$F$4,'领用录入（明细）'!C:C&gt;=$J$4,'领用录入（明细）'!C:C&lt;=$L$4),ROW(),"-")</f>
        <v>-</v>
      </c>
    </row>
    <row r="29843" customHeight="1" spans="2:2">
      <c r="B29843" s="62" t="str">
        <f>IF(AND('领用录入（明细）'!D:D=$F$4,'领用录入（明细）'!C:C&gt;=$J$4,'领用录入（明细）'!C:C&lt;=$L$4),ROW(),"-")</f>
        <v>-</v>
      </c>
    </row>
    <row r="29844" customHeight="1" spans="2:2">
      <c r="B29844" s="62" t="str">
        <f>IF(AND('领用录入（明细）'!D:D=$F$4,'领用录入（明细）'!C:C&gt;=$J$4,'领用录入（明细）'!C:C&lt;=$L$4),ROW(),"-")</f>
        <v>-</v>
      </c>
    </row>
    <row r="29845" customHeight="1" spans="2:2">
      <c r="B29845" s="62" t="str">
        <f>IF(AND('领用录入（明细）'!D:D=$F$4,'领用录入（明细）'!C:C&gt;=$J$4,'领用录入（明细）'!C:C&lt;=$L$4),ROW(),"-")</f>
        <v>-</v>
      </c>
    </row>
    <row r="29846" customHeight="1" spans="2:2">
      <c r="B29846" s="62" t="str">
        <f>IF(AND('领用录入（明细）'!D:D=$F$4,'领用录入（明细）'!C:C&gt;=$J$4,'领用录入（明细）'!C:C&lt;=$L$4),ROW(),"-")</f>
        <v>-</v>
      </c>
    </row>
    <row r="29847" customHeight="1" spans="2:2">
      <c r="B29847" s="62" t="str">
        <f>IF(AND('领用录入（明细）'!D:D=$F$4,'领用录入（明细）'!C:C&gt;=$J$4,'领用录入（明细）'!C:C&lt;=$L$4),ROW(),"-")</f>
        <v>-</v>
      </c>
    </row>
    <row r="29848" customHeight="1" spans="2:2">
      <c r="B29848" s="62" t="str">
        <f>IF(AND('领用录入（明细）'!D:D=$F$4,'领用录入（明细）'!C:C&gt;=$J$4,'领用录入（明细）'!C:C&lt;=$L$4),ROW(),"-")</f>
        <v>-</v>
      </c>
    </row>
    <row r="29849" customHeight="1" spans="2:2">
      <c r="B29849" s="62" t="str">
        <f>IF(AND('领用录入（明细）'!D:D=$F$4,'领用录入（明细）'!C:C&gt;=$J$4,'领用录入（明细）'!C:C&lt;=$L$4),ROW(),"-")</f>
        <v>-</v>
      </c>
    </row>
    <row r="29850" customHeight="1" spans="2:2">
      <c r="B29850" s="62" t="str">
        <f>IF(AND('领用录入（明细）'!D:D=$F$4,'领用录入（明细）'!C:C&gt;=$J$4,'领用录入（明细）'!C:C&lt;=$L$4),ROW(),"-")</f>
        <v>-</v>
      </c>
    </row>
    <row r="29851" customHeight="1" spans="2:2">
      <c r="B29851" s="62" t="str">
        <f>IF(AND('领用录入（明细）'!D:D=$F$4,'领用录入（明细）'!C:C&gt;=$J$4,'领用录入（明细）'!C:C&lt;=$L$4),ROW(),"-")</f>
        <v>-</v>
      </c>
    </row>
    <row r="29852" customHeight="1" spans="2:2">
      <c r="B29852" s="62" t="str">
        <f>IF(AND('领用录入（明细）'!D:D=$F$4,'领用录入（明细）'!C:C&gt;=$J$4,'领用录入（明细）'!C:C&lt;=$L$4),ROW(),"-")</f>
        <v>-</v>
      </c>
    </row>
    <row r="29853" customHeight="1" spans="2:2">
      <c r="B29853" s="62" t="str">
        <f>IF(AND('领用录入（明细）'!D:D=$F$4,'领用录入（明细）'!C:C&gt;=$J$4,'领用录入（明细）'!C:C&lt;=$L$4),ROW(),"-")</f>
        <v>-</v>
      </c>
    </row>
    <row r="29854" customHeight="1" spans="2:2">
      <c r="B29854" s="62" t="str">
        <f>IF(AND('领用录入（明细）'!D:D=$F$4,'领用录入（明细）'!C:C&gt;=$J$4,'领用录入（明细）'!C:C&lt;=$L$4),ROW(),"-")</f>
        <v>-</v>
      </c>
    </row>
    <row r="29855" customHeight="1" spans="2:2">
      <c r="B29855" s="62" t="str">
        <f>IF(AND('领用录入（明细）'!D:D=$F$4,'领用录入（明细）'!C:C&gt;=$J$4,'领用录入（明细）'!C:C&lt;=$L$4),ROW(),"-")</f>
        <v>-</v>
      </c>
    </row>
    <row r="29856" customHeight="1" spans="2:2">
      <c r="B29856" s="62" t="str">
        <f>IF(AND('领用录入（明细）'!D:D=$F$4,'领用录入（明细）'!C:C&gt;=$J$4,'领用录入（明细）'!C:C&lt;=$L$4),ROW(),"-")</f>
        <v>-</v>
      </c>
    </row>
    <row r="29857" customHeight="1" spans="2:2">
      <c r="B29857" s="62" t="str">
        <f>IF(AND('领用录入（明细）'!D:D=$F$4,'领用录入（明细）'!C:C&gt;=$J$4,'领用录入（明细）'!C:C&lt;=$L$4),ROW(),"-")</f>
        <v>-</v>
      </c>
    </row>
    <row r="29858" customHeight="1" spans="2:2">
      <c r="B29858" s="62" t="str">
        <f>IF(AND('领用录入（明细）'!D:D=$F$4,'领用录入（明细）'!C:C&gt;=$J$4,'领用录入（明细）'!C:C&lt;=$L$4),ROW(),"-")</f>
        <v>-</v>
      </c>
    </row>
    <row r="29859" customHeight="1" spans="2:2">
      <c r="B29859" s="62" t="str">
        <f>IF(AND('领用录入（明细）'!D:D=$F$4,'领用录入（明细）'!C:C&gt;=$J$4,'领用录入（明细）'!C:C&lt;=$L$4),ROW(),"-")</f>
        <v>-</v>
      </c>
    </row>
    <row r="29860" customHeight="1" spans="2:2">
      <c r="B29860" s="62" t="str">
        <f>IF(AND('领用录入（明细）'!D:D=$F$4,'领用录入（明细）'!C:C&gt;=$J$4,'领用录入（明细）'!C:C&lt;=$L$4),ROW(),"-")</f>
        <v>-</v>
      </c>
    </row>
    <row r="29861" customHeight="1" spans="2:2">
      <c r="B29861" s="62" t="str">
        <f>IF(AND('领用录入（明细）'!D:D=$F$4,'领用录入（明细）'!C:C&gt;=$J$4,'领用录入（明细）'!C:C&lt;=$L$4),ROW(),"-")</f>
        <v>-</v>
      </c>
    </row>
    <row r="29862" customHeight="1" spans="2:2">
      <c r="B29862" s="62" t="str">
        <f>IF(AND('领用录入（明细）'!D:D=$F$4,'领用录入（明细）'!C:C&gt;=$J$4,'领用录入（明细）'!C:C&lt;=$L$4),ROW(),"-")</f>
        <v>-</v>
      </c>
    </row>
    <row r="29863" customHeight="1" spans="2:2">
      <c r="B29863" s="62" t="str">
        <f>IF(AND('领用录入（明细）'!D:D=$F$4,'领用录入（明细）'!C:C&gt;=$J$4,'领用录入（明细）'!C:C&lt;=$L$4),ROW(),"-")</f>
        <v>-</v>
      </c>
    </row>
    <row r="29864" customHeight="1" spans="2:2">
      <c r="B29864" s="62" t="str">
        <f>IF(AND('领用录入（明细）'!D:D=$F$4,'领用录入（明细）'!C:C&gt;=$J$4,'领用录入（明细）'!C:C&lt;=$L$4),ROW(),"-")</f>
        <v>-</v>
      </c>
    </row>
    <row r="29865" customHeight="1" spans="2:2">
      <c r="B29865" s="62" t="str">
        <f>IF(AND('领用录入（明细）'!D:D=$F$4,'领用录入（明细）'!C:C&gt;=$J$4,'领用录入（明细）'!C:C&lt;=$L$4),ROW(),"-")</f>
        <v>-</v>
      </c>
    </row>
    <row r="29866" customHeight="1" spans="2:2">
      <c r="B29866" s="62" t="str">
        <f>IF(AND('领用录入（明细）'!D:D=$F$4,'领用录入（明细）'!C:C&gt;=$J$4,'领用录入（明细）'!C:C&lt;=$L$4),ROW(),"-")</f>
        <v>-</v>
      </c>
    </row>
    <row r="29867" customHeight="1" spans="2:2">
      <c r="B29867" s="62" t="str">
        <f>IF(AND('领用录入（明细）'!D:D=$F$4,'领用录入（明细）'!C:C&gt;=$J$4,'领用录入（明细）'!C:C&lt;=$L$4),ROW(),"-")</f>
        <v>-</v>
      </c>
    </row>
    <row r="29868" customHeight="1" spans="2:2">
      <c r="B29868" s="62" t="str">
        <f>IF(AND('领用录入（明细）'!D:D=$F$4,'领用录入（明细）'!C:C&gt;=$J$4,'领用录入（明细）'!C:C&lt;=$L$4),ROW(),"-")</f>
        <v>-</v>
      </c>
    </row>
    <row r="29869" customHeight="1" spans="2:2">
      <c r="B29869" s="62" t="str">
        <f>IF(AND('领用录入（明细）'!D:D=$F$4,'领用录入（明细）'!C:C&gt;=$J$4,'领用录入（明细）'!C:C&lt;=$L$4),ROW(),"-")</f>
        <v>-</v>
      </c>
    </row>
    <row r="29870" customHeight="1" spans="2:2">
      <c r="B29870" s="62" t="str">
        <f>IF(AND('领用录入（明细）'!D:D=$F$4,'领用录入（明细）'!C:C&gt;=$J$4,'领用录入（明细）'!C:C&lt;=$L$4),ROW(),"-")</f>
        <v>-</v>
      </c>
    </row>
    <row r="29871" customHeight="1" spans="2:2">
      <c r="B29871" s="62" t="str">
        <f>IF(AND('领用录入（明细）'!D:D=$F$4,'领用录入（明细）'!C:C&gt;=$J$4,'领用录入（明细）'!C:C&lt;=$L$4),ROW(),"-")</f>
        <v>-</v>
      </c>
    </row>
    <row r="29872" customHeight="1" spans="2:2">
      <c r="B29872" s="62" t="str">
        <f>IF(AND('领用录入（明细）'!D:D=$F$4,'领用录入（明细）'!C:C&gt;=$J$4,'领用录入（明细）'!C:C&lt;=$L$4),ROW(),"-")</f>
        <v>-</v>
      </c>
    </row>
    <row r="29873" customHeight="1" spans="2:2">
      <c r="B29873" s="62" t="str">
        <f>IF(AND('领用录入（明细）'!D:D=$F$4,'领用录入（明细）'!C:C&gt;=$J$4,'领用录入（明细）'!C:C&lt;=$L$4),ROW(),"-")</f>
        <v>-</v>
      </c>
    </row>
    <row r="29874" customHeight="1" spans="2:2">
      <c r="B29874" s="62" t="str">
        <f>IF(AND('领用录入（明细）'!D:D=$F$4,'领用录入（明细）'!C:C&gt;=$J$4,'领用录入（明细）'!C:C&lt;=$L$4),ROW(),"-")</f>
        <v>-</v>
      </c>
    </row>
    <row r="29875" customHeight="1" spans="2:2">
      <c r="B29875" s="62" t="str">
        <f>IF(AND('领用录入（明细）'!D:D=$F$4,'领用录入（明细）'!C:C&gt;=$J$4,'领用录入（明细）'!C:C&lt;=$L$4),ROW(),"-")</f>
        <v>-</v>
      </c>
    </row>
    <row r="29876" customHeight="1" spans="2:2">
      <c r="B29876" s="62" t="str">
        <f>IF(AND('领用录入（明细）'!D:D=$F$4,'领用录入（明细）'!C:C&gt;=$J$4,'领用录入（明细）'!C:C&lt;=$L$4),ROW(),"-")</f>
        <v>-</v>
      </c>
    </row>
    <row r="29877" customHeight="1" spans="2:2">
      <c r="B29877" s="62" t="str">
        <f>IF(AND('领用录入（明细）'!D:D=$F$4,'领用录入（明细）'!C:C&gt;=$J$4,'领用录入（明细）'!C:C&lt;=$L$4),ROW(),"-")</f>
        <v>-</v>
      </c>
    </row>
    <row r="29878" customHeight="1" spans="2:2">
      <c r="B29878" s="62" t="str">
        <f>IF(AND('领用录入（明细）'!D:D=$F$4,'领用录入（明细）'!C:C&gt;=$J$4,'领用录入（明细）'!C:C&lt;=$L$4),ROW(),"-")</f>
        <v>-</v>
      </c>
    </row>
    <row r="29879" customHeight="1" spans="2:2">
      <c r="B29879" s="62" t="str">
        <f>IF(AND('领用录入（明细）'!D:D=$F$4,'领用录入（明细）'!C:C&gt;=$J$4,'领用录入（明细）'!C:C&lt;=$L$4),ROW(),"-")</f>
        <v>-</v>
      </c>
    </row>
    <row r="29880" customHeight="1" spans="2:2">
      <c r="B29880" s="62" t="str">
        <f>IF(AND('领用录入（明细）'!D:D=$F$4,'领用录入（明细）'!C:C&gt;=$J$4,'领用录入（明细）'!C:C&lt;=$L$4),ROW(),"-")</f>
        <v>-</v>
      </c>
    </row>
    <row r="29881" customHeight="1" spans="2:2">
      <c r="B29881" s="62" t="str">
        <f>IF(AND('领用录入（明细）'!D:D=$F$4,'领用录入（明细）'!C:C&gt;=$J$4,'领用录入（明细）'!C:C&lt;=$L$4),ROW(),"-")</f>
        <v>-</v>
      </c>
    </row>
    <row r="29882" customHeight="1" spans="2:2">
      <c r="B29882" s="62" t="str">
        <f>IF(AND('领用录入（明细）'!D:D=$F$4,'领用录入（明细）'!C:C&gt;=$J$4,'领用录入（明细）'!C:C&lt;=$L$4),ROW(),"-")</f>
        <v>-</v>
      </c>
    </row>
    <row r="29883" customHeight="1" spans="2:2">
      <c r="B29883" s="62" t="str">
        <f>IF(AND('领用录入（明细）'!D:D=$F$4,'领用录入（明细）'!C:C&gt;=$J$4,'领用录入（明细）'!C:C&lt;=$L$4),ROW(),"-")</f>
        <v>-</v>
      </c>
    </row>
    <row r="29884" customHeight="1" spans="2:2">
      <c r="B29884" s="62" t="str">
        <f>IF(AND('领用录入（明细）'!D:D=$F$4,'领用录入（明细）'!C:C&gt;=$J$4,'领用录入（明细）'!C:C&lt;=$L$4),ROW(),"-")</f>
        <v>-</v>
      </c>
    </row>
    <row r="29885" customHeight="1" spans="2:2">
      <c r="B29885" s="62" t="str">
        <f>IF(AND('领用录入（明细）'!D:D=$F$4,'领用录入（明细）'!C:C&gt;=$J$4,'领用录入（明细）'!C:C&lt;=$L$4),ROW(),"-")</f>
        <v>-</v>
      </c>
    </row>
    <row r="29886" customHeight="1" spans="2:2">
      <c r="B29886" s="62" t="str">
        <f>IF(AND('领用录入（明细）'!D:D=$F$4,'领用录入（明细）'!C:C&gt;=$J$4,'领用录入（明细）'!C:C&lt;=$L$4),ROW(),"-")</f>
        <v>-</v>
      </c>
    </row>
    <row r="29887" customHeight="1" spans="2:2">
      <c r="B29887" s="62" t="str">
        <f>IF(AND('领用录入（明细）'!D:D=$F$4,'领用录入（明细）'!C:C&gt;=$J$4,'领用录入（明细）'!C:C&lt;=$L$4),ROW(),"-")</f>
        <v>-</v>
      </c>
    </row>
    <row r="29888" customHeight="1" spans="2:2">
      <c r="B29888" s="62" t="str">
        <f>IF(AND('领用录入（明细）'!D:D=$F$4,'领用录入（明细）'!C:C&gt;=$J$4,'领用录入（明细）'!C:C&lt;=$L$4),ROW(),"-")</f>
        <v>-</v>
      </c>
    </row>
    <row r="29889" customHeight="1" spans="2:2">
      <c r="B29889" s="62" t="str">
        <f>IF(AND('领用录入（明细）'!D:D=$F$4,'领用录入（明细）'!C:C&gt;=$J$4,'领用录入（明细）'!C:C&lt;=$L$4),ROW(),"-")</f>
        <v>-</v>
      </c>
    </row>
    <row r="29890" customHeight="1" spans="2:2">
      <c r="B29890" s="62" t="str">
        <f>IF(AND('领用录入（明细）'!D:D=$F$4,'领用录入（明细）'!C:C&gt;=$J$4,'领用录入（明细）'!C:C&lt;=$L$4),ROW(),"-")</f>
        <v>-</v>
      </c>
    </row>
    <row r="29891" customHeight="1" spans="2:2">
      <c r="B29891" s="62" t="str">
        <f>IF(AND('领用录入（明细）'!D:D=$F$4,'领用录入（明细）'!C:C&gt;=$J$4,'领用录入（明细）'!C:C&lt;=$L$4),ROW(),"-")</f>
        <v>-</v>
      </c>
    </row>
    <row r="29892" customHeight="1" spans="2:2">
      <c r="B29892" s="62" t="str">
        <f>IF(AND('领用录入（明细）'!D:D=$F$4,'领用录入（明细）'!C:C&gt;=$J$4,'领用录入（明细）'!C:C&lt;=$L$4),ROW(),"-")</f>
        <v>-</v>
      </c>
    </row>
    <row r="29893" customHeight="1" spans="2:2">
      <c r="B29893" s="62" t="str">
        <f>IF(AND('领用录入（明细）'!D:D=$F$4,'领用录入（明细）'!C:C&gt;=$J$4,'领用录入（明细）'!C:C&lt;=$L$4),ROW(),"-")</f>
        <v>-</v>
      </c>
    </row>
    <row r="29894" customHeight="1" spans="2:2">
      <c r="B29894" s="62" t="str">
        <f>IF(AND('领用录入（明细）'!D:D=$F$4,'领用录入（明细）'!C:C&gt;=$J$4,'领用录入（明细）'!C:C&lt;=$L$4),ROW(),"-")</f>
        <v>-</v>
      </c>
    </row>
    <row r="29895" customHeight="1" spans="2:2">
      <c r="B29895" s="62" t="str">
        <f>IF(AND('领用录入（明细）'!D:D=$F$4,'领用录入（明细）'!C:C&gt;=$J$4,'领用录入（明细）'!C:C&lt;=$L$4),ROW(),"-")</f>
        <v>-</v>
      </c>
    </row>
    <row r="29896" customHeight="1" spans="2:2">
      <c r="B29896" s="62" t="str">
        <f>IF(AND('领用录入（明细）'!D:D=$F$4,'领用录入（明细）'!C:C&gt;=$J$4,'领用录入（明细）'!C:C&lt;=$L$4),ROW(),"-")</f>
        <v>-</v>
      </c>
    </row>
    <row r="29897" customHeight="1" spans="2:2">
      <c r="B29897" s="62" t="str">
        <f>IF(AND('领用录入（明细）'!D:D=$F$4,'领用录入（明细）'!C:C&gt;=$J$4,'领用录入（明细）'!C:C&lt;=$L$4),ROW(),"-")</f>
        <v>-</v>
      </c>
    </row>
    <row r="29898" customHeight="1" spans="2:2">
      <c r="B29898" s="62" t="str">
        <f>IF(AND('领用录入（明细）'!D:D=$F$4,'领用录入（明细）'!C:C&gt;=$J$4,'领用录入（明细）'!C:C&lt;=$L$4),ROW(),"-")</f>
        <v>-</v>
      </c>
    </row>
    <row r="29899" customHeight="1" spans="2:2">
      <c r="B29899" s="62" t="str">
        <f>IF(AND('领用录入（明细）'!D:D=$F$4,'领用录入（明细）'!C:C&gt;=$J$4,'领用录入（明细）'!C:C&lt;=$L$4),ROW(),"-")</f>
        <v>-</v>
      </c>
    </row>
    <row r="29900" customHeight="1" spans="2:2">
      <c r="B29900" s="62" t="str">
        <f>IF(AND('领用录入（明细）'!D:D=$F$4,'领用录入（明细）'!C:C&gt;=$J$4,'领用录入（明细）'!C:C&lt;=$L$4),ROW(),"-")</f>
        <v>-</v>
      </c>
    </row>
    <row r="29901" customHeight="1" spans="2:2">
      <c r="B29901" s="62" t="str">
        <f>IF(AND('领用录入（明细）'!D:D=$F$4,'领用录入（明细）'!C:C&gt;=$J$4,'领用录入（明细）'!C:C&lt;=$L$4),ROW(),"-")</f>
        <v>-</v>
      </c>
    </row>
    <row r="29902" customHeight="1" spans="2:2">
      <c r="B29902" s="62" t="str">
        <f>IF(AND('领用录入（明细）'!D:D=$F$4,'领用录入（明细）'!C:C&gt;=$J$4,'领用录入（明细）'!C:C&lt;=$L$4),ROW(),"-")</f>
        <v>-</v>
      </c>
    </row>
    <row r="29903" customHeight="1" spans="2:2">
      <c r="B29903" s="62" t="str">
        <f>IF(AND('领用录入（明细）'!D:D=$F$4,'领用录入（明细）'!C:C&gt;=$J$4,'领用录入（明细）'!C:C&lt;=$L$4),ROW(),"-")</f>
        <v>-</v>
      </c>
    </row>
    <row r="29904" customHeight="1" spans="2:2">
      <c r="B29904" s="62" t="str">
        <f>IF(AND('领用录入（明细）'!D:D=$F$4,'领用录入（明细）'!C:C&gt;=$J$4,'领用录入（明细）'!C:C&lt;=$L$4),ROW(),"-")</f>
        <v>-</v>
      </c>
    </row>
    <row r="29905" customHeight="1" spans="2:2">
      <c r="B29905" s="62" t="str">
        <f>IF(AND('领用录入（明细）'!D:D=$F$4,'领用录入（明细）'!C:C&gt;=$J$4,'领用录入（明细）'!C:C&lt;=$L$4),ROW(),"-")</f>
        <v>-</v>
      </c>
    </row>
    <row r="29906" customHeight="1" spans="2:2">
      <c r="B29906" s="62" t="str">
        <f>IF(AND('领用录入（明细）'!D:D=$F$4,'领用录入（明细）'!C:C&gt;=$J$4,'领用录入（明细）'!C:C&lt;=$L$4),ROW(),"-")</f>
        <v>-</v>
      </c>
    </row>
    <row r="29907" customHeight="1" spans="2:2">
      <c r="B29907" s="62" t="str">
        <f>IF(AND('领用录入（明细）'!D:D=$F$4,'领用录入（明细）'!C:C&gt;=$J$4,'领用录入（明细）'!C:C&lt;=$L$4),ROW(),"-")</f>
        <v>-</v>
      </c>
    </row>
    <row r="29908" customHeight="1" spans="2:2">
      <c r="B29908" s="62" t="str">
        <f>IF(AND('领用录入（明细）'!D:D=$F$4,'领用录入（明细）'!C:C&gt;=$J$4,'领用录入（明细）'!C:C&lt;=$L$4),ROW(),"-")</f>
        <v>-</v>
      </c>
    </row>
    <row r="29909" customHeight="1" spans="2:2">
      <c r="B29909" s="62" t="str">
        <f>IF(AND('领用录入（明细）'!D:D=$F$4,'领用录入（明细）'!C:C&gt;=$J$4,'领用录入（明细）'!C:C&lt;=$L$4),ROW(),"-")</f>
        <v>-</v>
      </c>
    </row>
    <row r="29910" customHeight="1" spans="2:2">
      <c r="B29910" s="62" t="str">
        <f>IF(AND('领用录入（明细）'!D:D=$F$4,'领用录入（明细）'!C:C&gt;=$J$4,'领用录入（明细）'!C:C&lt;=$L$4),ROW(),"-")</f>
        <v>-</v>
      </c>
    </row>
    <row r="29911" customHeight="1" spans="2:2">
      <c r="B29911" s="62" t="str">
        <f>IF(AND('领用录入（明细）'!D:D=$F$4,'领用录入（明细）'!C:C&gt;=$J$4,'领用录入（明细）'!C:C&lt;=$L$4),ROW(),"-")</f>
        <v>-</v>
      </c>
    </row>
    <row r="29912" customHeight="1" spans="2:2">
      <c r="B29912" s="62" t="str">
        <f>IF(AND('领用录入（明细）'!D:D=$F$4,'领用录入（明细）'!C:C&gt;=$J$4,'领用录入（明细）'!C:C&lt;=$L$4),ROW(),"-")</f>
        <v>-</v>
      </c>
    </row>
    <row r="29913" customHeight="1" spans="2:2">
      <c r="B29913" s="62" t="str">
        <f>IF(AND('领用录入（明细）'!D:D=$F$4,'领用录入（明细）'!C:C&gt;=$J$4,'领用录入（明细）'!C:C&lt;=$L$4),ROW(),"-")</f>
        <v>-</v>
      </c>
    </row>
    <row r="29914" customHeight="1" spans="2:2">
      <c r="B29914" s="62" t="str">
        <f>IF(AND('领用录入（明细）'!D:D=$F$4,'领用录入（明细）'!C:C&gt;=$J$4,'领用录入（明细）'!C:C&lt;=$L$4),ROW(),"-")</f>
        <v>-</v>
      </c>
    </row>
    <row r="29915" customHeight="1" spans="2:2">
      <c r="B29915" s="62" t="str">
        <f>IF(AND('领用录入（明细）'!D:D=$F$4,'领用录入（明细）'!C:C&gt;=$J$4,'领用录入（明细）'!C:C&lt;=$L$4),ROW(),"-")</f>
        <v>-</v>
      </c>
    </row>
    <row r="29916" customHeight="1" spans="2:2">
      <c r="B29916" s="62" t="str">
        <f>IF(AND('领用录入（明细）'!D:D=$F$4,'领用录入（明细）'!C:C&gt;=$J$4,'领用录入（明细）'!C:C&lt;=$L$4),ROW(),"-")</f>
        <v>-</v>
      </c>
    </row>
    <row r="29917" customHeight="1" spans="2:2">
      <c r="B29917" s="62" t="str">
        <f>IF(AND('领用录入（明细）'!D:D=$F$4,'领用录入（明细）'!C:C&gt;=$J$4,'领用录入（明细）'!C:C&lt;=$L$4),ROW(),"-")</f>
        <v>-</v>
      </c>
    </row>
    <row r="29918" customHeight="1" spans="2:2">
      <c r="B29918" s="62" t="str">
        <f>IF(AND('领用录入（明细）'!D:D=$F$4,'领用录入（明细）'!C:C&gt;=$J$4,'领用录入（明细）'!C:C&lt;=$L$4),ROW(),"-")</f>
        <v>-</v>
      </c>
    </row>
    <row r="29919" customHeight="1" spans="2:2">
      <c r="B29919" s="62" t="str">
        <f>IF(AND('领用录入（明细）'!D:D=$F$4,'领用录入（明细）'!C:C&gt;=$J$4,'领用录入（明细）'!C:C&lt;=$L$4),ROW(),"-")</f>
        <v>-</v>
      </c>
    </row>
    <row r="29920" customHeight="1" spans="2:2">
      <c r="B29920" s="62" t="str">
        <f>IF(AND('领用录入（明细）'!D:D=$F$4,'领用录入（明细）'!C:C&gt;=$J$4,'领用录入（明细）'!C:C&lt;=$L$4),ROW(),"-")</f>
        <v>-</v>
      </c>
    </row>
    <row r="29921" customHeight="1" spans="2:2">
      <c r="B29921" s="62" t="str">
        <f>IF(AND('领用录入（明细）'!D:D=$F$4,'领用录入（明细）'!C:C&gt;=$J$4,'领用录入（明细）'!C:C&lt;=$L$4),ROW(),"-")</f>
        <v>-</v>
      </c>
    </row>
    <row r="29922" customHeight="1" spans="2:2">
      <c r="B29922" s="62" t="str">
        <f>IF(AND('领用录入（明细）'!D:D=$F$4,'领用录入（明细）'!C:C&gt;=$J$4,'领用录入（明细）'!C:C&lt;=$L$4),ROW(),"-")</f>
        <v>-</v>
      </c>
    </row>
    <row r="29923" customHeight="1" spans="2:2">
      <c r="B29923" s="62" t="str">
        <f>IF(AND('领用录入（明细）'!D:D=$F$4,'领用录入（明细）'!C:C&gt;=$J$4,'领用录入（明细）'!C:C&lt;=$L$4),ROW(),"-")</f>
        <v>-</v>
      </c>
    </row>
    <row r="29924" customHeight="1" spans="2:2">
      <c r="B29924" s="62" t="str">
        <f>IF(AND('领用录入（明细）'!D:D=$F$4,'领用录入（明细）'!C:C&gt;=$J$4,'领用录入（明细）'!C:C&lt;=$L$4),ROW(),"-")</f>
        <v>-</v>
      </c>
    </row>
    <row r="29925" customHeight="1" spans="2:2">
      <c r="B29925" s="62" t="str">
        <f>IF(AND('领用录入（明细）'!D:D=$F$4,'领用录入（明细）'!C:C&gt;=$J$4,'领用录入（明细）'!C:C&lt;=$L$4),ROW(),"-")</f>
        <v>-</v>
      </c>
    </row>
    <row r="29926" customHeight="1" spans="2:2">
      <c r="B29926" s="62" t="str">
        <f>IF(AND('领用录入（明细）'!D:D=$F$4,'领用录入（明细）'!C:C&gt;=$J$4,'领用录入（明细）'!C:C&lt;=$L$4),ROW(),"-")</f>
        <v>-</v>
      </c>
    </row>
    <row r="29927" customHeight="1" spans="2:2">
      <c r="B29927" s="62" t="str">
        <f>IF(AND('领用录入（明细）'!D:D=$F$4,'领用录入（明细）'!C:C&gt;=$J$4,'领用录入（明细）'!C:C&lt;=$L$4),ROW(),"-")</f>
        <v>-</v>
      </c>
    </row>
    <row r="29928" customHeight="1" spans="2:2">
      <c r="B29928" s="62" t="str">
        <f>IF(AND('领用录入（明细）'!D:D=$F$4,'领用录入（明细）'!C:C&gt;=$J$4,'领用录入（明细）'!C:C&lt;=$L$4),ROW(),"-")</f>
        <v>-</v>
      </c>
    </row>
    <row r="29929" customHeight="1" spans="2:2">
      <c r="B29929" s="62" t="str">
        <f>IF(AND('领用录入（明细）'!D:D=$F$4,'领用录入（明细）'!C:C&gt;=$J$4,'领用录入（明细）'!C:C&lt;=$L$4),ROW(),"-")</f>
        <v>-</v>
      </c>
    </row>
    <row r="29930" customHeight="1" spans="2:2">
      <c r="B29930" s="62" t="str">
        <f>IF(AND('领用录入（明细）'!D:D=$F$4,'领用录入（明细）'!C:C&gt;=$J$4,'领用录入（明细）'!C:C&lt;=$L$4),ROW(),"-")</f>
        <v>-</v>
      </c>
    </row>
    <row r="29931" customHeight="1" spans="2:2">
      <c r="B29931" s="62" t="str">
        <f>IF(AND('领用录入（明细）'!D:D=$F$4,'领用录入（明细）'!C:C&gt;=$J$4,'领用录入（明细）'!C:C&lt;=$L$4),ROW(),"-")</f>
        <v>-</v>
      </c>
    </row>
    <row r="29932" customHeight="1" spans="2:2">
      <c r="B29932" s="62" t="str">
        <f>IF(AND('领用录入（明细）'!D:D=$F$4,'领用录入（明细）'!C:C&gt;=$J$4,'领用录入（明细）'!C:C&lt;=$L$4),ROW(),"-")</f>
        <v>-</v>
      </c>
    </row>
    <row r="29933" customHeight="1" spans="2:2">
      <c r="B29933" s="62" t="str">
        <f>IF(AND('领用录入（明细）'!D:D=$F$4,'领用录入（明细）'!C:C&gt;=$J$4,'领用录入（明细）'!C:C&lt;=$L$4),ROW(),"-")</f>
        <v>-</v>
      </c>
    </row>
    <row r="29934" customHeight="1" spans="2:2">
      <c r="B29934" s="62" t="str">
        <f>IF(AND('领用录入（明细）'!D:D=$F$4,'领用录入（明细）'!C:C&gt;=$J$4,'领用录入（明细）'!C:C&lt;=$L$4),ROW(),"-")</f>
        <v>-</v>
      </c>
    </row>
    <row r="29935" customHeight="1" spans="2:2">
      <c r="B29935" s="62" t="str">
        <f>IF(AND('领用录入（明细）'!D:D=$F$4,'领用录入（明细）'!C:C&gt;=$J$4,'领用录入（明细）'!C:C&lt;=$L$4),ROW(),"-")</f>
        <v>-</v>
      </c>
    </row>
    <row r="29936" customHeight="1" spans="2:2">
      <c r="B29936" s="62" t="str">
        <f>IF(AND('领用录入（明细）'!D:D=$F$4,'领用录入（明细）'!C:C&gt;=$J$4,'领用录入（明细）'!C:C&lt;=$L$4),ROW(),"-")</f>
        <v>-</v>
      </c>
    </row>
    <row r="29937" customHeight="1" spans="2:2">
      <c r="B29937" s="62" t="str">
        <f>IF(AND('领用录入（明细）'!D:D=$F$4,'领用录入（明细）'!C:C&gt;=$J$4,'领用录入（明细）'!C:C&lt;=$L$4),ROW(),"-")</f>
        <v>-</v>
      </c>
    </row>
    <row r="29938" customHeight="1" spans="2:2">
      <c r="B29938" s="62" t="str">
        <f>IF(AND('领用录入（明细）'!D:D=$F$4,'领用录入（明细）'!C:C&gt;=$J$4,'领用录入（明细）'!C:C&lt;=$L$4),ROW(),"-")</f>
        <v>-</v>
      </c>
    </row>
    <row r="29939" customHeight="1" spans="2:2">
      <c r="B29939" s="62" t="str">
        <f>IF(AND('领用录入（明细）'!D:D=$F$4,'领用录入（明细）'!C:C&gt;=$J$4,'领用录入（明细）'!C:C&lt;=$L$4),ROW(),"-")</f>
        <v>-</v>
      </c>
    </row>
    <row r="29940" customHeight="1" spans="2:2">
      <c r="B29940" s="62" t="str">
        <f>IF(AND('领用录入（明细）'!D:D=$F$4,'领用录入（明细）'!C:C&gt;=$J$4,'领用录入（明细）'!C:C&lt;=$L$4),ROW(),"-")</f>
        <v>-</v>
      </c>
    </row>
    <row r="29941" customHeight="1" spans="2:2">
      <c r="B29941" s="62" t="str">
        <f>IF(AND('领用录入（明细）'!D:D=$F$4,'领用录入（明细）'!C:C&gt;=$J$4,'领用录入（明细）'!C:C&lt;=$L$4),ROW(),"-")</f>
        <v>-</v>
      </c>
    </row>
    <row r="29942" customHeight="1" spans="2:2">
      <c r="B29942" s="62" t="str">
        <f>IF(AND('领用录入（明细）'!D:D=$F$4,'领用录入（明细）'!C:C&gt;=$J$4,'领用录入（明细）'!C:C&lt;=$L$4),ROW(),"-")</f>
        <v>-</v>
      </c>
    </row>
    <row r="29943" customHeight="1" spans="2:2">
      <c r="B29943" s="62" t="str">
        <f>IF(AND('领用录入（明细）'!D:D=$F$4,'领用录入（明细）'!C:C&gt;=$J$4,'领用录入（明细）'!C:C&lt;=$L$4),ROW(),"-")</f>
        <v>-</v>
      </c>
    </row>
    <row r="29944" customHeight="1" spans="2:2">
      <c r="B29944" s="62" t="str">
        <f>IF(AND('领用录入（明细）'!D:D=$F$4,'领用录入（明细）'!C:C&gt;=$J$4,'领用录入（明细）'!C:C&lt;=$L$4),ROW(),"-")</f>
        <v>-</v>
      </c>
    </row>
    <row r="29945" customHeight="1" spans="2:2">
      <c r="B29945" s="62" t="str">
        <f>IF(AND('领用录入（明细）'!D:D=$F$4,'领用录入（明细）'!C:C&gt;=$J$4,'领用录入（明细）'!C:C&lt;=$L$4),ROW(),"-")</f>
        <v>-</v>
      </c>
    </row>
    <row r="29946" customHeight="1" spans="2:2">
      <c r="B29946" s="62" t="str">
        <f>IF(AND('领用录入（明细）'!D:D=$F$4,'领用录入（明细）'!C:C&gt;=$J$4,'领用录入（明细）'!C:C&lt;=$L$4),ROW(),"-")</f>
        <v>-</v>
      </c>
    </row>
    <row r="29947" customHeight="1" spans="2:2">
      <c r="B29947" s="62" t="str">
        <f>IF(AND('领用录入（明细）'!D:D=$F$4,'领用录入（明细）'!C:C&gt;=$J$4,'领用录入（明细）'!C:C&lt;=$L$4),ROW(),"-")</f>
        <v>-</v>
      </c>
    </row>
    <row r="29948" customHeight="1" spans="2:2">
      <c r="B29948" s="62" t="str">
        <f>IF(AND('领用录入（明细）'!D:D=$F$4,'领用录入（明细）'!C:C&gt;=$J$4,'领用录入（明细）'!C:C&lt;=$L$4),ROW(),"-")</f>
        <v>-</v>
      </c>
    </row>
    <row r="29949" customHeight="1" spans="2:2">
      <c r="B29949" s="62" t="str">
        <f>IF(AND('领用录入（明细）'!D:D=$F$4,'领用录入（明细）'!C:C&gt;=$J$4,'领用录入（明细）'!C:C&lt;=$L$4),ROW(),"-")</f>
        <v>-</v>
      </c>
    </row>
    <row r="29950" customHeight="1" spans="2:2">
      <c r="B29950" s="62" t="str">
        <f>IF(AND('领用录入（明细）'!D:D=$F$4,'领用录入（明细）'!C:C&gt;=$J$4,'领用录入（明细）'!C:C&lt;=$L$4),ROW(),"-")</f>
        <v>-</v>
      </c>
    </row>
    <row r="29951" customHeight="1" spans="2:2">
      <c r="B29951" s="62" t="str">
        <f>IF(AND('领用录入（明细）'!D:D=$F$4,'领用录入（明细）'!C:C&gt;=$J$4,'领用录入（明细）'!C:C&lt;=$L$4),ROW(),"-")</f>
        <v>-</v>
      </c>
    </row>
    <row r="29952" customHeight="1" spans="2:2">
      <c r="B29952" s="62" t="str">
        <f>IF(AND('领用录入（明细）'!D:D=$F$4,'领用录入（明细）'!C:C&gt;=$J$4,'领用录入（明细）'!C:C&lt;=$L$4),ROW(),"-")</f>
        <v>-</v>
      </c>
    </row>
    <row r="29953" customHeight="1" spans="2:2">
      <c r="B29953" s="62" t="str">
        <f>IF(AND('领用录入（明细）'!D:D=$F$4,'领用录入（明细）'!C:C&gt;=$J$4,'领用录入（明细）'!C:C&lt;=$L$4),ROW(),"-")</f>
        <v>-</v>
      </c>
    </row>
    <row r="29954" customHeight="1" spans="2:2">
      <c r="B29954" s="62" t="str">
        <f>IF(AND('领用录入（明细）'!D:D=$F$4,'领用录入（明细）'!C:C&gt;=$J$4,'领用录入（明细）'!C:C&lt;=$L$4),ROW(),"-")</f>
        <v>-</v>
      </c>
    </row>
    <row r="29955" customHeight="1" spans="2:2">
      <c r="B29955" s="62" t="str">
        <f>IF(AND('领用录入（明细）'!D:D=$F$4,'领用录入（明细）'!C:C&gt;=$J$4,'领用录入（明细）'!C:C&lt;=$L$4),ROW(),"-")</f>
        <v>-</v>
      </c>
    </row>
    <row r="29956" customHeight="1" spans="2:2">
      <c r="B29956" s="62" t="str">
        <f>IF(AND('领用录入（明细）'!D:D=$F$4,'领用录入（明细）'!C:C&gt;=$J$4,'领用录入（明细）'!C:C&lt;=$L$4),ROW(),"-")</f>
        <v>-</v>
      </c>
    </row>
    <row r="29957" customHeight="1" spans="2:2">
      <c r="B29957" s="62" t="str">
        <f>IF(AND('领用录入（明细）'!D:D=$F$4,'领用录入（明细）'!C:C&gt;=$J$4,'领用录入（明细）'!C:C&lt;=$L$4),ROW(),"-")</f>
        <v>-</v>
      </c>
    </row>
    <row r="29958" customHeight="1" spans="2:2">
      <c r="B29958" s="62" t="str">
        <f>IF(AND('领用录入（明细）'!D:D=$F$4,'领用录入（明细）'!C:C&gt;=$J$4,'领用录入（明细）'!C:C&lt;=$L$4),ROW(),"-")</f>
        <v>-</v>
      </c>
    </row>
    <row r="29959" customHeight="1" spans="2:2">
      <c r="B29959" s="62" t="str">
        <f>IF(AND('领用录入（明细）'!D:D=$F$4,'领用录入（明细）'!C:C&gt;=$J$4,'领用录入（明细）'!C:C&lt;=$L$4),ROW(),"-")</f>
        <v>-</v>
      </c>
    </row>
    <row r="29960" customHeight="1" spans="2:2">
      <c r="B29960" s="62" t="str">
        <f>IF(AND('领用录入（明细）'!D:D=$F$4,'领用录入（明细）'!C:C&gt;=$J$4,'领用录入（明细）'!C:C&lt;=$L$4),ROW(),"-")</f>
        <v>-</v>
      </c>
    </row>
    <row r="29961" customHeight="1" spans="2:2">
      <c r="B29961" s="62" t="str">
        <f>IF(AND('领用录入（明细）'!D:D=$F$4,'领用录入（明细）'!C:C&gt;=$J$4,'领用录入（明细）'!C:C&lt;=$L$4),ROW(),"-")</f>
        <v>-</v>
      </c>
    </row>
    <row r="29962" customHeight="1" spans="2:2">
      <c r="B29962" s="62" t="str">
        <f>IF(AND('领用录入（明细）'!D:D=$F$4,'领用录入（明细）'!C:C&gt;=$J$4,'领用录入（明细）'!C:C&lt;=$L$4),ROW(),"-")</f>
        <v>-</v>
      </c>
    </row>
    <row r="29963" customHeight="1" spans="2:2">
      <c r="B29963" s="62" t="str">
        <f>IF(AND('领用录入（明细）'!D:D=$F$4,'领用录入（明细）'!C:C&gt;=$J$4,'领用录入（明细）'!C:C&lt;=$L$4),ROW(),"-")</f>
        <v>-</v>
      </c>
    </row>
    <row r="29964" customHeight="1" spans="2:2">
      <c r="B29964" s="62" t="str">
        <f>IF(AND('领用录入（明细）'!D:D=$F$4,'领用录入（明细）'!C:C&gt;=$J$4,'领用录入（明细）'!C:C&lt;=$L$4),ROW(),"-")</f>
        <v>-</v>
      </c>
    </row>
    <row r="29965" customHeight="1" spans="2:2">
      <c r="B29965" s="62" t="str">
        <f>IF(AND('领用录入（明细）'!D:D=$F$4,'领用录入（明细）'!C:C&gt;=$J$4,'领用录入（明细）'!C:C&lt;=$L$4),ROW(),"-")</f>
        <v>-</v>
      </c>
    </row>
    <row r="29966" customHeight="1" spans="2:2">
      <c r="B29966" s="62" t="str">
        <f>IF(AND('领用录入（明细）'!D:D=$F$4,'领用录入（明细）'!C:C&gt;=$J$4,'领用录入（明细）'!C:C&lt;=$L$4),ROW(),"-")</f>
        <v>-</v>
      </c>
    </row>
    <row r="29967" customHeight="1" spans="2:2">
      <c r="B29967" s="62" t="str">
        <f>IF(AND('领用录入（明细）'!D:D=$F$4,'领用录入（明细）'!C:C&gt;=$J$4,'领用录入（明细）'!C:C&lt;=$L$4),ROW(),"-")</f>
        <v>-</v>
      </c>
    </row>
    <row r="29968" customHeight="1" spans="2:2">
      <c r="B29968" s="62" t="str">
        <f>IF(AND('领用录入（明细）'!D:D=$F$4,'领用录入（明细）'!C:C&gt;=$J$4,'领用录入（明细）'!C:C&lt;=$L$4),ROW(),"-")</f>
        <v>-</v>
      </c>
    </row>
    <row r="29969" customHeight="1" spans="2:2">
      <c r="B29969" s="62" t="str">
        <f>IF(AND('领用录入（明细）'!D:D=$F$4,'领用录入（明细）'!C:C&gt;=$J$4,'领用录入（明细）'!C:C&lt;=$L$4),ROW(),"-")</f>
        <v>-</v>
      </c>
    </row>
    <row r="29970" customHeight="1" spans="2:2">
      <c r="B29970" s="62" t="str">
        <f>IF(AND('领用录入（明细）'!D:D=$F$4,'领用录入（明细）'!C:C&gt;=$J$4,'领用录入（明细）'!C:C&lt;=$L$4),ROW(),"-")</f>
        <v>-</v>
      </c>
    </row>
    <row r="29971" customHeight="1" spans="2:2">
      <c r="B29971" s="62" t="str">
        <f>IF(AND('领用录入（明细）'!D:D=$F$4,'领用录入（明细）'!C:C&gt;=$J$4,'领用录入（明细）'!C:C&lt;=$L$4),ROW(),"-")</f>
        <v>-</v>
      </c>
    </row>
    <row r="29972" customHeight="1" spans="2:2">
      <c r="B29972" s="62" t="str">
        <f>IF(AND('领用录入（明细）'!D:D=$F$4,'领用录入（明细）'!C:C&gt;=$J$4,'领用录入（明细）'!C:C&lt;=$L$4),ROW(),"-")</f>
        <v>-</v>
      </c>
    </row>
    <row r="29973" customHeight="1" spans="2:2">
      <c r="B29973" s="62" t="str">
        <f>IF(AND('领用录入（明细）'!D:D=$F$4,'领用录入（明细）'!C:C&gt;=$J$4,'领用录入（明细）'!C:C&lt;=$L$4),ROW(),"-")</f>
        <v>-</v>
      </c>
    </row>
    <row r="29974" customHeight="1" spans="2:2">
      <c r="B29974" s="62" t="str">
        <f>IF(AND('领用录入（明细）'!D:D=$F$4,'领用录入（明细）'!C:C&gt;=$J$4,'领用录入（明细）'!C:C&lt;=$L$4),ROW(),"-")</f>
        <v>-</v>
      </c>
    </row>
    <row r="29975" customHeight="1" spans="2:2">
      <c r="B29975" s="62" t="str">
        <f>IF(AND('领用录入（明细）'!D:D=$F$4,'领用录入（明细）'!C:C&gt;=$J$4,'领用录入（明细）'!C:C&lt;=$L$4),ROW(),"-")</f>
        <v>-</v>
      </c>
    </row>
    <row r="29976" customHeight="1" spans="2:2">
      <c r="B29976" s="62" t="str">
        <f>IF(AND('领用录入（明细）'!D:D=$F$4,'领用录入（明细）'!C:C&gt;=$J$4,'领用录入（明细）'!C:C&lt;=$L$4),ROW(),"-")</f>
        <v>-</v>
      </c>
    </row>
    <row r="29977" customHeight="1" spans="2:2">
      <c r="B29977" s="62" t="str">
        <f>IF(AND('领用录入（明细）'!D:D=$F$4,'领用录入（明细）'!C:C&gt;=$J$4,'领用录入（明细）'!C:C&lt;=$L$4),ROW(),"-")</f>
        <v>-</v>
      </c>
    </row>
    <row r="29978" customHeight="1" spans="2:2">
      <c r="B29978" s="62" t="str">
        <f>IF(AND('领用录入（明细）'!D:D=$F$4,'领用录入（明细）'!C:C&gt;=$J$4,'领用录入（明细）'!C:C&lt;=$L$4),ROW(),"-")</f>
        <v>-</v>
      </c>
    </row>
    <row r="29979" customHeight="1" spans="2:2">
      <c r="B29979" s="62" t="str">
        <f>IF(AND('领用录入（明细）'!D:D=$F$4,'领用录入（明细）'!C:C&gt;=$J$4,'领用录入（明细）'!C:C&lt;=$L$4),ROW(),"-")</f>
        <v>-</v>
      </c>
    </row>
    <row r="29980" customHeight="1" spans="2:2">
      <c r="B29980" s="62" t="str">
        <f>IF(AND('领用录入（明细）'!D:D=$F$4,'领用录入（明细）'!C:C&gt;=$J$4,'领用录入（明细）'!C:C&lt;=$L$4),ROW(),"-")</f>
        <v>-</v>
      </c>
    </row>
    <row r="29981" customHeight="1" spans="2:2">
      <c r="B29981" s="62" t="str">
        <f>IF(AND('领用录入（明细）'!D:D=$F$4,'领用录入（明细）'!C:C&gt;=$J$4,'领用录入（明细）'!C:C&lt;=$L$4),ROW(),"-")</f>
        <v>-</v>
      </c>
    </row>
    <row r="29982" customHeight="1" spans="2:2">
      <c r="B29982" s="62" t="str">
        <f>IF(AND('领用录入（明细）'!D:D=$F$4,'领用录入（明细）'!C:C&gt;=$J$4,'领用录入（明细）'!C:C&lt;=$L$4),ROW(),"-")</f>
        <v>-</v>
      </c>
    </row>
    <row r="29983" customHeight="1" spans="2:2">
      <c r="B29983" s="62" t="str">
        <f>IF(AND('领用录入（明细）'!D:D=$F$4,'领用录入（明细）'!C:C&gt;=$J$4,'领用录入（明细）'!C:C&lt;=$L$4),ROW(),"-")</f>
        <v>-</v>
      </c>
    </row>
    <row r="29984" customHeight="1" spans="2:2">
      <c r="B29984" s="62" t="str">
        <f>IF(AND('领用录入（明细）'!D:D=$F$4,'领用录入（明细）'!C:C&gt;=$J$4,'领用录入（明细）'!C:C&lt;=$L$4),ROW(),"-")</f>
        <v>-</v>
      </c>
    </row>
    <row r="29985" customHeight="1" spans="2:2">
      <c r="B29985" s="62" t="str">
        <f>IF(AND('领用录入（明细）'!D:D=$F$4,'领用录入（明细）'!C:C&gt;=$J$4,'领用录入（明细）'!C:C&lt;=$L$4),ROW(),"-")</f>
        <v>-</v>
      </c>
    </row>
    <row r="29986" customHeight="1" spans="2:2">
      <c r="B29986" s="62" t="str">
        <f>IF(AND('领用录入（明细）'!D:D=$F$4,'领用录入（明细）'!C:C&gt;=$J$4,'领用录入（明细）'!C:C&lt;=$L$4),ROW(),"-")</f>
        <v>-</v>
      </c>
    </row>
    <row r="29987" customHeight="1" spans="2:2">
      <c r="B29987" s="62" t="str">
        <f>IF(AND('领用录入（明细）'!D:D=$F$4,'领用录入（明细）'!C:C&gt;=$J$4,'领用录入（明细）'!C:C&lt;=$L$4),ROW(),"-")</f>
        <v>-</v>
      </c>
    </row>
    <row r="29988" customHeight="1" spans="2:2">
      <c r="B29988" s="62" t="str">
        <f>IF(AND('领用录入（明细）'!D:D=$F$4,'领用录入（明细）'!C:C&gt;=$J$4,'领用录入（明细）'!C:C&lt;=$L$4),ROW(),"-")</f>
        <v>-</v>
      </c>
    </row>
    <row r="29989" customHeight="1" spans="2:2">
      <c r="B29989" s="62" t="str">
        <f>IF(AND('领用录入（明细）'!D:D=$F$4,'领用录入（明细）'!C:C&gt;=$J$4,'领用录入（明细）'!C:C&lt;=$L$4),ROW(),"-")</f>
        <v>-</v>
      </c>
    </row>
    <row r="29990" customHeight="1" spans="2:2">
      <c r="B29990" s="62" t="str">
        <f>IF(AND('领用录入（明细）'!D:D=$F$4,'领用录入（明细）'!C:C&gt;=$J$4,'领用录入（明细）'!C:C&lt;=$L$4),ROW(),"-")</f>
        <v>-</v>
      </c>
    </row>
    <row r="29991" customHeight="1" spans="2:2">
      <c r="B29991" s="62" t="str">
        <f>IF(AND('领用录入（明细）'!D:D=$F$4,'领用录入（明细）'!C:C&gt;=$J$4,'领用录入（明细）'!C:C&lt;=$L$4),ROW(),"-")</f>
        <v>-</v>
      </c>
    </row>
    <row r="29992" customHeight="1" spans="2:2">
      <c r="B29992" s="62" t="str">
        <f>IF(AND('领用录入（明细）'!D:D=$F$4,'领用录入（明细）'!C:C&gt;=$J$4,'领用录入（明细）'!C:C&lt;=$L$4),ROW(),"-")</f>
        <v>-</v>
      </c>
    </row>
    <row r="29993" customHeight="1" spans="2:2">
      <c r="B29993" s="62" t="str">
        <f>IF(AND('领用录入（明细）'!D:D=$F$4,'领用录入（明细）'!C:C&gt;=$J$4,'领用录入（明细）'!C:C&lt;=$L$4),ROW(),"-")</f>
        <v>-</v>
      </c>
    </row>
    <row r="29994" customHeight="1" spans="2:2">
      <c r="B29994" s="62" t="str">
        <f>IF(AND('领用录入（明细）'!D:D=$F$4,'领用录入（明细）'!C:C&gt;=$J$4,'领用录入（明细）'!C:C&lt;=$L$4),ROW(),"-")</f>
        <v>-</v>
      </c>
    </row>
    <row r="29995" customHeight="1" spans="2:2">
      <c r="B29995" s="62" t="str">
        <f>IF(AND('领用录入（明细）'!D:D=$F$4,'领用录入（明细）'!C:C&gt;=$J$4,'领用录入（明细）'!C:C&lt;=$L$4),ROW(),"-")</f>
        <v>-</v>
      </c>
    </row>
    <row r="29996" customHeight="1" spans="2:2">
      <c r="B29996" s="62" t="str">
        <f>IF(AND('领用录入（明细）'!D:D=$F$4,'领用录入（明细）'!C:C&gt;=$J$4,'领用录入（明细）'!C:C&lt;=$L$4),ROW(),"-")</f>
        <v>-</v>
      </c>
    </row>
    <row r="29997" customHeight="1" spans="2:2">
      <c r="B29997" s="62" t="str">
        <f>IF(AND('领用录入（明细）'!D:D=$F$4,'领用录入（明细）'!C:C&gt;=$J$4,'领用录入（明细）'!C:C&lt;=$L$4),ROW(),"-")</f>
        <v>-</v>
      </c>
    </row>
    <row r="29998" customHeight="1" spans="2:2">
      <c r="B29998" s="62" t="str">
        <f>IF(AND('领用录入（明细）'!D:D=$F$4,'领用录入（明细）'!C:C&gt;=$J$4,'领用录入（明细）'!C:C&lt;=$L$4),ROW(),"-")</f>
        <v>-</v>
      </c>
    </row>
    <row r="29999" customHeight="1" spans="2:2">
      <c r="B29999" s="62" t="str">
        <f>IF(AND('领用录入（明细）'!D:D=$F$4,'领用录入（明细）'!C:C&gt;=$J$4,'领用录入（明细）'!C:C&lt;=$L$4),ROW(),"-")</f>
        <v>-</v>
      </c>
    </row>
    <row r="30000" customHeight="1" spans="2:2">
      <c r="B30000" s="62" t="str">
        <f>IF(AND('领用录入（明细）'!D:D=$F$4,'领用录入（明细）'!C:C&gt;=$J$4,'领用录入（明细）'!C:C&lt;=$L$4),ROW(),"-")</f>
        <v>-</v>
      </c>
    </row>
    <row r="30001" customHeight="1" spans="2:2">
      <c r="B30001" s="62" t="str">
        <f>IF(AND('领用录入（明细）'!D:D=$F$4,'领用录入（明细）'!C:C&gt;=$J$4,'领用录入（明细）'!C:C&lt;=$L$4),ROW(),"-")</f>
        <v>-</v>
      </c>
    </row>
    <row r="30002" customHeight="1" spans="2:2">
      <c r="B30002" s="62" t="str">
        <f>IF(AND('领用录入（明细）'!D:D=$F$4,'领用录入（明细）'!C:C&gt;=$J$4,'领用录入（明细）'!C:C&lt;=$L$4),ROW(),"-")</f>
        <v>-</v>
      </c>
    </row>
    <row r="30003" customHeight="1" spans="2:2">
      <c r="B30003" s="62" t="str">
        <f>IF(AND('领用录入（明细）'!D:D=$F$4,'领用录入（明细）'!C:C&gt;=$J$4,'领用录入（明细）'!C:C&lt;=$L$4),ROW(),"-")</f>
        <v>-</v>
      </c>
    </row>
    <row r="30004" customHeight="1" spans="2:2">
      <c r="B30004" s="62" t="str">
        <f>IF(AND('领用录入（明细）'!D:D=$F$4,'领用录入（明细）'!C:C&gt;=$J$4,'领用录入（明细）'!C:C&lt;=$L$4),ROW(),"-")</f>
        <v>-</v>
      </c>
    </row>
    <row r="30005" customHeight="1" spans="2:2">
      <c r="B30005" s="62" t="str">
        <f>IF(AND('领用录入（明细）'!D:D=$F$4,'领用录入（明细）'!C:C&gt;=$J$4,'领用录入（明细）'!C:C&lt;=$L$4),ROW(),"-")</f>
        <v>-</v>
      </c>
    </row>
    <row r="30006" customHeight="1" spans="2:2">
      <c r="B30006" s="62" t="str">
        <f>IF(AND('领用录入（明细）'!D:D=$F$4,'领用录入（明细）'!C:C&gt;=$J$4,'领用录入（明细）'!C:C&lt;=$L$4),ROW(),"-")</f>
        <v>-</v>
      </c>
    </row>
    <row r="30007" customHeight="1" spans="2:2">
      <c r="B30007" s="62" t="str">
        <f>IF(AND('领用录入（明细）'!D:D=$F$4,'领用录入（明细）'!C:C&gt;=$J$4,'领用录入（明细）'!C:C&lt;=$L$4),ROW(),"-")</f>
        <v>-</v>
      </c>
    </row>
    <row r="30008" customHeight="1" spans="2:2">
      <c r="B30008" s="62" t="str">
        <f>IF(AND('领用录入（明细）'!D:D=$F$4,'领用录入（明细）'!C:C&gt;=$J$4,'领用录入（明细）'!C:C&lt;=$L$4),ROW(),"-")</f>
        <v>-</v>
      </c>
    </row>
    <row r="30009" customHeight="1" spans="2:2">
      <c r="B30009" s="62" t="str">
        <f>IF(AND('领用录入（明细）'!D:D=$F$4,'领用录入（明细）'!C:C&gt;=$J$4,'领用录入（明细）'!C:C&lt;=$L$4),ROW(),"-")</f>
        <v>-</v>
      </c>
    </row>
    <row r="30010" customHeight="1" spans="2:2">
      <c r="B30010" s="62" t="str">
        <f>IF(AND('领用录入（明细）'!D:D=$F$4,'领用录入（明细）'!C:C&gt;=$J$4,'领用录入（明细）'!C:C&lt;=$L$4),ROW(),"-")</f>
        <v>-</v>
      </c>
    </row>
    <row r="30011" customHeight="1" spans="2:2">
      <c r="B30011" s="62" t="str">
        <f>IF(AND('领用录入（明细）'!D:D=$F$4,'领用录入（明细）'!C:C&gt;=$J$4,'领用录入（明细）'!C:C&lt;=$L$4),ROW(),"-")</f>
        <v>-</v>
      </c>
    </row>
    <row r="30012" customHeight="1" spans="2:2">
      <c r="B30012" s="62" t="str">
        <f>IF(AND('领用录入（明细）'!D:D=$F$4,'领用录入（明细）'!C:C&gt;=$J$4,'领用录入（明细）'!C:C&lt;=$L$4),ROW(),"-")</f>
        <v>-</v>
      </c>
    </row>
    <row r="30013" customHeight="1" spans="2:2">
      <c r="B30013" s="62" t="str">
        <f>IF(AND('领用录入（明细）'!D:D=$F$4,'领用录入（明细）'!C:C&gt;=$J$4,'领用录入（明细）'!C:C&lt;=$L$4),ROW(),"-")</f>
        <v>-</v>
      </c>
    </row>
    <row r="30014" customHeight="1" spans="2:2">
      <c r="B30014" s="62" t="str">
        <f>IF(AND('领用录入（明细）'!D:D=$F$4,'领用录入（明细）'!C:C&gt;=$J$4,'领用录入（明细）'!C:C&lt;=$L$4),ROW(),"-")</f>
        <v>-</v>
      </c>
    </row>
    <row r="30015" customHeight="1" spans="2:2">
      <c r="B30015" s="62" t="str">
        <f>IF(AND('领用录入（明细）'!D:D=$F$4,'领用录入（明细）'!C:C&gt;=$J$4,'领用录入（明细）'!C:C&lt;=$L$4),ROW(),"-")</f>
        <v>-</v>
      </c>
    </row>
    <row r="30016" customHeight="1" spans="2:2">
      <c r="B30016" s="62" t="str">
        <f>IF(AND('领用录入（明细）'!D:D=$F$4,'领用录入（明细）'!C:C&gt;=$J$4,'领用录入（明细）'!C:C&lt;=$L$4),ROW(),"-")</f>
        <v>-</v>
      </c>
    </row>
    <row r="30017" customHeight="1" spans="2:2">
      <c r="B30017" s="62" t="str">
        <f>IF(AND('领用录入（明细）'!D:D=$F$4,'领用录入（明细）'!C:C&gt;=$J$4,'领用录入（明细）'!C:C&lt;=$L$4),ROW(),"-")</f>
        <v>-</v>
      </c>
    </row>
    <row r="30018" customHeight="1" spans="2:2">
      <c r="B30018" s="62" t="str">
        <f>IF(AND('领用录入（明细）'!D:D=$F$4,'领用录入（明细）'!C:C&gt;=$J$4,'领用录入（明细）'!C:C&lt;=$L$4),ROW(),"-")</f>
        <v>-</v>
      </c>
    </row>
    <row r="30019" customHeight="1" spans="2:2">
      <c r="B30019" s="62" t="str">
        <f>IF(AND('领用录入（明细）'!D:D=$F$4,'领用录入（明细）'!C:C&gt;=$J$4,'领用录入（明细）'!C:C&lt;=$L$4),ROW(),"-")</f>
        <v>-</v>
      </c>
    </row>
    <row r="30020" customHeight="1" spans="2:2">
      <c r="B30020" s="62" t="str">
        <f>IF(AND('领用录入（明细）'!D:D=$F$4,'领用录入（明细）'!C:C&gt;=$J$4,'领用录入（明细）'!C:C&lt;=$L$4),ROW(),"-")</f>
        <v>-</v>
      </c>
    </row>
    <row r="30021" customHeight="1" spans="2:2">
      <c r="B30021" s="62" t="str">
        <f>IF(AND('领用录入（明细）'!D:D=$F$4,'领用录入（明细）'!C:C&gt;=$J$4,'领用录入（明细）'!C:C&lt;=$L$4),ROW(),"-")</f>
        <v>-</v>
      </c>
    </row>
    <row r="30022" customHeight="1" spans="2:2">
      <c r="B30022" s="62" t="str">
        <f>IF(AND('领用录入（明细）'!D:D=$F$4,'领用录入（明细）'!C:C&gt;=$J$4,'领用录入（明细）'!C:C&lt;=$L$4),ROW(),"-")</f>
        <v>-</v>
      </c>
    </row>
    <row r="30023" customHeight="1" spans="2:2">
      <c r="B30023" s="62" t="str">
        <f>IF(AND('领用录入（明细）'!D:D=$F$4,'领用录入（明细）'!C:C&gt;=$J$4,'领用录入（明细）'!C:C&lt;=$L$4),ROW(),"-")</f>
        <v>-</v>
      </c>
    </row>
    <row r="30024" customHeight="1" spans="2:2">
      <c r="B30024" s="62" t="str">
        <f>IF(AND('领用录入（明细）'!D:D=$F$4,'领用录入（明细）'!C:C&gt;=$J$4,'领用录入（明细）'!C:C&lt;=$L$4),ROW(),"-")</f>
        <v>-</v>
      </c>
    </row>
    <row r="30025" customHeight="1" spans="2:2">
      <c r="B30025" s="62" t="str">
        <f>IF(AND('领用录入（明细）'!D:D=$F$4,'领用录入（明细）'!C:C&gt;=$J$4,'领用录入（明细）'!C:C&lt;=$L$4),ROW(),"-")</f>
        <v>-</v>
      </c>
    </row>
    <row r="30026" customHeight="1" spans="2:2">
      <c r="B30026" s="62" t="str">
        <f>IF(AND('领用录入（明细）'!D:D=$F$4,'领用录入（明细）'!C:C&gt;=$J$4,'领用录入（明细）'!C:C&lt;=$L$4),ROW(),"-")</f>
        <v>-</v>
      </c>
    </row>
    <row r="30027" customHeight="1" spans="2:2">
      <c r="B30027" s="62" t="str">
        <f>IF(AND('领用录入（明细）'!D:D=$F$4,'领用录入（明细）'!C:C&gt;=$J$4,'领用录入（明细）'!C:C&lt;=$L$4),ROW(),"-")</f>
        <v>-</v>
      </c>
    </row>
    <row r="30028" customHeight="1" spans="2:2">
      <c r="B30028" s="62" t="str">
        <f>IF(AND('领用录入（明细）'!D:D=$F$4,'领用录入（明细）'!C:C&gt;=$J$4,'领用录入（明细）'!C:C&lt;=$L$4),ROW(),"-")</f>
        <v>-</v>
      </c>
    </row>
    <row r="30029" customHeight="1" spans="2:2">
      <c r="B30029" s="62" t="str">
        <f>IF(AND('领用录入（明细）'!D:D=$F$4,'领用录入（明细）'!C:C&gt;=$J$4,'领用录入（明细）'!C:C&lt;=$L$4),ROW(),"-")</f>
        <v>-</v>
      </c>
    </row>
    <row r="30030" customHeight="1" spans="2:2">
      <c r="B30030" s="62" t="str">
        <f>IF(AND('领用录入（明细）'!D:D=$F$4,'领用录入（明细）'!C:C&gt;=$J$4,'领用录入（明细）'!C:C&lt;=$L$4),ROW(),"-")</f>
        <v>-</v>
      </c>
    </row>
    <row r="30031" customHeight="1" spans="2:2">
      <c r="B30031" s="62" t="str">
        <f>IF(AND('领用录入（明细）'!D:D=$F$4,'领用录入（明细）'!C:C&gt;=$J$4,'领用录入（明细）'!C:C&lt;=$L$4),ROW(),"-")</f>
        <v>-</v>
      </c>
    </row>
    <row r="30032" customHeight="1" spans="2:2">
      <c r="B30032" s="62" t="str">
        <f>IF(AND('领用录入（明细）'!D:D=$F$4,'领用录入（明细）'!C:C&gt;=$J$4,'领用录入（明细）'!C:C&lt;=$L$4),ROW(),"-")</f>
        <v>-</v>
      </c>
    </row>
    <row r="30033" customHeight="1" spans="2:2">
      <c r="B30033" s="62" t="str">
        <f>IF(AND('领用录入（明细）'!D:D=$F$4,'领用录入（明细）'!C:C&gt;=$J$4,'领用录入（明细）'!C:C&lt;=$L$4),ROW(),"-")</f>
        <v>-</v>
      </c>
    </row>
    <row r="30034" customHeight="1" spans="2:2">
      <c r="B30034" s="62" t="str">
        <f>IF(AND('领用录入（明细）'!D:D=$F$4,'领用录入（明细）'!C:C&gt;=$J$4,'领用录入（明细）'!C:C&lt;=$L$4),ROW(),"-")</f>
        <v>-</v>
      </c>
    </row>
    <row r="30035" customHeight="1" spans="2:2">
      <c r="B30035" s="62" t="str">
        <f>IF(AND('领用录入（明细）'!D:D=$F$4,'领用录入（明细）'!C:C&gt;=$J$4,'领用录入（明细）'!C:C&lt;=$L$4),ROW(),"-")</f>
        <v>-</v>
      </c>
    </row>
    <row r="30036" customHeight="1" spans="2:2">
      <c r="B30036" s="62" t="str">
        <f>IF(AND('领用录入（明细）'!D:D=$F$4,'领用录入（明细）'!C:C&gt;=$J$4,'领用录入（明细）'!C:C&lt;=$L$4),ROW(),"-")</f>
        <v>-</v>
      </c>
    </row>
    <row r="30037" customHeight="1" spans="2:2">
      <c r="B30037" s="62" t="str">
        <f>IF(AND('领用录入（明细）'!D:D=$F$4,'领用录入（明细）'!C:C&gt;=$J$4,'领用录入（明细）'!C:C&lt;=$L$4),ROW(),"-")</f>
        <v>-</v>
      </c>
    </row>
    <row r="30038" customHeight="1" spans="2:2">
      <c r="B30038" s="62" t="str">
        <f>IF(AND('领用录入（明细）'!D:D=$F$4,'领用录入（明细）'!C:C&gt;=$J$4,'领用录入（明细）'!C:C&lt;=$L$4),ROW(),"-")</f>
        <v>-</v>
      </c>
    </row>
    <row r="30039" customHeight="1" spans="2:2">
      <c r="B30039" s="62" t="str">
        <f>IF(AND('领用录入（明细）'!D:D=$F$4,'领用录入（明细）'!C:C&gt;=$J$4,'领用录入（明细）'!C:C&lt;=$L$4),ROW(),"-")</f>
        <v>-</v>
      </c>
    </row>
    <row r="30040" customHeight="1" spans="2:2">
      <c r="B30040" s="62" t="str">
        <f>IF(AND('领用录入（明细）'!D:D=$F$4,'领用录入（明细）'!C:C&gt;=$J$4,'领用录入（明细）'!C:C&lt;=$L$4),ROW(),"-")</f>
        <v>-</v>
      </c>
    </row>
    <row r="30041" customHeight="1" spans="2:2">
      <c r="B30041" s="62" t="str">
        <f>IF(AND('领用录入（明细）'!D:D=$F$4,'领用录入（明细）'!C:C&gt;=$J$4,'领用录入（明细）'!C:C&lt;=$L$4),ROW(),"-")</f>
        <v>-</v>
      </c>
    </row>
    <row r="30042" customHeight="1" spans="2:2">
      <c r="B30042" s="62" t="str">
        <f>IF(AND('领用录入（明细）'!D:D=$F$4,'领用录入（明细）'!C:C&gt;=$J$4,'领用录入（明细）'!C:C&lt;=$L$4),ROW(),"-")</f>
        <v>-</v>
      </c>
    </row>
    <row r="30043" customHeight="1" spans="2:2">
      <c r="B30043" s="62" t="str">
        <f>IF(AND('领用录入（明细）'!D:D=$F$4,'领用录入（明细）'!C:C&gt;=$J$4,'领用录入（明细）'!C:C&lt;=$L$4),ROW(),"-")</f>
        <v>-</v>
      </c>
    </row>
    <row r="30044" customHeight="1" spans="2:2">
      <c r="B30044" s="62" t="str">
        <f>IF(AND('领用录入（明细）'!D:D=$F$4,'领用录入（明细）'!C:C&gt;=$J$4,'领用录入（明细）'!C:C&lt;=$L$4),ROW(),"-")</f>
        <v>-</v>
      </c>
    </row>
    <row r="30045" customHeight="1" spans="2:2">
      <c r="B30045" s="62" t="str">
        <f>IF(AND('领用录入（明细）'!D:D=$F$4,'领用录入（明细）'!C:C&gt;=$J$4,'领用录入（明细）'!C:C&lt;=$L$4),ROW(),"-")</f>
        <v>-</v>
      </c>
    </row>
    <row r="30046" customHeight="1" spans="2:2">
      <c r="B30046" s="62" t="str">
        <f>IF(AND('领用录入（明细）'!D:D=$F$4,'领用录入（明细）'!C:C&gt;=$J$4,'领用录入（明细）'!C:C&lt;=$L$4),ROW(),"-")</f>
        <v>-</v>
      </c>
    </row>
    <row r="30047" customHeight="1" spans="2:2">
      <c r="B30047" s="62" t="str">
        <f>IF(AND('领用录入（明细）'!D:D=$F$4,'领用录入（明细）'!C:C&gt;=$J$4,'领用录入（明细）'!C:C&lt;=$L$4),ROW(),"-")</f>
        <v>-</v>
      </c>
    </row>
    <row r="30048" customHeight="1" spans="2:2">
      <c r="B30048" s="62" t="str">
        <f>IF(AND('领用录入（明细）'!D:D=$F$4,'领用录入（明细）'!C:C&gt;=$J$4,'领用录入（明细）'!C:C&lt;=$L$4),ROW(),"-")</f>
        <v>-</v>
      </c>
    </row>
    <row r="30049" customHeight="1" spans="2:2">
      <c r="B30049" s="62" t="str">
        <f>IF(AND('领用录入（明细）'!D:D=$F$4,'领用录入（明细）'!C:C&gt;=$J$4,'领用录入（明细）'!C:C&lt;=$L$4),ROW(),"-")</f>
        <v>-</v>
      </c>
    </row>
    <row r="30050" customHeight="1" spans="2:2">
      <c r="B30050" s="62" t="str">
        <f>IF(AND('领用录入（明细）'!D:D=$F$4,'领用录入（明细）'!C:C&gt;=$J$4,'领用录入（明细）'!C:C&lt;=$L$4),ROW(),"-")</f>
        <v>-</v>
      </c>
    </row>
    <row r="30051" customHeight="1" spans="2:2">
      <c r="B30051" s="62" t="str">
        <f>IF(AND('领用录入（明细）'!D:D=$F$4,'领用录入（明细）'!C:C&gt;=$J$4,'领用录入（明细）'!C:C&lt;=$L$4),ROW(),"-")</f>
        <v>-</v>
      </c>
    </row>
    <row r="30052" customHeight="1" spans="2:2">
      <c r="B30052" s="62" t="str">
        <f>IF(AND('领用录入（明细）'!D:D=$F$4,'领用录入（明细）'!C:C&gt;=$J$4,'领用录入（明细）'!C:C&lt;=$L$4),ROW(),"-")</f>
        <v>-</v>
      </c>
    </row>
    <row r="30053" customHeight="1" spans="2:2">
      <c r="B30053" s="62" t="str">
        <f>IF(AND('领用录入（明细）'!D:D=$F$4,'领用录入（明细）'!C:C&gt;=$J$4,'领用录入（明细）'!C:C&lt;=$L$4),ROW(),"-")</f>
        <v>-</v>
      </c>
    </row>
    <row r="30054" customHeight="1" spans="2:2">
      <c r="B30054" s="62" t="str">
        <f>IF(AND('领用录入（明细）'!D:D=$F$4,'领用录入（明细）'!C:C&gt;=$J$4,'领用录入（明细）'!C:C&lt;=$L$4),ROW(),"-")</f>
        <v>-</v>
      </c>
    </row>
    <row r="30055" customHeight="1" spans="2:2">
      <c r="B30055" s="62" t="str">
        <f>IF(AND('领用录入（明细）'!D:D=$F$4,'领用录入（明细）'!C:C&gt;=$J$4,'领用录入（明细）'!C:C&lt;=$L$4),ROW(),"-")</f>
        <v>-</v>
      </c>
    </row>
    <row r="30056" customHeight="1" spans="2:2">
      <c r="B30056" s="62" t="str">
        <f>IF(AND('领用录入（明细）'!D:D=$F$4,'领用录入（明细）'!C:C&gt;=$J$4,'领用录入（明细）'!C:C&lt;=$L$4),ROW(),"-")</f>
        <v>-</v>
      </c>
    </row>
    <row r="30057" customHeight="1" spans="2:2">
      <c r="B30057" s="62" t="str">
        <f>IF(AND('领用录入（明细）'!D:D=$F$4,'领用录入（明细）'!C:C&gt;=$J$4,'领用录入（明细）'!C:C&lt;=$L$4),ROW(),"-")</f>
        <v>-</v>
      </c>
    </row>
    <row r="30058" customHeight="1" spans="2:2">
      <c r="B30058" s="62" t="str">
        <f>IF(AND('领用录入（明细）'!D:D=$F$4,'领用录入（明细）'!C:C&gt;=$J$4,'领用录入（明细）'!C:C&lt;=$L$4),ROW(),"-")</f>
        <v>-</v>
      </c>
    </row>
    <row r="30059" customHeight="1" spans="2:2">
      <c r="B30059" s="62" t="str">
        <f>IF(AND('领用录入（明细）'!D:D=$F$4,'领用录入（明细）'!C:C&gt;=$J$4,'领用录入（明细）'!C:C&lt;=$L$4),ROW(),"-")</f>
        <v>-</v>
      </c>
    </row>
    <row r="30060" customHeight="1" spans="2:2">
      <c r="B30060" s="62" t="str">
        <f>IF(AND('领用录入（明细）'!D:D=$F$4,'领用录入（明细）'!C:C&gt;=$J$4,'领用录入（明细）'!C:C&lt;=$L$4),ROW(),"-")</f>
        <v>-</v>
      </c>
    </row>
    <row r="30061" customHeight="1" spans="2:2">
      <c r="B30061" s="62" t="str">
        <f>IF(AND('领用录入（明细）'!D:D=$F$4,'领用录入（明细）'!C:C&gt;=$J$4,'领用录入（明细）'!C:C&lt;=$L$4),ROW(),"-")</f>
        <v>-</v>
      </c>
    </row>
    <row r="30062" customHeight="1" spans="2:2">
      <c r="B30062" s="62" t="str">
        <f>IF(AND('领用录入（明细）'!D:D=$F$4,'领用录入（明细）'!C:C&gt;=$J$4,'领用录入（明细）'!C:C&lt;=$L$4),ROW(),"-")</f>
        <v>-</v>
      </c>
    </row>
    <row r="30063" customHeight="1" spans="2:2">
      <c r="B30063" s="62" t="str">
        <f>IF(AND('领用录入（明细）'!D:D=$F$4,'领用录入（明细）'!C:C&gt;=$J$4,'领用录入（明细）'!C:C&lt;=$L$4),ROW(),"-")</f>
        <v>-</v>
      </c>
    </row>
    <row r="30064" customHeight="1" spans="2:2">
      <c r="B30064" s="62" t="str">
        <f>IF(AND('领用录入（明细）'!D:D=$F$4,'领用录入（明细）'!C:C&gt;=$J$4,'领用录入（明细）'!C:C&lt;=$L$4),ROW(),"-")</f>
        <v>-</v>
      </c>
    </row>
    <row r="30065" customHeight="1" spans="2:2">
      <c r="B30065" s="62" t="str">
        <f>IF(AND('领用录入（明细）'!D:D=$F$4,'领用录入（明细）'!C:C&gt;=$J$4,'领用录入（明细）'!C:C&lt;=$L$4),ROW(),"-")</f>
        <v>-</v>
      </c>
    </row>
    <row r="30066" customHeight="1" spans="2:2">
      <c r="B30066" s="62" t="str">
        <f>IF(AND('领用录入（明细）'!D:D=$F$4,'领用录入（明细）'!C:C&gt;=$J$4,'领用录入（明细）'!C:C&lt;=$L$4),ROW(),"-")</f>
        <v>-</v>
      </c>
    </row>
    <row r="30067" customHeight="1" spans="2:2">
      <c r="B30067" s="62" t="str">
        <f>IF(AND('领用录入（明细）'!D:D=$F$4,'领用录入（明细）'!C:C&gt;=$J$4,'领用录入（明细）'!C:C&lt;=$L$4),ROW(),"-")</f>
        <v>-</v>
      </c>
    </row>
    <row r="30068" customHeight="1" spans="2:2">
      <c r="B30068" s="62" t="str">
        <f>IF(AND('领用录入（明细）'!D:D=$F$4,'领用录入（明细）'!C:C&gt;=$J$4,'领用录入（明细）'!C:C&lt;=$L$4),ROW(),"-")</f>
        <v>-</v>
      </c>
    </row>
    <row r="30069" customHeight="1" spans="2:2">
      <c r="B30069" s="62" t="str">
        <f>IF(AND('领用录入（明细）'!D:D=$F$4,'领用录入（明细）'!C:C&gt;=$J$4,'领用录入（明细）'!C:C&lt;=$L$4),ROW(),"-")</f>
        <v>-</v>
      </c>
    </row>
    <row r="30070" customHeight="1" spans="2:2">
      <c r="B30070" s="62" t="str">
        <f>IF(AND('领用录入（明细）'!D:D=$F$4,'领用录入（明细）'!C:C&gt;=$J$4,'领用录入（明细）'!C:C&lt;=$L$4),ROW(),"-")</f>
        <v>-</v>
      </c>
    </row>
    <row r="30071" customHeight="1" spans="2:2">
      <c r="B30071" s="62" t="str">
        <f>IF(AND('领用录入（明细）'!D:D=$F$4,'领用录入（明细）'!C:C&gt;=$J$4,'领用录入（明细）'!C:C&lt;=$L$4),ROW(),"-")</f>
        <v>-</v>
      </c>
    </row>
    <row r="30072" customHeight="1" spans="2:2">
      <c r="B30072" s="62" t="str">
        <f>IF(AND('领用录入（明细）'!D:D=$F$4,'领用录入（明细）'!C:C&gt;=$J$4,'领用录入（明细）'!C:C&lt;=$L$4),ROW(),"-")</f>
        <v>-</v>
      </c>
    </row>
    <row r="30073" customHeight="1" spans="2:2">
      <c r="B30073" s="62" t="str">
        <f>IF(AND('领用录入（明细）'!D:D=$F$4,'领用录入（明细）'!C:C&gt;=$J$4,'领用录入（明细）'!C:C&lt;=$L$4),ROW(),"-")</f>
        <v>-</v>
      </c>
    </row>
    <row r="30074" customHeight="1" spans="2:2">
      <c r="B30074" s="62" t="str">
        <f>IF(AND('领用录入（明细）'!D:D=$F$4,'领用录入（明细）'!C:C&gt;=$J$4,'领用录入（明细）'!C:C&lt;=$L$4),ROW(),"-")</f>
        <v>-</v>
      </c>
    </row>
    <row r="30075" customHeight="1" spans="2:2">
      <c r="B30075" s="62" t="str">
        <f>IF(AND('领用录入（明细）'!D:D=$F$4,'领用录入（明细）'!C:C&gt;=$J$4,'领用录入（明细）'!C:C&lt;=$L$4),ROW(),"-")</f>
        <v>-</v>
      </c>
    </row>
    <row r="30076" customHeight="1" spans="2:2">
      <c r="B30076" s="62" t="str">
        <f>IF(AND('领用录入（明细）'!D:D=$F$4,'领用录入（明细）'!C:C&gt;=$J$4,'领用录入（明细）'!C:C&lt;=$L$4),ROW(),"-")</f>
        <v>-</v>
      </c>
    </row>
    <row r="30077" customHeight="1" spans="2:2">
      <c r="B30077" s="62" t="str">
        <f>IF(AND('领用录入（明细）'!D:D=$F$4,'领用录入（明细）'!C:C&gt;=$J$4,'领用录入（明细）'!C:C&lt;=$L$4),ROW(),"-")</f>
        <v>-</v>
      </c>
    </row>
    <row r="30078" customHeight="1" spans="2:2">
      <c r="B30078" s="62" t="str">
        <f>IF(AND('领用录入（明细）'!D:D=$F$4,'领用录入（明细）'!C:C&gt;=$J$4,'领用录入（明细）'!C:C&lt;=$L$4),ROW(),"-")</f>
        <v>-</v>
      </c>
    </row>
    <row r="30079" customHeight="1" spans="2:2">
      <c r="B30079" s="62" t="str">
        <f>IF(AND('领用录入（明细）'!D:D=$F$4,'领用录入（明细）'!C:C&gt;=$J$4,'领用录入（明细）'!C:C&lt;=$L$4),ROW(),"-")</f>
        <v>-</v>
      </c>
    </row>
    <row r="30080" customHeight="1" spans="2:2">
      <c r="B30080" s="62" t="str">
        <f>IF(AND('领用录入（明细）'!D:D=$F$4,'领用录入（明细）'!C:C&gt;=$J$4,'领用录入（明细）'!C:C&lt;=$L$4),ROW(),"-")</f>
        <v>-</v>
      </c>
    </row>
    <row r="30081" customHeight="1" spans="2:2">
      <c r="B30081" s="62" t="str">
        <f>IF(AND('领用录入（明细）'!D:D=$F$4,'领用录入（明细）'!C:C&gt;=$J$4,'领用录入（明细）'!C:C&lt;=$L$4),ROW(),"-")</f>
        <v>-</v>
      </c>
    </row>
    <row r="30082" customHeight="1" spans="2:2">
      <c r="B30082" s="62" t="str">
        <f>IF(AND('领用录入（明细）'!D:D=$F$4,'领用录入（明细）'!C:C&gt;=$J$4,'领用录入（明细）'!C:C&lt;=$L$4),ROW(),"-")</f>
        <v>-</v>
      </c>
    </row>
    <row r="30083" customHeight="1" spans="2:2">
      <c r="B30083" s="62" t="str">
        <f>IF(AND('领用录入（明细）'!D:D=$F$4,'领用录入（明细）'!C:C&gt;=$J$4,'领用录入（明细）'!C:C&lt;=$L$4),ROW(),"-")</f>
        <v>-</v>
      </c>
    </row>
    <row r="30084" customHeight="1" spans="2:2">
      <c r="B30084" s="62" t="str">
        <f>IF(AND('领用录入（明细）'!D:D=$F$4,'领用录入（明细）'!C:C&gt;=$J$4,'领用录入（明细）'!C:C&lt;=$L$4),ROW(),"-")</f>
        <v>-</v>
      </c>
    </row>
    <row r="30085" customHeight="1" spans="2:2">
      <c r="B30085" s="62" t="str">
        <f>IF(AND('领用录入（明细）'!D:D=$F$4,'领用录入（明细）'!C:C&gt;=$J$4,'领用录入（明细）'!C:C&lt;=$L$4),ROW(),"-")</f>
        <v>-</v>
      </c>
    </row>
    <row r="30086" customHeight="1" spans="2:2">
      <c r="B30086" s="62" t="str">
        <f>IF(AND('领用录入（明细）'!D:D=$F$4,'领用录入（明细）'!C:C&gt;=$J$4,'领用录入（明细）'!C:C&lt;=$L$4),ROW(),"-")</f>
        <v>-</v>
      </c>
    </row>
    <row r="30087" customHeight="1" spans="2:2">
      <c r="B30087" s="62" t="str">
        <f>IF(AND('领用录入（明细）'!D:D=$F$4,'领用录入（明细）'!C:C&gt;=$J$4,'领用录入（明细）'!C:C&lt;=$L$4),ROW(),"-")</f>
        <v>-</v>
      </c>
    </row>
    <row r="30088" customHeight="1" spans="2:2">
      <c r="B30088" s="62" t="str">
        <f>IF(AND('领用录入（明细）'!D:D=$F$4,'领用录入（明细）'!C:C&gt;=$J$4,'领用录入（明细）'!C:C&lt;=$L$4),ROW(),"-")</f>
        <v>-</v>
      </c>
    </row>
    <row r="30089" customHeight="1" spans="2:2">
      <c r="B30089" s="62" t="str">
        <f>IF(AND('领用录入（明细）'!D:D=$F$4,'领用录入（明细）'!C:C&gt;=$J$4,'领用录入（明细）'!C:C&lt;=$L$4),ROW(),"-")</f>
        <v>-</v>
      </c>
    </row>
    <row r="30090" customHeight="1" spans="2:2">
      <c r="B30090" s="62" t="str">
        <f>IF(AND('领用录入（明细）'!D:D=$F$4,'领用录入（明细）'!C:C&gt;=$J$4,'领用录入（明细）'!C:C&lt;=$L$4),ROW(),"-")</f>
        <v>-</v>
      </c>
    </row>
    <row r="30091" customHeight="1" spans="2:2">
      <c r="B30091" s="62" t="str">
        <f>IF(AND('领用录入（明细）'!D:D=$F$4,'领用录入（明细）'!C:C&gt;=$J$4,'领用录入（明细）'!C:C&lt;=$L$4),ROW(),"-")</f>
        <v>-</v>
      </c>
    </row>
    <row r="30092" customHeight="1" spans="2:2">
      <c r="B30092" s="62" t="str">
        <f>IF(AND('领用录入（明细）'!D:D=$F$4,'领用录入（明细）'!C:C&gt;=$J$4,'领用录入（明细）'!C:C&lt;=$L$4),ROW(),"-")</f>
        <v>-</v>
      </c>
    </row>
    <row r="30093" customHeight="1" spans="2:2">
      <c r="B30093" s="62" t="str">
        <f>IF(AND('领用录入（明细）'!D:D=$F$4,'领用录入（明细）'!C:C&gt;=$J$4,'领用录入（明细）'!C:C&lt;=$L$4),ROW(),"-")</f>
        <v>-</v>
      </c>
    </row>
    <row r="30094" customHeight="1" spans="2:2">
      <c r="B30094" s="62" t="str">
        <f>IF(AND('领用录入（明细）'!D:D=$F$4,'领用录入（明细）'!C:C&gt;=$J$4,'领用录入（明细）'!C:C&lt;=$L$4),ROW(),"-")</f>
        <v>-</v>
      </c>
    </row>
    <row r="30095" customHeight="1" spans="2:2">
      <c r="B30095" s="62" t="str">
        <f>IF(AND('领用录入（明细）'!D:D=$F$4,'领用录入（明细）'!C:C&gt;=$J$4,'领用录入（明细）'!C:C&lt;=$L$4),ROW(),"-")</f>
        <v>-</v>
      </c>
    </row>
    <row r="30096" customHeight="1" spans="2:2">
      <c r="B30096" s="62" t="str">
        <f>IF(AND('领用录入（明细）'!D:D=$F$4,'领用录入（明细）'!C:C&gt;=$J$4,'领用录入（明细）'!C:C&lt;=$L$4),ROW(),"-")</f>
        <v>-</v>
      </c>
    </row>
    <row r="30097" customHeight="1" spans="2:2">
      <c r="B30097" s="62" t="str">
        <f>IF(AND('领用录入（明细）'!D:D=$F$4,'领用录入（明细）'!C:C&gt;=$J$4,'领用录入（明细）'!C:C&lt;=$L$4),ROW(),"-")</f>
        <v>-</v>
      </c>
    </row>
    <row r="30098" customHeight="1" spans="2:2">
      <c r="B30098" s="62" t="str">
        <f>IF(AND('领用录入（明细）'!D:D=$F$4,'领用录入（明细）'!C:C&gt;=$J$4,'领用录入（明细）'!C:C&lt;=$L$4),ROW(),"-")</f>
        <v>-</v>
      </c>
    </row>
    <row r="30099" customHeight="1" spans="2:2">
      <c r="B30099" s="62" t="str">
        <f>IF(AND('领用录入（明细）'!D:D=$F$4,'领用录入（明细）'!C:C&gt;=$J$4,'领用录入（明细）'!C:C&lt;=$L$4),ROW(),"-")</f>
        <v>-</v>
      </c>
    </row>
    <row r="30100" customHeight="1" spans="2:2">
      <c r="B30100" s="62" t="str">
        <f>IF(AND('领用录入（明细）'!D:D=$F$4,'领用录入（明细）'!C:C&gt;=$J$4,'领用录入（明细）'!C:C&lt;=$L$4),ROW(),"-")</f>
        <v>-</v>
      </c>
    </row>
    <row r="30101" customHeight="1" spans="2:2">
      <c r="B30101" s="62" t="str">
        <f>IF(AND('领用录入（明细）'!D:D=$F$4,'领用录入（明细）'!C:C&gt;=$J$4,'领用录入（明细）'!C:C&lt;=$L$4),ROW(),"-")</f>
        <v>-</v>
      </c>
    </row>
    <row r="30102" customHeight="1" spans="2:2">
      <c r="B30102" s="62" t="str">
        <f>IF(AND('领用录入（明细）'!D:D=$F$4,'领用录入（明细）'!C:C&gt;=$J$4,'领用录入（明细）'!C:C&lt;=$L$4),ROW(),"-")</f>
        <v>-</v>
      </c>
    </row>
    <row r="30103" customHeight="1" spans="2:2">
      <c r="B30103" s="62" t="str">
        <f>IF(AND('领用录入（明细）'!D:D=$F$4,'领用录入（明细）'!C:C&gt;=$J$4,'领用录入（明细）'!C:C&lt;=$L$4),ROW(),"-")</f>
        <v>-</v>
      </c>
    </row>
    <row r="30104" customHeight="1" spans="2:2">
      <c r="B30104" s="62" t="str">
        <f>IF(AND('领用录入（明细）'!D:D=$F$4,'领用录入（明细）'!C:C&gt;=$J$4,'领用录入（明细）'!C:C&lt;=$L$4),ROW(),"-")</f>
        <v>-</v>
      </c>
    </row>
    <row r="30105" customHeight="1" spans="2:2">
      <c r="B30105" s="62" t="str">
        <f>IF(AND('领用录入（明细）'!D:D=$F$4,'领用录入（明细）'!C:C&gt;=$J$4,'领用录入（明细）'!C:C&lt;=$L$4),ROW(),"-")</f>
        <v>-</v>
      </c>
    </row>
    <row r="30106" customHeight="1" spans="2:2">
      <c r="B30106" s="62" t="str">
        <f>IF(AND('领用录入（明细）'!D:D=$F$4,'领用录入（明细）'!C:C&gt;=$J$4,'领用录入（明细）'!C:C&lt;=$L$4),ROW(),"-")</f>
        <v>-</v>
      </c>
    </row>
    <row r="30107" customHeight="1" spans="2:2">
      <c r="B30107" s="62" t="str">
        <f>IF(AND('领用录入（明细）'!D:D=$F$4,'领用录入（明细）'!C:C&gt;=$J$4,'领用录入（明细）'!C:C&lt;=$L$4),ROW(),"-")</f>
        <v>-</v>
      </c>
    </row>
    <row r="30108" customHeight="1" spans="2:2">
      <c r="B30108" s="62" t="str">
        <f>IF(AND('领用录入（明细）'!D:D=$F$4,'领用录入（明细）'!C:C&gt;=$J$4,'领用录入（明细）'!C:C&lt;=$L$4),ROW(),"-")</f>
        <v>-</v>
      </c>
    </row>
    <row r="30109" customHeight="1" spans="2:2">
      <c r="B30109" s="62" t="str">
        <f>IF(AND('领用录入（明细）'!D:D=$F$4,'领用录入（明细）'!C:C&gt;=$J$4,'领用录入（明细）'!C:C&lt;=$L$4),ROW(),"-")</f>
        <v>-</v>
      </c>
    </row>
    <row r="30110" customHeight="1" spans="2:2">
      <c r="B30110" s="62" t="str">
        <f>IF(AND('领用录入（明细）'!D:D=$F$4,'领用录入（明细）'!C:C&gt;=$J$4,'领用录入（明细）'!C:C&lt;=$L$4),ROW(),"-")</f>
        <v>-</v>
      </c>
    </row>
    <row r="30111" customHeight="1" spans="2:2">
      <c r="B30111" s="62" t="str">
        <f>IF(AND('领用录入（明细）'!D:D=$F$4,'领用录入（明细）'!C:C&gt;=$J$4,'领用录入（明细）'!C:C&lt;=$L$4),ROW(),"-")</f>
        <v>-</v>
      </c>
    </row>
    <row r="30112" customHeight="1" spans="2:2">
      <c r="B30112" s="62" t="str">
        <f>IF(AND('领用录入（明细）'!D:D=$F$4,'领用录入（明细）'!C:C&gt;=$J$4,'领用录入（明细）'!C:C&lt;=$L$4),ROW(),"-")</f>
        <v>-</v>
      </c>
    </row>
    <row r="30113" customHeight="1" spans="2:2">
      <c r="B30113" s="62" t="str">
        <f>IF(AND('领用录入（明细）'!D:D=$F$4,'领用录入（明细）'!C:C&gt;=$J$4,'领用录入（明细）'!C:C&lt;=$L$4),ROW(),"-")</f>
        <v>-</v>
      </c>
    </row>
    <row r="30114" customHeight="1" spans="2:2">
      <c r="B30114" s="62" t="str">
        <f>IF(AND('领用录入（明细）'!D:D=$F$4,'领用录入（明细）'!C:C&gt;=$J$4,'领用录入（明细）'!C:C&lt;=$L$4),ROW(),"-")</f>
        <v>-</v>
      </c>
    </row>
    <row r="30115" customHeight="1" spans="2:2">
      <c r="B30115" s="62" t="str">
        <f>IF(AND('领用录入（明细）'!D:D=$F$4,'领用录入（明细）'!C:C&gt;=$J$4,'领用录入（明细）'!C:C&lt;=$L$4),ROW(),"-")</f>
        <v>-</v>
      </c>
    </row>
    <row r="30116" customHeight="1" spans="2:2">
      <c r="B30116" s="62" t="str">
        <f>IF(AND('领用录入（明细）'!D:D=$F$4,'领用录入（明细）'!C:C&gt;=$J$4,'领用录入（明细）'!C:C&lt;=$L$4),ROW(),"-")</f>
        <v>-</v>
      </c>
    </row>
    <row r="30117" customHeight="1" spans="2:2">
      <c r="B30117" s="62" t="str">
        <f>IF(AND('领用录入（明细）'!D:D=$F$4,'领用录入（明细）'!C:C&gt;=$J$4,'领用录入（明细）'!C:C&lt;=$L$4),ROW(),"-")</f>
        <v>-</v>
      </c>
    </row>
    <row r="30118" customHeight="1" spans="2:2">
      <c r="B30118" s="62" t="str">
        <f>IF(AND('领用录入（明细）'!D:D=$F$4,'领用录入（明细）'!C:C&gt;=$J$4,'领用录入（明细）'!C:C&lt;=$L$4),ROW(),"-")</f>
        <v>-</v>
      </c>
    </row>
    <row r="30119" customHeight="1" spans="2:2">
      <c r="B30119" s="62" t="str">
        <f>IF(AND('领用录入（明细）'!D:D=$F$4,'领用录入（明细）'!C:C&gt;=$J$4,'领用录入（明细）'!C:C&lt;=$L$4),ROW(),"-")</f>
        <v>-</v>
      </c>
    </row>
    <row r="30120" customHeight="1" spans="2:2">
      <c r="B30120" s="62" t="str">
        <f>IF(AND('领用录入（明细）'!D:D=$F$4,'领用录入（明细）'!C:C&gt;=$J$4,'领用录入（明细）'!C:C&lt;=$L$4),ROW(),"-")</f>
        <v>-</v>
      </c>
    </row>
    <row r="30121" customHeight="1" spans="2:2">
      <c r="B30121" s="62" t="str">
        <f>IF(AND('领用录入（明细）'!D:D=$F$4,'领用录入（明细）'!C:C&gt;=$J$4,'领用录入（明细）'!C:C&lt;=$L$4),ROW(),"-")</f>
        <v>-</v>
      </c>
    </row>
    <row r="30122" customHeight="1" spans="2:2">
      <c r="B30122" s="62" t="str">
        <f>IF(AND('领用录入（明细）'!D:D=$F$4,'领用录入（明细）'!C:C&gt;=$J$4,'领用录入（明细）'!C:C&lt;=$L$4),ROW(),"-")</f>
        <v>-</v>
      </c>
    </row>
    <row r="30123" customHeight="1" spans="2:2">
      <c r="B30123" s="62" t="str">
        <f>IF(AND('领用录入（明细）'!D:D=$F$4,'领用录入（明细）'!C:C&gt;=$J$4,'领用录入（明细）'!C:C&lt;=$L$4),ROW(),"-")</f>
        <v>-</v>
      </c>
    </row>
    <row r="30124" customHeight="1" spans="2:2">
      <c r="B30124" s="62" t="str">
        <f>IF(AND('领用录入（明细）'!D:D=$F$4,'领用录入（明细）'!C:C&gt;=$J$4,'领用录入（明细）'!C:C&lt;=$L$4),ROW(),"-")</f>
        <v>-</v>
      </c>
    </row>
    <row r="30125" customHeight="1" spans="2:2">
      <c r="B30125" s="62" t="str">
        <f>IF(AND('领用录入（明细）'!D:D=$F$4,'领用录入（明细）'!C:C&gt;=$J$4,'领用录入（明细）'!C:C&lt;=$L$4),ROW(),"-")</f>
        <v>-</v>
      </c>
    </row>
    <row r="30126" customHeight="1" spans="2:2">
      <c r="B30126" s="62" t="str">
        <f>IF(AND('领用录入（明细）'!D:D=$F$4,'领用录入（明细）'!C:C&gt;=$J$4,'领用录入（明细）'!C:C&lt;=$L$4),ROW(),"-")</f>
        <v>-</v>
      </c>
    </row>
    <row r="30127" customHeight="1" spans="2:2">
      <c r="B30127" s="62" t="str">
        <f>IF(AND('领用录入（明细）'!D:D=$F$4,'领用录入（明细）'!C:C&gt;=$J$4,'领用录入（明细）'!C:C&lt;=$L$4),ROW(),"-")</f>
        <v>-</v>
      </c>
    </row>
    <row r="30128" customHeight="1" spans="2:2">
      <c r="B30128" s="62" t="str">
        <f>IF(AND('领用录入（明细）'!D:D=$F$4,'领用录入（明细）'!C:C&gt;=$J$4,'领用录入（明细）'!C:C&lt;=$L$4),ROW(),"-")</f>
        <v>-</v>
      </c>
    </row>
    <row r="30129" customHeight="1" spans="2:2">
      <c r="B30129" s="62" t="str">
        <f>IF(AND('领用录入（明细）'!D:D=$F$4,'领用录入（明细）'!C:C&gt;=$J$4,'领用录入（明细）'!C:C&lt;=$L$4),ROW(),"-")</f>
        <v>-</v>
      </c>
    </row>
    <row r="30130" customHeight="1" spans="2:2">
      <c r="B30130" s="62" t="str">
        <f>IF(AND('领用录入（明细）'!D:D=$F$4,'领用录入（明细）'!C:C&gt;=$J$4,'领用录入（明细）'!C:C&lt;=$L$4),ROW(),"-")</f>
        <v>-</v>
      </c>
    </row>
    <row r="30131" customHeight="1" spans="2:2">
      <c r="B30131" s="62" t="str">
        <f>IF(AND('领用录入（明细）'!D:D=$F$4,'领用录入（明细）'!C:C&gt;=$J$4,'领用录入（明细）'!C:C&lt;=$L$4),ROW(),"-")</f>
        <v>-</v>
      </c>
    </row>
    <row r="30132" customHeight="1" spans="2:2">
      <c r="B30132" s="62" t="str">
        <f>IF(AND('领用录入（明细）'!D:D=$F$4,'领用录入（明细）'!C:C&gt;=$J$4,'领用录入（明细）'!C:C&lt;=$L$4),ROW(),"-")</f>
        <v>-</v>
      </c>
    </row>
    <row r="30133" customHeight="1" spans="2:2">
      <c r="B30133" s="62" t="str">
        <f>IF(AND('领用录入（明细）'!D:D=$F$4,'领用录入（明细）'!C:C&gt;=$J$4,'领用录入（明细）'!C:C&lt;=$L$4),ROW(),"-")</f>
        <v>-</v>
      </c>
    </row>
    <row r="30134" customHeight="1" spans="2:2">
      <c r="B30134" s="62" t="str">
        <f>IF(AND('领用录入（明细）'!D:D=$F$4,'领用录入（明细）'!C:C&gt;=$J$4,'领用录入（明细）'!C:C&lt;=$L$4),ROW(),"-")</f>
        <v>-</v>
      </c>
    </row>
    <row r="30135" customHeight="1" spans="2:2">
      <c r="B30135" s="62" t="str">
        <f>IF(AND('领用录入（明细）'!D:D=$F$4,'领用录入（明细）'!C:C&gt;=$J$4,'领用录入（明细）'!C:C&lt;=$L$4),ROW(),"-")</f>
        <v>-</v>
      </c>
    </row>
    <row r="30136" customHeight="1" spans="2:2">
      <c r="B30136" s="62" t="str">
        <f>IF(AND('领用录入（明细）'!D:D=$F$4,'领用录入（明细）'!C:C&gt;=$J$4,'领用录入（明细）'!C:C&lt;=$L$4),ROW(),"-")</f>
        <v>-</v>
      </c>
    </row>
    <row r="30137" customHeight="1" spans="2:2">
      <c r="B30137" s="62" t="str">
        <f>IF(AND('领用录入（明细）'!D:D=$F$4,'领用录入（明细）'!C:C&gt;=$J$4,'领用录入（明细）'!C:C&lt;=$L$4),ROW(),"-")</f>
        <v>-</v>
      </c>
    </row>
    <row r="30138" customHeight="1" spans="2:2">
      <c r="B30138" s="62" t="str">
        <f>IF(AND('领用录入（明细）'!D:D=$F$4,'领用录入（明细）'!C:C&gt;=$J$4,'领用录入（明细）'!C:C&lt;=$L$4),ROW(),"-")</f>
        <v>-</v>
      </c>
    </row>
    <row r="30139" customHeight="1" spans="2:2">
      <c r="B30139" s="62" t="str">
        <f>IF(AND('领用录入（明细）'!D:D=$F$4,'领用录入（明细）'!C:C&gt;=$J$4,'领用录入（明细）'!C:C&lt;=$L$4),ROW(),"-")</f>
        <v>-</v>
      </c>
    </row>
    <row r="30140" customHeight="1" spans="2:2">
      <c r="B30140" s="62" t="str">
        <f>IF(AND('领用录入（明细）'!D:D=$F$4,'领用录入（明细）'!C:C&gt;=$J$4,'领用录入（明细）'!C:C&lt;=$L$4),ROW(),"-")</f>
        <v>-</v>
      </c>
    </row>
    <row r="30141" customHeight="1" spans="2:2">
      <c r="B30141" s="62" t="str">
        <f>IF(AND('领用录入（明细）'!D:D=$F$4,'领用录入（明细）'!C:C&gt;=$J$4,'领用录入（明细）'!C:C&lt;=$L$4),ROW(),"-")</f>
        <v>-</v>
      </c>
    </row>
    <row r="30142" customHeight="1" spans="2:2">
      <c r="B30142" s="62" t="str">
        <f>IF(AND('领用录入（明细）'!D:D=$F$4,'领用录入（明细）'!C:C&gt;=$J$4,'领用录入（明细）'!C:C&lt;=$L$4),ROW(),"-")</f>
        <v>-</v>
      </c>
    </row>
    <row r="30143" customHeight="1" spans="2:2">
      <c r="B30143" s="62" t="str">
        <f>IF(AND('领用录入（明细）'!D:D=$F$4,'领用录入（明细）'!C:C&gt;=$J$4,'领用录入（明细）'!C:C&lt;=$L$4),ROW(),"-")</f>
        <v>-</v>
      </c>
    </row>
    <row r="30144" customHeight="1" spans="2:2">
      <c r="B30144" s="62" t="str">
        <f>IF(AND('领用录入（明细）'!D:D=$F$4,'领用录入（明细）'!C:C&gt;=$J$4,'领用录入（明细）'!C:C&lt;=$L$4),ROW(),"-")</f>
        <v>-</v>
      </c>
    </row>
    <row r="30145" customHeight="1" spans="2:2">
      <c r="B30145" s="62" t="str">
        <f>IF(AND('领用录入（明细）'!D:D=$F$4,'领用录入（明细）'!C:C&gt;=$J$4,'领用录入（明细）'!C:C&lt;=$L$4),ROW(),"-")</f>
        <v>-</v>
      </c>
    </row>
    <row r="30146" customHeight="1" spans="2:2">
      <c r="B30146" s="62" t="str">
        <f>IF(AND('领用录入（明细）'!D:D=$F$4,'领用录入（明细）'!C:C&gt;=$J$4,'领用录入（明细）'!C:C&lt;=$L$4),ROW(),"-")</f>
        <v>-</v>
      </c>
    </row>
    <row r="30147" customHeight="1" spans="2:2">
      <c r="B30147" s="62" t="str">
        <f>IF(AND('领用录入（明细）'!D:D=$F$4,'领用录入（明细）'!C:C&gt;=$J$4,'领用录入（明细）'!C:C&lt;=$L$4),ROW(),"-")</f>
        <v>-</v>
      </c>
    </row>
    <row r="30148" customHeight="1" spans="2:2">
      <c r="B30148" s="62" t="str">
        <f>IF(AND('领用录入（明细）'!D:D=$F$4,'领用录入（明细）'!C:C&gt;=$J$4,'领用录入（明细）'!C:C&lt;=$L$4),ROW(),"-")</f>
        <v>-</v>
      </c>
    </row>
    <row r="30149" customHeight="1" spans="2:2">
      <c r="B30149" s="62" t="str">
        <f>IF(AND('领用录入（明细）'!D:D=$F$4,'领用录入（明细）'!C:C&gt;=$J$4,'领用录入（明细）'!C:C&lt;=$L$4),ROW(),"-")</f>
        <v>-</v>
      </c>
    </row>
    <row r="30150" customHeight="1" spans="2:2">
      <c r="B30150" s="62" t="str">
        <f>IF(AND('领用录入（明细）'!D:D=$F$4,'领用录入（明细）'!C:C&gt;=$J$4,'领用录入（明细）'!C:C&lt;=$L$4),ROW(),"-")</f>
        <v>-</v>
      </c>
    </row>
    <row r="30151" customHeight="1" spans="2:2">
      <c r="B30151" s="62" t="str">
        <f>IF(AND('领用录入（明细）'!D:D=$F$4,'领用录入（明细）'!C:C&gt;=$J$4,'领用录入（明细）'!C:C&lt;=$L$4),ROW(),"-")</f>
        <v>-</v>
      </c>
    </row>
    <row r="30152" customHeight="1" spans="2:2">
      <c r="B30152" s="62" t="str">
        <f>IF(AND('领用录入（明细）'!D:D=$F$4,'领用录入（明细）'!C:C&gt;=$J$4,'领用录入（明细）'!C:C&lt;=$L$4),ROW(),"-")</f>
        <v>-</v>
      </c>
    </row>
    <row r="30153" customHeight="1" spans="2:2">
      <c r="B30153" s="62" t="str">
        <f>IF(AND('领用录入（明细）'!D:D=$F$4,'领用录入（明细）'!C:C&gt;=$J$4,'领用录入（明细）'!C:C&lt;=$L$4),ROW(),"-")</f>
        <v>-</v>
      </c>
    </row>
    <row r="30154" customHeight="1" spans="2:2">
      <c r="B30154" s="62" t="str">
        <f>IF(AND('领用录入（明细）'!D:D=$F$4,'领用录入（明细）'!C:C&gt;=$J$4,'领用录入（明细）'!C:C&lt;=$L$4),ROW(),"-")</f>
        <v>-</v>
      </c>
    </row>
    <row r="30155" customHeight="1" spans="2:2">
      <c r="B30155" s="62" t="str">
        <f>IF(AND('领用录入（明细）'!D:D=$F$4,'领用录入（明细）'!C:C&gt;=$J$4,'领用录入（明细）'!C:C&lt;=$L$4),ROW(),"-")</f>
        <v>-</v>
      </c>
    </row>
    <row r="30156" customHeight="1" spans="2:2">
      <c r="B30156" s="62" t="str">
        <f>IF(AND('领用录入（明细）'!D:D=$F$4,'领用录入（明细）'!C:C&gt;=$J$4,'领用录入（明细）'!C:C&lt;=$L$4),ROW(),"-")</f>
        <v>-</v>
      </c>
    </row>
    <row r="30157" customHeight="1" spans="2:2">
      <c r="B30157" s="62" t="str">
        <f>IF(AND('领用录入（明细）'!D:D=$F$4,'领用录入（明细）'!C:C&gt;=$J$4,'领用录入（明细）'!C:C&lt;=$L$4),ROW(),"-")</f>
        <v>-</v>
      </c>
    </row>
    <row r="30158" customHeight="1" spans="2:2">
      <c r="B30158" s="62" t="str">
        <f>IF(AND('领用录入（明细）'!D:D=$F$4,'领用录入（明细）'!C:C&gt;=$J$4,'领用录入（明细）'!C:C&lt;=$L$4),ROW(),"-")</f>
        <v>-</v>
      </c>
    </row>
    <row r="30159" customHeight="1" spans="2:2">
      <c r="B30159" s="62" t="str">
        <f>IF(AND('领用录入（明细）'!D:D=$F$4,'领用录入（明细）'!C:C&gt;=$J$4,'领用录入（明细）'!C:C&lt;=$L$4),ROW(),"-")</f>
        <v>-</v>
      </c>
    </row>
    <row r="30160" customHeight="1" spans="2:2">
      <c r="B30160" s="62" t="str">
        <f>IF(AND('领用录入（明细）'!D:D=$F$4,'领用录入（明细）'!C:C&gt;=$J$4,'领用录入（明细）'!C:C&lt;=$L$4),ROW(),"-")</f>
        <v>-</v>
      </c>
    </row>
    <row r="30161" customHeight="1" spans="2:2">
      <c r="B30161" s="62" t="str">
        <f>IF(AND('领用录入（明细）'!D:D=$F$4,'领用录入（明细）'!C:C&gt;=$J$4,'领用录入（明细）'!C:C&lt;=$L$4),ROW(),"-")</f>
        <v>-</v>
      </c>
    </row>
    <row r="30162" customHeight="1" spans="2:2">
      <c r="B30162" s="62" t="str">
        <f>IF(AND('领用录入（明细）'!D:D=$F$4,'领用录入（明细）'!C:C&gt;=$J$4,'领用录入（明细）'!C:C&lt;=$L$4),ROW(),"-")</f>
        <v>-</v>
      </c>
    </row>
    <row r="30163" customHeight="1" spans="2:2">
      <c r="B30163" s="62" t="str">
        <f>IF(AND('领用录入（明细）'!D:D=$F$4,'领用录入（明细）'!C:C&gt;=$J$4,'领用录入（明细）'!C:C&lt;=$L$4),ROW(),"-")</f>
        <v>-</v>
      </c>
    </row>
    <row r="30164" customHeight="1" spans="2:2">
      <c r="B30164" s="62" t="str">
        <f>IF(AND('领用录入（明细）'!D:D=$F$4,'领用录入（明细）'!C:C&gt;=$J$4,'领用录入（明细）'!C:C&lt;=$L$4),ROW(),"-")</f>
        <v>-</v>
      </c>
    </row>
    <row r="30165" customHeight="1" spans="2:2">
      <c r="B30165" s="62" t="str">
        <f>IF(AND('领用录入（明细）'!D:D=$F$4,'领用录入（明细）'!C:C&gt;=$J$4,'领用录入（明细）'!C:C&lt;=$L$4),ROW(),"-")</f>
        <v>-</v>
      </c>
    </row>
    <row r="30166" customHeight="1" spans="2:2">
      <c r="B30166" s="62" t="str">
        <f>IF(AND('领用录入（明细）'!D:D=$F$4,'领用录入（明细）'!C:C&gt;=$J$4,'领用录入（明细）'!C:C&lt;=$L$4),ROW(),"-")</f>
        <v>-</v>
      </c>
    </row>
    <row r="30167" customHeight="1" spans="2:2">
      <c r="B30167" s="62" t="str">
        <f>IF(AND('领用录入（明细）'!D:D=$F$4,'领用录入（明细）'!C:C&gt;=$J$4,'领用录入（明细）'!C:C&lt;=$L$4),ROW(),"-")</f>
        <v>-</v>
      </c>
    </row>
    <row r="30168" customHeight="1" spans="2:2">
      <c r="B30168" s="62" t="str">
        <f>IF(AND('领用录入（明细）'!D:D=$F$4,'领用录入（明细）'!C:C&gt;=$J$4,'领用录入（明细）'!C:C&lt;=$L$4),ROW(),"-")</f>
        <v>-</v>
      </c>
    </row>
    <row r="30169" customHeight="1" spans="2:2">
      <c r="B30169" s="62" t="str">
        <f>IF(AND('领用录入（明细）'!D:D=$F$4,'领用录入（明细）'!C:C&gt;=$J$4,'领用录入（明细）'!C:C&lt;=$L$4),ROW(),"-")</f>
        <v>-</v>
      </c>
    </row>
    <row r="30170" customHeight="1" spans="2:2">
      <c r="B30170" s="62" t="str">
        <f>IF(AND('领用录入（明细）'!D:D=$F$4,'领用录入（明细）'!C:C&gt;=$J$4,'领用录入（明细）'!C:C&lt;=$L$4),ROW(),"-")</f>
        <v>-</v>
      </c>
    </row>
    <row r="30171" customHeight="1" spans="2:2">
      <c r="B30171" s="62" t="str">
        <f>IF(AND('领用录入（明细）'!D:D=$F$4,'领用录入（明细）'!C:C&gt;=$J$4,'领用录入（明细）'!C:C&lt;=$L$4),ROW(),"-")</f>
        <v>-</v>
      </c>
    </row>
    <row r="30172" customHeight="1" spans="2:2">
      <c r="B30172" s="62" t="str">
        <f>IF(AND('领用录入（明细）'!D:D=$F$4,'领用录入（明细）'!C:C&gt;=$J$4,'领用录入（明细）'!C:C&lt;=$L$4),ROW(),"-")</f>
        <v>-</v>
      </c>
    </row>
    <row r="30173" customHeight="1" spans="2:2">
      <c r="B30173" s="62" t="str">
        <f>IF(AND('领用录入（明细）'!D:D=$F$4,'领用录入（明细）'!C:C&gt;=$J$4,'领用录入（明细）'!C:C&lt;=$L$4),ROW(),"-")</f>
        <v>-</v>
      </c>
    </row>
    <row r="30174" customHeight="1" spans="2:2">
      <c r="B30174" s="62" t="str">
        <f>IF(AND('领用录入（明细）'!D:D=$F$4,'领用录入（明细）'!C:C&gt;=$J$4,'领用录入（明细）'!C:C&lt;=$L$4),ROW(),"-")</f>
        <v>-</v>
      </c>
    </row>
    <row r="30175" customHeight="1" spans="2:2">
      <c r="B30175" s="62" t="str">
        <f>IF(AND('领用录入（明细）'!D:D=$F$4,'领用录入（明细）'!C:C&gt;=$J$4,'领用录入（明细）'!C:C&lt;=$L$4),ROW(),"-")</f>
        <v>-</v>
      </c>
    </row>
    <row r="30176" customHeight="1" spans="2:2">
      <c r="B30176" s="62" t="str">
        <f>IF(AND('领用录入（明细）'!D:D=$F$4,'领用录入（明细）'!C:C&gt;=$J$4,'领用录入（明细）'!C:C&lt;=$L$4),ROW(),"-")</f>
        <v>-</v>
      </c>
    </row>
    <row r="30177" customHeight="1" spans="2:2">
      <c r="B30177" s="62" t="str">
        <f>IF(AND('领用录入（明细）'!D:D=$F$4,'领用录入（明细）'!C:C&gt;=$J$4,'领用录入（明细）'!C:C&lt;=$L$4),ROW(),"-")</f>
        <v>-</v>
      </c>
    </row>
    <row r="30178" customHeight="1" spans="2:2">
      <c r="B30178" s="62" t="str">
        <f>IF(AND('领用录入（明细）'!D:D=$F$4,'领用录入（明细）'!C:C&gt;=$J$4,'领用录入（明细）'!C:C&lt;=$L$4),ROW(),"-")</f>
        <v>-</v>
      </c>
    </row>
    <row r="30179" customHeight="1" spans="2:2">
      <c r="B30179" s="62" t="str">
        <f>IF(AND('领用录入（明细）'!D:D=$F$4,'领用录入（明细）'!C:C&gt;=$J$4,'领用录入（明细）'!C:C&lt;=$L$4),ROW(),"-")</f>
        <v>-</v>
      </c>
    </row>
    <row r="30180" customHeight="1" spans="2:2">
      <c r="B30180" s="62" t="str">
        <f>IF(AND('领用录入（明细）'!D:D=$F$4,'领用录入（明细）'!C:C&gt;=$J$4,'领用录入（明细）'!C:C&lt;=$L$4),ROW(),"-")</f>
        <v>-</v>
      </c>
    </row>
    <row r="30181" customHeight="1" spans="2:2">
      <c r="B30181" s="62" t="str">
        <f>IF(AND('领用录入（明细）'!D:D=$F$4,'领用录入（明细）'!C:C&gt;=$J$4,'领用录入（明细）'!C:C&lt;=$L$4),ROW(),"-")</f>
        <v>-</v>
      </c>
    </row>
    <row r="30182" customHeight="1" spans="2:2">
      <c r="B30182" s="62" t="str">
        <f>IF(AND('领用录入（明细）'!D:D=$F$4,'领用录入（明细）'!C:C&gt;=$J$4,'领用录入（明细）'!C:C&lt;=$L$4),ROW(),"-")</f>
        <v>-</v>
      </c>
    </row>
    <row r="30183" customHeight="1" spans="2:2">
      <c r="B30183" s="62" t="str">
        <f>IF(AND('领用录入（明细）'!D:D=$F$4,'领用录入（明细）'!C:C&gt;=$J$4,'领用录入（明细）'!C:C&lt;=$L$4),ROW(),"-")</f>
        <v>-</v>
      </c>
    </row>
    <row r="30184" customHeight="1" spans="2:2">
      <c r="B30184" s="62" t="str">
        <f>IF(AND('领用录入（明细）'!D:D=$F$4,'领用录入（明细）'!C:C&gt;=$J$4,'领用录入（明细）'!C:C&lt;=$L$4),ROW(),"-")</f>
        <v>-</v>
      </c>
    </row>
    <row r="30185" customHeight="1" spans="2:2">
      <c r="B30185" s="62" t="str">
        <f>IF(AND('领用录入（明细）'!D:D=$F$4,'领用录入（明细）'!C:C&gt;=$J$4,'领用录入（明细）'!C:C&lt;=$L$4),ROW(),"-")</f>
        <v>-</v>
      </c>
    </row>
    <row r="30186" customHeight="1" spans="2:2">
      <c r="B30186" s="62" t="str">
        <f>IF(AND('领用录入（明细）'!D:D=$F$4,'领用录入（明细）'!C:C&gt;=$J$4,'领用录入（明细）'!C:C&lt;=$L$4),ROW(),"-")</f>
        <v>-</v>
      </c>
    </row>
    <row r="30187" customHeight="1" spans="2:2">
      <c r="B30187" s="62" t="str">
        <f>IF(AND('领用录入（明细）'!D:D=$F$4,'领用录入（明细）'!C:C&gt;=$J$4,'领用录入（明细）'!C:C&lt;=$L$4),ROW(),"-")</f>
        <v>-</v>
      </c>
    </row>
    <row r="30188" customHeight="1" spans="2:2">
      <c r="B30188" s="62" t="str">
        <f>IF(AND('领用录入（明细）'!D:D=$F$4,'领用录入（明细）'!C:C&gt;=$J$4,'领用录入（明细）'!C:C&lt;=$L$4),ROW(),"-")</f>
        <v>-</v>
      </c>
    </row>
    <row r="30189" customHeight="1" spans="2:2">
      <c r="B30189" s="62" t="str">
        <f>IF(AND('领用录入（明细）'!D:D=$F$4,'领用录入（明细）'!C:C&gt;=$J$4,'领用录入（明细）'!C:C&lt;=$L$4),ROW(),"-")</f>
        <v>-</v>
      </c>
    </row>
    <row r="30190" customHeight="1" spans="2:2">
      <c r="B30190" s="62" t="str">
        <f>IF(AND('领用录入（明细）'!D:D=$F$4,'领用录入（明细）'!C:C&gt;=$J$4,'领用录入（明细）'!C:C&lt;=$L$4),ROW(),"-")</f>
        <v>-</v>
      </c>
    </row>
    <row r="30191" customHeight="1" spans="2:2">
      <c r="B30191" s="62" t="str">
        <f>IF(AND('领用录入（明细）'!D:D=$F$4,'领用录入（明细）'!C:C&gt;=$J$4,'领用录入（明细）'!C:C&lt;=$L$4),ROW(),"-")</f>
        <v>-</v>
      </c>
    </row>
    <row r="30192" customHeight="1" spans="2:2">
      <c r="B30192" s="62" t="str">
        <f>IF(AND('领用录入（明细）'!D:D=$F$4,'领用录入（明细）'!C:C&gt;=$J$4,'领用录入（明细）'!C:C&lt;=$L$4),ROW(),"-")</f>
        <v>-</v>
      </c>
    </row>
    <row r="30193" customHeight="1" spans="2:2">
      <c r="B30193" s="62" t="str">
        <f>IF(AND('领用录入（明细）'!D:D=$F$4,'领用录入（明细）'!C:C&gt;=$J$4,'领用录入（明细）'!C:C&lt;=$L$4),ROW(),"-")</f>
        <v>-</v>
      </c>
    </row>
    <row r="30194" customHeight="1" spans="2:2">
      <c r="B30194" s="62" t="str">
        <f>IF(AND('领用录入（明细）'!D:D=$F$4,'领用录入（明细）'!C:C&gt;=$J$4,'领用录入（明细）'!C:C&lt;=$L$4),ROW(),"-")</f>
        <v>-</v>
      </c>
    </row>
    <row r="30195" customHeight="1" spans="2:2">
      <c r="B30195" s="62" t="str">
        <f>IF(AND('领用录入（明细）'!D:D=$F$4,'领用录入（明细）'!C:C&gt;=$J$4,'领用录入（明细）'!C:C&lt;=$L$4),ROW(),"-")</f>
        <v>-</v>
      </c>
    </row>
    <row r="30196" customHeight="1" spans="2:2">
      <c r="B30196" s="62" t="str">
        <f>IF(AND('领用录入（明细）'!D:D=$F$4,'领用录入（明细）'!C:C&gt;=$J$4,'领用录入（明细）'!C:C&lt;=$L$4),ROW(),"-")</f>
        <v>-</v>
      </c>
    </row>
    <row r="30197" customHeight="1" spans="2:2">
      <c r="B30197" s="62" t="str">
        <f>IF(AND('领用录入（明细）'!D:D=$F$4,'领用录入（明细）'!C:C&gt;=$J$4,'领用录入（明细）'!C:C&lt;=$L$4),ROW(),"-")</f>
        <v>-</v>
      </c>
    </row>
    <row r="30198" customHeight="1" spans="2:2">
      <c r="B30198" s="62" t="str">
        <f>IF(AND('领用录入（明细）'!D:D=$F$4,'领用录入（明细）'!C:C&gt;=$J$4,'领用录入（明细）'!C:C&lt;=$L$4),ROW(),"-")</f>
        <v>-</v>
      </c>
    </row>
    <row r="30199" customHeight="1" spans="2:2">
      <c r="B30199" s="62" t="str">
        <f>IF(AND('领用录入（明细）'!D:D=$F$4,'领用录入（明细）'!C:C&gt;=$J$4,'领用录入（明细）'!C:C&lt;=$L$4),ROW(),"-")</f>
        <v>-</v>
      </c>
    </row>
    <row r="30200" customHeight="1" spans="2:2">
      <c r="B30200" s="62" t="str">
        <f>IF(AND('领用录入（明细）'!D:D=$F$4,'领用录入（明细）'!C:C&gt;=$J$4,'领用录入（明细）'!C:C&lt;=$L$4),ROW(),"-")</f>
        <v>-</v>
      </c>
    </row>
    <row r="30201" customHeight="1" spans="2:2">
      <c r="B30201" s="62" t="str">
        <f>IF(AND('领用录入（明细）'!D:D=$F$4,'领用录入（明细）'!C:C&gt;=$J$4,'领用录入（明细）'!C:C&lt;=$L$4),ROW(),"-")</f>
        <v>-</v>
      </c>
    </row>
    <row r="30202" customHeight="1" spans="2:2">
      <c r="B30202" s="62" t="str">
        <f>IF(AND('领用录入（明细）'!D:D=$F$4,'领用录入（明细）'!C:C&gt;=$J$4,'领用录入（明细）'!C:C&lt;=$L$4),ROW(),"-")</f>
        <v>-</v>
      </c>
    </row>
    <row r="30203" customHeight="1" spans="2:2">
      <c r="B30203" s="62" t="str">
        <f>IF(AND('领用录入（明细）'!D:D=$F$4,'领用录入（明细）'!C:C&gt;=$J$4,'领用录入（明细）'!C:C&lt;=$L$4),ROW(),"-")</f>
        <v>-</v>
      </c>
    </row>
    <row r="30204" customHeight="1" spans="2:2">
      <c r="B30204" s="62" t="str">
        <f>IF(AND('领用录入（明细）'!D:D=$F$4,'领用录入（明细）'!C:C&gt;=$J$4,'领用录入（明细）'!C:C&lt;=$L$4),ROW(),"-")</f>
        <v>-</v>
      </c>
    </row>
    <row r="30205" customHeight="1" spans="2:2">
      <c r="B30205" s="62" t="str">
        <f>IF(AND('领用录入（明细）'!D:D=$F$4,'领用录入（明细）'!C:C&gt;=$J$4,'领用录入（明细）'!C:C&lt;=$L$4),ROW(),"-")</f>
        <v>-</v>
      </c>
    </row>
    <row r="30206" customHeight="1" spans="2:2">
      <c r="B30206" s="62" t="str">
        <f>IF(AND('领用录入（明细）'!D:D=$F$4,'领用录入（明细）'!C:C&gt;=$J$4,'领用录入（明细）'!C:C&lt;=$L$4),ROW(),"-")</f>
        <v>-</v>
      </c>
    </row>
    <row r="30207" customHeight="1" spans="2:2">
      <c r="B30207" s="62" t="str">
        <f>IF(AND('领用录入（明细）'!D:D=$F$4,'领用录入（明细）'!C:C&gt;=$J$4,'领用录入（明细）'!C:C&lt;=$L$4),ROW(),"-")</f>
        <v>-</v>
      </c>
    </row>
    <row r="30208" customHeight="1" spans="2:2">
      <c r="B30208" s="62" t="str">
        <f>IF(AND('领用录入（明细）'!D:D=$F$4,'领用录入（明细）'!C:C&gt;=$J$4,'领用录入（明细）'!C:C&lt;=$L$4),ROW(),"-")</f>
        <v>-</v>
      </c>
    </row>
    <row r="30209" customHeight="1" spans="2:2">
      <c r="B30209" s="62" t="str">
        <f>IF(AND('领用录入（明细）'!D:D=$F$4,'领用录入（明细）'!C:C&gt;=$J$4,'领用录入（明细）'!C:C&lt;=$L$4),ROW(),"-")</f>
        <v>-</v>
      </c>
    </row>
    <row r="30210" customHeight="1" spans="2:2">
      <c r="B30210" s="62" t="str">
        <f>IF(AND('领用录入（明细）'!D:D=$F$4,'领用录入（明细）'!C:C&gt;=$J$4,'领用录入（明细）'!C:C&lt;=$L$4),ROW(),"-")</f>
        <v>-</v>
      </c>
    </row>
    <row r="30211" customHeight="1" spans="2:2">
      <c r="B30211" s="62" t="str">
        <f>IF(AND('领用录入（明细）'!D:D=$F$4,'领用录入（明细）'!C:C&gt;=$J$4,'领用录入（明细）'!C:C&lt;=$L$4),ROW(),"-")</f>
        <v>-</v>
      </c>
    </row>
    <row r="30212" customHeight="1" spans="2:2">
      <c r="B30212" s="62" t="str">
        <f>IF(AND('领用录入（明细）'!D:D=$F$4,'领用录入（明细）'!C:C&gt;=$J$4,'领用录入（明细）'!C:C&lt;=$L$4),ROW(),"-")</f>
        <v>-</v>
      </c>
    </row>
    <row r="30213" customHeight="1" spans="2:2">
      <c r="B30213" s="62" t="str">
        <f>IF(AND('领用录入（明细）'!D:D=$F$4,'领用录入（明细）'!C:C&gt;=$J$4,'领用录入（明细）'!C:C&lt;=$L$4),ROW(),"-")</f>
        <v>-</v>
      </c>
    </row>
    <row r="30214" customHeight="1" spans="2:2">
      <c r="B30214" s="62" t="str">
        <f>IF(AND('领用录入（明细）'!D:D=$F$4,'领用录入（明细）'!C:C&gt;=$J$4,'领用录入（明细）'!C:C&lt;=$L$4),ROW(),"-")</f>
        <v>-</v>
      </c>
    </row>
    <row r="30215" customHeight="1" spans="2:2">
      <c r="B30215" s="62" t="str">
        <f>IF(AND('领用录入（明细）'!D:D=$F$4,'领用录入（明细）'!C:C&gt;=$J$4,'领用录入（明细）'!C:C&lt;=$L$4),ROW(),"-")</f>
        <v>-</v>
      </c>
    </row>
    <row r="30216" customHeight="1" spans="2:2">
      <c r="B30216" s="62" t="str">
        <f>IF(AND('领用录入（明细）'!D:D=$F$4,'领用录入（明细）'!C:C&gt;=$J$4,'领用录入（明细）'!C:C&lt;=$L$4),ROW(),"-")</f>
        <v>-</v>
      </c>
    </row>
    <row r="30217" customHeight="1" spans="2:2">
      <c r="B30217" s="62" t="str">
        <f>IF(AND('领用录入（明细）'!D:D=$F$4,'领用录入（明细）'!C:C&gt;=$J$4,'领用录入（明细）'!C:C&lt;=$L$4),ROW(),"-")</f>
        <v>-</v>
      </c>
    </row>
    <row r="30218" customHeight="1" spans="2:2">
      <c r="B30218" s="62" t="str">
        <f>IF(AND('领用录入（明细）'!D:D=$F$4,'领用录入（明细）'!C:C&gt;=$J$4,'领用录入（明细）'!C:C&lt;=$L$4),ROW(),"-")</f>
        <v>-</v>
      </c>
    </row>
    <row r="30219" customHeight="1" spans="2:2">
      <c r="B30219" s="62" t="str">
        <f>IF(AND('领用录入（明细）'!D:D=$F$4,'领用录入（明细）'!C:C&gt;=$J$4,'领用录入（明细）'!C:C&lt;=$L$4),ROW(),"-")</f>
        <v>-</v>
      </c>
    </row>
    <row r="30220" customHeight="1" spans="2:2">
      <c r="B30220" s="62" t="str">
        <f>IF(AND('领用录入（明细）'!D:D=$F$4,'领用录入（明细）'!C:C&gt;=$J$4,'领用录入（明细）'!C:C&lt;=$L$4),ROW(),"-")</f>
        <v>-</v>
      </c>
    </row>
    <row r="30221" customHeight="1" spans="2:2">
      <c r="B30221" s="62" t="str">
        <f>IF(AND('领用录入（明细）'!D:D=$F$4,'领用录入（明细）'!C:C&gt;=$J$4,'领用录入（明细）'!C:C&lt;=$L$4),ROW(),"-")</f>
        <v>-</v>
      </c>
    </row>
    <row r="30222" customHeight="1" spans="2:2">
      <c r="B30222" s="62" t="str">
        <f>IF(AND('领用录入（明细）'!D:D=$F$4,'领用录入（明细）'!C:C&gt;=$J$4,'领用录入（明细）'!C:C&lt;=$L$4),ROW(),"-")</f>
        <v>-</v>
      </c>
    </row>
    <row r="30223" customHeight="1" spans="2:2">
      <c r="B30223" s="62" t="str">
        <f>IF(AND('领用录入（明细）'!D:D=$F$4,'领用录入（明细）'!C:C&gt;=$J$4,'领用录入（明细）'!C:C&lt;=$L$4),ROW(),"-")</f>
        <v>-</v>
      </c>
    </row>
    <row r="30224" customHeight="1" spans="2:2">
      <c r="B30224" s="62" t="str">
        <f>IF(AND('领用录入（明细）'!D:D=$F$4,'领用录入（明细）'!C:C&gt;=$J$4,'领用录入（明细）'!C:C&lt;=$L$4),ROW(),"-")</f>
        <v>-</v>
      </c>
    </row>
    <row r="30225" customHeight="1" spans="2:2">
      <c r="B30225" s="62" t="str">
        <f>IF(AND('领用录入（明细）'!D:D=$F$4,'领用录入（明细）'!C:C&gt;=$J$4,'领用录入（明细）'!C:C&lt;=$L$4),ROW(),"-")</f>
        <v>-</v>
      </c>
    </row>
    <row r="30226" customHeight="1" spans="2:2">
      <c r="B30226" s="62" t="str">
        <f>IF(AND('领用录入（明细）'!D:D=$F$4,'领用录入（明细）'!C:C&gt;=$J$4,'领用录入（明细）'!C:C&lt;=$L$4),ROW(),"-")</f>
        <v>-</v>
      </c>
    </row>
    <row r="30227" customHeight="1" spans="2:2">
      <c r="B30227" s="62" t="str">
        <f>IF(AND('领用录入（明细）'!D:D=$F$4,'领用录入（明细）'!C:C&gt;=$J$4,'领用录入（明细）'!C:C&lt;=$L$4),ROW(),"-")</f>
        <v>-</v>
      </c>
    </row>
    <row r="30228" customHeight="1" spans="2:2">
      <c r="B30228" s="62" t="str">
        <f>IF(AND('领用录入（明细）'!D:D=$F$4,'领用录入（明细）'!C:C&gt;=$J$4,'领用录入（明细）'!C:C&lt;=$L$4),ROW(),"-")</f>
        <v>-</v>
      </c>
    </row>
    <row r="30229" customHeight="1" spans="2:2">
      <c r="B30229" s="62" t="str">
        <f>IF(AND('领用录入（明细）'!D:D=$F$4,'领用录入（明细）'!C:C&gt;=$J$4,'领用录入（明细）'!C:C&lt;=$L$4),ROW(),"-")</f>
        <v>-</v>
      </c>
    </row>
    <row r="30230" customHeight="1" spans="2:2">
      <c r="B30230" s="62" t="str">
        <f>IF(AND('领用录入（明细）'!D:D=$F$4,'领用录入（明细）'!C:C&gt;=$J$4,'领用录入（明细）'!C:C&lt;=$L$4),ROW(),"-")</f>
        <v>-</v>
      </c>
    </row>
    <row r="30231" customHeight="1" spans="2:2">
      <c r="B30231" s="62" t="str">
        <f>IF(AND('领用录入（明细）'!D:D=$F$4,'领用录入（明细）'!C:C&gt;=$J$4,'领用录入（明细）'!C:C&lt;=$L$4),ROW(),"-")</f>
        <v>-</v>
      </c>
    </row>
    <row r="30232" customHeight="1" spans="2:2">
      <c r="B30232" s="62" t="str">
        <f>IF(AND('领用录入（明细）'!D:D=$F$4,'领用录入（明细）'!C:C&gt;=$J$4,'领用录入（明细）'!C:C&lt;=$L$4),ROW(),"-")</f>
        <v>-</v>
      </c>
    </row>
    <row r="30233" customHeight="1" spans="2:2">
      <c r="B30233" s="62" t="str">
        <f>IF(AND('领用录入（明细）'!D:D=$F$4,'领用录入（明细）'!C:C&gt;=$J$4,'领用录入（明细）'!C:C&lt;=$L$4),ROW(),"-")</f>
        <v>-</v>
      </c>
    </row>
    <row r="30234" customHeight="1" spans="2:2">
      <c r="B30234" s="62" t="str">
        <f>IF(AND('领用录入（明细）'!D:D=$F$4,'领用录入（明细）'!C:C&gt;=$J$4,'领用录入（明细）'!C:C&lt;=$L$4),ROW(),"-")</f>
        <v>-</v>
      </c>
    </row>
    <row r="30235" customHeight="1" spans="2:2">
      <c r="B30235" s="62" t="str">
        <f>IF(AND('领用录入（明细）'!D:D=$F$4,'领用录入（明细）'!C:C&gt;=$J$4,'领用录入（明细）'!C:C&lt;=$L$4),ROW(),"-")</f>
        <v>-</v>
      </c>
    </row>
    <row r="30236" customHeight="1" spans="2:2">
      <c r="B30236" s="62" t="str">
        <f>IF(AND('领用录入（明细）'!D:D=$F$4,'领用录入（明细）'!C:C&gt;=$J$4,'领用录入（明细）'!C:C&lt;=$L$4),ROW(),"-")</f>
        <v>-</v>
      </c>
    </row>
    <row r="30237" customHeight="1" spans="2:2">
      <c r="B30237" s="62" t="str">
        <f>IF(AND('领用录入（明细）'!D:D=$F$4,'领用录入（明细）'!C:C&gt;=$J$4,'领用录入（明细）'!C:C&lt;=$L$4),ROW(),"-")</f>
        <v>-</v>
      </c>
    </row>
    <row r="30238" customHeight="1" spans="2:2">
      <c r="B30238" s="62" t="str">
        <f>IF(AND('领用录入（明细）'!D:D=$F$4,'领用录入（明细）'!C:C&gt;=$J$4,'领用录入（明细）'!C:C&lt;=$L$4),ROW(),"-")</f>
        <v>-</v>
      </c>
    </row>
    <row r="30239" customHeight="1" spans="2:2">
      <c r="B30239" s="62" t="str">
        <f>IF(AND('领用录入（明细）'!D:D=$F$4,'领用录入（明细）'!C:C&gt;=$J$4,'领用录入（明细）'!C:C&lt;=$L$4),ROW(),"-")</f>
        <v>-</v>
      </c>
    </row>
    <row r="30240" customHeight="1" spans="2:2">
      <c r="B30240" s="62" t="str">
        <f>IF(AND('领用录入（明细）'!D:D=$F$4,'领用录入（明细）'!C:C&gt;=$J$4,'领用录入（明细）'!C:C&lt;=$L$4),ROW(),"-")</f>
        <v>-</v>
      </c>
    </row>
    <row r="30241" customHeight="1" spans="2:2">
      <c r="B30241" s="62" t="str">
        <f>IF(AND('领用录入（明细）'!D:D=$F$4,'领用录入（明细）'!C:C&gt;=$J$4,'领用录入（明细）'!C:C&lt;=$L$4),ROW(),"-")</f>
        <v>-</v>
      </c>
    </row>
    <row r="30242" customHeight="1" spans="2:2">
      <c r="B30242" s="62" t="str">
        <f>IF(AND('领用录入（明细）'!D:D=$F$4,'领用录入（明细）'!C:C&gt;=$J$4,'领用录入（明细）'!C:C&lt;=$L$4),ROW(),"-")</f>
        <v>-</v>
      </c>
    </row>
    <row r="30243" customHeight="1" spans="2:2">
      <c r="B30243" s="62" t="str">
        <f>IF(AND('领用录入（明细）'!D:D=$F$4,'领用录入（明细）'!C:C&gt;=$J$4,'领用录入（明细）'!C:C&lt;=$L$4),ROW(),"-")</f>
        <v>-</v>
      </c>
    </row>
    <row r="30244" customHeight="1" spans="2:2">
      <c r="B30244" s="62" t="str">
        <f>IF(AND('领用录入（明细）'!D:D=$F$4,'领用录入（明细）'!C:C&gt;=$J$4,'领用录入（明细）'!C:C&lt;=$L$4),ROW(),"-")</f>
        <v>-</v>
      </c>
    </row>
    <row r="30245" customHeight="1" spans="2:2">
      <c r="B30245" s="62" t="str">
        <f>IF(AND('领用录入（明细）'!D:D=$F$4,'领用录入（明细）'!C:C&gt;=$J$4,'领用录入（明细）'!C:C&lt;=$L$4),ROW(),"-")</f>
        <v>-</v>
      </c>
    </row>
    <row r="30246" customHeight="1" spans="2:2">
      <c r="B30246" s="62" t="str">
        <f>IF(AND('领用录入（明细）'!D:D=$F$4,'领用录入（明细）'!C:C&gt;=$J$4,'领用录入（明细）'!C:C&lt;=$L$4),ROW(),"-")</f>
        <v>-</v>
      </c>
    </row>
    <row r="30247" customHeight="1" spans="2:2">
      <c r="B30247" s="62" t="str">
        <f>IF(AND('领用录入（明细）'!D:D=$F$4,'领用录入（明细）'!C:C&gt;=$J$4,'领用录入（明细）'!C:C&lt;=$L$4),ROW(),"-")</f>
        <v>-</v>
      </c>
    </row>
    <row r="30248" customHeight="1" spans="2:2">
      <c r="B30248" s="62" t="str">
        <f>IF(AND('领用录入（明细）'!D:D=$F$4,'领用录入（明细）'!C:C&gt;=$J$4,'领用录入（明细）'!C:C&lt;=$L$4),ROW(),"-")</f>
        <v>-</v>
      </c>
    </row>
    <row r="30249" customHeight="1" spans="2:2">
      <c r="B30249" s="62" t="str">
        <f>IF(AND('领用录入（明细）'!D:D=$F$4,'领用录入（明细）'!C:C&gt;=$J$4,'领用录入（明细）'!C:C&lt;=$L$4),ROW(),"-")</f>
        <v>-</v>
      </c>
    </row>
    <row r="30250" customHeight="1" spans="2:2">
      <c r="B30250" s="62" t="str">
        <f>IF(AND('领用录入（明细）'!D:D=$F$4,'领用录入（明细）'!C:C&gt;=$J$4,'领用录入（明细）'!C:C&lt;=$L$4),ROW(),"-")</f>
        <v>-</v>
      </c>
    </row>
    <row r="30251" customHeight="1" spans="2:2">
      <c r="B30251" s="62" t="str">
        <f>IF(AND('领用录入（明细）'!D:D=$F$4,'领用录入（明细）'!C:C&gt;=$J$4,'领用录入（明细）'!C:C&lt;=$L$4),ROW(),"-")</f>
        <v>-</v>
      </c>
    </row>
    <row r="30252" customHeight="1" spans="2:2">
      <c r="B30252" s="62" t="str">
        <f>IF(AND('领用录入（明细）'!D:D=$F$4,'领用录入（明细）'!C:C&gt;=$J$4,'领用录入（明细）'!C:C&lt;=$L$4),ROW(),"-")</f>
        <v>-</v>
      </c>
    </row>
    <row r="30253" customHeight="1" spans="2:2">
      <c r="B30253" s="62" t="str">
        <f>IF(AND('领用录入（明细）'!D:D=$F$4,'领用录入（明细）'!C:C&gt;=$J$4,'领用录入（明细）'!C:C&lt;=$L$4),ROW(),"-")</f>
        <v>-</v>
      </c>
    </row>
    <row r="30254" customHeight="1" spans="2:2">
      <c r="B30254" s="62" t="str">
        <f>IF(AND('领用录入（明细）'!D:D=$F$4,'领用录入（明细）'!C:C&gt;=$J$4,'领用录入（明细）'!C:C&lt;=$L$4),ROW(),"-")</f>
        <v>-</v>
      </c>
    </row>
    <row r="30255" customHeight="1" spans="2:2">
      <c r="B30255" s="62" t="str">
        <f>IF(AND('领用录入（明细）'!D:D=$F$4,'领用录入（明细）'!C:C&gt;=$J$4,'领用录入（明细）'!C:C&lt;=$L$4),ROW(),"-")</f>
        <v>-</v>
      </c>
    </row>
    <row r="30256" customHeight="1" spans="2:2">
      <c r="B30256" s="62" t="str">
        <f>IF(AND('领用录入（明细）'!D:D=$F$4,'领用录入（明细）'!C:C&gt;=$J$4,'领用录入（明细）'!C:C&lt;=$L$4),ROW(),"-")</f>
        <v>-</v>
      </c>
    </row>
    <row r="30257" customHeight="1" spans="2:2">
      <c r="B30257" s="62" t="str">
        <f>IF(AND('领用录入（明细）'!D:D=$F$4,'领用录入（明细）'!C:C&gt;=$J$4,'领用录入（明细）'!C:C&lt;=$L$4),ROW(),"-")</f>
        <v>-</v>
      </c>
    </row>
    <row r="30258" customHeight="1" spans="2:2">
      <c r="B30258" s="62" t="str">
        <f>IF(AND('领用录入（明细）'!D:D=$F$4,'领用录入（明细）'!C:C&gt;=$J$4,'领用录入（明细）'!C:C&lt;=$L$4),ROW(),"-")</f>
        <v>-</v>
      </c>
    </row>
    <row r="30259" customHeight="1" spans="2:2">
      <c r="B30259" s="62" t="str">
        <f>IF(AND('领用录入（明细）'!D:D=$F$4,'领用录入（明细）'!C:C&gt;=$J$4,'领用录入（明细）'!C:C&lt;=$L$4),ROW(),"-")</f>
        <v>-</v>
      </c>
    </row>
    <row r="30260" customHeight="1" spans="2:2">
      <c r="B30260" s="62" t="str">
        <f>IF(AND('领用录入（明细）'!D:D=$F$4,'领用录入（明细）'!C:C&gt;=$J$4,'领用录入（明细）'!C:C&lt;=$L$4),ROW(),"-")</f>
        <v>-</v>
      </c>
    </row>
    <row r="30261" customHeight="1" spans="2:2">
      <c r="B30261" s="62" t="str">
        <f>IF(AND('领用录入（明细）'!D:D=$F$4,'领用录入（明细）'!C:C&gt;=$J$4,'领用录入（明细）'!C:C&lt;=$L$4),ROW(),"-")</f>
        <v>-</v>
      </c>
    </row>
    <row r="30262" customHeight="1" spans="2:2">
      <c r="B30262" s="62" t="str">
        <f>IF(AND('领用录入（明细）'!D:D=$F$4,'领用录入（明细）'!C:C&gt;=$J$4,'领用录入（明细）'!C:C&lt;=$L$4),ROW(),"-")</f>
        <v>-</v>
      </c>
    </row>
    <row r="30263" customHeight="1" spans="2:2">
      <c r="B30263" s="62" t="str">
        <f>IF(AND('领用录入（明细）'!D:D=$F$4,'领用录入（明细）'!C:C&gt;=$J$4,'领用录入（明细）'!C:C&lt;=$L$4),ROW(),"-")</f>
        <v>-</v>
      </c>
    </row>
    <row r="30264" customHeight="1" spans="2:2">
      <c r="B30264" s="62" t="str">
        <f>IF(AND('领用录入（明细）'!D:D=$F$4,'领用录入（明细）'!C:C&gt;=$J$4,'领用录入（明细）'!C:C&lt;=$L$4),ROW(),"-")</f>
        <v>-</v>
      </c>
    </row>
    <row r="30265" customHeight="1" spans="2:2">
      <c r="B30265" s="62" t="str">
        <f>IF(AND('领用录入（明细）'!D:D=$F$4,'领用录入（明细）'!C:C&gt;=$J$4,'领用录入（明细）'!C:C&lt;=$L$4),ROW(),"-")</f>
        <v>-</v>
      </c>
    </row>
    <row r="30266" customHeight="1" spans="2:2">
      <c r="B30266" s="62" t="str">
        <f>IF(AND('领用录入（明细）'!D:D=$F$4,'领用录入（明细）'!C:C&gt;=$J$4,'领用录入（明细）'!C:C&lt;=$L$4),ROW(),"-")</f>
        <v>-</v>
      </c>
    </row>
    <row r="30267" customHeight="1" spans="2:2">
      <c r="B30267" s="62" t="str">
        <f>IF(AND('领用录入（明细）'!D:D=$F$4,'领用录入（明细）'!C:C&gt;=$J$4,'领用录入（明细）'!C:C&lt;=$L$4),ROW(),"-")</f>
        <v>-</v>
      </c>
    </row>
    <row r="30268" customHeight="1" spans="2:2">
      <c r="B30268" s="62" t="str">
        <f>IF(AND('领用录入（明细）'!D:D=$F$4,'领用录入（明细）'!C:C&gt;=$J$4,'领用录入（明细）'!C:C&lt;=$L$4),ROW(),"-")</f>
        <v>-</v>
      </c>
    </row>
    <row r="30269" customHeight="1" spans="2:2">
      <c r="B30269" s="62" t="str">
        <f>IF(AND('领用录入（明细）'!D:D=$F$4,'领用录入（明细）'!C:C&gt;=$J$4,'领用录入（明细）'!C:C&lt;=$L$4),ROW(),"-")</f>
        <v>-</v>
      </c>
    </row>
    <row r="30270" customHeight="1" spans="2:2">
      <c r="B30270" s="62" t="str">
        <f>IF(AND('领用录入（明细）'!D:D=$F$4,'领用录入（明细）'!C:C&gt;=$J$4,'领用录入（明细）'!C:C&lt;=$L$4),ROW(),"-")</f>
        <v>-</v>
      </c>
    </row>
    <row r="30271" customHeight="1" spans="2:2">
      <c r="B30271" s="62" t="str">
        <f>IF(AND('领用录入（明细）'!D:D=$F$4,'领用录入（明细）'!C:C&gt;=$J$4,'领用录入（明细）'!C:C&lt;=$L$4),ROW(),"-")</f>
        <v>-</v>
      </c>
    </row>
    <row r="30272" customHeight="1" spans="2:2">
      <c r="B30272" s="62" t="str">
        <f>IF(AND('领用录入（明细）'!D:D=$F$4,'领用录入（明细）'!C:C&gt;=$J$4,'领用录入（明细）'!C:C&lt;=$L$4),ROW(),"-")</f>
        <v>-</v>
      </c>
    </row>
    <row r="30273" customHeight="1" spans="2:2">
      <c r="B30273" s="62" t="str">
        <f>IF(AND('领用录入（明细）'!D:D=$F$4,'领用录入（明细）'!C:C&gt;=$J$4,'领用录入（明细）'!C:C&lt;=$L$4),ROW(),"-")</f>
        <v>-</v>
      </c>
    </row>
    <row r="30274" customHeight="1" spans="2:2">
      <c r="B30274" s="62" t="str">
        <f>IF(AND('领用录入（明细）'!D:D=$F$4,'领用录入（明细）'!C:C&gt;=$J$4,'领用录入（明细）'!C:C&lt;=$L$4),ROW(),"-")</f>
        <v>-</v>
      </c>
    </row>
    <row r="30275" customHeight="1" spans="2:2">
      <c r="B30275" s="62" t="str">
        <f>IF(AND('领用录入（明细）'!D:D=$F$4,'领用录入（明细）'!C:C&gt;=$J$4,'领用录入（明细）'!C:C&lt;=$L$4),ROW(),"-")</f>
        <v>-</v>
      </c>
    </row>
    <row r="30276" customHeight="1" spans="2:2">
      <c r="B30276" s="62" t="str">
        <f>IF(AND('领用录入（明细）'!D:D=$F$4,'领用录入（明细）'!C:C&gt;=$J$4,'领用录入（明细）'!C:C&lt;=$L$4),ROW(),"-")</f>
        <v>-</v>
      </c>
    </row>
    <row r="30277" customHeight="1" spans="2:2">
      <c r="B30277" s="62" t="str">
        <f>IF(AND('领用录入（明细）'!D:D=$F$4,'领用录入（明细）'!C:C&gt;=$J$4,'领用录入（明细）'!C:C&lt;=$L$4),ROW(),"-")</f>
        <v>-</v>
      </c>
    </row>
    <row r="30278" customHeight="1" spans="2:2">
      <c r="B30278" s="62" t="str">
        <f>IF(AND('领用录入（明细）'!D:D=$F$4,'领用录入（明细）'!C:C&gt;=$J$4,'领用录入（明细）'!C:C&lt;=$L$4),ROW(),"-")</f>
        <v>-</v>
      </c>
    </row>
    <row r="30279" customHeight="1" spans="2:2">
      <c r="B30279" s="62" t="str">
        <f>IF(AND('领用录入（明细）'!D:D=$F$4,'领用录入（明细）'!C:C&gt;=$J$4,'领用录入（明细）'!C:C&lt;=$L$4),ROW(),"-")</f>
        <v>-</v>
      </c>
    </row>
    <row r="30280" customHeight="1" spans="2:2">
      <c r="B30280" s="62" t="str">
        <f>IF(AND('领用录入（明细）'!D:D=$F$4,'领用录入（明细）'!C:C&gt;=$J$4,'领用录入（明细）'!C:C&lt;=$L$4),ROW(),"-")</f>
        <v>-</v>
      </c>
    </row>
    <row r="30281" customHeight="1" spans="2:2">
      <c r="B30281" s="62" t="str">
        <f>IF(AND('领用录入（明细）'!D:D=$F$4,'领用录入（明细）'!C:C&gt;=$J$4,'领用录入（明细）'!C:C&lt;=$L$4),ROW(),"-")</f>
        <v>-</v>
      </c>
    </row>
    <row r="30282" customHeight="1" spans="2:2">
      <c r="B30282" s="62" t="str">
        <f>IF(AND('领用录入（明细）'!D:D=$F$4,'领用录入（明细）'!C:C&gt;=$J$4,'领用录入（明细）'!C:C&lt;=$L$4),ROW(),"-")</f>
        <v>-</v>
      </c>
    </row>
    <row r="30283" customHeight="1" spans="2:2">
      <c r="B30283" s="62" t="str">
        <f>IF(AND('领用录入（明细）'!D:D=$F$4,'领用录入（明细）'!C:C&gt;=$J$4,'领用录入（明细）'!C:C&lt;=$L$4),ROW(),"-")</f>
        <v>-</v>
      </c>
    </row>
    <row r="30284" customHeight="1" spans="2:2">
      <c r="B30284" s="62" t="str">
        <f>IF(AND('领用录入（明细）'!D:D=$F$4,'领用录入（明细）'!C:C&gt;=$J$4,'领用录入（明细）'!C:C&lt;=$L$4),ROW(),"-")</f>
        <v>-</v>
      </c>
    </row>
    <row r="30285" customHeight="1" spans="2:2">
      <c r="B30285" s="62" t="str">
        <f>IF(AND('领用录入（明细）'!D:D=$F$4,'领用录入（明细）'!C:C&gt;=$J$4,'领用录入（明细）'!C:C&lt;=$L$4),ROW(),"-")</f>
        <v>-</v>
      </c>
    </row>
    <row r="30286" customHeight="1" spans="2:2">
      <c r="B30286" s="62" t="str">
        <f>IF(AND('领用录入（明细）'!D:D=$F$4,'领用录入（明细）'!C:C&gt;=$J$4,'领用录入（明细）'!C:C&lt;=$L$4),ROW(),"-")</f>
        <v>-</v>
      </c>
    </row>
    <row r="30287" customHeight="1" spans="2:2">
      <c r="B30287" s="62" t="str">
        <f>IF(AND('领用录入（明细）'!D:D=$F$4,'领用录入（明细）'!C:C&gt;=$J$4,'领用录入（明细）'!C:C&lt;=$L$4),ROW(),"-")</f>
        <v>-</v>
      </c>
    </row>
    <row r="30288" customHeight="1" spans="2:2">
      <c r="B30288" s="62" t="str">
        <f>IF(AND('领用录入（明细）'!D:D=$F$4,'领用录入（明细）'!C:C&gt;=$J$4,'领用录入（明细）'!C:C&lt;=$L$4),ROW(),"-")</f>
        <v>-</v>
      </c>
    </row>
    <row r="30289" customHeight="1" spans="2:2">
      <c r="B30289" s="62" t="str">
        <f>IF(AND('领用录入（明细）'!D:D=$F$4,'领用录入（明细）'!C:C&gt;=$J$4,'领用录入（明细）'!C:C&lt;=$L$4),ROW(),"-")</f>
        <v>-</v>
      </c>
    </row>
    <row r="30290" customHeight="1" spans="2:2">
      <c r="B30290" s="62" t="str">
        <f>IF(AND('领用录入（明细）'!D:D=$F$4,'领用录入（明细）'!C:C&gt;=$J$4,'领用录入（明细）'!C:C&lt;=$L$4),ROW(),"-")</f>
        <v>-</v>
      </c>
    </row>
    <row r="30291" customHeight="1" spans="2:2">
      <c r="B30291" s="62" t="str">
        <f>IF(AND('领用录入（明细）'!D:D=$F$4,'领用录入（明细）'!C:C&gt;=$J$4,'领用录入（明细）'!C:C&lt;=$L$4),ROW(),"-")</f>
        <v>-</v>
      </c>
    </row>
    <row r="30292" customHeight="1" spans="2:2">
      <c r="B30292" s="62" t="str">
        <f>IF(AND('领用录入（明细）'!D:D=$F$4,'领用录入（明细）'!C:C&gt;=$J$4,'领用录入（明细）'!C:C&lt;=$L$4),ROW(),"-")</f>
        <v>-</v>
      </c>
    </row>
    <row r="30293" customHeight="1" spans="2:2">
      <c r="B30293" s="62" t="str">
        <f>IF(AND('领用录入（明细）'!D:D=$F$4,'领用录入（明细）'!C:C&gt;=$J$4,'领用录入（明细）'!C:C&lt;=$L$4),ROW(),"-")</f>
        <v>-</v>
      </c>
    </row>
    <row r="30294" customHeight="1" spans="2:2">
      <c r="B30294" s="62" t="str">
        <f>IF(AND('领用录入（明细）'!D:D=$F$4,'领用录入（明细）'!C:C&gt;=$J$4,'领用录入（明细）'!C:C&lt;=$L$4),ROW(),"-")</f>
        <v>-</v>
      </c>
    </row>
    <row r="30295" customHeight="1" spans="2:2">
      <c r="B30295" s="62" t="str">
        <f>IF(AND('领用录入（明细）'!D:D=$F$4,'领用录入（明细）'!C:C&gt;=$J$4,'领用录入（明细）'!C:C&lt;=$L$4),ROW(),"-")</f>
        <v>-</v>
      </c>
    </row>
    <row r="30296" customHeight="1" spans="2:2">
      <c r="B30296" s="62" t="str">
        <f>IF(AND('领用录入（明细）'!D:D=$F$4,'领用录入（明细）'!C:C&gt;=$J$4,'领用录入（明细）'!C:C&lt;=$L$4),ROW(),"-")</f>
        <v>-</v>
      </c>
    </row>
    <row r="30297" customHeight="1" spans="2:2">
      <c r="B30297" s="62" t="str">
        <f>IF(AND('领用录入（明细）'!D:D=$F$4,'领用录入（明细）'!C:C&gt;=$J$4,'领用录入（明细）'!C:C&lt;=$L$4),ROW(),"-")</f>
        <v>-</v>
      </c>
    </row>
    <row r="30298" customHeight="1" spans="2:2">
      <c r="B30298" s="62" t="str">
        <f>IF(AND('领用录入（明细）'!D:D=$F$4,'领用录入（明细）'!C:C&gt;=$J$4,'领用录入（明细）'!C:C&lt;=$L$4),ROW(),"-")</f>
        <v>-</v>
      </c>
    </row>
    <row r="30299" customHeight="1" spans="2:2">
      <c r="B30299" s="62" t="str">
        <f>IF(AND('领用录入（明细）'!D:D=$F$4,'领用录入（明细）'!C:C&gt;=$J$4,'领用录入（明细）'!C:C&lt;=$L$4),ROW(),"-")</f>
        <v>-</v>
      </c>
    </row>
    <row r="30300" customHeight="1" spans="2:2">
      <c r="B30300" s="62" t="str">
        <f>IF(AND('领用录入（明细）'!D:D=$F$4,'领用录入（明细）'!C:C&gt;=$J$4,'领用录入（明细）'!C:C&lt;=$L$4),ROW(),"-")</f>
        <v>-</v>
      </c>
    </row>
    <row r="30301" customHeight="1" spans="2:2">
      <c r="B30301" s="62" t="str">
        <f>IF(AND('领用录入（明细）'!D:D=$F$4,'领用录入（明细）'!C:C&gt;=$J$4,'领用录入（明细）'!C:C&lt;=$L$4),ROW(),"-")</f>
        <v>-</v>
      </c>
    </row>
    <row r="30302" customHeight="1" spans="2:2">
      <c r="B30302" s="62" t="str">
        <f>IF(AND('领用录入（明细）'!D:D=$F$4,'领用录入（明细）'!C:C&gt;=$J$4,'领用录入（明细）'!C:C&lt;=$L$4),ROW(),"-")</f>
        <v>-</v>
      </c>
    </row>
    <row r="30303" customHeight="1" spans="2:2">
      <c r="B30303" s="62" t="str">
        <f>IF(AND('领用录入（明细）'!D:D=$F$4,'领用录入（明细）'!C:C&gt;=$J$4,'领用录入（明细）'!C:C&lt;=$L$4),ROW(),"-")</f>
        <v>-</v>
      </c>
    </row>
    <row r="30304" customHeight="1" spans="2:2">
      <c r="B30304" s="62" t="str">
        <f>IF(AND('领用录入（明细）'!D:D=$F$4,'领用录入（明细）'!C:C&gt;=$J$4,'领用录入（明细）'!C:C&lt;=$L$4),ROW(),"-")</f>
        <v>-</v>
      </c>
    </row>
    <row r="30305" customHeight="1" spans="2:2">
      <c r="B30305" s="62" t="str">
        <f>IF(AND('领用录入（明细）'!D:D=$F$4,'领用录入（明细）'!C:C&gt;=$J$4,'领用录入（明细）'!C:C&lt;=$L$4),ROW(),"-")</f>
        <v>-</v>
      </c>
    </row>
    <row r="30306" customHeight="1" spans="2:2">
      <c r="B30306" s="62" t="str">
        <f>IF(AND('领用录入（明细）'!D:D=$F$4,'领用录入（明细）'!C:C&gt;=$J$4,'领用录入（明细）'!C:C&lt;=$L$4),ROW(),"-")</f>
        <v>-</v>
      </c>
    </row>
    <row r="30307" customHeight="1" spans="2:2">
      <c r="B30307" s="62" t="str">
        <f>IF(AND('领用录入（明细）'!D:D=$F$4,'领用录入（明细）'!C:C&gt;=$J$4,'领用录入（明细）'!C:C&lt;=$L$4),ROW(),"-")</f>
        <v>-</v>
      </c>
    </row>
    <row r="30308" customHeight="1" spans="2:2">
      <c r="B30308" s="62" t="str">
        <f>IF(AND('领用录入（明细）'!D:D=$F$4,'领用录入（明细）'!C:C&gt;=$J$4,'领用录入（明细）'!C:C&lt;=$L$4),ROW(),"-")</f>
        <v>-</v>
      </c>
    </row>
    <row r="30309" customHeight="1" spans="2:2">
      <c r="B30309" s="62" t="str">
        <f>IF(AND('领用录入（明细）'!D:D=$F$4,'领用录入（明细）'!C:C&gt;=$J$4,'领用录入（明细）'!C:C&lt;=$L$4),ROW(),"-")</f>
        <v>-</v>
      </c>
    </row>
    <row r="30310" customHeight="1" spans="2:2">
      <c r="B30310" s="62" t="str">
        <f>IF(AND('领用录入（明细）'!D:D=$F$4,'领用录入（明细）'!C:C&gt;=$J$4,'领用录入（明细）'!C:C&lt;=$L$4),ROW(),"-")</f>
        <v>-</v>
      </c>
    </row>
    <row r="30311" customHeight="1" spans="2:2">
      <c r="B30311" s="62" t="str">
        <f>IF(AND('领用录入（明细）'!D:D=$F$4,'领用录入（明细）'!C:C&gt;=$J$4,'领用录入（明细）'!C:C&lt;=$L$4),ROW(),"-")</f>
        <v>-</v>
      </c>
    </row>
    <row r="30312" customHeight="1" spans="2:2">
      <c r="B30312" s="62" t="str">
        <f>IF(AND('领用录入（明细）'!D:D=$F$4,'领用录入（明细）'!C:C&gt;=$J$4,'领用录入（明细）'!C:C&lt;=$L$4),ROW(),"-")</f>
        <v>-</v>
      </c>
    </row>
    <row r="30313" customHeight="1" spans="2:2">
      <c r="B30313" s="62" t="str">
        <f>IF(AND('领用录入（明细）'!D:D=$F$4,'领用录入（明细）'!C:C&gt;=$J$4,'领用录入（明细）'!C:C&lt;=$L$4),ROW(),"-")</f>
        <v>-</v>
      </c>
    </row>
    <row r="30314" customHeight="1" spans="2:2">
      <c r="B30314" s="62" t="str">
        <f>IF(AND('领用录入（明细）'!D:D=$F$4,'领用录入（明细）'!C:C&gt;=$J$4,'领用录入（明细）'!C:C&lt;=$L$4),ROW(),"-")</f>
        <v>-</v>
      </c>
    </row>
    <row r="30315" customHeight="1" spans="2:2">
      <c r="B30315" s="62" t="str">
        <f>IF(AND('领用录入（明细）'!D:D=$F$4,'领用录入（明细）'!C:C&gt;=$J$4,'领用录入（明细）'!C:C&lt;=$L$4),ROW(),"-")</f>
        <v>-</v>
      </c>
    </row>
    <row r="30316" customHeight="1" spans="2:2">
      <c r="B30316" s="62" t="str">
        <f>IF(AND('领用录入（明细）'!D:D=$F$4,'领用录入（明细）'!C:C&gt;=$J$4,'领用录入（明细）'!C:C&lt;=$L$4),ROW(),"-")</f>
        <v>-</v>
      </c>
    </row>
    <row r="30317" customHeight="1" spans="2:2">
      <c r="B30317" s="62" t="str">
        <f>IF(AND('领用录入（明细）'!D:D=$F$4,'领用录入（明细）'!C:C&gt;=$J$4,'领用录入（明细）'!C:C&lt;=$L$4),ROW(),"-")</f>
        <v>-</v>
      </c>
    </row>
    <row r="30318" customHeight="1" spans="2:2">
      <c r="B30318" s="62" t="str">
        <f>IF(AND('领用录入（明细）'!D:D=$F$4,'领用录入（明细）'!C:C&gt;=$J$4,'领用录入（明细）'!C:C&lt;=$L$4),ROW(),"-")</f>
        <v>-</v>
      </c>
    </row>
    <row r="30319" customHeight="1" spans="2:2">
      <c r="B30319" s="62" t="str">
        <f>IF(AND('领用录入（明细）'!D:D=$F$4,'领用录入（明细）'!C:C&gt;=$J$4,'领用录入（明细）'!C:C&lt;=$L$4),ROW(),"-")</f>
        <v>-</v>
      </c>
    </row>
    <row r="30320" customHeight="1" spans="2:2">
      <c r="B30320" s="62" t="str">
        <f>IF(AND('领用录入（明细）'!D:D=$F$4,'领用录入（明细）'!C:C&gt;=$J$4,'领用录入（明细）'!C:C&lt;=$L$4),ROW(),"-")</f>
        <v>-</v>
      </c>
    </row>
    <row r="30321" customHeight="1" spans="2:2">
      <c r="B30321" s="62" t="str">
        <f>IF(AND('领用录入（明细）'!D:D=$F$4,'领用录入（明细）'!C:C&gt;=$J$4,'领用录入（明细）'!C:C&lt;=$L$4),ROW(),"-")</f>
        <v>-</v>
      </c>
    </row>
    <row r="30322" customHeight="1" spans="2:2">
      <c r="B30322" s="62" t="str">
        <f>IF(AND('领用录入（明细）'!D:D=$F$4,'领用录入（明细）'!C:C&gt;=$J$4,'领用录入（明细）'!C:C&lt;=$L$4),ROW(),"-")</f>
        <v>-</v>
      </c>
    </row>
    <row r="30323" customHeight="1" spans="2:2">
      <c r="B30323" s="62" t="str">
        <f>IF(AND('领用录入（明细）'!D:D=$F$4,'领用录入（明细）'!C:C&gt;=$J$4,'领用录入（明细）'!C:C&lt;=$L$4),ROW(),"-")</f>
        <v>-</v>
      </c>
    </row>
    <row r="30324" customHeight="1" spans="2:2">
      <c r="B30324" s="62" t="str">
        <f>IF(AND('领用录入（明细）'!D:D=$F$4,'领用录入（明细）'!C:C&gt;=$J$4,'领用录入（明细）'!C:C&lt;=$L$4),ROW(),"-")</f>
        <v>-</v>
      </c>
    </row>
    <row r="30325" customHeight="1" spans="2:2">
      <c r="B30325" s="62" t="str">
        <f>IF(AND('领用录入（明细）'!D:D=$F$4,'领用录入（明细）'!C:C&gt;=$J$4,'领用录入（明细）'!C:C&lt;=$L$4),ROW(),"-")</f>
        <v>-</v>
      </c>
    </row>
    <row r="30326" customHeight="1" spans="2:2">
      <c r="B30326" s="62" t="str">
        <f>IF(AND('领用录入（明细）'!D:D=$F$4,'领用录入（明细）'!C:C&gt;=$J$4,'领用录入（明细）'!C:C&lt;=$L$4),ROW(),"-")</f>
        <v>-</v>
      </c>
    </row>
    <row r="30327" customHeight="1" spans="2:2">
      <c r="B30327" s="62" t="str">
        <f>IF(AND('领用录入（明细）'!D:D=$F$4,'领用录入（明细）'!C:C&gt;=$J$4,'领用录入（明细）'!C:C&lt;=$L$4),ROW(),"-")</f>
        <v>-</v>
      </c>
    </row>
    <row r="30328" customHeight="1" spans="2:2">
      <c r="B30328" s="62" t="str">
        <f>IF(AND('领用录入（明细）'!D:D=$F$4,'领用录入（明细）'!C:C&gt;=$J$4,'领用录入（明细）'!C:C&lt;=$L$4),ROW(),"-")</f>
        <v>-</v>
      </c>
    </row>
    <row r="30329" customHeight="1" spans="2:2">
      <c r="B30329" s="62" t="str">
        <f>IF(AND('领用录入（明细）'!D:D=$F$4,'领用录入（明细）'!C:C&gt;=$J$4,'领用录入（明细）'!C:C&lt;=$L$4),ROW(),"-")</f>
        <v>-</v>
      </c>
    </row>
    <row r="30330" customHeight="1" spans="2:2">
      <c r="B30330" s="62" t="str">
        <f>IF(AND('领用录入（明细）'!D:D=$F$4,'领用录入（明细）'!C:C&gt;=$J$4,'领用录入（明细）'!C:C&lt;=$L$4),ROW(),"-")</f>
        <v>-</v>
      </c>
    </row>
    <row r="30331" customHeight="1" spans="2:2">
      <c r="B30331" s="62" t="str">
        <f>IF(AND('领用录入（明细）'!D:D=$F$4,'领用录入（明细）'!C:C&gt;=$J$4,'领用录入（明细）'!C:C&lt;=$L$4),ROW(),"-")</f>
        <v>-</v>
      </c>
    </row>
    <row r="30332" customHeight="1" spans="2:2">
      <c r="B30332" s="62" t="str">
        <f>IF(AND('领用录入（明细）'!D:D=$F$4,'领用录入（明细）'!C:C&gt;=$J$4,'领用录入（明细）'!C:C&lt;=$L$4),ROW(),"-")</f>
        <v>-</v>
      </c>
    </row>
    <row r="30333" customHeight="1" spans="2:2">
      <c r="B30333" s="62" t="str">
        <f>IF(AND('领用录入（明细）'!D:D=$F$4,'领用录入（明细）'!C:C&gt;=$J$4,'领用录入（明细）'!C:C&lt;=$L$4),ROW(),"-")</f>
        <v>-</v>
      </c>
    </row>
    <row r="30334" customHeight="1" spans="2:2">
      <c r="B30334" s="62" t="str">
        <f>IF(AND('领用录入（明细）'!D:D=$F$4,'领用录入（明细）'!C:C&gt;=$J$4,'领用录入（明细）'!C:C&lt;=$L$4),ROW(),"-")</f>
        <v>-</v>
      </c>
    </row>
    <row r="30335" customHeight="1" spans="2:2">
      <c r="B30335" s="62" t="str">
        <f>IF(AND('领用录入（明细）'!D:D=$F$4,'领用录入（明细）'!C:C&gt;=$J$4,'领用录入（明细）'!C:C&lt;=$L$4),ROW(),"-")</f>
        <v>-</v>
      </c>
    </row>
    <row r="30336" customHeight="1" spans="2:2">
      <c r="B30336" s="62" t="str">
        <f>IF(AND('领用录入（明细）'!D:D=$F$4,'领用录入（明细）'!C:C&gt;=$J$4,'领用录入（明细）'!C:C&lt;=$L$4),ROW(),"-")</f>
        <v>-</v>
      </c>
    </row>
    <row r="30337" customHeight="1" spans="2:2">
      <c r="B30337" s="62" t="str">
        <f>IF(AND('领用录入（明细）'!D:D=$F$4,'领用录入（明细）'!C:C&gt;=$J$4,'领用录入（明细）'!C:C&lt;=$L$4),ROW(),"-")</f>
        <v>-</v>
      </c>
    </row>
    <row r="30338" customHeight="1" spans="2:2">
      <c r="B30338" s="62" t="str">
        <f>IF(AND('领用录入（明细）'!D:D=$F$4,'领用录入（明细）'!C:C&gt;=$J$4,'领用录入（明细）'!C:C&lt;=$L$4),ROW(),"-")</f>
        <v>-</v>
      </c>
    </row>
    <row r="30339" customHeight="1" spans="2:2">
      <c r="B30339" s="62" t="str">
        <f>IF(AND('领用录入（明细）'!D:D=$F$4,'领用录入（明细）'!C:C&gt;=$J$4,'领用录入（明细）'!C:C&lt;=$L$4),ROW(),"-")</f>
        <v>-</v>
      </c>
    </row>
    <row r="30340" customHeight="1" spans="2:2">
      <c r="B30340" s="62" t="str">
        <f>IF(AND('领用录入（明细）'!D:D=$F$4,'领用录入（明细）'!C:C&gt;=$J$4,'领用录入（明细）'!C:C&lt;=$L$4),ROW(),"-")</f>
        <v>-</v>
      </c>
    </row>
    <row r="30341" customHeight="1" spans="2:2">
      <c r="B30341" s="62" t="str">
        <f>IF(AND('领用录入（明细）'!D:D=$F$4,'领用录入（明细）'!C:C&gt;=$J$4,'领用录入（明细）'!C:C&lt;=$L$4),ROW(),"-")</f>
        <v>-</v>
      </c>
    </row>
    <row r="30342" customHeight="1" spans="2:2">
      <c r="B30342" s="62" t="str">
        <f>IF(AND('领用录入（明细）'!D:D=$F$4,'领用录入（明细）'!C:C&gt;=$J$4,'领用录入（明细）'!C:C&lt;=$L$4),ROW(),"-")</f>
        <v>-</v>
      </c>
    </row>
    <row r="30343" customHeight="1" spans="2:2">
      <c r="B30343" s="62" t="str">
        <f>IF(AND('领用录入（明细）'!D:D=$F$4,'领用录入（明细）'!C:C&gt;=$J$4,'领用录入（明细）'!C:C&lt;=$L$4),ROW(),"-")</f>
        <v>-</v>
      </c>
    </row>
    <row r="30344" customHeight="1" spans="2:2">
      <c r="B30344" s="62" t="str">
        <f>IF(AND('领用录入（明细）'!D:D=$F$4,'领用录入（明细）'!C:C&gt;=$J$4,'领用录入（明细）'!C:C&lt;=$L$4),ROW(),"-")</f>
        <v>-</v>
      </c>
    </row>
    <row r="30345" customHeight="1" spans="2:2">
      <c r="B30345" s="62" t="str">
        <f>IF(AND('领用录入（明细）'!D:D=$F$4,'领用录入（明细）'!C:C&gt;=$J$4,'领用录入（明细）'!C:C&lt;=$L$4),ROW(),"-")</f>
        <v>-</v>
      </c>
    </row>
    <row r="30346" customHeight="1" spans="2:2">
      <c r="B30346" s="62" t="str">
        <f>IF(AND('领用录入（明细）'!D:D=$F$4,'领用录入（明细）'!C:C&gt;=$J$4,'领用录入（明细）'!C:C&lt;=$L$4),ROW(),"-")</f>
        <v>-</v>
      </c>
    </row>
    <row r="30347" customHeight="1" spans="2:2">
      <c r="B30347" s="62" t="str">
        <f>IF(AND('领用录入（明细）'!D:D=$F$4,'领用录入（明细）'!C:C&gt;=$J$4,'领用录入（明细）'!C:C&lt;=$L$4),ROW(),"-")</f>
        <v>-</v>
      </c>
    </row>
    <row r="30348" customHeight="1" spans="2:2">
      <c r="B30348" s="62" t="str">
        <f>IF(AND('领用录入（明细）'!D:D=$F$4,'领用录入（明细）'!C:C&gt;=$J$4,'领用录入（明细）'!C:C&lt;=$L$4),ROW(),"-")</f>
        <v>-</v>
      </c>
    </row>
    <row r="30349" customHeight="1" spans="2:2">
      <c r="B30349" s="62" t="str">
        <f>IF(AND('领用录入（明细）'!D:D=$F$4,'领用录入（明细）'!C:C&gt;=$J$4,'领用录入（明细）'!C:C&lt;=$L$4),ROW(),"-")</f>
        <v>-</v>
      </c>
    </row>
    <row r="30350" customHeight="1" spans="2:2">
      <c r="B30350" s="62" t="str">
        <f>IF(AND('领用录入（明细）'!D:D=$F$4,'领用录入（明细）'!C:C&gt;=$J$4,'领用录入（明细）'!C:C&lt;=$L$4),ROW(),"-")</f>
        <v>-</v>
      </c>
    </row>
    <row r="30351" customHeight="1" spans="2:2">
      <c r="B30351" s="62" t="str">
        <f>IF(AND('领用录入（明细）'!D:D=$F$4,'领用录入（明细）'!C:C&gt;=$J$4,'领用录入（明细）'!C:C&lt;=$L$4),ROW(),"-")</f>
        <v>-</v>
      </c>
    </row>
    <row r="30352" customHeight="1" spans="2:2">
      <c r="B30352" s="62" t="str">
        <f>IF(AND('领用录入（明细）'!D:D=$F$4,'领用录入（明细）'!C:C&gt;=$J$4,'领用录入（明细）'!C:C&lt;=$L$4),ROW(),"-")</f>
        <v>-</v>
      </c>
    </row>
    <row r="30353" customHeight="1" spans="2:2">
      <c r="B30353" s="62" t="str">
        <f>IF(AND('领用录入（明细）'!D:D=$F$4,'领用录入（明细）'!C:C&gt;=$J$4,'领用录入（明细）'!C:C&lt;=$L$4),ROW(),"-")</f>
        <v>-</v>
      </c>
    </row>
    <row r="30354" customHeight="1" spans="2:2">
      <c r="B30354" s="62" t="str">
        <f>IF(AND('领用录入（明细）'!D:D=$F$4,'领用录入（明细）'!C:C&gt;=$J$4,'领用录入（明细）'!C:C&lt;=$L$4),ROW(),"-")</f>
        <v>-</v>
      </c>
    </row>
    <row r="30355" customHeight="1" spans="2:2">
      <c r="B30355" s="62" t="str">
        <f>IF(AND('领用录入（明细）'!D:D=$F$4,'领用录入（明细）'!C:C&gt;=$J$4,'领用录入（明细）'!C:C&lt;=$L$4),ROW(),"-")</f>
        <v>-</v>
      </c>
    </row>
    <row r="30356" customHeight="1" spans="2:2">
      <c r="B30356" s="62" t="str">
        <f>IF(AND('领用录入（明细）'!D:D=$F$4,'领用录入（明细）'!C:C&gt;=$J$4,'领用录入（明细）'!C:C&lt;=$L$4),ROW(),"-")</f>
        <v>-</v>
      </c>
    </row>
    <row r="30357" customHeight="1" spans="2:2">
      <c r="B30357" s="62" t="str">
        <f>IF(AND('领用录入（明细）'!D:D=$F$4,'领用录入（明细）'!C:C&gt;=$J$4,'领用录入（明细）'!C:C&lt;=$L$4),ROW(),"-")</f>
        <v>-</v>
      </c>
    </row>
    <row r="30358" customHeight="1" spans="2:2">
      <c r="B30358" s="62" t="str">
        <f>IF(AND('领用录入（明细）'!D:D=$F$4,'领用录入（明细）'!C:C&gt;=$J$4,'领用录入（明细）'!C:C&lt;=$L$4),ROW(),"-")</f>
        <v>-</v>
      </c>
    </row>
    <row r="30359" customHeight="1" spans="2:2">
      <c r="B30359" s="62" t="str">
        <f>IF(AND('领用录入（明细）'!D:D=$F$4,'领用录入（明细）'!C:C&gt;=$J$4,'领用录入（明细）'!C:C&lt;=$L$4),ROW(),"-")</f>
        <v>-</v>
      </c>
    </row>
    <row r="30360" customHeight="1" spans="2:2">
      <c r="B30360" s="62" t="str">
        <f>IF(AND('领用录入（明细）'!D:D=$F$4,'领用录入（明细）'!C:C&gt;=$J$4,'领用录入（明细）'!C:C&lt;=$L$4),ROW(),"-")</f>
        <v>-</v>
      </c>
    </row>
    <row r="30361" customHeight="1" spans="2:2">
      <c r="B30361" s="62" t="str">
        <f>IF(AND('领用录入（明细）'!D:D=$F$4,'领用录入（明细）'!C:C&gt;=$J$4,'领用录入（明细）'!C:C&lt;=$L$4),ROW(),"-")</f>
        <v>-</v>
      </c>
    </row>
    <row r="30362" customHeight="1" spans="2:2">
      <c r="B30362" s="62" t="str">
        <f>IF(AND('领用录入（明细）'!D:D=$F$4,'领用录入（明细）'!C:C&gt;=$J$4,'领用录入（明细）'!C:C&lt;=$L$4),ROW(),"-")</f>
        <v>-</v>
      </c>
    </row>
    <row r="30363" customHeight="1" spans="2:2">
      <c r="B30363" s="62" t="str">
        <f>IF(AND('领用录入（明细）'!D:D=$F$4,'领用录入（明细）'!C:C&gt;=$J$4,'领用录入（明细）'!C:C&lt;=$L$4),ROW(),"-")</f>
        <v>-</v>
      </c>
    </row>
    <row r="30364" customHeight="1" spans="2:2">
      <c r="B30364" s="62" t="str">
        <f>IF(AND('领用录入（明细）'!D:D=$F$4,'领用录入（明细）'!C:C&gt;=$J$4,'领用录入（明细）'!C:C&lt;=$L$4),ROW(),"-")</f>
        <v>-</v>
      </c>
    </row>
    <row r="30365" customHeight="1" spans="2:2">
      <c r="B30365" s="62" t="str">
        <f>IF(AND('领用录入（明细）'!D:D=$F$4,'领用录入（明细）'!C:C&gt;=$J$4,'领用录入（明细）'!C:C&lt;=$L$4),ROW(),"-")</f>
        <v>-</v>
      </c>
    </row>
    <row r="30366" customHeight="1" spans="2:2">
      <c r="B30366" s="62" t="str">
        <f>IF(AND('领用录入（明细）'!D:D=$F$4,'领用录入（明细）'!C:C&gt;=$J$4,'领用录入（明细）'!C:C&lt;=$L$4),ROW(),"-")</f>
        <v>-</v>
      </c>
    </row>
    <row r="30367" customHeight="1" spans="2:2">
      <c r="B30367" s="62" t="str">
        <f>IF(AND('领用录入（明细）'!D:D=$F$4,'领用录入（明细）'!C:C&gt;=$J$4,'领用录入（明细）'!C:C&lt;=$L$4),ROW(),"-")</f>
        <v>-</v>
      </c>
    </row>
    <row r="30368" customHeight="1" spans="2:2">
      <c r="B30368" s="62" t="str">
        <f>IF(AND('领用录入（明细）'!D:D=$F$4,'领用录入（明细）'!C:C&gt;=$J$4,'领用录入（明细）'!C:C&lt;=$L$4),ROW(),"-")</f>
        <v>-</v>
      </c>
    </row>
    <row r="30369" customHeight="1" spans="2:2">
      <c r="B30369" s="62" t="str">
        <f>IF(AND('领用录入（明细）'!D:D=$F$4,'领用录入（明细）'!C:C&gt;=$J$4,'领用录入（明细）'!C:C&lt;=$L$4),ROW(),"-")</f>
        <v>-</v>
      </c>
    </row>
    <row r="30370" customHeight="1" spans="2:2">
      <c r="B30370" s="62" t="str">
        <f>IF(AND('领用录入（明细）'!D:D=$F$4,'领用录入（明细）'!C:C&gt;=$J$4,'领用录入（明细）'!C:C&lt;=$L$4),ROW(),"-")</f>
        <v>-</v>
      </c>
    </row>
    <row r="30371" customHeight="1" spans="2:2">
      <c r="B30371" s="62" t="str">
        <f>IF(AND('领用录入（明细）'!D:D=$F$4,'领用录入（明细）'!C:C&gt;=$J$4,'领用录入（明细）'!C:C&lt;=$L$4),ROW(),"-")</f>
        <v>-</v>
      </c>
    </row>
    <row r="30372" customHeight="1" spans="2:2">
      <c r="B30372" s="62" t="str">
        <f>IF(AND('领用录入（明细）'!D:D=$F$4,'领用录入（明细）'!C:C&gt;=$J$4,'领用录入（明细）'!C:C&lt;=$L$4),ROW(),"-")</f>
        <v>-</v>
      </c>
    </row>
    <row r="30373" customHeight="1" spans="2:2">
      <c r="B30373" s="62" t="str">
        <f>IF(AND('领用录入（明细）'!D:D=$F$4,'领用录入（明细）'!C:C&gt;=$J$4,'领用录入（明细）'!C:C&lt;=$L$4),ROW(),"-")</f>
        <v>-</v>
      </c>
    </row>
    <row r="30374" customHeight="1" spans="2:2">
      <c r="B30374" s="62" t="str">
        <f>IF(AND('领用录入（明细）'!D:D=$F$4,'领用录入（明细）'!C:C&gt;=$J$4,'领用录入（明细）'!C:C&lt;=$L$4),ROW(),"-")</f>
        <v>-</v>
      </c>
    </row>
    <row r="30375" customHeight="1" spans="2:2">
      <c r="B30375" s="62" t="str">
        <f>IF(AND('领用录入（明细）'!D:D=$F$4,'领用录入（明细）'!C:C&gt;=$J$4,'领用录入（明细）'!C:C&lt;=$L$4),ROW(),"-")</f>
        <v>-</v>
      </c>
    </row>
    <row r="30376" customHeight="1" spans="2:2">
      <c r="B30376" s="62" t="str">
        <f>IF(AND('领用录入（明细）'!D:D=$F$4,'领用录入（明细）'!C:C&gt;=$J$4,'领用录入（明细）'!C:C&lt;=$L$4),ROW(),"-")</f>
        <v>-</v>
      </c>
    </row>
    <row r="30377" customHeight="1" spans="2:2">
      <c r="B30377" s="62" t="str">
        <f>IF(AND('领用录入（明细）'!D:D=$F$4,'领用录入（明细）'!C:C&gt;=$J$4,'领用录入（明细）'!C:C&lt;=$L$4),ROW(),"-")</f>
        <v>-</v>
      </c>
    </row>
    <row r="30378" customHeight="1" spans="2:2">
      <c r="B30378" s="62" t="str">
        <f>IF(AND('领用录入（明细）'!D:D=$F$4,'领用录入（明细）'!C:C&gt;=$J$4,'领用录入（明细）'!C:C&lt;=$L$4),ROW(),"-")</f>
        <v>-</v>
      </c>
    </row>
    <row r="30379" customHeight="1" spans="2:2">
      <c r="B30379" s="62" t="str">
        <f>IF(AND('领用录入（明细）'!D:D=$F$4,'领用录入（明细）'!C:C&gt;=$J$4,'领用录入（明细）'!C:C&lt;=$L$4),ROW(),"-")</f>
        <v>-</v>
      </c>
    </row>
    <row r="30380" customHeight="1" spans="2:2">
      <c r="B30380" s="62" t="str">
        <f>IF(AND('领用录入（明细）'!D:D=$F$4,'领用录入（明细）'!C:C&gt;=$J$4,'领用录入（明细）'!C:C&lt;=$L$4),ROW(),"-")</f>
        <v>-</v>
      </c>
    </row>
    <row r="30381" customHeight="1" spans="2:2">
      <c r="B30381" s="62" t="str">
        <f>IF(AND('领用录入（明细）'!D:D=$F$4,'领用录入（明细）'!C:C&gt;=$J$4,'领用录入（明细）'!C:C&lt;=$L$4),ROW(),"-")</f>
        <v>-</v>
      </c>
    </row>
    <row r="30382" customHeight="1" spans="2:2">
      <c r="B30382" s="62" t="str">
        <f>IF(AND('领用录入（明细）'!D:D=$F$4,'领用录入（明细）'!C:C&gt;=$J$4,'领用录入（明细）'!C:C&lt;=$L$4),ROW(),"-")</f>
        <v>-</v>
      </c>
    </row>
    <row r="30383" customHeight="1" spans="2:2">
      <c r="B30383" s="62" t="str">
        <f>IF(AND('领用录入（明细）'!D:D=$F$4,'领用录入（明细）'!C:C&gt;=$J$4,'领用录入（明细）'!C:C&lt;=$L$4),ROW(),"-")</f>
        <v>-</v>
      </c>
    </row>
    <row r="30384" customHeight="1" spans="2:2">
      <c r="B30384" s="62" t="str">
        <f>IF(AND('领用录入（明细）'!D:D=$F$4,'领用录入（明细）'!C:C&gt;=$J$4,'领用录入（明细）'!C:C&lt;=$L$4),ROW(),"-")</f>
        <v>-</v>
      </c>
    </row>
    <row r="30385" customHeight="1" spans="2:2">
      <c r="B30385" s="62" t="str">
        <f>IF(AND('领用录入（明细）'!D:D=$F$4,'领用录入（明细）'!C:C&gt;=$J$4,'领用录入（明细）'!C:C&lt;=$L$4),ROW(),"-")</f>
        <v>-</v>
      </c>
    </row>
    <row r="30386" customHeight="1" spans="2:2">
      <c r="B30386" s="62" t="str">
        <f>IF(AND('领用录入（明细）'!D:D=$F$4,'领用录入（明细）'!C:C&gt;=$J$4,'领用录入（明细）'!C:C&lt;=$L$4),ROW(),"-")</f>
        <v>-</v>
      </c>
    </row>
    <row r="30387" customHeight="1" spans="2:2">
      <c r="B30387" s="62" t="str">
        <f>IF(AND('领用录入（明细）'!D:D=$F$4,'领用录入（明细）'!C:C&gt;=$J$4,'领用录入（明细）'!C:C&lt;=$L$4),ROW(),"-")</f>
        <v>-</v>
      </c>
    </row>
    <row r="30388" customHeight="1" spans="2:2">
      <c r="B30388" s="62" t="str">
        <f>IF(AND('领用录入（明细）'!D:D=$F$4,'领用录入（明细）'!C:C&gt;=$J$4,'领用录入（明细）'!C:C&lt;=$L$4),ROW(),"-")</f>
        <v>-</v>
      </c>
    </row>
    <row r="30389" customHeight="1" spans="2:2">
      <c r="B30389" s="62" t="str">
        <f>IF(AND('领用录入（明细）'!D:D=$F$4,'领用录入（明细）'!C:C&gt;=$J$4,'领用录入（明细）'!C:C&lt;=$L$4),ROW(),"-")</f>
        <v>-</v>
      </c>
    </row>
    <row r="30390" customHeight="1" spans="2:2">
      <c r="B30390" s="62" t="str">
        <f>IF(AND('领用录入（明细）'!D:D=$F$4,'领用录入（明细）'!C:C&gt;=$J$4,'领用录入（明细）'!C:C&lt;=$L$4),ROW(),"-")</f>
        <v>-</v>
      </c>
    </row>
    <row r="30391" customHeight="1" spans="2:2">
      <c r="B30391" s="62" t="str">
        <f>IF(AND('领用录入（明细）'!D:D=$F$4,'领用录入（明细）'!C:C&gt;=$J$4,'领用录入（明细）'!C:C&lt;=$L$4),ROW(),"-")</f>
        <v>-</v>
      </c>
    </row>
    <row r="30392" customHeight="1" spans="2:2">
      <c r="B30392" s="62" t="str">
        <f>IF(AND('领用录入（明细）'!D:D=$F$4,'领用录入（明细）'!C:C&gt;=$J$4,'领用录入（明细）'!C:C&lt;=$L$4),ROW(),"-")</f>
        <v>-</v>
      </c>
    </row>
    <row r="30393" customHeight="1" spans="2:2">
      <c r="B30393" s="62" t="str">
        <f>IF(AND('领用录入（明细）'!D:D=$F$4,'领用录入（明细）'!C:C&gt;=$J$4,'领用录入（明细）'!C:C&lt;=$L$4),ROW(),"-")</f>
        <v>-</v>
      </c>
    </row>
    <row r="30394" customHeight="1" spans="2:2">
      <c r="B30394" s="62" t="str">
        <f>IF(AND('领用录入（明细）'!D:D=$F$4,'领用录入（明细）'!C:C&gt;=$J$4,'领用录入（明细）'!C:C&lt;=$L$4),ROW(),"-")</f>
        <v>-</v>
      </c>
    </row>
    <row r="30395" customHeight="1" spans="2:2">
      <c r="B30395" s="62" t="str">
        <f>IF(AND('领用录入（明细）'!D:D=$F$4,'领用录入（明细）'!C:C&gt;=$J$4,'领用录入（明细）'!C:C&lt;=$L$4),ROW(),"-")</f>
        <v>-</v>
      </c>
    </row>
    <row r="30396" customHeight="1" spans="2:2">
      <c r="B30396" s="62" t="str">
        <f>IF(AND('领用录入（明细）'!D:D=$F$4,'领用录入（明细）'!C:C&gt;=$J$4,'领用录入（明细）'!C:C&lt;=$L$4),ROW(),"-")</f>
        <v>-</v>
      </c>
    </row>
    <row r="30397" customHeight="1" spans="2:2">
      <c r="B30397" s="62" t="str">
        <f>IF(AND('领用录入（明细）'!D:D=$F$4,'领用录入（明细）'!C:C&gt;=$J$4,'领用录入（明细）'!C:C&lt;=$L$4),ROW(),"-")</f>
        <v>-</v>
      </c>
    </row>
    <row r="30398" customHeight="1" spans="2:2">
      <c r="B30398" s="62" t="str">
        <f>IF(AND('领用录入（明细）'!D:D=$F$4,'领用录入（明细）'!C:C&gt;=$J$4,'领用录入（明细）'!C:C&lt;=$L$4),ROW(),"-")</f>
        <v>-</v>
      </c>
    </row>
    <row r="30399" customHeight="1" spans="2:2">
      <c r="B30399" s="62" t="str">
        <f>IF(AND('领用录入（明细）'!D:D=$F$4,'领用录入（明细）'!C:C&gt;=$J$4,'领用录入（明细）'!C:C&lt;=$L$4),ROW(),"-")</f>
        <v>-</v>
      </c>
    </row>
    <row r="30400" customHeight="1" spans="2:2">
      <c r="B30400" s="62" t="str">
        <f>IF(AND('领用录入（明细）'!D:D=$F$4,'领用录入（明细）'!C:C&gt;=$J$4,'领用录入（明细）'!C:C&lt;=$L$4),ROW(),"-")</f>
        <v>-</v>
      </c>
    </row>
    <row r="30401" customHeight="1" spans="2:2">
      <c r="B30401" s="62" t="str">
        <f>IF(AND('领用录入（明细）'!D:D=$F$4,'领用录入（明细）'!C:C&gt;=$J$4,'领用录入（明细）'!C:C&lt;=$L$4),ROW(),"-")</f>
        <v>-</v>
      </c>
    </row>
    <row r="30402" customHeight="1" spans="2:2">
      <c r="B30402" s="62" t="str">
        <f>IF(AND('领用录入（明细）'!D:D=$F$4,'领用录入（明细）'!C:C&gt;=$J$4,'领用录入（明细）'!C:C&lt;=$L$4),ROW(),"-")</f>
        <v>-</v>
      </c>
    </row>
    <row r="30403" customHeight="1" spans="2:2">
      <c r="B30403" s="62" t="str">
        <f>IF(AND('领用录入（明细）'!D:D=$F$4,'领用录入（明细）'!C:C&gt;=$J$4,'领用录入（明细）'!C:C&lt;=$L$4),ROW(),"-")</f>
        <v>-</v>
      </c>
    </row>
    <row r="30404" customHeight="1" spans="2:2">
      <c r="B30404" s="62" t="str">
        <f>IF(AND('领用录入（明细）'!D:D=$F$4,'领用录入（明细）'!C:C&gt;=$J$4,'领用录入（明细）'!C:C&lt;=$L$4),ROW(),"-")</f>
        <v>-</v>
      </c>
    </row>
    <row r="30405" customHeight="1" spans="2:2">
      <c r="B30405" s="62" t="str">
        <f>IF(AND('领用录入（明细）'!D:D=$F$4,'领用录入（明细）'!C:C&gt;=$J$4,'领用录入（明细）'!C:C&lt;=$L$4),ROW(),"-")</f>
        <v>-</v>
      </c>
    </row>
    <row r="30406" customHeight="1" spans="2:2">
      <c r="B30406" s="62" t="str">
        <f>IF(AND('领用录入（明细）'!D:D=$F$4,'领用录入（明细）'!C:C&gt;=$J$4,'领用录入（明细）'!C:C&lt;=$L$4),ROW(),"-")</f>
        <v>-</v>
      </c>
    </row>
    <row r="30407" customHeight="1" spans="2:2">
      <c r="B30407" s="62" t="str">
        <f>IF(AND('领用录入（明细）'!D:D=$F$4,'领用录入（明细）'!C:C&gt;=$J$4,'领用录入（明细）'!C:C&lt;=$L$4),ROW(),"-")</f>
        <v>-</v>
      </c>
    </row>
    <row r="30408" customHeight="1" spans="2:2">
      <c r="B30408" s="62" t="str">
        <f>IF(AND('领用录入（明细）'!D:D=$F$4,'领用录入（明细）'!C:C&gt;=$J$4,'领用录入（明细）'!C:C&lt;=$L$4),ROW(),"-")</f>
        <v>-</v>
      </c>
    </row>
    <row r="30409" customHeight="1" spans="2:2">
      <c r="B30409" s="62" t="str">
        <f>IF(AND('领用录入（明细）'!D:D=$F$4,'领用录入（明细）'!C:C&gt;=$J$4,'领用录入（明细）'!C:C&lt;=$L$4),ROW(),"-")</f>
        <v>-</v>
      </c>
    </row>
    <row r="30410" customHeight="1" spans="2:2">
      <c r="B30410" s="62" t="str">
        <f>IF(AND('领用录入（明细）'!D:D=$F$4,'领用录入（明细）'!C:C&gt;=$J$4,'领用录入（明细）'!C:C&lt;=$L$4),ROW(),"-")</f>
        <v>-</v>
      </c>
    </row>
    <row r="30411" customHeight="1" spans="2:2">
      <c r="B30411" s="62" t="str">
        <f>IF(AND('领用录入（明细）'!D:D=$F$4,'领用录入（明细）'!C:C&gt;=$J$4,'领用录入（明细）'!C:C&lt;=$L$4),ROW(),"-")</f>
        <v>-</v>
      </c>
    </row>
    <row r="30412" customHeight="1" spans="2:2">
      <c r="B30412" s="62" t="str">
        <f>IF(AND('领用录入（明细）'!D:D=$F$4,'领用录入（明细）'!C:C&gt;=$J$4,'领用录入（明细）'!C:C&lt;=$L$4),ROW(),"-")</f>
        <v>-</v>
      </c>
    </row>
    <row r="30413" customHeight="1" spans="2:2">
      <c r="B30413" s="62" t="str">
        <f>IF(AND('领用录入（明细）'!D:D=$F$4,'领用录入（明细）'!C:C&gt;=$J$4,'领用录入（明细）'!C:C&lt;=$L$4),ROW(),"-")</f>
        <v>-</v>
      </c>
    </row>
    <row r="30414" customHeight="1" spans="2:2">
      <c r="B30414" s="62" t="str">
        <f>IF(AND('领用录入（明细）'!D:D=$F$4,'领用录入（明细）'!C:C&gt;=$J$4,'领用录入（明细）'!C:C&lt;=$L$4),ROW(),"-")</f>
        <v>-</v>
      </c>
    </row>
    <row r="30415" customHeight="1" spans="2:2">
      <c r="B30415" s="62" t="str">
        <f>IF(AND('领用录入（明细）'!D:D=$F$4,'领用录入（明细）'!C:C&gt;=$J$4,'领用录入（明细）'!C:C&lt;=$L$4),ROW(),"-")</f>
        <v>-</v>
      </c>
    </row>
    <row r="30416" customHeight="1" spans="2:2">
      <c r="B30416" s="62" t="str">
        <f>IF(AND('领用录入（明细）'!D:D=$F$4,'领用录入（明细）'!C:C&gt;=$J$4,'领用录入（明细）'!C:C&lt;=$L$4),ROW(),"-")</f>
        <v>-</v>
      </c>
    </row>
    <row r="30417" customHeight="1" spans="2:2">
      <c r="B30417" s="62" t="str">
        <f>IF(AND('领用录入（明细）'!D:D=$F$4,'领用录入（明细）'!C:C&gt;=$J$4,'领用录入（明细）'!C:C&lt;=$L$4),ROW(),"-")</f>
        <v>-</v>
      </c>
    </row>
    <row r="30418" customHeight="1" spans="2:2">
      <c r="B30418" s="62" t="str">
        <f>IF(AND('领用录入（明细）'!D:D=$F$4,'领用录入（明细）'!C:C&gt;=$J$4,'领用录入（明细）'!C:C&lt;=$L$4),ROW(),"-")</f>
        <v>-</v>
      </c>
    </row>
    <row r="30419" customHeight="1" spans="2:2">
      <c r="B30419" s="62" t="str">
        <f>IF(AND('领用录入（明细）'!D:D=$F$4,'领用录入（明细）'!C:C&gt;=$J$4,'领用录入（明细）'!C:C&lt;=$L$4),ROW(),"-")</f>
        <v>-</v>
      </c>
    </row>
    <row r="30420" customHeight="1" spans="2:2">
      <c r="B30420" s="62" t="str">
        <f>IF(AND('领用录入（明细）'!D:D=$F$4,'领用录入（明细）'!C:C&gt;=$J$4,'领用录入（明细）'!C:C&lt;=$L$4),ROW(),"-")</f>
        <v>-</v>
      </c>
    </row>
    <row r="30421" customHeight="1" spans="2:2">
      <c r="B30421" s="62" t="str">
        <f>IF(AND('领用录入（明细）'!D:D=$F$4,'领用录入（明细）'!C:C&gt;=$J$4,'领用录入（明细）'!C:C&lt;=$L$4),ROW(),"-")</f>
        <v>-</v>
      </c>
    </row>
    <row r="30422" customHeight="1" spans="2:2">
      <c r="B30422" s="62" t="str">
        <f>IF(AND('领用录入（明细）'!D:D=$F$4,'领用录入（明细）'!C:C&gt;=$J$4,'领用录入（明细）'!C:C&lt;=$L$4),ROW(),"-")</f>
        <v>-</v>
      </c>
    </row>
    <row r="30423" customHeight="1" spans="2:2">
      <c r="B30423" s="62" t="str">
        <f>IF(AND('领用录入（明细）'!D:D=$F$4,'领用录入（明细）'!C:C&gt;=$J$4,'领用录入（明细）'!C:C&lt;=$L$4),ROW(),"-")</f>
        <v>-</v>
      </c>
    </row>
    <row r="30424" customHeight="1" spans="2:2">
      <c r="B30424" s="62" t="str">
        <f>IF(AND('领用录入（明细）'!D:D=$F$4,'领用录入（明细）'!C:C&gt;=$J$4,'领用录入（明细）'!C:C&lt;=$L$4),ROW(),"-")</f>
        <v>-</v>
      </c>
    </row>
    <row r="30425" customHeight="1" spans="2:2">
      <c r="B30425" s="62" t="str">
        <f>IF(AND('领用录入（明细）'!D:D=$F$4,'领用录入（明细）'!C:C&gt;=$J$4,'领用录入（明细）'!C:C&lt;=$L$4),ROW(),"-")</f>
        <v>-</v>
      </c>
    </row>
    <row r="30426" customHeight="1" spans="2:2">
      <c r="B30426" s="62" t="str">
        <f>IF(AND('领用录入（明细）'!D:D=$F$4,'领用录入（明细）'!C:C&gt;=$J$4,'领用录入（明细）'!C:C&lt;=$L$4),ROW(),"-")</f>
        <v>-</v>
      </c>
    </row>
    <row r="30427" customHeight="1" spans="2:2">
      <c r="B30427" s="62" t="str">
        <f>IF(AND('领用录入（明细）'!D:D=$F$4,'领用录入（明细）'!C:C&gt;=$J$4,'领用录入（明细）'!C:C&lt;=$L$4),ROW(),"-")</f>
        <v>-</v>
      </c>
    </row>
    <row r="30428" customHeight="1" spans="2:2">
      <c r="B30428" s="62" t="str">
        <f>IF(AND('领用录入（明细）'!D:D=$F$4,'领用录入（明细）'!C:C&gt;=$J$4,'领用录入（明细）'!C:C&lt;=$L$4),ROW(),"-")</f>
        <v>-</v>
      </c>
    </row>
    <row r="30429" customHeight="1" spans="2:2">
      <c r="B30429" s="62" t="str">
        <f>IF(AND('领用录入（明细）'!D:D=$F$4,'领用录入（明细）'!C:C&gt;=$J$4,'领用录入（明细）'!C:C&lt;=$L$4),ROW(),"-")</f>
        <v>-</v>
      </c>
    </row>
    <row r="30430" customHeight="1" spans="2:2">
      <c r="B30430" s="62" t="str">
        <f>IF(AND('领用录入（明细）'!D:D=$F$4,'领用录入（明细）'!C:C&gt;=$J$4,'领用录入（明细）'!C:C&lt;=$L$4),ROW(),"-")</f>
        <v>-</v>
      </c>
    </row>
    <row r="30431" customHeight="1" spans="2:2">
      <c r="B30431" s="62" t="str">
        <f>IF(AND('领用录入（明细）'!D:D=$F$4,'领用录入（明细）'!C:C&gt;=$J$4,'领用录入（明细）'!C:C&lt;=$L$4),ROW(),"-")</f>
        <v>-</v>
      </c>
    </row>
    <row r="30432" customHeight="1" spans="2:2">
      <c r="B30432" s="62" t="str">
        <f>IF(AND('领用录入（明细）'!D:D=$F$4,'领用录入（明细）'!C:C&gt;=$J$4,'领用录入（明细）'!C:C&lt;=$L$4),ROW(),"-")</f>
        <v>-</v>
      </c>
    </row>
    <row r="30433" customHeight="1" spans="2:2">
      <c r="B30433" s="62" t="str">
        <f>IF(AND('领用录入（明细）'!D:D=$F$4,'领用录入（明细）'!C:C&gt;=$J$4,'领用录入（明细）'!C:C&lt;=$L$4),ROW(),"-")</f>
        <v>-</v>
      </c>
    </row>
    <row r="30434" customHeight="1" spans="2:2">
      <c r="B30434" s="62" t="str">
        <f>IF(AND('领用录入（明细）'!D:D=$F$4,'领用录入（明细）'!C:C&gt;=$J$4,'领用录入（明细）'!C:C&lt;=$L$4),ROW(),"-")</f>
        <v>-</v>
      </c>
    </row>
    <row r="30435" customHeight="1" spans="2:2">
      <c r="B30435" s="62" t="str">
        <f>IF(AND('领用录入（明细）'!D:D=$F$4,'领用录入（明细）'!C:C&gt;=$J$4,'领用录入（明细）'!C:C&lt;=$L$4),ROW(),"-")</f>
        <v>-</v>
      </c>
    </row>
    <row r="30436" customHeight="1" spans="2:2">
      <c r="B30436" s="62" t="str">
        <f>IF(AND('领用录入（明细）'!D:D=$F$4,'领用录入（明细）'!C:C&gt;=$J$4,'领用录入（明细）'!C:C&lt;=$L$4),ROW(),"-")</f>
        <v>-</v>
      </c>
    </row>
    <row r="30437" customHeight="1" spans="2:2">
      <c r="B30437" s="62" t="str">
        <f>IF(AND('领用录入（明细）'!D:D=$F$4,'领用录入（明细）'!C:C&gt;=$J$4,'领用录入（明细）'!C:C&lt;=$L$4),ROW(),"-")</f>
        <v>-</v>
      </c>
    </row>
    <row r="30438" customHeight="1" spans="2:2">
      <c r="B30438" s="62" t="str">
        <f>IF(AND('领用录入（明细）'!D:D=$F$4,'领用录入（明细）'!C:C&gt;=$J$4,'领用录入（明细）'!C:C&lt;=$L$4),ROW(),"-")</f>
        <v>-</v>
      </c>
    </row>
    <row r="30439" customHeight="1" spans="2:2">
      <c r="B30439" s="62" t="str">
        <f>IF(AND('领用录入（明细）'!D:D=$F$4,'领用录入（明细）'!C:C&gt;=$J$4,'领用录入（明细）'!C:C&lt;=$L$4),ROW(),"-")</f>
        <v>-</v>
      </c>
    </row>
    <row r="30440" customHeight="1" spans="2:2">
      <c r="B30440" s="62" t="str">
        <f>IF(AND('领用录入（明细）'!D:D=$F$4,'领用录入（明细）'!C:C&gt;=$J$4,'领用录入（明细）'!C:C&lt;=$L$4),ROW(),"-")</f>
        <v>-</v>
      </c>
    </row>
    <row r="30441" customHeight="1" spans="2:2">
      <c r="B30441" s="62" t="str">
        <f>IF(AND('领用录入（明细）'!D:D=$F$4,'领用录入（明细）'!C:C&gt;=$J$4,'领用录入（明细）'!C:C&lt;=$L$4),ROW(),"-")</f>
        <v>-</v>
      </c>
    </row>
    <row r="30442" customHeight="1" spans="2:2">
      <c r="B30442" s="62" t="str">
        <f>IF(AND('领用录入（明细）'!D:D=$F$4,'领用录入（明细）'!C:C&gt;=$J$4,'领用录入（明细）'!C:C&lt;=$L$4),ROW(),"-")</f>
        <v>-</v>
      </c>
    </row>
    <row r="30443" customHeight="1" spans="2:2">
      <c r="B30443" s="62" t="str">
        <f>IF(AND('领用录入（明细）'!D:D=$F$4,'领用录入（明细）'!C:C&gt;=$J$4,'领用录入（明细）'!C:C&lt;=$L$4),ROW(),"-")</f>
        <v>-</v>
      </c>
    </row>
    <row r="30444" customHeight="1" spans="2:2">
      <c r="B30444" s="62" t="str">
        <f>IF(AND('领用录入（明细）'!D:D=$F$4,'领用录入（明细）'!C:C&gt;=$J$4,'领用录入（明细）'!C:C&lt;=$L$4),ROW(),"-")</f>
        <v>-</v>
      </c>
    </row>
    <row r="30445" customHeight="1" spans="2:2">
      <c r="B30445" s="62" t="str">
        <f>IF(AND('领用录入（明细）'!D:D=$F$4,'领用录入（明细）'!C:C&gt;=$J$4,'领用录入（明细）'!C:C&lt;=$L$4),ROW(),"-")</f>
        <v>-</v>
      </c>
    </row>
    <row r="30446" customHeight="1" spans="2:2">
      <c r="B30446" s="62" t="str">
        <f>IF(AND('领用录入（明细）'!D:D=$F$4,'领用录入（明细）'!C:C&gt;=$J$4,'领用录入（明细）'!C:C&lt;=$L$4),ROW(),"-")</f>
        <v>-</v>
      </c>
    </row>
    <row r="30447" customHeight="1" spans="2:2">
      <c r="B30447" s="62" t="str">
        <f>IF(AND('领用录入（明细）'!D:D=$F$4,'领用录入（明细）'!C:C&gt;=$J$4,'领用录入（明细）'!C:C&lt;=$L$4),ROW(),"-")</f>
        <v>-</v>
      </c>
    </row>
    <row r="30448" customHeight="1" spans="2:2">
      <c r="B30448" s="62" t="str">
        <f>IF(AND('领用录入（明细）'!D:D=$F$4,'领用录入（明细）'!C:C&gt;=$J$4,'领用录入（明细）'!C:C&lt;=$L$4),ROW(),"-")</f>
        <v>-</v>
      </c>
    </row>
    <row r="30449" customHeight="1" spans="2:2">
      <c r="B30449" s="62" t="str">
        <f>IF(AND('领用录入（明细）'!D:D=$F$4,'领用录入（明细）'!C:C&gt;=$J$4,'领用录入（明细）'!C:C&lt;=$L$4),ROW(),"-")</f>
        <v>-</v>
      </c>
    </row>
    <row r="30450" customHeight="1" spans="2:2">
      <c r="B30450" s="62" t="str">
        <f>IF(AND('领用录入（明细）'!D:D=$F$4,'领用录入（明细）'!C:C&gt;=$J$4,'领用录入（明细）'!C:C&lt;=$L$4),ROW(),"-")</f>
        <v>-</v>
      </c>
    </row>
    <row r="30451" customHeight="1" spans="2:2">
      <c r="B30451" s="62" t="str">
        <f>IF(AND('领用录入（明细）'!D:D=$F$4,'领用录入（明细）'!C:C&gt;=$J$4,'领用录入（明细）'!C:C&lt;=$L$4),ROW(),"-")</f>
        <v>-</v>
      </c>
    </row>
    <row r="30452" customHeight="1" spans="2:2">
      <c r="B30452" s="62" t="str">
        <f>IF(AND('领用录入（明细）'!D:D=$F$4,'领用录入（明细）'!C:C&gt;=$J$4,'领用录入（明细）'!C:C&lt;=$L$4),ROW(),"-")</f>
        <v>-</v>
      </c>
    </row>
    <row r="30453" customHeight="1" spans="2:2">
      <c r="B30453" s="62" t="str">
        <f>IF(AND('领用录入（明细）'!D:D=$F$4,'领用录入（明细）'!C:C&gt;=$J$4,'领用录入（明细）'!C:C&lt;=$L$4),ROW(),"-")</f>
        <v>-</v>
      </c>
    </row>
    <row r="30454" customHeight="1" spans="2:2">
      <c r="B30454" s="62" t="str">
        <f>IF(AND('领用录入（明细）'!D:D=$F$4,'领用录入（明细）'!C:C&gt;=$J$4,'领用录入（明细）'!C:C&lt;=$L$4),ROW(),"-")</f>
        <v>-</v>
      </c>
    </row>
    <row r="30455" customHeight="1" spans="2:2">
      <c r="B30455" s="62" t="str">
        <f>IF(AND('领用录入（明细）'!D:D=$F$4,'领用录入（明细）'!C:C&gt;=$J$4,'领用录入（明细）'!C:C&lt;=$L$4),ROW(),"-")</f>
        <v>-</v>
      </c>
    </row>
    <row r="30456" customHeight="1" spans="2:2">
      <c r="B30456" s="62" t="str">
        <f>IF(AND('领用录入（明细）'!D:D=$F$4,'领用录入（明细）'!C:C&gt;=$J$4,'领用录入（明细）'!C:C&lt;=$L$4),ROW(),"-")</f>
        <v>-</v>
      </c>
    </row>
    <row r="30457" customHeight="1" spans="2:2">
      <c r="B30457" s="62" t="str">
        <f>IF(AND('领用录入（明细）'!D:D=$F$4,'领用录入（明细）'!C:C&gt;=$J$4,'领用录入（明细）'!C:C&lt;=$L$4),ROW(),"-")</f>
        <v>-</v>
      </c>
    </row>
    <row r="30458" customHeight="1" spans="2:2">
      <c r="B30458" s="62" t="str">
        <f>IF(AND('领用录入（明细）'!D:D=$F$4,'领用录入（明细）'!C:C&gt;=$J$4,'领用录入（明细）'!C:C&lt;=$L$4),ROW(),"-")</f>
        <v>-</v>
      </c>
    </row>
    <row r="30459" customHeight="1" spans="2:2">
      <c r="B30459" s="62" t="str">
        <f>IF(AND('领用录入（明细）'!D:D=$F$4,'领用录入（明细）'!C:C&gt;=$J$4,'领用录入（明细）'!C:C&lt;=$L$4),ROW(),"-")</f>
        <v>-</v>
      </c>
    </row>
    <row r="30460" customHeight="1" spans="2:2">
      <c r="B30460" s="62" t="str">
        <f>IF(AND('领用录入（明细）'!D:D=$F$4,'领用录入（明细）'!C:C&gt;=$J$4,'领用录入（明细）'!C:C&lt;=$L$4),ROW(),"-")</f>
        <v>-</v>
      </c>
    </row>
    <row r="30461" customHeight="1" spans="2:2">
      <c r="B30461" s="62" t="str">
        <f>IF(AND('领用录入（明细）'!D:D=$F$4,'领用录入（明细）'!C:C&gt;=$J$4,'领用录入（明细）'!C:C&lt;=$L$4),ROW(),"-")</f>
        <v>-</v>
      </c>
    </row>
    <row r="30462" customHeight="1" spans="2:2">
      <c r="B30462" s="62" t="str">
        <f>IF(AND('领用录入（明细）'!D:D=$F$4,'领用录入（明细）'!C:C&gt;=$J$4,'领用录入（明细）'!C:C&lt;=$L$4),ROW(),"-")</f>
        <v>-</v>
      </c>
    </row>
    <row r="30463" customHeight="1" spans="2:2">
      <c r="B30463" s="62" t="str">
        <f>IF(AND('领用录入（明细）'!D:D=$F$4,'领用录入（明细）'!C:C&gt;=$J$4,'领用录入（明细）'!C:C&lt;=$L$4),ROW(),"-")</f>
        <v>-</v>
      </c>
    </row>
    <row r="30464" customHeight="1" spans="2:2">
      <c r="B30464" s="62" t="str">
        <f>IF(AND('领用录入（明细）'!D:D=$F$4,'领用录入（明细）'!C:C&gt;=$J$4,'领用录入（明细）'!C:C&lt;=$L$4),ROW(),"-")</f>
        <v>-</v>
      </c>
    </row>
    <row r="30465" customHeight="1" spans="2:2">
      <c r="B30465" s="62" t="str">
        <f>IF(AND('领用录入（明细）'!D:D=$F$4,'领用录入（明细）'!C:C&gt;=$J$4,'领用录入（明细）'!C:C&lt;=$L$4),ROW(),"-")</f>
        <v>-</v>
      </c>
    </row>
    <row r="30466" customHeight="1" spans="2:2">
      <c r="B30466" s="62" t="str">
        <f>IF(AND('领用录入（明细）'!D:D=$F$4,'领用录入（明细）'!C:C&gt;=$J$4,'领用录入（明细）'!C:C&lt;=$L$4),ROW(),"-")</f>
        <v>-</v>
      </c>
    </row>
    <row r="30467" customHeight="1" spans="2:2">
      <c r="B30467" s="62" t="str">
        <f>IF(AND('领用录入（明细）'!D:D=$F$4,'领用录入（明细）'!C:C&gt;=$J$4,'领用录入（明细）'!C:C&lt;=$L$4),ROW(),"-")</f>
        <v>-</v>
      </c>
    </row>
    <row r="30468" customHeight="1" spans="2:2">
      <c r="B30468" s="62" t="str">
        <f>IF(AND('领用录入（明细）'!D:D=$F$4,'领用录入（明细）'!C:C&gt;=$J$4,'领用录入（明细）'!C:C&lt;=$L$4),ROW(),"-")</f>
        <v>-</v>
      </c>
    </row>
    <row r="30469" customHeight="1" spans="2:2">
      <c r="B30469" s="62" t="str">
        <f>IF(AND('领用录入（明细）'!D:D=$F$4,'领用录入（明细）'!C:C&gt;=$J$4,'领用录入（明细）'!C:C&lt;=$L$4),ROW(),"-")</f>
        <v>-</v>
      </c>
    </row>
    <row r="30470" customHeight="1" spans="2:2">
      <c r="B30470" s="62" t="str">
        <f>IF(AND('领用录入（明细）'!D:D=$F$4,'领用录入（明细）'!C:C&gt;=$J$4,'领用录入（明细）'!C:C&lt;=$L$4),ROW(),"-")</f>
        <v>-</v>
      </c>
    </row>
    <row r="30471" customHeight="1" spans="2:2">
      <c r="B30471" s="62" t="str">
        <f>IF(AND('领用录入（明细）'!D:D=$F$4,'领用录入（明细）'!C:C&gt;=$J$4,'领用录入（明细）'!C:C&lt;=$L$4),ROW(),"-")</f>
        <v>-</v>
      </c>
    </row>
    <row r="30472" customHeight="1" spans="2:2">
      <c r="B30472" s="62" t="str">
        <f>IF(AND('领用录入（明细）'!D:D=$F$4,'领用录入（明细）'!C:C&gt;=$J$4,'领用录入（明细）'!C:C&lt;=$L$4),ROW(),"-")</f>
        <v>-</v>
      </c>
    </row>
    <row r="30473" customHeight="1" spans="2:2">
      <c r="B30473" s="62" t="str">
        <f>IF(AND('领用录入（明细）'!D:D=$F$4,'领用录入（明细）'!C:C&gt;=$J$4,'领用录入（明细）'!C:C&lt;=$L$4),ROW(),"-")</f>
        <v>-</v>
      </c>
    </row>
    <row r="30474" customHeight="1" spans="2:2">
      <c r="B30474" s="62" t="str">
        <f>IF(AND('领用录入（明细）'!D:D=$F$4,'领用录入（明细）'!C:C&gt;=$J$4,'领用录入（明细）'!C:C&lt;=$L$4),ROW(),"-")</f>
        <v>-</v>
      </c>
    </row>
    <row r="30475" customHeight="1" spans="2:2">
      <c r="B30475" s="62" t="str">
        <f>IF(AND('领用录入（明细）'!D:D=$F$4,'领用录入（明细）'!C:C&gt;=$J$4,'领用录入（明细）'!C:C&lt;=$L$4),ROW(),"-")</f>
        <v>-</v>
      </c>
    </row>
    <row r="30476" customHeight="1" spans="2:2">
      <c r="B30476" s="62" t="str">
        <f>IF(AND('领用录入（明细）'!D:D=$F$4,'领用录入（明细）'!C:C&gt;=$J$4,'领用录入（明细）'!C:C&lt;=$L$4),ROW(),"-")</f>
        <v>-</v>
      </c>
    </row>
    <row r="30477" customHeight="1" spans="2:2">
      <c r="B30477" s="62" t="str">
        <f>IF(AND('领用录入（明细）'!D:D=$F$4,'领用录入（明细）'!C:C&gt;=$J$4,'领用录入（明细）'!C:C&lt;=$L$4),ROW(),"-")</f>
        <v>-</v>
      </c>
    </row>
    <row r="30478" customHeight="1" spans="2:2">
      <c r="B30478" s="62" t="str">
        <f>IF(AND('领用录入（明细）'!D:D=$F$4,'领用录入（明细）'!C:C&gt;=$J$4,'领用录入（明细）'!C:C&lt;=$L$4),ROW(),"-")</f>
        <v>-</v>
      </c>
    </row>
    <row r="30479" customHeight="1" spans="2:2">
      <c r="B30479" s="62" t="str">
        <f>IF(AND('领用录入（明细）'!D:D=$F$4,'领用录入（明细）'!C:C&gt;=$J$4,'领用录入（明细）'!C:C&lt;=$L$4),ROW(),"-")</f>
        <v>-</v>
      </c>
    </row>
    <row r="30480" customHeight="1" spans="2:2">
      <c r="B30480" s="62" t="str">
        <f>IF(AND('领用录入（明细）'!D:D=$F$4,'领用录入（明细）'!C:C&gt;=$J$4,'领用录入（明细）'!C:C&lt;=$L$4),ROW(),"-")</f>
        <v>-</v>
      </c>
    </row>
    <row r="30481" customHeight="1" spans="2:2">
      <c r="B30481" s="62" t="str">
        <f>IF(AND('领用录入（明细）'!D:D=$F$4,'领用录入（明细）'!C:C&gt;=$J$4,'领用录入（明细）'!C:C&lt;=$L$4),ROW(),"-")</f>
        <v>-</v>
      </c>
    </row>
    <row r="30482" customHeight="1" spans="2:2">
      <c r="B30482" s="62" t="str">
        <f>IF(AND('领用录入（明细）'!D:D=$F$4,'领用录入（明细）'!C:C&gt;=$J$4,'领用录入（明细）'!C:C&lt;=$L$4),ROW(),"-")</f>
        <v>-</v>
      </c>
    </row>
    <row r="30483" customHeight="1" spans="2:2">
      <c r="B30483" s="62" t="str">
        <f>IF(AND('领用录入（明细）'!D:D=$F$4,'领用录入（明细）'!C:C&gt;=$J$4,'领用录入（明细）'!C:C&lt;=$L$4),ROW(),"-")</f>
        <v>-</v>
      </c>
    </row>
    <row r="30484" customHeight="1" spans="2:2">
      <c r="B30484" s="62" t="str">
        <f>IF(AND('领用录入（明细）'!D:D=$F$4,'领用录入（明细）'!C:C&gt;=$J$4,'领用录入（明细）'!C:C&lt;=$L$4),ROW(),"-")</f>
        <v>-</v>
      </c>
    </row>
    <row r="30485" customHeight="1" spans="2:2">
      <c r="B30485" s="62" t="str">
        <f>IF(AND('领用录入（明细）'!D:D=$F$4,'领用录入（明细）'!C:C&gt;=$J$4,'领用录入（明细）'!C:C&lt;=$L$4),ROW(),"-")</f>
        <v>-</v>
      </c>
    </row>
    <row r="30486" customHeight="1" spans="2:2">
      <c r="B30486" s="62" t="str">
        <f>IF(AND('领用录入（明细）'!D:D=$F$4,'领用录入（明细）'!C:C&gt;=$J$4,'领用录入（明细）'!C:C&lt;=$L$4),ROW(),"-")</f>
        <v>-</v>
      </c>
    </row>
    <row r="30487" customHeight="1" spans="2:2">
      <c r="B30487" s="62" t="str">
        <f>IF(AND('领用录入（明细）'!D:D=$F$4,'领用录入（明细）'!C:C&gt;=$J$4,'领用录入（明细）'!C:C&lt;=$L$4),ROW(),"-")</f>
        <v>-</v>
      </c>
    </row>
    <row r="30488" customHeight="1" spans="2:2">
      <c r="B30488" s="62" t="str">
        <f>IF(AND('领用录入（明细）'!D:D=$F$4,'领用录入（明细）'!C:C&gt;=$J$4,'领用录入（明细）'!C:C&lt;=$L$4),ROW(),"-")</f>
        <v>-</v>
      </c>
    </row>
    <row r="30489" customHeight="1" spans="2:2">
      <c r="B30489" s="62" t="str">
        <f>IF(AND('领用录入（明细）'!D:D=$F$4,'领用录入（明细）'!C:C&gt;=$J$4,'领用录入（明细）'!C:C&lt;=$L$4),ROW(),"-")</f>
        <v>-</v>
      </c>
    </row>
    <row r="30490" customHeight="1" spans="2:2">
      <c r="B30490" s="62" t="str">
        <f>IF(AND('领用录入（明细）'!D:D=$F$4,'领用录入（明细）'!C:C&gt;=$J$4,'领用录入（明细）'!C:C&lt;=$L$4),ROW(),"-")</f>
        <v>-</v>
      </c>
    </row>
    <row r="30491" customHeight="1" spans="2:2">
      <c r="B30491" s="62" t="str">
        <f>IF(AND('领用录入（明细）'!D:D=$F$4,'领用录入（明细）'!C:C&gt;=$J$4,'领用录入（明细）'!C:C&lt;=$L$4),ROW(),"-")</f>
        <v>-</v>
      </c>
    </row>
    <row r="30492" customHeight="1" spans="2:2">
      <c r="B30492" s="62" t="str">
        <f>IF(AND('领用录入（明细）'!D:D=$F$4,'领用录入（明细）'!C:C&gt;=$J$4,'领用录入（明细）'!C:C&lt;=$L$4),ROW(),"-")</f>
        <v>-</v>
      </c>
    </row>
    <row r="30493" customHeight="1" spans="2:2">
      <c r="B30493" s="62" t="str">
        <f>IF(AND('领用录入（明细）'!D:D=$F$4,'领用录入（明细）'!C:C&gt;=$J$4,'领用录入（明细）'!C:C&lt;=$L$4),ROW(),"-")</f>
        <v>-</v>
      </c>
    </row>
    <row r="30494" customHeight="1" spans="2:2">
      <c r="B30494" s="62" t="str">
        <f>IF(AND('领用录入（明细）'!D:D=$F$4,'领用录入（明细）'!C:C&gt;=$J$4,'领用录入（明细）'!C:C&lt;=$L$4),ROW(),"-")</f>
        <v>-</v>
      </c>
    </row>
    <row r="30495" customHeight="1" spans="2:2">
      <c r="B30495" s="62" t="str">
        <f>IF(AND('领用录入（明细）'!D:D=$F$4,'领用录入（明细）'!C:C&gt;=$J$4,'领用录入（明细）'!C:C&lt;=$L$4),ROW(),"-")</f>
        <v>-</v>
      </c>
    </row>
    <row r="30496" customHeight="1" spans="2:2">
      <c r="B30496" s="62" t="str">
        <f>IF(AND('领用录入（明细）'!D:D=$F$4,'领用录入（明细）'!C:C&gt;=$J$4,'领用录入（明细）'!C:C&lt;=$L$4),ROW(),"-")</f>
        <v>-</v>
      </c>
    </row>
    <row r="30497" customHeight="1" spans="2:2">
      <c r="B30497" s="62" t="str">
        <f>IF(AND('领用录入（明细）'!D:D=$F$4,'领用录入（明细）'!C:C&gt;=$J$4,'领用录入（明细）'!C:C&lt;=$L$4),ROW(),"-")</f>
        <v>-</v>
      </c>
    </row>
    <row r="30498" customHeight="1" spans="2:2">
      <c r="B30498" s="62" t="str">
        <f>IF(AND('领用录入（明细）'!D:D=$F$4,'领用录入（明细）'!C:C&gt;=$J$4,'领用录入（明细）'!C:C&lt;=$L$4),ROW(),"-")</f>
        <v>-</v>
      </c>
    </row>
    <row r="30499" customHeight="1" spans="2:2">
      <c r="B30499" s="62" t="str">
        <f>IF(AND('领用录入（明细）'!D:D=$F$4,'领用录入（明细）'!C:C&gt;=$J$4,'领用录入（明细）'!C:C&lt;=$L$4),ROW(),"-")</f>
        <v>-</v>
      </c>
    </row>
    <row r="30500" customHeight="1" spans="2:2">
      <c r="B30500" s="62" t="str">
        <f>IF(AND('领用录入（明细）'!D:D=$F$4,'领用录入（明细）'!C:C&gt;=$J$4,'领用录入（明细）'!C:C&lt;=$L$4),ROW(),"-")</f>
        <v>-</v>
      </c>
    </row>
    <row r="30501" customHeight="1" spans="2:2">
      <c r="B30501" s="62" t="str">
        <f>IF(AND('领用录入（明细）'!D:D=$F$4,'领用录入（明细）'!C:C&gt;=$J$4,'领用录入（明细）'!C:C&lt;=$L$4),ROW(),"-")</f>
        <v>-</v>
      </c>
    </row>
    <row r="30502" customHeight="1" spans="2:2">
      <c r="B30502" s="62" t="str">
        <f>IF(AND('领用录入（明细）'!D:D=$F$4,'领用录入（明细）'!C:C&gt;=$J$4,'领用录入（明细）'!C:C&lt;=$L$4),ROW(),"-")</f>
        <v>-</v>
      </c>
    </row>
    <row r="30503" customHeight="1" spans="2:2">
      <c r="B30503" s="62" t="str">
        <f>IF(AND('领用录入（明细）'!D:D=$F$4,'领用录入（明细）'!C:C&gt;=$J$4,'领用录入（明细）'!C:C&lt;=$L$4),ROW(),"-")</f>
        <v>-</v>
      </c>
    </row>
    <row r="30504" customHeight="1" spans="2:2">
      <c r="B30504" s="62" t="str">
        <f>IF(AND('领用录入（明细）'!D:D=$F$4,'领用录入（明细）'!C:C&gt;=$J$4,'领用录入（明细）'!C:C&lt;=$L$4),ROW(),"-")</f>
        <v>-</v>
      </c>
    </row>
    <row r="30505" customHeight="1" spans="2:2">
      <c r="B30505" s="62" t="str">
        <f>IF(AND('领用录入（明细）'!D:D=$F$4,'领用录入（明细）'!C:C&gt;=$J$4,'领用录入（明细）'!C:C&lt;=$L$4),ROW(),"-")</f>
        <v>-</v>
      </c>
    </row>
    <row r="30506" customHeight="1" spans="2:2">
      <c r="B30506" s="62" t="str">
        <f>IF(AND('领用录入（明细）'!D:D=$F$4,'领用录入（明细）'!C:C&gt;=$J$4,'领用录入（明细）'!C:C&lt;=$L$4),ROW(),"-")</f>
        <v>-</v>
      </c>
    </row>
    <row r="30507" customHeight="1" spans="2:2">
      <c r="B30507" s="62" t="str">
        <f>IF(AND('领用录入（明细）'!D:D=$F$4,'领用录入（明细）'!C:C&gt;=$J$4,'领用录入（明细）'!C:C&lt;=$L$4),ROW(),"-")</f>
        <v>-</v>
      </c>
    </row>
    <row r="30508" customHeight="1" spans="2:2">
      <c r="B30508" s="62" t="str">
        <f>IF(AND('领用录入（明细）'!D:D=$F$4,'领用录入（明细）'!C:C&gt;=$J$4,'领用录入（明细）'!C:C&lt;=$L$4),ROW(),"-")</f>
        <v>-</v>
      </c>
    </row>
    <row r="30509" customHeight="1" spans="2:2">
      <c r="B30509" s="62" t="str">
        <f>IF(AND('领用录入（明细）'!D:D=$F$4,'领用录入（明细）'!C:C&gt;=$J$4,'领用录入（明细）'!C:C&lt;=$L$4),ROW(),"-")</f>
        <v>-</v>
      </c>
    </row>
    <row r="30510" customHeight="1" spans="2:2">
      <c r="B30510" s="62" t="str">
        <f>IF(AND('领用录入（明细）'!D:D=$F$4,'领用录入（明细）'!C:C&gt;=$J$4,'领用录入（明细）'!C:C&lt;=$L$4),ROW(),"-")</f>
        <v>-</v>
      </c>
    </row>
    <row r="30511" customHeight="1" spans="2:2">
      <c r="B30511" s="62" t="str">
        <f>IF(AND('领用录入（明细）'!D:D=$F$4,'领用录入（明细）'!C:C&gt;=$J$4,'领用录入（明细）'!C:C&lt;=$L$4),ROW(),"-")</f>
        <v>-</v>
      </c>
    </row>
    <row r="30512" customHeight="1" spans="2:2">
      <c r="B30512" s="62" t="str">
        <f>IF(AND('领用录入（明细）'!D:D=$F$4,'领用录入（明细）'!C:C&gt;=$J$4,'领用录入（明细）'!C:C&lt;=$L$4),ROW(),"-")</f>
        <v>-</v>
      </c>
    </row>
    <row r="30513" customHeight="1" spans="2:2">
      <c r="B30513" s="62" t="str">
        <f>IF(AND('领用录入（明细）'!D:D=$F$4,'领用录入（明细）'!C:C&gt;=$J$4,'领用录入（明细）'!C:C&lt;=$L$4),ROW(),"-")</f>
        <v>-</v>
      </c>
    </row>
    <row r="30514" customHeight="1" spans="2:2">
      <c r="B30514" s="62" t="str">
        <f>IF(AND('领用录入（明细）'!D:D=$F$4,'领用录入（明细）'!C:C&gt;=$J$4,'领用录入（明细）'!C:C&lt;=$L$4),ROW(),"-")</f>
        <v>-</v>
      </c>
    </row>
    <row r="30515" customHeight="1" spans="2:2">
      <c r="B30515" s="62" t="str">
        <f>IF(AND('领用录入（明细）'!D:D=$F$4,'领用录入（明细）'!C:C&gt;=$J$4,'领用录入（明细）'!C:C&lt;=$L$4),ROW(),"-")</f>
        <v>-</v>
      </c>
    </row>
    <row r="30516" customHeight="1" spans="2:2">
      <c r="B30516" s="62" t="str">
        <f>IF(AND('领用录入（明细）'!D:D=$F$4,'领用录入（明细）'!C:C&gt;=$J$4,'领用录入（明细）'!C:C&lt;=$L$4),ROW(),"-")</f>
        <v>-</v>
      </c>
    </row>
    <row r="30517" customHeight="1" spans="2:2">
      <c r="B30517" s="62" t="str">
        <f>IF(AND('领用录入（明细）'!D:D=$F$4,'领用录入（明细）'!C:C&gt;=$J$4,'领用录入（明细）'!C:C&lt;=$L$4),ROW(),"-")</f>
        <v>-</v>
      </c>
    </row>
    <row r="30518" customHeight="1" spans="2:2">
      <c r="B30518" s="62" t="str">
        <f>IF(AND('领用录入（明细）'!D:D=$F$4,'领用录入（明细）'!C:C&gt;=$J$4,'领用录入（明细）'!C:C&lt;=$L$4),ROW(),"-")</f>
        <v>-</v>
      </c>
    </row>
    <row r="30519" customHeight="1" spans="2:2">
      <c r="B30519" s="62" t="str">
        <f>IF(AND('领用录入（明细）'!D:D=$F$4,'领用录入（明细）'!C:C&gt;=$J$4,'领用录入（明细）'!C:C&lt;=$L$4),ROW(),"-")</f>
        <v>-</v>
      </c>
    </row>
    <row r="30520" customHeight="1" spans="2:2">
      <c r="B30520" s="62" t="str">
        <f>IF(AND('领用录入（明细）'!D:D=$F$4,'领用录入（明细）'!C:C&gt;=$J$4,'领用录入（明细）'!C:C&lt;=$L$4),ROW(),"-")</f>
        <v>-</v>
      </c>
    </row>
    <row r="30521" customHeight="1" spans="2:2">
      <c r="B30521" s="62" t="str">
        <f>IF(AND('领用录入（明细）'!D:D=$F$4,'领用录入（明细）'!C:C&gt;=$J$4,'领用录入（明细）'!C:C&lt;=$L$4),ROW(),"-")</f>
        <v>-</v>
      </c>
    </row>
    <row r="30522" customHeight="1" spans="2:2">
      <c r="B30522" s="62" t="str">
        <f>IF(AND('领用录入（明细）'!D:D=$F$4,'领用录入（明细）'!C:C&gt;=$J$4,'领用录入（明细）'!C:C&lt;=$L$4),ROW(),"-")</f>
        <v>-</v>
      </c>
    </row>
    <row r="30523" customHeight="1" spans="2:2">
      <c r="B30523" s="62" t="str">
        <f>IF(AND('领用录入（明细）'!D:D=$F$4,'领用录入（明细）'!C:C&gt;=$J$4,'领用录入（明细）'!C:C&lt;=$L$4),ROW(),"-")</f>
        <v>-</v>
      </c>
    </row>
    <row r="30524" customHeight="1" spans="2:2">
      <c r="B30524" s="62" t="str">
        <f>IF(AND('领用录入（明细）'!D:D=$F$4,'领用录入（明细）'!C:C&gt;=$J$4,'领用录入（明细）'!C:C&lt;=$L$4),ROW(),"-")</f>
        <v>-</v>
      </c>
    </row>
    <row r="30525" customHeight="1" spans="2:2">
      <c r="B30525" s="62" t="str">
        <f>IF(AND('领用录入（明细）'!D:D=$F$4,'领用录入（明细）'!C:C&gt;=$J$4,'领用录入（明细）'!C:C&lt;=$L$4),ROW(),"-")</f>
        <v>-</v>
      </c>
    </row>
    <row r="30526" customHeight="1" spans="2:2">
      <c r="B30526" s="62" t="str">
        <f>IF(AND('领用录入（明细）'!D:D=$F$4,'领用录入（明细）'!C:C&gt;=$J$4,'领用录入（明细）'!C:C&lt;=$L$4),ROW(),"-")</f>
        <v>-</v>
      </c>
    </row>
    <row r="30527" customHeight="1" spans="2:2">
      <c r="B30527" s="62" t="str">
        <f>IF(AND('领用录入（明细）'!D:D=$F$4,'领用录入（明细）'!C:C&gt;=$J$4,'领用录入（明细）'!C:C&lt;=$L$4),ROW(),"-")</f>
        <v>-</v>
      </c>
    </row>
    <row r="30528" customHeight="1" spans="2:2">
      <c r="B30528" s="62" t="str">
        <f>IF(AND('领用录入（明细）'!D:D=$F$4,'领用录入（明细）'!C:C&gt;=$J$4,'领用录入（明细）'!C:C&lt;=$L$4),ROW(),"-")</f>
        <v>-</v>
      </c>
    </row>
    <row r="30529" customHeight="1" spans="2:2">
      <c r="B30529" s="62" t="str">
        <f>IF(AND('领用录入（明细）'!D:D=$F$4,'领用录入（明细）'!C:C&gt;=$J$4,'领用录入（明细）'!C:C&lt;=$L$4),ROW(),"-")</f>
        <v>-</v>
      </c>
    </row>
    <row r="30530" customHeight="1" spans="2:2">
      <c r="B30530" s="62" t="str">
        <f>IF(AND('领用录入（明细）'!D:D=$F$4,'领用录入（明细）'!C:C&gt;=$J$4,'领用录入（明细）'!C:C&lt;=$L$4),ROW(),"-")</f>
        <v>-</v>
      </c>
    </row>
    <row r="30531" customHeight="1" spans="2:2">
      <c r="B30531" s="62" t="str">
        <f>IF(AND('领用录入（明细）'!D:D=$F$4,'领用录入（明细）'!C:C&gt;=$J$4,'领用录入（明细）'!C:C&lt;=$L$4),ROW(),"-")</f>
        <v>-</v>
      </c>
    </row>
    <row r="30532" customHeight="1" spans="2:2">
      <c r="B30532" s="62" t="str">
        <f>IF(AND('领用录入（明细）'!D:D=$F$4,'领用录入（明细）'!C:C&gt;=$J$4,'领用录入（明细）'!C:C&lt;=$L$4),ROW(),"-")</f>
        <v>-</v>
      </c>
    </row>
    <row r="30533" customHeight="1" spans="2:2">
      <c r="B30533" s="62" t="str">
        <f>IF(AND('领用录入（明细）'!D:D=$F$4,'领用录入（明细）'!C:C&gt;=$J$4,'领用录入（明细）'!C:C&lt;=$L$4),ROW(),"-")</f>
        <v>-</v>
      </c>
    </row>
    <row r="30534" customHeight="1" spans="2:2">
      <c r="B30534" s="62" t="str">
        <f>IF(AND('领用录入（明细）'!D:D=$F$4,'领用录入（明细）'!C:C&gt;=$J$4,'领用录入（明细）'!C:C&lt;=$L$4),ROW(),"-")</f>
        <v>-</v>
      </c>
    </row>
    <row r="30535" customHeight="1" spans="2:2">
      <c r="B30535" s="62" t="str">
        <f>IF(AND('领用录入（明细）'!D:D=$F$4,'领用录入（明细）'!C:C&gt;=$J$4,'领用录入（明细）'!C:C&lt;=$L$4),ROW(),"-")</f>
        <v>-</v>
      </c>
    </row>
    <row r="30536" customHeight="1" spans="2:2">
      <c r="B30536" s="62" t="str">
        <f>IF(AND('领用录入（明细）'!D:D=$F$4,'领用录入（明细）'!C:C&gt;=$J$4,'领用录入（明细）'!C:C&lt;=$L$4),ROW(),"-")</f>
        <v>-</v>
      </c>
    </row>
    <row r="30537" customHeight="1" spans="2:2">
      <c r="B30537" s="62" t="str">
        <f>IF(AND('领用录入（明细）'!D:D=$F$4,'领用录入（明细）'!C:C&gt;=$J$4,'领用录入（明细）'!C:C&lt;=$L$4),ROW(),"-")</f>
        <v>-</v>
      </c>
    </row>
    <row r="30538" customHeight="1" spans="2:2">
      <c r="B30538" s="62" t="str">
        <f>IF(AND('领用录入（明细）'!D:D=$F$4,'领用录入（明细）'!C:C&gt;=$J$4,'领用录入（明细）'!C:C&lt;=$L$4),ROW(),"-")</f>
        <v>-</v>
      </c>
    </row>
    <row r="30539" customHeight="1" spans="2:2">
      <c r="B30539" s="62" t="str">
        <f>IF(AND('领用录入（明细）'!D:D=$F$4,'领用录入（明细）'!C:C&gt;=$J$4,'领用录入（明细）'!C:C&lt;=$L$4),ROW(),"-")</f>
        <v>-</v>
      </c>
    </row>
    <row r="30540" customHeight="1" spans="2:2">
      <c r="B30540" s="62" t="str">
        <f>IF(AND('领用录入（明细）'!D:D=$F$4,'领用录入（明细）'!C:C&gt;=$J$4,'领用录入（明细）'!C:C&lt;=$L$4),ROW(),"-")</f>
        <v>-</v>
      </c>
    </row>
    <row r="30541" customHeight="1" spans="2:2">
      <c r="B30541" s="62" t="str">
        <f>IF(AND('领用录入（明细）'!D:D=$F$4,'领用录入（明细）'!C:C&gt;=$J$4,'领用录入（明细）'!C:C&lt;=$L$4),ROW(),"-")</f>
        <v>-</v>
      </c>
    </row>
    <row r="30542" customHeight="1" spans="2:2">
      <c r="B30542" s="62" t="str">
        <f>IF(AND('领用录入（明细）'!D:D=$F$4,'领用录入（明细）'!C:C&gt;=$J$4,'领用录入（明细）'!C:C&lt;=$L$4),ROW(),"-")</f>
        <v>-</v>
      </c>
    </row>
    <row r="30543" customHeight="1" spans="2:2">
      <c r="B30543" s="62" t="str">
        <f>IF(AND('领用录入（明细）'!D:D=$F$4,'领用录入（明细）'!C:C&gt;=$J$4,'领用录入（明细）'!C:C&lt;=$L$4),ROW(),"-")</f>
        <v>-</v>
      </c>
    </row>
    <row r="30544" customHeight="1" spans="2:2">
      <c r="B30544" s="62" t="str">
        <f>IF(AND('领用录入（明细）'!D:D=$F$4,'领用录入（明细）'!C:C&gt;=$J$4,'领用录入（明细）'!C:C&lt;=$L$4),ROW(),"-")</f>
        <v>-</v>
      </c>
    </row>
    <row r="30545" customHeight="1" spans="2:2">
      <c r="B30545" s="62" t="str">
        <f>IF(AND('领用录入（明细）'!D:D=$F$4,'领用录入（明细）'!C:C&gt;=$J$4,'领用录入（明细）'!C:C&lt;=$L$4),ROW(),"-")</f>
        <v>-</v>
      </c>
    </row>
    <row r="30546" customHeight="1" spans="2:2">
      <c r="B30546" s="62" t="str">
        <f>IF(AND('领用录入（明细）'!D:D=$F$4,'领用录入（明细）'!C:C&gt;=$J$4,'领用录入（明细）'!C:C&lt;=$L$4),ROW(),"-")</f>
        <v>-</v>
      </c>
    </row>
    <row r="30547" customHeight="1" spans="2:2">
      <c r="B30547" s="62" t="str">
        <f>IF(AND('领用录入（明细）'!D:D=$F$4,'领用录入（明细）'!C:C&gt;=$J$4,'领用录入（明细）'!C:C&lt;=$L$4),ROW(),"-")</f>
        <v>-</v>
      </c>
    </row>
    <row r="30548" customHeight="1" spans="2:2">
      <c r="B30548" s="62" t="str">
        <f>IF(AND('领用录入（明细）'!D:D=$F$4,'领用录入（明细）'!C:C&gt;=$J$4,'领用录入（明细）'!C:C&lt;=$L$4),ROW(),"-")</f>
        <v>-</v>
      </c>
    </row>
    <row r="30549" customHeight="1" spans="2:2">
      <c r="B30549" s="62" t="str">
        <f>IF(AND('领用录入（明细）'!D:D=$F$4,'领用录入（明细）'!C:C&gt;=$J$4,'领用录入（明细）'!C:C&lt;=$L$4),ROW(),"-")</f>
        <v>-</v>
      </c>
    </row>
    <row r="30550" customHeight="1" spans="2:2">
      <c r="B30550" s="62" t="str">
        <f>IF(AND('领用录入（明细）'!D:D=$F$4,'领用录入（明细）'!C:C&gt;=$J$4,'领用录入（明细）'!C:C&lt;=$L$4),ROW(),"-")</f>
        <v>-</v>
      </c>
    </row>
    <row r="30551" customHeight="1" spans="2:2">
      <c r="B30551" s="62" t="str">
        <f>IF(AND('领用录入（明细）'!D:D=$F$4,'领用录入（明细）'!C:C&gt;=$J$4,'领用录入（明细）'!C:C&lt;=$L$4),ROW(),"-")</f>
        <v>-</v>
      </c>
    </row>
    <row r="30552" customHeight="1" spans="2:2">
      <c r="B30552" s="62" t="str">
        <f>IF(AND('领用录入（明细）'!D:D=$F$4,'领用录入（明细）'!C:C&gt;=$J$4,'领用录入（明细）'!C:C&lt;=$L$4),ROW(),"-")</f>
        <v>-</v>
      </c>
    </row>
    <row r="30553" customHeight="1" spans="2:2">
      <c r="B30553" s="62" t="str">
        <f>IF(AND('领用录入（明细）'!D:D=$F$4,'领用录入（明细）'!C:C&gt;=$J$4,'领用录入（明细）'!C:C&lt;=$L$4),ROW(),"-")</f>
        <v>-</v>
      </c>
    </row>
    <row r="30554" customHeight="1" spans="2:2">
      <c r="B30554" s="62" t="str">
        <f>IF(AND('领用录入（明细）'!D:D=$F$4,'领用录入（明细）'!C:C&gt;=$J$4,'领用录入（明细）'!C:C&lt;=$L$4),ROW(),"-")</f>
        <v>-</v>
      </c>
    </row>
    <row r="30555" customHeight="1" spans="2:2">
      <c r="B30555" s="62" t="str">
        <f>IF(AND('领用录入（明细）'!D:D=$F$4,'领用录入（明细）'!C:C&gt;=$J$4,'领用录入（明细）'!C:C&lt;=$L$4),ROW(),"-")</f>
        <v>-</v>
      </c>
    </row>
    <row r="30556" customHeight="1" spans="2:2">
      <c r="B30556" s="62" t="str">
        <f>IF(AND('领用录入（明细）'!D:D=$F$4,'领用录入（明细）'!C:C&gt;=$J$4,'领用录入（明细）'!C:C&lt;=$L$4),ROW(),"-")</f>
        <v>-</v>
      </c>
    </row>
    <row r="30557" customHeight="1" spans="2:2">
      <c r="B30557" s="62" t="str">
        <f>IF(AND('领用录入（明细）'!D:D=$F$4,'领用录入（明细）'!C:C&gt;=$J$4,'领用录入（明细）'!C:C&lt;=$L$4),ROW(),"-")</f>
        <v>-</v>
      </c>
    </row>
    <row r="30558" customHeight="1" spans="2:2">
      <c r="B30558" s="62" t="str">
        <f>IF(AND('领用录入（明细）'!D:D=$F$4,'领用录入（明细）'!C:C&gt;=$J$4,'领用录入（明细）'!C:C&lt;=$L$4),ROW(),"-")</f>
        <v>-</v>
      </c>
    </row>
    <row r="30559" customHeight="1" spans="2:2">
      <c r="B30559" s="62" t="str">
        <f>IF(AND('领用录入（明细）'!D:D=$F$4,'领用录入（明细）'!C:C&gt;=$J$4,'领用录入（明细）'!C:C&lt;=$L$4),ROW(),"-")</f>
        <v>-</v>
      </c>
    </row>
    <row r="30560" customHeight="1" spans="2:2">
      <c r="B30560" s="62" t="str">
        <f>IF(AND('领用录入（明细）'!D:D=$F$4,'领用录入（明细）'!C:C&gt;=$J$4,'领用录入（明细）'!C:C&lt;=$L$4),ROW(),"-")</f>
        <v>-</v>
      </c>
    </row>
    <row r="30561" customHeight="1" spans="2:2">
      <c r="B30561" s="62" t="str">
        <f>IF(AND('领用录入（明细）'!D:D=$F$4,'领用录入（明细）'!C:C&gt;=$J$4,'领用录入（明细）'!C:C&lt;=$L$4),ROW(),"-")</f>
        <v>-</v>
      </c>
    </row>
    <row r="30562" customHeight="1" spans="2:2">
      <c r="B30562" s="62" t="str">
        <f>IF(AND('领用录入（明细）'!D:D=$F$4,'领用录入（明细）'!C:C&gt;=$J$4,'领用录入（明细）'!C:C&lt;=$L$4),ROW(),"-")</f>
        <v>-</v>
      </c>
    </row>
    <row r="30563" customHeight="1" spans="2:2">
      <c r="B30563" s="62" t="str">
        <f>IF(AND('领用录入（明细）'!D:D=$F$4,'领用录入（明细）'!C:C&gt;=$J$4,'领用录入（明细）'!C:C&lt;=$L$4),ROW(),"-")</f>
        <v>-</v>
      </c>
    </row>
    <row r="30564" customHeight="1" spans="2:2">
      <c r="B30564" s="62" t="str">
        <f>IF(AND('领用录入（明细）'!D:D=$F$4,'领用录入（明细）'!C:C&gt;=$J$4,'领用录入（明细）'!C:C&lt;=$L$4),ROW(),"-")</f>
        <v>-</v>
      </c>
    </row>
    <row r="30565" customHeight="1" spans="2:2">
      <c r="B30565" s="62" t="str">
        <f>IF(AND('领用录入（明细）'!D:D=$F$4,'领用录入（明细）'!C:C&gt;=$J$4,'领用录入（明细）'!C:C&lt;=$L$4),ROW(),"-")</f>
        <v>-</v>
      </c>
    </row>
    <row r="30566" customHeight="1" spans="2:2">
      <c r="B30566" s="62" t="str">
        <f>IF(AND('领用录入（明细）'!D:D=$F$4,'领用录入（明细）'!C:C&gt;=$J$4,'领用录入（明细）'!C:C&lt;=$L$4),ROW(),"-")</f>
        <v>-</v>
      </c>
    </row>
    <row r="30567" customHeight="1" spans="2:2">
      <c r="B30567" s="62" t="str">
        <f>IF(AND('领用录入（明细）'!D:D=$F$4,'领用录入（明细）'!C:C&gt;=$J$4,'领用录入（明细）'!C:C&lt;=$L$4),ROW(),"-")</f>
        <v>-</v>
      </c>
    </row>
    <row r="30568" customHeight="1" spans="2:2">
      <c r="B30568" s="62" t="str">
        <f>IF(AND('领用录入（明细）'!D:D=$F$4,'领用录入（明细）'!C:C&gt;=$J$4,'领用录入（明细）'!C:C&lt;=$L$4),ROW(),"-")</f>
        <v>-</v>
      </c>
    </row>
    <row r="30569" customHeight="1" spans="2:2">
      <c r="B30569" s="62" t="str">
        <f>IF(AND('领用录入（明细）'!D:D=$F$4,'领用录入（明细）'!C:C&gt;=$J$4,'领用录入（明细）'!C:C&lt;=$L$4),ROW(),"-")</f>
        <v>-</v>
      </c>
    </row>
    <row r="30570" customHeight="1" spans="2:2">
      <c r="B30570" s="62" t="str">
        <f>IF(AND('领用录入（明细）'!D:D=$F$4,'领用录入（明细）'!C:C&gt;=$J$4,'领用录入（明细）'!C:C&lt;=$L$4),ROW(),"-")</f>
        <v>-</v>
      </c>
    </row>
    <row r="30571" customHeight="1" spans="2:2">
      <c r="B30571" s="62" t="str">
        <f>IF(AND('领用录入（明细）'!D:D=$F$4,'领用录入（明细）'!C:C&gt;=$J$4,'领用录入（明细）'!C:C&lt;=$L$4),ROW(),"-")</f>
        <v>-</v>
      </c>
    </row>
    <row r="30572" customHeight="1" spans="2:2">
      <c r="B30572" s="62" t="str">
        <f>IF(AND('领用录入（明细）'!D:D=$F$4,'领用录入（明细）'!C:C&gt;=$J$4,'领用录入（明细）'!C:C&lt;=$L$4),ROW(),"-")</f>
        <v>-</v>
      </c>
    </row>
    <row r="30573" customHeight="1" spans="2:2">
      <c r="B30573" s="62" t="str">
        <f>IF(AND('领用录入（明细）'!D:D=$F$4,'领用录入（明细）'!C:C&gt;=$J$4,'领用录入（明细）'!C:C&lt;=$L$4),ROW(),"-")</f>
        <v>-</v>
      </c>
    </row>
    <row r="30574" customHeight="1" spans="2:2">
      <c r="B30574" s="62" t="str">
        <f>IF(AND('领用录入（明细）'!D:D=$F$4,'领用录入（明细）'!C:C&gt;=$J$4,'领用录入（明细）'!C:C&lt;=$L$4),ROW(),"-")</f>
        <v>-</v>
      </c>
    </row>
    <row r="30575" customHeight="1" spans="2:2">
      <c r="B30575" s="62" t="str">
        <f>IF(AND('领用录入（明细）'!D:D=$F$4,'领用录入（明细）'!C:C&gt;=$J$4,'领用录入（明细）'!C:C&lt;=$L$4),ROW(),"-")</f>
        <v>-</v>
      </c>
    </row>
    <row r="30576" customHeight="1" spans="2:2">
      <c r="B30576" s="62" t="str">
        <f>IF(AND('领用录入（明细）'!D:D=$F$4,'领用录入（明细）'!C:C&gt;=$J$4,'领用录入（明细）'!C:C&lt;=$L$4),ROW(),"-")</f>
        <v>-</v>
      </c>
    </row>
    <row r="30577" customHeight="1" spans="2:2">
      <c r="B30577" s="62" t="str">
        <f>IF(AND('领用录入（明细）'!D:D=$F$4,'领用录入（明细）'!C:C&gt;=$J$4,'领用录入（明细）'!C:C&lt;=$L$4),ROW(),"-")</f>
        <v>-</v>
      </c>
    </row>
    <row r="30578" customHeight="1" spans="2:2">
      <c r="B30578" s="62" t="str">
        <f>IF(AND('领用录入（明细）'!D:D=$F$4,'领用录入（明细）'!C:C&gt;=$J$4,'领用录入（明细）'!C:C&lt;=$L$4),ROW(),"-")</f>
        <v>-</v>
      </c>
    </row>
    <row r="30579" customHeight="1" spans="2:2">
      <c r="B30579" s="62" t="str">
        <f>IF(AND('领用录入（明细）'!D:D=$F$4,'领用录入（明细）'!C:C&gt;=$J$4,'领用录入（明细）'!C:C&lt;=$L$4),ROW(),"-")</f>
        <v>-</v>
      </c>
    </row>
    <row r="30580" customHeight="1" spans="2:2">
      <c r="B30580" s="62" t="str">
        <f>IF(AND('领用录入（明细）'!D:D=$F$4,'领用录入（明细）'!C:C&gt;=$J$4,'领用录入（明细）'!C:C&lt;=$L$4),ROW(),"-")</f>
        <v>-</v>
      </c>
    </row>
    <row r="30581" customHeight="1" spans="2:2">
      <c r="B30581" s="62" t="str">
        <f>IF(AND('领用录入（明细）'!D:D=$F$4,'领用录入（明细）'!C:C&gt;=$J$4,'领用录入（明细）'!C:C&lt;=$L$4),ROW(),"-")</f>
        <v>-</v>
      </c>
    </row>
    <row r="30582" customHeight="1" spans="2:2">
      <c r="B30582" s="62" t="str">
        <f>IF(AND('领用录入（明细）'!D:D=$F$4,'领用录入（明细）'!C:C&gt;=$J$4,'领用录入（明细）'!C:C&lt;=$L$4),ROW(),"-")</f>
        <v>-</v>
      </c>
    </row>
    <row r="30583" customHeight="1" spans="2:2">
      <c r="B30583" s="62" t="str">
        <f>IF(AND('领用录入（明细）'!D:D=$F$4,'领用录入（明细）'!C:C&gt;=$J$4,'领用录入（明细）'!C:C&lt;=$L$4),ROW(),"-")</f>
        <v>-</v>
      </c>
    </row>
    <row r="30584" customHeight="1" spans="2:2">
      <c r="B30584" s="62" t="str">
        <f>IF(AND('领用录入（明细）'!D:D=$F$4,'领用录入（明细）'!C:C&gt;=$J$4,'领用录入（明细）'!C:C&lt;=$L$4),ROW(),"-")</f>
        <v>-</v>
      </c>
    </row>
    <row r="30585" customHeight="1" spans="2:2">
      <c r="B30585" s="62" t="str">
        <f>IF(AND('领用录入（明细）'!D:D=$F$4,'领用录入（明细）'!C:C&gt;=$J$4,'领用录入（明细）'!C:C&lt;=$L$4),ROW(),"-")</f>
        <v>-</v>
      </c>
    </row>
    <row r="30586" customHeight="1" spans="2:2">
      <c r="B30586" s="62" t="str">
        <f>IF(AND('领用录入（明细）'!D:D=$F$4,'领用录入（明细）'!C:C&gt;=$J$4,'领用录入（明细）'!C:C&lt;=$L$4),ROW(),"-")</f>
        <v>-</v>
      </c>
    </row>
    <row r="30587" customHeight="1" spans="2:2">
      <c r="B30587" s="62" t="str">
        <f>IF(AND('领用录入（明细）'!D:D=$F$4,'领用录入（明细）'!C:C&gt;=$J$4,'领用录入（明细）'!C:C&lt;=$L$4),ROW(),"-")</f>
        <v>-</v>
      </c>
    </row>
    <row r="30588" customHeight="1" spans="2:2">
      <c r="B30588" s="62" t="str">
        <f>IF(AND('领用录入（明细）'!D:D=$F$4,'领用录入（明细）'!C:C&gt;=$J$4,'领用录入（明细）'!C:C&lt;=$L$4),ROW(),"-")</f>
        <v>-</v>
      </c>
    </row>
    <row r="30589" customHeight="1" spans="2:2">
      <c r="B30589" s="62" t="str">
        <f>IF(AND('领用录入（明细）'!D:D=$F$4,'领用录入（明细）'!C:C&gt;=$J$4,'领用录入（明细）'!C:C&lt;=$L$4),ROW(),"-")</f>
        <v>-</v>
      </c>
    </row>
    <row r="30590" customHeight="1" spans="2:2">
      <c r="B30590" s="62" t="str">
        <f>IF(AND('领用录入（明细）'!D:D=$F$4,'领用录入（明细）'!C:C&gt;=$J$4,'领用录入（明细）'!C:C&lt;=$L$4),ROW(),"-")</f>
        <v>-</v>
      </c>
    </row>
    <row r="30591" customHeight="1" spans="2:2">
      <c r="B30591" s="62" t="str">
        <f>IF(AND('领用录入（明细）'!D:D=$F$4,'领用录入（明细）'!C:C&gt;=$J$4,'领用录入（明细）'!C:C&lt;=$L$4),ROW(),"-")</f>
        <v>-</v>
      </c>
    </row>
    <row r="30592" customHeight="1" spans="2:2">
      <c r="B30592" s="62" t="str">
        <f>IF(AND('领用录入（明细）'!D:D=$F$4,'领用录入（明细）'!C:C&gt;=$J$4,'领用录入（明细）'!C:C&lt;=$L$4),ROW(),"-")</f>
        <v>-</v>
      </c>
    </row>
    <row r="30593" customHeight="1" spans="2:2">
      <c r="B30593" s="62" t="str">
        <f>IF(AND('领用录入（明细）'!D:D=$F$4,'领用录入（明细）'!C:C&gt;=$J$4,'领用录入（明细）'!C:C&lt;=$L$4),ROW(),"-")</f>
        <v>-</v>
      </c>
    </row>
    <row r="30594" customHeight="1" spans="2:2">
      <c r="B30594" s="62" t="str">
        <f>IF(AND('领用录入（明细）'!D:D=$F$4,'领用录入（明细）'!C:C&gt;=$J$4,'领用录入（明细）'!C:C&lt;=$L$4),ROW(),"-")</f>
        <v>-</v>
      </c>
    </row>
    <row r="30595" customHeight="1" spans="2:2">
      <c r="B30595" s="62" t="str">
        <f>IF(AND('领用录入（明细）'!D:D=$F$4,'领用录入（明细）'!C:C&gt;=$J$4,'领用录入（明细）'!C:C&lt;=$L$4),ROW(),"-")</f>
        <v>-</v>
      </c>
    </row>
    <row r="30596" customHeight="1" spans="2:2">
      <c r="B30596" s="62" t="str">
        <f>IF(AND('领用录入（明细）'!D:D=$F$4,'领用录入（明细）'!C:C&gt;=$J$4,'领用录入（明细）'!C:C&lt;=$L$4),ROW(),"-")</f>
        <v>-</v>
      </c>
    </row>
    <row r="30597" customHeight="1" spans="2:2">
      <c r="B30597" s="62" t="str">
        <f>IF(AND('领用录入（明细）'!D:D=$F$4,'领用录入（明细）'!C:C&gt;=$J$4,'领用录入（明细）'!C:C&lt;=$L$4),ROW(),"-")</f>
        <v>-</v>
      </c>
    </row>
    <row r="30598" customHeight="1" spans="2:2">
      <c r="B30598" s="62" t="str">
        <f>IF(AND('领用录入（明细）'!D:D=$F$4,'领用录入（明细）'!C:C&gt;=$J$4,'领用录入（明细）'!C:C&lt;=$L$4),ROW(),"-")</f>
        <v>-</v>
      </c>
    </row>
    <row r="30599" customHeight="1" spans="2:2">
      <c r="B30599" s="62" t="str">
        <f>IF(AND('领用录入（明细）'!D:D=$F$4,'领用录入（明细）'!C:C&gt;=$J$4,'领用录入（明细）'!C:C&lt;=$L$4),ROW(),"-")</f>
        <v>-</v>
      </c>
    </row>
    <row r="30600" customHeight="1" spans="2:2">
      <c r="B30600" s="62" t="str">
        <f>IF(AND('领用录入（明细）'!D:D=$F$4,'领用录入（明细）'!C:C&gt;=$J$4,'领用录入（明细）'!C:C&lt;=$L$4),ROW(),"-")</f>
        <v>-</v>
      </c>
    </row>
    <row r="30601" customHeight="1" spans="2:2">
      <c r="B30601" s="62" t="str">
        <f>IF(AND('领用录入（明细）'!D:D=$F$4,'领用录入（明细）'!C:C&gt;=$J$4,'领用录入（明细）'!C:C&lt;=$L$4),ROW(),"-")</f>
        <v>-</v>
      </c>
    </row>
    <row r="30602" customHeight="1" spans="2:2">
      <c r="B30602" s="62" t="str">
        <f>IF(AND('领用录入（明细）'!D:D=$F$4,'领用录入（明细）'!C:C&gt;=$J$4,'领用录入（明细）'!C:C&lt;=$L$4),ROW(),"-")</f>
        <v>-</v>
      </c>
    </row>
    <row r="30603" customHeight="1" spans="2:2">
      <c r="B30603" s="62" t="str">
        <f>IF(AND('领用录入（明细）'!D:D=$F$4,'领用录入（明细）'!C:C&gt;=$J$4,'领用录入（明细）'!C:C&lt;=$L$4),ROW(),"-")</f>
        <v>-</v>
      </c>
    </row>
    <row r="30604" customHeight="1" spans="2:2">
      <c r="B30604" s="62" t="str">
        <f>IF(AND('领用录入（明细）'!D:D=$F$4,'领用录入（明细）'!C:C&gt;=$J$4,'领用录入（明细）'!C:C&lt;=$L$4),ROW(),"-")</f>
        <v>-</v>
      </c>
    </row>
    <row r="30605" customHeight="1" spans="2:2">
      <c r="B30605" s="62" t="str">
        <f>IF(AND('领用录入（明细）'!D:D=$F$4,'领用录入（明细）'!C:C&gt;=$J$4,'领用录入（明细）'!C:C&lt;=$L$4),ROW(),"-")</f>
        <v>-</v>
      </c>
    </row>
    <row r="30606" customHeight="1" spans="2:2">
      <c r="B30606" s="62" t="str">
        <f>IF(AND('领用录入（明细）'!D:D=$F$4,'领用录入（明细）'!C:C&gt;=$J$4,'领用录入（明细）'!C:C&lt;=$L$4),ROW(),"-")</f>
        <v>-</v>
      </c>
    </row>
    <row r="30607" customHeight="1" spans="2:2">
      <c r="B30607" s="62" t="str">
        <f>IF(AND('领用录入（明细）'!D:D=$F$4,'领用录入（明细）'!C:C&gt;=$J$4,'领用录入（明细）'!C:C&lt;=$L$4),ROW(),"-")</f>
        <v>-</v>
      </c>
    </row>
    <row r="30608" customHeight="1" spans="2:2">
      <c r="B30608" s="62" t="str">
        <f>IF(AND('领用录入（明细）'!D:D=$F$4,'领用录入（明细）'!C:C&gt;=$J$4,'领用录入（明细）'!C:C&lt;=$L$4),ROW(),"-")</f>
        <v>-</v>
      </c>
    </row>
    <row r="30609" customHeight="1" spans="2:2">
      <c r="B30609" s="62" t="str">
        <f>IF(AND('领用录入（明细）'!D:D=$F$4,'领用录入（明细）'!C:C&gt;=$J$4,'领用录入（明细）'!C:C&lt;=$L$4),ROW(),"-")</f>
        <v>-</v>
      </c>
    </row>
    <row r="30610" customHeight="1" spans="2:2">
      <c r="B30610" s="62" t="str">
        <f>IF(AND('领用录入（明细）'!D:D=$F$4,'领用录入（明细）'!C:C&gt;=$J$4,'领用录入（明细）'!C:C&lt;=$L$4),ROW(),"-")</f>
        <v>-</v>
      </c>
    </row>
    <row r="30611" customHeight="1" spans="2:2">
      <c r="B30611" s="62" t="str">
        <f>IF(AND('领用录入（明细）'!D:D=$F$4,'领用录入（明细）'!C:C&gt;=$J$4,'领用录入（明细）'!C:C&lt;=$L$4),ROW(),"-")</f>
        <v>-</v>
      </c>
    </row>
    <row r="30612" customHeight="1" spans="2:2">
      <c r="B30612" s="62" t="str">
        <f>IF(AND('领用录入（明细）'!D:D=$F$4,'领用录入（明细）'!C:C&gt;=$J$4,'领用录入（明细）'!C:C&lt;=$L$4),ROW(),"-")</f>
        <v>-</v>
      </c>
    </row>
    <row r="30613" customHeight="1" spans="2:2">
      <c r="B30613" s="62" t="str">
        <f>IF(AND('领用录入（明细）'!D:D=$F$4,'领用录入（明细）'!C:C&gt;=$J$4,'领用录入（明细）'!C:C&lt;=$L$4),ROW(),"-")</f>
        <v>-</v>
      </c>
    </row>
    <row r="30614" customHeight="1" spans="2:2">
      <c r="B30614" s="62" t="str">
        <f>IF(AND('领用录入（明细）'!D:D=$F$4,'领用录入（明细）'!C:C&gt;=$J$4,'领用录入（明细）'!C:C&lt;=$L$4),ROW(),"-")</f>
        <v>-</v>
      </c>
    </row>
    <row r="30615" customHeight="1" spans="2:2">
      <c r="B30615" s="62" t="str">
        <f>IF(AND('领用录入（明细）'!D:D=$F$4,'领用录入（明细）'!C:C&gt;=$J$4,'领用录入（明细）'!C:C&lt;=$L$4),ROW(),"-")</f>
        <v>-</v>
      </c>
    </row>
    <row r="30616" customHeight="1" spans="2:2">
      <c r="B30616" s="62" t="str">
        <f>IF(AND('领用录入（明细）'!D:D=$F$4,'领用录入（明细）'!C:C&gt;=$J$4,'领用录入（明细）'!C:C&lt;=$L$4),ROW(),"-")</f>
        <v>-</v>
      </c>
    </row>
    <row r="30617" customHeight="1" spans="2:2">
      <c r="B30617" s="62" t="str">
        <f>IF(AND('领用录入（明细）'!D:D=$F$4,'领用录入（明细）'!C:C&gt;=$J$4,'领用录入（明细）'!C:C&lt;=$L$4),ROW(),"-")</f>
        <v>-</v>
      </c>
    </row>
    <row r="30618" customHeight="1" spans="2:2">
      <c r="B30618" s="62" t="str">
        <f>IF(AND('领用录入（明细）'!D:D=$F$4,'领用录入（明细）'!C:C&gt;=$J$4,'领用录入（明细）'!C:C&lt;=$L$4),ROW(),"-")</f>
        <v>-</v>
      </c>
    </row>
    <row r="30619" customHeight="1" spans="2:2">
      <c r="B30619" s="62" t="str">
        <f>IF(AND('领用录入（明细）'!D:D=$F$4,'领用录入（明细）'!C:C&gt;=$J$4,'领用录入（明细）'!C:C&lt;=$L$4),ROW(),"-")</f>
        <v>-</v>
      </c>
    </row>
    <row r="30620" customHeight="1" spans="2:2">
      <c r="B30620" s="62" t="str">
        <f>IF(AND('领用录入（明细）'!D:D=$F$4,'领用录入（明细）'!C:C&gt;=$J$4,'领用录入（明细）'!C:C&lt;=$L$4),ROW(),"-")</f>
        <v>-</v>
      </c>
    </row>
    <row r="30621" customHeight="1" spans="2:2">
      <c r="B30621" s="62" t="str">
        <f>IF(AND('领用录入（明细）'!D:D=$F$4,'领用录入（明细）'!C:C&gt;=$J$4,'领用录入（明细）'!C:C&lt;=$L$4),ROW(),"-")</f>
        <v>-</v>
      </c>
    </row>
    <row r="30622" customHeight="1" spans="2:2">
      <c r="B30622" s="62" t="str">
        <f>IF(AND('领用录入（明细）'!D:D=$F$4,'领用录入（明细）'!C:C&gt;=$J$4,'领用录入（明细）'!C:C&lt;=$L$4),ROW(),"-")</f>
        <v>-</v>
      </c>
    </row>
    <row r="30623" customHeight="1" spans="2:2">
      <c r="B30623" s="62" t="str">
        <f>IF(AND('领用录入（明细）'!D:D=$F$4,'领用录入（明细）'!C:C&gt;=$J$4,'领用录入（明细）'!C:C&lt;=$L$4),ROW(),"-")</f>
        <v>-</v>
      </c>
    </row>
    <row r="30624" customHeight="1" spans="2:2">
      <c r="B30624" s="62" t="str">
        <f>IF(AND('领用录入（明细）'!D:D=$F$4,'领用录入（明细）'!C:C&gt;=$J$4,'领用录入（明细）'!C:C&lt;=$L$4),ROW(),"-")</f>
        <v>-</v>
      </c>
    </row>
    <row r="30625" customHeight="1" spans="2:2">
      <c r="B30625" s="62" t="str">
        <f>IF(AND('领用录入（明细）'!D:D=$F$4,'领用录入（明细）'!C:C&gt;=$J$4,'领用录入（明细）'!C:C&lt;=$L$4),ROW(),"-")</f>
        <v>-</v>
      </c>
    </row>
    <row r="30626" customHeight="1" spans="2:2">
      <c r="B30626" s="62" t="str">
        <f>IF(AND('领用录入（明细）'!D:D=$F$4,'领用录入（明细）'!C:C&gt;=$J$4,'领用录入（明细）'!C:C&lt;=$L$4),ROW(),"-")</f>
        <v>-</v>
      </c>
    </row>
    <row r="30627" customHeight="1" spans="2:2">
      <c r="B30627" s="62" t="str">
        <f>IF(AND('领用录入（明细）'!D:D=$F$4,'领用录入（明细）'!C:C&gt;=$J$4,'领用录入（明细）'!C:C&lt;=$L$4),ROW(),"-")</f>
        <v>-</v>
      </c>
    </row>
    <row r="30628" customHeight="1" spans="2:2">
      <c r="B30628" s="62" t="str">
        <f>IF(AND('领用录入（明细）'!D:D=$F$4,'领用录入（明细）'!C:C&gt;=$J$4,'领用录入（明细）'!C:C&lt;=$L$4),ROW(),"-")</f>
        <v>-</v>
      </c>
    </row>
    <row r="30629" customHeight="1" spans="2:2">
      <c r="B30629" s="62" t="str">
        <f>IF(AND('领用录入（明细）'!D:D=$F$4,'领用录入（明细）'!C:C&gt;=$J$4,'领用录入（明细）'!C:C&lt;=$L$4),ROW(),"-")</f>
        <v>-</v>
      </c>
    </row>
    <row r="30630" customHeight="1" spans="2:2">
      <c r="B30630" s="62" t="str">
        <f>IF(AND('领用录入（明细）'!D:D=$F$4,'领用录入（明细）'!C:C&gt;=$J$4,'领用录入（明细）'!C:C&lt;=$L$4),ROW(),"-")</f>
        <v>-</v>
      </c>
    </row>
    <row r="30631" customHeight="1" spans="2:2">
      <c r="B30631" s="62" t="str">
        <f>IF(AND('领用录入（明细）'!D:D=$F$4,'领用录入（明细）'!C:C&gt;=$J$4,'领用录入（明细）'!C:C&lt;=$L$4),ROW(),"-")</f>
        <v>-</v>
      </c>
    </row>
    <row r="30632" customHeight="1" spans="2:2">
      <c r="B30632" s="62" t="str">
        <f>IF(AND('领用录入（明细）'!D:D=$F$4,'领用录入（明细）'!C:C&gt;=$J$4,'领用录入（明细）'!C:C&lt;=$L$4),ROW(),"-")</f>
        <v>-</v>
      </c>
    </row>
    <row r="30633" customHeight="1" spans="2:2">
      <c r="B30633" s="62" t="str">
        <f>IF(AND('领用录入（明细）'!D:D=$F$4,'领用录入（明细）'!C:C&gt;=$J$4,'领用录入（明细）'!C:C&lt;=$L$4),ROW(),"-")</f>
        <v>-</v>
      </c>
    </row>
    <row r="30634" customHeight="1" spans="2:2">
      <c r="B30634" s="62" t="str">
        <f>IF(AND('领用录入（明细）'!D:D=$F$4,'领用录入（明细）'!C:C&gt;=$J$4,'领用录入（明细）'!C:C&lt;=$L$4),ROW(),"-")</f>
        <v>-</v>
      </c>
    </row>
    <row r="30635" customHeight="1" spans="2:2">
      <c r="B30635" s="62" t="str">
        <f>IF(AND('领用录入（明细）'!D:D=$F$4,'领用录入（明细）'!C:C&gt;=$J$4,'领用录入（明细）'!C:C&lt;=$L$4),ROW(),"-")</f>
        <v>-</v>
      </c>
    </row>
    <row r="30636" customHeight="1" spans="2:2">
      <c r="B30636" s="62" t="str">
        <f>IF(AND('领用录入（明细）'!D:D=$F$4,'领用录入（明细）'!C:C&gt;=$J$4,'领用录入（明细）'!C:C&lt;=$L$4),ROW(),"-")</f>
        <v>-</v>
      </c>
    </row>
    <row r="30637" customHeight="1" spans="2:2">
      <c r="B30637" s="62" t="str">
        <f>IF(AND('领用录入（明细）'!D:D=$F$4,'领用录入（明细）'!C:C&gt;=$J$4,'领用录入（明细）'!C:C&lt;=$L$4),ROW(),"-")</f>
        <v>-</v>
      </c>
    </row>
    <row r="30638" customHeight="1" spans="2:2">
      <c r="B30638" s="62" t="str">
        <f>IF(AND('领用录入（明细）'!D:D=$F$4,'领用录入（明细）'!C:C&gt;=$J$4,'领用录入（明细）'!C:C&lt;=$L$4),ROW(),"-")</f>
        <v>-</v>
      </c>
    </row>
    <row r="30639" customHeight="1" spans="2:2">
      <c r="B30639" s="62" t="str">
        <f>IF(AND('领用录入（明细）'!D:D=$F$4,'领用录入（明细）'!C:C&gt;=$J$4,'领用录入（明细）'!C:C&lt;=$L$4),ROW(),"-")</f>
        <v>-</v>
      </c>
    </row>
    <row r="30640" customHeight="1" spans="2:2">
      <c r="B30640" s="62" t="str">
        <f>IF(AND('领用录入（明细）'!D:D=$F$4,'领用录入（明细）'!C:C&gt;=$J$4,'领用录入（明细）'!C:C&lt;=$L$4),ROW(),"-")</f>
        <v>-</v>
      </c>
    </row>
    <row r="30641" customHeight="1" spans="2:2">
      <c r="B30641" s="62" t="str">
        <f>IF(AND('领用录入（明细）'!D:D=$F$4,'领用录入（明细）'!C:C&gt;=$J$4,'领用录入（明细）'!C:C&lt;=$L$4),ROW(),"-")</f>
        <v>-</v>
      </c>
    </row>
    <row r="30642" customHeight="1" spans="2:2">
      <c r="B30642" s="62" t="str">
        <f>IF(AND('领用录入（明细）'!D:D=$F$4,'领用录入（明细）'!C:C&gt;=$J$4,'领用录入（明细）'!C:C&lt;=$L$4),ROW(),"-")</f>
        <v>-</v>
      </c>
    </row>
    <row r="30643" customHeight="1" spans="2:2">
      <c r="B30643" s="62" t="str">
        <f>IF(AND('领用录入（明细）'!D:D=$F$4,'领用录入（明细）'!C:C&gt;=$J$4,'领用录入（明细）'!C:C&lt;=$L$4),ROW(),"-")</f>
        <v>-</v>
      </c>
    </row>
    <row r="30644" customHeight="1" spans="2:2">
      <c r="B30644" s="62" t="str">
        <f>IF(AND('领用录入（明细）'!D:D=$F$4,'领用录入（明细）'!C:C&gt;=$J$4,'领用录入（明细）'!C:C&lt;=$L$4),ROW(),"-")</f>
        <v>-</v>
      </c>
    </row>
    <row r="30645" customHeight="1" spans="2:2">
      <c r="B30645" s="62" t="str">
        <f>IF(AND('领用录入（明细）'!D:D=$F$4,'领用录入（明细）'!C:C&gt;=$J$4,'领用录入（明细）'!C:C&lt;=$L$4),ROW(),"-")</f>
        <v>-</v>
      </c>
    </row>
    <row r="30646" customHeight="1" spans="2:2">
      <c r="B30646" s="62" t="str">
        <f>IF(AND('领用录入（明细）'!D:D=$F$4,'领用录入（明细）'!C:C&gt;=$J$4,'领用录入（明细）'!C:C&lt;=$L$4),ROW(),"-")</f>
        <v>-</v>
      </c>
    </row>
    <row r="30647" customHeight="1" spans="2:2">
      <c r="B30647" s="62" t="str">
        <f>IF(AND('领用录入（明细）'!D:D=$F$4,'领用录入（明细）'!C:C&gt;=$J$4,'领用录入（明细）'!C:C&lt;=$L$4),ROW(),"-")</f>
        <v>-</v>
      </c>
    </row>
    <row r="30648" customHeight="1" spans="2:2">
      <c r="B30648" s="62" t="str">
        <f>IF(AND('领用录入（明细）'!D:D=$F$4,'领用录入（明细）'!C:C&gt;=$J$4,'领用录入（明细）'!C:C&lt;=$L$4),ROW(),"-")</f>
        <v>-</v>
      </c>
    </row>
    <row r="30649" customHeight="1" spans="2:2">
      <c r="B30649" s="62" t="str">
        <f>IF(AND('领用录入（明细）'!D:D=$F$4,'领用录入（明细）'!C:C&gt;=$J$4,'领用录入（明细）'!C:C&lt;=$L$4),ROW(),"-")</f>
        <v>-</v>
      </c>
    </row>
    <row r="30650" customHeight="1" spans="2:2">
      <c r="B30650" s="62" t="str">
        <f>IF(AND('领用录入（明细）'!D:D=$F$4,'领用录入（明细）'!C:C&gt;=$J$4,'领用录入（明细）'!C:C&lt;=$L$4),ROW(),"-")</f>
        <v>-</v>
      </c>
    </row>
    <row r="30651" customHeight="1" spans="2:2">
      <c r="B30651" s="62" t="str">
        <f>IF(AND('领用录入（明细）'!D:D=$F$4,'领用录入（明细）'!C:C&gt;=$J$4,'领用录入（明细）'!C:C&lt;=$L$4),ROW(),"-")</f>
        <v>-</v>
      </c>
    </row>
    <row r="30652" customHeight="1" spans="2:2">
      <c r="B30652" s="62" t="str">
        <f>IF(AND('领用录入（明细）'!D:D=$F$4,'领用录入（明细）'!C:C&gt;=$J$4,'领用录入（明细）'!C:C&lt;=$L$4),ROW(),"-")</f>
        <v>-</v>
      </c>
    </row>
    <row r="30653" customHeight="1" spans="2:2">
      <c r="B30653" s="62" t="str">
        <f>IF(AND('领用录入（明细）'!D:D=$F$4,'领用录入（明细）'!C:C&gt;=$J$4,'领用录入（明细）'!C:C&lt;=$L$4),ROW(),"-")</f>
        <v>-</v>
      </c>
    </row>
    <row r="30654" customHeight="1" spans="2:2">
      <c r="B30654" s="62" t="str">
        <f>IF(AND('领用录入（明细）'!D:D=$F$4,'领用录入（明细）'!C:C&gt;=$J$4,'领用录入（明细）'!C:C&lt;=$L$4),ROW(),"-")</f>
        <v>-</v>
      </c>
    </row>
    <row r="30655" customHeight="1" spans="2:2">
      <c r="B30655" s="62" t="str">
        <f>IF(AND('领用录入（明细）'!D:D=$F$4,'领用录入（明细）'!C:C&gt;=$J$4,'领用录入（明细）'!C:C&lt;=$L$4),ROW(),"-")</f>
        <v>-</v>
      </c>
    </row>
    <row r="30656" customHeight="1" spans="2:2">
      <c r="B30656" s="62" t="str">
        <f>IF(AND('领用录入（明细）'!D:D=$F$4,'领用录入（明细）'!C:C&gt;=$J$4,'领用录入（明细）'!C:C&lt;=$L$4),ROW(),"-")</f>
        <v>-</v>
      </c>
    </row>
    <row r="30657" customHeight="1" spans="2:2">
      <c r="B30657" s="62" t="str">
        <f>IF(AND('领用录入（明细）'!D:D=$F$4,'领用录入（明细）'!C:C&gt;=$J$4,'领用录入（明细）'!C:C&lt;=$L$4),ROW(),"-")</f>
        <v>-</v>
      </c>
    </row>
    <row r="30658" customHeight="1" spans="2:2">
      <c r="B30658" s="62" t="str">
        <f>IF(AND('领用录入（明细）'!D:D=$F$4,'领用录入（明细）'!C:C&gt;=$J$4,'领用录入（明细）'!C:C&lt;=$L$4),ROW(),"-")</f>
        <v>-</v>
      </c>
    </row>
    <row r="30659" customHeight="1" spans="2:2">
      <c r="B30659" s="62" t="str">
        <f>IF(AND('领用录入（明细）'!D:D=$F$4,'领用录入（明细）'!C:C&gt;=$J$4,'领用录入（明细）'!C:C&lt;=$L$4),ROW(),"-")</f>
        <v>-</v>
      </c>
    </row>
    <row r="30660" customHeight="1" spans="2:2">
      <c r="B30660" s="62" t="str">
        <f>IF(AND('领用录入（明细）'!D:D=$F$4,'领用录入（明细）'!C:C&gt;=$J$4,'领用录入（明细）'!C:C&lt;=$L$4),ROW(),"-")</f>
        <v>-</v>
      </c>
    </row>
    <row r="30661" customHeight="1" spans="2:2">
      <c r="B30661" s="62" t="str">
        <f>IF(AND('领用录入（明细）'!D:D=$F$4,'领用录入（明细）'!C:C&gt;=$J$4,'领用录入（明细）'!C:C&lt;=$L$4),ROW(),"-")</f>
        <v>-</v>
      </c>
    </row>
    <row r="30662" customHeight="1" spans="2:2">
      <c r="B30662" s="62" t="str">
        <f>IF(AND('领用录入（明细）'!D:D=$F$4,'领用录入（明细）'!C:C&gt;=$J$4,'领用录入（明细）'!C:C&lt;=$L$4),ROW(),"-")</f>
        <v>-</v>
      </c>
    </row>
    <row r="30663" customHeight="1" spans="2:2">
      <c r="B30663" s="62" t="str">
        <f>IF(AND('领用录入（明细）'!D:D=$F$4,'领用录入（明细）'!C:C&gt;=$J$4,'领用录入（明细）'!C:C&lt;=$L$4),ROW(),"-")</f>
        <v>-</v>
      </c>
    </row>
    <row r="30664" customHeight="1" spans="2:2">
      <c r="B30664" s="62" t="str">
        <f>IF(AND('领用录入（明细）'!D:D=$F$4,'领用录入（明细）'!C:C&gt;=$J$4,'领用录入（明细）'!C:C&lt;=$L$4),ROW(),"-")</f>
        <v>-</v>
      </c>
    </row>
    <row r="30665" customHeight="1" spans="2:2">
      <c r="B30665" s="62" t="str">
        <f>IF(AND('领用录入（明细）'!D:D=$F$4,'领用录入（明细）'!C:C&gt;=$J$4,'领用录入（明细）'!C:C&lt;=$L$4),ROW(),"-")</f>
        <v>-</v>
      </c>
    </row>
    <row r="30666" customHeight="1" spans="2:2">
      <c r="B30666" s="62" t="str">
        <f>IF(AND('领用录入（明细）'!D:D=$F$4,'领用录入（明细）'!C:C&gt;=$J$4,'领用录入（明细）'!C:C&lt;=$L$4),ROW(),"-")</f>
        <v>-</v>
      </c>
    </row>
    <row r="30667" customHeight="1" spans="2:2">
      <c r="B30667" s="62" t="str">
        <f>IF(AND('领用录入（明细）'!D:D=$F$4,'领用录入（明细）'!C:C&gt;=$J$4,'领用录入（明细）'!C:C&lt;=$L$4),ROW(),"-")</f>
        <v>-</v>
      </c>
    </row>
    <row r="30668" customHeight="1" spans="2:2">
      <c r="B30668" s="62" t="str">
        <f>IF(AND('领用录入（明细）'!D:D=$F$4,'领用录入（明细）'!C:C&gt;=$J$4,'领用录入（明细）'!C:C&lt;=$L$4),ROW(),"-")</f>
        <v>-</v>
      </c>
    </row>
    <row r="30669" customHeight="1" spans="2:2">
      <c r="B30669" s="62" t="str">
        <f>IF(AND('领用录入（明细）'!D:D=$F$4,'领用录入（明细）'!C:C&gt;=$J$4,'领用录入（明细）'!C:C&lt;=$L$4),ROW(),"-")</f>
        <v>-</v>
      </c>
    </row>
    <row r="30670" customHeight="1" spans="2:2">
      <c r="B30670" s="62" t="str">
        <f>IF(AND('领用录入（明细）'!D:D=$F$4,'领用录入（明细）'!C:C&gt;=$J$4,'领用录入（明细）'!C:C&lt;=$L$4),ROW(),"-")</f>
        <v>-</v>
      </c>
    </row>
    <row r="30671" customHeight="1" spans="2:2">
      <c r="B30671" s="62" t="str">
        <f>IF(AND('领用录入（明细）'!D:D=$F$4,'领用录入（明细）'!C:C&gt;=$J$4,'领用录入（明细）'!C:C&lt;=$L$4),ROW(),"-")</f>
        <v>-</v>
      </c>
    </row>
    <row r="30672" customHeight="1" spans="2:2">
      <c r="B30672" s="62" t="str">
        <f>IF(AND('领用录入（明细）'!D:D=$F$4,'领用录入（明细）'!C:C&gt;=$J$4,'领用录入（明细）'!C:C&lt;=$L$4),ROW(),"-")</f>
        <v>-</v>
      </c>
    </row>
    <row r="30673" customHeight="1" spans="2:2">
      <c r="B30673" s="62" t="str">
        <f>IF(AND('领用录入（明细）'!D:D=$F$4,'领用录入（明细）'!C:C&gt;=$J$4,'领用录入（明细）'!C:C&lt;=$L$4),ROW(),"-")</f>
        <v>-</v>
      </c>
    </row>
    <row r="30674" customHeight="1" spans="2:2">
      <c r="B30674" s="62" t="str">
        <f>IF(AND('领用录入（明细）'!D:D=$F$4,'领用录入（明细）'!C:C&gt;=$J$4,'领用录入（明细）'!C:C&lt;=$L$4),ROW(),"-")</f>
        <v>-</v>
      </c>
    </row>
    <row r="30675" customHeight="1" spans="2:2">
      <c r="B30675" s="62" t="str">
        <f>IF(AND('领用录入（明细）'!D:D=$F$4,'领用录入（明细）'!C:C&gt;=$J$4,'领用录入（明细）'!C:C&lt;=$L$4),ROW(),"-")</f>
        <v>-</v>
      </c>
    </row>
    <row r="30676" customHeight="1" spans="2:2">
      <c r="B30676" s="62" t="str">
        <f>IF(AND('领用录入（明细）'!D:D=$F$4,'领用录入（明细）'!C:C&gt;=$J$4,'领用录入（明细）'!C:C&lt;=$L$4),ROW(),"-")</f>
        <v>-</v>
      </c>
    </row>
    <row r="30677" customHeight="1" spans="2:2">
      <c r="B30677" s="62" t="str">
        <f>IF(AND('领用录入（明细）'!D:D=$F$4,'领用录入（明细）'!C:C&gt;=$J$4,'领用录入（明细）'!C:C&lt;=$L$4),ROW(),"-")</f>
        <v>-</v>
      </c>
    </row>
    <row r="30678" customHeight="1" spans="2:2">
      <c r="B30678" s="62" t="str">
        <f>IF(AND('领用录入（明细）'!D:D=$F$4,'领用录入（明细）'!C:C&gt;=$J$4,'领用录入（明细）'!C:C&lt;=$L$4),ROW(),"-")</f>
        <v>-</v>
      </c>
    </row>
    <row r="30679" customHeight="1" spans="2:2">
      <c r="B30679" s="62" t="str">
        <f>IF(AND('领用录入（明细）'!D:D=$F$4,'领用录入（明细）'!C:C&gt;=$J$4,'领用录入（明细）'!C:C&lt;=$L$4),ROW(),"-")</f>
        <v>-</v>
      </c>
    </row>
    <row r="30680" customHeight="1" spans="2:2">
      <c r="B30680" s="62" t="str">
        <f>IF(AND('领用录入（明细）'!D:D=$F$4,'领用录入（明细）'!C:C&gt;=$J$4,'领用录入（明细）'!C:C&lt;=$L$4),ROW(),"-")</f>
        <v>-</v>
      </c>
    </row>
    <row r="30681" customHeight="1" spans="2:2">
      <c r="B30681" s="62" t="str">
        <f>IF(AND('领用录入（明细）'!D:D=$F$4,'领用录入（明细）'!C:C&gt;=$J$4,'领用录入（明细）'!C:C&lt;=$L$4),ROW(),"-")</f>
        <v>-</v>
      </c>
    </row>
    <row r="30682" customHeight="1" spans="2:2">
      <c r="B30682" s="62" t="str">
        <f>IF(AND('领用录入（明细）'!D:D=$F$4,'领用录入（明细）'!C:C&gt;=$J$4,'领用录入（明细）'!C:C&lt;=$L$4),ROW(),"-")</f>
        <v>-</v>
      </c>
    </row>
    <row r="30683" customHeight="1" spans="2:2">
      <c r="B30683" s="62" t="str">
        <f>IF(AND('领用录入（明细）'!D:D=$F$4,'领用录入（明细）'!C:C&gt;=$J$4,'领用录入（明细）'!C:C&lt;=$L$4),ROW(),"-")</f>
        <v>-</v>
      </c>
    </row>
    <row r="30684" customHeight="1" spans="2:2">
      <c r="B30684" s="62" t="str">
        <f>IF(AND('领用录入（明细）'!D:D=$F$4,'领用录入（明细）'!C:C&gt;=$J$4,'领用录入（明细）'!C:C&lt;=$L$4),ROW(),"-")</f>
        <v>-</v>
      </c>
    </row>
    <row r="30685" customHeight="1" spans="2:2">
      <c r="B30685" s="62" t="str">
        <f>IF(AND('领用录入（明细）'!D:D=$F$4,'领用录入（明细）'!C:C&gt;=$J$4,'领用录入（明细）'!C:C&lt;=$L$4),ROW(),"-")</f>
        <v>-</v>
      </c>
    </row>
    <row r="30686" customHeight="1" spans="2:2">
      <c r="B30686" s="62" t="str">
        <f>IF(AND('领用录入（明细）'!D:D=$F$4,'领用录入（明细）'!C:C&gt;=$J$4,'领用录入（明细）'!C:C&lt;=$L$4),ROW(),"-")</f>
        <v>-</v>
      </c>
    </row>
    <row r="30687" customHeight="1" spans="2:2">
      <c r="B30687" s="62" t="str">
        <f>IF(AND('领用录入（明细）'!D:D=$F$4,'领用录入（明细）'!C:C&gt;=$J$4,'领用录入（明细）'!C:C&lt;=$L$4),ROW(),"-")</f>
        <v>-</v>
      </c>
    </row>
    <row r="30688" customHeight="1" spans="2:2">
      <c r="B30688" s="62" t="str">
        <f>IF(AND('领用录入（明细）'!D:D=$F$4,'领用录入（明细）'!C:C&gt;=$J$4,'领用录入（明细）'!C:C&lt;=$L$4),ROW(),"-")</f>
        <v>-</v>
      </c>
    </row>
    <row r="30689" customHeight="1" spans="2:2">
      <c r="B30689" s="62" t="str">
        <f>IF(AND('领用录入（明细）'!D:D=$F$4,'领用录入（明细）'!C:C&gt;=$J$4,'领用录入（明细）'!C:C&lt;=$L$4),ROW(),"-")</f>
        <v>-</v>
      </c>
    </row>
    <row r="30690" customHeight="1" spans="2:2">
      <c r="B30690" s="62" t="str">
        <f>IF(AND('领用录入（明细）'!D:D=$F$4,'领用录入（明细）'!C:C&gt;=$J$4,'领用录入（明细）'!C:C&lt;=$L$4),ROW(),"-")</f>
        <v>-</v>
      </c>
    </row>
    <row r="30691" customHeight="1" spans="2:2">
      <c r="B30691" s="62" t="str">
        <f>IF(AND('领用录入（明细）'!D:D=$F$4,'领用录入（明细）'!C:C&gt;=$J$4,'领用录入（明细）'!C:C&lt;=$L$4),ROW(),"-")</f>
        <v>-</v>
      </c>
    </row>
    <row r="30692" customHeight="1" spans="2:2">
      <c r="B30692" s="62" t="str">
        <f>IF(AND('领用录入（明细）'!D:D=$F$4,'领用录入（明细）'!C:C&gt;=$J$4,'领用录入（明细）'!C:C&lt;=$L$4),ROW(),"-")</f>
        <v>-</v>
      </c>
    </row>
    <row r="30693" customHeight="1" spans="2:2">
      <c r="B30693" s="62" t="str">
        <f>IF(AND('领用录入（明细）'!D:D=$F$4,'领用录入（明细）'!C:C&gt;=$J$4,'领用录入（明细）'!C:C&lt;=$L$4),ROW(),"-")</f>
        <v>-</v>
      </c>
    </row>
    <row r="30694" customHeight="1" spans="2:2">
      <c r="B30694" s="62" t="str">
        <f>IF(AND('领用录入（明细）'!D:D=$F$4,'领用录入（明细）'!C:C&gt;=$J$4,'领用录入（明细）'!C:C&lt;=$L$4),ROW(),"-")</f>
        <v>-</v>
      </c>
    </row>
    <row r="30695" customHeight="1" spans="2:2">
      <c r="B30695" s="62" t="str">
        <f>IF(AND('领用录入（明细）'!D:D=$F$4,'领用录入（明细）'!C:C&gt;=$J$4,'领用录入（明细）'!C:C&lt;=$L$4),ROW(),"-")</f>
        <v>-</v>
      </c>
    </row>
    <row r="30696" customHeight="1" spans="2:2">
      <c r="B30696" s="62" t="str">
        <f>IF(AND('领用录入（明细）'!D:D=$F$4,'领用录入（明细）'!C:C&gt;=$J$4,'领用录入（明细）'!C:C&lt;=$L$4),ROW(),"-")</f>
        <v>-</v>
      </c>
    </row>
    <row r="30697" customHeight="1" spans="2:2">
      <c r="B30697" s="62" t="str">
        <f>IF(AND('领用录入（明细）'!D:D=$F$4,'领用录入（明细）'!C:C&gt;=$J$4,'领用录入（明细）'!C:C&lt;=$L$4),ROW(),"-")</f>
        <v>-</v>
      </c>
    </row>
    <row r="30698" customHeight="1" spans="2:2">
      <c r="B30698" s="62" t="str">
        <f>IF(AND('领用录入（明细）'!D:D=$F$4,'领用录入（明细）'!C:C&gt;=$J$4,'领用录入（明细）'!C:C&lt;=$L$4),ROW(),"-")</f>
        <v>-</v>
      </c>
    </row>
    <row r="30699" customHeight="1" spans="2:2">
      <c r="B30699" s="62" t="str">
        <f>IF(AND('领用录入（明细）'!D:D=$F$4,'领用录入（明细）'!C:C&gt;=$J$4,'领用录入（明细）'!C:C&lt;=$L$4),ROW(),"-")</f>
        <v>-</v>
      </c>
    </row>
    <row r="30700" customHeight="1" spans="2:2">
      <c r="B30700" s="62" t="str">
        <f>IF(AND('领用录入（明细）'!D:D=$F$4,'领用录入（明细）'!C:C&gt;=$J$4,'领用录入（明细）'!C:C&lt;=$L$4),ROW(),"-")</f>
        <v>-</v>
      </c>
    </row>
    <row r="30701" customHeight="1" spans="2:2">
      <c r="B30701" s="62" t="str">
        <f>IF(AND('领用录入（明细）'!D:D=$F$4,'领用录入（明细）'!C:C&gt;=$J$4,'领用录入（明细）'!C:C&lt;=$L$4),ROW(),"-")</f>
        <v>-</v>
      </c>
    </row>
    <row r="30702" customHeight="1" spans="2:2">
      <c r="B30702" s="62" t="str">
        <f>IF(AND('领用录入（明细）'!D:D=$F$4,'领用录入（明细）'!C:C&gt;=$J$4,'领用录入（明细）'!C:C&lt;=$L$4),ROW(),"-")</f>
        <v>-</v>
      </c>
    </row>
    <row r="30703" customHeight="1" spans="2:2">
      <c r="B30703" s="62" t="str">
        <f>IF(AND('领用录入（明细）'!D:D=$F$4,'领用录入（明细）'!C:C&gt;=$J$4,'领用录入（明细）'!C:C&lt;=$L$4),ROW(),"-")</f>
        <v>-</v>
      </c>
    </row>
    <row r="30704" customHeight="1" spans="2:2">
      <c r="B30704" s="62" t="str">
        <f>IF(AND('领用录入（明细）'!D:D=$F$4,'领用录入（明细）'!C:C&gt;=$J$4,'领用录入（明细）'!C:C&lt;=$L$4),ROW(),"-")</f>
        <v>-</v>
      </c>
    </row>
    <row r="30705" customHeight="1" spans="2:2">
      <c r="B30705" s="62" t="str">
        <f>IF(AND('领用录入（明细）'!D:D=$F$4,'领用录入（明细）'!C:C&gt;=$J$4,'领用录入（明细）'!C:C&lt;=$L$4),ROW(),"-")</f>
        <v>-</v>
      </c>
    </row>
    <row r="30706" customHeight="1" spans="2:2">
      <c r="B30706" s="62" t="str">
        <f>IF(AND('领用录入（明细）'!D:D=$F$4,'领用录入（明细）'!C:C&gt;=$J$4,'领用录入（明细）'!C:C&lt;=$L$4),ROW(),"-")</f>
        <v>-</v>
      </c>
    </row>
    <row r="30707" customHeight="1" spans="2:2">
      <c r="B30707" s="62" t="str">
        <f>IF(AND('领用录入（明细）'!D:D=$F$4,'领用录入（明细）'!C:C&gt;=$J$4,'领用录入（明细）'!C:C&lt;=$L$4),ROW(),"-")</f>
        <v>-</v>
      </c>
    </row>
    <row r="30708" customHeight="1" spans="2:2">
      <c r="B30708" s="62" t="str">
        <f>IF(AND('领用录入（明细）'!D:D=$F$4,'领用录入（明细）'!C:C&gt;=$J$4,'领用录入（明细）'!C:C&lt;=$L$4),ROW(),"-")</f>
        <v>-</v>
      </c>
    </row>
    <row r="30709" customHeight="1" spans="2:2">
      <c r="B30709" s="62" t="str">
        <f>IF(AND('领用录入（明细）'!D:D=$F$4,'领用录入（明细）'!C:C&gt;=$J$4,'领用录入（明细）'!C:C&lt;=$L$4),ROW(),"-")</f>
        <v>-</v>
      </c>
    </row>
    <row r="30710" customHeight="1" spans="2:2">
      <c r="B30710" s="62" t="str">
        <f>IF(AND('领用录入（明细）'!D:D=$F$4,'领用录入（明细）'!C:C&gt;=$J$4,'领用录入（明细）'!C:C&lt;=$L$4),ROW(),"-")</f>
        <v>-</v>
      </c>
    </row>
    <row r="30711" customHeight="1" spans="2:2">
      <c r="B30711" s="62" t="str">
        <f>IF(AND('领用录入（明细）'!D:D=$F$4,'领用录入（明细）'!C:C&gt;=$J$4,'领用录入（明细）'!C:C&lt;=$L$4),ROW(),"-")</f>
        <v>-</v>
      </c>
    </row>
    <row r="30712" customHeight="1" spans="2:2">
      <c r="B30712" s="62" t="str">
        <f>IF(AND('领用录入（明细）'!D:D=$F$4,'领用录入（明细）'!C:C&gt;=$J$4,'领用录入（明细）'!C:C&lt;=$L$4),ROW(),"-")</f>
        <v>-</v>
      </c>
    </row>
    <row r="30713" customHeight="1" spans="2:2">
      <c r="B30713" s="62" t="str">
        <f>IF(AND('领用录入（明细）'!D:D=$F$4,'领用录入（明细）'!C:C&gt;=$J$4,'领用录入（明细）'!C:C&lt;=$L$4),ROW(),"-")</f>
        <v>-</v>
      </c>
    </row>
    <row r="30714" customHeight="1" spans="2:2">
      <c r="B30714" s="62" t="str">
        <f>IF(AND('领用录入（明细）'!D:D=$F$4,'领用录入（明细）'!C:C&gt;=$J$4,'领用录入（明细）'!C:C&lt;=$L$4),ROW(),"-")</f>
        <v>-</v>
      </c>
    </row>
    <row r="30715" customHeight="1" spans="2:2">
      <c r="B30715" s="62" t="str">
        <f>IF(AND('领用录入（明细）'!D:D=$F$4,'领用录入（明细）'!C:C&gt;=$J$4,'领用录入（明细）'!C:C&lt;=$L$4),ROW(),"-")</f>
        <v>-</v>
      </c>
    </row>
    <row r="30716" customHeight="1" spans="2:2">
      <c r="B30716" s="62" t="str">
        <f>IF(AND('领用录入（明细）'!D:D=$F$4,'领用录入（明细）'!C:C&gt;=$J$4,'领用录入（明细）'!C:C&lt;=$L$4),ROW(),"-")</f>
        <v>-</v>
      </c>
    </row>
    <row r="30717" customHeight="1" spans="2:2">
      <c r="B30717" s="62" t="str">
        <f>IF(AND('领用录入（明细）'!D:D=$F$4,'领用录入（明细）'!C:C&gt;=$J$4,'领用录入（明细）'!C:C&lt;=$L$4),ROW(),"-")</f>
        <v>-</v>
      </c>
    </row>
    <row r="30718" customHeight="1" spans="2:2">
      <c r="B30718" s="62" t="str">
        <f>IF(AND('领用录入（明细）'!D:D=$F$4,'领用录入（明细）'!C:C&gt;=$J$4,'领用录入（明细）'!C:C&lt;=$L$4),ROW(),"-")</f>
        <v>-</v>
      </c>
    </row>
    <row r="30719" customHeight="1" spans="2:2">
      <c r="B30719" s="62" t="str">
        <f>IF(AND('领用录入（明细）'!D:D=$F$4,'领用录入（明细）'!C:C&gt;=$J$4,'领用录入（明细）'!C:C&lt;=$L$4),ROW(),"-")</f>
        <v>-</v>
      </c>
    </row>
    <row r="30720" customHeight="1" spans="2:2">
      <c r="B30720" s="62" t="str">
        <f>IF(AND('领用录入（明细）'!D:D=$F$4,'领用录入（明细）'!C:C&gt;=$J$4,'领用录入（明细）'!C:C&lt;=$L$4),ROW(),"-")</f>
        <v>-</v>
      </c>
    </row>
    <row r="30721" customHeight="1" spans="2:2">
      <c r="B30721" s="62" t="str">
        <f>IF(AND('领用录入（明细）'!D:D=$F$4,'领用录入（明细）'!C:C&gt;=$J$4,'领用录入（明细）'!C:C&lt;=$L$4),ROW(),"-")</f>
        <v>-</v>
      </c>
    </row>
    <row r="30722" customHeight="1" spans="2:2">
      <c r="B30722" s="62" t="str">
        <f>IF(AND('领用录入（明细）'!D:D=$F$4,'领用录入（明细）'!C:C&gt;=$J$4,'领用录入（明细）'!C:C&lt;=$L$4),ROW(),"-")</f>
        <v>-</v>
      </c>
    </row>
    <row r="30723" customHeight="1" spans="2:2">
      <c r="B30723" s="62" t="str">
        <f>IF(AND('领用录入（明细）'!D:D=$F$4,'领用录入（明细）'!C:C&gt;=$J$4,'领用录入（明细）'!C:C&lt;=$L$4),ROW(),"-")</f>
        <v>-</v>
      </c>
    </row>
    <row r="30724" customHeight="1" spans="2:2">
      <c r="B30724" s="62" t="str">
        <f>IF(AND('领用录入（明细）'!D:D=$F$4,'领用录入（明细）'!C:C&gt;=$J$4,'领用录入（明细）'!C:C&lt;=$L$4),ROW(),"-")</f>
        <v>-</v>
      </c>
    </row>
    <row r="30725" customHeight="1" spans="2:2">
      <c r="B30725" s="62" t="str">
        <f>IF(AND('领用录入（明细）'!D:D=$F$4,'领用录入（明细）'!C:C&gt;=$J$4,'领用录入（明细）'!C:C&lt;=$L$4),ROW(),"-")</f>
        <v>-</v>
      </c>
    </row>
    <row r="30726" customHeight="1" spans="2:2">
      <c r="B30726" s="62" t="str">
        <f>IF(AND('领用录入（明细）'!D:D=$F$4,'领用录入（明细）'!C:C&gt;=$J$4,'领用录入（明细）'!C:C&lt;=$L$4),ROW(),"-")</f>
        <v>-</v>
      </c>
    </row>
    <row r="30727" customHeight="1" spans="2:2">
      <c r="B30727" s="62" t="str">
        <f>IF(AND('领用录入（明细）'!D:D=$F$4,'领用录入（明细）'!C:C&gt;=$J$4,'领用录入（明细）'!C:C&lt;=$L$4),ROW(),"-")</f>
        <v>-</v>
      </c>
    </row>
    <row r="30728" customHeight="1" spans="2:2">
      <c r="B30728" s="62" t="str">
        <f>IF(AND('领用录入（明细）'!D:D=$F$4,'领用录入（明细）'!C:C&gt;=$J$4,'领用录入（明细）'!C:C&lt;=$L$4),ROW(),"-")</f>
        <v>-</v>
      </c>
    </row>
    <row r="30729" customHeight="1" spans="2:2">
      <c r="B30729" s="62" t="str">
        <f>IF(AND('领用录入（明细）'!D:D=$F$4,'领用录入（明细）'!C:C&gt;=$J$4,'领用录入（明细）'!C:C&lt;=$L$4),ROW(),"-")</f>
        <v>-</v>
      </c>
    </row>
    <row r="30730" customHeight="1" spans="2:2">
      <c r="B30730" s="62" t="str">
        <f>IF(AND('领用录入（明细）'!D:D=$F$4,'领用录入（明细）'!C:C&gt;=$J$4,'领用录入（明细）'!C:C&lt;=$L$4),ROW(),"-")</f>
        <v>-</v>
      </c>
    </row>
    <row r="30731" customHeight="1" spans="2:2">
      <c r="B30731" s="62" t="str">
        <f>IF(AND('领用录入（明细）'!D:D=$F$4,'领用录入（明细）'!C:C&gt;=$J$4,'领用录入（明细）'!C:C&lt;=$L$4),ROW(),"-")</f>
        <v>-</v>
      </c>
    </row>
    <row r="30732" customHeight="1" spans="2:2">
      <c r="B30732" s="62" t="str">
        <f>IF(AND('领用录入（明细）'!D:D=$F$4,'领用录入（明细）'!C:C&gt;=$J$4,'领用录入（明细）'!C:C&lt;=$L$4),ROW(),"-")</f>
        <v>-</v>
      </c>
    </row>
    <row r="30733" customHeight="1" spans="2:2">
      <c r="B30733" s="62" t="str">
        <f>IF(AND('领用录入（明细）'!D:D=$F$4,'领用录入（明细）'!C:C&gt;=$J$4,'领用录入（明细）'!C:C&lt;=$L$4),ROW(),"-")</f>
        <v>-</v>
      </c>
    </row>
    <row r="30734" customHeight="1" spans="2:2">
      <c r="B30734" s="62" t="str">
        <f>IF(AND('领用录入（明细）'!D:D=$F$4,'领用录入（明细）'!C:C&gt;=$J$4,'领用录入（明细）'!C:C&lt;=$L$4),ROW(),"-")</f>
        <v>-</v>
      </c>
    </row>
    <row r="30735" customHeight="1" spans="2:2">
      <c r="B30735" s="62" t="str">
        <f>IF(AND('领用录入（明细）'!D:D=$F$4,'领用录入（明细）'!C:C&gt;=$J$4,'领用录入（明细）'!C:C&lt;=$L$4),ROW(),"-")</f>
        <v>-</v>
      </c>
    </row>
    <row r="30736" customHeight="1" spans="2:2">
      <c r="B30736" s="62" t="str">
        <f>IF(AND('领用录入（明细）'!D:D=$F$4,'领用录入（明细）'!C:C&gt;=$J$4,'领用录入（明细）'!C:C&lt;=$L$4),ROW(),"-")</f>
        <v>-</v>
      </c>
    </row>
    <row r="30737" customHeight="1" spans="2:2">
      <c r="B30737" s="62" t="str">
        <f>IF(AND('领用录入（明细）'!D:D=$F$4,'领用录入（明细）'!C:C&gt;=$J$4,'领用录入（明细）'!C:C&lt;=$L$4),ROW(),"-")</f>
        <v>-</v>
      </c>
    </row>
    <row r="30738" customHeight="1" spans="2:2">
      <c r="B30738" s="62" t="str">
        <f>IF(AND('领用录入（明细）'!D:D=$F$4,'领用录入（明细）'!C:C&gt;=$J$4,'领用录入（明细）'!C:C&lt;=$L$4),ROW(),"-")</f>
        <v>-</v>
      </c>
    </row>
    <row r="30739" customHeight="1" spans="2:2">
      <c r="B30739" s="62" t="str">
        <f>IF(AND('领用录入（明细）'!D:D=$F$4,'领用录入（明细）'!C:C&gt;=$J$4,'领用录入（明细）'!C:C&lt;=$L$4),ROW(),"-")</f>
        <v>-</v>
      </c>
    </row>
    <row r="30740" customHeight="1" spans="2:2">
      <c r="B30740" s="62" t="str">
        <f>IF(AND('领用录入（明细）'!D:D=$F$4,'领用录入（明细）'!C:C&gt;=$J$4,'领用录入（明细）'!C:C&lt;=$L$4),ROW(),"-")</f>
        <v>-</v>
      </c>
    </row>
    <row r="30741" customHeight="1" spans="2:2">
      <c r="B30741" s="62" t="str">
        <f>IF(AND('领用录入（明细）'!D:D=$F$4,'领用录入（明细）'!C:C&gt;=$J$4,'领用录入（明细）'!C:C&lt;=$L$4),ROW(),"-")</f>
        <v>-</v>
      </c>
    </row>
    <row r="30742" customHeight="1" spans="2:2">
      <c r="B30742" s="62" t="str">
        <f>IF(AND('领用录入（明细）'!D:D=$F$4,'领用录入（明细）'!C:C&gt;=$J$4,'领用录入（明细）'!C:C&lt;=$L$4),ROW(),"-")</f>
        <v>-</v>
      </c>
    </row>
    <row r="30743" customHeight="1" spans="2:2">
      <c r="B30743" s="62" t="str">
        <f>IF(AND('领用录入（明细）'!D:D=$F$4,'领用录入（明细）'!C:C&gt;=$J$4,'领用录入（明细）'!C:C&lt;=$L$4),ROW(),"-")</f>
        <v>-</v>
      </c>
    </row>
    <row r="30744" customHeight="1" spans="2:2">
      <c r="B30744" s="62" t="str">
        <f>IF(AND('领用录入（明细）'!D:D=$F$4,'领用录入（明细）'!C:C&gt;=$J$4,'领用录入（明细）'!C:C&lt;=$L$4),ROW(),"-")</f>
        <v>-</v>
      </c>
    </row>
    <row r="30745" customHeight="1" spans="2:2">
      <c r="B30745" s="62" t="str">
        <f>IF(AND('领用录入（明细）'!D:D=$F$4,'领用录入（明细）'!C:C&gt;=$J$4,'领用录入（明细）'!C:C&lt;=$L$4),ROW(),"-")</f>
        <v>-</v>
      </c>
    </row>
    <row r="30746" customHeight="1" spans="2:2">
      <c r="B30746" s="62" t="str">
        <f>IF(AND('领用录入（明细）'!D:D=$F$4,'领用录入（明细）'!C:C&gt;=$J$4,'领用录入（明细）'!C:C&lt;=$L$4),ROW(),"-")</f>
        <v>-</v>
      </c>
    </row>
    <row r="30747" customHeight="1" spans="2:2">
      <c r="B30747" s="62" t="str">
        <f>IF(AND('领用录入（明细）'!D:D=$F$4,'领用录入（明细）'!C:C&gt;=$J$4,'领用录入（明细）'!C:C&lt;=$L$4),ROW(),"-")</f>
        <v>-</v>
      </c>
    </row>
    <row r="30748" customHeight="1" spans="2:2">
      <c r="B30748" s="62" t="str">
        <f>IF(AND('领用录入（明细）'!D:D=$F$4,'领用录入（明细）'!C:C&gt;=$J$4,'领用录入（明细）'!C:C&lt;=$L$4),ROW(),"-")</f>
        <v>-</v>
      </c>
    </row>
    <row r="30749" customHeight="1" spans="2:2">
      <c r="B30749" s="62" t="str">
        <f>IF(AND('领用录入（明细）'!D:D=$F$4,'领用录入（明细）'!C:C&gt;=$J$4,'领用录入（明细）'!C:C&lt;=$L$4),ROW(),"-")</f>
        <v>-</v>
      </c>
    </row>
    <row r="30750" customHeight="1" spans="2:2">
      <c r="B30750" s="62" t="str">
        <f>IF(AND('领用录入（明细）'!D:D=$F$4,'领用录入（明细）'!C:C&gt;=$J$4,'领用录入（明细）'!C:C&lt;=$L$4),ROW(),"-")</f>
        <v>-</v>
      </c>
    </row>
    <row r="30751" customHeight="1" spans="2:2">
      <c r="B30751" s="62" t="str">
        <f>IF(AND('领用录入（明细）'!D:D=$F$4,'领用录入（明细）'!C:C&gt;=$J$4,'领用录入（明细）'!C:C&lt;=$L$4),ROW(),"-")</f>
        <v>-</v>
      </c>
    </row>
    <row r="30752" customHeight="1" spans="2:2">
      <c r="B30752" s="62" t="str">
        <f>IF(AND('领用录入（明细）'!D:D=$F$4,'领用录入（明细）'!C:C&gt;=$J$4,'领用录入（明细）'!C:C&lt;=$L$4),ROW(),"-")</f>
        <v>-</v>
      </c>
    </row>
    <row r="30753" customHeight="1" spans="2:2">
      <c r="B30753" s="62" t="str">
        <f>IF(AND('领用录入（明细）'!D:D=$F$4,'领用录入（明细）'!C:C&gt;=$J$4,'领用录入（明细）'!C:C&lt;=$L$4),ROW(),"-")</f>
        <v>-</v>
      </c>
    </row>
    <row r="30754" customHeight="1" spans="2:2">
      <c r="B30754" s="62" t="str">
        <f>IF(AND('领用录入（明细）'!D:D=$F$4,'领用录入（明细）'!C:C&gt;=$J$4,'领用录入（明细）'!C:C&lt;=$L$4),ROW(),"-")</f>
        <v>-</v>
      </c>
    </row>
    <row r="30755" customHeight="1" spans="2:2">
      <c r="B30755" s="62" t="str">
        <f>IF(AND('领用录入（明细）'!D:D=$F$4,'领用录入（明细）'!C:C&gt;=$J$4,'领用录入（明细）'!C:C&lt;=$L$4),ROW(),"-")</f>
        <v>-</v>
      </c>
    </row>
    <row r="30756" customHeight="1" spans="2:2">
      <c r="B30756" s="62" t="str">
        <f>IF(AND('领用录入（明细）'!D:D=$F$4,'领用录入（明细）'!C:C&gt;=$J$4,'领用录入（明细）'!C:C&lt;=$L$4),ROW(),"-")</f>
        <v>-</v>
      </c>
    </row>
    <row r="30757" customHeight="1" spans="2:2">
      <c r="B30757" s="62" t="str">
        <f>IF(AND('领用录入（明细）'!D:D=$F$4,'领用录入（明细）'!C:C&gt;=$J$4,'领用录入（明细）'!C:C&lt;=$L$4),ROW(),"-")</f>
        <v>-</v>
      </c>
    </row>
    <row r="30758" customHeight="1" spans="2:2">
      <c r="B30758" s="62" t="str">
        <f>IF(AND('领用录入（明细）'!D:D=$F$4,'领用录入（明细）'!C:C&gt;=$J$4,'领用录入（明细）'!C:C&lt;=$L$4),ROW(),"-")</f>
        <v>-</v>
      </c>
    </row>
    <row r="30759" customHeight="1" spans="2:2">
      <c r="B30759" s="62" t="str">
        <f>IF(AND('领用录入（明细）'!D:D=$F$4,'领用录入（明细）'!C:C&gt;=$J$4,'领用录入（明细）'!C:C&lt;=$L$4),ROW(),"-")</f>
        <v>-</v>
      </c>
    </row>
    <row r="30760" customHeight="1" spans="2:2">
      <c r="B30760" s="62" t="str">
        <f>IF(AND('领用录入（明细）'!D:D=$F$4,'领用录入（明细）'!C:C&gt;=$J$4,'领用录入（明细）'!C:C&lt;=$L$4),ROW(),"-")</f>
        <v>-</v>
      </c>
    </row>
    <row r="30761" customHeight="1" spans="2:2">
      <c r="B30761" s="62" t="str">
        <f>IF(AND('领用录入（明细）'!D:D=$F$4,'领用录入（明细）'!C:C&gt;=$J$4,'领用录入（明细）'!C:C&lt;=$L$4),ROW(),"-")</f>
        <v>-</v>
      </c>
    </row>
    <row r="30762" customHeight="1" spans="2:2">
      <c r="B30762" s="62" t="str">
        <f>IF(AND('领用录入（明细）'!D:D=$F$4,'领用录入（明细）'!C:C&gt;=$J$4,'领用录入（明细）'!C:C&lt;=$L$4),ROW(),"-")</f>
        <v>-</v>
      </c>
    </row>
    <row r="30763" customHeight="1" spans="2:2">
      <c r="B30763" s="62" t="str">
        <f>IF(AND('领用录入（明细）'!D:D=$F$4,'领用录入（明细）'!C:C&gt;=$J$4,'领用录入（明细）'!C:C&lt;=$L$4),ROW(),"-")</f>
        <v>-</v>
      </c>
    </row>
    <row r="30764" customHeight="1" spans="2:2">
      <c r="B30764" s="62" t="str">
        <f>IF(AND('领用录入（明细）'!D:D=$F$4,'领用录入（明细）'!C:C&gt;=$J$4,'领用录入（明细）'!C:C&lt;=$L$4),ROW(),"-")</f>
        <v>-</v>
      </c>
    </row>
    <row r="30765" customHeight="1" spans="2:2">
      <c r="B30765" s="62" t="str">
        <f>IF(AND('领用录入（明细）'!D:D=$F$4,'领用录入（明细）'!C:C&gt;=$J$4,'领用录入（明细）'!C:C&lt;=$L$4),ROW(),"-")</f>
        <v>-</v>
      </c>
    </row>
    <row r="30766" customHeight="1" spans="2:2">
      <c r="B30766" s="62" t="str">
        <f>IF(AND('领用录入（明细）'!D:D=$F$4,'领用录入（明细）'!C:C&gt;=$J$4,'领用录入（明细）'!C:C&lt;=$L$4),ROW(),"-")</f>
        <v>-</v>
      </c>
    </row>
    <row r="30767" customHeight="1" spans="2:2">
      <c r="B30767" s="62" t="str">
        <f>IF(AND('领用录入（明细）'!D:D=$F$4,'领用录入（明细）'!C:C&gt;=$J$4,'领用录入（明细）'!C:C&lt;=$L$4),ROW(),"-")</f>
        <v>-</v>
      </c>
    </row>
    <row r="30768" customHeight="1" spans="2:2">
      <c r="B30768" s="62" t="str">
        <f>IF(AND('领用录入（明细）'!D:D=$F$4,'领用录入（明细）'!C:C&gt;=$J$4,'领用录入（明细）'!C:C&lt;=$L$4),ROW(),"-")</f>
        <v>-</v>
      </c>
    </row>
    <row r="30769" customHeight="1" spans="2:2">
      <c r="B30769" s="62" t="str">
        <f>IF(AND('领用录入（明细）'!D:D=$F$4,'领用录入（明细）'!C:C&gt;=$J$4,'领用录入（明细）'!C:C&lt;=$L$4),ROW(),"-")</f>
        <v>-</v>
      </c>
    </row>
    <row r="30770" customHeight="1" spans="2:2">
      <c r="B30770" s="62" t="str">
        <f>IF(AND('领用录入（明细）'!D:D=$F$4,'领用录入（明细）'!C:C&gt;=$J$4,'领用录入（明细）'!C:C&lt;=$L$4),ROW(),"-")</f>
        <v>-</v>
      </c>
    </row>
    <row r="30771" customHeight="1" spans="2:2">
      <c r="B30771" s="62" t="str">
        <f>IF(AND('领用录入（明细）'!D:D=$F$4,'领用录入（明细）'!C:C&gt;=$J$4,'领用录入（明细）'!C:C&lt;=$L$4),ROW(),"-")</f>
        <v>-</v>
      </c>
    </row>
    <row r="30772" customHeight="1" spans="2:2">
      <c r="B30772" s="62" t="str">
        <f>IF(AND('领用录入（明细）'!D:D=$F$4,'领用录入（明细）'!C:C&gt;=$J$4,'领用录入（明细）'!C:C&lt;=$L$4),ROW(),"-")</f>
        <v>-</v>
      </c>
    </row>
    <row r="30773" customHeight="1" spans="2:2">
      <c r="B30773" s="62" t="str">
        <f>IF(AND('领用录入（明细）'!D:D=$F$4,'领用录入（明细）'!C:C&gt;=$J$4,'领用录入（明细）'!C:C&lt;=$L$4),ROW(),"-")</f>
        <v>-</v>
      </c>
    </row>
    <row r="30774" customHeight="1" spans="2:2">
      <c r="B30774" s="62" t="str">
        <f>IF(AND('领用录入（明细）'!D:D=$F$4,'领用录入（明细）'!C:C&gt;=$J$4,'领用录入（明细）'!C:C&lt;=$L$4),ROW(),"-")</f>
        <v>-</v>
      </c>
    </row>
    <row r="30775" customHeight="1" spans="2:2">
      <c r="B30775" s="62" t="str">
        <f>IF(AND('领用录入（明细）'!D:D=$F$4,'领用录入（明细）'!C:C&gt;=$J$4,'领用录入（明细）'!C:C&lt;=$L$4),ROW(),"-")</f>
        <v>-</v>
      </c>
    </row>
    <row r="30776" customHeight="1" spans="2:2">
      <c r="B30776" s="62" t="str">
        <f>IF(AND('领用录入（明细）'!D:D=$F$4,'领用录入（明细）'!C:C&gt;=$J$4,'领用录入（明细）'!C:C&lt;=$L$4),ROW(),"-")</f>
        <v>-</v>
      </c>
    </row>
    <row r="30777" customHeight="1" spans="2:2">
      <c r="B30777" s="62" t="str">
        <f>IF(AND('领用录入（明细）'!D:D=$F$4,'领用录入（明细）'!C:C&gt;=$J$4,'领用录入（明细）'!C:C&lt;=$L$4),ROW(),"-")</f>
        <v>-</v>
      </c>
    </row>
    <row r="30778" customHeight="1" spans="2:2">
      <c r="B30778" s="62" t="str">
        <f>IF(AND('领用录入（明细）'!D:D=$F$4,'领用录入（明细）'!C:C&gt;=$J$4,'领用录入（明细）'!C:C&lt;=$L$4),ROW(),"-")</f>
        <v>-</v>
      </c>
    </row>
    <row r="30779" customHeight="1" spans="2:2">
      <c r="B30779" s="62" t="str">
        <f>IF(AND('领用录入（明细）'!D:D=$F$4,'领用录入（明细）'!C:C&gt;=$J$4,'领用录入（明细）'!C:C&lt;=$L$4),ROW(),"-")</f>
        <v>-</v>
      </c>
    </row>
    <row r="30780" customHeight="1" spans="2:2">
      <c r="B30780" s="62" t="str">
        <f>IF(AND('领用录入（明细）'!D:D=$F$4,'领用录入（明细）'!C:C&gt;=$J$4,'领用录入（明细）'!C:C&lt;=$L$4),ROW(),"-")</f>
        <v>-</v>
      </c>
    </row>
    <row r="30781" customHeight="1" spans="2:2">
      <c r="B30781" s="62" t="str">
        <f>IF(AND('领用录入（明细）'!D:D=$F$4,'领用录入（明细）'!C:C&gt;=$J$4,'领用录入（明细）'!C:C&lt;=$L$4),ROW(),"-")</f>
        <v>-</v>
      </c>
    </row>
    <row r="30782" customHeight="1" spans="2:2">
      <c r="B30782" s="62" t="str">
        <f>IF(AND('领用录入（明细）'!D:D=$F$4,'领用录入（明细）'!C:C&gt;=$J$4,'领用录入（明细）'!C:C&lt;=$L$4),ROW(),"-")</f>
        <v>-</v>
      </c>
    </row>
    <row r="30783" customHeight="1" spans="2:2">
      <c r="B30783" s="62" t="str">
        <f>IF(AND('领用录入（明细）'!D:D=$F$4,'领用录入（明细）'!C:C&gt;=$J$4,'领用录入（明细）'!C:C&lt;=$L$4),ROW(),"-")</f>
        <v>-</v>
      </c>
    </row>
    <row r="30784" customHeight="1" spans="2:2">
      <c r="B30784" s="62" t="str">
        <f>IF(AND('领用录入（明细）'!D:D=$F$4,'领用录入（明细）'!C:C&gt;=$J$4,'领用录入（明细）'!C:C&lt;=$L$4),ROW(),"-")</f>
        <v>-</v>
      </c>
    </row>
    <row r="30785" customHeight="1" spans="2:2">
      <c r="B30785" s="62" t="str">
        <f>IF(AND('领用录入（明细）'!D:D=$F$4,'领用录入（明细）'!C:C&gt;=$J$4,'领用录入（明细）'!C:C&lt;=$L$4),ROW(),"-")</f>
        <v>-</v>
      </c>
    </row>
    <row r="30786" customHeight="1" spans="2:2">
      <c r="B30786" s="62" t="str">
        <f>IF(AND('领用录入（明细）'!D:D=$F$4,'领用录入（明细）'!C:C&gt;=$J$4,'领用录入（明细）'!C:C&lt;=$L$4),ROW(),"-")</f>
        <v>-</v>
      </c>
    </row>
    <row r="30787" customHeight="1" spans="2:2">
      <c r="B30787" s="62" t="str">
        <f>IF(AND('领用录入（明细）'!D:D=$F$4,'领用录入（明细）'!C:C&gt;=$J$4,'领用录入（明细）'!C:C&lt;=$L$4),ROW(),"-")</f>
        <v>-</v>
      </c>
    </row>
    <row r="30788" customHeight="1" spans="2:2">
      <c r="B30788" s="62" t="str">
        <f>IF(AND('领用录入（明细）'!D:D=$F$4,'领用录入（明细）'!C:C&gt;=$J$4,'领用录入（明细）'!C:C&lt;=$L$4),ROW(),"-")</f>
        <v>-</v>
      </c>
    </row>
    <row r="30789" customHeight="1" spans="2:2">
      <c r="B30789" s="62" t="str">
        <f>IF(AND('领用录入（明细）'!D:D=$F$4,'领用录入（明细）'!C:C&gt;=$J$4,'领用录入（明细）'!C:C&lt;=$L$4),ROW(),"-")</f>
        <v>-</v>
      </c>
    </row>
    <row r="30790" customHeight="1" spans="2:2">
      <c r="B30790" s="62" t="str">
        <f>IF(AND('领用录入（明细）'!D:D=$F$4,'领用录入（明细）'!C:C&gt;=$J$4,'领用录入（明细）'!C:C&lt;=$L$4),ROW(),"-")</f>
        <v>-</v>
      </c>
    </row>
    <row r="30791" customHeight="1" spans="2:2">
      <c r="B30791" s="62" t="str">
        <f>IF(AND('领用录入（明细）'!D:D=$F$4,'领用录入（明细）'!C:C&gt;=$J$4,'领用录入（明细）'!C:C&lt;=$L$4),ROW(),"-")</f>
        <v>-</v>
      </c>
    </row>
    <row r="30792" customHeight="1" spans="2:2">
      <c r="B30792" s="62" t="str">
        <f>IF(AND('领用录入（明细）'!D:D=$F$4,'领用录入（明细）'!C:C&gt;=$J$4,'领用录入（明细）'!C:C&lt;=$L$4),ROW(),"-")</f>
        <v>-</v>
      </c>
    </row>
    <row r="30793" customHeight="1" spans="2:2">
      <c r="B30793" s="62" t="str">
        <f>IF(AND('领用录入（明细）'!D:D=$F$4,'领用录入（明细）'!C:C&gt;=$J$4,'领用录入（明细）'!C:C&lt;=$L$4),ROW(),"-")</f>
        <v>-</v>
      </c>
    </row>
    <row r="30794" customHeight="1" spans="2:2">
      <c r="B30794" s="62" t="str">
        <f>IF(AND('领用录入（明细）'!D:D=$F$4,'领用录入（明细）'!C:C&gt;=$J$4,'领用录入（明细）'!C:C&lt;=$L$4),ROW(),"-")</f>
        <v>-</v>
      </c>
    </row>
    <row r="30795" customHeight="1" spans="2:2">
      <c r="B30795" s="62" t="str">
        <f>IF(AND('领用录入（明细）'!D:D=$F$4,'领用录入（明细）'!C:C&gt;=$J$4,'领用录入（明细）'!C:C&lt;=$L$4),ROW(),"-")</f>
        <v>-</v>
      </c>
    </row>
    <row r="30796" customHeight="1" spans="2:2">
      <c r="B30796" s="62" t="str">
        <f>IF(AND('领用录入（明细）'!D:D=$F$4,'领用录入（明细）'!C:C&gt;=$J$4,'领用录入（明细）'!C:C&lt;=$L$4),ROW(),"-")</f>
        <v>-</v>
      </c>
    </row>
    <row r="30797" customHeight="1" spans="2:2">
      <c r="B30797" s="62" t="str">
        <f>IF(AND('领用录入（明细）'!D:D=$F$4,'领用录入（明细）'!C:C&gt;=$J$4,'领用录入（明细）'!C:C&lt;=$L$4),ROW(),"-")</f>
        <v>-</v>
      </c>
    </row>
    <row r="30798" customHeight="1" spans="2:2">
      <c r="B30798" s="62" t="str">
        <f>IF(AND('领用录入（明细）'!D:D=$F$4,'领用录入（明细）'!C:C&gt;=$J$4,'领用录入（明细）'!C:C&lt;=$L$4),ROW(),"-")</f>
        <v>-</v>
      </c>
    </row>
    <row r="30799" customHeight="1" spans="2:2">
      <c r="B30799" s="62" t="str">
        <f>IF(AND('领用录入（明细）'!D:D=$F$4,'领用录入（明细）'!C:C&gt;=$J$4,'领用录入（明细）'!C:C&lt;=$L$4),ROW(),"-")</f>
        <v>-</v>
      </c>
    </row>
    <row r="30800" customHeight="1" spans="2:2">
      <c r="B30800" s="62" t="str">
        <f>IF(AND('领用录入（明细）'!D:D=$F$4,'领用录入（明细）'!C:C&gt;=$J$4,'领用录入（明细）'!C:C&lt;=$L$4),ROW(),"-")</f>
        <v>-</v>
      </c>
    </row>
    <row r="30801" customHeight="1" spans="2:2">
      <c r="B30801" s="62" t="str">
        <f>IF(AND('领用录入（明细）'!D:D=$F$4,'领用录入（明细）'!C:C&gt;=$J$4,'领用录入（明细）'!C:C&lt;=$L$4),ROW(),"-")</f>
        <v>-</v>
      </c>
    </row>
    <row r="30802" customHeight="1" spans="2:2">
      <c r="B30802" s="62" t="str">
        <f>IF(AND('领用录入（明细）'!D:D=$F$4,'领用录入（明细）'!C:C&gt;=$J$4,'领用录入（明细）'!C:C&lt;=$L$4),ROW(),"-")</f>
        <v>-</v>
      </c>
    </row>
    <row r="30803" customHeight="1" spans="2:2">
      <c r="B30803" s="62" t="str">
        <f>IF(AND('领用录入（明细）'!D:D=$F$4,'领用录入（明细）'!C:C&gt;=$J$4,'领用录入（明细）'!C:C&lt;=$L$4),ROW(),"-")</f>
        <v>-</v>
      </c>
    </row>
    <row r="30804" customHeight="1" spans="2:2">
      <c r="B30804" s="62" t="str">
        <f>IF(AND('领用录入（明细）'!D:D=$F$4,'领用录入（明细）'!C:C&gt;=$J$4,'领用录入（明细）'!C:C&lt;=$L$4),ROW(),"-")</f>
        <v>-</v>
      </c>
    </row>
    <row r="30805" customHeight="1" spans="2:2">
      <c r="B30805" s="62" t="str">
        <f>IF(AND('领用录入（明细）'!D:D=$F$4,'领用录入（明细）'!C:C&gt;=$J$4,'领用录入（明细）'!C:C&lt;=$L$4),ROW(),"-")</f>
        <v>-</v>
      </c>
    </row>
    <row r="30806" customHeight="1" spans="2:2">
      <c r="B30806" s="62" t="str">
        <f>IF(AND('领用录入（明细）'!D:D=$F$4,'领用录入（明细）'!C:C&gt;=$J$4,'领用录入（明细）'!C:C&lt;=$L$4),ROW(),"-")</f>
        <v>-</v>
      </c>
    </row>
    <row r="30807" customHeight="1" spans="2:2">
      <c r="B30807" s="62" t="str">
        <f>IF(AND('领用录入（明细）'!D:D=$F$4,'领用录入（明细）'!C:C&gt;=$J$4,'领用录入（明细）'!C:C&lt;=$L$4),ROW(),"-")</f>
        <v>-</v>
      </c>
    </row>
    <row r="30808" customHeight="1" spans="2:2">
      <c r="B30808" s="62" t="str">
        <f>IF(AND('领用录入（明细）'!D:D=$F$4,'领用录入（明细）'!C:C&gt;=$J$4,'领用录入（明细）'!C:C&lt;=$L$4),ROW(),"-")</f>
        <v>-</v>
      </c>
    </row>
    <row r="30809" customHeight="1" spans="2:2">
      <c r="B30809" s="62" t="str">
        <f>IF(AND('领用录入（明细）'!D:D=$F$4,'领用录入（明细）'!C:C&gt;=$J$4,'领用录入（明细）'!C:C&lt;=$L$4),ROW(),"-")</f>
        <v>-</v>
      </c>
    </row>
    <row r="30810" customHeight="1" spans="2:2">
      <c r="B30810" s="62" t="str">
        <f>IF(AND('领用录入（明细）'!D:D=$F$4,'领用录入（明细）'!C:C&gt;=$J$4,'领用录入（明细）'!C:C&lt;=$L$4),ROW(),"-")</f>
        <v>-</v>
      </c>
    </row>
    <row r="30811" customHeight="1" spans="2:2">
      <c r="B30811" s="62" t="str">
        <f>IF(AND('领用录入（明细）'!D:D=$F$4,'领用录入（明细）'!C:C&gt;=$J$4,'领用录入（明细）'!C:C&lt;=$L$4),ROW(),"-")</f>
        <v>-</v>
      </c>
    </row>
    <row r="30812" customHeight="1" spans="2:2">
      <c r="B30812" s="62" t="str">
        <f>IF(AND('领用录入（明细）'!D:D=$F$4,'领用录入（明细）'!C:C&gt;=$J$4,'领用录入（明细）'!C:C&lt;=$L$4),ROW(),"-")</f>
        <v>-</v>
      </c>
    </row>
    <row r="30813" customHeight="1" spans="2:2">
      <c r="B30813" s="62" t="str">
        <f>IF(AND('领用录入（明细）'!D:D=$F$4,'领用录入（明细）'!C:C&gt;=$J$4,'领用录入（明细）'!C:C&lt;=$L$4),ROW(),"-")</f>
        <v>-</v>
      </c>
    </row>
    <row r="30814" customHeight="1" spans="2:2">
      <c r="B30814" s="62" t="str">
        <f>IF(AND('领用录入（明细）'!D:D=$F$4,'领用录入（明细）'!C:C&gt;=$J$4,'领用录入（明细）'!C:C&lt;=$L$4),ROW(),"-")</f>
        <v>-</v>
      </c>
    </row>
    <row r="30815" customHeight="1" spans="2:2">
      <c r="B30815" s="62" t="str">
        <f>IF(AND('领用录入（明细）'!D:D=$F$4,'领用录入（明细）'!C:C&gt;=$J$4,'领用录入（明细）'!C:C&lt;=$L$4),ROW(),"-")</f>
        <v>-</v>
      </c>
    </row>
    <row r="30816" customHeight="1" spans="2:2">
      <c r="B30816" s="62" t="str">
        <f>IF(AND('领用录入（明细）'!D:D=$F$4,'领用录入（明细）'!C:C&gt;=$J$4,'领用录入（明细）'!C:C&lt;=$L$4),ROW(),"-")</f>
        <v>-</v>
      </c>
    </row>
    <row r="30817" customHeight="1" spans="2:2">
      <c r="B30817" s="62" t="str">
        <f>IF(AND('领用录入（明细）'!D:D=$F$4,'领用录入（明细）'!C:C&gt;=$J$4,'领用录入（明细）'!C:C&lt;=$L$4),ROW(),"-")</f>
        <v>-</v>
      </c>
    </row>
    <row r="30818" customHeight="1" spans="2:2">
      <c r="B30818" s="62" t="str">
        <f>IF(AND('领用录入（明细）'!D:D=$F$4,'领用录入（明细）'!C:C&gt;=$J$4,'领用录入（明细）'!C:C&lt;=$L$4),ROW(),"-")</f>
        <v>-</v>
      </c>
    </row>
    <row r="30819" customHeight="1" spans="2:2">
      <c r="B30819" s="62" t="str">
        <f>IF(AND('领用录入（明细）'!D:D=$F$4,'领用录入（明细）'!C:C&gt;=$J$4,'领用录入（明细）'!C:C&lt;=$L$4),ROW(),"-")</f>
        <v>-</v>
      </c>
    </row>
    <row r="30820" customHeight="1" spans="2:2">
      <c r="B30820" s="62" t="str">
        <f>IF(AND('领用录入（明细）'!D:D=$F$4,'领用录入（明细）'!C:C&gt;=$J$4,'领用录入（明细）'!C:C&lt;=$L$4),ROW(),"-")</f>
        <v>-</v>
      </c>
    </row>
    <row r="30821" customHeight="1" spans="2:2">
      <c r="B30821" s="62" t="str">
        <f>IF(AND('领用录入（明细）'!D:D=$F$4,'领用录入（明细）'!C:C&gt;=$J$4,'领用录入（明细）'!C:C&lt;=$L$4),ROW(),"-")</f>
        <v>-</v>
      </c>
    </row>
    <row r="30822" customHeight="1" spans="2:2">
      <c r="B30822" s="62" t="str">
        <f>IF(AND('领用录入（明细）'!D:D=$F$4,'领用录入（明细）'!C:C&gt;=$J$4,'领用录入（明细）'!C:C&lt;=$L$4),ROW(),"-")</f>
        <v>-</v>
      </c>
    </row>
    <row r="30823" customHeight="1" spans="2:2">
      <c r="B30823" s="62" t="str">
        <f>IF(AND('领用录入（明细）'!D:D=$F$4,'领用录入（明细）'!C:C&gt;=$J$4,'领用录入（明细）'!C:C&lt;=$L$4),ROW(),"-")</f>
        <v>-</v>
      </c>
    </row>
    <row r="30824" customHeight="1" spans="2:2">
      <c r="B30824" s="62" t="str">
        <f>IF(AND('领用录入（明细）'!D:D=$F$4,'领用录入（明细）'!C:C&gt;=$J$4,'领用录入（明细）'!C:C&lt;=$L$4),ROW(),"-")</f>
        <v>-</v>
      </c>
    </row>
    <row r="30825" customHeight="1" spans="2:2">
      <c r="B30825" s="62" t="str">
        <f>IF(AND('领用录入（明细）'!D:D=$F$4,'领用录入（明细）'!C:C&gt;=$J$4,'领用录入（明细）'!C:C&lt;=$L$4),ROW(),"-")</f>
        <v>-</v>
      </c>
    </row>
    <row r="30826" customHeight="1" spans="2:2">
      <c r="B30826" s="62" t="str">
        <f>IF(AND('领用录入（明细）'!D:D=$F$4,'领用录入（明细）'!C:C&gt;=$J$4,'领用录入（明细）'!C:C&lt;=$L$4),ROW(),"-")</f>
        <v>-</v>
      </c>
    </row>
    <row r="30827" customHeight="1" spans="2:2">
      <c r="B30827" s="62" t="str">
        <f>IF(AND('领用录入（明细）'!D:D=$F$4,'领用录入（明细）'!C:C&gt;=$J$4,'领用录入（明细）'!C:C&lt;=$L$4),ROW(),"-")</f>
        <v>-</v>
      </c>
    </row>
    <row r="30828" customHeight="1" spans="2:2">
      <c r="B30828" s="62" t="str">
        <f>IF(AND('领用录入（明细）'!D:D=$F$4,'领用录入（明细）'!C:C&gt;=$J$4,'领用录入（明细）'!C:C&lt;=$L$4),ROW(),"-")</f>
        <v>-</v>
      </c>
    </row>
    <row r="30829" customHeight="1" spans="2:2">
      <c r="B30829" s="62" t="str">
        <f>IF(AND('领用录入（明细）'!D:D=$F$4,'领用录入（明细）'!C:C&gt;=$J$4,'领用录入（明细）'!C:C&lt;=$L$4),ROW(),"-")</f>
        <v>-</v>
      </c>
    </row>
    <row r="30830" customHeight="1" spans="2:2">
      <c r="B30830" s="62" t="str">
        <f>IF(AND('领用录入（明细）'!D:D=$F$4,'领用录入（明细）'!C:C&gt;=$J$4,'领用录入（明细）'!C:C&lt;=$L$4),ROW(),"-")</f>
        <v>-</v>
      </c>
    </row>
    <row r="30831" customHeight="1" spans="2:2">
      <c r="B30831" s="62" t="str">
        <f>IF(AND('领用录入（明细）'!D:D=$F$4,'领用录入（明细）'!C:C&gt;=$J$4,'领用录入（明细）'!C:C&lt;=$L$4),ROW(),"-")</f>
        <v>-</v>
      </c>
    </row>
    <row r="30832" customHeight="1" spans="2:2">
      <c r="B30832" s="62" t="str">
        <f>IF(AND('领用录入（明细）'!D:D=$F$4,'领用录入（明细）'!C:C&gt;=$J$4,'领用录入（明细）'!C:C&lt;=$L$4),ROW(),"-")</f>
        <v>-</v>
      </c>
    </row>
    <row r="30833" customHeight="1" spans="2:2">
      <c r="B30833" s="62" t="str">
        <f>IF(AND('领用录入（明细）'!D:D=$F$4,'领用录入（明细）'!C:C&gt;=$J$4,'领用录入（明细）'!C:C&lt;=$L$4),ROW(),"-")</f>
        <v>-</v>
      </c>
    </row>
    <row r="30834" customHeight="1" spans="2:2">
      <c r="B30834" s="62" t="str">
        <f>IF(AND('领用录入（明细）'!D:D=$F$4,'领用录入（明细）'!C:C&gt;=$J$4,'领用录入（明细）'!C:C&lt;=$L$4),ROW(),"-")</f>
        <v>-</v>
      </c>
    </row>
    <row r="30835" customHeight="1" spans="2:2">
      <c r="B30835" s="62" t="str">
        <f>IF(AND('领用录入（明细）'!D:D=$F$4,'领用录入（明细）'!C:C&gt;=$J$4,'领用录入（明细）'!C:C&lt;=$L$4),ROW(),"-")</f>
        <v>-</v>
      </c>
    </row>
    <row r="30836" customHeight="1" spans="2:2">
      <c r="B30836" s="62" t="str">
        <f>IF(AND('领用录入（明细）'!D:D=$F$4,'领用录入（明细）'!C:C&gt;=$J$4,'领用录入（明细）'!C:C&lt;=$L$4),ROW(),"-")</f>
        <v>-</v>
      </c>
    </row>
    <row r="30837" customHeight="1" spans="2:2">
      <c r="B30837" s="62" t="str">
        <f>IF(AND('领用录入（明细）'!D:D=$F$4,'领用录入（明细）'!C:C&gt;=$J$4,'领用录入（明细）'!C:C&lt;=$L$4),ROW(),"-")</f>
        <v>-</v>
      </c>
    </row>
    <row r="30838" customHeight="1" spans="2:2">
      <c r="B30838" s="62" t="str">
        <f>IF(AND('领用录入（明细）'!D:D=$F$4,'领用录入（明细）'!C:C&gt;=$J$4,'领用录入（明细）'!C:C&lt;=$L$4),ROW(),"-")</f>
        <v>-</v>
      </c>
    </row>
    <row r="30839" customHeight="1" spans="2:2">
      <c r="B30839" s="62" t="str">
        <f>IF(AND('领用录入（明细）'!D:D=$F$4,'领用录入（明细）'!C:C&gt;=$J$4,'领用录入（明细）'!C:C&lt;=$L$4),ROW(),"-")</f>
        <v>-</v>
      </c>
    </row>
    <row r="30840" customHeight="1" spans="2:2">
      <c r="B30840" s="62" t="str">
        <f>IF(AND('领用录入（明细）'!D:D=$F$4,'领用录入（明细）'!C:C&gt;=$J$4,'领用录入（明细）'!C:C&lt;=$L$4),ROW(),"-")</f>
        <v>-</v>
      </c>
    </row>
    <row r="30841" customHeight="1" spans="2:2">
      <c r="B30841" s="62" t="str">
        <f>IF(AND('领用录入（明细）'!D:D=$F$4,'领用录入（明细）'!C:C&gt;=$J$4,'领用录入（明细）'!C:C&lt;=$L$4),ROW(),"-")</f>
        <v>-</v>
      </c>
    </row>
    <row r="30842" customHeight="1" spans="2:2">
      <c r="B30842" s="62" t="str">
        <f>IF(AND('领用录入（明细）'!D:D=$F$4,'领用录入（明细）'!C:C&gt;=$J$4,'领用录入（明细）'!C:C&lt;=$L$4),ROW(),"-")</f>
        <v>-</v>
      </c>
    </row>
    <row r="30843" customHeight="1" spans="2:2">
      <c r="B30843" s="62" t="str">
        <f>IF(AND('领用录入（明细）'!D:D=$F$4,'领用录入（明细）'!C:C&gt;=$J$4,'领用录入（明细）'!C:C&lt;=$L$4),ROW(),"-")</f>
        <v>-</v>
      </c>
    </row>
    <row r="30844" customHeight="1" spans="2:2">
      <c r="B30844" s="62" t="str">
        <f>IF(AND('领用录入（明细）'!D:D=$F$4,'领用录入（明细）'!C:C&gt;=$J$4,'领用录入（明细）'!C:C&lt;=$L$4),ROW(),"-")</f>
        <v>-</v>
      </c>
    </row>
    <row r="30845" customHeight="1" spans="2:2">
      <c r="B30845" s="62" t="str">
        <f>IF(AND('领用录入（明细）'!D:D=$F$4,'领用录入（明细）'!C:C&gt;=$J$4,'领用录入（明细）'!C:C&lt;=$L$4),ROW(),"-")</f>
        <v>-</v>
      </c>
    </row>
    <row r="30846" customHeight="1" spans="2:2">
      <c r="B30846" s="62" t="str">
        <f>IF(AND('领用录入（明细）'!D:D=$F$4,'领用录入（明细）'!C:C&gt;=$J$4,'领用录入（明细）'!C:C&lt;=$L$4),ROW(),"-")</f>
        <v>-</v>
      </c>
    </row>
    <row r="30847" customHeight="1" spans="2:2">
      <c r="B30847" s="62" t="str">
        <f>IF(AND('领用录入（明细）'!D:D=$F$4,'领用录入（明细）'!C:C&gt;=$J$4,'领用录入（明细）'!C:C&lt;=$L$4),ROW(),"-")</f>
        <v>-</v>
      </c>
    </row>
    <row r="30848" customHeight="1" spans="2:2">
      <c r="B30848" s="62" t="str">
        <f>IF(AND('领用录入（明细）'!D:D=$F$4,'领用录入（明细）'!C:C&gt;=$J$4,'领用录入（明细）'!C:C&lt;=$L$4),ROW(),"-")</f>
        <v>-</v>
      </c>
    </row>
    <row r="30849" customHeight="1" spans="2:2">
      <c r="B30849" s="62" t="str">
        <f>IF(AND('领用录入（明细）'!D:D=$F$4,'领用录入（明细）'!C:C&gt;=$J$4,'领用录入（明细）'!C:C&lt;=$L$4),ROW(),"-")</f>
        <v>-</v>
      </c>
    </row>
    <row r="30850" customHeight="1" spans="2:2">
      <c r="B30850" s="62" t="str">
        <f>IF(AND('领用录入（明细）'!D:D=$F$4,'领用录入（明细）'!C:C&gt;=$J$4,'领用录入（明细）'!C:C&lt;=$L$4),ROW(),"-")</f>
        <v>-</v>
      </c>
    </row>
    <row r="30851" customHeight="1" spans="2:2">
      <c r="B30851" s="62" t="str">
        <f>IF(AND('领用录入（明细）'!D:D=$F$4,'领用录入（明细）'!C:C&gt;=$J$4,'领用录入（明细）'!C:C&lt;=$L$4),ROW(),"-")</f>
        <v>-</v>
      </c>
    </row>
    <row r="30852" customHeight="1" spans="2:2">
      <c r="B30852" s="62" t="str">
        <f>IF(AND('领用录入（明细）'!D:D=$F$4,'领用录入（明细）'!C:C&gt;=$J$4,'领用录入（明细）'!C:C&lt;=$L$4),ROW(),"-")</f>
        <v>-</v>
      </c>
    </row>
    <row r="30853" customHeight="1" spans="2:2">
      <c r="B30853" s="62" t="str">
        <f>IF(AND('领用录入（明细）'!D:D=$F$4,'领用录入（明细）'!C:C&gt;=$J$4,'领用录入（明细）'!C:C&lt;=$L$4),ROW(),"-")</f>
        <v>-</v>
      </c>
    </row>
    <row r="30854" customHeight="1" spans="2:2">
      <c r="B30854" s="62" t="str">
        <f>IF(AND('领用录入（明细）'!D:D=$F$4,'领用录入（明细）'!C:C&gt;=$J$4,'领用录入（明细）'!C:C&lt;=$L$4),ROW(),"-")</f>
        <v>-</v>
      </c>
    </row>
    <row r="30855" customHeight="1" spans="2:2">
      <c r="B30855" s="62" t="str">
        <f>IF(AND('领用录入（明细）'!D:D=$F$4,'领用录入（明细）'!C:C&gt;=$J$4,'领用录入（明细）'!C:C&lt;=$L$4),ROW(),"-")</f>
        <v>-</v>
      </c>
    </row>
    <row r="30856" customHeight="1" spans="2:2">
      <c r="B30856" s="62" t="str">
        <f>IF(AND('领用录入（明细）'!D:D=$F$4,'领用录入（明细）'!C:C&gt;=$J$4,'领用录入（明细）'!C:C&lt;=$L$4),ROW(),"-")</f>
        <v>-</v>
      </c>
    </row>
    <row r="30857" customHeight="1" spans="2:2">
      <c r="B30857" s="62" t="str">
        <f>IF(AND('领用录入（明细）'!D:D=$F$4,'领用录入（明细）'!C:C&gt;=$J$4,'领用录入（明细）'!C:C&lt;=$L$4),ROW(),"-")</f>
        <v>-</v>
      </c>
    </row>
    <row r="30858" customHeight="1" spans="2:2">
      <c r="B30858" s="62" t="str">
        <f>IF(AND('领用录入（明细）'!D:D=$F$4,'领用录入（明细）'!C:C&gt;=$J$4,'领用录入（明细）'!C:C&lt;=$L$4),ROW(),"-")</f>
        <v>-</v>
      </c>
    </row>
    <row r="30859" customHeight="1" spans="2:2">
      <c r="B30859" s="62" t="str">
        <f>IF(AND('领用录入（明细）'!D:D=$F$4,'领用录入（明细）'!C:C&gt;=$J$4,'领用录入（明细）'!C:C&lt;=$L$4),ROW(),"-")</f>
        <v>-</v>
      </c>
    </row>
    <row r="30860" customHeight="1" spans="2:2">
      <c r="B30860" s="62" t="str">
        <f>IF(AND('领用录入（明细）'!D:D=$F$4,'领用录入（明细）'!C:C&gt;=$J$4,'领用录入（明细）'!C:C&lt;=$L$4),ROW(),"-")</f>
        <v>-</v>
      </c>
    </row>
    <row r="30861" customHeight="1" spans="2:2">
      <c r="B30861" s="62" t="str">
        <f>IF(AND('领用录入（明细）'!D:D=$F$4,'领用录入（明细）'!C:C&gt;=$J$4,'领用录入（明细）'!C:C&lt;=$L$4),ROW(),"-")</f>
        <v>-</v>
      </c>
    </row>
    <row r="30862" customHeight="1" spans="2:2">
      <c r="B30862" s="62" t="str">
        <f>IF(AND('领用录入（明细）'!D:D=$F$4,'领用录入（明细）'!C:C&gt;=$J$4,'领用录入（明细）'!C:C&lt;=$L$4),ROW(),"-")</f>
        <v>-</v>
      </c>
    </row>
    <row r="30863" customHeight="1" spans="2:2">
      <c r="B30863" s="62" t="str">
        <f>IF(AND('领用录入（明细）'!D:D=$F$4,'领用录入（明细）'!C:C&gt;=$J$4,'领用录入（明细）'!C:C&lt;=$L$4),ROW(),"-")</f>
        <v>-</v>
      </c>
    </row>
    <row r="30864" customHeight="1" spans="2:2">
      <c r="B30864" s="62" t="str">
        <f>IF(AND('领用录入（明细）'!D:D=$F$4,'领用录入（明细）'!C:C&gt;=$J$4,'领用录入（明细）'!C:C&lt;=$L$4),ROW(),"-")</f>
        <v>-</v>
      </c>
    </row>
    <row r="30865" customHeight="1" spans="2:2">
      <c r="B30865" s="62" t="str">
        <f>IF(AND('领用录入（明细）'!D:D=$F$4,'领用录入（明细）'!C:C&gt;=$J$4,'领用录入（明细）'!C:C&lt;=$L$4),ROW(),"-")</f>
        <v>-</v>
      </c>
    </row>
    <row r="30866" customHeight="1" spans="2:2">
      <c r="B30866" s="62" t="str">
        <f>IF(AND('领用录入（明细）'!D:D=$F$4,'领用录入（明细）'!C:C&gt;=$J$4,'领用录入（明细）'!C:C&lt;=$L$4),ROW(),"-")</f>
        <v>-</v>
      </c>
    </row>
    <row r="30867" customHeight="1" spans="2:2">
      <c r="B30867" s="62" t="str">
        <f>IF(AND('领用录入（明细）'!D:D=$F$4,'领用录入（明细）'!C:C&gt;=$J$4,'领用录入（明细）'!C:C&lt;=$L$4),ROW(),"-")</f>
        <v>-</v>
      </c>
    </row>
    <row r="30868" customHeight="1" spans="2:2">
      <c r="B30868" s="62" t="str">
        <f>IF(AND('领用录入（明细）'!D:D=$F$4,'领用录入（明细）'!C:C&gt;=$J$4,'领用录入（明细）'!C:C&lt;=$L$4),ROW(),"-")</f>
        <v>-</v>
      </c>
    </row>
    <row r="30869" customHeight="1" spans="2:2">
      <c r="B30869" s="62" t="str">
        <f>IF(AND('领用录入（明细）'!D:D=$F$4,'领用录入（明细）'!C:C&gt;=$J$4,'领用录入（明细）'!C:C&lt;=$L$4),ROW(),"-")</f>
        <v>-</v>
      </c>
    </row>
    <row r="30870" customHeight="1" spans="2:2">
      <c r="B30870" s="62" t="str">
        <f>IF(AND('领用录入（明细）'!D:D=$F$4,'领用录入（明细）'!C:C&gt;=$J$4,'领用录入（明细）'!C:C&lt;=$L$4),ROW(),"-")</f>
        <v>-</v>
      </c>
    </row>
    <row r="30871" customHeight="1" spans="2:2">
      <c r="B30871" s="62" t="str">
        <f>IF(AND('领用录入（明细）'!D:D=$F$4,'领用录入（明细）'!C:C&gt;=$J$4,'领用录入（明细）'!C:C&lt;=$L$4),ROW(),"-")</f>
        <v>-</v>
      </c>
    </row>
    <row r="30872" customHeight="1" spans="2:2">
      <c r="B30872" s="62" t="str">
        <f>IF(AND('领用录入（明细）'!D:D=$F$4,'领用录入（明细）'!C:C&gt;=$J$4,'领用录入（明细）'!C:C&lt;=$L$4),ROW(),"-")</f>
        <v>-</v>
      </c>
    </row>
    <row r="30873" customHeight="1" spans="2:2">
      <c r="B30873" s="62" t="str">
        <f>IF(AND('领用录入（明细）'!D:D=$F$4,'领用录入（明细）'!C:C&gt;=$J$4,'领用录入（明细）'!C:C&lt;=$L$4),ROW(),"-")</f>
        <v>-</v>
      </c>
    </row>
    <row r="30874" customHeight="1" spans="2:2">
      <c r="B30874" s="62" t="str">
        <f>IF(AND('领用录入（明细）'!D:D=$F$4,'领用录入（明细）'!C:C&gt;=$J$4,'领用录入（明细）'!C:C&lt;=$L$4),ROW(),"-")</f>
        <v>-</v>
      </c>
    </row>
    <row r="30875" customHeight="1" spans="2:2">
      <c r="B30875" s="62" t="str">
        <f>IF(AND('领用录入（明细）'!D:D=$F$4,'领用录入（明细）'!C:C&gt;=$J$4,'领用录入（明细）'!C:C&lt;=$L$4),ROW(),"-")</f>
        <v>-</v>
      </c>
    </row>
    <row r="30876" customHeight="1" spans="2:2">
      <c r="B30876" s="62" t="str">
        <f>IF(AND('领用录入（明细）'!D:D=$F$4,'领用录入（明细）'!C:C&gt;=$J$4,'领用录入（明细）'!C:C&lt;=$L$4),ROW(),"-")</f>
        <v>-</v>
      </c>
    </row>
    <row r="30877" customHeight="1" spans="2:2">
      <c r="B30877" s="62" t="str">
        <f>IF(AND('领用录入（明细）'!D:D=$F$4,'领用录入（明细）'!C:C&gt;=$J$4,'领用录入（明细）'!C:C&lt;=$L$4),ROW(),"-")</f>
        <v>-</v>
      </c>
    </row>
    <row r="30878" customHeight="1" spans="2:2">
      <c r="B30878" s="62" t="str">
        <f>IF(AND('领用录入（明细）'!D:D=$F$4,'领用录入（明细）'!C:C&gt;=$J$4,'领用录入（明细）'!C:C&lt;=$L$4),ROW(),"-")</f>
        <v>-</v>
      </c>
    </row>
    <row r="30879" customHeight="1" spans="2:2">
      <c r="B30879" s="62" t="str">
        <f>IF(AND('领用录入（明细）'!D:D=$F$4,'领用录入（明细）'!C:C&gt;=$J$4,'领用录入（明细）'!C:C&lt;=$L$4),ROW(),"-")</f>
        <v>-</v>
      </c>
    </row>
    <row r="30880" customHeight="1" spans="2:2">
      <c r="B30880" s="62" t="str">
        <f>IF(AND('领用录入（明细）'!D:D=$F$4,'领用录入（明细）'!C:C&gt;=$J$4,'领用录入（明细）'!C:C&lt;=$L$4),ROW(),"-")</f>
        <v>-</v>
      </c>
    </row>
    <row r="30881" customHeight="1" spans="2:2">
      <c r="B30881" s="62" t="str">
        <f>IF(AND('领用录入（明细）'!D:D=$F$4,'领用录入（明细）'!C:C&gt;=$J$4,'领用录入（明细）'!C:C&lt;=$L$4),ROW(),"-")</f>
        <v>-</v>
      </c>
    </row>
    <row r="30882" customHeight="1" spans="2:2">
      <c r="B30882" s="62" t="str">
        <f>IF(AND('领用录入（明细）'!D:D=$F$4,'领用录入（明细）'!C:C&gt;=$J$4,'领用录入（明细）'!C:C&lt;=$L$4),ROW(),"-")</f>
        <v>-</v>
      </c>
    </row>
    <row r="30883" customHeight="1" spans="2:2">
      <c r="B30883" s="62" t="str">
        <f>IF(AND('领用录入（明细）'!D:D=$F$4,'领用录入（明细）'!C:C&gt;=$J$4,'领用录入（明细）'!C:C&lt;=$L$4),ROW(),"-")</f>
        <v>-</v>
      </c>
    </row>
    <row r="30884" customHeight="1" spans="2:2">
      <c r="B30884" s="62" t="str">
        <f>IF(AND('领用录入（明细）'!D:D=$F$4,'领用录入（明细）'!C:C&gt;=$J$4,'领用录入（明细）'!C:C&lt;=$L$4),ROW(),"-")</f>
        <v>-</v>
      </c>
    </row>
    <row r="30885" customHeight="1" spans="2:2">
      <c r="B30885" s="62" t="str">
        <f>IF(AND('领用录入（明细）'!D:D=$F$4,'领用录入（明细）'!C:C&gt;=$J$4,'领用录入（明细）'!C:C&lt;=$L$4),ROW(),"-")</f>
        <v>-</v>
      </c>
    </row>
    <row r="30886" customHeight="1" spans="2:2">
      <c r="B30886" s="62" t="str">
        <f>IF(AND('领用录入（明细）'!D:D=$F$4,'领用录入（明细）'!C:C&gt;=$J$4,'领用录入（明细）'!C:C&lt;=$L$4),ROW(),"-")</f>
        <v>-</v>
      </c>
    </row>
    <row r="30887" customHeight="1" spans="2:2">
      <c r="B30887" s="62" t="str">
        <f>IF(AND('领用录入（明细）'!D:D=$F$4,'领用录入（明细）'!C:C&gt;=$J$4,'领用录入（明细）'!C:C&lt;=$L$4),ROW(),"-")</f>
        <v>-</v>
      </c>
    </row>
    <row r="30888" customHeight="1" spans="2:2">
      <c r="B30888" s="62" t="str">
        <f>IF(AND('领用录入（明细）'!D:D=$F$4,'领用录入（明细）'!C:C&gt;=$J$4,'领用录入（明细）'!C:C&lt;=$L$4),ROW(),"-")</f>
        <v>-</v>
      </c>
    </row>
    <row r="30889" customHeight="1" spans="2:2">
      <c r="B30889" s="62" t="str">
        <f>IF(AND('领用录入（明细）'!D:D=$F$4,'领用录入（明细）'!C:C&gt;=$J$4,'领用录入（明细）'!C:C&lt;=$L$4),ROW(),"-")</f>
        <v>-</v>
      </c>
    </row>
    <row r="30890" customHeight="1" spans="2:2">
      <c r="B30890" s="62" t="str">
        <f>IF(AND('领用录入（明细）'!D:D=$F$4,'领用录入（明细）'!C:C&gt;=$J$4,'领用录入（明细）'!C:C&lt;=$L$4),ROW(),"-")</f>
        <v>-</v>
      </c>
    </row>
    <row r="30891" customHeight="1" spans="2:2">
      <c r="B30891" s="62" t="str">
        <f>IF(AND('领用录入（明细）'!D:D=$F$4,'领用录入（明细）'!C:C&gt;=$J$4,'领用录入（明细）'!C:C&lt;=$L$4),ROW(),"-")</f>
        <v>-</v>
      </c>
    </row>
    <row r="30892" customHeight="1" spans="2:2">
      <c r="B30892" s="62" t="str">
        <f>IF(AND('领用录入（明细）'!D:D=$F$4,'领用录入（明细）'!C:C&gt;=$J$4,'领用录入（明细）'!C:C&lt;=$L$4),ROW(),"-")</f>
        <v>-</v>
      </c>
    </row>
    <row r="30893" customHeight="1" spans="2:2">
      <c r="B30893" s="62" t="str">
        <f>IF(AND('领用录入（明细）'!D:D=$F$4,'领用录入（明细）'!C:C&gt;=$J$4,'领用录入（明细）'!C:C&lt;=$L$4),ROW(),"-")</f>
        <v>-</v>
      </c>
    </row>
    <row r="30894" customHeight="1" spans="2:2">
      <c r="B30894" s="62" t="str">
        <f>IF(AND('领用录入（明细）'!D:D=$F$4,'领用录入（明细）'!C:C&gt;=$J$4,'领用录入（明细）'!C:C&lt;=$L$4),ROW(),"-")</f>
        <v>-</v>
      </c>
    </row>
    <row r="30895" customHeight="1" spans="2:2">
      <c r="B30895" s="62" t="str">
        <f>IF(AND('领用录入（明细）'!D:D=$F$4,'领用录入（明细）'!C:C&gt;=$J$4,'领用录入（明细）'!C:C&lt;=$L$4),ROW(),"-")</f>
        <v>-</v>
      </c>
    </row>
    <row r="30896" customHeight="1" spans="2:2">
      <c r="B30896" s="62" t="str">
        <f>IF(AND('领用录入（明细）'!D:D=$F$4,'领用录入（明细）'!C:C&gt;=$J$4,'领用录入（明细）'!C:C&lt;=$L$4),ROW(),"-")</f>
        <v>-</v>
      </c>
    </row>
    <row r="30897" customHeight="1" spans="2:2">
      <c r="B30897" s="62" t="str">
        <f>IF(AND('领用录入（明细）'!D:D=$F$4,'领用录入（明细）'!C:C&gt;=$J$4,'领用录入（明细）'!C:C&lt;=$L$4),ROW(),"-")</f>
        <v>-</v>
      </c>
    </row>
    <row r="30898" customHeight="1" spans="2:2">
      <c r="B30898" s="62" t="str">
        <f>IF(AND('领用录入（明细）'!D:D=$F$4,'领用录入（明细）'!C:C&gt;=$J$4,'领用录入（明细）'!C:C&lt;=$L$4),ROW(),"-")</f>
        <v>-</v>
      </c>
    </row>
    <row r="30899" customHeight="1" spans="2:2">
      <c r="B30899" s="62" t="str">
        <f>IF(AND('领用录入（明细）'!D:D=$F$4,'领用录入（明细）'!C:C&gt;=$J$4,'领用录入（明细）'!C:C&lt;=$L$4),ROW(),"-")</f>
        <v>-</v>
      </c>
    </row>
    <row r="30900" customHeight="1" spans="2:2">
      <c r="B30900" s="62" t="str">
        <f>IF(AND('领用录入（明细）'!D:D=$F$4,'领用录入（明细）'!C:C&gt;=$J$4,'领用录入（明细）'!C:C&lt;=$L$4),ROW(),"-")</f>
        <v>-</v>
      </c>
    </row>
    <row r="30901" customHeight="1" spans="2:2">
      <c r="B30901" s="62" t="str">
        <f>IF(AND('领用录入（明细）'!D:D=$F$4,'领用录入（明细）'!C:C&gt;=$J$4,'领用录入（明细）'!C:C&lt;=$L$4),ROW(),"-")</f>
        <v>-</v>
      </c>
    </row>
    <row r="30902" customHeight="1" spans="2:2">
      <c r="B30902" s="62" t="str">
        <f>IF(AND('领用录入（明细）'!D:D=$F$4,'领用录入（明细）'!C:C&gt;=$J$4,'领用录入（明细）'!C:C&lt;=$L$4),ROW(),"-")</f>
        <v>-</v>
      </c>
    </row>
    <row r="30903" customHeight="1" spans="2:2">
      <c r="B30903" s="62" t="str">
        <f>IF(AND('领用录入（明细）'!D:D=$F$4,'领用录入（明细）'!C:C&gt;=$J$4,'领用录入（明细）'!C:C&lt;=$L$4),ROW(),"-")</f>
        <v>-</v>
      </c>
    </row>
    <row r="30904" customHeight="1" spans="2:2">
      <c r="B30904" s="62" t="str">
        <f>IF(AND('领用录入（明细）'!D:D=$F$4,'领用录入（明细）'!C:C&gt;=$J$4,'领用录入（明细）'!C:C&lt;=$L$4),ROW(),"-")</f>
        <v>-</v>
      </c>
    </row>
    <row r="30905" customHeight="1" spans="2:2">
      <c r="B30905" s="62" t="str">
        <f>IF(AND('领用录入（明细）'!D:D=$F$4,'领用录入（明细）'!C:C&gt;=$J$4,'领用录入（明细）'!C:C&lt;=$L$4),ROW(),"-")</f>
        <v>-</v>
      </c>
    </row>
    <row r="30906" customHeight="1" spans="2:2">
      <c r="B30906" s="62" t="str">
        <f>IF(AND('领用录入（明细）'!D:D=$F$4,'领用录入（明细）'!C:C&gt;=$J$4,'领用录入（明细）'!C:C&lt;=$L$4),ROW(),"-")</f>
        <v>-</v>
      </c>
    </row>
    <row r="30907" customHeight="1" spans="2:2">
      <c r="B30907" s="62" t="str">
        <f>IF(AND('领用录入（明细）'!D:D=$F$4,'领用录入（明细）'!C:C&gt;=$J$4,'领用录入（明细）'!C:C&lt;=$L$4),ROW(),"-")</f>
        <v>-</v>
      </c>
    </row>
    <row r="30908" customHeight="1" spans="2:2">
      <c r="B30908" s="62" t="str">
        <f>IF(AND('领用录入（明细）'!D:D=$F$4,'领用录入（明细）'!C:C&gt;=$J$4,'领用录入（明细）'!C:C&lt;=$L$4),ROW(),"-")</f>
        <v>-</v>
      </c>
    </row>
    <row r="30909" customHeight="1" spans="2:2">
      <c r="B30909" s="62" t="str">
        <f>IF(AND('领用录入（明细）'!D:D=$F$4,'领用录入（明细）'!C:C&gt;=$J$4,'领用录入（明细）'!C:C&lt;=$L$4),ROW(),"-")</f>
        <v>-</v>
      </c>
    </row>
    <row r="30910" customHeight="1" spans="2:2">
      <c r="B30910" s="62" t="str">
        <f>IF(AND('领用录入（明细）'!D:D=$F$4,'领用录入（明细）'!C:C&gt;=$J$4,'领用录入（明细）'!C:C&lt;=$L$4),ROW(),"-")</f>
        <v>-</v>
      </c>
    </row>
    <row r="30911" customHeight="1" spans="2:2">
      <c r="B30911" s="62" t="str">
        <f>IF(AND('领用录入（明细）'!D:D=$F$4,'领用录入（明细）'!C:C&gt;=$J$4,'领用录入（明细）'!C:C&lt;=$L$4),ROW(),"-")</f>
        <v>-</v>
      </c>
    </row>
    <row r="30912" customHeight="1" spans="2:2">
      <c r="B30912" s="62" t="str">
        <f>IF(AND('领用录入（明细）'!D:D=$F$4,'领用录入（明细）'!C:C&gt;=$J$4,'领用录入（明细）'!C:C&lt;=$L$4),ROW(),"-")</f>
        <v>-</v>
      </c>
    </row>
    <row r="30913" customHeight="1" spans="2:2">
      <c r="B30913" s="62" t="str">
        <f>IF(AND('领用录入（明细）'!D:D=$F$4,'领用录入（明细）'!C:C&gt;=$J$4,'领用录入（明细）'!C:C&lt;=$L$4),ROW(),"-")</f>
        <v>-</v>
      </c>
    </row>
    <row r="30914" customHeight="1" spans="2:2">
      <c r="B30914" s="62" t="str">
        <f>IF(AND('领用录入（明细）'!D:D=$F$4,'领用录入（明细）'!C:C&gt;=$J$4,'领用录入（明细）'!C:C&lt;=$L$4),ROW(),"-")</f>
        <v>-</v>
      </c>
    </row>
    <row r="30915" customHeight="1" spans="2:2">
      <c r="B30915" s="62" t="str">
        <f>IF(AND('领用录入（明细）'!D:D=$F$4,'领用录入（明细）'!C:C&gt;=$J$4,'领用录入（明细）'!C:C&lt;=$L$4),ROW(),"-")</f>
        <v>-</v>
      </c>
    </row>
    <row r="30916" customHeight="1" spans="2:2">
      <c r="B30916" s="62" t="str">
        <f>IF(AND('领用录入（明细）'!D:D=$F$4,'领用录入（明细）'!C:C&gt;=$J$4,'领用录入（明细）'!C:C&lt;=$L$4),ROW(),"-")</f>
        <v>-</v>
      </c>
    </row>
    <row r="30917" customHeight="1" spans="2:2">
      <c r="B30917" s="62" t="str">
        <f>IF(AND('领用录入（明细）'!D:D=$F$4,'领用录入（明细）'!C:C&gt;=$J$4,'领用录入（明细）'!C:C&lt;=$L$4),ROW(),"-")</f>
        <v>-</v>
      </c>
    </row>
    <row r="30918" customHeight="1" spans="2:2">
      <c r="B30918" s="62" t="str">
        <f>IF(AND('领用录入（明细）'!D:D=$F$4,'领用录入（明细）'!C:C&gt;=$J$4,'领用录入（明细）'!C:C&lt;=$L$4),ROW(),"-")</f>
        <v>-</v>
      </c>
    </row>
    <row r="30919" customHeight="1" spans="2:2">
      <c r="B30919" s="62" t="str">
        <f>IF(AND('领用录入（明细）'!D:D=$F$4,'领用录入（明细）'!C:C&gt;=$J$4,'领用录入（明细）'!C:C&lt;=$L$4),ROW(),"-")</f>
        <v>-</v>
      </c>
    </row>
    <row r="30920" customHeight="1" spans="2:2">
      <c r="B30920" s="62" t="str">
        <f>IF(AND('领用录入（明细）'!D:D=$F$4,'领用录入（明细）'!C:C&gt;=$J$4,'领用录入（明细）'!C:C&lt;=$L$4),ROW(),"-")</f>
        <v>-</v>
      </c>
    </row>
    <row r="30921" customHeight="1" spans="2:2">
      <c r="B30921" s="62" t="str">
        <f>IF(AND('领用录入（明细）'!D:D=$F$4,'领用录入（明细）'!C:C&gt;=$J$4,'领用录入（明细）'!C:C&lt;=$L$4),ROW(),"-")</f>
        <v>-</v>
      </c>
    </row>
    <row r="30922" customHeight="1" spans="2:2">
      <c r="B30922" s="62" t="str">
        <f>IF(AND('领用录入（明细）'!D:D=$F$4,'领用录入（明细）'!C:C&gt;=$J$4,'领用录入（明细）'!C:C&lt;=$L$4),ROW(),"-")</f>
        <v>-</v>
      </c>
    </row>
    <row r="30923" customHeight="1" spans="2:2">
      <c r="B30923" s="62" t="str">
        <f>IF(AND('领用录入（明细）'!D:D=$F$4,'领用录入（明细）'!C:C&gt;=$J$4,'领用录入（明细）'!C:C&lt;=$L$4),ROW(),"-")</f>
        <v>-</v>
      </c>
    </row>
    <row r="30924" customHeight="1" spans="2:2">
      <c r="B30924" s="62" t="str">
        <f>IF(AND('领用录入（明细）'!D:D=$F$4,'领用录入（明细）'!C:C&gt;=$J$4,'领用录入（明细）'!C:C&lt;=$L$4),ROW(),"-")</f>
        <v>-</v>
      </c>
    </row>
    <row r="30925" customHeight="1" spans="2:2">
      <c r="B30925" s="62" t="str">
        <f>IF(AND('领用录入（明细）'!D:D=$F$4,'领用录入（明细）'!C:C&gt;=$J$4,'领用录入（明细）'!C:C&lt;=$L$4),ROW(),"-")</f>
        <v>-</v>
      </c>
    </row>
    <row r="30926" customHeight="1" spans="2:2">
      <c r="B30926" s="62" t="str">
        <f>IF(AND('领用录入（明细）'!D:D=$F$4,'领用录入（明细）'!C:C&gt;=$J$4,'领用录入（明细）'!C:C&lt;=$L$4),ROW(),"-")</f>
        <v>-</v>
      </c>
    </row>
    <row r="30927" customHeight="1" spans="2:2">
      <c r="B30927" s="62" t="str">
        <f>IF(AND('领用录入（明细）'!D:D=$F$4,'领用录入（明细）'!C:C&gt;=$J$4,'领用录入（明细）'!C:C&lt;=$L$4),ROW(),"-")</f>
        <v>-</v>
      </c>
    </row>
    <row r="30928" customHeight="1" spans="2:2">
      <c r="B30928" s="62" t="str">
        <f>IF(AND('领用录入（明细）'!D:D=$F$4,'领用录入（明细）'!C:C&gt;=$J$4,'领用录入（明细）'!C:C&lt;=$L$4),ROW(),"-")</f>
        <v>-</v>
      </c>
    </row>
    <row r="30929" customHeight="1" spans="2:2">
      <c r="B30929" s="62" t="str">
        <f>IF(AND('领用录入（明细）'!D:D=$F$4,'领用录入（明细）'!C:C&gt;=$J$4,'领用录入（明细）'!C:C&lt;=$L$4),ROW(),"-")</f>
        <v>-</v>
      </c>
    </row>
    <row r="30930" customHeight="1" spans="2:2">
      <c r="B30930" s="62" t="str">
        <f>IF(AND('领用录入（明细）'!D:D=$F$4,'领用录入（明细）'!C:C&gt;=$J$4,'领用录入（明细）'!C:C&lt;=$L$4),ROW(),"-")</f>
        <v>-</v>
      </c>
    </row>
    <row r="30931" customHeight="1" spans="2:2">
      <c r="B30931" s="62" t="str">
        <f>IF(AND('领用录入（明细）'!D:D=$F$4,'领用录入（明细）'!C:C&gt;=$J$4,'领用录入（明细）'!C:C&lt;=$L$4),ROW(),"-")</f>
        <v>-</v>
      </c>
    </row>
    <row r="30932" customHeight="1" spans="2:2">
      <c r="B30932" s="62" t="str">
        <f>IF(AND('领用录入（明细）'!D:D=$F$4,'领用录入（明细）'!C:C&gt;=$J$4,'领用录入（明细）'!C:C&lt;=$L$4),ROW(),"-")</f>
        <v>-</v>
      </c>
    </row>
    <row r="30933" customHeight="1" spans="2:2">
      <c r="B30933" s="62" t="str">
        <f>IF(AND('领用录入（明细）'!D:D=$F$4,'领用录入（明细）'!C:C&gt;=$J$4,'领用录入（明细）'!C:C&lt;=$L$4),ROW(),"-")</f>
        <v>-</v>
      </c>
    </row>
    <row r="30934" customHeight="1" spans="2:2">
      <c r="B30934" s="62" t="str">
        <f>IF(AND('领用录入（明细）'!D:D=$F$4,'领用录入（明细）'!C:C&gt;=$J$4,'领用录入（明细）'!C:C&lt;=$L$4),ROW(),"-")</f>
        <v>-</v>
      </c>
    </row>
    <row r="30935" customHeight="1" spans="2:2">
      <c r="B30935" s="62" t="str">
        <f>IF(AND('领用录入（明细）'!D:D=$F$4,'领用录入（明细）'!C:C&gt;=$J$4,'领用录入（明细）'!C:C&lt;=$L$4),ROW(),"-")</f>
        <v>-</v>
      </c>
    </row>
    <row r="30936" customHeight="1" spans="2:2">
      <c r="B30936" s="62" t="str">
        <f>IF(AND('领用录入（明细）'!D:D=$F$4,'领用录入（明细）'!C:C&gt;=$J$4,'领用录入（明细）'!C:C&lt;=$L$4),ROW(),"-")</f>
        <v>-</v>
      </c>
    </row>
    <row r="30937" customHeight="1" spans="2:2">
      <c r="B30937" s="62" t="str">
        <f>IF(AND('领用录入（明细）'!D:D=$F$4,'领用录入（明细）'!C:C&gt;=$J$4,'领用录入（明细）'!C:C&lt;=$L$4),ROW(),"-")</f>
        <v>-</v>
      </c>
    </row>
    <row r="30938" customHeight="1" spans="2:2">
      <c r="B30938" s="62" t="str">
        <f>IF(AND('领用录入（明细）'!D:D=$F$4,'领用录入（明细）'!C:C&gt;=$J$4,'领用录入（明细）'!C:C&lt;=$L$4),ROW(),"-")</f>
        <v>-</v>
      </c>
    </row>
    <row r="30939" customHeight="1" spans="2:2">
      <c r="B30939" s="62" t="str">
        <f>IF(AND('领用录入（明细）'!D:D=$F$4,'领用录入（明细）'!C:C&gt;=$J$4,'领用录入（明细）'!C:C&lt;=$L$4),ROW(),"-")</f>
        <v>-</v>
      </c>
    </row>
    <row r="30940" customHeight="1" spans="2:2">
      <c r="B30940" s="62" t="str">
        <f>IF(AND('领用录入（明细）'!D:D=$F$4,'领用录入（明细）'!C:C&gt;=$J$4,'领用录入（明细）'!C:C&lt;=$L$4),ROW(),"-")</f>
        <v>-</v>
      </c>
    </row>
    <row r="30941" customHeight="1" spans="2:2">
      <c r="B30941" s="62" t="str">
        <f>IF(AND('领用录入（明细）'!D:D=$F$4,'领用录入（明细）'!C:C&gt;=$J$4,'领用录入（明细）'!C:C&lt;=$L$4),ROW(),"-")</f>
        <v>-</v>
      </c>
    </row>
    <row r="30942" customHeight="1" spans="2:2">
      <c r="B30942" s="62" t="str">
        <f>IF(AND('领用录入（明细）'!D:D=$F$4,'领用录入（明细）'!C:C&gt;=$J$4,'领用录入（明细）'!C:C&lt;=$L$4),ROW(),"-")</f>
        <v>-</v>
      </c>
    </row>
    <row r="30943" customHeight="1" spans="2:2">
      <c r="B30943" s="62" t="str">
        <f>IF(AND('领用录入（明细）'!D:D=$F$4,'领用录入（明细）'!C:C&gt;=$J$4,'领用录入（明细）'!C:C&lt;=$L$4),ROW(),"-")</f>
        <v>-</v>
      </c>
    </row>
    <row r="30944" customHeight="1" spans="2:2">
      <c r="B30944" s="62" t="str">
        <f>IF(AND('领用录入（明细）'!D:D=$F$4,'领用录入（明细）'!C:C&gt;=$J$4,'领用录入（明细）'!C:C&lt;=$L$4),ROW(),"-")</f>
        <v>-</v>
      </c>
    </row>
    <row r="30945" customHeight="1" spans="2:2">
      <c r="B30945" s="62" t="str">
        <f>IF(AND('领用录入（明细）'!D:D=$F$4,'领用录入（明细）'!C:C&gt;=$J$4,'领用录入（明细）'!C:C&lt;=$L$4),ROW(),"-")</f>
        <v>-</v>
      </c>
    </row>
    <row r="30946" customHeight="1" spans="2:2">
      <c r="B30946" s="62" t="str">
        <f>IF(AND('领用录入（明细）'!D:D=$F$4,'领用录入（明细）'!C:C&gt;=$J$4,'领用录入（明细）'!C:C&lt;=$L$4),ROW(),"-")</f>
        <v>-</v>
      </c>
    </row>
    <row r="30947" customHeight="1" spans="2:2">
      <c r="B30947" s="62" t="str">
        <f>IF(AND('领用录入（明细）'!D:D=$F$4,'领用录入（明细）'!C:C&gt;=$J$4,'领用录入（明细）'!C:C&lt;=$L$4),ROW(),"-")</f>
        <v>-</v>
      </c>
    </row>
    <row r="30948" customHeight="1" spans="2:2">
      <c r="B30948" s="62" t="str">
        <f>IF(AND('领用录入（明细）'!D:D=$F$4,'领用录入（明细）'!C:C&gt;=$J$4,'领用录入（明细）'!C:C&lt;=$L$4),ROW(),"-")</f>
        <v>-</v>
      </c>
    </row>
    <row r="30949" customHeight="1" spans="2:2">
      <c r="B30949" s="62" t="str">
        <f>IF(AND('领用录入（明细）'!D:D=$F$4,'领用录入（明细）'!C:C&gt;=$J$4,'领用录入（明细）'!C:C&lt;=$L$4),ROW(),"-")</f>
        <v>-</v>
      </c>
    </row>
    <row r="30950" customHeight="1" spans="2:2">
      <c r="B30950" s="62" t="str">
        <f>IF(AND('领用录入（明细）'!D:D=$F$4,'领用录入（明细）'!C:C&gt;=$J$4,'领用录入（明细）'!C:C&lt;=$L$4),ROW(),"-")</f>
        <v>-</v>
      </c>
    </row>
    <row r="30951" customHeight="1" spans="2:2">
      <c r="B30951" s="62" t="str">
        <f>IF(AND('领用录入（明细）'!D:D=$F$4,'领用录入（明细）'!C:C&gt;=$J$4,'领用录入（明细）'!C:C&lt;=$L$4),ROW(),"-")</f>
        <v>-</v>
      </c>
    </row>
    <row r="30952" customHeight="1" spans="2:2">
      <c r="B30952" s="62" t="str">
        <f>IF(AND('领用录入（明细）'!D:D=$F$4,'领用录入（明细）'!C:C&gt;=$J$4,'领用录入（明细）'!C:C&lt;=$L$4),ROW(),"-")</f>
        <v>-</v>
      </c>
    </row>
    <row r="30953" customHeight="1" spans="2:2">
      <c r="B30953" s="62" t="str">
        <f>IF(AND('领用录入（明细）'!D:D=$F$4,'领用录入（明细）'!C:C&gt;=$J$4,'领用录入（明细）'!C:C&lt;=$L$4),ROW(),"-")</f>
        <v>-</v>
      </c>
    </row>
    <row r="30954" customHeight="1" spans="2:2">
      <c r="B30954" s="62" t="str">
        <f>IF(AND('领用录入（明细）'!D:D=$F$4,'领用录入（明细）'!C:C&gt;=$J$4,'领用录入（明细）'!C:C&lt;=$L$4),ROW(),"-")</f>
        <v>-</v>
      </c>
    </row>
    <row r="30955" customHeight="1" spans="2:2">
      <c r="B30955" s="62" t="str">
        <f>IF(AND('领用录入（明细）'!D:D=$F$4,'领用录入（明细）'!C:C&gt;=$J$4,'领用录入（明细）'!C:C&lt;=$L$4),ROW(),"-")</f>
        <v>-</v>
      </c>
    </row>
    <row r="30956" customHeight="1" spans="2:2">
      <c r="B30956" s="62" t="str">
        <f>IF(AND('领用录入（明细）'!D:D=$F$4,'领用录入（明细）'!C:C&gt;=$J$4,'领用录入（明细）'!C:C&lt;=$L$4),ROW(),"-")</f>
        <v>-</v>
      </c>
    </row>
    <row r="30957" customHeight="1" spans="2:2">
      <c r="B30957" s="62" t="str">
        <f>IF(AND('领用录入（明细）'!D:D=$F$4,'领用录入（明细）'!C:C&gt;=$J$4,'领用录入（明细）'!C:C&lt;=$L$4),ROW(),"-")</f>
        <v>-</v>
      </c>
    </row>
    <row r="30958" customHeight="1" spans="2:2">
      <c r="B30958" s="62" t="str">
        <f>IF(AND('领用录入（明细）'!D:D=$F$4,'领用录入（明细）'!C:C&gt;=$J$4,'领用录入（明细）'!C:C&lt;=$L$4),ROW(),"-")</f>
        <v>-</v>
      </c>
    </row>
    <row r="30959" customHeight="1" spans="2:2">
      <c r="B30959" s="62" t="str">
        <f>IF(AND('领用录入（明细）'!D:D=$F$4,'领用录入（明细）'!C:C&gt;=$J$4,'领用录入（明细）'!C:C&lt;=$L$4),ROW(),"-")</f>
        <v>-</v>
      </c>
    </row>
    <row r="30960" customHeight="1" spans="2:2">
      <c r="B30960" s="62" t="str">
        <f>IF(AND('领用录入（明细）'!D:D=$F$4,'领用录入（明细）'!C:C&gt;=$J$4,'领用录入（明细）'!C:C&lt;=$L$4),ROW(),"-")</f>
        <v>-</v>
      </c>
    </row>
    <row r="30961" customHeight="1" spans="2:2">
      <c r="B30961" s="62" t="str">
        <f>IF(AND('领用录入（明细）'!D:D=$F$4,'领用录入（明细）'!C:C&gt;=$J$4,'领用录入（明细）'!C:C&lt;=$L$4),ROW(),"-")</f>
        <v>-</v>
      </c>
    </row>
    <row r="30962" customHeight="1" spans="2:2">
      <c r="B30962" s="62" t="str">
        <f>IF(AND('领用录入（明细）'!D:D=$F$4,'领用录入（明细）'!C:C&gt;=$J$4,'领用录入（明细）'!C:C&lt;=$L$4),ROW(),"-")</f>
        <v>-</v>
      </c>
    </row>
    <row r="30963" customHeight="1" spans="2:2">
      <c r="B30963" s="62" t="str">
        <f>IF(AND('领用录入（明细）'!D:D=$F$4,'领用录入（明细）'!C:C&gt;=$J$4,'领用录入（明细）'!C:C&lt;=$L$4),ROW(),"-")</f>
        <v>-</v>
      </c>
    </row>
    <row r="30964" customHeight="1" spans="2:2">
      <c r="B30964" s="62" t="str">
        <f>IF(AND('领用录入（明细）'!D:D=$F$4,'领用录入（明细）'!C:C&gt;=$J$4,'领用录入（明细）'!C:C&lt;=$L$4),ROW(),"-")</f>
        <v>-</v>
      </c>
    </row>
    <row r="30965" customHeight="1" spans="2:2">
      <c r="B30965" s="62" t="str">
        <f>IF(AND('领用录入（明细）'!D:D=$F$4,'领用录入（明细）'!C:C&gt;=$J$4,'领用录入（明细）'!C:C&lt;=$L$4),ROW(),"-")</f>
        <v>-</v>
      </c>
    </row>
    <row r="30966" customHeight="1" spans="2:2">
      <c r="B30966" s="62" t="str">
        <f>IF(AND('领用录入（明细）'!D:D=$F$4,'领用录入（明细）'!C:C&gt;=$J$4,'领用录入（明细）'!C:C&lt;=$L$4),ROW(),"-")</f>
        <v>-</v>
      </c>
    </row>
    <row r="30967" customHeight="1" spans="2:2">
      <c r="B30967" s="62" t="str">
        <f>IF(AND('领用录入（明细）'!D:D=$F$4,'领用录入（明细）'!C:C&gt;=$J$4,'领用录入（明细）'!C:C&lt;=$L$4),ROW(),"-")</f>
        <v>-</v>
      </c>
    </row>
    <row r="30968" customHeight="1" spans="2:2">
      <c r="B30968" s="62" t="str">
        <f>IF(AND('领用录入（明细）'!D:D=$F$4,'领用录入（明细）'!C:C&gt;=$J$4,'领用录入（明细）'!C:C&lt;=$L$4),ROW(),"-")</f>
        <v>-</v>
      </c>
    </row>
    <row r="30969" customHeight="1" spans="2:2">
      <c r="B30969" s="62" t="str">
        <f>IF(AND('领用录入（明细）'!D:D=$F$4,'领用录入（明细）'!C:C&gt;=$J$4,'领用录入（明细）'!C:C&lt;=$L$4),ROW(),"-")</f>
        <v>-</v>
      </c>
    </row>
    <row r="30970" customHeight="1" spans="2:2">
      <c r="B30970" s="62" t="str">
        <f>IF(AND('领用录入（明细）'!D:D=$F$4,'领用录入（明细）'!C:C&gt;=$J$4,'领用录入（明细）'!C:C&lt;=$L$4),ROW(),"-")</f>
        <v>-</v>
      </c>
    </row>
    <row r="30971" customHeight="1" spans="2:2">
      <c r="B30971" s="62" t="str">
        <f>IF(AND('领用录入（明细）'!D:D=$F$4,'领用录入（明细）'!C:C&gt;=$J$4,'领用录入（明细）'!C:C&lt;=$L$4),ROW(),"-")</f>
        <v>-</v>
      </c>
    </row>
    <row r="30972" customHeight="1" spans="2:2">
      <c r="B30972" s="62" t="str">
        <f>IF(AND('领用录入（明细）'!D:D=$F$4,'领用录入（明细）'!C:C&gt;=$J$4,'领用录入（明细）'!C:C&lt;=$L$4),ROW(),"-")</f>
        <v>-</v>
      </c>
    </row>
    <row r="30973" customHeight="1" spans="2:2">
      <c r="B30973" s="62" t="str">
        <f>IF(AND('领用录入（明细）'!D:D=$F$4,'领用录入（明细）'!C:C&gt;=$J$4,'领用录入（明细）'!C:C&lt;=$L$4),ROW(),"-")</f>
        <v>-</v>
      </c>
    </row>
    <row r="30974" customHeight="1" spans="2:2">
      <c r="B30974" s="62" t="str">
        <f>IF(AND('领用录入（明细）'!D:D=$F$4,'领用录入（明细）'!C:C&gt;=$J$4,'领用录入（明细）'!C:C&lt;=$L$4),ROW(),"-")</f>
        <v>-</v>
      </c>
    </row>
    <row r="30975" customHeight="1" spans="2:2">
      <c r="B30975" s="62" t="str">
        <f>IF(AND('领用录入（明细）'!D:D=$F$4,'领用录入（明细）'!C:C&gt;=$J$4,'领用录入（明细）'!C:C&lt;=$L$4),ROW(),"-")</f>
        <v>-</v>
      </c>
    </row>
    <row r="30976" customHeight="1" spans="2:2">
      <c r="B30976" s="62" t="str">
        <f>IF(AND('领用录入（明细）'!D:D=$F$4,'领用录入（明细）'!C:C&gt;=$J$4,'领用录入（明细）'!C:C&lt;=$L$4),ROW(),"-")</f>
        <v>-</v>
      </c>
    </row>
    <row r="30977" customHeight="1" spans="2:2">
      <c r="B30977" s="62" t="str">
        <f>IF(AND('领用录入（明细）'!D:D=$F$4,'领用录入（明细）'!C:C&gt;=$J$4,'领用录入（明细）'!C:C&lt;=$L$4),ROW(),"-")</f>
        <v>-</v>
      </c>
    </row>
    <row r="30978" customHeight="1" spans="2:2">
      <c r="B30978" s="62" t="str">
        <f>IF(AND('领用录入（明细）'!D:D=$F$4,'领用录入（明细）'!C:C&gt;=$J$4,'领用录入（明细）'!C:C&lt;=$L$4),ROW(),"-")</f>
        <v>-</v>
      </c>
    </row>
    <row r="30979" customHeight="1" spans="2:2">
      <c r="B30979" s="62" t="str">
        <f>IF(AND('领用录入（明细）'!D:D=$F$4,'领用录入（明细）'!C:C&gt;=$J$4,'领用录入（明细）'!C:C&lt;=$L$4),ROW(),"-")</f>
        <v>-</v>
      </c>
    </row>
    <row r="30980" customHeight="1" spans="2:2">
      <c r="B30980" s="62" t="str">
        <f>IF(AND('领用录入（明细）'!D:D=$F$4,'领用录入（明细）'!C:C&gt;=$J$4,'领用录入（明细）'!C:C&lt;=$L$4),ROW(),"-")</f>
        <v>-</v>
      </c>
    </row>
    <row r="30981" customHeight="1" spans="2:2">
      <c r="B30981" s="62" t="str">
        <f>IF(AND('领用录入（明细）'!D:D=$F$4,'领用录入（明细）'!C:C&gt;=$J$4,'领用录入（明细）'!C:C&lt;=$L$4),ROW(),"-")</f>
        <v>-</v>
      </c>
    </row>
    <row r="30982" customHeight="1" spans="2:2">
      <c r="B30982" s="62" t="str">
        <f>IF(AND('领用录入（明细）'!D:D=$F$4,'领用录入（明细）'!C:C&gt;=$J$4,'领用录入（明细）'!C:C&lt;=$L$4),ROW(),"-")</f>
        <v>-</v>
      </c>
    </row>
    <row r="30983" customHeight="1" spans="2:2">
      <c r="B30983" s="62" t="str">
        <f>IF(AND('领用录入（明细）'!D:D=$F$4,'领用录入（明细）'!C:C&gt;=$J$4,'领用录入（明细）'!C:C&lt;=$L$4),ROW(),"-")</f>
        <v>-</v>
      </c>
    </row>
    <row r="30984" customHeight="1" spans="2:2">
      <c r="B30984" s="62" t="str">
        <f>IF(AND('领用录入（明细）'!D:D=$F$4,'领用录入（明细）'!C:C&gt;=$J$4,'领用录入（明细）'!C:C&lt;=$L$4),ROW(),"-")</f>
        <v>-</v>
      </c>
    </row>
    <row r="30985" customHeight="1" spans="2:2">
      <c r="B30985" s="62" t="str">
        <f>IF(AND('领用录入（明细）'!D:D=$F$4,'领用录入（明细）'!C:C&gt;=$J$4,'领用录入（明细）'!C:C&lt;=$L$4),ROW(),"-")</f>
        <v>-</v>
      </c>
    </row>
    <row r="30986" customHeight="1" spans="2:2">
      <c r="B30986" s="62" t="str">
        <f>IF(AND('领用录入（明细）'!D:D=$F$4,'领用录入（明细）'!C:C&gt;=$J$4,'领用录入（明细）'!C:C&lt;=$L$4),ROW(),"-")</f>
        <v>-</v>
      </c>
    </row>
    <row r="30987" customHeight="1" spans="2:2">
      <c r="B30987" s="62" t="str">
        <f>IF(AND('领用录入（明细）'!D:D=$F$4,'领用录入（明细）'!C:C&gt;=$J$4,'领用录入（明细）'!C:C&lt;=$L$4),ROW(),"-")</f>
        <v>-</v>
      </c>
    </row>
    <row r="30988" customHeight="1" spans="2:2">
      <c r="B30988" s="62" t="str">
        <f>IF(AND('领用录入（明细）'!D:D=$F$4,'领用录入（明细）'!C:C&gt;=$J$4,'领用录入（明细）'!C:C&lt;=$L$4),ROW(),"-")</f>
        <v>-</v>
      </c>
    </row>
    <row r="30989" customHeight="1" spans="2:2">
      <c r="B30989" s="62" t="str">
        <f>IF(AND('领用录入（明细）'!D:D=$F$4,'领用录入（明细）'!C:C&gt;=$J$4,'领用录入（明细）'!C:C&lt;=$L$4),ROW(),"-")</f>
        <v>-</v>
      </c>
    </row>
    <row r="30990" customHeight="1" spans="2:2">
      <c r="B30990" s="62" t="str">
        <f>IF(AND('领用录入（明细）'!D:D=$F$4,'领用录入（明细）'!C:C&gt;=$J$4,'领用录入（明细）'!C:C&lt;=$L$4),ROW(),"-")</f>
        <v>-</v>
      </c>
    </row>
    <row r="30991" customHeight="1" spans="2:2">
      <c r="B30991" s="62" t="str">
        <f>IF(AND('领用录入（明细）'!D:D=$F$4,'领用录入（明细）'!C:C&gt;=$J$4,'领用录入（明细）'!C:C&lt;=$L$4),ROW(),"-")</f>
        <v>-</v>
      </c>
    </row>
    <row r="30992" customHeight="1" spans="2:2">
      <c r="B30992" s="62" t="str">
        <f>IF(AND('领用录入（明细）'!D:D=$F$4,'领用录入（明细）'!C:C&gt;=$J$4,'领用录入（明细）'!C:C&lt;=$L$4),ROW(),"-")</f>
        <v>-</v>
      </c>
    </row>
    <row r="30993" customHeight="1" spans="2:2">
      <c r="B30993" s="62" t="str">
        <f>IF(AND('领用录入（明细）'!D:D=$F$4,'领用录入（明细）'!C:C&gt;=$J$4,'领用录入（明细）'!C:C&lt;=$L$4),ROW(),"-")</f>
        <v>-</v>
      </c>
    </row>
    <row r="30994" customHeight="1" spans="2:2">
      <c r="B30994" s="62" t="str">
        <f>IF(AND('领用录入（明细）'!D:D=$F$4,'领用录入（明细）'!C:C&gt;=$J$4,'领用录入（明细）'!C:C&lt;=$L$4),ROW(),"-")</f>
        <v>-</v>
      </c>
    </row>
    <row r="30995" customHeight="1" spans="2:2">
      <c r="B30995" s="62" t="str">
        <f>IF(AND('领用录入（明细）'!D:D=$F$4,'领用录入（明细）'!C:C&gt;=$J$4,'领用录入（明细）'!C:C&lt;=$L$4),ROW(),"-")</f>
        <v>-</v>
      </c>
    </row>
    <row r="30996" customHeight="1" spans="2:2">
      <c r="B30996" s="62" t="str">
        <f>IF(AND('领用录入（明细）'!D:D=$F$4,'领用录入（明细）'!C:C&gt;=$J$4,'领用录入（明细）'!C:C&lt;=$L$4),ROW(),"-")</f>
        <v>-</v>
      </c>
    </row>
    <row r="30997" customHeight="1" spans="2:2">
      <c r="B30997" s="62" t="str">
        <f>IF(AND('领用录入（明细）'!D:D=$F$4,'领用录入（明细）'!C:C&gt;=$J$4,'领用录入（明细）'!C:C&lt;=$L$4),ROW(),"-")</f>
        <v>-</v>
      </c>
    </row>
    <row r="30998" customHeight="1" spans="2:2">
      <c r="B30998" s="62" t="str">
        <f>IF(AND('领用录入（明细）'!D:D=$F$4,'领用录入（明细）'!C:C&gt;=$J$4,'领用录入（明细）'!C:C&lt;=$L$4),ROW(),"-")</f>
        <v>-</v>
      </c>
    </row>
    <row r="30999" customHeight="1" spans="2:2">
      <c r="B30999" s="62" t="str">
        <f>IF(AND('领用录入（明细）'!D:D=$F$4,'领用录入（明细）'!C:C&gt;=$J$4,'领用录入（明细）'!C:C&lt;=$L$4),ROW(),"-")</f>
        <v>-</v>
      </c>
    </row>
    <row r="31000" customHeight="1" spans="2:2">
      <c r="B31000" s="62" t="str">
        <f>IF(AND('领用录入（明细）'!D:D=$F$4,'领用录入（明细）'!C:C&gt;=$J$4,'领用录入（明细）'!C:C&lt;=$L$4),ROW(),"-")</f>
        <v>-</v>
      </c>
    </row>
    <row r="31001" customHeight="1" spans="2:2">
      <c r="B31001" s="62" t="str">
        <f>IF(AND('领用录入（明细）'!D:D=$F$4,'领用录入（明细）'!C:C&gt;=$J$4,'领用录入（明细）'!C:C&lt;=$L$4),ROW(),"-")</f>
        <v>-</v>
      </c>
    </row>
    <row r="31002" customHeight="1" spans="2:2">
      <c r="B31002" s="62" t="str">
        <f>IF(AND('领用录入（明细）'!D:D=$F$4,'领用录入（明细）'!C:C&gt;=$J$4,'领用录入（明细）'!C:C&lt;=$L$4),ROW(),"-")</f>
        <v>-</v>
      </c>
    </row>
    <row r="31003" customHeight="1" spans="2:2">
      <c r="B31003" s="62" t="str">
        <f>IF(AND('领用录入（明细）'!D:D=$F$4,'领用录入（明细）'!C:C&gt;=$J$4,'领用录入（明细）'!C:C&lt;=$L$4),ROW(),"-")</f>
        <v>-</v>
      </c>
    </row>
    <row r="31004" customHeight="1" spans="2:2">
      <c r="B31004" s="62" t="str">
        <f>IF(AND('领用录入（明细）'!D:D=$F$4,'领用录入（明细）'!C:C&gt;=$J$4,'领用录入（明细）'!C:C&lt;=$L$4),ROW(),"-")</f>
        <v>-</v>
      </c>
    </row>
    <row r="31005" customHeight="1" spans="2:2">
      <c r="B31005" s="62" t="str">
        <f>IF(AND('领用录入（明细）'!D:D=$F$4,'领用录入（明细）'!C:C&gt;=$J$4,'领用录入（明细）'!C:C&lt;=$L$4),ROW(),"-")</f>
        <v>-</v>
      </c>
    </row>
    <row r="31006" customHeight="1" spans="2:2">
      <c r="B31006" s="62" t="str">
        <f>IF(AND('领用录入（明细）'!D:D=$F$4,'领用录入（明细）'!C:C&gt;=$J$4,'领用录入（明细）'!C:C&lt;=$L$4),ROW(),"-")</f>
        <v>-</v>
      </c>
    </row>
    <row r="31007" customHeight="1" spans="2:2">
      <c r="B31007" s="62" t="str">
        <f>IF(AND('领用录入（明细）'!D:D=$F$4,'领用录入（明细）'!C:C&gt;=$J$4,'领用录入（明细）'!C:C&lt;=$L$4),ROW(),"-")</f>
        <v>-</v>
      </c>
    </row>
    <row r="31008" customHeight="1" spans="2:2">
      <c r="B31008" s="62" t="str">
        <f>IF(AND('领用录入（明细）'!D:D=$F$4,'领用录入（明细）'!C:C&gt;=$J$4,'领用录入（明细）'!C:C&lt;=$L$4),ROW(),"-")</f>
        <v>-</v>
      </c>
    </row>
    <row r="31009" customHeight="1" spans="2:2">
      <c r="B31009" s="62" t="str">
        <f>IF(AND('领用录入（明细）'!D:D=$F$4,'领用录入（明细）'!C:C&gt;=$J$4,'领用录入（明细）'!C:C&lt;=$L$4),ROW(),"-")</f>
        <v>-</v>
      </c>
    </row>
    <row r="31010" customHeight="1" spans="2:2">
      <c r="B31010" s="62" t="str">
        <f>IF(AND('领用录入（明细）'!D:D=$F$4,'领用录入（明细）'!C:C&gt;=$J$4,'领用录入（明细）'!C:C&lt;=$L$4),ROW(),"-")</f>
        <v>-</v>
      </c>
    </row>
    <row r="31011" customHeight="1" spans="2:2">
      <c r="B31011" s="62" t="str">
        <f>IF(AND('领用录入（明细）'!D:D=$F$4,'领用录入（明细）'!C:C&gt;=$J$4,'领用录入（明细）'!C:C&lt;=$L$4),ROW(),"-")</f>
        <v>-</v>
      </c>
    </row>
    <row r="31012" customHeight="1" spans="2:2">
      <c r="B31012" s="62" t="str">
        <f>IF(AND('领用录入（明细）'!D:D=$F$4,'领用录入（明细）'!C:C&gt;=$J$4,'领用录入（明细）'!C:C&lt;=$L$4),ROW(),"-")</f>
        <v>-</v>
      </c>
    </row>
    <row r="31013" customHeight="1" spans="2:2">
      <c r="B31013" s="62" t="str">
        <f>IF(AND('领用录入（明细）'!D:D=$F$4,'领用录入（明细）'!C:C&gt;=$J$4,'领用录入（明细）'!C:C&lt;=$L$4),ROW(),"-")</f>
        <v>-</v>
      </c>
    </row>
    <row r="31014" customHeight="1" spans="2:2">
      <c r="B31014" s="62" t="str">
        <f>IF(AND('领用录入（明细）'!D:D=$F$4,'领用录入（明细）'!C:C&gt;=$J$4,'领用录入（明细）'!C:C&lt;=$L$4),ROW(),"-")</f>
        <v>-</v>
      </c>
    </row>
    <row r="31015" customHeight="1" spans="2:2">
      <c r="B31015" s="62" t="str">
        <f>IF(AND('领用录入（明细）'!D:D=$F$4,'领用录入（明细）'!C:C&gt;=$J$4,'领用录入（明细）'!C:C&lt;=$L$4),ROW(),"-")</f>
        <v>-</v>
      </c>
    </row>
    <row r="31016" customHeight="1" spans="2:2">
      <c r="B31016" s="62" t="str">
        <f>IF(AND('领用录入（明细）'!D:D=$F$4,'领用录入（明细）'!C:C&gt;=$J$4,'领用录入（明细）'!C:C&lt;=$L$4),ROW(),"-")</f>
        <v>-</v>
      </c>
    </row>
    <row r="31017" customHeight="1" spans="2:2">
      <c r="B31017" s="62" t="str">
        <f>IF(AND('领用录入（明细）'!D:D=$F$4,'领用录入（明细）'!C:C&gt;=$J$4,'领用录入（明细）'!C:C&lt;=$L$4),ROW(),"-")</f>
        <v>-</v>
      </c>
    </row>
    <row r="31018" customHeight="1" spans="2:2">
      <c r="B31018" s="62" t="str">
        <f>IF(AND('领用录入（明细）'!D:D=$F$4,'领用录入（明细）'!C:C&gt;=$J$4,'领用录入（明细）'!C:C&lt;=$L$4),ROW(),"-")</f>
        <v>-</v>
      </c>
    </row>
    <row r="31019" customHeight="1" spans="2:2">
      <c r="B31019" s="62" t="str">
        <f>IF(AND('领用录入（明细）'!D:D=$F$4,'领用录入（明细）'!C:C&gt;=$J$4,'领用录入（明细）'!C:C&lt;=$L$4),ROW(),"-")</f>
        <v>-</v>
      </c>
    </row>
    <row r="31020" customHeight="1" spans="2:2">
      <c r="B31020" s="62" t="str">
        <f>IF(AND('领用录入（明细）'!D:D=$F$4,'领用录入（明细）'!C:C&gt;=$J$4,'领用录入（明细）'!C:C&lt;=$L$4),ROW(),"-")</f>
        <v>-</v>
      </c>
    </row>
    <row r="31021" customHeight="1" spans="2:2">
      <c r="B31021" s="62" t="str">
        <f>IF(AND('领用录入（明细）'!D:D=$F$4,'领用录入（明细）'!C:C&gt;=$J$4,'领用录入（明细）'!C:C&lt;=$L$4),ROW(),"-")</f>
        <v>-</v>
      </c>
    </row>
    <row r="31022" customHeight="1" spans="2:2">
      <c r="B31022" s="62" t="str">
        <f>IF(AND('领用录入（明细）'!D:D=$F$4,'领用录入（明细）'!C:C&gt;=$J$4,'领用录入（明细）'!C:C&lt;=$L$4),ROW(),"-")</f>
        <v>-</v>
      </c>
    </row>
    <row r="31023" customHeight="1" spans="2:2">
      <c r="B31023" s="62" t="str">
        <f>IF(AND('领用录入（明细）'!D:D=$F$4,'领用录入（明细）'!C:C&gt;=$J$4,'领用录入（明细）'!C:C&lt;=$L$4),ROW(),"-")</f>
        <v>-</v>
      </c>
    </row>
    <row r="31024" customHeight="1" spans="2:2">
      <c r="B31024" s="62" t="str">
        <f>IF(AND('领用录入（明细）'!D:D=$F$4,'领用录入（明细）'!C:C&gt;=$J$4,'领用录入（明细）'!C:C&lt;=$L$4),ROW(),"-")</f>
        <v>-</v>
      </c>
    </row>
    <row r="31025" customHeight="1" spans="2:2">
      <c r="B31025" s="62" t="str">
        <f>IF(AND('领用录入（明细）'!D:D=$F$4,'领用录入（明细）'!C:C&gt;=$J$4,'领用录入（明细）'!C:C&lt;=$L$4),ROW(),"-")</f>
        <v>-</v>
      </c>
    </row>
    <row r="31026" customHeight="1" spans="2:2">
      <c r="B31026" s="62" t="str">
        <f>IF(AND('领用录入（明细）'!D:D=$F$4,'领用录入（明细）'!C:C&gt;=$J$4,'领用录入（明细）'!C:C&lt;=$L$4),ROW(),"-")</f>
        <v>-</v>
      </c>
    </row>
    <row r="31027" customHeight="1" spans="2:2">
      <c r="B31027" s="62" t="str">
        <f>IF(AND('领用录入（明细）'!D:D=$F$4,'领用录入（明细）'!C:C&gt;=$J$4,'领用录入（明细）'!C:C&lt;=$L$4),ROW(),"-")</f>
        <v>-</v>
      </c>
    </row>
    <row r="31028" customHeight="1" spans="2:2">
      <c r="B31028" s="62" t="str">
        <f>IF(AND('领用录入（明细）'!D:D=$F$4,'领用录入（明细）'!C:C&gt;=$J$4,'领用录入（明细）'!C:C&lt;=$L$4),ROW(),"-")</f>
        <v>-</v>
      </c>
    </row>
    <row r="31029" customHeight="1" spans="2:2">
      <c r="B31029" s="62" t="str">
        <f>IF(AND('领用录入（明细）'!D:D=$F$4,'领用录入（明细）'!C:C&gt;=$J$4,'领用录入（明细）'!C:C&lt;=$L$4),ROW(),"-")</f>
        <v>-</v>
      </c>
    </row>
    <row r="31030" customHeight="1" spans="2:2">
      <c r="B31030" s="62" t="str">
        <f>IF(AND('领用录入（明细）'!D:D=$F$4,'领用录入（明细）'!C:C&gt;=$J$4,'领用录入（明细）'!C:C&lt;=$L$4),ROW(),"-")</f>
        <v>-</v>
      </c>
    </row>
    <row r="31031" customHeight="1" spans="2:2">
      <c r="B31031" s="62" t="str">
        <f>IF(AND('领用录入（明细）'!D:D=$F$4,'领用录入（明细）'!C:C&gt;=$J$4,'领用录入（明细）'!C:C&lt;=$L$4),ROW(),"-")</f>
        <v>-</v>
      </c>
    </row>
    <row r="31032" customHeight="1" spans="2:2">
      <c r="B31032" s="62" t="str">
        <f>IF(AND('领用录入（明细）'!D:D=$F$4,'领用录入（明细）'!C:C&gt;=$J$4,'领用录入（明细）'!C:C&lt;=$L$4),ROW(),"-")</f>
        <v>-</v>
      </c>
    </row>
    <row r="31033" customHeight="1" spans="2:2">
      <c r="B31033" s="62" t="str">
        <f>IF(AND('领用录入（明细）'!D:D=$F$4,'领用录入（明细）'!C:C&gt;=$J$4,'领用录入（明细）'!C:C&lt;=$L$4),ROW(),"-")</f>
        <v>-</v>
      </c>
    </row>
    <row r="31034" customHeight="1" spans="2:2">
      <c r="B31034" s="62" t="str">
        <f>IF(AND('领用录入（明细）'!D:D=$F$4,'领用录入（明细）'!C:C&gt;=$J$4,'领用录入（明细）'!C:C&lt;=$L$4),ROW(),"-")</f>
        <v>-</v>
      </c>
    </row>
    <row r="31035" customHeight="1" spans="2:2">
      <c r="B31035" s="62" t="str">
        <f>IF(AND('领用录入（明细）'!D:D=$F$4,'领用录入（明细）'!C:C&gt;=$J$4,'领用录入（明细）'!C:C&lt;=$L$4),ROW(),"-")</f>
        <v>-</v>
      </c>
    </row>
    <row r="31036" customHeight="1" spans="2:2">
      <c r="B31036" s="62" t="str">
        <f>IF(AND('领用录入（明细）'!D:D=$F$4,'领用录入（明细）'!C:C&gt;=$J$4,'领用录入（明细）'!C:C&lt;=$L$4),ROW(),"-")</f>
        <v>-</v>
      </c>
    </row>
    <row r="31037" customHeight="1" spans="2:2">
      <c r="B31037" s="62" t="str">
        <f>IF(AND('领用录入（明细）'!D:D=$F$4,'领用录入（明细）'!C:C&gt;=$J$4,'领用录入（明细）'!C:C&lt;=$L$4),ROW(),"-")</f>
        <v>-</v>
      </c>
    </row>
    <row r="31038" customHeight="1" spans="2:2">
      <c r="B31038" s="62" t="str">
        <f>IF(AND('领用录入（明细）'!D:D=$F$4,'领用录入（明细）'!C:C&gt;=$J$4,'领用录入（明细）'!C:C&lt;=$L$4),ROW(),"-")</f>
        <v>-</v>
      </c>
    </row>
    <row r="31039" customHeight="1" spans="2:2">
      <c r="B31039" s="62" t="str">
        <f>IF(AND('领用录入（明细）'!D:D=$F$4,'领用录入（明细）'!C:C&gt;=$J$4,'领用录入（明细）'!C:C&lt;=$L$4),ROW(),"-")</f>
        <v>-</v>
      </c>
    </row>
    <row r="31040" customHeight="1" spans="2:2">
      <c r="B31040" s="62" t="str">
        <f>IF(AND('领用录入（明细）'!D:D=$F$4,'领用录入（明细）'!C:C&gt;=$J$4,'领用录入（明细）'!C:C&lt;=$L$4),ROW(),"-")</f>
        <v>-</v>
      </c>
    </row>
    <row r="31041" customHeight="1" spans="2:2">
      <c r="B31041" s="62" t="str">
        <f>IF(AND('领用录入（明细）'!D:D=$F$4,'领用录入（明细）'!C:C&gt;=$J$4,'领用录入（明细）'!C:C&lt;=$L$4),ROW(),"-")</f>
        <v>-</v>
      </c>
    </row>
    <row r="31042" customHeight="1" spans="2:2">
      <c r="B31042" s="62" t="str">
        <f>IF(AND('领用录入（明细）'!D:D=$F$4,'领用录入（明细）'!C:C&gt;=$J$4,'领用录入（明细）'!C:C&lt;=$L$4),ROW(),"-")</f>
        <v>-</v>
      </c>
    </row>
    <row r="31043" customHeight="1" spans="2:2">
      <c r="B31043" s="62" t="str">
        <f>IF(AND('领用录入（明细）'!D:D=$F$4,'领用录入（明细）'!C:C&gt;=$J$4,'领用录入（明细）'!C:C&lt;=$L$4),ROW(),"-")</f>
        <v>-</v>
      </c>
    </row>
    <row r="31044" customHeight="1" spans="2:2">
      <c r="B31044" s="62" t="str">
        <f>IF(AND('领用录入（明细）'!D:D=$F$4,'领用录入（明细）'!C:C&gt;=$J$4,'领用录入（明细）'!C:C&lt;=$L$4),ROW(),"-")</f>
        <v>-</v>
      </c>
    </row>
    <row r="31045" customHeight="1" spans="2:2">
      <c r="B31045" s="62" t="str">
        <f>IF(AND('领用录入（明细）'!D:D=$F$4,'领用录入（明细）'!C:C&gt;=$J$4,'领用录入（明细）'!C:C&lt;=$L$4),ROW(),"-")</f>
        <v>-</v>
      </c>
    </row>
    <row r="31046" customHeight="1" spans="2:2">
      <c r="B31046" s="62" t="str">
        <f>IF(AND('领用录入（明细）'!D:D=$F$4,'领用录入（明细）'!C:C&gt;=$J$4,'领用录入（明细）'!C:C&lt;=$L$4),ROW(),"-")</f>
        <v>-</v>
      </c>
    </row>
    <row r="31047" customHeight="1" spans="2:2">
      <c r="B31047" s="62" t="str">
        <f>IF(AND('领用录入（明细）'!D:D=$F$4,'领用录入（明细）'!C:C&gt;=$J$4,'领用录入（明细）'!C:C&lt;=$L$4),ROW(),"-")</f>
        <v>-</v>
      </c>
    </row>
    <row r="31048" customHeight="1" spans="2:2">
      <c r="B31048" s="62" t="str">
        <f>IF(AND('领用录入（明细）'!D:D=$F$4,'领用录入（明细）'!C:C&gt;=$J$4,'领用录入（明细）'!C:C&lt;=$L$4),ROW(),"-")</f>
        <v>-</v>
      </c>
    </row>
    <row r="31049" customHeight="1" spans="2:2">
      <c r="B31049" s="62" t="str">
        <f>IF(AND('领用录入（明细）'!D:D=$F$4,'领用录入（明细）'!C:C&gt;=$J$4,'领用录入（明细）'!C:C&lt;=$L$4),ROW(),"-")</f>
        <v>-</v>
      </c>
    </row>
    <row r="31050" customHeight="1" spans="2:2">
      <c r="B31050" s="62" t="str">
        <f>IF(AND('领用录入（明细）'!D:D=$F$4,'领用录入（明细）'!C:C&gt;=$J$4,'领用录入（明细）'!C:C&lt;=$L$4),ROW(),"-")</f>
        <v>-</v>
      </c>
    </row>
    <row r="31051" customHeight="1" spans="2:2">
      <c r="B31051" s="62" t="str">
        <f>IF(AND('领用录入（明细）'!D:D=$F$4,'领用录入（明细）'!C:C&gt;=$J$4,'领用录入（明细）'!C:C&lt;=$L$4),ROW(),"-")</f>
        <v>-</v>
      </c>
    </row>
    <row r="31052" customHeight="1" spans="2:2">
      <c r="B31052" s="62" t="str">
        <f>IF(AND('领用录入（明细）'!D:D=$F$4,'领用录入（明细）'!C:C&gt;=$J$4,'领用录入（明细）'!C:C&lt;=$L$4),ROW(),"-")</f>
        <v>-</v>
      </c>
    </row>
    <row r="31053" customHeight="1" spans="2:2">
      <c r="B31053" s="62" t="str">
        <f>IF(AND('领用录入（明细）'!D:D=$F$4,'领用录入（明细）'!C:C&gt;=$J$4,'领用录入（明细）'!C:C&lt;=$L$4),ROW(),"-")</f>
        <v>-</v>
      </c>
    </row>
    <row r="31054" customHeight="1" spans="2:2">
      <c r="B31054" s="62" t="str">
        <f>IF(AND('领用录入（明细）'!D:D=$F$4,'领用录入（明细）'!C:C&gt;=$J$4,'领用录入（明细）'!C:C&lt;=$L$4),ROW(),"-")</f>
        <v>-</v>
      </c>
    </row>
    <row r="31055" customHeight="1" spans="2:2">
      <c r="B31055" s="62" t="str">
        <f>IF(AND('领用录入（明细）'!D:D=$F$4,'领用录入（明细）'!C:C&gt;=$J$4,'领用录入（明细）'!C:C&lt;=$L$4),ROW(),"-")</f>
        <v>-</v>
      </c>
    </row>
    <row r="31056" customHeight="1" spans="2:2">
      <c r="B31056" s="62" t="str">
        <f>IF(AND('领用录入（明细）'!D:D=$F$4,'领用录入（明细）'!C:C&gt;=$J$4,'领用录入（明细）'!C:C&lt;=$L$4),ROW(),"-")</f>
        <v>-</v>
      </c>
    </row>
    <row r="31057" customHeight="1" spans="2:2">
      <c r="B31057" s="62" t="str">
        <f>IF(AND('领用录入（明细）'!D:D=$F$4,'领用录入（明细）'!C:C&gt;=$J$4,'领用录入（明细）'!C:C&lt;=$L$4),ROW(),"-")</f>
        <v>-</v>
      </c>
    </row>
    <row r="31058" customHeight="1" spans="2:2">
      <c r="B31058" s="62" t="str">
        <f>IF(AND('领用录入（明细）'!D:D=$F$4,'领用录入（明细）'!C:C&gt;=$J$4,'领用录入（明细）'!C:C&lt;=$L$4),ROW(),"-")</f>
        <v>-</v>
      </c>
    </row>
    <row r="31059" customHeight="1" spans="2:2">
      <c r="B31059" s="62" t="str">
        <f>IF(AND('领用录入（明细）'!D:D=$F$4,'领用录入（明细）'!C:C&gt;=$J$4,'领用录入（明细）'!C:C&lt;=$L$4),ROW(),"-")</f>
        <v>-</v>
      </c>
    </row>
    <row r="31060" customHeight="1" spans="2:2">
      <c r="B31060" s="62" t="str">
        <f>IF(AND('领用录入（明细）'!D:D=$F$4,'领用录入（明细）'!C:C&gt;=$J$4,'领用录入（明细）'!C:C&lt;=$L$4),ROW(),"-")</f>
        <v>-</v>
      </c>
    </row>
    <row r="31061" customHeight="1" spans="2:2">
      <c r="B31061" s="62" t="str">
        <f>IF(AND('领用录入（明细）'!D:D=$F$4,'领用录入（明细）'!C:C&gt;=$J$4,'领用录入（明细）'!C:C&lt;=$L$4),ROW(),"-")</f>
        <v>-</v>
      </c>
    </row>
    <row r="31062" customHeight="1" spans="2:2">
      <c r="B31062" s="62" t="str">
        <f>IF(AND('领用录入（明细）'!D:D=$F$4,'领用录入（明细）'!C:C&gt;=$J$4,'领用录入（明细）'!C:C&lt;=$L$4),ROW(),"-")</f>
        <v>-</v>
      </c>
    </row>
    <row r="31063" customHeight="1" spans="2:2">
      <c r="B31063" s="62" t="str">
        <f>IF(AND('领用录入（明细）'!D:D=$F$4,'领用录入（明细）'!C:C&gt;=$J$4,'领用录入（明细）'!C:C&lt;=$L$4),ROW(),"-")</f>
        <v>-</v>
      </c>
    </row>
    <row r="31064" customHeight="1" spans="2:2">
      <c r="B31064" s="62" t="str">
        <f>IF(AND('领用录入（明细）'!D:D=$F$4,'领用录入（明细）'!C:C&gt;=$J$4,'领用录入（明细）'!C:C&lt;=$L$4),ROW(),"-")</f>
        <v>-</v>
      </c>
    </row>
    <row r="31065" customHeight="1" spans="2:2">
      <c r="B31065" s="62" t="str">
        <f>IF(AND('领用录入（明细）'!D:D=$F$4,'领用录入（明细）'!C:C&gt;=$J$4,'领用录入（明细）'!C:C&lt;=$L$4),ROW(),"-")</f>
        <v>-</v>
      </c>
    </row>
    <row r="31066" customHeight="1" spans="2:2">
      <c r="B31066" s="62" t="str">
        <f>IF(AND('领用录入（明细）'!D:D=$F$4,'领用录入（明细）'!C:C&gt;=$J$4,'领用录入（明细）'!C:C&lt;=$L$4),ROW(),"-")</f>
        <v>-</v>
      </c>
    </row>
    <row r="31067" customHeight="1" spans="2:2">
      <c r="B31067" s="62" t="str">
        <f>IF(AND('领用录入（明细）'!D:D=$F$4,'领用录入（明细）'!C:C&gt;=$J$4,'领用录入（明细）'!C:C&lt;=$L$4),ROW(),"-")</f>
        <v>-</v>
      </c>
    </row>
    <row r="31068" customHeight="1" spans="2:2">
      <c r="B31068" s="62" t="str">
        <f>IF(AND('领用录入（明细）'!D:D=$F$4,'领用录入（明细）'!C:C&gt;=$J$4,'领用录入（明细）'!C:C&lt;=$L$4),ROW(),"-")</f>
        <v>-</v>
      </c>
    </row>
    <row r="31069" customHeight="1" spans="2:2">
      <c r="B31069" s="62" t="str">
        <f>IF(AND('领用录入（明细）'!D:D=$F$4,'领用录入（明细）'!C:C&gt;=$J$4,'领用录入（明细）'!C:C&lt;=$L$4),ROW(),"-")</f>
        <v>-</v>
      </c>
    </row>
    <row r="31070" customHeight="1" spans="2:2">
      <c r="B31070" s="62" t="str">
        <f>IF(AND('领用录入（明细）'!D:D=$F$4,'领用录入（明细）'!C:C&gt;=$J$4,'领用录入（明细）'!C:C&lt;=$L$4),ROW(),"-")</f>
        <v>-</v>
      </c>
    </row>
    <row r="31071" customHeight="1" spans="2:2">
      <c r="B31071" s="62" t="str">
        <f>IF(AND('领用录入（明细）'!D:D=$F$4,'领用录入（明细）'!C:C&gt;=$J$4,'领用录入（明细）'!C:C&lt;=$L$4),ROW(),"-")</f>
        <v>-</v>
      </c>
    </row>
    <row r="31072" customHeight="1" spans="2:2">
      <c r="B31072" s="62" t="str">
        <f>IF(AND('领用录入（明细）'!D:D=$F$4,'领用录入（明细）'!C:C&gt;=$J$4,'领用录入（明细）'!C:C&lt;=$L$4),ROW(),"-")</f>
        <v>-</v>
      </c>
    </row>
    <row r="31073" customHeight="1" spans="2:2">
      <c r="B31073" s="62" t="str">
        <f>IF(AND('领用录入（明细）'!D:D=$F$4,'领用录入（明细）'!C:C&gt;=$J$4,'领用录入（明细）'!C:C&lt;=$L$4),ROW(),"-")</f>
        <v>-</v>
      </c>
    </row>
    <row r="31074" customHeight="1" spans="2:2">
      <c r="B31074" s="62" t="str">
        <f>IF(AND('领用录入（明细）'!D:D=$F$4,'领用录入（明细）'!C:C&gt;=$J$4,'领用录入（明细）'!C:C&lt;=$L$4),ROW(),"-")</f>
        <v>-</v>
      </c>
    </row>
    <row r="31075" customHeight="1" spans="2:2">
      <c r="B31075" s="62" t="str">
        <f>IF(AND('领用录入（明细）'!D:D=$F$4,'领用录入（明细）'!C:C&gt;=$J$4,'领用录入（明细）'!C:C&lt;=$L$4),ROW(),"-")</f>
        <v>-</v>
      </c>
    </row>
    <row r="31076" customHeight="1" spans="2:2">
      <c r="B31076" s="62" t="str">
        <f>IF(AND('领用录入（明细）'!D:D=$F$4,'领用录入（明细）'!C:C&gt;=$J$4,'领用录入（明细）'!C:C&lt;=$L$4),ROW(),"-")</f>
        <v>-</v>
      </c>
    </row>
    <row r="31077" customHeight="1" spans="2:2">
      <c r="B31077" s="62" t="str">
        <f>IF(AND('领用录入（明细）'!D:D=$F$4,'领用录入（明细）'!C:C&gt;=$J$4,'领用录入（明细）'!C:C&lt;=$L$4),ROW(),"-")</f>
        <v>-</v>
      </c>
    </row>
    <row r="31078" customHeight="1" spans="2:2">
      <c r="B31078" s="62" t="str">
        <f>IF(AND('领用录入（明细）'!D:D=$F$4,'领用录入（明细）'!C:C&gt;=$J$4,'领用录入（明细）'!C:C&lt;=$L$4),ROW(),"-")</f>
        <v>-</v>
      </c>
    </row>
    <row r="31079" customHeight="1" spans="2:2">
      <c r="B31079" s="62" t="str">
        <f>IF(AND('领用录入（明细）'!D:D=$F$4,'领用录入（明细）'!C:C&gt;=$J$4,'领用录入（明细）'!C:C&lt;=$L$4),ROW(),"-")</f>
        <v>-</v>
      </c>
    </row>
    <row r="31080" customHeight="1" spans="2:2">
      <c r="B31080" s="62" t="str">
        <f>IF(AND('领用录入（明细）'!D:D=$F$4,'领用录入（明细）'!C:C&gt;=$J$4,'领用录入（明细）'!C:C&lt;=$L$4),ROW(),"-")</f>
        <v>-</v>
      </c>
    </row>
    <row r="31081" customHeight="1" spans="2:2">
      <c r="B31081" s="62" t="str">
        <f>IF(AND('领用录入（明细）'!D:D=$F$4,'领用录入（明细）'!C:C&gt;=$J$4,'领用录入（明细）'!C:C&lt;=$L$4),ROW(),"-")</f>
        <v>-</v>
      </c>
    </row>
    <row r="31082" customHeight="1" spans="2:2">
      <c r="B31082" s="62" t="str">
        <f>IF(AND('领用录入（明细）'!D:D=$F$4,'领用录入（明细）'!C:C&gt;=$J$4,'领用录入（明细）'!C:C&lt;=$L$4),ROW(),"-")</f>
        <v>-</v>
      </c>
    </row>
    <row r="31083" customHeight="1" spans="2:2">
      <c r="B31083" s="62" t="str">
        <f>IF(AND('领用录入（明细）'!D:D=$F$4,'领用录入（明细）'!C:C&gt;=$J$4,'领用录入（明细）'!C:C&lt;=$L$4),ROW(),"-")</f>
        <v>-</v>
      </c>
    </row>
    <row r="31084" customHeight="1" spans="2:2">
      <c r="B31084" s="62" t="str">
        <f>IF(AND('领用录入（明细）'!D:D=$F$4,'领用录入（明细）'!C:C&gt;=$J$4,'领用录入（明细）'!C:C&lt;=$L$4),ROW(),"-")</f>
        <v>-</v>
      </c>
    </row>
    <row r="31085" customHeight="1" spans="2:2">
      <c r="B31085" s="62" t="str">
        <f>IF(AND('领用录入（明细）'!D:D=$F$4,'领用录入（明细）'!C:C&gt;=$J$4,'领用录入（明细）'!C:C&lt;=$L$4),ROW(),"-")</f>
        <v>-</v>
      </c>
    </row>
    <row r="31086" customHeight="1" spans="2:2">
      <c r="B31086" s="62" t="str">
        <f>IF(AND('领用录入（明细）'!D:D=$F$4,'领用录入（明细）'!C:C&gt;=$J$4,'领用录入（明细）'!C:C&lt;=$L$4),ROW(),"-")</f>
        <v>-</v>
      </c>
    </row>
    <row r="31087" customHeight="1" spans="2:2">
      <c r="B31087" s="62" t="str">
        <f>IF(AND('领用录入（明细）'!D:D=$F$4,'领用录入（明细）'!C:C&gt;=$J$4,'领用录入（明细）'!C:C&lt;=$L$4),ROW(),"-")</f>
        <v>-</v>
      </c>
    </row>
    <row r="31088" customHeight="1" spans="2:2">
      <c r="B31088" s="62" t="str">
        <f>IF(AND('领用录入（明细）'!D:D=$F$4,'领用录入（明细）'!C:C&gt;=$J$4,'领用录入（明细）'!C:C&lt;=$L$4),ROW(),"-")</f>
        <v>-</v>
      </c>
    </row>
    <row r="31089" customHeight="1" spans="2:2">
      <c r="B31089" s="62" t="str">
        <f>IF(AND('领用录入（明细）'!D:D=$F$4,'领用录入（明细）'!C:C&gt;=$J$4,'领用录入（明细）'!C:C&lt;=$L$4),ROW(),"-")</f>
        <v>-</v>
      </c>
    </row>
    <row r="31090" customHeight="1" spans="2:2">
      <c r="B31090" s="62" t="str">
        <f>IF(AND('领用录入（明细）'!D:D=$F$4,'领用录入（明细）'!C:C&gt;=$J$4,'领用录入（明细）'!C:C&lt;=$L$4),ROW(),"-")</f>
        <v>-</v>
      </c>
    </row>
    <row r="31091" customHeight="1" spans="2:2">
      <c r="B31091" s="62" t="str">
        <f>IF(AND('领用录入（明细）'!D:D=$F$4,'领用录入（明细）'!C:C&gt;=$J$4,'领用录入（明细）'!C:C&lt;=$L$4),ROW(),"-")</f>
        <v>-</v>
      </c>
    </row>
    <row r="31092" customHeight="1" spans="2:2">
      <c r="B31092" s="62" t="str">
        <f>IF(AND('领用录入（明细）'!D:D=$F$4,'领用录入（明细）'!C:C&gt;=$J$4,'领用录入（明细）'!C:C&lt;=$L$4),ROW(),"-")</f>
        <v>-</v>
      </c>
    </row>
    <row r="31093" customHeight="1" spans="2:2">
      <c r="B31093" s="62" t="str">
        <f>IF(AND('领用录入（明细）'!D:D=$F$4,'领用录入（明细）'!C:C&gt;=$J$4,'领用录入（明细）'!C:C&lt;=$L$4),ROW(),"-")</f>
        <v>-</v>
      </c>
    </row>
    <row r="31094" customHeight="1" spans="2:2">
      <c r="B31094" s="62" t="str">
        <f>IF(AND('领用录入（明细）'!D:D=$F$4,'领用录入（明细）'!C:C&gt;=$J$4,'领用录入（明细）'!C:C&lt;=$L$4),ROW(),"-")</f>
        <v>-</v>
      </c>
    </row>
    <row r="31095" customHeight="1" spans="2:2">
      <c r="B31095" s="62" t="str">
        <f>IF(AND('领用录入（明细）'!D:D=$F$4,'领用录入（明细）'!C:C&gt;=$J$4,'领用录入（明细）'!C:C&lt;=$L$4),ROW(),"-")</f>
        <v>-</v>
      </c>
    </row>
    <row r="31096" customHeight="1" spans="2:2">
      <c r="B31096" s="62" t="str">
        <f>IF(AND('领用录入（明细）'!D:D=$F$4,'领用录入（明细）'!C:C&gt;=$J$4,'领用录入（明细）'!C:C&lt;=$L$4),ROW(),"-")</f>
        <v>-</v>
      </c>
    </row>
    <row r="31097" customHeight="1" spans="2:2">
      <c r="B31097" s="62" t="str">
        <f>IF(AND('领用录入（明细）'!D:D=$F$4,'领用录入（明细）'!C:C&gt;=$J$4,'领用录入（明细）'!C:C&lt;=$L$4),ROW(),"-")</f>
        <v>-</v>
      </c>
    </row>
    <row r="31098" customHeight="1" spans="2:2">
      <c r="B31098" s="62" t="str">
        <f>IF(AND('领用录入（明细）'!D:D=$F$4,'领用录入（明细）'!C:C&gt;=$J$4,'领用录入（明细）'!C:C&lt;=$L$4),ROW(),"-")</f>
        <v>-</v>
      </c>
    </row>
    <row r="31099" customHeight="1" spans="2:2">
      <c r="B31099" s="62" t="str">
        <f>IF(AND('领用录入（明细）'!D:D=$F$4,'领用录入（明细）'!C:C&gt;=$J$4,'领用录入（明细）'!C:C&lt;=$L$4),ROW(),"-")</f>
        <v>-</v>
      </c>
    </row>
    <row r="31100" customHeight="1" spans="2:2">
      <c r="B31100" s="62" t="str">
        <f>IF(AND('领用录入（明细）'!D:D=$F$4,'领用录入（明细）'!C:C&gt;=$J$4,'领用录入（明细）'!C:C&lt;=$L$4),ROW(),"-")</f>
        <v>-</v>
      </c>
    </row>
    <row r="31101" customHeight="1" spans="2:2">
      <c r="B31101" s="62" t="str">
        <f>IF(AND('领用录入（明细）'!D:D=$F$4,'领用录入（明细）'!C:C&gt;=$J$4,'领用录入（明细）'!C:C&lt;=$L$4),ROW(),"-")</f>
        <v>-</v>
      </c>
    </row>
    <row r="31102" customHeight="1" spans="2:2">
      <c r="B31102" s="62" t="str">
        <f>IF(AND('领用录入（明细）'!D:D=$F$4,'领用录入（明细）'!C:C&gt;=$J$4,'领用录入（明细）'!C:C&lt;=$L$4),ROW(),"-")</f>
        <v>-</v>
      </c>
    </row>
    <row r="31103" customHeight="1" spans="2:2">
      <c r="B31103" s="62" t="str">
        <f>IF(AND('领用录入（明细）'!D:D=$F$4,'领用录入（明细）'!C:C&gt;=$J$4,'领用录入（明细）'!C:C&lt;=$L$4),ROW(),"-")</f>
        <v>-</v>
      </c>
    </row>
    <row r="31104" customHeight="1" spans="2:2">
      <c r="B31104" s="62" t="str">
        <f>IF(AND('领用录入（明细）'!D:D=$F$4,'领用录入（明细）'!C:C&gt;=$J$4,'领用录入（明细）'!C:C&lt;=$L$4),ROW(),"-")</f>
        <v>-</v>
      </c>
    </row>
    <row r="31105" customHeight="1" spans="2:2">
      <c r="B31105" s="62" t="str">
        <f>IF(AND('领用录入（明细）'!D:D=$F$4,'领用录入（明细）'!C:C&gt;=$J$4,'领用录入（明细）'!C:C&lt;=$L$4),ROW(),"-")</f>
        <v>-</v>
      </c>
    </row>
    <row r="31106" customHeight="1" spans="2:2">
      <c r="B31106" s="62" t="str">
        <f>IF(AND('领用录入（明细）'!D:D=$F$4,'领用录入（明细）'!C:C&gt;=$J$4,'领用录入（明细）'!C:C&lt;=$L$4),ROW(),"-")</f>
        <v>-</v>
      </c>
    </row>
    <row r="31107" customHeight="1" spans="2:2">
      <c r="B31107" s="62" t="str">
        <f>IF(AND('领用录入（明细）'!D:D=$F$4,'领用录入（明细）'!C:C&gt;=$J$4,'领用录入（明细）'!C:C&lt;=$L$4),ROW(),"-")</f>
        <v>-</v>
      </c>
    </row>
    <row r="31108" customHeight="1" spans="2:2">
      <c r="B31108" s="62" t="str">
        <f>IF(AND('领用录入（明细）'!D:D=$F$4,'领用录入（明细）'!C:C&gt;=$J$4,'领用录入（明细）'!C:C&lt;=$L$4),ROW(),"-")</f>
        <v>-</v>
      </c>
    </row>
    <row r="31109" customHeight="1" spans="2:2">
      <c r="B31109" s="62" t="str">
        <f>IF(AND('领用录入（明细）'!D:D=$F$4,'领用录入（明细）'!C:C&gt;=$J$4,'领用录入（明细）'!C:C&lt;=$L$4),ROW(),"-")</f>
        <v>-</v>
      </c>
    </row>
    <row r="31110" customHeight="1" spans="2:2">
      <c r="B31110" s="62" t="str">
        <f>IF(AND('领用录入（明细）'!D:D=$F$4,'领用录入（明细）'!C:C&gt;=$J$4,'领用录入（明细）'!C:C&lt;=$L$4),ROW(),"-")</f>
        <v>-</v>
      </c>
    </row>
    <row r="31111" customHeight="1" spans="2:2">
      <c r="B31111" s="62" t="str">
        <f>IF(AND('领用录入（明细）'!D:D=$F$4,'领用录入（明细）'!C:C&gt;=$J$4,'领用录入（明细）'!C:C&lt;=$L$4),ROW(),"-")</f>
        <v>-</v>
      </c>
    </row>
    <row r="31112" customHeight="1" spans="2:2">
      <c r="B31112" s="62" t="str">
        <f>IF(AND('领用录入（明细）'!D:D=$F$4,'领用录入（明细）'!C:C&gt;=$J$4,'领用录入（明细）'!C:C&lt;=$L$4),ROW(),"-")</f>
        <v>-</v>
      </c>
    </row>
    <row r="31113" customHeight="1" spans="2:2">
      <c r="B31113" s="62" t="str">
        <f>IF(AND('领用录入（明细）'!D:D=$F$4,'领用录入（明细）'!C:C&gt;=$J$4,'领用录入（明细）'!C:C&lt;=$L$4),ROW(),"-")</f>
        <v>-</v>
      </c>
    </row>
    <row r="31114" customHeight="1" spans="2:2">
      <c r="B31114" s="62" t="str">
        <f>IF(AND('领用录入（明细）'!D:D=$F$4,'领用录入（明细）'!C:C&gt;=$J$4,'领用录入（明细）'!C:C&lt;=$L$4),ROW(),"-")</f>
        <v>-</v>
      </c>
    </row>
    <row r="31115" customHeight="1" spans="2:2">
      <c r="B31115" s="62" t="str">
        <f>IF(AND('领用录入（明细）'!D:D=$F$4,'领用录入（明细）'!C:C&gt;=$J$4,'领用录入（明细）'!C:C&lt;=$L$4),ROW(),"-")</f>
        <v>-</v>
      </c>
    </row>
    <row r="31116" customHeight="1" spans="2:2">
      <c r="B31116" s="62" t="str">
        <f>IF(AND('领用录入（明细）'!D:D=$F$4,'领用录入（明细）'!C:C&gt;=$J$4,'领用录入（明细）'!C:C&lt;=$L$4),ROW(),"-")</f>
        <v>-</v>
      </c>
    </row>
    <row r="31117" customHeight="1" spans="2:2">
      <c r="B31117" s="62" t="str">
        <f>IF(AND('领用录入（明细）'!D:D=$F$4,'领用录入（明细）'!C:C&gt;=$J$4,'领用录入（明细）'!C:C&lt;=$L$4),ROW(),"-")</f>
        <v>-</v>
      </c>
    </row>
    <row r="31118" customHeight="1" spans="2:2">
      <c r="B31118" s="62" t="str">
        <f>IF(AND('领用录入（明细）'!D:D=$F$4,'领用录入（明细）'!C:C&gt;=$J$4,'领用录入（明细）'!C:C&lt;=$L$4),ROW(),"-")</f>
        <v>-</v>
      </c>
    </row>
    <row r="31119" customHeight="1" spans="2:2">
      <c r="B31119" s="62" t="str">
        <f>IF(AND('领用录入（明细）'!D:D=$F$4,'领用录入（明细）'!C:C&gt;=$J$4,'领用录入（明细）'!C:C&lt;=$L$4),ROW(),"-")</f>
        <v>-</v>
      </c>
    </row>
    <row r="31120" customHeight="1" spans="2:2">
      <c r="B31120" s="62" t="str">
        <f>IF(AND('领用录入（明细）'!D:D=$F$4,'领用录入（明细）'!C:C&gt;=$J$4,'领用录入（明细）'!C:C&lt;=$L$4),ROW(),"-")</f>
        <v>-</v>
      </c>
    </row>
    <row r="31121" customHeight="1" spans="2:2">
      <c r="B31121" s="62" t="str">
        <f>IF(AND('领用录入（明细）'!D:D=$F$4,'领用录入（明细）'!C:C&gt;=$J$4,'领用录入（明细）'!C:C&lt;=$L$4),ROW(),"-")</f>
        <v>-</v>
      </c>
    </row>
    <row r="31122" customHeight="1" spans="2:2">
      <c r="B31122" s="62" t="str">
        <f>IF(AND('领用录入（明细）'!D:D=$F$4,'领用录入（明细）'!C:C&gt;=$J$4,'领用录入（明细）'!C:C&lt;=$L$4),ROW(),"-")</f>
        <v>-</v>
      </c>
    </row>
    <row r="31123" customHeight="1" spans="2:2">
      <c r="B31123" s="62" t="str">
        <f>IF(AND('领用录入（明细）'!D:D=$F$4,'领用录入（明细）'!C:C&gt;=$J$4,'领用录入（明细）'!C:C&lt;=$L$4),ROW(),"-")</f>
        <v>-</v>
      </c>
    </row>
    <row r="31124" customHeight="1" spans="2:2">
      <c r="B31124" s="62" t="str">
        <f>IF(AND('领用录入（明细）'!D:D=$F$4,'领用录入（明细）'!C:C&gt;=$J$4,'领用录入（明细）'!C:C&lt;=$L$4),ROW(),"-")</f>
        <v>-</v>
      </c>
    </row>
    <row r="31125" customHeight="1" spans="2:2">
      <c r="B31125" s="62" t="str">
        <f>IF(AND('领用录入（明细）'!D:D=$F$4,'领用录入（明细）'!C:C&gt;=$J$4,'领用录入（明细）'!C:C&lt;=$L$4),ROW(),"-")</f>
        <v>-</v>
      </c>
    </row>
    <row r="31126" customHeight="1" spans="2:2">
      <c r="B31126" s="62" t="str">
        <f>IF(AND('领用录入（明细）'!D:D=$F$4,'领用录入（明细）'!C:C&gt;=$J$4,'领用录入（明细）'!C:C&lt;=$L$4),ROW(),"-")</f>
        <v>-</v>
      </c>
    </row>
    <row r="31127" customHeight="1" spans="2:2">
      <c r="B31127" s="62" t="str">
        <f>IF(AND('领用录入（明细）'!D:D=$F$4,'领用录入（明细）'!C:C&gt;=$J$4,'领用录入（明细）'!C:C&lt;=$L$4),ROW(),"-")</f>
        <v>-</v>
      </c>
    </row>
    <row r="31128" customHeight="1" spans="2:2">
      <c r="B31128" s="62" t="str">
        <f>IF(AND('领用录入（明细）'!D:D=$F$4,'领用录入（明细）'!C:C&gt;=$J$4,'领用录入（明细）'!C:C&lt;=$L$4),ROW(),"-")</f>
        <v>-</v>
      </c>
    </row>
    <row r="31129" customHeight="1" spans="2:2">
      <c r="B31129" s="62" t="str">
        <f>IF(AND('领用录入（明细）'!D:D=$F$4,'领用录入（明细）'!C:C&gt;=$J$4,'领用录入（明细）'!C:C&lt;=$L$4),ROW(),"-")</f>
        <v>-</v>
      </c>
    </row>
    <row r="31130" customHeight="1" spans="2:2">
      <c r="B31130" s="62" t="str">
        <f>IF(AND('领用录入（明细）'!D:D=$F$4,'领用录入（明细）'!C:C&gt;=$J$4,'领用录入（明细）'!C:C&lt;=$L$4),ROW(),"-")</f>
        <v>-</v>
      </c>
    </row>
    <row r="31131" customHeight="1" spans="2:2">
      <c r="B31131" s="62" t="str">
        <f>IF(AND('领用录入（明细）'!D:D=$F$4,'领用录入（明细）'!C:C&gt;=$J$4,'领用录入（明细）'!C:C&lt;=$L$4),ROW(),"-")</f>
        <v>-</v>
      </c>
    </row>
    <row r="31132" customHeight="1" spans="2:2">
      <c r="B31132" s="62" t="str">
        <f>IF(AND('领用录入（明细）'!D:D=$F$4,'领用录入（明细）'!C:C&gt;=$J$4,'领用录入（明细）'!C:C&lt;=$L$4),ROW(),"-")</f>
        <v>-</v>
      </c>
    </row>
    <row r="31133" customHeight="1" spans="2:2">
      <c r="B31133" s="62" t="str">
        <f>IF(AND('领用录入（明细）'!D:D=$F$4,'领用录入（明细）'!C:C&gt;=$J$4,'领用录入（明细）'!C:C&lt;=$L$4),ROW(),"-")</f>
        <v>-</v>
      </c>
    </row>
    <row r="31134" customHeight="1" spans="2:2">
      <c r="B31134" s="62" t="str">
        <f>IF(AND('领用录入（明细）'!D:D=$F$4,'领用录入（明细）'!C:C&gt;=$J$4,'领用录入（明细）'!C:C&lt;=$L$4),ROW(),"-")</f>
        <v>-</v>
      </c>
    </row>
    <row r="31135" customHeight="1" spans="2:2">
      <c r="B31135" s="62" t="str">
        <f>IF(AND('领用录入（明细）'!D:D=$F$4,'领用录入（明细）'!C:C&gt;=$J$4,'领用录入（明细）'!C:C&lt;=$L$4),ROW(),"-")</f>
        <v>-</v>
      </c>
    </row>
    <row r="31136" customHeight="1" spans="2:2">
      <c r="B31136" s="62" t="str">
        <f>IF(AND('领用录入（明细）'!D:D=$F$4,'领用录入（明细）'!C:C&gt;=$J$4,'领用录入（明细）'!C:C&lt;=$L$4),ROW(),"-")</f>
        <v>-</v>
      </c>
    </row>
    <row r="31137" customHeight="1" spans="2:2">
      <c r="B31137" s="62" t="str">
        <f>IF(AND('领用录入（明细）'!D:D=$F$4,'领用录入（明细）'!C:C&gt;=$J$4,'领用录入（明细）'!C:C&lt;=$L$4),ROW(),"-")</f>
        <v>-</v>
      </c>
    </row>
    <row r="31138" customHeight="1" spans="2:2">
      <c r="B31138" s="62" t="str">
        <f>IF(AND('领用录入（明细）'!D:D=$F$4,'领用录入（明细）'!C:C&gt;=$J$4,'领用录入（明细）'!C:C&lt;=$L$4),ROW(),"-")</f>
        <v>-</v>
      </c>
    </row>
    <row r="31139" customHeight="1" spans="2:2">
      <c r="B31139" s="62" t="str">
        <f>IF(AND('领用录入（明细）'!D:D=$F$4,'领用录入（明细）'!C:C&gt;=$J$4,'领用录入（明细）'!C:C&lt;=$L$4),ROW(),"-")</f>
        <v>-</v>
      </c>
    </row>
    <row r="31140" customHeight="1" spans="2:2">
      <c r="B31140" s="62" t="str">
        <f>IF(AND('领用录入（明细）'!D:D=$F$4,'领用录入（明细）'!C:C&gt;=$J$4,'领用录入（明细）'!C:C&lt;=$L$4),ROW(),"-")</f>
        <v>-</v>
      </c>
    </row>
    <row r="31141" customHeight="1" spans="2:2">
      <c r="B31141" s="62" t="str">
        <f>IF(AND('领用录入（明细）'!D:D=$F$4,'领用录入（明细）'!C:C&gt;=$J$4,'领用录入（明细）'!C:C&lt;=$L$4),ROW(),"-")</f>
        <v>-</v>
      </c>
    </row>
    <row r="31142" customHeight="1" spans="2:2">
      <c r="B31142" s="62" t="str">
        <f>IF(AND('领用录入（明细）'!D:D=$F$4,'领用录入（明细）'!C:C&gt;=$J$4,'领用录入（明细）'!C:C&lt;=$L$4),ROW(),"-")</f>
        <v>-</v>
      </c>
    </row>
    <row r="31143" customHeight="1" spans="2:2">
      <c r="B31143" s="62" t="str">
        <f>IF(AND('领用录入（明细）'!D:D=$F$4,'领用录入（明细）'!C:C&gt;=$J$4,'领用录入（明细）'!C:C&lt;=$L$4),ROW(),"-")</f>
        <v>-</v>
      </c>
    </row>
    <row r="31144" customHeight="1" spans="2:2">
      <c r="B31144" s="62" t="str">
        <f>IF(AND('领用录入（明细）'!D:D=$F$4,'领用录入（明细）'!C:C&gt;=$J$4,'领用录入（明细）'!C:C&lt;=$L$4),ROW(),"-")</f>
        <v>-</v>
      </c>
    </row>
    <row r="31145" customHeight="1" spans="2:2">
      <c r="B31145" s="62" t="str">
        <f>IF(AND('领用录入（明细）'!D:D=$F$4,'领用录入（明细）'!C:C&gt;=$J$4,'领用录入（明细）'!C:C&lt;=$L$4),ROW(),"-")</f>
        <v>-</v>
      </c>
    </row>
    <row r="31146" customHeight="1" spans="2:2">
      <c r="B31146" s="62" t="str">
        <f>IF(AND('领用录入（明细）'!D:D=$F$4,'领用录入（明细）'!C:C&gt;=$J$4,'领用录入（明细）'!C:C&lt;=$L$4),ROW(),"-")</f>
        <v>-</v>
      </c>
    </row>
    <row r="31147" customHeight="1" spans="2:2">
      <c r="B31147" s="62" t="str">
        <f>IF(AND('领用录入（明细）'!D:D=$F$4,'领用录入（明细）'!C:C&gt;=$J$4,'领用录入（明细）'!C:C&lt;=$L$4),ROW(),"-")</f>
        <v>-</v>
      </c>
    </row>
    <row r="31148" customHeight="1" spans="2:2">
      <c r="B31148" s="62" t="str">
        <f>IF(AND('领用录入（明细）'!D:D=$F$4,'领用录入（明细）'!C:C&gt;=$J$4,'领用录入（明细）'!C:C&lt;=$L$4),ROW(),"-")</f>
        <v>-</v>
      </c>
    </row>
    <row r="31149" customHeight="1" spans="2:2">
      <c r="B31149" s="62" t="str">
        <f>IF(AND('领用录入（明细）'!D:D=$F$4,'领用录入（明细）'!C:C&gt;=$J$4,'领用录入（明细）'!C:C&lt;=$L$4),ROW(),"-")</f>
        <v>-</v>
      </c>
    </row>
    <row r="31150" customHeight="1" spans="2:2">
      <c r="B31150" s="62" t="str">
        <f>IF(AND('领用录入（明细）'!D:D=$F$4,'领用录入（明细）'!C:C&gt;=$J$4,'领用录入（明细）'!C:C&lt;=$L$4),ROW(),"-")</f>
        <v>-</v>
      </c>
    </row>
    <row r="31151" customHeight="1" spans="2:2">
      <c r="B31151" s="62" t="str">
        <f>IF(AND('领用录入（明细）'!D:D=$F$4,'领用录入（明细）'!C:C&gt;=$J$4,'领用录入（明细）'!C:C&lt;=$L$4),ROW(),"-")</f>
        <v>-</v>
      </c>
    </row>
    <row r="31152" customHeight="1" spans="2:2">
      <c r="B31152" s="62" t="str">
        <f>IF(AND('领用录入（明细）'!D:D=$F$4,'领用录入（明细）'!C:C&gt;=$J$4,'领用录入（明细）'!C:C&lt;=$L$4),ROW(),"-")</f>
        <v>-</v>
      </c>
    </row>
    <row r="31153" customHeight="1" spans="2:2">
      <c r="B31153" s="62" t="str">
        <f>IF(AND('领用录入（明细）'!D:D=$F$4,'领用录入（明细）'!C:C&gt;=$J$4,'领用录入（明细）'!C:C&lt;=$L$4),ROW(),"-")</f>
        <v>-</v>
      </c>
    </row>
    <row r="31154" customHeight="1" spans="2:2">
      <c r="B31154" s="62" t="str">
        <f>IF(AND('领用录入（明细）'!D:D=$F$4,'领用录入（明细）'!C:C&gt;=$J$4,'领用录入（明细）'!C:C&lt;=$L$4),ROW(),"-")</f>
        <v>-</v>
      </c>
    </row>
    <row r="31155" customHeight="1" spans="2:2">
      <c r="B31155" s="62" t="str">
        <f>IF(AND('领用录入（明细）'!D:D=$F$4,'领用录入（明细）'!C:C&gt;=$J$4,'领用录入（明细）'!C:C&lt;=$L$4),ROW(),"-")</f>
        <v>-</v>
      </c>
    </row>
    <row r="31156" customHeight="1" spans="2:2">
      <c r="B31156" s="62" t="str">
        <f>IF(AND('领用录入（明细）'!D:D=$F$4,'领用录入（明细）'!C:C&gt;=$J$4,'领用录入（明细）'!C:C&lt;=$L$4),ROW(),"-")</f>
        <v>-</v>
      </c>
    </row>
    <row r="31157" customHeight="1" spans="2:2">
      <c r="B31157" s="62" t="str">
        <f>IF(AND('领用录入（明细）'!D:D=$F$4,'领用录入（明细）'!C:C&gt;=$J$4,'领用录入（明细）'!C:C&lt;=$L$4),ROW(),"-")</f>
        <v>-</v>
      </c>
    </row>
    <row r="31158" customHeight="1" spans="2:2">
      <c r="B31158" s="62" t="str">
        <f>IF(AND('领用录入（明细）'!D:D=$F$4,'领用录入（明细）'!C:C&gt;=$J$4,'领用录入（明细）'!C:C&lt;=$L$4),ROW(),"-")</f>
        <v>-</v>
      </c>
    </row>
    <row r="31159" customHeight="1" spans="2:2">
      <c r="B31159" s="62" t="str">
        <f>IF(AND('领用录入（明细）'!D:D=$F$4,'领用录入（明细）'!C:C&gt;=$J$4,'领用录入（明细）'!C:C&lt;=$L$4),ROW(),"-")</f>
        <v>-</v>
      </c>
    </row>
    <row r="31160" customHeight="1" spans="2:2">
      <c r="B31160" s="62" t="str">
        <f>IF(AND('领用录入（明细）'!D:D=$F$4,'领用录入（明细）'!C:C&gt;=$J$4,'领用录入（明细）'!C:C&lt;=$L$4),ROW(),"-")</f>
        <v>-</v>
      </c>
    </row>
    <row r="31161" customHeight="1" spans="2:2">
      <c r="B31161" s="62" t="str">
        <f>IF(AND('领用录入（明细）'!D:D=$F$4,'领用录入（明细）'!C:C&gt;=$J$4,'领用录入（明细）'!C:C&lt;=$L$4),ROW(),"-")</f>
        <v>-</v>
      </c>
    </row>
    <row r="31162" customHeight="1" spans="2:2">
      <c r="B31162" s="62" t="str">
        <f>IF(AND('领用录入（明细）'!D:D=$F$4,'领用录入（明细）'!C:C&gt;=$J$4,'领用录入（明细）'!C:C&lt;=$L$4),ROW(),"-")</f>
        <v>-</v>
      </c>
    </row>
    <row r="31163" customHeight="1" spans="2:2">
      <c r="B31163" s="62" t="str">
        <f>IF(AND('领用录入（明细）'!D:D=$F$4,'领用录入（明细）'!C:C&gt;=$J$4,'领用录入（明细）'!C:C&lt;=$L$4),ROW(),"-")</f>
        <v>-</v>
      </c>
    </row>
    <row r="31164" customHeight="1" spans="2:2">
      <c r="B31164" s="62" t="str">
        <f>IF(AND('领用录入（明细）'!D:D=$F$4,'领用录入（明细）'!C:C&gt;=$J$4,'领用录入（明细）'!C:C&lt;=$L$4),ROW(),"-")</f>
        <v>-</v>
      </c>
    </row>
    <row r="31165" customHeight="1" spans="2:2">
      <c r="B31165" s="62" t="str">
        <f>IF(AND('领用录入（明细）'!D:D=$F$4,'领用录入（明细）'!C:C&gt;=$J$4,'领用录入（明细）'!C:C&lt;=$L$4),ROW(),"-")</f>
        <v>-</v>
      </c>
    </row>
    <row r="31166" customHeight="1" spans="2:2">
      <c r="B31166" s="62" t="str">
        <f>IF(AND('领用录入（明细）'!D:D=$F$4,'领用录入（明细）'!C:C&gt;=$J$4,'领用录入（明细）'!C:C&lt;=$L$4),ROW(),"-")</f>
        <v>-</v>
      </c>
    </row>
    <row r="31167" customHeight="1" spans="2:2">
      <c r="B31167" s="62" t="str">
        <f>IF(AND('领用录入（明细）'!D:D=$F$4,'领用录入（明细）'!C:C&gt;=$J$4,'领用录入（明细）'!C:C&lt;=$L$4),ROW(),"-")</f>
        <v>-</v>
      </c>
    </row>
    <row r="31168" customHeight="1" spans="2:2">
      <c r="B31168" s="62" t="str">
        <f>IF(AND('领用录入（明细）'!D:D=$F$4,'领用录入（明细）'!C:C&gt;=$J$4,'领用录入（明细）'!C:C&lt;=$L$4),ROW(),"-")</f>
        <v>-</v>
      </c>
    </row>
    <row r="31169" customHeight="1" spans="2:2">
      <c r="B31169" s="62" t="str">
        <f>IF(AND('领用录入（明细）'!D:D=$F$4,'领用录入（明细）'!C:C&gt;=$J$4,'领用录入（明细）'!C:C&lt;=$L$4),ROW(),"-")</f>
        <v>-</v>
      </c>
    </row>
    <row r="31170" customHeight="1" spans="2:2">
      <c r="B31170" s="62" t="str">
        <f>IF(AND('领用录入（明细）'!D:D=$F$4,'领用录入（明细）'!C:C&gt;=$J$4,'领用录入（明细）'!C:C&lt;=$L$4),ROW(),"-")</f>
        <v>-</v>
      </c>
    </row>
    <row r="31171" customHeight="1" spans="2:2">
      <c r="B31171" s="62" t="str">
        <f>IF(AND('领用录入（明细）'!D:D=$F$4,'领用录入（明细）'!C:C&gt;=$J$4,'领用录入（明细）'!C:C&lt;=$L$4),ROW(),"-")</f>
        <v>-</v>
      </c>
    </row>
    <row r="31172" customHeight="1" spans="2:2">
      <c r="B31172" s="62" t="str">
        <f>IF(AND('领用录入（明细）'!D:D=$F$4,'领用录入（明细）'!C:C&gt;=$J$4,'领用录入（明细）'!C:C&lt;=$L$4),ROW(),"-")</f>
        <v>-</v>
      </c>
    </row>
    <row r="31173" customHeight="1" spans="2:2">
      <c r="B31173" s="62" t="str">
        <f>IF(AND('领用录入（明细）'!D:D=$F$4,'领用录入（明细）'!C:C&gt;=$J$4,'领用录入（明细）'!C:C&lt;=$L$4),ROW(),"-")</f>
        <v>-</v>
      </c>
    </row>
    <row r="31174" customHeight="1" spans="2:2">
      <c r="B31174" s="62" t="str">
        <f>IF(AND('领用录入（明细）'!D:D=$F$4,'领用录入（明细）'!C:C&gt;=$J$4,'领用录入（明细）'!C:C&lt;=$L$4),ROW(),"-")</f>
        <v>-</v>
      </c>
    </row>
    <row r="31175" customHeight="1" spans="2:2">
      <c r="B31175" s="62" t="str">
        <f>IF(AND('领用录入（明细）'!D:D=$F$4,'领用录入（明细）'!C:C&gt;=$J$4,'领用录入（明细）'!C:C&lt;=$L$4),ROW(),"-")</f>
        <v>-</v>
      </c>
    </row>
    <row r="31176" customHeight="1" spans="2:2">
      <c r="B31176" s="62" t="str">
        <f>IF(AND('领用录入（明细）'!D:D=$F$4,'领用录入（明细）'!C:C&gt;=$J$4,'领用录入（明细）'!C:C&lt;=$L$4),ROW(),"-")</f>
        <v>-</v>
      </c>
    </row>
    <row r="31177" customHeight="1" spans="2:2">
      <c r="B31177" s="62" t="str">
        <f>IF(AND('领用录入（明细）'!D:D=$F$4,'领用录入（明细）'!C:C&gt;=$J$4,'领用录入（明细）'!C:C&lt;=$L$4),ROW(),"-")</f>
        <v>-</v>
      </c>
    </row>
    <row r="31178" customHeight="1" spans="2:2">
      <c r="B31178" s="62" t="str">
        <f>IF(AND('领用录入（明细）'!D:D=$F$4,'领用录入（明细）'!C:C&gt;=$J$4,'领用录入（明细）'!C:C&lt;=$L$4),ROW(),"-")</f>
        <v>-</v>
      </c>
    </row>
    <row r="31179" customHeight="1" spans="2:2">
      <c r="B31179" s="62" t="str">
        <f>IF(AND('领用录入（明细）'!D:D=$F$4,'领用录入（明细）'!C:C&gt;=$J$4,'领用录入（明细）'!C:C&lt;=$L$4),ROW(),"-")</f>
        <v>-</v>
      </c>
    </row>
    <row r="31180" customHeight="1" spans="2:2">
      <c r="B31180" s="62" t="str">
        <f>IF(AND('领用录入（明细）'!D:D=$F$4,'领用录入（明细）'!C:C&gt;=$J$4,'领用录入（明细）'!C:C&lt;=$L$4),ROW(),"-")</f>
        <v>-</v>
      </c>
    </row>
    <row r="31181" customHeight="1" spans="2:2">
      <c r="B31181" s="62" t="str">
        <f>IF(AND('领用录入（明细）'!D:D=$F$4,'领用录入（明细）'!C:C&gt;=$J$4,'领用录入（明细）'!C:C&lt;=$L$4),ROW(),"-")</f>
        <v>-</v>
      </c>
    </row>
    <row r="31182" customHeight="1" spans="2:2">
      <c r="B31182" s="62" t="str">
        <f>IF(AND('领用录入（明细）'!D:D=$F$4,'领用录入（明细）'!C:C&gt;=$J$4,'领用录入（明细）'!C:C&lt;=$L$4),ROW(),"-")</f>
        <v>-</v>
      </c>
    </row>
    <row r="31183" customHeight="1" spans="2:2">
      <c r="B31183" s="62" t="str">
        <f>IF(AND('领用录入（明细）'!D:D=$F$4,'领用录入（明细）'!C:C&gt;=$J$4,'领用录入（明细）'!C:C&lt;=$L$4),ROW(),"-")</f>
        <v>-</v>
      </c>
    </row>
    <row r="31184" customHeight="1" spans="2:2">
      <c r="B31184" s="62" t="str">
        <f>IF(AND('领用录入（明细）'!D:D=$F$4,'领用录入（明细）'!C:C&gt;=$J$4,'领用录入（明细）'!C:C&lt;=$L$4),ROW(),"-")</f>
        <v>-</v>
      </c>
    </row>
    <row r="31185" customHeight="1" spans="2:2">
      <c r="B31185" s="62" t="str">
        <f>IF(AND('领用录入（明细）'!D:D=$F$4,'领用录入（明细）'!C:C&gt;=$J$4,'领用录入（明细）'!C:C&lt;=$L$4),ROW(),"-")</f>
        <v>-</v>
      </c>
    </row>
    <row r="31186" customHeight="1" spans="2:2">
      <c r="B31186" s="62" t="str">
        <f>IF(AND('领用录入（明细）'!D:D=$F$4,'领用录入（明细）'!C:C&gt;=$J$4,'领用录入（明细）'!C:C&lt;=$L$4),ROW(),"-")</f>
        <v>-</v>
      </c>
    </row>
    <row r="31187" customHeight="1" spans="2:2">
      <c r="B31187" s="62" t="str">
        <f>IF(AND('领用录入（明细）'!D:D=$F$4,'领用录入（明细）'!C:C&gt;=$J$4,'领用录入（明细）'!C:C&lt;=$L$4),ROW(),"-")</f>
        <v>-</v>
      </c>
    </row>
    <row r="31188" customHeight="1" spans="2:2">
      <c r="B31188" s="62" t="str">
        <f>IF(AND('领用录入（明细）'!D:D=$F$4,'领用录入（明细）'!C:C&gt;=$J$4,'领用录入（明细）'!C:C&lt;=$L$4),ROW(),"-")</f>
        <v>-</v>
      </c>
    </row>
    <row r="31189" customHeight="1" spans="2:2">
      <c r="B31189" s="62" t="str">
        <f>IF(AND('领用录入（明细）'!D:D=$F$4,'领用录入（明细）'!C:C&gt;=$J$4,'领用录入（明细）'!C:C&lt;=$L$4),ROW(),"-")</f>
        <v>-</v>
      </c>
    </row>
    <row r="31190" customHeight="1" spans="2:2">
      <c r="B31190" s="62" t="str">
        <f>IF(AND('领用录入（明细）'!D:D=$F$4,'领用录入（明细）'!C:C&gt;=$J$4,'领用录入（明细）'!C:C&lt;=$L$4),ROW(),"-")</f>
        <v>-</v>
      </c>
    </row>
    <row r="31191" customHeight="1" spans="2:2">
      <c r="B31191" s="62" t="str">
        <f>IF(AND('领用录入（明细）'!D:D=$F$4,'领用录入（明细）'!C:C&gt;=$J$4,'领用录入（明细）'!C:C&lt;=$L$4),ROW(),"-")</f>
        <v>-</v>
      </c>
    </row>
    <row r="31192" customHeight="1" spans="2:2">
      <c r="B31192" s="62" t="str">
        <f>IF(AND('领用录入（明细）'!D:D=$F$4,'领用录入（明细）'!C:C&gt;=$J$4,'领用录入（明细）'!C:C&lt;=$L$4),ROW(),"-")</f>
        <v>-</v>
      </c>
    </row>
    <row r="31193" customHeight="1" spans="2:2">
      <c r="B31193" s="62" t="str">
        <f>IF(AND('领用录入（明细）'!D:D=$F$4,'领用录入（明细）'!C:C&gt;=$J$4,'领用录入（明细）'!C:C&lt;=$L$4),ROW(),"-")</f>
        <v>-</v>
      </c>
    </row>
    <row r="31194" customHeight="1" spans="2:2">
      <c r="B31194" s="62" t="str">
        <f>IF(AND('领用录入（明细）'!D:D=$F$4,'领用录入（明细）'!C:C&gt;=$J$4,'领用录入（明细）'!C:C&lt;=$L$4),ROW(),"-")</f>
        <v>-</v>
      </c>
    </row>
    <row r="31195" customHeight="1" spans="2:2">
      <c r="B31195" s="62" t="str">
        <f>IF(AND('领用录入（明细）'!D:D=$F$4,'领用录入（明细）'!C:C&gt;=$J$4,'领用录入（明细）'!C:C&lt;=$L$4),ROW(),"-")</f>
        <v>-</v>
      </c>
    </row>
    <row r="31196" customHeight="1" spans="2:2">
      <c r="B31196" s="62" t="str">
        <f>IF(AND('领用录入（明细）'!D:D=$F$4,'领用录入（明细）'!C:C&gt;=$J$4,'领用录入（明细）'!C:C&lt;=$L$4),ROW(),"-")</f>
        <v>-</v>
      </c>
    </row>
    <row r="31197" customHeight="1" spans="2:2">
      <c r="B31197" s="62" t="str">
        <f>IF(AND('领用录入（明细）'!D:D=$F$4,'领用录入（明细）'!C:C&gt;=$J$4,'领用录入（明细）'!C:C&lt;=$L$4),ROW(),"-")</f>
        <v>-</v>
      </c>
    </row>
    <row r="31198" customHeight="1" spans="2:2">
      <c r="B31198" s="62" t="str">
        <f>IF(AND('领用录入（明细）'!D:D=$F$4,'领用录入（明细）'!C:C&gt;=$J$4,'领用录入（明细）'!C:C&lt;=$L$4),ROW(),"-")</f>
        <v>-</v>
      </c>
    </row>
    <row r="31199" customHeight="1" spans="2:2">
      <c r="B31199" s="62" t="str">
        <f>IF(AND('领用录入（明细）'!D:D=$F$4,'领用录入（明细）'!C:C&gt;=$J$4,'领用录入（明细）'!C:C&lt;=$L$4),ROW(),"-")</f>
        <v>-</v>
      </c>
    </row>
    <row r="31200" customHeight="1" spans="2:2">
      <c r="B31200" s="62" t="str">
        <f>IF(AND('领用录入（明细）'!D:D=$F$4,'领用录入（明细）'!C:C&gt;=$J$4,'领用录入（明细）'!C:C&lt;=$L$4),ROW(),"-")</f>
        <v>-</v>
      </c>
    </row>
    <row r="31201" customHeight="1" spans="2:2">
      <c r="B31201" s="62" t="str">
        <f>IF(AND('领用录入（明细）'!D:D=$F$4,'领用录入（明细）'!C:C&gt;=$J$4,'领用录入（明细）'!C:C&lt;=$L$4),ROW(),"-")</f>
        <v>-</v>
      </c>
    </row>
    <row r="31202" customHeight="1" spans="2:2">
      <c r="B31202" s="62" t="str">
        <f>IF(AND('领用录入（明细）'!D:D=$F$4,'领用录入（明细）'!C:C&gt;=$J$4,'领用录入（明细）'!C:C&lt;=$L$4),ROW(),"-")</f>
        <v>-</v>
      </c>
    </row>
    <row r="31203" customHeight="1" spans="2:2">
      <c r="B31203" s="62" t="str">
        <f>IF(AND('领用录入（明细）'!D:D=$F$4,'领用录入（明细）'!C:C&gt;=$J$4,'领用录入（明细）'!C:C&lt;=$L$4),ROW(),"-")</f>
        <v>-</v>
      </c>
    </row>
    <row r="31204" customHeight="1" spans="2:2">
      <c r="B31204" s="62" t="str">
        <f>IF(AND('领用录入（明细）'!D:D=$F$4,'领用录入（明细）'!C:C&gt;=$J$4,'领用录入（明细）'!C:C&lt;=$L$4),ROW(),"-")</f>
        <v>-</v>
      </c>
    </row>
    <row r="31205" customHeight="1" spans="2:2">
      <c r="B31205" s="62" t="str">
        <f>IF(AND('领用录入（明细）'!D:D=$F$4,'领用录入（明细）'!C:C&gt;=$J$4,'领用录入（明细）'!C:C&lt;=$L$4),ROW(),"-")</f>
        <v>-</v>
      </c>
    </row>
    <row r="31206" customHeight="1" spans="2:2">
      <c r="B31206" s="62" t="str">
        <f>IF(AND('领用录入（明细）'!D:D=$F$4,'领用录入（明细）'!C:C&gt;=$J$4,'领用录入（明细）'!C:C&lt;=$L$4),ROW(),"-")</f>
        <v>-</v>
      </c>
    </row>
    <row r="31207" customHeight="1" spans="2:2">
      <c r="B31207" s="62" t="str">
        <f>IF(AND('领用录入（明细）'!D:D=$F$4,'领用录入（明细）'!C:C&gt;=$J$4,'领用录入（明细）'!C:C&lt;=$L$4),ROW(),"-")</f>
        <v>-</v>
      </c>
    </row>
    <row r="31208" customHeight="1" spans="2:2">
      <c r="B31208" s="62" t="str">
        <f>IF(AND('领用录入（明细）'!D:D=$F$4,'领用录入（明细）'!C:C&gt;=$J$4,'领用录入（明细）'!C:C&lt;=$L$4),ROW(),"-")</f>
        <v>-</v>
      </c>
    </row>
    <row r="31209" customHeight="1" spans="2:2">
      <c r="B31209" s="62" t="str">
        <f>IF(AND('领用录入（明细）'!D:D=$F$4,'领用录入（明细）'!C:C&gt;=$J$4,'领用录入（明细）'!C:C&lt;=$L$4),ROW(),"-")</f>
        <v>-</v>
      </c>
    </row>
    <row r="31210" customHeight="1" spans="2:2">
      <c r="B31210" s="62" t="str">
        <f>IF(AND('领用录入（明细）'!D:D=$F$4,'领用录入（明细）'!C:C&gt;=$J$4,'领用录入（明细）'!C:C&lt;=$L$4),ROW(),"-")</f>
        <v>-</v>
      </c>
    </row>
    <row r="31211" customHeight="1" spans="2:2">
      <c r="B31211" s="62" t="str">
        <f>IF(AND('领用录入（明细）'!D:D=$F$4,'领用录入（明细）'!C:C&gt;=$J$4,'领用录入（明细）'!C:C&lt;=$L$4),ROW(),"-")</f>
        <v>-</v>
      </c>
    </row>
    <row r="31212" customHeight="1" spans="2:2">
      <c r="B31212" s="62" t="str">
        <f>IF(AND('领用录入（明细）'!D:D=$F$4,'领用录入（明细）'!C:C&gt;=$J$4,'领用录入（明细）'!C:C&lt;=$L$4),ROW(),"-")</f>
        <v>-</v>
      </c>
    </row>
    <row r="31213" customHeight="1" spans="2:2">
      <c r="B31213" s="62" t="str">
        <f>IF(AND('领用录入（明细）'!D:D=$F$4,'领用录入（明细）'!C:C&gt;=$J$4,'领用录入（明细）'!C:C&lt;=$L$4),ROW(),"-")</f>
        <v>-</v>
      </c>
    </row>
    <row r="31214" customHeight="1" spans="2:2">
      <c r="B31214" s="62" t="str">
        <f>IF(AND('领用录入（明细）'!D:D=$F$4,'领用录入（明细）'!C:C&gt;=$J$4,'领用录入（明细）'!C:C&lt;=$L$4),ROW(),"-")</f>
        <v>-</v>
      </c>
    </row>
    <row r="31215" customHeight="1" spans="2:2">
      <c r="B31215" s="62" t="str">
        <f>IF(AND('领用录入（明细）'!D:D=$F$4,'领用录入（明细）'!C:C&gt;=$J$4,'领用录入（明细）'!C:C&lt;=$L$4),ROW(),"-")</f>
        <v>-</v>
      </c>
    </row>
    <row r="31216" customHeight="1" spans="2:2">
      <c r="B31216" s="62" t="str">
        <f>IF(AND('领用录入（明细）'!D:D=$F$4,'领用录入（明细）'!C:C&gt;=$J$4,'领用录入（明细）'!C:C&lt;=$L$4),ROW(),"-")</f>
        <v>-</v>
      </c>
    </row>
    <row r="31217" customHeight="1" spans="2:2">
      <c r="B31217" s="62" t="str">
        <f>IF(AND('领用录入（明细）'!D:D=$F$4,'领用录入（明细）'!C:C&gt;=$J$4,'领用录入（明细）'!C:C&lt;=$L$4),ROW(),"-")</f>
        <v>-</v>
      </c>
    </row>
    <row r="31218" customHeight="1" spans="2:2">
      <c r="B31218" s="62" t="str">
        <f>IF(AND('领用录入（明细）'!D:D=$F$4,'领用录入（明细）'!C:C&gt;=$J$4,'领用录入（明细）'!C:C&lt;=$L$4),ROW(),"-")</f>
        <v>-</v>
      </c>
    </row>
    <row r="31219" customHeight="1" spans="2:2">
      <c r="B31219" s="62" t="str">
        <f>IF(AND('领用录入（明细）'!D:D=$F$4,'领用录入（明细）'!C:C&gt;=$J$4,'领用录入（明细）'!C:C&lt;=$L$4),ROW(),"-")</f>
        <v>-</v>
      </c>
    </row>
    <row r="31220" customHeight="1" spans="2:2">
      <c r="B31220" s="62" t="str">
        <f>IF(AND('领用录入（明细）'!D:D=$F$4,'领用录入（明细）'!C:C&gt;=$J$4,'领用录入（明细）'!C:C&lt;=$L$4),ROW(),"-")</f>
        <v>-</v>
      </c>
    </row>
    <row r="31221" customHeight="1" spans="2:2">
      <c r="B31221" s="62" t="str">
        <f>IF(AND('领用录入（明细）'!D:D=$F$4,'领用录入（明细）'!C:C&gt;=$J$4,'领用录入（明细）'!C:C&lt;=$L$4),ROW(),"-")</f>
        <v>-</v>
      </c>
    </row>
    <row r="31222" customHeight="1" spans="2:2">
      <c r="B31222" s="62" t="str">
        <f>IF(AND('领用录入（明细）'!D:D=$F$4,'领用录入（明细）'!C:C&gt;=$J$4,'领用录入（明细）'!C:C&lt;=$L$4),ROW(),"-")</f>
        <v>-</v>
      </c>
    </row>
    <row r="31223" customHeight="1" spans="2:2">
      <c r="B31223" s="62" t="str">
        <f>IF(AND('领用录入（明细）'!D:D=$F$4,'领用录入（明细）'!C:C&gt;=$J$4,'领用录入（明细）'!C:C&lt;=$L$4),ROW(),"-")</f>
        <v>-</v>
      </c>
    </row>
    <row r="31224" customHeight="1" spans="2:2">
      <c r="B31224" s="62" t="str">
        <f>IF(AND('领用录入（明细）'!D:D=$F$4,'领用录入（明细）'!C:C&gt;=$J$4,'领用录入（明细）'!C:C&lt;=$L$4),ROW(),"-")</f>
        <v>-</v>
      </c>
    </row>
    <row r="31225" customHeight="1" spans="2:2">
      <c r="B31225" s="62" t="str">
        <f>IF(AND('领用录入（明细）'!D:D=$F$4,'领用录入（明细）'!C:C&gt;=$J$4,'领用录入（明细）'!C:C&lt;=$L$4),ROW(),"-")</f>
        <v>-</v>
      </c>
    </row>
    <row r="31226" customHeight="1" spans="2:2">
      <c r="B31226" s="62" t="str">
        <f>IF(AND('领用录入（明细）'!D:D=$F$4,'领用录入（明细）'!C:C&gt;=$J$4,'领用录入（明细）'!C:C&lt;=$L$4),ROW(),"-")</f>
        <v>-</v>
      </c>
    </row>
    <row r="31227" customHeight="1" spans="2:2">
      <c r="B31227" s="62" t="str">
        <f>IF(AND('领用录入（明细）'!D:D=$F$4,'领用录入（明细）'!C:C&gt;=$J$4,'领用录入（明细）'!C:C&lt;=$L$4),ROW(),"-")</f>
        <v>-</v>
      </c>
    </row>
    <row r="31228" customHeight="1" spans="2:2">
      <c r="B31228" s="62" t="str">
        <f>IF(AND('领用录入（明细）'!D:D=$F$4,'领用录入（明细）'!C:C&gt;=$J$4,'领用录入（明细）'!C:C&lt;=$L$4),ROW(),"-")</f>
        <v>-</v>
      </c>
    </row>
    <row r="31229" customHeight="1" spans="2:2">
      <c r="B31229" s="62" t="str">
        <f>IF(AND('领用录入（明细）'!D:D=$F$4,'领用录入（明细）'!C:C&gt;=$J$4,'领用录入（明细）'!C:C&lt;=$L$4),ROW(),"-")</f>
        <v>-</v>
      </c>
    </row>
    <row r="31230" customHeight="1" spans="2:2">
      <c r="B31230" s="62" t="str">
        <f>IF(AND('领用录入（明细）'!D:D=$F$4,'领用录入（明细）'!C:C&gt;=$J$4,'领用录入（明细）'!C:C&lt;=$L$4),ROW(),"-")</f>
        <v>-</v>
      </c>
    </row>
    <row r="31231" customHeight="1" spans="2:2">
      <c r="B31231" s="62" t="str">
        <f>IF(AND('领用录入（明细）'!D:D=$F$4,'领用录入（明细）'!C:C&gt;=$J$4,'领用录入（明细）'!C:C&lt;=$L$4),ROW(),"-")</f>
        <v>-</v>
      </c>
    </row>
    <row r="31232" customHeight="1" spans="2:2">
      <c r="B31232" s="62" t="str">
        <f>IF(AND('领用录入（明细）'!D:D=$F$4,'领用录入（明细）'!C:C&gt;=$J$4,'领用录入（明细）'!C:C&lt;=$L$4),ROW(),"-")</f>
        <v>-</v>
      </c>
    </row>
    <row r="31233" customHeight="1" spans="2:2">
      <c r="B31233" s="62" t="str">
        <f>IF(AND('领用录入（明细）'!D:D=$F$4,'领用录入（明细）'!C:C&gt;=$J$4,'领用录入（明细）'!C:C&lt;=$L$4),ROW(),"-")</f>
        <v>-</v>
      </c>
    </row>
    <row r="31234" customHeight="1" spans="2:2">
      <c r="B31234" s="62" t="str">
        <f>IF(AND('领用录入（明细）'!D:D=$F$4,'领用录入（明细）'!C:C&gt;=$J$4,'领用录入（明细）'!C:C&lt;=$L$4),ROW(),"-")</f>
        <v>-</v>
      </c>
    </row>
    <row r="31235" customHeight="1" spans="2:2">
      <c r="B31235" s="62" t="str">
        <f>IF(AND('领用录入（明细）'!D:D=$F$4,'领用录入（明细）'!C:C&gt;=$J$4,'领用录入（明细）'!C:C&lt;=$L$4),ROW(),"-")</f>
        <v>-</v>
      </c>
    </row>
    <row r="31236" customHeight="1" spans="2:2">
      <c r="B31236" s="62" t="str">
        <f>IF(AND('领用录入（明细）'!D:D=$F$4,'领用录入（明细）'!C:C&gt;=$J$4,'领用录入（明细）'!C:C&lt;=$L$4),ROW(),"-")</f>
        <v>-</v>
      </c>
    </row>
    <row r="31237" customHeight="1" spans="2:2">
      <c r="B31237" s="62" t="str">
        <f>IF(AND('领用录入（明细）'!D:D=$F$4,'领用录入（明细）'!C:C&gt;=$J$4,'领用录入（明细）'!C:C&lt;=$L$4),ROW(),"-")</f>
        <v>-</v>
      </c>
    </row>
    <row r="31238" customHeight="1" spans="2:2">
      <c r="B31238" s="62" t="str">
        <f>IF(AND('领用录入（明细）'!D:D=$F$4,'领用录入（明细）'!C:C&gt;=$J$4,'领用录入（明细）'!C:C&lt;=$L$4),ROW(),"-")</f>
        <v>-</v>
      </c>
    </row>
    <row r="31239" customHeight="1" spans="2:2">
      <c r="B31239" s="62" t="str">
        <f>IF(AND('领用录入（明细）'!D:D=$F$4,'领用录入（明细）'!C:C&gt;=$J$4,'领用录入（明细）'!C:C&lt;=$L$4),ROW(),"-")</f>
        <v>-</v>
      </c>
    </row>
    <row r="31240" customHeight="1" spans="2:2">
      <c r="B31240" s="62" t="str">
        <f>IF(AND('领用录入（明细）'!D:D=$F$4,'领用录入（明细）'!C:C&gt;=$J$4,'领用录入（明细）'!C:C&lt;=$L$4),ROW(),"-")</f>
        <v>-</v>
      </c>
    </row>
    <row r="31241" customHeight="1" spans="2:2">
      <c r="B31241" s="62" t="str">
        <f>IF(AND('领用录入（明细）'!D:D=$F$4,'领用录入（明细）'!C:C&gt;=$J$4,'领用录入（明细）'!C:C&lt;=$L$4),ROW(),"-")</f>
        <v>-</v>
      </c>
    </row>
    <row r="31242" customHeight="1" spans="2:2">
      <c r="B31242" s="62" t="str">
        <f>IF(AND('领用录入（明细）'!D:D=$F$4,'领用录入（明细）'!C:C&gt;=$J$4,'领用录入（明细）'!C:C&lt;=$L$4),ROW(),"-")</f>
        <v>-</v>
      </c>
    </row>
    <row r="31243" customHeight="1" spans="2:2">
      <c r="B31243" s="62" t="str">
        <f>IF(AND('领用录入（明细）'!D:D=$F$4,'领用录入（明细）'!C:C&gt;=$J$4,'领用录入（明细）'!C:C&lt;=$L$4),ROW(),"-")</f>
        <v>-</v>
      </c>
    </row>
    <row r="31244" customHeight="1" spans="2:2">
      <c r="B31244" s="62" t="str">
        <f>IF(AND('领用录入（明细）'!D:D=$F$4,'领用录入（明细）'!C:C&gt;=$J$4,'领用录入（明细）'!C:C&lt;=$L$4),ROW(),"-")</f>
        <v>-</v>
      </c>
    </row>
    <row r="31245" customHeight="1" spans="2:2">
      <c r="B31245" s="62" t="str">
        <f>IF(AND('领用录入（明细）'!D:D=$F$4,'领用录入（明细）'!C:C&gt;=$J$4,'领用录入（明细）'!C:C&lt;=$L$4),ROW(),"-")</f>
        <v>-</v>
      </c>
    </row>
    <row r="31246" customHeight="1" spans="2:2">
      <c r="B31246" s="62" t="str">
        <f>IF(AND('领用录入（明细）'!D:D=$F$4,'领用录入（明细）'!C:C&gt;=$J$4,'领用录入（明细）'!C:C&lt;=$L$4),ROW(),"-")</f>
        <v>-</v>
      </c>
    </row>
    <row r="31247" customHeight="1" spans="2:2">
      <c r="B31247" s="62" t="str">
        <f>IF(AND('领用录入（明细）'!D:D=$F$4,'领用录入（明细）'!C:C&gt;=$J$4,'领用录入（明细）'!C:C&lt;=$L$4),ROW(),"-")</f>
        <v>-</v>
      </c>
    </row>
    <row r="31248" customHeight="1" spans="2:2">
      <c r="B31248" s="62" t="str">
        <f>IF(AND('领用录入（明细）'!D:D=$F$4,'领用录入（明细）'!C:C&gt;=$J$4,'领用录入（明细）'!C:C&lt;=$L$4),ROW(),"-")</f>
        <v>-</v>
      </c>
    </row>
    <row r="31249" customHeight="1" spans="2:2">
      <c r="B31249" s="62" t="str">
        <f>IF(AND('领用录入（明细）'!D:D=$F$4,'领用录入（明细）'!C:C&gt;=$J$4,'领用录入（明细）'!C:C&lt;=$L$4),ROW(),"-")</f>
        <v>-</v>
      </c>
    </row>
    <row r="31250" customHeight="1" spans="2:2">
      <c r="B31250" s="62" t="str">
        <f>IF(AND('领用录入（明细）'!D:D=$F$4,'领用录入（明细）'!C:C&gt;=$J$4,'领用录入（明细）'!C:C&lt;=$L$4),ROW(),"-")</f>
        <v>-</v>
      </c>
    </row>
    <row r="31251" customHeight="1" spans="2:2">
      <c r="B31251" s="62" t="str">
        <f>IF(AND('领用录入（明细）'!D:D=$F$4,'领用录入（明细）'!C:C&gt;=$J$4,'领用录入（明细）'!C:C&lt;=$L$4),ROW(),"-")</f>
        <v>-</v>
      </c>
    </row>
    <row r="31252" customHeight="1" spans="2:2">
      <c r="B31252" s="62" t="str">
        <f>IF(AND('领用录入（明细）'!D:D=$F$4,'领用录入（明细）'!C:C&gt;=$J$4,'领用录入（明细）'!C:C&lt;=$L$4),ROW(),"-")</f>
        <v>-</v>
      </c>
    </row>
    <row r="31253" customHeight="1" spans="2:2">
      <c r="B31253" s="62" t="str">
        <f>IF(AND('领用录入（明细）'!D:D=$F$4,'领用录入（明细）'!C:C&gt;=$J$4,'领用录入（明细）'!C:C&lt;=$L$4),ROW(),"-")</f>
        <v>-</v>
      </c>
    </row>
    <row r="31254" customHeight="1" spans="2:2">
      <c r="B31254" s="62" t="str">
        <f>IF(AND('领用录入（明细）'!D:D=$F$4,'领用录入（明细）'!C:C&gt;=$J$4,'领用录入（明细）'!C:C&lt;=$L$4),ROW(),"-")</f>
        <v>-</v>
      </c>
    </row>
    <row r="31255" customHeight="1" spans="2:2">
      <c r="B31255" s="62" t="str">
        <f>IF(AND('领用录入（明细）'!D:D=$F$4,'领用录入（明细）'!C:C&gt;=$J$4,'领用录入（明细）'!C:C&lt;=$L$4),ROW(),"-")</f>
        <v>-</v>
      </c>
    </row>
    <row r="31256" customHeight="1" spans="2:2">
      <c r="B31256" s="62" t="str">
        <f>IF(AND('领用录入（明细）'!D:D=$F$4,'领用录入（明细）'!C:C&gt;=$J$4,'领用录入（明细）'!C:C&lt;=$L$4),ROW(),"-")</f>
        <v>-</v>
      </c>
    </row>
    <row r="31257" customHeight="1" spans="2:2">
      <c r="B31257" s="62" t="str">
        <f>IF(AND('领用录入（明细）'!D:D=$F$4,'领用录入（明细）'!C:C&gt;=$J$4,'领用录入（明细）'!C:C&lt;=$L$4),ROW(),"-")</f>
        <v>-</v>
      </c>
    </row>
    <row r="31258" customHeight="1" spans="2:2">
      <c r="B31258" s="62" t="str">
        <f>IF(AND('领用录入（明细）'!D:D=$F$4,'领用录入（明细）'!C:C&gt;=$J$4,'领用录入（明细）'!C:C&lt;=$L$4),ROW(),"-")</f>
        <v>-</v>
      </c>
    </row>
    <row r="31259" customHeight="1" spans="2:2">
      <c r="B31259" s="62" t="str">
        <f>IF(AND('领用录入（明细）'!D:D=$F$4,'领用录入（明细）'!C:C&gt;=$J$4,'领用录入（明细）'!C:C&lt;=$L$4),ROW(),"-")</f>
        <v>-</v>
      </c>
    </row>
    <row r="31260" customHeight="1" spans="2:2">
      <c r="B31260" s="62" t="str">
        <f>IF(AND('领用录入（明细）'!D:D=$F$4,'领用录入（明细）'!C:C&gt;=$J$4,'领用录入（明细）'!C:C&lt;=$L$4),ROW(),"-")</f>
        <v>-</v>
      </c>
    </row>
    <row r="31261" customHeight="1" spans="2:2">
      <c r="B31261" s="62" t="str">
        <f>IF(AND('领用录入（明细）'!D:D=$F$4,'领用录入（明细）'!C:C&gt;=$J$4,'领用录入（明细）'!C:C&lt;=$L$4),ROW(),"-")</f>
        <v>-</v>
      </c>
    </row>
    <row r="31262" customHeight="1" spans="2:2">
      <c r="B31262" s="62" t="str">
        <f>IF(AND('领用录入（明细）'!D:D=$F$4,'领用录入（明细）'!C:C&gt;=$J$4,'领用录入（明细）'!C:C&lt;=$L$4),ROW(),"-")</f>
        <v>-</v>
      </c>
    </row>
    <row r="31263" customHeight="1" spans="2:2">
      <c r="B31263" s="62" t="str">
        <f>IF(AND('领用录入（明细）'!D:D=$F$4,'领用录入（明细）'!C:C&gt;=$J$4,'领用录入（明细）'!C:C&lt;=$L$4),ROW(),"-")</f>
        <v>-</v>
      </c>
    </row>
    <row r="31264" customHeight="1" spans="2:2">
      <c r="B31264" s="62" t="str">
        <f>IF(AND('领用录入（明细）'!D:D=$F$4,'领用录入（明细）'!C:C&gt;=$J$4,'领用录入（明细）'!C:C&lt;=$L$4),ROW(),"-")</f>
        <v>-</v>
      </c>
    </row>
    <row r="31265" customHeight="1" spans="2:2">
      <c r="B31265" s="62" t="str">
        <f>IF(AND('领用录入（明细）'!D:D=$F$4,'领用录入（明细）'!C:C&gt;=$J$4,'领用录入（明细）'!C:C&lt;=$L$4),ROW(),"-")</f>
        <v>-</v>
      </c>
    </row>
    <row r="31266" customHeight="1" spans="2:2">
      <c r="B31266" s="62" t="str">
        <f>IF(AND('领用录入（明细）'!D:D=$F$4,'领用录入（明细）'!C:C&gt;=$J$4,'领用录入（明细）'!C:C&lt;=$L$4),ROW(),"-")</f>
        <v>-</v>
      </c>
    </row>
    <row r="31267" customHeight="1" spans="2:2">
      <c r="B31267" s="62" t="str">
        <f>IF(AND('领用录入（明细）'!D:D=$F$4,'领用录入（明细）'!C:C&gt;=$J$4,'领用录入（明细）'!C:C&lt;=$L$4),ROW(),"-")</f>
        <v>-</v>
      </c>
    </row>
    <row r="31268" customHeight="1" spans="2:2">
      <c r="B31268" s="62" t="str">
        <f>IF(AND('领用录入（明细）'!D:D=$F$4,'领用录入（明细）'!C:C&gt;=$J$4,'领用录入（明细）'!C:C&lt;=$L$4),ROW(),"-")</f>
        <v>-</v>
      </c>
    </row>
    <row r="31269" customHeight="1" spans="2:2">
      <c r="B31269" s="62" t="str">
        <f>IF(AND('领用录入（明细）'!D:D=$F$4,'领用录入（明细）'!C:C&gt;=$J$4,'领用录入（明细）'!C:C&lt;=$L$4),ROW(),"-")</f>
        <v>-</v>
      </c>
    </row>
    <row r="31270" customHeight="1" spans="2:2">
      <c r="B31270" s="62" t="str">
        <f>IF(AND('领用录入（明细）'!D:D=$F$4,'领用录入（明细）'!C:C&gt;=$J$4,'领用录入（明细）'!C:C&lt;=$L$4),ROW(),"-")</f>
        <v>-</v>
      </c>
    </row>
    <row r="31271" customHeight="1" spans="2:2">
      <c r="B31271" s="62" t="str">
        <f>IF(AND('领用录入（明细）'!D:D=$F$4,'领用录入（明细）'!C:C&gt;=$J$4,'领用录入（明细）'!C:C&lt;=$L$4),ROW(),"-")</f>
        <v>-</v>
      </c>
    </row>
    <row r="31272" customHeight="1" spans="2:2">
      <c r="B31272" s="62" t="str">
        <f>IF(AND('领用录入（明细）'!D:D=$F$4,'领用录入（明细）'!C:C&gt;=$J$4,'领用录入（明细）'!C:C&lt;=$L$4),ROW(),"-")</f>
        <v>-</v>
      </c>
    </row>
    <row r="31273" customHeight="1" spans="2:2">
      <c r="B31273" s="62" t="str">
        <f>IF(AND('领用录入（明细）'!D:D=$F$4,'领用录入（明细）'!C:C&gt;=$J$4,'领用录入（明细）'!C:C&lt;=$L$4),ROW(),"-")</f>
        <v>-</v>
      </c>
    </row>
    <row r="31274" customHeight="1" spans="2:2">
      <c r="B31274" s="62" t="str">
        <f>IF(AND('领用录入（明细）'!D:D=$F$4,'领用录入（明细）'!C:C&gt;=$J$4,'领用录入（明细）'!C:C&lt;=$L$4),ROW(),"-")</f>
        <v>-</v>
      </c>
    </row>
    <row r="31275" customHeight="1" spans="2:2">
      <c r="B31275" s="62" t="str">
        <f>IF(AND('领用录入（明细）'!D:D=$F$4,'领用录入（明细）'!C:C&gt;=$J$4,'领用录入（明细）'!C:C&lt;=$L$4),ROW(),"-")</f>
        <v>-</v>
      </c>
    </row>
    <row r="31276" customHeight="1" spans="2:2">
      <c r="B31276" s="62" t="str">
        <f>IF(AND('领用录入（明细）'!D:D=$F$4,'领用录入（明细）'!C:C&gt;=$J$4,'领用录入（明细）'!C:C&lt;=$L$4),ROW(),"-")</f>
        <v>-</v>
      </c>
    </row>
    <row r="31277" customHeight="1" spans="2:2">
      <c r="B31277" s="62" t="str">
        <f>IF(AND('领用录入（明细）'!D:D=$F$4,'领用录入（明细）'!C:C&gt;=$J$4,'领用录入（明细）'!C:C&lt;=$L$4),ROW(),"-")</f>
        <v>-</v>
      </c>
    </row>
    <row r="31278" customHeight="1" spans="2:2">
      <c r="B31278" s="62" t="str">
        <f>IF(AND('领用录入（明细）'!D:D=$F$4,'领用录入（明细）'!C:C&gt;=$J$4,'领用录入（明细）'!C:C&lt;=$L$4),ROW(),"-")</f>
        <v>-</v>
      </c>
    </row>
    <row r="31279" customHeight="1" spans="2:2">
      <c r="B31279" s="62" t="str">
        <f>IF(AND('领用录入（明细）'!D:D=$F$4,'领用录入（明细）'!C:C&gt;=$J$4,'领用录入（明细）'!C:C&lt;=$L$4),ROW(),"-")</f>
        <v>-</v>
      </c>
    </row>
    <row r="31280" customHeight="1" spans="2:2">
      <c r="B31280" s="62" t="str">
        <f>IF(AND('领用录入（明细）'!D:D=$F$4,'领用录入（明细）'!C:C&gt;=$J$4,'领用录入（明细）'!C:C&lt;=$L$4),ROW(),"-")</f>
        <v>-</v>
      </c>
    </row>
    <row r="31281" customHeight="1" spans="2:2">
      <c r="B31281" s="62" t="str">
        <f>IF(AND('领用录入（明细）'!D:D=$F$4,'领用录入（明细）'!C:C&gt;=$J$4,'领用录入（明细）'!C:C&lt;=$L$4),ROW(),"-")</f>
        <v>-</v>
      </c>
    </row>
    <row r="31282" customHeight="1" spans="2:2">
      <c r="B31282" s="62" t="str">
        <f>IF(AND('领用录入（明细）'!D:D=$F$4,'领用录入（明细）'!C:C&gt;=$J$4,'领用录入（明细）'!C:C&lt;=$L$4),ROW(),"-")</f>
        <v>-</v>
      </c>
    </row>
    <row r="31283" customHeight="1" spans="2:2">
      <c r="B31283" s="62" t="str">
        <f>IF(AND('领用录入（明细）'!D:D=$F$4,'领用录入（明细）'!C:C&gt;=$J$4,'领用录入（明细）'!C:C&lt;=$L$4),ROW(),"-")</f>
        <v>-</v>
      </c>
    </row>
    <row r="31284" customHeight="1" spans="2:2">
      <c r="B31284" s="62" t="str">
        <f>IF(AND('领用录入（明细）'!D:D=$F$4,'领用录入（明细）'!C:C&gt;=$J$4,'领用录入（明细）'!C:C&lt;=$L$4),ROW(),"-")</f>
        <v>-</v>
      </c>
    </row>
    <row r="31285" customHeight="1" spans="2:2">
      <c r="B31285" s="62" t="str">
        <f>IF(AND('领用录入（明细）'!D:D=$F$4,'领用录入（明细）'!C:C&gt;=$J$4,'领用录入（明细）'!C:C&lt;=$L$4),ROW(),"-")</f>
        <v>-</v>
      </c>
    </row>
    <row r="31286" customHeight="1" spans="2:2">
      <c r="B31286" s="62" t="str">
        <f>IF(AND('领用录入（明细）'!D:D=$F$4,'领用录入（明细）'!C:C&gt;=$J$4,'领用录入（明细）'!C:C&lt;=$L$4),ROW(),"-")</f>
        <v>-</v>
      </c>
    </row>
    <row r="31287" customHeight="1" spans="2:2">
      <c r="B31287" s="62" t="str">
        <f>IF(AND('领用录入（明细）'!D:D=$F$4,'领用录入（明细）'!C:C&gt;=$J$4,'领用录入（明细）'!C:C&lt;=$L$4),ROW(),"-")</f>
        <v>-</v>
      </c>
    </row>
    <row r="31288" customHeight="1" spans="2:2">
      <c r="B31288" s="62" t="str">
        <f>IF(AND('领用录入（明细）'!D:D=$F$4,'领用录入（明细）'!C:C&gt;=$J$4,'领用录入（明细）'!C:C&lt;=$L$4),ROW(),"-")</f>
        <v>-</v>
      </c>
    </row>
    <row r="31289" customHeight="1" spans="2:2">
      <c r="B31289" s="62" t="str">
        <f>IF(AND('领用录入（明细）'!D:D=$F$4,'领用录入（明细）'!C:C&gt;=$J$4,'领用录入（明细）'!C:C&lt;=$L$4),ROW(),"-")</f>
        <v>-</v>
      </c>
    </row>
    <row r="31290" customHeight="1" spans="2:2">
      <c r="B31290" s="62" t="str">
        <f>IF(AND('领用录入（明细）'!D:D=$F$4,'领用录入（明细）'!C:C&gt;=$J$4,'领用录入（明细）'!C:C&lt;=$L$4),ROW(),"-")</f>
        <v>-</v>
      </c>
    </row>
    <row r="31291" customHeight="1" spans="2:2">
      <c r="B31291" s="62" t="str">
        <f>IF(AND('领用录入（明细）'!D:D=$F$4,'领用录入（明细）'!C:C&gt;=$J$4,'领用录入（明细）'!C:C&lt;=$L$4),ROW(),"-")</f>
        <v>-</v>
      </c>
    </row>
    <row r="31292" customHeight="1" spans="2:2">
      <c r="B31292" s="62" t="str">
        <f>IF(AND('领用录入（明细）'!D:D=$F$4,'领用录入（明细）'!C:C&gt;=$J$4,'领用录入（明细）'!C:C&lt;=$L$4),ROW(),"-")</f>
        <v>-</v>
      </c>
    </row>
    <row r="31293" customHeight="1" spans="2:2">
      <c r="B31293" s="62" t="str">
        <f>IF(AND('领用录入（明细）'!D:D=$F$4,'领用录入（明细）'!C:C&gt;=$J$4,'领用录入（明细）'!C:C&lt;=$L$4),ROW(),"-")</f>
        <v>-</v>
      </c>
    </row>
    <row r="31294" customHeight="1" spans="2:2">
      <c r="B31294" s="62" t="str">
        <f>IF(AND('领用录入（明细）'!D:D=$F$4,'领用录入（明细）'!C:C&gt;=$J$4,'领用录入（明细）'!C:C&lt;=$L$4),ROW(),"-")</f>
        <v>-</v>
      </c>
    </row>
    <row r="31295" customHeight="1" spans="2:2">
      <c r="B31295" s="62" t="str">
        <f>IF(AND('领用录入（明细）'!D:D=$F$4,'领用录入（明细）'!C:C&gt;=$J$4,'领用录入（明细）'!C:C&lt;=$L$4),ROW(),"-")</f>
        <v>-</v>
      </c>
    </row>
    <row r="31296" customHeight="1" spans="2:2">
      <c r="B31296" s="62" t="str">
        <f>IF(AND('领用录入（明细）'!D:D=$F$4,'领用录入（明细）'!C:C&gt;=$J$4,'领用录入（明细）'!C:C&lt;=$L$4),ROW(),"-")</f>
        <v>-</v>
      </c>
    </row>
    <row r="31297" customHeight="1" spans="2:2">
      <c r="B31297" s="62" t="str">
        <f>IF(AND('领用录入（明细）'!D:D=$F$4,'领用录入（明细）'!C:C&gt;=$J$4,'领用录入（明细）'!C:C&lt;=$L$4),ROW(),"-")</f>
        <v>-</v>
      </c>
    </row>
    <row r="31298" customHeight="1" spans="2:2">
      <c r="B31298" s="62" t="str">
        <f>IF(AND('领用录入（明细）'!D:D=$F$4,'领用录入（明细）'!C:C&gt;=$J$4,'领用录入（明细）'!C:C&lt;=$L$4),ROW(),"-")</f>
        <v>-</v>
      </c>
    </row>
    <row r="31299" customHeight="1" spans="2:2">
      <c r="B31299" s="62" t="str">
        <f>IF(AND('领用录入（明细）'!D:D=$F$4,'领用录入（明细）'!C:C&gt;=$J$4,'领用录入（明细）'!C:C&lt;=$L$4),ROW(),"-")</f>
        <v>-</v>
      </c>
    </row>
    <row r="31300" customHeight="1" spans="2:2">
      <c r="B31300" s="62" t="str">
        <f>IF(AND('领用录入（明细）'!D:D=$F$4,'领用录入（明细）'!C:C&gt;=$J$4,'领用录入（明细）'!C:C&lt;=$L$4),ROW(),"-")</f>
        <v>-</v>
      </c>
    </row>
    <row r="31301" customHeight="1" spans="2:2">
      <c r="B31301" s="62" t="str">
        <f>IF(AND('领用录入（明细）'!D:D=$F$4,'领用录入（明细）'!C:C&gt;=$J$4,'领用录入（明细）'!C:C&lt;=$L$4),ROW(),"-")</f>
        <v>-</v>
      </c>
    </row>
    <row r="31302" customHeight="1" spans="2:2">
      <c r="B31302" s="62" t="str">
        <f>IF(AND('领用录入（明细）'!D:D=$F$4,'领用录入（明细）'!C:C&gt;=$J$4,'领用录入（明细）'!C:C&lt;=$L$4),ROW(),"-")</f>
        <v>-</v>
      </c>
    </row>
    <row r="31303" customHeight="1" spans="2:2">
      <c r="B31303" s="62" t="str">
        <f>IF(AND('领用录入（明细）'!D:D=$F$4,'领用录入（明细）'!C:C&gt;=$J$4,'领用录入（明细）'!C:C&lt;=$L$4),ROW(),"-")</f>
        <v>-</v>
      </c>
    </row>
    <row r="31304" customHeight="1" spans="2:2">
      <c r="B31304" s="62" t="str">
        <f>IF(AND('领用录入（明细）'!D:D=$F$4,'领用录入（明细）'!C:C&gt;=$J$4,'领用录入（明细）'!C:C&lt;=$L$4),ROW(),"-")</f>
        <v>-</v>
      </c>
    </row>
    <row r="31305" customHeight="1" spans="2:2">
      <c r="B31305" s="62" t="str">
        <f>IF(AND('领用录入（明细）'!D:D=$F$4,'领用录入（明细）'!C:C&gt;=$J$4,'领用录入（明细）'!C:C&lt;=$L$4),ROW(),"-")</f>
        <v>-</v>
      </c>
    </row>
    <row r="31306" customHeight="1" spans="2:2">
      <c r="B31306" s="62" t="str">
        <f>IF(AND('领用录入（明细）'!D:D=$F$4,'领用录入（明细）'!C:C&gt;=$J$4,'领用录入（明细）'!C:C&lt;=$L$4),ROW(),"-")</f>
        <v>-</v>
      </c>
    </row>
    <row r="31307" customHeight="1" spans="2:2">
      <c r="B31307" s="62" t="str">
        <f>IF(AND('领用录入（明细）'!D:D=$F$4,'领用录入（明细）'!C:C&gt;=$J$4,'领用录入（明细）'!C:C&lt;=$L$4),ROW(),"-")</f>
        <v>-</v>
      </c>
    </row>
    <row r="31308" customHeight="1" spans="2:2">
      <c r="B31308" s="62" t="str">
        <f>IF(AND('领用录入（明细）'!D:D=$F$4,'领用录入（明细）'!C:C&gt;=$J$4,'领用录入（明细）'!C:C&lt;=$L$4),ROW(),"-")</f>
        <v>-</v>
      </c>
    </row>
    <row r="31309" customHeight="1" spans="2:2">
      <c r="B31309" s="62" t="str">
        <f>IF(AND('领用录入（明细）'!D:D=$F$4,'领用录入（明细）'!C:C&gt;=$J$4,'领用录入（明细）'!C:C&lt;=$L$4),ROW(),"-")</f>
        <v>-</v>
      </c>
    </row>
    <row r="31310" customHeight="1" spans="2:2">
      <c r="B31310" s="62" t="str">
        <f>IF(AND('领用录入（明细）'!D:D=$F$4,'领用录入（明细）'!C:C&gt;=$J$4,'领用录入（明细）'!C:C&lt;=$L$4),ROW(),"-")</f>
        <v>-</v>
      </c>
    </row>
    <row r="31311" customHeight="1" spans="2:2">
      <c r="B31311" s="62" t="str">
        <f>IF(AND('领用录入（明细）'!D:D=$F$4,'领用录入（明细）'!C:C&gt;=$J$4,'领用录入（明细）'!C:C&lt;=$L$4),ROW(),"-")</f>
        <v>-</v>
      </c>
    </row>
    <row r="31312" customHeight="1" spans="2:2">
      <c r="B31312" s="62" t="str">
        <f>IF(AND('领用录入（明细）'!D:D=$F$4,'领用录入（明细）'!C:C&gt;=$J$4,'领用录入（明细）'!C:C&lt;=$L$4),ROW(),"-")</f>
        <v>-</v>
      </c>
    </row>
    <row r="31313" customHeight="1" spans="2:2">
      <c r="B31313" s="62" t="str">
        <f>IF(AND('领用录入（明细）'!D:D=$F$4,'领用录入（明细）'!C:C&gt;=$J$4,'领用录入（明细）'!C:C&lt;=$L$4),ROW(),"-")</f>
        <v>-</v>
      </c>
    </row>
    <row r="31314" customHeight="1" spans="2:2">
      <c r="B31314" s="62" t="str">
        <f>IF(AND('领用录入（明细）'!D:D=$F$4,'领用录入（明细）'!C:C&gt;=$J$4,'领用录入（明细）'!C:C&lt;=$L$4),ROW(),"-")</f>
        <v>-</v>
      </c>
    </row>
    <row r="31315" customHeight="1" spans="2:2">
      <c r="B31315" s="62" t="str">
        <f>IF(AND('领用录入（明细）'!D:D=$F$4,'领用录入（明细）'!C:C&gt;=$J$4,'领用录入（明细）'!C:C&lt;=$L$4),ROW(),"-")</f>
        <v>-</v>
      </c>
    </row>
    <row r="31316" customHeight="1" spans="2:2">
      <c r="B31316" s="62" t="str">
        <f>IF(AND('领用录入（明细）'!D:D=$F$4,'领用录入（明细）'!C:C&gt;=$J$4,'领用录入（明细）'!C:C&lt;=$L$4),ROW(),"-")</f>
        <v>-</v>
      </c>
    </row>
    <row r="31317" customHeight="1" spans="2:2">
      <c r="B31317" s="62" t="str">
        <f>IF(AND('领用录入（明细）'!D:D=$F$4,'领用录入（明细）'!C:C&gt;=$J$4,'领用录入（明细）'!C:C&lt;=$L$4),ROW(),"-")</f>
        <v>-</v>
      </c>
    </row>
    <row r="31318" customHeight="1" spans="2:2">
      <c r="B31318" s="62" t="str">
        <f>IF(AND('领用录入（明细）'!D:D=$F$4,'领用录入（明细）'!C:C&gt;=$J$4,'领用录入（明细）'!C:C&lt;=$L$4),ROW(),"-")</f>
        <v>-</v>
      </c>
    </row>
    <row r="31319" customHeight="1" spans="2:2">
      <c r="B31319" s="62" t="str">
        <f>IF(AND('领用录入（明细）'!D:D=$F$4,'领用录入（明细）'!C:C&gt;=$J$4,'领用录入（明细）'!C:C&lt;=$L$4),ROW(),"-")</f>
        <v>-</v>
      </c>
    </row>
    <row r="31320" customHeight="1" spans="2:2">
      <c r="B31320" s="62" t="str">
        <f>IF(AND('领用录入（明细）'!D:D=$F$4,'领用录入（明细）'!C:C&gt;=$J$4,'领用录入（明细）'!C:C&lt;=$L$4),ROW(),"-")</f>
        <v>-</v>
      </c>
    </row>
    <row r="31321" customHeight="1" spans="2:2">
      <c r="B31321" s="62" t="str">
        <f>IF(AND('领用录入（明细）'!D:D=$F$4,'领用录入（明细）'!C:C&gt;=$J$4,'领用录入（明细）'!C:C&lt;=$L$4),ROW(),"-")</f>
        <v>-</v>
      </c>
    </row>
    <row r="31322" customHeight="1" spans="2:2">
      <c r="B31322" s="62" t="str">
        <f>IF(AND('领用录入（明细）'!D:D=$F$4,'领用录入（明细）'!C:C&gt;=$J$4,'领用录入（明细）'!C:C&lt;=$L$4),ROW(),"-")</f>
        <v>-</v>
      </c>
    </row>
    <row r="31323" customHeight="1" spans="2:2">
      <c r="B31323" s="62" t="str">
        <f>IF(AND('领用录入（明细）'!D:D=$F$4,'领用录入（明细）'!C:C&gt;=$J$4,'领用录入（明细）'!C:C&lt;=$L$4),ROW(),"-")</f>
        <v>-</v>
      </c>
    </row>
    <row r="31324" customHeight="1" spans="2:2">
      <c r="B31324" s="62" t="str">
        <f>IF(AND('领用录入（明细）'!D:D=$F$4,'领用录入（明细）'!C:C&gt;=$J$4,'领用录入（明细）'!C:C&lt;=$L$4),ROW(),"-")</f>
        <v>-</v>
      </c>
    </row>
    <row r="31325" customHeight="1" spans="2:2">
      <c r="B31325" s="62" t="str">
        <f>IF(AND('领用录入（明细）'!D:D=$F$4,'领用录入（明细）'!C:C&gt;=$J$4,'领用录入（明细）'!C:C&lt;=$L$4),ROW(),"-")</f>
        <v>-</v>
      </c>
    </row>
    <row r="31326" customHeight="1" spans="2:2">
      <c r="B31326" s="62" t="str">
        <f>IF(AND('领用录入（明细）'!D:D=$F$4,'领用录入（明细）'!C:C&gt;=$J$4,'领用录入（明细）'!C:C&lt;=$L$4),ROW(),"-")</f>
        <v>-</v>
      </c>
    </row>
    <row r="31327" customHeight="1" spans="2:2">
      <c r="B31327" s="62" t="str">
        <f>IF(AND('领用录入（明细）'!D:D=$F$4,'领用录入（明细）'!C:C&gt;=$J$4,'领用录入（明细）'!C:C&lt;=$L$4),ROW(),"-")</f>
        <v>-</v>
      </c>
    </row>
    <row r="31328" customHeight="1" spans="2:2">
      <c r="B31328" s="62" t="str">
        <f>IF(AND('领用录入（明细）'!D:D=$F$4,'领用录入（明细）'!C:C&gt;=$J$4,'领用录入（明细）'!C:C&lt;=$L$4),ROW(),"-")</f>
        <v>-</v>
      </c>
    </row>
    <row r="31329" customHeight="1" spans="2:2">
      <c r="B31329" s="62" t="str">
        <f>IF(AND('领用录入（明细）'!D:D=$F$4,'领用录入（明细）'!C:C&gt;=$J$4,'领用录入（明细）'!C:C&lt;=$L$4),ROW(),"-")</f>
        <v>-</v>
      </c>
    </row>
    <row r="31330" customHeight="1" spans="2:2">
      <c r="B31330" s="62" t="str">
        <f>IF(AND('领用录入（明细）'!D:D=$F$4,'领用录入（明细）'!C:C&gt;=$J$4,'领用录入（明细）'!C:C&lt;=$L$4),ROW(),"-")</f>
        <v>-</v>
      </c>
    </row>
    <row r="31331" customHeight="1" spans="2:2">
      <c r="B31331" s="62" t="str">
        <f>IF(AND('领用录入（明细）'!D:D=$F$4,'领用录入（明细）'!C:C&gt;=$J$4,'领用录入（明细）'!C:C&lt;=$L$4),ROW(),"-")</f>
        <v>-</v>
      </c>
    </row>
    <row r="31332" customHeight="1" spans="2:2">
      <c r="B31332" s="62" t="str">
        <f>IF(AND('领用录入（明细）'!D:D=$F$4,'领用录入（明细）'!C:C&gt;=$J$4,'领用录入（明细）'!C:C&lt;=$L$4),ROW(),"-")</f>
        <v>-</v>
      </c>
    </row>
    <row r="31333" customHeight="1" spans="2:2">
      <c r="B31333" s="62" t="str">
        <f>IF(AND('领用录入（明细）'!D:D=$F$4,'领用录入（明细）'!C:C&gt;=$J$4,'领用录入（明细）'!C:C&lt;=$L$4),ROW(),"-")</f>
        <v>-</v>
      </c>
    </row>
    <row r="31334" customHeight="1" spans="2:2">
      <c r="B31334" s="62" t="str">
        <f>IF(AND('领用录入（明细）'!D:D=$F$4,'领用录入（明细）'!C:C&gt;=$J$4,'领用录入（明细）'!C:C&lt;=$L$4),ROW(),"-")</f>
        <v>-</v>
      </c>
    </row>
    <row r="31335" customHeight="1" spans="2:2">
      <c r="B31335" s="62" t="str">
        <f>IF(AND('领用录入（明细）'!D:D=$F$4,'领用录入（明细）'!C:C&gt;=$J$4,'领用录入（明细）'!C:C&lt;=$L$4),ROW(),"-")</f>
        <v>-</v>
      </c>
    </row>
    <row r="31336" customHeight="1" spans="2:2">
      <c r="B31336" s="62" t="str">
        <f>IF(AND('领用录入（明细）'!D:D=$F$4,'领用录入（明细）'!C:C&gt;=$J$4,'领用录入（明细）'!C:C&lt;=$L$4),ROW(),"-")</f>
        <v>-</v>
      </c>
    </row>
    <row r="31337" customHeight="1" spans="2:2">
      <c r="B31337" s="62" t="str">
        <f>IF(AND('领用录入（明细）'!D:D=$F$4,'领用录入（明细）'!C:C&gt;=$J$4,'领用录入（明细）'!C:C&lt;=$L$4),ROW(),"-")</f>
        <v>-</v>
      </c>
    </row>
    <row r="31338" customHeight="1" spans="2:2">
      <c r="B31338" s="62" t="str">
        <f>IF(AND('领用录入（明细）'!D:D=$F$4,'领用录入（明细）'!C:C&gt;=$J$4,'领用录入（明细）'!C:C&lt;=$L$4),ROW(),"-")</f>
        <v>-</v>
      </c>
    </row>
    <row r="31339" customHeight="1" spans="2:2">
      <c r="B31339" s="62" t="str">
        <f>IF(AND('领用录入（明细）'!D:D=$F$4,'领用录入（明细）'!C:C&gt;=$J$4,'领用录入（明细）'!C:C&lt;=$L$4),ROW(),"-")</f>
        <v>-</v>
      </c>
    </row>
    <row r="31340" customHeight="1" spans="2:2">
      <c r="B31340" s="62" t="str">
        <f>IF(AND('领用录入（明细）'!D:D=$F$4,'领用录入（明细）'!C:C&gt;=$J$4,'领用录入（明细）'!C:C&lt;=$L$4),ROW(),"-")</f>
        <v>-</v>
      </c>
    </row>
    <row r="31341" customHeight="1" spans="2:2">
      <c r="B31341" s="62" t="str">
        <f>IF(AND('领用录入（明细）'!D:D=$F$4,'领用录入（明细）'!C:C&gt;=$J$4,'领用录入（明细）'!C:C&lt;=$L$4),ROW(),"-")</f>
        <v>-</v>
      </c>
    </row>
    <row r="31342" customHeight="1" spans="2:2">
      <c r="B31342" s="62" t="str">
        <f>IF(AND('领用录入（明细）'!D:D=$F$4,'领用录入（明细）'!C:C&gt;=$J$4,'领用录入（明细）'!C:C&lt;=$L$4),ROW(),"-")</f>
        <v>-</v>
      </c>
    </row>
    <row r="31343" customHeight="1" spans="2:2">
      <c r="B31343" s="62" t="str">
        <f>IF(AND('领用录入（明细）'!D:D=$F$4,'领用录入（明细）'!C:C&gt;=$J$4,'领用录入（明细）'!C:C&lt;=$L$4),ROW(),"-")</f>
        <v>-</v>
      </c>
    </row>
    <row r="31344" customHeight="1" spans="2:2">
      <c r="B31344" s="62" t="str">
        <f>IF(AND('领用录入（明细）'!D:D=$F$4,'领用录入（明细）'!C:C&gt;=$J$4,'领用录入（明细）'!C:C&lt;=$L$4),ROW(),"-")</f>
        <v>-</v>
      </c>
    </row>
    <row r="31345" customHeight="1" spans="2:2">
      <c r="B31345" s="62" t="str">
        <f>IF(AND('领用录入（明细）'!D:D=$F$4,'领用录入（明细）'!C:C&gt;=$J$4,'领用录入（明细）'!C:C&lt;=$L$4),ROW(),"-")</f>
        <v>-</v>
      </c>
    </row>
    <row r="31346" customHeight="1" spans="2:2">
      <c r="B31346" s="62" t="str">
        <f>IF(AND('领用录入（明细）'!D:D=$F$4,'领用录入（明细）'!C:C&gt;=$J$4,'领用录入（明细）'!C:C&lt;=$L$4),ROW(),"-")</f>
        <v>-</v>
      </c>
    </row>
    <row r="31347" customHeight="1" spans="2:2">
      <c r="B31347" s="62" t="str">
        <f>IF(AND('领用录入（明细）'!D:D=$F$4,'领用录入（明细）'!C:C&gt;=$J$4,'领用录入（明细）'!C:C&lt;=$L$4),ROW(),"-")</f>
        <v>-</v>
      </c>
    </row>
    <row r="31348" customHeight="1" spans="2:2">
      <c r="B31348" s="62" t="str">
        <f>IF(AND('领用录入（明细）'!D:D=$F$4,'领用录入（明细）'!C:C&gt;=$J$4,'领用录入（明细）'!C:C&lt;=$L$4),ROW(),"-")</f>
        <v>-</v>
      </c>
    </row>
    <row r="31349" customHeight="1" spans="2:2">
      <c r="B31349" s="62" t="str">
        <f>IF(AND('领用录入（明细）'!D:D=$F$4,'领用录入（明细）'!C:C&gt;=$J$4,'领用录入（明细）'!C:C&lt;=$L$4),ROW(),"-")</f>
        <v>-</v>
      </c>
    </row>
    <row r="31350" customHeight="1" spans="2:2">
      <c r="B31350" s="62" t="str">
        <f>IF(AND('领用录入（明细）'!D:D=$F$4,'领用录入（明细）'!C:C&gt;=$J$4,'领用录入（明细）'!C:C&lt;=$L$4),ROW(),"-")</f>
        <v>-</v>
      </c>
    </row>
    <row r="31351" customHeight="1" spans="2:2">
      <c r="B31351" s="62" t="str">
        <f>IF(AND('领用录入（明细）'!D:D=$F$4,'领用录入（明细）'!C:C&gt;=$J$4,'领用录入（明细）'!C:C&lt;=$L$4),ROW(),"-")</f>
        <v>-</v>
      </c>
    </row>
    <row r="31352" customHeight="1" spans="2:2">
      <c r="B31352" s="62" t="str">
        <f>IF(AND('领用录入（明细）'!D:D=$F$4,'领用录入（明细）'!C:C&gt;=$J$4,'领用录入（明细）'!C:C&lt;=$L$4),ROW(),"-")</f>
        <v>-</v>
      </c>
    </row>
    <row r="31353" customHeight="1" spans="2:2">
      <c r="B31353" s="62" t="str">
        <f>IF(AND('领用录入（明细）'!D:D=$F$4,'领用录入（明细）'!C:C&gt;=$J$4,'领用录入（明细）'!C:C&lt;=$L$4),ROW(),"-")</f>
        <v>-</v>
      </c>
    </row>
    <row r="31354" customHeight="1" spans="2:2">
      <c r="B31354" s="62" t="str">
        <f>IF(AND('领用录入（明细）'!D:D=$F$4,'领用录入（明细）'!C:C&gt;=$J$4,'领用录入（明细）'!C:C&lt;=$L$4),ROW(),"-")</f>
        <v>-</v>
      </c>
    </row>
    <row r="31355" customHeight="1" spans="2:2">
      <c r="B31355" s="62" t="str">
        <f>IF(AND('领用录入（明细）'!D:D=$F$4,'领用录入（明细）'!C:C&gt;=$J$4,'领用录入（明细）'!C:C&lt;=$L$4),ROW(),"-")</f>
        <v>-</v>
      </c>
    </row>
    <row r="31356" customHeight="1" spans="2:2">
      <c r="B31356" s="62" t="str">
        <f>IF(AND('领用录入（明细）'!D:D=$F$4,'领用录入（明细）'!C:C&gt;=$J$4,'领用录入（明细）'!C:C&lt;=$L$4),ROW(),"-")</f>
        <v>-</v>
      </c>
    </row>
    <row r="31357" customHeight="1" spans="2:2">
      <c r="B31357" s="62" t="str">
        <f>IF(AND('领用录入（明细）'!D:D=$F$4,'领用录入（明细）'!C:C&gt;=$J$4,'领用录入（明细）'!C:C&lt;=$L$4),ROW(),"-")</f>
        <v>-</v>
      </c>
    </row>
    <row r="31358" customHeight="1" spans="2:2">
      <c r="B31358" s="62" t="str">
        <f>IF(AND('领用录入（明细）'!D:D=$F$4,'领用录入（明细）'!C:C&gt;=$J$4,'领用录入（明细）'!C:C&lt;=$L$4),ROW(),"-")</f>
        <v>-</v>
      </c>
    </row>
    <row r="31359" customHeight="1" spans="2:2">
      <c r="B31359" s="62" t="str">
        <f>IF(AND('领用录入（明细）'!D:D=$F$4,'领用录入（明细）'!C:C&gt;=$J$4,'领用录入（明细）'!C:C&lt;=$L$4),ROW(),"-")</f>
        <v>-</v>
      </c>
    </row>
    <row r="31360" customHeight="1" spans="2:2">
      <c r="B31360" s="62" t="str">
        <f>IF(AND('领用录入（明细）'!D:D=$F$4,'领用录入（明细）'!C:C&gt;=$J$4,'领用录入（明细）'!C:C&lt;=$L$4),ROW(),"-")</f>
        <v>-</v>
      </c>
    </row>
    <row r="31361" customHeight="1" spans="2:2">
      <c r="B31361" s="62" t="str">
        <f>IF(AND('领用录入（明细）'!D:D=$F$4,'领用录入（明细）'!C:C&gt;=$J$4,'领用录入（明细）'!C:C&lt;=$L$4),ROW(),"-")</f>
        <v>-</v>
      </c>
    </row>
    <row r="31362" customHeight="1" spans="2:2">
      <c r="B31362" s="62" t="str">
        <f>IF(AND('领用录入（明细）'!D:D=$F$4,'领用录入（明细）'!C:C&gt;=$J$4,'领用录入（明细）'!C:C&lt;=$L$4),ROW(),"-")</f>
        <v>-</v>
      </c>
    </row>
    <row r="31363" customHeight="1" spans="2:2">
      <c r="B31363" s="62" t="str">
        <f>IF(AND('领用录入（明细）'!D:D=$F$4,'领用录入（明细）'!C:C&gt;=$J$4,'领用录入（明细）'!C:C&lt;=$L$4),ROW(),"-")</f>
        <v>-</v>
      </c>
    </row>
    <row r="31364" customHeight="1" spans="2:2">
      <c r="B31364" s="62" t="str">
        <f>IF(AND('领用录入（明细）'!D:D=$F$4,'领用录入（明细）'!C:C&gt;=$J$4,'领用录入（明细）'!C:C&lt;=$L$4),ROW(),"-")</f>
        <v>-</v>
      </c>
    </row>
    <row r="31365" customHeight="1" spans="2:2">
      <c r="B31365" s="62" t="str">
        <f>IF(AND('领用录入（明细）'!D:D=$F$4,'领用录入（明细）'!C:C&gt;=$J$4,'领用录入（明细）'!C:C&lt;=$L$4),ROW(),"-")</f>
        <v>-</v>
      </c>
    </row>
    <row r="31366" customHeight="1" spans="2:2">
      <c r="B31366" s="62" t="str">
        <f>IF(AND('领用录入（明细）'!D:D=$F$4,'领用录入（明细）'!C:C&gt;=$J$4,'领用录入（明细）'!C:C&lt;=$L$4),ROW(),"-")</f>
        <v>-</v>
      </c>
    </row>
    <row r="31367" customHeight="1" spans="2:2">
      <c r="B31367" s="62" t="str">
        <f>IF(AND('领用录入（明细）'!D:D=$F$4,'领用录入（明细）'!C:C&gt;=$J$4,'领用录入（明细）'!C:C&lt;=$L$4),ROW(),"-")</f>
        <v>-</v>
      </c>
    </row>
    <row r="31368" customHeight="1" spans="2:2">
      <c r="B31368" s="62" t="str">
        <f>IF(AND('领用录入（明细）'!D:D=$F$4,'领用录入（明细）'!C:C&gt;=$J$4,'领用录入（明细）'!C:C&lt;=$L$4),ROW(),"-")</f>
        <v>-</v>
      </c>
    </row>
    <row r="31369" customHeight="1" spans="2:2">
      <c r="B31369" s="62" t="str">
        <f>IF(AND('领用录入（明细）'!D:D=$F$4,'领用录入（明细）'!C:C&gt;=$J$4,'领用录入（明细）'!C:C&lt;=$L$4),ROW(),"-")</f>
        <v>-</v>
      </c>
    </row>
    <row r="31370" customHeight="1" spans="2:2">
      <c r="B31370" s="62" t="str">
        <f>IF(AND('领用录入（明细）'!D:D=$F$4,'领用录入（明细）'!C:C&gt;=$J$4,'领用录入（明细）'!C:C&lt;=$L$4),ROW(),"-")</f>
        <v>-</v>
      </c>
    </row>
    <row r="31371" customHeight="1" spans="2:2">
      <c r="B31371" s="62" t="str">
        <f>IF(AND('领用录入（明细）'!D:D=$F$4,'领用录入（明细）'!C:C&gt;=$J$4,'领用录入（明细）'!C:C&lt;=$L$4),ROW(),"-")</f>
        <v>-</v>
      </c>
    </row>
    <row r="31372" customHeight="1" spans="2:2">
      <c r="B31372" s="62" t="str">
        <f>IF(AND('领用录入（明细）'!D:D=$F$4,'领用录入（明细）'!C:C&gt;=$J$4,'领用录入（明细）'!C:C&lt;=$L$4),ROW(),"-")</f>
        <v>-</v>
      </c>
    </row>
    <row r="31373" customHeight="1" spans="2:2">
      <c r="B31373" s="62" t="str">
        <f>IF(AND('领用录入（明细）'!D:D=$F$4,'领用录入（明细）'!C:C&gt;=$J$4,'领用录入（明细）'!C:C&lt;=$L$4),ROW(),"-")</f>
        <v>-</v>
      </c>
    </row>
    <row r="31374" customHeight="1" spans="2:2">
      <c r="B31374" s="62" t="str">
        <f>IF(AND('领用录入（明细）'!D:D=$F$4,'领用录入（明细）'!C:C&gt;=$J$4,'领用录入（明细）'!C:C&lt;=$L$4),ROW(),"-")</f>
        <v>-</v>
      </c>
    </row>
    <row r="31375" customHeight="1" spans="2:2">
      <c r="B31375" s="62" t="str">
        <f>IF(AND('领用录入（明细）'!D:D=$F$4,'领用录入（明细）'!C:C&gt;=$J$4,'领用录入（明细）'!C:C&lt;=$L$4),ROW(),"-")</f>
        <v>-</v>
      </c>
    </row>
    <row r="31376" customHeight="1" spans="2:2">
      <c r="B31376" s="62" t="str">
        <f>IF(AND('领用录入（明细）'!D:D=$F$4,'领用录入（明细）'!C:C&gt;=$J$4,'领用录入（明细）'!C:C&lt;=$L$4),ROW(),"-")</f>
        <v>-</v>
      </c>
    </row>
    <row r="31377" customHeight="1" spans="2:2">
      <c r="B31377" s="62" t="str">
        <f>IF(AND('领用录入（明细）'!D:D=$F$4,'领用录入（明细）'!C:C&gt;=$J$4,'领用录入（明细）'!C:C&lt;=$L$4),ROW(),"-")</f>
        <v>-</v>
      </c>
    </row>
    <row r="31378" customHeight="1" spans="2:2">
      <c r="B31378" s="62" t="str">
        <f>IF(AND('领用录入（明细）'!D:D=$F$4,'领用录入（明细）'!C:C&gt;=$J$4,'领用录入（明细）'!C:C&lt;=$L$4),ROW(),"-")</f>
        <v>-</v>
      </c>
    </row>
    <row r="31379" customHeight="1" spans="2:2">
      <c r="B31379" s="62" t="str">
        <f>IF(AND('领用录入（明细）'!D:D=$F$4,'领用录入（明细）'!C:C&gt;=$J$4,'领用录入（明细）'!C:C&lt;=$L$4),ROW(),"-")</f>
        <v>-</v>
      </c>
    </row>
    <row r="31380" customHeight="1" spans="2:2">
      <c r="B31380" s="62" t="str">
        <f>IF(AND('领用录入（明细）'!D:D=$F$4,'领用录入（明细）'!C:C&gt;=$J$4,'领用录入（明细）'!C:C&lt;=$L$4),ROW(),"-")</f>
        <v>-</v>
      </c>
    </row>
    <row r="31381" customHeight="1" spans="2:2">
      <c r="B31381" s="62" t="str">
        <f>IF(AND('领用录入（明细）'!D:D=$F$4,'领用录入（明细）'!C:C&gt;=$J$4,'领用录入（明细）'!C:C&lt;=$L$4),ROW(),"-")</f>
        <v>-</v>
      </c>
    </row>
    <row r="31382" customHeight="1" spans="2:2">
      <c r="B31382" s="62" t="str">
        <f>IF(AND('领用录入（明细）'!D:D=$F$4,'领用录入（明细）'!C:C&gt;=$J$4,'领用录入（明细）'!C:C&lt;=$L$4),ROW(),"-")</f>
        <v>-</v>
      </c>
    </row>
    <row r="31383" customHeight="1" spans="2:2">
      <c r="B31383" s="62" t="str">
        <f>IF(AND('领用录入（明细）'!D:D=$F$4,'领用录入（明细）'!C:C&gt;=$J$4,'领用录入（明细）'!C:C&lt;=$L$4),ROW(),"-")</f>
        <v>-</v>
      </c>
    </row>
    <row r="31384" customHeight="1" spans="2:2">
      <c r="B31384" s="62" t="str">
        <f>IF(AND('领用录入（明细）'!D:D=$F$4,'领用录入（明细）'!C:C&gt;=$J$4,'领用录入（明细）'!C:C&lt;=$L$4),ROW(),"-")</f>
        <v>-</v>
      </c>
    </row>
    <row r="31385" customHeight="1" spans="2:2">
      <c r="B31385" s="62" t="str">
        <f>IF(AND('领用录入（明细）'!D:D=$F$4,'领用录入（明细）'!C:C&gt;=$J$4,'领用录入（明细）'!C:C&lt;=$L$4),ROW(),"-")</f>
        <v>-</v>
      </c>
    </row>
    <row r="31386" customHeight="1" spans="2:2">
      <c r="B31386" s="62" t="str">
        <f>IF(AND('领用录入（明细）'!D:D=$F$4,'领用录入（明细）'!C:C&gt;=$J$4,'领用录入（明细）'!C:C&lt;=$L$4),ROW(),"-")</f>
        <v>-</v>
      </c>
    </row>
    <row r="31387" customHeight="1" spans="2:2">
      <c r="B31387" s="62" t="str">
        <f>IF(AND('领用录入（明细）'!D:D=$F$4,'领用录入（明细）'!C:C&gt;=$J$4,'领用录入（明细）'!C:C&lt;=$L$4),ROW(),"-")</f>
        <v>-</v>
      </c>
    </row>
    <row r="31388" customHeight="1" spans="2:2">
      <c r="B31388" s="62" t="str">
        <f>IF(AND('领用录入（明细）'!D:D=$F$4,'领用录入（明细）'!C:C&gt;=$J$4,'领用录入（明细）'!C:C&lt;=$L$4),ROW(),"-")</f>
        <v>-</v>
      </c>
    </row>
    <row r="31389" customHeight="1" spans="2:2">
      <c r="B31389" s="62" t="str">
        <f>IF(AND('领用录入（明细）'!D:D=$F$4,'领用录入（明细）'!C:C&gt;=$J$4,'领用录入（明细）'!C:C&lt;=$L$4),ROW(),"-")</f>
        <v>-</v>
      </c>
    </row>
    <row r="31390" customHeight="1" spans="2:2">
      <c r="B31390" s="62" t="str">
        <f>IF(AND('领用录入（明细）'!D:D=$F$4,'领用录入（明细）'!C:C&gt;=$J$4,'领用录入（明细）'!C:C&lt;=$L$4),ROW(),"-")</f>
        <v>-</v>
      </c>
    </row>
    <row r="31391" customHeight="1" spans="2:2">
      <c r="B31391" s="62" t="str">
        <f>IF(AND('领用录入（明细）'!D:D=$F$4,'领用录入（明细）'!C:C&gt;=$J$4,'领用录入（明细）'!C:C&lt;=$L$4),ROW(),"-")</f>
        <v>-</v>
      </c>
    </row>
    <row r="31392" customHeight="1" spans="2:2">
      <c r="B31392" s="62" t="str">
        <f>IF(AND('领用录入（明细）'!D:D=$F$4,'领用录入（明细）'!C:C&gt;=$J$4,'领用录入（明细）'!C:C&lt;=$L$4),ROW(),"-")</f>
        <v>-</v>
      </c>
    </row>
    <row r="31393" customHeight="1" spans="2:2">
      <c r="B31393" s="62" t="str">
        <f>IF(AND('领用录入（明细）'!D:D=$F$4,'领用录入（明细）'!C:C&gt;=$J$4,'领用录入（明细）'!C:C&lt;=$L$4),ROW(),"-")</f>
        <v>-</v>
      </c>
    </row>
    <row r="31394" customHeight="1" spans="2:2">
      <c r="B31394" s="62" t="str">
        <f>IF(AND('领用录入（明细）'!D:D=$F$4,'领用录入（明细）'!C:C&gt;=$J$4,'领用录入（明细）'!C:C&lt;=$L$4),ROW(),"-")</f>
        <v>-</v>
      </c>
    </row>
    <row r="31395" customHeight="1" spans="2:2">
      <c r="B31395" s="62" t="str">
        <f>IF(AND('领用录入（明细）'!D:D=$F$4,'领用录入（明细）'!C:C&gt;=$J$4,'领用录入（明细）'!C:C&lt;=$L$4),ROW(),"-")</f>
        <v>-</v>
      </c>
    </row>
    <row r="31396" customHeight="1" spans="2:2">
      <c r="B31396" s="62" t="str">
        <f>IF(AND('领用录入（明细）'!D:D=$F$4,'领用录入（明细）'!C:C&gt;=$J$4,'领用录入（明细）'!C:C&lt;=$L$4),ROW(),"-")</f>
        <v>-</v>
      </c>
    </row>
    <row r="31397" customHeight="1" spans="2:2">
      <c r="B31397" s="62" t="str">
        <f>IF(AND('领用录入（明细）'!D:D=$F$4,'领用录入（明细）'!C:C&gt;=$J$4,'领用录入（明细）'!C:C&lt;=$L$4),ROW(),"-")</f>
        <v>-</v>
      </c>
    </row>
    <row r="31398" customHeight="1" spans="2:2">
      <c r="B31398" s="62" t="str">
        <f>IF(AND('领用录入（明细）'!D:D=$F$4,'领用录入（明细）'!C:C&gt;=$J$4,'领用录入（明细）'!C:C&lt;=$L$4),ROW(),"-")</f>
        <v>-</v>
      </c>
    </row>
    <row r="31399" customHeight="1" spans="2:2">
      <c r="B31399" s="62" t="str">
        <f>IF(AND('领用录入（明细）'!D:D=$F$4,'领用录入（明细）'!C:C&gt;=$J$4,'领用录入（明细）'!C:C&lt;=$L$4),ROW(),"-")</f>
        <v>-</v>
      </c>
    </row>
    <row r="31400" customHeight="1" spans="2:2">
      <c r="B31400" s="62" t="str">
        <f>IF(AND('领用录入（明细）'!D:D=$F$4,'领用录入（明细）'!C:C&gt;=$J$4,'领用录入（明细）'!C:C&lt;=$L$4),ROW(),"-")</f>
        <v>-</v>
      </c>
    </row>
    <row r="31401" customHeight="1" spans="2:2">
      <c r="B31401" s="62" t="str">
        <f>IF(AND('领用录入（明细）'!D:D=$F$4,'领用录入（明细）'!C:C&gt;=$J$4,'领用录入（明细）'!C:C&lt;=$L$4),ROW(),"-")</f>
        <v>-</v>
      </c>
    </row>
    <row r="31402" customHeight="1" spans="2:2">
      <c r="B31402" s="62" t="str">
        <f>IF(AND('领用录入（明细）'!D:D=$F$4,'领用录入（明细）'!C:C&gt;=$J$4,'领用录入（明细）'!C:C&lt;=$L$4),ROW(),"-")</f>
        <v>-</v>
      </c>
    </row>
    <row r="31403" customHeight="1" spans="2:2">
      <c r="B31403" s="62" t="str">
        <f>IF(AND('领用录入（明细）'!D:D=$F$4,'领用录入（明细）'!C:C&gt;=$J$4,'领用录入（明细）'!C:C&lt;=$L$4),ROW(),"-")</f>
        <v>-</v>
      </c>
    </row>
    <row r="31404" customHeight="1" spans="2:2">
      <c r="B31404" s="62" t="str">
        <f>IF(AND('领用录入（明细）'!D:D=$F$4,'领用录入（明细）'!C:C&gt;=$J$4,'领用录入（明细）'!C:C&lt;=$L$4),ROW(),"-")</f>
        <v>-</v>
      </c>
    </row>
    <row r="31405" customHeight="1" spans="2:2">
      <c r="B31405" s="62" t="str">
        <f>IF(AND('领用录入（明细）'!D:D=$F$4,'领用录入（明细）'!C:C&gt;=$J$4,'领用录入（明细）'!C:C&lt;=$L$4),ROW(),"-")</f>
        <v>-</v>
      </c>
    </row>
    <row r="31406" customHeight="1" spans="2:2">
      <c r="B31406" s="62" t="str">
        <f>IF(AND('领用录入（明细）'!D:D=$F$4,'领用录入（明细）'!C:C&gt;=$J$4,'领用录入（明细）'!C:C&lt;=$L$4),ROW(),"-")</f>
        <v>-</v>
      </c>
    </row>
    <row r="31407" customHeight="1" spans="2:2">
      <c r="B31407" s="62" t="str">
        <f>IF(AND('领用录入（明细）'!D:D=$F$4,'领用录入（明细）'!C:C&gt;=$J$4,'领用录入（明细）'!C:C&lt;=$L$4),ROW(),"-")</f>
        <v>-</v>
      </c>
    </row>
    <row r="31408" customHeight="1" spans="2:2">
      <c r="B31408" s="62" t="str">
        <f>IF(AND('领用录入（明细）'!D:D=$F$4,'领用录入（明细）'!C:C&gt;=$J$4,'领用录入（明细）'!C:C&lt;=$L$4),ROW(),"-")</f>
        <v>-</v>
      </c>
    </row>
    <row r="31409" customHeight="1" spans="2:2">
      <c r="B31409" s="62" t="str">
        <f>IF(AND('领用录入（明细）'!D:D=$F$4,'领用录入（明细）'!C:C&gt;=$J$4,'领用录入（明细）'!C:C&lt;=$L$4),ROW(),"-")</f>
        <v>-</v>
      </c>
    </row>
    <row r="31410" customHeight="1" spans="2:2">
      <c r="B31410" s="62" t="str">
        <f>IF(AND('领用录入（明细）'!D:D=$F$4,'领用录入（明细）'!C:C&gt;=$J$4,'领用录入（明细）'!C:C&lt;=$L$4),ROW(),"-")</f>
        <v>-</v>
      </c>
    </row>
    <row r="31411" customHeight="1" spans="2:2">
      <c r="B31411" s="62" t="str">
        <f>IF(AND('领用录入（明细）'!D:D=$F$4,'领用录入（明细）'!C:C&gt;=$J$4,'领用录入（明细）'!C:C&lt;=$L$4),ROW(),"-")</f>
        <v>-</v>
      </c>
    </row>
    <row r="31412" customHeight="1" spans="2:2">
      <c r="B31412" s="62" t="str">
        <f>IF(AND('领用录入（明细）'!D:D=$F$4,'领用录入（明细）'!C:C&gt;=$J$4,'领用录入（明细）'!C:C&lt;=$L$4),ROW(),"-")</f>
        <v>-</v>
      </c>
    </row>
    <row r="31413" customHeight="1" spans="2:2">
      <c r="B31413" s="62" t="str">
        <f>IF(AND('领用录入（明细）'!D:D=$F$4,'领用录入（明细）'!C:C&gt;=$J$4,'领用录入（明细）'!C:C&lt;=$L$4),ROW(),"-")</f>
        <v>-</v>
      </c>
    </row>
    <row r="31414" customHeight="1" spans="2:2">
      <c r="B31414" s="62" t="str">
        <f>IF(AND('领用录入（明细）'!D:D=$F$4,'领用录入（明细）'!C:C&gt;=$J$4,'领用录入（明细）'!C:C&lt;=$L$4),ROW(),"-")</f>
        <v>-</v>
      </c>
    </row>
    <row r="31415" customHeight="1" spans="2:2">
      <c r="B31415" s="62" t="str">
        <f>IF(AND('领用录入（明细）'!D:D=$F$4,'领用录入（明细）'!C:C&gt;=$J$4,'领用录入（明细）'!C:C&lt;=$L$4),ROW(),"-")</f>
        <v>-</v>
      </c>
    </row>
    <row r="31416" customHeight="1" spans="2:2">
      <c r="B31416" s="62" t="str">
        <f>IF(AND('领用录入（明细）'!D:D=$F$4,'领用录入（明细）'!C:C&gt;=$J$4,'领用录入（明细）'!C:C&lt;=$L$4),ROW(),"-")</f>
        <v>-</v>
      </c>
    </row>
    <row r="31417" customHeight="1" spans="2:2">
      <c r="B31417" s="62" t="str">
        <f>IF(AND('领用录入（明细）'!D:D=$F$4,'领用录入（明细）'!C:C&gt;=$J$4,'领用录入（明细）'!C:C&lt;=$L$4),ROW(),"-")</f>
        <v>-</v>
      </c>
    </row>
    <row r="31418" customHeight="1" spans="2:2">
      <c r="B31418" s="62" t="str">
        <f>IF(AND('领用录入（明细）'!D:D=$F$4,'领用录入（明细）'!C:C&gt;=$J$4,'领用录入（明细）'!C:C&lt;=$L$4),ROW(),"-")</f>
        <v>-</v>
      </c>
    </row>
    <row r="31419" customHeight="1" spans="2:2">
      <c r="B31419" s="62" t="str">
        <f>IF(AND('领用录入（明细）'!D:D=$F$4,'领用录入（明细）'!C:C&gt;=$J$4,'领用录入（明细）'!C:C&lt;=$L$4),ROW(),"-")</f>
        <v>-</v>
      </c>
    </row>
    <row r="31420" customHeight="1" spans="2:2">
      <c r="B31420" s="62" t="str">
        <f>IF(AND('领用录入（明细）'!D:D=$F$4,'领用录入（明细）'!C:C&gt;=$J$4,'领用录入（明细）'!C:C&lt;=$L$4),ROW(),"-")</f>
        <v>-</v>
      </c>
    </row>
    <row r="31421" customHeight="1" spans="2:2">
      <c r="B31421" s="62" t="str">
        <f>IF(AND('领用录入（明细）'!D:D=$F$4,'领用录入（明细）'!C:C&gt;=$J$4,'领用录入（明细）'!C:C&lt;=$L$4),ROW(),"-")</f>
        <v>-</v>
      </c>
    </row>
    <row r="31422" customHeight="1" spans="2:2">
      <c r="B31422" s="62" t="str">
        <f>IF(AND('领用录入（明细）'!D:D=$F$4,'领用录入（明细）'!C:C&gt;=$J$4,'领用录入（明细）'!C:C&lt;=$L$4),ROW(),"-")</f>
        <v>-</v>
      </c>
    </row>
    <row r="31423" customHeight="1" spans="2:2">
      <c r="B31423" s="62" t="str">
        <f>IF(AND('领用录入（明细）'!D:D=$F$4,'领用录入（明细）'!C:C&gt;=$J$4,'领用录入（明细）'!C:C&lt;=$L$4),ROW(),"-")</f>
        <v>-</v>
      </c>
    </row>
    <row r="31424" customHeight="1" spans="2:2">
      <c r="B31424" s="62" t="str">
        <f>IF(AND('领用录入（明细）'!D:D=$F$4,'领用录入（明细）'!C:C&gt;=$J$4,'领用录入（明细）'!C:C&lt;=$L$4),ROW(),"-")</f>
        <v>-</v>
      </c>
    </row>
    <row r="31425" customHeight="1" spans="2:2">
      <c r="B31425" s="62" t="str">
        <f>IF(AND('领用录入（明细）'!D:D=$F$4,'领用录入（明细）'!C:C&gt;=$J$4,'领用录入（明细）'!C:C&lt;=$L$4),ROW(),"-")</f>
        <v>-</v>
      </c>
    </row>
    <row r="31426" customHeight="1" spans="2:2">
      <c r="B31426" s="62" t="str">
        <f>IF(AND('领用录入（明细）'!D:D=$F$4,'领用录入（明细）'!C:C&gt;=$J$4,'领用录入（明细）'!C:C&lt;=$L$4),ROW(),"-")</f>
        <v>-</v>
      </c>
    </row>
    <row r="31427" customHeight="1" spans="2:2">
      <c r="B31427" s="62" t="str">
        <f>IF(AND('领用录入（明细）'!D:D=$F$4,'领用录入（明细）'!C:C&gt;=$J$4,'领用录入（明细）'!C:C&lt;=$L$4),ROW(),"-")</f>
        <v>-</v>
      </c>
    </row>
    <row r="31428" customHeight="1" spans="2:2">
      <c r="B31428" s="62" t="str">
        <f>IF(AND('领用录入（明细）'!D:D=$F$4,'领用录入（明细）'!C:C&gt;=$J$4,'领用录入（明细）'!C:C&lt;=$L$4),ROW(),"-")</f>
        <v>-</v>
      </c>
    </row>
    <row r="31429" customHeight="1" spans="2:2">
      <c r="B31429" s="62" t="str">
        <f>IF(AND('领用录入（明细）'!D:D=$F$4,'领用录入（明细）'!C:C&gt;=$J$4,'领用录入（明细）'!C:C&lt;=$L$4),ROW(),"-")</f>
        <v>-</v>
      </c>
    </row>
    <row r="31430" customHeight="1" spans="2:2">
      <c r="B31430" s="62" t="str">
        <f>IF(AND('领用录入（明细）'!D:D=$F$4,'领用录入（明细）'!C:C&gt;=$J$4,'领用录入（明细）'!C:C&lt;=$L$4),ROW(),"-")</f>
        <v>-</v>
      </c>
    </row>
    <row r="31431" customHeight="1" spans="2:2">
      <c r="B31431" s="62" t="str">
        <f>IF(AND('领用录入（明细）'!D:D=$F$4,'领用录入（明细）'!C:C&gt;=$J$4,'领用录入（明细）'!C:C&lt;=$L$4),ROW(),"-")</f>
        <v>-</v>
      </c>
    </row>
    <row r="31432" customHeight="1" spans="2:2">
      <c r="B31432" s="62" t="str">
        <f>IF(AND('领用录入（明细）'!D:D=$F$4,'领用录入（明细）'!C:C&gt;=$J$4,'领用录入（明细）'!C:C&lt;=$L$4),ROW(),"-")</f>
        <v>-</v>
      </c>
    </row>
    <row r="31433" customHeight="1" spans="2:2">
      <c r="B31433" s="62" t="str">
        <f>IF(AND('领用录入（明细）'!D:D=$F$4,'领用录入（明细）'!C:C&gt;=$J$4,'领用录入（明细）'!C:C&lt;=$L$4),ROW(),"-")</f>
        <v>-</v>
      </c>
    </row>
    <row r="31434" customHeight="1" spans="2:2">
      <c r="B31434" s="62" t="str">
        <f>IF(AND('领用录入（明细）'!D:D=$F$4,'领用录入（明细）'!C:C&gt;=$J$4,'领用录入（明细）'!C:C&lt;=$L$4),ROW(),"-")</f>
        <v>-</v>
      </c>
    </row>
    <row r="31435" customHeight="1" spans="2:2">
      <c r="B31435" s="62" t="str">
        <f>IF(AND('领用录入（明细）'!D:D=$F$4,'领用录入（明细）'!C:C&gt;=$J$4,'领用录入（明细）'!C:C&lt;=$L$4),ROW(),"-")</f>
        <v>-</v>
      </c>
    </row>
    <row r="31436" customHeight="1" spans="2:2">
      <c r="B31436" s="62" t="str">
        <f>IF(AND('领用录入（明细）'!D:D=$F$4,'领用录入（明细）'!C:C&gt;=$J$4,'领用录入（明细）'!C:C&lt;=$L$4),ROW(),"-")</f>
        <v>-</v>
      </c>
    </row>
    <row r="31437" customHeight="1" spans="2:2">
      <c r="B31437" s="62" t="str">
        <f>IF(AND('领用录入（明细）'!D:D=$F$4,'领用录入（明细）'!C:C&gt;=$J$4,'领用录入（明细）'!C:C&lt;=$L$4),ROW(),"-")</f>
        <v>-</v>
      </c>
    </row>
    <row r="31438" customHeight="1" spans="2:2">
      <c r="B31438" s="62" t="str">
        <f>IF(AND('领用录入（明细）'!D:D=$F$4,'领用录入（明细）'!C:C&gt;=$J$4,'领用录入（明细）'!C:C&lt;=$L$4),ROW(),"-")</f>
        <v>-</v>
      </c>
    </row>
    <row r="31439" customHeight="1" spans="2:2">
      <c r="B31439" s="62" t="str">
        <f>IF(AND('领用录入（明细）'!D:D=$F$4,'领用录入（明细）'!C:C&gt;=$J$4,'领用录入（明细）'!C:C&lt;=$L$4),ROW(),"-")</f>
        <v>-</v>
      </c>
    </row>
    <row r="31440" customHeight="1" spans="2:2">
      <c r="B31440" s="62" t="str">
        <f>IF(AND('领用录入（明细）'!D:D=$F$4,'领用录入（明细）'!C:C&gt;=$J$4,'领用录入（明细）'!C:C&lt;=$L$4),ROW(),"-")</f>
        <v>-</v>
      </c>
    </row>
    <row r="31441" customHeight="1" spans="2:2">
      <c r="B31441" s="62" t="str">
        <f>IF(AND('领用录入（明细）'!D:D=$F$4,'领用录入（明细）'!C:C&gt;=$J$4,'领用录入（明细）'!C:C&lt;=$L$4),ROW(),"-")</f>
        <v>-</v>
      </c>
    </row>
    <row r="31442" customHeight="1" spans="2:2">
      <c r="B31442" s="62" t="str">
        <f>IF(AND('领用录入（明细）'!D:D=$F$4,'领用录入（明细）'!C:C&gt;=$J$4,'领用录入（明细）'!C:C&lt;=$L$4),ROW(),"-")</f>
        <v>-</v>
      </c>
    </row>
    <row r="31443" customHeight="1" spans="2:2">
      <c r="B31443" s="62" t="str">
        <f>IF(AND('领用录入（明细）'!D:D=$F$4,'领用录入（明细）'!C:C&gt;=$J$4,'领用录入（明细）'!C:C&lt;=$L$4),ROW(),"-")</f>
        <v>-</v>
      </c>
    </row>
    <row r="31444" customHeight="1" spans="2:2">
      <c r="B31444" s="62" t="str">
        <f>IF(AND('领用录入（明细）'!D:D=$F$4,'领用录入（明细）'!C:C&gt;=$J$4,'领用录入（明细）'!C:C&lt;=$L$4),ROW(),"-")</f>
        <v>-</v>
      </c>
    </row>
    <row r="31445" customHeight="1" spans="2:2">
      <c r="B31445" s="62" t="str">
        <f>IF(AND('领用录入（明细）'!D:D=$F$4,'领用录入（明细）'!C:C&gt;=$J$4,'领用录入（明细）'!C:C&lt;=$L$4),ROW(),"-")</f>
        <v>-</v>
      </c>
    </row>
    <row r="31446" customHeight="1" spans="2:2">
      <c r="B31446" s="62" t="str">
        <f>IF(AND('领用录入（明细）'!D:D=$F$4,'领用录入（明细）'!C:C&gt;=$J$4,'领用录入（明细）'!C:C&lt;=$L$4),ROW(),"-")</f>
        <v>-</v>
      </c>
    </row>
    <row r="31447" customHeight="1" spans="2:2">
      <c r="B31447" s="62" t="str">
        <f>IF(AND('领用录入（明细）'!D:D=$F$4,'领用录入（明细）'!C:C&gt;=$J$4,'领用录入（明细）'!C:C&lt;=$L$4),ROW(),"-")</f>
        <v>-</v>
      </c>
    </row>
    <row r="31448" customHeight="1" spans="2:2">
      <c r="B31448" s="62" t="str">
        <f>IF(AND('领用录入（明细）'!D:D=$F$4,'领用录入（明细）'!C:C&gt;=$J$4,'领用录入（明细）'!C:C&lt;=$L$4),ROW(),"-")</f>
        <v>-</v>
      </c>
    </row>
    <row r="31449" customHeight="1" spans="2:2">
      <c r="B31449" s="62" t="str">
        <f>IF(AND('领用录入（明细）'!D:D=$F$4,'领用录入（明细）'!C:C&gt;=$J$4,'领用录入（明细）'!C:C&lt;=$L$4),ROW(),"-")</f>
        <v>-</v>
      </c>
    </row>
    <row r="31450" customHeight="1" spans="2:2">
      <c r="B31450" s="62" t="str">
        <f>IF(AND('领用录入（明细）'!D:D=$F$4,'领用录入（明细）'!C:C&gt;=$J$4,'领用录入（明细）'!C:C&lt;=$L$4),ROW(),"-")</f>
        <v>-</v>
      </c>
    </row>
    <row r="31451" customHeight="1" spans="2:2">
      <c r="B31451" s="62" t="str">
        <f>IF(AND('领用录入（明细）'!D:D=$F$4,'领用录入（明细）'!C:C&gt;=$J$4,'领用录入（明细）'!C:C&lt;=$L$4),ROW(),"-")</f>
        <v>-</v>
      </c>
    </row>
    <row r="31452" customHeight="1" spans="2:2">
      <c r="B31452" s="62" t="str">
        <f>IF(AND('领用录入（明细）'!D:D=$F$4,'领用录入（明细）'!C:C&gt;=$J$4,'领用录入（明细）'!C:C&lt;=$L$4),ROW(),"-")</f>
        <v>-</v>
      </c>
    </row>
    <row r="31453" customHeight="1" spans="2:2">
      <c r="B31453" s="62" t="str">
        <f>IF(AND('领用录入（明细）'!D:D=$F$4,'领用录入（明细）'!C:C&gt;=$J$4,'领用录入（明细）'!C:C&lt;=$L$4),ROW(),"-")</f>
        <v>-</v>
      </c>
    </row>
    <row r="31454" customHeight="1" spans="2:2">
      <c r="B31454" s="62" t="str">
        <f>IF(AND('领用录入（明细）'!D:D=$F$4,'领用录入（明细）'!C:C&gt;=$J$4,'领用录入（明细）'!C:C&lt;=$L$4),ROW(),"-")</f>
        <v>-</v>
      </c>
    </row>
    <row r="31455" customHeight="1" spans="2:2">
      <c r="B31455" s="62" t="str">
        <f>IF(AND('领用录入（明细）'!D:D=$F$4,'领用录入（明细）'!C:C&gt;=$J$4,'领用录入（明细）'!C:C&lt;=$L$4),ROW(),"-")</f>
        <v>-</v>
      </c>
    </row>
    <row r="31456" customHeight="1" spans="2:2">
      <c r="B31456" s="62" t="str">
        <f>IF(AND('领用录入（明细）'!D:D=$F$4,'领用录入（明细）'!C:C&gt;=$J$4,'领用录入（明细）'!C:C&lt;=$L$4),ROW(),"-")</f>
        <v>-</v>
      </c>
    </row>
    <row r="31457" customHeight="1" spans="2:2">
      <c r="B31457" s="62" t="str">
        <f>IF(AND('领用录入（明细）'!D:D=$F$4,'领用录入（明细）'!C:C&gt;=$J$4,'领用录入（明细）'!C:C&lt;=$L$4),ROW(),"-")</f>
        <v>-</v>
      </c>
    </row>
    <row r="31458" customHeight="1" spans="2:2">
      <c r="B31458" s="62" t="str">
        <f>IF(AND('领用录入（明细）'!D:D=$F$4,'领用录入（明细）'!C:C&gt;=$J$4,'领用录入（明细）'!C:C&lt;=$L$4),ROW(),"-")</f>
        <v>-</v>
      </c>
    </row>
    <row r="31459" customHeight="1" spans="2:2">
      <c r="B31459" s="62" t="str">
        <f>IF(AND('领用录入（明细）'!D:D=$F$4,'领用录入（明细）'!C:C&gt;=$J$4,'领用录入（明细）'!C:C&lt;=$L$4),ROW(),"-")</f>
        <v>-</v>
      </c>
    </row>
    <row r="31460" customHeight="1" spans="2:2">
      <c r="B31460" s="62" t="str">
        <f>IF(AND('领用录入（明细）'!D:D=$F$4,'领用录入（明细）'!C:C&gt;=$J$4,'领用录入（明细）'!C:C&lt;=$L$4),ROW(),"-")</f>
        <v>-</v>
      </c>
    </row>
    <row r="31461" customHeight="1" spans="2:2">
      <c r="B31461" s="62" t="str">
        <f>IF(AND('领用录入（明细）'!D:D=$F$4,'领用录入（明细）'!C:C&gt;=$J$4,'领用录入（明细）'!C:C&lt;=$L$4),ROW(),"-")</f>
        <v>-</v>
      </c>
    </row>
    <row r="31462" customHeight="1" spans="2:2">
      <c r="B31462" s="62" t="str">
        <f>IF(AND('领用录入（明细）'!D:D=$F$4,'领用录入（明细）'!C:C&gt;=$J$4,'领用录入（明细）'!C:C&lt;=$L$4),ROW(),"-")</f>
        <v>-</v>
      </c>
    </row>
    <row r="31463" customHeight="1" spans="2:2">
      <c r="B31463" s="62" t="str">
        <f>IF(AND('领用录入（明细）'!D:D=$F$4,'领用录入（明细）'!C:C&gt;=$J$4,'领用录入（明细）'!C:C&lt;=$L$4),ROW(),"-")</f>
        <v>-</v>
      </c>
    </row>
    <row r="31464" customHeight="1" spans="2:2">
      <c r="B31464" s="62" t="str">
        <f>IF(AND('领用录入（明细）'!D:D=$F$4,'领用录入（明细）'!C:C&gt;=$J$4,'领用录入（明细）'!C:C&lt;=$L$4),ROW(),"-")</f>
        <v>-</v>
      </c>
    </row>
    <row r="31465" customHeight="1" spans="2:2">
      <c r="B31465" s="62" t="str">
        <f>IF(AND('领用录入（明细）'!D:D=$F$4,'领用录入（明细）'!C:C&gt;=$J$4,'领用录入（明细）'!C:C&lt;=$L$4),ROW(),"-")</f>
        <v>-</v>
      </c>
    </row>
    <row r="31466" customHeight="1" spans="2:2">
      <c r="B31466" s="62" t="str">
        <f>IF(AND('领用录入（明细）'!D:D=$F$4,'领用录入（明细）'!C:C&gt;=$J$4,'领用录入（明细）'!C:C&lt;=$L$4),ROW(),"-")</f>
        <v>-</v>
      </c>
    </row>
    <row r="31467" customHeight="1" spans="2:2">
      <c r="B31467" s="62" t="str">
        <f>IF(AND('领用录入（明细）'!D:D=$F$4,'领用录入（明细）'!C:C&gt;=$J$4,'领用录入（明细）'!C:C&lt;=$L$4),ROW(),"-")</f>
        <v>-</v>
      </c>
    </row>
    <row r="31468" customHeight="1" spans="2:2">
      <c r="B31468" s="62" t="str">
        <f>IF(AND('领用录入（明细）'!D:D=$F$4,'领用录入（明细）'!C:C&gt;=$J$4,'领用录入（明细）'!C:C&lt;=$L$4),ROW(),"-")</f>
        <v>-</v>
      </c>
    </row>
    <row r="31469" customHeight="1" spans="2:2">
      <c r="B31469" s="62" t="str">
        <f>IF(AND('领用录入（明细）'!D:D=$F$4,'领用录入（明细）'!C:C&gt;=$J$4,'领用录入（明细）'!C:C&lt;=$L$4),ROW(),"-")</f>
        <v>-</v>
      </c>
    </row>
    <row r="31470" customHeight="1" spans="2:2">
      <c r="B31470" s="62" t="str">
        <f>IF(AND('领用录入（明细）'!D:D=$F$4,'领用录入（明细）'!C:C&gt;=$J$4,'领用录入（明细）'!C:C&lt;=$L$4),ROW(),"-")</f>
        <v>-</v>
      </c>
    </row>
    <row r="31471" customHeight="1" spans="2:2">
      <c r="B31471" s="62" t="str">
        <f>IF(AND('领用录入（明细）'!D:D=$F$4,'领用录入（明细）'!C:C&gt;=$J$4,'领用录入（明细）'!C:C&lt;=$L$4),ROW(),"-")</f>
        <v>-</v>
      </c>
    </row>
    <row r="31472" customHeight="1" spans="2:2">
      <c r="B31472" s="62" t="str">
        <f>IF(AND('领用录入（明细）'!D:D=$F$4,'领用录入（明细）'!C:C&gt;=$J$4,'领用录入（明细）'!C:C&lt;=$L$4),ROW(),"-")</f>
        <v>-</v>
      </c>
    </row>
    <row r="31473" customHeight="1" spans="2:2">
      <c r="B31473" s="62" t="str">
        <f>IF(AND('领用录入（明细）'!D:D=$F$4,'领用录入（明细）'!C:C&gt;=$J$4,'领用录入（明细）'!C:C&lt;=$L$4),ROW(),"-")</f>
        <v>-</v>
      </c>
    </row>
    <row r="31474" customHeight="1" spans="2:2">
      <c r="B31474" s="62" t="str">
        <f>IF(AND('领用录入（明细）'!D:D=$F$4,'领用录入（明细）'!C:C&gt;=$J$4,'领用录入（明细）'!C:C&lt;=$L$4),ROW(),"-")</f>
        <v>-</v>
      </c>
    </row>
    <row r="31475" customHeight="1" spans="2:2">
      <c r="B31475" s="62" t="str">
        <f>IF(AND('领用录入（明细）'!D:D=$F$4,'领用录入（明细）'!C:C&gt;=$J$4,'领用录入（明细）'!C:C&lt;=$L$4),ROW(),"-")</f>
        <v>-</v>
      </c>
    </row>
    <row r="31476" customHeight="1" spans="2:2">
      <c r="B31476" s="62" t="str">
        <f>IF(AND('领用录入（明细）'!D:D=$F$4,'领用录入（明细）'!C:C&gt;=$J$4,'领用录入（明细）'!C:C&lt;=$L$4),ROW(),"-")</f>
        <v>-</v>
      </c>
    </row>
    <row r="31477" customHeight="1" spans="2:2">
      <c r="B31477" s="62" t="str">
        <f>IF(AND('领用录入（明细）'!D:D=$F$4,'领用录入（明细）'!C:C&gt;=$J$4,'领用录入（明细）'!C:C&lt;=$L$4),ROW(),"-")</f>
        <v>-</v>
      </c>
    </row>
    <row r="31478" customHeight="1" spans="2:2">
      <c r="B31478" s="62" t="str">
        <f>IF(AND('领用录入（明细）'!D:D=$F$4,'领用录入（明细）'!C:C&gt;=$J$4,'领用录入（明细）'!C:C&lt;=$L$4),ROW(),"-")</f>
        <v>-</v>
      </c>
    </row>
    <row r="31479" customHeight="1" spans="2:2">
      <c r="B31479" s="62" t="str">
        <f>IF(AND('领用录入（明细）'!D:D=$F$4,'领用录入（明细）'!C:C&gt;=$J$4,'领用录入（明细）'!C:C&lt;=$L$4),ROW(),"-")</f>
        <v>-</v>
      </c>
    </row>
    <row r="31480" customHeight="1" spans="2:2">
      <c r="B31480" s="62" t="str">
        <f>IF(AND('领用录入（明细）'!D:D=$F$4,'领用录入（明细）'!C:C&gt;=$J$4,'领用录入（明细）'!C:C&lt;=$L$4),ROW(),"-")</f>
        <v>-</v>
      </c>
    </row>
    <row r="31481" customHeight="1" spans="2:2">
      <c r="B31481" s="62" t="str">
        <f>IF(AND('领用录入（明细）'!D:D=$F$4,'领用录入（明细）'!C:C&gt;=$J$4,'领用录入（明细）'!C:C&lt;=$L$4),ROW(),"-")</f>
        <v>-</v>
      </c>
    </row>
    <row r="31482" customHeight="1" spans="2:2">
      <c r="B31482" s="62" t="str">
        <f>IF(AND('领用录入（明细）'!D:D=$F$4,'领用录入（明细）'!C:C&gt;=$J$4,'领用录入（明细）'!C:C&lt;=$L$4),ROW(),"-")</f>
        <v>-</v>
      </c>
    </row>
    <row r="31483" customHeight="1" spans="2:2">
      <c r="B31483" s="62" t="str">
        <f>IF(AND('领用录入（明细）'!D:D=$F$4,'领用录入（明细）'!C:C&gt;=$J$4,'领用录入（明细）'!C:C&lt;=$L$4),ROW(),"-")</f>
        <v>-</v>
      </c>
    </row>
    <row r="31484" customHeight="1" spans="2:2">
      <c r="B31484" s="62" t="str">
        <f>IF(AND('领用录入（明细）'!D:D=$F$4,'领用录入（明细）'!C:C&gt;=$J$4,'领用录入（明细）'!C:C&lt;=$L$4),ROW(),"-")</f>
        <v>-</v>
      </c>
    </row>
    <row r="31485" customHeight="1" spans="2:2">
      <c r="B31485" s="62" t="str">
        <f>IF(AND('领用录入（明细）'!D:D=$F$4,'领用录入（明细）'!C:C&gt;=$J$4,'领用录入（明细）'!C:C&lt;=$L$4),ROW(),"-")</f>
        <v>-</v>
      </c>
    </row>
    <row r="31486" customHeight="1" spans="2:2">
      <c r="B31486" s="62" t="str">
        <f>IF(AND('领用录入（明细）'!D:D=$F$4,'领用录入（明细）'!C:C&gt;=$J$4,'领用录入（明细）'!C:C&lt;=$L$4),ROW(),"-")</f>
        <v>-</v>
      </c>
    </row>
    <row r="31487" customHeight="1" spans="2:2">
      <c r="B31487" s="62" t="str">
        <f>IF(AND('领用录入（明细）'!D:D=$F$4,'领用录入（明细）'!C:C&gt;=$J$4,'领用录入（明细）'!C:C&lt;=$L$4),ROW(),"-")</f>
        <v>-</v>
      </c>
    </row>
    <row r="31488" customHeight="1" spans="2:2">
      <c r="B31488" s="62" t="str">
        <f>IF(AND('领用录入（明细）'!D:D=$F$4,'领用录入（明细）'!C:C&gt;=$J$4,'领用录入（明细）'!C:C&lt;=$L$4),ROW(),"-")</f>
        <v>-</v>
      </c>
    </row>
    <row r="31489" customHeight="1" spans="2:2">
      <c r="B31489" s="62" t="str">
        <f>IF(AND('领用录入（明细）'!D:D=$F$4,'领用录入（明细）'!C:C&gt;=$J$4,'领用录入（明细）'!C:C&lt;=$L$4),ROW(),"-")</f>
        <v>-</v>
      </c>
    </row>
    <row r="31490" customHeight="1" spans="2:2">
      <c r="B31490" s="62" t="str">
        <f>IF(AND('领用录入（明细）'!D:D=$F$4,'领用录入（明细）'!C:C&gt;=$J$4,'领用录入（明细）'!C:C&lt;=$L$4),ROW(),"-")</f>
        <v>-</v>
      </c>
    </row>
    <row r="31491" customHeight="1" spans="2:2">
      <c r="B31491" s="62" t="str">
        <f>IF(AND('领用录入（明细）'!D:D=$F$4,'领用录入（明细）'!C:C&gt;=$J$4,'领用录入（明细）'!C:C&lt;=$L$4),ROW(),"-")</f>
        <v>-</v>
      </c>
    </row>
    <row r="31492" customHeight="1" spans="2:2">
      <c r="B31492" s="62" t="str">
        <f>IF(AND('领用录入（明细）'!D:D=$F$4,'领用录入（明细）'!C:C&gt;=$J$4,'领用录入（明细）'!C:C&lt;=$L$4),ROW(),"-")</f>
        <v>-</v>
      </c>
    </row>
    <row r="31493" customHeight="1" spans="2:2">
      <c r="B31493" s="62" t="str">
        <f>IF(AND('领用录入（明细）'!D:D=$F$4,'领用录入（明细）'!C:C&gt;=$J$4,'领用录入（明细）'!C:C&lt;=$L$4),ROW(),"-")</f>
        <v>-</v>
      </c>
    </row>
    <row r="31494" customHeight="1" spans="2:2">
      <c r="B31494" s="62" t="str">
        <f>IF(AND('领用录入（明细）'!D:D=$F$4,'领用录入（明细）'!C:C&gt;=$J$4,'领用录入（明细）'!C:C&lt;=$L$4),ROW(),"-")</f>
        <v>-</v>
      </c>
    </row>
    <row r="31495" customHeight="1" spans="2:2">
      <c r="B31495" s="62" t="str">
        <f>IF(AND('领用录入（明细）'!D:D=$F$4,'领用录入（明细）'!C:C&gt;=$J$4,'领用录入（明细）'!C:C&lt;=$L$4),ROW(),"-")</f>
        <v>-</v>
      </c>
    </row>
    <row r="31496" customHeight="1" spans="2:2">
      <c r="B31496" s="62" t="str">
        <f>IF(AND('领用录入（明细）'!D:D=$F$4,'领用录入（明细）'!C:C&gt;=$J$4,'领用录入（明细）'!C:C&lt;=$L$4),ROW(),"-")</f>
        <v>-</v>
      </c>
    </row>
    <row r="31497" customHeight="1" spans="2:2">
      <c r="B31497" s="62" t="str">
        <f>IF(AND('领用录入（明细）'!D:D=$F$4,'领用录入（明细）'!C:C&gt;=$J$4,'领用录入（明细）'!C:C&lt;=$L$4),ROW(),"-")</f>
        <v>-</v>
      </c>
    </row>
    <row r="31498" customHeight="1" spans="2:2">
      <c r="B31498" s="62" t="str">
        <f>IF(AND('领用录入（明细）'!D:D=$F$4,'领用录入（明细）'!C:C&gt;=$J$4,'领用录入（明细）'!C:C&lt;=$L$4),ROW(),"-")</f>
        <v>-</v>
      </c>
    </row>
    <row r="31499" customHeight="1" spans="2:2">
      <c r="B31499" s="62" t="str">
        <f>IF(AND('领用录入（明细）'!D:D=$F$4,'领用录入（明细）'!C:C&gt;=$J$4,'领用录入（明细）'!C:C&lt;=$L$4),ROW(),"-")</f>
        <v>-</v>
      </c>
    </row>
    <row r="31500" customHeight="1" spans="2:2">
      <c r="B31500" s="62" t="str">
        <f>IF(AND('领用录入（明细）'!D:D=$F$4,'领用录入（明细）'!C:C&gt;=$J$4,'领用录入（明细）'!C:C&lt;=$L$4),ROW(),"-")</f>
        <v>-</v>
      </c>
    </row>
    <row r="31501" customHeight="1" spans="2:2">
      <c r="B31501" s="62" t="str">
        <f>IF(AND('领用录入（明细）'!D:D=$F$4,'领用录入（明细）'!C:C&gt;=$J$4,'领用录入（明细）'!C:C&lt;=$L$4),ROW(),"-")</f>
        <v>-</v>
      </c>
    </row>
    <row r="31502" customHeight="1" spans="2:2">
      <c r="B31502" s="62" t="str">
        <f>IF(AND('领用录入（明细）'!D:D=$F$4,'领用录入（明细）'!C:C&gt;=$J$4,'领用录入（明细）'!C:C&lt;=$L$4),ROW(),"-")</f>
        <v>-</v>
      </c>
    </row>
    <row r="31503" customHeight="1" spans="2:2">
      <c r="B31503" s="62" t="str">
        <f>IF(AND('领用录入（明细）'!D:D=$F$4,'领用录入（明细）'!C:C&gt;=$J$4,'领用录入（明细）'!C:C&lt;=$L$4),ROW(),"-")</f>
        <v>-</v>
      </c>
    </row>
    <row r="31504" customHeight="1" spans="2:2">
      <c r="B31504" s="62" t="str">
        <f>IF(AND('领用录入（明细）'!D:D=$F$4,'领用录入（明细）'!C:C&gt;=$J$4,'领用录入（明细）'!C:C&lt;=$L$4),ROW(),"-")</f>
        <v>-</v>
      </c>
    </row>
    <row r="31505" customHeight="1" spans="2:2">
      <c r="B31505" s="62" t="str">
        <f>IF(AND('领用录入（明细）'!D:D=$F$4,'领用录入（明细）'!C:C&gt;=$J$4,'领用录入（明细）'!C:C&lt;=$L$4),ROW(),"-")</f>
        <v>-</v>
      </c>
    </row>
    <row r="31506" customHeight="1" spans="2:2">
      <c r="B31506" s="62" t="str">
        <f>IF(AND('领用录入（明细）'!D:D=$F$4,'领用录入（明细）'!C:C&gt;=$J$4,'领用录入（明细）'!C:C&lt;=$L$4),ROW(),"-")</f>
        <v>-</v>
      </c>
    </row>
    <row r="31507" customHeight="1" spans="2:2">
      <c r="B31507" s="62" t="str">
        <f>IF(AND('领用录入（明细）'!D:D=$F$4,'领用录入（明细）'!C:C&gt;=$J$4,'领用录入（明细）'!C:C&lt;=$L$4),ROW(),"-")</f>
        <v>-</v>
      </c>
    </row>
    <row r="31508" customHeight="1" spans="2:2">
      <c r="B31508" s="62" t="str">
        <f>IF(AND('领用录入（明细）'!D:D=$F$4,'领用录入（明细）'!C:C&gt;=$J$4,'领用录入（明细）'!C:C&lt;=$L$4),ROW(),"-")</f>
        <v>-</v>
      </c>
    </row>
    <row r="31509" customHeight="1" spans="2:2">
      <c r="B31509" s="62" t="str">
        <f>IF(AND('领用录入（明细）'!D:D=$F$4,'领用录入（明细）'!C:C&gt;=$J$4,'领用录入（明细）'!C:C&lt;=$L$4),ROW(),"-")</f>
        <v>-</v>
      </c>
    </row>
    <row r="31510" customHeight="1" spans="2:2">
      <c r="B31510" s="62" t="str">
        <f>IF(AND('领用录入（明细）'!D:D=$F$4,'领用录入（明细）'!C:C&gt;=$J$4,'领用录入（明细）'!C:C&lt;=$L$4),ROW(),"-")</f>
        <v>-</v>
      </c>
    </row>
    <row r="31511" customHeight="1" spans="2:2">
      <c r="B31511" s="62" t="str">
        <f>IF(AND('领用录入（明细）'!D:D=$F$4,'领用录入（明细）'!C:C&gt;=$J$4,'领用录入（明细）'!C:C&lt;=$L$4),ROW(),"-")</f>
        <v>-</v>
      </c>
    </row>
    <row r="31512" customHeight="1" spans="2:2">
      <c r="B31512" s="62" t="str">
        <f>IF(AND('领用录入（明细）'!D:D=$F$4,'领用录入（明细）'!C:C&gt;=$J$4,'领用录入（明细）'!C:C&lt;=$L$4),ROW(),"-")</f>
        <v>-</v>
      </c>
    </row>
    <row r="31513" customHeight="1" spans="2:2">
      <c r="B31513" s="62" t="str">
        <f>IF(AND('领用录入（明细）'!D:D=$F$4,'领用录入（明细）'!C:C&gt;=$J$4,'领用录入（明细）'!C:C&lt;=$L$4),ROW(),"-")</f>
        <v>-</v>
      </c>
    </row>
    <row r="31514" customHeight="1" spans="2:2">
      <c r="B31514" s="62" t="str">
        <f>IF(AND('领用录入（明细）'!D:D=$F$4,'领用录入（明细）'!C:C&gt;=$J$4,'领用录入（明细）'!C:C&lt;=$L$4),ROW(),"-")</f>
        <v>-</v>
      </c>
    </row>
    <row r="31515" customHeight="1" spans="2:2">
      <c r="B31515" s="62" t="str">
        <f>IF(AND('领用录入（明细）'!D:D=$F$4,'领用录入（明细）'!C:C&gt;=$J$4,'领用录入（明细）'!C:C&lt;=$L$4),ROW(),"-")</f>
        <v>-</v>
      </c>
    </row>
    <row r="31516" customHeight="1" spans="2:2">
      <c r="B31516" s="62" t="str">
        <f>IF(AND('领用录入（明细）'!D:D=$F$4,'领用录入（明细）'!C:C&gt;=$J$4,'领用录入（明细）'!C:C&lt;=$L$4),ROW(),"-")</f>
        <v>-</v>
      </c>
    </row>
    <row r="31517" customHeight="1" spans="2:2">
      <c r="B31517" s="62" t="str">
        <f>IF(AND('领用录入（明细）'!D:D=$F$4,'领用录入（明细）'!C:C&gt;=$J$4,'领用录入（明细）'!C:C&lt;=$L$4),ROW(),"-")</f>
        <v>-</v>
      </c>
    </row>
    <row r="31518" customHeight="1" spans="2:2">
      <c r="B31518" s="62" t="str">
        <f>IF(AND('领用录入（明细）'!D:D=$F$4,'领用录入（明细）'!C:C&gt;=$J$4,'领用录入（明细）'!C:C&lt;=$L$4),ROW(),"-")</f>
        <v>-</v>
      </c>
    </row>
    <row r="31519" customHeight="1" spans="2:2">
      <c r="B31519" s="62" t="str">
        <f>IF(AND('领用录入（明细）'!D:D=$F$4,'领用录入（明细）'!C:C&gt;=$J$4,'领用录入（明细）'!C:C&lt;=$L$4),ROW(),"-")</f>
        <v>-</v>
      </c>
    </row>
    <row r="31520" customHeight="1" spans="2:2">
      <c r="B31520" s="62" t="str">
        <f>IF(AND('领用录入（明细）'!D:D=$F$4,'领用录入（明细）'!C:C&gt;=$J$4,'领用录入（明细）'!C:C&lt;=$L$4),ROW(),"-")</f>
        <v>-</v>
      </c>
    </row>
    <row r="31521" customHeight="1" spans="2:2">
      <c r="B31521" s="62" t="str">
        <f>IF(AND('领用录入（明细）'!D:D=$F$4,'领用录入（明细）'!C:C&gt;=$J$4,'领用录入（明细）'!C:C&lt;=$L$4),ROW(),"-")</f>
        <v>-</v>
      </c>
    </row>
    <row r="31522" customHeight="1" spans="2:2">
      <c r="B31522" s="62" t="str">
        <f>IF(AND('领用录入（明细）'!D:D=$F$4,'领用录入（明细）'!C:C&gt;=$J$4,'领用录入（明细）'!C:C&lt;=$L$4),ROW(),"-")</f>
        <v>-</v>
      </c>
    </row>
    <row r="31523" customHeight="1" spans="2:2">
      <c r="B31523" s="62" t="str">
        <f>IF(AND('领用录入（明细）'!D:D=$F$4,'领用录入（明细）'!C:C&gt;=$J$4,'领用录入（明细）'!C:C&lt;=$L$4),ROW(),"-")</f>
        <v>-</v>
      </c>
    </row>
    <row r="31524" customHeight="1" spans="2:2">
      <c r="B31524" s="62" t="str">
        <f>IF(AND('领用录入（明细）'!D:D=$F$4,'领用录入（明细）'!C:C&gt;=$J$4,'领用录入（明细）'!C:C&lt;=$L$4),ROW(),"-")</f>
        <v>-</v>
      </c>
    </row>
    <row r="31525" customHeight="1" spans="2:2">
      <c r="B31525" s="62" t="str">
        <f>IF(AND('领用录入（明细）'!D:D=$F$4,'领用录入（明细）'!C:C&gt;=$J$4,'领用录入（明细）'!C:C&lt;=$L$4),ROW(),"-")</f>
        <v>-</v>
      </c>
    </row>
    <row r="31526" customHeight="1" spans="2:2">
      <c r="B31526" s="62" t="str">
        <f>IF(AND('领用录入（明细）'!D:D=$F$4,'领用录入（明细）'!C:C&gt;=$J$4,'领用录入（明细）'!C:C&lt;=$L$4),ROW(),"-")</f>
        <v>-</v>
      </c>
    </row>
    <row r="31527" customHeight="1" spans="2:2">
      <c r="B31527" s="62" t="str">
        <f>IF(AND('领用录入（明细）'!D:D=$F$4,'领用录入（明细）'!C:C&gt;=$J$4,'领用录入（明细）'!C:C&lt;=$L$4),ROW(),"-")</f>
        <v>-</v>
      </c>
    </row>
    <row r="31528" customHeight="1" spans="2:2">
      <c r="B31528" s="62" t="str">
        <f>IF(AND('领用录入（明细）'!D:D=$F$4,'领用录入（明细）'!C:C&gt;=$J$4,'领用录入（明细）'!C:C&lt;=$L$4),ROW(),"-")</f>
        <v>-</v>
      </c>
    </row>
    <row r="31529" customHeight="1" spans="2:2">
      <c r="B31529" s="62" t="str">
        <f>IF(AND('领用录入（明细）'!D:D=$F$4,'领用录入（明细）'!C:C&gt;=$J$4,'领用录入（明细）'!C:C&lt;=$L$4),ROW(),"-")</f>
        <v>-</v>
      </c>
    </row>
    <row r="31530" customHeight="1" spans="2:2">
      <c r="B31530" s="62" t="str">
        <f>IF(AND('领用录入（明细）'!D:D=$F$4,'领用录入（明细）'!C:C&gt;=$J$4,'领用录入（明细）'!C:C&lt;=$L$4),ROW(),"-")</f>
        <v>-</v>
      </c>
    </row>
    <row r="31531" customHeight="1" spans="2:2">
      <c r="B31531" s="62" t="str">
        <f>IF(AND('领用录入（明细）'!D:D=$F$4,'领用录入（明细）'!C:C&gt;=$J$4,'领用录入（明细）'!C:C&lt;=$L$4),ROW(),"-")</f>
        <v>-</v>
      </c>
    </row>
    <row r="31532" customHeight="1" spans="2:2">
      <c r="B31532" s="62" t="str">
        <f>IF(AND('领用录入（明细）'!D:D=$F$4,'领用录入（明细）'!C:C&gt;=$J$4,'领用录入（明细）'!C:C&lt;=$L$4),ROW(),"-")</f>
        <v>-</v>
      </c>
    </row>
    <row r="31533" customHeight="1" spans="2:2">
      <c r="B31533" s="62" t="str">
        <f>IF(AND('领用录入（明细）'!D:D=$F$4,'领用录入（明细）'!C:C&gt;=$J$4,'领用录入（明细）'!C:C&lt;=$L$4),ROW(),"-")</f>
        <v>-</v>
      </c>
    </row>
    <row r="31534" customHeight="1" spans="2:2">
      <c r="B31534" s="62" t="str">
        <f>IF(AND('领用录入（明细）'!D:D=$F$4,'领用录入（明细）'!C:C&gt;=$J$4,'领用录入（明细）'!C:C&lt;=$L$4),ROW(),"-")</f>
        <v>-</v>
      </c>
    </row>
    <row r="31535" customHeight="1" spans="2:2">
      <c r="B31535" s="62" t="str">
        <f>IF(AND('领用录入（明细）'!D:D=$F$4,'领用录入（明细）'!C:C&gt;=$J$4,'领用录入（明细）'!C:C&lt;=$L$4),ROW(),"-")</f>
        <v>-</v>
      </c>
    </row>
    <row r="31536" customHeight="1" spans="2:2">
      <c r="B31536" s="62" t="str">
        <f>IF(AND('领用录入（明细）'!D:D=$F$4,'领用录入（明细）'!C:C&gt;=$J$4,'领用录入（明细）'!C:C&lt;=$L$4),ROW(),"-")</f>
        <v>-</v>
      </c>
    </row>
    <row r="31537" customHeight="1" spans="2:2">
      <c r="B31537" s="62" t="str">
        <f>IF(AND('领用录入（明细）'!D:D=$F$4,'领用录入（明细）'!C:C&gt;=$J$4,'领用录入（明细）'!C:C&lt;=$L$4),ROW(),"-")</f>
        <v>-</v>
      </c>
    </row>
    <row r="31538" customHeight="1" spans="2:2">
      <c r="B31538" s="62" t="str">
        <f>IF(AND('领用录入（明细）'!D:D=$F$4,'领用录入（明细）'!C:C&gt;=$J$4,'领用录入（明细）'!C:C&lt;=$L$4),ROW(),"-")</f>
        <v>-</v>
      </c>
    </row>
    <row r="31539" customHeight="1" spans="2:2">
      <c r="B31539" s="62" t="str">
        <f>IF(AND('领用录入（明细）'!D:D=$F$4,'领用录入（明细）'!C:C&gt;=$J$4,'领用录入（明细）'!C:C&lt;=$L$4),ROW(),"-")</f>
        <v>-</v>
      </c>
    </row>
    <row r="31540" customHeight="1" spans="2:2">
      <c r="B31540" s="62" t="str">
        <f>IF(AND('领用录入（明细）'!D:D=$F$4,'领用录入（明细）'!C:C&gt;=$J$4,'领用录入（明细）'!C:C&lt;=$L$4),ROW(),"-")</f>
        <v>-</v>
      </c>
    </row>
    <row r="31541" customHeight="1" spans="2:2">
      <c r="B31541" s="62" t="str">
        <f>IF(AND('领用录入（明细）'!D:D=$F$4,'领用录入（明细）'!C:C&gt;=$J$4,'领用录入（明细）'!C:C&lt;=$L$4),ROW(),"-")</f>
        <v>-</v>
      </c>
    </row>
    <row r="31542" customHeight="1" spans="2:2">
      <c r="B31542" s="62" t="str">
        <f>IF(AND('领用录入（明细）'!D:D=$F$4,'领用录入（明细）'!C:C&gt;=$J$4,'领用录入（明细）'!C:C&lt;=$L$4),ROW(),"-")</f>
        <v>-</v>
      </c>
    </row>
    <row r="31543" customHeight="1" spans="2:2">
      <c r="B31543" s="62" t="str">
        <f>IF(AND('领用录入（明细）'!D:D=$F$4,'领用录入（明细）'!C:C&gt;=$J$4,'领用录入（明细）'!C:C&lt;=$L$4),ROW(),"-")</f>
        <v>-</v>
      </c>
    </row>
    <row r="31544" customHeight="1" spans="2:2">
      <c r="B31544" s="62" t="str">
        <f>IF(AND('领用录入（明细）'!D:D=$F$4,'领用录入（明细）'!C:C&gt;=$J$4,'领用录入（明细）'!C:C&lt;=$L$4),ROW(),"-")</f>
        <v>-</v>
      </c>
    </row>
    <row r="31545" customHeight="1" spans="2:2">
      <c r="B31545" s="62" t="str">
        <f>IF(AND('领用录入（明细）'!D:D=$F$4,'领用录入（明细）'!C:C&gt;=$J$4,'领用录入（明细）'!C:C&lt;=$L$4),ROW(),"-")</f>
        <v>-</v>
      </c>
    </row>
    <row r="31546" customHeight="1" spans="2:2">
      <c r="B31546" s="62" t="str">
        <f>IF(AND('领用录入（明细）'!D:D=$F$4,'领用录入（明细）'!C:C&gt;=$J$4,'领用录入（明细）'!C:C&lt;=$L$4),ROW(),"-")</f>
        <v>-</v>
      </c>
    </row>
    <row r="31547" customHeight="1" spans="2:2">
      <c r="B31547" s="62" t="str">
        <f>IF(AND('领用录入（明细）'!D:D=$F$4,'领用录入（明细）'!C:C&gt;=$J$4,'领用录入（明细）'!C:C&lt;=$L$4),ROW(),"-")</f>
        <v>-</v>
      </c>
    </row>
    <row r="31548" customHeight="1" spans="2:2">
      <c r="B31548" s="62" t="str">
        <f>IF(AND('领用录入（明细）'!D:D=$F$4,'领用录入（明细）'!C:C&gt;=$J$4,'领用录入（明细）'!C:C&lt;=$L$4),ROW(),"-")</f>
        <v>-</v>
      </c>
    </row>
    <row r="31549" customHeight="1" spans="2:2">
      <c r="B31549" s="62" t="str">
        <f>IF(AND('领用录入（明细）'!D:D=$F$4,'领用录入（明细）'!C:C&gt;=$J$4,'领用录入（明细）'!C:C&lt;=$L$4),ROW(),"-")</f>
        <v>-</v>
      </c>
    </row>
    <row r="31550" customHeight="1" spans="2:2">
      <c r="B31550" s="62" t="str">
        <f>IF(AND('领用录入（明细）'!D:D=$F$4,'领用录入（明细）'!C:C&gt;=$J$4,'领用录入（明细）'!C:C&lt;=$L$4),ROW(),"-")</f>
        <v>-</v>
      </c>
    </row>
    <row r="31551" customHeight="1" spans="2:2">
      <c r="B31551" s="62" t="str">
        <f>IF(AND('领用录入（明细）'!D:D=$F$4,'领用录入（明细）'!C:C&gt;=$J$4,'领用录入（明细）'!C:C&lt;=$L$4),ROW(),"-")</f>
        <v>-</v>
      </c>
    </row>
    <row r="31552" customHeight="1" spans="2:2">
      <c r="B31552" s="62" t="str">
        <f>IF(AND('领用录入（明细）'!D:D=$F$4,'领用录入（明细）'!C:C&gt;=$J$4,'领用录入（明细）'!C:C&lt;=$L$4),ROW(),"-")</f>
        <v>-</v>
      </c>
    </row>
    <row r="31553" customHeight="1" spans="2:2">
      <c r="B31553" s="62" t="str">
        <f>IF(AND('领用录入（明细）'!D:D=$F$4,'领用录入（明细）'!C:C&gt;=$J$4,'领用录入（明细）'!C:C&lt;=$L$4),ROW(),"-")</f>
        <v>-</v>
      </c>
    </row>
    <row r="31554" customHeight="1" spans="2:2">
      <c r="B31554" s="62" t="str">
        <f>IF(AND('领用录入（明细）'!D:D=$F$4,'领用录入（明细）'!C:C&gt;=$J$4,'领用录入（明细）'!C:C&lt;=$L$4),ROW(),"-")</f>
        <v>-</v>
      </c>
    </row>
    <row r="31555" customHeight="1" spans="2:2">
      <c r="B31555" s="62" t="str">
        <f>IF(AND('领用录入（明细）'!D:D=$F$4,'领用录入（明细）'!C:C&gt;=$J$4,'领用录入（明细）'!C:C&lt;=$L$4),ROW(),"-")</f>
        <v>-</v>
      </c>
    </row>
    <row r="31556" customHeight="1" spans="2:2">
      <c r="B31556" s="62" t="str">
        <f>IF(AND('领用录入（明细）'!D:D=$F$4,'领用录入（明细）'!C:C&gt;=$J$4,'领用录入（明细）'!C:C&lt;=$L$4),ROW(),"-")</f>
        <v>-</v>
      </c>
    </row>
    <row r="31557" customHeight="1" spans="2:2">
      <c r="B31557" s="62" t="str">
        <f>IF(AND('领用录入（明细）'!D:D=$F$4,'领用录入（明细）'!C:C&gt;=$J$4,'领用录入（明细）'!C:C&lt;=$L$4),ROW(),"-")</f>
        <v>-</v>
      </c>
    </row>
    <row r="31558" customHeight="1" spans="2:2">
      <c r="B31558" s="62" t="str">
        <f>IF(AND('领用录入（明细）'!D:D=$F$4,'领用录入（明细）'!C:C&gt;=$J$4,'领用录入（明细）'!C:C&lt;=$L$4),ROW(),"-")</f>
        <v>-</v>
      </c>
    </row>
    <row r="31559" customHeight="1" spans="2:2">
      <c r="B31559" s="62" t="str">
        <f>IF(AND('领用录入（明细）'!D:D=$F$4,'领用录入（明细）'!C:C&gt;=$J$4,'领用录入（明细）'!C:C&lt;=$L$4),ROW(),"-")</f>
        <v>-</v>
      </c>
    </row>
    <row r="31560" customHeight="1" spans="2:2">
      <c r="B31560" s="62" t="str">
        <f>IF(AND('领用录入（明细）'!D:D=$F$4,'领用录入（明细）'!C:C&gt;=$J$4,'领用录入（明细）'!C:C&lt;=$L$4),ROW(),"-")</f>
        <v>-</v>
      </c>
    </row>
    <row r="31561" customHeight="1" spans="2:2">
      <c r="B31561" s="62" t="str">
        <f>IF(AND('领用录入（明细）'!D:D=$F$4,'领用录入（明细）'!C:C&gt;=$J$4,'领用录入（明细）'!C:C&lt;=$L$4),ROW(),"-")</f>
        <v>-</v>
      </c>
    </row>
    <row r="31562" customHeight="1" spans="2:2">
      <c r="B31562" s="62" t="str">
        <f>IF(AND('领用录入（明细）'!D:D=$F$4,'领用录入（明细）'!C:C&gt;=$J$4,'领用录入（明细）'!C:C&lt;=$L$4),ROW(),"-")</f>
        <v>-</v>
      </c>
    </row>
    <row r="31563" customHeight="1" spans="2:2">
      <c r="B31563" s="62" t="str">
        <f>IF(AND('领用录入（明细）'!D:D=$F$4,'领用录入（明细）'!C:C&gt;=$J$4,'领用录入（明细）'!C:C&lt;=$L$4),ROW(),"-")</f>
        <v>-</v>
      </c>
    </row>
    <row r="31564" customHeight="1" spans="2:2">
      <c r="B31564" s="62" t="str">
        <f>IF(AND('领用录入（明细）'!D:D=$F$4,'领用录入（明细）'!C:C&gt;=$J$4,'领用录入（明细）'!C:C&lt;=$L$4),ROW(),"-")</f>
        <v>-</v>
      </c>
    </row>
    <row r="31565" customHeight="1" spans="2:2">
      <c r="B31565" s="62" t="str">
        <f>IF(AND('领用录入（明细）'!D:D=$F$4,'领用录入（明细）'!C:C&gt;=$J$4,'领用录入（明细）'!C:C&lt;=$L$4),ROW(),"-")</f>
        <v>-</v>
      </c>
    </row>
    <row r="31566" customHeight="1" spans="2:2">
      <c r="B31566" s="62" t="str">
        <f>IF(AND('领用录入（明细）'!D:D=$F$4,'领用录入（明细）'!C:C&gt;=$J$4,'领用录入（明细）'!C:C&lt;=$L$4),ROW(),"-")</f>
        <v>-</v>
      </c>
    </row>
    <row r="31567" customHeight="1" spans="2:2">
      <c r="B31567" s="62" t="str">
        <f>IF(AND('领用录入（明细）'!D:D=$F$4,'领用录入（明细）'!C:C&gt;=$J$4,'领用录入（明细）'!C:C&lt;=$L$4),ROW(),"-")</f>
        <v>-</v>
      </c>
    </row>
    <row r="31568" customHeight="1" spans="2:2">
      <c r="B31568" s="62" t="str">
        <f>IF(AND('领用录入（明细）'!D:D=$F$4,'领用录入（明细）'!C:C&gt;=$J$4,'领用录入（明细）'!C:C&lt;=$L$4),ROW(),"-")</f>
        <v>-</v>
      </c>
    </row>
    <row r="31569" customHeight="1" spans="2:2">
      <c r="B31569" s="62" t="str">
        <f>IF(AND('领用录入（明细）'!D:D=$F$4,'领用录入（明细）'!C:C&gt;=$J$4,'领用录入（明细）'!C:C&lt;=$L$4),ROW(),"-")</f>
        <v>-</v>
      </c>
    </row>
    <row r="31570" customHeight="1" spans="2:2">
      <c r="B31570" s="62" t="str">
        <f>IF(AND('领用录入（明细）'!D:D=$F$4,'领用录入（明细）'!C:C&gt;=$J$4,'领用录入（明细）'!C:C&lt;=$L$4),ROW(),"-")</f>
        <v>-</v>
      </c>
    </row>
    <row r="31571" customHeight="1" spans="2:2">
      <c r="B31571" s="62" t="str">
        <f>IF(AND('领用录入（明细）'!D:D=$F$4,'领用录入（明细）'!C:C&gt;=$J$4,'领用录入（明细）'!C:C&lt;=$L$4),ROW(),"-")</f>
        <v>-</v>
      </c>
    </row>
    <row r="31572" customHeight="1" spans="2:2">
      <c r="B31572" s="62" t="str">
        <f>IF(AND('领用录入（明细）'!D:D=$F$4,'领用录入（明细）'!C:C&gt;=$J$4,'领用录入（明细）'!C:C&lt;=$L$4),ROW(),"-")</f>
        <v>-</v>
      </c>
    </row>
    <row r="31573" customHeight="1" spans="2:2">
      <c r="B31573" s="62" t="str">
        <f>IF(AND('领用录入（明细）'!D:D=$F$4,'领用录入（明细）'!C:C&gt;=$J$4,'领用录入（明细）'!C:C&lt;=$L$4),ROW(),"-")</f>
        <v>-</v>
      </c>
    </row>
    <row r="31574" customHeight="1" spans="2:2">
      <c r="B31574" s="62" t="str">
        <f>IF(AND('领用录入（明细）'!D:D=$F$4,'领用录入（明细）'!C:C&gt;=$J$4,'领用录入（明细）'!C:C&lt;=$L$4),ROW(),"-")</f>
        <v>-</v>
      </c>
    </row>
    <row r="31575" customHeight="1" spans="2:2">
      <c r="B31575" s="62" t="str">
        <f>IF(AND('领用录入（明细）'!D:D=$F$4,'领用录入（明细）'!C:C&gt;=$J$4,'领用录入（明细）'!C:C&lt;=$L$4),ROW(),"-")</f>
        <v>-</v>
      </c>
    </row>
    <row r="31576" customHeight="1" spans="2:2">
      <c r="B31576" s="62" t="str">
        <f>IF(AND('领用录入（明细）'!D:D=$F$4,'领用录入（明细）'!C:C&gt;=$J$4,'领用录入（明细）'!C:C&lt;=$L$4),ROW(),"-")</f>
        <v>-</v>
      </c>
    </row>
    <row r="31577" customHeight="1" spans="2:2">
      <c r="B31577" s="62" t="str">
        <f>IF(AND('领用录入（明细）'!D:D=$F$4,'领用录入（明细）'!C:C&gt;=$J$4,'领用录入（明细）'!C:C&lt;=$L$4),ROW(),"-")</f>
        <v>-</v>
      </c>
    </row>
    <row r="31578" customHeight="1" spans="2:2">
      <c r="B31578" s="62" t="str">
        <f>IF(AND('领用录入（明细）'!D:D=$F$4,'领用录入（明细）'!C:C&gt;=$J$4,'领用录入（明细）'!C:C&lt;=$L$4),ROW(),"-")</f>
        <v>-</v>
      </c>
    </row>
    <row r="31579" customHeight="1" spans="2:2">
      <c r="B31579" s="62" t="str">
        <f>IF(AND('领用录入（明细）'!D:D=$F$4,'领用录入（明细）'!C:C&gt;=$J$4,'领用录入（明细）'!C:C&lt;=$L$4),ROW(),"-")</f>
        <v>-</v>
      </c>
    </row>
    <row r="31580" customHeight="1" spans="2:2">
      <c r="B31580" s="62" t="str">
        <f>IF(AND('领用录入（明细）'!D:D=$F$4,'领用录入（明细）'!C:C&gt;=$J$4,'领用录入（明细）'!C:C&lt;=$L$4),ROW(),"-")</f>
        <v>-</v>
      </c>
    </row>
    <row r="31581" customHeight="1" spans="2:2">
      <c r="B31581" s="62" t="str">
        <f>IF(AND('领用录入（明细）'!D:D=$F$4,'领用录入（明细）'!C:C&gt;=$J$4,'领用录入（明细）'!C:C&lt;=$L$4),ROW(),"-")</f>
        <v>-</v>
      </c>
    </row>
    <row r="31582" customHeight="1" spans="2:2">
      <c r="B31582" s="62" t="str">
        <f>IF(AND('领用录入（明细）'!D:D=$F$4,'领用录入（明细）'!C:C&gt;=$J$4,'领用录入（明细）'!C:C&lt;=$L$4),ROW(),"-")</f>
        <v>-</v>
      </c>
    </row>
    <row r="31583" customHeight="1" spans="2:2">
      <c r="B31583" s="62" t="str">
        <f>IF(AND('领用录入（明细）'!D:D=$F$4,'领用录入（明细）'!C:C&gt;=$J$4,'领用录入（明细）'!C:C&lt;=$L$4),ROW(),"-")</f>
        <v>-</v>
      </c>
    </row>
    <row r="31584" customHeight="1" spans="2:2">
      <c r="B31584" s="62" t="str">
        <f>IF(AND('领用录入（明细）'!D:D=$F$4,'领用录入（明细）'!C:C&gt;=$J$4,'领用录入（明细）'!C:C&lt;=$L$4),ROW(),"-")</f>
        <v>-</v>
      </c>
    </row>
    <row r="31585" customHeight="1" spans="2:2">
      <c r="B31585" s="62" t="str">
        <f>IF(AND('领用录入（明细）'!D:D=$F$4,'领用录入（明细）'!C:C&gt;=$J$4,'领用录入（明细）'!C:C&lt;=$L$4),ROW(),"-")</f>
        <v>-</v>
      </c>
    </row>
    <row r="31586" customHeight="1" spans="2:2">
      <c r="B31586" s="62" t="str">
        <f>IF(AND('领用录入（明细）'!D:D=$F$4,'领用录入（明细）'!C:C&gt;=$J$4,'领用录入（明细）'!C:C&lt;=$L$4),ROW(),"-")</f>
        <v>-</v>
      </c>
    </row>
    <row r="31587" customHeight="1" spans="2:2">
      <c r="B31587" s="62" t="str">
        <f>IF(AND('领用录入（明细）'!D:D=$F$4,'领用录入（明细）'!C:C&gt;=$J$4,'领用录入（明细）'!C:C&lt;=$L$4),ROW(),"-")</f>
        <v>-</v>
      </c>
    </row>
    <row r="31588" customHeight="1" spans="2:2">
      <c r="B31588" s="62" t="str">
        <f>IF(AND('领用录入（明细）'!D:D=$F$4,'领用录入（明细）'!C:C&gt;=$J$4,'领用录入（明细）'!C:C&lt;=$L$4),ROW(),"-")</f>
        <v>-</v>
      </c>
    </row>
    <row r="31589" customHeight="1" spans="2:2">
      <c r="B31589" s="62" t="str">
        <f>IF(AND('领用录入（明细）'!D:D=$F$4,'领用录入（明细）'!C:C&gt;=$J$4,'领用录入（明细）'!C:C&lt;=$L$4),ROW(),"-")</f>
        <v>-</v>
      </c>
    </row>
    <row r="31590" customHeight="1" spans="2:2">
      <c r="B31590" s="62" t="str">
        <f>IF(AND('领用录入（明细）'!D:D=$F$4,'领用录入（明细）'!C:C&gt;=$J$4,'领用录入（明细）'!C:C&lt;=$L$4),ROW(),"-")</f>
        <v>-</v>
      </c>
    </row>
    <row r="31591" customHeight="1" spans="2:2">
      <c r="B31591" s="62" t="str">
        <f>IF(AND('领用录入（明细）'!D:D=$F$4,'领用录入（明细）'!C:C&gt;=$J$4,'领用录入（明细）'!C:C&lt;=$L$4),ROW(),"-")</f>
        <v>-</v>
      </c>
    </row>
    <row r="31592" customHeight="1" spans="2:2">
      <c r="B31592" s="62" t="str">
        <f>IF(AND('领用录入（明细）'!D:D=$F$4,'领用录入（明细）'!C:C&gt;=$J$4,'领用录入（明细）'!C:C&lt;=$L$4),ROW(),"-")</f>
        <v>-</v>
      </c>
    </row>
    <row r="31593" customHeight="1" spans="2:2">
      <c r="B31593" s="62" t="str">
        <f>IF(AND('领用录入（明细）'!D:D=$F$4,'领用录入（明细）'!C:C&gt;=$J$4,'领用录入（明细）'!C:C&lt;=$L$4),ROW(),"-")</f>
        <v>-</v>
      </c>
    </row>
    <row r="31594" customHeight="1" spans="2:2">
      <c r="B31594" s="62" t="str">
        <f>IF(AND('领用录入（明细）'!D:D=$F$4,'领用录入（明细）'!C:C&gt;=$J$4,'领用录入（明细）'!C:C&lt;=$L$4),ROW(),"-")</f>
        <v>-</v>
      </c>
    </row>
    <row r="31595" customHeight="1" spans="2:2">
      <c r="B31595" s="62" t="str">
        <f>IF(AND('领用录入（明细）'!D:D=$F$4,'领用录入（明细）'!C:C&gt;=$J$4,'领用录入（明细）'!C:C&lt;=$L$4),ROW(),"-")</f>
        <v>-</v>
      </c>
    </row>
    <row r="31596" customHeight="1" spans="2:2">
      <c r="B31596" s="62" t="str">
        <f>IF(AND('领用录入（明细）'!D:D=$F$4,'领用录入（明细）'!C:C&gt;=$J$4,'领用录入（明细）'!C:C&lt;=$L$4),ROW(),"-")</f>
        <v>-</v>
      </c>
    </row>
    <row r="31597" customHeight="1" spans="2:2">
      <c r="B31597" s="62" t="str">
        <f>IF(AND('领用录入（明细）'!D:D=$F$4,'领用录入（明细）'!C:C&gt;=$J$4,'领用录入（明细）'!C:C&lt;=$L$4),ROW(),"-")</f>
        <v>-</v>
      </c>
    </row>
    <row r="31598" customHeight="1" spans="2:2">
      <c r="B31598" s="62" t="str">
        <f>IF(AND('领用录入（明细）'!D:D=$F$4,'领用录入（明细）'!C:C&gt;=$J$4,'领用录入（明细）'!C:C&lt;=$L$4),ROW(),"-")</f>
        <v>-</v>
      </c>
    </row>
    <row r="31599" customHeight="1" spans="2:2">
      <c r="B31599" s="62" t="str">
        <f>IF(AND('领用录入（明细）'!D:D=$F$4,'领用录入（明细）'!C:C&gt;=$J$4,'领用录入（明细）'!C:C&lt;=$L$4),ROW(),"-")</f>
        <v>-</v>
      </c>
    </row>
    <row r="31600" customHeight="1" spans="2:2">
      <c r="B31600" s="62" t="str">
        <f>IF(AND('领用录入（明细）'!D:D=$F$4,'领用录入（明细）'!C:C&gt;=$J$4,'领用录入（明细）'!C:C&lt;=$L$4),ROW(),"-")</f>
        <v>-</v>
      </c>
    </row>
    <row r="31601" customHeight="1" spans="2:2">
      <c r="B31601" s="62" t="str">
        <f>IF(AND('领用录入（明细）'!D:D=$F$4,'领用录入（明细）'!C:C&gt;=$J$4,'领用录入（明细）'!C:C&lt;=$L$4),ROW(),"-")</f>
        <v>-</v>
      </c>
    </row>
    <row r="31602" customHeight="1" spans="2:2">
      <c r="B31602" s="62" t="str">
        <f>IF(AND('领用录入（明细）'!D:D=$F$4,'领用录入（明细）'!C:C&gt;=$J$4,'领用录入（明细）'!C:C&lt;=$L$4),ROW(),"-")</f>
        <v>-</v>
      </c>
    </row>
    <row r="31603" customHeight="1" spans="2:2">
      <c r="B31603" s="62" t="str">
        <f>IF(AND('领用录入（明细）'!D:D=$F$4,'领用录入（明细）'!C:C&gt;=$J$4,'领用录入（明细）'!C:C&lt;=$L$4),ROW(),"-")</f>
        <v>-</v>
      </c>
    </row>
    <row r="31604" customHeight="1" spans="2:2">
      <c r="B31604" s="62" t="str">
        <f>IF(AND('领用录入（明细）'!D:D=$F$4,'领用录入（明细）'!C:C&gt;=$J$4,'领用录入（明细）'!C:C&lt;=$L$4),ROW(),"-")</f>
        <v>-</v>
      </c>
    </row>
    <row r="31605" customHeight="1" spans="2:2">
      <c r="B31605" s="62" t="str">
        <f>IF(AND('领用录入（明细）'!D:D=$F$4,'领用录入（明细）'!C:C&gt;=$J$4,'领用录入（明细）'!C:C&lt;=$L$4),ROW(),"-")</f>
        <v>-</v>
      </c>
    </row>
    <row r="31606" customHeight="1" spans="2:2">
      <c r="B31606" s="62" t="str">
        <f>IF(AND('领用录入（明细）'!D:D=$F$4,'领用录入（明细）'!C:C&gt;=$J$4,'领用录入（明细）'!C:C&lt;=$L$4),ROW(),"-")</f>
        <v>-</v>
      </c>
    </row>
    <row r="31607" customHeight="1" spans="2:2">
      <c r="B31607" s="62" t="str">
        <f>IF(AND('领用录入（明细）'!D:D=$F$4,'领用录入（明细）'!C:C&gt;=$J$4,'领用录入（明细）'!C:C&lt;=$L$4),ROW(),"-")</f>
        <v>-</v>
      </c>
    </row>
    <row r="31608" customHeight="1" spans="2:2">
      <c r="B31608" s="62" t="str">
        <f>IF(AND('领用录入（明细）'!D:D=$F$4,'领用录入（明细）'!C:C&gt;=$J$4,'领用录入（明细）'!C:C&lt;=$L$4),ROW(),"-")</f>
        <v>-</v>
      </c>
    </row>
    <row r="31609" customHeight="1" spans="2:2">
      <c r="B31609" s="62" t="str">
        <f>IF(AND('领用录入（明细）'!D:D=$F$4,'领用录入（明细）'!C:C&gt;=$J$4,'领用录入（明细）'!C:C&lt;=$L$4),ROW(),"-")</f>
        <v>-</v>
      </c>
    </row>
    <row r="31610" customHeight="1" spans="2:2">
      <c r="B31610" s="62" t="str">
        <f>IF(AND('领用录入（明细）'!D:D=$F$4,'领用录入（明细）'!C:C&gt;=$J$4,'领用录入（明细）'!C:C&lt;=$L$4),ROW(),"-")</f>
        <v>-</v>
      </c>
    </row>
    <row r="31611" customHeight="1" spans="2:2">
      <c r="B31611" s="62" t="str">
        <f>IF(AND('领用录入（明细）'!D:D=$F$4,'领用录入（明细）'!C:C&gt;=$J$4,'领用录入（明细）'!C:C&lt;=$L$4),ROW(),"-")</f>
        <v>-</v>
      </c>
    </row>
    <row r="31612" customHeight="1" spans="2:2">
      <c r="B31612" s="62" t="str">
        <f>IF(AND('领用录入（明细）'!D:D=$F$4,'领用录入（明细）'!C:C&gt;=$J$4,'领用录入（明细）'!C:C&lt;=$L$4),ROW(),"-")</f>
        <v>-</v>
      </c>
    </row>
    <row r="31613" customHeight="1" spans="2:2">
      <c r="B31613" s="62" t="str">
        <f>IF(AND('领用录入（明细）'!D:D=$F$4,'领用录入（明细）'!C:C&gt;=$J$4,'领用录入（明细）'!C:C&lt;=$L$4),ROW(),"-")</f>
        <v>-</v>
      </c>
    </row>
    <row r="31614" customHeight="1" spans="2:2">
      <c r="B31614" s="62" t="str">
        <f>IF(AND('领用录入（明细）'!D:D=$F$4,'领用录入（明细）'!C:C&gt;=$J$4,'领用录入（明细）'!C:C&lt;=$L$4),ROW(),"-")</f>
        <v>-</v>
      </c>
    </row>
    <row r="31615" customHeight="1" spans="2:2">
      <c r="B31615" s="62" t="str">
        <f>IF(AND('领用录入（明细）'!D:D=$F$4,'领用录入（明细）'!C:C&gt;=$J$4,'领用录入（明细）'!C:C&lt;=$L$4),ROW(),"-")</f>
        <v>-</v>
      </c>
    </row>
    <row r="31616" customHeight="1" spans="2:2">
      <c r="B31616" s="62" t="str">
        <f>IF(AND('领用录入（明细）'!D:D=$F$4,'领用录入（明细）'!C:C&gt;=$J$4,'领用录入（明细）'!C:C&lt;=$L$4),ROW(),"-")</f>
        <v>-</v>
      </c>
    </row>
    <row r="31617" customHeight="1" spans="2:2">
      <c r="B31617" s="62" t="str">
        <f>IF(AND('领用录入（明细）'!D:D=$F$4,'领用录入（明细）'!C:C&gt;=$J$4,'领用录入（明细）'!C:C&lt;=$L$4),ROW(),"-")</f>
        <v>-</v>
      </c>
    </row>
    <row r="31618" customHeight="1" spans="2:2">
      <c r="B31618" s="62" t="str">
        <f>IF(AND('领用录入（明细）'!D:D=$F$4,'领用录入（明细）'!C:C&gt;=$J$4,'领用录入（明细）'!C:C&lt;=$L$4),ROW(),"-")</f>
        <v>-</v>
      </c>
    </row>
    <row r="31619" customHeight="1" spans="2:2">
      <c r="B31619" s="62" t="str">
        <f>IF(AND('领用录入（明细）'!D:D=$F$4,'领用录入（明细）'!C:C&gt;=$J$4,'领用录入（明细）'!C:C&lt;=$L$4),ROW(),"-")</f>
        <v>-</v>
      </c>
    </row>
    <row r="31620" customHeight="1" spans="2:2">
      <c r="B31620" s="62" t="str">
        <f>IF(AND('领用录入（明细）'!D:D=$F$4,'领用录入（明细）'!C:C&gt;=$J$4,'领用录入（明细）'!C:C&lt;=$L$4),ROW(),"-")</f>
        <v>-</v>
      </c>
    </row>
    <row r="31621" customHeight="1" spans="2:2">
      <c r="B31621" s="62" t="str">
        <f>IF(AND('领用录入（明细）'!D:D=$F$4,'领用录入（明细）'!C:C&gt;=$J$4,'领用录入（明细）'!C:C&lt;=$L$4),ROW(),"-")</f>
        <v>-</v>
      </c>
    </row>
    <row r="31622" customHeight="1" spans="2:2">
      <c r="B31622" s="62" t="str">
        <f>IF(AND('领用录入（明细）'!D:D=$F$4,'领用录入（明细）'!C:C&gt;=$J$4,'领用录入（明细）'!C:C&lt;=$L$4),ROW(),"-")</f>
        <v>-</v>
      </c>
    </row>
    <row r="31623" customHeight="1" spans="2:2">
      <c r="B31623" s="62" t="str">
        <f>IF(AND('领用录入（明细）'!D:D=$F$4,'领用录入（明细）'!C:C&gt;=$J$4,'领用录入（明细）'!C:C&lt;=$L$4),ROW(),"-")</f>
        <v>-</v>
      </c>
    </row>
    <row r="31624" customHeight="1" spans="2:2">
      <c r="B31624" s="62" t="str">
        <f>IF(AND('领用录入（明细）'!D:D=$F$4,'领用录入（明细）'!C:C&gt;=$J$4,'领用录入（明细）'!C:C&lt;=$L$4),ROW(),"-")</f>
        <v>-</v>
      </c>
    </row>
    <row r="31625" customHeight="1" spans="2:2">
      <c r="B31625" s="62" t="str">
        <f>IF(AND('领用录入（明细）'!D:D=$F$4,'领用录入（明细）'!C:C&gt;=$J$4,'领用录入（明细）'!C:C&lt;=$L$4),ROW(),"-")</f>
        <v>-</v>
      </c>
    </row>
    <row r="31626" customHeight="1" spans="2:2">
      <c r="B31626" s="62" t="str">
        <f>IF(AND('领用录入（明细）'!D:D=$F$4,'领用录入（明细）'!C:C&gt;=$J$4,'领用录入（明细）'!C:C&lt;=$L$4),ROW(),"-")</f>
        <v>-</v>
      </c>
    </row>
    <row r="31627" customHeight="1" spans="2:2">
      <c r="B31627" s="62" t="str">
        <f>IF(AND('领用录入（明细）'!D:D=$F$4,'领用录入（明细）'!C:C&gt;=$J$4,'领用录入（明细）'!C:C&lt;=$L$4),ROW(),"-")</f>
        <v>-</v>
      </c>
    </row>
    <row r="31628" customHeight="1" spans="2:2">
      <c r="B31628" s="62" t="str">
        <f>IF(AND('领用录入（明细）'!D:D=$F$4,'领用录入（明细）'!C:C&gt;=$J$4,'领用录入（明细）'!C:C&lt;=$L$4),ROW(),"-")</f>
        <v>-</v>
      </c>
    </row>
    <row r="31629" customHeight="1" spans="2:2">
      <c r="B31629" s="62" t="str">
        <f>IF(AND('领用录入（明细）'!D:D=$F$4,'领用录入（明细）'!C:C&gt;=$J$4,'领用录入（明细）'!C:C&lt;=$L$4),ROW(),"-")</f>
        <v>-</v>
      </c>
    </row>
    <row r="31630" customHeight="1" spans="2:2">
      <c r="B31630" s="62" t="str">
        <f>IF(AND('领用录入（明细）'!D:D=$F$4,'领用录入（明细）'!C:C&gt;=$J$4,'领用录入（明细）'!C:C&lt;=$L$4),ROW(),"-")</f>
        <v>-</v>
      </c>
    </row>
    <row r="31631" customHeight="1" spans="2:2">
      <c r="B31631" s="62" t="str">
        <f>IF(AND('领用录入（明细）'!D:D=$F$4,'领用录入（明细）'!C:C&gt;=$J$4,'领用录入（明细）'!C:C&lt;=$L$4),ROW(),"-")</f>
        <v>-</v>
      </c>
    </row>
    <row r="31632" customHeight="1" spans="2:2">
      <c r="B31632" s="62" t="str">
        <f>IF(AND('领用录入（明细）'!D:D=$F$4,'领用录入（明细）'!C:C&gt;=$J$4,'领用录入（明细）'!C:C&lt;=$L$4),ROW(),"-")</f>
        <v>-</v>
      </c>
    </row>
    <row r="31633" customHeight="1" spans="2:2">
      <c r="B31633" s="62" t="str">
        <f>IF(AND('领用录入（明细）'!D:D=$F$4,'领用录入（明细）'!C:C&gt;=$J$4,'领用录入（明细）'!C:C&lt;=$L$4),ROW(),"-")</f>
        <v>-</v>
      </c>
    </row>
    <row r="31634" customHeight="1" spans="2:2">
      <c r="B31634" s="62" t="str">
        <f>IF(AND('领用录入（明细）'!D:D=$F$4,'领用录入（明细）'!C:C&gt;=$J$4,'领用录入（明细）'!C:C&lt;=$L$4),ROW(),"-")</f>
        <v>-</v>
      </c>
    </row>
    <row r="31635" customHeight="1" spans="2:2">
      <c r="B31635" s="62" t="str">
        <f>IF(AND('领用录入（明细）'!D:D=$F$4,'领用录入（明细）'!C:C&gt;=$J$4,'领用录入（明细）'!C:C&lt;=$L$4),ROW(),"-")</f>
        <v>-</v>
      </c>
    </row>
    <row r="31636" customHeight="1" spans="2:2">
      <c r="B31636" s="62" t="str">
        <f>IF(AND('领用录入（明细）'!D:D=$F$4,'领用录入（明细）'!C:C&gt;=$J$4,'领用录入（明细）'!C:C&lt;=$L$4),ROW(),"-")</f>
        <v>-</v>
      </c>
    </row>
    <row r="31637" customHeight="1" spans="2:2">
      <c r="B31637" s="62" t="str">
        <f>IF(AND('领用录入（明细）'!D:D=$F$4,'领用录入（明细）'!C:C&gt;=$J$4,'领用录入（明细）'!C:C&lt;=$L$4),ROW(),"-")</f>
        <v>-</v>
      </c>
    </row>
    <row r="31638" customHeight="1" spans="2:2">
      <c r="B31638" s="62" t="str">
        <f>IF(AND('领用录入（明细）'!D:D=$F$4,'领用录入（明细）'!C:C&gt;=$J$4,'领用录入（明细）'!C:C&lt;=$L$4),ROW(),"-")</f>
        <v>-</v>
      </c>
    </row>
    <row r="31639" customHeight="1" spans="2:2">
      <c r="B31639" s="62" t="str">
        <f>IF(AND('领用录入（明细）'!D:D=$F$4,'领用录入（明细）'!C:C&gt;=$J$4,'领用录入（明细）'!C:C&lt;=$L$4),ROW(),"-")</f>
        <v>-</v>
      </c>
    </row>
    <row r="31640" customHeight="1" spans="2:2">
      <c r="B31640" s="62" t="str">
        <f>IF(AND('领用录入（明细）'!D:D=$F$4,'领用录入（明细）'!C:C&gt;=$J$4,'领用录入（明细）'!C:C&lt;=$L$4),ROW(),"-")</f>
        <v>-</v>
      </c>
    </row>
    <row r="31641" customHeight="1" spans="2:2">
      <c r="B31641" s="62" t="str">
        <f>IF(AND('领用录入（明细）'!D:D=$F$4,'领用录入（明细）'!C:C&gt;=$J$4,'领用录入（明细）'!C:C&lt;=$L$4),ROW(),"-")</f>
        <v>-</v>
      </c>
    </row>
    <row r="31642" customHeight="1" spans="2:2">
      <c r="B31642" s="62" t="str">
        <f>IF(AND('领用录入（明细）'!D:D=$F$4,'领用录入（明细）'!C:C&gt;=$J$4,'领用录入（明细）'!C:C&lt;=$L$4),ROW(),"-")</f>
        <v>-</v>
      </c>
    </row>
    <row r="31643" customHeight="1" spans="2:2">
      <c r="B31643" s="62" t="str">
        <f>IF(AND('领用录入（明细）'!D:D=$F$4,'领用录入（明细）'!C:C&gt;=$J$4,'领用录入（明细）'!C:C&lt;=$L$4),ROW(),"-")</f>
        <v>-</v>
      </c>
    </row>
    <row r="31644" customHeight="1" spans="2:2">
      <c r="B31644" s="62" t="str">
        <f>IF(AND('领用录入（明细）'!D:D=$F$4,'领用录入（明细）'!C:C&gt;=$J$4,'领用录入（明细）'!C:C&lt;=$L$4),ROW(),"-")</f>
        <v>-</v>
      </c>
    </row>
    <row r="31645" customHeight="1" spans="2:2">
      <c r="B31645" s="62" t="str">
        <f>IF(AND('领用录入（明细）'!D:D=$F$4,'领用录入（明细）'!C:C&gt;=$J$4,'领用录入（明细）'!C:C&lt;=$L$4),ROW(),"-")</f>
        <v>-</v>
      </c>
    </row>
    <row r="31646" customHeight="1" spans="2:2">
      <c r="B31646" s="62" t="str">
        <f>IF(AND('领用录入（明细）'!D:D=$F$4,'领用录入（明细）'!C:C&gt;=$J$4,'领用录入（明细）'!C:C&lt;=$L$4),ROW(),"-")</f>
        <v>-</v>
      </c>
    </row>
    <row r="31647" customHeight="1" spans="2:2">
      <c r="B31647" s="62" t="str">
        <f>IF(AND('领用录入（明细）'!D:D=$F$4,'领用录入（明细）'!C:C&gt;=$J$4,'领用录入（明细）'!C:C&lt;=$L$4),ROW(),"-")</f>
        <v>-</v>
      </c>
    </row>
    <row r="31648" customHeight="1" spans="2:2">
      <c r="B31648" s="62" t="str">
        <f>IF(AND('领用录入（明细）'!D:D=$F$4,'领用录入（明细）'!C:C&gt;=$J$4,'领用录入（明细）'!C:C&lt;=$L$4),ROW(),"-")</f>
        <v>-</v>
      </c>
    </row>
    <row r="31649" customHeight="1" spans="2:2">
      <c r="B31649" s="62" t="str">
        <f>IF(AND('领用录入（明细）'!D:D=$F$4,'领用录入（明细）'!C:C&gt;=$J$4,'领用录入（明细）'!C:C&lt;=$L$4),ROW(),"-")</f>
        <v>-</v>
      </c>
    </row>
    <row r="31650" customHeight="1" spans="2:2">
      <c r="B31650" s="62" t="str">
        <f>IF(AND('领用录入（明细）'!D:D=$F$4,'领用录入（明细）'!C:C&gt;=$J$4,'领用录入（明细）'!C:C&lt;=$L$4),ROW(),"-")</f>
        <v>-</v>
      </c>
    </row>
    <row r="31651" customHeight="1" spans="2:2">
      <c r="B31651" s="62" t="str">
        <f>IF(AND('领用录入（明细）'!D:D=$F$4,'领用录入（明细）'!C:C&gt;=$J$4,'领用录入（明细）'!C:C&lt;=$L$4),ROW(),"-")</f>
        <v>-</v>
      </c>
    </row>
    <row r="31652" customHeight="1" spans="2:2">
      <c r="B31652" s="62" t="str">
        <f>IF(AND('领用录入（明细）'!D:D=$F$4,'领用录入（明细）'!C:C&gt;=$J$4,'领用录入（明细）'!C:C&lt;=$L$4),ROW(),"-")</f>
        <v>-</v>
      </c>
    </row>
    <row r="31653" customHeight="1" spans="2:2">
      <c r="B31653" s="62" t="str">
        <f>IF(AND('领用录入（明细）'!D:D=$F$4,'领用录入（明细）'!C:C&gt;=$J$4,'领用录入（明细）'!C:C&lt;=$L$4),ROW(),"-")</f>
        <v>-</v>
      </c>
    </row>
    <row r="31654" customHeight="1" spans="2:2">
      <c r="B31654" s="62" t="str">
        <f>IF(AND('领用录入（明细）'!D:D=$F$4,'领用录入（明细）'!C:C&gt;=$J$4,'领用录入（明细）'!C:C&lt;=$L$4),ROW(),"-")</f>
        <v>-</v>
      </c>
    </row>
    <row r="31655" customHeight="1" spans="2:2">
      <c r="B31655" s="62" t="str">
        <f>IF(AND('领用录入（明细）'!D:D=$F$4,'领用录入（明细）'!C:C&gt;=$J$4,'领用录入（明细）'!C:C&lt;=$L$4),ROW(),"-")</f>
        <v>-</v>
      </c>
    </row>
    <row r="31656" customHeight="1" spans="2:2">
      <c r="B31656" s="62" t="str">
        <f>IF(AND('领用录入（明细）'!D:D=$F$4,'领用录入（明细）'!C:C&gt;=$J$4,'领用录入（明细）'!C:C&lt;=$L$4),ROW(),"-")</f>
        <v>-</v>
      </c>
    </row>
    <row r="31657" customHeight="1" spans="2:2">
      <c r="B31657" s="62" t="str">
        <f>IF(AND('领用录入（明细）'!D:D=$F$4,'领用录入（明细）'!C:C&gt;=$J$4,'领用录入（明细）'!C:C&lt;=$L$4),ROW(),"-")</f>
        <v>-</v>
      </c>
    </row>
    <row r="31658" customHeight="1" spans="2:2">
      <c r="B31658" s="62" t="str">
        <f>IF(AND('领用录入（明细）'!D:D=$F$4,'领用录入（明细）'!C:C&gt;=$J$4,'领用录入（明细）'!C:C&lt;=$L$4),ROW(),"-")</f>
        <v>-</v>
      </c>
    </row>
    <row r="31659" customHeight="1" spans="2:2">
      <c r="B31659" s="62" t="str">
        <f>IF(AND('领用录入（明细）'!D:D=$F$4,'领用录入（明细）'!C:C&gt;=$J$4,'领用录入（明细）'!C:C&lt;=$L$4),ROW(),"-")</f>
        <v>-</v>
      </c>
    </row>
    <row r="31660" customHeight="1" spans="2:2">
      <c r="B31660" s="62" t="str">
        <f>IF(AND('领用录入（明细）'!D:D=$F$4,'领用录入（明细）'!C:C&gt;=$J$4,'领用录入（明细）'!C:C&lt;=$L$4),ROW(),"-")</f>
        <v>-</v>
      </c>
    </row>
    <row r="31661" customHeight="1" spans="2:2">
      <c r="B31661" s="62" t="str">
        <f>IF(AND('领用录入（明细）'!D:D=$F$4,'领用录入（明细）'!C:C&gt;=$J$4,'领用录入（明细）'!C:C&lt;=$L$4),ROW(),"-")</f>
        <v>-</v>
      </c>
    </row>
    <row r="31662" customHeight="1" spans="2:2">
      <c r="B31662" s="62" t="str">
        <f>IF(AND('领用录入（明细）'!D:D=$F$4,'领用录入（明细）'!C:C&gt;=$J$4,'领用录入（明细）'!C:C&lt;=$L$4),ROW(),"-")</f>
        <v>-</v>
      </c>
    </row>
    <row r="31663" customHeight="1" spans="2:2">
      <c r="B31663" s="62" t="str">
        <f>IF(AND('领用录入（明细）'!D:D=$F$4,'领用录入（明细）'!C:C&gt;=$J$4,'领用录入（明细）'!C:C&lt;=$L$4),ROW(),"-")</f>
        <v>-</v>
      </c>
    </row>
    <row r="31664" customHeight="1" spans="2:2">
      <c r="B31664" s="62" t="str">
        <f>IF(AND('领用录入（明细）'!D:D=$F$4,'领用录入（明细）'!C:C&gt;=$J$4,'领用录入（明细）'!C:C&lt;=$L$4),ROW(),"-")</f>
        <v>-</v>
      </c>
    </row>
    <row r="31665" customHeight="1" spans="2:2">
      <c r="B31665" s="62" t="str">
        <f>IF(AND('领用录入（明细）'!D:D=$F$4,'领用录入（明细）'!C:C&gt;=$J$4,'领用录入（明细）'!C:C&lt;=$L$4),ROW(),"-")</f>
        <v>-</v>
      </c>
    </row>
    <row r="31666" customHeight="1" spans="2:2">
      <c r="B31666" s="62" t="str">
        <f>IF(AND('领用录入（明细）'!D:D=$F$4,'领用录入（明细）'!C:C&gt;=$J$4,'领用录入（明细）'!C:C&lt;=$L$4),ROW(),"-")</f>
        <v>-</v>
      </c>
    </row>
    <row r="31667" customHeight="1" spans="2:2">
      <c r="B31667" s="62" t="str">
        <f>IF(AND('领用录入（明细）'!D:D=$F$4,'领用录入（明细）'!C:C&gt;=$J$4,'领用录入（明细）'!C:C&lt;=$L$4),ROW(),"-")</f>
        <v>-</v>
      </c>
    </row>
    <row r="31668" customHeight="1" spans="2:2">
      <c r="B31668" s="62" t="str">
        <f>IF(AND('领用录入（明细）'!D:D=$F$4,'领用录入（明细）'!C:C&gt;=$J$4,'领用录入（明细）'!C:C&lt;=$L$4),ROW(),"-")</f>
        <v>-</v>
      </c>
    </row>
    <row r="31669" customHeight="1" spans="2:2">
      <c r="B31669" s="62" t="str">
        <f>IF(AND('领用录入（明细）'!D:D=$F$4,'领用录入（明细）'!C:C&gt;=$J$4,'领用录入（明细）'!C:C&lt;=$L$4),ROW(),"-")</f>
        <v>-</v>
      </c>
    </row>
    <row r="31670" customHeight="1" spans="2:2">
      <c r="B31670" s="62" t="str">
        <f>IF(AND('领用录入（明细）'!D:D=$F$4,'领用录入（明细）'!C:C&gt;=$J$4,'领用录入（明细）'!C:C&lt;=$L$4),ROW(),"-")</f>
        <v>-</v>
      </c>
    </row>
    <row r="31671" customHeight="1" spans="2:2">
      <c r="B31671" s="62" t="str">
        <f>IF(AND('领用录入（明细）'!D:D=$F$4,'领用录入（明细）'!C:C&gt;=$J$4,'领用录入（明细）'!C:C&lt;=$L$4),ROW(),"-")</f>
        <v>-</v>
      </c>
    </row>
    <row r="31672" customHeight="1" spans="2:2">
      <c r="B31672" s="62" t="str">
        <f>IF(AND('领用录入（明细）'!D:D=$F$4,'领用录入（明细）'!C:C&gt;=$J$4,'领用录入（明细）'!C:C&lt;=$L$4),ROW(),"-")</f>
        <v>-</v>
      </c>
    </row>
    <row r="31673" customHeight="1" spans="2:2">
      <c r="B31673" s="62" t="str">
        <f>IF(AND('领用录入（明细）'!D:D=$F$4,'领用录入（明细）'!C:C&gt;=$J$4,'领用录入（明细）'!C:C&lt;=$L$4),ROW(),"-")</f>
        <v>-</v>
      </c>
    </row>
    <row r="31674" customHeight="1" spans="2:2">
      <c r="B31674" s="62" t="str">
        <f>IF(AND('领用录入（明细）'!D:D=$F$4,'领用录入（明细）'!C:C&gt;=$J$4,'领用录入（明细）'!C:C&lt;=$L$4),ROW(),"-")</f>
        <v>-</v>
      </c>
    </row>
    <row r="31675" customHeight="1" spans="2:2">
      <c r="B31675" s="62" t="str">
        <f>IF(AND('领用录入（明细）'!D:D=$F$4,'领用录入（明细）'!C:C&gt;=$J$4,'领用录入（明细）'!C:C&lt;=$L$4),ROW(),"-")</f>
        <v>-</v>
      </c>
    </row>
    <row r="31676" customHeight="1" spans="2:2">
      <c r="B31676" s="62" t="str">
        <f>IF(AND('领用录入（明细）'!D:D=$F$4,'领用录入（明细）'!C:C&gt;=$J$4,'领用录入（明细）'!C:C&lt;=$L$4),ROW(),"-")</f>
        <v>-</v>
      </c>
    </row>
    <row r="31677" customHeight="1" spans="2:2">
      <c r="B31677" s="62" t="str">
        <f>IF(AND('领用录入（明细）'!D:D=$F$4,'领用录入（明细）'!C:C&gt;=$J$4,'领用录入（明细）'!C:C&lt;=$L$4),ROW(),"-")</f>
        <v>-</v>
      </c>
    </row>
    <row r="31678" customHeight="1" spans="2:2">
      <c r="B31678" s="62" t="str">
        <f>IF(AND('领用录入（明细）'!D:D=$F$4,'领用录入（明细）'!C:C&gt;=$J$4,'领用录入（明细）'!C:C&lt;=$L$4),ROW(),"-")</f>
        <v>-</v>
      </c>
    </row>
    <row r="31679" customHeight="1" spans="2:2">
      <c r="B31679" s="62" t="str">
        <f>IF(AND('领用录入（明细）'!D:D=$F$4,'领用录入（明细）'!C:C&gt;=$J$4,'领用录入（明细）'!C:C&lt;=$L$4),ROW(),"-")</f>
        <v>-</v>
      </c>
    </row>
    <row r="31680" customHeight="1" spans="2:2">
      <c r="B31680" s="62" t="str">
        <f>IF(AND('领用录入（明细）'!D:D=$F$4,'领用录入（明细）'!C:C&gt;=$J$4,'领用录入（明细）'!C:C&lt;=$L$4),ROW(),"-")</f>
        <v>-</v>
      </c>
    </row>
    <row r="31681" customHeight="1" spans="2:2">
      <c r="B31681" s="62" t="str">
        <f>IF(AND('领用录入（明细）'!D:D=$F$4,'领用录入（明细）'!C:C&gt;=$J$4,'领用录入（明细）'!C:C&lt;=$L$4),ROW(),"-")</f>
        <v>-</v>
      </c>
    </row>
    <row r="31682" customHeight="1" spans="2:2">
      <c r="B31682" s="62" t="str">
        <f>IF(AND('领用录入（明细）'!D:D=$F$4,'领用录入（明细）'!C:C&gt;=$J$4,'领用录入（明细）'!C:C&lt;=$L$4),ROW(),"-")</f>
        <v>-</v>
      </c>
    </row>
    <row r="31683" customHeight="1" spans="2:2">
      <c r="B31683" s="62" t="str">
        <f>IF(AND('领用录入（明细）'!D:D=$F$4,'领用录入（明细）'!C:C&gt;=$J$4,'领用录入（明细）'!C:C&lt;=$L$4),ROW(),"-")</f>
        <v>-</v>
      </c>
    </row>
    <row r="31684" customHeight="1" spans="2:2">
      <c r="B31684" s="62" t="str">
        <f>IF(AND('领用录入（明细）'!D:D=$F$4,'领用录入（明细）'!C:C&gt;=$J$4,'领用录入（明细）'!C:C&lt;=$L$4),ROW(),"-")</f>
        <v>-</v>
      </c>
    </row>
    <row r="31685" customHeight="1" spans="2:2">
      <c r="B31685" s="62" t="str">
        <f>IF(AND('领用录入（明细）'!D:D=$F$4,'领用录入（明细）'!C:C&gt;=$J$4,'领用录入（明细）'!C:C&lt;=$L$4),ROW(),"-")</f>
        <v>-</v>
      </c>
    </row>
    <row r="31686" customHeight="1" spans="2:2">
      <c r="B31686" s="62" t="str">
        <f>IF(AND('领用录入（明细）'!D:D=$F$4,'领用录入（明细）'!C:C&gt;=$J$4,'领用录入（明细）'!C:C&lt;=$L$4),ROW(),"-")</f>
        <v>-</v>
      </c>
    </row>
    <row r="31687" customHeight="1" spans="2:2">
      <c r="B31687" s="62" t="str">
        <f>IF(AND('领用录入（明细）'!D:D=$F$4,'领用录入（明细）'!C:C&gt;=$J$4,'领用录入（明细）'!C:C&lt;=$L$4),ROW(),"-")</f>
        <v>-</v>
      </c>
    </row>
    <row r="31688" customHeight="1" spans="2:2">
      <c r="B31688" s="62" t="str">
        <f>IF(AND('领用录入（明细）'!D:D=$F$4,'领用录入（明细）'!C:C&gt;=$J$4,'领用录入（明细）'!C:C&lt;=$L$4),ROW(),"-")</f>
        <v>-</v>
      </c>
    </row>
    <row r="31689" customHeight="1" spans="2:2">
      <c r="B31689" s="62" t="str">
        <f>IF(AND('领用录入（明细）'!D:D=$F$4,'领用录入（明细）'!C:C&gt;=$J$4,'领用录入（明细）'!C:C&lt;=$L$4),ROW(),"-")</f>
        <v>-</v>
      </c>
    </row>
    <row r="31690" customHeight="1" spans="2:2">
      <c r="B31690" s="62" t="str">
        <f>IF(AND('领用录入（明细）'!D:D=$F$4,'领用录入（明细）'!C:C&gt;=$J$4,'领用录入（明细）'!C:C&lt;=$L$4),ROW(),"-")</f>
        <v>-</v>
      </c>
    </row>
    <row r="31691" customHeight="1" spans="2:2">
      <c r="B31691" s="62" t="str">
        <f>IF(AND('领用录入（明细）'!D:D=$F$4,'领用录入（明细）'!C:C&gt;=$J$4,'领用录入（明细）'!C:C&lt;=$L$4),ROW(),"-")</f>
        <v>-</v>
      </c>
    </row>
    <row r="31692" customHeight="1" spans="2:2">
      <c r="B31692" s="62" t="str">
        <f>IF(AND('领用录入（明细）'!D:D=$F$4,'领用录入（明细）'!C:C&gt;=$J$4,'领用录入（明细）'!C:C&lt;=$L$4),ROW(),"-")</f>
        <v>-</v>
      </c>
    </row>
    <row r="31693" customHeight="1" spans="2:2">
      <c r="B31693" s="62" t="str">
        <f>IF(AND('领用录入（明细）'!D:D=$F$4,'领用录入（明细）'!C:C&gt;=$J$4,'领用录入（明细）'!C:C&lt;=$L$4),ROW(),"-")</f>
        <v>-</v>
      </c>
    </row>
    <row r="31694" customHeight="1" spans="2:2">
      <c r="B31694" s="62" t="str">
        <f>IF(AND('领用录入（明细）'!D:D=$F$4,'领用录入（明细）'!C:C&gt;=$J$4,'领用录入（明细）'!C:C&lt;=$L$4),ROW(),"-")</f>
        <v>-</v>
      </c>
    </row>
    <row r="31695" customHeight="1" spans="2:2">
      <c r="B31695" s="62" t="str">
        <f>IF(AND('领用录入（明细）'!D:D=$F$4,'领用录入（明细）'!C:C&gt;=$J$4,'领用录入（明细）'!C:C&lt;=$L$4),ROW(),"-")</f>
        <v>-</v>
      </c>
    </row>
    <row r="31696" customHeight="1" spans="2:2">
      <c r="B31696" s="62" t="str">
        <f>IF(AND('领用录入（明细）'!D:D=$F$4,'领用录入（明细）'!C:C&gt;=$J$4,'领用录入（明细）'!C:C&lt;=$L$4),ROW(),"-")</f>
        <v>-</v>
      </c>
    </row>
    <row r="31697" customHeight="1" spans="2:2">
      <c r="B31697" s="62" t="str">
        <f>IF(AND('领用录入（明细）'!D:D=$F$4,'领用录入（明细）'!C:C&gt;=$J$4,'领用录入（明细）'!C:C&lt;=$L$4),ROW(),"-")</f>
        <v>-</v>
      </c>
    </row>
    <row r="31698" customHeight="1" spans="2:2">
      <c r="B31698" s="62" t="str">
        <f>IF(AND('领用录入（明细）'!D:D=$F$4,'领用录入（明细）'!C:C&gt;=$J$4,'领用录入（明细）'!C:C&lt;=$L$4),ROW(),"-")</f>
        <v>-</v>
      </c>
    </row>
    <row r="31699" customHeight="1" spans="2:2">
      <c r="B31699" s="62" t="str">
        <f>IF(AND('领用录入（明细）'!D:D=$F$4,'领用录入（明细）'!C:C&gt;=$J$4,'领用录入（明细）'!C:C&lt;=$L$4),ROW(),"-")</f>
        <v>-</v>
      </c>
    </row>
    <row r="31700" customHeight="1" spans="2:2">
      <c r="B31700" s="62" t="str">
        <f>IF(AND('领用录入（明细）'!D:D=$F$4,'领用录入（明细）'!C:C&gt;=$J$4,'领用录入（明细）'!C:C&lt;=$L$4),ROW(),"-")</f>
        <v>-</v>
      </c>
    </row>
    <row r="31701" customHeight="1" spans="2:2">
      <c r="B31701" s="62" t="str">
        <f>IF(AND('领用录入（明细）'!D:D=$F$4,'领用录入（明细）'!C:C&gt;=$J$4,'领用录入（明细）'!C:C&lt;=$L$4),ROW(),"-")</f>
        <v>-</v>
      </c>
    </row>
    <row r="31702" customHeight="1" spans="2:2">
      <c r="B31702" s="62" t="str">
        <f>IF(AND('领用录入（明细）'!D:D=$F$4,'领用录入（明细）'!C:C&gt;=$J$4,'领用录入（明细）'!C:C&lt;=$L$4),ROW(),"-")</f>
        <v>-</v>
      </c>
    </row>
    <row r="31703" customHeight="1" spans="2:2">
      <c r="B31703" s="62" t="str">
        <f>IF(AND('领用录入（明细）'!D:D=$F$4,'领用录入（明细）'!C:C&gt;=$J$4,'领用录入（明细）'!C:C&lt;=$L$4),ROW(),"-")</f>
        <v>-</v>
      </c>
    </row>
    <row r="31704" customHeight="1" spans="2:2">
      <c r="B31704" s="62" t="str">
        <f>IF(AND('领用录入（明细）'!D:D=$F$4,'领用录入（明细）'!C:C&gt;=$J$4,'领用录入（明细）'!C:C&lt;=$L$4),ROW(),"-")</f>
        <v>-</v>
      </c>
    </row>
    <row r="31705" customHeight="1" spans="2:2">
      <c r="B31705" s="62" t="str">
        <f>IF(AND('领用录入（明细）'!D:D=$F$4,'领用录入（明细）'!C:C&gt;=$J$4,'领用录入（明细）'!C:C&lt;=$L$4),ROW(),"-")</f>
        <v>-</v>
      </c>
    </row>
    <row r="31706" customHeight="1" spans="2:2">
      <c r="B31706" s="62" t="str">
        <f>IF(AND('领用录入（明细）'!D:D=$F$4,'领用录入（明细）'!C:C&gt;=$J$4,'领用录入（明细）'!C:C&lt;=$L$4),ROW(),"-")</f>
        <v>-</v>
      </c>
    </row>
    <row r="31707" customHeight="1" spans="2:2">
      <c r="B31707" s="62" t="str">
        <f>IF(AND('领用录入（明细）'!D:D=$F$4,'领用录入（明细）'!C:C&gt;=$J$4,'领用录入（明细）'!C:C&lt;=$L$4),ROW(),"-")</f>
        <v>-</v>
      </c>
    </row>
    <row r="31708" customHeight="1" spans="2:2">
      <c r="B31708" s="62" t="str">
        <f>IF(AND('领用录入（明细）'!D:D=$F$4,'领用录入（明细）'!C:C&gt;=$J$4,'领用录入（明细）'!C:C&lt;=$L$4),ROW(),"-")</f>
        <v>-</v>
      </c>
    </row>
    <row r="31709" customHeight="1" spans="2:2">
      <c r="B31709" s="62" t="str">
        <f>IF(AND('领用录入（明细）'!D:D=$F$4,'领用录入（明细）'!C:C&gt;=$J$4,'领用录入（明细）'!C:C&lt;=$L$4),ROW(),"-")</f>
        <v>-</v>
      </c>
    </row>
    <row r="31710" customHeight="1" spans="2:2">
      <c r="B31710" s="62" t="str">
        <f>IF(AND('领用录入（明细）'!D:D=$F$4,'领用录入（明细）'!C:C&gt;=$J$4,'领用录入（明细）'!C:C&lt;=$L$4),ROW(),"-")</f>
        <v>-</v>
      </c>
    </row>
    <row r="31711" customHeight="1" spans="2:2">
      <c r="B31711" s="62" t="str">
        <f>IF(AND('领用录入（明细）'!D:D=$F$4,'领用录入（明细）'!C:C&gt;=$J$4,'领用录入（明细）'!C:C&lt;=$L$4),ROW(),"-")</f>
        <v>-</v>
      </c>
    </row>
    <row r="31712" customHeight="1" spans="2:2">
      <c r="B31712" s="62" t="str">
        <f>IF(AND('领用录入（明细）'!D:D=$F$4,'领用录入（明细）'!C:C&gt;=$J$4,'领用录入（明细）'!C:C&lt;=$L$4),ROW(),"-")</f>
        <v>-</v>
      </c>
    </row>
    <row r="31713" customHeight="1" spans="2:2">
      <c r="B31713" s="62" t="str">
        <f>IF(AND('领用录入（明细）'!D:D=$F$4,'领用录入（明细）'!C:C&gt;=$J$4,'领用录入（明细）'!C:C&lt;=$L$4),ROW(),"-")</f>
        <v>-</v>
      </c>
    </row>
    <row r="31714" customHeight="1" spans="2:2">
      <c r="B31714" s="62" t="str">
        <f>IF(AND('领用录入（明细）'!D:D=$F$4,'领用录入（明细）'!C:C&gt;=$J$4,'领用录入（明细）'!C:C&lt;=$L$4),ROW(),"-")</f>
        <v>-</v>
      </c>
    </row>
    <row r="31715" customHeight="1" spans="2:2">
      <c r="B31715" s="62" t="str">
        <f>IF(AND('领用录入（明细）'!D:D=$F$4,'领用录入（明细）'!C:C&gt;=$J$4,'领用录入（明细）'!C:C&lt;=$L$4),ROW(),"-")</f>
        <v>-</v>
      </c>
    </row>
    <row r="31716" customHeight="1" spans="2:2">
      <c r="B31716" s="62" t="str">
        <f>IF(AND('领用录入（明细）'!D:D=$F$4,'领用录入（明细）'!C:C&gt;=$J$4,'领用录入（明细）'!C:C&lt;=$L$4),ROW(),"-")</f>
        <v>-</v>
      </c>
    </row>
    <row r="31717" customHeight="1" spans="2:2">
      <c r="B31717" s="62" t="str">
        <f>IF(AND('领用录入（明细）'!D:D=$F$4,'领用录入（明细）'!C:C&gt;=$J$4,'领用录入（明细）'!C:C&lt;=$L$4),ROW(),"-")</f>
        <v>-</v>
      </c>
    </row>
    <row r="31718" customHeight="1" spans="2:2">
      <c r="B31718" s="62" t="str">
        <f>IF(AND('领用录入（明细）'!D:D=$F$4,'领用录入（明细）'!C:C&gt;=$J$4,'领用录入（明细）'!C:C&lt;=$L$4),ROW(),"-")</f>
        <v>-</v>
      </c>
    </row>
    <row r="31719" customHeight="1" spans="2:2">
      <c r="B31719" s="62" t="str">
        <f>IF(AND('领用录入（明细）'!D:D=$F$4,'领用录入（明细）'!C:C&gt;=$J$4,'领用录入（明细）'!C:C&lt;=$L$4),ROW(),"-")</f>
        <v>-</v>
      </c>
    </row>
    <row r="31720" customHeight="1" spans="2:2">
      <c r="B31720" s="62" t="str">
        <f>IF(AND('领用录入（明细）'!D:D=$F$4,'领用录入（明细）'!C:C&gt;=$J$4,'领用录入（明细）'!C:C&lt;=$L$4),ROW(),"-")</f>
        <v>-</v>
      </c>
    </row>
    <row r="31721" customHeight="1" spans="2:2">
      <c r="B31721" s="62" t="str">
        <f>IF(AND('领用录入（明细）'!D:D=$F$4,'领用录入（明细）'!C:C&gt;=$J$4,'领用录入（明细）'!C:C&lt;=$L$4),ROW(),"-")</f>
        <v>-</v>
      </c>
    </row>
    <row r="31722" customHeight="1" spans="2:2">
      <c r="B31722" s="62" t="str">
        <f>IF(AND('领用录入（明细）'!D:D=$F$4,'领用录入（明细）'!C:C&gt;=$J$4,'领用录入（明细）'!C:C&lt;=$L$4),ROW(),"-")</f>
        <v>-</v>
      </c>
    </row>
    <row r="31723" customHeight="1" spans="2:2">
      <c r="B31723" s="62" t="str">
        <f>IF(AND('领用录入（明细）'!D:D=$F$4,'领用录入（明细）'!C:C&gt;=$J$4,'领用录入（明细）'!C:C&lt;=$L$4),ROW(),"-")</f>
        <v>-</v>
      </c>
    </row>
    <row r="31724" customHeight="1" spans="2:2">
      <c r="B31724" s="62" t="str">
        <f>IF(AND('领用录入（明细）'!D:D=$F$4,'领用录入（明细）'!C:C&gt;=$J$4,'领用录入（明细）'!C:C&lt;=$L$4),ROW(),"-")</f>
        <v>-</v>
      </c>
    </row>
    <row r="31725" customHeight="1" spans="2:2">
      <c r="B31725" s="62" t="str">
        <f>IF(AND('领用录入（明细）'!D:D=$F$4,'领用录入（明细）'!C:C&gt;=$J$4,'领用录入（明细）'!C:C&lt;=$L$4),ROW(),"-")</f>
        <v>-</v>
      </c>
    </row>
    <row r="31726" customHeight="1" spans="2:2">
      <c r="B31726" s="62" t="str">
        <f>IF(AND('领用录入（明细）'!D:D=$F$4,'领用录入（明细）'!C:C&gt;=$J$4,'领用录入（明细）'!C:C&lt;=$L$4),ROW(),"-")</f>
        <v>-</v>
      </c>
    </row>
    <row r="31727" customHeight="1" spans="2:2">
      <c r="B31727" s="62" t="str">
        <f>IF(AND('领用录入（明细）'!D:D=$F$4,'领用录入（明细）'!C:C&gt;=$J$4,'领用录入（明细）'!C:C&lt;=$L$4),ROW(),"-")</f>
        <v>-</v>
      </c>
    </row>
    <row r="31728" customHeight="1" spans="2:2">
      <c r="B31728" s="62" t="str">
        <f>IF(AND('领用录入（明细）'!D:D=$F$4,'领用录入（明细）'!C:C&gt;=$J$4,'领用录入（明细）'!C:C&lt;=$L$4),ROW(),"-")</f>
        <v>-</v>
      </c>
    </row>
    <row r="31729" customHeight="1" spans="2:2">
      <c r="B31729" s="62" t="str">
        <f>IF(AND('领用录入（明细）'!D:D=$F$4,'领用录入（明细）'!C:C&gt;=$J$4,'领用录入（明细）'!C:C&lt;=$L$4),ROW(),"-")</f>
        <v>-</v>
      </c>
    </row>
    <row r="31730" customHeight="1" spans="2:2">
      <c r="B31730" s="62" t="str">
        <f>IF(AND('领用录入（明细）'!D:D=$F$4,'领用录入（明细）'!C:C&gt;=$J$4,'领用录入（明细）'!C:C&lt;=$L$4),ROW(),"-")</f>
        <v>-</v>
      </c>
    </row>
    <row r="31731" customHeight="1" spans="2:2">
      <c r="B31731" s="62" t="str">
        <f>IF(AND('领用录入（明细）'!D:D=$F$4,'领用录入（明细）'!C:C&gt;=$J$4,'领用录入（明细）'!C:C&lt;=$L$4),ROW(),"-")</f>
        <v>-</v>
      </c>
    </row>
    <row r="31732" customHeight="1" spans="2:2">
      <c r="B31732" s="62" t="str">
        <f>IF(AND('领用录入（明细）'!D:D=$F$4,'领用录入（明细）'!C:C&gt;=$J$4,'领用录入（明细）'!C:C&lt;=$L$4),ROW(),"-")</f>
        <v>-</v>
      </c>
    </row>
    <row r="31733" customHeight="1" spans="2:2">
      <c r="B31733" s="62" t="str">
        <f>IF(AND('领用录入（明细）'!D:D=$F$4,'领用录入（明细）'!C:C&gt;=$J$4,'领用录入（明细）'!C:C&lt;=$L$4),ROW(),"-")</f>
        <v>-</v>
      </c>
    </row>
    <row r="31734" customHeight="1" spans="2:2">
      <c r="B31734" s="62" t="str">
        <f>IF(AND('领用录入（明细）'!D:D=$F$4,'领用录入（明细）'!C:C&gt;=$J$4,'领用录入（明细）'!C:C&lt;=$L$4),ROW(),"-")</f>
        <v>-</v>
      </c>
    </row>
    <row r="31735" customHeight="1" spans="2:2">
      <c r="B31735" s="62" t="str">
        <f>IF(AND('领用录入（明细）'!D:D=$F$4,'领用录入（明细）'!C:C&gt;=$J$4,'领用录入（明细）'!C:C&lt;=$L$4),ROW(),"-")</f>
        <v>-</v>
      </c>
    </row>
    <row r="31736" customHeight="1" spans="2:2">
      <c r="B31736" s="62" t="str">
        <f>IF(AND('领用录入（明细）'!D:D=$F$4,'领用录入（明细）'!C:C&gt;=$J$4,'领用录入（明细）'!C:C&lt;=$L$4),ROW(),"-")</f>
        <v>-</v>
      </c>
    </row>
    <row r="31737" customHeight="1" spans="2:2">
      <c r="B31737" s="62" t="str">
        <f>IF(AND('领用录入（明细）'!D:D=$F$4,'领用录入（明细）'!C:C&gt;=$J$4,'领用录入（明细）'!C:C&lt;=$L$4),ROW(),"-")</f>
        <v>-</v>
      </c>
    </row>
    <row r="31738" customHeight="1" spans="2:2">
      <c r="B31738" s="62" t="str">
        <f>IF(AND('领用录入（明细）'!D:D=$F$4,'领用录入（明细）'!C:C&gt;=$J$4,'领用录入（明细）'!C:C&lt;=$L$4),ROW(),"-")</f>
        <v>-</v>
      </c>
    </row>
    <row r="31739" customHeight="1" spans="2:2">
      <c r="B31739" s="62" t="str">
        <f>IF(AND('领用录入（明细）'!D:D=$F$4,'领用录入（明细）'!C:C&gt;=$J$4,'领用录入（明细）'!C:C&lt;=$L$4),ROW(),"-")</f>
        <v>-</v>
      </c>
    </row>
    <row r="31740" customHeight="1" spans="2:2">
      <c r="B31740" s="62" t="str">
        <f>IF(AND('领用录入（明细）'!D:D=$F$4,'领用录入（明细）'!C:C&gt;=$J$4,'领用录入（明细）'!C:C&lt;=$L$4),ROW(),"-")</f>
        <v>-</v>
      </c>
    </row>
    <row r="31741" customHeight="1" spans="2:2">
      <c r="B31741" s="62" t="str">
        <f>IF(AND('领用录入（明细）'!D:D=$F$4,'领用录入（明细）'!C:C&gt;=$J$4,'领用录入（明细）'!C:C&lt;=$L$4),ROW(),"-")</f>
        <v>-</v>
      </c>
    </row>
    <row r="31742" customHeight="1" spans="2:2">
      <c r="B31742" s="62" t="str">
        <f>IF(AND('领用录入（明细）'!D:D=$F$4,'领用录入（明细）'!C:C&gt;=$J$4,'领用录入（明细）'!C:C&lt;=$L$4),ROW(),"-")</f>
        <v>-</v>
      </c>
    </row>
    <row r="31743" customHeight="1" spans="2:2">
      <c r="B31743" s="62" t="str">
        <f>IF(AND('领用录入（明细）'!D:D=$F$4,'领用录入（明细）'!C:C&gt;=$J$4,'领用录入（明细）'!C:C&lt;=$L$4),ROW(),"-")</f>
        <v>-</v>
      </c>
    </row>
    <row r="31744" customHeight="1" spans="2:2">
      <c r="B31744" s="62" t="str">
        <f>IF(AND('领用录入（明细）'!D:D=$F$4,'领用录入（明细）'!C:C&gt;=$J$4,'领用录入（明细）'!C:C&lt;=$L$4),ROW(),"-")</f>
        <v>-</v>
      </c>
    </row>
    <row r="31745" customHeight="1" spans="2:2">
      <c r="B31745" s="62" t="str">
        <f>IF(AND('领用录入（明细）'!D:D=$F$4,'领用录入（明细）'!C:C&gt;=$J$4,'领用录入（明细）'!C:C&lt;=$L$4),ROW(),"-")</f>
        <v>-</v>
      </c>
    </row>
    <row r="31746" customHeight="1" spans="2:2">
      <c r="B31746" s="62" t="str">
        <f>IF(AND('领用录入（明细）'!D:D=$F$4,'领用录入（明细）'!C:C&gt;=$J$4,'领用录入（明细）'!C:C&lt;=$L$4),ROW(),"-")</f>
        <v>-</v>
      </c>
    </row>
    <row r="31747" customHeight="1" spans="2:2">
      <c r="B31747" s="62" t="str">
        <f>IF(AND('领用录入（明细）'!D:D=$F$4,'领用录入（明细）'!C:C&gt;=$J$4,'领用录入（明细）'!C:C&lt;=$L$4),ROW(),"-")</f>
        <v>-</v>
      </c>
    </row>
    <row r="31748" customHeight="1" spans="2:2">
      <c r="B31748" s="62" t="str">
        <f>IF(AND('领用录入（明细）'!D:D=$F$4,'领用录入（明细）'!C:C&gt;=$J$4,'领用录入（明细）'!C:C&lt;=$L$4),ROW(),"-")</f>
        <v>-</v>
      </c>
    </row>
    <row r="31749" customHeight="1" spans="2:2">
      <c r="B31749" s="62" t="str">
        <f>IF(AND('领用录入（明细）'!D:D=$F$4,'领用录入（明细）'!C:C&gt;=$J$4,'领用录入（明细）'!C:C&lt;=$L$4),ROW(),"-")</f>
        <v>-</v>
      </c>
    </row>
    <row r="31750" customHeight="1" spans="2:2">
      <c r="B31750" s="62" t="str">
        <f>IF(AND('领用录入（明细）'!D:D=$F$4,'领用录入（明细）'!C:C&gt;=$J$4,'领用录入（明细）'!C:C&lt;=$L$4),ROW(),"-")</f>
        <v>-</v>
      </c>
    </row>
    <row r="31751" customHeight="1" spans="2:2">
      <c r="B31751" s="62" t="str">
        <f>IF(AND('领用录入（明细）'!D:D=$F$4,'领用录入（明细）'!C:C&gt;=$J$4,'领用录入（明细）'!C:C&lt;=$L$4),ROW(),"-")</f>
        <v>-</v>
      </c>
    </row>
    <row r="31752" customHeight="1" spans="2:2">
      <c r="B31752" s="62" t="str">
        <f>IF(AND('领用录入（明细）'!D:D=$F$4,'领用录入（明细）'!C:C&gt;=$J$4,'领用录入（明细）'!C:C&lt;=$L$4),ROW(),"-")</f>
        <v>-</v>
      </c>
    </row>
    <row r="31753" customHeight="1" spans="2:2">
      <c r="B31753" s="62" t="str">
        <f>IF(AND('领用录入（明细）'!D:D=$F$4,'领用录入（明细）'!C:C&gt;=$J$4,'领用录入（明细）'!C:C&lt;=$L$4),ROW(),"-")</f>
        <v>-</v>
      </c>
    </row>
    <row r="31754" customHeight="1" spans="2:2">
      <c r="B31754" s="62" t="str">
        <f>IF(AND('领用录入（明细）'!D:D=$F$4,'领用录入（明细）'!C:C&gt;=$J$4,'领用录入（明细）'!C:C&lt;=$L$4),ROW(),"-")</f>
        <v>-</v>
      </c>
    </row>
    <row r="31755" customHeight="1" spans="2:2">
      <c r="B31755" s="62" t="str">
        <f>IF(AND('领用录入（明细）'!D:D=$F$4,'领用录入（明细）'!C:C&gt;=$J$4,'领用录入（明细）'!C:C&lt;=$L$4),ROW(),"-")</f>
        <v>-</v>
      </c>
    </row>
    <row r="31756" customHeight="1" spans="2:2">
      <c r="B31756" s="62" t="str">
        <f>IF(AND('领用录入（明细）'!D:D=$F$4,'领用录入（明细）'!C:C&gt;=$J$4,'领用录入（明细）'!C:C&lt;=$L$4),ROW(),"-")</f>
        <v>-</v>
      </c>
    </row>
    <row r="31757" customHeight="1" spans="2:2">
      <c r="B31757" s="62" t="str">
        <f>IF(AND('领用录入（明细）'!D:D=$F$4,'领用录入（明细）'!C:C&gt;=$J$4,'领用录入（明细）'!C:C&lt;=$L$4),ROW(),"-")</f>
        <v>-</v>
      </c>
    </row>
    <row r="31758" customHeight="1" spans="2:2">
      <c r="B31758" s="62" t="str">
        <f>IF(AND('领用录入（明细）'!D:D=$F$4,'领用录入（明细）'!C:C&gt;=$J$4,'领用录入（明细）'!C:C&lt;=$L$4),ROW(),"-")</f>
        <v>-</v>
      </c>
    </row>
    <row r="31759" customHeight="1" spans="2:2">
      <c r="B31759" s="62" t="str">
        <f>IF(AND('领用录入（明细）'!D:D=$F$4,'领用录入（明细）'!C:C&gt;=$J$4,'领用录入（明细）'!C:C&lt;=$L$4),ROW(),"-")</f>
        <v>-</v>
      </c>
    </row>
    <row r="31760" customHeight="1" spans="2:2">
      <c r="B31760" s="62" t="str">
        <f>IF(AND('领用录入（明细）'!D:D=$F$4,'领用录入（明细）'!C:C&gt;=$J$4,'领用录入（明细）'!C:C&lt;=$L$4),ROW(),"-")</f>
        <v>-</v>
      </c>
    </row>
    <row r="31761" customHeight="1" spans="2:2">
      <c r="B31761" s="62" t="str">
        <f>IF(AND('领用录入（明细）'!D:D=$F$4,'领用录入（明细）'!C:C&gt;=$J$4,'领用录入（明细）'!C:C&lt;=$L$4),ROW(),"-")</f>
        <v>-</v>
      </c>
    </row>
    <row r="31762" customHeight="1" spans="2:2">
      <c r="B31762" s="62" t="str">
        <f>IF(AND('领用录入（明细）'!D:D=$F$4,'领用录入（明细）'!C:C&gt;=$J$4,'领用录入（明细）'!C:C&lt;=$L$4),ROW(),"-")</f>
        <v>-</v>
      </c>
    </row>
    <row r="31763" customHeight="1" spans="2:2">
      <c r="B31763" s="62" t="str">
        <f>IF(AND('领用录入（明细）'!D:D=$F$4,'领用录入（明细）'!C:C&gt;=$J$4,'领用录入（明细）'!C:C&lt;=$L$4),ROW(),"-")</f>
        <v>-</v>
      </c>
    </row>
    <row r="31764" customHeight="1" spans="2:2">
      <c r="B31764" s="62" t="str">
        <f>IF(AND('领用录入（明细）'!D:D=$F$4,'领用录入（明细）'!C:C&gt;=$J$4,'领用录入（明细）'!C:C&lt;=$L$4),ROW(),"-")</f>
        <v>-</v>
      </c>
    </row>
    <row r="31765" customHeight="1" spans="2:2">
      <c r="B31765" s="62" t="str">
        <f>IF(AND('领用录入（明细）'!D:D=$F$4,'领用录入（明细）'!C:C&gt;=$J$4,'领用录入（明细）'!C:C&lt;=$L$4),ROW(),"-")</f>
        <v>-</v>
      </c>
    </row>
    <row r="31766" customHeight="1" spans="2:2">
      <c r="B31766" s="62" t="str">
        <f>IF(AND('领用录入（明细）'!D:D=$F$4,'领用录入（明细）'!C:C&gt;=$J$4,'领用录入（明细）'!C:C&lt;=$L$4),ROW(),"-")</f>
        <v>-</v>
      </c>
    </row>
    <row r="31767" customHeight="1" spans="2:2">
      <c r="B31767" s="62" t="str">
        <f>IF(AND('领用录入（明细）'!D:D=$F$4,'领用录入（明细）'!C:C&gt;=$J$4,'领用录入（明细）'!C:C&lt;=$L$4),ROW(),"-")</f>
        <v>-</v>
      </c>
    </row>
    <row r="31768" customHeight="1" spans="2:2">
      <c r="B31768" s="62" t="str">
        <f>IF(AND('领用录入（明细）'!D:D=$F$4,'领用录入（明细）'!C:C&gt;=$J$4,'领用录入（明细）'!C:C&lt;=$L$4),ROW(),"-")</f>
        <v>-</v>
      </c>
    </row>
    <row r="31769" customHeight="1" spans="2:2">
      <c r="B31769" s="62" t="str">
        <f>IF(AND('领用录入（明细）'!D:D=$F$4,'领用录入（明细）'!C:C&gt;=$J$4,'领用录入（明细）'!C:C&lt;=$L$4),ROW(),"-")</f>
        <v>-</v>
      </c>
    </row>
    <row r="31770" customHeight="1" spans="2:2">
      <c r="B31770" s="62" t="str">
        <f>IF(AND('领用录入（明细）'!D:D=$F$4,'领用录入（明细）'!C:C&gt;=$J$4,'领用录入（明细）'!C:C&lt;=$L$4),ROW(),"-")</f>
        <v>-</v>
      </c>
    </row>
    <row r="31771" customHeight="1" spans="2:2">
      <c r="B31771" s="62" t="str">
        <f>IF(AND('领用录入（明细）'!D:D=$F$4,'领用录入（明细）'!C:C&gt;=$J$4,'领用录入（明细）'!C:C&lt;=$L$4),ROW(),"-")</f>
        <v>-</v>
      </c>
    </row>
    <row r="31772" customHeight="1" spans="2:2">
      <c r="B31772" s="62" t="str">
        <f>IF(AND('领用录入（明细）'!D:D=$F$4,'领用录入（明细）'!C:C&gt;=$J$4,'领用录入（明细）'!C:C&lt;=$L$4),ROW(),"-")</f>
        <v>-</v>
      </c>
    </row>
    <row r="31773" customHeight="1" spans="2:2">
      <c r="B31773" s="62" t="str">
        <f>IF(AND('领用录入（明细）'!D:D=$F$4,'领用录入（明细）'!C:C&gt;=$J$4,'领用录入（明细）'!C:C&lt;=$L$4),ROW(),"-")</f>
        <v>-</v>
      </c>
    </row>
    <row r="31774" customHeight="1" spans="2:2">
      <c r="B31774" s="62" t="str">
        <f>IF(AND('领用录入（明细）'!D:D=$F$4,'领用录入（明细）'!C:C&gt;=$J$4,'领用录入（明细）'!C:C&lt;=$L$4),ROW(),"-")</f>
        <v>-</v>
      </c>
    </row>
    <row r="31775" customHeight="1" spans="2:2">
      <c r="B31775" s="62" t="str">
        <f>IF(AND('领用录入（明细）'!D:D=$F$4,'领用录入（明细）'!C:C&gt;=$J$4,'领用录入（明细）'!C:C&lt;=$L$4),ROW(),"-")</f>
        <v>-</v>
      </c>
    </row>
    <row r="31776" customHeight="1" spans="2:2">
      <c r="B31776" s="62" t="str">
        <f>IF(AND('领用录入（明细）'!D:D=$F$4,'领用录入（明细）'!C:C&gt;=$J$4,'领用录入（明细）'!C:C&lt;=$L$4),ROW(),"-")</f>
        <v>-</v>
      </c>
    </row>
    <row r="31777" customHeight="1" spans="2:2">
      <c r="B31777" s="62" t="str">
        <f>IF(AND('领用录入（明细）'!D:D=$F$4,'领用录入（明细）'!C:C&gt;=$J$4,'领用录入（明细）'!C:C&lt;=$L$4),ROW(),"-")</f>
        <v>-</v>
      </c>
    </row>
    <row r="31778" customHeight="1" spans="2:2">
      <c r="B31778" s="62" t="str">
        <f>IF(AND('领用录入（明细）'!D:D=$F$4,'领用录入（明细）'!C:C&gt;=$J$4,'领用录入（明细）'!C:C&lt;=$L$4),ROW(),"-")</f>
        <v>-</v>
      </c>
    </row>
    <row r="31779" customHeight="1" spans="2:2">
      <c r="B31779" s="62" t="str">
        <f>IF(AND('领用录入（明细）'!D:D=$F$4,'领用录入（明细）'!C:C&gt;=$J$4,'领用录入（明细）'!C:C&lt;=$L$4),ROW(),"-")</f>
        <v>-</v>
      </c>
    </row>
    <row r="31780" customHeight="1" spans="2:2">
      <c r="B31780" s="62" t="str">
        <f>IF(AND('领用录入（明细）'!D:D=$F$4,'领用录入（明细）'!C:C&gt;=$J$4,'领用录入（明细）'!C:C&lt;=$L$4),ROW(),"-")</f>
        <v>-</v>
      </c>
    </row>
    <row r="31781" customHeight="1" spans="2:2">
      <c r="B31781" s="62" t="str">
        <f>IF(AND('领用录入（明细）'!D:D=$F$4,'领用录入（明细）'!C:C&gt;=$J$4,'领用录入（明细）'!C:C&lt;=$L$4),ROW(),"-")</f>
        <v>-</v>
      </c>
    </row>
    <row r="31782" customHeight="1" spans="2:2">
      <c r="B31782" s="62" t="str">
        <f>IF(AND('领用录入（明细）'!D:D=$F$4,'领用录入（明细）'!C:C&gt;=$J$4,'领用录入（明细）'!C:C&lt;=$L$4),ROW(),"-")</f>
        <v>-</v>
      </c>
    </row>
    <row r="31783" customHeight="1" spans="2:2">
      <c r="B31783" s="62" t="str">
        <f>IF(AND('领用录入（明细）'!D:D=$F$4,'领用录入（明细）'!C:C&gt;=$J$4,'领用录入（明细）'!C:C&lt;=$L$4),ROW(),"-")</f>
        <v>-</v>
      </c>
    </row>
    <row r="31784" customHeight="1" spans="2:2">
      <c r="B31784" s="62" t="str">
        <f>IF(AND('领用录入（明细）'!D:D=$F$4,'领用录入（明细）'!C:C&gt;=$J$4,'领用录入（明细）'!C:C&lt;=$L$4),ROW(),"-")</f>
        <v>-</v>
      </c>
    </row>
    <row r="31785" customHeight="1" spans="2:2">
      <c r="B31785" s="62" t="str">
        <f>IF(AND('领用录入（明细）'!D:D=$F$4,'领用录入（明细）'!C:C&gt;=$J$4,'领用录入（明细）'!C:C&lt;=$L$4),ROW(),"-")</f>
        <v>-</v>
      </c>
    </row>
    <row r="31786" customHeight="1" spans="2:2">
      <c r="B31786" s="62" t="str">
        <f>IF(AND('领用录入（明细）'!D:D=$F$4,'领用录入（明细）'!C:C&gt;=$J$4,'领用录入（明细）'!C:C&lt;=$L$4),ROW(),"-")</f>
        <v>-</v>
      </c>
    </row>
    <row r="31787" customHeight="1" spans="2:2">
      <c r="B31787" s="62" t="str">
        <f>IF(AND('领用录入（明细）'!D:D=$F$4,'领用录入（明细）'!C:C&gt;=$J$4,'领用录入（明细）'!C:C&lt;=$L$4),ROW(),"-")</f>
        <v>-</v>
      </c>
    </row>
    <row r="31788" customHeight="1" spans="2:2">
      <c r="B31788" s="62" t="str">
        <f>IF(AND('领用录入（明细）'!D:D=$F$4,'领用录入（明细）'!C:C&gt;=$J$4,'领用录入（明细）'!C:C&lt;=$L$4),ROW(),"-")</f>
        <v>-</v>
      </c>
    </row>
    <row r="31789" customHeight="1" spans="2:2">
      <c r="B31789" s="62" t="str">
        <f>IF(AND('领用录入（明细）'!D:D=$F$4,'领用录入（明细）'!C:C&gt;=$J$4,'领用录入（明细）'!C:C&lt;=$L$4),ROW(),"-")</f>
        <v>-</v>
      </c>
    </row>
    <row r="31790" customHeight="1" spans="2:2">
      <c r="B31790" s="62" t="str">
        <f>IF(AND('领用录入（明细）'!D:D=$F$4,'领用录入（明细）'!C:C&gt;=$J$4,'领用录入（明细）'!C:C&lt;=$L$4),ROW(),"-")</f>
        <v>-</v>
      </c>
    </row>
    <row r="31791" customHeight="1" spans="2:2">
      <c r="B31791" s="62" t="str">
        <f>IF(AND('领用录入（明细）'!D:D=$F$4,'领用录入（明细）'!C:C&gt;=$J$4,'领用录入（明细）'!C:C&lt;=$L$4),ROW(),"-")</f>
        <v>-</v>
      </c>
    </row>
    <row r="31792" customHeight="1" spans="2:2">
      <c r="B31792" s="62" t="str">
        <f>IF(AND('领用录入（明细）'!D:D=$F$4,'领用录入（明细）'!C:C&gt;=$J$4,'领用录入（明细）'!C:C&lt;=$L$4),ROW(),"-")</f>
        <v>-</v>
      </c>
    </row>
    <row r="31793" customHeight="1" spans="2:2">
      <c r="B31793" s="62" t="str">
        <f>IF(AND('领用录入（明细）'!D:D=$F$4,'领用录入（明细）'!C:C&gt;=$J$4,'领用录入（明细）'!C:C&lt;=$L$4),ROW(),"-")</f>
        <v>-</v>
      </c>
    </row>
    <row r="31794" customHeight="1" spans="2:2">
      <c r="B31794" s="62" t="str">
        <f>IF(AND('领用录入（明细）'!D:D=$F$4,'领用录入（明细）'!C:C&gt;=$J$4,'领用录入（明细）'!C:C&lt;=$L$4),ROW(),"-")</f>
        <v>-</v>
      </c>
    </row>
    <row r="31795" customHeight="1" spans="2:2">
      <c r="B31795" s="62" t="str">
        <f>IF(AND('领用录入（明细）'!D:D=$F$4,'领用录入（明细）'!C:C&gt;=$J$4,'领用录入（明细）'!C:C&lt;=$L$4),ROW(),"-")</f>
        <v>-</v>
      </c>
    </row>
    <row r="31796" customHeight="1" spans="2:2">
      <c r="B31796" s="62" t="str">
        <f>IF(AND('领用录入（明细）'!D:D=$F$4,'领用录入（明细）'!C:C&gt;=$J$4,'领用录入（明细）'!C:C&lt;=$L$4),ROW(),"-")</f>
        <v>-</v>
      </c>
    </row>
    <row r="31797" customHeight="1" spans="2:2">
      <c r="B31797" s="62" t="str">
        <f>IF(AND('领用录入（明细）'!D:D=$F$4,'领用录入（明细）'!C:C&gt;=$J$4,'领用录入（明细）'!C:C&lt;=$L$4),ROW(),"-")</f>
        <v>-</v>
      </c>
    </row>
    <row r="31798" customHeight="1" spans="2:2">
      <c r="B31798" s="62" t="str">
        <f>IF(AND('领用录入（明细）'!D:D=$F$4,'领用录入（明细）'!C:C&gt;=$J$4,'领用录入（明细）'!C:C&lt;=$L$4),ROW(),"-")</f>
        <v>-</v>
      </c>
    </row>
    <row r="31799" customHeight="1" spans="2:2">
      <c r="B31799" s="62" t="str">
        <f>IF(AND('领用录入（明细）'!D:D=$F$4,'领用录入（明细）'!C:C&gt;=$J$4,'领用录入（明细）'!C:C&lt;=$L$4),ROW(),"-")</f>
        <v>-</v>
      </c>
    </row>
    <row r="31800" customHeight="1" spans="2:2">
      <c r="B31800" s="62" t="str">
        <f>IF(AND('领用录入（明细）'!D:D=$F$4,'领用录入（明细）'!C:C&gt;=$J$4,'领用录入（明细）'!C:C&lt;=$L$4),ROW(),"-")</f>
        <v>-</v>
      </c>
    </row>
    <row r="31801" customHeight="1" spans="2:2">
      <c r="B31801" s="62" t="str">
        <f>IF(AND('领用录入（明细）'!D:D=$F$4,'领用录入（明细）'!C:C&gt;=$J$4,'领用录入（明细）'!C:C&lt;=$L$4),ROW(),"-")</f>
        <v>-</v>
      </c>
    </row>
    <row r="31802" customHeight="1" spans="2:2">
      <c r="B31802" s="62" t="str">
        <f>IF(AND('领用录入（明细）'!D:D=$F$4,'领用录入（明细）'!C:C&gt;=$J$4,'领用录入（明细）'!C:C&lt;=$L$4),ROW(),"-")</f>
        <v>-</v>
      </c>
    </row>
    <row r="31803" customHeight="1" spans="2:2">
      <c r="B31803" s="62" t="str">
        <f>IF(AND('领用录入（明细）'!D:D=$F$4,'领用录入（明细）'!C:C&gt;=$J$4,'领用录入（明细）'!C:C&lt;=$L$4),ROW(),"-")</f>
        <v>-</v>
      </c>
    </row>
    <row r="31804" customHeight="1" spans="2:2">
      <c r="B31804" s="62" t="str">
        <f>IF(AND('领用录入（明细）'!D:D=$F$4,'领用录入（明细）'!C:C&gt;=$J$4,'领用录入（明细）'!C:C&lt;=$L$4),ROW(),"-")</f>
        <v>-</v>
      </c>
    </row>
    <row r="31805" customHeight="1" spans="2:2">
      <c r="B31805" s="62" t="str">
        <f>IF(AND('领用录入（明细）'!D:D=$F$4,'领用录入（明细）'!C:C&gt;=$J$4,'领用录入（明细）'!C:C&lt;=$L$4),ROW(),"-")</f>
        <v>-</v>
      </c>
    </row>
    <row r="31806" customHeight="1" spans="2:2">
      <c r="B31806" s="62" t="str">
        <f>IF(AND('领用录入（明细）'!D:D=$F$4,'领用录入（明细）'!C:C&gt;=$J$4,'领用录入（明细）'!C:C&lt;=$L$4),ROW(),"-")</f>
        <v>-</v>
      </c>
    </row>
    <row r="31807" customHeight="1" spans="2:2">
      <c r="B31807" s="62" t="str">
        <f>IF(AND('领用录入（明细）'!D:D=$F$4,'领用录入（明细）'!C:C&gt;=$J$4,'领用录入（明细）'!C:C&lt;=$L$4),ROW(),"-")</f>
        <v>-</v>
      </c>
    </row>
    <row r="31808" customHeight="1" spans="2:2">
      <c r="B31808" s="62" t="str">
        <f>IF(AND('领用录入（明细）'!D:D=$F$4,'领用录入（明细）'!C:C&gt;=$J$4,'领用录入（明细）'!C:C&lt;=$L$4),ROW(),"-")</f>
        <v>-</v>
      </c>
    </row>
    <row r="31809" customHeight="1" spans="2:2">
      <c r="B31809" s="62" t="str">
        <f>IF(AND('领用录入（明细）'!D:D=$F$4,'领用录入（明细）'!C:C&gt;=$J$4,'领用录入（明细）'!C:C&lt;=$L$4),ROW(),"-")</f>
        <v>-</v>
      </c>
    </row>
    <row r="31810" customHeight="1" spans="2:2">
      <c r="B31810" s="62" t="str">
        <f>IF(AND('领用录入（明细）'!D:D=$F$4,'领用录入（明细）'!C:C&gt;=$J$4,'领用录入（明细）'!C:C&lt;=$L$4),ROW(),"-")</f>
        <v>-</v>
      </c>
    </row>
    <row r="31811" customHeight="1" spans="2:2">
      <c r="B31811" s="62" t="str">
        <f>IF(AND('领用录入（明细）'!D:D=$F$4,'领用录入（明细）'!C:C&gt;=$J$4,'领用录入（明细）'!C:C&lt;=$L$4),ROW(),"-")</f>
        <v>-</v>
      </c>
    </row>
    <row r="31812" customHeight="1" spans="2:2">
      <c r="B31812" s="62" t="str">
        <f>IF(AND('领用录入（明细）'!D:D=$F$4,'领用录入（明细）'!C:C&gt;=$J$4,'领用录入（明细）'!C:C&lt;=$L$4),ROW(),"-")</f>
        <v>-</v>
      </c>
    </row>
    <row r="31813" customHeight="1" spans="2:2">
      <c r="B31813" s="62" t="str">
        <f>IF(AND('领用录入（明细）'!D:D=$F$4,'领用录入（明细）'!C:C&gt;=$J$4,'领用录入（明细）'!C:C&lt;=$L$4),ROW(),"-")</f>
        <v>-</v>
      </c>
    </row>
    <row r="31814" customHeight="1" spans="2:2">
      <c r="B31814" s="62" t="str">
        <f>IF(AND('领用录入（明细）'!D:D=$F$4,'领用录入（明细）'!C:C&gt;=$J$4,'领用录入（明细）'!C:C&lt;=$L$4),ROW(),"-")</f>
        <v>-</v>
      </c>
    </row>
    <row r="31815" customHeight="1" spans="2:2">
      <c r="B31815" s="62" t="str">
        <f>IF(AND('领用录入（明细）'!D:D=$F$4,'领用录入（明细）'!C:C&gt;=$J$4,'领用录入（明细）'!C:C&lt;=$L$4),ROW(),"-")</f>
        <v>-</v>
      </c>
    </row>
    <row r="31816" customHeight="1" spans="2:2">
      <c r="B31816" s="62" t="str">
        <f>IF(AND('领用录入（明细）'!D:D=$F$4,'领用录入（明细）'!C:C&gt;=$J$4,'领用录入（明细）'!C:C&lt;=$L$4),ROW(),"-")</f>
        <v>-</v>
      </c>
    </row>
    <row r="31817" customHeight="1" spans="2:2">
      <c r="B31817" s="62" t="str">
        <f>IF(AND('领用录入（明细）'!D:D=$F$4,'领用录入（明细）'!C:C&gt;=$J$4,'领用录入（明细）'!C:C&lt;=$L$4),ROW(),"-")</f>
        <v>-</v>
      </c>
    </row>
    <row r="31818" customHeight="1" spans="2:2">
      <c r="B31818" s="62" t="str">
        <f>IF(AND('领用录入（明细）'!D:D=$F$4,'领用录入（明细）'!C:C&gt;=$J$4,'领用录入（明细）'!C:C&lt;=$L$4),ROW(),"-")</f>
        <v>-</v>
      </c>
    </row>
    <row r="31819" customHeight="1" spans="2:2">
      <c r="B31819" s="62" t="str">
        <f>IF(AND('领用录入（明细）'!D:D=$F$4,'领用录入（明细）'!C:C&gt;=$J$4,'领用录入（明细）'!C:C&lt;=$L$4),ROW(),"-")</f>
        <v>-</v>
      </c>
    </row>
    <row r="31820" customHeight="1" spans="2:2">
      <c r="B31820" s="62" t="str">
        <f>IF(AND('领用录入（明细）'!D:D=$F$4,'领用录入（明细）'!C:C&gt;=$J$4,'领用录入（明细）'!C:C&lt;=$L$4),ROW(),"-")</f>
        <v>-</v>
      </c>
    </row>
    <row r="31821" customHeight="1" spans="2:2">
      <c r="B31821" s="62" t="str">
        <f>IF(AND('领用录入（明细）'!D:D=$F$4,'领用录入（明细）'!C:C&gt;=$J$4,'领用录入（明细）'!C:C&lt;=$L$4),ROW(),"-")</f>
        <v>-</v>
      </c>
    </row>
    <row r="31822" customHeight="1" spans="2:2">
      <c r="B31822" s="62" t="str">
        <f>IF(AND('领用录入（明细）'!D:D=$F$4,'领用录入（明细）'!C:C&gt;=$J$4,'领用录入（明细）'!C:C&lt;=$L$4),ROW(),"-")</f>
        <v>-</v>
      </c>
    </row>
    <row r="31823" customHeight="1" spans="2:2">
      <c r="B31823" s="62" t="str">
        <f>IF(AND('领用录入（明细）'!D:D=$F$4,'领用录入（明细）'!C:C&gt;=$J$4,'领用录入（明细）'!C:C&lt;=$L$4),ROW(),"-")</f>
        <v>-</v>
      </c>
    </row>
    <row r="31824" customHeight="1" spans="2:2">
      <c r="B31824" s="62" t="str">
        <f>IF(AND('领用录入（明细）'!D:D=$F$4,'领用录入（明细）'!C:C&gt;=$J$4,'领用录入（明细）'!C:C&lt;=$L$4),ROW(),"-")</f>
        <v>-</v>
      </c>
    </row>
    <row r="31825" customHeight="1" spans="2:2">
      <c r="B31825" s="62" t="str">
        <f>IF(AND('领用录入（明细）'!D:D=$F$4,'领用录入（明细）'!C:C&gt;=$J$4,'领用录入（明细）'!C:C&lt;=$L$4),ROW(),"-")</f>
        <v>-</v>
      </c>
    </row>
    <row r="31826" customHeight="1" spans="2:2">
      <c r="B31826" s="62" t="str">
        <f>IF(AND('领用录入（明细）'!D:D=$F$4,'领用录入（明细）'!C:C&gt;=$J$4,'领用录入（明细）'!C:C&lt;=$L$4),ROW(),"-")</f>
        <v>-</v>
      </c>
    </row>
    <row r="31827" customHeight="1" spans="2:2">
      <c r="B31827" s="62" t="str">
        <f>IF(AND('领用录入（明细）'!D:D=$F$4,'领用录入（明细）'!C:C&gt;=$J$4,'领用录入（明细）'!C:C&lt;=$L$4),ROW(),"-")</f>
        <v>-</v>
      </c>
    </row>
    <row r="31828" customHeight="1" spans="2:2">
      <c r="B31828" s="62" t="str">
        <f>IF(AND('领用录入（明细）'!D:D=$F$4,'领用录入（明细）'!C:C&gt;=$J$4,'领用录入（明细）'!C:C&lt;=$L$4),ROW(),"-")</f>
        <v>-</v>
      </c>
    </row>
    <row r="31829" customHeight="1" spans="2:2">
      <c r="B31829" s="62" t="str">
        <f>IF(AND('领用录入（明细）'!D:D=$F$4,'领用录入（明细）'!C:C&gt;=$J$4,'领用录入（明细）'!C:C&lt;=$L$4),ROW(),"-")</f>
        <v>-</v>
      </c>
    </row>
    <row r="31830" customHeight="1" spans="2:2">
      <c r="B31830" s="62" t="str">
        <f>IF(AND('领用录入（明细）'!D:D=$F$4,'领用录入（明细）'!C:C&gt;=$J$4,'领用录入（明细）'!C:C&lt;=$L$4),ROW(),"-")</f>
        <v>-</v>
      </c>
    </row>
    <row r="31831" customHeight="1" spans="2:2">
      <c r="B31831" s="62" t="str">
        <f>IF(AND('领用录入（明细）'!D:D=$F$4,'领用录入（明细）'!C:C&gt;=$J$4,'领用录入（明细）'!C:C&lt;=$L$4),ROW(),"-")</f>
        <v>-</v>
      </c>
    </row>
    <row r="31832" customHeight="1" spans="2:2">
      <c r="B31832" s="62" t="str">
        <f>IF(AND('领用录入（明细）'!D:D=$F$4,'领用录入（明细）'!C:C&gt;=$J$4,'领用录入（明细）'!C:C&lt;=$L$4),ROW(),"-")</f>
        <v>-</v>
      </c>
    </row>
    <row r="31833" customHeight="1" spans="2:2">
      <c r="B31833" s="62" t="str">
        <f>IF(AND('领用录入（明细）'!D:D=$F$4,'领用录入（明细）'!C:C&gt;=$J$4,'领用录入（明细）'!C:C&lt;=$L$4),ROW(),"-")</f>
        <v>-</v>
      </c>
    </row>
    <row r="31834" customHeight="1" spans="2:2">
      <c r="B31834" s="62" t="str">
        <f>IF(AND('领用录入（明细）'!D:D=$F$4,'领用录入（明细）'!C:C&gt;=$J$4,'领用录入（明细）'!C:C&lt;=$L$4),ROW(),"-")</f>
        <v>-</v>
      </c>
    </row>
    <row r="31835" customHeight="1" spans="2:2">
      <c r="B31835" s="62" t="str">
        <f>IF(AND('领用录入（明细）'!D:D=$F$4,'领用录入（明细）'!C:C&gt;=$J$4,'领用录入（明细）'!C:C&lt;=$L$4),ROW(),"-")</f>
        <v>-</v>
      </c>
    </row>
    <row r="31836" customHeight="1" spans="2:2">
      <c r="B31836" s="62" t="str">
        <f>IF(AND('领用录入（明细）'!D:D=$F$4,'领用录入（明细）'!C:C&gt;=$J$4,'领用录入（明细）'!C:C&lt;=$L$4),ROW(),"-")</f>
        <v>-</v>
      </c>
    </row>
    <row r="31837" customHeight="1" spans="2:2">
      <c r="B31837" s="62" t="str">
        <f>IF(AND('领用录入（明细）'!D:D=$F$4,'领用录入（明细）'!C:C&gt;=$J$4,'领用录入（明细）'!C:C&lt;=$L$4),ROW(),"-")</f>
        <v>-</v>
      </c>
    </row>
    <row r="31838" customHeight="1" spans="2:2">
      <c r="B31838" s="62" t="str">
        <f>IF(AND('领用录入（明细）'!D:D=$F$4,'领用录入（明细）'!C:C&gt;=$J$4,'领用录入（明细）'!C:C&lt;=$L$4),ROW(),"-")</f>
        <v>-</v>
      </c>
    </row>
    <row r="31839" customHeight="1" spans="2:2">
      <c r="B31839" s="62" t="str">
        <f>IF(AND('领用录入（明细）'!D:D=$F$4,'领用录入（明细）'!C:C&gt;=$J$4,'领用录入（明细）'!C:C&lt;=$L$4),ROW(),"-")</f>
        <v>-</v>
      </c>
    </row>
    <row r="31840" customHeight="1" spans="2:2">
      <c r="B31840" s="62" t="str">
        <f>IF(AND('领用录入（明细）'!D:D=$F$4,'领用录入（明细）'!C:C&gt;=$J$4,'领用录入（明细）'!C:C&lt;=$L$4),ROW(),"-")</f>
        <v>-</v>
      </c>
    </row>
    <row r="31841" customHeight="1" spans="2:2">
      <c r="B31841" s="62" t="str">
        <f>IF(AND('领用录入（明细）'!D:D=$F$4,'领用录入（明细）'!C:C&gt;=$J$4,'领用录入（明细）'!C:C&lt;=$L$4),ROW(),"-")</f>
        <v>-</v>
      </c>
    </row>
    <row r="31842" customHeight="1" spans="2:2">
      <c r="B31842" s="62" t="str">
        <f>IF(AND('领用录入（明细）'!D:D=$F$4,'领用录入（明细）'!C:C&gt;=$J$4,'领用录入（明细）'!C:C&lt;=$L$4),ROW(),"-")</f>
        <v>-</v>
      </c>
    </row>
    <row r="31843" customHeight="1" spans="2:2">
      <c r="B31843" s="62" t="str">
        <f>IF(AND('领用录入（明细）'!D:D=$F$4,'领用录入（明细）'!C:C&gt;=$J$4,'领用录入（明细）'!C:C&lt;=$L$4),ROW(),"-")</f>
        <v>-</v>
      </c>
    </row>
    <row r="31844" customHeight="1" spans="2:2">
      <c r="B31844" s="62" t="str">
        <f>IF(AND('领用录入（明细）'!D:D=$F$4,'领用录入（明细）'!C:C&gt;=$J$4,'领用录入（明细）'!C:C&lt;=$L$4),ROW(),"-")</f>
        <v>-</v>
      </c>
    </row>
    <row r="31845" customHeight="1" spans="2:2">
      <c r="B31845" s="62" t="str">
        <f>IF(AND('领用录入（明细）'!D:D=$F$4,'领用录入（明细）'!C:C&gt;=$J$4,'领用录入（明细）'!C:C&lt;=$L$4),ROW(),"-")</f>
        <v>-</v>
      </c>
    </row>
    <row r="31846" customHeight="1" spans="2:2">
      <c r="B31846" s="62" t="str">
        <f>IF(AND('领用录入（明细）'!D:D=$F$4,'领用录入（明细）'!C:C&gt;=$J$4,'领用录入（明细）'!C:C&lt;=$L$4),ROW(),"-")</f>
        <v>-</v>
      </c>
    </row>
    <row r="31847" customHeight="1" spans="2:2">
      <c r="B31847" s="62" t="str">
        <f>IF(AND('领用录入（明细）'!D:D=$F$4,'领用录入（明细）'!C:C&gt;=$J$4,'领用录入（明细）'!C:C&lt;=$L$4),ROW(),"-")</f>
        <v>-</v>
      </c>
    </row>
    <row r="31848" customHeight="1" spans="2:2">
      <c r="B31848" s="62" t="str">
        <f>IF(AND('领用录入（明细）'!D:D=$F$4,'领用录入（明细）'!C:C&gt;=$J$4,'领用录入（明细）'!C:C&lt;=$L$4),ROW(),"-")</f>
        <v>-</v>
      </c>
    </row>
    <row r="31849" customHeight="1" spans="2:2">
      <c r="B31849" s="62" t="str">
        <f>IF(AND('领用录入（明细）'!D:D=$F$4,'领用录入（明细）'!C:C&gt;=$J$4,'领用录入（明细）'!C:C&lt;=$L$4),ROW(),"-")</f>
        <v>-</v>
      </c>
    </row>
    <row r="31850" customHeight="1" spans="2:2">
      <c r="B31850" s="62" t="str">
        <f>IF(AND('领用录入（明细）'!D:D=$F$4,'领用录入（明细）'!C:C&gt;=$J$4,'领用录入（明细）'!C:C&lt;=$L$4),ROW(),"-")</f>
        <v>-</v>
      </c>
    </row>
    <row r="31851" customHeight="1" spans="2:2">
      <c r="B31851" s="62" t="str">
        <f>IF(AND('领用录入（明细）'!D:D=$F$4,'领用录入（明细）'!C:C&gt;=$J$4,'领用录入（明细）'!C:C&lt;=$L$4),ROW(),"-")</f>
        <v>-</v>
      </c>
    </row>
    <row r="31852" customHeight="1" spans="2:2">
      <c r="B31852" s="62" t="str">
        <f>IF(AND('领用录入（明细）'!D:D=$F$4,'领用录入（明细）'!C:C&gt;=$J$4,'领用录入（明细）'!C:C&lt;=$L$4),ROW(),"-")</f>
        <v>-</v>
      </c>
    </row>
    <row r="31853" customHeight="1" spans="2:2">
      <c r="B31853" s="62" t="str">
        <f>IF(AND('领用录入（明细）'!D:D=$F$4,'领用录入（明细）'!C:C&gt;=$J$4,'领用录入（明细）'!C:C&lt;=$L$4),ROW(),"-")</f>
        <v>-</v>
      </c>
    </row>
    <row r="31854" customHeight="1" spans="2:2">
      <c r="B31854" s="62" t="str">
        <f>IF(AND('领用录入（明细）'!D:D=$F$4,'领用录入（明细）'!C:C&gt;=$J$4,'领用录入（明细）'!C:C&lt;=$L$4),ROW(),"-")</f>
        <v>-</v>
      </c>
    </row>
    <row r="31855" customHeight="1" spans="2:2">
      <c r="B31855" s="62" t="str">
        <f>IF(AND('领用录入（明细）'!D:D=$F$4,'领用录入（明细）'!C:C&gt;=$J$4,'领用录入（明细）'!C:C&lt;=$L$4),ROW(),"-")</f>
        <v>-</v>
      </c>
    </row>
    <row r="31856" customHeight="1" spans="2:2">
      <c r="B31856" s="62" t="str">
        <f>IF(AND('领用录入（明细）'!D:D=$F$4,'领用录入（明细）'!C:C&gt;=$J$4,'领用录入（明细）'!C:C&lt;=$L$4),ROW(),"-")</f>
        <v>-</v>
      </c>
    </row>
    <row r="31857" customHeight="1" spans="2:2">
      <c r="B31857" s="62" t="str">
        <f>IF(AND('领用录入（明细）'!D:D=$F$4,'领用录入（明细）'!C:C&gt;=$J$4,'领用录入（明细）'!C:C&lt;=$L$4),ROW(),"-")</f>
        <v>-</v>
      </c>
    </row>
    <row r="31858" customHeight="1" spans="2:2">
      <c r="B31858" s="62" t="str">
        <f>IF(AND('领用录入（明细）'!D:D=$F$4,'领用录入（明细）'!C:C&gt;=$J$4,'领用录入（明细）'!C:C&lt;=$L$4),ROW(),"-")</f>
        <v>-</v>
      </c>
    </row>
    <row r="31859" customHeight="1" spans="2:2">
      <c r="B31859" s="62" t="str">
        <f>IF(AND('领用录入（明细）'!D:D=$F$4,'领用录入（明细）'!C:C&gt;=$J$4,'领用录入（明细）'!C:C&lt;=$L$4),ROW(),"-")</f>
        <v>-</v>
      </c>
    </row>
    <row r="31860" customHeight="1" spans="2:2">
      <c r="B31860" s="62" t="str">
        <f>IF(AND('领用录入（明细）'!D:D=$F$4,'领用录入（明细）'!C:C&gt;=$J$4,'领用录入（明细）'!C:C&lt;=$L$4),ROW(),"-")</f>
        <v>-</v>
      </c>
    </row>
    <row r="31861" customHeight="1" spans="2:2">
      <c r="B31861" s="62" t="str">
        <f>IF(AND('领用录入（明细）'!D:D=$F$4,'领用录入（明细）'!C:C&gt;=$J$4,'领用录入（明细）'!C:C&lt;=$L$4),ROW(),"-")</f>
        <v>-</v>
      </c>
    </row>
    <row r="31862" customHeight="1" spans="2:2">
      <c r="B31862" s="62" t="str">
        <f>IF(AND('领用录入（明细）'!D:D=$F$4,'领用录入（明细）'!C:C&gt;=$J$4,'领用录入（明细）'!C:C&lt;=$L$4),ROW(),"-")</f>
        <v>-</v>
      </c>
    </row>
    <row r="31863" customHeight="1" spans="2:2">
      <c r="B31863" s="62" t="str">
        <f>IF(AND('领用录入（明细）'!D:D=$F$4,'领用录入（明细）'!C:C&gt;=$J$4,'领用录入（明细）'!C:C&lt;=$L$4),ROW(),"-")</f>
        <v>-</v>
      </c>
    </row>
    <row r="31864" customHeight="1" spans="2:2">
      <c r="B31864" s="62" t="str">
        <f>IF(AND('领用录入（明细）'!D:D=$F$4,'领用录入（明细）'!C:C&gt;=$J$4,'领用录入（明细）'!C:C&lt;=$L$4),ROW(),"-")</f>
        <v>-</v>
      </c>
    </row>
    <row r="31865" customHeight="1" spans="2:2">
      <c r="B31865" s="62" t="str">
        <f>IF(AND('领用录入（明细）'!D:D=$F$4,'领用录入（明细）'!C:C&gt;=$J$4,'领用录入（明细）'!C:C&lt;=$L$4),ROW(),"-")</f>
        <v>-</v>
      </c>
    </row>
    <row r="31866" customHeight="1" spans="2:2">
      <c r="B31866" s="62" t="str">
        <f>IF(AND('领用录入（明细）'!D:D=$F$4,'领用录入（明细）'!C:C&gt;=$J$4,'领用录入（明细）'!C:C&lt;=$L$4),ROW(),"-")</f>
        <v>-</v>
      </c>
    </row>
    <row r="31867" customHeight="1" spans="2:2">
      <c r="B31867" s="62" t="str">
        <f>IF(AND('领用录入（明细）'!D:D=$F$4,'领用录入（明细）'!C:C&gt;=$J$4,'领用录入（明细）'!C:C&lt;=$L$4),ROW(),"-")</f>
        <v>-</v>
      </c>
    </row>
    <row r="31868" customHeight="1" spans="2:2">
      <c r="B31868" s="62" t="str">
        <f>IF(AND('领用录入（明细）'!D:D=$F$4,'领用录入（明细）'!C:C&gt;=$J$4,'领用录入（明细）'!C:C&lt;=$L$4),ROW(),"-")</f>
        <v>-</v>
      </c>
    </row>
    <row r="31869" customHeight="1" spans="2:2">
      <c r="B31869" s="62" t="str">
        <f>IF(AND('领用录入（明细）'!D:D=$F$4,'领用录入（明细）'!C:C&gt;=$J$4,'领用录入（明细）'!C:C&lt;=$L$4),ROW(),"-")</f>
        <v>-</v>
      </c>
    </row>
    <row r="31870" customHeight="1" spans="2:2">
      <c r="B31870" s="62" t="str">
        <f>IF(AND('领用录入（明细）'!D:D=$F$4,'领用录入（明细）'!C:C&gt;=$J$4,'领用录入（明细）'!C:C&lt;=$L$4),ROW(),"-")</f>
        <v>-</v>
      </c>
    </row>
    <row r="31871" customHeight="1" spans="2:2">
      <c r="B31871" s="62" t="str">
        <f>IF(AND('领用录入（明细）'!D:D=$F$4,'领用录入（明细）'!C:C&gt;=$J$4,'领用录入（明细）'!C:C&lt;=$L$4),ROW(),"-")</f>
        <v>-</v>
      </c>
    </row>
    <row r="31872" customHeight="1" spans="2:2">
      <c r="B31872" s="62" t="str">
        <f>IF(AND('领用录入（明细）'!D:D=$F$4,'领用录入（明细）'!C:C&gt;=$J$4,'领用录入（明细）'!C:C&lt;=$L$4),ROW(),"-")</f>
        <v>-</v>
      </c>
    </row>
    <row r="31873" customHeight="1" spans="2:2">
      <c r="B31873" s="62" t="str">
        <f>IF(AND('领用录入（明细）'!D:D=$F$4,'领用录入（明细）'!C:C&gt;=$J$4,'领用录入（明细）'!C:C&lt;=$L$4),ROW(),"-")</f>
        <v>-</v>
      </c>
    </row>
    <row r="31874" customHeight="1" spans="2:2">
      <c r="B31874" s="62" t="str">
        <f>IF(AND('领用录入（明细）'!D:D=$F$4,'领用录入（明细）'!C:C&gt;=$J$4,'领用录入（明细）'!C:C&lt;=$L$4),ROW(),"-")</f>
        <v>-</v>
      </c>
    </row>
    <row r="31875" customHeight="1" spans="2:2">
      <c r="B31875" s="62" t="str">
        <f>IF(AND('领用录入（明细）'!D:D=$F$4,'领用录入（明细）'!C:C&gt;=$J$4,'领用录入（明细）'!C:C&lt;=$L$4),ROW(),"-")</f>
        <v>-</v>
      </c>
    </row>
    <row r="31876" customHeight="1" spans="2:2">
      <c r="B31876" s="62" t="str">
        <f>IF(AND('领用录入（明细）'!D:D=$F$4,'领用录入（明细）'!C:C&gt;=$J$4,'领用录入（明细）'!C:C&lt;=$L$4),ROW(),"-")</f>
        <v>-</v>
      </c>
    </row>
    <row r="31877" customHeight="1" spans="2:2">
      <c r="B31877" s="62" t="str">
        <f>IF(AND('领用录入（明细）'!D:D=$F$4,'领用录入（明细）'!C:C&gt;=$J$4,'领用录入（明细）'!C:C&lt;=$L$4),ROW(),"-")</f>
        <v>-</v>
      </c>
    </row>
    <row r="31878" customHeight="1" spans="2:2">
      <c r="B31878" s="62" t="str">
        <f>IF(AND('领用录入（明细）'!D:D=$F$4,'领用录入（明细）'!C:C&gt;=$J$4,'领用录入（明细）'!C:C&lt;=$L$4),ROW(),"-")</f>
        <v>-</v>
      </c>
    </row>
    <row r="31879" customHeight="1" spans="2:2">
      <c r="B31879" s="62" t="str">
        <f>IF(AND('领用录入（明细）'!D:D=$F$4,'领用录入（明细）'!C:C&gt;=$J$4,'领用录入（明细）'!C:C&lt;=$L$4),ROW(),"-")</f>
        <v>-</v>
      </c>
    </row>
    <row r="31880" customHeight="1" spans="2:2">
      <c r="B31880" s="62" t="str">
        <f>IF(AND('领用录入（明细）'!D:D=$F$4,'领用录入（明细）'!C:C&gt;=$J$4,'领用录入（明细）'!C:C&lt;=$L$4),ROW(),"-")</f>
        <v>-</v>
      </c>
    </row>
    <row r="31881" customHeight="1" spans="2:2">
      <c r="B31881" s="62" t="str">
        <f>IF(AND('领用录入（明细）'!D:D=$F$4,'领用录入（明细）'!C:C&gt;=$J$4,'领用录入（明细）'!C:C&lt;=$L$4),ROW(),"-")</f>
        <v>-</v>
      </c>
    </row>
    <row r="31882" customHeight="1" spans="2:2">
      <c r="B31882" s="62" t="str">
        <f>IF(AND('领用录入（明细）'!D:D=$F$4,'领用录入（明细）'!C:C&gt;=$J$4,'领用录入（明细）'!C:C&lt;=$L$4),ROW(),"-")</f>
        <v>-</v>
      </c>
    </row>
    <row r="31883" customHeight="1" spans="2:2">
      <c r="B31883" s="62" t="str">
        <f>IF(AND('领用录入（明细）'!D:D=$F$4,'领用录入（明细）'!C:C&gt;=$J$4,'领用录入（明细）'!C:C&lt;=$L$4),ROW(),"-")</f>
        <v>-</v>
      </c>
    </row>
    <row r="31884" customHeight="1" spans="2:2">
      <c r="B31884" s="62" t="str">
        <f>IF(AND('领用录入（明细）'!D:D=$F$4,'领用录入（明细）'!C:C&gt;=$J$4,'领用录入（明细）'!C:C&lt;=$L$4),ROW(),"-")</f>
        <v>-</v>
      </c>
    </row>
    <row r="31885" customHeight="1" spans="2:2">
      <c r="B31885" s="62" t="str">
        <f>IF(AND('领用录入（明细）'!D:D=$F$4,'领用录入（明细）'!C:C&gt;=$J$4,'领用录入（明细）'!C:C&lt;=$L$4),ROW(),"-")</f>
        <v>-</v>
      </c>
    </row>
    <row r="31886" customHeight="1" spans="2:2">
      <c r="B31886" s="62" t="str">
        <f>IF(AND('领用录入（明细）'!D:D=$F$4,'领用录入（明细）'!C:C&gt;=$J$4,'领用录入（明细）'!C:C&lt;=$L$4),ROW(),"-")</f>
        <v>-</v>
      </c>
    </row>
    <row r="31887" customHeight="1" spans="2:2">
      <c r="B31887" s="62" t="str">
        <f>IF(AND('领用录入（明细）'!D:D=$F$4,'领用录入（明细）'!C:C&gt;=$J$4,'领用录入（明细）'!C:C&lt;=$L$4),ROW(),"-")</f>
        <v>-</v>
      </c>
    </row>
    <row r="31888" customHeight="1" spans="2:2">
      <c r="B31888" s="62" t="str">
        <f>IF(AND('领用录入（明细）'!D:D=$F$4,'领用录入（明细）'!C:C&gt;=$J$4,'领用录入（明细）'!C:C&lt;=$L$4),ROW(),"-")</f>
        <v>-</v>
      </c>
    </row>
    <row r="31889" customHeight="1" spans="2:2">
      <c r="B31889" s="62" t="str">
        <f>IF(AND('领用录入（明细）'!D:D=$F$4,'领用录入（明细）'!C:C&gt;=$J$4,'领用录入（明细）'!C:C&lt;=$L$4),ROW(),"-")</f>
        <v>-</v>
      </c>
    </row>
    <row r="31890" customHeight="1" spans="2:2">
      <c r="B31890" s="62" t="str">
        <f>IF(AND('领用录入（明细）'!D:D=$F$4,'领用录入（明细）'!C:C&gt;=$J$4,'领用录入（明细）'!C:C&lt;=$L$4),ROW(),"-")</f>
        <v>-</v>
      </c>
    </row>
    <row r="31891" customHeight="1" spans="2:2">
      <c r="B31891" s="62" t="str">
        <f>IF(AND('领用录入（明细）'!D:D=$F$4,'领用录入（明细）'!C:C&gt;=$J$4,'领用录入（明细）'!C:C&lt;=$L$4),ROW(),"-")</f>
        <v>-</v>
      </c>
    </row>
    <row r="31892" customHeight="1" spans="2:2">
      <c r="B31892" s="62" t="str">
        <f>IF(AND('领用录入（明细）'!D:D=$F$4,'领用录入（明细）'!C:C&gt;=$J$4,'领用录入（明细）'!C:C&lt;=$L$4),ROW(),"-")</f>
        <v>-</v>
      </c>
    </row>
    <row r="31893" customHeight="1" spans="2:2">
      <c r="B31893" s="62" t="str">
        <f>IF(AND('领用录入（明细）'!D:D=$F$4,'领用录入（明细）'!C:C&gt;=$J$4,'领用录入（明细）'!C:C&lt;=$L$4),ROW(),"-")</f>
        <v>-</v>
      </c>
    </row>
    <row r="31894" customHeight="1" spans="2:2">
      <c r="B31894" s="62" t="str">
        <f>IF(AND('领用录入（明细）'!D:D=$F$4,'领用录入（明细）'!C:C&gt;=$J$4,'领用录入（明细）'!C:C&lt;=$L$4),ROW(),"-")</f>
        <v>-</v>
      </c>
    </row>
    <row r="31895" customHeight="1" spans="2:2">
      <c r="B31895" s="62" t="str">
        <f>IF(AND('领用录入（明细）'!D:D=$F$4,'领用录入（明细）'!C:C&gt;=$J$4,'领用录入（明细）'!C:C&lt;=$L$4),ROW(),"-")</f>
        <v>-</v>
      </c>
    </row>
    <row r="31896" customHeight="1" spans="2:2">
      <c r="B31896" s="62" t="str">
        <f>IF(AND('领用录入（明细）'!D:D=$F$4,'领用录入（明细）'!C:C&gt;=$J$4,'领用录入（明细）'!C:C&lt;=$L$4),ROW(),"-")</f>
        <v>-</v>
      </c>
    </row>
    <row r="31897" customHeight="1" spans="2:2">
      <c r="B31897" s="62" t="str">
        <f>IF(AND('领用录入（明细）'!D:D=$F$4,'领用录入（明细）'!C:C&gt;=$J$4,'领用录入（明细）'!C:C&lt;=$L$4),ROW(),"-")</f>
        <v>-</v>
      </c>
    </row>
    <row r="31898" customHeight="1" spans="2:2">
      <c r="B31898" s="62" t="str">
        <f>IF(AND('领用录入（明细）'!D:D=$F$4,'领用录入（明细）'!C:C&gt;=$J$4,'领用录入（明细）'!C:C&lt;=$L$4),ROW(),"-")</f>
        <v>-</v>
      </c>
    </row>
    <row r="31899" customHeight="1" spans="2:2">
      <c r="B31899" s="62" t="str">
        <f>IF(AND('领用录入（明细）'!D:D=$F$4,'领用录入（明细）'!C:C&gt;=$J$4,'领用录入（明细）'!C:C&lt;=$L$4),ROW(),"-")</f>
        <v>-</v>
      </c>
    </row>
    <row r="31900" customHeight="1" spans="2:2">
      <c r="B31900" s="62" t="str">
        <f>IF(AND('领用录入（明细）'!D:D=$F$4,'领用录入（明细）'!C:C&gt;=$J$4,'领用录入（明细）'!C:C&lt;=$L$4),ROW(),"-")</f>
        <v>-</v>
      </c>
    </row>
    <row r="31901" customHeight="1" spans="2:2">
      <c r="B31901" s="62" t="str">
        <f>IF(AND('领用录入（明细）'!D:D=$F$4,'领用录入（明细）'!C:C&gt;=$J$4,'领用录入（明细）'!C:C&lt;=$L$4),ROW(),"-")</f>
        <v>-</v>
      </c>
    </row>
    <row r="31902" customHeight="1" spans="2:2">
      <c r="B31902" s="62" t="str">
        <f>IF(AND('领用录入（明细）'!D:D=$F$4,'领用录入（明细）'!C:C&gt;=$J$4,'领用录入（明细）'!C:C&lt;=$L$4),ROW(),"-")</f>
        <v>-</v>
      </c>
    </row>
    <row r="31903" customHeight="1" spans="2:2">
      <c r="B31903" s="62" t="str">
        <f>IF(AND('领用录入（明细）'!D:D=$F$4,'领用录入（明细）'!C:C&gt;=$J$4,'领用录入（明细）'!C:C&lt;=$L$4),ROW(),"-")</f>
        <v>-</v>
      </c>
    </row>
    <row r="31904" customHeight="1" spans="2:2">
      <c r="B31904" s="62" t="str">
        <f>IF(AND('领用录入（明细）'!D:D=$F$4,'领用录入（明细）'!C:C&gt;=$J$4,'领用录入（明细）'!C:C&lt;=$L$4),ROW(),"-")</f>
        <v>-</v>
      </c>
    </row>
    <row r="31905" customHeight="1" spans="2:2">
      <c r="B31905" s="62" t="str">
        <f>IF(AND('领用录入（明细）'!D:D=$F$4,'领用录入（明细）'!C:C&gt;=$J$4,'领用录入（明细）'!C:C&lt;=$L$4),ROW(),"-")</f>
        <v>-</v>
      </c>
    </row>
    <row r="31906" customHeight="1" spans="2:2">
      <c r="B31906" s="62" t="str">
        <f>IF(AND('领用录入（明细）'!D:D=$F$4,'领用录入（明细）'!C:C&gt;=$J$4,'领用录入（明细）'!C:C&lt;=$L$4),ROW(),"-")</f>
        <v>-</v>
      </c>
    </row>
    <row r="31907" customHeight="1" spans="2:2">
      <c r="B31907" s="62" t="str">
        <f>IF(AND('领用录入（明细）'!D:D=$F$4,'领用录入（明细）'!C:C&gt;=$J$4,'领用录入（明细）'!C:C&lt;=$L$4),ROW(),"-")</f>
        <v>-</v>
      </c>
    </row>
    <row r="31908" customHeight="1" spans="2:2">
      <c r="B31908" s="62" t="str">
        <f>IF(AND('领用录入（明细）'!D:D=$F$4,'领用录入（明细）'!C:C&gt;=$J$4,'领用录入（明细）'!C:C&lt;=$L$4),ROW(),"-")</f>
        <v>-</v>
      </c>
    </row>
    <row r="31909" customHeight="1" spans="2:2">
      <c r="B31909" s="62" t="str">
        <f>IF(AND('领用录入（明细）'!D:D=$F$4,'领用录入（明细）'!C:C&gt;=$J$4,'领用录入（明细）'!C:C&lt;=$L$4),ROW(),"-")</f>
        <v>-</v>
      </c>
    </row>
    <row r="31910" customHeight="1" spans="2:2">
      <c r="B31910" s="62" t="str">
        <f>IF(AND('领用录入（明细）'!D:D=$F$4,'领用录入（明细）'!C:C&gt;=$J$4,'领用录入（明细）'!C:C&lt;=$L$4),ROW(),"-")</f>
        <v>-</v>
      </c>
    </row>
    <row r="31911" customHeight="1" spans="2:2">
      <c r="B31911" s="62" t="str">
        <f>IF(AND('领用录入（明细）'!D:D=$F$4,'领用录入（明细）'!C:C&gt;=$J$4,'领用录入（明细）'!C:C&lt;=$L$4),ROW(),"-")</f>
        <v>-</v>
      </c>
    </row>
    <row r="31912" customHeight="1" spans="2:2">
      <c r="B31912" s="62" t="str">
        <f>IF(AND('领用录入（明细）'!D:D=$F$4,'领用录入（明细）'!C:C&gt;=$J$4,'领用录入（明细）'!C:C&lt;=$L$4),ROW(),"-")</f>
        <v>-</v>
      </c>
    </row>
    <row r="31913" customHeight="1" spans="2:2">
      <c r="B31913" s="62" t="str">
        <f>IF(AND('领用录入（明细）'!D:D=$F$4,'领用录入（明细）'!C:C&gt;=$J$4,'领用录入（明细）'!C:C&lt;=$L$4),ROW(),"-")</f>
        <v>-</v>
      </c>
    </row>
    <row r="31914" customHeight="1" spans="2:2">
      <c r="B31914" s="62" t="str">
        <f>IF(AND('领用录入（明细）'!D:D=$F$4,'领用录入（明细）'!C:C&gt;=$J$4,'领用录入（明细）'!C:C&lt;=$L$4),ROW(),"-")</f>
        <v>-</v>
      </c>
    </row>
    <row r="31915" customHeight="1" spans="2:2">
      <c r="B31915" s="62" t="str">
        <f>IF(AND('领用录入（明细）'!D:D=$F$4,'领用录入（明细）'!C:C&gt;=$J$4,'领用录入（明细）'!C:C&lt;=$L$4),ROW(),"-")</f>
        <v>-</v>
      </c>
    </row>
    <row r="31916" customHeight="1" spans="2:2">
      <c r="B31916" s="62" t="str">
        <f>IF(AND('领用录入（明细）'!D:D=$F$4,'领用录入（明细）'!C:C&gt;=$J$4,'领用录入（明细）'!C:C&lt;=$L$4),ROW(),"-")</f>
        <v>-</v>
      </c>
    </row>
    <row r="31917" customHeight="1" spans="2:2">
      <c r="B31917" s="62" t="str">
        <f>IF(AND('领用录入（明细）'!D:D=$F$4,'领用录入（明细）'!C:C&gt;=$J$4,'领用录入（明细）'!C:C&lt;=$L$4),ROW(),"-")</f>
        <v>-</v>
      </c>
    </row>
    <row r="31918" customHeight="1" spans="2:2">
      <c r="B31918" s="62" t="str">
        <f>IF(AND('领用录入（明细）'!D:D=$F$4,'领用录入（明细）'!C:C&gt;=$J$4,'领用录入（明细）'!C:C&lt;=$L$4),ROW(),"-")</f>
        <v>-</v>
      </c>
    </row>
    <row r="31919" customHeight="1" spans="2:2">
      <c r="B31919" s="62" t="str">
        <f>IF(AND('领用录入（明细）'!D:D=$F$4,'领用录入（明细）'!C:C&gt;=$J$4,'领用录入（明细）'!C:C&lt;=$L$4),ROW(),"-")</f>
        <v>-</v>
      </c>
    </row>
    <row r="31920" customHeight="1" spans="2:2">
      <c r="B31920" s="62" t="str">
        <f>IF(AND('领用录入（明细）'!D:D=$F$4,'领用录入（明细）'!C:C&gt;=$J$4,'领用录入（明细）'!C:C&lt;=$L$4),ROW(),"-")</f>
        <v>-</v>
      </c>
    </row>
    <row r="31921" customHeight="1" spans="2:2">
      <c r="B31921" s="62" t="str">
        <f>IF(AND('领用录入（明细）'!D:D=$F$4,'领用录入（明细）'!C:C&gt;=$J$4,'领用录入（明细）'!C:C&lt;=$L$4),ROW(),"-")</f>
        <v>-</v>
      </c>
    </row>
    <row r="31922" customHeight="1" spans="2:2">
      <c r="B31922" s="62" t="str">
        <f>IF(AND('领用录入（明细）'!D:D=$F$4,'领用录入（明细）'!C:C&gt;=$J$4,'领用录入（明细）'!C:C&lt;=$L$4),ROW(),"-")</f>
        <v>-</v>
      </c>
    </row>
    <row r="31923" customHeight="1" spans="2:2">
      <c r="B31923" s="62" t="str">
        <f>IF(AND('领用录入（明细）'!D:D=$F$4,'领用录入（明细）'!C:C&gt;=$J$4,'领用录入（明细）'!C:C&lt;=$L$4),ROW(),"-")</f>
        <v>-</v>
      </c>
    </row>
    <row r="31924" customHeight="1" spans="2:2">
      <c r="B31924" s="62" t="str">
        <f>IF(AND('领用录入（明细）'!D:D=$F$4,'领用录入（明细）'!C:C&gt;=$J$4,'领用录入（明细）'!C:C&lt;=$L$4),ROW(),"-")</f>
        <v>-</v>
      </c>
    </row>
    <row r="31925" customHeight="1" spans="2:2">
      <c r="B31925" s="62" t="str">
        <f>IF(AND('领用录入（明细）'!D:D=$F$4,'领用录入（明细）'!C:C&gt;=$J$4,'领用录入（明细）'!C:C&lt;=$L$4),ROW(),"-")</f>
        <v>-</v>
      </c>
    </row>
    <row r="31926" customHeight="1" spans="2:2">
      <c r="B31926" s="62" t="str">
        <f>IF(AND('领用录入（明细）'!D:D=$F$4,'领用录入（明细）'!C:C&gt;=$J$4,'领用录入（明细）'!C:C&lt;=$L$4),ROW(),"-")</f>
        <v>-</v>
      </c>
    </row>
    <row r="31927" customHeight="1" spans="2:2">
      <c r="B31927" s="62" t="str">
        <f>IF(AND('领用录入（明细）'!D:D=$F$4,'领用录入（明细）'!C:C&gt;=$J$4,'领用录入（明细）'!C:C&lt;=$L$4),ROW(),"-")</f>
        <v>-</v>
      </c>
    </row>
    <row r="31928" customHeight="1" spans="2:2">
      <c r="B31928" s="62" t="str">
        <f>IF(AND('领用录入（明细）'!D:D=$F$4,'领用录入（明细）'!C:C&gt;=$J$4,'领用录入（明细）'!C:C&lt;=$L$4),ROW(),"-")</f>
        <v>-</v>
      </c>
    </row>
    <row r="31929" customHeight="1" spans="2:2">
      <c r="B31929" s="62" t="str">
        <f>IF(AND('领用录入（明细）'!D:D=$F$4,'领用录入（明细）'!C:C&gt;=$J$4,'领用录入（明细）'!C:C&lt;=$L$4),ROW(),"-")</f>
        <v>-</v>
      </c>
    </row>
    <row r="31930" customHeight="1" spans="2:2">
      <c r="B31930" s="62" t="str">
        <f>IF(AND('领用录入（明细）'!D:D=$F$4,'领用录入（明细）'!C:C&gt;=$J$4,'领用录入（明细）'!C:C&lt;=$L$4),ROW(),"-")</f>
        <v>-</v>
      </c>
    </row>
    <row r="31931" customHeight="1" spans="2:2">
      <c r="B31931" s="62" t="str">
        <f>IF(AND('领用录入（明细）'!D:D=$F$4,'领用录入（明细）'!C:C&gt;=$J$4,'领用录入（明细）'!C:C&lt;=$L$4),ROW(),"-")</f>
        <v>-</v>
      </c>
    </row>
    <row r="31932" customHeight="1" spans="2:2">
      <c r="B31932" s="62" t="str">
        <f>IF(AND('领用录入（明细）'!D:D=$F$4,'领用录入（明细）'!C:C&gt;=$J$4,'领用录入（明细）'!C:C&lt;=$L$4),ROW(),"-")</f>
        <v>-</v>
      </c>
    </row>
    <row r="31933" customHeight="1" spans="2:2">
      <c r="B31933" s="62" t="str">
        <f>IF(AND('领用录入（明细）'!D:D=$F$4,'领用录入（明细）'!C:C&gt;=$J$4,'领用录入（明细）'!C:C&lt;=$L$4),ROW(),"-")</f>
        <v>-</v>
      </c>
    </row>
    <row r="31934" customHeight="1" spans="2:2">
      <c r="B31934" s="62" t="str">
        <f>IF(AND('领用录入（明细）'!D:D=$F$4,'领用录入（明细）'!C:C&gt;=$J$4,'领用录入（明细）'!C:C&lt;=$L$4),ROW(),"-")</f>
        <v>-</v>
      </c>
    </row>
    <row r="31935" customHeight="1" spans="2:2">
      <c r="B31935" s="62" t="str">
        <f>IF(AND('领用录入（明细）'!D:D=$F$4,'领用录入（明细）'!C:C&gt;=$J$4,'领用录入（明细）'!C:C&lt;=$L$4),ROW(),"-")</f>
        <v>-</v>
      </c>
    </row>
    <row r="31936" customHeight="1" spans="2:2">
      <c r="B31936" s="62" t="str">
        <f>IF(AND('领用录入（明细）'!D:D=$F$4,'领用录入（明细）'!C:C&gt;=$J$4,'领用录入（明细）'!C:C&lt;=$L$4),ROW(),"-")</f>
        <v>-</v>
      </c>
    </row>
    <row r="31937" customHeight="1" spans="2:2">
      <c r="B31937" s="62" t="str">
        <f>IF(AND('领用录入（明细）'!D:D=$F$4,'领用录入（明细）'!C:C&gt;=$J$4,'领用录入（明细）'!C:C&lt;=$L$4),ROW(),"-")</f>
        <v>-</v>
      </c>
    </row>
    <row r="31938" customHeight="1" spans="2:2">
      <c r="B31938" s="62" t="str">
        <f>IF(AND('领用录入（明细）'!D:D=$F$4,'领用录入（明细）'!C:C&gt;=$J$4,'领用录入（明细）'!C:C&lt;=$L$4),ROW(),"-")</f>
        <v>-</v>
      </c>
    </row>
    <row r="31939" customHeight="1" spans="2:2">
      <c r="B31939" s="62" t="str">
        <f>IF(AND('领用录入（明细）'!D:D=$F$4,'领用录入（明细）'!C:C&gt;=$J$4,'领用录入（明细）'!C:C&lt;=$L$4),ROW(),"-")</f>
        <v>-</v>
      </c>
    </row>
    <row r="31940" customHeight="1" spans="2:2">
      <c r="B31940" s="62" t="str">
        <f>IF(AND('领用录入（明细）'!D:D=$F$4,'领用录入（明细）'!C:C&gt;=$J$4,'领用录入（明细）'!C:C&lt;=$L$4),ROW(),"-")</f>
        <v>-</v>
      </c>
    </row>
    <row r="31941" customHeight="1" spans="2:2">
      <c r="B31941" s="62" t="str">
        <f>IF(AND('领用录入（明细）'!D:D=$F$4,'领用录入（明细）'!C:C&gt;=$J$4,'领用录入（明细）'!C:C&lt;=$L$4),ROW(),"-")</f>
        <v>-</v>
      </c>
    </row>
    <row r="31942" customHeight="1" spans="2:2">
      <c r="B31942" s="62" t="str">
        <f>IF(AND('领用录入（明细）'!D:D=$F$4,'领用录入（明细）'!C:C&gt;=$J$4,'领用录入（明细）'!C:C&lt;=$L$4),ROW(),"-")</f>
        <v>-</v>
      </c>
    </row>
    <row r="31943" customHeight="1" spans="2:2">
      <c r="B31943" s="62" t="str">
        <f>IF(AND('领用录入（明细）'!D:D=$F$4,'领用录入（明细）'!C:C&gt;=$J$4,'领用录入（明细）'!C:C&lt;=$L$4),ROW(),"-")</f>
        <v>-</v>
      </c>
    </row>
    <row r="31944" customHeight="1" spans="2:2">
      <c r="B31944" s="62" t="str">
        <f>IF(AND('领用录入（明细）'!D:D=$F$4,'领用录入（明细）'!C:C&gt;=$J$4,'领用录入（明细）'!C:C&lt;=$L$4),ROW(),"-")</f>
        <v>-</v>
      </c>
    </row>
    <row r="31945" customHeight="1" spans="2:2">
      <c r="B31945" s="62" t="str">
        <f>IF(AND('领用录入（明细）'!D:D=$F$4,'领用录入（明细）'!C:C&gt;=$J$4,'领用录入（明细）'!C:C&lt;=$L$4),ROW(),"-")</f>
        <v>-</v>
      </c>
    </row>
    <row r="31946" customHeight="1" spans="2:2">
      <c r="B31946" s="62" t="str">
        <f>IF(AND('领用录入（明细）'!D:D=$F$4,'领用录入（明细）'!C:C&gt;=$J$4,'领用录入（明细）'!C:C&lt;=$L$4),ROW(),"-")</f>
        <v>-</v>
      </c>
    </row>
    <row r="31947" customHeight="1" spans="2:2">
      <c r="B31947" s="62" t="str">
        <f>IF(AND('领用录入（明细）'!D:D=$F$4,'领用录入（明细）'!C:C&gt;=$J$4,'领用录入（明细）'!C:C&lt;=$L$4),ROW(),"-")</f>
        <v>-</v>
      </c>
    </row>
    <row r="31948" customHeight="1" spans="2:2">
      <c r="B31948" s="62" t="str">
        <f>IF(AND('领用录入（明细）'!D:D=$F$4,'领用录入（明细）'!C:C&gt;=$J$4,'领用录入（明细）'!C:C&lt;=$L$4),ROW(),"-")</f>
        <v>-</v>
      </c>
    </row>
    <row r="31949" customHeight="1" spans="2:2">
      <c r="B31949" s="62" t="str">
        <f>IF(AND('领用录入（明细）'!D:D=$F$4,'领用录入（明细）'!C:C&gt;=$J$4,'领用录入（明细）'!C:C&lt;=$L$4),ROW(),"-")</f>
        <v>-</v>
      </c>
    </row>
    <row r="31950" customHeight="1" spans="2:2">
      <c r="B31950" s="62" t="str">
        <f>IF(AND('领用录入（明细）'!D:D=$F$4,'领用录入（明细）'!C:C&gt;=$J$4,'领用录入（明细）'!C:C&lt;=$L$4),ROW(),"-")</f>
        <v>-</v>
      </c>
    </row>
    <row r="31951" customHeight="1" spans="2:2">
      <c r="B31951" s="62" t="str">
        <f>IF(AND('领用录入（明细）'!D:D=$F$4,'领用录入（明细）'!C:C&gt;=$J$4,'领用录入（明细）'!C:C&lt;=$L$4),ROW(),"-")</f>
        <v>-</v>
      </c>
    </row>
    <row r="31952" customHeight="1" spans="2:2">
      <c r="B31952" s="62" t="str">
        <f>IF(AND('领用录入（明细）'!D:D=$F$4,'领用录入（明细）'!C:C&gt;=$J$4,'领用录入（明细）'!C:C&lt;=$L$4),ROW(),"-")</f>
        <v>-</v>
      </c>
    </row>
    <row r="31953" customHeight="1" spans="2:2">
      <c r="B31953" s="62" t="str">
        <f>IF(AND('领用录入（明细）'!D:D=$F$4,'领用录入（明细）'!C:C&gt;=$J$4,'领用录入（明细）'!C:C&lt;=$L$4),ROW(),"-")</f>
        <v>-</v>
      </c>
    </row>
    <row r="31954" customHeight="1" spans="2:2">
      <c r="B31954" s="62" t="str">
        <f>IF(AND('领用录入（明细）'!D:D=$F$4,'领用录入（明细）'!C:C&gt;=$J$4,'领用录入（明细）'!C:C&lt;=$L$4),ROW(),"-")</f>
        <v>-</v>
      </c>
    </row>
    <row r="31955" customHeight="1" spans="2:2">
      <c r="B31955" s="62" t="str">
        <f>IF(AND('领用录入（明细）'!D:D=$F$4,'领用录入（明细）'!C:C&gt;=$J$4,'领用录入（明细）'!C:C&lt;=$L$4),ROW(),"-")</f>
        <v>-</v>
      </c>
    </row>
    <row r="31956" customHeight="1" spans="2:2">
      <c r="B31956" s="62" t="str">
        <f>IF(AND('领用录入（明细）'!D:D=$F$4,'领用录入（明细）'!C:C&gt;=$J$4,'领用录入（明细）'!C:C&lt;=$L$4),ROW(),"-")</f>
        <v>-</v>
      </c>
    </row>
    <row r="31957" customHeight="1" spans="2:2">
      <c r="B31957" s="62" t="str">
        <f>IF(AND('领用录入（明细）'!D:D=$F$4,'领用录入（明细）'!C:C&gt;=$J$4,'领用录入（明细）'!C:C&lt;=$L$4),ROW(),"-")</f>
        <v>-</v>
      </c>
    </row>
    <row r="31958" customHeight="1" spans="2:2">
      <c r="B31958" s="62" t="str">
        <f>IF(AND('领用录入（明细）'!D:D=$F$4,'领用录入（明细）'!C:C&gt;=$J$4,'领用录入（明细）'!C:C&lt;=$L$4),ROW(),"-")</f>
        <v>-</v>
      </c>
    </row>
    <row r="31959" customHeight="1" spans="2:2">
      <c r="B31959" s="62" t="str">
        <f>IF(AND('领用录入（明细）'!D:D=$F$4,'领用录入（明细）'!C:C&gt;=$J$4,'领用录入（明细）'!C:C&lt;=$L$4),ROW(),"-")</f>
        <v>-</v>
      </c>
    </row>
    <row r="31960" customHeight="1" spans="2:2">
      <c r="B31960" s="62" t="str">
        <f>IF(AND('领用录入（明细）'!D:D=$F$4,'领用录入（明细）'!C:C&gt;=$J$4,'领用录入（明细）'!C:C&lt;=$L$4),ROW(),"-")</f>
        <v>-</v>
      </c>
    </row>
    <row r="31961" customHeight="1" spans="2:2">
      <c r="B31961" s="62" t="str">
        <f>IF(AND('领用录入（明细）'!D:D=$F$4,'领用录入（明细）'!C:C&gt;=$J$4,'领用录入（明细）'!C:C&lt;=$L$4),ROW(),"-")</f>
        <v>-</v>
      </c>
    </row>
    <row r="31962" customHeight="1" spans="2:2">
      <c r="B31962" s="62" t="str">
        <f>IF(AND('领用录入（明细）'!D:D=$F$4,'领用录入（明细）'!C:C&gt;=$J$4,'领用录入（明细）'!C:C&lt;=$L$4),ROW(),"-")</f>
        <v>-</v>
      </c>
    </row>
    <row r="31963" customHeight="1" spans="2:2">
      <c r="B31963" s="62" t="str">
        <f>IF(AND('领用录入（明细）'!D:D=$F$4,'领用录入（明细）'!C:C&gt;=$J$4,'领用录入（明细）'!C:C&lt;=$L$4),ROW(),"-")</f>
        <v>-</v>
      </c>
    </row>
    <row r="31964" customHeight="1" spans="2:2">
      <c r="B31964" s="62" t="str">
        <f>IF(AND('领用录入（明细）'!D:D=$F$4,'领用录入（明细）'!C:C&gt;=$J$4,'领用录入（明细）'!C:C&lt;=$L$4),ROW(),"-")</f>
        <v>-</v>
      </c>
    </row>
    <row r="31965" customHeight="1" spans="2:2">
      <c r="B31965" s="62" t="str">
        <f>IF(AND('领用录入（明细）'!D:D=$F$4,'领用录入（明细）'!C:C&gt;=$J$4,'领用录入（明细）'!C:C&lt;=$L$4),ROW(),"-")</f>
        <v>-</v>
      </c>
    </row>
    <row r="31966" customHeight="1" spans="2:2">
      <c r="B31966" s="62" t="str">
        <f>IF(AND('领用录入（明细）'!D:D=$F$4,'领用录入（明细）'!C:C&gt;=$J$4,'领用录入（明细）'!C:C&lt;=$L$4),ROW(),"-")</f>
        <v>-</v>
      </c>
    </row>
    <row r="31967" customHeight="1" spans="2:2">
      <c r="B31967" s="62" t="str">
        <f>IF(AND('领用录入（明细）'!D:D=$F$4,'领用录入（明细）'!C:C&gt;=$J$4,'领用录入（明细）'!C:C&lt;=$L$4),ROW(),"-")</f>
        <v>-</v>
      </c>
    </row>
    <row r="31968" customHeight="1" spans="2:2">
      <c r="B31968" s="62" t="str">
        <f>IF(AND('领用录入（明细）'!D:D=$F$4,'领用录入（明细）'!C:C&gt;=$J$4,'领用录入（明细）'!C:C&lt;=$L$4),ROW(),"-")</f>
        <v>-</v>
      </c>
    </row>
    <row r="31969" customHeight="1" spans="2:2">
      <c r="B31969" s="62" t="str">
        <f>IF(AND('领用录入（明细）'!D:D=$F$4,'领用录入（明细）'!C:C&gt;=$J$4,'领用录入（明细）'!C:C&lt;=$L$4),ROW(),"-")</f>
        <v>-</v>
      </c>
    </row>
    <row r="31970" customHeight="1" spans="2:2">
      <c r="B31970" s="62" t="str">
        <f>IF(AND('领用录入（明细）'!D:D=$F$4,'领用录入（明细）'!C:C&gt;=$J$4,'领用录入（明细）'!C:C&lt;=$L$4),ROW(),"-")</f>
        <v>-</v>
      </c>
    </row>
    <row r="31971" customHeight="1" spans="2:2">
      <c r="B31971" s="62" t="str">
        <f>IF(AND('领用录入（明细）'!D:D=$F$4,'领用录入（明细）'!C:C&gt;=$J$4,'领用录入（明细）'!C:C&lt;=$L$4),ROW(),"-")</f>
        <v>-</v>
      </c>
    </row>
    <row r="31972" customHeight="1" spans="2:2">
      <c r="B31972" s="62" t="str">
        <f>IF(AND('领用录入（明细）'!D:D=$F$4,'领用录入（明细）'!C:C&gt;=$J$4,'领用录入（明细）'!C:C&lt;=$L$4),ROW(),"-")</f>
        <v>-</v>
      </c>
    </row>
    <row r="31973" customHeight="1" spans="2:2">
      <c r="B31973" s="62" t="str">
        <f>IF(AND('领用录入（明细）'!D:D=$F$4,'领用录入（明细）'!C:C&gt;=$J$4,'领用录入（明细）'!C:C&lt;=$L$4),ROW(),"-")</f>
        <v>-</v>
      </c>
    </row>
    <row r="31974" customHeight="1" spans="2:2">
      <c r="B31974" s="62" t="str">
        <f>IF(AND('领用录入（明细）'!D:D=$F$4,'领用录入（明细）'!C:C&gt;=$J$4,'领用录入（明细）'!C:C&lt;=$L$4),ROW(),"-")</f>
        <v>-</v>
      </c>
    </row>
    <row r="31975" customHeight="1" spans="2:2">
      <c r="B31975" s="62" t="str">
        <f>IF(AND('领用录入（明细）'!D:D=$F$4,'领用录入（明细）'!C:C&gt;=$J$4,'领用录入（明细）'!C:C&lt;=$L$4),ROW(),"-")</f>
        <v>-</v>
      </c>
    </row>
    <row r="31976" customHeight="1" spans="2:2">
      <c r="B31976" s="62" t="str">
        <f>IF(AND('领用录入（明细）'!D:D=$F$4,'领用录入（明细）'!C:C&gt;=$J$4,'领用录入（明细）'!C:C&lt;=$L$4),ROW(),"-")</f>
        <v>-</v>
      </c>
    </row>
    <row r="31977" customHeight="1" spans="2:2">
      <c r="B31977" s="62" t="str">
        <f>IF(AND('领用录入（明细）'!D:D=$F$4,'领用录入（明细）'!C:C&gt;=$J$4,'领用录入（明细）'!C:C&lt;=$L$4),ROW(),"-")</f>
        <v>-</v>
      </c>
    </row>
    <row r="31978" customHeight="1" spans="2:2">
      <c r="B31978" s="62" t="str">
        <f>IF(AND('领用录入（明细）'!D:D=$F$4,'领用录入（明细）'!C:C&gt;=$J$4,'领用录入（明细）'!C:C&lt;=$L$4),ROW(),"-")</f>
        <v>-</v>
      </c>
    </row>
    <row r="31979" customHeight="1" spans="2:2">
      <c r="B31979" s="62" t="str">
        <f>IF(AND('领用录入（明细）'!D:D=$F$4,'领用录入（明细）'!C:C&gt;=$J$4,'领用录入（明细）'!C:C&lt;=$L$4),ROW(),"-")</f>
        <v>-</v>
      </c>
    </row>
    <row r="31980" customHeight="1" spans="2:2">
      <c r="B31980" s="62" t="str">
        <f>IF(AND('领用录入（明细）'!D:D=$F$4,'领用录入（明细）'!C:C&gt;=$J$4,'领用录入（明细）'!C:C&lt;=$L$4),ROW(),"-")</f>
        <v>-</v>
      </c>
    </row>
    <row r="31981" customHeight="1" spans="2:2">
      <c r="B31981" s="62" t="str">
        <f>IF(AND('领用录入（明细）'!D:D=$F$4,'领用录入（明细）'!C:C&gt;=$J$4,'领用录入（明细）'!C:C&lt;=$L$4),ROW(),"-")</f>
        <v>-</v>
      </c>
    </row>
    <row r="31982" customHeight="1" spans="2:2">
      <c r="B31982" s="62" t="str">
        <f>IF(AND('领用录入（明细）'!D:D=$F$4,'领用录入（明细）'!C:C&gt;=$J$4,'领用录入（明细）'!C:C&lt;=$L$4),ROW(),"-")</f>
        <v>-</v>
      </c>
    </row>
    <row r="31983" customHeight="1" spans="2:2">
      <c r="B31983" s="62" t="str">
        <f>IF(AND('领用录入（明细）'!D:D=$F$4,'领用录入（明细）'!C:C&gt;=$J$4,'领用录入（明细）'!C:C&lt;=$L$4),ROW(),"-")</f>
        <v>-</v>
      </c>
    </row>
    <row r="31984" customHeight="1" spans="2:2">
      <c r="B31984" s="62" t="str">
        <f>IF(AND('领用录入（明细）'!D:D=$F$4,'领用录入（明细）'!C:C&gt;=$J$4,'领用录入（明细）'!C:C&lt;=$L$4),ROW(),"-")</f>
        <v>-</v>
      </c>
    </row>
    <row r="31985" customHeight="1" spans="2:2">
      <c r="B31985" s="62" t="str">
        <f>IF(AND('领用录入（明细）'!D:D=$F$4,'领用录入（明细）'!C:C&gt;=$J$4,'领用录入（明细）'!C:C&lt;=$L$4),ROW(),"-")</f>
        <v>-</v>
      </c>
    </row>
    <row r="31986" customHeight="1" spans="2:2">
      <c r="B31986" s="62" t="str">
        <f>IF(AND('领用录入（明细）'!D:D=$F$4,'领用录入（明细）'!C:C&gt;=$J$4,'领用录入（明细）'!C:C&lt;=$L$4),ROW(),"-")</f>
        <v>-</v>
      </c>
    </row>
    <row r="31987" customHeight="1" spans="2:2">
      <c r="B31987" s="62" t="str">
        <f>IF(AND('领用录入（明细）'!D:D=$F$4,'领用录入（明细）'!C:C&gt;=$J$4,'领用录入（明细）'!C:C&lt;=$L$4),ROW(),"-")</f>
        <v>-</v>
      </c>
    </row>
    <row r="31988" customHeight="1" spans="2:2">
      <c r="B31988" s="62" t="str">
        <f>IF(AND('领用录入（明细）'!D:D=$F$4,'领用录入（明细）'!C:C&gt;=$J$4,'领用录入（明细）'!C:C&lt;=$L$4),ROW(),"-")</f>
        <v>-</v>
      </c>
    </row>
    <row r="31989" customHeight="1" spans="2:2">
      <c r="B31989" s="62" t="str">
        <f>IF(AND('领用录入（明细）'!D:D=$F$4,'领用录入（明细）'!C:C&gt;=$J$4,'领用录入（明细）'!C:C&lt;=$L$4),ROW(),"-")</f>
        <v>-</v>
      </c>
    </row>
    <row r="31990" customHeight="1" spans="2:2">
      <c r="B31990" s="62" t="str">
        <f>IF(AND('领用录入（明细）'!D:D=$F$4,'领用录入（明细）'!C:C&gt;=$J$4,'领用录入（明细）'!C:C&lt;=$L$4),ROW(),"-")</f>
        <v>-</v>
      </c>
    </row>
    <row r="31991" customHeight="1" spans="2:2">
      <c r="B31991" s="62" t="str">
        <f>IF(AND('领用录入（明细）'!D:D=$F$4,'领用录入（明细）'!C:C&gt;=$J$4,'领用录入（明细）'!C:C&lt;=$L$4),ROW(),"-")</f>
        <v>-</v>
      </c>
    </row>
    <row r="31992" customHeight="1" spans="2:2">
      <c r="B31992" s="62" t="str">
        <f>IF(AND('领用录入（明细）'!D:D=$F$4,'领用录入（明细）'!C:C&gt;=$J$4,'领用录入（明细）'!C:C&lt;=$L$4),ROW(),"-")</f>
        <v>-</v>
      </c>
    </row>
    <row r="31993" customHeight="1" spans="2:2">
      <c r="B31993" s="62" t="str">
        <f>IF(AND('领用录入（明细）'!D:D=$F$4,'领用录入（明细）'!C:C&gt;=$J$4,'领用录入（明细）'!C:C&lt;=$L$4),ROW(),"-")</f>
        <v>-</v>
      </c>
    </row>
    <row r="31994" customHeight="1" spans="2:2">
      <c r="B31994" s="62" t="str">
        <f>IF(AND('领用录入（明细）'!D:D=$F$4,'领用录入（明细）'!C:C&gt;=$J$4,'领用录入（明细）'!C:C&lt;=$L$4),ROW(),"-")</f>
        <v>-</v>
      </c>
    </row>
    <row r="31995" customHeight="1" spans="2:2">
      <c r="B31995" s="62" t="str">
        <f>IF(AND('领用录入（明细）'!D:D=$F$4,'领用录入（明细）'!C:C&gt;=$J$4,'领用录入（明细）'!C:C&lt;=$L$4),ROW(),"-")</f>
        <v>-</v>
      </c>
    </row>
    <row r="31996" customHeight="1" spans="2:2">
      <c r="B31996" s="62" t="str">
        <f>IF(AND('领用录入（明细）'!D:D=$F$4,'领用录入（明细）'!C:C&gt;=$J$4,'领用录入（明细）'!C:C&lt;=$L$4),ROW(),"-")</f>
        <v>-</v>
      </c>
    </row>
    <row r="31997" customHeight="1" spans="2:2">
      <c r="B31997" s="62" t="str">
        <f>IF(AND('领用录入（明细）'!D:D=$F$4,'领用录入（明细）'!C:C&gt;=$J$4,'领用录入（明细）'!C:C&lt;=$L$4),ROW(),"-")</f>
        <v>-</v>
      </c>
    </row>
    <row r="31998" customHeight="1" spans="2:2">
      <c r="B31998" s="62" t="str">
        <f>IF(AND('领用录入（明细）'!D:D=$F$4,'领用录入（明细）'!C:C&gt;=$J$4,'领用录入（明细）'!C:C&lt;=$L$4),ROW(),"-")</f>
        <v>-</v>
      </c>
    </row>
    <row r="31999" customHeight="1" spans="2:2">
      <c r="B31999" s="62" t="str">
        <f>IF(AND('领用录入（明细）'!D:D=$F$4,'领用录入（明细）'!C:C&gt;=$J$4,'领用录入（明细）'!C:C&lt;=$L$4),ROW(),"-")</f>
        <v>-</v>
      </c>
    </row>
    <row r="32000" customHeight="1" spans="2:2">
      <c r="B32000" s="62" t="str">
        <f>IF(AND('领用录入（明细）'!D:D=$F$4,'领用录入（明细）'!C:C&gt;=$J$4,'领用录入（明细）'!C:C&lt;=$L$4),ROW(),"-")</f>
        <v>-</v>
      </c>
    </row>
    <row r="32001" customHeight="1" spans="2:2">
      <c r="B32001" s="62" t="str">
        <f>IF(AND('领用录入（明细）'!D:D=$F$4,'领用录入（明细）'!C:C&gt;=$J$4,'领用录入（明细）'!C:C&lt;=$L$4),ROW(),"-")</f>
        <v>-</v>
      </c>
    </row>
    <row r="32002" customHeight="1" spans="2:2">
      <c r="B32002" s="62" t="str">
        <f>IF(AND('领用录入（明细）'!D:D=$F$4,'领用录入（明细）'!C:C&gt;=$J$4,'领用录入（明细）'!C:C&lt;=$L$4),ROW(),"-")</f>
        <v>-</v>
      </c>
    </row>
    <row r="32003" customHeight="1" spans="2:2">
      <c r="B32003" s="62" t="str">
        <f>IF(AND('领用录入（明细）'!D:D=$F$4,'领用录入（明细）'!C:C&gt;=$J$4,'领用录入（明细）'!C:C&lt;=$L$4),ROW(),"-")</f>
        <v>-</v>
      </c>
    </row>
    <row r="32004" customHeight="1" spans="2:2">
      <c r="B32004" s="62" t="str">
        <f>IF(AND('领用录入（明细）'!D:D=$F$4,'领用录入（明细）'!C:C&gt;=$J$4,'领用录入（明细）'!C:C&lt;=$L$4),ROW(),"-")</f>
        <v>-</v>
      </c>
    </row>
    <row r="32005" customHeight="1" spans="2:2">
      <c r="B32005" s="62" t="str">
        <f>IF(AND('领用录入（明细）'!D:D=$F$4,'领用录入（明细）'!C:C&gt;=$J$4,'领用录入（明细）'!C:C&lt;=$L$4),ROW(),"-")</f>
        <v>-</v>
      </c>
    </row>
    <row r="32006" customHeight="1" spans="2:2">
      <c r="B32006" s="62" t="str">
        <f>IF(AND('领用录入（明细）'!D:D=$F$4,'领用录入（明细）'!C:C&gt;=$J$4,'领用录入（明细）'!C:C&lt;=$L$4),ROW(),"-")</f>
        <v>-</v>
      </c>
    </row>
    <row r="32007" customHeight="1" spans="2:2">
      <c r="B32007" s="62" t="str">
        <f>IF(AND('领用录入（明细）'!D:D=$F$4,'领用录入（明细）'!C:C&gt;=$J$4,'领用录入（明细）'!C:C&lt;=$L$4),ROW(),"-")</f>
        <v>-</v>
      </c>
    </row>
    <row r="32008" customHeight="1" spans="2:2">
      <c r="B32008" s="62" t="str">
        <f>IF(AND('领用录入（明细）'!D:D=$F$4,'领用录入（明细）'!C:C&gt;=$J$4,'领用录入（明细）'!C:C&lt;=$L$4),ROW(),"-")</f>
        <v>-</v>
      </c>
    </row>
    <row r="32009" customHeight="1" spans="2:2">
      <c r="B32009" s="62" t="str">
        <f>IF(AND('领用录入（明细）'!D:D=$F$4,'领用录入（明细）'!C:C&gt;=$J$4,'领用录入（明细）'!C:C&lt;=$L$4),ROW(),"-")</f>
        <v>-</v>
      </c>
    </row>
    <row r="32010" customHeight="1" spans="2:2">
      <c r="B32010" s="62" t="str">
        <f>IF(AND('领用录入（明细）'!D:D=$F$4,'领用录入（明细）'!C:C&gt;=$J$4,'领用录入（明细）'!C:C&lt;=$L$4),ROW(),"-")</f>
        <v>-</v>
      </c>
    </row>
    <row r="32011" customHeight="1" spans="2:2">
      <c r="B32011" s="62" t="str">
        <f>IF(AND('领用录入（明细）'!D:D=$F$4,'领用录入（明细）'!C:C&gt;=$J$4,'领用录入（明细）'!C:C&lt;=$L$4),ROW(),"-")</f>
        <v>-</v>
      </c>
    </row>
    <row r="32012" customHeight="1" spans="2:2">
      <c r="B32012" s="62" t="str">
        <f>IF(AND('领用录入（明细）'!D:D=$F$4,'领用录入（明细）'!C:C&gt;=$J$4,'领用录入（明细）'!C:C&lt;=$L$4),ROW(),"-")</f>
        <v>-</v>
      </c>
    </row>
    <row r="32013" customHeight="1" spans="2:2">
      <c r="B32013" s="62" t="str">
        <f>IF(AND('领用录入（明细）'!D:D=$F$4,'领用录入（明细）'!C:C&gt;=$J$4,'领用录入（明细）'!C:C&lt;=$L$4),ROW(),"-")</f>
        <v>-</v>
      </c>
    </row>
    <row r="32014" customHeight="1" spans="2:2">
      <c r="B32014" s="62" t="str">
        <f>IF(AND('领用录入（明细）'!D:D=$F$4,'领用录入（明细）'!C:C&gt;=$J$4,'领用录入（明细）'!C:C&lt;=$L$4),ROW(),"-")</f>
        <v>-</v>
      </c>
    </row>
    <row r="32015" customHeight="1" spans="2:2">
      <c r="B32015" s="62" t="str">
        <f>IF(AND('领用录入（明细）'!D:D=$F$4,'领用录入（明细）'!C:C&gt;=$J$4,'领用录入（明细）'!C:C&lt;=$L$4),ROW(),"-")</f>
        <v>-</v>
      </c>
    </row>
    <row r="32016" customHeight="1" spans="2:2">
      <c r="B32016" s="62" t="str">
        <f>IF(AND('领用录入（明细）'!D:D=$F$4,'领用录入（明细）'!C:C&gt;=$J$4,'领用录入（明细）'!C:C&lt;=$L$4),ROW(),"-")</f>
        <v>-</v>
      </c>
    </row>
    <row r="32017" customHeight="1" spans="2:2">
      <c r="B32017" s="62" t="str">
        <f>IF(AND('领用录入（明细）'!D:D=$F$4,'领用录入（明细）'!C:C&gt;=$J$4,'领用录入（明细）'!C:C&lt;=$L$4),ROW(),"-")</f>
        <v>-</v>
      </c>
    </row>
    <row r="32018" customHeight="1" spans="2:2">
      <c r="B32018" s="62" t="str">
        <f>IF(AND('领用录入（明细）'!D:D=$F$4,'领用录入（明细）'!C:C&gt;=$J$4,'领用录入（明细）'!C:C&lt;=$L$4),ROW(),"-")</f>
        <v>-</v>
      </c>
    </row>
    <row r="32019" customHeight="1" spans="2:2">
      <c r="B32019" s="62" t="str">
        <f>IF(AND('领用录入（明细）'!D:D=$F$4,'领用录入（明细）'!C:C&gt;=$J$4,'领用录入（明细）'!C:C&lt;=$L$4),ROW(),"-")</f>
        <v>-</v>
      </c>
    </row>
    <row r="32020" customHeight="1" spans="2:2">
      <c r="B32020" s="62" t="str">
        <f>IF(AND('领用录入（明细）'!D:D=$F$4,'领用录入（明细）'!C:C&gt;=$J$4,'领用录入（明细）'!C:C&lt;=$L$4),ROW(),"-")</f>
        <v>-</v>
      </c>
    </row>
    <row r="32021" customHeight="1" spans="2:2">
      <c r="B32021" s="62" t="str">
        <f>IF(AND('领用录入（明细）'!D:D=$F$4,'领用录入（明细）'!C:C&gt;=$J$4,'领用录入（明细）'!C:C&lt;=$L$4),ROW(),"-")</f>
        <v>-</v>
      </c>
    </row>
    <row r="32022" customHeight="1" spans="2:2">
      <c r="B32022" s="62" t="str">
        <f>IF(AND('领用录入（明细）'!D:D=$F$4,'领用录入（明细）'!C:C&gt;=$J$4,'领用录入（明细）'!C:C&lt;=$L$4),ROW(),"-")</f>
        <v>-</v>
      </c>
    </row>
    <row r="32023" customHeight="1" spans="2:2">
      <c r="B32023" s="62" t="str">
        <f>IF(AND('领用录入（明细）'!D:D=$F$4,'领用录入（明细）'!C:C&gt;=$J$4,'领用录入（明细）'!C:C&lt;=$L$4),ROW(),"-")</f>
        <v>-</v>
      </c>
    </row>
    <row r="32024" customHeight="1" spans="2:2">
      <c r="B32024" s="62" t="str">
        <f>IF(AND('领用录入（明细）'!D:D=$F$4,'领用录入（明细）'!C:C&gt;=$J$4,'领用录入（明细）'!C:C&lt;=$L$4),ROW(),"-")</f>
        <v>-</v>
      </c>
    </row>
    <row r="32025" customHeight="1" spans="2:2">
      <c r="B32025" s="62" t="str">
        <f>IF(AND('领用录入（明细）'!D:D=$F$4,'领用录入（明细）'!C:C&gt;=$J$4,'领用录入（明细）'!C:C&lt;=$L$4),ROW(),"-")</f>
        <v>-</v>
      </c>
    </row>
    <row r="32026" customHeight="1" spans="2:2">
      <c r="B32026" s="62" t="str">
        <f>IF(AND('领用录入（明细）'!D:D=$F$4,'领用录入（明细）'!C:C&gt;=$J$4,'领用录入（明细）'!C:C&lt;=$L$4),ROW(),"-")</f>
        <v>-</v>
      </c>
    </row>
    <row r="32027" customHeight="1" spans="2:2">
      <c r="B32027" s="62" t="str">
        <f>IF(AND('领用录入（明细）'!D:D=$F$4,'领用录入（明细）'!C:C&gt;=$J$4,'领用录入（明细）'!C:C&lt;=$L$4),ROW(),"-")</f>
        <v>-</v>
      </c>
    </row>
    <row r="32028" customHeight="1" spans="2:2">
      <c r="B32028" s="62" t="str">
        <f>IF(AND('领用录入（明细）'!D:D=$F$4,'领用录入（明细）'!C:C&gt;=$J$4,'领用录入（明细）'!C:C&lt;=$L$4),ROW(),"-")</f>
        <v>-</v>
      </c>
    </row>
    <row r="32029" customHeight="1" spans="2:2">
      <c r="B32029" s="62" t="str">
        <f>IF(AND('领用录入（明细）'!D:D=$F$4,'领用录入（明细）'!C:C&gt;=$J$4,'领用录入（明细）'!C:C&lt;=$L$4),ROW(),"-")</f>
        <v>-</v>
      </c>
    </row>
    <row r="32030" customHeight="1" spans="2:2">
      <c r="B32030" s="62" t="str">
        <f>IF(AND('领用录入（明细）'!D:D=$F$4,'领用录入（明细）'!C:C&gt;=$J$4,'领用录入（明细）'!C:C&lt;=$L$4),ROW(),"-")</f>
        <v>-</v>
      </c>
    </row>
    <row r="32031" customHeight="1" spans="2:2">
      <c r="B32031" s="62" t="str">
        <f>IF(AND('领用录入（明细）'!D:D=$F$4,'领用录入（明细）'!C:C&gt;=$J$4,'领用录入（明细）'!C:C&lt;=$L$4),ROW(),"-")</f>
        <v>-</v>
      </c>
    </row>
    <row r="32032" customHeight="1" spans="2:2">
      <c r="B32032" s="62" t="str">
        <f>IF(AND('领用录入（明细）'!D:D=$F$4,'领用录入（明细）'!C:C&gt;=$J$4,'领用录入（明细）'!C:C&lt;=$L$4),ROW(),"-")</f>
        <v>-</v>
      </c>
    </row>
    <row r="32033" customHeight="1" spans="2:2">
      <c r="B32033" s="62" t="str">
        <f>IF(AND('领用录入（明细）'!D:D=$F$4,'领用录入（明细）'!C:C&gt;=$J$4,'领用录入（明细）'!C:C&lt;=$L$4),ROW(),"-")</f>
        <v>-</v>
      </c>
    </row>
    <row r="32034" customHeight="1" spans="2:2">
      <c r="B32034" s="62" t="str">
        <f>IF(AND('领用录入（明细）'!D:D=$F$4,'领用录入（明细）'!C:C&gt;=$J$4,'领用录入（明细）'!C:C&lt;=$L$4),ROW(),"-")</f>
        <v>-</v>
      </c>
    </row>
    <row r="32035" customHeight="1" spans="2:2">
      <c r="B32035" s="62" t="str">
        <f>IF(AND('领用录入（明细）'!D:D=$F$4,'领用录入（明细）'!C:C&gt;=$J$4,'领用录入（明细）'!C:C&lt;=$L$4),ROW(),"-")</f>
        <v>-</v>
      </c>
    </row>
    <row r="32036" customHeight="1" spans="2:2">
      <c r="B32036" s="62" t="str">
        <f>IF(AND('领用录入（明细）'!D:D=$F$4,'领用录入（明细）'!C:C&gt;=$J$4,'领用录入（明细）'!C:C&lt;=$L$4),ROW(),"-")</f>
        <v>-</v>
      </c>
    </row>
    <row r="32037" customHeight="1" spans="2:2">
      <c r="B32037" s="62" t="str">
        <f>IF(AND('领用录入（明细）'!D:D=$F$4,'领用录入（明细）'!C:C&gt;=$J$4,'领用录入（明细）'!C:C&lt;=$L$4),ROW(),"-")</f>
        <v>-</v>
      </c>
    </row>
    <row r="32038" customHeight="1" spans="2:2">
      <c r="B32038" s="62" t="str">
        <f>IF(AND('领用录入（明细）'!D:D=$F$4,'领用录入（明细）'!C:C&gt;=$J$4,'领用录入（明细）'!C:C&lt;=$L$4),ROW(),"-")</f>
        <v>-</v>
      </c>
    </row>
    <row r="32039" customHeight="1" spans="2:2">
      <c r="B32039" s="62" t="str">
        <f>IF(AND('领用录入（明细）'!D:D=$F$4,'领用录入（明细）'!C:C&gt;=$J$4,'领用录入（明细）'!C:C&lt;=$L$4),ROW(),"-")</f>
        <v>-</v>
      </c>
    </row>
    <row r="32040" customHeight="1" spans="2:2">
      <c r="B32040" s="62" t="str">
        <f>IF(AND('领用录入（明细）'!D:D=$F$4,'领用录入（明细）'!C:C&gt;=$J$4,'领用录入（明细）'!C:C&lt;=$L$4),ROW(),"-")</f>
        <v>-</v>
      </c>
    </row>
    <row r="32041" customHeight="1" spans="2:2">
      <c r="B32041" s="62" t="str">
        <f>IF(AND('领用录入（明细）'!D:D=$F$4,'领用录入（明细）'!C:C&gt;=$J$4,'领用录入（明细）'!C:C&lt;=$L$4),ROW(),"-")</f>
        <v>-</v>
      </c>
    </row>
    <row r="32042" customHeight="1" spans="2:2">
      <c r="B32042" s="62" t="str">
        <f>IF(AND('领用录入（明细）'!D:D=$F$4,'领用录入（明细）'!C:C&gt;=$J$4,'领用录入（明细）'!C:C&lt;=$L$4),ROW(),"-")</f>
        <v>-</v>
      </c>
    </row>
    <row r="32043" customHeight="1" spans="2:2">
      <c r="B32043" s="62" t="str">
        <f>IF(AND('领用录入（明细）'!D:D=$F$4,'领用录入（明细）'!C:C&gt;=$J$4,'领用录入（明细）'!C:C&lt;=$L$4),ROW(),"-")</f>
        <v>-</v>
      </c>
    </row>
    <row r="32044" customHeight="1" spans="2:2">
      <c r="B32044" s="62" t="str">
        <f>IF(AND('领用录入（明细）'!D:D=$F$4,'领用录入（明细）'!C:C&gt;=$J$4,'领用录入（明细）'!C:C&lt;=$L$4),ROW(),"-")</f>
        <v>-</v>
      </c>
    </row>
    <row r="32045" customHeight="1" spans="2:2">
      <c r="B32045" s="62" t="str">
        <f>IF(AND('领用录入（明细）'!D:D=$F$4,'领用录入（明细）'!C:C&gt;=$J$4,'领用录入（明细）'!C:C&lt;=$L$4),ROW(),"-")</f>
        <v>-</v>
      </c>
    </row>
    <row r="32046" customHeight="1" spans="2:2">
      <c r="B32046" s="62" t="str">
        <f>IF(AND('领用录入（明细）'!D:D=$F$4,'领用录入（明细）'!C:C&gt;=$J$4,'领用录入（明细）'!C:C&lt;=$L$4),ROW(),"-")</f>
        <v>-</v>
      </c>
    </row>
    <row r="32047" customHeight="1" spans="2:2">
      <c r="B32047" s="62" t="str">
        <f>IF(AND('领用录入（明细）'!D:D=$F$4,'领用录入（明细）'!C:C&gt;=$J$4,'领用录入（明细）'!C:C&lt;=$L$4),ROW(),"-")</f>
        <v>-</v>
      </c>
    </row>
    <row r="32048" customHeight="1" spans="2:2">
      <c r="B32048" s="62" t="str">
        <f>IF(AND('领用录入（明细）'!D:D=$F$4,'领用录入（明细）'!C:C&gt;=$J$4,'领用录入（明细）'!C:C&lt;=$L$4),ROW(),"-")</f>
        <v>-</v>
      </c>
    </row>
    <row r="32049" customHeight="1" spans="2:2">
      <c r="B32049" s="62" t="str">
        <f>IF(AND('领用录入（明细）'!D:D=$F$4,'领用录入（明细）'!C:C&gt;=$J$4,'领用录入（明细）'!C:C&lt;=$L$4),ROW(),"-")</f>
        <v>-</v>
      </c>
    </row>
    <row r="32050" customHeight="1" spans="2:2">
      <c r="B32050" s="62" t="str">
        <f>IF(AND('领用录入（明细）'!D:D=$F$4,'领用录入（明细）'!C:C&gt;=$J$4,'领用录入（明细）'!C:C&lt;=$L$4),ROW(),"-")</f>
        <v>-</v>
      </c>
    </row>
    <row r="32051" customHeight="1" spans="2:2">
      <c r="B32051" s="62" t="str">
        <f>IF(AND('领用录入（明细）'!D:D=$F$4,'领用录入（明细）'!C:C&gt;=$J$4,'领用录入（明细）'!C:C&lt;=$L$4),ROW(),"-")</f>
        <v>-</v>
      </c>
    </row>
    <row r="32052" customHeight="1" spans="2:2">
      <c r="B32052" s="62" t="str">
        <f>IF(AND('领用录入（明细）'!D:D=$F$4,'领用录入（明细）'!C:C&gt;=$J$4,'领用录入（明细）'!C:C&lt;=$L$4),ROW(),"-")</f>
        <v>-</v>
      </c>
    </row>
    <row r="32053" customHeight="1" spans="2:2">
      <c r="B32053" s="62" t="str">
        <f>IF(AND('领用录入（明细）'!D:D=$F$4,'领用录入（明细）'!C:C&gt;=$J$4,'领用录入（明细）'!C:C&lt;=$L$4),ROW(),"-")</f>
        <v>-</v>
      </c>
    </row>
    <row r="32054" customHeight="1" spans="2:2">
      <c r="B32054" s="62" t="str">
        <f>IF(AND('领用录入（明细）'!D:D=$F$4,'领用录入（明细）'!C:C&gt;=$J$4,'领用录入（明细）'!C:C&lt;=$L$4),ROW(),"-")</f>
        <v>-</v>
      </c>
    </row>
    <row r="32055" customHeight="1" spans="2:2">
      <c r="B32055" s="62" t="str">
        <f>IF(AND('领用录入（明细）'!D:D=$F$4,'领用录入（明细）'!C:C&gt;=$J$4,'领用录入（明细）'!C:C&lt;=$L$4),ROW(),"-")</f>
        <v>-</v>
      </c>
    </row>
    <row r="32056" customHeight="1" spans="2:2">
      <c r="B32056" s="62" t="str">
        <f>IF(AND('领用录入（明细）'!D:D=$F$4,'领用录入（明细）'!C:C&gt;=$J$4,'领用录入（明细）'!C:C&lt;=$L$4),ROW(),"-")</f>
        <v>-</v>
      </c>
    </row>
    <row r="32057" customHeight="1" spans="2:2">
      <c r="B32057" s="62" t="str">
        <f>IF(AND('领用录入（明细）'!D:D=$F$4,'领用录入（明细）'!C:C&gt;=$J$4,'领用录入（明细）'!C:C&lt;=$L$4),ROW(),"-")</f>
        <v>-</v>
      </c>
    </row>
    <row r="32058" customHeight="1" spans="2:2">
      <c r="B32058" s="62" t="str">
        <f>IF(AND('领用录入（明细）'!D:D=$F$4,'领用录入（明细）'!C:C&gt;=$J$4,'领用录入（明细）'!C:C&lt;=$L$4),ROW(),"-")</f>
        <v>-</v>
      </c>
    </row>
    <row r="32059" customHeight="1" spans="2:2">
      <c r="B32059" s="62" t="str">
        <f>IF(AND('领用录入（明细）'!D:D=$F$4,'领用录入（明细）'!C:C&gt;=$J$4,'领用录入（明细）'!C:C&lt;=$L$4),ROW(),"-")</f>
        <v>-</v>
      </c>
    </row>
    <row r="32060" customHeight="1" spans="2:2">
      <c r="B32060" s="62" t="str">
        <f>IF(AND('领用录入（明细）'!D:D=$F$4,'领用录入（明细）'!C:C&gt;=$J$4,'领用录入（明细）'!C:C&lt;=$L$4),ROW(),"-")</f>
        <v>-</v>
      </c>
    </row>
    <row r="32061" customHeight="1" spans="2:2">
      <c r="B32061" s="62" t="str">
        <f>IF(AND('领用录入（明细）'!D:D=$F$4,'领用录入（明细）'!C:C&gt;=$J$4,'领用录入（明细）'!C:C&lt;=$L$4),ROW(),"-")</f>
        <v>-</v>
      </c>
    </row>
    <row r="32062" customHeight="1" spans="2:2">
      <c r="B32062" s="62" t="str">
        <f>IF(AND('领用录入（明细）'!D:D=$F$4,'领用录入（明细）'!C:C&gt;=$J$4,'领用录入（明细）'!C:C&lt;=$L$4),ROW(),"-")</f>
        <v>-</v>
      </c>
    </row>
    <row r="32063" customHeight="1" spans="2:2">
      <c r="B32063" s="62" t="str">
        <f>IF(AND('领用录入（明细）'!D:D=$F$4,'领用录入（明细）'!C:C&gt;=$J$4,'领用录入（明细）'!C:C&lt;=$L$4),ROW(),"-")</f>
        <v>-</v>
      </c>
    </row>
    <row r="32064" customHeight="1" spans="2:2">
      <c r="B32064" s="62" t="str">
        <f>IF(AND('领用录入（明细）'!D:D=$F$4,'领用录入（明细）'!C:C&gt;=$J$4,'领用录入（明细）'!C:C&lt;=$L$4),ROW(),"-")</f>
        <v>-</v>
      </c>
    </row>
    <row r="32065" customHeight="1" spans="2:2">
      <c r="B32065" s="62" t="str">
        <f>IF(AND('领用录入（明细）'!D:D=$F$4,'领用录入（明细）'!C:C&gt;=$J$4,'领用录入（明细）'!C:C&lt;=$L$4),ROW(),"-")</f>
        <v>-</v>
      </c>
    </row>
    <row r="32066" customHeight="1" spans="2:2">
      <c r="B32066" s="62" t="str">
        <f>IF(AND('领用录入（明细）'!D:D=$F$4,'领用录入（明细）'!C:C&gt;=$J$4,'领用录入（明细）'!C:C&lt;=$L$4),ROW(),"-")</f>
        <v>-</v>
      </c>
    </row>
    <row r="32067" customHeight="1" spans="2:2">
      <c r="B32067" s="62" t="str">
        <f>IF(AND('领用录入（明细）'!D:D=$F$4,'领用录入（明细）'!C:C&gt;=$J$4,'领用录入（明细）'!C:C&lt;=$L$4),ROW(),"-")</f>
        <v>-</v>
      </c>
    </row>
    <row r="32068" customHeight="1" spans="2:2">
      <c r="B32068" s="62" t="str">
        <f>IF(AND('领用录入（明细）'!D:D=$F$4,'领用录入（明细）'!C:C&gt;=$J$4,'领用录入（明细）'!C:C&lt;=$L$4),ROW(),"-")</f>
        <v>-</v>
      </c>
    </row>
    <row r="32069" customHeight="1" spans="2:2">
      <c r="B32069" s="62" t="str">
        <f>IF(AND('领用录入（明细）'!D:D=$F$4,'领用录入（明细）'!C:C&gt;=$J$4,'领用录入（明细）'!C:C&lt;=$L$4),ROW(),"-")</f>
        <v>-</v>
      </c>
    </row>
    <row r="32070" customHeight="1" spans="2:2">
      <c r="B32070" s="62" t="str">
        <f>IF(AND('领用录入（明细）'!D:D=$F$4,'领用录入（明细）'!C:C&gt;=$J$4,'领用录入（明细）'!C:C&lt;=$L$4),ROW(),"-")</f>
        <v>-</v>
      </c>
    </row>
    <row r="32071" customHeight="1" spans="2:2">
      <c r="B32071" s="62" t="str">
        <f>IF(AND('领用录入（明细）'!D:D=$F$4,'领用录入（明细）'!C:C&gt;=$J$4,'领用录入（明细）'!C:C&lt;=$L$4),ROW(),"-")</f>
        <v>-</v>
      </c>
    </row>
    <row r="32072" customHeight="1" spans="2:2">
      <c r="B32072" s="62" t="str">
        <f>IF(AND('领用录入（明细）'!D:D=$F$4,'领用录入（明细）'!C:C&gt;=$J$4,'领用录入（明细）'!C:C&lt;=$L$4),ROW(),"-")</f>
        <v>-</v>
      </c>
    </row>
    <row r="32073" customHeight="1" spans="2:2">
      <c r="B32073" s="62" t="str">
        <f>IF(AND('领用录入（明细）'!D:D=$F$4,'领用录入（明细）'!C:C&gt;=$J$4,'领用录入（明细）'!C:C&lt;=$L$4),ROW(),"-")</f>
        <v>-</v>
      </c>
    </row>
    <row r="32074" customHeight="1" spans="2:2">
      <c r="B32074" s="62" t="str">
        <f>IF(AND('领用录入（明细）'!D:D=$F$4,'领用录入（明细）'!C:C&gt;=$J$4,'领用录入（明细）'!C:C&lt;=$L$4),ROW(),"-")</f>
        <v>-</v>
      </c>
    </row>
    <row r="32075" customHeight="1" spans="2:2">
      <c r="B32075" s="62" t="str">
        <f>IF(AND('领用录入（明细）'!D:D=$F$4,'领用录入（明细）'!C:C&gt;=$J$4,'领用录入（明细）'!C:C&lt;=$L$4),ROW(),"-")</f>
        <v>-</v>
      </c>
    </row>
    <row r="32076" customHeight="1" spans="2:2">
      <c r="B32076" s="62" t="str">
        <f>IF(AND('领用录入（明细）'!D:D=$F$4,'领用录入（明细）'!C:C&gt;=$J$4,'领用录入（明细）'!C:C&lt;=$L$4),ROW(),"-")</f>
        <v>-</v>
      </c>
    </row>
    <row r="32077" customHeight="1" spans="2:2">
      <c r="B32077" s="62" t="str">
        <f>IF(AND('领用录入（明细）'!D:D=$F$4,'领用录入（明细）'!C:C&gt;=$J$4,'领用录入（明细）'!C:C&lt;=$L$4),ROW(),"-")</f>
        <v>-</v>
      </c>
    </row>
    <row r="32078" customHeight="1" spans="2:2">
      <c r="B32078" s="62" t="str">
        <f>IF(AND('领用录入（明细）'!D:D=$F$4,'领用录入（明细）'!C:C&gt;=$J$4,'领用录入（明细）'!C:C&lt;=$L$4),ROW(),"-")</f>
        <v>-</v>
      </c>
    </row>
    <row r="32079" customHeight="1" spans="2:2">
      <c r="B32079" s="62" t="str">
        <f>IF(AND('领用录入（明细）'!D:D=$F$4,'领用录入（明细）'!C:C&gt;=$J$4,'领用录入（明细）'!C:C&lt;=$L$4),ROW(),"-")</f>
        <v>-</v>
      </c>
    </row>
    <row r="32080" customHeight="1" spans="2:2">
      <c r="B32080" s="62" t="str">
        <f>IF(AND('领用录入（明细）'!D:D=$F$4,'领用录入（明细）'!C:C&gt;=$J$4,'领用录入（明细）'!C:C&lt;=$L$4),ROW(),"-")</f>
        <v>-</v>
      </c>
    </row>
    <row r="32081" customHeight="1" spans="2:2">
      <c r="B32081" s="62" t="str">
        <f>IF(AND('领用录入（明细）'!D:D=$F$4,'领用录入（明细）'!C:C&gt;=$J$4,'领用录入（明细）'!C:C&lt;=$L$4),ROW(),"-")</f>
        <v>-</v>
      </c>
    </row>
    <row r="32082" customHeight="1" spans="2:2">
      <c r="B32082" s="62" t="str">
        <f>IF(AND('领用录入（明细）'!D:D=$F$4,'领用录入（明细）'!C:C&gt;=$J$4,'领用录入（明细）'!C:C&lt;=$L$4),ROW(),"-")</f>
        <v>-</v>
      </c>
    </row>
    <row r="32083" customHeight="1" spans="2:2">
      <c r="B32083" s="62" t="str">
        <f>IF(AND('领用录入（明细）'!D:D=$F$4,'领用录入（明细）'!C:C&gt;=$J$4,'领用录入（明细）'!C:C&lt;=$L$4),ROW(),"-")</f>
        <v>-</v>
      </c>
    </row>
    <row r="32084" customHeight="1" spans="2:2">
      <c r="B32084" s="62" t="str">
        <f>IF(AND('领用录入（明细）'!D:D=$F$4,'领用录入（明细）'!C:C&gt;=$J$4,'领用录入（明细）'!C:C&lt;=$L$4),ROW(),"-")</f>
        <v>-</v>
      </c>
    </row>
    <row r="32085" customHeight="1" spans="2:2">
      <c r="B32085" s="62" t="str">
        <f>IF(AND('领用录入（明细）'!D:D=$F$4,'领用录入（明细）'!C:C&gt;=$J$4,'领用录入（明细）'!C:C&lt;=$L$4),ROW(),"-")</f>
        <v>-</v>
      </c>
    </row>
    <row r="32086" customHeight="1" spans="2:2">
      <c r="B32086" s="62" t="str">
        <f>IF(AND('领用录入（明细）'!D:D=$F$4,'领用录入（明细）'!C:C&gt;=$J$4,'领用录入（明细）'!C:C&lt;=$L$4),ROW(),"-")</f>
        <v>-</v>
      </c>
    </row>
    <row r="32087" customHeight="1" spans="2:2">
      <c r="B32087" s="62" t="str">
        <f>IF(AND('领用录入（明细）'!D:D=$F$4,'领用录入（明细）'!C:C&gt;=$J$4,'领用录入（明细）'!C:C&lt;=$L$4),ROW(),"-")</f>
        <v>-</v>
      </c>
    </row>
    <row r="32088" customHeight="1" spans="2:2">
      <c r="B32088" s="62" t="str">
        <f>IF(AND('领用录入（明细）'!D:D=$F$4,'领用录入（明细）'!C:C&gt;=$J$4,'领用录入（明细）'!C:C&lt;=$L$4),ROW(),"-")</f>
        <v>-</v>
      </c>
    </row>
    <row r="32089" customHeight="1" spans="2:2">
      <c r="B32089" s="62" t="str">
        <f>IF(AND('领用录入（明细）'!D:D=$F$4,'领用录入（明细）'!C:C&gt;=$J$4,'领用录入（明细）'!C:C&lt;=$L$4),ROW(),"-")</f>
        <v>-</v>
      </c>
    </row>
    <row r="32090" customHeight="1" spans="2:2">
      <c r="B32090" s="62" t="str">
        <f>IF(AND('领用录入（明细）'!D:D=$F$4,'领用录入（明细）'!C:C&gt;=$J$4,'领用录入（明细）'!C:C&lt;=$L$4),ROW(),"-")</f>
        <v>-</v>
      </c>
    </row>
    <row r="32091" customHeight="1" spans="2:2">
      <c r="B32091" s="62" t="str">
        <f>IF(AND('领用录入（明细）'!D:D=$F$4,'领用录入（明细）'!C:C&gt;=$J$4,'领用录入（明细）'!C:C&lt;=$L$4),ROW(),"-")</f>
        <v>-</v>
      </c>
    </row>
    <row r="32092" customHeight="1" spans="2:2">
      <c r="B32092" s="62" t="str">
        <f>IF(AND('领用录入（明细）'!D:D=$F$4,'领用录入（明细）'!C:C&gt;=$J$4,'领用录入（明细）'!C:C&lt;=$L$4),ROW(),"-")</f>
        <v>-</v>
      </c>
    </row>
    <row r="32093" customHeight="1" spans="2:2">
      <c r="B32093" s="62" t="str">
        <f>IF(AND('领用录入（明细）'!D:D=$F$4,'领用录入（明细）'!C:C&gt;=$J$4,'领用录入（明细）'!C:C&lt;=$L$4),ROW(),"-")</f>
        <v>-</v>
      </c>
    </row>
    <row r="32094" customHeight="1" spans="2:2">
      <c r="B32094" s="62" t="str">
        <f>IF(AND('领用录入（明细）'!D:D=$F$4,'领用录入（明细）'!C:C&gt;=$J$4,'领用录入（明细）'!C:C&lt;=$L$4),ROW(),"-")</f>
        <v>-</v>
      </c>
    </row>
    <row r="32095" customHeight="1" spans="2:2">
      <c r="B32095" s="62" t="str">
        <f>IF(AND('领用录入（明细）'!D:D=$F$4,'领用录入（明细）'!C:C&gt;=$J$4,'领用录入（明细）'!C:C&lt;=$L$4),ROW(),"-")</f>
        <v>-</v>
      </c>
    </row>
    <row r="32096" customHeight="1" spans="2:2">
      <c r="B32096" s="62" t="str">
        <f>IF(AND('领用录入（明细）'!D:D=$F$4,'领用录入（明细）'!C:C&gt;=$J$4,'领用录入（明细）'!C:C&lt;=$L$4),ROW(),"-")</f>
        <v>-</v>
      </c>
    </row>
    <row r="32097" customHeight="1" spans="2:2">
      <c r="B32097" s="62" t="str">
        <f>IF(AND('领用录入（明细）'!D:D=$F$4,'领用录入（明细）'!C:C&gt;=$J$4,'领用录入（明细）'!C:C&lt;=$L$4),ROW(),"-")</f>
        <v>-</v>
      </c>
    </row>
    <row r="32098" customHeight="1" spans="2:2">
      <c r="B32098" s="62" t="str">
        <f>IF(AND('领用录入（明细）'!D:D=$F$4,'领用录入（明细）'!C:C&gt;=$J$4,'领用录入（明细）'!C:C&lt;=$L$4),ROW(),"-")</f>
        <v>-</v>
      </c>
    </row>
    <row r="32099" customHeight="1" spans="2:2">
      <c r="B32099" s="62" t="str">
        <f>IF(AND('领用录入（明细）'!D:D=$F$4,'领用录入（明细）'!C:C&gt;=$J$4,'领用录入（明细）'!C:C&lt;=$L$4),ROW(),"-")</f>
        <v>-</v>
      </c>
    </row>
    <row r="32100" customHeight="1" spans="2:2">
      <c r="B32100" s="62" t="str">
        <f>IF(AND('领用录入（明细）'!D:D=$F$4,'领用录入（明细）'!C:C&gt;=$J$4,'领用录入（明细）'!C:C&lt;=$L$4),ROW(),"-")</f>
        <v>-</v>
      </c>
    </row>
    <row r="32101" customHeight="1" spans="2:2">
      <c r="B32101" s="62" t="str">
        <f>IF(AND('领用录入（明细）'!D:D=$F$4,'领用录入（明细）'!C:C&gt;=$J$4,'领用录入（明细）'!C:C&lt;=$L$4),ROW(),"-")</f>
        <v>-</v>
      </c>
    </row>
    <row r="32102" customHeight="1" spans="2:2">
      <c r="B32102" s="62" t="str">
        <f>IF(AND('领用录入（明细）'!D:D=$F$4,'领用录入（明细）'!C:C&gt;=$J$4,'领用录入（明细）'!C:C&lt;=$L$4),ROW(),"-")</f>
        <v>-</v>
      </c>
    </row>
    <row r="32103" customHeight="1" spans="2:2">
      <c r="B32103" s="62" t="str">
        <f>IF(AND('领用录入（明细）'!D:D=$F$4,'领用录入（明细）'!C:C&gt;=$J$4,'领用录入（明细）'!C:C&lt;=$L$4),ROW(),"-")</f>
        <v>-</v>
      </c>
    </row>
    <row r="32104" customHeight="1" spans="2:2">
      <c r="B32104" s="62" t="str">
        <f>IF(AND('领用录入（明细）'!D:D=$F$4,'领用录入（明细）'!C:C&gt;=$J$4,'领用录入（明细）'!C:C&lt;=$L$4),ROW(),"-")</f>
        <v>-</v>
      </c>
    </row>
    <row r="32105" customHeight="1" spans="2:2">
      <c r="B32105" s="62" t="str">
        <f>IF(AND('领用录入（明细）'!D:D=$F$4,'领用录入（明细）'!C:C&gt;=$J$4,'领用录入（明细）'!C:C&lt;=$L$4),ROW(),"-")</f>
        <v>-</v>
      </c>
    </row>
    <row r="32106" customHeight="1" spans="2:2">
      <c r="B32106" s="62" t="str">
        <f>IF(AND('领用录入（明细）'!D:D=$F$4,'领用录入（明细）'!C:C&gt;=$J$4,'领用录入（明细）'!C:C&lt;=$L$4),ROW(),"-")</f>
        <v>-</v>
      </c>
    </row>
    <row r="32107" customHeight="1" spans="2:2">
      <c r="B32107" s="62" t="str">
        <f>IF(AND('领用录入（明细）'!D:D=$F$4,'领用录入（明细）'!C:C&gt;=$J$4,'领用录入（明细）'!C:C&lt;=$L$4),ROW(),"-")</f>
        <v>-</v>
      </c>
    </row>
    <row r="32108" customHeight="1" spans="2:2">
      <c r="B32108" s="62" t="str">
        <f>IF(AND('领用录入（明细）'!D:D=$F$4,'领用录入（明细）'!C:C&gt;=$J$4,'领用录入（明细）'!C:C&lt;=$L$4),ROW(),"-")</f>
        <v>-</v>
      </c>
    </row>
    <row r="32109" customHeight="1" spans="2:2">
      <c r="B32109" s="62" t="str">
        <f>IF(AND('领用录入（明细）'!D:D=$F$4,'领用录入（明细）'!C:C&gt;=$J$4,'领用录入（明细）'!C:C&lt;=$L$4),ROW(),"-")</f>
        <v>-</v>
      </c>
    </row>
    <row r="32110" customHeight="1" spans="2:2">
      <c r="B32110" s="62" t="str">
        <f>IF(AND('领用录入（明细）'!D:D=$F$4,'领用录入（明细）'!C:C&gt;=$J$4,'领用录入（明细）'!C:C&lt;=$L$4),ROW(),"-")</f>
        <v>-</v>
      </c>
    </row>
    <row r="32111" customHeight="1" spans="2:2">
      <c r="B32111" s="62" t="str">
        <f>IF(AND('领用录入（明细）'!D:D=$F$4,'领用录入（明细）'!C:C&gt;=$J$4,'领用录入（明细）'!C:C&lt;=$L$4),ROW(),"-")</f>
        <v>-</v>
      </c>
    </row>
    <row r="32112" customHeight="1" spans="2:2">
      <c r="B32112" s="62" t="str">
        <f>IF(AND('领用录入（明细）'!D:D=$F$4,'领用录入（明细）'!C:C&gt;=$J$4,'领用录入（明细）'!C:C&lt;=$L$4),ROW(),"-")</f>
        <v>-</v>
      </c>
    </row>
    <row r="32113" customHeight="1" spans="2:2">
      <c r="B32113" s="62" t="str">
        <f>IF(AND('领用录入（明细）'!D:D=$F$4,'领用录入（明细）'!C:C&gt;=$J$4,'领用录入（明细）'!C:C&lt;=$L$4),ROW(),"-")</f>
        <v>-</v>
      </c>
    </row>
    <row r="32114" customHeight="1" spans="2:2">
      <c r="B32114" s="62" t="str">
        <f>IF(AND('领用录入（明细）'!D:D=$F$4,'领用录入（明细）'!C:C&gt;=$J$4,'领用录入（明细）'!C:C&lt;=$L$4),ROW(),"-")</f>
        <v>-</v>
      </c>
    </row>
    <row r="32115" customHeight="1" spans="2:2">
      <c r="B32115" s="62" t="str">
        <f>IF(AND('领用录入（明细）'!D:D=$F$4,'领用录入（明细）'!C:C&gt;=$J$4,'领用录入（明细）'!C:C&lt;=$L$4),ROW(),"-")</f>
        <v>-</v>
      </c>
    </row>
    <row r="32116" customHeight="1" spans="2:2">
      <c r="B32116" s="62" t="str">
        <f>IF(AND('领用录入（明细）'!D:D=$F$4,'领用录入（明细）'!C:C&gt;=$J$4,'领用录入（明细）'!C:C&lt;=$L$4),ROW(),"-")</f>
        <v>-</v>
      </c>
    </row>
    <row r="32117" customHeight="1" spans="2:2">
      <c r="B32117" s="62" t="str">
        <f>IF(AND('领用录入（明细）'!D:D=$F$4,'领用录入（明细）'!C:C&gt;=$J$4,'领用录入（明细）'!C:C&lt;=$L$4),ROW(),"-")</f>
        <v>-</v>
      </c>
    </row>
    <row r="32118" customHeight="1" spans="2:2">
      <c r="B32118" s="62" t="str">
        <f>IF(AND('领用录入（明细）'!D:D=$F$4,'领用录入（明细）'!C:C&gt;=$J$4,'领用录入（明细）'!C:C&lt;=$L$4),ROW(),"-")</f>
        <v>-</v>
      </c>
    </row>
    <row r="32119" customHeight="1" spans="2:2">
      <c r="B32119" s="62" t="str">
        <f>IF(AND('领用录入（明细）'!D:D=$F$4,'领用录入（明细）'!C:C&gt;=$J$4,'领用录入（明细）'!C:C&lt;=$L$4),ROW(),"-")</f>
        <v>-</v>
      </c>
    </row>
    <row r="32120" customHeight="1" spans="2:2">
      <c r="B32120" s="62" t="str">
        <f>IF(AND('领用录入（明细）'!D:D=$F$4,'领用录入（明细）'!C:C&gt;=$J$4,'领用录入（明细）'!C:C&lt;=$L$4),ROW(),"-")</f>
        <v>-</v>
      </c>
    </row>
    <row r="32121" customHeight="1" spans="2:2">
      <c r="B32121" s="62" t="str">
        <f>IF(AND('领用录入（明细）'!D:D=$F$4,'领用录入（明细）'!C:C&gt;=$J$4,'领用录入（明细）'!C:C&lt;=$L$4),ROW(),"-")</f>
        <v>-</v>
      </c>
    </row>
    <row r="32122" customHeight="1" spans="2:2">
      <c r="B32122" s="62" t="str">
        <f>IF(AND('领用录入（明细）'!D:D=$F$4,'领用录入（明细）'!C:C&gt;=$J$4,'领用录入（明细）'!C:C&lt;=$L$4),ROW(),"-")</f>
        <v>-</v>
      </c>
    </row>
    <row r="32123" customHeight="1" spans="2:2">
      <c r="B32123" s="62" t="str">
        <f>IF(AND('领用录入（明细）'!D:D=$F$4,'领用录入（明细）'!C:C&gt;=$J$4,'领用录入（明细）'!C:C&lt;=$L$4),ROW(),"-")</f>
        <v>-</v>
      </c>
    </row>
    <row r="32124" customHeight="1" spans="2:2">
      <c r="B32124" s="62" t="str">
        <f>IF(AND('领用录入（明细）'!D:D=$F$4,'领用录入（明细）'!C:C&gt;=$J$4,'领用录入（明细）'!C:C&lt;=$L$4),ROW(),"-")</f>
        <v>-</v>
      </c>
    </row>
    <row r="32125" customHeight="1" spans="2:2">
      <c r="B32125" s="62" t="str">
        <f>IF(AND('领用录入（明细）'!D:D=$F$4,'领用录入（明细）'!C:C&gt;=$J$4,'领用录入（明细）'!C:C&lt;=$L$4),ROW(),"-")</f>
        <v>-</v>
      </c>
    </row>
    <row r="32126" customHeight="1" spans="2:2">
      <c r="B32126" s="62" t="str">
        <f>IF(AND('领用录入（明细）'!D:D=$F$4,'领用录入（明细）'!C:C&gt;=$J$4,'领用录入（明细）'!C:C&lt;=$L$4),ROW(),"-")</f>
        <v>-</v>
      </c>
    </row>
    <row r="32127" customHeight="1" spans="2:2">
      <c r="B32127" s="62" t="str">
        <f>IF(AND('领用录入（明细）'!D:D=$F$4,'领用录入（明细）'!C:C&gt;=$J$4,'领用录入（明细）'!C:C&lt;=$L$4),ROW(),"-")</f>
        <v>-</v>
      </c>
    </row>
    <row r="32128" customHeight="1" spans="2:2">
      <c r="B32128" s="62" t="str">
        <f>IF(AND('领用录入（明细）'!D:D=$F$4,'领用录入（明细）'!C:C&gt;=$J$4,'领用录入（明细）'!C:C&lt;=$L$4),ROW(),"-")</f>
        <v>-</v>
      </c>
    </row>
    <row r="32129" customHeight="1" spans="2:2">
      <c r="B32129" s="62" t="str">
        <f>IF(AND('领用录入（明细）'!D:D=$F$4,'领用录入（明细）'!C:C&gt;=$J$4,'领用录入（明细）'!C:C&lt;=$L$4),ROW(),"-")</f>
        <v>-</v>
      </c>
    </row>
    <row r="32130" customHeight="1" spans="2:2">
      <c r="B32130" s="62" t="str">
        <f>IF(AND('领用录入（明细）'!D:D=$F$4,'领用录入（明细）'!C:C&gt;=$J$4,'领用录入（明细）'!C:C&lt;=$L$4),ROW(),"-")</f>
        <v>-</v>
      </c>
    </row>
    <row r="32131" customHeight="1" spans="2:2">
      <c r="B32131" s="62" t="str">
        <f>IF(AND('领用录入（明细）'!D:D=$F$4,'领用录入（明细）'!C:C&gt;=$J$4,'领用录入（明细）'!C:C&lt;=$L$4),ROW(),"-")</f>
        <v>-</v>
      </c>
    </row>
    <row r="32132" customHeight="1" spans="2:2">
      <c r="B32132" s="62" t="str">
        <f>IF(AND('领用录入（明细）'!D:D=$F$4,'领用录入（明细）'!C:C&gt;=$J$4,'领用录入（明细）'!C:C&lt;=$L$4),ROW(),"-")</f>
        <v>-</v>
      </c>
    </row>
    <row r="32133" customHeight="1" spans="2:2">
      <c r="B32133" s="62" t="str">
        <f>IF(AND('领用录入（明细）'!D:D=$F$4,'领用录入（明细）'!C:C&gt;=$J$4,'领用录入（明细）'!C:C&lt;=$L$4),ROW(),"-")</f>
        <v>-</v>
      </c>
    </row>
    <row r="32134" customHeight="1" spans="2:2">
      <c r="B32134" s="62" t="str">
        <f>IF(AND('领用录入（明细）'!D:D=$F$4,'领用录入（明细）'!C:C&gt;=$J$4,'领用录入（明细）'!C:C&lt;=$L$4),ROW(),"-")</f>
        <v>-</v>
      </c>
    </row>
    <row r="32135" customHeight="1" spans="2:2">
      <c r="B32135" s="62" t="str">
        <f>IF(AND('领用录入（明细）'!D:D=$F$4,'领用录入（明细）'!C:C&gt;=$J$4,'领用录入（明细）'!C:C&lt;=$L$4),ROW(),"-")</f>
        <v>-</v>
      </c>
    </row>
    <row r="32136" customHeight="1" spans="2:2">
      <c r="B32136" s="62" t="str">
        <f>IF(AND('领用录入（明细）'!D:D=$F$4,'领用录入（明细）'!C:C&gt;=$J$4,'领用录入（明细）'!C:C&lt;=$L$4),ROW(),"-")</f>
        <v>-</v>
      </c>
    </row>
    <row r="32137" customHeight="1" spans="2:2">
      <c r="B32137" s="62" t="str">
        <f>IF(AND('领用录入（明细）'!D:D=$F$4,'领用录入（明细）'!C:C&gt;=$J$4,'领用录入（明细）'!C:C&lt;=$L$4),ROW(),"-")</f>
        <v>-</v>
      </c>
    </row>
    <row r="32138" customHeight="1" spans="2:2">
      <c r="B32138" s="62" t="str">
        <f>IF(AND('领用录入（明细）'!D:D=$F$4,'领用录入（明细）'!C:C&gt;=$J$4,'领用录入（明细）'!C:C&lt;=$L$4),ROW(),"-")</f>
        <v>-</v>
      </c>
    </row>
    <row r="32139" customHeight="1" spans="2:2">
      <c r="B32139" s="62" t="str">
        <f>IF(AND('领用录入（明细）'!D:D=$F$4,'领用录入（明细）'!C:C&gt;=$J$4,'领用录入（明细）'!C:C&lt;=$L$4),ROW(),"-")</f>
        <v>-</v>
      </c>
    </row>
    <row r="32140" customHeight="1" spans="2:2">
      <c r="B32140" s="62" t="str">
        <f>IF(AND('领用录入（明细）'!D:D=$F$4,'领用录入（明细）'!C:C&gt;=$J$4,'领用录入（明细）'!C:C&lt;=$L$4),ROW(),"-")</f>
        <v>-</v>
      </c>
    </row>
    <row r="32141" customHeight="1" spans="2:2">
      <c r="B32141" s="62" t="str">
        <f>IF(AND('领用录入（明细）'!D:D=$F$4,'领用录入（明细）'!C:C&gt;=$J$4,'领用录入（明细）'!C:C&lt;=$L$4),ROW(),"-")</f>
        <v>-</v>
      </c>
    </row>
    <row r="32142" customHeight="1" spans="2:2">
      <c r="B32142" s="62" t="str">
        <f>IF(AND('领用录入（明细）'!D:D=$F$4,'领用录入（明细）'!C:C&gt;=$J$4,'领用录入（明细）'!C:C&lt;=$L$4),ROW(),"-")</f>
        <v>-</v>
      </c>
    </row>
    <row r="32143" customHeight="1" spans="2:2">
      <c r="B32143" s="62" t="str">
        <f>IF(AND('领用录入（明细）'!D:D=$F$4,'领用录入（明细）'!C:C&gt;=$J$4,'领用录入（明细）'!C:C&lt;=$L$4),ROW(),"-")</f>
        <v>-</v>
      </c>
    </row>
    <row r="32144" customHeight="1" spans="2:2">
      <c r="B32144" s="62" t="str">
        <f>IF(AND('领用录入（明细）'!D:D=$F$4,'领用录入（明细）'!C:C&gt;=$J$4,'领用录入（明细）'!C:C&lt;=$L$4),ROW(),"-")</f>
        <v>-</v>
      </c>
    </row>
    <row r="32145" customHeight="1" spans="2:2">
      <c r="B32145" s="62" t="str">
        <f>IF(AND('领用录入（明细）'!D:D=$F$4,'领用录入（明细）'!C:C&gt;=$J$4,'领用录入（明细）'!C:C&lt;=$L$4),ROW(),"-")</f>
        <v>-</v>
      </c>
    </row>
    <row r="32146" customHeight="1" spans="2:2">
      <c r="B32146" s="62" t="str">
        <f>IF(AND('领用录入（明细）'!D:D=$F$4,'领用录入（明细）'!C:C&gt;=$J$4,'领用录入（明细）'!C:C&lt;=$L$4),ROW(),"-")</f>
        <v>-</v>
      </c>
    </row>
    <row r="32147" customHeight="1" spans="2:2">
      <c r="B32147" s="62" t="str">
        <f>IF(AND('领用录入（明细）'!D:D=$F$4,'领用录入（明细）'!C:C&gt;=$J$4,'领用录入（明细）'!C:C&lt;=$L$4),ROW(),"-")</f>
        <v>-</v>
      </c>
    </row>
    <row r="32148" customHeight="1" spans="2:2">
      <c r="B32148" s="62" t="str">
        <f>IF(AND('领用录入（明细）'!D:D=$F$4,'领用录入（明细）'!C:C&gt;=$J$4,'领用录入（明细）'!C:C&lt;=$L$4),ROW(),"-")</f>
        <v>-</v>
      </c>
    </row>
    <row r="32149" customHeight="1" spans="2:2">
      <c r="B32149" s="62" t="str">
        <f>IF(AND('领用录入（明细）'!D:D=$F$4,'领用录入（明细）'!C:C&gt;=$J$4,'领用录入（明细）'!C:C&lt;=$L$4),ROW(),"-")</f>
        <v>-</v>
      </c>
    </row>
    <row r="32150" customHeight="1" spans="2:2">
      <c r="B32150" s="62" t="str">
        <f>IF(AND('领用录入（明细）'!D:D=$F$4,'领用录入（明细）'!C:C&gt;=$J$4,'领用录入（明细）'!C:C&lt;=$L$4),ROW(),"-")</f>
        <v>-</v>
      </c>
    </row>
    <row r="32151" customHeight="1" spans="2:2">
      <c r="B32151" s="62" t="str">
        <f>IF(AND('领用录入（明细）'!D:D=$F$4,'领用录入（明细）'!C:C&gt;=$J$4,'领用录入（明细）'!C:C&lt;=$L$4),ROW(),"-")</f>
        <v>-</v>
      </c>
    </row>
    <row r="32152" customHeight="1" spans="2:2">
      <c r="B32152" s="62" t="str">
        <f>IF(AND('领用录入（明细）'!D:D=$F$4,'领用录入（明细）'!C:C&gt;=$J$4,'领用录入（明细）'!C:C&lt;=$L$4),ROW(),"-")</f>
        <v>-</v>
      </c>
    </row>
    <row r="32153" customHeight="1" spans="2:2">
      <c r="B32153" s="62" t="str">
        <f>IF(AND('领用录入（明细）'!D:D=$F$4,'领用录入（明细）'!C:C&gt;=$J$4,'领用录入（明细）'!C:C&lt;=$L$4),ROW(),"-")</f>
        <v>-</v>
      </c>
    </row>
    <row r="32154" customHeight="1" spans="2:2">
      <c r="B32154" s="62" t="str">
        <f>IF(AND('领用录入（明细）'!D:D=$F$4,'领用录入（明细）'!C:C&gt;=$J$4,'领用录入（明细）'!C:C&lt;=$L$4),ROW(),"-")</f>
        <v>-</v>
      </c>
    </row>
    <row r="32155" customHeight="1" spans="2:2">
      <c r="B32155" s="62" t="str">
        <f>IF(AND('领用录入（明细）'!D:D=$F$4,'领用录入（明细）'!C:C&gt;=$J$4,'领用录入（明细）'!C:C&lt;=$L$4),ROW(),"-")</f>
        <v>-</v>
      </c>
    </row>
    <row r="32156" customHeight="1" spans="2:2">
      <c r="B32156" s="62" t="str">
        <f>IF(AND('领用录入（明细）'!D:D=$F$4,'领用录入（明细）'!C:C&gt;=$J$4,'领用录入（明细）'!C:C&lt;=$L$4),ROW(),"-")</f>
        <v>-</v>
      </c>
    </row>
    <row r="32157" customHeight="1" spans="2:2">
      <c r="B32157" s="62" t="str">
        <f>IF(AND('领用录入（明细）'!D:D=$F$4,'领用录入（明细）'!C:C&gt;=$J$4,'领用录入（明细）'!C:C&lt;=$L$4),ROW(),"-")</f>
        <v>-</v>
      </c>
    </row>
    <row r="32158" customHeight="1" spans="2:2">
      <c r="B32158" s="62" t="str">
        <f>IF(AND('领用录入（明细）'!D:D=$F$4,'领用录入（明细）'!C:C&gt;=$J$4,'领用录入（明细）'!C:C&lt;=$L$4),ROW(),"-")</f>
        <v>-</v>
      </c>
    </row>
    <row r="32159" customHeight="1" spans="2:2">
      <c r="B32159" s="62" t="str">
        <f>IF(AND('领用录入（明细）'!D:D=$F$4,'领用录入（明细）'!C:C&gt;=$J$4,'领用录入（明细）'!C:C&lt;=$L$4),ROW(),"-")</f>
        <v>-</v>
      </c>
    </row>
    <row r="32160" customHeight="1" spans="2:2">
      <c r="B32160" s="62" t="str">
        <f>IF(AND('领用录入（明细）'!D:D=$F$4,'领用录入（明细）'!C:C&gt;=$J$4,'领用录入（明细）'!C:C&lt;=$L$4),ROW(),"-")</f>
        <v>-</v>
      </c>
    </row>
    <row r="32161" customHeight="1" spans="2:2">
      <c r="B32161" s="62" t="str">
        <f>IF(AND('领用录入（明细）'!D:D=$F$4,'领用录入（明细）'!C:C&gt;=$J$4,'领用录入（明细）'!C:C&lt;=$L$4),ROW(),"-")</f>
        <v>-</v>
      </c>
    </row>
    <row r="32162" customHeight="1" spans="2:2">
      <c r="B32162" s="62" t="str">
        <f>IF(AND('领用录入（明细）'!D:D=$F$4,'领用录入（明细）'!C:C&gt;=$J$4,'领用录入（明细）'!C:C&lt;=$L$4),ROW(),"-")</f>
        <v>-</v>
      </c>
    </row>
    <row r="32163" customHeight="1" spans="2:2">
      <c r="B32163" s="62" t="str">
        <f>IF(AND('领用录入（明细）'!D:D=$F$4,'领用录入（明细）'!C:C&gt;=$J$4,'领用录入（明细）'!C:C&lt;=$L$4),ROW(),"-")</f>
        <v>-</v>
      </c>
    </row>
    <row r="32164" customHeight="1" spans="2:2">
      <c r="B32164" s="62" t="str">
        <f>IF(AND('领用录入（明细）'!D:D=$F$4,'领用录入（明细）'!C:C&gt;=$J$4,'领用录入（明细）'!C:C&lt;=$L$4),ROW(),"-")</f>
        <v>-</v>
      </c>
    </row>
    <row r="32165" customHeight="1" spans="2:2">
      <c r="B32165" s="62" t="str">
        <f>IF(AND('领用录入（明细）'!D:D=$F$4,'领用录入（明细）'!C:C&gt;=$J$4,'领用录入（明细）'!C:C&lt;=$L$4),ROW(),"-")</f>
        <v>-</v>
      </c>
    </row>
    <row r="32166" customHeight="1" spans="2:2">
      <c r="B32166" s="62" t="str">
        <f>IF(AND('领用录入（明细）'!D:D=$F$4,'领用录入（明细）'!C:C&gt;=$J$4,'领用录入（明细）'!C:C&lt;=$L$4),ROW(),"-")</f>
        <v>-</v>
      </c>
    </row>
    <row r="32167" customHeight="1" spans="2:2">
      <c r="B32167" s="62" t="str">
        <f>IF(AND('领用录入（明细）'!D:D=$F$4,'领用录入（明细）'!C:C&gt;=$J$4,'领用录入（明细）'!C:C&lt;=$L$4),ROW(),"-")</f>
        <v>-</v>
      </c>
    </row>
    <row r="32168" customHeight="1" spans="2:2">
      <c r="B32168" s="62" t="str">
        <f>IF(AND('领用录入（明细）'!D:D=$F$4,'领用录入（明细）'!C:C&gt;=$J$4,'领用录入（明细）'!C:C&lt;=$L$4),ROW(),"-")</f>
        <v>-</v>
      </c>
    </row>
    <row r="32169" customHeight="1" spans="2:2">
      <c r="B32169" s="62" t="str">
        <f>IF(AND('领用录入（明细）'!D:D=$F$4,'领用录入（明细）'!C:C&gt;=$J$4,'领用录入（明细）'!C:C&lt;=$L$4),ROW(),"-")</f>
        <v>-</v>
      </c>
    </row>
    <row r="32170" customHeight="1" spans="2:2">
      <c r="B32170" s="62" t="str">
        <f>IF(AND('领用录入（明细）'!D:D=$F$4,'领用录入（明细）'!C:C&gt;=$J$4,'领用录入（明细）'!C:C&lt;=$L$4),ROW(),"-")</f>
        <v>-</v>
      </c>
    </row>
    <row r="32171" customHeight="1" spans="2:2">
      <c r="B32171" s="62" t="str">
        <f>IF(AND('领用录入（明细）'!D:D=$F$4,'领用录入（明细）'!C:C&gt;=$J$4,'领用录入（明细）'!C:C&lt;=$L$4),ROW(),"-")</f>
        <v>-</v>
      </c>
    </row>
    <row r="32172" customHeight="1" spans="2:2">
      <c r="B32172" s="62" t="str">
        <f>IF(AND('领用录入（明细）'!D:D=$F$4,'领用录入（明细）'!C:C&gt;=$J$4,'领用录入（明细）'!C:C&lt;=$L$4),ROW(),"-")</f>
        <v>-</v>
      </c>
    </row>
    <row r="32173" customHeight="1" spans="2:2">
      <c r="B32173" s="62" t="str">
        <f>IF(AND('领用录入（明细）'!D:D=$F$4,'领用录入（明细）'!C:C&gt;=$J$4,'领用录入（明细）'!C:C&lt;=$L$4),ROW(),"-")</f>
        <v>-</v>
      </c>
    </row>
    <row r="32174" customHeight="1" spans="2:2">
      <c r="B32174" s="62" t="str">
        <f>IF(AND('领用录入（明细）'!D:D=$F$4,'领用录入（明细）'!C:C&gt;=$J$4,'领用录入（明细）'!C:C&lt;=$L$4),ROW(),"-")</f>
        <v>-</v>
      </c>
    </row>
    <row r="32175" customHeight="1" spans="2:2">
      <c r="B32175" s="62" t="str">
        <f>IF(AND('领用录入（明细）'!D:D=$F$4,'领用录入（明细）'!C:C&gt;=$J$4,'领用录入（明细）'!C:C&lt;=$L$4),ROW(),"-")</f>
        <v>-</v>
      </c>
    </row>
    <row r="32176" customHeight="1" spans="2:2">
      <c r="B32176" s="62" t="str">
        <f>IF(AND('领用录入（明细）'!D:D=$F$4,'领用录入（明细）'!C:C&gt;=$J$4,'领用录入（明细）'!C:C&lt;=$L$4),ROW(),"-")</f>
        <v>-</v>
      </c>
    </row>
    <row r="32177" customHeight="1" spans="2:2">
      <c r="B32177" s="62" t="str">
        <f>IF(AND('领用录入（明细）'!D:D=$F$4,'领用录入（明细）'!C:C&gt;=$J$4,'领用录入（明细）'!C:C&lt;=$L$4),ROW(),"-")</f>
        <v>-</v>
      </c>
    </row>
    <row r="32178" customHeight="1" spans="2:2">
      <c r="B32178" s="62" t="str">
        <f>IF(AND('领用录入（明细）'!D:D=$F$4,'领用录入（明细）'!C:C&gt;=$J$4,'领用录入（明细）'!C:C&lt;=$L$4),ROW(),"-")</f>
        <v>-</v>
      </c>
    </row>
    <row r="32179" customHeight="1" spans="2:2">
      <c r="B32179" s="62" t="str">
        <f>IF(AND('领用录入（明细）'!D:D=$F$4,'领用录入（明细）'!C:C&gt;=$J$4,'领用录入（明细）'!C:C&lt;=$L$4),ROW(),"-")</f>
        <v>-</v>
      </c>
    </row>
    <row r="32180" customHeight="1" spans="2:2">
      <c r="B32180" s="62" t="str">
        <f>IF(AND('领用录入（明细）'!D:D=$F$4,'领用录入（明细）'!C:C&gt;=$J$4,'领用录入（明细）'!C:C&lt;=$L$4),ROW(),"-")</f>
        <v>-</v>
      </c>
    </row>
    <row r="32181" customHeight="1" spans="2:2">
      <c r="B32181" s="62" t="str">
        <f>IF(AND('领用录入（明细）'!D:D=$F$4,'领用录入（明细）'!C:C&gt;=$J$4,'领用录入（明细）'!C:C&lt;=$L$4),ROW(),"-")</f>
        <v>-</v>
      </c>
    </row>
    <row r="32182" customHeight="1" spans="2:2">
      <c r="B32182" s="62" t="str">
        <f>IF(AND('领用录入（明细）'!D:D=$F$4,'领用录入（明细）'!C:C&gt;=$J$4,'领用录入（明细）'!C:C&lt;=$L$4),ROW(),"-")</f>
        <v>-</v>
      </c>
    </row>
    <row r="32183" customHeight="1" spans="2:2">
      <c r="B32183" s="62" t="str">
        <f>IF(AND('领用录入（明细）'!D:D=$F$4,'领用录入（明细）'!C:C&gt;=$J$4,'领用录入（明细）'!C:C&lt;=$L$4),ROW(),"-")</f>
        <v>-</v>
      </c>
    </row>
    <row r="32184" customHeight="1" spans="2:2">
      <c r="B32184" s="62" t="str">
        <f>IF(AND('领用录入（明细）'!D:D=$F$4,'领用录入（明细）'!C:C&gt;=$J$4,'领用录入（明细）'!C:C&lt;=$L$4),ROW(),"-")</f>
        <v>-</v>
      </c>
    </row>
    <row r="32185" customHeight="1" spans="2:2">
      <c r="B32185" s="62" t="str">
        <f>IF(AND('领用录入（明细）'!D:D=$F$4,'领用录入（明细）'!C:C&gt;=$J$4,'领用录入（明细）'!C:C&lt;=$L$4),ROW(),"-")</f>
        <v>-</v>
      </c>
    </row>
    <row r="32186" customHeight="1" spans="2:2">
      <c r="B32186" s="62" t="str">
        <f>IF(AND('领用录入（明细）'!D:D=$F$4,'领用录入（明细）'!C:C&gt;=$J$4,'领用录入（明细）'!C:C&lt;=$L$4),ROW(),"-")</f>
        <v>-</v>
      </c>
    </row>
    <row r="32187" customHeight="1" spans="2:2">
      <c r="B32187" s="62" t="str">
        <f>IF(AND('领用录入（明细）'!D:D=$F$4,'领用录入（明细）'!C:C&gt;=$J$4,'领用录入（明细）'!C:C&lt;=$L$4),ROW(),"-")</f>
        <v>-</v>
      </c>
    </row>
    <row r="32188" customHeight="1" spans="2:2">
      <c r="B32188" s="62" t="str">
        <f>IF(AND('领用录入（明细）'!D:D=$F$4,'领用录入（明细）'!C:C&gt;=$J$4,'领用录入（明细）'!C:C&lt;=$L$4),ROW(),"-")</f>
        <v>-</v>
      </c>
    </row>
    <row r="32189" customHeight="1" spans="2:2">
      <c r="B32189" s="62" t="str">
        <f>IF(AND('领用录入（明细）'!D:D=$F$4,'领用录入（明细）'!C:C&gt;=$J$4,'领用录入（明细）'!C:C&lt;=$L$4),ROW(),"-")</f>
        <v>-</v>
      </c>
    </row>
    <row r="32190" customHeight="1" spans="2:2">
      <c r="B32190" s="62" t="str">
        <f>IF(AND('领用录入（明细）'!D:D=$F$4,'领用录入（明细）'!C:C&gt;=$J$4,'领用录入（明细）'!C:C&lt;=$L$4),ROW(),"-")</f>
        <v>-</v>
      </c>
    </row>
    <row r="32191" customHeight="1" spans="2:2">
      <c r="B32191" s="62" t="str">
        <f>IF(AND('领用录入（明细）'!D:D=$F$4,'领用录入（明细）'!C:C&gt;=$J$4,'领用录入（明细）'!C:C&lt;=$L$4),ROW(),"-")</f>
        <v>-</v>
      </c>
    </row>
    <row r="32192" customHeight="1" spans="2:2">
      <c r="B32192" s="62" t="str">
        <f>IF(AND('领用录入（明细）'!D:D=$F$4,'领用录入（明细）'!C:C&gt;=$J$4,'领用录入（明细）'!C:C&lt;=$L$4),ROW(),"-")</f>
        <v>-</v>
      </c>
    </row>
    <row r="32193" customHeight="1" spans="2:2">
      <c r="B32193" s="62" t="str">
        <f>IF(AND('领用录入（明细）'!D:D=$F$4,'领用录入（明细）'!C:C&gt;=$J$4,'领用录入（明细）'!C:C&lt;=$L$4),ROW(),"-")</f>
        <v>-</v>
      </c>
    </row>
    <row r="32194" customHeight="1" spans="2:2">
      <c r="B32194" s="62" t="str">
        <f>IF(AND('领用录入（明细）'!D:D=$F$4,'领用录入（明细）'!C:C&gt;=$J$4,'领用录入（明细）'!C:C&lt;=$L$4),ROW(),"-")</f>
        <v>-</v>
      </c>
    </row>
    <row r="32195" customHeight="1" spans="2:2">
      <c r="B32195" s="62" t="str">
        <f>IF(AND('领用录入（明细）'!D:D=$F$4,'领用录入（明细）'!C:C&gt;=$J$4,'领用录入（明细）'!C:C&lt;=$L$4),ROW(),"-")</f>
        <v>-</v>
      </c>
    </row>
    <row r="32196" customHeight="1" spans="2:2">
      <c r="B32196" s="62" t="str">
        <f>IF(AND('领用录入（明细）'!D:D=$F$4,'领用录入（明细）'!C:C&gt;=$J$4,'领用录入（明细）'!C:C&lt;=$L$4),ROW(),"-")</f>
        <v>-</v>
      </c>
    </row>
    <row r="32197" customHeight="1" spans="2:2">
      <c r="B32197" s="62" t="str">
        <f>IF(AND('领用录入（明细）'!D:D=$F$4,'领用录入（明细）'!C:C&gt;=$J$4,'领用录入（明细）'!C:C&lt;=$L$4),ROW(),"-")</f>
        <v>-</v>
      </c>
    </row>
    <row r="32198" customHeight="1" spans="2:2">
      <c r="B32198" s="62" t="str">
        <f>IF(AND('领用录入（明细）'!D:D=$F$4,'领用录入（明细）'!C:C&gt;=$J$4,'领用录入（明细）'!C:C&lt;=$L$4),ROW(),"-")</f>
        <v>-</v>
      </c>
    </row>
    <row r="32199" customHeight="1" spans="2:2">
      <c r="B32199" s="62" t="str">
        <f>IF(AND('领用录入（明细）'!D:D=$F$4,'领用录入（明细）'!C:C&gt;=$J$4,'领用录入（明细）'!C:C&lt;=$L$4),ROW(),"-")</f>
        <v>-</v>
      </c>
    </row>
    <row r="32200" customHeight="1" spans="2:2">
      <c r="B32200" s="62" t="str">
        <f>IF(AND('领用录入（明细）'!D:D=$F$4,'领用录入（明细）'!C:C&gt;=$J$4,'领用录入（明细）'!C:C&lt;=$L$4),ROW(),"-")</f>
        <v>-</v>
      </c>
    </row>
    <row r="32201" customHeight="1" spans="2:2">
      <c r="B32201" s="62" t="str">
        <f>IF(AND('领用录入（明细）'!D:D=$F$4,'领用录入（明细）'!C:C&gt;=$J$4,'领用录入（明细）'!C:C&lt;=$L$4),ROW(),"-")</f>
        <v>-</v>
      </c>
    </row>
    <row r="32202" customHeight="1" spans="2:2">
      <c r="B32202" s="62" t="str">
        <f>IF(AND('领用录入（明细）'!D:D=$F$4,'领用录入（明细）'!C:C&gt;=$J$4,'领用录入（明细）'!C:C&lt;=$L$4),ROW(),"-")</f>
        <v>-</v>
      </c>
    </row>
    <row r="32203" customHeight="1" spans="2:2">
      <c r="B32203" s="62" t="str">
        <f>IF(AND('领用录入（明细）'!D:D=$F$4,'领用录入（明细）'!C:C&gt;=$J$4,'领用录入（明细）'!C:C&lt;=$L$4),ROW(),"-")</f>
        <v>-</v>
      </c>
    </row>
    <row r="32204" customHeight="1" spans="2:2">
      <c r="B32204" s="62" t="str">
        <f>IF(AND('领用录入（明细）'!D:D=$F$4,'领用录入（明细）'!C:C&gt;=$J$4,'领用录入（明细）'!C:C&lt;=$L$4),ROW(),"-")</f>
        <v>-</v>
      </c>
    </row>
    <row r="32205" customHeight="1" spans="2:2">
      <c r="B32205" s="62" t="str">
        <f>IF(AND('领用录入（明细）'!D:D=$F$4,'领用录入（明细）'!C:C&gt;=$J$4,'领用录入（明细）'!C:C&lt;=$L$4),ROW(),"-")</f>
        <v>-</v>
      </c>
    </row>
    <row r="32206" customHeight="1" spans="2:2">
      <c r="B32206" s="62" t="str">
        <f>IF(AND('领用录入（明细）'!D:D=$F$4,'领用录入（明细）'!C:C&gt;=$J$4,'领用录入（明细）'!C:C&lt;=$L$4),ROW(),"-")</f>
        <v>-</v>
      </c>
    </row>
    <row r="32207" customHeight="1" spans="2:2">
      <c r="B32207" s="62" t="str">
        <f>IF(AND('领用录入（明细）'!D:D=$F$4,'领用录入（明细）'!C:C&gt;=$J$4,'领用录入（明细）'!C:C&lt;=$L$4),ROW(),"-")</f>
        <v>-</v>
      </c>
    </row>
    <row r="32208" customHeight="1" spans="2:2">
      <c r="B32208" s="62" t="str">
        <f>IF(AND('领用录入（明细）'!D:D=$F$4,'领用录入（明细）'!C:C&gt;=$J$4,'领用录入（明细）'!C:C&lt;=$L$4),ROW(),"-")</f>
        <v>-</v>
      </c>
    </row>
    <row r="32209" customHeight="1" spans="2:2">
      <c r="B32209" s="62" t="str">
        <f>IF(AND('领用录入（明细）'!D:D=$F$4,'领用录入（明细）'!C:C&gt;=$J$4,'领用录入（明细）'!C:C&lt;=$L$4),ROW(),"-")</f>
        <v>-</v>
      </c>
    </row>
    <row r="32210" customHeight="1" spans="2:2">
      <c r="B32210" s="62" t="str">
        <f>IF(AND('领用录入（明细）'!D:D=$F$4,'领用录入（明细）'!C:C&gt;=$J$4,'领用录入（明细）'!C:C&lt;=$L$4),ROW(),"-")</f>
        <v>-</v>
      </c>
    </row>
    <row r="32211" customHeight="1" spans="2:2">
      <c r="B32211" s="62" t="str">
        <f>IF(AND('领用录入（明细）'!D:D=$F$4,'领用录入（明细）'!C:C&gt;=$J$4,'领用录入（明细）'!C:C&lt;=$L$4),ROW(),"-")</f>
        <v>-</v>
      </c>
    </row>
    <row r="32212" customHeight="1" spans="2:2">
      <c r="B32212" s="62" t="str">
        <f>IF(AND('领用录入（明细）'!D:D=$F$4,'领用录入（明细）'!C:C&gt;=$J$4,'领用录入（明细）'!C:C&lt;=$L$4),ROW(),"-")</f>
        <v>-</v>
      </c>
    </row>
    <row r="32213" customHeight="1" spans="2:2">
      <c r="B32213" s="62" t="str">
        <f>IF(AND('领用录入（明细）'!D:D=$F$4,'领用录入（明细）'!C:C&gt;=$J$4,'领用录入（明细）'!C:C&lt;=$L$4),ROW(),"-")</f>
        <v>-</v>
      </c>
    </row>
    <row r="32214" customHeight="1" spans="2:2">
      <c r="B32214" s="62" t="str">
        <f>IF(AND('领用录入（明细）'!D:D=$F$4,'领用录入（明细）'!C:C&gt;=$J$4,'领用录入（明细）'!C:C&lt;=$L$4),ROW(),"-")</f>
        <v>-</v>
      </c>
    </row>
    <row r="32215" customHeight="1" spans="2:2">
      <c r="B32215" s="62" t="str">
        <f>IF(AND('领用录入（明细）'!D:D=$F$4,'领用录入（明细）'!C:C&gt;=$J$4,'领用录入（明细）'!C:C&lt;=$L$4),ROW(),"-")</f>
        <v>-</v>
      </c>
    </row>
    <row r="32216" customHeight="1" spans="2:2">
      <c r="B32216" s="62" t="str">
        <f>IF(AND('领用录入（明细）'!D:D=$F$4,'领用录入（明细）'!C:C&gt;=$J$4,'领用录入（明细）'!C:C&lt;=$L$4),ROW(),"-")</f>
        <v>-</v>
      </c>
    </row>
    <row r="32217" customHeight="1" spans="2:2">
      <c r="B32217" s="62" t="str">
        <f>IF(AND('领用录入（明细）'!D:D=$F$4,'领用录入（明细）'!C:C&gt;=$J$4,'领用录入（明细）'!C:C&lt;=$L$4),ROW(),"-")</f>
        <v>-</v>
      </c>
    </row>
    <row r="32218" customHeight="1" spans="2:2">
      <c r="B32218" s="62" t="str">
        <f>IF(AND('领用录入（明细）'!D:D=$F$4,'领用录入（明细）'!C:C&gt;=$J$4,'领用录入（明细）'!C:C&lt;=$L$4),ROW(),"-")</f>
        <v>-</v>
      </c>
    </row>
    <row r="32219" customHeight="1" spans="2:2">
      <c r="B32219" s="62" t="str">
        <f>IF(AND('领用录入（明细）'!D:D=$F$4,'领用录入（明细）'!C:C&gt;=$J$4,'领用录入（明细）'!C:C&lt;=$L$4),ROW(),"-")</f>
        <v>-</v>
      </c>
    </row>
    <row r="32220" customHeight="1" spans="2:2">
      <c r="B32220" s="62" t="str">
        <f>IF(AND('领用录入（明细）'!D:D=$F$4,'领用录入（明细）'!C:C&gt;=$J$4,'领用录入（明细）'!C:C&lt;=$L$4),ROW(),"-")</f>
        <v>-</v>
      </c>
    </row>
    <row r="32221" customHeight="1" spans="2:2">
      <c r="B32221" s="62" t="str">
        <f>IF(AND('领用录入（明细）'!D:D=$F$4,'领用录入（明细）'!C:C&gt;=$J$4,'领用录入（明细）'!C:C&lt;=$L$4),ROW(),"-")</f>
        <v>-</v>
      </c>
    </row>
    <row r="32222" customHeight="1" spans="2:2">
      <c r="B32222" s="62" t="str">
        <f>IF(AND('领用录入（明细）'!D:D=$F$4,'领用录入（明细）'!C:C&gt;=$J$4,'领用录入（明细）'!C:C&lt;=$L$4),ROW(),"-")</f>
        <v>-</v>
      </c>
    </row>
    <row r="32223" customHeight="1" spans="2:2">
      <c r="B32223" s="62" t="str">
        <f>IF(AND('领用录入（明细）'!D:D=$F$4,'领用录入（明细）'!C:C&gt;=$J$4,'领用录入（明细）'!C:C&lt;=$L$4),ROW(),"-")</f>
        <v>-</v>
      </c>
    </row>
    <row r="32224" customHeight="1" spans="2:2">
      <c r="B32224" s="62" t="str">
        <f>IF(AND('领用录入（明细）'!D:D=$F$4,'领用录入（明细）'!C:C&gt;=$J$4,'领用录入（明细）'!C:C&lt;=$L$4),ROW(),"-")</f>
        <v>-</v>
      </c>
    </row>
    <row r="32225" customHeight="1" spans="2:2">
      <c r="B32225" s="62" t="str">
        <f>IF(AND('领用录入（明细）'!D:D=$F$4,'领用录入（明细）'!C:C&gt;=$J$4,'领用录入（明细）'!C:C&lt;=$L$4),ROW(),"-")</f>
        <v>-</v>
      </c>
    </row>
    <row r="32226" customHeight="1" spans="2:2">
      <c r="B32226" s="62" t="str">
        <f>IF(AND('领用录入（明细）'!D:D=$F$4,'领用录入（明细）'!C:C&gt;=$J$4,'领用录入（明细）'!C:C&lt;=$L$4),ROW(),"-")</f>
        <v>-</v>
      </c>
    </row>
    <row r="32227" customHeight="1" spans="2:2">
      <c r="B32227" s="62" t="str">
        <f>IF(AND('领用录入（明细）'!D:D=$F$4,'领用录入（明细）'!C:C&gt;=$J$4,'领用录入（明细）'!C:C&lt;=$L$4),ROW(),"-")</f>
        <v>-</v>
      </c>
    </row>
    <row r="32228" customHeight="1" spans="2:2">
      <c r="B32228" s="62" t="str">
        <f>IF(AND('领用录入（明细）'!D:D=$F$4,'领用录入（明细）'!C:C&gt;=$J$4,'领用录入（明细）'!C:C&lt;=$L$4),ROW(),"-")</f>
        <v>-</v>
      </c>
    </row>
    <row r="32229" customHeight="1" spans="2:2">
      <c r="B32229" s="62" t="str">
        <f>IF(AND('领用录入（明细）'!D:D=$F$4,'领用录入（明细）'!C:C&gt;=$J$4,'领用录入（明细）'!C:C&lt;=$L$4),ROW(),"-")</f>
        <v>-</v>
      </c>
    </row>
    <row r="32230" customHeight="1" spans="2:2">
      <c r="B32230" s="62" t="str">
        <f>IF(AND('领用录入（明细）'!D:D=$F$4,'领用录入（明细）'!C:C&gt;=$J$4,'领用录入（明细）'!C:C&lt;=$L$4),ROW(),"-")</f>
        <v>-</v>
      </c>
    </row>
    <row r="32231" customHeight="1" spans="2:2">
      <c r="B32231" s="62" t="str">
        <f>IF(AND('领用录入（明细）'!D:D=$F$4,'领用录入（明细）'!C:C&gt;=$J$4,'领用录入（明细）'!C:C&lt;=$L$4),ROW(),"-")</f>
        <v>-</v>
      </c>
    </row>
    <row r="32232" customHeight="1" spans="2:2">
      <c r="B32232" s="62" t="str">
        <f>IF(AND('领用录入（明细）'!D:D=$F$4,'领用录入（明细）'!C:C&gt;=$J$4,'领用录入（明细）'!C:C&lt;=$L$4),ROW(),"-")</f>
        <v>-</v>
      </c>
    </row>
    <row r="32233" customHeight="1" spans="2:2">
      <c r="B32233" s="62" t="str">
        <f>IF(AND('领用录入（明细）'!D:D=$F$4,'领用录入（明细）'!C:C&gt;=$J$4,'领用录入（明细）'!C:C&lt;=$L$4),ROW(),"-")</f>
        <v>-</v>
      </c>
    </row>
    <row r="32234" customHeight="1" spans="2:2">
      <c r="B32234" s="62" t="str">
        <f>IF(AND('领用录入（明细）'!D:D=$F$4,'领用录入（明细）'!C:C&gt;=$J$4,'领用录入（明细）'!C:C&lt;=$L$4),ROW(),"-")</f>
        <v>-</v>
      </c>
    </row>
    <row r="32235" customHeight="1" spans="2:2">
      <c r="B32235" s="62" t="str">
        <f>IF(AND('领用录入（明细）'!D:D=$F$4,'领用录入（明细）'!C:C&gt;=$J$4,'领用录入（明细）'!C:C&lt;=$L$4),ROW(),"-")</f>
        <v>-</v>
      </c>
    </row>
    <row r="32236" customHeight="1" spans="2:2">
      <c r="B32236" s="62" t="str">
        <f>IF(AND('领用录入（明细）'!D:D=$F$4,'领用录入（明细）'!C:C&gt;=$J$4,'领用录入（明细）'!C:C&lt;=$L$4),ROW(),"-")</f>
        <v>-</v>
      </c>
    </row>
    <row r="32237" customHeight="1" spans="2:2">
      <c r="B32237" s="62" t="str">
        <f>IF(AND('领用录入（明细）'!D:D=$F$4,'领用录入（明细）'!C:C&gt;=$J$4,'领用录入（明细）'!C:C&lt;=$L$4),ROW(),"-")</f>
        <v>-</v>
      </c>
    </row>
    <row r="32238" customHeight="1" spans="2:2">
      <c r="B32238" s="62" t="str">
        <f>IF(AND('领用录入（明细）'!D:D=$F$4,'领用录入（明细）'!C:C&gt;=$J$4,'领用录入（明细）'!C:C&lt;=$L$4),ROW(),"-")</f>
        <v>-</v>
      </c>
    </row>
    <row r="32239" customHeight="1" spans="2:2">
      <c r="B32239" s="62" t="str">
        <f>IF(AND('领用录入（明细）'!D:D=$F$4,'领用录入（明细）'!C:C&gt;=$J$4,'领用录入（明细）'!C:C&lt;=$L$4),ROW(),"-")</f>
        <v>-</v>
      </c>
    </row>
    <row r="32240" customHeight="1" spans="2:2">
      <c r="B32240" s="62" t="str">
        <f>IF(AND('领用录入（明细）'!D:D=$F$4,'领用录入（明细）'!C:C&gt;=$J$4,'领用录入（明细）'!C:C&lt;=$L$4),ROW(),"-")</f>
        <v>-</v>
      </c>
    </row>
    <row r="32241" customHeight="1" spans="2:2">
      <c r="B32241" s="62" t="str">
        <f>IF(AND('领用录入（明细）'!D:D=$F$4,'领用录入（明细）'!C:C&gt;=$J$4,'领用录入（明细）'!C:C&lt;=$L$4),ROW(),"-")</f>
        <v>-</v>
      </c>
    </row>
    <row r="32242" customHeight="1" spans="2:2">
      <c r="B32242" s="62" t="str">
        <f>IF(AND('领用录入（明细）'!D:D=$F$4,'领用录入（明细）'!C:C&gt;=$J$4,'领用录入（明细）'!C:C&lt;=$L$4),ROW(),"-")</f>
        <v>-</v>
      </c>
    </row>
    <row r="32243" customHeight="1" spans="2:2">
      <c r="B32243" s="62" t="str">
        <f>IF(AND('领用录入（明细）'!D:D=$F$4,'领用录入（明细）'!C:C&gt;=$J$4,'领用录入（明细）'!C:C&lt;=$L$4),ROW(),"-")</f>
        <v>-</v>
      </c>
    </row>
    <row r="32244" customHeight="1" spans="2:2">
      <c r="B32244" s="62" t="str">
        <f>IF(AND('领用录入（明细）'!D:D=$F$4,'领用录入（明细）'!C:C&gt;=$J$4,'领用录入（明细）'!C:C&lt;=$L$4),ROW(),"-")</f>
        <v>-</v>
      </c>
    </row>
    <row r="32245" customHeight="1" spans="2:2">
      <c r="B32245" s="62" t="str">
        <f>IF(AND('领用录入（明细）'!D:D=$F$4,'领用录入（明细）'!C:C&gt;=$J$4,'领用录入（明细）'!C:C&lt;=$L$4),ROW(),"-")</f>
        <v>-</v>
      </c>
    </row>
    <row r="32246" customHeight="1" spans="2:2">
      <c r="B32246" s="62" t="str">
        <f>IF(AND('领用录入（明细）'!D:D=$F$4,'领用录入（明细）'!C:C&gt;=$J$4,'领用录入（明细）'!C:C&lt;=$L$4),ROW(),"-")</f>
        <v>-</v>
      </c>
    </row>
    <row r="32247" customHeight="1" spans="2:2">
      <c r="B32247" s="62" t="str">
        <f>IF(AND('领用录入（明细）'!D:D=$F$4,'领用录入（明细）'!C:C&gt;=$J$4,'领用录入（明细）'!C:C&lt;=$L$4),ROW(),"-")</f>
        <v>-</v>
      </c>
    </row>
    <row r="32248" customHeight="1" spans="2:2">
      <c r="B32248" s="62" t="str">
        <f>IF(AND('领用录入（明细）'!D:D=$F$4,'领用录入（明细）'!C:C&gt;=$J$4,'领用录入（明细）'!C:C&lt;=$L$4),ROW(),"-")</f>
        <v>-</v>
      </c>
    </row>
    <row r="32249" customHeight="1" spans="2:2">
      <c r="B32249" s="62" t="str">
        <f>IF(AND('领用录入（明细）'!D:D=$F$4,'领用录入（明细）'!C:C&gt;=$J$4,'领用录入（明细）'!C:C&lt;=$L$4),ROW(),"-")</f>
        <v>-</v>
      </c>
    </row>
    <row r="32250" customHeight="1" spans="2:2">
      <c r="B32250" s="62" t="str">
        <f>IF(AND('领用录入（明细）'!D:D=$F$4,'领用录入（明细）'!C:C&gt;=$J$4,'领用录入（明细）'!C:C&lt;=$L$4),ROW(),"-")</f>
        <v>-</v>
      </c>
    </row>
    <row r="32251" customHeight="1" spans="2:2">
      <c r="B32251" s="62" t="str">
        <f>IF(AND('领用录入（明细）'!D:D=$F$4,'领用录入（明细）'!C:C&gt;=$J$4,'领用录入（明细）'!C:C&lt;=$L$4),ROW(),"-")</f>
        <v>-</v>
      </c>
    </row>
    <row r="32252" customHeight="1" spans="2:2">
      <c r="B32252" s="62" t="str">
        <f>IF(AND('领用录入（明细）'!D:D=$F$4,'领用录入（明细）'!C:C&gt;=$J$4,'领用录入（明细）'!C:C&lt;=$L$4),ROW(),"-")</f>
        <v>-</v>
      </c>
    </row>
    <row r="32253" customHeight="1" spans="2:2">
      <c r="B32253" s="62" t="str">
        <f>IF(AND('领用录入（明细）'!D:D=$F$4,'领用录入（明细）'!C:C&gt;=$J$4,'领用录入（明细）'!C:C&lt;=$L$4),ROW(),"-")</f>
        <v>-</v>
      </c>
    </row>
    <row r="32254" customHeight="1" spans="2:2">
      <c r="B32254" s="62" t="str">
        <f>IF(AND('领用录入（明细）'!D:D=$F$4,'领用录入（明细）'!C:C&gt;=$J$4,'领用录入（明细）'!C:C&lt;=$L$4),ROW(),"-")</f>
        <v>-</v>
      </c>
    </row>
    <row r="32255" customHeight="1" spans="2:2">
      <c r="B32255" s="62" t="str">
        <f>IF(AND('领用录入（明细）'!D:D=$F$4,'领用录入（明细）'!C:C&gt;=$J$4,'领用录入（明细）'!C:C&lt;=$L$4),ROW(),"-")</f>
        <v>-</v>
      </c>
    </row>
    <row r="32256" customHeight="1" spans="2:2">
      <c r="B32256" s="62" t="str">
        <f>IF(AND('领用录入（明细）'!D:D=$F$4,'领用录入（明细）'!C:C&gt;=$J$4,'领用录入（明细）'!C:C&lt;=$L$4),ROW(),"-")</f>
        <v>-</v>
      </c>
    </row>
    <row r="32257" customHeight="1" spans="2:2">
      <c r="B32257" s="62" t="str">
        <f>IF(AND('领用录入（明细）'!D:D=$F$4,'领用录入（明细）'!C:C&gt;=$J$4,'领用录入（明细）'!C:C&lt;=$L$4),ROW(),"-")</f>
        <v>-</v>
      </c>
    </row>
    <row r="32258" customHeight="1" spans="2:2">
      <c r="B32258" s="62" t="str">
        <f>IF(AND('领用录入（明细）'!D:D=$F$4,'领用录入（明细）'!C:C&gt;=$J$4,'领用录入（明细）'!C:C&lt;=$L$4),ROW(),"-")</f>
        <v>-</v>
      </c>
    </row>
    <row r="32259" customHeight="1" spans="2:2">
      <c r="B32259" s="62" t="str">
        <f>IF(AND('领用录入（明细）'!D:D=$F$4,'领用录入（明细）'!C:C&gt;=$J$4,'领用录入（明细）'!C:C&lt;=$L$4),ROW(),"-")</f>
        <v>-</v>
      </c>
    </row>
    <row r="32260" customHeight="1" spans="2:2">
      <c r="B32260" s="62" t="str">
        <f>IF(AND('领用录入（明细）'!D:D=$F$4,'领用录入（明细）'!C:C&gt;=$J$4,'领用录入（明细）'!C:C&lt;=$L$4),ROW(),"-")</f>
        <v>-</v>
      </c>
    </row>
    <row r="32261" customHeight="1" spans="2:2">
      <c r="B32261" s="62" t="str">
        <f>IF(AND('领用录入（明细）'!D:D=$F$4,'领用录入（明细）'!C:C&gt;=$J$4,'领用录入（明细）'!C:C&lt;=$L$4),ROW(),"-")</f>
        <v>-</v>
      </c>
    </row>
    <row r="32262" customHeight="1" spans="2:2">
      <c r="B32262" s="62" t="str">
        <f>IF(AND('领用录入（明细）'!D:D=$F$4,'领用录入（明细）'!C:C&gt;=$J$4,'领用录入（明细）'!C:C&lt;=$L$4),ROW(),"-")</f>
        <v>-</v>
      </c>
    </row>
    <row r="32263" customHeight="1" spans="2:2">
      <c r="B32263" s="62" t="str">
        <f>IF(AND('领用录入（明细）'!D:D=$F$4,'领用录入（明细）'!C:C&gt;=$J$4,'领用录入（明细）'!C:C&lt;=$L$4),ROW(),"-")</f>
        <v>-</v>
      </c>
    </row>
    <row r="32264" customHeight="1" spans="2:2">
      <c r="B32264" s="62" t="str">
        <f>IF(AND('领用录入（明细）'!D:D=$F$4,'领用录入（明细）'!C:C&gt;=$J$4,'领用录入（明细）'!C:C&lt;=$L$4),ROW(),"-")</f>
        <v>-</v>
      </c>
    </row>
    <row r="32265" customHeight="1" spans="2:2">
      <c r="B32265" s="62" t="str">
        <f>IF(AND('领用录入（明细）'!D:D=$F$4,'领用录入（明细）'!C:C&gt;=$J$4,'领用录入（明细）'!C:C&lt;=$L$4),ROW(),"-")</f>
        <v>-</v>
      </c>
    </row>
    <row r="32266" customHeight="1" spans="2:2">
      <c r="B32266" s="62" t="str">
        <f>IF(AND('领用录入（明细）'!D:D=$F$4,'领用录入（明细）'!C:C&gt;=$J$4,'领用录入（明细）'!C:C&lt;=$L$4),ROW(),"-")</f>
        <v>-</v>
      </c>
    </row>
    <row r="32267" customHeight="1" spans="2:2">
      <c r="B32267" s="62" t="str">
        <f>IF(AND('领用录入（明细）'!D:D=$F$4,'领用录入（明细）'!C:C&gt;=$J$4,'领用录入（明细）'!C:C&lt;=$L$4),ROW(),"-")</f>
        <v>-</v>
      </c>
    </row>
    <row r="32268" customHeight="1" spans="2:2">
      <c r="B32268" s="62" t="str">
        <f>IF(AND('领用录入（明细）'!D:D=$F$4,'领用录入（明细）'!C:C&gt;=$J$4,'领用录入（明细）'!C:C&lt;=$L$4),ROW(),"-")</f>
        <v>-</v>
      </c>
    </row>
    <row r="32269" customHeight="1" spans="2:2">
      <c r="B32269" s="62" t="str">
        <f>IF(AND('领用录入（明细）'!D:D=$F$4,'领用录入（明细）'!C:C&gt;=$J$4,'领用录入（明细）'!C:C&lt;=$L$4),ROW(),"-")</f>
        <v>-</v>
      </c>
    </row>
    <row r="32270" customHeight="1" spans="2:2">
      <c r="B32270" s="62" t="str">
        <f>IF(AND('领用录入（明细）'!D:D=$F$4,'领用录入（明细）'!C:C&gt;=$J$4,'领用录入（明细）'!C:C&lt;=$L$4),ROW(),"-")</f>
        <v>-</v>
      </c>
    </row>
    <row r="32271" customHeight="1" spans="2:2">
      <c r="B32271" s="62" t="str">
        <f>IF(AND('领用录入（明细）'!D:D=$F$4,'领用录入（明细）'!C:C&gt;=$J$4,'领用录入（明细）'!C:C&lt;=$L$4),ROW(),"-")</f>
        <v>-</v>
      </c>
    </row>
    <row r="32272" customHeight="1" spans="2:2">
      <c r="B32272" s="62" t="str">
        <f>IF(AND('领用录入（明细）'!D:D=$F$4,'领用录入（明细）'!C:C&gt;=$J$4,'领用录入（明细）'!C:C&lt;=$L$4),ROW(),"-")</f>
        <v>-</v>
      </c>
    </row>
    <row r="32273" customHeight="1" spans="2:2">
      <c r="B32273" s="62" t="str">
        <f>IF(AND('领用录入（明细）'!D:D=$F$4,'领用录入（明细）'!C:C&gt;=$J$4,'领用录入（明细）'!C:C&lt;=$L$4),ROW(),"-")</f>
        <v>-</v>
      </c>
    </row>
    <row r="32274" customHeight="1" spans="2:2">
      <c r="B32274" s="62" t="str">
        <f>IF(AND('领用录入（明细）'!D:D=$F$4,'领用录入（明细）'!C:C&gt;=$J$4,'领用录入（明细）'!C:C&lt;=$L$4),ROW(),"-")</f>
        <v>-</v>
      </c>
    </row>
    <row r="32275" customHeight="1" spans="2:2">
      <c r="B32275" s="62" t="str">
        <f>IF(AND('领用录入（明细）'!D:D=$F$4,'领用录入（明细）'!C:C&gt;=$J$4,'领用录入（明细）'!C:C&lt;=$L$4),ROW(),"-")</f>
        <v>-</v>
      </c>
    </row>
    <row r="32276" customHeight="1" spans="2:2">
      <c r="B32276" s="62" t="str">
        <f>IF(AND('领用录入（明细）'!D:D=$F$4,'领用录入（明细）'!C:C&gt;=$J$4,'领用录入（明细）'!C:C&lt;=$L$4),ROW(),"-")</f>
        <v>-</v>
      </c>
    </row>
    <row r="32277" customHeight="1" spans="2:2">
      <c r="B32277" s="62" t="str">
        <f>IF(AND('领用录入（明细）'!D:D=$F$4,'领用录入（明细）'!C:C&gt;=$J$4,'领用录入（明细）'!C:C&lt;=$L$4),ROW(),"-")</f>
        <v>-</v>
      </c>
    </row>
    <row r="32278" customHeight="1" spans="2:2">
      <c r="B32278" s="62" t="str">
        <f>IF(AND('领用录入（明细）'!D:D=$F$4,'领用录入（明细）'!C:C&gt;=$J$4,'领用录入（明细）'!C:C&lt;=$L$4),ROW(),"-")</f>
        <v>-</v>
      </c>
    </row>
    <row r="32279" customHeight="1" spans="2:2">
      <c r="B32279" s="62" t="str">
        <f>IF(AND('领用录入（明细）'!D:D=$F$4,'领用录入（明细）'!C:C&gt;=$J$4,'领用录入（明细）'!C:C&lt;=$L$4),ROW(),"-")</f>
        <v>-</v>
      </c>
    </row>
    <row r="32280" customHeight="1" spans="2:2">
      <c r="B32280" s="62" t="str">
        <f>IF(AND('领用录入（明细）'!D:D=$F$4,'领用录入（明细）'!C:C&gt;=$J$4,'领用录入（明细）'!C:C&lt;=$L$4),ROW(),"-")</f>
        <v>-</v>
      </c>
    </row>
    <row r="32281" customHeight="1" spans="2:2">
      <c r="B32281" s="62" t="str">
        <f>IF(AND('领用录入（明细）'!D:D=$F$4,'领用录入（明细）'!C:C&gt;=$J$4,'领用录入（明细）'!C:C&lt;=$L$4),ROW(),"-")</f>
        <v>-</v>
      </c>
    </row>
    <row r="32282" customHeight="1" spans="2:2">
      <c r="B32282" s="62" t="str">
        <f>IF(AND('领用录入（明细）'!D:D=$F$4,'领用录入（明细）'!C:C&gt;=$J$4,'领用录入（明细）'!C:C&lt;=$L$4),ROW(),"-")</f>
        <v>-</v>
      </c>
    </row>
    <row r="32283" customHeight="1" spans="2:2">
      <c r="B32283" s="62" t="str">
        <f>IF(AND('领用录入（明细）'!D:D=$F$4,'领用录入（明细）'!C:C&gt;=$J$4,'领用录入（明细）'!C:C&lt;=$L$4),ROW(),"-")</f>
        <v>-</v>
      </c>
    </row>
    <row r="32284" customHeight="1" spans="2:2">
      <c r="B32284" s="62" t="str">
        <f>IF(AND('领用录入（明细）'!D:D=$F$4,'领用录入（明细）'!C:C&gt;=$J$4,'领用录入（明细）'!C:C&lt;=$L$4),ROW(),"-")</f>
        <v>-</v>
      </c>
    </row>
    <row r="32285" customHeight="1" spans="2:2">
      <c r="B32285" s="62" t="str">
        <f>IF(AND('领用录入（明细）'!D:D=$F$4,'领用录入（明细）'!C:C&gt;=$J$4,'领用录入（明细）'!C:C&lt;=$L$4),ROW(),"-")</f>
        <v>-</v>
      </c>
    </row>
    <row r="32286" customHeight="1" spans="2:2">
      <c r="B32286" s="62" t="str">
        <f>IF(AND('领用录入（明细）'!D:D=$F$4,'领用录入（明细）'!C:C&gt;=$J$4,'领用录入（明细）'!C:C&lt;=$L$4),ROW(),"-")</f>
        <v>-</v>
      </c>
    </row>
    <row r="32287" customHeight="1" spans="2:2">
      <c r="B32287" s="62" t="str">
        <f>IF(AND('领用录入（明细）'!D:D=$F$4,'领用录入（明细）'!C:C&gt;=$J$4,'领用录入（明细）'!C:C&lt;=$L$4),ROW(),"-")</f>
        <v>-</v>
      </c>
    </row>
    <row r="32288" customHeight="1" spans="2:2">
      <c r="B32288" s="62" t="str">
        <f>IF(AND('领用录入（明细）'!D:D=$F$4,'领用录入（明细）'!C:C&gt;=$J$4,'领用录入（明细）'!C:C&lt;=$L$4),ROW(),"-")</f>
        <v>-</v>
      </c>
    </row>
    <row r="32289" customHeight="1" spans="2:2">
      <c r="B32289" s="62" t="str">
        <f>IF(AND('领用录入（明细）'!D:D=$F$4,'领用录入（明细）'!C:C&gt;=$J$4,'领用录入（明细）'!C:C&lt;=$L$4),ROW(),"-")</f>
        <v>-</v>
      </c>
    </row>
    <row r="32290" customHeight="1" spans="2:2">
      <c r="B32290" s="62" t="str">
        <f>IF(AND('领用录入（明细）'!D:D=$F$4,'领用录入（明细）'!C:C&gt;=$J$4,'领用录入（明细）'!C:C&lt;=$L$4),ROW(),"-")</f>
        <v>-</v>
      </c>
    </row>
    <row r="32291" customHeight="1" spans="2:2">
      <c r="B32291" s="62" t="str">
        <f>IF(AND('领用录入（明细）'!D:D=$F$4,'领用录入（明细）'!C:C&gt;=$J$4,'领用录入（明细）'!C:C&lt;=$L$4),ROW(),"-")</f>
        <v>-</v>
      </c>
    </row>
    <row r="32292" customHeight="1" spans="2:2">
      <c r="B32292" s="62" t="str">
        <f>IF(AND('领用录入（明细）'!D:D=$F$4,'领用录入（明细）'!C:C&gt;=$J$4,'领用录入（明细）'!C:C&lt;=$L$4),ROW(),"-")</f>
        <v>-</v>
      </c>
    </row>
    <row r="32293" customHeight="1" spans="2:2">
      <c r="B32293" s="62" t="str">
        <f>IF(AND('领用录入（明细）'!D:D=$F$4,'领用录入（明细）'!C:C&gt;=$J$4,'领用录入（明细）'!C:C&lt;=$L$4),ROW(),"-")</f>
        <v>-</v>
      </c>
    </row>
    <row r="32294" customHeight="1" spans="2:2">
      <c r="B32294" s="62" t="str">
        <f>IF(AND('领用录入（明细）'!D:D=$F$4,'领用录入（明细）'!C:C&gt;=$J$4,'领用录入（明细）'!C:C&lt;=$L$4),ROW(),"-")</f>
        <v>-</v>
      </c>
    </row>
    <row r="32295" customHeight="1" spans="2:2">
      <c r="B32295" s="62" t="str">
        <f>IF(AND('领用录入（明细）'!D:D=$F$4,'领用录入（明细）'!C:C&gt;=$J$4,'领用录入（明细）'!C:C&lt;=$L$4),ROW(),"-")</f>
        <v>-</v>
      </c>
    </row>
    <row r="32296" customHeight="1" spans="2:2">
      <c r="B32296" s="62" t="str">
        <f>IF(AND('领用录入（明细）'!D:D=$F$4,'领用录入（明细）'!C:C&gt;=$J$4,'领用录入（明细）'!C:C&lt;=$L$4),ROW(),"-")</f>
        <v>-</v>
      </c>
    </row>
    <row r="32297" customHeight="1" spans="2:2">
      <c r="B32297" s="62" t="str">
        <f>IF(AND('领用录入（明细）'!D:D=$F$4,'领用录入（明细）'!C:C&gt;=$J$4,'领用录入（明细）'!C:C&lt;=$L$4),ROW(),"-")</f>
        <v>-</v>
      </c>
    </row>
    <row r="32298" customHeight="1" spans="2:2">
      <c r="B32298" s="62" t="str">
        <f>IF(AND('领用录入（明细）'!D:D=$F$4,'领用录入（明细）'!C:C&gt;=$J$4,'领用录入（明细）'!C:C&lt;=$L$4),ROW(),"-")</f>
        <v>-</v>
      </c>
    </row>
    <row r="32299" customHeight="1" spans="2:2">
      <c r="B32299" s="62" t="str">
        <f>IF(AND('领用录入（明细）'!D:D=$F$4,'领用录入（明细）'!C:C&gt;=$J$4,'领用录入（明细）'!C:C&lt;=$L$4),ROW(),"-")</f>
        <v>-</v>
      </c>
    </row>
    <row r="32300" customHeight="1" spans="2:2">
      <c r="B32300" s="62" t="str">
        <f>IF(AND('领用录入（明细）'!D:D=$F$4,'领用录入（明细）'!C:C&gt;=$J$4,'领用录入（明细）'!C:C&lt;=$L$4),ROW(),"-")</f>
        <v>-</v>
      </c>
    </row>
    <row r="32301" customHeight="1" spans="2:2">
      <c r="B32301" s="62" t="str">
        <f>IF(AND('领用录入（明细）'!D:D=$F$4,'领用录入（明细）'!C:C&gt;=$J$4,'领用录入（明细）'!C:C&lt;=$L$4),ROW(),"-")</f>
        <v>-</v>
      </c>
    </row>
    <row r="32302" customHeight="1" spans="2:2">
      <c r="B32302" s="62" t="str">
        <f>IF(AND('领用录入（明细）'!D:D=$F$4,'领用录入（明细）'!C:C&gt;=$J$4,'领用录入（明细）'!C:C&lt;=$L$4),ROW(),"-")</f>
        <v>-</v>
      </c>
    </row>
    <row r="32303" customHeight="1" spans="2:2">
      <c r="B32303" s="62" t="str">
        <f>IF(AND('领用录入（明细）'!D:D=$F$4,'领用录入（明细）'!C:C&gt;=$J$4,'领用录入（明细）'!C:C&lt;=$L$4),ROW(),"-")</f>
        <v>-</v>
      </c>
    </row>
    <row r="32304" customHeight="1" spans="2:2">
      <c r="B32304" s="62" t="str">
        <f>IF(AND('领用录入（明细）'!D:D=$F$4,'领用录入（明细）'!C:C&gt;=$J$4,'领用录入（明细）'!C:C&lt;=$L$4),ROW(),"-")</f>
        <v>-</v>
      </c>
    </row>
    <row r="32305" customHeight="1" spans="2:2">
      <c r="B32305" s="62" t="str">
        <f>IF(AND('领用录入（明细）'!D:D=$F$4,'领用录入（明细）'!C:C&gt;=$J$4,'领用录入（明细）'!C:C&lt;=$L$4),ROW(),"-")</f>
        <v>-</v>
      </c>
    </row>
    <row r="32306" customHeight="1" spans="2:2">
      <c r="B32306" s="62" t="str">
        <f>IF(AND('领用录入（明细）'!D:D=$F$4,'领用录入（明细）'!C:C&gt;=$J$4,'领用录入（明细）'!C:C&lt;=$L$4),ROW(),"-")</f>
        <v>-</v>
      </c>
    </row>
    <row r="32307" customHeight="1" spans="2:2">
      <c r="B32307" s="62" t="str">
        <f>IF(AND('领用录入（明细）'!D:D=$F$4,'领用录入（明细）'!C:C&gt;=$J$4,'领用录入（明细）'!C:C&lt;=$L$4),ROW(),"-")</f>
        <v>-</v>
      </c>
    </row>
    <row r="32308" customHeight="1" spans="2:2">
      <c r="B32308" s="62" t="str">
        <f>IF(AND('领用录入（明细）'!D:D=$F$4,'领用录入（明细）'!C:C&gt;=$J$4,'领用录入（明细）'!C:C&lt;=$L$4),ROW(),"-")</f>
        <v>-</v>
      </c>
    </row>
    <row r="32309" customHeight="1" spans="2:2">
      <c r="B32309" s="62" t="str">
        <f>IF(AND('领用录入（明细）'!D:D=$F$4,'领用录入（明细）'!C:C&gt;=$J$4,'领用录入（明细）'!C:C&lt;=$L$4),ROW(),"-")</f>
        <v>-</v>
      </c>
    </row>
    <row r="32310" customHeight="1" spans="2:2">
      <c r="B32310" s="62" t="str">
        <f>IF(AND('领用录入（明细）'!D:D=$F$4,'领用录入（明细）'!C:C&gt;=$J$4,'领用录入（明细）'!C:C&lt;=$L$4),ROW(),"-")</f>
        <v>-</v>
      </c>
    </row>
    <row r="32311" customHeight="1" spans="2:2">
      <c r="B32311" s="62" t="str">
        <f>IF(AND('领用录入（明细）'!D:D=$F$4,'领用录入（明细）'!C:C&gt;=$J$4,'领用录入（明细）'!C:C&lt;=$L$4),ROW(),"-")</f>
        <v>-</v>
      </c>
    </row>
    <row r="32312" customHeight="1" spans="2:2">
      <c r="B32312" s="62" t="str">
        <f>IF(AND('领用录入（明细）'!D:D=$F$4,'领用录入（明细）'!C:C&gt;=$J$4,'领用录入（明细）'!C:C&lt;=$L$4),ROW(),"-")</f>
        <v>-</v>
      </c>
    </row>
    <row r="32313" customHeight="1" spans="2:2">
      <c r="B32313" s="62" t="str">
        <f>IF(AND('领用录入（明细）'!D:D=$F$4,'领用录入（明细）'!C:C&gt;=$J$4,'领用录入（明细）'!C:C&lt;=$L$4),ROW(),"-")</f>
        <v>-</v>
      </c>
    </row>
    <row r="32314" customHeight="1" spans="2:2">
      <c r="B32314" s="62" t="str">
        <f>IF(AND('领用录入（明细）'!D:D=$F$4,'领用录入（明细）'!C:C&gt;=$J$4,'领用录入（明细）'!C:C&lt;=$L$4),ROW(),"-")</f>
        <v>-</v>
      </c>
    </row>
    <row r="32315" customHeight="1" spans="2:2">
      <c r="B32315" s="62" t="str">
        <f>IF(AND('领用录入（明细）'!D:D=$F$4,'领用录入（明细）'!C:C&gt;=$J$4,'领用录入（明细）'!C:C&lt;=$L$4),ROW(),"-")</f>
        <v>-</v>
      </c>
    </row>
    <row r="32316" customHeight="1" spans="2:2">
      <c r="B32316" s="62" t="str">
        <f>IF(AND('领用录入（明细）'!D:D=$F$4,'领用录入（明细）'!C:C&gt;=$J$4,'领用录入（明细）'!C:C&lt;=$L$4),ROW(),"-")</f>
        <v>-</v>
      </c>
    </row>
    <row r="32317" customHeight="1" spans="2:2">
      <c r="B32317" s="62" t="str">
        <f>IF(AND('领用录入（明细）'!D:D=$F$4,'领用录入（明细）'!C:C&gt;=$J$4,'领用录入（明细）'!C:C&lt;=$L$4),ROW(),"-")</f>
        <v>-</v>
      </c>
    </row>
    <row r="32318" customHeight="1" spans="2:2">
      <c r="B32318" s="62" t="str">
        <f>IF(AND('领用录入（明细）'!D:D=$F$4,'领用录入（明细）'!C:C&gt;=$J$4,'领用录入（明细）'!C:C&lt;=$L$4),ROW(),"-")</f>
        <v>-</v>
      </c>
    </row>
    <row r="32319" customHeight="1" spans="2:2">
      <c r="B32319" s="62" t="str">
        <f>IF(AND('领用录入（明细）'!D:D=$F$4,'领用录入（明细）'!C:C&gt;=$J$4,'领用录入（明细）'!C:C&lt;=$L$4),ROW(),"-")</f>
        <v>-</v>
      </c>
    </row>
    <row r="32320" customHeight="1" spans="2:2">
      <c r="B32320" s="62" t="str">
        <f>IF(AND('领用录入（明细）'!D:D=$F$4,'领用录入（明细）'!C:C&gt;=$J$4,'领用录入（明细）'!C:C&lt;=$L$4),ROW(),"-")</f>
        <v>-</v>
      </c>
    </row>
    <row r="32321" customHeight="1" spans="2:2">
      <c r="B32321" s="62" t="str">
        <f>IF(AND('领用录入（明细）'!D:D=$F$4,'领用录入（明细）'!C:C&gt;=$J$4,'领用录入（明细）'!C:C&lt;=$L$4),ROW(),"-")</f>
        <v>-</v>
      </c>
    </row>
    <row r="32322" customHeight="1" spans="2:2">
      <c r="B32322" s="62" t="str">
        <f>IF(AND('领用录入（明细）'!D:D=$F$4,'领用录入（明细）'!C:C&gt;=$J$4,'领用录入（明细）'!C:C&lt;=$L$4),ROW(),"-")</f>
        <v>-</v>
      </c>
    </row>
    <row r="32323" customHeight="1" spans="2:2">
      <c r="B32323" s="62" t="str">
        <f>IF(AND('领用录入（明细）'!D:D=$F$4,'领用录入（明细）'!C:C&gt;=$J$4,'领用录入（明细）'!C:C&lt;=$L$4),ROW(),"-")</f>
        <v>-</v>
      </c>
    </row>
    <row r="32324" customHeight="1" spans="2:2">
      <c r="B32324" s="62" t="str">
        <f>IF(AND('领用录入（明细）'!D:D=$F$4,'领用录入（明细）'!C:C&gt;=$J$4,'领用录入（明细）'!C:C&lt;=$L$4),ROW(),"-")</f>
        <v>-</v>
      </c>
    </row>
    <row r="32325" customHeight="1" spans="2:2">
      <c r="B32325" s="62" t="str">
        <f>IF(AND('领用录入（明细）'!D:D=$F$4,'领用录入（明细）'!C:C&gt;=$J$4,'领用录入（明细）'!C:C&lt;=$L$4),ROW(),"-")</f>
        <v>-</v>
      </c>
    </row>
    <row r="32326" customHeight="1" spans="2:2">
      <c r="B32326" s="62" t="str">
        <f>IF(AND('领用录入（明细）'!D:D=$F$4,'领用录入（明细）'!C:C&gt;=$J$4,'领用录入（明细）'!C:C&lt;=$L$4),ROW(),"-")</f>
        <v>-</v>
      </c>
    </row>
    <row r="32327" customHeight="1" spans="2:2">
      <c r="B32327" s="62" t="str">
        <f>IF(AND('领用录入（明细）'!D:D=$F$4,'领用录入（明细）'!C:C&gt;=$J$4,'领用录入（明细）'!C:C&lt;=$L$4),ROW(),"-")</f>
        <v>-</v>
      </c>
    </row>
    <row r="32328" customHeight="1" spans="2:2">
      <c r="B32328" s="62" t="str">
        <f>IF(AND('领用录入（明细）'!D:D=$F$4,'领用录入（明细）'!C:C&gt;=$J$4,'领用录入（明细）'!C:C&lt;=$L$4),ROW(),"-")</f>
        <v>-</v>
      </c>
    </row>
    <row r="32329" customHeight="1" spans="2:2">
      <c r="B32329" s="62" t="str">
        <f>IF(AND('领用录入（明细）'!D:D=$F$4,'领用录入（明细）'!C:C&gt;=$J$4,'领用录入（明细）'!C:C&lt;=$L$4),ROW(),"-")</f>
        <v>-</v>
      </c>
    </row>
    <row r="32330" customHeight="1" spans="2:2">
      <c r="B32330" s="62" t="str">
        <f>IF(AND('领用录入（明细）'!D:D=$F$4,'领用录入（明细）'!C:C&gt;=$J$4,'领用录入（明细）'!C:C&lt;=$L$4),ROW(),"-")</f>
        <v>-</v>
      </c>
    </row>
    <row r="32331" customHeight="1" spans="2:2">
      <c r="B32331" s="62" t="str">
        <f>IF(AND('领用录入（明细）'!D:D=$F$4,'领用录入（明细）'!C:C&gt;=$J$4,'领用录入（明细）'!C:C&lt;=$L$4),ROW(),"-")</f>
        <v>-</v>
      </c>
    </row>
    <row r="32332" customHeight="1" spans="2:2">
      <c r="B32332" s="62" t="str">
        <f>IF(AND('领用录入（明细）'!D:D=$F$4,'领用录入（明细）'!C:C&gt;=$J$4,'领用录入（明细）'!C:C&lt;=$L$4),ROW(),"-")</f>
        <v>-</v>
      </c>
    </row>
    <row r="32333" customHeight="1" spans="2:2">
      <c r="B32333" s="62" t="str">
        <f>IF(AND('领用录入（明细）'!D:D=$F$4,'领用录入（明细）'!C:C&gt;=$J$4,'领用录入（明细）'!C:C&lt;=$L$4),ROW(),"-")</f>
        <v>-</v>
      </c>
    </row>
    <row r="32334" customHeight="1" spans="2:2">
      <c r="B32334" s="62" t="str">
        <f>IF(AND('领用录入（明细）'!D:D=$F$4,'领用录入（明细）'!C:C&gt;=$J$4,'领用录入（明细）'!C:C&lt;=$L$4),ROW(),"-")</f>
        <v>-</v>
      </c>
    </row>
    <row r="32335" customHeight="1" spans="2:2">
      <c r="B32335" s="62" t="str">
        <f>IF(AND('领用录入（明细）'!D:D=$F$4,'领用录入（明细）'!C:C&gt;=$J$4,'领用录入（明细）'!C:C&lt;=$L$4),ROW(),"-")</f>
        <v>-</v>
      </c>
    </row>
    <row r="32336" customHeight="1" spans="2:2">
      <c r="B32336" s="62" t="str">
        <f>IF(AND('领用录入（明细）'!D:D=$F$4,'领用录入（明细）'!C:C&gt;=$J$4,'领用录入（明细）'!C:C&lt;=$L$4),ROW(),"-")</f>
        <v>-</v>
      </c>
    </row>
    <row r="32337" customHeight="1" spans="2:2">
      <c r="B32337" s="62" t="str">
        <f>IF(AND('领用录入（明细）'!D:D=$F$4,'领用录入（明细）'!C:C&gt;=$J$4,'领用录入（明细）'!C:C&lt;=$L$4),ROW(),"-")</f>
        <v>-</v>
      </c>
    </row>
    <row r="32338" customHeight="1" spans="2:2">
      <c r="B32338" s="62" t="str">
        <f>IF(AND('领用录入（明细）'!D:D=$F$4,'领用录入（明细）'!C:C&gt;=$J$4,'领用录入（明细）'!C:C&lt;=$L$4),ROW(),"-")</f>
        <v>-</v>
      </c>
    </row>
    <row r="32339" customHeight="1" spans="2:2">
      <c r="B32339" s="62" t="str">
        <f>IF(AND('领用录入（明细）'!D:D=$F$4,'领用录入（明细）'!C:C&gt;=$J$4,'领用录入（明细）'!C:C&lt;=$L$4),ROW(),"-")</f>
        <v>-</v>
      </c>
    </row>
    <row r="32340" customHeight="1" spans="2:2">
      <c r="B32340" s="62" t="str">
        <f>IF(AND('领用录入（明细）'!D:D=$F$4,'领用录入（明细）'!C:C&gt;=$J$4,'领用录入（明细）'!C:C&lt;=$L$4),ROW(),"-")</f>
        <v>-</v>
      </c>
    </row>
    <row r="32341" customHeight="1" spans="2:2">
      <c r="B32341" s="62" t="str">
        <f>IF(AND('领用录入（明细）'!D:D=$F$4,'领用录入（明细）'!C:C&gt;=$J$4,'领用录入（明细）'!C:C&lt;=$L$4),ROW(),"-")</f>
        <v>-</v>
      </c>
    </row>
    <row r="32342" customHeight="1" spans="2:2">
      <c r="B32342" s="62" t="str">
        <f>IF(AND('领用录入（明细）'!D:D=$F$4,'领用录入（明细）'!C:C&gt;=$J$4,'领用录入（明细）'!C:C&lt;=$L$4),ROW(),"-")</f>
        <v>-</v>
      </c>
    </row>
    <row r="32343" customHeight="1" spans="2:2">
      <c r="B32343" s="62" t="str">
        <f>IF(AND('领用录入（明细）'!D:D=$F$4,'领用录入（明细）'!C:C&gt;=$J$4,'领用录入（明细）'!C:C&lt;=$L$4),ROW(),"-")</f>
        <v>-</v>
      </c>
    </row>
    <row r="32344" customHeight="1" spans="2:2">
      <c r="B32344" s="62" t="str">
        <f>IF(AND('领用录入（明细）'!D:D=$F$4,'领用录入（明细）'!C:C&gt;=$J$4,'领用录入（明细）'!C:C&lt;=$L$4),ROW(),"-")</f>
        <v>-</v>
      </c>
    </row>
    <row r="32345" customHeight="1" spans="2:2">
      <c r="B32345" s="62" t="str">
        <f>IF(AND('领用录入（明细）'!D:D=$F$4,'领用录入（明细）'!C:C&gt;=$J$4,'领用录入（明细）'!C:C&lt;=$L$4),ROW(),"-")</f>
        <v>-</v>
      </c>
    </row>
    <row r="32346" customHeight="1" spans="2:2">
      <c r="B32346" s="62" t="str">
        <f>IF(AND('领用录入（明细）'!D:D=$F$4,'领用录入（明细）'!C:C&gt;=$J$4,'领用录入（明细）'!C:C&lt;=$L$4),ROW(),"-")</f>
        <v>-</v>
      </c>
    </row>
    <row r="32347" customHeight="1" spans="2:2">
      <c r="B32347" s="62" t="str">
        <f>IF(AND('领用录入（明细）'!D:D=$F$4,'领用录入（明细）'!C:C&gt;=$J$4,'领用录入（明细）'!C:C&lt;=$L$4),ROW(),"-")</f>
        <v>-</v>
      </c>
    </row>
    <row r="32348" customHeight="1" spans="2:2">
      <c r="B32348" s="62" t="str">
        <f>IF(AND('领用录入（明细）'!D:D=$F$4,'领用录入（明细）'!C:C&gt;=$J$4,'领用录入（明细）'!C:C&lt;=$L$4),ROW(),"-")</f>
        <v>-</v>
      </c>
    </row>
    <row r="32349" customHeight="1" spans="2:2">
      <c r="B32349" s="62" t="str">
        <f>IF(AND('领用录入（明细）'!D:D=$F$4,'领用录入（明细）'!C:C&gt;=$J$4,'领用录入（明细）'!C:C&lt;=$L$4),ROW(),"-")</f>
        <v>-</v>
      </c>
    </row>
    <row r="32350" customHeight="1" spans="2:2">
      <c r="B32350" s="62" t="str">
        <f>IF(AND('领用录入（明细）'!D:D=$F$4,'领用录入（明细）'!C:C&gt;=$J$4,'领用录入（明细）'!C:C&lt;=$L$4),ROW(),"-")</f>
        <v>-</v>
      </c>
    </row>
    <row r="32351" customHeight="1" spans="2:2">
      <c r="B32351" s="62" t="str">
        <f>IF(AND('领用录入（明细）'!D:D=$F$4,'领用录入（明细）'!C:C&gt;=$J$4,'领用录入（明细）'!C:C&lt;=$L$4),ROW(),"-")</f>
        <v>-</v>
      </c>
    </row>
    <row r="32352" customHeight="1" spans="2:2">
      <c r="B32352" s="62" t="str">
        <f>IF(AND('领用录入（明细）'!D:D=$F$4,'领用录入（明细）'!C:C&gt;=$J$4,'领用录入（明细）'!C:C&lt;=$L$4),ROW(),"-")</f>
        <v>-</v>
      </c>
    </row>
    <row r="32353" customHeight="1" spans="2:2">
      <c r="B32353" s="62" t="str">
        <f>IF(AND('领用录入（明细）'!D:D=$F$4,'领用录入（明细）'!C:C&gt;=$J$4,'领用录入（明细）'!C:C&lt;=$L$4),ROW(),"-")</f>
        <v>-</v>
      </c>
    </row>
    <row r="32354" customHeight="1" spans="2:2">
      <c r="B32354" s="62" t="str">
        <f>IF(AND('领用录入（明细）'!D:D=$F$4,'领用录入（明细）'!C:C&gt;=$J$4,'领用录入（明细）'!C:C&lt;=$L$4),ROW(),"-")</f>
        <v>-</v>
      </c>
    </row>
    <row r="32355" customHeight="1" spans="2:2">
      <c r="B32355" s="62" t="str">
        <f>IF(AND('领用录入（明细）'!D:D=$F$4,'领用录入（明细）'!C:C&gt;=$J$4,'领用录入（明细）'!C:C&lt;=$L$4),ROW(),"-")</f>
        <v>-</v>
      </c>
    </row>
    <row r="32356" customHeight="1" spans="2:2">
      <c r="B32356" s="62" t="str">
        <f>IF(AND('领用录入（明细）'!D:D=$F$4,'领用录入（明细）'!C:C&gt;=$J$4,'领用录入（明细）'!C:C&lt;=$L$4),ROW(),"-")</f>
        <v>-</v>
      </c>
    </row>
    <row r="32357" customHeight="1" spans="2:2">
      <c r="B32357" s="62" t="str">
        <f>IF(AND('领用录入（明细）'!D:D=$F$4,'领用录入（明细）'!C:C&gt;=$J$4,'领用录入（明细）'!C:C&lt;=$L$4),ROW(),"-")</f>
        <v>-</v>
      </c>
    </row>
    <row r="32358" customHeight="1" spans="2:2">
      <c r="B32358" s="62" t="str">
        <f>IF(AND('领用录入（明细）'!D:D=$F$4,'领用录入（明细）'!C:C&gt;=$J$4,'领用录入（明细）'!C:C&lt;=$L$4),ROW(),"-")</f>
        <v>-</v>
      </c>
    </row>
    <row r="32359" customHeight="1" spans="2:2">
      <c r="B32359" s="62" t="str">
        <f>IF(AND('领用录入（明细）'!D:D=$F$4,'领用录入（明细）'!C:C&gt;=$J$4,'领用录入（明细）'!C:C&lt;=$L$4),ROW(),"-")</f>
        <v>-</v>
      </c>
    </row>
    <row r="32360" customHeight="1" spans="2:2">
      <c r="B32360" s="62" t="str">
        <f>IF(AND('领用录入（明细）'!D:D=$F$4,'领用录入（明细）'!C:C&gt;=$J$4,'领用录入（明细）'!C:C&lt;=$L$4),ROW(),"-")</f>
        <v>-</v>
      </c>
    </row>
    <row r="32361" customHeight="1" spans="2:2">
      <c r="B32361" s="62" t="str">
        <f>IF(AND('领用录入（明细）'!D:D=$F$4,'领用录入（明细）'!C:C&gt;=$J$4,'领用录入（明细）'!C:C&lt;=$L$4),ROW(),"-")</f>
        <v>-</v>
      </c>
    </row>
    <row r="32362" customHeight="1" spans="2:2">
      <c r="B32362" s="62" t="str">
        <f>IF(AND('领用录入（明细）'!D:D=$F$4,'领用录入（明细）'!C:C&gt;=$J$4,'领用录入（明细）'!C:C&lt;=$L$4),ROW(),"-")</f>
        <v>-</v>
      </c>
    </row>
    <row r="32363" customHeight="1" spans="2:2">
      <c r="B32363" s="62" t="str">
        <f>IF(AND('领用录入（明细）'!D:D=$F$4,'领用录入（明细）'!C:C&gt;=$J$4,'领用录入（明细）'!C:C&lt;=$L$4),ROW(),"-")</f>
        <v>-</v>
      </c>
    </row>
    <row r="32364" customHeight="1" spans="2:2">
      <c r="B32364" s="62" t="str">
        <f>IF(AND('领用录入（明细）'!D:D=$F$4,'领用录入（明细）'!C:C&gt;=$J$4,'领用录入（明细）'!C:C&lt;=$L$4),ROW(),"-")</f>
        <v>-</v>
      </c>
    </row>
    <row r="32365" customHeight="1" spans="2:2">
      <c r="B32365" s="62" t="str">
        <f>IF(AND('领用录入（明细）'!D:D=$F$4,'领用录入（明细）'!C:C&gt;=$J$4,'领用录入（明细）'!C:C&lt;=$L$4),ROW(),"-")</f>
        <v>-</v>
      </c>
    </row>
    <row r="32366" customHeight="1" spans="2:2">
      <c r="B32366" s="62" t="str">
        <f>IF(AND('领用录入（明细）'!D:D=$F$4,'领用录入（明细）'!C:C&gt;=$J$4,'领用录入（明细）'!C:C&lt;=$L$4),ROW(),"-")</f>
        <v>-</v>
      </c>
    </row>
    <row r="32367" customHeight="1" spans="2:2">
      <c r="B32367" s="62" t="str">
        <f>IF(AND('领用录入（明细）'!D:D=$F$4,'领用录入（明细）'!C:C&gt;=$J$4,'领用录入（明细）'!C:C&lt;=$L$4),ROW(),"-")</f>
        <v>-</v>
      </c>
    </row>
    <row r="32368" customHeight="1" spans="2:2">
      <c r="B32368" s="62" t="str">
        <f>IF(AND('领用录入（明细）'!D:D=$F$4,'领用录入（明细）'!C:C&gt;=$J$4,'领用录入（明细）'!C:C&lt;=$L$4),ROW(),"-")</f>
        <v>-</v>
      </c>
    </row>
    <row r="32369" customHeight="1" spans="2:2">
      <c r="B32369" s="62" t="str">
        <f>IF(AND('领用录入（明细）'!D:D=$F$4,'领用录入（明细）'!C:C&gt;=$J$4,'领用录入（明细）'!C:C&lt;=$L$4),ROW(),"-")</f>
        <v>-</v>
      </c>
    </row>
    <row r="32370" customHeight="1" spans="2:2">
      <c r="B32370" s="62" t="str">
        <f>IF(AND('领用录入（明细）'!D:D=$F$4,'领用录入（明细）'!C:C&gt;=$J$4,'领用录入（明细）'!C:C&lt;=$L$4),ROW(),"-")</f>
        <v>-</v>
      </c>
    </row>
    <row r="32371" customHeight="1" spans="2:2">
      <c r="B32371" s="62" t="str">
        <f>IF(AND('领用录入（明细）'!D:D=$F$4,'领用录入（明细）'!C:C&gt;=$J$4,'领用录入（明细）'!C:C&lt;=$L$4),ROW(),"-")</f>
        <v>-</v>
      </c>
    </row>
    <row r="32372" customHeight="1" spans="2:2">
      <c r="B32372" s="62" t="str">
        <f>IF(AND('领用录入（明细）'!D:D=$F$4,'领用录入（明细）'!C:C&gt;=$J$4,'领用录入（明细）'!C:C&lt;=$L$4),ROW(),"-")</f>
        <v>-</v>
      </c>
    </row>
    <row r="32373" customHeight="1" spans="2:2">
      <c r="B32373" s="62" t="str">
        <f>IF(AND('领用录入（明细）'!D:D=$F$4,'领用录入（明细）'!C:C&gt;=$J$4,'领用录入（明细）'!C:C&lt;=$L$4),ROW(),"-")</f>
        <v>-</v>
      </c>
    </row>
    <row r="32374" customHeight="1" spans="2:2">
      <c r="B32374" s="62" t="str">
        <f>IF(AND('领用录入（明细）'!D:D=$F$4,'领用录入（明细）'!C:C&gt;=$J$4,'领用录入（明细）'!C:C&lt;=$L$4),ROW(),"-")</f>
        <v>-</v>
      </c>
    </row>
    <row r="32375" customHeight="1" spans="2:2">
      <c r="B32375" s="62" t="str">
        <f>IF(AND('领用录入（明细）'!D:D=$F$4,'领用录入（明细）'!C:C&gt;=$J$4,'领用录入（明细）'!C:C&lt;=$L$4),ROW(),"-")</f>
        <v>-</v>
      </c>
    </row>
    <row r="32376" customHeight="1" spans="2:2">
      <c r="B32376" s="62" t="str">
        <f>IF(AND('领用录入（明细）'!D:D=$F$4,'领用录入（明细）'!C:C&gt;=$J$4,'领用录入（明细）'!C:C&lt;=$L$4),ROW(),"-")</f>
        <v>-</v>
      </c>
    </row>
    <row r="32377" customHeight="1" spans="2:2">
      <c r="B32377" s="62" t="str">
        <f>IF(AND('领用录入（明细）'!D:D=$F$4,'领用录入（明细）'!C:C&gt;=$J$4,'领用录入（明细）'!C:C&lt;=$L$4),ROW(),"-")</f>
        <v>-</v>
      </c>
    </row>
    <row r="32378" customHeight="1" spans="2:2">
      <c r="B32378" s="62" t="str">
        <f>IF(AND('领用录入（明细）'!D:D=$F$4,'领用录入（明细）'!C:C&gt;=$J$4,'领用录入（明细）'!C:C&lt;=$L$4),ROW(),"-")</f>
        <v>-</v>
      </c>
    </row>
    <row r="32379" customHeight="1" spans="2:2">
      <c r="B32379" s="62" t="str">
        <f>IF(AND('领用录入（明细）'!D:D=$F$4,'领用录入（明细）'!C:C&gt;=$J$4,'领用录入（明细）'!C:C&lt;=$L$4),ROW(),"-")</f>
        <v>-</v>
      </c>
    </row>
    <row r="32380" customHeight="1" spans="2:2">
      <c r="B32380" s="62" t="str">
        <f>IF(AND('领用录入（明细）'!D:D=$F$4,'领用录入（明细）'!C:C&gt;=$J$4,'领用录入（明细）'!C:C&lt;=$L$4),ROW(),"-")</f>
        <v>-</v>
      </c>
    </row>
    <row r="32381" customHeight="1" spans="2:2">
      <c r="B32381" s="62" t="str">
        <f>IF(AND('领用录入（明细）'!D:D=$F$4,'领用录入（明细）'!C:C&gt;=$J$4,'领用录入（明细）'!C:C&lt;=$L$4),ROW(),"-")</f>
        <v>-</v>
      </c>
    </row>
    <row r="32382" customHeight="1" spans="2:2">
      <c r="B32382" s="62" t="str">
        <f>IF(AND('领用录入（明细）'!D:D=$F$4,'领用录入（明细）'!C:C&gt;=$J$4,'领用录入（明细）'!C:C&lt;=$L$4),ROW(),"-")</f>
        <v>-</v>
      </c>
    </row>
    <row r="32383" customHeight="1" spans="2:2">
      <c r="B32383" s="62" t="str">
        <f>IF(AND('领用录入（明细）'!D:D=$F$4,'领用录入（明细）'!C:C&gt;=$J$4,'领用录入（明细）'!C:C&lt;=$L$4),ROW(),"-")</f>
        <v>-</v>
      </c>
    </row>
    <row r="32384" customHeight="1" spans="2:2">
      <c r="B32384" s="62" t="str">
        <f>IF(AND('领用录入（明细）'!D:D=$F$4,'领用录入（明细）'!C:C&gt;=$J$4,'领用录入（明细）'!C:C&lt;=$L$4),ROW(),"-")</f>
        <v>-</v>
      </c>
    </row>
    <row r="32385" customHeight="1" spans="2:2">
      <c r="B32385" s="62" t="str">
        <f>IF(AND('领用录入（明细）'!D:D=$F$4,'领用录入（明细）'!C:C&gt;=$J$4,'领用录入（明细）'!C:C&lt;=$L$4),ROW(),"-")</f>
        <v>-</v>
      </c>
    </row>
    <row r="32386" customHeight="1" spans="2:2">
      <c r="B32386" s="62" t="str">
        <f>IF(AND('领用录入（明细）'!D:D=$F$4,'领用录入（明细）'!C:C&gt;=$J$4,'领用录入（明细）'!C:C&lt;=$L$4),ROW(),"-")</f>
        <v>-</v>
      </c>
    </row>
    <row r="32387" customHeight="1" spans="2:2">
      <c r="B32387" s="62" t="str">
        <f>IF(AND('领用录入（明细）'!D:D=$F$4,'领用录入（明细）'!C:C&gt;=$J$4,'领用录入（明细）'!C:C&lt;=$L$4),ROW(),"-")</f>
        <v>-</v>
      </c>
    </row>
    <row r="32388" customHeight="1" spans="2:2">
      <c r="B32388" s="62" t="str">
        <f>IF(AND('领用录入（明细）'!D:D=$F$4,'领用录入（明细）'!C:C&gt;=$J$4,'领用录入（明细）'!C:C&lt;=$L$4),ROW(),"-")</f>
        <v>-</v>
      </c>
    </row>
    <row r="32389" customHeight="1" spans="2:2">
      <c r="B32389" s="62" t="str">
        <f>IF(AND('领用录入（明细）'!D:D=$F$4,'领用录入（明细）'!C:C&gt;=$J$4,'领用录入（明细）'!C:C&lt;=$L$4),ROW(),"-")</f>
        <v>-</v>
      </c>
    </row>
    <row r="32390" customHeight="1" spans="2:2">
      <c r="B32390" s="62" t="str">
        <f>IF(AND('领用录入（明细）'!D:D=$F$4,'领用录入（明细）'!C:C&gt;=$J$4,'领用录入（明细）'!C:C&lt;=$L$4),ROW(),"-")</f>
        <v>-</v>
      </c>
    </row>
    <row r="32391" customHeight="1" spans="2:2">
      <c r="B32391" s="62" t="str">
        <f>IF(AND('领用录入（明细）'!D:D=$F$4,'领用录入（明细）'!C:C&gt;=$J$4,'领用录入（明细）'!C:C&lt;=$L$4),ROW(),"-")</f>
        <v>-</v>
      </c>
    </row>
    <row r="32392" customHeight="1" spans="2:2">
      <c r="B32392" s="62" t="str">
        <f>IF(AND('领用录入（明细）'!D:D=$F$4,'领用录入（明细）'!C:C&gt;=$J$4,'领用录入（明细）'!C:C&lt;=$L$4),ROW(),"-")</f>
        <v>-</v>
      </c>
    </row>
    <row r="32393" customHeight="1" spans="2:2">
      <c r="B32393" s="62" t="str">
        <f>IF(AND('领用录入（明细）'!D:D=$F$4,'领用录入（明细）'!C:C&gt;=$J$4,'领用录入（明细）'!C:C&lt;=$L$4),ROW(),"-")</f>
        <v>-</v>
      </c>
    </row>
    <row r="32394" customHeight="1" spans="2:2">
      <c r="B32394" s="62" t="str">
        <f>IF(AND('领用录入（明细）'!D:D=$F$4,'领用录入（明细）'!C:C&gt;=$J$4,'领用录入（明细）'!C:C&lt;=$L$4),ROW(),"-")</f>
        <v>-</v>
      </c>
    </row>
    <row r="32395" customHeight="1" spans="2:2">
      <c r="B32395" s="62" t="str">
        <f>IF(AND('领用录入（明细）'!D:D=$F$4,'领用录入（明细）'!C:C&gt;=$J$4,'领用录入（明细）'!C:C&lt;=$L$4),ROW(),"-")</f>
        <v>-</v>
      </c>
    </row>
    <row r="32396" customHeight="1" spans="2:2">
      <c r="B32396" s="62" t="str">
        <f>IF(AND('领用录入（明细）'!D:D=$F$4,'领用录入（明细）'!C:C&gt;=$J$4,'领用录入（明细）'!C:C&lt;=$L$4),ROW(),"-")</f>
        <v>-</v>
      </c>
    </row>
    <row r="32397" customHeight="1" spans="2:2">
      <c r="B32397" s="62" t="str">
        <f>IF(AND('领用录入（明细）'!D:D=$F$4,'领用录入（明细）'!C:C&gt;=$J$4,'领用录入（明细）'!C:C&lt;=$L$4),ROW(),"-")</f>
        <v>-</v>
      </c>
    </row>
    <row r="32398" customHeight="1" spans="2:2">
      <c r="B32398" s="62" t="str">
        <f>IF(AND('领用录入（明细）'!D:D=$F$4,'领用录入（明细）'!C:C&gt;=$J$4,'领用录入（明细）'!C:C&lt;=$L$4),ROW(),"-")</f>
        <v>-</v>
      </c>
    </row>
    <row r="32399" customHeight="1" spans="2:2">
      <c r="B32399" s="62" t="str">
        <f>IF(AND('领用录入（明细）'!D:D=$F$4,'领用录入（明细）'!C:C&gt;=$J$4,'领用录入（明细）'!C:C&lt;=$L$4),ROW(),"-")</f>
        <v>-</v>
      </c>
    </row>
    <row r="32400" customHeight="1" spans="2:2">
      <c r="B32400" s="62" t="str">
        <f>IF(AND('领用录入（明细）'!D:D=$F$4,'领用录入（明细）'!C:C&gt;=$J$4,'领用录入（明细）'!C:C&lt;=$L$4),ROW(),"-")</f>
        <v>-</v>
      </c>
    </row>
    <row r="32401" customHeight="1" spans="2:2">
      <c r="B32401" s="62" t="str">
        <f>IF(AND('领用录入（明细）'!D:D=$F$4,'领用录入（明细）'!C:C&gt;=$J$4,'领用录入（明细）'!C:C&lt;=$L$4),ROW(),"-")</f>
        <v>-</v>
      </c>
    </row>
    <row r="32402" customHeight="1" spans="2:2">
      <c r="B32402" s="62" t="str">
        <f>IF(AND('领用录入（明细）'!D:D=$F$4,'领用录入（明细）'!C:C&gt;=$J$4,'领用录入（明细）'!C:C&lt;=$L$4),ROW(),"-")</f>
        <v>-</v>
      </c>
    </row>
    <row r="32403" customHeight="1" spans="2:2">
      <c r="B32403" s="62" t="str">
        <f>IF(AND('领用录入（明细）'!D:D=$F$4,'领用录入（明细）'!C:C&gt;=$J$4,'领用录入（明细）'!C:C&lt;=$L$4),ROW(),"-")</f>
        <v>-</v>
      </c>
    </row>
    <row r="32404" customHeight="1" spans="2:2">
      <c r="B32404" s="62" t="str">
        <f>IF(AND('领用录入（明细）'!D:D=$F$4,'领用录入（明细）'!C:C&gt;=$J$4,'领用录入（明细）'!C:C&lt;=$L$4),ROW(),"-")</f>
        <v>-</v>
      </c>
    </row>
    <row r="32405" customHeight="1" spans="2:2">
      <c r="B32405" s="62" t="str">
        <f>IF(AND('领用录入（明细）'!D:D=$F$4,'领用录入（明细）'!C:C&gt;=$J$4,'领用录入（明细）'!C:C&lt;=$L$4),ROW(),"-")</f>
        <v>-</v>
      </c>
    </row>
    <row r="32406" customHeight="1" spans="2:2">
      <c r="B32406" s="62" t="str">
        <f>IF(AND('领用录入（明细）'!D:D=$F$4,'领用录入（明细）'!C:C&gt;=$J$4,'领用录入（明细）'!C:C&lt;=$L$4),ROW(),"-")</f>
        <v>-</v>
      </c>
    </row>
    <row r="32407" customHeight="1" spans="2:2">
      <c r="B32407" s="62" t="str">
        <f>IF(AND('领用录入（明细）'!D:D=$F$4,'领用录入（明细）'!C:C&gt;=$J$4,'领用录入（明细）'!C:C&lt;=$L$4),ROW(),"-")</f>
        <v>-</v>
      </c>
    </row>
    <row r="32408" customHeight="1" spans="2:2">
      <c r="B32408" s="62" t="str">
        <f>IF(AND('领用录入（明细）'!D:D=$F$4,'领用录入（明细）'!C:C&gt;=$J$4,'领用录入（明细）'!C:C&lt;=$L$4),ROW(),"-")</f>
        <v>-</v>
      </c>
    </row>
    <row r="32409" customHeight="1" spans="2:2">
      <c r="B32409" s="62" t="str">
        <f>IF(AND('领用录入（明细）'!D:D=$F$4,'领用录入（明细）'!C:C&gt;=$J$4,'领用录入（明细）'!C:C&lt;=$L$4),ROW(),"-")</f>
        <v>-</v>
      </c>
    </row>
    <row r="32410" customHeight="1" spans="2:2">
      <c r="B32410" s="62" t="str">
        <f>IF(AND('领用录入（明细）'!D:D=$F$4,'领用录入（明细）'!C:C&gt;=$J$4,'领用录入（明细）'!C:C&lt;=$L$4),ROW(),"-")</f>
        <v>-</v>
      </c>
    </row>
    <row r="32411" customHeight="1" spans="2:2">
      <c r="B32411" s="62" t="str">
        <f>IF(AND('领用录入（明细）'!D:D=$F$4,'领用录入（明细）'!C:C&gt;=$J$4,'领用录入（明细）'!C:C&lt;=$L$4),ROW(),"-")</f>
        <v>-</v>
      </c>
    </row>
    <row r="32412" customHeight="1" spans="2:2">
      <c r="B32412" s="62" t="str">
        <f>IF(AND('领用录入（明细）'!D:D=$F$4,'领用录入（明细）'!C:C&gt;=$J$4,'领用录入（明细）'!C:C&lt;=$L$4),ROW(),"-")</f>
        <v>-</v>
      </c>
    </row>
    <row r="32413" customHeight="1" spans="2:2">
      <c r="B32413" s="62" t="str">
        <f>IF(AND('领用录入（明细）'!D:D=$F$4,'领用录入（明细）'!C:C&gt;=$J$4,'领用录入（明细）'!C:C&lt;=$L$4),ROW(),"-")</f>
        <v>-</v>
      </c>
    </row>
    <row r="32414" customHeight="1" spans="2:2">
      <c r="B32414" s="62" t="str">
        <f>IF(AND('领用录入（明细）'!D:D=$F$4,'领用录入（明细）'!C:C&gt;=$J$4,'领用录入（明细）'!C:C&lt;=$L$4),ROW(),"-")</f>
        <v>-</v>
      </c>
    </row>
    <row r="32415" customHeight="1" spans="2:2">
      <c r="B32415" s="62" t="str">
        <f>IF(AND('领用录入（明细）'!D:D=$F$4,'领用录入（明细）'!C:C&gt;=$J$4,'领用录入（明细）'!C:C&lt;=$L$4),ROW(),"-")</f>
        <v>-</v>
      </c>
    </row>
    <row r="32416" customHeight="1" spans="2:2">
      <c r="B32416" s="62" t="str">
        <f>IF(AND('领用录入（明细）'!D:D=$F$4,'领用录入（明细）'!C:C&gt;=$J$4,'领用录入（明细）'!C:C&lt;=$L$4),ROW(),"-")</f>
        <v>-</v>
      </c>
    </row>
    <row r="32417" customHeight="1" spans="2:2">
      <c r="B32417" s="62" t="str">
        <f>IF(AND('领用录入（明细）'!D:D=$F$4,'领用录入（明细）'!C:C&gt;=$J$4,'领用录入（明细）'!C:C&lt;=$L$4),ROW(),"-")</f>
        <v>-</v>
      </c>
    </row>
    <row r="32418" customHeight="1" spans="2:2">
      <c r="B32418" s="62" t="str">
        <f>IF(AND('领用录入（明细）'!D:D=$F$4,'领用录入（明细）'!C:C&gt;=$J$4,'领用录入（明细）'!C:C&lt;=$L$4),ROW(),"-")</f>
        <v>-</v>
      </c>
    </row>
    <row r="32419" customHeight="1" spans="2:2">
      <c r="B32419" s="62" t="str">
        <f>IF(AND('领用录入（明细）'!D:D=$F$4,'领用录入（明细）'!C:C&gt;=$J$4,'领用录入（明细）'!C:C&lt;=$L$4),ROW(),"-")</f>
        <v>-</v>
      </c>
    </row>
    <row r="32420" customHeight="1" spans="2:2">
      <c r="B32420" s="62" t="str">
        <f>IF(AND('领用录入（明细）'!D:D=$F$4,'领用录入（明细）'!C:C&gt;=$J$4,'领用录入（明细）'!C:C&lt;=$L$4),ROW(),"-")</f>
        <v>-</v>
      </c>
    </row>
    <row r="32421" customHeight="1" spans="2:2">
      <c r="B32421" s="62" t="str">
        <f>IF(AND('领用录入（明细）'!D:D=$F$4,'领用录入（明细）'!C:C&gt;=$J$4,'领用录入（明细）'!C:C&lt;=$L$4),ROW(),"-")</f>
        <v>-</v>
      </c>
    </row>
    <row r="32422" customHeight="1" spans="2:2">
      <c r="B32422" s="62" t="str">
        <f>IF(AND('领用录入（明细）'!D:D=$F$4,'领用录入（明细）'!C:C&gt;=$J$4,'领用录入（明细）'!C:C&lt;=$L$4),ROW(),"-")</f>
        <v>-</v>
      </c>
    </row>
    <row r="32423" customHeight="1" spans="2:2">
      <c r="B32423" s="62" t="str">
        <f>IF(AND('领用录入（明细）'!D:D=$F$4,'领用录入（明细）'!C:C&gt;=$J$4,'领用录入（明细）'!C:C&lt;=$L$4),ROW(),"-")</f>
        <v>-</v>
      </c>
    </row>
    <row r="32424" customHeight="1" spans="2:2">
      <c r="B32424" s="62" t="str">
        <f>IF(AND('领用录入（明细）'!D:D=$F$4,'领用录入（明细）'!C:C&gt;=$J$4,'领用录入（明细）'!C:C&lt;=$L$4),ROW(),"-")</f>
        <v>-</v>
      </c>
    </row>
    <row r="32425" customHeight="1" spans="2:2">
      <c r="B32425" s="62" t="str">
        <f>IF(AND('领用录入（明细）'!D:D=$F$4,'领用录入（明细）'!C:C&gt;=$J$4,'领用录入（明细）'!C:C&lt;=$L$4),ROW(),"-")</f>
        <v>-</v>
      </c>
    </row>
    <row r="32426" customHeight="1" spans="2:2">
      <c r="B32426" s="62" t="str">
        <f>IF(AND('领用录入（明细）'!D:D=$F$4,'领用录入（明细）'!C:C&gt;=$J$4,'领用录入（明细）'!C:C&lt;=$L$4),ROW(),"-")</f>
        <v>-</v>
      </c>
    </row>
    <row r="32427" customHeight="1" spans="2:2">
      <c r="B32427" s="62" t="str">
        <f>IF(AND('领用录入（明细）'!D:D=$F$4,'领用录入（明细）'!C:C&gt;=$J$4,'领用录入（明细）'!C:C&lt;=$L$4),ROW(),"-")</f>
        <v>-</v>
      </c>
    </row>
    <row r="32428" customHeight="1" spans="2:2">
      <c r="B32428" s="62" t="str">
        <f>IF(AND('领用录入（明细）'!D:D=$F$4,'领用录入（明细）'!C:C&gt;=$J$4,'领用录入（明细）'!C:C&lt;=$L$4),ROW(),"-")</f>
        <v>-</v>
      </c>
    </row>
    <row r="32429" customHeight="1" spans="2:2">
      <c r="B32429" s="62" t="str">
        <f>IF(AND('领用录入（明细）'!D:D=$F$4,'领用录入（明细）'!C:C&gt;=$J$4,'领用录入（明细）'!C:C&lt;=$L$4),ROW(),"-")</f>
        <v>-</v>
      </c>
    </row>
    <row r="32430" customHeight="1" spans="2:2">
      <c r="B32430" s="62" t="str">
        <f>IF(AND('领用录入（明细）'!D:D=$F$4,'领用录入（明细）'!C:C&gt;=$J$4,'领用录入（明细）'!C:C&lt;=$L$4),ROW(),"-")</f>
        <v>-</v>
      </c>
    </row>
    <row r="32431" customHeight="1" spans="2:2">
      <c r="B32431" s="62" t="str">
        <f>IF(AND('领用录入（明细）'!D:D=$F$4,'领用录入（明细）'!C:C&gt;=$J$4,'领用录入（明细）'!C:C&lt;=$L$4),ROW(),"-")</f>
        <v>-</v>
      </c>
    </row>
    <row r="32432" customHeight="1" spans="2:2">
      <c r="B32432" s="62" t="str">
        <f>IF(AND('领用录入（明细）'!D:D=$F$4,'领用录入（明细）'!C:C&gt;=$J$4,'领用录入（明细）'!C:C&lt;=$L$4),ROW(),"-")</f>
        <v>-</v>
      </c>
    </row>
    <row r="32433" customHeight="1" spans="2:2">
      <c r="B32433" s="62" t="str">
        <f>IF(AND('领用录入（明细）'!D:D=$F$4,'领用录入（明细）'!C:C&gt;=$J$4,'领用录入（明细）'!C:C&lt;=$L$4),ROW(),"-")</f>
        <v>-</v>
      </c>
    </row>
    <row r="32434" customHeight="1" spans="2:2">
      <c r="B32434" s="62" t="str">
        <f>IF(AND('领用录入（明细）'!D:D=$F$4,'领用录入（明细）'!C:C&gt;=$J$4,'领用录入（明细）'!C:C&lt;=$L$4),ROW(),"-")</f>
        <v>-</v>
      </c>
    </row>
    <row r="32435" customHeight="1" spans="2:2">
      <c r="B32435" s="62" t="str">
        <f>IF(AND('领用录入（明细）'!D:D=$F$4,'领用录入（明细）'!C:C&gt;=$J$4,'领用录入（明细）'!C:C&lt;=$L$4),ROW(),"-")</f>
        <v>-</v>
      </c>
    </row>
    <row r="32436" customHeight="1" spans="2:2">
      <c r="B32436" s="62" t="str">
        <f>IF(AND('领用录入（明细）'!D:D=$F$4,'领用录入（明细）'!C:C&gt;=$J$4,'领用录入（明细）'!C:C&lt;=$L$4),ROW(),"-")</f>
        <v>-</v>
      </c>
    </row>
    <row r="32437" customHeight="1" spans="2:2">
      <c r="B32437" s="62" t="str">
        <f>IF(AND('领用录入（明细）'!D:D=$F$4,'领用录入（明细）'!C:C&gt;=$J$4,'领用录入（明细）'!C:C&lt;=$L$4),ROW(),"-")</f>
        <v>-</v>
      </c>
    </row>
    <row r="32438" customHeight="1" spans="2:2">
      <c r="B32438" s="62" t="str">
        <f>IF(AND('领用录入（明细）'!D:D=$F$4,'领用录入（明细）'!C:C&gt;=$J$4,'领用录入（明细）'!C:C&lt;=$L$4),ROW(),"-")</f>
        <v>-</v>
      </c>
    </row>
    <row r="32439" customHeight="1" spans="2:2">
      <c r="B32439" s="62" t="str">
        <f>IF(AND('领用录入（明细）'!D:D=$F$4,'领用录入（明细）'!C:C&gt;=$J$4,'领用录入（明细）'!C:C&lt;=$L$4),ROW(),"-")</f>
        <v>-</v>
      </c>
    </row>
    <row r="32440" customHeight="1" spans="2:2">
      <c r="B32440" s="62" t="str">
        <f>IF(AND('领用录入（明细）'!D:D=$F$4,'领用录入（明细）'!C:C&gt;=$J$4,'领用录入（明细）'!C:C&lt;=$L$4),ROW(),"-")</f>
        <v>-</v>
      </c>
    </row>
    <row r="32441" customHeight="1" spans="2:2">
      <c r="B32441" s="62" t="str">
        <f>IF(AND('领用录入（明细）'!D:D=$F$4,'领用录入（明细）'!C:C&gt;=$J$4,'领用录入（明细）'!C:C&lt;=$L$4),ROW(),"-")</f>
        <v>-</v>
      </c>
    </row>
    <row r="32442" customHeight="1" spans="2:2">
      <c r="B32442" s="62" t="str">
        <f>IF(AND('领用录入（明细）'!D:D=$F$4,'领用录入（明细）'!C:C&gt;=$J$4,'领用录入（明细）'!C:C&lt;=$L$4),ROW(),"-")</f>
        <v>-</v>
      </c>
    </row>
    <row r="32443" customHeight="1" spans="2:2">
      <c r="B32443" s="62" t="str">
        <f>IF(AND('领用录入（明细）'!D:D=$F$4,'领用录入（明细）'!C:C&gt;=$J$4,'领用录入（明细）'!C:C&lt;=$L$4),ROW(),"-")</f>
        <v>-</v>
      </c>
    </row>
    <row r="32444" customHeight="1" spans="2:2">
      <c r="B32444" s="62" t="str">
        <f>IF(AND('领用录入（明细）'!D:D=$F$4,'领用录入（明细）'!C:C&gt;=$J$4,'领用录入（明细）'!C:C&lt;=$L$4),ROW(),"-")</f>
        <v>-</v>
      </c>
    </row>
    <row r="32445" customHeight="1" spans="2:2">
      <c r="B32445" s="62" t="str">
        <f>IF(AND('领用录入（明细）'!D:D=$F$4,'领用录入（明细）'!C:C&gt;=$J$4,'领用录入（明细）'!C:C&lt;=$L$4),ROW(),"-")</f>
        <v>-</v>
      </c>
    </row>
    <row r="32446" customHeight="1" spans="2:2">
      <c r="B32446" s="62" t="str">
        <f>IF(AND('领用录入（明细）'!D:D=$F$4,'领用录入（明细）'!C:C&gt;=$J$4,'领用录入（明细）'!C:C&lt;=$L$4),ROW(),"-")</f>
        <v>-</v>
      </c>
    </row>
    <row r="32447" customHeight="1" spans="2:2">
      <c r="B32447" s="62" t="str">
        <f>IF(AND('领用录入（明细）'!D:D=$F$4,'领用录入（明细）'!C:C&gt;=$J$4,'领用录入（明细）'!C:C&lt;=$L$4),ROW(),"-")</f>
        <v>-</v>
      </c>
    </row>
    <row r="32448" customHeight="1" spans="2:2">
      <c r="B32448" s="62" t="str">
        <f>IF(AND('领用录入（明细）'!D:D=$F$4,'领用录入（明细）'!C:C&gt;=$J$4,'领用录入（明细）'!C:C&lt;=$L$4),ROW(),"-")</f>
        <v>-</v>
      </c>
    </row>
    <row r="32449" customHeight="1" spans="2:2">
      <c r="B32449" s="62" t="str">
        <f>IF(AND('领用录入（明细）'!D:D=$F$4,'领用录入（明细）'!C:C&gt;=$J$4,'领用录入（明细）'!C:C&lt;=$L$4),ROW(),"-")</f>
        <v>-</v>
      </c>
    </row>
    <row r="32450" customHeight="1" spans="2:2">
      <c r="B32450" s="62" t="str">
        <f>IF(AND('领用录入（明细）'!D:D=$F$4,'领用录入（明细）'!C:C&gt;=$J$4,'领用录入（明细）'!C:C&lt;=$L$4),ROW(),"-")</f>
        <v>-</v>
      </c>
    </row>
    <row r="32451" customHeight="1" spans="2:2">
      <c r="B32451" s="62" t="str">
        <f>IF(AND('领用录入（明细）'!D:D=$F$4,'领用录入（明细）'!C:C&gt;=$J$4,'领用录入（明细）'!C:C&lt;=$L$4),ROW(),"-")</f>
        <v>-</v>
      </c>
    </row>
    <row r="32452" customHeight="1" spans="2:2">
      <c r="B32452" s="62" t="str">
        <f>IF(AND('领用录入（明细）'!D:D=$F$4,'领用录入（明细）'!C:C&gt;=$J$4,'领用录入（明细）'!C:C&lt;=$L$4),ROW(),"-")</f>
        <v>-</v>
      </c>
    </row>
    <row r="32453" customHeight="1" spans="2:2">
      <c r="B32453" s="62" t="str">
        <f>IF(AND('领用录入（明细）'!D:D=$F$4,'领用录入（明细）'!C:C&gt;=$J$4,'领用录入（明细）'!C:C&lt;=$L$4),ROW(),"-")</f>
        <v>-</v>
      </c>
    </row>
    <row r="32454" customHeight="1" spans="2:2">
      <c r="B32454" s="62" t="str">
        <f>IF(AND('领用录入（明细）'!D:D=$F$4,'领用录入（明细）'!C:C&gt;=$J$4,'领用录入（明细）'!C:C&lt;=$L$4),ROW(),"-")</f>
        <v>-</v>
      </c>
    </row>
    <row r="32455" customHeight="1" spans="2:2">
      <c r="B32455" s="62" t="str">
        <f>IF(AND('领用录入（明细）'!D:D=$F$4,'领用录入（明细）'!C:C&gt;=$J$4,'领用录入（明细）'!C:C&lt;=$L$4),ROW(),"-")</f>
        <v>-</v>
      </c>
    </row>
    <row r="32456" customHeight="1" spans="2:2">
      <c r="B32456" s="62" t="str">
        <f>IF(AND('领用录入（明细）'!D:D=$F$4,'领用录入（明细）'!C:C&gt;=$J$4,'领用录入（明细）'!C:C&lt;=$L$4),ROW(),"-")</f>
        <v>-</v>
      </c>
    </row>
    <row r="32457" customHeight="1" spans="2:2">
      <c r="B32457" s="62" t="str">
        <f>IF(AND('领用录入（明细）'!D:D=$F$4,'领用录入（明细）'!C:C&gt;=$J$4,'领用录入（明细）'!C:C&lt;=$L$4),ROW(),"-")</f>
        <v>-</v>
      </c>
    </row>
    <row r="32458" customHeight="1" spans="2:2">
      <c r="B32458" s="62" t="str">
        <f>IF(AND('领用录入（明细）'!D:D=$F$4,'领用录入（明细）'!C:C&gt;=$J$4,'领用录入（明细）'!C:C&lt;=$L$4),ROW(),"-")</f>
        <v>-</v>
      </c>
    </row>
    <row r="32459" customHeight="1" spans="2:2">
      <c r="B32459" s="62" t="str">
        <f>IF(AND('领用录入（明细）'!D:D=$F$4,'领用录入（明细）'!C:C&gt;=$J$4,'领用录入（明细）'!C:C&lt;=$L$4),ROW(),"-")</f>
        <v>-</v>
      </c>
    </row>
    <row r="32460" customHeight="1" spans="2:2">
      <c r="B32460" s="62" t="str">
        <f>IF(AND('领用录入（明细）'!D:D=$F$4,'领用录入（明细）'!C:C&gt;=$J$4,'领用录入（明细）'!C:C&lt;=$L$4),ROW(),"-")</f>
        <v>-</v>
      </c>
    </row>
    <row r="32461" customHeight="1" spans="2:2">
      <c r="B32461" s="62" t="str">
        <f>IF(AND('领用录入（明细）'!D:D=$F$4,'领用录入（明细）'!C:C&gt;=$J$4,'领用录入（明细）'!C:C&lt;=$L$4),ROW(),"-")</f>
        <v>-</v>
      </c>
    </row>
    <row r="32462" customHeight="1" spans="2:2">
      <c r="B32462" s="62" t="str">
        <f>IF(AND('领用录入（明细）'!D:D=$F$4,'领用录入（明细）'!C:C&gt;=$J$4,'领用录入（明细）'!C:C&lt;=$L$4),ROW(),"-")</f>
        <v>-</v>
      </c>
    </row>
    <row r="32463" customHeight="1" spans="2:2">
      <c r="B32463" s="62" t="str">
        <f>IF(AND('领用录入（明细）'!D:D=$F$4,'领用录入（明细）'!C:C&gt;=$J$4,'领用录入（明细）'!C:C&lt;=$L$4),ROW(),"-")</f>
        <v>-</v>
      </c>
    </row>
    <row r="32464" customHeight="1" spans="2:2">
      <c r="B32464" s="62" t="str">
        <f>IF(AND('领用录入（明细）'!D:D=$F$4,'领用录入（明细）'!C:C&gt;=$J$4,'领用录入（明细）'!C:C&lt;=$L$4),ROW(),"-")</f>
        <v>-</v>
      </c>
    </row>
    <row r="32465" customHeight="1" spans="2:2">
      <c r="B32465" s="62" t="str">
        <f>IF(AND('领用录入（明细）'!D:D=$F$4,'领用录入（明细）'!C:C&gt;=$J$4,'领用录入（明细）'!C:C&lt;=$L$4),ROW(),"-")</f>
        <v>-</v>
      </c>
    </row>
    <row r="32466" customHeight="1" spans="2:2">
      <c r="B32466" s="62" t="str">
        <f>IF(AND('领用录入（明细）'!D:D=$F$4,'领用录入（明细）'!C:C&gt;=$J$4,'领用录入（明细）'!C:C&lt;=$L$4),ROW(),"-")</f>
        <v>-</v>
      </c>
    </row>
    <row r="32467" customHeight="1" spans="2:2">
      <c r="B32467" s="62" t="str">
        <f>IF(AND('领用录入（明细）'!D:D=$F$4,'领用录入（明细）'!C:C&gt;=$J$4,'领用录入（明细）'!C:C&lt;=$L$4),ROW(),"-")</f>
        <v>-</v>
      </c>
    </row>
    <row r="32468" customHeight="1" spans="2:2">
      <c r="B32468" s="62" t="str">
        <f>IF(AND('领用录入（明细）'!D:D=$F$4,'领用录入（明细）'!C:C&gt;=$J$4,'领用录入（明细）'!C:C&lt;=$L$4),ROW(),"-")</f>
        <v>-</v>
      </c>
    </row>
    <row r="32469" customHeight="1" spans="2:2">
      <c r="B32469" s="62" t="str">
        <f>IF(AND('领用录入（明细）'!D:D=$F$4,'领用录入（明细）'!C:C&gt;=$J$4,'领用录入（明细）'!C:C&lt;=$L$4),ROW(),"-")</f>
        <v>-</v>
      </c>
    </row>
    <row r="32470" customHeight="1" spans="2:2">
      <c r="B32470" s="62" t="str">
        <f>IF(AND('领用录入（明细）'!D:D=$F$4,'领用录入（明细）'!C:C&gt;=$J$4,'领用录入（明细）'!C:C&lt;=$L$4),ROW(),"-")</f>
        <v>-</v>
      </c>
    </row>
    <row r="32471" customHeight="1" spans="2:2">
      <c r="B32471" s="62" t="str">
        <f>IF(AND('领用录入（明细）'!D:D=$F$4,'领用录入（明细）'!C:C&gt;=$J$4,'领用录入（明细）'!C:C&lt;=$L$4),ROW(),"-")</f>
        <v>-</v>
      </c>
    </row>
    <row r="32472" customHeight="1" spans="2:2">
      <c r="B32472" s="62" t="str">
        <f>IF(AND('领用录入（明细）'!D:D=$F$4,'领用录入（明细）'!C:C&gt;=$J$4,'领用录入（明细）'!C:C&lt;=$L$4),ROW(),"-")</f>
        <v>-</v>
      </c>
    </row>
    <row r="32473" customHeight="1" spans="2:2">
      <c r="B32473" s="62" t="str">
        <f>IF(AND('领用录入（明细）'!D:D=$F$4,'领用录入（明细）'!C:C&gt;=$J$4,'领用录入（明细）'!C:C&lt;=$L$4),ROW(),"-")</f>
        <v>-</v>
      </c>
    </row>
    <row r="32474" customHeight="1" spans="2:2">
      <c r="B32474" s="62" t="str">
        <f>IF(AND('领用录入（明细）'!D:D=$F$4,'领用录入（明细）'!C:C&gt;=$J$4,'领用录入（明细）'!C:C&lt;=$L$4),ROW(),"-")</f>
        <v>-</v>
      </c>
    </row>
    <row r="32475" customHeight="1" spans="2:2">
      <c r="B32475" s="62" t="str">
        <f>IF(AND('领用录入（明细）'!D:D=$F$4,'领用录入（明细）'!C:C&gt;=$J$4,'领用录入（明细）'!C:C&lt;=$L$4),ROW(),"-")</f>
        <v>-</v>
      </c>
    </row>
    <row r="32476" customHeight="1" spans="2:2">
      <c r="B32476" s="62" t="str">
        <f>IF(AND('领用录入（明细）'!D:D=$F$4,'领用录入（明细）'!C:C&gt;=$J$4,'领用录入（明细）'!C:C&lt;=$L$4),ROW(),"-")</f>
        <v>-</v>
      </c>
    </row>
    <row r="32477" customHeight="1" spans="2:2">
      <c r="B32477" s="62" t="str">
        <f>IF(AND('领用录入（明细）'!D:D=$F$4,'领用录入（明细）'!C:C&gt;=$J$4,'领用录入（明细）'!C:C&lt;=$L$4),ROW(),"-")</f>
        <v>-</v>
      </c>
    </row>
    <row r="32478" customHeight="1" spans="2:2">
      <c r="B32478" s="62" t="str">
        <f>IF(AND('领用录入（明细）'!D:D=$F$4,'领用录入（明细）'!C:C&gt;=$J$4,'领用录入（明细）'!C:C&lt;=$L$4),ROW(),"-")</f>
        <v>-</v>
      </c>
    </row>
    <row r="32479" customHeight="1" spans="2:2">
      <c r="B32479" s="62" t="str">
        <f>IF(AND('领用录入（明细）'!D:D=$F$4,'领用录入（明细）'!C:C&gt;=$J$4,'领用录入（明细）'!C:C&lt;=$L$4),ROW(),"-")</f>
        <v>-</v>
      </c>
    </row>
    <row r="32480" customHeight="1" spans="2:2">
      <c r="B32480" s="62" t="str">
        <f>IF(AND('领用录入（明细）'!D:D=$F$4,'领用录入（明细）'!C:C&gt;=$J$4,'领用录入（明细）'!C:C&lt;=$L$4),ROW(),"-")</f>
        <v>-</v>
      </c>
    </row>
    <row r="32481" customHeight="1" spans="2:2">
      <c r="B32481" s="62" t="str">
        <f>IF(AND('领用录入（明细）'!D:D=$F$4,'领用录入（明细）'!C:C&gt;=$J$4,'领用录入（明细）'!C:C&lt;=$L$4),ROW(),"-")</f>
        <v>-</v>
      </c>
    </row>
    <row r="32482" customHeight="1" spans="2:2">
      <c r="B32482" s="62" t="str">
        <f>IF(AND('领用录入（明细）'!D:D=$F$4,'领用录入（明细）'!C:C&gt;=$J$4,'领用录入（明细）'!C:C&lt;=$L$4),ROW(),"-")</f>
        <v>-</v>
      </c>
    </row>
    <row r="32483" customHeight="1" spans="2:2">
      <c r="B32483" s="62" t="str">
        <f>IF(AND('领用录入（明细）'!D:D=$F$4,'领用录入（明细）'!C:C&gt;=$J$4,'领用录入（明细）'!C:C&lt;=$L$4),ROW(),"-")</f>
        <v>-</v>
      </c>
    </row>
    <row r="32484" customHeight="1" spans="2:2">
      <c r="B32484" s="62" t="str">
        <f>IF(AND('领用录入（明细）'!D:D=$F$4,'领用录入（明细）'!C:C&gt;=$J$4,'领用录入（明细）'!C:C&lt;=$L$4),ROW(),"-")</f>
        <v>-</v>
      </c>
    </row>
    <row r="32485" customHeight="1" spans="2:2">
      <c r="B32485" s="62" t="str">
        <f>IF(AND('领用录入（明细）'!D:D=$F$4,'领用录入（明细）'!C:C&gt;=$J$4,'领用录入（明细）'!C:C&lt;=$L$4),ROW(),"-")</f>
        <v>-</v>
      </c>
    </row>
    <row r="32486" customHeight="1" spans="2:2">
      <c r="B32486" s="62" t="str">
        <f>IF(AND('领用录入（明细）'!D:D=$F$4,'领用录入（明细）'!C:C&gt;=$J$4,'领用录入（明细）'!C:C&lt;=$L$4),ROW(),"-")</f>
        <v>-</v>
      </c>
    </row>
    <row r="32487" customHeight="1" spans="2:2">
      <c r="B32487" s="62" t="str">
        <f>IF(AND('领用录入（明细）'!D:D=$F$4,'领用录入（明细）'!C:C&gt;=$J$4,'领用录入（明细）'!C:C&lt;=$L$4),ROW(),"-")</f>
        <v>-</v>
      </c>
    </row>
    <row r="32488" customHeight="1" spans="2:2">
      <c r="B32488" s="62" t="str">
        <f>IF(AND('领用录入（明细）'!D:D=$F$4,'领用录入（明细）'!C:C&gt;=$J$4,'领用录入（明细）'!C:C&lt;=$L$4),ROW(),"-")</f>
        <v>-</v>
      </c>
    </row>
    <row r="32489" customHeight="1" spans="2:2">
      <c r="B32489" s="62" t="str">
        <f>IF(AND('领用录入（明细）'!D:D=$F$4,'领用录入（明细）'!C:C&gt;=$J$4,'领用录入（明细）'!C:C&lt;=$L$4),ROW(),"-")</f>
        <v>-</v>
      </c>
    </row>
    <row r="32490" customHeight="1" spans="2:2">
      <c r="B32490" s="62" t="str">
        <f>IF(AND('领用录入（明细）'!D:D=$F$4,'领用录入（明细）'!C:C&gt;=$J$4,'领用录入（明细）'!C:C&lt;=$L$4),ROW(),"-")</f>
        <v>-</v>
      </c>
    </row>
    <row r="32491" customHeight="1" spans="2:2">
      <c r="B32491" s="62" t="str">
        <f>IF(AND('领用录入（明细）'!D:D=$F$4,'领用录入（明细）'!C:C&gt;=$J$4,'领用录入（明细）'!C:C&lt;=$L$4),ROW(),"-")</f>
        <v>-</v>
      </c>
    </row>
    <row r="32492" customHeight="1" spans="2:2">
      <c r="B32492" s="62" t="str">
        <f>IF(AND('领用录入（明细）'!D:D=$F$4,'领用录入（明细）'!C:C&gt;=$J$4,'领用录入（明细）'!C:C&lt;=$L$4),ROW(),"-")</f>
        <v>-</v>
      </c>
    </row>
    <row r="32493" customHeight="1" spans="2:2">
      <c r="B32493" s="62" t="str">
        <f>IF(AND('领用录入（明细）'!D:D=$F$4,'领用录入（明细）'!C:C&gt;=$J$4,'领用录入（明细）'!C:C&lt;=$L$4),ROW(),"-")</f>
        <v>-</v>
      </c>
    </row>
    <row r="32494" customHeight="1" spans="2:2">
      <c r="B32494" s="62" t="str">
        <f>IF(AND('领用录入（明细）'!D:D=$F$4,'领用录入（明细）'!C:C&gt;=$J$4,'领用录入（明细）'!C:C&lt;=$L$4),ROW(),"-")</f>
        <v>-</v>
      </c>
    </row>
    <row r="32495" customHeight="1" spans="2:2">
      <c r="B32495" s="62" t="str">
        <f>IF(AND('领用录入（明细）'!D:D=$F$4,'领用录入（明细）'!C:C&gt;=$J$4,'领用录入（明细）'!C:C&lt;=$L$4),ROW(),"-")</f>
        <v>-</v>
      </c>
    </row>
    <row r="32496" customHeight="1" spans="2:2">
      <c r="B32496" s="62" t="str">
        <f>IF(AND('领用录入（明细）'!D:D=$F$4,'领用录入（明细）'!C:C&gt;=$J$4,'领用录入（明细）'!C:C&lt;=$L$4),ROW(),"-")</f>
        <v>-</v>
      </c>
    </row>
    <row r="32497" customHeight="1" spans="2:2">
      <c r="B32497" s="62" t="str">
        <f>IF(AND('领用录入（明细）'!D:D=$F$4,'领用录入（明细）'!C:C&gt;=$J$4,'领用录入（明细）'!C:C&lt;=$L$4),ROW(),"-")</f>
        <v>-</v>
      </c>
    </row>
    <row r="32498" customHeight="1" spans="2:2">
      <c r="B32498" s="62" t="str">
        <f>IF(AND('领用录入（明细）'!D:D=$F$4,'领用录入（明细）'!C:C&gt;=$J$4,'领用录入（明细）'!C:C&lt;=$L$4),ROW(),"-")</f>
        <v>-</v>
      </c>
    </row>
    <row r="32499" customHeight="1" spans="2:2">
      <c r="B32499" s="62" t="str">
        <f>IF(AND('领用录入（明细）'!D:D=$F$4,'领用录入（明细）'!C:C&gt;=$J$4,'领用录入（明细）'!C:C&lt;=$L$4),ROW(),"-")</f>
        <v>-</v>
      </c>
    </row>
    <row r="32500" customHeight="1" spans="2:2">
      <c r="B32500" s="62" t="str">
        <f>IF(AND('领用录入（明细）'!D:D=$F$4,'领用录入（明细）'!C:C&gt;=$J$4,'领用录入（明细）'!C:C&lt;=$L$4),ROW(),"-")</f>
        <v>-</v>
      </c>
    </row>
    <row r="32501" customHeight="1" spans="2:2">
      <c r="B32501" s="62" t="str">
        <f>IF(AND('领用录入（明细）'!D:D=$F$4,'领用录入（明细）'!C:C&gt;=$J$4,'领用录入（明细）'!C:C&lt;=$L$4),ROW(),"-")</f>
        <v>-</v>
      </c>
    </row>
    <row r="32502" customHeight="1" spans="2:2">
      <c r="B32502" s="62" t="str">
        <f>IF(AND('领用录入（明细）'!D:D=$F$4,'领用录入（明细）'!C:C&gt;=$J$4,'领用录入（明细）'!C:C&lt;=$L$4),ROW(),"-")</f>
        <v>-</v>
      </c>
    </row>
    <row r="32503" customHeight="1" spans="2:2">
      <c r="B32503" s="62" t="str">
        <f>IF(AND('领用录入（明细）'!D:D=$F$4,'领用录入（明细）'!C:C&gt;=$J$4,'领用录入（明细）'!C:C&lt;=$L$4),ROW(),"-")</f>
        <v>-</v>
      </c>
    </row>
    <row r="32504" customHeight="1" spans="2:2">
      <c r="B32504" s="62" t="str">
        <f>IF(AND('领用录入（明细）'!D:D=$F$4,'领用录入（明细）'!C:C&gt;=$J$4,'领用录入（明细）'!C:C&lt;=$L$4),ROW(),"-")</f>
        <v>-</v>
      </c>
    </row>
    <row r="32505" customHeight="1" spans="2:2">
      <c r="B32505" s="62" t="str">
        <f>IF(AND('领用录入（明细）'!D:D=$F$4,'领用录入（明细）'!C:C&gt;=$J$4,'领用录入（明细）'!C:C&lt;=$L$4),ROW(),"-")</f>
        <v>-</v>
      </c>
    </row>
    <row r="32506" customHeight="1" spans="2:2">
      <c r="B32506" s="62" t="str">
        <f>IF(AND('领用录入（明细）'!D:D=$F$4,'领用录入（明细）'!C:C&gt;=$J$4,'领用录入（明细）'!C:C&lt;=$L$4),ROW(),"-")</f>
        <v>-</v>
      </c>
    </row>
    <row r="32507" customHeight="1" spans="2:2">
      <c r="B32507" s="62" t="str">
        <f>IF(AND('领用录入（明细）'!D:D=$F$4,'领用录入（明细）'!C:C&gt;=$J$4,'领用录入（明细）'!C:C&lt;=$L$4),ROW(),"-")</f>
        <v>-</v>
      </c>
    </row>
    <row r="32508" customHeight="1" spans="2:2">
      <c r="B32508" s="62" t="str">
        <f>IF(AND('领用录入（明细）'!D:D=$F$4,'领用录入（明细）'!C:C&gt;=$J$4,'领用录入（明细）'!C:C&lt;=$L$4),ROW(),"-")</f>
        <v>-</v>
      </c>
    </row>
    <row r="32509" customHeight="1" spans="2:2">
      <c r="B32509" s="62" t="str">
        <f>IF(AND('领用录入（明细）'!D:D=$F$4,'领用录入（明细）'!C:C&gt;=$J$4,'领用录入（明细）'!C:C&lt;=$L$4),ROW(),"-")</f>
        <v>-</v>
      </c>
    </row>
    <row r="32510" customHeight="1" spans="2:2">
      <c r="B32510" s="62" t="str">
        <f>IF(AND('领用录入（明细）'!D:D=$F$4,'领用录入（明细）'!C:C&gt;=$J$4,'领用录入（明细）'!C:C&lt;=$L$4),ROW(),"-")</f>
        <v>-</v>
      </c>
    </row>
    <row r="32511" customHeight="1" spans="2:2">
      <c r="B32511" s="62" t="str">
        <f>IF(AND('领用录入（明细）'!D:D=$F$4,'领用录入（明细）'!C:C&gt;=$J$4,'领用录入（明细）'!C:C&lt;=$L$4),ROW(),"-")</f>
        <v>-</v>
      </c>
    </row>
    <row r="32512" customHeight="1" spans="2:2">
      <c r="B32512" s="62" t="str">
        <f>IF(AND('领用录入（明细）'!D:D=$F$4,'领用录入（明细）'!C:C&gt;=$J$4,'领用录入（明细）'!C:C&lt;=$L$4),ROW(),"-")</f>
        <v>-</v>
      </c>
    </row>
    <row r="32513" customHeight="1" spans="2:2">
      <c r="B32513" s="62" t="str">
        <f>IF(AND('领用录入（明细）'!D:D=$F$4,'领用录入（明细）'!C:C&gt;=$J$4,'领用录入（明细）'!C:C&lt;=$L$4),ROW(),"-")</f>
        <v>-</v>
      </c>
    </row>
    <row r="32514" customHeight="1" spans="2:2">
      <c r="B32514" s="62" t="str">
        <f>IF(AND('领用录入（明细）'!D:D=$F$4,'领用录入（明细）'!C:C&gt;=$J$4,'领用录入（明细）'!C:C&lt;=$L$4),ROW(),"-")</f>
        <v>-</v>
      </c>
    </row>
    <row r="32515" customHeight="1" spans="2:2">
      <c r="B32515" s="62" t="str">
        <f>IF(AND('领用录入（明细）'!D:D=$F$4,'领用录入（明细）'!C:C&gt;=$J$4,'领用录入（明细）'!C:C&lt;=$L$4),ROW(),"-")</f>
        <v>-</v>
      </c>
    </row>
    <row r="32516" customHeight="1" spans="2:2">
      <c r="B32516" s="62" t="str">
        <f>IF(AND('领用录入（明细）'!D:D=$F$4,'领用录入（明细）'!C:C&gt;=$J$4,'领用录入（明细）'!C:C&lt;=$L$4),ROW(),"-")</f>
        <v>-</v>
      </c>
    </row>
    <row r="32517" customHeight="1" spans="2:2">
      <c r="B32517" s="62" t="str">
        <f>IF(AND('领用录入（明细）'!D:D=$F$4,'领用录入（明细）'!C:C&gt;=$J$4,'领用录入（明细）'!C:C&lt;=$L$4),ROW(),"-")</f>
        <v>-</v>
      </c>
    </row>
    <row r="32518" customHeight="1" spans="2:2">
      <c r="B32518" s="62" t="str">
        <f>IF(AND('领用录入（明细）'!D:D=$F$4,'领用录入（明细）'!C:C&gt;=$J$4,'领用录入（明细）'!C:C&lt;=$L$4),ROW(),"-")</f>
        <v>-</v>
      </c>
    </row>
    <row r="32519" customHeight="1" spans="2:2">
      <c r="B32519" s="62" t="str">
        <f>IF(AND('领用录入（明细）'!D:D=$F$4,'领用录入（明细）'!C:C&gt;=$J$4,'领用录入（明细）'!C:C&lt;=$L$4),ROW(),"-")</f>
        <v>-</v>
      </c>
    </row>
    <row r="32520" customHeight="1" spans="2:2">
      <c r="B32520" s="62" t="str">
        <f>IF(AND('领用录入（明细）'!D:D=$F$4,'领用录入（明细）'!C:C&gt;=$J$4,'领用录入（明细）'!C:C&lt;=$L$4),ROW(),"-")</f>
        <v>-</v>
      </c>
    </row>
    <row r="32521" customHeight="1" spans="2:2">
      <c r="B32521" s="62" t="str">
        <f>IF(AND('领用录入（明细）'!D:D=$F$4,'领用录入（明细）'!C:C&gt;=$J$4,'领用录入（明细）'!C:C&lt;=$L$4),ROW(),"-")</f>
        <v>-</v>
      </c>
    </row>
    <row r="32522" customHeight="1" spans="2:2">
      <c r="B32522" s="62" t="str">
        <f>IF(AND('领用录入（明细）'!D:D=$F$4,'领用录入（明细）'!C:C&gt;=$J$4,'领用录入（明细）'!C:C&lt;=$L$4),ROW(),"-")</f>
        <v>-</v>
      </c>
    </row>
    <row r="32523" customHeight="1" spans="2:2">
      <c r="B32523" s="62" t="str">
        <f>IF(AND('领用录入（明细）'!D:D=$F$4,'领用录入（明细）'!C:C&gt;=$J$4,'领用录入（明细）'!C:C&lt;=$L$4),ROW(),"-")</f>
        <v>-</v>
      </c>
    </row>
    <row r="32524" customHeight="1" spans="2:2">
      <c r="B32524" s="62" t="str">
        <f>IF(AND('领用录入（明细）'!D:D=$F$4,'领用录入（明细）'!C:C&gt;=$J$4,'领用录入（明细）'!C:C&lt;=$L$4),ROW(),"-")</f>
        <v>-</v>
      </c>
    </row>
    <row r="32525" customHeight="1" spans="2:2">
      <c r="B32525" s="62" t="str">
        <f>IF(AND('领用录入（明细）'!D:D=$F$4,'领用录入（明细）'!C:C&gt;=$J$4,'领用录入（明细）'!C:C&lt;=$L$4),ROW(),"-")</f>
        <v>-</v>
      </c>
    </row>
    <row r="32526" customHeight="1" spans="2:2">
      <c r="B32526" s="62" t="str">
        <f>IF(AND('领用录入（明细）'!D:D=$F$4,'领用录入（明细）'!C:C&gt;=$J$4,'领用录入（明细）'!C:C&lt;=$L$4),ROW(),"-")</f>
        <v>-</v>
      </c>
    </row>
    <row r="32527" customHeight="1" spans="2:2">
      <c r="B32527" s="62" t="str">
        <f>IF(AND('领用录入（明细）'!D:D=$F$4,'领用录入（明细）'!C:C&gt;=$J$4,'领用录入（明细）'!C:C&lt;=$L$4),ROW(),"-")</f>
        <v>-</v>
      </c>
    </row>
    <row r="32528" customHeight="1" spans="2:2">
      <c r="B32528" s="62" t="str">
        <f>IF(AND('领用录入（明细）'!D:D=$F$4,'领用录入（明细）'!C:C&gt;=$J$4,'领用录入（明细）'!C:C&lt;=$L$4),ROW(),"-")</f>
        <v>-</v>
      </c>
    </row>
    <row r="32529" customHeight="1" spans="2:2">
      <c r="B32529" s="62" t="str">
        <f>IF(AND('领用录入（明细）'!D:D=$F$4,'领用录入（明细）'!C:C&gt;=$J$4,'领用录入（明细）'!C:C&lt;=$L$4),ROW(),"-")</f>
        <v>-</v>
      </c>
    </row>
    <row r="32530" customHeight="1" spans="2:2">
      <c r="B32530" s="62" t="str">
        <f>IF(AND('领用录入（明细）'!D:D=$F$4,'领用录入（明细）'!C:C&gt;=$J$4,'领用录入（明细）'!C:C&lt;=$L$4),ROW(),"-")</f>
        <v>-</v>
      </c>
    </row>
    <row r="32531" customHeight="1" spans="2:2">
      <c r="B32531" s="62" t="str">
        <f>IF(AND('领用录入（明细）'!D:D=$F$4,'领用录入（明细）'!C:C&gt;=$J$4,'领用录入（明细）'!C:C&lt;=$L$4),ROW(),"-")</f>
        <v>-</v>
      </c>
    </row>
    <row r="32532" customHeight="1" spans="2:2">
      <c r="B32532" s="62" t="str">
        <f>IF(AND('领用录入（明细）'!D:D=$F$4,'领用录入（明细）'!C:C&gt;=$J$4,'领用录入（明细）'!C:C&lt;=$L$4),ROW(),"-")</f>
        <v>-</v>
      </c>
    </row>
    <row r="32533" customHeight="1" spans="2:2">
      <c r="B32533" s="62" t="str">
        <f>IF(AND('领用录入（明细）'!D:D=$F$4,'领用录入（明细）'!C:C&gt;=$J$4,'领用录入（明细）'!C:C&lt;=$L$4),ROW(),"-")</f>
        <v>-</v>
      </c>
    </row>
    <row r="32534" customHeight="1" spans="2:2">
      <c r="B32534" s="62" t="str">
        <f>IF(AND('领用录入（明细）'!D:D=$F$4,'领用录入（明细）'!C:C&gt;=$J$4,'领用录入（明细）'!C:C&lt;=$L$4),ROW(),"-")</f>
        <v>-</v>
      </c>
    </row>
    <row r="32535" customHeight="1" spans="2:2">
      <c r="B32535" s="62" t="str">
        <f>IF(AND('领用录入（明细）'!D:D=$F$4,'领用录入（明细）'!C:C&gt;=$J$4,'领用录入（明细）'!C:C&lt;=$L$4),ROW(),"-")</f>
        <v>-</v>
      </c>
    </row>
    <row r="32536" customHeight="1" spans="2:2">
      <c r="B32536" s="62" t="str">
        <f>IF(AND('领用录入（明细）'!D:D=$F$4,'领用录入（明细）'!C:C&gt;=$J$4,'领用录入（明细）'!C:C&lt;=$L$4),ROW(),"-")</f>
        <v>-</v>
      </c>
    </row>
    <row r="32537" customHeight="1" spans="2:2">
      <c r="B32537" s="62" t="str">
        <f>IF(AND('领用录入（明细）'!D:D=$F$4,'领用录入（明细）'!C:C&gt;=$J$4,'领用录入（明细）'!C:C&lt;=$L$4),ROW(),"-")</f>
        <v>-</v>
      </c>
    </row>
    <row r="32538" customHeight="1" spans="2:2">
      <c r="B32538" s="62" t="str">
        <f>IF(AND('领用录入（明细）'!D:D=$F$4,'领用录入（明细）'!C:C&gt;=$J$4,'领用录入（明细）'!C:C&lt;=$L$4),ROW(),"-")</f>
        <v>-</v>
      </c>
    </row>
    <row r="32539" customHeight="1" spans="2:2">
      <c r="B32539" s="62" t="str">
        <f>IF(AND('领用录入（明细）'!D:D=$F$4,'领用录入（明细）'!C:C&gt;=$J$4,'领用录入（明细）'!C:C&lt;=$L$4),ROW(),"-")</f>
        <v>-</v>
      </c>
    </row>
    <row r="32540" customHeight="1" spans="2:2">
      <c r="B32540" s="62" t="str">
        <f>IF(AND('领用录入（明细）'!D:D=$F$4,'领用录入（明细）'!C:C&gt;=$J$4,'领用录入（明细）'!C:C&lt;=$L$4),ROW(),"-")</f>
        <v>-</v>
      </c>
    </row>
    <row r="32541" customHeight="1" spans="2:2">
      <c r="B32541" s="62" t="str">
        <f>IF(AND('领用录入（明细）'!D:D=$F$4,'领用录入（明细）'!C:C&gt;=$J$4,'领用录入（明细）'!C:C&lt;=$L$4),ROW(),"-")</f>
        <v>-</v>
      </c>
    </row>
    <row r="32542" customHeight="1" spans="2:2">
      <c r="B32542" s="62" t="str">
        <f>IF(AND('领用录入（明细）'!D:D=$F$4,'领用录入（明细）'!C:C&gt;=$J$4,'领用录入（明细）'!C:C&lt;=$L$4),ROW(),"-")</f>
        <v>-</v>
      </c>
    </row>
    <row r="32543" customHeight="1" spans="2:2">
      <c r="B32543" s="62" t="str">
        <f>IF(AND('领用录入（明细）'!D:D=$F$4,'领用录入（明细）'!C:C&gt;=$J$4,'领用录入（明细）'!C:C&lt;=$L$4),ROW(),"-")</f>
        <v>-</v>
      </c>
    </row>
    <row r="32544" customHeight="1" spans="2:2">
      <c r="B32544" s="62" t="str">
        <f>IF(AND('领用录入（明细）'!D:D=$F$4,'领用录入（明细）'!C:C&gt;=$J$4,'领用录入（明细）'!C:C&lt;=$L$4),ROW(),"-")</f>
        <v>-</v>
      </c>
    </row>
    <row r="32545" customHeight="1" spans="2:2">
      <c r="B32545" s="62" t="str">
        <f>IF(AND('领用录入（明细）'!D:D=$F$4,'领用录入（明细）'!C:C&gt;=$J$4,'领用录入（明细）'!C:C&lt;=$L$4),ROW(),"-")</f>
        <v>-</v>
      </c>
    </row>
    <row r="32546" customHeight="1" spans="2:2">
      <c r="B32546" s="62" t="str">
        <f>IF(AND('领用录入（明细）'!D:D=$F$4,'领用录入（明细）'!C:C&gt;=$J$4,'领用录入（明细）'!C:C&lt;=$L$4),ROW(),"-")</f>
        <v>-</v>
      </c>
    </row>
    <row r="32547" customHeight="1" spans="2:2">
      <c r="B32547" s="62" t="str">
        <f>IF(AND('领用录入（明细）'!D:D=$F$4,'领用录入（明细）'!C:C&gt;=$J$4,'领用录入（明细）'!C:C&lt;=$L$4),ROW(),"-")</f>
        <v>-</v>
      </c>
    </row>
    <row r="32548" customHeight="1" spans="2:2">
      <c r="B32548" s="62" t="str">
        <f>IF(AND('领用录入（明细）'!D:D=$F$4,'领用录入（明细）'!C:C&gt;=$J$4,'领用录入（明细）'!C:C&lt;=$L$4),ROW(),"-")</f>
        <v>-</v>
      </c>
    </row>
    <row r="32549" customHeight="1" spans="2:2">
      <c r="B32549" s="62" t="str">
        <f>IF(AND('领用录入（明细）'!D:D=$F$4,'领用录入（明细）'!C:C&gt;=$J$4,'领用录入（明细）'!C:C&lt;=$L$4),ROW(),"-")</f>
        <v>-</v>
      </c>
    </row>
    <row r="32550" customHeight="1" spans="2:2">
      <c r="B32550" s="62" t="str">
        <f>IF(AND('领用录入（明细）'!D:D=$F$4,'领用录入（明细）'!C:C&gt;=$J$4,'领用录入（明细）'!C:C&lt;=$L$4),ROW(),"-")</f>
        <v>-</v>
      </c>
    </row>
    <row r="32551" customHeight="1" spans="2:2">
      <c r="B32551" s="62" t="str">
        <f>IF(AND('领用录入（明细）'!D:D=$F$4,'领用录入（明细）'!C:C&gt;=$J$4,'领用录入（明细）'!C:C&lt;=$L$4),ROW(),"-")</f>
        <v>-</v>
      </c>
    </row>
    <row r="32552" customHeight="1" spans="2:2">
      <c r="B32552" s="62" t="str">
        <f>IF(AND('领用录入（明细）'!D:D=$F$4,'领用录入（明细）'!C:C&gt;=$J$4,'领用录入（明细）'!C:C&lt;=$L$4),ROW(),"-")</f>
        <v>-</v>
      </c>
    </row>
    <row r="32553" customHeight="1" spans="2:2">
      <c r="B32553" s="62" t="str">
        <f>IF(AND('领用录入（明细）'!D:D=$F$4,'领用录入（明细）'!C:C&gt;=$J$4,'领用录入（明细）'!C:C&lt;=$L$4),ROW(),"-")</f>
        <v>-</v>
      </c>
    </row>
    <row r="32554" customHeight="1" spans="2:2">
      <c r="B32554" s="62" t="str">
        <f>IF(AND('领用录入（明细）'!D:D=$F$4,'领用录入（明细）'!C:C&gt;=$J$4,'领用录入（明细）'!C:C&lt;=$L$4),ROW(),"-")</f>
        <v>-</v>
      </c>
    </row>
    <row r="32555" customHeight="1" spans="2:2">
      <c r="B32555" s="62" t="str">
        <f>IF(AND('领用录入（明细）'!D:D=$F$4,'领用录入（明细）'!C:C&gt;=$J$4,'领用录入（明细）'!C:C&lt;=$L$4),ROW(),"-")</f>
        <v>-</v>
      </c>
    </row>
    <row r="32556" customHeight="1" spans="2:2">
      <c r="B32556" s="62" t="str">
        <f>IF(AND('领用录入（明细）'!D:D=$F$4,'领用录入（明细）'!C:C&gt;=$J$4,'领用录入（明细）'!C:C&lt;=$L$4),ROW(),"-")</f>
        <v>-</v>
      </c>
    </row>
    <row r="32557" customHeight="1" spans="2:2">
      <c r="B32557" s="62" t="str">
        <f>IF(AND('领用录入（明细）'!D:D=$F$4,'领用录入（明细）'!C:C&gt;=$J$4,'领用录入（明细）'!C:C&lt;=$L$4),ROW(),"-")</f>
        <v>-</v>
      </c>
    </row>
    <row r="32558" customHeight="1" spans="2:2">
      <c r="B32558" s="62" t="str">
        <f>IF(AND('领用录入（明细）'!D:D=$F$4,'领用录入（明细）'!C:C&gt;=$J$4,'领用录入（明细）'!C:C&lt;=$L$4),ROW(),"-")</f>
        <v>-</v>
      </c>
    </row>
    <row r="32559" customHeight="1" spans="2:2">
      <c r="B32559" s="62" t="str">
        <f>IF(AND('领用录入（明细）'!D:D=$F$4,'领用录入（明细）'!C:C&gt;=$J$4,'领用录入（明细）'!C:C&lt;=$L$4),ROW(),"-")</f>
        <v>-</v>
      </c>
    </row>
    <row r="32560" customHeight="1" spans="2:2">
      <c r="B32560" s="62" t="str">
        <f>IF(AND('领用录入（明细）'!D:D=$F$4,'领用录入（明细）'!C:C&gt;=$J$4,'领用录入（明细）'!C:C&lt;=$L$4),ROW(),"-")</f>
        <v>-</v>
      </c>
    </row>
    <row r="32561" customHeight="1" spans="2:2">
      <c r="B32561" s="62" t="str">
        <f>IF(AND('领用录入（明细）'!D:D=$F$4,'领用录入（明细）'!C:C&gt;=$J$4,'领用录入（明细）'!C:C&lt;=$L$4),ROW(),"-")</f>
        <v>-</v>
      </c>
    </row>
    <row r="32562" customHeight="1" spans="2:2">
      <c r="B32562" s="62" t="str">
        <f>IF(AND('领用录入（明细）'!D:D=$F$4,'领用录入（明细）'!C:C&gt;=$J$4,'领用录入（明细）'!C:C&lt;=$L$4),ROW(),"-")</f>
        <v>-</v>
      </c>
    </row>
    <row r="32563" customHeight="1" spans="2:2">
      <c r="B32563" s="62" t="str">
        <f>IF(AND('领用录入（明细）'!D:D=$F$4,'领用录入（明细）'!C:C&gt;=$J$4,'领用录入（明细）'!C:C&lt;=$L$4),ROW(),"-")</f>
        <v>-</v>
      </c>
    </row>
    <row r="32564" customHeight="1" spans="2:2">
      <c r="B32564" s="62" t="str">
        <f>IF(AND('领用录入（明细）'!D:D=$F$4,'领用录入（明细）'!C:C&gt;=$J$4,'领用录入（明细）'!C:C&lt;=$L$4),ROW(),"-")</f>
        <v>-</v>
      </c>
    </row>
    <row r="32565" customHeight="1" spans="2:2">
      <c r="B32565" s="62" t="str">
        <f>IF(AND('领用录入（明细）'!D:D=$F$4,'领用录入（明细）'!C:C&gt;=$J$4,'领用录入（明细）'!C:C&lt;=$L$4),ROW(),"-")</f>
        <v>-</v>
      </c>
    </row>
    <row r="32566" customHeight="1" spans="2:2">
      <c r="B32566" s="62" t="str">
        <f>IF(AND('领用录入（明细）'!D:D=$F$4,'领用录入（明细）'!C:C&gt;=$J$4,'领用录入（明细）'!C:C&lt;=$L$4),ROW(),"-")</f>
        <v>-</v>
      </c>
    </row>
    <row r="32567" customHeight="1" spans="2:2">
      <c r="B32567" s="62" t="str">
        <f>IF(AND('领用录入（明细）'!D:D=$F$4,'领用录入（明细）'!C:C&gt;=$J$4,'领用录入（明细）'!C:C&lt;=$L$4),ROW(),"-")</f>
        <v>-</v>
      </c>
    </row>
    <row r="32568" customHeight="1" spans="2:2">
      <c r="B32568" s="62" t="str">
        <f>IF(AND('领用录入（明细）'!D:D=$F$4,'领用录入（明细）'!C:C&gt;=$J$4,'领用录入（明细）'!C:C&lt;=$L$4),ROW(),"-")</f>
        <v>-</v>
      </c>
    </row>
    <row r="32569" customHeight="1" spans="2:2">
      <c r="B32569" s="62" t="str">
        <f>IF(AND('领用录入（明细）'!D:D=$F$4,'领用录入（明细）'!C:C&gt;=$J$4,'领用录入（明细）'!C:C&lt;=$L$4),ROW(),"-")</f>
        <v>-</v>
      </c>
    </row>
    <row r="32570" customHeight="1" spans="2:2">
      <c r="B32570" s="62" t="str">
        <f>IF(AND('领用录入（明细）'!D:D=$F$4,'领用录入（明细）'!C:C&gt;=$J$4,'领用录入（明细）'!C:C&lt;=$L$4),ROW(),"-")</f>
        <v>-</v>
      </c>
    </row>
    <row r="32571" customHeight="1" spans="2:2">
      <c r="B32571" s="62" t="str">
        <f>IF(AND('领用录入（明细）'!D:D=$F$4,'领用录入（明细）'!C:C&gt;=$J$4,'领用录入（明细）'!C:C&lt;=$L$4),ROW(),"-")</f>
        <v>-</v>
      </c>
    </row>
    <row r="32572" customHeight="1" spans="2:2">
      <c r="B32572" s="62" t="str">
        <f>IF(AND('领用录入（明细）'!D:D=$F$4,'领用录入（明细）'!C:C&gt;=$J$4,'领用录入（明细）'!C:C&lt;=$L$4),ROW(),"-")</f>
        <v>-</v>
      </c>
    </row>
    <row r="32573" customHeight="1" spans="2:2">
      <c r="B32573" s="62" t="str">
        <f>IF(AND('领用录入（明细）'!D:D=$F$4,'领用录入（明细）'!C:C&gt;=$J$4,'领用录入（明细）'!C:C&lt;=$L$4),ROW(),"-")</f>
        <v>-</v>
      </c>
    </row>
    <row r="32574" customHeight="1" spans="2:2">
      <c r="B32574" s="62" t="str">
        <f>IF(AND('领用录入（明细）'!D:D=$F$4,'领用录入（明细）'!C:C&gt;=$J$4,'领用录入（明细）'!C:C&lt;=$L$4),ROW(),"-")</f>
        <v>-</v>
      </c>
    </row>
    <row r="32575" customHeight="1" spans="2:2">
      <c r="B32575" s="62" t="str">
        <f>IF(AND('领用录入（明细）'!D:D=$F$4,'领用录入（明细）'!C:C&gt;=$J$4,'领用录入（明细）'!C:C&lt;=$L$4),ROW(),"-")</f>
        <v>-</v>
      </c>
    </row>
    <row r="32576" customHeight="1" spans="2:2">
      <c r="B32576" s="62" t="str">
        <f>IF(AND('领用录入（明细）'!D:D=$F$4,'领用录入（明细）'!C:C&gt;=$J$4,'领用录入（明细）'!C:C&lt;=$L$4),ROW(),"-")</f>
        <v>-</v>
      </c>
    </row>
    <row r="32577" customHeight="1" spans="2:2">
      <c r="B32577" s="62" t="str">
        <f>IF(AND('领用录入（明细）'!D:D=$F$4,'领用录入（明细）'!C:C&gt;=$J$4,'领用录入（明细）'!C:C&lt;=$L$4),ROW(),"-")</f>
        <v>-</v>
      </c>
    </row>
    <row r="32578" customHeight="1" spans="2:2">
      <c r="B32578" s="62" t="str">
        <f>IF(AND('领用录入（明细）'!D:D=$F$4,'领用录入（明细）'!C:C&gt;=$J$4,'领用录入（明细）'!C:C&lt;=$L$4),ROW(),"-")</f>
        <v>-</v>
      </c>
    </row>
    <row r="32579" customHeight="1" spans="2:2">
      <c r="B32579" s="62" t="str">
        <f>IF(AND('领用录入（明细）'!D:D=$F$4,'领用录入（明细）'!C:C&gt;=$J$4,'领用录入（明细）'!C:C&lt;=$L$4),ROW(),"-")</f>
        <v>-</v>
      </c>
    </row>
    <row r="32580" customHeight="1" spans="2:2">
      <c r="B32580" s="62" t="str">
        <f>IF(AND('领用录入（明细）'!D:D=$F$4,'领用录入（明细）'!C:C&gt;=$J$4,'领用录入（明细）'!C:C&lt;=$L$4),ROW(),"-")</f>
        <v>-</v>
      </c>
    </row>
    <row r="32581" customHeight="1" spans="2:2">
      <c r="B32581" s="62" t="str">
        <f>IF(AND('领用录入（明细）'!D:D=$F$4,'领用录入（明细）'!C:C&gt;=$J$4,'领用录入（明细）'!C:C&lt;=$L$4),ROW(),"-")</f>
        <v>-</v>
      </c>
    </row>
    <row r="32582" customHeight="1" spans="2:2">
      <c r="B32582" s="62" t="str">
        <f>IF(AND('领用录入（明细）'!D:D=$F$4,'领用录入（明细）'!C:C&gt;=$J$4,'领用录入（明细）'!C:C&lt;=$L$4),ROW(),"-")</f>
        <v>-</v>
      </c>
    </row>
    <row r="32583" customHeight="1" spans="2:2">
      <c r="B32583" s="62" t="str">
        <f>IF(AND('领用录入（明细）'!D:D=$F$4,'领用录入（明细）'!C:C&gt;=$J$4,'领用录入（明细）'!C:C&lt;=$L$4),ROW(),"-")</f>
        <v>-</v>
      </c>
    </row>
    <row r="32584" customHeight="1" spans="2:2">
      <c r="B32584" s="62" t="str">
        <f>IF(AND('领用录入（明细）'!D:D=$F$4,'领用录入（明细）'!C:C&gt;=$J$4,'领用录入（明细）'!C:C&lt;=$L$4),ROW(),"-")</f>
        <v>-</v>
      </c>
    </row>
    <row r="32585" customHeight="1" spans="2:2">
      <c r="B32585" s="62" t="str">
        <f>IF(AND('领用录入（明细）'!D:D=$F$4,'领用录入（明细）'!C:C&gt;=$J$4,'领用录入（明细）'!C:C&lt;=$L$4),ROW(),"-")</f>
        <v>-</v>
      </c>
    </row>
    <row r="32586" customHeight="1" spans="2:2">
      <c r="B32586" s="62" t="str">
        <f>IF(AND('领用录入（明细）'!D:D=$F$4,'领用录入（明细）'!C:C&gt;=$J$4,'领用录入（明细）'!C:C&lt;=$L$4),ROW(),"-")</f>
        <v>-</v>
      </c>
    </row>
    <row r="32587" customHeight="1" spans="2:2">
      <c r="B32587" s="62" t="str">
        <f>IF(AND('领用录入（明细）'!D:D=$F$4,'领用录入（明细）'!C:C&gt;=$J$4,'领用录入（明细）'!C:C&lt;=$L$4),ROW(),"-")</f>
        <v>-</v>
      </c>
    </row>
    <row r="32588" customHeight="1" spans="2:2">
      <c r="B32588" s="62" t="str">
        <f>IF(AND('领用录入（明细）'!D:D=$F$4,'领用录入（明细）'!C:C&gt;=$J$4,'领用录入（明细）'!C:C&lt;=$L$4),ROW(),"-")</f>
        <v>-</v>
      </c>
    </row>
    <row r="32589" customHeight="1" spans="2:2">
      <c r="B32589" s="62" t="str">
        <f>IF(AND('领用录入（明细）'!D:D=$F$4,'领用录入（明细）'!C:C&gt;=$J$4,'领用录入（明细）'!C:C&lt;=$L$4),ROW(),"-")</f>
        <v>-</v>
      </c>
    </row>
    <row r="32590" customHeight="1" spans="2:2">
      <c r="B32590" s="62" t="str">
        <f>IF(AND('领用录入（明细）'!D:D=$F$4,'领用录入（明细）'!C:C&gt;=$J$4,'领用录入（明细）'!C:C&lt;=$L$4),ROW(),"-")</f>
        <v>-</v>
      </c>
    </row>
    <row r="32591" customHeight="1" spans="2:2">
      <c r="B32591" s="62" t="str">
        <f>IF(AND('领用录入（明细）'!D:D=$F$4,'领用录入（明细）'!C:C&gt;=$J$4,'领用录入（明细）'!C:C&lt;=$L$4),ROW(),"-")</f>
        <v>-</v>
      </c>
    </row>
    <row r="32592" customHeight="1" spans="2:2">
      <c r="B32592" s="62" t="str">
        <f>IF(AND('领用录入（明细）'!D:D=$F$4,'领用录入（明细）'!C:C&gt;=$J$4,'领用录入（明细）'!C:C&lt;=$L$4),ROW(),"-")</f>
        <v>-</v>
      </c>
    </row>
    <row r="32593" customHeight="1" spans="2:2">
      <c r="B32593" s="62" t="str">
        <f>IF(AND('领用录入（明细）'!D:D=$F$4,'领用录入（明细）'!C:C&gt;=$J$4,'领用录入（明细）'!C:C&lt;=$L$4),ROW(),"-")</f>
        <v>-</v>
      </c>
    </row>
    <row r="32594" customHeight="1" spans="2:2">
      <c r="B32594" s="62" t="str">
        <f>IF(AND('领用录入（明细）'!D:D=$F$4,'领用录入（明细）'!C:C&gt;=$J$4,'领用录入（明细）'!C:C&lt;=$L$4),ROW(),"-")</f>
        <v>-</v>
      </c>
    </row>
    <row r="32595" customHeight="1" spans="2:2">
      <c r="B32595" s="62" t="str">
        <f>IF(AND('领用录入（明细）'!D:D=$F$4,'领用录入（明细）'!C:C&gt;=$J$4,'领用录入（明细）'!C:C&lt;=$L$4),ROW(),"-")</f>
        <v>-</v>
      </c>
    </row>
    <row r="32596" customHeight="1" spans="2:2">
      <c r="B32596" s="62" t="str">
        <f>IF(AND('领用录入（明细）'!D:D=$F$4,'领用录入（明细）'!C:C&gt;=$J$4,'领用录入（明细）'!C:C&lt;=$L$4),ROW(),"-")</f>
        <v>-</v>
      </c>
    </row>
    <row r="32597" customHeight="1" spans="2:2">
      <c r="B32597" s="62" t="str">
        <f>IF(AND('领用录入（明细）'!D:D=$F$4,'领用录入（明细）'!C:C&gt;=$J$4,'领用录入（明细）'!C:C&lt;=$L$4),ROW(),"-")</f>
        <v>-</v>
      </c>
    </row>
    <row r="32598" customHeight="1" spans="2:2">
      <c r="B32598" s="62" t="str">
        <f>IF(AND('领用录入（明细）'!D:D=$F$4,'领用录入（明细）'!C:C&gt;=$J$4,'领用录入（明细）'!C:C&lt;=$L$4),ROW(),"-")</f>
        <v>-</v>
      </c>
    </row>
    <row r="32599" customHeight="1" spans="2:2">
      <c r="B32599" s="62" t="str">
        <f>IF(AND('领用录入（明细）'!D:D=$F$4,'领用录入（明细）'!C:C&gt;=$J$4,'领用录入（明细）'!C:C&lt;=$L$4),ROW(),"-")</f>
        <v>-</v>
      </c>
    </row>
    <row r="32600" customHeight="1" spans="2:2">
      <c r="B32600" s="62" t="str">
        <f>IF(AND('领用录入（明细）'!D:D=$F$4,'领用录入（明细）'!C:C&gt;=$J$4,'领用录入（明细）'!C:C&lt;=$L$4),ROW(),"-")</f>
        <v>-</v>
      </c>
    </row>
    <row r="32601" customHeight="1" spans="2:2">
      <c r="B32601" s="62" t="str">
        <f>IF(AND('领用录入（明细）'!D:D=$F$4,'领用录入（明细）'!C:C&gt;=$J$4,'领用录入（明细）'!C:C&lt;=$L$4),ROW(),"-")</f>
        <v>-</v>
      </c>
    </row>
    <row r="32602" customHeight="1" spans="2:2">
      <c r="B32602" s="62" t="str">
        <f>IF(AND('领用录入（明细）'!D:D=$F$4,'领用录入（明细）'!C:C&gt;=$J$4,'领用录入（明细）'!C:C&lt;=$L$4),ROW(),"-")</f>
        <v>-</v>
      </c>
    </row>
    <row r="32603" customHeight="1" spans="2:2">
      <c r="B32603" s="62" t="str">
        <f>IF(AND('领用录入（明细）'!D:D=$F$4,'领用录入（明细）'!C:C&gt;=$J$4,'领用录入（明细）'!C:C&lt;=$L$4),ROW(),"-")</f>
        <v>-</v>
      </c>
    </row>
    <row r="32604" customHeight="1" spans="2:2">
      <c r="B32604" s="62" t="str">
        <f>IF(AND('领用录入（明细）'!D:D=$F$4,'领用录入（明细）'!C:C&gt;=$J$4,'领用录入（明细）'!C:C&lt;=$L$4),ROW(),"-")</f>
        <v>-</v>
      </c>
    </row>
    <row r="32605" customHeight="1" spans="2:2">
      <c r="B32605" s="62" t="str">
        <f>IF(AND('领用录入（明细）'!D:D=$F$4,'领用录入（明细）'!C:C&gt;=$J$4,'领用录入（明细）'!C:C&lt;=$L$4),ROW(),"-")</f>
        <v>-</v>
      </c>
    </row>
    <row r="32606" customHeight="1" spans="2:2">
      <c r="B32606" s="62" t="str">
        <f>IF(AND('领用录入（明细）'!D:D=$F$4,'领用录入（明细）'!C:C&gt;=$J$4,'领用录入（明细）'!C:C&lt;=$L$4),ROW(),"-")</f>
        <v>-</v>
      </c>
    </row>
    <row r="32607" customHeight="1" spans="2:2">
      <c r="B32607" s="62" t="str">
        <f>IF(AND('领用录入（明细）'!D:D=$F$4,'领用录入（明细）'!C:C&gt;=$J$4,'领用录入（明细）'!C:C&lt;=$L$4),ROW(),"-")</f>
        <v>-</v>
      </c>
    </row>
    <row r="32608" customHeight="1" spans="2:2">
      <c r="B32608" s="62" t="str">
        <f>IF(AND('领用录入（明细）'!D:D=$F$4,'领用录入（明细）'!C:C&gt;=$J$4,'领用录入（明细）'!C:C&lt;=$L$4),ROW(),"-")</f>
        <v>-</v>
      </c>
    </row>
    <row r="32609" customHeight="1" spans="2:2">
      <c r="B32609" s="62" t="str">
        <f>IF(AND('领用录入（明细）'!D:D=$F$4,'领用录入（明细）'!C:C&gt;=$J$4,'领用录入（明细）'!C:C&lt;=$L$4),ROW(),"-")</f>
        <v>-</v>
      </c>
    </row>
    <row r="32610" customHeight="1" spans="2:2">
      <c r="B32610" s="62" t="str">
        <f>IF(AND('领用录入（明细）'!D:D=$F$4,'领用录入（明细）'!C:C&gt;=$J$4,'领用录入（明细）'!C:C&lt;=$L$4),ROW(),"-")</f>
        <v>-</v>
      </c>
    </row>
    <row r="32611" customHeight="1" spans="2:2">
      <c r="B32611" s="62" t="str">
        <f>IF(AND('领用录入（明细）'!D:D=$F$4,'领用录入（明细）'!C:C&gt;=$J$4,'领用录入（明细）'!C:C&lt;=$L$4),ROW(),"-")</f>
        <v>-</v>
      </c>
    </row>
    <row r="32612" customHeight="1" spans="2:2">
      <c r="B32612" s="62" t="str">
        <f>IF(AND('领用录入（明细）'!D:D=$F$4,'领用录入（明细）'!C:C&gt;=$J$4,'领用录入（明细）'!C:C&lt;=$L$4),ROW(),"-")</f>
        <v>-</v>
      </c>
    </row>
    <row r="32613" customHeight="1" spans="2:2">
      <c r="B32613" s="62" t="str">
        <f>IF(AND('领用录入（明细）'!D:D=$F$4,'领用录入（明细）'!C:C&gt;=$J$4,'领用录入（明细）'!C:C&lt;=$L$4),ROW(),"-")</f>
        <v>-</v>
      </c>
    </row>
    <row r="32614" customHeight="1" spans="2:2">
      <c r="B32614" s="62" t="str">
        <f>IF(AND('领用录入（明细）'!D:D=$F$4,'领用录入（明细）'!C:C&gt;=$J$4,'领用录入（明细）'!C:C&lt;=$L$4),ROW(),"-")</f>
        <v>-</v>
      </c>
    </row>
    <row r="32615" customHeight="1" spans="2:2">
      <c r="B32615" s="62" t="str">
        <f>IF(AND('领用录入（明细）'!D:D=$F$4,'领用录入（明细）'!C:C&gt;=$J$4,'领用录入（明细）'!C:C&lt;=$L$4),ROW(),"-")</f>
        <v>-</v>
      </c>
    </row>
    <row r="32616" customHeight="1" spans="2:2">
      <c r="B32616" s="62" t="str">
        <f>IF(AND('领用录入（明细）'!D:D=$F$4,'领用录入（明细）'!C:C&gt;=$J$4,'领用录入（明细）'!C:C&lt;=$L$4),ROW(),"-")</f>
        <v>-</v>
      </c>
    </row>
    <row r="32617" customHeight="1" spans="2:2">
      <c r="B32617" s="62" t="str">
        <f>IF(AND('领用录入（明细）'!D:D=$F$4,'领用录入（明细）'!C:C&gt;=$J$4,'领用录入（明细）'!C:C&lt;=$L$4),ROW(),"-")</f>
        <v>-</v>
      </c>
    </row>
    <row r="32618" customHeight="1" spans="2:2">
      <c r="B32618" s="62" t="str">
        <f>IF(AND('领用录入（明细）'!D:D=$F$4,'领用录入（明细）'!C:C&gt;=$J$4,'领用录入（明细）'!C:C&lt;=$L$4),ROW(),"-")</f>
        <v>-</v>
      </c>
    </row>
    <row r="32619" customHeight="1" spans="2:2">
      <c r="B32619" s="62" t="str">
        <f>IF(AND('领用录入（明细）'!D:D=$F$4,'领用录入（明细）'!C:C&gt;=$J$4,'领用录入（明细）'!C:C&lt;=$L$4),ROW(),"-")</f>
        <v>-</v>
      </c>
    </row>
    <row r="32620" customHeight="1" spans="2:2">
      <c r="B32620" s="62" t="str">
        <f>IF(AND('领用录入（明细）'!D:D=$F$4,'领用录入（明细）'!C:C&gt;=$J$4,'领用录入（明细）'!C:C&lt;=$L$4),ROW(),"-")</f>
        <v>-</v>
      </c>
    </row>
    <row r="32621" customHeight="1" spans="2:2">
      <c r="B32621" s="62" t="str">
        <f>IF(AND('领用录入（明细）'!D:D=$F$4,'领用录入（明细）'!C:C&gt;=$J$4,'领用录入（明细）'!C:C&lt;=$L$4),ROW(),"-")</f>
        <v>-</v>
      </c>
    </row>
    <row r="32622" customHeight="1" spans="2:2">
      <c r="B32622" s="62" t="str">
        <f>IF(AND('领用录入（明细）'!D:D=$F$4,'领用录入（明细）'!C:C&gt;=$J$4,'领用录入（明细）'!C:C&lt;=$L$4),ROW(),"-")</f>
        <v>-</v>
      </c>
    </row>
    <row r="32623" customHeight="1" spans="2:2">
      <c r="B32623" s="62" t="str">
        <f>IF(AND('领用录入（明细）'!D:D=$F$4,'领用录入（明细）'!C:C&gt;=$J$4,'领用录入（明细）'!C:C&lt;=$L$4),ROW(),"-")</f>
        <v>-</v>
      </c>
    </row>
    <row r="32624" customHeight="1" spans="2:2">
      <c r="B32624" s="62" t="str">
        <f>IF(AND('领用录入（明细）'!D:D=$F$4,'领用录入（明细）'!C:C&gt;=$J$4,'领用录入（明细）'!C:C&lt;=$L$4),ROW(),"-")</f>
        <v>-</v>
      </c>
    </row>
    <row r="32625" customHeight="1" spans="2:2">
      <c r="B32625" s="62" t="str">
        <f>IF(AND('领用录入（明细）'!D:D=$F$4,'领用录入（明细）'!C:C&gt;=$J$4,'领用录入（明细）'!C:C&lt;=$L$4),ROW(),"-")</f>
        <v>-</v>
      </c>
    </row>
    <row r="32626" customHeight="1" spans="2:2">
      <c r="B32626" s="62" t="str">
        <f>IF(AND('领用录入（明细）'!D:D=$F$4,'领用录入（明细）'!C:C&gt;=$J$4,'领用录入（明细）'!C:C&lt;=$L$4),ROW(),"-")</f>
        <v>-</v>
      </c>
    </row>
    <row r="32627" customHeight="1" spans="2:2">
      <c r="B32627" s="62" t="str">
        <f>IF(AND('领用录入（明细）'!D:D=$F$4,'领用录入（明细）'!C:C&gt;=$J$4,'领用录入（明细）'!C:C&lt;=$L$4),ROW(),"-")</f>
        <v>-</v>
      </c>
    </row>
    <row r="32628" customHeight="1" spans="2:2">
      <c r="B32628" s="62" t="str">
        <f>IF(AND('领用录入（明细）'!D:D=$F$4,'领用录入（明细）'!C:C&gt;=$J$4,'领用录入（明细）'!C:C&lt;=$L$4),ROW(),"-")</f>
        <v>-</v>
      </c>
    </row>
    <row r="32629" customHeight="1" spans="2:2">
      <c r="B32629" s="62" t="str">
        <f>IF(AND('领用录入（明细）'!D:D=$F$4,'领用录入（明细）'!C:C&gt;=$J$4,'领用录入（明细）'!C:C&lt;=$L$4),ROW(),"-")</f>
        <v>-</v>
      </c>
    </row>
    <row r="32630" customHeight="1" spans="2:2">
      <c r="B32630" s="62" t="str">
        <f>IF(AND('领用录入（明细）'!D:D=$F$4,'领用录入（明细）'!C:C&gt;=$J$4,'领用录入（明细）'!C:C&lt;=$L$4),ROW(),"-")</f>
        <v>-</v>
      </c>
    </row>
    <row r="32631" customHeight="1" spans="2:2">
      <c r="B32631" s="62" t="str">
        <f>IF(AND('领用录入（明细）'!D:D=$F$4,'领用录入（明细）'!C:C&gt;=$J$4,'领用录入（明细）'!C:C&lt;=$L$4),ROW(),"-")</f>
        <v>-</v>
      </c>
    </row>
    <row r="32632" customHeight="1" spans="2:2">
      <c r="B32632" s="62" t="str">
        <f>IF(AND('领用录入（明细）'!D:D=$F$4,'领用录入（明细）'!C:C&gt;=$J$4,'领用录入（明细）'!C:C&lt;=$L$4),ROW(),"-")</f>
        <v>-</v>
      </c>
    </row>
    <row r="32633" customHeight="1" spans="2:2">
      <c r="B32633" s="62" t="str">
        <f>IF(AND('领用录入（明细）'!D:D=$F$4,'领用录入（明细）'!C:C&gt;=$J$4,'领用录入（明细）'!C:C&lt;=$L$4),ROW(),"-")</f>
        <v>-</v>
      </c>
    </row>
    <row r="32634" customHeight="1" spans="2:2">
      <c r="B32634" s="62" t="str">
        <f>IF(AND('领用录入（明细）'!D:D=$F$4,'领用录入（明细）'!C:C&gt;=$J$4,'领用录入（明细）'!C:C&lt;=$L$4),ROW(),"-")</f>
        <v>-</v>
      </c>
    </row>
    <row r="32635" customHeight="1" spans="2:2">
      <c r="B32635" s="62" t="str">
        <f>IF(AND('领用录入（明细）'!D:D=$F$4,'领用录入（明细）'!C:C&gt;=$J$4,'领用录入（明细）'!C:C&lt;=$L$4),ROW(),"-")</f>
        <v>-</v>
      </c>
    </row>
    <row r="32636" customHeight="1" spans="2:2">
      <c r="B32636" s="62" t="str">
        <f>IF(AND('领用录入（明细）'!D:D=$F$4,'领用录入（明细）'!C:C&gt;=$J$4,'领用录入（明细）'!C:C&lt;=$L$4),ROW(),"-")</f>
        <v>-</v>
      </c>
    </row>
    <row r="32637" customHeight="1" spans="2:2">
      <c r="B32637" s="62" t="str">
        <f>IF(AND('领用录入（明细）'!D:D=$F$4,'领用录入（明细）'!C:C&gt;=$J$4,'领用录入（明细）'!C:C&lt;=$L$4),ROW(),"-")</f>
        <v>-</v>
      </c>
    </row>
    <row r="32638" customHeight="1" spans="2:2">
      <c r="B32638" s="62" t="str">
        <f>IF(AND('领用录入（明细）'!D:D=$F$4,'领用录入（明细）'!C:C&gt;=$J$4,'领用录入（明细）'!C:C&lt;=$L$4),ROW(),"-")</f>
        <v>-</v>
      </c>
    </row>
    <row r="32639" customHeight="1" spans="2:2">
      <c r="B32639" s="62" t="str">
        <f>IF(AND('领用录入（明细）'!D:D=$F$4,'领用录入（明细）'!C:C&gt;=$J$4,'领用录入（明细）'!C:C&lt;=$L$4),ROW(),"-")</f>
        <v>-</v>
      </c>
    </row>
    <row r="32640" customHeight="1" spans="2:2">
      <c r="B32640" s="62" t="str">
        <f>IF(AND('领用录入（明细）'!D:D=$F$4,'领用录入（明细）'!C:C&gt;=$J$4,'领用录入（明细）'!C:C&lt;=$L$4),ROW(),"-")</f>
        <v>-</v>
      </c>
    </row>
    <row r="32641" customHeight="1" spans="2:2">
      <c r="B32641" s="62" t="str">
        <f>IF(AND('领用录入（明细）'!D:D=$F$4,'领用录入（明细）'!C:C&gt;=$J$4,'领用录入（明细）'!C:C&lt;=$L$4),ROW(),"-")</f>
        <v>-</v>
      </c>
    </row>
    <row r="32642" customHeight="1" spans="2:2">
      <c r="B32642" s="62" t="str">
        <f>IF(AND('领用录入（明细）'!D:D=$F$4,'领用录入（明细）'!C:C&gt;=$J$4,'领用录入（明细）'!C:C&lt;=$L$4),ROW(),"-")</f>
        <v>-</v>
      </c>
    </row>
    <row r="32643" customHeight="1" spans="2:2">
      <c r="B32643" s="62" t="str">
        <f>IF(AND('领用录入（明细）'!D:D=$F$4,'领用录入（明细）'!C:C&gt;=$J$4,'领用录入（明细）'!C:C&lt;=$L$4),ROW(),"-")</f>
        <v>-</v>
      </c>
    </row>
    <row r="32644" customHeight="1" spans="2:2">
      <c r="B32644" s="62" t="str">
        <f>IF(AND('领用录入（明细）'!D:D=$F$4,'领用录入（明细）'!C:C&gt;=$J$4,'领用录入（明细）'!C:C&lt;=$L$4),ROW(),"-")</f>
        <v>-</v>
      </c>
    </row>
    <row r="32645" customHeight="1" spans="2:2">
      <c r="B32645" s="62" t="str">
        <f>IF(AND('领用录入（明细）'!D:D=$F$4,'领用录入（明细）'!C:C&gt;=$J$4,'领用录入（明细）'!C:C&lt;=$L$4),ROW(),"-")</f>
        <v>-</v>
      </c>
    </row>
    <row r="32646" customHeight="1" spans="2:2">
      <c r="B32646" s="62" t="str">
        <f>IF(AND('领用录入（明细）'!D:D=$F$4,'领用录入（明细）'!C:C&gt;=$J$4,'领用录入（明细）'!C:C&lt;=$L$4),ROW(),"-")</f>
        <v>-</v>
      </c>
    </row>
    <row r="32647" customHeight="1" spans="2:2">
      <c r="B32647" s="62" t="str">
        <f>IF(AND('领用录入（明细）'!D:D=$F$4,'领用录入（明细）'!C:C&gt;=$J$4,'领用录入（明细）'!C:C&lt;=$L$4),ROW(),"-")</f>
        <v>-</v>
      </c>
    </row>
    <row r="32648" customHeight="1" spans="2:2">
      <c r="B32648" s="62" t="str">
        <f>IF(AND('领用录入（明细）'!D:D=$F$4,'领用录入（明细）'!C:C&gt;=$J$4,'领用录入（明细）'!C:C&lt;=$L$4),ROW(),"-")</f>
        <v>-</v>
      </c>
    </row>
    <row r="32649" customHeight="1" spans="2:2">
      <c r="B32649" s="62" t="str">
        <f>IF(AND('领用录入（明细）'!D:D=$F$4,'领用录入（明细）'!C:C&gt;=$J$4,'领用录入（明细）'!C:C&lt;=$L$4),ROW(),"-")</f>
        <v>-</v>
      </c>
    </row>
    <row r="32650" customHeight="1" spans="2:2">
      <c r="B32650" s="62" t="str">
        <f>IF(AND('领用录入（明细）'!D:D=$F$4,'领用录入（明细）'!C:C&gt;=$J$4,'领用录入（明细）'!C:C&lt;=$L$4),ROW(),"-")</f>
        <v>-</v>
      </c>
    </row>
    <row r="32651" customHeight="1" spans="2:2">
      <c r="B32651" s="62" t="str">
        <f>IF(AND('领用录入（明细）'!D:D=$F$4,'领用录入（明细）'!C:C&gt;=$J$4,'领用录入（明细）'!C:C&lt;=$L$4),ROW(),"-")</f>
        <v>-</v>
      </c>
    </row>
    <row r="32652" customHeight="1" spans="2:2">
      <c r="B32652" s="62" t="str">
        <f>IF(AND('领用录入（明细）'!D:D=$F$4,'领用录入（明细）'!C:C&gt;=$J$4,'领用录入（明细）'!C:C&lt;=$L$4),ROW(),"-")</f>
        <v>-</v>
      </c>
    </row>
    <row r="32653" customHeight="1" spans="2:2">
      <c r="B32653" s="62" t="str">
        <f>IF(AND('领用录入（明细）'!D:D=$F$4,'领用录入（明细）'!C:C&gt;=$J$4,'领用录入（明细）'!C:C&lt;=$L$4),ROW(),"-")</f>
        <v>-</v>
      </c>
    </row>
    <row r="32654" customHeight="1" spans="2:2">
      <c r="B32654" s="62" t="str">
        <f>IF(AND('领用录入（明细）'!D:D=$F$4,'领用录入（明细）'!C:C&gt;=$J$4,'领用录入（明细）'!C:C&lt;=$L$4),ROW(),"-")</f>
        <v>-</v>
      </c>
    </row>
    <row r="32655" customHeight="1" spans="2:2">
      <c r="B32655" s="62" t="str">
        <f>IF(AND('领用录入（明细）'!D:D=$F$4,'领用录入（明细）'!C:C&gt;=$J$4,'领用录入（明细）'!C:C&lt;=$L$4),ROW(),"-")</f>
        <v>-</v>
      </c>
    </row>
    <row r="32656" customHeight="1" spans="2:2">
      <c r="B32656" s="62" t="str">
        <f>IF(AND('领用录入（明细）'!D:D=$F$4,'领用录入（明细）'!C:C&gt;=$J$4,'领用录入（明细）'!C:C&lt;=$L$4),ROW(),"-")</f>
        <v>-</v>
      </c>
    </row>
    <row r="32657" customHeight="1" spans="2:2">
      <c r="B32657" s="62" t="str">
        <f>IF(AND('领用录入（明细）'!D:D=$F$4,'领用录入（明细）'!C:C&gt;=$J$4,'领用录入（明细）'!C:C&lt;=$L$4),ROW(),"-")</f>
        <v>-</v>
      </c>
    </row>
    <row r="32658" customHeight="1" spans="2:2">
      <c r="B32658" s="62" t="str">
        <f>IF(AND('领用录入（明细）'!D:D=$F$4,'领用录入（明细）'!C:C&gt;=$J$4,'领用录入（明细）'!C:C&lt;=$L$4),ROW(),"-")</f>
        <v>-</v>
      </c>
    </row>
    <row r="32659" customHeight="1" spans="2:2">
      <c r="B32659" s="62" t="str">
        <f>IF(AND('领用录入（明细）'!D:D=$F$4,'领用录入（明细）'!C:C&gt;=$J$4,'领用录入（明细）'!C:C&lt;=$L$4),ROW(),"-")</f>
        <v>-</v>
      </c>
    </row>
    <row r="32660" customHeight="1" spans="2:2">
      <c r="B32660" s="62" t="str">
        <f>IF(AND('领用录入（明细）'!D:D=$F$4,'领用录入（明细）'!C:C&gt;=$J$4,'领用录入（明细）'!C:C&lt;=$L$4),ROW(),"-")</f>
        <v>-</v>
      </c>
    </row>
    <row r="32661" customHeight="1" spans="2:2">
      <c r="B32661" s="62" t="str">
        <f>IF(AND('领用录入（明细）'!D:D=$F$4,'领用录入（明细）'!C:C&gt;=$J$4,'领用录入（明细）'!C:C&lt;=$L$4),ROW(),"-")</f>
        <v>-</v>
      </c>
    </row>
    <row r="32662" customHeight="1" spans="2:2">
      <c r="B32662" s="62" t="str">
        <f>IF(AND('领用录入（明细）'!D:D=$F$4,'领用录入（明细）'!C:C&gt;=$J$4,'领用录入（明细）'!C:C&lt;=$L$4),ROW(),"-")</f>
        <v>-</v>
      </c>
    </row>
    <row r="32663" customHeight="1" spans="2:2">
      <c r="B32663" s="62" t="str">
        <f>IF(AND('领用录入（明细）'!D:D=$F$4,'领用录入（明细）'!C:C&gt;=$J$4,'领用录入（明细）'!C:C&lt;=$L$4),ROW(),"-")</f>
        <v>-</v>
      </c>
    </row>
    <row r="32664" customHeight="1" spans="2:2">
      <c r="B32664" s="62" t="str">
        <f>IF(AND('领用录入（明细）'!D:D=$F$4,'领用录入（明细）'!C:C&gt;=$J$4,'领用录入（明细）'!C:C&lt;=$L$4),ROW(),"-")</f>
        <v>-</v>
      </c>
    </row>
    <row r="32665" customHeight="1" spans="2:2">
      <c r="B32665" s="62" t="str">
        <f>IF(AND('领用录入（明细）'!D:D=$F$4,'领用录入（明细）'!C:C&gt;=$J$4,'领用录入（明细）'!C:C&lt;=$L$4),ROW(),"-")</f>
        <v>-</v>
      </c>
    </row>
    <row r="32666" customHeight="1" spans="2:2">
      <c r="B32666" s="62" t="str">
        <f>IF(AND('领用录入（明细）'!D:D=$F$4,'领用录入（明细）'!C:C&gt;=$J$4,'领用录入（明细）'!C:C&lt;=$L$4),ROW(),"-")</f>
        <v>-</v>
      </c>
    </row>
    <row r="32667" customHeight="1" spans="2:2">
      <c r="B32667" s="62" t="str">
        <f>IF(AND('领用录入（明细）'!D:D=$F$4,'领用录入（明细）'!C:C&gt;=$J$4,'领用录入（明细）'!C:C&lt;=$L$4),ROW(),"-")</f>
        <v>-</v>
      </c>
    </row>
    <row r="32668" customHeight="1" spans="2:2">
      <c r="B32668" s="62" t="str">
        <f>IF(AND('领用录入（明细）'!D:D=$F$4,'领用录入（明细）'!C:C&gt;=$J$4,'领用录入（明细）'!C:C&lt;=$L$4),ROW(),"-")</f>
        <v>-</v>
      </c>
    </row>
    <row r="32669" customHeight="1" spans="2:2">
      <c r="B32669" s="62" t="str">
        <f>IF(AND('领用录入（明细）'!D:D=$F$4,'领用录入（明细）'!C:C&gt;=$J$4,'领用录入（明细）'!C:C&lt;=$L$4),ROW(),"-")</f>
        <v>-</v>
      </c>
    </row>
    <row r="32670" customHeight="1" spans="2:2">
      <c r="B32670" s="62" t="str">
        <f>IF(AND('领用录入（明细）'!D:D=$F$4,'领用录入（明细）'!C:C&gt;=$J$4,'领用录入（明细）'!C:C&lt;=$L$4),ROW(),"-")</f>
        <v>-</v>
      </c>
    </row>
    <row r="32671" customHeight="1" spans="2:2">
      <c r="B32671" s="62" t="str">
        <f>IF(AND('领用录入（明细）'!D:D=$F$4,'领用录入（明细）'!C:C&gt;=$J$4,'领用录入（明细）'!C:C&lt;=$L$4),ROW(),"-")</f>
        <v>-</v>
      </c>
    </row>
    <row r="32672" customHeight="1" spans="2:2">
      <c r="B32672" s="62" t="str">
        <f>IF(AND('领用录入（明细）'!D:D=$F$4,'领用录入（明细）'!C:C&gt;=$J$4,'领用录入（明细）'!C:C&lt;=$L$4),ROW(),"-")</f>
        <v>-</v>
      </c>
    </row>
    <row r="32673" customHeight="1" spans="2:2">
      <c r="B32673" s="62" t="str">
        <f>IF(AND('领用录入（明细）'!D:D=$F$4,'领用录入（明细）'!C:C&gt;=$J$4,'领用录入（明细）'!C:C&lt;=$L$4),ROW(),"-")</f>
        <v>-</v>
      </c>
    </row>
    <row r="32674" customHeight="1" spans="2:2">
      <c r="B32674" s="62" t="str">
        <f>IF(AND('领用录入（明细）'!D:D=$F$4,'领用录入（明细）'!C:C&gt;=$J$4,'领用录入（明细）'!C:C&lt;=$L$4),ROW(),"-")</f>
        <v>-</v>
      </c>
    </row>
    <row r="32675" customHeight="1" spans="2:2">
      <c r="B32675" s="62" t="str">
        <f>IF(AND('领用录入（明细）'!D:D=$F$4,'领用录入（明细）'!C:C&gt;=$J$4,'领用录入（明细）'!C:C&lt;=$L$4),ROW(),"-")</f>
        <v>-</v>
      </c>
    </row>
    <row r="32676" customHeight="1" spans="2:2">
      <c r="B32676" s="62" t="str">
        <f>IF(AND('领用录入（明细）'!D:D=$F$4,'领用录入（明细）'!C:C&gt;=$J$4,'领用录入（明细）'!C:C&lt;=$L$4),ROW(),"-")</f>
        <v>-</v>
      </c>
    </row>
    <row r="32677" customHeight="1" spans="2:2">
      <c r="B32677" s="62" t="str">
        <f>IF(AND('领用录入（明细）'!D:D=$F$4,'领用录入（明细）'!C:C&gt;=$J$4,'领用录入（明细）'!C:C&lt;=$L$4),ROW(),"-")</f>
        <v>-</v>
      </c>
    </row>
    <row r="32678" customHeight="1" spans="2:2">
      <c r="B32678" s="62" t="str">
        <f>IF(AND('领用录入（明细）'!D:D=$F$4,'领用录入（明细）'!C:C&gt;=$J$4,'领用录入（明细）'!C:C&lt;=$L$4),ROW(),"-")</f>
        <v>-</v>
      </c>
    </row>
    <row r="32679" customHeight="1" spans="2:2">
      <c r="B32679" s="62" t="str">
        <f>IF(AND('领用录入（明细）'!D:D=$F$4,'领用录入（明细）'!C:C&gt;=$J$4,'领用录入（明细）'!C:C&lt;=$L$4),ROW(),"-")</f>
        <v>-</v>
      </c>
    </row>
    <row r="32680" customHeight="1" spans="2:2">
      <c r="B32680" s="62" t="str">
        <f>IF(AND('领用录入（明细）'!D:D=$F$4,'领用录入（明细）'!C:C&gt;=$J$4,'领用录入（明细）'!C:C&lt;=$L$4),ROW(),"-")</f>
        <v>-</v>
      </c>
    </row>
    <row r="32681" customHeight="1" spans="2:2">
      <c r="B32681" s="62" t="str">
        <f>IF(AND('领用录入（明细）'!D:D=$F$4,'领用录入（明细）'!C:C&gt;=$J$4,'领用录入（明细）'!C:C&lt;=$L$4),ROW(),"-")</f>
        <v>-</v>
      </c>
    </row>
    <row r="32682" customHeight="1" spans="2:2">
      <c r="B32682" s="62" t="str">
        <f>IF(AND('领用录入（明细）'!D:D=$F$4,'领用录入（明细）'!C:C&gt;=$J$4,'领用录入（明细）'!C:C&lt;=$L$4),ROW(),"-")</f>
        <v>-</v>
      </c>
    </row>
    <row r="32683" customHeight="1" spans="2:2">
      <c r="B32683" s="62" t="str">
        <f>IF(AND('领用录入（明细）'!D:D=$F$4,'领用录入（明细）'!C:C&gt;=$J$4,'领用录入（明细）'!C:C&lt;=$L$4),ROW(),"-")</f>
        <v>-</v>
      </c>
    </row>
    <row r="32684" customHeight="1" spans="2:2">
      <c r="B32684" s="62" t="str">
        <f>IF(AND('领用录入（明细）'!D:D=$F$4,'领用录入（明细）'!C:C&gt;=$J$4,'领用录入（明细）'!C:C&lt;=$L$4),ROW(),"-")</f>
        <v>-</v>
      </c>
    </row>
    <row r="32685" customHeight="1" spans="2:2">
      <c r="B32685" s="62" t="str">
        <f>IF(AND('领用录入（明细）'!D:D=$F$4,'领用录入（明细）'!C:C&gt;=$J$4,'领用录入（明细）'!C:C&lt;=$L$4),ROW(),"-")</f>
        <v>-</v>
      </c>
    </row>
    <row r="32686" customHeight="1" spans="2:2">
      <c r="B32686" s="62" t="str">
        <f>IF(AND('领用录入（明细）'!D:D=$F$4,'领用录入（明细）'!C:C&gt;=$J$4,'领用录入（明细）'!C:C&lt;=$L$4),ROW(),"-")</f>
        <v>-</v>
      </c>
    </row>
    <row r="32687" customHeight="1" spans="2:2">
      <c r="B32687" s="62" t="str">
        <f>IF(AND('领用录入（明细）'!D:D=$F$4,'领用录入（明细）'!C:C&gt;=$J$4,'领用录入（明细）'!C:C&lt;=$L$4),ROW(),"-")</f>
        <v>-</v>
      </c>
    </row>
    <row r="32688" customHeight="1" spans="2:2">
      <c r="B32688" s="62" t="str">
        <f>IF(AND('领用录入（明细）'!D:D=$F$4,'领用录入（明细）'!C:C&gt;=$J$4,'领用录入（明细）'!C:C&lt;=$L$4),ROW(),"-")</f>
        <v>-</v>
      </c>
    </row>
    <row r="32689" customHeight="1" spans="2:2">
      <c r="B32689" s="62" t="str">
        <f>IF(AND('领用录入（明细）'!D:D=$F$4,'领用录入（明细）'!C:C&gt;=$J$4,'领用录入（明细）'!C:C&lt;=$L$4),ROW(),"-")</f>
        <v>-</v>
      </c>
    </row>
    <row r="32690" customHeight="1" spans="2:2">
      <c r="B32690" s="62" t="str">
        <f>IF(AND('领用录入（明细）'!D:D=$F$4,'领用录入（明细）'!C:C&gt;=$J$4,'领用录入（明细）'!C:C&lt;=$L$4),ROW(),"-")</f>
        <v>-</v>
      </c>
    </row>
    <row r="32691" customHeight="1" spans="2:2">
      <c r="B32691" s="62" t="str">
        <f>IF(AND('领用录入（明细）'!D:D=$F$4,'领用录入（明细）'!C:C&gt;=$J$4,'领用录入（明细）'!C:C&lt;=$L$4),ROW(),"-")</f>
        <v>-</v>
      </c>
    </row>
    <row r="32692" customHeight="1" spans="2:2">
      <c r="B32692" s="62" t="str">
        <f>IF(AND('领用录入（明细）'!D:D=$F$4,'领用录入（明细）'!C:C&gt;=$J$4,'领用录入（明细）'!C:C&lt;=$L$4),ROW(),"-")</f>
        <v>-</v>
      </c>
    </row>
    <row r="32693" customHeight="1" spans="2:2">
      <c r="B32693" s="62" t="str">
        <f>IF(AND('领用录入（明细）'!D:D=$F$4,'领用录入（明细）'!C:C&gt;=$J$4,'领用录入（明细）'!C:C&lt;=$L$4),ROW(),"-")</f>
        <v>-</v>
      </c>
    </row>
    <row r="32694" customHeight="1" spans="2:2">
      <c r="B32694" s="62" t="str">
        <f>IF(AND('领用录入（明细）'!D:D=$F$4,'领用录入（明细）'!C:C&gt;=$J$4,'领用录入（明细）'!C:C&lt;=$L$4),ROW(),"-")</f>
        <v>-</v>
      </c>
    </row>
    <row r="32695" customHeight="1" spans="2:2">
      <c r="B32695" s="62" t="str">
        <f>IF(AND('领用录入（明细）'!D:D=$F$4,'领用录入（明细）'!C:C&gt;=$J$4,'领用录入（明细）'!C:C&lt;=$L$4),ROW(),"-")</f>
        <v>-</v>
      </c>
    </row>
    <row r="32696" customHeight="1" spans="2:2">
      <c r="B32696" s="62" t="str">
        <f>IF(AND('领用录入（明细）'!D:D=$F$4,'领用录入（明细）'!C:C&gt;=$J$4,'领用录入（明细）'!C:C&lt;=$L$4),ROW(),"-")</f>
        <v>-</v>
      </c>
    </row>
    <row r="32697" customHeight="1" spans="2:2">
      <c r="B32697" s="62" t="str">
        <f>IF(AND('领用录入（明细）'!D:D=$F$4,'领用录入（明细）'!C:C&gt;=$J$4,'领用录入（明细）'!C:C&lt;=$L$4),ROW(),"-")</f>
        <v>-</v>
      </c>
    </row>
    <row r="32698" customHeight="1" spans="2:2">
      <c r="B32698" s="62" t="str">
        <f>IF(AND('领用录入（明细）'!D:D=$F$4,'领用录入（明细）'!C:C&gt;=$J$4,'领用录入（明细）'!C:C&lt;=$L$4),ROW(),"-")</f>
        <v>-</v>
      </c>
    </row>
    <row r="32699" customHeight="1" spans="2:2">
      <c r="B32699" s="62" t="str">
        <f>IF(AND('领用录入（明细）'!D:D=$F$4,'领用录入（明细）'!C:C&gt;=$J$4,'领用录入（明细）'!C:C&lt;=$L$4),ROW(),"-")</f>
        <v>-</v>
      </c>
    </row>
    <row r="32700" customHeight="1" spans="2:2">
      <c r="B32700" s="62" t="str">
        <f>IF(AND('领用录入（明细）'!D:D=$F$4,'领用录入（明细）'!C:C&gt;=$J$4,'领用录入（明细）'!C:C&lt;=$L$4),ROW(),"-")</f>
        <v>-</v>
      </c>
    </row>
    <row r="32701" customHeight="1" spans="2:2">
      <c r="B32701" s="62" t="str">
        <f>IF(AND('领用录入（明细）'!D:D=$F$4,'领用录入（明细）'!C:C&gt;=$J$4,'领用录入（明细）'!C:C&lt;=$L$4),ROW(),"-")</f>
        <v>-</v>
      </c>
    </row>
    <row r="32702" customHeight="1" spans="2:2">
      <c r="B32702" s="62" t="str">
        <f>IF(AND('领用录入（明细）'!D:D=$F$4,'领用录入（明细）'!C:C&gt;=$J$4,'领用录入（明细）'!C:C&lt;=$L$4),ROW(),"-")</f>
        <v>-</v>
      </c>
    </row>
    <row r="32703" customHeight="1" spans="2:2">
      <c r="B32703" s="62" t="str">
        <f>IF(AND('领用录入（明细）'!D:D=$F$4,'领用录入（明细）'!C:C&gt;=$J$4,'领用录入（明细）'!C:C&lt;=$L$4),ROW(),"-")</f>
        <v>-</v>
      </c>
    </row>
    <row r="32704" customHeight="1" spans="2:2">
      <c r="B32704" s="62" t="str">
        <f>IF(AND('领用录入（明细）'!D:D=$F$4,'领用录入（明细）'!C:C&gt;=$J$4,'领用录入（明细）'!C:C&lt;=$L$4),ROW(),"-")</f>
        <v>-</v>
      </c>
    </row>
    <row r="32705" customHeight="1" spans="2:2">
      <c r="B32705" s="62" t="str">
        <f>IF(AND('领用录入（明细）'!D:D=$F$4,'领用录入（明细）'!C:C&gt;=$J$4,'领用录入（明细）'!C:C&lt;=$L$4),ROW(),"-")</f>
        <v>-</v>
      </c>
    </row>
    <row r="32706" customHeight="1" spans="2:2">
      <c r="B32706" s="62" t="str">
        <f>IF(AND('领用录入（明细）'!D:D=$F$4,'领用录入（明细）'!C:C&gt;=$J$4,'领用录入（明细）'!C:C&lt;=$L$4),ROW(),"-")</f>
        <v>-</v>
      </c>
    </row>
    <row r="32707" customHeight="1" spans="2:2">
      <c r="B32707" s="62" t="str">
        <f>IF(AND('领用录入（明细）'!D:D=$F$4,'领用录入（明细）'!C:C&gt;=$J$4,'领用录入（明细）'!C:C&lt;=$L$4),ROW(),"-")</f>
        <v>-</v>
      </c>
    </row>
    <row r="32708" customHeight="1" spans="2:2">
      <c r="B32708" s="62" t="str">
        <f>IF(AND('领用录入（明细）'!D:D=$F$4,'领用录入（明细）'!C:C&gt;=$J$4,'领用录入（明细）'!C:C&lt;=$L$4),ROW(),"-")</f>
        <v>-</v>
      </c>
    </row>
    <row r="32709" customHeight="1" spans="2:2">
      <c r="B32709" s="62" t="str">
        <f>IF(AND('领用录入（明细）'!D:D=$F$4,'领用录入（明细）'!C:C&gt;=$J$4,'领用录入（明细）'!C:C&lt;=$L$4),ROW(),"-")</f>
        <v>-</v>
      </c>
    </row>
    <row r="32710" customHeight="1" spans="2:2">
      <c r="B32710" s="62" t="str">
        <f>IF(AND('领用录入（明细）'!D:D=$F$4,'领用录入（明细）'!C:C&gt;=$J$4,'领用录入（明细）'!C:C&lt;=$L$4),ROW(),"-")</f>
        <v>-</v>
      </c>
    </row>
    <row r="32711" customHeight="1" spans="2:2">
      <c r="B32711" s="62" t="str">
        <f>IF(AND('领用录入（明细）'!D:D=$F$4,'领用录入（明细）'!C:C&gt;=$J$4,'领用录入（明细）'!C:C&lt;=$L$4),ROW(),"-")</f>
        <v>-</v>
      </c>
    </row>
    <row r="32712" customHeight="1" spans="2:2">
      <c r="B32712" s="62" t="str">
        <f>IF(AND('领用录入（明细）'!D:D=$F$4,'领用录入（明细）'!C:C&gt;=$J$4,'领用录入（明细）'!C:C&lt;=$L$4),ROW(),"-")</f>
        <v>-</v>
      </c>
    </row>
    <row r="32713" customHeight="1" spans="2:2">
      <c r="B32713" s="62" t="str">
        <f>IF(AND('领用录入（明细）'!D:D=$F$4,'领用录入（明细）'!C:C&gt;=$J$4,'领用录入（明细）'!C:C&lt;=$L$4),ROW(),"-")</f>
        <v>-</v>
      </c>
    </row>
    <row r="32714" customHeight="1" spans="2:2">
      <c r="B32714" s="62" t="str">
        <f>IF(AND('领用录入（明细）'!D:D=$F$4,'领用录入（明细）'!C:C&gt;=$J$4,'领用录入（明细）'!C:C&lt;=$L$4),ROW(),"-")</f>
        <v>-</v>
      </c>
    </row>
    <row r="32715" customHeight="1" spans="2:2">
      <c r="B32715" s="62" t="str">
        <f>IF(AND('领用录入（明细）'!D:D=$F$4,'领用录入（明细）'!C:C&gt;=$J$4,'领用录入（明细）'!C:C&lt;=$L$4),ROW(),"-")</f>
        <v>-</v>
      </c>
    </row>
    <row r="32716" customHeight="1" spans="2:2">
      <c r="B32716" s="62" t="str">
        <f>IF(AND('领用录入（明细）'!D:D=$F$4,'领用录入（明细）'!C:C&gt;=$J$4,'领用录入（明细）'!C:C&lt;=$L$4),ROW(),"-")</f>
        <v>-</v>
      </c>
    </row>
    <row r="32717" customHeight="1" spans="2:2">
      <c r="B32717" s="62" t="str">
        <f>IF(AND('领用录入（明细）'!D:D=$F$4,'领用录入（明细）'!C:C&gt;=$J$4,'领用录入（明细）'!C:C&lt;=$L$4),ROW(),"-")</f>
        <v>-</v>
      </c>
    </row>
    <row r="32718" customHeight="1" spans="2:2">
      <c r="B32718" s="62" t="str">
        <f>IF(AND('领用录入（明细）'!D:D=$F$4,'领用录入（明细）'!C:C&gt;=$J$4,'领用录入（明细）'!C:C&lt;=$L$4),ROW(),"-")</f>
        <v>-</v>
      </c>
    </row>
    <row r="32719" customHeight="1" spans="2:2">
      <c r="B32719" s="62" t="str">
        <f>IF(AND('领用录入（明细）'!D:D=$F$4,'领用录入（明细）'!C:C&gt;=$J$4,'领用录入（明细）'!C:C&lt;=$L$4),ROW(),"-")</f>
        <v>-</v>
      </c>
    </row>
    <row r="32720" customHeight="1" spans="2:2">
      <c r="B32720" s="62" t="str">
        <f>IF(AND('领用录入（明细）'!D:D=$F$4,'领用录入（明细）'!C:C&gt;=$J$4,'领用录入（明细）'!C:C&lt;=$L$4),ROW(),"-")</f>
        <v>-</v>
      </c>
    </row>
    <row r="32721" customHeight="1" spans="2:2">
      <c r="B32721" s="62" t="str">
        <f>IF(AND('领用录入（明细）'!D:D=$F$4,'领用录入（明细）'!C:C&gt;=$J$4,'领用录入（明细）'!C:C&lt;=$L$4),ROW(),"-")</f>
        <v>-</v>
      </c>
    </row>
    <row r="32722" customHeight="1" spans="2:2">
      <c r="B32722" s="62" t="str">
        <f>IF(AND('领用录入（明细）'!D:D=$F$4,'领用录入（明细）'!C:C&gt;=$J$4,'领用录入（明细）'!C:C&lt;=$L$4),ROW(),"-")</f>
        <v>-</v>
      </c>
    </row>
    <row r="32723" customHeight="1" spans="2:2">
      <c r="B32723" s="62" t="str">
        <f>IF(AND('领用录入（明细）'!D:D=$F$4,'领用录入（明细）'!C:C&gt;=$J$4,'领用录入（明细）'!C:C&lt;=$L$4),ROW(),"-")</f>
        <v>-</v>
      </c>
    </row>
    <row r="32724" customHeight="1" spans="2:2">
      <c r="B32724" s="62" t="str">
        <f>IF(AND('领用录入（明细）'!D:D=$F$4,'领用录入（明细）'!C:C&gt;=$J$4,'领用录入（明细）'!C:C&lt;=$L$4),ROW(),"-")</f>
        <v>-</v>
      </c>
    </row>
    <row r="32725" customHeight="1" spans="2:2">
      <c r="B32725" s="62" t="str">
        <f>IF(AND('领用录入（明细）'!D:D=$F$4,'领用录入（明细）'!C:C&gt;=$J$4,'领用录入（明细）'!C:C&lt;=$L$4),ROW(),"-")</f>
        <v>-</v>
      </c>
    </row>
    <row r="32726" customHeight="1" spans="2:2">
      <c r="B32726" s="62" t="str">
        <f>IF(AND('领用录入（明细）'!D:D=$F$4,'领用录入（明细）'!C:C&gt;=$J$4,'领用录入（明细）'!C:C&lt;=$L$4),ROW(),"-")</f>
        <v>-</v>
      </c>
    </row>
    <row r="32727" customHeight="1" spans="2:2">
      <c r="B32727" s="62" t="str">
        <f>IF(AND('领用录入（明细）'!D:D=$F$4,'领用录入（明细）'!C:C&gt;=$J$4,'领用录入（明细）'!C:C&lt;=$L$4),ROW(),"-")</f>
        <v>-</v>
      </c>
    </row>
    <row r="32728" customHeight="1" spans="2:2">
      <c r="B32728" s="62" t="str">
        <f>IF(AND('领用录入（明细）'!D:D=$F$4,'领用录入（明细）'!C:C&gt;=$J$4,'领用录入（明细）'!C:C&lt;=$L$4),ROW(),"-")</f>
        <v>-</v>
      </c>
    </row>
    <row r="32729" customHeight="1" spans="2:2">
      <c r="B32729" s="62" t="str">
        <f>IF(AND('领用录入（明细）'!D:D=$F$4,'领用录入（明细）'!C:C&gt;=$J$4,'领用录入（明细）'!C:C&lt;=$L$4),ROW(),"-")</f>
        <v>-</v>
      </c>
    </row>
    <row r="32730" customHeight="1" spans="2:2">
      <c r="B32730" s="62" t="str">
        <f>IF(AND('领用录入（明细）'!D:D=$F$4,'领用录入（明细）'!C:C&gt;=$J$4,'领用录入（明细）'!C:C&lt;=$L$4),ROW(),"-")</f>
        <v>-</v>
      </c>
    </row>
    <row r="32731" customHeight="1" spans="2:2">
      <c r="B32731" s="62" t="str">
        <f>IF(AND('领用录入（明细）'!D:D=$F$4,'领用录入（明细）'!C:C&gt;=$J$4,'领用录入（明细）'!C:C&lt;=$L$4),ROW(),"-")</f>
        <v>-</v>
      </c>
    </row>
    <row r="32732" customHeight="1" spans="2:2">
      <c r="B32732" s="62" t="str">
        <f>IF(AND('领用录入（明细）'!D:D=$F$4,'领用录入（明细）'!C:C&gt;=$J$4,'领用录入（明细）'!C:C&lt;=$L$4),ROW(),"-")</f>
        <v>-</v>
      </c>
    </row>
    <row r="32733" customHeight="1" spans="2:2">
      <c r="B32733" s="62" t="str">
        <f>IF(AND('领用录入（明细）'!D:D=$F$4,'领用录入（明细）'!C:C&gt;=$J$4,'领用录入（明细）'!C:C&lt;=$L$4),ROW(),"-")</f>
        <v>-</v>
      </c>
    </row>
    <row r="32734" customHeight="1" spans="2:2">
      <c r="B32734" s="62" t="str">
        <f>IF(AND('领用录入（明细）'!D:D=$F$4,'领用录入（明细）'!C:C&gt;=$J$4,'领用录入（明细）'!C:C&lt;=$L$4),ROW(),"-")</f>
        <v>-</v>
      </c>
    </row>
    <row r="32735" customHeight="1" spans="2:2">
      <c r="B32735" s="62" t="str">
        <f>IF(AND('领用录入（明细）'!D:D=$F$4,'领用录入（明细）'!C:C&gt;=$J$4,'领用录入（明细）'!C:C&lt;=$L$4),ROW(),"-")</f>
        <v>-</v>
      </c>
    </row>
    <row r="32736" customHeight="1" spans="2:2">
      <c r="B32736" s="62" t="str">
        <f>IF(AND('领用录入（明细）'!D:D=$F$4,'领用录入（明细）'!C:C&gt;=$J$4,'领用录入（明细）'!C:C&lt;=$L$4),ROW(),"-")</f>
        <v>-</v>
      </c>
    </row>
    <row r="32737" customHeight="1" spans="2:2">
      <c r="B32737" s="62" t="str">
        <f>IF(AND('领用录入（明细）'!D:D=$F$4,'领用录入（明细）'!C:C&gt;=$J$4,'领用录入（明细）'!C:C&lt;=$L$4),ROW(),"-")</f>
        <v>-</v>
      </c>
    </row>
    <row r="32738" customHeight="1" spans="2:2">
      <c r="B32738" s="62" t="str">
        <f>IF(AND('领用录入（明细）'!D:D=$F$4,'领用录入（明细）'!C:C&gt;=$J$4,'领用录入（明细）'!C:C&lt;=$L$4),ROW(),"-")</f>
        <v>-</v>
      </c>
    </row>
    <row r="32739" customHeight="1" spans="2:2">
      <c r="B32739" s="62" t="str">
        <f>IF(AND('领用录入（明细）'!D:D=$F$4,'领用录入（明细）'!C:C&gt;=$J$4,'领用录入（明细）'!C:C&lt;=$L$4),ROW(),"-")</f>
        <v>-</v>
      </c>
    </row>
    <row r="32740" customHeight="1" spans="2:2">
      <c r="B32740" s="62" t="str">
        <f>IF(AND('领用录入（明细）'!D:D=$F$4,'领用录入（明细）'!C:C&gt;=$J$4,'领用录入（明细）'!C:C&lt;=$L$4),ROW(),"-")</f>
        <v>-</v>
      </c>
    </row>
    <row r="32741" customHeight="1" spans="2:2">
      <c r="B32741" s="62" t="str">
        <f>IF(AND('领用录入（明细）'!D:D=$F$4,'领用录入（明细）'!C:C&gt;=$J$4,'领用录入（明细）'!C:C&lt;=$L$4),ROW(),"-")</f>
        <v>-</v>
      </c>
    </row>
    <row r="32742" customHeight="1" spans="2:2">
      <c r="B32742" s="62" t="str">
        <f>IF(AND('领用录入（明细）'!D:D=$F$4,'领用录入（明细）'!C:C&gt;=$J$4,'领用录入（明细）'!C:C&lt;=$L$4),ROW(),"-")</f>
        <v>-</v>
      </c>
    </row>
    <row r="32743" customHeight="1" spans="2:2">
      <c r="B32743" s="62" t="str">
        <f>IF(AND('领用录入（明细）'!D:D=$F$4,'领用录入（明细）'!C:C&gt;=$J$4,'领用录入（明细）'!C:C&lt;=$L$4),ROW(),"-")</f>
        <v>-</v>
      </c>
    </row>
    <row r="32744" customHeight="1" spans="2:2">
      <c r="B32744" s="62" t="str">
        <f>IF(AND('领用录入（明细）'!D:D=$F$4,'领用录入（明细）'!C:C&gt;=$J$4,'领用录入（明细）'!C:C&lt;=$L$4),ROW(),"-")</f>
        <v>-</v>
      </c>
    </row>
    <row r="32745" customHeight="1" spans="2:2">
      <c r="B32745" s="62" t="str">
        <f>IF(AND('领用录入（明细）'!D:D=$F$4,'领用录入（明细）'!C:C&gt;=$J$4,'领用录入（明细）'!C:C&lt;=$L$4),ROW(),"-")</f>
        <v>-</v>
      </c>
    </row>
    <row r="32746" customHeight="1" spans="2:2">
      <c r="B32746" s="62" t="str">
        <f>IF(AND('领用录入（明细）'!D:D=$F$4,'领用录入（明细）'!C:C&gt;=$J$4,'领用录入（明细）'!C:C&lt;=$L$4),ROW(),"-")</f>
        <v>-</v>
      </c>
    </row>
    <row r="32747" customHeight="1" spans="2:2">
      <c r="B32747" s="62" t="str">
        <f>IF(AND('领用录入（明细）'!D:D=$F$4,'领用录入（明细）'!C:C&gt;=$J$4,'领用录入（明细）'!C:C&lt;=$L$4),ROW(),"-")</f>
        <v>-</v>
      </c>
    </row>
    <row r="32748" customHeight="1" spans="2:2">
      <c r="B32748" s="62" t="str">
        <f>IF(AND('领用录入（明细）'!D:D=$F$4,'领用录入（明细）'!C:C&gt;=$J$4,'领用录入（明细）'!C:C&lt;=$L$4),ROW(),"-")</f>
        <v>-</v>
      </c>
    </row>
    <row r="32749" customHeight="1" spans="2:2">
      <c r="B32749" s="62" t="str">
        <f>IF(AND('领用录入（明细）'!D:D=$F$4,'领用录入（明细）'!C:C&gt;=$J$4,'领用录入（明细）'!C:C&lt;=$L$4),ROW(),"-")</f>
        <v>-</v>
      </c>
    </row>
    <row r="32750" customHeight="1" spans="2:2">
      <c r="B32750" s="62" t="str">
        <f>IF(AND('领用录入（明细）'!D:D=$F$4,'领用录入（明细）'!C:C&gt;=$J$4,'领用录入（明细）'!C:C&lt;=$L$4),ROW(),"-")</f>
        <v>-</v>
      </c>
    </row>
    <row r="32751" customHeight="1" spans="2:2">
      <c r="B32751" s="62" t="str">
        <f>IF(AND('领用录入（明细）'!D:D=$F$4,'领用录入（明细）'!C:C&gt;=$J$4,'领用录入（明细）'!C:C&lt;=$L$4),ROW(),"-")</f>
        <v>-</v>
      </c>
    </row>
    <row r="32752" customHeight="1" spans="2:2">
      <c r="B32752" s="62" t="str">
        <f>IF(AND('领用录入（明细）'!D:D=$F$4,'领用录入（明细）'!C:C&gt;=$J$4,'领用录入（明细）'!C:C&lt;=$L$4),ROW(),"-")</f>
        <v>-</v>
      </c>
    </row>
    <row r="32753" customHeight="1" spans="2:2">
      <c r="B32753" s="62" t="str">
        <f>IF(AND('领用录入（明细）'!D:D=$F$4,'领用录入（明细）'!C:C&gt;=$J$4,'领用录入（明细）'!C:C&lt;=$L$4),ROW(),"-")</f>
        <v>-</v>
      </c>
    </row>
    <row r="32754" customHeight="1" spans="2:2">
      <c r="B32754" s="62" t="str">
        <f>IF(AND('领用录入（明细）'!D:D=$F$4,'领用录入（明细）'!C:C&gt;=$J$4,'领用录入（明细）'!C:C&lt;=$L$4),ROW(),"-")</f>
        <v>-</v>
      </c>
    </row>
    <row r="32755" customHeight="1" spans="2:2">
      <c r="B32755" s="62" t="str">
        <f>IF(AND('领用录入（明细）'!D:D=$F$4,'领用录入（明细）'!C:C&gt;=$J$4,'领用录入（明细）'!C:C&lt;=$L$4),ROW(),"-")</f>
        <v>-</v>
      </c>
    </row>
    <row r="32756" customHeight="1" spans="2:2">
      <c r="B32756" s="62" t="str">
        <f>IF(AND('领用录入（明细）'!D:D=$F$4,'领用录入（明细）'!C:C&gt;=$J$4,'领用录入（明细）'!C:C&lt;=$L$4),ROW(),"-")</f>
        <v>-</v>
      </c>
    </row>
    <row r="32757" customHeight="1" spans="2:2">
      <c r="B32757" s="62" t="str">
        <f>IF(AND('领用录入（明细）'!D:D=$F$4,'领用录入（明细）'!C:C&gt;=$J$4,'领用录入（明细）'!C:C&lt;=$L$4),ROW(),"-")</f>
        <v>-</v>
      </c>
    </row>
    <row r="32758" customHeight="1" spans="2:2">
      <c r="B32758" s="62" t="str">
        <f>IF(AND('领用录入（明细）'!D:D=$F$4,'领用录入（明细）'!C:C&gt;=$J$4,'领用录入（明细）'!C:C&lt;=$L$4),ROW(),"-")</f>
        <v>-</v>
      </c>
    </row>
    <row r="32759" customHeight="1" spans="2:2">
      <c r="B32759" s="62" t="str">
        <f>IF(AND('领用录入（明细）'!D:D=$F$4,'领用录入（明细）'!C:C&gt;=$J$4,'领用录入（明细）'!C:C&lt;=$L$4),ROW(),"-")</f>
        <v>-</v>
      </c>
    </row>
    <row r="32760" customHeight="1" spans="2:2">
      <c r="B32760" s="62" t="str">
        <f>IF(AND('领用录入（明细）'!D:D=$F$4,'领用录入（明细）'!C:C&gt;=$J$4,'领用录入（明细）'!C:C&lt;=$L$4),ROW(),"-")</f>
        <v>-</v>
      </c>
    </row>
    <row r="32761" customHeight="1" spans="2:2">
      <c r="B32761" s="62" t="str">
        <f>IF(AND('领用录入（明细）'!D:D=$F$4,'领用录入（明细）'!C:C&gt;=$J$4,'领用录入（明细）'!C:C&lt;=$L$4),ROW(),"-")</f>
        <v>-</v>
      </c>
    </row>
    <row r="32762" customHeight="1" spans="2:2">
      <c r="B32762" s="62" t="str">
        <f>IF(AND('领用录入（明细）'!D:D=$F$4,'领用录入（明细）'!C:C&gt;=$J$4,'领用录入（明细）'!C:C&lt;=$L$4),ROW(),"-")</f>
        <v>-</v>
      </c>
    </row>
    <row r="32763" customHeight="1" spans="2:2">
      <c r="B32763" s="62" t="str">
        <f>IF(AND('领用录入（明细）'!D:D=$F$4,'领用录入（明细）'!C:C&gt;=$J$4,'领用录入（明细）'!C:C&lt;=$L$4),ROW(),"-")</f>
        <v>-</v>
      </c>
    </row>
    <row r="32764" customHeight="1" spans="2:2">
      <c r="B32764" s="62" t="str">
        <f>IF(AND('领用录入（明细）'!D:D=$F$4,'领用录入（明细）'!C:C&gt;=$J$4,'领用录入（明细）'!C:C&lt;=$L$4),ROW(),"-")</f>
        <v>-</v>
      </c>
    </row>
    <row r="32765" customHeight="1" spans="2:2">
      <c r="B32765" s="62" t="str">
        <f>IF(AND('领用录入（明细）'!D:D=$F$4,'领用录入（明细）'!C:C&gt;=$J$4,'领用录入（明细）'!C:C&lt;=$L$4),ROW(),"-")</f>
        <v>-</v>
      </c>
    </row>
    <row r="32766" customHeight="1" spans="2:2">
      <c r="B32766" s="62" t="str">
        <f>IF(AND('领用录入（明细）'!D:D=$F$4,'领用录入（明细）'!C:C&gt;=$J$4,'领用录入（明细）'!C:C&lt;=$L$4),ROW(),"-")</f>
        <v>-</v>
      </c>
    </row>
    <row r="32767" customHeight="1" spans="2:2">
      <c r="B32767" s="62" t="str">
        <f>IF(AND('领用录入（明细）'!D:D=$F$4,'领用录入（明细）'!C:C&gt;=$J$4,'领用录入（明细）'!C:C&lt;=$L$4),ROW(),"-")</f>
        <v>-</v>
      </c>
    </row>
    <row r="32768" customHeight="1" spans="2:2">
      <c r="B32768" s="62" t="str">
        <f>IF(AND('领用录入（明细）'!D:D=$F$4,'领用录入（明细）'!C:C&gt;=$J$4,'领用录入（明细）'!C:C&lt;=$L$4),ROW(),"-")</f>
        <v>-</v>
      </c>
    </row>
    <row r="32769" customHeight="1" spans="2:2">
      <c r="B32769" s="62" t="str">
        <f>IF(AND('领用录入（明细）'!D:D=$F$4,'领用录入（明细）'!C:C&gt;=$J$4,'领用录入（明细）'!C:C&lt;=$L$4),ROW(),"-")</f>
        <v>-</v>
      </c>
    </row>
    <row r="32770" customHeight="1" spans="2:2">
      <c r="B32770" s="62" t="str">
        <f>IF(AND('领用录入（明细）'!D:D=$F$4,'领用录入（明细）'!C:C&gt;=$J$4,'领用录入（明细）'!C:C&lt;=$L$4),ROW(),"-")</f>
        <v>-</v>
      </c>
    </row>
    <row r="32771" customHeight="1" spans="2:2">
      <c r="B32771" s="62" t="str">
        <f>IF(AND('领用录入（明细）'!D:D=$F$4,'领用录入（明细）'!C:C&gt;=$J$4,'领用录入（明细）'!C:C&lt;=$L$4),ROW(),"-")</f>
        <v>-</v>
      </c>
    </row>
    <row r="32772" customHeight="1" spans="2:2">
      <c r="B32772" s="62" t="str">
        <f>IF(AND('领用录入（明细）'!D:D=$F$4,'领用录入（明细）'!C:C&gt;=$J$4,'领用录入（明细）'!C:C&lt;=$L$4),ROW(),"-")</f>
        <v>-</v>
      </c>
    </row>
    <row r="32773" customHeight="1" spans="2:2">
      <c r="B32773" s="62" t="str">
        <f>IF(AND('领用录入（明细）'!D:D=$F$4,'领用录入（明细）'!C:C&gt;=$J$4,'领用录入（明细）'!C:C&lt;=$L$4),ROW(),"-")</f>
        <v>-</v>
      </c>
    </row>
    <row r="32774" customHeight="1" spans="2:2">
      <c r="B32774" s="62" t="str">
        <f>IF(AND('领用录入（明细）'!D:D=$F$4,'领用录入（明细）'!C:C&gt;=$J$4,'领用录入（明细）'!C:C&lt;=$L$4),ROW(),"-")</f>
        <v>-</v>
      </c>
    </row>
    <row r="32775" customHeight="1" spans="2:2">
      <c r="B32775" s="62" t="str">
        <f>IF(AND('领用录入（明细）'!D:D=$F$4,'领用录入（明细）'!C:C&gt;=$J$4,'领用录入（明细）'!C:C&lt;=$L$4),ROW(),"-")</f>
        <v>-</v>
      </c>
    </row>
    <row r="32776" customHeight="1" spans="2:2">
      <c r="B32776" s="62" t="str">
        <f>IF(AND('领用录入（明细）'!D:D=$F$4,'领用录入（明细）'!C:C&gt;=$J$4,'领用录入（明细）'!C:C&lt;=$L$4),ROW(),"-")</f>
        <v>-</v>
      </c>
    </row>
    <row r="32777" customHeight="1" spans="2:2">
      <c r="B32777" s="62" t="str">
        <f>IF(AND('领用录入（明细）'!D:D=$F$4,'领用录入（明细）'!C:C&gt;=$J$4,'领用录入（明细）'!C:C&lt;=$L$4),ROW(),"-")</f>
        <v>-</v>
      </c>
    </row>
    <row r="32778" customHeight="1" spans="2:2">
      <c r="B32778" s="62" t="str">
        <f>IF(AND('领用录入（明细）'!D:D=$F$4,'领用录入（明细）'!C:C&gt;=$J$4,'领用录入（明细）'!C:C&lt;=$L$4),ROW(),"-")</f>
        <v>-</v>
      </c>
    </row>
    <row r="32779" customHeight="1" spans="2:2">
      <c r="B32779" s="62" t="str">
        <f>IF(AND('领用录入（明细）'!D:D=$F$4,'领用录入（明细）'!C:C&gt;=$J$4,'领用录入（明细）'!C:C&lt;=$L$4),ROW(),"-")</f>
        <v>-</v>
      </c>
    </row>
    <row r="32780" customHeight="1" spans="2:2">
      <c r="B32780" s="62" t="str">
        <f>IF(AND('领用录入（明细）'!D:D=$F$4,'领用录入（明细）'!C:C&gt;=$J$4,'领用录入（明细）'!C:C&lt;=$L$4),ROW(),"-")</f>
        <v>-</v>
      </c>
    </row>
    <row r="32781" customHeight="1" spans="2:2">
      <c r="B32781" s="62" t="str">
        <f>IF(AND('领用录入（明细）'!D:D=$F$4,'领用录入（明细）'!C:C&gt;=$J$4,'领用录入（明细）'!C:C&lt;=$L$4),ROW(),"-")</f>
        <v>-</v>
      </c>
    </row>
    <row r="32782" customHeight="1" spans="2:2">
      <c r="B32782" s="62" t="str">
        <f>IF(AND('领用录入（明细）'!D:D=$F$4,'领用录入（明细）'!C:C&gt;=$J$4,'领用录入（明细）'!C:C&lt;=$L$4),ROW(),"-")</f>
        <v>-</v>
      </c>
    </row>
    <row r="32783" customHeight="1" spans="2:2">
      <c r="B32783" s="62" t="str">
        <f>IF(AND('领用录入（明细）'!D:D=$F$4,'领用录入（明细）'!C:C&gt;=$J$4,'领用录入（明细）'!C:C&lt;=$L$4),ROW(),"-")</f>
        <v>-</v>
      </c>
    </row>
    <row r="32784" customHeight="1" spans="2:2">
      <c r="B32784" s="62" t="str">
        <f>IF(AND('领用录入（明细）'!D:D=$F$4,'领用录入（明细）'!C:C&gt;=$J$4,'领用录入（明细）'!C:C&lt;=$L$4),ROW(),"-")</f>
        <v>-</v>
      </c>
    </row>
    <row r="32785" customHeight="1" spans="2:2">
      <c r="B32785" s="62" t="str">
        <f>IF(AND('领用录入（明细）'!D:D=$F$4,'领用录入（明细）'!C:C&gt;=$J$4,'领用录入（明细）'!C:C&lt;=$L$4),ROW(),"-")</f>
        <v>-</v>
      </c>
    </row>
    <row r="32786" customHeight="1" spans="2:2">
      <c r="B32786" s="62" t="str">
        <f>IF(AND('领用录入（明细）'!D:D=$F$4,'领用录入（明细）'!C:C&gt;=$J$4,'领用录入（明细）'!C:C&lt;=$L$4),ROW(),"-")</f>
        <v>-</v>
      </c>
    </row>
    <row r="32787" customHeight="1" spans="2:2">
      <c r="B32787" s="62" t="str">
        <f>IF(AND('领用录入（明细）'!D:D=$F$4,'领用录入（明细）'!C:C&gt;=$J$4,'领用录入（明细）'!C:C&lt;=$L$4),ROW(),"-")</f>
        <v>-</v>
      </c>
    </row>
    <row r="32788" customHeight="1" spans="2:2">
      <c r="B32788" s="62" t="str">
        <f>IF(AND('领用录入（明细）'!D:D=$F$4,'领用录入（明细）'!C:C&gt;=$J$4,'领用录入（明细）'!C:C&lt;=$L$4),ROW(),"-")</f>
        <v>-</v>
      </c>
    </row>
    <row r="32789" customHeight="1" spans="2:2">
      <c r="B32789" s="62" t="str">
        <f>IF(AND('领用录入（明细）'!D:D=$F$4,'领用录入（明细）'!C:C&gt;=$J$4,'领用录入（明细）'!C:C&lt;=$L$4),ROW(),"-")</f>
        <v>-</v>
      </c>
    </row>
    <row r="32790" customHeight="1" spans="2:2">
      <c r="B32790" s="62" t="str">
        <f>IF(AND('领用录入（明细）'!D:D=$F$4,'领用录入（明细）'!C:C&gt;=$J$4,'领用录入（明细）'!C:C&lt;=$L$4),ROW(),"-")</f>
        <v>-</v>
      </c>
    </row>
    <row r="32791" customHeight="1" spans="2:2">
      <c r="B32791" s="62" t="str">
        <f>IF(AND('领用录入（明细）'!D:D=$F$4,'领用录入（明细）'!C:C&gt;=$J$4,'领用录入（明细）'!C:C&lt;=$L$4),ROW(),"-")</f>
        <v>-</v>
      </c>
    </row>
    <row r="32792" customHeight="1" spans="2:2">
      <c r="B32792" s="62" t="str">
        <f>IF(AND('领用录入（明细）'!D:D=$F$4,'领用录入（明细）'!C:C&gt;=$J$4,'领用录入（明细）'!C:C&lt;=$L$4),ROW(),"-")</f>
        <v>-</v>
      </c>
    </row>
    <row r="32793" customHeight="1" spans="2:2">
      <c r="B32793" s="62" t="str">
        <f>IF(AND('领用录入（明细）'!D:D=$F$4,'领用录入（明细）'!C:C&gt;=$J$4,'领用录入（明细）'!C:C&lt;=$L$4),ROW(),"-")</f>
        <v>-</v>
      </c>
    </row>
    <row r="32794" customHeight="1" spans="2:2">
      <c r="B32794" s="62" t="str">
        <f>IF(AND('领用录入（明细）'!D:D=$F$4,'领用录入（明细）'!C:C&gt;=$J$4,'领用录入（明细）'!C:C&lt;=$L$4),ROW(),"-")</f>
        <v>-</v>
      </c>
    </row>
    <row r="32795" customHeight="1" spans="2:2">
      <c r="B32795" s="62" t="str">
        <f>IF(AND('领用录入（明细）'!D:D=$F$4,'领用录入（明细）'!C:C&gt;=$J$4,'领用录入（明细）'!C:C&lt;=$L$4),ROW(),"-")</f>
        <v>-</v>
      </c>
    </row>
    <row r="32796" customHeight="1" spans="2:2">
      <c r="B32796" s="62" t="str">
        <f>IF(AND('领用录入（明细）'!D:D=$F$4,'领用录入（明细）'!C:C&gt;=$J$4,'领用录入（明细）'!C:C&lt;=$L$4),ROW(),"-")</f>
        <v>-</v>
      </c>
    </row>
    <row r="32797" customHeight="1" spans="2:2">
      <c r="B32797" s="62" t="str">
        <f>IF(AND('领用录入（明细）'!D:D=$F$4,'领用录入（明细）'!C:C&gt;=$J$4,'领用录入（明细）'!C:C&lt;=$L$4),ROW(),"-")</f>
        <v>-</v>
      </c>
    </row>
    <row r="32798" customHeight="1" spans="2:2">
      <c r="B32798" s="62" t="str">
        <f>IF(AND('领用录入（明细）'!D:D=$F$4,'领用录入（明细）'!C:C&gt;=$J$4,'领用录入（明细）'!C:C&lt;=$L$4),ROW(),"-")</f>
        <v>-</v>
      </c>
    </row>
    <row r="32799" customHeight="1" spans="2:2">
      <c r="B32799" s="62" t="str">
        <f>IF(AND('领用录入（明细）'!D:D=$F$4,'领用录入（明细）'!C:C&gt;=$J$4,'领用录入（明细）'!C:C&lt;=$L$4),ROW(),"-")</f>
        <v>-</v>
      </c>
    </row>
    <row r="32800" customHeight="1" spans="2:2">
      <c r="B32800" s="62" t="str">
        <f>IF(AND('领用录入（明细）'!D:D=$F$4,'领用录入（明细）'!C:C&gt;=$J$4,'领用录入（明细）'!C:C&lt;=$L$4),ROW(),"-")</f>
        <v>-</v>
      </c>
    </row>
    <row r="32801" customHeight="1" spans="2:2">
      <c r="B32801" s="62" t="str">
        <f>IF(AND('领用录入（明细）'!D:D=$F$4,'领用录入（明细）'!C:C&gt;=$J$4,'领用录入（明细）'!C:C&lt;=$L$4),ROW(),"-")</f>
        <v>-</v>
      </c>
    </row>
    <row r="32802" customHeight="1" spans="2:2">
      <c r="B32802" s="62" t="str">
        <f>IF(AND('领用录入（明细）'!D:D=$F$4,'领用录入（明细）'!C:C&gt;=$J$4,'领用录入（明细）'!C:C&lt;=$L$4),ROW(),"-")</f>
        <v>-</v>
      </c>
    </row>
    <row r="32803" customHeight="1" spans="2:2">
      <c r="B32803" s="62" t="str">
        <f>IF(AND('领用录入（明细）'!D:D=$F$4,'领用录入（明细）'!C:C&gt;=$J$4,'领用录入（明细）'!C:C&lt;=$L$4),ROW(),"-")</f>
        <v>-</v>
      </c>
    </row>
    <row r="32804" customHeight="1" spans="2:2">
      <c r="B32804" s="62" t="str">
        <f>IF(AND('领用录入（明细）'!D:D=$F$4,'领用录入（明细）'!C:C&gt;=$J$4,'领用录入（明细）'!C:C&lt;=$L$4),ROW(),"-")</f>
        <v>-</v>
      </c>
    </row>
    <row r="32805" customHeight="1" spans="2:2">
      <c r="B32805" s="62" t="str">
        <f>IF(AND('领用录入（明细）'!D:D=$F$4,'领用录入（明细）'!C:C&gt;=$J$4,'领用录入（明细）'!C:C&lt;=$L$4),ROW(),"-")</f>
        <v>-</v>
      </c>
    </row>
    <row r="32806" customHeight="1" spans="2:2">
      <c r="B32806" s="62" t="str">
        <f>IF(AND('领用录入（明细）'!D:D=$F$4,'领用录入（明细）'!C:C&gt;=$J$4,'领用录入（明细）'!C:C&lt;=$L$4),ROW(),"-")</f>
        <v>-</v>
      </c>
    </row>
    <row r="32807" customHeight="1" spans="2:2">
      <c r="B32807" s="62" t="str">
        <f>IF(AND('领用录入（明细）'!D:D=$F$4,'领用录入（明细）'!C:C&gt;=$J$4,'领用录入（明细）'!C:C&lt;=$L$4),ROW(),"-")</f>
        <v>-</v>
      </c>
    </row>
    <row r="32808" customHeight="1" spans="2:2">
      <c r="B32808" s="62" t="str">
        <f>IF(AND('领用录入（明细）'!D:D=$F$4,'领用录入（明细）'!C:C&gt;=$J$4,'领用录入（明细）'!C:C&lt;=$L$4),ROW(),"-")</f>
        <v>-</v>
      </c>
    </row>
    <row r="32809" customHeight="1" spans="2:2">
      <c r="B32809" s="62" t="str">
        <f>IF(AND('领用录入（明细）'!D:D=$F$4,'领用录入（明细）'!C:C&gt;=$J$4,'领用录入（明细）'!C:C&lt;=$L$4),ROW(),"-")</f>
        <v>-</v>
      </c>
    </row>
    <row r="32810" customHeight="1" spans="2:2">
      <c r="B32810" s="62" t="str">
        <f>IF(AND('领用录入（明细）'!D:D=$F$4,'领用录入（明细）'!C:C&gt;=$J$4,'领用录入（明细）'!C:C&lt;=$L$4),ROW(),"-")</f>
        <v>-</v>
      </c>
    </row>
    <row r="32811" customHeight="1" spans="2:2">
      <c r="B32811" s="62" t="str">
        <f>IF(AND('领用录入（明细）'!D:D=$F$4,'领用录入（明细）'!C:C&gt;=$J$4,'领用录入（明细）'!C:C&lt;=$L$4),ROW(),"-")</f>
        <v>-</v>
      </c>
    </row>
    <row r="32812" customHeight="1" spans="2:2">
      <c r="B32812" s="62" t="str">
        <f>IF(AND('领用录入（明细）'!D:D=$F$4,'领用录入（明细）'!C:C&gt;=$J$4,'领用录入（明细）'!C:C&lt;=$L$4),ROW(),"-")</f>
        <v>-</v>
      </c>
    </row>
    <row r="32813" customHeight="1" spans="2:2">
      <c r="B32813" s="62" t="str">
        <f>IF(AND('领用录入（明细）'!D:D=$F$4,'领用录入（明细）'!C:C&gt;=$J$4,'领用录入（明细）'!C:C&lt;=$L$4),ROW(),"-")</f>
        <v>-</v>
      </c>
    </row>
    <row r="32814" customHeight="1" spans="2:2">
      <c r="B32814" s="62" t="str">
        <f>IF(AND('领用录入（明细）'!D:D=$F$4,'领用录入（明细）'!C:C&gt;=$J$4,'领用录入（明细）'!C:C&lt;=$L$4),ROW(),"-")</f>
        <v>-</v>
      </c>
    </row>
    <row r="32815" customHeight="1" spans="2:2">
      <c r="B32815" s="62" t="str">
        <f>IF(AND('领用录入（明细）'!D:D=$F$4,'领用录入（明细）'!C:C&gt;=$J$4,'领用录入（明细）'!C:C&lt;=$L$4),ROW(),"-")</f>
        <v>-</v>
      </c>
    </row>
    <row r="32816" customHeight="1" spans="2:2">
      <c r="B32816" s="62" t="str">
        <f>IF(AND('领用录入（明细）'!D:D=$F$4,'领用录入（明细）'!C:C&gt;=$J$4,'领用录入（明细）'!C:C&lt;=$L$4),ROW(),"-")</f>
        <v>-</v>
      </c>
    </row>
    <row r="32817" customHeight="1" spans="2:2">
      <c r="B32817" s="62" t="str">
        <f>IF(AND('领用录入（明细）'!D:D=$F$4,'领用录入（明细）'!C:C&gt;=$J$4,'领用录入（明细）'!C:C&lt;=$L$4),ROW(),"-")</f>
        <v>-</v>
      </c>
    </row>
    <row r="32818" customHeight="1" spans="2:2">
      <c r="B32818" s="62" t="str">
        <f>IF(AND('领用录入（明细）'!D:D=$F$4,'领用录入（明细）'!C:C&gt;=$J$4,'领用录入（明细）'!C:C&lt;=$L$4),ROW(),"-")</f>
        <v>-</v>
      </c>
    </row>
    <row r="32819" customHeight="1" spans="2:2">
      <c r="B32819" s="62" t="str">
        <f>IF(AND('领用录入（明细）'!D:D=$F$4,'领用录入（明细）'!C:C&gt;=$J$4,'领用录入（明细）'!C:C&lt;=$L$4),ROW(),"-")</f>
        <v>-</v>
      </c>
    </row>
    <row r="32820" customHeight="1" spans="2:2">
      <c r="B32820" s="62" t="str">
        <f>IF(AND('领用录入（明细）'!D:D=$F$4,'领用录入（明细）'!C:C&gt;=$J$4,'领用录入（明细）'!C:C&lt;=$L$4),ROW(),"-")</f>
        <v>-</v>
      </c>
    </row>
    <row r="32821" customHeight="1" spans="2:2">
      <c r="B32821" s="62" t="str">
        <f>IF(AND('领用录入（明细）'!D:D=$F$4,'领用录入（明细）'!C:C&gt;=$J$4,'领用录入（明细）'!C:C&lt;=$L$4),ROW(),"-")</f>
        <v>-</v>
      </c>
    </row>
    <row r="32822" customHeight="1" spans="2:2">
      <c r="B32822" s="62" t="str">
        <f>IF(AND('领用录入（明细）'!D:D=$F$4,'领用录入（明细）'!C:C&gt;=$J$4,'领用录入（明细）'!C:C&lt;=$L$4),ROW(),"-")</f>
        <v>-</v>
      </c>
    </row>
    <row r="32823" customHeight="1" spans="2:2">
      <c r="B32823" s="62" t="str">
        <f>IF(AND('领用录入（明细）'!D:D=$F$4,'领用录入（明细）'!C:C&gt;=$J$4,'领用录入（明细）'!C:C&lt;=$L$4),ROW(),"-")</f>
        <v>-</v>
      </c>
    </row>
    <row r="32824" customHeight="1" spans="2:2">
      <c r="B32824" s="62" t="str">
        <f>IF(AND('领用录入（明细）'!D:D=$F$4,'领用录入（明细）'!C:C&gt;=$J$4,'领用录入（明细）'!C:C&lt;=$L$4),ROW(),"-")</f>
        <v>-</v>
      </c>
    </row>
    <row r="32825" customHeight="1" spans="2:2">
      <c r="B32825" s="62" t="str">
        <f>IF(AND('领用录入（明细）'!D:D=$F$4,'领用录入（明细）'!C:C&gt;=$J$4,'领用录入（明细）'!C:C&lt;=$L$4),ROW(),"-")</f>
        <v>-</v>
      </c>
    </row>
    <row r="32826" customHeight="1" spans="2:2">
      <c r="B32826" s="62" t="str">
        <f>IF(AND('领用录入（明细）'!D:D=$F$4,'领用录入（明细）'!C:C&gt;=$J$4,'领用录入（明细）'!C:C&lt;=$L$4),ROW(),"-")</f>
        <v>-</v>
      </c>
    </row>
    <row r="32827" customHeight="1" spans="2:2">
      <c r="B32827" s="62" t="str">
        <f>IF(AND('领用录入（明细）'!D:D=$F$4,'领用录入（明细）'!C:C&gt;=$J$4,'领用录入（明细）'!C:C&lt;=$L$4),ROW(),"-")</f>
        <v>-</v>
      </c>
    </row>
    <row r="32828" customHeight="1" spans="2:2">
      <c r="B32828" s="62" t="str">
        <f>IF(AND('领用录入（明细）'!D:D=$F$4,'领用录入（明细）'!C:C&gt;=$J$4,'领用录入（明细）'!C:C&lt;=$L$4),ROW(),"-")</f>
        <v>-</v>
      </c>
    </row>
    <row r="32829" customHeight="1" spans="2:2">
      <c r="B32829" s="62" t="str">
        <f>IF(AND('领用录入（明细）'!D:D=$F$4,'领用录入（明细）'!C:C&gt;=$J$4,'领用录入（明细）'!C:C&lt;=$L$4),ROW(),"-")</f>
        <v>-</v>
      </c>
    </row>
    <row r="32830" customHeight="1" spans="2:2">
      <c r="B32830" s="62" t="str">
        <f>IF(AND('领用录入（明细）'!D:D=$F$4,'领用录入（明细）'!C:C&gt;=$J$4,'领用录入（明细）'!C:C&lt;=$L$4),ROW(),"-")</f>
        <v>-</v>
      </c>
    </row>
    <row r="32831" customHeight="1" spans="2:2">
      <c r="B32831" s="62" t="str">
        <f>IF(AND('领用录入（明细）'!D:D=$F$4,'领用录入（明细）'!C:C&gt;=$J$4,'领用录入（明细）'!C:C&lt;=$L$4),ROW(),"-")</f>
        <v>-</v>
      </c>
    </row>
    <row r="32832" customHeight="1" spans="2:2">
      <c r="B32832" s="62" t="str">
        <f>IF(AND('领用录入（明细）'!D:D=$F$4,'领用录入（明细）'!C:C&gt;=$J$4,'领用录入（明细）'!C:C&lt;=$L$4),ROW(),"-")</f>
        <v>-</v>
      </c>
    </row>
    <row r="32833" customHeight="1" spans="2:2">
      <c r="B32833" s="62" t="str">
        <f>IF(AND('领用录入（明细）'!D:D=$F$4,'领用录入（明细）'!C:C&gt;=$J$4,'领用录入（明细）'!C:C&lt;=$L$4),ROW(),"-")</f>
        <v>-</v>
      </c>
    </row>
    <row r="32834" customHeight="1" spans="2:2">
      <c r="B32834" s="62" t="str">
        <f>IF(AND('领用录入（明细）'!D:D=$F$4,'领用录入（明细）'!C:C&gt;=$J$4,'领用录入（明细）'!C:C&lt;=$L$4),ROW(),"-")</f>
        <v>-</v>
      </c>
    </row>
    <row r="32835" customHeight="1" spans="2:2">
      <c r="B32835" s="62" t="str">
        <f>IF(AND('领用录入（明细）'!D:D=$F$4,'领用录入（明细）'!C:C&gt;=$J$4,'领用录入（明细）'!C:C&lt;=$L$4),ROW(),"-")</f>
        <v>-</v>
      </c>
    </row>
    <row r="32836" customHeight="1" spans="2:2">
      <c r="B32836" s="62" t="str">
        <f>IF(AND('领用录入（明细）'!D:D=$F$4,'领用录入（明细）'!C:C&gt;=$J$4,'领用录入（明细）'!C:C&lt;=$L$4),ROW(),"-")</f>
        <v>-</v>
      </c>
    </row>
    <row r="32837" customHeight="1" spans="2:2">
      <c r="B32837" s="62" t="str">
        <f>IF(AND('领用录入（明细）'!D:D=$F$4,'领用录入（明细）'!C:C&gt;=$J$4,'领用录入（明细）'!C:C&lt;=$L$4),ROW(),"-")</f>
        <v>-</v>
      </c>
    </row>
    <row r="32838" customHeight="1" spans="2:2">
      <c r="B32838" s="62" t="str">
        <f>IF(AND('领用录入（明细）'!D:D=$F$4,'领用录入（明细）'!C:C&gt;=$J$4,'领用录入（明细）'!C:C&lt;=$L$4),ROW(),"-")</f>
        <v>-</v>
      </c>
    </row>
    <row r="32839" customHeight="1" spans="2:2">
      <c r="B32839" s="62" t="str">
        <f>IF(AND('领用录入（明细）'!D:D=$F$4,'领用录入（明细）'!C:C&gt;=$J$4,'领用录入（明细）'!C:C&lt;=$L$4),ROW(),"-")</f>
        <v>-</v>
      </c>
    </row>
    <row r="32840" customHeight="1" spans="2:2">
      <c r="B32840" s="62" t="str">
        <f>IF(AND('领用录入（明细）'!D:D=$F$4,'领用录入（明细）'!C:C&gt;=$J$4,'领用录入（明细）'!C:C&lt;=$L$4),ROW(),"-")</f>
        <v>-</v>
      </c>
    </row>
    <row r="32841" customHeight="1" spans="2:2">
      <c r="B32841" s="62" t="str">
        <f>IF(AND('领用录入（明细）'!D:D=$F$4,'领用录入（明细）'!C:C&gt;=$J$4,'领用录入（明细）'!C:C&lt;=$L$4),ROW(),"-")</f>
        <v>-</v>
      </c>
    </row>
    <row r="32842" customHeight="1" spans="2:2">
      <c r="B32842" s="62" t="str">
        <f>IF(AND('领用录入（明细）'!D:D=$F$4,'领用录入（明细）'!C:C&gt;=$J$4,'领用录入（明细）'!C:C&lt;=$L$4),ROW(),"-")</f>
        <v>-</v>
      </c>
    </row>
    <row r="32843" customHeight="1" spans="2:2">
      <c r="B32843" s="62" t="str">
        <f>IF(AND('领用录入（明细）'!D:D=$F$4,'领用录入（明细）'!C:C&gt;=$J$4,'领用录入（明细）'!C:C&lt;=$L$4),ROW(),"-")</f>
        <v>-</v>
      </c>
    </row>
    <row r="32844" customHeight="1" spans="2:2">
      <c r="B32844" s="62" t="str">
        <f>IF(AND('领用录入（明细）'!D:D=$F$4,'领用录入（明细）'!C:C&gt;=$J$4,'领用录入（明细）'!C:C&lt;=$L$4),ROW(),"-")</f>
        <v>-</v>
      </c>
    </row>
    <row r="32845" customHeight="1" spans="2:2">
      <c r="B32845" s="62" t="str">
        <f>IF(AND('领用录入（明细）'!D:D=$F$4,'领用录入（明细）'!C:C&gt;=$J$4,'领用录入（明细）'!C:C&lt;=$L$4),ROW(),"-")</f>
        <v>-</v>
      </c>
    </row>
    <row r="32846" customHeight="1" spans="2:2">
      <c r="B32846" s="62" t="str">
        <f>IF(AND('领用录入（明细）'!D:D=$F$4,'领用录入（明细）'!C:C&gt;=$J$4,'领用录入（明细）'!C:C&lt;=$L$4),ROW(),"-")</f>
        <v>-</v>
      </c>
    </row>
    <row r="32847" customHeight="1" spans="2:2">
      <c r="B32847" s="62" t="str">
        <f>IF(AND('领用录入（明细）'!D:D=$F$4,'领用录入（明细）'!C:C&gt;=$J$4,'领用录入（明细）'!C:C&lt;=$L$4),ROW(),"-")</f>
        <v>-</v>
      </c>
    </row>
    <row r="32848" customHeight="1" spans="2:2">
      <c r="B32848" s="62" t="str">
        <f>IF(AND('领用录入（明细）'!D:D=$F$4,'领用录入（明细）'!C:C&gt;=$J$4,'领用录入（明细）'!C:C&lt;=$L$4),ROW(),"-")</f>
        <v>-</v>
      </c>
    </row>
    <row r="32849" customHeight="1" spans="2:2">
      <c r="B32849" s="62" t="str">
        <f>IF(AND('领用录入（明细）'!D:D=$F$4,'领用录入（明细）'!C:C&gt;=$J$4,'领用录入（明细）'!C:C&lt;=$L$4),ROW(),"-")</f>
        <v>-</v>
      </c>
    </row>
    <row r="32850" customHeight="1" spans="2:2">
      <c r="B32850" s="62" t="str">
        <f>IF(AND('领用录入（明细）'!D:D=$F$4,'领用录入（明细）'!C:C&gt;=$J$4,'领用录入（明细）'!C:C&lt;=$L$4),ROW(),"-")</f>
        <v>-</v>
      </c>
    </row>
    <row r="32851" customHeight="1" spans="2:2">
      <c r="B32851" s="62" t="str">
        <f>IF(AND('领用录入（明细）'!D:D=$F$4,'领用录入（明细）'!C:C&gt;=$J$4,'领用录入（明细）'!C:C&lt;=$L$4),ROW(),"-")</f>
        <v>-</v>
      </c>
    </row>
    <row r="32852" customHeight="1" spans="2:2">
      <c r="B32852" s="62" t="str">
        <f>IF(AND('领用录入（明细）'!D:D=$F$4,'领用录入（明细）'!C:C&gt;=$J$4,'领用录入（明细）'!C:C&lt;=$L$4),ROW(),"-")</f>
        <v>-</v>
      </c>
    </row>
    <row r="32853" customHeight="1" spans="2:2">
      <c r="B32853" s="62" t="str">
        <f>IF(AND('领用录入（明细）'!D:D=$F$4,'领用录入（明细）'!C:C&gt;=$J$4,'领用录入（明细）'!C:C&lt;=$L$4),ROW(),"-")</f>
        <v>-</v>
      </c>
    </row>
    <row r="32854" customHeight="1" spans="2:2">
      <c r="B32854" s="62" t="str">
        <f>IF(AND('领用录入（明细）'!D:D=$F$4,'领用录入（明细）'!C:C&gt;=$J$4,'领用录入（明细）'!C:C&lt;=$L$4),ROW(),"-")</f>
        <v>-</v>
      </c>
    </row>
    <row r="32855" customHeight="1" spans="2:2">
      <c r="B32855" s="62" t="str">
        <f>IF(AND('领用录入（明细）'!D:D=$F$4,'领用录入（明细）'!C:C&gt;=$J$4,'领用录入（明细）'!C:C&lt;=$L$4),ROW(),"-")</f>
        <v>-</v>
      </c>
    </row>
    <row r="32856" customHeight="1" spans="2:2">
      <c r="B32856" s="62" t="str">
        <f>IF(AND('领用录入（明细）'!D:D=$F$4,'领用录入（明细）'!C:C&gt;=$J$4,'领用录入（明细）'!C:C&lt;=$L$4),ROW(),"-")</f>
        <v>-</v>
      </c>
    </row>
    <row r="32857" customHeight="1" spans="2:2">
      <c r="B32857" s="62" t="str">
        <f>IF(AND('领用录入（明细）'!D:D=$F$4,'领用录入（明细）'!C:C&gt;=$J$4,'领用录入（明细）'!C:C&lt;=$L$4),ROW(),"-")</f>
        <v>-</v>
      </c>
    </row>
    <row r="32858" customHeight="1" spans="2:2">
      <c r="B32858" s="62" t="str">
        <f>IF(AND('领用录入（明细）'!D:D=$F$4,'领用录入（明细）'!C:C&gt;=$J$4,'领用录入（明细）'!C:C&lt;=$L$4),ROW(),"-")</f>
        <v>-</v>
      </c>
    </row>
    <row r="32859" customHeight="1" spans="2:2">
      <c r="B32859" s="62" t="str">
        <f>IF(AND('领用录入（明细）'!D:D=$F$4,'领用录入（明细）'!C:C&gt;=$J$4,'领用录入（明细）'!C:C&lt;=$L$4),ROW(),"-")</f>
        <v>-</v>
      </c>
    </row>
    <row r="32860" customHeight="1" spans="2:2">
      <c r="B32860" s="62" t="str">
        <f>IF(AND('领用录入（明细）'!D:D=$F$4,'领用录入（明细）'!C:C&gt;=$J$4,'领用录入（明细）'!C:C&lt;=$L$4),ROW(),"-")</f>
        <v>-</v>
      </c>
    </row>
    <row r="32861" customHeight="1" spans="2:2">
      <c r="B32861" s="62" t="str">
        <f>IF(AND('领用录入（明细）'!D:D=$F$4,'领用录入（明细）'!C:C&gt;=$J$4,'领用录入（明细）'!C:C&lt;=$L$4),ROW(),"-")</f>
        <v>-</v>
      </c>
    </row>
    <row r="32862" customHeight="1" spans="2:2">
      <c r="B32862" s="62" t="str">
        <f>IF(AND('领用录入（明细）'!D:D=$F$4,'领用录入（明细）'!C:C&gt;=$J$4,'领用录入（明细）'!C:C&lt;=$L$4),ROW(),"-")</f>
        <v>-</v>
      </c>
    </row>
    <row r="32863" customHeight="1" spans="2:2">
      <c r="B32863" s="62" t="str">
        <f>IF(AND('领用录入（明细）'!D:D=$F$4,'领用录入（明细）'!C:C&gt;=$J$4,'领用录入（明细）'!C:C&lt;=$L$4),ROW(),"-")</f>
        <v>-</v>
      </c>
    </row>
    <row r="32864" customHeight="1" spans="2:2">
      <c r="B32864" s="62" t="str">
        <f>IF(AND('领用录入（明细）'!D:D=$F$4,'领用录入（明细）'!C:C&gt;=$J$4,'领用录入（明细）'!C:C&lt;=$L$4),ROW(),"-")</f>
        <v>-</v>
      </c>
    </row>
    <row r="32865" customHeight="1" spans="2:2">
      <c r="B32865" s="62" t="str">
        <f>IF(AND('领用录入（明细）'!D:D=$F$4,'领用录入（明细）'!C:C&gt;=$J$4,'领用录入（明细）'!C:C&lt;=$L$4),ROW(),"-")</f>
        <v>-</v>
      </c>
    </row>
    <row r="32866" customHeight="1" spans="2:2">
      <c r="B32866" s="62" t="str">
        <f>IF(AND('领用录入（明细）'!D:D=$F$4,'领用录入（明细）'!C:C&gt;=$J$4,'领用录入（明细）'!C:C&lt;=$L$4),ROW(),"-")</f>
        <v>-</v>
      </c>
    </row>
    <row r="32867" customHeight="1" spans="2:2">
      <c r="B32867" s="62" t="str">
        <f>IF(AND('领用录入（明细）'!D:D=$F$4,'领用录入（明细）'!C:C&gt;=$J$4,'领用录入（明细）'!C:C&lt;=$L$4),ROW(),"-")</f>
        <v>-</v>
      </c>
    </row>
    <row r="32868" customHeight="1" spans="2:2">
      <c r="B32868" s="62" t="str">
        <f>IF(AND('领用录入（明细）'!D:D=$F$4,'领用录入（明细）'!C:C&gt;=$J$4,'领用录入（明细）'!C:C&lt;=$L$4),ROW(),"-")</f>
        <v>-</v>
      </c>
    </row>
    <row r="32869" customHeight="1" spans="2:2">
      <c r="B32869" s="62" t="str">
        <f>IF(AND('领用录入（明细）'!D:D=$F$4,'领用录入（明细）'!C:C&gt;=$J$4,'领用录入（明细）'!C:C&lt;=$L$4),ROW(),"-")</f>
        <v>-</v>
      </c>
    </row>
    <row r="32870" customHeight="1" spans="2:2">
      <c r="B32870" s="62" t="str">
        <f>IF(AND('领用录入（明细）'!D:D=$F$4,'领用录入（明细）'!C:C&gt;=$J$4,'领用录入（明细）'!C:C&lt;=$L$4),ROW(),"-")</f>
        <v>-</v>
      </c>
    </row>
    <row r="32871" customHeight="1" spans="2:2">
      <c r="B32871" s="62" t="str">
        <f>IF(AND('领用录入（明细）'!D:D=$F$4,'领用录入（明细）'!C:C&gt;=$J$4,'领用录入（明细）'!C:C&lt;=$L$4),ROW(),"-")</f>
        <v>-</v>
      </c>
    </row>
    <row r="32872" customHeight="1" spans="2:2">
      <c r="B32872" s="62" t="str">
        <f>IF(AND('领用录入（明细）'!D:D=$F$4,'领用录入（明细）'!C:C&gt;=$J$4,'领用录入（明细）'!C:C&lt;=$L$4),ROW(),"-")</f>
        <v>-</v>
      </c>
    </row>
    <row r="32873" customHeight="1" spans="2:2">
      <c r="B32873" s="62" t="str">
        <f>IF(AND('领用录入（明细）'!D:D=$F$4,'领用录入（明细）'!C:C&gt;=$J$4,'领用录入（明细）'!C:C&lt;=$L$4),ROW(),"-")</f>
        <v>-</v>
      </c>
    </row>
    <row r="32874" customHeight="1" spans="2:2">
      <c r="B32874" s="62" t="str">
        <f>IF(AND('领用录入（明细）'!D:D=$F$4,'领用录入（明细）'!C:C&gt;=$J$4,'领用录入（明细）'!C:C&lt;=$L$4),ROW(),"-")</f>
        <v>-</v>
      </c>
    </row>
    <row r="32875" customHeight="1" spans="2:2">
      <c r="B32875" s="62" t="str">
        <f>IF(AND('领用录入（明细）'!D:D=$F$4,'领用录入（明细）'!C:C&gt;=$J$4,'领用录入（明细）'!C:C&lt;=$L$4),ROW(),"-")</f>
        <v>-</v>
      </c>
    </row>
    <row r="32876" customHeight="1" spans="2:2">
      <c r="B32876" s="62" t="str">
        <f>IF(AND('领用录入（明细）'!D:D=$F$4,'领用录入（明细）'!C:C&gt;=$J$4,'领用录入（明细）'!C:C&lt;=$L$4),ROW(),"-")</f>
        <v>-</v>
      </c>
    </row>
    <row r="32877" customHeight="1" spans="2:2">
      <c r="B32877" s="62" t="str">
        <f>IF(AND('领用录入（明细）'!D:D=$F$4,'领用录入（明细）'!C:C&gt;=$J$4,'领用录入（明细）'!C:C&lt;=$L$4),ROW(),"-")</f>
        <v>-</v>
      </c>
    </row>
    <row r="32878" customHeight="1" spans="2:2">
      <c r="B32878" s="62" t="str">
        <f>IF(AND('领用录入（明细）'!D:D=$F$4,'领用录入（明细）'!C:C&gt;=$J$4,'领用录入（明细）'!C:C&lt;=$L$4),ROW(),"-")</f>
        <v>-</v>
      </c>
    </row>
    <row r="32879" customHeight="1" spans="2:2">
      <c r="B32879" s="62" t="str">
        <f>IF(AND('领用录入（明细）'!D:D=$F$4,'领用录入（明细）'!C:C&gt;=$J$4,'领用录入（明细）'!C:C&lt;=$L$4),ROW(),"-")</f>
        <v>-</v>
      </c>
    </row>
    <row r="32880" customHeight="1" spans="2:2">
      <c r="B32880" s="62" t="str">
        <f>IF(AND('领用录入（明细）'!D:D=$F$4,'领用录入（明细）'!C:C&gt;=$J$4,'领用录入（明细）'!C:C&lt;=$L$4),ROW(),"-")</f>
        <v>-</v>
      </c>
    </row>
    <row r="32881" customHeight="1" spans="2:2">
      <c r="B32881" s="62" t="str">
        <f>IF(AND('领用录入（明细）'!D:D=$F$4,'领用录入（明细）'!C:C&gt;=$J$4,'领用录入（明细）'!C:C&lt;=$L$4),ROW(),"-")</f>
        <v>-</v>
      </c>
    </row>
    <row r="32882" customHeight="1" spans="2:2">
      <c r="B32882" s="62" t="str">
        <f>IF(AND('领用录入（明细）'!D:D=$F$4,'领用录入（明细）'!C:C&gt;=$J$4,'领用录入（明细）'!C:C&lt;=$L$4),ROW(),"-")</f>
        <v>-</v>
      </c>
    </row>
    <row r="32883" customHeight="1" spans="2:2">
      <c r="B32883" s="62" t="str">
        <f>IF(AND('领用录入（明细）'!D:D=$F$4,'领用录入（明细）'!C:C&gt;=$J$4,'领用录入（明细）'!C:C&lt;=$L$4),ROW(),"-")</f>
        <v>-</v>
      </c>
    </row>
    <row r="32884" customHeight="1" spans="2:2">
      <c r="B32884" s="62" t="str">
        <f>IF(AND('领用录入（明细）'!D:D=$F$4,'领用录入（明细）'!C:C&gt;=$J$4,'领用录入（明细）'!C:C&lt;=$L$4),ROW(),"-")</f>
        <v>-</v>
      </c>
    </row>
    <row r="32885" customHeight="1" spans="2:2">
      <c r="B32885" s="62" t="str">
        <f>IF(AND('领用录入（明细）'!D:D=$F$4,'领用录入（明细）'!C:C&gt;=$J$4,'领用录入（明细）'!C:C&lt;=$L$4),ROW(),"-")</f>
        <v>-</v>
      </c>
    </row>
    <row r="32886" customHeight="1" spans="2:2">
      <c r="B32886" s="62" t="str">
        <f>IF(AND('领用录入（明细）'!D:D=$F$4,'领用录入（明细）'!C:C&gt;=$J$4,'领用录入（明细）'!C:C&lt;=$L$4),ROW(),"-")</f>
        <v>-</v>
      </c>
    </row>
    <row r="32887" customHeight="1" spans="2:2">
      <c r="B32887" s="62" t="str">
        <f>IF(AND('领用录入（明细）'!D:D=$F$4,'领用录入（明细）'!C:C&gt;=$J$4,'领用录入（明细）'!C:C&lt;=$L$4),ROW(),"-")</f>
        <v>-</v>
      </c>
    </row>
    <row r="32888" customHeight="1" spans="2:2">
      <c r="B32888" s="62" t="str">
        <f>IF(AND('领用录入（明细）'!D:D=$F$4,'领用录入（明细）'!C:C&gt;=$J$4,'领用录入（明细）'!C:C&lt;=$L$4),ROW(),"-")</f>
        <v>-</v>
      </c>
    </row>
    <row r="32889" customHeight="1" spans="2:2">
      <c r="B32889" s="62" t="str">
        <f>IF(AND('领用录入（明细）'!D:D=$F$4,'领用录入（明细）'!C:C&gt;=$J$4,'领用录入（明细）'!C:C&lt;=$L$4),ROW(),"-")</f>
        <v>-</v>
      </c>
    </row>
    <row r="32890" customHeight="1" spans="2:2">
      <c r="B32890" s="62" t="str">
        <f>IF(AND('领用录入（明细）'!D:D=$F$4,'领用录入（明细）'!C:C&gt;=$J$4,'领用录入（明细）'!C:C&lt;=$L$4),ROW(),"-")</f>
        <v>-</v>
      </c>
    </row>
    <row r="32891" customHeight="1" spans="2:2">
      <c r="B32891" s="62" t="str">
        <f>IF(AND('领用录入（明细）'!D:D=$F$4,'领用录入（明细）'!C:C&gt;=$J$4,'领用录入（明细）'!C:C&lt;=$L$4),ROW(),"-")</f>
        <v>-</v>
      </c>
    </row>
    <row r="32892" customHeight="1" spans="2:2">
      <c r="B32892" s="62" t="str">
        <f>IF(AND('领用录入（明细）'!D:D=$F$4,'领用录入（明细）'!C:C&gt;=$J$4,'领用录入（明细）'!C:C&lt;=$L$4),ROW(),"-")</f>
        <v>-</v>
      </c>
    </row>
    <row r="32893" customHeight="1" spans="2:2">
      <c r="B32893" s="62" t="str">
        <f>IF(AND('领用录入（明细）'!D:D=$F$4,'领用录入（明细）'!C:C&gt;=$J$4,'领用录入（明细）'!C:C&lt;=$L$4),ROW(),"-")</f>
        <v>-</v>
      </c>
    </row>
    <row r="32894" customHeight="1" spans="2:2">
      <c r="B32894" s="62" t="str">
        <f>IF(AND('领用录入（明细）'!D:D=$F$4,'领用录入（明细）'!C:C&gt;=$J$4,'领用录入（明细）'!C:C&lt;=$L$4),ROW(),"-")</f>
        <v>-</v>
      </c>
    </row>
    <row r="32895" customHeight="1" spans="2:2">
      <c r="B32895" s="62" t="str">
        <f>IF(AND('领用录入（明细）'!D:D=$F$4,'领用录入（明细）'!C:C&gt;=$J$4,'领用录入（明细）'!C:C&lt;=$L$4),ROW(),"-")</f>
        <v>-</v>
      </c>
    </row>
    <row r="32896" customHeight="1" spans="2:2">
      <c r="B32896" s="62" t="str">
        <f>IF(AND('领用录入（明细）'!D:D=$F$4,'领用录入（明细）'!C:C&gt;=$J$4,'领用录入（明细）'!C:C&lt;=$L$4),ROW(),"-")</f>
        <v>-</v>
      </c>
    </row>
    <row r="32897" customHeight="1" spans="2:2">
      <c r="B32897" s="62" t="str">
        <f>IF(AND('领用录入（明细）'!D:D=$F$4,'领用录入（明细）'!C:C&gt;=$J$4,'领用录入（明细）'!C:C&lt;=$L$4),ROW(),"-")</f>
        <v>-</v>
      </c>
    </row>
    <row r="32898" customHeight="1" spans="2:2">
      <c r="B32898" s="62" t="str">
        <f>IF(AND('领用录入（明细）'!D:D=$F$4,'领用录入（明细）'!C:C&gt;=$J$4,'领用录入（明细）'!C:C&lt;=$L$4),ROW(),"-")</f>
        <v>-</v>
      </c>
    </row>
    <row r="32899" customHeight="1" spans="2:2">
      <c r="B32899" s="62" t="str">
        <f>IF(AND('领用录入（明细）'!D:D=$F$4,'领用录入（明细）'!C:C&gt;=$J$4,'领用录入（明细）'!C:C&lt;=$L$4),ROW(),"-")</f>
        <v>-</v>
      </c>
    </row>
    <row r="32900" customHeight="1" spans="2:2">
      <c r="B32900" s="62" t="str">
        <f>IF(AND('领用录入（明细）'!D:D=$F$4,'领用录入（明细）'!C:C&gt;=$J$4,'领用录入（明细）'!C:C&lt;=$L$4),ROW(),"-")</f>
        <v>-</v>
      </c>
    </row>
    <row r="32901" customHeight="1" spans="2:2">
      <c r="B32901" s="62" t="str">
        <f>IF(AND('领用录入（明细）'!D:D=$F$4,'领用录入（明细）'!C:C&gt;=$J$4,'领用录入（明细）'!C:C&lt;=$L$4),ROW(),"-")</f>
        <v>-</v>
      </c>
    </row>
    <row r="32902" customHeight="1" spans="2:2">
      <c r="B32902" s="62" t="str">
        <f>IF(AND('领用录入（明细）'!D:D=$F$4,'领用录入（明细）'!C:C&gt;=$J$4,'领用录入（明细）'!C:C&lt;=$L$4),ROW(),"-")</f>
        <v>-</v>
      </c>
    </row>
    <row r="32903" customHeight="1" spans="2:2">
      <c r="B32903" s="62" t="str">
        <f>IF(AND('领用录入（明细）'!D:D=$F$4,'领用录入（明细）'!C:C&gt;=$J$4,'领用录入（明细）'!C:C&lt;=$L$4),ROW(),"-")</f>
        <v>-</v>
      </c>
    </row>
    <row r="32904" customHeight="1" spans="2:2">
      <c r="B32904" s="62" t="str">
        <f>IF(AND('领用录入（明细）'!D:D=$F$4,'领用录入（明细）'!C:C&gt;=$J$4,'领用录入（明细）'!C:C&lt;=$L$4),ROW(),"-")</f>
        <v>-</v>
      </c>
    </row>
    <row r="32905" customHeight="1" spans="2:2">
      <c r="B32905" s="62" t="str">
        <f>IF(AND('领用录入（明细）'!D:D=$F$4,'领用录入（明细）'!C:C&gt;=$J$4,'领用录入（明细）'!C:C&lt;=$L$4),ROW(),"-")</f>
        <v>-</v>
      </c>
    </row>
    <row r="32906" customHeight="1" spans="2:2">
      <c r="B32906" s="62" t="str">
        <f>IF(AND('领用录入（明细）'!D:D=$F$4,'领用录入（明细）'!C:C&gt;=$J$4,'领用录入（明细）'!C:C&lt;=$L$4),ROW(),"-")</f>
        <v>-</v>
      </c>
    </row>
    <row r="32907" customHeight="1" spans="2:2">
      <c r="B32907" s="62" t="str">
        <f>IF(AND('领用录入（明细）'!D:D=$F$4,'领用录入（明细）'!C:C&gt;=$J$4,'领用录入（明细）'!C:C&lt;=$L$4),ROW(),"-")</f>
        <v>-</v>
      </c>
    </row>
    <row r="32908" customHeight="1" spans="2:2">
      <c r="B32908" s="62" t="str">
        <f>IF(AND('领用录入（明细）'!D:D=$F$4,'领用录入（明细）'!C:C&gt;=$J$4,'领用录入（明细）'!C:C&lt;=$L$4),ROW(),"-")</f>
        <v>-</v>
      </c>
    </row>
    <row r="32909" customHeight="1" spans="2:2">
      <c r="B32909" s="62" t="str">
        <f>IF(AND('领用录入（明细）'!D:D=$F$4,'领用录入（明细）'!C:C&gt;=$J$4,'领用录入（明细）'!C:C&lt;=$L$4),ROW(),"-")</f>
        <v>-</v>
      </c>
    </row>
    <row r="32910" customHeight="1" spans="2:2">
      <c r="B32910" s="62" t="str">
        <f>IF(AND('领用录入（明细）'!D:D=$F$4,'领用录入（明细）'!C:C&gt;=$J$4,'领用录入（明细）'!C:C&lt;=$L$4),ROW(),"-")</f>
        <v>-</v>
      </c>
    </row>
    <row r="32911" customHeight="1" spans="2:2">
      <c r="B32911" s="62" t="str">
        <f>IF(AND('领用录入（明细）'!D:D=$F$4,'领用录入（明细）'!C:C&gt;=$J$4,'领用录入（明细）'!C:C&lt;=$L$4),ROW(),"-")</f>
        <v>-</v>
      </c>
    </row>
    <row r="32912" customHeight="1" spans="2:2">
      <c r="B32912" s="62" t="str">
        <f>IF(AND('领用录入（明细）'!D:D=$F$4,'领用录入（明细）'!C:C&gt;=$J$4,'领用录入（明细）'!C:C&lt;=$L$4),ROW(),"-")</f>
        <v>-</v>
      </c>
    </row>
    <row r="32913" customHeight="1" spans="2:2">
      <c r="B32913" s="62" t="str">
        <f>IF(AND('领用录入（明细）'!D:D=$F$4,'领用录入（明细）'!C:C&gt;=$J$4,'领用录入（明细）'!C:C&lt;=$L$4),ROW(),"-")</f>
        <v>-</v>
      </c>
    </row>
    <row r="32914" customHeight="1" spans="2:2">
      <c r="B32914" s="62" t="str">
        <f>IF(AND('领用录入（明细）'!D:D=$F$4,'领用录入（明细）'!C:C&gt;=$J$4,'领用录入（明细）'!C:C&lt;=$L$4),ROW(),"-")</f>
        <v>-</v>
      </c>
    </row>
    <row r="32915" customHeight="1" spans="2:2">
      <c r="B32915" s="62" t="str">
        <f>IF(AND('领用录入（明细）'!D:D=$F$4,'领用录入（明细）'!C:C&gt;=$J$4,'领用录入（明细）'!C:C&lt;=$L$4),ROW(),"-")</f>
        <v>-</v>
      </c>
    </row>
    <row r="32916" customHeight="1" spans="2:2">
      <c r="B32916" s="62" t="str">
        <f>IF(AND('领用录入（明细）'!D:D=$F$4,'领用录入（明细）'!C:C&gt;=$J$4,'领用录入（明细）'!C:C&lt;=$L$4),ROW(),"-")</f>
        <v>-</v>
      </c>
    </row>
    <row r="32917" customHeight="1" spans="2:2">
      <c r="B32917" s="62" t="str">
        <f>IF(AND('领用录入（明细）'!D:D=$F$4,'领用录入（明细）'!C:C&gt;=$J$4,'领用录入（明细）'!C:C&lt;=$L$4),ROW(),"-")</f>
        <v>-</v>
      </c>
    </row>
    <row r="32918" customHeight="1" spans="2:2">
      <c r="B32918" s="62" t="str">
        <f>IF(AND('领用录入（明细）'!D:D=$F$4,'领用录入（明细）'!C:C&gt;=$J$4,'领用录入（明细）'!C:C&lt;=$L$4),ROW(),"-")</f>
        <v>-</v>
      </c>
    </row>
    <row r="32919" customHeight="1" spans="2:2">
      <c r="B32919" s="62" t="str">
        <f>IF(AND('领用录入（明细）'!D:D=$F$4,'领用录入（明细）'!C:C&gt;=$J$4,'领用录入（明细）'!C:C&lt;=$L$4),ROW(),"-")</f>
        <v>-</v>
      </c>
    </row>
    <row r="32920" customHeight="1" spans="2:2">
      <c r="B32920" s="62" t="str">
        <f>IF(AND('领用录入（明细）'!D:D=$F$4,'领用录入（明细）'!C:C&gt;=$J$4,'领用录入（明细）'!C:C&lt;=$L$4),ROW(),"-")</f>
        <v>-</v>
      </c>
    </row>
    <row r="32921" customHeight="1" spans="2:2">
      <c r="B32921" s="62" t="str">
        <f>IF(AND('领用录入（明细）'!D:D=$F$4,'领用录入（明细）'!C:C&gt;=$J$4,'领用录入（明细）'!C:C&lt;=$L$4),ROW(),"-")</f>
        <v>-</v>
      </c>
    </row>
    <row r="32922" customHeight="1" spans="2:2">
      <c r="B32922" s="62" t="str">
        <f>IF(AND('领用录入（明细）'!D:D=$F$4,'领用录入（明细）'!C:C&gt;=$J$4,'领用录入（明细）'!C:C&lt;=$L$4),ROW(),"-")</f>
        <v>-</v>
      </c>
    </row>
    <row r="32923" customHeight="1" spans="2:2">
      <c r="B32923" s="62" t="str">
        <f>IF(AND('领用录入（明细）'!D:D=$F$4,'领用录入（明细）'!C:C&gt;=$J$4,'领用录入（明细）'!C:C&lt;=$L$4),ROW(),"-")</f>
        <v>-</v>
      </c>
    </row>
    <row r="32924" customHeight="1" spans="2:2">
      <c r="B32924" s="62" t="str">
        <f>IF(AND('领用录入（明细）'!D:D=$F$4,'领用录入（明细）'!C:C&gt;=$J$4,'领用录入（明细）'!C:C&lt;=$L$4),ROW(),"-")</f>
        <v>-</v>
      </c>
    </row>
    <row r="32925" customHeight="1" spans="2:2">
      <c r="B32925" s="62" t="str">
        <f>IF(AND('领用录入（明细）'!D:D=$F$4,'领用录入（明细）'!C:C&gt;=$J$4,'领用录入（明细）'!C:C&lt;=$L$4),ROW(),"-")</f>
        <v>-</v>
      </c>
    </row>
    <row r="32926" customHeight="1" spans="2:2">
      <c r="B32926" s="62" t="str">
        <f>IF(AND('领用录入（明细）'!D:D=$F$4,'领用录入（明细）'!C:C&gt;=$J$4,'领用录入（明细）'!C:C&lt;=$L$4),ROW(),"-")</f>
        <v>-</v>
      </c>
    </row>
    <row r="32927" customHeight="1" spans="2:2">
      <c r="B32927" s="62" t="str">
        <f>IF(AND('领用录入（明细）'!D:D=$F$4,'领用录入（明细）'!C:C&gt;=$J$4,'领用录入（明细）'!C:C&lt;=$L$4),ROW(),"-")</f>
        <v>-</v>
      </c>
    </row>
    <row r="32928" customHeight="1" spans="2:2">
      <c r="B32928" s="62" t="str">
        <f>IF(AND('领用录入（明细）'!D:D=$F$4,'领用录入（明细）'!C:C&gt;=$J$4,'领用录入（明细）'!C:C&lt;=$L$4),ROW(),"-")</f>
        <v>-</v>
      </c>
    </row>
    <row r="32929" customHeight="1" spans="2:2">
      <c r="B32929" s="62" t="str">
        <f>IF(AND('领用录入（明细）'!D:D=$F$4,'领用录入（明细）'!C:C&gt;=$J$4,'领用录入（明细）'!C:C&lt;=$L$4),ROW(),"-")</f>
        <v>-</v>
      </c>
    </row>
    <row r="32930" customHeight="1" spans="2:2">
      <c r="B32930" s="62" t="str">
        <f>IF(AND('领用录入（明细）'!D:D=$F$4,'领用录入（明细）'!C:C&gt;=$J$4,'领用录入（明细）'!C:C&lt;=$L$4),ROW(),"-")</f>
        <v>-</v>
      </c>
    </row>
    <row r="32931" customHeight="1" spans="2:2">
      <c r="B32931" s="62" t="str">
        <f>IF(AND('领用录入（明细）'!D:D=$F$4,'领用录入（明细）'!C:C&gt;=$J$4,'领用录入（明细）'!C:C&lt;=$L$4),ROW(),"-")</f>
        <v>-</v>
      </c>
    </row>
    <row r="32932" customHeight="1" spans="2:2">
      <c r="B32932" s="62" t="str">
        <f>IF(AND('领用录入（明细）'!D:D=$F$4,'领用录入（明细）'!C:C&gt;=$J$4,'领用录入（明细）'!C:C&lt;=$L$4),ROW(),"-")</f>
        <v>-</v>
      </c>
    </row>
    <row r="32933" customHeight="1" spans="2:2">
      <c r="B32933" s="62" t="str">
        <f>IF(AND('领用录入（明细）'!D:D=$F$4,'领用录入（明细）'!C:C&gt;=$J$4,'领用录入（明细）'!C:C&lt;=$L$4),ROW(),"-")</f>
        <v>-</v>
      </c>
    </row>
    <row r="32934" customHeight="1" spans="2:2">
      <c r="B32934" s="62" t="str">
        <f>IF(AND('领用录入（明细）'!D:D=$F$4,'领用录入（明细）'!C:C&gt;=$J$4,'领用录入（明细）'!C:C&lt;=$L$4),ROW(),"-")</f>
        <v>-</v>
      </c>
    </row>
    <row r="32935" customHeight="1" spans="2:2">
      <c r="B32935" s="62" t="str">
        <f>IF(AND('领用录入（明细）'!D:D=$F$4,'领用录入（明细）'!C:C&gt;=$J$4,'领用录入（明细）'!C:C&lt;=$L$4),ROW(),"-")</f>
        <v>-</v>
      </c>
    </row>
    <row r="32936" customHeight="1" spans="2:2">
      <c r="B32936" s="62" t="str">
        <f>IF(AND('领用录入（明细）'!D:D=$F$4,'领用录入（明细）'!C:C&gt;=$J$4,'领用录入（明细）'!C:C&lt;=$L$4),ROW(),"-")</f>
        <v>-</v>
      </c>
    </row>
    <row r="32937" customHeight="1" spans="2:2">
      <c r="B32937" s="62" t="str">
        <f>IF(AND('领用录入（明细）'!D:D=$F$4,'领用录入（明细）'!C:C&gt;=$J$4,'领用录入（明细）'!C:C&lt;=$L$4),ROW(),"-")</f>
        <v>-</v>
      </c>
    </row>
    <row r="32938" customHeight="1" spans="2:2">
      <c r="B32938" s="62" t="str">
        <f>IF(AND('领用录入（明细）'!D:D=$F$4,'领用录入（明细）'!C:C&gt;=$J$4,'领用录入（明细）'!C:C&lt;=$L$4),ROW(),"-")</f>
        <v>-</v>
      </c>
    </row>
    <row r="32939" customHeight="1" spans="2:2">
      <c r="B32939" s="62" t="str">
        <f>IF(AND('领用录入（明细）'!D:D=$F$4,'领用录入（明细）'!C:C&gt;=$J$4,'领用录入（明细）'!C:C&lt;=$L$4),ROW(),"-")</f>
        <v>-</v>
      </c>
    </row>
    <row r="32940" customHeight="1" spans="2:2">
      <c r="B32940" s="62" t="str">
        <f>IF(AND('领用录入（明细）'!D:D=$F$4,'领用录入（明细）'!C:C&gt;=$J$4,'领用录入（明细）'!C:C&lt;=$L$4),ROW(),"-")</f>
        <v>-</v>
      </c>
    </row>
    <row r="32941" customHeight="1" spans="2:2">
      <c r="B32941" s="62" t="str">
        <f>IF(AND('领用录入（明细）'!D:D=$F$4,'领用录入（明细）'!C:C&gt;=$J$4,'领用录入（明细）'!C:C&lt;=$L$4),ROW(),"-")</f>
        <v>-</v>
      </c>
    </row>
    <row r="32942" customHeight="1" spans="2:2">
      <c r="B32942" s="62" t="str">
        <f>IF(AND('领用录入（明细）'!D:D=$F$4,'领用录入（明细）'!C:C&gt;=$J$4,'领用录入（明细）'!C:C&lt;=$L$4),ROW(),"-")</f>
        <v>-</v>
      </c>
    </row>
    <row r="32943" customHeight="1" spans="2:2">
      <c r="B32943" s="62" t="str">
        <f>IF(AND('领用录入（明细）'!D:D=$F$4,'领用录入（明细）'!C:C&gt;=$J$4,'领用录入（明细）'!C:C&lt;=$L$4),ROW(),"-")</f>
        <v>-</v>
      </c>
    </row>
    <row r="32944" customHeight="1" spans="2:2">
      <c r="B32944" s="62" t="str">
        <f>IF(AND('领用录入（明细）'!D:D=$F$4,'领用录入（明细）'!C:C&gt;=$J$4,'领用录入（明细）'!C:C&lt;=$L$4),ROW(),"-")</f>
        <v>-</v>
      </c>
    </row>
    <row r="32945" customHeight="1" spans="2:2">
      <c r="B32945" s="62" t="str">
        <f>IF(AND('领用录入（明细）'!D:D=$F$4,'领用录入（明细）'!C:C&gt;=$J$4,'领用录入（明细）'!C:C&lt;=$L$4),ROW(),"-")</f>
        <v>-</v>
      </c>
    </row>
    <row r="32946" customHeight="1" spans="2:2">
      <c r="B32946" s="62" t="str">
        <f>IF(AND('领用录入（明细）'!D:D=$F$4,'领用录入（明细）'!C:C&gt;=$J$4,'领用录入（明细）'!C:C&lt;=$L$4),ROW(),"-")</f>
        <v>-</v>
      </c>
    </row>
    <row r="32947" customHeight="1" spans="2:2">
      <c r="B32947" s="62" t="str">
        <f>IF(AND('领用录入（明细）'!D:D=$F$4,'领用录入（明细）'!C:C&gt;=$J$4,'领用录入（明细）'!C:C&lt;=$L$4),ROW(),"-")</f>
        <v>-</v>
      </c>
    </row>
    <row r="32948" customHeight="1" spans="2:2">
      <c r="B32948" s="62" t="str">
        <f>IF(AND('领用录入（明细）'!D:D=$F$4,'领用录入（明细）'!C:C&gt;=$J$4,'领用录入（明细）'!C:C&lt;=$L$4),ROW(),"-")</f>
        <v>-</v>
      </c>
    </row>
    <row r="32949" customHeight="1" spans="2:2">
      <c r="B32949" s="62" t="str">
        <f>IF(AND('领用录入（明细）'!D:D=$F$4,'领用录入（明细）'!C:C&gt;=$J$4,'领用录入（明细）'!C:C&lt;=$L$4),ROW(),"-")</f>
        <v>-</v>
      </c>
    </row>
    <row r="32950" customHeight="1" spans="2:2">
      <c r="B32950" s="62" t="str">
        <f>IF(AND('领用录入（明细）'!D:D=$F$4,'领用录入（明细）'!C:C&gt;=$J$4,'领用录入（明细）'!C:C&lt;=$L$4),ROW(),"-")</f>
        <v>-</v>
      </c>
    </row>
    <row r="32951" customHeight="1" spans="2:2">
      <c r="B32951" s="62" t="str">
        <f>IF(AND('领用录入（明细）'!D:D=$F$4,'领用录入（明细）'!C:C&gt;=$J$4,'领用录入（明细）'!C:C&lt;=$L$4),ROW(),"-")</f>
        <v>-</v>
      </c>
    </row>
    <row r="32952" customHeight="1" spans="2:2">
      <c r="B32952" s="62" t="str">
        <f>IF(AND('领用录入（明细）'!D:D=$F$4,'领用录入（明细）'!C:C&gt;=$J$4,'领用录入（明细）'!C:C&lt;=$L$4),ROW(),"-")</f>
        <v>-</v>
      </c>
    </row>
    <row r="32953" customHeight="1" spans="2:2">
      <c r="B32953" s="62" t="str">
        <f>IF(AND('领用录入（明细）'!D:D=$F$4,'领用录入（明细）'!C:C&gt;=$J$4,'领用录入（明细）'!C:C&lt;=$L$4),ROW(),"-")</f>
        <v>-</v>
      </c>
    </row>
    <row r="32954" customHeight="1" spans="2:2">
      <c r="B32954" s="62" t="str">
        <f>IF(AND('领用录入（明细）'!D:D=$F$4,'领用录入（明细）'!C:C&gt;=$J$4,'领用录入（明细）'!C:C&lt;=$L$4),ROW(),"-")</f>
        <v>-</v>
      </c>
    </row>
    <row r="32955" customHeight="1" spans="2:2">
      <c r="B32955" s="62" t="str">
        <f>IF(AND('领用录入（明细）'!D:D=$F$4,'领用录入（明细）'!C:C&gt;=$J$4,'领用录入（明细）'!C:C&lt;=$L$4),ROW(),"-")</f>
        <v>-</v>
      </c>
    </row>
    <row r="32956" customHeight="1" spans="2:2">
      <c r="B32956" s="62" t="str">
        <f>IF(AND('领用录入（明细）'!D:D=$F$4,'领用录入（明细）'!C:C&gt;=$J$4,'领用录入（明细）'!C:C&lt;=$L$4),ROW(),"-")</f>
        <v>-</v>
      </c>
    </row>
    <row r="32957" customHeight="1" spans="2:2">
      <c r="B32957" s="62" t="str">
        <f>IF(AND('领用录入（明细）'!D:D=$F$4,'领用录入（明细）'!C:C&gt;=$J$4,'领用录入（明细）'!C:C&lt;=$L$4),ROW(),"-")</f>
        <v>-</v>
      </c>
    </row>
    <row r="32958" customHeight="1" spans="2:2">
      <c r="B32958" s="62" t="str">
        <f>IF(AND('领用录入（明细）'!D:D=$F$4,'领用录入（明细）'!C:C&gt;=$J$4,'领用录入（明细）'!C:C&lt;=$L$4),ROW(),"-")</f>
        <v>-</v>
      </c>
    </row>
    <row r="32959" customHeight="1" spans="2:2">
      <c r="B32959" s="62" t="str">
        <f>IF(AND('领用录入（明细）'!D:D=$F$4,'领用录入（明细）'!C:C&gt;=$J$4,'领用录入（明细）'!C:C&lt;=$L$4),ROW(),"-")</f>
        <v>-</v>
      </c>
    </row>
    <row r="32960" customHeight="1" spans="2:2">
      <c r="B32960" s="62" t="str">
        <f>IF(AND('领用录入（明细）'!D:D=$F$4,'领用录入（明细）'!C:C&gt;=$J$4,'领用录入（明细）'!C:C&lt;=$L$4),ROW(),"-")</f>
        <v>-</v>
      </c>
    </row>
    <row r="32961" customHeight="1" spans="2:2">
      <c r="B32961" s="62" t="str">
        <f>IF(AND('领用录入（明细）'!D:D=$F$4,'领用录入（明细）'!C:C&gt;=$J$4,'领用录入（明细）'!C:C&lt;=$L$4),ROW(),"-")</f>
        <v>-</v>
      </c>
    </row>
    <row r="32962" customHeight="1" spans="2:2">
      <c r="B32962" s="62" t="str">
        <f>IF(AND('领用录入（明细）'!D:D=$F$4,'领用录入（明细）'!C:C&gt;=$J$4,'领用录入（明细）'!C:C&lt;=$L$4),ROW(),"-")</f>
        <v>-</v>
      </c>
    </row>
    <row r="32963" customHeight="1" spans="2:2">
      <c r="B32963" s="62" t="str">
        <f>IF(AND('领用录入（明细）'!D:D=$F$4,'领用录入（明细）'!C:C&gt;=$J$4,'领用录入（明细）'!C:C&lt;=$L$4),ROW(),"-")</f>
        <v>-</v>
      </c>
    </row>
    <row r="32964" customHeight="1" spans="2:2">
      <c r="B32964" s="62" t="str">
        <f>IF(AND('领用录入（明细）'!D:D=$F$4,'领用录入（明细）'!C:C&gt;=$J$4,'领用录入（明细）'!C:C&lt;=$L$4),ROW(),"-")</f>
        <v>-</v>
      </c>
    </row>
    <row r="32965" customHeight="1" spans="2:2">
      <c r="B32965" s="62" t="str">
        <f>IF(AND('领用录入（明细）'!D:D=$F$4,'领用录入（明细）'!C:C&gt;=$J$4,'领用录入（明细）'!C:C&lt;=$L$4),ROW(),"-")</f>
        <v>-</v>
      </c>
    </row>
    <row r="32966" customHeight="1" spans="2:2">
      <c r="B32966" s="62" t="str">
        <f>IF(AND('领用录入（明细）'!D:D=$F$4,'领用录入（明细）'!C:C&gt;=$J$4,'领用录入（明细）'!C:C&lt;=$L$4),ROW(),"-")</f>
        <v>-</v>
      </c>
    </row>
    <row r="32967" customHeight="1" spans="2:2">
      <c r="B32967" s="62" t="str">
        <f>IF(AND('领用录入（明细）'!D:D=$F$4,'领用录入（明细）'!C:C&gt;=$J$4,'领用录入（明细）'!C:C&lt;=$L$4),ROW(),"-")</f>
        <v>-</v>
      </c>
    </row>
    <row r="32968" customHeight="1" spans="2:2">
      <c r="B32968" s="62" t="str">
        <f>IF(AND('领用录入（明细）'!D:D=$F$4,'领用录入（明细）'!C:C&gt;=$J$4,'领用录入（明细）'!C:C&lt;=$L$4),ROW(),"-")</f>
        <v>-</v>
      </c>
    </row>
    <row r="32969" customHeight="1" spans="2:2">
      <c r="B32969" s="62" t="str">
        <f>IF(AND('领用录入（明细）'!D:D=$F$4,'领用录入（明细）'!C:C&gt;=$J$4,'领用录入（明细）'!C:C&lt;=$L$4),ROW(),"-")</f>
        <v>-</v>
      </c>
    </row>
    <row r="32970" customHeight="1" spans="2:2">
      <c r="B32970" s="62" t="str">
        <f>IF(AND('领用录入（明细）'!D:D=$F$4,'领用录入（明细）'!C:C&gt;=$J$4,'领用录入（明细）'!C:C&lt;=$L$4),ROW(),"-")</f>
        <v>-</v>
      </c>
    </row>
    <row r="32971" customHeight="1" spans="2:2">
      <c r="B32971" s="62" t="str">
        <f>IF(AND('领用录入（明细）'!D:D=$F$4,'领用录入（明细）'!C:C&gt;=$J$4,'领用录入（明细）'!C:C&lt;=$L$4),ROW(),"-")</f>
        <v>-</v>
      </c>
    </row>
    <row r="32972" customHeight="1" spans="2:2">
      <c r="B32972" s="62" t="str">
        <f>IF(AND('领用录入（明细）'!D:D=$F$4,'领用录入（明细）'!C:C&gt;=$J$4,'领用录入（明细）'!C:C&lt;=$L$4),ROW(),"-")</f>
        <v>-</v>
      </c>
    </row>
    <row r="32973" customHeight="1" spans="2:2">
      <c r="B32973" s="62" t="str">
        <f>IF(AND('领用录入（明细）'!D:D=$F$4,'领用录入（明细）'!C:C&gt;=$J$4,'领用录入（明细）'!C:C&lt;=$L$4),ROW(),"-")</f>
        <v>-</v>
      </c>
    </row>
    <row r="32974" customHeight="1" spans="2:2">
      <c r="B32974" s="62" t="str">
        <f>IF(AND('领用录入（明细）'!D:D=$F$4,'领用录入（明细）'!C:C&gt;=$J$4,'领用录入（明细）'!C:C&lt;=$L$4),ROW(),"-")</f>
        <v>-</v>
      </c>
    </row>
    <row r="32975" customHeight="1" spans="2:2">
      <c r="B32975" s="62" t="str">
        <f>IF(AND('领用录入（明细）'!D:D=$F$4,'领用录入（明细）'!C:C&gt;=$J$4,'领用录入（明细）'!C:C&lt;=$L$4),ROW(),"-")</f>
        <v>-</v>
      </c>
    </row>
    <row r="32976" customHeight="1" spans="2:2">
      <c r="B32976" s="62" t="str">
        <f>IF(AND('领用录入（明细）'!D:D=$F$4,'领用录入（明细）'!C:C&gt;=$J$4,'领用录入（明细）'!C:C&lt;=$L$4),ROW(),"-")</f>
        <v>-</v>
      </c>
    </row>
    <row r="32977" customHeight="1" spans="2:2">
      <c r="B32977" s="62" t="str">
        <f>IF(AND('领用录入（明细）'!D:D=$F$4,'领用录入（明细）'!C:C&gt;=$J$4,'领用录入（明细）'!C:C&lt;=$L$4),ROW(),"-")</f>
        <v>-</v>
      </c>
    </row>
    <row r="32978" customHeight="1" spans="2:2">
      <c r="B32978" s="62" t="str">
        <f>IF(AND('领用录入（明细）'!D:D=$F$4,'领用录入（明细）'!C:C&gt;=$J$4,'领用录入（明细）'!C:C&lt;=$L$4),ROW(),"-")</f>
        <v>-</v>
      </c>
    </row>
    <row r="32979" customHeight="1" spans="2:2">
      <c r="B32979" s="62" t="str">
        <f>IF(AND('领用录入（明细）'!D:D=$F$4,'领用录入（明细）'!C:C&gt;=$J$4,'领用录入（明细）'!C:C&lt;=$L$4),ROW(),"-")</f>
        <v>-</v>
      </c>
    </row>
    <row r="32980" customHeight="1" spans="2:2">
      <c r="B32980" s="62" t="str">
        <f>IF(AND('领用录入（明细）'!D:D=$F$4,'领用录入（明细）'!C:C&gt;=$J$4,'领用录入（明细）'!C:C&lt;=$L$4),ROW(),"-")</f>
        <v>-</v>
      </c>
    </row>
    <row r="32981" customHeight="1" spans="2:2">
      <c r="B32981" s="62" t="str">
        <f>IF(AND('领用录入（明细）'!D:D=$F$4,'领用录入（明细）'!C:C&gt;=$J$4,'领用录入（明细）'!C:C&lt;=$L$4),ROW(),"-")</f>
        <v>-</v>
      </c>
    </row>
    <row r="32982" customHeight="1" spans="2:2">
      <c r="B32982" s="62" t="str">
        <f>IF(AND('领用录入（明细）'!D:D=$F$4,'领用录入（明细）'!C:C&gt;=$J$4,'领用录入（明细）'!C:C&lt;=$L$4),ROW(),"-")</f>
        <v>-</v>
      </c>
    </row>
    <row r="32983" customHeight="1" spans="2:2">
      <c r="B32983" s="62" t="str">
        <f>IF(AND('领用录入（明细）'!D:D=$F$4,'领用录入（明细）'!C:C&gt;=$J$4,'领用录入（明细）'!C:C&lt;=$L$4),ROW(),"-")</f>
        <v>-</v>
      </c>
    </row>
    <row r="32984" customHeight="1" spans="2:2">
      <c r="B32984" s="62" t="str">
        <f>IF(AND('领用录入（明细）'!D:D=$F$4,'领用录入（明细）'!C:C&gt;=$J$4,'领用录入（明细）'!C:C&lt;=$L$4),ROW(),"-")</f>
        <v>-</v>
      </c>
    </row>
    <row r="32985" customHeight="1" spans="2:2">
      <c r="B32985" s="62" t="str">
        <f>IF(AND('领用录入（明细）'!D:D=$F$4,'领用录入（明细）'!C:C&gt;=$J$4,'领用录入（明细）'!C:C&lt;=$L$4),ROW(),"-")</f>
        <v>-</v>
      </c>
    </row>
    <row r="32986" customHeight="1" spans="2:2">
      <c r="B32986" s="62" t="str">
        <f>IF(AND('领用录入（明细）'!D:D=$F$4,'领用录入（明细）'!C:C&gt;=$J$4,'领用录入（明细）'!C:C&lt;=$L$4),ROW(),"-")</f>
        <v>-</v>
      </c>
    </row>
    <row r="32987" customHeight="1" spans="2:2">
      <c r="B32987" s="62" t="str">
        <f>IF(AND('领用录入（明细）'!D:D=$F$4,'领用录入（明细）'!C:C&gt;=$J$4,'领用录入（明细）'!C:C&lt;=$L$4),ROW(),"-")</f>
        <v>-</v>
      </c>
    </row>
    <row r="32988" customHeight="1" spans="2:2">
      <c r="B32988" s="62" t="str">
        <f>IF(AND('领用录入（明细）'!D:D=$F$4,'领用录入（明细）'!C:C&gt;=$J$4,'领用录入（明细）'!C:C&lt;=$L$4),ROW(),"-")</f>
        <v>-</v>
      </c>
    </row>
    <row r="32989" customHeight="1" spans="2:2">
      <c r="B32989" s="62" t="str">
        <f>IF(AND('领用录入（明细）'!D:D=$F$4,'领用录入（明细）'!C:C&gt;=$J$4,'领用录入（明细）'!C:C&lt;=$L$4),ROW(),"-")</f>
        <v>-</v>
      </c>
    </row>
    <row r="32990" customHeight="1" spans="2:2">
      <c r="B32990" s="62" t="str">
        <f>IF(AND('领用录入（明细）'!D:D=$F$4,'领用录入（明细）'!C:C&gt;=$J$4,'领用录入（明细）'!C:C&lt;=$L$4),ROW(),"-")</f>
        <v>-</v>
      </c>
    </row>
    <row r="32991" customHeight="1" spans="2:2">
      <c r="B32991" s="62" t="str">
        <f>IF(AND('领用录入（明细）'!D:D=$F$4,'领用录入（明细）'!C:C&gt;=$J$4,'领用录入（明细）'!C:C&lt;=$L$4),ROW(),"-")</f>
        <v>-</v>
      </c>
    </row>
    <row r="32992" customHeight="1" spans="2:2">
      <c r="B32992" s="62" t="str">
        <f>IF(AND('领用录入（明细）'!D:D=$F$4,'领用录入（明细）'!C:C&gt;=$J$4,'领用录入（明细）'!C:C&lt;=$L$4),ROW(),"-")</f>
        <v>-</v>
      </c>
    </row>
    <row r="32993" customHeight="1" spans="2:2">
      <c r="B32993" s="62" t="str">
        <f>IF(AND('领用录入（明细）'!D:D=$F$4,'领用录入（明细）'!C:C&gt;=$J$4,'领用录入（明细）'!C:C&lt;=$L$4),ROW(),"-")</f>
        <v>-</v>
      </c>
    </row>
    <row r="32994" customHeight="1" spans="2:2">
      <c r="B32994" s="62" t="str">
        <f>IF(AND('领用录入（明细）'!D:D=$F$4,'领用录入（明细）'!C:C&gt;=$J$4,'领用录入（明细）'!C:C&lt;=$L$4),ROW(),"-")</f>
        <v>-</v>
      </c>
    </row>
    <row r="32995" customHeight="1" spans="2:2">
      <c r="B32995" s="62" t="str">
        <f>IF(AND('领用录入（明细）'!D:D=$F$4,'领用录入（明细）'!C:C&gt;=$J$4,'领用录入（明细）'!C:C&lt;=$L$4),ROW(),"-")</f>
        <v>-</v>
      </c>
    </row>
    <row r="32996" customHeight="1" spans="2:2">
      <c r="B32996" s="62" t="str">
        <f>IF(AND('领用录入（明细）'!D:D=$F$4,'领用录入（明细）'!C:C&gt;=$J$4,'领用录入（明细）'!C:C&lt;=$L$4),ROW(),"-")</f>
        <v>-</v>
      </c>
    </row>
    <row r="32997" customHeight="1" spans="2:2">
      <c r="B32997" s="62" t="str">
        <f>IF(AND('领用录入（明细）'!D:D=$F$4,'领用录入（明细）'!C:C&gt;=$J$4,'领用录入（明细）'!C:C&lt;=$L$4),ROW(),"-")</f>
        <v>-</v>
      </c>
    </row>
    <row r="32998" customHeight="1" spans="2:2">
      <c r="B32998" s="62" t="str">
        <f>IF(AND('领用录入（明细）'!D:D=$F$4,'领用录入（明细）'!C:C&gt;=$J$4,'领用录入（明细）'!C:C&lt;=$L$4),ROW(),"-")</f>
        <v>-</v>
      </c>
    </row>
    <row r="32999" customHeight="1" spans="2:2">
      <c r="B32999" s="62" t="str">
        <f>IF(AND('领用录入（明细）'!D:D=$F$4,'领用录入（明细）'!C:C&gt;=$J$4,'领用录入（明细）'!C:C&lt;=$L$4),ROW(),"-")</f>
        <v>-</v>
      </c>
    </row>
    <row r="33000" customHeight="1" spans="2:2">
      <c r="B33000" s="62" t="str">
        <f>IF(AND('领用录入（明细）'!D:D=$F$4,'领用录入（明细）'!C:C&gt;=$J$4,'领用录入（明细）'!C:C&lt;=$L$4),ROW(),"-")</f>
        <v>-</v>
      </c>
    </row>
    <row r="33001" customHeight="1" spans="2:2">
      <c r="B33001" s="62" t="str">
        <f>IF(AND('领用录入（明细）'!D:D=$F$4,'领用录入（明细）'!C:C&gt;=$J$4,'领用录入（明细）'!C:C&lt;=$L$4),ROW(),"-")</f>
        <v>-</v>
      </c>
    </row>
    <row r="33002" customHeight="1" spans="2:2">
      <c r="B33002" s="62" t="str">
        <f>IF(AND('领用录入（明细）'!D:D=$F$4,'领用录入（明细）'!C:C&gt;=$J$4,'领用录入（明细）'!C:C&lt;=$L$4),ROW(),"-")</f>
        <v>-</v>
      </c>
    </row>
    <row r="33003" customHeight="1" spans="2:2">
      <c r="B33003" s="62" t="str">
        <f>IF(AND('领用录入（明细）'!D:D=$F$4,'领用录入（明细）'!C:C&gt;=$J$4,'领用录入（明细）'!C:C&lt;=$L$4),ROW(),"-")</f>
        <v>-</v>
      </c>
    </row>
    <row r="33004" customHeight="1" spans="2:2">
      <c r="B33004" s="62" t="str">
        <f>IF(AND('领用录入（明细）'!D:D=$F$4,'领用录入（明细）'!C:C&gt;=$J$4,'领用录入（明细）'!C:C&lt;=$L$4),ROW(),"-")</f>
        <v>-</v>
      </c>
    </row>
    <row r="33005" customHeight="1" spans="2:2">
      <c r="B33005" s="62" t="str">
        <f>IF(AND('领用录入（明细）'!D:D=$F$4,'领用录入（明细）'!C:C&gt;=$J$4,'领用录入（明细）'!C:C&lt;=$L$4),ROW(),"-")</f>
        <v>-</v>
      </c>
    </row>
    <row r="33006" customHeight="1" spans="2:2">
      <c r="B33006" s="62" t="str">
        <f>IF(AND('领用录入（明细）'!D:D=$F$4,'领用录入（明细）'!C:C&gt;=$J$4,'领用录入（明细）'!C:C&lt;=$L$4),ROW(),"-")</f>
        <v>-</v>
      </c>
    </row>
    <row r="33007" customHeight="1" spans="2:2">
      <c r="B33007" s="62" t="str">
        <f>IF(AND('领用录入（明细）'!D:D=$F$4,'领用录入（明细）'!C:C&gt;=$J$4,'领用录入（明细）'!C:C&lt;=$L$4),ROW(),"-")</f>
        <v>-</v>
      </c>
    </row>
    <row r="33008" customHeight="1" spans="2:2">
      <c r="B33008" s="62" t="str">
        <f>IF(AND('领用录入（明细）'!D:D=$F$4,'领用录入（明细）'!C:C&gt;=$J$4,'领用录入（明细）'!C:C&lt;=$L$4),ROW(),"-")</f>
        <v>-</v>
      </c>
    </row>
    <row r="33009" customHeight="1" spans="2:2">
      <c r="B33009" s="62" t="str">
        <f>IF(AND('领用录入（明细）'!D:D=$F$4,'领用录入（明细）'!C:C&gt;=$J$4,'领用录入（明细）'!C:C&lt;=$L$4),ROW(),"-")</f>
        <v>-</v>
      </c>
    </row>
    <row r="33010" customHeight="1" spans="2:2">
      <c r="B33010" s="62" t="str">
        <f>IF(AND('领用录入（明细）'!D:D=$F$4,'领用录入（明细）'!C:C&gt;=$J$4,'领用录入（明细）'!C:C&lt;=$L$4),ROW(),"-")</f>
        <v>-</v>
      </c>
    </row>
    <row r="33011" customHeight="1" spans="2:2">
      <c r="B33011" s="62" t="str">
        <f>IF(AND('领用录入（明细）'!D:D=$F$4,'领用录入（明细）'!C:C&gt;=$J$4,'领用录入（明细）'!C:C&lt;=$L$4),ROW(),"-")</f>
        <v>-</v>
      </c>
    </row>
    <row r="33012" customHeight="1" spans="2:2">
      <c r="B33012" s="62" t="str">
        <f>IF(AND('领用录入（明细）'!D:D=$F$4,'领用录入（明细）'!C:C&gt;=$J$4,'领用录入（明细）'!C:C&lt;=$L$4),ROW(),"-")</f>
        <v>-</v>
      </c>
    </row>
    <row r="33013" customHeight="1" spans="2:2">
      <c r="B33013" s="62" t="str">
        <f>IF(AND('领用录入（明细）'!D:D=$F$4,'领用录入（明细）'!C:C&gt;=$J$4,'领用录入（明细）'!C:C&lt;=$L$4),ROW(),"-")</f>
        <v>-</v>
      </c>
    </row>
    <row r="33014" customHeight="1" spans="2:2">
      <c r="B33014" s="62" t="str">
        <f>IF(AND('领用录入（明细）'!D:D=$F$4,'领用录入（明细）'!C:C&gt;=$J$4,'领用录入（明细）'!C:C&lt;=$L$4),ROW(),"-")</f>
        <v>-</v>
      </c>
    </row>
    <row r="33015" customHeight="1" spans="2:2">
      <c r="B33015" s="62" t="str">
        <f>IF(AND('领用录入（明细）'!D:D=$F$4,'领用录入（明细）'!C:C&gt;=$J$4,'领用录入（明细）'!C:C&lt;=$L$4),ROW(),"-")</f>
        <v>-</v>
      </c>
    </row>
    <row r="33016" customHeight="1" spans="2:2">
      <c r="B33016" s="62" t="str">
        <f>IF(AND('领用录入（明细）'!D:D=$F$4,'领用录入（明细）'!C:C&gt;=$J$4,'领用录入（明细）'!C:C&lt;=$L$4),ROW(),"-")</f>
        <v>-</v>
      </c>
    </row>
    <row r="33017" customHeight="1" spans="2:2">
      <c r="B33017" s="62" t="str">
        <f>IF(AND('领用录入（明细）'!D:D=$F$4,'领用录入（明细）'!C:C&gt;=$J$4,'领用录入（明细）'!C:C&lt;=$L$4),ROW(),"-")</f>
        <v>-</v>
      </c>
    </row>
    <row r="33018" customHeight="1" spans="2:2">
      <c r="B33018" s="62" t="str">
        <f>IF(AND('领用录入（明细）'!D:D=$F$4,'领用录入（明细）'!C:C&gt;=$J$4,'领用录入（明细）'!C:C&lt;=$L$4),ROW(),"-")</f>
        <v>-</v>
      </c>
    </row>
    <row r="33019" customHeight="1" spans="2:2">
      <c r="B33019" s="62" t="str">
        <f>IF(AND('领用录入（明细）'!D:D=$F$4,'领用录入（明细）'!C:C&gt;=$J$4,'领用录入（明细）'!C:C&lt;=$L$4),ROW(),"-")</f>
        <v>-</v>
      </c>
    </row>
    <row r="33020" customHeight="1" spans="2:2">
      <c r="B33020" s="62" t="str">
        <f>IF(AND('领用录入（明细）'!D:D=$F$4,'领用录入（明细）'!C:C&gt;=$J$4,'领用录入（明细）'!C:C&lt;=$L$4),ROW(),"-")</f>
        <v>-</v>
      </c>
    </row>
    <row r="33021" customHeight="1" spans="2:2">
      <c r="B33021" s="62" t="str">
        <f>IF(AND('领用录入（明细）'!D:D=$F$4,'领用录入（明细）'!C:C&gt;=$J$4,'领用录入（明细）'!C:C&lt;=$L$4),ROW(),"-")</f>
        <v>-</v>
      </c>
    </row>
    <row r="33022" customHeight="1" spans="2:2">
      <c r="B33022" s="62" t="str">
        <f>IF(AND('领用录入（明细）'!D:D=$F$4,'领用录入（明细）'!C:C&gt;=$J$4,'领用录入（明细）'!C:C&lt;=$L$4),ROW(),"-")</f>
        <v>-</v>
      </c>
    </row>
    <row r="33023" customHeight="1" spans="2:2">
      <c r="B33023" s="62" t="str">
        <f>IF(AND('领用录入（明细）'!D:D=$F$4,'领用录入（明细）'!C:C&gt;=$J$4,'领用录入（明细）'!C:C&lt;=$L$4),ROW(),"-")</f>
        <v>-</v>
      </c>
    </row>
    <row r="33024" customHeight="1" spans="2:2">
      <c r="B33024" s="62" t="str">
        <f>IF(AND('领用录入（明细）'!D:D=$F$4,'领用录入（明细）'!C:C&gt;=$J$4,'领用录入（明细）'!C:C&lt;=$L$4),ROW(),"-")</f>
        <v>-</v>
      </c>
    </row>
    <row r="33025" customHeight="1" spans="2:2">
      <c r="B33025" s="62" t="str">
        <f>IF(AND('领用录入（明细）'!D:D=$F$4,'领用录入（明细）'!C:C&gt;=$J$4,'领用录入（明细）'!C:C&lt;=$L$4),ROW(),"-")</f>
        <v>-</v>
      </c>
    </row>
    <row r="33026" customHeight="1" spans="2:2">
      <c r="B33026" s="62" t="str">
        <f>IF(AND('领用录入（明细）'!D:D=$F$4,'领用录入（明细）'!C:C&gt;=$J$4,'领用录入（明细）'!C:C&lt;=$L$4),ROW(),"-")</f>
        <v>-</v>
      </c>
    </row>
    <row r="33027" customHeight="1" spans="2:2">
      <c r="B33027" s="62" t="str">
        <f>IF(AND('领用录入（明细）'!D:D=$F$4,'领用录入（明细）'!C:C&gt;=$J$4,'领用录入（明细）'!C:C&lt;=$L$4),ROW(),"-")</f>
        <v>-</v>
      </c>
    </row>
    <row r="33028" customHeight="1" spans="2:2">
      <c r="B33028" s="62" t="str">
        <f>IF(AND('领用录入（明细）'!D:D=$F$4,'领用录入（明细）'!C:C&gt;=$J$4,'领用录入（明细）'!C:C&lt;=$L$4),ROW(),"-")</f>
        <v>-</v>
      </c>
    </row>
    <row r="33029" customHeight="1" spans="2:2">
      <c r="B33029" s="62" t="str">
        <f>IF(AND('领用录入（明细）'!D:D=$F$4,'领用录入（明细）'!C:C&gt;=$J$4,'领用录入（明细）'!C:C&lt;=$L$4),ROW(),"-")</f>
        <v>-</v>
      </c>
    </row>
    <row r="33030" customHeight="1" spans="2:2">
      <c r="B33030" s="62" t="str">
        <f>IF(AND('领用录入（明细）'!D:D=$F$4,'领用录入（明细）'!C:C&gt;=$J$4,'领用录入（明细）'!C:C&lt;=$L$4),ROW(),"-")</f>
        <v>-</v>
      </c>
    </row>
    <row r="33031" customHeight="1" spans="2:2">
      <c r="B33031" s="62" t="str">
        <f>IF(AND('领用录入（明细）'!D:D=$F$4,'领用录入（明细）'!C:C&gt;=$J$4,'领用录入（明细）'!C:C&lt;=$L$4),ROW(),"-")</f>
        <v>-</v>
      </c>
    </row>
    <row r="33032" customHeight="1" spans="2:2">
      <c r="B33032" s="62" t="str">
        <f>IF(AND('领用录入（明细）'!D:D=$F$4,'领用录入（明细）'!C:C&gt;=$J$4,'领用录入（明细）'!C:C&lt;=$L$4),ROW(),"-")</f>
        <v>-</v>
      </c>
    </row>
    <row r="33033" customHeight="1" spans="2:2">
      <c r="B33033" s="62" t="str">
        <f>IF(AND('领用录入（明细）'!D:D=$F$4,'领用录入（明细）'!C:C&gt;=$J$4,'领用录入（明细）'!C:C&lt;=$L$4),ROW(),"-")</f>
        <v>-</v>
      </c>
    </row>
    <row r="33034" customHeight="1" spans="2:2">
      <c r="B33034" s="62" t="str">
        <f>IF(AND('领用录入（明细）'!D:D=$F$4,'领用录入（明细）'!C:C&gt;=$J$4,'领用录入（明细）'!C:C&lt;=$L$4),ROW(),"-")</f>
        <v>-</v>
      </c>
    </row>
    <row r="33035" customHeight="1" spans="2:2">
      <c r="B33035" s="62" t="str">
        <f>IF(AND('领用录入（明细）'!D:D=$F$4,'领用录入（明细）'!C:C&gt;=$J$4,'领用录入（明细）'!C:C&lt;=$L$4),ROW(),"-")</f>
        <v>-</v>
      </c>
    </row>
    <row r="33036" customHeight="1" spans="2:2">
      <c r="B33036" s="62" t="str">
        <f>IF(AND('领用录入（明细）'!D:D=$F$4,'领用录入（明细）'!C:C&gt;=$J$4,'领用录入（明细）'!C:C&lt;=$L$4),ROW(),"-")</f>
        <v>-</v>
      </c>
    </row>
    <row r="33037" customHeight="1" spans="2:2">
      <c r="B33037" s="62" t="str">
        <f>IF(AND('领用录入（明细）'!D:D=$F$4,'领用录入（明细）'!C:C&gt;=$J$4,'领用录入（明细）'!C:C&lt;=$L$4),ROW(),"-")</f>
        <v>-</v>
      </c>
    </row>
    <row r="33038" customHeight="1" spans="2:2">
      <c r="B33038" s="62" t="str">
        <f>IF(AND('领用录入（明细）'!D:D=$F$4,'领用录入（明细）'!C:C&gt;=$J$4,'领用录入（明细）'!C:C&lt;=$L$4),ROW(),"-")</f>
        <v>-</v>
      </c>
    </row>
    <row r="33039" customHeight="1" spans="2:2">
      <c r="B33039" s="62" t="str">
        <f>IF(AND('领用录入（明细）'!D:D=$F$4,'领用录入（明细）'!C:C&gt;=$J$4,'领用录入（明细）'!C:C&lt;=$L$4),ROW(),"-")</f>
        <v>-</v>
      </c>
    </row>
    <row r="33040" customHeight="1" spans="2:2">
      <c r="B33040" s="62" t="str">
        <f>IF(AND('领用录入（明细）'!D:D=$F$4,'领用录入（明细）'!C:C&gt;=$J$4,'领用录入（明细）'!C:C&lt;=$L$4),ROW(),"-")</f>
        <v>-</v>
      </c>
    </row>
    <row r="33041" customHeight="1" spans="2:2">
      <c r="B33041" s="62" t="str">
        <f>IF(AND('领用录入（明细）'!D:D=$F$4,'领用录入（明细）'!C:C&gt;=$J$4,'领用录入（明细）'!C:C&lt;=$L$4),ROW(),"-")</f>
        <v>-</v>
      </c>
    </row>
    <row r="33042" customHeight="1" spans="2:2">
      <c r="B33042" s="62" t="str">
        <f>IF(AND('领用录入（明细）'!D:D=$F$4,'领用录入（明细）'!C:C&gt;=$J$4,'领用录入（明细）'!C:C&lt;=$L$4),ROW(),"-")</f>
        <v>-</v>
      </c>
    </row>
    <row r="33043" customHeight="1" spans="2:2">
      <c r="B33043" s="62" t="str">
        <f>IF(AND('领用录入（明细）'!D:D=$F$4,'领用录入（明细）'!C:C&gt;=$J$4,'领用录入（明细）'!C:C&lt;=$L$4),ROW(),"-")</f>
        <v>-</v>
      </c>
    </row>
    <row r="33044" customHeight="1" spans="2:2">
      <c r="B33044" s="62" t="str">
        <f>IF(AND('领用录入（明细）'!D:D=$F$4,'领用录入（明细）'!C:C&gt;=$J$4,'领用录入（明细）'!C:C&lt;=$L$4),ROW(),"-")</f>
        <v>-</v>
      </c>
    </row>
    <row r="33045" customHeight="1" spans="2:2">
      <c r="B33045" s="62" t="str">
        <f>IF(AND('领用录入（明细）'!D:D=$F$4,'领用录入（明细）'!C:C&gt;=$J$4,'领用录入（明细）'!C:C&lt;=$L$4),ROW(),"-")</f>
        <v>-</v>
      </c>
    </row>
    <row r="33046" customHeight="1" spans="2:2">
      <c r="B33046" s="62" t="str">
        <f>IF(AND('领用录入（明细）'!D:D=$F$4,'领用录入（明细）'!C:C&gt;=$J$4,'领用录入（明细）'!C:C&lt;=$L$4),ROW(),"-")</f>
        <v>-</v>
      </c>
    </row>
    <row r="33047" customHeight="1" spans="2:2">
      <c r="B33047" s="62" t="str">
        <f>IF(AND('领用录入（明细）'!D:D=$F$4,'领用录入（明细）'!C:C&gt;=$J$4,'领用录入（明细）'!C:C&lt;=$L$4),ROW(),"-")</f>
        <v>-</v>
      </c>
    </row>
    <row r="33048" customHeight="1" spans="2:2">
      <c r="B33048" s="62" t="str">
        <f>IF(AND('领用录入（明细）'!D:D=$F$4,'领用录入（明细）'!C:C&gt;=$J$4,'领用录入（明细）'!C:C&lt;=$L$4),ROW(),"-")</f>
        <v>-</v>
      </c>
    </row>
    <row r="33049" customHeight="1" spans="2:2">
      <c r="B33049" s="62" t="str">
        <f>IF(AND('领用录入（明细）'!D:D=$F$4,'领用录入（明细）'!C:C&gt;=$J$4,'领用录入（明细）'!C:C&lt;=$L$4),ROW(),"-")</f>
        <v>-</v>
      </c>
    </row>
    <row r="33050" customHeight="1" spans="2:2">
      <c r="B33050" s="62" t="str">
        <f>IF(AND('领用录入（明细）'!D:D=$F$4,'领用录入（明细）'!C:C&gt;=$J$4,'领用录入（明细）'!C:C&lt;=$L$4),ROW(),"-")</f>
        <v>-</v>
      </c>
    </row>
    <row r="33051" customHeight="1" spans="2:2">
      <c r="B33051" s="62" t="str">
        <f>IF(AND('领用录入（明细）'!D:D=$F$4,'领用录入（明细）'!C:C&gt;=$J$4,'领用录入（明细）'!C:C&lt;=$L$4),ROW(),"-")</f>
        <v>-</v>
      </c>
    </row>
    <row r="33052" customHeight="1" spans="2:2">
      <c r="B33052" s="62" t="str">
        <f>IF(AND('领用录入（明细）'!D:D=$F$4,'领用录入（明细）'!C:C&gt;=$J$4,'领用录入（明细）'!C:C&lt;=$L$4),ROW(),"-")</f>
        <v>-</v>
      </c>
    </row>
    <row r="33053" customHeight="1" spans="2:2">
      <c r="B33053" s="62" t="str">
        <f>IF(AND('领用录入（明细）'!D:D=$F$4,'领用录入（明细）'!C:C&gt;=$J$4,'领用录入（明细）'!C:C&lt;=$L$4),ROW(),"-")</f>
        <v>-</v>
      </c>
    </row>
    <row r="33054" customHeight="1" spans="2:2">
      <c r="B33054" s="62" t="str">
        <f>IF(AND('领用录入（明细）'!D:D=$F$4,'领用录入（明细）'!C:C&gt;=$J$4,'领用录入（明细）'!C:C&lt;=$L$4),ROW(),"-")</f>
        <v>-</v>
      </c>
    </row>
    <row r="33055" customHeight="1" spans="2:2">
      <c r="B33055" s="62" t="str">
        <f>IF(AND('领用录入（明细）'!D:D=$F$4,'领用录入（明细）'!C:C&gt;=$J$4,'领用录入（明细）'!C:C&lt;=$L$4),ROW(),"-")</f>
        <v>-</v>
      </c>
    </row>
    <row r="33056" customHeight="1" spans="2:2">
      <c r="B33056" s="62" t="str">
        <f>IF(AND('领用录入（明细）'!D:D=$F$4,'领用录入（明细）'!C:C&gt;=$J$4,'领用录入（明细）'!C:C&lt;=$L$4),ROW(),"-")</f>
        <v>-</v>
      </c>
    </row>
    <row r="33057" customHeight="1" spans="2:2">
      <c r="B33057" s="62" t="str">
        <f>IF(AND('领用录入（明细）'!D:D=$F$4,'领用录入（明细）'!C:C&gt;=$J$4,'领用录入（明细）'!C:C&lt;=$L$4),ROW(),"-")</f>
        <v>-</v>
      </c>
    </row>
    <row r="33058" customHeight="1" spans="2:2">
      <c r="B33058" s="62" t="str">
        <f>IF(AND('领用录入（明细）'!D:D=$F$4,'领用录入（明细）'!C:C&gt;=$J$4,'领用录入（明细）'!C:C&lt;=$L$4),ROW(),"-")</f>
        <v>-</v>
      </c>
    </row>
    <row r="33059" customHeight="1" spans="2:2">
      <c r="B33059" s="62" t="str">
        <f>IF(AND('领用录入（明细）'!D:D=$F$4,'领用录入（明细）'!C:C&gt;=$J$4,'领用录入（明细）'!C:C&lt;=$L$4),ROW(),"-")</f>
        <v>-</v>
      </c>
    </row>
    <row r="33060" customHeight="1" spans="2:2">
      <c r="B33060" s="62" t="str">
        <f>IF(AND('领用录入（明细）'!D:D=$F$4,'领用录入（明细）'!C:C&gt;=$J$4,'领用录入（明细）'!C:C&lt;=$L$4),ROW(),"-")</f>
        <v>-</v>
      </c>
    </row>
    <row r="33061" customHeight="1" spans="2:2">
      <c r="B33061" s="62" t="str">
        <f>IF(AND('领用录入（明细）'!D:D=$F$4,'领用录入（明细）'!C:C&gt;=$J$4,'领用录入（明细）'!C:C&lt;=$L$4),ROW(),"-")</f>
        <v>-</v>
      </c>
    </row>
    <row r="33062" customHeight="1" spans="2:2">
      <c r="B33062" s="62" t="str">
        <f>IF(AND('领用录入（明细）'!D:D=$F$4,'领用录入（明细）'!C:C&gt;=$J$4,'领用录入（明细）'!C:C&lt;=$L$4),ROW(),"-")</f>
        <v>-</v>
      </c>
    </row>
    <row r="33063" customHeight="1" spans="2:2">
      <c r="B33063" s="62" t="str">
        <f>IF(AND('领用录入（明细）'!D:D=$F$4,'领用录入（明细）'!C:C&gt;=$J$4,'领用录入（明细）'!C:C&lt;=$L$4),ROW(),"-")</f>
        <v>-</v>
      </c>
    </row>
    <row r="33064" customHeight="1" spans="2:2">
      <c r="B33064" s="62" t="str">
        <f>IF(AND('领用录入（明细）'!D:D=$F$4,'领用录入（明细）'!C:C&gt;=$J$4,'领用录入（明细）'!C:C&lt;=$L$4),ROW(),"-")</f>
        <v>-</v>
      </c>
    </row>
    <row r="33065" customHeight="1" spans="2:2">
      <c r="B33065" s="62" t="str">
        <f>IF(AND('领用录入（明细）'!D:D=$F$4,'领用录入（明细）'!C:C&gt;=$J$4,'领用录入（明细）'!C:C&lt;=$L$4),ROW(),"-")</f>
        <v>-</v>
      </c>
    </row>
    <row r="33066" customHeight="1" spans="2:2">
      <c r="B33066" s="62" t="str">
        <f>IF(AND('领用录入（明细）'!D:D=$F$4,'领用录入（明细）'!C:C&gt;=$J$4,'领用录入（明细）'!C:C&lt;=$L$4),ROW(),"-")</f>
        <v>-</v>
      </c>
    </row>
    <row r="33067" customHeight="1" spans="2:2">
      <c r="B33067" s="62" t="str">
        <f>IF(AND('领用录入（明细）'!D:D=$F$4,'领用录入（明细）'!C:C&gt;=$J$4,'领用录入（明细）'!C:C&lt;=$L$4),ROW(),"-")</f>
        <v>-</v>
      </c>
    </row>
    <row r="33068" customHeight="1" spans="2:2">
      <c r="B33068" s="62" t="str">
        <f>IF(AND('领用录入（明细）'!D:D=$F$4,'领用录入（明细）'!C:C&gt;=$J$4,'领用录入（明细）'!C:C&lt;=$L$4),ROW(),"-")</f>
        <v>-</v>
      </c>
    </row>
    <row r="33069" customHeight="1" spans="2:2">
      <c r="B33069" s="62" t="str">
        <f>IF(AND('领用录入（明细）'!D:D=$F$4,'领用录入（明细）'!C:C&gt;=$J$4,'领用录入（明细）'!C:C&lt;=$L$4),ROW(),"-")</f>
        <v>-</v>
      </c>
    </row>
    <row r="33070" customHeight="1" spans="2:2">
      <c r="B33070" s="62" t="str">
        <f>IF(AND('领用录入（明细）'!D:D=$F$4,'领用录入（明细）'!C:C&gt;=$J$4,'领用录入（明细）'!C:C&lt;=$L$4),ROW(),"-")</f>
        <v>-</v>
      </c>
    </row>
    <row r="33071" customHeight="1" spans="2:2">
      <c r="B33071" s="62" t="str">
        <f>IF(AND('领用录入（明细）'!D:D=$F$4,'领用录入（明细）'!C:C&gt;=$J$4,'领用录入（明细）'!C:C&lt;=$L$4),ROW(),"-")</f>
        <v>-</v>
      </c>
    </row>
    <row r="33072" customHeight="1" spans="2:2">
      <c r="B33072" s="62" t="str">
        <f>IF(AND('领用录入（明细）'!D:D=$F$4,'领用录入（明细）'!C:C&gt;=$J$4,'领用录入（明细）'!C:C&lt;=$L$4),ROW(),"-")</f>
        <v>-</v>
      </c>
    </row>
    <row r="33073" customHeight="1" spans="2:2">
      <c r="B33073" s="62" t="str">
        <f>IF(AND('领用录入（明细）'!D:D=$F$4,'领用录入（明细）'!C:C&gt;=$J$4,'领用录入（明细）'!C:C&lt;=$L$4),ROW(),"-")</f>
        <v>-</v>
      </c>
    </row>
    <row r="33074" customHeight="1" spans="2:2">
      <c r="B33074" s="62" t="str">
        <f>IF(AND('领用录入（明细）'!D:D=$F$4,'领用录入（明细）'!C:C&gt;=$J$4,'领用录入（明细）'!C:C&lt;=$L$4),ROW(),"-")</f>
        <v>-</v>
      </c>
    </row>
    <row r="33075" customHeight="1" spans="2:2">
      <c r="B33075" s="62" t="str">
        <f>IF(AND('领用录入（明细）'!D:D=$F$4,'领用录入（明细）'!C:C&gt;=$J$4,'领用录入（明细）'!C:C&lt;=$L$4),ROW(),"-")</f>
        <v>-</v>
      </c>
    </row>
    <row r="33076" customHeight="1" spans="2:2">
      <c r="B33076" s="62" t="str">
        <f>IF(AND('领用录入（明细）'!D:D=$F$4,'领用录入（明细）'!C:C&gt;=$J$4,'领用录入（明细）'!C:C&lt;=$L$4),ROW(),"-")</f>
        <v>-</v>
      </c>
    </row>
    <row r="33077" customHeight="1" spans="2:2">
      <c r="B33077" s="62" t="str">
        <f>IF(AND('领用录入（明细）'!D:D=$F$4,'领用录入（明细）'!C:C&gt;=$J$4,'领用录入（明细）'!C:C&lt;=$L$4),ROW(),"-")</f>
        <v>-</v>
      </c>
    </row>
    <row r="33078" customHeight="1" spans="2:2">
      <c r="B33078" s="62" t="str">
        <f>IF(AND('领用录入（明细）'!D:D=$F$4,'领用录入（明细）'!C:C&gt;=$J$4,'领用录入（明细）'!C:C&lt;=$L$4),ROW(),"-")</f>
        <v>-</v>
      </c>
    </row>
    <row r="33079" customHeight="1" spans="2:2">
      <c r="B33079" s="62" t="str">
        <f>IF(AND('领用录入（明细）'!D:D=$F$4,'领用录入（明细）'!C:C&gt;=$J$4,'领用录入（明细）'!C:C&lt;=$L$4),ROW(),"-")</f>
        <v>-</v>
      </c>
    </row>
    <row r="33080" customHeight="1" spans="2:2">
      <c r="B33080" s="62" t="str">
        <f>IF(AND('领用录入（明细）'!D:D=$F$4,'领用录入（明细）'!C:C&gt;=$J$4,'领用录入（明细）'!C:C&lt;=$L$4),ROW(),"-")</f>
        <v>-</v>
      </c>
    </row>
    <row r="33081" customHeight="1" spans="2:2">
      <c r="B33081" s="62" t="str">
        <f>IF(AND('领用录入（明细）'!D:D=$F$4,'领用录入（明细）'!C:C&gt;=$J$4,'领用录入（明细）'!C:C&lt;=$L$4),ROW(),"-")</f>
        <v>-</v>
      </c>
    </row>
    <row r="33082" customHeight="1" spans="2:2">
      <c r="B33082" s="62" t="str">
        <f>IF(AND('领用录入（明细）'!D:D=$F$4,'领用录入（明细）'!C:C&gt;=$J$4,'领用录入（明细）'!C:C&lt;=$L$4),ROW(),"-")</f>
        <v>-</v>
      </c>
    </row>
    <row r="33083" customHeight="1" spans="2:2">
      <c r="B33083" s="62" t="str">
        <f>IF(AND('领用录入（明细）'!D:D=$F$4,'领用录入（明细）'!C:C&gt;=$J$4,'领用录入（明细）'!C:C&lt;=$L$4),ROW(),"-")</f>
        <v>-</v>
      </c>
    </row>
    <row r="33084" customHeight="1" spans="2:2">
      <c r="B33084" s="62" t="str">
        <f>IF(AND('领用录入（明细）'!D:D=$F$4,'领用录入（明细）'!C:C&gt;=$J$4,'领用录入（明细）'!C:C&lt;=$L$4),ROW(),"-")</f>
        <v>-</v>
      </c>
    </row>
    <row r="33085" customHeight="1" spans="2:2">
      <c r="B33085" s="62" t="str">
        <f>IF(AND('领用录入（明细）'!D:D=$F$4,'领用录入（明细）'!C:C&gt;=$J$4,'领用录入（明细）'!C:C&lt;=$L$4),ROW(),"-")</f>
        <v>-</v>
      </c>
    </row>
    <row r="33086" customHeight="1" spans="2:2">
      <c r="B33086" s="62" t="str">
        <f>IF(AND('领用录入（明细）'!D:D=$F$4,'领用录入（明细）'!C:C&gt;=$J$4,'领用录入（明细）'!C:C&lt;=$L$4),ROW(),"-")</f>
        <v>-</v>
      </c>
    </row>
    <row r="33087" customHeight="1" spans="2:2">
      <c r="B33087" s="62" t="str">
        <f>IF(AND('领用录入（明细）'!D:D=$F$4,'领用录入（明细）'!C:C&gt;=$J$4,'领用录入（明细）'!C:C&lt;=$L$4),ROW(),"-")</f>
        <v>-</v>
      </c>
    </row>
    <row r="33088" customHeight="1" spans="2:2">
      <c r="B33088" s="62" t="str">
        <f>IF(AND('领用录入（明细）'!D:D=$F$4,'领用录入（明细）'!C:C&gt;=$J$4,'领用录入（明细）'!C:C&lt;=$L$4),ROW(),"-")</f>
        <v>-</v>
      </c>
    </row>
    <row r="33089" customHeight="1" spans="2:2">
      <c r="B33089" s="62" t="str">
        <f>IF(AND('领用录入（明细）'!D:D=$F$4,'领用录入（明细）'!C:C&gt;=$J$4,'领用录入（明细）'!C:C&lt;=$L$4),ROW(),"-")</f>
        <v>-</v>
      </c>
    </row>
    <row r="33090" customHeight="1" spans="2:2">
      <c r="B33090" s="62" t="str">
        <f>IF(AND('领用录入（明细）'!D:D=$F$4,'领用录入（明细）'!C:C&gt;=$J$4,'领用录入（明细）'!C:C&lt;=$L$4),ROW(),"-")</f>
        <v>-</v>
      </c>
    </row>
    <row r="33091" customHeight="1" spans="2:2">
      <c r="B33091" s="62" t="str">
        <f>IF(AND('领用录入（明细）'!D:D=$F$4,'领用录入（明细）'!C:C&gt;=$J$4,'领用录入（明细）'!C:C&lt;=$L$4),ROW(),"-")</f>
        <v>-</v>
      </c>
    </row>
    <row r="33092" customHeight="1" spans="2:2">
      <c r="B33092" s="62" t="str">
        <f>IF(AND('领用录入（明细）'!D:D=$F$4,'领用录入（明细）'!C:C&gt;=$J$4,'领用录入（明细）'!C:C&lt;=$L$4),ROW(),"-")</f>
        <v>-</v>
      </c>
    </row>
    <row r="33093" customHeight="1" spans="2:2">
      <c r="B33093" s="62" t="str">
        <f>IF(AND('领用录入（明细）'!D:D=$F$4,'领用录入（明细）'!C:C&gt;=$J$4,'领用录入（明细）'!C:C&lt;=$L$4),ROW(),"-")</f>
        <v>-</v>
      </c>
    </row>
    <row r="33094" customHeight="1" spans="2:2">
      <c r="B33094" s="62" t="str">
        <f>IF(AND('领用录入（明细）'!D:D=$F$4,'领用录入（明细）'!C:C&gt;=$J$4,'领用录入（明细）'!C:C&lt;=$L$4),ROW(),"-")</f>
        <v>-</v>
      </c>
    </row>
    <row r="33095" customHeight="1" spans="2:2">
      <c r="B33095" s="62" t="str">
        <f>IF(AND('领用录入（明细）'!D:D=$F$4,'领用录入（明细）'!C:C&gt;=$J$4,'领用录入（明细）'!C:C&lt;=$L$4),ROW(),"-")</f>
        <v>-</v>
      </c>
    </row>
    <row r="33096" customHeight="1" spans="2:2">
      <c r="B33096" s="62" t="str">
        <f>IF(AND('领用录入（明细）'!D:D=$F$4,'领用录入（明细）'!C:C&gt;=$J$4,'领用录入（明细）'!C:C&lt;=$L$4),ROW(),"-")</f>
        <v>-</v>
      </c>
    </row>
    <row r="33097" customHeight="1" spans="2:2">
      <c r="B33097" s="62" t="str">
        <f>IF(AND('领用录入（明细）'!D:D=$F$4,'领用录入（明细）'!C:C&gt;=$J$4,'领用录入（明细）'!C:C&lt;=$L$4),ROW(),"-")</f>
        <v>-</v>
      </c>
    </row>
    <row r="33098" customHeight="1" spans="2:2">
      <c r="B33098" s="62" t="str">
        <f>IF(AND('领用录入（明细）'!D:D=$F$4,'领用录入（明细）'!C:C&gt;=$J$4,'领用录入（明细）'!C:C&lt;=$L$4),ROW(),"-")</f>
        <v>-</v>
      </c>
    </row>
    <row r="33099" customHeight="1" spans="2:2">
      <c r="B33099" s="62" t="str">
        <f>IF(AND('领用录入（明细）'!D:D=$F$4,'领用录入（明细）'!C:C&gt;=$J$4,'领用录入（明细）'!C:C&lt;=$L$4),ROW(),"-")</f>
        <v>-</v>
      </c>
    </row>
    <row r="33100" customHeight="1" spans="2:2">
      <c r="B33100" s="62" t="str">
        <f>IF(AND('领用录入（明细）'!D:D=$F$4,'领用录入（明细）'!C:C&gt;=$J$4,'领用录入（明细）'!C:C&lt;=$L$4),ROW(),"-")</f>
        <v>-</v>
      </c>
    </row>
    <row r="33101" customHeight="1" spans="2:2">
      <c r="B33101" s="62" t="str">
        <f>IF(AND('领用录入（明细）'!D:D=$F$4,'领用录入（明细）'!C:C&gt;=$J$4,'领用录入（明细）'!C:C&lt;=$L$4),ROW(),"-")</f>
        <v>-</v>
      </c>
    </row>
    <row r="33102" customHeight="1" spans="2:2">
      <c r="B33102" s="62" t="str">
        <f>IF(AND('领用录入（明细）'!D:D=$F$4,'领用录入（明细）'!C:C&gt;=$J$4,'领用录入（明细）'!C:C&lt;=$L$4),ROW(),"-")</f>
        <v>-</v>
      </c>
    </row>
    <row r="33103" customHeight="1" spans="2:2">
      <c r="B33103" s="62" t="str">
        <f>IF(AND('领用录入（明细）'!D:D=$F$4,'领用录入（明细）'!C:C&gt;=$J$4,'领用录入（明细）'!C:C&lt;=$L$4),ROW(),"-")</f>
        <v>-</v>
      </c>
    </row>
    <row r="33104" customHeight="1" spans="2:2">
      <c r="B33104" s="62" t="str">
        <f>IF(AND('领用录入（明细）'!D:D=$F$4,'领用录入（明细）'!C:C&gt;=$J$4,'领用录入（明细）'!C:C&lt;=$L$4),ROW(),"-")</f>
        <v>-</v>
      </c>
    </row>
    <row r="33105" customHeight="1" spans="2:2">
      <c r="B33105" s="62" t="str">
        <f>IF(AND('领用录入（明细）'!D:D=$F$4,'领用录入（明细）'!C:C&gt;=$J$4,'领用录入（明细）'!C:C&lt;=$L$4),ROW(),"-")</f>
        <v>-</v>
      </c>
    </row>
    <row r="33106" customHeight="1" spans="2:2">
      <c r="B33106" s="62" t="str">
        <f>IF(AND('领用录入（明细）'!D:D=$F$4,'领用录入（明细）'!C:C&gt;=$J$4,'领用录入（明细）'!C:C&lt;=$L$4),ROW(),"-")</f>
        <v>-</v>
      </c>
    </row>
    <row r="33107" customHeight="1" spans="2:2">
      <c r="B33107" s="62" t="str">
        <f>IF(AND('领用录入（明细）'!D:D=$F$4,'领用录入（明细）'!C:C&gt;=$J$4,'领用录入（明细）'!C:C&lt;=$L$4),ROW(),"-")</f>
        <v>-</v>
      </c>
    </row>
    <row r="33108" customHeight="1" spans="2:2">
      <c r="B33108" s="62" t="str">
        <f>IF(AND('领用录入（明细）'!D:D=$F$4,'领用录入（明细）'!C:C&gt;=$J$4,'领用录入（明细）'!C:C&lt;=$L$4),ROW(),"-")</f>
        <v>-</v>
      </c>
    </row>
    <row r="33109" customHeight="1" spans="2:2">
      <c r="B33109" s="62" t="str">
        <f>IF(AND('领用录入（明细）'!D:D=$F$4,'领用录入（明细）'!C:C&gt;=$J$4,'领用录入（明细）'!C:C&lt;=$L$4),ROW(),"-")</f>
        <v>-</v>
      </c>
    </row>
    <row r="33110" customHeight="1" spans="2:2">
      <c r="B33110" s="62" t="str">
        <f>IF(AND('领用录入（明细）'!D:D=$F$4,'领用录入（明细）'!C:C&gt;=$J$4,'领用录入（明细）'!C:C&lt;=$L$4),ROW(),"-")</f>
        <v>-</v>
      </c>
    </row>
    <row r="33111" customHeight="1" spans="2:2">
      <c r="B33111" s="62" t="str">
        <f>IF(AND('领用录入（明细）'!D:D=$F$4,'领用录入（明细）'!C:C&gt;=$J$4,'领用录入（明细）'!C:C&lt;=$L$4),ROW(),"-")</f>
        <v>-</v>
      </c>
    </row>
    <row r="33112" customHeight="1" spans="2:2">
      <c r="B33112" s="62" t="str">
        <f>IF(AND('领用录入（明细）'!D:D=$F$4,'领用录入（明细）'!C:C&gt;=$J$4,'领用录入（明细）'!C:C&lt;=$L$4),ROW(),"-")</f>
        <v>-</v>
      </c>
    </row>
    <row r="33113" customHeight="1" spans="2:2">
      <c r="B33113" s="62" t="str">
        <f>IF(AND('领用录入（明细）'!D:D=$F$4,'领用录入（明细）'!C:C&gt;=$J$4,'领用录入（明细）'!C:C&lt;=$L$4),ROW(),"-")</f>
        <v>-</v>
      </c>
    </row>
    <row r="33114" customHeight="1" spans="2:2">
      <c r="B33114" s="62" t="str">
        <f>IF(AND('领用录入（明细）'!D:D=$F$4,'领用录入（明细）'!C:C&gt;=$J$4,'领用录入（明细）'!C:C&lt;=$L$4),ROW(),"-")</f>
        <v>-</v>
      </c>
    </row>
    <row r="33115" customHeight="1" spans="2:2">
      <c r="B33115" s="62" t="str">
        <f>IF(AND('领用录入（明细）'!D:D=$F$4,'领用录入（明细）'!C:C&gt;=$J$4,'领用录入（明细）'!C:C&lt;=$L$4),ROW(),"-")</f>
        <v>-</v>
      </c>
    </row>
    <row r="33116" customHeight="1" spans="2:2">
      <c r="B33116" s="62" t="str">
        <f>IF(AND('领用录入（明细）'!D:D=$F$4,'领用录入（明细）'!C:C&gt;=$J$4,'领用录入（明细）'!C:C&lt;=$L$4),ROW(),"-")</f>
        <v>-</v>
      </c>
    </row>
    <row r="33117" customHeight="1" spans="2:2">
      <c r="B33117" s="62" t="str">
        <f>IF(AND('领用录入（明细）'!D:D=$F$4,'领用录入（明细）'!C:C&gt;=$J$4,'领用录入（明细）'!C:C&lt;=$L$4),ROW(),"-")</f>
        <v>-</v>
      </c>
    </row>
    <row r="33118" customHeight="1" spans="2:2">
      <c r="B33118" s="62" t="str">
        <f>IF(AND('领用录入（明细）'!D:D=$F$4,'领用录入（明细）'!C:C&gt;=$J$4,'领用录入（明细）'!C:C&lt;=$L$4),ROW(),"-")</f>
        <v>-</v>
      </c>
    </row>
    <row r="33119" customHeight="1" spans="2:2">
      <c r="B33119" s="62" t="str">
        <f>IF(AND('领用录入（明细）'!D:D=$F$4,'领用录入（明细）'!C:C&gt;=$J$4,'领用录入（明细）'!C:C&lt;=$L$4),ROW(),"-")</f>
        <v>-</v>
      </c>
    </row>
    <row r="33120" customHeight="1" spans="2:2">
      <c r="B33120" s="62" t="str">
        <f>IF(AND('领用录入（明细）'!D:D=$F$4,'领用录入（明细）'!C:C&gt;=$J$4,'领用录入（明细）'!C:C&lt;=$L$4),ROW(),"-")</f>
        <v>-</v>
      </c>
    </row>
    <row r="33121" customHeight="1" spans="2:2">
      <c r="B33121" s="62" t="str">
        <f>IF(AND('领用录入（明细）'!D:D=$F$4,'领用录入（明细）'!C:C&gt;=$J$4,'领用录入（明细）'!C:C&lt;=$L$4),ROW(),"-")</f>
        <v>-</v>
      </c>
    </row>
    <row r="33122" customHeight="1" spans="2:2">
      <c r="B33122" s="62" t="str">
        <f>IF(AND('领用录入（明细）'!D:D=$F$4,'领用录入（明细）'!C:C&gt;=$J$4,'领用录入（明细）'!C:C&lt;=$L$4),ROW(),"-")</f>
        <v>-</v>
      </c>
    </row>
    <row r="33123" customHeight="1" spans="2:2">
      <c r="B33123" s="62" t="str">
        <f>IF(AND('领用录入（明细）'!D:D=$F$4,'领用录入（明细）'!C:C&gt;=$J$4,'领用录入（明细）'!C:C&lt;=$L$4),ROW(),"-")</f>
        <v>-</v>
      </c>
    </row>
    <row r="33124" customHeight="1" spans="2:2">
      <c r="B33124" s="62" t="str">
        <f>IF(AND('领用录入（明细）'!D:D=$F$4,'领用录入（明细）'!C:C&gt;=$J$4,'领用录入（明细）'!C:C&lt;=$L$4),ROW(),"-")</f>
        <v>-</v>
      </c>
    </row>
    <row r="33125" customHeight="1" spans="2:2">
      <c r="B33125" s="62" t="str">
        <f>IF(AND('领用录入（明细）'!D:D=$F$4,'领用录入（明细）'!C:C&gt;=$J$4,'领用录入（明细）'!C:C&lt;=$L$4),ROW(),"-")</f>
        <v>-</v>
      </c>
    </row>
    <row r="33126" customHeight="1" spans="2:2">
      <c r="B33126" s="62" t="str">
        <f>IF(AND('领用录入（明细）'!D:D=$F$4,'领用录入（明细）'!C:C&gt;=$J$4,'领用录入（明细）'!C:C&lt;=$L$4),ROW(),"-")</f>
        <v>-</v>
      </c>
    </row>
    <row r="33127" customHeight="1" spans="2:2">
      <c r="B33127" s="62" t="str">
        <f>IF(AND('领用录入（明细）'!D:D=$F$4,'领用录入（明细）'!C:C&gt;=$J$4,'领用录入（明细）'!C:C&lt;=$L$4),ROW(),"-")</f>
        <v>-</v>
      </c>
    </row>
    <row r="33128" customHeight="1" spans="2:2">
      <c r="B33128" s="62" t="str">
        <f>IF(AND('领用录入（明细）'!D:D=$F$4,'领用录入（明细）'!C:C&gt;=$J$4,'领用录入（明细）'!C:C&lt;=$L$4),ROW(),"-")</f>
        <v>-</v>
      </c>
    </row>
    <row r="33129" customHeight="1" spans="2:2">
      <c r="B33129" s="62" t="str">
        <f>IF(AND('领用录入（明细）'!D:D=$F$4,'领用录入（明细）'!C:C&gt;=$J$4,'领用录入（明细）'!C:C&lt;=$L$4),ROW(),"-")</f>
        <v>-</v>
      </c>
    </row>
    <row r="33130" customHeight="1" spans="2:2">
      <c r="B33130" s="62" t="str">
        <f>IF(AND('领用录入（明细）'!D:D=$F$4,'领用录入（明细）'!C:C&gt;=$J$4,'领用录入（明细）'!C:C&lt;=$L$4),ROW(),"-")</f>
        <v>-</v>
      </c>
    </row>
    <row r="33131" customHeight="1" spans="2:2">
      <c r="B33131" s="62" t="str">
        <f>IF(AND('领用录入（明细）'!D:D=$F$4,'领用录入（明细）'!C:C&gt;=$J$4,'领用录入（明细）'!C:C&lt;=$L$4),ROW(),"-")</f>
        <v>-</v>
      </c>
    </row>
    <row r="33132" customHeight="1" spans="2:2">
      <c r="B33132" s="62" t="str">
        <f>IF(AND('领用录入（明细）'!D:D=$F$4,'领用录入（明细）'!C:C&gt;=$J$4,'领用录入（明细）'!C:C&lt;=$L$4),ROW(),"-")</f>
        <v>-</v>
      </c>
    </row>
    <row r="33133" customHeight="1" spans="2:2">
      <c r="B33133" s="62" t="str">
        <f>IF(AND('领用录入（明细）'!D:D=$F$4,'领用录入（明细）'!C:C&gt;=$J$4,'领用录入（明细）'!C:C&lt;=$L$4),ROW(),"-")</f>
        <v>-</v>
      </c>
    </row>
    <row r="33134" customHeight="1" spans="2:2">
      <c r="B33134" s="62" t="str">
        <f>IF(AND('领用录入（明细）'!D:D=$F$4,'领用录入（明细）'!C:C&gt;=$J$4,'领用录入（明细）'!C:C&lt;=$L$4),ROW(),"-")</f>
        <v>-</v>
      </c>
    </row>
    <row r="33135" customHeight="1" spans="2:2">
      <c r="B33135" s="62" t="str">
        <f>IF(AND('领用录入（明细）'!D:D=$F$4,'领用录入（明细）'!C:C&gt;=$J$4,'领用录入（明细）'!C:C&lt;=$L$4),ROW(),"-")</f>
        <v>-</v>
      </c>
    </row>
    <row r="33136" customHeight="1" spans="2:2">
      <c r="B33136" s="62" t="str">
        <f>IF(AND('领用录入（明细）'!D:D=$F$4,'领用录入（明细）'!C:C&gt;=$J$4,'领用录入（明细）'!C:C&lt;=$L$4),ROW(),"-")</f>
        <v>-</v>
      </c>
    </row>
    <row r="33137" customHeight="1" spans="2:2">
      <c r="B33137" s="62" t="str">
        <f>IF(AND('领用录入（明细）'!D:D=$F$4,'领用录入（明细）'!C:C&gt;=$J$4,'领用录入（明细）'!C:C&lt;=$L$4),ROW(),"-")</f>
        <v>-</v>
      </c>
    </row>
    <row r="33138" customHeight="1" spans="2:2">
      <c r="B33138" s="62" t="str">
        <f>IF(AND('领用录入（明细）'!D:D=$F$4,'领用录入（明细）'!C:C&gt;=$J$4,'领用录入（明细）'!C:C&lt;=$L$4),ROW(),"-")</f>
        <v>-</v>
      </c>
    </row>
    <row r="33139" customHeight="1" spans="2:2">
      <c r="B33139" s="62" t="str">
        <f>IF(AND('领用录入（明细）'!D:D=$F$4,'领用录入（明细）'!C:C&gt;=$J$4,'领用录入（明细）'!C:C&lt;=$L$4),ROW(),"-")</f>
        <v>-</v>
      </c>
    </row>
    <row r="33140" customHeight="1" spans="2:2">
      <c r="B33140" s="62" t="str">
        <f>IF(AND('领用录入（明细）'!D:D=$F$4,'领用录入（明细）'!C:C&gt;=$J$4,'领用录入（明细）'!C:C&lt;=$L$4),ROW(),"-")</f>
        <v>-</v>
      </c>
    </row>
    <row r="33141" customHeight="1" spans="2:2">
      <c r="B33141" s="62" t="str">
        <f>IF(AND('领用录入（明细）'!D:D=$F$4,'领用录入（明细）'!C:C&gt;=$J$4,'领用录入（明细）'!C:C&lt;=$L$4),ROW(),"-")</f>
        <v>-</v>
      </c>
    </row>
    <row r="33142" customHeight="1" spans="2:2">
      <c r="B33142" s="62" t="str">
        <f>IF(AND('领用录入（明细）'!D:D=$F$4,'领用录入（明细）'!C:C&gt;=$J$4,'领用录入（明细）'!C:C&lt;=$L$4),ROW(),"-")</f>
        <v>-</v>
      </c>
    </row>
    <row r="33143" customHeight="1" spans="2:2">
      <c r="B33143" s="62" t="str">
        <f>IF(AND('领用录入（明细）'!D:D=$F$4,'领用录入（明细）'!C:C&gt;=$J$4,'领用录入（明细）'!C:C&lt;=$L$4),ROW(),"-")</f>
        <v>-</v>
      </c>
    </row>
    <row r="33144" customHeight="1" spans="2:2">
      <c r="B33144" s="62" t="str">
        <f>IF(AND('领用录入（明细）'!D:D=$F$4,'领用录入（明细）'!C:C&gt;=$J$4,'领用录入（明细）'!C:C&lt;=$L$4),ROW(),"-")</f>
        <v>-</v>
      </c>
    </row>
    <row r="33145" customHeight="1" spans="2:2">
      <c r="B33145" s="62" t="str">
        <f>IF(AND('领用录入（明细）'!D:D=$F$4,'领用录入（明细）'!C:C&gt;=$J$4,'领用录入（明细）'!C:C&lt;=$L$4),ROW(),"-")</f>
        <v>-</v>
      </c>
    </row>
    <row r="33146" customHeight="1" spans="2:2">
      <c r="B33146" s="62" t="str">
        <f>IF(AND('领用录入（明细）'!D:D=$F$4,'领用录入（明细）'!C:C&gt;=$J$4,'领用录入（明细）'!C:C&lt;=$L$4),ROW(),"-")</f>
        <v>-</v>
      </c>
    </row>
    <row r="33147" customHeight="1" spans="2:2">
      <c r="B33147" s="62" t="str">
        <f>IF(AND('领用录入（明细）'!D:D=$F$4,'领用录入（明细）'!C:C&gt;=$J$4,'领用录入（明细）'!C:C&lt;=$L$4),ROW(),"-")</f>
        <v>-</v>
      </c>
    </row>
    <row r="33148" customHeight="1" spans="2:2">
      <c r="B33148" s="62" t="str">
        <f>IF(AND('领用录入（明细）'!D:D=$F$4,'领用录入（明细）'!C:C&gt;=$J$4,'领用录入（明细）'!C:C&lt;=$L$4),ROW(),"-")</f>
        <v>-</v>
      </c>
    </row>
    <row r="33149" customHeight="1" spans="2:2">
      <c r="B33149" s="62" t="str">
        <f>IF(AND('领用录入（明细）'!D:D=$F$4,'领用录入（明细）'!C:C&gt;=$J$4,'领用录入（明细）'!C:C&lt;=$L$4),ROW(),"-")</f>
        <v>-</v>
      </c>
    </row>
    <row r="33150" customHeight="1" spans="2:2">
      <c r="B33150" s="62" t="str">
        <f>IF(AND('领用录入（明细）'!D:D=$F$4,'领用录入（明细）'!C:C&gt;=$J$4,'领用录入（明细）'!C:C&lt;=$L$4),ROW(),"-")</f>
        <v>-</v>
      </c>
    </row>
    <row r="33151" customHeight="1" spans="2:2">
      <c r="B33151" s="62" t="str">
        <f>IF(AND('领用录入（明细）'!D:D=$F$4,'领用录入（明细）'!C:C&gt;=$J$4,'领用录入（明细）'!C:C&lt;=$L$4),ROW(),"-")</f>
        <v>-</v>
      </c>
    </row>
    <row r="33152" customHeight="1" spans="2:2">
      <c r="B33152" s="62" t="str">
        <f>IF(AND('领用录入（明细）'!D:D=$F$4,'领用录入（明细）'!C:C&gt;=$J$4,'领用录入（明细）'!C:C&lt;=$L$4),ROW(),"-")</f>
        <v>-</v>
      </c>
    </row>
    <row r="33153" customHeight="1" spans="2:2">
      <c r="B33153" s="62" t="str">
        <f>IF(AND('领用录入（明细）'!D:D=$F$4,'领用录入（明细）'!C:C&gt;=$J$4,'领用录入（明细）'!C:C&lt;=$L$4),ROW(),"-")</f>
        <v>-</v>
      </c>
    </row>
    <row r="33154" customHeight="1" spans="2:2">
      <c r="B33154" s="62" t="str">
        <f>IF(AND('领用录入（明细）'!D:D=$F$4,'领用录入（明细）'!C:C&gt;=$J$4,'领用录入（明细）'!C:C&lt;=$L$4),ROW(),"-")</f>
        <v>-</v>
      </c>
    </row>
    <row r="33155" customHeight="1" spans="2:2">
      <c r="B33155" s="62" t="str">
        <f>IF(AND('领用录入（明细）'!D:D=$F$4,'领用录入（明细）'!C:C&gt;=$J$4,'领用录入（明细）'!C:C&lt;=$L$4),ROW(),"-")</f>
        <v>-</v>
      </c>
    </row>
    <row r="33156" customHeight="1" spans="2:2">
      <c r="B33156" s="62" t="str">
        <f>IF(AND('领用录入（明细）'!D:D=$F$4,'领用录入（明细）'!C:C&gt;=$J$4,'领用录入（明细）'!C:C&lt;=$L$4),ROW(),"-")</f>
        <v>-</v>
      </c>
    </row>
    <row r="33157" customHeight="1" spans="2:2">
      <c r="B33157" s="62" t="str">
        <f>IF(AND('领用录入（明细）'!D:D=$F$4,'领用录入（明细）'!C:C&gt;=$J$4,'领用录入（明细）'!C:C&lt;=$L$4),ROW(),"-")</f>
        <v>-</v>
      </c>
    </row>
    <row r="33158" customHeight="1" spans="2:2">
      <c r="B33158" s="62" t="str">
        <f>IF(AND('领用录入（明细）'!D:D=$F$4,'领用录入（明细）'!C:C&gt;=$J$4,'领用录入（明细）'!C:C&lt;=$L$4),ROW(),"-")</f>
        <v>-</v>
      </c>
    </row>
    <row r="33159" customHeight="1" spans="2:2">
      <c r="B33159" s="62" t="str">
        <f>IF(AND('领用录入（明细）'!D:D=$F$4,'领用录入（明细）'!C:C&gt;=$J$4,'领用录入（明细）'!C:C&lt;=$L$4),ROW(),"-")</f>
        <v>-</v>
      </c>
    </row>
    <row r="33160" customHeight="1" spans="2:2">
      <c r="B33160" s="62" t="str">
        <f>IF(AND('领用录入（明细）'!D:D=$F$4,'领用录入（明细）'!C:C&gt;=$J$4,'领用录入（明细）'!C:C&lt;=$L$4),ROW(),"-")</f>
        <v>-</v>
      </c>
    </row>
    <row r="33161" customHeight="1" spans="2:2">
      <c r="B33161" s="62" t="str">
        <f>IF(AND('领用录入（明细）'!D:D=$F$4,'领用录入（明细）'!C:C&gt;=$J$4,'领用录入（明细）'!C:C&lt;=$L$4),ROW(),"-")</f>
        <v>-</v>
      </c>
    </row>
    <row r="33162" customHeight="1" spans="2:2">
      <c r="B33162" s="62" t="str">
        <f>IF(AND('领用录入（明细）'!D:D=$F$4,'领用录入（明细）'!C:C&gt;=$J$4,'领用录入（明细）'!C:C&lt;=$L$4),ROW(),"-")</f>
        <v>-</v>
      </c>
    </row>
    <row r="33163" customHeight="1" spans="2:2">
      <c r="B33163" s="62" t="str">
        <f>IF(AND('领用录入（明细）'!D:D=$F$4,'领用录入（明细）'!C:C&gt;=$J$4,'领用录入（明细）'!C:C&lt;=$L$4),ROW(),"-")</f>
        <v>-</v>
      </c>
    </row>
    <row r="33164" customHeight="1" spans="2:2">
      <c r="B33164" s="62" t="str">
        <f>IF(AND('领用录入（明细）'!D:D=$F$4,'领用录入（明细）'!C:C&gt;=$J$4,'领用录入（明细）'!C:C&lt;=$L$4),ROW(),"-")</f>
        <v>-</v>
      </c>
    </row>
    <row r="33165" customHeight="1" spans="2:2">
      <c r="B33165" s="62" t="str">
        <f>IF(AND('领用录入（明细）'!D:D=$F$4,'领用录入（明细）'!C:C&gt;=$J$4,'领用录入（明细）'!C:C&lt;=$L$4),ROW(),"-")</f>
        <v>-</v>
      </c>
    </row>
    <row r="33166" customHeight="1" spans="2:2">
      <c r="B33166" s="62" t="str">
        <f>IF(AND('领用录入（明细）'!D:D=$F$4,'领用录入（明细）'!C:C&gt;=$J$4,'领用录入（明细）'!C:C&lt;=$L$4),ROW(),"-")</f>
        <v>-</v>
      </c>
    </row>
    <row r="33167" customHeight="1" spans="2:2">
      <c r="B33167" s="62" t="str">
        <f>IF(AND('领用录入（明细）'!D:D=$F$4,'领用录入（明细）'!C:C&gt;=$J$4,'领用录入（明细）'!C:C&lt;=$L$4),ROW(),"-")</f>
        <v>-</v>
      </c>
    </row>
    <row r="33168" customHeight="1" spans="2:2">
      <c r="B33168" s="62" t="str">
        <f>IF(AND('领用录入（明细）'!D:D=$F$4,'领用录入（明细）'!C:C&gt;=$J$4,'领用录入（明细）'!C:C&lt;=$L$4),ROW(),"-")</f>
        <v>-</v>
      </c>
    </row>
    <row r="33169" customHeight="1" spans="2:2">
      <c r="B33169" s="62" t="str">
        <f>IF(AND('领用录入（明细）'!D:D=$F$4,'领用录入（明细）'!C:C&gt;=$J$4,'领用录入（明细）'!C:C&lt;=$L$4),ROW(),"-")</f>
        <v>-</v>
      </c>
    </row>
    <row r="33170" customHeight="1" spans="2:2">
      <c r="B33170" s="62" t="str">
        <f>IF(AND('领用录入（明细）'!D:D=$F$4,'领用录入（明细）'!C:C&gt;=$J$4,'领用录入（明细）'!C:C&lt;=$L$4),ROW(),"-")</f>
        <v>-</v>
      </c>
    </row>
    <row r="33171" customHeight="1" spans="2:2">
      <c r="B33171" s="62" t="str">
        <f>IF(AND('领用录入（明细）'!D:D=$F$4,'领用录入（明细）'!C:C&gt;=$J$4,'领用录入（明细）'!C:C&lt;=$L$4),ROW(),"-")</f>
        <v>-</v>
      </c>
    </row>
    <row r="33172" customHeight="1" spans="2:2">
      <c r="B33172" s="62" t="str">
        <f>IF(AND('领用录入（明细）'!D:D=$F$4,'领用录入（明细）'!C:C&gt;=$J$4,'领用录入（明细）'!C:C&lt;=$L$4),ROW(),"-")</f>
        <v>-</v>
      </c>
    </row>
    <row r="33173" customHeight="1" spans="2:2">
      <c r="B33173" s="62" t="str">
        <f>IF(AND('领用录入（明细）'!D:D=$F$4,'领用录入（明细）'!C:C&gt;=$J$4,'领用录入（明细）'!C:C&lt;=$L$4),ROW(),"-")</f>
        <v>-</v>
      </c>
    </row>
    <row r="33174" customHeight="1" spans="2:2">
      <c r="B33174" s="62" t="str">
        <f>IF(AND('领用录入（明细）'!D:D=$F$4,'领用录入（明细）'!C:C&gt;=$J$4,'领用录入（明细）'!C:C&lt;=$L$4),ROW(),"-")</f>
        <v>-</v>
      </c>
    </row>
    <row r="33175" customHeight="1" spans="2:2">
      <c r="B33175" s="62" t="str">
        <f>IF(AND('领用录入（明细）'!D:D=$F$4,'领用录入（明细）'!C:C&gt;=$J$4,'领用录入（明细）'!C:C&lt;=$L$4),ROW(),"-")</f>
        <v>-</v>
      </c>
    </row>
    <row r="33176" customHeight="1" spans="2:2">
      <c r="B33176" s="62" t="str">
        <f>IF(AND('领用录入（明细）'!D:D=$F$4,'领用录入（明细）'!C:C&gt;=$J$4,'领用录入（明细）'!C:C&lt;=$L$4),ROW(),"-")</f>
        <v>-</v>
      </c>
    </row>
    <row r="33177" customHeight="1" spans="2:2">
      <c r="B33177" s="62" t="str">
        <f>IF(AND('领用录入（明细）'!D:D=$F$4,'领用录入（明细）'!C:C&gt;=$J$4,'领用录入（明细）'!C:C&lt;=$L$4),ROW(),"-")</f>
        <v>-</v>
      </c>
    </row>
    <row r="33178" customHeight="1" spans="2:2">
      <c r="B33178" s="62" t="str">
        <f>IF(AND('领用录入（明细）'!D:D=$F$4,'领用录入（明细）'!C:C&gt;=$J$4,'领用录入（明细）'!C:C&lt;=$L$4),ROW(),"-")</f>
        <v>-</v>
      </c>
    </row>
    <row r="33179" customHeight="1" spans="2:2">
      <c r="B33179" s="62" t="str">
        <f>IF(AND('领用录入（明细）'!D:D=$F$4,'领用录入（明细）'!C:C&gt;=$J$4,'领用录入（明细）'!C:C&lt;=$L$4),ROW(),"-")</f>
        <v>-</v>
      </c>
    </row>
    <row r="33180" customHeight="1" spans="2:2">
      <c r="B33180" s="62" t="str">
        <f>IF(AND('领用录入（明细）'!D:D=$F$4,'领用录入（明细）'!C:C&gt;=$J$4,'领用录入（明细）'!C:C&lt;=$L$4),ROW(),"-")</f>
        <v>-</v>
      </c>
    </row>
    <row r="33181" customHeight="1" spans="2:2">
      <c r="B33181" s="62" t="str">
        <f>IF(AND('领用录入（明细）'!D:D=$F$4,'领用录入（明细）'!C:C&gt;=$J$4,'领用录入（明细）'!C:C&lt;=$L$4),ROW(),"-")</f>
        <v>-</v>
      </c>
    </row>
    <row r="33182" customHeight="1" spans="2:2">
      <c r="B33182" s="62" t="str">
        <f>IF(AND('领用录入（明细）'!D:D=$F$4,'领用录入（明细）'!C:C&gt;=$J$4,'领用录入（明细）'!C:C&lt;=$L$4),ROW(),"-")</f>
        <v>-</v>
      </c>
    </row>
    <row r="33183" customHeight="1" spans="2:2">
      <c r="B33183" s="62" t="str">
        <f>IF(AND('领用录入（明细）'!D:D=$F$4,'领用录入（明细）'!C:C&gt;=$J$4,'领用录入（明细）'!C:C&lt;=$L$4),ROW(),"-")</f>
        <v>-</v>
      </c>
    </row>
    <row r="33184" customHeight="1" spans="2:2">
      <c r="B33184" s="62" t="str">
        <f>IF(AND('领用录入（明细）'!D:D=$F$4,'领用录入（明细）'!C:C&gt;=$J$4,'领用录入（明细）'!C:C&lt;=$L$4),ROW(),"-")</f>
        <v>-</v>
      </c>
    </row>
    <row r="33185" customHeight="1" spans="2:2">
      <c r="B33185" s="62" t="str">
        <f>IF(AND('领用录入（明细）'!D:D=$F$4,'领用录入（明细）'!C:C&gt;=$J$4,'领用录入（明细）'!C:C&lt;=$L$4),ROW(),"-")</f>
        <v>-</v>
      </c>
    </row>
    <row r="33186" customHeight="1" spans="2:2">
      <c r="B33186" s="62" t="str">
        <f>IF(AND('领用录入（明细）'!D:D=$F$4,'领用录入（明细）'!C:C&gt;=$J$4,'领用录入（明细）'!C:C&lt;=$L$4),ROW(),"-")</f>
        <v>-</v>
      </c>
    </row>
    <row r="33187" customHeight="1" spans="2:2">
      <c r="B33187" s="62" t="str">
        <f>IF(AND('领用录入（明细）'!D:D=$F$4,'领用录入（明细）'!C:C&gt;=$J$4,'领用录入（明细）'!C:C&lt;=$L$4),ROW(),"-")</f>
        <v>-</v>
      </c>
    </row>
    <row r="33188" customHeight="1" spans="2:2">
      <c r="B33188" s="62" t="str">
        <f>IF(AND('领用录入（明细）'!D:D=$F$4,'领用录入（明细）'!C:C&gt;=$J$4,'领用录入（明细）'!C:C&lt;=$L$4),ROW(),"-")</f>
        <v>-</v>
      </c>
    </row>
    <row r="33189" customHeight="1" spans="2:2">
      <c r="B33189" s="62" t="str">
        <f>IF(AND('领用录入（明细）'!D:D=$F$4,'领用录入（明细）'!C:C&gt;=$J$4,'领用录入（明细）'!C:C&lt;=$L$4),ROW(),"-")</f>
        <v>-</v>
      </c>
    </row>
    <row r="33190" customHeight="1" spans="2:2">
      <c r="B33190" s="62" t="str">
        <f>IF(AND('领用录入（明细）'!D:D=$F$4,'领用录入（明细）'!C:C&gt;=$J$4,'领用录入（明细）'!C:C&lt;=$L$4),ROW(),"-")</f>
        <v>-</v>
      </c>
    </row>
    <row r="33191" customHeight="1" spans="2:2">
      <c r="B33191" s="62" t="str">
        <f>IF(AND('领用录入（明细）'!D:D=$F$4,'领用录入（明细）'!C:C&gt;=$J$4,'领用录入（明细）'!C:C&lt;=$L$4),ROW(),"-")</f>
        <v>-</v>
      </c>
    </row>
    <row r="33192" customHeight="1" spans="2:2">
      <c r="B33192" s="62" t="str">
        <f>IF(AND('领用录入（明细）'!D:D=$F$4,'领用录入（明细）'!C:C&gt;=$J$4,'领用录入（明细）'!C:C&lt;=$L$4),ROW(),"-")</f>
        <v>-</v>
      </c>
    </row>
    <row r="33193" customHeight="1" spans="2:2">
      <c r="B33193" s="62" t="str">
        <f>IF(AND('领用录入（明细）'!D:D=$F$4,'领用录入（明细）'!C:C&gt;=$J$4,'领用录入（明细）'!C:C&lt;=$L$4),ROW(),"-")</f>
        <v>-</v>
      </c>
    </row>
    <row r="33194" customHeight="1" spans="2:2">
      <c r="B33194" s="62" t="str">
        <f>IF(AND('领用录入（明细）'!D:D=$F$4,'领用录入（明细）'!C:C&gt;=$J$4,'领用录入（明细）'!C:C&lt;=$L$4),ROW(),"-")</f>
        <v>-</v>
      </c>
    </row>
    <row r="33195" customHeight="1" spans="2:2">
      <c r="B33195" s="62" t="str">
        <f>IF(AND('领用录入（明细）'!D:D=$F$4,'领用录入（明细）'!C:C&gt;=$J$4,'领用录入（明细）'!C:C&lt;=$L$4),ROW(),"-")</f>
        <v>-</v>
      </c>
    </row>
    <row r="33196" customHeight="1" spans="2:2">
      <c r="B33196" s="62" t="str">
        <f>IF(AND('领用录入（明细）'!D:D=$F$4,'领用录入（明细）'!C:C&gt;=$J$4,'领用录入（明细）'!C:C&lt;=$L$4),ROW(),"-")</f>
        <v>-</v>
      </c>
    </row>
    <row r="33197" customHeight="1" spans="2:2">
      <c r="B33197" s="62" t="str">
        <f>IF(AND('领用录入（明细）'!D:D=$F$4,'领用录入（明细）'!C:C&gt;=$J$4,'领用录入（明细）'!C:C&lt;=$L$4),ROW(),"-")</f>
        <v>-</v>
      </c>
    </row>
    <row r="33198" customHeight="1" spans="2:2">
      <c r="B33198" s="62" t="str">
        <f>IF(AND('领用录入（明细）'!D:D=$F$4,'领用录入（明细）'!C:C&gt;=$J$4,'领用录入（明细）'!C:C&lt;=$L$4),ROW(),"-")</f>
        <v>-</v>
      </c>
    </row>
    <row r="33199" customHeight="1" spans="2:2">
      <c r="B33199" s="62" t="str">
        <f>IF(AND('领用录入（明细）'!D:D=$F$4,'领用录入（明细）'!C:C&gt;=$J$4,'领用录入（明细）'!C:C&lt;=$L$4),ROW(),"-")</f>
        <v>-</v>
      </c>
    </row>
    <row r="33200" customHeight="1" spans="2:2">
      <c r="B33200" s="62" t="str">
        <f>IF(AND('领用录入（明细）'!D:D=$F$4,'领用录入（明细）'!C:C&gt;=$J$4,'领用录入（明细）'!C:C&lt;=$L$4),ROW(),"-")</f>
        <v>-</v>
      </c>
    </row>
    <row r="33201" customHeight="1" spans="2:2">
      <c r="B33201" s="62" t="str">
        <f>IF(AND('领用录入（明细）'!D:D=$F$4,'领用录入（明细）'!C:C&gt;=$J$4,'领用录入（明细）'!C:C&lt;=$L$4),ROW(),"-")</f>
        <v>-</v>
      </c>
    </row>
    <row r="33202" customHeight="1" spans="2:2">
      <c r="B33202" s="62" t="str">
        <f>IF(AND('领用录入（明细）'!D:D=$F$4,'领用录入（明细）'!C:C&gt;=$J$4,'领用录入（明细）'!C:C&lt;=$L$4),ROW(),"-")</f>
        <v>-</v>
      </c>
    </row>
    <row r="33203" customHeight="1" spans="2:2">
      <c r="B33203" s="62" t="str">
        <f>IF(AND('领用录入（明细）'!D:D=$F$4,'领用录入（明细）'!C:C&gt;=$J$4,'领用录入（明细）'!C:C&lt;=$L$4),ROW(),"-")</f>
        <v>-</v>
      </c>
    </row>
    <row r="33204" customHeight="1" spans="2:2">
      <c r="B33204" s="62" t="str">
        <f>IF(AND('领用录入（明细）'!D:D=$F$4,'领用录入（明细）'!C:C&gt;=$J$4,'领用录入（明细）'!C:C&lt;=$L$4),ROW(),"-")</f>
        <v>-</v>
      </c>
    </row>
    <row r="33205" customHeight="1" spans="2:2">
      <c r="B33205" s="62" t="str">
        <f>IF(AND('领用录入（明细）'!D:D=$F$4,'领用录入（明细）'!C:C&gt;=$J$4,'领用录入（明细）'!C:C&lt;=$L$4),ROW(),"-")</f>
        <v>-</v>
      </c>
    </row>
    <row r="33206" customHeight="1" spans="2:2">
      <c r="B33206" s="62" t="str">
        <f>IF(AND('领用录入（明细）'!D:D=$F$4,'领用录入（明细）'!C:C&gt;=$J$4,'领用录入（明细）'!C:C&lt;=$L$4),ROW(),"-")</f>
        <v>-</v>
      </c>
    </row>
    <row r="33207" customHeight="1" spans="2:2">
      <c r="B33207" s="62" t="str">
        <f>IF(AND('领用录入（明细）'!D:D=$F$4,'领用录入（明细）'!C:C&gt;=$J$4,'领用录入（明细）'!C:C&lt;=$L$4),ROW(),"-")</f>
        <v>-</v>
      </c>
    </row>
    <row r="33208" customHeight="1" spans="2:2">
      <c r="B33208" s="62" t="str">
        <f>IF(AND('领用录入（明细）'!D:D=$F$4,'领用录入（明细）'!C:C&gt;=$J$4,'领用录入（明细）'!C:C&lt;=$L$4),ROW(),"-")</f>
        <v>-</v>
      </c>
    </row>
    <row r="33209" customHeight="1" spans="2:2">
      <c r="B33209" s="62" t="str">
        <f>IF(AND('领用录入（明细）'!D:D=$F$4,'领用录入（明细）'!C:C&gt;=$J$4,'领用录入（明细）'!C:C&lt;=$L$4),ROW(),"-")</f>
        <v>-</v>
      </c>
    </row>
    <row r="33210" customHeight="1" spans="2:2">
      <c r="B33210" s="62" t="str">
        <f>IF(AND('领用录入（明细）'!D:D=$F$4,'领用录入（明细）'!C:C&gt;=$J$4,'领用录入（明细）'!C:C&lt;=$L$4),ROW(),"-")</f>
        <v>-</v>
      </c>
    </row>
    <row r="33211" customHeight="1" spans="2:2">
      <c r="B33211" s="62" t="str">
        <f>IF(AND('领用录入（明细）'!D:D=$F$4,'领用录入（明细）'!C:C&gt;=$J$4,'领用录入（明细）'!C:C&lt;=$L$4),ROW(),"-")</f>
        <v>-</v>
      </c>
    </row>
    <row r="33212" customHeight="1" spans="2:2">
      <c r="B33212" s="62" t="str">
        <f>IF(AND('领用录入（明细）'!D:D=$F$4,'领用录入（明细）'!C:C&gt;=$J$4,'领用录入（明细）'!C:C&lt;=$L$4),ROW(),"-")</f>
        <v>-</v>
      </c>
    </row>
    <row r="33213" customHeight="1" spans="2:2">
      <c r="B33213" s="62" t="str">
        <f>IF(AND('领用录入（明细）'!D:D=$F$4,'领用录入（明细）'!C:C&gt;=$J$4,'领用录入（明细）'!C:C&lt;=$L$4),ROW(),"-")</f>
        <v>-</v>
      </c>
    </row>
    <row r="33214" customHeight="1" spans="2:2">
      <c r="B33214" s="62" t="str">
        <f>IF(AND('领用录入（明细）'!D:D=$F$4,'领用录入（明细）'!C:C&gt;=$J$4,'领用录入（明细）'!C:C&lt;=$L$4),ROW(),"-")</f>
        <v>-</v>
      </c>
    </row>
    <row r="33215" customHeight="1" spans="2:2">
      <c r="B33215" s="62" t="str">
        <f>IF(AND('领用录入（明细）'!D:D=$F$4,'领用录入（明细）'!C:C&gt;=$J$4,'领用录入（明细）'!C:C&lt;=$L$4),ROW(),"-")</f>
        <v>-</v>
      </c>
    </row>
    <row r="33216" customHeight="1" spans="2:2">
      <c r="B33216" s="62" t="str">
        <f>IF(AND('领用录入（明细）'!D:D=$F$4,'领用录入（明细）'!C:C&gt;=$J$4,'领用录入（明细）'!C:C&lt;=$L$4),ROW(),"-")</f>
        <v>-</v>
      </c>
    </row>
    <row r="33217" customHeight="1" spans="2:2">
      <c r="B33217" s="62" t="str">
        <f>IF(AND('领用录入（明细）'!D:D=$F$4,'领用录入（明细）'!C:C&gt;=$J$4,'领用录入（明细）'!C:C&lt;=$L$4),ROW(),"-")</f>
        <v>-</v>
      </c>
    </row>
    <row r="33218" customHeight="1" spans="2:2">
      <c r="B33218" s="62" t="str">
        <f>IF(AND('领用录入（明细）'!D:D=$F$4,'领用录入（明细）'!C:C&gt;=$J$4,'领用录入（明细）'!C:C&lt;=$L$4),ROW(),"-")</f>
        <v>-</v>
      </c>
    </row>
    <row r="33219" customHeight="1" spans="2:2">
      <c r="B33219" s="62" t="str">
        <f>IF(AND('领用录入（明细）'!D:D=$F$4,'领用录入（明细）'!C:C&gt;=$J$4,'领用录入（明细）'!C:C&lt;=$L$4),ROW(),"-")</f>
        <v>-</v>
      </c>
    </row>
    <row r="33220" customHeight="1" spans="2:2">
      <c r="B33220" s="62" t="str">
        <f>IF(AND('领用录入（明细）'!D:D=$F$4,'领用录入（明细）'!C:C&gt;=$J$4,'领用录入（明细）'!C:C&lt;=$L$4),ROW(),"-")</f>
        <v>-</v>
      </c>
    </row>
    <row r="33221" customHeight="1" spans="2:2">
      <c r="B33221" s="62" t="str">
        <f>IF(AND('领用录入（明细）'!D:D=$F$4,'领用录入（明细）'!C:C&gt;=$J$4,'领用录入（明细）'!C:C&lt;=$L$4),ROW(),"-")</f>
        <v>-</v>
      </c>
    </row>
    <row r="33222" customHeight="1" spans="2:2">
      <c r="B33222" s="62" t="str">
        <f>IF(AND('领用录入（明细）'!D:D=$F$4,'领用录入（明细）'!C:C&gt;=$J$4,'领用录入（明细）'!C:C&lt;=$L$4),ROW(),"-")</f>
        <v>-</v>
      </c>
    </row>
    <row r="33223" customHeight="1" spans="2:2">
      <c r="B33223" s="62" t="str">
        <f>IF(AND('领用录入（明细）'!D:D=$F$4,'领用录入（明细）'!C:C&gt;=$J$4,'领用录入（明细）'!C:C&lt;=$L$4),ROW(),"-")</f>
        <v>-</v>
      </c>
    </row>
    <row r="33224" customHeight="1" spans="2:2">
      <c r="B33224" s="62" t="str">
        <f>IF(AND('领用录入（明细）'!D:D=$F$4,'领用录入（明细）'!C:C&gt;=$J$4,'领用录入（明细）'!C:C&lt;=$L$4),ROW(),"-")</f>
        <v>-</v>
      </c>
    </row>
    <row r="33225" customHeight="1" spans="2:2">
      <c r="B33225" s="62" t="str">
        <f>IF(AND('领用录入（明细）'!D:D=$F$4,'领用录入（明细）'!C:C&gt;=$J$4,'领用录入（明细）'!C:C&lt;=$L$4),ROW(),"-")</f>
        <v>-</v>
      </c>
    </row>
    <row r="33226" customHeight="1" spans="2:2">
      <c r="B33226" s="62" t="str">
        <f>IF(AND('领用录入（明细）'!D:D=$F$4,'领用录入（明细）'!C:C&gt;=$J$4,'领用录入（明细）'!C:C&lt;=$L$4),ROW(),"-")</f>
        <v>-</v>
      </c>
    </row>
    <row r="33227" customHeight="1" spans="2:2">
      <c r="B33227" s="62" t="str">
        <f>IF(AND('领用录入（明细）'!D:D=$F$4,'领用录入（明细）'!C:C&gt;=$J$4,'领用录入（明细）'!C:C&lt;=$L$4),ROW(),"-")</f>
        <v>-</v>
      </c>
    </row>
    <row r="33228" customHeight="1" spans="2:2">
      <c r="B33228" s="62" t="str">
        <f>IF(AND('领用录入（明细）'!D:D=$F$4,'领用录入（明细）'!C:C&gt;=$J$4,'领用录入（明细）'!C:C&lt;=$L$4),ROW(),"-")</f>
        <v>-</v>
      </c>
    </row>
    <row r="33229" customHeight="1" spans="2:2">
      <c r="B33229" s="62" t="str">
        <f>IF(AND('领用录入（明细）'!D:D=$F$4,'领用录入（明细）'!C:C&gt;=$J$4,'领用录入（明细）'!C:C&lt;=$L$4),ROW(),"-")</f>
        <v>-</v>
      </c>
    </row>
    <row r="33230" customHeight="1" spans="2:2">
      <c r="B33230" s="62" t="str">
        <f>IF(AND('领用录入（明细）'!D:D=$F$4,'领用录入（明细）'!C:C&gt;=$J$4,'领用录入（明细）'!C:C&lt;=$L$4),ROW(),"-")</f>
        <v>-</v>
      </c>
    </row>
    <row r="33231" customHeight="1" spans="2:2">
      <c r="B33231" s="62" t="str">
        <f>IF(AND('领用录入（明细）'!D:D=$F$4,'领用录入（明细）'!C:C&gt;=$J$4,'领用录入（明细）'!C:C&lt;=$L$4),ROW(),"-")</f>
        <v>-</v>
      </c>
    </row>
    <row r="33232" customHeight="1" spans="2:2">
      <c r="B33232" s="62" t="str">
        <f>IF(AND('领用录入（明细）'!D:D=$F$4,'领用录入（明细）'!C:C&gt;=$J$4,'领用录入（明细）'!C:C&lt;=$L$4),ROW(),"-")</f>
        <v>-</v>
      </c>
    </row>
    <row r="33233" customHeight="1" spans="2:2">
      <c r="B33233" s="62" t="str">
        <f>IF(AND('领用录入（明细）'!D:D=$F$4,'领用录入（明细）'!C:C&gt;=$J$4,'领用录入（明细）'!C:C&lt;=$L$4),ROW(),"-")</f>
        <v>-</v>
      </c>
    </row>
    <row r="33234" customHeight="1" spans="2:2">
      <c r="B33234" s="62" t="str">
        <f>IF(AND('领用录入（明细）'!D:D=$F$4,'领用录入（明细）'!C:C&gt;=$J$4,'领用录入（明细）'!C:C&lt;=$L$4),ROW(),"-")</f>
        <v>-</v>
      </c>
    </row>
    <row r="33235" customHeight="1" spans="2:2">
      <c r="B33235" s="62" t="str">
        <f>IF(AND('领用录入（明细）'!D:D=$F$4,'领用录入（明细）'!C:C&gt;=$J$4,'领用录入（明细）'!C:C&lt;=$L$4),ROW(),"-")</f>
        <v>-</v>
      </c>
    </row>
    <row r="33236" customHeight="1" spans="2:2">
      <c r="B33236" s="62" t="str">
        <f>IF(AND('领用录入（明细）'!D:D=$F$4,'领用录入（明细）'!C:C&gt;=$J$4,'领用录入（明细）'!C:C&lt;=$L$4),ROW(),"-")</f>
        <v>-</v>
      </c>
    </row>
    <row r="33237" customHeight="1" spans="2:2">
      <c r="B33237" s="62" t="str">
        <f>IF(AND('领用录入（明细）'!D:D=$F$4,'领用录入（明细）'!C:C&gt;=$J$4,'领用录入（明细）'!C:C&lt;=$L$4),ROW(),"-")</f>
        <v>-</v>
      </c>
    </row>
    <row r="33238" customHeight="1" spans="2:2">
      <c r="B33238" s="62" t="str">
        <f>IF(AND('领用录入（明细）'!D:D=$F$4,'领用录入（明细）'!C:C&gt;=$J$4,'领用录入（明细）'!C:C&lt;=$L$4),ROW(),"-")</f>
        <v>-</v>
      </c>
    </row>
    <row r="33239" customHeight="1" spans="2:2">
      <c r="B33239" s="62" t="str">
        <f>IF(AND('领用录入（明细）'!D:D=$F$4,'领用录入（明细）'!C:C&gt;=$J$4,'领用录入（明细）'!C:C&lt;=$L$4),ROW(),"-")</f>
        <v>-</v>
      </c>
    </row>
    <row r="33240" customHeight="1" spans="2:2">
      <c r="B33240" s="62" t="str">
        <f>IF(AND('领用录入（明细）'!D:D=$F$4,'领用录入（明细）'!C:C&gt;=$J$4,'领用录入（明细）'!C:C&lt;=$L$4),ROW(),"-")</f>
        <v>-</v>
      </c>
    </row>
    <row r="33241" customHeight="1" spans="2:2">
      <c r="B33241" s="62" t="str">
        <f>IF(AND('领用录入（明细）'!D:D=$F$4,'领用录入（明细）'!C:C&gt;=$J$4,'领用录入（明细）'!C:C&lt;=$L$4),ROW(),"-")</f>
        <v>-</v>
      </c>
    </row>
    <row r="33242" customHeight="1" spans="2:2">
      <c r="B33242" s="62" t="str">
        <f>IF(AND('领用录入（明细）'!D:D=$F$4,'领用录入（明细）'!C:C&gt;=$J$4,'领用录入（明细）'!C:C&lt;=$L$4),ROW(),"-")</f>
        <v>-</v>
      </c>
    </row>
    <row r="33243" customHeight="1" spans="2:2">
      <c r="B33243" s="62" t="str">
        <f>IF(AND('领用录入（明细）'!D:D=$F$4,'领用录入（明细）'!C:C&gt;=$J$4,'领用录入（明细）'!C:C&lt;=$L$4),ROW(),"-")</f>
        <v>-</v>
      </c>
    </row>
    <row r="33244" customHeight="1" spans="2:2">
      <c r="B33244" s="62" t="str">
        <f>IF(AND('领用录入（明细）'!D:D=$F$4,'领用录入（明细）'!C:C&gt;=$J$4,'领用录入（明细）'!C:C&lt;=$L$4),ROW(),"-")</f>
        <v>-</v>
      </c>
    </row>
    <row r="33245" customHeight="1" spans="2:2">
      <c r="B33245" s="62" t="str">
        <f>IF(AND('领用录入（明细）'!D:D=$F$4,'领用录入（明细）'!C:C&gt;=$J$4,'领用录入（明细）'!C:C&lt;=$L$4),ROW(),"-")</f>
        <v>-</v>
      </c>
    </row>
    <row r="33246" customHeight="1" spans="2:2">
      <c r="B33246" s="62" t="str">
        <f>IF(AND('领用录入（明细）'!D:D=$F$4,'领用录入（明细）'!C:C&gt;=$J$4,'领用录入（明细）'!C:C&lt;=$L$4),ROW(),"-")</f>
        <v>-</v>
      </c>
    </row>
    <row r="33247" customHeight="1" spans="2:2">
      <c r="B33247" s="62" t="str">
        <f>IF(AND('领用录入（明细）'!D:D=$F$4,'领用录入（明细）'!C:C&gt;=$J$4,'领用录入（明细）'!C:C&lt;=$L$4),ROW(),"-")</f>
        <v>-</v>
      </c>
    </row>
    <row r="33248" customHeight="1" spans="2:2">
      <c r="B33248" s="62" t="str">
        <f>IF(AND('领用录入（明细）'!D:D=$F$4,'领用录入（明细）'!C:C&gt;=$J$4,'领用录入（明细）'!C:C&lt;=$L$4),ROW(),"-")</f>
        <v>-</v>
      </c>
    </row>
    <row r="33249" customHeight="1" spans="2:2">
      <c r="B33249" s="62" t="str">
        <f>IF(AND('领用录入（明细）'!D:D=$F$4,'领用录入（明细）'!C:C&gt;=$J$4,'领用录入（明细）'!C:C&lt;=$L$4),ROW(),"-")</f>
        <v>-</v>
      </c>
    </row>
    <row r="33250" customHeight="1" spans="2:2">
      <c r="B33250" s="62" t="str">
        <f>IF(AND('领用录入（明细）'!D:D=$F$4,'领用录入（明细）'!C:C&gt;=$J$4,'领用录入（明细）'!C:C&lt;=$L$4),ROW(),"-")</f>
        <v>-</v>
      </c>
    </row>
    <row r="33251" customHeight="1" spans="2:2">
      <c r="B33251" s="62" t="str">
        <f>IF(AND('领用录入（明细）'!D:D=$F$4,'领用录入（明细）'!C:C&gt;=$J$4,'领用录入（明细）'!C:C&lt;=$L$4),ROW(),"-")</f>
        <v>-</v>
      </c>
    </row>
    <row r="33252" customHeight="1" spans="2:2">
      <c r="B33252" s="62" t="str">
        <f>IF(AND('领用录入（明细）'!D:D=$F$4,'领用录入（明细）'!C:C&gt;=$J$4,'领用录入（明细）'!C:C&lt;=$L$4),ROW(),"-")</f>
        <v>-</v>
      </c>
    </row>
    <row r="33253" customHeight="1" spans="2:2">
      <c r="B33253" s="62" t="str">
        <f>IF(AND('领用录入（明细）'!D:D=$F$4,'领用录入（明细）'!C:C&gt;=$J$4,'领用录入（明细）'!C:C&lt;=$L$4),ROW(),"-")</f>
        <v>-</v>
      </c>
    </row>
    <row r="33254" customHeight="1" spans="2:2">
      <c r="B33254" s="62" t="str">
        <f>IF(AND('领用录入（明细）'!D:D=$F$4,'领用录入（明细）'!C:C&gt;=$J$4,'领用录入（明细）'!C:C&lt;=$L$4),ROW(),"-")</f>
        <v>-</v>
      </c>
    </row>
    <row r="33255" customHeight="1" spans="2:2">
      <c r="B33255" s="62" t="str">
        <f>IF(AND('领用录入（明细）'!D:D=$F$4,'领用录入（明细）'!C:C&gt;=$J$4,'领用录入（明细）'!C:C&lt;=$L$4),ROW(),"-")</f>
        <v>-</v>
      </c>
    </row>
    <row r="33256" customHeight="1" spans="2:2">
      <c r="B33256" s="62" t="str">
        <f>IF(AND('领用录入（明细）'!D:D=$F$4,'领用录入（明细）'!C:C&gt;=$J$4,'领用录入（明细）'!C:C&lt;=$L$4),ROW(),"-")</f>
        <v>-</v>
      </c>
    </row>
    <row r="33257" customHeight="1" spans="2:2">
      <c r="B33257" s="62" t="str">
        <f>IF(AND('领用录入（明细）'!D:D=$F$4,'领用录入（明细）'!C:C&gt;=$J$4,'领用录入（明细）'!C:C&lt;=$L$4),ROW(),"-")</f>
        <v>-</v>
      </c>
    </row>
    <row r="33258" customHeight="1" spans="2:2">
      <c r="B33258" s="62" t="str">
        <f>IF(AND('领用录入（明细）'!D:D=$F$4,'领用录入（明细）'!C:C&gt;=$J$4,'领用录入（明细）'!C:C&lt;=$L$4),ROW(),"-")</f>
        <v>-</v>
      </c>
    </row>
    <row r="33259" customHeight="1" spans="2:2">
      <c r="B33259" s="62" t="str">
        <f>IF(AND('领用录入（明细）'!D:D=$F$4,'领用录入（明细）'!C:C&gt;=$J$4,'领用录入（明细）'!C:C&lt;=$L$4),ROW(),"-")</f>
        <v>-</v>
      </c>
    </row>
    <row r="33260" customHeight="1" spans="2:2">
      <c r="B33260" s="62" t="str">
        <f>IF(AND('领用录入（明细）'!D:D=$F$4,'领用录入（明细）'!C:C&gt;=$J$4,'领用录入（明细）'!C:C&lt;=$L$4),ROW(),"-")</f>
        <v>-</v>
      </c>
    </row>
    <row r="33261" customHeight="1" spans="2:2">
      <c r="B33261" s="62" t="str">
        <f>IF(AND('领用录入（明细）'!D:D=$F$4,'领用录入（明细）'!C:C&gt;=$J$4,'领用录入（明细）'!C:C&lt;=$L$4),ROW(),"-")</f>
        <v>-</v>
      </c>
    </row>
    <row r="33262" customHeight="1" spans="2:2">
      <c r="B33262" s="62" t="str">
        <f>IF(AND('领用录入（明细）'!D:D=$F$4,'领用录入（明细）'!C:C&gt;=$J$4,'领用录入（明细）'!C:C&lt;=$L$4),ROW(),"-")</f>
        <v>-</v>
      </c>
    </row>
    <row r="33263" customHeight="1" spans="2:2">
      <c r="B33263" s="62" t="str">
        <f>IF(AND('领用录入（明细）'!D:D=$F$4,'领用录入（明细）'!C:C&gt;=$J$4,'领用录入（明细）'!C:C&lt;=$L$4),ROW(),"-")</f>
        <v>-</v>
      </c>
    </row>
    <row r="33264" customHeight="1" spans="2:2">
      <c r="B33264" s="62" t="str">
        <f>IF(AND('领用录入（明细）'!D:D=$F$4,'领用录入（明细）'!C:C&gt;=$J$4,'领用录入（明细）'!C:C&lt;=$L$4),ROW(),"-")</f>
        <v>-</v>
      </c>
    </row>
    <row r="33265" customHeight="1" spans="2:2">
      <c r="B33265" s="62" t="str">
        <f>IF(AND('领用录入（明细）'!D:D=$F$4,'领用录入（明细）'!C:C&gt;=$J$4,'领用录入（明细）'!C:C&lt;=$L$4),ROW(),"-")</f>
        <v>-</v>
      </c>
    </row>
    <row r="33266" customHeight="1" spans="2:2">
      <c r="B33266" s="62" t="str">
        <f>IF(AND('领用录入（明细）'!D:D=$F$4,'领用录入（明细）'!C:C&gt;=$J$4,'领用录入（明细）'!C:C&lt;=$L$4),ROW(),"-")</f>
        <v>-</v>
      </c>
    </row>
    <row r="33267" customHeight="1" spans="2:2">
      <c r="B33267" s="62" t="str">
        <f>IF(AND('领用录入（明细）'!D:D=$F$4,'领用录入（明细）'!C:C&gt;=$J$4,'领用录入（明细）'!C:C&lt;=$L$4),ROW(),"-")</f>
        <v>-</v>
      </c>
    </row>
    <row r="33268" customHeight="1" spans="2:2">
      <c r="B33268" s="62" t="str">
        <f>IF(AND('领用录入（明细）'!D:D=$F$4,'领用录入（明细）'!C:C&gt;=$J$4,'领用录入（明细）'!C:C&lt;=$L$4),ROW(),"-")</f>
        <v>-</v>
      </c>
    </row>
    <row r="33269" customHeight="1" spans="2:2">
      <c r="B33269" s="62" t="str">
        <f>IF(AND('领用录入（明细）'!D:D=$F$4,'领用录入（明细）'!C:C&gt;=$J$4,'领用录入（明细）'!C:C&lt;=$L$4),ROW(),"-")</f>
        <v>-</v>
      </c>
    </row>
    <row r="33270" customHeight="1" spans="2:2">
      <c r="B33270" s="62" t="str">
        <f>IF(AND('领用录入（明细）'!D:D=$F$4,'领用录入（明细）'!C:C&gt;=$J$4,'领用录入（明细）'!C:C&lt;=$L$4),ROW(),"-")</f>
        <v>-</v>
      </c>
    </row>
    <row r="33271" customHeight="1" spans="2:2">
      <c r="B33271" s="62" t="str">
        <f>IF(AND('领用录入（明细）'!D:D=$F$4,'领用录入（明细）'!C:C&gt;=$J$4,'领用录入（明细）'!C:C&lt;=$L$4),ROW(),"-")</f>
        <v>-</v>
      </c>
    </row>
    <row r="33272" customHeight="1" spans="2:2">
      <c r="B33272" s="62" t="str">
        <f>IF(AND('领用录入（明细）'!D:D=$F$4,'领用录入（明细）'!C:C&gt;=$J$4,'领用录入（明细）'!C:C&lt;=$L$4),ROW(),"-")</f>
        <v>-</v>
      </c>
    </row>
    <row r="33273" customHeight="1" spans="2:2">
      <c r="B33273" s="62" t="str">
        <f>IF(AND('领用录入（明细）'!D:D=$F$4,'领用录入（明细）'!C:C&gt;=$J$4,'领用录入（明细）'!C:C&lt;=$L$4),ROW(),"-")</f>
        <v>-</v>
      </c>
    </row>
    <row r="33274" customHeight="1" spans="2:2">
      <c r="B33274" s="62" t="str">
        <f>IF(AND('领用录入（明细）'!D:D=$F$4,'领用录入（明细）'!C:C&gt;=$J$4,'领用录入（明细）'!C:C&lt;=$L$4),ROW(),"-")</f>
        <v>-</v>
      </c>
    </row>
    <row r="33275" customHeight="1" spans="2:2">
      <c r="B33275" s="62" t="str">
        <f>IF(AND('领用录入（明细）'!D:D=$F$4,'领用录入（明细）'!C:C&gt;=$J$4,'领用录入（明细）'!C:C&lt;=$L$4),ROW(),"-")</f>
        <v>-</v>
      </c>
    </row>
    <row r="33276" customHeight="1" spans="2:2">
      <c r="B33276" s="62" t="str">
        <f>IF(AND('领用录入（明细）'!D:D=$F$4,'领用录入（明细）'!C:C&gt;=$J$4,'领用录入（明细）'!C:C&lt;=$L$4),ROW(),"-")</f>
        <v>-</v>
      </c>
    </row>
    <row r="33277" customHeight="1" spans="2:2">
      <c r="B33277" s="62" t="str">
        <f>IF(AND('领用录入（明细）'!D:D=$F$4,'领用录入（明细）'!C:C&gt;=$J$4,'领用录入（明细）'!C:C&lt;=$L$4),ROW(),"-")</f>
        <v>-</v>
      </c>
    </row>
    <row r="33278" customHeight="1" spans="2:2">
      <c r="B33278" s="62" t="str">
        <f>IF(AND('领用录入（明细）'!D:D=$F$4,'领用录入（明细）'!C:C&gt;=$J$4,'领用录入（明细）'!C:C&lt;=$L$4),ROW(),"-")</f>
        <v>-</v>
      </c>
    </row>
    <row r="33279" customHeight="1" spans="2:2">
      <c r="B33279" s="62" t="str">
        <f>IF(AND('领用录入（明细）'!D:D=$F$4,'领用录入（明细）'!C:C&gt;=$J$4,'领用录入（明细）'!C:C&lt;=$L$4),ROW(),"-")</f>
        <v>-</v>
      </c>
    </row>
    <row r="33280" customHeight="1" spans="2:2">
      <c r="B33280" s="62" t="str">
        <f>IF(AND('领用录入（明细）'!D:D=$F$4,'领用录入（明细）'!C:C&gt;=$J$4,'领用录入（明细）'!C:C&lt;=$L$4),ROW(),"-")</f>
        <v>-</v>
      </c>
    </row>
    <row r="33281" customHeight="1" spans="2:2">
      <c r="B33281" s="62" t="str">
        <f>IF(AND('领用录入（明细）'!D:D=$F$4,'领用录入（明细）'!C:C&gt;=$J$4,'领用录入（明细）'!C:C&lt;=$L$4),ROW(),"-")</f>
        <v>-</v>
      </c>
    </row>
    <row r="33282" customHeight="1" spans="2:2">
      <c r="B33282" s="62" t="str">
        <f>IF(AND('领用录入（明细）'!D:D=$F$4,'领用录入（明细）'!C:C&gt;=$J$4,'领用录入（明细）'!C:C&lt;=$L$4),ROW(),"-")</f>
        <v>-</v>
      </c>
    </row>
    <row r="33283" customHeight="1" spans="2:2">
      <c r="B33283" s="62" t="str">
        <f>IF(AND('领用录入（明细）'!D:D=$F$4,'领用录入（明细）'!C:C&gt;=$J$4,'领用录入（明细）'!C:C&lt;=$L$4),ROW(),"-")</f>
        <v>-</v>
      </c>
    </row>
    <row r="33284" customHeight="1" spans="2:2">
      <c r="B33284" s="62" t="str">
        <f>IF(AND('领用录入（明细）'!D:D=$F$4,'领用录入（明细）'!C:C&gt;=$J$4,'领用录入（明细）'!C:C&lt;=$L$4),ROW(),"-")</f>
        <v>-</v>
      </c>
    </row>
    <row r="33285" customHeight="1" spans="2:2">
      <c r="B33285" s="62" t="str">
        <f>IF(AND('领用录入（明细）'!D:D=$F$4,'领用录入（明细）'!C:C&gt;=$J$4,'领用录入（明细）'!C:C&lt;=$L$4),ROW(),"-")</f>
        <v>-</v>
      </c>
    </row>
    <row r="33286" customHeight="1" spans="2:2">
      <c r="B33286" s="62" t="str">
        <f>IF(AND('领用录入（明细）'!D:D=$F$4,'领用录入（明细）'!C:C&gt;=$J$4,'领用录入（明细）'!C:C&lt;=$L$4),ROW(),"-")</f>
        <v>-</v>
      </c>
    </row>
    <row r="33287" customHeight="1" spans="2:2">
      <c r="B33287" s="62" t="str">
        <f>IF(AND('领用录入（明细）'!D:D=$F$4,'领用录入（明细）'!C:C&gt;=$J$4,'领用录入（明细）'!C:C&lt;=$L$4),ROW(),"-")</f>
        <v>-</v>
      </c>
    </row>
    <row r="33288" customHeight="1" spans="2:2">
      <c r="B33288" s="62" t="str">
        <f>IF(AND('领用录入（明细）'!D:D=$F$4,'领用录入（明细）'!C:C&gt;=$J$4,'领用录入（明细）'!C:C&lt;=$L$4),ROW(),"-")</f>
        <v>-</v>
      </c>
    </row>
    <row r="33289" customHeight="1" spans="2:2">
      <c r="B33289" s="62" t="str">
        <f>IF(AND('领用录入（明细）'!D:D=$F$4,'领用录入（明细）'!C:C&gt;=$J$4,'领用录入（明细）'!C:C&lt;=$L$4),ROW(),"-")</f>
        <v>-</v>
      </c>
    </row>
    <row r="33290" customHeight="1" spans="2:2">
      <c r="B33290" s="62" t="str">
        <f>IF(AND('领用录入（明细）'!D:D=$F$4,'领用录入（明细）'!C:C&gt;=$J$4,'领用录入（明细）'!C:C&lt;=$L$4),ROW(),"-")</f>
        <v>-</v>
      </c>
    </row>
    <row r="33291" customHeight="1" spans="2:2">
      <c r="B33291" s="62" t="str">
        <f>IF(AND('领用录入（明细）'!D:D=$F$4,'领用录入（明细）'!C:C&gt;=$J$4,'领用录入（明细）'!C:C&lt;=$L$4),ROW(),"-")</f>
        <v>-</v>
      </c>
    </row>
    <row r="33292" customHeight="1" spans="2:2">
      <c r="B33292" s="62" t="str">
        <f>IF(AND('领用录入（明细）'!D:D=$F$4,'领用录入（明细）'!C:C&gt;=$J$4,'领用录入（明细）'!C:C&lt;=$L$4),ROW(),"-")</f>
        <v>-</v>
      </c>
    </row>
    <row r="33293" customHeight="1" spans="2:2">
      <c r="B33293" s="62" t="str">
        <f>IF(AND('领用录入（明细）'!D:D=$F$4,'领用录入（明细）'!C:C&gt;=$J$4,'领用录入（明细）'!C:C&lt;=$L$4),ROW(),"-")</f>
        <v>-</v>
      </c>
    </row>
    <row r="33294" customHeight="1" spans="2:2">
      <c r="B33294" s="62" t="str">
        <f>IF(AND('领用录入（明细）'!D:D=$F$4,'领用录入（明细）'!C:C&gt;=$J$4,'领用录入（明细）'!C:C&lt;=$L$4),ROW(),"-")</f>
        <v>-</v>
      </c>
    </row>
    <row r="33295" customHeight="1" spans="2:2">
      <c r="B33295" s="62" t="str">
        <f>IF(AND('领用录入（明细）'!D:D=$F$4,'领用录入（明细）'!C:C&gt;=$J$4,'领用录入（明细）'!C:C&lt;=$L$4),ROW(),"-")</f>
        <v>-</v>
      </c>
    </row>
    <row r="33296" customHeight="1" spans="2:2">
      <c r="B33296" s="62" t="str">
        <f>IF(AND('领用录入（明细）'!D:D=$F$4,'领用录入（明细）'!C:C&gt;=$J$4,'领用录入（明细）'!C:C&lt;=$L$4),ROW(),"-")</f>
        <v>-</v>
      </c>
    </row>
    <row r="33297" customHeight="1" spans="2:2">
      <c r="B33297" s="62" t="str">
        <f>IF(AND('领用录入（明细）'!D:D=$F$4,'领用录入（明细）'!C:C&gt;=$J$4,'领用录入（明细）'!C:C&lt;=$L$4),ROW(),"-")</f>
        <v>-</v>
      </c>
    </row>
    <row r="33298" customHeight="1" spans="2:2">
      <c r="B33298" s="62" t="str">
        <f>IF(AND('领用录入（明细）'!D:D=$F$4,'领用录入（明细）'!C:C&gt;=$J$4,'领用录入（明细）'!C:C&lt;=$L$4),ROW(),"-")</f>
        <v>-</v>
      </c>
    </row>
    <row r="33299" customHeight="1" spans="2:2">
      <c r="B33299" s="62" t="str">
        <f>IF(AND('领用录入（明细）'!D:D=$F$4,'领用录入（明细）'!C:C&gt;=$J$4,'领用录入（明细）'!C:C&lt;=$L$4),ROW(),"-")</f>
        <v>-</v>
      </c>
    </row>
    <row r="33300" customHeight="1" spans="2:2">
      <c r="B33300" s="62" t="str">
        <f>IF(AND('领用录入（明细）'!D:D=$F$4,'领用录入（明细）'!C:C&gt;=$J$4,'领用录入（明细）'!C:C&lt;=$L$4),ROW(),"-")</f>
        <v>-</v>
      </c>
    </row>
    <row r="33301" customHeight="1" spans="2:2">
      <c r="B33301" s="62" t="str">
        <f>IF(AND('领用录入（明细）'!D:D=$F$4,'领用录入（明细）'!C:C&gt;=$J$4,'领用录入（明细）'!C:C&lt;=$L$4),ROW(),"-")</f>
        <v>-</v>
      </c>
    </row>
    <row r="33302" customHeight="1" spans="2:2">
      <c r="B33302" s="62" t="str">
        <f>IF(AND('领用录入（明细）'!D:D=$F$4,'领用录入（明细）'!C:C&gt;=$J$4,'领用录入（明细）'!C:C&lt;=$L$4),ROW(),"-")</f>
        <v>-</v>
      </c>
    </row>
    <row r="33303" customHeight="1" spans="2:2">
      <c r="B33303" s="62" t="str">
        <f>IF(AND('领用录入（明细）'!D:D=$F$4,'领用录入（明细）'!C:C&gt;=$J$4,'领用录入（明细）'!C:C&lt;=$L$4),ROW(),"-")</f>
        <v>-</v>
      </c>
    </row>
    <row r="33304" customHeight="1" spans="2:2">
      <c r="B33304" s="62" t="str">
        <f>IF(AND('领用录入（明细）'!D:D=$F$4,'领用录入（明细）'!C:C&gt;=$J$4,'领用录入（明细）'!C:C&lt;=$L$4),ROW(),"-")</f>
        <v>-</v>
      </c>
    </row>
    <row r="33305" customHeight="1" spans="2:2">
      <c r="B33305" s="62" t="str">
        <f>IF(AND('领用录入（明细）'!D:D=$F$4,'领用录入（明细）'!C:C&gt;=$J$4,'领用录入（明细）'!C:C&lt;=$L$4),ROW(),"-")</f>
        <v>-</v>
      </c>
    </row>
    <row r="33306" customHeight="1" spans="2:2">
      <c r="B33306" s="62" t="str">
        <f>IF(AND('领用录入（明细）'!D:D=$F$4,'领用录入（明细）'!C:C&gt;=$J$4,'领用录入（明细）'!C:C&lt;=$L$4),ROW(),"-")</f>
        <v>-</v>
      </c>
    </row>
    <row r="33307" customHeight="1" spans="2:2">
      <c r="B33307" s="62" t="str">
        <f>IF(AND('领用录入（明细）'!D:D=$F$4,'领用录入（明细）'!C:C&gt;=$J$4,'领用录入（明细）'!C:C&lt;=$L$4),ROW(),"-")</f>
        <v>-</v>
      </c>
    </row>
    <row r="33308" customHeight="1" spans="2:2">
      <c r="B33308" s="62" t="str">
        <f>IF(AND('领用录入（明细）'!D:D=$F$4,'领用录入（明细）'!C:C&gt;=$J$4,'领用录入（明细）'!C:C&lt;=$L$4),ROW(),"-")</f>
        <v>-</v>
      </c>
    </row>
    <row r="33309" customHeight="1" spans="2:2">
      <c r="B33309" s="62" t="str">
        <f>IF(AND('领用录入（明细）'!D:D=$F$4,'领用录入（明细）'!C:C&gt;=$J$4,'领用录入（明细）'!C:C&lt;=$L$4),ROW(),"-")</f>
        <v>-</v>
      </c>
    </row>
    <row r="33310" customHeight="1" spans="2:2">
      <c r="B33310" s="62" t="str">
        <f>IF(AND('领用录入（明细）'!D:D=$F$4,'领用录入（明细）'!C:C&gt;=$J$4,'领用录入（明细）'!C:C&lt;=$L$4),ROW(),"-")</f>
        <v>-</v>
      </c>
    </row>
    <row r="33311" customHeight="1" spans="2:2">
      <c r="B33311" s="62" t="str">
        <f>IF(AND('领用录入（明细）'!D:D=$F$4,'领用录入（明细）'!C:C&gt;=$J$4,'领用录入（明细）'!C:C&lt;=$L$4),ROW(),"-")</f>
        <v>-</v>
      </c>
    </row>
    <row r="33312" customHeight="1" spans="2:2">
      <c r="B33312" s="62" t="str">
        <f>IF(AND('领用录入（明细）'!D:D=$F$4,'领用录入（明细）'!C:C&gt;=$J$4,'领用录入（明细）'!C:C&lt;=$L$4),ROW(),"-")</f>
        <v>-</v>
      </c>
    </row>
    <row r="33313" customHeight="1" spans="2:2">
      <c r="B33313" s="62" t="str">
        <f>IF(AND('领用录入（明细）'!D:D=$F$4,'领用录入（明细）'!C:C&gt;=$J$4,'领用录入（明细）'!C:C&lt;=$L$4),ROW(),"-")</f>
        <v>-</v>
      </c>
    </row>
    <row r="33314" customHeight="1" spans="2:2">
      <c r="B33314" s="62" t="str">
        <f>IF(AND('领用录入（明细）'!D:D=$F$4,'领用录入（明细）'!C:C&gt;=$J$4,'领用录入（明细）'!C:C&lt;=$L$4),ROW(),"-")</f>
        <v>-</v>
      </c>
    </row>
    <row r="33315" customHeight="1" spans="2:2">
      <c r="B33315" s="62" t="str">
        <f>IF(AND('领用录入（明细）'!D:D=$F$4,'领用录入（明细）'!C:C&gt;=$J$4,'领用录入（明细）'!C:C&lt;=$L$4),ROW(),"-")</f>
        <v>-</v>
      </c>
    </row>
    <row r="33316" customHeight="1" spans="2:2">
      <c r="B33316" s="62" t="str">
        <f>IF(AND('领用录入（明细）'!D:D=$F$4,'领用录入（明细）'!C:C&gt;=$J$4,'领用录入（明细）'!C:C&lt;=$L$4),ROW(),"-")</f>
        <v>-</v>
      </c>
    </row>
    <row r="33317" customHeight="1" spans="2:2">
      <c r="B33317" s="62" t="str">
        <f>IF(AND('领用录入（明细）'!D:D=$F$4,'领用录入（明细）'!C:C&gt;=$J$4,'领用录入（明细）'!C:C&lt;=$L$4),ROW(),"-")</f>
        <v>-</v>
      </c>
    </row>
    <row r="33318" customHeight="1" spans="2:2">
      <c r="B33318" s="62" t="str">
        <f>IF(AND('领用录入（明细）'!D:D=$F$4,'领用录入（明细）'!C:C&gt;=$J$4,'领用录入（明细）'!C:C&lt;=$L$4),ROW(),"-")</f>
        <v>-</v>
      </c>
    </row>
    <row r="33319" customHeight="1" spans="2:2">
      <c r="B33319" s="62" t="str">
        <f>IF(AND('领用录入（明细）'!D:D=$F$4,'领用录入（明细）'!C:C&gt;=$J$4,'领用录入（明细）'!C:C&lt;=$L$4),ROW(),"-")</f>
        <v>-</v>
      </c>
    </row>
    <row r="33320" customHeight="1" spans="2:2">
      <c r="B33320" s="62" t="str">
        <f>IF(AND('领用录入（明细）'!D:D=$F$4,'领用录入（明细）'!C:C&gt;=$J$4,'领用录入（明细）'!C:C&lt;=$L$4),ROW(),"-")</f>
        <v>-</v>
      </c>
    </row>
    <row r="33321" customHeight="1" spans="2:2">
      <c r="B33321" s="62" t="str">
        <f>IF(AND('领用录入（明细）'!D:D=$F$4,'领用录入（明细）'!C:C&gt;=$J$4,'领用录入（明细）'!C:C&lt;=$L$4),ROW(),"-")</f>
        <v>-</v>
      </c>
    </row>
    <row r="33322" customHeight="1" spans="2:2">
      <c r="B33322" s="62" t="str">
        <f>IF(AND('领用录入（明细）'!D:D=$F$4,'领用录入（明细）'!C:C&gt;=$J$4,'领用录入（明细）'!C:C&lt;=$L$4),ROW(),"-")</f>
        <v>-</v>
      </c>
    </row>
    <row r="33323" customHeight="1" spans="2:2">
      <c r="B33323" s="62" t="str">
        <f>IF(AND('领用录入（明细）'!D:D=$F$4,'领用录入（明细）'!C:C&gt;=$J$4,'领用录入（明细）'!C:C&lt;=$L$4),ROW(),"-")</f>
        <v>-</v>
      </c>
    </row>
    <row r="33324" customHeight="1" spans="2:2">
      <c r="B33324" s="62" t="str">
        <f>IF(AND('领用录入（明细）'!D:D=$F$4,'领用录入（明细）'!C:C&gt;=$J$4,'领用录入（明细）'!C:C&lt;=$L$4),ROW(),"-")</f>
        <v>-</v>
      </c>
    </row>
    <row r="33325" customHeight="1" spans="2:2">
      <c r="B33325" s="62" t="str">
        <f>IF(AND('领用录入（明细）'!D:D=$F$4,'领用录入（明细）'!C:C&gt;=$J$4,'领用录入（明细）'!C:C&lt;=$L$4),ROW(),"-")</f>
        <v>-</v>
      </c>
    </row>
    <row r="33326" customHeight="1" spans="2:2">
      <c r="B33326" s="62" t="str">
        <f>IF(AND('领用录入（明细）'!D:D=$F$4,'领用录入（明细）'!C:C&gt;=$J$4,'领用录入（明细）'!C:C&lt;=$L$4),ROW(),"-")</f>
        <v>-</v>
      </c>
    </row>
    <row r="33327" customHeight="1" spans="2:2">
      <c r="B33327" s="62" t="str">
        <f>IF(AND('领用录入（明细）'!D:D=$F$4,'领用录入（明细）'!C:C&gt;=$J$4,'领用录入（明细）'!C:C&lt;=$L$4),ROW(),"-")</f>
        <v>-</v>
      </c>
    </row>
    <row r="33328" customHeight="1" spans="2:2">
      <c r="B33328" s="62" t="str">
        <f>IF(AND('领用录入（明细）'!D:D=$F$4,'领用录入（明细）'!C:C&gt;=$J$4,'领用录入（明细）'!C:C&lt;=$L$4),ROW(),"-")</f>
        <v>-</v>
      </c>
    </row>
    <row r="33329" customHeight="1" spans="2:2">
      <c r="B33329" s="62" t="str">
        <f>IF(AND('领用录入（明细）'!D:D=$F$4,'领用录入（明细）'!C:C&gt;=$J$4,'领用录入（明细）'!C:C&lt;=$L$4),ROW(),"-")</f>
        <v>-</v>
      </c>
    </row>
    <row r="33330" customHeight="1" spans="2:2">
      <c r="B33330" s="62" t="str">
        <f>IF(AND('领用录入（明细）'!D:D=$F$4,'领用录入（明细）'!C:C&gt;=$J$4,'领用录入（明细）'!C:C&lt;=$L$4),ROW(),"-")</f>
        <v>-</v>
      </c>
    </row>
    <row r="33331" customHeight="1" spans="2:2">
      <c r="B33331" s="62" t="str">
        <f>IF(AND('领用录入（明细）'!D:D=$F$4,'领用录入（明细）'!C:C&gt;=$J$4,'领用录入（明细）'!C:C&lt;=$L$4),ROW(),"-")</f>
        <v>-</v>
      </c>
    </row>
    <row r="33332" customHeight="1" spans="2:2">
      <c r="B33332" s="62" t="str">
        <f>IF(AND('领用录入（明细）'!D:D=$F$4,'领用录入（明细）'!C:C&gt;=$J$4,'领用录入（明细）'!C:C&lt;=$L$4),ROW(),"-")</f>
        <v>-</v>
      </c>
    </row>
    <row r="33333" customHeight="1" spans="2:2">
      <c r="B33333" s="62" t="str">
        <f>IF(AND('领用录入（明细）'!D:D=$F$4,'领用录入（明细）'!C:C&gt;=$J$4,'领用录入（明细）'!C:C&lt;=$L$4),ROW(),"-")</f>
        <v>-</v>
      </c>
    </row>
    <row r="33334" customHeight="1" spans="2:2">
      <c r="B33334" s="62" t="str">
        <f>IF(AND('领用录入（明细）'!D:D=$F$4,'领用录入（明细）'!C:C&gt;=$J$4,'领用录入（明细）'!C:C&lt;=$L$4),ROW(),"-")</f>
        <v>-</v>
      </c>
    </row>
    <row r="33335" customHeight="1" spans="2:2">
      <c r="B33335" s="62" t="str">
        <f>IF(AND('领用录入（明细）'!D:D=$F$4,'领用录入（明细）'!C:C&gt;=$J$4,'领用录入（明细）'!C:C&lt;=$L$4),ROW(),"-")</f>
        <v>-</v>
      </c>
    </row>
    <row r="33336" customHeight="1" spans="2:2">
      <c r="B33336" s="62" t="str">
        <f>IF(AND('领用录入（明细）'!D:D=$F$4,'领用录入（明细）'!C:C&gt;=$J$4,'领用录入（明细）'!C:C&lt;=$L$4),ROW(),"-")</f>
        <v>-</v>
      </c>
    </row>
    <row r="33337" customHeight="1" spans="2:2">
      <c r="B33337" s="62" t="str">
        <f>IF(AND('领用录入（明细）'!D:D=$F$4,'领用录入（明细）'!C:C&gt;=$J$4,'领用录入（明细）'!C:C&lt;=$L$4),ROW(),"-")</f>
        <v>-</v>
      </c>
    </row>
    <row r="33338" customHeight="1" spans="2:2">
      <c r="B33338" s="62" t="str">
        <f>IF(AND('领用录入（明细）'!D:D=$F$4,'领用录入（明细）'!C:C&gt;=$J$4,'领用录入（明细）'!C:C&lt;=$L$4),ROW(),"-")</f>
        <v>-</v>
      </c>
    </row>
    <row r="33339" customHeight="1" spans="2:2">
      <c r="B33339" s="62" t="str">
        <f>IF(AND('领用录入（明细）'!D:D=$F$4,'领用录入（明细）'!C:C&gt;=$J$4,'领用录入（明细）'!C:C&lt;=$L$4),ROW(),"-")</f>
        <v>-</v>
      </c>
    </row>
    <row r="33340" customHeight="1" spans="2:2">
      <c r="B33340" s="62" t="str">
        <f>IF(AND('领用录入（明细）'!D:D=$F$4,'领用录入（明细）'!C:C&gt;=$J$4,'领用录入（明细）'!C:C&lt;=$L$4),ROW(),"-")</f>
        <v>-</v>
      </c>
    </row>
    <row r="33341" customHeight="1" spans="2:2">
      <c r="B33341" s="62" t="str">
        <f>IF(AND('领用录入（明细）'!D:D=$F$4,'领用录入（明细）'!C:C&gt;=$J$4,'领用录入（明细）'!C:C&lt;=$L$4),ROW(),"-")</f>
        <v>-</v>
      </c>
    </row>
    <row r="33342" customHeight="1" spans="2:2">
      <c r="B33342" s="62" t="str">
        <f>IF(AND('领用录入（明细）'!D:D=$F$4,'领用录入（明细）'!C:C&gt;=$J$4,'领用录入（明细）'!C:C&lt;=$L$4),ROW(),"-")</f>
        <v>-</v>
      </c>
    </row>
    <row r="33343" customHeight="1" spans="2:2">
      <c r="B33343" s="62" t="str">
        <f>IF(AND('领用录入（明细）'!D:D=$F$4,'领用录入（明细）'!C:C&gt;=$J$4,'领用录入（明细）'!C:C&lt;=$L$4),ROW(),"-")</f>
        <v>-</v>
      </c>
    </row>
    <row r="33344" customHeight="1" spans="2:2">
      <c r="B33344" s="62" t="str">
        <f>IF(AND('领用录入（明细）'!D:D=$F$4,'领用录入（明细）'!C:C&gt;=$J$4,'领用录入（明细）'!C:C&lt;=$L$4),ROW(),"-")</f>
        <v>-</v>
      </c>
    </row>
    <row r="33345" customHeight="1" spans="2:2">
      <c r="B33345" s="62" t="str">
        <f>IF(AND('领用录入（明细）'!D:D=$F$4,'领用录入（明细）'!C:C&gt;=$J$4,'领用录入（明细）'!C:C&lt;=$L$4),ROW(),"-")</f>
        <v>-</v>
      </c>
    </row>
    <row r="33346" customHeight="1" spans="2:2">
      <c r="B33346" s="62" t="str">
        <f>IF(AND('领用录入（明细）'!D:D=$F$4,'领用录入（明细）'!C:C&gt;=$J$4,'领用录入（明细）'!C:C&lt;=$L$4),ROW(),"-")</f>
        <v>-</v>
      </c>
    </row>
    <row r="33347" customHeight="1" spans="2:2">
      <c r="B33347" s="62" t="str">
        <f>IF(AND('领用录入（明细）'!D:D=$F$4,'领用录入（明细）'!C:C&gt;=$J$4,'领用录入（明细）'!C:C&lt;=$L$4),ROW(),"-")</f>
        <v>-</v>
      </c>
    </row>
    <row r="33348" customHeight="1" spans="2:2">
      <c r="B33348" s="62" t="str">
        <f>IF(AND('领用录入（明细）'!D:D=$F$4,'领用录入（明细）'!C:C&gt;=$J$4,'领用录入（明细）'!C:C&lt;=$L$4),ROW(),"-")</f>
        <v>-</v>
      </c>
    </row>
    <row r="33349" customHeight="1" spans="2:2">
      <c r="B33349" s="62" t="str">
        <f>IF(AND('领用录入（明细）'!D:D=$F$4,'领用录入（明细）'!C:C&gt;=$J$4,'领用录入（明细）'!C:C&lt;=$L$4),ROW(),"-")</f>
        <v>-</v>
      </c>
    </row>
    <row r="33350" customHeight="1" spans="2:2">
      <c r="B33350" s="62" t="str">
        <f>IF(AND('领用录入（明细）'!D:D=$F$4,'领用录入（明细）'!C:C&gt;=$J$4,'领用录入（明细）'!C:C&lt;=$L$4),ROW(),"-")</f>
        <v>-</v>
      </c>
    </row>
    <row r="33351" customHeight="1" spans="2:2">
      <c r="B33351" s="62" t="str">
        <f>IF(AND('领用录入（明细）'!D:D=$F$4,'领用录入（明细）'!C:C&gt;=$J$4,'领用录入（明细）'!C:C&lt;=$L$4),ROW(),"-")</f>
        <v>-</v>
      </c>
    </row>
    <row r="33352" customHeight="1" spans="2:2">
      <c r="B33352" s="62" t="str">
        <f>IF(AND('领用录入（明细）'!D:D=$F$4,'领用录入（明细）'!C:C&gt;=$J$4,'领用录入（明细）'!C:C&lt;=$L$4),ROW(),"-")</f>
        <v>-</v>
      </c>
    </row>
    <row r="33353" customHeight="1" spans="2:2">
      <c r="B33353" s="62" t="str">
        <f>IF(AND('领用录入（明细）'!D:D=$F$4,'领用录入（明细）'!C:C&gt;=$J$4,'领用录入（明细）'!C:C&lt;=$L$4),ROW(),"-")</f>
        <v>-</v>
      </c>
    </row>
    <row r="33354" customHeight="1" spans="2:2">
      <c r="B33354" s="62" t="str">
        <f>IF(AND('领用录入（明细）'!D:D=$F$4,'领用录入（明细）'!C:C&gt;=$J$4,'领用录入（明细）'!C:C&lt;=$L$4),ROW(),"-")</f>
        <v>-</v>
      </c>
    </row>
    <row r="33355" customHeight="1" spans="2:2">
      <c r="B33355" s="62" t="str">
        <f>IF(AND('领用录入（明细）'!D:D=$F$4,'领用录入（明细）'!C:C&gt;=$J$4,'领用录入（明细）'!C:C&lt;=$L$4),ROW(),"-")</f>
        <v>-</v>
      </c>
    </row>
    <row r="33356" customHeight="1" spans="2:2">
      <c r="B33356" s="62" t="str">
        <f>IF(AND('领用录入（明细）'!D:D=$F$4,'领用录入（明细）'!C:C&gt;=$J$4,'领用录入（明细）'!C:C&lt;=$L$4),ROW(),"-")</f>
        <v>-</v>
      </c>
    </row>
    <row r="33357" customHeight="1" spans="2:2">
      <c r="B33357" s="62" t="str">
        <f>IF(AND('领用录入（明细）'!D:D=$F$4,'领用录入（明细）'!C:C&gt;=$J$4,'领用录入（明细）'!C:C&lt;=$L$4),ROW(),"-")</f>
        <v>-</v>
      </c>
    </row>
    <row r="33358" customHeight="1" spans="2:2">
      <c r="B33358" s="62" t="str">
        <f>IF(AND('领用录入（明细）'!D:D=$F$4,'领用录入（明细）'!C:C&gt;=$J$4,'领用录入（明细）'!C:C&lt;=$L$4),ROW(),"-")</f>
        <v>-</v>
      </c>
    </row>
    <row r="33359" customHeight="1" spans="2:2">
      <c r="B33359" s="62" t="str">
        <f>IF(AND('领用录入（明细）'!D:D=$F$4,'领用录入（明细）'!C:C&gt;=$J$4,'领用录入（明细）'!C:C&lt;=$L$4),ROW(),"-")</f>
        <v>-</v>
      </c>
    </row>
    <row r="33360" customHeight="1" spans="2:2">
      <c r="B33360" s="62" t="str">
        <f>IF(AND('领用录入（明细）'!D:D=$F$4,'领用录入（明细）'!C:C&gt;=$J$4,'领用录入（明细）'!C:C&lt;=$L$4),ROW(),"-")</f>
        <v>-</v>
      </c>
    </row>
    <row r="33361" customHeight="1" spans="2:2">
      <c r="B33361" s="62" t="str">
        <f>IF(AND('领用录入（明细）'!D:D=$F$4,'领用录入（明细）'!C:C&gt;=$J$4,'领用录入（明细）'!C:C&lt;=$L$4),ROW(),"-")</f>
        <v>-</v>
      </c>
    </row>
    <row r="33362" customHeight="1" spans="2:2">
      <c r="B33362" s="62" t="str">
        <f>IF(AND('领用录入（明细）'!D:D=$F$4,'领用录入（明细）'!C:C&gt;=$J$4,'领用录入（明细）'!C:C&lt;=$L$4),ROW(),"-")</f>
        <v>-</v>
      </c>
    </row>
    <row r="33363" customHeight="1" spans="2:2">
      <c r="B33363" s="62" t="str">
        <f>IF(AND('领用录入（明细）'!D:D=$F$4,'领用录入（明细）'!C:C&gt;=$J$4,'领用录入（明细）'!C:C&lt;=$L$4),ROW(),"-")</f>
        <v>-</v>
      </c>
    </row>
    <row r="33364" customHeight="1" spans="2:2">
      <c r="B33364" s="62" t="str">
        <f>IF(AND('领用录入（明细）'!D:D=$F$4,'领用录入（明细）'!C:C&gt;=$J$4,'领用录入（明细）'!C:C&lt;=$L$4),ROW(),"-")</f>
        <v>-</v>
      </c>
    </row>
    <row r="33365" customHeight="1" spans="2:2">
      <c r="B33365" s="62" t="str">
        <f>IF(AND('领用录入（明细）'!D:D=$F$4,'领用录入（明细）'!C:C&gt;=$J$4,'领用录入（明细）'!C:C&lt;=$L$4),ROW(),"-")</f>
        <v>-</v>
      </c>
    </row>
    <row r="33366" customHeight="1" spans="2:2">
      <c r="B33366" s="62" t="str">
        <f>IF(AND('领用录入（明细）'!D:D=$F$4,'领用录入（明细）'!C:C&gt;=$J$4,'领用录入（明细）'!C:C&lt;=$L$4),ROW(),"-")</f>
        <v>-</v>
      </c>
    </row>
    <row r="33367" customHeight="1" spans="2:2">
      <c r="B33367" s="62" t="str">
        <f>IF(AND('领用录入（明细）'!D:D=$F$4,'领用录入（明细）'!C:C&gt;=$J$4,'领用录入（明细）'!C:C&lt;=$L$4),ROW(),"-")</f>
        <v>-</v>
      </c>
    </row>
    <row r="33368" customHeight="1" spans="2:2">
      <c r="B33368" s="62" t="str">
        <f>IF(AND('领用录入（明细）'!D:D=$F$4,'领用录入（明细）'!C:C&gt;=$J$4,'领用录入（明细）'!C:C&lt;=$L$4),ROW(),"-")</f>
        <v>-</v>
      </c>
    </row>
    <row r="33369" customHeight="1" spans="2:2">
      <c r="B33369" s="62" t="str">
        <f>IF(AND('领用录入（明细）'!D:D=$F$4,'领用录入（明细）'!C:C&gt;=$J$4,'领用录入（明细）'!C:C&lt;=$L$4),ROW(),"-")</f>
        <v>-</v>
      </c>
    </row>
    <row r="33370" customHeight="1" spans="2:2">
      <c r="B33370" s="62" t="str">
        <f>IF(AND('领用录入（明细）'!D:D=$F$4,'领用录入（明细）'!C:C&gt;=$J$4,'领用录入（明细）'!C:C&lt;=$L$4),ROW(),"-")</f>
        <v>-</v>
      </c>
    </row>
    <row r="33371" customHeight="1" spans="2:2">
      <c r="B33371" s="62" t="str">
        <f>IF(AND('领用录入（明细）'!D:D=$F$4,'领用录入（明细）'!C:C&gt;=$J$4,'领用录入（明细）'!C:C&lt;=$L$4),ROW(),"-")</f>
        <v>-</v>
      </c>
    </row>
    <row r="33372" customHeight="1" spans="2:2">
      <c r="B33372" s="62" t="str">
        <f>IF(AND('领用录入（明细）'!D:D=$F$4,'领用录入（明细）'!C:C&gt;=$J$4,'领用录入（明细）'!C:C&lt;=$L$4),ROW(),"-")</f>
        <v>-</v>
      </c>
    </row>
    <row r="33373" customHeight="1" spans="2:2">
      <c r="B33373" s="62" t="str">
        <f>IF(AND('领用录入（明细）'!D:D=$F$4,'领用录入（明细）'!C:C&gt;=$J$4,'领用录入（明细）'!C:C&lt;=$L$4),ROW(),"-")</f>
        <v>-</v>
      </c>
    </row>
    <row r="33374" customHeight="1" spans="2:2">
      <c r="B33374" s="62" t="str">
        <f>IF(AND('领用录入（明细）'!D:D=$F$4,'领用录入（明细）'!C:C&gt;=$J$4,'领用录入（明细）'!C:C&lt;=$L$4),ROW(),"-")</f>
        <v>-</v>
      </c>
    </row>
    <row r="33375" customHeight="1" spans="2:2">
      <c r="B33375" s="62" t="str">
        <f>IF(AND('领用录入（明细）'!D:D=$F$4,'领用录入（明细）'!C:C&gt;=$J$4,'领用录入（明细）'!C:C&lt;=$L$4),ROW(),"-")</f>
        <v>-</v>
      </c>
    </row>
    <row r="33376" customHeight="1" spans="2:2">
      <c r="B33376" s="62" t="str">
        <f>IF(AND('领用录入（明细）'!D:D=$F$4,'领用录入（明细）'!C:C&gt;=$J$4,'领用录入（明细）'!C:C&lt;=$L$4),ROW(),"-")</f>
        <v>-</v>
      </c>
    </row>
    <row r="33377" customHeight="1" spans="2:2">
      <c r="B33377" s="62" t="str">
        <f>IF(AND('领用录入（明细）'!D:D=$F$4,'领用录入（明细）'!C:C&gt;=$J$4,'领用录入（明细）'!C:C&lt;=$L$4),ROW(),"-")</f>
        <v>-</v>
      </c>
    </row>
    <row r="33378" customHeight="1" spans="2:2">
      <c r="B33378" s="62" t="str">
        <f>IF(AND('领用录入（明细）'!D:D=$F$4,'领用录入（明细）'!C:C&gt;=$J$4,'领用录入（明细）'!C:C&lt;=$L$4),ROW(),"-")</f>
        <v>-</v>
      </c>
    </row>
    <row r="33379" customHeight="1" spans="2:2">
      <c r="B33379" s="62" t="str">
        <f>IF(AND('领用录入（明细）'!D:D=$F$4,'领用录入（明细）'!C:C&gt;=$J$4,'领用录入（明细）'!C:C&lt;=$L$4),ROW(),"-")</f>
        <v>-</v>
      </c>
    </row>
    <row r="33380" customHeight="1" spans="2:2">
      <c r="B33380" s="62" t="str">
        <f>IF(AND('领用录入（明细）'!D:D=$F$4,'领用录入（明细）'!C:C&gt;=$J$4,'领用录入（明细）'!C:C&lt;=$L$4),ROW(),"-")</f>
        <v>-</v>
      </c>
    </row>
    <row r="33381" customHeight="1" spans="2:2">
      <c r="B33381" s="62" t="str">
        <f>IF(AND('领用录入（明细）'!D:D=$F$4,'领用录入（明细）'!C:C&gt;=$J$4,'领用录入（明细）'!C:C&lt;=$L$4),ROW(),"-")</f>
        <v>-</v>
      </c>
    </row>
    <row r="33382" customHeight="1" spans="2:2">
      <c r="B33382" s="62" t="str">
        <f>IF(AND('领用录入（明细）'!D:D=$F$4,'领用录入（明细）'!C:C&gt;=$J$4,'领用录入（明细）'!C:C&lt;=$L$4),ROW(),"-")</f>
        <v>-</v>
      </c>
    </row>
    <row r="33383" customHeight="1" spans="2:2">
      <c r="B33383" s="62" t="str">
        <f>IF(AND('领用录入（明细）'!D:D=$F$4,'领用录入（明细）'!C:C&gt;=$J$4,'领用录入（明细）'!C:C&lt;=$L$4),ROW(),"-")</f>
        <v>-</v>
      </c>
    </row>
    <row r="33384" customHeight="1" spans="2:2">
      <c r="B33384" s="62" t="str">
        <f>IF(AND('领用录入（明细）'!D:D=$F$4,'领用录入（明细）'!C:C&gt;=$J$4,'领用录入（明细）'!C:C&lt;=$L$4),ROW(),"-")</f>
        <v>-</v>
      </c>
    </row>
    <row r="33385" customHeight="1" spans="2:2">
      <c r="B33385" s="62" t="str">
        <f>IF(AND('领用录入（明细）'!D:D=$F$4,'领用录入（明细）'!C:C&gt;=$J$4,'领用录入（明细）'!C:C&lt;=$L$4),ROW(),"-")</f>
        <v>-</v>
      </c>
    </row>
    <row r="33386" customHeight="1" spans="2:2">
      <c r="B33386" s="62" t="str">
        <f>IF(AND('领用录入（明细）'!D:D=$F$4,'领用录入（明细）'!C:C&gt;=$J$4,'领用录入（明细）'!C:C&lt;=$L$4),ROW(),"-")</f>
        <v>-</v>
      </c>
    </row>
    <row r="33387" customHeight="1" spans="2:2">
      <c r="B33387" s="62" t="str">
        <f>IF(AND('领用录入（明细）'!D:D=$F$4,'领用录入（明细）'!C:C&gt;=$J$4,'领用录入（明细）'!C:C&lt;=$L$4),ROW(),"-")</f>
        <v>-</v>
      </c>
    </row>
    <row r="33388" customHeight="1" spans="2:2">
      <c r="B33388" s="62" t="str">
        <f>IF(AND('领用录入（明细）'!D:D=$F$4,'领用录入（明细）'!C:C&gt;=$J$4,'领用录入（明细）'!C:C&lt;=$L$4),ROW(),"-")</f>
        <v>-</v>
      </c>
    </row>
    <row r="33389" customHeight="1" spans="2:2">
      <c r="B33389" s="62" t="str">
        <f>IF(AND('领用录入（明细）'!D:D=$F$4,'领用录入（明细）'!C:C&gt;=$J$4,'领用录入（明细）'!C:C&lt;=$L$4),ROW(),"-")</f>
        <v>-</v>
      </c>
    </row>
    <row r="33390" customHeight="1" spans="2:2">
      <c r="B33390" s="62" t="str">
        <f>IF(AND('领用录入（明细）'!D:D=$F$4,'领用录入（明细）'!C:C&gt;=$J$4,'领用录入（明细）'!C:C&lt;=$L$4),ROW(),"-")</f>
        <v>-</v>
      </c>
    </row>
    <row r="33391" customHeight="1" spans="2:2">
      <c r="B33391" s="62" t="str">
        <f>IF(AND('领用录入（明细）'!D:D=$F$4,'领用录入（明细）'!C:C&gt;=$J$4,'领用录入（明细）'!C:C&lt;=$L$4),ROW(),"-")</f>
        <v>-</v>
      </c>
    </row>
    <row r="33392" customHeight="1" spans="2:2">
      <c r="B33392" s="62" t="str">
        <f>IF(AND('领用录入（明细）'!D:D=$F$4,'领用录入（明细）'!C:C&gt;=$J$4,'领用录入（明细）'!C:C&lt;=$L$4),ROW(),"-")</f>
        <v>-</v>
      </c>
    </row>
    <row r="33393" customHeight="1" spans="2:2">
      <c r="B33393" s="62" t="str">
        <f>IF(AND('领用录入（明细）'!D:D=$F$4,'领用录入（明细）'!C:C&gt;=$J$4,'领用录入（明细）'!C:C&lt;=$L$4),ROW(),"-")</f>
        <v>-</v>
      </c>
    </row>
    <row r="33394" customHeight="1" spans="2:2">
      <c r="B33394" s="62" t="str">
        <f>IF(AND('领用录入（明细）'!D:D=$F$4,'领用录入（明细）'!C:C&gt;=$J$4,'领用录入（明细）'!C:C&lt;=$L$4),ROW(),"-")</f>
        <v>-</v>
      </c>
    </row>
    <row r="33395" customHeight="1" spans="2:2">
      <c r="B33395" s="62" t="str">
        <f>IF(AND('领用录入（明细）'!D:D=$F$4,'领用录入（明细）'!C:C&gt;=$J$4,'领用录入（明细）'!C:C&lt;=$L$4),ROW(),"-")</f>
        <v>-</v>
      </c>
    </row>
    <row r="33396" customHeight="1" spans="2:2">
      <c r="B33396" s="62" t="str">
        <f>IF(AND('领用录入（明细）'!D:D=$F$4,'领用录入（明细）'!C:C&gt;=$J$4,'领用录入（明细）'!C:C&lt;=$L$4),ROW(),"-")</f>
        <v>-</v>
      </c>
    </row>
    <row r="33397" customHeight="1" spans="2:2">
      <c r="B33397" s="62" t="str">
        <f>IF(AND('领用录入（明细）'!D:D=$F$4,'领用录入（明细）'!C:C&gt;=$J$4,'领用录入（明细）'!C:C&lt;=$L$4),ROW(),"-")</f>
        <v>-</v>
      </c>
    </row>
    <row r="33398" customHeight="1" spans="2:2">
      <c r="B33398" s="62" t="str">
        <f>IF(AND('领用录入（明细）'!D:D=$F$4,'领用录入（明细）'!C:C&gt;=$J$4,'领用录入（明细）'!C:C&lt;=$L$4),ROW(),"-")</f>
        <v>-</v>
      </c>
    </row>
    <row r="33399" customHeight="1" spans="2:2">
      <c r="B33399" s="62" t="str">
        <f>IF(AND('领用录入（明细）'!D:D=$F$4,'领用录入（明细）'!C:C&gt;=$J$4,'领用录入（明细）'!C:C&lt;=$L$4),ROW(),"-")</f>
        <v>-</v>
      </c>
    </row>
    <row r="33400" customHeight="1" spans="2:2">
      <c r="B33400" s="62" t="str">
        <f>IF(AND('领用录入（明细）'!D:D=$F$4,'领用录入（明细）'!C:C&gt;=$J$4,'领用录入（明细）'!C:C&lt;=$L$4),ROW(),"-")</f>
        <v>-</v>
      </c>
    </row>
    <row r="33401" customHeight="1" spans="2:2">
      <c r="B33401" s="62" t="str">
        <f>IF(AND('领用录入（明细）'!D:D=$F$4,'领用录入（明细）'!C:C&gt;=$J$4,'领用录入（明细）'!C:C&lt;=$L$4),ROW(),"-")</f>
        <v>-</v>
      </c>
    </row>
    <row r="33402" customHeight="1" spans="2:2">
      <c r="B33402" s="62" t="str">
        <f>IF(AND('领用录入（明细）'!D:D=$F$4,'领用录入（明细）'!C:C&gt;=$J$4,'领用录入（明细）'!C:C&lt;=$L$4),ROW(),"-")</f>
        <v>-</v>
      </c>
    </row>
    <row r="33403" customHeight="1" spans="2:2">
      <c r="B33403" s="62" t="str">
        <f>IF(AND('领用录入（明细）'!D:D=$F$4,'领用录入（明细）'!C:C&gt;=$J$4,'领用录入（明细）'!C:C&lt;=$L$4),ROW(),"-")</f>
        <v>-</v>
      </c>
    </row>
    <row r="33404" customHeight="1" spans="2:2">
      <c r="B33404" s="62" t="str">
        <f>IF(AND('领用录入（明细）'!D:D=$F$4,'领用录入（明细）'!C:C&gt;=$J$4,'领用录入（明细）'!C:C&lt;=$L$4),ROW(),"-")</f>
        <v>-</v>
      </c>
    </row>
    <row r="33405" customHeight="1" spans="2:2">
      <c r="B33405" s="62" t="str">
        <f>IF(AND('领用录入（明细）'!D:D=$F$4,'领用录入（明细）'!C:C&gt;=$J$4,'领用录入（明细）'!C:C&lt;=$L$4),ROW(),"-")</f>
        <v>-</v>
      </c>
    </row>
    <row r="33406" customHeight="1" spans="2:2">
      <c r="B33406" s="62" t="str">
        <f>IF(AND('领用录入（明细）'!D:D=$F$4,'领用录入（明细）'!C:C&gt;=$J$4,'领用录入（明细）'!C:C&lt;=$L$4),ROW(),"-")</f>
        <v>-</v>
      </c>
    </row>
    <row r="33407" customHeight="1" spans="2:2">
      <c r="B33407" s="62" t="str">
        <f>IF(AND('领用录入（明细）'!D:D=$F$4,'领用录入（明细）'!C:C&gt;=$J$4,'领用录入（明细）'!C:C&lt;=$L$4),ROW(),"-")</f>
        <v>-</v>
      </c>
    </row>
    <row r="33408" customHeight="1" spans="2:2">
      <c r="B33408" s="62" t="str">
        <f>IF(AND('领用录入（明细）'!D:D=$F$4,'领用录入（明细）'!C:C&gt;=$J$4,'领用录入（明细）'!C:C&lt;=$L$4),ROW(),"-")</f>
        <v>-</v>
      </c>
    </row>
    <row r="33409" customHeight="1" spans="2:2">
      <c r="B33409" s="62" t="str">
        <f>IF(AND('领用录入（明细）'!D:D=$F$4,'领用录入（明细）'!C:C&gt;=$J$4,'领用录入（明细）'!C:C&lt;=$L$4),ROW(),"-")</f>
        <v>-</v>
      </c>
    </row>
    <row r="33410" customHeight="1" spans="2:2">
      <c r="B33410" s="62" t="str">
        <f>IF(AND('领用录入（明细）'!D:D=$F$4,'领用录入（明细）'!C:C&gt;=$J$4,'领用录入（明细）'!C:C&lt;=$L$4),ROW(),"-")</f>
        <v>-</v>
      </c>
    </row>
    <row r="33411" customHeight="1" spans="2:2">
      <c r="B33411" s="62" t="str">
        <f>IF(AND('领用录入（明细）'!D:D=$F$4,'领用录入（明细）'!C:C&gt;=$J$4,'领用录入（明细）'!C:C&lt;=$L$4),ROW(),"-")</f>
        <v>-</v>
      </c>
    </row>
    <row r="33412" customHeight="1" spans="2:2">
      <c r="B33412" s="62" t="str">
        <f>IF(AND('领用录入（明细）'!D:D=$F$4,'领用录入（明细）'!C:C&gt;=$J$4,'领用录入（明细）'!C:C&lt;=$L$4),ROW(),"-")</f>
        <v>-</v>
      </c>
    </row>
    <row r="33413" customHeight="1" spans="2:2">
      <c r="B33413" s="62" t="str">
        <f>IF(AND('领用录入（明细）'!D:D=$F$4,'领用录入（明细）'!C:C&gt;=$J$4,'领用录入（明细）'!C:C&lt;=$L$4),ROW(),"-")</f>
        <v>-</v>
      </c>
    </row>
    <row r="33414" customHeight="1" spans="2:2">
      <c r="B33414" s="62" t="str">
        <f>IF(AND('领用录入（明细）'!D:D=$F$4,'领用录入（明细）'!C:C&gt;=$J$4,'领用录入（明细）'!C:C&lt;=$L$4),ROW(),"-")</f>
        <v>-</v>
      </c>
    </row>
    <row r="33415" customHeight="1" spans="2:2">
      <c r="B33415" s="62" t="str">
        <f>IF(AND('领用录入（明细）'!D:D=$F$4,'领用录入（明细）'!C:C&gt;=$J$4,'领用录入（明细）'!C:C&lt;=$L$4),ROW(),"-")</f>
        <v>-</v>
      </c>
    </row>
    <row r="33416" customHeight="1" spans="2:2">
      <c r="B33416" s="62" t="str">
        <f>IF(AND('领用录入（明细）'!D:D=$F$4,'领用录入（明细）'!C:C&gt;=$J$4,'领用录入（明细）'!C:C&lt;=$L$4),ROW(),"-")</f>
        <v>-</v>
      </c>
    </row>
    <row r="33417" customHeight="1" spans="2:2">
      <c r="B33417" s="62" t="str">
        <f>IF(AND('领用录入（明细）'!D:D=$F$4,'领用录入（明细）'!C:C&gt;=$J$4,'领用录入（明细）'!C:C&lt;=$L$4),ROW(),"-")</f>
        <v>-</v>
      </c>
    </row>
    <row r="33418" customHeight="1" spans="2:2">
      <c r="B33418" s="62" t="str">
        <f>IF(AND('领用录入（明细）'!D:D=$F$4,'领用录入（明细）'!C:C&gt;=$J$4,'领用录入（明细）'!C:C&lt;=$L$4),ROW(),"-")</f>
        <v>-</v>
      </c>
    </row>
    <row r="33419" customHeight="1" spans="2:2">
      <c r="B33419" s="62" t="str">
        <f>IF(AND('领用录入（明细）'!D:D=$F$4,'领用录入（明细）'!C:C&gt;=$J$4,'领用录入（明细）'!C:C&lt;=$L$4),ROW(),"-")</f>
        <v>-</v>
      </c>
    </row>
    <row r="33420" customHeight="1" spans="2:2">
      <c r="B33420" s="62" t="str">
        <f>IF(AND('领用录入（明细）'!D:D=$F$4,'领用录入（明细）'!C:C&gt;=$J$4,'领用录入（明细）'!C:C&lt;=$L$4),ROW(),"-")</f>
        <v>-</v>
      </c>
    </row>
    <row r="33421" customHeight="1" spans="2:2">
      <c r="B33421" s="62" t="str">
        <f>IF(AND('领用录入（明细）'!D:D=$F$4,'领用录入（明细）'!C:C&gt;=$J$4,'领用录入（明细）'!C:C&lt;=$L$4),ROW(),"-")</f>
        <v>-</v>
      </c>
    </row>
    <row r="33422" customHeight="1" spans="2:2">
      <c r="B33422" s="62" t="str">
        <f>IF(AND('领用录入（明细）'!D:D=$F$4,'领用录入（明细）'!C:C&gt;=$J$4,'领用录入（明细）'!C:C&lt;=$L$4),ROW(),"-")</f>
        <v>-</v>
      </c>
    </row>
    <row r="33423" customHeight="1" spans="2:2">
      <c r="B33423" s="62" t="str">
        <f>IF(AND('领用录入（明细）'!D:D=$F$4,'领用录入（明细）'!C:C&gt;=$J$4,'领用录入（明细）'!C:C&lt;=$L$4),ROW(),"-")</f>
        <v>-</v>
      </c>
    </row>
    <row r="33424" customHeight="1" spans="2:2">
      <c r="B33424" s="62" t="str">
        <f>IF(AND('领用录入（明细）'!D:D=$F$4,'领用录入（明细）'!C:C&gt;=$J$4,'领用录入（明细）'!C:C&lt;=$L$4),ROW(),"-")</f>
        <v>-</v>
      </c>
    </row>
    <row r="33425" customHeight="1" spans="2:2">
      <c r="B33425" s="62" t="str">
        <f>IF(AND('领用录入（明细）'!D:D=$F$4,'领用录入（明细）'!C:C&gt;=$J$4,'领用录入（明细）'!C:C&lt;=$L$4),ROW(),"-")</f>
        <v>-</v>
      </c>
    </row>
    <row r="33426" customHeight="1" spans="2:2">
      <c r="B33426" s="62" t="str">
        <f>IF(AND('领用录入（明细）'!D:D=$F$4,'领用录入（明细）'!C:C&gt;=$J$4,'领用录入（明细）'!C:C&lt;=$L$4),ROW(),"-")</f>
        <v>-</v>
      </c>
    </row>
    <row r="33427" customHeight="1" spans="2:2">
      <c r="B33427" s="62" t="str">
        <f>IF(AND('领用录入（明细）'!D:D=$F$4,'领用录入（明细）'!C:C&gt;=$J$4,'领用录入（明细）'!C:C&lt;=$L$4),ROW(),"-")</f>
        <v>-</v>
      </c>
    </row>
    <row r="33428" customHeight="1" spans="2:2">
      <c r="B33428" s="62" t="str">
        <f>IF(AND('领用录入（明细）'!D:D=$F$4,'领用录入（明细）'!C:C&gt;=$J$4,'领用录入（明细）'!C:C&lt;=$L$4),ROW(),"-")</f>
        <v>-</v>
      </c>
    </row>
    <row r="33429" customHeight="1" spans="2:2">
      <c r="B33429" s="62" t="str">
        <f>IF(AND('领用录入（明细）'!D:D=$F$4,'领用录入（明细）'!C:C&gt;=$J$4,'领用录入（明细）'!C:C&lt;=$L$4),ROW(),"-")</f>
        <v>-</v>
      </c>
    </row>
    <row r="33430" customHeight="1" spans="2:2">
      <c r="B33430" s="62" t="str">
        <f>IF(AND('领用录入（明细）'!D:D=$F$4,'领用录入（明细）'!C:C&gt;=$J$4,'领用录入（明细）'!C:C&lt;=$L$4),ROW(),"-")</f>
        <v>-</v>
      </c>
    </row>
    <row r="33431" customHeight="1" spans="2:2">
      <c r="B33431" s="62" t="str">
        <f>IF(AND('领用录入（明细）'!D:D=$F$4,'领用录入（明细）'!C:C&gt;=$J$4,'领用录入（明细）'!C:C&lt;=$L$4),ROW(),"-")</f>
        <v>-</v>
      </c>
    </row>
    <row r="33432" customHeight="1" spans="2:2">
      <c r="B33432" s="62" t="str">
        <f>IF(AND('领用录入（明细）'!D:D=$F$4,'领用录入（明细）'!C:C&gt;=$J$4,'领用录入（明细）'!C:C&lt;=$L$4),ROW(),"-")</f>
        <v>-</v>
      </c>
    </row>
    <row r="33433" customHeight="1" spans="2:2">
      <c r="B33433" s="62" t="str">
        <f>IF(AND('领用录入（明细）'!D:D=$F$4,'领用录入（明细）'!C:C&gt;=$J$4,'领用录入（明细）'!C:C&lt;=$L$4),ROW(),"-")</f>
        <v>-</v>
      </c>
    </row>
    <row r="33434" customHeight="1" spans="2:2">
      <c r="B33434" s="62" t="str">
        <f>IF(AND('领用录入（明细）'!D:D=$F$4,'领用录入（明细）'!C:C&gt;=$J$4,'领用录入（明细）'!C:C&lt;=$L$4),ROW(),"-")</f>
        <v>-</v>
      </c>
    </row>
    <row r="33435" customHeight="1" spans="2:2">
      <c r="B33435" s="62" t="str">
        <f>IF(AND('领用录入（明细）'!D:D=$F$4,'领用录入（明细）'!C:C&gt;=$J$4,'领用录入（明细）'!C:C&lt;=$L$4),ROW(),"-")</f>
        <v>-</v>
      </c>
    </row>
    <row r="33436" customHeight="1" spans="2:2">
      <c r="B33436" s="62" t="str">
        <f>IF(AND('领用录入（明细）'!D:D=$F$4,'领用录入（明细）'!C:C&gt;=$J$4,'领用录入（明细）'!C:C&lt;=$L$4),ROW(),"-")</f>
        <v>-</v>
      </c>
    </row>
    <row r="33437" customHeight="1" spans="2:2">
      <c r="B33437" s="62" t="str">
        <f>IF(AND('领用录入（明细）'!D:D=$F$4,'领用录入（明细）'!C:C&gt;=$J$4,'领用录入（明细）'!C:C&lt;=$L$4),ROW(),"-")</f>
        <v>-</v>
      </c>
    </row>
    <row r="33438" customHeight="1" spans="2:2">
      <c r="B33438" s="62" t="str">
        <f>IF(AND('领用录入（明细）'!D:D=$F$4,'领用录入（明细）'!C:C&gt;=$J$4,'领用录入（明细）'!C:C&lt;=$L$4),ROW(),"-")</f>
        <v>-</v>
      </c>
    </row>
    <row r="33439" customHeight="1" spans="2:2">
      <c r="B33439" s="62" t="str">
        <f>IF(AND('领用录入（明细）'!D:D=$F$4,'领用录入（明细）'!C:C&gt;=$J$4,'领用录入（明细）'!C:C&lt;=$L$4),ROW(),"-")</f>
        <v>-</v>
      </c>
    </row>
    <row r="33440" customHeight="1" spans="2:2">
      <c r="B33440" s="62" t="str">
        <f>IF(AND('领用录入（明细）'!D:D=$F$4,'领用录入（明细）'!C:C&gt;=$J$4,'领用录入（明细）'!C:C&lt;=$L$4),ROW(),"-")</f>
        <v>-</v>
      </c>
    </row>
    <row r="33441" customHeight="1" spans="2:2">
      <c r="B33441" s="62" t="str">
        <f>IF(AND('领用录入（明细）'!D:D=$F$4,'领用录入（明细）'!C:C&gt;=$J$4,'领用录入（明细）'!C:C&lt;=$L$4),ROW(),"-")</f>
        <v>-</v>
      </c>
    </row>
    <row r="33442" customHeight="1" spans="2:2">
      <c r="B33442" s="62" t="str">
        <f>IF(AND('领用录入（明细）'!D:D=$F$4,'领用录入（明细）'!C:C&gt;=$J$4,'领用录入（明细）'!C:C&lt;=$L$4),ROW(),"-")</f>
        <v>-</v>
      </c>
    </row>
    <row r="33443" customHeight="1" spans="2:2">
      <c r="B33443" s="62" t="str">
        <f>IF(AND('领用录入（明细）'!D:D=$F$4,'领用录入（明细）'!C:C&gt;=$J$4,'领用录入（明细）'!C:C&lt;=$L$4),ROW(),"-")</f>
        <v>-</v>
      </c>
    </row>
    <row r="33444" customHeight="1" spans="2:2">
      <c r="B33444" s="62" t="str">
        <f>IF(AND('领用录入（明细）'!D:D=$F$4,'领用录入（明细）'!C:C&gt;=$J$4,'领用录入（明细）'!C:C&lt;=$L$4),ROW(),"-")</f>
        <v>-</v>
      </c>
    </row>
    <row r="33445" customHeight="1" spans="2:2">
      <c r="B33445" s="62" t="str">
        <f>IF(AND('领用录入（明细）'!D:D=$F$4,'领用录入（明细）'!C:C&gt;=$J$4,'领用录入（明细）'!C:C&lt;=$L$4),ROW(),"-")</f>
        <v>-</v>
      </c>
    </row>
    <row r="33446" customHeight="1" spans="2:2">
      <c r="B33446" s="62" t="str">
        <f>IF(AND('领用录入（明细）'!D:D=$F$4,'领用录入（明细）'!C:C&gt;=$J$4,'领用录入（明细）'!C:C&lt;=$L$4),ROW(),"-")</f>
        <v>-</v>
      </c>
    </row>
    <row r="33447" customHeight="1" spans="2:2">
      <c r="B33447" s="62" t="str">
        <f>IF(AND('领用录入（明细）'!D:D=$F$4,'领用录入（明细）'!C:C&gt;=$J$4,'领用录入（明细）'!C:C&lt;=$L$4),ROW(),"-")</f>
        <v>-</v>
      </c>
    </row>
    <row r="33448" customHeight="1" spans="2:2">
      <c r="B33448" s="62" t="str">
        <f>IF(AND('领用录入（明细）'!D:D=$F$4,'领用录入（明细）'!C:C&gt;=$J$4,'领用录入（明细）'!C:C&lt;=$L$4),ROW(),"-")</f>
        <v>-</v>
      </c>
    </row>
    <row r="33449" customHeight="1" spans="2:2">
      <c r="B33449" s="62" t="str">
        <f>IF(AND('领用录入（明细）'!D:D=$F$4,'领用录入（明细）'!C:C&gt;=$J$4,'领用录入（明细）'!C:C&lt;=$L$4),ROW(),"-")</f>
        <v>-</v>
      </c>
    </row>
    <row r="33450" customHeight="1" spans="2:2">
      <c r="B33450" s="62" t="str">
        <f>IF(AND('领用录入（明细）'!D:D=$F$4,'领用录入（明细）'!C:C&gt;=$J$4,'领用录入（明细）'!C:C&lt;=$L$4),ROW(),"-")</f>
        <v>-</v>
      </c>
    </row>
    <row r="33451" customHeight="1" spans="2:2">
      <c r="B33451" s="62" t="str">
        <f>IF(AND('领用录入（明细）'!D:D=$F$4,'领用录入（明细）'!C:C&gt;=$J$4,'领用录入（明细）'!C:C&lt;=$L$4),ROW(),"-")</f>
        <v>-</v>
      </c>
    </row>
    <row r="33452" customHeight="1" spans="2:2">
      <c r="B33452" s="62" t="str">
        <f>IF(AND('领用录入（明细）'!D:D=$F$4,'领用录入（明细）'!C:C&gt;=$J$4,'领用录入（明细）'!C:C&lt;=$L$4),ROW(),"-")</f>
        <v>-</v>
      </c>
    </row>
    <row r="33453" customHeight="1" spans="2:2">
      <c r="B33453" s="62" t="str">
        <f>IF(AND('领用录入（明细）'!D:D=$F$4,'领用录入（明细）'!C:C&gt;=$J$4,'领用录入（明细）'!C:C&lt;=$L$4),ROW(),"-")</f>
        <v>-</v>
      </c>
    </row>
    <row r="33454" customHeight="1" spans="2:2">
      <c r="B33454" s="62" t="str">
        <f>IF(AND('领用录入（明细）'!D:D=$F$4,'领用录入（明细）'!C:C&gt;=$J$4,'领用录入（明细）'!C:C&lt;=$L$4),ROW(),"-")</f>
        <v>-</v>
      </c>
    </row>
    <row r="33455" customHeight="1" spans="2:2">
      <c r="B33455" s="62" t="str">
        <f>IF(AND('领用录入（明细）'!D:D=$F$4,'领用录入（明细）'!C:C&gt;=$J$4,'领用录入（明细）'!C:C&lt;=$L$4),ROW(),"-")</f>
        <v>-</v>
      </c>
    </row>
    <row r="33456" customHeight="1" spans="2:2">
      <c r="B33456" s="62" t="str">
        <f>IF(AND('领用录入（明细）'!D:D=$F$4,'领用录入（明细）'!C:C&gt;=$J$4,'领用录入（明细）'!C:C&lt;=$L$4),ROW(),"-")</f>
        <v>-</v>
      </c>
    </row>
    <row r="33457" customHeight="1" spans="2:2">
      <c r="B33457" s="62" t="str">
        <f>IF(AND('领用录入（明细）'!D:D=$F$4,'领用录入（明细）'!C:C&gt;=$J$4,'领用录入（明细）'!C:C&lt;=$L$4),ROW(),"-")</f>
        <v>-</v>
      </c>
    </row>
    <row r="33458" customHeight="1" spans="2:2">
      <c r="B33458" s="62" t="str">
        <f>IF(AND('领用录入（明细）'!D:D=$F$4,'领用录入（明细）'!C:C&gt;=$J$4,'领用录入（明细）'!C:C&lt;=$L$4),ROW(),"-")</f>
        <v>-</v>
      </c>
    </row>
    <row r="33459" customHeight="1" spans="2:2">
      <c r="B33459" s="62" t="str">
        <f>IF(AND('领用录入（明细）'!D:D=$F$4,'领用录入（明细）'!C:C&gt;=$J$4,'领用录入（明细）'!C:C&lt;=$L$4),ROW(),"-")</f>
        <v>-</v>
      </c>
    </row>
    <row r="33460" customHeight="1" spans="2:2">
      <c r="B33460" s="62" t="str">
        <f>IF(AND('领用录入（明细）'!D:D=$F$4,'领用录入（明细）'!C:C&gt;=$J$4,'领用录入（明细）'!C:C&lt;=$L$4),ROW(),"-")</f>
        <v>-</v>
      </c>
    </row>
    <row r="33461" customHeight="1" spans="2:2">
      <c r="B33461" s="62" t="str">
        <f>IF(AND('领用录入（明细）'!D:D=$F$4,'领用录入（明细）'!C:C&gt;=$J$4,'领用录入（明细）'!C:C&lt;=$L$4),ROW(),"-")</f>
        <v>-</v>
      </c>
    </row>
    <row r="33462" customHeight="1" spans="2:2">
      <c r="B33462" s="62" t="str">
        <f>IF(AND('领用录入（明细）'!D:D=$F$4,'领用录入（明细）'!C:C&gt;=$J$4,'领用录入（明细）'!C:C&lt;=$L$4),ROW(),"-")</f>
        <v>-</v>
      </c>
    </row>
    <row r="33463" customHeight="1" spans="2:2">
      <c r="B33463" s="62" t="str">
        <f>IF(AND('领用录入（明细）'!D:D=$F$4,'领用录入（明细）'!C:C&gt;=$J$4,'领用录入（明细）'!C:C&lt;=$L$4),ROW(),"-")</f>
        <v>-</v>
      </c>
    </row>
    <row r="33464" customHeight="1" spans="2:2">
      <c r="B33464" s="62" t="str">
        <f>IF(AND('领用录入（明细）'!D:D=$F$4,'领用录入（明细）'!C:C&gt;=$J$4,'领用录入（明细）'!C:C&lt;=$L$4),ROW(),"-")</f>
        <v>-</v>
      </c>
    </row>
    <row r="33465" customHeight="1" spans="2:2">
      <c r="B33465" s="62" t="str">
        <f>IF(AND('领用录入（明细）'!D:D=$F$4,'领用录入（明细）'!C:C&gt;=$J$4,'领用录入（明细）'!C:C&lt;=$L$4),ROW(),"-")</f>
        <v>-</v>
      </c>
    </row>
    <row r="33466" customHeight="1" spans="2:2">
      <c r="B33466" s="62" t="str">
        <f>IF(AND('领用录入（明细）'!D:D=$F$4,'领用录入（明细）'!C:C&gt;=$J$4,'领用录入（明细）'!C:C&lt;=$L$4),ROW(),"-")</f>
        <v>-</v>
      </c>
    </row>
    <row r="33467" customHeight="1" spans="2:2">
      <c r="B33467" s="62" t="str">
        <f>IF(AND('领用录入（明细）'!D:D=$F$4,'领用录入（明细）'!C:C&gt;=$J$4,'领用录入（明细）'!C:C&lt;=$L$4),ROW(),"-")</f>
        <v>-</v>
      </c>
    </row>
    <row r="33468" customHeight="1" spans="2:2">
      <c r="B33468" s="62" t="str">
        <f>IF(AND('领用录入（明细）'!D:D=$F$4,'领用录入（明细）'!C:C&gt;=$J$4,'领用录入（明细）'!C:C&lt;=$L$4),ROW(),"-")</f>
        <v>-</v>
      </c>
    </row>
    <row r="33469" customHeight="1" spans="2:2">
      <c r="B33469" s="62" t="str">
        <f>IF(AND('领用录入（明细）'!D:D=$F$4,'领用录入（明细）'!C:C&gt;=$J$4,'领用录入（明细）'!C:C&lt;=$L$4),ROW(),"-")</f>
        <v>-</v>
      </c>
    </row>
    <row r="33470" customHeight="1" spans="2:2">
      <c r="B33470" s="62" t="str">
        <f>IF(AND('领用录入（明细）'!D:D=$F$4,'领用录入（明细）'!C:C&gt;=$J$4,'领用录入（明细）'!C:C&lt;=$L$4),ROW(),"-")</f>
        <v>-</v>
      </c>
    </row>
    <row r="33471" customHeight="1" spans="2:2">
      <c r="B33471" s="62" t="str">
        <f>IF(AND('领用录入（明细）'!D:D=$F$4,'领用录入（明细）'!C:C&gt;=$J$4,'领用录入（明细）'!C:C&lt;=$L$4),ROW(),"-")</f>
        <v>-</v>
      </c>
    </row>
    <row r="33472" customHeight="1" spans="2:2">
      <c r="B33472" s="62" t="str">
        <f>IF(AND('领用录入（明细）'!D:D=$F$4,'领用录入（明细）'!C:C&gt;=$J$4,'领用录入（明细）'!C:C&lt;=$L$4),ROW(),"-")</f>
        <v>-</v>
      </c>
    </row>
    <row r="33473" customHeight="1" spans="2:2">
      <c r="B33473" s="62" t="str">
        <f>IF(AND('领用录入（明细）'!D:D=$F$4,'领用录入（明细）'!C:C&gt;=$J$4,'领用录入（明细）'!C:C&lt;=$L$4),ROW(),"-")</f>
        <v>-</v>
      </c>
    </row>
    <row r="33474" customHeight="1" spans="2:2">
      <c r="B33474" s="62" t="str">
        <f>IF(AND('领用录入（明细）'!D:D=$F$4,'领用录入（明细）'!C:C&gt;=$J$4,'领用录入（明细）'!C:C&lt;=$L$4),ROW(),"-")</f>
        <v>-</v>
      </c>
    </row>
    <row r="33475" customHeight="1" spans="2:2">
      <c r="B33475" s="62" t="str">
        <f>IF(AND('领用录入（明细）'!D:D=$F$4,'领用录入（明细）'!C:C&gt;=$J$4,'领用录入（明细）'!C:C&lt;=$L$4),ROW(),"-")</f>
        <v>-</v>
      </c>
    </row>
    <row r="33476" customHeight="1" spans="2:2">
      <c r="B33476" s="62" t="str">
        <f>IF(AND('领用录入（明细）'!D:D=$F$4,'领用录入（明细）'!C:C&gt;=$J$4,'领用录入（明细）'!C:C&lt;=$L$4),ROW(),"-")</f>
        <v>-</v>
      </c>
    </row>
    <row r="33477" customHeight="1" spans="2:2">
      <c r="B33477" s="62" t="str">
        <f>IF(AND('领用录入（明细）'!D:D=$F$4,'领用录入（明细）'!C:C&gt;=$J$4,'领用录入（明细）'!C:C&lt;=$L$4),ROW(),"-")</f>
        <v>-</v>
      </c>
    </row>
    <row r="33478" customHeight="1" spans="2:2">
      <c r="B33478" s="62" t="str">
        <f>IF(AND('领用录入（明细）'!D:D=$F$4,'领用录入（明细）'!C:C&gt;=$J$4,'领用录入（明细）'!C:C&lt;=$L$4),ROW(),"-")</f>
        <v>-</v>
      </c>
    </row>
    <row r="33479" customHeight="1" spans="2:2">
      <c r="B33479" s="62" t="str">
        <f>IF(AND('领用录入（明细）'!D:D=$F$4,'领用录入（明细）'!C:C&gt;=$J$4,'领用录入（明细）'!C:C&lt;=$L$4),ROW(),"-")</f>
        <v>-</v>
      </c>
    </row>
    <row r="33480" customHeight="1" spans="2:2">
      <c r="B33480" s="62" t="str">
        <f>IF(AND('领用录入（明细）'!D:D=$F$4,'领用录入（明细）'!C:C&gt;=$J$4,'领用录入（明细）'!C:C&lt;=$L$4),ROW(),"-")</f>
        <v>-</v>
      </c>
    </row>
    <row r="33481" customHeight="1" spans="2:2">
      <c r="B33481" s="62" t="str">
        <f>IF(AND('领用录入（明细）'!D:D=$F$4,'领用录入（明细）'!C:C&gt;=$J$4,'领用录入（明细）'!C:C&lt;=$L$4),ROW(),"-")</f>
        <v>-</v>
      </c>
    </row>
    <row r="33482" customHeight="1" spans="2:2">
      <c r="B33482" s="62" t="str">
        <f>IF(AND('领用录入（明细）'!D:D=$F$4,'领用录入（明细）'!C:C&gt;=$J$4,'领用录入（明细）'!C:C&lt;=$L$4),ROW(),"-")</f>
        <v>-</v>
      </c>
    </row>
    <row r="33483" customHeight="1" spans="2:2">
      <c r="B33483" s="62" t="str">
        <f>IF(AND('领用录入（明细）'!D:D=$F$4,'领用录入（明细）'!C:C&gt;=$J$4,'领用录入（明细）'!C:C&lt;=$L$4),ROW(),"-")</f>
        <v>-</v>
      </c>
    </row>
    <row r="33484" customHeight="1" spans="2:2">
      <c r="B33484" s="62" t="str">
        <f>IF(AND('领用录入（明细）'!D:D=$F$4,'领用录入（明细）'!C:C&gt;=$J$4,'领用录入（明细）'!C:C&lt;=$L$4),ROW(),"-")</f>
        <v>-</v>
      </c>
    </row>
    <row r="33485" customHeight="1" spans="2:2">
      <c r="B33485" s="62" t="str">
        <f>IF(AND('领用录入（明细）'!D:D=$F$4,'领用录入（明细）'!C:C&gt;=$J$4,'领用录入（明细）'!C:C&lt;=$L$4),ROW(),"-")</f>
        <v>-</v>
      </c>
    </row>
    <row r="33486" customHeight="1" spans="2:2">
      <c r="B33486" s="62" t="str">
        <f>IF(AND('领用录入（明细）'!D:D=$F$4,'领用录入（明细）'!C:C&gt;=$J$4,'领用录入（明细）'!C:C&lt;=$L$4),ROW(),"-")</f>
        <v>-</v>
      </c>
    </row>
    <row r="33487" customHeight="1" spans="2:2">
      <c r="B33487" s="62" t="str">
        <f>IF(AND('领用录入（明细）'!D:D=$F$4,'领用录入（明细）'!C:C&gt;=$J$4,'领用录入（明细）'!C:C&lt;=$L$4),ROW(),"-")</f>
        <v>-</v>
      </c>
    </row>
    <row r="33488" customHeight="1" spans="2:2">
      <c r="B33488" s="62" t="str">
        <f>IF(AND('领用录入（明细）'!D:D=$F$4,'领用录入（明细）'!C:C&gt;=$J$4,'领用录入（明细）'!C:C&lt;=$L$4),ROW(),"-")</f>
        <v>-</v>
      </c>
    </row>
    <row r="33489" customHeight="1" spans="2:2">
      <c r="B33489" s="62" t="str">
        <f>IF(AND('领用录入（明细）'!D:D=$F$4,'领用录入（明细）'!C:C&gt;=$J$4,'领用录入（明细）'!C:C&lt;=$L$4),ROW(),"-")</f>
        <v>-</v>
      </c>
    </row>
    <row r="33490" customHeight="1" spans="2:2">
      <c r="B33490" s="62" t="str">
        <f>IF(AND('领用录入（明细）'!D:D=$F$4,'领用录入（明细）'!C:C&gt;=$J$4,'领用录入（明细）'!C:C&lt;=$L$4),ROW(),"-")</f>
        <v>-</v>
      </c>
    </row>
    <row r="33491" customHeight="1" spans="2:2">
      <c r="B33491" s="62" t="str">
        <f>IF(AND('领用录入（明细）'!D:D=$F$4,'领用录入（明细）'!C:C&gt;=$J$4,'领用录入（明细）'!C:C&lt;=$L$4),ROW(),"-")</f>
        <v>-</v>
      </c>
    </row>
    <row r="33492" customHeight="1" spans="2:2">
      <c r="B33492" s="62" t="str">
        <f>IF(AND('领用录入（明细）'!D:D=$F$4,'领用录入（明细）'!C:C&gt;=$J$4,'领用录入（明细）'!C:C&lt;=$L$4),ROW(),"-")</f>
        <v>-</v>
      </c>
    </row>
    <row r="33493" customHeight="1" spans="2:2">
      <c r="B33493" s="62" t="str">
        <f>IF(AND('领用录入（明细）'!D:D=$F$4,'领用录入（明细）'!C:C&gt;=$J$4,'领用录入（明细）'!C:C&lt;=$L$4),ROW(),"-")</f>
        <v>-</v>
      </c>
    </row>
    <row r="33494" customHeight="1" spans="2:2">
      <c r="B33494" s="62" t="str">
        <f>IF(AND('领用录入（明细）'!D:D=$F$4,'领用录入（明细）'!C:C&gt;=$J$4,'领用录入（明细）'!C:C&lt;=$L$4),ROW(),"-")</f>
        <v>-</v>
      </c>
    </row>
    <row r="33495" customHeight="1" spans="2:2">
      <c r="B33495" s="62" t="str">
        <f>IF(AND('领用录入（明细）'!D:D=$F$4,'领用录入（明细）'!C:C&gt;=$J$4,'领用录入（明细）'!C:C&lt;=$L$4),ROW(),"-")</f>
        <v>-</v>
      </c>
    </row>
    <row r="33496" customHeight="1" spans="2:2">
      <c r="B33496" s="62" t="str">
        <f>IF(AND('领用录入（明细）'!D:D=$F$4,'领用录入（明细）'!C:C&gt;=$J$4,'领用录入（明细）'!C:C&lt;=$L$4),ROW(),"-")</f>
        <v>-</v>
      </c>
    </row>
    <row r="33497" customHeight="1" spans="2:2">
      <c r="B33497" s="62" t="str">
        <f>IF(AND('领用录入（明细）'!D:D=$F$4,'领用录入（明细）'!C:C&gt;=$J$4,'领用录入（明细）'!C:C&lt;=$L$4),ROW(),"-")</f>
        <v>-</v>
      </c>
    </row>
    <row r="33498" customHeight="1" spans="2:2">
      <c r="B33498" s="62" t="str">
        <f>IF(AND('领用录入（明细）'!D:D=$F$4,'领用录入（明细）'!C:C&gt;=$J$4,'领用录入（明细）'!C:C&lt;=$L$4),ROW(),"-")</f>
        <v>-</v>
      </c>
    </row>
    <row r="33499" customHeight="1" spans="2:2">
      <c r="B33499" s="62" t="str">
        <f>IF(AND('领用录入（明细）'!D:D=$F$4,'领用录入（明细）'!C:C&gt;=$J$4,'领用录入（明细）'!C:C&lt;=$L$4),ROW(),"-")</f>
        <v>-</v>
      </c>
    </row>
    <row r="33500" customHeight="1" spans="2:2">
      <c r="B33500" s="62" t="str">
        <f>IF(AND('领用录入（明细）'!D:D=$F$4,'领用录入（明细）'!C:C&gt;=$J$4,'领用录入（明细）'!C:C&lt;=$L$4),ROW(),"-")</f>
        <v>-</v>
      </c>
    </row>
    <row r="33501" customHeight="1" spans="2:2">
      <c r="B33501" s="62" t="str">
        <f>IF(AND('领用录入（明细）'!D:D=$F$4,'领用录入（明细）'!C:C&gt;=$J$4,'领用录入（明细）'!C:C&lt;=$L$4),ROW(),"-")</f>
        <v>-</v>
      </c>
    </row>
    <row r="33502" customHeight="1" spans="2:2">
      <c r="B33502" s="62" t="str">
        <f>IF(AND('领用录入（明细）'!D:D=$F$4,'领用录入（明细）'!C:C&gt;=$J$4,'领用录入（明细）'!C:C&lt;=$L$4),ROW(),"-")</f>
        <v>-</v>
      </c>
    </row>
    <row r="33503" customHeight="1" spans="2:2">
      <c r="B33503" s="62" t="str">
        <f>IF(AND('领用录入（明细）'!D:D=$F$4,'领用录入（明细）'!C:C&gt;=$J$4,'领用录入（明细）'!C:C&lt;=$L$4),ROW(),"-")</f>
        <v>-</v>
      </c>
    </row>
    <row r="33504" customHeight="1" spans="2:2">
      <c r="B33504" s="62" t="str">
        <f>IF(AND('领用录入（明细）'!D:D=$F$4,'领用录入（明细）'!C:C&gt;=$J$4,'领用录入（明细）'!C:C&lt;=$L$4),ROW(),"-")</f>
        <v>-</v>
      </c>
    </row>
    <row r="33505" customHeight="1" spans="2:2">
      <c r="B33505" s="62" t="str">
        <f>IF(AND('领用录入（明细）'!D:D=$F$4,'领用录入（明细）'!C:C&gt;=$J$4,'领用录入（明细）'!C:C&lt;=$L$4),ROW(),"-")</f>
        <v>-</v>
      </c>
    </row>
    <row r="33506" customHeight="1" spans="2:2">
      <c r="B33506" s="62" t="str">
        <f>IF(AND('领用录入（明细）'!D:D=$F$4,'领用录入（明细）'!C:C&gt;=$J$4,'领用录入（明细）'!C:C&lt;=$L$4),ROW(),"-")</f>
        <v>-</v>
      </c>
    </row>
    <row r="33507" customHeight="1" spans="2:2">
      <c r="B33507" s="62" t="str">
        <f>IF(AND('领用录入（明细）'!D:D=$F$4,'领用录入（明细）'!C:C&gt;=$J$4,'领用录入（明细）'!C:C&lt;=$L$4),ROW(),"-")</f>
        <v>-</v>
      </c>
    </row>
    <row r="33508" customHeight="1" spans="2:2">
      <c r="B33508" s="62" t="str">
        <f>IF(AND('领用录入（明细）'!D:D=$F$4,'领用录入（明细）'!C:C&gt;=$J$4,'领用录入（明细）'!C:C&lt;=$L$4),ROW(),"-")</f>
        <v>-</v>
      </c>
    </row>
    <row r="33509" customHeight="1" spans="2:2">
      <c r="B33509" s="62" t="str">
        <f>IF(AND('领用录入（明细）'!D:D=$F$4,'领用录入（明细）'!C:C&gt;=$J$4,'领用录入（明细）'!C:C&lt;=$L$4),ROW(),"-")</f>
        <v>-</v>
      </c>
    </row>
    <row r="33510" customHeight="1" spans="2:2">
      <c r="B33510" s="62" t="str">
        <f>IF(AND('领用录入（明细）'!D:D=$F$4,'领用录入（明细）'!C:C&gt;=$J$4,'领用录入（明细）'!C:C&lt;=$L$4),ROW(),"-")</f>
        <v>-</v>
      </c>
    </row>
    <row r="33511" customHeight="1" spans="2:2">
      <c r="B33511" s="62" t="str">
        <f>IF(AND('领用录入（明细）'!D:D=$F$4,'领用录入（明细）'!C:C&gt;=$J$4,'领用录入（明细）'!C:C&lt;=$L$4),ROW(),"-")</f>
        <v>-</v>
      </c>
    </row>
    <row r="33512" customHeight="1" spans="2:2">
      <c r="B33512" s="62" t="str">
        <f>IF(AND('领用录入（明细）'!D:D=$F$4,'领用录入（明细）'!C:C&gt;=$J$4,'领用录入（明细）'!C:C&lt;=$L$4),ROW(),"-")</f>
        <v>-</v>
      </c>
    </row>
    <row r="33513" customHeight="1" spans="2:2">
      <c r="B33513" s="62" t="str">
        <f>IF(AND('领用录入（明细）'!D:D=$F$4,'领用录入（明细）'!C:C&gt;=$J$4,'领用录入（明细）'!C:C&lt;=$L$4),ROW(),"-")</f>
        <v>-</v>
      </c>
    </row>
    <row r="33514" customHeight="1" spans="2:2">
      <c r="B33514" s="62" t="str">
        <f>IF(AND('领用录入（明细）'!D:D=$F$4,'领用录入（明细）'!C:C&gt;=$J$4,'领用录入（明细）'!C:C&lt;=$L$4),ROW(),"-")</f>
        <v>-</v>
      </c>
    </row>
    <row r="33515" customHeight="1" spans="2:2">
      <c r="B33515" s="62" t="str">
        <f>IF(AND('领用录入（明细）'!D:D=$F$4,'领用录入（明细）'!C:C&gt;=$J$4,'领用录入（明细）'!C:C&lt;=$L$4),ROW(),"-")</f>
        <v>-</v>
      </c>
    </row>
    <row r="33516" customHeight="1" spans="2:2">
      <c r="B33516" s="62" t="str">
        <f>IF(AND('领用录入（明细）'!D:D=$F$4,'领用录入（明细）'!C:C&gt;=$J$4,'领用录入（明细）'!C:C&lt;=$L$4),ROW(),"-")</f>
        <v>-</v>
      </c>
    </row>
    <row r="33517" customHeight="1" spans="2:2">
      <c r="B33517" s="62" t="str">
        <f>IF(AND('领用录入（明细）'!D:D=$F$4,'领用录入（明细）'!C:C&gt;=$J$4,'领用录入（明细）'!C:C&lt;=$L$4),ROW(),"-")</f>
        <v>-</v>
      </c>
    </row>
    <row r="33518" customHeight="1" spans="2:2">
      <c r="B33518" s="62" t="str">
        <f>IF(AND('领用录入（明细）'!D:D=$F$4,'领用录入（明细）'!C:C&gt;=$J$4,'领用录入（明细）'!C:C&lt;=$L$4),ROW(),"-")</f>
        <v>-</v>
      </c>
    </row>
    <row r="33519" customHeight="1" spans="2:2">
      <c r="B33519" s="62" t="str">
        <f>IF(AND('领用录入（明细）'!D:D=$F$4,'领用录入（明细）'!C:C&gt;=$J$4,'领用录入（明细）'!C:C&lt;=$L$4),ROW(),"-")</f>
        <v>-</v>
      </c>
    </row>
    <row r="33520" customHeight="1" spans="2:2">
      <c r="B33520" s="62" t="str">
        <f>IF(AND('领用录入（明细）'!D:D=$F$4,'领用录入（明细）'!C:C&gt;=$J$4,'领用录入（明细）'!C:C&lt;=$L$4),ROW(),"-")</f>
        <v>-</v>
      </c>
    </row>
    <row r="33521" customHeight="1" spans="2:2">
      <c r="B33521" s="62" t="str">
        <f>IF(AND('领用录入（明细）'!D:D=$F$4,'领用录入（明细）'!C:C&gt;=$J$4,'领用录入（明细）'!C:C&lt;=$L$4),ROW(),"-")</f>
        <v>-</v>
      </c>
    </row>
    <row r="33522" customHeight="1" spans="2:2">
      <c r="B33522" s="62" t="str">
        <f>IF(AND('领用录入（明细）'!D:D=$F$4,'领用录入（明细）'!C:C&gt;=$J$4,'领用录入（明细）'!C:C&lt;=$L$4),ROW(),"-")</f>
        <v>-</v>
      </c>
    </row>
    <row r="33523" customHeight="1" spans="2:2">
      <c r="B33523" s="62" t="str">
        <f>IF(AND('领用录入（明细）'!D:D=$F$4,'领用录入（明细）'!C:C&gt;=$J$4,'领用录入（明细）'!C:C&lt;=$L$4),ROW(),"-")</f>
        <v>-</v>
      </c>
    </row>
    <row r="33524" customHeight="1" spans="2:2">
      <c r="B33524" s="62" t="str">
        <f>IF(AND('领用录入（明细）'!D:D=$F$4,'领用录入（明细）'!C:C&gt;=$J$4,'领用录入（明细）'!C:C&lt;=$L$4),ROW(),"-")</f>
        <v>-</v>
      </c>
    </row>
    <row r="33525" customHeight="1" spans="2:2">
      <c r="B33525" s="62" t="str">
        <f>IF(AND('领用录入（明细）'!D:D=$F$4,'领用录入（明细）'!C:C&gt;=$J$4,'领用录入（明细）'!C:C&lt;=$L$4),ROW(),"-")</f>
        <v>-</v>
      </c>
    </row>
    <row r="33526" customHeight="1" spans="2:2">
      <c r="B33526" s="62" t="str">
        <f>IF(AND('领用录入（明细）'!D:D=$F$4,'领用录入（明细）'!C:C&gt;=$J$4,'领用录入（明细）'!C:C&lt;=$L$4),ROW(),"-")</f>
        <v>-</v>
      </c>
    </row>
    <row r="33527" customHeight="1" spans="2:2">
      <c r="B33527" s="62" t="str">
        <f>IF(AND('领用录入（明细）'!D:D=$F$4,'领用录入（明细）'!C:C&gt;=$J$4,'领用录入（明细）'!C:C&lt;=$L$4),ROW(),"-")</f>
        <v>-</v>
      </c>
    </row>
    <row r="33528" customHeight="1" spans="2:2">
      <c r="B33528" s="62" t="str">
        <f>IF(AND('领用录入（明细）'!D:D=$F$4,'领用录入（明细）'!C:C&gt;=$J$4,'领用录入（明细）'!C:C&lt;=$L$4),ROW(),"-")</f>
        <v>-</v>
      </c>
    </row>
    <row r="33529" customHeight="1" spans="2:2">
      <c r="B33529" s="62" t="str">
        <f>IF(AND('领用录入（明细）'!D:D=$F$4,'领用录入（明细）'!C:C&gt;=$J$4,'领用录入（明细）'!C:C&lt;=$L$4),ROW(),"-")</f>
        <v>-</v>
      </c>
    </row>
    <row r="33530" customHeight="1" spans="2:2">
      <c r="B33530" s="62" t="str">
        <f>IF(AND('领用录入（明细）'!D:D=$F$4,'领用录入（明细）'!C:C&gt;=$J$4,'领用录入（明细）'!C:C&lt;=$L$4),ROW(),"-")</f>
        <v>-</v>
      </c>
    </row>
    <row r="33531" customHeight="1" spans="2:2">
      <c r="B33531" s="62" t="str">
        <f>IF(AND('领用录入（明细）'!D:D=$F$4,'领用录入（明细）'!C:C&gt;=$J$4,'领用录入（明细）'!C:C&lt;=$L$4),ROW(),"-")</f>
        <v>-</v>
      </c>
    </row>
    <row r="33532" customHeight="1" spans="2:2">
      <c r="B33532" s="62" t="str">
        <f>IF(AND('领用录入（明细）'!D:D=$F$4,'领用录入（明细）'!C:C&gt;=$J$4,'领用录入（明细）'!C:C&lt;=$L$4),ROW(),"-")</f>
        <v>-</v>
      </c>
    </row>
    <row r="33533" customHeight="1" spans="2:2">
      <c r="B33533" s="62" t="str">
        <f>IF(AND('领用录入（明细）'!D:D=$F$4,'领用录入（明细）'!C:C&gt;=$J$4,'领用录入（明细）'!C:C&lt;=$L$4),ROW(),"-")</f>
        <v>-</v>
      </c>
    </row>
    <row r="33534" customHeight="1" spans="2:2">
      <c r="B33534" s="62" t="str">
        <f>IF(AND('领用录入（明细）'!D:D=$F$4,'领用录入（明细）'!C:C&gt;=$J$4,'领用录入（明细）'!C:C&lt;=$L$4),ROW(),"-")</f>
        <v>-</v>
      </c>
    </row>
    <row r="33535" customHeight="1" spans="2:2">
      <c r="B33535" s="62" t="str">
        <f>IF(AND('领用录入（明细）'!D:D=$F$4,'领用录入（明细）'!C:C&gt;=$J$4,'领用录入（明细）'!C:C&lt;=$L$4),ROW(),"-")</f>
        <v>-</v>
      </c>
    </row>
    <row r="33536" customHeight="1" spans="2:2">
      <c r="B33536" s="62" t="str">
        <f>IF(AND('领用录入（明细）'!D:D=$F$4,'领用录入（明细）'!C:C&gt;=$J$4,'领用录入（明细）'!C:C&lt;=$L$4),ROW(),"-")</f>
        <v>-</v>
      </c>
    </row>
    <row r="33537" customHeight="1" spans="2:2">
      <c r="B33537" s="62" t="str">
        <f>IF(AND('领用录入（明细）'!D:D=$F$4,'领用录入（明细）'!C:C&gt;=$J$4,'领用录入（明细）'!C:C&lt;=$L$4),ROW(),"-")</f>
        <v>-</v>
      </c>
    </row>
    <row r="33538" customHeight="1" spans="2:2">
      <c r="B33538" s="62" t="str">
        <f>IF(AND('领用录入（明细）'!D:D=$F$4,'领用录入（明细）'!C:C&gt;=$J$4,'领用录入（明细）'!C:C&lt;=$L$4),ROW(),"-")</f>
        <v>-</v>
      </c>
    </row>
    <row r="33539" customHeight="1" spans="2:2">
      <c r="B33539" s="62" t="str">
        <f>IF(AND('领用录入（明细）'!D:D=$F$4,'领用录入（明细）'!C:C&gt;=$J$4,'领用录入（明细）'!C:C&lt;=$L$4),ROW(),"-")</f>
        <v>-</v>
      </c>
    </row>
    <row r="33540" customHeight="1" spans="2:2">
      <c r="B33540" s="62" t="str">
        <f>IF(AND('领用录入（明细）'!D:D=$F$4,'领用录入（明细）'!C:C&gt;=$J$4,'领用录入（明细）'!C:C&lt;=$L$4),ROW(),"-")</f>
        <v>-</v>
      </c>
    </row>
    <row r="33541" customHeight="1" spans="2:2">
      <c r="B33541" s="62" t="str">
        <f>IF(AND('领用录入（明细）'!D:D=$F$4,'领用录入（明细）'!C:C&gt;=$J$4,'领用录入（明细）'!C:C&lt;=$L$4),ROW(),"-")</f>
        <v>-</v>
      </c>
    </row>
    <row r="33542" customHeight="1" spans="2:2">
      <c r="B33542" s="62" t="str">
        <f>IF(AND('领用录入（明细）'!D:D=$F$4,'领用录入（明细）'!C:C&gt;=$J$4,'领用录入（明细）'!C:C&lt;=$L$4),ROW(),"-")</f>
        <v>-</v>
      </c>
    </row>
    <row r="33543" customHeight="1" spans="2:2">
      <c r="B33543" s="62" t="str">
        <f>IF(AND('领用录入（明细）'!D:D=$F$4,'领用录入（明细）'!C:C&gt;=$J$4,'领用录入（明细）'!C:C&lt;=$L$4),ROW(),"-")</f>
        <v>-</v>
      </c>
    </row>
    <row r="33544" customHeight="1" spans="2:2">
      <c r="B33544" s="62" t="str">
        <f>IF(AND('领用录入（明细）'!D:D=$F$4,'领用录入（明细）'!C:C&gt;=$J$4,'领用录入（明细）'!C:C&lt;=$L$4),ROW(),"-")</f>
        <v>-</v>
      </c>
    </row>
    <row r="33545" customHeight="1" spans="2:2">
      <c r="B33545" s="62" t="str">
        <f>IF(AND('领用录入（明细）'!D:D=$F$4,'领用录入（明细）'!C:C&gt;=$J$4,'领用录入（明细）'!C:C&lt;=$L$4),ROW(),"-")</f>
        <v>-</v>
      </c>
    </row>
    <row r="33546" customHeight="1" spans="2:2">
      <c r="B33546" s="62" t="str">
        <f>IF(AND('领用录入（明细）'!D:D=$F$4,'领用录入（明细）'!C:C&gt;=$J$4,'领用录入（明细）'!C:C&lt;=$L$4),ROW(),"-")</f>
        <v>-</v>
      </c>
    </row>
    <row r="33547" customHeight="1" spans="2:2">
      <c r="B33547" s="62" t="str">
        <f>IF(AND('领用录入（明细）'!D:D=$F$4,'领用录入（明细）'!C:C&gt;=$J$4,'领用录入（明细）'!C:C&lt;=$L$4),ROW(),"-")</f>
        <v>-</v>
      </c>
    </row>
    <row r="33548" customHeight="1" spans="2:2">
      <c r="B33548" s="62" t="str">
        <f>IF(AND('领用录入（明细）'!D:D=$F$4,'领用录入（明细）'!C:C&gt;=$J$4,'领用录入（明细）'!C:C&lt;=$L$4),ROW(),"-")</f>
        <v>-</v>
      </c>
    </row>
    <row r="33549" customHeight="1" spans="2:2">
      <c r="B33549" s="62" t="str">
        <f>IF(AND('领用录入（明细）'!D:D=$F$4,'领用录入（明细）'!C:C&gt;=$J$4,'领用录入（明细）'!C:C&lt;=$L$4),ROW(),"-")</f>
        <v>-</v>
      </c>
    </row>
    <row r="33550" customHeight="1" spans="2:2">
      <c r="B33550" s="62" t="str">
        <f>IF(AND('领用录入（明细）'!D:D=$F$4,'领用录入（明细）'!C:C&gt;=$J$4,'领用录入（明细）'!C:C&lt;=$L$4),ROW(),"-")</f>
        <v>-</v>
      </c>
    </row>
    <row r="33551" customHeight="1" spans="2:2">
      <c r="B33551" s="62" t="str">
        <f>IF(AND('领用录入（明细）'!D:D=$F$4,'领用录入（明细）'!C:C&gt;=$J$4,'领用录入（明细）'!C:C&lt;=$L$4),ROW(),"-")</f>
        <v>-</v>
      </c>
    </row>
    <row r="33552" customHeight="1" spans="2:2">
      <c r="B33552" s="62" t="str">
        <f>IF(AND('领用录入（明细）'!D:D=$F$4,'领用录入（明细）'!C:C&gt;=$J$4,'领用录入（明细）'!C:C&lt;=$L$4),ROW(),"-")</f>
        <v>-</v>
      </c>
    </row>
    <row r="33553" customHeight="1" spans="2:2">
      <c r="B33553" s="62" t="str">
        <f>IF(AND('领用录入（明细）'!D:D=$F$4,'领用录入（明细）'!C:C&gt;=$J$4,'领用录入（明细）'!C:C&lt;=$L$4),ROW(),"-")</f>
        <v>-</v>
      </c>
    </row>
    <row r="33554" customHeight="1" spans="2:2">
      <c r="B33554" s="62" t="str">
        <f>IF(AND('领用录入（明细）'!D:D=$F$4,'领用录入（明细）'!C:C&gt;=$J$4,'领用录入（明细）'!C:C&lt;=$L$4),ROW(),"-")</f>
        <v>-</v>
      </c>
    </row>
    <row r="33555" customHeight="1" spans="2:2">
      <c r="B33555" s="62" t="str">
        <f>IF(AND('领用录入（明细）'!D:D=$F$4,'领用录入（明细）'!C:C&gt;=$J$4,'领用录入（明细）'!C:C&lt;=$L$4),ROW(),"-")</f>
        <v>-</v>
      </c>
    </row>
    <row r="33556" customHeight="1" spans="2:2">
      <c r="B33556" s="62" t="str">
        <f>IF(AND('领用录入（明细）'!D:D=$F$4,'领用录入（明细）'!C:C&gt;=$J$4,'领用录入（明细）'!C:C&lt;=$L$4),ROW(),"-")</f>
        <v>-</v>
      </c>
    </row>
    <row r="33557" customHeight="1" spans="2:2">
      <c r="B33557" s="62" t="str">
        <f>IF(AND('领用录入（明细）'!D:D=$F$4,'领用录入（明细）'!C:C&gt;=$J$4,'领用录入（明细）'!C:C&lt;=$L$4),ROW(),"-")</f>
        <v>-</v>
      </c>
    </row>
    <row r="33558" customHeight="1" spans="2:2">
      <c r="B33558" s="62" t="str">
        <f>IF(AND('领用录入（明细）'!D:D=$F$4,'领用录入（明细）'!C:C&gt;=$J$4,'领用录入（明细）'!C:C&lt;=$L$4),ROW(),"-")</f>
        <v>-</v>
      </c>
    </row>
    <row r="33559" customHeight="1" spans="2:2">
      <c r="B33559" s="62" t="str">
        <f>IF(AND('领用录入（明细）'!D:D=$F$4,'领用录入（明细）'!C:C&gt;=$J$4,'领用录入（明细）'!C:C&lt;=$L$4),ROW(),"-")</f>
        <v>-</v>
      </c>
    </row>
    <row r="33560" customHeight="1" spans="2:2">
      <c r="B33560" s="62" t="str">
        <f>IF(AND('领用录入（明细）'!D:D=$F$4,'领用录入（明细）'!C:C&gt;=$J$4,'领用录入（明细）'!C:C&lt;=$L$4),ROW(),"-")</f>
        <v>-</v>
      </c>
    </row>
    <row r="33561" customHeight="1" spans="2:2">
      <c r="B33561" s="62" t="str">
        <f>IF(AND('领用录入（明细）'!D:D=$F$4,'领用录入（明细）'!C:C&gt;=$J$4,'领用录入（明细）'!C:C&lt;=$L$4),ROW(),"-")</f>
        <v>-</v>
      </c>
    </row>
    <row r="33562" customHeight="1" spans="2:2">
      <c r="B33562" s="62" t="str">
        <f>IF(AND('领用录入（明细）'!D:D=$F$4,'领用录入（明细）'!C:C&gt;=$J$4,'领用录入（明细）'!C:C&lt;=$L$4),ROW(),"-")</f>
        <v>-</v>
      </c>
    </row>
    <row r="33563" customHeight="1" spans="2:2">
      <c r="B33563" s="62" t="str">
        <f>IF(AND('领用录入（明细）'!D:D=$F$4,'领用录入（明细）'!C:C&gt;=$J$4,'领用录入（明细）'!C:C&lt;=$L$4),ROW(),"-")</f>
        <v>-</v>
      </c>
    </row>
    <row r="33564" customHeight="1" spans="2:2">
      <c r="B33564" s="62" t="str">
        <f>IF(AND('领用录入（明细）'!D:D=$F$4,'领用录入（明细）'!C:C&gt;=$J$4,'领用录入（明细）'!C:C&lt;=$L$4),ROW(),"-")</f>
        <v>-</v>
      </c>
    </row>
    <row r="33565" customHeight="1" spans="2:2">
      <c r="B33565" s="62" t="str">
        <f>IF(AND('领用录入（明细）'!D:D=$F$4,'领用录入（明细）'!C:C&gt;=$J$4,'领用录入（明细）'!C:C&lt;=$L$4),ROW(),"-")</f>
        <v>-</v>
      </c>
    </row>
    <row r="33566" customHeight="1" spans="2:2">
      <c r="B33566" s="62" t="str">
        <f>IF(AND('领用录入（明细）'!D:D=$F$4,'领用录入（明细）'!C:C&gt;=$J$4,'领用录入（明细）'!C:C&lt;=$L$4),ROW(),"-")</f>
        <v>-</v>
      </c>
    </row>
    <row r="33567" customHeight="1" spans="2:2">
      <c r="B33567" s="62" t="str">
        <f>IF(AND('领用录入（明细）'!D:D=$F$4,'领用录入（明细）'!C:C&gt;=$J$4,'领用录入（明细）'!C:C&lt;=$L$4),ROW(),"-")</f>
        <v>-</v>
      </c>
    </row>
    <row r="33568" customHeight="1" spans="2:2">
      <c r="B33568" s="62" t="str">
        <f>IF(AND('领用录入（明细）'!D:D=$F$4,'领用录入（明细）'!C:C&gt;=$J$4,'领用录入（明细）'!C:C&lt;=$L$4),ROW(),"-")</f>
        <v>-</v>
      </c>
    </row>
    <row r="33569" customHeight="1" spans="2:2">
      <c r="B33569" s="62" t="str">
        <f>IF(AND('领用录入（明细）'!D:D=$F$4,'领用录入（明细）'!C:C&gt;=$J$4,'领用录入（明细）'!C:C&lt;=$L$4),ROW(),"-")</f>
        <v>-</v>
      </c>
    </row>
    <row r="33570" customHeight="1" spans="2:2">
      <c r="B33570" s="62" t="str">
        <f>IF(AND('领用录入（明细）'!D:D=$F$4,'领用录入（明细）'!C:C&gt;=$J$4,'领用录入（明细）'!C:C&lt;=$L$4),ROW(),"-")</f>
        <v>-</v>
      </c>
    </row>
    <row r="33571" customHeight="1" spans="2:2">
      <c r="B33571" s="62" t="str">
        <f>IF(AND('领用录入（明细）'!D:D=$F$4,'领用录入（明细）'!C:C&gt;=$J$4,'领用录入（明细）'!C:C&lt;=$L$4),ROW(),"-")</f>
        <v>-</v>
      </c>
    </row>
    <row r="33572" customHeight="1" spans="2:2">
      <c r="B33572" s="62" t="str">
        <f>IF(AND('领用录入（明细）'!D:D=$F$4,'领用录入（明细）'!C:C&gt;=$J$4,'领用录入（明细）'!C:C&lt;=$L$4),ROW(),"-")</f>
        <v>-</v>
      </c>
    </row>
    <row r="33573" customHeight="1" spans="2:2">
      <c r="B33573" s="62" t="str">
        <f>IF(AND('领用录入（明细）'!D:D=$F$4,'领用录入（明细）'!C:C&gt;=$J$4,'领用录入（明细）'!C:C&lt;=$L$4),ROW(),"-")</f>
        <v>-</v>
      </c>
    </row>
    <row r="33574" customHeight="1" spans="2:2">
      <c r="B33574" s="62" t="str">
        <f>IF(AND('领用录入（明细）'!D:D=$F$4,'领用录入（明细）'!C:C&gt;=$J$4,'领用录入（明细）'!C:C&lt;=$L$4),ROW(),"-")</f>
        <v>-</v>
      </c>
    </row>
    <row r="33575" customHeight="1" spans="2:2">
      <c r="B33575" s="62" t="str">
        <f>IF(AND('领用录入（明细）'!D:D=$F$4,'领用录入（明细）'!C:C&gt;=$J$4,'领用录入（明细）'!C:C&lt;=$L$4),ROW(),"-")</f>
        <v>-</v>
      </c>
    </row>
    <row r="33576" customHeight="1" spans="2:2">
      <c r="B33576" s="62" t="str">
        <f>IF(AND('领用录入（明细）'!D:D=$F$4,'领用录入（明细）'!C:C&gt;=$J$4,'领用录入（明细）'!C:C&lt;=$L$4),ROW(),"-")</f>
        <v>-</v>
      </c>
    </row>
    <row r="33577" customHeight="1" spans="2:2">
      <c r="B33577" s="62" t="str">
        <f>IF(AND('领用录入（明细）'!D:D=$F$4,'领用录入（明细）'!C:C&gt;=$J$4,'领用录入（明细）'!C:C&lt;=$L$4),ROW(),"-")</f>
        <v>-</v>
      </c>
    </row>
    <row r="33578" customHeight="1" spans="2:2">
      <c r="B33578" s="62" t="str">
        <f>IF(AND('领用录入（明细）'!D:D=$F$4,'领用录入（明细）'!C:C&gt;=$J$4,'领用录入（明细）'!C:C&lt;=$L$4),ROW(),"-")</f>
        <v>-</v>
      </c>
    </row>
    <row r="33579" customHeight="1" spans="2:2">
      <c r="B33579" s="62" t="str">
        <f>IF(AND('领用录入（明细）'!D:D=$F$4,'领用录入（明细）'!C:C&gt;=$J$4,'领用录入（明细）'!C:C&lt;=$L$4),ROW(),"-")</f>
        <v>-</v>
      </c>
    </row>
    <row r="33580" customHeight="1" spans="2:2">
      <c r="B33580" s="62" t="str">
        <f>IF(AND('领用录入（明细）'!D:D=$F$4,'领用录入（明细）'!C:C&gt;=$J$4,'领用录入（明细）'!C:C&lt;=$L$4),ROW(),"-")</f>
        <v>-</v>
      </c>
    </row>
    <row r="33581" customHeight="1" spans="2:2">
      <c r="B33581" s="62" t="str">
        <f>IF(AND('领用录入（明细）'!D:D=$F$4,'领用录入（明细）'!C:C&gt;=$J$4,'领用录入（明细）'!C:C&lt;=$L$4),ROW(),"-")</f>
        <v>-</v>
      </c>
    </row>
    <row r="33582" customHeight="1" spans="2:2">
      <c r="B33582" s="62" t="str">
        <f>IF(AND('领用录入（明细）'!D:D=$F$4,'领用录入（明细）'!C:C&gt;=$J$4,'领用录入（明细）'!C:C&lt;=$L$4),ROW(),"-")</f>
        <v>-</v>
      </c>
    </row>
    <row r="33583" customHeight="1" spans="2:2">
      <c r="B33583" s="62" t="str">
        <f>IF(AND('领用录入（明细）'!D:D=$F$4,'领用录入（明细）'!C:C&gt;=$J$4,'领用录入（明细）'!C:C&lt;=$L$4),ROW(),"-")</f>
        <v>-</v>
      </c>
    </row>
    <row r="33584" customHeight="1" spans="2:2">
      <c r="B33584" s="62" t="str">
        <f>IF(AND('领用录入（明细）'!D:D=$F$4,'领用录入（明细）'!C:C&gt;=$J$4,'领用录入（明细）'!C:C&lt;=$L$4),ROW(),"-")</f>
        <v>-</v>
      </c>
    </row>
    <row r="33585" customHeight="1" spans="2:2">
      <c r="B33585" s="62" t="str">
        <f>IF(AND('领用录入（明细）'!D:D=$F$4,'领用录入（明细）'!C:C&gt;=$J$4,'领用录入（明细）'!C:C&lt;=$L$4),ROW(),"-")</f>
        <v>-</v>
      </c>
    </row>
    <row r="33586" customHeight="1" spans="2:2">
      <c r="B33586" s="62" t="str">
        <f>IF(AND('领用录入（明细）'!D:D=$F$4,'领用录入（明细）'!C:C&gt;=$J$4,'领用录入（明细）'!C:C&lt;=$L$4),ROW(),"-")</f>
        <v>-</v>
      </c>
    </row>
    <row r="33587" customHeight="1" spans="2:2">
      <c r="B33587" s="62" t="str">
        <f>IF(AND('领用录入（明细）'!D:D=$F$4,'领用录入（明细）'!C:C&gt;=$J$4,'领用录入（明细）'!C:C&lt;=$L$4),ROW(),"-")</f>
        <v>-</v>
      </c>
    </row>
    <row r="33588" customHeight="1" spans="2:2">
      <c r="B33588" s="62" t="str">
        <f>IF(AND('领用录入（明细）'!D:D=$F$4,'领用录入（明细）'!C:C&gt;=$J$4,'领用录入（明细）'!C:C&lt;=$L$4),ROW(),"-")</f>
        <v>-</v>
      </c>
    </row>
    <row r="33589" customHeight="1" spans="2:2">
      <c r="B33589" s="62" t="str">
        <f>IF(AND('领用录入（明细）'!D:D=$F$4,'领用录入（明细）'!C:C&gt;=$J$4,'领用录入（明细）'!C:C&lt;=$L$4),ROW(),"-")</f>
        <v>-</v>
      </c>
    </row>
    <row r="33590" customHeight="1" spans="2:2">
      <c r="B33590" s="62" t="str">
        <f>IF(AND('领用录入（明细）'!D:D=$F$4,'领用录入（明细）'!C:C&gt;=$J$4,'领用录入（明细）'!C:C&lt;=$L$4),ROW(),"-")</f>
        <v>-</v>
      </c>
    </row>
    <row r="33591" customHeight="1" spans="2:2">
      <c r="B33591" s="62" t="str">
        <f>IF(AND('领用录入（明细）'!D:D=$F$4,'领用录入（明细）'!C:C&gt;=$J$4,'领用录入（明细）'!C:C&lt;=$L$4),ROW(),"-")</f>
        <v>-</v>
      </c>
    </row>
    <row r="33592" customHeight="1" spans="2:2">
      <c r="B33592" s="62" t="str">
        <f>IF(AND('领用录入（明细）'!D:D=$F$4,'领用录入（明细）'!C:C&gt;=$J$4,'领用录入（明细）'!C:C&lt;=$L$4),ROW(),"-")</f>
        <v>-</v>
      </c>
    </row>
    <row r="33593" customHeight="1" spans="2:2">
      <c r="B33593" s="62" t="str">
        <f>IF(AND('领用录入（明细）'!D:D=$F$4,'领用录入（明细）'!C:C&gt;=$J$4,'领用录入（明细）'!C:C&lt;=$L$4),ROW(),"-")</f>
        <v>-</v>
      </c>
    </row>
    <row r="33594" customHeight="1" spans="2:2">
      <c r="B33594" s="62" t="str">
        <f>IF(AND('领用录入（明细）'!D:D=$F$4,'领用录入（明细）'!C:C&gt;=$J$4,'领用录入（明细）'!C:C&lt;=$L$4),ROW(),"-")</f>
        <v>-</v>
      </c>
    </row>
    <row r="33595" customHeight="1" spans="2:2">
      <c r="B33595" s="62" t="str">
        <f>IF(AND('领用录入（明细）'!D:D=$F$4,'领用录入（明细）'!C:C&gt;=$J$4,'领用录入（明细）'!C:C&lt;=$L$4),ROW(),"-")</f>
        <v>-</v>
      </c>
    </row>
    <row r="33596" customHeight="1" spans="2:2">
      <c r="B33596" s="62" t="str">
        <f>IF(AND('领用录入（明细）'!D:D=$F$4,'领用录入（明细）'!C:C&gt;=$J$4,'领用录入（明细）'!C:C&lt;=$L$4),ROW(),"-")</f>
        <v>-</v>
      </c>
    </row>
    <row r="33597" customHeight="1" spans="2:2">
      <c r="B33597" s="62" t="str">
        <f>IF(AND('领用录入（明细）'!D:D=$F$4,'领用录入（明细）'!C:C&gt;=$J$4,'领用录入（明细）'!C:C&lt;=$L$4),ROW(),"-")</f>
        <v>-</v>
      </c>
    </row>
    <row r="33598" customHeight="1" spans="2:2">
      <c r="B33598" s="62" t="str">
        <f>IF(AND('领用录入（明细）'!D:D=$F$4,'领用录入（明细）'!C:C&gt;=$J$4,'领用录入（明细）'!C:C&lt;=$L$4),ROW(),"-")</f>
        <v>-</v>
      </c>
    </row>
    <row r="33599" customHeight="1" spans="2:2">
      <c r="B33599" s="62" t="str">
        <f>IF(AND('领用录入（明细）'!D:D=$F$4,'领用录入（明细）'!C:C&gt;=$J$4,'领用录入（明细）'!C:C&lt;=$L$4),ROW(),"-")</f>
        <v>-</v>
      </c>
    </row>
    <row r="33600" customHeight="1" spans="2:2">
      <c r="B33600" s="62" t="str">
        <f>IF(AND('领用录入（明细）'!D:D=$F$4,'领用录入（明细）'!C:C&gt;=$J$4,'领用录入（明细）'!C:C&lt;=$L$4),ROW(),"-")</f>
        <v>-</v>
      </c>
    </row>
    <row r="33601" customHeight="1" spans="2:2">
      <c r="B33601" s="62" t="str">
        <f>IF(AND('领用录入（明细）'!D:D=$F$4,'领用录入（明细）'!C:C&gt;=$J$4,'领用录入（明细）'!C:C&lt;=$L$4),ROW(),"-")</f>
        <v>-</v>
      </c>
    </row>
    <row r="33602" customHeight="1" spans="2:2">
      <c r="B33602" s="62" t="str">
        <f>IF(AND('领用录入（明细）'!D:D=$F$4,'领用录入（明细）'!C:C&gt;=$J$4,'领用录入（明细）'!C:C&lt;=$L$4),ROW(),"-")</f>
        <v>-</v>
      </c>
    </row>
    <row r="33603" customHeight="1" spans="2:2">
      <c r="B33603" s="62" t="str">
        <f>IF(AND('领用录入（明细）'!D:D=$F$4,'领用录入（明细）'!C:C&gt;=$J$4,'领用录入（明细）'!C:C&lt;=$L$4),ROW(),"-")</f>
        <v>-</v>
      </c>
    </row>
    <row r="33604" customHeight="1" spans="2:2">
      <c r="B33604" s="62" t="str">
        <f>IF(AND('领用录入（明细）'!D:D=$F$4,'领用录入（明细）'!C:C&gt;=$J$4,'领用录入（明细）'!C:C&lt;=$L$4),ROW(),"-")</f>
        <v>-</v>
      </c>
    </row>
    <row r="33605" customHeight="1" spans="2:2">
      <c r="B33605" s="62" t="str">
        <f>IF(AND('领用录入（明细）'!D:D=$F$4,'领用录入（明细）'!C:C&gt;=$J$4,'领用录入（明细）'!C:C&lt;=$L$4),ROW(),"-")</f>
        <v>-</v>
      </c>
    </row>
    <row r="33606" customHeight="1" spans="2:2">
      <c r="B33606" s="62" t="str">
        <f>IF(AND('领用录入（明细）'!D:D=$F$4,'领用录入（明细）'!C:C&gt;=$J$4,'领用录入（明细）'!C:C&lt;=$L$4),ROW(),"-")</f>
        <v>-</v>
      </c>
    </row>
    <row r="33607" customHeight="1" spans="2:2">
      <c r="B33607" s="62" t="str">
        <f>IF(AND('领用录入（明细）'!D:D=$F$4,'领用录入（明细）'!C:C&gt;=$J$4,'领用录入（明细）'!C:C&lt;=$L$4),ROW(),"-")</f>
        <v>-</v>
      </c>
    </row>
    <row r="33608" customHeight="1" spans="2:2">
      <c r="B33608" s="62" t="str">
        <f>IF(AND('领用录入（明细）'!D:D=$F$4,'领用录入（明细）'!C:C&gt;=$J$4,'领用录入（明细）'!C:C&lt;=$L$4),ROW(),"-")</f>
        <v>-</v>
      </c>
    </row>
    <row r="33609" customHeight="1" spans="2:2">
      <c r="B33609" s="62" t="str">
        <f>IF(AND('领用录入（明细）'!D:D=$F$4,'领用录入（明细）'!C:C&gt;=$J$4,'领用录入（明细）'!C:C&lt;=$L$4),ROW(),"-")</f>
        <v>-</v>
      </c>
    </row>
    <row r="33610" customHeight="1" spans="2:2">
      <c r="B33610" s="62" t="str">
        <f>IF(AND('领用录入（明细）'!D:D=$F$4,'领用录入（明细）'!C:C&gt;=$J$4,'领用录入（明细）'!C:C&lt;=$L$4),ROW(),"-")</f>
        <v>-</v>
      </c>
    </row>
    <row r="33611" customHeight="1" spans="2:2">
      <c r="B33611" s="62" t="str">
        <f>IF(AND('领用录入（明细）'!D:D=$F$4,'领用录入（明细）'!C:C&gt;=$J$4,'领用录入（明细）'!C:C&lt;=$L$4),ROW(),"-")</f>
        <v>-</v>
      </c>
    </row>
    <row r="33612" customHeight="1" spans="2:2">
      <c r="B33612" s="62" t="str">
        <f>IF(AND('领用录入（明细）'!D:D=$F$4,'领用录入（明细）'!C:C&gt;=$J$4,'领用录入（明细）'!C:C&lt;=$L$4),ROW(),"-")</f>
        <v>-</v>
      </c>
    </row>
    <row r="33613" customHeight="1" spans="2:2">
      <c r="B33613" s="62" t="str">
        <f>IF(AND('领用录入（明细）'!D:D=$F$4,'领用录入（明细）'!C:C&gt;=$J$4,'领用录入（明细）'!C:C&lt;=$L$4),ROW(),"-")</f>
        <v>-</v>
      </c>
    </row>
    <row r="33614" customHeight="1" spans="2:2">
      <c r="B33614" s="62" t="str">
        <f>IF(AND('领用录入（明细）'!D:D=$F$4,'领用录入（明细）'!C:C&gt;=$J$4,'领用录入（明细）'!C:C&lt;=$L$4),ROW(),"-")</f>
        <v>-</v>
      </c>
    </row>
    <row r="33615" customHeight="1" spans="2:2">
      <c r="B33615" s="62" t="str">
        <f>IF(AND('领用录入（明细）'!D:D=$F$4,'领用录入（明细）'!C:C&gt;=$J$4,'领用录入（明细）'!C:C&lt;=$L$4),ROW(),"-")</f>
        <v>-</v>
      </c>
    </row>
    <row r="33616" customHeight="1" spans="2:2">
      <c r="B33616" s="62" t="str">
        <f>IF(AND('领用录入（明细）'!D:D=$F$4,'领用录入（明细）'!C:C&gt;=$J$4,'领用录入（明细）'!C:C&lt;=$L$4),ROW(),"-")</f>
        <v>-</v>
      </c>
    </row>
    <row r="33617" customHeight="1" spans="2:2">
      <c r="B33617" s="62" t="str">
        <f>IF(AND('领用录入（明细）'!D:D=$F$4,'领用录入（明细）'!C:C&gt;=$J$4,'领用录入（明细）'!C:C&lt;=$L$4),ROW(),"-")</f>
        <v>-</v>
      </c>
    </row>
    <row r="33618" customHeight="1" spans="2:2">
      <c r="B33618" s="62" t="str">
        <f>IF(AND('领用录入（明细）'!D:D=$F$4,'领用录入（明细）'!C:C&gt;=$J$4,'领用录入（明细）'!C:C&lt;=$L$4),ROW(),"-")</f>
        <v>-</v>
      </c>
    </row>
    <row r="33619" customHeight="1" spans="2:2">
      <c r="B33619" s="62" t="str">
        <f>IF(AND('领用录入（明细）'!D:D=$F$4,'领用录入（明细）'!C:C&gt;=$J$4,'领用录入（明细）'!C:C&lt;=$L$4),ROW(),"-")</f>
        <v>-</v>
      </c>
    </row>
    <row r="33620" customHeight="1" spans="2:2">
      <c r="B33620" s="62" t="str">
        <f>IF(AND('领用录入（明细）'!D:D=$F$4,'领用录入（明细）'!C:C&gt;=$J$4,'领用录入（明细）'!C:C&lt;=$L$4),ROW(),"-")</f>
        <v>-</v>
      </c>
    </row>
    <row r="33621" customHeight="1" spans="2:2">
      <c r="B33621" s="62" t="str">
        <f>IF(AND('领用录入（明细）'!D:D=$F$4,'领用录入（明细）'!C:C&gt;=$J$4,'领用录入（明细）'!C:C&lt;=$L$4),ROW(),"-")</f>
        <v>-</v>
      </c>
    </row>
    <row r="33622" customHeight="1" spans="2:2">
      <c r="B33622" s="62" t="str">
        <f>IF(AND('领用录入（明细）'!D:D=$F$4,'领用录入（明细）'!C:C&gt;=$J$4,'领用录入（明细）'!C:C&lt;=$L$4),ROW(),"-")</f>
        <v>-</v>
      </c>
    </row>
    <row r="33623" customHeight="1" spans="2:2">
      <c r="B33623" s="62" t="str">
        <f>IF(AND('领用录入（明细）'!D:D=$F$4,'领用录入（明细）'!C:C&gt;=$J$4,'领用录入（明细）'!C:C&lt;=$L$4),ROW(),"-")</f>
        <v>-</v>
      </c>
    </row>
    <row r="33624" customHeight="1" spans="2:2">
      <c r="B33624" s="62" t="str">
        <f>IF(AND('领用录入（明细）'!D:D=$F$4,'领用录入（明细）'!C:C&gt;=$J$4,'领用录入（明细）'!C:C&lt;=$L$4),ROW(),"-")</f>
        <v>-</v>
      </c>
    </row>
    <row r="33625" customHeight="1" spans="2:2">
      <c r="B33625" s="62" t="str">
        <f>IF(AND('领用录入（明细）'!D:D=$F$4,'领用录入（明细）'!C:C&gt;=$J$4,'领用录入（明细）'!C:C&lt;=$L$4),ROW(),"-")</f>
        <v>-</v>
      </c>
    </row>
    <row r="33626" customHeight="1" spans="2:2">
      <c r="B33626" s="62" t="str">
        <f>IF(AND('领用录入（明细）'!D:D=$F$4,'领用录入（明细）'!C:C&gt;=$J$4,'领用录入（明细）'!C:C&lt;=$L$4),ROW(),"-")</f>
        <v>-</v>
      </c>
    </row>
    <row r="33627" customHeight="1" spans="2:2">
      <c r="B33627" s="62" t="str">
        <f>IF(AND('领用录入（明细）'!D:D=$F$4,'领用录入（明细）'!C:C&gt;=$J$4,'领用录入（明细）'!C:C&lt;=$L$4),ROW(),"-")</f>
        <v>-</v>
      </c>
    </row>
    <row r="33628" customHeight="1" spans="2:2">
      <c r="B33628" s="62" t="str">
        <f>IF(AND('领用录入（明细）'!D:D=$F$4,'领用录入（明细）'!C:C&gt;=$J$4,'领用录入（明细）'!C:C&lt;=$L$4),ROW(),"-")</f>
        <v>-</v>
      </c>
    </row>
    <row r="33629" customHeight="1" spans="2:2">
      <c r="B33629" s="62" t="str">
        <f>IF(AND('领用录入（明细）'!D:D=$F$4,'领用录入（明细）'!C:C&gt;=$J$4,'领用录入（明细）'!C:C&lt;=$L$4),ROW(),"-")</f>
        <v>-</v>
      </c>
    </row>
    <row r="33630" customHeight="1" spans="2:2">
      <c r="B33630" s="62" t="str">
        <f>IF(AND('领用录入（明细）'!D:D=$F$4,'领用录入（明细）'!C:C&gt;=$J$4,'领用录入（明细）'!C:C&lt;=$L$4),ROW(),"-")</f>
        <v>-</v>
      </c>
    </row>
    <row r="33631" customHeight="1" spans="2:2">
      <c r="B33631" s="62" t="str">
        <f>IF(AND('领用录入（明细）'!D:D=$F$4,'领用录入（明细）'!C:C&gt;=$J$4,'领用录入（明细）'!C:C&lt;=$L$4),ROW(),"-")</f>
        <v>-</v>
      </c>
    </row>
    <row r="33632" customHeight="1" spans="2:2">
      <c r="B33632" s="62" t="str">
        <f>IF(AND('领用录入（明细）'!D:D=$F$4,'领用录入（明细）'!C:C&gt;=$J$4,'领用录入（明细）'!C:C&lt;=$L$4),ROW(),"-")</f>
        <v>-</v>
      </c>
    </row>
    <row r="33633" customHeight="1" spans="2:2">
      <c r="B33633" s="62" t="str">
        <f>IF(AND('领用录入（明细）'!D:D=$F$4,'领用录入（明细）'!C:C&gt;=$J$4,'领用录入（明细）'!C:C&lt;=$L$4),ROW(),"-")</f>
        <v>-</v>
      </c>
    </row>
    <row r="33634" customHeight="1" spans="2:2">
      <c r="B33634" s="62" t="str">
        <f>IF(AND('领用录入（明细）'!D:D=$F$4,'领用录入（明细）'!C:C&gt;=$J$4,'领用录入（明细）'!C:C&lt;=$L$4),ROW(),"-")</f>
        <v>-</v>
      </c>
    </row>
    <row r="33635" customHeight="1" spans="2:2">
      <c r="B33635" s="62" t="str">
        <f>IF(AND('领用录入（明细）'!D:D=$F$4,'领用录入（明细）'!C:C&gt;=$J$4,'领用录入（明细）'!C:C&lt;=$L$4),ROW(),"-")</f>
        <v>-</v>
      </c>
    </row>
    <row r="33636" customHeight="1" spans="2:2">
      <c r="B33636" s="62" t="str">
        <f>IF(AND('领用录入（明细）'!D:D=$F$4,'领用录入（明细）'!C:C&gt;=$J$4,'领用录入（明细）'!C:C&lt;=$L$4),ROW(),"-")</f>
        <v>-</v>
      </c>
    </row>
    <row r="33637" customHeight="1" spans="2:2">
      <c r="B33637" s="62" t="str">
        <f>IF(AND('领用录入（明细）'!D:D=$F$4,'领用录入（明细）'!C:C&gt;=$J$4,'领用录入（明细）'!C:C&lt;=$L$4),ROW(),"-")</f>
        <v>-</v>
      </c>
    </row>
    <row r="33638" customHeight="1" spans="2:2">
      <c r="B33638" s="62" t="str">
        <f>IF(AND('领用录入（明细）'!D:D=$F$4,'领用录入（明细）'!C:C&gt;=$J$4,'领用录入（明细）'!C:C&lt;=$L$4),ROW(),"-")</f>
        <v>-</v>
      </c>
    </row>
    <row r="33639" customHeight="1" spans="2:2">
      <c r="B33639" s="62" t="str">
        <f>IF(AND('领用录入（明细）'!D:D=$F$4,'领用录入（明细）'!C:C&gt;=$J$4,'领用录入（明细）'!C:C&lt;=$L$4),ROW(),"-")</f>
        <v>-</v>
      </c>
    </row>
    <row r="33640" customHeight="1" spans="2:2">
      <c r="B33640" s="62" t="str">
        <f>IF(AND('领用录入（明细）'!D:D=$F$4,'领用录入（明细）'!C:C&gt;=$J$4,'领用录入（明细）'!C:C&lt;=$L$4),ROW(),"-")</f>
        <v>-</v>
      </c>
    </row>
    <row r="33641" customHeight="1" spans="2:2">
      <c r="B33641" s="62" t="str">
        <f>IF(AND('领用录入（明细）'!D:D=$F$4,'领用录入（明细）'!C:C&gt;=$J$4,'领用录入（明细）'!C:C&lt;=$L$4),ROW(),"-")</f>
        <v>-</v>
      </c>
    </row>
    <row r="33642" customHeight="1" spans="2:2">
      <c r="B33642" s="62" t="str">
        <f>IF(AND('领用录入（明细）'!D:D=$F$4,'领用录入（明细）'!C:C&gt;=$J$4,'领用录入（明细）'!C:C&lt;=$L$4),ROW(),"-")</f>
        <v>-</v>
      </c>
    </row>
    <row r="33643" customHeight="1" spans="2:2">
      <c r="B33643" s="62" t="str">
        <f>IF(AND('领用录入（明细）'!D:D=$F$4,'领用录入（明细）'!C:C&gt;=$J$4,'领用录入（明细）'!C:C&lt;=$L$4),ROW(),"-")</f>
        <v>-</v>
      </c>
    </row>
    <row r="33644" customHeight="1" spans="2:2">
      <c r="B33644" s="62" t="str">
        <f>IF(AND('领用录入（明细）'!D:D=$F$4,'领用录入（明细）'!C:C&gt;=$J$4,'领用录入（明细）'!C:C&lt;=$L$4),ROW(),"-")</f>
        <v>-</v>
      </c>
    </row>
    <row r="33645" customHeight="1" spans="2:2">
      <c r="B33645" s="62" t="str">
        <f>IF(AND('领用录入（明细）'!D:D=$F$4,'领用录入（明细）'!C:C&gt;=$J$4,'领用录入（明细）'!C:C&lt;=$L$4),ROW(),"-")</f>
        <v>-</v>
      </c>
    </row>
    <row r="33646" customHeight="1" spans="2:2">
      <c r="B33646" s="62" t="str">
        <f>IF(AND('领用录入（明细）'!D:D=$F$4,'领用录入（明细）'!C:C&gt;=$J$4,'领用录入（明细）'!C:C&lt;=$L$4),ROW(),"-")</f>
        <v>-</v>
      </c>
    </row>
    <row r="33647" customHeight="1" spans="2:2">
      <c r="B33647" s="62" t="str">
        <f>IF(AND('领用录入（明细）'!D:D=$F$4,'领用录入（明细）'!C:C&gt;=$J$4,'领用录入（明细）'!C:C&lt;=$L$4),ROW(),"-")</f>
        <v>-</v>
      </c>
    </row>
    <row r="33648" customHeight="1" spans="2:2">
      <c r="B33648" s="62" t="str">
        <f>IF(AND('领用录入（明细）'!D:D=$F$4,'领用录入（明细）'!C:C&gt;=$J$4,'领用录入（明细）'!C:C&lt;=$L$4),ROW(),"-")</f>
        <v>-</v>
      </c>
    </row>
    <row r="33649" customHeight="1" spans="2:2">
      <c r="B33649" s="62" t="str">
        <f>IF(AND('领用录入（明细）'!D:D=$F$4,'领用录入（明细）'!C:C&gt;=$J$4,'领用录入（明细）'!C:C&lt;=$L$4),ROW(),"-")</f>
        <v>-</v>
      </c>
    </row>
    <row r="33650" customHeight="1" spans="2:2">
      <c r="B33650" s="62" t="str">
        <f>IF(AND('领用录入（明细）'!D:D=$F$4,'领用录入（明细）'!C:C&gt;=$J$4,'领用录入（明细）'!C:C&lt;=$L$4),ROW(),"-")</f>
        <v>-</v>
      </c>
    </row>
    <row r="33651" customHeight="1" spans="2:2">
      <c r="B33651" s="62" t="str">
        <f>IF(AND('领用录入（明细）'!D:D=$F$4,'领用录入（明细）'!C:C&gt;=$J$4,'领用录入（明细）'!C:C&lt;=$L$4),ROW(),"-")</f>
        <v>-</v>
      </c>
    </row>
    <row r="33652" customHeight="1" spans="2:2">
      <c r="B33652" s="62" t="str">
        <f>IF(AND('领用录入（明细）'!D:D=$F$4,'领用录入（明细）'!C:C&gt;=$J$4,'领用录入（明细）'!C:C&lt;=$L$4),ROW(),"-")</f>
        <v>-</v>
      </c>
    </row>
    <row r="33653" customHeight="1" spans="2:2">
      <c r="B33653" s="62" t="str">
        <f>IF(AND('领用录入（明细）'!D:D=$F$4,'领用录入（明细）'!C:C&gt;=$J$4,'领用录入（明细）'!C:C&lt;=$L$4),ROW(),"-")</f>
        <v>-</v>
      </c>
    </row>
    <row r="33654" customHeight="1" spans="2:2">
      <c r="B33654" s="62" t="str">
        <f>IF(AND('领用录入（明细）'!D:D=$F$4,'领用录入（明细）'!C:C&gt;=$J$4,'领用录入（明细）'!C:C&lt;=$L$4),ROW(),"-")</f>
        <v>-</v>
      </c>
    </row>
    <row r="33655" customHeight="1" spans="2:2">
      <c r="B33655" s="62" t="str">
        <f>IF(AND('领用录入（明细）'!D:D=$F$4,'领用录入（明细）'!C:C&gt;=$J$4,'领用录入（明细）'!C:C&lt;=$L$4),ROW(),"-")</f>
        <v>-</v>
      </c>
    </row>
    <row r="33656" customHeight="1" spans="2:2">
      <c r="B33656" s="62" t="str">
        <f>IF(AND('领用录入（明细）'!D:D=$F$4,'领用录入（明细）'!C:C&gt;=$J$4,'领用录入（明细）'!C:C&lt;=$L$4),ROW(),"-")</f>
        <v>-</v>
      </c>
    </row>
    <row r="33657" customHeight="1" spans="2:2">
      <c r="B33657" s="62" t="str">
        <f>IF(AND('领用录入（明细）'!D:D=$F$4,'领用录入（明细）'!C:C&gt;=$J$4,'领用录入（明细）'!C:C&lt;=$L$4),ROW(),"-")</f>
        <v>-</v>
      </c>
    </row>
    <row r="33658" customHeight="1" spans="2:2">
      <c r="B33658" s="62" t="str">
        <f>IF(AND('领用录入（明细）'!D:D=$F$4,'领用录入（明细）'!C:C&gt;=$J$4,'领用录入（明细）'!C:C&lt;=$L$4),ROW(),"-")</f>
        <v>-</v>
      </c>
    </row>
    <row r="33659" customHeight="1" spans="2:2">
      <c r="B33659" s="62" t="str">
        <f>IF(AND('领用录入（明细）'!D:D=$F$4,'领用录入（明细）'!C:C&gt;=$J$4,'领用录入（明细）'!C:C&lt;=$L$4),ROW(),"-")</f>
        <v>-</v>
      </c>
    </row>
    <row r="33660" customHeight="1" spans="2:2">
      <c r="B33660" s="62" t="str">
        <f>IF(AND('领用录入（明细）'!D:D=$F$4,'领用录入（明细）'!C:C&gt;=$J$4,'领用录入（明细）'!C:C&lt;=$L$4),ROW(),"-")</f>
        <v>-</v>
      </c>
    </row>
    <row r="33661" customHeight="1" spans="2:2">
      <c r="B33661" s="62" t="str">
        <f>IF(AND('领用录入（明细）'!D:D=$F$4,'领用录入（明细）'!C:C&gt;=$J$4,'领用录入（明细）'!C:C&lt;=$L$4),ROW(),"-")</f>
        <v>-</v>
      </c>
    </row>
    <row r="33662" customHeight="1" spans="2:2">
      <c r="B33662" s="62" t="str">
        <f>IF(AND('领用录入（明细）'!D:D=$F$4,'领用录入（明细）'!C:C&gt;=$J$4,'领用录入（明细）'!C:C&lt;=$L$4),ROW(),"-")</f>
        <v>-</v>
      </c>
    </row>
    <row r="33663" customHeight="1" spans="2:2">
      <c r="B33663" s="62" t="str">
        <f>IF(AND('领用录入（明细）'!D:D=$F$4,'领用录入（明细）'!C:C&gt;=$J$4,'领用录入（明细）'!C:C&lt;=$L$4),ROW(),"-")</f>
        <v>-</v>
      </c>
    </row>
    <row r="33664" customHeight="1" spans="2:2">
      <c r="B33664" s="62" t="str">
        <f>IF(AND('领用录入（明细）'!D:D=$F$4,'领用录入（明细）'!C:C&gt;=$J$4,'领用录入（明细）'!C:C&lt;=$L$4),ROW(),"-")</f>
        <v>-</v>
      </c>
    </row>
    <row r="33665" customHeight="1" spans="2:2">
      <c r="B33665" s="62" t="str">
        <f>IF(AND('领用录入（明细）'!D:D=$F$4,'领用录入（明细）'!C:C&gt;=$J$4,'领用录入（明细）'!C:C&lt;=$L$4),ROW(),"-")</f>
        <v>-</v>
      </c>
    </row>
    <row r="33666" customHeight="1" spans="2:2">
      <c r="B33666" s="62" t="str">
        <f>IF(AND('领用录入（明细）'!D:D=$F$4,'领用录入（明细）'!C:C&gt;=$J$4,'领用录入（明细）'!C:C&lt;=$L$4),ROW(),"-")</f>
        <v>-</v>
      </c>
    </row>
    <row r="33667" customHeight="1" spans="2:2">
      <c r="B33667" s="62" t="str">
        <f>IF(AND('领用录入（明细）'!D:D=$F$4,'领用录入（明细）'!C:C&gt;=$J$4,'领用录入（明细）'!C:C&lt;=$L$4),ROW(),"-")</f>
        <v>-</v>
      </c>
    </row>
    <row r="33668" customHeight="1" spans="2:2">
      <c r="B33668" s="62" t="str">
        <f>IF(AND('领用录入（明细）'!D:D=$F$4,'领用录入（明细）'!C:C&gt;=$J$4,'领用录入（明细）'!C:C&lt;=$L$4),ROW(),"-")</f>
        <v>-</v>
      </c>
    </row>
    <row r="33669" customHeight="1" spans="2:2">
      <c r="B33669" s="62" t="str">
        <f>IF(AND('领用录入（明细）'!D:D=$F$4,'领用录入（明细）'!C:C&gt;=$J$4,'领用录入（明细）'!C:C&lt;=$L$4),ROW(),"-")</f>
        <v>-</v>
      </c>
    </row>
    <row r="33670" customHeight="1" spans="2:2">
      <c r="B33670" s="62" t="str">
        <f>IF(AND('领用录入（明细）'!D:D=$F$4,'领用录入（明细）'!C:C&gt;=$J$4,'领用录入（明细）'!C:C&lt;=$L$4),ROW(),"-")</f>
        <v>-</v>
      </c>
    </row>
    <row r="33671" customHeight="1" spans="2:2">
      <c r="B33671" s="62" t="str">
        <f>IF(AND('领用录入（明细）'!D:D=$F$4,'领用录入（明细）'!C:C&gt;=$J$4,'领用录入（明细）'!C:C&lt;=$L$4),ROW(),"-")</f>
        <v>-</v>
      </c>
    </row>
    <row r="33672" customHeight="1" spans="2:2">
      <c r="B33672" s="62" t="str">
        <f>IF(AND('领用录入（明细）'!D:D=$F$4,'领用录入（明细）'!C:C&gt;=$J$4,'领用录入（明细）'!C:C&lt;=$L$4),ROW(),"-")</f>
        <v>-</v>
      </c>
    </row>
    <row r="33673" customHeight="1" spans="2:2">
      <c r="B33673" s="62" t="str">
        <f>IF(AND('领用录入（明细）'!D:D=$F$4,'领用录入（明细）'!C:C&gt;=$J$4,'领用录入（明细）'!C:C&lt;=$L$4),ROW(),"-")</f>
        <v>-</v>
      </c>
    </row>
    <row r="33674" customHeight="1" spans="2:2">
      <c r="B33674" s="62" t="str">
        <f>IF(AND('领用录入（明细）'!D:D=$F$4,'领用录入（明细）'!C:C&gt;=$J$4,'领用录入（明细）'!C:C&lt;=$L$4),ROW(),"-")</f>
        <v>-</v>
      </c>
    </row>
    <row r="33675" customHeight="1" spans="2:2">
      <c r="B33675" s="62" t="str">
        <f>IF(AND('领用录入（明细）'!D:D=$F$4,'领用录入（明细）'!C:C&gt;=$J$4,'领用录入（明细）'!C:C&lt;=$L$4),ROW(),"-")</f>
        <v>-</v>
      </c>
    </row>
    <row r="33676" customHeight="1" spans="2:2">
      <c r="B33676" s="62" t="str">
        <f>IF(AND('领用录入（明细）'!D:D=$F$4,'领用录入（明细）'!C:C&gt;=$J$4,'领用录入（明细）'!C:C&lt;=$L$4),ROW(),"-")</f>
        <v>-</v>
      </c>
    </row>
    <row r="33677" customHeight="1" spans="2:2">
      <c r="B33677" s="62" t="str">
        <f>IF(AND('领用录入（明细）'!D:D=$F$4,'领用录入（明细）'!C:C&gt;=$J$4,'领用录入（明细）'!C:C&lt;=$L$4),ROW(),"-")</f>
        <v>-</v>
      </c>
    </row>
    <row r="33678" customHeight="1" spans="2:2">
      <c r="B33678" s="62" t="str">
        <f>IF(AND('领用录入（明细）'!D:D=$F$4,'领用录入（明细）'!C:C&gt;=$J$4,'领用录入（明细）'!C:C&lt;=$L$4),ROW(),"-")</f>
        <v>-</v>
      </c>
    </row>
    <row r="33679" customHeight="1" spans="2:2">
      <c r="B33679" s="62" t="str">
        <f>IF(AND('领用录入（明细）'!D:D=$F$4,'领用录入（明细）'!C:C&gt;=$J$4,'领用录入（明细）'!C:C&lt;=$L$4),ROW(),"-")</f>
        <v>-</v>
      </c>
    </row>
    <row r="33680" customHeight="1" spans="2:2">
      <c r="B33680" s="62" t="str">
        <f>IF(AND('领用录入（明细）'!D:D=$F$4,'领用录入（明细）'!C:C&gt;=$J$4,'领用录入（明细）'!C:C&lt;=$L$4),ROW(),"-")</f>
        <v>-</v>
      </c>
    </row>
    <row r="33681" customHeight="1" spans="2:2">
      <c r="B33681" s="62" t="str">
        <f>IF(AND('领用录入（明细）'!D:D=$F$4,'领用录入（明细）'!C:C&gt;=$J$4,'领用录入（明细）'!C:C&lt;=$L$4),ROW(),"-")</f>
        <v>-</v>
      </c>
    </row>
    <row r="33682" customHeight="1" spans="2:2">
      <c r="B33682" s="62" t="str">
        <f>IF(AND('领用录入（明细）'!D:D=$F$4,'领用录入（明细）'!C:C&gt;=$J$4,'领用录入（明细）'!C:C&lt;=$L$4),ROW(),"-")</f>
        <v>-</v>
      </c>
    </row>
    <row r="33683" customHeight="1" spans="2:2">
      <c r="B33683" s="62" t="str">
        <f>IF(AND('领用录入（明细）'!D:D=$F$4,'领用录入（明细）'!C:C&gt;=$J$4,'领用录入（明细）'!C:C&lt;=$L$4),ROW(),"-")</f>
        <v>-</v>
      </c>
    </row>
    <row r="33684" customHeight="1" spans="2:2">
      <c r="B33684" s="62" t="str">
        <f>IF(AND('领用录入（明细）'!D:D=$F$4,'领用录入（明细）'!C:C&gt;=$J$4,'领用录入（明细）'!C:C&lt;=$L$4),ROW(),"-")</f>
        <v>-</v>
      </c>
    </row>
    <row r="33685" customHeight="1" spans="2:2">
      <c r="B33685" s="62" t="str">
        <f>IF(AND('领用录入（明细）'!D:D=$F$4,'领用录入（明细）'!C:C&gt;=$J$4,'领用录入（明细）'!C:C&lt;=$L$4),ROW(),"-")</f>
        <v>-</v>
      </c>
    </row>
    <row r="33686" customHeight="1" spans="2:2">
      <c r="B33686" s="62" t="str">
        <f>IF(AND('领用录入（明细）'!D:D=$F$4,'领用录入（明细）'!C:C&gt;=$J$4,'领用录入（明细）'!C:C&lt;=$L$4),ROW(),"-")</f>
        <v>-</v>
      </c>
    </row>
    <row r="33687" customHeight="1" spans="2:2">
      <c r="B33687" s="62" t="str">
        <f>IF(AND('领用录入（明细）'!D:D=$F$4,'领用录入（明细）'!C:C&gt;=$J$4,'领用录入（明细）'!C:C&lt;=$L$4),ROW(),"-")</f>
        <v>-</v>
      </c>
    </row>
    <row r="33688" customHeight="1" spans="2:2">
      <c r="B33688" s="62" t="str">
        <f>IF(AND('领用录入（明细）'!D:D=$F$4,'领用录入（明细）'!C:C&gt;=$J$4,'领用录入（明细）'!C:C&lt;=$L$4),ROW(),"-")</f>
        <v>-</v>
      </c>
    </row>
    <row r="33689" customHeight="1" spans="2:2">
      <c r="B33689" s="62" t="str">
        <f>IF(AND('领用录入（明细）'!D:D=$F$4,'领用录入（明细）'!C:C&gt;=$J$4,'领用录入（明细）'!C:C&lt;=$L$4),ROW(),"-")</f>
        <v>-</v>
      </c>
    </row>
    <row r="33690" customHeight="1" spans="2:2">
      <c r="B33690" s="62" t="str">
        <f>IF(AND('领用录入（明细）'!D:D=$F$4,'领用录入（明细）'!C:C&gt;=$J$4,'领用录入（明细）'!C:C&lt;=$L$4),ROW(),"-")</f>
        <v>-</v>
      </c>
    </row>
    <row r="33691" customHeight="1" spans="2:2">
      <c r="B33691" s="62" t="str">
        <f>IF(AND('领用录入（明细）'!D:D=$F$4,'领用录入（明细）'!C:C&gt;=$J$4,'领用录入（明细）'!C:C&lt;=$L$4),ROW(),"-")</f>
        <v>-</v>
      </c>
    </row>
    <row r="33692" customHeight="1" spans="2:2">
      <c r="B33692" s="62" t="str">
        <f>IF(AND('领用录入（明细）'!D:D=$F$4,'领用录入（明细）'!C:C&gt;=$J$4,'领用录入（明细）'!C:C&lt;=$L$4),ROW(),"-")</f>
        <v>-</v>
      </c>
    </row>
    <row r="33693" customHeight="1" spans="2:2">
      <c r="B33693" s="62" t="str">
        <f>IF(AND('领用录入（明细）'!D:D=$F$4,'领用录入（明细）'!C:C&gt;=$J$4,'领用录入（明细）'!C:C&lt;=$L$4),ROW(),"-")</f>
        <v>-</v>
      </c>
    </row>
    <row r="33694" customHeight="1" spans="2:2">
      <c r="B33694" s="62" t="str">
        <f>IF(AND('领用录入（明细）'!D:D=$F$4,'领用录入（明细）'!C:C&gt;=$J$4,'领用录入（明细）'!C:C&lt;=$L$4),ROW(),"-")</f>
        <v>-</v>
      </c>
    </row>
    <row r="33695" customHeight="1" spans="2:2">
      <c r="B33695" s="62" t="str">
        <f>IF(AND('领用录入（明细）'!D:D=$F$4,'领用录入（明细）'!C:C&gt;=$J$4,'领用录入（明细）'!C:C&lt;=$L$4),ROW(),"-")</f>
        <v>-</v>
      </c>
    </row>
    <row r="33696" customHeight="1" spans="2:2">
      <c r="B33696" s="62" t="str">
        <f>IF(AND('领用录入（明细）'!D:D=$F$4,'领用录入（明细）'!C:C&gt;=$J$4,'领用录入（明细）'!C:C&lt;=$L$4),ROW(),"-")</f>
        <v>-</v>
      </c>
    </row>
    <row r="33697" customHeight="1" spans="2:2">
      <c r="B33697" s="62" t="str">
        <f>IF(AND('领用录入（明细）'!D:D=$F$4,'领用录入（明细）'!C:C&gt;=$J$4,'领用录入（明细）'!C:C&lt;=$L$4),ROW(),"-")</f>
        <v>-</v>
      </c>
    </row>
    <row r="33698" customHeight="1" spans="2:2">
      <c r="B33698" s="62" t="str">
        <f>IF(AND('领用录入（明细）'!D:D=$F$4,'领用录入（明细）'!C:C&gt;=$J$4,'领用录入（明细）'!C:C&lt;=$L$4),ROW(),"-")</f>
        <v>-</v>
      </c>
    </row>
    <row r="33699" customHeight="1" spans="2:2">
      <c r="B33699" s="62" t="str">
        <f>IF(AND('领用录入（明细）'!D:D=$F$4,'领用录入（明细）'!C:C&gt;=$J$4,'领用录入（明细）'!C:C&lt;=$L$4),ROW(),"-")</f>
        <v>-</v>
      </c>
    </row>
    <row r="33700" customHeight="1" spans="2:2">
      <c r="B33700" s="62" t="str">
        <f>IF(AND('领用录入（明细）'!D:D=$F$4,'领用录入（明细）'!C:C&gt;=$J$4,'领用录入（明细）'!C:C&lt;=$L$4),ROW(),"-")</f>
        <v>-</v>
      </c>
    </row>
    <row r="33701" customHeight="1" spans="2:2">
      <c r="B33701" s="62" t="str">
        <f>IF(AND('领用录入（明细）'!D:D=$F$4,'领用录入（明细）'!C:C&gt;=$J$4,'领用录入（明细）'!C:C&lt;=$L$4),ROW(),"-")</f>
        <v>-</v>
      </c>
    </row>
    <row r="33702" customHeight="1" spans="2:2">
      <c r="B33702" s="62" t="str">
        <f>IF(AND('领用录入（明细）'!D:D=$F$4,'领用录入（明细）'!C:C&gt;=$J$4,'领用录入（明细）'!C:C&lt;=$L$4),ROW(),"-")</f>
        <v>-</v>
      </c>
    </row>
    <row r="33703" customHeight="1" spans="2:2">
      <c r="B33703" s="62" t="str">
        <f>IF(AND('领用录入（明细）'!D:D=$F$4,'领用录入（明细）'!C:C&gt;=$J$4,'领用录入（明细）'!C:C&lt;=$L$4),ROW(),"-")</f>
        <v>-</v>
      </c>
    </row>
    <row r="33704" customHeight="1" spans="2:2">
      <c r="B33704" s="62" t="str">
        <f>IF(AND('领用录入（明细）'!D:D=$F$4,'领用录入（明细）'!C:C&gt;=$J$4,'领用录入（明细）'!C:C&lt;=$L$4),ROW(),"-")</f>
        <v>-</v>
      </c>
    </row>
    <row r="33705" customHeight="1" spans="2:2">
      <c r="B33705" s="62" t="str">
        <f>IF(AND('领用录入（明细）'!D:D=$F$4,'领用录入（明细）'!C:C&gt;=$J$4,'领用录入（明细）'!C:C&lt;=$L$4),ROW(),"-")</f>
        <v>-</v>
      </c>
    </row>
    <row r="33706" customHeight="1" spans="2:2">
      <c r="B33706" s="62" t="str">
        <f>IF(AND('领用录入（明细）'!D:D=$F$4,'领用录入（明细）'!C:C&gt;=$J$4,'领用录入（明细）'!C:C&lt;=$L$4),ROW(),"-")</f>
        <v>-</v>
      </c>
    </row>
    <row r="33707" customHeight="1" spans="2:2">
      <c r="B33707" s="62" t="str">
        <f>IF(AND('领用录入（明细）'!D:D=$F$4,'领用录入（明细）'!C:C&gt;=$J$4,'领用录入（明细）'!C:C&lt;=$L$4),ROW(),"-")</f>
        <v>-</v>
      </c>
    </row>
    <row r="33708" customHeight="1" spans="2:2">
      <c r="B33708" s="62" t="str">
        <f>IF(AND('领用录入（明细）'!D:D=$F$4,'领用录入（明细）'!C:C&gt;=$J$4,'领用录入（明细）'!C:C&lt;=$L$4),ROW(),"-")</f>
        <v>-</v>
      </c>
    </row>
    <row r="33709" customHeight="1" spans="2:2">
      <c r="B33709" s="62" t="str">
        <f>IF(AND('领用录入（明细）'!D:D=$F$4,'领用录入（明细）'!C:C&gt;=$J$4,'领用录入（明细）'!C:C&lt;=$L$4),ROW(),"-")</f>
        <v>-</v>
      </c>
    </row>
    <row r="33710" customHeight="1" spans="2:2">
      <c r="B33710" s="62" t="str">
        <f>IF(AND('领用录入（明细）'!D:D=$F$4,'领用录入（明细）'!C:C&gt;=$J$4,'领用录入（明细）'!C:C&lt;=$L$4),ROW(),"-")</f>
        <v>-</v>
      </c>
    </row>
    <row r="33711" customHeight="1" spans="2:2">
      <c r="B33711" s="62" t="str">
        <f>IF(AND('领用录入（明细）'!D:D=$F$4,'领用录入（明细）'!C:C&gt;=$J$4,'领用录入（明细）'!C:C&lt;=$L$4),ROW(),"-")</f>
        <v>-</v>
      </c>
    </row>
    <row r="33712" customHeight="1" spans="2:2">
      <c r="B33712" s="62" t="str">
        <f>IF(AND('领用录入（明细）'!D:D=$F$4,'领用录入（明细）'!C:C&gt;=$J$4,'领用录入（明细）'!C:C&lt;=$L$4),ROW(),"-")</f>
        <v>-</v>
      </c>
    </row>
    <row r="33713" customHeight="1" spans="2:2">
      <c r="B33713" s="62" t="str">
        <f>IF(AND('领用录入（明细）'!D:D=$F$4,'领用录入（明细）'!C:C&gt;=$J$4,'领用录入（明细）'!C:C&lt;=$L$4),ROW(),"-")</f>
        <v>-</v>
      </c>
    </row>
    <row r="33714" customHeight="1" spans="2:2">
      <c r="B33714" s="62" t="str">
        <f>IF(AND('领用录入（明细）'!D:D=$F$4,'领用录入（明细）'!C:C&gt;=$J$4,'领用录入（明细）'!C:C&lt;=$L$4),ROW(),"-")</f>
        <v>-</v>
      </c>
    </row>
    <row r="33715" customHeight="1" spans="2:2">
      <c r="B33715" s="62" t="str">
        <f>IF(AND('领用录入（明细）'!D:D=$F$4,'领用录入（明细）'!C:C&gt;=$J$4,'领用录入（明细）'!C:C&lt;=$L$4),ROW(),"-")</f>
        <v>-</v>
      </c>
    </row>
    <row r="33716" customHeight="1" spans="2:2">
      <c r="B33716" s="62" t="str">
        <f>IF(AND('领用录入（明细）'!D:D=$F$4,'领用录入（明细）'!C:C&gt;=$J$4,'领用录入（明细）'!C:C&lt;=$L$4),ROW(),"-")</f>
        <v>-</v>
      </c>
    </row>
    <row r="33717" customHeight="1" spans="2:2">
      <c r="B33717" s="62" t="str">
        <f>IF(AND('领用录入（明细）'!D:D=$F$4,'领用录入（明细）'!C:C&gt;=$J$4,'领用录入（明细）'!C:C&lt;=$L$4),ROW(),"-")</f>
        <v>-</v>
      </c>
    </row>
    <row r="33718" customHeight="1" spans="2:2">
      <c r="B33718" s="62" t="str">
        <f>IF(AND('领用录入（明细）'!D:D=$F$4,'领用录入（明细）'!C:C&gt;=$J$4,'领用录入（明细）'!C:C&lt;=$L$4),ROW(),"-")</f>
        <v>-</v>
      </c>
    </row>
    <row r="33719" customHeight="1" spans="2:2">
      <c r="B33719" s="62" t="str">
        <f>IF(AND('领用录入（明细）'!D:D=$F$4,'领用录入（明细）'!C:C&gt;=$J$4,'领用录入（明细）'!C:C&lt;=$L$4),ROW(),"-")</f>
        <v>-</v>
      </c>
    </row>
    <row r="33720" customHeight="1" spans="2:2">
      <c r="B33720" s="62" t="str">
        <f>IF(AND('领用录入（明细）'!D:D=$F$4,'领用录入（明细）'!C:C&gt;=$J$4,'领用录入（明细）'!C:C&lt;=$L$4),ROW(),"-")</f>
        <v>-</v>
      </c>
    </row>
    <row r="33721" customHeight="1" spans="2:2">
      <c r="B33721" s="62" t="str">
        <f>IF(AND('领用录入（明细）'!D:D=$F$4,'领用录入（明细）'!C:C&gt;=$J$4,'领用录入（明细）'!C:C&lt;=$L$4),ROW(),"-")</f>
        <v>-</v>
      </c>
    </row>
    <row r="33722" customHeight="1" spans="2:2">
      <c r="B33722" s="62" t="str">
        <f>IF(AND('领用录入（明细）'!D:D=$F$4,'领用录入（明细）'!C:C&gt;=$J$4,'领用录入（明细）'!C:C&lt;=$L$4),ROW(),"-")</f>
        <v>-</v>
      </c>
    </row>
    <row r="33723" customHeight="1" spans="2:2">
      <c r="B33723" s="62" t="str">
        <f>IF(AND('领用录入（明细）'!D:D=$F$4,'领用录入（明细）'!C:C&gt;=$J$4,'领用录入（明细）'!C:C&lt;=$L$4),ROW(),"-")</f>
        <v>-</v>
      </c>
    </row>
    <row r="33724" customHeight="1" spans="2:2">
      <c r="B33724" s="62" t="str">
        <f>IF(AND('领用录入（明细）'!D:D=$F$4,'领用录入（明细）'!C:C&gt;=$J$4,'领用录入（明细）'!C:C&lt;=$L$4),ROW(),"-")</f>
        <v>-</v>
      </c>
    </row>
    <row r="33725" customHeight="1" spans="2:2">
      <c r="B33725" s="62" t="str">
        <f>IF(AND('领用录入（明细）'!D:D=$F$4,'领用录入（明细）'!C:C&gt;=$J$4,'领用录入（明细）'!C:C&lt;=$L$4),ROW(),"-")</f>
        <v>-</v>
      </c>
    </row>
    <row r="33726" customHeight="1" spans="2:2">
      <c r="B33726" s="62" t="str">
        <f>IF(AND('领用录入（明细）'!D:D=$F$4,'领用录入（明细）'!C:C&gt;=$J$4,'领用录入（明细）'!C:C&lt;=$L$4),ROW(),"-")</f>
        <v>-</v>
      </c>
    </row>
    <row r="33727" customHeight="1" spans="2:2">
      <c r="B33727" s="62" t="str">
        <f>IF(AND('领用录入（明细）'!D:D=$F$4,'领用录入（明细）'!C:C&gt;=$J$4,'领用录入（明细）'!C:C&lt;=$L$4),ROW(),"-")</f>
        <v>-</v>
      </c>
    </row>
    <row r="33728" customHeight="1" spans="2:2">
      <c r="B33728" s="62" t="str">
        <f>IF(AND('领用录入（明细）'!D:D=$F$4,'领用录入（明细）'!C:C&gt;=$J$4,'领用录入（明细）'!C:C&lt;=$L$4),ROW(),"-")</f>
        <v>-</v>
      </c>
    </row>
    <row r="33729" customHeight="1" spans="2:2">
      <c r="B33729" s="62" t="str">
        <f>IF(AND('领用录入（明细）'!D:D=$F$4,'领用录入（明细）'!C:C&gt;=$J$4,'领用录入（明细）'!C:C&lt;=$L$4),ROW(),"-")</f>
        <v>-</v>
      </c>
    </row>
    <row r="33730" customHeight="1" spans="2:2">
      <c r="B33730" s="62" t="str">
        <f>IF(AND('领用录入（明细）'!D:D=$F$4,'领用录入（明细）'!C:C&gt;=$J$4,'领用录入（明细）'!C:C&lt;=$L$4),ROW(),"-")</f>
        <v>-</v>
      </c>
    </row>
    <row r="33731" customHeight="1" spans="2:2">
      <c r="B33731" s="62" t="str">
        <f>IF(AND('领用录入（明细）'!D:D=$F$4,'领用录入（明细）'!C:C&gt;=$J$4,'领用录入（明细）'!C:C&lt;=$L$4),ROW(),"-")</f>
        <v>-</v>
      </c>
    </row>
    <row r="33732" customHeight="1" spans="2:2">
      <c r="B33732" s="62" t="str">
        <f>IF(AND('领用录入（明细）'!D:D=$F$4,'领用录入（明细）'!C:C&gt;=$J$4,'领用录入（明细）'!C:C&lt;=$L$4),ROW(),"-")</f>
        <v>-</v>
      </c>
    </row>
    <row r="33733" customHeight="1" spans="2:2">
      <c r="B33733" s="62" t="str">
        <f>IF(AND('领用录入（明细）'!D:D=$F$4,'领用录入（明细）'!C:C&gt;=$J$4,'领用录入（明细）'!C:C&lt;=$L$4),ROW(),"-")</f>
        <v>-</v>
      </c>
    </row>
    <row r="33734" customHeight="1" spans="2:2">
      <c r="B33734" s="62" t="str">
        <f>IF(AND('领用录入（明细）'!D:D=$F$4,'领用录入（明细）'!C:C&gt;=$J$4,'领用录入（明细）'!C:C&lt;=$L$4),ROW(),"-")</f>
        <v>-</v>
      </c>
    </row>
    <row r="33735" customHeight="1" spans="2:2">
      <c r="B33735" s="62" t="str">
        <f>IF(AND('领用录入（明细）'!D:D=$F$4,'领用录入（明细）'!C:C&gt;=$J$4,'领用录入（明细）'!C:C&lt;=$L$4),ROW(),"-")</f>
        <v>-</v>
      </c>
    </row>
    <row r="33736" customHeight="1" spans="2:2">
      <c r="B33736" s="62" t="str">
        <f>IF(AND('领用录入（明细）'!D:D=$F$4,'领用录入（明细）'!C:C&gt;=$J$4,'领用录入（明细）'!C:C&lt;=$L$4),ROW(),"-")</f>
        <v>-</v>
      </c>
    </row>
    <row r="33737" customHeight="1" spans="2:2">
      <c r="B33737" s="62" t="str">
        <f>IF(AND('领用录入（明细）'!D:D=$F$4,'领用录入（明细）'!C:C&gt;=$J$4,'领用录入（明细）'!C:C&lt;=$L$4),ROW(),"-")</f>
        <v>-</v>
      </c>
    </row>
    <row r="33738" customHeight="1" spans="2:2">
      <c r="B33738" s="62" t="str">
        <f>IF(AND('领用录入（明细）'!D:D=$F$4,'领用录入（明细）'!C:C&gt;=$J$4,'领用录入（明细）'!C:C&lt;=$L$4),ROW(),"-")</f>
        <v>-</v>
      </c>
    </row>
    <row r="33739" customHeight="1" spans="2:2">
      <c r="B33739" s="62" t="str">
        <f>IF(AND('领用录入（明细）'!D:D=$F$4,'领用录入（明细）'!C:C&gt;=$J$4,'领用录入（明细）'!C:C&lt;=$L$4),ROW(),"-")</f>
        <v>-</v>
      </c>
    </row>
    <row r="33740" customHeight="1" spans="2:2">
      <c r="B33740" s="62" t="str">
        <f>IF(AND('领用录入（明细）'!D:D=$F$4,'领用录入（明细）'!C:C&gt;=$J$4,'领用录入（明细）'!C:C&lt;=$L$4),ROW(),"-")</f>
        <v>-</v>
      </c>
    </row>
    <row r="33741" customHeight="1" spans="2:2">
      <c r="B33741" s="62" t="str">
        <f>IF(AND('领用录入（明细）'!D:D=$F$4,'领用录入（明细）'!C:C&gt;=$J$4,'领用录入（明细）'!C:C&lt;=$L$4),ROW(),"-")</f>
        <v>-</v>
      </c>
    </row>
    <row r="33742" customHeight="1" spans="2:2">
      <c r="B33742" s="62" t="str">
        <f>IF(AND('领用录入（明细）'!D:D=$F$4,'领用录入（明细）'!C:C&gt;=$J$4,'领用录入（明细）'!C:C&lt;=$L$4),ROW(),"-")</f>
        <v>-</v>
      </c>
    </row>
    <row r="33743" customHeight="1" spans="2:2">
      <c r="B33743" s="62" t="str">
        <f>IF(AND('领用录入（明细）'!D:D=$F$4,'领用录入（明细）'!C:C&gt;=$J$4,'领用录入（明细）'!C:C&lt;=$L$4),ROW(),"-")</f>
        <v>-</v>
      </c>
    </row>
    <row r="33744" customHeight="1" spans="2:2">
      <c r="B33744" s="62" t="str">
        <f>IF(AND('领用录入（明细）'!D:D=$F$4,'领用录入（明细）'!C:C&gt;=$J$4,'领用录入（明细）'!C:C&lt;=$L$4),ROW(),"-")</f>
        <v>-</v>
      </c>
    </row>
    <row r="33745" customHeight="1" spans="2:2">
      <c r="B33745" s="62" t="str">
        <f>IF(AND('领用录入（明细）'!D:D=$F$4,'领用录入（明细）'!C:C&gt;=$J$4,'领用录入（明细）'!C:C&lt;=$L$4),ROW(),"-")</f>
        <v>-</v>
      </c>
    </row>
    <row r="33746" customHeight="1" spans="2:2">
      <c r="B33746" s="62" t="str">
        <f>IF(AND('领用录入（明细）'!D:D=$F$4,'领用录入（明细）'!C:C&gt;=$J$4,'领用录入（明细）'!C:C&lt;=$L$4),ROW(),"-")</f>
        <v>-</v>
      </c>
    </row>
    <row r="33747" customHeight="1" spans="2:2">
      <c r="B33747" s="62" t="str">
        <f>IF(AND('领用录入（明细）'!D:D=$F$4,'领用录入（明细）'!C:C&gt;=$J$4,'领用录入（明细）'!C:C&lt;=$L$4),ROW(),"-")</f>
        <v>-</v>
      </c>
    </row>
    <row r="33748" customHeight="1" spans="2:2">
      <c r="B33748" s="62" t="str">
        <f>IF(AND('领用录入（明细）'!D:D=$F$4,'领用录入（明细）'!C:C&gt;=$J$4,'领用录入（明细）'!C:C&lt;=$L$4),ROW(),"-")</f>
        <v>-</v>
      </c>
    </row>
    <row r="33749" customHeight="1" spans="2:2">
      <c r="B33749" s="62" t="str">
        <f>IF(AND('领用录入（明细）'!D:D=$F$4,'领用录入（明细）'!C:C&gt;=$J$4,'领用录入（明细）'!C:C&lt;=$L$4),ROW(),"-")</f>
        <v>-</v>
      </c>
    </row>
    <row r="33750" customHeight="1" spans="2:2">
      <c r="B33750" s="62" t="str">
        <f>IF(AND('领用录入（明细）'!D:D=$F$4,'领用录入（明细）'!C:C&gt;=$J$4,'领用录入（明细）'!C:C&lt;=$L$4),ROW(),"-")</f>
        <v>-</v>
      </c>
    </row>
    <row r="33751" customHeight="1" spans="2:2">
      <c r="B33751" s="62" t="str">
        <f>IF(AND('领用录入（明细）'!D:D=$F$4,'领用录入（明细）'!C:C&gt;=$J$4,'领用录入（明细）'!C:C&lt;=$L$4),ROW(),"-")</f>
        <v>-</v>
      </c>
    </row>
    <row r="33752" customHeight="1" spans="2:2">
      <c r="B33752" s="62" t="str">
        <f>IF(AND('领用录入（明细）'!D:D=$F$4,'领用录入（明细）'!C:C&gt;=$J$4,'领用录入（明细）'!C:C&lt;=$L$4),ROW(),"-")</f>
        <v>-</v>
      </c>
    </row>
    <row r="33753" customHeight="1" spans="2:2">
      <c r="B33753" s="62" t="str">
        <f>IF(AND('领用录入（明细）'!D:D=$F$4,'领用录入（明细）'!C:C&gt;=$J$4,'领用录入（明细）'!C:C&lt;=$L$4),ROW(),"-")</f>
        <v>-</v>
      </c>
    </row>
    <row r="33754" customHeight="1" spans="2:2">
      <c r="B33754" s="62" t="str">
        <f>IF(AND('领用录入（明细）'!D:D=$F$4,'领用录入（明细）'!C:C&gt;=$J$4,'领用录入（明细）'!C:C&lt;=$L$4),ROW(),"-")</f>
        <v>-</v>
      </c>
    </row>
    <row r="33755" customHeight="1" spans="2:2">
      <c r="B33755" s="62" t="str">
        <f>IF(AND('领用录入（明细）'!D:D=$F$4,'领用录入（明细）'!C:C&gt;=$J$4,'领用录入（明细）'!C:C&lt;=$L$4),ROW(),"-")</f>
        <v>-</v>
      </c>
    </row>
    <row r="33756" customHeight="1" spans="2:2">
      <c r="B33756" s="62" t="str">
        <f>IF(AND('领用录入（明细）'!D:D=$F$4,'领用录入（明细）'!C:C&gt;=$J$4,'领用录入（明细）'!C:C&lt;=$L$4),ROW(),"-")</f>
        <v>-</v>
      </c>
    </row>
    <row r="33757" customHeight="1" spans="2:2">
      <c r="B33757" s="62" t="str">
        <f>IF(AND('领用录入（明细）'!D:D=$F$4,'领用录入（明细）'!C:C&gt;=$J$4,'领用录入（明细）'!C:C&lt;=$L$4),ROW(),"-")</f>
        <v>-</v>
      </c>
    </row>
    <row r="33758" customHeight="1" spans="2:2">
      <c r="B33758" s="62" t="str">
        <f>IF(AND('领用录入（明细）'!D:D=$F$4,'领用录入（明细）'!C:C&gt;=$J$4,'领用录入（明细）'!C:C&lt;=$L$4),ROW(),"-")</f>
        <v>-</v>
      </c>
    </row>
    <row r="33759" customHeight="1" spans="2:2">
      <c r="B33759" s="62" t="str">
        <f>IF(AND('领用录入（明细）'!D:D=$F$4,'领用录入（明细）'!C:C&gt;=$J$4,'领用录入（明细）'!C:C&lt;=$L$4),ROW(),"-")</f>
        <v>-</v>
      </c>
    </row>
    <row r="33760" customHeight="1" spans="2:2">
      <c r="B33760" s="62" t="str">
        <f>IF(AND('领用录入（明细）'!D:D=$F$4,'领用录入（明细）'!C:C&gt;=$J$4,'领用录入（明细）'!C:C&lt;=$L$4),ROW(),"-")</f>
        <v>-</v>
      </c>
    </row>
    <row r="33761" customHeight="1" spans="2:2">
      <c r="B33761" s="62" t="str">
        <f>IF(AND('领用录入（明细）'!D:D=$F$4,'领用录入（明细）'!C:C&gt;=$J$4,'领用录入（明细）'!C:C&lt;=$L$4),ROW(),"-")</f>
        <v>-</v>
      </c>
    </row>
    <row r="33762" customHeight="1" spans="2:2">
      <c r="B33762" s="62" t="str">
        <f>IF(AND('领用录入（明细）'!D:D=$F$4,'领用录入（明细）'!C:C&gt;=$J$4,'领用录入（明细）'!C:C&lt;=$L$4),ROW(),"-")</f>
        <v>-</v>
      </c>
    </row>
    <row r="33763" customHeight="1" spans="2:2">
      <c r="B33763" s="62" t="str">
        <f>IF(AND('领用录入（明细）'!D:D=$F$4,'领用录入（明细）'!C:C&gt;=$J$4,'领用录入（明细）'!C:C&lt;=$L$4),ROW(),"-")</f>
        <v>-</v>
      </c>
    </row>
    <row r="33764" customHeight="1" spans="2:2">
      <c r="B33764" s="62" t="str">
        <f>IF(AND('领用录入（明细）'!D:D=$F$4,'领用录入（明细）'!C:C&gt;=$J$4,'领用录入（明细）'!C:C&lt;=$L$4),ROW(),"-")</f>
        <v>-</v>
      </c>
    </row>
    <row r="33765" customHeight="1" spans="2:2">
      <c r="B33765" s="62" t="str">
        <f>IF(AND('领用录入（明细）'!D:D=$F$4,'领用录入（明细）'!C:C&gt;=$J$4,'领用录入（明细）'!C:C&lt;=$L$4),ROW(),"-")</f>
        <v>-</v>
      </c>
    </row>
    <row r="33766" customHeight="1" spans="2:2">
      <c r="B33766" s="62" t="str">
        <f>IF(AND('领用录入（明细）'!D:D=$F$4,'领用录入（明细）'!C:C&gt;=$J$4,'领用录入（明细）'!C:C&lt;=$L$4),ROW(),"-")</f>
        <v>-</v>
      </c>
    </row>
    <row r="33767" customHeight="1" spans="2:2">
      <c r="B33767" s="62" t="str">
        <f>IF(AND('领用录入（明细）'!D:D=$F$4,'领用录入（明细）'!C:C&gt;=$J$4,'领用录入（明细）'!C:C&lt;=$L$4),ROW(),"-")</f>
        <v>-</v>
      </c>
    </row>
    <row r="33768" customHeight="1" spans="2:2">
      <c r="B33768" s="62" t="str">
        <f>IF(AND('领用录入（明细）'!D:D=$F$4,'领用录入（明细）'!C:C&gt;=$J$4,'领用录入（明细）'!C:C&lt;=$L$4),ROW(),"-")</f>
        <v>-</v>
      </c>
    </row>
    <row r="33769" customHeight="1" spans="2:2">
      <c r="B33769" s="62" t="str">
        <f>IF(AND('领用录入（明细）'!D:D=$F$4,'领用录入（明细）'!C:C&gt;=$J$4,'领用录入（明细）'!C:C&lt;=$L$4),ROW(),"-")</f>
        <v>-</v>
      </c>
    </row>
    <row r="33770" customHeight="1" spans="2:2">
      <c r="B33770" s="62" t="str">
        <f>IF(AND('领用录入（明细）'!D:D=$F$4,'领用录入（明细）'!C:C&gt;=$J$4,'领用录入（明细）'!C:C&lt;=$L$4),ROW(),"-")</f>
        <v>-</v>
      </c>
    </row>
    <row r="33771" customHeight="1" spans="2:2">
      <c r="B33771" s="62" t="str">
        <f>IF(AND('领用录入（明细）'!D:D=$F$4,'领用录入（明细）'!C:C&gt;=$J$4,'领用录入（明细）'!C:C&lt;=$L$4),ROW(),"-")</f>
        <v>-</v>
      </c>
    </row>
    <row r="33772" customHeight="1" spans="2:2">
      <c r="B33772" s="62" t="str">
        <f>IF(AND('领用录入（明细）'!D:D=$F$4,'领用录入（明细）'!C:C&gt;=$J$4,'领用录入（明细）'!C:C&lt;=$L$4),ROW(),"-")</f>
        <v>-</v>
      </c>
    </row>
    <row r="33773" customHeight="1" spans="2:2">
      <c r="B33773" s="62" t="str">
        <f>IF(AND('领用录入（明细）'!D:D=$F$4,'领用录入（明细）'!C:C&gt;=$J$4,'领用录入（明细）'!C:C&lt;=$L$4),ROW(),"-")</f>
        <v>-</v>
      </c>
    </row>
    <row r="33774" customHeight="1" spans="2:2">
      <c r="B33774" s="62" t="str">
        <f>IF(AND('领用录入（明细）'!D:D=$F$4,'领用录入（明细）'!C:C&gt;=$J$4,'领用录入（明细）'!C:C&lt;=$L$4),ROW(),"-")</f>
        <v>-</v>
      </c>
    </row>
    <row r="33775" customHeight="1" spans="2:2">
      <c r="B33775" s="62" t="str">
        <f>IF(AND('领用录入（明细）'!D:D=$F$4,'领用录入（明细）'!C:C&gt;=$J$4,'领用录入（明细）'!C:C&lt;=$L$4),ROW(),"-")</f>
        <v>-</v>
      </c>
    </row>
    <row r="33776" customHeight="1" spans="2:2">
      <c r="B33776" s="62" t="str">
        <f>IF(AND('领用录入（明细）'!D:D=$F$4,'领用录入（明细）'!C:C&gt;=$J$4,'领用录入（明细）'!C:C&lt;=$L$4),ROW(),"-")</f>
        <v>-</v>
      </c>
    </row>
    <row r="33777" customHeight="1" spans="2:2">
      <c r="B33777" s="62" t="str">
        <f>IF(AND('领用录入（明细）'!D:D=$F$4,'领用录入（明细）'!C:C&gt;=$J$4,'领用录入（明细）'!C:C&lt;=$L$4),ROW(),"-")</f>
        <v>-</v>
      </c>
    </row>
    <row r="33778" customHeight="1" spans="2:2">
      <c r="B33778" s="62" t="str">
        <f>IF(AND('领用录入（明细）'!D:D=$F$4,'领用录入（明细）'!C:C&gt;=$J$4,'领用录入（明细）'!C:C&lt;=$L$4),ROW(),"-")</f>
        <v>-</v>
      </c>
    </row>
    <row r="33779" customHeight="1" spans="2:2">
      <c r="B33779" s="62" t="str">
        <f>IF(AND('领用录入（明细）'!D:D=$F$4,'领用录入（明细）'!C:C&gt;=$J$4,'领用录入（明细）'!C:C&lt;=$L$4),ROW(),"-")</f>
        <v>-</v>
      </c>
    </row>
    <row r="33780" customHeight="1" spans="2:2">
      <c r="B33780" s="62" t="str">
        <f>IF(AND('领用录入（明细）'!D:D=$F$4,'领用录入（明细）'!C:C&gt;=$J$4,'领用录入（明细）'!C:C&lt;=$L$4),ROW(),"-")</f>
        <v>-</v>
      </c>
    </row>
    <row r="33781" customHeight="1" spans="2:2">
      <c r="B33781" s="62" t="str">
        <f>IF(AND('领用录入（明细）'!D:D=$F$4,'领用录入（明细）'!C:C&gt;=$J$4,'领用录入（明细）'!C:C&lt;=$L$4),ROW(),"-")</f>
        <v>-</v>
      </c>
    </row>
    <row r="33782" customHeight="1" spans="2:2">
      <c r="B33782" s="62" t="str">
        <f>IF(AND('领用录入（明细）'!D:D=$F$4,'领用录入（明细）'!C:C&gt;=$J$4,'领用录入（明细）'!C:C&lt;=$L$4),ROW(),"-")</f>
        <v>-</v>
      </c>
    </row>
    <row r="33783" customHeight="1" spans="2:2">
      <c r="B33783" s="62" t="str">
        <f>IF(AND('领用录入（明细）'!D:D=$F$4,'领用录入（明细）'!C:C&gt;=$J$4,'领用录入（明细）'!C:C&lt;=$L$4),ROW(),"-")</f>
        <v>-</v>
      </c>
    </row>
    <row r="33784" customHeight="1" spans="2:2">
      <c r="B33784" s="62" t="str">
        <f>IF(AND('领用录入（明细）'!D:D=$F$4,'领用录入（明细）'!C:C&gt;=$J$4,'领用录入（明细）'!C:C&lt;=$L$4),ROW(),"-")</f>
        <v>-</v>
      </c>
    </row>
    <row r="33785" customHeight="1" spans="2:2">
      <c r="B33785" s="62" t="str">
        <f>IF(AND('领用录入（明细）'!D:D=$F$4,'领用录入（明细）'!C:C&gt;=$J$4,'领用录入（明细）'!C:C&lt;=$L$4),ROW(),"-")</f>
        <v>-</v>
      </c>
    </row>
    <row r="33786" customHeight="1" spans="2:2">
      <c r="B33786" s="62" t="str">
        <f>IF(AND('领用录入（明细）'!D:D=$F$4,'领用录入（明细）'!C:C&gt;=$J$4,'领用录入（明细）'!C:C&lt;=$L$4),ROW(),"-")</f>
        <v>-</v>
      </c>
    </row>
    <row r="33787" customHeight="1" spans="2:2">
      <c r="B33787" s="62" t="str">
        <f>IF(AND('领用录入（明细）'!D:D=$F$4,'领用录入（明细）'!C:C&gt;=$J$4,'领用录入（明细）'!C:C&lt;=$L$4),ROW(),"-")</f>
        <v>-</v>
      </c>
    </row>
    <row r="33788" customHeight="1" spans="2:2">
      <c r="B33788" s="62" t="str">
        <f>IF(AND('领用录入（明细）'!D:D=$F$4,'领用录入（明细）'!C:C&gt;=$J$4,'领用录入（明细）'!C:C&lt;=$L$4),ROW(),"-")</f>
        <v>-</v>
      </c>
    </row>
    <row r="33789" customHeight="1" spans="2:2">
      <c r="B33789" s="62" t="str">
        <f>IF(AND('领用录入（明细）'!D:D=$F$4,'领用录入（明细）'!C:C&gt;=$J$4,'领用录入（明细）'!C:C&lt;=$L$4),ROW(),"-")</f>
        <v>-</v>
      </c>
    </row>
    <row r="33790" customHeight="1" spans="2:2">
      <c r="B33790" s="62" t="str">
        <f>IF(AND('领用录入（明细）'!D:D=$F$4,'领用录入（明细）'!C:C&gt;=$J$4,'领用录入（明细）'!C:C&lt;=$L$4),ROW(),"-")</f>
        <v>-</v>
      </c>
    </row>
    <row r="33791" customHeight="1" spans="2:2">
      <c r="B33791" s="62" t="str">
        <f>IF(AND('领用录入（明细）'!D:D=$F$4,'领用录入（明细）'!C:C&gt;=$J$4,'领用录入（明细）'!C:C&lt;=$L$4),ROW(),"-")</f>
        <v>-</v>
      </c>
    </row>
    <row r="33792" customHeight="1" spans="2:2">
      <c r="B33792" s="62" t="str">
        <f>IF(AND('领用录入（明细）'!D:D=$F$4,'领用录入（明细）'!C:C&gt;=$J$4,'领用录入（明细）'!C:C&lt;=$L$4),ROW(),"-")</f>
        <v>-</v>
      </c>
    </row>
    <row r="33793" customHeight="1" spans="2:2">
      <c r="B33793" s="62" t="str">
        <f>IF(AND('领用录入（明细）'!D:D=$F$4,'领用录入（明细）'!C:C&gt;=$J$4,'领用录入（明细）'!C:C&lt;=$L$4),ROW(),"-")</f>
        <v>-</v>
      </c>
    </row>
    <row r="33794" customHeight="1" spans="2:2">
      <c r="B33794" s="62" t="str">
        <f>IF(AND('领用录入（明细）'!D:D=$F$4,'领用录入（明细）'!C:C&gt;=$J$4,'领用录入（明细）'!C:C&lt;=$L$4),ROW(),"-")</f>
        <v>-</v>
      </c>
    </row>
    <row r="33795" customHeight="1" spans="2:2">
      <c r="B33795" s="62" t="str">
        <f>IF(AND('领用录入（明细）'!D:D=$F$4,'领用录入（明细）'!C:C&gt;=$J$4,'领用录入（明细）'!C:C&lt;=$L$4),ROW(),"-")</f>
        <v>-</v>
      </c>
    </row>
    <row r="33796" customHeight="1" spans="2:2">
      <c r="B33796" s="62" t="str">
        <f>IF(AND('领用录入（明细）'!D:D=$F$4,'领用录入（明细）'!C:C&gt;=$J$4,'领用录入（明细）'!C:C&lt;=$L$4),ROW(),"-")</f>
        <v>-</v>
      </c>
    </row>
    <row r="33797" customHeight="1" spans="2:2">
      <c r="B33797" s="62" t="str">
        <f>IF(AND('领用录入（明细）'!D:D=$F$4,'领用录入（明细）'!C:C&gt;=$J$4,'领用录入（明细）'!C:C&lt;=$L$4),ROW(),"-")</f>
        <v>-</v>
      </c>
    </row>
    <row r="33798" customHeight="1" spans="2:2">
      <c r="B33798" s="62" t="str">
        <f>IF(AND('领用录入（明细）'!D:D=$F$4,'领用录入（明细）'!C:C&gt;=$J$4,'领用录入（明细）'!C:C&lt;=$L$4),ROW(),"-")</f>
        <v>-</v>
      </c>
    </row>
    <row r="33799" customHeight="1" spans="2:2">
      <c r="B33799" s="62" t="str">
        <f>IF(AND('领用录入（明细）'!D:D=$F$4,'领用录入（明细）'!C:C&gt;=$J$4,'领用录入（明细）'!C:C&lt;=$L$4),ROW(),"-")</f>
        <v>-</v>
      </c>
    </row>
    <row r="33800" customHeight="1" spans="2:2">
      <c r="B33800" s="62" t="str">
        <f>IF(AND('领用录入（明细）'!D:D=$F$4,'领用录入（明细）'!C:C&gt;=$J$4,'领用录入（明细）'!C:C&lt;=$L$4),ROW(),"-")</f>
        <v>-</v>
      </c>
    </row>
    <row r="33801" customHeight="1" spans="2:2">
      <c r="B33801" s="62" t="str">
        <f>IF(AND('领用录入（明细）'!D:D=$F$4,'领用录入（明细）'!C:C&gt;=$J$4,'领用录入（明细）'!C:C&lt;=$L$4),ROW(),"-")</f>
        <v>-</v>
      </c>
    </row>
    <row r="33802" customHeight="1" spans="2:2">
      <c r="B33802" s="62" t="str">
        <f>IF(AND('领用录入（明细）'!D:D=$F$4,'领用录入（明细）'!C:C&gt;=$J$4,'领用录入（明细）'!C:C&lt;=$L$4),ROW(),"-")</f>
        <v>-</v>
      </c>
    </row>
    <row r="33803" customHeight="1" spans="2:2">
      <c r="B33803" s="62" t="str">
        <f>IF(AND('领用录入（明细）'!D:D=$F$4,'领用录入（明细）'!C:C&gt;=$J$4,'领用录入（明细）'!C:C&lt;=$L$4),ROW(),"-")</f>
        <v>-</v>
      </c>
    </row>
    <row r="33804" customHeight="1" spans="2:2">
      <c r="B33804" s="62" t="str">
        <f>IF(AND('领用录入（明细）'!D:D=$F$4,'领用录入（明细）'!C:C&gt;=$J$4,'领用录入（明细）'!C:C&lt;=$L$4),ROW(),"-")</f>
        <v>-</v>
      </c>
    </row>
    <row r="33805" customHeight="1" spans="2:2">
      <c r="B33805" s="62" t="str">
        <f>IF(AND('领用录入（明细）'!D:D=$F$4,'领用录入（明细）'!C:C&gt;=$J$4,'领用录入（明细）'!C:C&lt;=$L$4),ROW(),"-")</f>
        <v>-</v>
      </c>
    </row>
    <row r="33806" customHeight="1" spans="2:2">
      <c r="B33806" s="62" t="str">
        <f>IF(AND('领用录入（明细）'!D:D=$F$4,'领用录入（明细）'!C:C&gt;=$J$4,'领用录入（明细）'!C:C&lt;=$L$4),ROW(),"-")</f>
        <v>-</v>
      </c>
    </row>
    <row r="33807" customHeight="1" spans="2:2">
      <c r="B33807" s="62" t="str">
        <f>IF(AND('领用录入（明细）'!D:D=$F$4,'领用录入（明细）'!C:C&gt;=$J$4,'领用录入（明细）'!C:C&lt;=$L$4),ROW(),"-")</f>
        <v>-</v>
      </c>
    </row>
    <row r="33808" customHeight="1" spans="2:2">
      <c r="B33808" s="62" t="str">
        <f>IF(AND('领用录入（明细）'!D:D=$F$4,'领用录入（明细）'!C:C&gt;=$J$4,'领用录入（明细）'!C:C&lt;=$L$4),ROW(),"-")</f>
        <v>-</v>
      </c>
    </row>
    <row r="33809" customHeight="1" spans="2:2">
      <c r="B33809" s="62" t="str">
        <f>IF(AND('领用录入（明细）'!D:D=$F$4,'领用录入（明细）'!C:C&gt;=$J$4,'领用录入（明细）'!C:C&lt;=$L$4),ROW(),"-")</f>
        <v>-</v>
      </c>
    </row>
    <row r="33810" customHeight="1" spans="2:2">
      <c r="B33810" s="62" t="str">
        <f>IF(AND('领用录入（明细）'!D:D=$F$4,'领用录入（明细）'!C:C&gt;=$J$4,'领用录入（明细）'!C:C&lt;=$L$4),ROW(),"-")</f>
        <v>-</v>
      </c>
    </row>
    <row r="33811" customHeight="1" spans="2:2">
      <c r="B33811" s="62" t="str">
        <f>IF(AND('领用录入（明细）'!D:D=$F$4,'领用录入（明细）'!C:C&gt;=$J$4,'领用录入（明细）'!C:C&lt;=$L$4),ROW(),"-")</f>
        <v>-</v>
      </c>
    </row>
    <row r="33812" customHeight="1" spans="2:2">
      <c r="B33812" s="62" t="str">
        <f>IF(AND('领用录入（明细）'!D:D=$F$4,'领用录入（明细）'!C:C&gt;=$J$4,'领用录入（明细）'!C:C&lt;=$L$4),ROW(),"-")</f>
        <v>-</v>
      </c>
    </row>
    <row r="33813" customHeight="1" spans="2:2">
      <c r="B33813" s="62" t="str">
        <f>IF(AND('领用录入（明细）'!D:D=$F$4,'领用录入（明细）'!C:C&gt;=$J$4,'领用录入（明细）'!C:C&lt;=$L$4),ROW(),"-")</f>
        <v>-</v>
      </c>
    </row>
    <row r="33814" customHeight="1" spans="2:2">
      <c r="B33814" s="62" t="str">
        <f>IF(AND('领用录入（明细）'!D:D=$F$4,'领用录入（明细）'!C:C&gt;=$J$4,'领用录入（明细）'!C:C&lt;=$L$4),ROW(),"-")</f>
        <v>-</v>
      </c>
    </row>
    <row r="33815" customHeight="1" spans="2:2">
      <c r="B33815" s="62" t="str">
        <f>IF(AND('领用录入（明细）'!D:D=$F$4,'领用录入（明细）'!C:C&gt;=$J$4,'领用录入（明细）'!C:C&lt;=$L$4),ROW(),"-")</f>
        <v>-</v>
      </c>
    </row>
    <row r="33816" customHeight="1" spans="2:2">
      <c r="B33816" s="62" t="str">
        <f>IF(AND('领用录入（明细）'!D:D=$F$4,'领用录入（明细）'!C:C&gt;=$J$4,'领用录入（明细）'!C:C&lt;=$L$4),ROW(),"-")</f>
        <v>-</v>
      </c>
    </row>
    <row r="33817" customHeight="1" spans="2:2">
      <c r="B33817" s="62" t="str">
        <f>IF(AND('领用录入（明细）'!D:D=$F$4,'领用录入（明细）'!C:C&gt;=$J$4,'领用录入（明细）'!C:C&lt;=$L$4),ROW(),"-")</f>
        <v>-</v>
      </c>
    </row>
    <row r="33818" customHeight="1" spans="2:2">
      <c r="B33818" s="62" t="str">
        <f>IF(AND('领用录入（明细）'!D:D=$F$4,'领用录入（明细）'!C:C&gt;=$J$4,'领用录入（明细）'!C:C&lt;=$L$4),ROW(),"-")</f>
        <v>-</v>
      </c>
    </row>
    <row r="33819" customHeight="1" spans="2:2">
      <c r="B33819" s="62" t="str">
        <f>IF(AND('领用录入（明细）'!D:D=$F$4,'领用录入（明细）'!C:C&gt;=$J$4,'领用录入（明细）'!C:C&lt;=$L$4),ROW(),"-")</f>
        <v>-</v>
      </c>
    </row>
    <row r="33820" customHeight="1" spans="2:2">
      <c r="B33820" s="62" t="str">
        <f>IF(AND('领用录入（明细）'!D:D=$F$4,'领用录入（明细）'!C:C&gt;=$J$4,'领用录入（明细）'!C:C&lt;=$L$4),ROW(),"-")</f>
        <v>-</v>
      </c>
    </row>
    <row r="33821" customHeight="1" spans="2:2">
      <c r="B33821" s="62" t="str">
        <f>IF(AND('领用录入（明细）'!D:D=$F$4,'领用录入（明细）'!C:C&gt;=$J$4,'领用录入（明细）'!C:C&lt;=$L$4),ROW(),"-")</f>
        <v>-</v>
      </c>
    </row>
    <row r="33822" customHeight="1" spans="2:2">
      <c r="B33822" s="62" t="str">
        <f>IF(AND('领用录入（明细）'!D:D=$F$4,'领用录入（明细）'!C:C&gt;=$J$4,'领用录入（明细）'!C:C&lt;=$L$4),ROW(),"-")</f>
        <v>-</v>
      </c>
    </row>
    <row r="33823" customHeight="1" spans="2:2">
      <c r="B33823" s="62" t="str">
        <f>IF(AND('领用录入（明细）'!D:D=$F$4,'领用录入（明细）'!C:C&gt;=$J$4,'领用录入（明细）'!C:C&lt;=$L$4),ROW(),"-")</f>
        <v>-</v>
      </c>
    </row>
    <row r="33824" customHeight="1" spans="2:2">
      <c r="B33824" s="62" t="str">
        <f>IF(AND('领用录入（明细）'!D:D=$F$4,'领用录入（明细）'!C:C&gt;=$J$4,'领用录入（明细）'!C:C&lt;=$L$4),ROW(),"-")</f>
        <v>-</v>
      </c>
    </row>
    <row r="33825" customHeight="1" spans="2:2">
      <c r="B33825" s="62" t="str">
        <f>IF(AND('领用录入（明细）'!D:D=$F$4,'领用录入（明细）'!C:C&gt;=$J$4,'领用录入（明细）'!C:C&lt;=$L$4),ROW(),"-")</f>
        <v>-</v>
      </c>
    </row>
    <row r="33826" customHeight="1" spans="2:2">
      <c r="B33826" s="62" t="str">
        <f>IF(AND('领用录入（明细）'!D:D=$F$4,'领用录入（明细）'!C:C&gt;=$J$4,'领用录入（明细）'!C:C&lt;=$L$4),ROW(),"-")</f>
        <v>-</v>
      </c>
    </row>
    <row r="33827" customHeight="1" spans="2:2">
      <c r="B33827" s="62" t="str">
        <f>IF(AND('领用录入（明细）'!D:D=$F$4,'领用录入（明细）'!C:C&gt;=$J$4,'领用录入（明细）'!C:C&lt;=$L$4),ROW(),"-")</f>
        <v>-</v>
      </c>
    </row>
    <row r="33828" customHeight="1" spans="2:2">
      <c r="B33828" s="62" t="str">
        <f>IF(AND('领用录入（明细）'!D:D=$F$4,'领用录入（明细）'!C:C&gt;=$J$4,'领用录入（明细）'!C:C&lt;=$L$4),ROW(),"-")</f>
        <v>-</v>
      </c>
    </row>
    <row r="33829" customHeight="1" spans="2:2">
      <c r="B33829" s="62" t="str">
        <f>IF(AND('领用录入（明细）'!D:D=$F$4,'领用录入（明细）'!C:C&gt;=$J$4,'领用录入（明细）'!C:C&lt;=$L$4),ROW(),"-")</f>
        <v>-</v>
      </c>
    </row>
    <row r="33830" customHeight="1" spans="2:2">
      <c r="B33830" s="62" t="str">
        <f>IF(AND('领用录入（明细）'!D:D=$F$4,'领用录入（明细）'!C:C&gt;=$J$4,'领用录入（明细）'!C:C&lt;=$L$4),ROW(),"-")</f>
        <v>-</v>
      </c>
    </row>
    <row r="33831" customHeight="1" spans="2:2">
      <c r="B33831" s="62" t="str">
        <f>IF(AND('领用录入（明细）'!D:D=$F$4,'领用录入（明细）'!C:C&gt;=$J$4,'领用录入（明细）'!C:C&lt;=$L$4),ROW(),"-")</f>
        <v>-</v>
      </c>
    </row>
    <row r="33832" customHeight="1" spans="2:2">
      <c r="B33832" s="62" t="str">
        <f>IF(AND('领用录入（明细）'!D:D=$F$4,'领用录入（明细）'!C:C&gt;=$J$4,'领用录入（明细）'!C:C&lt;=$L$4),ROW(),"-")</f>
        <v>-</v>
      </c>
    </row>
    <row r="33833" customHeight="1" spans="2:2">
      <c r="B33833" s="62" t="str">
        <f>IF(AND('领用录入（明细）'!D:D=$F$4,'领用录入（明细）'!C:C&gt;=$J$4,'领用录入（明细）'!C:C&lt;=$L$4),ROW(),"-")</f>
        <v>-</v>
      </c>
    </row>
    <row r="33834" customHeight="1" spans="2:2">
      <c r="B33834" s="62" t="str">
        <f>IF(AND('领用录入（明细）'!D:D=$F$4,'领用录入（明细）'!C:C&gt;=$J$4,'领用录入（明细）'!C:C&lt;=$L$4),ROW(),"-")</f>
        <v>-</v>
      </c>
    </row>
    <row r="33835" customHeight="1" spans="2:2">
      <c r="B33835" s="62" t="str">
        <f>IF(AND('领用录入（明细）'!D:D=$F$4,'领用录入（明细）'!C:C&gt;=$J$4,'领用录入（明细）'!C:C&lt;=$L$4),ROW(),"-")</f>
        <v>-</v>
      </c>
    </row>
    <row r="33836" customHeight="1" spans="2:2">
      <c r="B33836" s="62" t="str">
        <f>IF(AND('领用录入（明细）'!D:D=$F$4,'领用录入（明细）'!C:C&gt;=$J$4,'领用录入（明细）'!C:C&lt;=$L$4),ROW(),"-")</f>
        <v>-</v>
      </c>
    </row>
    <row r="33837" customHeight="1" spans="2:2">
      <c r="B33837" s="62" t="str">
        <f>IF(AND('领用录入（明细）'!D:D=$F$4,'领用录入（明细）'!C:C&gt;=$J$4,'领用录入（明细）'!C:C&lt;=$L$4),ROW(),"-")</f>
        <v>-</v>
      </c>
    </row>
    <row r="33838" customHeight="1" spans="2:2">
      <c r="B33838" s="62" t="str">
        <f>IF(AND('领用录入（明细）'!D:D=$F$4,'领用录入（明细）'!C:C&gt;=$J$4,'领用录入（明细）'!C:C&lt;=$L$4),ROW(),"-")</f>
        <v>-</v>
      </c>
    </row>
    <row r="33839" customHeight="1" spans="2:2">
      <c r="B33839" s="62" t="str">
        <f>IF(AND('领用录入（明细）'!D:D=$F$4,'领用录入（明细）'!C:C&gt;=$J$4,'领用录入（明细）'!C:C&lt;=$L$4),ROW(),"-")</f>
        <v>-</v>
      </c>
    </row>
    <row r="33840" customHeight="1" spans="2:2">
      <c r="B33840" s="62" t="str">
        <f>IF(AND('领用录入（明细）'!D:D=$F$4,'领用录入（明细）'!C:C&gt;=$J$4,'领用录入（明细）'!C:C&lt;=$L$4),ROW(),"-")</f>
        <v>-</v>
      </c>
    </row>
    <row r="33841" customHeight="1" spans="2:2">
      <c r="B33841" s="62" t="str">
        <f>IF(AND('领用录入（明细）'!D:D=$F$4,'领用录入（明细）'!C:C&gt;=$J$4,'领用录入（明细）'!C:C&lt;=$L$4),ROW(),"-")</f>
        <v>-</v>
      </c>
    </row>
    <row r="33842" customHeight="1" spans="2:2">
      <c r="B33842" s="62" t="str">
        <f>IF(AND('领用录入（明细）'!D:D=$F$4,'领用录入（明细）'!C:C&gt;=$J$4,'领用录入（明细）'!C:C&lt;=$L$4),ROW(),"-")</f>
        <v>-</v>
      </c>
    </row>
    <row r="33843" customHeight="1" spans="2:2">
      <c r="B33843" s="62" t="str">
        <f>IF(AND('领用录入（明细）'!D:D=$F$4,'领用录入（明细）'!C:C&gt;=$J$4,'领用录入（明细）'!C:C&lt;=$L$4),ROW(),"-")</f>
        <v>-</v>
      </c>
    </row>
    <row r="33844" customHeight="1" spans="2:2">
      <c r="B33844" s="62" t="str">
        <f>IF(AND('领用录入（明细）'!D:D=$F$4,'领用录入（明细）'!C:C&gt;=$J$4,'领用录入（明细）'!C:C&lt;=$L$4),ROW(),"-")</f>
        <v>-</v>
      </c>
    </row>
    <row r="33845" customHeight="1" spans="2:2">
      <c r="B33845" s="62" t="str">
        <f>IF(AND('领用录入（明细）'!D:D=$F$4,'领用录入（明细）'!C:C&gt;=$J$4,'领用录入（明细）'!C:C&lt;=$L$4),ROW(),"-")</f>
        <v>-</v>
      </c>
    </row>
    <row r="33846" customHeight="1" spans="2:2">
      <c r="B33846" s="62" t="str">
        <f>IF(AND('领用录入（明细）'!D:D=$F$4,'领用录入（明细）'!C:C&gt;=$J$4,'领用录入（明细）'!C:C&lt;=$L$4),ROW(),"-")</f>
        <v>-</v>
      </c>
    </row>
    <row r="33847" customHeight="1" spans="2:2">
      <c r="B33847" s="62" t="str">
        <f>IF(AND('领用录入（明细）'!D:D=$F$4,'领用录入（明细）'!C:C&gt;=$J$4,'领用录入（明细）'!C:C&lt;=$L$4),ROW(),"-")</f>
        <v>-</v>
      </c>
    </row>
    <row r="33848" customHeight="1" spans="2:2">
      <c r="B33848" s="62" t="str">
        <f>IF(AND('领用录入（明细）'!D:D=$F$4,'领用录入（明细）'!C:C&gt;=$J$4,'领用录入（明细）'!C:C&lt;=$L$4),ROW(),"-")</f>
        <v>-</v>
      </c>
    </row>
    <row r="33849" customHeight="1" spans="2:2">
      <c r="B33849" s="62" t="str">
        <f>IF(AND('领用录入（明细）'!D:D=$F$4,'领用录入（明细）'!C:C&gt;=$J$4,'领用录入（明细）'!C:C&lt;=$L$4),ROW(),"-")</f>
        <v>-</v>
      </c>
    </row>
    <row r="33850" customHeight="1" spans="2:2">
      <c r="B33850" s="62" t="str">
        <f>IF(AND('领用录入（明细）'!D:D=$F$4,'领用录入（明细）'!C:C&gt;=$J$4,'领用录入（明细）'!C:C&lt;=$L$4),ROW(),"-")</f>
        <v>-</v>
      </c>
    </row>
    <row r="33851" customHeight="1" spans="2:2">
      <c r="B33851" s="62" t="str">
        <f>IF(AND('领用录入（明细）'!D:D=$F$4,'领用录入（明细）'!C:C&gt;=$J$4,'领用录入（明细）'!C:C&lt;=$L$4),ROW(),"-")</f>
        <v>-</v>
      </c>
    </row>
    <row r="33852" customHeight="1" spans="2:2">
      <c r="B33852" s="62" t="str">
        <f>IF(AND('领用录入（明细）'!D:D=$F$4,'领用录入（明细）'!C:C&gt;=$J$4,'领用录入（明细）'!C:C&lt;=$L$4),ROW(),"-")</f>
        <v>-</v>
      </c>
    </row>
    <row r="33853" customHeight="1" spans="2:2">
      <c r="B33853" s="62" t="str">
        <f>IF(AND('领用录入（明细）'!D:D=$F$4,'领用录入（明细）'!C:C&gt;=$J$4,'领用录入（明细）'!C:C&lt;=$L$4),ROW(),"-")</f>
        <v>-</v>
      </c>
    </row>
    <row r="33854" customHeight="1" spans="2:2">
      <c r="B33854" s="62" t="str">
        <f>IF(AND('领用录入（明细）'!D:D=$F$4,'领用录入（明细）'!C:C&gt;=$J$4,'领用录入（明细）'!C:C&lt;=$L$4),ROW(),"-")</f>
        <v>-</v>
      </c>
    </row>
    <row r="33855" customHeight="1" spans="2:2">
      <c r="B33855" s="62" t="str">
        <f>IF(AND('领用录入（明细）'!D:D=$F$4,'领用录入（明细）'!C:C&gt;=$J$4,'领用录入（明细）'!C:C&lt;=$L$4),ROW(),"-")</f>
        <v>-</v>
      </c>
    </row>
    <row r="33856" customHeight="1" spans="2:2">
      <c r="B33856" s="62" t="str">
        <f>IF(AND('领用录入（明细）'!D:D=$F$4,'领用录入（明细）'!C:C&gt;=$J$4,'领用录入（明细）'!C:C&lt;=$L$4),ROW(),"-")</f>
        <v>-</v>
      </c>
    </row>
    <row r="33857" customHeight="1" spans="2:2">
      <c r="B33857" s="62" t="str">
        <f>IF(AND('领用录入（明细）'!D:D=$F$4,'领用录入（明细）'!C:C&gt;=$J$4,'领用录入（明细）'!C:C&lt;=$L$4),ROW(),"-")</f>
        <v>-</v>
      </c>
    </row>
    <row r="33858" customHeight="1" spans="2:2">
      <c r="B33858" s="62" t="str">
        <f>IF(AND('领用录入（明细）'!D:D=$F$4,'领用录入（明细）'!C:C&gt;=$J$4,'领用录入（明细）'!C:C&lt;=$L$4),ROW(),"-")</f>
        <v>-</v>
      </c>
    </row>
    <row r="33859" customHeight="1" spans="2:2">
      <c r="B33859" s="62" t="str">
        <f>IF(AND('领用录入（明细）'!D:D=$F$4,'领用录入（明细）'!C:C&gt;=$J$4,'领用录入（明细）'!C:C&lt;=$L$4),ROW(),"-")</f>
        <v>-</v>
      </c>
    </row>
    <row r="33860" customHeight="1" spans="2:2">
      <c r="B33860" s="62" t="str">
        <f>IF(AND('领用录入（明细）'!D:D=$F$4,'领用录入（明细）'!C:C&gt;=$J$4,'领用录入（明细）'!C:C&lt;=$L$4),ROW(),"-")</f>
        <v>-</v>
      </c>
    </row>
    <row r="33861" customHeight="1" spans="2:2">
      <c r="B33861" s="62" t="str">
        <f>IF(AND('领用录入（明细）'!D:D=$F$4,'领用录入（明细）'!C:C&gt;=$J$4,'领用录入（明细）'!C:C&lt;=$L$4),ROW(),"-")</f>
        <v>-</v>
      </c>
    </row>
    <row r="33862" customHeight="1" spans="2:2">
      <c r="B33862" s="62" t="str">
        <f>IF(AND('领用录入（明细）'!D:D=$F$4,'领用录入（明细）'!C:C&gt;=$J$4,'领用录入（明细）'!C:C&lt;=$L$4),ROW(),"-")</f>
        <v>-</v>
      </c>
    </row>
    <row r="33863" customHeight="1" spans="2:2">
      <c r="B33863" s="62" t="str">
        <f>IF(AND('领用录入（明细）'!D:D=$F$4,'领用录入（明细）'!C:C&gt;=$J$4,'领用录入（明细）'!C:C&lt;=$L$4),ROW(),"-")</f>
        <v>-</v>
      </c>
    </row>
    <row r="33864" customHeight="1" spans="2:2">
      <c r="B33864" s="62" t="str">
        <f>IF(AND('领用录入（明细）'!D:D=$F$4,'领用录入（明细）'!C:C&gt;=$J$4,'领用录入（明细）'!C:C&lt;=$L$4),ROW(),"-")</f>
        <v>-</v>
      </c>
    </row>
    <row r="33865" customHeight="1" spans="2:2">
      <c r="B33865" s="62" t="str">
        <f>IF(AND('领用录入（明细）'!D:D=$F$4,'领用录入（明细）'!C:C&gt;=$J$4,'领用录入（明细）'!C:C&lt;=$L$4),ROW(),"-")</f>
        <v>-</v>
      </c>
    </row>
    <row r="33866" customHeight="1" spans="2:2">
      <c r="B33866" s="62" t="str">
        <f>IF(AND('领用录入（明细）'!D:D=$F$4,'领用录入（明细）'!C:C&gt;=$J$4,'领用录入（明细）'!C:C&lt;=$L$4),ROW(),"-")</f>
        <v>-</v>
      </c>
    </row>
    <row r="33867" customHeight="1" spans="2:2">
      <c r="B33867" s="62" t="str">
        <f>IF(AND('领用录入（明细）'!D:D=$F$4,'领用录入（明细）'!C:C&gt;=$J$4,'领用录入（明细）'!C:C&lt;=$L$4),ROW(),"-")</f>
        <v>-</v>
      </c>
    </row>
    <row r="33868" customHeight="1" spans="2:2">
      <c r="B33868" s="62" t="str">
        <f>IF(AND('领用录入（明细）'!D:D=$F$4,'领用录入（明细）'!C:C&gt;=$J$4,'领用录入（明细）'!C:C&lt;=$L$4),ROW(),"-")</f>
        <v>-</v>
      </c>
    </row>
    <row r="33869" customHeight="1" spans="2:2">
      <c r="B33869" s="62" t="str">
        <f>IF(AND('领用录入（明细）'!D:D=$F$4,'领用录入（明细）'!C:C&gt;=$J$4,'领用录入（明细）'!C:C&lt;=$L$4),ROW(),"-")</f>
        <v>-</v>
      </c>
    </row>
    <row r="33870" customHeight="1" spans="2:2">
      <c r="B33870" s="62" t="str">
        <f>IF(AND('领用录入（明细）'!D:D=$F$4,'领用录入（明细）'!C:C&gt;=$J$4,'领用录入（明细）'!C:C&lt;=$L$4),ROW(),"-")</f>
        <v>-</v>
      </c>
    </row>
    <row r="33871" customHeight="1" spans="2:2">
      <c r="B33871" s="62" t="str">
        <f>IF(AND('领用录入（明细）'!D:D=$F$4,'领用录入（明细）'!C:C&gt;=$J$4,'领用录入（明细）'!C:C&lt;=$L$4),ROW(),"-")</f>
        <v>-</v>
      </c>
    </row>
    <row r="33872" customHeight="1" spans="2:2">
      <c r="B33872" s="62" t="str">
        <f>IF(AND('领用录入（明细）'!D:D=$F$4,'领用录入（明细）'!C:C&gt;=$J$4,'领用录入（明细）'!C:C&lt;=$L$4),ROW(),"-")</f>
        <v>-</v>
      </c>
    </row>
    <row r="33873" customHeight="1" spans="2:2">
      <c r="B33873" s="62" t="str">
        <f>IF(AND('领用录入（明细）'!D:D=$F$4,'领用录入（明细）'!C:C&gt;=$J$4,'领用录入（明细）'!C:C&lt;=$L$4),ROW(),"-")</f>
        <v>-</v>
      </c>
    </row>
    <row r="33874" customHeight="1" spans="2:2">
      <c r="B33874" s="62" t="str">
        <f>IF(AND('领用录入（明细）'!D:D=$F$4,'领用录入（明细）'!C:C&gt;=$J$4,'领用录入（明细）'!C:C&lt;=$L$4),ROW(),"-")</f>
        <v>-</v>
      </c>
    </row>
    <row r="33875" customHeight="1" spans="2:2">
      <c r="B33875" s="62" t="str">
        <f>IF(AND('领用录入（明细）'!D:D=$F$4,'领用录入（明细）'!C:C&gt;=$J$4,'领用录入（明细）'!C:C&lt;=$L$4),ROW(),"-")</f>
        <v>-</v>
      </c>
    </row>
    <row r="33876" customHeight="1" spans="2:2">
      <c r="B33876" s="62" t="str">
        <f>IF(AND('领用录入（明细）'!D:D=$F$4,'领用录入（明细）'!C:C&gt;=$J$4,'领用录入（明细）'!C:C&lt;=$L$4),ROW(),"-")</f>
        <v>-</v>
      </c>
    </row>
    <row r="33877" customHeight="1" spans="2:2">
      <c r="B33877" s="62" t="str">
        <f>IF(AND('领用录入（明细）'!D:D=$F$4,'领用录入（明细）'!C:C&gt;=$J$4,'领用录入（明细）'!C:C&lt;=$L$4),ROW(),"-")</f>
        <v>-</v>
      </c>
    </row>
    <row r="33878" customHeight="1" spans="2:2">
      <c r="B33878" s="62" t="str">
        <f>IF(AND('领用录入（明细）'!D:D=$F$4,'领用录入（明细）'!C:C&gt;=$J$4,'领用录入（明细）'!C:C&lt;=$L$4),ROW(),"-")</f>
        <v>-</v>
      </c>
    </row>
    <row r="33879" customHeight="1" spans="2:2">
      <c r="B33879" s="62" t="str">
        <f>IF(AND('领用录入（明细）'!D:D=$F$4,'领用录入（明细）'!C:C&gt;=$J$4,'领用录入（明细）'!C:C&lt;=$L$4),ROW(),"-")</f>
        <v>-</v>
      </c>
    </row>
    <row r="33880" customHeight="1" spans="2:2">
      <c r="B33880" s="62" t="str">
        <f>IF(AND('领用录入（明细）'!D:D=$F$4,'领用录入（明细）'!C:C&gt;=$J$4,'领用录入（明细）'!C:C&lt;=$L$4),ROW(),"-")</f>
        <v>-</v>
      </c>
    </row>
    <row r="33881" customHeight="1" spans="2:2">
      <c r="B33881" s="62" t="str">
        <f>IF(AND('领用录入（明细）'!D:D=$F$4,'领用录入（明细）'!C:C&gt;=$J$4,'领用录入（明细）'!C:C&lt;=$L$4),ROW(),"-")</f>
        <v>-</v>
      </c>
    </row>
    <row r="33882" customHeight="1" spans="2:2">
      <c r="B33882" s="62" t="str">
        <f>IF(AND('领用录入（明细）'!D:D=$F$4,'领用录入（明细）'!C:C&gt;=$J$4,'领用录入（明细）'!C:C&lt;=$L$4),ROW(),"-")</f>
        <v>-</v>
      </c>
    </row>
    <row r="33883" customHeight="1" spans="2:2">
      <c r="B33883" s="62" t="str">
        <f>IF(AND('领用录入（明细）'!D:D=$F$4,'领用录入（明细）'!C:C&gt;=$J$4,'领用录入（明细）'!C:C&lt;=$L$4),ROW(),"-")</f>
        <v>-</v>
      </c>
    </row>
    <row r="33884" customHeight="1" spans="2:2">
      <c r="B33884" s="62" t="str">
        <f>IF(AND('领用录入（明细）'!D:D=$F$4,'领用录入（明细）'!C:C&gt;=$J$4,'领用录入（明细）'!C:C&lt;=$L$4),ROW(),"-")</f>
        <v>-</v>
      </c>
    </row>
    <row r="33885" customHeight="1" spans="2:2">
      <c r="B33885" s="62" t="str">
        <f>IF(AND('领用录入（明细）'!D:D=$F$4,'领用录入（明细）'!C:C&gt;=$J$4,'领用录入（明细）'!C:C&lt;=$L$4),ROW(),"-")</f>
        <v>-</v>
      </c>
    </row>
    <row r="33886" customHeight="1" spans="2:2">
      <c r="B33886" s="62" t="str">
        <f>IF(AND('领用录入（明细）'!D:D=$F$4,'领用录入（明细）'!C:C&gt;=$J$4,'领用录入（明细）'!C:C&lt;=$L$4),ROW(),"-")</f>
        <v>-</v>
      </c>
    </row>
    <row r="33887" customHeight="1" spans="2:2">
      <c r="B33887" s="62" t="str">
        <f>IF(AND('领用录入（明细）'!D:D=$F$4,'领用录入（明细）'!C:C&gt;=$J$4,'领用录入（明细）'!C:C&lt;=$L$4),ROW(),"-")</f>
        <v>-</v>
      </c>
    </row>
    <row r="33888" customHeight="1" spans="2:2">
      <c r="B33888" s="62" t="str">
        <f>IF(AND('领用录入（明细）'!D:D=$F$4,'领用录入（明细）'!C:C&gt;=$J$4,'领用录入（明细）'!C:C&lt;=$L$4),ROW(),"-")</f>
        <v>-</v>
      </c>
    </row>
    <row r="33889" customHeight="1" spans="2:2">
      <c r="B33889" s="62" t="str">
        <f>IF(AND('领用录入（明细）'!D:D=$F$4,'领用录入（明细）'!C:C&gt;=$J$4,'领用录入（明细）'!C:C&lt;=$L$4),ROW(),"-")</f>
        <v>-</v>
      </c>
    </row>
    <row r="33890" customHeight="1" spans="2:2">
      <c r="B33890" s="62" t="str">
        <f>IF(AND('领用录入（明细）'!D:D=$F$4,'领用录入（明细）'!C:C&gt;=$J$4,'领用录入（明细）'!C:C&lt;=$L$4),ROW(),"-")</f>
        <v>-</v>
      </c>
    </row>
    <row r="33891" customHeight="1" spans="2:2">
      <c r="B33891" s="62" t="str">
        <f>IF(AND('领用录入（明细）'!D:D=$F$4,'领用录入（明细）'!C:C&gt;=$J$4,'领用录入（明细）'!C:C&lt;=$L$4),ROW(),"-")</f>
        <v>-</v>
      </c>
    </row>
    <row r="33892" customHeight="1" spans="2:2">
      <c r="B33892" s="62" t="str">
        <f>IF(AND('领用录入（明细）'!D:D=$F$4,'领用录入（明细）'!C:C&gt;=$J$4,'领用录入（明细）'!C:C&lt;=$L$4),ROW(),"-")</f>
        <v>-</v>
      </c>
    </row>
    <row r="33893" customHeight="1" spans="2:2">
      <c r="B33893" s="62" t="str">
        <f>IF(AND('领用录入（明细）'!D:D=$F$4,'领用录入（明细）'!C:C&gt;=$J$4,'领用录入（明细）'!C:C&lt;=$L$4),ROW(),"-")</f>
        <v>-</v>
      </c>
    </row>
    <row r="33894" customHeight="1" spans="2:2">
      <c r="B33894" s="62" t="str">
        <f>IF(AND('领用录入（明细）'!D:D=$F$4,'领用录入（明细）'!C:C&gt;=$J$4,'领用录入（明细）'!C:C&lt;=$L$4),ROW(),"-")</f>
        <v>-</v>
      </c>
    </row>
    <row r="33895" customHeight="1" spans="2:2">
      <c r="B33895" s="62" t="str">
        <f>IF(AND('领用录入（明细）'!D:D=$F$4,'领用录入（明细）'!C:C&gt;=$J$4,'领用录入（明细）'!C:C&lt;=$L$4),ROW(),"-")</f>
        <v>-</v>
      </c>
    </row>
    <row r="33896" customHeight="1" spans="2:2">
      <c r="B33896" s="62" t="str">
        <f>IF(AND('领用录入（明细）'!D:D=$F$4,'领用录入（明细）'!C:C&gt;=$J$4,'领用录入（明细）'!C:C&lt;=$L$4),ROW(),"-")</f>
        <v>-</v>
      </c>
    </row>
    <row r="33897" customHeight="1" spans="2:2">
      <c r="B33897" s="62" t="str">
        <f>IF(AND('领用录入（明细）'!D:D=$F$4,'领用录入（明细）'!C:C&gt;=$J$4,'领用录入（明细）'!C:C&lt;=$L$4),ROW(),"-")</f>
        <v>-</v>
      </c>
    </row>
    <row r="33898" customHeight="1" spans="2:2">
      <c r="B33898" s="62" t="str">
        <f>IF(AND('领用录入（明细）'!D:D=$F$4,'领用录入（明细）'!C:C&gt;=$J$4,'领用录入（明细）'!C:C&lt;=$L$4),ROW(),"-")</f>
        <v>-</v>
      </c>
    </row>
    <row r="33899" customHeight="1" spans="2:2">
      <c r="B33899" s="62" t="str">
        <f>IF(AND('领用录入（明细）'!D:D=$F$4,'领用录入（明细）'!C:C&gt;=$J$4,'领用录入（明细）'!C:C&lt;=$L$4),ROW(),"-")</f>
        <v>-</v>
      </c>
    </row>
    <row r="33900" customHeight="1" spans="2:2">
      <c r="B33900" s="62" t="str">
        <f>IF(AND('领用录入（明细）'!D:D=$F$4,'领用录入（明细）'!C:C&gt;=$J$4,'领用录入（明细）'!C:C&lt;=$L$4),ROW(),"-")</f>
        <v>-</v>
      </c>
    </row>
    <row r="33901" customHeight="1" spans="2:2">
      <c r="B33901" s="62" t="str">
        <f>IF(AND('领用录入（明细）'!D:D=$F$4,'领用录入（明细）'!C:C&gt;=$J$4,'领用录入（明细）'!C:C&lt;=$L$4),ROW(),"-")</f>
        <v>-</v>
      </c>
    </row>
    <row r="33902" customHeight="1" spans="2:2">
      <c r="B33902" s="62" t="str">
        <f>IF(AND('领用录入（明细）'!D:D=$F$4,'领用录入（明细）'!C:C&gt;=$J$4,'领用录入（明细）'!C:C&lt;=$L$4),ROW(),"-")</f>
        <v>-</v>
      </c>
    </row>
    <row r="33903" customHeight="1" spans="2:2">
      <c r="B33903" s="62" t="str">
        <f>IF(AND('领用录入（明细）'!D:D=$F$4,'领用录入（明细）'!C:C&gt;=$J$4,'领用录入（明细）'!C:C&lt;=$L$4),ROW(),"-")</f>
        <v>-</v>
      </c>
    </row>
    <row r="33904" customHeight="1" spans="2:2">
      <c r="B33904" s="62" t="str">
        <f>IF(AND('领用录入（明细）'!D:D=$F$4,'领用录入（明细）'!C:C&gt;=$J$4,'领用录入（明细）'!C:C&lt;=$L$4),ROW(),"-")</f>
        <v>-</v>
      </c>
    </row>
    <row r="33905" customHeight="1" spans="2:2">
      <c r="B33905" s="62" t="str">
        <f>IF(AND('领用录入（明细）'!D:D=$F$4,'领用录入（明细）'!C:C&gt;=$J$4,'领用录入（明细）'!C:C&lt;=$L$4),ROW(),"-")</f>
        <v>-</v>
      </c>
    </row>
    <row r="33906" customHeight="1" spans="2:2">
      <c r="B33906" s="62" t="str">
        <f>IF(AND('领用录入（明细）'!D:D=$F$4,'领用录入（明细）'!C:C&gt;=$J$4,'领用录入（明细）'!C:C&lt;=$L$4),ROW(),"-")</f>
        <v>-</v>
      </c>
    </row>
    <row r="33907" customHeight="1" spans="2:2">
      <c r="B33907" s="62" t="str">
        <f>IF(AND('领用录入（明细）'!D:D=$F$4,'领用录入（明细）'!C:C&gt;=$J$4,'领用录入（明细）'!C:C&lt;=$L$4),ROW(),"-")</f>
        <v>-</v>
      </c>
    </row>
    <row r="33908" customHeight="1" spans="2:2">
      <c r="B33908" s="62" t="str">
        <f>IF(AND('领用录入（明细）'!D:D=$F$4,'领用录入（明细）'!C:C&gt;=$J$4,'领用录入（明细）'!C:C&lt;=$L$4),ROW(),"-")</f>
        <v>-</v>
      </c>
    </row>
    <row r="33909" customHeight="1" spans="2:2">
      <c r="B33909" s="62" t="str">
        <f>IF(AND('领用录入（明细）'!D:D=$F$4,'领用录入（明细）'!C:C&gt;=$J$4,'领用录入（明细）'!C:C&lt;=$L$4),ROW(),"-")</f>
        <v>-</v>
      </c>
    </row>
    <row r="33910" customHeight="1" spans="2:2">
      <c r="B33910" s="62" t="str">
        <f>IF(AND('领用录入（明细）'!D:D=$F$4,'领用录入（明细）'!C:C&gt;=$J$4,'领用录入（明细）'!C:C&lt;=$L$4),ROW(),"-")</f>
        <v>-</v>
      </c>
    </row>
    <row r="33911" customHeight="1" spans="2:2">
      <c r="B33911" s="62" t="str">
        <f>IF(AND('领用录入（明细）'!D:D=$F$4,'领用录入（明细）'!C:C&gt;=$J$4,'领用录入（明细）'!C:C&lt;=$L$4),ROW(),"-")</f>
        <v>-</v>
      </c>
    </row>
    <row r="33912" customHeight="1" spans="2:2">
      <c r="B33912" s="62" t="str">
        <f>IF(AND('领用录入（明细）'!D:D=$F$4,'领用录入（明细）'!C:C&gt;=$J$4,'领用录入（明细）'!C:C&lt;=$L$4),ROW(),"-")</f>
        <v>-</v>
      </c>
    </row>
    <row r="33913" customHeight="1" spans="2:2">
      <c r="B33913" s="62" t="str">
        <f>IF(AND('领用录入（明细）'!D:D=$F$4,'领用录入（明细）'!C:C&gt;=$J$4,'领用录入（明细）'!C:C&lt;=$L$4),ROW(),"-")</f>
        <v>-</v>
      </c>
    </row>
    <row r="33914" customHeight="1" spans="2:2">
      <c r="B33914" s="62" t="str">
        <f>IF(AND('领用录入（明细）'!D:D=$F$4,'领用录入（明细）'!C:C&gt;=$J$4,'领用录入（明细）'!C:C&lt;=$L$4),ROW(),"-")</f>
        <v>-</v>
      </c>
    </row>
    <row r="33915" customHeight="1" spans="2:2">
      <c r="B33915" s="62" t="str">
        <f>IF(AND('领用录入（明细）'!D:D=$F$4,'领用录入（明细）'!C:C&gt;=$J$4,'领用录入（明细）'!C:C&lt;=$L$4),ROW(),"-")</f>
        <v>-</v>
      </c>
    </row>
    <row r="33916" customHeight="1" spans="2:2">
      <c r="B33916" s="62" t="str">
        <f>IF(AND('领用录入（明细）'!D:D=$F$4,'领用录入（明细）'!C:C&gt;=$J$4,'领用录入（明细）'!C:C&lt;=$L$4),ROW(),"-")</f>
        <v>-</v>
      </c>
    </row>
    <row r="33917" customHeight="1" spans="2:2">
      <c r="B33917" s="62" t="str">
        <f>IF(AND('领用录入（明细）'!D:D=$F$4,'领用录入（明细）'!C:C&gt;=$J$4,'领用录入（明细）'!C:C&lt;=$L$4),ROW(),"-")</f>
        <v>-</v>
      </c>
    </row>
    <row r="33918" customHeight="1" spans="2:2">
      <c r="B33918" s="62" t="str">
        <f>IF(AND('领用录入（明细）'!D:D=$F$4,'领用录入（明细）'!C:C&gt;=$J$4,'领用录入（明细）'!C:C&lt;=$L$4),ROW(),"-")</f>
        <v>-</v>
      </c>
    </row>
    <row r="33919" customHeight="1" spans="2:2">
      <c r="B33919" s="62" t="str">
        <f>IF(AND('领用录入（明细）'!D:D=$F$4,'领用录入（明细）'!C:C&gt;=$J$4,'领用录入（明细）'!C:C&lt;=$L$4),ROW(),"-")</f>
        <v>-</v>
      </c>
    </row>
    <row r="33920" customHeight="1" spans="2:2">
      <c r="B33920" s="62" t="str">
        <f>IF(AND('领用录入（明细）'!D:D=$F$4,'领用录入（明细）'!C:C&gt;=$J$4,'领用录入（明细）'!C:C&lt;=$L$4),ROW(),"-")</f>
        <v>-</v>
      </c>
    </row>
    <row r="33921" customHeight="1" spans="2:2">
      <c r="B33921" s="62" t="str">
        <f>IF(AND('领用录入（明细）'!D:D=$F$4,'领用录入（明细）'!C:C&gt;=$J$4,'领用录入（明细）'!C:C&lt;=$L$4),ROW(),"-")</f>
        <v>-</v>
      </c>
    </row>
    <row r="33922" customHeight="1" spans="2:2">
      <c r="B33922" s="62" t="str">
        <f>IF(AND('领用录入（明细）'!D:D=$F$4,'领用录入（明细）'!C:C&gt;=$J$4,'领用录入（明细）'!C:C&lt;=$L$4),ROW(),"-")</f>
        <v>-</v>
      </c>
    </row>
    <row r="33923" customHeight="1" spans="2:2">
      <c r="B33923" s="62" t="str">
        <f>IF(AND('领用录入（明细）'!D:D=$F$4,'领用录入（明细）'!C:C&gt;=$J$4,'领用录入（明细）'!C:C&lt;=$L$4),ROW(),"-")</f>
        <v>-</v>
      </c>
    </row>
    <row r="33924" customHeight="1" spans="2:2">
      <c r="B33924" s="62" t="str">
        <f>IF(AND('领用录入（明细）'!D:D=$F$4,'领用录入（明细）'!C:C&gt;=$J$4,'领用录入（明细）'!C:C&lt;=$L$4),ROW(),"-")</f>
        <v>-</v>
      </c>
    </row>
    <row r="33925" customHeight="1" spans="2:2">
      <c r="B33925" s="62" t="str">
        <f>IF(AND('领用录入（明细）'!D:D=$F$4,'领用录入（明细）'!C:C&gt;=$J$4,'领用录入（明细）'!C:C&lt;=$L$4),ROW(),"-")</f>
        <v>-</v>
      </c>
    </row>
    <row r="33926" customHeight="1" spans="2:2">
      <c r="B33926" s="62" t="str">
        <f>IF(AND('领用录入（明细）'!D:D=$F$4,'领用录入（明细）'!C:C&gt;=$J$4,'领用录入（明细）'!C:C&lt;=$L$4),ROW(),"-")</f>
        <v>-</v>
      </c>
    </row>
    <row r="33927" customHeight="1" spans="2:2">
      <c r="B33927" s="62" t="str">
        <f>IF(AND('领用录入（明细）'!D:D=$F$4,'领用录入（明细）'!C:C&gt;=$J$4,'领用录入（明细）'!C:C&lt;=$L$4),ROW(),"-")</f>
        <v>-</v>
      </c>
    </row>
    <row r="33928" customHeight="1" spans="2:2">
      <c r="B33928" s="62" t="str">
        <f>IF(AND('领用录入（明细）'!D:D=$F$4,'领用录入（明细）'!C:C&gt;=$J$4,'领用录入（明细）'!C:C&lt;=$L$4),ROW(),"-")</f>
        <v>-</v>
      </c>
    </row>
    <row r="33929" customHeight="1" spans="2:2">
      <c r="B33929" s="62" t="str">
        <f>IF(AND('领用录入（明细）'!D:D=$F$4,'领用录入（明细）'!C:C&gt;=$J$4,'领用录入（明细）'!C:C&lt;=$L$4),ROW(),"-")</f>
        <v>-</v>
      </c>
    </row>
    <row r="33930" customHeight="1" spans="2:2">
      <c r="B33930" s="62" t="str">
        <f>IF(AND('领用录入（明细）'!D:D=$F$4,'领用录入（明细）'!C:C&gt;=$J$4,'领用录入（明细）'!C:C&lt;=$L$4),ROW(),"-")</f>
        <v>-</v>
      </c>
    </row>
    <row r="33931" customHeight="1" spans="2:2">
      <c r="B33931" s="62" t="str">
        <f>IF(AND('领用录入（明细）'!D:D=$F$4,'领用录入（明细）'!C:C&gt;=$J$4,'领用录入（明细）'!C:C&lt;=$L$4),ROW(),"-")</f>
        <v>-</v>
      </c>
    </row>
    <row r="33932" customHeight="1" spans="2:2">
      <c r="B33932" s="62" t="str">
        <f>IF(AND('领用录入（明细）'!D:D=$F$4,'领用录入（明细）'!C:C&gt;=$J$4,'领用录入（明细）'!C:C&lt;=$L$4),ROW(),"-")</f>
        <v>-</v>
      </c>
    </row>
    <row r="33933" customHeight="1" spans="2:2">
      <c r="B33933" s="62" t="str">
        <f>IF(AND('领用录入（明细）'!D:D=$F$4,'领用录入（明细）'!C:C&gt;=$J$4,'领用录入（明细）'!C:C&lt;=$L$4),ROW(),"-")</f>
        <v>-</v>
      </c>
    </row>
    <row r="33934" customHeight="1" spans="2:2">
      <c r="B33934" s="62" t="str">
        <f>IF(AND('领用录入（明细）'!D:D=$F$4,'领用录入（明细）'!C:C&gt;=$J$4,'领用录入（明细）'!C:C&lt;=$L$4),ROW(),"-")</f>
        <v>-</v>
      </c>
    </row>
    <row r="33935" customHeight="1" spans="2:2">
      <c r="B33935" s="62" t="str">
        <f>IF(AND('领用录入（明细）'!D:D=$F$4,'领用录入（明细）'!C:C&gt;=$J$4,'领用录入（明细）'!C:C&lt;=$L$4),ROW(),"-")</f>
        <v>-</v>
      </c>
    </row>
    <row r="33936" customHeight="1" spans="2:2">
      <c r="B33936" s="62" t="str">
        <f>IF(AND('领用录入（明细）'!D:D=$F$4,'领用录入（明细）'!C:C&gt;=$J$4,'领用录入（明细）'!C:C&lt;=$L$4),ROW(),"-")</f>
        <v>-</v>
      </c>
    </row>
    <row r="33937" customHeight="1" spans="2:2">
      <c r="B33937" s="62" t="str">
        <f>IF(AND('领用录入（明细）'!D:D=$F$4,'领用录入（明细）'!C:C&gt;=$J$4,'领用录入（明细）'!C:C&lt;=$L$4),ROW(),"-")</f>
        <v>-</v>
      </c>
    </row>
    <row r="33938" customHeight="1" spans="2:2">
      <c r="B33938" s="62" t="str">
        <f>IF(AND('领用录入（明细）'!D:D=$F$4,'领用录入（明细）'!C:C&gt;=$J$4,'领用录入（明细）'!C:C&lt;=$L$4),ROW(),"-")</f>
        <v>-</v>
      </c>
    </row>
    <row r="33939" customHeight="1" spans="2:2">
      <c r="B33939" s="62" t="str">
        <f>IF(AND('领用录入（明细）'!D:D=$F$4,'领用录入（明细）'!C:C&gt;=$J$4,'领用录入（明细）'!C:C&lt;=$L$4),ROW(),"-")</f>
        <v>-</v>
      </c>
    </row>
    <row r="33940" customHeight="1" spans="2:2">
      <c r="B33940" s="62" t="str">
        <f>IF(AND('领用录入（明细）'!D:D=$F$4,'领用录入（明细）'!C:C&gt;=$J$4,'领用录入（明细）'!C:C&lt;=$L$4),ROW(),"-")</f>
        <v>-</v>
      </c>
    </row>
    <row r="33941" customHeight="1" spans="2:2">
      <c r="B33941" s="62" t="str">
        <f>IF(AND('领用录入（明细）'!D:D=$F$4,'领用录入（明细）'!C:C&gt;=$J$4,'领用录入（明细）'!C:C&lt;=$L$4),ROW(),"-")</f>
        <v>-</v>
      </c>
    </row>
    <row r="33942" customHeight="1" spans="2:2">
      <c r="B33942" s="62" t="str">
        <f>IF(AND('领用录入（明细）'!D:D=$F$4,'领用录入（明细）'!C:C&gt;=$J$4,'领用录入（明细）'!C:C&lt;=$L$4),ROW(),"-")</f>
        <v>-</v>
      </c>
    </row>
    <row r="33943" customHeight="1" spans="2:2">
      <c r="B33943" s="62" t="str">
        <f>IF(AND('领用录入（明细）'!D:D=$F$4,'领用录入（明细）'!C:C&gt;=$J$4,'领用录入（明细）'!C:C&lt;=$L$4),ROW(),"-")</f>
        <v>-</v>
      </c>
    </row>
    <row r="33944" customHeight="1" spans="2:2">
      <c r="B33944" s="62" t="str">
        <f>IF(AND('领用录入（明细）'!D:D=$F$4,'领用录入（明细）'!C:C&gt;=$J$4,'领用录入（明细）'!C:C&lt;=$L$4),ROW(),"-")</f>
        <v>-</v>
      </c>
    </row>
    <row r="33945" customHeight="1" spans="2:2">
      <c r="B33945" s="62" t="str">
        <f>IF(AND('领用录入（明细）'!D:D=$F$4,'领用录入（明细）'!C:C&gt;=$J$4,'领用录入（明细）'!C:C&lt;=$L$4),ROW(),"-")</f>
        <v>-</v>
      </c>
    </row>
    <row r="33946" customHeight="1" spans="2:2">
      <c r="B33946" s="62" t="str">
        <f>IF(AND('领用录入（明细）'!D:D=$F$4,'领用录入（明细）'!C:C&gt;=$J$4,'领用录入（明细）'!C:C&lt;=$L$4),ROW(),"-")</f>
        <v>-</v>
      </c>
    </row>
    <row r="33947" customHeight="1" spans="2:2">
      <c r="B33947" s="62" t="str">
        <f>IF(AND('领用录入（明细）'!D:D=$F$4,'领用录入（明细）'!C:C&gt;=$J$4,'领用录入（明细）'!C:C&lt;=$L$4),ROW(),"-")</f>
        <v>-</v>
      </c>
    </row>
    <row r="33948" customHeight="1" spans="2:2">
      <c r="B33948" s="62" t="str">
        <f>IF(AND('领用录入（明细）'!D:D=$F$4,'领用录入（明细）'!C:C&gt;=$J$4,'领用录入（明细）'!C:C&lt;=$L$4),ROW(),"-")</f>
        <v>-</v>
      </c>
    </row>
    <row r="33949" customHeight="1" spans="2:2">
      <c r="B33949" s="62" t="str">
        <f>IF(AND('领用录入（明细）'!D:D=$F$4,'领用录入（明细）'!C:C&gt;=$J$4,'领用录入（明细）'!C:C&lt;=$L$4),ROW(),"-")</f>
        <v>-</v>
      </c>
    </row>
    <row r="33950" customHeight="1" spans="2:2">
      <c r="B33950" s="62" t="str">
        <f>IF(AND('领用录入（明细）'!D:D=$F$4,'领用录入（明细）'!C:C&gt;=$J$4,'领用录入（明细）'!C:C&lt;=$L$4),ROW(),"-")</f>
        <v>-</v>
      </c>
    </row>
    <row r="33951" customHeight="1" spans="2:2">
      <c r="B33951" s="62" t="str">
        <f>IF(AND('领用录入（明细）'!D:D=$F$4,'领用录入（明细）'!C:C&gt;=$J$4,'领用录入（明细）'!C:C&lt;=$L$4),ROW(),"-")</f>
        <v>-</v>
      </c>
    </row>
    <row r="33952" customHeight="1" spans="2:2">
      <c r="B33952" s="62" t="str">
        <f>IF(AND('领用录入（明细）'!D:D=$F$4,'领用录入（明细）'!C:C&gt;=$J$4,'领用录入（明细）'!C:C&lt;=$L$4),ROW(),"-")</f>
        <v>-</v>
      </c>
    </row>
    <row r="33953" customHeight="1" spans="2:2">
      <c r="B33953" s="62" t="str">
        <f>IF(AND('领用录入（明细）'!D:D=$F$4,'领用录入（明细）'!C:C&gt;=$J$4,'领用录入（明细）'!C:C&lt;=$L$4),ROW(),"-")</f>
        <v>-</v>
      </c>
    </row>
    <row r="33954" customHeight="1" spans="2:2">
      <c r="B33954" s="62" t="str">
        <f>IF(AND('领用录入（明细）'!D:D=$F$4,'领用录入（明细）'!C:C&gt;=$J$4,'领用录入（明细）'!C:C&lt;=$L$4),ROW(),"-")</f>
        <v>-</v>
      </c>
    </row>
    <row r="33955" customHeight="1" spans="2:2">
      <c r="B33955" s="62" t="str">
        <f>IF(AND('领用录入（明细）'!D:D=$F$4,'领用录入（明细）'!C:C&gt;=$J$4,'领用录入（明细）'!C:C&lt;=$L$4),ROW(),"-")</f>
        <v>-</v>
      </c>
    </row>
    <row r="33956" customHeight="1" spans="2:2">
      <c r="B33956" s="62" t="str">
        <f>IF(AND('领用录入（明细）'!D:D=$F$4,'领用录入（明细）'!C:C&gt;=$J$4,'领用录入（明细）'!C:C&lt;=$L$4),ROW(),"-")</f>
        <v>-</v>
      </c>
    </row>
    <row r="33957" customHeight="1" spans="2:2">
      <c r="B33957" s="62" t="str">
        <f>IF(AND('领用录入（明细）'!D:D=$F$4,'领用录入（明细）'!C:C&gt;=$J$4,'领用录入（明细）'!C:C&lt;=$L$4),ROW(),"-")</f>
        <v>-</v>
      </c>
    </row>
    <row r="33958" customHeight="1" spans="2:2">
      <c r="B33958" s="62" t="str">
        <f>IF(AND('领用录入（明细）'!D:D=$F$4,'领用录入（明细）'!C:C&gt;=$J$4,'领用录入（明细）'!C:C&lt;=$L$4),ROW(),"-")</f>
        <v>-</v>
      </c>
    </row>
    <row r="33959" customHeight="1" spans="2:2">
      <c r="B33959" s="62" t="str">
        <f>IF(AND('领用录入（明细）'!D:D=$F$4,'领用录入（明细）'!C:C&gt;=$J$4,'领用录入（明细）'!C:C&lt;=$L$4),ROW(),"-")</f>
        <v>-</v>
      </c>
    </row>
    <row r="33960" customHeight="1" spans="2:2">
      <c r="B33960" s="62" t="str">
        <f>IF(AND('领用录入（明细）'!D:D=$F$4,'领用录入（明细）'!C:C&gt;=$J$4,'领用录入（明细）'!C:C&lt;=$L$4),ROW(),"-")</f>
        <v>-</v>
      </c>
    </row>
    <row r="33961" customHeight="1" spans="2:2">
      <c r="B33961" s="62" t="str">
        <f>IF(AND('领用录入（明细）'!D:D=$F$4,'领用录入（明细）'!C:C&gt;=$J$4,'领用录入（明细）'!C:C&lt;=$L$4),ROW(),"-")</f>
        <v>-</v>
      </c>
    </row>
    <row r="33962" customHeight="1" spans="2:2">
      <c r="B33962" s="62" t="str">
        <f>IF(AND('领用录入（明细）'!D:D=$F$4,'领用录入（明细）'!C:C&gt;=$J$4,'领用录入（明细）'!C:C&lt;=$L$4),ROW(),"-")</f>
        <v>-</v>
      </c>
    </row>
    <row r="33963" customHeight="1" spans="2:2">
      <c r="B33963" s="62" t="str">
        <f>IF(AND('领用录入（明细）'!D:D=$F$4,'领用录入（明细）'!C:C&gt;=$J$4,'领用录入（明细）'!C:C&lt;=$L$4),ROW(),"-")</f>
        <v>-</v>
      </c>
    </row>
    <row r="33964" customHeight="1" spans="2:2">
      <c r="B33964" s="62" t="str">
        <f>IF(AND('领用录入（明细）'!D:D=$F$4,'领用录入（明细）'!C:C&gt;=$J$4,'领用录入（明细）'!C:C&lt;=$L$4),ROW(),"-")</f>
        <v>-</v>
      </c>
    </row>
    <row r="33965" customHeight="1" spans="2:2">
      <c r="B33965" s="62" t="str">
        <f>IF(AND('领用录入（明细）'!D:D=$F$4,'领用录入（明细）'!C:C&gt;=$J$4,'领用录入（明细）'!C:C&lt;=$L$4),ROW(),"-")</f>
        <v>-</v>
      </c>
    </row>
    <row r="33966" customHeight="1" spans="2:2">
      <c r="B33966" s="62" t="str">
        <f>IF(AND('领用录入（明细）'!D:D=$F$4,'领用录入（明细）'!C:C&gt;=$J$4,'领用录入（明细）'!C:C&lt;=$L$4),ROW(),"-")</f>
        <v>-</v>
      </c>
    </row>
    <row r="33967" customHeight="1" spans="2:2">
      <c r="B33967" s="62" t="str">
        <f>IF(AND('领用录入（明细）'!D:D=$F$4,'领用录入（明细）'!C:C&gt;=$J$4,'领用录入（明细）'!C:C&lt;=$L$4),ROW(),"-")</f>
        <v>-</v>
      </c>
    </row>
    <row r="33968" customHeight="1" spans="2:2">
      <c r="B33968" s="62" t="str">
        <f>IF(AND('领用录入（明细）'!D:D=$F$4,'领用录入（明细）'!C:C&gt;=$J$4,'领用录入（明细）'!C:C&lt;=$L$4),ROW(),"-")</f>
        <v>-</v>
      </c>
    </row>
    <row r="33969" customHeight="1" spans="2:2">
      <c r="B33969" s="62" t="str">
        <f>IF(AND('领用录入（明细）'!D:D=$F$4,'领用录入（明细）'!C:C&gt;=$J$4,'领用录入（明细）'!C:C&lt;=$L$4),ROW(),"-")</f>
        <v>-</v>
      </c>
    </row>
    <row r="33970" customHeight="1" spans="2:2">
      <c r="B33970" s="62" t="str">
        <f>IF(AND('领用录入（明细）'!D:D=$F$4,'领用录入（明细）'!C:C&gt;=$J$4,'领用录入（明细）'!C:C&lt;=$L$4),ROW(),"-")</f>
        <v>-</v>
      </c>
    </row>
    <row r="33971" customHeight="1" spans="2:2">
      <c r="B33971" s="62" t="str">
        <f>IF(AND('领用录入（明细）'!D:D=$F$4,'领用录入（明细）'!C:C&gt;=$J$4,'领用录入（明细）'!C:C&lt;=$L$4),ROW(),"-")</f>
        <v>-</v>
      </c>
    </row>
    <row r="33972" customHeight="1" spans="2:2">
      <c r="B33972" s="62" t="str">
        <f>IF(AND('领用录入（明细）'!D:D=$F$4,'领用录入（明细）'!C:C&gt;=$J$4,'领用录入（明细）'!C:C&lt;=$L$4),ROW(),"-")</f>
        <v>-</v>
      </c>
    </row>
    <row r="33973" customHeight="1" spans="2:2">
      <c r="B33973" s="62" t="str">
        <f>IF(AND('领用录入（明细）'!D:D=$F$4,'领用录入（明细）'!C:C&gt;=$J$4,'领用录入（明细）'!C:C&lt;=$L$4),ROW(),"-")</f>
        <v>-</v>
      </c>
    </row>
    <row r="33974" customHeight="1" spans="2:2">
      <c r="B33974" s="62" t="str">
        <f>IF(AND('领用录入（明细）'!D:D=$F$4,'领用录入（明细）'!C:C&gt;=$J$4,'领用录入（明细）'!C:C&lt;=$L$4),ROW(),"-")</f>
        <v>-</v>
      </c>
    </row>
    <row r="33975" customHeight="1" spans="2:2">
      <c r="B33975" s="62" t="str">
        <f>IF(AND('领用录入（明细）'!D:D=$F$4,'领用录入（明细）'!C:C&gt;=$J$4,'领用录入（明细）'!C:C&lt;=$L$4),ROW(),"-")</f>
        <v>-</v>
      </c>
    </row>
    <row r="33976" customHeight="1" spans="2:2">
      <c r="B33976" s="62" t="str">
        <f>IF(AND('领用录入（明细）'!D:D=$F$4,'领用录入（明细）'!C:C&gt;=$J$4,'领用录入（明细）'!C:C&lt;=$L$4),ROW(),"-")</f>
        <v>-</v>
      </c>
    </row>
    <row r="33977" customHeight="1" spans="2:2">
      <c r="B33977" s="62" t="str">
        <f>IF(AND('领用录入（明细）'!D:D=$F$4,'领用录入（明细）'!C:C&gt;=$J$4,'领用录入（明细）'!C:C&lt;=$L$4),ROW(),"-")</f>
        <v>-</v>
      </c>
    </row>
    <row r="33978" customHeight="1" spans="2:2">
      <c r="B33978" s="62" t="str">
        <f>IF(AND('领用录入（明细）'!D:D=$F$4,'领用录入（明细）'!C:C&gt;=$J$4,'领用录入（明细）'!C:C&lt;=$L$4),ROW(),"-")</f>
        <v>-</v>
      </c>
    </row>
    <row r="33979" customHeight="1" spans="2:2">
      <c r="B33979" s="62" t="str">
        <f>IF(AND('领用录入（明细）'!D:D=$F$4,'领用录入（明细）'!C:C&gt;=$J$4,'领用录入（明细）'!C:C&lt;=$L$4),ROW(),"-")</f>
        <v>-</v>
      </c>
    </row>
    <row r="33980" customHeight="1" spans="2:2">
      <c r="B33980" s="62" t="str">
        <f>IF(AND('领用录入（明细）'!D:D=$F$4,'领用录入（明细）'!C:C&gt;=$J$4,'领用录入（明细）'!C:C&lt;=$L$4),ROW(),"-")</f>
        <v>-</v>
      </c>
    </row>
    <row r="33981" customHeight="1" spans="2:2">
      <c r="B33981" s="62" t="str">
        <f>IF(AND('领用录入（明细）'!D:D=$F$4,'领用录入（明细）'!C:C&gt;=$J$4,'领用录入（明细）'!C:C&lt;=$L$4),ROW(),"-")</f>
        <v>-</v>
      </c>
    </row>
    <row r="33982" customHeight="1" spans="2:2">
      <c r="B33982" s="62" t="str">
        <f>IF(AND('领用录入（明细）'!D:D=$F$4,'领用录入（明细）'!C:C&gt;=$J$4,'领用录入（明细）'!C:C&lt;=$L$4),ROW(),"-")</f>
        <v>-</v>
      </c>
    </row>
    <row r="33983" customHeight="1" spans="2:2">
      <c r="B33983" s="62" t="str">
        <f>IF(AND('领用录入（明细）'!D:D=$F$4,'领用录入（明细）'!C:C&gt;=$J$4,'领用录入（明细）'!C:C&lt;=$L$4),ROW(),"-")</f>
        <v>-</v>
      </c>
    </row>
    <row r="33984" customHeight="1" spans="2:2">
      <c r="B33984" s="62" t="str">
        <f>IF(AND('领用录入（明细）'!D:D=$F$4,'领用录入（明细）'!C:C&gt;=$J$4,'领用录入（明细）'!C:C&lt;=$L$4),ROW(),"-")</f>
        <v>-</v>
      </c>
    </row>
    <row r="33985" customHeight="1" spans="2:2">
      <c r="B33985" s="62" t="str">
        <f>IF(AND('领用录入（明细）'!D:D=$F$4,'领用录入（明细）'!C:C&gt;=$J$4,'领用录入（明细）'!C:C&lt;=$L$4),ROW(),"-")</f>
        <v>-</v>
      </c>
    </row>
    <row r="33986" customHeight="1" spans="2:2">
      <c r="B33986" s="62" t="str">
        <f>IF(AND('领用录入（明细）'!D:D=$F$4,'领用录入（明细）'!C:C&gt;=$J$4,'领用录入（明细）'!C:C&lt;=$L$4),ROW(),"-")</f>
        <v>-</v>
      </c>
    </row>
    <row r="33987" customHeight="1" spans="2:2">
      <c r="B33987" s="62" t="str">
        <f>IF(AND('领用录入（明细）'!D:D=$F$4,'领用录入（明细）'!C:C&gt;=$J$4,'领用录入（明细）'!C:C&lt;=$L$4),ROW(),"-")</f>
        <v>-</v>
      </c>
    </row>
    <row r="33988" customHeight="1" spans="2:2">
      <c r="B33988" s="62" t="str">
        <f>IF(AND('领用录入（明细）'!D:D=$F$4,'领用录入（明细）'!C:C&gt;=$J$4,'领用录入（明细）'!C:C&lt;=$L$4),ROW(),"-")</f>
        <v>-</v>
      </c>
    </row>
    <row r="33989" customHeight="1" spans="2:2">
      <c r="B33989" s="62" t="str">
        <f>IF(AND('领用录入（明细）'!D:D=$F$4,'领用录入（明细）'!C:C&gt;=$J$4,'领用录入（明细）'!C:C&lt;=$L$4),ROW(),"-")</f>
        <v>-</v>
      </c>
    </row>
    <row r="33990" customHeight="1" spans="2:2">
      <c r="B33990" s="62" t="str">
        <f>IF(AND('领用录入（明细）'!D:D=$F$4,'领用录入（明细）'!C:C&gt;=$J$4,'领用录入（明细）'!C:C&lt;=$L$4),ROW(),"-")</f>
        <v>-</v>
      </c>
    </row>
    <row r="33991" customHeight="1" spans="2:2">
      <c r="B33991" s="62" t="str">
        <f>IF(AND('领用录入（明细）'!D:D=$F$4,'领用录入（明细）'!C:C&gt;=$J$4,'领用录入（明细）'!C:C&lt;=$L$4),ROW(),"-")</f>
        <v>-</v>
      </c>
    </row>
    <row r="33992" customHeight="1" spans="2:2">
      <c r="B33992" s="62" t="str">
        <f>IF(AND('领用录入（明细）'!D:D=$F$4,'领用录入（明细）'!C:C&gt;=$J$4,'领用录入（明细）'!C:C&lt;=$L$4),ROW(),"-")</f>
        <v>-</v>
      </c>
    </row>
    <row r="33993" customHeight="1" spans="2:2">
      <c r="B33993" s="62" t="str">
        <f>IF(AND('领用录入（明细）'!D:D=$F$4,'领用录入（明细）'!C:C&gt;=$J$4,'领用录入（明细）'!C:C&lt;=$L$4),ROW(),"-")</f>
        <v>-</v>
      </c>
    </row>
    <row r="33994" customHeight="1" spans="2:2">
      <c r="B33994" s="62" t="str">
        <f>IF(AND('领用录入（明细）'!D:D=$F$4,'领用录入（明细）'!C:C&gt;=$J$4,'领用录入（明细）'!C:C&lt;=$L$4),ROW(),"-")</f>
        <v>-</v>
      </c>
    </row>
    <row r="33995" customHeight="1" spans="2:2">
      <c r="B33995" s="62" t="str">
        <f>IF(AND('领用录入（明细）'!D:D=$F$4,'领用录入（明细）'!C:C&gt;=$J$4,'领用录入（明细）'!C:C&lt;=$L$4),ROW(),"-")</f>
        <v>-</v>
      </c>
    </row>
    <row r="33996" customHeight="1" spans="2:2">
      <c r="B33996" s="62" t="str">
        <f>IF(AND('领用录入（明细）'!D:D=$F$4,'领用录入（明细）'!C:C&gt;=$J$4,'领用录入（明细）'!C:C&lt;=$L$4),ROW(),"-")</f>
        <v>-</v>
      </c>
    </row>
    <row r="33997" customHeight="1" spans="2:2">
      <c r="B33997" s="62" t="str">
        <f>IF(AND('领用录入（明细）'!D:D=$F$4,'领用录入（明细）'!C:C&gt;=$J$4,'领用录入（明细）'!C:C&lt;=$L$4),ROW(),"-")</f>
        <v>-</v>
      </c>
    </row>
    <row r="33998" customHeight="1" spans="2:2">
      <c r="B33998" s="62" t="str">
        <f>IF(AND('领用录入（明细）'!D:D=$F$4,'领用录入（明细）'!C:C&gt;=$J$4,'领用录入（明细）'!C:C&lt;=$L$4),ROW(),"-")</f>
        <v>-</v>
      </c>
    </row>
    <row r="33999" customHeight="1" spans="2:2">
      <c r="B33999" s="62" t="str">
        <f>IF(AND('领用录入（明细）'!D:D=$F$4,'领用录入（明细）'!C:C&gt;=$J$4,'领用录入（明细）'!C:C&lt;=$L$4),ROW(),"-")</f>
        <v>-</v>
      </c>
    </row>
    <row r="34000" customHeight="1" spans="2:2">
      <c r="B34000" s="62" t="str">
        <f>IF(AND('领用录入（明细）'!D:D=$F$4,'领用录入（明细）'!C:C&gt;=$J$4,'领用录入（明细）'!C:C&lt;=$L$4),ROW(),"-")</f>
        <v>-</v>
      </c>
    </row>
    <row r="34001" customHeight="1" spans="2:2">
      <c r="B34001" s="62" t="str">
        <f>IF(AND('领用录入（明细）'!D:D=$F$4,'领用录入（明细）'!C:C&gt;=$J$4,'领用录入（明细）'!C:C&lt;=$L$4),ROW(),"-")</f>
        <v>-</v>
      </c>
    </row>
    <row r="34002" customHeight="1" spans="2:2">
      <c r="B34002" s="62" t="str">
        <f>IF(AND('领用录入（明细）'!D:D=$F$4,'领用录入（明细）'!C:C&gt;=$J$4,'领用录入（明细）'!C:C&lt;=$L$4),ROW(),"-")</f>
        <v>-</v>
      </c>
    </row>
    <row r="34003" customHeight="1" spans="2:2">
      <c r="B34003" s="62" t="str">
        <f>IF(AND('领用录入（明细）'!D:D=$F$4,'领用录入（明细）'!C:C&gt;=$J$4,'领用录入（明细）'!C:C&lt;=$L$4),ROW(),"-")</f>
        <v>-</v>
      </c>
    </row>
    <row r="34004" customHeight="1" spans="2:2">
      <c r="B34004" s="62" t="str">
        <f>IF(AND('领用录入（明细）'!D:D=$F$4,'领用录入（明细）'!C:C&gt;=$J$4,'领用录入（明细）'!C:C&lt;=$L$4),ROW(),"-")</f>
        <v>-</v>
      </c>
    </row>
    <row r="34005" customHeight="1" spans="2:2">
      <c r="B34005" s="62" t="str">
        <f>IF(AND('领用录入（明细）'!D:D=$F$4,'领用录入（明细）'!C:C&gt;=$J$4,'领用录入（明细）'!C:C&lt;=$L$4),ROW(),"-")</f>
        <v>-</v>
      </c>
    </row>
    <row r="34006" customHeight="1" spans="2:2">
      <c r="B34006" s="62" t="str">
        <f>IF(AND('领用录入（明细）'!D:D=$F$4,'领用录入（明细）'!C:C&gt;=$J$4,'领用录入（明细）'!C:C&lt;=$L$4),ROW(),"-")</f>
        <v>-</v>
      </c>
    </row>
    <row r="34007" customHeight="1" spans="2:2">
      <c r="B34007" s="62" t="str">
        <f>IF(AND('领用录入（明细）'!D:D=$F$4,'领用录入（明细）'!C:C&gt;=$J$4,'领用录入（明细）'!C:C&lt;=$L$4),ROW(),"-")</f>
        <v>-</v>
      </c>
    </row>
    <row r="34008" customHeight="1" spans="2:2">
      <c r="B34008" s="62" t="str">
        <f>IF(AND('领用录入（明细）'!D:D=$F$4,'领用录入（明细）'!C:C&gt;=$J$4,'领用录入（明细）'!C:C&lt;=$L$4),ROW(),"-")</f>
        <v>-</v>
      </c>
    </row>
    <row r="34009" customHeight="1" spans="2:2">
      <c r="B34009" s="62" t="str">
        <f>IF(AND('领用录入（明细）'!D:D=$F$4,'领用录入（明细）'!C:C&gt;=$J$4,'领用录入（明细）'!C:C&lt;=$L$4),ROW(),"-")</f>
        <v>-</v>
      </c>
    </row>
    <row r="34010" customHeight="1" spans="2:2">
      <c r="B34010" s="62" t="str">
        <f>IF(AND('领用录入（明细）'!D:D=$F$4,'领用录入（明细）'!C:C&gt;=$J$4,'领用录入（明细）'!C:C&lt;=$L$4),ROW(),"-")</f>
        <v>-</v>
      </c>
    </row>
    <row r="34011" customHeight="1" spans="2:2">
      <c r="B34011" s="62" t="str">
        <f>IF(AND('领用录入（明细）'!D:D=$F$4,'领用录入（明细）'!C:C&gt;=$J$4,'领用录入（明细）'!C:C&lt;=$L$4),ROW(),"-")</f>
        <v>-</v>
      </c>
    </row>
    <row r="34012" customHeight="1" spans="2:2">
      <c r="B34012" s="62" t="str">
        <f>IF(AND('领用录入（明细）'!D:D=$F$4,'领用录入（明细）'!C:C&gt;=$J$4,'领用录入（明细）'!C:C&lt;=$L$4),ROW(),"-")</f>
        <v>-</v>
      </c>
    </row>
    <row r="34013" customHeight="1" spans="2:2">
      <c r="B34013" s="62" t="str">
        <f>IF(AND('领用录入（明细）'!D:D=$F$4,'领用录入（明细）'!C:C&gt;=$J$4,'领用录入（明细）'!C:C&lt;=$L$4),ROW(),"-")</f>
        <v>-</v>
      </c>
    </row>
    <row r="34014" customHeight="1" spans="2:2">
      <c r="B34014" s="62" t="str">
        <f>IF(AND('领用录入（明细）'!D:D=$F$4,'领用录入（明细）'!C:C&gt;=$J$4,'领用录入（明细）'!C:C&lt;=$L$4),ROW(),"-")</f>
        <v>-</v>
      </c>
    </row>
    <row r="34015" customHeight="1" spans="2:2">
      <c r="B34015" s="62" t="str">
        <f>IF(AND('领用录入（明细）'!D:D=$F$4,'领用录入（明细）'!C:C&gt;=$J$4,'领用录入（明细）'!C:C&lt;=$L$4),ROW(),"-")</f>
        <v>-</v>
      </c>
    </row>
    <row r="34016" customHeight="1" spans="2:2">
      <c r="B34016" s="62" t="str">
        <f>IF(AND('领用录入（明细）'!D:D=$F$4,'领用录入（明细）'!C:C&gt;=$J$4,'领用录入（明细）'!C:C&lt;=$L$4),ROW(),"-")</f>
        <v>-</v>
      </c>
    </row>
    <row r="34017" customHeight="1" spans="2:2">
      <c r="B34017" s="62" t="str">
        <f>IF(AND('领用录入（明细）'!D:D=$F$4,'领用录入（明细）'!C:C&gt;=$J$4,'领用录入（明细）'!C:C&lt;=$L$4),ROW(),"-")</f>
        <v>-</v>
      </c>
    </row>
    <row r="34018" customHeight="1" spans="2:2">
      <c r="B34018" s="62" t="str">
        <f>IF(AND('领用录入（明细）'!D:D=$F$4,'领用录入（明细）'!C:C&gt;=$J$4,'领用录入（明细）'!C:C&lt;=$L$4),ROW(),"-")</f>
        <v>-</v>
      </c>
    </row>
    <row r="34019" customHeight="1" spans="2:2">
      <c r="B34019" s="62" t="str">
        <f>IF(AND('领用录入（明细）'!D:D=$F$4,'领用录入（明细）'!C:C&gt;=$J$4,'领用录入（明细）'!C:C&lt;=$L$4),ROW(),"-")</f>
        <v>-</v>
      </c>
    </row>
    <row r="34020" customHeight="1" spans="2:2">
      <c r="B34020" s="62" t="str">
        <f>IF(AND('领用录入（明细）'!D:D=$F$4,'领用录入（明细）'!C:C&gt;=$J$4,'领用录入（明细）'!C:C&lt;=$L$4),ROW(),"-")</f>
        <v>-</v>
      </c>
    </row>
    <row r="34021" customHeight="1" spans="2:2">
      <c r="B34021" s="62" t="str">
        <f>IF(AND('领用录入（明细）'!D:D=$F$4,'领用录入（明细）'!C:C&gt;=$J$4,'领用录入（明细）'!C:C&lt;=$L$4),ROW(),"-")</f>
        <v>-</v>
      </c>
    </row>
    <row r="34022" customHeight="1" spans="2:2">
      <c r="B34022" s="62" t="str">
        <f>IF(AND('领用录入（明细）'!D:D=$F$4,'领用录入（明细）'!C:C&gt;=$J$4,'领用录入（明细）'!C:C&lt;=$L$4),ROW(),"-")</f>
        <v>-</v>
      </c>
    </row>
    <row r="34023" customHeight="1" spans="2:2">
      <c r="B34023" s="62" t="str">
        <f>IF(AND('领用录入（明细）'!D:D=$F$4,'领用录入（明细）'!C:C&gt;=$J$4,'领用录入（明细）'!C:C&lt;=$L$4),ROW(),"-")</f>
        <v>-</v>
      </c>
    </row>
    <row r="34024" customHeight="1" spans="2:2">
      <c r="B34024" s="62" t="str">
        <f>IF(AND('领用录入（明细）'!D:D=$F$4,'领用录入（明细）'!C:C&gt;=$J$4,'领用录入（明细）'!C:C&lt;=$L$4),ROW(),"-")</f>
        <v>-</v>
      </c>
    </row>
    <row r="34025" customHeight="1" spans="2:2">
      <c r="B34025" s="62" t="str">
        <f>IF(AND('领用录入（明细）'!D:D=$F$4,'领用录入（明细）'!C:C&gt;=$J$4,'领用录入（明细）'!C:C&lt;=$L$4),ROW(),"-")</f>
        <v>-</v>
      </c>
    </row>
    <row r="34026" customHeight="1" spans="2:2">
      <c r="B34026" s="62" t="str">
        <f>IF(AND('领用录入（明细）'!D:D=$F$4,'领用录入（明细）'!C:C&gt;=$J$4,'领用录入（明细）'!C:C&lt;=$L$4),ROW(),"-")</f>
        <v>-</v>
      </c>
    </row>
    <row r="34027" customHeight="1" spans="2:2">
      <c r="B34027" s="62" t="str">
        <f>IF(AND('领用录入（明细）'!D:D=$F$4,'领用录入（明细）'!C:C&gt;=$J$4,'领用录入（明细）'!C:C&lt;=$L$4),ROW(),"-")</f>
        <v>-</v>
      </c>
    </row>
    <row r="34028" customHeight="1" spans="2:2">
      <c r="B34028" s="62" t="str">
        <f>IF(AND('领用录入（明细）'!D:D=$F$4,'领用录入（明细）'!C:C&gt;=$J$4,'领用录入（明细）'!C:C&lt;=$L$4),ROW(),"-")</f>
        <v>-</v>
      </c>
    </row>
    <row r="34029" customHeight="1" spans="2:2">
      <c r="B34029" s="62" t="str">
        <f>IF(AND('领用录入（明细）'!D:D=$F$4,'领用录入（明细）'!C:C&gt;=$J$4,'领用录入（明细）'!C:C&lt;=$L$4),ROW(),"-")</f>
        <v>-</v>
      </c>
    </row>
    <row r="34030" customHeight="1" spans="2:2">
      <c r="B34030" s="62" t="str">
        <f>IF(AND('领用录入（明细）'!D:D=$F$4,'领用录入（明细）'!C:C&gt;=$J$4,'领用录入（明细）'!C:C&lt;=$L$4),ROW(),"-")</f>
        <v>-</v>
      </c>
    </row>
    <row r="34031" customHeight="1" spans="2:2">
      <c r="B34031" s="62" t="str">
        <f>IF(AND('领用录入（明细）'!D:D=$F$4,'领用录入（明细）'!C:C&gt;=$J$4,'领用录入（明细）'!C:C&lt;=$L$4),ROW(),"-")</f>
        <v>-</v>
      </c>
    </row>
    <row r="34032" customHeight="1" spans="2:2">
      <c r="B34032" s="62" t="str">
        <f>IF(AND('领用录入（明细）'!D:D=$F$4,'领用录入（明细）'!C:C&gt;=$J$4,'领用录入（明细）'!C:C&lt;=$L$4),ROW(),"-")</f>
        <v>-</v>
      </c>
    </row>
    <row r="34033" customHeight="1" spans="2:2">
      <c r="B34033" s="62" t="str">
        <f>IF(AND('领用录入（明细）'!D:D=$F$4,'领用录入（明细）'!C:C&gt;=$J$4,'领用录入（明细）'!C:C&lt;=$L$4),ROW(),"-")</f>
        <v>-</v>
      </c>
    </row>
    <row r="34034" customHeight="1" spans="2:2">
      <c r="B34034" s="62" t="str">
        <f>IF(AND('领用录入（明细）'!D:D=$F$4,'领用录入（明细）'!C:C&gt;=$J$4,'领用录入（明细）'!C:C&lt;=$L$4),ROW(),"-")</f>
        <v>-</v>
      </c>
    </row>
    <row r="34035" customHeight="1" spans="2:2">
      <c r="B34035" s="62" t="str">
        <f>IF(AND('领用录入（明细）'!D:D=$F$4,'领用录入（明细）'!C:C&gt;=$J$4,'领用录入（明细）'!C:C&lt;=$L$4),ROW(),"-")</f>
        <v>-</v>
      </c>
    </row>
    <row r="34036" customHeight="1" spans="2:2">
      <c r="B34036" s="62" t="str">
        <f>IF(AND('领用录入（明细）'!D:D=$F$4,'领用录入（明细）'!C:C&gt;=$J$4,'领用录入（明细）'!C:C&lt;=$L$4),ROW(),"-")</f>
        <v>-</v>
      </c>
    </row>
    <row r="34037" customHeight="1" spans="2:2">
      <c r="B34037" s="62" t="str">
        <f>IF(AND('领用录入（明细）'!D:D=$F$4,'领用录入（明细）'!C:C&gt;=$J$4,'领用录入（明细）'!C:C&lt;=$L$4),ROW(),"-")</f>
        <v>-</v>
      </c>
    </row>
    <row r="34038" customHeight="1" spans="2:2">
      <c r="B34038" s="62" t="str">
        <f>IF(AND('领用录入（明细）'!D:D=$F$4,'领用录入（明细）'!C:C&gt;=$J$4,'领用录入（明细）'!C:C&lt;=$L$4),ROW(),"-")</f>
        <v>-</v>
      </c>
    </row>
    <row r="34039" customHeight="1" spans="2:2">
      <c r="B34039" s="62" t="str">
        <f>IF(AND('领用录入（明细）'!D:D=$F$4,'领用录入（明细）'!C:C&gt;=$J$4,'领用录入（明细）'!C:C&lt;=$L$4),ROW(),"-")</f>
        <v>-</v>
      </c>
    </row>
    <row r="34040" customHeight="1" spans="2:2">
      <c r="B34040" s="62" t="str">
        <f>IF(AND('领用录入（明细）'!D:D=$F$4,'领用录入（明细）'!C:C&gt;=$J$4,'领用录入（明细）'!C:C&lt;=$L$4),ROW(),"-")</f>
        <v>-</v>
      </c>
    </row>
    <row r="34041" customHeight="1" spans="2:2">
      <c r="B34041" s="62" t="str">
        <f>IF(AND('领用录入（明细）'!D:D=$F$4,'领用录入（明细）'!C:C&gt;=$J$4,'领用录入（明细）'!C:C&lt;=$L$4),ROW(),"-")</f>
        <v>-</v>
      </c>
    </row>
    <row r="34042" customHeight="1" spans="2:2">
      <c r="B34042" s="62" t="str">
        <f>IF(AND('领用录入（明细）'!D:D=$F$4,'领用录入（明细）'!C:C&gt;=$J$4,'领用录入（明细）'!C:C&lt;=$L$4),ROW(),"-")</f>
        <v>-</v>
      </c>
    </row>
    <row r="34043" customHeight="1" spans="2:2">
      <c r="B34043" s="62" t="str">
        <f>IF(AND('领用录入（明细）'!D:D=$F$4,'领用录入（明细）'!C:C&gt;=$J$4,'领用录入（明细）'!C:C&lt;=$L$4),ROW(),"-")</f>
        <v>-</v>
      </c>
    </row>
    <row r="34044" customHeight="1" spans="2:2">
      <c r="B34044" s="62" t="str">
        <f>IF(AND('领用录入（明细）'!D:D=$F$4,'领用录入（明细）'!C:C&gt;=$J$4,'领用录入（明细）'!C:C&lt;=$L$4),ROW(),"-")</f>
        <v>-</v>
      </c>
    </row>
    <row r="34045" customHeight="1" spans="2:2">
      <c r="B34045" s="62" t="str">
        <f>IF(AND('领用录入（明细）'!D:D=$F$4,'领用录入（明细）'!C:C&gt;=$J$4,'领用录入（明细）'!C:C&lt;=$L$4),ROW(),"-")</f>
        <v>-</v>
      </c>
    </row>
    <row r="34046" customHeight="1" spans="2:2">
      <c r="B34046" s="62" t="str">
        <f>IF(AND('领用录入（明细）'!D:D=$F$4,'领用录入（明细）'!C:C&gt;=$J$4,'领用录入（明细）'!C:C&lt;=$L$4),ROW(),"-")</f>
        <v>-</v>
      </c>
    </row>
    <row r="34047" customHeight="1" spans="2:2">
      <c r="B34047" s="62" t="str">
        <f>IF(AND('领用录入（明细）'!D:D=$F$4,'领用录入（明细）'!C:C&gt;=$J$4,'领用录入（明细）'!C:C&lt;=$L$4),ROW(),"-")</f>
        <v>-</v>
      </c>
    </row>
    <row r="34048" customHeight="1" spans="2:2">
      <c r="B34048" s="62" t="str">
        <f>IF(AND('领用录入（明细）'!D:D=$F$4,'领用录入（明细）'!C:C&gt;=$J$4,'领用录入（明细）'!C:C&lt;=$L$4),ROW(),"-")</f>
        <v>-</v>
      </c>
    </row>
    <row r="34049" customHeight="1" spans="2:2">
      <c r="B34049" s="62" t="str">
        <f>IF(AND('领用录入（明细）'!D:D=$F$4,'领用录入（明细）'!C:C&gt;=$J$4,'领用录入（明细）'!C:C&lt;=$L$4),ROW(),"-")</f>
        <v>-</v>
      </c>
    </row>
    <row r="34050" customHeight="1" spans="2:2">
      <c r="B34050" s="62" t="str">
        <f>IF(AND('领用录入（明细）'!D:D=$F$4,'领用录入（明细）'!C:C&gt;=$J$4,'领用录入（明细）'!C:C&lt;=$L$4),ROW(),"-")</f>
        <v>-</v>
      </c>
    </row>
    <row r="34051" customHeight="1" spans="2:2">
      <c r="B34051" s="62" t="str">
        <f>IF(AND('领用录入（明细）'!D:D=$F$4,'领用录入（明细）'!C:C&gt;=$J$4,'领用录入（明细）'!C:C&lt;=$L$4),ROW(),"-")</f>
        <v>-</v>
      </c>
    </row>
    <row r="34052" customHeight="1" spans="2:2">
      <c r="B34052" s="62" t="str">
        <f>IF(AND('领用录入（明细）'!D:D=$F$4,'领用录入（明细）'!C:C&gt;=$J$4,'领用录入（明细）'!C:C&lt;=$L$4),ROW(),"-")</f>
        <v>-</v>
      </c>
    </row>
    <row r="34053" customHeight="1" spans="2:2">
      <c r="B34053" s="62" t="str">
        <f>IF(AND('领用录入（明细）'!D:D=$F$4,'领用录入（明细）'!C:C&gt;=$J$4,'领用录入（明细）'!C:C&lt;=$L$4),ROW(),"-")</f>
        <v>-</v>
      </c>
    </row>
    <row r="34054" customHeight="1" spans="2:2">
      <c r="B34054" s="62" t="str">
        <f>IF(AND('领用录入（明细）'!D:D=$F$4,'领用录入（明细）'!C:C&gt;=$J$4,'领用录入（明细）'!C:C&lt;=$L$4),ROW(),"-")</f>
        <v>-</v>
      </c>
    </row>
    <row r="34055" customHeight="1" spans="2:2">
      <c r="B34055" s="62" t="str">
        <f>IF(AND('领用录入（明细）'!D:D=$F$4,'领用录入（明细）'!C:C&gt;=$J$4,'领用录入（明细）'!C:C&lt;=$L$4),ROW(),"-")</f>
        <v>-</v>
      </c>
    </row>
    <row r="34056" customHeight="1" spans="2:2">
      <c r="B34056" s="62" t="str">
        <f>IF(AND('领用录入（明细）'!D:D=$F$4,'领用录入（明细）'!C:C&gt;=$J$4,'领用录入（明细）'!C:C&lt;=$L$4),ROW(),"-")</f>
        <v>-</v>
      </c>
    </row>
    <row r="34057" customHeight="1" spans="2:2">
      <c r="B34057" s="62" t="str">
        <f>IF(AND('领用录入（明细）'!D:D=$F$4,'领用录入（明细）'!C:C&gt;=$J$4,'领用录入（明细）'!C:C&lt;=$L$4),ROW(),"-")</f>
        <v>-</v>
      </c>
    </row>
    <row r="34058" customHeight="1" spans="2:2">
      <c r="B34058" s="62" t="str">
        <f>IF(AND('领用录入（明细）'!D:D=$F$4,'领用录入（明细）'!C:C&gt;=$J$4,'领用录入（明细）'!C:C&lt;=$L$4),ROW(),"-")</f>
        <v>-</v>
      </c>
    </row>
    <row r="34059" customHeight="1" spans="2:2">
      <c r="B34059" s="62" t="str">
        <f>IF(AND('领用录入（明细）'!D:D=$F$4,'领用录入（明细）'!C:C&gt;=$J$4,'领用录入（明细）'!C:C&lt;=$L$4),ROW(),"-")</f>
        <v>-</v>
      </c>
    </row>
    <row r="34060" customHeight="1" spans="2:2">
      <c r="B34060" s="62" t="str">
        <f>IF(AND('领用录入（明细）'!D:D=$F$4,'领用录入（明细）'!C:C&gt;=$J$4,'领用录入（明细）'!C:C&lt;=$L$4),ROW(),"-")</f>
        <v>-</v>
      </c>
    </row>
    <row r="34061" customHeight="1" spans="2:2">
      <c r="B34061" s="62" t="str">
        <f>IF(AND('领用录入（明细）'!D:D=$F$4,'领用录入（明细）'!C:C&gt;=$J$4,'领用录入（明细）'!C:C&lt;=$L$4),ROW(),"-")</f>
        <v>-</v>
      </c>
    </row>
    <row r="34062" customHeight="1" spans="2:2">
      <c r="B34062" s="62" t="str">
        <f>IF(AND('领用录入（明细）'!D:D=$F$4,'领用录入（明细）'!C:C&gt;=$J$4,'领用录入（明细）'!C:C&lt;=$L$4),ROW(),"-")</f>
        <v>-</v>
      </c>
    </row>
    <row r="34063" customHeight="1" spans="2:2">
      <c r="B34063" s="62" t="str">
        <f>IF(AND('领用录入（明细）'!D:D=$F$4,'领用录入（明细）'!C:C&gt;=$J$4,'领用录入（明细）'!C:C&lt;=$L$4),ROW(),"-")</f>
        <v>-</v>
      </c>
    </row>
    <row r="34064" customHeight="1" spans="2:2">
      <c r="B34064" s="62" t="str">
        <f>IF(AND('领用录入（明细）'!D:D=$F$4,'领用录入（明细）'!C:C&gt;=$J$4,'领用录入（明细）'!C:C&lt;=$L$4),ROW(),"-")</f>
        <v>-</v>
      </c>
    </row>
    <row r="34065" customHeight="1" spans="2:2">
      <c r="B34065" s="62" t="str">
        <f>IF(AND('领用录入（明细）'!D:D=$F$4,'领用录入（明细）'!C:C&gt;=$J$4,'领用录入（明细）'!C:C&lt;=$L$4),ROW(),"-")</f>
        <v>-</v>
      </c>
    </row>
    <row r="34066" customHeight="1" spans="2:2">
      <c r="B34066" s="62" t="str">
        <f>IF(AND('领用录入（明细）'!D:D=$F$4,'领用录入（明细）'!C:C&gt;=$J$4,'领用录入（明细）'!C:C&lt;=$L$4),ROW(),"-")</f>
        <v>-</v>
      </c>
    </row>
    <row r="34067" customHeight="1" spans="2:2">
      <c r="B34067" s="62" t="str">
        <f>IF(AND('领用录入（明细）'!D:D=$F$4,'领用录入（明细）'!C:C&gt;=$J$4,'领用录入（明细）'!C:C&lt;=$L$4),ROW(),"-")</f>
        <v>-</v>
      </c>
    </row>
    <row r="34068" customHeight="1" spans="2:2">
      <c r="B34068" s="62" t="str">
        <f>IF(AND('领用录入（明细）'!D:D=$F$4,'领用录入（明细）'!C:C&gt;=$J$4,'领用录入（明细）'!C:C&lt;=$L$4),ROW(),"-")</f>
        <v>-</v>
      </c>
    </row>
    <row r="34069" customHeight="1" spans="2:2">
      <c r="B34069" s="62" t="str">
        <f>IF(AND('领用录入（明细）'!D:D=$F$4,'领用录入（明细）'!C:C&gt;=$J$4,'领用录入（明细）'!C:C&lt;=$L$4),ROW(),"-")</f>
        <v>-</v>
      </c>
    </row>
    <row r="34070" customHeight="1" spans="2:2">
      <c r="B34070" s="62" t="str">
        <f>IF(AND('领用录入（明细）'!D:D=$F$4,'领用录入（明细）'!C:C&gt;=$J$4,'领用录入（明细）'!C:C&lt;=$L$4),ROW(),"-")</f>
        <v>-</v>
      </c>
    </row>
    <row r="34071" customHeight="1" spans="2:2">
      <c r="B34071" s="62" t="str">
        <f>IF(AND('领用录入（明细）'!D:D=$F$4,'领用录入（明细）'!C:C&gt;=$J$4,'领用录入（明细）'!C:C&lt;=$L$4),ROW(),"-")</f>
        <v>-</v>
      </c>
    </row>
    <row r="34072" customHeight="1" spans="2:2">
      <c r="B34072" s="62" t="str">
        <f>IF(AND('领用录入（明细）'!D:D=$F$4,'领用录入（明细）'!C:C&gt;=$J$4,'领用录入（明细）'!C:C&lt;=$L$4),ROW(),"-")</f>
        <v>-</v>
      </c>
    </row>
    <row r="34073" customHeight="1" spans="2:2">
      <c r="B34073" s="62" t="str">
        <f>IF(AND('领用录入（明细）'!D:D=$F$4,'领用录入（明细）'!C:C&gt;=$J$4,'领用录入（明细）'!C:C&lt;=$L$4),ROW(),"-")</f>
        <v>-</v>
      </c>
    </row>
    <row r="34074" customHeight="1" spans="2:2">
      <c r="B34074" s="62" t="str">
        <f>IF(AND('领用录入（明细）'!D:D=$F$4,'领用录入（明细）'!C:C&gt;=$J$4,'领用录入（明细）'!C:C&lt;=$L$4),ROW(),"-")</f>
        <v>-</v>
      </c>
    </row>
    <row r="34075" customHeight="1" spans="2:2">
      <c r="B34075" s="62" t="str">
        <f>IF(AND('领用录入（明细）'!D:D=$F$4,'领用录入（明细）'!C:C&gt;=$J$4,'领用录入（明细）'!C:C&lt;=$L$4),ROW(),"-")</f>
        <v>-</v>
      </c>
    </row>
    <row r="34076" customHeight="1" spans="2:2">
      <c r="B34076" s="62" t="str">
        <f>IF(AND('领用录入（明细）'!D:D=$F$4,'领用录入（明细）'!C:C&gt;=$J$4,'领用录入（明细）'!C:C&lt;=$L$4),ROW(),"-")</f>
        <v>-</v>
      </c>
    </row>
    <row r="34077" customHeight="1" spans="2:2">
      <c r="B34077" s="62" t="str">
        <f>IF(AND('领用录入（明细）'!D:D=$F$4,'领用录入（明细）'!C:C&gt;=$J$4,'领用录入（明细）'!C:C&lt;=$L$4),ROW(),"-")</f>
        <v>-</v>
      </c>
    </row>
    <row r="34078" customHeight="1" spans="2:2">
      <c r="B34078" s="62" t="str">
        <f>IF(AND('领用录入（明细）'!D:D=$F$4,'领用录入（明细）'!C:C&gt;=$J$4,'领用录入（明细）'!C:C&lt;=$L$4),ROW(),"-")</f>
        <v>-</v>
      </c>
    </row>
    <row r="34079" customHeight="1" spans="2:2">
      <c r="B34079" s="62" t="str">
        <f>IF(AND('领用录入（明细）'!D:D=$F$4,'领用录入（明细）'!C:C&gt;=$J$4,'领用录入（明细）'!C:C&lt;=$L$4),ROW(),"-")</f>
        <v>-</v>
      </c>
    </row>
    <row r="34080" customHeight="1" spans="2:2">
      <c r="B34080" s="62" t="str">
        <f>IF(AND('领用录入（明细）'!D:D=$F$4,'领用录入（明细）'!C:C&gt;=$J$4,'领用录入（明细）'!C:C&lt;=$L$4),ROW(),"-")</f>
        <v>-</v>
      </c>
    </row>
    <row r="34081" customHeight="1" spans="2:2">
      <c r="B34081" s="62" t="str">
        <f>IF(AND('领用录入（明细）'!D:D=$F$4,'领用录入（明细）'!C:C&gt;=$J$4,'领用录入（明细）'!C:C&lt;=$L$4),ROW(),"-")</f>
        <v>-</v>
      </c>
    </row>
    <row r="34082" customHeight="1" spans="2:2">
      <c r="B34082" s="62" t="str">
        <f>IF(AND('领用录入（明细）'!D:D=$F$4,'领用录入（明细）'!C:C&gt;=$J$4,'领用录入（明细）'!C:C&lt;=$L$4),ROW(),"-")</f>
        <v>-</v>
      </c>
    </row>
    <row r="34083" customHeight="1" spans="2:2">
      <c r="B34083" s="62" t="str">
        <f>IF(AND('领用录入（明细）'!D:D=$F$4,'领用录入（明细）'!C:C&gt;=$J$4,'领用录入（明细）'!C:C&lt;=$L$4),ROW(),"-")</f>
        <v>-</v>
      </c>
    </row>
    <row r="34084" customHeight="1" spans="2:2">
      <c r="B34084" s="62" t="str">
        <f>IF(AND('领用录入（明细）'!D:D=$F$4,'领用录入（明细）'!C:C&gt;=$J$4,'领用录入（明细）'!C:C&lt;=$L$4),ROW(),"-")</f>
        <v>-</v>
      </c>
    </row>
    <row r="34085" customHeight="1" spans="2:2">
      <c r="B34085" s="62" t="str">
        <f>IF(AND('领用录入（明细）'!D:D=$F$4,'领用录入（明细）'!C:C&gt;=$J$4,'领用录入（明细）'!C:C&lt;=$L$4),ROW(),"-")</f>
        <v>-</v>
      </c>
    </row>
    <row r="34086" customHeight="1" spans="2:2">
      <c r="B34086" s="62" t="str">
        <f>IF(AND('领用录入（明细）'!D:D=$F$4,'领用录入（明细）'!C:C&gt;=$J$4,'领用录入（明细）'!C:C&lt;=$L$4),ROW(),"-")</f>
        <v>-</v>
      </c>
    </row>
    <row r="34087" customHeight="1" spans="2:2">
      <c r="B34087" s="62" t="str">
        <f>IF(AND('领用录入（明细）'!D:D=$F$4,'领用录入（明细）'!C:C&gt;=$J$4,'领用录入（明细）'!C:C&lt;=$L$4),ROW(),"-")</f>
        <v>-</v>
      </c>
    </row>
    <row r="34088" customHeight="1" spans="2:2">
      <c r="B34088" s="62" t="str">
        <f>IF(AND('领用录入（明细）'!D:D=$F$4,'领用录入（明细）'!C:C&gt;=$J$4,'领用录入（明细）'!C:C&lt;=$L$4),ROW(),"-")</f>
        <v>-</v>
      </c>
    </row>
    <row r="34089" customHeight="1" spans="2:2">
      <c r="B34089" s="62" t="str">
        <f>IF(AND('领用录入（明细）'!D:D=$F$4,'领用录入（明细）'!C:C&gt;=$J$4,'领用录入（明细）'!C:C&lt;=$L$4),ROW(),"-")</f>
        <v>-</v>
      </c>
    </row>
    <row r="34090" customHeight="1" spans="2:2">
      <c r="B34090" s="62" t="str">
        <f>IF(AND('领用录入（明细）'!D:D=$F$4,'领用录入（明细）'!C:C&gt;=$J$4,'领用录入（明细）'!C:C&lt;=$L$4),ROW(),"-")</f>
        <v>-</v>
      </c>
    </row>
    <row r="34091" customHeight="1" spans="2:2">
      <c r="B34091" s="62" t="str">
        <f>IF(AND('领用录入（明细）'!D:D=$F$4,'领用录入（明细）'!C:C&gt;=$J$4,'领用录入（明细）'!C:C&lt;=$L$4),ROW(),"-")</f>
        <v>-</v>
      </c>
    </row>
    <row r="34092" customHeight="1" spans="2:2">
      <c r="B34092" s="62" t="str">
        <f>IF(AND('领用录入（明细）'!D:D=$F$4,'领用录入（明细）'!C:C&gt;=$J$4,'领用录入（明细）'!C:C&lt;=$L$4),ROW(),"-")</f>
        <v>-</v>
      </c>
    </row>
    <row r="34093" customHeight="1" spans="2:2">
      <c r="B34093" s="62" t="str">
        <f>IF(AND('领用录入（明细）'!D:D=$F$4,'领用录入（明细）'!C:C&gt;=$J$4,'领用录入（明细）'!C:C&lt;=$L$4),ROW(),"-")</f>
        <v>-</v>
      </c>
    </row>
    <row r="34094" customHeight="1" spans="2:2">
      <c r="B34094" s="62" t="str">
        <f>IF(AND('领用录入（明细）'!D:D=$F$4,'领用录入（明细）'!C:C&gt;=$J$4,'领用录入（明细）'!C:C&lt;=$L$4),ROW(),"-")</f>
        <v>-</v>
      </c>
    </row>
    <row r="34095" customHeight="1" spans="2:2">
      <c r="B34095" s="62" t="str">
        <f>IF(AND('领用录入（明细）'!D:D=$F$4,'领用录入（明细）'!C:C&gt;=$J$4,'领用录入（明细）'!C:C&lt;=$L$4),ROW(),"-")</f>
        <v>-</v>
      </c>
    </row>
    <row r="34096" customHeight="1" spans="2:2">
      <c r="B34096" s="62" t="str">
        <f>IF(AND('领用录入（明细）'!D:D=$F$4,'领用录入（明细）'!C:C&gt;=$J$4,'领用录入（明细）'!C:C&lt;=$L$4),ROW(),"-")</f>
        <v>-</v>
      </c>
    </row>
    <row r="34097" customHeight="1" spans="2:2">
      <c r="B34097" s="62" t="str">
        <f>IF(AND('领用录入（明细）'!D:D=$F$4,'领用录入（明细）'!C:C&gt;=$J$4,'领用录入（明细）'!C:C&lt;=$L$4),ROW(),"-")</f>
        <v>-</v>
      </c>
    </row>
    <row r="34098" customHeight="1" spans="2:2">
      <c r="B34098" s="62" t="str">
        <f>IF(AND('领用录入（明细）'!D:D=$F$4,'领用录入（明细）'!C:C&gt;=$J$4,'领用录入（明细）'!C:C&lt;=$L$4),ROW(),"-")</f>
        <v>-</v>
      </c>
    </row>
    <row r="34099" customHeight="1" spans="2:2">
      <c r="B34099" s="62" t="str">
        <f>IF(AND('领用录入（明细）'!D:D=$F$4,'领用录入（明细）'!C:C&gt;=$J$4,'领用录入（明细）'!C:C&lt;=$L$4),ROW(),"-")</f>
        <v>-</v>
      </c>
    </row>
    <row r="34100" customHeight="1" spans="2:2">
      <c r="B34100" s="62" t="str">
        <f>IF(AND('领用录入（明细）'!D:D=$F$4,'领用录入（明细）'!C:C&gt;=$J$4,'领用录入（明细）'!C:C&lt;=$L$4),ROW(),"-")</f>
        <v>-</v>
      </c>
    </row>
    <row r="34101" customHeight="1" spans="2:2">
      <c r="B34101" s="62" t="str">
        <f>IF(AND('领用录入（明细）'!D:D=$F$4,'领用录入（明细）'!C:C&gt;=$J$4,'领用录入（明细）'!C:C&lt;=$L$4),ROW(),"-")</f>
        <v>-</v>
      </c>
    </row>
    <row r="34102" customHeight="1" spans="2:2">
      <c r="B34102" s="62" t="str">
        <f>IF(AND('领用录入（明细）'!D:D=$F$4,'领用录入（明细）'!C:C&gt;=$J$4,'领用录入（明细）'!C:C&lt;=$L$4),ROW(),"-")</f>
        <v>-</v>
      </c>
    </row>
    <row r="34103" customHeight="1" spans="2:2">
      <c r="B34103" s="62" t="str">
        <f>IF(AND('领用录入（明细）'!D:D=$F$4,'领用录入（明细）'!C:C&gt;=$J$4,'领用录入（明细）'!C:C&lt;=$L$4),ROW(),"-")</f>
        <v>-</v>
      </c>
    </row>
    <row r="34104" customHeight="1" spans="2:2">
      <c r="B34104" s="62" t="str">
        <f>IF(AND('领用录入（明细）'!D:D=$F$4,'领用录入（明细）'!C:C&gt;=$J$4,'领用录入（明细）'!C:C&lt;=$L$4),ROW(),"-")</f>
        <v>-</v>
      </c>
    </row>
    <row r="34105" customHeight="1" spans="2:2">
      <c r="B34105" s="62" t="str">
        <f>IF(AND('领用录入（明细）'!D:D=$F$4,'领用录入（明细）'!C:C&gt;=$J$4,'领用录入（明细）'!C:C&lt;=$L$4),ROW(),"-")</f>
        <v>-</v>
      </c>
    </row>
    <row r="34106" customHeight="1" spans="2:2">
      <c r="B34106" s="62" t="str">
        <f>IF(AND('领用录入（明细）'!D:D=$F$4,'领用录入（明细）'!C:C&gt;=$J$4,'领用录入（明细）'!C:C&lt;=$L$4),ROW(),"-")</f>
        <v>-</v>
      </c>
    </row>
    <row r="34107" customHeight="1" spans="2:2">
      <c r="B34107" s="62" t="str">
        <f>IF(AND('领用录入（明细）'!D:D=$F$4,'领用录入（明细）'!C:C&gt;=$J$4,'领用录入（明细）'!C:C&lt;=$L$4),ROW(),"-")</f>
        <v>-</v>
      </c>
    </row>
    <row r="34108" customHeight="1" spans="2:2">
      <c r="B34108" s="62" t="str">
        <f>IF(AND('领用录入（明细）'!D:D=$F$4,'领用录入（明细）'!C:C&gt;=$J$4,'领用录入（明细）'!C:C&lt;=$L$4),ROW(),"-")</f>
        <v>-</v>
      </c>
    </row>
    <row r="34109" customHeight="1" spans="2:2">
      <c r="B34109" s="62" t="str">
        <f>IF(AND('领用录入（明细）'!D:D=$F$4,'领用录入（明细）'!C:C&gt;=$J$4,'领用录入（明细）'!C:C&lt;=$L$4),ROW(),"-")</f>
        <v>-</v>
      </c>
    </row>
    <row r="34110" customHeight="1" spans="2:2">
      <c r="B34110" s="62" t="str">
        <f>IF(AND('领用录入（明细）'!D:D=$F$4,'领用录入（明细）'!C:C&gt;=$J$4,'领用录入（明细）'!C:C&lt;=$L$4),ROW(),"-")</f>
        <v>-</v>
      </c>
    </row>
    <row r="34111" customHeight="1" spans="2:2">
      <c r="B34111" s="62" t="str">
        <f>IF(AND('领用录入（明细）'!D:D=$F$4,'领用录入（明细）'!C:C&gt;=$J$4,'领用录入（明细）'!C:C&lt;=$L$4),ROW(),"-")</f>
        <v>-</v>
      </c>
    </row>
    <row r="34112" customHeight="1" spans="2:2">
      <c r="B34112" s="62" t="str">
        <f>IF(AND('领用录入（明细）'!D:D=$F$4,'领用录入（明细）'!C:C&gt;=$J$4,'领用录入（明细）'!C:C&lt;=$L$4),ROW(),"-")</f>
        <v>-</v>
      </c>
    </row>
    <row r="34113" customHeight="1" spans="2:2">
      <c r="B34113" s="62" t="str">
        <f>IF(AND('领用录入（明细）'!D:D=$F$4,'领用录入（明细）'!C:C&gt;=$J$4,'领用录入（明细）'!C:C&lt;=$L$4),ROW(),"-")</f>
        <v>-</v>
      </c>
    </row>
    <row r="34114" customHeight="1" spans="2:2">
      <c r="B34114" s="62" t="str">
        <f>IF(AND('领用录入（明细）'!D:D=$F$4,'领用录入（明细）'!C:C&gt;=$J$4,'领用录入（明细）'!C:C&lt;=$L$4),ROW(),"-")</f>
        <v>-</v>
      </c>
    </row>
    <row r="34115" customHeight="1" spans="2:2">
      <c r="B34115" s="62" t="str">
        <f>IF(AND('领用录入（明细）'!D:D=$F$4,'领用录入（明细）'!C:C&gt;=$J$4,'领用录入（明细）'!C:C&lt;=$L$4),ROW(),"-")</f>
        <v>-</v>
      </c>
    </row>
    <row r="34116" customHeight="1" spans="2:2">
      <c r="B34116" s="62" t="str">
        <f>IF(AND('领用录入（明细）'!D:D=$F$4,'领用录入（明细）'!C:C&gt;=$J$4,'领用录入（明细）'!C:C&lt;=$L$4),ROW(),"-")</f>
        <v>-</v>
      </c>
    </row>
    <row r="34117" customHeight="1" spans="2:2">
      <c r="B34117" s="62" t="str">
        <f>IF(AND('领用录入（明细）'!D:D=$F$4,'领用录入（明细）'!C:C&gt;=$J$4,'领用录入（明细）'!C:C&lt;=$L$4),ROW(),"-")</f>
        <v>-</v>
      </c>
    </row>
    <row r="34118" customHeight="1" spans="2:2">
      <c r="B34118" s="62" t="str">
        <f>IF(AND('领用录入（明细）'!D:D=$F$4,'领用录入（明细）'!C:C&gt;=$J$4,'领用录入（明细）'!C:C&lt;=$L$4),ROW(),"-")</f>
        <v>-</v>
      </c>
    </row>
    <row r="34119" customHeight="1" spans="2:2">
      <c r="B34119" s="62" t="str">
        <f>IF(AND('领用录入（明细）'!D:D=$F$4,'领用录入（明细）'!C:C&gt;=$J$4,'领用录入（明细）'!C:C&lt;=$L$4),ROW(),"-")</f>
        <v>-</v>
      </c>
    </row>
    <row r="34120" customHeight="1" spans="2:2">
      <c r="B34120" s="62" t="str">
        <f>IF(AND('领用录入（明细）'!D:D=$F$4,'领用录入（明细）'!C:C&gt;=$J$4,'领用录入（明细）'!C:C&lt;=$L$4),ROW(),"-")</f>
        <v>-</v>
      </c>
    </row>
    <row r="34121" customHeight="1" spans="2:2">
      <c r="B34121" s="62" t="str">
        <f>IF(AND('领用录入（明细）'!D:D=$F$4,'领用录入（明细）'!C:C&gt;=$J$4,'领用录入（明细）'!C:C&lt;=$L$4),ROW(),"-")</f>
        <v>-</v>
      </c>
    </row>
    <row r="34122" customHeight="1" spans="2:2">
      <c r="B34122" s="62" t="str">
        <f>IF(AND('领用录入（明细）'!D:D=$F$4,'领用录入（明细）'!C:C&gt;=$J$4,'领用录入（明细）'!C:C&lt;=$L$4),ROW(),"-")</f>
        <v>-</v>
      </c>
    </row>
    <row r="34123" customHeight="1" spans="2:2">
      <c r="B34123" s="62" t="str">
        <f>IF(AND('领用录入（明细）'!D:D=$F$4,'领用录入（明细）'!C:C&gt;=$J$4,'领用录入（明细）'!C:C&lt;=$L$4),ROW(),"-")</f>
        <v>-</v>
      </c>
    </row>
    <row r="34124" customHeight="1" spans="2:2">
      <c r="B34124" s="62" t="str">
        <f>IF(AND('领用录入（明细）'!D:D=$F$4,'领用录入（明细）'!C:C&gt;=$J$4,'领用录入（明细）'!C:C&lt;=$L$4),ROW(),"-")</f>
        <v>-</v>
      </c>
    </row>
    <row r="34125" customHeight="1" spans="2:2">
      <c r="B34125" s="62" t="str">
        <f>IF(AND('领用录入（明细）'!D:D=$F$4,'领用录入（明细）'!C:C&gt;=$J$4,'领用录入（明细）'!C:C&lt;=$L$4),ROW(),"-")</f>
        <v>-</v>
      </c>
    </row>
    <row r="34126" customHeight="1" spans="2:2">
      <c r="B34126" s="62" t="str">
        <f>IF(AND('领用录入（明细）'!D:D=$F$4,'领用录入（明细）'!C:C&gt;=$J$4,'领用录入（明细）'!C:C&lt;=$L$4),ROW(),"-")</f>
        <v>-</v>
      </c>
    </row>
    <row r="34127" customHeight="1" spans="2:2">
      <c r="B34127" s="62" t="str">
        <f>IF(AND('领用录入（明细）'!D:D=$F$4,'领用录入（明细）'!C:C&gt;=$J$4,'领用录入（明细）'!C:C&lt;=$L$4),ROW(),"-")</f>
        <v>-</v>
      </c>
    </row>
    <row r="34128" customHeight="1" spans="2:2">
      <c r="B34128" s="62" t="str">
        <f>IF(AND('领用录入（明细）'!D:D=$F$4,'领用录入（明细）'!C:C&gt;=$J$4,'领用录入（明细）'!C:C&lt;=$L$4),ROW(),"-")</f>
        <v>-</v>
      </c>
    </row>
    <row r="34129" customHeight="1" spans="2:2">
      <c r="B34129" s="62" t="str">
        <f>IF(AND('领用录入（明细）'!D:D=$F$4,'领用录入（明细）'!C:C&gt;=$J$4,'领用录入（明细）'!C:C&lt;=$L$4),ROW(),"-")</f>
        <v>-</v>
      </c>
    </row>
    <row r="34130" customHeight="1" spans="2:2">
      <c r="B34130" s="62" t="str">
        <f>IF(AND('领用录入（明细）'!D:D=$F$4,'领用录入（明细）'!C:C&gt;=$J$4,'领用录入（明细）'!C:C&lt;=$L$4),ROW(),"-")</f>
        <v>-</v>
      </c>
    </row>
    <row r="34131" customHeight="1" spans="2:2">
      <c r="B34131" s="62" t="str">
        <f>IF(AND('领用录入（明细）'!D:D=$F$4,'领用录入（明细）'!C:C&gt;=$J$4,'领用录入（明细）'!C:C&lt;=$L$4),ROW(),"-")</f>
        <v>-</v>
      </c>
    </row>
    <row r="34132" customHeight="1" spans="2:2">
      <c r="B34132" s="62" t="str">
        <f>IF(AND('领用录入（明细）'!D:D=$F$4,'领用录入（明细）'!C:C&gt;=$J$4,'领用录入（明细）'!C:C&lt;=$L$4),ROW(),"-")</f>
        <v>-</v>
      </c>
    </row>
    <row r="34133" customHeight="1" spans="2:2">
      <c r="B34133" s="62" t="str">
        <f>IF(AND('领用录入（明细）'!D:D=$F$4,'领用录入（明细）'!C:C&gt;=$J$4,'领用录入（明细）'!C:C&lt;=$L$4),ROW(),"-")</f>
        <v>-</v>
      </c>
    </row>
    <row r="34134" customHeight="1" spans="2:2">
      <c r="B34134" s="62" t="str">
        <f>IF(AND('领用录入（明细）'!D:D=$F$4,'领用录入（明细）'!C:C&gt;=$J$4,'领用录入（明细）'!C:C&lt;=$L$4),ROW(),"-")</f>
        <v>-</v>
      </c>
    </row>
    <row r="34135" customHeight="1" spans="2:2">
      <c r="B34135" s="62" t="str">
        <f>IF(AND('领用录入（明细）'!D:D=$F$4,'领用录入（明细）'!C:C&gt;=$J$4,'领用录入（明细）'!C:C&lt;=$L$4),ROW(),"-")</f>
        <v>-</v>
      </c>
    </row>
    <row r="34136" customHeight="1" spans="2:2">
      <c r="B34136" s="62" t="str">
        <f>IF(AND('领用录入（明细）'!D:D=$F$4,'领用录入（明细）'!C:C&gt;=$J$4,'领用录入（明细）'!C:C&lt;=$L$4),ROW(),"-")</f>
        <v>-</v>
      </c>
    </row>
    <row r="34137" customHeight="1" spans="2:2">
      <c r="B34137" s="62" t="str">
        <f>IF(AND('领用录入（明细）'!D:D=$F$4,'领用录入（明细）'!C:C&gt;=$J$4,'领用录入（明细）'!C:C&lt;=$L$4),ROW(),"-")</f>
        <v>-</v>
      </c>
    </row>
    <row r="34138" customHeight="1" spans="2:2">
      <c r="B34138" s="62" t="str">
        <f>IF(AND('领用录入（明细）'!D:D=$F$4,'领用录入（明细）'!C:C&gt;=$J$4,'领用录入（明细）'!C:C&lt;=$L$4),ROW(),"-")</f>
        <v>-</v>
      </c>
    </row>
    <row r="34139" customHeight="1" spans="2:2">
      <c r="B34139" s="62" t="str">
        <f>IF(AND('领用录入（明细）'!D:D=$F$4,'领用录入（明细）'!C:C&gt;=$J$4,'领用录入（明细）'!C:C&lt;=$L$4),ROW(),"-")</f>
        <v>-</v>
      </c>
    </row>
    <row r="34140" customHeight="1" spans="2:2">
      <c r="B34140" s="62" t="str">
        <f>IF(AND('领用录入（明细）'!D:D=$F$4,'领用录入（明细）'!C:C&gt;=$J$4,'领用录入（明细）'!C:C&lt;=$L$4),ROW(),"-")</f>
        <v>-</v>
      </c>
    </row>
    <row r="34141" customHeight="1" spans="2:2">
      <c r="B34141" s="62" t="str">
        <f>IF(AND('领用录入（明细）'!D:D=$F$4,'领用录入（明细）'!C:C&gt;=$J$4,'领用录入（明细）'!C:C&lt;=$L$4),ROW(),"-")</f>
        <v>-</v>
      </c>
    </row>
    <row r="34142" customHeight="1" spans="2:2">
      <c r="B34142" s="62" t="str">
        <f>IF(AND('领用录入（明细）'!D:D=$F$4,'领用录入（明细）'!C:C&gt;=$J$4,'领用录入（明细）'!C:C&lt;=$L$4),ROW(),"-")</f>
        <v>-</v>
      </c>
    </row>
    <row r="34143" customHeight="1" spans="2:2">
      <c r="B34143" s="62" t="str">
        <f>IF(AND('领用录入（明细）'!D:D=$F$4,'领用录入（明细）'!C:C&gt;=$J$4,'领用录入（明细）'!C:C&lt;=$L$4),ROW(),"-")</f>
        <v>-</v>
      </c>
    </row>
    <row r="34144" customHeight="1" spans="2:2">
      <c r="B34144" s="62" t="str">
        <f>IF(AND('领用录入（明细）'!D:D=$F$4,'领用录入（明细）'!C:C&gt;=$J$4,'领用录入（明细）'!C:C&lt;=$L$4),ROW(),"-")</f>
        <v>-</v>
      </c>
    </row>
    <row r="34145" customHeight="1" spans="2:2">
      <c r="B34145" s="62" t="str">
        <f>IF(AND('领用录入（明细）'!D:D=$F$4,'领用录入（明细）'!C:C&gt;=$J$4,'领用录入（明细）'!C:C&lt;=$L$4),ROW(),"-")</f>
        <v>-</v>
      </c>
    </row>
    <row r="34146" customHeight="1" spans="2:2">
      <c r="B34146" s="62" t="str">
        <f>IF(AND('领用录入（明细）'!D:D=$F$4,'领用录入（明细）'!C:C&gt;=$J$4,'领用录入（明细）'!C:C&lt;=$L$4),ROW(),"-")</f>
        <v>-</v>
      </c>
    </row>
    <row r="34147" customHeight="1" spans="2:2">
      <c r="B34147" s="62" t="str">
        <f>IF(AND('领用录入（明细）'!D:D=$F$4,'领用录入（明细）'!C:C&gt;=$J$4,'领用录入（明细）'!C:C&lt;=$L$4),ROW(),"-")</f>
        <v>-</v>
      </c>
    </row>
    <row r="34148" customHeight="1" spans="2:2">
      <c r="B34148" s="62" t="str">
        <f>IF(AND('领用录入（明细）'!D:D=$F$4,'领用录入（明细）'!C:C&gt;=$J$4,'领用录入（明细）'!C:C&lt;=$L$4),ROW(),"-")</f>
        <v>-</v>
      </c>
    </row>
    <row r="34149" customHeight="1" spans="2:2">
      <c r="B34149" s="62" t="str">
        <f>IF(AND('领用录入（明细）'!D:D=$F$4,'领用录入（明细）'!C:C&gt;=$J$4,'领用录入（明细）'!C:C&lt;=$L$4),ROW(),"-")</f>
        <v>-</v>
      </c>
    </row>
    <row r="34150" customHeight="1" spans="2:2">
      <c r="B34150" s="62" t="str">
        <f>IF(AND('领用录入（明细）'!D:D=$F$4,'领用录入（明细）'!C:C&gt;=$J$4,'领用录入（明细）'!C:C&lt;=$L$4),ROW(),"-")</f>
        <v>-</v>
      </c>
    </row>
    <row r="34151" customHeight="1" spans="2:2">
      <c r="B34151" s="62" t="str">
        <f>IF(AND('领用录入（明细）'!D:D=$F$4,'领用录入（明细）'!C:C&gt;=$J$4,'领用录入（明细）'!C:C&lt;=$L$4),ROW(),"-")</f>
        <v>-</v>
      </c>
    </row>
    <row r="34152" customHeight="1" spans="2:2">
      <c r="B34152" s="62" t="str">
        <f>IF(AND('领用录入（明细）'!D:D=$F$4,'领用录入（明细）'!C:C&gt;=$J$4,'领用录入（明细）'!C:C&lt;=$L$4),ROW(),"-")</f>
        <v>-</v>
      </c>
    </row>
    <row r="34153" customHeight="1" spans="2:2">
      <c r="B34153" s="62" t="str">
        <f>IF(AND('领用录入（明细）'!D:D=$F$4,'领用录入（明细）'!C:C&gt;=$J$4,'领用录入（明细）'!C:C&lt;=$L$4),ROW(),"-")</f>
        <v>-</v>
      </c>
    </row>
    <row r="34154" customHeight="1" spans="2:2">
      <c r="B34154" s="62" t="str">
        <f>IF(AND('领用录入（明细）'!D:D=$F$4,'领用录入（明细）'!C:C&gt;=$J$4,'领用录入（明细）'!C:C&lt;=$L$4),ROW(),"-")</f>
        <v>-</v>
      </c>
    </row>
    <row r="34155" customHeight="1" spans="2:2">
      <c r="B34155" s="62" t="str">
        <f>IF(AND('领用录入（明细）'!D:D=$F$4,'领用录入（明细）'!C:C&gt;=$J$4,'领用录入（明细）'!C:C&lt;=$L$4),ROW(),"-")</f>
        <v>-</v>
      </c>
    </row>
    <row r="34156" customHeight="1" spans="2:2">
      <c r="B34156" s="62" t="str">
        <f>IF(AND('领用录入（明细）'!D:D=$F$4,'领用录入（明细）'!C:C&gt;=$J$4,'领用录入（明细）'!C:C&lt;=$L$4),ROW(),"-")</f>
        <v>-</v>
      </c>
    </row>
    <row r="34157" customHeight="1" spans="2:2">
      <c r="B34157" s="62" t="str">
        <f>IF(AND('领用录入（明细）'!D:D=$F$4,'领用录入（明细）'!C:C&gt;=$J$4,'领用录入（明细）'!C:C&lt;=$L$4),ROW(),"-")</f>
        <v>-</v>
      </c>
    </row>
    <row r="34158" customHeight="1" spans="2:2">
      <c r="B34158" s="62" t="str">
        <f>IF(AND('领用录入（明细）'!D:D=$F$4,'领用录入（明细）'!C:C&gt;=$J$4,'领用录入（明细）'!C:C&lt;=$L$4),ROW(),"-")</f>
        <v>-</v>
      </c>
    </row>
    <row r="34159" customHeight="1" spans="2:2">
      <c r="B34159" s="62" t="str">
        <f>IF(AND('领用录入（明细）'!D:D=$F$4,'领用录入（明细）'!C:C&gt;=$J$4,'领用录入（明细）'!C:C&lt;=$L$4),ROW(),"-")</f>
        <v>-</v>
      </c>
    </row>
    <row r="34160" customHeight="1" spans="2:2">
      <c r="B34160" s="62" t="str">
        <f>IF(AND('领用录入（明细）'!D:D=$F$4,'领用录入（明细）'!C:C&gt;=$J$4,'领用录入（明细）'!C:C&lt;=$L$4),ROW(),"-")</f>
        <v>-</v>
      </c>
    </row>
    <row r="34161" customHeight="1" spans="2:2">
      <c r="B34161" s="62" t="str">
        <f>IF(AND('领用录入（明细）'!D:D=$F$4,'领用录入（明细）'!C:C&gt;=$J$4,'领用录入（明细）'!C:C&lt;=$L$4),ROW(),"-")</f>
        <v>-</v>
      </c>
    </row>
    <row r="34162" customHeight="1" spans="2:2">
      <c r="B34162" s="62" t="str">
        <f>IF(AND('领用录入（明细）'!D:D=$F$4,'领用录入（明细）'!C:C&gt;=$J$4,'领用录入（明细）'!C:C&lt;=$L$4),ROW(),"-")</f>
        <v>-</v>
      </c>
    </row>
    <row r="34163" customHeight="1" spans="2:2">
      <c r="B34163" s="62" t="str">
        <f>IF(AND('领用录入（明细）'!D:D=$F$4,'领用录入（明细）'!C:C&gt;=$J$4,'领用录入（明细）'!C:C&lt;=$L$4),ROW(),"-")</f>
        <v>-</v>
      </c>
    </row>
    <row r="34164" customHeight="1" spans="2:2">
      <c r="B34164" s="62" t="str">
        <f>IF(AND('领用录入（明细）'!D:D=$F$4,'领用录入（明细）'!C:C&gt;=$J$4,'领用录入（明细）'!C:C&lt;=$L$4),ROW(),"-")</f>
        <v>-</v>
      </c>
    </row>
    <row r="34165" customHeight="1" spans="2:2">
      <c r="B34165" s="62" t="str">
        <f>IF(AND('领用录入（明细）'!D:D=$F$4,'领用录入（明细）'!C:C&gt;=$J$4,'领用录入（明细）'!C:C&lt;=$L$4),ROW(),"-")</f>
        <v>-</v>
      </c>
    </row>
    <row r="34166" customHeight="1" spans="2:2">
      <c r="B34166" s="62" t="str">
        <f>IF(AND('领用录入（明细）'!D:D=$F$4,'领用录入（明细）'!C:C&gt;=$J$4,'领用录入（明细）'!C:C&lt;=$L$4),ROW(),"-")</f>
        <v>-</v>
      </c>
    </row>
    <row r="34167" customHeight="1" spans="2:2">
      <c r="B34167" s="62" t="str">
        <f>IF(AND('领用录入（明细）'!D:D=$F$4,'领用录入（明细）'!C:C&gt;=$J$4,'领用录入（明细）'!C:C&lt;=$L$4),ROW(),"-")</f>
        <v>-</v>
      </c>
    </row>
    <row r="34168" customHeight="1" spans="2:2">
      <c r="B34168" s="62" t="str">
        <f>IF(AND('领用录入（明细）'!D:D=$F$4,'领用录入（明细）'!C:C&gt;=$J$4,'领用录入（明细）'!C:C&lt;=$L$4),ROW(),"-")</f>
        <v>-</v>
      </c>
    </row>
    <row r="34169" customHeight="1" spans="2:2">
      <c r="B34169" s="62" t="str">
        <f>IF(AND('领用录入（明细）'!D:D=$F$4,'领用录入（明细）'!C:C&gt;=$J$4,'领用录入（明细）'!C:C&lt;=$L$4),ROW(),"-")</f>
        <v>-</v>
      </c>
    </row>
    <row r="34170" customHeight="1" spans="2:2">
      <c r="B34170" s="62" t="str">
        <f>IF(AND('领用录入（明细）'!D:D=$F$4,'领用录入（明细）'!C:C&gt;=$J$4,'领用录入（明细）'!C:C&lt;=$L$4),ROW(),"-")</f>
        <v>-</v>
      </c>
    </row>
    <row r="34171" customHeight="1" spans="2:2">
      <c r="B34171" s="62" t="str">
        <f>IF(AND('领用录入（明细）'!D:D=$F$4,'领用录入（明细）'!C:C&gt;=$J$4,'领用录入（明细）'!C:C&lt;=$L$4),ROW(),"-")</f>
        <v>-</v>
      </c>
    </row>
    <row r="34172" customHeight="1" spans="2:2">
      <c r="B34172" s="62" t="str">
        <f>IF(AND('领用录入（明细）'!D:D=$F$4,'领用录入（明细）'!C:C&gt;=$J$4,'领用录入（明细）'!C:C&lt;=$L$4),ROW(),"-")</f>
        <v>-</v>
      </c>
    </row>
    <row r="34173" customHeight="1" spans="2:2">
      <c r="B34173" s="62" t="str">
        <f>IF(AND('领用录入（明细）'!D:D=$F$4,'领用录入（明细）'!C:C&gt;=$J$4,'领用录入（明细）'!C:C&lt;=$L$4),ROW(),"-")</f>
        <v>-</v>
      </c>
    </row>
    <row r="34174" customHeight="1" spans="2:2">
      <c r="B34174" s="62" t="str">
        <f>IF(AND('领用录入（明细）'!D:D=$F$4,'领用录入（明细）'!C:C&gt;=$J$4,'领用录入（明细）'!C:C&lt;=$L$4),ROW(),"-")</f>
        <v>-</v>
      </c>
    </row>
    <row r="34175" customHeight="1" spans="2:2">
      <c r="B34175" s="62" t="str">
        <f>IF(AND('领用录入（明细）'!D:D=$F$4,'领用录入（明细）'!C:C&gt;=$J$4,'领用录入（明细）'!C:C&lt;=$L$4),ROW(),"-")</f>
        <v>-</v>
      </c>
    </row>
    <row r="34176" customHeight="1" spans="2:2">
      <c r="B34176" s="62" t="str">
        <f>IF(AND('领用录入（明细）'!D:D=$F$4,'领用录入（明细）'!C:C&gt;=$J$4,'领用录入（明细）'!C:C&lt;=$L$4),ROW(),"-")</f>
        <v>-</v>
      </c>
    </row>
    <row r="34177" customHeight="1" spans="2:2">
      <c r="B34177" s="62" t="str">
        <f>IF(AND('领用录入（明细）'!D:D=$F$4,'领用录入（明细）'!C:C&gt;=$J$4,'领用录入（明细）'!C:C&lt;=$L$4),ROW(),"-")</f>
        <v>-</v>
      </c>
    </row>
    <row r="34178" customHeight="1" spans="2:2">
      <c r="B34178" s="62" t="str">
        <f>IF(AND('领用录入（明细）'!D:D=$F$4,'领用录入（明细）'!C:C&gt;=$J$4,'领用录入（明细）'!C:C&lt;=$L$4),ROW(),"-")</f>
        <v>-</v>
      </c>
    </row>
    <row r="34179" customHeight="1" spans="2:2">
      <c r="B34179" s="62" t="str">
        <f>IF(AND('领用录入（明细）'!D:D=$F$4,'领用录入（明细）'!C:C&gt;=$J$4,'领用录入（明细）'!C:C&lt;=$L$4),ROW(),"-")</f>
        <v>-</v>
      </c>
    </row>
    <row r="34180" customHeight="1" spans="2:2">
      <c r="B34180" s="62" t="str">
        <f>IF(AND('领用录入（明细）'!D:D=$F$4,'领用录入（明细）'!C:C&gt;=$J$4,'领用录入（明细）'!C:C&lt;=$L$4),ROW(),"-")</f>
        <v>-</v>
      </c>
    </row>
    <row r="34181" customHeight="1" spans="2:2">
      <c r="B34181" s="62" t="str">
        <f>IF(AND('领用录入（明细）'!D:D=$F$4,'领用录入（明细）'!C:C&gt;=$J$4,'领用录入（明细）'!C:C&lt;=$L$4),ROW(),"-")</f>
        <v>-</v>
      </c>
    </row>
    <row r="34182" customHeight="1" spans="2:2">
      <c r="B34182" s="62" t="str">
        <f>IF(AND('领用录入（明细）'!D:D=$F$4,'领用录入（明细）'!C:C&gt;=$J$4,'领用录入（明细）'!C:C&lt;=$L$4),ROW(),"-")</f>
        <v>-</v>
      </c>
    </row>
    <row r="34183" customHeight="1" spans="2:2">
      <c r="B34183" s="62" t="str">
        <f>IF(AND('领用录入（明细）'!D:D=$F$4,'领用录入（明细）'!C:C&gt;=$J$4,'领用录入（明细）'!C:C&lt;=$L$4),ROW(),"-")</f>
        <v>-</v>
      </c>
    </row>
    <row r="34184" customHeight="1" spans="2:2">
      <c r="B34184" s="62" t="str">
        <f>IF(AND('领用录入（明细）'!D:D=$F$4,'领用录入（明细）'!C:C&gt;=$J$4,'领用录入（明细）'!C:C&lt;=$L$4),ROW(),"-")</f>
        <v>-</v>
      </c>
    </row>
    <row r="34185" customHeight="1" spans="2:2">
      <c r="B34185" s="62" t="str">
        <f>IF(AND('领用录入（明细）'!D:D=$F$4,'领用录入（明细）'!C:C&gt;=$J$4,'领用录入（明细）'!C:C&lt;=$L$4),ROW(),"-")</f>
        <v>-</v>
      </c>
    </row>
    <row r="34186" customHeight="1" spans="2:2">
      <c r="B34186" s="62" t="str">
        <f>IF(AND('领用录入（明细）'!D:D=$F$4,'领用录入（明细）'!C:C&gt;=$J$4,'领用录入（明细）'!C:C&lt;=$L$4),ROW(),"-")</f>
        <v>-</v>
      </c>
    </row>
    <row r="34187" customHeight="1" spans="2:2">
      <c r="B34187" s="62" t="str">
        <f>IF(AND('领用录入（明细）'!D:D=$F$4,'领用录入（明细）'!C:C&gt;=$J$4,'领用录入（明细）'!C:C&lt;=$L$4),ROW(),"-")</f>
        <v>-</v>
      </c>
    </row>
    <row r="34188" customHeight="1" spans="2:2">
      <c r="B34188" s="62" t="str">
        <f>IF(AND('领用录入（明细）'!D:D=$F$4,'领用录入（明细）'!C:C&gt;=$J$4,'领用录入（明细）'!C:C&lt;=$L$4),ROW(),"-")</f>
        <v>-</v>
      </c>
    </row>
    <row r="34189" customHeight="1" spans="2:2">
      <c r="B34189" s="62" t="str">
        <f>IF(AND('领用录入（明细）'!D:D=$F$4,'领用录入（明细）'!C:C&gt;=$J$4,'领用录入（明细）'!C:C&lt;=$L$4),ROW(),"-")</f>
        <v>-</v>
      </c>
    </row>
    <row r="34190" customHeight="1" spans="2:2">
      <c r="B34190" s="62" t="str">
        <f>IF(AND('领用录入（明细）'!D:D=$F$4,'领用录入（明细）'!C:C&gt;=$J$4,'领用录入（明细）'!C:C&lt;=$L$4),ROW(),"-")</f>
        <v>-</v>
      </c>
    </row>
    <row r="34191" customHeight="1" spans="2:2">
      <c r="B34191" s="62" t="str">
        <f>IF(AND('领用录入（明细）'!D:D=$F$4,'领用录入（明细）'!C:C&gt;=$J$4,'领用录入（明细）'!C:C&lt;=$L$4),ROW(),"-")</f>
        <v>-</v>
      </c>
    </row>
    <row r="34192" customHeight="1" spans="2:2">
      <c r="B34192" s="62" t="str">
        <f>IF(AND('领用录入（明细）'!D:D=$F$4,'领用录入（明细）'!C:C&gt;=$J$4,'领用录入（明细）'!C:C&lt;=$L$4),ROW(),"-")</f>
        <v>-</v>
      </c>
    </row>
    <row r="34193" customHeight="1" spans="2:2">
      <c r="B34193" s="62" t="str">
        <f>IF(AND('领用录入（明细）'!D:D=$F$4,'领用录入（明细）'!C:C&gt;=$J$4,'领用录入（明细）'!C:C&lt;=$L$4),ROW(),"-")</f>
        <v>-</v>
      </c>
    </row>
    <row r="34194" customHeight="1" spans="2:2">
      <c r="B34194" s="62" t="str">
        <f>IF(AND('领用录入（明细）'!D:D=$F$4,'领用录入（明细）'!C:C&gt;=$J$4,'领用录入（明细）'!C:C&lt;=$L$4),ROW(),"-")</f>
        <v>-</v>
      </c>
    </row>
    <row r="34195" customHeight="1" spans="2:2">
      <c r="B34195" s="62" t="str">
        <f>IF(AND('领用录入（明细）'!D:D=$F$4,'领用录入（明细）'!C:C&gt;=$J$4,'领用录入（明细）'!C:C&lt;=$L$4),ROW(),"-")</f>
        <v>-</v>
      </c>
    </row>
    <row r="34196" customHeight="1" spans="2:2">
      <c r="B34196" s="62" t="str">
        <f>IF(AND('领用录入（明细）'!D:D=$F$4,'领用录入（明细）'!C:C&gt;=$J$4,'领用录入（明细）'!C:C&lt;=$L$4),ROW(),"-")</f>
        <v>-</v>
      </c>
    </row>
    <row r="34197" customHeight="1" spans="2:2">
      <c r="B34197" s="62" t="str">
        <f>IF(AND('领用录入（明细）'!D:D=$F$4,'领用录入（明细）'!C:C&gt;=$J$4,'领用录入（明细）'!C:C&lt;=$L$4),ROW(),"-")</f>
        <v>-</v>
      </c>
    </row>
    <row r="34198" customHeight="1" spans="2:2">
      <c r="B34198" s="62" t="str">
        <f>IF(AND('领用录入（明细）'!D:D=$F$4,'领用录入（明细）'!C:C&gt;=$J$4,'领用录入（明细）'!C:C&lt;=$L$4),ROW(),"-")</f>
        <v>-</v>
      </c>
    </row>
    <row r="34199" customHeight="1" spans="2:2">
      <c r="B34199" s="62" t="str">
        <f>IF(AND('领用录入（明细）'!D:D=$F$4,'领用录入（明细）'!C:C&gt;=$J$4,'领用录入（明细）'!C:C&lt;=$L$4),ROW(),"-")</f>
        <v>-</v>
      </c>
    </row>
    <row r="34200" customHeight="1" spans="2:2">
      <c r="B34200" s="62" t="str">
        <f>IF(AND('领用录入（明细）'!D:D=$F$4,'领用录入（明细）'!C:C&gt;=$J$4,'领用录入（明细）'!C:C&lt;=$L$4),ROW(),"-")</f>
        <v>-</v>
      </c>
    </row>
    <row r="34201" customHeight="1" spans="2:2">
      <c r="B34201" s="62" t="str">
        <f>IF(AND('领用录入（明细）'!D:D=$F$4,'领用录入（明细）'!C:C&gt;=$J$4,'领用录入（明细）'!C:C&lt;=$L$4),ROW(),"-")</f>
        <v>-</v>
      </c>
    </row>
    <row r="34202" customHeight="1" spans="2:2">
      <c r="B34202" s="62" t="str">
        <f>IF(AND('领用录入（明细）'!D:D=$F$4,'领用录入（明细）'!C:C&gt;=$J$4,'领用录入（明细）'!C:C&lt;=$L$4),ROW(),"-")</f>
        <v>-</v>
      </c>
    </row>
    <row r="34203" customHeight="1" spans="2:2">
      <c r="B34203" s="62" t="str">
        <f>IF(AND('领用录入（明细）'!D:D=$F$4,'领用录入（明细）'!C:C&gt;=$J$4,'领用录入（明细）'!C:C&lt;=$L$4),ROW(),"-")</f>
        <v>-</v>
      </c>
    </row>
    <row r="34204" customHeight="1" spans="2:2">
      <c r="B34204" s="62" t="str">
        <f>IF(AND('领用录入（明细）'!D:D=$F$4,'领用录入（明细）'!C:C&gt;=$J$4,'领用录入（明细）'!C:C&lt;=$L$4),ROW(),"-")</f>
        <v>-</v>
      </c>
    </row>
    <row r="34205" customHeight="1" spans="2:2">
      <c r="B34205" s="62" t="str">
        <f>IF(AND('领用录入（明细）'!D:D=$F$4,'领用录入（明细）'!C:C&gt;=$J$4,'领用录入（明细）'!C:C&lt;=$L$4),ROW(),"-")</f>
        <v>-</v>
      </c>
    </row>
    <row r="34206" customHeight="1" spans="2:2">
      <c r="B34206" s="62" t="str">
        <f>IF(AND('领用录入（明细）'!D:D=$F$4,'领用录入（明细）'!C:C&gt;=$J$4,'领用录入（明细）'!C:C&lt;=$L$4),ROW(),"-")</f>
        <v>-</v>
      </c>
    </row>
    <row r="34207" customHeight="1" spans="2:2">
      <c r="B34207" s="62" t="str">
        <f>IF(AND('领用录入（明细）'!D:D=$F$4,'领用录入（明细）'!C:C&gt;=$J$4,'领用录入（明细）'!C:C&lt;=$L$4),ROW(),"-")</f>
        <v>-</v>
      </c>
    </row>
    <row r="34208" customHeight="1" spans="2:2">
      <c r="B34208" s="62" t="str">
        <f>IF(AND('领用录入（明细）'!D:D=$F$4,'领用录入（明细）'!C:C&gt;=$J$4,'领用录入（明细）'!C:C&lt;=$L$4),ROW(),"-")</f>
        <v>-</v>
      </c>
    </row>
    <row r="34209" customHeight="1" spans="2:2">
      <c r="B34209" s="62" t="str">
        <f>IF(AND('领用录入（明细）'!D:D=$F$4,'领用录入（明细）'!C:C&gt;=$J$4,'领用录入（明细）'!C:C&lt;=$L$4),ROW(),"-")</f>
        <v>-</v>
      </c>
    </row>
    <row r="34210" customHeight="1" spans="2:2">
      <c r="B34210" s="62" t="str">
        <f>IF(AND('领用录入（明细）'!D:D=$F$4,'领用录入（明细）'!C:C&gt;=$J$4,'领用录入（明细）'!C:C&lt;=$L$4),ROW(),"-")</f>
        <v>-</v>
      </c>
    </row>
    <row r="34211" customHeight="1" spans="2:2">
      <c r="B34211" s="62" t="str">
        <f>IF(AND('领用录入（明细）'!D:D=$F$4,'领用录入（明细）'!C:C&gt;=$J$4,'领用录入（明细）'!C:C&lt;=$L$4),ROW(),"-")</f>
        <v>-</v>
      </c>
    </row>
    <row r="34212" customHeight="1" spans="2:2">
      <c r="B34212" s="62" t="str">
        <f>IF(AND('领用录入（明细）'!D:D=$F$4,'领用录入（明细）'!C:C&gt;=$J$4,'领用录入（明细）'!C:C&lt;=$L$4),ROW(),"-")</f>
        <v>-</v>
      </c>
    </row>
    <row r="34213" customHeight="1" spans="2:2">
      <c r="B34213" s="62" t="str">
        <f>IF(AND('领用录入（明细）'!D:D=$F$4,'领用录入（明细）'!C:C&gt;=$J$4,'领用录入（明细）'!C:C&lt;=$L$4),ROW(),"-")</f>
        <v>-</v>
      </c>
    </row>
    <row r="34214" customHeight="1" spans="2:2">
      <c r="B34214" s="62" t="str">
        <f>IF(AND('领用录入（明细）'!D:D=$F$4,'领用录入（明细）'!C:C&gt;=$J$4,'领用录入（明细）'!C:C&lt;=$L$4),ROW(),"-")</f>
        <v>-</v>
      </c>
    </row>
    <row r="34215" customHeight="1" spans="2:2">
      <c r="B34215" s="62" t="str">
        <f>IF(AND('领用录入（明细）'!D:D=$F$4,'领用录入（明细）'!C:C&gt;=$J$4,'领用录入（明细）'!C:C&lt;=$L$4),ROW(),"-")</f>
        <v>-</v>
      </c>
    </row>
    <row r="34216" customHeight="1" spans="2:2">
      <c r="B34216" s="62" t="str">
        <f>IF(AND('领用录入（明细）'!D:D=$F$4,'领用录入（明细）'!C:C&gt;=$J$4,'领用录入（明细）'!C:C&lt;=$L$4),ROW(),"-")</f>
        <v>-</v>
      </c>
    </row>
    <row r="34217" customHeight="1" spans="2:2">
      <c r="B34217" s="62" t="str">
        <f>IF(AND('领用录入（明细）'!D:D=$F$4,'领用录入（明细）'!C:C&gt;=$J$4,'领用录入（明细）'!C:C&lt;=$L$4),ROW(),"-")</f>
        <v>-</v>
      </c>
    </row>
    <row r="34218" customHeight="1" spans="2:2">
      <c r="B34218" s="62" t="str">
        <f>IF(AND('领用录入（明细）'!D:D=$F$4,'领用录入（明细）'!C:C&gt;=$J$4,'领用录入（明细）'!C:C&lt;=$L$4),ROW(),"-")</f>
        <v>-</v>
      </c>
    </row>
    <row r="34219" customHeight="1" spans="2:2">
      <c r="B34219" s="62" t="str">
        <f>IF(AND('领用录入（明细）'!D:D=$F$4,'领用录入（明细）'!C:C&gt;=$J$4,'领用录入（明细）'!C:C&lt;=$L$4),ROW(),"-")</f>
        <v>-</v>
      </c>
    </row>
    <row r="34220" customHeight="1" spans="2:2">
      <c r="B34220" s="62" t="str">
        <f>IF(AND('领用录入（明细）'!D:D=$F$4,'领用录入（明细）'!C:C&gt;=$J$4,'领用录入（明细）'!C:C&lt;=$L$4),ROW(),"-")</f>
        <v>-</v>
      </c>
    </row>
    <row r="34221" customHeight="1" spans="2:2">
      <c r="B34221" s="62" t="str">
        <f>IF(AND('领用录入（明细）'!D:D=$F$4,'领用录入（明细）'!C:C&gt;=$J$4,'领用录入（明细）'!C:C&lt;=$L$4),ROW(),"-")</f>
        <v>-</v>
      </c>
    </row>
    <row r="34222" customHeight="1" spans="2:2">
      <c r="B34222" s="62" t="str">
        <f>IF(AND('领用录入（明细）'!D:D=$F$4,'领用录入（明细）'!C:C&gt;=$J$4,'领用录入（明细）'!C:C&lt;=$L$4),ROW(),"-")</f>
        <v>-</v>
      </c>
    </row>
    <row r="34223" customHeight="1" spans="2:2">
      <c r="B34223" s="62" t="str">
        <f>IF(AND('领用录入（明细）'!D:D=$F$4,'领用录入（明细）'!C:C&gt;=$J$4,'领用录入（明细）'!C:C&lt;=$L$4),ROW(),"-")</f>
        <v>-</v>
      </c>
    </row>
    <row r="34224" customHeight="1" spans="2:2">
      <c r="B34224" s="62" t="str">
        <f>IF(AND('领用录入（明细）'!D:D=$F$4,'领用录入（明细）'!C:C&gt;=$J$4,'领用录入（明细）'!C:C&lt;=$L$4),ROW(),"-")</f>
        <v>-</v>
      </c>
    </row>
    <row r="34225" customHeight="1" spans="2:2">
      <c r="B34225" s="62" t="str">
        <f>IF(AND('领用录入（明细）'!D:D=$F$4,'领用录入（明细）'!C:C&gt;=$J$4,'领用录入（明细）'!C:C&lt;=$L$4),ROW(),"-")</f>
        <v>-</v>
      </c>
    </row>
    <row r="34226" customHeight="1" spans="2:2">
      <c r="B34226" s="62" t="str">
        <f>IF(AND('领用录入（明细）'!D:D=$F$4,'领用录入（明细）'!C:C&gt;=$J$4,'领用录入（明细）'!C:C&lt;=$L$4),ROW(),"-")</f>
        <v>-</v>
      </c>
    </row>
    <row r="34227" customHeight="1" spans="2:2">
      <c r="B34227" s="62" t="str">
        <f>IF(AND('领用录入（明细）'!D:D=$F$4,'领用录入（明细）'!C:C&gt;=$J$4,'领用录入（明细）'!C:C&lt;=$L$4),ROW(),"-")</f>
        <v>-</v>
      </c>
    </row>
    <row r="34228" customHeight="1" spans="2:2">
      <c r="B34228" s="62" t="str">
        <f>IF(AND('领用录入（明细）'!D:D=$F$4,'领用录入（明细）'!C:C&gt;=$J$4,'领用录入（明细）'!C:C&lt;=$L$4),ROW(),"-")</f>
        <v>-</v>
      </c>
    </row>
    <row r="34229" customHeight="1" spans="2:2">
      <c r="B34229" s="62" t="str">
        <f>IF(AND('领用录入（明细）'!D:D=$F$4,'领用录入（明细）'!C:C&gt;=$J$4,'领用录入（明细）'!C:C&lt;=$L$4),ROW(),"-")</f>
        <v>-</v>
      </c>
    </row>
    <row r="34230" customHeight="1" spans="2:2">
      <c r="B34230" s="62" t="str">
        <f>IF(AND('领用录入（明细）'!D:D=$F$4,'领用录入（明细）'!C:C&gt;=$J$4,'领用录入（明细）'!C:C&lt;=$L$4),ROW(),"-")</f>
        <v>-</v>
      </c>
    </row>
    <row r="34231" customHeight="1" spans="2:2">
      <c r="B34231" s="62" t="str">
        <f>IF(AND('领用录入（明细）'!D:D=$F$4,'领用录入（明细）'!C:C&gt;=$J$4,'领用录入（明细）'!C:C&lt;=$L$4),ROW(),"-")</f>
        <v>-</v>
      </c>
    </row>
    <row r="34232" customHeight="1" spans="2:2">
      <c r="B34232" s="62" t="str">
        <f>IF(AND('领用录入（明细）'!D:D=$F$4,'领用录入（明细）'!C:C&gt;=$J$4,'领用录入（明细）'!C:C&lt;=$L$4),ROW(),"-")</f>
        <v>-</v>
      </c>
    </row>
    <row r="34233" customHeight="1" spans="2:2">
      <c r="B34233" s="62" t="str">
        <f>IF(AND('领用录入（明细）'!D:D=$F$4,'领用录入（明细）'!C:C&gt;=$J$4,'领用录入（明细）'!C:C&lt;=$L$4),ROW(),"-")</f>
        <v>-</v>
      </c>
    </row>
    <row r="34234" customHeight="1" spans="2:2">
      <c r="B34234" s="62" t="str">
        <f>IF(AND('领用录入（明细）'!D:D=$F$4,'领用录入（明细）'!C:C&gt;=$J$4,'领用录入（明细）'!C:C&lt;=$L$4),ROW(),"-")</f>
        <v>-</v>
      </c>
    </row>
    <row r="34235" customHeight="1" spans="2:2">
      <c r="B34235" s="62" t="str">
        <f>IF(AND('领用录入（明细）'!D:D=$F$4,'领用录入（明细）'!C:C&gt;=$J$4,'领用录入（明细）'!C:C&lt;=$L$4),ROW(),"-")</f>
        <v>-</v>
      </c>
    </row>
    <row r="34236" customHeight="1" spans="2:2">
      <c r="B34236" s="62" t="str">
        <f>IF(AND('领用录入（明细）'!D:D=$F$4,'领用录入（明细）'!C:C&gt;=$J$4,'领用录入（明细）'!C:C&lt;=$L$4),ROW(),"-")</f>
        <v>-</v>
      </c>
    </row>
    <row r="34237" customHeight="1" spans="2:2">
      <c r="B34237" s="62" t="str">
        <f>IF(AND('领用录入（明细）'!D:D=$F$4,'领用录入（明细）'!C:C&gt;=$J$4,'领用录入（明细）'!C:C&lt;=$L$4),ROW(),"-")</f>
        <v>-</v>
      </c>
    </row>
    <row r="34238" customHeight="1" spans="2:2">
      <c r="B34238" s="62" t="str">
        <f>IF(AND('领用录入（明细）'!D:D=$F$4,'领用录入（明细）'!C:C&gt;=$J$4,'领用录入（明细）'!C:C&lt;=$L$4),ROW(),"-")</f>
        <v>-</v>
      </c>
    </row>
    <row r="34239" customHeight="1" spans="2:2">
      <c r="B34239" s="62" t="str">
        <f>IF(AND('领用录入（明细）'!D:D=$F$4,'领用录入（明细）'!C:C&gt;=$J$4,'领用录入（明细）'!C:C&lt;=$L$4),ROW(),"-")</f>
        <v>-</v>
      </c>
    </row>
    <row r="34240" customHeight="1" spans="2:2">
      <c r="B34240" s="62" t="str">
        <f>IF(AND('领用录入（明细）'!D:D=$F$4,'领用录入（明细）'!C:C&gt;=$J$4,'领用录入（明细）'!C:C&lt;=$L$4),ROW(),"-")</f>
        <v>-</v>
      </c>
    </row>
    <row r="34241" customHeight="1" spans="2:2">
      <c r="B34241" s="62" t="str">
        <f>IF(AND('领用录入（明细）'!D:D=$F$4,'领用录入（明细）'!C:C&gt;=$J$4,'领用录入（明细）'!C:C&lt;=$L$4),ROW(),"-")</f>
        <v>-</v>
      </c>
    </row>
    <row r="34242" customHeight="1" spans="2:2">
      <c r="B34242" s="62" t="str">
        <f>IF(AND('领用录入（明细）'!D:D=$F$4,'领用录入（明细）'!C:C&gt;=$J$4,'领用录入（明细）'!C:C&lt;=$L$4),ROW(),"-")</f>
        <v>-</v>
      </c>
    </row>
    <row r="34243" customHeight="1" spans="2:2">
      <c r="B34243" s="62" t="str">
        <f>IF(AND('领用录入（明细）'!D:D=$F$4,'领用录入（明细）'!C:C&gt;=$J$4,'领用录入（明细）'!C:C&lt;=$L$4),ROW(),"-")</f>
        <v>-</v>
      </c>
    </row>
    <row r="34244" customHeight="1" spans="2:2">
      <c r="B34244" s="62" t="str">
        <f>IF(AND('领用录入（明细）'!D:D=$F$4,'领用录入（明细）'!C:C&gt;=$J$4,'领用录入（明细）'!C:C&lt;=$L$4),ROW(),"-")</f>
        <v>-</v>
      </c>
    </row>
    <row r="34245" customHeight="1" spans="2:2">
      <c r="B34245" s="62" t="str">
        <f>IF(AND('领用录入（明细）'!D:D=$F$4,'领用录入（明细）'!C:C&gt;=$J$4,'领用录入（明细）'!C:C&lt;=$L$4),ROW(),"-")</f>
        <v>-</v>
      </c>
    </row>
    <row r="34246" customHeight="1" spans="2:2">
      <c r="B34246" s="62" t="str">
        <f>IF(AND('领用录入（明细）'!D:D=$F$4,'领用录入（明细）'!C:C&gt;=$J$4,'领用录入（明细）'!C:C&lt;=$L$4),ROW(),"-")</f>
        <v>-</v>
      </c>
    </row>
    <row r="34247" customHeight="1" spans="2:2">
      <c r="B34247" s="62" t="str">
        <f>IF(AND('领用录入（明细）'!D:D=$F$4,'领用录入（明细）'!C:C&gt;=$J$4,'领用录入（明细）'!C:C&lt;=$L$4),ROW(),"-")</f>
        <v>-</v>
      </c>
    </row>
    <row r="34248" customHeight="1" spans="2:2">
      <c r="B34248" s="62" t="str">
        <f>IF(AND('领用录入（明细）'!D:D=$F$4,'领用录入（明细）'!C:C&gt;=$J$4,'领用录入（明细）'!C:C&lt;=$L$4),ROW(),"-")</f>
        <v>-</v>
      </c>
    </row>
    <row r="34249" customHeight="1" spans="2:2">
      <c r="B34249" s="62" t="str">
        <f>IF(AND('领用录入（明细）'!D:D=$F$4,'领用录入（明细）'!C:C&gt;=$J$4,'领用录入（明细）'!C:C&lt;=$L$4),ROW(),"-")</f>
        <v>-</v>
      </c>
    </row>
    <row r="34250" customHeight="1" spans="2:2">
      <c r="B34250" s="62" t="str">
        <f>IF(AND('领用录入（明细）'!D:D=$F$4,'领用录入（明细）'!C:C&gt;=$J$4,'领用录入（明细）'!C:C&lt;=$L$4),ROW(),"-")</f>
        <v>-</v>
      </c>
    </row>
    <row r="34251" customHeight="1" spans="2:2">
      <c r="B34251" s="62" t="str">
        <f>IF(AND('领用录入（明细）'!D:D=$F$4,'领用录入（明细）'!C:C&gt;=$J$4,'领用录入（明细）'!C:C&lt;=$L$4),ROW(),"-")</f>
        <v>-</v>
      </c>
    </row>
    <row r="34252" customHeight="1" spans="2:2">
      <c r="B34252" s="62" t="str">
        <f>IF(AND('领用录入（明细）'!D:D=$F$4,'领用录入（明细）'!C:C&gt;=$J$4,'领用录入（明细）'!C:C&lt;=$L$4),ROW(),"-")</f>
        <v>-</v>
      </c>
    </row>
    <row r="34253" customHeight="1" spans="2:2">
      <c r="B34253" s="62" t="str">
        <f>IF(AND('领用录入（明细）'!D:D=$F$4,'领用录入（明细）'!C:C&gt;=$J$4,'领用录入（明细）'!C:C&lt;=$L$4),ROW(),"-")</f>
        <v>-</v>
      </c>
    </row>
    <row r="34254" customHeight="1" spans="2:2">
      <c r="B34254" s="62" t="str">
        <f>IF(AND('领用录入（明细）'!D:D=$F$4,'领用录入（明细）'!C:C&gt;=$J$4,'领用录入（明细）'!C:C&lt;=$L$4),ROW(),"-")</f>
        <v>-</v>
      </c>
    </row>
    <row r="34255" customHeight="1" spans="2:2">
      <c r="B34255" s="62" t="str">
        <f>IF(AND('领用录入（明细）'!D:D=$F$4,'领用录入（明细）'!C:C&gt;=$J$4,'领用录入（明细）'!C:C&lt;=$L$4),ROW(),"-")</f>
        <v>-</v>
      </c>
    </row>
    <row r="34256" customHeight="1" spans="2:2">
      <c r="B34256" s="62" t="str">
        <f>IF(AND('领用录入（明细）'!D:D=$F$4,'领用录入（明细）'!C:C&gt;=$J$4,'领用录入（明细）'!C:C&lt;=$L$4),ROW(),"-")</f>
        <v>-</v>
      </c>
    </row>
    <row r="34257" customHeight="1" spans="2:2">
      <c r="B34257" s="62" t="str">
        <f>IF(AND('领用录入（明细）'!D:D=$F$4,'领用录入（明细）'!C:C&gt;=$J$4,'领用录入（明细）'!C:C&lt;=$L$4),ROW(),"-")</f>
        <v>-</v>
      </c>
    </row>
    <row r="34258" customHeight="1" spans="2:2">
      <c r="B34258" s="62" t="str">
        <f>IF(AND('领用录入（明细）'!D:D=$F$4,'领用录入（明细）'!C:C&gt;=$J$4,'领用录入（明细）'!C:C&lt;=$L$4),ROW(),"-")</f>
        <v>-</v>
      </c>
    </row>
    <row r="34259" customHeight="1" spans="2:2">
      <c r="B34259" s="62" t="str">
        <f>IF(AND('领用录入（明细）'!D:D=$F$4,'领用录入（明细）'!C:C&gt;=$J$4,'领用录入（明细）'!C:C&lt;=$L$4),ROW(),"-")</f>
        <v>-</v>
      </c>
    </row>
    <row r="34260" customHeight="1" spans="2:2">
      <c r="B34260" s="62" t="str">
        <f>IF(AND('领用录入（明细）'!D:D=$F$4,'领用录入（明细）'!C:C&gt;=$J$4,'领用录入（明细）'!C:C&lt;=$L$4),ROW(),"-")</f>
        <v>-</v>
      </c>
    </row>
    <row r="34261" customHeight="1" spans="2:2">
      <c r="B34261" s="62" t="str">
        <f>IF(AND('领用录入（明细）'!D:D=$F$4,'领用录入（明细）'!C:C&gt;=$J$4,'领用录入（明细）'!C:C&lt;=$L$4),ROW(),"-")</f>
        <v>-</v>
      </c>
    </row>
    <row r="34262" customHeight="1" spans="2:2">
      <c r="B34262" s="62" t="str">
        <f>IF(AND('领用录入（明细）'!D:D=$F$4,'领用录入（明细）'!C:C&gt;=$J$4,'领用录入（明细）'!C:C&lt;=$L$4),ROW(),"-")</f>
        <v>-</v>
      </c>
    </row>
    <row r="34263" customHeight="1" spans="2:2">
      <c r="B34263" s="62" t="str">
        <f>IF(AND('领用录入（明细）'!D:D=$F$4,'领用录入（明细）'!C:C&gt;=$J$4,'领用录入（明细）'!C:C&lt;=$L$4),ROW(),"-")</f>
        <v>-</v>
      </c>
    </row>
    <row r="34264" customHeight="1" spans="2:2">
      <c r="B34264" s="62" t="str">
        <f>IF(AND('领用录入（明细）'!D:D=$F$4,'领用录入（明细）'!C:C&gt;=$J$4,'领用录入（明细）'!C:C&lt;=$L$4),ROW(),"-")</f>
        <v>-</v>
      </c>
    </row>
    <row r="34265" customHeight="1" spans="2:2">
      <c r="B34265" s="62" t="str">
        <f>IF(AND('领用录入（明细）'!D:D=$F$4,'领用录入（明细）'!C:C&gt;=$J$4,'领用录入（明细）'!C:C&lt;=$L$4),ROW(),"-")</f>
        <v>-</v>
      </c>
    </row>
    <row r="34266" customHeight="1" spans="2:2">
      <c r="B34266" s="62" t="str">
        <f>IF(AND('领用录入（明细）'!D:D=$F$4,'领用录入（明细）'!C:C&gt;=$J$4,'领用录入（明细）'!C:C&lt;=$L$4),ROW(),"-")</f>
        <v>-</v>
      </c>
    </row>
    <row r="34267" customHeight="1" spans="2:2">
      <c r="B34267" s="62" t="str">
        <f>IF(AND('领用录入（明细）'!D:D=$F$4,'领用录入（明细）'!C:C&gt;=$J$4,'领用录入（明细）'!C:C&lt;=$L$4),ROW(),"-")</f>
        <v>-</v>
      </c>
    </row>
    <row r="34268" customHeight="1" spans="2:2">
      <c r="B34268" s="62" t="str">
        <f>IF(AND('领用录入（明细）'!D:D=$F$4,'领用录入（明细）'!C:C&gt;=$J$4,'领用录入（明细）'!C:C&lt;=$L$4),ROW(),"-")</f>
        <v>-</v>
      </c>
    </row>
    <row r="34269" customHeight="1" spans="2:2">
      <c r="B34269" s="62" t="str">
        <f>IF(AND('领用录入（明细）'!D:D=$F$4,'领用录入（明细）'!C:C&gt;=$J$4,'领用录入（明细）'!C:C&lt;=$L$4),ROW(),"-")</f>
        <v>-</v>
      </c>
    </row>
    <row r="34270" customHeight="1" spans="2:2">
      <c r="B34270" s="62" t="str">
        <f>IF(AND('领用录入（明细）'!D:D=$F$4,'领用录入（明细）'!C:C&gt;=$J$4,'领用录入（明细）'!C:C&lt;=$L$4),ROW(),"-")</f>
        <v>-</v>
      </c>
    </row>
    <row r="34271" customHeight="1" spans="2:2">
      <c r="B34271" s="62" t="str">
        <f>IF(AND('领用录入（明细）'!D:D=$F$4,'领用录入（明细）'!C:C&gt;=$J$4,'领用录入（明细）'!C:C&lt;=$L$4),ROW(),"-")</f>
        <v>-</v>
      </c>
    </row>
    <row r="34272" customHeight="1" spans="2:2">
      <c r="B34272" s="62" t="str">
        <f>IF(AND('领用录入（明细）'!D:D=$F$4,'领用录入（明细）'!C:C&gt;=$J$4,'领用录入（明细）'!C:C&lt;=$L$4),ROW(),"-")</f>
        <v>-</v>
      </c>
    </row>
    <row r="34273" customHeight="1" spans="2:2">
      <c r="B34273" s="62" t="str">
        <f>IF(AND('领用录入（明细）'!D:D=$F$4,'领用录入（明细）'!C:C&gt;=$J$4,'领用录入（明细）'!C:C&lt;=$L$4),ROW(),"-")</f>
        <v>-</v>
      </c>
    </row>
    <row r="34274" customHeight="1" spans="2:2">
      <c r="B34274" s="62" t="str">
        <f>IF(AND('领用录入（明细）'!D:D=$F$4,'领用录入（明细）'!C:C&gt;=$J$4,'领用录入（明细）'!C:C&lt;=$L$4),ROW(),"-")</f>
        <v>-</v>
      </c>
    </row>
    <row r="34275" customHeight="1" spans="2:2">
      <c r="B34275" s="62" t="str">
        <f>IF(AND('领用录入（明细）'!D:D=$F$4,'领用录入（明细）'!C:C&gt;=$J$4,'领用录入（明细）'!C:C&lt;=$L$4),ROW(),"-")</f>
        <v>-</v>
      </c>
    </row>
    <row r="34276" customHeight="1" spans="2:2">
      <c r="B34276" s="62" t="str">
        <f>IF(AND('领用录入（明细）'!D:D=$F$4,'领用录入（明细）'!C:C&gt;=$J$4,'领用录入（明细）'!C:C&lt;=$L$4),ROW(),"-")</f>
        <v>-</v>
      </c>
    </row>
    <row r="34277" customHeight="1" spans="2:2">
      <c r="B34277" s="62" t="str">
        <f>IF(AND('领用录入（明细）'!D:D=$F$4,'领用录入（明细）'!C:C&gt;=$J$4,'领用录入（明细）'!C:C&lt;=$L$4),ROW(),"-")</f>
        <v>-</v>
      </c>
    </row>
    <row r="34278" customHeight="1" spans="2:2">
      <c r="B34278" s="62" t="str">
        <f>IF(AND('领用录入（明细）'!D:D=$F$4,'领用录入（明细）'!C:C&gt;=$J$4,'领用录入（明细）'!C:C&lt;=$L$4),ROW(),"-")</f>
        <v>-</v>
      </c>
    </row>
    <row r="34279" customHeight="1" spans="2:2">
      <c r="B34279" s="62" t="str">
        <f>IF(AND('领用录入（明细）'!D:D=$F$4,'领用录入（明细）'!C:C&gt;=$J$4,'领用录入（明细）'!C:C&lt;=$L$4),ROW(),"-")</f>
        <v>-</v>
      </c>
    </row>
    <row r="34280" customHeight="1" spans="2:2">
      <c r="B34280" s="62" t="str">
        <f>IF(AND('领用录入（明细）'!D:D=$F$4,'领用录入（明细）'!C:C&gt;=$J$4,'领用录入（明细）'!C:C&lt;=$L$4),ROW(),"-")</f>
        <v>-</v>
      </c>
    </row>
    <row r="34281" customHeight="1" spans="2:2">
      <c r="B34281" s="62" t="str">
        <f>IF(AND('领用录入（明细）'!D:D=$F$4,'领用录入（明细）'!C:C&gt;=$J$4,'领用录入（明细）'!C:C&lt;=$L$4),ROW(),"-")</f>
        <v>-</v>
      </c>
    </row>
    <row r="34282" customHeight="1" spans="2:2">
      <c r="B34282" s="62" t="str">
        <f>IF(AND('领用录入（明细）'!D:D=$F$4,'领用录入（明细）'!C:C&gt;=$J$4,'领用录入（明细）'!C:C&lt;=$L$4),ROW(),"-")</f>
        <v>-</v>
      </c>
    </row>
    <row r="34283" customHeight="1" spans="2:2">
      <c r="B34283" s="62" t="str">
        <f>IF(AND('领用录入（明细）'!D:D=$F$4,'领用录入（明细）'!C:C&gt;=$J$4,'领用录入（明细）'!C:C&lt;=$L$4),ROW(),"-")</f>
        <v>-</v>
      </c>
    </row>
    <row r="34284" customHeight="1" spans="2:2">
      <c r="B34284" s="62" t="str">
        <f>IF(AND('领用录入（明细）'!D:D=$F$4,'领用录入（明细）'!C:C&gt;=$J$4,'领用录入（明细）'!C:C&lt;=$L$4),ROW(),"-")</f>
        <v>-</v>
      </c>
    </row>
    <row r="34285" customHeight="1" spans="2:2">
      <c r="B34285" s="62" t="str">
        <f>IF(AND('领用录入（明细）'!D:D=$F$4,'领用录入（明细）'!C:C&gt;=$J$4,'领用录入（明细）'!C:C&lt;=$L$4),ROW(),"-")</f>
        <v>-</v>
      </c>
    </row>
    <row r="34286" customHeight="1" spans="2:2">
      <c r="B34286" s="62" t="str">
        <f>IF(AND('领用录入（明细）'!D:D=$F$4,'领用录入（明细）'!C:C&gt;=$J$4,'领用录入（明细）'!C:C&lt;=$L$4),ROW(),"-")</f>
        <v>-</v>
      </c>
    </row>
    <row r="34287" customHeight="1" spans="2:2">
      <c r="B34287" s="62" t="str">
        <f>IF(AND('领用录入（明细）'!D:D=$F$4,'领用录入（明细）'!C:C&gt;=$J$4,'领用录入（明细）'!C:C&lt;=$L$4),ROW(),"-")</f>
        <v>-</v>
      </c>
    </row>
    <row r="34288" customHeight="1" spans="2:2">
      <c r="B34288" s="62" t="str">
        <f>IF(AND('领用录入（明细）'!D:D=$F$4,'领用录入（明细）'!C:C&gt;=$J$4,'领用录入（明细）'!C:C&lt;=$L$4),ROW(),"-")</f>
        <v>-</v>
      </c>
    </row>
    <row r="34289" customHeight="1" spans="2:2">
      <c r="B34289" s="62" t="str">
        <f>IF(AND('领用录入（明细）'!D:D=$F$4,'领用录入（明细）'!C:C&gt;=$J$4,'领用录入（明细）'!C:C&lt;=$L$4),ROW(),"-")</f>
        <v>-</v>
      </c>
    </row>
    <row r="34290" customHeight="1" spans="2:2">
      <c r="B34290" s="62" t="str">
        <f>IF(AND('领用录入（明细）'!D:D=$F$4,'领用录入（明细）'!C:C&gt;=$J$4,'领用录入（明细）'!C:C&lt;=$L$4),ROW(),"-")</f>
        <v>-</v>
      </c>
    </row>
    <row r="34291" customHeight="1" spans="2:2">
      <c r="B34291" s="62" t="str">
        <f>IF(AND('领用录入（明细）'!D:D=$F$4,'领用录入（明细）'!C:C&gt;=$J$4,'领用录入（明细）'!C:C&lt;=$L$4),ROW(),"-")</f>
        <v>-</v>
      </c>
    </row>
    <row r="34292" customHeight="1" spans="2:2">
      <c r="B34292" s="62" t="str">
        <f>IF(AND('领用录入（明细）'!D:D=$F$4,'领用录入（明细）'!C:C&gt;=$J$4,'领用录入（明细）'!C:C&lt;=$L$4),ROW(),"-")</f>
        <v>-</v>
      </c>
    </row>
    <row r="34293" customHeight="1" spans="2:2">
      <c r="B34293" s="62" t="str">
        <f>IF(AND('领用录入（明细）'!D:D=$F$4,'领用录入（明细）'!C:C&gt;=$J$4,'领用录入（明细）'!C:C&lt;=$L$4),ROW(),"-")</f>
        <v>-</v>
      </c>
    </row>
    <row r="34294" customHeight="1" spans="2:2">
      <c r="B34294" s="62" t="str">
        <f>IF(AND('领用录入（明细）'!D:D=$F$4,'领用录入（明细）'!C:C&gt;=$J$4,'领用录入（明细）'!C:C&lt;=$L$4),ROW(),"-")</f>
        <v>-</v>
      </c>
    </row>
    <row r="34295" customHeight="1" spans="2:2">
      <c r="B34295" s="62" t="str">
        <f>IF(AND('领用录入（明细）'!D:D=$F$4,'领用录入（明细）'!C:C&gt;=$J$4,'领用录入（明细）'!C:C&lt;=$L$4),ROW(),"-")</f>
        <v>-</v>
      </c>
    </row>
    <row r="34296" customHeight="1" spans="2:2">
      <c r="B34296" s="62" t="str">
        <f>IF(AND('领用录入（明细）'!D:D=$F$4,'领用录入（明细）'!C:C&gt;=$J$4,'领用录入（明细）'!C:C&lt;=$L$4),ROW(),"-")</f>
        <v>-</v>
      </c>
    </row>
    <row r="34297" customHeight="1" spans="2:2">
      <c r="B34297" s="62" t="str">
        <f>IF(AND('领用录入（明细）'!D:D=$F$4,'领用录入（明细）'!C:C&gt;=$J$4,'领用录入（明细）'!C:C&lt;=$L$4),ROW(),"-")</f>
        <v>-</v>
      </c>
    </row>
    <row r="34298" customHeight="1" spans="2:2">
      <c r="B34298" s="62" t="str">
        <f>IF(AND('领用录入（明细）'!D:D=$F$4,'领用录入（明细）'!C:C&gt;=$J$4,'领用录入（明细）'!C:C&lt;=$L$4),ROW(),"-")</f>
        <v>-</v>
      </c>
    </row>
    <row r="34299" customHeight="1" spans="2:2">
      <c r="B34299" s="62" t="str">
        <f>IF(AND('领用录入（明细）'!D:D=$F$4,'领用录入（明细）'!C:C&gt;=$J$4,'领用录入（明细）'!C:C&lt;=$L$4),ROW(),"-")</f>
        <v>-</v>
      </c>
    </row>
    <row r="34300" customHeight="1" spans="2:2">
      <c r="B34300" s="62" t="str">
        <f>IF(AND('领用录入（明细）'!D:D=$F$4,'领用录入（明细）'!C:C&gt;=$J$4,'领用录入（明细）'!C:C&lt;=$L$4),ROW(),"-")</f>
        <v>-</v>
      </c>
    </row>
    <row r="34301" customHeight="1" spans="2:2">
      <c r="B34301" s="62" t="str">
        <f>IF(AND('领用录入（明细）'!D:D=$F$4,'领用录入（明细）'!C:C&gt;=$J$4,'领用录入（明细）'!C:C&lt;=$L$4),ROW(),"-")</f>
        <v>-</v>
      </c>
    </row>
    <row r="34302" customHeight="1" spans="2:2">
      <c r="B34302" s="62" t="str">
        <f>IF(AND('领用录入（明细）'!D:D=$F$4,'领用录入（明细）'!C:C&gt;=$J$4,'领用录入（明细）'!C:C&lt;=$L$4),ROW(),"-")</f>
        <v>-</v>
      </c>
    </row>
    <row r="34303" customHeight="1" spans="2:2">
      <c r="B34303" s="62" t="str">
        <f>IF(AND('领用录入（明细）'!D:D=$F$4,'领用录入（明细）'!C:C&gt;=$J$4,'领用录入（明细）'!C:C&lt;=$L$4),ROW(),"-")</f>
        <v>-</v>
      </c>
    </row>
    <row r="34304" customHeight="1" spans="2:2">
      <c r="B34304" s="62" t="str">
        <f>IF(AND('领用录入（明细）'!D:D=$F$4,'领用录入（明细）'!C:C&gt;=$J$4,'领用录入（明细）'!C:C&lt;=$L$4),ROW(),"-")</f>
        <v>-</v>
      </c>
    </row>
    <row r="34305" customHeight="1" spans="2:2">
      <c r="B34305" s="62" t="str">
        <f>IF(AND('领用录入（明细）'!D:D=$F$4,'领用录入（明细）'!C:C&gt;=$J$4,'领用录入（明细）'!C:C&lt;=$L$4),ROW(),"-")</f>
        <v>-</v>
      </c>
    </row>
    <row r="34306" customHeight="1" spans="2:2">
      <c r="B34306" s="62" t="str">
        <f>IF(AND('领用录入（明细）'!D:D=$F$4,'领用录入（明细）'!C:C&gt;=$J$4,'领用录入（明细）'!C:C&lt;=$L$4),ROW(),"-")</f>
        <v>-</v>
      </c>
    </row>
    <row r="34307" customHeight="1" spans="2:2">
      <c r="B34307" s="62" t="str">
        <f>IF(AND('领用录入（明细）'!D:D=$F$4,'领用录入（明细）'!C:C&gt;=$J$4,'领用录入（明细）'!C:C&lt;=$L$4),ROW(),"-")</f>
        <v>-</v>
      </c>
    </row>
    <row r="34308" customHeight="1" spans="2:2">
      <c r="B34308" s="62" t="str">
        <f>IF(AND('领用录入（明细）'!D:D=$F$4,'领用录入（明细）'!C:C&gt;=$J$4,'领用录入（明细）'!C:C&lt;=$L$4),ROW(),"-")</f>
        <v>-</v>
      </c>
    </row>
    <row r="34309" customHeight="1" spans="2:2">
      <c r="B34309" s="62" t="str">
        <f>IF(AND('领用录入（明细）'!D:D=$F$4,'领用录入（明细）'!C:C&gt;=$J$4,'领用录入（明细）'!C:C&lt;=$L$4),ROW(),"-")</f>
        <v>-</v>
      </c>
    </row>
    <row r="34310" customHeight="1" spans="2:2">
      <c r="B34310" s="62" t="str">
        <f>IF(AND('领用录入（明细）'!D:D=$F$4,'领用录入（明细）'!C:C&gt;=$J$4,'领用录入（明细）'!C:C&lt;=$L$4),ROW(),"-")</f>
        <v>-</v>
      </c>
    </row>
    <row r="34311" customHeight="1" spans="2:2">
      <c r="B34311" s="62" t="str">
        <f>IF(AND('领用录入（明细）'!D:D=$F$4,'领用录入（明细）'!C:C&gt;=$J$4,'领用录入（明细）'!C:C&lt;=$L$4),ROW(),"-")</f>
        <v>-</v>
      </c>
    </row>
    <row r="34312" customHeight="1" spans="2:2">
      <c r="B34312" s="62" t="str">
        <f>IF(AND('领用录入（明细）'!D:D=$F$4,'领用录入（明细）'!C:C&gt;=$J$4,'领用录入（明细）'!C:C&lt;=$L$4),ROW(),"-")</f>
        <v>-</v>
      </c>
    </row>
    <row r="34313" customHeight="1" spans="2:2">
      <c r="B34313" s="62" t="str">
        <f>IF(AND('领用录入（明细）'!D:D=$F$4,'领用录入（明细）'!C:C&gt;=$J$4,'领用录入（明细）'!C:C&lt;=$L$4),ROW(),"-")</f>
        <v>-</v>
      </c>
    </row>
    <row r="34314" customHeight="1" spans="2:2">
      <c r="B34314" s="62" t="str">
        <f>IF(AND('领用录入（明细）'!D:D=$F$4,'领用录入（明细）'!C:C&gt;=$J$4,'领用录入（明细）'!C:C&lt;=$L$4),ROW(),"-")</f>
        <v>-</v>
      </c>
    </row>
    <row r="34315" customHeight="1" spans="2:2">
      <c r="B34315" s="62" t="str">
        <f>IF(AND('领用录入（明细）'!D:D=$F$4,'领用录入（明细）'!C:C&gt;=$J$4,'领用录入（明细）'!C:C&lt;=$L$4),ROW(),"-")</f>
        <v>-</v>
      </c>
    </row>
    <row r="34316" customHeight="1" spans="2:2">
      <c r="B34316" s="62" t="str">
        <f>IF(AND('领用录入（明细）'!D:D=$F$4,'领用录入（明细）'!C:C&gt;=$J$4,'领用录入（明细）'!C:C&lt;=$L$4),ROW(),"-")</f>
        <v>-</v>
      </c>
    </row>
    <row r="34317" customHeight="1" spans="2:2">
      <c r="B34317" s="62" t="str">
        <f>IF(AND('领用录入（明细）'!D:D=$F$4,'领用录入（明细）'!C:C&gt;=$J$4,'领用录入（明细）'!C:C&lt;=$L$4),ROW(),"-")</f>
        <v>-</v>
      </c>
    </row>
    <row r="34318" customHeight="1" spans="2:2">
      <c r="B34318" s="62" t="str">
        <f>IF(AND('领用录入（明细）'!D:D=$F$4,'领用录入（明细）'!C:C&gt;=$J$4,'领用录入（明细）'!C:C&lt;=$L$4),ROW(),"-")</f>
        <v>-</v>
      </c>
    </row>
    <row r="34319" customHeight="1" spans="2:2">
      <c r="B34319" s="62" t="str">
        <f>IF(AND('领用录入（明细）'!D:D=$F$4,'领用录入（明细）'!C:C&gt;=$J$4,'领用录入（明细）'!C:C&lt;=$L$4),ROW(),"-")</f>
        <v>-</v>
      </c>
    </row>
    <row r="34320" customHeight="1" spans="2:2">
      <c r="B34320" s="62" t="str">
        <f>IF(AND('领用录入（明细）'!D:D=$F$4,'领用录入（明细）'!C:C&gt;=$J$4,'领用录入（明细）'!C:C&lt;=$L$4),ROW(),"-")</f>
        <v>-</v>
      </c>
    </row>
    <row r="34321" customHeight="1" spans="2:2">
      <c r="B34321" s="62" t="str">
        <f>IF(AND('领用录入（明细）'!D:D=$F$4,'领用录入（明细）'!C:C&gt;=$J$4,'领用录入（明细）'!C:C&lt;=$L$4),ROW(),"-")</f>
        <v>-</v>
      </c>
    </row>
    <row r="34322" customHeight="1" spans="2:2">
      <c r="B34322" s="62" t="str">
        <f>IF(AND('领用录入（明细）'!D:D=$F$4,'领用录入（明细）'!C:C&gt;=$J$4,'领用录入（明细）'!C:C&lt;=$L$4),ROW(),"-")</f>
        <v>-</v>
      </c>
    </row>
    <row r="34323" customHeight="1" spans="2:2">
      <c r="B34323" s="62" t="str">
        <f>IF(AND('领用录入（明细）'!D:D=$F$4,'领用录入（明细）'!C:C&gt;=$J$4,'领用录入（明细）'!C:C&lt;=$L$4),ROW(),"-")</f>
        <v>-</v>
      </c>
    </row>
    <row r="34324" customHeight="1" spans="2:2">
      <c r="B34324" s="62" t="str">
        <f>IF(AND('领用录入（明细）'!D:D=$F$4,'领用录入（明细）'!C:C&gt;=$J$4,'领用录入（明细）'!C:C&lt;=$L$4),ROW(),"-")</f>
        <v>-</v>
      </c>
    </row>
    <row r="34325" customHeight="1" spans="2:2">
      <c r="B34325" s="62" t="str">
        <f>IF(AND('领用录入（明细）'!D:D=$F$4,'领用录入（明细）'!C:C&gt;=$J$4,'领用录入（明细）'!C:C&lt;=$L$4),ROW(),"-")</f>
        <v>-</v>
      </c>
    </row>
    <row r="34326" customHeight="1" spans="2:2">
      <c r="B34326" s="62" t="str">
        <f>IF(AND('领用录入（明细）'!D:D=$F$4,'领用录入（明细）'!C:C&gt;=$J$4,'领用录入（明细）'!C:C&lt;=$L$4),ROW(),"-")</f>
        <v>-</v>
      </c>
    </row>
    <row r="34327" customHeight="1" spans="2:2">
      <c r="B34327" s="62" t="str">
        <f>IF(AND('领用录入（明细）'!D:D=$F$4,'领用录入（明细）'!C:C&gt;=$J$4,'领用录入（明细）'!C:C&lt;=$L$4),ROW(),"-")</f>
        <v>-</v>
      </c>
    </row>
    <row r="34328" customHeight="1" spans="2:2">
      <c r="B34328" s="62" t="str">
        <f>IF(AND('领用录入（明细）'!D:D=$F$4,'领用录入（明细）'!C:C&gt;=$J$4,'领用录入（明细）'!C:C&lt;=$L$4),ROW(),"-")</f>
        <v>-</v>
      </c>
    </row>
    <row r="34329" customHeight="1" spans="2:2">
      <c r="B34329" s="62" t="str">
        <f>IF(AND('领用录入（明细）'!D:D=$F$4,'领用录入（明细）'!C:C&gt;=$J$4,'领用录入（明细）'!C:C&lt;=$L$4),ROW(),"-")</f>
        <v>-</v>
      </c>
    </row>
    <row r="34330" customHeight="1" spans="2:2">
      <c r="B34330" s="62" t="str">
        <f>IF(AND('领用录入（明细）'!D:D=$F$4,'领用录入（明细）'!C:C&gt;=$J$4,'领用录入（明细）'!C:C&lt;=$L$4),ROW(),"-")</f>
        <v>-</v>
      </c>
    </row>
    <row r="34331" customHeight="1" spans="2:2">
      <c r="B34331" s="62" t="str">
        <f>IF(AND('领用录入（明细）'!D:D=$F$4,'领用录入（明细）'!C:C&gt;=$J$4,'领用录入（明细）'!C:C&lt;=$L$4),ROW(),"-")</f>
        <v>-</v>
      </c>
    </row>
    <row r="34332" customHeight="1" spans="2:2">
      <c r="B34332" s="62" t="str">
        <f>IF(AND('领用录入（明细）'!D:D=$F$4,'领用录入（明细）'!C:C&gt;=$J$4,'领用录入（明细）'!C:C&lt;=$L$4),ROW(),"-")</f>
        <v>-</v>
      </c>
    </row>
    <row r="34333" customHeight="1" spans="2:2">
      <c r="B34333" s="62" t="str">
        <f>IF(AND('领用录入（明细）'!D:D=$F$4,'领用录入（明细）'!C:C&gt;=$J$4,'领用录入（明细）'!C:C&lt;=$L$4),ROW(),"-")</f>
        <v>-</v>
      </c>
    </row>
    <row r="34334" customHeight="1" spans="2:2">
      <c r="B34334" s="62" t="str">
        <f>IF(AND('领用录入（明细）'!D:D=$F$4,'领用录入（明细）'!C:C&gt;=$J$4,'领用录入（明细）'!C:C&lt;=$L$4),ROW(),"-")</f>
        <v>-</v>
      </c>
    </row>
    <row r="34335" customHeight="1" spans="2:2">
      <c r="B34335" s="62" t="str">
        <f>IF(AND('领用录入（明细）'!D:D=$F$4,'领用录入（明细）'!C:C&gt;=$J$4,'领用录入（明细）'!C:C&lt;=$L$4),ROW(),"-")</f>
        <v>-</v>
      </c>
    </row>
    <row r="34336" customHeight="1" spans="2:2">
      <c r="B34336" s="62" t="str">
        <f>IF(AND('领用录入（明细）'!D:D=$F$4,'领用录入（明细）'!C:C&gt;=$J$4,'领用录入（明细）'!C:C&lt;=$L$4),ROW(),"-")</f>
        <v>-</v>
      </c>
    </row>
    <row r="34337" customHeight="1" spans="2:2">
      <c r="B34337" s="62" t="str">
        <f>IF(AND('领用录入（明细）'!D:D=$F$4,'领用录入（明细）'!C:C&gt;=$J$4,'领用录入（明细）'!C:C&lt;=$L$4),ROW(),"-")</f>
        <v>-</v>
      </c>
    </row>
    <row r="34338" customHeight="1" spans="2:2">
      <c r="B34338" s="62" t="str">
        <f>IF(AND('领用录入（明细）'!D:D=$F$4,'领用录入（明细）'!C:C&gt;=$J$4,'领用录入（明细）'!C:C&lt;=$L$4),ROW(),"-")</f>
        <v>-</v>
      </c>
    </row>
    <row r="34339" customHeight="1" spans="2:2">
      <c r="B34339" s="62" t="str">
        <f>IF(AND('领用录入（明细）'!D:D=$F$4,'领用录入（明细）'!C:C&gt;=$J$4,'领用录入（明细）'!C:C&lt;=$L$4),ROW(),"-")</f>
        <v>-</v>
      </c>
    </row>
    <row r="34340" customHeight="1" spans="2:2">
      <c r="B34340" s="62" t="str">
        <f>IF(AND('领用录入（明细）'!D:D=$F$4,'领用录入（明细）'!C:C&gt;=$J$4,'领用录入（明细）'!C:C&lt;=$L$4),ROW(),"-")</f>
        <v>-</v>
      </c>
    </row>
    <row r="34341" customHeight="1" spans="2:2">
      <c r="B34341" s="62" t="str">
        <f>IF(AND('领用录入（明细）'!D:D=$F$4,'领用录入（明细）'!C:C&gt;=$J$4,'领用录入（明细）'!C:C&lt;=$L$4),ROW(),"-")</f>
        <v>-</v>
      </c>
    </row>
    <row r="34342" customHeight="1" spans="2:2">
      <c r="B34342" s="62" t="str">
        <f>IF(AND('领用录入（明细）'!D:D=$F$4,'领用录入（明细）'!C:C&gt;=$J$4,'领用录入（明细）'!C:C&lt;=$L$4),ROW(),"-")</f>
        <v>-</v>
      </c>
    </row>
    <row r="34343" customHeight="1" spans="2:2">
      <c r="B34343" s="62" t="str">
        <f>IF(AND('领用录入（明细）'!D:D=$F$4,'领用录入（明细）'!C:C&gt;=$J$4,'领用录入（明细）'!C:C&lt;=$L$4),ROW(),"-")</f>
        <v>-</v>
      </c>
    </row>
    <row r="34344" customHeight="1" spans="2:2">
      <c r="B34344" s="62" t="str">
        <f>IF(AND('领用录入（明细）'!D:D=$F$4,'领用录入（明细）'!C:C&gt;=$J$4,'领用录入（明细）'!C:C&lt;=$L$4),ROW(),"-")</f>
        <v>-</v>
      </c>
    </row>
    <row r="34345" customHeight="1" spans="2:2">
      <c r="B34345" s="62" t="str">
        <f>IF(AND('领用录入（明细）'!D:D=$F$4,'领用录入（明细）'!C:C&gt;=$J$4,'领用录入（明细）'!C:C&lt;=$L$4),ROW(),"-")</f>
        <v>-</v>
      </c>
    </row>
    <row r="34346" customHeight="1" spans="2:2">
      <c r="B34346" s="62" t="str">
        <f>IF(AND('领用录入（明细）'!D:D=$F$4,'领用录入（明细）'!C:C&gt;=$J$4,'领用录入（明细）'!C:C&lt;=$L$4),ROW(),"-")</f>
        <v>-</v>
      </c>
    </row>
    <row r="34347" customHeight="1" spans="2:2">
      <c r="B34347" s="62" t="str">
        <f>IF(AND('领用录入（明细）'!D:D=$F$4,'领用录入（明细）'!C:C&gt;=$J$4,'领用录入（明细）'!C:C&lt;=$L$4),ROW(),"-")</f>
        <v>-</v>
      </c>
    </row>
    <row r="34348" customHeight="1" spans="2:2">
      <c r="B34348" s="62" t="str">
        <f>IF(AND('领用录入（明细）'!D:D=$F$4,'领用录入（明细）'!C:C&gt;=$J$4,'领用录入（明细）'!C:C&lt;=$L$4),ROW(),"-")</f>
        <v>-</v>
      </c>
    </row>
    <row r="34349" customHeight="1" spans="2:2">
      <c r="B34349" s="62" t="str">
        <f>IF(AND('领用录入（明细）'!D:D=$F$4,'领用录入（明细）'!C:C&gt;=$J$4,'领用录入（明细）'!C:C&lt;=$L$4),ROW(),"-")</f>
        <v>-</v>
      </c>
    </row>
    <row r="34350" customHeight="1" spans="2:2">
      <c r="B34350" s="62" t="str">
        <f>IF(AND('领用录入（明细）'!D:D=$F$4,'领用录入（明细）'!C:C&gt;=$J$4,'领用录入（明细）'!C:C&lt;=$L$4),ROW(),"-")</f>
        <v>-</v>
      </c>
    </row>
    <row r="34351" customHeight="1" spans="2:2">
      <c r="B34351" s="62" t="str">
        <f>IF(AND('领用录入（明细）'!D:D=$F$4,'领用录入（明细）'!C:C&gt;=$J$4,'领用录入（明细）'!C:C&lt;=$L$4),ROW(),"-")</f>
        <v>-</v>
      </c>
    </row>
    <row r="34352" customHeight="1" spans="2:2">
      <c r="B34352" s="62" t="str">
        <f>IF(AND('领用录入（明细）'!D:D=$F$4,'领用录入（明细）'!C:C&gt;=$J$4,'领用录入（明细）'!C:C&lt;=$L$4),ROW(),"-")</f>
        <v>-</v>
      </c>
    </row>
    <row r="34353" customHeight="1" spans="2:2">
      <c r="B34353" s="62" t="str">
        <f>IF(AND('领用录入（明细）'!D:D=$F$4,'领用录入（明细）'!C:C&gt;=$J$4,'领用录入（明细）'!C:C&lt;=$L$4),ROW(),"-")</f>
        <v>-</v>
      </c>
    </row>
    <row r="34354" customHeight="1" spans="2:2">
      <c r="B34354" s="62" t="str">
        <f>IF(AND('领用录入（明细）'!D:D=$F$4,'领用录入（明细）'!C:C&gt;=$J$4,'领用录入（明细）'!C:C&lt;=$L$4),ROW(),"-")</f>
        <v>-</v>
      </c>
    </row>
    <row r="34355" customHeight="1" spans="2:2">
      <c r="B34355" s="62" t="str">
        <f>IF(AND('领用录入（明细）'!D:D=$F$4,'领用录入（明细）'!C:C&gt;=$J$4,'领用录入（明细）'!C:C&lt;=$L$4),ROW(),"-")</f>
        <v>-</v>
      </c>
    </row>
    <row r="34356" customHeight="1" spans="2:2">
      <c r="B34356" s="62" t="str">
        <f>IF(AND('领用录入（明细）'!D:D=$F$4,'领用录入（明细）'!C:C&gt;=$J$4,'领用录入（明细）'!C:C&lt;=$L$4),ROW(),"-")</f>
        <v>-</v>
      </c>
    </row>
    <row r="34357" customHeight="1" spans="2:2">
      <c r="B34357" s="62" t="str">
        <f>IF(AND('领用录入（明细）'!D:D=$F$4,'领用录入（明细）'!C:C&gt;=$J$4,'领用录入（明细）'!C:C&lt;=$L$4),ROW(),"-")</f>
        <v>-</v>
      </c>
    </row>
    <row r="34358" customHeight="1" spans="2:2">
      <c r="B34358" s="62" t="str">
        <f>IF(AND('领用录入（明细）'!D:D=$F$4,'领用录入（明细）'!C:C&gt;=$J$4,'领用录入（明细）'!C:C&lt;=$L$4),ROW(),"-")</f>
        <v>-</v>
      </c>
    </row>
    <row r="34359" customHeight="1" spans="2:2">
      <c r="B34359" s="62" t="str">
        <f>IF(AND('领用录入（明细）'!D:D=$F$4,'领用录入（明细）'!C:C&gt;=$J$4,'领用录入（明细）'!C:C&lt;=$L$4),ROW(),"-")</f>
        <v>-</v>
      </c>
    </row>
    <row r="34360" customHeight="1" spans="2:2">
      <c r="B34360" s="62" t="str">
        <f>IF(AND('领用录入（明细）'!D:D=$F$4,'领用录入（明细）'!C:C&gt;=$J$4,'领用录入（明细）'!C:C&lt;=$L$4),ROW(),"-")</f>
        <v>-</v>
      </c>
    </row>
    <row r="34361" customHeight="1" spans="2:2">
      <c r="B34361" s="62" t="str">
        <f>IF(AND('领用录入（明细）'!D:D=$F$4,'领用录入（明细）'!C:C&gt;=$J$4,'领用录入（明细）'!C:C&lt;=$L$4),ROW(),"-")</f>
        <v>-</v>
      </c>
    </row>
    <row r="34362" customHeight="1" spans="2:2">
      <c r="B34362" s="62" t="str">
        <f>IF(AND('领用录入（明细）'!D:D=$F$4,'领用录入（明细）'!C:C&gt;=$J$4,'领用录入（明细）'!C:C&lt;=$L$4),ROW(),"-")</f>
        <v>-</v>
      </c>
    </row>
    <row r="34363" customHeight="1" spans="2:2">
      <c r="B34363" s="62" t="str">
        <f>IF(AND('领用录入（明细）'!D:D=$F$4,'领用录入（明细）'!C:C&gt;=$J$4,'领用录入（明细）'!C:C&lt;=$L$4),ROW(),"-")</f>
        <v>-</v>
      </c>
    </row>
    <row r="34364" customHeight="1" spans="2:2">
      <c r="B34364" s="62" t="str">
        <f>IF(AND('领用录入（明细）'!D:D=$F$4,'领用录入（明细）'!C:C&gt;=$J$4,'领用录入（明细）'!C:C&lt;=$L$4),ROW(),"-")</f>
        <v>-</v>
      </c>
    </row>
    <row r="34365" customHeight="1" spans="2:2">
      <c r="B34365" s="62" t="str">
        <f>IF(AND('领用录入（明细）'!D:D=$F$4,'领用录入（明细）'!C:C&gt;=$J$4,'领用录入（明细）'!C:C&lt;=$L$4),ROW(),"-")</f>
        <v>-</v>
      </c>
    </row>
    <row r="34366" customHeight="1" spans="2:2">
      <c r="B34366" s="62" t="str">
        <f>IF(AND('领用录入（明细）'!D:D=$F$4,'领用录入（明细）'!C:C&gt;=$J$4,'领用录入（明细）'!C:C&lt;=$L$4),ROW(),"-")</f>
        <v>-</v>
      </c>
    </row>
    <row r="34367" customHeight="1" spans="2:2">
      <c r="B34367" s="62" t="str">
        <f>IF(AND('领用录入（明细）'!D:D=$F$4,'领用录入（明细）'!C:C&gt;=$J$4,'领用录入（明细）'!C:C&lt;=$L$4),ROW(),"-")</f>
        <v>-</v>
      </c>
    </row>
    <row r="34368" customHeight="1" spans="2:2">
      <c r="B34368" s="62" t="str">
        <f>IF(AND('领用录入（明细）'!D:D=$F$4,'领用录入（明细）'!C:C&gt;=$J$4,'领用录入（明细）'!C:C&lt;=$L$4),ROW(),"-")</f>
        <v>-</v>
      </c>
    </row>
    <row r="34369" customHeight="1" spans="2:2">
      <c r="B34369" s="62" t="str">
        <f>IF(AND('领用录入（明细）'!D:D=$F$4,'领用录入（明细）'!C:C&gt;=$J$4,'领用录入（明细）'!C:C&lt;=$L$4),ROW(),"-")</f>
        <v>-</v>
      </c>
    </row>
    <row r="34370" customHeight="1" spans="2:2">
      <c r="B34370" s="62" t="str">
        <f>IF(AND('领用录入（明细）'!D:D=$F$4,'领用录入（明细）'!C:C&gt;=$J$4,'领用录入（明细）'!C:C&lt;=$L$4),ROW(),"-")</f>
        <v>-</v>
      </c>
    </row>
    <row r="34371" customHeight="1" spans="2:2">
      <c r="B34371" s="62" t="str">
        <f>IF(AND('领用录入（明细）'!D:D=$F$4,'领用录入（明细）'!C:C&gt;=$J$4,'领用录入（明细）'!C:C&lt;=$L$4),ROW(),"-")</f>
        <v>-</v>
      </c>
    </row>
    <row r="34372" customHeight="1" spans="2:2">
      <c r="B34372" s="62" t="str">
        <f>IF(AND('领用录入（明细）'!D:D=$F$4,'领用录入（明细）'!C:C&gt;=$J$4,'领用录入（明细）'!C:C&lt;=$L$4),ROW(),"-")</f>
        <v>-</v>
      </c>
    </row>
    <row r="34373" customHeight="1" spans="2:2">
      <c r="B34373" s="62" t="str">
        <f>IF(AND('领用录入（明细）'!D:D=$F$4,'领用录入（明细）'!C:C&gt;=$J$4,'领用录入（明细）'!C:C&lt;=$L$4),ROW(),"-")</f>
        <v>-</v>
      </c>
    </row>
    <row r="34374" customHeight="1" spans="2:2">
      <c r="B34374" s="62" t="str">
        <f>IF(AND('领用录入（明细）'!D:D=$F$4,'领用录入（明细）'!C:C&gt;=$J$4,'领用录入（明细）'!C:C&lt;=$L$4),ROW(),"-")</f>
        <v>-</v>
      </c>
    </row>
    <row r="34375" customHeight="1" spans="2:2">
      <c r="B34375" s="62" t="str">
        <f>IF(AND('领用录入（明细）'!D:D=$F$4,'领用录入（明细）'!C:C&gt;=$J$4,'领用录入（明细）'!C:C&lt;=$L$4),ROW(),"-")</f>
        <v>-</v>
      </c>
    </row>
    <row r="34376" customHeight="1" spans="2:2">
      <c r="B34376" s="62" t="str">
        <f>IF(AND('领用录入（明细）'!D:D=$F$4,'领用录入（明细）'!C:C&gt;=$J$4,'领用录入（明细）'!C:C&lt;=$L$4),ROW(),"-")</f>
        <v>-</v>
      </c>
    </row>
    <row r="34377" customHeight="1" spans="2:2">
      <c r="B34377" s="62" t="str">
        <f>IF(AND('领用录入（明细）'!D:D=$F$4,'领用录入（明细）'!C:C&gt;=$J$4,'领用录入（明细）'!C:C&lt;=$L$4),ROW(),"-")</f>
        <v>-</v>
      </c>
    </row>
    <row r="34378" customHeight="1" spans="2:2">
      <c r="B34378" s="62" t="str">
        <f>IF(AND('领用录入（明细）'!D:D=$F$4,'领用录入（明细）'!C:C&gt;=$J$4,'领用录入（明细）'!C:C&lt;=$L$4),ROW(),"-")</f>
        <v>-</v>
      </c>
    </row>
    <row r="34379" customHeight="1" spans="2:2">
      <c r="B34379" s="62" t="str">
        <f>IF(AND('领用录入（明细）'!D:D=$F$4,'领用录入（明细）'!C:C&gt;=$J$4,'领用录入（明细）'!C:C&lt;=$L$4),ROW(),"-")</f>
        <v>-</v>
      </c>
    </row>
    <row r="34380" customHeight="1" spans="2:2">
      <c r="B34380" s="62" t="str">
        <f>IF(AND('领用录入（明细）'!D:D=$F$4,'领用录入（明细）'!C:C&gt;=$J$4,'领用录入（明细）'!C:C&lt;=$L$4),ROW(),"-")</f>
        <v>-</v>
      </c>
    </row>
    <row r="34381" customHeight="1" spans="2:2">
      <c r="B34381" s="62" t="str">
        <f>IF(AND('领用录入（明细）'!D:D=$F$4,'领用录入（明细）'!C:C&gt;=$J$4,'领用录入（明细）'!C:C&lt;=$L$4),ROW(),"-")</f>
        <v>-</v>
      </c>
    </row>
    <row r="34382" customHeight="1" spans="2:2">
      <c r="B34382" s="62" t="str">
        <f>IF(AND('领用录入（明细）'!D:D=$F$4,'领用录入（明细）'!C:C&gt;=$J$4,'领用录入（明细）'!C:C&lt;=$L$4),ROW(),"-")</f>
        <v>-</v>
      </c>
    </row>
    <row r="34383" customHeight="1" spans="2:2">
      <c r="B34383" s="62" t="str">
        <f>IF(AND('领用录入（明细）'!D:D=$F$4,'领用录入（明细）'!C:C&gt;=$J$4,'领用录入（明细）'!C:C&lt;=$L$4),ROW(),"-")</f>
        <v>-</v>
      </c>
    </row>
    <row r="34384" customHeight="1" spans="2:2">
      <c r="B34384" s="62" t="str">
        <f>IF(AND('领用录入（明细）'!D:D=$F$4,'领用录入（明细）'!C:C&gt;=$J$4,'领用录入（明细）'!C:C&lt;=$L$4),ROW(),"-")</f>
        <v>-</v>
      </c>
    </row>
    <row r="34385" customHeight="1" spans="2:2">
      <c r="B34385" s="62" t="str">
        <f>IF(AND('领用录入（明细）'!D:D=$F$4,'领用录入（明细）'!C:C&gt;=$J$4,'领用录入（明细）'!C:C&lt;=$L$4),ROW(),"-")</f>
        <v>-</v>
      </c>
    </row>
    <row r="34386" customHeight="1" spans="2:2">
      <c r="B34386" s="62" t="str">
        <f>IF(AND('领用录入（明细）'!D:D=$F$4,'领用录入（明细）'!C:C&gt;=$J$4,'领用录入（明细）'!C:C&lt;=$L$4),ROW(),"-")</f>
        <v>-</v>
      </c>
    </row>
    <row r="34387" customHeight="1" spans="2:2">
      <c r="B34387" s="62" t="str">
        <f>IF(AND('领用录入（明细）'!D:D=$F$4,'领用录入（明细）'!C:C&gt;=$J$4,'领用录入（明细）'!C:C&lt;=$L$4),ROW(),"-")</f>
        <v>-</v>
      </c>
    </row>
    <row r="34388" customHeight="1" spans="2:2">
      <c r="B34388" s="62" t="str">
        <f>IF(AND('领用录入（明细）'!D:D=$F$4,'领用录入（明细）'!C:C&gt;=$J$4,'领用录入（明细）'!C:C&lt;=$L$4),ROW(),"-")</f>
        <v>-</v>
      </c>
    </row>
    <row r="34389" customHeight="1" spans="2:2">
      <c r="B34389" s="62" t="str">
        <f>IF(AND('领用录入（明细）'!D:D=$F$4,'领用录入（明细）'!C:C&gt;=$J$4,'领用录入（明细）'!C:C&lt;=$L$4),ROW(),"-")</f>
        <v>-</v>
      </c>
    </row>
    <row r="34390" customHeight="1" spans="2:2">
      <c r="B34390" s="62" t="str">
        <f>IF(AND('领用录入（明细）'!D:D=$F$4,'领用录入（明细）'!C:C&gt;=$J$4,'领用录入（明细）'!C:C&lt;=$L$4),ROW(),"-")</f>
        <v>-</v>
      </c>
    </row>
    <row r="34391" customHeight="1" spans="2:2">
      <c r="B34391" s="62" t="str">
        <f>IF(AND('领用录入（明细）'!D:D=$F$4,'领用录入（明细）'!C:C&gt;=$J$4,'领用录入（明细）'!C:C&lt;=$L$4),ROW(),"-")</f>
        <v>-</v>
      </c>
    </row>
    <row r="34392" customHeight="1" spans="2:2">
      <c r="B34392" s="62" t="str">
        <f>IF(AND('领用录入（明细）'!D:D=$F$4,'领用录入（明细）'!C:C&gt;=$J$4,'领用录入（明细）'!C:C&lt;=$L$4),ROW(),"-")</f>
        <v>-</v>
      </c>
    </row>
    <row r="34393" customHeight="1" spans="2:2">
      <c r="B34393" s="62" t="str">
        <f>IF(AND('领用录入（明细）'!D:D=$F$4,'领用录入（明细）'!C:C&gt;=$J$4,'领用录入（明细）'!C:C&lt;=$L$4),ROW(),"-")</f>
        <v>-</v>
      </c>
    </row>
    <row r="34394" customHeight="1" spans="2:2">
      <c r="B34394" s="62" t="str">
        <f>IF(AND('领用录入（明细）'!D:D=$F$4,'领用录入（明细）'!C:C&gt;=$J$4,'领用录入（明细）'!C:C&lt;=$L$4),ROW(),"-")</f>
        <v>-</v>
      </c>
    </row>
    <row r="34395" customHeight="1" spans="2:2">
      <c r="B34395" s="62" t="str">
        <f>IF(AND('领用录入（明细）'!D:D=$F$4,'领用录入（明细）'!C:C&gt;=$J$4,'领用录入（明细）'!C:C&lt;=$L$4),ROW(),"-")</f>
        <v>-</v>
      </c>
    </row>
    <row r="34396" customHeight="1" spans="2:2">
      <c r="B34396" s="62" t="str">
        <f>IF(AND('领用录入（明细）'!D:D=$F$4,'领用录入（明细）'!C:C&gt;=$J$4,'领用录入（明细）'!C:C&lt;=$L$4),ROW(),"-")</f>
        <v>-</v>
      </c>
    </row>
    <row r="34397" customHeight="1" spans="2:2">
      <c r="B34397" s="62" t="str">
        <f>IF(AND('领用录入（明细）'!D:D=$F$4,'领用录入（明细）'!C:C&gt;=$J$4,'领用录入（明细）'!C:C&lt;=$L$4),ROW(),"-")</f>
        <v>-</v>
      </c>
    </row>
    <row r="34398" customHeight="1" spans="2:2">
      <c r="B34398" s="62" t="str">
        <f>IF(AND('领用录入（明细）'!D:D=$F$4,'领用录入（明细）'!C:C&gt;=$J$4,'领用录入（明细）'!C:C&lt;=$L$4),ROW(),"-")</f>
        <v>-</v>
      </c>
    </row>
    <row r="34399" customHeight="1" spans="2:2">
      <c r="B34399" s="62" t="str">
        <f>IF(AND('领用录入（明细）'!D:D=$F$4,'领用录入（明细）'!C:C&gt;=$J$4,'领用录入（明细）'!C:C&lt;=$L$4),ROW(),"-")</f>
        <v>-</v>
      </c>
    </row>
    <row r="34400" customHeight="1" spans="2:2">
      <c r="B34400" s="62" t="str">
        <f>IF(AND('领用录入（明细）'!D:D=$F$4,'领用录入（明细）'!C:C&gt;=$J$4,'领用录入（明细）'!C:C&lt;=$L$4),ROW(),"-")</f>
        <v>-</v>
      </c>
    </row>
    <row r="34401" customHeight="1" spans="2:2">
      <c r="B34401" s="62" t="str">
        <f>IF(AND('领用录入（明细）'!D:D=$F$4,'领用录入（明细）'!C:C&gt;=$J$4,'领用录入（明细）'!C:C&lt;=$L$4),ROW(),"-")</f>
        <v>-</v>
      </c>
    </row>
    <row r="34402" customHeight="1" spans="2:2">
      <c r="B34402" s="62" t="str">
        <f>IF(AND('领用录入（明细）'!D:D=$F$4,'领用录入（明细）'!C:C&gt;=$J$4,'领用录入（明细）'!C:C&lt;=$L$4),ROW(),"-")</f>
        <v>-</v>
      </c>
    </row>
    <row r="34403" customHeight="1" spans="2:2">
      <c r="B34403" s="62" t="str">
        <f>IF(AND('领用录入（明细）'!D:D=$F$4,'领用录入（明细）'!C:C&gt;=$J$4,'领用录入（明细）'!C:C&lt;=$L$4),ROW(),"-")</f>
        <v>-</v>
      </c>
    </row>
    <row r="34404" customHeight="1" spans="2:2">
      <c r="B34404" s="62" t="str">
        <f>IF(AND('领用录入（明细）'!D:D=$F$4,'领用录入（明细）'!C:C&gt;=$J$4,'领用录入（明细）'!C:C&lt;=$L$4),ROW(),"-")</f>
        <v>-</v>
      </c>
    </row>
    <row r="34405" customHeight="1" spans="2:2">
      <c r="B34405" s="62" t="str">
        <f>IF(AND('领用录入（明细）'!D:D=$F$4,'领用录入（明细）'!C:C&gt;=$J$4,'领用录入（明细）'!C:C&lt;=$L$4),ROW(),"-")</f>
        <v>-</v>
      </c>
    </row>
    <row r="34406" customHeight="1" spans="2:2">
      <c r="B34406" s="62" t="str">
        <f>IF(AND('领用录入（明细）'!D:D=$F$4,'领用录入（明细）'!C:C&gt;=$J$4,'领用录入（明细）'!C:C&lt;=$L$4),ROW(),"-")</f>
        <v>-</v>
      </c>
    </row>
    <row r="34407" customHeight="1" spans="2:2">
      <c r="B34407" s="62" t="str">
        <f>IF(AND('领用录入（明细）'!D:D=$F$4,'领用录入（明细）'!C:C&gt;=$J$4,'领用录入（明细）'!C:C&lt;=$L$4),ROW(),"-")</f>
        <v>-</v>
      </c>
    </row>
    <row r="34408" customHeight="1" spans="2:2">
      <c r="B34408" s="62" t="str">
        <f>IF(AND('领用录入（明细）'!D:D=$F$4,'领用录入（明细）'!C:C&gt;=$J$4,'领用录入（明细）'!C:C&lt;=$L$4),ROW(),"-")</f>
        <v>-</v>
      </c>
    </row>
    <row r="34409" customHeight="1" spans="2:2">
      <c r="B34409" s="62" t="str">
        <f>IF(AND('领用录入（明细）'!D:D=$F$4,'领用录入（明细）'!C:C&gt;=$J$4,'领用录入（明细）'!C:C&lt;=$L$4),ROW(),"-")</f>
        <v>-</v>
      </c>
    </row>
    <row r="34410" customHeight="1" spans="2:2">
      <c r="B34410" s="62" t="str">
        <f>IF(AND('领用录入（明细）'!D:D=$F$4,'领用录入（明细）'!C:C&gt;=$J$4,'领用录入（明细）'!C:C&lt;=$L$4),ROW(),"-")</f>
        <v>-</v>
      </c>
    </row>
    <row r="34411" customHeight="1" spans="2:2">
      <c r="B34411" s="62" t="str">
        <f>IF(AND('领用录入（明细）'!D:D=$F$4,'领用录入（明细）'!C:C&gt;=$J$4,'领用录入（明细）'!C:C&lt;=$L$4),ROW(),"-")</f>
        <v>-</v>
      </c>
    </row>
    <row r="34412" customHeight="1" spans="2:2">
      <c r="B34412" s="62" t="str">
        <f>IF(AND('领用录入（明细）'!D:D=$F$4,'领用录入（明细）'!C:C&gt;=$J$4,'领用录入（明细）'!C:C&lt;=$L$4),ROW(),"-")</f>
        <v>-</v>
      </c>
    </row>
    <row r="34413" customHeight="1" spans="2:2">
      <c r="B34413" s="62" t="str">
        <f>IF(AND('领用录入（明细）'!D:D=$F$4,'领用录入（明细）'!C:C&gt;=$J$4,'领用录入（明细）'!C:C&lt;=$L$4),ROW(),"-")</f>
        <v>-</v>
      </c>
    </row>
    <row r="34414" customHeight="1" spans="2:2">
      <c r="B34414" s="62" t="str">
        <f>IF(AND('领用录入（明细）'!D:D=$F$4,'领用录入（明细）'!C:C&gt;=$J$4,'领用录入（明细）'!C:C&lt;=$L$4),ROW(),"-")</f>
        <v>-</v>
      </c>
    </row>
    <row r="34415" customHeight="1" spans="2:2">
      <c r="B34415" s="62" t="str">
        <f>IF(AND('领用录入（明细）'!D:D=$F$4,'领用录入（明细）'!C:C&gt;=$J$4,'领用录入（明细）'!C:C&lt;=$L$4),ROW(),"-")</f>
        <v>-</v>
      </c>
    </row>
    <row r="34416" customHeight="1" spans="2:2">
      <c r="B34416" s="62" t="str">
        <f>IF(AND('领用录入（明细）'!D:D=$F$4,'领用录入（明细）'!C:C&gt;=$J$4,'领用录入（明细）'!C:C&lt;=$L$4),ROW(),"-")</f>
        <v>-</v>
      </c>
    </row>
    <row r="34417" customHeight="1" spans="2:2">
      <c r="B34417" s="62" t="str">
        <f>IF(AND('领用录入（明细）'!D:D=$F$4,'领用录入（明细）'!C:C&gt;=$J$4,'领用录入（明细）'!C:C&lt;=$L$4),ROW(),"-")</f>
        <v>-</v>
      </c>
    </row>
    <row r="34418" customHeight="1" spans="2:2">
      <c r="B34418" s="62" t="str">
        <f>IF(AND('领用录入（明细）'!D:D=$F$4,'领用录入（明细）'!C:C&gt;=$J$4,'领用录入（明细）'!C:C&lt;=$L$4),ROW(),"-")</f>
        <v>-</v>
      </c>
    </row>
    <row r="34419" customHeight="1" spans="2:2">
      <c r="B34419" s="62" t="str">
        <f>IF(AND('领用录入（明细）'!D:D=$F$4,'领用录入（明细）'!C:C&gt;=$J$4,'领用录入（明细）'!C:C&lt;=$L$4),ROW(),"-")</f>
        <v>-</v>
      </c>
    </row>
    <row r="34420" customHeight="1" spans="2:2">
      <c r="B34420" s="62" t="str">
        <f>IF(AND('领用录入（明细）'!D:D=$F$4,'领用录入（明细）'!C:C&gt;=$J$4,'领用录入（明细）'!C:C&lt;=$L$4),ROW(),"-")</f>
        <v>-</v>
      </c>
    </row>
    <row r="34421" customHeight="1" spans="2:2">
      <c r="B34421" s="62" t="str">
        <f>IF(AND('领用录入（明细）'!D:D=$F$4,'领用录入（明细）'!C:C&gt;=$J$4,'领用录入（明细）'!C:C&lt;=$L$4),ROW(),"-")</f>
        <v>-</v>
      </c>
    </row>
    <row r="34422" customHeight="1" spans="2:2">
      <c r="B34422" s="62" t="str">
        <f>IF(AND('领用录入（明细）'!D:D=$F$4,'领用录入（明细）'!C:C&gt;=$J$4,'领用录入（明细）'!C:C&lt;=$L$4),ROW(),"-")</f>
        <v>-</v>
      </c>
    </row>
    <row r="34423" customHeight="1" spans="2:2">
      <c r="B34423" s="62" t="str">
        <f>IF(AND('领用录入（明细）'!D:D=$F$4,'领用录入（明细）'!C:C&gt;=$J$4,'领用录入（明细）'!C:C&lt;=$L$4),ROW(),"-")</f>
        <v>-</v>
      </c>
    </row>
    <row r="34424" customHeight="1" spans="2:2">
      <c r="B34424" s="62" t="str">
        <f>IF(AND('领用录入（明细）'!D:D=$F$4,'领用录入（明细）'!C:C&gt;=$J$4,'领用录入（明细）'!C:C&lt;=$L$4),ROW(),"-")</f>
        <v>-</v>
      </c>
    </row>
    <row r="34425" customHeight="1" spans="2:2">
      <c r="B34425" s="62" t="str">
        <f>IF(AND('领用录入（明细）'!D:D=$F$4,'领用录入（明细）'!C:C&gt;=$J$4,'领用录入（明细）'!C:C&lt;=$L$4),ROW(),"-")</f>
        <v>-</v>
      </c>
    </row>
    <row r="34426" customHeight="1" spans="2:2">
      <c r="B34426" s="62" t="str">
        <f>IF(AND('领用录入（明细）'!D:D=$F$4,'领用录入（明细）'!C:C&gt;=$J$4,'领用录入（明细）'!C:C&lt;=$L$4),ROW(),"-")</f>
        <v>-</v>
      </c>
    </row>
    <row r="34427" customHeight="1" spans="2:2">
      <c r="B34427" s="62" t="str">
        <f>IF(AND('领用录入（明细）'!D:D=$F$4,'领用录入（明细）'!C:C&gt;=$J$4,'领用录入（明细）'!C:C&lt;=$L$4),ROW(),"-")</f>
        <v>-</v>
      </c>
    </row>
    <row r="34428" customHeight="1" spans="2:2">
      <c r="B34428" s="62" t="str">
        <f>IF(AND('领用录入（明细）'!D:D=$F$4,'领用录入（明细）'!C:C&gt;=$J$4,'领用录入（明细）'!C:C&lt;=$L$4),ROW(),"-")</f>
        <v>-</v>
      </c>
    </row>
    <row r="34429" customHeight="1" spans="2:2">
      <c r="B34429" s="62" t="str">
        <f>IF(AND('领用录入（明细）'!D:D=$F$4,'领用录入（明细）'!C:C&gt;=$J$4,'领用录入（明细）'!C:C&lt;=$L$4),ROW(),"-")</f>
        <v>-</v>
      </c>
    </row>
    <row r="34430" customHeight="1" spans="2:2">
      <c r="B34430" s="62" t="str">
        <f>IF(AND('领用录入（明细）'!D:D=$F$4,'领用录入（明细）'!C:C&gt;=$J$4,'领用录入（明细）'!C:C&lt;=$L$4),ROW(),"-")</f>
        <v>-</v>
      </c>
    </row>
    <row r="34431" customHeight="1" spans="2:2">
      <c r="B34431" s="62" t="str">
        <f>IF(AND('领用录入（明细）'!D:D=$F$4,'领用录入（明细）'!C:C&gt;=$J$4,'领用录入（明细）'!C:C&lt;=$L$4),ROW(),"-")</f>
        <v>-</v>
      </c>
    </row>
    <row r="34432" customHeight="1" spans="2:2">
      <c r="B34432" s="62" t="str">
        <f>IF(AND('领用录入（明细）'!D:D=$F$4,'领用录入（明细）'!C:C&gt;=$J$4,'领用录入（明细）'!C:C&lt;=$L$4),ROW(),"-")</f>
        <v>-</v>
      </c>
    </row>
    <row r="34433" customHeight="1" spans="2:2">
      <c r="B34433" s="62" t="str">
        <f>IF(AND('领用录入（明细）'!D:D=$F$4,'领用录入（明细）'!C:C&gt;=$J$4,'领用录入（明细）'!C:C&lt;=$L$4),ROW(),"-")</f>
        <v>-</v>
      </c>
    </row>
    <row r="34434" customHeight="1" spans="2:2">
      <c r="B34434" s="62" t="str">
        <f>IF(AND('领用录入（明细）'!D:D=$F$4,'领用录入（明细）'!C:C&gt;=$J$4,'领用录入（明细）'!C:C&lt;=$L$4),ROW(),"-")</f>
        <v>-</v>
      </c>
    </row>
    <row r="34435" customHeight="1" spans="2:2">
      <c r="B34435" s="62" t="str">
        <f>IF(AND('领用录入（明细）'!D:D=$F$4,'领用录入（明细）'!C:C&gt;=$J$4,'领用录入（明细）'!C:C&lt;=$L$4),ROW(),"-")</f>
        <v>-</v>
      </c>
    </row>
    <row r="34436" customHeight="1" spans="2:2">
      <c r="B34436" s="62" t="str">
        <f>IF(AND('领用录入（明细）'!D:D=$F$4,'领用录入（明细）'!C:C&gt;=$J$4,'领用录入（明细）'!C:C&lt;=$L$4),ROW(),"-")</f>
        <v>-</v>
      </c>
    </row>
    <row r="34437" customHeight="1" spans="2:2">
      <c r="B34437" s="62" t="str">
        <f>IF(AND('领用录入（明细）'!D:D=$F$4,'领用录入（明细）'!C:C&gt;=$J$4,'领用录入（明细）'!C:C&lt;=$L$4),ROW(),"-")</f>
        <v>-</v>
      </c>
    </row>
    <row r="34438" customHeight="1" spans="2:2">
      <c r="B34438" s="62" t="str">
        <f>IF(AND('领用录入（明细）'!D:D=$F$4,'领用录入（明细）'!C:C&gt;=$J$4,'领用录入（明细）'!C:C&lt;=$L$4),ROW(),"-")</f>
        <v>-</v>
      </c>
    </row>
    <row r="34439" customHeight="1" spans="2:2">
      <c r="B34439" s="62" t="str">
        <f>IF(AND('领用录入（明细）'!D:D=$F$4,'领用录入（明细）'!C:C&gt;=$J$4,'领用录入（明细）'!C:C&lt;=$L$4),ROW(),"-")</f>
        <v>-</v>
      </c>
    </row>
    <row r="34440" customHeight="1" spans="2:2">
      <c r="B34440" s="62" t="str">
        <f>IF(AND('领用录入（明细）'!D:D=$F$4,'领用录入（明细）'!C:C&gt;=$J$4,'领用录入（明细）'!C:C&lt;=$L$4),ROW(),"-")</f>
        <v>-</v>
      </c>
    </row>
    <row r="34441" customHeight="1" spans="2:2">
      <c r="B34441" s="62" t="str">
        <f>IF(AND('领用录入（明细）'!D:D=$F$4,'领用录入（明细）'!C:C&gt;=$J$4,'领用录入（明细）'!C:C&lt;=$L$4),ROW(),"-")</f>
        <v>-</v>
      </c>
    </row>
    <row r="34442" customHeight="1" spans="2:2">
      <c r="B34442" s="62" t="str">
        <f>IF(AND('领用录入（明细）'!D:D=$F$4,'领用录入（明细）'!C:C&gt;=$J$4,'领用录入（明细）'!C:C&lt;=$L$4),ROW(),"-")</f>
        <v>-</v>
      </c>
    </row>
    <row r="34443" customHeight="1" spans="2:2">
      <c r="B34443" s="62" t="str">
        <f>IF(AND('领用录入（明细）'!D:D=$F$4,'领用录入（明细）'!C:C&gt;=$J$4,'领用录入（明细）'!C:C&lt;=$L$4),ROW(),"-")</f>
        <v>-</v>
      </c>
    </row>
    <row r="34444" customHeight="1" spans="2:2">
      <c r="B34444" s="62" t="str">
        <f>IF(AND('领用录入（明细）'!D:D=$F$4,'领用录入（明细）'!C:C&gt;=$J$4,'领用录入（明细）'!C:C&lt;=$L$4),ROW(),"-")</f>
        <v>-</v>
      </c>
    </row>
    <row r="34445" customHeight="1" spans="2:2">
      <c r="B34445" s="62" t="str">
        <f>IF(AND('领用录入（明细）'!D:D=$F$4,'领用录入（明细）'!C:C&gt;=$J$4,'领用录入（明细）'!C:C&lt;=$L$4),ROW(),"-")</f>
        <v>-</v>
      </c>
    </row>
    <row r="34446" customHeight="1" spans="2:2">
      <c r="B34446" s="62" t="str">
        <f>IF(AND('领用录入（明细）'!D:D=$F$4,'领用录入（明细）'!C:C&gt;=$J$4,'领用录入（明细）'!C:C&lt;=$L$4),ROW(),"-")</f>
        <v>-</v>
      </c>
    </row>
    <row r="34447" customHeight="1" spans="2:2">
      <c r="B34447" s="62" t="str">
        <f>IF(AND('领用录入（明细）'!D:D=$F$4,'领用录入（明细）'!C:C&gt;=$J$4,'领用录入（明细）'!C:C&lt;=$L$4),ROW(),"-")</f>
        <v>-</v>
      </c>
    </row>
    <row r="34448" customHeight="1" spans="2:2">
      <c r="B34448" s="62" t="str">
        <f>IF(AND('领用录入（明细）'!D:D=$F$4,'领用录入（明细）'!C:C&gt;=$J$4,'领用录入（明细）'!C:C&lt;=$L$4),ROW(),"-")</f>
        <v>-</v>
      </c>
    </row>
    <row r="34449" customHeight="1" spans="2:2">
      <c r="B34449" s="62" t="str">
        <f>IF(AND('领用录入（明细）'!D:D=$F$4,'领用录入（明细）'!C:C&gt;=$J$4,'领用录入（明细）'!C:C&lt;=$L$4),ROW(),"-")</f>
        <v>-</v>
      </c>
    </row>
    <row r="34450" customHeight="1" spans="2:2">
      <c r="B34450" s="62" t="str">
        <f>IF(AND('领用录入（明细）'!D:D=$F$4,'领用录入（明细）'!C:C&gt;=$J$4,'领用录入（明细）'!C:C&lt;=$L$4),ROW(),"-")</f>
        <v>-</v>
      </c>
    </row>
    <row r="34451" customHeight="1" spans="2:2">
      <c r="B34451" s="62" t="str">
        <f>IF(AND('领用录入（明细）'!D:D=$F$4,'领用录入（明细）'!C:C&gt;=$J$4,'领用录入（明细）'!C:C&lt;=$L$4),ROW(),"-")</f>
        <v>-</v>
      </c>
    </row>
    <row r="34452" customHeight="1" spans="2:2">
      <c r="B34452" s="62" t="str">
        <f>IF(AND('领用录入（明细）'!D:D=$F$4,'领用录入（明细）'!C:C&gt;=$J$4,'领用录入（明细）'!C:C&lt;=$L$4),ROW(),"-")</f>
        <v>-</v>
      </c>
    </row>
    <row r="34453" customHeight="1" spans="2:2">
      <c r="B34453" s="62" t="str">
        <f>IF(AND('领用录入（明细）'!D:D=$F$4,'领用录入（明细）'!C:C&gt;=$J$4,'领用录入（明细）'!C:C&lt;=$L$4),ROW(),"-")</f>
        <v>-</v>
      </c>
    </row>
    <row r="34454" customHeight="1" spans="2:2">
      <c r="B34454" s="62" t="str">
        <f>IF(AND('领用录入（明细）'!D:D=$F$4,'领用录入（明细）'!C:C&gt;=$J$4,'领用录入（明细）'!C:C&lt;=$L$4),ROW(),"-")</f>
        <v>-</v>
      </c>
    </row>
    <row r="34455" customHeight="1" spans="2:2">
      <c r="B34455" s="62" t="str">
        <f>IF(AND('领用录入（明细）'!D:D=$F$4,'领用录入（明细）'!C:C&gt;=$J$4,'领用录入（明细）'!C:C&lt;=$L$4),ROW(),"-")</f>
        <v>-</v>
      </c>
    </row>
    <row r="34456" customHeight="1" spans="2:2">
      <c r="B34456" s="62" t="str">
        <f>IF(AND('领用录入（明细）'!D:D=$F$4,'领用录入（明细）'!C:C&gt;=$J$4,'领用录入（明细）'!C:C&lt;=$L$4),ROW(),"-")</f>
        <v>-</v>
      </c>
    </row>
    <row r="34457" customHeight="1" spans="2:2">
      <c r="B34457" s="62" t="str">
        <f>IF(AND('领用录入（明细）'!D:D=$F$4,'领用录入（明细）'!C:C&gt;=$J$4,'领用录入（明细）'!C:C&lt;=$L$4),ROW(),"-")</f>
        <v>-</v>
      </c>
    </row>
    <row r="34458" customHeight="1" spans="2:2">
      <c r="B34458" s="62" t="str">
        <f>IF(AND('领用录入（明细）'!D:D=$F$4,'领用录入（明细）'!C:C&gt;=$J$4,'领用录入（明细）'!C:C&lt;=$L$4),ROW(),"-")</f>
        <v>-</v>
      </c>
    </row>
    <row r="34459" customHeight="1" spans="2:2">
      <c r="B34459" s="62" t="str">
        <f>IF(AND('领用录入（明细）'!D:D=$F$4,'领用录入（明细）'!C:C&gt;=$J$4,'领用录入（明细）'!C:C&lt;=$L$4),ROW(),"-")</f>
        <v>-</v>
      </c>
    </row>
    <row r="34460" customHeight="1" spans="2:2">
      <c r="B34460" s="62" t="str">
        <f>IF(AND('领用录入（明细）'!D:D=$F$4,'领用录入（明细）'!C:C&gt;=$J$4,'领用录入（明细）'!C:C&lt;=$L$4),ROW(),"-")</f>
        <v>-</v>
      </c>
    </row>
    <row r="34461" customHeight="1" spans="2:2">
      <c r="B34461" s="62" t="str">
        <f>IF(AND('领用录入（明细）'!D:D=$F$4,'领用录入（明细）'!C:C&gt;=$J$4,'领用录入（明细）'!C:C&lt;=$L$4),ROW(),"-")</f>
        <v>-</v>
      </c>
    </row>
    <row r="34462" customHeight="1" spans="2:2">
      <c r="B34462" s="62" t="str">
        <f>IF(AND('领用录入（明细）'!D:D=$F$4,'领用录入（明细）'!C:C&gt;=$J$4,'领用录入（明细）'!C:C&lt;=$L$4),ROW(),"-")</f>
        <v>-</v>
      </c>
    </row>
    <row r="34463" customHeight="1" spans="2:2">
      <c r="B34463" s="62" t="str">
        <f>IF(AND('领用录入（明细）'!D:D=$F$4,'领用录入（明细）'!C:C&gt;=$J$4,'领用录入（明细）'!C:C&lt;=$L$4),ROW(),"-")</f>
        <v>-</v>
      </c>
    </row>
    <row r="34464" customHeight="1" spans="2:2">
      <c r="B34464" s="62" t="str">
        <f>IF(AND('领用录入（明细）'!D:D=$F$4,'领用录入（明细）'!C:C&gt;=$J$4,'领用录入（明细）'!C:C&lt;=$L$4),ROW(),"-")</f>
        <v>-</v>
      </c>
    </row>
    <row r="34465" customHeight="1" spans="2:2">
      <c r="B34465" s="62" t="str">
        <f>IF(AND('领用录入（明细）'!D:D=$F$4,'领用录入（明细）'!C:C&gt;=$J$4,'领用录入（明细）'!C:C&lt;=$L$4),ROW(),"-")</f>
        <v>-</v>
      </c>
    </row>
    <row r="34466" customHeight="1" spans="2:2">
      <c r="B34466" s="62" t="str">
        <f>IF(AND('领用录入（明细）'!D:D=$F$4,'领用录入（明细）'!C:C&gt;=$J$4,'领用录入（明细）'!C:C&lt;=$L$4),ROW(),"-")</f>
        <v>-</v>
      </c>
    </row>
    <row r="34467" customHeight="1" spans="2:2">
      <c r="B34467" s="62" t="str">
        <f>IF(AND('领用录入（明细）'!D:D=$F$4,'领用录入（明细）'!C:C&gt;=$J$4,'领用录入（明细）'!C:C&lt;=$L$4),ROW(),"-")</f>
        <v>-</v>
      </c>
    </row>
    <row r="34468" customHeight="1" spans="2:2">
      <c r="B34468" s="62" t="str">
        <f>IF(AND('领用录入（明细）'!D:D=$F$4,'领用录入（明细）'!C:C&gt;=$J$4,'领用录入（明细）'!C:C&lt;=$L$4),ROW(),"-")</f>
        <v>-</v>
      </c>
    </row>
    <row r="34469" customHeight="1" spans="2:2">
      <c r="B34469" s="62" t="str">
        <f>IF(AND('领用录入（明细）'!D:D=$F$4,'领用录入（明细）'!C:C&gt;=$J$4,'领用录入（明细）'!C:C&lt;=$L$4),ROW(),"-")</f>
        <v>-</v>
      </c>
    </row>
    <row r="34470" customHeight="1" spans="2:2">
      <c r="B34470" s="62" t="str">
        <f>IF(AND('领用录入（明细）'!D:D=$F$4,'领用录入（明细）'!C:C&gt;=$J$4,'领用录入（明细）'!C:C&lt;=$L$4),ROW(),"-")</f>
        <v>-</v>
      </c>
    </row>
    <row r="34471" customHeight="1" spans="2:2">
      <c r="B34471" s="62" t="str">
        <f>IF(AND('领用录入（明细）'!D:D=$F$4,'领用录入（明细）'!C:C&gt;=$J$4,'领用录入（明细）'!C:C&lt;=$L$4),ROW(),"-")</f>
        <v>-</v>
      </c>
    </row>
    <row r="34472" customHeight="1" spans="2:2">
      <c r="B34472" s="62" t="str">
        <f>IF(AND('领用录入（明细）'!D:D=$F$4,'领用录入（明细）'!C:C&gt;=$J$4,'领用录入（明细）'!C:C&lt;=$L$4),ROW(),"-")</f>
        <v>-</v>
      </c>
    </row>
    <row r="34473" customHeight="1" spans="2:2">
      <c r="B34473" s="62" t="str">
        <f>IF(AND('领用录入（明细）'!D:D=$F$4,'领用录入（明细）'!C:C&gt;=$J$4,'领用录入（明细）'!C:C&lt;=$L$4),ROW(),"-")</f>
        <v>-</v>
      </c>
    </row>
    <row r="34474" customHeight="1" spans="2:2">
      <c r="B34474" s="62" t="str">
        <f>IF(AND('领用录入（明细）'!D:D=$F$4,'领用录入（明细）'!C:C&gt;=$J$4,'领用录入（明细）'!C:C&lt;=$L$4),ROW(),"-")</f>
        <v>-</v>
      </c>
    </row>
    <row r="34475" customHeight="1" spans="2:2">
      <c r="B34475" s="62" t="str">
        <f>IF(AND('领用录入（明细）'!D:D=$F$4,'领用录入（明细）'!C:C&gt;=$J$4,'领用录入（明细）'!C:C&lt;=$L$4),ROW(),"-")</f>
        <v>-</v>
      </c>
    </row>
    <row r="34476" customHeight="1" spans="2:2">
      <c r="B34476" s="62" t="str">
        <f>IF(AND('领用录入（明细）'!D:D=$F$4,'领用录入（明细）'!C:C&gt;=$J$4,'领用录入（明细）'!C:C&lt;=$L$4),ROW(),"-")</f>
        <v>-</v>
      </c>
    </row>
    <row r="34477" customHeight="1" spans="2:2">
      <c r="B34477" s="62" t="str">
        <f>IF(AND('领用录入（明细）'!D:D=$F$4,'领用录入（明细）'!C:C&gt;=$J$4,'领用录入（明细）'!C:C&lt;=$L$4),ROW(),"-")</f>
        <v>-</v>
      </c>
    </row>
    <row r="34478" customHeight="1" spans="2:2">
      <c r="B34478" s="62" t="str">
        <f>IF(AND('领用录入（明细）'!D:D=$F$4,'领用录入（明细）'!C:C&gt;=$J$4,'领用录入（明细）'!C:C&lt;=$L$4),ROW(),"-")</f>
        <v>-</v>
      </c>
    </row>
    <row r="34479" customHeight="1" spans="2:2">
      <c r="B34479" s="62" t="str">
        <f>IF(AND('领用录入（明细）'!D:D=$F$4,'领用录入（明细）'!C:C&gt;=$J$4,'领用录入（明细）'!C:C&lt;=$L$4),ROW(),"-")</f>
        <v>-</v>
      </c>
    </row>
    <row r="34480" customHeight="1" spans="2:2">
      <c r="B34480" s="62" t="str">
        <f>IF(AND('领用录入（明细）'!D:D=$F$4,'领用录入（明细）'!C:C&gt;=$J$4,'领用录入（明细）'!C:C&lt;=$L$4),ROW(),"-")</f>
        <v>-</v>
      </c>
    </row>
    <row r="34481" customHeight="1" spans="2:2">
      <c r="B34481" s="62" t="str">
        <f>IF(AND('领用录入（明细）'!D:D=$F$4,'领用录入（明细）'!C:C&gt;=$J$4,'领用录入（明细）'!C:C&lt;=$L$4),ROW(),"-")</f>
        <v>-</v>
      </c>
    </row>
    <row r="34482" customHeight="1" spans="2:2">
      <c r="B34482" s="62" t="str">
        <f>IF(AND('领用录入（明细）'!D:D=$F$4,'领用录入（明细）'!C:C&gt;=$J$4,'领用录入（明细）'!C:C&lt;=$L$4),ROW(),"-")</f>
        <v>-</v>
      </c>
    </row>
    <row r="34483" customHeight="1" spans="2:2">
      <c r="B34483" s="62" t="str">
        <f>IF(AND('领用录入（明细）'!D:D=$F$4,'领用录入（明细）'!C:C&gt;=$J$4,'领用录入（明细）'!C:C&lt;=$L$4),ROW(),"-")</f>
        <v>-</v>
      </c>
    </row>
    <row r="34484" customHeight="1" spans="2:2">
      <c r="B34484" s="62" t="str">
        <f>IF(AND('领用录入（明细）'!D:D=$F$4,'领用录入（明细）'!C:C&gt;=$J$4,'领用录入（明细）'!C:C&lt;=$L$4),ROW(),"-")</f>
        <v>-</v>
      </c>
    </row>
    <row r="34485" customHeight="1" spans="2:2">
      <c r="B34485" s="62" t="str">
        <f>IF(AND('领用录入（明细）'!D:D=$F$4,'领用录入（明细）'!C:C&gt;=$J$4,'领用录入（明细）'!C:C&lt;=$L$4),ROW(),"-")</f>
        <v>-</v>
      </c>
    </row>
    <row r="34486" customHeight="1" spans="2:2">
      <c r="B34486" s="62" t="str">
        <f>IF(AND('领用录入（明细）'!D:D=$F$4,'领用录入（明细）'!C:C&gt;=$J$4,'领用录入（明细）'!C:C&lt;=$L$4),ROW(),"-")</f>
        <v>-</v>
      </c>
    </row>
    <row r="34487" customHeight="1" spans="2:2">
      <c r="B34487" s="62" t="str">
        <f>IF(AND('领用录入（明细）'!D:D=$F$4,'领用录入（明细）'!C:C&gt;=$J$4,'领用录入（明细）'!C:C&lt;=$L$4),ROW(),"-")</f>
        <v>-</v>
      </c>
    </row>
    <row r="34488" customHeight="1" spans="2:2">
      <c r="B34488" s="62" t="str">
        <f>IF(AND('领用录入（明细）'!D:D=$F$4,'领用录入（明细）'!C:C&gt;=$J$4,'领用录入（明细）'!C:C&lt;=$L$4),ROW(),"-")</f>
        <v>-</v>
      </c>
    </row>
    <row r="34489" customHeight="1" spans="2:2">
      <c r="B34489" s="62" t="str">
        <f>IF(AND('领用录入（明细）'!D:D=$F$4,'领用录入（明细）'!C:C&gt;=$J$4,'领用录入（明细）'!C:C&lt;=$L$4),ROW(),"-")</f>
        <v>-</v>
      </c>
    </row>
    <row r="34490" customHeight="1" spans="2:2">
      <c r="B34490" s="62" t="str">
        <f>IF(AND('领用录入（明细）'!D:D=$F$4,'领用录入（明细）'!C:C&gt;=$J$4,'领用录入（明细）'!C:C&lt;=$L$4),ROW(),"-")</f>
        <v>-</v>
      </c>
    </row>
    <row r="34491" customHeight="1" spans="2:2">
      <c r="B34491" s="62" t="str">
        <f>IF(AND('领用录入（明细）'!D:D=$F$4,'领用录入（明细）'!C:C&gt;=$J$4,'领用录入（明细）'!C:C&lt;=$L$4),ROW(),"-")</f>
        <v>-</v>
      </c>
    </row>
    <row r="34492" customHeight="1" spans="2:2">
      <c r="B34492" s="62" t="str">
        <f>IF(AND('领用录入（明细）'!D:D=$F$4,'领用录入（明细）'!C:C&gt;=$J$4,'领用录入（明细）'!C:C&lt;=$L$4),ROW(),"-")</f>
        <v>-</v>
      </c>
    </row>
    <row r="34493" customHeight="1" spans="2:2">
      <c r="B34493" s="62" t="str">
        <f>IF(AND('领用录入（明细）'!D:D=$F$4,'领用录入（明细）'!C:C&gt;=$J$4,'领用录入（明细）'!C:C&lt;=$L$4),ROW(),"-")</f>
        <v>-</v>
      </c>
    </row>
    <row r="34494" customHeight="1" spans="2:2">
      <c r="B34494" s="62" t="str">
        <f>IF(AND('领用录入（明细）'!D:D=$F$4,'领用录入（明细）'!C:C&gt;=$J$4,'领用录入（明细）'!C:C&lt;=$L$4),ROW(),"-")</f>
        <v>-</v>
      </c>
    </row>
    <row r="34495" customHeight="1" spans="2:2">
      <c r="B34495" s="62" t="str">
        <f>IF(AND('领用录入（明细）'!D:D=$F$4,'领用录入（明细）'!C:C&gt;=$J$4,'领用录入（明细）'!C:C&lt;=$L$4),ROW(),"-")</f>
        <v>-</v>
      </c>
    </row>
    <row r="34496" customHeight="1" spans="2:2">
      <c r="B34496" s="62" t="str">
        <f>IF(AND('领用录入（明细）'!D:D=$F$4,'领用录入（明细）'!C:C&gt;=$J$4,'领用录入（明细）'!C:C&lt;=$L$4),ROW(),"-")</f>
        <v>-</v>
      </c>
    </row>
    <row r="34497" customHeight="1" spans="2:2">
      <c r="B34497" s="62" t="str">
        <f>IF(AND('领用录入（明细）'!D:D=$F$4,'领用录入（明细）'!C:C&gt;=$J$4,'领用录入（明细）'!C:C&lt;=$L$4),ROW(),"-")</f>
        <v>-</v>
      </c>
    </row>
    <row r="34498" customHeight="1" spans="2:2">
      <c r="B34498" s="62" t="str">
        <f>IF(AND('领用录入（明细）'!D:D=$F$4,'领用录入（明细）'!C:C&gt;=$J$4,'领用录入（明细）'!C:C&lt;=$L$4),ROW(),"-")</f>
        <v>-</v>
      </c>
    </row>
    <row r="34499" customHeight="1" spans="2:2">
      <c r="B34499" s="62" t="str">
        <f>IF(AND('领用录入（明细）'!D:D=$F$4,'领用录入（明细）'!C:C&gt;=$J$4,'领用录入（明细）'!C:C&lt;=$L$4),ROW(),"-")</f>
        <v>-</v>
      </c>
    </row>
    <row r="34500" customHeight="1" spans="2:2">
      <c r="B34500" s="62" t="str">
        <f>IF(AND('领用录入（明细）'!D:D=$F$4,'领用录入（明细）'!C:C&gt;=$J$4,'领用录入（明细）'!C:C&lt;=$L$4),ROW(),"-")</f>
        <v>-</v>
      </c>
    </row>
    <row r="34501" customHeight="1" spans="2:2">
      <c r="B34501" s="62" t="str">
        <f>IF(AND('领用录入（明细）'!D:D=$F$4,'领用录入（明细）'!C:C&gt;=$J$4,'领用录入（明细）'!C:C&lt;=$L$4),ROW(),"-")</f>
        <v>-</v>
      </c>
    </row>
    <row r="34502" customHeight="1" spans="2:2">
      <c r="B34502" s="62" t="str">
        <f>IF(AND('领用录入（明细）'!D:D=$F$4,'领用录入（明细）'!C:C&gt;=$J$4,'领用录入（明细）'!C:C&lt;=$L$4),ROW(),"-")</f>
        <v>-</v>
      </c>
    </row>
    <row r="34503" customHeight="1" spans="2:2">
      <c r="B34503" s="62" t="str">
        <f>IF(AND('领用录入（明细）'!D:D=$F$4,'领用录入（明细）'!C:C&gt;=$J$4,'领用录入（明细）'!C:C&lt;=$L$4),ROW(),"-")</f>
        <v>-</v>
      </c>
    </row>
    <row r="34504" customHeight="1" spans="2:2">
      <c r="B34504" s="62" t="str">
        <f>IF(AND('领用录入（明细）'!D:D=$F$4,'领用录入（明细）'!C:C&gt;=$J$4,'领用录入（明细）'!C:C&lt;=$L$4),ROW(),"-")</f>
        <v>-</v>
      </c>
    </row>
    <row r="34505" customHeight="1" spans="2:2">
      <c r="B34505" s="62" t="str">
        <f>IF(AND('领用录入（明细）'!D:D=$F$4,'领用录入（明细）'!C:C&gt;=$J$4,'领用录入（明细）'!C:C&lt;=$L$4),ROW(),"-")</f>
        <v>-</v>
      </c>
    </row>
    <row r="34506" customHeight="1" spans="2:2">
      <c r="B34506" s="62" t="str">
        <f>IF(AND('领用录入（明细）'!D:D=$F$4,'领用录入（明细）'!C:C&gt;=$J$4,'领用录入（明细）'!C:C&lt;=$L$4),ROW(),"-")</f>
        <v>-</v>
      </c>
    </row>
    <row r="34507" customHeight="1" spans="2:2">
      <c r="B34507" s="62" t="str">
        <f>IF(AND('领用录入（明细）'!D:D=$F$4,'领用录入（明细）'!C:C&gt;=$J$4,'领用录入（明细）'!C:C&lt;=$L$4),ROW(),"-")</f>
        <v>-</v>
      </c>
    </row>
    <row r="34508" customHeight="1" spans="2:2">
      <c r="B34508" s="62" t="str">
        <f>IF(AND('领用录入（明细）'!D:D=$F$4,'领用录入（明细）'!C:C&gt;=$J$4,'领用录入（明细）'!C:C&lt;=$L$4),ROW(),"-")</f>
        <v>-</v>
      </c>
    </row>
    <row r="34509" customHeight="1" spans="2:2">
      <c r="B34509" s="62" t="str">
        <f>IF(AND('领用录入（明细）'!D:D=$F$4,'领用录入（明细）'!C:C&gt;=$J$4,'领用录入（明细）'!C:C&lt;=$L$4),ROW(),"-")</f>
        <v>-</v>
      </c>
    </row>
    <row r="34510" customHeight="1" spans="2:2">
      <c r="B34510" s="62" t="str">
        <f>IF(AND('领用录入（明细）'!D:D=$F$4,'领用录入（明细）'!C:C&gt;=$J$4,'领用录入（明细）'!C:C&lt;=$L$4),ROW(),"-")</f>
        <v>-</v>
      </c>
    </row>
    <row r="34511" customHeight="1" spans="2:2">
      <c r="B34511" s="62" t="str">
        <f>IF(AND('领用录入（明细）'!D:D=$F$4,'领用录入（明细）'!C:C&gt;=$J$4,'领用录入（明细）'!C:C&lt;=$L$4),ROW(),"-")</f>
        <v>-</v>
      </c>
    </row>
    <row r="34512" customHeight="1" spans="2:2">
      <c r="B34512" s="62" t="str">
        <f>IF(AND('领用录入（明细）'!D:D=$F$4,'领用录入（明细）'!C:C&gt;=$J$4,'领用录入（明细）'!C:C&lt;=$L$4),ROW(),"-")</f>
        <v>-</v>
      </c>
    </row>
    <row r="34513" customHeight="1" spans="2:2">
      <c r="B34513" s="62" t="str">
        <f>IF(AND('领用录入（明细）'!D:D=$F$4,'领用录入（明细）'!C:C&gt;=$J$4,'领用录入（明细）'!C:C&lt;=$L$4),ROW(),"-")</f>
        <v>-</v>
      </c>
    </row>
    <row r="34514" customHeight="1" spans="2:2">
      <c r="B34514" s="62" t="str">
        <f>IF(AND('领用录入（明细）'!D:D=$F$4,'领用录入（明细）'!C:C&gt;=$J$4,'领用录入（明细）'!C:C&lt;=$L$4),ROW(),"-")</f>
        <v>-</v>
      </c>
    </row>
    <row r="34515" customHeight="1" spans="2:2">
      <c r="B34515" s="62" t="str">
        <f>IF(AND('领用录入（明细）'!D:D=$F$4,'领用录入（明细）'!C:C&gt;=$J$4,'领用录入（明细）'!C:C&lt;=$L$4),ROW(),"-")</f>
        <v>-</v>
      </c>
    </row>
    <row r="34516" customHeight="1" spans="2:2">
      <c r="B34516" s="62" t="str">
        <f>IF(AND('领用录入（明细）'!D:D=$F$4,'领用录入（明细）'!C:C&gt;=$J$4,'领用录入（明细）'!C:C&lt;=$L$4),ROW(),"-")</f>
        <v>-</v>
      </c>
    </row>
    <row r="34517" customHeight="1" spans="2:2">
      <c r="B34517" s="62" t="str">
        <f>IF(AND('领用录入（明细）'!D:D=$F$4,'领用录入（明细）'!C:C&gt;=$J$4,'领用录入（明细）'!C:C&lt;=$L$4),ROW(),"-")</f>
        <v>-</v>
      </c>
    </row>
    <row r="34518" customHeight="1" spans="2:2">
      <c r="B34518" s="62" t="str">
        <f>IF(AND('领用录入（明细）'!D:D=$F$4,'领用录入（明细）'!C:C&gt;=$J$4,'领用录入（明细）'!C:C&lt;=$L$4),ROW(),"-")</f>
        <v>-</v>
      </c>
    </row>
    <row r="34519" customHeight="1" spans="2:2">
      <c r="B34519" s="62" t="str">
        <f>IF(AND('领用录入（明细）'!D:D=$F$4,'领用录入（明细）'!C:C&gt;=$J$4,'领用录入（明细）'!C:C&lt;=$L$4),ROW(),"-")</f>
        <v>-</v>
      </c>
    </row>
    <row r="34520" customHeight="1" spans="2:2">
      <c r="B34520" s="62" t="str">
        <f>IF(AND('领用录入（明细）'!D:D=$F$4,'领用录入（明细）'!C:C&gt;=$J$4,'领用录入（明细）'!C:C&lt;=$L$4),ROW(),"-")</f>
        <v>-</v>
      </c>
    </row>
    <row r="34521" customHeight="1" spans="2:2">
      <c r="B34521" s="62" t="str">
        <f>IF(AND('领用录入（明细）'!D:D=$F$4,'领用录入（明细）'!C:C&gt;=$J$4,'领用录入（明细）'!C:C&lt;=$L$4),ROW(),"-")</f>
        <v>-</v>
      </c>
    </row>
    <row r="34522" customHeight="1" spans="2:2">
      <c r="B34522" s="62" t="str">
        <f>IF(AND('领用录入（明细）'!D:D=$F$4,'领用录入（明细）'!C:C&gt;=$J$4,'领用录入（明细）'!C:C&lt;=$L$4),ROW(),"-")</f>
        <v>-</v>
      </c>
    </row>
    <row r="34523" customHeight="1" spans="2:2">
      <c r="B34523" s="62" t="str">
        <f>IF(AND('领用录入（明细）'!D:D=$F$4,'领用录入（明细）'!C:C&gt;=$J$4,'领用录入（明细）'!C:C&lt;=$L$4),ROW(),"-")</f>
        <v>-</v>
      </c>
    </row>
    <row r="34524" customHeight="1" spans="2:2">
      <c r="B34524" s="62" t="str">
        <f>IF(AND('领用录入（明细）'!D:D=$F$4,'领用录入（明细）'!C:C&gt;=$J$4,'领用录入（明细）'!C:C&lt;=$L$4),ROW(),"-")</f>
        <v>-</v>
      </c>
    </row>
    <row r="34525" customHeight="1" spans="2:2">
      <c r="B34525" s="62" t="str">
        <f>IF(AND('领用录入（明细）'!D:D=$F$4,'领用录入（明细）'!C:C&gt;=$J$4,'领用录入（明细）'!C:C&lt;=$L$4),ROW(),"-")</f>
        <v>-</v>
      </c>
    </row>
    <row r="34526" customHeight="1" spans="2:2">
      <c r="B34526" s="62" t="str">
        <f>IF(AND('领用录入（明细）'!D:D=$F$4,'领用录入（明细）'!C:C&gt;=$J$4,'领用录入（明细）'!C:C&lt;=$L$4),ROW(),"-")</f>
        <v>-</v>
      </c>
    </row>
    <row r="34527" customHeight="1" spans="2:2">
      <c r="B34527" s="62" t="str">
        <f>IF(AND('领用录入（明细）'!D:D=$F$4,'领用录入（明细）'!C:C&gt;=$J$4,'领用录入（明细）'!C:C&lt;=$L$4),ROW(),"-")</f>
        <v>-</v>
      </c>
    </row>
    <row r="34528" customHeight="1" spans="2:2">
      <c r="B34528" s="62" t="str">
        <f>IF(AND('领用录入（明细）'!D:D=$F$4,'领用录入（明细）'!C:C&gt;=$J$4,'领用录入（明细）'!C:C&lt;=$L$4),ROW(),"-")</f>
        <v>-</v>
      </c>
    </row>
    <row r="34529" customHeight="1" spans="2:2">
      <c r="B34529" s="62" t="str">
        <f>IF(AND('领用录入（明细）'!D:D=$F$4,'领用录入（明细）'!C:C&gt;=$J$4,'领用录入（明细）'!C:C&lt;=$L$4),ROW(),"-")</f>
        <v>-</v>
      </c>
    </row>
    <row r="34530" customHeight="1" spans="2:2">
      <c r="B34530" s="62" t="str">
        <f>IF(AND('领用录入（明细）'!D:D=$F$4,'领用录入（明细）'!C:C&gt;=$J$4,'领用录入（明细）'!C:C&lt;=$L$4),ROW(),"-")</f>
        <v>-</v>
      </c>
    </row>
    <row r="34531" customHeight="1" spans="2:2">
      <c r="B34531" s="62" t="str">
        <f>IF(AND('领用录入（明细）'!D:D=$F$4,'领用录入（明细）'!C:C&gt;=$J$4,'领用录入（明细）'!C:C&lt;=$L$4),ROW(),"-")</f>
        <v>-</v>
      </c>
    </row>
    <row r="34532" customHeight="1" spans="2:2">
      <c r="B34532" s="62" t="str">
        <f>IF(AND('领用录入（明细）'!D:D=$F$4,'领用录入（明细）'!C:C&gt;=$J$4,'领用录入（明细）'!C:C&lt;=$L$4),ROW(),"-")</f>
        <v>-</v>
      </c>
    </row>
    <row r="34533" customHeight="1" spans="2:2">
      <c r="B34533" s="62" t="str">
        <f>IF(AND('领用录入（明细）'!D:D=$F$4,'领用录入（明细）'!C:C&gt;=$J$4,'领用录入（明细）'!C:C&lt;=$L$4),ROW(),"-")</f>
        <v>-</v>
      </c>
    </row>
    <row r="34534" customHeight="1" spans="2:2">
      <c r="B34534" s="62" t="str">
        <f>IF(AND('领用录入（明细）'!D:D=$F$4,'领用录入（明细）'!C:C&gt;=$J$4,'领用录入（明细）'!C:C&lt;=$L$4),ROW(),"-")</f>
        <v>-</v>
      </c>
    </row>
    <row r="34535" customHeight="1" spans="2:2">
      <c r="B34535" s="62" t="str">
        <f>IF(AND('领用录入（明细）'!D:D=$F$4,'领用录入（明细）'!C:C&gt;=$J$4,'领用录入（明细）'!C:C&lt;=$L$4),ROW(),"-")</f>
        <v>-</v>
      </c>
    </row>
    <row r="34536" customHeight="1" spans="2:2">
      <c r="B34536" s="62" t="str">
        <f>IF(AND('领用录入（明细）'!D:D=$F$4,'领用录入（明细）'!C:C&gt;=$J$4,'领用录入（明细）'!C:C&lt;=$L$4),ROW(),"-")</f>
        <v>-</v>
      </c>
    </row>
    <row r="34537" customHeight="1" spans="2:2">
      <c r="B34537" s="62" t="str">
        <f>IF(AND('领用录入（明细）'!D:D=$F$4,'领用录入（明细）'!C:C&gt;=$J$4,'领用录入（明细）'!C:C&lt;=$L$4),ROW(),"-")</f>
        <v>-</v>
      </c>
    </row>
    <row r="34538" customHeight="1" spans="2:2">
      <c r="B34538" s="62" t="str">
        <f>IF(AND('领用录入（明细）'!D:D=$F$4,'领用录入（明细）'!C:C&gt;=$J$4,'领用录入（明细）'!C:C&lt;=$L$4),ROW(),"-")</f>
        <v>-</v>
      </c>
    </row>
    <row r="34539" customHeight="1" spans="2:2">
      <c r="B34539" s="62" t="str">
        <f>IF(AND('领用录入（明细）'!D:D=$F$4,'领用录入（明细）'!C:C&gt;=$J$4,'领用录入（明细）'!C:C&lt;=$L$4),ROW(),"-")</f>
        <v>-</v>
      </c>
    </row>
    <row r="34540" customHeight="1" spans="2:2">
      <c r="B34540" s="62" t="str">
        <f>IF(AND('领用录入（明细）'!D:D=$F$4,'领用录入（明细）'!C:C&gt;=$J$4,'领用录入（明细）'!C:C&lt;=$L$4),ROW(),"-")</f>
        <v>-</v>
      </c>
    </row>
    <row r="34541" customHeight="1" spans="2:2">
      <c r="B34541" s="62" t="str">
        <f>IF(AND('领用录入（明细）'!D:D=$F$4,'领用录入（明细）'!C:C&gt;=$J$4,'领用录入（明细）'!C:C&lt;=$L$4),ROW(),"-")</f>
        <v>-</v>
      </c>
    </row>
    <row r="34542" customHeight="1" spans="2:2">
      <c r="B34542" s="62" t="str">
        <f>IF(AND('领用录入（明细）'!D:D=$F$4,'领用录入（明细）'!C:C&gt;=$J$4,'领用录入（明细）'!C:C&lt;=$L$4),ROW(),"-")</f>
        <v>-</v>
      </c>
    </row>
    <row r="34543" customHeight="1" spans="2:2">
      <c r="B34543" s="62" t="str">
        <f>IF(AND('领用录入（明细）'!D:D=$F$4,'领用录入（明细）'!C:C&gt;=$J$4,'领用录入（明细）'!C:C&lt;=$L$4),ROW(),"-")</f>
        <v>-</v>
      </c>
    </row>
    <row r="34544" customHeight="1" spans="2:2">
      <c r="B34544" s="62" t="str">
        <f>IF(AND('领用录入（明细）'!D:D=$F$4,'领用录入（明细）'!C:C&gt;=$J$4,'领用录入（明细）'!C:C&lt;=$L$4),ROW(),"-")</f>
        <v>-</v>
      </c>
    </row>
    <row r="34545" customHeight="1" spans="2:2">
      <c r="B34545" s="62" t="str">
        <f>IF(AND('领用录入（明细）'!D:D=$F$4,'领用录入（明细）'!C:C&gt;=$J$4,'领用录入（明细）'!C:C&lt;=$L$4),ROW(),"-")</f>
        <v>-</v>
      </c>
    </row>
    <row r="34546" customHeight="1" spans="2:2">
      <c r="B34546" s="62" t="str">
        <f>IF(AND('领用录入（明细）'!D:D=$F$4,'领用录入（明细）'!C:C&gt;=$J$4,'领用录入（明细）'!C:C&lt;=$L$4),ROW(),"-")</f>
        <v>-</v>
      </c>
    </row>
    <row r="34547" customHeight="1" spans="2:2">
      <c r="B34547" s="62" t="str">
        <f>IF(AND('领用录入（明细）'!D:D=$F$4,'领用录入（明细）'!C:C&gt;=$J$4,'领用录入（明细）'!C:C&lt;=$L$4),ROW(),"-")</f>
        <v>-</v>
      </c>
    </row>
    <row r="34548" customHeight="1" spans="2:2">
      <c r="B34548" s="62" t="str">
        <f>IF(AND('领用录入（明细）'!D:D=$F$4,'领用录入（明细）'!C:C&gt;=$J$4,'领用录入（明细）'!C:C&lt;=$L$4),ROW(),"-")</f>
        <v>-</v>
      </c>
    </row>
    <row r="34549" customHeight="1" spans="2:2">
      <c r="B34549" s="62" t="str">
        <f>IF(AND('领用录入（明细）'!D:D=$F$4,'领用录入（明细）'!C:C&gt;=$J$4,'领用录入（明细）'!C:C&lt;=$L$4),ROW(),"-")</f>
        <v>-</v>
      </c>
    </row>
    <row r="34550" customHeight="1" spans="2:2">
      <c r="B34550" s="62" t="str">
        <f>IF(AND('领用录入（明细）'!D:D=$F$4,'领用录入（明细）'!C:C&gt;=$J$4,'领用录入（明细）'!C:C&lt;=$L$4),ROW(),"-")</f>
        <v>-</v>
      </c>
    </row>
    <row r="34551" customHeight="1" spans="2:2">
      <c r="B34551" s="62" t="str">
        <f>IF(AND('领用录入（明细）'!D:D=$F$4,'领用录入（明细）'!C:C&gt;=$J$4,'领用录入（明细）'!C:C&lt;=$L$4),ROW(),"-")</f>
        <v>-</v>
      </c>
    </row>
    <row r="34552" customHeight="1" spans="2:2">
      <c r="B34552" s="62" t="str">
        <f>IF(AND('领用录入（明细）'!D:D=$F$4,'领用录入（明细）'!C:C&gt;=$J$4,'领用录入（明细）'!C:C&lt;=$L$4),ROW(),"-")</f>
        <v>-</v>
      </c>
    </row>
    <row r="34553" customHeight="1" spans="2:2">
      <c r="B34553" s="62" t="str">
        <f>IF(AND('领用录入（明细）'!D:D=$F$4,'领用录入（明细）'!C:C&gt;=$J$4,'领用录入（明细）'!C:C&lt;=$L$4),ROW(),"-")</f>
        <v>-</v>
      </c>
    </row>
    <row r="34554" customHeight="1" spans="2:2">
      <c r="B34554" s="62" t="str">
        <f>IF(AND('领用录入（明细）'!D:D=$F$4,'领用录入（明细）'!C:C&gt;=$J$4,'领用录入（明细）'!C:C&lt;=$L$4),ROW(),"-")</f>
        <v>-</v>
      </c>
    </row>
    <row r="34555" customHeight="1" spans="2:2">
      <c r="B34555" s="62" t="str">
        <f>IF(AND('领用录入（明细）'!D:D=$F$4,'领用录入（明细）'!C:C&gt;=$J$4,'领用录入（明细）'!C:C&lt;=$L$4),ROW(),"-")</f>
        <v>-</v>
      </c>
    </row>
    <row r="34556" customHeight="1" spans="2:2">
      <c r="B34556" s="62" t="str">
        <f>IF(AND('领用录入（明细）'!D:D=$F$4,'领用录入（明细）'!C:C&gt;=$J$4,'领用录入（明细）'!C:C&lt;=$L$4),ROW(),"-")</f>
        <v>-</v>
      </c>
    </row>
    <row r="34557" customHeight="1" spans="2:2">
      <c r="B34557" s="62" t="str">
        <f>IF(AND('领用录入（明细）'!D:D=$F$4,'领用录入（明细）'!C:C&gt;=$J$4,'领用录入（明细）'!C:C&lt;=$L$4),ROW(),"-")</f>
        <v>-</v>
      </c>
    </row>
    <row r="34558" customHeight="1" spans="2:2">
      <c r="B34558" s="62" t="str">
        <f>IF(AND('领用录入（明细）'!D:D=$F$4,'领用录入（明细）'!C:C&gt;=$J$4,'领用录入（明细）'!C:C&lt;=$L$4),ROW(),"-")</f>
        <v>-</v>
      </c>
    </row>
    <row r="34559" customHeight="1" spans="2:2">
      <c r="B34559" s="62" t="str">
        <f>IF(AND('领用录入（明细）'!D:D=$F$4,'领用录入（明细）'!C:C&gt;=$J$4,'领用录入（明细）'!C:C&lt;=$L$4),ROW(),"-")</f>
        <v>-</v>
      </c>
    </row>
    <row r="34560" customHeight="1" spans="2:2">
      <c r="B34560" s="62" t="str">
        <f>IF(AND('领用录入（明细）'!D:D=$F$4,'领用录入（明细）'!C:C&gt;=$J$4,'领用录入（明细）'!C:C&lt;=$L$4),ROW(),"-")</f>
        <v>-</v>
      </c>
    </row>
    <row r="34561" customHeight="1" spans="2:2">
      <c r="B34561" s="62" t="str">
        <f>IF(AND('领用录入（明细）'!D:D=$F$4,'领用录入（明细）'!C:C&gt;=$J$4,'领用录入（明细）'!C:C&lt;=$L$4),ROW(),"-")</f>
        <v>-</v>
      </c>
    </row>
    <row r="34562" customHeight="1" spans="2:2">
      <c r="B34562" s="62" t="str">
        <f>IF(AND('领用录入（明细）'!D:D=$F$4,'领用录入（明细）'!C:C&gt;=$J$4,'领用录入（明细）'!C:C&lt;=$L$4),ROW(),"-")</f>
        <v>-</v>
      </c>
    </row>
    <row r="34563" customHeight="1" spans="2:2">
      <c r="B34563" s="62" t="str">
        <f>IF(AND('领用录入（明细）'!D:D=$F$4,'领用录入（明细）'!C:C&gt;=$J$4,'领用录入（明细）'!C:C&lt;=$L$4),ROW(),"-")</f>
        <v>-</v>
      </c>
    </row>
    <row r="34564" customHeight="1" spans="2:2">
      <c r="B34564" s="62" t="str">
        <f>IF(AND('领用录入（明细）'!D:D=$F$4,'领用录入（明细）'!C:C&gt;=$J$4,'领用录入（明细）'!C:C&lt;=$L$4),ROW(),"-")</f>
        <v>-</v>
      </c>
    </row>
    <row r="34565" customHeight="1" spans="2:2">
      <c r="B34565" s="62" t="str">
        <f>IF(AND('领用录入（明细）'!D:D=$F$4,'领用录入（明细）'!C:C&gt;=$J$4,'领用录入（明细）'!C:C&lt;=$L$4),ROW(),"-")</f>
        <v>-</v>
      </c>
    </row>
    <row r="34566" customHeight="1" spans="2:2">
      <c r="B34566" s="62" t="str">
        <f>IF(AND('领用录入（明细）'!D:D=$F$4,'领用录入（明细）'!C:C&gt;=$J$4,'领用录入（明细）'!C:C&lt;=$L$4),ROW(),"-")</f>
        <v>-</v>
      </c>
    </row>
    <row r="34567" customHeight="1" spans="2:2">
      <c r="B34567" s="62" t="str">
        <f>IF(AND('领用录入（明细）'!D:D=$F$4,'领用录入（明细）'!C:C&gt;=$J$4,'领用录入（明细）'!C:C&lt;=$L$4),ROW(),"-")</f>
        <v>-</v>
      </c>
    </row>
    <row r="34568" customHeight="1" spans="2:2">
      <c r="B34568" s="62" t="str">
        <f>IF(AND('领用录入（明细）'!D:D=$F$4,'领用录入（明细）'!C:C&gt;=$J$4,'领用录入（明细）'!C:C&lt;=$L$4),ROW(),"-")</f>
        <v>-</v>
      </c>
    </row>
    <row r="34569" customHeight="1" spans="2:2">
      <c r="B34569" s="62" t="str">
        <f>IF(AND('领用录入（明细）'!D:D=$F$4,'领用录入（明细）'!C:C&gt;=$J$4,'领用录入（明细）'!C:C&lt;=$L$4),ROW(),"-")</f>
        <v>-</v>
      </c>
    </row>
    <row r="34570" customHeight="1" spans="2:2">
      <c r="B34570" s="62" t="str">
        <f>IF(AND('领用录入（明细）'!D:D=$F$4,'领用录入（明细）'!C:C&gt;=$J$4,'领用录入（明细）'!C:C&lt;=$L$4),ROW(),"-")</f>
        <v>-</v>
      </c>
    </row>
    <row r="34571" customHeight="1" spans="2:2">
      <c r="B34571" s="62" t="str">
        <f>IF(AND('领用录入（明细）'!D:D=$F$4,'领用录入（明细）'!C:C&gt;=$J$4,'领用录入（明细）'!C:C&lt;=$L$4),ROW(),"-")</f>
        <v>-</v>
      </c>
    </row>
    <row r="34572" customHeight="1" spans="2:2">
      <c r="B34572" s="62" t="str">
        <f>IF(AND('领用录入（明细）'!D:D=$F$4,'领用录入（明细）'!C:C&gt;=$J$4,'领用录入（明细）'!C:C&lt;=$L$4),ROW(),"-")</f>
        <v>-</v>
      </c>
    </row>
    <row r="34573" customHeight="1" spans="2:2">
      <c r="B34573" s="62" t="str">
        <f>IF(AND('领用录入（明细）'!D:D=$F$4,'领用录入（明细）'!C:C&gt;=$J$4,'领用录入（明细）'!C:C&lt;=$L$4),ROW(),"-")</f>
        <v>-</v>
      </c>
    </row>
    <row r="34574" customHeight="1" spans="2:2">
      <c r="B34574" s="62" t="str">
        <f>IF(AND('领用录入（明细）'!D:D=$F$4,'领用录入（明细）'!C:C&gt;=$J$4,'领用录入（明细）'!C:C&lt;=$L$4),ROW(),"-")</f>
        <v>-</v>
      </c>
    </row>
    <row r="34575" customHeight="1" spans="2:2">
      <c r="B34575" s="62" t="str">
        <f>IF(AND('领用录入（明细）'!D:D=$F$4,'领用录入（明细）'!C:C&gt;=$J$4,'领用录入（明细）'!C:C&lt;=$L$4),ROW(),"-")</f>
        <v>-</v>
      </c>
    </row>
    <row r="34576" customHeight="1" spans="2:2">
      <c r="B34576" s="62" t="str">
        <f>IF(AND('领用录入（明细）'!D:D=$F$4,'领用录入（明细）'!C:C&gt;=$J$4,'领用录入（明细）'!C:C&lt;=$L$4),ROW(),"-")</f>
        <v>-</v>
      </c>
    </row>
    <row r="34577" customHeight="1" spans="2:2">
      <c r="B34577" s="62" t="str">
        <f>IF(AND('领用录入（明细）'!D:D=$F$4,'领用录入（明细）'!C:C&gt;=$J$4,'领用录入（明细）'!C:C&lt;=$L$4),ROW(),"-")</f>
        <v>-</v>
      </c>
    </row>
    <row r="34578" customHeight="1" spans="2:2">
      <c r="B34578" s="62" t="str">
        <f>IF(AND('领用录入（明细）'!D:D=$F$4,'领用录入（明细）'!C:C&gt;=$J$4,'领用录入（明细）'!C:C&lt;=$L$4),ROW(),"-")</f>
        <v>-</v>
      </c>
    </row>
    <row r="34579" customHeight="1" spans="2:2">
      <c r="B34579" s="62" t="str">
        <f>IF(AND('领用录入（明细）'!D:D=$F$4,'领用录入（明细）'!C:C&gt;=$J$4,'领用录入（明细）'!C:C&lt;=$L$4),ROW(),"-")</f>
        <v>-</v>
      </c>
    </row>
    <row r="34580" customHeight="1" spans="2:2">
      <c r="B34580" s="62" t="str">
        <f>IF(AND('领用录入（明细）'!D:D=$F$4,'领用录入（明细）'!C:C&gt;=$J$4,'领用录入（明细）'!C:C&lt;=$L$4),ROW(),"-")</f>
        <v>-</v>
      </c>
    </row>
    <row r="34581" customHeight="1" spans="2:2">
      <c r="B34581" s="62" t="str">
        <f>IF(AND('领用录入（明细）'!D:D=$F$4,'领用录入（明细）'!C:C&gt;=$J$4,'领用录入（明细）'!C:C&lt;=$L$4),ROW(),"-")</f>
        <v>-</v>
      </c>
    </row>
    <row r="34582" customHeight="1" spans="2:2">
      <c r="B34582" s="62" t="str">
        <f>IF(AND('领用录入（明细）'!D:D=$F$4,'领用录入（明细）'!C:C&gt;=$J$4,'领用录入（明细）'!C:C&lt;=$L$4),ROW(),"-")</f>
        <v>-</v>
      </c>
    </row>
    <row r="34583" customHeight="1" spans="2:2">
      <c r="B34583" s="62" t="str">
        <f>IF(AND('领用录入（明细）'!D:D=$F$4,'领用录入（明细）'!C:C&gt;=$J$4,'领用录入（明细）'!C:C&lt;=$L$4),ROW(),"-")</f>
        <v>-</v>
      </c>
    </row>
    <row r="34584" customHeight="1" spans="2:2">
      <c r="B34584" s="62" t="str">
        <f>IF(AND('领用录入（明细）'!D:D=$F$4,'领用录入（明细）'!C:C&gt;=$J$4,'领用录入（明细）'!C:C&lt;=$L$4),ROW(),"-")</f>
        <v>-</v>
      </c>
    </row>
    <row r="34585" customHeight="1" spans="2:2">
      <c r="B34585" s="62" t="str">
        <f>IF(AND('领用录入（明细）'!D:D=$F$4,'领用录入（明细）'!C:C&gt;=$J$4,'领用录入（明细）'!C:C&lt;=$L$4),ROW(),"-")</f>
        <v>-</v>
      </c>
    </row>
    <row r="34586" customHeight="1" spans="2:2">
      <c r="B34586" s="62" t="str">
        <f>IF(AND('领用录入（明细）'!D:D=$F$4,'领用录入（明细）'!C:C&gt;=$J$4,'领用录入（明细）'!C:C&lt;=$L$4),ROW(),"-")</f>
        <v>-</v>
      </c>
    </row>
    <row r="34587" customHeight="1" spans="2:2">
      <c r="B34587" s="62" t="str">
        <f>IF(AND('领用录入（明细）'!D:D=$F$4,'领用录入（明细）'!C:C&gt;=$J$4,'领用录入（明细）'!C:C&lt;=$L$4),ROW(),"-")</f>
        <v>-</v>
      </c>
    </row>
    <row r="34588" customHeight="1" spans="2:2">
      <c r="B34588" s="62" t="str">
        <f>IF(AND('领用录入（明细）'!D:D=$F$4,'领用录入（明细）'!C:C&gt;=$J$4,'领用录入（明细）'!C:C&lt;=$L$4),ROW(),"-")</f>
        <v>-</v>
      </c>
    </row>
    <row r="34589" customHeight="1" spans="2:2">
      <c r="B34589" s="62" t="str">
        <f>IF(AND('领用录入（明细）'!D:D=$F$4,'领用录入（明细）'!C:C&gt;=$J$4,'领用录入（明细）'!C:C&lt;=$L$4),ROW(),"-")</f>
        <v>-</v>
      </c>
    </row>
    <row r="34590" customHeight="1" spans="2:2">
      <c r="B34590" s="62" t="str">
        <f>IF(AND('领用录入（明细）'!D:D=$F$4,'领用录入（明细）'!C:C&gt;=$J$4,'领用录入（明细）'!C:C&lt;=$L$4),ROW(),"-")</f>
        <v>-</v>
      </c>
    </row>
    <row r="34591" customHeight="1" spans="2:2">
      <c r="B34591" s="62" t="str">
        <f>IF(AND('领用录入（明细）'!D:D=$F$4,'领用录入（明细）'!C:C&gt;=$J$4,'领用录入（明细）'!C:C&lt;=$L$4),ROW(),"-")</f>
        <v>-</v>
      </c>
    </row>
    <row r="34592" customHeight="1" spans="2:2">
      <c r="B34592" s="62" t="str">
        <f>IF(AND('领用录入（明细）'!D:D=$F$4,'领用录入（明细）'!C:C&gt;=$J$4,'领用录入（明细）'!C:C&lt;=$L$4),ROW(),"-")</f>
        <v>-</v>
      </c>
    </row>
    <row r="34593" customHeight="1" spans="2:2">
      <c r="B34593" s="62" t="str">
        <f>IF(AND('领用录入（明细）'!D:D=$F$4,'领用录入（明细）'!C:C&gt;=$J$4,'领用录入（明细）'!C:C&lt;=$L$4),ROW(),"-")</f>
        <v>-</v>
      </c>
    </row>
    <row r="34594" customHeight="1" spans="2:2">
      <c r="B34594" s="62" t="str">
        <f>IF(AND('领用录入（明细）'!D:D=$F$4,'领用录入（明细）'!C:C&gt;=$J$4,'领用录入（明细）'!C:C&lt;=$L$4),ROW(),"-")</f>
        <v>-</v>
      </c>
    </row>
    <row r="34595" customHeight="1" spans="2:2">
      <c r="B34595" s="62" t="str">
        <f>IF(AND('领用录入（明细）'!D:D=$F$4,'领用录入（明细）'!C:C&gt;=$J$4,'领用录入（明细）'!C:C&lt;=$L$4),ROW(),"-")</f>
        <v>-</v>
      </c>
    </row>
    <row r="34596" customHeight="1" spans="2:2">
      <c r="B34596" s="62" t="str">
        <f>IF(AND('领用录入（明细）'!D:D=$F$4,'领用录入（明细）'!C:C&gt;=$J$4,'领用录入（明细）'!C:C&lt;=$L$4),ROW(),"-")</f>
        <v>-</v>
      </c>
    </row>
    <row r="34597" customHeight="1" spans="2:2">
      <c r="B34597" s="62" t="str">
        <f>IF(AND('领用录入（明细）'!D:D=$F$4,'领用录入（明细）'!C:C&gt;=$J$4,'领用录入（明细）'!C:C&lt;=$L$4),ROW(),"-")</f>
        <v>-</v>
      </c>
    </row>
    <row r="34598" customHeight="1" spans="2:2">
      <c r="B34598" s="62" t="str">
        <f>IF(AND('领用录入（明细）'!D:D=$F$4,'领用录入（明细）'!C:C&gt;=$J$4,'领用录入（明细）'!C:C&lt;=$L$4),ROW(),"-")</f>
        <v>-</v>
      </c>
    </row>
    <row r="34599" customHeight="1" spans="2:2">
      <c r="B34599" s="62" t="str">
        <f>IF(AND('领用录入（明细）'!D:D=$F$4,'领用录入（明细）'!C:C&gt;=$J$4,'领用录入（明细）'!C:C&lt;=$L$4),ROW(),"-")</f>
        <v>-</v>
      </c>
    </row>
    <row r="34600" customHeight="1" spans="2:2">
      <c r="B34600" s="62" t="str">
        <f>IF(AND('领用录入（明细）'!D:D=$F$4,'领用录入（明细）'!C:C&gt;=$J$4,'领用录入（明细）'!C:C&lt;=$L$4),ROW(),"-")</f>
        <v>-</v>
      </c>
    </row>
    <row r="34601" customHeight="1" spans="2:2">
      <c r="B34601" s="62" t="str">
        <f>IF(AND('领用录入（明细）'!D:D=$F$4,'领用录入（明细）'!C:C&gt;=$J$4,'领用录入（明细）'!C:C&lt;=$L$4),ROW(),"-")</f>
        <v>-</v>
      </c>
    </row>
    <row r="34602" customHeight="1" spans="2:2">
      <c r="B34602" s="62" t="str">
        <f>IF(AND('领用录入（明细）'!D:D=$F$4,'领用录入（明细）'!C:C&gt;=$J$4,'领用录入（明细）'!C:C&lt;=$L$4),ROW(),"-")</f>
        <v>-</v>
      </c>
    </row>
    <row r="34603" customHeight="1" spans="2:2">
      <c r="B34603" s="62" t="str">
        <f>IF(AND('领用录入（明细）'!D:D=$F$4,'领用录入（明细）'!C:C&gt;=$J$4,'领用录入（明细）'!C:C&lt;=$L$4),ROW(),"-")</f>
        <v>-</v>
      </c>
    </row>
    <row r="34604" customHeight="1" spans="2:2">
      <c r="B34604" s="62" t="str">
        <f>IF(AND('领用录入（明细）'!D:D=$F$4,'领用录入（明细）'!C:C&gt;=$J$4,'领用录入（明细）'!C:C&lt;=$L$4),ROW(),"-")</f>
        <v>-</v>
      </c>
    </row>
    <row r="34605" customHeight="1" spans="2:2">
      <c r="B34605" s="62" t="str">
        <f>IF(AND('领用录入（明细）'!D:D=$F$4,'领用录入（明细）'!C:C&gt;=$J$4,'领用录入（明细）'!C:C&lt;=$L$4),ROW(),"-")</f>
        <v>-</v>
      </c>
    </row>
    <row r="34606" customHeight="1" spans="2:2">
      <c r="B34606" s="62" t="str">
        <f>IF(AND('领用录入（明细）'!D:D=$F$4,'领用录入（明细）'!C:C&gt;=$J$4,'领用录入（明细）'!C:C&lt;=$L$4),ROW(),"-")</f>
        <v>-</v>
      </c>
    </row>
    <row r="34607" customHeight="1" spans="2:2">
      <c r="B34607" s="62" t="str">
        <f>IF(AND('领用录入（明细）'!D:D=$F$4,'领用录入（明细）'!C:C&gt;=$J$4,'领用录入（明细）'!C:C&lt;=$L$4),ROW(),"-")</f>
        <v>-</v>
      </c>
    </row>
    <row r="34608" customHeight="1" spans="2:2">
      <c r="B34608" s="62" t="str">
        <f>IF(AND('领用录入（明细）'!D:D=$F$4,'领用录入（明细）'!C:C&gt;=$J$4,'领用录入（明细）'!C:C&lt;=$L$4),ROW(),"-")</f>
        <v>-</v>
      </c>
    </row>
    <row r="34609" customHeight="1" spans="2:2">
      <c r="B34609" s="62" t="str">
        <f>IF(AND('领用录入（明细）'!D:D=$F$4,'领用录入（明细）'!C:C&gt;=$J$4,'领用录入（明细）'!C:C&lt;=$L$4),ROW(),"-")</f>
        <v>-</v>
      </c>
    </row>
    <row r="34610" customHeight="1" spans="2:2">
      <c r="B34610" s="62" t="str">
        <f>IF(AND('领用录入（明细）'!D:D=$F$4,'领用录入（明细）'!C:C&gt;=$J$4,'领用录入（明细）'!C:C&lt;=$L$4),ROW(),"-")</f>
        <v>-</v>
      </c>
    </row>
    <row r="34611" customHeight="1" spans="2:2">
      <c r="B34611" s="62" t="str">
        <f>IF(AND('领用录入（明细）'!D:D=$F$4,'领用录入（明细）'!C:C&gt;=$J$4,'领用录入（明细）'!C:C&lt;=$L$4),ROW(),"-")</f>
        <v>-</v>
      </c>
    </row>
    <row r="34612" customHeight="1" spans="2:2">
      <c r="B34612" s="62" t="str">
        <f>IF(AND('领用录入（明细）'!D:D=$F$4,'领用录入（明细）'!C:C&gt;=$J$4,'领用录入（明细）'!C:C&lt;=$L$4),ROW(),"-")</f>
        <v>-</v>
      </c>
    </row>
    <row r="34613" customHeight="1" spans="2:2">
      <c r="B34613" s="62" t="str">
        <f>IF(AND('领用录入（明细）'!D:D=$F$4,'领用录入（明细）'!C:C&gt;=$J$4,'领用录入（明细）'!C:C&lt;=$L$4),ROW(),"-")</f>
        <v>-</v>
      </c>
    </row>
    <row r="34614" customHeight="1" spans="2:2">
      <c r="B34614" s="62" t="str">
        <f>IF(AND('领用录入（明细）'!D:D=$F$4,'领用录入（明细）'!C:C&gt;=$J$4,'领用录入（明细）'!C:C&lt;=$L$4),ROW(),"-")</f>
        <v>-</v>
      </c>
    </row>
    <row r="34615" customHeight="1" spans="2:2">
      <c r="B34615" s="62" t="str">
        <f>IF(AND('领用录入（明细）'!D:D=$F$4,'领用录入（明细）'!C:C&gt;=$J$4,'领用录入（明细）'!C:C&lt;=$L$4),ROW(),"-")</f>
        <v>-</v>
      </c>
    </row>
    <row r="34616" customHeight="1" spans="2:2">
      <c r="B34616" s="62" t="str">
        <f>IF(AND('领用录入（明细）'!D:D=$F$4,'领用录入（明细）'!C:C&gt;=$J$4,'领用录入（明细）'!C:C&lt;=$L$4),ROW(),"-")</f>
        <v>-</v>
      </c>
    </row>
    <row r="34617" customHeight="1" spans="2:2">
      <c r="B34617" s="62" t="str">
        <f>IF(AND('领用录入（明细）'!D:D=$F$4,'领用录入（明细）'!C:C&gt;=$J$4,'领用录入（明细）'!C:C&lt;=$L$4),ROW(),"-")</f>
        <v>-</v>
      </c>
    </row>
    <row r="34618" customHeight="1" spans="2:2">
      <c r="B34618" s="62" t="str">
        <f>IF(AND('领用录入（明细）'!D:D=$F$4,'领用录入（明细）'!C:C&gt;=$J$4,'领用录入（明细）'!C:C&lt;=$L$4),ROW(),"-")</f>
        <v>-</v>
      </c>
    </row>
    <row r="34619" customHeight="1" spans="2:2">
      <c r="B34619" s="62" t="str">
        <f>IF(AND('领用录入（明细）'!D:D=$F$4,'领用录入（明细）'!C:C&gt;=$J$4,'领用录入（明细）'!C:C&lt;=$L$4),ROW(),"-")</f>
        <v>-</v>
      </c>
    </row>
    <row r="34620" customHeight="1" spans="2:2">
      <c r="B34620" s="62" t="str">
        <f>IF(AND('领用录入（明细）'!D:D=$F$4,'领用录入（明细）'!C:C&gt;=$J$4,'领用录入（明细）'!C:C&lt;=$L$4),ROW(),"-")</f>
        <v>-</v>
      </c>
    </row>
    <row r="34621" customHeight="1" spans="2:2">
      <c r="B34621" s="62" t="str">
        <f>IF(AND('领用录入（明细）'!D:D=$F$4,'领用录入（明细）'!C:C&gt;=$J$4,'领用录入（明细）'!C:C&lt;=$L$4),ROW(),"-")</f>
        <v>-</v>
      </c>
    </row>
    <row r="34622" customHeight="1" spans="2:2">
      <c r="B34622" s="62" t="str">
        <f>IF(AND('领用录入（明细）'!D:D=$F$4,'领用录入（明细）'!C:C&gt;=$J$4,'领用录入（明细）'!C:C&lt;=$L$4),ROW(),"-")</f>
        <v>-</v>
      </c>
    </row>
    <row r="34623" customHeight="1" spans="2:2">
      <c r="B34623" s="62" t="str">
        <f>IF(AND('领用录入（明细）'!D:D=$F$4,'领用录入（明细）'!C:C&gt;=$J$4,'领用录入（明细）'!C:C&lt;=$L$4),ROW(),"-")</f>
        <v>-</v>
      </c>
    </row>
    <row r="34624" customHeight="1" spans="2:2">
      <c r="B34624" s="62" t="str">
        <f>IF(AND('领用录入（明细）'!D:D=$F$4,'领用录入（明细）'!C:C&gt;=$J$4,'领用录入（明细）'!C:C&lt;=$L$4),ROW(),"-")</f>
        <v>-</v>
      </c>
    </row>
    <row r="34625" customHeight="1" spans="2:2">
      <c r="B34625" s="62" t="str">
        <f>IF(AND('领用录入（明细）'!D:D=$F$4,'领用录入（明细）'!C:C&gt;=$J$4,'领用录入（明细）'!C:C&lt;=$L$4),ROW(),"-")</f>
        <v>-</v>
      </c>
    </row>
    <row r="34626" customHeight="1" spans="2:2">
      <c r="B34626" s="62" t="str">
        <f>IF(AND('领用录入（明细）'!D:D=$F$4,'领用录入（明细）'!C:C&gt;=$J$4,'领用录入（明细）'!C:C&lt;=$L$4),ROW(),"-")</f>
        <v>-</v>
      </c>
    </row>
    <row r="34627" customHeight="1" spans="2:2">
      <c r="B34627" s="62" t="str">
        <f>IF(AND('领用录入（明细）'!D:D=$F$4,'领用录入（明细）'!C:C&gt;=$J$4,'领用录入（明细）'!C:C&lt;=$L$4),ROW(),"-")</f>
        <v>-</v>
      </c>
    </row>
    <row r="34628" customHeight="1" spans="2:2">
      <c r="B34628" s="62" t="str">
        <f>IF(AND('领用录入（明细）'!D:D=$F$4,'领用录入（明细）'!C:C&gt;=$J$4,'领用录入（明细）'!C:C&lt;=$L$4),ROW(),"-")</f>
        <v>-</v>
      </c>
    </row>
    <row r="34629" customHeight="1" spans="2:2">
      <c r="B34629" s="62" t="str">
        <f>IF(AND('领用录入（明细）'!D:D=$F$4,'领用录入（明细）'!C:C&gt;=$J$4,'领用录入（明细）'!C:C&lt;=$L$4),ROW(),"-")</f>
        <v>-</v>
      </c>
    </row>
    <row r="34630" customHeight="1" spans="2:2">
      <c r="B34630" s="62" t="str">
        <f>IF(AND('领用录入（明细）'!D:D=$F$4,'领用录入（明细）'!C:C&gt;=$J$4,'领用录入（明细）'!C:C&lt;=$L$4),ROW(),"-")</f>
        <v>-</v>
      </c>
    </row>
    <row r="34631" customHeight="1" spans="2:2">
      <c r="B34631" s="62" t="str">
        <f>IF(AND('领用录入（明细）'!D:D=$F$4,'领用录入（明细）'!C:C&gt;=$J$4,'领用录入（明细）'!C:C&lt;=$L$4),ROW(),"-")</f>
        <v>-</v>
      </c>
    </row>
    <row r="34632" customHeight="1" spans="2:2">
      <c r="B34632" s="62" t="str">
        <f>IF(AND('领用录入（明细）'!D:D=$F$4,'领用录入（明细）'!C:C&gt;=$J$4,'领用录入（明细）'!C:C&lt;=$L$4),ROW(),"-")</f>
        <v>-</v>
      </c>
    </row>
    <row r="34633" customHeight="1" spans="2:2">
      <c r="B34633" s="62" t="str">
        <f>IF(AND('领用录入（明细）'!D:D=$F$4,'领用录入（明细）'!C:C&gt;=$J$4,'领用录入（明细）'!C:C&lt;=$L$4),ROW(),"-")</f>
        <v>-</v>
      </c>
    </row>
    <row r="34634" customHeight="1" spans="2:2">
      <c r="B34634" s="62" t="str">
        <f>IF(AND('领用录入（明细）'!D:D=$F$4,'领用录入（明细）'!C:C&gt;=$J$4,'领用录入（明细）'!C:C&lt;=$L$4),ROW(),"-")</f>
        <v>-</v>
      </c>
    </row>
    <row r="34635" customHeight="1" spans="2:2">
      <c r="B34635" s="62" t="str">
        <f>IF(AND('领用录入（明细）'!D:D=$F$4,'领用录入（明细）'!C:C&gt;=$J$4,'领用录入（明细）'!C:C&lt;=$L$4),ROW(),"-")</f>
        <v>-</v>
      </c>
    </row>
    <row r="34636" customHeight="1" spans="2:2">
      <c r="B34636" s="62" t="str">
        <f>IF(AND('领用录入（明细）'!D:D=$F$4,'领用录入（明细）'!C:C&gt;=$J$4,'领用录入（明细）'!C:C&lt;=$L$4),ROW(),"-")</f>
        <v>-</v>
      </c>
    </row>
    <row r="34637" customHeight="1" spans="2:2">
      <c r="B34637" s="62" t="str">
        <f>IF(AND('领用录入（明细）'!D:D=$F$4,'领用录入（明细）'!C:C&gt;=$J$4,'领用录入（明细）'!C:C&lt;=$L$4),ROW(),"-")</f>
        <v>-</v>
      </c>
    </row>
    <row r="34638" customHeight="1" spans="2:2">
      <c r="B34638" s="62" t="str">
        <f>IF(AND('领用录入（明细）'!D:D=$F$4,'领用录入（明细）'!C:C&gt;=$J$4,'领用录入（明细）'!C:C&lt;=$L$4),ROW(),"-")</f>
        <v>-</v>
      </c>
    </row>
    <row r="34639" customHeight="1" spans="2:2">
      <c r="B34639" s="62" t="str">
        <f>IF(AND('领用录入（明细）'!D:D=$F$4,'领用录入（明细）'!C:C&gt;=$J$4,'领用录入（明细）'!C:C&lt;=$L$4),ROW(),"-")</f>
        <v>-</v>
      </c>
    </row>
    <row r="34640" customHeight="1" spans="2:2">
      <c r="B34640" s="62" t="str">
        <f>IF(AND('领用录入（明细）'!D:D=$F$4,'领用录入（明细）'!C:C&gt;=$J$4,'领用录入（明细）'!C:C&lt;=$L$4),ROW(),"-")</f>
        <v>-</v>
      </c>
    </row>
    <row r="34641" customHeight="1" spans="2:2">
      <c r="B34641" s="62" t="str">
        <f>IF(AND('领用录入（明细）'!D:D=$F$4,'领用录入（明细）'!C:C&gt;=$J$4,'领用录入（明细）'!C:C&lt;=$L$4),ROW(),"-")</f>
        <v>-</v>
      </c>
    </row>
    <row r="34642" customHeight="1" spans="2:2">
      <c r="B34642" s="62" t="str">
        <f>IF(AND('领用录入（明细）'!D:D=$F$4,'领用录入（明细）'!C:C&gt;=$J$4,'领用录入（明细）'!C:C&lt;=$L$4),ROW(),"-")</f>
        <v>-</v>
      </c>
    </row>
    <row r="34643" customHeight="1" spans="2:2">
      <c r="B34643" s="62" t="str">
        <f>IF(AND('领用录入（明细）'!D:D=$F$4,'领用录入（明细）'!C:C&gt;=$J$4,'领用录入（明细）'!C:C&lt;=$L$4),ROW(),"-")</f>
        <v>-</v>
      </c>
    </row>
    <row r="34644" customHeight="1" spans="2:2">
      <c r="B34644" s="62" t="str">
        <f>IF(AND('领用录入（明细）'!D:D=$F$4,'领用录入（明细）'!C:C&gt;=$J$4,'领用录入（明细）'!C:C&lt;=$L$4),ROW(),"-")</f>
        <v>-</v>
      </c>
    </row>
    <row r="34645" customHeight="1" spans="2:2">
      <c r="B34645" s="62" t="str">
        <f>IF(AND('领用录入（明细）'!D:D=$F$4,'领用录入（明细）'!C:C&gt;=$J$4,'领用录入（明细）'!C:C&lt;=$L$4),ROW(),"-")</f>
        <v>-</v>
      </c>
    </row>
    <row r="34646" customHeight="1" spans="2:2">
      <c r="B34646" s="62" t="str">
        <f>IF(AND('领用录入（明细）'!D:D=$F$4,'领用录入（明细）'!C:C&gt;=$J$4,'领用录入（明细）'!C:C&lt;=$L$4),ROW(),"-")</f>
        <v>-</v>
      </c>
    </row>
    <row r="34647" customHeight="1" spans="2:2">
      <c r="B34647" s="62" t="str">
        <f>IF(AND('领用录入（明细）'!D:D=$F$4,'领用录入（明细）'!C:C&gt;=$J$4,'领用录入（明细）'!C:C&lt;=$L$4),ROW(),"-")</f>
        <v>-</v>
      </c>
    </row>
    <row r="34648" customHeight="1" spans="2:2">
      <c r="B34648" s="62" t="str">
        <f>IF(AND('领用录入（明细）'!D:D=$F$4,'领用录入（明细）'!C:C&gt;=$J$4,'领用录入（明细）'!C:C&lt;=$L$4),ROW(),"-")</f>
        <v>-</v>
      </c>
    </row>
    <row r="34649" customHeight="1" spans="2:2">
      <c r="B34649" s="62" t="str">
        <f>IF(AND('领用录入（明细）'!D:D=$F$4,'领用录入（明细）'!C:C&gt;=$J$4,'领用录入（明细）'!C:C&lt;=$L$4),ROW(),"-")</f>
        <v>-</v>
      </c>
    </row>
    <row r="34650" customHeight="1" spans="2:2">
      <c r="B34650" s="62" t="str">
        <f>IF(AND('领用录入（明细）'!D:D=$F$4,'领用录入（明细）'!C:C&gt;=$J$4,'领用录入（明细）'!C:C&lt;=$L$4),ROW(),"-")</f>
        <v>-</v>
      </c>
    </row>
    <row r="34651" customHeight="1" spans="2:2">
      <c r="B34651" s="62" t="str">
        <f>IF(AND('领用录入（明细）'!D:D=$F$4,'领用录入（明细）'!C:C&gt;=$J$4,'领用录入（明细）'!C:C&lt;=$L$4),ROW(),"-")</f>
        <v>-</v>
      </c>
    </row>
    <row r="34652" customHeight="1" spans="2:2">
      <c r="B34652" s="62" t="str">
        <f>IF(AND('领用录入（明细）'!D:D=$F$4,'领用录入（明细）'!C:C&gt;=$J$4,'领用录入（明细）'!C:C&lt;=$L$4),ROW(),"-")</f>
        <v>-</v>
      </c>
    </row>
    <row r="34653" customHeight="1" spans="2:2">
      <c r="B34653" s="62" t="str">
        <f>IF(AND('领用录入（明细）'!D:D=$F$4,'领用录入（明细）'!C:C&gt;=$J$4,'领用录入（明细）'!C:C&lt;=$L$4),ROW(),"-")</f>
        <v>-</v>
      </c>
    </row>
    <row r="34654" customHeight="1" spans="2:2">
      <c r="B34654" s="62" t="str">
        <f>IF(AND('领用录入（明细）'!D:D=$F$4,'领用录入（明细）'!C:C&gt;=$J$4,'领用录入（明细）'!C:C&lt;=$L$4),ROW(),"-")</f>
        <v>-</v>
      </c>
    </row>
    <row r="34655" customHeight="1" spans="2:2">
      <c r="B34655" s="62" t="str">
        <f>IF(AND('领用录入（明细）'!D:D=$F$4,'领用录入（明细）'!C:C&gt;=$J$4,'领用录入（明细）'!C:C&lt;=$L$4),ROW(),"-")</f>
        <v>-</v>
      </c>
    </row>
    <row r="34656" customHeight="1" spans="2:2">
      <c r="B34656" s="62" t="str">
        <f>IF(AND('领用录入（明细）'!D:D=$F$4,'领用录入（明细）'!C:C&gt;=$J$4,'领用录入（明细）'!C:C&lt;=$L$4),ROW(),"-")</f>
        <v>-</v>
      </c>
    </row>
    <row r="34657" customHeight="1" spans="2:2">
      <c r="B34657" s="62" t="str">
        <f>IF(AND('领用录入（明细）'!D:D=$F$4,'领用录入（明细）'!C:C&gt;=$J$4,'领用录入（明细）'!C:C&lt;=$L$4),ROW(),"-")</f>
        <v>-</v>
      </c>
    </row>
    <row r="34658" customHeight="1" spans="2:2">
      <c r="B34658" s="62" t="str">
        <f>IF(AND('领用录入（明细）'!D:D=$F$4,'领用录入（明细）'!C:C&gt;=$J$4,'领用录入（明细）'!C:C&lt;=$L$4),ROW(),"-")</f>
        <v>-</v>
      </c>
    </row>
    <row r="34659" customHeight="1" spans="2:2">
      <c r="B34659" s="62" t="str">
        <f>IF(AND('领用录入（明细）'!D:D=$F$4,'领用录入（明细）'!C:C&gt;=$J$4,'领用录入（明细）'!C:C&lt;=$L$4),ROW(),"-")</f>
        <v>-</v>
      </c>
    </row>
    <row r="34660" customHeight="1" spans="2:2">
      <c r="B34660" s="62" t="str">
        <f>IF(AND('领用录入（明细）'!D:D=$F$4,'领用录入（明细）'!C:C&gt;=$J$4,'领用录入（明细）'!C:C&lt;=$L$4),ROW(),"-")</f>
        <v>-</v>
      </c>
    </row>
    <row r="34661" customHeight="1" spans="2:2">
      <c r="B34661" s="62" t="str">
        <f>IF(AND('领用录入（明细）'!D:D=$F$4,'领用录入（明细）'!C:C&gt;=$J$4,'领用录入（明细）'!C:C&lt;=$L$4),ROW(),"-")</f>
        <v>-</v>
      </c>
    </row>
    <row r="34662" customHeight="1" spans="2:2">
      <c r="B34662" s="62" t="str">
        <f>IF(AND('领用录入（明细）'!D:D=$F$4,'领用录入（明细）'!C:C&gt;=$J$4,'领用录入（明细）'!C:C&lt;=$L$4),ROW(),"-")</f>
        <v>-</v>
      </c>
    </row>
    <row r="34663" customHeight="1" spans="2:2">
      <c r="B34663" s="62" t="str">
        <f>IF(AND('领用录入（明细）'!D:D=$F$4,'领用录入（明细）'!C:C&gt;=$J$4,'领用录入（明细）'!C:C&lt;=$L$4),ROW(),"-")</f>
        <v>-</v>
      </c>
    </row>
    <row r="34664" customHeight="1" spans="2:2">
      <c r="B34664" s="62" t="str">
        <f>IF(AND('领用录入（明细）'!D:D=$F$4,'领用录入（明细）'!C:C&gt;=$J$4,'领用录入（明细）'!C:C&lt;=$L$4),ROW(),"-")</f>
        <v>-</v>
      </c>
    </row>
    <row r="34665" customHeight="1" spans="2:2">
      <c r="B34665" s="62" t="str">
        <f>IF(AND('领用录入（明细）'!D:D=$F$4,'领用录入（明细）'!C:C&gt;=$J$4,'领用录入（明细）'!C:C&lt;=$L$4),ROW(),"-")</f>
        <v>-</v>
      </c>
    </row>
    <row r="34666" customHeight="1" spans="2:2">
      <c r="B34666" s="62" t="str">
        <f>IF(AND('领用录入（明细）'!D:D=$F$4,'领用录入（明细）'!C:C&gt;=$J$4,'领用录入（明细）'!C:C&lt;=$L$4),ROW(),"-")</f>
        <v>-</v>
      </c>
    </row>
    <row r="34667" customHeight="1" spans="2:2">
      <c r="B34667" s="62" t="str">
        <f>IF(AND('领用录入（明细）'!D:D=$F$4,'领用录入（明细）'!C:C&gt;=$J$4,'领用录入（明细）'!C:C&lt;=$L$4),ROW(),"-")</f>
        <v>-</v>
      </c>
    </row>
    <row r="34668" customHeight="1" spans="2:2">
      <c r="B34668" s="62" t="str">
        <f>IF(AND('领用录入（明细）'!D:D=$F$4,'领用录入（明细）'!C:C&gt;=$J$4,'领用录入（明细）'!C:C&lt;=$L$4),ROW(),"-")</f>
        <v>-</v>
      </c>
    </row>
    <row r="34669" customHeight="1" spans="2:2">
      <c r="B34669" s="62" t="str">
        <f>IF(AND('领用录入（明细）'!D:D=$F$4,'领用录入（明细）'!C:C&gt;=$J$4,'领用录入（明细）'!C:C&lt;=$L$4),ROW(),"-")</f>
        <v>-</v>
      </c>
    </row>
    <row r="34670" customHeight="1" spans="2:2">
      <c r="B34670" s="62" t="str">
        <f>IF(AND('领用录入（明细）'!D:D=$F$4,'领用录入（明细）'!C:C&gt;=$J$4,'领用录入（明细）'!C:C&lt;=$L$4),ROW(),"-")</f>
        <v>-</v>
      </c>
    </row>
    <row r="34671" customHeight="1" spans="2:2">
      <c r="B34671" s="62" t="str">
        <f>IF(AND('领用录入（明细）'!D:D=$F$4,'领用录入（明细）'!C:C&gt;=$J$4,'领用录入（明细）'!C:C&lt;=$L$4),ROW(),"-")</f>
        <v>-</v>
      </c>
    </row>
    <row r="34672" customHeight="1" spans="2:2">
      <c r="B34672" s="62" t="str">
        <f>IF(AND('领用录入（明细）'!D:D=$F$4,'领用录入（明细）'!C:C&gt;=$J$4,'领用录入（明细）'!C:C&lt;=$L$4),ROW(),"-")</f>
        <v>-</v>
      </c>
    </row>
    <row r="34673" customHeight="1" spans="2:2">
      <c r="B34673" s="62" t="str">
        <f>IF(AND('领用录入（明细）'!D:D=$F$4,'领用录入（明细）'!C:C&gt;=$J$4,'领用录入（明细）'!C:C&lt;=$L$4),ROW(),"-")</f>
        <v>-</v>
      </c>
    </row>
    <row r="34674" customHeight="1" spans="2:2">
      <c r="B34674" s="62" t="str">
        <f>IF(AND('领用录入（明细）'!D:D=$F$4,'领用录入（明细）'!C:C&gt;=$J$4,'领用录入（明细）'!C:C&lt;=$L$4),ROW(),"-")</f>
        <v>-</v>
      </c>
    </row>
    <row r="34675" customHeight="1" spans="2:2">
      <c r="B34675" s="62" t="str">
        <f>IF(AND('领用录入（明细）'!D:D=$F$4,'领用录入（明细）'!C:C&gt;=$J$4,'领用录入（明细）'!C:C&lt;=$L$4),ROW(),"-")</f>
        <v>-</v>
      </c>
    </row>
    <row r="34676" customHeight="1" spans="2:2">
      <c r="B34676" s="62" t="str">
        <f>IF(AND('领用录入（明细）'!D:D=$F$4,'领用录入（明细）'!C:C&gt;=$J$4,'领用录入（明细）'!C:C&lt;=$L$4),ROW(),"-")</f>
        <v>-</v>
      </c>
    </row>
    <row r="34677" customHeight="1" spans="2:2">
      <c r="B34677" s="62" t="str">
        <f>IF(AND('领用录入（明细）'!D:D=$F$4,'领用录入（明细）'!C:C&gt;=$J$4,'领用录入（明细）'!C:C&lt;=$L$4),ROW(),"-")</f>
        <v>-</v>
      </c>
    </row>
    <row r="34678" customHeight="1" spans="2:2">
      <c r="B34678" s="62" t="str">
        <f>IF(AND('领用录入（明细）'!D:D=$F$4,'领用录入（明细）'!C:C&gt;=$J$4,'领用录入（明细）'!C:C&lt;=$L$4),ROW(),"-")</f>
        <v>-</v>
      </c>
    </row>
    <row r="34679" customHeight="1" spans="2:2">
      <c r="B34679" s="62" t="str">
        <f>IF(AND('领用录入（明细）'!D:D=$F$4,'领用录入（明细）'!C:C&gt;=$J$4,'领用录入（明细）'!C:C&lt;=$L$4),ROW(),"-")</f>
        <v>-</v>
      </c>
    </row>
    <row r="34680" customHeight="1" spans="2:2">
      <c r="B34680" s="62" t="str">
        <f>IF(AND('领用录入（明细）'!D:D=$F$4,'领用录入（明细）'!C:C&gt;=$J$4,'领用录入（明细）'!C:C&lt;=$L$4),ROW(),"-")</f>
        <v>-</v>
      </c>
    </row>
    <row r="34681" customHeight="1" spans="2:2">
      <c r="B34681" s="62" t="str">
        <f>IF(AND('领用录入（明细）'!D:D=$F$4,'领用录入（明细）'!C:C&gt;=$J$4,'领用录入（明细）'!C:C&lt;=$L$4),ROW(),"-")</f>
        <v>-</v>
      </c>
    </row>
    <row r="34682" customHeight="1" spans="2:2">
      <c r="B34682" s="62" t="str">
        <f>IF(AND('领用录入（明细）'!D:D=$F$4,'领用录入（明细）'!C:C&gt;=$J$4,'领用录入（明细）'!C:C&lt;=$L$4),ROW(),"-")</f>
        <v>-</v>
      </c>
    </row>
    <row r="34683" customHeight="1" spans="2:2">
      <c r="B34683" s="62" t="str">
        <f>IF(AND('领用录入（明细）'!D:D=$F$4,'领用录入（明细）'!C:C&gt;=$J$4,'领用录入（明细）'!C:C&lt;=$L$4),ROW(),"-")</f>
        <v>-</v>
      </c>
    </row>
    <row r="34684" customHeight="1" spans="2:2">
      <c r="B34684" s="62" t="str">
        <f>IF(AND('领用录入（明细）'!D:D=$F$4,'领用录入（明细）'!C:C&gt;=$J$4,'领用录入（明细）'!C:C&lt;=$L$4),ROW(),"-")</f>
        <v>-</v>
      </c>
    </row>
    <row r="34685" customHeight="1" spans="2:2">
      <c r="B34685" s="62" t="str">
        <f>IF(AND('领用录入（明细）'!D:D=$F$4,'领用录入（明细）'!C:C&gt;=$J$4,'领用录入（明细）'!C:C&lt;=$L$4),ROW(),"-")</f>
        <v>-</v>
      </c>
    </row>
    <row r="34686" customHeight="1" spans="2:2">
      <c r="B34686" s="62" t="str">
        <f>IF(AND('领用录入（明细）'!D:D=$F$4,'领用录入（明细）'!C:C&gt;=$J$4,'领用录入（明细）'!C:C&lt;=$L$4),ROW(),"-")</f>
        <v>-</v>
      </c>
    </row>
    <row r="34687" customHeight="1" spans="2:2">
      <c r="B34687" s="62" t="str">
        <f>IF(AND('领用录入（明细）'!D:D=$F$4,'领用录入（明细）'!C:C&gt;=$J$4,'领用录入（明细）'!C:C&lt;=$L$4),ROW(),"-")</f>
        <v>-</v>
      </c>
    </row>
    <row r="34688" customHeight="1" spans="2:2">
      <c r="B34688" s="62" t="str">
        <f>IF(AND('领用录入（明细）'!D:D=$F$4,'领用录入（明细）'!C:C&gt;=$J$4,'领用录入（明细）'!C:C&lt;=$L$4),ROW(),"-")</f>
        <v>-</v>
      </c>
    </row>
    <row r="34689" customHeight="1" spans="2:2">
      <c r="B34689" s="62" t="str">
        <f>IF(AND('领用录入（明细）'!D:D=$F$4,'领用录入（明细）'!C:C&gt;=$J$4,'领用录入（明细）'!C:C&lt;=$L$4),ROW(),"-")</f>
        <v>-</v>
      </c>
    </row>
    <row r="34690" customHeight="1" spans="2:2">
      <c r="B34690" s="62" t="str">
        <f>IF(AND('领用录入（明细）'!D:D=$F$4,'领用录入（明细）'!C:C&gt;=$J$4,'领用录入（明细）'!C:C&lt;=$L$4),ROW(),"-")</f>
        <v>-</v>
      </c>
    </row>
    <row r="34691" customHeight="1" spans="2:2">
      <c r="B34691" s="62" t="str">
        <f>IF(AND('领用录入（明细）'!D:D=$F$4,'领用录入（明细）'!C:C&gt;=$J$4,'领用录入（明细）'!C:C&lt;=$L$4),ROW(),"-")</f>
        <v>-</v>
      </c>
    </row>
    <row r="34692" customHeight="1" spans="2:2">
      <c r="B34692" s="62" t="str">
        <f>IF(AND('领用录入（明细）'!D:D=$F$4,'领用录入（明细）'!C:C&gt;=$J$4,'领用录入（明细）'!C:C&lt;=$L$4),ROW(),"-")</f>
        <v>-</v>
      </c>
    </row>
    <row r="34693" customHeight="1" spans="2:2">
      <c r="B34693" s="62" t="str">
        <f>IF(AND('领用录入（明细）'!D:D=$F$4,'领用录入（明细）'!C:C&gt;=$J$4,'领用录入（明细）'!C:C&lt;=$L$4),ROW(),"-")</f>
        <v>-</v>
      </c>
    </row>
    <row r="34694" customHeight="1" spans="2:2">
      <c r="B34694" s="62" t="str">
        <f>IF(AND('领用录入（明细）'!D:D=$F$4,'领用录入（明细）'!C:C&gt;=$J$4,'领用录入（明细）'!C:C&lt;=$L$4),ROW(),"-")</f>
        <v>-</v>
      </c>
    </row>
    <row r="34695" customHeight="1" spans="2:2">
      <c r="B34695" s="62" t="str">
        <f>IF(AND('领用录入（明细）'!D:D=$F$4,'领用录入（明细）'!C:C&gt;=$J$4,'领用录入（明细）'!C:C&lt;=$L$4),ROW(),"-")</f>
        <v>-</v>
      </c>
    </row>
    <row r="34696" customHeight="1" spans="2:2">
      <c r="B34696" s="62" t="str">
        <f>IF(AND('领用录入（明细）'!D:D=$F$4,'领用录入（明细）'!C:C&gt;=$J$4,'领用录入（明细）'!C:C&lt;=$L$4),ROW(),"-")</f>
        <v>-</v>
      </c>
    </row>
    <row r="34697" customHeight="1" spans="2:2">
      <c r="B34697" s="62" t="str">
        <f>IF(AND('领用录入（明细）'!D:D=$F$4,'领用录入（明细）'!C:C&gt;=$J$4,'领用录入（明细）'!C:C&lt;=$L$4),ROW(),"-")</f>
        <v>-</v>
      </c>
    </row>
    <row r="34698" customHeight="1" spans="2:2">
      <c r="B34698" s="62" t="str">
        <f>IF(AND('领用录入（明细）'!D:D=$F$4,'领用录入（明细）'!C:C&gt;=$J$4,'领用录入（明细）'!C:C&lt;=$L$4),ROW(),"-")</f>
        <v>-</v>
      </c>
    </row>
    <row r="34699" customHeight="1" spans="2:2">
      <c r="B34699" s="62" t="str">
        <f>IF(AND('领用录入（明细）'!D:D=$F$4,'领用录入（明细）'!C:C&gt;=$J$4,'领用录入（明细）'!C:C&lt;=$L$4),ROW(),"-")</f>
        <v>-</v>
      </c>
    </row>
    <row r="34700" customHeight="1" spans="2:2">
      <c r="B34700" s="62" t="str">
        <f>IF(AND('领用录入（明细）'!D:D=$F$4,'领用录入（明细）'!C:C&gt;=$J$4,'领用录入（明细）'!C:C&lt;=$L$4),ROW(),"-")</f>
        <v>-</v>
      </c>
    </row>
    <row r="34701" customHeight="1" spans="2:2">
      <c r="B34701" s="62" t="str">
        <f>IF(AND('领用录入（明细）'!D:D=$F$4,'领用录入（明细）'!C:C&gt;=$J$4,'领用录入（明细）'!C:C&lt;=$L$4),ROW(),"-")</f>
        <v>-</v>
      </c>
    </row>
    <row r="34702" customHeight="1" spans="2:2">
      <c r="B34702" s="62" t="str">
        <f>IF(AND('领用录入（明细）'!D:D=$F$4,'领用录入（明细）'!C:C&gt;=$J$4,'领用录入（明细）'!C:C&lt;=$L$4),ROW(),"-")</f>
        <v>-</v>
      </c>
    </row>
    <row r="34703" customHeight="1" spans="2:2">
      <c r="B34703" s="62" t="str">
        <f>IF(AND('领用录入（明细）'!D:D=$F$4,'领用录入（明细）'!C:C&gt;=$J$4,'领用录入（明细）'!C:C&lt;=$L$4),ROW(),"-")</f>
        <v>-</v>
      </c>
    </row>
    <row r="34704" customHeight="1" spans="2:2">
      <c r="B34704" s="62" t="str">
        <f>IF(AND('领用录入（明细）'!D:D=$F$4,'领用录入（明细）'!C:C&gt;=$J$4,'领用录入（明细）'!C:C&lt;=$L$4),ROW(),"-")</f>
        <v>-</v>
      </c>
    </row>
    <row r="34705" customHeight="1" spans="2:2">
      <c r="B34705" s="62" t="str">
        <f>IF(AND('领用录入（明细）'!D:D=$F$4,'领用录入（明细）'!C:C&gt;=$J$4,'领用录入（明细）'!C:C&lt;=$L$4),ROW(),"-")</f>
        <v>-</v>
      </c>
    </row>
    <row r="34706" customHeight="1" spans="2:2">
      <c r="B34706" s="62" t="str">
        <f>IF(AND('领用录入（明细）'!D:D=$F$4,'领用录入（明细）'!C:C&gt;=$J$4,'领用录入（明细）'!C:C&lt;=$L$4),ROW(),"-")</f>
        <v>-</v>
      </c>
    </row>
    <row r="34707" customHeight="1" spans="2:2">
      <c r="B34707" s="62" t="str">
        <f>IF(AND('领用录入（明细）'!D:D=$F$4,'领用录入（明细）'!C:C&gt;=$J$4,'领用录入（明细）'!C:C&lt;=$L$4),ROW(),"-")</f>
        <v>-</v>
      </c>
    </row>
    <row r="34708" customHeight="1" spans="2:2">
      <c r="B34708" s="62" t="str">
        <f>IF(AND('领用录入（明细）'!D:D=$F$4,'领用录入（明细）'!C:C&gt;=$J$4,'领用录入（明细）'!C:C&lt;=$L$4),ROW(),"-")</f>
        <v>-</v>
      </c>
    </row>
    <row r="34709" customHeight="1" spans="2:2">
      <c r="B34709" s="62" t="str">
        <f>IF(AND('领用录入（明细）'!D:D=$F$4,'领用录入（明细）'!C:C&gt;=$J$4,'领用录入（明细）'!C:C&lt;=$L$4),ROW(),"-")</f>
        <v>-</v>
      </c>
    </row>
    <row r="34710" customHeight="1" spans="2:2">
      <c r="B34710" s="62" t="str">
        <f>IF(AND('领用录入（明细）'!D:D=$F$4,'领用录入（明细）'!C:C&gt;=$J$4,'领用录入（明细）'!C:C&lt;=$L$4),ROW(),"-")</f>
        <v>-</v>
      </c>
    </row>
    <row r="34711" customHeight="1" spans="2:2">
      <c r="B34711" s="62" t="str">
        <f>IF(AND('领用录入（明细）'!D:D=$F$4,'领用录入（明细）'!C:C&gt;=$J$4,'领用录入（明细）'!C:C&lt;=$L$4),ROW(),"-")</f>
        <v>-</v>
      </c>
    </row>
    <row r="34712" customHeight="1" spans="2:2">
      <c r="B34712" s="62" t="str">
        <f>IF(AND('领用录入（明细）'!D:D=$F$4,'领用录入（明细）'!C:C&gt;=$J$4,'领用录入（明细）'!C:C&lt;=$L$4),ROW(),"-")</f>
        <v>-</v>
      </c>
    </row>
    <row r="34713" customHeight="1" spans="2:2">
      <c r="B34713" s="62" t="str">
        <f>IF(AND('领用录入（明细）'!D:D=$F$4,'领用录入（明细）'!C:C&gt;=$J$4,'领用录入（明细）'!C:C&lt;=$L$4),ROW(),"-")</f>
        <v>-</v>
      </c>
    </row>
    <row r="34714" customHeight="1" spans="2:2">
      <c r="B34714" s="62" t="str">
        <f>IF(AND('领用录入（明细）'!D:D=$F$4,'领用录入（明细）'!C:C&gt;=$J$4,'领用录入（明细）'!C:C&lt;=$L$4),ROW(),"-")</f>
        <v>-</v>
      </c>
    </row>
    <row r="34715" customHeight="1" spans="2:2">
      <c r="B34715" s="62" t="str">
        <f>IF(AND('领用录入（明细）'!D:D=$F$4,'领用录入（明细）'!C:C&gt;=$J$4,'领用录入（明细）'!C:C&lt;=$L$4),ROW(),"-")</f>
        <v>-</v>
      </c>
    </row>
    <row r="34716" customHeight="1" spans="2:2">
      <c r="B34716" s="62" t="str">
        <f>IF(AND('领用录入（明细）'!D:D=$F$4,'领用录入（明细）'!C:C&gt;=$J$4,'领用录入（明细）'!C:C&lt;=$L$4),ROW(),"-")</f>
        <v>-</v>
      </c>
    </row>
    <row r="34717" customHeight="1" spans="2:2">
      <c r="B34717" s="62" t="str">
        <f>IF(AND('领用录入（明细）'!D:D=$F$4,'领用录入（明细）'!C:C&gt;=$J$4,'领用录入（明细）'!C:C&lt;=$L$4),ROW(),"-")</f>
        <v>-</v>
      </c>
    </row>
    <row r="34718" customHeight="1" spans="2:2">
      <c r="B34718" s="62" t="str">
        <f>IF(AND('领用录入（明细）'!D:D=$F$4,'领用录入（明细）'!C:C&gt;=$J$4,'领用录入（明细）'!C:C&lt;=$L$4),ROW(),"-")</f>
        <v>-</v>
      </c>
    </row>
    <row r="34719" customHeight="1" spans="2:2">
      <c r="B34719" s="62" t="str">
        <f>IF(AND('领用录入（明细）'!D:D=$F$4,'领用录入（明细）'!C:C&gt;=$J$4,'领用录入（明细）'!C:C&lt;=$L$4),ROW(),"-")</f>
        <v>-</v>
      </c>
    </row>
    <row r="34720" customHeight="1" spans="2:2">
      <c r="B34720" s="62" t="str">
        <f>IF(AND('领用录入（明细）'!D:D=$F$4,'领用录入（明细）'!C:C&gt;=$J$4,'领用录入（明细）'!C:C&lt;=$L$4),ROW(),"-")</f>
        <v>-</v>
      </c>
    </row>
    <row r="34721" customHeight="1" spans="2:2">
      <c r="B34721" s="62" t="str">
        <f>IF(AND('领用录入（明细）'!D:D=$F$4,'领用录入（明细）'!C:C&gt;=$J$4,'领用录入（明细）'!C:C&lt;=$L$4),ROW(),"-")</f>
        <v>-</v>
      </c>
    </row>
    <row r="34722" customHeight="1" spans="2:2">
      <c r="B34722" s="62" t="str">
        <f>IF(AND('领用录入（明细）'!D:D=$F$4,'领用录入（明细）'!C:C&gt;=$J$4,'领用录入（明细）'!C:C&lt;=$L$4),ROW(),"-")</f>
        <v>-</v>
      </c>
    </row>
    <row r="34723" customHeight="1" spans="2:2">
      <c r="B34723" s="62" t="str">
        <f>IF(AND('领用录入（明细）'!D:D=$F$4,'领用录入（明细）'!C:C&gt;=$J$4,'领用录入（明细）'!C:C&lt;=$L$4),ROW(),"-")</f>
        <v>-</v>
      </c>
    </row>
    <row r="34724" customHeight="1" spans="2:2">
      <c r="B34724" s="62" t="str">
        <f>IF(AND('领用录入（明细）'!D:D=$F$4,'领用录入（明细）'!C:C&gt;=$J$4,'领用录入（明细）'!C:C&lt;=$L$4),ROW(),"-")</f>
        <v>-</v>
      </c>
    </row>
    <row r="34725" customHeight="1" spans="2:2">
      <c r="B34725" s="62" t="str">
        <f>IF(AND('领用录入（明细）'!D:D=$F$4,'领用录入（明细）'!C:C&gt;=$J$4,'领用录入（明细）'!C:C&lt;=$L$4),ROW(),"-")</f>
        <v>-</v>
      </c>
    </row>
    <row r="34726" customHeight="1" spans="2:2">
      <c r="B34726" s="62" t="str">
        <f>IF(AND('领用录入（明细）'!D:D=$F$4,'领用录入（明细）'!C:C&gt;=$J$4,'领用录入（明细）'!C:C&lt;=$L$4),ROW(),"-")</f>
        <v>-</v>
      </c>
    </row>
    <row r="34727" customHeight="1" spans="2:2">
      <c r="B34727" s="62" t="str">
        <f>IF(AND('领用录入（明细）'!D:D=$F$4,'领用录入（明细）'!C:C&gt;=$J$4,'领用录入（明细）'!C:C&lt;=$L$4),ROW(),"-")</f>
        <v>-</v>
      </c>
    </row>
    <row r="34728" customHeight="1" spans="2:2">
      <c r="B34728" s="62" t="str">
        <f>IF(AND('领用录入（明细）'!D:D=$F$4,'领用录入（明细）'!C:C&gt;=$J$4,'领用录入（明细）'!C:C&lt;=$L$4),ROW(),"-")</f>
        <v>-</v>
      </c>
    </row>
    <row r="34729" customHeight="1" spans="2:2">
      <c r="B34729" s="62" t="str">
        <f>IF(AND('领用录入（明细）'!D:D=$F$4,'领用录入（明细）'!C:C&gt;=$J$4,'领用录入（明细）'!C:C&lt;=$L$4),ROW(),"-")</f>
        <v>-</v>
      </c>
    </row>
    <row r="34730" customHeight="1" spans="2:2">
      <c r="B34730" s="62" t="str">
        <f>IF(AND('领用录入（明细）'!D:D=$F$4,'领用录入（明细）'!C:C&gt;=$J$4,'领用录入（明细）'!C:C&lt;=$L$4),ROW(),"-")</f>
        <v>-</v>
      </c>
    </row>
    <row r="34731" customHeight="1" spans="2:2">
      <c r="B34731" s="62" t="str">
        <f>IF(AND('领用录入（明细）'!D:D=$F$4,'领用录入（明细）'!C:C&gt;=$J$4,'领用录入（明细）'!C:C&lt;=$L$4),ROW(),"-")</f>
        <v>-</v>
      </c>
    </row>
    <row r="34732" customHeight="1" spans="2:2">
      <c r="B34732" s="62" t="str">
        <f>IF(AND('领用录入（明细）'!D:D=$F$4,'领用录入（明细）'!C:C&gt;=$J$4,'领用录入（明细）'!C:C&lt;=$L$4),ROW(),"-")</f>
        <v>-</v>
      </c>
    </row>
    <row r="34733" customHeight="1" spans="2:2">
      <c r="B34733" s="62" t="str">
        <f>IF(AND('领用录入（明细）'!D:D=$F$4,'领用录入（明细）'!C:C&gt;=$J$4,'领用录入（明细）'!C:C&lt;=$L$4),ROW(),"-")</f>
        <v>-</v>
      </c>
    </row>
    <row r="34734" customHeight="1" spans="2:2">
      <c r="B34734" s="62" t="str">
        <f>IF(AND('领用录入（明细）'!D:D=$F$4,'领用录入（明细）'!C:C&gt;=$J$4,'领用录入（明细）'!C:C&lt;=$L$4),ROW(),"-")</f>
        <v>-</v>
      </c>
    </row>
    <row r="34735" customHeight="1" spans="2:2">
      <c r="B34735" s="62" t="str">
        <f>IF(AND('领用录入（明细）'!D:D=$F$4,'领用录入（明细）'!C:C&gt;=$J$4,'领用录入（明细）'!C:C&lt;=$L$4),ROW(),"-")</f>
        <v>-</v>
      </c>
    </row>
    <row r="34736" customHeight="1" spans="2:2">
      <c r="B34736" s="62" t="str">
        <f>IF(AND('领用录入（明细）'!D:D=$F$4,'领用录入（明细）'!C:C&gt;=$J$4,'领用录入（明细）'!C:C&lt;=$L$4),ROW(),"-")</f>
        <v>-</v>
      </c>
    </row>
    <row r="34737" customHeight="1" spans="2:2">
      <c r="B34737" s="62" t="str">
        <f>IF(AND('领用录入（明细）'!D:D=$F$4,'领用录入（明细）'!C:C&gt;=$J$4,'领用录入（明细）'!C:C&lt;=$L$4),ROW(),"-")</f>
        <v>-</v>
      </c>
    </row>
    <row r="34738" customHeight="1" spans="2:2">
      <c r="B34738" s="62" t="str">
        <f>IF(AND('领用录入（明细）'!D:D=$F$4,'领用录入（明细）'!C:C&gt;=$J$4,'领用录入（明细）'!C:C&lt;=$L$4),ROW(),"-")</f>
        <v>-</v>
      </c>
    </row>
    <row r="34739" customHeight="1" spans="2:2">
      <c r="B34739" s="62" t="str">
        <f>IF(AND('领用录入（明细）'!D:D=$F$4,'领用录入（明细）'!C:C&gt;=$J$4,'领用录入（明细）'!C:C&lt;=$L$4),ROW(),"-")</f>
        <v>-</v>
      </c>
    </row>
    <row r="34740" customHeight="1" spans="2:2">
      <c r="B34740" s="62" t="str">
        <f>IF(AND('领用录入（明细）'!D:D=$F$4,'领用录入（明细）'!C:C&gt;=$J$4,'领用录入（明细）'!C:C&lt;=$L$4),ROW(),"-")</f>
        <v>-</v>
      </c>
    </row>
    <row r="34741" customHeight="1" spans="2:2">
      <c r="B34741" s="62" t="str">
        <f>IF(AND('领用录入（明细）'!D:D=$F$4,'领用录入（明细）'!C:C&gt;=$J$4,'领用录入（明细）'!C:C&lt;=$L$4),ROW(),"-")</f>
        <v>-</v>
      </c>
    </row>
    <row r="34742" customHeight="1" spans="2:2">
      <c r="B34742" s="62" t="str">
        <f>IF(AND('领用录入（明细）'!D:D=$F$4,'领用录入（明细）'!C:C&gt;=$J$4,'领用录入（明细）'!C:C&lt;=$L$4),ROW(),"-")</f>
        <v>-</v>
      </c>
    </row>
    <row r="34743" customHeight="1" spans="2:2">
      <c r="B34743" s="62" t="str">
        <f>IF(AND('领用录入（明细）'!D:D=$F$4,'领用录入（明细）'!C:C&gt;=$J$4,'领用录入（明细）'!C:C&lt;=$L$4),ROW(),"-")</f>
        <v>-</v>
      </c>
    </row>
    <row r="34744" customHeight="1" spans="2:2">
      <c r="B34744" s="62" t="str">
        <f>IF(AND('领用录入（明细）'!D:D=$F$4,'领用录入（明细）'!C:C&gt;=$J$4,'领用录入（明细）'!C:C&lt;=$L$4),ROW(),"-")</f>
        <v>-</v>
      </c>
    </row>
    <row r="34745" customHeight="1" spans="2:2">
      <c r="B34745" s="62" t="str">
        <f>IF(AND('领用录入（明细）'!D:D=$F$4,'领用录入（明细）'!C:C&gt;=$J$4,'领用录入（明细）'!C:C&lt;=$L$4),ROW(),"-")</f>
        <v>-</v>
      </c>
    </row>
    <row r="34746" customHeight="1" spans="2:2">
      <c r="B34746" s="62" t="str">
        <f>IF(AND('领用录入（明细）'!D:D=$F$4,'领用录入（明细）'!C:C&gt;=$J$4,'领用录入（明细）'!C:C&lt;=$L$4),ROW(),"-")</f>
        <v>-</v>
      </c>
    </row>
    <row r="34747" customHeight="1" spans="2:2">
      <c r="B34747" s="62" t="str">
        <f>IF(AND('领用录入（明细）'!D:D=$F$4,'领用录入（明细）'!C:C&gt;=$J$4,'领用录入（明细）'!C:C&lt;=$L$4),ROW(),"-")</f>
        <v>-</v>
      </c>
    </row>
    <row r="34748" customHeight="1" spans="2:2">
      <c r="B34748" s="62" t="str">
        <f>IF(AND('领用录入（明细）'!D:D=$F$4,'领用录入（明细）'!C:C&gt;=$J$4,'领用录入（明细）'!C:C&lt;=$L$4),ROW(),"-")</f>
        <v>-</v>
      </c>
    </row>
    <row r="34749" customHeight="1" spans="2:2">
      <c r="B34749" s="62" t="str">
        <f>IF(AND('领用录入（明细）'!D:D=$F$4,'领用录入（明细）'!C:C&gt;=$J$4,'领用录入（明细）'!C:C&lt;=$L$4),ROW(),"-")</f>
        <v>-</v>
      </c>
    </row>
    <row r="34750" customHeight="1" spans="2:2">
      <c r="B34750" s="62" t="str">
        <f>IF(AND('领用录入（明细）'!D:D=$F$4,'领用录入（明细）'!C:C&gt;=$J$4,'领用录入（明细）'!C:C&lt;=$L$4),ROW(),"-")</f>
        <v>-</v>
      </c>
    </row>
    <row r="34751" customHeight="1" spans="2:2">
      <c r="B34751" s="62" t="str">
        <f>IF(AND('领用录入（明细）'!D:D=$F$4,'领用录入（明细）'!C:C&gt;=$J$4,'领用录入（明细）'!C:C&lt;=$L$4),ROW(),"-")</f>
        <v>-</v>
      </c>
    </row>
    <row r="34752" customHeight="1" spans="2:2">
      <c r="B34752" s="62" t="str">
        <f>IF(AND('领用录入（明细）'!D:D=$F$4,'领用录入（明细）'!C:C&gt;=$J$4,'领用录入（明细）'!C:C&lt;=$L$4),ROW(),"-")</f>
        <v>-</v>
      </c>
    </row>
    <row r="34753" customHeight="1" spans="2:2">
      <c r="B34753" s="62" t="str">
        <f>IF(AND('领用录入（明细）'!D:D=$F$4,'领用录入（明细）'!C:C&gt;=$J$4,'领用录入（明细）'!C:C&lt;=$L$4),ROW(),"-")</f>
        <v>-</v>
      </c>
    </row>
    <row r="34754" customHeight="1" spans="2:2">
      <c r="B34754" s="62" t="str">
        <f>IF(AND('领用录入（明细）'!D:D=$F$4,'领用录入（明细）'!C:C&gt;=$J$4,'领用录入（明细）'!C:C&lt;=$L$4),ROW(),"-")</f>
        <v>-</v>
      </c>
    </row>
    <row r="34755" customHeight="1" spans="2:2">
      <c r="B34755" s="62" t="str">
        <f>IF(AND('领用录入（明细）'!D:D=$F$4,'领用录入（明细）'!C:C&gt;=$J$4,'领用录入（明细）'!C:C&lt;=$L$4),ROW(),"-")</f>
        <v>-</v>
      </c>
    </row>
    <row r="34756" customHeight="1" spans="2:2">
      <c r="B34756" s="62" t="str">
        <f>IF(AND('领用录入（明细）'!D:D=$F$4,'领用录入（明细）'!C:C&gt;=$J$4,'领用录入（明细）'!C:C&lt;=$L$4),ROW(),"-")</f>
        <v>-</v>
      </c>
    </row>
    <row r="34757" customHeight="1" spans="2:2">
      <c r="B34757" s="62" t="str">
        <f>IF(AND('领用录入（明细）'!D:D=$F$4,'领用录入（明细）'!C:C&gt;=$J$4,'领用录入（明细）'!C:C&lt;=$L$4),ROW(),"-")</f>
        <v>-</v>
      </c>
    </row>
    <row r="34758" customHeight="1" spans="2:2">
      <c r="B34758" s="62" t="str">
        <f>IF(AND('领用录入（明细）'!D:D=$F$4,'领用录入（明细）'!C:C&gt;=$J$4,'领用录入（明细）'!C:C&lt;=$L$4),ROW(),"-")</f>
        <v>-</v>
      </c>
    </row>
    <row r="34759" customHeight="1" spans="2:2">
      <c r="B34759" s="62" t="str">
        <f>IF(AND('领用录入（明细）'!D:D=$F$4,'领用录入（明细）'!C:C&gt;=$J$4,'领用录入（明细）'!C:C&lt;=$L$4),ROW(),"-")</f>
        <v>-</v>
      </c>
    </row>
    <row r="34760" customHeight="1" spans="2:2">
      <c r="B34760" s="62" t="str">
        <f>IF(AND('领用录入（明细）'!D:D=$F$4,'领用录入（明细）'!C:C&gt;=$J$4,'领用录入（明细）'!C:C&lt;=$L$4),ROW(),"-")</f>
        <v>-</v>
      </c>
    </row>
    <row r="34761" customHeight="1" spans="2:2">
      <c r="B34761" s="62" t="str">
        <f>IF(AND('领用录入（明细）'!D:D=$F$4,'领用录入（明细）'!C:C&gt;=$J$4,'领用录入（明细）'!C:C&lt;=$L$4),ROW(),"-")</f>
        <v>-</v>
      </c>
    </row>
    <row r="34762" customHeight="1" spans="2:2">
      <c r="B34762" s="62" t="str">
        <f>IF(AND('领用录入（明细）'!D:D=$F$4,'领用录入（明细）'!C:C&gt;=$J$4,'领用录入（明细）'!C:C&lt;=$L$4),ROW(),"-")</f>
        <v>-</v>
      </c>
    </row>
    <row r="34763" customHeight="1" spans="2:2">
      <c r="B34763" s="62" t="str">
        <f>IF(AND('领用录入（明细）'!D:D=$F$4,'领用录入（明细）'!C:C&gt;=$J$4,'领用录入（明细）'!C:C&lt;=$L$4),ROW(),"-")</f>
        <v>-</v>
      </c>
    </row>
    <row r="34764" customHeight="1" spans="2:2">
      <c r="B34764" s="62" t="str">
        <f>IF(AND('领用录入（明细）'!D:D=$F$4,'领用录入（明细）'!C:C&gt;=$J$4,'领用录入（明细）'!C:C&lt;=$L$4),ROW(),"-")</f>
        <v>-</v>
      </c>
    </row>
    <row r="34765" customHeight="1" spans="2:2">
      <c r="B34765" s="62" t="str">
        <f>IF(AND('领用录入（明细）'!D:D=$F$4,'领用录入（明细）'!C:C&gt;=$J$4,'领用录入（明细）'!C:C&lt;=$L$4),ROW(),"-")</f>
        <v>-</v>
      </c>
    </row>
    <row r="34766" customHeight="1" spans="2:2">
      <c r="B34766" s="62" t="str">
        <f>IF(AND('领用录入（明细）'!D:D=$F$4,'领用录入（明细）'!C:C&gt;=$J$4,'领用录入（明细）'!C:C&lt;=$L$4),ROW(),"-")</f>
        <v>-</v>
      </c>
    </row>
    <row r="34767" customHeight="1" spans="2:2">
      <c r="B34767" s="62" t="str">
        <f>IF(AND('领用录入（明细）'!D:D=$F$4,'领用录入（明细）'!C:C&gt;=$J$4,'领用录入（明细）'!C:C&lt;=$L$4),ROW(),"-")</f>
        <v>-</v>
      </c>
    </row>
    <row r="34768" customHeight="1" spans="2:2">
      <c r="B34768" s="62" t="str">
        <f>IF(AND('领用录入（明细）'!D:D=$F$4,'领用录入（明细）'!C:C&gt;=$J$4,'领用录入（明细）'!C:C&lt;=$L$4),ROW(),"-")</f>
        <v>-</v>
      </c>
    </row>
    <row r="34769" customHeight="1" spans="2:2">
      <c r="B34769" s="62" t="str">
        <f>IF(AND('领用录入（明细）'!D:D=$F$4,'领用录入（明细）'!C:C&gt;=$J$4,'领用录入（明细）'!C:C&lt;=$L$4),ROW(),"-")</f>
        <v>-</v>
      </c>
    </row>
    <row r="34770" customHeight="1" spans="2:2">
      <c r="B34770" s="62" t="str">
        <f>IF(AND('领用录入（明细）'!D:D=$F$4,'领用录入（明细）'!C:C&gt;=$J$4,'领用录入（明细）'!C:C&lt;=$L$4),ROW(),"-")</f>
        <v>-</v>
      </c>
    </row>
    <row r="34771" customHeight="1" spans="2:2">
      <c r="B34771" s="62" t="str">
        <f>IF(AND('领用录入（明细）'!D:D=$F$4,'领用录入（明细）'!C:C&gt;=$J$4,'领用录入（明细）'!C:C&lt;=$L$4),ROW(),"-")</f>
        <v>-</v>
      </c>
    </row>
    <row r="34772" customHeight="1" spans="2:2">
      <c r="B34772" s="62" t="str">
        <f>IF(AND('领用录入（明细）'!D:D=$F$4,'领用录入（明细）'!C:C&gt;=$J$4,'领用录入（明细）'!C:C&lt;=$L$4),ROW(),"-")</f>
        <v>-</v>
      </c>
    </row>
    <row r="34773" customHeight="1" spans="2:2">
      <c r="B34773" s="62" t="str">
        <f>IF(AND('领用录入（明细）'!D:D=$F$4,'领用录入（明细）'!C:C&gt;=$J$4,'领用录入（明细）'!C:C&lt;=$L$4),ROW(),"-")</f>
        <v>-</v>
      </c>
    </row>
    <row r="34774" customHeight="1" spans="2:2">
      <c r="B34774" s="62" t="str">
        <f>IF(AND('领用录入（明细）'!D:D=$F$4,'领用录入（明细）'!C:C&gt;=$J$4,'领用录入（明细）'!C:C&lt;=$L$4),ROW(),"-")</f>
        <v>-</v>
      </c>
    </row>
    <row r="34775" customHeight="1" spans="2:2">
      <c r="B34775" s="62" t="str">
        <f>IF(AND('领用录入（明细）'!D:D=$F$4,'领用录入（明细）'!C:C&gt;=$J$4,'领用录入（明细）'!C:C&lt;=$L$4),ROW(),"-")</f>
        <v>-</v>
      </c>
    </row>
    <row r="34776" customHeight="1" spans="2:2">
      <c r="B34776" s="62" t="str">
        <f>IF(AND('领用录入（明细）'!D:D=$F$4,'领用录入（明细）'!C:C&gt;=$J$4,'领用录入（明细）'!C:C&lt;=$L$4),ROW(),"-")</f>
        <v>-</v>
      </c>
    </row>
    <row r="34777" customHeight="1" spans="2:2">
      <c r="B34777" s="62" t="str">
        <f>IF(AND('领用录入（明细）'!D:D=$F$4,'领用录入（明细）'!C:C&gt;=$J$4,'领用录入（明细）'!C:C&lt;=$L$4),ROW(),"-")</f>
        <v>-</v>
      </c>
    </row>
    <row r="34778" customHeight="1" spans="2:2">
      <c r="B34778" s="62" t="str">
        <f>IF(AND('领用录入（明细）'!D:D=$F$4,'领用录入（明细）'!C:C&gt;=$J$4,'领用录入（明细）'!C:C&lt;=$L$4),ROW(),"-")</f>
        <v>-</v>
      </c>
    </row>
    <row r="34779" customHeight="1" spans="2:2">
      <c r="B34779" s="62" t="str">
        <f>IF(AND('领用录入（明细）'!D:D=$F$4,'领用录入（明细）'!C:C&gt;=$J$4,'领用录入（明细）'!C:C&lt;=$L$4),ROW(),"-")</f>
        <v>-</v>
      </c>
    </row>
    <row r="34780" customHeight="1" spans="2:2">
      <c r="B34780" s="62" t="str">
        <f>IF(AND('领用录入（明细）'!D:D=$F$4,'领用录入（明细）'!C:C&gt;=$J$4,'领用录入（明细）'!C:C&lt;=$L$4),ROW(),"-")</f>
        <v>-</v>
      </c>
    </row>
    <row r="34781" customHeight="1" spans="2:2">
      <c r="B34781" s="62" t="str">
        <f>IF(AND('领用录入（明细）'!D:D=$F$4,'领用录入（明细）'!C:C&gt;=$J$4,'领用录入（明细）'!C:C&lt;=$L$4),ROW(),"-")</f>
        <v>-</v>
      </c>
    </row>
    <row r="34782" customHeight="1" spans="2:2">
      <c r="B34782" s="62" t="str">
        <f>IF(AND('领用录入（明细）'!D:D=$F$4,'领用录入（明细）'!C:C&gt;=$J$4,'领用录入（明细）'!C:C&lt;=$L$4),ROW(),"-")</f>
        <v>-</v>
      </c>
    </row>
    <row r="34783" customHeight="1" spans="2:2">
      <c r="B34783" s="62" t="str">
        <f>IF(AND('领用录入（明细）'!D:D=$F$4,'领用录入（明细）'!C:C&gt;=$J$4,'领用录入（明细）'!C:C&lt;=$L$4),ROW(),"-")</f>
        <v>-</v>
      </c>
    </row>
    <row r="34784" customHeight="1" spans="2:2">
      <c r="B34784" s="62" t="str">
        <f>IF(AND('领用录入（明细）'!D:D=$F$4,'领用录入（明细）'!C:C&gt;=$J$4,'领用录入（明细）'!C:C&lt;=$L$4),ROW(),"-")</f>
        <v>-</v>
      </c>
    </row>
    <row r="34785" customHeight="1" spans="2:2">
      <c r="B34785" s="62" t="str">
        <f>IF(AND('领用录入（明细）'!D:D=$F$4,'领用录入（明细）'!C:C&gt;=$J$4,'领用录入（明细）'!C:C&lt;=$L$4),ROW(),"-")</f>
        <v>-</v>
      </c>
    </row>
    <row r="34786" customHeight="1" spans="2:2">
      <c r="B34786" s="62" t="str">
        <f>IF(AND('领用录入（明细）'!D:D=$F$4,'领用录入（明细）'!C:C&gt;=$J$4,'领用录入（明细）'!C:C&lt;=$L$4),ROW(),"-")</f>
        <v>-</v>
      </c>
    </row>
    <row r="34787" customHeight="1" spans="2:2">
      <c r="B34787" s="62" t="str">
        <f>IF(AND('领用录入（明细）'!D:D=$F$4,'领用录入（明细）'!C:C&gt;=$J$4,'领用录入（明细）'!C:C&lt;=$L$4),ROW(),"-")</f>
        <v>-</v>
      </c>
    </row>
    <row r="34788" customHeight="1" spans="2:2">
      <c r="B34788" s="62" t="str">
        <f>IF(AND('领用录入（明细）'!D:D=$F$4,'领用录入（明细）'!C:C&gt;=$J$4,'领用录入（明细）'!C:C&lt;=$L$4),ROW(),"-")</f>
        <v>-</v>
      </c>
    </row>
    <row r="34789" customHeight="1" spans="2:2">
      <c r="B34789" s="62" t="str">
        <f>IF(AND('领用录入（明细）'!D:D=$F$4,'领用录入（明细）'!C:C&gt;=$J$4,'领用录入（明细）'!C:C&lt;=$L$4),ROW(),"-")</f>
        <v>-</v>
      </c>
    </row>
    <row r="34790" customHeight="1" spans="2:2">
      <c r="B34790" s="62" t="str">
        <f>IF(AND('领用录入（明细）'!D:D=$F$4,'领用录入（明细）'!C:C&gt;=$J$4,'领用录入（明细）'!C:C&lt;=$L$4),ROW(),"-")</f>
        <v>-</v>
      </c>
    </row>
    <row r="34791" customHeight="1" spans="2:2">
      <c r="B34791" s="62" t="str">
        <f>IF(AND('领用录入（明细）'!D:D=$F$4,'领用录入（明细）'!C:C&gt;=$J$4,'领用录入（明细）'!C:C&lt;=$L$4),ROW(),"-")</f>
        <v>-</v>
      </c>
    </row>
    <row r="34792" customHeight="1" spans="2:2">
      <c r="B34792" s="62" t="str">
        <f>IF(AND('领用录入（明细）'!D:D=$F$4,'领用录入（明细）'!C:C&gt;=$J$4,'领用录入（明细）'!C:C&lt;=$L$4),ROW(),"-")</f>
        <v>-</v>
      </c>
    </row>
    <row r="34793" customHeight="1" spans="2:2">
      <c r="B34793" s="62" t="str">
        <f>IF(AND('领用录入（明细）'!D:D=$F$4,'领用录入（明细）'!C:C&gt;=$J$4,'领用录入（明细）'!C:C&lt;=$L$4),ROW(),"-")</f>
        <v>-</v>
      </c>
    </row>
    <row r="34794" customHeight="1" spans="2:2">
      <c r="B34794" s="62" t="str">
        <f>IF(AND('领用录入（明细）'!D:D=$F$4,'领用录入（明细）'!C:C&gt;=$J$4,'领用录入（明细）'!C:C&lt;=$L$4),ROW(),"-")</f>
        <v>-</v>
      </c>
    </row>
    <row r="34795" customHeight="1" spans="2:2">
      <c r="B34795" s="62" t="str">
        <f>IF(AND('领用录入（明细）'!D:D=$F$4,'领用录入（明细）'!C:C&gt;=$J$4,'领用录入（明细）'!C:C&lt;=$L$4),ROW(),"-")</f>
        <v>-</v>
      </c>
    </row>
    <row r="34796" customHeight="1" spans="2:2">
      <c r="B34796" s="62" t="str">
        <f>IF(AND('领用录入（明细）'!D:D=$F$4,'领用录入（明细）'!C:C&gt;=$J$4,'领用录入（明细）'!C:C&lt;=$L$4),ROW(),"-")</f>
        <v>-</v>
      </c>
    </row>
    <row r="34797" customHeight="1" spans="2:2">
      <c r="B34797" s="62" t="str">
        <f>IF(AND('领用录入（明细）'!D:D=$F$4,'领用录入（明细）'!C:C&gt;=$J$4,'领用录入（明细）'!C:C&lt;=$L$4),ROW(),"-")</f>
        <v>-</v>
      </c>
    </row>
    <row r="34798" customHeight="1" spans="2:2">
      <c r="B34798" s="62" t="str">
        <f>IF(AND('领用录入（明细）'!D:D=$F$4,'领用录入（明细）'!C:C&gt;=$J$4,'领用录入（明细）'!C:C&lt;=$L$4),ROW(),"-")</f>
        <v>-</v>
      </c>
    </row>
    <row r="34799" customHeight="1" spans="2:2">
      <c r="B34799" s="62" t="str">
        <f>IF(AND('领用录入（明细）'!D:D=$F$4,'领用录入（明细）'!C:C&gt;=$J$4,'领用录入（明细）'!C:C&lt;=$L$4),ROW(),"-")</f>
        <v>-</v>
      </c>
    </row>
    <row r="34800" customHeight="1" spans="2:2">
      <c r="B34800" s="62" t="str">
        <f>IF(AND('领用录入（明细）'!D:D=$F$4,'领用录入（明细）'!C:C&gt;=$J$4,'领用录入（明细）'!C:C&lt;=$L$4),ROW(),"-")</f>
        <v>-</v>
      </c>
    </row>
    <row r="34801" customHeight="1" spans="2:2">
      <c r="B34801" s="62" t="str">
        <f>IF(AND('领用录入（明细）'!D:D=$F$4,'领用录入（明细）'!C:C&gt;=$J$4,'领用录入（明细）'!C:C&lt;=$L$4),ROW(),"-")</f>
        <v>-</v>
      </c>
    </row>
    <row r="34802" customHeight="1" spans="2:2">
      <c r="B34802" s="62" t="str">
        <f>IF(AND('领用录入（明细）'!D:D=$F$4,'领用录入（明细）'!C:C&gt;=$J$4,'领用录入（明细）'!C:C&lt;=$L$4),ROW(),"-")</f>
        <v>-</v>
      </c>
    </row>
    <row r="34803" customHeight="1" spans="2:2">
      <c r="B34803" s="62" t="str">
        <f>IF(AND('领用录入（明细）'!D:D=$F$4,'领用录入（明细）'!C:C&gt;=$J$4,'领用录入（明细）'!C:C&lt;=$L$4),ROW(),"-")</f>
        <v>-</v>
      </c>
    </row>
    <row r="34804" customHeight="1" spans="2:2">
      <c r="B34804" s="62" t="str">
        <f>IF(AND('领用录入（明细）'!D:D=$F$4,'领用录入（明细）'!C:C&gt;=$J$4,'领用录入（明细）'!C:C&lt;=$L$4),ROW(),"-")</f>
        <v>-</v>
      </c>
    </row>
    <row r="34805" customHeight="1" spans="2:2">
      <c r="B34805" s="62" t="str">
        <f>IF(AND('领用录入（明细）'!D:D=$F$4,'领用录入（明细）'!C:C&gt;=$J$4,'领用录入（明细）'!C:C&lt;=$L$4),ROW(),"-")</f>
        <v>-</v>
      </c>
    </row>
    <row r="34806" customHeight="1" spans="2:2">
      <c r="B34806" s="62" t="str">
        <f>IF(AND('领用录入（明细）'!D:D=$F$4,'领用录入（明细）'!C:C&gt;=$J$4,'领用录入（明细）'!C:C&lt;=$L$4),ROW(),"-")</f>
        <v>-</v>
      </c>
    </row>
    <row r="34807" customHeight="1" spans="2:2">
      <c r="B34807" s="62" t="str">
        <f>IF(AND('领用录入（明细）'!D:D=$F$4,'领用录入（明细）'!C:C&gt;=$J$4,'领用录入（明细）'!C:C&lt;=$L$4),ROW(),"-")</f>
        <v>-</v>
      </c>
    </row>
    <row r="34808" customHeight="1" spans="2:2">
      <c r="B34808" s="62" t="str">
        <f>IF(AND('领用录入（明细）'!D:D=$F$4,'领用录入（明细）'!C:C&gt;=$J$4,'领用录入（明细）'!C:C&lt;=$L$4),ROW(),"-")</f>
        <v>-</v>
      </c>
    </row>
    <row r="34809" customHeight="1" spans="2:2">
      <c r="B34809" s="62" t="str">
        <f>IF(AND('领用录入（明细）'!D:D=$F$4,'领用录入（明细）'!C:C&gt;=$J$4,'领用录入（明细）'!C:C&lt;=$L$4),ROW(),"-")</f>
        <v>-</v>
      </c>
    </row>
    <row r="34810" customHeight="1" spans="2:2">
      <c r="B34810" s="62" t="str">
        <f>IF(AND('领用录入（明细）'!D:D=$F$4,'领用录入（明细）'!C:C&gt;=$J$4,'领用录入（明细）'!C:C&lt;=$L$4),ROW(),"-")</f>
        <v>-</v>
      </c>
    </row>
    <row r="34811" customHeight="1" spans="2:2">
      <c r="B34811" s="62" t="str">
        <f>IF(AND('领用录入（明细）'!D:D=$F$4,'领用录入（明细）'!C:C&gt;=$J$4,'领用录入（明细）'!C:C&lt;=$L$4),ROW(),"-")</f>
        <v>-</v>
      </c>
    </row>
    <row r="34812" customHeight="1" spans="2:2">
      <c r="B34812" s="62" t="str">
        <f>IF(AND('领用录入（明细）'!D:D=$F$4,'领用录入（明细）'!C:C&gt;=$J$4,'领用录入（明细）'!C:C&lt;=$L$4),ROW(),"-")</f>
        <v>-</v>
      </c>
    </row>
    <row r="34813" customHeight="1" spans="2:2">
      <c r="B34813" s="62" t="str">
        <f>IF(AND('领用录入（明细）'!D:D=$F$4,'领用录入（明细）'!C:C&gt;=$J$4,'领用录入（明细）'!C:C&lt;=$L$4),ROW(),"-")</f>
        <v>-</v>
      </c>
    </row>
    <row r="34814" customHeight="1" spans="2:2">
      <c r="B34814" s="62" t="str">
        <f>IF(AND('领用录入（明细）'!D:D=$F$4,'领用录入（明细）'!C:C&gt;=$J$4,'领用录入（明细）'!C:C&lt;=$L$4),ROW(),"-")</f>
        <v>-</v>
      </c>
    </row>
    <row r="34815" customHeight="1" spans="2:2">
      <c r="B34815" s="62" t="str">
        <f>IF(AND('领用录入（明细）'!D:D=$F$4,'领用录入（明细）'!C:C&gt;=$J$4,'领用录入（明细）'!C:C&lt;=$L$4),ROW(),"-")</f>
        <v>-</v>
      </c>
    </row>
    <row r="34816" customHeight="1" spans="2:2">
      <c r="B34816" s="62" t="str">
        <f>IF(AND('领用录入（明细）'!D:D=$F$4,'领用录入（明细）'!C:C&gt;=$J$4,'领用录入（明细）'!C:C&lt;=$L$4),ROW(),"-")</f>
        <v>-</v>
      </c>
    </row>
    <row r="34817" customHeight="1" spans="2:2">
      <c r="B34817" s="62" t="str">
        <f>IF(AND('领用录入（明细）'!D:D=$F$4,'领用录入（明细）'!C:C&gt;=$J$4,'领用录入（明细）'!C:C&lt;=$L$4),ROW(),"-")</f>
        <v>-</v>
      </c>
    </row>
    <row r="34818" customHeight="1" spans="2:2">
      <c r="B34818" s="62" t="str">
        <f>IF(AND('领用录入（明细）'!D:D=$F$4,'领用录入（明细）'!C:C&gt;=$J$4,'领用录入（明细）'!C:C&lt;=$L$4),ROW(),"-")</f>
        <v>-</v>
      </c>
    </row>
    <row r="34819" customHeight="1" spans="2:2">
      <c r="B34819" s="62" t="str">
        <f>IF(AND('领用录入（明细）'!D:D=$F$4,'领用录入（明细）'!C:C&gt;=$J$4,'领用录入（明细）'!C:C&lt;=$L$4),ROW(),"-")</f>
        <v>-</v>
      </c>
    </row>
    <row r="34820" customHeight="1" spans="2:2">
      <c r="B34820" s="62" t="str">
        <f>IF(AND('领用录入（明细）'!D:D=$F$4,'领用录入（明细）'!C:C&gt;=$J$4,'领用录入（明细）'!C:C&lt;=$L$4),ROW(),"-")</f>
        <v>-</v>
      </c>
    </row>
    <row r="34821" customHeight="1" spans="2:2">
      <c r="B34821" s="62" t="str">
        <f>IF(AND('领用录入（明细）'!D:D=$F$4,'领用录入（明细）'!C:C&gt;=$J$4,'领用录入（明细）'!C:C&lt;=$L$4),ROW(),"-")</f>
        <v>-</v>
      </c>
    </row>
    <row r="34822" customHeight="1" spans="2:2">
      <c r="B34822" s="62" t="str">
        <f>IF(AND('领用录入（明细）'!D:D=$F$4,'领用录入（明细）'!C:C&gt;=$J$4,'领用录入（明细）'!C:C&lt;=$L$4),ROW(),"-")</f>
        <v>-</v>
      </c>
    </row>
    <row r="34823" customHeight="1" spans="2:2">
      <c r="B34823" s="62" t="str">
        <f>IF(AND('领用录入（明细）'!D:D=$F$4,'领用录入（明细）'!C:C&gt;=$J$4,'领用录入（明细）'!C:C&lt;=$L$4),ROW(),"-")</f>
        <v>-</v>
      </c>
    </row>
    <row r="34824" customHeight="1" spans="2:2">
      <c r="B34824" s="62" t="str">
        <f>IF(AND('领用录入（明细）'!D:D=$F$4,'领用录入（明细）'!C:C&gt;=$J$4,'领用录入（明细）'!C:C&lt;=$L$4),ROW(),"-")</f>
        <v>-</v>
      </c>
    </row>
    <row r="34825" customHeight="1" spans="2:2">
      <c r="B34825" s="62" t="str">
        <f>IF(AND('领用录入（明细）'!D:D=$F$4,'领用录入（明细）'!C:C&gt;=$J$4,'领用录入（明细）'!C:C&lt;=$L$4),ROW(),"-")</f>
        <v>-</v>
      </c>
    </row>
    <row r="34826" customHeight="1" spans="2:2">
      <c r="B34826" s="62" t="str">
        <f>IF(AND('领用录入（明细）'!D:D=$F$4,'领用录入（明细）'!C:C&gt;=$J$4,'领用录入（明细）'!C:C&lt;=$L$4),ROW(),"-")</f>
        <v>-</v>
      </c>
    </row>
    <row r="34827" customHeight="1" spans="2:2">
      <c r="B34827" s="62" t="str">
        <f>IF(AND('领用录入（明细）'!D:D=$F$4,'领用录入（明细）'!C:C&gt;=$J$4,'领用录入（明细）'!C:C&lt;=$L$4),ROW(),"-")</f>
        <v>-</v>
      </c>
    </row>
    <row r="34828" customHeight="1" spans="2:2">
      <c r="B34828" s="62" t="str">
        <f>IF(AND('领用录入（明细）'!D:D=$F$4,'领用录入（明细）'!C:C&gt;=$J$4,'领用录入（明细）'!C:C&lt;=$L$4),ROW(),"-")</f>
        <v>-</v>
      </c>
    </row>
    <row r="34829" customHeight="1" spans="2:2">
      <c r="B34829" s="62" t="str">
        <f>IF(AND('领用录入（明细）'!D:D=$F$4,'领用录入（明细）'!C:C&gt;=$J$4,'领用录入（明细）'!C:C&lt;=$L$4),ROW(),"-")</f>
        <v>-</v>
      </c>
    </row>
    <row r="34830" customHeight="1" spans="2:2">
      <c r="B34830" s="62" t="str">
        <f>IF(AND('领用录入（明细）'!D:D=$F$4,'领用录入（明细）'!C:C&gt;=$J$4,'领用录入（明细）'!C:C&lt;=$L$4),ROW(),"-")</f>
        <v>-</v>
      </c>
    </row>
    <row r="34831" customHeight="1" spans="2:2">
      <c r="B34831" s="62" t="str">
        <f>IF(AND('领用录入（明细）'!D:D=$F$4,'领用录入（明细）'!C:C&gt;=$J$4,'领用录入（明细）'!C:C&lt;=$L$4),ROW(),"-")</f>
        <v>-</v>
      </c>
    </row>
    <row r="34832" customHeight="1" spans="2:2">
      <c r="B34832" s="62" t="str">
        <f>IF(AND('领用录入（明细）'!D:D=$F$4,'领用录入（明细）'!C:C&gt;=$J$4,'领用录入（明细）'!C:C&lt;=$L$4),ROW(),"-")</f>
        <v>-</v>
      </c>
    </row>
    <row r="34833" customHeight="1" spans="2:2">
      <c r="B34833" s="62" t="str">
        <f>IF(AND('领用录入（明细）'!D:D=$F$4,'领用录入（明细）'!C:C&gt;=$J$4,'领用录入（明细）'!C:C&lt;=$L$4),ROW(),"-")</f>
        <v>-</v>
      </c>
    </row>
    <row r="34834" customHeight="1" spans="2:2">
      <c r="B34834" s="62" t="str">
        <f>IF(AND('领用录入（明细）'!D:D=$F$4,'领用录入（明细）'!C:C&gt;=$J$4,'领用录入（明细）'!C:C&lt;=$L$4),ROW(),"-")</f>
        <v>-</v>
      </c>
    </row>
    <row r="34835" customHeight="1" spans="2:2">
      <c r="B34835" s="62" t="str">
        <f>IF(AND('领用录入（明细）'!D:D=$F$4,'领用录入（明细）'!C:C&gt;=$J$4,'领用录入（明细）'!C:C&lt;=$L$4),ROW(),"-")</f>
        <v>-</v>
      </c>
    </row>
    <row r="34836" customHeight="1" spans="2:2">
      <c r="B34836" s="62" t="str">
        <f>IF(AND('领用录入（明细）'!D:D=$F$4,'领用录入（明细）'!C:C&gt;=$J$4,'领用录入（明细）'!C:C&lt;=$L$4),ROW(),"-")</f>
        <v>-</v>
      </c>
    </row>
    <row r="34837" customHeight="1" spans="2:2">
      <c r="B34837" s="62" t="str">
        <f>IF(AND('领用录入（明细）'!D:D=$F$4,'领用录入（明细）'!C:C&gt;=$J$4,'领用录入（明细）'!C:C&lt;=$L$4),ROW(),"-")</f>
        <v>-</v>
      </c>
    </row>
    <row r="34838" customHeight="1" spans="2:2">
      <c r="B34838" s="62" t="str">
        <f>IF(AND('领用录入（明细）'!D:D=$F$4,'领用录入（明细）'!C:C&gt;=$J$4,'领用录入（明细）'!C:C&lt;=$L$4),ROW(),"-")</f>
        <v>-</v>
      </c>
    </row>
    <row r="34839" customHeight="1" spans="2:2">
      <c r="B34839" s="62" t="str">
        <f>IF(AND('领用录入（明细）'!D:D=$F$4,'领用录入（明细）'!C:C&gt;=$J$4,'领用录入（明细）'!C:C&lt;=$L$4),ROW(),"-")</f>
        <v>-</v>
      </c>
    </row>
    <row r="34840" customHeight="1" spans="2:2">
      <c r="B34840" s="62" t="str">
        <f>IF(AND('领用录入（明细）'!D:D=$F$4,'领用录入（明细）'!C:C&gt;=$J$4,'领用录入（明细）'!C:C&lt;=$L$4),ROW(),"-")</f>
        <v>-</v>
      </c>
    </row>
    <row r="34841" customHeight="1" spans="2:2">
      <c r="B34841" s="62" t="str">
        <f>IF(AND('领用录入（明细）'!D:D=$F$4,'领用录入（明细）'!C:C&gt;=$J$4,'领用录入（明细）'!C:C&lt;=$L$4),ROW(),"-")</f>
        <v>-</v>
      </c>
    </row>
    <row r="34842" customHeight="1" spans="2:2">
      <c r="B34842" s="62" t="str">
        <f>IF(AND('领用录入（明细）'!D:D=$F$4,'领用录入（明细）'!C:C&gt;=$J$4,'领用录入（明细）'!C:C&lt;=$L$4),ROW(),"-")</f>
        <v>-</v>
      </c>
    </row>
    <row r="34843" customHeight="1" spans="2:2">
      <c r="B34843" s="62" t="str">
        <f>IF(AND('领用录入（明细）'!D:D=$F$4,'领用录入（明细）'!C:C&gt;=$J$4,'领用录入（明细）'!C:C&lt;=$L$4),ROW(),"-")</f>
        <v>-</v>
      </c>
    </row>
    <row r="34844" customHeight="1" spans="2:2">
      <c r="B34844" s="62" t="str">
        <f>IF(AND('领用录入（明细）'!D:D=$F$4,'领用录入（明细）'!C:C&gt;=$J$4,'领用录入（明细）'!C:C&lt;=$L$4),ROW(),"-")</f>
        <v>-</v>
      </c>
    </row>
    <row r="34845" customHeight="1" spans="2:2">
      <c r="B34845" s="62" t="str">
        <f>IF(AND('领用录入（明细）'!D:D=$F$4,'领用录入（明细）'!C:C&gt;=$J$4,'领用录入（明细）'!C:C&lt;=$L$4),ROW(),"-")</f>
        <v>-</v>
      </c>
    </row>
    <row r="34846" customHeight="1" spans="2:2">
      <c r="B34846" s="62" t="str">
        <f>IF(AND('领用录入（明细）'!D:D=$F$4,'领用录入（明细）'!C:C&gt;=$J$4,'领用录入（明细）'!C:C&lt;=$L$4),ROW(),"-")</f>
        <v>-</v>
      </c>
    </row>
    <row r="34847" customHeight="1" spans="2:2">
      <c r="B34847" s="62" t="str">
        <f>IF(AND('领用录入（明细）'!D:D=$F$4,'领用录入（明细）'!C:C&gt;=$J$4,'领用录入（明细）'!C:C&lt;=$L$4),ROW(),"-")</f>
        <v>-</v>
      </c>
    </row>
    <row r="34848" customHeight="1" spans="2:2">
      <c r="B34848" s="62" t="str">
        <f>IF(AND('领用录入（明细）'!D:D=$F$4,'领用录入（明细）'!C:C&gt;=$J$4,'领用录入（明细）'!C:C&lt;=$L$4),ROW(),"-")</f>
        <v>-</v>
      </c>
    </row>
    <row r="34849" customHeight="1" spans="2:2">
      <c r="B34849" s="62" t="str">
        <f>IF(AND('领用录入（明细）'!D:D=$F$4,'领用录入（明细）'!C:C&gt;=$J$4,'领用录入（明细）'!C:C&lt;=$L$4),ROW(),"-")</f>
        <v>-</v>
      </c>
    </row>
    <row r="34850" customHeight="1" spans="2:2">
      <c r="B34850" s="62" t="str">
        <f>IF(AND('领用录入（明细）'!D:D=$F$4,'领用录入（明细）'!C:C&gt;=$J$4,'领用录入（明细）'!C:C&lt;=$L$4),ROW(),"-")</f>
        <v>-</v>
      </c>
    </row>
    <row r="34851" customHeight="1" spans="2:2">
      <c r="B34851" s="62" t="str">
        <f>IF(AND('领用录入（明细）'!D:D=$F$4,'领用录入（明细）'!C:C&gt;=$J$4,'领用录入（明细）'!C:C&lt;=$L$4),ROW(),"-")</f>
        <v>-</v>
      </c>
    </row>
    <row r="34852" customHeight="1" spans="2:2">
      <c r="B34852" s="62" t="str">
        <f>IF(AND('领用录入（明细）'!D:D=$F$4,'领用录入（明细）'!C:C&gt;=$J$4,'领用录入（明细）'!C:C&lt;=$L$4),ROW(),"-")</f>
        <v>-</v>
      </c>
    </row>
    <row r="34853" customHeight="1" spans="2:2">
      <c r="B34853" s="62" t="str">
        <f>IF(AND('领用录入（明细）'!D:D=$F$4,'领用录入（明细）'!C:C&gt;=$J$4,'领用录入（明细）'!C:C&lt;=$L$4),ROW(),"-")</f>
        <v>-</v>
      </c>
    </row>
    <row r="34854" customHeight="1" spans="2:2">
      <c r="B34854" s="62" t="str">
        <f>IF(AND('领用录入（明细）'!D:D=$F$4,'领用录入（明细）'!C:C&gt;=$J$4,'领用录入（明细）'!C:C&lt;=$L$4),ROW(),"-")</f>
        <v>-</v>
      </c>
    </row>
    <row r="34855" customHeight="1" spans="2:2">
      <c r="B34855" s="62" t="str">
        <f>IF(AND('领用录入（明细）'!D:D=$F$4,'领用录入（明细）'!C:C&gt;=$J$4,'领用录入（明细）'!C:C&lt;=$L$4),ROW(),"-")</f>
        <v>-</v>
      </c>
    </row>
    <row r="34856" customHeight="1" spans="2:2">
      <c r="B34856" s="62" t="str">
        <f>IF(AND('领用录入（明细）'!D:D=$F$4,'领用录入（明细）'!C:C&gt;=$J$4,'领用录入（明细）'!C:C&lt;=$L$4),ROW(),"-")</f>
        <v>-</v>
      </c>
    </row>
    <row r="34857" customHeight="1" spans="2:2">
      <c r="B34857" s="62" t="str">
        <f>IF(AND('领用录入（明细）'!D:D=$F$4,'领用录入（明细）'!C:C&gt;=$J$4,'领用录入（明细）'!C:C&lt;=$L$4),ROW(),"-")</f>
        <v>-</v>
      </c>
    </row>
    <row r="34858" customHeight="1" spans="2:2">
      <c r="B34858" s="62" t="str">
        <f>IF(AND('领用录入（明细）'!D:D=$F$4,'领用录入（明细）'!C:C&gt;=$J$4,'领用录入（明细）'!C:C&lt;=$L$4),ROW(),"-")</f>
        <v>-</v>
      </c>
    </row>
    <row r="34859" customHeight="1" spans="2:2">
      <c r="B34859" s="62" t="str">
        <f>IF(AND('领用录入（明细）'!D:D=$F$4,'领用录入（明细）'!C:C&gt;=$J$4,'领用录入（明细）'!C:C&lt;=$L$4),ROW(),"-")</f>
        <v>-</v>
      </c>
    </row>
    <row r="34860" customHeight="1" spans="2:2">
      <c r="B34860" s="62" t="str">
        <f>IF(AND('领用录入（明细）'!D:D=$F$4,'领用录入（明细）'!C:C&gt;=$J$4,'领用录入（明细）'!C:C&lt;=$L$4),ROW(),"-")</f>
        <v>-</v>
      </c>
    </row>
    <row r="34861" customHeight="1" spans="2:2">
      <c r="B34861" s="62" t="str">
        <f>IF(AND('领用录入（明细）'!D:D=$F$4,'领用录入（明细）'!C:C&gt;=$J$4,'领用录入（明细）'!C:C&lt;=$L$4),ROW(),"-")</f>
        <v>-</v>
      </c>
    </row>
    <row r="34862" customHeight="1" spans="2:2">
      <c r="B34862" s="62" t="str">
        <f>IF(AND('领用录入（明细）'!D:D=$F$4,'领用录入（明细）'!C:C&gt;=$J$4,'领用录入（明细）'!C:C&lt;=$L$4),ROW(),"-")</f>
        <v>-</v>
      </c>
    </row>
    <row r="34863" customHeight="1" spans="2:2">
      <c r="B34863" s="62" t="str">
        <f>IF(AND('领用录入（明细）'!D:D=$F$4,'领用录入（明细）'!C:C&gt;=$J$4,'领用录入（明细）'!C:C&lt;=$L$4),ROW(),"-")</f>
        <v>-</v>
      </c>
    </row>
    <row r="34864" customHeight="1" spans="2:2">
      <c r="B34864" s="62" t="str">
        <f>IF(AND('领用录入（明细）'!D:D=$F$4,'领用录入（明细）'!C:C&gt;=$J$4,'领用录入（明细）'!C:C&lt;=$L$4),ROW(),"-")</f>
        <v>-</v>
      </c>
    </row>
    <row r="34865" customHeight="1" spans="2:2">
      <c r="B34865" s="62" t="str">
        <f>IF(AND('领用录入（明细）'!D:D=$F$4,'领用录入（明细）'!C:C&gt;=$J$4,'领用录入（明细）'!C:C&lt;=$L$4),ROW(),"-")</f>
        <v>-</v>
      </c>
    </row>
    <row r="34866" customHeight="1" spans="2:2">
      <c r="B34866" s="62" t="str">
        <f>IF(AND('领用录入（明细）'!D:D=$F$4,'领用录入（明细）'!C:C&gt;=$J$4,'领用录入（明细）'!C:C&lt;=$L$4),ROW(),"-")</f>
        <v>-</v>
      </c>
    </row>
    <row r="34867" customHeight="1" spans="2:2">
      <c r="B34867" s="62" t="str">
        <f>IF(AND('领用录入（明细）'!D:D=$F$4,'领用录入（明细）'!C:C&gt;=$J$4,'领用录入（明细）'!C:C&lt;=$L$4),ROW(),"-")</f>
        <v>-</v>
      </c>
    </row>
    <row r="34868" customHeight="1" spans="2:2">
      <c r="B34868" s="62" t="str">
        <f>IF(AND('领用录入（明细）'!D:D=$F$4,'领用录入（明细）'!C:C&gt;=$J$4,'领用录入（明细）'!C:C&lt;=$L$4),ROW(),"-")</f>
        <v>-</v>
      </c>
    </row>
    <row r="34869" customHeight="1" spans="2:2">
      <c r="B34869" s="62" t="str">
        <f>IF(AND('领用录入（明细）'!D:D=$F$4,'领用录入（明细）'!C:C&gt;=$J$4,'领用录入（明细）'!C:C&lt;=$L$4),ROW(),"-")</f>
        <v>-</v>
      </c>
    </row>
    <row r="34870" customHeight="1" spans="2:2">
      <c r="B34870" s="62" t="str">
        <f>IF(AND('领用录入（明细）'!D:D=$F$4,'领用录入（明细）'!C:C&gt;=$J$4,'领用录入（明细）'!C:C&lt;=$L$4),ROW(),"-")</f>
        <v>-</v>
      </c>
    </row>
    <row r="34871" customHeight="1" spans="2:2">
      <c r="B34871" s="62" t="str">
        <f>IF(AND('领用录入（明细）'!D:D=$F$4,'领用录入（明细）'!C:C&gt;=$J$4,'领用录入（明细）'!C:C&lt;=$L$4),ROW(),"-")</f>
        <v>-</v>
      </c>
    </row>
    <row r="34872" customHeight="1" spans="2:2">
      <c r="B34872" s="62" t="str">
        <f>IF(AND('领用录入（明细）'!D:D=$F$4,'领用录入（明细）'!C:C&gt;=$J$4,'领用录入（明细）'!C:C&lt;=$L$4),ROW(),"-")</f>
        <v>-</v>
      </c>
    </row>
    <row r="34873" customHeight="1" spans="2:2">
      <c r="B34873" s="62" t="str">
        <f>IF(AND('领用录入（明细）'!D:D=$F$4,'领用录入（明细）'!C:C&gt;=$J$4,'领用录入（明细）'!C:C&lt;=$L$4),ROW(),"-")</f>
        <v>-</v>
      </c>
    </row>
    <row r="34874" customHeight="1" spans="2:2">
      <c r="B34874" s="62" t="str">
        <f>IF(AND('领用录入（明细）'!D:D=$F$4,'领用录入（明细）'!C:C&gt;=$J$4,'领用录入（明细）'!C:C&lt;=$L$4),ROW(),"-")</f>
        <v>-</v>
      </c>
    </row>
    <row r="34875" customHeight="1" spans="2:2">
      <c r="B34875" s="62" t="str">
        <f>IF(AND('领用录入（明细）'!D:D=$F$4,'领用录入（明细）'!C:C&gt;=$J$4,'领用录入（明细）'!C:C&lt;=$L$4),ROW(),"-")</f>
        <v>-</v>
      </c>
    </row>
    <row r="34876" customHeight="1" spans="2:2">
      <c r="B34876" s="62" t="str">
        <f>IF(AND('领用录入（明细）'!D:D=$F$4,'领用录入（明细）'!C:C&gt;=$J$4,'领用录入（明细）'!C:C&lt;=$L$4),ROW(),"-")</f>
        <v>-</v>
      </c>
    </row>
    <row r="34877" customHeight="1" spans="2:2">
      <c r="B34877" s="62" t="str">
        <f>IF(AND('领用录入（明细）'!D:D=$F$4,'领用录入（明细）'!C:C&gt;=$J$4,'领用录入（明细）'!C:C&lt;=$L$4),ROW(),"-")</f>
        <v>-</v>
      </c>
    </row>
    <row r="34878" customHeight="1" spans="2:2">
      <c r="B34878" s="62" t="str">
        <f>IF(AND('领用录入（明细）'!D:D=$F$4,'领用录入（明细）'!C:C&gt;=$J$4,'领用录入（明细）'!C:C&lt;=$L$4),ROW(),"-")</f>
        <v>-</v>
      </c>
    </row>
    <row r="34879" customHeight="1" spans="2:2">
      <c r="B34879" s="62" t="str">
        <f>IF(AND('领用录入（明细）'!D:D=$F$4,'领用录入（明细）'!C:C&gt;=$J$4,'领用录入（明细）'!C:C&lt;=$L$4),ROW(),"-")</f>
        <v>-</v>
      </c>
    </row>
    <row r="34880" customHeight="1" spans="2:2">
      <c r="B34880" s="62" t="str">
        <f>IF(AND('领用录入（明细）'!D:D=$F$4,'领用录入（明细）'!C:C&gt;=$J$4,'领用录入（明细）'!C:C&lt;=$L$4),ROW(),"-")</f>
        <v>-</v>
      </c>
    </row>
    <row r="34881" customHeight="1" spans="2:2">
      <c r="B34881" s="62" t="str">
        <f>IF(AND('领用录入（明细）'!D:D=$F$4,'领用录入（明细）'!C:C&gt;=$J$4,'领用录入（明细）'!C:C&lt;=$L$4),ROW(),"-")</f>
        <v>-</v>
      </c>
    </row>
    <row r="34882" customHeight="1" spans="2:2">
      <c r="B34882" s="62" t="str">
        <f>IF(AND('领用录入（明细）'!D:D=$F$4,'领用录入（明细）'!C:C&gt;=$J$4,'领用录入（明细）'!C:C&lt;=$L$4),ROW(),"-")</f>
        <v>-</v>
      </c>
    </row>
    <row r="34883" customHeight="1" spans="2:2">
      <c r="B34883" s="62" t="str">
        <f>IF(AND('领用录入（明细）'!D:D=$F$4,'领用录入（明细）'!C:C&gt;=$J$4,'领用录入（明细）'!C:C&lt;=$L$4),ROW(),"-")</f>
        <v>-</v>
      </c>
    </row>
    <row r="34884" customHeight="1" spans="2:2">
      <c r="B34884" s="62" t="str">
        <f>IF(AND('领用录入（明细）'!D:D=$F$4,'领用录入（明细）'!C:C&gt;=$J$4,'领用录入（明细）'!C:C&lt;=$L$4),ROW(),"-")</f>
        <v>-</v>
      </c>
    </row>
    <row r="34885" customHeight="1" spans="2:2">
      <c r="B34885" s="62" t="str">
        <f>IF(AND('领用录入（明细）'!D:D=$F$4,'领用录入（明细）'!C:C&gt;=$J$4,'领用录入（明细）'!C:C&lt;=$L$4),ROW(),"-")</f>
        <v>-</v>
      </c>
    </row>
    <row r="34886" customHeight="1" spans="2:2">
      <c r="B34886" s="62" t="str">
        <f>IF(AND('领用录入（明细）'!D:D=$F$4,'领用录入（明细）'!C:C&gt;=$J$4,'领用录入（明细）'!C:C&lt;=$L$4),ROW(),"-")</f>
        <v>-</v>
      </c>
    </row>
    <row r="34887" customHeight="1" spans="2:2">
      <c r="B34887" s="62" t="str">
        <f>IF(AND('领用录入（明细）'!D:D=$F$4,'领用录入（明细）'!C:C&gt;=$J$4,'领用录入（明细）'!C:C&lt;=$L$4),ROW(),"-")</f>
        <v>-</v>
      </c>
    </row>
    <row r="34888" customHeight="1" spans="2:2">
      <c r="B34888" s="62" t="str">
        <f>IF(AND('领用录入（明细）'!D:D=$F$4,'领用录入（明细）'!C:C&gt;=$J$4,'领用录入（明细）'!C:C&lt;=$L$4),ROW(),"-")</f>
        <v>-</v>
      </c>
    </row>
    <row r="34889" customHeight="1" spans="2:2">
      <c r="B34889" s="62" t="str">
        <f>IF(AND('领用录入（明细）'!D:D=$F$4,'领用录入（明细）'!C:C&gt;=$J$4,'领用录入（明细）'!C:C&lt;=$L$4),ROW(),"-")</f>
        <v>-</v>
      </c>
    </row>
    <row r="34890" customHeight="1" spans="2:2">
      <c r="B34890" s="62" t="str">
        <f>IF(AND('领用录入（明细）'!D:D=$F$4,'领用录入（明细）'!C:C&gt;=$J$4,'领用录入（明细）'!C:C&lt;=$L$4),ROW(),"-")</f>
        <v>-</v>
      </c>
    </row>
    <row r="34891" customHeight="1" spans="2:2">
      <c r="B34891" s="62" t="str">
        <f>IF(AND('领用录入（明细）'!D:D=$F$4,'领用录入（明细）'!C:C&gt;=$J$4,'领用录入（明细）'!C:C&lt;=$L$4),ROW(),"-")</f>
        <v>-</v>
      </c>
    </row>
    <row r="34892" customHeight="1" spans="2:2">
      <c r="B34892" s="62" t="str">
        <f>IF(AND('领用录入（明细）'!D:D=$F$4,'领用录入（明细）'!C:C&gt;=$J$4,'领用录入（明细）'!C:C&lt;=$L$4),ROW(),"-")</f>
        <v>-</v>
      </c>
    </row>
    <row r="34893" customHeight="1" spans="2:2">
      <c r="B34893" s="62" t="str">
        <f>IF(AND('领用录入（明细）'!D:D=$F$4,'领用录入（明细）'!C:C&gt;=$J$4,'领用录入（明细）'!C:C&lt;=$L$4),ROW(),"-")</f>
        <v>-</v>
      </c>
    </row>
    <row r="34894" customHeight="1" spans="2:2">
      <c r="B34894" s="62" t="str">
        <f>IF(AND('领用录入（明细）'!D:D=$F$4,'领用录入（明细）'!C:C&gt;=$J$4,'领用录入（明细）'!C:C&lt;=$L$4),ROW(),"-")</f>
        <v>-</v>
      </c>
    </row>
    <row r="34895" customHeight="1" spans="2:2">
      <c r="B34895" s="62" t="str">
        <f>IF(AND('领用录入（明细）'!D:D=$F$4,'领用录入（明细）'!C:C&gt;=$J$4,'领用录入（明细）'!C:C&lt;=$L$4),ROW(),"-")</f>
        <v>-</v>
      </c>
    </row>
    <row r="34896" customHeight="1" spans="2:2">
      <c r="B34896" s="62" t="str">
        <f>IF(AND('领用录入（明细）'!D:D=$F$4,'领用录入（明细）'!C:C&gt;=$J$4,'领用录入（明细）'!C:C&lt;=$L$4),ROW(),"-")</f>
        <v>-</v>
      </c>
    </row>
    <row r="34897" customHeight="1" spans="2:2">
      <c r="B34897" s="62" t="str">
        <f>IF(AND('领用录入（明细）'!D:D=$F$4,'领用录入（明细）'!C:C&gt;=$J$4,'领用录入（明细）'!C:C&lt;=$L$4),ROW(),"-")</f>
        <v>-</v>
      </c>
    </row>
    <row r="34898" customHeight="1" spans="2:2">
      <c r="B34898" s="62" t="str">
        <f>IF(AND('领用录入（明细）'!D:D=$F$4,'领用录入（明细）'!C:C&gt;=$J$4,'领用录入（明细）'!C:C&lt;=$L$4),ROW(),"-")</f>
        <v>-</v>
      </c>
    </row>
    <row r="34899" customHeight="1" spans="2:2">
      <c r="B34899" s="62" t="str">
        <f>IF(AND('领用录入（明细）'!D:D=$F$4,'领用录入（明细）'!C:C&gt;=$J$4,'领用录入（明细）'!C:C&lt;=$L$4),ROW(),"-")</f>
        <v>-</v>
      </c>
    </row>
    <row r="34900" customHeight="1" spans="2:2">
      <c r="B34900" s="62" t="str">
        <f>IF(AND('领用录入（明细）'!D:D=$F$4,'领用录入（明细）'!C:C&gt;=$J$4,'领用录入（明细）'!C:C&lt;=$L$4),ROW(),"-")</f>
        <v>-</v>
      </c>
    </row>
    <row r="34901" customHeight="1" spans="2:2">
      <c r="B34901" s="62" t="str">
        <f>IF(AND('领用录入（明细）'!D:D=$F$4,'领用录入（明细）'!C:C&gt;=$J$4,'领用录入（明细）'!C:C&lt;=$L$4),ROW(),"-")</f>
        <v>-</v>
      </c>
    </row>
    <row r="34902" customHeight="1" spans="2:2">
      <c r="B34902" s="62" t="str">
        <f>IF(AND('领用录入（明细）'!D:D=$F$4,'领用录入（明细）'!C:C&gt;=$J$4,'领用录入（明细）'!C:C&lt;=$L$4),ROW(),"-")</f>
        <v>-</v>
      </c>
    </row>
    <row r="34903" customHeight="1" spans="2:2">
      <c r="B34903" s="62" t="str">
        <f>IF(AND('领用录入（明细）'!D:D=$F$4,'领用录入（明细）'!C:C&gt;=$J$4,'领用录入（明细）'!C:C&lt;=$L$4),ROW(),"-")</f>
        <v>-</v>
      </c>
    </row>
    <row r="34904" customHeight="1" spans="2:2">
      <c r="B34904" s="62" t="str">
        <f>IF(AND('领用录入（明细）'!D:D=$F$4,'领用录入（明细）'!C:C&gt;=$J$4,'领用录入（明细）'!C:C&lt;=$L$4),ROW(),"-")</f>
        <v>-</v>
      </c>
    </row>
    <row r="34905" customHeight="1" spans="2:2">
      <c r="B34905" s="62" t="str">
        <f>IF(AND('领用录入（明细）'!D:D=$F$4,'领用录入（明细）'!C:C&gt;=$J$4,'领用录入（明细）'!C:C&lt;=$L$4),ROW(),"-")</f>
        <v>-</v>
      </c>
    </row>
    <row r="34906" customHeight="1" spans="2:2">
      <c r="B34906" s="62" t="str">
        <f>IF(AND('领用录入（明细）'!D:D=$F$4,'领用录入（明细）'!C:C&gt;=$J$4,'领用录入（明细）'!C:C&lt;=$L$4),ROW(),"-")</f>
        <v>-</v>
      </c>
    </row>
    <row r="34907" customHeight="1" spans="2:2">
      <c r="B34907" s="62" t="str">
        <f>IF(AND('领用录入（明细）'!D:D=$F$4,'领用录入（明细）'!C:C&gt;=$J$4,'领用录入（明细）'!C:C&lt;=$L$4),ROW(),"-")</f>
        <v>-</v>
      </c>
    </row>
    <row r="34908" customHeight="1" spans="2:2">
      <c r="B34908" s="62" t="str">
        <f>IF(AND('领用录入（明细）'!D:D=$F$4,'领用录入（明细）'!C:C&gt;=$J$4,'领用录入（明细）'!C:C&lt;=$L$4),ROW(),"-")</f>
        <v>-</v>
      </c>
    </row>
    <row r="34909" customHeight="1" spans="2:2">
      <c r="B34909" s="62" t="str">
        <f>IF(AND('领用录入（明细）'!D:D=$F$4,'领用录入（明细）'!C:C&gt;=$J$4,'领用录入（明细）'!C:C&lt;=$L$4),ROW(),"-")</f>
        <v>-</v>
      </c>
    </row>
    <row r="34910" customHeight="1" spans="2:2">
      <c r="B34910" s="62" t="str">
        <f>IF(AND('领用录入（明细）'!D:D=$F$4,'领用录入（明细）'!C:C&gt;=$J$4,'领用录入（明细）'!C:C&lt;=$L$4),ROW(),"-")</f>
        <v>-</v>
      </c>
    </row>
    <row r="34911" customHeight="1" spans="2:2">
      <c r="B34911" s="62" t="str">
        <f>IF(AND('领用录入（明细）'!D:D=$F$4,'领用录入（明细）'!C:C&gt;=$J$4,'领用录入（明细）'!C:C&lt;=$L$4),ROW(),"-")</f>
        <v>-</v>
      </c>
    </row>
    <row r="34912" customHeight="1" spans="2:2">
      <c r="B34912" s="62" t="str">
        <f>IF(AND('领用录入（明细）'!D:D=$F$4,'领用录入（明细）'!C:C&gt;=$J$4,'领用录入（明细）'!C:C&lt;=$L$4),ROW(),"-")</f>
        <v>-</v>
      </c>
    </row>
    <row r="34913" customHeight="1" spans="2:2">
      <c r="B34913" s="62" t="str">
        <f>IF(AND('领用录入（明细）'!D:D=$F$4,'领用录入（明细）'!C:C&gt;=$J$4,'领用录入（明细）'!C:C&lt;=$L$4),ROW(),"-")</f>
        <v>-</v>
      </c>
    </row>
    <row r="34914" customHeight="1" spans="2:2">
      <c r="B34914" s="62" t="str">
        <f>IF(AND('领用录入（明细）'!D:D=$F$4,'领用录入（明细）'!C:C&gt;=$J$4,'领用录入（明细）'!C:C&lt;=$L$4),ROW(),"-")</f>
        <v>-</v>
      </c>
    </row>
    <row r="34915" customHeight="1" spans="2:2">
      <c r="B34915" s="62" t="str">
        <f>IF(AND('领用录入（明细）'!D:D=$F$4,'领用录入（明细）'!C:C&gt;=$J$4,'领用录入（明细）'!C:C&lt;=$L$4),ROW(),"-")</f>
        <v>-</v>
      </c>
    </row>
    <row r="34916" customHeight="1" spans="2:2">
      <c r="B34916" s="62" t="str">
        <f>IF(AND('领用录入（明细）'!D:D=$F$4,'领用录入（明细）'!C:C&gt;=$J$4,'领用录入（明细）'!C:C&lt;=$L$4),ROW(),"-")</f>
        <v>-</v>
      </c>
    </row>
    <row r="34917" customHeight="1" spans="2:2">
      <c r="B34917" s="62" t="str">
        <f>IF(AND('领用录入（明细）'!D:D=$F$4,'领用录入（明细）'!C:C&gt;=$J$4,'领用录入（明细）'!C:C&lt;=$L$4),ROW(),"-")</f>
        <v>-</v>
      </c>
    </row>
    <row r="34918" customHeight="1" spans="2:2">
      <c r="B34918" s="62" t="str">
        <f>IF(AND('领用录入（明细）'!D:D=$F$4,'领用录入（明细）'!C:C&gt;=$J$4,'领用录入（明细）'!C:C&lt;=$L$4),ROW(),"-")</f>
        <v>-</v>
      </c>
    </row>
    <row r="34919" customHeight="1" spans="2:2">
      <c r="B34919" s="62" t="str">
        <f>IF(AND('领用录入（明细）'!D:D=$F$4,'领用录入（明细）'!C:C&gt;=$J$4,'领用录入（明细）'!C:C&lt;=$L$4),ROW(),"-")</f>
        <v>-</v>
      </c>
    </row>
    <row r="34920" customHeight="1" spans="2:2">
      <c r="B34920" s="62" t="str">
        <f>IF(AND('领用录入（明细）'!D:D=$F$4,'领用录入（明细）'!C:C&gt;=$J$4,'领用录入（明细）'!C:C&lt;=$L$4),ROW(),"-")</f>
        <v>-</v>
      </c>
    </row>
    <row r="34921" customHeight="1" spans="2:2">
      <c r="B34921" s="62" t="str">
        <f>IF(AND('领用录入（明细）'!D:D=$F$4,'领用录入（明细）'!C:C&gt;=$J$4,'领用录入（明细）'!C:C&lt;=$L$4),ROW(),"-")</f>
        <v>-</v>
      </c>
    </row>
    <row r="34922" customHeight="1" spans="2:2">
      <c r="B34922" s="62" t="str">
        <f>IF(AND('领用录入（明细）'!D:D=$F$4,'领用录入（明细）'!C:C&gt;=$J$4,'领用录入（明细）'!C:C&lt;=$L$4),ROW(),"-")</f>
        <v>-</v>
      </c>
    </row>
    <row r="34923" customHeight="1" spans="2:2">
      <c r="B34923" s="62" t="str">
        <f>IF(AND('领用录入（明细）'!D:D=$F$4,'领用录入（明细）'!C:C&gt;=$J$4,'领用录入（明细）'!C:C&lt;=$L$4),ROW(),"-")</f>
        <v>-</v>
      </c>
    </row>
    <row r="34924" customHeight="1" spans="2:2">
      <c r="B34924" s="62" t="str">
        <f>IF(AND('领用录入（明细）'!D:D=$F$4,'领用录入（明细）'!C:C&gt;=$J$4,'领用录入（明细）'!C:C&lt;=$L$4),ROW(),"-")</f>
        <v>-</v>
      </c>
    </row>
    <row r="34925" customHeight="1" spans="2:2">
      <c r="B34925" s="62" t="str">
        <f>IF(AND('领用录入（明细）'!D:D=$F$4,'领用录入（明细）'!C:C&gt;=$J$4,'领用录入（明细）'!C:C&lt;=$L$4),ROW(),"-")</f>
        <v>-</v>
      </c>
    </row>
    <row r="34926" customHeight="1" spans="2:2">
      <c r="B34926" s="62" t="str">
        <f>IF(AND('领用录入（明细）'!D:D=$F$4,'领用录入（明细）'!C:C&gt;=$J$4,'领用录入（明细）'!C:C&lt;=$L$4),ROW(),"-")</f>
        <v>-</v>
      </c>
    </row>
    <row r="34927" customHeight="1" spans="2:2">
      <c r="B34927" s="62" t="str">
        <f>IF(AND('领用录入（明细）'!D:D=$F$4,'领用录入（明细）'!C:C&gt;=$J$4,'领用录入（明细）'!C:C&lt;=$L$4),ROW(),"-")</f>
        <v>-</v>
      </c>
    </row>
    <row r="34928" customHeight="1" spans="2:2">
      <c r="B34928" s="62" t="str">
        <f>IF(AND('领用录入（明细）'!D:D=$F$4,'领用录入（明细）'!C:C&gt;=$J$4,'领用录入（明细）'!C:C&lt;=$L$4),ROW(),"-")</f>
        <v>-</v>
      </c>
    </row>
    <row r="34929" customHeight="1" spans="2:2">
      <c r="B34929" s="62" t="str">
        <f>IF(AND('领用录入（明细）'!D:D=$F$4,'领用录入（明细）'!C:C&gt;=$J$4,'领用录入（明细）'!C:C&lt;=$L$4),ROW(),"-")</f>
        <v>-</v>
      </c>
    </row>
    <row r="34930" customHeight="1" spans="2:2">
      <c r="B34930" s="62" t="str">
        <f>IF(AND('领用录入（明细）'!D:D=$F$4,'领用录入（明细）'!C:C&gt;=$J$4,'领用录入（明细）'!C:C&lt;=$L$4),ROW(),"-")</f>
        <v>-</v>
      </c>
    </row>
    <row r="34931" customHeight="1" spans="2:2">
      <c r="B34931" s="62" t="str">
        <f>IF(AND('领用录入（明细）'!D:D=$F$4,'领用录入（明细）'!C:C&gt;=$J$4,'领用录入（明细）'!C:C&lt;=$L$4),ROW(),"-")</f>
        <v>-</v>
      </c>
    </row>
    <row r="34932" customHeight="1" spans="2:2">
      <c r="B34932" s="62" t="str">
        <f>IF(AND('领用录入（明细）'!D:D=$F$4,'领用录入（明细）'!C:C&gt;=$J$4,'领用录入（明细）'!C:C&lt;=$L$4),ROW(),"-")</f>
        <v>-</v>
      </c>
    </row>
    <row r="34933" customHeight="1" spans="2:2">
      <c r="B34933" s="62" t="str">
        <f>IF(AND('领用录入（明细）'!D:D=$F$4,'领用录入（明细）'!C:C&gt;=$J$4,'领用录入（明细）'!C:C&lt;=$L$4),ROW(),"-")</f>
        <v>-</v>
      </c>
    </row>
    <row r="34934" customHeight="1" spans="2:2">
      <c r="B34934" s="62" t="str">
        <f>IF(AND('领用录入（明细）'!D:D=$F$4,'领用录入（明细）'!C:C&gt;=$J$4,'领用录入（明细）'!C:C&lt;=$L$4),ROW(),"-")</f>
        <v>-</v>
      </c>
    </row>
    <row r="34935" customHeight="1" spans="2:2">
      <c r="B34935" s="62" t="str">
        <f>IF(AND('领用录入（明细）'!D:D=$F$4,'领用录入（明细）'!C:C&gt;=$J$4,'领用录入（明细）'!C:C&lt;=$L$4),ROW(),"-")</f>
        <v>-</v>
      </c>
    </row>
    <row r="34936" customHeight="1" spans="2:2">
      <c r="B34936" s="62" t="str">
        <f>IF(AND('领用录入（明细）'!D:D=$F$4,'领用录入（明细）'!C:C&gt;=$J$4,'领用录入（明细）'!C:C&lt;=$L$4),ROW(),"-")</f>
        <v>-</v>
      </c>
    </row>
    <row r="34937" customHeight="1" spans="2:2">
      <c r="B34937" s="62" t="str">
        <f>IF(AND('领用录入（明细）'!D:D=$F$4,'领用录入（明细）'!C:C&gt;=$J$4,'领用录入（明细）'!C:C&lt;=$L$4),ROW(),"-")</f>
        <v>-</v>
      </c>
    </row>
    <row r="34938" customHeight="1" spans="2:2">
      <c r="B34938" s="62" t="str">
        <f>IF(AND('领用录入（明细）'!D:D=$F$4,'领用录入（明细）'!C:C&gt;=$J$4,'领用录入（明细）'!C:C&lt;=$L$4),ROW(),"-")</f>
        <v>-</v>
      </c>
    </row>
    <row r="34939" customHeight="1" spans="2:2">
      <c r="B34939" s="62" t="str">
        <f>IF(AND('领用录入（明细）'!D:D=$F$4,'领用录入（明细）'!C:C&gt;=$J$4,'领用录入（明细）'!C:C&lt;=$L$4),ROW(),"-")</f>
        <v>-</v>
      </c>
    </row>
    <row r="34940" customHeight="1" spans="2:2">
      <c r="B34940" s="62" t="str">
        <f>IF(AND('领用录入（明细）'!D:D=$F$4,'领用录入（明细）'!C:C&gt;=$J$4,'领用录入（明细）'!C:C&lt;=$L$4),ROW(),"-")</f>
        <v>-</v>
      </c>
    </row>
    <row r="34941" customHeight="1" spans="2:2">
      <c r="B34941" s="62" t="str">
        <f>IF(AND('领用录入（明细）'!D:D=$F$4,'领用录入（明细）'!C:C&gt;=$J$4,'领用录入（明细）'!C:C&lt;=$L$4),ROW(),"-")</f>
        <v>-</v>
      </c>
    </row>
    <row r="34942" customHeight="1" spans="2:2">
      <c r="B34942" s="62" t="str">
        <f>IF(AND('领用录入（明细）'!D:D=$F$4,'领用录入（明细）'!C:C&gt;=$J$4,'领用录入（明细）'!C:C&lt;=$L$4),ROW(),"-")</f>
        <v>-</v>
      </c>
    </row>
    <row r="34943" customHeight="1" spans="2:2">
      <c r="B34943" s="62" t="str">
        <f>IF(AND('领用录入（明细）'!D:D=$F$4,'领用录入（明细）'!C:C&gt;=$J$4,'领用录入（明细）'!C:C&lt;=$L$4),ROW(),"-")</f>
        <v>-</v>
      </c>
    </row>
    <row r="34944" customHeight="1" spans="2:2">
      <c r="B34944" s="62" t="str">
        <f>IF(AND('领用录入（明细）'!D:D=$F$4,'领用录入（明细）'!C:C&gt;=$J$4,'领用录入（明细）'!C:C&lt;=$L$4),ROW(),"-")</f>
        <v>-</v>
      </c>
    </row>
    <row r="34945" customHeight="1" spans="2:2">
      <c r="B34945" s="62" t="str">
        <f>IF(AND('领用录入（明细）'!D:D=$F$4,'领用录入（明细）'!C:C&gt;=$J$4,'领用录入（明细）'!C:C&lt;=$L$4),ROW(),"-")</f>
        <v>-</v>
      </c>
    </row>
    <row r="34946" customHeight="1" spans="2:2">
      <c r="B34946" s="62" t="str">
        <f>IF(AND('领用录入（明细）'!D:D=$F$4,'领用录入（明细）'!C:C&gt;=$J$4,'领用录入（明细）'!C:C&lt;=$L$4),ROW(),"-")</f>
        <v>-</v>
      </c>
    </row>
    <row r="34947" customHeight="1" spans="2:2">
      <c r="B34947" s="62" t="str">
        <f>IF(AND('领用录入（明细）'!D:D=$F$4,'领用录入（明细）'!C:C&gt;=$J$4,'领用录入（明细）'!C:C&lt;=$L$4),ROW(),"-")</f>
        <v>-</v>
      </c>
    </row>
    <row r="34948" customHeight="1" spans="2:2">
      <c r="B34948" s="62" t="str">
        <f>IF(AND('领用录入（明细）'!D:D=$F$4,'领用录入（明细）'!C:C&gt;=$J$4,'领用录入（明细）'!C:C&lt;=$L$4),ROW(),"-")</f>
        <v>-</v>
      </c>
    </row>
    <row r="34949" customHeight="1" spans="2:2">
      <c r="B34949" s="62" t="str">
        <f>IF(AND('领用录入（明细）'!D:D=$F$4,'领用录入（明细）'!C:C&gt;=$J$4,'领用录入（明细）'!C:C&lt;=$L$4),ROW(),"-")</f>
        <v>-</v>
      </c>
    </row>
    <row r="34950" customHeight="1" spans="2:2">
      <c r="B34950" s="62" t="str">
        <f>IF(AND('领用录入（明细）'!D:D=$F$4,'领用录入（明细）'!C:C&gt;=$J$4,'领用录入（明细）'!C:C&lt;=$L$4),ROW(),"-")</f>
        <v>-</v>
      </c>
    </row>
    <row r="34951" customHeight="1" spans="2:2">
      <c r="B34951" s="62" t="str">
        <f>IF(AND('领用录入（明细）'!D:D=$F$4,'领用录入（明细）'!C:C&gt;=$J$4,'领用录入（明细）'!C:C&lt;=$L$4),ROW(),"-")</f>
        <v>-</v>
      </c>
    </row>
    <row r="34952" customHeight="1" spans="2:2">
      <c r="B34952" s="62" t="str">
        <f>IF(AND('领用录入（明细）'!D:D=$F$4,'领用录入（明细）'!C:C&gt;=$J$4,'领用录入（明细）'!C:C&lt;=$L$4),ROW(),"-")</f>
        <v>-</v>
      </c>
    </row>
    <row r="34953" customHeight="1" spans="2:2">
      <c r="B34953" s="62" t="str">
        <f>IF(AND('领用录入（明细）'!D:D=$F$4,'领用录入（明细）'!C:C&gt;=$J$4,'领用录入（明细）'!C:C&lt;=$L$4),ROW(),"-")</f>
        <v>-</v>
      </c>
    </row>
    <row r="34954" customHeight="1" spans="2:2">
      <c r="B34954" s="62" t="str">
        <f>IF(AND('领用录入（明细）'!D:D=$F$4,'领用录入（明细）'!C:C&gt;=$J$4,'领用录入（明细）'!C:C&lt;=$L$4),ROW(),"-")</f>
        <v>-</v>
      </c>
    </row>
    <row r="34955" customHeight="1" spans="2:2">
      <c r="B34955" s="62" t="str">
        <f>IF(AND('领用录入（明细）'!D:D=$F$4,'领用录入（明细）'!C:C&gt;=$J$4,'领用录入（明细）'!C:C&lt;=$L$4),ROW(),"-")</f>
        <v>-</v>
      </c>
    </row>
    <row r="34956" customHeight="1" spans="2:2">
      <c r="B34956" s="62" t="str">
        <f>IF(AND('领用录入（明细）'!D:D=$F$4,'领用录入（明细）'!C:C&gt;=$J$4,'领用录入（明细）'!C:C&lt;=$L$4),ROW(),"-")</f>
        <v>-</v>
      </c>
    </row>
    <row r="34957" customHeight="1" spans="2:2">
      <c r="B34957" s="62" t="str">
        <f>IF(AND('领用录入（明细）'!D:D=$F$4,'领用录入（明细）'!C:C&gt;=$J$4,'领用录入（明细）'!C:C&lt;=$L$4),ROW(),"-")</f>
        <v>-</v>
      </c>
    </row>
    <row r="34958" customHeight="1" spans="2:2">
      <c r="B34958" s="62" t="str">
        <f>IF(AND('领用录入（明细）'!D:D=$F$4,'领用录入（明细）'!C:C&gt;=$J$4,'领用录入（明细）'!C:C&lt;=$L$4),ROW(),"-")</f>
        <v>-</v>
      </c>
    </row>
    <row r="34959" customHeight="1" spans="2:2">
      <c r="B34959" s="62" t="str">
        <f>IF(AND('领用录入（明细）'!D:D=$F$4,'领用录入（明细）'!C:C&gt;=$J$4,'领用录入（明细）'!C:C&lt;=$L$4),ROW(),"-")</f>
        <v>-</v>
      </c>
    </row>
    <row r="34960" customHeight="1" spans="2:2">
      <c r="B34960" s="62" t="str">
        <f>IF(AND('领用录入（明细）'!D:D=$F$4,'领用录入（明细）'!C:C&gt;=$J$4,'领用录入（明细）'!C:C&lt;=$L$4),ROW(),"-")</f>
        <v>-</v>
      </c>
    </row>
    <row r="34961" customHeight="1" spans="2:2">
      <c r="B34961" s="62" t="str">
        <f>IF(AND('领用录入（明细）'!D:D=$F$4,'领用录入（明细）'!C:C&gt;=$J$4,'领用录入（明细）'!C:C&lt;=$L$4),ROW(),"-")</f>
        <v>-</v>
      </c>
    </row>
    <row r="34962" customHeight="1" spans="2:2">
      <c r="B34962" s="62" t="str">
        <f>IF(AND('领用录入（明细）'!D:D=$F$4,'领用录入（明细）'!C:C&gt;=$J$4,'领用录入（明细）'!C:C&lt;=$L$4),ROW(),"-")</f>
        <v>-</v>
      </c>
    </row>
    <row r="34963" customHeight="1" spans="2:2">
      <c r="B34963" s="62" t="str">
        <f>IF(AND('领用录入（明细）'!D:D=$F$4,'领用录入（明细）'!C:C&gt;=$J$4,'领用录入（明细）'!C:C&lt;=$L$4),ROW(),"-")</f>
        <v>-</v>
      </c>
    </row>
    <row r="34964" customHeight="1" spans="2:2">
      <c r="B34964" s="62" t="str">
        <f>IF(AND('领用录入（明细）'!D:D=$F$4,'领用录入（明细）'!C:C&gt;=$J$4,'领用录入（明细）'!C:C&lt;=$L$4),ROW(),"-")</f>
        <v>-</v>
      </c>
    </row>
    <row r="34965" customHeight="1" spans="2:2">
      <c r="B34965" s="62" t="str">
        <f>IF(AND('领用录入（明细）'!D:D=$F$4,'领用录入（明细）'!C:C&gt;=$J$4,'领用录入（明细）'!C:C&lt;=$L$4),ROW(),"-")</f>
        <v>-</v>
      </c>
    </row>
    <row r="34966" customHeight="1" spans="2:2">
      <c r="B34966" s="62" t="str">
        <f>IF(AND('领用录入（明细）'!D:D=$F$4,'领用录入（明细）'!C:C&gt;=$J$4,'领用录入（明细）'!C:C&lt;=$L$4),ROW(),"-")</f>
        <v>-</v>
      </c>
    </row>
    <row r="34967" customHeight="1" spans="2:2">
      <c r="B34967" s="62" t="str">
        <f>IF(AND('领用录入（明细）'!D:D=$F$4,'领用录入（明细）'!C:C&gt;=$J$4,'领用录入（明细）'!C:C&lt;=$L$4),ROW(),"-")</f>
        <v>-</v>
      </c>
    </row>
    <row r="34968" customHeight="1" spans="2:2">
      <c r="B34968" s="62" t="str">
        <f>IF(AND('领用录入（明细）'!D:D=$F$4,'领用录入（明细）'!C:C&gt;=$J$4,'领用录入（明细）'!C:C&lt;=$L$4),ROW(),"-")</f>
        <v>-</v>
      </c>
    </row>
    <row r="34969" customHeight="1" spans="2:2">
      <c r="B34969" s="62" t="str">
        <f>IF(AND('领用录入（明细）'!D:D=$F$4,'领用录入（明细）'!C:C&gt;=$J$4,'领用录入（明细）'!C:C&lt;=$L$4),ROW(),"-")</f>
        <v>-</v>
      </c>
    </row>
    <row r="34970" customHeight="1" spans="2:2">
      <c r="B34970" s="62" t="str">
        <f>IF(AND('领用录入（明细）'!D:D=$F$4,'领用录入（明细）'!C:C&gt;=$J$4,'领用录入（明细）'!C:C&lt;=$L$4),ROW(),"-")</f>
        <v>-</v>
      </c>
    </row>
    <row r="34971" customHeight="1" spans="2:2">
      <c r="B34971" s="62" t="str">
        <f>IF(AND('领用录入（明细）'!D:D=$F$4,'领用录入（明细）'!C:C&gt;=$J$4,'领用录入（明细）'!C:C&lt;=$L$4),ROW(),"-")</f>
        <v>-</v>
      </c>
    </row>
    <row r="34972" customHeight="1" spans="2:2">
      <c r="B34972" s="62" t="str">
        <f>IF(AND('领用录入（明细）'!D:D=$F$4,'领用录入（明细）'!C:C&gt;=$J$4,'领用录入（明细）'!C:C&lt;=$L$4),ROW(),"-")</f>
        <v>-</v>
      </c>
    </row>
    <row r="34973" customHeight="1" spans="2:2">
      <c r="B34973" s="62" t="str">
        <f>IF(AND('领用录入（明细）'!D:D=$F$4,'领用录入（明细）'!C:C&gt;=$J$4,'领用录入（明细）'!C:C&lt;=$L$4),ROW(),"-")</f>
        <v>-</v>
      </c>
    </row>
    <row r="34974" customHeight="1" spans="2:2">
      <c r="B34974" s="62" t="str">
        <f>IF(AND('领用录入（明细）'!D:D=$F$4,'领用录入（明细）'!C:C&gt;=$J$4,'领用录入（明细）'!C:C&lt;=$L$4),ROW(),"-")</f>
        <v>-</v>
      </c>
    </row>
    <row r="34975" customHeight="1" spans="2:2">
      <c r="B34975" s="62" t="str">
        <f>IF(AND('领用录入（明细）'!D:D=$F$4,'领用录入（明细）'!C:C&gt;=$J$4,'领用录入（明细）'!C:C&lt;=$L$4),ROW(),"-")</f>
        <v>-</v>
      </c>
    </row>
    <row r="34976" customHeight="1" spans="2:2">
      <c r="B34976" s="62" t="str">
        <f>IF(AND('领用录入（明细）'!D:D=$F$4,'领用录入（明细）'!C:C&gt;=$J$4,'领用录入（明细）'!C:C&lt;=$L$4),ROW(),"-")</f>
        <v>-</v>
      </c>
    </row>
    <row r="34977" customHeight="1" spans="2:2">
      <c r="B34977" s="62" t="str">
        <f>IF(AND('领用录入（明细）'!D:D=$F$4,'领用录入（明细）'!C:C&gt;=$J$4,'领用录入（明细）'!C:C&lt;=$L$4),ROW(),"-")</f>
        <v>-</v>
      </c>
    </row>
    <row r="34978" customHeight="1" spans="2:2">
      <c r="B34978" s="62" t="str">
        <f>IF(AND('领用录入（明细）'!D:D=$F$4,'领用录入（明细）'!C:C&gt;=$J$4,'领用录入（明细）'!C:C&lt;=$L$4),ROW(),"-")</f>
        <v>-</v>
      </c>
    </row>
    <row r="34979" customHeight="1" spans="2:2">
      <c r="B34979" s="62" t="str">
        <f>IF(AND('领用录入（明细）'!D:D=$F$4,'领用录入（明细）'!C:C&gt;=$J$4,'领用录入（明细）'!C:C&lt;=$L$4),ROW(),"-")</f>
        <v>-</v>
      </c>
    </row>
    <row r="34980" customHeight="1" spans="2:2">
      <c r="B34980" s="62" t="str">
        <f>IF(AND('领用录入（明细）'!D:D=$F$4,'领用录入（明细）'!C:C&gt;=$J$4,'领用录入（明细）'!C:C&lt;=$L$4),ROW(),"-")</f>
        <v>-</v>
      </c>
    </row>
    <row r="34981" customHeight="1" spans="2:2">
      <c r="B34981" s="62" t="str">
        <f>IF(AND('领用录入（明细）'!D:D=$F$4,'领用录入（明细）'!C:C&gt;=$J$4,'领用录入（明细）'!C:C&lt;=$L$4),ROW(),"-")</f>
        <v>-</v>
      </c>
    </row>
    <row r="34982" customHeight="1" spans="2:2">
      <c r="B34982" s="62" t="str">
        <f>IF(AND('领用录入（明细）'!D:D=$F$4,'领用录入（明细）'!C:C&gt;=$J$4,'领用录入（明细）'!C:C&lt;=$L$4),ROW(),"-")</f>
        <v>-</v>
      </c>
    </row>
    <row r="34983" customHeight="1" spans="2:2">
      <c r="B34983" s="62" t="str">
        <f>IF(AND('领用录入（明细）'!D:D=$F$4,'领用录入（明细）'!C:C&gt;=$J$4,'领用录入（明细）'!C:C&lt;=$L$4),ROW(),"-")</f>
        <v>-</v>
      </c>
    </row>
    <row r="34984" customHeight="1" spans="2:2">
      <c r="B34984" s="62" t="str">
        <f>IF(AND('领用录入（明细）'!D:D=$F$4,'领用录入（明细）'!C:C&gt;=$J$4,'领用录入（明细）'!C:C&lt;=$L$4),ROW(),"-")</f>
        <v>-</v>
      </c>
    </row>
    <row r="34985" customHeight="1" spans="2:2">
      <c r="B34985" s="62" t="str">
        <f>IF(AND('领用录入（明细）'!D:D=$F$4,'领用录入（明细）'!C:C&gt;=$J$4,'领用录入（明细）'!C:C&lt;=$L$4),ROW(),"-")</f>
        <v>-</v>
      </c>
    </row>
    <row r="34986" customHeight="1" spans="2:2">
      <c r="B34986" s="62" t="str">
        <f>IF(AND('领用录入（明细）'!D:D=$F$4,'领用录入（明细）'!C:C&gt;=$J$4,'领用录入（明细）'!C:C&lt;=$L$4),ROW(),"-")</f>
        <v>-</v>
      </c>
    </row>
    <row r="34987" customHeight="1" spans="2:2">
      <c r="B34987" s="62" t="str">
        <f>IF(AND('领用录入（明细）'!D:D=$F$4,'领用录入（明细）'!C:C&gt;=$J$4,'领用录入（明细）'!C:C&lt;=$L$4),ROW(),"-")</f>
        <v>-</v>
      </c>
    </row>
    <row r="34988" customHeight="1" spans="2:2">
      <c r="B34988" s="62" t="str">
        <f>IF(AND('领用录入（明细）'!D:D=$F$4,'领用录入（明细）'!C:C&gt;=$J$4,'领用录入（明细）'!C:C&lt;=$L$4),ROW(),"-")</f>
        <v>-</v>
      </c>
    </row>
    <row r="34989" customHeight="1" spans="2:2">
      <c r="B34989" s="62" t="str">
        <f>IF(AND('领用录入（明细）'!D:D=$F$4,'领用录入（明细）'!C:C&gt;=$J$4,'领用录入（明细）'!C:C&lt;=$L$4),ROW(),"-")</f>
        <v>-</v>
      </c>
    </row>
    <row r="34990" customHeight="1" spans="2:2">
      <c r="B34990" s="62" t="str">
        <f>IF(AND('领用录入（明细）'!D:D=$F$4,'领用录入（明细）'!C:C&gt;=$J$4,'领用录入（明细）'!C:C&lt;=$L$4),ROW(),"-")</f>
        <v>-</v>
      </c>
    </row>
    <row r="34991" customHeight="1" spans="2:2">
      <c r="B34991" s="62" t="str">
        <f>IF(AND('领用录入（明细）'!D:D=$F$4,'领用录入（明细）'!C:C&gt;=$J$4,'领用录入（明细）'!C:C&lt;=$L$4),ROW(),"-")</f>
        <v>-</v>
      </c>
    </row>
    <row r="34992" customHeight="1" spans="2:2">
      <c r="B34992" s="62" t="str">
        <f>IF(AND('领用录入（明细）'!D:D=$F$4,'领用录入（明细）'!C:C&gt;=$J$4,'领用录入（明细）'!C:C&lt;=$L$4),ROW(),"-")</f>
        <v>-</v>
      </c>
    </row>
    <row r="34993" customHeight="1" spans="2:2">
      <c r="B34993" s="62" t="str">
        <f>IF(AND('领用录入（明细）'!D:D=$F$4,'领用录入（明细）'!C:C&gt;=$J$4,'领用录入（明细）'!C:C&lt;=$L$4),ROW(),"-")</f>
        <v>-</v>
      </c>
    </row>
    <row r="34994" customHeight="1" spans="2:2">
      <c r="B34994" s="62" t="str">
        <f>IF(AND('领用录入（明细）'!D:D=$F$4,'领用录入（明细）'!C:C&gt;=$J$4,'领用录入（明细）'!C:C&lt;=$L$4),ROW(),"-")</f>
        <v>-</v>
      </c>
    </row>
    <row r="34995" customHeight="1" spans="2:2">
      <c r="B34995" s="62" t="str">
        <f>IF(AND('领用录入（明细）'!D:D=$F$4,'领用录入（明细）'!C:C&gt;=$J$4,'领用录入（明细）'!C:C&lt;=$L$4),ROW(),"-")</f>
        <v>-</v>
      </c>
    </row>
    <row r="34996" customHeight="1" spans="2:2">
      <c r="B34996" s="62" t="str">
        <f>IF(AND('领用录入（明细）'!D:D=$F$4,'领用录入（明细）'!C:C&gt;=$J$4,'领用录入（明细）'!C:C&lt;=$L$4),ROW(),"-")</f>
        <v>-</v>
      </c>
    </row>
    <row r="34997" customHeight="1" spans="2:2">
      <c r="B34997" s="62" t="str">
        <f>IF(AND('领用录入（明细）'!D:D=$F$4,'领用录入（明细）'!C:C&gt;=$J$4,'领用录入（明细）'!C:C&lt;=$L$4),ROW(),"-")</f>
        <v>-</v>
      </c>
    </row>
    <row r="34998" customHeight="1" spans="2:2">
      <c r="B34998" s="62" t="str">
        <f>IF(AND('领用录入（明细）'!D:D=$F$4,'领用录入（明细）'!C:C&gt;=$J$4,'领用录入（明细）'!C:C&lt;=$L$4),ROW(),"-")</f>
        <v>-</v>
      </c>
    </row>
    <row r="34999" customHeight="1" spans="2:2">
      <c r="B34999" s="62" t="str">
        <f>IF(AND('领用录入（明细）'!D:D=$F$4,'领用录入（明细）'!C:C&gt;=$J$4,'领用录入（明细）'!C:C&lt;=$L$4),ROW(),"-")</f>
        <v>-</v>
      </c>
    </row>
    <row r="35000" customHeight="1" spans="2:2">
      <c r="B35000" s="62" t="str">
        <f>IF(AND('领用录入（明细）'!D:D=$F$4,'领用录入（明细）'!C:C&gt;=$J$4,'领用录入（明细）'!C:C&lt;=$L$4),ROW(),"-")</f>
        <v>-</v>
      </c>
    </row>
    <row r="35001" customHeight="1" spans="2:2">
      <c r="B35001" s="62" t="str">
        <f>IF(AND('领用录入（明细）'!D:D=$F$4,'领用录入（明细）'!C:C&gt;=$J$4,'领用录入（明细）'!C:C&lt;=$L$4),ROW(),"-")</f>
        <v>-</v>
      </c>
    </row>
    <row r="35002" customHeight="1" spans="2:2">
      <c r="B35002" s="62" t="str">
        <f>IF(AND('领用录入（明细）'!D:D=$F$4,'领用录入（明细）'!C:C&gt;=$J$4,'领用录入（明细）'!C:C&lt;=$L$4),ROW(),"-")</f>
        <v>-</v>
      </c>
    </row>
    <row r="35003" customHeight="1" spans="2:2">
      <c r="B35003" s="62" t="str">
        <f>IF(AND('领用录入（明细）'!D:D=$F$4,'领用录入（明细）'!C:C&gt;=$J$4,'领用录入（明细）'!C:C&lt;=$L$4),ROW(),"-")</f>
        <v>-</v>
      </c>
    </row>
    <row r="35004" customHeight="1" spans="2:2">
      <c r="B35004" s="62" t="str">
        <f>IF(AND('领用录入（明细）'!D:D=$F$4,'领用录入（明细）'!C:C&gt;=$J$4,'领用录入（明细）'!C:C&lt;=$L$4),ROW(),"-")</f>
        <v>-</v>
      </c>
    </row>
    <row r="35005" customHeight="1" spans="2:2">
      <c r="B35005" s="62" t="str">
        <f>IF(AND('领用录入（明细）'!D:D=$F$4,'领用录入（明细）'!C:C&gt;=$J$4,'领用录入（明细）'!C:C&lt;=$L$4),ROW(),"-")</f>
        <v>-</v>
      </c>
    </row>
    <row r="35006" customHeight="1" spans="2:2">
      <c r="B35006" s="62" t="str">
        <f>IF(AND('领用录入（明细）'!D:D=$F$4,'领用录入（明细）'!C:C&gt;=$J$4,'领用录入（明细）'!C:C&lt;=$L$4),ROW(),"-")</f>
        <v>-</v>
      </c>
    </row>
    <row r="35007" customHeight="1" spans="2:2">
      <c r="B35007" s="62" t="str">
        <f>IF(AND('领用录入（明细）'!D:D=$F$4,'领用录入（明细）'!C:C&gt;=$J$4,'领用录入（明细）'!C:C&lt;=$L$4),ROW(),"-")</f>
        <v>-</v>
      </c>
    </row>
    <row r="35008" customHeight="1" spans="2:2">
      <c r="B35008" s="62" t="str">
        <f>IF(AND('领用录入（明细）'!D:D=$F$4,'领用录入（明细）'!C:C&gt;=$J$4,'领用录入（明细）'!C:C&lt;=$L$4),ROW(),"-")</f>
        <v>-</v>
      </c>
    </row>
    <row r="35009" customHeight="1" spans="2:2">
      <c r="B35009" s="62" t="str">
        <f>IF(AND('领用录入（明细）'!D:D=$F$4,'领用录入（明细）'!C:C&gt;=$J$4,'领用录入（明细）'!C:C&lt;=$L$4),ROW(),"-")</f>
        <v>-</v>
      </c>
    </row>
    <row r="35010" customHeight="1" spans="2:2">
      <c r="B35010" s="62" t="str">
        <f>IF(AND('领用录入（明细）'!D:D=$F$4,'领用录入（明细）'!C:C&gt;=$J$4,'领用录入（明细）'!C:C&lt;=$L$4),ROW(),"-")</f>
        <v>-</v>
      </c>
    </row>
    <row r="35011" customHeight="1" spans="2:2">
      <c r="B35011" s="62" t="str">
        <f>IF(AND('领用录入（明细）'!D:D=$F$4,'领用录入（明细）'!C:C&gt;=$J$4,'领用录入（明细）'!C:C&lt;=$L$4),ROW(),"-")</f>
        <v>-</v>
      </c>
    </row>
    <row r="35012" customHeight="1" spans="2:2">
      <c r="B35012" s="62" t="str">
        <f>IF(AND('领用录入（明细）'!D:D=$F$4,'领用录入（明细）'!C:C&gt;=$J$4,'领用录入（明细）'!C:C&lt;=$L$4),ROW(),"-")</f>
        <v>-</v>
      </c>
    </row>
    <row r="35013" customHeight="1" spans="2:2">
      <c r="B35013" s="62" t="str">
        <f>IF(AND('领用录入（明细）'!D:D=$F$4,'领用录入（明细）'!C:C&gt;=$J$4,'领用录入（明细）'!C:C&lt;=$L$4),ROW(),"-")</f>
        <v>-</v>
      </c>
    </row>
    <row r="35014" customHeight="1" spans="2:2">
      <c r="B35014" s="62" t="str">
        <f>IF(AND('领用录入（明细）'!D:D=$F$4,'领用录入（明细）'!C:C&gt;=$J$4,'领用录入（明细）'!C:C&lt;=$L$4),ROW(),"-")</f>
        <v>-</v>
      </c>
    </row>
    <row r="35015" customHeight="1" spans="2:2">
      <c r="B35015" s="62" t="str">
        <f>IF(AND('领用录入（明细）'!D:D=$F$4,'领用录入（明细）'!C:C&gt;=$J$4,'领用录入（明细）'!C:C&lt;=$L$4),ROW(),"-")</f>
        <v>-</v>
      </c>
    </row>
    <row r="35016" customHeight="1" spans="2:2">
      <c r="B35016" s="62" t="str">
        <f>IF(AND('领用录入（明细）'!D:D=$F$4,'领用录入（明细）'!C:C&gt;=$J$4,'领用录入（明细）'!C:C&lt;=$L$4),ROW(),"-")</f>
        <v>-</v>
      </c>
    </row>
    <row r="35017" customHeight="1" spans="2:2">
      <c r="B35017" s="62" t="str">
        <f>IF(AND('领用录入（明细）'!D:D=$F$4,'领用录入（明细）'!C:C&gt;=$J$4,'领用录入（明细）'!C:C&lt;=$L$4),ROW(),"-")</f>
        <v>-</v>
      </c>
    </row>
    <row r="35018" customHeight="1" spans="2:2">
      <c r="B35018" s="62" t="str">
        <f>IF(AND('领用录入（明细）'!D:D=$F$4,'领用录入（明细）'!C:C&gt;=$J$4,'领用录入（明细）'!C:C&lt;=$L$4),ROW(),"-")</f>
        <v>-</v>
      </c>
    </row>
    <row r="35019" customHeight="1" spans="2:2">
      <c r="B35019" s="62" t="str">
        <f>IF(AND('领用录入（明细）'!D:D=$F$4,'领用录入（明细）'!C:C&gt;=$J$4,'领用录入（明细）'!C:C&lt;=$L$4),ROW(),"-")</f>
        <v>-</v>
      </c>
    </row>
    <row r="35020" customHeight="1" spans="2:2">
      <c r="B35020" s="62" t="str">
        <f>IF(AND('领用录入（明细）'!D:D=$F$4,'领用录入（明细）'!C:C&gt;=$J$4,'领用录入（明细）'!C:C&lt;=$L$4),ROW(),"-")</f>
        <v>-</v>
      </c>
    </row>
    <row r="35021" customHeight="1" spans="2:2">
      <c r="B35021" s="62" t="str">
        <f>IF(AND('领用录入（明细）'!D:D=$F$4,'领用录入（明细）'!C:C&gt;=$J$4,'领用录入（明细）'!C:C&lt;=$L$4),ROW(),"-")</f>
        <v>-</v>
      </c>
    </row>
    <row r="35022" customHeight="1" spans="2:2">
      <c r="B35022" s="62" t="str">
        <f>IF(AND('领用录入（明细）'!D:D=$F$4,'领用录入（明细）'!C:C&gt;=$J$4,'领用录入（明细）'!C:C&lt;=$L$4),ROW(),"-")</f>
        <v>-</v>
      </c>
    </row>
    <row r="35023" customHeight="1" spans="2:2">
      <c r="B35023" s="62" t="str">
        <f>IF(AND('领用录入（明细）'!D:D=$F$4,'领用录入（明细）'!C:C&gt;=$J$4,'领用录入（明细）'!C:C&lt;=$L$4),ROW(),"-")</f>
        <v>-</v>
      </c>
    </row>
    <row r="35024" customHeight="1" spans="2:2">
      <c r="B35024" s="62" t="str">
        <f>IF(AND('领用录入（明细）'!D:D=$F$4,'领用录入（明细）'!C:C&gt;=$J$4,'领用录入（明细）'!C:C&lt;=$L$4),ROW(),"-")</f>
        <v>-</v>
      </c>
    </row>
    <row r="35025" customHeight="1" spans="2:2">
      <c r="B35025" s="62" t="str">
        <f>IF(AND('领用录入（明细）'!D:D=$F$4,'领用录入（明细）'!C:C&gt;=$J$4,'领用录入（明细）'!C:C&lt;=$L$4),ROW(),"-")</f>
        <v>-</v>
      </c>
    </row>
    <row r="35026" customHeight="1" spans="2:2">
      <c r="B35026" s="62" t="str">
        <f>IF(AND('领用录入（明细）'!D:D=$F$4,'领用录入（明细）'!C:C&gt;=$J$4,'领用录入（明细）'!C:C&lt;=$L$4),ROW(),"-")</f>
        <v>-</v>
      </c>
    </row>
    <row r="35027" customHeight="1" spans="2:2">
      <c r="B35027" s="62" t="str">
        <f>IF(AND('领用录入（明细）'!D:D=$F$4,'领用录入（明细）'!C:C&gt;=$J$4,'领用录入（明细）'!C:C&lt;=$L$4),ROW(),"-")</f>
        <v>-</v>
      </c>
    </row>
    <row r="35028" customHeight="1" spans="2:2">
      <c r="B35028" s="62" t="str">
        <f>IF(AND('领用录入（明细）'!D:D=$F$4,'领用录入（明细）'!C:C&gt;=$J$4,'领用录入（明细）'!C:C&lt;=$L$4),ROW(),"-")</f>
        <v>-</v>
      </c>
    </row>
    <row r="35029" customHeight="1" spans="2:2">
      <c r="B35029" s="62" t="str">
        <f>IF(AND('领用录入（明细）'!D:D=$F$4,'领用录入（明细）'!C:C&gt;=$J$4,'领用录入（明细）'!C:C&lt;=$L$4),ROW(),"-")</f>
        <v>-</v>
      </c>
    </row>
    <row r="35030" customHeight="1" spans="2:2">
      <c r="B35030" s="62" t="str">
        <f>IF(AND('领用录入（明细）'!D:D=$F$4,'领用录入（明细）'!C:C&gt;=$J$4,'领用录入（明细）'!C:C&lt;=$L$4),ROW(),"-")</f>
        <v>-</v>
      </c>
    </row>
    <row r="35031" customHeight="1" spans="2:2">
      <c r="B35031" s="62" t="str">
        <f>IF(AND('领用录入（明细）'!D:D=$F$4,'领用录入（明细）'!C:C&gt;=$J$4,'领用录入（明细）'!C:C&lt;=$L$4),ROW(),"-")</f>
        <v>-</v>
      </c>
    </row>
    <row r="35032" customHeight="1" spans="2:2">
      <c r="B35032" s="62" t="str">
        <f>IF(AND('领用录入（明细）'!D:D=$F$4,'领用录入（明细）'!C:C&gt;=$J$4,'领用录入（明细）'!C:C&lt;=$L$4),ROW(),"-")</f>
        <v>-</v>
      </c>
    </row>
    <row r="35033" customHeight="1" spans="2:2">
      <c r="B35033" s="62" t="str">
        <f>IF(AND('领用录入（明细）'!D:D=$F$4,'领用录入（明细）'!C:C&gt;=$J$4,'领用录入（明细）'!C:C&lt;=$L$4),ROW(),"-")</f>
        <v>-</v>
      </c>
    </row>
    <row r="35034" customHeight="1" spans="2:2">
      <c r="B35034" s="62" t="str">
        <f>IF(AND('领用录入（明细）'!D:D=$F$4,'领用录入（明细）'!C:C&gt;=$J$4,'领用录入（明细）'!C:C&lt;=$L$4),ROW(),"-")</f>
        <v>-</v>
      </c>
    </row>
    <row r="35035" customHeight="1" spans="2:2">
      <c r="B35035" s="62" t="str">
        <f>IF(AND('领用录入（明细）'!D:D=$F$4,'领用录入（明细）'!C:C&gt;=$J$4,'领用录入（明细）'!C:C&lt;=$L$4),ROW(),"-")</f>
        <v>-</v>
      </c>
    </row>
    <row r="35036" customHeight="1" spans="2:2">
      <c r="B35036" s="62" t="str">
        <f>IF(AND('领用录入（明细）'!D:D=$F$4,'领用录入（明细）'!C:C&gt;=$J$4,'领用录入（明细）'!C:C&lt;=$L$4),ROW(),"-")</f>
        <v>-</v>
      </c>
    </row>
    <row r="35037" customHeight="1" spans="2:2">
      <c r="B35037" s="62" t="str">
        <f>IF(AND('领用录入（明细）'!D:D=$F$4,'领用录入（明细）'!C:C&gt;=$J$4,'领用录入（明细）'!C:C&lt;=$L$4),ROW(),"-")</f>
        <v>-</v>
      </c>
    </row>
    <row r="35038" customHeight="1" spans="2:2">
      <c r="B35038" s="62" t="str">
        <f>IF(AND('领用录入（明细）'!D:D=$F$4,'领用录入（明细）'!C:C&gt;=$J$4,'领用录入（明细）'!C:C&lt;=$L$4),ROW(),"-")</f>
        <v>-</v>
      </c>
    </row>
    <row r="35039" customHeight="1" spans="2:2">
      <c r="B35039" s="62" t="str">
        <f>IF(AND('领用录入（明细）'!D:D=$F$4,'领用录入（明细）'!C:C&gt;=$J$4,'领用录入（明细）'!C:C&lt;=$L$4),ROW(),"-")</f>
        <v>-</v>
      </c>
    </row>
    <row r="35040" customHeight="1" spans="2:2">
      <c r="B35040" s="62" t="str">
        <f>IF(AND('领用录入（明细）'!D:D=$F$4,'领用录入（明细）'!C:C&gt;=$J$4,'领用录入（明细）'!C:C&lt;=$L$4),ROW(),"-")</f>
        <v>-</v>
      </c>
    </row>
    <row r="35041" customHeight="1" spans="2:2">
      <c r="B35041" s="62" t="str">
        <f>IF(AND('领用录入（明细）'!D:D=$F$4,'领用录入（明细）'!C:C&gt;=$J$4,'领用录入（明细）'!C:C&lt;=$L$4),ROW(),"-")</f>
        <v>-</v>
      </c>
    </row>
    <row r="35042" customHeight="1" spans="2:2">
      <c r="B35042" s="62" t="str">
        <f>IF(AND('领用录入（明细）'!D:D=$F$4,'领用录入（明细）'!C:C&gt;=$J$4,'领用录入（明细）'!C:C&lt;=$L$4),ROW(),"-")</f>
        <v>-</v>
      </c>
    </row>
    <row r="35043" customHeight="1" spans="2:2">
      <c r="B35043" s="62" t="str">
        <f>IF(AND('领用录入（明细）'!D:D=$F$4,'领用录入（明细）'!C:C&gt;=$J$4,'领用录入（明细）'!C:C&lt;=$L$4),ROW(),"-")</f>
        <v>-</v>
      </c>
    </row>
    <row r="35044" customHeight="1" spans="2:2">
      <c r="B35044" s="62" t="str">
        <f>IF(AND('领用录入（明细）'!D:D=$F$4,'领用录入（明细）'!C:C&gt;=$J$4,'领用录入（明细）'!C:C&lt;=$L$4),ROW(),"-")</f>
        <v>-</v>
      </c>
    </row>
    <row r="35045" customHeight="1" spans="2:2">
      <c r="B35045" s="62" t="str">
        <f>IF(AND('领用录入（明细）'!D:D=$F$4,'领用录入（明细）'!C:C&gt;=$J$4,'领用录入（明细）'!C:C&lt;=$L$4),ROW(),"-")</f>
        <v>-</v>
      </c>
    </row>
    <row r="35046" customHeight="1" spans="2:2">
      <c r="B35046" s="62" t="str">
        <f>IF(AND('领用录入（明细）'!D:D=$F$4,'领用录入（明细）'!C:C&gt;=$J$4,'领用录入（明细）'!C:C&lt;=$L$4),ROW(),"-")</f>
        <v>-</v>
      </c>
    </row>
    <row r="35047" customHeight="1" spans="2:2">
      <c r="B35047" s="62" t="str">
        <f>IF(AND('领用录入（明细）'!D:D=$F$4,'领用录入（明细）'!C:C&gt;=$J$4,'领用录入（明细）'!C:C&lt;=$L$4),ROW(),"-")</f>
        <v>-</v>
      </c>
    </row>
    <row r="35048" customHeight="1" spans="2:2">
      <c r="B35048" s="62" t="str">
        <f>IF(AND('领用录入（明细）'!D:D=$F$4,'领用录入（明细）'!C:C&gt;=$J$4,'领用录入（明细）'!C:C&lt;=$L$4),ROW(),"-")</f>
        <v>-</v>
      </c>
    </row>
    <row r="35049" customHeight="1" spans="2:2">
      <c r="B35049" s="62" t="str">
        <f>IF(AND('领用录入（明细）'!D:D=$F$4,'领用录入（明细）'!C:C&gt;=$J$4,'领用录入（明细）'!C:C&lt;=$L$4),ROW(),"-")</f>
        <v>-</v>
      </c>
    </row>
    <row r="35050" customHeight="1" spans="2:2">
      <c r="B35050" s="62" t="str">
        <f>IF(AND('领用录入（明细）'!D:D=$F$4,'领用录入（明细）'!C:C&gt;=$J$4,'领用录入（明细）'!C:C&lt;=$L$4),ROW(),"-")</f>
        <v>-</v>
      </c>
    </row>
    <row r="35051" customHeight="1" spans="2:2">
      <c r="B35051" s="62" t="str">
        <f>IF(AND('领用录入（明细）'!D:D=$F$4,'领用录入（明细）'!C:C&gt;=$J$4,'领用录入（明细）'!C:C&lt;=$L$4),ROW(),"-")</f>
        <v>-</v>
      </c>
    </row>
    <row r="35052" customHeight="1" spans="2:2">
      <c r="B35052" s="62" t="str">
        <f>IF(AND('领用录入（明细）'!D:D=$F$4,'领用录入（明细）'!C:C&gt;=$J$4,'领用录入（明细）'!C:C&lt;=$L$4),ROW(),"-")</f>
        <v>-</v>
      </c>
    </row>
    <row r="35053" customHeight="1" spans="2:2">
      <c r="B35053" s="62" t="str">
        <f>IF(AND('领用录入（明细）'!D:D=$F$4,'领用录入（明细）'!C:C&gt;=$J$4,'领用录入（明细）'!C:C&lt;=$L$4),ROW(),"-")</f>
        <v>-</v>
      </c>
    </row>
    <row r="35054" customHeight="1" spans="2:2">
      <c r="B35054" s="62" t="str">
        <f>IF(AND('领用录入（明细）'!D:D=$F$4,'领用录入（明细）'!C:C&gt;=$J$4,'领用录入（明细）'!C:C&lt;=$L$4),ROW(),"-")</f>
        <v>-</v>
      </c>
    </row>
    <row r="35055" customHeight="1" spans="2:2">
      <c r="B35055" s="62" t="str">
        <f>IF(AND('领用录入（明细）'!D:D=$F$4,'领用录入（明细）'!C:C&gt;=$J$4,'领用录入（明细）'!C:C&lt;=$L$4),ROW(),"-")</f>
        <v>-</v>
      </c>
    </row>
    <row r="35056" customHeight="1" spans="2:2">
      <c r="B35056" s="62" t="str">
        <f>IF(AND('领用录入（明细）'!D:D=$F$4,'领用录入（明细）'!C:C&gt;=$J$4,'领用录入（明细）'!C:C&lt;=$L$4),ROW(),"-")</f>
        <v>-</v>
      </c>
    </row>
    <row r="35057" customHeight="1" spans="2:2">
      <c r="B35057" s="62" t="str">
        <f>IF(AND('领用录入（明细）'!D:D=$F$4,'领用录入（明细）'!C:C&gt;=$J$4,'领用录入（明细）'!C:C&lt;=$L$4),ROW(),"-")</f>
        <v>-</v>
      </c>
    </row>
    <row r="35058" customHeight="1" spans="2:2">
      <c r="B35058" s="62" t="str">
        <f>IF(AND('领用录入（明细）'!D:D=$F$4,'领用录入（明细）'!C:C&gt;=$J$4,'领用录入（明细）'!C:C&lt;=$L$4),ROW(),"-")</f>
        <v>-</v>
      </c>
    </row>
    <row r="35059" customHeight="1" spans="2:2">
      <c r="B35059" s="62" t="str">
        <f>IF(AND('领用录入（明细）'!D:D=$F$4,'领用录入（明细）'!C:C&gt;=$J$4,'领用录入（明细）'!C:C&lt;=$L$4),ROW(),"-")</f>
        <v>-</v>
      </c>
    </row>
    <row r="35060" customHeight="1" spans="2:2">
      <c r="B35060" s="62" t="str">
        <f>IF(AND('领用录入（明细）'!D:D=$F$4,'领用录入（明细）'!C:C&gt;=$J$4,'领用录入（明细）'!C:C&lt;=$L$4),ROW(),"-")</f>
        <v>-</v>
      </c>
    </row>
    <row r="35061" customHeight="1" spans="2:2">
      <c r="B35061" s="62" t="str">
        <f>IF(AND('领用录入（明细）'!D:D=$F$4,'领用录入（明细）'!C:C&gt;=$J$4,'领用录入（明细）'!C:C&lt;=$L$4),ROW(),"-")</f>
        <v>-</v>
      </c>
    </row>
    <row r="35062" customHeight="1" spans="2:2">
      <c r="B35062" s="62" t="str">
        <f>IF(AND('领用录入（明细）'!D:D=$F$4,'领用录入（明细）'!C:C&gt;=$J$4,'领用录入（明细）'!C:C&lt;=$L$4),ROW(),"-")</f>
        <v>-</v>
      </c>
    </row>
    <row r="35063" customHeight="1" spans="2:2">
      <c r="B35063" s="62" t="str">
        <f>IF(AND('领用录入（明细）'!D:D=$F$4,'领用录入（明细）'!C:C&gt;=$J$4,'领用录入（明细）'!C:C&lt;=$L$4),ROW(),"-")</f>
        <v>-</v>
      </c>
    </row>
    <row r="35064" customHeight="1" spans="2:2">
      <c r="B35064" s="62" t="str">
        <f>IF(AND('领用录入（明细）'!D:D=$F$4,'领用录入（明细）'!C:C&gt;=$J$4,'领用录入（明细）'!C:C&lt;=$L$4),ROW(),"-")</f>
        <v>-</v>
      </c>
    </row>
    <row r="35065" customHeight="1" spans="2:2">
      <c r="B35065" s="62" t="str">
        <f>IF(AND('领用录入（明细）'!D:D=$F$4,'领用录入（明细）'!C:C&gt;=$J$4,'领用录入（明细）'!C:C&lt;=$L$4),ROW(),"-")</f>
        <v>-</v>
      </c>
    </row>
    <row r="35066" customHeight="1" spans="2:2">
      <c r="B35066" s="62" t="str">
        <f>IF(AND('领用录入（明细）'!D:D=$F$4,'领用录入（明细）'!C:C&gt;=$J$4,'领用录入（明细）'!C:C&lt;=$L$4),ROW(),"-")</f>
        <v>-</v>
      </c>
    </row>
    <row r="35067" customHeight="1" spans="2:2">
      <c r="B35067" s="62" t="str">
        <f>IF(AND('领用录入（明细）'!D:D=$F$4,'领用录入（明细）'!C:C&gt;=$J$4,'领用录入（明细）'!C:C&lt;=$L$4),ROW(),"-")</f>
        <v>-</v>
      </c>
    </row>
    <row r="35068" customHeight="1" spans="2:2">
      <c r="B35068" s="62" t="str">
        <f>IF(AND('领用录入（明细）'!D:D=$F$4,'领用录入（明细）'!C:C&gt;=$J$4,'领用录入（明细）'!C:C&lt;=$L$4),ROW(),"-")</f>
        <v>-</v>
      </c>
    </row>
    <row r="35069" customHeight="1" spans="2:2">
      <c r="B35069" s="62" t="str">
        <f>IF(AND('领用录入（明细）'!D:D=$F$4,'领用录入（明细）'!C:C&gt;=$J$4,'领用录入（明细）'!C:C&lt;=$L$4),ROW(),"-")</f>
        <v>-</v>
      </c>
    </row>
    <row r="35070" customHeight="1" spans="2:2">
      <c r="B35070" s="62" t="str">
        <f>IF(AND('领用录入（明细）'!D:D=$F$4,'领用录入（明细）'!C:C&gt;=$J$4,'领用录入（明细）'!C:C&lt;=$L$4),ROW(),"-")</f>
        <v>-</v>
      </c>
    </row>
    <row r="35071" customHeight="1" spans="2:2">
      <c r="B35071" s="62" t="str">
        <f>IF(AND('领用录入（明细）'!D:D=$F$4,'领用录入（明细）'!C:C&gt;=$J$4,'领用录入（明细）'!C:C&lt;=$L$4),ROW(),"-")</f>
        <v>-</v>
      </c>
    </row>
    <row r="35072" customHeight="1" spans="2:2">
      <c r="B35072" s="62" t="str">
        <f>IF(AND('领用录入（明细）'!D:D=$F$4,'领用录入（明细）'!C:C&gt;=$J$4,'领用录入（明细）'!C:C&lt;=$L$4),ROW(),"-")</f>
        <v>-</v>
      </c>
    </row>
    <row r="35073" customHeight="1" spans="2:2">
      <c r="B35073" s="62" t="str">
        <f>IF(AND('领用录入（明细）'!D:D=$F$4,'领用录入（明细）'!C:C&gt;=$J$4,'领用录入（明细）'!C:C&lt;=$L$4),ROW(),"-")</f>
        <v>-</v>
      </c>
    </row>
    <row r="35074" customHeight="1" spans="2:2">
      <c r="B35074" s="62" t="str">
        <f>IF(AND('领用录入（明细）'!D:D=$F$4,'领用录入（明细）'!C:C&gt;=$J$4,'领用录入（明细）'!C:C&lt;=$L$4),ROW(),"-")</f>
        <v>-</v>
      </c>
    </row>
    <row r="35075" customHeight="1" spans="2:2">
      <c r="B35075" s="62" t="str">
        <f>IF(AND('领用录入（明细）'!D:D=$F$4,'领用录入（明细）'!C:C&gt;=$J$4,'领用录入（明细）'!C:C&lt;=$L$4),ROW(),"-")</f>
        <v>-</v>
      </c>
    </row>
    <row r="35076" customHeight="1" spans="2:2">
      <c r="B35076" s="62" t="str">
        <f>IF(AND('领用录入（明细）'!D:D=$F$4,'领用录入（明细）'!C:C&gt;=$J$4,'领用录入（明细）'!C:C&lt;=$L$4),ROW(),"-")</f>
        <v>-</v>
      </c>
    </row>
    <row r="35077" customHeight="1" spans="2:2">
      <c r="B35077" s="62" t="str">
        <f>IF(AND('领用录入（明细）'!D:D=$F$4,'领用录入（明细）'!C:C&gt;=$J$4,'领用录入（明细）'!C:C&lt;=$L$4),ROW(),"-")</f>
        <v>-</v>
      </c>
    </row>
    <row r="35078" customHeight="1" spans="2:2">
      <c r="B35078" s="62" t="str">
        <f>IF(AND('领用录入（明细）'!D:D=$F$4,'领用录入（明细）'!C:C&gt;=$J$4,'领用录入（明细）'!C:C&lt;=$L$4),ROW(),"-")</f>
        <v>-</v>
      </c>
    </row>
    <row r="35079" customHeight="1" spans="2:2">
      <c r="B35079" s="62" t="str">
        <f>IF(AND('领用录入（明细）'!D:D=$F$4,'领用录入（明细）'!C:C&gt;=$J$4,'领用录入（明细）'!C:C&lt;=$L$4),ROW(),"-")</f>
        <v>-</v>
      </c>
    </row>
    <row r="35080" customHeight="1" spans="2:2">
      <c r="B35080" s="62" t="str">
        <f>IF(AND('领用录入（明细）'!D:D=$F$4,'领用录入（明细）'!C:C&gt;=$J$4,'领用录入（明细）'!C:C&lt;=$L$4),ROW(),"-")</f>
        <v>-</v>
      </c>
    </row>
    <row r="35081" customHeight="1" spans="2:2">
      <c r="B35081" s="62" t="str">
        <f>IF(AND('领用录入（明细）'!D:D=$F$4,'领用录入（明细）'!C:C&gt;=$J$4,'领用录入（明细）'!C:C&lt;=$L$4),ROW(),"-")</f>
        <v>-</v>
      </c>
    </row>
    <row r="35082" customHeight="1" spans="2:2">
      <c r="B35082" s="62" t="str">
        <f>IF(AND('领用录入（明细）'!D:D=$F$4,'领用录入（明细）'!C:C&gt;=$J$4,'领用录入（明细）'!C:C&lt;=$L$4),ROW(),"-")</f>
        <v>-</v>
      </c>
    </row>
    <row r="35083" customHeight="1" spans="2:2">
      <c r="B35083" s="62" t="str">
        <f>IF(AND('领用录入（明细）'!D:D=$F$4,'领用录入（明细）'!C:C&gt;=$J$4,'领用录入（明细）'!C:C&lt;=$L$4),ROW(),"-")</f>
        <v>-</v>
      </c>
    </row>
    <row r="35084" customHeight="1" spans="2:2">
      <c r="B35084" s="62" t="str">
        <f>IF(AND('领用录入（明细）'!D:D=$F$4,'领用录入（明细）'!C:C&gt;=$J$4,'领用录入（明细）'!C:C&lt;=$L$4),ROW(),"-")</f>
        <v>-</v>
      </c>
    </row>
    <row r="35085" customHeight="1" spans="2:2">
      <c r="B35085" s="62" t="str">
        <f>IF(AND('领用录入（明细）'!D:D=$F$4,'领用录入（明细）'!C:C&gt;=$J$4,'领用录入（明细）'!C:C&lt;=$L$4),ROW(),"-")</f>
        <v>-</v>
      </c>
    </row>
    <row r="35086" customHeight="1" spans="2:2">
      <c r="B35086" s="62" t="str">
        <f>IF(AND('领用录入（明细）'!D:D=$F$4,'领用录入（明细）'!C:C&gt;=$J$4,'领用录入（明细）'!C:C&lt;=$L$4),ROW(),"-")</f>
        <v>-</v>
      </c>
    </row>
    <row r="35087" customHeight="1" spans="2:2">
      <c r="B35087" s="62" t="str">
        <f>IF(AND('领用录入（明细）'!D:D=$F$4,'领用录入（明细）'!C:C&gt;=$J$4,'领用录入（明细）'!C:C&lt;=$L$4),ROW(),"-")</f>
        <v>-</v>
      </c>
    </row>
    <row r="35088" customHeight="1" spans="2:2">
      <c r="B35088" s="62" t="str">
        <f>IF(AND('领用录入（明细）'!D:D=$F$4,'领用录入（明细）'!C:C&gt;=$J$4,'领用录入（明细）'!C:C&lt;=$L$4),ROW(),"-")</f>
        <v>-</v>
      </c>
    </row>
    <row r="35089" customHeight="1" spans="2:2">
      <c r="B35089" s="62" t="str">
        <f>IF(AND('领用录入（明细）'!D:D=$F$4,'领用录入（明细）'!C:C&gt;=$J$4,'领用录入（明细）'!C:C&lt;=$L$4),ROW(),"-")</f>
        <v>-</v>
      </c>
    </row>
    <row r="35090" customHeight="1" spans="2:2">
      <c r="B35090" s="62" t="str">
        <f>IF(AND('领用录入（明细）'!D:D=$F$4,'领用录入（明细）'!C:C&gt;=$J$4,'领用录入（明细）'!C:C&lt;=$L$4),ROW(),"-")</f>
        <v>-</v>
      </c>
    </row>
    <row r="35091" customHeight="1" spans="2:2">
      <c r="B35091" s="62" t="str">
        <f>IF(AND('领用录入（明细）'!D:D=$F$4,'领用录入（明细）'!C:C&gt;=$J$4,'领用录入（明细）'!C:C&lt;=$L$4),ROW(),"-")</f>
        <v>-</v>
      </c>
    </row>
    <row r="35092" customHeight="1" spans="2:2">
      <c r="B35092" s="62" t="str">
        <f>IF(AND('领用录入（明细）'!D:D=$F$4,'领用录入（明细）'!C:C&gt;=$J$4,'领用录入（明细）'!C:C&lt;=$L$4),ROW(),"-")</f>
        <v>-</v>
      </c>
    </row>
    <row r="35093" customHeight="1" spans="2:2">
      <c r="B35093" s="62" t="str">
        <f>IF(AND('领用录入（明细）'!D:D=$F$4,'领用录入（明细）'!C:C&gt;=$J$4,'领用录入（明细）'!C:C&lt;=$L$4),ROW(),"-")</f>
        <v>-</v>
      </c>
    </row>
    <row r="35094" customHeight="1" spans="2:2">
      <c r="B35094" s="62" t="str">
        <f>IF(AND('领用录入（明细）'!D:D=$F$4,'领用录入（明细）'!C:C&gt;=$J$4,'领用录入（明细）'!C:C&lt;=$L$4),ROW(),"-")</f>
        <v>-</v>
      </c>
    </row>
    <row r="35095" customHeight="1" spans="2:2">
      <c r="B35095" s="62" t="str">
        <f>IF(AND('领用录入（明细）'!D:D=$F$4,'领用录入（明细）'!C:C&gt;=$J$4,'领用录入（明细）'!C:C&lt;=$L$4),ROW(),"-")</f>
        <v>-</v>
      </c>
    </row>
    <row r="35096" customHeight="1" spans="2:2">
      <c r="B35096" s="62" t="str">
        <f>IF(AND('领用录入（明细）'!D:D=$F$4,'领用录入（明细）'!C:C&gt;=$J$4,'领用录入（明细）'!C:C&lt;=$L$4),ROW(),"-")</f>
        <v>-</v>
      </c>
    </row>
    <row r="35097" customHeight="1" spans="2:2">
      <c r="B35097" s="62" t="str">
        <f>IF(AND('领用录入（明细）'!D:D=$F$4,'领用录入（明细）'!C:C&gt;=$J$4,'领用录入（明细）'!C:C&lt;=$L$4),ROW(),"-")</f>
        <v>-</v>
      </c>
    </row>
    <row r="35098" customHeight="1" spans="2:2">
      <c r="B35098" s="62" t="str">
        <f>IF(AND('领用录入（明细）'!D:D=$F$4,'领用录入（明细）'!C:C&gt;=$J$4,'领用录入（明细）'!C:C&lt;=$L$4),ROW(),"-")</f>
        <v>-</v>
      </c>
    </row>
    <row r="35099" customHeight="1" spans="2:2">
      <c r="B35099" s="62" t="str">
        <f>IF(AND('领用录入（明细）'!D:D=$F$4,'领用录入（明细）'!C:C&gt;=$J$4,'领用录入（明细）'!C:C&lt;=$L$4),ROW(),"-")</f>
        <v>-</v>
      </c>
    </row>
    <row r="35100" customHeight="1" spans="2:2">
      <c r="B35100" s="62" t="str">
        <f>IF(AND('领用录入（明细）'!D:D=$F$4,'领用录入（明细）'!C:C&gt;=$J$4,'领用录入（明细）'!C:C&lt;=$L$4),ROW(),"-")</f>
        <v>-</v>
      </c>
    </row>
    <row r="35101" customHeight="1" spans="2:2">
      <c r="B35101" s="62" t="str">
        <f>IF(AND('领用录入（明细）'!D:D=$F$4,'领用录入（明细）'!C:C&gt;=$J$4,'领用录入（明细）'!C:C&lt;=$L$4),ROW(),"-")</f>
        <v>-</v>
      </c>
    </row>
    <row r="35102" customHeight="1" spans="2:2">
      <c r="B35102" s="62" t="str">
        <f>IF(AND('领用录入（明细）'!D:D=$F$4,'领用录入（明细）'!C:C&gt;=$J$4,'领用录入（明细）'!C:C&lt;=$L$4),ROW(),"-")</f>
        <v>-</v>
      </c>
    </row>
    <row r="35103" customHeight="1" spans="2:2">
      <c r="B35103" s="62" t="str">
        <f>IF(AND('领用录入（明细）'!D:D=$F$4,'领用录入（明细）'!C:C&gt;=$J$4,'领用录入（明细）'!C:C&lt;=$L$4),ROW(),"-")</f>
        <v>-</v>
      </c>
    </row>
    <row r="35104" customHeight="1" spans="2:2">
      <c r="B35104" s="62" t="str">
        <f>IF(AND('领用录入（明细）'!D:D=$F$4,'领用录入（明细）'!C:C&gt;=$J$4,'领用录入（明细）'!C:C&lt;=$L$4),ROW(),"-")</f>
        <v>-</v>
      </c>
    </row>
    <row r="35105" customHeight="1" spans="2:2">
      <c r="B35105" s="62" t="str">
        <f>IF(AND('领用录入（明细）'!D:D=$F$4,'领用录入（明细）'!C:C&gt;=$J$4,'领用录入（明细）'!C:C&lt;=$L$4),ROW(),"-")</f>
        <v>-</v>
      </c>
    </row>
    <row r="35106" customHeight="1" spans="2:2">
      <c r="B35106" s="62" t="str">
        <f>IF(AND('领用录入（明细）'!D:D=$F$4,'领用录入（明细）'!C:C&gt;=$J$4,'领用录入（明细）'!C:C&lt;=$L$4),ROW(),"-")</f>
        <v>-</v>
      </c>
    </row>
    <row r="35107" customHeight="1" spans="2:2">
      <c r="B35107" s="62" t="str">
        <f>IF(AND('领用录入（明细）'!D:D=$F$4,'领用录入（明细）'!C:C&gt;=$J$4,'领用录入（明细）'!C:C&lt;=$L$4),ROW(),"-")</f>
        <v>-</v>
      </c>
    </row>
    <row r="35108" customHeight="1" spans="2:2">
      <c r="B35108" s="62" t="str">
        <f>IF(AND('领用录入（明细）'!D:D=$F$4,'领用录入（明细）'!C:C&gt;=$J$4,'领用录入（明细）'!C:C&lt;=$L$4),ROW(),"-")</f>
        <v>-</v>
      </c>
    </row>
    <row r="35109" customHeight="1" spans="2:2">
      <c r="B35109" s="62" t="str">
        <f>IF(AND('领用录入（明细）'!D:D=$F$4,'领用录入（明细）'!C:C&gt;=$J$4,'领用录入（明细）'!C:C&lt;=$L$4),ROW(),"-")</f>
        <v>-</v>
      </c>
    </row>
    <row r="35110" customHeight="1" spans="2:2">
      <c r="B35110" s="62" t="str">
        <f>IF(AND('领用录入（明细）'!D:D=$F$4,'领用录入（明细）'!C:C&gt;=$J$4,'领用录入（明细）'!C:C&lt;=$L$4),ROW(),"-")</f>
        <v>-</v>
      </c>
    </row>
    <row r="35111" customHeight="1" spans="2:2">
      <c r="B35111" s="62" t="str">
        <f>IF(AND('领用录入（明细）'!D:D=$F$4,'领用录入（明细）'!C:C&gt;=$J$4,'领用录入（明细）'!C:C&lt;=$L$4),ROW(),"-")</f>
        <v>-</v>
      </c>
    </row>
    <row r="35112" customHeight="1" spans="2:2">
      <c r="B35112" s="62" t="str">
        <f>IF(AND('领用录入（明细）'!D:D=$F$4,'领用录入（明细）'!C:C&gt;=$J$4,'领用录入（明细）'!C:C&lt;=$L$4),ROW(),"-")</f>
        <v>-</v>
      </c>
    </row>
    <row r="35113" customHeight="1" spans="2:2">
      <c r="B35113" s="62" t="str">
        <f>IF(AND('领用录入（明细）'!D:D=$F$4,'领用录入（明细）'!C:C&gt;=$J$4,'领用录入（明细）'!C:C&lt;=$L$4),ROW(),"-")</f>
        <v>-</v>
      </c>
    </row>
    <row r="35114" customHeight="1" spans="2:2">
      <c r="B35114" s="62" t="str">
        <f>IF(AND('领用录入（明细）'!D:D=$F$4,'领用录入（明细）'!C:C&gt;=$J$4,'领用录入（明细）'!C:C&lt;=$L$4),ROW(),"-")</f>
        <v>-</v>
      </c>
    </row>
    <row r="35115" customHeight="1" spans="2:2">
      <c r="B35115" s="62" t="str">
        <f>IF(AND('领用录入（明细）'!D:D=$F$4,'领用录入（明细）'!C:C&gt;=$J$4,'领用录入（明细）'!C:C&lt;=$L$4),ROW(),"-")</f>
        <v>-</v>
      </c>
    </row>
    <row r="35116" customHeight="1" spans="2:2">
      <c r="B35116" s="62" t="str">
        <f>IF(AND('领用录入（明细）'!D:D=$F$4,'领用录入（明细）'!C:C&gt;=$J$4,'领用录入（明细）'!C:C&lt;=$L$4),ROW(),"-")</f>
        <v>-</v>
      </c>
    </row>
    <row r="35117" customHeight="1" spans="2:2">
      <c r="B35117" s="62" t="str">
        <f>IF(AND('领用录入（明细）'!D:D=$F$4,'领用录入（明细）'!C:C&gt;=$J$4,'领用录入（明细）'!C:C&lt;=$L$4),ROW(),"-")</f>
        <v>-</v>
      </c>
    </row>
    <row r="35118" customHeight="1" spans="2:2">
      <c r="B35118" s="62" t="str">
        <f>IF(AND('领用录入（明细）'!D:D=$F$4,'领用录入（明细）'!C:C&gt;=$J$4,'领用录入（明细）'!C:C&lt;=$L$4),ROW(),"-")</f>
        <v>-</v>
      </c>
    </row>
    <row r="35119" customHeight="1" spans="2:2">
      <c r="B35119" s="62" t="str">
        <f>IF(AND('领用录入（明细）'!D:D=$F$4,'领用录入（明细）'!C:C&gt;=$J$4,'领用录入（明细）'!C:C&lt;=$L$4),ROW(),"-")</f>
        <v>-</v>
      </c>
    </row>
    <row r="35120" customHeight="1" spans="2:2">
      <c r="B35120" s="62" t="str">
        <f>IF(AND('领用录入（明细）'!D:D=$F$4,'领用录入（明细）'!C:C&gt;=$J$4,'领用录入（明细）'!C:C&lt;=$L$4),ROW(),"-")</f>
        <v>-</v>
      </c>
    </row>
    <row r="35121" customHeight="1" spans="2:2">
      <c r="B35121" s="62" t="str">
        <f>IF(AND('领用录入（明细）'!D:D=$F$4,'领用录入（明细）'!C:C&gt;=$J$4,'领用录入（明细）'!C:C&lt;=$L$4),ROW(),"-")</f>
        <v>-</v>
      </c>
    </row>
    <row r="35122" customHeight="1" spans="2:2">
      <c r="B35122" s="62" t="str">
        <f>IF(AND('领用录入（明细）'!D:D=$F$4,'领用录入（明细）'!C:C&gt;=$J$4,'领用录入（明细）'!C:C&lt;=$L$4),ROW(),"-")</f>
        <v>-</v>
      </c>
    </row>
    <row r="35123" customHeight="1" spans="2:2">
      <c r="B35123" s="62" t="str">
        <f>IF(AND('领用录入（明细）'!D:D=$F$4,'领用录入（明细）'!C:C&gt;=$J$4,'领用录入（明细）'!C:C&lt;=$L$4),ROW(),"-")</f>
        <v>-</v>
      </c>
    </row>
    <row r="35124" customHeight="1" spans="2:2">
      <c r="B35124" s="62" t="str">
        <f>IF(AND('领用录入（明细）'!D:D=$F$4,'领用录入（明细）'!C:C&gt;=$J$4,'领用录入（明细）'!C:C&lt;=$L$4),ROW(),"-")</f>
        <v>-</v>
      </c>
    </row>
    <row r="35125" customHeight="1" spans="2:2">
      <c r="B35125" s="62" t="str">
        <f>IF(AND('领用录入（明细）'!D:D=$F$4,'领用录入（明细）'!C:C&gt;=$J$4,'领用录入（明细）'!C:C&lt;=$L$4),ROW(),"-")</f>
        <v>-</v>
      </c>
    </row>
    <row r="35126" customHeight="1" spans="2:2">
      <c r="B35126" s="62" t="str">
        <f>IF(AND('领用录入（明细）'!D:D=$F$4,'领用录入（明细）'!C:C&gt;=$J$4,'领用录入（明细）'!C:C&lt;=$L$4),ROW(),"-")</f>
        <v>-</v>
      </c>
    </row>
    <row r="35127" customHeight="1" spans="2:2">
      <c r="B35127" s="62" t="str">
        <f>IF(AND('领用录入（明细）'!D:D=$F$4,'领用录入（明细）'!C:C&gt;=$J$4,'领用录入（明细）'!C:C&lt;=$L$4),ROW(),"-")</f>
        <v>-</v>
      </c>
    </row>
    <row r="35128" customHeight="1" spans="2:2">
      <c r="B35128" s="62" t="str">
        <f>IF(AND('领用录入（明细）'!D:D=$F$4,'领用录入（明细）'!C:C&gt;=$J$4,'领用录入（明细）'!C:C&lt;=$L$4),ROW(),"-")</f>
        <v>-</v>
      </c>
    </row>
    <row r="35129" customHeight="1" spans="2:2">
      <c r="B35129" s="62" t="str">
        <f>IF(AND('领用录入（明细）'!D:D=$F$4,'领用录入（明细）'!C:C&gt;=$J$4,'领用录入（明细）'!C:C&lt;=$L$4),ROW(),"-")</f>
        <v>-</v>
      </c>
    </row>
    <row r="35130" customHeight="1" spans="2:2">
      <c r="B35130" s="62" t="str">
        <f>IF(AND('领用录入（明细）'!D:D=$F$4,'领用录入（明细）'!C:C&gt;=$J$4,'领用录入（明细）'!C:C&lt;=$L$4),ROW(),"-")</f>
        <v>-</v>
      </c>
    </row>
    <row r="35131" customHeight="1" spans="2:2">
      <c r="B35131" s="62" t="str">
        <f>IF(AND('领用录入（明细）'!D:D=$F$4,'领用录入（明细）'!C:C&gt;=$J$4,'领用录入（明细）'!C:C&lt;=$L$4),ROW(),"-")</f>
        <v>-</v>
      </c>
    </row>
    <row r="35132" customHeight="1" spans="2:2">
      <c r="B35132" s="62" t="str">
        <f>IF(AND('领用录入（明细）'!D:D=$F$4,'领用录入（明细）'!C:C&gt;=$J$4,'领用录入（明细）'!C:C&lt;=$L$4),ROW(),"-")</f>
        <v>-</v>
      </c>
    </row>
    <row r="35133" customHeight="1" spans="2:2">
      <c r="B35133" s="62" t="str">
        <f>IF(AND('领用录入（明细）'!D:D=$F$4,'领用录入（明细）'!C:C&gt;=$J$4,'领用录入（明细）'!C:C&lt;=$L$4),ROW(),"-")</f>
        <v>-</v>
      </c>
    </row>
    <row r="35134" customHeight="1" spans="2:2">
      <c r="B35134" s="62" t="str">
        <f>IF(AND('领用录入（明细）'!D:D=$F$4,'领用录入（明细）'!C:C&gt;=$J$4,'领用录入（明细）'!C:C&lt;=$L$4),ROW(),"-")</f>
        <v>-</v>
      </c>
    </row>
    <row r="35135" customHeight="1" spans="2:2">
      <c r="B35135" s="62" t="str">
        <f>IF(AND('领用录入（明细）'!D:D=$F$4,'领用录入（明细）'!C:C&gt;=$J$4,'领用录入（明细）'!C:C&lt;=$L$4),ROW(),"-")</f>
        <v>-</v>
      </c>
    </row>
    <row r="35136" customHeight="1" spans="2:2">
      <c r="B35136" s="62" t="str">
        <f>IF(AND('领用录入（明细）'!D:D=$F$4,'领用录入（明细）'!C:C&gt;=$J$4,'领用录入（明细）'!C:C&lt;=$L$4),ROW(),"-")</f>
        <v>-</v>
      </c>
    </row>
    <row r="35137" customHeight="1" spans="2:2">
      <c r="B35137" s="62" t="str">
        <f>IF(AND('领用录入（明细）'!D:D=$F$4,'领用录入（明细）'!C:C&gt;=$J$4,'领用录入（明细）'!C:C&lt;=$L$4),ROW(),"-")</f>
        <v>-</v>
      </c>
    </row>
    <row r="35138" customHeight="1" spans="2:2">
      <c r="B35138" s="62" t="str">
        <f>IF(AND('领用录入（明细）'!D:D=$F$4,'领用录入（明细）'!C:C&gt;=$J$4,'领用录入（明细）'!C:C&lt;=$L$4),ROW(),"-")</f>
        <v>-</v>
      </c>
    </row>
    <row r="35139" customHeight="1" spans="2:2">
      <c r="B35139" s="62" t="str">
        <f>IF(AND('领用录入（明细）'!D:D=$F$4,'领用录入（明细）'!C:C&gt;=$J$4,'领用录入（明细）'!C:C&lt;=$L$4),ROW(),"-")</f>
        <v>-</v>
      </c>
    </row>
    <row r="35140" customHeight="1" spans="2:2">
      <c r="B35140" s="62" t="str">
        <f>IF(AND('领用录入（明细）'!D:D=$F$4,'领用录入（明细）'!C:C&gt;=$J$4,'领用录入（明细）'!C:C&lt;=$L$4),ROW(),"-")</f>
        <v>-</v>
      </c>
    </row>
    <row r="35141" customHeight="1" spans="2:2">
      <c r="B35141" s="62" t="str">
        <f>IF(AND('领用录入（明细）'!D:D=$F$4,'领用录入（明细）'!C:C&gt;=$J$4,'领用录入（明细）'!C:C&lt;=$L$4),ROW(),"-")</f>
        <v>-</v>
      </c>
    </row>
    <row r="35142" customHeight="1" spans="2:2">
      <c r="B35142" s="62" t="str">
        <f>IF(AND('领用录入（明细）'!D:D=$F$4,'领用录入（明细）'!C:C&gt;=$J$4,'领用录入（明细）'!C:C&lt;=$L$4),ROW(),"-")</f>
        <v>-</v>
      </c>
    </row>
    <row r="35143" customHeight="1" spans="2:2">
      <c r="B35143" s="62" t="str">
        <f>IF(AND('领用录入（明细）'!D:D=$F$4,'领用录入（明细）'!C:C&gt;=$J$4,'领用录入（明细）'!C:C&lt;=$L$4),ROW(),"-")</f>
        <v>-</v>
      </c>
    </row>
    <row r="35144" customHeight="1" spans="2:2">
      <c r="B35144" s="62" t="str">
        <f>IF(AND('领用录入（明细）'!D:D=$F$4,'领用录入（明细）'!C:C&gt;=$J$4,'领用录入（明细）'!C:C&lt;=$L$4),ROW(),"-")</f>
        <v>-</v>
      </c>
    </row>
    <row r="35145" customHeight="1" spans="2:2">
      <c r="B35145" s="62" t="str">
        <f>IF(AND('领用录入（明细）'!D:D=$F$4,'领用录入（明细）'!C:C&gt;=$J$4,'领用录入（明细）'!C:C&lt;=$L$4),ROW(),"-")</f>
        <v>-</v>
      </c>
    </row>
    <row r="35146" customHeight="1" spans="2:2">
      <c r="B35146" s="62" t="str">
        <f>IF(AND('领用录入（明细）'!D:D=$F$4,'领用录入（明细）'!C:C&gt;=$J$4,'领用录入（明细）'!C:C&lt;=$L$4),ROW(),"-")</f>
        <v>-</v>
      </c>
    </row>
    <row r="35147" customHeight="1" spans="2:2">
      <c r="B35147" s="62" t="str">
        <f>IF(AND('领用录入（明细）'!D:D=$F$4,'领用录入（明细）'!C:C&gt;=$J$4,'领用录入（明细）'!C:C&lt;=$L$4),ROW(),"-")</f>
        <v>-</v>
      </c>
    </row>
    <row r="35148" customHeight="1" spans="2:2">
      <c r="B35148" s="62" t="str">
        <f>IF(AND('领用录入（明细）'!D:D=$F$4,'领用录入（明细）'!C:C&gt;=$J$4,'领用录入（明细）'!C:C&lt;=$L$4),ROW(),"-")</f>
        <v>-</v>
      </c>
    </row>
    <row r="35149" customHeight="1" spans="2:2">
      <c r="B35149" s="62" t="str">
        <f>IF(AND('领用录入（明细）'!D:D=$F$4,'领用录入（明细）'!C:C&gt;=$J$4,'领用录入（明细）'!C:C&lt;=$L$4),ROW(),"-")</f>
        <v>-</v>
      </c>
    </row>
    <row r="35150" customHeight="1" spans="2:2">
      <c r="B35150" s="62" t="str">
        <f>IF(AND('领用录入（明细）'!D:D=$F$4,'领用录入（明细）'!C:C&gt;=$J$4,'领用录入（明细）'!C:C&lt;=$L$4),ROW(),"-")</f>
        <v>-</v>
      </c>
    </row>
    <row r="35151" customHeight="1" spans="2:2">
      <c r="B35151" s="62" t="str">
        <f>IF(AND('领用录入（明细）'!D:D=$F$4,'领用录入（明细）'!C:C&gt;=$J$4,'领用录入（明细）'!C:C&lt;=$L$4),ROW(),"-")</f>
        <v>-</v>
      </c>
    </row>
    <row r="35152" customHeight="1" spans="2:2">
      <c r="B35152" s="62" t="str">
        <f>IF(AND('领用录入（明细）'!D:D=$F$4,'领用录入（明细）'!C:C&gt;=$J$4,'领用录入（明细）'!C:C&lt;=$L$4),ROW(),"-")</f>
        <v>-</v>
      </c>
    </row>
    <row r="35153" customHeight="1" spans="2:2">
      <c r="B35153" s="62" t="str">
        <f>IF(AND('领用录入（明细）'!D:D=$F$4,'领用录入（明细）'!C:C&gt;=$J$4,'领用录入（明细）'!C:C&lt;=$L$4),ROW(),"-")</f>
        <v>-</v>
      </c>
    </row>
    <row r="35154" customHeight="1" spans="2:2">
      <c r="B35154" s="62" t="str">
        <f>IF(AND('领用录入（明细）'!D:D=$F$4,'领用录入（明细）'!C:C&gt;=$J$4,'领用录入（明细）'!C:C&lt;=$L$4),ROW(),"-")</f>
        <v>-</v>
      </c>
    </row>
    <row r="35155" customHeight="1" spans="2:2">
      <c r="B35155" s="62" t="str">
        <f>IF(AND('领用录入（明细）'!D:D=$F$4,'领用录入（明细）'!C:C&gt;=$J$4,'领用录入（明细）'!C:C&lt;=$L$4),ROW(),"-")</f>
        <v>-</v>
      </c>
    </row>
    <row r="35156" customHeight="1" spans="2:2">
      <c r="B35156" s="62" t="str">
        <f>IF(AND('领用录入（明细）'!D:D=$F$4,'领用录入（明细）'!C:C&gt;=$J$4,'领用录入（明细）'!C:C&lt;=$L$4),ROW(),"-")</f>
        <v>-</v>
      </c>
    </row>
    <row r="35157" customHeight="1" spans="2:2">
      <c r="B35157" s="62" t="str">
        <f>IF(AND('领用录入（明细）'!D:D=$F$4,'领用录入（明细）'!C:C&gt;=$J$4,'领用录入（明细）'!C:C&lt;=$L$4),ROW(),"-")</f>
        <v>-</v>
      </c>
    </row>
    <row r="35158" customHeight="1" spans="2:2">
      <c r="B35158" s="62" t="str">
        <f>IF(AND('领用录入（明细）'!D:D=$F$4,'领用录入（明细）'!C:C&gt;=$J$4,'领用录入（明细）'!C:C&lt;=$L$4),ROW(),"-")</f>
        <v>-</v>
      </c>
    </row>
    <row r="35159" customHeight="1" spans="2:2">
      <c r="B35159" s="62" t="str">
        <f>IF(AND('领用录入（明细）'!D:D=$F$4,'领用录入（明细）'!C:C&gt;=$J$4,'领用录入（明细）'!C:C&lt;=$L$4),ROW(),"-")</f>
        <v>-</v>
      </c>
    </row>
    <row r="35160" customHeight="1" spans="2:2">
      <c r="B35160" s="62" t="str">
        <f>IF(AND('领用录入（明细）'!D:D=$F$4,'领用录入（明细）'!C:C&gt;=$J$4,'领用录入（明细）'!C:C&lt;=$L$4),ROW(),"-")</f>
        <v>-</v>
      </c>
    </row>
    <row r="35161" customHeight="1" spans="2:2">
      <c r="B35161" s="62" t="str">
        <f>IF(AND('领用录入（明细）'!D:D=$F$4,'领用录入（明细）'!C:C&gt;=$J$4,'领用录入（明细）'!C:C&lt;=$L$4),ROW(),"-")</f>
        <v>-</v>
      </c>
    </row>
    <row r="35162" customHeight="1" spans="2:2">
      <c r="B35162" s="62" t="str">
        <f>IF(AND('领用录入（明细）'!D:D=$F$4,'领用录入（明细）'!C:C&gt;=$J$4,'领用录入（明细）'!C:C&lt;=$L$4),ROW(),"-")</f>
        <v>-</v>
      </c>
    </row>
    <row r="35163" customHeight="1" spans="2:2">
      <c r="B35163" s="62" t="str">
        <f>IF(AND('领用录入（明细）'!D:D=$F$4,'领用录入（明细）'!C:C&gt;=$J$4,'领用录入（明细）'!C:C&lt;=$L$4),ROW(),"-")</f>
        <v>-</v>
      </c>
    </row>
    <row r="35164" customHeight="1" spans="2:2">
      <c r="B35164" s="62" t="str">
        <f>IF(AND('领用录入（明细）'!D:D=$F$4,'领用录入（明细）'!C:C&gt;=$J$4,'领用录入（明细）'!C:C&lt;=$L$4),ROW(),"-")</f>
        <v>-</v>
      </c>
    </row>
    <row r="35165" customHeight="1" spans="2:2">
      <c r="B35165" s="62" t="str">
        <f>IF(AND('领用录入（明细）'!D:D=$F$4,'领用录入（明细）'!C:C&gt;=$J$4,'领用录入（明细）'!C:C&lt;=$L$4),ROW(),"-")</f>
        <v>-</v>
      </c>
    </row>
    <row r="35166" customHeight="1" spans="2:2">
      <c r="B35166" s="62" t="str">
        <f>IF(AND('领用录入（明细）'!D:D=$F$4,'领用录入（明细）'!C:C&gt;=$J$4,'领用录入（明细）'!C:C&lt;=$L$4),ROW(),"-")</f>
        <v>-</v>
      </c>
    </row>
    <row r="35167" customHeight="1" spans="2:2">
      <c r="B35167" s="62" t="str">
        <f>IF(AND('领用录入（明细）'!D:D=$F$4,'领用录入（明细）'!C:C&gt;=$J$4,'领用录入（明细）'!C:C&lt;=$L$4),ROW(),"-")</f>
        <v>-</v>
      </c>
    </row>
    <row r="35168" customHeight="1" spans="2:2">
      <c r="B35168" s="62" t="str">
        <f>IF(AND('领用录入（明细）'!D:D=$F$4,'领用录入（明细）'!C:C&gt;=$J$4,'领用录入（明细）'!C:C&lt;=$L$4),ROW(),"-")</f>
        <v>-</v>
      </c>
    </row>
    <row r="35169" customHeight="1" spans="2:2">
      <c r="B35169" s="62" t="str">
        <f>IF(AND('领用录入（明细）'!D:D=$F$4,'领用录入（明细）'!C:C&gt;=$J$4,'领用录入（明细）'!C:C&lt;=$L$4),ROW(),"-")</f>
        <v>-</v>
      </c>
    </row>
    <row r="35170" customHeight="1" spans="2:2">
      <c r="B35170" s="62" t="str">
        <f>IF(AND('领用录入（明细）'!D:D=$F$4,'领用录入（明细）'!C:C&gt;=$J$4,'领用录入（明细）'!C:C&lt;=$L$4),ROW(),"-")</f>
        <v>-</v>
      </c>
    </row>
    <row r="35171" customHeight="1" spans="2:2">
      <c r="B35171" s="62" t="str">
        <f>IF(AND('领用录入（明细）'!D:D=$F$4,'领用录入（明细）'!C:C&gt;=$J$4,'领用录入（明细）'!C:C&lt;=$L$4),ROW(),"-")</f>
        <v>-</v>
      </c>
    </row>
    <row r="35172" customHeight="1" spans="2:2">
      <c r="B35172" s="62" t="str">
        <f>IF(AND('领用录入（明细）'!D:D=$F$4,'领用录入（明细）'!C:C&gt;=$J$4,'领用录入（明细）'!C:C&lt;=$L$4),ROW(),"-")</f>
        <v>-</v>
      </c>
    </row>
    <row r="35173" customHeight="1" spans="2:2">
      <c r="B35173" s="62" t="str">
        <f>IF(AND('领用录入（明细）'!D:D=$F$4,'领用录入（明细）'!C:C&gt;=$J$4,'领用录入（明细）'!C:C&lt;=$L$4),ROW(),"-")</f>
        <v>-</v>
      </c>
    </row>
    <row r="35174" customHeight="1" spans="2:2">
      <c r="B35174" s="62" t="str">
        <f>IF(AND('领用录入（明细）'!D:D=$F$4,'领用录入（明细）'!C:C&gt;=$J$4,'领用录入（明细）'!C:C&lt;=$L$4),ROW(),"-")</f>
        <v>-</v>
      </c>
    </row>
    <row r="35175" customHeight="1" spans="2:2">
      <c r="B35175" s="62" t="str">
        <f>IF(AND('领用录入（明细）'!D:D=$F$4,'领用录入（明细）'!C:C&gt;=$J$4,'领用录入（明细）'!C:C&lt;=$L$4),ROW(),"-")</f>
        <v>-</v>
      </c>
    </row>
    <row r="35176" customHeight="1" spans="2:2">
      <c r="B35176" s="62" t="str">
        <f>IF(AND('领用录入（明细）'!D:D=$F$4,'领用录入（明细）'!C:C&gt;=$J$4,'领用录入（明细）'!C:C&lt;=$L$4),ROW(),"-")</f>
        <v>-</v>
      </c>
    </row>
    <row r="35177" customHeight="1" spans="2:2">
      <c r="B35177" s="62" t="str">
        <f>IF(AND('领用录入（明细）'!D:D=$F$4,'领用录入（明细）'!C:C&gt;=$J$4,'领用录入（明细）'!C:C&lt;=$L$4),ROW(),"-")</f>
        <v>-</v>
      </c>
    </row>
    <row r="35178" customHeight="1" spans="2:2">
      <c r="B35178" s="62" t="str">
        <f>IF(AND('领用录入（明细）'!D:D=$F$4,'领用录入（明细）'!C:C&gt;=$J$4,'领用录入（明细）'!C:C&lt;=$L$4),ROW(),"-")</f>
        <v>-</v>
      </c>
    </row>
    <row r="35179" customHeight="1" spans="2:2">
      <c r="B35179" s="62" t="str">
        <f>IF(AND('领用录入（明细）'!D:D=$F$4,'领用录入（明细）'!C:C&gt;=$J$4,'领用录入（明细）'!C:C&lt;=$L$4),ROW(),"-")</f>
        <v>-</v>
      </c>
    </row>
    <row r="35180" customHeight="1" spans="2:2">
      <c r="B35180" s="62" t="str">
        <f>IF(AND('领用录入（明细）'!D:D=$F$4,'领用录入（明细）'!C:C&gt;=$J$4,'领用录入（明细）'!C:C&lt;=$L$4),ROW(),"-")</f>
        <v>-</v>
      </c>
    </row>
    <row r="35181" customHeight="1" spans="2:2">
      <c r="B35181" s="62" t="str">
        <f>IF(AND('领用录入（明细）'!D:D=$F$4,'领用录入（明细）'!C:C&gt;=$J$4,'领用录入（明细）'!C:C&lt;=$L$4),ROW(),"-")</f>
        <v>-</v>
      </c>
    </row>
    <row r="35182" customHeight="1" spans="2:2">
      <c r="B35182" s="62" t="str">
        <f>IF(AND('领用录入（明细）'!D:D=$F$4,'领用录入（明细）'!C:C&gt;=$J$4,'领用录入（明细）'!C:C&lt;=$L$4),ROW(),"-")</f>
        <v>-</v>
      </c>
    </row>
    <row r="35183" customHeight="1" spans="2:2">
      <c r="B35183" s="62" t="str">
        <f>IF(AND('领用录入（明细）'!D:D=$F$4,'领用录入（明细）'!C:C&gt;=$J$4,'领用录入（明细）'!C:C&lt;=$L$4),ROW(),"-")</f>
        <v>-</v>
      </c>
    </row>
    <row r="35184" customHeight="1" spans="2:2">
      <c r="B35184" s="62" t="str">
        <f>IF(AND('领用录入（明细）'!D:D=$F$4,'领用录入（明细）'!C:C&gt;=$J$4,'领用录入（明细）'!C:C&lt;=$L$4),ROW(),"-")</f>
        <v>-</v>
      </c>
    </row>
    <row r="35185" customHeight="1" spans="2:2">
      <c r="B35185" s="62" t="str">
        <f>IF(AND('领用录入（明细）'!D:D=$F$4,'领用录入（明细）'!C:C&gt;=$J$4,'领用录入（明细）'!C:C&lt;=$L$4),ROW(),"-")</f>
        <v>-</v>
      </c>
    </row>
    <row r="35186" customHeight="1" spans="2:2">
      <c r="B35186" s="62" t="str">
        <f>IF(AND('领用录入（明细）'!D:D=$F$4,'领用录入（明细）'!C:C&gt;=$J$4,'领用录入（明细）'!C:C&lt;=$L$4),ROW(),"-")</f>
        <v>-</v>
      </c>
    </row>
    <row r="35187" customHeight="1" spans="2:2">
      <c r="B35187" s="62" t="str">
        <f>IF(AND('领用录入（明细）'!D:D=$F$4,'领用录入（明细）'!C:C&gt;=$J$4,'领用录入（明细）'!C:C&lt;=$L$4),ROW(),"-")</f>
        <v>-</v>
      </c>
    </row>
    <row r="35188" customHeight="1" spans="2:2">
      <c r="B35188" s="62" t="str">
        <f>IF(AND('领用录入（明细）'!D:D=$F$4,'领用录入（明细）'!C:C&gt;=$J$4,'领用录入（明细）'!C:C&lt;=$L$4),ROW(),"-")</f>
        <v>-</v>
      </c>
    </row>
    <row r="35189" customHeight="1" spans="2:2">
      <c r="B35189" s="62" t="str">
        <f>IF(AND('领用录入（明细）'!D:D=$F$4,'领用录入（明细）'!C:C&gt;=$J$4,'领用录入（明细）'!C:C&lt;=$L$4),ROW(),"-")</f>
        <v>-</v>
      </c>
    </row>
    <row r="35190" customHeight="1" spans="2:2">
      <c r="B35190" s="62" t="str">
        <f>IF(AND('领用录入（明细）'!D:D=$F$4,'领用录入（明细）'!C:C&gt;=$J$4,'领用录入（明细）'!C:C&lt;=$L$4),ROW(),"-")</f>
        <v>-</v>
      </c>
    </row>
    <row r="35191" customHeight="1" spans="2:2">
      <c r="B35191" s="62" t="str">
        <f>IF(AND('领用录入（明细）'!D:D=$F$4,'领用录入（明细）'!C:C&gt;=$J$4,'领用录入（明细）'!C:C&lt;=$L$4),ROW(),"-")</f>
        <v>-</v>
      </c>
    </row>
    <row r="35192" customHeight="1" spans="2:2">
      <c r="B35192" s="62" t="str">
        <f>IF(AND('领用录入（明细）'!D:D=$F$4,'领用录入（明细）'!C:C&gt;=$J$4,'领用录入（明细）'!C:C&lt;=$L$4),ROW(),"-")</f>
        <v>-</v>
      </c>
    </row>
    <row r="35193" customHeight="1" spans="2:2">
      <c r="B35193" s="62" t="str">
        <f>IF(AND('领用录入（明细）'!D:D=$F$4,'领用录入（明细）'!C:C&gt;=$J$4,'领用录入（明细）'!C:C&lt;=$L$4),ROW(),"-")</f>
        <v>-</v>
      </c>
    </row>
    <row r="35194" customHeight="1" spans="2:2">
      <c r="B35194" s="62" t="str">
        <f>IF(AND('领用录入（明细）'!D:D=$F$4,'领用录入（明细）'!C:C&gt;=$J$4,'领用录入（明细）'!C:C&lt;=$L$4),ROW(),"-")</f>
        <v>-</v>
      </c>
    </row>
    <row r="35195" customHeight="1" spans="2:2">
      <c r="B35195" s="62" t="str">
        <f>IF(AND('领用录入（明细）'!D:D=$F$4,'领用录入（明细）'!C:C&gt;=$J$4,'领用录入（明细）'!C:C&lt;=$L$4),ROW(),"-")</f>
        <v>-</v>
      </c>
    </row>
    <row r="35196" customHeight="1" spans="2:2">
      <c r="B35196" s="62" t="str">
        <f>IF(AND('领用录入（明细）'!D:D=$F$4,'领用录入（明细）'!C:C&gt;=$J$4,'领用录入（明细）'!C:C&lt;=$L$4),ROW(),"-")</f>
        <v>-</v>
      </c>
    </row>
    <row r="35197" customHeight="1" spans="2:2">
      <c r="B35197" s="62" t="str">
        <f>IF(AND('领用录入（明细）'!D:D=$F$4,'领用录入（明细）'!C:C&gt;=$J$4,'领用录入（明细）'!C:C&lt;=$L$4),ROW(),"-")</f>
        <v>-</v>
      </c>
    </row>
    <row r="35198" customHeight="1" spans="2:2">
      <c r="B35198" s="62" t="str">
        <f>IF(AND('领用录入（明细）'!D:D=$F$4,'领用录入（明细）'!C:C&gt;=$J$4,'领用录入（明细）'!C:C&lt;=$L$4),ROW(),"-")</f>
        <v>-</v>
      </c>
    </row>
    <row r="35199" customHeight="1" spans="2:2">
      <c r="B35199" s="62" t="str">
        <f>IF(AND('领用录入（明细）'!D:D=$F$4,'领用录入（明细）'!C:C&gt;=$J$4,'领用录入（明细）'!C:C&lt;=$L$4),ROW(),"-")</f>
        <v>-</v>
      </c>
    </row>
    <row r="35200" customHeight="1" spans="2:2">
      <c r="B35200" s="62" t="str">
        <f>IF(AND('领用录入（明细）'!D:D=$F$4,'领用录入（明细）'!C:C&gt;=$J$4,'领用录入（明细）'!C:C&lt;=$L$4),ROW(),"-")</f>
        <v>-</v>
      </c>
    </row>
    <row r="35201" customHeight="1" spans="2:2">
      <c r="B35201" s="62" t="str">
        <f>IF(AND('领用录入（明细）'!D:D=$F$4,'领用录入（明细）'!C:C&gt;=$J$4,'领用录入（明细）'!C:C&lt;=$L$4),ROW(),"-")</f>
        <v>-</v>
      </c>
    </row>
    <row r="35202" customHeight="1" spans="2:2">
      <c r="B35202" s="62" t="str">
        <f>IF(AND('领用录入（明细）'!D:D=$F$4,'领用录入（明细）'!C:C&gt;=$J$4,'领用录入（明细）'!C:C&lt;=$L$4),ROW(),"-")</f>
        <v>-</v>
      </c>
    </row>
    <row r="35203" customHeight="1" spans="2:2">
      <c r="B35203" s="62" t="str">
        <f>IF(AND('领用录入（明细）'!D:D=$F$4,'领用录入（明细）'!C:C&gt;=$J$4,'领用录入（明细）'!C:C&lt;=$L$4),ROW(),"-")</f>
        <v>-</v>
      </c>
    </row>
    <row r="35204" customHeight="1" spans="2:2">
      <c r="B35204" s="62" t="str">
        <f>IF(AND('领用录入（明细）'!D:D=$F$4,'领用录入（明细）'!C:C&gt;=$J$4,'领用录入（明细）'!C:C&lt;=$L$4),ROW(),"-")</f>
        <v>-</v>
      </c>
    </row>
    <row r="35205" customHeight="1" spans="2:2">
      <c r="B35205" s="62" t="str">
        <f>IF(AND('领用录入（明细）'!D:D=$F$4,'领用录入（明细）'!C:C&gt;=$J$4,'领用录入（明细）'!C:C&lt;=$L$4),ROW(),"-")</f>
        <v>-</v>
      </c>
    </row>
    <row r="35206" customHeight="1" spans="2:2">
      <c r="B35206" s="62" t="str">
        <f>IF(AND('领用录入（明细）'!D:D=$F$4,'领用录入（明细）'!C:C&gt;=$J$4,'领用录入（明细）'!C:C&lt;=$L$4),ROW(),"-")</f>
        <v>-</v>
      </c>
    </row>
    <row r="35207" customHeight="1" spans="2:2">
      <c r="B35207" s="62" t="str">
        <f>IF(AND('领用录入（明细）'!D:D=$F$4,'领用录入（明细）'!C:C&gt;=$J$4,'领用录入（明细）'!C:C&lt;=$L$4),ROW(),"-")</f>
        <v>-</v>
      </c>
    </row>
    <row r="35208" customHeight="1" spans="2:2">
      <c r="B35208" s="62" t="str">
        <f>IF(AND('领用录入（明细）'!D:D=$F$4,'领用录入（明细）'!C:C&gt;=$J$4,'领用录入（明细）'!C:C&lt;=$L$4),ROW(),"-")</f>
        <v>-</v>
      </c>
    </row>
    <row r="35209" customHeight="1" spans="2:2">
      <c r="B35209" s="62" t="str">
        <f>IF(AND('领用录入（明细）'!D:D=$F$4,'领用录入（明细）'!C:C&gt;=$J$4,'领用录入（明细）'!C:C&lt;=$L$4),ROW(),"-")</f>
        <v>-</v>
      </c>
    </row>
    <row r="35210" customHeight="1" spans="2:2">
      <c r="B35210" s="62" t="str">
        <f>IF(AND('领用录入（明细）'!D:D=$F$4,'领用录入（明细）'!C:C&gt;=$J$4,'领用录入（明细）'!C:C&lt;=$L$4),ROW(),"-")</f>
        <v>-</v>
      </c>
    </row>
    <row r="35211" customHeight="1" spans="2:2">
      <c r="B35211" s="62" t="str">
        <f>IF(AND('领用录入（明细）'!D:D=$F$4,'领用录入（明细）'!C:C&gt;=$J$4,'领用录入（明细）'!C:C&lt;=$L$4),ROW(),"-")</f>
        <v>-</v>
      </c>
    </row>
    <row r="35212" customHeight="1" spans="2:2">
      <c r="B35212" s="62" t="str">
        <f>IF(AND('领用录入（明细）'!D:D=$F$4,'领用录入（明细）'!C:C&gt;=$J$4,'领用录入（明细）'!C:C&lt;=$L$4),ROW(),"-")</f>
        <v>-</v>
      </c>
    </row>
    <row r="35213" customHeight="1" spans="2:2">
      <c r="B35213" s="62" t="str">
        <f>IF(AND('领用录入（明细）'!D:D=$F$4,'领用录入（明细）'!C:C&gt;=$J$4,'领用录入（明细）'!C:C&lt;=$L$4),ROW(),"-")</f>
        <v>-</v>
      </c>
    </row>
    <row r="35214" customHeight="1" spans="2:2">
      <c r="B35214" s="62" t="str">
        <f>IF(AND('领用录入（明细）'!D:D=$F$4,'领用录入（明细）'!C:C&gt;=$J$4,'领用录入（明细）'!C:C&lt;=$L$4),ROW(),"-")</f>
        <v>-</v>
      </c>
    </row>
    <row r="35215" customHeight="1" spans="2:2">
      <c r="B35215" s="62" t="str">
        <f>IF(AND('领用录入（明细）'!D:D=$F$4,'领用录入（明细）'!C:C&gt;=$J$4,'领用录入（明细）'!C:C&lt;=$L$4),ROW(),"-")</f>
        <v>-</v>
      </c>
    </row>
    <row r="35216" customHeight="1" spans="2:2">
      <c r="B35216" s="62" t="str">
        <f>IF(AND('领用录入（明细）'!D:D=$F$4,'领用录入（明细）'!C:C&gt;=$J$4,'领用录入（明细）'!C:C&lt;=$L$4),ROW(),"-")</f>
        <v>-</v>
      </c>
    </row>
    <row r="35217" customHeight="1" spans="2:2">
      <c r="B35217" s="62" t="str">
        <f>IF(AND('领用录入（明细）'!D:D=$F$4,'领用录入（明细）'!C:C&gt;=$J$4,'领用录入（明细）'!C:C&lt;=$L$4),ROW(),"-")</f>
        <v>-</v>
      </c>
    </row>
    <row r="35218" customHeight="1" spans="2:2">
      <c r="B35218" s="62" t="str">
        <f>IF(AND('领用录入（明细）'!D:D=$F$4,'领用录入（明细）'!C:C&gt;=$J$4,'领用录入（明细）'!C:C&lt;=$L$4),ROW(),"-")</f>
        <v>-</v>
      </c>
    </row>
    <row r="35219" customHeight="1" spans="2:2">
      <c r="B35219" s="62" t="str">
        <f>IF(AND('领用录入（明细）'!D:D=$F$4,'领用录入（明细）'!C:C&gt;=$J$4,'领用录入（明细）'!C:C&lt;=$L$4),ROW(),"-")</f>
        <v>-</v>
      </c>
    </row>
    <row r="35220" customHeight="1" spans="2:2">
      <c r="B35220" s="62" t="str">
        <f>IF(AND('领用录入（明细）'!D:D=$F$4,'领用录入（明细）'!C:C&gt;=$J$4,'领用录入（明细）'!C:C&lt;=$L$4),ROW(),"-")</f>
        <v>-</v>
      </c>
    </row>
    <row r="35221" customHeight="1" spans="2:2">
      <c r="B35221" s="62" t="str">
        <f>IF(AND('领用录入（明细）'!D:D=$F$4,'领用录入（明细）'!C:C&gt;=$J$4,'领用录入（明细）'!C:C&lt;=$L$4),ROW(),"-")</f>
        <v>-</v>
      </c>
    </row>
    <row r="35222" customHeight="1" spans="2:2">
      <c r="B35222" s="62" t="str">
        <f>IF(AND('领用录入（明细）'!D:D=$F$4,'领用录入（明细）'!C:C&gt;=$J$4,'领用录入（明细）'!C:C&lt;=$L$4),ROW(),"-")</f>
        <v>-</v>
      </c>
    </row>
    <row r="35223" customHeight="1" spans="2:2">
      <c r="B35223" s="62" t="str">
        <f>IF(AND('领用录入（明细）'!D:D=$F$4,'领用录入（明细）'!C:C&gt;=$J$4,'领用录入（明细）'!C:C&lt;=$L$4),ROW(),"-")</f>
        <v>-</v>
      </c>
    </row>
    <row r="35224" customHeight="1" spans="2:2">
      <c r="B35224" s="62" t="str">
        <f>IF(AND('领用录入（明细）'!D:D=$F$4,'领用录入（明细）'!C:C&gt;=$J$4,'领用录入（明细）'!C:C&lt;=$L$4),ROW(),"-")</f>
        <v>-</v>
      </c>
    </row>
    <row r="35225" customHeight="1" spans="2:2">
      <c r="B35225" s="62" t="str">
        <f>IF(AND('领用录入（明细）'!D:D=$F$4,'领用录入（明细）'!C:C&gt;=$J$4,'领用录入（明细）'!C:C&lt;=$L$4),ROW(),"-")</f>
        <v>-</v>
      </c>
    </row>
    <row r="35226" customHeight="1" spans="2:2">
      <c r="B35226" s="62" t="str">
        <f>IF(AND('领用录入（明细）'!D:D=$F$4,'领用录入（明细）'!C:C&gt;=$J$4,'领用录入（明细）'!C:C&lt;=$L$4),ROW(),"-")</f>
        <v>-</v>
      </c>
    </row>
    <row r="35227" customHeight="1" spans="2:2">
      <c r="B35227" s="62" t="str">
        <f>IF(AND('领用录入（明细）'!D:D=$F$4,'领用录入（明细）'!C:C&gt;=$J$4,'领用录入（明细）'!C:C&lt;=$L$4),ROW(),"-")</f>
        <v>-</v>
      </c>
    </row>
    <row r="35228" customHeight="1" spans="2:2">
      <c r="B35228" s="62" t="str">
        <f>IF(AND('领用录入（明细）'!D:D=$F$4,'领用录入（明细）'!C:C&gt;=$J$4,'领用录入（明细）'!C:C&lt;=$L$4),ROW(),"-")</f>
        <v>-</v>
      </c>
    </row>
    <row r="35229" customHeight="1" spans="2:2">
      <c r="B35229" s="62" t="str">
        <f>IF(AND('领用录入（明细）'!D:D=$F$4,'领用录入（明细）'!C:C&gt;=$J$4,'领用录入（明细）'!C:C&lt;=$L$4),ROW(),"-")</f>
        <v>-</v>
      </c>
    </row>
    <row r="35230" customHeight="1" spans="2:2">
      <c r="B35230" s="62" t="str">
        <f>IF(AND('领用录入（明细）'!D:D=$F$4,'领用录入（明细）'!C:C&gt;=$J$4,'领用录入（明细）'!C:C&lt;=$L$4),ROW(),"-")</f>
        <v>-</v>
      </c>
    </row>
    <row r="35231" customHeight="1" spans="2:2">
      <c r="B35231" s="62" t="str">
        <f>IF(AND('领用录入（明细）'!D:D=$F$4,'领用录入（明细）'!C:C&gt;=$J$4,'领用录入（明细）'!C:C&lt;=$L$4),ROW(),"-")</f>
        <v>-</v>
      </c>
    </row>
    <row r="35232" customHeight="1" spans="2:2">
      <c r="B35232" s="62" t="str">
        <f>IF(AND('领用录入（明细）'!D:D=$F$4,'领用录入（明细）'!C:C&gt;=$J$4,'领用录入（明细）'!C:C&lt;=$L$4),ROW(),"-")</f>
        <v>-</v>
      </c>
    </row>
    <row r="35233" customHeight="1" spans="2:2">
      <c r="B35233" s="62" t="str">
        <f>IF(AND('领用录入（明细）'!D:D=$F$4,'领用录入（明细）'!C:C&gt;=$J$4,'领用录入（明细）'!C:C&lt;=$L$4),ROW(),"-")</f>
        <v>-</v>
      </c>
    </row>
    <row r="35234" customHeight="1" spans="2:2">
      <c r="B35234" s="62" t="str">
        <f>IF(AND('领用录入（明细）'!D:D=$F$4,'领用录入（明细）'!C:C&gt;=$J$4,'领用录入（明细）'!C:C&lt;=$L$4),ROW(),"-")</f>
        <v>-</v>
      </c>
    </row>
    <row r="35235" customHeight="1" spans="2:2">
      <c r="B35235" s="62" t="str">
        <f>IF(AND('领用录入（明细）'!D:D=$F$4,'领用录入（明细）'!C:C&gt;=$J$4,'领用录入（明细）'!C:C&lt;=$L$4),ROW(),"-")</f>
        <v>-</v>
      </c>
    </row>
    <row r="35236" customHeight="1" spans="2:2">
      <c r="B35236" s="62" t="str">
        <f>IF(AND('领用录入（明细）'!D:D=$F$4,'领用录入（明细）'!C:C&gt;=$J$4,'领用录入（明细）'!C:C&lt;=$L$4),ROW(),"-")</f>
        <v>-</v>
      </c>
    </row>
    <row r="35237" customHeight="1" spans="2:2">
      <c r="B35237" s="62" t="str">
        <f>IF(AND('领用录入（明细）'!D:D=$F$4,'领用录入（明细）'!C:C&gt;=$J$4,'领用录入（明细）'!C:C&lt;=$L$4),ROW(),"-")</f>
        <v>-</v>
      </c>
    </row>
    <row r="35238" customHeight="1" spans="2:2">
      <c r="B35238" s="62" t="str">
        <f>IF(AND('领用录入（明细）'!D:D=$F$4,'领用录入（明细）'!C:C&gt;=$J$4,'领用录入（明细）'!C:C&lt;=$L$4),ROW(),"-")</f>
        <v>-</v>
      </c>
    </row>
    <row r="35239" customHeight="1" spans="2:2">
      <c r="B35239" s="62" t="str">
        <f>IF(AND('领用录入（明细）'!D:D=$F$4,'领用录入（明细）'!C:C&gt;=$J$4,'领用录入（明细）'!C:C&lt;=$L$4),ROW(),"-")</f>
        <v>-</v>
      </c>
    </row>
    <row r="35240" customHeight="1" spans="2:2">
      <c r="B35240" s="62" t="str">
        <f>IF(AND('领用录入（明细）'!D:D=$F$4,'领用录入（明细）'!C:C&gt;=$J$4,'领用录入（明细）'!C:C&lt;=$L$4),ROW(),"-")</f>
        <v>-</v>
      </c>
    </row>
    <row r="35241" customHeight="1" spans="2:2">
      <c r="B35241" s="62" t="str">
        <f>IF(AND('领用录入（明细）'!D:D=$F$4,'领用录入（明细）'!C:C&gt;=$J$4,'领用录入（明细）'!C:C&lt;=$L$4),ROW(),"-")</f>
        <v>-</v>
      </c>
    </row>
    <row r="35242" customHeight="1" spans="2:2">
      <c r="B35242" s="62" t="str">
        <f>IF(AND('领用录入（明细）'!D:D=$F$4,'领用录入（明细）'!C:C&gt;=$J$4,'领用录入（明细）'!C:C&lt;=$L$4),ROW(),"-")</f>
        <v>-</v>
      </c>
    </row>
    <row r="35243" customHeight="1" spans="2:2">
      <c r="B35243" s="62" t="str">
        <f>IF(AND('领用录入（明细）'!D:D=$F$4,'领用录入（明细）'!C:C&gt;=$J$4,'领用录入（明细）'!C:C&lt;=$L$4),ROW(),"-")</f>
        <v>-</v>
      </c>
    </row>
    <row r="35244" customHeight="1" spans="2:2">
      <c r="B35244" s="62" t="str">
        <f>IF(AND('领用录入（明细）'!D:D=$F$4,'领用录入（明细）'!C:C&gt;=$J$4,'领用录入（明细）'!C:C&lt;=$L$4),ROW(),"-")</f>
        <v>-</v>
      </c>
    </row>
    <row r="35245" customHeight="1" spans="2:2">
      <c r="B35245" s="62" t="str">
        <f>IF(AND('领用录入（明细）'!D:D=$F$4,'领用录入（明细）'!C:C&gt;=$J$4,'领用录入（明细）'!C:C&lt;=$L$4),ROW(),"-")</f>
        <v>-</v>
      </c>
    </row>
    <row r="35246" customHeight="1" spans="2:2">
      <c r="B35246" s="62" t="str">
        <f>IF(AND('领用录入（明细）'!D:D=$F$4,'领用录入（明细）'!C:C&gt;=$J$4,'领用录入（明细）'!C:C&lt;=$L$4),ROW(),"-")</f>
        <v>-</v>
      </c>
    </row>
    <row r="35247" customHeight="1" spans="2:2">
      <c r="B35247" s="62" t="str">
        <f>IF(AND('领用录入（明细）'!D:D=$F$4,'领用录入（明细）'!C:C&gt;=$J$4,'领用录入（明细）'!C:C&lt;=$L$4),ROW(),"-")</f>
        <v>-</v>
      </c>
    </row>
    <row r="35248" customHeight="1" spans="2:2">
      <c r="B35248" s="62" t="str">
        <f>IF(AND('领用录入（明细）'!D:D=$F$4,'领用录入（明细）'!C:C&gt;=$J$4,'领用录入（明细）'!C:C&lt;=$L$4),ROW(),"-")</f>
        <v>-</v>
      </c>
    </row>
    <row r="35249" customHeight="1" spans="2:2">
      <c r="B35249" s="62" t="str">
        <f>IF(AND('领用录入（明细）'!D:D=$F$4,'领用录入（明细）'!C:C&gt;=$J$4,'领用录入（明细）'!C:C&lt;=$L$4),ROW(),"-")</f>
        <v>-</v>
      </c>
    </row>
    <row r="35250" customHeight="1" spans="2:2">
      <c r="B35250" s="62" t="str">
        <f>IF(AND('领用录入（明细）'!D:D=$F$4,'领用录入（明细）'!C:C&gt;=$J$4,'领用录入（明细）'!C:C&lt;=$L$4),ROW(),"-")</f>
        <v>-</v>
      </c>
    </row>
    <row r="35251" customHeight="1" spans="2:2">
      <c r="B35251" s="62" t="str">
        <f>IF(AND('领用录入（明细）'!D:D=$F$4,'领用录入（明细）'!C:C&gt;=$J$4,'领用录入（明细）'!C:C&lt;=$L$4),ROW(),"-")</f>
        <v>-</v>
      </c>
    </row>
    <row r="35252" customHeight="1" spans="2:2">
      <c r="B35252" s="62" t="str">
        <f>IF(AND('领用录入（明细）'!D:D=$F$4,'领用录入（明细）'!C:C&gt;=$J$4,'领用录入（明细）'!C:C&lt;=$L$4),ROW(),"-")</f>
        <v>-</v>
      </c>
    </row>
    <row r="35253" customHeight="1" spans="2:2">
      <c r="B35253" s="62" t="str">
        <f>IF(AND('领用录入（明细）'!D:D=$F$4,'领用录入（明细）'!C:C&gt;=$J$4,'领用录入（明细）'!C:C&lt;=$L$4),ROW(),"-")</f>
        <v>-</v>
      </c>
    </row>
    <row r="35254" customHeight="1" spans="2:2">
      <c r="B35254" s="62" t="str">
        <f>IF(AND('领用录入（明细）'!D:D=$F$4,'领用录入（明细）'!C:C&gt;=$J$4,'领用录入（明细）'!C:C&lt;=$L$4),ROW(),"-")</f>
        <v>-</v>
      </c>
    </row>
    <row r="35255" customHeight="1" spans="2:2">
      <c r="B35255" s="62" t="str">
        <f>IF(AND('领用录入（明细）'!D:D=$F$4,'领用录入（明细）'!C:C&gt;=$J$4,'领用录入（明细）'!C:C&lt;=$L$4),ROW(),"-")</f>
        <v>-</v>
      </c>
    </row>
    <row r="35256" customHeight="1" spans="2:2">
      <c r="B35256" s="62" t="str">
        <f>IF(AND('领用录入（明细）'!D:D=$F$4,'领用录入（明细）'!C:C&gt;=$J$4,'领用录入（明细）'!C:C&lt;=$L$4),ROW(),"-")</f>
        <v>-</v>
      </c>
    </row>
    <row r="35257" customHeight="1" spans="2:2">
      <c r="B35257" s="62" t="str">
        <f>IF(AND('领用录入（明细）'!D:D=$F$4,'领用录入（明细）'!C:C&gt;=$J$4,'领用录入（明细）'!C:C&lt;=$L$4),ROW(),"-")</f>
        <v>-</v>
      </c>
    </row>
    <row r="35258" customHeight="1" spans="2:2">
      <c r="B35258" s="62" t="str">
        <f>IF(AND('领用录入（明细）'!D:D=$F$4,'领用录入（明细）'!C:C&gt;=$J$4,'领用录入（明细）'!C:C&lt;=$L$4),ROW(),"-")</f>
        <v>-</v>
      </c>
    </row>
    <row r="35259" customHeight="1" spans="2:2">
      <c r="B35259" s="62" t="str">
        <f>IF(AND('领用录入（明细）'!D:D=$F$4,'领用录入（明细）'!C:C&gt;=$J$4,'领用录入（明细）'!C:C&lt;=$L$4),ROW(),"-")</f>
        <v>-</v>
      </c>
    </row>
    <row r="35260" customHeight="1" spans="2:2">
      <c r="B35260" s="62" t="str">
        <f>IF(AND('领用录入（明细）'!D:D=$F$4,'领用录入（明细）'!C:C&gt;=$J$4,'领用录入（明细）'!C:C&lt;=$L$4),ROW(),"-")</f>
        <v>-</v>
      </c>
    </row>
    <row r="35261" customHeight="1" spans="2:2">
      <c r="B35261" s="62" t="str">
        <f>IF(AND('领用录入（明细）'!D:D=$F$4,'领用录入（明细）'!C:C&gt;=$J$4,'领用录入（明细）'!C:C&lt;=$L$4),ROW(),"-")</f>
        <v>-</v>
      </c>
    </row>
    <row r="35262" customHeight="1" spans="2:2">
      <c r="B35262" s="62" t="str">
        <f>IF(AND('领用录入（明细）'!D:D=$F$4,'领用录入（明细）'!C:C&gt;=$J$4,'领用录入（明细）'!C:C&lt;=$L$4),ROW(),"-")</f>
        <v>-</v>
      </c>
    </row>
    <row r="35263" customHeight="1" spans="2:2">
      <c r="B35263" s="62" t="str">
        <f>IF(AND('领用录入（明细）'!D:D=$F$4,'领用录入（明细）'!C:C&gt;=$J$4,'领用录入（明细）'!C:C&lt;=$L$4),ROW(),"-")</f>
        <v>-</v>
      </c>
    </row>
    <row r="35264" customHeight="1" spans="2:2">
      <c r="B35264" s="62" t="str">
        <f>IF(AND('领用录入（明细）'!D:D=$F$4,'领用录入（明细）'!C:C&gt;=$J$4,'领用录入（明细）'!C:C&lt;=$L$4),ROW(),"-")</f>
        <v>-</v>
      </c>
    </row>
    <row r="35265" customHeight="1" spans="2:2">
      <c r="B35265" s="62" t="str">
        <f>IF(AND('领用录入（明细）'!D:D=$F$4,'领用录入（明细）'!C:C&gt;=$J$4,'领用录入（明细）'!C:C&lt;=$L$4),ROW(),"-")</f>
        <v>-</v>
      </c>
    </row>
    <row r="35266" customHeight="1" spans="2:2">
      <c r="B35266" s="62" t="str">
        <f>IF(AND('领用录入（明细）'!D:D=$F$4,'领用录入（明细）'!C:C&gt;=$J$4,'领用录入（明细）'!C:C&lt;=$L$4),ROW(),"-")</f>
        <v>-</v>
      </c>
    </row>
    <row r="35267" customHeight="1" spans="2:2">
      <c r="B35267" s="62" t="str">
        <f>IF(AND('领用录入（明细）'!D:D=$F$4,'领用录入（明细）'!C:C&gt;=$J$4,'领用录入（明细）'!C:C&lt;=$L$4),ROW(),"-")</f>
        <v>-</v>
      </c>
    </row>
    <row r="35268" customHeight="1" spans="2:2">
      <c r="B35268" s="62" t="str">
        <f>IF(AND('领用录入（明细）'!D:D=$F$4,'领用录入（明细）'!C:C&gt;=$J$4,'领用录入（明细）'!C:C&lt;=$L$4),ROW(),"-")</f>
        <v>-</v>
      </c>
    </row>
    <row r="35269" customHeight="1" spans="2:2">
      <c r="B35269" s="62" t="str">
        <f>IF(AND('领用录入（明细）'!D:D=$F$4,'领用录入（明细）'!C:C&gt;=$J$4,'领用录入（明细）'!C:C&lt;=$L$4),ROW(),"-")</f>
        <v>-</v>
      </c>
    </row>
    <row r="35270" customHeight="1" spans="2:2">
      <c r="B35270" s="62" t="str">
        <f>IF(AND('领用录入（明细）'!D:D=$F$4,'领用录入（明细）'!C:C&gt;=$J$4,'领用录入（明细）'!C:C&lt;=$L$4),ROW(),"-")</f>
        <v>-</v>
      </c>
    </row>
    <row r="35271" customHeight="1" spans="2:2">
      <c r="B35271" s="62" t="str">
        <f>IF(AND('领用录入（明细）'!D:D=$F$4,'领用录入（明细）'!C:C&gt;=$J$4,'领用录入（明细）'!C:C&lt;=$L$4),ROW(),"-")</f>
        <v>-</v>
      </c>
    </row>
    <row r="35272" customHeight="1" spans="2:2">
      <c r="B35272" s="62" t="str">
        <f>IF(AND('领用录入（明细）'!D:D=$F$4,'领用录入（明细）'!C:C&gt;=$J$4,'领用录入（明细）'!C:C&lt;=$L$4),ROW(),"-")</f>
        <v>-</v>
      </c>
    </row>
    <row r="35273" customHeight="1" spans="2:2">
      <c r="B35273" s="62" t="str">
        <f>IF(AND('领用录入（明细）'!D:D=$F$4,'领用录入（明细）'!C:C&gt;=$J$4,'领用录入（明细）'!C:C&lt;=$L$4),ROW(),"-")</f>
        <v>-</v>
      </c>
    </row>
    <row r="35274" customHeight="1" spans="2:2">
      <c r="B35274" s="62" t="str">
        <f>IF(AND('领用录入（明细）'!D:D=$F$4,'领用录入（明细）'!C:C&gt;=$J$4,'领用录入（明细）'!C:C&lt;=$L$4),ROW(),"-")</f>
        <v>-</v>
      </c>
    </row>
    <row r="35275" customHeight="1" spans="2:2">
      <c r="B35275" s="62" t="str">
        <f>IF(AND('领用录入（明细）'!D:D=$F$4,'领用录入（明细）'!C:C&gt;=$J$4,'领用录入（明细）'!C:C&lt;=$L$4),ROW(),"-")</f>
        <v>-</v>
      </c>
    </row>
    <row r="35276" customHeight="1" spans="2:2">
      <c r="B35276" s="62" t="str">
        <f>IF(AND('领用录入（明细）'!D:D=$F$4,'领用录入（明细）'!C:C&gt;=$J$4,'领用录入（明细）'!C:C&lt;=$L$4),ROW(),"-")</f>
        <v>-</v>
      </c>
    </row>
    <row r="35277" customHeight="1" spans="2:2">
      <c r="B35277" s="62" t="str">
        <f>IF(AND('领用录入（明细）'!D:D=$F$4,'领用录入（明细）'!C:C&gt;=$J$4,'领用录入（明细）'!C:C&lt;=$L$4),ROW(),"-")</f>
        <v>-</v>
      </c>
    </row>
    <row r="35278" customHeight="1" spans="2:2">
      <c r="B35278" s="62" t="str">
        <f>IF(AND('领用录入（明细）'!D:D=$F$4,'领用录入（明细）'!C:C&gt;=$J$4,'领用录入（明细）'!C:C&lt;=$L$4),ROW(),"-")</f>
        <v>-</v>
      </c>
    </row>
    <row r="35279" customHeight="1" spans="2:2">
      <c r="B35279" s="62" t="str">
        <f>IF(AND('领用录入（明细）'!D:D=$F$4,'领用录入（明细）'!C:C&gt;=$J$4,'领用录入（明细）'!C:C&lt;=$L$4),ROW(),"-")</f>
        <v>-</v>
      </c>
    </row>
    <row r="35280" customHeight="1" spans="2:2">
      <c r="B35280" s="62" t="str">
        <f>IF(AND('领用录入（明细）'!D:D=$F$4,'领用录入（明细）'!C:C&gt;=$J$4,'领用录入（明细）'!C:C&lt;=$L$4),ROW(),"-")</f>
        <v>-</v>
      </c>
    </row>
    <row r="35281" customHeight="1" spans="2:2">
      <c r="B35281" s="62" t="str">
        <f>IF(AND('领用录入（明细）'!D:D=$F$4,'领用录入（明细）'!C:C&gt;=$J$4,'领用录入（明细）'!C:C&lt;=$L$4),ROW(),"-")</f>
        <v>-</v>
      </c>
    </row>
    <row r="35282" customHeight="1" spans="2:2">
      <c r="B35282" s="62" t="str">
        <f>IF(AND('领用录入（明细）'!D:D=$F$4,'领用录入（明细）'!C:C&gt;=$J$4,'领用录入（明细）'!C:C&lt;=$L$4),ROW(),"-")</f>
        <v>-</v>
      </c>
    </row>
    <row r="35283" customHeight="1" spans="2:2">
      <c r="B35283" s="62" t="str">
        <f>IF(AND('领用录入（明细）'!D:D=$F$4,'领用录入（明细）'!C:C&gt;=$J$4,'领用录入（明细）'!C:C&lt;=$L$4),ROW(),"-")</f>
        <v>-</v>
      </c>
    </row>
    <row r="35284" customHeight="1" spans="2:2">
      <c r="B35284" s="62" t="str">
        <f>IF(AND('领用录入（明细）'!D:D=$F$4,'领用录入（明细）'!C:C&gt;=$J$4,'领用录入（明细）'!C:C&lt;=$L$4),ROW(),"-")</f>
        <v>-</v>
      </c>
    </row>
    <row r="35285" customHeight="1" spans="2:2">
      <c r="B35285" s="62" t="str">
        <f>IF(AND('领用录入（明细）'!D:D=$F$4,'领用录入（明细）'!C:C&gt;=$J$4,'领用录入（明细）'!C:C&lt;=$L$4),ROW(),"-")</f>
        <v>-</v>
      </c>
    </row>
    <row r="35286" customHeight="1" spans="2:2">
      <c r="B35286" s="62" t="str">
        <f>IF(AND('领用录入（明细）'!D:D=$F$4,'领用录入（明细）'!C:C&gt;=$J$4,'领用录入（明细）'!C:C&lt;=$L$4),ROW(),"-")</f>
        <v>-</v>
      </c>
    </row>
    <row r="35287" customHeight="1" spans="2:2">
      <c r="B35287" s="62" t="str">
        <f>IF(AND('领用录入（明细）'!D:D=$F$4,'领用录入（明细）'!C:C&gt;=$J$4,'领用录入（明细）'!C:C&lt;=$L$4),ROW(),"-")</f>
        <v>-</v>
      </c>
    </row>
    <row r="35288" customHeight="1" spans="2:2">
      <c r="B35288" s="62" t="str">
        <f>IF(AND('领用录入（明细）'!D:D=$F$4,'领用录入（明细）'!C:C&gt;=$J$4,'领用录入（明细）'!C:C&lt;=$L$4),ROW(),"-")</f>
        <v>-</v>
      </c>
    </row>
    <row r="35289" customHeight="1" spans="2:2">
      <c r="B35289" s="62" t="str">
        <f>IF(AND('领用录入（明细）'!D:D=$F$4,'领用录入（明细）'!C:C&gt;=$J$4,'领用录入（明细）'!C:C&lt;=$L$4),ROW(),"-")</f>
        <v>-</v>
      </c>
    </row>
    <row r="35290" customHeight="1" spans="2:2">
      <c r="B35290" s="62" t="str">
        <f>IF(AND('领用录入（明细）'!D:D=$F$4,'领用录入（明细）'!C:C&gt;=$J$4,'领用录入（明细）'!C:C&lt;=$L$4),ROW(),"-")</f>
        <v>-</v>
      </c>
    </row>
    <row r="35291" customHeight="1" spans="2:2">
      <c r="B35291" s="62" t="str">
        <f>IF(AND('领用录入（明细）'!D:D=$F$4,'领用录入（明细）'!C:C&gt;=$J$4,'领用录入（明细）'!C:C&lt;=$L$4),ROW(),"-")</f>
        <v>-</v>
      </c>
    </row>
    <row r="35292" customHeight="1" spans="2:2">
      <c r="B35292" s="62" t="str">
        <f>IF(AND('领用录入（明细）'!D:D=$F$4,'领用录入（明细）'!C:C&gt;=$J$4,'领用录入（明细）'!C:C&lt;=$L$4),ROW(),"-")</f>
        <v>-</v>
      </c>
    </row>
    <row r="35293" customHeight="1" spans="2:2">
      <c r="B35293" s="62" t="str">
        <f>IF(AND('领用录入（明细）'!D:D=$F$4,'领用录入（明细）'!C:C&gt;=$J$4,'领用录入（明细）'!C:C&lt;=$L$4),ROW(),"-")</f>
        <v>-</v>
      </c>
    </row>
    <row r="35294" customHeight="1" spans="2:2">
      <c r="B35294" s="62" t="str">
        <f>IF(AND('领用录入（明细）'!D:D=$F$4,'领用录入（明细）'!C:C&gt;=$J$4,'领用录入（明细）'!C:C&lt;=$L$4),ROW(),"-")</f>
        <v>-</v>
      </c>
    </row>
    <row r="35295" customHeight="1" spans="2:2">
      <c r="B35295" s="62" t="str">
        <f>IF(AND('领用录入（明细）'!D:D=$F$4,'领用录入（明细）'!C:C&gt;=$J$4,'领用录入（明细）'!C:C&lt;=$L$4),ROW(),"-")</f>
        <v>-</v>
      </c>
    </row>
    <row r="35296" customHeight="1" spans="2:2">
      <c r="B35296" s="62" t="str">
        <f>IF(AND('领用录入（明细）'!D:D=$F$4,'领用录入（明细）'!C:C&gt;=$J$4,'领用录入（明细）'!C:C&lt;=$L$4),ROW(),"-")</f>
        <v>-</v>
      </c>
    </row>
    <row r="35297" customHeight="1" spans="2:2">
      <c r="B35297" s="62" t="str">
        <f>IF(AND('领用录入（明细）'!D:D=$F$4,'领用录入（明细）'!C:C&gt;=$J$4,'领用录入（明细）'!C:C&lt;=$L$4),ROW(),"-")</f>
        <v>-</v>
      </c>
    </row>
    <row r="35298" customHeight="1" spans="2:2">
      <c r="B35298" s="62" t="str">
        <f>IF(AND('领用录入（明细）'!D:D=$F$4,'领用录入（明细）'!C:C&gt;=$J$4,'领用录入（明细）'!C:C&lt;=$L$4),ROW(),"-")</f>
        <v>-</v>
      </c>
    </row>
    <row r="35299" customHeight="1" spans="2:2">
      <c r="B35299" s="62" t="str">
        <f>IF(AND('领用录入（明细）'!D:D=$F$4,'领用录入（明细）'!C:C&gt;=$J$4,'领用录入（明细）'!C:C&lt;=$L$4),ROW(),"-")</f>
        <v>-</v>
      </c>
    </row>
    <row r="35300" customHeight="1" spans="2:2">
      <c r="B35300" s="62" t="str">
        <f>IF(AND('领用录入（明细）'!D:D=$F$4,'领用录入（明细）'!C:C&gt;=$J$4,'领用录入（明细）'!C:C&lt;=$L$4),ROW(),"-")</f>
        <v>-</v>
      </c>
    </row>
    <row r="35301" customHeight="1" spans="2:2">
      <c r="B35301" s="62" t="str">
        <f>IF(AND('领用录入（明细）'!D:D=$F$4,'领用录入（明细）'!C:C&gt;=$J$4,'领用录入（明细）'!C:C&lt;=$L$4),ROW(),"-")</f>
        <v>-</v>
      </c>
    </row>
    <row r="35302" customHeight="1" spans="2:2">
      <c r="B35302" s="62" t="str">
        <f>IF(AND('领用录入（明细）'!D:D=$F$4,'领用录入（明细）'!C:C&gt;=$J$4,'领用录入（明细）'!C:C&lt;=$L$4),ROW(),"-")</f>
        <v>-</v>
      </c>
    </row>
    <row r="35303" customHeight="1" spans="2:2">
      <c r="B35303" s="62" t="str">
        <f>IF(AND('领用录入（明细）'!D:D=$F$4,'领用录入（明细）'!C:C&gt;=$J$4,'领用录入（明细）'!C:C&lt;=$L$4),ROW(),"-")</f>
        <v>-</v>
      </c>
    </row>
    <row r="35304" customHeight="1" spans="2:2">
      <c r="B35304" s="62" t="str">
        <f>IF(AND('领用录入（明细）'!D:D=$F$4,'领用录入（明细）'!C:C&gt;=$J$4,'领用录入（明细）'!C:C&lt;=$L$4),ROW(),"-")</f>
        <v>-</v>
      </c>
    </row>
    <row r="35305" customHeight="1" spans="2:2">
      <c r="B35305" s="62" t="str">
        <f>IF(AND('领用录入（明细）'!D:D=$F$4,'领用录入（明细）'!C:C&gt;=$J$4,'领用录入（明细）'!C:C&lt;=$L$4),ROW(),"-")</f>
        <v>-</v>
      </c>
    </row>
    <row r="35306" customHeight="1" spans="2:2">
      <c r="B35306" s="62" t="str">
        <f>IF(AND('领用录入（明细）'!D:D=$F$4,'领用录入（明细）'!C:C&gt;=$J$4,'领用录入（明细）'!C:C&lt;=$L$4),ROW(),"-")</f>
        <v>-</v>
      </c>
    </row>
    <row r="35307" customHeight="1" spans="2:2">
      <c r="B35307" s="62" t="str">
        <f>IF(AND('领用录入（明细）'!D:D=$F$4,'领用录入（明细）'!C:C&gt;=$J$4,'领用录入（明细）'!C:C&lt;=$L$4),ROW(),"-")</f>
        <v>-</v>
      </c>
    </row>
    <row r="35308" customHeight="1" spans="2:2">
      <c r="B35308" s="62" t="str">
        <f>IF(AND('领用录入（明细）'!D:D=$F$4,'领用录入（明细）'!C:C&gt;=$J$4,'领用录入（明细）'!C:C&lt;=$L$4),ROW(),"-")</f>
        <v>-</v>
      </c>
    </row>
    <row r="35309" customHeight="1" spans="2:2">
      <c r="B35309" s="62" t="str">
        <f>IF(AND('领用录入（明细）'!D:D=$F$4,'领用录入（明细）'!C:C&gt;=$J$4,'领用录入（明细）'!C:C&lt;=$L$4),ROW(),"-")</f>
        <v>-</v>
      </c>
    </row>
    <row r="35310" customHeight="1" spans="2:2">
      <c r="B35310" s="62" t="str">
        <f>IF(AND('领用录入（明细）'!D:D=$F$4,'领用录入（明细）'!C:C&gt;=$J$4,'领用录入（明细）'!C:C&lt;=$L$4),ROW(),"-")</f>
        <v>-</v>
      </c>
    </row>
    <row r="35311" customHeight="1" spans="2:2">
      <c r="B35311" s="62" t="str">
        <f>IF(AND('领用录入（明细）'!D:D=$F$4,'领用录入（明细）'!C:C&gt;=$J$4,'领用录入（明细）'!C:C&lt;=$L$4),ROW(),"-")</f>
        <v>-</v>
      </c>
    </row>
    <row r="35312" customHeight="1" spans="2:2">
      <c r="B35312" s="62" t="str">
        <f>IF(AND('领用录入（明细）'!D:D=$F$4,'领用录入（明细）'!C:C&gt;=$J$4,'领用录入（明细）'!C:C&lt;=$L$4),ROW(),"-")</f>
        <v>-</v>
      </c>
    </row>
    <row r="35313" customHeight="1" spans="2:2">
      <c r="B35313" s="62" t="str">
        <f>IF(AND('领用录入（明细）'!D:D=$F$4,'领用录入（明细）'!C:C&gt;=$J$4,'领用录入（明细）'!C:C&lt;=$L$4),ROW(),"-")</f>
        <v>-</v>
      </c>
    </row>
    <row r="35314" customHeight="1" spans="2:2">
      <c r="B35314" s="62" t="str">
        <f>IF(AND('领用录入（明细）'!D:D=$F$4,'领用录入（明细）'!C:C&gt;=$J$4,'领用录入（明细）'!C:C&lt;=$L$4),ROW(),"-")</f>
        <v>-</v>
      </c>
    </row>
    <row r="35315" customHeight="1" spans="2:2">
      <c r="B35315" s="62" t="str">
        <f>IF(AND('领用录入（明细）'!D:D=$F$4,'领用录入（明细）'!C:C&gt;=$J$4,'领用录入（明细）'!C:C&lt;=$L$4),ROW(),"-")</f>
        <v>-</v>
      </c>
    </row>
    <row r="35316" customHeight="1" spans="2:2">
      <c r="B35316" s="62" t="str">
        <f>IF(AND('领用录入（明细）'!D:D=$F$4,'领用录入（明细）'!C:C&gt;=$J$4,'领用录入（明细）'!C:C&lt;=$L$4),ROW(),"-")</f>
        <v>-</v>
      </c>
    </row>
    <row r="35317" customHeight="1" spans="2:2">
      <c r="B35317" s="62" t="str">
        <f>IF(AND('领用录入（明细）'!D:D=$F$4,'领用录入（明细）'!C:C&gt;=$J$4,'领用录入（明细）'!C:C&lt;=$L$4),ROW(),"-")</f>
        <v>-</v>
      </c>
    </row>
    <row r="35318" customHeight="1" spans="2:2">
      <c r="B35318" s="62" t="str">
        <f>IF(AND('领用录入（明细）'!D:D=$F$4,'领用录入（明细）'!C:C&gt;=$J$4,'领用录入（明细）'!C:C&lt;=$L$4),ROW(),"-")</f>
        <v>-</v>
      </c>
    </row>
    <row r="35319" customHeight="1" spans="2:2">
      <c r="B35319" s="62" t="str">
        <f>IF(AND('领用录入（明细）'!D:D=$F$4,'领用录入（明细）'!C:C&gt;=$J$4,'领用录入（明细）'!C:C&lt;=$L$4),ROW(),"-")</f>
        <v>-</v>
      </c>
    </row>
    <row r="35320" customHeight="1" spans="2:2">
      <c r="B35320" s="62" t="str">
        <f>IF(AND('领用录入（明细）'!D:D=$F$4,'领用录入（明细）'!C:C&gt;=$J$4,'领用录入（明细）'!C:C&lt;=$L$4),ROW(),"-")</f>
        <v>-</v>
      </c>
    </row>
    <row r="35321" customHeight="1" spans="2:2">
      <c r="B35321" s="62" t="str">
        <f>IF(AND('领用录入（明细）'!D:D=$F$4,'领用录入（明细）'!C:C&gt;=$J$4,'领用录入（明细）'!C:C&lt;=$L$4),ROW(),"-")</f>
        <v>-</v>
      </c>
    </row>
    <row r="35322" customHeight="1" spans="2:2">
      <c r="B35322" s="62" t="str">
        <f>IF(AND('领用录入（明细）'!D:D=$F$4,'领用录入（明细）'!C:C&gt;=$J$4,'领用录入（明细）'!C:C&lt;=$L$4),ROW(),"-")</f>
        <v>-</v>
      </c>
    </row>
    <row r="35323" customHeight="1" spans="2:2">
      <c r="B35323" s="62" t="str">
        <f>IF(AND('领用录入（明细）'!D:D=$F$4,'领用录入（明细）'!C:C&gt;=$J$4,'领用录入（明细）'!C:C&lt;=$L$4),ROW(),"-")</f>
        <v>-</v>
      </c>
    </row>
    <row r="35324" customHeight="1" spans="2:2">
      <c r="B35324" s="62" t="str">
        <f>IF(AND('领用录入（明细）'!D:D=$F$4,'领用录入（明细）'!C:C&gt;=$J$4,'领用录入（明细）'!C:C&lt;=$L$4),ROW(),"-")</f>
        <v>-</v>
      </c>
    </row>
    <row r="35325" customHeight="1" spans="2:2">
      <c r="B35325" s="62" t="str">
        <f>IF(AND('领用录入（明细）'!D:D=$F$4,'领用录入（明细）'!C:C&gt;=$J$4,'领用录入（明细）'!C:C&lt;=$L$4),ROW(),"-")</f>
        <v>-</v>
      </c>
    </row>
    <row r="35326" customHeight="1" spans="2:2">
      <c r="B35326" s="62" t="str">
        <f>IF(AND('领用录入（明细）'!D:D=$F$4,'领用录入（明细）'!C:C&gt;=$J$4,'领用录入（明细）'!C:C&lt;=$L$4),ROW(),"-")</f>
        <v>-</v>
      </c>
    </row>
    <row r="35327" customHeight="1" spans="2:2">
      <c r="B35327" s="62" t="str">
        <f>IF(AND('领用录入（明细）'!D:D=$F$4,'领用录入（明细）'!C:C&gt;=$J$4,'领用录入（明细）'!C:C&lt;=$L$4),ROW(),"-")</f>
        <v>-</v>
      </c>
    </row>
    <row r="35328" customHeight="1" spans="2:2">
      <c r="B35328" s="62" t="str">
        <f>IF(AND('领用录入（明细）'!D:D=$F$4,'领用录入（明细）'!C:C&gt;=$J$4,'领用录入（明细）'!C:C&lt;=$L$4),ROW(),"-")</f>
        <v>-</v>
      </c>
    </row>
    <row r="35329" customHeight="1" spans="2:2">
      <c r="B35329" s="62" t="str">
        <f>IF(AND('领用录入（明细）'!D:D=$F$4,'领用录入（明细）'!C:C&gt;=$J$4,'领用录入（明细）'!C:C&lt;=$L$4),ROW(),"-")</f>
        <v>-</v>
      </c>
    </row>
    <row r="35330" customHeight="1" spans="2:2">
      <c r="B35330" s="62" t="str">
        <f>IF(AND('领用录入（明细）'!D:D=$F$4,'领用录入（明细）'!C:C&gt;=$J$4,'领用录入（明细）'!C:C&lt;=$L$4),ROW(),"-")</f>
        <v>-</v>
      </c>
    </row>
    <row r="35331" customHeight="1" spans="2:2">
      <c r="B35331" s="62" t="str">
        <f>IF(AND('领用录入（明细）'!D:D=$F$4,'领用录入（明细）'!C:C&gt;=$J$4,'领用录入（明细）'!C:C&lt;=$L$4),ROW(),"-")</f>
        <v>-</v>
      </c>
    </row>
    <row r="35332" customHeight="1" spans="2:2">
      <c r="B35332" s="62" t="str">
        <f>IF(AND('领用录入（明细）'!D:D=$F$4,'领用录入（明细）'!C:C&gt;=$J$4,'领用录入（明细）'!C:C&lt;=$L$4),ROW(),"-")</f>
        <v>-</v>
      </c>
    </row>
    <row r="35333" customHeight="1" spans="2:2">
      <c r="B35333" s="62" t="str">
        <f>IF(AND('领用录入（明细）'!D:D=$F$4,'领用录入（明细）'!C:C&gt;=$J$4,'领用录入（明细）'!C:C&lt;=$L$4),ROW(),"-")</f>
        <v>-</v>
      </c>
    </row>
    <row r="35334" customHeight="1" spans="2:2">
      <c r="B35334" s="62" t="str">
        <f>IF(AND('领用录入（明细）'!D:D=$F$4,'领用录入（明细）'!C:C&gt;=$J$4,'领用录入（明细）'!C:C&lt;=$L$4),ROW(),"-")</f>
        <v>-</v>
      </c>
    </row>
    <row r="35335" customHeight="1" spans="2:2">
      <c r="B35335" s="62" t="str">
        <f>IF(AND('领用录入（明细）'!D:D=$F$4,'领用录入（明细）'!C:C&gt;=$J$4,'领用录入（明细）'!C:C&lt;=$L$4),ROW(),"-")</f>
        <v>-</v>
      </c>
    </row>
    <row r="35336" customHeight="1" spans="2:2">
      <c r="B35336" s="62" t="str">
        <f>IF(AND('领用录入（明细）'!D:D=$F$4,'领用录入（明细）'!C:C&gt;=$J$4,'领用录入（明细）'!C:C&lt;=$L$4),ROW(),"-")</f>
        <v>-</v>
      </c>
    </row>
    <row r="35337" customHeight="1" spans="2:2">
      <c r="B35337" s="62" t="str">
        <f>IF(AND('领用录入（明细）'!D:D=$F$4,'领用录入（明细）'!C:C&gt;=$J$4,'领用录入（明细）'!C:C&lt;=$L$4),ROW(),"-")</f>
        <v>-</v>
      </c>
    </row>
    <row r="35338" customHeight="1" spans="2:2">
      <c r="B35338" s="62" t="str">
        <f>IF(AND('领用录入（明细）'!D:D=$F$4,'领用录入（明细）'!C:C&gt;=$J$4,'领用录入（明细）'!C:C&lt;=$L$4),ROW(),"-")</f>
        <v>-</v>
      </c>
    </row>
    <row r="35339" customHeight="1" spans="2:2">
      <c r="B35339" s="62" t="str">
        <f>IF(AND('领用录入（明细）'!D:D=$F$4,'领用录入（明细）'!C:C&gt;=$J$4,'领用录入（明细）'!C:C&lt;=$L$4),ROW(),"-")</f>
        <v>-</v>
      </c>
    </row>
    <row r="35340" customHeight="1" spans="2:2">
      <c r="B35340" s="62" t="str">
        <f>IF(AND('领用录入（明细）'!D:D=$F$4,'领用录入（明细）'!C:C&gt;=$J$4,'领用录入（明细）'!C:C&lt;=$L$4),ROW(),"-")</f>
        <v>-</v>
      </c>
    </row>
    <row r="35341" customHeight="1" spans="2:2">
      <c r="B35341" s="62" t="str">
        <f>IF(AND('领用录入（明细）'!D:D=$F$4,'领用录入（明细）'!C:C&gt;=$J$4,'领用录入（明细）'!C:C&lt;=$L$4),ROW(),"-")</f>
        <v>-</v>
      </c>
    </row>
    <row r="35342" customHeight="1" spans="2:2">
      <c r="B35342" s="62" t="str">
        <f>IF(AND('领用录入（明细）'!D:D=$F$4,'领用录入（明细）'!C:C&gt;=$J$4,'领用录入（明细）'!C:C&lt;=$L$4),ROW(),"-")</f>
        <v>-</v>
      </c>
    </row>
    <row r="35343" customHeight="1" spans="2:2">
      <c r="B35343" s="62" t="str">
        <f>IF(AND('领用录入（明细）'!D:D=$F$4,'领用录入（明细）'!C:C&gt;=$J$4,'领用录入（明细）'!C:C&lt;=$L$4),ROW(),"-")</f>
        <v>-</v>
      </c>
    </row>
    <row r="35344" customHeight="1" spans="2:2">
      <c r="B35344" s="62" t="str">
        <f>IF(AND('领用录入（明细）'!D:D=$F$4,'领用录入（明细）'!C:C&gt;=$J$4,'领用录入（明细）'!C:C&lt;=$L$4),ROW(),"-")</f>
        <v>-</v>
      </c>
    </row>
    <row r="35345" customHeight="1" spans="2:2">
      <c r="B35345" s="62" t="str">
        <f>IF(AND('领用录入（明细）'!D:D=$F$4,'领用录入（明细）'!C:C&gt;=$J$4,'领用录入（明细）'!C:C&lt;=$L$4),ROW(),"-")</f>
        <v>-</v>
      </c>
    </row>
    <row r="35346" customHeight="1" spans="2:2">
      <c r="B35346" s="62" t="str">
        <f>IF(AND('领用录入（明细）'!D:D=$F$4,'领用录入（明细）'!C:C&gt;=$J$4,'领用录入（明细）'!C:C&lt;=$L$4),ROW(),"-")</f>
        <v>-</v>
      </c>
    </row>
    <row r="35347" customHeight="1" spans="2:2">
      <c r="B35347" s="62" t="str">
        <f>IF(AND('领用录入（明细）'!D:D=$F$4,'领用录入（明细）'!C:C&gt;=$J$4,'领用录入（明细）'!C:C&lt;=$L$4),ROW(),"-")</f>
        <v>-</v>
      </c>
    </row>
    <row r="35348" customHeight="1" spans="2:2">
      <c r="B35348" s="62" t="str">
        <f>IF(AND('领用录入（明细）'!D:D=$F$4,'领用录入（明细）'!C:C&gt;=$J$4,'领用录入（明细）'!C:C&lt;=$L$4),ROW(),"-")</f>
        <v>-</v>
      </c>
    </row>
    <row r="35349" customHeight="1" spans="2:2">
      <c r="B35349" s="62" t="str">
        <f>IF(AND('领用录入（明细）'!D:D=$F$4,'领用录入（明细）'!C:C&gt;=$J$4,'领用录入（明细）'!C:C&lt;=$L$4),ROW(),"-")</f>
        <v>-</v>
      </c>
    </row>
    <row r="35350" customHeight="1" spans="2:2">
      <c r="B35350" s="62" t="str">
        <f>IF(AND('领用录入（明细）'!D:D=$F$4,'领用录入（明细）'!C:C&gt;=$J$4,'领用录入（明细）'!C:C&lt;=$L$4),ROW(),"-")</f>
        <v>-</v>
      </c>
    </row>
    <row r="35351" customHeight="1" spans="2:2">
      <c r="B35351" s="62" t="str">
        <f>IF(AND('领用录入（明细）'!D:D=$F$4,'领用录入（明细）'!C:C&gt;=$J$4,'领用录入（明细）'!C:C&lt;=$L$4),ROW(),"-")</f>
        <v>-</v>
      </c>
    </row>
    <row r="35352" customHeight="1" spans="2:2">
      <c r="B35352" s="62" t="str">
        <f>IF(AND('领用录入（明细）'!D:D=$F$4,'领用录入（明细）'!C:C&gt;=$J$4,'领用录入（明细）'!C:C&lt;=$L$4),ROW(),"-")</f>
        <v>-</v>
      </c>
    </row>
    <row r="35353" customHeight="1" spans="2:2">
      <c r="B35353" s="62" t="str">
        <f>IF(AND('领用录入（明细）'!D:D=$F$4,'领用录入（明细）'!C:C&gt;=$J$4,'领用录入（明细）'!C:C&lt;=$L$4),ROW(),"-")</f>
        <v>-</v>
      </c>
    </row>
    <row r="35354" customHeight="1" spans="2:2">
      <c r="B35354" s="62" t="str">
        <f>IF(AND('领用录入（明细）'!D:D=$F$4,'领用录入（明细）'!C:C&gt;=$J$4,'领用录入（明细）'!C:C&lt;=$L$4),ROW(),"-")</f>
        <v>-</v>
      </c>
    </row>
    <row r="35355" customHeight="1" spans="2:2">
      <c r="B35355" s="62" t="str">
        <f>IF(AND('领用录入（明细）'!D:D=$F$4,'领用录入（明细）'!C:C&gt;=$J$4,'领用录入（明细）'!C:C&lt;=$L$4),ROW(),"-")</f>
        <v>-</v>
      </c>
    </row>
    <row r="35356" customHeight="1" spans="2:2">
      <c r="B35356" s="62" t="str">
        <f>IF(AND('领用录入（明细）'!D:D=$F$4,'领用录入（明细）'!C:C&gt;=$J$4,'领用录入（明细）'!C:C&lt;=$L$4),ROW(),"-")</f>
        <v>-</v>
      </c>
    </row>
    <row r="35357" customHeight="1" spans="2:2">
      <c r="B35357" s="62" t="str">
        <f>IF(AND('领用录入（明细）'!D:D=$F$4,'领用录入（明细）'!C:C&gt;=$J$4,'领用录入（明细）'!C:C&lt;=$L$4),ROW(),"-")</f>
        <v>-</v>
      </c>
    </row>
    <row r="35358" customHeight="1" spans="2:2">
      <c r="B35358" s="62" t="str">
        <f>IF(AND('领用录入（明细）'!D:D=$F$4,'领用录入（明细）'!C:C&gt;=$J$4,'领用录入（明细）'!C:C&lt;=$L$4),ROW(),"-")</f>
        <v>-</v>
      </c>
    </row>
    <row r="35359" customHeight="1" spans="2:2">
      <c r="B35359" s="62" t="str">
        <f>IF(AND('领用录入（明细）'!D:D=$F$4,'领用录入（明细）'!C:C&gt;=$J$4,'领用录入（明细）'!C:C&lt;=$L$4),ROW(),"-")</f>
        <v>-</v>
      </c>
    </row>
    <row r="35360" customHeight="1" spans="2:2">
      <c r="B35360" s="62" t="str">
        <f>IF(AND('领用录入（明细）'!D:D=$F$4,'领用录入（明细）'!C:C&gt;=$J$4,'领用录入（明细）'!C:C&lt;=$L$4),ROW(),"-")</f>
        <v>-</v>
      </c>
    </row>
    <row r="35361" customHeight="1" spans="2:2">
      <c r="B35361" s="62" t="str">
        <f>IF(AND('领用录入（明细）'!D:D=$F$4,'领用录入（明细）'!C:C&gt;=$J$4,'领用录入（明细）'!C:C&lt;=$L$4),ROW(),"-")</f>
        <v>-</v>
      </c>
    </row>
    <row r="35362" customHeight="1" spans="2:2">
      <c r="B35362" s="62" t="str">
        <f>IF(AND('领用录入（明细）'!D:D=$F$4,'领用录入（明细）'!C:C&gt;=$J$4,'领用录入（明细）'!C:C&lt;=$L$4),ROW(),"-")</f>
        <v>-</v>
      </c>
    </row>
    <row r="35363" customHeight="1" spans="2:2">
      <c r="B35363" s="62" t="str">
        <f>IF(AND('领用录入（明细）'!D:D=$F$4,'领用录入（明细）'!C:C&gt;=$J$4,'领用录入（明细）'!C:C&lt;=$L$4),ROW(),"-")</f>
        <v>-</v>
      </c>
    </row>
    <row r="35364" customHeight="1" spans="2:2">
      <c r="B35364" s="62" t="str">
        <f>IF(AND('领用录入（明细）'!D:D=$F$4,'领用录入（明细）'!C:C&gt;=$J$4,'领用录入（明细）'!C:C&lt;=$L$4),ROW(),"-")</f>
        <v>-</v>
      </c>
    </row>
    <row r="35365" customHeight="1" spans="2:2">
      <c r="B35365" s="62" t="str">
        <f>IF(AND('领用录入（明细）'!D:D=$F$4,'领用录入（明细）'!C:C&gt;=$J$4,'领用录入（明细）'!C:C&lt;=$L$4),ROW(),"-")</f>
        <v>-</v>
      </c>
    </row>
    <row r="35366" customHeight="1" spans="2:2">
      <c r="B35366" s="62" t="str">
        <f>IF(AND('领用录入（明细）'!D:D=$F$4,'领用录入（明细）'!C:C&gt;=$J$4,'领用录入（明细）'!C:C&lt;=$L$4),ROW(),"-")</f>
        <v>-</v>
      </c>
    </row>
    <row r="35367" customHeight="1" spans="2:2">
      <c r="B35367" s="62" t="str">
        <f>IF(AND('领用录入（明细）'!D:D=$F$4,'领用录入（明细）'!C:C&gt;=$J$4,'领用录入（明细）'!C:C&lt;=$L$4),ROW(),"-")</f>
        <v>-</v>
      </c>
    </row>
    <row r="35368" customHeight="1" spans="2:2">
      <c r="B35368" s="62" t="str">
        <f>IF(AND('领用录入（明细）'!D:D=$F$4,'领用录入（明细）'!C:C&gt;=$J$4,'领用录入（明细）'!C:C&lt;=$L$4),ROW(),"-")</f>
        <v>-</v>
      </c>
    </row>
    <row r="35369" customHeight="1" spans="2:2">
      <c r="B35369" s="62" t="str">
        <f>IF(AND('领用录入（明细）'!D:D=$F$4,'领用录入（明细）'!C:C&gt;=$J$4,'领用录入（明细）'!C:C&lt;=$L$4),ROW(),"-")</f>
        <v>-</v>
      </c>
    </row>
    <row r="35370" customHeight="1" spans="2:2">
      <c r="B35370" s="62" t="str">
        <f>IF(AND('领用录入（明细）'!D:D=$F$4,'领用录入（明细）'!C:C&gt;=$J$4,'领用录入（明细）'!C:C&lt;=$L$4),ROW(),"-")</f>
        <v>-</v>
      </c>
    </row>
    <row r="35371" customHeight="1" spans="2:2">
      <c r="B35371" s="62" t="str">
        <f>IF(AND('领用录入（明细）'!D:D=$F$4,'领用录入（明细）'!C:C&gt;=$J$4,'领用录入（明细）'!C:C&lt;=$L$4),ROW(),"-")</f>
        <v>-</v>
      </c>
    </row>
    <row r="35372" customHeight="1" spans="2:2">
      <c r="B35372" s="62" t="str">
        <f>IF(AND('领用录入（明细）'!D:D=$F$4,'领用录入（明细）'!C:C&gt;=$J$4,'领用录入（明细）'!C:C&lt;=$L$4),ROW(),"-")</f>
        <v>-</v>
      </c>
    </row>
    <row r="35373" customHeight="1" spans="2:2">
      <c r="B35373" s="62" t="str">
        <f>IF(AND('领用录入（明细）'!D:D=$F$4,'领用录入（明细）'!C:C&gt;=$J$4,'领用录入（明细）'!C:C&lt;=$L$4),ROW(),"-")</f>
        <v>-</v>
      </c>
    </row>
    <row r="35374" customHeight="1" spans="2:2">
      <c r="B35374" s="62" t="str">
        <f>IF(AND('领用录入（明细）'!D:D=$F$4,'领用录入（明细）'!C:C&gt;=$J$4,'领用录入（明细）'!C:C&lt;=$L$4),ROW(),"-")</f>
        <v>-</v>
      </c>
    </row>
    <row r="35375" customHeight="1" spans="2:2">
      <c r="B35375" s="62" t="str">
        <f>IF(AND('领用录入（明细）'!D:D=$F$4,'领用录入（明细）'!C:C&gt;=$J$4,'领用录入（明细）'!C:C&lt;=$L$4),ROW(),"-")</f>
        <v>-</v>
      </c>
    </row>
    <row r="35376" customHeight="1" spans="2:2">
      <c r="B35376" s="62" t="str">
        <f>IF(AND('领用录入（明细）'!D:D=$F$4,'领用录入（明细）'!C:C&gt;=$J$4,'领用录入（明细）'!C:C&lt;=$L$4),ROW(),"-")</f>
        <v>-</v>
      </c>
    </row>
    <row r="35377" customHeight="1" spans="2:2">
      <c r="B35377" s="62" t="str">
        <f>IF(AND('领用录入（明细）'!D:D=$F$4,'领用录入（明细）'!C:C&gt;=$J$4,'领用录入（明细）'!C:C&lt;=$L$4),ROW(),"-")</f>
        <v>-</v>
      </c>
    </row>
    <row r="35378" customHeight="1" spans="2:2">
      <c r="B35378" s="62" t="str">
        <f>IF(AND('领用录入（明细）'!D:D=$F$4,'领用录入（明细）'!C:C&gt;=$J$4,'领用录入（明细）'!C:C&lt;=$L$4),ROW(),"-")</f>
        <v>-</v>
      </c>
    </row>
    <row r="35379" customHeight="1" spans="2:2">
      <c r="B35379" s="62" t="str">
        <f>IF(AND('领用录入（明细）'!D:D=$F$4,'领用录入（明细）'!C:C&gt;=$J$4,'领用录入（明细）'!C:C&lt;=$L$4),ROW(),"-")</f>
        <v>-</v>
      </c>
    </row>
    <row r="35380" customHeight="1" spans="2:2">
      <c r="B35380" s="62" t="str">
        <f>IF(AND('领用录入（明细）'!D:D=$F$4,'领用录入（明细）'!C:C&gt;=$J$4,'领用录入（明细）'!C:C&lt;=$L$4),ROW(),"-")</f>
        <v>-</v>
      </c>
    </row>
    <row r="35381" customHeight="1" spans="2:2">
      <c r="B35381" s="62" t="str">
        <f>IF(AND('领用录入（明细）'!D:D=$F$4,'领用录入（明细）'!C:C&gt;=$J$4,'领用录入（明细）'!C:C&lt;=$L$4),ROW(),"-")</f>
        <v>-</v>
      </c>
    </row>
    <row r="35382" customHeight="1" spans="2:2">
      <c r="B35382" s="62" t="str">
        <f>IF(AND('领用录入（明细）'!D:D=$F$4,'领用录入（明细）'!C:C&gt;=$J$4,'领用录入（明细）'!C:C&lt;=$L$4),ROW(),"-")</f>
        <v>-</v>
      </c>
    </row>
    <row r="35383" customHeight="1" spans="2:2">
      <c r="B35383" s="62" t="str">
        <f>IF(AND('领用录入（明细）'!D:D=$F$4,'领用录入（明细）'!C:C&gt;=$J$4,'领用录入（明细）'!C:C&lt;=$L$4),ROW(),"-")</f>
        <v>-</v>
      </c>
    </row>
    <row r="35384" customHeight="1" spans="2:2">
      <c r="B35384" s="62" t="str">
        <f>IF(AND('领用录入（明细）'!D:D=$F$4,'领用录入（明细）'!C:C&gt;=$J$4,'领用录入（明细）'!C:C&lt;=$L$4),ROW(),"-")</f>
        <v>-</v>
      </c>
    </row>
    <row r="35385" customHeight="1" spans="2:2">
      <c r="B35385" s="62" t="str">
        <f>IF(AND('领用录入（明细）'!D:D=$F$4,'领用录入（明细）'!C:C&gt;=$J$4,'领用录入（明细）'!C:C&lt;=$L$4),ROW(),"-")</f>
        <v>-</v>
      </c>
    </row>
    <row r="35386" customHeight="1" spans="2:2">
      <c r="B35386" s="62" t="str">
        <f>IF(AND('领用录入（明细）'!D:D=$F$4,'领用录入（明细）'!C:C&gt;=$J$4,'领用录入（明细）'!C:C&lt;=$L$4),ROW(),"-")</f>
        <v>-</v>
      </c>
    </row>
    <row r="35387" customHeight="1" spans="2:2">
      <c r="B35387" s="62" t="str">
        <f>IF(AND('领用录入（明细）'!D:D=$F$4,'领用录入（明细）'!C:C&gt;=$J$4,'领用录入（明细）'!C:C&lt;=$L$4),ROW(),"-")</f>
        <v>-</v>
      </c>
    </row>
    <row r="35388" customHeight="1" spans="2:2">
      <c r="B35388" s="62" t="str">
        <f>IF(AND('领用录入（明细）'!D:D=$F$4,'领用录入（明细）'!C:C&gt;=$J$4,'领用录入（明细）'!C:C&lt;=$L$4),ROW(),"-")</f>
        <v>-</v>
      </c>
    </row>
    <row r="35389" customHeight="1" spans="2:2">
      <c r="B35389" s="62" t="str">
        <f>IF(AND('领用录入（明细）'!D:D=$F$4,'领用录入（明细）'!C:C&gt;=$J$4,'领用录入（明细）'!C:C&lt;=$L$4),ROW(),"-")</f>
        <v>-</v>
      </c>
    </row>
    <row r="35390" customHeight="1" spans="2:2">
      <c r="B35390" s="62" t="str">
        <f>IF(AND('领用录入（明细）'!D:D=$F$4,'领用录入（明细）'!C:C&gt;=$J$4,'领用录入（明细）'!C:C&lt;=$L$4),ROW(),"-")</f>
        <v>-</v>
      </c>
    </row>
    <row r="35391" customHeight="1" spans="2:2">
      <c r="B35391" s="62" t="str">
        <f>IF(AND('领用录入（明细）'!D:D=$F$4,'领用录入（明细）'!C:C&gt;=$J$4,'领用录入（明细）'!C:C&lt;=$L$4),ROW(),"-")</f>
        <v>-</v>
      </c>
    </row>
    <row r="35392" customHeight="1" spans="2:2">
      <c r="B35392" s="62" t="str">
        <f>IF(AND('领用录入（明细）'!D:D=$F$4,'领用录入（明细）'!C:C&gt;=$J$4,'领用录入（明细）'!C:C&lt;=$L$4),ROW(),"-")</f>
        <v>-</v>
      </c>
    </row>
    <row r="35393" customHeight="1" spans="2:2">
      <c r="B35393" s="62" t="str">
        <f>IF(AND('领用录入（明细）'!D:D=$F$4,'领用录入（明细）'!C:C&gt;=$J$4,'领用录入（明细）'!C:C&lt;=$L$4),ROW(),"-")</f>
        <v>-</v>
      </c>
    </row>
    <row r="35394" customHeight="1" spans="2:2">
      <c r="B35394" s="62" t="str">
        <f>IF(AND('领用录入（明细）'!D:D=$F$4,'领用录入（明细）'!C:C&gt;=$J$4,'领用录入（明细）'!C:C&lt;=$L$4),ROW(),"-")</f>
        <v>-</v>
      </c>
    </row>
    <row r="35395" customHeight="1" spans="2:2">
      <c r="B35395" s="62" t="str">
        <f>IF(AND('领用录入（明细）'!D:D=$F$4,'领用录入（明细）'!C:C&gt;=$J$4,'领用录入（明细）'!C:C&lt;=$L$4),ROW(),"-")</f>
        <v>-</v>
      </c>
    </row>
    <row r="35396" customHeight="1" spans="2:2">
      <c r="B35396" s="62" t="str">
        <f>IF(AND('领用录入（明细）'!D:D=$F$4,'领用录入（明细）'!C:C&gt;=$J$4,'领用录入（明细）'!C:C&lt;=$L$4),ROW(),"-")</f>
        <v>-</v>
      </c>
    </row>
    <row r="35397" customHeight="1" spans="2:2">
      <c r="B35397" s="62" t="str">
        <f>IF(AND('领用录入（明细）'!D:D=$F$4,'领用录入（明细）'!C:C&gt;=$J$4,'领用录入（明细）'!C:C&lt;=$L$4),ROW(),"-")</f>
        <v>-</v>
      </c>
    </row>
    <row r="35398" customHeight="1" spans="2:2">
      <c r="B35398" s="62" t="str">
        <f>IF(AND('领用录入（明细）'!D:D=$F$4,'领用录入（明细）'!C:C&gt;=$J$4,'领用录入（明细）'!C:C&lt;=$L$4),ROW(),"-")</f>
        <v>-</v>
      </c>
    </row>
    <row r="35399" customHeight="1" spans="2:2">
      <c r="B35399" s="62" t="str">
        <f>IF(AND('领用录入（明细）'!D:D=$F$4,'领用录入（明细）'!C:C&gt;=$J$4,'领用录入（明细）'!C:C&lt;=$L$4),ROW(),"-")</f>
        <v>-</v>
      </c>
    </row>
    <row r="35400" customHeight="1" spans="2:2">
      <c r="B35400" s="62" t="str">
        <f>IF(AND('领用录入（明细）'!D:D=$F$4,'领用录入（明细）'!C:C&gt;=$J$4,'领用录入（明细）'!C:C&lt;=$L$4),ROW(),"-")</f>
        <v>-</v>
      </c>
    </row>
    <row r="35401" customHeight="1" spans="2:2">
      <c r="B35401" s="62" t="str">
        <f>IF(AND('领用录入（明细）'!D:D=$F$4,'领用录入（明细）'!C:C&gt;=$J$4,'领用录入（明细）'!C:C&lt;=$L$4),ROW(),"-")</f>
        <v>-</v>
      </c>
    </row>
    <row r="35402" customHeight="1" spans="2:2">
      <c r="B35402" s="62" t="str">
        <f>IF(AND('领用录入（明细）'!D:D=$F$4,'领用录入（明细）'!C:C&gt;=$J$4,'领用录入（明细）'!C:C&lt;=$L$4),ROW(),"-")</f>
        <v>-</v>
      </c>
    </row>
    <row r="35403" customHeight="1" spans="2:2">
      <c r="B35403" s="62" t="str">
        <f>IF(AND('领用录入（明细）'!D:D=$F$4,'领用录入（明细）'!C:C&gt;=$J$4,'领用录入（明细）'!C:C&lt;=$L$4),ROW(),"-")</f>
        <v>-</v>
      </c>
    </row>
    <row r="35404" customHeight="1" spans="2:2">
      <c r="B35404" s="62" t="str">
        <f>IF(AND('领用录入（明细）'!D:D=$F$4,'领用录入（明细）'!C:C&gt;=$J$4,'领用录入（明细）'!C:C&lt;=$L$4),ROW(),"-")</f>
        <v>-</v>
      </c>
    </row>
    <row r="35405" customHeight="1" spans="2:2">
      <c r="B35405" s="62" t="str">
        <f>IF(AND('领用录入（明细）'!D:D=$F$4,'领用录入（明细）'!C:C&gt;=$J$4,'领用录入（明细）'!C:C&lt;=$L$4),ROW(),"-")</f>
        <v>-</v>
      </c>
    </row>
    <row r="35406" customHeight="1" spans="2:2">
      <c r="B35406" s="62" t="str">
        <f>IF(AND('领用录入（明细）'!D:D=$F$4,'领用录入（明细）'!C:C&gt;=$J$4,'领用录入（明细）'!C:C&lt;=$L$4),ROW(),"-")</f>
        <v>-</v>
      </c>
    </row>
    <row r="35407" customHeight="1" spans="2:2">
      <c r="B35407" s="62" t="str">
        <f>IF(AND('领用录入（明细）'!D:D=$F$4,'领用录入（明细）'!C:C&gt;=$J$4,'领用录入（明细）'!C:C&lt;=$L$4),ROW(),"-")</f>
        <v>-</v>
      </c>
    </row>
    <row r="35408" customHeight="1" spans="2:2">
      <c r="B35408" s="62" t="str">
        <f>IF(AND('领用录入（明细）'!D:D=$F$4,'领用录入（明细）'!C:C&gt;=$J$4,'领用录入（明细）'!C:C&lt;=$L$4),ROW(),"-")</f>
        <v>-</v>
      </c>
    </row>
    <row r="35409" customHeight="1" spans="2:2">
      <c r="B35409" s="62" t="str">
        <f>IF(AND('领用录入（明细）'!D:D=$F$4,'领用录入（明细）'!C:C&gt;=$J$4,'领用录入（明细）'!C:C&lt;=$L$4),ROW(),"-")</f>
        <v>-</v>
      </c>
    </row>
    <row r="35410" customHeight="1" spans="2:2">
      <c r="B35410" s="62" t="str">
        <f>IF(AND('领用录入（明细）'!D:D=$F$4,'领用录入（明细）'!C:C&gt;=$J$4,'领用录入（明细）'!C:C&lt;=$L$4),ROW(),"-")</f>
        <v>-</v>
      </c>
    </row>
    <row r="35411" customHeight="1" spans="2:2">
      <c r="B35411" s="62" t="str">
        <f>IF(AND('领用录入（明细）'!D:D=$F$4,'领用录入（明细）'!C:C&gt;=$J$4,'领用录入（明细）'!C:C&lt;=$L$4),ROW(),"-")</f>
        <v>-</v>
      </c>
    </row>
    <row r="35412" customHeight="1" spans="2:2">
      <c r="B35412" s="62" t="str">
        <f>IF(AND('领用录入（明细）'!D:D=$F$4,'领用录入（明细）'!C:C&gt;=$J$4,'领用录入（明细）'!C:C&lt;=$L$4),ROW(),"-")</f>
        <v>-</v>
      </c>
    </row>
    <row r="35413" customHeight="1" spans="2:2">
      <c r="B35413" s="62" t="str">
        <f>IF(AND('领用录入（明细）'!D:D=$F$4,'领用录入（明细）'!C:C&gt;=$J$4,'领用录入（明细）'!C:C&lt;=$L$4),ROW(),"-")</f>
        <v>-</v>
      </c>
    </row>
    <row r="35414" customHeight="1" spans="2:2">
      <c r="B35414" s="62" t="str">
        <f>IF(AND('领用录入（明细）'!D:D=$F$4,'领用录入（明细）'!C:C&gt;=$J$4,'领用录入（明细）'!C:C&lt;=$L$4),ROW(),"-")</f>
        <v>-</v>
      </c>
    </row>
    <row r="35415" customHeight="1" spans="2:2">
      <c r="B35415" s="62" t="str">
        <f>IF(AND('领用录入（明细）'!D:D=$F$4,'领用录入（明细）'!C:C&gt;=$J$4,'领用录入（明细）'!C:C&lt;=$L$4),ROW(),"-")</f>
        <v>-</v>
      </c>
    </row>
    <row r="35416" customHeight="1" spans="2:2">
      <c r="B35416" s="62" t="str">
        <f>IF(AND('领用录入（明细）'!D:D=$F$4,'领用录入（明细）'!C:C&gt;=$J$4,'领用录入（明细）'!C:C&lt;=$L$4),ROW(),"-")</f>
        <v>-</v>
      </c>
    </row>
    <row r="35417" customHeight="1" spans="2:2">
      <c r="B35417" s="62" t="str">
        <f>IF(AND('领用录入（明细）'!D:D=$F$4,'领用录入（明细）'!C:C&gt;=$J$4,'领用录入（明细）'!C:C&lt;=$L$4),ROW(),"-")</f>
        <v>-</v>
      </c>
    </row>
    <row r="35418" customHeight="1" spans="2:2">
      <c r="B35418" s="62" t="str">
        <f>IF(AND('领用录入（明细）'!D:D=$F$4,'领用录入（明细）'!C:C&gt;=$J$4,'领用录入（明细）'!C:C&lt;=$L$4),ROW(),"-")</f>
        <v>-</v>
      </c>
    </row>
    <row r="35419" customHeight="1" spans="2:2">
      <c r="B35419" s="62" t="str">
        <f>IF(AND('领用录入（明细）'!D:D=$F$4,'领用录入（明细）'!C:C&gt;=$J$4,'领用录入（明细）'!C:C&lt;=$L$4),ROW(),"-")</f>
        <v>-</v>
      </c>
    </row>
    <row r="35420" customHeight="1" spans="2:2">
      <c r="B35420" s="62" t="str">
        <f>IF(AND('领用录入（明细）'!D:D=$F$4,'领用录入（明细）'!C:C&gt;=$J$4,'领用录入（明细）'!C:C&lt;=$L$4),ROW(),"-")</f>
        <v>-</v>
      </c>
    </row>
    <row r="35421" customHeight="1" spans="2:2">
      <c r="B35421" s="62" t="str">
        <f>IF(AND('领用录入（明细）'!D:D=$F$4,'领用录入（明细）'!C:C&gt;=$J$4,'领用录入（明细）'!C:C&lt;=$L$4),ROW(),"-")</f>
        <v>-</v>
      </c>
    </row>
    <row r="35422" customHeight="1" spans="2:2">
      <c r="B35422" s="62" t="str">
        <f>IF(AND('领用录入（明细）'!D:D=$F$4,'领用录入（明细）'!C:C&gt;=$J$4,'领用录入（明细）'!C:C&lt;=$L$4),ROW(),"-")</f>
        <v>-</v>
      </c>
    </row>
    <row r="35423" customHeight="1" spans="2:2">
      <c r="B35423" s="62" t="str">
        <f>IF(AND('领用录入（明细）'!D:D=$F$4,'领用录入（明细）'!C:C&gt;=$J$4,'领用录入（明细）'!C:C&lt;=$L$4),ROW(),"-")</f>
        <v>-</v>
      </c>
    </row>
    <row r="35424" customHeight="1" spans="2:2">
      <c r="B35424" s="62" t="str">
        <f>IF(AND('领用录入（明细）'!D:D=$F$4,'领用录入（明细）'!C:C&gt;=$J$4,'领用录入（明细）'!C:C&lt;=$L$4),ROW(),"-")</f>
        <v>-</v>
      </c>
    </row>
    <row r="35425" customHeight="1" spans="2:2">
      <c r="B35425" s="62" t="str">
        <f>IF(AND('领用录入（明细）'!D:D=$F$4,'领用录入（明细）'!C:C&gt;=$J$4,'领用录入（明细）'!C:C&lt;=$L$4),ROW(),"-")</f>
        <v>-</v>
      </c>
    </row>
    <row r="35426" customHeight="1" spans="2:2">
      <c r="B35426" s="62" t="str">
        <f>IF(AND('领用录入（明细）'!D:D=$F$4,'领用录入（明细）'!C:C&gt;=$J$4,'领用录入（明细）'!C:C&lt;=$L$4),ROW(),"-")</f>
        <v>-</v>
      </c>
    </row>
    <row r="35427" customHeight="1" spans="2:2">
      <c r="B35427" s="62" t="str">
        <f>IF(AND('领用录入（明细）'!D:D=$F$4,'领用录入（明细）'!C:C&gt;=$J$4,'领用录入（明细）'!C:C&lt;=$L$4),ROW(),"-")</f>
        <v>-</v>
      </c>
    </row>
    <row r="35428" customHeight="1" spans="2:2">
      <c r="B35428" s="62" t="str">
        <f>IF(AND('领用录入（明细）'!D:D=$F$4,'领用录入（明细）'!C:C&gt;=$J$4,'领用录入（明细）'!C:C&lt;=$L$4),ROW(),"-")</f>
        <v>-</v>
      </c>
    </row>
    <row r="35429" customHeight="1" spans="2:2">
      <c r="B35429" s="62" t="str">
        <f>IF(AND('领用录入（明细）'!D:D=$F$4,'领用录入（明细）'!C:C&gt;=$J$4,'领用录入（明细）'!C:C&lt;=$L$4),ROW(),"-")</f>
        <v>-</v>
      </c>
    </row>
    <row r="35430" customHeight="1" spans="2:2">
      <c r="B35430" s="62" t="str">
        <f>IF(AND('领用录入（明细）'!D:D=$F$4,'领用录入（明细）'!C:C&gt;=$J$4,'领用录入（明细）'!C:C&lt;=$L$4),ROW(),"-")</f>
        <v>-</v>
      </c>
    </row>
    <row r="35431" customHeight="1" spans="2:2">
      <c r="B35431" s="62" t="str">
        <f>IF(AND('领用录入（明细）'!D:D=$F$4,'领用录入（明细）'!C:C&gt;=$J$4,'领用录入（明细）'!C:C&lt;=$L$4),ROW(),"-")</f>
        <v>-</v>
      </c>
    </row>
    <row r="35432" customHeight="1" spans="2:2">
      <c r="B35432" s="62" t="str">
        <f>IF(AND('领用录入（明细）'!D:D=$F$4,'领用录入（明细）'!C:C&gt;=$J$4,'领用录入（明细）'!C:C&lt;=$L$4),ROW(),"-")</f>
        <v>-</v>
      </c>
    </row>
    <row r="35433" customHeight="1" spans="2:2">
      <c r="B35433" s="62" t="str">
        <f>IF(AND('领用录入（明细）'!D:D=$F$4,'领用录入（明细）'!C:C&gt;=$J$4,'领用录入（明细）'!C:C&lt;=$L$4),ROW(),"-")</f>
        <v>-</v>
      </c>
    </row>
    <row r="35434" customHeight="1" spans="2:2">
      <c r="B35434" s="62" t="str">
        <f>IF(AND('领用录入（明细）'!D:D=$F$4,'领用录入（明细）'!C:C&gt;=$J$4,'领用录入（明细）'!C:C&lt;=$L$4),ROW(),"-")</f>
        <v>-</v>
      </c>
    </row>
    <row r="35435" customHeight="1" spans="2:2">
      <c r="B35435" s="62" t="str">
        <f>IF(AND('领用录入（明细）'!D:D=$F$4,'领用录入（明细）'!C:C&gt;=$J$4,'领用录入（明细）'!C:C&lt;=$L$4),ROW(),"-")</f>
        <v>-</v>
      </c>
    </row>
    <row r="35436" customHeight="1" spans="2:2">
      <c r="B35436" s="62" t="str">
        <f>IF(AND('领用录入（明细）'!D:D=$F$4,'领用录入（明细）'!C:C&gt;=$J$4,'领用录入（明细）'!C:C&lt;=$L$4),ROW(),"-")</f>
        <v>-</v>
      </c>
    </row>
    <row r="35437" customHeight="1" spans="2:2">
      <c r="B35437" s="62" t="str">
        <f>IF(AND('领用录入（明细）'!D:D=$F$4,'领用录入（明细）'!C:C&gt;=$J$4,'领用录入（明细）'!C:C&lt;=$L$4),ROW(),"-")</f>
        <v>-</v>
      </c>
    </row>
    <row r="35438" customHeight="1" spans="2:2">
      <c r="B35438" s="62" t="str">
        <f>IF(AND('领用录入（明细）'!D:D=$F$4,'领用录入（明细）'!C:C&gt;=$J$4,'领用录入（明细）'!C:C&lt;=$L$4),ROW(),"-")</f>
        <v>-</v>
      </c>
    </row>
    <row r="35439" customHeight="1" spans="2:2">
      <c r="B35439" s="62" t="str">
        <f>IF(AND('领用录入（明细）'!D:D=$F$4,'领用录入（明细）'!C:C&gt;=$J$4,'领用录入（明细）'!C:C&lt;=$L$4),ROW(),"-")</f>
        <v>-</v>
      </c>
    </row>
    <row r="35440" customHeight="1" spans="2:2">
      <c r="B35440" s="62" t="str">
        <f>IF(AND('领用录入（明细）'!D:D=$F$4,'领用录入（明细）'!C:C&gt;=$J$4,'领用录入（明细）'!C:C&lt;=$L$4),ROW(),"-")</f>
        <v>-</v>
      </c>
    </row>
    <row r="35441" customHeight="1" spans="2:2">
      <c r="B35441" s="62" t="str">
        <f>IF(AND('领用录入（明细）'!D:D=$F$4,'领用录入（明细）'!C:C&gt;=$J$4,'领用录入（明细）'!C:C&lt;=$L$4),ROW(),"-")</f>
        <v>-</v>
      </c>
    </row>
    <row r="35442" customHeight="1" spans="2:2">
      <c r="B35442" s="62" t="str">
        <f>IF(AND('领用录入（明细）'!D:D=$F$4,'领用录入（明细）'!C:C&gt;=$J$4,'领用录入（明细）'!C:C&lt;=$L$4),ROW(),"-")</f>
        <v>-</v>
      </c>
    </row>
    <row r="35443" customHeight="1" spans="2:2">
      <c r="B35443" s="62" t="str">
        <f>IF(AND('领用录入（明细）'!D:D=$F$4,'领用录入（明细）'!C:C&gt;=$J$4,'领用录入（明细）'!C:C&lt;=$L$4),ROW(),"-")</f>
        <v>-</v>
      </c>
    </row>
    <row r="35444" customHeight="1" spans="2:2">
      <c r="B35444" s="62" t="str">
        <f>IF(AND('领用录入（明细）'!D:D=$F$4,'领用录入（明细）'!C:C&gt;=$J$4,'领用录入（明细）'!C:C&lt;=$L$4),ROW(),"-")</f>
        <v>-</v>
      </c>
    </row>
    <row r="35445" customHeight="1" spans="2:2">
      <c r="B35445" s="62" t="str">
        <f>IF(AND('领用录入（明细）'!D:D=$F$4,'领用录入（明细）'!C:C&gt;=$J$4,'领用录入（明细）'!C:C&lt;=$L$4),ROW(),"-")</f>
        <v>-</v>
      </c>
    </row>
    <row r="35446" customHeight="1" spans="2:2">
      <c r="B35446" s="62" t="str">
        <f>IF(AND('领用录入（明细）'!D:D=$F$4,'领用录入（明细）'!C:C&gt;=$J$4,'领用录入（明细）'!C:C&lt;=$L$4),ROW(),"-")</f>
        <v>-</v>
      </c>
    </row>
    <row r="35447" customHeight="1" spans="2:2">
      <c r="B35447" s="62" t="str">
        <f>IF(AND('领用录入（明细）'!D:D=$F$4,'领用录入（明细）'!C:C&gt;=$J$4,'领用录入（明细）'!C:C&lt;=$L$4),ROW(),"-")</f>
        <v>-</v>
      </c>
    </row>
    <row r="35448" customHeight="1" spans="2:2">
      <c r="B35448" s="62" t="str">
        <f>IF(AND('领用录入（明细）'!D:D=$F$4,'领用录入（明细）'!C:C&gt;=$J$4,'领用录入（明细）'!C:C&lt;=$L$4),ROW(),"-")</f>
        <v>-</v>
      </c>
    </row>
    <row r="35449" customHeight="1" spans="2:2">
      <c r="B35449" s="62" t="str">
        <f>IF(AND('领用录入（明细）'!D:D=$F$4,'领用录入（明细）'!C:C&gt;=$J$4,'领用录入（明细）'!C:C&lt;=$L$4),ROW(),"-")</f>
        <v>-</v>
      </c>
    </row>
    <row r="35450" customHeight="1" spans="2:2">
      <c r="B35450" s="62" t="str">
        <f>IF(AND('领用录入（明细）'!D:D=$F$4,'领用录入（明细）'!C:C&gt;=$J$4,'领用录入（明细）'!C:C&lt;=$L$4),ROW(),"-")</f>
        <v>-</v>
      </c>
    </row>
    <row r="35451" customHeight="1" spans="2:2">
      <c r="B35451" s="62" t="str">
        <f>IF(AND('领用录入（明细）'!D:D=$F$4,'领用录入（明细）'!C:C&gt;=$J$4,'领用录入（明细）'!C:C&lt;=$L$4),ROW(),"-")</f>
        <v>-</v>
      </c>
    </row>
    <row r="35452" customHeight="1" spans="2:2">
      <c r="B35452" s="62" t="str">
        <f>IF(AND('领用录入（明细）'!D:D=$F$4,'领用录入（明细）'!C:C&gt;=$J$4,'领用录入（明细）'!C:C&lt;=$L$4),ROW(),"-")</f>
        <v>-</v>
      </c>
    </row>
    <row r="35453" customHeight="1" spans="2:2">
      <c r="B35453" s="62" t="str">
        <f>IF(AND('领用录入（明细）'!D:D=$F$4,'领用录入（明细）'!C:C&gt;=$J$4,'领用录入（明细）'!C:C&lt;=$L$4),ROW(),"-")</f>
        <v>-</v>
      </c>
    </row>
    <row r="35454" customHeight="1" spans="2:2">
      <c r="B35454" s="62" t="str">
        <f>IF(AND('领用录入（明细）'!D:D=$F$4,'领用录入（明细）'!C:C&gt;=$J$4,'领用录入（明细）'!C:C&lt;=$L$4),ROW(),"-")</f>
        <v>-</v>
      </c>
    </row>
    <row r="35455" customHeight="1" spans="2:2">
      <c r="B35455" s="62" t="str">
        <f>IF(AND('领用录入（明细）'!D:D=$F$4,'领用录入（明细）'!C:C&gt;=$J$4,'领用录入（明细）'!C:C&lt;=$L$4),ROW(),"-")</f>
        <v>-</v>
      </c>
    </row>
    <row r="35456" customHeight="1" spans="2:2">
      <c r="B35456" s="62" t="str">
        <f>IF(AND('领用录入（明细）'!D:D=$F$4,'领用录入（明细）'!C:C&gt;=$J$4,'领用录入（明细）'!C:C&lt;=$L$4),ROW(),"-")</f>
        <v>-</v>
      </c>
    </row>
    <row r="35457" customHeight="1" spans="2:2">
      <c r="B35457" s="62" t="str">
        <f>IF(AND('领用录入（明细）'!D:D=$F$4,'领用录入（明细）'!C:C&gt;=$J$4,'领用录入（明细）'!C:C&lt;=$L$4),ROW(),"-")</f>
        <v>-</v>
      </c>
    </row>
    <row r="35458" customHeight="1" spans="2:2">
      <c r="B35458" s="62" t="str">
        <f>IF(AND('领用录入（明细）'!D:D=$F$4,'领用录入（明细）'!C:C&gt;=$J$4,'领用录入（明细）'!C:C&lt;=$L$4),ROW(),"-")</f>
        <v>-</v>
      </c>
    </row>
    <row r="35459" customHeight="1" spans="2:2">
      <c r="B35459" s="62" t="str">
        <f>IF(AND('领用录入（明细）'!D:D=$F$4,'领用录入（明细）'!C:C&gt;=$J$4,'领用录入（明细）'!C:C&lt;=$L$4),ROW(),"-")</f>
        <v>-</v>
      </c>
    </row>
    <row r="35460" customHeight="1" spans="2:2">
      <c r="B35460" s="62" t="str">
        <f>IF(AND('领用录入（明细）'!D:D=$F$4,'领用录入（明细）'!C:C&gt;=$J$4,'领用录入（明细）'!C:C&lt;=$L$4),ROW(),"-")</f>
        <v>-</v>
      </c>
    </row>
    <row r="35461" customHeight="1" spans="2:2">
      <c r="B35461" s="62" t="str">
        <f>IF(AND('领用录入（明细）'!D:D=$F$4,'领用录入（明细）'!C:C&gt;=$J$4,'领用录入（明细）'!C:C&lt;=$L$4),ROW(),"-")</f>
        <v>-</v>
      </c>
    </row>
    <row r="35462" customHeight="1" spans="2:2">
      <c r="B35462" s="62" t="str">
        <f>IF(AND('领用录入（明细）'!D:D=$F$4,'领用录入（明细）'!C:C&gt;=$J$4,'领用录入（明细）'!C:C&lt;=$L$4),ROW(),"-")</f>
        <v>-</v>
      </c>
    </row>
    <row r="35463" customHeight="1" spans="2:2">
      <c r="B35463" s="62" t="str">
        <f>IF(AND('领用录入（明细）'!D:D=$F$4,'领用录入（明细）'!C:C&gt;=$J$4,'领用录入（明细）'!C:C&lt;=$L$4),ROW(),"-")</f>
        <v>-</v>
      </c>
    </row>
    <row r="35464" customHeight="1" spans="2:2">
      <c r="B35464" s="62" t="str">
        <f>IF(AND('领用录入（明细）'!D:D=$F$4,'领用录入（明细）'!C:C&gt;=$J$4,'领用录入（明细）'!C:C&lt;=$L$4),ROW(),"-")</f>
        <v>-</v>
      </c>
    </row>
    <row r="35465" customHeight="1" spans="2:2">
      <c r="B35465" s="62" t="str">
        <f>IF(AND('领用录入（明细）'!D:D=$F$4,'领用录入（明细）'!C:C&gt;=$J$4,'领用录入（明细）'!C:C&lt;=$L$4),ROW(),"-")</f>
        <v>-</v>
      </c>
    </row>
    <row r="35466" customHeight="1" spans="2:2">
      <c r="B35466" s="62" t="str">
        <f>IF(AND('领用录入（明细）'!D:D=$F$4,'领用录入（明细）'!C:C&gt;=$J$4,'领用录入（明细）'!C:C&lt;=$L$4),ROW(),"-")</f>
        <v>-</v>
      </c>
    </row>
    <row r="35467" customHeight="1" spans="2:2">
      <c r="B35467" s="62" t="str">
        <f>IF(AND('领用录入（明细）'!D:D=$F$4,'领用录入（明细）'!C:C&gt;=$J$4,'领用录入（明细）'!C:C&lt;=$L$4),ROW(),"-")</f>
        <v>-</v>
      </c>
    </row>
    <row r="35468" customHeight="1" spans="2:2">
      <c r="B35468" s="62" t="str">
        <f>IF(AND('领用录入（明细）'!D:D=$F$4,'领用录入（明细）'!C:C&gt;=$J$4,'领用录入（明细）'!C:C&lt;=$L$4),ROW(),"-")</f>
        <v>-</v>
      </c>
    </row>
    <row r="35469" customHeight="1" spans="2:2">
      <c r="B35469" s="62" t="str">
        <f>IF(AND('领用录入（明细）'!D:D=$F$4,'领用录入（明细）'!C:C&gt;=$J$4,'领用录入（明细）'!C:C&lt;=$L$4),ROW(),"-")</f>
        <v>-</v>
      </c>
    </row>
    <row r="35470" customHeight="1" spans="2:2">
      <c r="B35470" s="62" t="str">
        <f>IF(AND('领用录入（明细）'!D:D=$F$4,'领用录入（明细）'!C:C&gt;=$J$4,'领用录入（明细）'!C:C&lt;=$L$4),ROW(),"-")</f>
        <v>-</v>
      </c>
    </row>
    <row r="35471" customHeight="1" spans="2:2">
      <c r="B35471" s="62" t="str">
        <f>IF(AND('领用录入（明细）'!D:D=$F$4,'领用录入（明细）'!C:C&gt;=$J$4,'领用录入（明细）'!C:C&lt;=$L$4),ROW(),"-")</f>
        <v>-</v>
      </c>
    </row>
    <row r="35472" customHeight="1" spans="2:2">
      <c r="B35472" s="62" t="str">
        <f>IF(AND('领用录入（明细）'!D:D=$F$4,'领用录入（明细）'!C:C&gt;=$J$4,'领用录入（明细）'!C:C&lt;=$L$4),ROW(),"-")</f>
        <v>-</v>
      </c>
    </row>
    <row r="35473" customHeight="1" spans="2:2">
      <c r="B35473" s="62" t="str">
        <f>IF(AND('领用录入（明细）'!D:D=$F$4,'领用录入（明细）'!C:C&gt;=$J$4,'领用录入（明细）'!C:C&lt;=$L$4),ROW(),"-")</f>
        <v>-</v>
      </c>
    </row>
    <row r="35474" customHeight="1" spans="2:2">
      <c r="B35474" s="62" t="str">
        <f>IF(AND('领用录入（明细）'!D:D=$F$4,'领用录入（明细）'!C:C&gt;=$J$4,'领用录入（明细）'!C:C&lt;=$L$4),ROW(),"-")</f>
        <v>-</v>
      </c>
    </row>
    <row r="35475" customHeight="1" spans="2:2">
      <c r="B35475" s="62" t="str">
        <f>IF(AND('领用录入（明细）'!D:D=$F$4,'领用录入（明细）'!C:C&gt;=$J$4,'领用录入（明细）'!C:C&lt;=$L$4),ROW(),"-")</f>
        <v>-</v>
      </c>
    </row>
    <row r="35476" customHeight="1" spans="2:2">
      <c r="B35476" s="62" t="str">
        <f>IF(AND('领用录入（明细）'!D:D=$F$4,'领用录入（明细）'!C:C&gt;=$J$4,'领用录入（明细）'!C:C&lt;=$L$4),ROW(),"-")</f>
        <v>-</v>
      </c>
    </row>
    <row r="35477" customHeight="1" spans="2:2">
      <c r="B35477" s="62" t="str">
        <f>IF(AND('领用录入（明细）'!D:D=$F$4,'领用录入（明细）'!C:C&gt;=$J$4,'领用录入（明细）'!C:C&lt;=$L$4),ROW(),"-")</f>
        <v>-</v>
      </c>
    </row>
    <row r="35478" customHeight="1" spans="2:2">
      <c r="B35478" s="62" t="str">
        <f>IF(AND('领用录入（明细）'!D:D=$F$4,'领用录入（明细）'!C:C&gt;=$J$4,'领用录入（明细）'!C:C&lt;=$L$4),ROW(),"-")</f>
        <v>-</v>
      </c>
    </row>
    <row r="35479" customHeight="1" spans="2:2">
      <c r="B35479" s="62" t="str">
        <f>IF(AND('领用录入（明细）'!D:D=$F$4,'领用录入（明细）'!C:C&gt;=$J$4,'领用录入（明细）'!C:C&lt;=$L$4),ROW(),"-")</f>
        <v>-</v>
      </c>
    </row>
    <row r="35480" customHeight="1" spans="2:2">
      <c r="B35480" s="62" t="str">
        <f>IF(AND('领用录入（明细）'!D:D=$F$4,'领用录入（明细）'!C:C&gt;=$J$4,'领用录入（明细）'!C:C&lt;=$L$4),ROW(),"-")</f>
        <v>-</v>
      </c>
    </row>
    <row r="35481" customHeight="1" spans="2:2">
      <c r="B35481" s="62" t="str">
        <f>IF(AND('领用录入（明细）'!D:D=$F$4,'领用录入（明细）'!C:C&gt;=$J$4,'领用录入（明细）'!C:C&lt;=$L$4),ROW(),"-")</f>
        <v>-</v>
      </c>
    </row>
    <row r="35482" customHeight="1" spans="2:2">
      <c r="B35482" s="62" t="str">
        <f>IF(AND('领用录入（明细）'!D:D=$F$4,'领用录入（明细）'!C:C&gt;=$J$4,'领用录入（明细）'!C:C&lt;=$L$4),ROW(),"-")</f>
        <v>-</v>
      </c>
    </row>
    <row r="35483" customHeight="1" spans="2:2">
      <c r="B35483" s="62" t="str">
        <f>IF(AND('领用录入（明细）'!D:D=$F$4,'领用录入（明细）'!C:C&gt;=$J$4,'领用录入（明细）'!C:C&lt;=$L$4),ROW(),"-")</f>
        <v>-</v>
      </c>
    </row>
    <row r="35484" customHeight="1" spans="2:2">
      <c r="B35484" s="62" t="str">
        <f>IF(AND('领用录入（明细）'!D:D=$F$4,'领用录入（明细）'!C:C&gt;=$J$4,'领用录入（明细）'!C:C&lt;=$L$4),ROW(),"-")</f>
        <v>-</v>
      </c>
    </row>
    <row r="35485" customHeight="1" spans="2:2">
      <c r="B35485" s="62" t="str">
        <f>IF(AND('领用录入（明细）'!D:D=$F$4,'领用录入（明细）'!C:C&gt;=$J$4,'领用录入（明细）'!C:C&lt;=$L$4),ROW(),"-")</f>
        <v>-</v>
      </c>
    </row>
    <row r="35486" customHeight="1" spans="2:2">
      <c r="B35486" s="62" t="str">
        <f>IF(AND('领用录入（明细）'!D:D=$F$4,'领用录入（明细）'!C:C&gt;=$J$4,'领用录入（明细）'!C:C&lt;=$L$4),ROW(),"-")</f>
        <v>-</v>
      </c>
    </row>
    <row r="35487" customHeight="1" spans="2:2">
      <c r="B35487" s="62" t="str">
        <f>IF(AND('领用录入（明细）'!D:D=$F$4,'领用录入（明细）'!C:C&gt;=$J$4,'领用录入（明细）'!C:C&lt;=$L$4),ROW(),"-")</f>
        <v>-</v>
      </c>
    </row>
    <row r="35488" customHeight="1" spans="2:2">
      <c r="B35488" s="62" t="str">
        <f>IF(AND('领用录入（明细）'!D:D=$F$4,'领用录入（明细）'!C:C&gt;=$J$4,'领用录入（明细）'!C:C&lt;=$L$4),ROW(),"-")</f>
        <v>-</v>
      </c>
    </row>
    <row r="35489" customHeight="1" spans="2:2">
      <c r="B35489" s="62" t="str">
        <f>IF(AND('领用录入（明细）'!D:D=$F$4,'领用录入（明细）'!C:C&gt;=$J$4,'领用录入（明细）'!C:C&lt;=$L$4),ROW(),"-")</f>
        <v>-</v>
      </c>
    </row>
    <row r="35490" customHeight="1" spans="2:2">
      <c r="B35490" s="62" t="str">
        <f>IF(AND('领用录入（明细）'!D:D=$F$4,'领用录入（明细）'!C:C&gt;=$J$4,'领用录入（明细）'!C:C&lt;=$L$4),ROW(),"-")</f>
        <v>-</v>
      </c>
    </row>
    <row r="35491" customHeight="1" spans="2:2">
      <c r="B35491" s="62" t="str">
        <f>IF(AND('领用录入（明细）'!D:D=$F$4,'领用录入（明细）'!C:C&gt;=$J$4,'领用录入（明细）'!C:C&lt;=$L$4),ROW(),"-")</f>
        <v>-</v>
      </c>
    </row>
    <row r="35492" customHeight="1" spans="2:2">
      <c r="B35492" s="62" t="str">
        <f>IF(AND('领用录入（明细）'!D:D=$F$4,'领用录入（明细）'!C:C&gt;=$J$4,'领用录入（明细）'!C:C&lt;=$L$4),ROW(),"-")</f>
        <v>-</v>
      </c>
    </row>
    <row r="35493" customHeight="1" spans="2:2">
      <c r="B35493" s="62" t="str">
        <f>IF(AND('领用录入（明细）'!D:D=$F$4,'领用录入（明细）'!C:C&gt;=$J$4,'领用录入（明细）'!C:C&lt;=$L$4),ROW(),"-")</f>
        <v>-</v>
      </c>
    </row>
    <row r="35494" customHeight="1" spans="2:2">
      <c r="B35494" s="62" t="str">
        <f>IF(AND('领用录入（明细）'!D:D=$F$4,'领用录入（明细）'!C:C&gt;=$J$4,'领用录入（明细）'!C:C&lt;=$L$4),ROW(),"-")</f>
        <v>-</v>
      </c>
    </row>
    <row r="35495" customHeight="1" spans="2:2">
      <c r="B35495" s="62" t="str">
        <f>IF(AND('领用录入（明细）'!D:D=$F$4,'领用录入（明细）'!C:C&gt;=$J$4,'领用录入（明细）'!C:C&lt;=$L$4),ROW(),"-")</f>
        <v>-</v>
      </c>
    </row>
    <row r="35496" customHeight="1" spans="2:2">
      <c r="B35496" s="62" t="str">
        <f>IF(AND('领用录入（明细）'!D:D=$F$4,'领用录入（明细）'!C:C&gt;=$J$4,'领用录入（明细）'!C:C&lt;=$L$4),ROW(),"-")</f>
        <v>-</v>
      </c>
    </row>
    <row r="35497" customHeight="1" spans="2:2">
      <c r="B35497" s="62" t="str">
        <f>IF(AND('领用录入（明细）'!D:D=$F$4,'领用录入（明细）'!C:C&gt;=$J$4,'领用录入（明细）'!C:C&lt;=$L$4),ROW(),"-")</f>
        <v>-</v>
      </c>
    </row>
    <row r="35498" customHeight="1" spans="2:2">
      <c r="B35498" s="62" t="str">
        <f>IF(AND('领用录入（明细）'!D:D=$F$4,'领用录入（明细）'!C:C&gt;=$J$4,'领用录入（明细）'!C:C&lt;=$L$4),ROW(),"-")</f>
        <v>-</v>
      </c>
    </row>
    <row r="35499" customHeight="1" spans="2:2">
      <c r="B35499" s="62" t="str">
        <f>IF(AND('领用录入（明细）'!D:D=$F$4,'领用录入（明细）'!C:C&gt;=$J$4,'领用录入（明细）'!C:C&lt;=$L$4),ROW(),"-")</f>
        <v>-</v>
      </c>
    </row>
    <row r="35500" customHeight="1" spans="2:2">
      <c r="B35500" s="62" t="str">
        <f>IF(AND('领用录入（明细）'!D:D=$F$4,'领用录入（明细）'!C:C&gt;=$J$4,'领用录入（明细）'!C:C&lt;=$L$4),ROW(),"-")</f>
        <v>-</v>
      </c>
    </row>
    <row r="35501" customHeight="1" spans="2:2">
      <c r="B35501" s="62" t="str">
        <f>IF(AND('领用录入（明细）'!D:D=$F$4,'领用录入（明细）'!C:C&gt;=$J$4,'领用录入（明细）'!C:C&lt;=$L$4),ROW(),"-")</f>
        <v>-</v>
      </c>
    </row>
    <row r="35502" customHeight="1" spans="2:2">
      <c r="B35502" s="62" t="str">
        <f>IF(AND('领用录入（明细）'!D:D=$F$4,'领用录入（明细）'!C:C&gt;=$J$4,'领用录入（明细）'!C:C&lt;=$L$4),ROW(),"-")</f>
        <v>-</v>
      </c>
    </row>
    <row r="35503" customHeight="1" spans="2:2">
      <c r="B35503" s="62" t="str">
        <f>IF(AND('领用录入（明细）'!D:D=$F$4,'领用录入（明细）'!C:C&gt;=$J$4,'领用录入（明细）'!C:C&lt;=$L$4),ROW(),"-")</f>
        <v>-</v>
      </c>
    </row>
    <row r="35504" customHeight="1" spans="2:2">
      <c r="B35504" s="62" t="str">
        <f>IF(AND('领用录入（明细）'!D:D=$F$4,'领用录入（明细）'!C:C&gt;=$J$4,'领用录入（明细）'!C:C&lt;=$L$4),ROW(),"-")</f>
        <v>-</v>
      </c>
    </row>
    <row r="35505" customHeight="1" spans="2:2">
      <c r="B35505" s="62" t="str">
        <f>IF(AND('领用录入（明细）'!D:D=$F$4,'领用录入（明细）'!C:C&gt;=$J$4,'领用录入（明细）'!C:C&lt;=$L$4),ROW(),"-")</f>
        <v>-</v>
      </c>
    </row>
    <row r="35506" customHeight="1" spans="2:2">
      <c r="B35506" s="62" t="str">
        <f>IF(AND('领用录入（明细）'!D:D=$F$4,'领用录入（明细）'!C:C&gt;=$J$4,'领用录入（明细）'!C:C&lt;=$L$4),ROW(),"-")</f>
        <v>-</v>
      </c>
    </row>
    <row r="35507" customHeight="1" spans="2:2">
      <c r="B35507" s="62" t="str">
        <f>IF(AND('领用录入（明细）'!D:D=$F$4,'领用录入（明细）'!C:C&gt;=$J$4,'领用录入（明细）'!C:C&lt;=$L$4),ROW(),"-")</f>
        <v>-</v>
      </c>
    </row>
    <row r="35508" customHeight="1" spans="2:2">
      <c r="B35508" s="62" t="str">
        <f>IF(AND('领用录入（明细）'!D:D=$F$4,'领用录入（明细）'!C:C&gt;=$J$4,'领用录入（明细）'!C:C&lt;=$L$4),ROW(),"-")</f>
        <v>-</v>
      </c>
    </row>
    <row r="35509" customHeight="1" spans="2:2">
      <c r="B35509" s="62" t="str">
        <f>IF(AND('领用录入（明细）'!D:D=$F$4,'领用录入（明细）'!C:C&gt;=$J$4,'领用录入（明细）'!C:C&lt;=$L$4),ROW(),"-")</f>
        <v>-</v>
      </c>
    </row>
    <row r="35510" customHeight="1" spans="2:2">
      <c r="B35510" s="62" t="str">
        <f>IF(AND('领用录入（明细）'!D:D=$F$4,'领用录入（明细）'!C:C&gt;=$J$4,'领用录入（明细）'!C:C&lt;=$L$4),ROW(),"-")</f>
        <v>-</v>
      </c>
    </row>
    <row r="35511" customHeight="1" spans="2:2">
      <c r="B35511" s="62" t="str">
        <f>IF(AND('领用录入（明细）'!D:D=$F$4,'领用录入（明细）'!C:C&gt;=$J$4,'领用录入（明细）'!C:C&lt;=$L$4),ROW(),"-")</f>
        <v>-</v>
      </c>
    </row>
    <row r="35512" customHeight="1" spans="2:2">
      <c r="B35512" s="62" t="str">
        <f>IF(AND('领用录入（明细）'!D:D=$F$4,'领用录入（明细）'!C:C&gt;=$J$4,'领用录入（明细）'!C:C&lt;=$L$4),ROW(),"-")</f>
        <v>-</v>
      </c>
    </row>
    <row r="35513" customHeight="1" spans="2:2">
      <c r="B35513" s="62" t="str">
        <f>IF(AND('领用录入（明细）'!D:D=$F$4,'领用录入（明细）'!C:C&gt;=$J$4,'领用录入（明细）'!C:C&lt;=$L$4),ROW(),"-")</f>
        <v>-</v>
      </c>
    </row>
    <row r="35514" customHeight="1" spans="2:2">
      <c r="B35514" s="62" t="str">
        <f>IF(AND('领用录入（明细）'!D:D=$F$4,'领用录入（明细）'!C:C&gt;=$J$4,'领用录入（明细）'!C:C&lt;=$L$4),ROW(),"-")</f>
        <v>-</v>
      </c>
    </row>
    <row r="35515" customHeight="1" spans="2:2">
      <c r="B35515" s="62" t="str">
        <f>IF(AND('领用录入（明细）'!D:D=$F$4,'领用录入（明细）'!C:C&gt;=$J$4,'领用录入（明细）'!C:C&lt;=$L$4),ROW(),"-")</f>
        <v>-</v>
      </c>
    </row>
    <row r="35516" customHeight="1" spans="2:2">
      <c r="B35516" s="62" t="str">
        <f>IF(AND('领用录入（明细）'!D:D=$F$4,'领用录入（明细）'!C:C&gt;=$J$4,'领用录入（明细）'!C:C&lt;=$L$4),ROW(),"-")</f>
        <v>-</v>
      </c>
    </row>
    <row r="35517" customHeight="1" spans="2:2">
      <c r="B35517" s="62" t="str">
        <f>IF(AND('领用录入（明细）'!D:D=$F$4,'领用录入（明细）'!C:C&gt;=$J$4,'领用录入（明细）'!C:C&lt;=$L$4),ROW(),"-")</f>
        <v>-</v>
      </c>
    </row>
    <row r="35518" customHeight="1" spans="2:2">
      <c r="B35518" s="62" t="str">
        <f>IF(AND('领用录入（明细）'!D:D=$F$4,'领用录入（明细）'!C:C&gt;=$J$4,'领用录入（明细）'!C:C&lt;=$L$4),ROW(),"-")</f>
        <v>-</v>
      </c>
    </row>
    <row r="35519" customHeight="1" spans="2:2">
      <c r="B35519" s="62" t="str">
        <f>IF(AND('领用录入（明细）'!D:D=$F$4,'领用录入（明细）'!C:C&gt;=$J$4,'领用录入（明细）'!C:C&lt;=$L$4),ROW(),"-")</f>
        <v>-</v>
      </c>
    </row>
    <row r="35520" customHeight="1" spans="2:2">
      <c r="B35520" s="62" t="str">
        <f>IF(AND('领用录入（明细）'!D:D=$F$4,'领用录入（明细）'!C:C&gt;=$J$4,'领用录入（明细）'!C:C&lt;=$L$4),ROW(),"-")</f>
        <v>-</v>
      </c>
    </row>
    <row r="35521" customHeight="1" spans="2:2">
      <c r="B35521" s="62" t="str">
        <f>IF(AND('领用录入（明细）'!D:D=$F$4,'领用录入（明细）'!C:C&gt;=$J$4,'领用录入（明细）'!C:C&lt;=$L$4),ROW(),"-")</f>
        <v>-</v>
      </c>
    </row>
    <row r="35522" customHeight="1" spans="2:2">
      <c r="B35522" s="62" t="str">
        <f>IF(AND('领用录入（明细）'!D:D=$F$4,'领用录入（明细）'!C:C&gt;=$J$4,'领用录入（明细）'!C:C&lt;=$L$4),ROW(),"-")</f>
        <v>-</v>
      </c>
    </row>
    <row r="35523" customHeight="1" spans="2:2">
      <c r="B35523" s="62" t="str">
        <f>IF(AND('领用录入（明细）'!D:D=$F$4,'领用录入（明细）'!C:C&gt;=$J$4,'领用录入（明细）'!C:C&lt;=$L$4),ROW(),"-")</f>
        <v>-</v>
      </c>
    </row>
    <row r="35524" customHeight="1" spans="2:2">
      <c r="B35524" s="62" t="str">
        <f>IF(AND('领用录入（明细）'!D:D=$F$4,'领用录入（明细）'!C:C&gt;=$J$4,'领用录入（明细）'!C:C&lt;=$L$4),ROW(),"-")</f>
        <v>-</v>
      </c>
    </row>
    <row r="35525" customHeight="1" spans="2:2">
      <c r="B35525" s="62" t="str">
        <f>IF(AND('领用录入（明细）'!D:D=$F$4,'领用录入（明细）'!C:C&gt;=$J$4,'领用录入（明细）'!C:C&lt;=$L$4),ROW(),"-")</f>
        <v>-</v>
      </c>
    </row>
    <row r="35526" customHeight="1" spans="2:2">
      <c r="B35526" s="62" t="str">
        <f>IF(AND('领用录入（明细）'!D:D=$F$4,'领用录入（明细）'!C:C&gt;=$J$4,'领用录入（明细）'!C:C&lt;=$L$4),ROW(),"-")</f>
        <v>-</v>
      </c>
    </row>
    <row r="35527" customHeight="1" spans="2:2">
      <c r="B35527" s="62" t="str">
        <f>IF(AND('领用录入（明细）'!D:D=$F$4,'领用录入（明细）'!C:C&gt;=$J$4,'领用录入（明细）'!C:C&lt;=$L$4),ROW(),"-")</f>
        <v>-</v>
      </c>
    </row>
    <row r="35528" customHeight="1" spans="2:2">
      <c r="B35528" s="62" t="str">
        <f>IF(AND('领用录入（明细）'!D:D=$F$4,'领用录入（明细）'!C:C&gt;=$J$4,'领用录入（明细）'!C:C&lt;=$L$4),ROW(),"-")</f>
        <v>-</v>
      </c>
    </row>
    <row r="35529" customHeight="1" spans="2:2">
      <c r="B35529" s="62" t="str">
        <f>IF(AND('领用录入（明细）'!D:D=$F$4,'领用录入（明细）'!C:C&gt;=$J$4,'领用录入（明细）'!C:C&lt;=$L$4),ROW(),"-")</f>
        <v>-</v>
      </c>
    </row>
    <row r="35530" customHeight="1" spans="2:2">
      <c r="B35530" s="62" t="str">
        <f>IF(AND('领用录入（明细）'!D:D=$F$4,'领用录入（明细）'!C:C&gt;=$J$4,'领用录入（明细）'!C:C&lt;=$L$4),ROW(),"-")</f>
        <v>-</v>
      </c>
    </row>
    <row r="35531" customHeight="1" spans="2:2">
      <c r="B35531" s="62" t="str">
        <f>IF(AND('领用录入（明细）'!D:D=$F$4,'领用录入（明细）'!C:C&gt;=$J$4,'领用录入（明细）'!C:C&lt;=$L$4),ROW(),"-")</f>
        <v>-</v>
      </c>
    </row>
    <row r="35532" customHeight="1" spans="2:2">
      <c r="B35532" s="62" t="str">
        <f>IF(AND('领用录入（明细）'!D:D=$F$4,'领用录入（明细）'!C:C&gt;=$J$4,'领用录入（明细）'!C:C&lt;=$L$4),ROW(),"-")</f>
        <v>-</v>
      </c>
    </row>
    <row r="35533" customHeight="1" spans="2:2">
      <c r="B35533" s="62" t="str">
        <f>IF(AND('领用录入（明细）'!D:D=$F$4,'领用录入（明细）'!C:C&gt;=$J$4,'领用录入（明细）'!C:C&lt;=$L$4),ROW(),"-")</f>
        <v>-</v>
      </c>
    </row>
    <row r="35534" customHeight="1" spans="2:2">
      <c r="B35534" s="62" t="str">
        <f>IF(AND('领用录入（明细）'!D:D=$F$4,'领用录入（明细）'!C:C&gt;=$J$4,'领用录入（明细）'!C:C&lt;=$L$4),ROW(),"-")</f>
        <v>-</v>
      </c>
    </row>
    <row r="35535" customHeight="1" spans="2:2">
      <c r="B35535" s="62" t="str">
        <f>IF(AND('领用录入（明细）'!D:D=$F$4,'领用录入（明细）'!C:C&gt;=$J$4,'领用录入（明细）'!C:C&lt;=$L$4),ROW(),"-")</f>
        <v>-</v>
      </c>
    </row>
    <row r="35536" customHeight="1" spans="2:2">
      <c r="B35536" s="62" t="str">
        <f>IF(AND('领用录入（明细）'!D:D=$F$4,'领用录入（明细）'!C:C&gt;=$J$4,'领用录入（明细）'!C:C&lt;=$L$4),ROW(),"-")</f>
        <v>-</v>
      </c>
    </row>
    <row r="35537" customHeight="1" spans="2:2">
      <c r="B35537" s="62" t="str">
        <f>IF(AND('领用录入（明细）'!D:D=$F$4,'领用录入（明细）'!C:C&gt;=$J$4,'领用录入（明细）'!C:C&lt;=$L$4),ROW(),"-")</f>
        <v>-</v>
      </c>
    </row>
    <row r="35538" customHeight="1" spans="2:2">
      <c r="B35538" s="62" t="str">
        <f>IF(AND('领用录入（明细）'!D:D=$F$4,'领用录入（明细）'!C:C&gt;=$J$4,'领用录入（明细）'!C:C&lt;=$L$4),ROW(),"-")</f>
        <v>-</v>
      </c>
    </row>
    <row r="35539" customHeight="1" spans="2:2">
      <c r="B35539" s="62" t="str">
        <f>IF(AND('领用录入（明细）'!D:D=$F$4,'领用录入（明细）'!C:C&gt;=$J$4,'领用录入（明细）'!C:C&lt;=$L$4),ROW(),"-")</f>
        <v>-</v>
      </c>
    </row>
    <row r="35540" customHeight="1" spans="2:2">
      <c r="B35540" s="62" t="str">
        <f>IF(AND('领用录入（明细）'!D:D=$F$4,'领用录入（明细）'!C:C&gt;=$J$4,'领用录入（明细）'!C:C&lt;=$L$4),ROW(),"-")</f>
        <v>-</v>
      </c>
    </row>
    <row r="35541" customHeight="1" spans="2:2">
      <c r="B35541" s="62" t="str">
        <f>IF(AND('领用录入（明细）'!D:D=$F$4,'领用录入（明细）'!C:C&gt;=$J$4,'领用录入（明细）'!C:C&lt;=$L$4),ROW(),"-")</f>
        <v>-</v>
      </c>
    </row>
    <row r="35542" customHeight="1" spans="2:2">
      <c r="B35542" s="62" t="str">
        <f>IF(AND('领用录入（明细）'!D:D=$F$4,'领用录入（明细）'!C:C&gt;=$J$4,'领用录入（明细）'!C:C&lt;=$L$4),ROW(),"-")</f>
        <v>-</v>
      </c>
    </row>
    <row r="35543" customHeight="1" spans="2:2">
      <c r="B35543" s="62" t="str">
        <f>IF(AND('领用录入（明细）'!D:D=$F$4,'领用录入（明细）'!C:C&gt;=$J$4,'领用录入（明细）'!C:C&lt;=$L$4),ROW(),"-")</f>
        <v>-</v>
      </c>
    </row>
    <row r="35544" customHeight="1" spans="2:2">
      <c r="B35544" s="62" t="str">
        <f>IF(AND('领用录入（明细）'!D:D=$F$4,'领用录入（明细）'!C:C&gt;=$J$4,'领用录入（明细）'!C:C&lt;=$L$4),ROW(),"-")</f>
        <v>-</v>
      </c>
    </row>
    <row r="35545" customHeight="1" spans="2:2">
      <c r="B35545" s="62" t="str">
        <f>IF(AND('领用录入（明细）'!D:D=$F$4,'领用录入（明细）'!C:C&gt;=$J$4,'领用录入（明细）'!C:C&lt;=$L$4),ROW(),"-")</f>
        <v>-</v>
      </c>
    </row>
    <row r="35546" customHeight="1" spans="2:2">
      <c r="B35546" s="62" t="str">
        <f>IF(AND('领用录入（明细）'!D:D=$F$4,'领用录入（明细）'!C:C&gt;=$J$4,'领用录入（明细）'!C:C&lt;=$L$4),ROW(),"-")</f>
        <v>-</v>
      </c>
    </row>
    <row r="35547" customHeight="1" spans="2:2">
      <c r="B35547" s="62" t="str">
        <f>IF(AND('领用录入（明细）'!D:D=$F$4,'领用录入（明细）'!C:C&gt;=$J$4,'领用录入（明细）'!C:C&lt;=$L$4),ROW(),"-")</f>
        <v>-</v>
      </c>
    </row>
    <row r="35548" customHeight="1" spans="2:2">
      <c r="B35548" s="62" t="str">
        <f>IF(AND('领用录入（明细）'!D:D=$F$4,'领用录入（明细）'!C:C&gt;=$J$4,'领用录入（明细）'!C:C&lt;=$L$4),ROW(),"-")</f>
        <v>-</v>
      </c>
    </row>
    <row r="35549" customHeight="1" spans="2:2">
      <c r="B35549" s="62" t="str">
        <f>IF(AND('领用录入（明细）'!D:D=$F$4,'领用录入（明细）'!C:C&gt;=$J$4,'领用录入（明细）'!C:C&lt;=$L$4),ROW(),"-")</f>
        <v>-</v>
      </c>
    </row>
    <row r="35550" customHeight="1" spans="2:2">
      <c r="B35550" s="62" t="str">
        <f>IF(AND('领用录入（明细）'!D:D=$F$4,'领用录入（明细）'!C:C&gt;=$J$4,'领用录入（明细）'!C:C&lt;=$L$4),ROW(),"-")</f>
        <v>-</v>
      </c>
    </row>
    <row r="35551" customHeight="1" spans="2:2">
      <c r="B35551" s="62" t="str">
        <f>IF(AND('领用录入（明细）'!D:D=$F$4,'领用录入（明细）'!C:C&gt;=$J$4,'领用录入（明细）'!C:C&lt;=$L$4),ROW(),"-")</f>
        <v>-</v>
      </c>
    </row>
    <row r="35552" customHeight="1" spans="2:2">
      <c r="B35552" s="62" t="str">
        <f>IF(AND('领用录入（明细）'!D:D=$F$4,'领用录入（明细）'!C:C&gt;=$J$4,'领用录入（明细）'!C:C&lt;=$L$4),ROW(),"-")</f>
        <v>-</v>
      </c>
    </row>
    <row r="35553" customHeight="1" spans="2:2">
      <c r="B35553" s="62" t="str">
        <f>IF(AND('领用录入（明细）'!D:D=$F$4,'领用录入（明细）'!C:C&gt;=$J$4,'领用录入（明细）'!C:C&lt;=$L$4),ROW(),"-")</f>
        <v>-</v>
      </c>
    </row>
    <row r="35554" customHeight="1" spans="2:2">
      <c r="B35554" s="62" t="str">
        <f>IF(AND('领用录入（明细）'!D:D=$F$4,'领用录入（明细）'!C:C&gt;=$J$4,'领用录入（明细）'!C:C&lt;=$L$4),ROW(),"-")</f>
        <v>-</v>
      </c>
    </row>
    <row r="35555" customHeight="1" spans="2:2">
      <c r="B35555" s="62" t="str">
        <f>IF(AND('领用录入（明细）'!D:D=$F$4,'领用录入（明细）'!C:C&gt;=$J$4,'领用录入（明细）'!C:C&lt;=$L$4),ROW(),"-")</f>
        <v>-</v>
      </c>
    </row>
    <row r="35556" customHeight="1" spans="2:2">
      <c r="B35556" s="62" t="str">
        <f>IF(AND('领用录入（明细）'!D:D=$F$4,'领用录入（明细）'!C:C&gt;=$J$4,'领用录入（明细）'!C:C&lt;=$L$4),ROW(),"-")</f>
        <v>-</v>
      </c>
    </row>
    <row r="35557" customHeight="1" spans="2:2">
      <c r="B35557" s="62" t="str">
        <f>IF(AND('领用录入（明细）'!D:D=$F$4,'领用录入（明细）'!C:C&gt;=$J$4,'领用录入（明细）'!C:C&lt;=$L$4),ROW(),"-")</f>
        <v>-</v>
      </c>
    </row>
    <row r="35558" customHeight="1" spans="2:2">
      <c r="B35558" s="62" t="str">
        <f>IF(AND('领用录入（明细）'!D:D=$F$4,'领用录入（明细）'!C:C&gt;=$J$4,'领用录入（明细）'!C:C&lt;=$L$4),ROW(),"-")</f>
        <v>-</v>
      </c>
    </row>
    <row r="35559" customHeight="1" spans="2:2">
      <c r="B35559" s="62" t="str">
        <f>IF(AND('领用录入（明细）'!D:D=$F$4,'领用录入（明细）'!C:C&gt;=$J$4,'领用录入（明细）'!C:C&lt;=$L$4),ROW(),"-")</f>
        <v>-</v>
      </c>
    </row>
    <row r="35560" customHeight="1" spans="2:2">
      <c r="B35560" s="62" t="str">
        <f>IF(AND('领用录入（明细）'!D:D=$F$4,'领用录入（明细）'!C:C&gt;=$J$4,'领用录入（明细）'!C:C&lt;=$L$4),ROW(),"-")</f>
        <v>-</v>
      </c>
    </row>
    <row r="35561" customHeight="1" spans="2:2">
      <c r="B35561" s="62" t="str">
        <f>IF(AND('领用录入（明细）'!D:D=$F$4,'领用录入（明细）'!C:C&gt;=$J$4,'领用录入（明细）'!C:C&lt;=$L$4),ROW(),"-")</f>
        <v>-</v>
      </c>
    </row>
    <row r="35562" customHeight="1" spans="2:2">
      <c r="B35562" s="62" t="str">
        <f>IF(AND('领用录入（明细）'!D:D=$F$4,'领用录入（明细）'!C:C&gt;=$J$4,'领用录入（明细）'!C:C&lt;=$L$4),ROW(),"-")</f>
        <v>-</v>
      </c>
    </row>
    <row r="35563" customHeight="1" spans="2:2">
      <c r="B35563" s="62" t="str">
        <f>IF(AND('领用录入（明细）'!D:D=$F$4,'领用录入（明细）'!C:C&gt;=$J$4,'领用录入（明细）'!C:C&lt;=$L$4),ROW(),"-")</f>
        <v>-</v>
      </c>
    </row>
    <row r="35564" customHeight="1" spans="2:2">
      <c r="B35564" s="62" t="str">
        <f>IF(AND('领用录入（明细）'!D:D=$F$4,'领用录入（明细）'!C:C&gt;=$J$4,'领用录入（明细）'!C:C&lt;=$L$4),ROW(),"-")</f>
        <v>-</v>
      </c>
    </row>
    <row r="35565" customHeight="1" spans="2:2">
      <c r="B35565" s="62" t="str">
        <f>IF(AND('领用录入（明细）'!D:D=$F$4,'领用录入（明细）'!C:C&gt;=$J$4,'领用录入（明细）'!C:C&lt;=$L$4),ROW(),"-")</f>
        <v>-</v>
      </c>
    </row>
    <row r="35566" customHeight="1" spans="2:2">
      <c r="B35566" s="62" t="str">
        <f>IF(AND('领用录入（明细）'!D:D=$F$4,'领用录入（明细）'!C:C&gt;=$J$4,'领用录入（明细）'!C:C&lt;=$L$4),ROW(),"-")</f>
        <v>-</v>
      </c>
    </row>
    <row r="35567" customHeight="1" spans="2:2">
      <c r="B35567" s="62" t="str">
        <f>IF(AND('领用录入（明细）'!D:D=$F$4,'领用录入（明细）'!C:C&gt;=$J$4,'领用录入（明细）'!C:C&lt;=$L$4),ROW(),"-")</f>
        <v>-</v>
      </c>
    </row>
    <row r="35568" customHeight="1" spans="2:2">
      <c r="B35568" s="62" t="str">
        <f>IF(AND('领用录入（明细）'!D:D=$F$4,'领用录入（明细）'!C:C&gt;=$J$4,'领用录入（明细）'!C:C&lt;=$L$4),ROW(),"-")</f>
        <v>-</v>
      </c>
    </row>
    <row r="35569" customHeight="1" spans="2:2">
      <c r="B35569" s="62" t="str">
        <f>IF(AND('领用录入（明细）'!D:D=$F$4,'领用录入（明细）'!C:C&gt;=$J$4,'领用录入（明细）'!C:C&lt;=$L$4),ROW(),"-")</f>
        <v>-</v>
      </c>
    </row>
    <row r="35570" customHeight="1" spans="2:2">
      <c r="B35570" s="62" t="str">
        <f>IF(AND('领用录入（明细）'!D:D=$F$4,'领用录入（明细）'!C:C&gt;=$J$4,'领用录入（明细）'!C:C&lt;=$L$4),ROW(),"-")</f>
        <v>-</v>
      </c>
    </row>
    <row r="35571" customHeight="1" spans="2:2">
      <c r="B35571" s="62" t="str">
        <f>IF(AND('领用录入（明细）'!D:D=$F$4,'领用录入（明细）'!C:C&gt;=$J$4,'领用录入（明细）'!C:C&lt;=$L$4),ROW(),"-")</f>
        <v>-</v>
      </c>
    </row>
    <row r="35572" customHeight="1" spans="2:2">
      <c r="B35572" s="62" t="str">
        <f>IF(AND('领用录入（明细）'!D:D=$F$4,'领用录入（明细）'!C:C&gt;=$J$4,'领用录入（明细）'!C:C&lt;=$L$4),ROW(),"-")</f>
        <v>-</v>
      </c>
    </row>
    <row r="35573" customHeight="1" spans="2:2">
      <c r="B35573" s="62" t="str">
        <f>IF(AND('领用录入（明细）'!D:D=$F$4,'领用录入（明细）'!C:C&gt;=$J$4,'领用录入（明细）'!C:C&lt;=$L$4),ROW(),"-")</f>
        <v>-</v>
      </c>
    </row>
    <row r="35574" customHeight="1" spans="2:2">
      <c r="B35574" s="62" t="str">
        <f>IF(AND('领用录入（明细）'!D:D=$F$4,'领用录入（明细）'!C:C&gt;=$J$4,'领用录入（明细）'!C:C&lt;=$L$4),ROW(),"-")</f>
        <v>-</v>
      </c>
    </row>
    <row r="35575" customHeight="1" spans="2:2">
      <c r="B35575" s="62" t="str">
        <f>IF(AND('领用录入（明细）'!D:D=$F$4,'领用录入（明细）'!C:C&gt;=$J$4,'领用录入（明细）'!C:C&lt;=$L$4),ROW(),"-")</f>
        <v>-</v>
      </c>
    </row>
    <row r="35576" customHeight="1" spans="2:2">
      <c r="B35576" s="62" t="str">
        <f>IF(AND('领用录入（明细）'!D:D=$F$4,'领用录入（明细）'!C:C&gt;=$J$4,'领用录入（明细）'!C:C&lt;=$L$4),ROW(),"-")</f>
        <v>-</v>
      </c>
    </row>
    <row r="35577" customHeight="1" spans="2:2">
      <c r="B35577" s="62" t="str">
        <f>IF(AND('领用录入（明细）'!D:D=$F$4,'领用录入（明细）'!C:C&gt;=$J$4,'领用录入（明细）'!C:C&lt;=$L$4),ROW(),"-")</f>
        <v>-</v>
      </c>
    </row>
    <row r="35578" customHeight="1" spans="2:2">
      <c r="B35578" s="62" t="str">
        <f>IF(AND('领用录入（明细）'!D:D=$F$4,'领用录入（明细）'!C:C&gt;=$J$4,'领用录入（明细）'!C:C&lt;=$L$4),ROW(),"-")</f>
        <v>-</v>
      </c>
    </row>
    <row r="35579" customHeight="1" spans="2:2">
      <c r="B35579" s="62" t="str">
        <f>IF(AND('领用录入（明细）'!D:D=$F$4,'领用录入（明细）'!C:C&gt;=$J$4,'领用录入（明细）'!C:C&lt;=$L$4),ROW(),"-")</f>
        <v>-</v>
      </c>
    </row>
    <row r="35580" customHeight="1" spans="2:2">
      <c r="B35580" s="62" t="str">
        <f>IF(AND('领用录入（明细）'!D:D=$F$4,'领用录入（明细）'!C:C&gt;=$J$4,'领用录入（明细）'!C:C&lt;=$L$4),ROW(),"-")</f>
        <v>-</v>
      </c>
    </row>
    <row r="35581" customHeight="1" spans="2:2">
      <c r="B35581" s="62" t="str">
        <f>IF(AND('领用录入（明细）'!D:D=$F$4,'领用录入（明细）'!C:C&gt;=$J$4,'领用录入（明细）'!C:C&lt;=$L$4),ROW(),"-")</f>
        <v>-</v>
      </c>
    </row>
    <row r="35582" customHeight="1" spans="2:2">
      <c r="B35582" s="62" t="str">
        <f>IF(AND('领用录入（明细）'!D:D=$F$4,'领用录入（明细）'!C:C&gt;=$J$4,'领用录入（明细）'!C:C&lt;=$L$4),ROW(),"-")</f>
        <v>-</v>
      </c>
    </row>
    <row r="35583" customHeight="1" spans="2:2">
      <c r="B35583" s="62" t="str">
        <f>IF(AND('领用录入（明细）'!D:D=$F$4,'领用录入（明细）'!C:C&gt;=$J$4,'领用录入（明细）'!C:C&lt;=$L$4),ROW(),"-")</f>
        <v>-</v>
      </c>
    </row>
    <row r="35584" customHeight="1" spans="2:2">
      <c r="B35584" s="62" t="str">
        <f>IF(AND('领用录入（明细）'!D:D=$F$4,'领用录入（明细）'!C:C&gt;=$J$4,'领用录入（明细）'!C:C&lt;=$L$4),ROW(),"-")</f>
        <v>-</v>
      </c>
    </row>
    <row r="35585" customHeight="1" spans="2:2">
      <c r="B35585" s="62" t="str">
        <f>IF(AND('领用录入（明细）'!D:D=$F$4,'领用录入（明细）'!C:C&gt;=$J$4,'领用录入（明细）'!C:C&lt;=$L$4),ROW(),"-")</f>
        <v>-</v>
      </c>
    </row>
    <row r="35586" customHeight="1" spans="2:2">
      <c r="B35586" s="62" t="str">
        <f>IF(AND('领用录入（明细）'!D:D=$F$4,'领用录入（明细）'!C:C&gt;=$J$4,'领用录入（明细）'!C:C&lt;=$L$4),ROW(),"-")</f>
        <v>-</v>
      </c>
    </row>
    <row r="35587" customHeight="1" spans="2:2">
      <c r="B35587" s="62" t="str">
        <f>IF(AND('领用录入（明细）'!D:D=$F$4,'领用录入（明细）'!C:C&gt;=$J$4,'领用录入（明细）'!C:C&lt;=$L$4),ROW(),"-")</f>
        <v>-</v>
      </c>
    </row>
    <row r="35588" customHeight="1" spans="2:2">
      <c r="B35588" s="62" t="str">
        <f>IF(AND('领用录入（明细）'!D:D=$F$4,'领用录入（明细）'!C:C&gt;=$J$4,'领用录入（明细）'!C:C&lt;=$L$4),ROW(),"-")</f>
        <v>-</v>
      </c>
    </row>
    <row r="35589" customHeight="1" spans="2:2">
      <c r="B35589" s="62" t="str">
        <f>IF(AND('领用录入（明细）'!D:D=$F$4,'领用录入（明细）'!C:C&gt;=$J$4,'领用录入（明细）'!C:C&lt;=$L$4),ROW(),"-")</f>
        <v>-</v>
      </c>
    </row>
    <row r="35590" customHeight="1" spans="2:2">
      <c r="B35590" s="62" t="str">
        <f>IF(AND('领用录入（明细）'!D:D=$F$4,'领用录入（明细）'!C:C&gt;=$J$4,'领用录入（明细）'!C:C&lt;=$L$4),ROW(),"-")</f>
        <v>-</v>
      </c>
    </row>
    <row r="35591" customHeight="1" spans="2:2">
      <c r="B35591" s="62" t="str">
        <f>IF(AND('领用录入（明细）'!D:D=$F$4,'领用录入（明细）'!C:C&gt;=$J$4,'领用录入（明细）'!C:C&lt;=$L$4),ROW(),"-")</f>
        <v>-</v>
      </c>
    </row>
    <row r="35592" customHeight="1" spans="2:2">
      <c r="B35592" s="62" t="str">
        <f>IF(AND('领用录入（明细）'!D:D=$F$4,'领用录入（明细）'!C:C&gt;=$J$4,'领用录入（明细）'!C:C&lt;=$L$4),ROW(),"-")</f>
        <v>-</v>
      </c>
    </row>
    <row r="35593" customHeight="1" spans="2:2">
      <c r="B35593" s="62" t="str">
        <f>IF(AND('领用录入（明细）'!D:D=$F$4,'领用录入（明细）'!C:C&gt;=$J$4,'领用录入（明细）'!C:C&lt;=$L$4),ROW(),"-")</f>
        <v>-</v>
      </c>
    </row>
    <row r="35594" customHeight="1" spans="2:2">
      <c r="B35594" s="62" t="str">
        <f>IF(AND('领用录入（明细）'!D:D=$F$4,'领用录入（明细）'!C:C&gt;=$J$4,'领用录入（明细）'!C:C&lt;=$L$4),ROW(),"-")</f>
        <v>-</v>
      </c>
    </row>
    <row r="35595" customHeight="1" spans="2:2">
      <c r="B35595" s="62" t="str">
        <f>IF(AND('领用录入（明细）'!D:D=$F$4,'领用录入（明细）'!C:C&gt;=$J$4,'领用录入（明细）'!C:C&lt;=$L$4),ROW(),"-")</f>
        <v>-</v>
      </c>
    </row>
    <row r="35596" customHeight="1" spans="2:2">
      <c r="B35596" s="62" t="str">
        <f>IF(AND('领用录入（明细）'!D:D=$F$4,'领用录入（明细）'!C:C&gt;=$J$4,'领用录入（明细）'!C:C&lt;=$L$4),ROW(),"-")</f>
        <v>-</v>
      </c>
    </row>
    <row r="35597" customHeight="1" spans="2:2">
      <c r="B35597" s="62" t="str">
        <f>IF(AND('领用录入（明细）'!D:D=$F$4,'领用录入（明细）'!C:C&gt;=$J$4,'领用录入（明细）'!C:C&lt;=$L$4),ROW(),"-")</f>
        <v>-</v>
      </c>
    </row>
    <row r="35598" customHeight="1" spans="2:2">
      <c r="B35598" s="62" t="str">
        <f>IF(AND('领用录入（明细）'!D:D=$F$4,'领用录入（明细）'!C:C&gt;=$J$4,'领用录入（明细）'!C:C&lt;=$L$4),ROW(),"-")</f>
        <v>-</v>
      </c>
    </row>
    <row r="35599" customHeight="1" spans="2:2">
      <c r="B35599" s="62" t="str">
        <f>IF(AND('领用录入（明细）'!D:D=$F$4,'领用录入（明细）'!C:C&gt;=$J$4,'领用录入（明细）'!C:C&lt;=$L$4),ROW(),"-")</f>
        <v>-</v>
      </c>
    </row>
    <row r="35600" customHeight="1" spans="2:2">
      <c r="B35600" s="62" t="str">
        <f>IF(AND('领用录入（明细）'!D:D=$F$4,'领用录入（明细）'!C:C&gt;=$J$4,'领用录入（明细）'!C:C&lt;=$L$4),ROW(),"-")</f>
        <v>-</v>
      </c>
    </row>
    <row r="35601" customHeight="1" spans="2:2">
      <c r="B35601" s="62" t="str">
        <f>IF(AND('领用录入（明细）'!D:D=$F$4,'领用录入（明细）'!C:C&gt;=$J$4,'领用录入（明细）'!C:C&lt;=$L$4),ROW(),"-")</f>
        <v>-</v>
      </c>
    </row>
    <row r="35602" customHeight="1" spans="2:2">
      <c r="B35602" s="62" t="str">
        <f>IF(AND('领用录入（明细）'!D:D=$F$4,'领用录入（明细）'!C:C&gt;=$J$4,'领用录入（明细）'!C:C&lt;=$L$4),ROW(),"-")</f>
        <v>-</v>
      </c>
    </row>
    <row r="35603" customHeight="1" spans="2:2">
      <c r="B35603" s="62" t="str">
        <f>IF(AND('领用录入（明细）'!D:D=$F$4,'领用录入（明细）'!C:C&gt;=$J$4,'领用录入（明细）'!C:C&lt;=$L$4),ROW(),"-")</f>
        <v>-</v>
      </c>
    </row>
    <row r="35604" customHeight="1" spans="2:2">
      <c r="B35604" s="62" t="str">
        <f>IF(AND('领用录入（明细）'!D:D=$F$4,'领用录入（明细）'!C:C&gt;=$J$4,'领用录入（明细）'!C:C&lt;=$L$4),ROW(),"-")</f>
        <v>-</v>
      </c>
    </row>
    <row r="35605" customHeight="1" spans="2:2">
      <c r="B35605" s="62" t="str">
        <f>IF(AND('领用录入（明细）'!D:D=$F$4,'领用录入（明细）'!C:C&gt;=$J$4,'领用录入（明细）'!C:C&lt;=$L$4),ROW(),"-")</f>
        <v>-</v>
      </c>
    </row>
    <row r="35606" customHeight="1" spans="2:2">
      <c r="B35606" s="62" t="str">
        <f>IF(AND('领用录入（明细）'!D:D=$F$4,'领用录入（明细）'!C:C&gt;=$J$4,'领用录入（明细）'!C:C&lt;=$L$4),ROW(),"-")</f>
        <v>-</v>
      </c>
    </row>
    <row r="35607" customHeight="1" spans="2:2">
      <c r="B35607" s="62" t="str">
        <f>IF(AND('领用录入（明细）'!D:D=$F$4,'领用录入（明细）'!C:C&gt;=$J$4,'领用录入（明细）'!C:C&lt;=$L$4),ROW(),"-")</f>
        <v>-</v>
      </c>
    </row>
    <row r="35608" customHeight="1" spans="2:2">
      <c r="B35608" s="62" t="str">
        <f>IF(AND('领用录入（明细）'!D:D=$F$4,'领用录入（明细）'!C:C&gt;=$J$4,'领用录入（明细）'!C:C&lt;=$L$4),ROW(),"-")</f>
        <v>-</v>
      </c>
    </row>
    <row r="35609" customHeight="1" spans="2:2">
      <c r="B35609" s="62" t="str">
        <f>IF(AND('领用录入（明细）'!D:D=$F$4,'领用录入（明细）'!C:C&gt;=$J$4,'领用录入（明细）'!C:C&lt;=$L$4),ROW(),"-")</f>
        <v>-</v>
      </c>
    </row>
    <row r="35610" customHeight="1" spans="2:2">
      <c r="B35610" s="62" t="str">
        <f>IF(AND('领用录入（明细）'!D:D=$F$4,'领用录入（明细）'!C:C&gt;=$J$4,'领用录入（明细）'!C:C&lt;=$L$4),ROW(),"-")</f>
        <v>-</v>
      </c>
    </row>
    <row r="35611" customHeight="1" spans="2:2">
      <c r="B35611" s="62" t="str">
        <f>IF(AND('领用录入（明细）'!D:D=$F$4,'领用录入（明细）'!C:C&gt;=$J$4,'领用录入（明细）'!C:C&lt;=$L$4),ROW(),"-")</f>
        <v>-</v>
      </c>
    </row>
    <row r="35612" customHeight="1" spans="2:2">
      <c r="B35612" s="62" t="str">
        <f>IF(AND('领用录入（明细）'!D:D=$F$4,'领用录入（明细）'!C:C&gt;=$J$4,'领用录入（明细）'!C:C&lt;=$L$4),ROW(),"-")</f>
        <v>-</v>
      </c>
    </row>
    <row r="35613" customHeight="1" spans="2:2">
      <c r="B35613" s="62" t="str">
        <f>IF(AND('领用录入（明细）'!D:D=$F$4,'领用录入（明细）'!C:C&gt;=$J$4,'领用录入（明细）'!C:C&lt;=$L$4),ROW(),"-")</f>
        <v>-</v>
      </c>
    </row>
    <row r="35614" customHeight="1" spans="2:2">
      <c r="B35614" s="62" t="str">
        <f>IF(AND('领用录入（明细）'!D:D=$F$4,'领用录入（明细）'!C:C&gt;=$J$4,'领用录入（明细）'!C:C&lt;=$L$4),ROW(),"-")</f>
        <v>-</v>
      </c>
    </row>
    <row r="35615" customHeight="1" spans="2:2">
      <c r="B35615" s="62" t="str">
        <f>IF(AND('领用录入（明细）'!D:D=$F$4,'领用录入（明细）'!C:C&gt;=$J$4,'领用录入（明细）'!C:C&lt;=$L$4),ROW(),"-")</f>
        <v>-</v>
      </c>
    </row>
    <row r="35616" customHeight="1" spans="2:2">
      <c r="B35616" s="62" t="str">
        <f>IF(AND('领用录入（明细）'!D:D=$F$4,'领用录入（明细）'!C:C&gt;=$J$4,'领用录入（明细）'!C:C&lt;=$L$4),ROW(),"-")</f>
        <v>-</v>
      </c>
    </row>
    <row r="35617" customHeight="1" spans="2:2">
      <c r="B35617" s="62" t="str">
        <f>IF(AND('领用录入（明细）'!D:D=$F$4,'领用录入（明细）'!C:C&gt;=$J$4,'领用录入（明细）'!C:C&lt;=$L$4),ROW(),"-")</f>
        <v>-</v>
      </c>
    </row>
    <row r="35618" customHeight="1" spans="2:2">
      <c r="B35618" s="62" t="str">
        <f>IF(AND('领用录入（明细）'!D:D=$F$4,'领用录入（明细）'!C:C&gt;=$J$4,'领用录入（明细）'!C:C&lt;=$L$4),ROW(),"-")</f>
        <v>-</v>
      </c>
    </row>
    <row r="35619" customHeight="1" spans="2:2">
      <c r="B35619" s="62" t="str">
        <f>IF(AND('领用录入（明细）'!D:D=$F$4,'领用录入（明细）'!C:C&gt;=$J$4,'领用录入（明细）'!C:C&lt;=$L$4),ROW(),"-")</f>
        <v>-</v>
      </c>
    </row>
    <row r="35620" customHeight="1" spans="2:2">
      <c r="B35620" s="62" t="str">
        <f>IF(AND('领用录入（明细）'!D:D=$F$4,'领用录入（明细）'!C:C&gt;=$J$4,'领用录入（明细）'!C:C&lt;=$L$4),ROW(),"-")</f>
        <v>-</v>
      </c>
    </row>
    <row r="35621" customHeight="1" spans="2:2">
      <c r="B35621" s="62" t="str">
        <f>IF(AND('领用录入（明细）'!D:D=$F$4,'领用录入（明细）'!C:C&gt;=$J$4,'领用录入（明细）'!C:C&lt;=$L$4),ROW(),"-")</f>
        <v>-</v>
      </c>
    </row>
    <row r="35622" customHeight="1" spans="2:2">
      <c r="B35622" s="62" t="str">
        <f>IF(AND('领用录入（明细）'!D:D=$F$4,'领用录入（明细）'!C:C&gt;=$J$4,'领用录入（明细）'!C:C&lt;=$L$4),ROW(),"-")</f>
        <v>-</v>
      </c>
    </row>
    <row r="35623" customHeight="1" spans="2:2">
      <c r="B35623" s="62" t="str">
        <f>IF(AND('领用录入（明细）'!D:D=$F$4,'领用录入（明细）'!C:C&gt;=$J$4,'领用录入（明细）'!C:C&lt;=$L$4),ROW(),"-")</f>
        <v>-</v>
      </c>
    </row>
    <row r="35624" customHeight="1" spans="2:2">
      <c r="B35624" s="62" t="str">
        <f>IF(AND('领用录入（明细）'!D:D=$F$4,'领用录入（明细）'!C:C&gt;=$J$4,'领用录入（明细）'!C:C&lt;=$L$4),ROW(),"-")</f>
        <v>-</v>
      </c>
    </row>
    <row r="35625" customHeight="1" spans="2:2">
      <c r="B35625" s="62" t="str">
        <f>IF(AND('领用录入（明细）'!D:D=$F$4,'领用录入（明细）'!C:C&gt;=$J$4,'领用录入（明细）'!C:C&lt;=$L$4),ROW(),"-")</f>
        <v>-</v>
      </c>
    </row>
    <row r="35626" customHeight="1" spans="2:2">
      <c r="B35626" s="62" t="str">
        <f>IF(AND('领用录入（明细）'!D:D=$F$4,'领用录入（明细）'!C:C&gt;=$J$4,'领用录入（明细）'!C:C&lt;=$L$4),ROW(),"-")</f>
        <v>-</v>
      </c>
    </row>
    <row r="35627" customHeight="1" spans="2:2">
      <c r="B35627" s="62" t="str">
        <f>IF(AND('领用录入（明细）'!D:D=$F$4,'领用录入（明细）'!C:C&gt;=$J$4,'领用录入（明细）'!C:C&lt;=$L$4),ROW(),"-")</f>
        <v>-</v>
      </c>
    </row>
    <row r="35628" customHeight="1" spans="2:2">
      <c r="B35628" s="62" t="str">
        <f>IF(AND('领用录入（明细）'!D:D=$F$4,'领用录入（明细）'!C:C&gt;=$J$4,'领用录入（明细）'!C:C&lt;=$L$4),ROW(),"-")</f>
        <v>-</v>
      </c>
    </row>
    <row r="35629" customHeight="1" spans="2:2">
      <c r="B35629" s="62" t="str">
        <f>IF(AND('领用录入（明细）'!D:D=$F$4,'领用录入（明细）'!C:C&gt;=$J$4,'领用录入（明细）'!C:C&lt;=$L$4),ROW(),"-")</f>
        <v>-</v>
      </c>
    </row>
    <row r="35630" customHeight="1" spans="2:2">
      <c r="B35630" s="62" t="str">
        <f>IF(AND('领用录入（明细）'!D:D=$F$4,'领用录入（明细）'!C:C&gt;=$J$4,'领用录入（明细）'!C:C&lt;=$L$4),ROW(),"-")</f>
        <v>-</v>
      </c>
    </row>
    <row r="35631" customHeight="1" spans="2:2">
      <c r="B35631" s="62" t="str">
        <f>IF(AND('领用录入（明细）'!D:D=$F$4,'领用录入（明细）'!C:C&gt;=$J$4,'领用录入（明细）'!C:C&lt;=$L$4),ROW(),"-")</f>
        <v>-</v>
      </c>
    </row>
    <row r="35632" customHeight="1" spans="2:2">
      <c r="B35632" s="62" t="str">
        <f>IF(AND('领用录入（明细）'!D:D=$F$4,'领用录入（明细）'!C:C&gt;=$J$4,'领用录入（明细）'!C:C&lt;=$L$4),ROW(),"-")</f>
        <v>-</v>
      </c>
    </row>
    <row r="35633" customHeight="1" spans="2:2">
      <c r="B35633" s="62" t="str">
        <f>IF(AND('领用录入（明细）'!D:D=$F$4,'领用录入（明细）'!C:C&gt;=$J$4,'领用录入（明细）'!C:C&lt;=$L$4),ROW(),"-")</f>
        <v>-</v>
      </c>
    </row>
    <row r="35634" customHeight="1" spans="2:2">
      <c r="B35634" s="62" t="str">
        <f>IF(AND('领用录入（明细）'!D:D=$F$4,'领用录入（明细）'!C:C&gt;=$J$4,'领用录入（明细）'!C:C&lt;=$L$4),ROW(),"-")</f>
        <v>-</v>
      </c>
    </row>
    <row r="35635" customHeight="1" spans="2:2">
      <c r="B35635" s="62" t="str">
        <f>IF(AND('领用录入（明细）'!D:D=$F$4,'领用录入（明细）'!C:C&gt;=$J$4,'领用录入（明细）'!C:C&lt;=$L$4),ROW(),"-")</f>
        <v>-</v>
      </c>
    </row>
    <row r="35636" customHeight="1" spans="2:2">
      <c r="B35636" s="62" t="str">
        <f>IF(AND('领用录入（明细）'!D:D=$F$4,'领用录入（明细）'!C:C&gt;=$J$4,'领用录入（明细）'!C:C&lt;=$L$4),ROW(),"-")</f>
        <v>-</v>
      </c>
    </row>
    <row r="35637" customHeight="1" spans="2:2">
      <c r="B35637" s="62" t="str">
        <f>IF(AND('领用录入（明细）'!D:D=$F$4,'领用录入（明细）'!C:C&gt;=$J$4,'领用录入（明细）'!C:C&lt;=$L$4),ROW(),"-")</f>
        <v>-</v>
      </c>
    </row>
    <row r="35638" customHeight="1" spans="2:2">
      <c r="B35638" s="62" t="str">
        <f>IF(AND('领用录入（明细）'!D:D=$F$4,'领用录入（明细）'!C:C&gt;=$J$4,'领用录入（明细）'!C:C&lt;=$L$4),ROW(),"-")</f>
        <v>-</v>
      </c>
    </row>
    <row r="35639" customHeight="1" spans="2:2">
      <c r="B35639" s="62" t="str">
        <f>IF(AND('领用录入（明细）'!D:D=$F$4,'领用录入（明细）'!C:C&gt;=$J$4,'领用录入（明细）'!C:C&lt;=$L$4),ROW(),"-")</f>
        <v>-</v>
      </c>
    </row>
    <row r="35640" customHeight="1" spans="2:2">
      <c r="B35640" s="62" t="str">
        <f>IF(AND('领用录入（明细）'!D:D=$F$4,'领用录入（明细）'!C:C&gt;=$J$4,'领用录入（明细）'!C:C&lt;=$L$4),ROW(),"-")</f>
        <v>-</v>
      </c>
    </row>
    <row r="35641" customHeight="1" spans="2:2">
      <c r="B35641" s="62" t="str">
        <f>IF(AND('领用录入（明细）'!D:D=$F$4,'领用录入（明细）'!C:C&gt;=$J$4,'领用录入（明细）'!C:C&lt;=$L$4),ROW(),"-")</f>
        <v>-</v>
      </c>
    </row>
    <row r="35642" customHeight="1" spans="2:2">
      <c r="B35642" s="62" t="str">
        <f>IF(AND('领用录入（明细）'!D:D=$F$4,'领用录入（明细）'!C:C&gt;=$J$4,'领用录入（明细）'!C:C&lt;=$L$4),ROW(),"-")</f>
        <v>-</v>
      </c>
    </row>
    <row r="35643" customHeight="1" spans="2:2">
      <c r="B35643" s="62" t="str">
        <f>IF(AND('领用录入（明细）'!D:D=$F$4,'领用录入（明细）'!C:C&gt;=$J$4,'领用录入（明细）'!C:C&lt;=$L$4),ROW(),"-")</f>
        <v>-</v>
      </c>
    </row>
    <row r="35644" customHeight="1" spans="2:2">
      <c r="B35644" s="62" t="str">
        <f>IF(AND('领用录入（明细）'!D:D=$F$4,'领用录入（明细）'!C:C&gt;=$J$4,'领用录入（明细）'!C:C&lt;=$L$4),ROW(),"-")</f>
        <v>-</v>
      </c>
    </row>
    <row r="35645" customHeight="1" spans="2:2">
      <c r="B35645" s="62" t="str">
        <f>IF(AND('领用录入（明细）'!D:D=$F$4,'领用录入（明细）'!C:C&gt;=$J$4,'领用录入（明细）'!C:C&lt;=$L$4),ROW(),"-")</f>
        <v>-</v>
      </c>
    </row>
    <row r="35646" customHeight="1" spans="2:2">
      <c r="B35646" s="62" t="str">
        <f>IF(AND('领用录入（明细）'!D:D=$F$4,'领用录入（明细）'!C:C&gt;=$J$4,'领用录入（明细）'!C:C&lt;=$L$4),ROW(),"-")</f>
        <v>-</v>
      </c>
    </row>
    <row r="35647" customHeight="1" spans="2:2">
      <c r="B35647" s="62" t="str">
        <f>IF(AND('领用录入（明细）'!D:D=$F$4,'领用录入（明细）'!C:C&gt;=$J$4,'领用录入（明细）'!C:C&lt;=$L$4),ROW(),"-")</f>
        <v>-</v>
      </c>
    </row>
    <row r="35648" customHeight="1" spans="2:2">
      <c r="B35648" s="62" t="str">
        <f>IF(AND('领用录入（明细）'!D:D=$F$4,'领用录入（明细）'!C:C&gt;=$J$4,'领用录入（明细）'!C:C&lt;=$L$4),ROW(),"-")</f>
        <v>-</v>
      </c>
    </row>
    <row r="35649" customHeight="1" spans="2:2">
      <c r="B35649" s="62" t="str">
        <f>IF(AND('领用录入（明细）'!D:D=$F$4,'领用录入（明细）'!C:C&gt;=$J$4,'领用录入（明细）'!C:C&lt;=$L$4),ROW(),"-")</f>
        <v>-</v>
      </c>
    </row>
    <row r="35650" customHeight="1" spans="2:2">
      <c r="B35650" s="62" t="str">
        <f>IF(AND('领用录入（明细）'!D:D=$F$4,'领用录入（明细）'!C:C&gt;=$J$4,'领用录入（明细）'!C:C&lt;=$L$4),ROW(),"-")</f>
        <v>-</v>
      </c>
    </row>
    <row r="35651" customHeight="1" spans="2:2">
      <c r="B35651" s="62" t="str">
        <f>IF(AND('领用录入（明细）'!D:D=$F$4,'领用录入（明细）'!C:C&gt;=$J$4,'领用录入（明细）'!C:C&lt;=$L$4),ROW(),"-")</f>
        <v>-</v>
      </c>
    </row>
    <row r="35652" customHeight="1" spans="2:2">
      <c r="B35652" s="62" t="str">
        <f>IF(AND('领用录入（明细）'!D:D=$F$4,'领用录入（明细）'!C:C&gt;=$J$4,'领用录入（明细）'!C:C&lt;=$L$4),ROW(),"-")</f>
        <v>-</v>
      </c>
    </row>
    <row r="35653" customHeight="1" spans="2:2">
      <c r="B35653" s="62" t="str">
        <f>IF(AND('领用录入（明细）'!D:D=$F$4,'领用录入（明细）'!C:C&gt;=$J$4,'领用录入（明细）'!C:C&lt;=$L$4),ROW(),"-")</f>
        <v>-</v>
      </c>
    </row>
    <row r="35654" customHeight="1" spans="2:2">
      <c r="B35654" s="62" t="str">
        <f>IF(AND('领用录入（明细）'!D:D=$F$4,'领用录入（明细）'!C:C&gt;=$J$4,'领用录入（明细）'!C:C&lt;=$L$4),ROW(),"-")</f>
        <v>-</v>
      </c>
    </row>
    <row r="35655" customHeight="1" spans="2:2">
      <c r="B35655" s="62" t="str">
        <f>IF(AND('领用录入（明细）'!D:D=$F$4,'领用录入（明细）'!C:C&gt;=$J$4,'领用录入（明细）'!C:C&lt;=$L$4),ROW(),"-")</f>
        <v>-</v>
      </c>
    </row>
    <row r="35656" customHeight="1" spans="2:2">
      <c r="B35656" s="62" t="str">
        <f>IF(AND('领用录入（明细）'!D:D=$F$4,'领用录入（明细）'!C:C&gt;=$J$4,'领用录入（明细）'!C:C&lt;=$L$4),ROW(),"-")</f>
        <v>-</v>
      </c>
    </row>
    <row r="35657" customHeight="1" spans="2:2">
      <c r="B35657" s="62" t="str">
        <f>IF(AND('领用录入（明细）'!D:D=$F$4,'领用录入（明细）'!C:C&gt;=$J$4,'领用录入（明细）'!C:C&lt;=$L$4),ROW(),"-")</f>
        <v>-</v>
      </c>
    </row>
    <row r="35658" customHeight="1" spans="2:2">
      <c r="B35658" s="62" t="str">
        <f>IF(AND('领用录入（明细）'!D:D=$F$4,'领用录入（明细）'!C:C&gt;=$J$4,'领用录入（明细）'!C:C&lt;=$L$4),ROW(),"-")</f>
        <v>-</v>
      </c>
    </row>
    <row r="35659" customHeight="1" spans="2:2">
      <c r="B35659" s="62" t="str">
        <f>IF(AND('领用录入（明细）'!D:D=$F$4,'领用录入（明细）'!C:C&gt;=$J$4,'领用录入（明细）'!C:C&lt;=$L$4),ROW(),"-")</f>
        <v>-</v>
      </c>
    </row>
    <row r="35660" customHeight="1" spans="2:2">
      <c r="B35660" s="62" t="str">
        <f>IF(AND('领用录入（明细）'!D:D=$F$4,'领用录入（明细）'!C:C&gt;=$J$4,'领用录入（明细）'!C:C&lt;=$L$4),ROW(),"-")</f>
        <v>-</v>
      </c>
    </row>
    <row r="35661" customHeight="1" spans="2:2">
      <c r="B35661" s="62" t="str">
        <f>IF(AND('领用录入（明细）'!D:D=$F$4,'领用录入（明细）'!C:C&gt;=$J$4,'领用录入（明细）'!C:C&lt;=$L$4),ROW(),"-")</f>
        <v>-</v>
      </c>
    </row>
    <row r="35662" customHeight="1" spans="2:2">
      <c r="B35662" s="62" t="str">
        <f>IF(AND('领用录入（明细）'!D:D=$F$4,'领用录入（明细）'!C:C&gt;=$J$4,'领用录入（明细）'!C:C&lt;=$L$4),ROW(),"-")</f>
        <v>-</v>
      </c>
    </row>
    <row r="35663" customHeight="1" spans="2:2">
      <c r="B35663" s="62" t="str">
        <f>IF(AND('领用录入（明细）'!D:D=$F$4,'领用录入（明细）'!C:C&gt;=$J$4,'领用录入（明细）'!C:C&lt;=$L$4),ROW(),"-")</f>
        <v>-</v>
      </c>
    </row>
    <row r="35664" customHeight="1" spans="2:2">
      <c r="B35664" s="62" t="str">
        <f>IF(AND('领用录入（明细）'!D:D=$F$4,'领用录入（明细）'!C:C&gt;=$J$4,'领用录入（明细）'!C:C&lt;=$L$4),ROW(),"-")</f>
        <v>-</v>
      </c>
    </row>
    <row r="35665" customHeight="1" spans="2:2">
      <c r="B35665" s="62" t="str">
        <f>IF(AND('领用录入（明细）'!D:D=$F$4,'领用录入（明细）'!C:C&gt;=$J$4,'领用录入（明细）'!C:C&lt;=$L$4),ROW(),"-")</f>
        <v>-</v>
      </c>
    </row>
    <row r="35666" customHeight="1" spans="2:2">
      <c r="B35666" s="62" t="str">
        <f>IF(AND('领用录入（明细）'!D:D=$F$4,'领用录入（明细）'!C:C&gt;=$J$4,'领用录入（明细）'!C:C&lt;=$L$4),ROW(),"-")</f>
        <v>-</v>
      </c>
    </row>
    <row r="35667" customHeight="1" spans="2:2">
      <c r="B35667" s="62" t="str">
        <f>IF(AND('领用录入（明细）'!D:D=$F$4,'领用录入（明细）'!C:C&gt;=$J$4,'领用录入（明细）'!C:C&lt;=$L$4),ROW(),"-")</f>
        <v>-</v>
      </c>
    </row>
    <row r="35668" customHeight="1" spans="2:2">
      <c r="B35668" s="62" t="str">
        <f>IF(AND('领用录入（明细）'!D:D=$F$4,'领用录入（明细）'!C:C&gt;=$J$4,'领用录入（明细）'!C:C&lt;=$L$4),ROW(),"-")</f>
        <v>-</v>
      </c>
    </row>
    <row r="35669" customHeight="1" spans="2:2">
      <c r="B35669" s="62" t="str">
        <f>IF(AND('领用录入（明细）'!D:D=$F$4,'领用录入（明细）'!C:C&gt;=$J$4,'领用录入（明细）'!C:C&lt;=$L$4),ROW(),"-")</f>
        <v>-</v>
      </c>
    </row>
    <row r="35670" customHeight="1" spans="2:2">
      <c r="B35670" s="62" t="str">
        <f>IF(AND('领用录入（明细）'!D:D=$F$4,'领用录入（明细）'!C:C&gt;=$J$4,'领用录入（明细）'!C:C&lt;=$L$4),ROW(),"-")</f>
        <v>-</v>
      </c>
    </row>
    <row r="35671" customHeight="1" spans="2:2">
      <c r="B35671" s="62" t="str">
        <f>IF(AND('领用录入（明细）'!D:D=$F$4,'领用录入（明细）'!C:C&gt;=$J$4,'领用录入（明细）'!C:C&lt;=$L$4),ROW(),"-")</f>
        <v>-</v>
      </c>
    </row>
    <row r="35672" customHeight="1" spans="2:2">
      <c r="B35672" s="62" t="str">
        <f>IF(AND('领用录入（明细）'!D:D=$F$4,'领用录入（明细）'!C:C&gt;=$J$4,'领用录入（明细）'!C:C&lt;=$L$4),ROW(),"-")</f>
        <v>-</v>
      </c>
    </row>
    <row r="35673" customHeight="1" spans="2:2">
      <c r="B35673" s="62" t="str">
        <f>IF(AND('领用录入（明细）'!D:D=$F$4,'领用录入（明细）'!C:C&gt;=$J$4,'领用录入（明细）'!C:C&lt;=$L$4),ROW(),"-")</f>
        <v>-</v>
      </c>
    </row>
    <row r="35674" customHeight="1" spans="2:2">
      <c r="B35674" s="62" t="str">
        <f>IF(AND('领用录入（明细）'!D:D=$F$4,'领用录入（明细）'!C:C&gt;=$J$4,'领用录入（明细）'!C:C&lt;=$L$4),ROW(),"-")</f>
        <v>-</v>
      </c>
    </row>
    <row r="35675" customHeight="1" spans="2:2">
      <c r="B35675" s="62" t="str">
        <f>IF(AND('领用录入（明细）'!D:D=$F$4,'领用录入（明细）'!C:C&gt;=$J$4,'领用录入（明细）'!C:C&lt;=$L$4),ROW(),"-")</f>
        <v>-</v>
      </c>
    </row>
    <row r="35676" customHeight="1" spans="2:2">
      <c r="B35676" s="62" t="str">
        <f>IF(AND('领用录入（明细）'!D:D=$F$4,'领用录入（明细）'!C:C&gt;=$J$4,'领用录入（明细）'!C:C&lt;=$L$4),ROW(),"-")</f>
        <v>-</v>
      </c>
    </row>
    <row r="35677" customHeight="1" spans="2:2">
      <c r="B35677" s="62" t="str">
        <f>IF(AND('领用录入（明细）'!D:D=$F$4,'领用录入（明细）'!C:C&gt;=$J$4,'领用录入（明细）'!C:C&lt;=$L$4),ROW(),"-")</f>
        <v>-</v>
      </c>
    </row>
    <row r="35678" customHeight="1" spans="2:2">
      <c r="B35678" s="62" t="str">
        <f>IF(AND('领用录入（明细）'!D:D=$F$4,'领用录入（明细）'!C:C&gt;=$J$4,'领用录入（明细）'!C:C&lt;=$L$4),ROW(),"-")</f>
        <v>-</v>
      </c>
    </row>
    <row r="35679" customHeight="1" spans="2:2">
      <c r="B35679" s="62" t="str">
        <f>IF(AND('领用录入（明细）'!D:D=$F$4,'领用录入（明细）'!C:C&gt;=$J$4,'领用录入（明细）'!C:C&lt;=$L$4),ROW(),"-")</f>
        <v>-</v>
      </c>
    </row>
    <row r="35680" customHeight="1" spans="2:2">
      <c r="B35680" s="62" t="str">
        <f>IF(AND('领用录入（明细）'!D:D=$F$4,'领用录入（明细）'!C:C&gt;=$J$4,'领用录入（明细）'!C:C&lt;=$L$4),ROW(),"-")</f>
        <v>-</v>
      </c>
    </row>
    <row r="35681" customHeight="1" spans="2:2">
      <c r="B35681" s="62" t="str">
        <f>IF(AND('领用录入（明细）'!D:D=$F$4,'领用录入（明细）'!C:C&gt;=$J$4,'领用录入（明细）'!C:C&lt;=$L$4),ROW(),"-")</f>
        <v>-</v>
      </c>
    </row>
    <row r="35682" customHeight="1" spans="2:2">
      <c r="B35682" s="62" t="str">
        <f>IF(AND('领用录入（明细）'!D:D=$F$4,'领用录入（明细）'!C:C&gt;=$J$4,'领用录入（明细）'!C:C&lt;=$L$4),ROW(),"-")</f>
        <v>-</v>
      </c>
    </row>
    <row r="35683" customHeight="1" spans="2:2">
      <c r="B35683" s="62" t="str">
        <f>IF(AND('领用录入（明细）'!D:D=$F$4,'领用录入（明细）'!C:C&gt;=$J$4,'领用录入（明细）'!C:C&lt;=$L$4),ROW(),"-")</f>
        <v>-</v>
      </c>
    </row>
    <row r="35684" customHeight="1" spans="2:2">
      <c r="B35684" s="62" t="str">
        <f>IF(AND('领用录入（明细）'!D:D=$F$4,'领用录入（明细）'!C:C&gt;=$J$4,'领用录入（明细）'!C:C&lt;=$L$4),ROW(),"-")</f>
        <v>-</v>
      </c>
    </row>
    <row r="35685" customHeight="1" spans="2:2">
      <c r="B35685" s="62" t="str">
        <f>IF(AND('领用录入（明细）'!D:D=$F$4,'领用录入（明细）'!C:C&gt;=$J$4,'领用录入（明细）'!C:C&lt;=$L$4),ROW(),"-")</f>
        <v>-</v>
      </c>
    </row>
    <row r="35686" customHeight="1" spans="2:2">
      <c r="B35686" s="62" t="str">
        <f>IF(AND('领用录入（明细）'!D:D=$F$4,'领用录入（明细）'!C:C&gt;=$J$4,'领用录入（明细）'!C:C&lt;=$L$4),ROW(),"-")</f>
        <v>-</v>
      </c>
    </row>
    <row r="35687" customHeight="1" spans="2:2">
      <c r="B35687" s="62" t="str">
        <f>IF(AND('领用录入（明细）'!D:D=$F$4,'领用录入（明细）'!C:C&gt;=$J$4,'领用录入（明细）'!C:C&lt;=$L$4),ROW(),"-")</f>
        <v>-</v>
      </c>
    </row>
    <row r="35688" customHeight="1" spans="2:2">
      <c r="B35688" s="62" t="str">
        <f>IF(AND('领用录入（明细）'!D:D=$F$4,'领用录入（明细）'!C:C&gt;=$J$4,'领用录入（明细）'!C:C&lt;=$L$4),ROW(),"-")</f>
        <v>-</v>
      </c>
    </row>
    <row r="35689" customHeight="1" spans="2:2">
      <c r="B35689" s="62" t="str">
        <f>IF(AND('领用录入（明细）'!D:D=$F$4,'领用录入（明细）'!C:C&gt;=$J$4,'领用录入（明细）'!C:C&lt;=$L$4),ROW(),"-")</f>
        <v>-</v>
      </c>
    </row>
    <row r="35690" customHeight="1" spans="2:2">
      <c r="B35690" s="62" t="str">
        <f>IF(AND('领用录入（明细）'!D:D=$F$4,'领用录入（明细）'!C:C&gt;=$J$4,'领用录入（明细）'!C:C&lt;=$L$4),ROW(),"-")</f>
        <v>-</v>
      </c>
    </row>
    <row r="35691" customHeight="1" spans="2:2">
      <c r="B35691" s="62" t="str">
        <f>IF(AND('领用录入（明细）'!D:D=$F$4,'领用录入（明细）'!C:C&gt;=$J$4,'领用录入（明细）'!C:C&lt;=$L$4),ROW(),"-")</f>
        <v>-</v>
      </c>
    </row>
    <row r="35692" customHeight="1" spans="2:2">
      <c r="B35692" s="62" t="str">
        <f>IF(AND('领用录入（明细）'!D:D=$F$4,'领用录入（明细）'!C:C&gt;=$J$4,'领用录入（明细）'!C:C&lt;=$L$4),ROW(),"-")</f>
        <v>-</v>
      </c>
    </row>
    <row r="35693" customHeight="1" spans="2:2">
      <c r="B35693" s="62" t="str">
        <f>IF(AND('领用录入（明细）'!D:D=$F$4,'领用录入（明细）'!C:C&gt;=$J$4,'领用录入（明细）'!C:C&lt;=$L$4),ROW(),"-")</f>
        <v>-</v>
      </c>
    </row>
    <row r="35694" customHeight="1" spans="2:2">
      <c r="B35694" s="62" t="str">
        <f>IF(AND('领用录入（明细）'!D:D=$F$4,'领用录入（明细）'!C:C&gt;=$J$4,'领用录入（明细）'!C:C&lt;=$L$4),ROW(),"-")</f>
        <v>-</v>
      </c>
    </row>
    <row r="35695" customHeight="1" spans="2:2">
      <c r="B35695" s="62" t="str">
        <f>IF(AND('领用录入（明细）'!D:D=$F$4,'领用录入（明细）'!C:C&gt;=$J$4,'领用录入（明细）'!C:C&lt;=$L$4),ROW(),"-")</f>
        <v>-</v>
      </c>
    </row>
    <row r="35696" customHeight="1" spans="2:2">
      <c r="B35696" s="62" t="str">
        <f>IF(AND('领用录入（明细）'!D:D=$F$4,'领用录入（明细）'!C:C&gt;=$J$4,'领用录入（明细）'!C:C&lt;=$L$4),ROW(),"-")</f>
        <v>-</v>
      </c>
    </row>
    <row r="35697" customHeight="1" spans="2:2">
      <c r="B35697" s="62" t="str">
        <f>IF(AND('领用录入（明细）'!D:D=$F$4,'领用录入（明细）'!C:C&gt;=$J$4,'领用录入（明细）'!C:C&lt;=$L$4),ROW(),"-")</f>
        <v>-</v>
      </c>
    </row>
    <row r="35698" customHeight="1" spans="2:2">
      <c r="B35698" s="62" t="str">
        <f>IF(AND('领用录入（明细）'!D:D=$F$4,'领用录入（明细）'!C:C&gt;=$J$4,'领用录入（明细）'!C:C&lt;=$L$4),ROW(),"-")</f>
        <v>-</v>
      </c>
    </row>
    <row r="35699" customHeight="1" spans="2:2">
      <c r="B35699" s="62" t="str">
        <f>IF(AND('领用录入（明细）'!D:D=$F$4,'领用录入（明细）'!C:C&gt;=$J$4,'领用录入（明细）'!C:C&lt;=$L$4),ROW(),"-")</f>
        <v>-</v>
      </c>
    </row>
    <row r="35700" customHeight="1" spans="2:2">
      <c r="B35700" s="62" t="str">
        <f>IF(AND('领用录入（明细）'!D:D=$F$4,'领用录入（明细）'!C:C&gt;=$J$4,'领用录入（明细）'!C:C&lt;=$L$4),ROW(),"-")</f>
        <v>-</v>
      </c>
    </row>
    <row r="35701" customHeight="1" spans="2:2">
      <c r="B35701" s="62" t="str">
        <f>IF(AND('领用录入（明细）'!D:D=$F$4,'领用录入（明细）'!C:C&gt;=$J$4,'领用录入（明细）'!C:C&lt;=$L$4),ROW(),"-")</f>
        <v>-</v>
      </c>
    </row>
    <row r="35702" customHeight="1" spans="2:2">
      <c r="B35702" s="62" t="str">
        <f>IF(AND('领用录入（明细）'!D:D=$F$4,'领用录入（明细）'!C:C&gt;=$J$4,'领用录入（明细）'!C:C&lt;=$L$4),ROW(),"-")</f>
        <v>-</v>
      </c>
    </row>
    <row r="35703" customHeight="1" spans="2:2">
      <c r="B35703" s="62" t="str">
        <f>IF(AND('领用录入（明细）'!D:D=$F$4,'领用录入（明细）'!C:C&gt;=$J$4,'领用录入（明细）'!C:C&lt;=$L$4),ROW(),"-")</f>
        <v>-</v>
      </c>
    </row>
    <row r="35704" customHeight="1" spans="2:2">
      <c r="B35704" s="62" t="str">
        <f>IF(AND('领用录入（明细）'!D:D=$F$4,'领用录入（明细）'!C:C&gt;=$J$4,'领用录入（明细）'!C:C&lt;=$L$4),ROW(),"-")</f>
        <v>-</v>
      </c>
    </row>
    <row r="35705" customHeight="1" spans="2:2">
      <c r="B35705" s="62" t="str">
        <f>IF(AND('领用录入（明细）'!D:D=$F$4,'领用录入（明细）'!C:C&gt;=$J$4,'领用录入（明细）'!C:C&lt;=$L$4),ROW(),"-")</f>
        <v>-</v>
      </c>
    </row>
    <row r="35706" customHeight="1" spans="2:2">
      <c r="B35706" s="62" t="str">
        <f>IF(AND('领用录入（明细）'!D:D=$F$4,'领用录入（明细）'!C:C&gt;=$J$4,'领用录入（明细）'!C:C&lt;=$L$4),ROW(),"-")</f>
        <v>-</v>
      </c>
    </row>
    <row r="35707" customHeight="1" spans="2:2">
      <c r="B35707" s="62" t="str">
        <f>IF(AND('领用录入（明细）'!D:D=$F$4,'领用录入（明细）'!C:C&gt;=$J$4,'领用录入（明细）'!C:C&lt;=$L$4),ROW(),"-")</f>
        <v>-</v>
      </c>
    </row>
    <row r="35708" customHeight="1" spans="2:2">
      <c r="B35708" s="62" t="str">
        <f>IF(AND('领用录入（明细）'!D:D=$F$4,'领用录入（明细）'!C:C&gt;=$J$4,'领用录入（明细）'!C:C&lt;=$L$4),ROW(),"-")</f>
        <v>-</v>
      </c>
    </row>
    <row r="35709" customHeight="1" spans="2:2">
      <c r="B35709" s="62" t="str">
        <f>IF(AND('领用录入（明细）'!D:D=$F$4,'领用录入（明细）'!C:C&gt;=$J$4,'领用录入（明细）'!C:C&lt;=$L$4),ROW(),"-")</f>
        <v>-</v>
      </c>
    </row>
    <row r="35710" customHeight="1" spans="2:2">
      <c r="B35710" s="62" t="str">
        <f>IF(AND('领用录入（明细）'!D:D=$F$4,'领用录入（明细）'!C:C&gt;=$J$4,'领用录入（明细）'!C:C&lt;=$L$4),ROW(),"-")</f>
        <v>-</v>
      </c>
    </row>
    <row r="35711" customHeight="1" spans="2:2">
      <c r="B35711" s="62" t="str">
        <f>IF(AND('领用录入（明细）'!D:D=$F$4,'领用录入（明细）'!C:C&gt;=$J$4,'领用录入（明细）'!C:C&lt;=$L$4),ROW(),"-")</f>
        <v>-</v>
      </c>
    </row>
    <row r="35712" customHeight="1" spans="2:2">
      <c r="B35712" s="62" t="str">
        <f>IF(AND('领用录入（明细）'!D:D=$F$4,'领用录入（明细）'!C:C&gt;=$J$4,'领用录入（明细）'!C:C&lt;=$L$4),ROW(),"-")</f>
        <v>-</v>
      </c>
    </row>
    <row r="35713" customHeight="1" spans="2:2">
      <c r="B35713" s="62" t="str">
        <f>IF(AND('领用录入（明细）'!D:D=$F$4,'领用录入（明细）'!C:C&gt;=$J$4,'领用录入（明细）'!C:C&lt;=$L$4),ROW(),"-")</f>
        <v>-</v>
      </c>
    </row>
    <row r="35714" customHeight="1" spans="2:2">
      <c r="B35714" s="62" t="str">
        <f>IF(AND('领用录入（明细）'!D:D=$F$4,'领用录入（明细）'!C:C&gt;=$J$4,'领用录入（明细）'!C:C&lt;=$L$4),ROW(),"-")</f>
        <v>-</v>
      </c>
    </row>
    <row r="35715" customHeight="1" spans="2:2">
      <c r="B35715" s="62" t="str">
        <f>IF(AND('领用录入（明细）'!D:D=$F$4,'领用录入（明细）'!C:C&gt;=$J$4,'领用录入（明细）'!C:C&lt;=$L$4),ROW(),"-")</f>
        <v>-</v>
      </c>
    </row>
    <row r="35716" customHeight="1" spans="2:2">
      <c r="B35716" s="62" t="str">
        <f>IF(AND('领用录入（明细）'!D:D=$F$4,'领用录入（明细）'!C:C&gt;=$J$4,'领用录入（明细）'!C:C&lt;=$L$4),ROW(),"-")</f>
        <v>-</v>
      </c>
    </row>
    <row r="35717" customHeight="1" spans="2:2">
      <c r="B35717" s="62" t="str">
        <f>IF(AND('领用录入（明细）'!D:D=$F$4,'领用录入（明细）'!C:C&gt;=$J$4,'领用录入（明细）'!C:C&lt;=$L$4),ROW(),"-")</f>
        <v>-</v>
      </c>
    </row>
    <row r="35718" customHeight="1" spans="2:2">
      <c r="B35718" s="62" t="str">
        <f>IF(AND('领用录入（明细）'!D:D=$F$4,'领用录入（明细）'!C:C&gt;=$J$4,'领用录入（明细）'!C:C&lt;=$L$4),ROW(),"-")</f>
        <v>-</v>
      </c>
    </row>
    <row r="35719" customHeight="1" spans="2:2">
      <c r="B35719" s="62" t="str">
        <f>IF(AND('领用录入（明细）'!D:D=$F$4,'领用录入（明细）'!C:C&gt;=$J$4,'领用录入（明细）'!C:C&lt;=$L$4),ROW(),"-")</f>
        <v>-</v>
      </c>
    </row>
    <row r="35720" customHeight="1" spans="2:2">
      <c r="B35720" s="62" t="str">
        <f>IF(AND('领用录入（明细）'!D:D=$F$4,'领用录入（明细）'!C:C&gt;=$J$4,'领用录入（明细）'!C:C&lt;=$L$4),ROW(),"-")</f>
        <v>-</v>
      </c>
    </row>
    <row r="35721" customHeight="1" spans="2:2">
      <c r="B35721" s="62" t="str">
        <f>IF(AND('领用录入（明细）'!D:D=$F$4,'领用录入（明细）'!C:C&gt;=$J$4,'领用录入（明细）'!C:C&lt;=$L$4),ROW(),"-")</f>
        <v>-</v>
      </c>
    </row>
    <row r="35722" customHeight="1" spans="2:2">
      <c r="B35722" s="62" t="str">
        <f>IF(AND('领用录入（明细）'!D:D=$F$4,'领用录入（明细）'!C:C&gt;=$J$4,'领用录入（明细）'!C:C&lt;=$L$4),ROW(),"-")</f>
        <v>-</v>
      </c>
    </row>
    <row r="35723" customHeight="1" spans="2:2">
      <c r="B35723" s="62" t="str">
        <f>IF(AND('领用录入（明细）'!D:D=$F$4,'领用录入（明细）'!C:C&gt;=$J$4,'领用录入（明细）'!C:C&lt;=$L$4),ROW(),"-")</f>
        <v>-</v>
      </c>
    </row>
    <row r="35724" customHeight="1" spans="2:2">
      <c r="B35724" s="62" t="str">
        <f>IF(AND('领用录入（明细）'!D:D=$F$4,'领用录入（明细）'!C:C&gt;=$J$4,'领用录入（明细）'!C:C&lt;=$L$4),ROW(),"-")</f>
        <v>-</v>
      </c>
    </row>
    <row r="35725" customHeight="1" spans="2:2">
      <c r="B35725" s="62" t="str">
        <f>IF(AND('领用录入（明细）'!D:D=$F$4,'领用录入（明细）'!C:C&gt;=$J$4,'领用录入（明细）'!C:C&lt;=$L$4),ROW(),"-")</f>
        <v>-</v>
      </c>
    </row>
    <row r="35726" customHeight="1" spans="2:2">
      <c r="B35726" s="62" t="str">
        <f>IF(AND('领用录入（明细）'!D:D=$F$4,'领用录入（明细）'!C:C&gt;=$J$4,'领用录入（明细）'!C:C&lt;=$L$4),ROW(),"-")</f>
        <v>-</v>
      </c>
    </row>
    <row r="35727" customHeight="1" spans="2:2">
      <c r="B35727" s="62" t="str">
        <f>IF(AND('领用录入（明细）'!D:D=$F$4,'领用录入（明细）'!C:C&gt;=$J$4,'领用录入（明细）'!C:C&lt;=$L$4),ROW(),"-")</f>
        <v>-</v>
      </c>
    </row>
    <row r="35728" customHeight="1" spans="2:2">
      <c r="B35728" s="62" t="str">
        <f>IF(AND('领用录入（明细）'!D:D=$F$4,'领用录入（明细）'!C:C&gt;=$J$4,'领用录入（明细）'!C:C&lt;=$L$4),ROW(),"-")</f>
        <v>-</v>
      </c>
    </row>
    <row r="35729" customHeight="1" spans="2:2">
      <c r="B35729" s="62" t="str">
        <f>IF(AND('领用录入（明细）'!D:D=$F$4,'领用录入（明细）'!C:C&gt;=$J$4,'领用录入（明细）'!C:C&lt;=$L$4),ROW(),"-")</f>
        <v>-</v>
      </c>
    </row>
    <row r="35730" customHeight="1" spans="2:2">
      <c r="B35730" s="62" t="str">
        <f>IF(AND('领用录入（明细）'!D:D=$F$4,'领用录入（明细）'!C:C&gt;=$J$4,'领用录入（明细）'!C:C&lt;=$L$4),ROW(),"-")</f>
        <v>-</v>
      </c>
    </row>
    <row r="35731" customHeight="1" spans="2:2">
      <c r="B35731" s="62" t="str">
        <f>IF(AND('领用录入（明细）'!D:D=$F$4,'领用录入（明细）'!C:C&gt;=$J$4,'领用录入（明细）'!C:C&lt;=$L$4),ROW(),"-")</f>
        <v>-</v>
      </c>
    </row>
    <row r="35732" customHeight="1" spans="2:2">
      <c r="B35732" s="62" t="str">
        <f>IF(AND('领用录入（明细）'!D:D=$F$4,'领用录入（明细）'!C:C&gt;=$J$4,'领用录入（明细）'!C:C&lt;=$L$4),ROW(),"-")</f>
        <v>-</v>
      </c>
    </row>
    <row r="35733" customHeight="1" spans="2:2">
      <c r="B35733" s="62" t="str">
        <f>IF(AND('领用录入（明细）'!D:D=$F$4,'领用录入（明细）'!C:C&gt;=$J$4,'领用录入（明细）'!C:C&lt;=$L$4),ROW(),"-")</f>
        <v>-</v>
      </c>
    </row>
    <row r="35734" customHeight="1" spans="2:2">
      <c r="B35734" s="62" t="str">
        <f>IF(AND('领用录入（明细）'!D:D=$F$4,'领用录入（明细）'!C:C&gt;=$J$4,'领用录入（明细）'!C:C&lt;=$L$4),ROW(),"-")</f>
        <v>-</v>
      </c>
    </row>
    <row r="35735" customHeight="1" spans="2:2">
      <c r="B35735" s="62" t="str">
        <f>IF(AND('领用录入（明细）'!D:D=$F$4,'领用录入（明细）'!C:C&gt;=$J$4,'领用录入（明细）'!C:C&lt;=$L$4),ROW(),"-")</f>
        <v>-</v>
      </c>
    </row>
    <row r="35736" customHeight="1" spans="2:2">
      <c r="B35736" s="62" t="str">
        <f>IF(AND('领用录入（明细）'!D:D=$F$4,'领用录入（明细）'!C:C&gt;=$J$4,'领用录入（明细）'!C:C&lt;=$L$4),ROW(),"-")</f>
        <v>-</v>
      </c>
    </row>
    <row r="35737" customHeight="1" spans="2:2">
      <c r="B35737" s="62" t="str">
        <f>IF(AND('领用录入（明细）'!D:D=$F$4,'领用录入（明细）'!C:C&gt;=$J$4,'领用录入（明细）'!C:C&lt;=$L$4),ROW(),"-")</f>
        <v>-</v>
      </c>
    </row>
    <row r="35738" customHeight="1" spans="2:2">
      <c r="B35738" s="62" t="str">
        <f>IF(AND('领用录入（明细）'!D:D=$F$4,'领用录入（明细）'!C:C&gt;=$J$4,'领用录入（明细）'!C:C&lt;=$L$4),ROW(),"-")</f>
        <v>-</v>
      </c>
    </row>
    <row r="35739" customHeight="1" spans="2:2">
      <c r="B35739" s="62" t="str">
        <f>IF(AND('领用录入（明细）'!D:D=$F$4,'领用录入（明细）'!C:C&gt;=$J$4,'领用录入（明细）'!C:C&lt;=$L$4),ROW(),"-")</f>
        <v>-</v>
      </c>
    </row>
    <row r="35740" customHeight="1" spans="2:2">
      <c r="B35740" s="62" t="str">
        <f>IF(AND('领用录入（明细）'!D:D=$F$4,'领用录入（明细）'!C:C&gt;=$J$4,'领用录入（明细）'!C:C&lt;=$L$4),ROW(),"-")</f>
        <v>-</v>
      </c>
    </row>
    <row r="35741" customHeight="1" spans="2:2">
      <c r="B35741" s="62" t="str">
        <f>IF(AND('领用录入（明细）'!D:D=$F$4,'领用录入（明细）'!C:C&gt;=$J$4,'领用录入（明细）'!C:C&lt;=$L$4),ROW(),"-")</f>
        <v>-</v>
      </c>
    </row>
    <row r="35742" customHeight="1" spans="2:2">
      <c r="B35742" s="62" t="str">
        <f>IF(AND('领用录入（明细）'!D:D=$F$4,'领用录入（明细）'!C:C&gt;=$J$4,'领用录入（明细）'!C:C&lt;=$L$4),ROW(),"-")</f>
        <v>-</v>
      </c>
    </row>
    <row r="35743" customHeight="1" spans="2:2">
      <c r="B35743" s="62" t="str">
        <f>IF(AND('领用录入（明细）'!D:D=$F$4,'领用录入（明细）'!C:C&gt;=$J$4,'领用录入（明细）'!C:C&lt;=$L$4),ROW(),"-")</f>
        <v>-</v>
      </c>
    </row>
    <row r="35744" customHeight="1" spans="2:2">
      <c r="B35744" s="62" t="str">
        <f>IF(AND('领用录入（明细）'!D:D=$F$4,'领用录入（明细）'!C:C&gt;=$J$4,'领用录入（明细）'!C:C&lt;=$L$4),ROW(),"-")</f>
        <v>-</v>
      </c>
    </row>
    <row r="35745" customHeight="1" spans="2:2">
      <c r="B35745" s="62" t="str">
        <f>IF(AND('领用录入（明细）'!D:D=$F$4,'领用录入（明细）'!C:C&gt;=$J$4,'领用录入（明细）'!C:C&lt;=$L$4),ROW(),"-")</f>
        <v>-</v>
      </c>
    </row>
    <row r="35746" customHeight="1" spans="2:2">
      <c r="B35746" s="62" t="str">
        <f>IF(AND('领用录入（明细）'!D:D=$F$4,'领用录入（明细）'!C:C&gt;=$J$4,'领用录入（明细）'!C:C&lt;=$L$4),ROW(),"-")</f>
        <v>-</v>
      </c>
    </row>
    <row r="35747" customHeight="1" spans="2:2">
      <c r="B35747" s="62" t="str">
        <f>IF(AND('领用录入（明细）'!D:D=$F$4,'领用录入（明细）'!C:C&gt;=$J$4,'领用录入（明细）'!C:C&lt;=$L$4),ROW(),"-")</f>
        <v>-</v>
      </c>
    </row>
    <row r="35748" customHeight="1" spans="2:2">
      <c r="B35748" s="62" t="str">
        <f>IF(AND('领用录入（明细）'!D:D=$F$4,'领用录入（明细）'!C:C&gt;=$J$4,'领用录入（明细）'!C:C&lt;=$L$4),ROW(),"-")</f>
        <v>-</v>
      </c>
    </row>
    <row r="35749" customHeight="1" spans="2:2">
      <c r="B35749" s="62" t="str">
        <f>IF(AND('领用录入（明细）'!D:D=$F$4,'领用录入（明细）'!C:C&gt;=$J$4,'领用录入（明细）'!C:C&lt;=$L$4),ROW(),"-")</f>
        <v>-</v>
      </c>
    </row>
    <row r="35750" customHeight="1" spans="2:2">
      <c r="B35750" s="62" t="str">
        <f>IF(AND('领用录入（明细）'!D:D=$F$4,'领用录入（明细）'!C:C&gt;=$J$4,'领用录入（明细）'!C:C&lt;=$L$4),ROW(),"-")</f>
        <v>-</v>
      </c>
    </row>
    <row r="35751" customHeight="1" spans="2:2">
      <c r="B35751" s="62" t="str">
        <f>IF(AND('领用录入（明细）'!D:D=$F$4,'领用录入（明细）'!C:C&gt;=$J$4,'领用录入（明细）'!C:C&lt;=$L$4),ROW(),"-")</f>
        <v>-</v>
      </c>
    </row>
    <row r="35752" customHeight="1" spans="2:2">
      <c r="B35752" s="62" t="str">
        <f>IF(AND('领用录入（明细）'!D:D=$F$4,'领用录入（明细）'!C:C&gt;=$J$4,'领用录入（明细）'!C:C&lt;=$L$4),ROW(),"-")</f>
        <v>-</v>
      </c>
    </row>
    <row r="35753" customHeight="1" spans="2:2">
      <c r="B35753" s="62" t="str">
        <f>IF(AND('领用录入（明细）'!D:D=$F$4,'领用录入（明细）'!C:C&gt;=$J$4,'领用录入（明细）'!C:C&lt;=$L$4),ROW(),"-")</f>
        <v>-</v>
      </c>
    </row>
    <row r="35754" customHeight="1" spans="2:2">
      <c r="B35754" s="62" t="str">
        <f>IF(AND('领用录入（明细）'!D:D=$F$4,'领用录入（明细）'!C:C&gt;=$J$4,'领用录入（明细）'!C:C&lt;=$L$4),ROW(),"-")</f>
        <v>-</v>
      </c>
    </row>
    <row r="35755" customHeight="1" spans="2:2">
      <c r="B35755" s="62" t="str">
        <f>IF(AND('领用录入（明细）'!D:D=$F$4,'领用录入（明细）'!C:C&gt;=$J$4,'领用录入（明细）'!C:C&lt;=$L$4),ROW(),"-")</f>
        <v>-</v>
      </c>
    </row>
    <row r="35756" customHeight="1" spans="2:2">
      <c r="B35756" s="62" t="str">
        <f>IF(AND('领用录入（明细）'!D:D=$F$4,'领用录入（明细）'!C:C&gt;=$J$4,'领用录入（明细）'!C:C&lt;=$L$4),ROW(),"-")</f>
        <v>-</v>
      </c>
    </row>
    <row r="35757" customHeight="1" spans="2:2">
      <c r="B35757" s="62" t="str">
        <f>IF(AND('领用录入（明细）'!D:D=$F$4,'领用录入（明细）'!C:C&gt;=$J$4,'领用录入（明细）'!C:C&lt;=$L$4),ROW(),"-")</f>
        <v>-</v>
      </c>
    </row>
    <row r="35758" customHeight="1" spans="2:2">
      <c r="B35758" s="62" t="str">
        <f>IF(AND('领用录入（明细）'!D:D=$F$4,'领用录入（明细）'!C:C&gt;=$J$4,'领用录入（明细）'!C:C&lt;=$L$4),ROW(),"-")</f>
        <v>-</v>
      </c>
    </row>
    <row r="35759" customHeight="1" spans="2:2">
      <c r="B35759" s="62" t="str">
        <f>IF(AND('领用录入（明细）'!D:D=$F$4,'领用录入（明细）'!C:C&gt;=$J$4,'领用录入（明细）'!C:C&lt;=$L$4),ROW(),"-")</f>
        <v>-</v>
      </c>
    </row>
    <row r="35760" customHeight="1" spans="2:2">
      <c r="B35760" s="62" t="str">
        <f>IF(AND('领用录入（明细）'!D:D=$F$4,'领用录入（明细）'!C:C&gt;=$J$4,'领用录入（明细）'!C:C&lt;=$L$4),ROW(),"-")</f>
        <v>-</v>
      </c>
    </row>
    <row r="35761" customHeight="1" spans="2:2">
      <c r="B35761" s="62" t="str">
        <f>IF(AND('领用录入（明细）'!D:D=$F$4,'领用录入（明细）'!C:C&gt;=$J$4,'领用录入（明细）'!C:C&lt;=$L$4),ROW(),"-")</f>
        <v>-</v>
      </c>
    </row>
    <row r="35762" customHeight="1" spans="2:2">
      <c r="B35762" s="62" t="str">
        <f>IF(AND('领用录入（明细）'!D:D=$F$4,'领用录入（明细）'!C:C&gt;=$J$4,'领用录入（明细）'!C:C&lt;=$L$4),ROW(),"-")</f>
        <v>-</v>
      </c>
    </row>
    <row r="35763" customHeight="1" spans="2:2">
      <c r="B35763" s="62" t="str">
        <f>IF(AND('领用录入（明细）'!D:D=$F$4,'领用录入（明细）'!C:C&gt;=$J$4,'领用录入（明细）'!C:C&lt;=$L$4),ROW(),"-")</f>
        <v>-</v>
      </c>
    </row>
    <row r="35764" customHeight="1" spans="2:2">
      <c r="B35764" s="62" t="str">
        <f>IF(AND('领用录入（明细）'!D:D=$F$4,'领用录入（明细）'!C:C&gt;=$J$4,'领用录入（明细）'!C:C&lt;=$L$4),ROW(),"-")</f>
        <v>-</v>
      </c>
    </row>
    <row r="35765" customHeight="1" spans="2:2">
      <c r="B35765" s="62" t="str">
        <f>IF(AND('领用录入（明细）'!D:D=$F$4,'领用录入（明细）'!C:C&gt;=$J$4,'领用录入（明细）'!C:C&lt;=$L$4),ROW(),"-")</f>
        <v>-</v>
      </c>
    </row>
    <row r="35766" customHeight="1" spans="2:2">
      <c r="B35766" s="62" t="str">
        <f>IF(AND('领用录入（明细）'!D:D=$F$4,'领用录入（明细）'!C:C&gt;=$J$4,'领用录入（明细）'!C:C&lt;=$L$4),ROW(),"-")</f>
        <v>-</v>
      </c>
    </row>
    <row r="35767" customHeight="1" spans="2:2">
      <c r="B35767" s="62" t="str">
        <f>IF(AND('领用录入（明细）'!D:D=$F$4,'领用录入（明细）'!C:C&gt;=$J$4,'领用录入（明细）'!C:C&lt;=$L$4),ROW(),"-")</f>
        <v>-</v>
      </c>
    </row>
    <row r="35768" customHeight="1" spans="2:2">
      <c r="B35768" s="62" t="str">
        <f>IF(AND('领用录入（明细）'!D:D=$F$4,'领用录入（明细）'!C:C&gt;=$J$4,'领用录入（明细）'!C:C&lt;=$L$4),ROW(),"-")</f>
        <v>-</v>
      </c>
    </row>
    <row r="35769" customHeight="1" spans="2:2">
      <c r="B35769" s="62" t="str">
        <f>IF(AND('领用录入（明细）'!D:D=$F$4,'领用录入（明细）'!C:C&gt;=$J$4,'领用录入（明细）'!C:C&lt;=$L$4),ROW(),"-")</f>
        <v>-</v>
      </c>
    </row>
    <row r="35770" customHeight="1" spans="2:2">
      <c r="B35770" s="62" t="str">
        <f>IF(AND('领用录入（明细）'!D:D=$F$4,'领用录入（明细）'!C:C&gt;=$J$4,'领用录入（明细）'!C:C&lt;=$L$4),ROW(),"-")</f>
        <v>-</v>
      </c>
    </row>
    <row r="35771" customHeight="1" spans="2:2">
      <c r="B35771" s="62" t="str">
        <f>IF(AND('领用录入（明细）'!D:D=$F$4,'领用录入（明细）'!C:C&gt;=$J$4,'领用录入（明细）'!C:C&lt;=$L$4),ROW(),"-")</f>
        <v>-</v>
      </c>
    </row>
    <row r="35772" customHeight="1" spans="2:2">
      <c r="B35772" s="62" t="str">
        <f>IF(AND('领用录入（明细）'!D:D=$F$4,'领用录入（明细）'!C:C&gt;=$J$4,'领用录入（明细）'!C:C&lt;=$L$4),ROW(),"-")</f>
        <v>-</v>
      </c>
    </row>
    <row r="35773" customHeight="1" spans="2:2">
      <c r="B35773" s="62" t="str">
        <f>IF(AND('领用录入（明细）'!D:D=$F$4,'领用录入（明细）'!C:C&gt;=$J$4,'领用录入（明细）'!C:C&lt;=$L$4),ROW(),"-")</f>
        <v>-</v>
      </c>
    </row>
    <row r="35774" customHeight="1" spans="2:2">
      <c r="B35774" s="62" t="str">
        <f>IF(AND('领用录入（明细）'!D:D=$F$4,'领用录入（明细）'!C:C&gt;=$J$4,'领用录入（明细）'!C:C&lt;=$L$4),ROW(),"-")</f>
        <v>-</v>
      </c>
    </row>
    <row r="35775" customHeight="1" spans="2:2">
      <c r="B35775" s="62" t="str">
        <f>IF(AND('领用录入（明细）'!D:D=$F$4,'领用录入（明细）'!C:C&gt;=$J$4,'领用录入（明细）'!C:C&lt;=$L$4),ROW(),"-")</f>
        <v>-</v>
      </c>
    </row>
    <row r="35776" customHeight="1" spans="2:2">
      <c r="B35776" s="62" t="str">
        <f>IF(AND('领用录入（明细）'!D:D=$F$4,'领用录入（明细）'!C:C&gt;=$J$4,'领用录入（明细）'!C:C&lt;=$L$4),ROW(),"-")</f>
        <v>-</v>
      </c>
    </row>
    <row r="35777" customHeight="1" spans="2:2">
      <c r="B35777" s="62" t="str">
        <f>IF(AND('领用录入（明细）'!D:D=$F$4,'领用录入（明细）'!C:C&gt;=$J$4,'领用录入（明细）'!C:C&lt;=$L$4),ROW(),"-")</f>
        <v>-</v>
      </c>
    </row>
    <row r="35778" customHeight="1" spans="2:2">
      <c r="B35778" s="62" t="str">
        <f>IF(AND('领用录入（明细）'!D:D=$F$4,'领用录入（明细）'!C:C&gt;=$J$4,'领用录入（明细）'!C:C&lt;=$L$4),ROW(),"-")</f>
        <v>-</v>
      </c>
    </row>
    <row r="35779" customHeight="1" spans="2:2">
      <c r="B35779" s="62" t="str">
        <f>IF(AND('领用录入（明细）'!D:D=$F$4,'领用录入（明细）'!C:C&gt;=$J$4,'领用录入（明细）'!C:C&lt;=$L$4),ROW(),"-")</f>
        <v>-</v>
      </c>
    </row>
    <row r="35780" customHeight="1" spans="2:2">
      <c r="B35780" s="62" t="str">
        <f>IF(AND('领用录入（明细）'!D:D=$F$4,'领用录入（明细）'!C:C&gt;=$J$4,'领用录入（明细）'!C:C&lt;=$L$4),ROW(),"-")</f>
        <v>-</v>
      </c>
    </row>
    <row r="35781" customHeight="1" spans="2:2">
      <c r="B35781" s="62" t="str">
        <f>IF(AND('领用录入（明细）'!D:D=$F$4,'领用录入（明细）'!C:C&gt;=$J$4,'领用录入（明细）'!C:C&lt;=$L$4),ROW(),"-")</f>
        <v>-</v>
      </c>
    </row>
    <row r="35782" customHeight="1" spans="2:2">
      <c r="B35782" s="62" t="str">
        <f>IF(AND('领用录入（明细）'!D:D=$F$4,'领用录入（明细）'!C:C&gt;=$J$4,'领用录入（明细）'!C:C&lt;=$L$4),ROW(),"-")</f>
        <v>-</v>
      </c>
    </row>
    <row r="35783" customHeight="1" spans="2:2">
      <c r="B35783" s="62" t="str">
        <f>IF(AND('领用录入（明细）'!D:D=$F$4,'领用录入（明细）'!C:C&gt;=$J$4,'领用录入（明细）'!C:C&lt;=$L$4),ROW(),"-")</f>
        <v>-</v>
      </c>
    </row>
    <row r="35784" customHeight="1" spans="2:2">
      <c r="B35784" s="62" t="str">
        <f>IF(AND('领用录入（明细）'!D:D=$F$4,'领用录入（明细）'!C:C&gt;=$J$4,'领用录入（明细）'!C:C&lt;=$L$4),ROW(),"-")</f>
        <v>-</v>
      </c>
    </row>
    <row r="35785" customHeight="1" spans="2:2">
      <c r="B35785" s="62" t="str">
        <f>IF(AND('领用录入（明细）'!D:D=$F$4,'领用录入（明细）'!C:C&gt;=$J$4,'领用录入（明细）'!C:C&lt;=$L$4),ROW(),"-")</f>
        <v>-</v>
      </c>
    </row>
    <row r="35786" customHeight="1" spans="2:2">
      <c r="B35786" s="62" t="str">
        <f>IF(AND('领用录入（明细）'!D:D=$F$4,'领用录入（明细）'!C:C&gt;=$J$4,'领用录入（明细）'!C:C&lt;=$L$4),ROW(),"-")</f>
        <v>-</v>
      </c>
    </row>
    <row r="35787" customHeight="1" spans="2:2">
      <c r="B35787" s="62" t="str">
        <f>IF(AND('领用录入（明细）'!D:D=$F$4,'领用录入（明细）'!C:C&gt;=$J$4,'领用录入（明细）'!C:C&lt;=$L$4),ROW(),"-")</f>
        <v>-</v>
      </c>
    </row>
    <row r="35788" customHeight="1" spans="2:2">
      <c r="B35788" s="62" t="str">
        <f>IF(AND('领用录入（明细）'!D:D=$F$4,'领用录入（明细）'!C:C&gt;=$J$4,'领用录入（明细）'!C:C&lt;=$L$4),ROW(),"-")</f>
        <v>-</v>
      </c>
    </row>
    <row r="35789" customHeight="1" spans="2:2">
      <c r="B35789" s="62" t="str">
        <f>IF(AND('领用录入（明细）'!D:D=$F$4,'领用录入（明细）'!C:C&gt;=$J$4,'领用录入（明细）'!C:C&lt;=$L$4),ROW(),"-")</f>
        <v>-</v>
      </c>
    </row>
    <row r="35790" customHeight="1" spans="2:2">
      <c r="B35790" s="62" t="str">
        <f>IF(AND('领用录入（明细）'!D:D=$F$4,'领用录入（明细）'!C:C&gt;=$J$4,'领用录入（明细）'!C:C&lt;=$L$4),ROW(),"-")</f>
        <v>-</v>
      </c>
    </row>
    <row r="35791" customHeight="1" spans="2:2">
      <c r="B35791" s="62" t="str">
        <f>IF(AND('领用录入（明细）'!D:D=$F$4,'领用录入（明细）'!C:C&gt;=$J$4,'领用录入（明细）'!C:C&lt;=$L$4),ROW(),"-")</f>
        <v>-</v>
      </c>
    </row>
    <row r="35792" customHeight="1" spans="2:2">
      <c r="B35792" s="62" t="str">
        <f>IF(AND('领用录入（明细）'!D:D=$F$4,'领用录入（明细）'!C:C&gt;=$J$4,'领用录入（明细）'!C:C&lt;=$L$4),ROW(),"-")</f>
        <v>-</v>
      </c>
    </row>
    <row r="35793" customHeight="1" spans="2:2">
      <c r="B35793" s="62" t="str">
        <f>IF(AND('领用录入（明细）'!D:D=$F$4,'领用录入（明细）'!C:C&gt;=$J$4,'领用录入（明细）'!C:C&lt;=$L$4),ROW(),"-")</f>
        <v>-</v>
      </c>
    </row>
    <row r="35794" customHeight="1" spans="2:2">
      <c r="B35794" s="62" t="str">
        <f>IF(AND('领用录入（明细）'!D:D=$F$4,'领用录入（明细）'!C:C&gt;=$J$4,'领用录入（明细）'!C:C&lt;=$L$4),ROW(),"-")</f>
        <v>-</v>
      </c>
    </row>
    <row r="35795" customHeight="1" spans="2:2">
      <c r="B35795" s="62" t="str">
        <f>IF(AND('领用录入（明细）'!D:D=$F$4,'领用录入（明细）'!C:C&gt;=$J$4,'领用录入（明细）'!C:C&lt;=$L$4),ROW(),"-")</f>
        <v>-</v>
      </c>
    </row>
    <row r="35796" customHeight="1" spans="2:2">
      <c r="B35796" s="62" t="str">
        <f>IF(AND('领用录入（明细）'!D:D=$F$4,'领用录入（明细）'!C:C&gt;=$J$4,'领用录入（明细）'!C:C&lt;=$L$4),ROW(),"-")</f>
        <v>-</v>
      </c>
    </row>
    <row r="35797" customHeight="1" spans="2:2">
      <c r="B35797" s="62" t="str">
        <f>IF(AND('领用录入（明细）'!D:D=$F$4,'领用录入（明细）'!C:C&gt;=$J$4,'领用录入（明细）'!C:C&lt;=$L$4),ROW(),"-")</f>
        <v>-</v>
      </c>
    </row>
    <row r="35798" customHeight="1" spans="2:2">
      <c r="B35798" s="62" t="str">
        <f>IF(AND('领用录入（明细）'!D:D=$F$4,'领用录入（明细）'!C:C&gt;=$J$4,'领用录入（明细）'!C:C&lt;=$L$4),ROW(),"-")</f>
        <v>-</v>
      </c>
    </row>
    <row r="35799" customHeight="1" spans="2:2">
      <c r="B35799" s="62" t="str">
        <f>IF(AND('领用录入（明细）'!D:D=$F$4,'领用录入（明细）'!C:C&gt;=$J$4,'领用录入（明细）'!C:C&lt;=$L$4),ROW(),"-")</f>
        <v>-</v>
      </c>
    </row>
    <row r="35800" customHeight="1" spans="2:2">
      <c r="B35800" s="62" t="str">
        <f>IF(AND('领用录入（明细）'!D:D=$F$4,'领用录入（明细）'!C:C&gt;=$J$4,'领用录入（明细）'!C:C&lt;=$L$4),ROW(),"-")</f>
        <v>-</v>
      </c>
    </row>
    <row r="35801" customHeight="1" spans="2:2">
      <c r="B35801" s="62" t="str">
        <f>IF(AND('领用录入（明细）'!D:D=$F$4,'领用录入（明细）'!C:C&gt;=$J$4,'领用录入（明细）'!C:C&lt;=$L$4),ROW(),"-")</f>
        <v>-</v>
      </c>
    </row>
    <row r="35802" customHeight="1" spans="2:2">
      <c r="B35802" s="62" t="str">
        <f>IF(AND('领用录入（明细）'!D:D=$F$4,'领用录入（明细）'!C:C&gt;=$J$4,'领用录入（明细）'!C:C&lt;=$L$4),ROW(),"-")</f>
        <v>-</v>
      </c>
    </row>
    <row r="35803" customHeight="1" spans="2:2">
      <c r="B35803" s="62" t="str">
        <f>IF(AND('领用录入（明细）'!D:D=$F$4,'领用录入（明细）'!C:C&gt;=$J$4,'领用录入（明细）'!C:C&lt;=$L$4),ROW(),"-")</f>
        <v>-</v>
      </c>
    </row>
    <row r="35804" customHeight="1" spans="2:2">
      <c r="B35804" s="62" t="str">
        <f>IF(AND('领用录入（明细）'!D:D=$F$4,'领用录入（明细）'!C:C&gt;=$J$4,'领用录入（明细）'!C:C&lt;=$L$4),ROW(),"-")</f>
        <v>-</v>
      </c>
    </row>
    <row r="35805" customHeight="1" spans="2:2">
      <c r="B35805" s="62" t="str">
        <f>IF(AND('领用录入（明细）'!D:D=$F$4,'领用录入（明细）'!C:C&gt;=$J$4,'领用录入（明细）'!C:C&lt;=$L$4),ROW(),"-")</f>
        <v>-</v>
      </c>
    </row>
    <row r="35806" customHeight="1" spans="2:2">
      <c r="B35806" s="62" t="str">
        <f>IF(AND('领用录入（明细）'!D:D=$F$4,'领用录入（明细）'!C:C&gt;=$J$4,'领用录入（明细）'!C:C&lt;=$L$4),ROW(),"-")</f>
        <v>-</v>
      </c>
    </row>
    <row r="35807" customHeight="1" spans="2:2">
      <c r="B35807" s="62" t="str">
        <f>IF(AND('领用录入（明细）'!D:D=$F$4,'领用录入（明细）'!C:C&gt;=$J$4,'领用录入（明细）'!C:C&lt;=$L$4),ROW(),"-")</f>
        <v>-</v>
      </c>
    </row>
    <row r="35808" customHeight="1" spans="2:2">
      <c r="B35808" s="62" t="str">
        <f>IF(AND('领用录入（明细）'!D:D=$F$4,'领用录入（明细）'!C:C&gt;=$J$4,'领用录入（明细）'!C:C&lt;=$L$4),ROW(),"-")</f>
        <v>-</v>
      </c>
    </row>
    <row r="35809" customHeight="1" spans="2:2">
      <c r="B35809" s="62" t="str">
        <f>IF(AND('领用录入（明细）'!D:D=$F$4,'领用录入（明细）'!C:C&gt;=$J$4,'领用录入（明细）'!C:C&lt;=$L$4),ROW(),"-")</f>
        <v>-</v>
      </c>
    </row>
    <row r="35810" customHeight="1" spans="2:2">
      <c r="B35810" s="62" t="str">
        <f>IF(AND('领用录入（明细）'!D:D=$F$4,'领用录入（明细）'!C:C&gt;=$J$4,'领用录入（明细）'!C:C&lt;=$L$4),ROW(),"-")</f>
        <v>-</v>
      </c>
    </row>
    <row r="35811" customHeight="1" spans="2:2">
      <c r="B35811" s="62" t="str">
        <f>IF(AND('领用录入（明细）'!D:D=$F$4,'领用录入（明细）'!C:C&gt;=$J$4,'领用录入（明细）'!C:C&lt;=$L$4),ROW(),"-")</f>
        <v>-</v>
      </c>
    </row>
    <row r="35812" customHeight="1" spans="2:2">
      <c r="B35812" s="62" t="str">
        <f>IF(AND('领用录入（明细）'!D:D=$F$4,'领用录入（明细）'!C:C&gt;=$J$4,'领用录入（明细）'!C:C&lt;=$L$4),ROW(),"-")</f>
        <v>-</v>
      </c>
    </row>
    <row r="35813" customHeight="1" spans="2:2">
      <c r="B35813" s="62" t="str">
        <f>IF(AND('领用录入（明细）'!D:D=$F$4,'领用录入（明细）'!C:C&gt;=$J$4,'领用录入（明细）'!C:C&lt;=$L$4),ROW(),"-")</f>
        <v>-</v>
      </c>
    </row>
    <row r="35814" customHeight="1" spans="2:2">
      <c r="B35814" s="62" t="str">
        <f>IF(AND('领用录入（明细）'!D:D=$F$4,'领用录入（明细）'!C:C&gt;=$J$4,'领用录入（明细）'!C:C&lt;=$L$4),ROW(),"-")</f>
        <v>-</v>
      </c>
    </row>
    <row r="35815" customHeight="1" spans="2:2">
      <c r="B35815" s="62" t="str">
        <f>IF(AND('领用录入（明细）'!D:D=$F$4,'领用录入（明细）'!C:C&gt;=$J$4,'领用录入（明细）'!C:C&lt;=$L$4),ROW(),"-")</f>
        <v>-</v>
      </c>
    </row>
    <row r="35816" customHeight="1" spans="2:2">
      <c r="B35816" s="62" t="str">
        <f>IF(AND('领用录入（明细）'!D:D=$F$4,'领用录入（明细）'!C:C&gt;=$J$4,'领用录入（明细）'!C:C&lt;=$L$4),ROW(),"-")</f>
        <v>-</v>
      </c>
    </row>
    <row r="35817" customHeight="1" spans="2:2">
      <c r="B35817" s="62" t="str">
        <f>IF(AND('领用录入（明细）'!D:D=$F$4,'领用录入（明细）'!C:C&gt;=$J$4,'领用录入（明细）'!C:C&lt;=$L$4),ROW(),"-")</f>
        <v>-</v>
      </c>
    </row>
    <row r="35818" customHeight="1" spans="2:2">
      <c r="B35818" s="62" t="str">
        <f>IF(AND('领用录入（明细）'!D:D=$F$4,'领用录入（明细）'!C:C&gt;=$J$4,'领用录入（明细）'!C:C&lt;=$L$4),ROW(),"-")</f>
        <v>-</v>
      </c>
    </row>
    <row r="35819" customHeight="1" spans="2:2">
      <c r="B35819" s="62" t="str">
        <f>IF(AND('领用录入（明细）'!D:D=$F$4,'领用录入（明细）'!C:C&gt;=$J$4,'领用录入（明细）'!C:C&lt;=$L$4),ROW(),"-")</f>
        <v>-</v>
      </c>
    </row>
    <row r="35820" customHeight="1" spans="2:2">
      <c r="B35820" s="62" t="str">
        <f>IF(AND('领用录入（明细）'!D:D=$F$4,'领用录入（明细）'!C:C&gt;=$J$4,'领用录入（明细）'!C:C&lt;=$L$4),ROW(),"-")</f>
        <v>-</v>
      </c>
    </row>
    <row r="35821" customHeight="1" spans="2:2">
      <c r="B35821" s="62" t="str">
        <f>IF(AND('领用录入（明细）'!D:D=$F$4,'领用录入（明细）'!C:C&gt;=$J$4,'领用录入（明细）'!C:C&lt;=$L$4),ROW(),"-")</f>
        <v>-</v>
      </c>
    </row>
    <row r="35822" customHeight="1" spans="2:2">
      <c r="B35822" s="62" t="str">
        <f>IF(AND('领用录入（明细）'!D:D=$F$4,'领用录入（明细）'!C:C&gt;=$J$4,'领用录入（明细）'!C:C&lt;=$L$4),ROW(),"-")</f>
        <v>-</v>
      </c>
    </row>
    <row r="35823" customHeight="1" spans="2:2">
      <c r="B35823" s="62" t="str">
        <f>IF(AND('领用录入（明细）'!D:D=$F$4,'领用录入（明细）'!C:C&gt;=$J$4,'领用录入（明细）'!C:C&lt;=$L$4),ROW(),"-")</f>
        <v>-</v>
      </c>
    </row>
    <row r="35824" customHeight="1" spans="2:2">
      <c r="B35824" s="62" t="str">
        <f>IF(AND('领用录入（明细）'!D:D=$F$4,'领用录入（明细）'!C:C&gt;=$J$4,'领用录入（明细）'!C:C&lt;=$L$4),ROW(),"-")</f>
        <v>-</v>
      </c>
    </row>
    <row r="35825" customHeight="1" spans="2:2">
      <c r="B35825" s="62" t="str">
        <f>IF(AND('领用录入（明细）'!D:D=$F$4,'领用录入（明细）'!C:C&gt;=$J$4,'领用录入（明细）'!C:C&lt;=$L$4),ROW(),"-")</f>
        <v>-</v>
      </c>
    </row>
    <row r="35826" customHeight="1" spans="2:2">
      <c r="B35826" s="62" t="str">
        <f>IF(AND('领用录入（明细）'!D:D=$F$4,'领用录入（明细）'!C:C&gt;=$J$4,'领用录入（明细）'!C:C&lt;=$L$4),ROW(),"-")</f>
        <v>-</v>
      </c>
    </row>
    <row r="35827" customHeight="1" spans="2:2">
      <c r="B35827" s="62" t="str">
        <f>IF(AND('领用录入（明细）'!D:D=$F$4,'领用录入（明细）'!C:C&gt;=$J$4,'领用录入（明细）'!C:C&lt;=$L$4),ROW(),"-")</f>
        <v>-</v>
      </c>
    </row>
    <row r="35828" customHeight="1" spans="2:2">
      <c r="B35828" s="62" t="str">
        <f>IF(AND('领用录入（明细）'!D:D=$F$4,'领用录入（明细）'!C:C&gt;=$J$4,'领用录入（明细）'!C:C&lt;=$L$4),ROW(),"-")</f>
        <v>-</v>
      </c>
    </row>
    <row r="35829" customHeight="1" spans="2:2">
      <c r="B35829" s="62" t="str">
        <f>IF(AND('领用录入（明细）'!D:D=$F$4,'领用录入（明细）'!C:C&gt;=$J$4,'领用录入（明细）'!C:C&lt;=$L$4),ROW(),"-")</f>
        <v>-</v>
      </c>
    </row>
    <row r="35830" customHeight="1" spans="2:2">
      <c r="B35830" s="62" t="str">
        <f>IF(AND('领用录入（明细）'!D:D=$F$4,'领用录入（明细）'!C:C&gt;=$J$4,'领用录入（明细）'!C:C&lt;=$L$4),ROW(),"-")</f>
        <v>-</v>
      </c>
    </row>
    <row r="35831" customHeight="1" spans="2:2">
      <c r="B35831" s="62" t="str">
        <f>IF(AND('领用录入（明细）'!D:D=$F$4,'领用录入（明细）'!C:C&gt;=$J$4,'领用录入（明细）'!C:C&lt;=$L$4),ROW(),"-")</f>
        <v>-</v>
      </c>
    </row>
    <row r="35832" customHeight="1" spans="2:2">
      <c r="B35832" s="62" t="str">
        <f>IF(AND('领用录入（明细）'!D:D=$F$4,'领用录入（明细）'!C:C&gt;=$J$4,'领用录入（明细）'!C:C&lt;=$L$4),ROW(),"-")</f>
        <v>-</v>
      </c>
    </row>
    <row r="35833" customHeight="1" spans="2:2">
      <c r="B35833" s="62" t="str">
        <f>IF(AND('领用录入（明细）'!D:D=$F$4,'领用录入（明细）'!C:C&gt;=$J$4,'领用录入（明细）'!C:C&lt;=$L$4),ROW(),"-")</f>
        <v>-</v>
      </c>
    </row>
    <row r="35834" customHeight="1" spans="2:2">
      <c r="B35834" s="62" t="str">
        <f>IF(AND('领用录入（明细）'!D:D=$F$4,'领用录入（明细）'!C:C&gt;=$J$4,'领用录入（明细）'!C:C&lt;=$L$4),ROW(),"-")</f>
        <v>-</v>
      </c>
    </row>
    <row r="35835" customHeight="1" spans="2:2">
      <c r="B35835" s="62" t="str">
        <f>IF(AND('领用录入（明细）'!D:D=$F$4,'领用录入（明细）'!C:C&gt;=$J$4,'领用录入（明细）'!C:C&lt;=$L$4),ROW(),"-")</f>
        <v>-</v>
      </c>
    </row>
    <row r="35836" customHeight="1" spans="2:2">
      <c r="B35836" s="62" t="str">
        <f>IF(AND('领用录入（明细）'!D:D=$F$4,'领用录入（明细）'!C:C&gt;=$J$4,'领用录入（明细）'!C:C&lt;=$L$4),ROW(),"-")</f>
        <v>-</v>
      </c>
    </row>
    <row r="35837" customHeight="1" spans="2:2">
      <c r="B35837" s="62" t="str">
        <f>IF(AND('领用录入（明细）'!D:D=$F$4,'领用录入（明细）'!C:C&gt;=$J$4,'领用录入（明细）'!C:C&lt;=$L$4),ROW(),"-")</f>
        <v>-</v>
      </c>
    </row>
    <row r="35838" customHeight="1" spans="2:2">
      <c r="B35838" s="62" t="str">
        <f>IF(AND('领用录入（明细）'!D:D=$F$4,'领用录入（明细）'!C:C&gt;=$J$4,'领用录入（明细）'!C:C&lt;=$L$4),ROW(),"-")</f>
        <v>-</v>
      </c>
    </row>
    <row r="35839" customHeight="1" spans="2:2">
      <c r="B35839" s="62" t="str">
        <f>IF(AND('领用录入（明细）'!D:D=$F$4,'领用录入（明细）'!C:C&gt;=$J$4,'领用录入（明细）'!C:C&lt;=$L$4),ROW(),"-")</f>
        <v>-</v>
      </c>
    </row>
    <row r="35840" customHeight="1" spans="2:2">
      <c r="B35840" s="62" t="str">
        <f>IF(AND('领用录入（明细）'!D:D=$F$4,'领用录入（明细）'!C:C&gt;=$J$4,'领用录入（明细）'!C:C&lt;=$L$4),ROW(),"-")</f>
        <v>-</v>
      </c>
    </row>
    <row r="35841" customHeight="1" spans="2:2">
      <c r="B35841" s="62" t="str">
        <f>IF(AND('领用录入（明细）'!D:D=$F$4,'领用录入（明细）'!C:C&gt;=$J$4,'领用录入（明细）'!C:C&lt;=$L$4),ROW(),"-")</f>
        <v>-</v>
      </c>
    </row>
    <row r="35842" customHeight="1" spans="2:2">
      <c r="B35842" s="62" t="str">
        <f>IF(AND('领用录入（明细）'!D:D=$F$4,'领用录入（明细）'!C:C&gt;=$J$4,'领用录入（明细）'!C:C&lt;=$L$4),ROW(),"-")</f>
        <v>-</v>
      </c>
    </row>
    <row r="35843" customHeight="1" spans="2:2">
      <c r="B35843" s="62" t="str">
        <f>IF(AND('领用录入（明细）'!D:D=$F$4,'领用录入（明细）'!C:C&gt;=$J$4,'领用录入（明细）'!C:C&lt;=$L$4),ROW(),"-")</f>
        <v>-</v>
      </c>
    </row>
    <row r="35844" customHeight="1" spans="2:2">
      <c r="B35844" s="62" t="str">
        <f>IF(AND('领用录入（明细）'!D:D=$F$4,'领用录入（明细）'!C:C&gt;=$J$4,'领用录入（明细）'!C:C&lt;=$L$4),ROW(),"-")</f>
        <v>-</v>
      </c>
    </row>
    <row r="35845" customHeight="1" spans="2:2">
      <c r="B35845" s="62" t="str">
        <f>IF(AND('领用录入（明细）'!D:D=$F$4,'领用录入（明细）'!C:C&gt;=$J$4,'领用录入（明细）'!C:C&lt;=$L$4),ROW(),"-")</f>
        <v>-</v>
      </c>
    </row>
    <row r="35846" customHeight="1" spans="2:2">
      <c r="B35846" s="62" t="str">
        <f>IF(AND('领用录入（明细）'!D:D=$F$4,'领用录入（明细）'!C:C&gt;=$J$4,'领用录入（明细）'!C:C&lt;=$L$4),ROW(),"-")</f>
        <v>-</v>
      </c>
    </row>
    <row r="35847" customHeight="1" spans="2:2">
      <c r="B35847" s="62" t="str">
        <f>IF(AND('领用录入（明细）'!D:D=$F$4,'领用录入（明细）'!C:C&gt;=$J$4,'领用录入（明细）'!C:C&lt;=$L$4),ROW(),"-")</f>
        <v>-</v>
      </c>
    </row>
    <row r="35848" customHeight="1" spans="2:2">
      <c r="B35848" s="62" t="str">
        <f>IF(AND('领用录入（明细）'!D:D=$F$4,'领用录入（明细）'!C:C&gt;=$J$4,'领用录入（明细）'!C:C&lt;=$L$4),ROW(),"-")</f>
        <v>-</v>
      </c>
    </row>
    <row r="35849" customHeight="1" spans="2:2">
      <c r="B35849" s="62" t="str">
        <f>IF(AND('领用录入（明细）'!D:D=$F$4,'领用录入（明细）'!C:C&gt;=$J$4,'领用录入（明细）'!C:C&lt;=$L$4),ROW(),"-")</f>
        <v>-</v>
      </c>
    </row>
    <row r="35850" customHeight="1" spans="2:2">
      <c r="B35850" s="62" t="str">
        <f>IF(AND('领用录入（明细）'!D:D=$F$4,'领用录入（明细）'!C:C&gt;=$J$4,'领用录入（明细）'!C:C&lt;=$L$4),ROW(),"-")</f>
        <v>-</v>
      </c>
    </row>
    <row r="35851" customHeight="1" spans="2:2">
      <c r="B35851" s="62" t="str">
        <f>IF(AND('领用录入（明细）'!D:D=$F$4,'领用录入（明细）'!C:C&gt;=$J$4,'领用录入（明细）'!C:C&lt;=$L$4),ROW(),"-")</f>
        <v>-</v>
      </c>
    </row>
    <row r="35852" customHeight="1" spans="2:2">
      <c r="B35852" s="62" t="str">
        <f>IF(AND('领用录入（明细）'!D:D=$F$4,'领用录入（明细）'!C:C&gt;=$J$4,'领用录入（明细）'!C:C&lt;=$L$4),ROW(),"-")</f>
        <v>-</v>
      </c>
    </row>
    <row r="35853" customHeight="1" spans="2:2">
      <c r="B35853" s="62" t="str">
        <f>IF(AND('领用录入（明细）'!D:D=$F$4,'领用录入（明细）'!C:C&gt;=$J$4,'领用录入（明细）'!C:C&lt;=$L$4),ROW(),"-")</f>
        <v>-</v>
      </c>
    </row>
    <row r="35854" customHeight="1" spans="2:2">
      <c r="B35854" s="62" t="str">
        <f>IF(AND('领用录入（明细）'!D:D=$F$4,'领用录入（明细）'!C:C&gt;=$J$4,'领用录入（明细）'!C:C&lt;=$L$4),ROW(),"-")</f>
        <v>-</v>
      </c>
    </row>
    <row r="35855" customHeight="1" spans="2:2">
      <c r="B35855" s="62" t="str">
        <f>IF(AND('领用录入（明细）'!D:D=$F$4,'领用录入（明细）'!C:C&gt;=$J$4,'领用录入（明细）'!C:C&lt;=$L$4),ROW(),"-")</f>
        <v>-</v>
      </c>
    </row>
    <row r="35856" customHeight="1" spans="2:2">
      <c r="B35856" s="62" t="str">
        <f>IF(AND('领用录入（明细）'!D:D=$F$4,'领用录入（明细）'!C:C&gt;=$J$4,'领用录入（明细）'!C:C&lt;=$L$4),ROW(),"-")</f>
        <v>-</v>
      </c>
    </row>
    <row r="35857" customHeight="1" spans="2:2">
      <c r="B35857" s="62" t="str">
        <f>IF(AND('领用录入（明细）'!D:D=$F$4,'领用录入（明细）'!C:C&gt;=$J$4,'领用录入（明细）'!C:C&lt;=$L$4),ROW(),"-")</f>
        <v>-</v>
      </c>
    </row>
    <row r="35858" customHeight="1" spans="2:2">
      <c r="B35858" s="62" t="str">
        <f>IF(AND('领用录入（明细）'!D:D=$F$4,'领用录入（明细）'!C:C&gt;=$J$4,'领用录入（明细）'!C:C&lt;=$L$4),ROW(),"-")</f>
        <v>-</v>
      </c>
    </row>
    <row r="35859" customHeight="1" spans="2:2">
      <c r="B35859" s="62" t="str">
        <f>IF(AND('领用录入（明细）'!D:D=$F$4,'领用录入（明细）'!C:C&gt;=$J$4,'领用录入（明细）'!C:C&lt;=$L$4),ROW(),"-")</f>
        <v>-</v>
      </c>
    </row>
    <row r="35860" customHeight="1" spans="2:2">
      <c r="B35860" s="62" t="str">
        <f>IF(AND('领用录入（明细）'!D:D=$F$4,'领用录入（明细）'!C:C&gt;=$J$4,'领用录入（明细）'!C:C&lt;=$L$4),ROW(),"-")</f>
        <v>-</v>
      </c>
    </row>
    <row r="35861" customHeight="1" spans="2:2">
      <c r="B35861" s="62" t="str">
        <f>IF(AND('领用录入（明细）'!D:D=$F$4,'领用录入（明细）'!C:C&gt;=$J$4,'领用录入（明细）'!C:C&lt;=$L$4),ROW(),"-")</f>
        <v>-</v>
      </c>
    </row>
    <row r="35862" customHeight="1" spans="2:2">
      <c r="B35862" s="62" t="str">
        <f>IF(AND('领用录入（明细）'!D:D=$F$4,'领用录入（明细）'!C:C&gt;=$J$4,'领用录入（明细）'!C:C&lt;=$L$4),ROW(),"-")</f>
        <v>-</v>
      </c>
    </row>
    <row r="35863" customHeight="1" spans="2:2">
      <c r="B35863" s="62" t="str">
        <f>IF(AND('领用录入（明细）'!D:D=$F$4,'领用录入（明细）'!C:C&gt;=$J$4,'领用录入（明细）'!C:C&lt;=$L$4),ROW(),"-")</f>
        <v>-</v>
      </c>
    </row>
    <row r="35864" customHeight="1" spans="2:2">
      <c r="B35864" s="62" t="str">
        <f>IF(AND('领用录入（明细）'!D:D=$F$4,'领用录入（明细）'!C:C&gt;=$J$4,'领用录入（明细）'!C:C&lt;=$L$4),ROW(),"-")</f>
        <v>-</v>
      </c>
    </row>
    <row r="35865" customHeight="1" spans="2:2">
      <c r="B35865" s="62" t="str">
        <f>IF(AND('领用录入（明细）'!D:D=$F$4,'领用录入（明细）'!C:C&gt;=$J$4,'领用录入（明细）'!C:C&lt;=$L$4),ROW(),"-")</f>
        <v>-</v>
      </c>
    </row>
    <row r="35866" customHeight="1" spans="2:2">
      <c r="B35866" s="62" t="str">
        <f>IF(AND('领用录入（明细）'!D:D=$F$4,'领用录入（明细）'!C:C&gt;=$J$4,'领用录入（明细）'!C:C&lt;=$L$4),ROW(),"-")</f>
        <v>-</v>
      </c>
    </row>
    <row r="35867" customHeight="1" spans="2:2">
      <c r="B35867" s="62" t="str">
        <f>IF(AND('领用录入（明细）'!D:D=$F$4,'领用录入（明细）'!C:C&gt;=$J$4,'领用录入（明细）'!C:C&lt;=$L$4),ROW(),"-")</f>
        <v>-</v>
      </c>
    </row>
    <row r="35868" customHeight="1" spans="2:2">
      <c r="B35868" s="62" t="str">
        <f>IF(AND('领用录入（明细）'!D:D=$F$4,'领用录入（明细）'!C:C&gt;=$J$4,'领用录入（明细）'!C:C&lt;=$L$4),ROW(),"-")</f>
        <v>-</v>
      </c>
    </row>
    <row r="35869" customHeight="1" spans="2:2">
      <c r="B35869" s="62" t="str">
        <f>IF(AND('领用录入（明细）'!D:D=$F$4,'领用录入（明细）'!C:C&gt;=$J$4,'领用录入（明细）'!C:C&lt;=$L$4),ROW(),"-")</f>
        <v>-</v>
      </c>
    </row>
    <row r="35870" customHeight="1" spans="2:2">
      <c r="B35870" s="62" t="str">
        <f>IF(AND('领用录入（明细）'!D:D=$F$4,'领用录入（明细）'!C:C&gt;=$J$4,'领用录入（明细）'!C:C&lt;=$L$4),ROW(),"-")</f>
        <v>-</v>
      </c>
    </row>
    <row r="35871" customHeight="1" spans="2:2">
      <c r="B35871" s="62" t="str">
        <f>IF(AND('领用录入（明细）'!D:D=$F$4,'领用录入（明细）'!C:C&gt;=$J$4,'领用录入（明细）'!C:C&lt;=$L$4),ROW(),"-")</f>
        <v>-</v>
      </c>
    </row>
    <row r="35872" customHeight="1" spans="2:2">
      <c r="B35872" s="62" t="str">
        <f>IF(AND('领用录入（明细）'!D:D=$F$4,'领用录入（明细）'!C:C&gt;=$J$4,'领用录入（明细）'!C:C&lt;=$L$4),ROW(),"-")</f>
        <v>-</v>
      </c>
    </row>
    <row r="35873" customHeight="1" spans="2:2">
      <c r="B35873" s="62" t="str">
        <f>IF(AND('领用录入（明细）'!D:D=$F$4,'领用录入（明细）'!C:C&gt;=$J$4,'领用录入（明细）'!C:C&lt;=$L$4),ROW(),"-")</f>
        <v>-</v>
      </c>
    </row>
    <row r="35874" customHeight="1" spans="2:2">
      <c r="B35874" s="62" t="str">
        <f>IF(AND('领用录入（明细）'!D:D=$F$4,'领用录入（明细）'!C:C&gt;=$J$4,'领用录入（明细）'!C:C&lt;=$L$4),ROW(),"-")</f>
        <v>-</v>
      </c>
    </row>
    <row r="35875" customHeight="1" spans="2:2">
      <c r="B35875" s="62" t="str">
        <f>IF(AND('领用录入（明细）'!D:D=$F$4,'领用录入（明细）'!C:C&gt;=$J$4,'领用录入（明细）'!C:C&lt;=$L$4),ROW(),"-")</f>
        <v>-</v>
      </c>
    </row>
    <row r="35876" customHeight="1" spans="2:2">
      <c r="B35876" s="62" t="str">
        <f>IF(AND('领用录入（明细）'!D:D=$F$4,'领用录入（明细）'!C:C&gt;=$J$4,'领用录入（明细）'!C:C&lt;=$L$4),ROW(),"-")</f>
        <v>-</v>
      </c>
    </row>
    <row r="35877" customHeight="1" spans="2:2">
      <c r="B35877" s="62" t="str">
        <f>IF(AND('领用录入（明细）'!D:D=$F$4,'领用录入（明细）'!C:C&gt;=$J$4,'领用录入（明细）'!C:C&lt;=$L$4),ROW(),"-")</f>
        <v>-</v>
      </c>
    </row>
    <row r="35878" customHeight="1" spans="2:2">
      <c r="B35878" s="62" t="str">
        <f>IF(AND('领用录入（明细）'!D:D=$F$4,'领用录入（明细）'!C:C&gt;=$J$4,'领用录入（明细）'!C:C&lt;=$L$4),ROW(),"-")</f>
        <v>-</v>
      </c>
    </row>
    <row r="35879" customHeight="1" spans="2:2">
      <c r="B35879" s="62" t="str">
        <f>IF(AND('领用录入（明细）'!D:D=$F$4,'领用录入（明细）'!C:C&gt;=$J$4,'领用录入（明细）'!C:C&lt;=$L$4),ROW(),"-")</f>
        <v>-</v>
      </c>
    </row>
    <row r="35880" customHeight="1" spans="2:2">
      <c r="B35880" s="62" t="str">
        <f>IF(AND('领用录入（明细）'!D:D=$F$4,'领用录入（明细）'!C:C&gt;=$J$4,'领用录入（明细）'!C:C&lt;=$L$4),ROW(),"-")</f>
        <v>-</v>
      </c>
    </row>
    <row r="35881" customHeight="1" spans="2:2">
      <c r="B35881" s="62" t="str">
        <f>IF(AND('领用录入（明细）'!D:D=$F$4,'领用录入（明细）'!C:C&gt;=$J$4,'领用录入（明细）'!C:C&lt;=$L$4),ROW(),"-")</f>
        <v>-</v>
      </c>
    </row>
    <row r="35882" customHeight="1" spans="2:2">
      <c r="B35882" s="62" t="str">
        <f>IF(AND('领用录入（明细）'!D:D=$F$4,'领用录入（明细）'!C:C&gt;=$J$4,'领用录入（明细）'!C:C&lt;=$L$4),ROW(),"-")</f>
        <v>-</v>
      </c>
    </row>
    <row r="35883" customHeight="1" spans="2:2">
      <c r="B35883" s="62" t="str">
        <f>IF(AND('领用录入（明细）'!D:D=$F$4,'领用录入（明细）'!C:C&gt;=$J$4,'领用录入（明细）'!C:C&lt;=$L$4),ROW(),"-")</f>
        <v>-</v>
      </c>
    </row>
    <row r="35884" customHeight="1" spans="2:2">
      <c r="B35884" s="62" t="str">
        <f>IF(AND('领用录入（明细）'!D:D=$F$4,'领用录入（明细）'!C:C&gt;=$J$4,'领用录入（明细）'!C:C&lt;=$L$4),ROW(),"-")</f>
        <v>-</v>
      </c>
    </row>
    <row r="35885" customHeight="1" spans="2:2">
      <c r="B35885" s="62" t="str">
        <f>IF(AND('领用录入（明细）'!D:D=$F$4,'领用录入（明细）'!C:C&gt;=$J$4,'领用录入（明细）'!C:C&lt;=$L$4),ROW(),"-")</f>
        <v>-</v>
      </c>
    </row>
    <row r="35886" customHeight="1" spans="2:2">
      <c r="B35886" s="62" t="str">
        <f>IF(AND('领用录入（明细）'!D:D=$F$4,'领用录入（明细）'!C:C&gt;=$J$4,'领用录入（明细）'!C:C&lt;=$L$4),ROW(),"-")</f>
        <v>-</v>
      </c>
    </row>
    <row r="35887" customHeight="1" spans="2:2">
      <c r="B35887" s="62" t="str">
        <f>IF(AND('领用录入（明细）'!D:D=$F$4,'领用录入（明细）'!C:C&gt;=$J$4,'领用录入（明细）'!C:C&lt;=$L$4),ROW(),"-")</f>
        <v>-</v>
      </c>
    </row>
    <row r="35888" customHeight="1" spans="2:2">
      <c r="B35888" s="62" t="str">
        <f>IF(AND('领用录入（明细）'!D:D=$F$4,'领用录入（明细）'!C:C&gt;=$J$4,'领用录入（明细）'!C:C&lt;=$L$4),ROW(),"-")</f>
        <v>-</v>
      </c>
    </row>
    <row r="35889" customHeight="1" spans="2:2">
      <c r="B35889" s="62" t="str">
        <f>IF(AND('领用录入（明细）'!D:D=$F$4,'领用录入（明细）'!C:C&gt;=$J$4,'领用录入（明细）'!C:C&lt;=$L$4),ROW(),"-")</f>
        <v>-</v>
      </c>
    </row>
    <row r="35890" customHeight="1" spans="2:2">
      <c r="B35890" s="62" t="str">
        <f>IF(AND('领用录入（明细）'!D:D=$F$4,'领用录入（明细）'!C:C&gt;=$J$4,'领用录入（明细）'!C:C&lt;=$L$4),ROW(),"-")</f>
        <v>-</v>
      </c>
    </row>
    <row r="35891" customHeight="1" spans="2:2">
      <c r="B35891" s="62" t="str">
        <f>IF(AND('领用录入（明细）'!D:D=$F$4,'领用录入（明细）'!C:C&gt;=$J$4,'领用录入（明细）'!C:C&lt;=$L$4),ROW(),"-")</f>
        <v>-</v>
      </c>
    </row>
    <row r="35892" customHeight="1" spans="2:2">
      <c r="B35892" s="62" t="str">
        <f>IF(AND('领用录入（明细）'!D:D=$F$4,'领用录入（明细）'!C:C&gt;=$J$4,'领用录入（明细）'!C:C&lt;=$L$4),ROW(),"-")</f>
        <v>-</v>
      </c>
    </row>
    <row r="35893" customHeight="1" spans="2:2">
      <c r="B35893" s="62" t="str">
        <f>IF(AND('领用录入（明细）'!D:D=$F$4,'领用录入（明细）'!C:C&gt;=$J$4,'领用录入（明细）'!C:C&lt;=$L$4),ROW(),"-")</f>
        <v>-</v>
      </c>
    </row>
    <row r="35894" customHeight="1" spans="2:2">
      <c r="B35894" s="62" t="str">
        <f>IF(AND('领用录入（明细）'!D:D=$F$4,'领用录入（明细）'!C:C&gt;=$J$4,'领用录入（明细）'!C:C&lt;=$L$4),ROW(),"-")</f>
        <v>-</v>
      </c>
    </row>
    <row r="35895" customHeight="1" spans="2:2">
      <c r="B35895" s="62" t="str">
        <f>IF(AND('领用录入（明细）'!D:D=$F$4,'领用录入（明细）'!C:C&gt;=$J$4,'领用录入（明细）'!C:C&lt;=$L$4),ROW(),"-")</f>
        <v>-</v>
      </c>
    </row>
    <row r="35896" customHeight="1" spans="2:2">
      <c r="B35896" s="62" t="str">
        <f>IF(AND('领用录入（明细）'!D:D=$F$4,'领用录入（明细）'!C:C&gt;=$J$4,'领用录入（明细）'!C:C&lt;=$L$4),ROW(),"-")</f>
        <v>-</v>
      </c>
    </row>
    <row r="35897" customHeight="1" spans="2:2">
      <c r="B35897" s="62" t="str">
        <f>IF(AND('领用录入（明细）'!D:D=$F$4,'领用录入（明细）'!C:C&gt;=$J$4,'领用录入（明细）'!C:C&lt;=$L$4),ROW(),"-")</f>
        <v>-</v>
      </c>
    </row>
    <row r="35898" customHeight="1" spans="2:2">
      <c r="B35898" s="62" t="str">
        <f>IF(AND('领用录入（明细）'!D:D=$F$4,'领用录入（明细）'!C:C&gt;=$J$4,'领用录入（明细）'!C:C&lt;=$L$4),ROW(),"-")</f>
        <v>-</v>
      </c>
    </row>
    <row r="35899" customHeight="1" spans="2:2">
      <c r="B35899" s="62" t="str">
        <f>IF(AND('领用录入（明细）'!D:D=$F$4,'领用录入（明细）'!C:C&gt;=$J$4,'领用录入（明细）'!C:C&lt;=$L$4),ROW(),"-")</f>
        <v>-</v>
      </c>
    </row>
    <row r="35900" customHeight="1" spans="2:2">
      <c r="B35900" s="62" t="str">
        <f>IF(AND('领用录入（明细）'!D:D=$F$4,'领用录入（明细）'!C:C&gt;=$J$4,'领用录入（明细）'!C:C&lt;=$L$4),ROW(),"-")</f>
        <v>-</v>
      </c>
    </row>
    <row r="35901" customHeight="1" spans="2:2">
      <c r="B35901" s="62" t="str">
        <f>IF(AND('领用录入（明细）'!D:D=$F$4,'领用录入（明细）'!C:C&gt;=$J$4,'领用录入（明细）'!C:C&lt;=$L$4),ROW(),"-")</f>
        <v>-</v>
      </c>
    </row>
    <row r="35902" customHeight="1" spans="2:2">
      <c r="B35902" s="62" t="str">
        <f>IF(AND('领用录入（明细）'!D:D=$F$4,'领用录入（明细）'!C:C&gt;=$J$4,'领用录入（明细）'!C:C&lt;=$L$4),ROW(),"-")</f>
        <v>-</v>
      </c>
    </row>
    <row r="35903" customHeight="1" spans="2:2">
      <c r="B35903" s="62" t="str">
        <f>IF(AND('领用录入（明细）'!D:D=$F$4,'领用录入（明细）'!C:C&gt;=$J$4,'领用录入（明细）'!C:C&lt;=$L$4),ROW(),"-")</f>
        <v>-</v>
      </c>
    </row>
    <row r="35904" customHeight="1" spans="2:2">
      <c r="B35904" s="62" t="str">
        <f>IF(AND('领用录入（明细）'!D:D=$F$4,'领用录入（明细）'!C:C&gt;=$J$4,'领用录入（明细）'!C:C&lt;=$L$4),ROW(),"-")</f>
        <v>-</v>
      </c>
    </row>
    <row r="35905" customHeight="1" spans="2:2">
      <c r="B35905" s="62" t="str">
        <f>IF(AND('领用录入（明细）'!D:D=$F$4,'领用录入（明细）'!C:C&gt;=$J$4,'领用录入（明细）'!C:C&lt;=$L$4),ROW(),"-")</f>
        <v>-</v>
      </c>
    </row>
    <row r="35906" customHeight="1" spans="2:2">
      <c r="B35906" s="62" t="str">
        <f>IF(AND('领用录入（明细）'!D:D=$F$4,'领用录入（明细）'!C:C&gt;=$J$4,'领用录入（明细）'!C:C&lt;=$L$4),ROW(),"-")</f>
        <v>-</v>
      </c>
    </row>
    <row r="35907" customHeight="1" spans="2:2">
      <c r="B35907" s="62" t="str">
        <f>IF(AND('领用录入（明细）'!D:D=$F$4,'领用录入（明细）'!C:C&gt;=$J$4,'领用录入（明细）'!C:C&lt;=$L$4),ROW(),"-")</f>
        <v>-</v>
      </c>
    </row>
    <row r="35908" customHeight="1" spans="2:2">
      <c r="B35908" s="62" t="str">
        <f>IF(AND('领用录入（明细）'!D:D=$F$4,'领用录入（明细）'!C:C&gt;=$J$4,'领用录入（明细）'!C:C&lt;=$L$4),ROW(),"-")</f>
        <v>-</v>
      </c>
    </row>
    <row r="35909" customHeight="1" spans="2:2">
      <c r="B35909" s="62" t="str">
        <f>IF(AND('领用录入（明细）'!D:D=$F$4,'领用录入（明细）'!C:C&gt;=$J$4,'领用录入（明细）'!C:C&lt;=$L$4),ROW(),"-")</f>
        <v>-</v>
      </c>
    </row>
    <row r="35910" customHeight="1" spans="2:2">
      <c r="B35910" s="62" t="str">
        <f>IF(AND('领用录入（明细）'!D:D=$F$4,'领用录入（明细）'!C:C&gt;=$J$4,'领用录入（明细）'!C:C&lt;=$L$4),ROW(),"-")</f>
        <v>-</v>
      </c>
    </row>
    <row r="35911" customHeight="1" spans="2:2">
      <c r="B35911" s="62" t="str">
        <f>IF(AND('领用录入（明细）'!D:D=$F$4,'领用录入（明细）'!C:C&gt;=$J$4,'领用录入（明细）'!C:C&lt;=$L$4),ROW(),"-")</f>
        <v>-</v>
      </c>
    </row>
    <row r="35912" customHeight="1" spans="2:2">
      <c r="B35912" s="62" t="str">
        <f>IF(AND('领用录入（明细）'!D:D=$F$4,'领用录入（明细）'!C:C&gt;=$J$4,'领用录入（明细）'!C:C&lt;=$L$4),ROW(),"-")</f>
        <v>-</v>
      </c>
    </row>
    <row r="35913" customHeight="1" spans="2:2">
      <c r="B35913" s="62" t="str">
        <f>IF(AND('领用录入（明细）'!D:D=$F$4,'领用录入（明细）'!C:C&gt;=$J$4,'领用录入（明细）'!C:C&lt;=$L$4),ROW(),"-")</f>
        <v>-</v>
      </c>
    </row>
    <row r="35914" customHeight="1" spans="2:2">
      <c r="B35914" s="62" t="str">
        <f>IF(AND('领用录入（明细）'!D:D=$F$4,'领用录入（明细）'!C:C&gt;=$J$4,'领用录入（明细）'!C:C&lt;=$L$4),ROW(),"-")</f>
        <v>-</v>
      </c>
    </row>
    <row r="35915" customHeight="1" spans="2:2">
      <c r="B35915" s="62" t="str">
        <f>IF(AND('领用录入（明细）'!D:D=$F$4,'领用录入（明细）'!C:C&gt;=$J$4,'领用录入（明细）'!C:C&lt;=$L$4),ROW(),"-")</f>
        <v>-</v>
      </c>
    </row>
    <row r="35916" customHeight="1" spans="2:2">
      <c r="B35916" s="62" t="str">
        <f>IF(AND('领用录入（明细）'!D:D=$F$4,'领用录入（明细）'!C:C&gt;=$J$4,'领用录入（明细）'!C:C&lt;=$L$4),ROW(),"-")</f>
        <v>-</v>
      </c>
    </row>
    <row r="35917" customHeight="1" spans="2:2">
      <c r="B35917" s="62" t="str">
        <f>IF(AND('领用录入（明细）'!D:D=$F$4,'领用录入（明细）'!C:C&gt;=$J$4,'领用录入（明细）'!C:C&lt;=$L$4),ROW(),"-")</f>
        <v>-</v>
      </c>
    </row>
    <row r="35918" customHeight="1" spans="2:2">
      <c r="B35918" s="62" t="str">
        <f>IF(AND('领用录入（明细）'!D:D=$F$4,'领用录入（明细）'!C:C&gt;=$J$4,'领用录入（明细）'!C:C&lt;=$L$4),ROW(),"-")</f>
        <v>-</v>
      </c>
    </row>
    <row r="35919" customHeight="1" spans="2:2">
      <c r="B35919" s="62" t="str">
        <f>IF(AND('领用录入（明细）'!D:D=$F$4,'领用录入（明细）'!C:C&gt;=$J$4,'领用录入（明细）'!C:C&lt;=$L$4),ROW(),"-")</f>
        <v>-</v>
      </c>
    </row>
    <row r="35920" customHeight="1" spans="2:2">
      <c r="B35920" s="62" t="str">
        <f>IF(AND('领用录入（明细）'!D:D=$F$4,'领用录入（明细）'!C:C&gt;=$J$4,'领用录入（明细）'!C:C&lt;=$L$4),ROW(),"-")</f>
        <v>-</v>
      </c>
    </row>
    <row r="35921" customHeight="1" spans="2:2">
      <c r="B35921" s="62" t="str">
        <f>IF(AND('领用录入（明细）'!D:D=$F$4,'领用录入（明细）'!C:C&gt;=$J$4,'领用录入（明细）'!C:C&lt;=$L$4),ROW(),"-")</f>
        <v>-</v>
      </c>
    </row>
    <row r="35922" customHeight="1" spans="2:2">
      <c r="B35922" s="62" t="str">
        <f>IF(AND('领用录入（明细）'!D:D=$F$4,'领用录入（明细）'!C:C&gt;=$J$4,'领用录入（明细）'!C:C&lt;=$L$4),ROW(),"-")</f>
        <v>-</v>
      </c>
    </row>
    <row r="35923" customHeight="1" spans="2:2">
      <c r="B35923" s="62" t="str">
        <f>IF(AND('领用录入（明细）'!D:D=$F$4,'领用录入（明细）'!C:C&gt;=$J$4,'领用录入（明细）'!C:C&lt;=$L$4),ROW(),"-")</f>
        <v>-</v>
      </c>
    </row>
    <row r="35924" customHeight="1" spans="2:2">
      <c r="B35924" s="62" t="str">
        <f>IF(AND('领用录入（明细）'!D:D=$F$4,'领用录入（明细）'!C:C&gt;=$J$4,'领用录入（明细）'!C:C&lt;=$L$4),ROW(),"-")</f>
        <v>-</v>
      </c>
    </row>
    <row r="35925" customHeight="1" spans="2:2">
      <c r="B35925" s="62" t="str">
        <f>IF(AND('领用录入（明细）'!D:D=$F$4,'领用录入（明细）'!C:C&gt;=$J$4,'领用录入（明细）'!C:C&lt;=$L$4),ROW(),"-")</f>
        <v>-</v>
      </c>
    </row>
    <row r="35926" customHeight="1" spans="2:2">
      <c r="B35926" s="62" t="str">
        <f>IF(AND('领用录入（明细）'!D:D=$F$4,'领用录入（明细）'!C:C&gt;=$J$4,'领用录入（明细）'!C:C&lt;=$L$4),ROW(),"-")</f>
        <v>-</v>
      </c>
    </row>
    <row r="35927" customHeight="1" spans="2:2">
      <c r="B35927" s="62" t="str">
        <f>IF(AND('领用录入（明细）'!D:D=$F$4,'领用录入（明细）'!C:C&gt;=$J$4,'领用录入（明细）'!C:C&lt;=$L$4),ROW(),"-")</f>
        <v>-</v>
      </c>
    </row>
    <row r="35928" customHeight="1" spans="2:2">
      <c r="B35928" s="62" t="str">
        <f>IF(AND('领用录入（明细）'!D:D=$F$4,'领用录入（明细）'!C:C&gt;=$J$4,'领用录入（明细）'!C:C&lt;=$L$4),ROW(),"-")</f>
        <v>-</v>
      </c>
    </row>
    <row r="35929" customHeight="1" spans="2:2">
      <c r="B35929" s="62" t="str">
        <f>IF(AND('领用录入（明细）'!D:D=$F$4,'领用录入（明细）'!C:C&gt;=$J$4,'领用录入（明细）'!C:C&lt;=$L$4),ROW(),"-")</f>
        <v>-</v>
      </c>
    </row>
    <row r="35930" customHeight="1" spans="2:2">
      <c r="B35930" s="62" t="str">
        <f>IF(AND('领用录入（明细）'!D:D=$F$4,'领用录入（明细）'!C:C&gt;=$J$4,'领用录入（明细）'!C:C&lt;=$L$4),ROW(),"-")</f>
        <v>-</v>
      </c>
    </row>
    <row r="35931" customHeight="1" spans="2:2">
      <c r="B35931" s="62" t="str">
        <f>IF(AND('领用录入（明细）'!D:D=$F$4,'领用录入（明细）'!C:C&gt;=$J$4,'领用录入（明细）'!C:C&lt;=$L$4),ROW(),"-")</f>
        <v>-</v>
      </c>
    </row>
    <row r="35932" customHeight="1" spans="2:2">
      <c r="B35932" s="62" t="str">
        <f>IF(AND('领用录入（明细）'!D:D=$F$4,'领用录入（明细）'!C:C&gt;=$J$4,'领用录入（明细）'!C:C&lt;=$L$4),ROW(),"-")</f>
        <v>-</v>
      </c>
    </row>
    <row r="35933" customHeight="1" spans="2:2">
      <c r="B35933" s="62" t="str">
        <f>IF(AND('领用录入（明细）'!D:D=$F$4,'领用录入（明细）'!C:C&gt;=$J$4,'领用录入（明细）'!C:C&lt;=$L$4),ROW(),"-")</f>
        <v>-</v>
      </c>
    </row>
    <row r="35934" customHeight="1" spans="2:2">
      <c r="B35934" s="62" t="str">
        <f>IF(AND('领用录入（明细）'!D:D=$F$4,'领用录入（明细）'!C:C&gt;=$J$4,'领用录入（明细）'!C:C&lt;=$L$4),ROW(),"-")</f>
        <v>-</v>
      </c>
    </row>
    <row r="35935" customHeight="1" spans="2:2">
      <c r="B35935" s="62" t="str">
        <f>IF(AND('领用录入（明细）'!D:D=$F$4,'领用录入（明细）'!C:C&gt;=$J$4,'领用录入（明细）'!C:C&lt;=$L$4),ROW(),"-")</f>
        <v>-</v>
      </c>
    </row>
    <row r="35936" customHeight="1" spans="2:2">
      <c r="B35936" s="62" t="str">
        <f>IF(AND('领用录入（明细）'!D:D=$F$4,'领用录入（明细）'!C:C&gt;=$J$4,'领用录入（明细）'!C:C&lt;=$L$4),ROW(),"-")</f>
        <v>-</v>
      </c>
    </row>
    <row r="35937" customHeight="1" spans="2:2">
      <c r="B35937" s="62" t="str">
        <f>IF(AND('领用录入（明细）'!D:D=$F$4,'领用录入（明细）'!C:C&gt;=$J$4,'领用录入（明细）'!C:C&lt;=$L$4),ROW(),"-")</f>
        <v>-</v>
      </c>
    </row>
    <row r="35938" customHeight="1" spans="2:2">
      <c r="B35938" s="62" t="str">
        <f>IF(AND('领用录入（明细）'!D:D=$F$4,'领用录入（明细）'!C:C&gt;=$J$4,'领用录入（明细）'!C:C&lt;=$L$4),ROW(),"-")</f>
        <v>-</v>
      </c>
    </row>
    <row r="35939" customHeight="1" spans="2:2">
      <c r="B35939" s="62" t="str">
        <f>IF(AND('领用录入（明细）'!D:D=$F$4,'领用录入（明细）'!C:C&gt;=$J$4,'领用录入（明细）'!C:C&lt;=$L$4),ROW(),"-")</f>
        <v>-</v>
      </c>
    </row>
    <row r="35940" customHeight="1" spans="2:2">
      <c r="B35940" s="62" t="str">
        <f>IF(AND('领用录入（明细）'!D:D=$F$4,'领用录入（明细）'!C:C&gt;=$J$4,'领用录入（明细）'!C:C&lt;=$L$4),ROW(),"-")</f>
        <v>-</v>
      </c>
    </row>
    <row r="35941" customHeight="1" spans="2:2">
      <c r="B35941" s="62" t="str">
        <f>IF(AND('领用录入（明细）'!D:D=$F$4,'领用录入（明细）'!C:C&gt;=$J$4,'领用录入（明细）'!C:C&lt;=$L$4),ROW(),"-")</f>
        <v>-</v>
      </c>
    </row>
    <row r="35942" customHeight="1" spans="2:2">
      <c r="B35942" s="62" t="str">
        <f>IF(AND('领用录入（明细）'!D:D=$F$4,'领用录入（明细）'!C:C&gt;=$J$4,'领用录入（明细）'!C:C&lt;=$L$4),ROW(),"-")</f>
        <v>-</v>
      </c>
    </row>
    <row r="35943" customHeight="1" spans="2:2">
      <c r="B35943" s="62" t="str">
        <f>IF(AND('领用录入（明细）'!D:D=$F$4,'领用录入（明细）'!C:C&gt;=$J$4,'领用录入（明细）'!C:C&lt;=$L$4),ROW(),"-")</f>
        <v>-</v>
      </c>
    </row>
    <row r="35944" customHeight="1" spans="2:2">
      <c r="B35944" s="62" t="str">
        <f>IF(AND('领用录入（明细）'!D:D=$F$4,'领用录入（明细）'!C:C&gt;=$J$4,'领用录入（明细）'!C:C&lt;=$L$4),ROW(),"-")</f>
        <v>-</v>
      </c>
    </row>
    <row r="35945" customHeight="1" spans="2:2">
      <c r="B35945" s="62" t="str">
        <f>IF(AND('领用录入（明细）'!D:D=$F$4,'领用录入（明细）'!C:C&gt;=$J$4,'领用录入（明细）'!C:C&lt;=$L$4),ROW(),"-")</f>
        <v>-</v>
      </c>
    </row>
    <row r="35946" customHeight="1" spans="2:2">
      <c r="B35946" s="62" t="str">
        <f>IF(AND('领用录入（明细）'!D:D=$F$4,'领用录入（明细）'!C:C&gt;=$J$4,'领用录入（明细）'!C:C&lt;=$L$4),ROW(),"-")</f>
        <v>-</v>
      </c>
    </row>
    <row r="35947" customHeight="1" spans="2:2">
      <c r="B35947" s="62" t="str">
        <f>IF(AND('领用录入（明细）'!D:D=$F$4,'领用录入（明细）'!C:C&gt;=$J$4,'领用录入（明细）'!C:C&lt;=$L$4),ROW(),"-")</f>
        <v>-</v>
      </c>
    </row>
    <row r="35948" customHeight="1" spans="2:2">
      <c r="B35948" s="62" t="str">
        <f>IF(AND('领用录入（明细）'!D:D=$F$4,'领用录入（明细）'!C:C&gt;=$J$4,'领用录入（明细）'!C:C&lt;=$L$4),ROW(),"-")</f>
        <v>-</v>
      </c>
    </row>
    <row r="35949" customHeight="1" spans="2:2">
      <c r="B35949" s="62" t="str">
        <f>IF(AND('领用录入（明细）'!D:D=$F$4,'领用录入（明细）'!C:C&gt;=$J$4,'领用录入（明细）'!C:C&lt;=$L$4),ROW(),"-")</f>
        <v>-</v>
      </c>
    </row>
    <row r="35950" customHeight="1" spans="2:2">
      <c r="B35950" s="62" t="str">
        <f>IF(AND('领用录入（明细）'!D:D=$F$4,'领用录入（明细）'!C:C&gt;=$J$4,'领用录入（明细）'!C:C&lt;=$L$4),ROW(),"-")</f>
        <v>-</v>
      </c>
    </row>
    <row r="35951" customHeight="1" spans="2:2">
      <c r="B35951" s="62" t="str">
        <f>IF(AND('领用录入（明细）'!D:D=$F$4,'领用录入（明细）'!C:C&gt;=$J$4,'领用录入（明细）'!C:C&lt;=$L$4),ROW(),"-")</f>
        <v>-</v>
      </c>
    </row>
    <row r="35952" customHeight="1" spans="2:2">
      <c r="B35952" s="62" t="str">
        <f>IF(AND('领用录入（明细）'!D:D=$F$4,'领用录入（明细）'!C:C&gt;=$J$4,'领用录入（明细）'!C:C&lt;=$L$4),ROW(),"-")</f>
        <v>-</v>
      </c>
    </row>
    <row r="35953" customHeight="1" spans="2:2">
      <c r="B35953" s="62" t="str">
        <f>IF(AND('领用录入（明细）'!D:D=$F$4,'领用录入（明细）'!C:C&gt;=$J$4,'领用录入（明细）'!C:C&lt;=$L$4),ROW(),"-")</f>
        <v>-</v>
      </c>
    </row>
    <row r="35954" customHeight="1" spans="2:2">
      <c r="B35954" s="62" t="str">
        <f>IF(AND('领用录入（明细）'!D:D=$F$4,'领用录入（明细）'!C:C&gt;=$J$4,'领用录入（明细）'!C:C&lt;=$L$4),ROW(),"-")</f>
        <v>-</v>
      </c>
    </row>
    <row r="35955" customHeight="1" spans="2:2">
      <c r="B35955" s="62" t="str">
        <f>IF(AND('领用录入（明细）'!D:D=$F$4,'领用录入（明细）'!C:C&gt;=$J$4,'领用录入（明细）'!C:C&lt;=$L$4),ROW(),"-")</f>
        <v>-</v>
      </c>
    </row>
    <row r="35956" customHeight="1" spans="2:2">
      <c r="B35956" s="62" t="str">
        <f>IF(AND('领用录入（明细）'!D:D=$F$4,'领用录入（明细）'!C:C&gt;=$J$4,'领用录入（明细）'!C:C&lt;=$L$4),ROW(),"-")</f>
        <v>-</v>
      </c>
    </row>
    <row r="35957" customHeight="1" spans="2:2">
      <c r="B35957" s="62" t="str">
        <f>IF(AND('领用录入（明细）'!D:D=$F$4,'领用录入（明细）'!C:C&gt;=$J$4,'领用录入（明细）'!C:C&lt;=$L$4),ROW(),"-")</f>
        <v>-</v>
      </c>
    </row>
    <row r="35958" customHeight="1" spans="2:2">
      <c r="B35958" s="62" t="str">
        <f>IF(AND('领用录入（明细）'!D:D=$F$4,'领用录入（明细）'!C:C&gt;=$J$4,'领用录入（明细）'!C:C&lt;=$L$4),ROW(),"-")</f>
        <v>-</v>
      </c>
    </row>
    <row r="35959" customHeight="1" spans="2:2">
      <c r="B35959" s="62" t="str">
        <f>IF(AND('领用录入（明细）'!D:D=$F$4,'领用录入（明细）'!C:C&gt;=$J$4,'领用录入（明细）'!C:C&lt;=$L$4),ROW(),"-")</f>
        <v>-</v>
      </c>
    </row>
    <row r="35960" customHeight="1" spans="2:2">
      <c r="B35960" s="62" t="str">
        <f>IF(AND('领用录入（明细）'!D:D=$F$4,'领用录入（明细）'!C:C&gt;=$J$4,'领用录入（明细）'!C:C&lt;=$L$4),ROW(),"-")</f>
        <v>-</v>
      </c>
    </row>
    <row r="35961" customHeight="1" spans="2:2">
      <c r="B35961" s="62" t="str">
        <f>IF(AND('领用录入（明细）'!D:D=$F$4,'领用录入（明细）'!C:C&gt;=$J$4,'领用录入（明细）'!C:C&lt;=$L$4),ROW(),"-")</f>
        <v>-</v>
      </c>
    </row>
    <row r="35962" customHeight="1" spans="2:2">
      <c r="B35962" s="62" t="str">
        <f>IF(AND('领用录入（明细）'!D:D=$F$4,'领用录入（明细）'!C:C&gt;=$J$4,'领用录入（明细）'!C:C&lt;=$L$4),ROW(),"-")</f>
        <v>-</v>
      </c>
    </row>
    <row r="35963" customHeight="1" spans="2:2">
      <c r="B35963" s="62" t="str">
        <f>IF(AND('领用录入（明细）'!D:D=$F$4,'领用录入（明细）'!C:C&gt;=$J$4,'领用录入（明细）'!C:C&lt;=$L$4),ROW(),"-")</f>
        <v>-</v>
      </c>
    </row>
    <row r="35964" customHeight="1" spans="2:2">
      <c r="B35964" s="62" t="str">
        <f>IF(AND('领用录入（明细）'!D:D=$F$4,'领用录入（明细）'!C:C&gt;=$J$4,'领用录入（明细）'!C:C&lt;=$L$4),ROW(),"-")</f>
        <v>-</v>
      </c>
    </row>
    <row r="35965" customHeight="1" spans="2:2">
      <c r="B35965" s="62" t="str">
        <f>IF(AND('领用录入（明细）'!D:D=$F$4,'领用录入（明细）'!C:C&gt;=$J$4,'领用录入（明细）'!C:C&lt;=$L$4),ROW(),"-")</f>
        <v>-</v>
      </c>
    </row>
    <row r="35966" customHeight="1" spans="2:2">
      <c r="B35966" s="62" t="str">
        <f>IF(AND('领用录入（明细）'!D:D=$F$4,'领用录入（明细）'!C:C&gt;=$J$4,'领用录入（明细）'!C:C&lt;=$L$4),ROW(),"-")</f>
        <v>-</v>
      </c>
    </row>
    <row r="35967" customHeight="1" spans="2:2">
      <c r="B35967" s="62" t="str">
        <f>IF(AND('领用录入（明细）'!D:D=$F$4,'领用录入（明细）'!C:C&gt;=$J$4,'领用录入（明细）'!C:C&lt;=$L$4),ROW(),"-")</f>
        <v>-</v>
      </c>
    </row>
    <row r="35968" customHeight="1" spans="2:2">
      <c r="B35968" s="62" t="str">
        <f>IF(AND('领用录入（明细）'!D:D=$F$4,'领用录入（明细）'!C:C&gt;=$J$4,'领用录入（明细）'!C:C&lt;=$L$4),ROW(),"-")</f>
        <v>-</v>
      </c>
    </row>
    <row r="35969" customHeight="1" spans="2:2">
      <c r="B35969" s="62" t="str">
        <f>IF(AND('领用录入（明细）'!D:D=$F$4,'领用录入（明细）'!C:C&gt;=$J$4,'领用录入（明细）'!C:C&lt;=$L$4),ROW(),"-")</f>
        <v>-</v>
      </c>
    </row>
    <row r="35970" customHeight="1" spans="2:2">
      <c r="B35970" s="62" t="str">
        <f>IF(AND('领用录入（明细）'!D:D=$F$4,'领用录入（明细）'!C:C&gt;=$J$4,'领用录入（明细）'!C:C&lt;=$L$4),ROW(),"-")</f>
        <v>-</v>
      </c>
    </row>
    <row r="35971" customHeight="1" spans="2:2">
      <c r="B35971" s="62" t="str">
        <f>IF(AND('领用录入（明细）'!D:D=$F$4,'领用录入（明细）'!C:C&gt;=$J$4,'领用录入（明细）'!C:C&lt;=$L$4),ROW(),"-")</f>
        <v>-</v>
      </c>
    </row>
    <row r="35972" customHeight="1" spans="2:2">
      <c r="B35972" s="62" t="str">
        <f>IF(AND('领用录入（明细）'!D:D=$F$4,'领用录入（明细）'!C:C&gt;=$J$4,'领用录入（明细）'!C:C&lt;=$L$4),ROW(),"-")</f>
        <v>-</v>
      </c>
    </row>
    <row r="35973" customHeight="1" spans="2:2">
      <c r="B35973" s="62" t="str">
        <f>IF(AND('领用录入（明细）'!D:D=$F$4,'领用录入（明细）'!C:C&gt;=$J$4,'领用录入（明细）'!C:C&lt;=$L$4),ROW(),"-")</f>
        <v>-</v>
      </c>
    </row>
    <row r="35974" customHeight="1" spans="2:2">
      <c r="B35974" s="62" t="str">
        <f>IF(AND('领用录入（明细）'!D:D=$F$4,'领用录入（明细）'!C:C&gt;=$J$4,'领用录入（明细）'!C:C&lt;=$L$4),ROW(),"-")</f>
        <v>-</v>
      </c>
    </row>
    <row r="35975" customHeight="1" spans="2:2">
      <c r="B35975" s="62" t="str">
        <f>IF(AND('领用录入（明细）'!D:D=$F$4,'领用录入（明细）'!C:C&gt;=$J$4,'领用录入（明细）'!C:C&lt;=$L$4),ROW(),"-")</f>
        <v>-</v>
      </c>
    </row>
    <row r="35976" customHeight="1" spans="2:2">
      <c r="B35976" s="62" t="str">
        <f>IF(AND('领用录入（明细）'!D:D=$F$4,'领用录入（明细）'!C:C&gt;=$J$4,'领用录入（明细）'!C:C&lt;=$L$4),ROW(),"-")</f>
        <v>-</v>
      </c>
    </row>
    <row r="35977" customHeight="1" spans="2:2">
      <c r="B35977" s="62" t="str">
        <f>IF(AND('领用录入（明细）'!D:D=$F$4,'领用录入（明细）'!C:C&gt;=$J$4,'领用录入（明细）'!C:C&lt;=$L$4),ROW(),"-")</f>
        <v>-</v>
      </c>
    </row>
    <row r="35978" customHeight="1" spans="2:2">
      <c r="B35978" s="62" t="str">
        <f>IF(AND('领用录入（明细）'!D:D=$F$4,'领用录入（明细）'!C:C&gt;=$J$4,'领用录入（明细）'!C:C&lt;=$L$4),ROW(),"-")</f>
        <v>-</v>
      </c>
    </row>
    <row r="35979" customHeight="1" spans="2:2">
      <c r="B35979" s="62" t="str">
        <f>IF(AND('领用录入（明细）'!D:D=$F$4,'领用录入（明细）'!C:C&gt;=$J$4,'领用录入（明细）'!C:C&lt;=$L$4),ROW(),"-")</f>
        <v>-</v>
      </c>
    </row>
    <row r="35980" customHeight="1" spans="2:2">
      <c r="B35980" s="62" t="str">
        <f>IF(AND('领用录入（明细）'!D:D=$F$4,'领用录入（明细）'!C:C&gt;=$J$4,'领用录入（明细）'!C:C&lt;=$L$4),ROW(),"-")</f>
        <v>-</v>
      </c>
    </row>
    <row r="35981" customHeight="1" spans="2:2">
      <c r="B35981" s="62" t="str">
        <f>IF(AND('领用录入（明细）'!D:D=$F$4,'领用录入（明细）'!C:C&gt;=$J$4,'领用录入（明细）'!C:C&lt;=$L$4),ROW(),"-")</f>
        <v>-</v>
      </c>
    </row>
    <row r="35982" customHeight="1" spans="2:2">
      <c r="B35982" s="62" t="str">
        <f>IF(AND('领用录入（明细）'!D:D=$F$4,'领用录入（明细）'!C:C&gt;=$J$4,'领用录入（明细）'!C:C&lt;=$L$4),ROW(),"-")</f>
        <v>-</v>
      </c>
    </row>
    <row r="35983" customHeight="1" spans="2:2">
      <c r="B35983" s="62" t="str">
        <f>IF(AND('领用录入（明细）'!D:D=$F$4,'领用录入（明细）'!C:C&gt;=$J$4,'领用录入（明细）'!C:C&lt;=$L$4),ROW(),"-")</f>
        <v>-</v>
      </c>
    </row>
    <row r="35984" customHeight="1" spans="2:2">
      <c r="B35984" s="62" t="str">
        <f>IF(AND('领用录入（明细）'!D:D=$F$4,'领用录入（明细）'!C:C&gt;=$J$4,'领用录入（明细）'!C:C&lt;=$L$4),ROW(),"-")</f>
        <v>-</v>
      </c>
    </row>
    <row r="35985" customHeight="1" spans="2:2">
      <c r="B35985" s="62" t="str">
        <f>IF(AND('领用录入（明细）'!D:D=$F$4,'领用录入（明细）'!C:C&gt;=$J$4,'领用录入（明细）'!C:C&lt;=$L$4),ROW(),"-")</f>
        <v>-</v>
      </c>
    </row>
    <row r="35986" customHeight="1" spans="2:2">
      <c r="B35986" s="62" t="str">
        <f>IF(AND('领用录入（明细）'!D:D=$F$4,'领用录入（明细）'!C:C&gt;=$J$4,'领用录入（明细）'!C:C&lt;=$L$4),ROW(),"-")</f>
        <v>-</v>
      </c>
    </row>
    <row r="35987" customHeight="1" spans="2:2">
      <c r="B35987" s="62" t="str">
        <f>IF(AND('领用录入（明细）'!D:D=$F$4,'领用录入（明细）'!C:C&gt;=$J$4,'领用录入（明细）'!C:C&lt;=$L$4),ROW(),"-")</f>
        <v>-</v>
      </c>
    </row>
    <row r="35988" customHeight="1" spans="2:2">
      <c r="B35988" s="62" t="str">
        <f>IF(AND('领用录入（明细）'!D:D=$F$4,'领用录入（明细）'!C:C&gt;=$J$4,'领用录入（明细）'!C:C&lt;=$L$4),ROW(),"-")</f>
        <v>-</v>
      </c>
    </row>
    <row r="35989" customHeight="1" spans="2:2">
      <c r="B35989" s="62" t="str">
        <f>IF(AND('领用录入（明细）'!D:D=$F$4,'领用录入（明细）'!C:C&gt;=$J$4,'领用录入（明细）'!C:C&lt;=$L$4),ROW(),"-")</f>
        <v>-</v>
      </c>
    </row>
    <row r="35990" customHeight="1" spans="2:2">
      <c r="B35990" s="62" t="str">
        <f>IF(AND('领用录入（明细）'!D:D=$F$4,'领用录入（明细）'!C:C&gt;=$J$4,'领用录入（明细）'!C:C&lt;=$L$4),ROW(),"-")</f>
        <v>-</v>
      </c>
    </row>
    <row r="35991" customHeight="1" spans="2:2">
      <c r="B35991" s="62" t="str">
        <f>IF(AND('领用录入（明细）'!D:D=$F$4,'领用录入（明细）'!C:C&gt;=$J$4,'领用录入（明细）'!C:C&lt;=$L$4),ROW(),"-")</f>
        <v>-</v>
      </c>
    </row>
    <row r="35992" customHeight="1" spans="2:2">
      <c r="B35992" s="62" t="str">
        <f>IF(AND('领用录入（明细）'!D:D=$F$4,'领用录入（明细）'!C:C&gt;=$J$4,'领用录入（明细）'!C:C&lt;=$L$4),ROW(),"-")</f>
        <v>-</v>
      </c>
    </row>
    <row r="35993" customHeight="1" spans="2:2">
      <c r="B35993" s="62" t="str">
        <f>IF(AND('领用录入（明细）'!D:D=$F$4,'领用录入（明细）'!C:C&gt;=$J$4,'领用录入（明细）'!C:C&lt;=$L$4),ROW(),"-")</f>
        <v>-</v>
      </c>
    </row>
    <row r="35994" customHeight="1" spans="2:2">
      <c r="B35994" s="62" t="str">
        <f>IF(AND('领用录入（明细）'!D:D=$F$4,'领用录入（明细）'!C:C&gt;=$J$4,'领用录入（明细）'!C:C&lt;=$L$4),ROW(),"-")</f>
        <v>-</v>
      </c>
    </row>
    <row r="35995" customHeight="1" spans="2:2">
      <c r="B35995" s="62" t="str">
        <f>IF(AND('领用录入（明细）'!D:D=$F$4,'领用录入（明细）'!C:C&gt;=$J$4,'领用录入（明细）'!C:C&lt;=$L$4),ROW(),"-")</f>
        <v>-</v>
      </c>
    </row>
    <row r="35996" customHeight="1" spans="2:2">
      <c r="B35996" s="62" t="str">
        <f>IF(AND('领用录入（明细）'!D:D=$F$4,'领用录入（明细）'!C:C&gt;=$J$4,'领用录入（明细）'!C:C&lt;=$L$4),ROW(),"-")</f>
        <v>-</v>
      </c>
    </row>
    <row r="35997" customHeight="1" spans="2:2">
      <c r="B35997" s="62" t="str">
        <f>IF(AND('领用录入（明细）'!D:D=$F$4,'领用录入（明细）'!C:C&gt;=$J$4,'领用录入（明细）'!C:C&lt;=$L$4),ROW(),"-")</f>
        <v>-</v>
      </c>
    </row>
    <row r="35998" customHeight="1" spans="2:2">
      <c r="B35998" s="62" t="str">
        <f>IF(AND('领用录入（明细）'!D:D=$F$4,'领用录入（明细）'!C:C&gt;=$J$4,'领用录入（明细）'!C:C&lt;=$L$4),ROW(),"-")</f>
        <v>-</v>
      </c>
    </row>
    <row r="35999" customHeight="1" spans="2:2">
      <c r="B35999" s="62" t="str">
        <f>IF(AND('领用录入（明细）'!D:D=$F$4,'领用录入（明细）'!C:C&gt;=$J$4,'领用录入（明细）'!C:C&lt;=$L$4),ROW(),"-")</f>
        <v>-</v>
      </c>
    </row>
    <row r="36000" customHeight="1" spans="2:2">
      <c r="B36000" s="62" t="str">
        <f>IF(AND('领用录入（明细）'!D:D=$F$4,'领用录入（明细）'!C:C&gt;=$J$4,'领用录入（明细）'!C:C&lt;=$L$4),ROW(),"-")</f>
        <v>-</v>
      </c>
    </row>
    <row r="36001" customHeight="1" spans="2:2">
      <c r="B36001" s="62" t="str">
        <f>IF(AND('领用录入（明细）'!D:D=$F$4,'领用录入（明细）'!C:C&gt;=$J$4,'领用录入（明细）'!C:C&lt;=$L$4),ROW(),"-")</f>
        <v>-</v>
      </c>
    </row>
    <row r="36002" customHeight="1" spans="2:2">
      <c r="B36002" s="62" t="str">
        <f>IF(AND('领用录入（明细）'!D:D=$F$4,'领用录入（明细）'!C:C&gt;=$J$4,'领用录入（明细）'!C:C&lt;=$L$4),ROW(),"-")</f>
        <v>-</v>
      </c>
    </row>
    <row r="36003" customHeight="1" spans="2:2">
      <c r="B36003" s="62" t="str">
        <f>IF(AND('领用录入（明细）'!D:D=$F$4,'领用录入（明细）'!C:C&gt;=$J$4,'领用录入（明细）'!C:C&lt;=$L$4),ROW(),"-")</f>
        <v>-</v>
      </c>
    </row>
    <row r="36004" customHeight="1" spans="2:2">
      <c r="B36004" s="62" t="str">
        <f>IF(AND('领用录入（明细）'!D:D=$F$4,'领用录入（明细）'!C:C&gt;=$J$4,'领用录入（明细）'!C:C&lt;=$L$4),ROW(),"-")</f>
        <v>-</v>
      </c>
    </row>
    <row r="36005" customHeight="1" spans="2:2">
      <c r="B36005" s="62" t="str">
        <f>IF(AND('领用录入（明细）'!D:D=$F$4,'领用录入（明细）'!C:C&gt;=$J$4,'领用录入（明细）'!C:C&lt;=$L$4),ROW(),"-")</f>
        <v>-</v>
      </c>
    </row>
    <row r="36006" customHeight="1" spans="2:2">
      <c r="B36006" s="62" t="str">
        <f>IF(AND('领用录入（明细）'!D:D=$F$4,'领用录入（明细）'!C:C&gt;=$J$4,'领用录入（明细）'!C:C&lt;=$L$4),ROW(),"-")</f>
        <v>-</v>
      </c>
    </row>
    <row r="36007" customHeight="1" spans="2:2">
      <c r="B36007" s="62" t="str">
        <f>IF(AND('领用录入（明细）'!D:D=$F$4,'领用录入（明细）'!C:C&gt;=$J$4,'领用录入（明细）'!C:C&lt;=$L$4),ROW(),"-")</f>
        <v>-</v>
      </c>
    </row>
    <row r="36008" customHeight="1" spans="2:2">
      <c r="B36008" s="62" t="str">
        <f>IF(AND('领用录入（明细）'!D:D=$F$4,'领用录入（明细）'!C:C&gt;=$J$4,'领用录入（明细）'!C:C&lt;=$L$4),ROW(),"-")</f>
        <v>-</v>
      </c>
    </row>
    <row r="36009" customHeight="1" spans="2:2">
      <c r="B36009" s="62" t="str">
        <f>IF(AND('领用录入（明细）'!D:D=$F$4,'领用录入（明细）'!C:C&gt;=$J$4,'领用录入（明细）'!C:C&lt;=$L$4),ROW(),"-")</f>
        <v>-</v>
      </c>
    </row>
    <row r="36010" customHeight="1" spans="2:2">
      <c r="B36010" s="62" t="str">
        <f>IF(AND('领用录入（明细）'!D:D=$F$4,'领用录入（明细）'!C:C&gt;=$J$4,'领用录入（明细）'!C:C&lt;=$L$4),ROW(),"-")</f>
        <v>-</v>
      </c>
    </row>
    <row r="36011" customHeight="1" spans="2:2">
      <c r="B36011" s="62" t="str">
        <f>IF(AND('领用录入（明细）'!D:D=$F$4,'领用录入（明细）'!C:C&gt;=$J$4,'领用录入（明细）'!C:C&lt;=$L$4),ROW(),"-")</f>
        <v>-</v>
      </c>
    </row>
    <row r="36012" customHeight="1" spans="2:2">
      <c r="B36012" s="62" t="str">
        <f>IF(AND('领用录入（明细）'!D:D=$F$4,'领用录入（明细）'!C:C&gt;=$J$4,'领用录入（明细）'!C:C&lt;=$L$4),ROW(),"-")</f>
        <v>-</v>
      </c>
    </row>
    <row r="36013" customHeight="1" spans="2:2">
      <c r="B36013" s="62" t="str">
        <f>IF(AND('领用录入（明细）'!D:D=$F$4,'领用录入（明细）'!C:C&gt;=$J$4,'领用录入（明细）'!C:C&lt;=$L$4),ROW(),"-")</f>
        <v>-</v>
      </c>
    </row>
    <row r="36014" customHeight="1" spans="2:2">
      <c r="B36014" s="62" t="str">
        <f>IF(AND('领用录入（明细）'!D:D=$F$4,'领用录入（明细）'!C:C&gt;=$J$4,'领用录入（明细）'!C:C&lt;=$L$4),ROW(),"-")</f>
        <v>-</v>
      </c>
    </row>
    <row r="36015" customHeight="1" spans="2:2">
      <c r="B36015" s="62" t="str">
        <f>IF(AND('领用录入（明细）'!D:D=$F$4,'领用录入（明细）'!C:C&gt;=$J$4,'领用录入（明细）'!C:C&lt;=$L$4),ROW(),"-")</f>
        <v>-</v>
      </c>
    </row>
    <row r="36016" customHeight="1" spans="2:2">
      <c r="B36016" s="62" t="str">
        <f>IF(AND('领用录入（明细）'!D:D=$F$4,'领用录入（明细）'!C:C&gt;=$J$4,'领用录入（明细）'!C:C&lt;=$L$4),ROW(),"-")</f>
        <v>-</v>
      </c>
    </row>
    <row r="36017" customHeight="1" spans="2:2">
      <c r="B36017" s="62" t="str">
        <f>IF(AND('领用录入（明细）'!D:D=$F$4,'领用录入（明细）'!C:C&gt;=$J$4,'领用录入（明细）'!C:C&lt;=$L$4),ROW(),"-")</f>
        <v>-</v>
      </c>
    </row>
    <row r="36018" customHeight="1" spans="2:2">
      <c r="B36018" s="62" t="str">
        <f>IF(AND('领用录入（明细）'!D:D=$F$4,'领用录入（明细）'!C:C&gt;=$J$4,'领用录入（明细）'!C:C&lt;=$L$4),ROW(),"-")</f>
        <v>-</v>
      </c>
    </row>
    <row r="36019" customHeight="1" spans="2:2">
      <c r="B36019" s="62" t="str">
        <f>IF(AND('领用录入（明细）'!D:D=$F$4,'领用录入（明细）'!C:C&gt;=$J$4,'领用录入（明细）'!C:C&lt;=$L$4),ROW(),"-")</f>
        <v>-</v>
      </c>
    </row>
    <row r="36020" customHeight="1" spans="2:2">
      <c r="B36020" s="62" t="str">
        <f>IF(AND('领用录入（明细）'!D:D=$F$4,'领用录入（明细）'!C:C&gt;=$J$4,'领用录入（明细）'!C:C&lt;=$L$4),ROW(),"-")</f>
        <v>-</v>
      </c>
    </row>
    <row r="36021" customHeight="1" spans="2:2">
      <c r="B36021" s="62" t="str">
        <f>IF(AND('领用录入（明细）'!D:D=$F$4,'领用录入（明细）'!C:C&gt;=$J$4,'领用录入（明细）'!C:C&lt;=$L$4),ROW(),"-")</f>
        <v>-</v>
      </c>
    </row>
    <row r="36022" customHeight="1" spans="2:2">
      <c r="B36022" s="62" t="str">
        <f>IF(AND('领用录入（明细）'!D:D=$F$4,'领用录入（明细）'!C:C&gt;=$J$4,'领用录入（明细）'!C:C&lt;=$L$4),ROW(),"-")</f>
        <v>-</v>
      </c>
    </row>
    <row r="36023" customHeight="1" spans="2:2">
      <c r="B36023" s="62" t="str">
        <f>IF(AND('领用录入（明细）'!D:D=$F$4,'领用录入（明细）'!C:C&gt;=$J$4,'领用录入（明细）'!C:C&lt;=$L$4),ROW(),"-")</f>
        <v>-</v>
      </c>
    </row>
    <row r="36024" customHeight="1" spans="2:2">
      <c r="B36024" s="62" t="str">
        <f>IF(AND('领用录入（明细）'!D:D=$F$4,'领用录入（明细）'!C:C&gt;=$J$4,'领用录入（明细）'!C:C&lt;=$L$4),ROW(),"-")</f>
        <v>-</v>
      </c>
    </row>
    <row r="36025" customHeight="1" spans="2:2">
      <c r="B36025" s="62" t="str">
        <f>IF(AND('领用录入（明细）'!D:D=$F$4,'领用录入（明细）'!C:C&gt;=$J$4,'领用录入（明细）'!C:C&lt;=$L$4),ROW(),"-")</f>
        <v>-</v>
      </c>
    </row>
    <row r="36026" customHeight="1" spans="2:2">
      <c r="B36026" s="62" t="str">
        <f>IF(AND('领用录入（明细）'!D:D=$F$4,'领用录入（明细）'!C:C&gt;=$J$4,'领用录入（明细）'!C:C&lt;=$L$4),ROW(),"-")</f>
        <v>-</v>
      </c>
    </row>
    <row r="36027" customHeight="1" spans="2:2">
      <c r="B36027" s="62" t="str">
        <f>IF(AND('领用录入（明细）'!D:D=$F$4,'领用录入（明细）'!C:C&gt;=$J$4,'领用录入（明细）'!C:C&lt;=$L$4),ROW(),"-")</f>
        <v>-</v>
      </c>
    </row>
    <row r="36028" customHeight="1" spans="2:2">
      <c r="B36028" s="62" t="str">
        <f>IF(AND('领用录入（明细）'!D:D=$F$4,'领用录入（明细）'!C:C&gt;=$J$4,'领用录入（明细）'!C:C&lt;=$L$4),ROW(),"-")</f>
        <v>-</v>
      </c>
    </row>
    <row r="36029" customHeight="1" spans="2:2">
      <c r="B36029" s="62" t="str">
        <f>IF(AND('领用录入（明细）'!D:D=$F$4,'领用录入（明细）'!C:C&gt;=$J$4,'领用录入（明细）'!C:C&lt;=$L$4),ROW(),"-")</f>
        <v>-</v>
      </c>
    </row>
    <row r="36030" customHeight="1" spans="2:2">
      <c r="B36030" s="62" t="str">
        <f>IF(AND('领用录入（明细）'!D:D=$F$4,'领用录入（明细）'!C:C&gt;=$J$4,'领用录入（明细）'!C:C&lt;=$L$4),ROW(),"-")</f>
        <v>-</v>
      </c>
    </row>
    <row r="36031" customHeight="1" spans="2:2">
      <c r="B36031" s="62" t="str">
        <f>IF(AND('领用录入（明细）'!D:D=$F$4,'领用录入（明细）'!C:C&gt;=$J$4,'领用录入（明细）'!C:C&lt;=$L$4),ROW(),"-")</f>
        <v>-</v>
      </c>
    </row>
    <row r="36032" customHeight="1" spans="2:2">
      <c r="B36032" s="62" t="str">
        <f>IF(AND('领用录入（明细）'!D:D=$F$4,'领用录入（明细）'!C:C&gt;=$J$4,'领用录入（明细）'!C:C&lt;=$L$4),ROW(),"-")</f>
        <v>-</v>
      </c>
    </row>
    <row r="36033" customHeight="1" spans="2:2">
      <c r="B36033" s="62" t="str">
        <f>IF(AND('领用录入（明细）'!D:D=$F$4,'领用录入（明细）'!C:C&gt;=$J$4,'领用录入（明细）'!C:C&lt;=$L$4),ROW(),"-")</f>
        <v>-</v>
      </c>
    </row>
    <row r="36034" customHeight="1" spans="2:2">
      <c r="B36034" s="62" t="str">
        <f>IF(AND('领用录入（明细）'!D:D=$F$4,'领用录入（明细）'!C:C&gt;=$J$4,'领用录入（明细）'!C:C&lt;=$L$4),ROW(),"-")</f>
        <v>-</v>
      </c>
    </row>
    <row r="36035" customHeight="1" spans="2:2">
      <c r="B36035" s="62" t="str">
        <f>IF(AND('领用录入（明细）'!D:D=$F$4,'领用录入（明细）'!C:C&gt;=$J$4,'领用录入（明细）'!C:C&lt;=$L$4),ROW(),"-")</f>
        <v>-</v>
      </c>
    </row>
    <row r="36036" customHeight="1" spans="2:2">
      <c r="B36036" s="62" t="str">
        <f>IF(AND('领用录入（明细）'!D:D=$F$4,'领用录入（明细）'!C:C&gt;=$J$4,'领用录入（明细）'!C:C&lt;=$L$4),ROW(),"-")</f>
        <v>-</v>
      </c>
    </row>
    <row r="36037" customHeight="1" spans="2:2">
      <c r="B36037" s="62" t="str">
        <f>IF(AND('领用录入（明细）'!D:D=$F$4,'领用录入（明细）'!C:C&gt;=$J$4,'领用录入（明细）'!C:C&lt;=$L$4),ROW(),"-")</f>
        <v>-</v>
      </c>
    </row>
    <row r="36038" customHeight="1" spans="2:2">
      <c r="B36038" s="62" t="str">
        <f>IF(AND('领用录入（明细）'!D:D=$F$4,'领用录入（明细）'!C:C&gt;=$J$4,'领用录入（明细）'!C:C&lt;=$L$4),ROW(),"-")</f>
        <v>-</v>
      </c>
    </row>
    <row r="36039" customHeight="1" spans="2:2">
      <c r="B36039" s="62" t="str">
        <f>IF(AND('领用录入（明细）'!D:D=$F$4,'领用录入（明细）'!C:C&gt;=$J$4,'领用录入（明细）'!C:C&lt;=$L$4),ROW(),"-")</f>
        <v>-</v>
      </c>
    </row>
    <row r="36040" customHeight="1" spans="2:2">
      <c r="B36040" s="62" t="str">
        <f>IF(AND('领用录入（明细）'!D:D=$F$4,'领用录入（明细）'!C:C&gt;=$J$4,'领用录入（明细）'!C:C&lt;=$L$4),ROW(),"-")</f>
        <v>-</v>
      </c>
    </row>
    <row r="36041" customHeight="1" spans="2:2">
      <c r="B36041" s="62" t="str">
        <f>IF(AND('领用录入（明细）'!D:D=$F$4,'领用录入（明细）'!C:C&gt;=$J$4,'领用录入（明细）'!C:C&lt;=$L$4),ROW(),"-")</f>
        <v>-</v>
      </c>
    </row>
    <row r="36042" customHeight="1" spans="2:2">
      <c r="B36042" s="62" t="str">
        <f>IF(AND('领用录入（明细）'!D:D=$F$4,'领用录入（明细）'!C:C&gt;=$J$4,'领用录入（明细）'!C:C&lt;=$L$4),ROW(),"-")</f>
        <v>-</v>
      </c>
    </row>
    <row r="36043" customHeight="1" spans="2:2">
      <c r="B36043" s="62" t="str">
        <f>IF(AND('领用录入（明细）'!D:D=$F$4,'领用录入（明细）'!C:C&gt;=$J$4,'领用录入（明细）'!C:C&lt;=$L$4),ROW(),"-")</f>
        <v>-</v>
      </c>
    </row>
    <row r="36044" customHeight="1" spans="2:2">
      <c r="B36044" s="62" t="str">
        <f>IF(AND('领用录入（明细）'!D:D=$F$4,'领用录入（明细）'!C:C&gt;=$J$4,'领用录入（明细）'!C:C&lt;=$L$4),ROW(),"-")</f>
        <v>-</v>
      </c>
    </row>
    <row r="36045" customHeight="1" spans="2:2">
      <c r="B36045" s="62" t="str">
        <f>IF(AND('领用录入（明细）'!D:D=$F$4,'领用录入（明细）'!C:C&gt;=$J$4,'领用录入（明细）'!C:C&lt;=$L$4),ROW(),"-")</f>
        <v>-</v>
      </c>
    </row>
    <row r="36046" customHeight="1" spans="2:2">
      <c r="B36046" s="62" t="str">
        <f>IF(AND('领用录入（明细）'!D:D=$F$4,'领用录入（明细）'!C:C&gt;=$J$4,'领用录入（明细）'!C:C&lt;=$L$4),ROW(),"-")</f>
        <v>-</v>
      </c>
    </row>
    <row r="36047" customHeight="1" spans="2:2">
      <c r="B36047" s="62" t="str">
        <f>IF(AND('领用录入（明细）'!D:D=$F$4,'领用录入（明细）'!C:C&gt;=$J$4,'领用录入（明细）'!C:C&lt;=$L$4),ROW(),"-")</f>
        <v>-</v>
      </c>
    </row>
    <row r="36048" customHeight="1" spans="2:2">
      <c r="B36048" s="62" t="str">
        <f>IF(AND('领用录入（明细）'!D:D=$F$4,'领用录入（明细）'!C:C&gt;=$J$4,'领用录入（明细）'!C:C&lt;=$L$4),ROW(),"-")</f>
        <v>-</v>
      </c>
    </row>
    <row r="36049" customHeight="1" spans="2:2">
      <c r="B36049" s="62" t="str">
        <f>IF(AND('领用录入（明细）'!D:D=$F$4,'领用录入（明细）'!C:C&gt;=$J$4,'领用录入（明细）'!C:C&lt;=$L$4),ROW(),"-")</f>
        <v>-</v>
      </c>
    </row>
    <row r="36050" customHeight="1" spans="2:2">
      <c r="B36050" s="62" t="str">
        <f>IF(AND('领用录入（明细）'!D:D=$F$4,'领用录入（明细）'!C:C&gt;=$J$4,'领用录入（明细）'!C:C&lt;=$L$4),ROW(),"-")</f>
        <v>-</v>
      </c>
    </row>
    <row r="36051" customHeight="1" spans="2:2">
      <c r="B36051" s="62" t="str">
        <f>IF(AND('领用录入（明细）'!D:D=$F$4,'领用录入（明细）'!C:C&gt;=$J$4,'领用录入（明细）'!C:C&lt;=$L$4),ROW(),"-")</f>
        <v>-</v>
      </c>
    </row>
    <row r="36052" customHeight="1" spans="2:2">
      <c r="B36052" s="62" t="str">
        <f>IF(AND('领用录入（明细）'!D:D=$F$4,'领用录入（明细）'!C:C&gt;=$J$4,'领用录入（明细）'!C:C&lt;=$L$4),ROW(),"-")</f>
        <v>-</v>
      </c>
    </row>
    <row r="36053" customHeight="1" spans="2:2">
      <c r="B36053" s="62" t="str">
        <f>IF(AND('领用录入（明细）'!D:D=$F$4,'领用录入（明细）'!C:C&gt;=$J$4,'领用录入（明细）'!C:C&lt;=$L$4),ROW(),"-")</f>
        <v>-</v>
      </c>
    </row>
    <row r="36054" customHeight="1" spans="2:2">
      <c r="B36054" s="62" t="str">
        <f>IF(AND('领用录入（明细）'!D:D=$F$4,'领用录入（明细）'!C:C&gt;=$J$4,'领用录入（明细）'!C:C&lt;=$L$4),ROW(),"-")</f>
        <v>-</v>
      </c>
    </row>
    <row r="36055" customHeight="1" spans="2:2">
      <c r="B36055" s="62" t="str">
        <f>IF(AND('领用录入（明细）'!D:D=$F$4,'领用录入（明细）'!C:C&gt;=$J$4,'领用录入（明细）'!C:C&lt;=$L$4),ROW(),"-")</f>
        <v>-</v>
      </c>
    </row>
    <row r="36056" customHeight="1" spans="2:2">
      <c r="B36056" s="62" t="str">
        <f>IF(AND('领用录入（明细）'!D:D=$F$4,'领用录入（明细）'!C:C&gt;=$J$4,'领用录入（明细）'!C:C&lt;=$L$4),ROW(),"-")</f>
        <v>-</v>
      </c>
    </row>
    <row r="36057" customHeight="1" spans="2:2">
      <c r="B36057" s="62" t="str">
        <f>IF(AND('领用录入（明细）'!D:D=$F$4,'领用录入（明细）'!C:C&gt;=$J$4,'领用录入（明细）'!C:C&lt;=$L$4),ROW(),"-")</f>
        <v>-</v>
      </c>
    </row>
    <row r="36058" customHeight="1" spans="2:2">
      <c r="B36058" s="62" t="str">
        <f>IF(AND('领用录入（明细）'!D:D=$F$4,'领用录入（明细）'!C:C&gt;=$J$4,'领用录入（明细）'!C:C&lt;=$L$4),ROW(),"-")</f>
        <v>-</v>
      </c>
    </row>
    <row r="36059" customHeight="1" spans="2:2">
      <c r="B36059" s="62" t="str">
        <f>IF(AND('领用录入（明细）'!D:D=$F$4,'领用录入（明细）'!C:C&gt;=$J$4,'领用录入（明细）'!C:C&lt;=$L$4),ROW(),"-")</f>
        <v>-</v>
      </c>
    </row>
    <row r="36060" customHeight="1" spans="2:2">
      <c r="B36060" s="62" t="str">
        <f>IF(AND('领用录入（明细）'!D:D=$F$4,'领用录入（明细）'!C:C&gt;=$J$4,'领用录入（明细）'!C:C&lt;=$L$4),ROW(),"-")</f>
        <v>-</v>
      </c>
    </row>
    <row r="36061" customHeight="1" spans="2:2">
      <c r="B36061" s="62" t="str">
        <f>IF(AND('领用录入（明细）'!D:D=$F$4,'领用录入（明细）'!C:C&gt;=$J$4,'领用录入（明细）'!C:C&lt;=$L$4),ROW(),"-")</f>
        <v>-</v>
      </c>
    </row>
    <row r="36062" customHeight="1" spans="2:2">
      <c r="B36062" s="62" t="str">
        <f>IF(AND('领用录入（明细）'!D:D=$F$4,'领用录入（明细）'!C:C&gt;=$J$4,'领用录入（明细）'!C:C&lt;=$L$4),ROW(),"-")</f>
        <v>-</v>
      </c>
    </row>
    <row r="36063" customHeight="1" spans="2:2">
      <c r="B36063" s="62" t="str">
        <f>IF(AND('领用录入（明细）'!D:D=$F$4,'领用录入（明细）'!C:C&gt;=$J$4,'领用录入（明细）'!C:C&lt;=$L$4),ROW(),"-")</f>
        <v>-</v>
      </c>
    </row>
    <row r="36064" customHeight="1" spans="2:2">
      <c r="B36064" s="62" t="str">
        <f>IF(AND('领用录入（明细）'!D:D=$F$4,'领用录入（明细）'!C:C&gt;=$J$4,'领用录入（明细）'!C:C&lt;=$L$4),ROW(),"-")</f>
        <v>-</v>
      </c>
    </row>
    <row r="36065" customHeight="1" spans="2:2">
      <c r="B36065" s="62" t="str">
        <f>IF(AND('领用录入（明细）'!D:D=$F$4,'领用录入（明细）'!C:C&gt;=$J$4,'领用录入（明细）'!C:C&lt;=$L$4),ROW(),"-")</f>
        <v>-</v>
      </c>
    </row>
    <row r="36066" customHeight="1" spans="2:2">
      <c r="B36066" s="62" t="str">
        <f>IF(AND('领用录入（明细）'!D:D=$F$4,'领用录入（明细）'!C:C&gt;=$J$4,'领用录入（明细）'!C:C&lt;=$L$4),ROW(),"-")</f>
        <v>-</v>
      </c>
    </row>
    <row r="36067" customHeight="1" spans="2:2">
      <c r="B36067" s="62" t="str">
        <f>IF(AND('领用录入（明细）'!D:D=$F$4,'领用录入（明细）'!C:C&gt;=$J$4,'领用录入（明细）'!C:C&lt;=$L$4),ROW(),"-")</f>
        <v>-</v>
      </c>
    </row>
    <row r="36068" customHeight="1" spans="2:2">
      <c r="B36068" s="62" t="str">
        <f>IF(AND('领用录入（明细）'!D:D=$F$4,'领用录入（明细）'!C:C&gt;=$J$4,'领用录入（明细）'!C:C&lt;=$L$4),ROW(),"-")</f>
        <v>-</v>
      </c>
    </row>
    <row r="36069" customHeight="1" spans="2:2">
      <c r="B36069" s="62" t="str">
        <f>IF(AND('领用录入（明细）'!D:D=$F$4,'领用录入（明细）'!C:C&gt;=$J$4,'领用录入（明细）'!C:C&lt;=$L$4),ROW(),"-")</f>
        <v>-</v>
      </c>
    </row>
    <row r="36070" customHeight="1" spans="2:2">
      <c r="B36070" s="62" t="str">
        <f>IF(AND('领用录入（明细）'!D:D=$F$4,'领用录入（明细）'!C:C&gt;=$J$4,'领用录入（明细）'!C:C&lt;=$L$4),ROW(),"-")</f>
        <v>-</v>
      </c>
    </row>
    <row r="36071" customHeight="1" spans="2:2">
      <c r="B36071" s="62" t="str">
        <f>IF(AND('领用录入（明细）'!D:D=$F$4,'领用录入（明细）'!C:C&gt;=$J$4,'领用录入（明细）'!C:C&lt;=$L$4),ROW(),"-")</f>
        <v>-</v>
      </c>
    </row>
    <row r="36072" customHeight="1" spans="2:2">
      <c r="B36072" s="62" t="str">
        <f>IF(AND('领用录入（明细）'!D:D=$F$4,'领用录入（明细）'!C:C&gt;=$J$4,'领用录入（明细）'!C:C&lt;=$L$4),ROW(),"-")</f>
        <v>-</v>
      </c>
    </row>
    <row r="36073" customHeight="1" spans="2:2">
      <c r="B36073" s="62" t="str">
        <f>IF(AND('领用录入（明细）'!D:D=$F$4,'领用录入（明细）'!C:C&gt;=$J$4,'领用录入（明细）'!C:C&lt;=$L$4),ROW(),"-")</f>
        <v>-</v>
      </c>
    </row>
    <row r="36074" customHeight="1" spans="2:2">
      <c r="B36074" s="62" t="str">
        <f>IF(AND('领用录入（明细）'!D:D=$F$4,'领用录入（明细）'!C:C&gt;=$J$4,'领用录入（明细）'!C:C&lt;=$L$4),ROW(),"-")</f>
        <v>-</v>
      </c>
    </row>
    <row r="36075" customHeight="1" spans="2:2">
      <c r="B36075" s="62" t="str">
        <f>IF(AND('领用录入（明细）'!D:D=$F$4,'领用录入（明细）'!C:C&gt;=$J$4,'领用录入（明细）'!C:C&lt;=$L$4),ROW(),"-")</f>
        <v>-</v>
      </c>
    </row>
    <row r="36076" customHeight="1" spans="2:2">
      <c r="B36076" s="62" t="str">
        <f>IF(AND('领用录入（明细）'!D:D=$F$4,'领用录入（明细）'!C:C&gt;=$J$4,'领用录入（明细）'!C:C&lt;=$L$4),ROW(),"-")</f>
        <v>-</v>
      </c>
    </row>
    <row r="36077" customHeight="1" spans="2:2">
      <c r="B36077" s="62" t="str">
        <f>IF(AND('领用录入（明细）'!D:D=$F$4,'领用录入（明细）'!C:C&gt;=$J$4,'领用录入（明细）'!C:C&lt;=$L$4),ROW(),"-")</f>
        <v>-</v>
      </c>
    </row>
    <row r="36078" customHeight="1" spans="2:2">
      <c r="B36078" s="62" t="str">
        <f>IF(AND('领用录入（明细）'!D:D=$F$4,'领用录入（明细）'!C:C&gt;=$J$4,'领用录入（明细）'!C:C&lt;=$L$4),ROW(),"-")</f>
        <v>-</v>
      </c>
    </row>
    <row r="36079" customHeight="1" spans="2:2">
      <c r="B36079" s="62" t="str">
        <f>IF(AND('领用录入（明细）'!D:D=$F$4,'领用录入（明细）'!C:C&gt;=$J$4,'领用录入（明细）'!C:C&lt;=$L$4),ROW(),"-")</f>
        <v>-</v>
      </c>
    </row>
    <row r="36080" customHeight="1" spans="2:2">
      <c r="B36080" s="62" t="str">
        <f>IF(AND('领用录入（明细）'!D:D=$F$4,'领用录入（明细）'!C:C&gt;=$J$4,'领用录入（明细）'!C:C&lt;=$L$4),ROW(),"-")</f>
        <v>-</v>
      </c>
    </row>
    <row r="36081" customHeight="1" spans="2:2">
      <c r="B36081" s="62" t="str">
        <f>IF(AND('领用录入（明细）'!D:D=$F$4,'领用录入（明细）'!C:C&gt;=$J$4,'领用录入（明细）'!C:C&lt;=$L$4),ROW(),"-")</f>
        <v>-</v>
      </c>
    </row>
    <row r="36082" customHeight="1" spans="2:2">
      <c r="B36082" s="62" t="str">
        <f>IF(AND('领用录入（明细）'!D:D=$F$4,'领用录入（明细）'!C:C&gt;=$J$4,'领用录入（明细）'!C:C&lt;=$L$4),ROW(),"-")</f>
        <v>-</v>
      </c>
    </row>
    <row r="36083" customHeight="1" spans="2:2">
      <c r="B36083" s="62" t="str">
        <f>IF(AND('领用录入（明细）'!D:D=$F$4,'领用录入（明细）'!C:C&gt;=$J$4,'领用录入（明细）'!C:C&lt;=$L$4),ROW(),"-")</f>
        <v>-</v>
      </c>
    </row>
    <row r="36084" customHeight="1" spans="2:2">
      <c r="B36084" s="62" t="str">
        <f>IF(AND('领用录入（明细）'!D:D=$F$4,'领用录入（明细）'!C:C&gt;=$J$4,'领用录入（明细）'!C:C&lt;=$L$4),ROW(),"-")</f>
        <v>-</v>
      </c>
    </row>
    <row r="36085" customHeight="1" spans="2:2">
      <c r="B36085" s="62" t="str">
        <f>IF(AND('领用录入（明细）'!D:D=$F$4,'领用录入（明细）'!C:C&gt;=$J$4,'领用录入（明细）'!C:C&lt;=$L$4),ROW(),"-")</f>
        <v>-</v>
      </c>
    </row>
    <row r="36086" customHeight="1" spans="2:2">
      <c r="B36086" s="62" t="str">
        <f>IF(AND('领用录入（明细）'!D:D=$F$4,'领用录入（明细）'!C:C&gt;=$J$4,'领用录入（明细）'!C:C&lt;=$L$4),ROW(),"-")</f>
        <v>-</v>
      </c>
    </row>
    <row r="36087" customHeight="1" spans="2:2">
      <c r="B36087" s="62" t="str">
        <f>IF(AND('领用录入（明细）'!D:D=$F$4,'领用录入（明细）'!C:C&gt;=$J$4,'领用录入（明细）'!C:C&lt;=$L$4),ROW(),"-")</f>
        <v>-</v>
      </c>
    </row>
    <row r="36088" customHeight="1" spans="2:2">
      <c r="B36088" s="62" t="str">
        <f>IF(AND('领用录入（明细）'!D:D=$F$4,'领用录入（明细）'!C:C&gt;=$J$4,'领用录入（明细）'!C:C&lt;=$L$4),ROW(),"-")</f>
        <v>-</v>
      </c>
    </row>
    <row r="36089" customHeight="1" spans="2:2">
      <c r="B36089" s="62" t="str">
        <f>IF(AND('领用录入（明细）'!D:D=$F$4,'领用录入（明细）'!C:C&gt;=$J$4,'领用录入（明细）'!C:C&lt;=$L$4),ROW(),"-")</f>
        <v>-</v>
      </c>
    </row>
    <row r="36090" customHeight="1" spans="2:2">
      <c r="B36090" s="62" t="str">
        <f>IF(AND('领用录入（明细）'!D:D=$F$4,'领用录入（明细）'!C:C&gt;=$J$4,'领用录入（明细）'!C:C&lt;=$L$4),ROW(),"-")</f>
        <v>-</v>
      </c>
    </row>
    <row r="36091" customHeight="1" spans="2:2">
      <c r="B36091" s="62" t="str">
        <f>IF(AND('领用录入（明细）'!D:D=$F$4,'领用录入（明细）'!C:C&gt;=$J$4,'领用录入（明细）'!C:C&lt;=$L$4),ROW(),"-")</f>
        <v>-</v>
      </c>
    </row>
    <row r="36092" customHeight="1" spans="2:2">
      <c r="B36092" s="62" t="str">
        <f>IF(AND('领用录入（明细）'!D:D=$F$4,'领用录入（明细）'!C:C&gt;=$J$4,'领用录入（明细）'!C:C&lt;=$L$4),ROW(),"-")</f>
        <v>-</v>
      </c>
    </row>
    <row r="36093" customHeight="1" spans="2:2">
      <c r="B36093" s="62" t="str">
        <f>IF(AND('领用录入（明细）'!D:D=$F$4,'领用录入（明细）'!C:C&gt;=$J$4,'领用录入（明细）'!C:C&lt;=$L$4),ROW(),"-")</f>
        <v>-</v>
      </c>
    </row>
    <row r="36094" customHeight="1" spans="2:2">
      <c r="B36094" s="62" t="str">
        <f>IF(AND('领用录入（明细）'!D:D=$F$4,'领用录入（明细）'!C:C&gt;=$J$4,'领用录入（明细）'!C:C&lt;=$L$4),ROW(),"-")</f>
        <v>-</v>
      </c>
    </row>
    <row r="36095" customHeight="1" spans="2:2">
      <c r="B36095" s="62" t="str">
        <f>IF(AND('领用录入（明细）'!D:D=$F$4,'领用录入（明细）'!C:C&gt;=$J$4,'领用录入（明细）'!C:C&lt;=$L$4),ROW(),"-")</f>
        <v>-</v>
      </c>
    </row>
    <row r="36096" customHeight="1" spans="2:2">
      <c r="B36096" s="62" t="str">
        <f>IF(AND('领用录入（明细）'!D:D=$F$4,'领用录入（明细）'!C:C&gt;=$J$4,'领用录入（明细）'!C:C&lt;=$L$4),ROW(),"-")</f>
        <v>-</v>
      </c>
    </row>
    <row r="36097" customHeight="1" spans="2:2">
      <c r="B36097" s="62" t="str">
        <f>IF(AND('领用录入（明细）'!D:D=$F$4,'领用录入（明细）'!C:C&gt;=$J$4,'领用录入（明细）'!C:C&lt;=$L$4),ROW(),"-")</f>
        <v>-</v>
      </c>
    </row>
    <row r="36098" customHeight="1" spans="2:2">
      <c r="B36098" s="62" t="str">
        <f>IF(AND('领用录入（明细）'!D:D=$F$4,'领用录入（明细）'!C:C&gt;=$J$4,'领用录入（明细）'!C:C&lt;=$L$4),ROW(),"-")</f>
        <v>-</v>
      </c>
    </row>
    <row r="36099" customHeight="1" spans="2:2">
      <c r="B36099" s="62" t="str">
        <f>IF(AND('领用录入（明细）'!D:D=$F$4,'领用录入（明细）'!C:C&gt;=$J$4,'领用录入（明细）'!C:C&lt;=$L$4),ROW(),"-")</f>
        <v>-</v>
      </c>
    </row>
    <row r="36100" customHeight="1" spans="2:2">
      <c r="B36100" s="62" t="str">
        <f>IF(AND('领用录入（明细）'!D:D=$F$4,'领用录入（明细）'!C:C&gt;=$J$4,'领用录入（明细）'!C:C&lt;=$L$4),ROW(),"-")</f>
        <v>-</v>
      </c>
    </row>
    <row r="36101" customHeight="1" spans="2:2">
      <c r="B36101" s="62" t="str">
        <f>IF(AND('领用录入（明细）'!D:D=$F$4,'领用录入（明细）'!C:C&gt;=$J$4,'领用录入（明细）'!C:C&lt;=$L$4),ROW(),"-")</f>
        <v>-</v>
      </c>
    </row>
    <row r="36102" customHeight="1" spans="2:2">
      <c r="B36102" s="62" t="str">
        <f>IF(AND('领用录入（明细）'!D:D=$F$4,'领用录入（明细）'!C:C&gt;=$J$4,'领用录入（明细）'!C:C&lt;=$L$4),ROW(),"-")</f>
        <v>-</v>
      </c>
    </row>
    <row r="36103" customHeight="1" spans="2:2">
      <c r="B36103" s="62" t="str">
        <f>IF(AND('领用录入（明细）'!D:D=$F$4,'领用录入（明细）'!C:C&gt;=$J$4,'领用录入（明细）'!C:C&lt;=$L$4),ROW(),"-")</f>
        <v>-</v>
      </c>
    </row>
    <row r="36104" customHeight="1" spans="2:2">
      <c r="B36104" s="62" t="str">
        <f>IF(AND('领用录入（明细）'!D:D=$F$4,'领用录入（明细）'!C:C&gt;=$J$4,'领用录入（明细）'!C:C&lt;=$L$4),ROW(),"-")</f>
        <v>-</v>
      </c>
    </row>
    <row r="36105" customHeight="1" spans="2:2">
      <c r="B36105" s="62" t="str">
        <f>IF(AND('领用录入（明细）'!D:D=$F$4,'领用录入（明细）'!C:C&gt;=$J$4,'领用录入（明细）'!C:C&lt;=$L$4),ROW(),"-")</f>
        <v>-</v>
      </c>
    </row>
    <row r="36106" customHeight="1" spans="2:2">
      <c r="B36106" s="62" t="str">
        <f>IF(AND('领用录入（明细）'!D:D=$F$4,'领用录入（明细）'!C:C&gt;=$J$4,'领用录入（明细）'!C:C&lt;=$L$4),ROW(),"-")</f>
        <v>-</v>
      </c>
    </row>
    <row r="36107" customHeight="1" spans="2:2">
      <c r="B36107" s="62" t="str">
        <f>IF(AND('领用录入（明细）'!D:D=$F$4,'领用录入（明细）'!C:C&gt;=$J$4,'领用录入（明细）'!C:C&lt;=$L$4),ROW(),"-")</f>
        <v>-</v>
      </c>
    </row>
    <row r="36108" customHeight="1" spans="2:2">
      <c r="B36108" s="62" t="str">
        <f>IF(AND('领用录入（明细）'!D:D=$F$4,'领用录入（明细）'!C:C&gt;=$J$4,'领用录入（明细）'!C:C&lt;=$L$4),ROW(),"-")</f>
        <v>-</v>
      </c>
    </row>
    <row r="36109" customHeight="1" spans="2:2">
      <c r="B36109" s="62" t="str">
        <f>IF(AND('领用录入（明细）'!D:D=$F$4,'领用录入（明细）'!C:C&gt;=$J$4,'领用录入（明细）'!C:C&lt;=$L$4),ROW(),"-")</f>
        <v>-</v>
      </c>
    </row>
    <row r="36110" customHeight="1" spans="2:2">
      <c r="B36110" s="62" t="str">
        <f>IF(AND('领用录入（明细）'!D:D=$F$4,'领用录入（明细）'!C:C&gt;=$J$4,'领用录入（明细）'!C:C&lt;=$L$4),ROW(),"-")</f>
        <v>-</v>
      </c>
    </row>
    <row r="36111" customHeight="1" spans="2:2">
      <c r="B36111" s="62" t="str">
        <f>IF(AND('领用录入（明细）'!D:D=$F$4,'领用录入（明细）'!C:C&gt;=$J$4,'领用录入（明细）'!C:C&lt;=$L$4),ROW(),"-")</f>
        <v>-</v>
      </c>
    </row>
    <row r="36112" customHeight="1" spans="2:2">
      <c r="B36112" s="62" t="str">
        <f>IF(AND('领用录入（明细）'!D:D=$F$4,'领用录入（明细）'!C:C&gt;=$J$4,'领用录入（明细）'!C:C&lt;=$L$4),ROW(),"-")</f>
        <v>-</v>
      </c>
    </row>
    <row r="36113" customHeight="1" spans="2:2">
      <c r="B36113" s="62" t="str">
        <f>IF(AND('领用录入（明细）'!D:D=$F$4,'领用录入（明细）'!C:C&gt;=$J$4,'领用录入（明细）'!C:C&lt;=$L$4),ROW(),"-")</f>
        <v>-</v>
      </c>
    </row>
    <row r="36114" customHeight="1" spans="2:2">
      <c r="B36114" s="62" t="str">
        <f>IF(AND('领用录入（明细）'!D:D=$F$4,'领用录入（明细）'!C:C&gt;=$J$4,'领用录入（明细）'!C:C&lt;=$L$4),ROW(),"-")</f>
        <v>-</v>
      </c>
    </row>
    <row r="36115" customHeight="1" spans="2:2">
      <c r="B36115" s="62" t="str">
        <f>IF(AND('领用录入（明细）'!D:D=$F$4,'领用录入（明细）'!C:C&gt;=$J$4,'领用录入（明细）'!C:C&lt;=$L$4),ROW(),"-")</f>
        <v>-</v>
      </c>
    </row>
    <row r="36116" customHeight="1" spans="2:2">
      <c r="B36116" s="62" t="str">
        <f>IF(AND('领用录入（明细）'!D:D=$F$4,'领用录入（明细）'!C:C&gt;=$J$4,'领用录入（明细）'!C:C&lt;=$L$4),ROW(),"-")</f>
        <v>-</v>
      </c>
    </row>
    <row r="36117" customHeight="1" spans="2:2">
      <c r="B36117" s="62" t="str">
        <f>IF(AND('领用录入（明细）'!D:D=$F$4,'领用录入（明细）'!C:C&gt;=$J$4,'领用录入（明细）'!C:C&lt;=$L$4),ROW(),"-")</f>
        <v>-</v>
      </c>
    </row>
    <row r="36118" customHeight="1" spans="2:2">
      <c r="B36118" s="62" t="str">
        <f>IF(AND('领用录入（明细）'!D:D=$F$4,'领用录入（明细）'!C:C&gt;=$J$4,'领用录入（明细）'!C:C&lt;=$L$4),ROW(),"-")</f>
        <v>-</v>
      </c>
    </row>
    <row r="36119" customHeight="1" spans="2:2">
      <c r="B36119" s="62" t="str">
        <f>IF(AND('领用录入（明细）'!D:D=$F$4,'领用录入（明细）'!C:C&gt;=$J$4,'领用录入（明细）'!C:C&lt;=$L$4),ROW(),"-")</f>
        <v>-</v>
      </c>
    </row>
    <row r="36120" customHeight="1" spans="2:2">
      <c r="B36120" s="62" t="str">
        <f>IF(AND('领用录入（明细）'!D:D=$F$4,'领用录入（明细）'!C:C&gt;=$J$4,'领用录入（明细）'!C:C&lt;=$L$4),ROW(),"-")</f>
        <v>-</v>
      </c>
    </row>
    <row r="36121" customHeight="1" spans="2:2">
      <c r="B36121" s="62" t="str">
        <f>IF(AND('领用录入（明细）'!D:D=$F$4,'领用录入（明细）'!C:C&gt;=$J$4,'领用录入（明细）'!C:C&lt;=$L$4),ROW(),"-")</f>
        <v>-</v>
      </c>
    </row>
    <row r="36122" customHeight="1" spans="2:2">
      <c r="B36122" s="62" t="str">
        <f>IF(AND('领用录入（明细）'!D:D=$F$4,'领用录入（明细）'!C:C&gt;=$J$4,'领用录入（明细）'!C:C&lt;=$L$4),ROW(),"-")</f>
        <v>-</v>
      </c>
    </row>
    <row r="36123" customHeight="1" spans="2:2">
      <c r="B36123" s="62" t="str">
        <f>IF(AND('领用录入（明细）'!D:D=$F$4,'领用录入（明细）'!C:C&gt;=$J$4,'领用录入（明细）'!C:C&lt;=$L$4),ROW(),"-")</f>
        <v>-</v>
      </c>
    </row>
    <row r="36124" customHeight="1" spans="2:2">
      <c r="B36124" s="62" t="str">
        <f>IF(AND('领用录入（明细）'!D:D=$F$4,'领用录入（明细）'!C:C&gt;=$J$4,'领用录入（明细）'!C:C&lt;=$L$4),ROW(),"-")</f>
        <v>-</v>
      </c>
    </row>
    <row r="36125" customHeight="1" spans="2:2">
      <c r="B36125" s="62" t="str">
        <f>IF(AND('领用录入（明细）'!D:D=$F$4,'领用录入（明细）'!C:C&gt;=$J$4,'领用录入（明细）'!C:C&lt;=$L$4),ROW(),"-")</f>
        <v>-</v>
      </c>
    </row>
    <row r="36126" customHeight="1" spans="2:2">
      <c r="B36126" s="62" t="str">
        <f>IF(AND('领用录入（明细）'!D:D=$F$4,'领用录入（明细）'!C:C&gt;=$J$4,'领用录入（明细）'!C:C&lt;=$L$4),ROW(),"-")</f>
        <v>-</v>
      </c>
    </row>
    <row r="36127" customHeight="1" spans="2:2">
      <c r="B36127" s="62" t="str">
        <f>IF(AND('领用录入（明细）'!D:D=$F$4,'领用录入（明细）'!C:C&gt;=$J$4,'领用录入（明细）'!C:C&lt;=$L$4),ROW(),"-")</f>
        <v>-</v>
      </c>
    </row>
    <row r="36128" customHeight="1" spans="2:2">
      <c r="B36128" s="62" t="str">
        <f>IF(AND('领用录入（明细）'!D:D=$F$4,'领用录入（明细）'!C:C&gt;=$J$4,'领用录入（明细）'!C:C&lt;=$L$4),ROW(),"-")</f>
        <v>-</v>
      </c>
    </row>
    <row r="36129" customHeight="1" spans="2:2">
      <c r="B36129" s="62" t="str">
        <f>IF(AND('领用录入（明细）'!D:D=$F$4,'领用录入（明细）'!C:C&gt;=$J$4,'领用录入（明细）'!C:C&lt;=$L$4),ROW(),"-")</f>
        <v>-</v>
      </c>
    </row>
    <row r="36130" customHeight="1" spans="2:2">
      <c r="B36130" s="62" t="str">
        <f>IF(AND('领用录入（明细）'!D:D=$F$4,'领用录入（明细）'!C:C&gt;=$J$4,'领用录入（明细）'!C:C&lt;=$L$4),ROW(),"-")</f>
        <v>-</v>
      </c>
    </row>
    <row r="36131" customHeight="1" spans="2:2">
      <c r="B36131" s="62" t="str">
        <f>IF(AND('领用录入（明细）'!D:D=$F$4,'领用录入（明细）'!C:C&gt;=$J$4,'领用录入（明细）'!C:C&lt;=$L$4),ROW(),"-")</f>
        <v>-</v>
      </c>
    </row>
    <row r="36132" customHeight="1" spans="2:2">
      <c r="B36132" s="62" t="str">
        <f>IF(AND('领用录入（明细）'!D:D=$F$4,'领用录入（明细）'!C:C&gt;=$J$4,'领用录入（明细）'!C:C&lt;=$L$4),ROW(),"-")</f>
        <v>-</v>
      </c>
    </row>
    <row r="36133" customHeight="1" spans="2:2">
      <c r="B36133" s="62" t="str">
        <f>IF(AND('领用录入（明细）'!D:D=$F$4,'领用录入（明细）'!C:C&gt;=$J$4,'领用录入（明细）'!C:C&lt;=$L$4),ROW(),"-")</f>
        <v>-</v>
      </c>
    </row>
    <row r="36134" customHeight="1" spans="2:2">
      <c r="B36134" s="62" t="str">
        <f>IF(AND('领用录入（明细）'!D:D=$F$4,'领用录入（明细）'!C:C&gt;=$J$4,'领用录入（明细）'!C:C&lt;=$L$4),ROW(),"-")</f>
        <v>-</v>
      </c>
    </row>
    <row r="36135" customHeight="1" spans="2:2">
      <c r="B36135" s="62" t="str">
        <f>IF(AND('领用录入（明细）'!D:D=$F$4,'领用录入（明细）'!C:C&gt;=$J$4,'领用录入（明细）'!C:C&lt;=$L$4),ROW(),"-")</f>
        <v>-</v>
      </c>
    </row>
    <row r="36136" customHeight="1" spans="2:2">
      <c r="B36136" s="62" t="str">
        <f>IF(AND('领用录入（明细）'!D:D=$F$4,'领用录入（明细）'!C:C&gt;=$J$4,'领用录入（明细）'!C:C&lt;=$L$4),ROW(),"-")</f>
        <v>-</v>
      </c>
    </row>
    <row r="36137" customHeight="1" spans="2:2">
      <c r="B36137" s="62" t="str">
        <f>IF(AND('领用录入（明细）'!D:D=$F$4,'领用录入（明细）'!C:C&gt;=$J$4,'领用录入（明细）'!C:C&lt;=$L$4),ROW(),"-")</f>
        <v>-</v>
      </c>
    </row>
    <row r="36138" customHeight="1" spans="2:2">
      <c r="B36138" s="62" t="str">
        <f>IF(AND('领用录入（明细）'!D:D=$F$4,'领用录入（明细）'!C:C&gt;=$J$4,'领用录入（明细）'!C:C&lt;=$L$4),ROW(),"-")</f>
        <v>-</v>
      </c>
    </row>
    <row r="36139" customHeight="1" spans="2:2">
      <c r="B36139" s="62" t="str">
        <f>IF(AND('领用录入（明细）'!D:D=$F$4,'领用录入（明细）'!C:C&gt;=$J$4,'领用录入（明细）'!C:C&lt;=$L$4),ROW(),"-")</f>
        <v>-</v>
      </c>
    </row>
    <row r="36140" customHeight="1" spans="2:2">
      <c r="B36140" s="62" t="str">
        <f>IF(AND('领用录入（明细）'!D:D=$F$4,'领用录入（明细）'!C:C&gt;=$J$4,'领用录入（明细）'!C:C&lt;=$L$4),ROW(),"-")</f>
        <v>-</v>
      </c>
    </row>
    <row r="36141" customHeight="1" spans="2:2">
      <c r="B36141" s="62" t="str">
        <f>IF(AND('领用录入（明细）'!D:D=$F$4,'领用录入（明细）'!C:C&gt;=$J$4,'领用录入（明细）'!C:C&lt;=$L$4),ROW(),"-")</f>
        <v>-</v>
      </c>
    </row>
    <row r="36142" customHeight="1" spans="2:2">
      <c r="B36142" s="62" t="str">
        <f>IF(AND('领用录入（明细）'!D:D=$F$4,'领用录入（明细）'!C:C&gt;=$J$4,'领用录入（明细）'!C:C&lt;=$L$4),ROW(),"-")</f>
        <v>-</v>
      </c>
    </row>
    <row r="36143" customHeight="1" spans="2:2">
      <c r="B36143" s="62" t="str">
        <f>IF(AND('领用录入（明细）'!D:D=$F$4,'领用录入（明细）'!C:C&gt;=$J$4,'领用录入（明细）'!C:C&lt;=$L$4),ROW(),"-")</f>
        <v>-</v>
      </c>
    </row>
    <row r="36144" customHeight="1" spans="2:2">
      <c r="B36144" s="62" t="str">
        <f>IF(AND('领用录入（明细）'!D:D=$F$4,'领用录入（明细）'!C:C&gt;=$J$4,'领用录入（明细）'!C:C&lt;=$L$4),ROW(),"-")</f>
        <v>-</v>
      </c>
    </row>
    <row r="36145" customHeight="1" spans="2:2">
      <c r="B36145" s="62" t="str">
        <f>IF(AND('领用录入（明细）'!D:D=$F$4,'领用录入（明细）'!C:C&gt;=$J$4,'领用录入（明细）'!C:C&lt;=$L$4),ROW(),"-")</f>
        <v>-</v>
      </c>
    </row>
    <row r="36146" customHeight="1" spans="2:2">
      <c r="B36146" s="62" t="str">
        <f>IF(AND('领用录入（明细）'!D:D=$F$4,'领用录入（明细）'!C:C&gt;=$J$4,'领用录入（明细）'!C:C&lt;=$L$4),ROW(),"-")</f>
        <v>-</v>
      </c>
    </row>
    <row r="36147" customHeight="1" spans="2:2">
      <c r="B36147" s="62" t="str">
        <f>IF(AND('领用录入（明细）'!D:D=$F$4,'领用录入（明细）'!C:C&gt;=$J$4,'领用录入（明细）'!C:C&lt;=$L$4),ROW(),"-")</f>
        <v>-</v>
      </c>
    </row>
    <row r="36148" customHeight="1" spans="2:2">
      <c r="B36148" s="62" t="str">
        <f>IF(AND('领用录入（明细）'!D:D=$F$4,'领用录入（明细）'!C:C&gt;=$J$4,'领用录入（明细）'!C:C&lt;=$L$4),ROW(),"-")</f>
        <v>-</v>
      </c>
    </row>
    <row r="36149" customHeight="1" spans="2:2">
      <c r="B36149" s="62" t="str">
        <f>IF(AND('领用录入（明细）'!D:D=$F$4,'领用录入（明细）'!C:C&gt;=$J$4,'领用录入（明细）'!C:C&lt;=$L$4),ROW(),"-")</f>
        <v>-</v>
      </c>
    </row>
    <row r="36150" customHeight="1" spans="2:2">
      <c r="B36150" s="62" t="str">
        <f>IF(AND('领用录入（明细）'!D:D=$F$4,'领用录入（明细）'!C:C&gt;=$J$4,'领用录入（明细）'!C:C&lt;=$L$4),ROW(),"-")</f>
        <v>-</v>
      </c>
    </row>
    <row r="36151" customHeight="1" spans="2:2">
      <c r="B36151" s="62" t="str">
        <f>IF(AND('领用录入（明细）'!D:D=$F$4,'领用录入（明细）'!C:C&gt;=$J$4,'领用录入（明细）'!C:C&lt;=$L$4),ROW(),"-")</f>
        <v>-</v>
      </c>
    </row>
    <row r="36152" customHeight="1" spans="2:2">
      <c r="B36152" s="62" t="str">
        <f>IF(AND('领用录入（明细）'!D:D=$F$4,'领用录入（明细）'!C:C&gt;=$J$4,'领用录入（明细）'!C:C&lt;=$L$4),ROW(),"-")</f>
        <v>-</v>
      </c>
    </row>
    <row r="36153" customHeight="1" spans="2:2">
      <c r="B36153" s="62" t="str">
        <f>IF(AND('领用录入（明细）'!D:D=$F$4,'领用录入（明细）'!C:C&gt;=$J$4,'领用录入（明细）'!C:C&lt;=$L$4),ROW(),"-")</f>
        <v>-</v>
      </c>
    </row>
    <row r="36154" customHeight="1" spans="2:2">
      <c r="B36154" s="62" t="str">
        <f>IF(AND('领用录入（明细）'!D:D=$F$4,'领用录入（明细）'!C:C&gt;=$J$4,'领用录入（明细）'!C:C&lt;=$L$4),ROW(),"-")</f>
        <v>-</v>
      </c>
    </row>
    <row r="36155" customHeight="1" spans="2:2">
      <c r="B36155" s="62" t="str">
        <f>IF(AND('领用录入（明细）'!D:D=$F$4,'领用录入（明细）'!C:C&gt;=$J$4,'领用录入（明细）'!C:C&lt;=$L$4),ROW(),"-")</f>
        <v>-</v>
      </c>
    </row>
    <row r="36156" customHeight="1" spans="2:2">
      <c r="B36156" s="62" t="str">
        <f>IF(AND('领用录入（明细）'!D:D=$F$4,'领用录入（明细）'!C:C&gt;=$J$4,'领用录入（明细）'!C:C&lt;=$L$4),ROW(),"-")</f>
        <v>-</v>
      </c>
    </row>
    <row r="36157" customHeight="1" spans="2:2">
      <c r="B36157" s="62" t="str">
        <f>IF(AND('领用录入（明细）'!D:D=$F$4,'领用录入（明细）'!C:C&gt;=$J$4,'领用录入（明细）'!C:C&lt;=$L$4),ROW(),"-")</f>
        <v>-</v>
      </c>
    </row>
    <row r="36158" customHeight="1" spans="2:2">
      <c r="B36158" s="62" t="str">
        <f>IF(AND('领用录入（明细）'!D:D=$F$4,'领用录入（明细）'!C:C&gt;=$J$4,'领用录入（明细）'!C:C&lt;=$L$4),ROW(),"-")</f>
        <v>-</v>
      </c>
    </row>
    <row r="36159" customHeight="1" spans="2:2">
      <c r="B36159" s="62" t="str">
        <f>IF(AND('领用录入（明细）'!D:D=$F$4,'领用录入（明细）'!C:C&gt;=$J$4,'领用录入（明细）'!C:C&lt;=$L$4),ROW(),"-")</f>
        <v>-</v>
      </c>
    </row>
    <row r="36160" customHeight="1" spans="2:2">
      <c r="B36160" s="62" t="str">
        <f>IF(AND('领用录入（明细）'!D:D=$F$4,'领用录入（明细）'!C:C&gt;=$J$4,'领用录入（明细）'!C:C&lt;=$L$4),ROW(),"-")</f>
        <v>-</v>
      </c>
    </row>
    <row r="36161" customHeight="1" spans="2:2">
      <c r="B36161" s="62" t="str">
        <f>IF(AND('领用录入（明细）'!D:D=$F$4,'领用录入（明细）'!C:C&gt;=$J$4,'领用录入（明细）'!C:C&lt;=$L$4),ROW(),"-")</f>
        <v>-</v>
      </c>
    </row>
    <row r="36162" customHeight="1" spans="2:2">
      <c r="B36162" s="62" t="str">
        <f>IF(AND('领用录入（明细）'!D:D=$F$4,'领用录入（明细）'!C:C&gt;=$J$4,'领用录入（明细）'!C:C&lt;=$L$4),ROW(),"-")</f>
        <v>-</v>
      </c>
    </row>
    <row r="36163" customHeight="1" spans="2:2">
      <c r="B36163" s="62" t="str">
        <f>IF(AND('领用录入（明细）'!D:D=$F$4,'领用录入（明细）'!C:C&gt;=$J$4,'领用录入（明细）'!C:C&lt;=$L$4),ROW(),"-")</f>
        <v>-</v>
      </c>
    </row>
    <row r="36164" customHeight="1" spans="2:2">
      <c r="B36164" s="62" t="str">
        <f>IF(AND('领用录入（明细）'!D:D=$F$4,'领用录入（明细）'!C:C&gt;=$J$4,'领用录入（明细）'!C:C&lt;=$L$4),ROW(),"-")</f>
        <v>-</v>
      </c>
    </row>
    <row r="36165" customHeight="1" spans="2:2">
      <c r="B36165" s="62" t="str">
        <f>IF(AND('领用录入（明细）'!D:D=$F$4,'领用录入（明细）'!C:C&gt;=$J$4,'领用录入（明细）'!C:C&lt;=$L$4),ROW(),"-")</f>
        <v>-</v>
      </c>
    </row>
    <row r="36166" customHeight="1" spans="2:2">
      <c r="B36166" s="62" t="str">
        <f>IF(AND('领用录入（明细）'!D:D=$F$4,'领用录入（明细）'!C:C&gt;=$J$4,'领用录入（明细）'!C:C&lt;=$L$4),ROW(),"-")</f>
        <v>-</v>
      </c>
    </row>
    <row r="36167" customHeight="1" spans="2:2">
      <c r="B36167" s="62" t="str">
        <f>IF(AND('领用录入（明细）'!D:D=$F$4,'领用录入（明细）'!C:C&gt;=$J$4,'领用录入（明细）'!C:C&lt;=$L$4),ROW(),"-")</f>
        <v>-</v>
      </c>
    </row>
    <row r="36168" customHeight="1" spans="2:2">
      <c r="B36168" s="62" t="str">
        <f>IF(AND('领用录入（明细）'!D:D=$F$4,'领用录入（明细）'!C:C&gt;=$J$4,'领用录入（明细）'!C:C&lt;=$L$4),ROW(),"-")</f>
        <v>-</v>
      </c>
    </row>
    <row r="36169" customHeight="1" spans="2:2">
      <c r="B36169" s="62" t="str">
        <f>IF(AND('领用录入（明细）'!D:D=$F$4,'领用录入（明细）'!C:C&gt;=$J$4,'领用录入（明细）'!C:C&lt;=$L$4),ROW(),"-")</f>
        <v>-</v>
      </c>
    </row>
    <row r="36170" customHeight="1" spans="2:2">
      <c r="B36170" s="62" t="str">
        <f>IF(AND('领用录入（明细）'!D:D=$F$4,'领用录入（明细）'!C:C&gt;=$J$4,'领用录入（明细）'!C:C&lt;=$L$4),ROW(),"-")</f>
        <v>-</v>
      </c>
    </row>
    <row r="36171" customHeight="1" spans="2:2">
      <c r="B36171" s="62" t="str">
        <f>IF(AND('领用录入（明细）'!D:D=$F$4,'领用录入（明细）'!C:C&gt;=$J$4,'领用录入（明细）'!C:C&lt;=$L$4),ROW(),"-")</f>
        <v>-</v>
      </c>
    </row>
    <row r="36172" customHeight="1" spans="2:2">
      <c r="B36172" s="62" t="str">
        <f>IF(AND('领用录入（明细）'!D:D=$F$4,'领用录入（明细）'!C:C&gt;=$J$4,'领用录入（明细）'!C:C&lt;=$L$4),ROW(),"-")</f>
        <v>-</v>
      </c>
    </row>
    <row r="36173" customHeight="1" spans="2:2">
      <c r="B36173" s="62" t="str">
        <f>IF(AND('领用录入（明细）'!D:D=$F$4,'领用录入（明细）'!C:C&gt;=$J$4,'领用录入（明细）'!C:C&lt;=$L$4),ROW(),"-")</f>
        <v>-</v>
      </c>
    </row>
    <row r="36174" customHeight="1" spans="2:2">
      <c r="B36174" s="62" t="str">
        <f>IF(AND('领用录入（明细）'!D:D=$F$4,'领用录入（明细）'!C:C&gt;=$J$4,'领用录入（明细）'!C:C&lt;=$L$4),ROW(),"-")</f>
        <v>-</v>
      </c>
    </row>
    <row r="36175" customHeight="1" spans="2:2">
      <c r="B36175" s="62" t="str">
        <f>IF(AND('领用录入（明细）'!D:D=$F$4,'领用录入（明细）'!C:C&gt;=$J$4,'领用录入（明细）'!C:C&lt;=$L$4),ROW(),"-")</f>
        <v>-</v>
      </c>
    </row>
    <row r="36176" customHeight="1" spans="2:2">
      <c r="B36176" s="62" t="str">
        <f>IF(AND('领用录入（明细）'!D:D=$F$4,'领用录入（明细）'!C:C&gt;=$J$4,'领用录入（明细）'!C:C&lt;=$L$4),ROW(),"-")</f>
        <v>-</v>
      </c>
    </row>
    <row r="36177" customHeight="1" spans="2:2">
      <c r="B36177" s="62" t="str">
        <f>IF(AND('领用录入（明细）'!D:D=$F$4,'领用录入（明细）'!C:C&gt;=$J$4,'领用录入（明细）'!C:C&lt;=$L$4),ROW(),"-")</f>
        <v>-</v>
      </c>
    </row>
    <row r="36178" customHeight="1" spans="2:2">
      <c r="B36178" s="62" t="str">
        <f>IF(AND('领用录入（明细）'!D:D=$F$4,'领用录入（明细）'!C:C&gt;=$J$4,'领用录入（明细）'!C:C&lt;=$L$4),ROW(),"-")</f>
        <v>-</v>
      </c>
    </row>
    <row r="36179" customHeight="1" spans="2:2">
      <c r="B36179" s="62" t="str">
        <f>IF(AND('领用录入（明细）'!D:D=$F$4,'领用录入（明细）'!C:C&gt;=$J$4,'领用录入（明细）'!C:C&lt;=$L$4),ROW(),"-")</f>
        <v>-</v>
      </c>
    </row>
    <row r="36180" customHeight="1" spans="2:2">
      <c r="B36180" s="62" t="str">
        <f>IF(AND('领用录入（明细）'!D:D=$F$4,'领用录入（明细）'!C:C&gt;=$J$4,'领用录入（明细）'!C:C&lt;=$L$4),ROW(),"-")</f>
        <v>-</v>
      </c>
    </row>
    <row r="36181" customHeight="1" spans="2:2">
      <c r="B36181" s="62" t="str">
        <f>IF(AND('领用录入（明细）'!D:D=$F$4,'领用录入（明细）'!C:C&gt;=$J$4,'领用录入（明细）'!C:C&lt;=$L$4),ROW(),"-")</f>
        <v>-</v>
      </c>
    </row>
    <row r="36182" customHeight="1" spans="2:2">
      <c r="B36182" s="62" t="str">
        <f>IF(AND('领用录入（明细）'!D:D=$F$4,'领用录入（明细）'!C:C&gt;=$J$4,'领用录入（明细）'!C:C&lt;=$L$4),ROW(),"-")</f>
        <v>-</v>
      </c>
    </row>
    <row r="36183" customHeight="1" spans="2:2">
      <c r="B36183" s="62" t="str">
        <f>IF(AND('领用录入（明细）'!D:D=$F$4,'领用录入（明细）'!C:C&gt;=$J$4,'领用录入（明细）'!C:C&lt;=$L$4),ROW(),"-")</f>
        <v>-</v>
      </c>
    </row>
    <row r="36184" customHeight="1" spans="2:2">
      <c r="B36184" s="62" t="str">
        <f>IF(AND('领用录入（明细）'!D:D=$F$4,'领用录入（明细）'!C:C&gt;=$J$4,'领用录入（明细）'!C:C&lt;=$L$4),ROW(),"-")</f>
        <v>-</v>
      </c>
    </row>
    <row r="36185" customHeight="1" spans="2:2">
      <c r="B36185" s="62" t="str">
        <f>IF(AND('领用录入（明细）'!D:D=$F$4,'领用录入（明细）'!C:C&gt;=$J$4,'领用录入（明细）'!C:C&lt;=$L$4),ROW(),"-")</f>
        <v>-</v>
      </c>
    </row>
    <row r="36186" customHeight="1" spans="2:2">
      <c r="B36186" s="62" t="str">
        <f>IF(AND('领用录入（明细）'!D:D=$F$4,'领用录入（明细）'!C:C&gt;=$J$4,'领用录入（明细）'!C:C&lt;=$L$4),ROW(),"-")</f>
        <v>-</v>
      </c>
    </row>
    <row r="36187" customHeight="1" spans="2:2">
      <c r="B36187" s="62" t="str">
        <f>IF(AND('领用录入（明细）'!D:D=$F$4,'领用录入（明细）'!C:C&gt;=$J$4,'领用录入（明细）'!C:C&lt;=$L$4),ROW(),"-")</f>
        <v>-</v>
      </c>
    </row>
    <row r="36188" customHeight="1" spans="2:2">
      <c r="B36188" s="62" t="str">
        <f>IF(AND('领用录入（明细）'!D:D=$F$4,'领用录入（明细）'!C:C&gt;=$J$4,'领用录入（明细）'!C:C&lt;=$L$4),ROW(),"-")</f>
        <v>-</v>
      </c>
    </row>
    <row r="36189" customHeight="1" spans="2:2">
      <c r="B36189" s="62" t="str">
        <f>IF(AND('领用录入（明细）'!D:D=$F$4,'领用录入（明细）'!C:C&gt;=$J$4,'领用录入（明细）'!C:C&lt;=$L$4),ROW(),"-")</f>
        <v>-</v>
      </c>
    </row>
    <row r="36190" customHeight="1" spans="2:2">
      <c r="B36190" s="62" t="str">
        <f>IF(AND('领用录入（明细）'!D:D=$F$4,'领用录入（明细）'!C:C&gt;=$J$4,'领用录入（明细）'!C:C&lt;=$L$4),ROW(),"-")</f>
        <v>-</v>
      </c>
    </row>
    <row r="36191" customHeight="1" spans="2:2">
      <c r="B36191" s="62" t="str">
        <f>IF(AND('领用录入（明细）'!D:D=$F$4,'领用录入（明细）'!C:C&gt;=$J$4,'领用录入（明细）'!C:C&lt;=$L$4),ROW(),"-")</f>
        <v>-</v>
      </c>
    </row>
    <row r="36192" customHeight="1" spans="2:2">
      <c r="B36192" s="62" t="str">
        <f>IF(AND('领用录入（明细）'!D:D=$F$4,'领用录入（明细）'!C:C&gt;=$J$4,'领用录入（明细）'!C:C&lt;=$L$4),ROW(),"-")</f>
        <v>-</v>
      </c>
    </row>
    <row r="36193" customHeight="1" spans="2:2">
      <c r="B36193" s="62" t="str">
        <f>IF(AND('领用录入（明细）'!D:D=$F$4,'领用录入（明细）'!C:C&gt;=$J$4,'领用录入（明细）'!C:C&lt;=$L$4),ROW(),"-")</f>
        <v>-</v>
      </c>
    </row>
    <row r="36194" customHeight="1" spans="2:2">
      <c r="B36194" s="62" t="str">
        <f>IF(AND('领用录入（明细）'!D:D=$F$4,'领用录入（明细）'!C:C&gt;=$J$4,'领用录入（明细）'!C:C&lt;=$L$4),ROW(),"-")</f>
        <v>-</v>
      </c>
    </row>
    <row r="36195" customHeight="1" spans="2:2">
      <c r="B36195" s="62" t="str">
        <f>IF(AND('领用录入（明细）'!D:D=$F$4,'领用录入（明细）'!C:C&gt;=$J$4,'领用录入（明细）'!C:C&lt;=$L$4),ROW(),"-")</f>
        <v>-</v>
      </c>
    </row>
    <row r="36196" customHeight="1" spans="2:2">
      <c r="B36196" s="62" t="str">
        <f>IF(AND('领用录入（明细）'!D:D=$F$4,'领用录入（明细）'!C:C&gt;=$J$4,'领用录入（明细）'!C:C&lt;=$L$4),ROW(),"-")</f>
        <v>-</v>
      </c>
    </row>
    <row r="36197" customHeight="1" spans="2:2">
      <c r="B36197" s="62" t="str">
        <f>IF(AND('领用录入（明细）'!D:D=$F$4,'领用录入（明细）'!C:C&gt;=$J$4,'领用录入（明细）'!C:C&lt;=$L$4),ROW(),"-")</f>
        <v>-</v>
      </c>
    </row>
    <row r="36198" customHeight="1" spans="2:2">
      <c r="B36198" s="62" t="str">
        <f>IF(AND('领用录入（明细）'!D:D=$F$4,'领用录入（明细）'!C:C&gt;=$J$4,'领用录入（明细）'!C:C&lt;=$L$4),ROW(),"-")</f>
        <v>-</v>
      </c>
    </row>
    <row r="36199" customHeight="1" spans="2:2">
      <c r="B36199" s="62" t="str">
        <f>IF(AND('领用录入（明细）'!D:D=$F$4,'领用录入（明细）'!C:C&gt;=$J$4,'领用录入（明细）'!C:C&lt;=$L$4),ROW(),"-")</f>
        <v>-</v>
      </c>
    </row>
    <row r="36200" customHeight="1" spans="2:2">
      <c r="B36200" s="62" t="str">
        <f>IF(AND('领用录入（明细）'!D:D=$F$4,'领用录入（明细）'!C:C&gt;=$J$4,'领用录入（明细）'!C:C&lt;=$L$4),ROW(),"-")</f>
        <v>-</v>
      </c>
    </row>
    <row r="36201" customHeight="1" spans="2:2">
      <c r="B36201" s="62" t="str">
        <f>IF(AND('领用录入（明细）'!D:D=$F$4,'领用录入（明细）'!C:C&gt;=$J$4,'领用录入（明细）'!C:C&lt;=$L$4),ROW(),"-")</f>
        <v>-</v>
      </c>
    </row>
    <row r="36202" customHeight="1" spans="2:2">
      <c r="B36202" s="62" t="str">
        <f>IF(AND('领用录入（明细）'!D:D=$F$4,'领用录入（明细）'!C:C&gt;=$J$4,'领用录入（明细）'!C:C&lt;=$L$4),ROW(),"-")</f>
        <v>-</v>
      </c>
    </row>
    <row r="36203" customHeight="1" spans="2:2">
      <c r="B36203" s="62" t="str">
        <f>IF(AND('领用录入（明细）'!D:D=$F$4,'领用录入（明细）'!C:C&gt;=$J$4,'领用录入（明细）'!C:C&lt;=$L$4),ROW(),"-")</f>
        <v>-</v>
      </c>
    </row>
    <row r="36204" customHeight="1" spans="2:2">
      <c r="B36204" s="62" t="str">
        <f>IF(AND('领用录入（明细）'!D:D=$F$4,'领用录入（明细）'!C:C&gt;=$J$4,'领用录入（明细）'!C:C&lt;=$L$4),ROW(),"-")</f>
        <v>-</v>
      </c>
    </row>
    <row r="36205" customHeight="1" spans="2:2">
      <c r="B36205" s="62" t="str">
        <f>IF(AND('领用录入（明细）'!D:D=$F$4,'领用录入（明细）'!C:C&gt;=$J$4,'领用录入（明细）'!C:C&lt;=$L$4),ROW(),"-")</f>
        <v>-</v>
      </c>
    </row>
    <row r="36206" customHeight="1" spans="2:2">
      <c r="B36206" s="62" t="str">
        <f>IF(AND('领用录入（明细）'!D:D=$F$4,'领用录入（明细）'!C:C&gt;=$J$4,'领用录入（明细）'!C:C&lt;=$L$4),ROW(),"-")</f>
        <v>-</v>
      </c>
    </row>
    <row r="36207" customHeight="1" spans="2:2">
      <c r="B36207" s="62" t="str">
        <f>IF(AND('领用录入（明细）'!D:D=$F$4,'领用录入（明细）'!C:C&gt;=$J$4,'领用录入（明细）'!C:C&lt;=$L$4),ROW(),"-")</f>
        <v>-</v>
      </c>
    </row>
    <row r="36208" customHeight="1" spans="2:2">
      <c r="B36208" s="62" t="str">
        <f>IF(AND('领用录入（明细）'!D:D=$F$4,'领用录入（明细）'!C:C&gt;=$J$4,'领用录入（明细）'!C:C&lt;=$L$4),ROW(),"-")</f>
        <v>-</v>
      </c>
    </row>
    <row r="36209" customHeight="1" spans="2:2">
      <c r="B36209" s="62" t="str">
        <f>IF(AND('领用录入（明细）'!D:D=$F$4,'领用录入（明细）'!C:C&gt;=$J$4,'领用录入（明细）'!C:C&lt;=$L$4),ROW(),"-")</f>
        <v>-</v>
      </c>
    </row>
    <row r="36210" customHeight="1" spans="2:2">
      <c r="B36210" s="62" t="str">
        <f>IF(AND('领用录入（明细）'!D:D=$F$4,'领用录入（明细）'!C:C&gt;=$J$4,'领用录入（明细）'!C:C&lt;=$L$4),ROW(),"-")</f>
        <v>-</v>
      </c>
    </row>
    <row r="36211" customHeight="1" spans="2:2">
      <c r="B36211" s="62" t="str">
        <f>IF(AND('领用录入（明细）'!D:D=$F$4,'领用录入（明细）'!C:C&gt;=$J$4,'领用录入（明细）'!C:C&lt;=$L$4),ROW(),"-")</f>
        <v>-</v>
      </c>
    </row>
    <row r="36212" customHeight="1" spans="2:2">
      <c r="B36212" s="62" t="str">
        <f>IF(AND('领用录入（明细）'!D:D=$F$4,'领用录入（明细）'!C:C&gt;=$J$4,'领用录入（明细）'!C:C&lt;=$L$4),ROW(),"-")</f>
        <v>-</v>
      </c>
    </row>
    <row r="36213" customHeight="1" spans="2:2">
      <c r="B36213" s="62" t="str">
        <f>IF(AND('领用录入（明细）'!D:D=$F$4,'领用录入（明细）'!C:C&gt;=$J$4,'领用录入（明细）'!C:C&lt;=$L$4),ROW(),"-")</f>
        <v>-</v>
      </c>
    </row>
    <row r="36214" customHeight="1" spans="2:2">
      <c r="B36214" s="62" t="str">
        <f>IF(AND('领用录入（明细）'!D:D=$F$4,'领用录入（明细）'!C:C&gt;=$J$4,'领用录入（明细）'!C:C&lt;=$L$4),ROW(),"-")</f>
        <v>-</v>
      </c>
    </row>
    <row r="36215" customHeight="1" spans="2:2">
      <c r="B36215" s="62" t="str">
        <f>IF(AND('领用录入（明细）'!D:D=$F$4,'领用录入（明细）'!C:C&gt;=$J$4,'领用录入（明细）'!C:C&lt;=$L$4),ROW(),"-")</f>
        <v>-</v>
      </c>
    </row>
    <row r="36216" customHeight="1" spans="2:2">
      <c r="B36216" s="62" t="str">
        <f>IF(AND('领用录入（明细）'!D:D=$F$4,'领用录入（明细）'!C:C&gt;=$J$4,'领用录入（明细）'!C:C&lt;=$L$4),ROW(),"-")</f>
        <v>-</v>
      </c>
    </row>
    <row r="36217" customHeight="1" spans="2:2">
      <c r="B36217" s="62" t="str">
        <f>IF(AND('领用录入（明细）'!D:D=$F$4,'领用录入（明细）'!C:C&gt;=$J$4,'领用录入（明细）'!C:C&lt;=$L$4),ROW(),"-")</f>
        <v>-</v>
      </c>
    </row>
    <row r="36218" customHeight="1" spans="2:2">
      <c r="B36218" s="62" t="str">
        <f>IF(AND('领用录入（明细）'!D:D=$F$4,'领用录入（明细）'!C:C&gt;=$J$4,'领用录入（明细）'!C:C&lt;=$L$4),ROW(),"-")</f>
        <v>-</v>
      </c>
    </row>
    <row r="36219" customHeight="1" spans="2:2">
      <c r="B36219" s="62" t="str">
        <f>IF(AND('领用录入（明细）'!D:D=$F$4,'领用录入（明细）'!C:C&gt;=$J$4,'领用录入（明细）'!C:C&lt;=$L$4),ROW(),"-")</f>
        <v>-</v>
      </c>
    </row>
    <row r="36220" customHeight="1" spans="2:2">
      <c r="B36220" s="62" t="str">
        <f>IF(AND('领用录入（明细）'!D:D=$F$4,'领用录入（明细）'!C:C&gt;=$J$4,'领用录入（明细）'!C:C&lt;=$L$4),ROW(),"-")</f>
        <v>-</v>
      </c>
    </row>
    <row r="36221" customHeight="1" spans="2:2">
      <c r="B36221" s="62" t="str">
        <f>IF(AND('领用录入（明细）'!D:D=$F$4,'领用录入（明细）'!C:C&gt;=$J$4,'领用录入（明细）'!C:C&lt;=$L$4),ROW(),"-")</f>
        <v>-</v>
      </c>
    </row>
    <row r="36222" customHeight="1" spans="2:2">
      <c r="B36222" s="62" t="str">
        <f>IF(AND('领用录入（明细）'!D:D=$F$4,'领用录入（明细）'!C:C&gt;=$J$4,'领用录入（明细）'!C:C&lt;=$L$4),ROW(),"-")</f>
        <v>-</v>
      </c>
    </row>
    <row r="36223" customHeight="1" spans="2:2">
      <c r="B36223" s="62" t="str">
        <f>IF(AND('领用录入（明细）'!D:D=$F$4,'领用录入（明细）'!C:C&gt;=$J$4,'领用录入（明细）'!C:C&lt;=$L$4),ROW(),"-")</f>
        <v>-</v>
      </c>
    </row>
    <row r="36224" customHeight="1" spans="2:2">
      <c r="B36224" s="62" t="str">
        <f>IF(AND('领用录入（明细）'!D:D=$F$4,'领用录入（明细）'!C:C&gt;=$J$4,'领用录入（明细）'!C:C&lt;=$L$4),ROW(),"-")</f>
        <v>-</v>
      </c>
    </row>
    <row r="36225" customHeight="1" spans="2:2">
      <c r="B36225" s="62" t="str">
        <f>IF(AND('领用录入（明细）'!D:D=$F$4,'领用录入（明细）'!C:C&gt;=$J$4,'领用录入（明细）'!C:C&lt;=$L$4),ROW(),"-")</f>
        <v>-</v>
      </c>
    </row>
    <row r="36226" customHeight="1" spans="2:2">
      <c r="B36226" s="62" t="str">
        <f>IF(AND('领用录入（明细）'!D:D=$F$4,'领用录入（明细）'!C:C&gt;=$J$4,'领用录入（明细）'!C:C&lt;=$L$4),ROW(),"-")</f>
        <v>-</v>
      </c>
    </row>
    <row r="36227" customHeight="1" spans="2:2">
      <c r="B36227" s="62" t="str">
        <f>IF(AND('领用录入（明细）'!D:D=$F$4,'领用录入（明细）'!C:C&gt;=$J$4,'领用录入（明细）'!C:C&lt;=$L$4),ROW(),"-")</f>
        <v>-</v>
      </c>
    </row>
    <row r="36228" customHeight="1" spans="2:2">
      <c r="B36228" s="62" t="str">
        <f>IF(AND('领用录入（明细）'!D:D=$F$4,'领用录入（明细）'!C:C&gt;=$J$4,'领用录入（明细）'!C:C&lt;=$L$4),ROW(),"-")</f>
        <v>-</v>
      </c>
    </row>
    <row r="36229" customHeight="1" spans="2:2">
      <c r="B36229" s="62" t="str">
        <f>IF(AND('领用录入（明细）'!D:D=$F$4,'领用录入（明细）'!C:C&gt;=$J$4,'领用录入（明细）'!C:C&lt;=$L$4),ROW(),"-")</f>
        <v>-</v>
      </c>
    </row>
    <row r="36230" customHeight="1" spans="2:2">
      <c r="B36230" s="62" t="str">
        <f>IF(AND('领用录入（明细）'!D:D=$F$4,'领用录入（明细）'!C:C&gt;=$J$4,'领用录入（明细）'!C:C&lt;=$L$4),ROW(),"-")</f>
        <v>-</v>
      </c>
    </row>
    <row r="36231" customHeight="1" spans="2:2">
      <c r="B36231" s="62" t="str">
        <f>IF(AND('领用录入（明细）'!D:D=$F$4,'领用录入（明细）'!C:C&gt;=$J$4,'领用录入（明细）'!C:C&lt;=$L$4),ROW(),"-")</f>
        <v>-</v>
      </c>
    </row>
    <row r="36232" customHeight="1" spans="2:2">
      <c r="B36232" s="62" t="str">
        <f>IF(AND('领用录入（明细）'!D:D=$F$4,'领用录入（明细）'!C:C&gt;=$J$4,'领用录入（明细）'!C:C&lt;=$L$4),ROW(),"-")</f>
        <v>-</v>
      </c>
    </row>
    <row r="36233" customHeight="1" spans="2:2">
      <c r="B36233" s="62" t="str">
        <f>IF(AND('领用录入（明细）'!D:D=$F$4,'领用录入（明细）'!C:C&gt;=$J$4,'领用录入（明细）'!C:C&lt;=$L$4),ROW(),"-")</f>
        <v>-</v>
      </c>
    </row>
    <row r="36234" customHeight="1" spans="2:2">
      <c r="B36234" s="62" t="str">
        <f>IF(AND('领用录入（明细）'!D:D=$F$4,'领用录入（明细）'!C:C&gt;=$J$4,'领用录入（明细）'!C:C&lt;=$L$4),ROW(),"-")</f>
        <v>-</v>
      </c>
    </row>
    <row r="36235" customHeight="1" spans="2:2">
      <c r="B36235" s="62" t="str">
        <f>IF(AND('领用录入（明细）'!D:D=$F$4,'领用录入（明细）'!C:C&gt;=$J$4,'领用录入（明细）'!C:C&lt;=$L$4),ROW(),"-")</f>
        <v>-</v>
      </c>
    </row>
    <row r="36236" customHeight="1" spans="2:2">
      <c r="B36236" s="62" t="str">
        <f>IF(AND('领用录入（明细）'!D:D=$F$4,'领用录入（明细）'!C:C&gt;=$J$4,'领用录入（明细）'!C:C&lt;=$L$4),ROW(),"-")</f>
        <v>-</v>
      </c>
    </row>
    <row r="36237" customHeight="1" spans="2:2">
      <c r="B36237" s="62" t="str">
        <f>IF(AND('领用录入（明细）'!D:D=$F$4,'领用录入（明细）'!C:C&gt;=$J$4,'领用录入（明细）'!C:C&lt;=$L$4),ROW(),"-")</f>
        <v>-</v>
      </c>
    </row>
    <row r="36238" customHeight="1" spans="2:2">
      <c r="B36238" s="62" t="str">
        <f>IF(AND('领用录入（明细）'!D:D=$F$4,'领用录入（明细）'!C:C&gt;=$J$4,'领用录入（明细）'!C:C&lt;=$L$4),ROW(),"-")</f>
        <v>-</v>
      </c>
    </row>
    <row r="36239" customHeight="1" spans="2:2">
      <c r="B36239" s="62" t="str">
        <f>IF(AND('领用录入（明细）'!D:D=$F$4,'领用录入（明细）'!C:C&gt;=$J$4,'领用录入（明细）'!C:C&lt;=$L$4),ROW(),"-")</f>
        <v>-</v>
      </c>
    </row>
    <row r="36240" customHeight="1" spans="2:2">
      <c r="B36240" s="62" t="str">
        <f>IF(AND('领用录入（明细）'!D:D=$F$4,'领用录入（明细）'!C:C&gt;=$J$4,'领用录入（明细）'!C:C&lt;=$L$4),ROW(),"-")</f>
        <v>-</v>
      </c>
    </row>
    <row r="36241" customHeight="1" spans="2:2">
      <c r="B36241" s="62" t="str">
        <f>IF(AND('领用录入（明细）'!D:D=$F$4,'领用录入（明细）'!C:C&gt;=$J$4,'领用录入（明细）'!C:C&lt;=$L$4),ROW(),"-")</f>
        <v>-</v>
      </c>
    </row>
    <row r="36242" customHeight="1" spans="2:2">
      <c r="B36242" s="62" t="str">
        <f>IF(AND('领用录入（明细）'!D:D=$F$4,'领用录入（明细）'!C:C&gt;=$J$4,'领用录入（明细）'!C:C&lt;=$L$4),ROW(),"-")</f>
        <v>-</v>
      </c>
    </row>
    <row r="36243" customHeight="1" spans="2:2">
      <c r="B36243" s="62" t="str">
        <f>IF(AND('领用录入（明细）'!D:D=$F$4,'领用录入（明细）'!C:C&gt;=$J$4,'领用录入（明细）'!C:C&lt;=$L$4),ROW(),"-")</f>
        <v>-</v>
      </c>
    </row>
    <row r="36244" customHeight="1" spans="2:2">
      <c r="B36244" s="62" t="str">
        <f>IF(AND('领用录入（明细）'!D:D=$F$4,'领用录入（明细）'!C:C&gt;=$J$4,'领用录入（明细）'!C:C&lt;=$L$4),ROW(),"-")</f>
        <v>-</v>
      </c>
    </row>
    <row r="36245" customHeight="1" spans="2:2">
      <c r="B36245" s="62" t="str">
        <f>IF(AND('领用录入（明细）'!D:D=$F$4,'领用录入（明细）'!C:C&gt;=$J$4,'领用录入（明细）'!C:C&lt;=$L$4),ROW(),"-")</f>
        <v>-</v>
      </c>
    </row>
    <row r="36246" customHeight="1" spans="2:2">
      <c r="B36246" s="62" t="str">
        <f>IF(AND('领用录入（明细）'!D:D=$F$4,'领用录入（明细）'!C:C&gt;=$J$4,'领用录入（明细）'!C:C&lt;=$L$4),ROW(),"-")</f>
        <v>-</v>
      </c>
    </row>
    <row r="36247" customHeight="1" spans="2:2">
      <c r="B36247" s="62" t="str">
        <f>IF(AND('领用录入（明细）'!D:D=$F$4,'领用录入（明细）'!C:C&gt;=$J$4,'领用录入（明细）'!C:C&lt;=$L$4),ROW(),"-")</f>
        <v>-</v>
      </c>
    </row>
    <row r="36248" customHeight="1" spans="2:2">
      <c r="B36248" s="62" t="str">
        <f>IF(AND('领用录入（明细）'!D:D=$F$4,'领用录入（明细）'!C:C&gt;=$J$4,'领用录入（明细）'!C:C&lt;=$L$4),ROW(),"-")</f>
        <v>-</v>
      </c>
    </row>
    <row r="36249" customHeight="1" spans="2:2">
      <c r="B36249" s="62" t="str">
        <f>IF(AND('领用录入（明细）'!D:D=$F$4,'领用录入（明细）'!C:C&gt;=$J$4,'领用录入（明细）'!C:C&lt;=$L$4),ROW(),"-")</f>
        <v>-</v>
      </c>
    </row>
    <row r="36250" customHeight="1" spans="2:2">
      <c r="B36250" s="62" t="str">
        <f>IF(AND('领用录入（明细）'!D:D=$F$4,'领用录入（明细）'!C:C&gt;=$J$4,'领用录入（明细）'!C:C&lt;=$L$4),ROW(),"-")</f>
        <v>-</v>
      </c>
    </row>
    <row r="36251" customHeight="1" spans="2:2">
      <c r="B36251" s="62" t="str">
        <f>IF(AND('领用录入（明细）'!D:D=$F$4,'领用录入（明细）'!C:C&gt;=$J$4,'领用录入（明细）'!C:C&lt;=$L$4),ROW(),"-")</f>
        <v>-</v>
      </c>
    </row>
    <row r="36252" customHeight="1" spans="2:2">
      <c r="B36252" s="62" t="str">
        <f>IF(AND('领用录入（明细）'!D:D=$F$4,'领用录入（明细）'!C:C&gt;=$J$4,'领用录入（明细）'!C:C&lt;=$L$4),ROW(),"-")</f>
        <v>-</v>
      </c>
    </row>
    <row r="36253" customHeight="1" spans="2:2">
      <c r="B36253" s="62" t="str">
        <f>IF(AND('领用录入（明细）'!D:D=$F$4,'领用录入（明细）'!C:C&gt;=$J$4,'领用录入（明细）'!C:C&lt;=$L$4),ROW(),"-")</f>
        <v>-</v>
      </c>
    </row>
    <row r="36254" customHeight="1" spans="2:2">
      <c r="B36254" s="62" t="str">
        <f>IF(AND('领用录入（明细）'!D:D=$F$4,'领用录入（明细）'!C:C&gt;=$J$4,'领用录入（明细）'!C:C&lt;=$L$4),ROW(),"-")</f>
        <v>-</v>
      </c>
    </row>
    <row r="36255" customHeight="1" spans="2:2">
      <c r="B36255" s="62" t="str">
        <f>IF(AND('领用录入（明细）'!D:D=$F$4,'领用录入（明细）'!C:C&gt;=$J$4,'领用录入（明细）'!C:C&lt;=$L$4),ROW(),"-")</f>
        <v>-</v>
      </c>
    </row>
    <row r="36256" customHeight="1" spans="2:2">
      <c r="B36256" s="62" t="str">
        <f>IF(AND('领用录入（明细）'!D:D=$F$4,'领用录入（明细）'!C:C&gt;=$J$4,'领用录入（明细）'!C:C&lt;=$L$4),ROW(),"-")</f>
        <v>-</v>
      </c>
    </row>
    <row r="36257" customHeight="1" spans="2:2">
      <c r="B36257" s="62" t="str">
        <f>IF(AND('领用录入（明细）'!D:D=$F$4,'领用录入（明细）'!C:C&gt;=$J$4,'领用录入（明细）'!C:C&lt;=$L$4),ROW(),"-")</f>
        <v>-</v>
      </c>
    </row>
    <row r="36258" customHeight="1" spans="2:2">
      <c r="B36258" s="62" t="str">
        <f>IF(AND('领用录入（明细）'!D:D=$F$4,'领用录入（明细）'!C:C&gt;=$J$4,'领用录入（明细）'!C:C&lt;=$L$4),ROW(),"-")</f>
        <v>-</v>
      </c>
    </row>
    <row r="36259" customHeight="1" spans="2:2">
      <c r="B36259" s="62" t="str">
        <f>IF(AND('领用录入（明细）'!D:D=$F$4,'领用录入（明细）'!C:C&gt;=$J$4,'领用录入（明细）'!C:C&lt;=$L$4),ROW(),"-")</f>
        <v>-</v>
      </c>
    </row>
    <row r="36260" customHeight="1" spans="2:2">
      <c r="B36260" s="62" t="str">
        <f>IF(AND('领用录入（明细）'!D:D=$F$4,'领用录入（明细）'!C:C&gt;=$J$4,'领用录入（明细）'!C:C&lt;=$L$4),ROW(),"-")</f>
        <v>-</v>
      </c>
    </row>
    <row r="36261" customHeight="1" spans="2:2">
      <c r="B36261" s="62" t="str">
        <f>IF(AND('领用录入（明细）'!D:D=$F$4,'领用录入（明细）'!C:C&gt;=$J$4,'领用录入（明细）'!C:C&lt;=$L$4),ROW(),"-")</f>
        <v>-</v>
      </c>
    </row>
    <row r="36262" customHeight="1" spans="2:2">
      <c r="B36262" s="62" t="str">
        <f>IF(AND('领用录入（明细）'!D:D=$F$4,'领用录入（明细）'!C:C&gt;=$J$4,'领用录入（明细）'!C:C&lt;=$L$4),ROW(),"-")</f>
        <v>-</v>
      </c>
    </row>
    <row r="36263" customHeight="1" spans="2:2">
      <c r="B36263" s="62" t="str">
        <f>IF(AND('领用录入（明细）'!D:D=$F$4,'领用录入（明细）'!C:C&gt;=$J$4,'领用录入（明细）'!C:C&lt;=$L$4),ROW(),"-")</f>
        <v>-</v>
      </c>
    </row>
    <row r="36264" customHeight="1" spans="2:2">
      <c r="B36264" s="62" t="str">
        <f>IF(AND('领用录入（明细）'!D:D=$F$4,'领用录入（明细）'!C:C&gt;=$J$4,'领用录入（明细）'!C:C&lt;=$L$4),ROW(),"-")</f>
        <v>-</v>
      </c>
    </row>
    <row r="36265" customHeight="1" spans="2:2">
      <c r="B36265" s="62" t="str">
        <f>IF(AND('领用录入（明细）'!D:D=$F$4,'领用录入（明细）'!C:C&gt;=$J$4,'领用录入（明细）'!C:C&lt;=$L$4),ROW(),"-")</f>
        <v>-</v>
      </c>
    </row>
    <row r="36266" customHeight="1" spans="2:2">
      <c r="B36266" s="62" t="str">
        <f>IF(AND('领用录入（明细）'!D:D=$F$4,'领用录入（明细）'!C:C&gt;=$J$4,'领用录入（明细）'!C:C&lt;=$L$4),ROW(),"-")</f>
        <v>-</v>
      </c>
    </row>
    <row r="36267" customHeight="1" spans="2:2">
      <c r="B36267" s="62" t="str">
        <f>IF(AND('领用录入（明细）'!D:D=$F$4,'领用录入（明细）'!C:C&gt;=$J$4,'领用录入（明细）'!C:C&lt;=$L$4),ROW(),"-")</f>
        <v>-</v>
      </c>
    </row>
    <row r="36268" customHeight="1" spans="2:2">
      <c r="B36268" s="62" t="str">
        <f>IF(AND('领用录入（明细）'!D:D=$F$4,'领用录入（明细）'!C:C&gt;=$J$4,'领用录入（明细）'!C:C&lt;=$L$4),ROW(),"-")</f>
        <v>-</v>
      </c>
    </row>
    <row r="36269" customHeight="1" spans="2:2">
      <c r="B36269" s="62" t="str">
        <f>IF(AND('领用录入（明细）'!D:D=$F$4,'领用录入（明细）'!C:C&gt;=$J$4,'领用录入（明细）'!C:C&lt;=$L$4),ROW(),"-")</f>
        <v>-</v>
      </c>
    </row>
    <row r="36270" customHeight="1" spans="2:2">
      <c r="B36270" s="62" t="str">
        <f>IF(AND('领用录入（明细）'!D:D=$F$4,'领用录入（明细）'!C:C&gt;=$J$4,'领用录入（明细）'!C:C&lt;=$L$4),ROW(),"-")</f>
        <v>-</v>
      </c>
    </row>
    <row r="36271" customHeight="1" spans="2:2">
      <c r="B36271" s="62" t="str">
        <f>IF(AND('领用录入（明细）'!D:D=$F$4,'领用录入（明细）'!C:C&gt;=$J$4,'领用录入（明细）'!C:C&lt;=$L$4),ROW(),"-")</f>
        <v>-</v>
      </c>
    </row>
    <row r="36272" customHeight="1" spans="2:2">
      <c r="B36272" s="62" t="str">
        <f>IF(AND('领用录入（明细）'!D:D=$F$4,'领用录入（明细）'!C:C&gt;=$J$4,'领用录入（明细）'!C:C&lt;=$L$4),ROW(),"-")</f>
        <v>-</v>
      </c>
    </row>
    <row r="36273" customHeight="1" spans="2:2">
      <c r="B36273" s="62" t="str">
        <f>IF(AND('领用录入（明细）'!D:D=$F$4,'领用录入（明细）'!C:C&gt;=$J$4,'领用录入（明细）'!C:C&lt;=$L$4),ROW(),"-")</f>
        <v>-</v>
      </c>
    </row>
    <row r="36274" customHeight="1" spans="2:2">
      <c r="B36274" s="62" t="str">
        <f>IF(AND('领用录入（明细）'!D:D=$F$4,'领用录入（明细）'!C:C&gt;=$J$4,'领用录入（明细）'!C:C&lt;=$L$4),ROW(),"-")</f>
        <v>-</v>
      </c>
    </row>
    <row r="36275" customHeight="1" spans="2:2">
      <c r="B36275" s="62" t="str">
        <f>IF(AND('领用录入（明细）'!D:D=$F$4,'领用录入（明细）'!C:C&gt;=$J$4,'领用录入（明细）'!C:C&lt;=$L$4),ROW(),"-")</f>
        <v>-</v>
      </c>
    </row>
    <row r="36276" customHeight="1" spans="2:2">
      <c r="B36276" s="62" t="str">
        <f>IF(AND('领用录入（明细）'!D:D=$F$4,'领用录入（明细）'!C:C&gt;=$J$4,'领用录入（明细）'!C:C&lt;=$L$4),ROW(),"-")</f>
        <v>-</v>
      </c>
    </row>
    <row r="36277" customHeight="1" spans="2:2">
      <c r="B36277" s="62" t="str">
        <f>IF(AND('领用录入（明细）'!D:D=$F$4,'领用录入（明细）'!C:C&gt;=$J$4,'领用录入（明细）'!C:C&lt;=$L$4),ROW(),"-")</f>
        <v>-</v>
      </c>
    </row>
    <row r="36278" customHeight="1" spans="2:2">
      <c r="B36278" s="62" t="str">
        <f>IF(AND('领用录入（明细）'!D:D=$F$4,'领用录入（明细）'!C:C&gt;=$J$4,'领用录入（明细）'!C:C&lt;=$L$4),ROW(),"-")</f>
        <v>-</v>
      </c>
    </row>
    <row r="36279" customHeight="1" spans="2:2">
      <c r="B36279" s="62" t="str">
        <f>IF(AND('领用录入（明细）'!D:D=$F$4,'领用录入（明细）'!C:C&gt;=$J$4,'领用录入（明细）'!C:C&lt;=$L$4),ROW(),"-")</f>
        <v>-</v>
      </c>
    </row>
    <row r="36280" customHeight="1" spans="2:2">
      <c r="B36280" s="62" t="str">
        <f>IF(AND('领用录入（明细）'!D:D=$F$4,'领用录入（明细）'!C:C&gt;=$J$4,'领用录入（明细）'!C:C&lt;=$L$4),ROW(),"-")</f>
        <v>-</v>
      </c>
    </row>
    <row r="36281" customHeight="1" spans="2:2">
      <c r="B36281" s="62" t="str">
        <f>IF(AND('领用录入（明细）'!D:D=$F$4,'领用录入（明细）'!C:C&gt;=$J$4,'领用录入（明细）'!C:C&lt;=$L$4),ROW(),"-")</f>
        <v>-</v>
      </c>
    </row>
    <row r="36282" customHeight="1" spans="2:2">
      <c r="B36282" s="62" t="str">
        <f>IF(AND('领用录入（明细）'!D:D=$F$4,'领用录入（明细）'!C:C&gt;=$J$4,'领用录入（明细）'!C:C&lt;=$L$4),ROW(),"-")</f>
        <v>-</v>
      </c>
    </row>
    <row r="36283" customHeight="1" spans="2:2">
      <c r="B36283" s="62" t="str">
        <f>IF(AND('领用录入（明细）'!D:D=$F$4,'领用录入（明细）'!C:C&gt;=$J$4,'领用录入（明细）'!C:C&lt;=$L$4),ROW(),"-")</f>
        <v>-</v>
      </c>
    </row>
    <row r="36284" customHeight="1" spans="2:2">
      <c r="B36284" s="62" t="str">
        <f>IF(AND('领用录入（明细）'!D:D=$F$4,'领用录入（明细）'!C:C&gt;=$J$4,'领用录入（明细）'!C:C&lt;=$L$4),ROW(),"-")</f>
        <v>-</v>
      </c>
    </row>
    <row r="36285" customHeight="1" spans="2:2">
      <c r="B36285" s="62" t="str">
        <f>IF(AND('领用录入（明细）'!D:D=$F$4,'领用录入（明细）'!C:C&gt;=$J$4,'领用录入（明细）'!C:C&lt;=$L$4),ROW(),"-")</f>
        <v>-</v>
      </c>
    </row>
    <row r="36286" customHeight="1" spans="2:2">
      <c r="B36286" s="62" t="str">
        <f>IF(AND('领用录入（明细）'!D:D=$F$4,'领用录入（明细）'!C:C&gt;=$J$4,'领用录入（明细）'!C:C&lt;=$L$4),ROW(),"-")</f>
        <v>-</v>
      </c>
    </row>
    <row r="36287" customHeight="1" spans="2:2">
      <c r="B36287" s="62" t="str">
        <f>IF(AND('领用录入（明细）'!D:D=$F$4,'领用录入（明细）'!C:C&gt;=$J$4,'领用录入（明细）'!C:C&lt;=$L$4),ROW(),"-")</f>
        <v>-</v>
      </c>
    </row>
    <row r="36288" customHeight="1" spans="2:2">
      <c r="B36288" s="62" t="str">
        <f>IF(AND('领用录入（明细）'!D:D=$F$4,'领用录入（明细）'!C:C&gt;=$J$4,'领用录入（明细）'!C:C&lt;=$L$4),ROW(),"-")</f>
        <v>-</v>
      </c>
    </row>
    <row r="36289" customHeight="1" spans="2:2">
      <c r="B36289" s="62" t="str">
        <f>IF(AND('领用录入（明细）'!D:D=$F$4,'领用录入（明细）'!C:C&gt;=$J$4,'领用录入（明细）'!C:C&lt;=$L$4),ROW(),"-")</f>
        <v>-</v>
      </c>
    </row>
    <row r="36290" customHeight="1" spans="2:2">
      <c r="B36290" s="62" t="str">
        <f>IF(AND('领用录入（明细）'!D:D=$F$4,'领用录入（明细）'!C:C&gt;=$J$4,'领用录入（明细）'!C:C&lt;=$L$4),ROW(),"-")</f>
        <v>-</v>
      </c>
    </row>
    <row r="36291" customHeight="1" spans="2:2">
      <c r="B36291" s="62" t="str">
        <f>IF(AND('领用录入（明细）'!D:D=$F$4,'领用录入（明细）'!C:C&gt;=$J$4,'领用录入（明细）'!C:C&lt;=$L$4),ROW(),"-")</f>
        <v>-</v>
      </c>
    </row>
    <row r="36292" customHeight="1" spans="2:2">
      <c r="B36292" s="62" t="str">
        <f>IF(AND('领用录入（明细）'!D:D=$F$4,'领用录入（明细）'!C:C&gt;=$J$4,'领用录入（明细）'!C:C&lt;=$L$4),ROW(),"-")</f>
        <v>-</v>
      </c>
    </row>
    <row r="36293" customHeight="1" spans="2:2">
      <c r="B36293" s="62" t="str">
        <f>IF(AND('领用录入（明细）'!D:D=$F$4,'领用录入（明细）'!C:C&gt;=$J$4,'领用录入（明细）'!C:C&lt;=$L$4),ROW(),"-")</f>
        <v>-</v>
      </c>
    </row>
    <row r="36294" customHeight="1" spans="2:2">
      <c r="B36294" s="62" t="str">
        <f>IF(AND('领用录入（明细）'!D:D=$F$4,'领用录入（明细）'!C:C&gt;=$J$4,'领用录入（明细）'!C:C&lt;=$L$4),ROW(),"-")</f>
        <v>-</v>
      </c>
    </row>
    <row r="36295" customHeight="1" spans="2:2">
      <c r="B36295" s="62" t="str">
        <f>IF(AND('领用录入（明细）'!D:D=$F$4,'领用录入（明细）'!C:C&gt;=$J$4,'领用录入（明细）'!C:C&lt;=$L$4),ROW(),"-")</f>
        <v>-</v>
      </c>
    </row>
    <row r="36296" customHeight="1" spans="2:2">
      <c r="B36296" s="62" t="str">
        <f>IF(AND('领用录入（明细）'!D:D=$F$4,'领用录入（明细）'!C:C&gt;=$J$4,'领用录入（明细）'!C:C&lt;=$L$4),ROW(),"-")</f>
        <v>-</v>
      </c>
    </row>
    <row r="36297" customHeight="1" spans="2:2">
      <c r="B36297" s="62" t="str">
        <f>IF(AND('领用录入（明细）'!D:D=$F$4,'领用录入（明细）'!C:C&gt;=$J$4,'领用录入（明细）'!C:C&lt;=$L$4),ROW(),"-")</f>
        <v>-</v>
      </c>
    </row>
    <row r="36298" customHeight="1" spans="2:2">
      <c r="B36298" s="62" t="str">
        <f>IF(AND('领用录入（明细）'!D:D=$F$4,'领用录入（明细）'!C:C&gt;=$J$4,'领用录入（明细）'!C:C&lt;=$L$4),ROW(),"-")</f>
        <v>-</v>
      </c>
    </row>
    <row r="36299" customHeight="1" spans="2:2">
      <c r="B36299" s="62" t="str">
        <f>IF(AND('领用录入（明细）'!D:D=$F$4,'领用录入（明细）'!C:C&gt;=$J$4,'领用录入（明细）'!C:C&lt;=$L$4),ROW(),"-")</f>
        <v>-</v>
      </c>
    </row>
    <row r="36300" customHeight="1" spans="2:2">
      <c r="B36300" s="62" t="str">
        <f>IF(AND('领用录入（明细）'!D:D=$F$4,'领用录入（明细）'!C:C&gt;=$J$4,'领用录入（明细）'!C:C&lt;=$L$4),ROW(),"-")</f>
        <v>-</v>
      </c>
    </row>
    <row r="36301" customHeight="1" spans="2:2">
      <c r="B36301" s="62" t="str">
        <f>IF(AND('领用录入（明细）'!D:D=$F$4,'领用录入（明细）'!C:C&gt;=$J$4,'领用录入（明细）'!C:C&lt;=$L$4),ROW(),"-")</f>
        <v>-</v>
      </c>
    </row>
    <row r="36302" customHeight="1" spans="2:2">
      <c r="B36302" s="62" t="str">
        <f>IF(AND('领用录入（明细）'!D:D=$F$4,'领用录入（明细）'!C:C&gt;=$J$4,'领用录入（明细）'!C:C&lt;=$L$4),ROW(),"-")</f>
        <v>-</v>
      </c>
    </row>
    <row r="36303" customHeight="1" spans="2:2">
      <c r="B36303" s="62" t="str">
        <f>IF(AND('领用录入（明细）'!D:D=$F$4,'领用录入（明细）'!C:C&gt;=$J$4,'领用录入（明细）'!C:C&lt;=$L$4),ROW(),"-")</f>
        <v>-</v>
      </c>
    </row>
    <row r="36304" customHeight="1" spans="2:2">
      <c r="B36304" s="62" t="str">
        <f>IF(AND('领用录入（明细）'!D:D=$F$4,'领用录入（明细）'!C:C&gt;=$J$4,'领用录入（明细）'!C:C&lt;=$L$4),ROW(),"-")</f>
        <v>-</v>
      </c>
    </row>
    <row r="36305" customHeight="1" spans="2:2">
      <c r="B36305" s="62" t="str">
        <f>IF(AND('领用录入（明细）'!D:D=$F$4,'领用录入（明细）'!C:C&gt;=$J$4,'领用录入（明细）'!C:C&lt;=$L$4),ROW(),"-")</f>
        <v>-</v>
      </c>
    </row>
    <row r="36306" customHeight="1" spans="2:2">
      <c r="B36306" s="62" t="str">
        <f>IF(AND('领用录入（明细）'!D:D=$F$4,'领用录入（明细）'!C:C&gt;=$J$4,'领用录入（明细）'!C:C&lt;=$L$4),ROW(),"-")</f>
        <v>-</v>
      </c>
    </row>
    <row r="36307" customHeight="1" spans="2:2">
      <c r="B36307" s="62" t="str">
        <f>IF(AND('领用录入（明细）'!D:D=$F$4,'领用录入（明细）'!C:C&gt;=$J$4,'领用录入（明细）'!C:C&lt;=$L$4),ROW(),"-")</f>
        <v>-</v>
      </c>
    </row>
    <row r="36308" customHeight="1" spans="2:2">
      <c r="B36308" s="62" t="str">
        <f>IF(AND('领用录入（明细）'!D:D=$F$4,'领用录入（明细）'!C:C&gt;=$J$4,'领用录入（明细）'!C:C&lt;=$L$4),ROW(),"-")</f>
        <v>-</v>
      </c>
    </row>
    <row r="36309" customHeight="1" spans="2:2">
      <c r="B36309" s="62" t="str">
        <f>IF(AND('领用录入（明细）'!D:D=$F$4,'领用录入（明细）'!C:C&gt;=$J$4,'领用录入（明细）'!C:C&lt;=$L$4),ROW(),"-")</f>
        <v>-</v>
      </c>
    </row>
    <row r="36310" customHeight="1" spans="2:2">
      <c r="B36310" s="62" t="str">
        <f>IF(AND('领用录入（明细）'!D:D=$F$4,'领用录入（明细）'!C:C&gt;=$J$4,'领用录入（明细）'!C:C&lt;=$L$4),ROW(),"-")</f>
        <v>-</v>
      </c>
    </row>
    <row r="36311" customHeight="1" spans="2:2">
      <c r="B36311" s="62" t="str">
        <f>IF(AND('领用录入（明细）'!D:D=$F$4,'领用录入（明细）'!C:C&gt;=$J$4,'领用录入（明细）'!C:C&lt;=$L$4),ROW(),"-")</f>
        <v>-</v>
      </c>
    </row>
    <row r="36312" customHeight="1" spans="2:2">
      <c r="B36312" s="62" t="str">
        <f>IF(AND('领用录入（明细）'!D:D=$F$4,'领用录入（明细）'!C:C&gt;=$J$4,'领用录入（明细）'!C:C&lt;=$L$4),ROW(),"-")</f>
        <v>-</v>
      </c>
    </row>
    <row r="36313" customHeight="1" spans="2:2">
      <c r="B36313" s="62" t="str">
        <f>IF(AND('领用录入（明细）'!D:D=$F$4,'领用录入（明细）'!C:C&gt;=$J$4,'领用录入（明细）'!C:C&lt;=$L$4),ROW(),"-")</f>
        <v>-</v>
      </c>
    </row>
    <row r="36314" customHeight="1" spans="2:2">
      <c r="B36314" s="62" t="str">
        <f>IF(AND('领用录入（明细）'!D:D=$F$4,'领用录入（明细）'!C:C&gt;=$J$4,'领用录入（明细）'!C:C&lt;=$L$4),ROW(),"-")</f>
        <v>-</v>
      </c>
    </row>
    <row r="36315" customHeight="1" spans="2:2">
      <c r="B36315" s="62" t="str">
        <f>IF(AND('领用录入（明细）'!D:D=$F$4,'领用录入（明细）'!C:C&gt;=$J$4,'领用录入（明细）'!C:C&lt;=$L$4),ROW(),"-")</f>
        <v>-</v>
      </c>
    </row>
    <row r="36316" customHeight="1" spans="2:2">
      <c r="B36316" s="62" t="str">
        <f>IF(AND('领用录入（明细）'!D:D=$F$4,'领用录入（明细）'!C:C&gt;=$J$4,'领用录入（明细）'!C:C&lt;=$L$4),ROW(),"-")</f>
        <v>-</v>
      </c>
    </row>
    <row r="36317" customHeight="1" spans="2:2">
      <c r="B36317" s="62" t="str">
        <f>IF(AND('领用录入（明细）'!D:D=$F$4,'领用录入（明细）'!C:C&gt;=$J$4,'领用录入（明细）'!C:C&lt;=$L$4),ROW(),"-")</f>
        <v>-</v>
      </c>
    </row>
    <row r="36318" customHeight="1" spans="2:2">
      <c r="B36318" s="62" t="str">
        <f>IF(AND('领用录入（明细）'!D:D=$F$4,'领用录入（明细）'!C:C&gt;=$J$4,'领用录入（明细）'!C:C&lt;=$L$4),ROW(),"-")</f>
        <v>-</v>
      </c>
    </row>
    <row r="36319" customHeight="1" spans="2:2">
      <c r="B36319" s="62" t="str">
        <f>IF(AND('领用录入（明细）'!D:D=$F$4,'领用录入（明细）'!C:C&gt;=$J$4,'领用录入（明细）'!C:C&lt;=$L$4),ROW(),"-")</f>
        <v>-</v>
      </c>
    </row>
    <row r="36320" customHeight="1" spans="2:2">
      <c r="B36320" s="62" t="str">
        <f>IF(AND('领用录入（明细）'!D:D=$F$4,'领用录入（明细）'!C:C&gt;=$J$4,'领用录入（明细）'!C:C&lt;=$L$4),ROW(),"-")</f>
        <v>-</v>
      </c>
    </row>
    <row r="36321" customHeight="1" spans="2:2">
      <c r="B36321" s="62" t="str">
        <f>IF(AND('领用录入（明细）'!D:D=$F$4,'领用录入（明细）'!C:C&gt;=$J$4,'领用录入（明细）'!C:C&lt;=$L$4),ROW(),"-")</f>
        <v>-</v>
      </c>
    </row>
    <row r="36322" customHeight="1" spans="2:2">
      <c r="B36322" s="62" t="str">
        <f>IF(AND('领用录入（明细）'!D:D=$F$4,'领用录入（明细）'!C:C&gt;=$J$4,'领用录入（明细）'!C:C&lt;=$L$4),ROW(),"-")</f>
        <v>-</v>
      </c>
    </row>
    <row r="36323" customHeight="1" spans="2:2">
      <c r="B36323" s="62" t="str">
        <f>IF(AND('领用录入（明细）'!D:D=$F$4,'领用录入（明细）'!C:C&gt;=$J$4,'领用录入（明细）'!C:C&lt;=$L$4),ROW(),"-")</f>
        <v>-</v>
      </c>
    </row>
    <row r="36324" customHeight="1" spans="2:2">
      <c r="B36324" s="62" t="str">
        <f>IF(AND('领用录入（明细）'!D:D=$F$4,'领用录入（明细）'!C:C&gt;=$J$4,'领用录入（明细）'!C:C&lt;=$L$4),ROW(),"-")</f>
        <v>-</v>
      </c>
    </row>
    <row r="36325" customHeight="1" spans="2:2">
      <c r="B36325" s="62" t="str">
        <f>IF(AND('领用录入（明细）'!D:D=$F$4,'领用录入（明细）'!C:C&gt;=$J$4,'领用录入（明细）'!C:C&lt;=$L$4),ROW(),"-")</f>
        <v>-</v>
      </c>
    </row>
    <row r="36326" customHeight="1" spans="2:2">
      <c r="B36326" s="62" t="str">
        <f>IF(AND('领用录入（明细）'!D:D=$F$4,'领用录入（明细）'!C:C&gt;=$J$4,'领用录入（明细）'!C:C&lt;=$L$4),ROW(),"-")</f>
        <v>-</v>
      </c>
    </row>
    <row r="36327" customHeight="1" spans="2:2">
      <c r="B36327" s="62" t="str">
        <f>IF(AND('领用录入（明细）'!D:D=$F$4,'领用录入（明细）'!C:C&gt;=$J$4,'领用录入（明细）'!C:C&lt;=$L$4),ROW(),"-")</f>
        <v>-</v>
      </c>
    </row>
    <row r="36328" customHeight="1" spans="2:2">
      <c r="B36328" s="62" t="str">
        <f>IF(AND('领用录入（明细）'!D:D=$F$4,'领用录入（明细）'!C:C&gt;=$J$4,'领用录入（明细）'!C:C&lt;=$L$4),ROW(),"-")</f>
        <v>-</v>
      </c>
    </row>
    <row r="36329" customHeight="1" spans="2:2">
      <c r="B36329" s="62" t="str">
        <f>IF(AND('领用录入（明细）'!D:D=$F$4,'领用录入（明细）'!C:C&gt;=$J$4,'领用录入（明细）'!C:C&lt;=$L$4),ROW(),"-")</f>
        <v>-</v>
      </c>
    </row>
    <row r="36330" customHeight="1" spans="2:2">
      <c r="B36330" s="62" t="str">
        <f>IF(AND('领用录入（明细）'!D:D=$F$4,'领用录入（明细）'!C:C&gt;=$J$4,'领用录入（明细）'!C:C&lt;=$L$4),ROW(),"-")</f>
        <v>-</v>
      </c>
    </row>
    <row r="36331" customHeight="1" spans="2:2">
      <c r="B36331" s="62" t="str">
        <f>IF(AND('领用录入（明细）'!D:D=$F$4,'领用录入（明细）'!C:C&gt;=$J$4,'领用录入（明细）'!C:C&lt;=$L$4),ROW(),"-")</f>
        <v>-</v>
      </c>
    </row>
    <row r="36332" customHeight="1" spans="2:2">
      <c r="B36332" s="62" t="str">
        <f>IF(AND('领用录入（明细）'!D:D=$F$4,'领用录入（明细）'!C:C&gt;=$J$4,'领用录入（明细）'!C:C&lt;=$L$4),ROW(),"-")</f>
        <v>-</v>
      </c>
    </row>
    <row r="36333" customHeight="1" spans="2:2">
      <c r="B36333" s="62" t="str">
        <f>IF(AND('领用录入（明细）'!D:D=$F$4,'领用录入（明细）'!C:C&gt;=$J$4,'领用录入（明细）'!C:C&lt;=$L$4),ROW(),"-")</f>
        <v>-</v>
      </c>
    </row>
    <row r="36334" customHeight="1" spans="2:2">
      <c r="B36334" s="62" t="str">
        <f>IF(AND('领用录入（明细）'!D:D=$F$4,'领用录入（明细）'!C:C&gt;=$J$4,'领用录入（明细）'!C:C&lt;=$L$4),ROW(),"-")</f>
        <v>-</v>
      </c>
    </row>
    <row r="36335" customHeight="1" spans="2:2">
      <c r="B36335" s="62" t="str">
        <f>IF(AND('领用录入（明细）'!D:D=$F$4,'领用录入（明细）'!C:C&gt;=$J$4,'领用录入（明细）'!C:C&lt;=$L$4),ROW(),"-")</f>
        <v>-</v>
      </c>
    </row>
    <row r="36336" customHeight="1" spans="2:2">
      <c r="B36336" s="62" t="str">
        <f>IF(AND('领用录入（明细）'!D:D=$F$4,'领用录入（明细）'!C:C&gt;=$J$4,'领用录入（明细）'!C:C&lt;=$L$4),ROW(),"-")</f>
        <v>-</v>
      </c>
    </row>
    <row r="36337" customHeight="1" spans="2:2">
      <c r="B36337" s="62" t="str">
        <f>IF(AND('领用录入（明细）'!D:D=$F$4,'领用录入（明细）'!C:C&gt;=$J$4,'领用录入（明细）'!C:C&lt;=$L$4),ROW(),"-")</f>
        <v>-</v>
      </c>
    </row>
    <row r="36338" customHeight="1" spans="2:2">
      <c r="B36338" s="62" t="str">
        <f>IF(AND('领用录入（明细）'!D:D=$F$4,'领用录入（明细）'!C:C&gt;=$J$4,'领用录入（明细）'!C:C&lt;=$L$4),ROW(),"-")</f>
        <v>-</v>
      </c>
    </row>
    <row r="36339" customHeight="1" spans="2:2">
      <c r="B36339" s="62" t="str">
        <f>IF(AND('领用录入（明细）'!D:D=$F$4,'领用录入（明细）'!C:C&gt;=$J$4,'领用录入（明细）'!C:C&lt;=$L$4),ROW(),"-")</f>
        <v>-</v>
      </c>
    </row>
    <row r="36340" customHeight="1" spans="2:2">
      <c r="B36340" s="62" t="str">
        <f>IF(AND('领用录入（明细）'!D:D=$F$4,'领用录入（明细）'!C:C&gt;=$J$4,'领用录入（明细）'!C:C&lt;=$L$4),ROW(),"-")</f>
        <v>-</v>
      </c>
    </row>
    <row r="36341" customHeight="1" spans="2:2">
      <c r="B36341" s="62" t="str">
        <f>IF(AND('领用录入（明细）'!D:D=$F$4,'领用录入（明细）'!C:C&gt;=$J$4,'领用录入（明细）'!C:C&lt;=$L$4),ROW(),"-")</f>
        <v>-</v>
      </c>
    </row>
    <row r="36342" customHeight="1" spans="2:2">
      <c r="B36342" s="62" t="str">
        <f>IF(AND('领用录入（明细）'!D:D=$F$4,'领用录入（明细）'!C:C&gt;=$J$4,'领用录入（明细）'!C:C&lt;=$L$4),ROW(),"-")</f>
        <v>-</v>
      </c>
    </row>
    <row r="36343" customHeight="1" spans="2:2">
      <c r="B36343" s="62" t="str">
        <f>IF(AND('领用录入（明细）'!D:D=$F$4,'领用录入（明细）'!C:C&gt;=$J$4,'领用录入（明细）'!C:C&lt;=$L$4),ROW(),"-")</f>
        <v>-</v>
      </c>
    </row>
    <row r="36344" customHeight="1" spans="2:2">
      <c r="B36344" s="62" t="str">
        <f>IF(AND('领用录入（明细）'!D:D=$F$4,'领用录入（明细）'!C:C&gt;=$J$4,'领用录入（明细）'!C:C&lt;=$L$4),ROW(),"-")</f>
        <v>-</v>
      </c>
    </row>
    <row r="36345" customHeight="1" spans="2:2">
      <c r="B36345" s="62" t="str">
        <f>IF(AND('领用录入（明细）'!D:D=$F$4,'领用录入（明细）'!C:C&gt;=$J$4,'领用录入（明细）'!C:C&lt;=$L$4),ROW(),"-")</f>
        <v>-</v>
      </c>
    </row>
    <row r="36346" customHeight="1" spans="2:2">
      <c r="B36346" s="62" t="str">
        <f>IF(AND('领用录入（明细）'!D:D=$F$4,'领用录入（明细）'!C:C&gt;=$J$4,'领用录入（明细）'!C:C&lt;=$L$4),ROW(),"-")</f>
        <v>-</v>
      </c>
    </row>
    <row r="36347" customHeight="1" spans="2:2">
      <c r="B36347" s="62" t="str">
        <f>IF(AND('领用录入（明细）'!D:D=$F$4,'领用录入（明细）'!C:C&gt;=$J$4,'领用录入（明细）'!C:C&lt;=$L$4),ROW(),"-")</f>
        <v>-</v>
      </c>
    </row>
    <row r="36348" customHeight="1" spans="2:2">
      <c r="B36348" s="62" t="str">
        <f>IF(AND('领用录入（明细）'!D:D=$F$4,'领用录入（明细）'!C:C&gt;=$J$4,'领用录入（明细）'!C:C&lt;=$L$4),ROW(),"-")</f>
        <v>-</v>
      </c>
    </row>
    <row r="36349" customHeight="1" spans="2:2">
      <c r="B36349" s="62" t="str">
        <f>IF(AND('领用录入（明细）'!D:D=$F$4,'领用录入（明细）'!C:C&gt;=$J$4,'领用录入（明细）'!C:C&lt;=$L$4),ROW(),"-")</f>
        <v>-</v>
      </c>
    </row>
    <row r="36350" customHeight="1" spans="2:2">
      <c r="B36350" s="62" t="str">
        <f>IF(AND('领用录入（明细）'!D:D=$F$4,'领用录入（明细）'!C:C&gt;=$J$4,'领用录入（明细）'!C:C&lt;=$L$4),ROW(),"-")</f>
        <v>-</v>
      </c>
    </row>
    <row r="36351" customHeight="1" spans="2:2">
      <c r="B36351" s="62" t="str">
        <f>IF(AND('领用录入（明细）'!D:D=$F$4,'领用录入（明细）'!C:C&gt;=$J$4,'领用录入（明细）'!C:C&lt;=$L$4),ROW(),"-")</f>
        <v>-</v>
      </c>
    </row>
    <row r="36352" customHeight="1" spans="2:2">
      <c r="B36352" s="62" t="str">
        <f>IF(AND('领用录入（明细）'!D:D=$F$4,'领用录入（明细）'!C:C&gt;=$J$4,'领用录入（明细）'!C:C&lt;=$L$4),ROW(),"-")</f>
        <v>-</v>
      </c>
    </row>
    <row r="36353" customHeight="1" spans="2:2">
      <c r="B36353" s="62" t="str">
        <f>IF(AND('领用录入（明细）'!D:D=$F$4,'领用录入（明细）'!C:C&gt;=$J$4,'领用录入（明细）'!C:C&lt;=$L$4),ROW(),"-")</f>
        <v>-</v>
      </c>
    </row>
    <row r="36354" customHeight="1" spans="2:2">
      <c r="B36354" s="62" t="str">
        <f>IF(AND('领用录入（明细）'!D:D=$F$4,'领用录入（明细）'!C:C&gt;=$J$4,'领用录入（明细）'!C:C&lt;=$L$4),ROW(),"-")</f>
        <v>-</v>
      </c>
    </row>
    <row r="36355" customHeight="1" spans="2:2">
      <c r="B36355" s="62" t="str">
        <f>IF(AND('领用录入（明细）'!D:D=$F$4,'领用录入（明细）'!C:C&gt;=$J$4,'领用录入（明细）'!C:C&lt;=$L$4),ROW(),"-")</f>
        <v>-</v>
      </c>
    </row>
    <row r="36356" customHeight="1" spans="2:2">
      <c r="B36356" s="62" t="str">
        <f>IF(AND('领用录入（明细）'!D:D=$F$4,'领用录入（明细）'!C:C&gt;=$J$4,'领用录入（明细）'!C:C&lt;=$L$4),ROW(),"-")</f>
        <v>-</v>
      </c>
    </row>
    <row r="36357" customHeight="1" spans="2:2">
      <c r="B36357" s="62" t="str">
        <f>IF(AND('领用录入（明细）'!D:D=$F$4,'领用录入（明细）'!C:C&gt;=$J$4,'领用录入（明细）'!C:C&lt;=$L$4),ROW(),"-")</f>
        <v>-</v>
      </c>
    </row>
    <row r="36358" customHeight="1" spans="2:2">
      <c r="B36358" s="62" t="str">
        <f>IF(AND('领用录入（明细）'!D:D=$F$4,'领用录入（明细）'!C:C&gt;=$J$4,'领用录入（明细）'!C:C&lt;=$L$4),ROW(),"-")</f>
        <v>-</v>
      </c>
    </row>
    <row r="36359" customHeight="1" spans="2:2">
      <c r="B36359" s="62" t="str">
        <f>IF(AND('领用录入（明细）'!D:D=$F$4,'领用录入（明细）'!C:C&gt;=$J$4,'领用录入（明细）'!C:C&lt;=$L$4),ROW(),"-")</f>
        <v>-</v>
      </c>
    </row>
    <row r="36360" customHeight="1" spans="2:2">
      <c r="B36360" s="62" t="str">
        <f>IF(AND('领用录入（明细）'!D:D=$F$4,'领用录入（明细）'!C:C&gt;=$J$4,'领用录入（明细）'!C:C&lt;=$L$4),ROW(),"-")</f>
        <v>-</v>
      </c>
    </row>
    <row r="36361" customHeight="1" spans="2:2">
      <c r="B36361" s="62" t="str">
        <f>IF(AND('领用录入（明细）'!D:D=$F$4,'领用录入（明细）'!C:C&gt;=$J$4,'领用录入（明细）'!C:C&lt;=$L$4),ROW(),"-")</f>
        <v>-</v>
      </c>
    </row>
    <row r="36362" customHeight="1" spans="2:2">
      <c r="B36362" s="62" t="str">
        <f>IF(AND('领用录入（明细）'!D:D=$F$4,'领用录入（明细）'!C:C&gt;=$J$4,'领用录入（明细）'!C:C&lt;=$L$4),ROW(),"-")</f>
        <v>-</v>
      </c>
    </row>
    <row r="36363" customHeight="1" spans="2:2">
      <c r="B36363" s="62" t="str">
        <f>IF(AND('领用录入（明细）'!D:D=$F$4,'领用录入（明细）'!C:C&gt;=$J$4,'领用录入（明细）'!C:C&lt;=$L$4),ROW(),"-")</f>
        <v>-</v>
      </c>
    </row>
    <row r="36364" customHeight="1" spans="2:2">
      <c r="B36364" s="62" t="str">
        <f>IF(AND('领用录入（明细）'!D:D=$F$4,'领用录入（明细）'!C:C&gt;=$J$4,'领用录入（明细）'!C:C&lt;=$L$4),ROW(),"-")</f>
        <v>-</v>
      </c>
    </row>
    <row r="36365" customHeight="1" spans="2:2">
      <c r="B36365" s="62" t="str">
        <f>IF(AND('领用录入（明细）'!D:D=$F$4,'领用录入（明细）'!C:C&gt;=$J$4,'领用录入（明细）'!C:C&lt;=$L$4),ROW(),"-")</f>
        <v>-</v>
      </c>
    </row>
    <row r="36366" customHeight="1" spans="2:2">
      <c r="B36366" s="62" t="str">
        <f>IF(AND('领用录入（明细）'!D:D=$F$4,'领用录入（明细）'!C:C&gt;=$J$4,'领用录入（明细）'!C:C&lt;=$L$4),ROW(),"-")</f>
        <v>-</v>
      </c>
    </row>
    <row r="36367" customHeight="1" spans="2:2">
      <c r="B36367" s="62" t="str">
        <f>IF(AND('领用录入（明细）'!D:D=$F$4,'领用录入（明细）'!C:C&gt;=$J$4,'领用录入（明细）'!C:C&lt;=$L$4),ROW(),"-")</f>
        <v>-</v>
      </c>
    </row>
    <row r="36368" customHeight="1" spans="2:2">
      <c r="B36368" s="62" t="str">
        <f>IF(AND('领用录入（明细）'!D:D=$F$4,'领用录入（明细）'!C:C&gt;=$J$4,'领用录入（明细）'!C:C&lt;=$L$4),ROW(),"-")</f>
        <v>-</v>
      </c>
    </row>
    <row r="36369" customHeight="1" spans="2:2">
      <c r="B36369" s="62" t="str">
        <f>IF(AND('领用录入（明细）'!D:D=$F$4,'领用录入（明细）'!C:C&gt;=$J$4,'领用录入（明细）'!C:C&lt;=$L$4),ROW(),"-")</f>
        <v>-</v>
      </c>
    </row>
    <row r="36370" customHeight="1" spans="2:2">
      <c r="B36370" s="62" t="str">
        <f>IF(AND('领用录入（明细）'!D:D=$F$4,'领用录入（明细）'!C:C&gt;=$J$4,'领用录入（明细）'!C:C&lt;=$L$4),ROW(),"-")</f>
        <v>-</v>
      </c>
    </row>
    <row r="36371" customHeight="1" spans="2:2">
      <c r="B36371" s="62" t="str">
        <f>IF(AND('领用录入（明细）'!D:D=$F$4,'领用录入（明细）'!C:C&gt;=$J$4,'领用录入（明细）'!C:C&lt;=$L$4),ROW(),"-")</f>
        <v>-</v>
      </c>
    </row>
    <row r="36372" customHeight="1" spans="2:2">
      <c r="B36372" s="62" t="str">
        <f>IF(AND('领用录入（明细）'!D:D=$F$4,'领用录入（明细）'!C:C&gt;=$J$4,'领用录入（明细）'!C:C&lt;=$L$4),ROW(),"-")</f>
        <v>-</v>
      </c>
    </row>
    <row r="36373" customHeight="1" spans="2:2">
      <c r="B36373" s="62" t="str">
        <f>IF(AND('领用录入（明细）'!D:D=$F$4,'领用录入（明细）'!C:C&gt;=$J$4,'领用录入（明细）'!C:C&lt;=$L$4),ROW(),"-")</f>
        <v>-</v>
      </c>
    </row>
    <row r="36374" customHeight="1" spans="2:2">
      <c r="B36374" s="62" t="str">
        <f>IF(AND('领用录入（明细）'!D:D=$F$4,'领用录入（明细）'!C:C&gt;=$J$4,'领用录入（明细）'!C:C&lt;=$L$4),ROW(),"-")</f>
        <v>-</v>
      </c>
    </row>
    <row r="36375" customHeight="1" spans="2:2">
      <c r="B36375" s="62" t="str">
        <f>IF(AND('领用录入（明细）'!D:D=$F$4,'领用录入（明细）'!C:C&gt;=$J$4,'领用录入（明细）'!C:C&lt;=$L$4),ROW(),"-")</f>
        <v>-</v>
      </c>
    </row>
    <row r="36376" customHeight="1" spans="2:2">
      <c r="B36376" s="62" t="str">
        <f>IF(AND('领用录入（明细）'!D:D=$F$4,'领用录入（明细）'!C:C&gt;=$J$4,'领用录入（明细）'!C:C&lt;=$L$4),ROW(),"-")</f>
        <v>-</v>
      </c>
    </row>
    <row r="36377" customHeight="1" spans="2:2">
      <c r="B36377" s="62" t="str">
        <f>IF(AND('领用录入（明细）'!D:D=$F$4,'领用录入（明细）'!C:C&gt;=$J$4,'领用录入（明细）'!C:C&lt;=$L$4),ROW(),"-")</f>
        <v>-</v>
      </c>
    </row>
    <row r="36378" customHeight="1" spans="2:2">
      <c r="B36378" s="62" t="str">
        <f>IF(AND('领用录入（明细）'!D:D=$F$4,'领用录入（明细）'!C:C&gt;=$J$4,'领用录入（明细）'!C:C&lt;=$L$4),ROW(),"-")</f>
        <v>-</v>
      </c>
    </row>
    <row r="36379" customHeight="1" spans="2:2">
      <c r="B36379" s="62" t="str">
        <f>IF(AND('领用录入（明细）'!D:D=$F$4,'领用录入（明细）'!C:C&gt;=$J$4,'领用录入（明细）'!C:C&lt;=$L$4),ROW(),"-")</f>
        <v>-</v>
      </c>
    </row>
    <row r="36380" customHeight="1" spans="2:2">
      <c r="B36380" s="62" t="str">
        <f>IF(AND('领用录入（明细）'!D:D=$F$4,'领用录入（明细）'!C:C&gt;=$J$4,'领用录入（明细）'!C:C&lt;=$L$4),ROW(),"-")</f>
        <v>-</v>
      </c>
    </row>
    <row r="36381" customHeight="1" spans="2:2">
      <c r="B36381" s="62" t="str">
        <f>IF(AND('领用录入（明细）'!D:D=$F$4,'领用录入（明细）'!C:C&gt;=$J$4,'领用录入（明细）'!C:C&lt;=$L$4),ROW(),"-")</f>
        <v>-</v>
      </c>
    </row>
    <row r="36382" customHeight="1" spans="2:2">
      <c r="B36382" s="62" t="str">
        <f>IF(AND('领用录入（明细）'!D:D=$F$4,'领用录入（明细）'!C:C&gt;=$J$4,'领用录入（明细）'!C:C&lt;=$L$4),ROW(),"-")</f>
        <v>-</v>
      </c>
    </row>
    <row r="36383" customHeight="1" spans="2:2">
      <c r="B36383" s="62" t="str">
        <f>IF(AND('领用录入（明细）'!D:D=$F$4,'领用录入（明细）'!C:C&gt;=$J$4,'领用录入（明细）'!C:C&lt;=$L$4),ROW(),"-")</f>
        <v>-</v>
      </c>
    </row>
    <row r="36384" customHeight="1" spans="2:2">
      <c r="B36384" s="62" t="str">
        <f>IF(AND('领用录入（明细）'!D:D=$F$4,'领用录入（明细）'!C:C&gt;=$J$4,'领用录入（明细）'!C:C&lt;=$L$4),ROW(),"-")</f>
        <v>-</v>
      </c>
    </row>
    <row r="36385" customHeight="1" spans="2:2">
      <c r="B36385" s="62" t="str">
        <f>IF(AND('领用录入（明细）'!D:D=$F$4,'领用录入（明细）'!C:C&gt;=$J$4,'领用录入（明细）'!C:C&lt;=$L$4),ROW(),"-")</f>
        <v>-</v>
      </c>
    </row>
    <row r="36386" customHeight="1" spans="2:2">
      <c r="B36386" s="62" t="str">
        <f>IF(AND('领用录入（明细）'!D:D=$F$4,'领用录入（明细）'!C:C&gt;=$J$4,'领用录入（明细）'!C:C&lt;=$L$4),ROW(),"-")</f>
        <v>-</v>
      </c>
    </row>
    <row r="36387" customHeight="1" spans="2:2">
      <c r="B36387" s="62" t="str">
        <f>IF(AND('领用录入（明细）'!D:D=$F$4,'领用录入（明细）'!C:C&gt;=$J$4,'领用录入（明细）'!C:C&lt;=$L$4),ROW(),"-")</f>
        <v>-</v>
      </c>
    </row>
    <row r="36388" customHeight="1" spans="2:2">
      <c r="B36388" s="62" t="str">
        <f>IF(AND('领用录入（明细）'!D:D=$F$4,'领用录入（明细）'!C:C&gt;=$J$4,'领用录入（明细）'!C:C&lt;=$L$4),ROW(),"-")</f>
        <v>-</v>
      </c>
    </row>
    <row r="36389" customHeight="1" spans="2:2">
      <c r="B36389" s="62" t="str">
        <f>IF(AND('领用录入（明细）'!D:D=$F$4,'领用录入（明细）'!C:C&gt;=$J$4,'领用录入（明细）'!C:C&lt;=$L$4),ROW(),"-")</f>
        <v>-</v>
      </c>
    </row>
    <row r="36390" customHeight="1" spans="2:2">
      <c r="B36390" s="62" t="str">
        <f>IF(AND('领用录入（明细）'!D:D=$F$4,'领用录入（明细）'!C:C&gt;=$J$4,'领用录入（明细）'!C:C&lt;=$L$4),ROW(),"-")</f>
        <v>-</v>
      </c>
    </row>
    <row r="36391" customHeight="1" spans="2:2">
      <c r="B36391" s="62" t="str">
        <f>IF(AND('领用录入（明细）'!D:D=$F$4,'领用录入（明细）'!C:C&gt;=$J$4,'领用录入（明细）'!C:C&lt;=$L$4),ROW(),"-")</f>
        <v>-</v>
      </c>
    </row>
    <row r="36392" customHeight="1" spans="2:2">
      <c r="B36392" s="62" t="str">
        <f>IF(AND('领用录入（明细）'!D:D=$F$4,'领用录入（明细）'!C:C&gt;=$J$4,'领用录入（明细）'!C:C&lt;=$L$4),ROW(),"-")</f>
        <v>-</v>
      </c>
    </row>
    <row r="36393" customHeight="1" spans="2:2">
      <c r="B36393" s="62" t="str">
        <f>IF(AND('领用录入（明细）'!D:D=$F$4,'领用录入（明细）'!C:C&gt;=$J$4,'领用录入（明细）'!C:C&lt;=$L$4),ROW(),"-")</f>
        <v>-</v>
      </c>
    </row>
    <row r="36394" customHeight="1" spans="2:2">
      <c r="B36394" s="62" t="str">
        <f>IF(AND('领用录入（明细）'!D:D=$F$4,'领用录入（明细）'!C:C&gt;=$J$4,'领用录入（明细）'!C:C&lt;=$L$4),ROW(),"-")</f>
        <v>-</v>
      </c>
    </row>
    <row r="36395" customHeight="1" spans="2:2">
      <c r="B36395" s="62" t="str">
        <f>IF(AND('领用录入（明细）'!D:D=$F$4,'领用录入（明细）'!C:C&gt;=$J$4,'领用录入（明细）'!C:C&lt;=$L$4),ROW(),"-")</f>
        <v>-</v>
      </c>
    </row>
    <row r="36396" customHeight="1" spans="2:2">
      <c r="B36396" s="62" t="str">
        <f>IF(AND('领用录入（明细）'!D:D=$F$4,'领用录入（明细）'!C:C&gt;=$J$4,'领用录入（明细）'!C:C&lt;=$L$4),ROW(),"-")</f>
        <v>-</v>
      </c>
    </row>
    <row r="36397" customHeight="1" spans="2:2">
      <c r="B36397" s="62" t="str">
        <f>IF(AND('领用录入（明细）'!D:D=$F$4,'领用录入（明细）'!C:C&gt;=$J$4,'领用录入（明细）'!C:C&lt;=$L$4),ROW(),"-")</f>
        <v>-</v>
      </c>
    </row>
    <row r="36398" customHeight="1" spans="2:2">
      <c r="B36398" s="62" t="str">
        <f>IF(AND('领用录入（明细）'!D:D=$F$4,'领用录入（明细）'!C:C&gt;=$J$4,'领用录入（明细）'!C:C&lt;=$L$4),ROW(),"-")</f>
        <v>-</v>
      </c>
    </row>
    <row r="36399" customHeight="1" spans="2:2">
      <c r="B36399" s="62" t="str">
        <f>IF(AND('领用录入（明细）'!D:D=$F$4,'领用录入（明细）'!C:C&gt;=$J$4,'领用录入（明细）'!C:C&lt;=$L$4),ROW(),"-")</f>
        <v>-</v>
      </c>
    </row>
    <row r="36400" customHeight="1" spans="2:2">
      <c r="B36400" s="62" t="str">
        <f>IF(AND('领用录入（明细）'!D:D=$F$4,'领用录入（明细）'!C:C&gt;=$J$4,'领用录入（明细）'!C:C&lt;=$L$4),ROW(),"-")</f>
        <v>-</v>
      </c>
    </row>
    <row r="36401" customHeight="1" spans="2:2">
      <c r="B36401" s="62" t="str">
        <f>IF(AND('领用录入（明细）'!D:D=$F$4,'领用录入（明细）'!C:C&gt;=$J$4,'领用录入（明细）'!C:C&lt;=$L$4),ROW(),"-")</f>
        <v>-</v>
      </c>
    </row>
    <row r="36402" customHeight="1" spans="2:2">
      <c r="B36402" s="62" t="str">
        <f>IF(AND('领用录入（明细）'!D:D=$F$4,'领用录入（明细）'!C:C&gt;=$J$4,'领用录入（明细）'!C:C&lt;=$L$4),ROW(),"-")</f>
        <v>-</v>
      </c>
    </row>
    <row r="36403" customHeight="1" spans="2:2">
      <c r="B36403" s="62" t="str">
        <f>IF(AND('领用录入（明细）'!D:D=$F$4,'领用录入（明细）'!C:C&gt;=$J$4,'领用录入（明细）'!C:C&lt;=$L$4),ROW(),"-")</f>
        <v>-</v>
      </c>
    </row>
    <row r="36404" customHeight="1" spans="2:2">
      <c r="B36404" s="62" t="str">
        <f>IF(AND('领用录入（明细）'!D:D=$F$4,'领用录入（明细）'!C:C&gt;=$J$4,'领用录入（明细）'!C:C&lt;=$L$4),ROW(),"-")</f>
        <v>-</v>
      </c>
    </row>
    <row r="36405" customHeight="1" spans="2:2">
      <c r="B36405" s="62" t="str">
        <f>IF(AND('领用录入（明细）'!D:D=$F$4,'领用录入（明细）'!C:C&gt;=$J$4,'领用录入（明细）'!C:C&lt;=$L$4),ROW(),"-")</f>
        <v>-</v>
      </c>
    </row>
    <row r="36406" customHeight="1" spans="2:2">
      <c r="B36406" s="62" t="str">
        <f>IF(AND('领用录入（明细）'!D:D=$F$4,'领用录入（明细）'!C:C&gt;=$J$4,'领用录入（明细）'!C:C&lt;=$L$4),ROW(),"-")</f>
        <v>-</v>
      </c>
    </row>
    <row r="36407" customHeight="1" spans="2:2">
      <c r="B36407" s="62" t="str">
        <f>IF(AND('领用录入（明细）'!D:D=$F$4,'领用录入（明细）'!C:C&gt;=$J$4,'领用录入（明细）'!C:C&lt;=$L$4),ROW(),"-")</f>
        <v>-</v>
      </c>
    </row>
    <row r="36408" customHeight="1" spans="2:2">
      <c r="B36408" s="62" t="str">
        <f>IF(AND('领用录入（明细）'!D:D=$F$4,'领用录入（明细）'!C:C&gt;=$J$4,'领用录入（明细）'!C:C&lt;=$L$4),ROW(),"-")</f>
        <v>-</v>
      </c>
    </row>
    <row r="36409" customHeight="1" spans="2:2">
      <c r="B36409" s="62" t="str">
        <f>IF(AND('领用录入（明细）'!D:D=$F$4,'领用录入（明细）'!C:C&gt;=$J$4,'领用录入（明细）'!C:C&lt;=$L$4),ROW(),"-")</f>
        <v>-</v>
      </c>
    </row>
    <row r="36410" customHeight="1" spans="2:2">
      <c r="B36410" s="62" t="str">
        <f>IF(AND('领用录入（明细）'!D:D=$F$4,'领用录入（明细）'!C:C&gt;=$J$4,'领用录入（明细）'!C:C&lt;=$L$4),ROW(),"-")</f>
        <v>-</v>
      </c>
    </row>
    <row r="36411" customHeight="1" spans="2:2">
      <c r="B36411" s="62" t="str">
        <f>IF(AND('领用录入（明细）'!D:D=$F$4,'领用录入（明细）'!C:C&gt;=$J$4,'领用录入（明细）'!C:C&lt;=$L$4),ROW(),"-")</f>
        <v>-</v>
      </c>
    </row>
    <row r="36412" customHeight="1" spans="2:2">
      <c r="B36412" s="62" t="str">
        <f>IF(AND('领用录入（明细）'!D:D=$F$4,'领用录入（明细）'!C:C&gt;=$J$4,'领用录入（明细）'!C:C&lt;=$L$4),ROW(),"-")</f>
        <v>-</v>
      </c>
    </row>
    <row r="36413" customHeight="1" spans="2:2">
      <c r="B36413" s="62" t="str">
        <f>IF(AND('领用录入（明细）'!D:D=$F$4,'领用录入（明细）'!C:C&gt;=$J$4,'领用录入（明细）'!C:C&lt;=$L$4),ROW(),"-")</f>
        <v>-</v>
      </c>
    </row>
    <row r="36414" customHeight="1" spans="2:2">
      <c r="B36414" s="62" t="str">
        <f>IF(AND('领用录入（明细）'!D:D=$F$4,'领用录入（明细）'!C:C&gt;=$J$4,'领用录入（明细）'!C:C&lt;=$L$4),ROW(),"-")</f>
        <v>-</v>
      </c>
    </row>
    <row r="36415" customHeight="1" spans="2:2">
      <c r="B36415" s="62" t="str">
        <f>IF(AND('领用录入（明细）'!D:D=$F$4,'领用录入（明细）'!C:C&gt;=$J$4,'领用录入（明细）'!C:C&lt;=$L$4),ROW(),"-")</f>
        <v>-</v>
      </c>
    </row>
    <row r="36416" customHeight="1" spans="2:2">
      <c r="B36416" s="62" t="str">
        <f>IF(AND('领用录入（明细）'!D:D=$F$4,'领用录入（明细）'!C:C&gt;=$J$4,'领用录入（明细）'!C:C&lt;=$L$4),ROW(),"-")</f>
        <v>-</v>
      </c>
    </row>
    <row r="36417" customHeight="1" spans="2:2">
      <c r="B36417" s="62" t="str">
        <f>IF(AND('领用录入（明细）'!D:D=$F$4,'领用录入（明细）'!C:C&gt;=$J$4,'领用录入（明细）'!C:C&lt;=$L$4),ROW(),"-")</f>
        <v>-</v>
      </c>
    </row>
    <row r="36418" customHeight="1" spans="2:2">
      <c r="B36418" s="62" t="str">
        <f>IF(AND('领用录入（明细）'!D:D=$F$4,'领用录入（明细）'!C:C&gt;=$J$4,'领用录入（明细）'!C:C&lt;=$L$4),ROW(),"-")</f>
        <v>-</v>
      </c>
    </row>
    <row r="36419" customHeight="1" spans="2:2">
      <c r="B36419" s="62" t="str">
        <f>IF(AND('领用录入（明细）'!D:D=$F$4,'领用录入（明细）'!C:C&gt;=$J$4,'领用录入（明细）'!C:C&lt;=$L$4),ROW(),"-")</f>
        <v>-</v>
      </c>
    </row>
    <row r="36420" customHeight="1" spans="2:2">
      <c r="B36420" s="62" t="str">
        <f>IF(AND('领用录入（明细）'!D:D=$F$4,'领用录入（明细）'!C:C&gt;=$J$4,'领用录入（明细）'!C:C&lt;=$L$4),ROW(),"-")</f>
        <v>-</v>
      </c>
    </row>
    <row r="36421" customHeight="1" spans="2:2">
      <c r="B36421" s="62" t="str">
        <f>IF(AND('领用录入（明细）'!D:D=$F$4,'领用录入（明细）'!C:C&gt;=$J$4,'领用录入（明细）'!C:C&lt;=$L$4),ROW(),"-")</f>
        <v>-</v>
      </c>
    </row>
    <row r="36422" customHeight="1" spans="2:2">
      <c r="B36422" s="62" t="str">
        <f>IF(AND('领用录入（明细）'!D:D=$F$4,'领用录入（明细）'!C:C&gt;=$J$4,'领用录入（明细）'!C:C&lt;=$L$4),ROW(),"-")</f>
        <v>-</v>
      </c>
    </row>
    <row r="36423" customHeight="1" spans="2:2">
      <c r="B36423" s="62" t="str">
        <f>IF(AND('领用录入（明细）'!D:D=$F$4,'领用录入（明细）'!C:C&gt;=$J$4,'领用录入（明细）'!C:C&lt;=$L$4),ROW(),"-")</f>
        <v>-</v>
      </c>
    </row>
    <row r="36424" customHeight="1" spans="2:2">
      <c r="B36424" s="62" t="str">
        <f>IF(AND('领用录入（明细）'!D:D=$F$4,'领用录入（明细）'!C:C&gt;=$J$4,'领用录入（明细）'!C:C&lt;=$L$4),ROW(),"-")</f>
        <v>-</v>
      </c>
    </row>
    <row r="36425" customHeight="1" spans="2:2">
      <c r="B36425" s="62" t="str">
        <f>IF(AND('领用录入（明细）'!D:D=$F$4,'领用录入（明细）'!C:C&gt;=$J$4,'领用录入（明细）'!C:C&lt;=$L$4),ROW(),"-")</f>
        <v>-</v>
      </c>
    </row>
    <row r="36426" customHeight="1" spans="2:2">
      <c r="B36426" s="62" t="str">
        <f>IF(AND('领用录入（明细）'!D:D=$F$4,'领用录入（明细）'!C:C&gt;=$J$4,'领用录入（明细）'!C:C&lt;=$L$4),ROW(),"-")</f>
        <v>-</v>
      </c>
    </row>
    <row r="36427" customHeight="1" spans="2:2">
      <c r="B36427" s="62" t="str">
        <f>IF(AND('领用录入（明细）'!D:D=$F$4,'领用录入（明细）'!C:C&gt;=$J$4,'领用录入（明细）'!C:C&lt;=$L$4),ROW(),"-")</f>
        <v>-</v>
      </c>
    </row>
    <row r="36428" customHeight="1" spans="2:2">
      <c r="B36428" s="62" t="str">
        <f>IF(AND('领用录入（明细）'!D:D=$F$4,'领用录入（明细）'!C:C&gt;=$J$4,'领用录入（明细）'!C:C&lt;=$L$4),ROW(),"-")</f>
        <v>-</v>
      </c>
    </row>
    <row r="36429" customHeight="1" spans="2:2">
      <c r="B36429" s="62" t="str">
        <f>IF(AND('领用录入（明细）'!D:D=$F$4,'领用录入（明细）'!C:C&gt;=$J$4,'领用录入（明细）'!C:C&lt;=$L$4),ROW(),"-")</f>
        <v>-</v>
      </c>
    </row>
    <row r="36430" customHeight="1" spans="2:2">
      <c r="B36430" s="62" t="str">
        <f>IF(AND('领用录入（明细）'!D:D=$F$4,'领用录入（明细）'!C:C&gt;=$J$4,'领用录入（明细）'!C:C&lt;=$L$4),ROW(),"-")</f>
        <v>-</v>
      </c>
    </row>
    <row r="36431" customHeight="1" spans="2:2">
      <c r="B36431" s="62" t="str">
        <f>IF(AND('领用录入（明细）'!D:D=$F$4,'领用录入（明细）'!C:C&gt;=$J$4,'领用录入（明细）'!C:C&lt;=$L$4),ROW(),"-")</f>
        <v>-</v>
      </c>
    </row>
    <row r="36432" customHeight="1" spans="2:2">
      <c r="B36432" s="62" t="str">
        <f>IF(AND('领用录入（明细）'!D:D=$F$4,'领用录入（明细）'!C:C&gt;=$J$4,'领用录入（明细）'!C:C&lt;=$L$4),ROW(),"-")</f>
        <v>-</v>
      </c>
    </row>
    <row r="36433" customHeight="1" spans="2:2">
      <c r="B36433" s="62" t="str">
        <f>IF(AND('领用录入（明细）'!D:D=$F$4,'领用录入（明细）'!C:C&gt;=$J$4,'领用录入（明细）'!C:C&lt;=$L$4),ROW(),"-")</f>
        <v>-</v>
      </c>
    </row>
    <row r="36434" customHeight="1" spans="2:2">
      <c r="B36434" s="62" t="str">
        <f>IF(AND('领用录入（明细）'!D:D=$F$4,'领用录入（明细）'!C:C&gt;=$J$4,'领用录入（明细）'!C:C&lt;=$L$4),ROW(),"-")</f>
        <v>-</v>
      </c>
    </row>
    <row r="36435" customHeight="1" spans="2:2">
      <c r="B36435" s="62" t="str">
        <f>IF(AND('领用录入（明细）'!D:D=$F$4,'领用录入（明细）'!C:C&gt;=$J$4,'领用录入（明细）'!C:C&lt;=$L$4),ROW(),"-")</f>
        <v>-</v>
      </c>
    </row>
    <row r="36436" customHeight="1" spans="2:2">
      <c r="B36436" s="62" t="str">
        <f>IF(AND('领用录入（明细）'!D:D=$F$4,'领用录入（明细）'!C:C&gt;=$J$4,'领用录入（明细）'!C:C&lt;=$L$4),ROW(),"-")</f>
        <v>-</v>
      </c>
    </row>
    <row r="36437" customHeight="1" spans="2:2">
      <c r="B36437" s="62" t="str">
        <f>IF(AND('领用录入（明细）'!D:D=$F$4,'领用录入（明细）'!C:C&gt;=$J$4,'领用录入（明细）'!C:C&lt;=$L$4),ROW(),"-")</f>
        <v>-</v>
      </c>
    </row>
    <row r="36438" customHeight="1" spans="2:2">
      <c r="B36438" s="62" t="str">
        <f>IF(AND('领用录入（明细）'!D:D=$F$4,'领用录入（明细）'!C:C&gt;=$J$4,'领用录入（明细）'!C:C&lt;=$L$4),ROW(),"-")</f>
        <v>-</v>
      </c>
    </row>
    <row r="36439" customHeight="1" spans="2:2">
      <c r="B36439" s="62" t="str">
        <f>IF(AND('领用录入（明细）'!D:D=$F$4,'领用录入（明细）'!C:C&gt;=$J$4,'领用录入（明细）'!C:C&lt;=$L$4),ROW(),"-")</f>
        <v>-</v>
      </c>
    </row>
    <row r="36440" customHeight="1" spans="2:2">
      <c r="B36440" s="62" t="str">
        <f>IF(AND('领用录入（明细）'!D:D=$F$4,'领用录入（明细）'!C:C&gt;=$J$4,'领用录入（明细）'!C:C&lt;=$L$4),ROW(),"-")</f>
        <v>-</v>
      </c>
    </row>
    <row r="36441" customHeight="1" spans="2:2">
      <c r="B36441" s="62" t="str">
        <f>IF(AND('领用录入（明细）'!D:D=$F$4,'领用录入（明细）'!C:C&gt;=$J$4,'领用录入（明细）'!C:C&lt;=$L$4),ROW(),"-")</f>
        <v>-</v>
      </c>
    </row>
    <row r="36442" customHeight="1" spans="2:2">
      <c r="B36442" s="62" t="str">
        <f>IF(AND('领用录入（明细）'!D:D=$F$4,'领用录入（明细）'!C:C&gt;=$J$4,'领用录入（明细）'!C:C&lt;=$L$4),ROW(),"-")</f>
        <v>-</v>
      </c>
    </row>
    <row r="36443" customHeight="1" spans="2:2">
      <c r="B36443" s="62" t="str">
        <f>IF(AND('领用录入（明细）'!D:D=$F$4,'领用录入（明细）'!C:C&gt;=$J$4,'领用录入（明细）'!C:C&lt;=$L$4),ROW(),"-")</f>
        <v>-</v>
      </c>
    </row>
    <row r="36444" customHeight="1" spans="2:2">
      <c r="B36444" s="62" t="str">
        <f>IF(AND('领用录入（明细）'!D:D=$F$4,'领用录入（明细）'!C:C&gt;=$J$4,'领用录入（明细）'!C:C&lt;=$L$4),ROW(),"-")</f>
        <v>-</v>
      </c>
    </row>
    <row r="36445" customHeight="1" spans="2:2">
      <c r="B36445" s="62" t="str">
        <f>IF(AND('领用录入（明细）'!D:D=$F$4,'领用录入（明细）'!C:C&gt;=$J$4,'领用录入（明细）'!C:C&lt;=$L$4),ROW(),"-")</f>
        <v>-</v>
      </c>
    </row>
    <row r="36446" customHeight="1" spans="2:2">
      <c r="B36446" s="62" t="str">
        <f>IF(AND('领用录入（明细）'!D:D=$F$4,'领用录入（明细）'!C:C&gt;=$J$4,'领用录入（明细）'!C:C&lt;=$L$4),ROW(),"-")</f>
        <v>-</v>
      </c>
    </row>
    <row r="36447" customHeight="1" spans="2:2">
      <c r="B36447" s="62" t="str">
        <f>IF(AND('领用录入（明细）'!D:D=$F$4,'领用录入（明细）'!C:C&gt;=$J$4,'领用录入（明细）'!C:C&lt;=$L$4),ROW(),"-")</f>
        <v>-</v>
      </c>
    </row>
    <row r="36448" customHeight="1" spans="2:2">
      <c r="B36448" s="62" t="str">
        <f>IF(AND('领用录入（明细）'!D:D=$F$4,'领用录入（明细）'!C:C&gt;=$J$4,'领用录入（明细）'!C:C&lt;=$L$4),ROW(),"-")</f>
        <v>-</v>
      </c>
    </row>
    <row r="36449" customHeight="1" spans="2:2">
      <c r="B36449" s="62" t="str">
        <f>IF(AND('领用录入（明细）'!D:D=$F$4,'领用录入（明细）'!C:C&gt;=$J$4,'领用录入（明细）'!C:C&lt;=$L$4),ROW(),"-")</f>
        <v>-</v>
      </c>
    </row>
    <row r="36450" customHeight="1" spans="2:2">
      <c r="B36450" s="62" t="str">
        <f>IF(AND('领用录入（明细）'!D:D=$F$4,'领用录入（明细）'!C:C&gt;=$J$4,'领用录入（明细）'!C:C&lt;=$L$4),ROW(),"-")</f>
        <v>-</v>
      </c>
    </row>
    <row r="36451" customHeight="1" spans="2:2">
      <c r="B36451" s="62" t="str">
        <f>IF(AND('领用录入（明细）'!D:D=$F$4,'领用录入（明细）'!C:C&gt;=$J$4,'领用录入（明细）'!C:C&lt;=$L$4),ROW(),"-")</f>
        <v>-</v>
      </c>
    </row>
    <row r="36452" customHeight="1" spans="2:2">
      <c r="B36452" s="62" t="str">
        <f>IF(AND('领用录入（明细）'!D:D=$F$4,'领用录入（明细）'!C:C&gt;=$J$4,'领用录入（明细）'!C:C&lt;=$L$4),ROW(),"-")</f>
        <v>-</v>
      </c>
    </row>
    <row r="36453" customHeight="1" spans="2:2">
      <c r="B36453" s="62" t="str">
        <f>IF(AND('领用录入（明细）'!D:D=$F$4,'领用录入（明细）'!C:C&gt;=$J$4,'领用录入（明细）'!C:C&lt;=$L$4),ROW(),"-")</f>
        <v>-</v>
      </c>
    </row>
    <row r="36454" customHeight="1" spans="2:2">
      <c r="B36454" s="62" t="str">
        <f>IF(AND('领用录入（明细）'!D:D=$F$4,'领用录入（明细）'!C:C&gt;=$J$4,'领用录入（明细）'!C:C&lt;=$L$4),ROW(),"-")</f>
        <v>-</v>
      </c>
    </row>
    <row r="36455" customHeight="1" spans="2:2">
      <c r="B36455" s="62" t="str">
        <f>IF(AND('领用录入（明细）'!D:D=$F$4,'领用录入（明细）'!C:C&gt;=$J$4,'领用录入（明细）'!C:C&lt;=$L$4),ROW(),"-")</f>
        <v>-</v>
      </c>
    </row>
    <row r="36456" customHeight="1" spans="2:2">
      <c r="B36456" s="62" t="str">
        <f>IF(AND('领用录入（明细）'!D:D=$F$4,'领用录入（明细）'!C:C&gt;=$J$4,'领用录入（明细）'!C:C&lt;=$L$4),ROW(),"-")</f>
        <v>-</v>
      </c>
    </row>
    <row r="36457" customHeight="1" spans="2:2">
      <c r="B36457" s="62" t="str">
        <f>IF(AND('领用录入（明细）'!D:D=$F$4,'领用录入（明细）'!C:C&gt;=$J$4,'领用录入（明细）'!C:C&lt;=$L$4),ROW(),"-")</f>
        <v>-</v>
      </c>
    </row>
    <row r="36458" customHeight="1" spans="2:2">
      <c r="B36458" s="62" t="str">
        <f>IF(AND('领用录入（明细）'!D:D=$F$4,'领用录入（明细）'!C:C&gt;=$J$4,'领用录入（明细）'!C:C&lt;=$L$4),ROW(),"-")</f>
        <v>-</v>
      </c>
    </row>
    <row r="36459" customHeight="1" spans="2:2">
      <c r="B36459" s="62" t="str">
        <f>IF(AND('领用录入（明细）'!D:D=$F$4,'领用录入（明细）'!C:C&gt;=$J$4,'领用录入（明细）'!C:C&lt;=$L$4),ROW(),"-")</f>
        <v>-</v>
      </c>
    </row>
    <row r="36460" customHeight="1" spans="2:2">
      <c r="B36460" s="62" t="str">
        <f>IF(AND('领用录入（明细）'!D:D=$F$4,'领用录入（明细）'!C:C&gt;=$J$4,'领用录入（明细）'!C:C&lt;=$L$4),ROW(),"-")</f>
        <v>-</v>
      </c>
    </row>
    <row r="36461" customHeight="1" spans="2:2">
      <c r="B36461" s="62" t="str">
        <f>IF(AND('领用录入（明细）'!D:D=$F$4,'领用录入（明细）'!C:C&gt;=$J$4,'领用录入（明细）'!C:C&lt;=$L$4),ROW(),"-")</f>
        <v>-</v>
      </c>
    </row>
    <row r="36462" customHeight="1" spans="2:2">
      <c r="B36462" s="62" t="str">
        <f>IF(AND('领用录入（明细）'!D:D=$F$4,'领用录入（明细）'!C:C&gt;=$J$4,'领用录入（明细）'!C:C&lt;=$L$4),ROW(),"-")</f>
        <v>-</v>
      </c>
    </row>
    <row r="36463" customHeight="1" spans="2:2">
      <c r="B36463" s="62" t="str">
        <f>IF(AND('领用录入（明细）'!D:D=$F$4,'领用录入（明细）'!C:C&gt;=$J$4,'领用录入（明细）'!C:C&lt;=$L$4),ROW(),"-")</f>
        <v>-</v>
      </c>
    </row>
    <row r="36464" customHeight="1" spans="2:2">
      <c r="B36464" s="62" t="str">
        <f>IF(AND('领用录入（明细）'!D:D=$F$4,'领用录入（明细）'!C:C&gt;=$J$4,'领用录入（明细）'!C:C&lt;=$L$4),ROW(),"-")</f>
        <v>-</v>
      </c>
    </row>
    <row r="36465" customHeight="1" spans="2:2">
      <c r="B36465" s="62" t="str">
        <f>IF(AND('领用录入（明细）'!D:D=$F$4,'领用录入（明细）'!C:C&gt;=$J$4,'领用录入（明细）'!C:C&lt;=$L$4),ROW(),"-")</f>
        <v>-</v>
      </c>
    </row>
    <row r="36466" customHeight="1" spans="2:2">
      <c r="B36466" s="62" t="str">
        <f>IF(AND('领用录入（明细）'!D:D=$F$4,'领用录入（明细）'!C:C&gt;=$J$4,'领用录入（明细）'!C:C&lt;=$L$4),ROW(),"-")</f>
        <v>-</v>
      </c>
    </row>
    <row r="36467" customHeight="1" spans="2:2">
      <c r="B36467" s="62" t="str">
        <f>IF(AND('领用录入（明细）'!D:D=$F$4,'领用录入（明细）'!C:C&gt;=$J$4,'领用录入（明细）'!C:C&lt;=$L$4),ROW(),"-")</f>
        <v>-</v>
      </c>
    </row>
    <row r="36468" customHeight="1" spans="2:2">
      <c r="B36468" s="62" t="str">
        <f>IF(AND('领用录入（明细）'!D:D=$F$4,'领用录入（明细）'!C:C&gt;=$J$4,'领用录入（明细）'!C:C&lt;=$L$4),ROW(),"-")</f>
        <v>-</v>
      </c>
    </row>
    <row r="36469" customHeight="1" spans="2:2">
      <c r="B36469" s="62" t="str">
        <f>IF(AND('领用录入（明细）'!D:D=$F$4,'领用录入（明细）'!C:C&gt;=$J$4,'领用录入（明细）'!C:C&lt;=$L$4),ROW(),"-")</f>
        <v>-</v>
      </c>
    </row>
    <row r="36470" customHeight="1" spans="2:2">
      <c r="B36470" s="62" t="str">
        <f>IF(AND('领用录入（明细）'!D:D=$F$4,'领用录入（明细）'!C:C&gt;=$J$4,'领用录入（明细）'!C:C&lt;=$L$4),ROW(),"-")</f>
        <v>-</v>
      </c>
    </row>
    <row r="36471" customHeight="1" spans="2:2">
      <c r="B36471" s="62" t="str">
        <f>IF(AND('领用录入（明细）'!D:D=$F$4,'领用录入（明细）'!C:C&gt;=$J$4,'领用录入（明细）'!C:C&lt;=$L$4),ROW(),"-")</f>
        <v>-</v>
      </c>
    </row>
    <row r="36472" customHeight="1" spans="2:2">
      <c r="B36472" s="62" t="str">
        <f>IF(AND('领用录入（明细）'!D:D=$F$4,'领用录入（明细）'!C:C&gt;=$J$4,'领用录入（明细）'!C:C&lt;=$L$4),ROW(),"-")</f>
        <v>-</v>
      </c>
    </row>
    <row r="36473" customHeight="1" spans="2:2">
      <c r="B36473" s="62" t="str">
        <f>IF(AND('领用录入（明细）'!D:D=$F$4,'领用录入（明细）'!C:C&gt;=$J$4,'领用录入（明细）'!C:C&lt;=$L$4),ROW(),"-")</f>
        <v>-</v>
      </c>
    </row>
    <row r="36474" customHeight="1" spans="2:2">
      <c r="B36474" s="62" t="str">
        <f>IF(AND('领用录入（明细）'!D:D=$F$4,'领用录入（明细）'!C:C&gt;=$J$4,'领用录入（明细）'!C:C&lt;=$L$4),ROW(),"-")</f>
        <v>-</v>
      </c>
    </row>
    <row r="36475" customHeight="1" spans="2:2">
      <c r="B36475" s="62" t="str">
        <f>IF(AND('领用录入（明细）'!D:D=$F$4,'领用录入（明细）'!C:C&gt;=$J$4,'领用录入（明细）'!C:C&lt;=$L$4),ROW(),"-")</f>
        <v>-</v>
      </c>
    </row>
    <row r="36476" customHeight="1" spans="2:2">
      <c r="B36476" s="62" t="str">
        <f>IF(AND('领用录入（明细）'!D:D=$F$4,'领用录入（明细）'!C:C&gt;=$J$4,'领用录入（明细）'!C:C&lt;=$L$4),ROW(),"-")</f>
        <v>-</v>
      </c>
    </row>
    <row r="36477" customHeight="1" spans="2:2">
      <c r="B36477" s="62" t="str">
        <f>IF(AND('领用录入（明细）'!D:D=$F$4,'领用录入（明细）'!C:C&gt;=$J$4,'领用录入（明细）'!C:C&lt;=$L$4),ROW(),"-")</f>
        <v>-</v>
      </c>
    </row>
    <row r="36478" customHeight="1" spans="2:2">
      <c r="B36478" s="62" t="str">
        <f>IF(AND('领用录入（明细）'!D:D=$F$4,'领用录入（明细）'!C:C&gt;=$J$4,'领用录入（明细）'!C:C&lt;=$L$4),ROW(),"-")</f>
        <v>-</v>
      </c>
    </row>
    <row r="36479" customHeight="1" spans="2:2">
      <c r="B36479" s="62" t="str">
        <f>IF(AND('领用录入（明细）'!D:D=$F$4,'领用录入（明细）'!C:C&gt;=$J$4,'领用录入（明细）'!C:C&lt;=$L$4),ROW(),"-")</f>
        <v>-</v>
      </c>
    </row>
    <row r="36480" customHeight="1" spans="2:2">
      <c r="B36480" s="62" t="str">
        <f>IF(AND('领用录入（明细）'!D:D=$F$4,'领用录入（明细）'!C:C&gt;=$J$4,'领用录入（明细）'!C:C&lt;=$L$4),ROW(),"-")</f>
        <v>-</v>
      </c>
    </row>
    <row r="36481" customHeight="1" spans="2:2">
      <c r="B36481" s="62" t="str">
        <f>IF(AND('领用录入（明细）'!D:D=$F$4,'领用录入（明细）'!C:C&gt;=$J$4,'领用录入（明细）'!C:C&lt;=$L$4),ROW(),"-")</f>
        <v>-</v>
      </c>
    </row>
    <row r="36482" customHeight="1" spans="2:2">
      <c r="B36482" s="62" t="str">
        <f>IF(AND('领用录入（明细）'!D:D=$F$4,'领用录入（明细）'!C:C&gt;=$J$4,'领用录入（明细）'!C:C&lt;=$L$4),ROW(),"-")</f>
        <v>-</v>
      </c>
    </row>
    <row r="36483" customHeight="1" spans="2:2">
      <c r="B36483" s="62" t="str">
        <f>IF(AND('领用录入（明细）'!D:D=$F$4,'领用录入（明细）'!C:C&gt;=$J$4,'领用录入（明细）'!C:C&lt;=$L$4),ROW(),"-")</f>
        <v>-</v>
      </c>
    </row>
    <row r="36484" customHeight="1" spans="2:2">
      <c r="B36484" s="62" t="str">
        <f>IF(AND('领用录入（明细）'!D:D=$F$4,'领用录入（明细）'!C:C&gt;=$J$4,'领用录入（明细）'!C:C&lt;=$L$4),ROW(),"-")</f>
        <v>-</v>
      </c>
    </row>
    <row r="36485" customHeight="1" spans="2:2">
      <c r="B36485" s="62" t="str">
        <f>IF(AND('领用录入（明细）'!D:D=$F$4,'领用录入（明细）'!C:C&gt;=$J$4,'领用录入（明细）'!C:C&lt;=$L$4),ROW(),"-")</f>
        <v>-</v>
      </c>
    </row>
    <row r="36486" customHeight="1" spans="2:2">
      <c r="B36486" s="62" t="str">
        <f>IF(AND('领用录入（明细）'!D:D=$F$4,'领用录入（明细）'!C:C&gt;=$J$4,'领用录入（明细）'!C:C&lt;=$L$4),ROW(),"-")</f>
        <v>-</v>
      </c>
    </row>
    <row r="36487" customHeight="1" spans="2:2">
      <c r="B36487" s="62" t="str">
        <f>IF(AND('领用录入（明细）'!D:D=$F$4,'领用录入（明细）'!C:C&gt;=$J$4,'领用录入（明细）'!C:C&lt;=$L$4),ROW(),"-")</f>
        <v>-</v>
      </c>
    </row>
    <row r="36488" customHeight="1" spans="2:2">
      <c r="B36488" s="62" t="str">
        <f>IF(AND('领用录入（明细）'!D:D=$F$4,'领用录入（明细）'!C:C&gt;=$J$4,'领用录入（明细）'!C:C&lt;=$L$4),ROW(),"-")</f>
        <v>-</v>
      </c>
    </row>
    <row r="36489" customHeight="1" spans="2:2">
      <c r="B36489" s="62" t="str">
        <f>IF(AND('领用录入（明细）'!D:D=$F$4,'领用录入（明细）'!C:C&gt;=$J$4,'领用录入（明细）'!C:C&lt;=$L$4),ROW(),"-")</f>
        <v>-</v>
      </c>
    </row>
    <row r="36490" customHeight="1" spans="2:2">
      <c r="B36490" s="62" t="str">
        <f>IF(AND('领用录入（明细）'!D:D=$F$4,'领用录入（明细）'!C:C&gt;=$J$4,'领用录入（明细）'!C:C&lt;=$L$4),ROW(),"-")</f>
        <v>-</v>
      </c>
    </row>
    <row r="36491" customHeight="1" spans="2:2">
      <c r="B36491" s="62" t="str">
        <f>IF(AND('领用录入（明细）'!D:D=$F$4,'领用录入（明细）'!C:C&gt;=$J$4,'领用录入（明细）'!C:C&lt;=$L$4),ROW(),"-")</f>
        <v>-</v>
      </c>
    </row>
    <row r="36492" customHeight="1" spans="2:2">
      <c r="B36492" s="62" t="str">
        <f>IF(AND('领用录入（明细）'!D:D=$F$4,'领用录入（明细）'!C:C&gt;=$J$4,'领用录入（明细）'!C:C&lt;=$L$4),ROW(),"-")</f>
        <v>-</v>
      </c>
    </row>
    <row r="36493" customHeight="1" spans="2:2">
      <c r="B36493" s="62" t="str">
        <f>IF(AND('领用录入（明细）'!D:D=$F$4,'领用录入（明细）'!C:C&gt;=$J$4,'领用录入（明细）'!C:C&lt;=$L$4),ROW(),"-")</f>
        <v>-</v>
      </c>
    </row>
    <row r="36494" customHeight="1" spans="2:2">
      <c r="B36494" s="62" t="str">
        <f>IF(AND('领用录入（明细）'!D:D=$F$4,'领用录入（明细）'!C:C&gt;=$J$4,'领用录入（明细）'!C:C&lt;=$L$4),ROW(),"-")</f>
        <v>-</v>
      </c>
    </row>
    <row r="36495" customHeight="1" spans="2:2">
      <c r="B36495" s="62" t="str">
        <f>IF(AND('领用录入（明细）'!D:D=$F$4,'领用录入（明细）'!C:C&gt;=$J$4,'领用录入（明细）'!C:C&lt;=$L$4),ROW(),"-")</f>
        <v>-</v>
      </c>
    </row>
    <row r="36496" customHeight="1" spans="2:2">
      <c r="B36496" s="62" t="str">
        <f>IF(AND('领用录入（明细）'!D:D=$F$4,'领用录入（明细）'!C:C&gt;=$J$4,'领用录入（明细）'!C:C&lt;=$L$4),ROW(),"-")</f>
        <v>-</v>
      </c>
    </row>
    <row r="36497" customHeight="1" spans="2:2">
      <c r="B36497" s="62" t="str">
        <f>IF(AND('领用录入（明细）'!D:D=$F$4,'领用录入（明细）'!C:C&gt;=$J$4,'领用录入（明细）'!C:C&lt;=$L$4),ROW(),"-")</f>
        <v>-</v>
      </c>
    </row>
    <row r="36498" customHeight="1" spans="2:2">
      <c r="B36498" s="62" t="str">
        <f>IF(AND('领用录入（明细）'!D:D=$F$4,'领用录入（明细）'!C:C&gt;=$J$4,'领用录入（明细）'!C:C&lt;=$L$4),ROW(),"-")</f>
        <v>-</v>
      </c>
    </row>
    <row r="36499" customHeight="1" spans="2:2">
      <c r="B36499" s="62" t="str">
        <f>IF(AND('领用录入（明细）'!D:D=$F$4,'领用录入（明细）'!C:C&gt;=$J$4,'领用录入（明细）'!C:C&lt;=$L$4),ROW(),"-")</f>
        <v>-</v>
      </c>
    </row>
    <row r="36500" customHeight="1" spans="2:2">
      <c r="B36500" s="62" t="str">
        <f>IF(AND('领用录入（明细）'!D:D=$F$4,'领用录入（明细）'!C:C&gt;=$J$4,'领用录入（明细）'!C:C&lt;=$L$4),ROW(),"-")</f>
        <v>-</v>
      </c>
    </row>
    <row r="36501" customHeight="1" spans="2:2">
      <c r="B36501" s="62" t="str">
        <f>IF(AND('领用录入（明细）'!D:D=$F$4,'领用录入（明细）'!C:C&gt;=$J$4,'领用录入（明细）'!C:C&lt;=$L$4),ROW(),"-")</f>
        <v>-</v>
      </c>
    </row>
    <row r="36502" customHeight="1" spans="2:2">
      <c r="B36502" s="62" t="str">
        <f>IF(AND('领用录入（明细）'!D:D=$F$4,'领用录入（明细）'!C:C&gt;=$J$4,'领用录入（明细）'!C:C&lt;=$L$4),ROW(),"-")</f>
        <v>-</v>
      </c>
    </row>
    <row r="36503" customHeight="1" spans="2:2">
      <c r="B36503" s="62" t="str">
        <f>IF(AND('领用录入（明细）'!D:D=$F$4,'领用录入（明细）'!C:C&gt;=$J$4,'领用录入（明细）'!C:C&lt;=$L$4),ROW(),"-")</f>
        <v>-</v>
      </c>
    </row>
    <row r="36504" customHeight="1" spans="2:2">
      <c r="B36504" s="62" t="str">
        <f>IF(AND('领用录入（明细）'!D:D=$F$4,'领用录入（明细）'!C:C&gt;=$J$4,'领用录入（明细）'!C:C&lt;=$L$4),ROW(),"-")</f>
        <v>-</v>
      </c>
    </row>
    <row r="36505" customHeight="1" spans="2:2">
      <c r="B36505" s="62" t="str">
        <f>IF(AND('领用录入（明细）'!D:D=$F$4,'领用录入（明细）'!C:C&gt;=$J$4,'领用录入（明细）'!C:C&lt;=$L$4),ROW(),"-")</f>
        <v>-</v>
      </c>
    </row>
    <row r="36506" customHeight="1" spans="2:2">
      <c r="B36506" s="62" t="str">
        <f>IF(AND('领用录入（明细）'!D:D=$F$4,'领用录入（明细）'!C:C&gt;=$J$4,'领用录入（明细）'!C:C&lt;=$L$4),ROW(),"-")</f>
        <v>-</v>
      </c>
    </row>
    <row r="36507" customHeight="1" spans="2:2">
      <c r="B36507" s="62" t="str">
        <f>IF(AND('领用录入（明细）'!D:D=$F$4,'领用录入（明细）'!C:C&gt;=$J$4,'领用录入（明细）'!C:C&lt;=$L$4),ROW(),"-")</f>
        <v>-</v>
      </c>
    </row>
    <row r="36508" customHeight="1" spans="2:2">
      <c r="B36508" s="62" t="str">
        <f>IF(AND('领用录入（明细）'!D:D=$F$4,'领用录入（明细）'!C:C&gt;=$J$4,'领用录入（明细）'!C:C&lt;=$L$4),ROW(),"-")</f>
        <v>-</v>
      </c>
    </row>
    <row r="36509" customHeight="1" spans="2:2">
      <c r="B36509" s="62" t="str">
        <f>IF(AND('领用录入（明细）'!D:D=$F$4,'领用录入（明细）'!C:C&gt;=$J$4,'领用录入（明细）'!C:C&lt;=$L$4),ROW(),"-")</f>
        <v>-</v>
      </c>
    </row>
    <row r="36510" customHeight="1" spans="2:2">
      <c r="B36510" s="62" t="str">
        <f>IF(AND('领用录入（明细）'!D:D=$F$4,'领用录入（明细）'!C:C&gt;=$J$4,'领用录入（明细）'!C:C&lt;=$L$4),ROW(),"-")</f>
        <v>-</v>
      </c>
    </row>
    <row r="36511" customHeight="1" spans="2:2">
      <c r="B36511" s="62" t="str">
        <f>IF(AND('领用录入（明细）'!D:D=$F$4,'领用录入（明细）'!C:C&gt;=$J$4,'领用录入（明细）'!C:C&lt;=$L$4),ROW(),"-")</f>
        <v>-</v>
      </c>
    </row>
    <row r="36512" customHeight="1" spans="2:2">
      <c r="B36512" s="62" t="str">
        <f>IF(AND('领用录入（明细）'!D:D=$F$4,'领用录入（明细）'!C:C&gt;=$J$4,'领用录入（明细）'!C:C&lt;=$L$4),ROW(),"-")</f>
        <v>-</v>
      </c>
    </row>
    <row r="36513" customHeight="1" spans="2:2">
      <c r="B36513" s="62" t="str">
        <f>IF(AND('领用录入（明细）'!D:D=$F$4,'领用录入（明细）'!C:C&gt;=$J$4,'领用录入（明细）'!C:C&lt;=$L$4),ROW(),"-")</f>
        <v>-</v>
      </c>
    </row>
    <row r="36514" customHeight="1" spans="2:2">
      <c r="B36514" s="62" t="str">
        <f>IF(AND('领用录入（明细）'!D:D=$F$4,'领用录入（明细）'!C:C&gt;=$J$4,'领用录入（明细）'!C:C&lt;=$L$4),ROW(),"-")</f>
        <v>-</v>
      </c>
    </row>
    <row r="36515" customHeight="1" spans="2:2">
      <c r="B36515" s="62" t="str">
        <f>IF(AND('领用录入（明细）'!D:D=$F$4,'领用录入（明细）'!C:C&gt;=$J$4,'领用录入（明细）'!C:C&lt;=$L$4),ROW(),"-")</f>
        <v>-</v>
      </c>
    </row>
    <row r="36516" customHeight="1" spans="2:2">
      <c r="B36516" s="62" t="str">
        <f>IF(AND('领用录入（明细）'!D:D=$F$4,'领用录入（明细）'!C:C&gt;=$J$4,'领用录入（明细）'!C:C&lt;=$L$4),ROW(),"-")</f>
        <v>-</v>
      </c>
    </row>
    <row r="36517" customHeight="1" spans="2:2">
      <c r="B36517" s="62" t="str">
        <f>IF(AND('领用录入（明细）'!D:D=$F$4,'领用录入（明细）'!C:C&gt;=$J$4,'领用录入（明细）'!C:C&lt;=$L$4),ROW(),"-")</f>
        <v>-</v>
      </c>
    </row>
    <row r="36518" customHeight="1" spans="2:2">
      <c r="B36518" s="62" t="str">
        <f>IF(AND('领用录入（明细）'!D:D=$F$4,'领用录入（明细）'!C:C&gt;=$J$4,'领用录入（明细）'!C:C&lt;=$L$4),ROW(),"-")</f>
        <v>-</v>
      </c>
    </row>
    <row r="36519" customHeight="1" spans="2:2">
      <c r="B36519" s="62" t="str">
        <f>IF(AND('领用录入（明细）'!D:D=$F$4,'领用录入（明细）'!C:C&gt;=$J$4,'领用录入（明细）'!C:C&lt;=$L$4),ROW(),"-")</f>
        <v>-</v>
      </c>
    </row>
    <row r="36520" customHeight="1" spans="2:2">
      <c r="B36520" s="62" t="str">
        <f>IF(AND('领用录入（明细）'!D:D=$F$4,'领用录入（明细）'!C:C&gt;=$J$4,'领用录入（明细）'!C:C&lt;=$L$4),ROW(),"-")</f>
        <v>-</v>
      </c>
    </row>
    <row r="36521" customHeight="1" spans="2:2">
      <c r="B36521" s="62" t="str">
        <f>IF(AND('领用录入（明细）'!D:D=$F$4,'领用录入（明细）'!C:C&gt;=$J$4,'领用录入（明细）'!C:C&lt;=$L$4),ROW(),"-")</f>
        <v>-</v>
      </c>
    </row>
    <row r="36522" customHeight="1" spans="2:2">
      <c r="B36522" s="62" t="str">
        <f>IF(AND('领用录入（明细）'!D:D=$F$4,'领用录入（明细）'!C:C&gt;=$J$4,'领用录入（明细）'!C:C&lt;=$L$4),ROW(),"-")</f>
        <v>-</v>
      </c>
    </row>
    <row r="36523" customHeight="1" spans="2:2">
      <c r="B36523" s="62" t="str">
        <f>IF(AND('领用录入（明细）'!D:D=$F$4,'领用录入（明细）'!C:C&gt;=$J$4,'领用录入（明细）'!C:C&lt;=$L$4),ROW(),"-")</f>
        <v>-</v>
      </c>
    </row>
    <row r="36524" customHeight="1" spans="2:2">
      <c r="B36524" s="62" t="str">
        <f>IF(AND('领用录入（明细）'!D:D=$F$4,'领用录入（明细）'!C:C&gt;=$J$4,'领用录入（明细）'!C:C&lt;=$L$4),ROW(),"-")</f>
        <v>-</v>
      </c>
    </row>
    <row r="36525" customHeight="1" spans="2:2">
      <c r="B36525" s="62" t="str">
        <f>IF(AND('领用录入（明细）'!D:D=$F$4,'领用录入（明细）'!C:C&gt;=$J$4,'领用录入（明细）'!C:C&lt;=$L$4),ROW(),"-")</f>
        <v>-</v>
      </c>
    </row>
    <row r="36526" customHeight="1" spans="2:2">
      <c r="B36526" s="62" t="str">
        <f>IF(AND('领用录入（明细）'!D:D=$F$4,'领用录入（明细）'!C:C&gt;=$J$4,'领用录入（明细）'!C:C&lt;=$L$4),ROW(),"-")</f>
        <v>-</v>
      </c>
    </row>
    <row r="36527" customHeight="1" spans="2:2">
      <c r="B36527" s="62" t="str">
        <f>IF(AND('领用录入（明细）'!D:D=$F$4,'领用录入（明细）'!C:C&gt;=$J$4,'领用录入（明细）'!C:C&lt;=$L$4),ROW(),"-")</f>
        <v>-</v>
      </c>
    </row>
    <row r="36528" customHeight="1" spans="2:2">
      <c r="B36528" s="62" t="str">
        <f>IF(AND('领用录入（明细）'!D:D=$F$4,'领用录入（明细）'!C:C&gt;=$J$4,'领用录入（明细）'!C:C&lt;=$L$4),ROW(),"-")</f>
        <v>-</v>
      </c>
    </row>
    <row r="36529" customHeight="1" spans="2:2">
      <c r="B36529" s="62" t="str">
        <f>IF(AND('领用录入（明细）'!D:D=$F$4,'领用录入（明细）'!C:C&gt;=$J$4,'领用录入（明细）'!C:C&lt;=$L$4),ROW(),"-")</f>
        <v>-</v>
      </c>
    </row>
    <row r="36530" customHeight="1" spans="2:2">
      <c r="B36530" s="62" t="str">
        <f>IF(AND('领用录入（明细）'!D:D=$F$4,'领用录入（明细）'!C:C&gt;=$J$4,'领用录入（明细）'!C:C&lt;=$L$4),ROW(),"-")</f>
        <v>-</v>
      </c>
    </row>
    <row r="36531" customHeight="1" spans="2:2">
      <c r="B36531" s="62" t="str">
        <f>IF(AND('领用录入（明细）'!D:D=$F$4,'领用录入（明细）'!C:C&gt;=$J$4,'领用录入（明细）'!C:C&lt;=$L$4),ROW(),"-")</f>
        <v>-</v>
      </c>
    </row>
    <row r="36532" customHeight="1" spans="2:2">
      <c r="B36532" s="62" t="str">
        <f>IF(AND('领用录入（明细）'!D:D=$F$4,'领用录入（明细）'!C:C&gt;=$J$4,'领用录入（明细）'!C:C&lt;=$L$4),ROW(),"-")</f>
        <v>-</v>
      </c>
    </row>
    <row r="36533" customHeight="1" spans="2:2">
      <c r="B36533" s="62" t="str">
        <f>IF(AND('领用录入（明细）'!D:D=$F$4,'领用录入（明细）'!C:C&gt;=$J$4,'领用录入（明细）'!C:C&lt;=$L$4),ROW(),"-")</f>
        <v>-</v>
      </c>
    </row>
    <row r="36534" customHeight="1" spans="2:2">
      <c r="B36534" s="62" t="str">
        <f>IF(AND('领用录入（明细）'!D:D=$F$4,'领用录入（明细）'!C:C&gt;=$J$4,'领用录入（明细）'!C:C&lt;=$L$4),ROW(),"-")</f>
        <v>-</v>
      </c>
    </row>
    <row r="36535" customHeight="1" spans="2:2">
      <c r="B36535" s="62" t="str">
        <f>IF(AND('领用录入（明细）'!D:D=$F$4,'领用录入（明细）'!C:C&gt;=$J$4,'领用录入（明细）'!C:C&lt;=$L$4),ROW(),"-")</f>
        <v>-</v>
      </c>
    </row>
    <row r="36536" customHeight="1" spans="2:2">
      <c r="B36536" s="62" t="str">
        <f>IF(AND('领用录入（明细）'!D:D=$F$4,'领用录入（明细）'!C:C&gt;=$J$4,'领用录入（明细）'!C:C&lt;=$L$4),ROW(),"-")</f>
        <v>-</v>
      </c>
    </row>
    <row r="36537" customHeight="1" spans="2:2">
      <c r="B36537" s="62" t="str">
        <f>IF(AND('领用录入（明细）'!D:D=$F$4,'领用录入（明细）'!C:C&gt;=$J$4,'领用录入（明细）'!C:C&lt;=$L$4),ROW(),"-")</f>
        <v>-</v>
      </c>
    </row>
    <row r="36538" customHeight="1" spans="2:2">
      <c r="B36538" s="62" t="str">
        <f>IF(AND('领用录入（明细）'!D:D=$F$4,'领用录入（明细）'!C:C&gt;=$J$4,'领用录入（明细）'!C:C&lt;=$L$4),ROW(),"-")</f>
        <v>-</v>
      </c>
    </row>
    <row r="36539" customHeight="1" spans="2:2">
      <c r="B36539" s="62" t="str">
        <f>IF(AND('领用录入（明细）'!D:D=$F$4,'领用录入（明细）'!C:C&gt;=$J$4,'领用录入（明细）'!C:C&lt;=$L$4),ROW(),"-")</f>
        <v>-</v>
      </c>
    </row>
    <row r="36540" customHeight="1" spans="2:2">
      <c r="B36540" s="62" t="str">
        <f>IF(AND('领用录入（明细）'!D:D=$F$4,'领用录入（明细）'!C:C&gt;=$J$4,'领用录入（明细）'!C:C&lt;=$L$4),ROW(),"-")</f>
        <v>-</v>
      </c>
    </row>
    <row r="36541" customHeight="1" spans="2:2">
      <c r="B36541" s="62" t="str">
        <f>IF(AND('领用录入（明细）'!D:D=$F$4,'领用录入（明细）'!C:C&gt;=$J$4,'领用录入（明细）'!C:C&lt;=$L$4),ROW(),"-")</f>
        <v>-</v>
      </c>
    </row>
    <row r="36542" customHeight="1" spans="2:2">
      <c r="B36542" s="62" t="str">
        <f>IF(AND('领用录入（明细）'!D:D=$F$4,'领用录入（明细）'!C:C&gt;=$J$4,'领用录入（明细）'!C:C&lt;=$L$4),ROW(),"-")</f>
        <v>-</v>
      </c>
    </row>
    <row r="36543" customHeight="1" spans="2:2">
      <c r="B36543" s="62" t="str">
        <f>IF(AND('领用录入（明细）'!D:D=$F$4,'领用录入（明细）'!C:C&gt;=$J$4,'领用录入（明细）'!C:C&lt;=$L$4),ROW(),"-")</f>
        <v>-</v>
      </c>
    </row>
    <row r="36544" customHeight="1" spans="2:2">
      <c r="B36544" s="62" t="str">
        <f>IF(AND('领用录入（明细）'!D:D=$F$4,'领用录入（明细）'!C:C&gt;=$J$4,'领用录入（明细）'!C:C&lt;=$L$4),ROW(),"-")</f>
        <v>-</v>
      </c>
    </row>
    <row r="36545" customHeight="1" spans="2:2">
      <c r="B36545" s="62" t="str">
        <f>IF(AND('领用录入（明细）'!D:D=$F$4,'领用录入（明细）'!C:C&gt;=$J$4,'领用录入（明细）'!C:C&lt;=$L$4),ROW(),"-")</f>
        <v>-</v>
      </c>
    </row>
    <row r="36546" customHeight="1" spans="2:2">
      <c r="B36546" s="62" t="str">
        <f>IF(AND('领用录入（明细）'!D:D=$F$4,'领用录入（明细）'!C:C&gt;=$J$4,'领用录入（明细）'!C:C&lt;=$L$4),ROW(),"-")</f>
        <v>-</v>
      </c>
    </row>
    <row r="36547" customHeight="1" spans="2:2">
      <c r="B36547" s="62" t="str">
        <f>IF(AND('领用录入（明细）'!D:D=$F$4,'领用录入（明细）'!C:C&gt;=$J$4,'领用录入（明细）'!C:C&lt;=$L$4),ROW(),"-")</f>
        <v>-</v>
      </c>
    </row>
    <row r="36548" customHeight="1" spans="2:2">
      <c r="B36548" s="62" t="str">
        <f>IF(AND('领用录入（明细）'!D:D=$F$4,'领用录入（明细）'!C:C&gt;=$J$4,'领用录入（明细）'!C:C&lt;=$L$4),ROW(),"-")</f>
        <v>-</v>
      </c>
    </row>
    <row r="36549" customHeight="1" spans="2:2">
      <c r="B36549" s="62" t="str">
        <f>IF(AND('领用录入（明细）'!D:D=$F$4,'领用录入（明细）'!C:C&gt;=$J$4,'领用录入（明细）'!C:C&lt;=$L$4),ROW(),"-")</f>
        <v>-</v>
      </c>
    </row>
    <row r="36550" customHeight="1" spans="2:2">
      <c r="B36550" s="62" t="str">
        <f>IF(AND('领用录入（明细）'!D:D=$F$4,'领用录入（明细）'!C:C&gt;=$J$4,'领用录入（明细）'!C:C&lt;=$L$4),ROW(),"-")</f>
        <v>-</v>
      </c>
    </row>
    <row r="36551" customHeight="1" spans="2:2">
      <c r="B36551" s="62" t="str">
        <f>IF(AND('领用录入（明细）'!D:D=$F$4,'领用录入（明细）'!C:C&gt;=$J$4,'领用录入（明细）'!C:C&lt;=$L$4),ROW(),"-")</f>
        <v>-</v>
      </c>
    </row>
    <row r="36552" customHeight="1" spans="2:2">
      <c r="B36552" s="62" t="str">
        <f>IF(AND('领用录入（明细）'!D:D=$F$4,'领用录入（明细）'!C:C&gt;=$J$4,'领用录入（明细）'!C:C&lt;=$L$4),ROW(),"-")</f>
        <v>-</v>
      </c>
    </row>
    <row r="36553" customHeight="1" spans="2:2">
      <c r="B36553" s="62" t="str">
        <f>IF(AND('领用录入（明细）'!D:D=$F$4,'领用录入（明细）'!C:C&gt;=$J$4,'领用录入（明细）'!C:C&lt;=$L$4),ROW(),"-")</f>
        <v>-</v>
      </c>
    </row>
    <row r="36554" customHeight="1" spans="2:2">
      <c r="B36554" s="62" t="str">
        <f>IF(AND('领用录入（明细）'!D:D=$F$4,'领用录入（明细）'!C:C&gt;=$J$4,'领用录入（明细）'!C:C&lt;=$L$4),ROW(),"-")</f>
        <v>-</v>
      </c>
    </row>
    <row r="36555" customHeight="1" spans="2:2">
      <c r="B36555" s="62" t="str">
        <f>IF(AND('领用录入（明细）'!D:D=$F$4,'领用录入（明细）'!C:C&gt;=$J$4,'领用录入（明细）'!C:C&lt;=$L$4),ROW(),"-")</f>
        <v>-</v>
      </c>
    </row>
    <row r="36556" customHeight="1" spans="2:2">
      <c r="B36556" s="62" t="str">
        <f>IF(AND('领用录入（明细）'!D:D=$F$4,'领用录入（明细）'!C:C&gt;=$J$4,'领用录入（明细）'!C:C&lt;=$L$4),ROW(),"-")</f>
        <v>-</v>
      </c>
    </row>
    <row r="36557" customHeight="1" spans="2:2">
      <c r="B36557" s="62" t="str">
        <f>IF(AND('领用录入（明细）'!D:D=$F$4,'领用录入（明细）'!C:C&gt;=$J$4,'领用录入（明细）'!C:C&lt;=$L$4),ROW(),"-")</f>
        <v>-</v>
      </c>
    </row>
    <row r="36558" customHeight="1" spans="2:2">
      <c r="B36558" s="62" t="str">
        <f>IF(AND('领用录入（明细）'!D:D=$F$4,'领用录入（明细）'!C:C&gt;=$J$4,'领用录入（明细）'!C:C&lt;=$L$4),ROW(),"-")</f>
        <v>-</v>
      </c>
    </row>
    <row r="36559" customHeight="1" spans="2:2">
      <c r="B36559" s="62" t="str">
        <f>IF(AND('领用录入（明细）'!D:D=$F$4,'领用录入（明细）'!C:C&gt;=$J$4,'领用录入（明细）'!C:C&lt;=$L$4),ROW(),"-")</f>
        <v>-</v>
      </c>
    </row>
    <row r="36560" customHeight="1" spans="2:2">
      <c r="B36560" s="62" t="str">
        <f>IF(AND('领用录入（明细）'!D:D=$F$4,'领用录入（明细）'!C:C&gt;=$J$4,'领用录入（明细）'!C:C&lt;=$L$4),ROW(),"-")</f>
        <v>-</v>
      </c>
    </row>
    <row r="36561" customHeight="1" spans="2:2">
      <c r="B36561" s="62" t="str">
        <f>IF(AND('领用录入（明细）'!D:D=$F$4,'领用录入（明细）'!C:C&gt;=$J$4,'领用录入（明细）'!C:C&lt;=$L$4),ROW(),"-")</f>
        <v>-</v>
      </c>
    </row>
    <row r="36562" customHeight="1" spans="2:2">
      <c r="B36562" s="62" t="str">
        <f>IF(AND('领用录入（明细）'!D:D=$F$4,'领用录入（明细）'!C:C&gt;=$J$4,'领用录入（明细）'!C:C&lt;=$L$4),ROW(),"-")</f>
        <v>-</v>
      </c>
    </row>
    <row r="36563" customHeight="1" spans="2:2">
      <c r="B36563" s="62" t="str">
        <f>IF(AND('领用录入（明细）'!D:D=$F$4,'领用录入（明细）'!C:C&gt;=$J$4,'领用录入（明细）'!C:C&lt;=$L$4),ROW(),"-")</f>
        <v>-</v>
      </c>
    </row>
    <row r="36564" customHeight="1" spans="2:2">
      <c r="B36564" s="62" t="str">
        <f>IF(AND('领用录入（明细）'!D:D=$F$4,'领用录入（明细）'!C:C&gt;=$J$4,'领用录入（明细）'!C:C&lt;=$L$4),ROW(),"-")</f>
        <v>-</v>
      </c>
    </row>
    <row r="36565" customHeight="1" spans="2:2">
      <c r="B36565" s="62" t="str">
        <f>IF(AND('领用录入（明细）'!D:D=$F$4,'领用录入（明细）'!C:C&gt;=$J$4,'领用录入（明细）'!C:C&lt;=$L$4),ROW(),"-")</f>
        <v>-</v>
      </c>
    </row>
    <row r="36566" customHeight="1" spans="2:2">
      <c r="B36566" s="62" t="str">
        <f>IF(AND('领用录入（明细）'!D:D=$F$4,'领用录入（明细）'!C:C&gt;=$J$4,'领用录入（明细）'!C:C&lt;=$L$4),ROW(),"-")</f>
        <v>-</v>
      </c>
    </row>
    <row r="36567" customHeight="1" spans="2:2">
      <c r="B36567" s="62" t="str">
        <f>IF(AND('领用录入（明细）'!D:D=$F$4,'领用录入（明细）'!C:C&gt;=$J$4,'领用录入（明细）'!C:C&lt;=$L$4),ROW(),"-")</f>
        <v>-</v>
      </c>
    </row>
    <row r="36568" customHeight="1" spans="2:2">
      <c r="B36568" s="62" t="str">
        <f>IF(AND('领用录入（明细）'!D:D=$F$4,'领用录入（明细）'!C:C&gt;=$J$4,'领用录入（明细）'!C:C&lt;=$L$4),ROW(),"-")</f>
        <v>-</v>
      </c>
    </row>
    <row r="36569" customHeight="1" spans="2:2">
      <c r="B36569" s="62" t="str">
        <f>IF(AND('领用录入（明细）'!D:D=$F$4,'领用录入（明细）'!C:C&gt;=$J$4,'领用录入（明细）'!C:C&lt;=$L$4),ROW(),"-")</f>
        <v>-</v>
      </c>
    </row>
    <row r="36570" customHeight="1" spans="2:2">
      <c r="B36570" s="62" t="str">
        <f>IF(AND('领用录入（明细）'!D:D=$F$4,'领用录入（明细）'!C:C&gt;=$J$4,'领用录入（明细）'!C:C&lt;=$L$4),ROW(),"-")</f>
        <v>-</v>
      </c>
    </row>
    <row r="36571" customHeight="1" spans="2:2">
      <c r="B36571" s="62" t="str">
        <f>IF(AND('领用录入（明细）'!D:D=$F$4,'领用录入（明细）'!C:C&gt;=$J$4,'领用录入（明细）'!C:C&lt;=$L$4),ROW(),"-")</f>
        <v>-</v>
      </c>
    </row>
    <row r="36572" customHeight="1" spans="2:2">
      <c r="B36572" s="62" t="str">
        <f>IF(AND('领用录入（明细）'!D:D=$F$4,'领用录入（明细）'!C:C&gt;=$J$4,'领用录入（明细）'!C:C&lt;=$L$4),ROW(),"-")</f>
        <v>-</v>
      </c>
    </row>
    <row r="36573" customHeight="1" spans="2:2">
      <c r="B36573" s="62" t="str">
        <f>IF(AND('领用录入（明细）'!D:D=$F$4,'领用录入（明细）'!C:C&gt;=$J$4,'领用录入（明细）'!C:C&lt;=$L$4),ROW(),"-")</f>
        <v>-</v>
      </c>
    </row>
    <row r="36574" customHeight="1" spans="2:2">
      <c r="B36574" s="62" t="str">
        <f>IF(AND('领用录入（明细）'!D:D=$F$4,'领用录入（明细）'!C:C&gt;=$J$4,'领用录入（明细）'!C:C&lt;=$L$4),ROW(),"-")</f>
        <v>-</v>
      </c>
    </row>
    <row r="36575" customHeight="1" spans="2:2">
      <c r="B36575" s="62" t="str">
        <f>IF(AND('领用录入（明细）'!D:D=$F$4,'领用录入（明细）'!C:C&gt;=$J$4,'领用录入（明细）'!C:C&lt;=$L$4),ROW(),"-")</f>
        <v>-</v>
      </c>
    </row>
    <row r="36576" customHeight="1" spans="2:2">
      <c r="B36576" s="62" t="str">
        <f>IF(AND('领用录入（明细）'!D:D=$F$4,'领用录入（明细）'!C:C&gt;=$J$4,'领用录入（明细）'!C:C&lt;=$L$4),ROW(),"-")</f>
        <v>-</v>
      </c>
    </row>
    <row r="36577" customHeight="1" spans="2:2">
      <c r="B36577" s="62" t="str">
        <f>IF(AND('领用录入（明细）'!D:D=$F$4,'领用录入（明细）'!C:C&gt;=$J$4,'领用录入（明细）'!C:C&lt;=$L$4),ROW(),"-")</f>
        <v>-</v>
      </c>
    </row>
    <row r="36578" customHeight="1" spans="2:2">
      <c r="B36578" s="62" t="str">
        <f>IF(AND('领用录入（明细）'!D:D=$F$4,'领用录入（明细）'!C:C&gt;=$J$4,'领用录入（明细）'!C:C&lt;=$L$4),ROW(),"-")</f>
        <v>-</v>
      </c>
    </row>
    <row r="36579" customHeight="1" spans="2:2">
      <c r="B36579" s="62" t="str">
        <f>IF(AND('领用录入（明细）'!D:D=$F$4,'领用录入（明细）'!C:C&gt;=$J$4,'领用录入（明细）'!C:C&lt;=$L$4),ROW(),"-")</f>
        <v>-</v>
      </c>
    </row>
    <row r="36580" customHeight="1" spans="2:2">
      <c r="B36580" s="62" t="str">
        <f>IF(AND('领用录入（明细）'!D:D=$F$4,'领用录入（明细）'!C:C&gt;=$J$4,'领用录入（明细）'!C:C&lt;=$L$4),ROW(),"-")</f>
        <v>-</v>
      </c>
    </row>
    <row r="36581" customHeight="1" spans="2:2">
      <c r="B36581" s="62" t="str">
        <f>IF(AND('领用录入（明细）'!D:D=$F$4,'领用录入（明细）'!C:C&gt;=$J$4,'领用录入（明细）'!C:C&lt;=$L$4),ROW(),"-")</f>
        <v>-</v>
      </c>
    </row>
    <row r="36582" customHeight="1" spans="2:2">
      <c r="B36582" s="62" t="str">
        <f>IF(AND('领用录入（明细）'!D:D=$F$4,'领用录入（明细）'!C:C&gt;=$J$4,'领用录入（明细）'!C:C&lt;=$L$4),ROW(),"-")</f>
        <v>-</v>
      </c>
    </row>
    <row r="36583" customHeight="1" spans="2:2">
      <c r="B36583" s="62" t="str">
        <f>IF(AND('领用录入（明细）'!D:D=$F$4,'领用录入（明细）'!C:C&gt;=$J$4,'领用录入（明细）'!C:C&lt;=$L$4),ROW(),"-")</f>
        <v>-</v>
      </c>
    </row>
    <row r="36584" customHeight="1" spans="2:2">
      <c r="B36584" s="62" t="str">
        <f>IF(AND('领用录入（明细）'!D:D=$F$4,'领用录入（明细）'!C:C&gt;=$J$4,'领用录入（明细）'!C:C&lt;=$L$4),ROW(),"-")</f>
        <v>-</v>
      </c>
    </row>
    <row r="36585" customHeight="1" spans="2:2">
      <c r="B36585" s="62" t="str">
        <f>IF(AND('领用录入（明细）'!D:D=$F$4,'领用录入（明细）'!C:C&gt;=$J$4,'领用录入（明细）'!C:C&lt;=$L$4),ROW(),"-")</f>
        <v>-</v>
      </c>
    </row>
    <row r="36586" customHeight="1" spans="2:2">
      <c r="B36586" s="62" t="str">
        <f>IF(AND('领用录入（明细）'!D:D=$F$4,'领用录入（明细）'!C:C&gt;=$J$4,'领用录入（明细）'!C:C&lt;=$L$4),ROW(),"-")</f>
        <v>-</v>
      </c>
    </row>
    <row r="36587" customHeight="1" spans="2:2">
      <c r="B36587" s="62" t="str">
        <f>IF(AND('领用录入（明细）'!D:D=$F$4,'领用录入（明细）'!C:C&gt;=$J$4,'领用录入（明细）'!C:C&lt;=$L$4),ROW(),"-")</f>
        <v>-</v>
      </c>
    </row>
    <row r="36588" customHeight="1" spans="2:2">
      <c r="B36588" s="62" t="str">
        <f>IF(AND('领用录入（明细）'!D:D=$F$4,'领用录入（明细）'!C:C&gt;=$J$4,'领用录入（明细）'!C:C&lt;=$L$4),ROW(),"-")</f>
        <v>-</v>
      </c>
    </row>
    <row r="36589" customHeight="1" spans="2:2">
      <c r="B36589" s="62" t="str">
        <f>IF(AND('领用录入（明细）'!D:D=$F$4,'领用录入（明细）'!C:C&gt;=$J$4,'领用录入（明细）'!C:C&lt;=$L$4),ROW(),"-")</f>
        <v>-</v>
      </c>
    </row>
    <row r="36590" customHeight="1" spans="2:2">
      <c r="B36590" s="62" t="str">
        <f>IF(AND('领用录入（明细）'!D:D=$F$4,'领用录入（明细）'!C:C&gt;=$J$4,'领用录入（明细）'!C:C&lt;=$L$4),ROW(),"-")</f>
        <v>-</v>
      </c>
    </row>
    <row r="36591" customHeight="1" spans="2:2">
      <c r="B36591" s="62" t="str">
        <f>IF(AND('领用录入（明细）'!D:D=$F$4,'领用录入（明细）'!C:C&gt;=$J$4,'领用录入（明细）'!C:C&lt;=$L$4),ROW(),"-")</f>
        <v>-</v>
      </c>
    </row>
    <row r="36592" customHeight="1" spans="2:2">
      <c r="B36592" s="62" t="str">
        <f>IF(AND('领用录入（明细）'!D:D=$F$4,'领用录入（明细）'!C:C&gt;=$J$4,'领用录入（明细）'!C:C&lt;=$L$4),ROW(),"-")</f>
        <v>-</v>
      </c>
    </row>
    <row r="36593" customHeight="1" spans="2:2">
      <c r="B36593" s="62" t="str">
        <f>IF(AND('领用录入（明细）'!D:D=$F$4,'领用录入（明细）'!C:C&gt;=$J$4,'领用录入（明细）'!C:C&lt;=$L$4),ROW(),"-")</f>
        <v>-</v>
      </c>
    </row>
    <row r="36594" customHeight="1" spans="2:2">
      <c r="B36594" s="62" t="str">
        <f>IF(AND('领用录入（明细）'!D:D=$F$4,'领用录入（明细）'!C:C&gt;=$J$4,'领用录入（明细）'!C:C&lt;=$L$4),ROW(),"-")</f>
        <v>-</v>
      </c>
    </row>
    <row r="36595" customHeight="1" spans="2:2">
      <c r="B36595" s="62" t="str">
        <f>IF(AND('领用录入（明细）'!D:D=$F$4,'领用录入（明细）'!C:C&gt;=$J$4,'领用录入（明细）'!C:C&lt;=$L$4),ROW(),"-")</f>
        <v>-</v>
      </c>
    </row>
    <row r="36596" customHeight="1" spans="2:2">
      <c r="B36596" s="62" t="str">
        <f>IF(AND('领用录入（明细）'!D:D=$F$4,'领用录入（明细）'!C:C&gt;=$J$4,'领用录入（明细）'!C:C&lt;=$L$4),ROW(),"-")</f>
        <v>-</v>
      </c>
    </row>
    <row r="36597" customHeight="1" spans="2:2">
      <c r="B36597" s="62" t="str">
        <f>IF(AND('领用录入（明细）'!D:D=$F$4,'领用录入（明细）'!C:C&gt;=$J$4,'领用录入（明细）'!C:C&lt;=$L$4),ROW(),"-")</f>
        <v>-</v>
      </c>
    </row>
    <row r="36598" customHeight="1" spans="2:2">
      <c r="B36598" s="62" t="str">
        <f>IF(AND('领用录入（明细）'!D:D=$F$4,'领用录入（明细）'!C:C&gt;=$J$4,'领用录入（明细）'!C:C&lt;=$L$4),ROW(),"-")</f>
        <v>-</v>
      </c>
    </row>
    <row r="36599" customHeight="1" spans="2:2">
      <c r="B36599" s="62" t="str">
        <f>IF(AND('领用录入（明细）'!D:D=$F$4,'领用录入（明细）'!C:C&gt;=$J$4,'领用录入（明细）'!C:C&lt;=$L$4),ROW(),"-")</f>
        <v>-</v>
      </c>
    </row>
    <row r="36600" customHeight="1" spans="2:2">
      <c r="B36600" s="62" t="str">
        <f>IF(AND('领用录入（明细）'!D:D=$F$4,'领用录入（明细）'!C:C&gt;=$J$4,'领用录入（明细）'!C:C&lt;=$L$4),ROW(),"-")</f>
        <v>-</v>
      </c>
    </row>
    <row r="36601" customHeight="1" spans="2:2">
      <c r="B36601" s="62" t="str">
        <f>IF(AND('领用录入（明细）'!D:D=$F$4,'领用录入（明细）'!C:C&gt;=$J$4,'领用录入（明细）'!C:C&lt;=$L$4),ROW(),"-")</f>
        <v>-</v>
      </c>
    </row>
    <row r="36602" customHeight="1" spans="2:2">
      <c r="B36602" s="62" t="str">
        <f>IF(AND('领用录入（明细）'!D:D=$F$4,'领用录入（明细）'!C:C&gt;=$J$4,'领用录入（明细）'!C:C&lt;=$L$4),ROW(),"-")</f>
        <v>-</v>
      </c>
    </row>
    <row r="36603" customHeight="1" spans="2:2">
      <c r="B36603" s="62" t="str">
        <f>IF(AND('领用录入（明细）'!D:D=$F$4,'领用录入（明细）'!C:C&gt;=$J$4,'领用录入（明细）'!C:C&lt;=$L$4),ROW(),"-")</f>
        <v>-</v>
      </c>
    </row>
    <row r="36604" customHeight="1" spans="2:2">
      <c r="B36604" s="62" t="str">
        <f>IF(AND('领用录入（明细）'!D:D=$F$4,'领用录入（明细）'!C:C&gt;=$J$4,'领用录入（明细）'!C:C&lt;=$L$4),ROW(),"-")</f>
        <v>-</v>
      </c>
    </row>
    <row r="36605" customHeight="1" spans="2:2">
      <c r="B36605" s="62" t="str">
        <f>IF(AND('领用录入（明细）'!D:D=$F$4,'领用录入（明细）'!C:C&gt;=$J$4,'领用录入（明细）'!C:C&lt;=$L$4),ROW(),"-")</f>
        <v>-</v>
      </c>
    </row>
    <row r="36606" customHeight="1" spans="2:2">
      <c r="B36606" s="62" t="str">
        <f>IF(AND('领用录入（明细）'!D:D=$F$4,'领用录入（明细）'!C:C&gt;=$J$4,'领用录入（明细）'!C:C&lt;=$L$4),ROW(),"-")</f>
        <v>-</v>
      </c>
    </row>
    <row r="36607" customHeight="1" spans="2:2">
      <c r="B36607" s="62" t="str">
        <f>IF(AND('领用录入（明细）'!D:D=$F$4,'领用录入（明细）'!C:C&gt;=$J$4,'领用录入（明细）'!C:C&lt;=$L$4),ROW(),"-")</f>
        <v>-</v>
      </c>
    </row>
    <row r="36608" customHeight="1" spans="2:2">
      <c r="B36608" s="62" t="str">
        <f>IF(AND('领用录入（明细）'!D:D=$F$4,'领用录入（明细）'!C:C&gt;=$J$4,'领用录入（明细）'!C:C&lt;=$L$4),ROW(),"-")</f>
        <v>-</v>
      </c>
    </row>
    <row r="36609" customHeight="1" spans="2:2">
      <c r="B36609" s="62" t="str">
        <f>IF(AND('领用录入（明细）'!D:D=$F$4,'领用录入（明细）'!C:C&gt;=$J$4,'领用录入（明细）'!C:C&lt;=$L$4),ROW(),"-")</f>
        <v>-</v>
      </c>
    </row>
    <row r="36610" customHeight="1" spans="2:2">
      <c r="B36610" s="62" t="str">
        <f>IF(AND('领用录入（明细）'!D:D=$F$4,'领用录入（明细）'!C:C&gt;=$J$4,'领用录入（明细）'!C:C&lt;=$L$4),ROW(),"-")</f>
        <v>-</v>
      </c>
    </row>
    <row r="36611" customHeight="1" spans="2:2">
      <c r="B36611" s="62" t="str">
        <f>IF(AND('领用录入（明细）'!D:D=$F$4,'领用录入（明细）'!C:C&gt;=$J$4,'领用录入（明细）'!C:C&lt;=$L$4),ROW(),"-")</f>
        <v>-</v>
      </c>
    </row>
    <row r="36612" customHeight="1" spans="2:2">
      <c r="B36612" s="62" t="str">
        <f>IF(AND('领用录入（明细）'!D:D=$F$4,'领用录入（明细）'!C:C&gt;=$J$4,'领用录入（明细）'!C:C&lt;=$L$4),ROW(),"-")</f>
        <v>-</v>
      </c>
    </row>
    <row r="36613" customHeight="1" spans="2:2">
      <c r="B36613" s="62" t="str">
        <f>IF(AND('领用录入（明细）'!D:D=$F$4,'领用录入（明细）'!C:C&gt;=$J$4,'领用录入（明细）'!C:C&lt;=$L$4),ROW(),"-")</f>
        <v>-</v>
      </c>
    </row>
    <row r="36614" customHeight="1" spans="2:2">
      <c r="B36614" s="62" t="str">
        <f>IF(AND('领用录入（明细）'!D:D=$F$4,'领用录入（明细）'!C:C&gt;=$J$4,'领用录入（明细）'!C:C&lt;=$L$4),ROW(),"-")</f>
        <v>-</v>
      </c>
    </row>
    <row r="36615" customHeight="1" spans="2:2">
      <c r="B36615" s="62" t="str">
        <f>IF(AND('领用录入（明细）'!D:D=$F$4,'领用录入（明细）'!C:C&gt;=$J$4,'领用录入（明细）'!C:C&lt;=$L$4),ROW(),"-")</f>
        <v>-</v>
      </c>
    </row>
    <row r="36616" customHeight="1" spans="2:2">
      <c r="B36616" s="62" t="str">
        <f>IF(AND('领用录入（明细）'!D:D=$F$4,'领用录入（明细）'!C:C&gt;=$J$4,'领用录入（明细）'!C:C&lt;=$L$4),ROW(),"-")</f>
        <v>-</v>
      </c>
    </row>
    <row r="36617" customHeight="1" spans="2:2">
      <c r="B36617" s="62" t="str">
        <f>IF(AND('领用录入（明细）'!D:D=$F$4,'领用录入（明细）'!C:C&gt;=$J$4,'领用录入（明细）'!C:C&lt;=$L$4),ROW(),"-")</f>
        <v>-</v>
      </c>
    </row>
    <row r="36618" customHeight="1" spans="2:2">
      <c r="B36618" s="62" t="str">
        <f>IF(AND('领用录入（明细）'!D:D=$F$4,'领用录入（明细）'!C:C&gt;=$J$4,'领用录入（明细）'!C:C&lt;=$L$4),ROW(),"-")</f>
        <v>-</v>
      </c>
    </row>
    <row r="36619" customHeight="1" spans="2:2">
      <c r="B36619" s="62" t="str">
        <f>IF(AND('领用录入（明细）'!D:D=$F$4,'领用录入（明细）'!C:C&gt;=$J$4,'领用录入（明细）'!C:C&lt;=$L$4),ROW(),"-")</f>
        <v>-</v>
      </c>
    </row>
    <row r="36620" customHeight="1" spans="2:2">
      <c r="B36620" s="62" t="str">
        <f>IF(AND('领用录入（明细）'!D:D=$F$4,'领用录入（明细）'!C:C&gt;=$J$4,'领用录入（明细）'!C:C&lt;=$L$4),ROW(),"-")</f>
        <v>-</v>
      </c>
    </row>
    <row r="36621" customHeight="1" spans="2:2">
      <c r="B36621" s="62" t="str">
        <f>IF(AND('领用录入（明细）'!D:D=$F$4,'领用录入（明细）'!C:C&gt;=$J$4,'领用录入（明细）'!C:C&lt;=$L$4),ROW(),"-")</f>
        <v>-</v>
      </c>
    </row>
    <row r="36622" customHeight="1" spans="2:2">
      <c r="B36622" s="62" t="str">
        <f>IF(AND('领用录入（明细）'!D:D=$F$4,'领用录入（明细）'!C:C&gt;=$J$4,'领用录入（明细）'!C:C&lt;=$L$4),ROW(),"-")</f>
        <v>-</v>
      </c>
    </row>
    <row r="36623" customHeight="1" spans="2:2">
      <c r="B36623" s="62" t="str">
        <f>IF(AND('领用录入（明细）'!D:D=$F$4,'领用录入（明细）'!C:C&gt;=$J$4,'领用录入（明细）'!C:C&lt;=$L$4),ROW(),"-")</f>
        <v>-</v>
      </c>
    </row>
    <row r="36624" customHeight="1" spans="2:2">
      <c r="B36624" s="62" t="str">
        <f>IF(AND('领用录入（明细）'!D:D=$F$4,'领用录入（明细）'!C:C&gt;=$J$4,'领用录入（明细）'!C:C&lt;=$L$4),ROW(),"-")</f>
        <v>-</v>
      </c>
    </row>
    <row r="36625" customHeight="1" spans="2:2">
      <c r="B36625" s="62" t="str">
        <f>IF(AND('领用录入（明细）'!D:D=$F$4,'领用录入（明细）'!C:C&gt;=$J$4,'领用录入（明细）'!C:C&lt;=$L$4),ROW(),"-")</f>
        <v>-</v>
      </c>
    </row>
    <row r="36626" customHeight="1" spans="2:2">
      <c r="B36626" s="62" t="str">
        <f>IF(AND('领用录入（明细）'!D:D=$F$4,'领用录入（明细）'!C:C&gt;=$J$4,'领用录入（明细）'!C:C&lt;=$L$4),ROW(),"-")</f>
        <v>-</v>
      </c>
    </row>
    <row r="36627" customHeight="1" spans="2:2">
      <c r="B36627" s="62" t="str">
        <f>IF(AND('领用录入（明细）'!D:D=$F$4,'领用录入（明细）'!C:C&gt;=$J$4,'领用录入（明细）'!C:C&lt;=$L$4),ROW(),"-")</f>
        <v>-</v>
      </c>
    </row>
    <row r="36628" customHeight="1" spans="2:2">
      <c r="B36628" s="62" t="str">
        <f>IF(AND('领用录入（明细）'!D:D=$F$4,'领用录入（明细）'!C:C&gt;=$J$4,'领用录入（明细）'!C:C&lt;=$L$4),ROW(),"-")</f>
        <v>-</v>
      </c>
    </row>
    <row r="36629" customHeight="1" spans="2:2">
      <c r="B36629" s="62" t="str">
        <f>IF(AND('领用录入（明细）'!D:D=$F$4,'领用录入（明细）'!C:C&gt;=$J$4,'领用录入（明细）'!C:C&lt;=$L$4),ROW(),"-")</f>
        <v>-</v>
      </c>
    </row>
    <row r="36630" customHeight="1" spans="2:2">
      <c r="B36630" s="62" t="str">
        <f>IF(AND('领用录入（明细）'!D:D=$F$4,'领用录入（明细）'!C:C&gt;=$J$4,'领用录入（明细）'!C:C&lt;=$L$4),ROW(),"-")</f>
        <v>-</v>
      </c>
    </row>
    <row r="36631" customHeight="1" spans="2:2">
      <c r="B36631" s="62" t="str">
        <f>IF(AND('领用录入（明细）'!D:D=$F$4,'领用录入（明细）'!C:C&gt;=$J$4,'领用录入（明细）'!C:C&lt;=$L$4),ROW(),"-")</f>
        <v>-</v>
      </c>
    </row>
    <row r="36632" customHeight="1" spans="2:2">
      <c r="B36632" s="62" t="str">
        <f>IF(AND('领用录入（明细）'!D:D=$F$4,'领用录入（明细）'!C:C&gt;=$J$4,'领用录入（明细）'!C:C&lt;=$L$4),ROW(),"-")</f>
        <v>-</v>
      </c>
    </row>
    <row r="36633" customHeight="1" spans="2:2">
      <c r="B36633" s="62" t="str">
        <f>IF(AND('领用录入（明细）'!D:D=$F$4,'领用录入（明细）'!C:C&gt;=$J$4,'领用录入（明细）'!C:C&lt;=$L$4),ROW(),"-")</f>
        <v>-</v>
      </c>
    </row>
    <row r="36634" customHeight="1" spans="2:2">
      <c r="B36634" s="62" t="str">
        <f>IF(AND('领用录入（明细）'!D:D=$F$4,'领用录入（明细）'!C:C&gt;=$J$4,'领用录入（明细）'!C:C&lt;=$L$4),ROW(),"-")</f>
        <v>-</v>
      </c>
    </row>
    <row r="36635" customHeight="1" spans="2:2">
      <c r="B36635" s="62" t="str">
        <f>IF(AND('领用录入（明细）'!D:D=$F$4,'领用录入（明细）'!C:C&gt;=$J$4,'领用录入（明细）'!C:C&lt;=$L$4),ROW(),"-")</f>
        <v>-</v>
      </c>
    </row>
    <row r="36636" customHeight="1" spans="2:2">
      <c r="B36636" s="62" t="str">
        <f>IF(AND('领用录入（明细）'!D:D=$F$4,'领用录入（明细）'!C:C&gt;=$J$4,'领用录入（明细）'!C:C&lt;=$L$4),ROW(),"-")</f>
        <v>-</v>
      </c>
    </row>
    <row r="36637" customHeight="1" spans="2:2">
      <c r="B36637" s="62" t="str">
        <f>IF(AND('领用录入（明细）'!D:D=$F$4,'领用录入（明细）'!C:C&gt;=$J$4,'领用录入（明细）'!C:C&lt;=$L$4),ROW(),"-")</f>
        <v>-</v>
      </c>
    </row>
    <row r="36638" customHeight="1" spans="2:2">
      <c r="B36638" s="62" t="str">
        <f>IF(AND('领用录入（明细）'!D:D=$F$4,'领用录入（明细）'!C:C&gt;=$J$4,'领用录入（明细）'!C:C&lt;=$L$4),ROW(),"-")</f>
        <v>-</v>
      </c>
    </row>
    <row r="36639" customHeight="1" spans="2:2">
      <c r="B36639" s="62" t="str">
        <f>IF(AND('领用录入（明细）'!D:D=$F$4,'领用录入（明细）'!C:C&gt;=$J$4,'领用录入（明细）'!C:C&lt;=$L$4),ROW(),"-")</f>
        <v>-</v>
      </c>
    </row>
    <row r="36640" customHeight="1" spans="2:2">
      <c r="B36640" s="62" t="str">
        <f>IF(AND('领用录入（明细）'!D:D=$F$4,'领用录入（明细）'!C:C&gt;=$J$4,'领用录入（明细）'!C:C&lt;=$L$4),ROW(),"-")</f>
        <v>-</v>
      </c>
    </row>
    <row r="36641" customHeight="1" spans="2:2">
      <c r="B36641" s="62" t="str">
        <f>IF(AND('领用录入（明细）'!D:D=$F$4,'领用录入（明细）'!C:C&gt;=$J$4,'领用录入（明细）'!C:C&lt;=$L$4),ROW(),"-")</f>
        <v>-</v>
      </c>
    </row>
    <row r="36642" customHeight="1" spans="2:2">
      <c r="B36642" s="62" t="str">
        <f>IF(AND('领用录入（明细）'!D:D=$F$4,'领用录入（明细）'!C:C&gt;=$J$4,'领用录入（明细）'!C:C&lt;=$L$4),ROW(),"-")</f>
        <v>-</v>
      </c>
    </row>
    <row r="36643" customHeight="1" spans="2:2">
      <c r="B36643" s="62" t="str">
        <f>IF(AND('领用录入（明细）'!D:D=$F$4,'领用录入（明细）'!C:C&gt;=$J$4,'领用录入（明细）'!C:C&lt;=$L$4),ROW(),"-")</f>
        <v>-</v>
      </c>
    </row>
    <row r="36644" customHeight="1" spans="2:2">
      <c r="B36644" s="62" t="str">
        <f>IF(AND('领用录入（明细）'!D:D=$F$4,'领用录入（明细）'!C:C&gt;=$J$4,'领用录入（明细）'!C:C&lt;=$L$4),ROW(),"-")</f>
        <v>-</v>
      </c>
    </row>
    <row r="36645" customHeight="1" spans="2:2">
      <c r="B36645" s="62" t="str">
        <f>IF(AND('领用录入（明细）'!D:D=$F$4,'领用录入（明细）'!C:C&gt;=$J$4,'领用录入（明细）'!C:C&lt;=$L$4),ROW(),"-")</f>
        <v>-</v>
      </c>
    </row>
    <row r="36646" customHeight="1" spans="2:2">
      <c r="B36646" s="62" t="str">
        <f>IF(AND('领用录入（明细）'!D:D=$F$4,'领用录入（明细）'!C:C&gt;=$J$4,'领用录入（明细）'!C:C&lt;=$L$4),ROW(),"-")</f>
        <v>-</v>
      </c>
    </row>
    <row r="36647" customHeight="1" spans="2:2">
      <c r="B36647" s="62" t="str">
        <f>IF(AND('领用录入（明细）'!D:D=$F$4,'领用录入（明细）'!C:C&gt;=$J$4,'领用录入（明细）'!C:C&lt;=$L$4),ROW(),"-")</f>
        <v>-</v>
      </c>
    </row>
    <row r="36648" customHeight="1" spans="2:2">
      <c r="B36648" s="62" t="str">
        <f>IF(AND('领用录入（明细）'!D:D=$F$4,'领用录入（明细）'!C:C&gt;=$J$4,'领用录入（明细）'!C:C&lt;=$L$4),ROW(),"-")</f>
        <v>-</v>
      </c>
    </row>
    <row r="36649" customHeight="1" spans="2:2">
      <c r="B36649" s="62" t="str">
        <f>IF(AND('领用录入（明细）'!D:D=$F$4,'领用录入（明细）'!C:C&gt;=$J$4,'领用录入（明细）'!C:C&lt;=$L$4),ROW(),"-")</f>
        <v>-</v>
      </c>
    </row>
    <row r="36650" customHeight="1" spans="2:2">
      <c r="B36650" s="62" t="str">
        <f>IF(AND('领用录入（明细）'!D:D=$F$4,'领用录入（明细）'!C:C&gt;=$J$4,'领用录入（明细）'!C:C&lt;=$L$4),ROW(),"-")</f>
        <v>-</v>
      </c>
    </row>
    <row r="36651" customHeight="1" spans="2:2">
      <c r="B36651" s="62" t="str">
        <f>IF(AND('领用录入（明细）'!D:D=$F$4,'领用录入（明细）'!C:C&gt;=$J$4,'领用录入（明细）'!C:C&lt;=$L$4),ROW(),"-")</f>
        <v>-</v>
      </c>
    </row>
    <row r="36652" customHeight="1" spans="2:2">
      <c r="B36652" s="62" t="str">
        <f>IF(AND('领用录入（明细）'!D:D=$F$4,'领用录入（明细）'!C:C&gt;=$J$4,'领用录入（明细）'!C:C&lt;=$L$4),ROW(),"-")</f>
        <v>-</v>
      </c>
    </row>
    <row r="36653" customHeight="1" spans="2:2">
      <c r="B36653" s="62" t="str">
        <f>IF(AND('领用录入（明细）'!D:D=$F$4,'领用录入（明细）'!C:C&gt;=$J$4,'领用录入（明细）'!C:C&lt;=$L$4),ROW(),"-")</f>
        <v>-</v>
      </c>
    </row>
    <row r="36654" customHeight="1" spans="2:2">
      <c r="B36654" s="62" t="str">
        <f>IF(AND('领用录入（明细）'!D:D=$F$4,'领用录入（明细）'!C:C&gt;=$J$4,'领用录入（明细）'!C:C&lt;=$L$4),ROW(),"-")</f>
        <v>-</v>
      </c>
    </row>
    <row r="36655" customHeight="1" spans="2:2">
      <c r="B36655" s="62" t="str">
        <f>IF(AND('领用录入（明细）'!D:D=$F$4,'领用录入（明细）'!C:C&gt;=$J$4,'领用录入（明细）'!C:C&lt;=$L$4),ROW(),"-")</f>
        <v>-</v>
      </c>
    </row>
    <row r="36656" customHeight="1" spans="2:2">
      <c r="B36656" s="62" t="str">
        <f>IF(AND('领用录入（明细）'!D:D=$F$4,'领用录入（明细）'!C:C&gt;=$J$4,'领用录入（明细）'!C:C&lt;=$L$4),ROW(),"-")</f>
        <v>-</v>
      </c>
    </row>
    <row r="36657" customHeight="1" spans="2:2">
      <c r="B36657" s="62" t="str">
        <f>IF(AND('领用录入（明细）'!D:D=$F$4,'领用录入（明细）'!C:C&gt;=$J$4,'领用录入（明细）'!C:C&lt;=$L$4),ROW(),"-")</f>
        <v>-</v>
      </c>
    </row>
    <row r="36658" customHeight="1" spans="2:2">
      <c r="B36658" s="62" t="str">
        <f>IF(AND('领用录入（明细）'!D:D=$F$4,'领用录入（明细）'!C:C&gt;=$J$4,'领用录入（明细）'!C:C&lt;=$L$4),ROW(),"-")</f>
        <v>-</v>
      </c>
    </row>
    <row r="36659" customHeight="1" spans="2:2">
      <c r="B36659" s="62" t="str">
        <f>IF(AND('领用录入（明细）'!D:D=$F$4,'领用录入（明细）'!C:C&gt;=$J$4,'领用录入（明细）'!C:C&lt;=$L$4),ROW(),"-")</f>
        <v>-</v>
      </c>
    </row>
    <row r="36660" customHeight="1" spans="2:2">
      <c r="B36660" s="62" t="str">
        <f>IF(AND('领用录入（明细）'!D:D=$F$4,'领用录入（明细）'!C:C&gt;=$J$4,'领用录入（明细）'!C:C&lt;=$L$4),ROW(),"-")</f>
        <v>-</v>
      </c>
    </row>
    <row r="36661" customHeight="1" spans="2:2">
      <c r="B36661" s="62" t="str">
        <f>IF(AND('领用录入（明细）'!D:D=$F$4,'领用录入（明细）'!C:C&gt;=$J$4,'领用录入（明细）'!C:C&lt;=$L$4),ROW(),"-")</f>
        <v>-</v>
      </c>
    </row>
    <row r="36662" customHeight="1" spans="2:2">
      <c r="B36662" s="62" t="str">
        <f>IF(AND('领用录入（明细）'!D:D=$F$4,'领用录入（明细）'!C:C&gt;=$J$4,'领用录入（明细）'!C:C&lt;=$L$4),ROW(),"-")</f>
        <v>-</v>
      </c>
    </row>
    <row r="36663" customHeight="1" spans="2:2">
      <c r="B36663" s="62" t="str">
        <f>IF(AND('领用录入（明细）'!D:D=$F$4,'领用录入（明细）'!C:C&gt;=$J$4,'领用录入（明细）'!C:C&lt;=$L$4),ROW(),"-")</f>
        <v>-</v>
      </c>
    </row>
    <row r="36664" customHeight="1" spans="2:2">
      <c r="B36664" s="62" t="str">
        <f>IF(AND('领用录入（明细）'!D:D=$F$4,'领用录入（明细）'!C:C&gt;=$J$4,'领用录入（明细）'!C:C&lt;=$L$4),ROW(),"-")</f>
        <v>-</v>
      </c>
    </row>
    <row r="36665" customHeight="1" spans="2:2">
      <c r="B36665" s="62" t="str">
        <f>IF(AND('领用录入（明细）'!D:D=$F$4,'领用录入（明细）'!C:C&gt;=$J$4,'领用录入（明细）'!C:C&lt;=$L$4),ROW(),"-")</f>
        <v>-</v>
      </c>
    </row>
    <row r="36666" customHeight="1" spans="2:2">
      <c r="B36666" s="62" t="str">
        <f>IF(AND('领用录入（明细）'!D:D=$F$4,'领用录入（明细）'!C:C&gt;=$J$4,'领用录入（明细）'!C:C&lt;=$L$4),ROW(),"-")</f>
        <v>-</v>
      </c>
    </row>
    <row r="36667" customHeight="1" spans="2:2">
      <c r="B36667" s="62" t="str">
        <f>IF(AND('领用录入（明细）'!D:D=$F$4,'领用录入（明细）'!C:C&gt;=$J$4,'领用录入（明细）'!C:C&lt;=$L$4),ROW(),"-")</f>
        <v>-</v>
      </c>
    </row>
    <row r="36668" customHeight="1" spans="2:2">
      <c r="B36668" s="62" t="str">
        <f>IF(AND('领用录入（明细）'!D:D=$F$4,'领用录入（明细）'!C:C&gt;=$J$4,'领用录入（明细）'!C:C&lt;=$L$4),ROW(),"-")</f>
        <v>-</v>
      </c>
    </row>
    <row r="36669" customHeight="1" spans="2:2">
      <c r="B36669" s="62" t="str">
        <f>IF(AND('领用录入（明细）'!D:D=$F$4,'领用录入（明细）'!C:C&gt;=$J$4,'领用录入（明细）'!C:C&lt;=$L$4),ROW(),"-")</f>
        <v>-</v>
      </c>
    </row>
    <row r="36670" customHeight="1" spans="2:2">
      <c r="B36670" s="62" t="str">
        <f>IF(AND('领用录入（明细）'!D:D=$F$4,'领用录入（明细）'!C:C&gt;=$J$4,'领用录入（明细）'!C:C&lt;=$L$4),ROW(),"-")</f>
        <v>-</v>
      </c>
    </row>
    <row r="36671" customHeight="1" spans="2:2">
      <c r="B36671" s="62" t="str">
        <f>IF(AND('领用录入（明细）'!D:D=$F$4,'领用录入（明细）'!C:C&gt;=$J$4,'领用录入（明细）'!C:C&lt;=$L$4),ROW(),"-")</f>
        <v>-</v>
      </c>
    </row>
    <row r="36672" customHeight="1" spans="2:2">
      <c r="B36672" s="62" t="str">
        <f>IF(AND('领用录入（明细）'!D:D=$F$4,'领用录入（明细）'!C:C&gt;=$J$4,'领用录入（明细）'!C:C&lt;=$L$4),ROW(),"-")</f>
        <v>-</v>
      </c>
    </row>
    <row r="36673" customHeight="1" spans="2:2">
      <c r="B36673" s="62" t="str">
        <f>IF(AND('领用录入（明细）'!D:D=$F$4,'领用录入（明细）'!C:C&gt;=$J$4,'领用录入（明细）'!C:C&lt;=$L$4),ROW(),"-")</f>
        <v>-</v>
      </c>
    </row>
    <row r="36674" customHeight="1" spans="2:2">
      <c r="B36674" s="62" t="str">
        <f>IF(AND('领用录入（明细）'!D:D=$F$4,'领用录入（明细）'!C:C&gt;=$J$4,'领用录入（明细）'!C:C&lt;=$L$4),ROW(),"-")</f>
        <v>-</v>
      </c>
    </row>
    <row r="36675" customHeight="1" spans="2:2">
      <c r="B36675" s="62" t="str">
        <f>IF(AND('领用录入（明细）'!D:D=$F$4,'领用录入（明细）'!C:C&gt;=$J$4,'领用录入（明细）'!C:C&lt;=$L$4),ROW(),"-")</f>
        <v>-</v>
      </c>
    </row>
    <row r="36676" customHeight="1" spans="2:2">
      <c r="B36676" s="62" t="str">
        <f>IF(AND('领用录入（明细）'!D:D=$F$4,'领用录入（明细）'!C:C&gt;=$J$4,'领用录入（明细）'!C:C&lt;=$L$4),ROW(),"-")</f>
        <v>-</v>
      </c>
    </row>
    <row r="36677" customHeight="1" spans="2:2">
      <c r="B36677" s="62" t="str">
        <f>IF(AND('领用录入（明细）'!D:D=$F$4,'领用录入（明细）'!C:C&gt;=$J$4,'领用录入（明细）'!C:C&lt;=$L$4),ROW(),"-")</f>
        <v>-</v>
      </c>
    </row>
    <row r="36678" customHeight="1" spans="2:2">
      <c r="B36678" s="62" t="str">
        <f>IF(AND('领用录入（明细）'!D:D=$F$4,'领用录入（明细）'!C:C&gt;=$J$4,'领用录入（明细）'!C:C&lt;=$L$4),ROW(),"-")</f>
        <v>-</v>
      </c>
    </row>
    <row r="36679" customHeight="1" spans="2:2">
      <c r="B36679" s="62" t="str">
        <f>IF(AND('领用录入（明细）'!D:D=$F$4,'领用录入（明细）'!C:C&gt;=$J$4,'领用录入（明细）'!C:C&lt;=$L$4),ROW(),"-")</f>
        <v>-</v>
      </c>
    </row>
    <row r="36680" customHeight="1" spans="2:2">
      <c r="B36680" s="62" t="str">
        <f>IF(AND('领用录入（明细）'!D:D=$F$4,'领用录入（明细）'!C:C&gt;=$J$4,'领用录入（明细）'!C:C&lt;=$L$4),ROW(),"-")</f>
        <v>-</v>
      </c>
    </row>
    <row r="36681" customHeight="1" spans="2:2">
      <c r="B36681" s="62" t="str">
        <f>IF(AND('领用录入（明细）'!D:D=$F$4,'领用录入（明细）'!C:C&gt;=$J$4,'领用录入（明细）'!C:C&lt;=$L$4),ROW(),"-")</f>
        <v>-</v>
      </c>
    </row>
    <row r="36682" customHeight="1" spans="2:2">
      <c r="B36682" s="62" t="str">
        <f>IF(AND('领用录入（明细）'!D:D=$F$4,'领用录入（明细）'!C:C&gt;=$J$4,'领用录入（明细）'!C:C&lt;=$L$4),ROW(),"-")</f>
        <v>-</v>
      </c>
    </row>
    <row r="36683" customHeight="1" spans="2:2">
      <c r="B36683" s="62" t="str">
        <f>IF(AND('领用录入（明细）'!D:D=$F$4,'领用录入（明细）'!C:C&gt;=$J$4,'领用录入（明细）'!C:C&lt;=$L$4),ROW(),"-")</f>
        <v>-</v>
      </c>
    </row>
    <row r="36684" customHeight="1" spans="2:2">
      <c r="B36684" s="62" t="str">
        <f>IF(AND('领用录入（明细）'!D:D=$F$4,'领用录入（明细）'!C:C&gt;=$J$4,'领用录入（明细）'!C:C&lt;=$L$4),ROW(),"-")</f>
        <v>-</v>
      </c>
    </row>
    <row r="36685" customHeight="1" spans="2:2">
      <c r="B36685" s="62" t="str">
        <f>IF(AND('领用录入（明细）'!D:D=$F$4,'领用录入（明细）'!C:C&gt;=$J$4,'领用录入（明细）'!C:C&lt;=$L$4),ROW(),"-")</f>
        <v>-</v>
      </c>
    </row>
    <row r="36686" customHeight="1" spans="2:2">
      <c r="B36686" s="62" t="str">
        <f>IF(AND('领用录入（明细）'!D:D=$F$4,'领用录入（明细）'!C:C&gt;=$J$4,'领用录入（明细）'!C:C&lt;=$L$4),ROW(),"-")</f>
        <v>-</v>
      </c>
    </row>
    <row r="36687" customHeight="1" spans="2:2">
      <c r="B36687" s="62" t="str">
        <f>IF(AND('领用录入（明细）'!D:D=$F$4,'领用录入（明细）'!C:C&gt;=$J$4,'领用录入（明细）'!C:C&lt;=$L$4),ROW(),"-")</f>
        <v>-</v>
      </c>
    </row>
    <row r="36688" customHeight="1" spans="2:2">
      <c r="B36688" s="62" t="str">
        <f>IF(AND('领用录入（明细）'!D:D=$F$4,'领用录入（明细）'!C:C&gt;=$J$4,'领用录入（明细）'!C:C&lt;=$L$4),ROW(),"-")</f>
        <v>-</v>
      </c>
    </row>
    <row r="36689" customHeight="1" spans="2:2">
      <c r="B36689" s="62" t="str">
        <f>IF(AND('领用录入（明细）'!D:D=$F$4,'领用录入（明细）'!C:C&gt;=$J$4,'领用录入（明细）'!C:C&lt;=$L$4),ROW(),"-")</f>
        <v>-</v>
      </c>
    </row>
    <row r="36690" customHeight="1" spans="2:2">
      <c r="B36690" s="62" t="str">
        <f>IF(AND('领用录入（明细）'!D:D=$F$4,'领用录入（明细）'!C:C&gt;=$J$4,'领用录入（明细）'!C:C&lt;=$L$4),ROW(),"-")</f>
        <v>-</v>
      </c>
    </row>
    <row r="36691" customHeight="1" spans="2:2">
      <c r="B36691" s="62" t="str">
        <f>IF(AND('领用录入（明细）'!D:D=$F$4,'领用录入（明细）'!C:C&gt;=$J$4,'领用录入（明细）'!C:C&lt;=$L$4),ROW(),"-")</f>
        <v>-</v>
      </c>
    </row>
    <row r="36692" customHeight="1" spans="2:2">
      <c r="B36692" s="62" t="str">
        <f>IF(AND('领用录入（明细）'!D:D=$F$4,'领用录入（明细）'!C:C&gt;=$J$4,'领用录入（明细）'!C:C&lt;=$L$4),ROW(),"-")</f>
        <v>-</v>
      </c>
    </row>
    <row r="36693" customHeight="1" spans="2:2">
      <c r="B36693" s="62" t="str">
        <f>IF(AND('领用录入（明细）'!D:D=$F$4,'领用录入（明细）'!C:C&gt;=$J$4,'领用录入（明细）'!C:C&lt;=$L$4),ROW(),"-")</f>
        <v>-</v>
      </c>
    </row>
    <row r="36694" customHeight="1" spans="2:2">
      <c r="B36694" s="62" t="str">
        <f>IF(AND('领用录入（明细）'!D:D=$F$4,'领用录入（明细）'!C:C&gt;=$J$4,'领用录入（明细）'!C:C&lt;=$L$4),ROW(),"-")</f>
        <v>-</v>
      </c>
    </row>
    <row r="36695" customHeight="1" spans="2:2">
      <c r="B36695" s="62" t="str">
        <f>IF(AND('领用录入（明细）'!D:D=$F$4,'领用录入（明细）'!C:C&gt;=$J$4,'领用录入（明细）'!C:C&lt;=$L$4),ROW(),"-")</f>
        <v>-</v>
      </c>
    </row>
    <row r="36696" customHeight="1" spans="2:2">
      <c r="B36696" s="62" t="str">
        <f>IF(AND('领用录入（明细）'!D:D=$F$4,'领用录入（明细）'!C:C&gt;=$J$4,'领用录入（明细）'!C:C&lt;=$L$4),ROW(),"-")</f>
        <v>-</v>
      </c>
    </row>
    <row r="36697" customHeight="1" spans="2:2">
      <c r="B36697" s="62" t="str">
        <f>IF(AND('领用录入（明细）'!D:D=$F$4,'领用录入（明细）'!C:C&gt;=$J$4,'领用录入（明细）'!C:C&lt;=$L$4),ROW(),"-")</f>
        <v>-</v>
      </c>
    </row>
    <row r="36698" customHeight="1" spans="2:2">
      <c r="B36698" s="62" t="str">
        <f>IF(AND('领用录入（明细）'!D:D=$F$4,'领用录入（明细）'!C:C&gt;=$J$4,'领用录入（明细）'!C:C&lt;=$L$4),ROW(),"-")</f>
        <v>-</v>
      </c>
    </row>
    <row r="36699" customHeight="1" spans="2:2">
      <c r="B36699" s="62" t="str">
        <f>IF(AND('领用录入（明细）'!D:D=$F$4,'领用录入（明细）'!C:C&gt;=$J$4,'领用录入（明细）'!C:C&lt;=$L$4),ROW(),"-")</f>
        <v>-</v>
      </c>
    </row>
    <row r="36700" customHeight="1" spans="2:2">
      <c r="B36700" s="62" t="str">
        <f>IF(AND('领用录入（明细）'!D:D=$F$4,'领用录入（明细）'!C:C&gt;=$J$4,'领用录入（明细）'!C:C&lt;=$L$4),ROW(),"-")</f>
        <v>-</v>
      </c>
    </row>
    <row r="36701" customHeight="1" spans="2:2">
      <c r="B36701" s="62" t="str">
        <f>IF(AND('领用录入（明细）'!D:D=$F$4,'领用录入（明细）'!C:C&gt;=$J$4,'领用录入（明细）'!C:C&lt;=$L$4),ROW(),"-")</f>
        <v>-</v>
      </c>
    </row>
    <row r="36702" customHeight="1" spans="2:2">
      <c r="B36702" s="62" t="str">
        <f>IF(AND('领用录入（明细）'!D:D=$F$4,'领用录入（明细）'!C:C&gt;=$J$4,'领用录入（明细）'!C:C&lt;=$L$4),ROW(),"-")</f>
        <v>-</v>
      </c>
    </row>
    <row r="36703" customHeight="1" spans="2:2">
      <c r="B36703" s="62" t="str">
        <f>IF(AND('领用录入（明细）'!D:D=$F$4,'领用录入（明细）'!C:C&gt;=$J$4,'领用录入（明细）'!C:C&lt;=$L$4),ROW(),"-")</f>
        <v>-</v>
      </c>
    </row>
    <row r="36704" customHeight="1" spans="2:2">
      <c r="B36704" s="62" t="str">
        <f>IF(AND('领用录入（明细）'!D:D=$F$4,'领用录入（明细）'!C:C&gt;=$J$4,'领用录入（明细）'!C:C&lt;=$L$4),ROW(),"-")</f>
        <v>-</v>
      </c>
    </row>
    <row r="36705" customHeight="1" spans="2:2">
      <c r="B36705" s="62" t="str">
        <f>IF(AND('领用录入（明细）'!D:D=$F$4,'领用录入（明细）'!C:C&gt;=$J$4,'领用录入（明细）'!C:C&lt;=$L$4),ROW(),"-")</f>
        <v>-</v>
      </c>
    </row>
    <row r="36706" customHeight="1" spans="2:2">
      <c r="B36706" s="62" t="str">
        <f>IF(AND('领用录入（明细）'!D:D=$F$4,'领用录入（明细）'!C:C&gt;=$J$4,'领用录入（明细）'!C:C&lt;=$L$4),ROW(),"-")</f>
        <v>-</v>
      </c>
    </row>
    <row r="36707" customHeight="1" spans="2:2">
      <c r="B36707" s="62" t="str">
        <f>IF(AND('领用录入（明细）'!D:D=$F$4,'领用录入（明细）'!C:C&gt;=$J$4,'领用录入（明细）'!C:C&lt;=$L$4),ROW(),"-")</f>
        <v>-</v>
      </c>
    </row>
    <row r="36708" customHeight="1" spans="2:2">
      <c r="B36708" s="62" t="str">
        <f>IF(AND('领用录入（明细）'!D:D=$F$4,'领用录入（明细）'!C:C&gt;=$J$4,'领用录入（明细）'!C:C&lt;=$L$4),ROW(),"-")</f>
        <v>-</v>
      </c>
    </row>
    <row r="36709" customHeight="1" spans="2:2">
      <c r="B36709" s="62" t="str">
        <f>IF(AND('领用录入（明细）'!D:D=$F$4,'领用录入（明细）'!C:C&gt;=$J$4,'领用录入（明细）'!C:C&lt;=$L$4),ROW(),"-")</f>
        <v>-</v>
      </c>
    </row>
    <row r="36710" customHeight="1" spans="2:2">
      <c r="B36710" s="62" t="str">
        <f>IF(AND('领用录入（明细）'!D:D=$F$4,'领用录入（明细）'!C:C&gt;=$J$4,'领用录入（明细）'!C:C&lt;=$L$4),ROW(),"-")</f>
        <v>-</v>
      </c>
    </row>
    <row r="36711" customHeight="1" spans="2:2">
      <c r="B36711" s="62" t="str">
        <f>IF(AND('领用录入（明细）'!D:D=$F$4,'领用录入（明细）'!C:C&gt;=$J$4,'领用录入（明细）'!C:C&lt;=$L$4),ROW(),"-")</f>
        <v>-</v>
      </c>
    </row>
    <row r="36712" customHeight="1" spans="2:2">
      <c r="B36712" s="62" t="str">
        <f>IF(AND('领用录入（明细）'!D:D=$F$4,'领用录入（明细）'!C:C&gt;=$J$4,'领用录入（明细）'!C:C&lt;=$L$4),ROW(),"-")</f>
        <v>-</v>
      </c>
    </row>
    <row r="36713" customHeight="1" spans="2:2">
      <c r="B36713" s="62" t="str">
        <f>IF(AND('领用录入（明细）'!D:D=$F$4,'领用录入（明细）'!C:C&gt;=$J$4,'领用录入（明细）'!C:C&lt;=$L$4),ROW(),"-")</f>
        <v>-</v>
      </c>
    </row>
    <row r="36714" customHeight="1" spans="2:2">
      <c r="B36714" s="62" t="str">
        <f>IF(AND('领用录入（明细）'!D:D=$F$4,'领用录入（明细）'!C:C&gt;=$J$4,'领用录入（明细）'!C:C&lt;=$L$4),ROW(),"-")</f>
        <v>-</v>
      </c>
    </row>
    <row r="36715" customHeight="1" spans="2:2">
      <c r="B36715" s="62" t="str">
        <f>IF(AND('领用录入（明细）'!D:D=$F$4,'领用录入（明细）'!C:C&gt;=$J$4,'领用录入（明细）'!C:C&lt;=$L$4),ROW(),"-")</f>
        <v>-</v>
      </c>
    </row>
    <row r="36716" customHeight="1" spans="2:2">
      <c r="B36716" s="62" t="str">
        <f>IF(AND('领用录入（明细）'!D:D=$F$4,'领用录入（明细）'!C:C&gt;=$J$4,'领用录入（明细）'!C:C&lt;=$L$4),ROW(),"-")</f>
        <v>-</v>
      </c>
    </row>
    <row r="36717" customHeight="1" spans="2:2">
      <c r="B36717" s="62" t="str">
        <f>IF(AND('领用录入（明细）'!D:D=$F$4,'领用录入（明细）'!C:C&gt;=$J$4,'领用录入（明细）'!C:C&lt;=$L$4),ROW(),"-")</f>
        <v>-</v>
      </c>
    </row>
    <row r="36718" customHeight="1" spans="2:2">
      <c r="B36718" s="62" t="str">
        <f>IF(AND('领用录入（明细）'!D:D=$F$4,'领用录入（明细）'!C:C&gt;=$J$4,'领用录入（明细）'!C:C&lt;=$L$4),ROW(),"-")</f>
        <v>-</v>
      </c>
    </row>
    <row r="36719" customHeight="1" spans="2:2">
      <c r="B36719" s="62" t="str">
        <f>IF(AND('领用录入（明细）'!D:D=$F$4,'领用录入（明细）'!C:C&gt;=$J$4,'领用录入（明细）'!C:C&lt;=$L$4),ROW(),"-")</f>
        <v>-</v>
      </c>
    </row>
    <row r="36720" customHeight="1" spans="2:2">
      <c r="B36720" s="62" t="str">
        <f>IF(AND('领用录入（明细）'!D:D=$F$4,'领用录入（明细）'!C:C&gt;=$J$4,'领用录入（明细）'!C:C&lt;=$L$4),ROW(),"-")</f>
        <v>-</v>
      </c>
    </row>
    <row r="36721" customHeight="1" spans="2:2">
      <c r="B36721" s="62" t="str">
        <f>IF(AND('领用录入（明细）'!D:D=$F$4,'领用录入（明细）'!C:C&gt;=$J$4,'领用录入（明细）'!C:C&lt;=$L$4),ROW(),"-")</f>
        <v>-</v>
      </c>
    </row>
    <row r="36722" customHeight="1" spans="2:2">
      <c r="B36722" s="62" t="str">
        <f>IF(AND('领用录入（明细）'!D:D=$F$4,'领用录入（明细）'!C:C&gt;=$J$4,'领用录入（明细）'!C:C&lt;=$L$4),ROW(),"-")</f>
        <v>-</v>
      </c>
    </row>
    <row r="36723" customHeight="1" spans="2:2">
      <c r="B36723" s="62" t="str">
        <f>IF(AND('领用录入（明细）'!D:D=$F$4,'领用录入（明细）'!C:C&gt;=$J$4,'领用录入（明细）'!C:C&lt;=$L$4),ROW(),"-")</f>
        <v>-</v>
      </c>
    </row>
    <row r="36724" customHeight="1" spans="2:2">
      <c r="B36724" s="62" t="str">
        <f>IF(AND('领用录入（明细）'!D:D=$F$4,'领用录入（明细）'!C:C&gt;=$J$4,'领用录入（明细）'!C:C&lt;=$L$4),ROW(),"-")</f>
        <v>-</v>
      </c>
    </row>
    <row r="36725" customHeight="1" spans="2:2">
      <c r="B36725" s="62" t="str">
        <f>IF(AND('领用录入（明细）'!D:D=$F$4,'领用录入（明细）'!C:C&gt;=$J$4,'领用录入（明细）'!C:C&lt;=$L$4),ROW(),"-")</f>
        <v>-</v>
      </c>
    </row>
    <row r="36726" customHeight="1" spans="2:2">
      <c r="B36726" s="62" t="str">
        <f>IF(AND('领用录入（明细）'!D:D=$F$4,'领用录入（明细）'!C:C&gt;=$J$4,'领用录入（明细）'!C:C&lt;=$L$4),ROW(),"-")</f>
        <v>-</v>
      </c>
    </row>
    <row r="36727" customHeight="1" spans="2:2">
      <c r="B36727" s="62" t="str">
        <f>IF(AND('领用录入（明细）'!D:D=$F$4,'领用录入（明细）'!C:C&gt;=$J$4,'领用录入（明细）'!C:C&lt;=$L$4),ROW(),"-")</f>
        <v>-</v>
      </c>
    </row>
    <row r="36728" customHeight="1" spans="2:2">
      <c r="B36728" s="62" t="str">
        <f>IF(AND('领用录入（明细）'!D:D=$F$4,'领用录入（明细）'!C:C&gt;=$J$4,'领用录入（明细）'!C:C&lt;=$L$4),ROW(),"-")</f>
        <v>-</v>
      </c>
    </row>
    <row r="36729" customHeight="1" spans="2:2">
      <c r="B36729" s="62" t="str">
        <f>IF(AND('领用录入（明细）'!D:D=$F$4,'领用录入（明细）'!C:C&gt;=$J$4,'领用录入（明细）'!C:C&lt;=$L$4),ROW(),"-")</f>
        <v>-</v>
      </c>
    </row>
    <row r="36730" customHeight="1" spans="2:2">
      <c r="B36730" s="62" t="str">
        <f>IF(AND('领用录入（明细）'!D:D=$F$4,'领用录入（明细）'!C:C&gt;=$J$4,'领用录入（明细）'!C:C&lt;=$L$4),ROW(),"-")</f>
        <v>-</v>
      </c>
    </row>
    <row r="36731" customHeight="1" spans="2:2">
      <c r="B36731" s="62" t="str">
        <f>IF(AND('领用录入（明细）'!D:D=$F$4,'领用录入（明细）'!C:C&gt;=$J$4,'领用录入（明细）'!C:C&lt;=$L$4),ROW(),"-")</f>
        <v>-</v>
      </c>
    </row>
    <row r="36732" customHeight="1" spans="2:2">
      <c r="B36732" s="62" t="str">
        <f>IF(AND('领用录入（明细）'!D:D=$F$4,'领用录入（明细）'!C:C&gt;=$J$4,'领用录入（明细）'!C:C&lt;=$L$4),ROW(),"-")</f>
        <v>-</v>
      </c>
    </row>
    <row r="36733" customHeight="1" spans="2:2">
      <c r="B36733" s="62" t="str">
        <f>IF(AND('领用录入（明细）'!D:D=$F$4,'领用录入（明细）'!C:C&gt;=$J$4,'领用录入（明细）'!C:C&lt;=$L$4),ROW(),"-")</f>
        <v>-</v>
      </c>
    </row>
    <row r="36734" customHeight="1" spans="2:2">
      <c r="B36734" s="62" t="str">
        <f>IF(AND('领用录入（明细）'!D:D=$F$4,'领用录入（明细）'!C:C&gt;=$J$4,'领用录入（明细）'!C:C&lt;=$L$4),ROW(),"-")</f>
        <v>-</v>
      </c>
    </row>
    <row r="36735" customHeight="1" spans="2:2">
      <c r="B36735" s="62" t="str">
        <f>IF(AND('领用录入（明细）'!D:D=$F$4,'领用录入（明细）'!C:C&gt;=$J$4,'领用录入（明细）'!C:C&lt;=$L$4),ROW(),"-")</f>
        <v>-</v>
      </c>
    </row>
    <row r="36736" customHeight="1" spans="2:2">
      <c r="B36736" s="62" t="str">
        <f>IF(AND('领用录入（明细）'!D:D=$F$4,'领用录入（明细）'!C:C&gt;=$J$4,'领用录入（明细）'!C:C&lt;=$L$4),ROW(),"-")</f>
        <v>-</v>
      </c>
    </row>
    <row r="36737" customHeight="1" spans="2:2">
      <c r="B36737" s="62" t="str">
        <f>IF(AND('领用录入（明细）'!D:D=$F$4,'领用录入（明细）'!C:C&gt;=$J$4,'领用录入（明细）'!C:C&lt;=$L$4),ROW(),"-")</f>
        <v>-</v>
      </c>
    </row>
    <row r="36738" customHeight="1" spans="2:2">
      <c r="B36738" s="62" t="str">
        <f>IF(AND('领用录入（明细）'!D:D=$F$4,'领用录入（明细）'!C:C&gt;=$J$4,'领用录入（明细）'!C:C&lt;=$L$4),ROW(),"-")</f>
        <v>-</v>
      </c>
    </row>
    <row r="36739" customHeight="1" spans="2:2">
      <c r="B36739" s="62" t="str">
        <f>IF(AND('领用录入（明细）'!D:D=$F$4,'领用录入（明细）'!C:C&gt;=$J$4,'领用录入（明细）'!C:C&lt;=$L$4),ROW(),"-")</f>
        <v>-</v>
      </c>
    </row>
    <row r="36740" customHeight="1" spans="2:2">
      <c r="B36740" s="62" t="str">
        <f>IF(AND('领用录入（明细）'!D:D=$F$4,'领用录入（明细）'!C:C&gt;=$J$4,'领用录入（明细）'!C:C&lt;=$L$4),ROW(),"-")</f>
        <v>-</v>
      </c>
    </row>
    <row r="36741" customHeight="1" spans="2:2">
      <c r="B36741" s="62" t="str">
        <f>IF(AND('领用录入（明细）'!D:D=$F$4,'领用录入（明细）'!C:C&gt;=$J$4,'领用录入（明细）'!C:C&lt;=$L$4),ROW(),"-")</f>
        <v>-</v>
      </c>
    </row>
    <row r="36742" customHeight="1" spans="2:2">
      <c r="B36742" s="62" t="str">
        <f>IF(AND('领用录入（明细）'!D:D=$F$4,'领用录入（明细）'!C:C&gt;=$J$4,'领用录入（明细）'!C:C&lt;=$L$4),ROW(),"-")</f>
        <v>-</v>
      </c>
    </row>
    <row r="36743" customHeight="1" spans="2:2">
      <c r="B36743" s="62" t="str">
        <f>IF(AND('领用录入（明细）'!D:D=$F$4,'领用录入（明细）'!C:C&gt;=$J$4,'领用录入（明细）'!C:C&lt;=$L$4),ROW(),"-")</f>
        <v>-</v>
      </c>
    </row>
    <row r="36744" customHeight="1" spans="2:2">
      <c r="B36744" s="62" t="str">
        <f>IF(AND('领用录入（明细）'!D:D=$F$4,'领用录入（明细）'!C:C&gt;=$J$4,'领用录入（明细）'!C:C&lt;=$L$4),ROW(),"-")</f>
        <v>-</v>
      </c>
    </row>
    <row r="36745" customHeight="1" spans="2:2">
      <c r="B36745" s="62" t="str">
        <f>IF(AND('领用录入（明细）'!D:D=$F$4,'领用录入（明细）'!C:C&gt;=$J$4,'领用录入（明细）'!C:C&lt;=$L$4),ROW(),"-")</f>
        <v>-</v>
      </c>
    </row>
    <row r="36746" customHeight="1" spans="2:2">
      <c r="B36746" s="62" t="str">
        <f>IF(AND('领用录入（明细）'!D:D=$F$4,'领用录入（明细）'!C:C&gt;=$J$4,'领用录入（明细）'!C:C&lt;=$L$4),ROW(),"-")</f>
        <v>-</v>
      </c>
    </row>
    <row r="36747" customHeight="1" spans="2:2">
      <c r="B36747" s="62" t="str">
        <f>IF(AND('领用录入（明细）'!D:D=$F$4,'领用录入（明细）'!C:C&gt;=$J$4,'领用录入（明细）'!C:C&lt;=$L$4),ROW(),"-")</f>
        <v>-</v>
      </c>
    </row>
    <row r="36748" customHeight="1" spans="2:2">
      <c r="B36748" s="62" t="str">
        <f>IF(AND('领用录入（明细）'!D:D=$F$4,'领用录入（明细）'!C:C&gt;=$J$4,'领用录入（明细）'!C:C&lt;=$L$4),ROW(),"-")</f>
        <v>-</v>
      </c>
    </row>
    <row r="36749" customHeight="1" spans="2:2">
      <c r="B36749" s="62" t="str">
        <f>IF(AND('领用录入（明细）'!D:D=$F$4,'领用录入（明细）'!C:C&gt;=$J$4,'领用录入（明细）'!C:C&lt;=$L$4),ROW(),"-")</f>
        <v>-</v>
      </c>
    </row>
    <row r="36750" customHeight="1" spans="2:2">
      <c r="B36750" s="62" t="str">
        <f>IF(AND('领用录入（明细）'!D:D=$F$4,'领用录入（明细）'!C:C&gt;=$J$4,'领用录入（明细）'!C:C&lt;=$L$4),ROW(),"-")</f>
        <v>-</v>
      </c>
    </row>
    <row r="36751" customHeight="1" spans="2:2">
      <c r="B36751" s="62" t="str">
        <f>IF(AND('领用录入（明细）'!D:D=$F$4,'领用录入（明细）'!C:C&gt;=$J$4,'领用录入（明细）'!C:C&lt;=$L$4),ROW(),"-")</f>
        <v>-</v>
      </c>
    </row>
    <row r="36752" customHeight="1" spans="2:2">
      <c r="B36752" s="62" t="str">
        <f>IF(AND('领用录入（明细）'!D:D=$F$4,'领用录入（明细）'!C:C&gt;=$J$4,'领用录入（明细）'!C:C&lt;=$L$4),ROW(),"-")</f>
        <v>-</v>
      </c>
    </row>
    <row r="36753" customHeight="1" spans="2:2">
      <c r="B36753" s="62" t="str">
        <f>IF(AND('领用录入（明细）'!D:D=$F$4,'领用录入（明细）'!C:C&gt;=$J$4,'领用录入（明细）'!C:C&lt;=$L$4),ROW(),"-")</f>
        <v>-</v>
      </c>
    </row>
    <row r="36754" customHeight="1" spans="2:2">
      <c r="B36754" s="62" t="str">
        <f>IF(AND('领用录入（明细）'!D:D=$F$4,'领用录入（明细）'!C:C&gt;=$J$4,'领用录入（明细）'!C:C&lt;=$L$4),ROW(),"-")</f>
        <v>-</v>
      </c>
    </row>
    <row r="36755" customHeight="1" spans="2:2">
      <c r="B36755" s="62" t="str">
        <f>IF(AND('领用录入（明细）'!D:D=$F$4,'领用录入（明细）'!C:C&gt;=$J$4,'领用录入（明细）'!C:C&lt;=$L$4),ROW(),"-")</f>
        <v>-</v>
      </c>
    </row>
    <row r="36756" customHeight="1" spans="2:2">
      <c r="B36756" s="62" t="str">
        <f>IF(AND('领用录入（明细）'!D:D=$F$4,'领用录入（明细）'!C:C&gt;=$J$4,'领用录入（明细）'!C:C&lt;=$L$4),ROW(),"-")</f>
        <v>-</v>
      </c>
    </row>
    <row r="36757" customHeight="1" spans="2:2">
      <c r="B36757" s="62" t="str">
        <f>IF(AND('领用录入（明细）'!D:D=$F$4,'领用录入（明细）'!C:C&gt;=$J$4,'领用录入（明细）'!C:C&lt;=$L$4),ROW(),"-")</f>
        <v>-</v>
      </c>
    </row>
    <row r="36758" customHeight="1" spans="2:2">
      <c r="B36758" s="62" t="str">
        <f>IF(AND('领用录入（明细）'!D:D=$F$4,'领用录入（明细）'!C:C&gt;=$J$4,'领用录入（明细）'!C:C&lt;=$L$4),ROW(),"-")</f>
        <v>-</v>
      </c>
    </row>
    <row r="36759" customHeight="1" spans="2:2">
      <c r="B36759" s="62" t="str">
        <f>IF(AND('领用录入（明细）'!D:D=$F$4,'领用录入（明细）'!C:C&gt;=$J$4,'领用录入（明细）'!C:C&lt;=$L$4),ROW(),"-")</f>
        <v>-</v>
      </c>
    </row>
    <row r="36760" customHeight="1" spans="2:2">
      <c r="B36760" s="62" t="str">
        <f>IF(AND('领用录入（明细）'!D:D=$F$4,'领用录入（明细）'!C:C&gt;=$J$4,'领用录入（明细）'!C:C&lt;=$L$4),ROW(),"-")</f>
        <v>-</v>
      </c>
    </row>
    <row r="36761" customHeight="1" spans="2:2">
      <c r="B36761" s="62" t="str">
        <f>IF(AND('领用录入（明细）'!D:D=$F$4,'领用录入（明细）'!C:C&gt;=$J$4,'领用录入（明细）'!C:C&lt;=$L$4),ROW(),"-")</f>
        <v>-</v>
      </c>
    </row>
    <row r="36762" customHeight="1" spans="2:2">
      <c r="B36762" s="62" t="str">
        <f>IF(AND('领用录入（明细）'!D:D=$F$4,'领用录入（明细）'!C:C&gt;=$J$4,'领用录入（明细）'!C:C&lt;=$L$4),ROW(),"-")</f>
        <v>-</v>
      </c>
    </row>
    <row r="36763" customHeight="1" spans="2:2">
      <c r="B36763" s="62" t="str">
        <f>IF(AND('领用录入（明细）'!D:D=$F$4,'领用录入（明细）'!C:C&gt;=$J$4,'领用录入（明细）'!C:C&lt;=$L$4),ROW(),"-")</f>
        <v>-</v>
      </c>
    </row>
    <row r="36764" customHeight="1" spans="2:2">
      <c r="B36764" s="62" t="str">
        <f>IF(AND('领用录入（明细）'!D:D=$F$4,'领用录入（明细）'!C:C&gt;=$J$4,'领用录入（明细）'!C:C&lt;=$L$4),ROW(),"-")</f>
        <v>-</v>
      </c>
    </row>
    <row r="36765" customHeight="1" spans="2:2">
      <c r="B36765" s="62" t="str">
        <f>IF(AND('领用录入（明细）'!D:D=$F$4,'领用录入（明细）'!C:C&gt;=$J$4,'领用录入（明细）'!C:C&lt;=$L$4),ROW(),"-")</f>
        <v>-</v>
      </c>
    </row>
    <row r="36766" customHeight="1" spans="2:2">
      <c r="B36766" s="62" t="str">
        <f>IF(AND('领用录入（明细）'!D:D=$F$4,'领用录入（明细）'!C:C&gt;=$J$4,'领用录入（明细）'!C:C&lt;=$L$4),ROW(),"-")</f>
        <v>-</v>
      </c>
    </row>
    <row r="36767" customHeight="1" spans="2:2">
      <c r="B36767" s="62" t="str">
        <f>IF(AND('领用录入（明细）'!D:D=$F$4,'领用录入（明细）'!C:C&gt;=$J$4,'领用录入（明细）'!C:C&lt;=$L$4),ROW(),"-")</f>
        <v>-</v>
      </c>
    </row>
    <row r="36768" customHeight="1" spans="2:2">
      <c r="B36768" s="62" t="str">
        <f>IF(AND('领用录入（明细）'!D:D=$F$4,'领用录入（明细）'!C:C&gt;=$J$4,'领用录入（明细）'!C:C&lt;=$L$4),ROW(),"-")</f>
        <v>-</v>
      </c>
    </row>
    <row r="36769" customHeight="1" spans="2:2">
      <c r="B36769" s="62" t="str">
        <f>IF(AND('领用录入（明细）'!D:D=$F$4,'领用录入（明细）'!C:C&gt;=$J$4,'领用录入（明细）'!C:C&lt;=$L$4),ROW(),"-")</f>
        <v>-</v>
      </c>
    </row>
    <row r="36770" customHeight="1" spans="2:2">
      <c r="B36770" s="62" t="str">
        <f>IF(AND('领用录入（明细）'!D:D=$F$4,'领用录入（明细）'!C:C&gt;=$J$4,'领用录入（明细）'!C:C&lt;=$L$4),ROW(),"-")</f>
        <v>-</v>
      </c>
    </row>
    <row r="36771" customHeight="1" spans="2:2">
      <c r="B36771" s="62" t="str">
        <f>IF(AND('领用录入（明细）'!D:D=$F$4,'领用录入（明细）'!C:C&gt;=$J$4,'领用录入（明细）'!C:C&lt;=$L$4),ROW(),"-")</f>
        <v>-</v>
      </c>
    </row>
    <row r="36772" customHeight="1" spans="2:2">
      <c r="B36772" s="62" t="str">
        <f>IF(AND('领用录入（明细）'!D:D=$F$4,'领用录入（明细）'!C:C&gt;=$J$4,'领用录入（明细）'!C:C&lt;=$L$4),ROW(),"-")</f>
        <v>-</v>
      </c>
    </row>
    <row r="36773" customHeight="1" spans="2:2">
      <c r="B36773" s="62" t="str">
        <f>IF(AND('领用录入（明细）'!D:D=$F$4,'领用录入（明细）'!C:C&gt;=$J$4,'领用录入（明细）'!C:C&lt;=$L$4),ROW(),"-")</f>
        <v>-</v>
      </c>
    </row>
    <row r="36774" customHeight="1" spans="2:2">
      <c r="B36774" s="62" t="str">
        <f>IF(AND('领用录入（明细）'!D:D=$F$4,'领用录入（明细）'!C:C&gt;=$J$4,'领用录入（明细）'!C:C&lt;=$L$4),ROW(),"-")</f>
        <v>-</v>
      </c>
    </row>
    <row r="36775" customHeight="1" spans="2:2">
      <c r="B36775" s="62" t="str">
        <f>IF(AND('领用录入（明细）'!D:D=$F$4,'领用录入（明细）'!C:C&gt;=$J$4,'领用录入（明细）'!C:C&lt;=$L$4),ROW(),"-")</f>
        <v>-</v>
      </c>
    </row>
    <row r="36776" customHeight="1" spans="2:2">
      <c r="B36776" s="62" t="str">
        <f>IF(AND('领用录入（明细）'!D:D=$F$4,'领用录入（明细）'!C:C&gt;=$J$4,'领用录入（明细）'!C:C&lt;=$L$4),ROW(),"-")</f>
        <v>-</v>
      </c>
    </row>
    <row r="36777" customHeight="1" spans="2:2">
      <c r="B36777" s="62" t="str">
        <f>IF(AND('领用录入（明细）'!D:D=$F$4,'领用录入（明细）'!C:C&gt;=$J$4,'领用录入（明细）'!C:C&lt;=$L$4),ROW(),"-")</f>
        <v>-</v>
      </c>
    </row>
    <row r="36778" customHeight="1" spans="2:2">
      <c r="B36778" s="62" t="str">
        <f>IF(AND('领用录入（明细）'!D:D=$F$4,'领用录入（明细）'!C:C&gt;=$J$4,'领用录入（明细）'!C:C&lt;=$L$4),ROW(),"-")</f>
        <v>-</v>
      </c>
    </row>
    <row r="36779" customHeight="1" spans="2:2">
      <c r="B36779" s="62" t="str">
        <f>IF(AND('领用录入（明细）'!D:D=$F$4,'领用录入（明细）'!C:C&gt;=$J$4,'领用录入（明细）'!C:C&lt;=$L$4),ROW(),"-")</f>
        <v>-</v>
      </c>
    </row>
    <row r="36780" customHeight="1" spans="2:2">
      <c r="B36780" s="62" t="str">
        <f>IF(AND('领用录入（明细）'!D:D=$F$4,'领用录入（明细）'!C:C&gt;=$J$4,'领用录入（明细）'!C:C&lt;=$L$4),ROW(),"-")</f>
        <v>-</v>
      </c>
    </row>
    <row r="36781" customHeight="1" spans="2:2">
      <c r="B36781" s="62" t="str">
        <f>IF(AND('领用录入（明细）'!D:D=$F$4,'领用录入（明细）'!C:C&gt;=$J$4,'领用录入（明细）'!C:C&lt;=$L$4),ROW(),"-")</f>
        <v>-</v>
      </c>
    </row>
    <row r="36782" customHeight="1" spans="2:2">
      <c r="B36782" s="62" t="str">
        <f>IF(AND('领用录入（明细）'!D:D=$F$4,'领用录入（明细）'!C:C&gt;=$J$4,'领用录入（明细）'!C:C&lt;=$L$4),ROW(),"-")</f>
        <v>-</v>
      </c>
    </row>
    <row r="36783" customHeight="1" spans="2:2">
      <c r="B36783" s="62" t="str">
        <f>IF(AND('领用录入（明细）'!D:D=$F$4,'领用录入（明细）'!C:C&gt;=$J$4,'领用录入（明细）'!C:C&lt;=$L$4),ROW(),"-")</f>
        <v>-</v>
      </c>
    </row>
    <row r="36784" customHeight="1" spans="2:2">
      <c r="B36784" s="62" t="str">
        <f>IF(AND('领用录入（明细）'!D:D=$F$4,'领用录入（明细）'!C:C&gt;=$J$4,'领用录入（明细）'!C:C&lt;=$L$4),ROW(),"-")</f>
        <v>-</v>
      </c>
    </row>
    <row r="36785" customHeight="1" spans="2:2">
      <c r="B36785" s="62" t="str">
        <f>IF(AND('领用录入（明细）'!D:D=$F$4,'领用录入（明细）'!C:C&gt;=$J$4,'领用录入（明细）'!C:C&lt;=$L$4),ROW(),"-")</f>
        <v>-</v>
      </c>
    </row>
    <row r="36786" customHeight="1" spans="2:2">
      <c r="B36786" s="62" t="str">
        <f>IF(AND('领用录入（明细）'!D:D=$F$4,'领用录入（明细）'!C:C&gt;=$J$4,'领用录入（明细）'!C:C&lt;=$L$4),ROW(),"-")</f>
        <v>-</v>
      </c>
    </row>
    <row r="36787" customHeight="1" spans="2:2">
      <c r="B36787" s="62" t="str">
        <f>IF(AND('领用录入（明细）'!D:D=$F$4,'领用录入（明细）'!C:C&gt;=$J$4,'领用录入（明细）'!C:C&lt;=$L$4),ROW(),"-")</f>
        <v>-</v>
      </c>
    </row>
    <row r="36788" customHeight="1" spans="2:2">
      <c r="B36788" s="62" t="str">
        <f>IF(AND('领用录入（明细）'!D:D=$F$4,'领用录入（明细）'!C:C&gt;=$J$4,'领用录入（明细）'!C:C&lt;=$L$4),ROW(),"-")</f>
        <v>-</v>
      </c>
    </row>
    <row r="36789" customHeight="1" spans="2:2">
      <c r="B36789" s="62" t="str">
        <f>IF(AND('领用录入（明细）'!D:D=$F$4,'领用录入（明细）'!C:C&gt;=$J$4,'领用录入（明细）'!C:C&lt;=$L$4),ROW(),"-")</f>
        <v>-</v>
      </c>
    </row>
    <row r="36790" customHeight="1" spans="2:2">
      <c r="B36790" s="62" t="str">
        <f>IF(AND('领用录入（明细）'!D:D=$F$4,'领用录入（明细）'!C:C&gt;=$J$4,'领用录入（明细）'!C:C&lt;=$L$4),ROW(),"-")</f>
        <v>-</v>
      </c>
    </row>
    <row r="36791" customHeight="1" spans="2:2">
      <c r="B36791" s="62" t="str">
        <f>IF(AND('领用录入（明细）'!D:D=$F$4,'领用录入（明细）'!C:C&gt;=$J$4,'领用录入（明细）'!C:C&lt;=$L$4),ROW(),"-")</f>
        <v>-</v>
      </c>
    </row>
    <row r="36792" customHeight="1" spans="2:2">
      <c r="B36792" s="62" t="str">
        <f>IF(AND('领用录入（明细）'!D:D=$F$4,'领用录入（明细）'!C:C&gt;=$J$4,'领用录入（明细）'!C:C&lt;=$L$4),ROW(),"-")</f>
        <v>-</v>
      </c>
    </row>
    <row r="36793" customHeight="1" spans="2:2">
      <c r="B36793" s="62" t="str">
        <f>IF(AND('领用录入（明细）'!D:D=$F$4,'领用录入（明细）'!C:C&gt;=$J$4,'领用录入（明细）'!C:C&lt;=$L$4),ROW(),"-")</f>
        <v>-</v>
      </c>
    </row>
    <row r="36794" customHeight="1" spans="2:2">
      <c r="B36794" s="62" t="str">
        <f>IF(AND('领用录入（明细）'!D:D=$F$4,'领用录入（明细）'!C:C&gt;=$J$4,'领用录入（明细）'!C:C&lt;=$L$4),ROW(),"-")</f>
        <v>-</v>
      </c>
    </row>
    <row r="36795" customHeight="1" spans="2:2">
      <c r="B36795" s="62" t="str">
        <f>IF(AND('领用录入（明细）'!D:D=$F$4,'领用录入（明细）'!C:C&gt;=$J$4,'领用录入（明细）'!C:C&lt;=$L$4),ROW(),"-")</f>
        <v>-</v>
      </c>
    </row>
    <row r="36796" customHeight="1" spans="2:2">
      <c r="B36796" s="62" t="str">
        <f>IF(AND('领用录入（明细）'!D:D=$F$4,'领用录入（明细）'!C:C&gt;=$J$4,'领用录入（明细）'!C:C&lt;=$L$4),ROW(),"-")</f>
        <v>-</v>
      </c>
    </row>
    <row r="36797" customHeight="1" spans="2:2">
      <c r="B36797" s="62" t="str">
        <f>IF(AND('领用录入（明细）'!D:D=$F$4,'领用录入（明细）'!C:C&gt;=$J$4,'领用录入（明细）'!C:C&lt;=$L$4),ROW(),"-")</f>
        <v>-</v>
      </c>
    </row>
    <row r="36798" customHeight="1" spans="2:2">
      <c r="B36798" s="62" t="str">
        <f>IF(AND('领用录入（明细）'!D:D=$F$4,'领用录入（明细）'!C:C&gt;=$J$4,'领用录入（明细）'!C:C&lt;=$L$4),ROW(),"-")</f>
        <v>-</v>
      </c>
    </row>
    <row r="36799" customHeight="1" spans="2:2">
      <c r="B36799" s="62" t="str">
        <f>IF(AND('领用录入（明细）'!D:D=$F$4,'领用录入（明细）'!C:C&gt;=$J$4,'领用录入（明细）'!C:C&lt;=$L$4),ROW(),"-")</f>
        <v>-</v>
      </c>
    </row>
    <row r="36800" customHeight="1" spans="2:2">
      <c r="B36800" s="62" t="str">
        <f>IF(AND('领用录入（明细）'!D:D=$F$4,'领用录入（明细）'!C:C&gt;=$J$4,'领用录入（明细）'!C:C&lt;=$L$4),ROW(),"-")</f>
        <v>-</v>
      </c>
    </row>
    <row r="36801" customHeight="1" spans="2:2">
      <c r="B36801" s="62" t="str">
        <f>IF(AND('领用录入（明细）'!D:D=$F$4,'领用录入（明细）'!C:C&gt;=$J$4,'领用录入（明细）'!C:C&lt;=$L$4),ROW(),"-")</f>
        <v>-</v>
      </c>
    </row>
    <row r="36802" customHeight="1" spans="2:2">
      <c r="B36802" s="62" t="str">
        <f>IF(AND('领用录入（明细）'!D:D=$F$4,'领用录入（明细）'!C:C&gt;=$J$4,'领用录入（明细）'!C:C&lt;=$L$4),ROW(),"-")</f>
        <v>-</v>
      </c>
    </row>
    <row r="36803" customHeight="1" spans="2:2">
      <c r="B36803" s="62" t="str">
        <f>IF(AND('领用录入（明细）'!D:D=$F$4,'领用录入（明细）'!C:C&gt;=$J$4,'领用录入（明细）'!C:C&lt;=$L$4),ROW(),"-")</f>
        <v>-</v>
      </c>
    </row>
    <row r="36804" customHeight="1" spans="2:2">
      <c r="B36804" s="62" t="str">
        <f>IF(AND('领用录入（明细）'!D:D=$F$4,'领用录入（明细）'!C:C&gt;=$J$4,'领用录入（明细）'!C:C&lt;=$L$4),ROW(),"-")</f>
        <v>-</v>
      </c>
    </row>
    <row r="36805" customHeight="1" spans="2:2">
      <c r="B36805" s="62" t="str">
        <f>IF(AND('领用录入（明细）'!D:D=$F$4,'领用录入（明细）'!C:C&gt;=$J$4,'领用录入（明细）'!C:C&lt;=$L$4),ROW(),"-")</f>
        <v>-</v>
      </c>
    </row>
    <row r="36806" customHeight="1" spans="2:2">
      <c r="B36806" s="62" t="str">
        <f>IF(AND('领用录入（明细）'!D:D=$F$4,'领用录入（明细）'!C:C&gt;=$J$4,'领用录入（明细）'!C:C&lt;=$L$4),ROW(),"-")</f>
        <v>-</v>
      </c>
    </row>
    <row r="36807" customHeight="1" spans="2:2">
      <c r="B36807" s="62" t="str">
        <f>IF(AND('领用录入（明细）'!D:D=$F$4,'领用录入（明细）'!C:C&gt;=$J$4,'领用录入（明细）'!C:C&lt;=$L$4),ROW(),"-")</f>
        <v>-</v>
      </c>
    </row>
    <row r="36808" customHeight="1" spans="2:2">
      <c r="B36808" s="62" t="str">
        <f>IF(AND('领用录入（明细）'!D:D=$F$4,'领用录入（明细）'!C:C&gt;=$J$4,'领用录入（明细）'!C:C&lt;=$L$4),ROW(),"-")</f>
        <v>-</v>
      </c>
    </row>
    <row r="36809" customHeight="1" spans="2:2">
      <c r="B36809" s="62" t="str">
        <f>IF(AND('领用录入（明细）'!D:D=$F$4,'领用录入（明细）'!C:C&gt;=$J$4,'领用录入（明细）'!C:C&lt;=$L$4),ROW(),"-")</f>
        <v>-</v>
      </c>
    </row>
    <row r="36810" customHeight="1" spans="2:2">
      <c r="B36810" s="62" t="str">
        <f>IF(AND('领用录入（明细）'!D:D=$F$4,'领用录入（明细）'!C:C&gt;=$J$4,'领用录入（明细）'!C:C&lt;=$L$4),ROW(),"-")</f>
        <v>-</v>
      </c>
    </row>
    <row r="36811" customHeight="1" spans="2:2">
      <c r="B36811" s="62" t="str">
        <f>IF(AND('领用录入（明细）'!D:D=$F$4,'领用录入（明细）'!C:C&gt;=$J$4,'领用录入（明细）'!C:C&lt;=$L$4),ROW(),"-")</f>
        <v>-</v>
      </c>
    </row>
    <row r="36812" customHeight="1" spans="2:2">
      <c r="B36812" s="62" t="str">
        <f>IF(AND('领用录入（明细）'!D:D=$F$4,'领用录入（明细）'!C:C&gt;=$J$4,'领用录入（明细）'!C:C&lt;=$L$4),ROW(),"-")</f>
        <v>-</v>
      </c>
    </row>
    <row r="36813" customHeight="1" spans="2:2">
      <c r="B36813" s="62" t="str">
        <f>IF(AND('领用录入（明细）'!D:D=$F$4,'领用录入（明细）'!C:C&gt;=$J$4,'领用录入（明细）'!C:C&lt;=$L$4),ROW(),"-")</f>
        <v>-</v>
      </c>
    </row>
    <row r="36814" customHeight="1" spans="2:2">
      <c r="B36814" s="62" t="str">
        <f>IF(AND('领用录入（明细）'!D:D=$F$4,'领用录入（明细）'!C:C&gt;=$J$4,'领用录入（明细）'!C:C&lt;=$L$4),ROW(),"-")</f>
        <v>-</v>
      </c>
    </row>
    <row r="36815" customHeight="1" spans="2:2">
      <c r="B36815" s="62" t="str">
        <f>IF(AND('领用录入（明细）'!D:D=$F$4,'领用录入（明细）'!C:C&gt;=$J$4,'领用录入（明细）'!C:C&lt;=$L$4),ROW(),"-")</f>
        <v>-</v>
      </c>
    </row>
    <row r="36816" customHeight="1" spans="2:2">
      <c r="B36816" s="62" t="str">
        <f>IF(AND('领用录入（明细）'!D:D=$F$4,'领用录入（明细）'!C:C&gt;=$J$4,'领用录入（明细）'!C:C&lt;=$L$4),ROW(),"-")</f>
        <v>-</v>
      </c>
    </row>
    <row r="36817" customHeight="1" spans="2:2">
      <c r="B36817" s="62" t="str">
        <f>IF(AND('领用录入（明细）'!D:D=$F$4,'领用录入（明细）'!C:C&gt;=$J$4,'领用录入（明细）'!C:C&lt;=$L$4),ROW(),"-")</f>
        <v>-</v>
      </c>
    </row>
    <row r="36818" customHeight="1" spans="2:2">
      <c r="B36818" s="62" t="str">
        <f>IF(AND('领用录入（明细）'!D:D=$F$4,'领用录入（明细）'!C:C&gt;=$J$4,'领用录入（明细）'!C:C&lt;=$L$4),ROW(),"-")</f>
        <v>-</v>
      </c>
    </row>
    <row r="36819" customHeight="1" spans="2:2">
      <c r="B36819" s="62" t="str">
        <f>IF(AND('领用录入（明细）'!D:D=$F$4,'领用录入（明细）'!C:C&gt;=$J$4,'领用录入（明细）'!C:C&lt;=$L$4),ROW(),"-")</f>
        <v>-</v>
      </c>
    </row>
    <row r="36820" customHeight="1" spans="2:2">
      <c r="B36820" s="62" t="str">
        <f>IF(AND('领用录入（明细）'!D:D=$F$4,'领用录入（明细）'!C:C&gt;=$J$4,'领用录入（明细）'!C:C&lt;=$L$4),ROW(),"-")</f>
        <v>-</v>
      </c>
    </row>
    <row r="36821" customHeight="1" spans="2:2">
      <c r="B36821" s="62" t="str">
        <f>IF(AND('领用录入（明细）'!D:D=$F$4,'领用录入（明细）'!C:C&gt;=$J$4,'领用录入（明细）'!C:C&lt;=$L$4),ROW(),"-")</f>
        <v>-</v>
      </c>
    </row>
    <row r="36822" customHeight="1" spans="2:2">
      <c r="B36822" s="62" t="str">
        <f>IF(AND('领用录入（明细）'!D:D=$F$4,'领用录入（明细）'!C:C&gt;=$J$4,'领用录入（明细）'!C:C&lt;=$L$4),ROW(),"-")</f>
        <v>-</v>
      </c>
    </row>
    <row r="36823" customHeight="1" spans="2:2">
      <c r="B36823" s="62" t="str">
        <f>IF(AND('领用录入（明细）'!D:D=$F$4,'领用录入（明细）'!C:C&gt;=$J$4,'领用录入（明细）'!C:C&lt;=$L$4),ROW(),"-")</f>
        <v>-</v>
      </c>
    </row>
    <row r="36824" customHeight="1" spans="2:2">
      <c r="B36824" s="62" t="str">
        <f>IF(AND('领用录入（明细）'!D:D=$F$4,'领用录入（明细）'!C:C&gt;=$J$4,'领用录入（明细）'!C:C&lt;=$L$4),ROW(),"-")</f>
        <v>-</v>
      </c>
    </row>
    <row r="36825" customHeight="1" spans="2:2">
      <c r="B36825" s="62" t="str">
        <f>IF(AND('领用录入（明细）'!D:D=$F$4,'领用录入（明细）'!C:C&gt;=$J$4,'领用录入（明细）'!C:C&lt;=$L$4),ROW(),"-")</f>
        <v>-</v>
      </c>
    </row>
    <row r="36826" customHeight="1" spans="2:2">
      <c r="B36826" s="62" t="str">
        <f>IF(AND('领用录入（明细）'!D:D=$F$4,'领用录入（明细）'!C:C&gt;=$J$4,'领用录入（明细）'!C:C&lt;=$L$4),ROW(),"-")</f>
        <v>-</v>
      </c>
    </row>
    <row r="36827" customHeight="1" spans="2:2">
      <c r="B36827" s="62" t="str">
        <f>IF(AND('领用录入（明细）'!D:D=$F$4,'领用录入（明细）'!C:C&gt;=$J$4,'领用录入（明细）'!C:C&lt;=$L$4),ROW(),"-")</f>
        <v>-</v>
      </c>
    </row>
    <row r="36828" customHeight="1" spans="2:2">
      <c r="B36828" s="62" t="str">
        <f>IF(AND('领用录入（明细）'!D:D=$F$4,'领用录入（明细）'!C:C&gt;=$J$4,'领用录入（明细）'!C:C&lt;=$L$4),ROW(),"-")</f>
        <v>-</v>
      </c>
    </row>
    <row r="36829" customHeight="1" spans="2:2">
      <c r="B36829" s="62" t="str">
        <f>IF(AND('领用录入（明细）'!D:D=$F$4,'领用录入（明细）'!C:C&gt;=$J$4,'领用录入（明细）'!C:C&lt;=$L$4),ROW(),"-")</f>
        <v>-</v>
      </c>
    </row>
    <row r="36830" customHeight="1" spans="2:2">
      <c r="B36830" s="62" t="str">
        <f>IF(AND('领用录入（明细）'!D:D=$F$4,'领用录入（明细）'!C:C&gt;=$J$4,'领用录入（明细）'!C:C&lt;=$L$4),ROW(),"-")</f>
        <v>-</v>
      </c>
    </row>
    <row r="36831" customHeight="1" spans="2:2">
      <c r="B36831" s="62" t="str">
        <f>IF(AND('领用录入（明细）'!D:D=$F$4,'领用录入（明细）'!C:C&gt;=$J$4,'领用录入（明细）'!C:C&lt;=$L$4),ROW(),"-")</f>
        <v>-</v>
      </c>
    </row>
    <row r="36832" customHeight="1" spans="2:2">
      <c r="B36832" s="62" t="str">
        <f>IF(AND('领用录入（明细）'!D:D=$F$4,'领用录入（明细）'!C:C&gt;=$J$4,'领用录入（明细）'!C:C&lt;=$L$4),ROW(),"-")</f>
        <v>-</v>
      </c>
    </row>
    <row r="36833" customHeight="1" spans="2:2">
      <c r="B36833" s="62" t="str">
        <f>IF(AND('领用录入（明细）'!D:D=$F$4,'领用录入（明细）'!C:C&gt;=$J$4,'领用录入（明细）'!C:C&lt;=$L$4),ROW(),"-")</f>
        <v>-</v>
      </c>
    </row>
    <row r="36834" customHeight="1" spans="2:2">
      <c r="B36834" s="62" t="str">
        <f>IF(AND('领用录入（明细）'!D:D=$F$4,'领用录入（明细）'!C:C&gt;=$J$4,'领用录入（明细）'!C:C&lt;=$L$4),ROW(),"-")</f>
        <v>-</v>
      </c>
    </row>
    <row r="36835" customHeight="1" spans="2:2">
      <c r="B36835" s="62" t="str">
        <f>IF(AND('领用录入（明细）'!D:D=$F$4,'领用录入（明细）'!C:C&gt;=$J$4,'领用录入（明细）'!C:C&lt;=$L$4),ROW(),"-")</f>
        <v>-</v>
      </c>
    </row>
    <row r="36836" customHeight="1" spans="2:2">
      <c r="B36836" s="62" t="str">
        <f>IF(AND('领用录入（明细）'!D:D=$F$4,'领用录入（明细）'!C:C&gt;=$J$4,'领用录入（明细）'!C:C&lt;=$L$4),ROW(),"-")</f>
        <v>-</v>
      </c>
    </row>
    <row r="36837" customHeight="1" spans="2:2">
      <c r="B36837" s="62" t="str">
        <f>IF(AND('领用录入（明细）'!D:D=$F$4,'领用录入（明细）'!C:C&gt;=$J$4,'领用录入（明细）'!C:C&lt;=$L$4),ROW(),"-")</f>
        <v>-</v>
      </c>
    </row>
    <row r="36838" customHeight="1" spans="2:2">
      <c r="B36838" s="62" t="str">
        <f>IF(AND('领用录入（明细）'!D:D=$F$4,'领用录入（明细）'!C:C&gt;=$J$4,'领用录入（明细）'!C:C&lt;=$L$4),ROW(),"-")</f>
        <v>-</v>
      </c>
    </row>
    <row r="36839" customHeight="1" spans="2:2">
      <c r="B36839" s="62" t="str">
        <f>IF(AND('领用录入（明细）'!D:D=$F$4,'领用录入（明细）'!C:C&gt;=$J$4,'领用录入（明细）'!C:C&lt;=$L$4),ROW(),"-")</f>
        <v>-</v>
      </c>
    </row>
    <row r="36840" customHeight="1" spans="2:2">
      <c r="B36840" s="62" t="str">
        <f>IF(AND('领用录入（明细）'!D:D=$F$4,'领用录入（明细）'!C:C&gt;=$J$4,'领用录入（明细）'!C:C&lt;=$L$4),ROW(),"-")</f>
        <v>-</v>
      </c>
    </row>
    <row r="36841" customHeight="1" spans="2:2">
      <c r="B36841" s="62" t="str">
        <f>IF(AND('领用录入（明细）'!D:D=$F$4,'领用录入（明细）'!C:C&gt;=$J$4,'领用录入（明细）'!C:C&lt;=$L$4),ROW(),"-")</f>
        <v>-</v>
      </c>
    </row>
    <row r="36842" customHeight="1" spans="2:2">
      <c r="B36842" s="62" t="str">
        <f>IF(AND('领用录入（明细）'!D:D=$F$4,'领用录入（明细）'!C:C&gt;=$J$4,'领用录入（明细）'!C:C&lt;=$L$4),ROW(),"-")</f>
        <v>-</v>
      </c>
    </row>
    <row r="36843" customHeight="1" spans="2:2">
      <c r="B36843" s="62" t="str">
        <f>IF(AND('领用录入（明细）'!D:D=$F$4,'领用录入（明细）'!C:C&gt;=$J$4,'领用录入（明细）'!C:C&lt;=$L$4),ROW(),"-")</f>
        <v>-</v>
      </c>
    </row>
    <row r="36844" customHeight="1" spans="2:2">
      <c r="B36844" s="62" t="str">
        <f>IF(AND('领用录入（明细）'!D:D=$F$4,'领用录入（明细）'!C:C&gt;=$J$4,'领用录入（明细）'!C:C&lt;=$L$4),ROW(),"-")</f>
        <v>-</v>
      </c>
    </row>
    <row r="36845" customHeight="1" spans="2:2">
      <c r="B36845" s="62" t="str">
        <f>IF(AND('领用录入（明细）'!D:D=$F$4,'领用录入（明细）'!C:C&gt;=$J$4,'领用录入（明细）'!C:C&lt;=$L$4),ROW(),"-")</f>
        <v>-</v>
      </c>
    </row>
    <row r="36846" customHeight="1" spans="2:2">
      <c r="B36846" s="62" t="str">
        <f>IF(AND('领用录入（明细）'!D:D=$F$4,'领用录入（明细）'!C:C&gt;=$J$4,'领用录入（明细）'!C:C&lt;=$L$4),ROW(),"-")</f>
        <v>-</v>
      </c>
    </row>
    <row r="36847" customHeight="1" spans="2:2">
      <c r="B36847" s="62" t="str">
        <f>IF(AND('领用录入（明细）'!D:D=$F$4,'领用录入（明细）'!C:C&gt;=$J$4,'领用录入（明细）'!C:C&lt;=$L$4),ROW(),"-")</f>
        <v>-</v>
      </c>
    </row>
    <row r="36848" customHeight="1" spans="2:2">
      <c r="B36848" s="62" t="str">
        <f>IF(AND('领用录入（明细）'!D:D=$F$4,'领用录入（明细）'!C:C&gt;=$J$4,'领用录入（明细）'!C:C&lt;=$L$4),ROW(),"-")</f>
        <v>-</v>
      </c>
    </row>
    <row r="36849" customHeight="1" spans="2:2">
      <c r="B36849" s="62" t="str">
        <f>IF(AND('领用录入（明细）'!D:D=$F$4,'领用录入（明细）'!C:C&gt;=$J$4,'领用录入（明细）'!C:C&lt;=$L$4),ROW(),"-")</f>
        <v>-</v>
      </c>
    </row>
    <row r="36850" customHeight="1" spans="2:2">
      <c r="B36850" s="62" t="str">
        <f>IF(AND('领用录入（明细）'!D:D=$F$4,'领用录入（明细）'!C:C&gt;=$J$4,'领用录入（明细）'!C:C&lt;=$L$4),ROW(),"-")</f>
        <v>-</v>
      </c>
    </row>
    <row r="36851" customHeight="1" spans="2:2">
      <c r="B36851" s="62" t="str">
        <f>IF(AND('领用录入（明细）'!D:D=$F$4,'领用录入（明细）'!C:C&gt;=$J$4,'领用录入（明细）'!C:C&lt;=$L$4),ROW(),"-")</f>
        <v>-</v>
      </c>
    </row>
    <row r="36852" customHeight="1" spans="2:2">
      <c r="B36852" s="62" t="str">
        <f>IF(AND('领用录入（明细）'!D:D=$F$4,'领用录入（明细）'!C:C&gt;=$J$4,'领用录入（明细）'!C:C&lt;=$L$4),ROW(),"-")</f>
        <v>-</v>
      </c>
    </row>
    <row r="36853" customHeight="1" spans="2:2">
      <c r="B36853" s="62" t="str">
        <f>IF(AND('领用录入（明细）'!D:D=$F$4,'领用录入（明细）'!C:C&gt;=$J$4,'领用录入（明细）'!C:C&lt;=$L$4),ROW(),"-")</f>
        <v>-</v>
      </c>
    </row>
    <row r="36854" customHeight="1" spans="2:2">
      <c r="B36854" s="62" t="str">
        <f>IF(AND('领用录入（明细）'!D:D=$F$4,'领用录入（明细）'!C:C&gt;=$J$4,'领用录入（明细）'!C:C&lt;=$L$4),ROW(),"-")</f>
        <v>-</v>
      </c>
    </row>
    <row r="36855" customHeight="1" spans="2:2">
      <c r="B36855" s="62" t="str">
        <f>IF(AND('领用录入（明细）'!D:D=$F$4,'领用录入（明细）'!C:C&gt;=$J$4,'领用录入（明细）'!C:C&lt;=$L$4),ROW(),"-")</f>
        <v>-</v>
      </c>
    </row>
    <row r="36856" customHeight="1" spans="2:2">
      <c r="B36856" s="62" t="str">
        <f>IF(AND('领用录入（明细）'!D:D=$F$4,'领用录入（明细）'!C:C&gt;=$J$4,'领用录入（明细）'!C:C&lt;=$L$4),ROW(),"-")</f>
        <v>-</v>
      </c>
    </row>
    <row r="36857" customHeight="1" spans="2:2">
      <c r="B36857" s="62" t="str">
        <f>IF(AND('领用录入（明细）'!D:D=$F$4,'领用录入（明细）'!C:C&gt;=$J$4,'领用录入（明细）'!C:C&lt;=$L$4),ROW(),"-")</f>
        <v>-</v>
      </c>
    </row>
    <row r="36858" customHeight="1" spans="2:2">
      <c r="B36858" s="62" t="str">
        <f>IF(AND('领用录入（明细）'!D:D=$F$4,'领用录入（明细）'!C:C&gt;=$J$4,'领用录入（明细）'!C:C&lt;=$L$4),ROW(),"-")</f>
        <v>-</v>
      </c>
    </row>
    <row r="36859" customHeight="1" spans="2:2">
      <c r="B36859" s="62" t="str">
        <f>IF(AND('领用录入（明细）'!D:D=$F$4,'领用录入（明细）'!C:C&gt;=$J$4,'领用录入（明细）'!C:C&lt;=$L$4),ROW(),"-")</f>
        <v>-</v>
      </c>
    </row>
    <row r="36860" customHeight="1" spans="2:2">
      <c r="B36860" s="62" t="str">
        <f>IF(AND('领用录入（明细）'!D:D=$F$4,'领用录入（明细）'!C:C&gt;=$J$4,'领用录入（明细）'!C:C&lt;=$L$4),ROW(),"-")</f>
        <v>-</v>
      </c>
    </row>
    <row r="36861" customHeight="1" spans="2:2">
      <c r="B36861" s="62" t="str">
        <f>IF(AND('领用录入（明细）'!D:D=$F$4,'领用录入（明细）'!C:C&gt;=$J$4,'领用录入（明细）'!C:C&lt;=$L$4),ROW(),"-")</f>
        <v>-</v>
      </c>
    </row>
    <row r="36862" customHeight="1" spans="2:2">
      <c r="B36862" s="62" t="str">
        <f>IF(AND('领用录入（明细）'!D:D=$F$4,'领用录入（明细）'!C:C&gt;=$J$4,'领用录入（明细）'!C:C&lt;=$L$4),ROW(),"-")</f>
        <v>-</v>
      </c>
    </row>
    <row r="36863" customHeight="1" spans="2:2">
      <c r="B36863" s="62" t="str">
        <f>IF(AND('领用录入（明细）'!D:D=$F$4,'领用录入（明细）'!C:C&gt;=$J$4,'领用录入（明细）'!C:C&lt;=$L$4),ROW(),"-")</f>
        <v>-</v>
      </c>
    </row>
    <row r="36864" customHeight="1" spans="2:2">
      <c r="B36864" s="62" t="str">
        <f>IF(AND('领用录入（明细）'!D:D=$F$4,'领用录入（明细）'!C:C&gt;=$J$4,'领用录入（明细）'!C:C&lt;=$L$4),ROW(),"-")</f>
        <v>-</v>
      </c>
    </row>
    <row r="36865" customHeight="1" spans="2:2">
      <c r="B36865" s="62" t="str">
        <f>IF(AND('领用录入（明细）'!D:D=$F$4,'领用录入（明细）'!C:C&gt;=$J$4,'领用录入（明细）'!C:C&lt;=$L$4),ROW(),"-")</f>
        <v>-</v>
      </c>
    </row>
    <row r="36866" customHeight="1" spans="2:2">
      <c r="B36866" s="62" t="str">
        <f>IF(AND('领用录入（明细）'!D:D=$F$4,'领用录入（明细）'!C:C&gt;=$J$4,'领用录入（明细）'!C:C&lt;=$L$4),ROW(),"-")</f>
        <v>-</v>
      </c>
    </row>
    <row r="36867" customHeight="1" spans="2:2">
      <c r="B36867" s="62" t="str">
        <f>IF(AND('领用录入（明细）'!D:D=$F$4,'领用录入（明细）'!C:C&gt;=$J$4,'领用录入（明细）'!C:C&lt;=$L$4),ROW(),"-")</f>
        <v>-</v>
      </c>
    </row>
    <row r="36868" customHeight="1" spans="2:2">
      <c r="B36868" s="62" t="str">
        <f>IF(AND('领用录入（明细）'!D:D=$F$4,'领用录入（明细）'!C:C&gt;=$J$4,'领用录入（明细）'!C:C&lt;=$L$4),ROW(),"-")</f>
        <v>-</v>
      </c>
    </row>
    <row r="36869" customHeight="1" spans="2:2">
      <c r="B36869" s="62" t="str">
        <f>IF(AND('领用录入（明细）'!D:D=$F$4,'领用录入（明细）'!C:C&gt;=$J$4,'领用录入（明细）'!C:C&lt;=$L$4),ROW(),"-")</f>
        <v>-</v>
      </c>
    </row>
    <row r="36870" customHeight="1" spans="2:2">
      <c r="B36870" s="62" t="str">
        <f>IF(AND('领用录入（明细）'!D:D=$F$4,'领用录入（明细）'!C:C&gt;=$J$4,'领用录入（明细）'!C:C&lt;=$L$4),ROW(),"-")</f>
        <v>-</v>
      </c>
    </row>
    <row r="36871" customHeight="1" spans="2:2">
      <c r="B36871" s="62" t="str">
        <f>IF(AND('领用录入（明细）'!D:D=$F$4,'领用录入（明细）'!C:C&gt;=$J$4,'领用录入（明细）'!C:C&lt;=$L$4),ROW(),"-")</f>
        <v>-</v>
      </c>
    </row>
    <row r="36872" customHeight="1" spans="2:2">
      <c r="B36872" s="62" t="str">
        <f>IF(AND('领用录入（明细）'!D:D=$F$4,'领用录入（明细）'!C:C&gt;=$J$4,'领用录入（明细）'!C:C&lt;=$L$4),ROW(),"-")</f>
        <v>-</v>
      </c>
    </row>
    <row r="36873" customHeight="1" spans="2:2">
      <c r="B36873" s="62" t="str">
        <f>IF(AND('领用录入（明细）'!D:D=$F$4,'领用录入（明细）'!C:C&gt;=$J$4,'领用录入（明细）'!C:C&lt;=$L$4),ROW(),"-")</f>
        <v>-</v>
      </c>
    </row>
    <row r="36874" customHeight="1" spans="2:2">
      <c r="B36874" s="62" t="str">
        <f>IF(AND('领用录入（明细）'!D:D=$F$4,'领用录入（明细）'!C:C&gt;=$J$4,'领用录入（明细）'!C:C&lt;=$L$4),ROW(),"-")</f>
        <v>-</v>
      </c>
    </row>
    <row r="36875" customHeight="1" spans="2:2">
      <c r="B36875" s="62" t="str">
        <f>IF(AND('领用录入（明细）'!D:D=$F$4,'领用录入（明细）'!C:C&gt;=$J$4,'领用录入（明细）'!C:C&lt;=$L$4),ROW(),"-")</f>
        <v>-</v>
      </c>
    </row>
    <row r="36876" customHeight="1" spans="2:2">
      <c r="B36876" s="62" t="str">
        <f>IF(AND('领用录入（明细）'!D:D=$F$4,'领用录入（明细）'!C:C&gt;=$J$4,'领用录入（明细）'!C:C&lt;=$L$4),ROW(),"-")</f>
        <v>-</v>
      </c>
    </row>
    <row r="36877" customHeight="1" spans="2:2">
      <c r="B36877" s="62" t="str">
        <f>IF(AND('领用录入（明细）'!D:D=$F$4,'领用录入（明细）'!C:C&gt;=$J$4,'领用录入（明细）'!C:C&lt;=$L$4),ROW(),"-")</f>
        <v>-</v>
      </c>
    </row>
    <row r="36878" customHeight="1" spans="2:2">
      <c r="B36878" s="62" t="str">
        <f>IF(AND('领用录入（明细）'!D:D=$F$4,'领用录入（明细）'!C:C&gt;=$J$4,'领用录入（明细）'!C:C&lt;=$L$4),ROW(),"-")</f>
        <v>-</v>
      </c>
    </row>
    <row r="36879" customHeight="1" spans="2:2">
      <c r="B36879" s="62" t="str">
        <f>IF(AND('领用录入（明细）'!D:D=$F$4,'领用录入（明细）'!C:C&gt;=$J$4,'领用录入（明细）'!C:C&lt;=$L$4),ROW(),"-")</f>
        <v>-</v>
      </c>
    </row>
    <row r="36880" customHeight="1" spans="2:2">
      <c r="B36880" s="62" t="str">
        <f>IF(AND('领用录入（明细）'!D:D=$F$4,'领用录入（明细）'!C:C&gt;=$J$4,'领用录入（明细）'!C:C&lt;=$L$4),ROW(),"-")</f>
        <v>-</v>
      </c>
    </row>
    <row r="36881" customHeight="1" spans="2:2">
      <c r="B36881" s="62" t="str">
        <f>IF(AND('领用录入（明细）'!D:D=$F$4,'领用录入（明细）'!C:C&gt;=$J$4,'领用录入（明细）'!C:C&lt;=$L$4),ROW(),"-")</f>
        <v>-</v>
      </c>
    </row>
    <row r="36882" customHeight="1" spans="2:2">
      <c r="B36882" s="62" t="str">
        <f>IF(AND('领用录入（明细）'!D:D=$F$4,'领用录入（明细）'!C:C&gt;=$J$4,'领用录入（明细）'!C:C&lt;=$L$4),ROW(),"-")</f>
        <v>-</v>
      </c>
    </row>
    <row r="36883" customHeight="1" spans="2:2">
      <c r="B36883" s="62" t="str">
        <f>IF(AND('领用录入（明细）'!D:D=$F$4,'领用录入（明细）'!C:C&gt;=$J$4,'领用录入（明细）'!C:C&lt;=$L$4),ROW(),"-")</f>
        <v>-</v>
      </c>
    </row>
    <row r="36884" customHeight="1" spans="2:2">
      <c r="B36884" s="62" t="str">
        <f>IF(AND('领用录入（明细）'!D:D=$F$4,'领用录入（明细）'!C:C&gt;=$J$4,'领用录入（明细）'!C:C&lt;=$L$4),ROW(),"-")</f>
        <v>-</v>
      </c>
    </row>
    <row r="36885" customHeight="1" spans="2:2">
      <c r="B36885" s="62" t="str">
        <f>IF(AND('领用录入（明细）'!D:D=$F$4,'领用录入（明细）'!C:C&gt;=$J$4,'领用录入（明细）'!C:C&lt;=$L$4),ROW(),"-")</f>
        <v>-</v>
      </c>
    </row>
    <row r="36886" customHeight="1" spans="2:2">
      <c r="B36886" s="62" t="str">
        <f>IF(AND('领用录入（明细）'!D:D=$F$4,'领用录入（明细）'!C:C&gt;=$J$4,'领用录入（明细）'!C:C&lt;=$L$4),ROW(),"-")</f>
        <v>-</v>
      </c>
    </row>
    <row r="36887" customHeight="1" spans="2:2">
      <c r="B36887" s="62" t="str">
        <f>IF(AND('领用录入（明细）'!D:D=$F$4,'领用录入（明细）'!C:C&gt;=$J$4,'领用录入（明细）'!C:C&lt;=$L$4),ROW(),"-")</f>
        <v>-</v>
      </c>
    </row>
    <row r="36888" customHeight="1" spans="2:2">
      <c r="B36888" s="62" t="str">
        <f>IF(AND('领用录入（明细）'!D:D=$F$4,'领用录入（明细）'!C:C&gt;=$J$4,'领用录入（明细）'!C:C&lt;=$L$4),ROW(),"-")</f>
        <v>-</v>
      </c>
    </row>
    <row r="36889" customHeight="1" spans="2:2">
      <c r="B36889" s="62" t="str">
        <f>IF(AND('领用录入（明细）'!D:D=$F$4,'领用录入（明细）'!C:C&gt;=$J$4,'领用录入（明细）'!C:C&lt;=$L$4),ROW(),"-")</f>
        <v>-</v>
      </c>
    </row>
    <row r="36890" customHeight="1" spans="2:2">
      <c r="B36890" s="62" t="str">
        <f>IF(AND('领用录入（明细）'!D:D=$F$4,'领用录入（明细）'!C:C&gt;=$J$4,'领用录入（明细）'!C:C&lt;=$L$4),ROW(),"-")</f>
        <v>-</v>
      </c>
    </row>
    <row r="36891" customHeight="1" spans="2:2">
      <c r="B36891" s="62" t="str">
        <f>IF(AND('领用录入（明细）'!D:D=$F$4,'领用录入（明细）'!C:C&gt;=$J$4,'领用录入（明细）'!C:C&lt;=$L$4),ROW(),"-")</f>
        <v>-</v>
      </c>
    </row>
    <row r="36892" customHeight="1" spans="2:2">
      <c r="B36892" s="62" t="str">
        <f>IF(AND('领用录入（明细）'!D:D=$F$4,'领用录入（明细）'!C:C&gt;=$J$4,'领用录入（明细）'!C:C&lt;=$L$4),ROW(),"-")</f>
        <v>-</v>
      </c>
    </row>
    <row r="36893" customHeight="1" spans="2:2">
      <c r="B36893" s="62" t="str">
        <f>IF(AND('领用录入（明细）'!D:D=$F$4,'领用录入（明细）'!C:C&gt;=$J$4,'领用录入（明细）'!C:C&lt;=$L$4),ROW(),"-")</f>
        <v>-</v>
      </c>
    </row>
    <row r="36894" customHeight="1" spans="2:2">
      <c r="B36894" s="62" t="str">
        <f>IF(AND('领用录入（明细）'!D:D=$F$4,'领用录入（明细）'!C:C&gt;=$J$4,'领用录入（明细）'!C:C&lt;=$L$4),ROW(),"-")</f>
        <v>-</v>
      </c>
    </row>
    <row r="36895" customHeight="1" spans="2:2">
      <c r="B36895" s="62" t="str">
        <f>IF(AND('领用录入（明细）'!D:D=$F$4,'领用录入（明细）'!C:C&gt;=$J$4,'领用录入（明细）'!C:C&lt;=$L$4),ROW(),"-")</f>
        <v>-</v>
      </c>
    </row>
    <row r="36896" customHeight="1" spans="2:2">
      <c r="B36896" s="62" t="str">
        <f>IF(AND('领用录入（明细）'!D:D=$F$4,'领用录入（明细）'!C:C&gt;=$J$4,'领用录入（明细）'!C:C&lt;=$L$4),ROW(),"-")</f>
        <v>-</v>
      </c>
    </row>
    <row r="36897" customHeight="1" spans="2:2">
      <c r="B36897" s="62" t="str">
        <f>IF(AND('领用录入（明细）'!D:D=$F$4,'领用录入（明细）'!C:C&gt;=$J$4,'领用录入（明细）'!C:C&lt;=$L$4),ROW(),"-")</f>
        <v>-</v>
      </c>
    </row>
    <row r="36898" customHeight="1" spans="2:2">
      <c r="B36898" s="62" t="str">
        <f>IF(AND('领用录入（明细）'!D:D=$F$4,'领用录入（明细）'!C:C&gt;=$J$4,'领用录入（明细）'!C:C&lt;=$L$4),ROW(),"-")</f>
        <v>-</v>
      </c>
    </row>
    <row r="36899" customHeight="1" spans="2:2">
      <c r="B36899" s="62" t="str">
        <f>IF(AND('领用录入（明细）'!D:D=$F$4,'领用录入（明细）'!C:C&gt;=$J$4,'领用录入（明细）'!C:C&lt;=$L$4),ROW(),"-")</f>
        <v>-</v>
      </c>
    </row>
    <row r="36900" customHeight="1" spans="2:2">
      <c r="B36900" s="62" t="str">
        <f>IF(AND('领用录入（明细）'!D:D=$F$4,'领用录入（明细）'!C:C&gt;=$J$4,'领用录入（明细）'!C:C&lt;=$L$4),ROW(),"-")</f>
        <v>-</v>
      </c>
    </row>
    <row r="36901" customHeight="1" spans="2:2">
      <c r="B36901" s="62" t="str">
        <f>IF(AND('领用录入（明细）'!D:D=$F$4,'领用录入（明细）'!C:C&gt;=$J$4,'领用录入（明细）'!C:C&lt;=$L$4),ROW(),"-")</f>
        <v>-</v>
      </c>
    </row>
    <row r="36902" customHeight="1" spans="2:2">
      <c r="B36902" s="62" t="str">
        <f>IF(AND('领用录入（明细）'!D:D=$F$4,'领用录入（明细）'!C:C&gt;=$J$4,'领用录入（明细）'!C:C&lt;=$L$4),ROW(),"-")</f>
        <v>-</v>
      </c>
    </row>
    <row r="36903" customHeight="1" spans="2:2">
      <c r="B36903" s="62" t="str">
        <f>IF(AND('领用录入（明细）'!D:D=$F$4,'领用录入（明细）'!C:C&gt;=$J$4,'领用录入（明细）'!C:C&lt;=$L$4),ROW(),"-")</f>
        <v>-</v>
      </c>
    </row>
    <row r="36904" customHeight="1" spans="2:2">
      <c r="B36904" s="62" t="str">
        <f>IF(AND('领用录入（明细）'!D:D=$F$4,'领用录入（明细）'!C:C&gt;=$J$4,'领用录入（明细）'!C:C&lt;=$L$4),ROW(),"-")</f>
        <v>-</v>
      </c>
    </row>
    <row r="36905" customHeight="1" spans="2:2">
      <c r="B36905" s="62" t="str">
        <f>IF(AND('领用录入（明细）'!D:D=$F$4,'领用录入（明细）'!C:C&gt;=$J$4,'领用录入（明细）'!C:C&lt;=$L$4),ROW(),"-")</f>
        <v>-</v>
      </c>
    </row>
    <row r="36906" customHeight="1" spans="2:2">
      <c r="B36906" s="62" t="str">
        <f>IF(AND('领用录入（明细）'!D:D=$F$4,'领用录入（明细）'!C:C&gt;=$J$4,'领用录入（明细）'!C:C&lt;=$L$4),ROW(),"-")</f>
        <v>-</v>
      </c>
    </row>
    <row r="36907" customHeight="1" spans="2:2">
      <c r="B36907" s="62" t="str">
        <f>IF(AND('领用录入（明细）'!D:D=$F$4,'领用录入（明细）'!C:C&gt;=$J$4,'领用录入（明细）'!C:C&lt;=$L$4),ROW(),"-")</f>
        <v>-</v>
      </c>
    </row>
    <row r="36908" customHeight="1" spans="2:2">
      <c r="B36908" s="62" t="str">
        <f>IF(AND('领用录入（明细）'!D:D=$F$4,'领用录入（明细）'!C:C&gt;=$J$4,'领用录入（明细）'!C:C&lt;=$L$4),ROW(),"-")</f>
        <v>-</v>
      </c>
    </row>
    <row r="36909" customHeight="1" spans="2:2">
      <c r="B36909" s="62" t="str">
        <f>IF(AND('领用录入（明细）'!D:D=$F$4,'领用录入（明细）'!C:C&gt;=$J$4,'领用录入（明细）'!C:C&lt;=$L$4),ROW(),"-")</f>
        <v>-</v>
      </c>
    </row>
    <row r="36910" customHeight="1" spans="2:2">
      <c r="B36910" s="62" t="str">
        <f>IF(AND('领用录入（明细）'!D:D=$F$4,'领用录入（明细）'!C:C&gt;=$J$4,'领用录入（明细）'!C:C&lt;=$L$4),ROW(),"-")</f>
        <v>-</v>
      </c>
    </row>
    <row r="36911" customHeight="1" spans="2:2">
      <c r="B36911" s="62" t="str">
        <f>IF(AND('领用录入（明细）'!D:D=$F$4,'领用录入（明细）'!C:C&gt;=$J$4,'领用录入（明细）'!C:C&lt;=$L$4),ROW(),"-")</f>
        <v>-</v>
      </c>
    </row>
    <row r="36912" customHeight="1" spans="2:2">
      <c r="B36912" s="62" t="str">
        <f>IF(AND('领用录入（明细）'!D:D=$F$4,'领用录入（明细）'!C:C&gt;=$J$4,'领用录入（明细）'!C:C&lt;=$L$4),ROW(),"-")</f>
        <v>-</v>
      </c>
    </row>
    <row r="36913" customHeight="1" spans="2:2">
      <c r="B36913" s="62" t="str">
        <f>IF(AND('领用录入（明细）'!D:D=$F$4,'领用录入（明细）'!C:C&gt;=$J$4,'领用录入（明细）'!C:C&lt;=$L$4),ROW(),"-")</f>
        <v>-</v>
      </c>
    </row>
    <row r="36914" customHeight="1" spans="2:2">
      <c r="B36914" s="62" t="str">
        <f>IF(AND('领用录入（明细）'!D:D=$F$4,'领用录入（明细）'!C:C&gt;=$J$4,'领用录入（明细）'!C:C&lt;=$L$4),ROW(),"-")</f>
        <v>-</v>
      </c>
    </row>
    <row r="36915" customHeight="1" spans="2:2">
      <c r="B36915" s="62" t="str">
        <f>IF(AND('领用录入（明细）'!D:D=$F$4,'领用录入（明细）'!C:C&gt;=$J$4,'领用录入（明细）'!C:C&lt;=$L$4),ROW(),"-")</f>
        <v>-</v>
      </c>
    </row>
    <row r="36916" customHeight="1" spans="2:2">
      <c r="B36916" s="62" t="str">
        <f>IF(AND('领用录入（明细）'!D:D=$F$4,'领用录入（明细）'!C:C&gt;=$J$4,'领用录入（明细）'!C:C&lt;=$L$4),ROW(),"-")</f>
        <v>-</v>
      </c>
    </row>
    <row r="36917" customHeight="1" spans="2:2">
      <c r="B36917" s="62" t="str">
        <f>IF(AND('领用录入（明细）'!D:D=$F$4,'领用录入（明细）'!C:C&gt;=$J$4,'领用录入（明细）'!C:C&lt;=$L$4),ROW(),"-")</f>
        <v>-</v>
      </c>
    </row>
    <row r="36918" customHeight="1" spans="2:2">
      <c r="B36918" s="62" t="str">
        <f>IF(AND('领用录入（明细）'!D:D=$F$4,'领用录入（明细）'!C:C&gt;=$J$4,'领用录入（明细）'!C:C&lt;=$L$4),ROW(),"-")</f>
        <v>-</v>
      </c>
    </row>
    <row r="36919" customHeight="1" spans="2:2">
      <c r="B36919" s="62" t="str">
        <f>IF(AND('领用录入（明细）'!D:D=$F$4,'领用录入（明细）'!C:C&gt;=$J$4,'领用录入（明细）'!C:C&lt;=$L$4),ROW(),"-")</f>
        <v>-</v>
      </c>
    </row>
    <row r="36920" customHeight="1" spans="2:2">
      <c r="B36920" s="62" t="str">
        <f>IF(AND('领用录入（明细）'!D:D=$F$4,'领用录入（明细）'!C:C&gt;=$J$4,'领用录入（明细）'!C:C&lt;=$L$4),ROW(),"-")</f>
        <v>-</v>
      </c>
    </row>
    <row r="36921" customHeight="1" spans="2:2">
      <c r="B36921" s="62" t="str">
        <f>IF(AND('领用录入（明细）'!D:D=$F$4,'领用录入（明细）'!C:C&gt;=$J$4,'领用录入（明细）'!C:C&lt;=$L$4),ROW(),"-")</f>
        <v>-</v>
      </c>
    </row>
    <row r="36922" customHeight="1" spans="2:2">
      <c r="B36922" s="62" t="str">
        <f>IF(AND('领用录入（明细）'!D:D=$F$4,'领用录入（明细）'!C:C&gt;=$J$4,'领用录入（明细）'!C:C&lt;=$L$4),ROW(),"-")</f>
        <v>-</v>
      </c>
    </row>
    <row r="36923" customHeight="1" spans="2:2">
      <c r="B36923" s="62" t="str">
        <f>IF(AND('领用录入（明细）'!D:D=$F$4,'领用录入（明细）'!C:C&gt;=$J$4,'领用录入（明细）'!C:C&lt;=$L$4),ROW(),"-")</f>
        <v>-</v>
      </c>
    </row>
    <row r="36924" customHeight="1" spans="2:2">
      <c r="B36924" s="62" t="str">
        <f>IF(AND('领用录入（明细）'!D:D=$F$4,'领用录入（明细）'!C:C&gt;=$J$4,'领用录入（明细）'!C:C&lt;=$L$4),ROW(),"-")</f>
        <v>-</v>
      </c>
    </row>
    <row r="36925" customHeight="1" spans="2:2">
      <c r="B36925" s="62" t="str">
        <f>IF(AND('领用录入（明细）'!D:D=$F$4,'领用录入（明细）'!C:C&gt;=$J$4,'领用录入（明细）'!C:C&lt;=$L$4),ROW(),"-")</f>
        <v>-</v>
      </c>
    </row>
    <row r="36926" customHeight="1" spans="2:2">
      <c r="B36926" s="62" t="str">
        <f>IF(AND('领用录入（明细）'!D:D=$F$4,'领用录入（明细）'!C:C&gt;=$J$4,'领用录入（明细）'!C:C&lt;=$L$4),ROW(),"-")</f>
        <v>-</v>
      </c>
    </row>
    <row r="36927" customHeight="1" spans="2:2">
      <c r="B36927" s="62" t="str">
        <f>IF(AND('领用录入（明细）'!D:D=$F$4,'领用录入（明细）'!C:C&gt;=$J$4,'领用录入（明细）'!C:C&lt;=$L$4),ROW(),"-")</f>
        <v>-</v>
      </c>
    </row>
    <row r="36928" customHeight="1" spans="2:2">
      <c r="B36928" s="62" t="str">
        <f>IF(AND('领用录入（明细）'!D:D=$F$4,'领用录入（明细）'!C:C&gt;=$J$4,'领用录入（明细）'!C:C&lt;=$L$4),ROW(),"-")</f>
        <v>-</v>
      </c>
    </row>
    <row r="36929" customHeight="1" spans="2:2">
      <c r="B36929" s="62" t="str">
        <f>IF(AND('领用录入（明细）'!D:D=$F$4,'领用录入（明细）'!C:C&gt;=$J$4,'领用录入（明细）'!C:C&lt;=$L$4),ROW(),"-")</f>
        <v>-</v>
      </c>
    </row>
    <row r="36930" customHeight="1" spans="2:2">
      <c r="B36930" s="62" t="str">
        <f>IF(AND('领用录入（明细）'!D:D=$F$4,'领用录入（明细）'!C:C&gt;=$J$4,'领用录入（明细）'!C:C&lt;=$L$4),ROW(),"-")</f>
        <v>-</v>
      </c>
    </row>
    <row r="36931" customHeight="1" spans="2:2">
      <c r="B36931" s="62" t="str">
        <f>IF(AND('领用录入（明细）'!D:D=$F$4,'领用录入（明细）'!C:C&gt;=$J$4,'领用录入（明细）'!C:C&lt;=$L$4),ROW(),"-")</f>
        <v>-</v>
      </c>
    </row>
    <row r="36932" customHeight="1" spans="2:2">
      <c r="B36932" s="62" t="str">
        <f>IF(AND('领用录入（明细）'!D:D=$F$4,'领用录入（明细）'!C:C&gt;=$J$4,'领用录入（明细）'!C:C&lt;=$L$4),ROW(),"-")</f>
        <v>-</v>
      </c>
    </row>
    <row r="36933" customHeight="1" spans="2:2">
      <c r="B36933" s="62" t="str">
        <f>IF(AND('领用录入（明细）'!D:D=$F$4,'领用录入（明细）'!C:C&gt;=$J$4,'领用录入（明细）'!C:C&lt;=$L$4),ROW(),"-")</f>
        <v>-</v>
      </c>
    </row>
    <row r="36934" customHeight="1" spans="2:2">
      <c r="B36934" s="62" t="str">
        <f>IF(AND('领用录入（明细）'!D:D=$F$4,'领用录入（明细）'!C:C&gt;=$J$4,'领用录入（明细）'!C:C&lt;=$L$4),ROW(),"-")</f>
        <v>-</v>
      </c>
    </row>
    <row r="36935" customHeight="1" spans="2:2">
      <c r="B36935" s="62" t="str">
        <f>IF(AND('领用录入（明细）'!D:D=$F$4,'领用录入（明细）'!C:C&gt;=$J$4,'领用录入（明细）'!C:C&lt;=$L$4),ROW(),"-")</f>
        <v>-</v>
      </c>
    </row>
    <row r="36936" customHeight="1" spans="2:2">
      <c r="B36936" s="62" t="str">
        <f>IF(AND('领用录入（明细）'!D:D=$F$4,'领用录入（明细）'!C:C&gt;=$J$4,'领用录入（明细）'!C:C&lt;=$L$4),ROW(),"-")</f>
        <v>-</v>
      </c>
    </row>
    <row r="36937" customHeight="1" spans="2:2">
      <c r="B36937" s="62" t="str">
        <f>IF(AND('领用录入（明细）'!D:D=$F$4,'领用录入（明细）'!C:C&gt;=$J$4,'领用录入（明细）'!C:C&lt;=$L$4),ROW(),"-")</f>
        <v>-</v>
      </c>
    </row>
    <row r="36938" customHeight="1" spans="2:2">
      <c r="B36938" s="62" t="str">
        <f>IF(AND('领用录入（明细）'!D:D=$F$4,'领用录入（明细）'!C:C&gt;=$J$4,'领用录入（明细）'!C:C&lt;=$L$4),ROW(),"-")</f>
        <v>-</v>
      </c>
    </row>
    <row r="36939" customHeight="1" spans="2:2">
      <c r="B36939" s="62" t="str">
        <f>IF(AND('领用录入（明细）'!D:D=$F$4,'领用录入（明细）'!C:C&gt;=$J$4,'领用录入（明细）'!C:C&lt;=$L$4),ROW(),"-")</f>
        <v>-</v>
      </c>
    </row>
    <row r="36940" customHeight="1" spans="2:2">
      <c r="B36940" s="62" t="str">
        <f>IF(AND('领用录入（明细）'!D:D=$F$4,'领用录入（明细）'!C:C&gt;=$J$4,'领用录入（明细）'!C:C&lt;=$L$4),ROW(),"-")</f>
        <v>-</v>
      </c>
    </row>
    <row r="36941" customHeight="1" spans="2:2">
      <c r="B36941" s="62" t="str">
        <f>IF(AND('领用录入（明细）'!D:D=$F$4,'领用录入（明细）'!C:C&gt;=$J$4,'领用录入（明细）'!C:C&lt;=$L$4),ROW(),"-")</f>
        <v>-</v>
      </c>
    </row>
    <row r="36942" customHeight="1" spans="2:2">
      <c r="B36942" s="62" t="str">
        <f>IF(AND('领用录入（明细）'!D:D=$F$4,'领用录入（明细）'!C:C&gt;=$J$4,'领用录入（明细）'!C:C&lt;=$L$4),ROW(),"-")</f>
        <v>-</v>
      </c>
    </row>
    <row r="36943" customHeight="1" spans="2:2">
      <c r="B36943" s="62" t="str">
        <f>IF(AND('领用录入（明细）'!D:D=$F$4,'领用录入（明细）'!C:C&gt;=$J$4,'领用录入（明细）'!C:C&lt;=$L$4),ROW(),"-")</f>
        <v>-</v>
      </c>
    </row>
    <row r="36944" customHeight="1" spans="2:2">
      <c r="B36944" s="62" t="str">
        <f>IF(AND('领用录入（明细）'!D:D=$F$4,'领用录入（明细）'!C:C&gt;=$J$4,'领用录入（明细）'!C:C&lt;=$L$4),ROW(),"-")</f>
        <v>-</v>
      </c>
    </row>
    <row r="36945" customHeight="1" spans="2:2">
      <c r="B36945" s="62" t="str">
        <f>IF(AND('领用录入（明细）'!D:D=$F$4,'领用录入（明细）'!C:C&gt;=$J$4,'领用录入（明细）'!C:C&lt;=$L$4),ROW(),"-")</f>
        <v>-</v>
      </c>
    </row>
    <row r="36946" customHeight="1" spans="2:2">
      <c r="B36946" s="62" t="str">
        <f>IF(AND('领用录入（明细）'!D:D=$F$4,'领用录入（明细）'!C:C&gt;=$J$4,'领用录入（明细）'!C:C&lt;=$L$4),ROW(),"-")</f>
        <v>-</v>
      </c>
    </row>
    <row r="36947" customHeight="1" spans="2:2">
      <c r="B36947" s="62" t="str">
        <f>IF(AND('领用录入（明细）'!D:D=$F$4,'领用录入（明细）'!C:C&gt;=$J$4,'领用录入（明细）'!C:C&lt;=$L$4),ROW(),"-")</f>
        <v>-</v>
      </c>
    </row>
    <row r="36948" customHeight="1" spans="2:2">
      <c r="B36948" s="62" t="str">
        <f>IF(AND('领用录入（明细）'!D:D=$F$4,'领用录入（明细）'!C:C&gt;=$J$4,'领用录入（明细）'!C:C&lt;=$L$4),ROW(),"-")</f>
        <v>-</v>
      </c>
    </row>
    <row r="36949" customHeight="1" spans="2:2">
      <c r="B36949" s="62" t="str">
        <f>IF(AND('领用录入（明细）'!D:D=$F$4,'领用录入（明细）'!C:C&gt;=$J$4,'领用录入（明细）'!C:C&lt;=$L$4),ROW(),"-")</f>
        <v>-</v>
      </c>
    </row>
    <row r="36950" customHeight="1" spans="2:2">
      <c r="B36950" s="62" t="str">
        <f>IF(AND('领用录入（明细）'!D:D=$F$4,'领用录入（明细）'!C:C&gt;=$J$4,'领用录入（明细）'!C:C&lt;=$L$4),ROW(),"-")</f>
        <v>-</v>
      </c>
    </row>
    <row r="36951" customHeight="1" spans="2:2">
      <c r="B36951" s="62" t="str">
        <f>IF(AND('领用录入（明细）'!D:D=$F$4,'领用录入（明细）'!C:C&gt;=$J$4,'领用录入（明细）'!C:C&lt;=$L$4),ROW(),"-")</f>
        <v>-</v>
      </c>
    </row>
    <row r="36952" customHeight="1" spans="2:2">
      <c r="B36952" s="62" t="str">
        <f>IF(AND('领用录入（明细）'!D:D=$F$4,'领用录入（明细）'!C:C&gt;=$J$4,'领用录入（明细）'!C:C&lt;=$L$4),ROW(),"-")</f>
        <v>-</v>
      </c>
    </row>
    <row r="36953" customHeight="1" spans="2:2">
      <c r="B36953" s="62" t="str">
        <f>IF(AND('领用录入（明细）'!D:D=$F$4,'领用录入（明细）'!C:C&gt;=$J$4,'领用录入（明细）'!C:C&lt;=$L$4),ROW(),"-")</f>
        <v>-</v>
      </c>
    </row>
    <row r="36954" customHeight="1" spans="2:2">
      <c r="B36954" s="62" t="str">
        <f>IF(AND('领用录入（明细）'!D:D=$F$4,'领用录入（明细）'!C:C&gt;=$J$4,'领用录入（明细）'!C:C&lt;=$L$4),ROW(),"-")</f>
        <v>-</v>
      </c>
    </row>
    <row r="36955" customHeight="1" spans="2:2">
      <c r="B36955" s="62" t="str">
        <f>IF(AND('领用录入（明细）'!D:D=$F$4,'领用录入（明细）'!C:C&gt;=$J$4,'领用录入（明细）'!C:C&lt;=$L$4),ROW(),"-")</f>
        <v>-</v>
      </c>
    </row>
    <row r="36956" customHeight="1" spans="2:2">
      <c r="B36956" s="62" t="str">
        <f>IF(AND('领用录入（明细）'!D:D=$F$4,'领用录入（明细）'!C:C&gt;=$J$4,'领用录入（明细）'!C:C&lt;=$L$4),ROW(),"-")</f>
        <v>-</v>
      </c>
    </row>
    <row r="36957" customHeight="1" spans="2:2">
      <c r="B36957" s="62" t="str">
        <f>IF(AND('领用录入（明细）'!D:D=$F$4,'领用录入（明细）'!C:C&gt;=$J$4,'领用录入（明细）'!C:C&lt;=$L$4),ROW(),"-")</f>
        <v>-</v>
      </c>
    </row>
    <row r="36958" customHeight="1" spans="2:2">
      <c r="B36958" s="62" t="str">
        <f>IF(AND('领用录入（明细）'!D:D=$F$4,'领用录入（明细）'!C:C&gt;=$J$4,'领用录入（明细）'!C:C&lt;=$L$4),ROW(),"-")</f>
        <v>-</v>
      </c>
    </row>
    <row r="36959" customHeight="1" spans="2:2">
      <c r="B36959" s="62" t="str">
        <f>IF(AND('领用录入（明细）'!D:D=$F$4,'领用录入（明细）'!C:C&gt;=$J$4,'领用录入（明细）'!C:C&lt;=$L$4),ROW(),"-")</f>
        <v>-</v>
      </c>
    </row>
    <row r="36960" customHeight="1" spans="2:2">
      <c r="B36960" s="62" t="str">
        <f>IF(AND('领用录入（明细）'!D:D=$F$4,'领用录入（明细）'!C:C&gt;=$J$4,'领用录入（明细）'!C:C&lt;=$L$4),ROW(),"-")</f>
        <v>-</v>
      </c>
    </row>
    <row r="36961" customHeight="1" spans="2:2">
      <c r="B36961" s="62" t="str">
        <f>IF(AND('领用录入（明细）'!D:D=$F$4,'领用录入（明细）'!C:C&gt;=$J$4,'领用录入（明细）'!C:C&lt;=$L$4),ROW(),"-")</f>
        <v>-</v>
      </c>
    </row>
    <row r="36962" customHeight="1" spans="2:2">
      <c r="B36962" s="62" t="str">
        <f>IF(AND('领用录入（明细）'!D:D=$F$4,'领用录入（明细）'!C:C&gt;=$J$4,'领用录入（明细）'!C:C&lt;=$L$4),ROW(),"-")</f>
        <v>-</v>
      </c>
    </row>
    <row r="36963" customHeight="1" spans="2:2">
      <c r="B36963" s="62" t="str">
        <f>IF(AND('领用录入（明细）'!D:D=$F$4,'领用录入（明细）'!C:C&gt;=$J$4,'领用录入（明细）'!C:C&lt;=$L$4),ROW(),"-")</f>
        <v>-</v>
      </c>
    </row>
    <row r="36964" customHeight="1" spans="2:2">
      <c r="B36964" s="62" t="str">
        <f>IF(AND('领用录入（明细）'!D:D=$F$4,'领用录入（明细）'!C:C&gt;=$J$4,'领用录入（明细）'!C:C&lt;=$L$4),ROW(),"-")</f>
        <v>-</v>
      </c>
    </row>
    <row r="36965" customHeight="1" spans="2:2">
      <c r="B36965" s="62" t="str">
        <f>IF(AND('领用录入（明细）'!D:D=$F$4,'领用录入（明细）'!C:C&gt;=$J$4,'领用录入（明细）'!C:C&lt;=$L$4),ROW(),"-")</f>
        <v>-</v>
      </c>
    </row>
    <row r="36966" customHeight="1" spans="2:2">
      <c r="B36966" s="62" t="str">
        <f>IF(AND('领用录入（明细）'!D:D=$F$4,'领用录入（明细）'!C:C&gt;=$J$4,'领用录入（明细）'!C:C&lt;=$L$4),ROW(),"-")</f>
        <v>-</v>
      </c>
    </row>
    <row r="36967" customHeight="1" spans="2:2">
      <c r="B36967" s="62" t="str">
        <f>IF(AND('领用录入（明细）'!D:D=$F$4,'领用录入（明细）'!C:C&gt;=$J$4,'领用录入（明细）'!C:C&lt;=$L$4),ROW(),"-")</f>
        <v>-</v>
      </c>
    </row>
    <row r="36968" customHeight="1" spans="2:2">
      <c r="B36968" s="62" t="str">
        <f>IF(AND('领用录入（明细）'!D:D=$F$4,'领用录入（明细）'!C:C&gt;=$J$4,'领用录入（明细）'!C:C&lt;=$L$4),ROW(),"-")</f>
        <v>-</v>
      </c>
    </row>
    <row r="36969" customHeight="1" spans="2:2">
      <c r="B36969" s="62" t="str">
        <f>IF(AND('领用录入（明细）'!D:D=$F$4,'领用录入（明细）'!C:C&gt;=$J$4,'领用录入（明细）'!C:C&lt;=$L$4),ROW(),"-")</f>
        <v>-</v>
      </c>
    </row>
    <row r="36970" customHeight="1" spans="2:2">
      <c r="B36970" s="62" t="str">
        <f>IF(AND('领用录入（明细）'!D:D=$F$4,'领用录入（明细）'!C:C&gt;=$J$4,'领用录入（明细）'!C:C&lt;=$L$4),ROW(),"-")</f>
        <v>-</v>
      </c>
    </row>
    <row r="36971" customHeight="1" spans="2:2">
      <c r="B36971" s="62" t="str">
        <f>IF(AND('领用录入（明细）'!D:D=$F$4,'领用录入（明细）'!C:C&gt;=$J$4,'领用录入（明细）'!C:C&lt;=$L$4),ROW(),"-")</f>
        <v>-</v>
      </c>
    </row>
    <row r="36972" customHeight="1" spans="2:2">
      <c r="B36972" s="62" t="str">
        <f>IF(AND('领用录入（明细）'!D:D=$F$4,'领用录入（明细）'!C:C&gt;=$J$4,'领用录入（明细）'!C:C&lt;=$L$4),ROW(),"-")</f>
        <v>-</v>
      </c>
    </row>
    <row r="36973" customHeight="1" spans="2:2">
      <c r="B36973" s="62" t="str">
        <f>IF(AND('领用录入（明细）'!D:D=$F$4,'领用录入（明细）'!C:C&gt;=$J$4,'领用录入（明细）'!C:C&lt;=$L$4),ROW(),"-")</f>
        <v>-</v>
      </c>
    </row>
    <row r="36974" customHeight="1" spans="2:2">
      <c r="B36974" s="62" t="str">
        <f>IF(AND('领用录入（明细）'!D:D=$F$4,'领用录入（明细）'!C:C&gt;=$J$4,'领用录入（明细）'!C:C&lt;=$L$4),ROW(),"-")</f>
        <v>-</v>
      </c>
    </row>
    <row r="36975" customHeight="1" spans="2:2">
      <c r="B36975" s="62" t="str">
        <f>IF(AND('领用录入（明细）'!D:D=$F$4,'领用录入（明细）'!C:C&gt;=$J$4,'领用录入（明细）'!C:C&lt;=$L$4),ROW(),"-")</f>
        <v>-</v>
      </c>
    </row>
    <row r="36976" customHeight="1" spans="2:2">
      <c r="B36976" s="62" t="str">
        <f>IF(AND('领用录入（明细）'!D:D=$F$4,'领用录入（明细）'!C:C&gt;=$J$4,'领用录入（明细）'!C:C&lt;=$L$4),ROW(),"-")</f>
        <v>-</v>
      </c>
    </row>
    <row r="36977" customHeight="1" spans="2:2">
      <c r="B36977" s="62" t="str">
        <f>IF(AND('领用录入（明细）'!D:D=$F$4,'领用录入（明细）'!C:C&gt;=$J$4,'领用录入（明细）'!C:C&lt;=$L$4),ROW(),"-")</f>
        <v>-</v>
      </c>
    </row>
    <row r="36978" customHeight="1" spans="2:2">
      <c r="B36978" s="62" t="str">
        <f>IF(AND('领用录入（明细）'!D:D=$F$4,'领用录入（明细）'!C:C&gt;=$J$4,'领用录入（明细）'!C:C&lt;=$L$4),ROW(),"-")</f>
        <v>-</v>
      </c>
    </row>
    <row r="36979" customHeight="1" spans="2:2">
      <c r="B36979" s="62" t="str">
        <f>IF(AND('领用录入（明细）'!D:D=$F$4,'领用录入（明细）'!C:C&gt;=$J$4,'领用录入（明细）'!C:C&lt;=$L$4),ROW(),"-")</f>
        <v>-</v>
      </c>
    </row>
    <row r="36980" customHeight="1" spans="2:2">
      <c r="B36980" s="62" t="str">
        <f>IF(AND('领用录入（明细）'!D:D=$F$4,'领用录入（明细）'!C:C&gt;=$J$4,'领用录入（明细）'!C:C&lt;=$L$4),ROW(),"-")</f>
        <v>-</v>
      </c>
    </row>
    <row r="36981" customHeight="1" spans="2:2">
      <c r="B36981" s="62" t="str">
        <f>IF(AND('领用录入（明细）'!D:D=$F$4,'领用录入（明细）'!C:C&gt;=$J$4,'领用录入（明细）'!C:C&lt;=$L$4),ROW(),"-")</f>
        <v>-</v>
      </c>
    </row>
    <row r="36982" customHeight="1" spans="2:2">
      <c r="B36982" s="62" t="str">
        <f>IF(AND('领用录入（明细）'!D:D=$F$4,'领用录入（明细）'!C:C&gt;=$J$4,'领用录入（明细）'!C:C&lt;=$L$4),ROW(),"-")</f>
        <v>-</v>
      </c>
    </row>
    <row r="36983" customHeight="1" spans="2:2">
      <c r="B36983" s="62" t="str">
        <f>IF(AND('领用录入（明细）'!D:D=$F$4,'领用录入（明细）'!C:C&gt;=$J$4,'领用录入（明细）'!C:C&lt;=$L$4),ROW(),"-")</f>
        <v>-</v>
      </c>
    </row>
    <row r="36984" customHeight="1" spans="2:2">
      <c r="B36984" s="62" t="str">
        <f>IF(AND('领用录入（明细）'!D:D=$F$4,'领用录入（明细）'!C:C&gt;=$J$4,'领用录入（明细）'!C:C&lt;=$L$4),ROW(),"-")</f>
        <v>-</v>
      </c>
    </row>
    <row r="36985" customHeight="1" spans="2:2">
      <c r="B36985" s="62" t="str">
        <f>IF(AND('领用录入（明细）'!D:D=$F$4,'领用录入（明细）'!C:C&gt;=$J$4,'领用录入（明细）'!C:C&lt;=$L$4),ROW(),"-")</f>
        <v>-</v>
      </c>
    </row>
    <row r="36986" customHeight="1" spans="2:2">
      <c r="B36986" s="62" t="str">
        <f>IF(AND('领用录入（明细）'!D:D=$F$4,'领用录入（明细）'!C:C&gt;=$J$4,'领用录入（明细）'!C:C&lt;=$L$4),ROW(),"-")</f>
        <v>-</v>
      </c>
    </row>
    <row r="36987" customHeight="1" spans="2:2">
      <c r="B36987" s="62" t="str">
        <f>IF(AND('领用录入（明细）'!D:D=$F$4,'领用录入（明细）'!C:C&gt;=$J$4,'领用录入（明细）'!C:C&lt;=$L$4),ROW(),"-")</f>
        <v>-</v>
      </c>
    </row>
    <row r="36988" customHeight="1" spans="2:2">
      <c r="B36988" s="62" t="str">
        <f>IF(AND('领用录入（明细）'!D:D=$F$4,'领用录入（明细）'!C:C&gt;=$J$4,'领用录入（明细）'!C:C&lt;=$L$4),ROW(),"-")</f>
        <v>-</v>
      </c>
    </row>
    <row r="36989" customHeight="1" spans="2:2">
      <c r="B36989" s="62" t="str">
        <f>IF(AND('领用录入（明细）'!D:D=$F$4,'领用录入（明细）'!C:C&gt;=$J$4,'领用录入（明细）'!C:C&lt;=$L$4),ROW(),"-")</f>
        <v>-</v>
      </c>
    </row>
    <row r="36990" customHeight="1" spans="2:2">
      <c r="B36990" s="62" t="str">
        <f>IF(AND('领用录入（明细）'!D:D=$F$4,'领用录入（明细）'!C:C&gt;=$J$4,'领用录入（明细）'!C:C&lt;=$L$4),ROW(),"-")</f>
        <v>-</v>
      </c>
    </row>
    <row r="36991" customHeight="1" spans="2:2">
      <c r="B36991" s="62" t="str">
        <f>IF(AND('领用录入（明细）'!D:D=$F$4,'领用录入（明细）'!C:C&gt;=$J$4,'领用录入（明细）'!C:C&lt;=$L$4),ROW(),"-")</f>
        <v>-</v>
      </c>
    </row>
    <row r="36992" customHeight="1" spans="2:2">
      <c r="B36992" s="62" t="str">
        <f>IF(AND('领用录入（明细）'!D:D=$F$4,'领用录入（明细）'!C:C&gt;=$J$4,'领用录入（明细）'!C:C&lt;=$L$4),ROW(),"-")</f>
        <v>-</v>
      </c>
    </row>
    <row r="36993" customHeight="1" spans="2:2">
      <c r="B36993" s="62" t="str">
        <f>IF(AND('领用录入（明细）'!D:D=$F$4,'领用录入（明细）'!C:C&gt;=$J$4,'领用录入（明细）'!C:C&lt;=$L$4),ROW(),"-")</f>
        <v>-</v>
      </c>
    </row>
    <row r="36994" customHeight="1" spans="2:2">
      <c r="B36994" s="62" t="str">
        <f>IF(AND('领用录入（明细）'!D:D=$F$4,'领用录入（明细）'!C:C&gt;=$J$4,'领用录入（明细）'!C:C&lt;=$L$4),ROW(),"-")</f>
        <v>-</v>
      </c>
    </row>
    <row r="36995" customHeight="1" spans="2:2">
      <c r="B36995" s="62" t="str">
        <f>IF(AND('领用录入（明细）'!D:D=$F$4,'领用录入（明细）'!C:C&gt;=$J$4,'领用录入（明细）'!C:C&lt;=$L$4),ROW(),"-")</f>
        <v>-</v>
      </c>
    </row>
    <row r="36996" customHeight="1" spans="2:2">
      <c r="B36996" s="62" t="str">
        <f>IF(AND('领用录入（明细）'!D:D=$F$4,'领用录入（明细）'!C:C&gt;=$J$4,'领用录入（明细）'!C:C&lt;=$L$4),ROW(),"-")</f>
        <v>-</v>
      </c>
    </row>
    <row r="36997" customHeight="1" spans="2:2">
      <c r="B36997" s="62" t="str">
        <f>IF(AND('领用录入（明细）'!D:D=$F$4,'领用录入（明细）'!C:C&gt;=$J$4,'领用录入（明细）'!C:C&lt;=$L$4),ROW(),"-")</f>
        <v>-</v>
      </c>
    </row>
    <row r="36998" customHeight="1" spans="2:2">
      <c r="B36998" s="62" t="str">
        <f>IF(AND('领用录入（明细）'!D:D=$F$4,'领用录入（明细）'!C:C&gt;=$J$4,'领用录入（明细）'!C:C&lt;=$L$4),ROW(),"-")</f>
        <v>-</v>
      </c>
    </row>
    <row r="36999" customHeight="1" spans="2:2">
      <c r="B36999" s="62" t="str">
        <f>IF(AND('领用录入（明细）'!D:D=$F$4,'领用录入（明细）'!C:C&gt;=$J$4,'领用录入（明细）'!C:C&lt;=$L$4),ROW(),"-")</f>
        <v>-</v>
      </c>
    </row>
    <row r="37000" customHeight="1" spans="2:2">
      <c r="B37000" s="62" t="str">
        <f>IF(AND('领用录入（明细）'!D:D=$F$4,'领用录入（明细）'!C:C&gt;=$J$4,'领用录入（明细）'!C:C&lt;=$L$4),ROW(),"-")</f>
        <v>-</v>
      </c>
    </row>
    <row r="37001" customHeight="1" spans="2:2">
      <c r="B37001" s="62" t="str">
        <f>IF(AND('领用录入（明细）'!D:D=$F$4,'领用录入（明细）'!C:C&gt;=$J$4,'领用录入（明细）'!C:C&lt;=$L$4),ROW(),"-")</f>
        <v>-</v>
      </c>
    </row>
    <row r="37002" customHeight="1" spans="2:2">
      <c r="B37002" s="62" t="str">
        <f>IF(AND('领用录入（明细）'!D:D=$F$4,'领用录入（明细）'!C:C&gt;=$J$4,'领用录入（明细）'!C:C&lt;=$L$4),ROW(),"-")</f>
        <v>-</v>
      </c>
    </row>
    <row r="37003" customHeight="1" spans="2:2">
      <c r="B37003" s="62" t="str">
        <f>IF(AND('领用录入（明细）'!D:D=$F$4,'领用录入（明细）'!C:C&gt;=$J$4,'领用录入（明细）'!C:C&lt;=$L$4),ROW(),"-")</f>
        <v>-</v>
      </c>
    </row>
    <row r="37004" customHeight="1" spans="2:2">
      <c r="B37004" s="62" t="str">
        <f>IF(AND('领用录入（明细）'!D:D=$F$4,'领用录入（明细）'!C:C&gt;=$J$4,'领用录入（明细）'!C:C&lt;=$L$4),ROW(),"-")</f>
        <v>-</v>
      </c>
    </row>
    <row r="37005" customHeight="1" spans="2:2">
      <c r="B37005" s="62" t="str">
        <f>IF(AND('领用录入（明细）'!D:D=$F$4,'领用录入（明细）'!C:C&gt;=$J$4,'领用录入（明细）'!C:C&lt;=$L$4),ROW(),"-")</f>
        <v>-</v>
      </c>
    </row>
    <row r="37006" customHeight="1" spans="2:2">
      <c r="B37006" s="62" t="str">
        <f>IF(AND('领用录入（明细）'!D:D=$F$4,'领用录入（明细）'!C:C&gt;=$J$4,'领用录入（明细）'!C:C&lt;=$L$4),ROW(),"-")</f>
        <v>-</v>
      </c>
    </row>
    <row r="37007" customHeight="1" spans="2:2">
      <c r="B37007" s="62" t="str">
        <f>IF(AND('领用录入（明细）'!D:D=$F$4,'领用录入（明细）'!C:C&gt;=$J$4,'领用录入（明细）'!C:C&lt;=$L$4),ROW(),"-")</f>
        <v>-</v>
      </c>
    </row>
    <row r="37008" customHeight="1" spans="2:2">
      <c r="B37008" s="62" t="str">
        <f>IF(AND('领用录入（明细）'!D:D=$F$4,'领用录入（明细）'!C:C&gt;=$J$4,'领用录入（明细）'!C:C&lt;=$L$4),ROW(),"-")</f>
        <v>-</v>
      </c>
    </row>
    <row r="37009" customHeight="1" spans="2:2">
      <c r="B37009" s="62" t="str">
        <f>IF(AND('领用录入（明细）'!D:D=$F$4,'领用录入（明细）'!C:C&gt;=$J$4,'领用录入（明细）'!C:C&lt;=$L$4),ROW(),"-")</f>
        <v>-</v>
      </c>
    </row>
    <row r="37010" customHeight="1" spans="2:2">
      <c r="B37010" s="62" t="str">
        <f>IF(AND('领用录入（明细）'!D:D=$F$4,'领用录入（明细）'!C:C&gt;=$J$4,'领用录入（明细）'!C:C&lt;=$L$4),ROW(),"-")</f>
        <v>-</v>
      </c>
    </row>
    <row r="37011" customHeight="1" spans="2:2">
      <c r="B37011" s="62" t="str">
        <f>IF(AND('领用录入（明细）'!D:D=$F$4,'领用录入（明细）'!C:C&gt;=$J$4,'领用录入（明细）'!C:C&lt;=$L$4),ROW(),"-")</f>
        <v>-</v>
      </c>
    </row>
    <row r="37012" customHeight="1" spans="2:2">
      <c r="B37012" s="62" t="str">
        <f>IF(AND('领用录入（明细）'!D:D=$F$4,'领用录入（明细）'!C:C&gt;=$J$4,'领用录入（明细）'!C:C&lt;=$L$4),ROW(),"-")</f>
        <v>-</v>
      </c>
    </row>
    <row r="37013" customHeight="1" spans="2:2">
      <c r="B37013" s="62" t="str">
        <f>IF(AND('领用录入（明细）'!D:D=$F$4,'领用录入（明细）'!C:C&gt;=$J$4,'领用录入（明细）'!C:C&lt;=$L$4),ROW(),"-")</f>
        <v>-</v>
      </c>
    </row>
    <row r="37014" customHeight="1" spans="2:2">
      <c r="B37014" s="62" t="str">
        <f>IF(AND('领用录入（明细）'!D:D=$F$4,'领用录入（明细）'!C:C&gt;=$J$4,'领用录入（明细）'!C:C&lt;=$L$4),ROW(),"-")</f>
        <v>-</v>
      </c>
    </row>
    <row r="37015" customHeight="1" spans="2:2">
      <c r="B37015" s="62" t="str">
        <f>IF(AND('领用录入（明细）'!D:D=$F$4,'领用录入（明细）'!C:C&gt;=$J$4,'领用录入（明细）'!C:C&lt;=$L$4),ROW(),"-")</f>
        <v>-</v>
      </c>
    </row>
    <row r="37016" customHeight="1" spans="2:2">
      <c r="B37016" s="62" t="str">
        <f>IF(AND('领用录入（明细）'!D:D=$F$4,'领用录入（明细）'!C:C&gt;=$J$4,'领用录入（明细）'!C:C&lt;=$L$4),ROW(),"-")</f>
        <v>-</v>
      </c>
    </row>
    <row r="37017" customHeight="1" spans="2:2">
      <c r="B37017" s="62" t="str">
        <f>IF(AND('领用录入（明细）'!D:D=$F$4,'领用录入（明细）'!C:C&gt;=$J$4,'领用录入（明细）'!C:C&lt;=$L$4),ROW(),"-")</f>
        <v>-</v>
      </c>
    </row>
    <row r="37018" customHeight="1" spans="2:2">
      <c r="B37018" s="62" t="str">
        <f>IF(AND('领用录入（明细）'!D:D=$F$4,'领用录入（明细）'!C:C&gt;=$J$4,'领用录入（明细）'!C:C&lt;=$L$4),ROW(),"-")</f>
        <v>-</v>
      </c>
    </row>
    <row r="37019" customHeight="1" spans="2:2">
      <c r="B37019" s="62" t="str">
        <f>IF(AND('领用录入（明细）'!D:D=$F$4,'领用录入（明细）'!C:C&gt;=$J$4,'领用录入（明细）'!C:C&lt;=$L$4),ROW(),"-")</f>
        <v>-</v>
      </c>
    </row>
    <row r="37020" customHeight="1" spans="2:2">
      <c r="B37020" s="62" t="str">
        <f>IF(AND('领用录入（明细）'!D:D=$F$4,'领用录入（明细）'!C:C&gt;=$J$4,'领用录入（明细）'!C:C&lt;=$L$4),ROW(),"-")</f>
        <v>-</v>
      </c>
    </row>
    <row r="37021" customHeight="1" spans="2:2">
      <c r="B37021" s="62" t="str">
        <f>IF(AND('领用录入（明细）'!D:D=$F$4,'领用录入（明细）'!C:C&gt;=$J$4,'领用录入（明细）'!C:C&lt;=$L$4),ROW(),"-")</f>
        <v>-</v>
      </c>
    </row>
    <row r="37022" customHeight="1" spans="2:2">
      <c r="B37022" s="62" t="str">
        <f>IF(AND('领用录入（明细）'!D:D=$F$4,'领用录入（明细）'!C:C&gt;=$J$4,'领用录入（明细）'!C:C&lt;=$L$4),ROW(),"-")</f>
        <v>-</v>
      </c>
    </row>
    <row r="37023" customHeight="1" spans="2:2">
      <c r="B37023" s="62" t="str">
        <f>IF(AND('领用录入（明细）'!D:D=$F$4,'领用录入（明细）'!C:C&gt;=$J$4,'领用录入（明细）'!C:C&lt;=$L$4),ROW(),"-")</f>
        <v>-</v>
      </c>
    </row>
    <row r="37024" customHeight="1" spans="2:2">
      <c r="B37024" s="62" t="str">
        <f>IF(AND('领用录入（明细）'!D:D=$F$4,'领用录入（明细）'!C:C&gt;=$J$4,'领用录入（明细）'!C:C&lt;=$L$4),ROW(),"-")</f>
        <v>-</v>
      </c>
    </row>
    <row r="37025" customHeight="1" spans="2:2">
      <c r="B37025" s="62" t="str">
        <f>IF(AND('领用录入（明细）'!D:D=$F$4,'领用录入（明细）'!C:C&gt;=$J$4,'领用录入（明细）'!C:C&lt;=$L$4),ROW(),"-")</f>
        <v>-</v>
      </c>
    </row>
    <row r="37026" customHeight="1" spans="2:2">
      <c r="B37026" s="62" t="str">
        <f>IF(AND('领用录入（明细）'!D:D=$F$4,'领用录入（明细）'!C:C&gt;=$J$4,'领用录入（明细）'!C:C&lt;=$L$4),ROW(),"-")</f>
        <v>-</v>
      </c>
    </row>
    <row r="37027" customHeight="1" spans="2:2">
      <c r="B37027" s="62" t="str">
        <f>IF(AND('领用录入（明细）'!D:D=$F$4,'领用录入（明细）'!C:C&gt;=$J$4,'领用录入（明细）'!C:C&lt;=$L$4),ROW(),"-")</f>
        <v>-</v>
      </c>
    </row>
    <row r="37028" customHeight="1" spans="2:2">
      <c r="B37028" s="62" t="str">
        <f>IF(AND('领用录入（明细）'!D:D=$F$4,'领用录入（明细）'!C:C&gt;=$J$4,'领用录入（明细）'!C:C&lt;=$L$4),ROW(),"-")</f>
        <v>-</v>
      </c>
    </row>
    <row r="37029" customHeight="1" spans="2:2">
      <c r="B37029" s="62" t="str">
        <f>IF(AND('领用录入（明细）'!D:D=$F$4,'领用录入（明细）'!C:C&gt;=$J$4,'领用录入（明细）'!C:C&lt;=$L$4),ROW(),"-")</f>
        <v>-</v>
      </c>
    </row>
    <row r="37030" customHeight="1" spans="2:2">
      <c r="B37030" s="62" t="str">
        <f>IF(AND('领用录入（明细）'!D:D=$F$4,'领用录入（明细）'!C:C&gt;=$J$4,'领用录入（明细）'!C:C&lt;=$L$4),ROW(),"-")</f>
        <v>-</v>
      </c>
    </row>
    <row r="37031" customHeight="1" spans="2:2">
      <c r="B37031" s="62" t="str">
        <f>IF(AND('领用录入（明细）'!D:D=$F$4,'领用录入（明细）'!C:C&gt;=$J$4,'领用录入（明细）'!C:C&lt;=$L$4),ROW(),"-")</f>
        <v>-</v>
      </c>
    </row>
    <row r="37032" customHeight="1" spans="2:2">
      <c r="B37032" s="62" t="str">
        <f>IF(AND('领用录入（明细）'!D:D=$F$4,'领用录入（明细）'!C:C&gt;=$J$4,'领用录入（明细）'!C:C&lt;=$L$4),ROW(),"-")</f>
        <v>-</v>
      </c>
    </row>
    <row r="37033" customHeight="1" spans="2:2">
      <c r="B37033" s="62" t="str">
        <f>IF(AND('领用录入（明细）'!D:D=$F$4,'领用录入（明细）'!C:C&gt;=$J$4,'领用录入（明细）'!C:C&lt;=$L$4),ROW(),"-")</f>
        <v>-</v>
      </c>
    </row>
    <row r="37034" customHeight="1" spans="2:2">
      <c r="B37034" s="62" t="str">
        <f>IF(AND('领用录入（明细）'!D:D=$F$4,'领用录入（明细）'!C:C&gt;=$J$4,'领用录入（明细）'!C:C&lt;=$L$4),ROW(),"-")</f>
        <v>-</v>
      </c>
    </row>
    <row r="37035" customHeight="1" spans="2:2">
      <c r="B37035" s="62" t="str">
        <f>IF(AND('领用录入（明细）'!D:D=$F$4,'领用录入（明细）'!C:C&gt;=$J$4,'领用录入（明细）'!C:C&lt;=$L$4),ROW(),"-")</f>
        <v>-</v>
      </c>
    </row>
    <row r="37036" customHeight="1" spans="2:2">
      <c r="B37036" s="62" t="str">
        <f>IF(AND('领用录入（明细）'!D:D=$F$4,'领用录入（明细）'!C:C&gt;=$J$4,'领用录入（明细）'!C:C&lt;=$L$4),ROW(),"-")</f>
        <v>-</v>
      </c>
    </row>
    <row r="37037" customHeight="1" spans="2:2">
      <c r="B37037" s="62" t="str">
        <f>IF(AND('领用录入（明细）'!D:D=$F$4,'领用录入（明细）'!C:C&gt;=$J$4,'领用录入（明细）'!C:C&lt;=$L$4),ROW(),"-")</f>
        <v>-</v>
      </c>
    </row>
    <row r="37038" customHeight="1" spans="2:2">
      <c r="B37038" s="62" t="str">
        <f>IF(AND('领用录入（明细）'!D:D=$F$4,'领用录入（明细）'!C:C&gt;=$J$4,'领用录入（明细）'!C:C&lt;=$L$4),ROW(),"-")</f>
        <v>-</v>
      </c>
    </row>
    <row r="37039" customHeight="1" spans="2:2">
      <c r="B37039" s="62" t="str">
        <f>IF(AND('领用录入（明细）'!D:D=$F$4,'领用录入（明细）'!C:C&gt;=$J$4,'领用录入（明细）'!C:C&lt;=$L$4),ROW(),"-")</f>
        <v>-</v>
      </c>
    </row>
    <row r="37040" customHeight="1" spans="2:2">
      <c r="B37040" s="62" t="str">
        <f>IF(AND('领用录入（明细）'!D:D=$F$4,'领用录入（明细）'!C:C&gt;=$J$4,'领用录入（明细）'!C:C&lt;=$L$4),ROW(),"-")</f>
        <v>-</v>
      </c>
    </row>
    <row r="37041" customHeight="1" spans="2:2">
      <c r="B37041" s="62" t="str">
        <f>IF(AND('领用录入（明细）'!D:D=$F$4,'领用录入（明细）'!C:C&gt;=$J$4,'领用录入（明细）'!C:C&lt;=$L$4),ROW(),"-")</f>
        <v>-</v>
      </c>
    </row>
    <row r="37042" customHeight="1" spans="2:2">
      <c r="B37042" s="62" t="str">
        <f>IF(AND('领用录入（明细）'!D:D=$F$4,'领用录入（明细）'!C:C&gt;=$J$4,'领用录入（明细）'!C:C&lt;=$L$4),ROW(),"-")</f>
        <v>-</v>
      </c>
    </row>
    <row r="37043" customHeight="1" spans="2:2">
      <c r="B37043" s="62" t="str">
        <f>IF(AND('领用录入（明细）'!D:D=$F$4,'领用录入（明细）'!C:C&gt;=$J$4,'领用录入（明细）'!C:C&lt;=$L$4),ROW(),"-")</f>
        <v>-</v>
      </c>
    </row>
    <row r="37044" customHeight="1" spans="2:2">
      <c r="B37044" s="62" t="str">
        <f>IF(AND('领用录入（明细）'!D:D=$F$4,'领用录入（明细）'!C:C&gt;=$J$4,'领用录入（明细）'!C:C&lt;=$L$4),ROW(),"-")</f>
        <v>-</v>
      </c>
    </row>
    <row r="37045" customHeight="1" spans="2:2">
      <c r="B37045" s="62" t="str">
        <f>IF(AND('领用录入（明细）'!D:D=$F$4,'领用录入（明细）'!C:C&gt;=$J$4,'领用录入（明细）'!C:C&lt;=$L$4),ROW(),"-")</f>
        <v>-</v>
      </c>
    </row>
    <row r="37046" customHeight="1" spans="2:2">
      <c r="B37046" s="62" t="str">
        <f>IF(AND('领用录入（明细）'!D:D=$F$4,'领用录入（明细）'!C:C&gt;=$J$4,'领用录入（明细）'!C:C&lt;=$L$4),ROW(),"-")</f>
        <v>-</v>
      </c>
    </row>
    <row r="37047" customHeight="1" spans="2:2">
      <c r="B37047" s="62" t="str">
        <f>IF(AND('领用录入（明细）'!D:D=$F$4,'领用录入（明细）'!C:C&gt;=$J$4,'领用录入（明细）'!C:C&lt;=$L$4),ROW(),"-")</f>
        <v>-</v>
      </c>
    </row>
    <row r="37048" customHeight="1" spans="2:2">
      <c r="B37048" s="62" t="str">
        <f>IF(AND('领用录入（明细）'!D:D=$F$4,'领用录入（明细）'!C:C&gt;=$J$4,'领用录入（明细）'!C:C&lt;=$L$4),ROW(),"-")</f>
        <v>-</v>
      </c>
    </row>
    <row r="37049" customHeight="1" spans="2:2">
      <c r="B37049" s="62" t="str">
        <f>IF(AND('领用录入（明细）'!D:D=$F$4,'领用录入（明细）'!C:C&gt;=$J$4,'领用录入（明细）'!C:C&lt;=$L$4),ROW(),"-")</f>
        <v>-</v>
      </c>
    </row>
    <row r="37050" customHeight="1" spans="2:2">
      <c r="B37050" s="62" t="str">
        <f>IF(AND('领用录入（明细）'!D:D=$F$4,'领用录入（明细）'!C:C&gt;=$J$4,'领用录入（明细）'!C:C&lt;=$L$4),ROW(),"-")</f>
        <v>-</v>
      </c>
    </row>
    <row r="37051" customHeight="1" spans="2:2">
      <c r="B37051" s="62" t="str">
        <f>IF(AND('领用录入（明细）'!D:D=$F$4,'领用录入（明细）'!C:C&gt;=$J$4,'领用录入（明细）'!C:C&lt;=$L$4),ROW(),"-")</f>
        <v>-</v>
      </c>
    </row>
    <row r="37052" customHeight="1" spans="2:2">
      <c r="B37052" s="62" t="str">
        <f>IF(AND('领用录入（明细）'!D:D=$F$4,'领用录入（明细）'!C:C&gt;=$J$4,'领用录入（明细）'!C:C&lt;=$L$4),ROW(),"-")</f>
        <v>-</v>
      </c>
    </row>
    <row r="37053" customHeight="1" spans="2:2">
      <c r="B37053" s="62" t="str">
        <f>IF(AND('领用录入（明细）'!D:D=$F$4,'领用录入（明细）'!C:C&gt;=$J$4,'领用录入（明细）'!C:C&lt;=$L$4),ROW(),"-")</f>
        <v>-</v>
      </c>
    </row>
    <row r="37054" customHeight="1" spans="2:2">
      <c r="B37054" s="62" t="str">
        <f>IF(AND('领用录入（明细）'!D:D=$F$4,'领用录入（明细）'!C:C&gt;=$J$4,'领用录入（明细）'!C:C&lt;=$L$4),ROW(),"-")</f>
        <v>-</v>
      </c>
    </row>
    <row r="37055" customHeight="1" spans="2:2">
      <c r="B37055" s="62" t="str">
        <f>IF(AND('领用录入（明细）'!D:D=$F$4,'领用录入（明细）'!C:C&gt;=$J$4,'领用录入（明细）'!C:C&lt;=$L$4),ROW(),"-")</f>
        <v>-</v>
      </c>
    </row>
    <row r="37056" customHeight="1" spans="2:2">
      <c r="B37056" s="62" t="str">
        <f>IF(AND('领用录入（明细）'!D:D=$F$4,'领用录入（明细）'!C:C&gt;=$J$4,'领用录入（明细）'!C:C&lt;=$L$4),ROW(),"-")</f>
        <v>-</v>
      </c>
    </row>
    <row r="37057" customHeight="1" spans="2:2">
      <c r="B37057" s="62" t="str">
        <f>IF(AND('领用录入（明细）'!D:D=$F$4,'领用录入（明细）'!C:C&gt;=$J$4,'领用录入（明细）'!C:C&lt;=$L$4),ROW(),"-")</f>
        <v>-</v>
      </c>
    </row>
    <row r="37058" customHeight="1" spans="2:2">
      <c r="B37058" s="62" t="str">
        <f>IF(AND('领用录入（明细）'!D:D=$F$4,'领用录入（明细）'!C:C&gt;=$J$4,'领用录入（明细）'!C:C&lt;=$L$4),ROW(),"-")</f>
        <v>-</v>
      </c>
    </row>
    <row r="37059" customHeight="1" spans="2:2">
      <c r="B37059" s="62" t="str">
        <f>IF(AND('领用录入（明细）'!D:D=$F$4,'领用录入（明细）'!C:C&gt;=$J$4,'领用录入（明细）'!C:C&lt;=$L$4),ROW(),"-")</f>
        <v>-</v>
      </c>
    </row>
    <row r="37060" customHeight="1" spans="2:2">
      <c r="B37060" s="62" t="str">
        <f>IF(AND('领用录入（明细）'!D:D=$F$4,'领用录入（明细）'!C:C&gt;=$J$4,'领用录入（明细）'!C:C&lt;=$L$4),ROW(),"-")</f>
        <v>-</v>
      </c>
    </row>
    <row r="37061" customHeight="1" spans="2:2">
      <c r="B37061" s="62" t="str">
        <f>IF(AND('领用录入（明细）'!D:D=$F$4,'领用录入（明细）'!C:C&gt;=$J$4,'领用录入（明细）'!C:C&lt;=$L$4),ROW(),"-")</f>
        <v>-</v>
      </c>
    </row>
    <row r="37062" customHeight="1" spans="2:2">
      <c r="B37062" s="62" t="str">
        <f>IF(AND('领用录入（明细）'!D:D=$F$4,'领用录入（明细）'!C:C&gt;=$J$4,'领用录入（明细）'!C:C&lt;=$L$4),ROW(),"-")</f>
        <v>-</v>
      </c>
    </row>
    <row r="37063" customHeight="1" spans="2:2">
      <c r="B37063" s="62" t="str">
        <f>IF(AND('领用录入（明细）'!D:D=$F$4,'领用录入（明细）'!C:C&gt;=$J$4,'领用录入（明细）'!C:C&lt;=$L$4),ROW(),"-")</f>
        <v>-</v>
      </c>
    </row>
    <row r="37064" customHeight="1" spans="2:2">
      <c r="B37064" s="62" t="str">
        <f>IF(AND('领用录入（明细）'!D:D=$F$4,'领用录入（明细）'!C:C&gt;=$J$4,'领用录入（明细）'!C:C&lt;=$L$4),ROW(),"-")</f>
        <v>-</v>
      </c>
    </row>
    <row r="37065" customHeight="1" spans="2:2">
      <c r="B37065" s="62" t="str">
        <f>IF(AND('领用录入（明细）'!D:D=$F$4,'领用录入（明细）'!C:C&gt;=$J$4,'领用录入（明细）'!C:C&lt;=$L$4),ROW(),"-")</f>
        <v>-</v>
      </c>
    </row>
    <row r="37066" customHeight="1" spans="2:2">
      <c r="B37066" s="62" t="str">
        <f>IF(AND('领用录入（明细）'!D:D=$F$4,'领用录入（明细）'!C:C&gt;=$J$4,'领用录入（明细）'!C:C&lt;=$L$4),ROW(),"-")</f>
        <v>-</v>
      </c>
    </row>
    <row r="37067" customHeight="1" spans="2:2">
      <c r="B37067" s="62" t="str">
        <f>IF(AND('领用录入（明细）'!D:D=$F$4,'领用录入（明细）'!C:C&gt;=$J$4,'领用录入（明细）'!C:C&lt;=$L$4),ROW(),"-")</f>
        <v>-</v>
      </c>
    </row>
    <row r="37068" customHeight="1" spans="2:2">
      <c r="B37068" s="62" t="str">
        <f>IF(AND('领用录入（明细）'!D:D=$F$4,'领用录入（明细）'!C:C&gt;=$J$4,'领用录入（明细）'!C:C&lt;=$L$4),ROW(),"-")</f>
        <v>-</v>
      </c>
    </row>
    <row r="37069" customHeight="1" spans="2:2">
      <c r="B37069" s="62" t="str">
        <f>IF(AND('领用录入（明细）'!D:D=$F$4,'领用录入（明细）'!C:C&gt;=$J$4,'领用录入（明细）'!C:C&lt;=$L$4),ROW(),"-")</f>
        <v>-</v>
      </c>
    </row>
    <row r="37070" customHeight="1" spans="2:2">
      <c r="B37070" s="62" t="str">
        <f>IF(AND('领用录入（明细）'!D:D=$F$4,'领用录入（明细）'!C:C&gt;=$J$4,'领用录入（明细）'!C:C&lt;=$L$4),ROW(),"-")</f>
        <v>-</v>
      </c>
    </row>
    <row r="37071" customHeight="1" spans="2:2">
      <c r="B37071" s="62" t="str">
        <f>IF(AND('领用录入（明细）'!D:D=$F$4,'领用录入（明细）'!C:C&gt;=$J$4,'领用录入（明细）'!C:C&lt;=$L$4),ROW(),"-")</f>
        <v>-</v>
      </c>
    </row>
    <row r="37072" customHeight="1" spans="2:2">
      <c r="B37072" s="62" t="str">
        <f>IF(AND('领用录入（明细）'!D:D=$F$4,'领用录入（明细）'!C:C&gt;=$J$4,'领用录入（明细）'!C:C&lt;=$L$4),ROW(),"-")</f>
        <v>-</v>
      </c>
    </row>
    <row r="37073" customHeight="1" spans="2:2">
      <c r="B37073" s="62" t="str">
        <f>IF(AND('领用录入（明细）'!D:D=$F$4,'领用录入（明细）'!C:C&gt;=$J$4,'领用录入（明细）'!C:C&lt;=$L$4),ROW(),"-")</f>
        <v>-</v>
      </c>
    </row>
    <row r="37074" customHeight="1" spans="2:2">
      <c r="B37074" s="62" t="str">
        <f>IF(AND('领用录入（明细）'!D:D=$F$4,'领用录入（明细）'!C:C&gt;=$J$4,'领用录入（明细）'!C:C&lt;=$L$4),ROW(),"-")</f>
        <v>-</v>
      </c>
    </row>
    <row r="37075" customHeight="1" spans="2:2">
      <c r="B37075" s="62" t="str">
        <f>IF(AND('领用录入（明细）'!D:D=$F$4,'领用录入（明细）'!C:C&gt;=$J$4,'领用录入（明细）'!C:C&lt;=$L$4),ROW(),"-")</f>
        <v>-</v>
      </c>
    </row>
    <row r="37076" customHeight="1" spans="2:2">
      <c r="B37076" s="62" t="str">
        <f>IF(AND('领用录入（明细）'!D:D=$F$4,'领用录入（明细）'!C:C&gt;=$J$4,'领用录入（明细）'!C:C&lt;=$L$4),ROW(),"-")</f>
        <v>-</v>
      </c>
    </row>
    <row r="37077" customHeight="1" spans="2:2">
      <c r="B37077" s="62" t="str">
        <f>IF(AND('领用录入（明细）'!D:D=$F$4,'领用录入（明细）'!C:C&gt;=$J$4,'领用录入（明细）'!C:C&lt;=$L$4),ROW(),"-")</f>
        <v>-</v>
      </c>
    </row>
    <row r="37078" customHeight="1" spans="2:2">
      <c r="B37078" s="62" t="str">
        <f>IF(AND('领用录入（明细）'!D:D=$F$4,'领用录入（明细）'!C:C&gt;=$J$4,'领用录入（明细）'!C:C&lt;=$L$4),ROW(),"-")</f>
        <v>-</v>
      </c>
    </row>
    <row r="37079" customHeight="1" spans="2:2">
      <c r="B37079" s="62" t="str">
        <f>IF(AND('领用录入（明细）'!D:D=$F$4,'领用录入（明细）'!C:C&gt;=$J$4,'领用录入（明细）'!C:C&lt;=$L$4),ROW(),"-")</f>
        <v>-</v>
      </c>
    </row>
    <row r="37080" customHeight="1" spans="2:2">
      <c r="B37080" s="62" t="str">
        <f>IF(AND('领用录入（明细）'!D:D=$F$4,'领用录入（明细）'!C:C&gt;=$J$4,'领用录入（明细）'!C:C&lt;=$L$4),ROW(),"-")</f>
        <v>-</v>
      </c>
    </row>
    <row r="37081" customHeight="1" spans="2:2">
      <c r="B37081" s="62" t="str">
        <f>IF(AND('领用录入（明细）'!D:D=$F$4,'领用录入（明细）'!C:C&gt;=$J$4,'领用录入（明细）'!C:C&lt;=$L$4),ROW(),"-")</f>
        <v>-</v>
      </c>
    </row>
    <row r="37082" customHeight="1" spans="2:2">
      <c r="B37082" s="62" t="str">
        <f>IF(AND('领用录入（明细）'!D:D=$F$4,'领用录入（明细）'!C:C&gt;=$J$4,'领用录入（明细）'!C:C&lt;=$L$4),ROW(),"-")</f>
        <v>-</v>
      </c>
    </row>
    <row r="37083" customHeight="1" spans="2:2">
      <c r="B37083" s="62" t="str">
        <f>IF(AND('领用录入（明细）'!D:D=$F$4,'领用录入（明细）'!C:C&gt;=$J$4,'领用录入（明细）'!C:C&lt;=$L$4),ROW(),"-")</f>
        <v>-</v>
      </c>
    </row>
    <row r="37084" customHeight="1" spans="2:2">
      <c r="B37084" s="62" t="str">
        <f>IF(AND('领用录入（明细）'!D:D=$F$4,'领用录入（明细）'!C:C&gt;=$J$4,'领用录入（明细）'!C:C&lt;=$L$4),ROW(),"-")</f>
        <v>-</v>
      </c>
    </row>
    <row r="37085" customHeight="1" spans="2:2">
      <c r="B37085" s="62" t="str">
        <f>IF(AND('领用录入（明细）'!D:D=$F$4,'领用录入（明细）'!C:C&gt;=$J$4,'领用录入（明细）'!C:C&lt;=$L$4),ROW(),"-")</f>
        <v>-</v>
      </c>
    </row>
    <row r="37086" customHeight="1" spans="2:2">
      <c r="B37086" s="62" t="str">
        <f>IF(AND('领用录入（明细）'!D:D=$F$4,'领用录入（明细）'!C:C&gt;=$J$4,'领用录入（明细）'!C:C&lt;=$L$4),ROW(),"-")</f>
        <v>-</v>
      </c>
    </row>
    <row r="37087" customHeight="1" spans="2:2">
      <c r="B37087" s="62" t="str">
        <f>IF(AND('领用录入（明细）'!D:D=$F$4,'领用录入（明细）'!C:C&gt;=$J$4,'领用录入（明细）'!C:C&lt;=$L$4),ROW(),"-")</f>
        <v>-</v>
      </c>
    </row>
    <row r="37088" customHeight="1" spans="2:2">
      <c r="B37088" s="62" t="str">
        <f>IF(AND('领用录入（明细）'!D:D=$F$4,'领用录入（明细）'!C:C&gt;=$J$4,'领用录入（明细）'!C:C&lt;=$L$4),ROW(),"-")</f>
        <v>-</v>
      </c>
    </row>
    <row r="37089" customHeight="1" spans="2:2">
      <c r="B37089" s="62" t="str">
        <f>IF(AND('领用录入（明细）'!D:D=$F$4,'领用录入（明细）'!C:C&gt;=$J$4,'领用录入（明细）'!C:C&lt;=$L$4),ROW(),"-")</f>
        <v>-</v>
      </c>
    </row>
    <row r="37090" customHeight="1" spans="2:2">
      <c r="B37090" s="62" t="str">
        <f>IF(AND('领用录入（明细）'!D:D=$F$4,'领用录入（明细）'!C:C&gt;=$J$4,'领用录入（明细）'!C:C&lt;=$L$4),ROW(),"-")</f>
        <v>-</v>
      </c>
    </row>
    <row r="37091" customHeight="1" spans="2:2">
      <c r="B37091" s="62" t="str">
        <f>IF(AND('领用录入（明细）'!D:D=$F$4,'领用录入（明细）'!C:C&gt;=$J$4,'领用录入（明细）'!C:C&lt;=$L$4),ROW(),"-")</f>
        <v>-</v>
      </c>
    </row>
    <row r="37092" customHeight="1" spans="2:2">
      <c r="B37092" s="62" t="str">
        <f>IF(AND('领用录入（明细）'!D:D=$F$4,'领用录入（明细）'!C:C&gt;=$J$4,'领用录入（明细）'!C:C&lt;=$L$4),ROW(),"-")</f>
        <v>-</v>
      </c>
    </row>
    <row r="37093" customHeight="1" spans="2:2">
      <c r="B37093" s="62" t="str">
        <f>IF(AND('领用录入（明细）'!D:D=$F$4,'领用录入（明细）'!C:C&gt;=$J$4,'领用录入（明细）'!C:C&lt;=$L$4),ROW(),"-")</f>
        <v>-</v>
      </c>
    </row>
    <row r="37094" customHeight="1" spans="2:2">
      <c r="B37094" s="62" t="str">
        <f>IF(AND('领用录入（明细）'!D:D=$F$4,'领用录入（明细）'!C:C&gt;=$J$4,'领用录入（明细）'!C:C&lt;=$L$4),ROW(),"-")</f>
        <v>-</v>
      </c>
    </row>
    <row r="37095" customHeight="1" spans="2:2">
      <c r="B37095" s="62" t="str">
        <f>IF(AND('领用录入（明细）'!D:D=$F$4,'领用录入（明细）'!C:C&gt;=$J$4,'领用录入（明细）'!C:C&lt;=$L$4),ROW(),"-")</f>
        <v>-</v>
      </c>
    </row>
    <row r="37096" customHeight="1" spans="2:2">
      <c r="B37096" s="62" t="str">
        <f>IF(AND('领用录入（明细）'!D:D=$F$4,'领用录入（明细）'!C:C&gt;=$J$4,'领用录入（明细）'!C:C&lt;=$L$4),ROW(),"-")</f>
        <v>-</v>
      </c>
    </row>
    <row r="37097" customHeight="1" spans="2:2">
      <c r="B37097" s="62" t="str">
        <f>IF(AND('领用录入（明细）'!D:D=$F$4,'领用录入（明细）'!C:C&gt;=$J$4,'领用录入（明细）'!C:C&lt;=$L$4),ROW(),"-")</f>
        <v>-</v>
      </c>
    </row>
    <row r="37098" customHeight="1" spans="2:2">
      <c r="B37098" s="62" t="str">
        <f>IF(AND('领用录入（明细）'!D:D=$F$4,'领用录入（明细）'!C:C&gt;=$J$4,'领用录入（明细）'!C:C&lt;=$L$4),ROW(),"-")</f>
        <v>-</v>
      </c>
    </row>
    <row r="37099" customHeight="1" spans="2:2">
      <c r="B37099" s="62" t="str">
        <f>IF(AND('领用录入（明细）'!D:D=$F$4,'领用录入（明细）'!C:C&gt;=$J$4,'领用录入（明细）'!C:C&lt;=$L$4),ROW(),"-")</f>
        <v>-</v>
      </c>
    </row>
    <row r="37100" customHeight="1" spans="2:2">
      <c r="B37100" s="62" t="str">
        <f>IF(AND('领用录入（明细）'!D:D=$F$4,'领用录入（明细）'!C:C&gt;=$J$4,'领用录入（明细）'!C:C&lt;=$L$4),ROW(),"-")</f>
        <v>-</v>
      </c>
    </row>
    <row r="37101" customHeight="1" spans="2:2">
      <c r="B37101" s="62" t="str">
        <f>IF(AND('领用录入（明细）'!D:D=$F$4,'领用录入（明细）'!C:C&gt;=$J$4,'领用录入（明细）'!C:C&lt;=$L$4),ROW(),"-")</f>
        <v>-</v>
      </c>
    </row>
    <row r="37102" customHeight="1" spans="2:2">
      <c r="B37102" s="62" t="str">
        <f>IF(AND('领用录入（明细）'!D:D=$F$4,'领用录入（明细）'!C:C&gt;=$J$4,'领用录入（明细）'!C:C&lt;=$L$4),ROW(),"-")</f>
        <v>-</v>
      </c>
    </row>
    <row r="37103" customHeight="1" spans="2:2">
      <c r="B37103" s="62" t="str">
        <f>IF(AND('领用录入（明细）'!D:D=$F$4,'领用录入（明细）'!C:C&gt;=$J$4,'领用录入（明细）'!C:C&lt;=$L$4),ROW(),"-")</f>
        <v>-</v>
      </c>
    </row>
    <row r="37104" customHeight="1" spans="2:2">
      <c r="B37104" s="62" t="str">
        <f>IF(AND('领用录入（明细）'!D:D=$F$4,'领用录入（明细）'!C:C&gt;=$J$4,'领用录入（明细）'!C:C&lt;=$L$4),ROW(),"-")</f>
        <v>-</v>
      </c>
    </row>
    <row r="37105" customHeight="1" spans="2:2">
      <c r="B37105" s="62" t="str">
        <f>IF(AND('领用录入（明细）'!D:D=$F$4,'领用录入（明细）'!C:C&gt;=$J$4,'领用录入（明细）'!C:C&lt;=$L$4),ROW(),"-")</f>
        <v>-</v>
      </c>
    </row>
    <row r="37106" customHeight="1" spans="2:2">
      <c r="B37106" s="62" t="str">
        <f>IF(AND('领用录入（明细）'!D:D=$F$4,'领用录入（明细）'!C:C&gt;=$J$4,'领用录入（明细）'!C:C&lt;=$L$4),ROW(),"-")</f>
        <v>-</v>
      </c>
    </row>
    <row r="37107" customHeight="1" spans="2:2">
      <c r="B37107" s="62" t="str">
        <f>IF(AND('领用录入（明细）'!D:D=$F$4,'领用录入（明细）'!C:C&gt;=$J$4,'领用录入（明细）'!C:C&lt;=$L$4),ROW(),"-")</f>
        <v>-</v>
      </c>
    </row>
    <row r="37108" customHeight="1" spans="2:2">
      <c r="B37108" s="62" t="str">
        <f>IF(AND('领用录入（明细）'!D:D=$F$4,'领用录入（明细）'!C:C&gt;=$J$4,'领用录入（明细）'!C:C&lt;=$L$4),ROW(),"-")</f>
        <v>-</v>
      </c>
    </row>
    <row r="37109" customHeight="1" spans="2:2">
      <c r="B37109" s="62" t="str">
        <f>IF(AND('领用录入（明细）'!D:D=$F$4,'领用录入（明细）'!C:C&gt;=$J$4,'领用录入（明细）'!C:C&lt;=$L$4),ROW(),"-")</f>
        <v>-</v>
      </c>
    </row>
    <row r="37110" customHeight="1" spans="2:2">
      <c r="B37110" s="62" t="str">
        <f>IF(AND('领用录入（明细）'!D:D=$F$4,'领用录入（明细）'!C:C&gt;=$J$4,'领用录入（明细）'!C:C&lt;=$L$4),ROW(),"-")</f>
        <v>-</v>
      </c>
    </row>
    <row r="37111" customHeight="1" spans="2:2">
      <c r="B37111" s="62" t="str">
        <f>IF(AND('领用录入（明细）'!D:D=$F$4,'领用录入（明细）'!C:C&gt;=$J$4,'领用录入（明细）'!C:C&lt;=$L$4),ROW(),"-")</f>
        <v>-</v>
      </c>
    </row>
    <row r="37112" customHeight="1" spans="2:2">
      <c r="B37112" s="62" t="str">
        <f>IF(AND('领用录入（明细）'!D:D=$F$4,'领用录入（明细）'!C:C&gt;=$J$4,'领用录入（明细）'!C:C&lt;=$L$4),ROW(),"-")</f>
        <v>-</v>
      </c>
    </row>
    <row r="37113" customHeight="1" spans="2:2">
      <c r="B37113" s="62" t="str">
        <f>IF(AND('领用录入（明细）'!D:D=$F$4,'领用录入（明细）'!C:C&gt;=$J$4,'领用录入（明细）'!C:C&lt;=$L$4),ROW(),"-")</f>
        <v>-</v>
      </c>
    </row>
    <row r="37114" customHeight="1" spans="2:2">
      <c r="B37114" s="62" t="str">
        <f>IF(AND('领用录入（明细）'!D:D=$F$4,'领用录入（明细）'!C:C&gt;=$J$4,'领用录入（明细）'!C:C&lt;=$L$4),ROW(),"-")</f>
        <v>-</v>
      </c>
    </row>
    <row r="37115" customHeight="1" spans="2:2">
      <c r="B37115" s="62" t="str">
        <f>IF(AND('领用录入（明细）'!D:D=$F$4,'领用录入（明细）'!C:C&gt;=$J$4,'领用录入（明细）'!C:C&lt;=$L$4),ROW(),"-")</f>
        <v>-</v>
      </c>
    </row>
    <row r="37116" customHeight="1" spans="2:2">
      <c r="B37116" s="62" t="str">
        <f>IF(AND('领用录入（明细）'!D:D=$F$4,'领用录入（明细）'!C:C&gt;=$J$4,'领用录入（明细）'!C:C&lt;=$L$4),ROW(),"-")</f>
        <v>-</v>
      </c>
    </row>
    <row r="37117" customHeight="1" spans="2:2">
      <c r="B37117" s="62" t="str">
        <f>IF(AND('领用录入（明细）'!D:D=$F$4,'领用录入（明细）'!C:C&gt;=$J$4,'领用录入（明细）'!C:C&lt;=$L$4),ROW(),"-")</f>
        <v>-</v>
      </c>
    </row>
    <row r="37118" customHeight="1" spans="2:2">
      <c r="B37118" s="62" t="str">
        <f>IF(AND('领用录入（明细）'!D:D=$F$4,'领用录入（明细）'!C:C&gt;=$J$4,'领用录入（明细）'!C:C&lt;=$L$4),ROW(),"-")</f>
        <v>-</v>
      </c>
    </row>
    <row r="37119" customHeight="1" spans="2:2">
      <c r="B37119" s="62" t="str">
        <f>IF(AND('领用录入（明细）'!D:D=$F$4,'领用录入（明细）'!C:C&gt;=$J$4,'领用录入（明细）'!C:C&lt;=$L$4),ROW(),"-")</f>
        <v>-</v>
      </c>
    </row>
    <row r="37120" customHeight="1" spans="2:2">
      <c r="B37120" s="62" t="str">
        <f>IF(AND('领用录入（明细）'!D:D=$F$4,'领用录入（明细）'!C:C&gt;=$J$4,'领用录入（明细）'!C:C&lt;=$L$4),ROW(),"-")</f>
        <v>-</v>
      </c>
    </row>
    <row r="37121" customHeight="1" spans="2:2">
      <c r="B37121" s="62" t="str">
        <f>IF(AND('领用录入（明细）'!D:D=$F$4,'领用录入（明细）'!C:C&gt;=$J$4,'领用录入（明细）'!C:C&lt;=$L$4),ROW(),"-")</f>
        <v>-</v>
      </c>
    </row>
    <row r="37122" customHeight="1" spans="2:2">
      <c r="B37122" s="62" t="str">
        <f>IF(AND('领用录入（明细）'!D:D=$F$4,'领用录入（明细）'!C:C&gt;=$J$4,'领用录入（明细）'!C:C&lt;=$L$4),ROW(),"-")</f>
        <v>-</v>
      </c>
    </row>
    <row r="37123" customHeight="1" spans="2:2">
      <c r="B37123" s="62" t="str">
        <f>IF(AND('领用录入（明细）'!D:D=$F$4,'领用录入（明细）'!C:C&gt;=$J$4,'领用录入（明细）'!C:C&lt;=$L$4),ROW(),"-")</f>
        <v>-</v>
      </c>
    </row>
    <row r="37124" customHeight="1" spans="2:2">
      <c r="B37124" s="62" t="str">
        <f>IF(AND('领用录入（明细）'!D:D=$F$4,'领用录入（明细）'!C:C&gt;=$J$4,'领用录入（明细）'!C:C&lt;=$L$4),ROW(),"-")</f>
        <v>-</v>
      </c>
    </row>
    <row r="37125" customHeight="1" spans="2:2">
      <c r="B37125" s="62" t="str">
        <f>IF(AND('领用录入（明细）'!D:D=$F$4,'领用录入（明细）'!C:C&gt;=$J$4,'领用录入（明细）'!C:C&lt;=$L$4),ROW(),"-")</f>
        <v>-</v>
      </c>
    </row>
    <row r="37126" customHeight="1" spans="2:2">
      <c r="B37126" s="62" t="str">
        <f>IF(AND('领用录入（明细）'!D:D=$F$4,'领用录入（明细）'!C:C&gt;=$J$4,'领用录入（明细）'!C:C&lt;=$L$4),ROW(),"-")</f>
        <v>-</v>
      </c>
    </row>
    <row r="37127" customHeight="1" spans="2:2">
      <c r="B37127" s="62" t="str">
        <f>IF(AND('领用录入（明细）'!D:D=$F$4,'领用录入（明细）'!C:C&gt;=$J$4,'领用录入（明细）'!C:C&lt;=$L$4),ROW(),"-")</f>
        <v>-</v>
      </c>
    </row>
    <row r="37128" customHeight="1" spans="2:2">
      <c r="B37128" s="62" t="str">
        <f>IF(AND('领用录入（明细）'!D:D=$F$4,'领用录入（明细）'!C:C&gt;=$J$4,'领用录入（明细）'!C:C&lt;=$L$4),ROW(),"-")</f>
        <v>-</v>
      </c>
    </row>
    <row r="37129" customHeight="1" spans="2:2">
      <c r="B37129" s="62" t="str">
        <f>IF(AND('领用录入（明细）'!D:D=$F$4,'领用录入（明细）'!C:C&gt;=$J$4,'领用录入（明细）'!C:C&lt;=$L$4),ROW(),"-")</f>
        <v>-</v>
      </c>
    </row>
    <row r="37130" customHeight="1" spans="2:2">
      <c r="B37130" s="62" t="str">
        <f>IF(AND('领用录入（明细）'!D:D=$F$4,'领用录入（明细）'!C:C&gt;=$J$4,'领用录入（明细）'!C:C&lt;=$L$4),ROW(),"-")</f>
        <v>-</v>
      </c>
    </row>
    <row r="37131" customHeight="1" spans="2:2">
      <c r="B37131" s="62" t="str">
        <f>IF(AND('领用录入（明细）'!D:D=$F$4,'领用录入（明细）'!C:C&gt;=$J$4,'领用录入（明细）'!C:C&lt;=$L$4),ROW(),"-")</f>
        <v>-</v>
      </c>
    </row>
    <row r="37132" customHeight="1" spans="2:2">
      <c r="B37132" s="62" t="str">
        <f>IF(AND('领用录入（明细）'!D:D=$F$4,'领用录入（明细）'!C:C&gt;=$J$4,'领用录入（明细）'!C:C&lt;=$L$4),ROW(),"-")</f>
        <v>-</v>
      </c>
    </row>
    <row r="37133" customHeight="1" spans="2:2">
      <c r="B37133" s="62" t="str">
        <f>IF(AND('领用录入（明细）'!D:D=$F$4,'领用录入（明细）'!C:C&gt;=$J$4,'领用录入（明细）'!C:C&lt;=$L$4),ROW(),"-")</f>
        <v>-</v>
      </c>
    </row>
    <row r="37134" customHeight="1" spans="2:2">
      <c r="B37134" s="62" t="str">
        <f>IF(AND('领用录入（明细）'!D:D=$F$4,'领用录入（明细）'!C:C&gt;=$J$4,'领用录入（明细）'!C:C&lt;=$L$4),ROW(),"-")</f>
        <v>-</v>
      </c>
    </row>
    <row r="37135" customHeight="1" spans="2:2">
      <c r="B37135" s="62" t="str">
        <f>IF(AND('领用录入（明细）'!D:D=$F$4,'领用录入（明细）'!C:C&gt;=$J$4,'领用录入（明细）'!C:C&lt;=$L$4),ROW(),"-")</f>
        <v>-</v>
      </c>
    </row>
    <row r="37136" customHeight="1" spans="2:2">
      <c r="B37136" s="62" t="str">
        <f>IF(AND('领用录入（明细）'!D:D=$F$4,'领用录入（明细）'!C:C&gt;=$J$4,'领用录入（明细）'!C:C&lt;=$L$4),ROW(),"-")</f>
        <v>-</v>
      </c>
    </row>
    <row r="37137" customHeight="1" spans="2:2">
      <c r="B37137" s="62" t="str">
        <f>IF(AND('领用录入（明细）'!D:D=$F$4,'领用录入（明细）'!C:C&gt;=$J$4,'领用录入（明细）'!C:C&lt;=$L$4),ROW(),"-")</f>
        <v>-</v>
      </c>
    </row>
    <row r="37138" customHeight="1" spans="2:2">
      <c r="B37138" s="62" t="str">
        <f>IF(AND('领用录入（明细）'!D:D=$F$4,'领用录入（明细）'!C:C&gt;=$J$4,'领用录入（明细）'!C:C&lt;=$L$4),ROW(),"-")</f>
        <v>-</v>
      </c>
    </row>
    <row r="37139" customHeight="1" spans="2:2">
      <c r="B37139" s="62" t="str">
        <f>IF(AND('领用录入（明细）'!D:D=$F$4,'领用录入（明细）'!C:C&gt;=$J$4,'领用录入（明细）'!C:C&lt;=$L$4),ROW(),"-")</f>
        <v>-</v>
      </c>
    </row>
    <row r="37140" customHeight="1" spans="2:2">
      <c r="B37140" s="62" t="str">
        <f>IF(AND('领用录入（明细）'!D:D=$F$4,'领用录入（明细）'!C:C&gt;=$J$4,'领用录入（明细）'!C:C&lt;=$L$4),ROW(),"-")</f>
        <v>-</v>
      </c>
    </row>
    <row r="37141" customHeight="1" spans="2:2">
      <c r="B37141" s="62" t="str">
        <f>IF(AND('领用录入（明细）'!D:D=$F$4,'领用录入（明细）'!C:C&gt;=$J$4,'领用录入（明细）'!C:C&lt;=$L$4),ROW(),"-")</f>
        <v>-</v>
      </c>
    </row>
    <row r="37142" customHeight="1" spans="2:2">
      <c r="B37142" s="62" t="str">
        <f>IF(AND('领用录入（明细）'!D:D=$F$4,'领用录入（明细）'!C:C&gt;=$J$4,'领用录入（明细）'!C:C&lt;=$L$4),ROW(),"-")</f>
        <v>-</v>
      </c>
    </row>
    <row r="37143" customHeight="1" spans="2:2">
      <c r="B37143" s="62" t="str">
        <f>IF(AND('领用录入（明细）'!D:D=$F$4,'领用录入（明细）'!C:C&gt;=$J$4,'领用录入（明细）'!C:C&lt;=$L$4),ROW(),"-")</f>
        <v>-</v>
      </c>
    </row>
    <row r="37144" customHeight="1" spans="2:2">
      <c r="B37144" s="62" t="str">
        <f>IF(AND('领用录入（明细）'!D:D=$F$4,'领用录入（明细）'!C:C&gt;=$J$4,'领用录入（明细）'!C:C&lt;=$L$4),ROW(),"-")</f>
        <v>-</v>
      </c>
    </row>
    <row r="37145" customHeight="1" spans="2:2">
      <c r="B37145" s="62" t="str">
        <f>IF(AND('领用录入（明细）'!D:D=$F$4,'领用录入（明细）'!C:C&gt;=$J$4,'领用录入（明细）'!C:C&lt;=$L$4),ROW(),"-")</f>
        <v>-</v>
      </c>
    </row>
    <row r="37146" customHeight="1" spans="2:2">
      <c r="B37146" s="62" t="str">
        <f>IF(AND('领用录入（明细）'!D:D=$F$4,'领用录入（明细）'!C:C&gt;=$J$4,'领用录入（明细）'!C:C&lt;=$L$4),ROW(),"-")</f>
        <v>-</v>
      </c>
    </row>
    <row r="37147" customHeight="1" spans="2:2">
      <c r="B37147" s="62" t="str">
        <f>IF(AND('领用录入（明细）'!D:D=$F$4,'领用录入（明细）'!C:C&gt;=$J$4,'领用录入（明细）'!C:C&lt;=$L$4),ROW(),"-")</f>
        <v>-</v>
      </c>
    </row>
    <row r="37148" customHeight="1" spans="2:2">
      <c r="B37148" s="62" t="str">
        <f>IF(AND('领用录入（明细）'!D:D=$F$4,'领用录入（明细）'!C:C&gt;=$J$4,'领用录入（明细）'!C:C&lt;=$L$4),ROW(),"-")</f>
        <v>-</v>
      </c>
    </row>
    <row r="37149" customHeight="1" spans="2:2">
      <c r="B37149" s="62" t="str">
        <f>IF(AND('领用录入（明细）'!D:D=$F$4,'领用录入（明细）'!C:C&gt;=$J$4,'领用录入（明细）'!C:C&lt;=$L$4),ROW(),"-")</f>
        <v>-</v>
      </c>
    </row>
    <row r="37150" customHeight="1" spans="2:2">
      <c r="B37150" s="62" t="str">
        <f>IF(AND('领用录入（明细）'!D:D=$F$4,'领用录入（明细）'!C:C&gt;=$J$4,'领用录入（明细）'!C:C&lt;=$L$4),ROW(),"-")</f>
        <v>-</v>
      </c>
    </row>
    <row r="37151" customHeight="1" spans="2:2">
      <c r="B37151" s="62" t="str">
        <f>IF(AND('领用录入（明细）'!D:D=$F$4,'领用录入（明细）'!C:C&gt;=$J$4,'领用录入（明细）'!C:C&lt;=$L$4),ROW(),"-")</f>
        <v>-</v>
      </c>
    </row>
    <row r="37152" customHeight="1" spans="2:2">
      <c r="B37152" s="62" t="str">
        <f>IF(AND('领用录入（明细）'!D:D=$F$4,'领用录入（明细）'!C:C&gt;=$J$4,'领用录入（明细）'!C:C&lt;=$L$4),ROW(),"-")</f>
        <v>-</v>
      </c>
    </row>
    <row r="37153" customHeight="1" spans="2:2">
      <c r="B37153" s="62" t="str">
        <f>IF(AND('领用录入（明细）'!D:D=$F$4,'领用录入（明细）'!C:C&gt;=$J$4,'领用录入（明细）'!C:C&lt;=$L$4),ROW(),"-")</f>
        <v>-</v>
      </c>
    </row>
    <row r="37154" customHeight="1" spans="2:2">
      <c r="B37154" s="62" t="str">
        <f>IF(AND('领用录入（明细）'!D:D=$F$4,'领用录入（明细）'!C:C&gt;=$J$4,'领用录入（明细）'!C:C&lt;=$L$4),ROW(),"-")</f>
        <v>-</v>
      </c>
    </row>
    <row r="37155" customHeight="1" spans="2:2">
      <c r="B37155" s="62" t="str">
        <f>IF(AND('领用录入（明细）'!D:D=$F$4,'领用录入（明细）'!C:C&gt;=$J$4,'领用录入（明细）'!C:C&lt;=$L$4),ROW(),"-")</f>
        <v>-</v>
      </c>
    </row>
    <row r="37156" customHeight="1" spans="2:2">
      <c r="B37156" s="62" t="str">
        <f>IF(AND('领用录入（明细）'!D:D=$F$4,'领用录入（明细）'!C:C&gt;=$J$4,'领用录入（明细）'!C:C&lt;=$L$4),ROW(),"-")</f>
        <v>-</v>
      </c>
    </row>
    <row r="37157" customHeight="1" spans="2:2">
      <c r="B37157" s="62" t="str">
        <f>IF(AND('领用录入（明细）'!D:D=$F$4,'领用录入（明细）'!C:C&gt;=$J$4,'领用录入（明细）'!C:C&lt;=$L$4),ROW(),"-")</f>
        <v>-</v>
      </c>
    </row>
    <row r="37158" customHeight="1" spans="2:2">
      <c r="B37158" s="62" t="str">
        <f>IF(AND('领用录入（明细）'!D:D=$F$4,'领用录入（明细）'!C:C&gt;=$J$4,'领用录入（明细）'!C:C&lt;=$L$4),ROW(),"-")</f>
        <v>-</v>
      </c>
    </row>
    <row r="37159" customHeight="1" spans="2:2">
      <c r="B37159" s="62" t="str">
        <f>IF(AND('领用录入（明细）'!D:D=$F$4,'领用录入（明细）'!C:C&gt;=$J$4,'领用录入（明细）'!C:C&lt;=$L$4),ROW(),"-")</f>
        <v>-</v>
      </c>
    </row>
    <row r="37160" customHeight="1" spans="2:2">
      <c r="B37160" s="62" t="str">
        <f>IF(AND('领用录入（明细）'!D:D=$F$4,'领用录入（明细）'!C:C&gt;=$J$4,'领用录入（明细）'!C:C&lt;=$L$4),ROW(),"-")</f>
        <v>-</v>
      </c>
    </row>
    <row r="37161" customHeight="1" spans="2:2">
      <c r="B37161" s="62" t="str">
        <f>IF(AND('领用录入（明细）'!D:D=$F$4,'领用录入（明细）'!C:C&gt;=$J$4,'领用录入（明细）'!C:C&lt;=$L$4),ROW(),"-")</f>
        <v>-</v>
      </c>
    </row>
    <row r="37162" customHeight="1" spans="2:2">
      <c r="B37162" s="62" t="str">
        <f>IF(AND('领用录入（明细）'!D:D=$F$4,'领用录入（明细）'!C:C&gt;=$J$4,'领用录入（明细）'!C:C&lt;=$L$4),ROW(),"-")</f>
        <v>-</v>
      </c>
    </row>
    <row r="37163" customHeight="1" spans="2:2">
      <c r="B37163" s="62" t="str">
        <f>IF(AND('领用录入（明细）'!D:D=$F$4,'领用录入（明细）'!C:C&gt;=$J$4,'领用录入（明细）'!C:C&lt;=$L$4),ROW(),"-")</f>
        <v>-</v>
      </c>
    </row>
    <row r="37164" customHeight="1" spans="2:2">
      <c r="B37164" s="62" t="str">
        <f>IF(AND('领用录入（明细）'!D:D=$F$4,'领用录入（明细）'!C:C&gt;=$J$4,'领用录入（明细）'!C:C&lt;=$L$4),ROW(),"-")</f>
        <v>-</v>
      </c>
    </row>
    <row r="37165" customHeight="1" spans="2:2">
      <c r="B37165" s="62" t="str">
        <f>IF(AND('领用录入（明细）'!D:D=$F$4,'领用录入（明细）'!C:C&gt;=$J$4,'领用录入（明细）'!C:C&lt;=$L$4),ROW(),"-")</f>
        <v>-</v>
      </c>
    </row>
    <row r="37166" customHeight="1" spans="2:2">
      <c r="B37166" s="62" t="str">
        <f>IF(AND('领用录入（明细）'!D:D=$F$4,'领用录入（明细）'!C:C&gt;=$J$4,'领用录入（明细）'!C:C&lt;=$L$4),ROW(),"-")</f>
        <v>-</v>
      </c>
    </row>
    <row r="37167" customHeight="1" spans="2:2">
      <c r="B37167" s="62" t="str">
        <f>IF(AND('领用录入（明细）'!D:D=$F$4,'领用录入（明细）'!C:C&gt;=$J$4,'领用录入（明细）'!C:C&lt;=$L$4),ROW(),"-")</f>
        <v>-</v>
      </c>
    </row>
    <row r="37168" customHeight="1" spans="2:2">
      <c r="B37168" s="62" t="str">
        <f>IF(AND('领用录入（明细）'!D:D=$F$4,'领用录入（明细）'!C:C&gt;=$J$4,'领用录入（明细）'!C:C&lt;=$L$4),ROW(),"-")</f>
        <v>-</v>
      </c>
    </row>
    <row r="37169" customHeight="1" spans="2:2">
      <c r="B37169" s="62" t="str">
        <f>IF(AND('领用录入（明细）'!D:D=$F$4,'领用录入（明细）'!C:C&gt;=$J$4,'领用录入（明细）'!C:C&lt;=$L$4),ROW(),"-")</f>
        <v>-</v>
      </c>
    </row>
    <row r="37170" customHeight="1" spans="2:2">
      <c r="B37170" s="62" t="str">
        <f>IF(AND('领用录入（明细）'!D:D=$F$4,'领用录入（明细）'!C:C&gt;=$J$4,'领用录入（明细）'!C:C&lt;=$L$4),ROW(),"-")</f>
        <v>-</v>
      </c>
    </row>
    <row r="37171" customHeight="1" spans="2:2">
      <c r="B37171" s="62" t="str">
        <f>IF(AND('领用录入（明细）'!D:D=$F$4,'领用录入（明细）'!C:C&gt;=$J$4,'领用录入（明细）'!C:C&lt;=$L$4),ROW(),"-")</f>
        <v>-</v>
      </c>
    </row>
    <row r="37172" customHeight="1" spans="2:2">
      <c r="B37172" s="62" t="str">
        <f>IF(AND('领用录入（明细）'!D:D=$F$4,'领用录入（明细）'!C:C&gt;=$J$4,'领用录入（明细）'!C:C&lt;=$L$4),ROW(),"-")</f>
        <v>-</v>
      </c>
    </row>
    <row r="37173" customHeight="1" spans="2:2">
      <c r="B37173" s="62" t="str">
        <f>IF(AND('领用录入（明细）'!D:D=$F$4,'领用录入（明细）'!C:C&gt;=$J$4,'领用录入（明细）'!C:C&lt;=$L$4),ROW(),"-")</f>
        <v>-</v>
      </c>
    </row>
    <row r="37174" customHeight="1" spans="2:2">
      <c r="B37174" s="62" t="str">
        <f>IF(AND('领用录入（明细）'!D:D=$F$4,'领用录入（明细）'!C:C&gt;=$J$4,'领用录入（明细）'!C:C&lt;=$L$4),ROW(),"-")</f>
        <v>-</v>
      </c>
    </row>
    <row r="37175" customHeight="1" spans="2:2">
      <c r="B37175" s="62" t="str">
        <f>IF(AND('领用录入（明细）'!D:D=$F$4,'领用录入（明细）'!C:C&gt;=$J$4,'领用录入（明细）'!C:C&lt;=$L$4),ROW(),"-")</f>
        <v>-</v>
      </c>
    </row>
    <row r="37176" customHeight="1" spans="2:2">
      <c r="B37176" s="62" t="str">
        <f>IF(AND('领用录入（明细）'!D:D=$F$4,'领用录入（明细）'!C:C&gt;=$J$4,'领用录入（明细）'!C:C&lt;=$L$4),ROW(),"-")</f>
        <v>-</v>
      </c>
    </row>
    <row r="37177" customHeight="1" spans="2:2">
      <c r="B37177" s="62" t="str">
        <f>IF(AND('领用录入（明细）'!D:D=$F$4,'领用录入（明细）'!C:C&gt;=$J$4,'领用录入（明细）'!C:C&lt;=$L$4),ROW(),"-")</f>
        <v>-</v>
      </c>
    </row>
    <row r="37178" customHeight="1" spans="2:2">
      <c r="B37178" s="62" t="str">
        <f>IF(AND('领用录入（明细）'!D:D=$F$4,'领用录入（明细）'!C:C&gt;=$J$4,'领用录入（明细）'!C:C&lt;=$L$4),ROW(),"-")</f>
        <v>-</v>
      </c>
    </row>
    <row r="37179" customHeight="1" spans="2:2">
      <c r="B37179" s="62" t="str">
        <f>IF(AND('领用录入（明细）'!D:D=$F$4,'领用录入（明细）'!C:C&gt;=$J$4,'领用录入（明细）'!C:C&lt;=$L$4),ROW(),"-")</f>
        <v>-</v>
      </c>
    </row>
    <row r="37180" customHeight="1" spans="2:2">
      <c r="B37180" s="62" t="str">
        <f>IF(AND('领用录入（明细）'!D:D=$F$4,'领用录入（明细）'!C:C&gt;=$J$4,'领用录入（明细）'!C:C&lt;=$L$4),ROW(),"-")</f>
        <v>-</v>
      </c>
    </row>
    <row r="37181" customHeight="1" spans="2:2">
      <c r="B37181" s="62" t="str">
        <f>IF(AND('领用录入（明细）'!D:D=$F$4,'领用录入（明细）'!C:C&gt;=$J$4,'领用录入（明细）'!C:C&lt;=$L$4),ROW(),"-")</f>
        <v>-</v>
      </c>
    </row>
    <row r="37182" customHeight="1" spans="2:2">
      <c r="B37182" s="62" t="str">
        <f>IF(AND('领用录入（明细）'!D:D=$F$4,'领用录入（明细）'!C:C&gt;=$J$4,'领用录入（明细）'!C:C&lt;=$L$4),ROW(),"-")</f>
        <v>-</v>
      </c>
    </row>
    <row r="37183" customHeight="1" spans="2:2">
      <c r="B37183" s="62" t="str">
        <f>IF(AND('领用录入（明细）'!D:D=$F$4,'领用录入（明细）'!C:C&gt;=$J$4,'领用录入（明细）'!C:C&lt;=$L$4),ROW(),"-")</f>
        <v>-</v>
      </c>
    </row>
    <row r="37184" customHeight="1" spans="2:2">
      <c r="B37184" s="62" t="str">
        <f>IF(AND('领用录入（明细）'!D:D=$F$4,'领用录入（明细）'!C:C&gt;=$J$4,'领用录入（明细）'!C:C&lt;=$L$4),ROW(),"-")</f>
        <v>-</v>
      </c>
    </row>
    <row r="37185" customHeight="1" spans="2:2">
      <c r="B37185" s="62" t="str">
        <f>IF(AND('领用录入（明细）'!D:D=$F$4,'领用录入（明细）'!C:C&gt;=$J$4,'领用录入（明细）'!C:C&lt;=$L$4),ROW(),"-")</f>
        <v>-</v>
      </c>
    </row>
    <row r="37186" customHeight="1" spans="2:2">
      <c r="B37186" s="62" t="str">
        <f>IF(AND('领用录入（明细）'!D:D=$F$4,'领用录入（明细）'!C:C&gt;=$J$4,'领用录入（明细）'!C:C&lt;=$L$4),ROW(),"-")</f>
        <v>-</v>
      </c>
    </row>
    <row r="37187" customHeight="1" spans="2:2">
      <c r="B37187" s="62" t="str">
        <f>IF(AND('领用录入（明细）'!D:D=$F$4,'领用录入（明细）'!C:C&gt;=$J$4,'领用录入（明细）'!C:C&lt;=$L$4),ROW(),"-")</f>
        <v>-</v>
      </c>
    </row>
    <row r="37188" customHeight="1" spans="2:2">
      <c r="B37188" s="62" t="str">
        <f>IF(AND('领用录入（明细）'!D:D=$F$4,'领用录入（明细）'!C:C&gt;=$J$4,'领用录入（明细）'!C:C&lt;=$L$4),ROW(),"-")</f>
        <v>-</v>
      </c>
    </row>
    <row r="37189" customHeight="1" spans="2:2">
      <c r="B37189" s="62" t="str">
        <f>IF(AND('领用录入（明细）'!D:D=$F$4,'领用录入（明细）'!C:C&gt;=$J$4,'领用录入（明细）'!C:C&lt;=$L$4),ROW(),"-")</f>
        <v>-</v>
      </c>
    </row>
    <row r="37190" customHeight="1" spans="2:2">
      <c r="B37190" s="62" t="str">
        <f>IF(AND('领用录入（明细）'!D:D=$F$4,'领用录入（明细）'!C:C&gt;=$J$4,'领用录入（明细）'!C:C&lt;=$L$4),ROW(),"-")</f>
        <v>-</v>
      </c>
    </row>
    <row r="37191" customHeight="1" spans="2:2">
      <c r="B37191" s="62" t="str">
        <f>IF(AND('领用录入（明细）'!D:D=$F$4,'领用录入（明细）'!C:C&gt;=$J$4,'领用录入（明细）'!C:C&lt;=$L$4),ROW(),"-")</f>
        <v>-</v>
      </c>
    </row>
    <row r="37192" customHeight="1" spans="2:2">
      <c r="B37192" s="62" t="str">
        <f>IF(AND('领用录入（明细）'!D:D=$F$4,'领用录入（明细）'!C:C&gt;=$J$4,'领用录入（明细）'!C:C&lt;=$L$4),ROW(),"-")</f>
        <v>-</v>
      </c>
    </row>
    <row r="37193" customHeight="1" spans="2:2">
      <c r="B37193" s="62" t="str">
        <f>IF(AND('领用录入（明细）'!D:D=$F$4,'领用录入（明细）'!C:C&gt;=$J$4,'领用录入（明细）'!C:C&lt;=$L$4),ROW(),"-")</f>
        <v>-</v>
      </c>
    </row>
    <row r="37194" customHeight="1" spans="2:2">
      <c r="B37194" s="62" t="str">
        <f>IF(AND('领用录入（明细）'!D:D=$F$4,'领用录入（明细）'!C:C&gt;=$J$4,'领用录入（明细）'!C:C&lt;=$L$4),ROW(),"-")</f>
        <v>-</v>
      </c>
    </row>
    <row r="37195" customHeight="1" spans="2:2">
      <c r="B37195" s="62" t="str">
        <f>IF(AND('领用录入（明细）'!D:D=$F$4,'领用录入（明细）'!C:C&gt;=$J$4,'领用录入（明细）'!C:C&lt;=$L$4),ROW(),"-")</f>
        <v>-</v>
      </c>
    </row>
    <row r="37196" customHeight="1" spans="2:2">
      <c r="B37196" s="62" t="str">
        <f>IF(AND('领用录入（明细）'!D:D=$F$4,'领用录入（明细）'!C:C&gt;=$J$4,'领用录入（明细）'!C:C&lt;=$L$4),ROW(),"-")</f>
        <v>-</v>
      </c>
    </row>
    <row r="37197" customHeight="1" spans="2:2">
      <c r="B37197" s="62" t="str">
        <f>IF(AND('领用录入（明细）'!D:D=$F$4,'领用录入（明细）'!C:C&gt;=$J$4,'领用录入（明细）'!C:C&lt;=$L$4),ROW(),"-")</f>
        <v>-</v>
      </c>
    </row>
    <row r="37198" customHeight="1" spans="2:2">
      <c r="B37198" s="62" t="str">
        <f>IF(AND('领用录入（明细）'!D:D=$F$4,'领用录入（明细）'!C:C&gt;=$J$4,'领用录入（明细）'!C:C&lt;=$L$4),ROW(),"-")</f>
        <v>-</v>
      </c>
    </row>
    <row r="37199" customHeight="1" spans="2:2">
      <c r="B37199" s="62" t="str">
        <f>IF(AND('领用录入（明细）'!D:D=$F$4,'领用录入（明细）'!C:C&gt;=$J$4,'领用录入（明细）'!C:C&lt;=$L$4),ROW(),"-")</f>
        <v>-</v>
      </c>
    </row>
    <row r="37200" customHeight="1" spans="2:2">
      <c r="B37200" s="62" t="str">
        <f>IF(AND('领用录入（明细）'!D:D=$F$4,'领用录入（明细）'!C:C&gt;=$J$4,'领用录入（明细）'!C:C&lt;=$L$4),ROW(),"-")</f>
        <v>-</v>
      </c>
    </row>
    <row r="37201" customHeight="1" spans="2:2">
      <c r="B37201" s="62" t="str">
        <f>IF(AND('领用录入（明细）'!D:D=$F$4,'领用录入（明细）'!C:C&gt;=$J$4,'领用录入（明细）'!C:C&lt;=$L$4),ROW(),"-")</f>
        <v>-</v>
      </c>
    </row>
    <row r="37202" customHeight="1" spans="2:2">
      <c r="B37202" s="62" t="str">
        <f>IF(AND('领用录入（明细）'!D:D=$F$4,'领用录入（明细）'!C:C&gt;=$J$4,'领用录入（明细）'!C:C&lt;=$L$4),ROW(),"-")</f>
        <v>-</v>
      </c>
    </row>
    <row r="37203" customHeight="1" spans="2:2">
      <c r="B37203" s="62" t="str">
        <f>IF(AND('领用录入（明细）'!D:D=$F$4,'领用录入（明细）'!C:C&gt;=$J$4,'领用录入（明细）'!C:C&lt;=$L$4),ROW(),"-")</f>
        <v>-</v>
      </c>
    </row>
    <row r="37204" customHeight="1" spans="2:2">
      <c r="B37204" s="62" t="str">
        <f>IF(AND('领用录入（明细）'!D:D=$F$4,'领用录入（明细）'!C:C&gt;=$J$4,'领用录入（明细）'!C:C&lt;=$L$4),ROW(),"-")</f>
        <v>-</v>
      </c>
    </row>
    <row r="37205" customHeight="1" spans="2:2">
      <c r="B37205" s="62" t="str">
        <f>IF(AND('领用录入（明细）'!D:D=$F$4,'领用录入（明细）'!C:C&gt;=$J$4,'领用录入（明细）'!C:C&lt;=$L$4),ROW(),"-")</f>
        <v>-</v>
      </c>
    </row>
    <row r="37206" customHeight="1" spans="2:2">
      <c r="B37206" s="62" t="str">
        <f>IF(AND('领用录入（明细）'!D:D=$F$4,'领用录入（明细）'!C:C&gt;=$J$4,'领用录入（明细）'!C:C&lt;=$L$4),ROW(),"-")</f>
        <v>-</v>
      </c>
    </row>
    <row r="37207" customHeight="1" spans="2:2">
      <c r="B37207" s="62" t="str">
        <f>IF(AND('领用录入（明细）'!D:D=$F$4,'领用录入（明细）'!C:C&gt;=$J$4,'领用录入（明细）'!C:C&lt;=$L$4),ROW(),"-")</f>
        <v>-</v>
      </c>
    </row>
    <row r="37208" customHeight="1" spans="2:2">
      <c r="B37208" s="62" t="str">
        <f>IF(AND('领用录入（明细）'!D:D=$F$4,'领用录入（明细）'!C:C&gt;=$J$4,'领用录入（明细）'!C:C&lt;=$L$4),ROW(),"-")</f>
        <v>-</v>
      </c>
    </row>
    <row r="37209" customHeight="1" spans="2:2">
      <c r="B37209" s="62" t="str">
        <f>IF(AND('领用录入（明细）'!D:D=$F$4,'领用录入（明细）'!C:C&gt;=$J$4,'领用录入（明细）'!C:C&lt;=$L$4),ROW(),"-")</f>
        <v>-</v>
      </c>
    </row>
    <row r="37210" customHeight="1" spans="2:2">
      <c r="B37210" s="62" t="str">
        <f>IF(AND('领用录入（明细）'!D:D=$F$4,'领用录入（明细）'!C:C&gt;=$J$4,'领用录入（明细）'!C:C&lt;=$L$4),ROW(),"-")</f>
        <v>-</v>
      </c>
    </row>
    <row r="37211" customHeight="1" spans="2:2">
      <c r="B37211" s="62" t="str">
        <f>IF(AND('领用录入（明细）'!D:D=$F$4,'领用录入（明细）'!C:C&gt;=$J$4,'领用录入（明细）'!C:C&lt;=$L$4),ROW(),"-")</f>
        <v>-</v>
      </c>
    </row>
    <row r="37212" customHeight="1" spans="2:2">
      <c r="B37212" s="62" t="str">
        <f>IF(AND('领用录入（明细）'!D:D=$F$4,'领用录入（明细）'!C:C&gt;=$J$4,'领用录入（明细）'!C:C&lt;=$L$4),ROW(),"-")</f>
        <v>-</v>
      </c>
    </row>
    <row r="37213" customHeight="1" spans="2:2">
      <c r="B37213" s="62" t="str">
        <f>IF(AND('领用录入（明细）'!D:D=$F$4,'领用录入（明细）'!C:C&gt;=$J$4,'领用录入（明细）'!C:C&lt;=$L$4),ROW(),"-")</f>
        <v>-</v>
      </c>
    </row>
    <row r="37214" customHeight="1" spans="2:2">
      <c r="B37214" s="62" t="str">
        <f>IF(AND('领用录入（明细）'!D:D=$F$4,'领用录入（明细）'!C:C&gt;=$J$4,'领用录入（明细）'!C:C&lt;=$L$4),ROW(),"-")</f>
        <v>-</v>
      </c>
    </row>
    <row r="37215" customHeight="1" spans="2:2">
      <c r="B37215" s="62" t="str">
        <f>IF(AND('领用录入（明细）'!D:D=$F$4,'领用录入（明细）'!C:C&gt;=$J$4,'领用录入（明细）'!C:C&lt;=$L$4),ROW(),"-")</f>
        <v>-</v>
      </c>
    </row>
    <row r="37216" customHeight="1" spans="2:2">
      <c r="B37216" s="62" t="str">
        <f>IF(AND('领用录入（明细）'!D:D=$F$4,'领用录入（明细）'!C:C&gt;=$J$4,'领用录入（明细）'!C:C&lt;=$L$4),ROW(),"-")</f>
        <v>-</v>
      </c>
    </row>
    <row r="37217" customHeight="1" spans="2:2">
      <c r="B37217" s="62" t="str">
        <f>IF(AND('领用录入（明细）'!D:D=$F$4,'领用录入（明细）'!C:C&gt;=$J$4,'领用录入（明细）'!C:C&lt;=$L$4),ROW(),"-")</f>
        <v>-</v>
      </c>
    </row>
    <row r="37218" customHeight="1" spans="2:2">
      <c r="B37218" s="62" t="str">
        <f>IF(AND('领用录入（明细）'!D:D=$F$4,'领用录入（明细）'!C:C&gt;=$J$4,'领用录入（明细）'!C:C&lt;=$L$4),ROW(),"-")</f>
        <v>-</v>
      </c>
    </row>
    <row r="37219" customHeight="1" spans="2:2">
      <c r="B37219" s="62" t="str">
        <f>IF(AND('领用录入（明细）'!D:D=$F$4,'领用录入（明细）'!C:C&gt;=$J$4,'领用录入（明细）'!C:C&lt;=$L$4),ROW(),"-")</f>
        <v>-</v>
      </c>
    </row>
    <row r="37220" customHeight="1" spans="2:2">
      <c r="B37220" s="62" t="str">
        <f>IF(AND('领用录入（明细）'!D:D=$F$4,'领用录入（明细）'!C:C&gt;=$J$4,'领用录入（明细）'!C:C&lt;=$L$4),ROW(),"-")</f>
        <v>-</v>
      </c>
    </row>
    <row r="37221" customHeight="1" spans="2:2">
      <c r="B37221" s="62" t="str">
        <f>IF(AND('领用录入（明细）'!D:D=$F$4,'领用录入（明细）'!C:C&gt;=$J$4,'领用录入（明细）'!C:C&lt;=$L$4),ROW(),"-")</f>
        <v>-</v>
      </c>
    </row>
    <row r="37222" customHeight="1" spans="2:2">
      <c r="B37222" s="62" t="str">
        <f>IF(AND('领用录入（明细）'!D:D=$F$4,'领用录入（明细）'!C:C&gt;=$J$4,'领用录入（明细）'!C:C&lt;=$L$4),ROW(),"-")</f>
        <v>-</v>
      </c>
    </row>
    <row r="37223" customHeight="1" spans="2:2">
      <c r="B37223" s="62" t="str">
        <f>IF(AND('领用录入（明细）'!D:D=$F$4,'领用录入（明细）'!C:C&gt;=$J$4,'领用录入（明细）'!C:C&lt;=$L$4),ROW(),"-")</f>
        <v>-</v>
      </c>
    </row>
    <row r="37224" customHeight="1" spans="2:2">
      <c r="B37224" s="62" t="str">
        <f>IF(AND('领用录入（明细）'!D:D=$F$4,'领用录入（明细）'!C:C&gt;=$J$4,'领用录入（明细）'!C:C&lt;=$L$4),ROW(),"-")</f>
        <v>-</v>
      </c>
    </row>
    <row r="37225" customHeight="1" spans="2:2">
      <c r="B37225" s="62" t="str">
        <f>IF(AND('领用录入（明细）'!D:D=$F$4,'领用录入（明细）'!C:C&gt;=$J$4,'领用录入（明细）'!C:C&lt;=$L$4),ROW(),"-")</f>
        <v>-</v>
      </c>
    </row>
    <row r="37226" customHeight="1" spans="2:2">
      <c r="B37226" s="62" t="str">
        <f>IF(AND('领用录入（明细）'!D:D=$F$4,'领用录入（明细）'!C:C&gt;=$J$4,'领用录入（明细）'!C:C&lt;=$L$4),ROW(),"-")</f>
        <v>-</v>
      </c>
    </row>
    <row r="37227" customHeight="1" spans="2:2">
      <c r="B37227" s="62" t="str">
        <f>IF(AND('领用录入（明细）'!D:D=$F$4,'领用录入（明细）'!C:C&gt;=$J$4,'领用录入（明细）'!C:C&lt;=$L$4),ROW(),"-")</f>
        <v>-</v>
      </c>
    </row>
    <row r="37228" customHeight="1" spans="2:2">
      <c r="B37228" s="62" t="str">
        <f>IF(AND('领用录入（明细）'!D:D=$F$4,'领用录入（明细）'!C:C&gt;=$J$4,'领用录入（明细）'!C:C&lt;=$L$4),ROW(),"-")</f>
        <v>-</v>
      </c>
    </row>
    <row r="37229" customHeight="1" spans="2:2">
      <c r="B37229" s="62" t="str">
        <f>IF(AND('领用录入（明细）'!D:D=$F$4,'领用录入（明细）'!C:C&gt;=$J$4,'领用录入（明细）'!C:C&lt;=$L$4),ROW(),"-")</f>
        <v>-</v>
      </c>
    </row>
    <row r="37230" customHeight="1" spans="2:2">
      <c r="B37230" s="62" t="str">
        <f>IF(AND('领用录入（明细）'!D:D=$F$4,'领用录入（明细）'!C:C&gt;=$J$4,'领用录入（明细）'!C:C&lt;=$L$4),ROW(),"-")</f>
        <v>-</v>
      </c>
    </row>
    <row r="37231" customHeight="1" spans="2:2">
      <c r="B37231" s="62" t="str">
        <f>IF(AND('领用录入（明细）'!D:D=$F$4,'领用录入（明细）'!C:C&gt;=$J$4,'领用录入（明细）'!C:C&lt;=$L$4),ROW(),"-")</f>
        <v>-</v>
      </c>
    </row>
    <row r="37232" customHeight="1" spans="2:2">
      <c r="B37232" s="62" t="str">
        <f>IF(AND('领用录入（明细）'!D:D=$F$4,'领用录入（明细）'!C:C&gt;=$J$4,'领用录入（明细）'!C:C&lt;=$L$4),ROW(),"-")</f>
        <v>-</v>
      </c>
    </row>
    <row r="37233" customHeight="1" spans="2:2">
      <c r="B37233" s="62" t="str">
        <f>IF(AND('领用录入（明细）'!D:D=$F$4,'领用录入（明细）'!C:C&gt;=$J$4,'领用录入（明细）'!C:C&lt;=$L$4),ROW(),"-")</f>
        <v>-</v>
      </c>
    </row>
    <row r="37234" customHeight="1" spans="2:2">
      <c r="B37234" s="62" t="str">
        <f>IF(AND('领用录入（明细）'!D:D=$F$4,'领用录入（明细）'!C:C&gt;=$J$4,'领用录入（明细）'!C:C&lt;=$L$4),ROW(),"-")</f>
        <v>-</v>
      </c>
    </row>
    <row r="37235" customHeight="1" spans="2:2">
      <c r="B37235" s="62" t="str">
        <f>IF(AND('领用录入（明细）'!D:D=$F$4,'领用录入（明细）'!C:C&gt;=$J$4,'领用录入（明细）'!C:C&lt;=$L$4),ROW(),"-")</f>
        <v>-</v>
      </c>
    </row>
    <row r="37236" customHeight="1" spans="2:2">
      <c r="B37236" s="62" t="str">
        <f>IF(AND('领用录入（明细）'!D:D=$F$4,'领用录入（明细）'!C:C&gt;=$J$4,'领用录入（明细）'!C:C&lt;=$L$4),ROW(),"-")</f>
        <v>-</v>
      </c>
    </row>
    <row r="37237" customHeight="1" spans="2:2">
      <c r="B37237" s="62" t="str">
        <f>IF(AND('领用录入（明细）'!D:D=$F$4,'领用录入（明细）'!C:C&gt;=$J$4,'领用录入（明细）'!C:C&lt;=$L$4),ROW(),"-")</f>
        <v>-</v>
      </c>
    </row>
    <row r="37238" customHeight="1" spans="2:2">
      <c r="B37238" s="62" t="str">
        <f>IF(AND('领用录入（明细）'!D:D=$F$4,'领用录入（明细）'!C:C&gt;=$J$4,'领用录入（明细）'!C:C&lt;=$L$4),ROW(),"-")</f>
        <v>-</v>
      </c>
    </row>
    <row r="37239" customHeight="1" spans="2:2">
      <c r="B37239" s="62" t="str">
        <f>IF(AND('领用录入（明细）'!D:D=$F$4,'领用录入（明细）'!C:C&gt;=$J$4,'领用录入（明细）'!C:C&lt;=$L$4),ROW(),"-")</f>
        <v>-</v>
      </c>
    </row>
    <row r="37240" customHeight="1" spans="2:2">
      <c r="B37240" s="62" t="str">
        <f>IF(AND('领用录入（明细）'!D:D=$F$4,'领用录入（明细）'!C:C&gt;=$J$4,'领用录入（明细）'!C:C&lt;=$L$4),ROW(),"-")</f>
        <v>-</v>
      </c>
    </row>
    <row r="37241" customHeight="1" spans="2:2">
      <c r="B37241" s="62" t="str">
        <f>IF(AND('领用录入（明细）'!D:D=$F$4,'领用录入（明细）'!C:C&gt;=$J$4,'领用录入（明细）'!C:C&lt;=$L$4),ROW(),"-")</f>
        <v>-</v>
      </c>
    </row>
    <row r="37242" customHeight="1" spans="2:2">
      <c r="B37242" s="62" t="str">
        <f>IF(AND('领用录入（明细）'!D:D=$F$4,'领用录入（明细）'!C:C&gt;=$J$4,'领用录入（明细）'!C:C&lt;=$L$4),ROW(),"-")</f>
        <v>-</v>
      </c>
    </row>
    <row r="37243" customHeight="1" spans="2:2">
      <c r="B37243" s="62" t="str">
        <f>IF(AND('领用录入（明细）'!D:D=$F$4,'领用录入（明细）'!C:C&gt;=$J$4,'领用录入（明细）'!C:C&lt;=$L$4),ROW(),"-")</f>
        <v>-</v>
      </c>
    </row>
    <row r="37244" customHeight="1" spans="2:2">
      <c r="B37244" s="62" t="str">
        <f>IF(AND('领用录入（明细）'!D:D=$F$4,'领用录入（明细）'!C:C&gt;=$J$4,'领用录入（明细）'!C:C&lt;=$L$4),ROW(),"-")</f>
        <v>-</v>
      </c>
    </row>
    <row r="37245" customHeight="1" spans="2:2">
      <c r="B37245" s="62" t="str">
        <f>IF(AND('领用录入（明细）'!D:D=$F$4,'领用录入（明细）'!C:C&gt;=$J$4,'领用录入（明细）'!C:C&lt;=$L$4),ROW(),"-")</f>
        <v>-</v>
      </c>
    </row>
    <row r="37246" customHeight="1" spans="2:2">
      <c r="B37246" s="62" t="str">
        <f>IF(AND('领用录入（明细）'!D:D=$F$4,'领用录入（明细）'!C:C&gt;=$J$4,'领用录入（明细）'!C:C&lt;=$L$4),ROW(),"-")</f>
        <v>-</v>
      </c>
    </row>
    <row r="37247" customHeight="1" spans="2:2">
      <c r="B37247" s="62" t="str">
        <f>IF(AND('领用录入（明细）'!D:D=$F$4,'领用录入（明细）'!C:C&gt;=$J$4,'领用录入（明细）'!C:C&lt;=$L$4),ROW(),"-")</f>
        <v>-</v>
      </c>
    </row>
    <row r="37248" customHeight="1" spans="2:2">
      <c r="B37248" s="62" t="str">
        <f>IF(AND('领用录入（明细）'!D:D=$F$4,'领用录入（明细）'!C:C&gt;=$J$4,'领用录入（明细）'!C:C&lt;=$L$4),ROW(),"-")</f>
        <v>-</v>
      </c>
    </row>
    <row r="37249" customHeight="1" spans="2:2">
      <c r="B37249" s="62" t="str">
        <f>IF(AND('领用录入（明细）'!D:D=$F$4,'领用录入（明细）'!C:C&gt;=$J$4,'领用录入（明细）'!C:C&lt;=$L$4),ROW(),"-")</f>
        <v>-</v>
      </c>
    </row>
    <row r="37250" customHeight="1" spans="2:2">
      <c r="B37250" s="62" t="str">
        <f>IF(AND('领用录入（明细）'!D:D=$F$4,'领用录入（明细）'!C:C&gt;=$J$4,'领用录入（明细）'!C:C&lt;=$L$4),ROW(),"-")</f>
        <v>-</v>
      </c>
    </row>
    <row r="37251" customHeight="1" spans="2:2">
      <c r="B37251" s="62" t="str">
        <f>IF(AND('领用录入（明细）'!D:D=$F$4,'领用录入（明细）'!C:C&gt;=$J$4,'领用录入（明细）'!C:C&lt;=$L$4),ROW(),"-")</f>
        <v>-</v>
      </c>
    </row>
    <row r="37252" customHeight="1" spans="2:2">
      <c r="B37252" s="62" t="str">
        <f>IF(AND('领用录入（明细）'!D:D=$F$4,'领用录入（明细）'!C:C&gt;=$J$4,'领用录入（明细）'!C:C&lt;=$L$4),ROW(),"-")</f>
        <v>-</v>
      </c>
    </row>
    <row r="37253" customHeight="1" spans="2:2">
      <c r="B37253" s="62" t="str">
        <f>IF(AND('领用录入（明细）'!D:D=$F$4,'领用录入（明细）'!C:C&gt;=$J$4,'领用录入（明细）'!C:C&lt;=$L$4),ROW(),"-")</f>
        <v>-</v>
      </c>
    </row>
    <row r="37254" customHeight="1" spans="2:2">
      <c r="B37254" s="62" t="str">
        <f>IF(AND('领用录入（明细）'!D:D=$F$4,'领用录入（明细）'!C:C&gt;=$J$4,'领用录入（明细）'!C:C&lt;=$L$4),ROW(),"-")</f>
        <v>-</v>
      </c>
    </row>
    <row r="37255" customHeight="1" spans="2:2">
      <c r="B37255" s="62" t="str">
        <f>IF(AND('领用录入（明细）'!D:D=$F$4,'领用录入（明细）'!C:C&gt;=$J$4,'领用录入（明细）'!C:C&lt;=$L$4),ROW(),"-")</f>
        <v>-</v>
      </c>
    </row>
    <row r="37256" customHeight="1" spans="2:2">
      <c r="B37256" s="62" t="str">
        <f>IF(AND('领用录入（明细）'!D:D=$F$4,'领用录入（明细）'!C:C&gt;=$J$4,'领用录入（明细）'!C:C&lt;=$L$4),ROW(),"-")</f>
        <v>-</v>
      </c>
    </row>
    <row r="37257" customHeight="1" spans="2:2">
      <c r="B37257" s="62" t="str">
        <f>IF(AND('领用录入（明细）'!D:D=$F$4,'领用录入（明细）'!C:C&gt;=$J$4,'领用录入（明细）'!C:C&lt;=$L$4),ROW(),"-")</f>
        <v>-</v>
      </c>
    </row>
    <row r="37258" customHeight="1" spans="2:2">
      <c r="B37258" s="62" t="str">
        <f>IF(AND('领用录入（明细）'!D:D=$F$4,'领用录入（明细）'!C:C&gt;=$J$4,'领用录入（明细）'!C:C&lt;=$L$4),ROW(),"-")</f>
        <v>-</v>
      </c>
    </row>
    <row r="37259" customHeight="1" spans="2:2">
      <c r="B37259" s="62" t="str">
        <f>IF(AND('领用录入（明细）'!D:D=$F$4,'领用录入（明细）'!C:C&gt;=$J$4,'领用录入（明细）'!C:C&lt;=$L$4),ROW(),"-")</f>
        <v>-</v>
      </c>
    </row>
    <row r="37260" customHeight="1" spans="2:2">
      <c r="B37260" s="62" t="str">
        <f>IF(AND('领用录入（明细）'!D:D=$F$4,'领用录入（明细）'!C:C&gt;=$J$4,'领用录入（明细）'!C:C&lt;=$L$4),ROW(),"-")</f>
        <v>-</v>
      </c>
    </row>
    <row r="37261" customHeight="1" spans="2:2">
      <c r="B37261" s="62" t="str">
        <f>IF(AND('领用录入（明细）'!D:D=$F$4,'领用录入（明细）'!C:C&gt;=$J$4,'领用录入（明细）'!C:C&lt;=$L$4),ROW(),"-")</f>
        <v>-</v>
      </c>
    </row>
    <row r="37262" customHeight="1" spans="2:2">
      <c r="B37262" s="62" t="str">
        <f>IF(AND('领用录入（明细）'!D:D=$F$4,'领用录入（明细）'!C:C&gt;=$J$4,'领用录入（明细）'!C:C&lt;=$L$4),ROW(),"-")</f>
        <v>-</v>
      </c>
    </row>
    <row r="37263" customHeight="1" spans="2:2">
      <c r="B37263" s="62" t="str">
        <f>IF(AND('领用录入（明细）'!D:D=$F$4,'领用录入（明细）'!C:C&gt;=$J$4,'领用录入（明细）'!C:C&lt;=$L$4),ROW(),"-")</f>
        <v>-</v>
      </c>
    </row>
    <row r="37264" customHeight="1" spans="2:2">
      <c r="B37264" s="62" t="str">
        <f>IF(AND('领用录入（明细）'!D:D=$F$4,'领用录入（明细）'!C:C&gt;=$J$4,'领用录入（明细）'!C:C&lt;=$L$4),ROW(),"-")</f>
        <v>-</v>
      </c>
    </row>
    <row r="37265" customHeight="1" spans="2:2">
      <c r="B37265" s="62" t="str">
        <f>IF(AND('领用录入（明细）'!D:D=$F$4,'领用录入（明细）'!C:C&gt;=$J$4,'领用录入（明细）'!C:C&lt;=$L$4),ROW(),"-")</f>
        <v>-</v>
      </c>
    </row>
    <row r="37266" customHeight="1" spans="2:2">
      <c r="B37266" s="62" t="str">
        <f>IF(AND('领用录入（明细）'!D:D=$F$4,'领用录入（明细）'!C:C&gt;=$J$4,'领用录入（明细）'!C:C&lt;=$L$4),ROW(),"-")</f>
        <v>-</v>
      </c>
    </row>
    <row r="37267" customHeight="1" spans="2:2">
      <c r="B37267" s="62" t="str">
        <f>IF(AND('领用录入（明细）'!D:D=$F$4,'领用录入（明细）'!C:C&gt;=$J$4,'领用录入（明细）'!C:C&lt;=$L$4),ROW(),"-")</f>
        <v>-</v>
      </c>
    </row>
    <row r="37268" customHeight="1" spans="2:2">
      <c r="B37268" s="62" t="str">
        <f>IF(AND('领用录入（明细）'!D:D=$F$4,'领用录入（明细）'!C:C&gt;=$J$4,'领用录入（明细）'!C:C&lt;=$L$4),ROW(),"-")</f>
        <v>-</v>
      </c>
    </row>
    <row r="37269" customHeight="1" spans="2:2">
      <c r="B37269" s="62" t="str">
        <f>IF(AND('领用录入（明细）'!D:D=$F$4,'领用录入（明细）'!C:C&gt;=$J$4,'领用录入（明细）'!C:C&lt;=$L$4),ROW(),"-")</f>
        <v>-</v>
      </c>
    </row>
    <row r="37270" customHeight="1" spans="2:2">
      <c r="B37270" s="62" t="str">
        <f>IF(AND('领用录入（明细）'!D:D=$F$4,'领用录入（明细）'!C:C&gt;=$J$4,'领用录入（明细）'!C:C&lt;=$L$4),ROW(),"-")</f>
        <v>-</v>
      </c>
    </row>
    <row r="37271" customHeight="1" spans="2:2">
      <c r="B37271" s="62" t="str">
        <f>IF(AND('领用录入（明细）'!D:D=$F$4,'领用录入（明细）'!C:C&gt;=$J$4,'领用录入（明细）'!C:C&lt;=$L$4),ROW(),"-")</f>
        <v>-</v>
      </c>
    </row>
    <row r="37272" customHeight="1" spans="2:2">
      <c r="B37272" s="62" t="str">
        <f>IF(AND('领用录入（明细）'!D:D=$F$4,'领用录入（明细）'!C:C&gt;=$J$4,'领用录入（明细）'!C:C&lt;=$L$4),ROW(),"-")</f>
        <v>-</v>
      </c>
    </row>
    <row r="37273" customHeight="1" spans="2:2">
      <c r="B37273" s="62" t="str">
        <f>IF(AND('领用录入（明细）'!D:D=$F$4,'领用录入（明细）'!C:C&gt;=$J$4,'领用录入（明细）'!C:C&lt;=$L$4),ROW(),"-")</f>
        <v>-</v>
      </c>
    </row>
    <row r="37274" customHeight="1" spans="2:2">
      <c r="B37274" s="62" t="str">
        <f>IF(AND('领用录入（明细）'!D:D=$F$4,'领用录入（明细）'!C:C&gt;=$J$4,'领用录入（明细）'!C:C&lt;=$L$4),ROW(),"-")</f>
        <v>-</v>
      </c>
    </row>
    <row r="37275" customHeight="1" spans="2:2">
      <c r="B37275" s="62" t="str">
        <f>IF(AND('领用录入（明细）'!D:D=$F$4,'领用录入（明细）'!C:C&gt;=$J$4,'领用录入（明细）'!C:C&lt;=$L$4),ROW(),"-")</f>
        <v>-</v>
      </c>
    </row>
    <row r="37276" customHeight="1" spans="2:2">
      <c r="B37276" s="62" t="str">
        <f>IF(AND('领用录入（明细）'!D:D=$F$4,'领用录入（明细）'!C:C&gt;=$J$4,'领用录入（明细）'!C:C&lt;=$L$4),ROW(),"-")</f>
        <v>-</v>
      </c>
    </row>
    <row r="37277" customHeight="1" spans="2:2">
      <c r="B37277" s="62" t="str">
        <f>IF(AND('领用录入（明细）'!D:D=$F$4,'领用录入（明细）'!C:C&gt;=$J$4,'领用录入（明细）'!C:C&lt;=$L$4),ROW(),"-")</f>
        <v>-</v>
      </c>
    </row>
    <row r="37278" customHeight="1" spans="2:2">
      <c r="B37278" s="62" t="str">
        <f>IF(AND('领用录入（明细）'!D:D=$F$4,'领用录入（明细）'!C:C&gt;=$J$4,'领用录入（明细）'!C:C&lt;=$L$4),ROW(),"-")</f>
        <v>-</v>
      </c>
    </row>
    <row r="37279" customHeight="1" spans="2:2">
      <c r="B37279" s="62" t="str">
        <f>IF(AND('领用录入（明细）'!D:D=$F$4,'领用录入（明细）'!C:C&gt;=$J$4,'领用录入（明细）'!C:C&lt;=$L$4),ROW(),"-")</f>
        <v>-</v>
      </c>
    </row>
    <row r="37280" customHeight="1" spans="2:2">
      <c r="B37280" s="62" t="str">
        <f>IF(AND('领用录入（明细）'!D:D=$F$4,'领用录入（明细）'!C:C&gt;=$J$4,'领用录入（明细）'!C:C&lt;=$L$4),ROW(),"-")</f>
        <v>-</v>
      </c>
    </row>
    <row r="37281" customHeight="1" spans="2:2">
      <c r="B37281" s="62" t="str">
        <f>IF(AND('领用录入（明细）'!D:D=$F$4,'领用录入（明细）'!C:C&gt;=$J$4,'领用录入（明细）'!C:C&lt;=$L$4),ROW(),"-")</f>
        <v>-</v>
      </c>
    </row>
    <row r="37282" customHeight="1" spans="2:2">
      <c r="B37282" s="62" t="str">
        <f>IF(AND('领用录入（明细）'!D:D=$F$4,'领用录入（明细）'!C:C&gt;=$J$4,'领用录入（明细）'!C:C&lt;=$L$4),ROW(),"-")</f>
        <v>-</v>
      </c>
    </row>
    <row r="37283" customHeight="1" spans="2:2">
      <c r="B37283" s="62" t="str">
        <f>IF(AND('领用录入（明细）'!D:D=$F$4,'领用录入（明细）'!C:C&gt;=$J$4,'领用录入（明细）'!C:C&lt;=$L$4),ROW(),"-")</f>
        <v>-</v>
      </c>
    </row>
    <row r="37284" customHeight="1" spans="2:2">
      <c r="B37284" s="62" t="str">
        <f>IF(AND('领用录入（明细）'!D:D=$F$4,'领用录入（明细）'!C:C&gt;=$J$4,'领用录入（明细）'!C:C&lt;=$L$4),ROW(),"-")</f>
        <v>-</v>
      </c>
    </row>
    <row r="37285" customHeight="1" spans="2:2">
      <c r="B37285" s="62" t="str">
        <f>IF(AND('领用录入（明细）'!D:D=$F$4,'领用录入（明细）'!C:C&gt;=$J$4,'领用录入（明细）'!C:C&lt;=$L$4),ROW(),"-")</f>
        <v>-</v>
      </c>
    </row>
    <row r="37286" customHeight="1" spans="2:2">
      <c r="B37286" s="62" t="str">
        <f>IF(AND('领用录入（明细）'!D:D=$F$4,'领用录入（明细）'!C:C&gt;=$J$4,'领用录入（明细）'!C:C&lt;=$L$4),ROW(),"-")</f>
        <v>-</v>
      </c>
    </row>
    <row r="37287" customHeight="1" spans="2:2">
      <c r="B37287" s="62" t="str">
        <f>IF(AND('领用录入（明细）'!D:D=$F$4,'领用录入（明细）'!C:C&gt;=$J$4,'领用录入（明细）'!C:C&lt;=$L$4),ROW(),"-")</f>
        <v>-</v>
      </c>
    </row>
    <row r="37288" customHeight="1" spans="2:2">
      <c r="B37288" s="62" t="str">
        <f>IF(AND('领用录入（明细）'!D:D=$F$4,'领用录入（明细）'!C:C&gt;=$J$4,'领用录入（明细）'!C:C&lt;=$L$4),ROW(),"-")</f>
        <v>-</v>
      </c>
    </row>
    <row r="37289" customHeight="1" spans="2:2">
      <c r="B37289" s="62" t="str">
        <f>IF(AND('领用录入（明细）'!D:D=$F$4,'领用录入（明细）'!C:C&gt;=$J$4,'领用录入（明细）'!C:C&lt;=$L$4),ROW(),"-")</f>
        <v>-</v>
      </c>
    </row>
    <row r="37290" customHeight="1" spans="2:2">
      <c r="B37290" s="62" t="str">
        <f>IF(AND('领用录入（明细）'!D:D=$F$4,'领用录入（明细）'!C:C&gt;=$J$4,'领用录入（明细）'!C:C&lt;=$L$4),ROW(),"-")</f>
        <v>-</v>
      </c>
    </row>
    <row r="37291" customHeight="1" spans="2:2">
      <c r="B37291" s="62" t="str">
        <f>IF(AND('领用录入（明细）'!D:D=$F$4,'领用录入（明细）'!C:C&gt;=$J$4,'领用录入（明细）'!C:C&lt;=$L$4),ROW(),"-")</f>
        <v>-</v>
      </c>
    </row>
    <row r="37292" customHeight="1" spans="2:2">
      <c r="B37292" s="62" t="str">
        <f>IF(AND('领用录入（明细）'!D:D=$F$4,'领用录入（明细）'!C:C&gt;=$J$4,'领用录入（明细）'!C:C&lt;=$L$4),ROW(),"-")</f>
        <v>-</v>
      </c>
    </row>
    <row r="37293" customHeight="1" spans="2:2">
      <c r="B37293" s="62" t="str">
        <f>IF(AND('领用录入（明细）'!D:D=$F$4,'领用录入（明细）'!C:C&gt;=$J$4,'领用录入（明细）'!C:C&lt;=$L$4),ROW(),"-")</f>
        <v>-</v>
      </c>
    </row>
    <row r="37294" customHeight="1" spans="2:2">
      <c r="B37294" s="62" t="str">
        <f>IF(AND('领用录入（明细）'!D:D=$F$4,'领用录入（明细）'!C:C&gt;=$J$4,'领用录入（明细）'!C:C&lt;=$L$4),ROW(),"-")</f>
        <v>-</v>
      </c>
    </row>
    <row r="37295" customHeight="1" spans="2:2">
      <c r="B37295" s="62" t="str">
        <f>IF(AND('领用录入（明细）'!D:D=$F$4,'领用录入（明细）'!C:C&gt;=$J$4,'领用录入（明细）'!C:C&lt;=$L$4),ROW(),"-")</f>
        <v>-</v>
      </c>
    </row>
    <row r="37296" customHeight="1" spans="2:2">
      <c r="B37296" s="62" t="str">
        <f>IF(AND('领用录入（明细）'!D:D=$F$4,'领用录入（明细）'!C:C&gt;=$J$4,'领用录入（明细）'!C:C&lt;=$L$4),ROW(),"-")</f>
        <v>-</v>
      </c>
    </row>
    <row r="37297" customHeight="1" spans="2:2">
      <c r="B37297" s="62" t="str">
        <f>IF(AND('领用录入（明细）'!D:D=$F$4,'领用录入（明细）'!C:C&gt;=$J$4,'领用录入（明细）'!C:C&lt;=$L$4),ROW(),"-")</f>
        <v>-</v>
      </c>
    </row>
    <row r="37298" customHeight="1" spans="2:2">
      <c r="B37298" s="62" t="str">
        <f>IF(AND('领用录入（明细）'!D:D=$F$4,'领用录入（明细）'!C:C&gt;=$J$4,'领用录入（明细）'!C:C&lt;=$L$4),ROW(),"-")</f>
        <v>-</v>
      </c>
    </row>
    <row r="37299" customHeight="1" spans="2:2">
      <c r="B37299" s="62" t="str">
        <f>IF(AND('领用录入（明细）'!D:D=$F$4,'领用录入（明细）'!C:C&gt;=$J$4,'领用录入（明细）'!C:C&lt;=$L$4),ROW(),"-")</f>
        <v>-</v>
      </c>
    </row>
    <row r="37300" customHeight="1" spans="2:2">
      <c r="B37300" s="62" t="str">
        <f>IF(AND('领用录入（明细）'!D:D=$F$4,'领用录入（明细）'!C:C&gt;=$J$4,'领用录入（明细）'!C:C&lt;=$L$4),ROW(),"-")</f>
        <v>-</v>
      </c>
    </row>
    <row r="37301" customHeight="1" spans="2:2">
      <c r="B37301" s="62" t="str">
        <f>IF(AND('领用录入（明细）'!D:D=$F$4,'领用录入（明细）'!C:C&gt;=$J$4,'领用录入（明细）'!C:C&lt;=$L$4),ROW(),"-")</f>
        <v>-</v>
      </c>
    </row>
    <row r="37302" customHeight="1" spans="2:2">
      <c r="B37302" s="62" t="str">
        <f>IF(AND('领用录入（明细）'!D:D=$F$4,'领用录入（明细）'!C:C&gt;=$J$4,'领用录入（明细）'!C:C&lt;=$L$4),ROW(),"-")</f>
        <v>-</v>
      </c>
    </row>
    <row r="37303" customHeight="1" spans="2:2">
      <c r="B37303" s="62" t="str">
        <f>IF(AND('领用录入（明细）'!D:D=$F$4,'领用录入（明细）'!C:C&gt;=$J$4,'领用录入（明细）'!C:C&lt;=$L$4),ROW(),"-")</f>
        <v>-</v>
      </c>
    </row>
    <row r="37304" customHeight="1" spans="2:2">
      <c r="B37304" s="62" t="str">
        <f>IF(AND('领用录入（明细）'!D:D=$F$4,'领用录入（明细）'!C:C&gt;=$J$4,'领用录入（明细）'!C:C&lt;=$L$4),ROW(),"-")</f>
        <v>-</v>
      </c>
    </row>
    <row r="37305" customHeight="1" spans="2:2">
      <c r="B37305" s="62" t="str">
        <f>IF(AND('领用录入（明细）'!D:D=$F$4,'领用录入（明细）'!C:C&gt;=$J$4,'领用录入（明细）'!C:C&lt;=$L$4),ROW(),"-")</f>
        <v>-</v>
      </c>
    </row>
    <row r="37306" customHeight="1" spans="2:2">
      <c r="B37306" s="62" t="str">
        <f>IF(AND('领用录入（明细）'!D:D=$F$4,'领用录入（明细）'!C:C&gt;=$J$4,'领用录入（明细）'!C:C&lt;=$L$4),ROW(),"-")</f>
        <v>-</v>
      </c>
    </row>
    <row r="37307" customHeight="1" spans="2:2">
      <c r="B37307" s="62" t="str">
        <f>IF(AND('领用录入（明细）'!D:D=$F$4,'领用录入（明细）'!C:C&gt;=$J$4,'领用录入（明细）'!C:C&lt;=$L$4),ROW(),"-")</f>
        <v>-</v>
      </c>
    </row>
    <row r="37308" customHeight="1" spans="2:2">
      <c r="B37308" s="62" t="str">
        <f>IF(AND('领用录入（明细）'!D:D=$F$4,'领用录入（明细）'!C:C&gt;=$J$4,'领用录入（明细）'!C:C&lt;=$L$4),ROW(),"-")</f>
        <v>-</v>
      </c>
    </row>
    <row r="37309" customHeight="1" spans="2:2">
      <c r="B37309" s="62" t="str">
        <f>IF(AND('领用录入（明细）'!D:D=$F$4,'领用录入（明细）'!C:C&gt;=$J$4,'领用录入（明细）'!C:C&lt;=$L$4),ROW(),"-")</f>
        <v>-</v>
      </c>
    </row>
    <row r="37310" customHeight="1" spans="2:2">
      <c r="B37310" s="62" t="str">
        <f>IF(AND('领用录入（明细）'!D:D=$F$4,'领用录入（明细）'!C:C&gt;=$J$4,'领用录入（明细）'!C:C&lt;=$L$4),ROW(),"-")</f>
        <v>-</v>
      </c>
    </row>
    <row r="37311" customHeight="1" spans="2:2">
      <c r="B37311" s="62" t="str">
        <f>IF(AND('领用录入（明细）'!D:D=$F$4,'领用录入（明细）'!C:C&gt;=$J$4,'领用录入（明细）'!C:C&lt;=$L$4),ROW(),"-")</f>
        <v>-</v>
      </c>
    </row>
    <row r="37312" customHeight="1" spans="2:2">
      <c r="B37312" s="62" t="str">
        <f>IF(AND('领用录入（明细）'!D:D=$F$4,'领用录入（明细）'!C:C&gt;=$J$4,'领用录入（明细）'!C:C&lt;=$L$4),ROW(),"-")</f>
        <v>-</v>
      </c>
    </row>
    <row r="37313" customHeight="1" spans="2:2">
      <c r="B37313" s="62" t="str">
        <f>IF(AND('领用录入（明细）'!D:D=$F$4,'领用录入（明细）'!C:C&gt;=$J$4,'领用录入（明细）'!C:C&lt;=$L$4),ROW(),"-")</f>
        <v>-</v>
      </c>
    </row>
    <row r="37314" customHeight="1" spans="2:2">
      <c r="B37314" s="62" t="str">
        <f>IF(AND('领用录入（明细）'!D:D=$F$4,'领用录入（明细）'!C:C&gt;=$J$4,'领用录入（明细）'!C:C&lt;=$L$4),ROW(),"-")</f>
        <v>-</v>
      </c>
    </row>
    <row r="37315" customHeight="1" spans="2:2">
      <c r="B37315" s="62" t="str">
        <f>IF(AND('领用录入（明细）'!D:D=$F$4,'领用录入（明细）'!C:C&gt;=$J$4,'领用录入（明细）'!C:C&lt;=$L$4),ROW(),"-")</f>
        <v>-</v>
      </c>
    </row>
    <row r="37316" customHeight="1" spans="2:2">
      <c r="B37316" s="62" t="str">
        <f>IF(AND('领用录入（明细）'!D:D=$F$4,'领用录入（明细）'!C:C&gt;=$J$4,'领用录入（明细）'!C:C&lt;=$L$4),ROW(),"-")</f>
        <v>-</v>
      </c>
    </row>
    <row r="37317" customHeight="1" spans="2:2">
      <c r="B37317" s="62" t="str">
        <f>IF(AND('领用录入（明细）'!D:D=$F$4,'领用录入（明细）'!C:C&gt;=$J$4,'领用录入（明细）'!C:C&lt;=$L$4),ROW(),"-")</f>
        <v>-</v>
      </c>
    </row>
    <row r="37318" customHeight="1" spans="2:2">
      <c r="B37318" s="62" t="str">
        <f>IF(AND('领用录入（明细）'!D:D=$F$4,'领用录入（明细）'!C:C&gt;=$J$4,'领用录入（明细）'!C:C&lt;=$L$4),ROW(),"-")</f>
        <v>-</v>
      </c>
    </row>
    <row r="37319" customHeight="1" spans="2:2">
      <c r="B37319" s="62" t="str">
        <f>IF(AND('领用录入（明细）'!D:D=$F$4,'领用录入（明细）'!C:C&gt;=$J$4,'领用录入（明细）'!C:C&lt;=$L$4),ROW(),"-")</f>
        <v>-</v>
      </c>
    </row>
    <row r="37320" customHeight="1" spans="2:2">
      <c r="B37320" s="62" t="str">
        <f>IF(AND('领用录入（明细）'!D:D=$F$4,'领用录入（明细）'!C:C&gt;=$J$4,'领用录入（明细）'!C:C&lt;=$L$4),ROW(),"-")</f>
        <v>-</v>
      </c>
    </row>
    <row r="37321" customHeight="1" spans="2:2">
      <c r="B37321" s="62" t="str">
        <f>IF(AND('领用录入（明细）'!D:D=$F$4,'领用录入（明细）'!C:C&gt;=$J$4,'领用录入（明细）'!C:C&lt;=$L$4),ROW(),"-")</f>
        <v>-</v>
      </c>
    </row>
    <row r="37322" customHeight="1" spans="2:2">
      <c r="B37322" s="62" t="str">
        <f>IF(AND('领用录入（明细）'!D:D=$F$4,'领用录入（明细）'!C:C&gt;=$J$4,'领用录入（明细）'!C:C&lt;=$L$4),ROW(),"-")</f>
        <v>-</v>
      </c>
    </row>
    <row r="37323" customHeight="1" spans="2:2">
      <c r="B37323" s="62" t="str">
        <f>IF(AND('领用录入（明细）'!D:D=$F$4,'领用录入（明细）'!C:C&gt;=$J$4,'领用录入（明细）'!C:C&lt;=$L$4),ROW(),"-")</f>
        <v>-</v>
      </c>
    </row>
    <row r="37324" customHeight="1" spans="2:2">
      <c r="B37324" s="62" t="str">
        <f>IF(AND('领用录入（明细）'!D:D=$F$4,'领用录入（明细）'!C:C&gt;=$J$4,'领用录入（明细）'!C:C&lt;=$L$4),ROW(),"-")</f>
        <v>-</v>
      </c>
    </row>
    <row r="37325" customHeight="1" spans="2:2">
      <c r="B37325" s="62" t="str">
        <f>IF(AND('领用录入（明细）'!D:D=$F$4,'领用录入（明细）'!C:C&gt;=$J$4,'领用录入（明细）'!C:C&lt;=$L$4),ROW(),"-")</f>
        <v>-</v>
      </c>
    </row>
    <row r="37326" customHeight="1" spans="2:2">
      <c r="B37326" s="62" t="str">
        <f>IF(AND('领用录入（明细）'!D:D=$F$4,'领用录入（明细）'!C:C&gt;=$J$4,'领用录入（明细）'!C:C&lt;=$L$4),ROW(),"-")</f>
        <v>-</v>
      </c>
    </row>
    <row r="37327" customHeight="1" spans="2:2">
      <c r="B37327" s="62" t="str">
        <f>IF(AND('领用录入（明细）'!D:D=$F$4,'领用录入（明细）'!C:C&gt;=$J$4,'领用录入（明细）'!C:C&lt;=$L$4),ROW(),"-")</f>
        <v>-</v>
      </c>
    </row>
    <row r="37328" customHeight="1" spans="2:2">
      <c r="B37328" s="62" t="str">
        <f>IF(AND('领用录入（明细）'!D:D=$F$4,'领用录入（明细）'!C:C&gt;=$J$4,'领用录入（明细）'!C:C&lt;=$L$4),ROW(),"-")</f>
        <v>-</v>
      </c>
    </row>
    <row r="37329" customHeight="1" spans="2:2">
      <c r="B37329" s="62" t="str">
        <f>IF(AND('领用录入（明细）'!D:D=$F$4,'领用录入（明细）'!C:C&gt;=$J$4,'领用录入（明细）'!C:C&lt;=$L$4),ROW(),"-")</f>
        <v>-</v>
      </c>
    </row>
    <row r="37330" customHeight="1" spans="2:2">
      <c r="B37330" s="62" t="str">
        <f>IF(AND('领用录入（明细）'!D:D=$F$4,'领用录入（明细）'!C:C&gt;=$J$4,'领用录入（明细）'!C:C&lt;=$L$4),ROW(),"-")</f>
        <v>-</v>
      </c>
    </row>
    <row r="37331" customHeight="1" spans="2:2">
      <c r="B37331" s="62" t="str">
        <f>IF(AND('领用录入（明细）'!D:D=$F$4,'领用录入（明细）'!C:C&gt;=$J$4,'领用录入（明细）'!C:C&lt;=$L$4),ROW(),"-")</f>
        <v>-</v>
      </c>
    </row>
    <row r="37332" customHeight="1" spans="2:2">
      <c r="B37332" s="62" t="str">
        <f>IF(AND('领用录入（明细）'!D:D=$F$4,'领用录入（明细）'!C:C&gt;=$J$4,'领用录入（明细）'!C:C&lt;=$L$4),ROW(),"-")</f>
        <v>-</v>
      </c>
    </row>
    <row r="37333" customHeight="1" spans="2:2">
      <c r="B37333" s="62" t="str">
        <f>IF(AND('领用录入（明细）'!D:D=$F$4,'领用录入（明细）'!C:C&gt;=$J$4,'领用录入（明细）'!C:C&lt;=$L$4),ROW(),"-")</f>
        <v>-</v>
      </c>
    </row>
    <row r="37334" customHeight="1" spans="2:2">
      <c r="B37334" s="62" t="str">
        <f>IF(AND('领用录入（明细）'!D:D=$F$4,'领用录入（明细）'!C:C&gt;=$J$4,'领用录入（明细）'!C:C&lt;=$L$4),ROW(),"-")</f>
        <v>-</v>
      </c>
    </row>
    <row r="37335" customHeight="1" spans="2:2">
      <c r="B37335" s="62" t="str">
        <f>IF(AND('领用录入（明细）'!D:D=$F$4,'领用录入（明细）'!C:C&gt;=$J$4,'领用录入（明细）'!C:C&lt;=$L$4),ROW(),"-")</f>
        <v>-</v>
      </c>
    </row>
    <row r="37336" customHeight="1" spans="2:2">
      <c r="B37336" s="62" t="str">
        <f>IF(AND('领用录入（明细）'!D:D=$F$4,'领用录入（明细）'!C:C&gt;=$J$4,'领用录入（明细）'!C:C&lt;=$L$4),ROW(),"-")</f>
        <v>-</v>
      </c>
    </row>
    <row r="37337" customHeight="1" spans="2:2">
      <c r="B37337" s="62" t="str">
        <f>IF(AND('领用录入（明细）'!D:D=$F$4,'领用录入（明细）'!C:C&gt;=$J$4,'领用录入（明细）'!C:C&lt;=$L$4),ROW(),"-")</f>
        <v>-</v>
      </c>
    </row>
    <row r="37338" customHeight="1" spans="2:2">
      <c r="B37338" s="62" t="str">
        <f>IF(AND('领用录入（明细）'!D:D=$F$4,'领用录入（明细）'!C:C&gt;=$J$4,'领用录入（明细）'!C:C&lt;=$L$4),ROW(),"-")</f>
        <v>-</v>
      </c>
    </row>
    <row r="37339" customHeight="1" spans="2:2">
      <c r="B37339" s="62" t="str">
        <f>IF(AND('领用录入（明细）'!D:D=$F$4,'领用录入（明细）'!C:C&gt;=$J$4,'领用录入（明细）'!C:C&lt;=$L$4),ROW(),"-")</f>
        <v>-</v>
      </c>
    </row>
    <row r="37340" customHeight="1" spans="2:2">
      <c r="B37340" s="62" t="str">
        <f>IF(AND('领用录入（明细）'!D:D=$F$4,'领用录入（明细）'!C:C&gt;=$J$4,'领用录入（明细）'!C:C&lt;=$L$4),ROW(),"-")</f>
        <v>-</v>
      </c>
    </row>
    <row r="37341" customHeight="1" spans="2:2">
      <c r="B37341" s="62" t="str">
        <f>IF(AND('领用录入（明细）'!D:D=$F$4,'领用录入（明细）'!C:C&gt;=$J$4,'领用录入（明细）'!C:C&lt;=$L$4),ROW(),"-")</f>
        <v>-</v>
      </c>
    </row>
    <row r="37342" customHeight="1" spans="2:2">
      <c r="B37342" s="62" t="str">
        <f>IF(AND('领用录入（明细）'!D:D=$F$4,'领用录入（明细）'!C:C&gt;=$J$4,'领用录入（明细）'!C:C&lt;=$L$4),ROW(),"-")</f>
        <v>-</v>
      </c>
    </row>
    <row r="37343" customHeight="1" spans="2:2">
      <c r="B37343" s="62" t="str">
        <f>IF(AND('领用录入（明细）'!D:D=$F$4,'领用录入（明细）'!C:C&gt;=$J$4,'领用录入（明细）'!C:C&lt;=$L$4),ROW(),"-")</f>
        <v>-</v>
      </c>
    </row>
    <row r="37344" customHeight="1" spans="2:2">
      <c r="B37344" s="62" t="str">
        <f>IF(AND('领用录入（明细）'!D:D=$F$4,'领用录入（明细）'!C:C&gt;=$J$4,'领用录入（明细）'!C:C&lt;=$L$4),ROW(),"-")</f>
        <v>-</v>
      </c>
    </row>
    <row r="37345" customHeight="1" spans="2:2">
      <c r="B37345" s="62" t="str">
        <f>IF(AND('领用录入（明细）'!D:D=$F$4,'领用录入（明细）'!C:C&gt;=$J$4,'领用录入（明细）'!C:C&lt;=$L$4),ROW(),"-")</f>
        <v>-</v>
      </c>
    </row>
    <row r="37346" customHeight="1" spans="2:2">
      <c r="B37346" s="62" t="str">
        <f>IF(AND('领用录入（明细）'!D:D=$F$4,'领用录入（明细）'!C:C&gt;=$J$4,'领用录入（明细）'!C:C&lt;=$L$4),ROW(),"-")</f>
        <v>-</v>
      </c>
    </row>
    <row r="37347" customHeight="1" spans="2:2">
      <c r="B37347" s="62" t="str">
        <f>IF(AND('领用录入（明细）'!D:D=$F$4,'领用录入（明细）'!C:C&gt;=$J$4,'领用录入（明细）'!C:C&lt;=$L$4),ROW(),"-")</f>
        <v>-</v>
      </c>
    </row>
    <row r="37348" customHeight="1" spans="2:2">
      <c r="B37348" s="62" t="str">
        <f>IF(AND('领用录入（明细）'!D:D=$F$4,'领用录入（明细）'!C:C&gt;=$J$4,'领用录入（明细）'!C:C&lt;=$L$4),ROW(),"-")</f>
        <v>-</v>
      </c>
    </row>
    <row r="37349" customHeight="1" spans="2:2">
      <c r="B37349" s="62" t="str">
        <f>IF(AND('领用录入（明细）'!D:D=$F$4,'领用录入（明细）'!C:C&gt;=$J$4,'领用录入（明细）'!C:C&lt;=$L$4),ROW(),"-")</f>
        <v>-</v>
      </c>
    </row>
    <row r="37350" customHeight="1" spans="2:2">
      <c r="B37350" s="62" t="str">
        <f>IF(AND('领用录入（明细）'!D:D=$F$4,'领用录入（明细）'!C:C&gt;=$J$4,'领用录入（明细）'!C:C&lt;=$L$4),ROW(),"-")</f>
        <v>-</v>
      </c>
    </row>
    <row r="37351" customHeight="1" spans="2:2">
      <c r="B37351" s="62" t="str">
        <f>IF(AND('领用录入（明细）'!D:D=$F$4,'领用录入（明细）'!C:C&gt;=$J$4,'领用录入（明细）'!C:C&lt;=$L$4),ROW(),"-")</f>
        <v>-</v>
      </c>
    </row>
    <row r="37352" customHeight="1" spans="2:2">
      <c r="B37352" s="62" t="str">
        <f>IF(AND('领用录入（明细）'!D:D=$F$4,'领用录入（明细）'!C:C&gt;=$J$4,'领用录入（明细）'!C:C&lt;=$L$4),ROW(),"-")</f>
        <v>-</v>
      </c>
    </row>
    <row r="37353" customHeight="1" spans="2:2">
      <c r="B37353" s="62" t="str">
        <f>IF(AND('领用录入（明细）'!D:D=$F$4,'领用录入（明细）'!C:C&gt;=$J$4,'领用录入（明细）'!C:C&lt;=$L$4),ROW(),"-")</f>
        <v>-</v>
      </c>
    </row>
    <row r="37354" customHeight="1" spans="2:2">
      <c r="B37354" s="62" t="str">
        <f>IF(AND('领用录入（明细）'!D:D=$F$4,'领用录入（明细）'!C:C&gt;=$J$4,'领用录入（明细）'!C:C&lt;=$L$4),ROW(),"-")</f>
        <v>-</v>
      </c>
    </row>
    <row r="37355" customHeight="1" spans="2:2">
      <c r="B37355" s="62" t="str">
        <f>IF(AND('领用录入（明细）'!D:D=$F$4,'领用录入（明细）'!C:C&gt;=$J$4,'领用录入（明细）'!C:C&lt;=$L$4),ROW(),"-")</f>
        <v>-</v>
      </c>
    </row>
    <row r="37356" customHeight="1" spans="2:2">
      <c r="B37356" s="62" t="str">
        <f>IF(AND('领用录入（明细）'!D:D=$F$4,'领用录入（明细）'!C:C&gt;=$J$4,'领用录入（明细）'!C:C&lt;=$L$4),ROW(),"-")</f>
        <v>-</v>
      </c>
    </row>
    <row r="37357" customHeight="1" spans="2:2">
      <c r="B37357" s="62" t="str">
        <f>IF(AND('领用录入（明细）'!D:D=$F$4,'领用录入（明细）'!C:C&gt;=$J$4,'领用录入（明细）'!C:C&lt;=$L$4),ROW(),"-")</f>
        <v>-</v>
      </c>
    </row>
    <row r="37358" customHeight="1" spans="2:2">
      <c r="B37358" s="62" t="str">
        <f>IF(AND('领用录入（明细）'!D:D=$F$4,'领用录入（明细）'!C:C&gt;=$J$4,'领用录入（明细）'!C:C&lt;=$L$4),ROW(),"-")</f>
        <v>-</v>
      </c>
    </row>
    <row r="37359" customHeight="1" spans="2:2">
      <c r="B37359" s="62" t="str">
        <f>IF(AND('领用录入（明细）'!D:D=$F$4,'领用录入（明细）'!C:C&gt;=$J$4,'领用录入（明细）'!C:C&lt;=$L$4),ROW(),"-")</f>
        <v>-</v>
      </c>
    </row>
    <row r="37360" customHeight="1" spans="2:2">
      <c r="B37360" s="62" t="str">
        <f>IF(AND('领用录入（明细）'!D:D=$F$4,'领用录入（明细）'!C:C&gt;=$J$4,'领用录入（明细）'!C:C&lt;=$L$4),ROW(),"-")</f>
        <v>-</v>
      </c>
    </row>
    <row r="37361" customHeight="1" spans="2:2">
      <c r="B37361" s="62" t="str">
        <f>IF(AND('领用录入（明细）'!D:D=$F$4,'领用录入（明细）'!C:C&gt;=$J$4,'领用录入（明细）'!C:C&lt;=$L$4),ROW(),"-")</f>
        <v>-</v>
      </c>
    </row>
    <row r="37362" customHeight="1" spans="2:2">
      <c r="B37362" s="62" t="str">
        <f>IF(AND('领用录入（明细）'!D:D=$F$4,'领用录入（明细）'!C:C&gt;=$J$4,'领用录入（明细）'!C:C&lt;=$L$4),ROW(),"-")</f>
        <v>-</v>
      </c>
    </row>
    <row r="37363" customHeight="1" spans="2:2">
      <c r="B37363" s="62" t="str">
        <f>IF(AND('领用录入（明细）'!D:D=$F$4,'领用录入（明细）'!C:C&gt;=$J$4,'领用录入（明细）'!C:C&lt;=$L$4),ROW(),"-")</f>
        <v>-</v>
      </c>
    </row>
    <row r="37364" customHeight="1" spans="2:2">
      <c r="B37364" s="62" t="str">
        <f>IF(AND('领用录入（明细）'!D:D=$F$4,'领用录入（明细）'!C:C&gt;=$J$4,'领用录入（明细）'!C:C&lt;=$L$4),ROW(),"-")</f>
        <v>-</v>
      </c>
    </row>
    <row r="37365" customHeight="1" spans="2:2">
      <c r="B37365" s="62" t="str">
        <f>IF(AND('领用录入（明细）'!D:D=$F$4,'领用录入（明细）'!C:C&gt;=$J$4,'领用录入（明细）'!C:C&lt;=$L$4),ROW(),"-")</f>
        <v>-</v>
      </c>
    </row>
    <row r="37366" customHeight="1" spans="2:2">
      <c r="B37366" s="62" t="str">
        <f>IF(AND('领用录入（明细）'!D:D=$F$4,'领用录入（明细）'!C:C&gt;=$J$4,'领用录入（明细）'!C:C&lt;=$L$4),ROW(),"-")</f>
        <v>-</v>
      </c>
    </row>
    <row r="37367" customHeight="1" spans="2:2">
      <c r="B37367" s="62" t="str">
        <f>IF(AND('领用录入（明细）'!D:D=$F$4,'领用录入（明细）'!C:C&gt;=$J$4,'领用录入（明细）'!C:C&lt;=$L$4),ROW(),"-")</f>
        <v>-</v>
      </c>
    </row>
    <row r="37368" customHeight="1" spans="2:2">
      <c r="B37368" s="62" t="str">
        <f>IF(AND('领用录入（明细）'!D:D=$F$4,'领用录入（明细）'!C:C&gt;=$J$4,'领用录入（明细）'!C:C&lt;=$L$4),ROW(),"-")</f>
        <v>-</v>
      </c>
    </row>
    <row r="37369" customHeight="1" spans="2:2">
      <c r="B37369" s="62" t="str">
        <f>IF(AND('领用录入（明细）'!D:D=$F$4,'领用录入（明细）'!C:C&gt;=$J$4,'领用录入（明细）'!C:C&lt;=$L$4),ROW(),"-")</f>
        <v>-</v>
      </c>
    </row>
    <row r="37370" customHeight="1" spans="2:2">
      <c r="B37370" s="62" t="str">
        <f>IF(AND('领用录入（明细）'!D:D=$F$4,'领用录入（明细）'!C:C&gt;=$J$4,'领用录入（明细）'!C:C&lt;=$L$4),ROW(),"-")</f>
        <v>-</v>
      </c>
    </row>
    <row r="37371" customHeight="1" spans="2:2">
      <c r="B37371" s="62" t="str">
        <f>IF(AND('领用录入（明细）'!D:D=$F$4,'领用录入（明细）'!C:C&gt;=$J$4,'领用录入（明细）'!C:C&lt;=$L$4),ROW(),"-")</f>
        <v>-</v>
      </c>
    </row>
    <row r="37372" customHeight="1" spans="2:2">
      <c r="B37372" s="62" t="str">
        <f>IF(AND('领用录入（明细）'!D:D=$F$4,'领用录入（明细）'!C:C&gt;=$J$4,'领用录入（明细）'!C:C&lt;=$L$4),ROW(),"-")</f>
        <v>-</v>
      </c>
    </row>
    <row r="37373" customHeight="1" spans="2:2">
      <c r="B37373" s="62" t="str">
        <f>IF(AND('领用录入（明细）'!D:D=$F$4,'领用录入（明细）'!C:C&gt;=$J$4,'领用录入（明细）'!C:C&lt;=$L$4),ROW(),"-")</f>
        <v>-</v>
      </c>
    </row>
    <row r="37374" customHeight="1" spans="2:2">
      <c r="B37374" s="62" t="str">
        <f>IF(AND('领用录入（明细）'!D:D=$F$4,'领用录入（明细）'!C:C&gt;=$J$4,'领用录入（明细）'!C:C&lt;=$L$4),ROW(),"-")</f>
        <v>-</v>
      </c>
    </row>
    <row r="37375" customHeight="1" spans="2:2">
      <c r="B37375" s="62" t="str">
        <f>IF(AND('领用录入（明细）'!D:D=$F$4,'领用录入（明细）'!C:C&gt;=$J$4,'领用录入（明细）'!C:C&lt;=$L$4),ROW(),"-")</f>
        <v>-</v>
      </c>
    </row>
    <row r="37376" customHeight="1" spans="2:2">
      <c r="B37376" s="62" t="str">
        <f>IF(AND('领用录入（明细）'!D:D=$F$4,'领用录入（明细）'!C:C&gt;=$J$4,'领用录入（明细）'!C:C&lt;=$L$4),ROW(),"-")</f>
        <v>-</v>
      </c>
    </row>
    <row r="37377" customHeight="1" spans="2:2">
      <c r="B37377" s="62" t="str">
        <f>IF(AND('领用录入（明细）'!D:D=$F$4,'领用录入（明细）'!C:C&gt;=$J$4,'领用录入（明细）'!C:C&lt;=$L$4),ROW(),"-")</f>
        <v>-</v>
      </c>
    </row>
    <row r="37378" customHeight="1" spans="2:2">
      <c r="B37378" s="62" t="str">
        <f>IF(AND('领用录入（明细）'!D:D=$F$4,'领用录入（明细）'!C:C&gt;=$J$4,'领用录入（明细）'!C:C&lt;=$L$4),ROW(),"-")</f>
        <v>-</v>
      </c>
    </row>
    <row r="37379" customHeight="1" spans="2:2">
      <c r="B37379" s="62" t="str">
        <f>IF(AND('领用录入（明细）'!D:D=$F$4,'领用录入（明细）'!C:C&gt;=$J$4,'领用录入（明细）'!C:C&lt;=$L$4),ROW(),"-")</f>
        <v>-</v>
      </c>
    </row>
    <row r="37380" customHeight="1" spans="2:2">
      <c r="B37380" s="62" t="str">
        <f>IF(AND('领用录入（明细）'!D:D=$F$4,'领用录入（明细）'!C:C&gt;=$J$4,'领用录入（明细）'!C:C&lt;=$L$4),ROW(),"-")</f>
        <v>-</v>
      </c>
    </row>
    <row r="37381" customHeight="1" spans="2:2">
      <c r="B37381" s="62" t="str">
        <f>IF(AND('领用录入（明细）'!D:D=$F$4,'领用录入（明细）'!C:C&gt;=$J$4,'领用录入（明细）'!C:C&lt;=$L$4),ROW(),"-")</f>
        <v>-</v>
      </c>
    </row>
    <row r="37382" customHeight="1" spans="2:2">
      <c r="B37382" s="62" t="str">
        <f>IF(AND('领用录入（明细）'!D:D=$F$4,'领用录入（明细）'!C:C&gt;=$J$4,'领用录入（明细）'!C:C&lt;=$L$4),ROW(),"-")</f>
        <v>-</v>
      </c>
    </row>
    <row r="37383" customHeight="1" spans="2:2">
      <c r="B37383" s="62" t="str">
        <f>IF(AND('领用录入（明细）'!D:D=$F$4,'领用录入（明细）'!C:C&gt;=$J$4,'领用录入（明细）'!C:C&lt;=$L$4),ROW(),"-")</f>
        <v>-</v>
      </c>
    </row>
    <row r="37384" customHeight="1" spans="2:2">
      <c r="B37384" s="62" t="str">
        <f>IF(AND('领用录入（明细）'!D:D=$F$4,'领用录入（明细）'!C:C&gt;=$J$4,'领用录入（明细）'!C:C&lt;=$L$4),ROW(),"-")</f>
        <v>-</v>
      </c>
    </row>
    <row r="37385" customHeight="1" spans="2:2">
      <c r="B37385" s="62" t="str">
        <f>IF(AND('领用录入（明细）'!D:D=$F$4,'领用录入（明细）'!C:C&gt;=$J$4,'领用录入（明细）'!C:C&lt;=$L$4),ROW(),"-")</f>
        <v>-</v>
      </c>
    </row>
    <row r="37386" customHeight="1" spans="2:2">
      <c r="B37386" s="62" t="str">
        <f>IF(AND('领用录入（明细）'!D:D=$F$4,'领用录入（明细）'!C:C&gt;=$J$4,'领用录入（明细）'!C:C&lt;=$L$4),ROW(),"-")</f>
        <v>-</v>
      </c>
    </row>
    <row r="37387" customHeight="1" spans="2:2">
      <c r="B37387" s="62" t="str">
        <f>IF(AND('领用录入（明细）'!D:D=$F$4,'领用录入（明细）'!C:C&gt;=$J$4,'领用录入（明细）'!C:C&lt;=$L$4),ROW(),"-")</f>
        <v>-</v>
      </c>
    </row>
    <row r="37388" customHeight="1" spans="2:2">
      <c r="B37388" s="62" t="str">
        <f>IF(AND('领用录入（明细）'!D:D=$F$4,'领用录入（明细）'!C:C&gt;=$J$4,'领用录入（明细）'!C:C&lt;=$L$4),ROW(),"-")</f>
        <v>-</v>
      </c>
    </row>
    <row r="37389" customHeight="1" spans="2:2">
      <c r="B37389" s="62" t="str">
        <f>IF(AND('领用录入（明细）'!D:D=$F$4,'领用录入（明细）'!C:C&gt;=$J$4,'领用录入（明细）'!C:C&lt;=$L$4),ROW(),"-")</f>
        <v>-</v>
      </c>
    </row>
    <row r="37390" customHeight="1" spans="2:2">
      <c r="B37390" s="62" t="str">
        <f>IF(AND('领用录入（明细）'!D:D=$F$4,'领用录入（明细）'!C:C&gt;=$J$4,'领用录入（明细）'!C:C&lt;=$L$4),ROW(),"-")</f>
        <v>-</v>
      </c>
    </row>
    <row r="37391" customHeight="1" spans="2:2">
      <c r="B37391" s="62" t="str">
        <f>IF(AND('领用录入（明细）'!D:D=$F$4,'领用录入（明细）'!C:C&gt;=$J$4,'领用录入（明细）'!C:C&lt;=$L$4),ROW(),"-")</f>
        <v>-</v>
      </c>
    </row>
    <row r="37392" customHeight="1" spans="2:2">
      <c r="B37392" s="62" t="str">
        <f>IF(AND('领用录入（明细）'!D:D=$F$4,'领用录入（明细）'!C:C&gt;=$J$4,'领用录入（明细）'!C:C&lt;=$L$4),ROW(),"-")</f>
        <v>-</v>
      </c>
    </row>
    <row r="37393" customHeight="1" spans="2:2">
      <c r="B37393" s="62" t="str">
        <f>IF(AND('领用录入（明细）'!D:D=$F$4,'领用录入（明细）'!C:C&gt;=$J$4,'领用录入（明细）'!C:C&lt;=$L$4),ROW(),"-")</f>
        <v>-</v>
      </c>
    </row>
    <row r="37394" customHeight="1" spans="2:2">
      <c r="B37394" s="62" t="str">
        <f>IF(AND('领用录入（明细）'!D:D=$F$4,'领用录入（明细）'!C:C&gt;=$J$4,'领用录入（明细）'!C:C&lt;=$L$4),ROW(),"-")</f>
        <v>-</v>
      </c>
    </row>
    <row r="37395" customHeight="1" spans="2:2">
      <c r="B37395" s="62" t="str">
        <f>IF(AND('领用录入（明细）'!D:D=$F$4,'领用录入（明细）'!C:C&gt;=$J$4,'领用录入（明细）'!C:C&lt;=$L$4),ROW(),"-")</f>
        <v>-</v>
      </c>
    </row>
    <row r="37396" customHeight="1" spans="2:2">
      <c r="B37396" s="62" t="str">
        <f>IF(AND('领用录入（明细）'!D:D=$F$4,'领用录入（明细）'!C:C&gt;=$J$4,'领用录入（明细）'!C:C&lt;=$L$4),ROW(),"-")</f>
        <v>-</v>
      </c>
    </row>
    <row r="37397" customHeight="1" spans="2:2">
      <c r="B37397" s="62" t="str">
        <f>IF(AND('领用录入（明细）'!D:D=$F$4,'领用录入（明细）'!C:C&gt;=$J$4,'领用录入（明细）'!C:C&lt;=$L$4),ROW(),"-")</f>
        <v>-</v>
      </c>
    </row>
    <row r="37398" customHeight="1" spans="2:2">
      <c r="B37398" s="62" t="str">
        <f>IF(AND('领用录入（明细）'!D:D=$F$4,'领用录入（明细）'!C:C&gt;=$J$4,'领用录入（明细）'!C:C&lt;=$L$4),ROW(),"-")</f>
        <v>-</v>
      </c>
    </row>
    <row r="37399" customHeight="1" spans="2:2">
      <c r="B37399" s="62" t="str">
        <f>IF(AND('领用录入（明细）'!D:D=$F$4,'领用录入（明细）'!C:C&gt;=$J$4,'领用录入（明细）'!C:C&lt;=$L$4),ROW(),"-")</f>
        <v>-</v>
      </c>
    </row>
    <row r="37400" customHeight="1" spans="2:2">
      <c r="B37400" s="62" t="str">
        <f>IF(AND('领用录入（明细）'!D:D=$F$4,'领用录入（明细）'!C:C&gt;=$J$4,'领用录入（明细）'!C:C&lt;=$L$4),ROW(),"-")</f>
        <v>-</v>
      </c>
    </row>
    <row r="37401" customHeight="1" spans="2:2">
      <c r="B37401" s="62" t="str">
        <f>IF(AND('领用录入（明细）'!D:D=$F$4,'领用录入（明细）'!C:C&gt;=$J$4,'领用录入（明细）'!C:C&lt;=$L$4),ROW(),"-")</f>
        <v>-</v>
      </c>
    </row>
    <row r="37402" customHeight="1" spans="2:2">
      <c r="B37402" s="62" t="str">
        <f>IF(AND('领用录入（明细）'!D:D=$F$4,'领用录入（明细）'!C:C&gt;=$J$4,'领用录入（明细）'!C:C&lt;=$L$4),ROW(),"-")</f>
        <v>-</v>
      </c>
    </row>
    <row r="37403" customHeight="1" spans="2:2">
      <c r="B37403" s="62" t="str">
        <f>IF(AND('领用录入（明细）'!D:D=$F$4,'领用录入（明细）'!C:C&gt;=$J$4,'领用录入（明细）'!C:C&lt;=$L$4),ROW(),"-")</f>
        <v>-</v>
      </c>
    </row>
    <row r="37404" customHeight="1" spans="2:2">
      <c r="B37404" s="62" t="str">
        <f>IF(AND('领用录入（明细）'!D:D=$F$4,'领用录入（明细）'!C:C&gt;=$J$4,'领用录入（明细）'!C:C&lt;=$L$4),ROW(),"-")</f>
        <v>-</v>
      </c>
    </row>
    <row r="37405" customHeight="1" spans="2:2">
      <c r="B37405" s="62" t="str">
        <f>IF(AND('领用录入（明细）'!D:D=$F$4,'领用录入（明细）'!C:C&gt;=$J$4,'领用录入（明细）'!C:C&lt;=$L$4),ROW(),"-")</f>
        <v>-</v>
      </c>
    </row>
    <row r="37406" customHeight="1" spans="2:2">
      <c r="B37406" s="62" t="str">
        <f>IF(AND('领用录入（明细）'!D:D=$F$4,'领用录入（明细）'!C:C&gt;=$J$4,'领用录入（明细）'!C:C&lt;=$L$4),ROW(),"-")</f>
        <v>-</v>
      </c>
    </row>
    <row r="37407" customHeight="1" spans="2:2">
      <c r="B37407" s="62" t="str">
        <f>IF(AND('领用录入（明细）'!D:D=$F$4,'领用录入（明细）'!C:C&gt;=$J$4,'领用录入（明细）'!C:C&lt;=$L$4),ROW(),"-")</f>
        <v>-</v>
      </c>
    </row>
    <row r="37408" customHeight="1" spans="2:2">
      <c r="B37408" s="62" t="str">
        <f>IF(AND('领用录入（明细）'!D:D=$F$4,'领用录入（明细）'!C:C&gt;=$J$4,'领用录入（明细）'!C:C&lt;=$L$4),ROW(),"-")</f>
        <v>-</v>
      </c>
    </row>
    <row r="37409" customHeight="1" spans="2:2">
      <c r="B37409" s="62" t="str">
        <f>IF(AND('领用录入（明细）'!D:D=$F$4,'领用录入（明细）'!C:C&gt;=$J$4,'领用录入（明细）'!C:C&lt;=$L$4),ROW(),"-")</f>
        <v>-</v>
      </c>
    </row>
    <row r="37410" customHeight="1" spans="2:2">
      <c r="B37410" s="62" t="str">
        <f>IF(AND('领用录入（明细）'!D:D=$F$4,'领用录入（明细）'!C:C&gt;=$J$4,'领用录入（明细）'!C:C&lt;=$L$4),ROW(),"-")</f>
        <v>-</v>
      </c>
    </row>
    <row r="37411" customHeight="1" spans="2:2">
      <c r="B37411" s="62" t="str">
        <f>IF(AND('领用录入（明细）'!D:D=$F$4,'领用录入（明细）'!C:C&gt;=$J$4,'领用录入（明细）'!C:C&lt;=$L$4),ROW(),"-")</f>
        <v>-</v>
      </c>
    </row>
    <row r="37412" customHeight="1" spans="2:2">
      <c r="B37412" s="62" t="str">
        <f>IF(AND('领用录入（明细）'!D:D=$F$4,'领用录入（明细）'!C:C&gt;=$J$4,'领用录入（明细）'!C:C&lt;=$L$4),ROW(),"-")</f>
        <v>-</v>
      </c>
    </row>
    <row r="37413" customHeight="1" spans="2:2">
      <c r="B37413" s="62" t="str">
        <f>IF(AND('领用录入（明细）'!D:D=$F$4,'领用录入（明细）'!C:C&gt;=$J$4,'领用录入（明细）'!C:C&lt;=$L$4),ROW(),"-")</f>
        <v>-</v>
      </c>
    </row>
    <row r="37414" customHeight="1" spans="2:2">
      <c r="B37414" s="62" t="str">
        <f>IF(AND('领用录入（明细）'!D:D=$F$4,'领用录入（明细）'!C:C&gt;=$J$4,'领用录入（明细）'!C:C&lt;=$L$4),ROW(),"-")</f>
        <v>-</v>
      </c>
    </row>
    <row r="37415" customHeight="1" spans="2:2">
      <c r="B37415" s="62" t="str">
        <f>IF(AND('领用录入（明细）'!D:D=$F$4,'领用录入（明细）'!C:C&gt;=$J$4,'领用录入（明细）'!C:C&lt;=$L$4),ROW(),"-")</f>
        <v>-</v>
      </c>
    </row>
    <row r="37416" customHeight="1" spans="2:2">
      <c r="B37416" s="62" t="str">
        <f>IF(AND('领用录入（明细）'!D:D=$F$4,'领用录入（明细）'!C:C&gt;=$J$4,'领用录入（明细）'!C:C&lt;=$L$4),ROW(),"-")</f>
        <v>-</v>
      </c>
    </row>
    <row r="37417" customHeight="1" spans="2:2">
      <c r="B37417" s="62" t="str">
        <f>IF(AND('领用录入（明细）'!D:D=$F$4,'领用录入（明细）'!C:C&gt;=$J$4,'领用录入（明细）'!C:C&lt;=$L$4),ROW(),"-")</f>
        <v>-</v>
      </c>
    </row>
    <row r="37418" customHeight="1" spans="2:2">
      <c r="B37418" s="62" t="str">
        <f>IF(AND('领用录入（明细）'!D:D=$F$4,'领用录入（明细）'!C:C&gt;=$J$4,'领用录入（明细）'!C:C&lt;=$L$4),ROW(),"-")</f>
        <v>-</v>
      </c>
    </row>
    <row r="37419" customHeight="1" spans="2:2">
      <c r="B37419" s="62" t="str">
        <f>IF(AND('领用录入（明细）'!D:D=$F$4,'领用录入（明细）'!C:C&gt;=$J$4,'领用录入（明细）'!C:C&lt;=$L$4),ROW(),"-")</f>
        <v>-</v>
      </c>
    </row>
    <row r="37420" customHeight="1" spans="2:2">
      <c r="B37420" s="62" t="str">
        <f>IF(AND('领用录入（明细）'!D:D=$F$4,'领用录入（明细）'!C:C&gt;=$J$4,'领用录入（明细）'!C:C&lt;=$L$4),ROW(),"-")</f>
        <v>-</v>
      </c>
    </row>
    <row r="37421" customHeight="1" spans="2:2">
      <c r="B37421" s="62" t="str">
        <f>IF(AND('领用录入（明细）'!D:D=$F$4,'领用录入（明细）'!C:C&gt;=$J$4,'领用录入（明细）'!C:C&lt;=$L$4),ROW(),"-")</f>
        <v>-</v>
      </c>
    </row>
    <row r="37422" customHeight="1" spans="2:2">
      <c r="B37422" s="62" t="str">
        <f>IF(AND('领用录入（明细）'!D:D=$F$4,'领用录入（明细）'!C:C&gt;=$J$4,'领用录入（明细）'!C:C&lt;=$L$4),ROW(),"-")</f>
        <v>-</v>
      </c>
    </row>
    <row r="37423" customHeight="1" spans="2:2">
      <c r="B37423" s="62" t="str">
        <f>IF(AND('领用录入（明细）'!D:D=$F$4,'领用录入（明细）'!C:C&gt;=$J$4,'领用录入（明细）'!C:C&lt;=$L$4),ROW(),"-")</f>
        <v>-</v>
      </c>
    </row>
    <row r="37424" customHeight="1" spans="2:2">
      <c r="B37424" s="62" t="str">
        <f>IF(AND('领用录入（明细）'!D:D=$F$4,'领用录入（明细）'!C:C&gt;=$J$4,'领用录入（明细）'!C:C&lt;=$L$4),ROW(),"-")</f>
        <v>-</v>
      </c>
    </row>
    <row r="37425" customHeight="1" spans="2:2">
      <c r="B37425" s="62" t="str">
        <f>IF(AND('领用录入（明细）'!D:D=$F$4,'领用录入（明细）'!C:C&gt;=$J$4,'领用录入（明细）'!C:C&lt;=$L$4),ROW(),"-")</f>
        <v>-</v>
      </c>
    </row>
    <row r="37426" customHeight="1" spans="2:2">
      <c r="B37426" s="62" t="str">
        <f>IF(AND('领用录入（明细）'!D:D=$F$4,'领用录入（明细）'!C:C&gt;=$J$4,'领用录入（明细）'!C:C&lt;=$L$4),ROW(),"-")</f>
        <v>-</v>
      </c>
    </row>
    <row r="37427" customHeight="1" spans="2:2">
      <c r="B37427" s="62" t="str">
        <f>IF(AND('领用录入（明细）'!D:D=$F$4,'领用录入（明细）'!C:C&gt;=$J$4,'领用录入（明细）'!C:C&lt;=$L$4),ROW(),"-")</f>
        <v>-</v>
      </c>
    </row>
    <row r="37428" customHeight="1" spans="2:2">
      <c r="B37428" s="62" t="str">
        <f>IF(AND('领用录入（明细）'!D:D=$F$4,'领用录入（明细）'!C:C&gt;=$J$4,'领用录入（明细）'!C:C&lt;=$L$4),ROW(),"-")</f>
        <v>-</v>
      </c>
    </row>
    <row r="37429" customHeight="1" spans="2:2">
      <c r="B37429" s="62" t="str">
        <f>IF(AND('领用录入（明细）'!D:D=$F$4,'领用录入（明细）'!C:C&gt;=$J$4,'领用录入（明细）'!C:C&lt;=$L$4),ROW(),"-")</f>
        <v>-</v>
      </c>
    </row>
    <row r="37430" customHeight="1" spans="2:2">
      <c r="B37430" s="62" t="str">
        <f>IF(AND('领用录入（明细）'!D:D=$F$4,'领用录入（明细）'!C:C&gt;=$J$4,'领用录入（明细）'!C:C&lt;=$L$4),ROW(),"-")</f>
        <v>-</v>
      </c>
    </row>
    <row r="37431" customHeight="1" spans="2:2">
      <c r="B37431" s="62" t="str">
        <f>IF(AND('领用录入（明细）'!D:D=$F$4,'领用录入（明细）'!C:C&gt;=$J$4,'领用录入（明细）'!C:C&lt;=$L$4),ROW(),"-")</f>
        <v>-</v>
      </c>
    </row>
    <row r="37432" customHeight="1" spans="2:2">
      <c r="B37432" s="62" t="str">
        <f>IF(AND('领用录入（明细）'!D:D=$F$4,'领用录入（明细）'!C:C&gt;=$J$4,'领用录入（明细）'!C:C&lt;=$L$4),ROW(),"-")</f>
        <v>-</v>
      </c>
    </row>
    <row r="37433" customHeight="1" spans="2:2">
      <c r="B37433" s="62" t="str">
        <f>IF(AND('领用录入（明细）'!D:D=$F$4,'领用录入（明细）'!C:C&gt;=$J$4,'领用录入（明细）'!C:C&lt;=$L$4),ROW(),"-")</f>
        <v>-</v>
      </c>
    </row>
    <row r="37434" customHeight="1" spans="2:2">
      <c r="B37434" s="62" t="str">
        <f>IF(AND('领用录入（明细）'!D:D=$F$4,'领用录入（明细）'!C:C&gt;=$J$4,'领用录入（明细）'!C:C&lt;=$L$4),ROW(),"-")</f>
        <v>-</v>
      </c>
    </row>
    <row r="37435" customHeight="1" spans="2:2">
      <c r="B37435" s="62" t="str">
        <f>IF(AND('领用录入（明细）'!D:D=$F$4,'领用录入（明细）'!C:C&gt;=$J$4,'领用录入（明细）'!C:C&lt;=$L$4),ROW(),"-")</f>
        <v>-</v>
      </c>
    </row>
    <row r="37436" customHeight="1" spans="2:2">
      <c r="B37436" s="62" t="str">
        <f>IF(AND('领用录入（明细）'!D:D=$F$4,'领用录入（明细）'!C:C&gt;=$J$4,'领用录入（明细）'!C:C&lt;=$L$4),ROW(),"-")</f>
        <v>-</v>
      </c>
    </row>
    <row r="37437" customHeight="1" spans="2:2">
      <c r="B37437" s="62" t="str">
        <f>IF(AND('领用录入（明细）'!D:D=$F$4,'领用录入（明细）'!C:C&gt;=$J$4,'领用录入（明细）'!C:C&lt;=$L$4),ROW(),"-")</f>
        <v>-</v>
      </c>
    </row>
    <row r="37438" customHeight="1" spans="2:2">
      <c r="B37438" s="62" t="str">
        <f>IF(AND('领用录入（明细）'!D:D=$F$4,'领用录入（明细）'!C:C&gt;=$J$4,'领用录入（明细）'!C:C&lt;=$L$4),ROW(),"-")</f>
        <v>-</v>
      </c>
    </row>
    <row r="37439" customHeight="1" spans="2:2">
      <c r="B37439" s="62" t="str">
        <f>IF(AND('领用录入（明细）'!D:D=$F$4,'领用录入（明细）'!C:C&gt;=$J$4,'领用录入（明细）'!C:C&lt;=$L$4),ROW(),"-")</f>
        <v>-</v>
      </c>
    </row>
    <row r="37440" customHeight="1" spans="2:2">
      <c r="B37440" s="62" t="str">
        <f>IF(AND('领用录入（明细）'!D:D=$F$4,'领用录入（明细）'!C:C&gt;=$J$4,'领用录入（明细）'!C:C&lt;=$L$4),ROW(),"-")</f>
        <v>-</v>
      </c>
    </row>
    <row r="37441" customHeight="1" spans="2:2">
      <c r="B37441" s="62" t="str">
        <f>IF(AND('领用录入（明细）'!D:D=$F$4,'领用录入（明细）'!C:C&gt;=$J$4,'领用录入（明细）'!C:C&lt;=$L$4),ROW(),"-")</f>
        <v>-</v>
      </c>
    </row>
    <row r="37442" customHeight="1" spans="2:2">
      <c r="B37442" s="62" t="str">
        <f>IF(AND('领用录入（明细）'!D:D=$F$4,'领用录入（明细）'!C:C&gt;=$J$4,'领用录入（明细）'!C:C&lt;=$L$4),ROW(),"-")</f>
        <v>-</v>
      </c>
    </row>
    <row r="37443" customHeight="1" spans="2:2">
      <c r="B37443" s="62" t="str">
        <f>IF(AND('领用录入（明细）'!D:D=$F$4,'领用录入（明细）'!C:C&gt;=$J$4,'领用录入（明细）'!C:C&lt;=$L$4),ROW(),"-")</f>
        <v>-</v>
      </c>
    </row>
    <row r="37444" customHeight="1" spans="2:2">
      <c r="B37444" s="62" t="str">
        <f>IF(AND('领用录入（明细）'!D:D=$F$4,'领用录入（明细）'!C:C&gt;=$J$4,'领用录入（明细）'!C:C&lt;=$L$4),ROW(),"-")</f>
        <v>-</v>
      </c>
    </row>
    <row r="37445" customHeight="1" spans="2:2">
      <c r="B37445" s="62" t="str">
        <f>IF(AND('领用录入（明细）'!D:D=$F$4,'领用录入（明细）'!C:C&gt;=$J$4,'领用录入（明细）'!C:C&lt;=$L$4),ROW(),"-")</f>
        <v>-</v>
      </c>
    </row>
    <row r="37446" customHeight="1" spans="2:2">
      <c r="B37446" s="62" t="str">
        <f>IF(AND('领用录入（明细）'!D:D=$F$4,'领用录入（明细）'!C:C&gt;=$J$4,'领用录入（明细）'!C:C&lt;=$L$4),ROW(),"-")</f>
        <v>-</v>
      </c>
    </row>
    <row r="37447" customHeight="1" spans="2:2">
      <c r="B37447" s="62" t="str">
        <f>IF(AND('领用录入（明细）'!D:D=$F$4,'领用录入（明细）'!C:C&gt;=$J$4,'领用录入（明细）'!C:C&lt;=$L$4),ROW(),"-")</f>
        <v>-</v>
      </c>
    </row>
    <row r="37448" customHeight="1" spans="2:2">
      <c r="B37448" s="62" t="str">
        <f>IF(AND('领用录入（明细）'!D:D=$F$4,'领用录入（明细）'!C:C&gt;=$J$4,'领用录入（明细）'!C:C&lt;=$L$4),ROW(),"-")</f>
        <v>-</v>
      </c>
    </row>
    <row r="37449" customHeight="1" spans="2:2">
      <c r="B37449" s="62" t="str">
        <f>IF(AND('领用录入（明细）'!D:D=$F$4,'领用录入（明细）'!C:C&gt;=$J$4,'领用录入（明细）'!C:C&lt;=$L$4),ROW(),"-")</f>
        <v>-</v>
      </c>
    </row>
    <row r="37450" customHeight="1" spans="2:2">
      <c r="B37450" s="62" t="str">
        <f>IF(AND('领用录入（明细）'!D:D=$F$4,'领用录入（明细）'!C:C&gt;=$J$4,'领用录入（明细）'!C:C&lt;=$L$4),ROW(),"-")</f>
        <v>-</v>
      </c>
    </row>
    <row r="37451" customHeight="1" spans="2:2">
      <c r="B37451" s="62" t="str">
        <f>IF(AND('领用录入（明细）'!D:D=$F$4,'领用录入（明细）'!C:C&gt;=$J$4,'领用录入（明细）'!C:C&lt;=$L$4),ROW(),"-")</f>
        <v>-</v>
      </c>
    </row>
    <row r="37452" customHeight="1" spans="2:2">
      <c r="B37452" s="62" t="str">
        <f>IF(AND('领用录入（明细）'!D:D=$F$4,'领用录入（明细）'!C:C&gt;=$J$4,'领用录入（明细）'!C:C&lt;=$L$4),ROW(),"-")</f>
        <v>-</v>
      </c>
    </row>
    <row r="37453" customHeight="1" spans="2:2">
      <c r="B37453" s="62" t="str">
        <f>IF(AND('领用录入（明细）'!D:D=$F$4,'领用录入（明细）'!C:C&gt;=$J$4,'领用录入（明细）'!C:C&lt;=$L$4),ROW(),"-")</f>
        <v>-</v>
      </c>
    </row>
    <row r="37454" customHeight="1" spans="2:2">
      <c r="B37454" s="62" t="str">
        <f>IF(AND('领用录入（明细）'!D:D=$F$4,'领用录入（明细）'!C:C&gt;=$J$4,'领用录入（明细）'!C:C&lt;=$L$4),ROW(),"-")</f>
        <v>-</v>
      </c>
    </row>
    <row r="37455" customHeight="1" spans="2:2">
      <c r="B37455" s="62" t="str">
        <f>IF(AND('领用录入（明细）'!D:D=$F$4,'领用录入（明细）'!C:C&gt;=$J$4,'领用录入（明细）'!C:C&lt;=$L$4),ROW(),"-")</f>
        <v>-</v>
      </c>
    </row>
    <row r="37456" customHeight="1" spans="2:2">
      <c r="B37456" s="62" t="str">
        <f>IF(AND('领用录入（明细）'!D:D=$F$4,'领用录入（明细）'!C:C&gt;=$J$4,'领用录入（明细）'!C:C&lt;=$L$4),ROW(),"-")</f>
        <v>-</v>
      </c>
    </row>
    <row r="37457" customHeight="1" spans="2:2">
      <c r="B37457" s="62" t="str">
        <f>IF(AND('领用录入（明细）'!D:D=$F$4,'领用录入（明细）'!C:C&gt;=$J$4,'领用录入（明细）'!C:C&lt;=$L$4),ROW(),"-")</f>
        <v>-</v>
      </c>
    </row>
    <row r="37458" customHeight="1" spans="2:2">
      <c r="B37458" s="62" t="str">
        <f>IF(AND('领用录入（明细）'!D:D=$F$4,'领用录入（明细）'!C:C&gt;=$J$4,'领用录入（明细）'!C:C&lt;=$L$4),ROW(),"-")</f>
        <v>-</v>
      </c>
    </row>
    <row r="37459" customHeight="1" spans="2:2">
      <c r="B37459" s="62" t="str">
        <f>IF(AND('领用录入（明细）'!D:D=$F$4,'领用录入（明细）'!C:C&gt;=$J$4,'领用录入（明细）'!C:C&lt;=$L$4),ROW(),"-")</f>
        <v>-</v>
      </c>
    </row>
    <row r="37460" customHeight="1" spans="2:2">
      <c r="B37460" s="62" t="str">
        <f>IF(AND('领用录入（明细）'!D:D=$F$4,'领用录入（明细）'!C:C&gt;=$J$4,'领用录入（明细）'!C:C&lt;=$L$4),ROW(),"-")</f>
        <v>-</v>
      </c>
    </row>
    <row r="37461" customHeight="1" spans="2:2">
      <c r="B37461" s="62" t="str">
        <f>IF(AND('领用录入（明细）'!D:D=$F$4,'领用录入（明细）'!C:C&gt;=$J$4,'领用录入（明细）'!C:C&lt;=$L$4),ROW(),"-")</f>
        <v>-</v>
      </c>
    </row>
    <row r="37462" customHeight="1" spans="2:2">
      <c r="B37462" s="62" t="str">
        <f>IF(AND('领用录入（明细）'!D:D=$F$4,'领用录入（明细）'!C:C&gt;=$J$4,'领用录入（明细）'!C:C&lt;=$L$4),ROW(),"-")</f>
        <v>-</v>
      </c>
    </row>
    <row r="37463" customHeight="1" spans="2:2">
      <c r="B37463" s="62" t="str">
        <f>IF(AND('领用录入（明细）'!D:D=$F$4,'领用录入（明细）'!C:C&gt;=$J$4,'领用录入（明细）'!C:C&lt;=$L$4),ROW(),"-")</f>
        <v>-</v>
      </c>
    </row>
    <row r="37464" customHeight="1" spans="2:2">
      <c r="B37464" s="62" t="str">
        <f>IF(AND('领用录入（明细）'!D:D=$F$4,'领用录入（明细）'!C:C&gt;=$J$4,'领用录入（明细）'!C:C&lt;=$L$4),ROW(),"-")</f>
        <v>-</v>
      </c>
    </row>
    <row r="37465" customHeight="1" spans="2:2">
      <c r="B37465" s="62" t="str">
        <f>IF(AND('领用录入（明细）'!D:D=$F$4,'领用录入（明细）'!C:C&gt;=$J$4,'领用录入（明细）'!C:C&lt;=$L$4),ROW(),"-")</f>
        <v>-</v>
      </c>
    </row>
    <row r="37466" customHeight="1" spans="2:2">
      <c r="B37466" s="62" t="str">
        <f>IF(AND('领用录入（明细）'!D:D=$F$4,'领用录入（明细）'!C:C&gt;=$J$4,'领用录入（明细）'!C:C&lt;=$L$4),ROW(),"-")</f>
        <v>-</v>
      </c>
    </row>
    <row r="37467" customHeight="1" spans="2:2">
      <c r="B37467" s="62" t="str">
        <f>IF(AND('领用录入（明细）'!D:D=$F$4,'领用录入（明细）'!C:C&gt;=$J$4,'领用录入（明细）'!C:C&lt;=$L$4),ROW(),"-")</f>
        <v>-</v>
      </c>
    </row>
    <row r="37468" customHeight="1" spans="2:2">
      <c r="B37468" s="62" t="str">
        <f>IF(AND('领用录入（明细）'!D:D=$F$4,'领用录入（明细）'!C:C&gt;=$J$4,'领用录入（明细）'!C:C&lt;=$L$4),ROW(),"-")</f>
        <v>-</v>
      </c>
    </row>
    <row r="37469" customHeight="1" spans="2:2">
      <c r="B37469" s="62" t="str">
        <f>IF(AND('领用录入（明细）'!D:D=$F$4,'领用录入（明细）'!C:C&gt;=$J$4,'领用录入（明细）'!C:C&lt;=$L$4),ROW(),"-")</f>
        <v>-</v>
      </c>
    </row>
    <row r="37470" customHeight="1" spans="2:2">
      <c r="B37470" s="62" t="str">
        <f>IF(AND('领用录入（明细）'!D:D=$F$4,'领用录入（明细）'!C:C&gt;=$J$4,'领用录入（明细）'!C:C&lt;=$L$4),ROW(),"-")</f>
        <v>-</v>
      </c>
    </row>
    <row r="37471" customHeight="1" spans="2:2">
      <c r="B37471" s="62" t="str">
        <f>IF(AND('领用录入（明细）'!D:D=$F$4,'领用录入（明细）'!C:C&gt;=$J$4,'领用录入（明细）'!C:C&lt;=$L$4),ROW(),"-")</f>
        <v>-</v>
      </c>
    </row>
    <row r="37472" customHeight="1" spans="2:2">
      <c r="B37472" s="62" t="str">
        <f>IF(AND('领用录入（明细）'!D:D=$F$4,'领用录入（明细）'!C:C&gt;=$J$4,'领用录入（明细）'!C:C&lt;=$L$4),ROW(),"-")</f>
        <v>-</v>
      </c>
    </row>
    <row r="37473" customHeight="1" spans="2:2">
      <c r="B37473" s="62" t="str">
        <f>IF(AND('领用录入（明细）'!D:D=$F$4,'领用录入（明细）'!C:C&gt;=$J$4,'领用录入（明细）'!C:C&lt;=$L$4),ROW(),"-")</f>
        <v>-</v>
      </c>
    </row>
    <row r="37474" customHeight="1" spans="2:2">
      <c r="B37474" s="62" t="str">
        <f>IF(AND('领用录入（明细）'!D:D=$F$4,'领用录入（明细）'!C:C&gt;=$J$4,'领用录入（明细）'!C:C&lt;=$L$4),ROW(),"-")</f>
        <v>-</v>
      </c>
    </row>
    <row r="37475" customHeight="1" spans="2:2">
      <c r="B37475" s="62" t="str">
        <f>IF(AND('领用录入（明细）'!D:D=$F$4,'领用录入（明细）'!C:C&gt;=$J$4,'领用录入（明细）'!C:C&lt;=$L$4),ROW(),"-")</f>
        <v>-</v>
      </c>
    </row>
    <row r="37476" customHeight="1" spans="2:2">
      <c r="B37476" s="62" t="str">
        <f>IF(AND('领用录入（明细）'!D:D=$F$4,'领用录入（明细）'!C:C&gt;=$J$4,'领用录入（明细）'!C:C&lt;=$L$4),ROW(),"-")</f>
        <v>-</v>
      </c>
    </row>
    <row r="37477" customHeight="1" spans="2:2">
      <c r="B37477" s="62" t="str">
        <f>IF(AND('领用录入（明细）'!D:D=$F$4,'领用录入（明细）'!C:C&gt;=$J$4,'领用录入（明细）'!C:C&lt;=$L$4),ROW(),"-")</f>
        <v>-</v>
      </c>
    </row>
    <row r="37478" customHeight="1" spans="2:2">
      <c r="B37478" s="62" t="str">
        <f>IF(AND('领用录入（明细）'!D:D=$F$4,'领用录入（明细）'!C:C&gt;=$J$4,'领用录入（明细）'!C:C&lt;=$L$4),ROW(),"-")</f>
        <v>-</v>
      </c>
    </row>
    <row r="37479" customHeight="1" spans="2:2">
      <c r="B37479" s="62" t="str">
        <f>IF(AND('领用录入（明细）'!D:D=$F$4,'领用录入（明细）'!C:C&gt;=$J$4,'领用录入（明细）'!C:C&lt;=$L$4),ROW(),"-")</f>
        <v>-</v>
      </c>
    </row>
    <row r="37480" customHeight="1" spans="2:2">
      <c r="B37480" s="62" t="str">
        <f>IF(AND('领用录入（明细）'!D:D=$F$4,'领用录入（明细）'!C:C&gt;=$J$4,'领用录入（明细）'!C:C&lt;=$L$4),ROW(),"-")</f>
        <v>-</v>
      </c>
    </row>
    <row r="37481" customHeight="1" spans="2:2">
      <c r="B37481" s="62" t="str">
        <f>IF(AND('领用录入（明细）'!D:D=$F$4,'领用录入（明细）'!C:C&gt;=$J$4,'领用录入（明细）'!C:C&lt;=$L$4),ROW(),"-")</f>
        <v>-</v>
      </c>
    </row>
    <row r="37482" customHeight="1" spans="2:2">
      <c r="B37482" s="62" t="str">
        <f>IF(AND('领用录入（明细）'!D:D=$F$4,'领用录入（明细）'!C:C&gt;=$J$4,'领用录入（明细）'!C:C&lt;=$L$4),ROW(),"-")</f>
        <v>-</v>
      </c>
    </row>
    <row r="37483" customHeight="1" spans="2:2">
      <c r="B37483" s="62" t="str">
        <f>IF(AND('领用录入（明细）'!D:D=$F$4,'领用录入（明细）'!C:C&gt;=$J$4,'领用录入（明细）'!C:C&lt;=$L$4),ROW(),"-")</f>
        <v>-</v>
      </c>
    </row>
    <row r="37484" customHeight="1" spans="2:2">
      <c r="B37484" s="62" t="str">
        <f>IF(AND('领用录入（明细）'!D:D=$F$4,'领用录入（明细）'!C:C&gt;=$J$4,'领用录入（明细）'!C:C&lt;=$L$4),ROW(),"-")</f>
        <v>-</v>
      </c>
    </row>
    <row r="37485" customHeight="1" spans="2:2">
      <c r="B37485" s="62" t="str">
        <f>IF(AND('领用录入（明细）'!D:D=$F$4,'领用录入（明细）'!C:C&gt;=$J$4,'领用录入（明细）'!C:C&lt;=$L$4),ROW(),"-")</f>
        <v>-</v>
      </c>
    </row>
    <row r="37486" customHeight="1" spans="2:2">
      <c r="B37486" s="62" t="str">
        <f>IF(AND('领用录入（明细）'!D:D=$F$4,'领用录入（明细）'!C:C&gt;=$J$4,'领用录入（明细）'!C:C&lt;=$L$4),ROW(),"-")</f>
        <v>-</v>
      </c>
    </row>
    <row r="37487" customHeight="1" spans="2:2">
      <c r="B37487" s="62" t="str">
        <f>IF(AND('领用录入（明细）'!D:D=$F$4,'领用录入（明细）'!C:C&gt;=$J$4,'领用录入（明细）'!C:C&lt;=$L$4),ROW(),"-")</f>
        <v>-</v>
      </c>
    </row>
    <row r="37488" customHeight="1" spans="2:2">
      <c r="B37488" s="62" t="str">
        <f>IF(AND('领用录入（明细）'!D:D=$F$4,'领用录入（明细）'!C:C&gt;=$J$4,'领用录入（明细）'!C:C&lt;=$L$4),ROW(),"-")</f>
        <v>-</v>
      </c>
    </row>
    <row r="37489" customHeight="1" spans="2:2">
      <c r="B37489" s="62" t="str">
        <f>IF(AND('领用录入（明细）'!D:D=$F$4,'领用录入（明细）'!C:C&gt;=$J$4,'领用录入（明细）'!C:C&lt;=$L$4),ROW(),"-")</f>
        <v>-</v>
      </c>
    </row>
    <row r="37490" customHeight="1" spans="2:2">
      <c r="B37490" s="62" t="str">
        <f>IF(AND('领用录入（明细）'!D:D=$F$4,'领用录入（明细）'!C:C&gt;=$J$4,'领用录入（明细）'!C:C&lt;=$L$4),ROW(),"-")</f>
        <v>-</v>
      </c>
    </row>
    <row r="37491" customHeight="1" spans="2:2">
      <c r="B37491" s="62" t="str">
        <f>IF(AND('领用录入（明细）'!D:D=$F$4,'领用录入（明细）'!C:C&gt;=$J$4,'领用录入（明细）'!C:C&lt;=$L$4),ROW(),"-")</f>
        <v>-</v>
      </c>
    </row>
    <row r="37492" customHeight="1" spans="2:2">
      <c r="B37492" s="62" t="str">
        <f>IF(AND('领用录入（明细）'!D:D=$F$4,'领用录入（明细）'!C:C&gt;=$J$4,'领用录入（明细）'!C:C&lt;=$L$4),ROW(),"-")</f>
        <v>-</v>
      </c>
    </row>
    <row r="37493" customHeight="1" spans="2:2">
      <c r="B37493" s="62" t="str">
        <f>IF(AND('领用录入（明细）'!D:D=$F$4,'领用录入（明细）'!C:C&gt;=$J$4,'领用录入（明细）'!C:C&lt;=$L$4),ROW(),"-")</f>
        <v>-</v>
      </c>
    </row>
    <row r="37494" customHeight="1" spans="2:2">
      <c r="B37494" s="62" t="str">
        <f>IF(AND('领用录入（明细）'!D:D=$F$4,'领用录入（明细）'!C:C&gt;=$J$4,'领用录入（明细）'!C:C&lt;=$L$4),ROW(),"-")</f>
        <v>-</v>
      </c>
    </row>
    <row r="37495" customHeight="1" spans="2:2">
      <c r="B37495" s="62" t="str">
        <f>IF(AND('领用录入（明细）'!D:D=$F$4,'领用录入（明细）'!C:C&gt;=$J$4,'领用录入（明细）'!C:C&lt;=$L$4),ROW(),"-")</f>
        <v>-</v>
      </c>
    </row>
    <row r="37496" customHeight="1" spans="2:2">
      <c r="B37496" s="62" t="str">
        <f>IF(AND('领用录入（明细）'!D:D=$F$4,'领用录入（明细）'!C:C&gt;=$J$4,'领用录入（明细）'!C:C&lt;=$L$4),ROW(),"-")</f>
        <v>-</v>
      </c>
    </row>
    <row r="37497" customHeight="1" spans="2:2">
      <c r="B37497" s="62" t="str">
        <f>IF(AND('领用录入（明细）'!D:D=$F$4,'领用录入（明细）'!C:C&gt;=$J$4,'领用录入（明细）'!C:C&lt;=$L$4),ROW(),"-")</f>
        <v>-</v>
      </c>
    </row>
    <row r="37498" customHeight="1" spans="2:2">
      <c r="B37498" s="62" t="str">
        <f>IF(AND('领用录入（明细）'!D:D=$F$4,'领用录入（明细）'!C:C&gt;=$J$4,'领用录入（明细）'!C:C&lt;=$L$4),ROW(),"-")</f>
        <v>-</v>
      </c>
    </row>
    <row r="37499" customHeight="1" spans="2:2">
      <c r="B37499" s="62" t="str">
        <f>IF(AND('领用录入（明细）'!D:D=$F$4,'领用录入（明细）'!C:C&gt;=$J$4,'领用录入（明细）'!C:C&lt;=$L$4),ROW(),"-")</f>
        <v>-</v>
      </c>
    </row>
    <row r="37500" customHeight="1" spans="2:2">
      <c r="B37500" s="62" t="str">
        <f>IF(AND('领用录入（明细）'!D:D=$F$4,'领用录入（明细）'!C:C&gt;=$J$4,'领用录入（明细）'!C:C&lt;=$L$4),ROW(),"-")</f>
        <v>-</v>
      </c>
    </row>
    <row r="37501" customHeight="1" spans="2:2">
      <c r="B37501" s="62" t="str">
        <f>IF(AND('领用录入（明细）'!D:D=$F$4,'领用录入（明细）'!C:C&gt;=$J$4,'领用录入（明细）'!C:C&lt;=$L$4),ROW(),"-")</f>
        <v>-</v>
      </c>
    </row>
    <row r="37502" customHeight="1" spans="2:2">
      <c r="B37502" s="62" t="str">
        <f>IF(AND('领用录入（明细）'!D:D=$F$4,'领用录入（明细）'!C:C&gt;=$J$4,'领用录入（明细）'!C:C&lt;=$L$4),ROW(),"-")</f>
        <v>-</v>
      </c>
    </row>
    <row r="37503" customHeight="1" spans="2:2">
      <c r="B37503" s="62" t="str">
        <f>IF(AND('领用录入（明细）'!D:D=$F$4,'领用录入（明细）'!C:C&gt;=$J$4,'领用录入（明细）'!C:C&lt;=$L$4),ROW(),"-")</f>
        <v>-</v>
      </c>
    </row>
    <row r="37504" customHeight="1" spans="2:2">
      <c r="B37504" s="62" t="str">
        <f>IF(AND('领用录入（明细）'!D:D=$F$4,'领用录入（明细）'!C:C&gt;=$J$4,'领用录入（明细）'!C:C&lt;=$L$4),ROW(),"-")</f>
        <v>-</v>
      </c>
    </row>
    <row r="37505" customHeight="1" spans="2:2">
      <c r="B37505" s="62" t="str">
        <f>IF(AND('领用录入（明细）'!D:D=$F$4,'领用录入（明细）'!C:C&gt;=$J$4,'领用录入（明细）'!C:C&lt;=$L$4),ROW(),"-")</f>
        <v>-</v>
      </c>
    </row>
    <row r="37506" customHeight="1" spans="2:2">
      <c r="B37506" s="62" t="str">
        <f>IF(AND('领用录入（明细）'!D:D=$F$4,'领用录入（明细）'!C:C&gt;=$J$4,'领用录入（明细）'!C:C&lt;=$L$4),ROW(),"-")</f>
        <v>-</v>
      </c>
    </row>
    <row r="37507" customHeight="1" spans="2:2">
      <c r="B37507" s="62" t="str">
        <f>IF(AND('领用录入（明细）'!D:D=$F$4,'领用录入（明细）'!C:C&gt;=$J$4,'领用录入（明细）'!C:C&lt;=$L$4),ROW(),"-")</f>
        <v>-</v>
      </c>
    </row>
    <row r="37508" customHeight="1" spans="2:2">
      <c r="B37508" s="62" t="str">
        <f>IF(AND('领用录入（明细）'!D:D=$F$4,'领用录入（明细）'!C:C&gt;=$J$4,'领用录入（明细）'!C:C&lt;=$L$4),ROW(),"-")</f>
        <v>-</v>
      </c>
    </row>
    <row r="37509" customHeight="1" spans="2:2">
      <c r="B37509" s="62" t="str">
        <f>IF(AND('领用录入（明细）'!D:D=$F$4,'领用录入（明细）'!C:C&gt;=$J$4,'领用录入（明细）'!C:C&lt;=$L$4),ROW(),"-")</f>
        <v>-</v>
      </c>
    </row>
    <row r="37510" customHeight="1" spans="2:2">
      <c r="B37510" s="62" t="str">
        <f>IF(AND('领用录入（明细）'!D:D=$F$4,'领用录入（明细）'!C:C&gt;=$J$4,'领用录入（明细）'!C:C&lt;=$L$4),ROW(),"-")</f>
        <v>-</v>
      </c>
    </row>
    <row r="37511" customHeight="1" spans="2:2">
      <c r="B37511" s="62" t="str">
        <f>IF(AND('领用录入（明细）'!D:D=$F$4,'领用录入（明细）'!C:C&gt;=$J$4,'领用录入（明细）'!C:C&lt;=$L$4),ROW(),"-")</f>
        <v>-</v>
      </c>
    </row>
    <row r="37512" customHeight="1" spans="2:2">
      <c r="B37512" s="62" t="str">
        <f>IF(AND('领用录入（明细）'!D:D=$F$4,'领用录入（明细）'!C:C&gt;=$J$4,'领用录入（明细）'!C:C&lt;=$L$4),ROW(),"-")</f>
        <v>-</v>
      </c>
    </row>
    <row r="37513" customHeight="1" spans="2:2">
      <c r="B37513" s="62" t="str">
        <f>IF(AND('领用录入（明细）'!D:D=$F$4,'领用录入（明细）'!C:C&gt;=$J$4,'领用录入（明细）'!C:C&lt;=$L$4),ROW(),"-")</f>
        <v>-</v>
      </c>
    </row>
    <row r="37514" customHeight="1" spans="2:2">
      <c r="B37514" s="62" t="str">
        <f>IF(AND('领用录入（明细）'!D:D=$F$4,'领用录入（明细）'!C:C&gt;=$J$4,'领用录入（明细）'!C:C&lt;=$L$4),ROW(),"-")</f>
        <v>-</v>
      </c>
    </row>
    <row r="37515" customHeight="1" spans="2:2">
      <c r="B37515" s="62" t="str">
        <f>IF(AND('领用录入（明细）'!D:D=$F$4,'领用录入（明细）'!C:C&gt;=$J$4,'领用录入（明细）'!C:C&lt;=$L$4),ROW(),"-")</f>
        <v>-</v>
      </c>
    </row>
    <row r="37516" customHeight="1" spans="2:2">
      <c r="B37516" s="62" t="str">
        <f>IF(AND('领用录入（明细）'!D:D=$F$4,'领用录入（明细）'!C:C&gt;=$J$4,'领用录入（明细）'!C:C&lt;=$L$4),ROW(),"-")</f>
        <v>-</v>
      </c>
    </row>
    <row r="37517" customHeight="1" spans="2:2">
      <c r="B37517" s="62" t="str">
        <f>IF(AND('领用录入（明细）'!D:D=$F$4,'领用录入（明细）'!C:C&gt;=$J$4,'领用录入（明细）'!C:C&lt;=$L$4),ROW(),"-")</f>
        <v>-</v>
      </c>
    </row>
    <row r="37518" customHeight="1" spans="2:2">
      <c r="B37518" s="62" t="str">
        <f>IF(AND('领用录入（明细）'!D:D=$F$4,'领用录入（明细）'!C:C&gt;=$J$4,'领用录入（明细）'!C:C&lt;=$L$4),ROW(),"-")</f>
        <v>-</v>
      </c>
    </row>
    <row r="37519" customHeight="1" spans="2:2">
      <c r="B37519" s="62" t="str">
        <f>IF(AND('领用录入（明细）'!D:D=$F$4,'领用录入（明细）'!C:C&gt;=$J$4,'领用录入（明细）'!C:C&lt;=$L$4),ROW(),"-")</f>
        <v>-</v>
      </c>
    </row>
    <row r="37520" customHeight="1" spans="2:2">
      <c r="B37520" s="62" t="str">
        <f>IF(AND('领用录入（明细）'!D:D=$F$4,'领用录入（明细）'!C:C&gt;=$J$4,'领用录入（明细）'!C:C&lt;=$L$4),ROW(),"-")</f>
        <v>-</v>
      </c>
    </row>
    <row r="37521" customHeight="1" spans="2:2">
      <c r="B37521" s="62" t="str">
        <f>IF(AND('领用录入（明细）'!D:D=$F$4,'领用录入（明细）'!C:C&gt;=$J$4,'领用录入（明细）'!C:C&lt;=$L$4),ROW(),"-")</f>
        <v>-</v>
      </c>
    </row>
    <row r="37522" customHeight="1" spans="2:2">
      <c r="B37522" s="62" t="str">
        <f>IF(AND('领用录入（明细）'!D:D=$F$4,'领用录入（明细）'!C:C&gt;=$J$4,'领用录入（明细）'!C:C&lt;=$L$4),ROW(),"-")</f>
        <v>-</v>
      </c>
    </row>
    <row r="37523" customHeight="1" spans="2:2">
      <c r="B37523" s="62" t="str">
        <f>IF(AND('领用录入（明细）'!D:D=$F$4,'领用录入（明细）'!C:C&gt;=$J$4,'领用录入（明细）'!C:C&lt;=$L$4),ROW(),"-")</f>
        <v>-</v>
      </c>
    </row>
    <row r="37524" customHeight="1" spans="2:2">
      <c r="B37524" s="62" t="str">
        <f>IF(AND('领用录入（明细）'!D:D=$F$4,'领用录入（明细）'!C:C&gt;=$J$4,'领用录入（明细）'!C:C&lt;=$L$4),ROW(),"-")</f>
        <v>-</v>
      </c>
    </row>
    <row r="37525" customHeight="1" spans="2:2">
      <c r="B37525" s="62" t="str">
        <f>IF(AND('领用录入（明细）'!D:D=$F$4,'领用录入（明细）'!C:C&gt;=$J$4,'领用录入（明细）'!C:C&lt;=$L$4),ROW(),"-")</f>
        <v>-</v>
      </c>
    </row>
    <row r="37526" customHeight="1" spans="2:2">
      <c r="B37526" s="62" t="str">
        <f>IF(AND('领用录入（明细）'!D:D=$F$4,'领用录入（明细）'!C:C&gt;=$J$4,'领用录入（明细）'!C:C&lt;=$L$4),ROW(),"-")</f>
        <v>-</v>
      </c>
    </row>
    <row r="37527" customHeight="1" spans="2:2">
      <c r="B37527" s="62" t="str">
        <f>IF(AND('领用录入（明细）'!D:D=$F$4,'领用录入（明细）'!C:C&gt;=$J$4,'领用录入（明细）'!C:C&lt;=$L$4),ROW(),"-")</f>
        <v>-</v>
      </c>
    </row>
    <row r="37528" customHeight="1" spans="2:2">
      <c r="B37528" s="62" t="str">
        <f>IF(AND('领用录入（明细）'!D:D=$F$4,'领用录入（明细）'!C:C&gt;=$J$4,'领用录入（明细）'!C:C&lt;=$L$4),ROW(),"-")</f>
        <v>-</v>
      </c>
    </row>
    <row r="37529" customHeight="1" spans="2:2">
      <c r="B37529" s="62" t="str">
        <f>IF(AND('领用录入（明细）'!D:D=$F$4,'领用录入（明细）'!C:C&gt;=$J$4,'领用录入（明细）'!C:C&lt;=$L$4),ROW(),"-")</f>
        <v>-</v>
      </c>
    </row>
    <row r="37530" customHeight="1" spans="2:2">
      <c r="B37530" s="62" t="str">
        <f>IF(AND('领用录入（明细）'!D:D=$F$4,'领用录入（明细）'!C:C&gt;=$J$4,'领用录入（明细）'!C:C&lt;=$L$4),ROW(),"-")</f>
        <v>-</v>
      </c>
    </row>
    <row r="37531" customHeight="1" spans="2:2">
      <c r="B37531" s="62" t="str">
        <f>IF(AND('领用录入（明细）'!D:D=$F$4,'领用录入（明细）'!C:C&gt;=$J$4,'领用录入（明细）'!C:C&lt;=$L$4),ROW(),"-")</f>
        <v>-</v>
      </c>
    </row>
    <row r="37532" customHeight="1" spans="2:2">
      <c r="B37532" s="62" t="str">
        <f>IF(AND('领用录入（明细）'!D:D=$F$4,'领用录入（明细）'!C:C&gt;=$J$4,'领用录入（明细）'!C:C&lt;=$L$4),ROW(),"-")</f>
        <v>-</v>
      </c>
    </row>
    <row r="37533" customHeight="1" spans="2:2">
      <c r="B37533" s="62" t="str">
        <f>IF(AND('领用录入（明细）'!D:D=$F$4,'领用录入（明细）'!C:C&gt;=$J$4,'领用录入（明细）'!C:C&lt;=$L$4),ROW(),"-")</f>
        <v>-</v>
      </c>
    </row>
    <row r="37534" customHeight="1" spans="2:2">
      <c r="B37534" s="62" t="str">
        <f>IF(AND('领用录入（明细）'!D:D=$F$4,'领用录入（明细）'!C:C&gt;=$J$4,'领用录入（明细）'!C:C&lt;=$L$4),ROW(),"-")</f>
        <v>-</v>
      </c>
    </row>
    <row r="37535" customHeight="1" spans="2:2">
      <c r="B37535" s="62" t="str">
        <f>IF(AND('领用录入（明细）'!D:D=$F$4,'领用录入（明细）'!C:C&gt;=$J$4,'领用录入（明细）'!C:C&lt;=$L$4),ROW(),"-")</f>
        <v>-</v>
      </c>
    </row>
    <row r="37536" customHeight="1" spans="2:2">
      <c r="B37536" s="62" t="str">
        <f>IF(AND('领用录入（明细）'!D:D=$F$4,'领用录入（明细）'!C:C&gt;=$J$4,'领用录入（明细）'!C:C&lt;=$L$4),ROW(),"-")</f>
        <v>-</v>
      </c>
    </row>
    <row r="37537" customHeight="1" spans="2:2">
      <c r="B37537" s="62" t="str">
        <f>IF(AND('领用录入（明细）'!D:D=$F$4,'领用录入（明细）'!C:C&gt;=$J$4,'领用录入（明细）'!C:C&lt;=$L$4),ROW(),"-")</f>
        <v>-</v>
      </c>
    </row>
    <row r="37538" customHeight="1" spans="2:2">
      <c r="B37538" s="62" t="str">
        <f>IF(AND('领用录入（明细）'!D:D=$F$4,'领用录入（明细）'!C:C&gt;=$J$4,'领用录入（明细）'!C:C&lt;=$L$4),ROW(),"-")</f>
        <v>-</v>
      </c>
    </row>
    <row r="37539" customHeight="1" spans="2:2">
      <c r="B37539" s="62" t="str">
        <f>IF(AND('领用录入（明细）'!D:D=$F$4,'领用录入（明细）'!C:C&gt;=$J$4,'领用录入（明细）'!C:C&lt;=$L$4),ROW(),"-")</f>
        <v>-</v>
      </c>
    </row>
    <row r="37540" customHeight="1" spans="2:2">
      <c r="B37540" s="62" t="str">
        <f>IF(AND('领用录入（明细）'!D:D=$F$4,'领用录入（明细）'!C:C&gt;=$J$4,'领用录入（明细）'!C:C&lt;=$L$4),ROW(),"-")</f>
        <v>-</v>
      </c>
    </row>
    <row r="37541" customHeight="1" spans="2:2">
      <c r="B37541" s="62" t="str">
        <f>IF(AND('领用录入（明细）'!D:D=$F$4,'领用录入（明细）'!C:C&gt;=$J$4,'领用录入（明细）'!C:C&lt;=$L$4),ROW(),"-")</f>
        <v>-</v>
      </c>
    </row>
    <row r="37542" customHeight="1" spans="2:2">
      <c r="B37542" s="62" t="str">
        <f>IF(AND('领用录入（明细）'!D:D=$F$4,'领用录入（明细）'!C:C&gt;=$J$4,'领用录入（明细）'!C:C&lt;=$L$4),ROW(),"-")</f>
        <v>-</v>
      </c>
    </row>
    <row r="37543" customHeight="1" spans="2:2">
      <c r="B37543" s="62" t="str">
        <f>IF(AND('领用录入（明细）'!D:D=$F$4,'领用录入（明细）'!C:C&gt;=$J$4,'领用录入（明细）'!C:C&lt;=$L$4),ROW(),"-")</f>
        <v>-</v>
      </c>
    </row>
    <row r="37544" customHeight="1" spans="2:2">
      <c r="B37544" s="62" t="str">
        <f>IF(AND('领用录入（明细）'!D:D=$F$4,'领用录入（明细）'!C:C&gt;=$J$4,'领用录入（明细）'!C:C&lt;=$L$4),ROW(),"-")</f>
        <v>-</v>
      </c>
    </row>
    <row r="37545" customHeight="1" spans="2:2">
      <c r="B37545" s="62" t="str">
        <f>IF(AND('领用录入（明细）'!D:D=$F$4,'领用录入（明细）'!C:C&gt;=$J$4,'领用录入（明细）'!C:C&lt;=$L$4),ROW(),"-")</f>
        <v>-</v>
      </c>
    </row>
    <row r="37546" customHeight="1" spans="2:2">
      <c r="B37546" s="62" t="str">
        <f>IF(AND('领用录入（明细）'!D:D=$F$4,'领用录入（明细）'!C:C&gt;=$J$4,'领用录入（明细）'!C:C&lt;=$L$4),ROW(),"-")</f>
        <v>-</v>
      </c>
    </row>
    <row r="37547" customHeight="1" spans="2:2">
      <c r="B37547" s="62" t="str">
        <f>IF(AND('领用录入（明细）'!D:D=$F$4,'领用录入（明细）'!C:C&gt;=$J$4,'领用录入（明细）'!C:C&lt;=$L$4),ROW(),"-")</f>
        <v>-</v>
      </c>
    </row>
    <row r="37548" customHeight="1" spans="2:2">
      <c r="B37548" s="62" t="str">
        <f>IF(AND('领用录入（明细）'!D:D=$F$4,'领用录入（明细）'!C:C&gt;=$J$4,'领用录入（明细）'!C:C&lt;=$L$4),ROW(),"-")</f>
        <v>-</v>
      </c>
    </row>
    <row r="37549" customHeight="1" spans="2:2">
      <c r="B37549" s="62" t="str">
        <f>IF(AND('领用录入（明细）'!D:D=$F$4,'领用录入（明细）'!C:C&gt;=$J$4,'领用录入（明细）'!C:C&lt;=$L$4),ROW(),"-")</f>
        <v>-</v>
      </c>
    </row>
    <row r="37550" customHeight="1" spans="2:2">
      <c r="B37550" s="62" t="str">
        <f>IF(AND('领用录入（明细）'!D:D=$F$4,'领用录入（明细）'!C:C&gt;=$J$4,'领用录入（明细）'!C:C&lt;=$L$4),ROW(),"-")</f>
        <v>-</v>
      </c>
    </row>
    <row r="37551" customHeight="1" spans="2:2">
      <c r="B37551" s="62" t="str">
        <f>IF(AND('领用录入（明细）'!D:D=$F$4,'领用录入（明细）'!C:C&gt;=$J$4,'领用录入（明细）'!C:C&lt;=$L$4),ROW(),"-")</f>
        <v>-</v>
      </c>
    </row>
    <row r="37552" customHeight="1" spans="2:2">
      <c r="B37552" s="62" t="str">
        <f>IF(AND('领用录入（明细）'!D:D=$F$4,'领用录入（明细）'!C:C&gt;=$J$4,'领用录入（明细）'!C:C&lt;=$L$4),ROW(),"-")</f>
        <v>-</v>
      </c>
    </row>
    <row r="37553" customHeight="1" spans="2:2">
      <c r="B37553" s="62" t="str">
        <f>IF(AND('领用录入（明细）'!D:D=$F$4,'领用录入（明细）'!C:C&gt;=$J$4,'领用录入（明细）'!C:C&lt;=$L$4),ROW(),"-")</f>
        <v>-</v>
      </c>
    </row>
    <row r="37554" customHeight="1" spans="2:2">
      <c r="B37554" s="62" t="str">
        <f>IF(AND('领用录入（明细）'!D:D=$F$4,'领用录入（明细）'!C:C&gt;=$J$4,'领用录入（明细）'!C:C&lt;=$L$4),ROW(),"-")</f>
        <v>-</v>
      </c>
    </row>
    <row r="37555" customHeight="1" spans="2:2">
      <c r="B37555" s="62" t="str">
        <f>IF(AND('领用录入（明细）'!D:D=$F$4,'领用录入（明细）'!C:C&gt;=$J$4,'领用录入（明细）'!C:C&lt;=$L$4),ROW(),"-")</f>
        <v>-</v>
      </c>
    </row>
    <row r="37556" customHeight="1" spans="2:2">
      <c r="B37556" s="62" t="str">
        <f>IF(AND('领用录入（明细）'!D:D=$F$4,'领用录入（明细）'!C:C&gt;=$J$4,'领用录入（明细）'!C:C&lt;=$L$4),ROW(),"-")</f>
        <v>-</v>
      </c>
    </row>
    <row r="37557" customHeight="1" spans="2:2">
      <c r="B37557" s="62" t="str">
        <f>IF(AND('领用录入（明细）'!D:D=$F$4,'领用录入（明细）'!C:C&gt;=$J$4,'领用录入（明细）'!C:C&lt;=$L$4),ROW(),"-")</f>
        <v>-</v>
      </c>
    </row>
    <row r="37558" customHeight="1" spans="2:2">
      <c r="B37558" s="62" t="str">
        <f>IF(AND('领用录入（明细）'!D:D=$F$4,'领用录入（明细）'!C:C&gt;=$J$4,'领用录入（明细）'!C:C&lt;=$L$4),ROW(),"-")</f>
        <v>-</v>
      </c>
    </row>
    <row r="37559" customHeight="1" spans="2:2">
      <c r="B37559" s="62" t="str">
        <f>IF(AND('领用录入（明细）'!D:D=$F$4,'领用录入（明细）'!C:C&gt;=$J$4,'领用录入（明细）'!C:C&lt;=$L$4),ROW(),"-")</f>
        <v>-</v>
      </c>
    </row>
    <row r="37560" customHeight="1" spans="2:2">
      <c r="B37560" s="62" t="str">
        <f>IF(AND('领用录入（明细）'!D:D=$F$4,'领用录入（明细）'!C:C&gt;=$J$4,'领用录入（明细）'!C:C&lt;=$L$4),ROW(),"-")</f>
        <v>-</v>
      </c>
    </row>
    <row r="37561" customHeight="1" spans="2:2">
      <c r="B37561" s="62" t="str">
        <f>IF(AND('领用录入（明细）'!D:D=$F$4,'领用录入（明细）'!C:C&gt;=$J$4,'领用录入（明细）'!C:C&lt;=$L$4),ROW(),"-")</f>
        <v>-</v>
      </c>
    </row>
    <row r="37562" customHeight="1" spans="2:2">
      <c r="B37562" s="62" t="str">
        <f>IF(AND('领用录入（明细）'!D:D=$F$4,'领用录入（明细）'!C:C&gt;=$J$4,'领用录入（明细）'!C:C&lt;=$L$4),ROW(),"-")</f>
        <v>-</v>
      </c>
    </row>
    <row r="37563" customHeight="1" spans="2:2">
      <c r="B37563" s="62" t="str">
        <f>IF(AND('领用录入（明细）'!D:D=$F$4,'领用录入（明细）'!C:C&gt;=$J$4,'领用录入（明细）'!C:C&lt;=$L$4),ROW(),"-")</f>
        <v>-</v>
      </c>
    </row>
    <row r="37564" customHeight="1" spans="2:2">
      <c r="B37564" s="62" t="str">
        <f>IF(AND('领用录入（明细）'!D:D=$F$4,'领用录入（明细）'!C:C&gt;=$J$4,'领用录入（明细）'!C:C&lt;=$L$4),ROW(),"-")</f>
        <v>-</v>
      </c>
    </row>
    <row r="37565" customHeight="1" spans="2:2">
      <c r="B37565" s="62" t="str">
        <f>IF(AND('领用录入（明细）'!D:D=$F$4,'领用录入（明细）'!C:C&gt;=$J$4,'领用录入（明细）'!C:C&lt;=$L$4),ROW(),"-")</f>
        <v>-</v>
      </c>
    </row>
    <row r="37566" customHeight="1" spans="2:2">
      <c r="B37566" s="62" t="str">
        <f>IF(AND('领用录入（明细）'!D:D=$F$4,'领用录入（明细）'!C:C&gt;=$J$4,'领用录入（明细）'!C:C&lt;=$L$4),ROW(),"-")</f>
        <v>-</v>
      </c>
    </row>
    <row r="37567" customHeight="1" spans="2:2">
      <c r="B37567" s="62" t="str">
        <f>IF(AND('领用录入（明细）'!D:D=$F$4,'领用录入（明细）'!C:C&gt;=$J$4,'领用录入（明细）'!C:C&lt;=$L$4),ROW(),"-")</f>
        <v>-</v>
      </c>
    </row>
    <row r="37568" customHeight="1" spans="2:2">
      <c r="B37568" s="62" t="str">
        <f>IF(AND('领用录入（明细）'!D:D=$F$4,'领用录入（明细）'!C:C&gt;=$J$4,'领用录入（明细）'!C:C&lt;=$L$4),ROW(),"-")</f>
        <v>-</v>
      </c>
    </row>
    <row r="37569" customHeight="1" spans="2:2">
      <c r="B37569" s="62" t="str">
        <f>IF(AND('领用录入（明细）'!D:D=$F$4,'领用录入（明细）'!C:C&gt;=$J$4,'领用录入（明细）'!C:C&lt;=$L$4),ROW(),"-")</f>
        <v>-</v>
      </c>
    </row>
    <row r="37570" customHeight="1" spans="2:2">
      <c r="B37570" s="62" t="str">
        <f>IF(AND('领用录入（明细）'!D:D=$F$4,'领用录入（明细）'!C:C&gt;=$J$4,'领用录入（明细）'!C:C&lt;=$L$4),ROW(),"-")</f>
        <v>-</v>
      </c>
    </row>
    <row r="37571" customHeight="1" spans="2:2">
      <c r="B37571" s="62" t="str">
        <f>IF(AND('领用录入（明细）'!D:D=$F$4,'领用录入（明细）'!C:C&gt;=$J$4,'领用录入（明细）'!C:C&lt;=$L$4),ROW(),"-")</f>
        <v>-</v>
      </c>
    </row>
    <row r="37572" customHeight="1" spans="2:2">
      <c r="B37572" s="62" t="str">
        <f>IF(AND('领用录入（明细）'!D:D=$F$4,'领用录入（明细）'!C:C&gt;=$J$4,'领用录入（明细）'!C:C&lt;=$L$4),ROW(),"-")</f>
        <v>-</v>
      </c>
    </row>
    <row r="37573" customHeight="1" spans="2:2">
      <c r="B37573" s="62" t="str">
        <f>IF(AND('领用录入（明细）'!D:D=$F$4,'领用录入（明细）'!C:C&gt;=$J$4,'领用录入（明细）'!C:C&lt;=$L$4),ROW(),"-")</f>
        <v>-</v>
      </c>
    </row>
    <row r="37574" customHeight="1" spans="2:2">
      <c r="B37574" s="62" t="str">
        <f>IF(AND('领用录入（明细）'!D:D=$F$4,'领用录入（明细）'!C:C&gt;=$J$4,'领用录入（明细）'!C:C&lt;=$L$4),ROW(),"-")</f>
        <v>-</v>
      </c>
    </row>
    <row r="37575" customHeight="1" spans="2:2">
      <c r="B37575" s="62" t="str">
        <f>IF(AND('领用录入（明细）'!D:D=$F$4,'领用录入（明细）'!C:C&gt;=$J$4,'领用录入（明细）'!C:C&lt;=$L$4),ROW(),"-")</f>
        <v>-</v>
      </c>
    </row>
    <row r="37576" customHeight="1" spans="2:2">
      <c r="B37576" s="62" t="str">
        <f>IF(AND('领用录入（明细）'!D:D=$F$4,'领用录入（明细）'!C:C&gt;=$J$4,'领用录入（明细）'!C:C&lt;=$L$4),ROW(),"-")</f>
        <v>-</v>
      </c>
    </row>
    <row r="37577" customHeight="1" spans="2:2">
      <c r="B37577" s="62" t="str">
        <f>IF(AND('领用录入（明细）'!D:D=$F$4,'领用录入（明细）'!C:C&gt;=$J$4,'领用录入（明细）'!C:C&lt;=$L$4),ROW(),"-")</f>
        <v>-</v>
      </c>
    </row>
    <row r="37578" customHeight="1" spans="2:2">
      <c r="B37578" s="62" t="str">
        <f>IF(AND('领用录入（明细）'!D:D=$F$4,'领用录入（明细）'!C:C&gt;=$J$4,'领用录入（明细）'!C:C&lt;=$L$4),ROW(),"-")</f>
        <v>-</v>
      </c>
    </row>
    <row r="37579" customHeight="1" spans="2:2">
      <c r="B37579" s="62" t="str">
        <f>IF(AND('领用录入（明细）'!D:D=$F$4,'领用录入（明细）'!C:C&gt;=$J$4,'领用录入（明细）'!C:C&lt;=$L$4),ROW(),"-")</f>
        <v>-</v>
      </c>
    </row>
    <row r="37580" customHeight="1" spans="2:2">
      <c r="B37580" s="62" t="str">
        <f>IF(AND('领用录入（明细）'!D:D=$F$4,'领用录入（明细）'!C:C&gt;=$J$4,'领用录入（明细）'!C:C&lt;=$L$4),ROW(),"-")</f>
        <v>-</v>
      </c>
    </row>
    <row r="37581" customHeight="1" spans="2:2">
      <c r="B37581" s="62" t="str">
        <f>IF(AND('领用录入（明细）'!D:D=$F$4,'领用录入（明细）'!C:C&gt;=$J$4,'领用录入（明细）'!C:C&lt;=$L$4),ROW(),"-")</f>
        <v>-</v>
      </c>
    </row>
    <row r="37582" customHeight="1" spans="2:2">
      <c r="B37582" s="62" t="str">
        <f>IF(AND('领用录入（明细）'!D:D=$F$4,'领用录入（明细）'!C:C&gt;=$J$4,'领用录入（明细）'!C:C&lt;=$L$4),ROW(),"-")</f>
        <v>-</v>
      </c>
    </row>
    <row r="37583" customHeight="1" spans="2:2">
      <c r="B37583" s="62" t="str">
        <f>IF(AND('领用录入（明细）'!D:D=$F$4,'领用录入（明细）'!C:C&gt;=$J$4,'领用录入（明细）'!C:C&lt;=$L$4),ROW(),"-")</f>
        <v>-</v>
      </c>
    </row>
    <row r="37584" customHeight="1" spans="2:2">
      <c r="B37584" s="62" t="str">
        <f>IF(AND('领用录入（明细）'!D:D=$F$4,'领用录入（明细）'!C:C&gt;=$J$4,'领用录入（明细）'!C:C&lt;=$L$4),ROW(),"-")</f>
        <v>-</v>
      </c>
    </row>
    <row r="37585" customHeight="1" spans="2:2">
      <c r="B37585" s="62" t="str">
        <f>IF(AND('领用录入（明细）'!D:D=$F$4,'领用录入（明细）'!C:C&gt;=$J$4,'领用录入（明细）'!C:C&lt;=$L$4),ROW(),"-")</f>
        <v>-</v>
      </c>
    </row>
    <row r="37586" customHeight="1" spans="2:2">
      <c r="B37586" s="62" t="str">
        <f>IF(AND('领用录入（明细）'!D:D=$F$4,'领用录入（明细）'!C:C&gt;=$J$4,'领用录入（明细）'!C:C&lt;=$L$4),ROW(),"-")</f>
        <v>-</v>
      </c>
    </row>
    <row r="37587" customHeight="1" spans="2:2">
      <c r="B37587" s="62" t="str">
        <f>IF(AND('领用录入（明细）'!D:D=$F$4,'领用录入（明细）'!C:C&gt;=$J$4,'领用录入（明细）'!C:C&lt;=$L$4),ROW(),"-")</f>
        <v>-</v>
      </c>
    </row>
    <row r="37588" customHeight="1" spans="2:2">
      <c r="B37588" s="62" t="str">
        <f>IF(AND('领用录入（明细）'!D:D=$F$4,'领用录入（明细）'!C:C&gt;=$J$4,'领用录入（明细）'!C:C&lt;=$L$4),ROW(),"-")</f>
        <v>-</v>
      </c>
    </row>
    <row r="37589" customHeight="1" spans="2:2">
      <c r="B37589" s="62" t="str">
        <f>IF(AND('领用录入（明细）'!D:D=$F$4,'领用录入（明细）'!C:C&gt;=$J$4,'领用录入（明细）'!C:C&lt;=$L$4),ROW(),"-")</f>
        <v>-</v>
      </c>
    </row>
    <row r="37590" customHeight="1" spans="2:2">
      <c r="B37590" s="62" t="str">
        <f>IF(AND('领用录入（明细）'!D:D=$F$4,'领用录入（明细）'!C:C&gt;=$J$4,'领用录入（明细）'!C:C&lt;=$L$4),ROW(),"-")</f>
        <v>-</v>
      </c>
    </row>
    <row r="37591" customHeight="1" spans="2:2">
      <c r="B37591" s="62" t="str">
        <f>IF(AND('领用录入（明细）'!D:D=$F$4,'领用录入（明细）'!C:C&gt;=$J$4,'领用录入（明细）'!C:C&lt;=$L$4),ROW(),"-")</f>
        <v>-</v>
      </c>
    </row>
    <row r="37592" customHeight="1" spans="2:2">
      <c r="B37592" s="62" t="str">
        <f>IF(AND('领用录入（明细）'!D:D=$F$4,'领用录入（明细）'!C:C&gt;=$J$4,'领用录入（明细）'!C:C&lt;=$L$4),ROW(),"-")</f>
        <v>-</v>
      </c>
    </row>
    <row r="37593" customHeight="1" spans="2:2">
      <c r="B37593" s="62" t="str">
        <f>IF(AND('领用录入（明细）'!D:D=$F$4,'领用录入（明细）'!C:C&gt;=$J$4,'领用录入（明细）'!C:C&lt;=$L$4),ROW(),"-")</f>
        <v>-</v>
      </c>
    </row>
    <row r="37594" customHeight="1" spans="2:2">
      <c r="B37594" s="62" t="str">
        <f>IF(AND('领用录入（明细）'!D:D=$F$4,'领用录入（明细）'!C:C&gt;=$J$4,'领用录入（明细）'!C:C&lt;=$L$4),ROW(),"-")</f>
        <v>-</v>
      </c>
    </row>
    <row r="37595" customHeight="1" spans="2:2">
      <c r="B37595" s="62" t="str">
        <f>IF(AND('领用录入（明细）'!D:D=$F$4,'领用录入（明细）'!C:C&gt;=$J$4,'领用录入（明细）'!C:C&lt;=$L$4),ROW(),"-")</f>
        <v>-</v>
      </c>
    </row>
    <row r="37596" customHeight="1" spans="2:2">
      <c r="B37596" s="62" t="str">
        <f>IF(AND('领用录入（明细）'!D:D=$F$4,'领用录入（明细）'!C:C&gt;=$J$4,'领用录入（明细）'!C:C&lt;=$L$4),ROW(),"-")</f>
        <v>-</v>
      </c>
    </row>
    <row r="37597" customHeight="1" spans="2:2">
      <c r="B37597" s="62" t="str">
        <f>IF(AND('领用录入（明细）'!D:D=$F$4,'领用录入（明细）'!C:C&gt;=$J$4,'领用录入（明细）'!C:C&lt;=$L$4),ROW(),"-")</f>
        <v>-</v>
      </c>
    </row>
    <row r="37598" customHeight="1" spans="2:2">
      <c r="B37598" s="62" t="str">
        <f>IF(AND('领用录入（明细）'!D:D=$F$4,'领用录入（明细）'!C:C&gt;=$J$4,'领用录入（明细）'!C:C&lt;=$L$4),ROW(),"-")</f>
        <v>-</v>
      </c>
    </row>
    <row r="37599" customHeight="1" spans="2:2">
      <c r="B37599" s="62" t="str">
        <f>IF(AND('领用录入（明细）'!D:D=$F$4,'领用录入（明细）'!C:C&gt;=$J$4,'领用录入（明细）'!C:C&lt;=$L$4),ROW(),"-")</f>
        <v>-</v>
      </c>
    </row>
    <row r="37600" customHeight="1" spans="2:2">
      <c r="B37600" s="62" t="str">
        <f>IF(AND('领用录入（明细）'!D:D=$F$4,'领用录入（明细）'!C:C&gt;=$J$4,'领用录入（明细）'!C:C&lt;=$L$4),ROW(),"-")</f>
        <v>-</v>
      </c>
    </row>
    <row r="37601" customHeight="1" spans="2:2">
      <c r="B37601" s="62" t="str">
        <f>IF(AND('领用录入（明细）'!D:D=$F$4,'领用录入（明细）'!C:C&gt;=$J$4,'领用录入（明细）'!C:C&lt;=$L$4),ROW(),"-")</f>
        <v>-</v>
      </c>
    </row>
    <row r="37602" customHeight="1" spans="2:2">
      <c r="B37602" s="62" t="str">
        <f>IF(AND('领用录入（明细）'!D:D=$F$4,'领用录入（明细）'!C:C&gt;=$J$4,'领用录入（明细）'!C:C&lt;=$L$4),ROW(),"-")</f>
        <v>-</v>
      </c>
    </row>
    <row r="37603" customHeight="1" spans="2:2">
      <c r="B37603" s="62" t="str">
        <f>IF(AND('领用录入（明细）'!D:D=$F$4,'领用录入（明细）'!C:C&gt;=$J$4,'领用录入（明细）'!C:C&lt;=$L$4),ROW(),"-")</f>
        <v>-</v>
      </c>
    </row>
    <row r="37604" customHeight="1" spans="2:2">
      <c r="B37604" s="62" t="str">
        <f>IF(AND('领用录入（明细）'!D:D=$F$4,'领用录入（明细）'!C:C&gt;=$J$4,'领用录入（明细）'!C:C&lt;=$L$4),ROW(),"-")</f>
        <v>-</v>
      </c>
    </row>
    <row r="37605" customHeight="1" spans="2:2">
      <c r="B37605" s="62" t="str">
        <f>IF(AND('领用录入（明细）'!D:D=$F$4,'领用录入（明细）'!C:C&gt;=$J$4,'领用录入（明细）'!C:C&lt;=$L$4),ROW(),"-")</f>
        <v>-</v>
      </c>
    </row>
    <row r="37606" customHeight="1" spans="2:2">
      <c r="B37606" s="62" t="str">
        <f>IF(AND('领用录入（明细）'!D:D=$F$4,'领用录入（明细）'!C:C&gt;=$J$4,'领用录入（明细）'!C:C&lt;=$L$4),ROW(),"-")</f>
        <v>-</v>
      </c>
    </row>
    <row r="37607" customHeight="1" spans="2:2">
      <c r="B37607" s="62" t="str">
        <f>IF(AND('领用录入（明细）'!D:D=$F$4,'领用录入（明细）'!C:C&gt;=$J$4,'领用录入（明细）'!C:C&lt;=$L$4),ROW(),"-")</f>
        <v>-</v>
      </c>
    </row>
    <row r="37608" customHeight="1" spans="2:2">
      <c r="B37608" s="62" t="str">
        <f>IF(AND('领用录入（明细）'!D:D=$F$4,'领用录入（明细）'!C:C&gt;=$J$4,'领用录入（明细）'!C:C&lt;=$L$4),ROW(),"-")</f>
        <v>-</v>
      </c>
    </row>
    <row r="37609" customHeight="1" spans="2:2">
      <c r="B37609" s="62" t="str">
        <f>IF(AND('领用录入（明细）'!D:D=$F$4,'领用录入（明细）'!C:C&gt;=$J$4,'领用录入（明细）'!C:C&lt;=$L$4),ROW(),"-")</f>
        <v>-</v>
      </c>
    </row>
    <row r="37610" customHeight="1" spans="2:2">
      <c r="B37610" s="62" t="str">
        <f>IF(AND('领用录入（明细）'!D:D=$F$4,'领用录入（明细）'!C:C&gt;=$J$4,'领用录入（明细）'!C:C&lt;=$L$4),ROW(),"-")</f>
        <v>-</v>
      </c>
    </row>
    <row r="37611" customHeight="1" spans="2:2">
      <c r="B37611" s="62" t="str">
        <f>IF(AND('领用录入（明细）'!D:D=$F$4,'领用录入（明细）'!C:C&gt;=$J$4,'领用录入（明细）'!C:C&lt;=$L$4),ROW(),"-")</f>
        <v>-</v>
      </c>
    </row>
    <row r="37612" customHeight="1" spans="2:2">
      <c r="B37612" s="62" t="str">
        <f>IF(AND('领用录入（明细）'!D:D=$F$4,'领用录入（明细）'!C:C&gt;=$J$4,'领用录入（明细）'!C:C&lt;=$L$4),ROW(),"-")</f>
        <v>-</v>
      </c>
    </row>
    <row r="37613" customHeight="1" spans="2:2">
      <c r="B37613" s="62" t="str">
        <f>IF(AND('领用录入（明细）'!D:D=$F$4,'领用录入（明细）'!C:C&gt;=$J$4,'领用录入（明细）'!C:C&lt;=$L$4),ROW(),"-")</f>
        <v>-</v>
      </c>
    </row>
    <row r="37614" customHeight="1" spans="2:2">
      <c r="B37614" s="62" t="str">
        <f>IF(AND('领用录入（明细）'!D:D=$F$4,'领用录入（明细）'!C:C&gt;=$J$4,'领用录入（明细）'!C:C&lt;=$L$4),ROW(),"-")</f>
        <v>-</v>
      </c>
    </row>
    <row r="37615" customHeight="1" spans="2:2">
      <c r="B37615" s="62" t="str">
        <f>IF(AND('领用录入（明细）'!D:D=$F$4,'领用录入（明细）'!C:C&gt;=$J$4,'领用录入（明细）'!C:C&lt;=$L$4),ROW(),"-")</f>
        <v>-</v>
      </c>
    </row>
    <row r="37616" customHeight="1" spans="2:2">
      <c r="B37616" s="62" t="str">
        <f>IF(AND('领用录入（明细）'!D:D=$F$4,'领用录入（明细）'!C:C&gt;=$J$4,'领用录入（明细）'!C:C&lt;=$L$4),ROW(),"-")</f>
        <v>-</v>
      </c>
    </row>
    <row r="37617" customHeight="1" spans="2:2">
      <c r="B37617" s="62" t="str">
        <f>IF(AND('领用录入（明细）'!D:D=$F$4,'领用录入（明细）'!C:C&gt;=$J$4,'领用录入（明细）'!C:C&lt;=$L$4),ROW(),"-")</f>
        <v>-</v>
      </c>
    </row>
    <row r="37618" customHeight="1" spans="2:2">
      <c r="B37618" s="62" t="str">
        <f>IF(AND('领用录入（明细）'!D:D=$F$4,'领用录入（明细）'!C:C&gt;=$J$4,'领用录入（明细）'!C:C&lt;=$L$4),ROW(),"-")</f>
        <v>-</v>
      </c>
    </row>
    <row r="37619" customHeight="1" spans="2:2">
      <c r="B37619" s="62" t="str">
        <f>IF(AND('领用录入（明细）'!D:D=$F$4,'领用录入（明细）'!C:C&gt;=$J$4,'领用录入（明细）'!C:C&lt;=$L$4),ROW(),"-")</f>
        <v>-</v>
      </c>
    </row>
    <row r="37620" customHeight="1" spans="2:2">
      <c r="B37620" s="62" t="str">
        <f>IF(AND('领用录入（明细）'!D:D=$F$4,'领用录入（明细）'!C:C&gt;=$J$4,'领用录入（明细）'!C:C&lt;=$L$4),ROW(),"-")</f>
        <v>-</v>
      </c>
    </row>
    <row r="37621" customHeight="1" spans="2:2">
      <c r="B37621" s="62" t="str">
        <f>IF(AND('领用录入（明细）'!D:D=$F$4,'领用录入（明细）'!C:C&gt;=$J$4,'领用录入（明细）'!C:C&lt;=$L$4),ROW(),"-")</f>
        <v>-</v>
      </c>
    </row>
    <row r="37622" customHeight="1" spans="2:2">
      <c r="B37622" s="62" t="str">
        <f>IF(AND('领用录入（明细）'!D:D=$F$4,'领用录入（明细）'!C:C&gt;=$J$4,'领用录入（明细）'!C:C&lt;=$L$4),ROW(),"-")</f>
        <v>-</v>
      </c>
    </row>
    <row r="37623" customHeight="1" spans="2:2">
      <c r="B37623" s="62" t="str">
        <f>IF(AND('领用录入（明细）'!D:D=$F$4,'领用录入（明细）'!C:C&gt;=$J$4,'领用录入（明细）'!C:C&lt;=$L$4),ROW(),"-")</f>
        <v>-</v>
      </c>
    </row>
    <row r="37624" customHeight="1" spans="2:2">
      <c r="B37624" s="62" t="str">
        <f>IF(AND('领用录入（明细）'!D:D=$F$4,'领用录入（明细）'!C:C&gt;=$J$4,'领用录入（明细）'!C:C&lt;=$L$4),ROW(),"-")</f>
        <v>-</v>
      </c>
    </row>
    <row r="37625" customHeight="1" spans="2:2">
      <c r="B37625" s="62" t="str">
        <f>IF(AND('领用录入（明细）'!D:D=$F$4,'领用录入（明细）'!C:C&gt;=$J$4,'领用录入（明细）'!C:C&lt;=$L$4),ROW(),"-")</f>
        <v>-</v>
      </c>
    </row>
    <row r="37626" customHeight="1" spans="2:2">
      <c r="B37626" s="62" t="str">
        <f>IF(AND('领用录入（明细）'!D:D=$F$4,'领用录入（明细）'!C:C&gt;=$J$4,'领用录入（明细）'!C:C&lt;=$L$4),ROW(),"-")</f>
        <v>-</v>
      </c>
    </row>
    <row r="37627" customHeight="1" spans="2:2">
      <c r="B37627" s="62" t="str">
        <f>IF(AND('领用录入（明细）'!D:D=$F$4,'领用录入（明细）'!C:C&gt;=$J$4,'领用录入（明细）'!C:C&lt;=$L$4),ROW(),"-")</f>
        <v>-</v>
      </c>
    </row>
    <row r="37628" customHeight="1" spans="2:2">
      <c r="B37628" s="62" t="str">
        <f>IF(AND('领用录入（明细）'!D:D=$F$4,'领用录入（明细）'!C:C&gt;=$J$4,'领用录入（明细）'!C:C&lt;=$L$4),ROW(),"-")</f>
        <v>-</v>
      </c>
    </row>
    <row r="37629" customHeight="1" spans="2:2">
      <c r="B37629" s="62" t="str">
        <f>IF(AND('领用录入（明细）'!D:D=$F$4,'领用录入（明细）'!C:C&gt;=$J$4,'领用录入（明细）'!C:C&lt;=$L$4),ROW(),"-")</f>
        <v>-</v>
      </c>
    </row>
    <row r="37630" customHeight="1" spans="2:2">
      <c r="B37630" s="62" t="str">
        <f>IF(AND('领用录入（明细）'!D:D=$F$4,'领用录入（明细）'!C:C&gt;=$J$4,'领用录入（明细）'!C:C&lt;=$L$4),ROW(),"-")</f>
        <v>-</v>
      </c>
    </row>
    <row r="37631" customHeight="1" spans="2:2">
      <c r="B37631" s="62" t="str">
        <f>IF(AND('领用录入（明细）'!D:D=$F$4,'领用录入（明细）'!C:C&gt;=$J$4,'领用录入（明细）'!C:C&lt;=$L$4),ROW(),"-")</f>
        <v>-</v>
      </c>
    </row>
    <row r="37632" customHeight="1" spans="2:2">
      <c r="B37632" s="62" t="str">
        <f>IF(AND('领用录入（明细）'!D:D=$F$4,'领用录入（明细）'!C:C&gt;=$J$4,'领用录入（明细）'!C:C&lt;=$L$4),ROW(),"-")</f>
        <v>-</v>
      </c>
    </row>
    <row r="37633" customHeight="1" spans="2:2">
      <c r="B37633" s="62" t="str">
        <f>IF(AND('领用录入（明细）'!D:D=$F$4,'领用录入（明细）'!C:C&gt;=$J$4,'领用录入（明细）'!C:C&lt;=$L$4),ROW(),"-")</f>
        <v>-</v>
      </c>
    </row>
    <row r="37634" customHeight="1" spans="2:2">
      <c r="B37634" s="62" t="str">
        <f>IF(AND('领用录入（明细）'!D:D=$F$4,'领用录入（明细）'!C:C&gt;=$J$4,'领用录入（明细）'!C:C&lt;=$L$4),ROW(),"-")</f>
        <v>-</v>
      </c>
    </row>
    <row r="37635" customHeight="1" spans="2:2">
      <c r="B37635" s="62" t="str">
        <f>IF(AND('领用录入（明细）'!D:D=$F$4,'领用录入（明细）'!C:C&gt;=$J$4,'领用录入（明细）'!C:C&lt;=$L$4),ROW(),"-")</f>
        <v>-</v>
      </c>
    </row>
    <row r="37636" customHeight="1" spans="2:2">
      <c r="B37636" s="62" t="str">
        <f>IF(AND('领用录入（明细）'!D:D=$F$4,'领用录入（明细）'!C:C&gt;=$J$4,'领用录入（明细）'!C:C&lt;=$L$4),ROW(),"-")</f>
        <v>-</v>
      </c>
    </row>
    <row r="37637" customHeight="1" spans="2:2">
      <c r="B37637" s="62" t="str">
        <f>IF(AND('领用录入（明细）'!D:D=$F$4,'领用录入（明细）'!C:C&gt;=$J$4,'领用录入（明细）'!C:C&lt;=$L$4),ROW(),"-")</f>
        <v>-</v>
      </c>
    </row>
    <row r="37638" customHeight="1" spans="2:2">
      <c r="B37638" s="62" t="str">
        <f>IF(AND('领用录入（明细）'!D:D=$F$4,'领用录入（明细）'!C:C&gt;=$J$4,'领用录入（明细）'!C:C&lt;=$L$4),ROW(),"-")</f>
        <v>-</v>
      </c>
    </row>
    <row r="37639" customHeight="1" spans="2:2">
      <c r="B37639" s="62" t="str">
        <f>IF(AND('领用录入（明细）'!D:D=$F$4,'领用录入（明细）'!C:C&gt;=$J$4,'领用录入（明细）'!C:C&lt;=$L$4),ROW(),"-")</f>
        <v>-</v>
      </c>
    </row>
    <row r="37640" customHeight="1" spans="2:2">
      <c r="B37640" s="62" t="str">
        <f>IF(AND('领用录入（明细）'!D:D=$F$4,'领用录入（明细）'!C:C&gt;=$J$4,'领用录入（明细）'!C:C&lt;=$L$4),ROW(),"-")</f>
        <v>-</v>
      </c>
    </row>
    <row r="37641" customHeight="1" spans="2:2">
      <c r="B37641" s="62" t="str">
        <f>IF(AND('领用录入（明细）'!D:D=$F$4,'领用录入（明细）'!C:C&gt;=$J$4,'领用录入（明细）'!C:C&lt;=$L$4),ROW(),"-")</f>
        <v>-</v>
      </c>
    </row>
    <row r="37642" customHeight="1" spans="2:2">
      <c r="B37642" s="62" t="str">
        <f>IF(AND('领用录入（明细）'!D:D=$F$4,'领用录入（明细）'!C:C&gt;=$J$4,'领用录入（明细）'!C:C&lt;=$L$4),ROW(),"-")</f>
        <v>-</v>
      </c>
    </row>
    <row r="37643" customHeight="1" spans="2:2">
      <c r="B37643" s="62" t="str">
        <f>IF(AND('领用录入（明细）'!D:D=$F$4,'领用录入（明细）'!C:C&gt;=$J$4,'领用录入（明细）'!C:C&lt;=$L$4),ROW(),"-")</f>
        <v>-</v>
      </c>
    </row>
    <row r="37644" customHeight="1" spans="2:2">
      <c r="B37644" s="62" t="str">
        <f>IF(AND('领用录入（明细）'!D:D=$F$4,'领用录入（明细）'!C:C&gt;=$J$4,'领用录入（明细）'!C:C&lt;=$L$4),ROW(),"-")</f>
        <v>-</v>
      </c>
    </row>
    <row r="37645" customHeight="1" spans="2:2">
      <c r="B37645" s="62" t="str">
        <f>IF(AND('领用录入（明细）'!D:D=$F$4,'领用录入（明细）'!C:C&gt;=$J$4,'领用录入（明细）'!C:C&lt;=$L$4),ROW(),"-")</f>
        <v>-</v>
      </c>
    </row>
    <row r="37646" customHeight="1" spans="2:2">
      <c r="B37646" s="62" t="str">
        <f>IF(AND('领用录入（明细）'!D:D=$F$4,'领用录入（明细）'!C:C&gt;=$J$4,'领用录入（明细）'!C:C&lt;=$L$4),ROW(),"-")</f>
        <v>-</v>
      </c>
    </row>
    <row r="37647" customHeight="1" spans="2:2">
      <c r="B37647" s="62" t="str">
        <f>IF(AND('领用录入（明细）'!D:D=$F$4,'领用录入（明细）'!C:C&gt;=$J$4,'领用录入（明细）'!C:C&lt;=$L$4),ROW(),"-")</f>
        <v>-</v>
      </c>
    </row>
    <row r="37648" customHeight="1" spans="2:2">
      <c r="B37648" s="62" t="str">
        <f>IF(AND('领用录入（明细）'!D:D=$F$4,'领用录入（明细）'!C:C&gt;=$J$4,'领用录入（明细）'!C:C&lt;=$L$4),ROW(),"-")</f>
        <v>-</v>
      </c>
    </row>
    <row r="37649" customHeight="1" spans="2:2">
      <c r="B37649" s="62" t="str">
        <f>IF(AND('领用录入（明细）'!D:D=$F$4,'领用录入（明细）'!C:C&gt;=$J$4,'领用录入（明细）'!C:C&lt;=$L$4),ROW(),"-")</f>
        <v>-</v>
      </c>
    </row>
    <row r="37650" customHeight="1" spans="2:2">
      <c r="B37650" s="62" t="str">
        <f>IF(AND('领用录入（明细）'!D:D=$F$4,'领用录入（明细）'!C:C&gt;=$J$4,'领用录入（明细）'!C:C&lt;=$L$4),ROW(),"-")</f>
        <v>-</v>
      </c>
    </row>
    <row r="37651" customHeight="1" spans="2:2">
      <c r="B37651" s="62" t="str">
        <f>IF(AND('领用录入（明细）'!D:D=$F$4,'领用录入（明细）'!C:C&gt;=$J$4,'领用录入（明细）'!C:C&lt;=$L$4),ROW(),"-")</f>
        <v>-</v>
      </c>
    </row>
    <row r="37652" customHeight="1" spans="2:2">
      <c r="B37652" s="62" t="str">
        <f>IF(AND('领用录入（明细）'!D:D=$F$4,'领用录入（明细）'!C:C&gt;=$J$4,'领用录入（明细）'!C:C&lt;=$L$4),ROW(),"-")</f>
        <v>-</v>
      </c>
    </row>
    <row r="37653" customHeight="1" spans="2:2">
      <c r="B37653" s="62" t="str">
        <f>IF(AND('领用录入（明细）'!D:D=$F$4,'领用录入（明细）'!C:C&gt;=$J$4,'领用录入（明细）'!C:C&lt;=$L$4),ROW(),"-")</f>
        <v>-</v>
      </c>
    </row>
    <row r="37654" customHeight="1" spans="2:2">
      <c r="B37654" s="62" t="str">
        <f>IF(AND('领用录入（明细）'!D:D=$F$4,'领用录入（明细）'!C:C&gt;=$J$4,'领用录入（明细）'!C:C&lt;=$L$4),ROW(),"-")</f>
        <v>-</v>
      </c>
    </row>
    <row r="37655" customHeight="1" spans="2:2">
      <c r="B37655" s="62" t="str">
        <f>IF(AND('领用录入（明细）'!D:D=$F$4,'领用录入（明细）'!C:C&gt;=$J$4,'领用录入（明细）'!C:C&lt;=$L$4),ROW(),"-")</f>
        <v>-</v>
      </c>
    </row>
    <row r="37656" customHeight="1" spans="2:2">
      <c r="B37656" s="62" t="str">
        <f>IF(AND('领用录入（明细）'!D:D=$F$4,'领用录入（明细）'!C:C&gt;=$J$4,'领用录入（明细）'!C:C&lt;=$L$4),ROW(),"-")</f>
        <v>-</v>
      </c>
    </row>
    <row r="37657" customHeight="1" spans="2:2">
      <c r="B37657" s="62" t="str">
        <f>IF(AND('领用录入（明细）'!D:D=$F$4,'领用录入（明细）'!C:C&gt;=$J$4,'领用录入（明细）'!C:C&lt;=$L$4),ROW(),"-")</f>
        <v>-</v>
      </c>
    </row>
    <row r="37658" customHeight="1" spans="2:2">
      <c r="B37658" s="62" t="str">
        <f>IF(AND('领用录入（明细）'!D:D=$F$4,'领用录入（明细）'!C:C&gt;=$J$4,'领用录入（明细）'!C:C&lt;=$L$4),ROW(),"-")</f>
        <v>-</v>
      </c>
    </row>
    <row r="37659" customHeight="1" spans="2:2">
      <c r="B37659" s="62" t="str">
        <f>IF(AND('领用录入（明细）'!D:D=$F$4,'领用录入（明细）'!C:C&gt;=$J$4,'领用录入（明细）'!C:C&lt;=$L$4),ROW(),"-")</f>
        <v>-</v>
      </c>
    </row>
    <row r="37660" customHeight="1" spans="2:2">
      <c r="B37660" s="62" t="str">
        <f>IF(AND('领用录入（明细）'!D:D=$F$4,'领用录入（明细）'!C:C&gt;=$J$4,'领用录入（明细）'!C:C&lt;=$L$4),ROW(),"-")</f>
        <v>-</v>
      </c>
    </row>
    <row r="37661" customHeight="1" spans="2:2">
      <c r="B37661" s="62" t="str">
        <f>IF(AND('领用录入（明细）'!D:D=$F$4,'领用录入（明细）'!C:C&gt;=$J$4,'领用录入（明细）'!C:C&lt;=$L$4),ROW(),"-")</f>
        <v>-</v>
      </c>
    </row>
    <row r="37662" customHeight="1" spans="2:2">
      <c r="B37662" s="62" t="str">
        <f>IF(AND('领用录入（明细）'!D:D=$F$4,'领用录入（明细）'!C:C&gt;=$J$4,'领用录入（明细）'!C:C&lt;=$L$4),ROW(),"-")</f>
        <v>-</v>
      </c>
    </row>
    <row r="37663" customHeight="1" spans="2:2">
      <c r="B37663" s="62" t="str">
        <f>IF(AND('领用录入（明细）'!D:D=$F$4,'领用录入（明细）'!C:C&gt;=$J$4,'领用录入（明细）'!C:C&lt;=$L$4),ROW(),"-")</f>
        <v>-</v>
      </c>
    </row>
    <row r="37664" customHeight="1" spans="2:2">
      <c r="B37664" s="62" t="str">
        <f>IF(AND('领用录入（明细）'!D:D=$F$4,'领用录入（明细）'!C:C&gt;=$J$4,'领用录入（明细）'!C:C&lt;=$L$4),ROW(),"-")</f>
        <v>-</v>
      </c>
    </row>
    <row r="37665" customHeight="1" spans="2:2">
      <c r="B37665" s="62" t="str">
        <f>IF(AND('领用录入（明细）'!D:D=$F$4,'领用录入（明细）'!C:C&gt;=$J$4,'领用录入（明细）'!C:C&lt;=$L$4),ROW(),"-")</f>
        <v>-</v>
      </c>
    </row>
    <row r="37666" customHeight="1" spans="2:2">
      <c r="B37666" s="62" t="str">
        <f>IF(AND('领用录入（明细）'!D:D=$F$4,'领用录入（明细）'!C:C&gt;=$J$4,'领用录入（明细）'!C:C&lt;=$L$4),ROW(),"-")</f>
        <v>-</v>
      </c>
    </row>
    <row r="37667" customHeight="1" spans="2:2">
      <c r="B37667" s="62" t="str">
        <f>IF(AND('领用录入（明细）'!D:D=$F$4,'领用录入（明细）'!C:C&gt;=$J$4,'领用录入（明细）'!C:C&lt;=$L$4),ROW(),"-")</f>
        <v>-</v>
      </c>
    </row>
    <row r="37668" customHeight="1" spans="2:2">
      <c r="B37668" s="62" t="str">
        <f>IF(AND('领用录入（明细）'!D:D=$F$4,'领用录入（明细）'!C:C&gt;=$J$4,'领用录入（明细）'!C:C&lt;=$L$4),ROW(),"-")</f>
        <v>-</v>
      </c>
    </row>
    <row r="37669" customHeight="1" spans="2:2">
      <c r="B37669" s="62" t="str">
        <f>IF(AND('领用录入（明细）'!D:D=$F$4,'领用录入（明细）'!C:C&gt;=$J$4,'领用录入（明细）'!C:C&lt;=$L$4),ROW(),"-")</f>
        <v>-</v>
      </c>
    </row>
    <row r="37670" customHeight="1" spans="2:2">
      <c r="B37670" s="62" t="str">
        <f>IF(AND('领用录入（明细）'!D:D=$F$4,'领用录入（明细）'!C:C&gt;=$J$4,'领用录入（明细）'!C:C&lt;=$L$4),ROW(),"-")</f>
        <v>-</v>
      </c>
    </row>
    <row r="37671" customHeight="1" spans="2:2">
      <c r="B37671" s="62" t="str">
        <f>IF(AND('领用录入（明细）'!D:D=$F$4,'领用录入（明细）'!C:C&gt;=$J$4,'领用录入（明细）'!C:C&lt;=$L$4),ROW(),"-")</f>
        <v>-</v>
      </c>
    </row>
    <row r="37672" customHeight="1" spans="2:2">
      <c r="B37672" s="62" t="str">
        <f>IF(AND('领用录入（明细）'!D:D=$F$4,'领用录入（明细）'!C:C&gt;=$J$4,'领用录入（明细）'!C:C&lt;=$L$4),ROW(),"-")</f>
        <v>-</v>
      </c>
    </row>
    <row r="37673" customHeight="1" spans="2:2">
      <c r="B37673" s="62" t="str">
        <f>IF(AND('领用录入（明细）'!D:D=$F$4,'领用录入（明细）'!C:C&gt;=$J$4,'领用录入（明细）'!C:C&lt;=$L$4),ROW(),"-")</f>
        <v>-</v>
      </c>
    </row>
    <row r="37674" customHeight="1" spans="2:2">
      <c r="B37674" s="62" t="str">
        <f>IF(AND('领用录入（明细）'!D:D=$F$4,'领用录入（明细）'!C:C&gt;=$J$4,'领用录入（明细）'!C:C&lt;=$L$4),ROW(),"-")</f>
        <v>-</v>
      </c>
    </row>
    <row r="37675" customHeight="1" spans="2:2">
      <c r="B37675" s="62" t="str">
        <f>IF(AND('领用录入（明细）'!D:D=$F$4,'领用录入（明细）'!C:C&gt;=$J$4,'领用录入（明细）'!C:C&lt;=$L$4),ROW(),"-")</f>
        <v>-</v>
      </c>
    </row>
    <row r="37676" customHeight="1" spans="2:2">
      <c r="B37676" s="62" t="str">
        <f>IF(AND('领用录入（明细）'!D:D=$F$4,'领用录入（明细）'!C:C&gt;=$J$4,'领用录入（明细）'!C:C&lt;=$L$4),ROW(),"-")</f>
        <v>-</v>
      </c>
    </row>
    <row r="37677" customHeight="1" spans="2:2">
      <c r="B37677" s="62" t="str">
        <f>IF(AND('领用录入（明细）'!D:D=$F$4,'领用录入（明细）'!C:C&gt;=$J$4,'领用录入（明细）'!C:C&lt;=$L$4),ROW(),"-")</f>
        <v>-</v>
      </c>
    </row>
    <row r="37678" customHeight="1" spans="2:2">
      <c r="B37678" s="62" t="str">
        <f>IF(AND('领用录入（明细）'!D:D=$F$4,'领用录入（明细）'!C:C&gt;=$J$4,'领用录入（明细）'!C:C&lt;=$L$4),ROW(),"-")</f>
        <v>-</v>
      </c>
    </row>
    <row r="37679" customHeight="1" spans="2:2">
      <c r="B37679" s="62" t="str">
        <f>IF(AND('领用录入（明细）'!D:D=$F$4,'领用录入（明细）'!C:C&gt;=$J$4,'领用录入（明细）'!C:C&lt;=$L$4),ROW(),"-")</f>
        <v>-</v>
      </c>
    </row>
    <row r="37680" customHeight="1" spans="2:2">
      <c r="B37680" s="62" t="str">
        <f>IF(AND('领用录入（明细）'!D:D=$F$4,'领用录入（明细）'!C:C&gt;=$J$4,'领用录入（明细）'!C:C&lt;=$L$4),ROW(),"-")</f>
        <v>-</v>
      </c>
    </row>
    <row r="37681" customHeight="1" spans="2:2">
      <c r="B37681" s="62" t="str">
        <f>IF(AND('领用录入（明细）'!D:D=$F$4,'领用录入（明细）'!C:C&gt;=$J$4,'领用录入（明细）'!C:C&lt;=$L$4),ROW(),"-")</f>
        <v>-</v>
      </c>
    </row>
    <row r="37682" customHeight="1" spans="2:2">
      <c r="B37682" s="62" t="str">
        <f>IF(AND('领用录入（明细）'!D:D=$F$4,'领用录入（明细）'!C:C&gt;=$J$4,'领用录入（明细）'!C:C&lt;=$L$4),ROW(),"-")</f>
        <v>-</v>
      </c>
    </row>
    <row r="37683" customHeight="1" spans="2:2">
      <c r="B37683" s="62" t="str">
        <f>IF(AND('领用录入（明细）'!D:D=$F$4,'领用录入（明细）'!C:C&gt;=$J$4,'领用录入（明细）'!C:C&lt;=$L$4),ROW(),"-")</f>
        <v>-</v>
      </c>
    </row>
    <row r="37684" customHeight="1" spans="2:2">
      <c r="B37684" s="62" t="str">
        <f>IF(AND('领用录入（明细）'!D:D=$F$4,'领用录入（明细）'!C:C&gt;=$J$4,'领用录入（明细）'!C:C&lt;=$L$4),ROW(),"-")</f>
        <v>-</v>
      </c>
    </row>
    <row r="37685" customHeight="1" spans="2:2">
      <c r="B37685" s="62" t="str">
        <f>IF(AND('领用录入（明细）'!D:D=$F$4,'领用录入（明细）'!C:C&gt;=$J$4,'领用录入（明细）'!C:C&lt;=$L$4),ROW(),"-")</f>
        <v>-</v>
      </c>
    </row>
    <row r="37686" customHeight="1" spans="2:2">
      <c r="B37686" s="62" t="str">
        <f>IF(AND('领用录入（明细）'!D:D=$F$4,'领用录入（明细）'!C:C&gt;=$J$4,'领用录入（明细）'!C:C&lt;=$L$4),ROW(),"-")</f>
        <v>-</v>
      </c>
    </row>
    <row r="37687" customHeight="1" spans="2:2">
      <c r="B37687" s="62" t="str">
        <f>IF(AND('领用录入（明细）'!D:D=$F$4,'领用录入（明细）'!C:C&gt;=$J$4,'领用录入（明细）'!C:C&lt;=$L$4),ROW(),"-")</f>
        <v>-</v>
      </c>
    </row>
    <row r="37688" customHeight="1" spans="2:2">
      <c r="B37688" s="62" t="str">
        <f>IF(AND('领用录入（明细）'!D:D=$F$4,'领用录入（明细）'!C:C&gt;=$J$4,'领用录入（明细）'!C:C&lt;=$L$4),ROW(),"-")</f>
        <v>-</v>
      </c>
    </row>
    <row r="37689" customHeight="1" spans="2:2">
      <c r="B37689" s="62" t="str">
        <f>IF(AND('领用录入（明细）'!D:D=$F$4,'领用录入（明细）'!C:C&gt;=$J$4,'领用录入（明细）'!C:C&lt;=$L$4),ROW(),"-")</f>
        <v>-</v>
      </c>
    </row>
    <row r="37690" customHeight="1" spans="2:2">
      <c r="B37690" s="62" t="str">
        <f>IF(AND('领用录入（明细）'!D:D=$F$4,'领用录入（明细）'!C:C&gt;=$J$4,'领用录入（明细）'!C:C&lt;=$L$4),ROW(),"-")</f>
        <v>-</v>
      </c>
    </row>
    <row r="37691" customHeight="1" spans="2:2">
      <c r="B37691" s="62" t="str">
        <f>IF(AND('领用录入（明细）'!D:D=$F$4,'领用录入（明细）'!C:C&gt;=$J$4,'领用录入（明细）'!C:C&lt;=$L$4),ROW(),"-")</f>
        <v>-</v>
      </c>
    </row>
    <row r="37692" customHeight="1" spans="2:2">
      <c r="B37692" s="62" t="str">
        <f>IF(AND('领用录入（明细）'!D:D=$F$4,'领用录入（明细）'!C:C&gt;=$J$4,'领用录入（明细）'!C:C&lt;=$L$4),ROW(),"-")</f>
        <v>-</v>
      </c>
    </row>
    <row r="37693" customHeight="1" spans="2:2">
      <c r="B37693" s="62" t="str">
        <f>IF(AND('领用录入（明细）'!D:D=$F$4,'领用录入（明细）'!C:C&gt;=$J$4,'领用录入（明细）'!C:C&lt;=$L$4),ROW(),"-")</f>
        <v>-</v>
      </c>
    </row>
    <row r="37694" customHeight="1" spans="2:2">
      <c r="B37694" s="62" t="str">
        <f>IF(AND('领用录入（明细）'!D:D=$F$4,'领用录入（明细）'!C:C&gt;=$J$4,'领用录入（明细）'!C:C&lt;=$L$4),ROW(),"-")</f>
        <v>-</v>
      </c>
    </row>
    <row r="37695" customHeight="1" spans="2:2">
      <c r="B37695" s="62" t="str">
        <f>IF(AND('领用录入（明细）'!D:D=$F$4,'领用录入（明细）'!C:C&gt;=$J$4,'领用录入（明细）'!C:C&lt;=$L$4),ROW(),"-")</f>
        <v>-</v>
      </c>
    </row>
    <row r="37696" customHeight="1" spans="2:2">
      <c r="B37696" s="62" t="str">
        <f>IF(AND('领用录入（明细）'!D:D=$F$4,'领用录入（明细）'!C:C&gt;=$J$4,'领用录入（明细）'!C:C&lt;=$L$4),ROW(),"-")</f>
        <v>-</v>
      </c>
    </row>
    <row r="37697" customHeight="1" spans="2:2">
      <c r="B37697" s="62" t="str">
        <f>IF(AND('领用录入（明细）'!D:D=$F$4,'领用录入（明细）'!C:C&gt;=$J$4,'领用录入（明细）'!C:C&lt;=$L$4),ROW(),"-")</f>
        <v>-</v>
      </c>
    </row>
    <row r="37698" customHeight="1" spans="2:2">
      <c r="B37698" s="62" t="str">
        <f>IF(AND('领用录入（明细）'!D:D=$F$4,'领用录入（明细）'!C:C&gt;=$J$4,'领用录入（明细）'!C:C&lt;=$L$4),ROW(),"-")</f>
        <v>-</v>
      </c>
    </row>
    <row r="37699" customHeight="1" spans="2:2">
      <c r="B37699" s="62" t="str">
        <f>IF(AND('领用录入（明细）'!D:D=$F$4,'领用录入（明细）'!C:C&gt;=$J$4,'领用录入（明细）'!C:C&lt;=$L$4),ROW(),"-")</f>
        <v>-</v>
      </c>
    </row>
    <row r="37700" customHeight="1" spans="2:2">
      <c r="B37700" s="62" t="str">
        <f>IF(AND('领用录入（明细）'!D:D=$F$4,'领用录入（明细）'!C:C&gt;=$J$4,'领用录入（明细）'!C:C&lt;=$L$4),ROW(),"-")</f>
        <v>-</v>
      </c>
    </row>
    <row r="37701" customHeight="1" spans="2:2">
      <c r="B37701" s="62" t="str">
        <f>IF(AND('领用录入（明细）'!D:D=$F$4,'领用录入（明细）'!C:C&gt;=$J$4,'领用录入（明细）'!C:C&lt;=$L$4),ROW(),"-")</f>
        <v>-</v>
      </c>
    </row>
    <row r="37702" customHeight="1" spans="2:2">
      <c r="B37702" s="62" t="str">
        <f>IF(AND('领用录入（明细）'!D:D=$F$4,'领用录入（明细）'!C:C&gt;=$J$4,'领用录入（明细）'!C:C&lt;=$L$4),ROW(),"-")</f>
        <v>-</v>
      </c>
    </row>
    <row r="37703" customHeight="1" spans="2:2">
      <c r="B37703" s="62" t="str">
        <f>IF(AND('领用录入（明细）'!D:D=$F$4,'领用录入（明细）'!C:C&gt;=$J$4,'领用录入（明细）'!C:C&lt;=$L$4),ROW(),"-")</f>
        <v>-</v>
      </c>
    </row>
    <row r="37704" customHeight="1" spans="2:2">
      <c r="B37704" s="62" t="str">
        <f>IF(AND('领用录入（明细）'!D:D=$F$4,'领用录入（明细）'!C:C&gt;=$J$4,'领用录入（明细）'!C:C&lt;=$L$4),ROW(),"-")</f>
        <v>-</v>
      </c>
    </row>
    <row r="37705" customHeight="1" spans="2:2">
      <c r="B37705" s="62" t="str">
        <f>IF(AND('领用录入（明细）'!D:D=$F$4,'领用录入（明细）'!C:C&gt;=$J$4,'领用录入（明细）'!C:C&lt;=$L$4),ROW(),"-")</f>
        <v>-</v>
      </c>
    </row>
    <row r="37706" customHeight="1" spans="2:2">
      <c r="B37706" s="62" t="str">
        <f>IF(AND('领用录入（明细）'!D:D=$F$4,'领用录入（明细）'!C:C&gt;=$J$4,'领用录入（明细）'!C:C&lt;=$L$4),ROW(),"-")</f>
        <v>-</v>
      </c>
    </row>
    <row r="37707" customHeight="1" spans="2:2">
      <c r="B37707" s="62" t="str">
        <f>IF(AND('领用录入（明细）'!D:D=$F$4,'领用录入（明细）'!C:C&gt;=$J$4,'领用录入（明细）'!C:C&lt;=$L$4),ROW(),"-")</f>
        <v>-</v>
      </c>
    </row>
    <row r="37708" customHeight="1" spans="2:2">
      <c r="B37708" s="62" t="str">
        <f>IF(AND('领用录入（明细）'!D:D=$F$4,'领用录入（明细）'!C:C&gt;=$J$4,'领用录入（明细）'!C:C&lt;=$L$4),ROW(),"-")</f>
        <v>-</v>
      </c>
    </row>
    <row r="37709" customHeight="1" spans="2:2">
      <c r="B37709" s="62" t="str">
        <f>IF(AND('领用录入（明细）'!D:D=$F$4,'领用录入（明细）'!C:C&gt;=$J$4,'领用录入（明细）'!C:C&lt;=$L$4),ROW(),"-")</f>
        <v>-</v>
      </c>
    </row>
    <row r="37710" customHeight="1" spans="2:2">
      <c r="B37710" s="62" t="str">
        <f>IF(AND('领用录入（明细）'!D:D=$F$4,'领用录入（明细）'!C:C&gt;=$J$4,'领用录入（明细）'!C:C&lt;=$L$4),ROW(),"-")</f>
        <v>-</v>
      </c>
    </row>
    <row r="37711" customHeight="1" spans="2:2">
      <c r="B37711" s="62" t="str">
        <f>IF(AND('领用录入（明细）'!D:D=$F$4,'领用录入（明细）'!C:C&gt;=$J$4,'领用录入（明细）'!C:C&lt;=$L$4),ROW(),"-")</f>
        <v>-</v>
      </c>
    </row>
    <row r="37712" customHeight="1" spans="2:2">
      <c r="B37712" s="62" t="str">
        <f>IF(AND('领用录入（明细）'!D:D=$F$4,'领用录入（明细）'!C:C&gt;=$J$4,'领用录入（明细）'!C:C&lt;=$L$4),ROW(),"-")</f>
        <v>-</v>
      </c>
    </row>
    <row r="37713" customHeight="1" spans="2:2">
      <c r="B37713" s="62" t="str">
        <f>IF(AND('领用录入（明细）'!D:D=$F$4,'领用录入（明细）'!C:C&gt;=$J$4,'领用录入（明细）'!C:C&lt;=$L$4),ROW(),"-")</f>
        <v>-</v>
      </c>
    </row>
    <row r="37714" customHeight="1" spans="2:2">
      <c r="B37714" s="62" t="str">
        <f>IF(AND('领用录入（明细）'!D:D=$F$4,'领用录入（明细）'!C:C&gt;=$J$4,'领用录入（明细）'!C:C&lt;=$L$4),ROW(),"-")</f>
        <v>-</v>
      </c>
    </row>
    <row r="37715" customHeight="1" spans="2:2">
      <c r="B37715" s="62" t="str">
        <f>IF(AND('领用录入（明细）'!D:D=$F$4,'领用录入（明细）'!C:C&gt;=$J$4,'领用录入（明细）'!C:C&lt;=$L$4),ROW(),"-")</f>
        <v>-</v>
      </c>
    </row>
    <row r="37716" customHeight="1" spans="2:2">
      <c r="B37716" s="62" t="str">
        <f>IF(AND('领用录入（明细）'!D:D=$F$4,'领用录入（明细）'!C:C&gt;=$J$4,'领用录入（明细）'!C:C&lt;=$L$4),ROW(),"-")</f>
        <v>-</v>
      </c>
    </row>
    <row r="37717" customHeight="1" spans="2:2">
      <c r="B37717" s="62" t="str">
        <f>IF(AND('领用录入（明细）'!D:D=$F$4,'领用录入（明细）'!C:C&gt;=$J$4,'领用录入（明细）'!C:C&lt;=$L$4),ROW(),"-")</f>
        <v>-</v>
      </c>
    </row>
    <row r="37718" customHeight="1" spans="2:2">
      <c r="B37718" s="62" t="str">
        <f>IF(AND('领用录入（明细）'!D:D=$F$4,'领用录入（明细）'!C:C&gt;=$J$4,'领用录入（明细）'!C:C&lt;=$L$4),ROW(),"-")</f>
        <v>-</v>
      </c>
    </row>
    <row r="37719" customHeight="1" spans="2:2">
      <c r="B37719" s="62" t="str">
        <f>IF(AND('领用录入（明细）'!D:D=$F$4,'领用录入（明细）'!C:C&gt;=$J$4,'领用录入（明细）'!C:C&lt;=$L$4),ROW(),"-")</f>
        <v>-</v>
      </c>
    </row>
    <row r="37720" customHeight="1" spans="2:2">
      <c r="B37720" s="62" t="str">
        <f>IF(AND('领用录入（明细）'!D:D=$F$4,'领用录入（明细）'!C:C&gt;=$J$4,'领用录入（明细）'!C:C&lt;=$L$4),ROW(),"-")</f>
        <v>-</v>
      </c>
    </row>
    <row r="37721" customHeight="1" spans="2:2">
      <c r="B37721" s="62" t="str">
        <f>IF(AND('领用录入（明细）'!D:D=$F$4,'领用录入（明细）'!C:C&gt;=$J$4,'领用录入（明细）'!C:C&lt;=$L$4),ROW(),"-")</f>
        <v>-</v>
      </c>
    </row>
    <row r="37722" customHeight="1" spans="2:2">
      <c r="B37722" s="62" t="str">
        <f>IF(AND('领用录入（明细）'!D:D=$F$4,'领用录入（明细）'!C:C&gt;=$J$4,'领用录入（明细）'!C:C&lt;=$L$4),ROW(),"-")</f>
        <v>-</v>
      </c>
    </row>
    <row r="37723" customHeight="1" spans="2:2">
      <c r="B37723" s="62" t="str">
        <f>IF(AND('领用录入（明细）'!D:D=$F$4,'领用录入（明细）'!C:C&gt;=$J$4,'领用录入（明细）'!C:C&lt;=$L$4),ROW(),"-")</f>
        <v>-</v>
      </c>
    </row>
    <row r="37724" customHeight="1" spans="2:2">
      <c r="B37724" s="62" t="str">
        <f>IF(AND('领用录入（明细）'!D:D=$F$4,'领用录入（明细）'!C:C&gt;=$J$4,'领用录入（明细）'!C:C&lt;=$L$4),ROW(),"-")</f>
        <v>-</v>
      </c>
    </row>
    <row r="37725" customHeight="1" spans="2:2">
      <c r="B37725" s="62" t="str">
        <f>IF(AND('领用录入（明细）'!D:D=$F$4,'领用录入（明细）'!C:C&gt;=$J$4,'领用录入（明细）'!C:C&lt;=$L$4),ROW(),"-")</f>
        <v>-</v>
      </c>
    </row>
    <row r="37726" customHeight="1" spans="2:2">
      <c r="B37726" s="62" t="str">
        <f>IF(AND('领用录入（明细）'!D:D=$F$4,'领用录入（明细）'!C:C&gt;=$J$4,'领用录入（明细）'!C:C&lt;=$L$4),ROW(),"-")</f>
        <v>-</v>
      </c>
    </row>
    <row r="37727" customHeight="1" spans="2:2">
      <c r="B37727" s="62" t="str">
        <f>IF(AND('领用录入（明细）'!D:D=$F$4,'领用录入（明细）'!C:C&gt;=$J$4,'领用录入（明细）'!C:C&lt;=$L$4),ROW(),"-")</f>
        <v>-</v>
      </c>
    </row>
    <row r="37728" customHeight="1" spans="2:2">
      <c r="B37728" s="62" t="str">
        <f>IF(AND('领用录入（明细）'!D:D=$F$4,'领用录入（明细）'!C:C&gt;=$J$4,'领用录入（明细）'!C:C&lt;=$L$4),ROW(),"-")</f>
        <v>-</v>
      </c>
    </row>
    <row r="37729" customHeight="1" spans="2:2">
      <c r="B37729" s="62" t="str">
        <f>IF(AND('领用录入（明细）'!D:D=$F$4,'领用录入（明细）'!C:C&gt;=$J$4,'领用录入（明细）'!C:C&lt;=$L$4),ROW(),"-")</f>
        <v>-</v>
      </c>
    </row>
    <row r="37730" customHeight="1" spans="2:2">
      <c r="B37730" s="62" t="str">
        <f>IF(AND('领用录入（明细）'!D:D=$F$4,'领用录入（明细）'!C:C&gt;=$J$4,'领用录入（明细）'!C:C&lt;=$L$4),ROW(),"-")</f>
        <v>-</v>
      </c>
    </row>
    <row r="37731" customHeight="1" spans="2:2">
      <c r="B37731" s="62" t="str">
        <f>IF(AND('领用录入（明细）'!D:D=$F$4,'领用录入（明细）'!C:C&gt;=$J$4,'领用录入（明细）'!C:C&lt;=$L$4),ROW(),"-")</f>
        <v>-</v>
      </c>
    </row>
    <row r="37732" customHeight="1" spans="2:2">
      <c r="B37732" s="62" t="str">
        <f>IF(AND('领用录入（明细）'!D:D=$F$4,'领用录入（明细）'!C:C&gt;=$J$4,'领用录入（明细）'!C:C&lt;=$L$4),ROW(),"-")</f>
        <v>-</v>
      </c>
    </row>
    <row r="37733" customHeight="1" spans="2:2">
      <c r="B37733" s="62" t="str">
        <f>IF(AND('领用录入（明细）'!D:D=$F$4,'领用录入（明细）'!C:C&gt;=$J$4,'领用录入（明细）'!C:C&lt;=$L$4),ROW(),"-")</f>
        <v>-</v>
      </c>
    </row>
    <row r="37734" customHeight="1" spans="2:2">
      <c r="B37734" s="62" t="str">
        <f>IF(AND('领用录入（明细）'!D:D=$F$4,'领用录入（明细）'!C:C&gt;=$J$4,'领用录入（明细）'!C:C&lt;=$L$4),ROW(),"-")</f>
        <v>-</v>
      </c>
    </row>
    <row r="37735" customHeight="1" spans="2:2">
      <c r="B37735" s="62" t="str">
        <f>IF(AND('领用录入（明细）'!D:D=$F$4,'领用录入（明细）'!C:C&gt;=$J$4,'领用录入（明细）'!C:C&lt;=$L$4),ROW(),"-")</f>
        <v>-</v>
      </c>
    </row>
    <row r="37736" customHeight="1" spans="2:2">
      <c r="B37736" s="62" t="str">
        <f>IF(AND('领用录入（明细）'!D:D=$F$4,'领用录入（明细）'!C:C&gt;=$J$4,'领用录入（明细）'!C:C&lt;=$L$4),ROW(),"-")</f>
        <v>-</v>
      </c>
    </row>
    <row r="37737" customHeight="1" spans="2:2">
      <c r="B37737" s="62" t="str">
        <f>IF(AND('领用录入（明细）'!D:D=$F$4,'领用录入（明细）'!C:C&gt;=$J$4,'领用录入（明细）'!C:C&lt;=$L$4),ROW(),"-")</f>
        <v>-</v>
      </c>
    </row>
    <row r="37738" customHeight="1" spans="2:2">
      <c r="B37738" s="62" t="str">
        <f>IF(AND('领用录入（明细）'!D:D=$F$4,'领用录入（明细）'!C:C&gt;=$J$4,'领用录入（明细）'!C:C&lt;=$L$4),ROW(),"-")</f>
        <v>-</v>
      </c>
    </row>
    <row r="37739" customHeight="1" spans="2:2">
      <c r="B37739" s="62" t="str">
        <f>IF(AND('领用录入（明细）'!D:D=$F$4,'领用录入（明细）'!C:C&gt;=$J$4,'领用录入（明细）'!C:C&lt;=$L$4),ROW(),"-")</f>
        <v>-</v>
      </c>
    </row>
    <row r="37740" customHeight="1" spans="2:2">
      <c r="B37740" s="62" t="str">
        <f>IF(AND('领用录入（明细）'!D:D=$F$4,'领用录入（明细）'!C:C&gt;=$J$4,'领用录入（明细）'!C:C&lt;=$L$4),ROW(),"-")</f>
        <v>-</v>
      </c>
    </row>
    <row r="37741" customHeight="1" spans="2:2">
      <c r="B37741" s="62" t="str">
        <f>IF(AND('领用录入（明细）'!D:D=$F$4,'领用录入（明细）'!C:C&gt;=$J$4,'领用录入（明细）'!C:C&lt;=$L$4),ROW(),"-")</f>
        <v>-</v>
      </c>
    </row>
    <row r="37742" customHeight="1" spans="2:2">
      <c r="B37742" s="62" t="str">
        <f>IF(AND('领用录入（明细）'!D:D=$F$4,'领用录入（明细）'!C:C&gt;=$J$4,'领用录入（明细）'!C:C&lt;=$L$4),ROW(),"-")</f>
        <v>-</v>
      </c>
    </row>
    <row r="37743" customHeight="1" spans="2:2">
      <c r="B37743" s="62" t="str">
        <f>IF(AND('领用录入（明细）'!D:D=$F$4,'领用录入（明细）'!C:C&gt;=$J$4,'领用录入（明细）'!C:C&lt;=$L$4),ROW(),"-")</f>
        <v>-</v>
      </c>
    </row>
    <row r="37744" customHeight="1" spans="2:2">
      <c r="B37744" s="62" t="str">
        <f>IF(AND('领用录入（明细）'!D:D=$F$4,'领用录入（明细）'!C:C&gt;=$J$4,'领用录入（明细）'!C:C&lt;=$L$4),ROW(),"-")</f>
        <v>-</v>
      </c>
    </row>
    <row r="37745" customHeight="1" spans="2:2">
      <c r="B37745" s="62" t="str">
        <f>IF(AND('领用录入（明细）'!D:D=$F$4,'领用录入（明细）'!C:C&gt;=$J$4,'领用录入（明细）'!C:C&lt;=$L$4),ROW(),"-")</f>
        <v>-</v>
      </c>
    </row>
    <row r="37746" customHeight="1" spans="2:2">
      <c r="B37746" s="62" t="str">
        <f>IF(AND('领用录入（明细）'!D:D=$F$4,'领用录入（明细）'!C:C&gt;=$J$4,'领用录入（明细）'!C:C&lt;=$L$4),ROW(),"-")</f>
        <v>-</v>
      </c>
    </row>
    <row r="37747" customHeight="1" spans="2:2">
      <c r="B37747" s="62" t="str">
        <f>IF(AND('领用录入（明细）'!D:D=$F$4,'领用录入（明细）'!C:C&gt;=$J$4,'领用录入（明细）'!C:C&lt;=$L$4),ROW(),"-")</f>
        <v>-</v>
      </c>
    </row>
    <row r="37748" customHeight="1" spans="2:2">
      <c r="B37748" s="62" t="str">
        <f>IF(AND('领用录入（明细）'!D:D=$F$4,'领用录入（明细）'!C:C&gt;=$J$4,'领用录入（明细）'!C:C&lt;=$L$4),ROW(),"-")</f>
        <v>-</v>
      </c>
    </row>
    <row r="37749" customHeight="1" spans="2:2">
      <c r="B37749" s="62" t="str">
        <f>IF(AND('领用录入（明细）'!D:D=$F$4,'领用录入（明细）'!C:C&gt;=$J$4,'领用录入（明细）'!C:C&lt;=$L$4),ROW(),"-")</f>
        <v>-</v>
      </c>
    </row>
    <row r="37750" customHeight="1" spans="2:2">
      <c r="B37750" s="62" t="str">
        <f>IF(AND('领用录入（明细）'!D:D=$F$4,'领用录入（明细）'!C:C&gt;=$J$4,'领用录入（明细）'!C:C&lt;=$L$4),ROW(),"-")</f>
        <v>-</v>
      </c>
    </row>
    <row r="37751" customHeight="1" spans="2:2">
      <c r="B37751" s="62" t="str">
        <f>IF(AND('领用录入（明细）'!D:D=$F$4,'领用录入（明细）'!C:C&gt;=$J$4,'领用录入（明细）'!C:C&lt;=$L$4),ROW(),"-")</f>
        <v>-</v>
      </c>
    </row>
    <row r="37752" customHeight="1" spans="2:2">
      <c r="B37752" s="62" t="str">
        <f>IF(AND('领用录入（明细）'!D:D=$F$4,'领用录入（明细）'!C:C&gt;=$J$4,'领用录入（明细）'!C:C&lt;=$L$4),ROW(),"-")</f>
        <v>-</v>
      </c>
    </row>
    <row r="37753" customHeight="1" spans="2:2">
      <c r="B37753" s="62" t="str">
        <f>IF(AND('领用录入（明细）'!D:D=$F$4,'领用录入（明细）'!C:C&gt;=$J$4,'领用录入（明细）'!C:C&lt;=$L$4),ROW(),"-")</f>
        <v>-</v>
      </c>
    </row>
    <row r="37754" customHeight="1" spans="2:2">
      <c r="B37754" s="62" t="str">
        <f>IF(AND('领用录入（明细）'!D:D=$F$4,'领用录入（明细）'!C:C&gt;=$J$4,'领用录入（明细）'!C:C&lt;=$L$4),ROW(),"-")</f>
        <v>-</v>
      </c>
    </row>
    <row r="37755" customHeight="1" spans="2:2">
      <c r="B37755" s="62" t="str">
        <f>IF(AND('领用录入（明细）'!D:D=$F$4,'领用录入（明细）'!C:C&gt;=$J$4,'领用录入（明细）'!C:C&lt;=$L$4),ROW(),"-")</f>
        <v>-</v>
      </c>
    </row>
    <row r="37756" customHeight="1" spans="2:2">
      <c r="B37756" s="62" t="str">
        <f>IF(AND('领用录入（明细）'!D:D=$F$4,'领用录入（明细）'!C:C&gt;=$J$4,'领用录入（明细）'!C:C&lt;=$L$4),ROW(),"-")</f>
        <v>-</v>
      </c>
    </row>
    <row r="37757" customHeight="1" spans="2:2">
      <c r="B37757" s="62" t="str">
        <f>IF(AND('领用录入（明细）'!D:D=$F$4,'领用录入（明细）'!C:C&gt;=$J$4,'领用录入（明细）'!C:C&lt;=$L$4),ROW(),"-")</f>
        <v>-</v>
      </c>
    </row>
    <row r="37758" customHeight="1" spans="2:2">
      <c r="B37758" s="62" t="str">
        <f>IF(AND('领用录入（明细）'!D:D=$F$4,'领用录入（明细）'!C:C&gt;=$J$4,'领用录入（明细）'!C:C&lt;=$L$4),ROW(),"-")</f>
        <v>-</v>
      </c>
    </row>
    <row r="37759" customHeight="1" spans="2:2">
      <c r="B37759" s="62" t="str">
        <f>IF(AND('领用录入（明细）'!D:D=$F$4,'领用录入（明细）'!C:C&gt;=$J$4,'领用录入（明细）'!C:C&lt;=$L$4),ROW(),"-")</f>
        <v>-</v>
      </c>
    </row>
    <row r="37760" customHeight="1" spans="2:2">
      <c r="B37760" s="62" t="str">
        <f>IF(AND('领用录入（明细）'!D:D=$F$4,'领用录入（明细）'!C:C&gt;=$J$4,'领用录入（明细）'!C:C&lt;=$L$4),ROW(),"-")</f>
        <v>-</v>
      </c>
    </row>
    <row r="37761" customHeight="1" spans="2:2">
      <c r="B37761" s="62" t="str">
        <f>IF(AND('领用录入（明细）'!D:D=$F$4,'领用录入（明细）'!C:C&gt;=$J$4,'领用录入（明细）'!C:C&lt;=$L$4),ROW(),"-")</f>
        <v>-</v>
      </c>
    </row>
    <row r="37762" customHeight="1" spans="2:2">
      <c r="B37762" s="62" t="str">
        <f>IF(AND('领用录入（明细）'!D:D=$F$4,'领用录入（明细）'!C:C&gt;=$J$4,'领用录入（明细）'!C:C&lt;=$L$4),ROW(),"-")</f>
        <v>-</v>
      </c>
    </row>
    <row r="37763" customHeight="1" spans="2:2">
      <c r="B37763" s="62" t="str">
        <f>IF(AND('领用录入（明细）'!D:D=$F$4,'领用录入（明细）'!C:C&gt;=$J$4,'领用录入（明细）'!C:C&lt;=$L$4),ROW(),"-")</f>
        <v>-</v>
      </c>
    </row>
    <row r="37764" customHeight="1" spans="2:2">
      <c r="B37764" s="62" t="str">
        <f>IF(AND('领用录入（明细）'!D:D=$F$4,'领用录入（明细）'!C:C&gt;=$J$4,'领用录入（明细）'!C:C&lt;=$L$4),ROW(),"-")</f>
        <v>-</v>
      </c>
    </row>
    <row r="37765" customHeight="1" spans="2:2">
      <c r="B37765" s="62" t="str">
        <f>IF(AND('领用录入（明细）'!D:D=$F$4,'领用录入（明细）'!C:C&gt;=$J$4,'领用录入（明细）'!C:C&lt;=$L$4),ROW(),"-")</f>
        <v>-</v>
      </c>
    </row>
    <row r="37766" customHeight="1" spans="2:2">
      <c r="B37766" s="62" t="str">
        <f>IF(AND('领用录入（明细）'!D:D=$F$4,'领用录入（明细）'!C:C&gt;=$J$4,'领用录入（明细）'!C:C&lt;=$L$4),ROW(),"-")</f>
        <v>-</v>
      </c>
    </row>
    <row r="37767" customHeight="1" spans="2:2">
      <c r="B37767" s="62" t="str">
        <f>IF(AND('领用录入（明细）'!D:D=$F$4,'领用录入（明细）'!C:C&gt;=$J$4,'领用录入（明细）'!C:C&lt;=$L$4),ROW(),"-")</f>
        <v>-</v>
      </c>
    </row>
    <row r="37768" customHeight="1" spans="2:2">
      <c r="B37768" s="62" t="str">
        <f>IF(AND('领用录入（明细）'!D:D=$F$4,'领用录入（明细）'!C:C&gt;=$J$4,'领用录入（明细）'!C:C&lt;=$L$4),ROW(),"-")</f>
        <v>-</v>
      </c>
    </row>
    <row r="37769" customHeight="1" spans="2:2">
      <c r="B37769" s="62" t="str">
        <f>IF(AND('领用录入（明细）'!D:D=$F$4,'领用录入（明细）'!C:C&gt;=$J$4,'领用录入（明细）'!C:C&lt;=$L$4),ROW(),"-")</f>
        <v>-</v>
      </c>
    </row>
    <row r="37770" customHeight="1" spans="2:2">
      <c r="B37770" s="62" t="str">
        <f>IF(AND('领用录入（明细）'!D:D=$F$4,'领用录入（明细）'!C:C&gt;=$J$4,'领用录入（明细）'!C:C&lt;=$L$4),ROW(),"-")</f>
        <v>-</v>
      </c>
    </row>
    <row r="37771" customHeight="1" spans="2:2">
      <c r="B37771" s="62" t="str">
        <f>IF(AND('领用录入（明细）'!D:D=$F$4,'领用录入（明细）'!C:C&gt;=$J$4,'领用录入（明细）'!C:C&lt;=$L$4),ROW(),"-")</f>
        <v>-</v>
      </c>
    </row>
    <row r="37772" customHeight="1" spans="2:2">
      <c r="B37772" s="62" t="str">
        <f>IF(AND('领用录入（明细）'!D:D=$F$4,'领用录入（明细）'!C:C&gt;=$J$4,'领用录入（明细）'!C:C&lt;=$L$4),ROW(),"-")</f>
        <v>-</v>
      </c>
    </row>
    <row r="37773" customHeight="1" spans="2:2">
      <c r="B37773" s="62" t="str">
        <f>IF(AND('领用录入（明细）'!D:D=$F$4,'领用录入（明细）'!C:C&gt;=$J$4,'领用录入（明细）'!C:C&lt;=$L$4),ROW(),"-")</f>
        <v>-</v>
      </c>
    </row>
    <row r="37774" customHeight="1" spans="2:2">
      <c r="B37774" s="62" t="str">
        <f>IF(AND('领用录入（明细）'!D:D=$F$4,'领用录入（明细）'!C:C&gt;=$J$4,'领用录入（明细）'!C:C&lt;=$L$4),ROW(),"-")</f>
        <v>-</v>
      </c>
    </row>
    <row r="37775" customHeight="1" spans="2:2">
      <c r="B37775" s="62" t="str">
        <f>IF(AND('领用录入（明细）'!D:D=$F$4,'领用录入（明细）'!C:C&gt;=$J$4,'领用录入（明细）'!C:C&lt;=$L$4),ROW(),"-")</f>
        <v>-</v>
      </c>
    </row>
    <row r="37776" customHeight="1" spans="2:2">
      <c r="B37776" s="62" t="str">
        <f>IF(AND('领用录入（明细）'!D:D=$F$4,'领用录入（明细）'!C:C&gt;=$J$4,'领用录入（明细）'!C:C&lt;=$L$4),ROW(),"-")</f>
        <v>-</v>
      </c>
    </row>
    <row r="37777" customHeight="1" spans="2:2">
      <c r="B37777" s="62" t="str">
        <f>IF(AND('领用录入（明细）'!D:D=$F$4,'领用录入（明细）'!C:C&gt;=$J$4,'领用录入（明细）'!C:C&lt;=$L$4),ROW(),"-")</f>
        <v>-</v>
      </c>
    </row>
    <row r="37778" customHeight="1" spans="2:2">
      <c r="B37778" s="62" t="str">
        <f>IF(AND('领用录入（明细）'!D:D=$F$4,'领用录入（明细）'!C:C&gt;=$J$4,'领用录入（明细）'!C:C&lt;=$L$4),ROW(),"-")</f>
        <v>-</v>
      </c>
    </row>
    <row r="37779" customHeight="1" spans="2:2">
      <c r="B37779" s="62" t="str">
        <f>IF(AND('领用录入（明细）'!D:D=$F$4,'领用录入（明细）'!C:C&gt;=$J$4,'领用录入（明细）'!C:C&lt;=$L$4),ROW(),"-")</f>
        <v>-</v>
      </c>
    </row>
    <row r="37780" customHeight="1" spans="2:2">
      <c r="B37780" s="62" t="str">
        <f>IF(AND('领用录入（明细）'!D:D=$F$4,'领用录入（明细）'!C:C&gt;=$J$4,'领用录入（明细）'!C:C&lt;=$L$4),ROW(),"-")</f>
        <v>-</v>
      </c>
    </row>
    <row r="37781" customHeight="1" spans="2:2">
      <c r="B37781" s="62" t="str">
        <f>IF(AND('领用录入（明细）'!D:D=$F$4,'领用录入（明细）'!C:C&gt;=$J$4,'领用录入（明细）'!C:C&lt;=$L$4),ROW(),"-")</f>
        <v>-</v>
      </c>
    </row>
    <row r="37782" customHeight="1" spans="2:2">
      <c r="B37782" s="62" t="str">
        <f>IF(AND('领用录入（明细）'!D:D=$F$4,'领用录入（明细）'!C:C&gt;=$J$4,'领用录入（明细）'!C:C&lt;=$L$4),ROW(),"-")</f>
        <v>-</v>
      </c>
    </row>
    <row r="37783" customHeight="1" spans="2:2">
      <c r="B37783" s="62" t="str">
        <f>IF(AND('领用录入（明细）'!D:D=$F$4,'领用录入（明细）'!C:C&gt;=$J$4,'领用录入（明细）'!C:C&lt;=$L$4),ROW(),"-")</f>
        <v>-</v>
      </c>
    </row>
    <row r="37784" customHeight="1" spans="2:2">
      <c r="B37784" s="62" t="str">
        <f>IF(AND('领用录入（明细）'!D:D=$F$4,'领用录入（明细）'!C:C&gt;=$J$4,'领用录入（明细）'!C:C&lt;=$L$4),ROW(),"-")</f>
        <v>-</v>
      </c>
    </row>
    <row r="37785" customHeight="1" spans="2:2">
      <c r="B37785" s="62" t="str">
        <f>IF(AND('领用录入（明细）'!D:D=$F$4,'领用录入（明细）'!C:C&gt;=$J$4,'领用录入（明细）'!C:C&lt;=$L$4),ROW(),"-")</f>
        <v>-</v>
      </c>
    </row>
    <row r="37786" customHeight="1" spans="2:2">
      <c r="B37786" s="62" t="str">
        <f>IF(AND('领用录入（明细）'!D:D=$F$4,'领用录入（明细）'!C:C&gt;=$J$4,'领用录入（明细）'!C:C&lt;=$L$4),ROW(),"-")</f>
        <v>-</v>
      </c>
    </row>
    <row r="37787" customHeight="1" spans="2:2">
      <c r="B37787" s="62" t="str">
        <f>IF(AND('领用录入（明细）'!D:D=$F$4,'领用录入（明细）'!C:C&gt;=$J$4,'领用录入（明细）'!C:C&lt;=$L$4),ROW(),"-")</f>
        <v>-</v>
      </c>
    </row>
    <row r="37788" customHeight="1" spans="2:2">
      <c r="B37788" s="62" t="str">
        <f>IF(AND('领用录入（明细）'!D:D=$F$4,'领用录入（明细）'!C:C&gt;=$J$4,'领用录入（明细）'!C:C&lt;=$L$4),ROW(),"-")</f>
        <v>-</v>
      </c>
    </row>
    <row r="37789" customHeight="1" spans="2:2">
      <c r="B37789" s="62" t="str">
        <f>IF(AND('领用录入（明细）'!D:D=$F$4,'领用录入（明细）'!C:C&gt;=$J$4,'领用录入（明细）'!C:C&lt;=$L$4),ROW(),"-")</f>
        <v>-</v>
      </c>
    </row>
    <row r="37790" customHeight="1" spans="2:2">
      <c r="B37790" s="62" t="str">
        <f>IF(AND('领用录入（明细）'!D:D=$F$4,'领用录入（明细）'!C:C&gt;=$J$4,'领用录入（明细）'!C:C&lt;=$L$4),ROW(),"-")</f>
        <v>-</v>
      </c>
    </row>
    <row r="37791" customHeight="1" spans="2:2">
      <c r="B37791" s="62" t="str">
        <f>IF(AND('领用录入（明细）'!D:D=$F$4,'领用录入（明细）'!C:C&gt;=$J$4,'领用录入（明细）'!C:C&lt;=$L$4),ROW(),"-")</f>
        <v>-</v>
      </c>
    </row>
    <row r="37792" customHeight="1" spans="2:2">
      <c r="B37792" s="62" t="str">
        <f>IF(AND('领用录入（明细）'!D:D=$F$4,'领用录入（明细）'!C:C&gt;=$J$4,'领用录入（明细）'!C:C&lt;=$L$4),ROW(),"-")</f>
        <v>-</v>
      </c>
    </row>
    <row r="37793" customHeight="1" spans="2:2">
      <c r="B37793" s="62" t="str">
        <f>IF(AND('领用录入（明细）'!D:D=$F$4,'领用录入（明细）'!C:C&gt;=$J$4,'领用录入（明细）'!C:C&lt;=$L$4),ROW(),"-")</f>
        <v>-</v>
      </c>
    </row>
    <row r="37794" customHeight="1" spans="2:2">
      <c r="B37794" s="62" t="str">
        <f>IF(AND('领用录入（明细）'!D:D=$F$4,'领用录入（明细）'!C:C&gt;=$J$4,'领用录入（明细）'!C:C&lt;=$L$4),ROW(),"-")</f>
        <v>-</v>
      </c>
    </row>
    <row r="37795" customHeight="1" spans="2:2">
      <c r="B37795" s="62" t="str">
        <f>IF(AND('领用录入（明细）'!D:D=$F$4,'领用录入（明细）'!C:C&gt;=$J$4,'领用录入（明细）'!C:C&lt;=$L$4),ROW(),"-")</f>
        <v>-</v>
      </c>
    </row>
    <row r="37796" customHeight="1" spans="2:2">
      <c r="B37796" s="62" t="str">
        <f>IF(AND('领用录入（明细）'!D:D=$F$4,'领用录入（明细）'!C:C&gt;=$J$4,'领用录入（明细）'!C:C&lt;=$L$4),ROW(),"-")</f>
        <v>-</v>
      </c>
    </row>
    <row r="37797" customHeight="1" spans="2:2">
      <c r="B37797" s="62" t="str">
        <f>IF(AND('领用录入（明细）'!D:D=$F$4,'领用录入（明细）'!C:C&gt;=$J$4,'领用录入（明细）'!C:C&lt;=$L$4),ROW(),"-")</f>
        <v>-</v>
      </c>
    </row>
    <row r="37798" customHeight="1" spans="2:2">
      <c r="B37798" s="62" t="str">
        <f>IF(AND('领用录入（明细）'!D:D=$F$4,'领用录入（明细）'!C:C&gt;=$J$4,'领用录入（明细）'!C:C&lt;=$L$4),ROW(),"-")</f>
        <v>-</v>
      </c>
    </row>
    <row r="37799" customHeight="1" spans="2:2">
      <c r="B37799" s="62" t="str">
        <f>IF(AND('领用录入（明细）'!D:D=$F$4,'领用录入（明细）'!C:C&gt;=$J$4,'领用录入（明细）'!C:C&lt;=$L$4),ROW(),"-")</f>
        <v>-</v>
      </c>
    </row>
    <row r="37800" customHeight="1" spans="2:2">
      <c r="B37800" s="62" t="str">
        <f>IF(AND('领用录入（明细）'!D:D=$F$4,'领用录入（明细）'!C:C&gt;=$J$4,'领用录入（明细）'!C:C&lt;=$L$4),ROW(),"-")</f>
        <v>-</v>
      </c>
    </row>
    <row r="37801" customHeight="1" spans="2:2">
      <c r="B37801" s="62" t="str">
        <f>IF(AND('领用录入（明细）'!D:D=$F$4,'领用录入（明细）'!C:C&gt;=$J$4,'领用录入（明细）'!C:C&lt;=$L$4),ROW(),"-")</f>
        <v>-</v>
      </c>
    </row>
    <row r="37802" customHeight="1" spans="2:2">
      <c r="B37802" s="62" t="str">
        <f>IF(AND('领用录入（明细）'!D:D=$F$4,'领用录入（明细）'!C:C&gt;=$J$4,'领用录入（明细）'!C:C&lt;=$L$4),ROW(),"-")</f>
        <v>-</v>
      </c>
    </row>
    <row r="37803" customHeight="1" spans="2:2">
      <c r="B37803" s="62" t="str">
        <f>IF(AND('领用录入（明细）'!D:D=$F$4,'领用录入（明细）'!C:C&gt;=$J$4,'领用录入（明细）'!C:C&lt;=$L$4),ROW(),"-")</f>
        <v>-</v>
      </c>
    </row>
    <row r="37804" customHeight="1" spans="2:2">
      <c r="B37804" s="62" t="str">
        <f>IF(AND('领用录入（明细）'!D:D=$F$4,'领用录入（明细）'!C:C&gt;=$J$4,'领用录入（明细）'!C:C&lt;=$L$4),ROW(),"-")</f>
        <v>-</v>
      </c>
    </row>
    <row r="37805" customHeight="1" spans="2:2">
      <c r="B37805" s="62" t="str">
        <f>IF(AND('领用录入（明细）'!D:D=$F$4,'领用录入（明细）'!C:C&gt;=$J$4,'领用录入（明细）'!C:C&lt;=$L$4),ROW(),"-")</f>
        <v>-</v>
      </c>
    </row>
    <row r="37806" customHeight="1" spans="2:2">
      <c r="B37806" s="62" t="str">
        <f>IF(AND('领用录入（明细）'!D:D=$F$4,'领用录入（明细）'!C:C&gt;=$J$4,'领用录入（明细）'!C:C&lt;=$L$4),ROW(),"-")</f>
        <v>-</v>
      </c>
    </row>
    <row r="37807" customHeight="1" spans="2:2">
      <c r="B37807" s="62" t="str">
        <f>IF(AND('领用录入（明细）'!D:D=$F$4,'领用录入（明细）'!C:C&gt;=$J$4,'领用录入（明细）'!C:C&lt;=$L$4),ROW(),"-")</f>
        <v>-</v>
      </c>
    </row>
    <row r="37808" customHeight="1" spans="2:2">
      <c r="B37808" s="62" t="str">
        <f>IF(AND('领用录入（明细）'!D:D=$F$4,'领用录入（明细）'!C:C&gt;=$J$4,'领用录入（明细）'!C:C&lt;=$L$4),ROW(),"-")</f>
        <v>-</v>
      </c>
    </row>
    <row r="37809" customHeight="1" spans="2:2">
      <c r="B37809" s="62" t="str">
        <f>IF(AND('领用录入（明细）'!D:D=$F$4,'领用录入（明细）'!C:C&gt;=$J$4,'领用录入（明细）'!C:C&lt;=$L$4),ROW(),"-")</f>
        <v>-</v>
      </c>
    </row>
    <row r="37810" customHeight="1" spans="2:2">
      <c r="B37810" s="62" t="str">
        <f>IF(AND('领用录入（明细）'!D:D=$F$4,'领用录入（明细）'!C:C&gt;=$J$4,'领用录入（明细）'!C:C&lt;=$L$4),ROW(),"-")</f>
        <v>-</v>
      </c>
    </row>
    <row r="37811" customHeight="1" spans="2:2">
      <c r="B37811" s="62" t="str">
        <f>IF(AND('领用录入（明细）'!D:D=$F$4,'领用录入（明细）'!C:C&gt;=$J$4,'领用录入（明细）'!C:C&lt;=$L$4),ROW(),"-")</f>
        <v>-</v>
      </c>
    </row>
    <row r="37812" customHeight="1" spans="2:2">
      <c r="B37812" s="62" t="str">
        <f>IF(AND('领用录入（明细）'!D:D=$F$4,'领用录入（明细）'!C:C&gt;=$J$4,'领用录入（明细）'!C:C&lt;=$L$4),ROW(),"-")</f>
        <v>-</v>
      </c>
    </row>
    <row r="37813" customHeight="1" spans="2:2">
      <c r="B37813" s="62" t="str">
        <f>IF(AND('领用录入（明细）'!D:D=$F$4,'领用录入（明细）'!C:C&gt;=$J$4,'领用录入（明细）'!C:C&lt;=$L$4),ROW(),"-")</f>
        <v>-</v>
      </c>
    </row>
    <row r="37814" customHeight="1" spans="2:2">
      <c r="B37814" s="62" t="str">
        <f>IF(AND('领用录入（明细）'!D:D=$F$4,'领用录入（明细）'!C:C&gt;=$J$4,'领用录入（明细）'!C:C&lt;=$L$4),ROW(),"-")</f>
        <v>-</v>
      </c>
    </row>
    <row r="37815" customHeight="1" spans="2:2">
      <c r="B37815" s="62" t="str">
        <f>IF(AND('领用录入（明细）'!D:D=$F$4,'领用录入（明细）'!C:C&gt;=$J$4,'领用录入（明细）'!C:C&lt;=$L$4),ROW(),"-")</f>
        <v>-</v>
      </c>
    </row>
    <row r="37816" customHeight="1" spans="2:2">
      <c r="B37816" s="62" t="str">
        <f>IF(AND('领用录入（明细）'!D:D=$F$4,'领用录入（明细）'!C:C&gt;=$J$4,'领用录入（明细）'!C:C&lt;=$L$4),ROW(),"-")</f>
        <v>-</v>
      </c>
    </row>
    <row r="37817" customHeight="1" spans="2:2">
      <c r="B37817" s="62" t="str">
        <f>IF(AND('领用录入（明细）'!D:D=$F$4,'领用录入（明细）'!C:C&gt;=$J$4,'领用录入（明细）'!C:C&lt;=$L$4),ROW(),"-")</f>
        <v>-</v>
      </c>
    </row>
    <row r="37818" customHeight="1" spans="2:2">
      <c r="B37818" s="62" t="str">
        <f>IF(AND('领用录入（明细）'!D:D=$F$4,'领用录入（明细）'!C:C&gt;=$J$4,'领用录入（明细）'!C:C&lt;=$L$4),ROW(),"-")</f>
        <v>-</v>
      </c>
    </row>
    <row r="37819" customHeight="1" spans="2:2">
      <c r="B37819" s="62" t="str">
        <f>IF(AND('领用录入（明细）'!D:D=$F$4,'领用录入（明细）'!C:C&gt;=$J$4,'领用录入（明细）'!C:C&lt;=$L$4),ROW(),"-")</f>
        <v>-</v>
      </c>
    </row>
    <row r="37820" customHeight="1" spans="2:2">
      <c r="B37820" s="62" t="str">
        <f>IF(AND('领用录入（明细）'!D:D=$F$4,'领用录入（明细）'!C:C&gt;=$J$4,'领用录入（明细）'!C:C&lt;=$L$4),ROW(),"-")</f>
        <v>-</v>
      </c>
    </row>
    <row r="37821" customHeight="1" spans="2:2">
      <c r="B37821" s="62" t="str">
        <f>IF(AND('领用录入（明细）'!D:D=$F$4,'领用录入（明细）'!C:C&gt;=$J$4,'领用录入（明细）'!C:C&lt;=$L$4),ROW(),"-")</f>
        <v>-</v>
      </c>
    </row>
    <row r="37822" customHeight="1" spans="2:2">
      <c r="B37822" s="62" t="str">
        <f>IF(AND('领用录入（明细）'!D:D=$F$4,'领用录入（明细）'!C:C&gt;=$J$4,'领用录入（明细）'!C:C&lt;=$L$4),ROW(),"-")</f>
        <v>-</v>
      </c>
    </row>
    <row r="37823" customHeight="1" spans="2:2">
      <c r="B37823" s="62" t="str">
        <f>IF(AND('领用录入（明细）'!D:D=$F$4,'领用录入（明细）'!C:C&gt;=$J$4,'领用录入（明细）'!C:C&lt;=$L$4),ROW(),"-")</f>
        <v>-</v>
      </c>
    </row>
    <row r="37824" customHeight="1" spans="2:2">
      <c r="B37824" s="62" t="str">
        <f>IF(AND('领用录入（明细）'!D:D=$F$4,'领用录入（明细）'!C:C&gt;=$J$4,'领用录入（明细）'!C:C&lt;=$L$4),ROW(),"-")</f>
        <v>-</v>
      </c>
    </row>
    <row r="37825" customHeight="1" spans="2:2">
      <c r="B37825" s="62" t="str">
        <f>IF(AND('领用录入（明细）'!D:D=$F$4,'领用录入（明细）'!C:C&gt;=$J$4,'领用录入（明细）'!C:C&lt;=$L$4),ROW(),"-")</f>
        <v>-</v>
      </c>
    </row>
    <row r="37826" customHeight="1" spans="2:2">
      <c r="B37826" s="62" t="str">
        <f>IF(AND('领用录入（明细）'!D:D=$F$4,'领用录入（明细）'!C:C&gt;=$J$4,'领用录入（明细）'!C:C&lt;=$L$4),ROW(),"-")</f>
        <v>-</v>
      </c>
    </row>
    <row r="37827" customHeight="1" spans="2:2">
      <c r="B37827" s="62" t="str">
        <f>IF(AND('领用录入（明细）'!D:D=$F$4,'领用录入（明细）'!C:C&gt;=$J$4,'领用录入（明细）'!C:C&lt;=$L$4),ROW(),"-")</f>
        <v>-</v>
      </c>
    </row>
    <row r="37828" customHeight="1" spans="2:2">
      <c r="B37828" s="62" t="str">
        <f>IF(AND('领用录入（明细）'!D:D=$F$4,'领用录入（明细）'!C:C&gt;=$J$4,'领用录入（明细）'!C:C&lt;=$L$4),ROW(),"-")</f>
        <v>-</v>
      </c>
    </row>
    <row r="37829" customHeight="1" spans="2:2">
      <c r="B37829" s="62" t="str">
        <f>IF(AND('领用录入（明细）'!D:D=$F$4,'领用录入（明细）'!C:C&gt;=$J$4,'领用录入（明细）'!C:C&lt;=$L$4),ROW(),"-")</f>
        <v>-</v>
      </c>
    </row>
    <row r="37830" customHeight="1" spans="2:2">
      <c r="B37830" s="62" t="str">
        <f>IF(AND('领用录入（明细）'!D:D=$F$4,'领用录入（明细）'!C:C&gt;=$J$4,'领用录入（明细）'!C:C&lt;=$L$4),ROW(),"-")</f>
        <v>-</v>
      </c>
    </row>
    <row r="37831" customHeight="1" spans="2:2">
      <c r="B37831" s="62" t="str">
        <f>IF(AND('领用录入（明细）'!D:D=$F$4,'领用录入（明细）'!C:C&gt;=$J$4,'领用录入（明细）'!C:C&lt;=$L$4),ROW(),"-")</f>
        <v>-</v>
      </c>
    </row>
    <row r="37832" customHeight="1" spans="2:2">
      <c r="B37832" s="62" t="str">
        <f>IF(AND('领用录入（明细）'!D:D=$F$4,'领用录入（明细）'!C:C&gt;=$J$4,'领用录入（明细）'!C:C&lt;=$L$4),ROW(),"-")</f>
        <v>-</v>
      </c>
    </row>
    <row r="37833" customHeight="1" spans="2:2">
      <c r="B37833" s="62" t="str">
        <f>IF(AND('领用录入（明细）'!D:D=$F$4,'领用录入（明细）'!C:C&gt;=$J$4,'领用录入（明细）'!C:C&lt;=$L$4),ROW(),"-")</f>
        <v>-</v>
      </c>
    </row>
    <row r="37834" customHeight="1" spans="2:2">
      <c r="B37834" s="62" t="str">
        <f>IF(AND('领用录入（明细）'!D:D=$F$4,'领用录入（明细）'!C:C&gt;=$J$4,'领用录入（明细）'!C:C&lt;=$L$4),ROW(),"-")</f>
        <v>-</v>
      </c>
    </row>
    <row r="37835" customHeight="1" spans="2:2">
      <c r="B37835" s="62" t="str">
        <f>IF(AND('领用录入（明细）'!D:D=$F$4,'领用录入（明细）'!C:C&gt;=$J$4,'领用录入（明细）'!C:C&lt;=$L$4),ROW(),"-")</f>
        <v>-</v>
      </c>
    </row>
    <row r="37836" customHeight="1" spans="2:2">
      <c r="B37836" s="62" t="str">
        <f>IF(AND('领用录入（明细）'!D:D=$F$4,'领用录入（明细）'!C:C&gt;=$J$4,'领用录入（明细）'!C:C&lt;=$L$4),ROW(),"-")</f>
        <v>-</v>
      </c>
    </row>
    <row r="37837" customHeight="1" spans="2:2">
      <c r="B37837" s="62" t="str">
        <f>IF(AND('领用录入（明细）'!D:D=$F$4,'领用录入（明细）'!C:C&gt;=$J$4,'领用录入（明细）'!C:C&lt;=$L$4),ROW(),"-")</f>
        <v>-</v>
      </c>
    </row>
    <row r="37838" customHeight="1" spans="2:2">
      <c r="B37838" s="62" t="str">
        <f>IF(AND('领用录入（明细）'!D:D=$F$4,'领用录入（明细）'!C:C&gt;=$J$4,'领用录入（明细）'!C:C&lt;=$L$4),ROW(),"-")</f>
        <v>-</v>
      </c>
    </row>
    <row r="37839" customHeight="1" spans="2:2">
      <c r="B37839" s="62" t="str">
        <f>IF(AND('领用录入（明细）'!D:D=$F$4,'领用录入（明细）'!C:C&gt;=$J$4,'领用录入（明细）'!C:C&lt;=$L$4),ROW(),"-")</f>
        <v>-</v>
      </c>
    </row>
    <row r="37840" customHeight="1" spans="2:2">
      <c r="B37840" s="62" t="str">
        <f>IF(AND('领用录入（明细）'!D:D=$F$4,'领用录入（明细）'!C:C&gt;=$J$4,'领用录入（明细）'!C:C&lt;=$L$4),ROW(),"-")</f>
        <v>-</v>
      </c>
    </row>
    <row r="37841" customHeight="1" spans="2:2">
      <c r="B37841" s="62" t="str">
        <f>IF(AND('领用录入（明细）'!D:D=$F$4,'领用录入（明细）'!C:C&gt;=$J$4,'领用录入（明细）'!C:C&lt;=$L$4),ROW(),"-")</f>
        <v>-</v>
      </c>
    </row>
    <row r="37842" customHeight="1" spans="2:2">
      <c r="B37842" s="62" t="str">
        <f>IF(AND('领用录入（明细）'!D:D=$F$4,'领用录入（明细）'!C:C&gt;=$J$4,'领用录入（明细）'!C:C&lt;=$L$4),ROW(),"-")</f>
        <v>-</v>
      </c>
    </row>
    <row r="37843" customHeight="1" spans="2:2">
      <c r="B37843" s="62" t="str">
        <f>IF(AND('领用录入（明细）'!D:D=$F$4,'领用录入（明细）'!C:C&gt;=$J$4,'领用录入（明细）'!C:C&lt;=$L$4),ROW(),"-")</f>
        <v>-</v>
      </c>
    </row>
    <row r="37844" customHeight="1" spans="2:2">
      <c r="B37844" s="62" t="str">
        <f>IF(AND('领用录入（明细）'!D:D=$F$4,'领用录入（明细）'!C:C&gt;=$J$4,'领用录入（明细）'!C:C&lt;=$L$4),ROW(),"-")</f>
        <v>-</v>
      </c>
    </row>
    <row r="37845" customHeight="1" spans="2:2">
      <c r="B37845" s="62" t="str">
        <f>IF(AND('领用录入（明细）'!D:D=$F$4,'领用录入（明细）'!C:C&gt;=$J$4,'领用录入（明细）'!C:C&lt;=$L$4),ROW(),"-")</f>
        <v>-</v>
      </c>
    </row>
    <row r="37846" customHeight="1" spans="2:2">
      <c r="B37846" s="62" t="str">
        <f>IF(AND('领用录入（明细）'!D:D=$F$4,'领用录入（明细）'!C:C&gt;=$J$4,'领用录入（明细）'!C:C&lt;=$L$4),ROW(),"-")</f>
        <v>-</v>
      </c>
    </row>
    <row r="37847" customHeight="1" spans="2:2">
      <c r="B37847" s="62" t="str">
        <f>IF(AND('领用录入（明细）'!D:D=$F$4,'领用录入（明细）'!C:C&gt;=$J$4,'领用录入（明细）'!C:C&lt;=$L$4),ROW(),"-")</f>
        <v>-</v>
      </c>
    </row>
    <row r="37848" customHeight="1" spans="2:2">
      <c r="B37848" s="62" t="str">
        <f>IF(AND('领用录入（明细）'!D:D=$F$4,'领用录入（明细）'!C:C&gt;=$J$4,'领用录入（明细）'!C:C&lt;=$L$4),ROW(),"-")</f>
        <v>-</v>
      </c>
    </row>
    <row r="37849" customHeight="1" spans="2:2">
      <c r="B37849" s="62" t="str">
        <f>IF(AND('领用录入（明细）'!D:D=$F$4,'领用录入（明细）'!C:C&gt;=$J$4,'领用录入（明细）'!C:C&lt;=$L$4),ROW(),"-")</f>
        <v>-</v>
      </c>
    </row>
    <row r="37850" customHeight="1" spans="2:2">
      <c r="B37850" s="62" t="str">
        <f>IF(AND('领用录入（明细）'!D:D=$F$4,'领用录入（明细）'!C:C&gt;=$J$4,'领用录入（明细）'!C:C&lt;=$L$4),ROW(),"-")</f>
        <v>-</v>
      </c>
    </row>
    <row r="37851" customHeight="1" spans="2:2">
      <c r="B37851" s="62" t="str">
        <f>IF(AND('领用录入（明细）'!D:D=$F$4,'领用录入（明细）'!C:C&gt;=$J$4,'领用录入（明细）'!C:C&lt;=$L$4),ROW(),"-")</f>
        <v>-</v>
      </c>
    </row>
    <row r="37852" customHeight="1" spans="2:2">
      <c r="B37852" s="62" t="str">
        <f>IF(AND('领用录入（明细）'!D:D=$F$4,'领用录入（明细）'!C:C&gt;=$J$4,'领用录入（明细）'!C:C&lt;=$L$4),ROW(),"-")</f>
        <v>-</v>
      </c>
    </row>
    <row r="37853" customHeight="1" spans="2:2">
      <c r="B37853" s="62" t="str">
        <f>IF(AND('领用录入（明细）'!D:D=$F$4,'领用录入（明细）'!C:C&gt;=$J$4,'领用录入（明细）'!C:C&lt;=$L$4),ROW(),"-")</f>
        <v>-</v>
      </c>
    </row>
    <row r="37854" customHeight="1" spans="2:2">
      <c r="B37854" s="62" t="str">
        <f>IF(AND('领用录入（明细）'!D:D=$F$4,'领用录入（明细）'!C:C&gt;=$J$4,'领用录入（明细）'!C:C&lt;=$L$4),ROW(),"-")</f>
        <v>-</v>
      </c>
    </row>
    <row r="37855" customHeight="1" spans="2:2">
      <c r="B37855" s="62" t="str">
        <f>IF(AND('领用录入（明细）'!D:D=$F$4,'领用录入（明细）'!C:C&gt;=$J$4,'领用录入（明细）'!C:C&lt;=$L$4),ROW(),"-")</f>
        <v>-</v>
      </c>
    </row>
    <row r="37856" customHeight="1" spans="2:2">
      <c r="B37856" s="62" t="str">
        <f>IF(AND('领用录入（明细）'!D:D=$F$4,'领用录入（明细）'!C:C&gt;=$J$4,'领用录入（明细）'!C:C&lt;=$L$4),ROW(),"-")</f>
        <v>-</v>
      </c>
    </row>
    <row r="37857" customHeight="1" spans="2:2">
      <c r="B37857" s="62" t="str">
        <f>IF(AND('领用录入（明细）'!D:D=$F$4,'领用录入（明细）'!C:C&gt;=$J$4,'领用录入（明细）'!C:C&lt;=$L$4),ROW(),"-")</f>
        <v>-</v>
      </c>
    </row>
    <row r="37858" customHeight="1" spans="2:2">
      <c r="B37858" s="62" t="str">
        <f>IF(AND('领用录入（明细）'!D:D=$F$4,'领用录入（明细）'!C:C&gt;=$J$4,'领用录入（明细）'!C:C&lt;=$L$4),ROW(),"-")</f>
        <v>-</v>
      </c>
    </row>
    <row r="37859" customHeight="1" spans="2:2">
      <c r="B37859" s="62" t="str">
        <f>IF(AND('领用录入（明细）'!D:D=$F$4,'领用录入（明细）'!C:C&gt;=$J$4,'领用录入（明细）'!C:C&lt;=$L$4),ROW(),"-")</f>
        <v>-</v>
      </c>
    </row>
    <row r="37860" customHeight="1" spans="2:2">
      <c r="B37860" s="62" t="str">
        <f>IF(AND('领用录入（明细）'!D:D=$F$4,'领用录入（明细）'!C:C&gt;=$J$4,'领用录入（明细）'!C:C&lt;=$L$4),ROW(),"-")</f>
        <v>-</v>
      </c>
    </row>
    <row r="37861" customHeight="1" spans="2:2">
      <c r="B37861" s="62" t="str">
        <f>IF(AND('领用录入（明细）'!D:D=$F$4,'领用录入（明细）'!C:C&gt;=$J$4,'领用录入（明细）'!C:C&lt;=$L$4),ROW(),"-")</f>
        <v>-</v>
      </c>
    </row>
    <row r="37862" customHeight="1" spans="2:2">
      <c r="B37862" s="62" t="str">
        <f>IF(AND('领用录入（明细）'!D:D=$F$4,'领用录入（明细）'!C:C&gt;=$J$4,'领用录入（明细）'!C:C&lt;=$L$4),ROW(),"-")</f>
        <v>-</v>
      </c>
    </row>
    <row r="37863" customHeight="1" spans="2:2">
      <c r="B37863" s="62" t="str">
        <f>IF(AND('领用录入（明细）'!D:D=$F$4,'领用录入（明细）'!C:C&gt;=$J$4,'领用录入（明细）'!C:C&lt;=$L$4),ROW(),"-")</f>
        <v>-</v>
      </c>
    </row>
    <row r="37864" customHeight="1" spans="2:2">
      <c r="B37864" s="62" t="str">
        <f>IF(AND('领用录入（明细）'!D:D=$F$4,'领用录入（明细）'!C:C&gt;=$J$4,'领用录入（明细）'!C:C&lt;=$L$4),ROW(),"-")</f>
        <v>-</v>
      </c>
    </row>
    <row r="37865" customHeight="1" spans="2:2">
      <c r="B37865" s="62" t="str">
        <f>IF(AND('领用录入（明细）'!D:D=$F$4,'领用录入（明细）'!C:C&gt;=$J$4,'领用录入（明细）'!C:C&lt;=$L$4),ROW(),"-")</f>
        <v>-</v>
      </c>
    </row>
    <row r="37866" customHeight="1" spans="2:2">
      <c r="B37866" s="62" t="str">
        <f>IF(AND('领用录入（明细）'!D:D=$F$4,'领用录入（明细）'!C:C&gt;=$J$4,'领用录入（明细）'!C:C&lt;=$L$4),ROW(),"-")</f>
        <v>-</v>
      </c>
    </row>
    <row r="37867" customHeight="1" spans="2:2">
      <c r="B37867" s="62" t="str">
        <f>IF(AND('领用录入（明细）'!D:D=$F$4,'领用录入（明细）'!C:C&gt;=$J$4,'领用录入（明细）'!C:C&lt;=$L$4),ROW(),"-")</f>
        <v>-</v>
      </c>
    </row>
    <row r="37868" customHeight="1" spans="2:2">
      <c r="B37868" s="62" t="str">
        <f>IF(AND('领用录入（明细）'!D:D=$F$4,'领用录入（明细）'!C:C&gt;=$J$4,'领用录入（明细）'!C:C&lt;=$L$4),ROW(),"-")</f>
        <v>-</v>
      </c>
    </row>
    <row r="37869" customHeight="1" spans="2:2">
      <c r="B37869" s="62" t="str">
        <f>IF(AND('领用录入（明细）'!D:D=$F$4,'领用录入（明细）'!C:C&gt;=$J$4,'领用录入（明细）'!C:C&lt;=$L$4),ROW(),"-")</f>
        <v>-</v>
      </c>
    </row>
    <row r="37870" customHeight="1" spans="2:2">
      <c r="B37870" s="62" t="str">
        <f>IF(AND('领用录入（明细）'!D:D=$F$4,'领用录入（明细）'!C:C&gt;=$J$4,'领用录入（明细）'!C:C&lt;=$L$4),ROW(),"-")</f>
        <v>-</v>
      </c>
    </row>
    <row r="37871" customHeight="1" spans="2:2">
      <c r="B37871" s="62" t="str">
        <f>IF(AND('领用录入（明细）'!D:D=$F$4,'领用录入（明细）'!C:C&gt;=$J$4,'领用录入（明细）'!C:C&lt;=$L$4),ROW(),"-")</f>
        <v>-</v>
      </c>
    </row>
    <row r="37872" customHeight="1" spans="2:2">
      <c r="B37872" s="62" t="str">
        <f>IF(AND('领用录入（明细）'!D:D=$F$4,'领用录入（明细）'!C:C&gt;=$J$4,'领用录入（明细）'!C:C&lt;=$L$4),ROW(),"-")</f>
        <v>-</v>
      </c>
    </row>
    <row r="37873" customHeight="1" spans="2:2">
      <c r="B37873" s="62" t="str">
        <f>IF(AND('领用录入（明细）'!D:D=$F$4,'领用录入（明细）'!C:C&gt;=$J$4,'领用录入（明细）'!C:C&lt;=$L$4),ROW(),"-")</f>
        <v>-</v>
      </c>
    </row>
    <row r="37874" customHeight="1" spans="2:2">
      <c r="B37874" s="62" t="str">
        <f>IF(AND('领用录入（明细）'!D:D=$F$4,'领用录入（明细）'!C:C&gt;=$J$4,'领用录入（明细）'!C:C&lt;=$L$4),ROW(),"-")</f>
        <v>-</v>
      </c>
    </row>
    <row r="37875" customHeight="1" spans="2:2">
      <c r="B37875" s="62" t="str">
        <f>IF(AND('领用录入（明细）'!D:D=$F$4,'领用录入（明细）'!C:C&gt;=$J$4,'领用录入（明细）'!C:C&lt;=$L$4),ROW(),"-")</f>
        <v>-</v>
      </c>
    </row>
    <row r="37876" customHeight="1" spans="2:2">
      <c r="B37876" s="62" t="str">
        <f>IF(AND('领用录入（明细）'!D:D=$F$4,'领用录入（明细）'!C:C&gt;=$J$4,'领用录入（明细）'!C:C&lt;=$L$4),ROW(),"-")</f>
        <v>-</v>
      </c>
    </row>
    <row r="37877" customHeight="1" spans="2:2">
      <c r="B37877" s="62" t="str">
        <f>IF(AND('领用录入（明细）'!D:D=$F$4,'领用录入（明细）'!C:C&gt;=$J$4,'领用录入（明细）'!C:C&lt;=$L$4),ROW(),"-")</f>
        <v>-</v>
      </c>
    </row>
    <row r="37878" customHeight="1" spans="2:2">
      <c r="B37878" s="62" t="str">
        <f>IF(AND('领用录入（明细）'!D:D=$F$4,'领用录入（明细）'!C:C&gt;=$J$4,'领用录入（明细）'!C:C&lt;=$L$4),ROW(),"-")</f>
        <v>-</v>
      </c>
    </row>
    <row r="37879" customHeight="1" spans="2:2">
      <c r="B37879" s="62" t="str">
        <f>IF(AND('领用录入（明细）'!D:D=$F$4,'领用录入（明细）'!C:C&gt;=$J$4,'领用录入（明细）'!C:C&lt;=$L$4),ROW(),"-")</f>
        <v>-</v>
      </c>
    </row>
    <row r="37880" customHeight="1" spans="2:2">
      <c r="B37880" s="62" t="str">
        <f>IF(AND('领用录入（明细）'!D:D=$F$4,'领用录入（明细）'!C:C&gt;=$J$4,'领用录入（明细）'!C:C&lt;=$L$4),ROW(),"-")</f>
        <v>-</v>
      </c>
    </row>
    <row r="37881" customHeight="1" spans="2:2">
      <c r="B37881" s="62" t="str">
        <f>IF(AND('领用录入（明细）'!D:D=$F$4,'领用录入（明细）'!C:C&gt;=$J$4,'领用录入（明细）'!C:C&lt;=$L$4),ROW(),"-")</f>
        <v>-</v>
      </c>
    </row>
    <row r="37882" customHeight="1" spans="2:2">
      <c r="B37882" s="62" t="str">
        <f>IF(AND('领用录入（明细）'!D:D=$F$4,'领用录入（明细）'!C:C&gt;=$J$4,'领用录入（明细）'!C:C&lt;=$L$4),ROW(),"-")</f>
        <v>-</v>
      </c>
    </row>
    <row r="37883" customHeight="1" spans="2:2">
      <c r="B37883" s="62" t="str">
        <f>IF(AND('领用录入（明细）'!D:D=$F$4,'领用录入（明细）'!C:C&gt;=$J$4,'领用录入（明细）'!C:C&lt;=$L$4),ROW(),"-")</f>
        <v>-</v>
      </c>
    </row>
    <row r="37884" customHeight="1" spans="2:2">
      <c r="B37884" s="62" t="str">
        <f>IF(AND('领用录入（明细）'!D:D=$F$4,'领用录入（明细）'!C:C&gt;=$J$4,'领用录入（明细）'!C:C&lt;=$L$4),ROW(),"-")</f>
        <v>-</v>
      </c>
    </row>
    <row r="37885" customHeight="1" spans="2:2">
      <c r="B37885" s="62" t="str">
        <f>IF(AND('领用录入（明细）'!D:D=$F$4,'领用录入（明细）'!C:C&gt;=$J$4,'领用录入（明细）'!C:C&lt;=$L$4),ROW(),"-")</f>
        <v>-</v>
      </c>
    </row>
    <row r="37886" customHeight="1" spans="2:2">
      <c r="B37886" s="62" t="str">
        <f>IF(AND('领用录入（明细）'!D:D=$F$4,'领用录入（明细）'!C:C&gt;=$J$4,'领用录入（明细）'!C:C&lt;=$L$4),ROW(),"-")</f>
        <v>-</v>
      </c>
    </row>
    <row r="37887" customHeight="1" spans="2:2">
      <c r="B37887" s="62" t="str">
        <f>IF(AND('领用录入（明细）'!D:D=$F$4,'领用录入（明细）'!C:C&gt;=$J$4,'领用录入（明细）'!C:C&lt;=$L$4),ROW(),"-")</f>
        <v>-</v>
      </c>
    </row>
    <row r="37888" customHeight="1" spans="2:2">
      <c r="B37888" s="62" t="str">
        <f>IF(AND('领用录入（明细）'!D:D=$F$4,'领用录入（明细）'!C:C&gt;=$J$4,'领用录入（明细）'!C:C&lt;=$L$4),ROW(),"-")</f>
        <v>-</v>
      </c>
    </row>
    <row r="37889" customHeight="1" spans="2:2">
      <c r="B37889" s="62" t="str">
        <f>IF(AND('领用录入（明细）'!D:D=$F$4,'领用录入（明细）'!C:C&gt;=$J$4,'领用录入（明细）'!C:C&lt;=$L$4),ROW(),"-")</f>
        <v>-</v>
      </c>
    </row>
    <row r="37890" customHeight="1" spans="2:2">
      <c r="B37890" s="62" t="str">
        <f>IF(AND('领用录入（明细）'!D:D=$F$4,'领用录入（明细）'!C:C&gt;=$J$4,'领用录入（明细）'!C:C&lt;=$L$4),ROW(),"-")</f>
        <v>-</v>
      </c>
    </row>
    <row r="37891" customHeight="1" spans="2:2">
      <c r="B37891" s="62" t="str">
        <f>IF(AND('领用录入（明细）'!D:D=$F$4,'领用录入（明细）'!C:C&gt;=$J$4,'领用录入（明细）'!C:C&lt;=$L$4),ROW(),"-")</f>
        <v>-</v>
      </c>
    </row>
    <row r="37892" customHeight="1" spans="2:2">
      <c r="B37892" s="62" t="str">
        <f>IF(AND('领用录入（明细）'!D:D=$F$4,'领用录入（明细）'!C:C&gt;=$J$4,'领用录入（明细）'!C:C&lt;=$L$4),ROW(),"-")</f>
        <v>-</v>
      </c>
    </row>
    <row r="37893" customHeight="1" spans="2:2">
      <c r="B37893" s="62" t="str">
        <f>IF(AND('领用录入（明细）'!D:D=$F$4,'领用录入（明细）'!C:C&gt;=$J$4,'领用录入（明细）'!C:C&lt;=$L$4),ROW(),"-")</f>
        <v>-</v>
      </c>
    </row>
    <row r="37894" customHeight="1" spans="2:2">
      <c r="B37894" s="62" t="str">
        <f>IF(AND('领用录入（明细）'!D:D=$F$4,'领用录入（明细）'!C:C&gt;=$J$4,'领用录入（明细）'!C:C&lt;=$L$4),ROW(),"-")</f>
        <v>-</v>
      </c>
    </row>
    <row r="37895" customHeight="1" spans="2:2">
      <c r="B37895" s="62" t="str">
        <f>IF(AND('领用录入（明细）'!D:D=$F$4,'领用录入（明细）'!C:C&gt;=$J$4,'领用录入（明细）'!C:C&lt;=$L$4),ROW(),"-")</f>
        <v>-</v>
      </c>
    </row>
    <row r="37896" customHeight="1" spans="2:2">
      <c r="B37896" s="62" t="str">
        <f>IF(AND('领用录入（明细）'!D:D=$F$4,'领用录入（明细）'!C:C&gt;=$J$4,'领用录入（明细）'!C:C&lt;=$L$4),ROW(),"-")</f>
        <v>-</v>
      </c>
    </row>
    <row r="37897" customHeight="1" spans="2:2">
      <c r="B37897" s="62" t="str">
        <f>IF(AND('领用录入（明细）'!D:D=$F$4,'领用录入（明细）'!C:C&gt;=$J$4,'领用录入（明细）'!C:C&lt;=$L$4),ROW(),"-")</f>
        <v>-</v>
      </c>
    </row>
    <row r="37898" customHeight="1" spans="2:2">
      <c r="B37898" s="62" t="str">
        <f>IF(AND('领用录入（明细）'!D:D=$F$4,'领用录入（明细）'!C:C&gt;=$J$4,'领用录入（明细）'!C:C&lt;=$L$4),ROW(),"-")</f>
        <v>-</v>
      </c>
    </row>
    <row r="37899" customHeight="1" spans="2:2">
      <c r="B37899" s="62" t="str">
        <f>IF(AND('领用录入（明细）'!D:D=$F$4,'领用录入（明细）'!C:C&gt;=$J$4,'领用录入（明细）'!C:C&lt;=$L$4),ROW(),"-")</f>
        <v>-</v>
      </c>
    </row>
    <row r="37900" customHeight="1" spans="2:2">
      <c r="B37900" s="62" t="str">
        <f>IF(AND('领用录入（明细）'!D:D=$F$4,'领用录入（明细）'!C:C&gt;=$J$4,'领用录入（明细）'!C:C&lt;=$L$4),ROW(),"-")</f>
        <v>-</v>
      </c>
    </row>
    <row r="37901" customHeight="1" spans="2:2">
      <c r="B37901" s="62" t="str">
        <f>IF(AND('领用录入（明细）'!D:D=$F$4,'领用录入（明细）'!C:C&gt;=$J$4,'领用录入（明细）'!C:C&lt;=$L$4),ROW(),"-")</f>
        <v>-</v>
      </c>
    </row>
    <row r="37902" customHeight="1" spans="2:2">
      <c r="B37902" s="62" t="str">
        <f>IF(AND('领用录入（明细）'!D:D=$F$4,'领用录入（明细）'!C:C&gt;=$J$4,'领用录入（明细）'!C:C&lt;=$L$4),ROW(),"-")</f>
        <v>-</v>
      </c>
    </row>
    <row r="37903" customHeight="1" spans="2:2">
      <c r="B37903" s="62" t="str">
        <f>IF(AND('领用录入（明细）'!D:D=$F$4,'领用录入（明细）'!C:C&gt;=$J$4,'领用录入（明细）'!C:C&lt;=$L$4),ROW(),"-")</f>
        <v>-</v>
      </c>
    </row>
    <row r="37904" customHeight="1" spans="2:2">
      <c r="B37904" s="62" t="str">
        <f>IF(AND('领用录入（明细）'!D:D=$F$4,'领用录入（明细）'!C:C&gt;=$J$4,'领用录入（明细）'!C:C&lt;=$L$4),ROW(),"-")</f>
        <v>-</v>
      </c>
    </row>
    <row r="37905" customHeight="1" spans="2:2">
      <c r="B37905" s="62" t="str">
        <f>IF(AND('领用录入（明细）'!D:D=$F$4,'领用录入（明细）'!C:C&gt;=$J$4,'领用录入（明细）'!C:C&lt;=$L$4),ROW(),"-")</f>
        <v>-</v>
      </c>
    </row>
    <row r="37906" customHeight="1" spans="2:2">
      <c r="B37906" s="62" t="str">
        <f>IF(AND('领用录入（明细）'!D:D=$F$4,'领用录入（明细）'!C:C&gt;=$J$4,'领用录入（明细）'!C:C&lt;=$L$4),ROW(),"-")</f>
        <v>-</v>
      </c>
    </row>
    <row r="37907" customHeight="1" spans="2:2">
      <c r="B37907" s="62" t="str">
        <f>IF(AND('领用录入（明细）'!D:D=$F$4,'领用录入（明细）'!C:C&gt;=$J$4,'领用录入（明细）'!C:C&lt;=$L$4),ROW(),"-")</f>
        <v>-</v>
      </c>
    </row>
    <row r="37908" customHeight="1" spans="2:2">
      <c r="B37908" s="62" t="str">
        <f>IF(AND('领用录入（明细）'!D:D=$F$4,'领用录入（明细）'!C:C&gt;=$J$4,'领用录入（明细）'!C:C&lt;=$L$4),ROW(),"-")</f>
        <v>-</v>
      </c>
    </row>
    <row r="37909" customHeight="1" spans="2:2">
      <c r="B37909" s="62" t="str">
        <f>IF(AND('领用录入（明细）'!D:D=$F$4,'领用录入（明细）'!C:C&gt;=$J$4,'领用录入（明细）'!C:C&lt;=$L$4),ROW(),"-")</f>
        <v>-</v>
      </c>
    </row>
    <row r="37910" customHeight="1" spans="2:2">
      <c r="B37910" s="62" t="str">
        <f>IF(AND('领用录入（明细）'!D:D=$F$4,'领用录入（明细）'!C:C&gt;=$J$4,'领用录入（明细）'!C:C&lt;=$L$4),ROW(),"-")</f>
        <v>-</v>
      </c>
    </row>
    <row r="37911" customHeight="1" spans="2:2">
      <c r="B37911" s="62" t="str">
        <f>IF(AND('领用录入（明细）'!D:D=$F$4,'领用录入（明细）'!C:C&gt;=$J$4,'领用录入（明细）'!C:C&lt;=$L$4),ROW(),"-")</f>
        <v>-</v>
      </c>
    </row>
    <row r="37912" customHeight="1" spans="2:2">
      <c r="B37912" s="62" t="str">
        <f>IF(AND('领用录入（明细）'!D:D=$F$4,'领用录入（明细）'!C:C&gt;=$J$4,'领用录入（明细）'!C:C&lt;=$L$4),ROW(),"-")</f>
        <v>-</v>
      </c>
    </row>
    <row r="37913" customHeight="1" spans="2:2">
      <c r="B37913" s="62" t="str">
        <f>IF(AND('领用录入（明细）'!D:D=$F$4,'领用录入（明细）'!C:C&gt;=$J$4,'领用录入（明细）'!C:C&lt;=$L$4),ROW(),"-")</f>
        <v>-</v>
      </c>
    </row>
    <row r="37914" customHeight="1" spans="2:2">
      <c r="B37914" s="62" t="str">
        <f>IF(AND('领用录入（明细）'!D:D=$F$4,'领用录入（明细）'!C:C&gt;=$J$4,'领用录入（明细）'!C:C&lt;=$L$4),ROW(),"-")</f>
        <v>-</v>
      </c>
    </row>
    <row r="37915" customHeight="1" spans="2:2">
      <c r="B37915" s="62" t="str">
        <f>IF(AND('领用录入（明细）'!D:D=$F$4,'领用录入（明细）'!C:C&gt;=$J$4,'领用录入（明细）'!C:C&lt;=$L$4),ROW(),"-")</f>
        <v>-</v>
      </c>
    </row>
    <row r="37916" customHeight="1" spans="2:2">
      <c r="B37916" s="62" t="str">
        <f>IF(AND('领用录入（明细）'!D:D=$F$4,'领用录入（明细）'!C:C&gt;=$J$4,'领用录入（明细）'!C:C&lt;=$L$4),ROW(),"-")</f>
        <v>-</v>
      </c>
    </row>
    <row r="37917" customHeight="1" spans="2:2">
      <c r="B37917" s="62" t="str">
        <f>IF(AND('领用录入（明细）'!D:D=$F$4,'领用录入（明细）'!C:C&gt;=$J$4,'领用录入（明细）'!C:C&lt;=$L$4),ROW(),"-")</f>
        <v>-</v>
      </c>
    </row>
    <row r="37918" customHeight="1" spans="2:2">
      <c r="B37918" s="62" t="str">
        <f>IF(AND('领用录入（明细）'!D:D=$F$4,'领用录入（明细）'!C:C&gt;=$J$4,'领用录入（明细）'!C:C&lt;=$L$4),ROW(),"-")</f>
        <v>-</v>
      </c>
    </row>
    <row r="37919" customHeight="1" spans="2:2">
      <c r="B37919" s="62" t="str">
        <f>IF(AND('领用录入（明细）'!D:D=$F$4,'领用录入（明细）'!C:C&gt;=$J$4,'领用录入（明细）'!C:C&lt;=$L$4),ROW(),"-")</f>
        <v>-</v>
      </c>
    </row>
    <row r="37920" customHeight="1" spans="2:2">
      <c r="B37920" s="62" t="str">
        <f>IF(AND('领用录入（明细）'!D:D=$F$4,'领用录入（明细）'!C:C&gt;=$J$4,'领用录入（明细）'!C:C&lt;=$L$4),ROW(),"-")</f>
        <v>-</v>
      </c>
    </row>
    <row r="37921" customHeight="1" spans="2:2">
      <c r="B37921" s="62" t="str">
        <f>IF(AND('领用录入（明细）'!D:D=$F$4,'领用录入（明细）'!C:C&gt;=$J$4,'领用录入（明细）'!C:C&lt;=$L$4),ROW(),"-")</f>
        <v>-</v>
      </c>
    </row>
    <row r="37922" customHeight="1" spans="2:2">
      <c r="B37922" s="62" t="str">
        <f>IF(AND('领用录入（明细）'!D:D=$F$4,'领用录入（明细）'!C:C&gt;=$J$4,'领用录入（明细）'!C:C&lt;=$L$4),ROW(),"-")</f>
        <v>-</v>
      </c>
    </row>
    <row r="37923" customHeight="1" spans="2:2">
      <c r="B37923" s="62" t="str">
        <f>IF(AND('领用录入（明细）'!D:D=$F$4,'领用录入（明细）'!C:C&gt;=$J$4,'领用录入（明细）'!C:C&lt;=$L$4),ROW(),"-")</f>
        <v>-</v>
      </c>
    </row>
    <row r="37924" customHeight="1" spans="2:2">
      <c r="B37924" s="62" t="str">
        <f>IF(AND('领用录入（明细）'!D:D=$F$4,'领用录入（明细）'!C:C&gt;=$J$4,'领用录入（明细）'!C:C&lt;=$L$4),ROW(),"-")</f>
        <v>-</v>
      </c>
    </row>
    <row r="37925" customHeight="1" spans="2:2">
      <c r="B37925" s="62" t="str">
        <f>IF(AND('领用录入（明细）'!D:D=$F$4,'领用录入（明细）'!C:C&gt;=$J$4,'领用录入（明细）'!C:C&lt;=$L$4),ROW(),"-")</f>
        <v>-</v>
      </c>
    </row>
    <row r="37926" customHeight="1" spans="2:2">
      <c r="B37926" s="62" t="str">
        <f>IF(AND('领用录入（明细）'!D:D=$F$4,'领用录入（明细）'!C:C&gt;=$J$4,'领用录入（明细）'!C:C&lt;=$L$4),ROW(),"-")</f>
        <v>-</v>
      </c>
    </row>
    <row r="37927" customHeight="1" spans="2:2">
      <c r="B37927" s="62" t="str">
        <f>IF(AND('领用录入（明细）'!D:D=$F$4,'领用录入（明细）'!C:C&gt;=$J$4,'领用录入（明细）'!C:C&lt;=$L$4),ROW(),"-")</f>
        <v>-</v>
      </c>
    </row>
    <row r="37928" customHeight="1" spans="2:2">
      <c r="B37928" s="62" t="str">
        <f>IF(AND('领用录入（明细）'!D:D=$F$4,'领用录入（明细）'!C:C&gt;=$J$4,'领用录入（明细）'!C:C&lt;=$L$4),ROW(),"-")</f>
        <v>-</v>
      </c>
    </row>
    <row r="37929" customHeight="1" spans="2:2">
      <c r="B37929" s="62" t="str">
        <f>IF(AND('领用录入（明细）'!D:D=$F$4,'领用录入（明细）'!C:C&gt;=$J$4,'领用录入（明细）'!C:C&lt;=$L$4),ROW(),"-")</f>
        <v>-</v>
      </c>
    </row>
    <row r="37930" customHeight="1" spans="2:2">
      <c r="B37930" s="62" t="str">
        <f>IF(AND('领用录入（明细）'!D:D=$F$4,'领用录入（明细）'!C:C&gt;=$J$4,'领用录入（明细）'!C:C&lt;=$L$4),ROW(),"-")</f>
        <v>-</v>
      </c>
    </row>
    <row r="37931" customHeight="1" spans="2:2">
      <c r="B37931" s="62" t="str">
        <f>IF(AND('领用录入（明细）'!D:D=$F$4,'领用录入（明细）'!C:C&gt;=$J$4,'领用录入（明细）'!C:C&lt;=$L$4),ROW(),"-")</f>
        <v>-</v>
      </c>
    </row>
    <row r="37932" customHeight="1" spans="2:2">
      <c r="B37932" s="62" t="str">
        <f>IF(AND('领用录入（明细）'!D:D=$F$4,'领用录入（明细）'!C:C&gt;=$J$4,'领用录入（明细）'!C:C&lt;=$L$4),ROW(),"-")</f>
        <v>-</v>
      </c>
    </row>
    <row r="37933" customHeight="1" spans="2:2">
      <c r="B37933" s="62" t="str">
        <f>IF(AND('领用录入（明细）'!D:D=$F$4,'领用录入（明细）'!C:C&gt;=$J$4,'领用录入（明细）'!C:C&lt;=$L$4),ROW(),"-")</f>
        <v>-</v>
      </c>
    </row>
    <row r="37934" customHeight="1" spans="2:2">
      <c r="B37934" s="62" t="str">
        <f>IF(AND('领用录入（明细）'!D:D=$F$4,'领用录入（明细）'!C:C&gt;=$J$4,'领用录入（明细）'!C:C&lt;=$L$4),ROW(),"-")</f>
        <v>-</v>
      </c>
    </row>
    <row r="37935" customHeight="1" spans="2:2">
      <c r="B37935" s="62" t="str">
        <f>IF(AND('领用录入（明细）'!D:D=$F$4,'领用录入（明细）'!C:C&gt;=$J$4,'领用录入（明细）'!C:C&lt;=$L$4),ROW(),"-")</f>
        <v>-</v>
      </c>
    </row>
    <row r="37936" customHeight="1" spans="2:2">
      <c r="B37936" s="62" t="str">
        <f>IF(AND('领用录入（明细）'!D:D=$F$4,'领用录入（明细）'!C:C&gt;=$J$4,'领用录入（明细）'!C:C&lt;=$L$4),ROW(),"-")</f>
        <v>-</v>
      </c>
    </row>
    <row r="37937" customHeight="1" spans="2:2">
      <c r="B37937" s="62" t="str">
        <f>IF(AND('领用录入（明细）'!D:D=$F$4,'领用录入（明细）'!C:C&gt;=$J$4,'领用录入（明细）'!C:C&lt;=$L$4),ROW(),"-")</f>
        <v>-</v>
      </c>
    </row>
    <row r="37938" customHeight="1" spans="2:2">
      <c r="B37938" s="62" t="str">
        <f>IF(AND('领用录入（明细）'!D:D=$F$4,'领用录入（明细）'!C:C&gt;=$J$4,'领用录入（明细）'!C:C&lt;=$L$4),ROW(),"-")</f>
        <v>-</v>
      </c>
    </row>
    <row r="37939" customHeight="1" spans="2:2">
      <c r="B37939" s="62" t="str">
        <f>IF(AND('领用录入（明细）'!D:D=$F$4,'领用录入（明细）'!C:C&gt;=$J$4,'领用录入（明细）'!C:C&lt;=$L$4),ROW(),"-")</f>
        <v>-</v>
      </c>
    </row>
    <row r="37940" customHeight="1" spans="2:2">
      <c r="B37940" s="62" t="str">
        <f>IF(AND('领用录入（明细）'!D:D=$F$4,'领用录入（明细）'!C:C&gt;=$J$4,'领用录入（明细）'!C:C&lt;=$L$4),ROW(),"-")</f>
        <v>-</v>
      </c>
    </row>
    <row r="37941" customHeight="1" spans="2:2">
      <c r="B37941" s="62" t="str">
        <f>IF(AND('领用录入（明细）'!D:D=$F$4,'领用录入（明细）'!C:C&gt;=$J$4,'领用录入（明细）'!C:C&lt;=$L$4),ROW(),"-")</f>
        <v>-</v>
      </c>
    </row>
    <row r="37942" customHeight="1" spans="2:2">
      <c r="B37942" s="62" t="str">
        <f>IF(AND('领用录入（明细）'!D:D=$F$4,'领用录入（明细）'!C:C&gt;=$J$4,'领用录入（明细）'!C:C&lt;=$L$4),ROW(),"-")</f>
        <v>-</v>
      </c>
    </row>
    <row r="37943" customHeight="1" spans="2:2">
      <c r="B37943" s="62" t="str">
        <f>IF(AND('领用录入（明细）'!D:D=$F$4,'领用录入（明细）'!C:C&gt;=$J$4,'领用录入（明细）'!C:C&lt;=$L$4),ROW(),"-")</f>
        <v>-</v>
      </c>
    </row>
    <row r="37944" customHeight="1" spans="2:2">
      <c r="B37944" s="62" t="str">
        <f>IF(AND('领用录入（明细）'!D:D=$F$4,'领用录入（明细）'!C:C&gt;=$J$4,'领用录入（明细）'!C:C&lt;=$L$4),ROW(),"-")</f>
        <v>-</v>
      </c>
    </row>
    <row r="37945" customHeight="1" spans="2:2">
      <c r="B37945" s="62" t="str">
        <f>IF(AND('领用录入（明细）'!D:D=$F$4,'领用录入（明细）'!C:C&gt;=$J$4,'领用录入（明细）'!C:C&lt;=$L$4),ROW(),"-")</f>
        <v>-</v>
      </c>
    </row>
    <row r="37946" customHeight="1" spans="2:2">
      <c r="B37946" s="62" t="str">
        <f>IF(AND('领用录入（明细）'!D:D=$F$4,'领用录入（明细）'!C:C&gt;=$J$4,'领用录入（明细）'!C:C&lt;=$L$4),ROW(),"-")</f>
        <v>-</v>
      </c>
    </row>
    <row r="37947" customHeight="1" spans="2:2">
      <c r="B37947" s="62" t="str">
        <f>IF(AND('领用录入（明细）'!D:D=$F$4,'领用录入（明细）'!C:C&gt;=$J$4,'领用录入（明细）'!C:C&lt;=$L$4),ROW(),"-")</f>
        <v>-</v>
      </c>
    </row>
    <row r="37948" customHeight="1" spans="2:2">
      <c r="B37948" s="62" t="str">
        <f>IF(AND('领用录入（明细）'!D:D=$F$4,'领用录入（明细）'!C:C&gt;=$J$4,'领用录入（明细）'!C:C&lt;=$L$4),ROW(),"-")</f>
        <v>-</v>
      </c>
    </row>
    <row r="37949" customHeight="1" spans="2:2">
      <c r="B37949" s="62" t="str">
        <f>IF(AND('领用录入（明细）'!D:D=$F$4,'领用录入（明细）'!C:C&gt;=$J$4,'领用录入（明细）'!C:C&lt;=$L$4),ROW(),"-")</f>
        <v>-</v>
      </c>
    </row>
    <row r="37950" customHeight="1" spans="2:2">
      <c r="B37950" s="62" t="str">
        <f>IF(AND('领用录入（明细）'!D:D=$F$4,'领用录入（明细）'!C:C&gt;=$J$4,'领用录入（明细）'!C:C&lt;=$L$4),ROW(),"-")</f>
        <v>-</v>
      </c>
    </row>
    <row r="37951" customHeight="1" spans="2:2">
      <c r="B37951" s="62" t="str">
        <f>IF(AND('领用录入（明细）'!D:D=$F$4,'领用录入（明细）'!C:C&gt;=$J$4,'领用录入（明细）'!C:C&lt;=$L$4),ROW(),"-")</f>
        <v>-</v>
      </c>
    </row>
    <row r="37952" customHeight="1" spans="2:2">
      <c r="B37952" s="62" t="str">
        <f>IF(AND('领用录入（明细）'!D:D=$F$4,'领用录入（明细）'!C:C&gt;=$J$4,'领用录入（明细）'!C:C&lt;=$L$4),ROW(),"-")</f>
        <v>-</v>
      </c>
    </row>
    <row r="37953" customHeight="1" spans="2:2">
      <c r="B37953" s="62" t="str">
        <f>IF(AND('领用录入（明细）'!D:D=$F$4,'领用录入（明细）'!C:C&gt;=$J$4,'领用录入（明细）'!C:C&lt;=$L$4),ROW(),"-")</f>
        <v>-</v>
      </c>
    </row>
    <row r="37954" customHeight="1" spans="2:2">
      <c r="B37954" s="62" t="str">
        <f>IF(AND('领用录入（明细）'!D:D=$F$4,'领用录入（明细）'!C:C&gt;=$J$4,'领用录入（明细）'!C:C&lt;=$L$4),ROW(),"-")</f>
        <v>-</v>
      </c>
    </row>
    <row r="37955" customHeight="1" spans="2:2">
      <c r="B37955" s="62" t="str">
        <f>IF(AND('领用录入（明细）'!D:D=$F$4,'领用录入（明细）'!C:C&gt;=$J$4,'领用录入（明细）'!C:C&lt;=$L$4),ROW(),"-")</f>
        <v>-</v>
      </c>
    </row>
    <row r="37956" customHeight="1" spans="2:2">
      <c r="B37956" s="62" t="str">
        <f>IF(AND('领用录入（明细）'!D:D=$F$4,'领用录入（明细）'!C:C&gt;=$J$4,'领用录入（明细）'!C:C&lt;=$L$4),ROW(),"-")</f>
        <v>-</v>
      </c>
    </row>
    <row r="37957" customHeight="1" spans="2:2">
      <c r="B37957" s="62" t="str">
        <f>IF(AND('领用录入（明细）'!D:D=$F$4,'领用录入（明细）'!C:C&gt;=$J$4,'领用录入（明细）'!C:C&lt;=$L$4),ROW(),"-")</f>
        <v>-</v>
      </c>
    </row>
    <row r="37958" customHeight="1" spans="2:2">
      <c r="B37958" s="62" t="str">
        <f>IF(AND('领用录入（明细）'!D:D=$F$4,'领用录入（明细）'!C:C&gt;=$J$4,'领用录入（明细）'!C:C&lt;=$L$4),ROW(),"-")</f>
        <v>-</v>
      </c>
    </row>
    <row r="37959" customHeight="1" spans="2:2">
      <c r="B37959" s="62" t="str">
        <f>IF(AND('领用录入（明细）'!D:D=$F$4,'领用录入（明细）'!C:C&gt;=$J$4,'领用录入（明细）'!C:C&lt;=$L$4),ROW(),"-")</f>
        <v>-</v>
      </c>
    </row>
    <row r="37960" customHeight="1" spans="2:2">
      <c r="B37960" s="62" t="str">
        <f>IF(AND('领用录入（明细）'!D:D=$F$4,'领用录入（明细）'!C:C&gt;=$J$4,'领用录入（明细）'!C:C&lt;=$L$4),ROW(),"-")</f>
        <v>-</v>
      </c>
    </row>
    <row r="37961" customHeight="1" spans="2:2">
      <c r="B37961" s="62" t="str">
        <f>IF(AND('领用录入（明细）'!D:D=$F$4,'领用录入（明细）'!C:C&gt;=$J$4,'领用录入（明细）'!C:C&lt;=$L$4),ROW(),"-")</f>
        <v>-</v>
      </c>
    </row>
    <row r="37962" customHeight="1" spans="2:2">
      <c r="B37962" s="62" t="str">
        <f>IF(AND('领用录入（明细）'!D:D=$F$4,'领用录入（明细）'!C:C&gt;=$J$4,'领用录入（明细）'!C:C&lt;=$L$4),ROW(),"-")</f>
        <v>-</v>
      </c>
    </row>
    <row r="37963" customHeight="1" spans="2:2">
      <c r="B37963" s="62" t="str">
        <f>IF(AND('领用录入（明细）'!D:D=$F$4,'领用录入（明细）'!C:C&gt;=$J$4,'领用录入（明细）'!C:C&lt;=$L$4),ROW(),"-")</f>
        <v>-</v>
      </c>
    </row>
    <row r="37964" customHeight="1" spans="2:2">
      <c r="B37964" s="62" t="str">
        <f>IF(AND('领用录入（明细）'!D:D=$F$4,'领用录入（明细）'!C:C&gt;=$J$4,'领用录入（明细）'!C:C&lt;=$L$4),ROW(),"-")</f>
        <v>-</v>
      </c>
    </row>
    <row r="37965" customHeight="1" spans="2:2">
      <c r="B37965" s="62" t="str">
        <f>IF(AND('领用录入（明细）'!D:D=$F$4,'领用录入（明细）'!C:C&gt;=$J$4,'领用录入（明细）'!C:C&lt;=$L$4),ROW(),"-")</f>
        <v>-</v>
      </c>
    </row>
    <row r="37966" customHeight="1" spans="2:2">
      <c r="B37966" s="62" t="str">
        <f>IF(AND('领用录入（明细）'!D:D=$F$4,'领用录入（明细）'!C:C&gt;=$J$4,'领用录入（明细）'!C:C&lt;=$L$4),ROW(),"-")</f>
        <v>-</v>
      </c>
    </row>
    <row r="37967" customHeight="1" spans="2:2">
      <c r="B37967" s="62" t="str">
        <f>IF(AND('领用录入（明细）'!D:D=$F$4,'领用录入（明细）'!C:C&gt;=$J$4,'领用录入（明细）'!C:C&lt;=$L$4),ROW(),"-")</f>
        <v>-</v>
      </c>
    </row>
    <row r="37968" customHeight="1" spans="2:2">
      <c r="B37968" s="62" t="str">
        <f>IF(AND('领用录入（明细）'!D:D=$F$4,'领用录入（明细）'!C:C&gt;=$J$4,'领用录入（明细）'!C:C&lt;=$L$4),ROW(),"-")</f>
        <v>-</v>
      </c>
    </row>
    <row r="37969" customHeight="1" spans="2:2">
      <c r="B37969" s="62" t="str">
        <f>IF(AND('领用录入（明细）'!D:D=$F$4,'领用录入（明细）'!C:C&gt;=$J$4,'领用录入（明细）'!C:C&lt;=$L$4),ROW(),"-")</f>
        <v>-</v>
      </c>
    </row>
    <row r="37970" customHeight="1" spans="2:2">
      <c r="B37970" s="62" t="str">
        <f>IF(AND('领用录入（明细）'!D:D=$F$4,'领用录入（明细）'!C:C&gt;=$J$4,'领用录入（明细）'!C:C&lt;=$L$4),ROW(),"-")</f>
        <v>-</v>
      </c>
    </row>
    <row r="37971" customHeight="1" spans="2:2">
      <c r="B37971" s="62" t="str">
        <f>IF(AND('领用录入（明细）'!D:D=$F$4,'领用录入（明细）'!C:C&gt;=$J$4,'领用录入（明细）'!C:C&lt;=$L$4),ROW(),"-")</f>
        <v>-</v>
      </c>
    </row>
    <row r="37972" customHeight="1" spans="2:2">
      <c r="B37972" s="62" t="str">
        <f>IF(AND('领用录入（明细）'!D:D=$F$4,'领用录入（明细）'!C:C&gt;=$J$4,'领用录入（明细）'!C:C&lt;=$L$4),ROW(),"-")</f>
        <v>-</v>
      </c>
    </row>
    <row r="37973" customHeight="1" spans="2:2">
      <c r="B37973" s="62" t="str">
        <f>IF(AND('领用录入（明细）'!D:D=$F$4,'领用录入（明细）'!C:C&gt;=$J$4,'领用录入（明细）'!C:C&lt;=$L$4),ROW(),"-")</f>
        <v>-</v>
      </c>
    </row>
    <row r="37974" customHeight="1" spans="2:2">
      <c r="B37974" s="62" t="str">
        <f>IF(AND('领用录入（明细）'!D:D=$F$4,'领用录入（明细）'!C:C&gt;=$J$4,'领用录入（明细）'!C:C&lt;=$L$4),ROW(),"-")</f>
        <v>-</v>
      </c>
    </row>
    <row r="37975" customHeight="1" spans="2:2">
      <c r="B37975" s="62" t="str">
        <f>IF(AND('领用录入（明细）'!D:D=$F$4,'领用录入（明细）'!C:C&gt;=$J$4,'领用录入（明细）'!C:C&lt;=$L$4),ROW(),"-")</f>
        <v>-</v>
      </c>
    </row>
    <row r="37976" customHeight="1" spans="2:2">
      <c r="B37976" s="62" t="str">
        <f>IF(AND('领用录入（明细）'!D:D=$F$4,'领用录入（明细）'!C:C&gt;=$J$4,'领用录入（明细）'!C:C&lt;=$L$4),ROW(),"-")</f>
        <v>-</v>
      </c>
    </row>
    <row r="37977" customHeight="1" spans="2:2">
      <c r="B37977" s="62" t="str">
        <f>IF(AND('领用录入（明细）'!D:D=$F$4,'领用录入（明细）'!C:C&gt;=$J$4,'领用录入（明细）'!C:C&lt;=$L$4),ROW(),"-")</f>
        <v>-</v>
      </c>
    </row>
    <row r="37978" customHeight="1" spans="2:2">
      <c r="B37978" s="62" t="str">
        <f>IF(AND('领用录入（明细）'!D:D=$F$4,'领用录入（明细）'!C:C&gt;=$J$4,'领用录入（明细）'!C:C&lt;=$L$4),ROW(),"-")</f>
        <v>-</v>
      </c>
    </row>
    <row r="37979" customHeight="1" spans="2:2">
      <c r="B37979" s="62" t="str">
        <f>IF(AND('领用录入（明细）'!D:D=$F$4,'领用录入（明细）'!C:C&gt;=$J$4,'领用录入（明细）'!C:C&lt;=$L$4),ROW(),"-")</f>
        <v>-</v>
      </c>
    </row>
    <row r="37980" customHeight="1" spans="2:2">
      <c r="B37980" s="62" t="str">
        <f>IF(AND('领用录入（明细）'!D:D=$F$4,'领用录入（明细）'!C:C&gt;=$J$4,'领用录入（明细）'!C:C&lt;=$L$4),ROW(),"-")</f>
        <v>-</v>
      </c>
    </row>
    <row r="37981" customHeight="1" spans="2:2">
      <c r="B37981" s="62" t="str">
        <f>IF(AND('领用录入（明细）'!D:D=$F$4,'领用录入（明细）'!C:C&gt;=$J$4,'领用录入（明细）'!C:C&lt;=$L$4),ROW(),"-")</f>
        <v>-</v>
      </c>
    </row>
    <row r="37982" customHeight="1" spans="2:2">
      <c r="B37982" s="62" t="str">
        <f>IF(AND('领用录入（明细）'!D:D=$F$4,'领用录入（明细）'!C:C&gt;=$J$4,'领用录入（明细）'!C:C&lt;=$L$4),ROW(),"-")</f>
        <v>-</v>
      </c>
    </row>
    <row r="37983" customHeight="1" spans="2:2">
      <c r="B37983" s="62" t="str">
        <f>IF(AND('领用录入（明细）'!D:D=$F$4,'领用录入（明细）'!C:C&gt;=$J$4,'领用录入（明细）'!C:C&lt;=$L$4),ROW(),"-")</f>
        <v>-</v>
      </c>
    </row>
    <row r="37984" customHeight="1" spans="2:2">
      <c r="B37984" s="62" t="str">
        <f>IF(AND('领用录入（明细）'!D:D=$F$4,'领用录入（明细）'!C:C&gt;=$J$4,'领用录入（明细）'!C:C&lt;=$L$4),ROW(),"-")</f>
        <v>-</v>
      </c>
    </row>
    <row r="37985" customHeight="1" spans="2:2">
      <c r="B37985" s="62" t="str">
        <f>IF(AND('领用录入（明细）'!D:D=$F$4,'领用录入（明细）'!C:C&gt;=$J$4,'领用录入（明细）'!C:C&lt;=$L$4),ROW(),"-")</f>
        <v>-</v>
      </c>
    </row>
    <row r="37986" customHeight="1" spans="2:2">
      <c r="B37986" s="62" t="str">
        <f>IF(AND('领用录入（明细）'!D:D=$F$4,'领用录入（明细）'!C:C&gt;=$J$4,'领用录入（明细）'!C:C&lt;=$L$4),ROW(),"-")</f>
        <v>-</v>
      </c>
    </row>
    <row r="37987" customHeight="1" spans="2:2">
      <c r="B37987" s="62" t="str">
        <f>IF(AND('领用录入（明细）'!D:D=$F$4,'领用录入（明细）'!C:C&gt;=$J$4,'领用录入（明细）'!C:C&lt;=$L$4),ROW(),"-")</f>
        <v>-</v>
      </c>
    </row>
    <row r="37988" customHeight="1" spans="2:2">
      <c r="B37988" s="62" t="str">
        <f>IF(AND('领用录入（明细）'!D:D=$F$4,'领用录入（明细）'!C:C&gt;=$J$4,'领用录入（明细）'!C:C&lt;=$L$4),ROW(),"-")</f>
        <v>-</v>
      </c>
    </row>
    <row r="37989" customHeight="1" spans="2:2">
      <c r="B37989" s="62" t="str">
        <f>IF(AND('领用录入（明细）'!D:D=$F$4,'领用录入（明细）'!C:C&gt;=$J$4,'领用录入（明细）'!C:C&lt;=$L$4),ROW(),"-")</f>
        <v>-</v>
      </c>
    </row>
    <row r="37990" customHeight="1" spans="2:2">
      <c r="B37990" s="62" t="str">
        <f>IF(AND('领用录入（明细）'!D:D=$F$4,'领用录入（明细）'!C:C&gt;=$J$4,'领用录入（明细）'!C:C&lt;=$L$4),ROW(),"-")</f>
        <v>-</v>
      </c>
    </row>
    <row r="37991" customHeight="1" spans="2:2">
      <c r="B37991" s="62" t="str">
        <f>IF(AND('领用录入（明细）'!D:D=$F$4,'领用录入（明细）'!C:C&gt;=$J$4,'领用录入（明细）'!C:C&lt;=$L$4),ROW(),"-")</f>
        <v>-</v>
      </c>
    </row>
    <row r="37992" customHeight="1" spans="2:2">
      <c r="B37992" s="62" t="str">
        <f>IF(AND('领用录入（明细）'!D:D=$F$4,'领用录入（明细）'!C:C&gt;=$J$4,'领用录入（明细）'!C:C&lt;=$L$4),ROW(),"-")</f>
        <v>-</v>
      </c>
    </row>
    <row r="37993" customHeight="1" spans="2:2">
      <c r="B37993" s="62" t="str">
        <f>IF(AND('领用录入（明细）'!D:D=$F$4,'领用录入（明细）'!C:C&gt;=$J$4,'领用录入（明细）'!C:C&lt;=$L$4),ROW(),"-")</f>
        <v>-</v>
      </c>
    </row>
    <row r="37994" customHeight="1" spans="2:2">
      <c r="B37994" s="62" t="str">
        <f>IF(AND('领用录入（明细）'!D:D=$F$4,'领用录入（明细）'!C:C&gt;=$J$4,'领用录入（明细）'!C:C&lt;=$L$4),ROW(),"-")</f>
        <v>-</v>
      </c>
    </row>
    <row r="37995" customHeight="1" spans="2:2">
      <c r="B37995" s="62" t="str">
        <f>IF(AND('领用录入（明细）'!D:D=$F$4,'领用录入（明细）'!C:C&gt;=$J$4,'领用录入（明细）'!C:C&lt;=$L$4),ROW(),"-")</f>
        <v>-</v>
      </c>
    </row>
    <row r="37996" customHeight="1" spans="2:2">
      <c r="B37996" s="62" t="str">
        <f>IF(AND('领用录入（明细）'!D:D=$F$4,'领用录入（明细）'!C:C&gt;=$J$4,'领用录入（明细）'!C:C&lt;=$L$4),ROW(),"-")</f>
        <v>-</v>
      </c>
    </row>
    <row r="37997" customHeight="1" spans="2:2">
      <c r="B37997" s="62" t="str">
        <f>IF(AND('领用录入（明细）'!D:D=$F$4,'领用录入（明细）'!C:C&gt;=$J$4,'领用录入（明细）'!C:C&lt;=$L$4),ROW(),"-")</f>
        <v>-</v>
      </c>
    </row>
    <row r="37998" customHeight="1" spans="2:2">
      <c r="B37998" s="62" t="str">
        <f>IF(AND('领用录入（明细）'!D:D=$F$4,'领用录入（明细）'!C:C&gt;=$J$4,'领用录入（明细）'!C:C&lt;=$L$4),ROW(),"-")</f>
        <v>-</v>
      </c>
    </row>
    <row r="37999" customHeight="1" spans="2:2">
      <c r="B37999" s="62" t="str">
        <f>IF(AND('领用录入（明细）'!D:D=$F$4,'领用录入（明细）'!C:C&gt;=$J$4,'领用录入（明细）'!C:C&lt;=$L$4),ROW(),"-")</f>
        <v>-</v>
      </c>
    </row>
    <row r="38000" customHeight="1" spans="2:2">
      <c r="B38000" s="62" t="str">
        <f>IF(AND('领用录入（明细）'!D:D=$F$4,'领用录入（明细）'!C:C&gt;=$J$4,'领用录入（明细）'!C:C&lt;=$L$4),ROW(),"-")</f>
        <v>-</v>
      </c>
    </row>
    <row r="38001" customHeight="1" spans="2:2">
      <c r="B38001" s="62" t="str">
        <f>IF(AND('领用录入（明细）'!D:D=$F$4,'领用录入（明细）'!C:C&gt;=$J$4,'领用录入（明细）'!C:C&lt;=$L$4),ROW(),"-")</f>
        <v>-</v>
      </c>
    </row>
    <row r="38002" customHeight="1" spans="2:2">
      <c r="B38002" s="62" t="str">
        <f>IF(AND('领用录入（明细）'!D:D=$F$4,'领用录入（明细）'!C:C&gt;=$J$4,'领用录入（明细）'!C:C&lt;=$L$4),ROW(),"-")</f>
        <v>-</v>
      </c>
    </row>
    <row r="38003" customHeight="1" spans="2:2">
      <c r="B38003" s="62" t="str">
        <f>IF(AND('领用录入（明细）'!D:D=$F$4,'领用录入（明细）'!C:C&gt;=$J$4,'领用录入（明细）'!C:C&lt;=$L$4),ROW(),"-")</f>
        <v>-</v>
      </c>
    </row>
    <row r="38004" customHeight="1" spans="2:2">
      <c r="B38004" s="62" t="str">
        <f>IF(AND('领用录入（明细）'!D:D=$F$4,'领用录入（明细）'!C:C&gt;=$J$4,'领用录入（明细）'!C:C&lt;=$L$4),ROW(),"-")</f>
        <v>-</v>
      </c>
    </row>
    <row r="38005" customHeight="1" spans="2:2">
      <c r="B38005" s="62" t="str">
        <f>IF(AND('领用录入（明细）'!D:D=$F$4,'领用录入（明细）'!C:C&gt;=$J$4,'领用录入（明细）'!C:C&lt;=$L$4),ROW(),"-")</f>
        <v>-</v>
      </c>
    </row>
    <row r="38006" customHeight="1" spans="2:2">
      <c r="B38006" s="62" t="str">
        <f>IF(AND('领用录入（明细）'!D:D=$F$4,'领用录入（明细）'!C:C&gt;=$J$4,'领用录入（明细）'!C:C&lt;=$L$4),ROW(),"-")</f>
        <v>-</v>
      </c>
    </row>
    <row r="38007" customHeight="1" spans="2:2">
      <c r="B38007" s="62" t="str">
        <f>IF(AND('领用录入（明细）'!D:D=$F$4,'领用录入（明细）'!C:C&gt;=$J$4,'领用录入（明细）'!C:C&lt;=$L$4),ROW(),"-")</f>
        <v>-</v>
      </c>
    </row>
    <row r="38008" customHeight="1" spans="2:2">
      <c r="B38008" s="62" t="str">
        <f>IF(AND('领用录入（明细）'!D:D=$F$4,'领用录入（明细）'!C:C&gt;=$J$4,'领用录入（明细）'!C:C&lt;=$L$4),ROW(),"-")</f>
        <v>-</v>
      </c>
    </row>
    <row r="38009" customHeight="1" spans="2:2">
      <c r="B38009" s="62" t="str">
        <f>IF(AND('领用录入（明细）'!D:D=$F$4,'领用录入（明细）'!C:C&gt;=$J$4,'领用录入（明细）'!C:C&lt;=$L$4),ROW(),"-")</f>
        <v>-</v>
      </c>
    </row>
    <row r="38010" customHeight="1" spans="2:2">
      <c r="B38010" s="62" t="str">
        <f>IF(AND('领用录入（明细）'!D:D=$F$4,'领用录入（明细）'!C:C&gt;=$J$4,'领用录入（明细）'!C:C&lt;=$L$4),ROW(),"-")</f>
        <v>-</v>
      </c>
    </row>
    <row r="38011" customHeight="1" spans="2:2">
      <c r="B38011" s="62" t="str">
        <f>IF(AND('领用录入（明细）'!D:D=$F$4,'领用录入（明细）'!C:C&gt;=$J$4,'领用录入（明细）'!C:C&lt;=$L$4),ROW(),"-")</f>
        <v>-</v>
      </c>
    </row>
    <row r="38012" customHeight="1" spans="2:2">
      <c r="B38012" s="62" t="str">
        <f>IF(AND('领用录入（明细）'!D:D=$F$4,'领用录入（明细）'!C:C&gt;=$J$4,'领用录入（明细）'!C:C&lt;=$L$4),ROW(),"-")</f>
        <v>-</v>
      </c>
    </row>
    <row r="38013" customHeight="1" spans="2:2">
      <c r="B38013" s="62" t="str">
        <f>IF(AND('领用录入（明细）'!D:D=$F$4,'领用录入（明细）'!C:C&gt;=$J$4,'领用录入（明细）'!C:C&lt;=$L$4),ROW(),"-")</f>
        <v>-</v>
      </c>
    </row>
    <row r="38014" customHeight="1" spans="2:2">
      <c r="B38014" s="62" t="str">
        <f>IF(AND('领用录入（明细）'!D:D=$F$4,'领用录入（明细）'!C:C&gt;=$J$4,'领用录入（明细）'!C:C&lt;=$L$4),ROW(),"-")</f>
        <v>-</v>
      </c>
    </row>
    <row r="38015" customHeight="1" spans="2:2">
      <c r="B38015" s="62" t="str">
        <f>IF(AND('领用录入（明细）'!D:D=$F$4,'领用录入（明细）'!C:C&gt;=$J$4,'领用录入（明细）'!C:C&lt;=$L$4),ROW(),"-")</f>
        <v>-</v>
      </c>
    </row>
    <row r="38016" customHeight="1" spans="2:2">
      <c r="B38016" s="62" t="str">
        <f>IF(AND('领用录入（明细）'!D:D=$F$4,'领用录入（明细）'!C:C&gt;=$J$4,'领用录入（明细）'!C:C&lt;=$L$4),ROW(),"-")</f>
        <v>-</v>
      </c>
    </row>
    <row r="38017" customHeight="1" spans="2:2">
      <c r="B38017" s="62" t="str">
        <f>IF(AND('领用录入（明细）'!D:D=$F$4,'领用录入（明细）'!C:C&gt;=$J$4,'领用录入（明细）'!C:C&lt;=$L$4),ROW(),"-")</f>
        <v>-</v>
      </c>
    </row>
    <row r="38018" customHeight="1" spans="2:2">
      <c r="B38018" s="62" t="str">
        <f>IF(AND('领用录入（明细）'!D:D=$F$4,'领用录入（明细）'!C:C&gt;=$J$4,'领用录入（明细）'!C:C&lt;=$L$4),ROW(),"-")</f>
        <v>-</v>
      </c>
    </row>
    <row r="38019" customHeight="1" spans="2:2">
      <c r="B38019" s="62" t="str">
        <f>IF(AND('领用录入（明细）'!D:D=$F$4,'领用录入（明细）'!C:C&gt;=$J$4,'领用录入（明细）'!C:C&lt;=$L$4),ROW(),"-")</f>
        <v>-</v>
      </c>
    </row>
    <row r="38020" customHeight="1" spans="2:2">
      <c r="B38020" s="62" t="str">
        <f>IF(AND('领用录入（明细）'!D:D=$F$4,'领用录入（明细）'!C:C&gt;=$J$4,'领用录入（明细）'!C:C&lt;=$L$4),ROW(),"-")</f>
        <v>-</v>
      </c>
    </row>
    <row r="38021" customHeight="1" spans="2:2">
      <c r="B38021" s="62" t="str">
        <f>IF(AND('领用录入（明细）'!D:D=$F$4,'领用录入（明细）'!C:C&gt;=$J$4,'领用录入（明细）'!C:C&lt;=$L$4),ROW(),"-")</f>
        <v>-</v>
      </c>
    </row>
    <row r="38022" customHeight="1" spans="2:2">
      <c r="B38022" s="62" t="str">
        <f>IF(AND('领用录入（明细）'!D:D=$F$4,'领用录入（明细）'!C:C&gt;=$J$4,'领用录入（明细）'!C:C&lt;=$L$4),ROW(),"-")</f>
        <v>-</v>
      </c>
    </row>
    <row r="38023" customHeight="1" spans="2:2">
      <c r="B38023" s="62" t="str">
        <f>IF(AND('领用录入（明细）'!D:D=$F$4,'领用录入（明细）'!C:C&gt;=$J$4,'领用录入（明细）'!C:C&lt;=$L$4),ROW(),"-")</f>
        <v>-</v>
      </c>
    </row>
    <row r="38024" customHeight="1" spans="2:2">
      <c r="B38024" s="62" t="str">
        <f>IF(AND('领用录入（明细）'!D:D=$F$4,'领用录入（明细）'!C:C&gt;=$J$4,'领用录入（明细）'!C:C&lt;=$L$4),ROW(),"-")</f>
        <v>-</v>
      </c>
    </row>
    <row r="38025" customHeight="1" spans="2:2">
      <c r="B38025" s="62" t="str">
        <f>IF(AND('领用录入（明细）'!D:D=$F$4,'领用录入（明细）'!C:C&gt;=$J$4,'领用录入（明细）'!C:C&lt;=$L$4),ROW(),"-")</f>
        <v>-</v>
      </c>
    </row>
    <row r="38026" customHeight="1" spans="2:2">
      <c r="B38026" s="62" t="str">
        <f>IF(AND('领用录入（明细）'!D:D=$F$4,'领用录入（明细）'!C:C&gt;=$J$4,'领用录入（明细）'!C:C&lt;=$L$4),ROW(),"-")</f>
        <v>-</v>
      </c>
    </row>
    <row r="38027" customHeight="1" spans="2:2">
      <c r="B38027" s="62" t="str">
        <f>IF(AND('领用录入（明细）'!D:D=$F$4,'领用录入（明细）'!C:C&gt;=$J$4,'领用录入（明细）'!C:C&lt;=$L$4),ROW(),"-")</f>
        <v>-</v>
      </c>
    </row>
    <row r="38028" customHeight="1" spans="2:2">
      <c r="B38028" s="62" t="str">
        <f>IF(AND('领用录入（明细）'!D:D=$F$4,'领用录入（明细）'!C:C&gt;=$J$4,'领用录入（明细）'!C:C&lt;=$L$4),ROW(),"-")</f>
        <v>-</v>
      </c>
    </row>
    <row r="38029" customHeight="1" spans="2:2">
      <c r="B38029" s="62" t="str">
        <f>IF(AND('领用录入（明细）'!D:D=$F$4,'领用录入（明细）'!C:C&gt;=$J$4,'领用录入（明细）'!C:C&lt;=$L$4),ROW(),"-")</f>
        <v>-</v>
      </c>
    </row>
    <row r="38030" customHeight="1" spans="2:2">
      <c r="B38030" s="62" t="str">
        <f>IF(AND('领用录入（明细）'!D:D=$F$4,'领用录入（明细）'!C:C&gt;=$J$4,'领用录入（明细）'!C:C&lt;=$L$4),ROW(),"-")</f>
        <v>-</v>
      </c>
    </row>
    <row r="38031" customHeight="1" spans="2:2">
      <c r="B38031" s="62" t="str">
        <f>IF(AND('领用录入（明细）'!D:D=$F$4,'领用录入（明细）'!C:C&gt;=$J$4,'领用录入（明细）'!C:C&lt;=$L$4),ROW(),"-")</f>
        <v>-</v>
      </c>
    </row>
    <row r="38032" customHeight="1" spans="2:2">
      <c r="B38032" s="62" t="str">
        <f>IF(AND('领用录入（明细）'!D:D=$F$4,'领用录入（明细）'!C:C&gt;=$J$4,'领用录入（明细）'!C:C&lt;=$L$4),ROW(),"-")</f>
        <v>-</v>
      </c>
    </row>
    <row r="38033" customHeight="1" spans="2:2">
      <c r="B38033" s="62" t="str">
        <f>IF(AND('领用录入（明细）'!D:D=$F$4,'领用录入（明细）'!C:C&gt;=$J$4,'领用录入（明细）'!C:C&lt;=$L$4),ROW(),"-")</f>
        <v>-</v>
      </c>
    </row>
    <row r="38034" customHeight="1" spans="2:2">
      <c r="B38034" s="62" t="str">
        <f>IF(AND('领用录入（明细）'!D:D=$F$4,'领用录入（明细）'!C:C&gt;=$J$4,'领用录入（明细）'!C:C&lt;=$L$4),ROW(),"-")</f>
        <v>-</v>
      </c>
    </row>
    <row r="38035" customHeight="1" spans="2:2">
      <c r="B38035" s="62" t="str">
        <f>IF(AND('领用录入（明细）'!D:D=$F$4,'领用录入（明细）'!C:C&gt;=$J$4,'领用录入（明细）'!C:C&lt;=$L$4),ROW(),"-")</f>
        <v>-</v>
      </c>
    </row>
    <row r="38036" customHeight="1" spans="2:2">
      <c r="B38036" s="62" t="str">
        <f>IF(AND('领用录入（明细）'!D:D=$F$4,'领用录入（明细）'!C:C&gt;=$J$4,'领用录入（明细）'!C:C&lt;=$L$4),ROW(),"-")</f>
        <v>-</v>
      </c>
    </row>
    <row r="38037" customHeight="1" spans="2:2">
      <c r="B38037" s="62" t="str">
        <f>IF(AND('领用录入（明细）'!D:D=$F$4,'领用录入（明细）'!C:C&gt;=$J$4,'领用录入（明细）'!C:C&lt;=$L$4),ROW(),"-")</f>
        <v>-</v>
      </c>
    </row>
    <row r="38038" customHeight="1" spans="2:2">
      <c r="B38038" s="62" t="str">
        <f>IF(AND('领用录入（明细）'!D:D=$F$4,'领用录入（明细）'!C:C&gt;=$J$4,'领用录入（明细）'!C:C&lt;=$L$4),ROW(),"-")</f>
        <v>-</v>
      </c>
    </row>
    <row r="38039" customHeight="1" spans="2:2">
      <c r="B38039" s="62" t="str">
        <f>IF(AND('领用录入（明细）'!D:D=$F$4,'领用录入（明细）'!C:C&gt;=$J$4,'领用录入（明细）'!C:C&lt;=$L$4),ROW(),"-")</f>
        <v>-</v>
      </c>
    </row>
    <row r="38040" customHeight="1" spans="2:2">
      <c r="B38040" s="62" t="str">
        <f>IF(AND('领用录入（明细）'!D:D=$F$4,'领用录入（明细）'!C:C&gt;=$J$4,'领用录入（明细）'!C:C&lt;=$L$4),ROW(),"-")</f>
        <v>-</v>
      </c>
    </row>
    <row r="38041" customHeight="1" spans="2:2">
      <c r="B38041" s="62" t="str">
        <f>IF(AND('领用录入（明细）'!D:D=$F$4,'领用录入（明细）'!C:C&gt;=$J$4,'领用录入（明细）'!C:C&lt;=$L$4),ROW(),"-")</f>
        <v>-</v>
      </c>
    </row>
    <row r="38042" customHeight="1" spans="2:2">
      <c r="B38042" s="62" t="str">
        <f>IF(AND('领用录入（明细）'!D:D=$F$4,'领用录入（明细）'!C:C&gt;=$J$4,'领用录入（明细）'!C:C&lt;=$L$4),ROW(),"-")</f>
        <v>-</v>
      </c>
    </row>
    <row r="38043" customHeight="1" spans="2:2">
      <c r="B38043" s="62" t="str">
        <f>IF(AND('领用录入（明细）'!D:D=$F$4,'领用录入（明细）'!C:C&gt;=$J$4,'领用录入（明细）'!C:C&lt;=$L$4),ROW(),"-")</f>
        <v>-</v>
      </c>
    </row>
    <row r="38044" customHeight="1" spans="2:2">
      <c r="B38044" s="62" t="str">
        <f>IF(AND('领用录入（明细）'!D:D=$F$4,'领用录入（明细）'!C:C&gt;=$J$4,'领用录入（明细）'!C:C&lt;=$L$4),ROW(),"-")</f>
        <v>-</v>
      </c>
    </row>
    <row r="38045" customHeight="1" spans="2:2">
      <c r="B38045" s="62" t="str">
        <f>IF(AND('领用录入（明细）'!D:D=$F$4,'领用录入（明细）'!C:C&gt;=$J$4,'领用录入（明细）'!C:C&lt;=$L$4),ROW(),"-")</f>
        <v>-</v>
      </c>
    </row>
    <row r="38046" customHeight="1" spans="2:2">
      <c r="B38046" s="62" t="str">
        <f>IF(AND('领用录入（明细）'!D:D=$F$4,'领用录入（明细）'!C:C&gt;=$J$4,'领用录入（明细）'!C:C&lt;=$L$4),ROW(),"-")</f>
        <v>-</v>
      </c>
    </row>
    <row r="38047" customHeight="1" spans="2:2">
      <c r="B38047" s="62" t="str">
        <f>IF(AND('领用录入（明细）'!D:D=$F$4,'领用录入（明细）'!C:C&gt;=$J$4,'领用录入（明细）'!C:C&lt;=$L$4),ROW(),"-")</f>
        <v>-</v>
      </c>
    </row>
    <row r="38048" customHeight="1" spans="2:2">
      <c r="B38048" s="62" t="str">
        <f>IF(AND('领用录入（明细）'!D:D=$F$4,'领用录入（明细）'!C:C&gt;=$J$4,'领用录入（明细）'!C:C&lt;=$L$4),ROW(),"-")</f>
        <v>-</v>
      </c>
    </row>
    <row r="38049" customHeight="1" spans="2:2">
      <c r="B38049" s="62" t="str">
        <f>IF(AND('领用录入（明细）'!D:D=$F$4,'领用录入（明细）'!C:C&gt;=$J$4,'领用录入（明细）'!C:C&lt;=$L$4),ROW(),"-")</f>
        <v>-</v>
      </c>
    </row>
    <row r="38050" customHeight="1" spans="2:2">
      <c r="B38050" s="62" t="str">
        <f>IF(AND('领用录入（明细）'!D:D=$F$4,'领用录入（明细）'!C:C&gt;=$J$4,'领用录入（明细）'!C:C&lt;=$L$4),ROW(),"-")</f>
        <v>-</v>
      </c>
    </row>
    <row r="38051" customHeight="1" spans="2:2">
      <c r="B38051" s="62" t="str">
        <f>IF(AND('领用录入（明细）'!D:D=$F$4,'领用录入（明细）'!C:C&gt;=$J$4,'领用录入（明细）'!C:C&lt;=$L$4),ROW(),"-")</f>
        <v>-</v>
      </c>
    </row>
    <row r="38052" customHeight="1" spans="2:2">
      <c r="B38052" s="62" t="str">
        <f>IF(AND('领用录入（明细）'!D:D=$F$4,'领用录入（明细）'!C:C&gt;=$J$4,'领用录入（明细）'!C:C&lt;=$L$4),ROW(),"-")</f>
        <v>-</v>
      </c>
    </row>
    <row r="38053" customHeight="1" spans="2:2">
      <c r="B38053" s="62" t="str">
        <f>IF(AND('领用录入（明细）'!D:D=$F$4,'领用录入（明细）'!C:C&gt;=$J$4,'领用录入（明细）'!C:C&lt;=$L$4),ROW(),"-")</f>
        <v>-</v>
      </c>
    </row>
    <row r="38054" customHeight="1" spans="2:2">
      <c r="B38054" s="62" t="str">
        <f>IF(AND('领用录入（明细）'!D:D=$F$4,'领用录入（明细）'!C:C&gt;=$J$4,'领用录入（明细）'!C:C&lt;=$L$4),ROW(),"-")</f>
        <v>-</v>
      </c>
    </row>
    <row r="38055" customHeight="1" spans="2:2">
      <c r="B38055" s="62" t="str">
        <f>IF(AND('领用录入（明细）'!D:D=$F$4,'领用录入（明细）'!C:C&gt;=$J$4,'领用录入（明细）'!C:C&lt;=$L$4),ROW(),"-")</f>
        <v>-</v>
      </c>
    </row>
    <row r="38056" customHeight="1" spans="2:2">
      <c r="B38056" s="62" t="str">
        <f>IF(AND('领用录入（明细）'!D:D=$F$4,'领用录入（明细）'!C:C&gt;=$J$4,'领用录入（明细）'!C:C&lt;=$L$4),ROW(),"-")</f>
        <v>-</v>
      </c>
    </row>
    <row r="38057" customHeight="1" spans="2:2">
      <c r="B38057" s="62" t="str">
        <f>IF(AND('领用录入（明细）'!D:D=$F$4,'领用录入（明细）'!C:C&gt;=$J$4,'领用录入（明细）'!C:C&lt;=$L$4),ROW(),"-")</f>
        <v>-</v>
      </c>
    </row>
    <row r="38058" customHeight="1" spans="2:2">
      <c r="B38058" s="62" t="str">
        <f>IF(AND('领用录入（明细）'!D:D=$F$4,'领用录入（明细）'!C:C&gt;=$J$4,'领用录入（明细）'!C:C&lt;=$L$4),ROW(),"-")</f>
        <v>-</v>
      </c>
    </row>
    <row r="38059" customHeight="1" spans="2:2">
      <c r="B38059" s="62" t="str">
        <f>IF(AND('领用录入（明细）'!D:D=$F$4,'领用录入（明细）'!C:C&gt;=$J$4,'领用录入（明细）'!C:C&lt;=$L$4),ROW(),"-")</f>
        <v>-</v>
      </c>
    </row>
    <row r="38060" customHeight="1" spans="2:2">
      <c r="B38060" s="62" t="str">
        <f>IF(AND('领用录入（明细）'!D:D=$F$4,'领用录入（明细）'!C:C&gt;=$J$4,'领用录入（明细）'!C:C&lt;=$L$4),ROW(),"-")</f>
        <v>-</v>
      </c>
    </row>
    <row r="38061" customHeight="1" spans="2:2">
      <c r="B38061" s="62" t="str">
        <f>IF(AND('领用录入（明细）'!D:D=$F$4,'领用录入（明细）'!C:C&gt;=$J$4,'领用录入（明细）'!C:C&lt;=$L$4),ROW(),"-")</f>
        <v>-</v>
      </c>
    </row>
    <row r="38062" customHeight="1" spans="2:2">
      <c r="B38062" s="62" t="str">
        <f>IF(AND('领用录入（明细）'!D:D=$F$4,'领用录入（明细）'!C:C&gt;=$J$4,'领用录入（明细）'!C:C&lt;=$L$4),ROW(),"-")</f>
        <v>-</v>
      </c>
    </row>
    <row r="38063" customHeight="1" spans="2:2">
      <c r="B38063" s="62" t="str">
        <f>IF(AND('领用录入（明细）'!D:D=$F$4,'领用录入（明细）'!C:C&gt;=$J$4,'领用录入（明细）'!C:C&lt;=$L$4),ROW(),"-")</f>
        <v>-</v>
      </c>
    </row>
    <row r="38064" customHeight="1" spans="2:2">
      <c r="B38064" s="62" t="str">
        <f>IF(AND('领用录入（明细）'!D:D=$F$4,'领用录入（明细）'!C:C&gt;=$J$4,'领用录入（明细）'!C:C&lt;=$L$4),ROW(),"-")</f>
        <v>-</v>
      </c>
    </row>
    <row r="38065" customHeight="1" spans="2:2">
      <c r="B38065" s="62" t="str">
        <f>IF(AND('领用录入（明细）'!D:D=$F$4,'领用录入（明细）'!C:C&gt;=$J$4,'领用录入（明细）'!C:C&lt;=$L$4),ROW(),"-")</f>
        <v>-</v>
      </c>
    </row>
    <row r="38066" customHeight="1" spans="2:2">
      <c r="B38066" s="62" t="str">
        <f>IF(AND('领用录入（明细）'!D:D=$F$4,'领用录入（明细）'!C:C&gt;=$J$4,'领用录入（明细）'!C:C&lt;=$L$4),ROW(),"-")</f>
        <v>-</v>
      </c>
    </row>
    <row r="38067" customHeight="1" spans="2:2">
      <c r="B38067" s="62" t="str">
        <f>IF(AND('领用录入（明细）'!D:D=$F$4,'领用录入（明细）'!C:C&gt;=$J$4,'领用录入（明细）'!C:C&lt;=$L$4),ROW(),"-")</f>
        <v>-</v>
      </c>
    </row>
    <row r="38068" customHeight="1" spans="2:2">
      <c r="B38068" s="62" t="str">
        <f>IF(AND('领用录入（明细）'!D:D=$F$4,'领用录入（明细）'!C:C&gt;=$J$4,'领用录入（明细）'!C:C&lt;=$L$4),ROW(),"-")</f>
        <v>-</v>
      </c>
    </row>
    <row r="38069" customHeight="1" spans="2:2">
      <c r="B38069" s="62" t="str">
        <f>IF(AND('领用录入（明细）'!D:D=$F$4,'领用录入（明细）'!C:C&gt;=$J$4,'领用录入（明细）'!C:C&lt;=$L$4),ROW(),"-")</f>
        <v>-</v>
      </c>
    </row>
    <row r="38070" customHeight="1" spans="2:2">
      <c r="B38070" s="62" t="str">
        <f>IF(AND('领用录入（明细）'!D:D=$F$4,'领用录入（明细）'!C:C&gt;=$J$4,'领用录入（明细）'!C:C&lt;=$L$4),ROW(),"-")</f>
        <v>-</v>
      </c>
    </row>
    <row r="38071" customHeight="1" spans="2:2">
      <c r="B38071" s="62" t="str">
        <f>IF(AND('领用录入（明细）'!D:D=$F$4,'领用录入（明细）'!C:C&gt;=$J$4,'领用录入（明细）'!C:C&lt;=$L$4),ROW(),"-")</f>
        <v>-</v>
      </c>
    </row>
    <row r="38072" customHeight="1" spans="2:2">
      <c r="B38072" s="62" t="str">
        <f>IF(AND('领用录入（明细）'!D:D=$F$4,'领用录入（明细）'!C:C&gt;=$J$4,'领用录入（明细）'!C:C&lt;=$L$4),ROW(),"-")</f>
        <v>-</v>
      </c>
    </row>
    <row r="38073" customHeight="1" spans="2:2">
      <c r="B38073" s="62" t="str">
        <f>IF(AND('领用录入（明细）'!D:D=$F$4,'领用录入（明细）'!C:C&gt;=$J$4,'领用录入（明细）'!C:C&lt;=$L$4),ROW(),"-")</f>
        <v>-</v>
      </c>
    </row>
    <row r="38074" customHeight="1" spans="2:2">
      <c r="B38074" s="62" t="str">
        <f>IF(AND('领用录入（明细）'!D:D=$F$4,'领用录入（明细）'!C:C&gt;=$J$4,'领用录入（明细）'!C:C&lt;=$L$4),ROW(),"-")</f>
        <v>-</v>
      </c>
    </row>
    <row r="38075" customHeight="1" spans="2:2">
      <c r="B38075" s="62" t="str">
        <f>IF(AND('领用录入（明细）'!D:D=$F$4,'领用录入（明细）'!C:C&gt;=$J$4,'领用录入（明细）'!C:C&lt;=$L$4),ROW(),"-")</f>
        <v>-</v>
      </c>
    </row>
    <row r="38076" customHeight="1" spans="2:2">
      <c r="B38076" s="62" t="str">
        <f>IF(AND('领用录入（明细）'!D:D=$F$4,'领用录入（明细）'!C:C&gt;=$J$4,'领用录入（明细）'!C:C&lt;=$L$4),ROW(),"-")</f>
        <v>-</v>
      </c>
    </row>
    <row r="38077" customHeight="1" spans="2:2">
      <c r="B38077" s="62" t="str">
        <f>IF(AND('领用录入（明细）'!D:D=$F$4,'领用录入（明细）'!C:C&gt;=$J$4,'领用录入（明细）'!C:C&lt;=$L$4),ROW(),"-")</f>
        <v>-</v>
      </c>
    </row>
    <row r="38078" customHeight="1" spans="2:2">
      <c r="B38078" s="62" t="str">
        <f>IF(AND('领用录入（明细）'!D:D=$F$4,'领用录入（明细）'!C:C&gt;=$J$4,'领用录入（明细）'!C:C&lt;=$L$4),ROW(),"-")</f>
        <v>-</v>
      </c>
    </row>
    <row r="38079" customHeight="1" spans="2:2">
      <c r="B38079" s="62" t="str">
        <f>IF(AND('领用录入（明细）'!D:D=$F$4,'领用录入（明细）'!C:C&gt;=$J$4,'领用录入（明细）'!C:C&lt;=$L$4),ROW(),"-")</f>
        <v>-</v>
      </c>
    </row>
    <row r="38080" customHeight="1" spans="2:2">
      <c r="B38080" s="62" t="str">
        <f>IF(AND('领用录入（明细）'!D:D=$F$4,'领用录入（明细）'!C:C&gt;=$J$4,'领用录入（明细）'!C:C&lt;=$L$4),ROW(),"-")</f>
        <v>-</v>
      </c>
    </row>
    <row r="38081" customHeight="1" spans="2:2">
      <c r="B38081" s="62" t="str">
        <f>IF(AND('领用录入（明细）'!D:D=$F$4,'领用录入（明细）'!C:C&gt;=$J$4,'领用录入（明细）'!C:C&lt;=$L$4),ROW(),"-")</f>
        <v>-</v>
      </c>
    </row>
    <row r="38082" customHeight="1" spans="2:2">
      <c r="B38082" s="62" t="str">
        <f>IF(AND('领用录入（明细）'!D:D=$F$4,'领用录入（明细）'!C:C&gt;=$J$4,'领用录入（明细）'!C:C&lt;=$L$4),ROW(),"-")</f>
        <v>-</v>
      </c>
    </row>
    <row r="38083" customHeight="1" spans="2:2">
      <c r="B38083" s="62" t="str">
        <f>IF(AND('领用录入（明细）'!D:D=$F$4,'领用录入（明细）'!C:C&gt;=$J$4,'领用录入（明细）'!C:C&lt;=$L$4),ROW(),"-")</f>
        <v>-</v>
      </c>
    </row>
    <row r="38084" customHeight="1" spans="2:2">
      <c r="B38084" s="62" t="str">
        <f>IF(AND('领用录入（明细）'!D:D=$F$4,'领用录入（明细）'!C:C&gt;=$J$4,'领用录入（明细）'!C:C&lt;=$L$4),ROW(),"-")</f>
        <v>-</v>
      </c>
    </row>
    <row r="38085" customHeight="1" spans="2:2">
      <c r="B38085" s="62" t="str">
        <f>IF(AND('领用录入（明细）'!D:D=$F$4,'领用录入（明细）'!C:C&gt;=$J$4,'领用录入（明细）'!C:C&lt;=$L$4),ROW(),"-")</f>
        <v>-</v>
      </c>
    </row>
    <row r="38086" customHeight="1" spans="2:2">
      <c r="B38086" s="62" t="str">
        <f>IF(AND('领用录入（明细）'!D:D=$F$4,'领用录入（明细）'!C:C&gt;=$J$4,'领用录入（明细）'!C:C&lt;=$L$4),ROW(),"-")</f>
        <v>-</v>
      </c>
    </row>
    <row r="38087" customHeight="1" spans="2:2">
      <c r="B38087" s="62" t="str">
        <f>IF(AND('领用录入（明细）'!D:D=$F$4,'领用录入（明细）'!C:C&gt;=$J$4,'领用录入（明细）'!C:C&lt;=$L$4),ROW(),"-")</f>
        <v>-</v>
      </c>
    </row>
    <row r="38088" customHeight="1" spans="2:2">
      <c r="B38088" s="62" t="str">
        <f>IF(AND('领用录入（明细）'!D:D=$F$4,'领用录入（明细）'!C:C&gt;=$J$4,'领用录入（明细）'!C:C&lt;=$L$4),ROW(),"-")</f>
        <v>-</v>
      </c>
    </row>
    <row r="38089" customHeight="1" spans="2:2">
      <c r="B38089" s="62" t="str">
        <f>IF(AND('领用录入（明细）'!D:D=$F$4,'领用录入（明细）'!C:C&gt;=$J$4,'领用录入（明细）'!C:C&lt;=$L$4),ROW(),"-")</f>
        <v>-</v>
      </c>
    </row>
    <row r="38090" customHeight="1" spans="2:2">
      <c r="B38090" s="62" t="str">
        <f>IF(AND('领用录入（明细）'!D:D=$F$4,'领用录入（明细）'!C:C&gt;=$J$4,'领用录入（明细）'!C:C&lt;=$L$4),ROW(),"-")</f>
        <v>-</v>
      </c>
    </row>
    <row r="38091" customHeight="1" spans="2:2">
      <c r="B38091" s="62" t="str">
        <f>IF(AND('领用录入（明细）'!D:D=$F$4,'领用录入（明细）'!C:C&gt;=$J$4,'领用录入（明细）'!C:C&lt;=$L$4),ROW(),"-")</f>
        <v>-</v>
      </c>
    </row>
    <row r="38092" customHeight="1" spans="2:2">
      <c r="B38092" s="62" t="str">
        <f>IF(AND('领用录入（明细）'!D:D=$F$4,'领用录入（明细）'!C:C&gt;=$J$4,'领用录入（明细）'!C:C&lt;=$L$4),ROW(),"-")</f>
        <v>-</v>
      </c>
    </row>
    <row r="38093" customHeight="1" spans="2:2">
      <c r="B38093" s="62" t="str">
        <f>IF(AND('领用录入（明细）'!D:D=$F$4,'领用录入（明细）'!C:C&gt;=$J$4,'领用录入（明细）'!C:C&lt;=$L$4),ROW(),"-")</f>
        <v>-</v>
      </c>
    </row>
    <row r="38094" customHeight="1" spans="2:2">
      <c r="B38094" s="62" t="str">
        <f>IF(AND('领用录入（明细）'!D:D=$F$4,'领用录入（明细）'!C:C&gt;=$J$4,'领用录入（明细）'!C:C&lt;=$L$4),ROW(),"-")</f>
        <v>-</v>
      </c>
    </row>
    <row r="38095" customHeight="1" spans="2:2">
      <c r="B38095" s="62" t="str">
        <f>IF(AND('领用录入（明细）'!D:D=$F$4,'领用录入（明细）'!C:C&gt;=$J$4,'领用录入（明细）'!C:C&lt;=$L$4),ROW(),"-")</f>
        <v>-</v>
      </c>
    </row>
    <row r="38096" customHeight="1" spans="2:2">
      <c r="B38096" s="62" t="str">
        <f>IF(AND('领用录入（明细）'!D:D=$F$4,'领用录入（明细）'!C:C&gt;=$J$4,'领用录入（明细）'!C:C&lt;=$L$4),ROW(),"-")</f>
        <v>-</v>
      </c>
    </row>
    <row r="38097" customHeight="1" spans="2:2">
      <c r="B38097" s="62" t="str">
        <f>IF(AND('领用录入（明细）'!D:D=$F$4,'领用录入（明细）'!C:C&gt;=$J$4,'领用录入（明细）'!C:C&lt;=$L$4),ROW(),"-")</f>
        <v>-</v>
      </c>
    </row>
    <row r="38098" customHeight="1" spans="2:2">
      <c r="B38098" s="62" t="str">
        <f>IF(AND('领用录入（明细）'!D:D=$F$4,'领用录入（明细）'!C:C&gt;=$J$4,'领用录入（明细）'!C:C&lt;=$L$4),ROW(),"-")</f>
        <v>-</v>
      </c>
    </row>
    <row r="38099" customHeight="1" spans="2:2">
      <c r="B38099" s="62" t="str">
        <f>IF(AND('领用录入（明细）'!D:D=$F$4,'领用录入（明细）'!C:C&gt;=$J$4,'领用录入（明细）'!C:C&lt;=$L$4),ROW(),"-")</f>
        <v>-</v>
      </c>
    </row>
    <row r="38100" customHeight="1" spans="2:2">
      <c r="B38100" s="62" t="str">
        <f>IF(AND('领用录入（明细）'!D:D=$F$4,'领用录入（明细）'!C:C&gt;=$J$4,'领用录入（明细）'!C:C&lt;=$L$4),ROW(),"-")</f>
        <v>-</v>
      </c>
    </row>
    <row r="38101" customHeight="1" spans="2:2">
      <c r="B38101" s="62" t="str">
        <f>IF(AND('领用录入（明细）'!D:D=$F$4,'领用录入（明细）'!C:C&gt;=$J$4,'领用录入（明细）'!C:C&lt;=$L$4),ROW(),"-")</f>
        <v>-</v>
      </c>
    </row>
    <row r="38102" customHeight="1" spans="2:2">
      <c r="B38102" s="62" t="str">
        <f>IF(AND('领用录入（明细）'!D:D=$F$4,'领用录入（明细）'!C:C&gt;=$J$4,'领用录入（明细）'!C:C&lt;=$L$4),ROW(),"-")</f>
        <v>-</v>
      </c>
    </row>
    <row r="38103" customHeight="1" spans="2:2">
      <c r="B38103" s="62" t="str">
        <f>IF(AND('领用录入（明细）'!D:D=$F$4,'领用录入（明细）'!C:C&gt;=$J$4,'领用录入（明细）'!C:C&lt;=$L$4),ROW(),"-")</f>
        <v>-</v>
      </c>
    </row>
    <row r="38104" customHeight="1" spans="2:2">
      <c r="B38104" s="62" t="str">
        <f>IF(AND('领用录入（明细）'!D:D=$F$4,'领用录入（明细）'!C:C&gt;=$J$4,'领用录入（明细）'!C:C&lt;=$L$4),ROW(),"-")</f>
        <v>-</v>
      </c>
    </row>
    <row r="38105" customHeight="1" spans="2:2">
      <c r="B38105" s="62" t="str">
        <f>IF(AND('领用录入（明细）'!D:D=$F$4,'领用录入（明细）'!C:C&gt;=$J$4,'领用录入（明细）'!C:C&lt;=$L$4),ROW(),"-")</f>
        <v>-</v>
      </c>
    </row>
    <row r="38106" customHeight="1" spans="2:2">
      <c r="B38106" s="62" t="str">
        <f>IF(AND('领用录入（明细）'!D:D=$F$4,'领用录入（明细）'!C:C&gt;=$J$4,'领用录入（明细）'!C:C&lt;=$L$4),ROW(),"-")</f>
        <v>-</v>
      </c>
    </row>
    <row r="38107" customHeight="1" spans="2:2">
      <c r="B38107" s="62" t="str">
        <f>IF(AND('领用录入（明细）'!D:D=$F$4,'领用录入（明细）'!C:C&gt;=$J$4,'领用录入（明细）'!C:C&lt;=$L$4),ROW(),"-")</f>
        <v>-</v>
      </c>
    </row>
    <row r="38108" customHeight="1" spans="2:2">
      <c r="B38108" s="62" t="str">
        <f>IF(AND('领用录入（明细）'!D:D=$F$4,'领用录入（明细）'!C:C&gt;=$J$4,'领用录入（明细）'!C:C&lt;=$L$4),ROW(),"-")</f>
        <v>-</v>
      </c>
    </row>
    <row r="38109" customHeight="1" spans="2:2">
      <c r="B38109" s="62" t="str">
        <f>IF(AND('领用录入（明细）'!D:D=$F$4,'领用录入（明细）'!C:C&gt;=$J$4,'领用录入（明细）'!C:C&lt;=$L$4),ROW(),"-")</f>
        <v>-</v>
      </c>
    </row>
    <row r="38110" customHeight="1" spans="2:2">
      <c r="B38110" s="62" t="str">
        <f>IF(AND('领用录入（明细）'!D:D=$F$4,'领用录入（明细）'!C:C&gt;=$J$4,'领用录入（明细）'!C:C&lt;=$L$4),ROW(),"-")</f>
        <v>-</v>
      </c>
    </row>
    <row r="38111" customHeight="1" spans="2:2">
      <c r="B38111" s="62" t="str">
        <f>IF(AND('领用录入（明细）'!D:D=$F$4,'领用录入（明细）'!C:C&gt;=$J$4,'领用录入（明细）'!C:C&lt;=$L$4),ROW(),"-")</f>
        <v>-</v>
      </c>
    </row>
    <row r="38112" customHeight="1" spans="2:2">
      <c r="B38112" s="62" t="str">
        <f>IF(AND('领用录入（明细）'!D:D=$F$4,'领用录入（明细）'!C:C&gt;=$J$4,'领用录入（明细）'!C:C&lt;=$L$4),ROW(),"-")</f>
        <v>-</v>
      </c>
    </row>
    <row r="38113" customHeight="1" spans="2:2">
      <c r="B38113" s="62" t="str">
        <f>IF(AND('领用录入（明细）'!D:D=$F$4,'领用录入（明细）'!C:C&gt;=$J$4,'领用录入（明细）'!C:C&lt;=$L$4),ROW(),"-")</f>
        <v>-</v>
      </c>
    </row>
    <row r="38114" customHeight="1" spans="2:2">
      <c r="B38114" s="62" t="str">
        <f>IF(AND('领用录入（明细）'!D:D=$F$4,'领用录入（明细）'!C:C&gt;=$J$4,'领用录入（明细）'!C:C&lt;=$L$4),ROW(),"-")</f>
        <v>-</v>
      </c>
    </row>
    <row r="38115" customHeight="1" spans="2:2">
      <c r="B38115" s="62" t="str">
        <f>IF(AND('领用录入（明细）'!D:D=$F$4,'领用录入（明细）'!C:C&gt;=$J$4,'领用录入（明细）'!C:C&lt;=$L$4),ROW(),"-")</f>
        <v>-</v>
      </c>
    </row>
    <row r="38116" customHeight="1" spans="2:2">
      <c r="B38116" s="62" t="str">
        <f>IF(AND('领用录入（明细）'!D:D=$F$4,'领用录入（明细）'!C:C&gt;=$J$4,'领用录入（明细）'!C:C&lt;=$L$4),ROW(),"-")</f>
        <v>-</v>
      </c>
    </row>
    <row r="38117" customHeight="1" spans="2:2">
      <c r="B38117" s="62" t="str">
        <f>IF(AND('领用录入（明细）'!D:D=$F$4,'领用录入（明细）'!C:C&gt;=$J$4,'领用录入（明细）'!C:C&lt;=$L$4),ROW(),"-")</f>
        <v>-</v>
      </c>
    </row>
    <row r="38118" customHeight="1" spans="2:2">
      <c r="B38118" s="62" t="str">
        <f>IF(AND('领用录入（明细）'!D:D=$F$4,'领用录入（明细）'!C:C&gt;=$J$4,'领用录入（明细）'!C:C&lt;=$L$4),ROW(),"-")</f>
        <v>-</v>
      </c>
    </row>
    <row r="38119" customHeight="1" spans="2:2">
      <c r="B38119" s="62" t="str">
        <f>IF(AND('领用录入（明细）'!D:D=$F$4,'领用录入（明细）'!C:C&gt;=$J$4,'领用录入（明细）'!C:C&lt;=$L$4),ROW(),"-")</f>
        <v>-</v>
      </c>
    </row>
    <row r="38120" customHeight="1" spans="2:2">
      <c r="B38120" s="62" t="str">
        <f>IF(AND('领用录入（明细）'!D:D=$F$4,'领用录入（明细）'!C:C&gt;=$J$4,'领用录入（明细）'!C:C&lt;=$L$4),ROW(),"-")</f>
        <v>-</v>
      </c>
    </row>
    <row r="38121" customHeight="1" spans="2:2">
      <c r="B38121" s="62" t="str">
        <f>IF(AND('领用录入（明细）'!D:D=$F$4,'领用录入（明细）'!C:C&gt;=$J$4,'领用录入（明细）'!C:C&lt;=$L$4),ROW(),"-")</f>
        <v>-</v>
      </c>
    </row>
    <row r="38122" customHeight="1" spans="2:2">
      <c r="B38122" s="62" t="str">
        <f>IF(AND('领用录入（明细）'!D:D=$F$4,'领用录入（明细）'!C:C&gt;=$J$4,'领用录入（明细）'!C:C&lt;=$L$4),ROW(),"-")</f>
        <v>-</v>
      </c>
    </row>
    <row r="38123" customHeight="1" spans="2:2">
      <c r="B38123" s="62" t="str">
        <f>IF(AND('领用录入（明细）'!D:D=$F$4,'领用录入（明细）'!C:C&gt;=$J$4,'领用录入（明细）'!C:C&lt;=$L$4),ROW(),"-")</f>
        <v>-</v>
      </c>
    </row>
    <row r="38124" customHeight="1" spans="2:2">
      <c r="B38124" s="62" t="str">
        <f>IF(AND('领用录入（明细）'!D:D=$F$4,'领用录入（明细）'!C:C&gt;=$J$4,'领用录入（明细）'!C:C&lt;=$L$4),ROW(),"-")</f>
        <v>-</v>
      </c>
    </row>
    <row r="38125" customHeight="1" spans="2:2">
      <c r="B38125" s="62" t="str">
        <f>IF(AND('领用录入（明细）'!D:D=$F$4,'领用录入（明细）'!C:C&gt;=$J$4,'领用录入（明细）'!C:C&lt;=$L$4),ROW(),"-")</f>
        <v>-</v>
      </c>
    </row>
    <row r="38126" customHeight="1" spans="2:2">
      <c r="B38126" s="62" t="str">
        <f>IF(AND('领用录入（明细）'!D:D=$F$4,'领用录入（明细）'!C:C&gt;=$J$4,'领用录入（明细）'!C:C&lt;=$L$4),ROW(),"-")</f>
        <v>-</v>
      </c>
    </row>
    <row r="38127" customHeight="1" spans="2:2">
      <c r="B38127" s="62" t="str">
        <f>IF(AND('领用录入（明细）'!D:D=$F$4,'领用录入（明细）'!C:C&gt;=$J$4,'领用录入（明细）'!C:C&lt;=$L$4),ROW(),"-")</f>
        <v>-</v>
      </c>
    </row>
    <row r="38128" customHeight="1" spans="2:2">
      <c r="B38128" s="62" t="str">
        <f>IF(AND('领用录入（明细）'!D:D=$F$4,'领用录入（明细）'!C:C&gt;=$J$4,'领用录入（明细）'!C:C&lt;=$L$4),ROW(),"-")</f>
        <v>-</v>
      </c>
    </row>
    <row r="38129" customHeight="1" spans="2:2">
      <c r="B38129" s="62" t="str">
        <f>IF(AND('领用录入（明细）'!D:D=$F$4,'领用录入（明细）'!C:C&gt;=$J$4,'领用录入（明细）'!C:C&lt;=$L$4),ROW(),"-")</f>
        <v>-</v>
      </c>
    </row>
    <row r="38130" customHeight="1" spans="2:2">
      <c r="B38130" s="62" t="str">
        <f>IF(AND('领用录入（明细）'!D:D=$F$4,'领用录入（明细）'!C:C&gt;=$J$4,'领用录入（明细）'!C:C&lt;=$L$4),ROW(),"-")</f>
        <v>-</v>
      </c>
    </row>
    <row r="38131" customHeight="1" spans="2:2">
      <c r="B38131" s="62" t="str">
        <f>IF(AND('领用录入（明细）'!D:D=$F$4,'领用录入（明细）'!C:C&gt;=$J$4,'领用录入（明细）'!C:C&lt;=$L$4),ROW(),"-")</f>
        <v>-</v>
      </c>
    </row>
    <row r="38132" customHeight="1" spans="2:2">
      <c r="B38132" s="62" t="str">
        <f>IF(AND('领用录入（明细）'!D:D=$F$4,'领用录入（明细）'!C:C&gt;=$J$4,'领用录入（明细）'!C:C&lt;=$L$4),ROW(),"-")</f>
        <v>-</v>
      </c>
    </row>
    <row r="38133" customHeight="1" spans="2:2">
      <c r="B38133" s="62" t="str">
        <f>IF(AND('领用录入（明细）'!D:D=$F$4,'领用录入（明细）'!C:C&gt;=$J$4,'领用录入（明细）'!C:C&lt;=$L$4),ROW(),"-")</f>
        <v>-</v>
      </c>
    </row>
    <row r="38134" customHeight="1" spans="2:2">
      <c r="B38134" s="62" t="str">
        <f>IF(AND('领用录入（明细）'!D:D=$F$4,'领用录入（明细）'!C:C&gt;=$J$4,'领用录入（明细）'!C:C&lt;=$L$4),ROW(),"-")</f>
        <v>-</v>
      </c>
    </row>
    <row r="38135" customHeight="1" spans="2:2">
      <c r="B38135" s="62" t="str">
        <f>IF(AND('领用录入（明细）'!D:D=$F$4,'领用录入（明细）'!C:C&gt;=$J$4,'领用录入（明细）'!C:C&lt;=$L$4),ROW(),"-")</f>
        <v>-</v>
      </c>
    </row>
    <row r="38136" customHeight="1" spans="2:2">
      <c r="B38136" s="62" t="str">
        <f>IF(AND('领用录入（明细）'!D:D=$F$4,'领用录入（明细）'!C:C&gt;=$J$4,'领用录入（明细）'!C:C&lt;=$L$4),ROW(),"-")</f>
        <v>-</v>
      </c>
    </row>
    <row r="38137" customHeight="1" spans="2:2">
      <c r="B38137" s="62" t="str">
        <f>IF(AND('领用录入（明细）'!D:D=$F$4,'领用录入（明细）'!C:C&gt;=$J$4,'领用录入（明细）'!C:C&lt;=$L$4),ROW(),"-")</f>
        <v>-</v>
      </c>
    </row>
    <row r="38138" customHeight="1" spans="2:2">
      <c r="B38138" s="62" t="str">
        <f>IF(AND('领用录入（明细）'!D:D=$F$4,'领用录入（明细）'!C:C&gt;=$J$4,'领用录入（明细）'!C:C&lt;=$L$4),ROW(),"-")</f>
        <v>-</v>
      </c>
    </row>
    <row r="38139" customHeight="1" spans="2:2">
      <c r="B38139" s="62" t="str">
        <f>IF(AND('领用录入（明细）'!D:D=$F$4,'领用录入（明细）'!C:C&gt;=$J$4,'领用录入（明细）'!C:C&lt;=$L$4),ROW(),"-")</f>
        <v>-</v>
      </c>
    </row>
    <row r="38140" customHeight="1" spans="2:2">
      <c r="B38140" s="62" t="str">
        <f>IF(AND('领用录入（明细）'!D:D=$F$4,'领用录入（明细）'!C:C&gt;=$J$4,'领用录入（明细）'!C:C&lt;=$L$4),ROW(),"-")</f>
        <v>-</v>
      </c>
    </row>
    <row r="38141" customHeight="1" spans="2:2">
      <c r="B38141" s="62" t="str">
        <f>IF(AND('领用录入（明细）'!D:D=$F$4,'领用录入（明细）'!C:C&gt;=$J$4,'领用录入（明细）'!C:C&lt;=$L$4),ROW(),"-")</f>
        <v>-</v>
      </c>
    </row>
    <row r="38142" customHeight="1" spans="2:2">
      <c r="B38142" s="62" t="str">
        <f>IF(AND('领用录入（明细）'!D:D=$F$4,'领用录入（明细）'!C:C&gt;=$J$4,'领用录入（明细）'!C:C&lt;=$L$4),ROW(),"-")</f>
        <v>-</v>
      </c>
    </row>
    <row r="38143" customHeight="1" spans="2:2">
      <c r="B38143" s="62" t="str">
        <f>IF(AND('领用录入（明细）'!D:D=$F$4,'领用录入（明细）'!C:C&gt;=$J$4,'领用录入（明细）'!C:C&lt;=$L$4),ROW(),"-")</f>
        <v>-</v>
      </c>
    </row>
    <row r="38144" customHeight="1" spans="2:2">
      <c r="B38144" s="62" t="str">
        <f>IF(AND('领用录入（明细）'!D:D=$F$4,'领用录入（明细）'!C:C&gt;=$J$4,'领用录入（明细）'!C:C&lt;=$L$4),ROW(),"-")</f>
        <v>-</v>
      </c>
    </row>
    <row r="38145" customHeight="1" spans="2:2">
      <c r="B38145" s="62" t="str">
        <f>IF(AND('领用录入（明细）'!D:D=$F$4,'领用录入（明细）'!C:C&gt;=$J$4,'领用录入（明细）'!C:C&lt;=$L$4),ROW(),"-")</f>
        <v>-</v>
      </c>
    </row>
    <row r="38146" customHeight="1" spans="2:2">
      <c r="B38146" s="62" t="str">
        <f>IF(AND('领用录入（明细）'!D:D=$F$4,'领用录入（明细）'!C:C&gt;=$J$4,'领用录入（明细）'!C:C&lt;=$L$4),ROW(),"-")</f>
        <v>-</v>
      </c>
    </row>
    <row r="38147" customHeight="1" spans="2:2">
      <c r="B38147" s="62" t="str">
        <f>IF(AND('领用录入（明细）'!D:D=$F$4,'领用录入（明细）'!C:C&gt;=$J$4,'领用录入（明细）'!C:C&lt;=$L$4),ROW(),"-")</f>
        <v>-</v>
      </c>
    </row>
    <row r="38148" customHeight="1" spans="2:2">
      <c r="B38148" s="62" t="str">
        <f>IF(AND('领用录入（明细）'!D:D=$F$4,'领用录入（明细）'!C:C&gt;=$J$4,'领用录入（明细）'!C:C&lt;=$L$4),ROW(),"-")</f>
        <v>-</v>
      </c>
    </row>
    <row r="38149" customHeight="1" spans="2:2">
      <c r="B38149" s="62" t="str">
        <f>IF(AND('领用录入（明细）'!D:D=$F$4,'领用录入（明细）'!C:C&gt;=$J$4,'领用录入（明细）'!C:C&lt;=$L$4),ROW(),"-")</f>
        <v>-</v>
      </c>
    </row>
    <row r="38150" customHeight="1" spans="2:2">
      <c r="B38150" s="62" t="str">
        <f>IF(AND('领用录入（明细）'!D:D=$F$4,'领用录入（明细）'!C:C&gt;=$J$4,'领用录入（明细）'!C:C&lt;=$L$4),ROW(),"-")</f>
        <v>-</v>
      </c>
    </row>
    <row r="38151" customHeight="1" spans="2:2">
      <c r="B38151" s="62" t="str">
        <f>IF(AND('领用录入（明细）'!D:D=$F$4,'领用录入（明细）'!C:C&gt;=$J$4,'领用录入（明细）'!C:C&lt;=$L$4),ROW(),"-")</f>
        <v>-</v>
      </c>
    </row>
    <row r="38152" customHeight="1" spans="2:2">
      <c r="B38152" s="62" t="str">
        <f>IF(AND('领用录入（明细）'!D:D=$F$4,'领用录入（明细）'!C:C&gt;=$J$4,'领用录入（明细）'!C:C&lt;=$L$4),ROW(),"-")</f>
        <v>-</v>
      </c>
    </row>
    <row r="38153" customHeight="1" spans="2:2">
      <c r="B38153" s="62" t="str">
        <f>IF(AND('领用录入（明细）'!D:D=$F$4,'领用录入（明细）'!C:C&gt;=$J$4,'领用录入（明细）'!C:C&lt;=$L$4),ROW(),"-")</f>
        <v>-</v>
      </c>
    </row>
    <row r="38154" customHeight="1" spans="2:2">
      <c r="B38154" s="62" t="str">
        <f>IF(AND('领用录入（明细）'!D:D=$F$4,'领用录入（明细）'!C:C&gt;=$J$4,'领用录入（明细）'!C:C&lt;=$L$4),ROW(),"-")</f>
        <v>-</v>
      </c>
    </row>
    <row r="38155" customHeight="1" spans="2:2">
      <c r="B38155" s="62" t="str">
        <f>IF(AND('领用录入（明细）'!D:D=$F$4,'领用录入（明细）'!C:C&gt;=$J$4,'领用录入（明细）'!C:C&lt;=$L$4),ROW(),"-")</f>
        <v>-</v>
      </c>
    </row>
    <row r="38156" customHeight="1" spans="2:2">
      <c r="B38156" s="62" t="str">
        <f>IF(AND('领用录入（明细）'!D:D=$F$4,'领用录入（明细）'!C:C&gt;=$J$4,'领用录入（明细）'!C:C&lt;=$L$4),ROW(),"-")</f>
        <v>-</v>
      </c>
    </row>
    <row r="38157" customHeight="1" spans="2:2">
      <c r="B38157" s="62" t="str">
        <f>IF(AND('领用录入（明细）'!D:D=$F$4,'领用录入（明细）'!C:C&gt;=$J$4,'领用录入（明细）'!C:C&lt;=$L$4),ROW(),"-")</f>
        <v>-</v>
      </c>
    </row>
    <row r="38158" customHeight="1" spans="2:2">
      <c r="B38158" s="62" t="str">
        <f>IF(AND('领用录入（明细）'!D:D=$F$4,'领用录入（明细）'!C:C&gt;=$J$4,'领用录入（明细）'!C:C&lt;=$L$4),ROW(),"-")</f>
        <v>-</v>
      </c>
    </row>
    <row r="38159" customHeight="1" spans="2:2">
      <c r="B38159" s="62" t="str">
        <f>IF(AND('领用录入（明细）'!D:D=$F$4,'领用录入（明细）'!C:C&gt;=$J$4,'领用录入（明细）'!C:C&lt;=$L$4),ROW(),"-")</f>
        <v>-</v>
      </c>
    </row>
    <row r="38160" customHeight="1" spans="2:2">
      <c r="B38160" s="62" t="str">
        <f>IF(AND('领用录入（明细）'!D:D=$F$4,'领用录入（明细）'!C:C&gt;=$J$4,'领用录入（明细）'!C:C&lt;=$L$4),ROW(),"-")</f>
        <v>-</v>
      </c>
    </row>
    <row r="38161" customHeight="1" spans="2:2">
      <c r="B38161" s="62" t="str">
        <f>IF(AND('领用录入（明细）'!D:D=$F$4,'领用录入（明细）'!C:C&gt;=$J$4,'领用录入（明细）'!C:C&lt;=$L$4),ROW(),"-")</f>
        <v>-</v>
      </c>
    </row>
    <row r="38162" customHeight="1" spans="2:2">
      <c r="B38162" s="62" t="str">
        <f>IF(AND('领用录入（明细）'!D:D=$F$4,'领用录入（明细）'!C:C&gt;=$J$4,'领用录入（明细）'!C:C&lt;=$L$4),ROW(),"-")</f>
        <v>-</v>
      </c>
    </row>
    <row r="38163" customHeight="1" spans="2:2">
      <c r="B38163" s="62" t="str">
        <f>IF(AND('领用录入（明细）'!D:D=$F$4,'领用录入（明细）'!C:C&gt;=$J$4,'领用录入（明细）'!C:C&lt;=$L$4),ROW(),"-")</f>
        <v>-</v>
      </c>
    </row>
    <row r="38164" customHeight="1" spans="2:2">
      <c r="B38164" s="62" t="str">
        <f>IF(AND('领用录入（明细）'!D:D=$F$4,'领用录入（明细）'!C:C&gt;=$J$4,'领用录入（明细）'!C:C&lt;=$L$4),ROW(),"-")</f>
        <v>-</v>
      </c>
    </row>
    <row r="38165" customHeight="1" spans="2:2">
      <c r="B38165" s="62" t="str">
        <f>IF(AND('领用录入（明细）'!D:D=$F$4,'领用录入（明细）'!C:C&gt;=$J$4,'领用录入（明细）'!C:C&lt;=$L$4),ROW(),"-")</f>
        <v>-</v>
      </c>
    </row>
    <row r="38166" customHeight="1" spans="2:2">
      <c r="B38166" s="62" t="str">
        <f>IF(AND('领用录入（明细）'!D:D=$F$4,'领用录入（明细）'!C:C&gt;=$J$4,'领用录入（明细）'!C:C&lt;=$L$4),ROW(),"-")</f>
        <v>-</v>
      </c>
    </row>
    <row r="38167" customHeight="1" spans="2:2">
      <c r="B38167" s="62" t="str">
        <f>IF(AND('领用录入（明细）'!D:D=$F$4,'领用录入（明细）'!C:C&gt;=$J$4,'领用录入（明细）'!C:C&lt;=$L$4),ROW(),"-")</f>
        <v>-</v>
      </c>
    </row>
    <row r="38168" customHeight="1" spans="2:2">
      <c r="B38168" s="62" t="str">
        <f>IF(AND('领用录入（明细）'!D:D=$F$4,'领用录入（明细）'!C:C&gt;=$J$4,'领用录入（明细）'!C:C&lt;=$L$4),ROW(),"-")</f>
        <v>-</v>
      </c>
    </row>
    <row r="38169" customHeight="1" spans="2:2">
      <c r="B38169" s="62" t="str">
        <f>IF(AND('领用录入（明细）'!D:D=$F$4,'领用录入（明细）'!C:C&gt;=$J$4,'领用录入（明细）'!C:C&lt;=$L$4),ROW(),"-")</f>
        <v>-</v>
      </c>
    </row>
    <row r="38170" customHeight="1" spans="2:2">
      <c r="B38170" s="62" t="str">
        <f>IF(AND('领用录入（明细）'!D:D=$F$4,'领用录入（明细）'!C:C&gt;=$J$4,'领用录入（明细）'!C:C&lt;=$L$4),ROW(),"-")</f>
        <v>-</v>
      </c>
    </row>
    <row r="38171" customHeight="1" spans="2:2">
      <c r="B38171" s="62" t="str">
        <f>IF(AND('领用录入（明细）'!D:D=$F$4,'领用录入（明细）'!C:C&gt;=$J$4,'领用录入（明细）'!C:C&lt;=$L$4),ROW(),"-")</f>
        <v>-</v>
      </c>
    </row>
    <row r="38172" customHeight="1" spans="2:2">
      <c r="B38172" s="62" t="str">
        <f>IF(AND('领用录入（明细）'!D:D=$F$4,'领用录入（明细）'!C:C&gt;=$J$4,'领用录入（明细）'!C:C&lt;=$L$4),ROW(),"-")</f>
        <v>-</v>
      </c>
    </row>
    <row r="38173" customHeight="1" spans="2:2">
      <c r="B38173" s="62" t="str">
        <f>IF(AND('领用录入（明细）'!D:D=$F$4,'领用录入（明细）'!C:C&gt;=$J$4,'领用录入（明细）'!C:C&lt;=$L$4),ROW(),"-")</f>
        <v>-</v>
      </c>
    </row>
    <row r="38174" customHeight="1" spans="2:2">
      <c r="B38174" s="62" t="str">
        <f>IF(AND('领用录入（明细）'!D:D=$F$4,'领用录入（明细）'!C:C&gt;=$J$4,'领用录入（明细）'!C:C&lt;=$L$4),ROW(),"-")</f>
        <v>-</v>
      </c>
    </row>
    <row r="38175" customHeight="1" spans="2:2">
      <c r="B38175" s="62" t="str">
        <f>IF(AND('领用录入（明细）'!D:D=$F$4,'领用录入（明细）'!C:C&gt;=$J$4,'领用录入（明细）'!C:C&lt;=$L$4),ROW(),"-")</f>
        <v>-</v>
      </c>
    </row>
    <row r="38176" customHeight="1" spans="2:2">
      <c r="B38176" s="62" t="str">
        <f>IF(AND('领用录入（明细）'!D:D=$F$4,'领用录入（明细）'!C:C&gt;=$J$4,'领用录入（明细）'!C:C&lt;=$L$4),ROW(),"-")</f>
        <v>-</v>
      </c>
    </row>
    <row r="38177" customHeight="1" spans="2:2">
      <c r="B38177" s="62" t="str">
        <f>IF(AND('领用录入（明细）'!D:D=$F$4,'领用录入（明细）'!C:C&gt;=$J$4,'领用录入（明细）'!C:C&lt;=$L$4),ROW(),"-")</f>
        <v>-</v>
      </c>
    </row>
    <row r="38178" customHeight="1" spans="2:2">
      <c r="B38178" s="62" t="str">
        <f>IF(AND('领用录入（明细）'!D:D=$F$4,'领用录入（明细）'!C:C&gt;=$J$4,'领用录入（明细）'!C:C&lt;=$L$4),ROW(),"-")</f>
        <v>-</v>
      </c>
    </row>
    <row r="38179" customHeight="1" spans="2:2">
      <c r="B38179" s="62" t="str">
        <f>IF(AND('领用录入（明细）'!D:D=$F$4,'领用录入（明细）'!C:C&gt;=$J$4,'领用录入（明细）'!C:C&lt;=$L$4),ROW(),"-")</f>
        <v>-</v>
      </c>
    </row>
    <row r="38180" customHeight="1" spans="2:2">
      <c r="B38180" s="62" t="str">
        <f>IF(AND('领用录入（明细）'!D:D=$F$4,'领用录入（明细）'!C:C&gt;=$J$4,'领用录入（明细）'!C:C&lt;=$L$4),ROW(),"-")</f>
        <v>-</v>
      </c>
    </row>
    <row r="38181" customHeight="1" spans="2:2">
      <c r="B38181" s="62" t="str">
        <f>IF(AND('领用录入（明细）'!D:D=$F$4,'领用录入（明细）'!C:C&gt;=$J$4,'领用录入（明细）'!C:C&lt;=$L$4),ROW(),"-")</f>
        <v>-</v>
      </c>
    </row>
    <row r="38182" customHeight="1" spans="2:2">
      <c r="B38182" s="62" t="str">
        <f>IF(AND('领用录入（明细）'!D:D=$F$4,'领用录入（明细）'!C:C&gt;=$J$4,'领用录入（明细）'!C:C&lt;=$L$4),ROW(),"-")</f>
        <v>-</v>
      </c>
    </row>
    <row r="38183" customHeight="1" spans="2:2">
      <c r="B38183" s="62" t="str">
        <f>IF(AND('领用录入（明细）'!D:D=$F$4,'领用录入（明细）'!C:C&gt;=$J$4,'领用录入（明细）'!C:C&lt;=$L$4),ROW(),"-")</f>
        <v>-</v>
      </c>
    </row>
    <row r="38184" customHeight="1" spans="2:2">
      <c r="B38184" s="62" t="str">
        <f>IF(AND('领用录入（明细）'!D:D=$F$4,'领用录入（明细）'!C:C&gt;=$J$4,'领用录入（明细）'!C:C&lt;=$L$4),ROW(),"-")</f>
        <v>-</v>
      </c>
    </row>
    <row r="38185" customHeight="1" spans="2:2">
      <c r="B38185" s="62" t="str">
        <f>IF(AND('领用录入（明细）'!D:D=$F$4,'领用录入（明细）'!C:C&gt;=$J$4,'领用录入（明细）'!C:C&lt;=$L$4),ROW(),"-")</f>
        <v>-</v>
      </c>
    </row>
    <row r="38186" customHeight="1" spans="2:2">
      <c r="B38186" s="62" t="str">
        <f>IF(AND('领用录入（明细）'!D:D=$F$4,'领用录入（明细）'!C:C&gt;=$J$4,'领用录入（明细）'!C:C&lt;=$L$4),ROW(),"-")</f>
        <v>-</v>
      </c>
    </row>
    <row r="38187" customHeight="1" spans="2:2">
      <c r="B38187" s="62" t="str">
        <f>IF(AND('领用录入（明细）'!D:D=$F$4,'领用录入（明细）'!C:C&gt;=$J$4,'领用录入（明细）'!C:C&lt;=$L$4),ROW(),"-")</f>
        <v>-</v>
      </c>
    </row>
    <row r="38188" customHeight="1" spans="2:2">
      <c r="B38188" s="62" t="str">
        <f>IF(AND('领用录入（明细）'!D:D=$F$4,'领用录入（明细）'!C:C&gt;=$J$4,'领用录入（明细）'!C:C&lt;=$L$4),ROW(),"-")</f>
        <v>-</v>
      </c>
    </row>
    <row r="38189" customHeight="1" spans="2:2">
      <c r="B38189" s="62" t="str">
        <f>IF(AND('领用录入（明细）'!D:D=$F$4,'领用录入（明细）'!C:C&gt;=$J$4,'领用录入（明细）'!C:C&lt;=$L$4),ROW(),"-")</f>
        <v>-</v>
      </c>
    </row>
    <row r="38190" customHeight="1" spans="2:2">
      <c r="B38190" s="62" t="str">
        <f>IF(AND('领用录入（明细）'!D:D=$F$4,'领用录入（明细）'!C:C&gt;=$J$4,'领用录入（明细）'!C:C&lt;=$L$4),ROW(),"-")</f>
        <v>-</v>
      </c>
    </row>
    <row r="38191" customHeight="1" spans="2:2">
      <c r="B38191" s="62" t="str">
        <f>IF(AND('领用录入（明细）'!D:D=$F$4,'领用录入（明细）'!C:C&gt;=$J$4,'领用录入（明细）'!C:C&lt;=$L$4),ROW(),"-")</f>
        <v>-</v>
      </c>
    </row>
    <row r="38192" customHeight="1" spans="2:2">
      <c r="B38192" s="62" t="str">
        <f>IF(AND('领用录入（明细）'!D:D=$F$4,'领用录入（明细）'!C:C&gt;=$J$4,'领用录入（明细）'!C:C&lt;=$L$4),ROW(),"-")</f>
        <v>-</v>
      </c>
    </row>
    <row r="38193" customHeight="1" spans="2:2">
      <c r="B38193" s="62" t="str">
        <f>IF(AND('领用录入（明细）'!D:D=$F$4,'领用录入（明细）'!C:C&gt;=$J$4,'领用录入（明细）'!C:C&lt;=$L$4),ROW(),"-")</f>
        <v>-</v>
      </c>
    </row>
    <row r="38194" customHeight="1" spans="2:2">
      <c r="B38194" s="62" t="str">
        <f>IF(AND('领用录入（明细）'!D:D=$F$4,'领用录入（明细）'!C:C&gt;=$J$4,'领用录入（明细）'!C:C&lt;=$L$4),ROW(),"-")</f>
        <v>-</v>
      </c>
    </row>
    <row r="38195" customHeight="1" spans="2:2">
      <c r="B38195" s="62" t="str">
        <f>IF(AND('领用录入（明细）'!D:D=$F$4,'领用录入（明细）'!C:C&gt;=$J$4,'领用录入（明细）'!C:C&lt;=$L$4),ROW(),"-")</f>
        <v>-</v>
      </c>
    </row>
    <row r="38196" customHeight="1" spans="2:2">
      <c r="B38196" s="62" t="str">
        <f>IF(AND('领用录入（明细）'!D:D=$F$4,'领用录入（明细）'!C:C&gt;=$J$4,'领用录入（明细）'!C:C&lt;=$L$4),ROW(),"-")</f>
        <v>-</v>
      </c>
    </row>
    <row r="38197" customHeight="1" spans="2:2">
      <c r="B38197" s="62" t="str">
        <f>IF(AND('领用录入（明细）'!D:D=$F$4,'领用录入（明细）'!C:C&gt;=$J$4,'领用录入（明细）'!C:C&lt;=$L$4),ROW(),"-")</f>
        <v>-</v>
      </c>
    </row>
    <row r="38198" customHeight="1" spans="2:2">
      <c r="B38198" s="62" t="str">
        <f>IF(AND('领用录入（明细）'!D:D=$F$4,'领用录入（明细）'!C:C&gt;=$J$4,'领用录入（明细）'!C:C&lt;=$L$4),ROW(),"-")</f>
        <v>-</v>
      </c>
    </row>
    <row r="38199" customHeight="1" spans="2:2">
      <c r="B38199" s="62" t="str">
        <f>IF(AND('领用录入（明细）'!D:D=$F$4,'领用录入（明细）'!C:C&gt;=$J$4,'领用录入（明细）'!C:C&lt;=$L$4),ROW(),"-")</f>
        <v>-</v>
      </c>
    </row>
    <row r="38200" customHeight="1" spans="2:2">
      <c r="B38200" s="62" t="str">
        <f>IF(AND('领用录入（明细）'!D:D=$F$4,'领用录入（明细）'!C:C&gt;=$J$4,'领用录入（明细）'!C:C&lt;=$L$4),ROW(),"-")</f>
        <v>-</v>
      </c>
    </row>
    <row r="38201" customHeight="1" spans="2:2">
      <c r="B38201" s="62" t="str">
        <f>IF(AND('领用录入（明细）'!D:D=$F$4,'领用录入（明细）'!C:C&gt;=$J$4,'领用录入（明细）'!C:C&lt;=$L$4),ROW(),"-")</f>
        <v>-</v>
      </c>
    </row>
    <row r="38202" customHeight="1" spans="2:2">
      <c r="B38202" s="62" t="str">
        <f>IF(AND('领用录入（明细）'!D:D=$F$4,'领用录入（明细）'!C:C&gt;=$J$4,'领用录入（明细）'!C:C&lt;=$L$4),ROW(),"-")</f>
        <v>-</v>
      </c>
    </row>
    <row r="38203" customHeight="1" spans="2:2">
      <c r="B38203" s="62" t="str">
        <f>IF(AND('领用录入（明细）'!D:D=$F$4,'领用录入（明细）'!C:C&gt;=$J$4,'领用录入（明细）'!C:C&lt;=$L$4),ROW(),"-")</f>
        <v>-</v>
      </c>
    </row>
    <row r="38204" customHeight="1" spans="2:2">
      <c r="B38204" s="62" t="str">
        <f>IF(AND('领用录入（明细）'!D:D=$F$4,'领用录入（明细）'!C:C&gt;=$J$4,'领用录入（明细）'!C:C&lt;=$L$4),ROW(),"-")</f>
        <v>-</v>
      </c>
    </row>
    <row r="38205" customHeight="1" spans="2:2">
      <c r="B38205" s="62" t="str">
        <f>IF(AND('领用录入（明细）'!D:D=$F$4,'领用录入（明细）'!C:C&gt;=$J$4,'领用录入（明细）'!C:C&lt;=$L$4),ROW(),"-")</f>
        <v>-</v>
      </c>
    </row>
    <row r="38206" customHeight="1" spans="2:2">
      <c r="B38206" s="62" t="str">
        <f>IF(AND('领用录入（明细）'!D:D=$F$4,'领用录入（明细）'!C:C&gt;=$J$4,'领用录入（明细）'!C:C&lt;=$L$4),ROW(),"-")</f>
        <v>-</v>
      </c>
    </row>
    <row r="38207" customHeight="1" spans="2:2">
      <c r="B38207" s="62" t="str">
        <f>IF(AND('领用录入（明细）'!D:D=$F$4,'领用录入（明细）'!C:C&gt;=$J$4,'领用录入（明细）'!C:C&lt;=$L$4),ROW(),"-")</f>
        <v>-</v>
      </c>
    </row>
    <row r="38208" customHeight="1" spans="2:2">
      <c r="B38208" s="62" t="str">
        <f>IF(AND('领用录入（明细）'!D:D=$F$4,'领用录入（明细）'!C:C&gt;=$J$4,'领用录入（明细）'!C:C&lt;=$L$4),ROW(),"-")</f>
        <v>-</v>
      </c>
    </row>
    <row r="38209" customHeight="1" spans="2:2">
      <c r="B38209" s="62" t="str">
        <f>IF(AND('领用录入（明细）'!D:D=$F$4,'领用录入（明细）'!C:C&gt;=$J$4,'领用录入（明细）'!C:C&lt;=$L$4),ROW(),"-")</f>
        <v>-</v>
      </c>
    </row>
    <row r="38210" customHeight="1" spans="2:2">
      <c r="B38210" s="62" t="str">
        <f>IF(AND('领用录入（明细）'!D:D=$F$4,'领用录入（明细）'!C:C&gt;=$J$4,'领用录入（明细）'!C:C&lt;=$L$4),ROW(),"-")</f>
        <v>-</v>
      </c>
    </row>
    <row r="38211" customHeight="1" spans="2:2">
      <c r="B38211" s="62" t="str">
        <f>IF(AND('领用录入（明细）'!D:D=$F$4,'领用录入（明细）'!C:C&gt;=$J$4,'领用录入（明细）'!C:C&lt;=$L$4),ROW(),"-")</f>
        <v>-</v>
      </c>
    </row>
    <row r="38212" customHeight="1" spans="2:2">
      <c r="B38212" s="62" t="str">
        <f>IF(AND('领用录入（明细）'!D:D=$F$4,'领用录入（明细）'!C:C&gt;=$J$4,'领用录入（明细）'!C:C&lt;=$L$4),ROW(),"-")</f>
        <v>-</v>
      </c>
    </row>
    <row r="38213" customHeight="1" spans="2:2">
      <c r="B38213" s="62" t="str">
        <f>IF(AND('领用录入（明细）'!D:D=$F$4,'领用录入（明细）'!C:C&gt;=$J$4,'领用录入（明细）'!C:C&lt;=$L$4),ROW(),"-")</f>
        <v>-</v>
      </c>
    </row>
    <row r="38214" customHeight="1" spans="2:2">
      <c r="B38214" s="62" t="str">
        <f>IF(AND('领用录入（明细）'!D:D=$F$4,'领用录入（明细）'!C:C&gt;=$J$4,'领用录入（明细）'!C:C&lt;=$L$4),ROW(),"-")</f>
        <v>-</v>
      </c>
    </row>
    <row r="38215" customHeight="1" spans="2:2">
      <c r="B38215" s="62" t="str">
        <f>IF(AND('领用录入（明细）'!D:D=$F$4,'领用录入（明细）'!C:C&gt;=$J$4,'领用录入（明细）'!C:C&lt;=$L$4),ROW(),"-")</f>
        <v>-</v>
      </c>
    </row>
    <row r="38216" customHeight="1" spans="2:2">
      <c r="B38216" s="62" t="str">
        <f>IF(AND('领用录入（明细）'!D:D=$F$4,'领用录入（明细）'!C:C&gt;=$J$4,'领用录入（明细）'!C:C&lt;=$L$4),ROW(),"-")</f>
        <v>-</v>
      </c>
    </row>
    <row r="38217" customHeight="1" spans="2:2">
      <c r="B38217" s="62" t="str">
        <f>IF(AND('领用录入（明细）'!D:D=$F$4,'领用录入（明细）'!C:C&gt;=$J$4,'领用录入（明细）'!C:C&lt;=$L$4),ROW(),"-")</f>
        <v>-</v>
      </c>
    </row>
    <row r="38218" customHeight="1" spans="2:2">
      <c r="B38218" s="62" t="str">
        <f>IF(AND('领用录入（明细）'!D:D=$F$4,'领用录入（明细）'!C:C&gt;=$J$4,'领用录入（明细）'!C:C&lt;=$L$4),ROW(),"-")</f>
        <v>-</v>
      </c>
    </row>
    <row r="38219" customHeight="1" spans="2:2">
      <c r="B38219" s="62" t="str">
        <f>IF(AND('领用录入（明细）'!D:D=$F$4,'领用录入（明细）'!C:C&gt;=$J$4,'领用录入（明细）'!C:C&lt;=$L$4),ROW(),"-")</f>
        <v>-</v>
      </c>
    </row>
    <row r="38220" customHeight="1" spans="2:2">
      <c r="B38220" s="62" t="str">
        <f>IF(AND('领用录入（明细）'!D:D=$F$4,'领用录入（明细）'!C:C&gt;=$J$4,'领用录入（明细）'!C:C&lt;=$L$4),ROW(),"-")</f>
        <v>-</v>
      </c>
    </row>
    <row r="38221" customHeight="1" spans="2:2">
      <c r="B38221" s="62" t="str">
        <f>IF(AND('领用录入（明细）'!D:D=$F$4,'领用录入（明细）'!C:C&gt;=$J$4,'领用录入（明细）'!C:C&lt;=$L$4),ROW(),"-")</f>
        <v>-</v>
      </c>
    </row>
    <row r="38222" customHeight="1" spans="2:2">
      <c r="B38222" s="62" t="str">
        <f>IF(AND('领用录入（明细）'!D:D=$F$4,'领用录入（明细）'!C:C&gt;=$J$4,'领用录入（明细）'!C:C&lt;=$L$4),ROW(),"-")</f>
        <v>-</v>
      </c>
    </row>
    <row r="38223" customHeight="1" spans="2:2">
      <c r="B38223" s="62" t="str">
        <f>IF(AND('领用录入（明细）'!D:D=$F$4,'领用录入（明细）'!C:C&gt;=$J$4,'领用录入（明细）'!C:C&lt;=$L$4),ROW(),"-")</f>
        <v>-</v>
      </c>
    </row>
    <row r="38224" customHeight="1" spans="2:2">
      <c r="B38224" s="62" t="str">
        <f>IF(AND('领用录入（明细）'!D:D=$F$4,'领用录入（明细）'!C:C&gt;=$J$4,'领用录入（明细）'!C:C&lt;=$L$4),ROW(),"-")</f>
        <v>-</v>
      </c>
    </row>
    <row r="38225" customHeight="1" spans="2:2">
      <c r="B38225" s="62" t="str">
        <f>IF(AND('领用录入（明细）'!D:D=$F$4,'领用录入（明细）'!C:C&gt;=$J$4,'领用录入（明细）'!C:C&lt;=$L$4),ROW(),"-")</f>
        <v>-</v>
      </c>
    </row>
    <row r="38226" customHeight="1" spans="2:2">
      <c r="B38226" s="62" t="str">
        <f>IF(AND('领用录入（明细）'!D:D=$F$4,'领用录入（明细）'!C:C&gt;=$J$4,'领用录入（明细）'!C:C&lt;=$L$4),ROW(),"-")</f>
        <v>-</v>
      </c>
    </row>
    <row r="38227" customHeight="1" spans="2:2">
      <c r="B38227" s="62" t="str">
        <f>IF(AND('领用录入（明细）'!D:D=$F$4,'领用录入（明细）'!C:C&gt;=$J$4,'领用录入（明细）'!C:C&lt;=$L$4),ROW(),"-")</f>
        <v>-</v>
      </c>
    </row>
    <row r="38228" customHeight="1" spans="2:2">
      <c r="B38228" s="62" t="str">
        <f>IF(AND('领用录入（明细）'!D:D=$F$4,'领用录入（明细）'!C:C&gt;=$J$4,'领用录入（明细）'!C:C&lt;=$L$4),ROW(),"-")</f>
        <v>-</v>
      </c>
    </row>
    <row r="38229" customHeight="1" spans="2:2">
      <c r="B38229" s="62" t="str">
        <f>IF(AND('领用录入（明细）'!D:D=$F$4,'领用录入（明细）'!C:C&gt;=$J$4,'领用录入（明细）'!C:C&lt;=$L$4),ROW(),"-")</f>
        <v>-</v>
      </c>
    </row>
    <row r="38230" customHeight="1" spans="2:2">
      <c r="B38230" s="62" t="str">
        <f>IF(AND('领用录入（明细）'!D:D=$F$4,'领用录入（明细）'!C:C&gt;=$J$4,'领用录入（明细）'!C:C&lt;=$L$4),ROW(),"-")</f>
        <v>-</v>
      </c>
    </row>
    <row r="38231" customHeight="1" spans="2:2">
      <c r="B38231" s="62" t="str">
        <f>IF(AND('领用录入（明细）'!D:D=$F$4,'领用录入（明细）'!C:C&gt;=$J$4,'领用录入（明细）'!C:C&lt;=$L$4),ROW(),"-")</f>
        <v>-</v>
      </c>
    </row>
    <row r="38232" customHeight="1" spans="2:2">
      <c r="B38232" s="62" t="str">
        <f>IF(AND('领用录入（明细）'!D:D=$F$4,'领用录入（明细）'!C:C&gt;=$J$4,'领用录入（明细）'!C:C&lt;=$L$4),ROW(),"-")</f>
        <v>-</v>
      </c>
    </row>
    <row r="38233" customHeight="1" spans="2:2">
      <c r="B38233" s="62" t="str">
        <f>IF(AND('领用录入（明细）'!D:D=$F$4,'领用录入（明细）'!C:C&gt;=$J$4,'领用录入（明细）'!C:C&lt;=$L$4),ROW(),"-")</f>
        <v>-</v>
      </c>
    </row>
    <row r="38234" customHeight="1" spans="2:2">
      <c r="B38234" s="62" t="str">
        <f>IF(AND('领用录入（明细）'!D:D=$F$4,'领用录入（明细）'!C:C&gt;=$J$4,'领用录入（明细）'!C:C&lt;=$L$4),ROW(),"-")</f>
        <v>-</v>
      </c>
    </row>
    <row r="38235" customHeight="1" spans="2:2">
      <c r="B38235" s="62" t="str">
        <f>IF(AND('领用录入（明细）'!D:D=$F$4,'领用录入（明细）'!C:C&gt;=$J$4,'领用录入（明细）'!C:C&lt;=$L$4),ROW(),"-")</f>
        <v>-</v>
      </c>
    </row>
    <row r="38236" customHeight="1" spans="2:2">
      <c r="B38236" s="62" t="str">
        <f>IF(AND('领用录入（明细）'!D:D=$F$4,'领用录入（明细）'!C:C&gt;=$J$4,'领用录入（明细）'!C:C&lt;=$L$4),ROW(),"-")</f>
        <v>-</v>
      </c>
    </row>
    <row r="38237" customHeight="1" spans="2:2">
      <c r="B38237" s="62" t="str">
        <f>IF(AND('领用录入（明细）'!D:D=$F$4,'领用录入（明细）'!C:C&gt;=$J$4,'领用录入（明细）'!C:C&lt;=$L$4),ROW(),"-")</f>
        <v>-</v>
      </c>
    </row>
    <row r="38238" customHeight="1" spans="2:2">
      <c r="B38238" s="62" t="str">
        <f>IF(AND('领用录入（明细）'!D:D=$F$4,'领用录入（明细）'!C:C&gt;=$J$4,'领用录入（明细）'!C:C&lt;=$L$4),ROW(),"-")</f>
        <v>-</v>
      </c>
    </row>
    <row r="38239" customHeight="1" spans="2:2">
      <c r="B38239" s="62" t="str">
        <f>IF(AND('领用录入（明细）'!D:D=$F$4,'领用录入（明细）'!C:C&gt;=$J$4,'领用录入（明细）'!C:C&lt;=$L$4),ROW(),"-")</f>
        <v>-</v>
      </c>
    </row>
    <row r="38240" customHeight="1" spans="2:2">
      <c r="B38240" s="62" t="str">
        <f>IF(AND('领用录入（明细）'!D:D=$F$4,'领用录入（明细）'!C:C&gt;=$J$4,'领用录入（明细）'!C:C&lt;=$L$4),ROW(),"-")</f>
        <v>-</v>
      </c>
    </row>
    <row r="38241" customHeight="1" spans="2:2">
      <c r="B38241" s="62" t="str">
        <f>IF(AND('领用录入（明细）'!D:D=$F$4,'领用录入（明细）'!C:C&gt;=$J$4,'领用录入（明细）'!C:C&lt;=$L$4),ROW(),"-")</f>
        <v>-</v>
      </c>
    </row>
    <row r="38242" customHeight="1" spans="2:2">
      <c r="B38242" s="62" t="str">
        <f>IF(AND('领用录入（明细）'!D:D=$F$4,'领用录入（明细）'!C:C&gt;=$J$4,'领用录入（明细）'!C:C&lt;=$L$4),ROW(),"-")</f>
        <v>-</v>
      </c>
    </row>
    <row r="38243" customHeight="1" spans="2:2">
      <c r="B38243" s="62" t="str">
        <f>IF(AND('领用录入（明细）'!D:D=$F$4,'领用录入（明细）'!C:C&gt;=$J$4,'领用录入（明细）'!C:C&lt;=$L$4),ROW(),"-")</f>
        <v>-</v>
      </c>
    </row>
    <row r="38244" customHeight="1" spans="2:2">
      <c r="B38244" s="62" t="str">
        <f>IF(AND('领用录入（明细）'!D:D=$F$4,'领用录入（明细）'!C:C&gt;=$J$4,'领用录入（明细）'!C:C&lt;=$L$4),ROW(),"-")</f>
        <v>-</v>
      </c>
    </row>
    <row r="38245" customHeight="1" spans="2:2">
      <c r="B38245" s="62" t="str">
        <f>IF(AND('领用录入（明细）'!D:D=$F$4,'领用录入（明细）'!C:C&gt;=$J$4,'领用录入（明细）'!C:C&lt;=$L$4),ROW(),"-")</f>
        <v>-</v>
      </c>
    </row>
    <row r="38246" customHeight="1" spans="2:2">
      <c r="B38246" s="62" t="str">
        <f>IF(AND('领用录入（明细）'!D:D=$F$4,'领用录入（明细）'!C:C&gt;=$J$4,'领用录入（明细）'!C:C&lt;=$L$4),ROW(),"-")</f>
        <v>-</v>
      </c>
    </row>
    <row r="38247" customHeight="1" spans="2:2">
      <c r="B38247" s="62" t="str">
        <f>IF(AND('领用录入（明细）'!D:D=$F$4,'领用录入（明细）'!C:C&gt;=$J$4,'领用录入（明细）'!C:C&lt;=$L$4),ROW(),"-")</f>
        <v>-</v>
      </c>
    </row>
    <row r="38248" customHeight="1" spans="2:2">
      <c r="B38248" s="62" t="str">
        <f>IF(AND('领用录入（明细）'!D:D=$F$4,'领用录入（明细）'!C:C&gt;=$J$4,'领用录入（明细）'!C:C&lt;=$L$4),ROW(),"-")</f>
        <v>-</v>
      </c>
    </row>
    <row r="38249" customHeight="1" spans="2:2">
      <c r="B38249" s="62" t="str">
        <f>IF(AND('领用录入（明细）'!D:D=$F$4,'领用录入（明细）'!C:C&gt;=$J$4,'领用录入（明细）'!C:C&lt;=$L$4),ROW(),"-")</f>
        <v>-</v>
      </c>
    </row>
    <row r="38250" customHeight="1" spans="2:2">
      <c r="B38250" s="62" t="str">
        <f>IF(AND('领用录入（明细）'!D:D=$F$4,'领用录入（明细）'!C:C&gt;=$J$4,'领用录入（明细）'!C:C&lt;=$L$4),ROW(),"-")</f>
        <v>-</v>
      </c>
    </row>
    <row r="38251" customHeight="1" spans="2:2">
      <c r="B38251" s="62" t="str">
        <f>IF(AND('领用录入（明细）'!D:D=$F$4,'领用录入（明细）'!C:C&gt;=$J$4,'领用录入（明细）'!C:C&lt;=$L$4),ROW(),"-")</f>
        <v>-</v>
      </c>
    </row>
    <row r="38252" customHeight="1" spans="2:2">
      <c r="B38252" s="62" t="str">
        <f>IF(AND('领用录入（明细）'!D:D=$F$4,'领用录入（明细）'!C:C&gt;=$J$4,'领用录入（明细）'!C:C&lt;=$L$4),ROW(),"-")</f>
        <v>-</v>
      </c>
    </row>
    <row r="38253" customHeight="1" spans="2:2">
      <c r="B38253" s="62" t="str">
        <f>IF(AND('领用录入（明细）'!D:D=$F$4,'领用录入（明细）'!C:C&gt;=$J$4,'领用录入（明细）'!C:C&lt;=$L$4),ROW(),"-")</f>
        <v>-</v>
      </c>
    </row>
    <row r="38254" customHeight="1" spans="2:2">
      <c r="B38254" s="62" t="str">
        <f>IF(AND('领用录入（明细）'!D:D=$F$4,'领用录入（明细）'!C:C&gt;=$J$4,'领用录入（明细）'!C:C&lt;=$L$4),ROW(),"-")</f>
        <v>-</v>
      </c>
    </row>
    <row r="38255" customHeight="1" spans="2:2">
      <c r="B38255" s="62" t="str">
        <f>IF(AND('领用录入（明细）'!D:D=$F$4,'领用录入（明细）'!C:C&gt;=$J$4,'领用录入（明细）'!C:C&lt;=$L$4),ROW(),"-")</f>
        <v>-</v>
      </c>
    </row>
    <row r="38256" customHeight="1" spans="2:2">
      <c r="B38256" s="62" t="str">
        <f>IF(AND('领用录入（明细）'!D:D=$F$4,'领用录入（明细）'!C:C&gt;=$J$4,'领用录入（明细）'!C:C&lt;=$L$4),ROW(),"-")</f>
        <v>-</v>
      </c>
    </row>
    <row r="38257" customHeight="1" spans="2:2">
      <c r="B38257" s="62" t="str">
        <f>IF(AND('领用录入（明细）'!D:D=$F$4,'领用录入（明细）'!C:C&gt;=$J$4,'领用录入（明细）'!C:C&lt;=$L$4),ROW(),"-")</f>
        <v>-</v>
      </c>
    </row>
    <row r="38258" customHeight="1" spans="2:2">
      <c r="B38258" s="62" t="str">
        <f>IF(AND('领用录入（明细）'!D:D=$F$4,'领用录入（明细）'!C:C&gt;=$J$4,'领用录入（明细）'!C:C&lt;=$L$4),ROW(),"-")</f>
        <v>-</v>
      </c>
    </row>
    <row r="38259" customHeight="1" spans="2:2">
      <c r="B38259" s="62" t="str">
        <f>IF(AND('领用录入（明细）'!D:D=$F$4,'领用录入（明细）'!C:C&gt;=$J$4,'领用录入（明细）'!C:C&lt;=$L$4),ROW(),"-")</f>
        <v>-</v>
      </c>
    </row>
    <row r="38260" customHeight="1" spans="2:2">
      <c r="B38260" s="62" t="str">
        <f>IF(AND('领用录入（明细）'!D:D=$F$4,'领用录入（明细）'!C:C&gt;=$J$4,'领用录入（明细）'!C:C&lt;=$L$4),ROW(),"-")</f>
        <v>-</v>
      </c>
    </row>
    <row r="38261" customHeight="1" spans="2:2">
      <c r="B38261" s="62" t="str">
        <f>IF(AND('领用录入（明细）'!D:D=$F$4,'领用录入（明细）'!C:C&gt;=$J$4,'领用录入（明细）'!C:C&lt;=$L$4),ROW(),"-")</f>
        <v>-</v>
      </c>
    </row>
    <row r="38262" customHeight="1" spans="2:2">
      <c r="B38262" s="62" t="str">
        <f>IF(AND('领用录入（明细）'!D:D=$F$4,'领用录入（明细）'!C:C&gt;=$J$4,'领用录入（明细）'!C:C&lt;=$L$4),ROW(),"-")</f>
        <v>-</v>
      </c>
    </row>
    <row r="38263" customHeight="1" spans="2:2">
      <c r="B38263" s="62" t="str">
        <f>IF(AND('领用录入（明细）'!D:D=$F$4,'领用录入（明细）'!C:C&gt;=$J$4,'领用录入（明细）'!C:C&lt;=$L$4),ROW(),"-")</f>
        <v>-</v>
      </c>
    </row>
    <row r="38264" customHeight="1" spans="2:2">
      <c r="B38264" s="62" t="str">
        <f>IF(AND('领用录入（明细）'!D:D=$F$4,'领用录入（明细）'!C:C&gt;=$J$4,'领用录入（明细）'!C:C&lt;=$L$4),ROW(),"-")</f>
        <v>-</v>
      </c>
    </row>
    <row r="38265" customHeight="1" spans="2:2">
      <c r="B38265" s="62" t="str">
        <f>IF(AND('领用录入（明细）'!D:D=$F$4,'领用录入（明细）'!C:C&gt;=$J$4,'领用录入（明细）'!C:C&lt;=$L$4),ROW(),"-")</f>
        <v>-</v>
      </c>
    </row>
    <row r="38266" customHeight="1" spans="2:2">
      <c r="B38266" s="62" t="str">
        <f>IF(AND('领用录入（明细）'!D:D=$F$4,'领用录入（明细）'!C:C&gt;=$J$4,'领用录入（明细）'!C:C&lt;=$L$4),ROW(),"-")</f>
        <v>-</v>
      </c>
    </row>
    <row r="38267" customHeight="1" spans="2:2">
      <c r="B38267" s="62" t="str">
        <f>IF(AND('领用录入（明细）'!D:D=$F$4,'领用录入（明细）'!C:C&gt;=$J$4,'领用录入（明细）'!C:C&lt;=$L$4),ROW(),"-")</f>
        <v>-</v>
      </c>
    </row>
    <row r="38268" customHeight="1" spans="2:2">
      <c r="B38268" s="62" t="str">
        <f>IF(AND('领用录入（明细）'!D:D=$F$4,'领用录入（明细）'!C:C&gt;=$J$4,'领用录入（明细）'!C:C&lt;=$L$4),ROW(),"-")</f>
        <v>-</v>
      </c>
    </row>
    <row r="38269" customHeight="1" spans="2:2">
      <c r="B38269" s="62" t="str">
        <f>IF(AND('领用录入（明细）'!D:D=$F$4,'领用录入（明细）'!C:C&gt;=$J$4,'领用录入（明细）'!C:C&lt;=$L$4),ROW(),"-")</f>
        <v>-</v>
      </c>
    </row>
    <row r="38270" customHeight="1" spans="2:2">
      <c r="B38270" s="62" t="str">
        <f>IF(AND('领用录入（明细）'!D:D=$F$4,'领用录入（明细）'!C:C&gt;=$J$4,'领用录入（明细）'!C:C&lt;=$L$4),ROW(),"-")</f>
        <v>-</v>
      </c>
    </row>
    <row r="38271" customHeight="1" spans="2:2">
      <c r="B38271" s="62" t="str">
        <f>IF(AND('领用录入（明细）'!D:D=$F$4,'领用录入（明细）'!C:C&gt;=$J$4,'领用录入（明细）'!C:C&lt;=$L$4),ROW(),"-")</f>
        <v>-</v>
      </c>
    </row>
    <row r="38272" customHeight="1" spans="2:2">
      <c r="B38272" s="62" t="str">
        <f>IF(AND('领用录入（明细）'!D:D=$F$4,'领用录入（明细）'!C:C&gt;=$J$4,'领用录入（明细）'!C:C&lt;=$L$4),ROW(),"-")</f>
        <v>-</v>
      </c>
    </row>
    <row r="38273" customHeight="1" spans="2:2">
      <c r="B38273" s="62" t="str">
        <f>IF(AND('领用录入（明细）'!D:D=$F$4,'领用录入（明细）'!C:C&gt;=$J$4,'领用录入（明细）'!C:C&lt;=$L$4),ROW(),"-")</f>
        <v>-</v>
      </c>
    </row>
    <row r="38274" customHeight="1" spans="2:2">
      <c r="B38274" s="62" t="str">
        <f>IF(AND('领用录入（明细）'!D:D=$F$4,'领用录入（明细）'!C:C&gt;=$J$4,'领用录入（明细）'!C:C&lt;=$L$4),ROW(),"-")</f>
        <v>-</v>
      </c>
    </row>
    <row r="38275" customHeight="1" spans="2:2">
      <c r="B38275" s="62" t="str">
        <f>IF(AND('领用录入（明细）'!D:D=$F$4,'领用录入（明细）'!C:C&gt;=$J$4,'领用录入（明细）'!C:C&lt;=$L$4),ROW(),"-")</f>
        <v>-</v>
      </c>
    </row>
    <row r="38276" customHeight="1" spans="2:2">
      <c r="B38276" s="62" t="str">
        <f>IF(AND('领用录入（明细）'!D:D=$F$4,'领用录入（明细）'!C:C&gt;=$J$4,'领用录入（明细）'!C:C&lt;=$L$4),ROW(),"-")</f>
        <v>-</v>
      </c>
    </row>
    <row r="38277" customHeight="1" spans="2:2">
      <c r="B38277" s="62" t="str">
        <f>IF(AND('领用录入（明细）'!D:D=$F$4,'领用录入（明细）'!C:C&gt;=$J$4,'领用录入（明细）'!C:C&lt;=$L$4),ROW(),"-")</f>
        <v>-</v>
      </c>
    </row>
    <row r="38278" customHeight="1" spans="2:2">
      <c r="B38278" s="62" t="str">
        <f>IF(AND('领用录入（明细）'!D:D=$F$4,'领用录入（明细）'!C:C&gt;=$J$4,'领用录入（明细）'!C:C&lt;=$L$4),ROW(),"-")</f>
        <v>-</v>
      </c>
    </row>
    <row r="38279" customHeight="1" spans="2:2">
      <c r="B38279" s="62" t="str">
        <f>IF(AND('领用录入（明细）'!D:D=$F$4,'领用录入（明细）'!C:C&gt;=$J$4,'领用录入（明细）'!C:C&lt;=$L$4),ROW(),"-")</f>
        <v>-</v>
      </c>
    </row>
    <row r="38280" customHeight="1" spans="2:2">
      <c r="B38280" s="62" t="str">
        <f>IF(AND('领用录入（明细）'!D:D=$F$4,'领用录入（明细）'!C:C&gt;=$J$4,'领用录入（明细）'!C:C&lt;=$L$4),ROW(),"-")</f>
        <v>-</v>
      </c>
    </row>
    <row r="38281" customHeight="1" spans="2:2">
      <c r="B38281" s="62" t="str">
        <f>IF(AND('领用录入（明细）'!D:D=$F$4,'领用录入（明细）'!C:C&gt;=$J$4,'领用录入（明细）'!C:C&lt;=$L$4),ROW(),"-")</f>
        <v>-</v>
      </c>
    </row>
    <row r="38282" customHeight="1" spans="2:2">
      <c r="B38282" s="62" t="str">
        <f>IF(AND('领用录入（明细）'!D:D=$F$4,'领用录入（明细）'!C:C&gt;=$J$4,'领用录入（明细）'!C:C&lt;=$L$4),ROW(),"-")</f>
        <v>-</v>
      </c>
    </row>
    <row r="38283" customHeight="1" spans="2:2">
      <c r="B38283" s="62" t="str">
        <f>IF(AND('领用录入（明细）'!D:D=$F$4,'领用录入（明细）'!C:C&gt;=$J$4,'领用录入（明细）'!C:C&lt;=$L$4),ROW(),"-")</f>
        <v>-</v>
      </c>
    </row>
    <row r="38284" customHeight="1" spans="2:2">
      <c r="B38284" s="62" t="str">
        <f>IF(AND('领用录入（明细）'!D:D=$F$4,'领用录入（明细）'!C:C&gt;=$J$4,'领用录入（明细）'!C:C&lt;=$L$4),ROW(),"-")</f>
        <v>-</v>
      </c>
    </row>
    <row r="38285" customHeight="1" spans="2:2">
      <c r="B38285" s="62" t="str">
        <f>IF(AND('领用录入（明细）'!D:D=$F$4,'领用录入（明细）'!C:C&gt;=$J$4,'领用录入（明细）'!C:C&lt;=$L$4),ROW(),"-")</f>
        <v>-</v>
      </c>
    </row>
    <row r="38286" customHeight="1" spans="2:2">
      <c r="B38286" s="62" t="str">
        <f>IF(AND('领用录入（明细）'!D:D=$F$4,'领用录入（明细）'!C:C&gt;=$J$4,'领用录入（明细）'!C:C&lt;=$L$4),ROW(),"-")</f>
        <v>-</v>
      </c>
    </row>
    <row r="38287" customHeight="1" spans="2:2">
      <c r="B38287" s="62" t="str">
        <f>IF(AND('领用录入（明细）'!D:D=$F$4,'领用录入（明细）'!C:C&gt;=$J$4,'领用录入（明细）'!C:C&lt;=$L$4),ROW(),"-")</f>
        <v>-</v>
      </c>
    </row>
    <row r="38288" customHeight="1" spans="2:2">
      <c r="B38288" s="62" t="str">
        <f>IF(AND('领用录入（明细）'!D:D=$F$4,'领用录入（明细）'!C:C&gt;=$J$4,'领用录入（明细）'!C:C&lt;=$L$4),ROW(),"-")</f>
        <v>-</v>
      </c>
    </row>
    <row r="38289" customHeight="1" spans="2:2">
      <c r="B38289" s="62" t="str">
        <f>IF(AND('领用录入（明细）'!D:D=$F$4,'领用录入（明细）'!C:C&gt;=$J$4,'领用录入（明细）'!C:C&lt;=$L$4),ROW(),"-")</f>
        <v>-</v>
      </c>
    </row>
    <row r="38290" customHeight="1" spans="2:2">
      <c r="B38290" s="62" t="str">
        <f>IF(AND('领用录入（明细）'!D:D=$F$4,'领用录入（明细）'!C:C&gt;=$J$4,'领用录入（明细）'!C:C&lt;=$L$4),ROW(),"-")</f>
        <v>-</v>
      </c>
    </row>
    <row r="38291" customHeight="1" spans="2:2">
      <c r="B38291" s="62" t="str">
        <f>IF(AND('领用录入（明细）'!D:D=$F$4,'领用录入（明细）'!C:C&gt;=$J$4,'领用录入（明细）'!C:C&lt;=$L$4),ROW(),"-")</f>
        <v>-</v>
      </c>
    </row>
    <row r="38292" customHeight="1" spans="2:2">
      <c r="B38292" s="62" t="str">
        <f>IF(AND('领用录入（明细）'!D:D=$F$4,'领用录入（明细）'!C:C&gt;=$J$4,'领用录入（明细）'!C:C&lt;=$L$4),ROW(),"-")</f>
        <v>-</v>
      </c>
    </row>
    <row r="38293" customHeight="1" spans="2:2">
      <c r="B38293" s="62" t="str">
        <f>IF(AND('领用录入（明细）'!D:D=$F$4,'领用录入（明细）'!C:C&gt;=$J$4,'领用录入（明细）'!C:C&lt;=$L$4),ROW(),"-")</f>
        <v>-</v>
      </c>
    </row>
    <row r="38294" customHeight="1" spans="2:2">
      <c r="B38294" s="62" t="str">
        <f>IF(AND('领用录入（明细）'!D:D=$F$4,'领用录入（明细）'!C:C&gt;=$J$4,'领用录入（明细）'!C:C&lt;=$L$4),ROW(),"-")</f>
        <v>-</v>
      </c>
    </row>
    <row r="38295" customHeight="1" spans="2:2">
      <c r="B38295" s="62" t="str">
        <f>IF(AND('领用录入（明细）'!D:D=$F$4,'领用录入（明细）'!C:C&gt;=$J$4,'领用录入（明细）'!C:C&lt;=$L$4),ROW(),"-")</f>
        <v>-</v>
      </c>
    </row>
    <row r="38296" customHeight="1" spans="2:2">
      <c r="B38296" s="62" t="str">
        <f>IF(AND('领用录入（明细）'!D:D=$F$4,'领用录入（明细）'!C:C&gt;=$J$4,'领用录入（明细）'!C:C&lt;=$L$4),ROW(),"-")</f>
        <v>-</v>
      </c>
    </row>
    <row r="38297" customHeight="1" spans="2:2">
      <c r="B38297" s="62" t="str">
        <f>IF(AND('领用录入（明细）'!D:D=$F$4,'领用录入（明细）'!C:C&gt;=$J$4,'领用录入（明细）'!C:C&lt;=$L$4),ROW(),"-")</f>
        <v>-</v>
      </c>
    </row>
    <row r="38298" customHeight="1" spans="2:2">
      <c r="B38298" s="62" t="str">
        <f>IF(AND('领用录入（明细）'!D:D=$F$4,'领用录入（明细）'!C:C&gt;=$J$4,'领用录入（明细）'!C:C&lt;=$L$4),ROW(),"-")</f>
        <v>-</v>
      </c>
    </row>
    <row r="38299" customHeight="1" spans="2:2">
      <c r="B38299" s="62" t="str">
        <f>IF(AND('领用录入（明细）'!D:D=$F$4,'领用录入（明细）'!C:C&gt;=$J$4,'领用录入（明细）'!C:C&lt;=$L$4),ROW(),"-")</f>
        <v>-</v>
      </c>
    </row>
    <row r="38300" customHeight="1" spans="2:2">
      <c r="B38300" s="62" t="str">
        <f>IF(AND('领用录入（明细）'!D:D=$F$4,'领用录入（明细）'!C:C&gt;=$J$4,'领用录入（明细）'!C:C&lt;=$L$4),ROW(),"-")</f>
        <v>-</v>
      </c>
    </row>
    <row r="38301" customHeight="1" spans="2:2">
      <c r="B38301" s="62" t="str">
        <f>IF(AND('领用录入（明细）'!D:D=$F$4,'领用录入（明细）'!C:C&gt;=$J$4,'领用录入（明细）'!C:C&lt;=$L$4),ROW(),"-")</f>
        <v>-</v>
      </c>
    </row>
    <row r="38302" customHeight="1" spans="2:2">
      <c r="B38302" s="62" t="str">
        <f>IF(AND('领用录入（明细）'!D:D=$F$4,'领用录入（明细）'!C:C&gt;=$J$4,'领用录入（明细）'!C:C&lt;=$L$4),ROW(),"-")</f>
        <v>-</v>
      </c>
    </row>
    <row r="38303" customHeight="1" spans="2:2">
      <c r="B38303" s="62" t="str">
        <f>IF(AND('领用录入（明细）'!D:D=$F$4,'领用录入（明细）'!C:C&gt;=$J$4,'领用录入（明细）'!C:C&lt;=$L$4),ROW(),"-")</f>
        <v>-</v>
      </c>
    </row>
    <row r="38304" customHeight="1" spans="2:2">
      <c r="B38304" s="62" t="str">
        <f>IF(AND('领用录入（明细）'!D:D=$F$4,'领用录入（明细）'!C:C&gt;=$J$4,'领用录入（明细）'!C:C&lt;=$L$4),ROW(),"-")</f>
        <v>-</v>
      </c>
    </row>
    <row r="38305" customHeight="1" spans="2:2">
      <c r="B38305" s="62" t="str">
        <f>IF(AND('领用录入（明细）'!D:D=$F$4,'领用录入（明细）'!C:C&gt;=$J$4,'领用录入（明细）'!C:C&lt;=$L$4),ROW(),"-")</f>
        <v>-</v>
      </c>
    </row>
    <row r="38306" customHeight="1" spans="2:2">
      <c r="B38306" s="62" t="str">
        <f>IF(AND('领用录入（明细）'!D:D=$F$4,'领用录入（明细）'!C:C&gt;=$J$4,'领用录入（明细）'!C:C&lt;=$L$4),ROW(),"-")</f>
        <v>-</v>
      </c>
    </row>
    <row r="38307" customHeight="1" spans="2:2">
      <c r="B38307" s="62" t="str">
        <f>IF(AND('领用录入（明细）'!D:D=$F$4,'领用录入（明细）'!C:C&gt;=$J$4,'领用录入（明细）'!C:C&lt;=$L$4),ROW(),"-")</f>
        <v>-</v>
      </c>
    </row>
    <row r="38308" customHeight="1" spans="2:2">
      <c r="B38308" s="62" t="str">
        <f>IF(AND('领用录入（明细）'!D:D=$F$4,'领用录入（明细）'!C:C&gt;=$J$4,'领用录入（明细）'!C:C&lt;=$L$4),ROW(),"-")</f>
        <v>-</v>
      </c>
    </row>
    <row r="38309" customHeight="1" spans="2:2">
      <c r="B38309" s="62" t="str">
        <f>IF(AND('领用录入（明细）'!D:D=$F$4,'领用录入（明细）'!C:C&gt;=$J$4,'领用录入（明细）'!C:C&lt;=$L$4),ROW(),"-")</f>
        <v>-</v>
      </c>
    </row>
    <row r="38310" customHeight="1" spans="2:2">
      <c r="B38310" s="62" t="str">
        <f>IF(AND('领用录入（明细）'!D:D=$F$4,'领用录入（明细）'!C:C&gt;=$J$4,'领用录入（明细）'!C:C&lt;=$L$4),ROW(),"-")</f>
        <v>-</v>
      </c>
    </row>
    <row r="38311" customHeight="1" spans="2:2">
      <c r="B38311" s="62" t="str">
        <f>IF(AND('领用录入（明细）'!D:D=$F$4,'领用录入（明细）'!C:C&gt;=$J$4,'领用录入（明细）'!C:C&lt;=$L$4),ROW(),"-")</f>
        <v>-</v>
      </c>
    </row>
    <row r="38312" customHeight="1" spans="2:2">
      <c r="B38312" s="62" t="str">
        <f>IF(AND('领用录入（明细）'!D:D=$F$4,'领用录入（明细）'!C:C&gt;=$J$4,'领用录入（明细）'!C:C&lt;=$L$4),ROW(),"-")</f>
        <v>-</v>
      </c>
    </row>
    <row r="38313" customHeight="1" spans="2:2">
      <c r="B38313" s="62" t="str">
        <f>IF(AND('领用录入（明细）'!D:D=$F$4,'领用录入（明细）'!C:C&gt;=$J$4,'领用录入（明细）'!C:C&lt;=$L$4),ROW(),"-")</f>
        <v>-</v>
      </c>
    </row>
    <row r="38314" customHeight="1" spans="2:2">
      <c r="B38314" s="62" t="str">
        <f>IF(AND('领用录入（明细）'!D:D=$F$4,'领用录入（明细）'!C:C&gt;=$J$4,'领用录入（明细）'!C:C&lt;=$L$4),ROW(),"-")</f>
        <v>-</v>
      </c>
    </row>
    <row r="38315" customHeight="1" spans="2:2">
      <c r="B38315" s="62" t="str">
        <f>IF(AND('领用录入（明细）'!D:D=$F$4,'领用录入（明细）'!C:C&gt;=$J$4,'领用录入（明细）'!C:C&lt;=$L$4),ROW(),"-")</f>
        <v>-</v>
      </c>
    </row>
    <row r="38316" customHeight="1" spans="2:2">
      <c r="B38316" s="62" t="str">
        <f>IF(AND('领用录入（明细）'!D:D=$F$4,'领用录入（明细）'!C:C&gt;=$J$4,'领用录入（明细）'!C:C&lt;=$L$4),ROW(),"-")</f>
        <v>-</v>
      </c>
    </row>
    <row r="38317" customHeight="1" spans="2:2">
      <c r="B38317" s="62" t="str">
        <f>IF(AND('领用录入（明细）'!D:D=$F$4,'领用录入（明细）'!C:C&gt;=$J$4,'领用录入（明细）'!C:C&lt;=$L$4),ROW(),"-")</f>
        <v>-</v>
      </c>
    </row>
    <row r="38318" customHeight="1" spans="2:2">
      <c r="B38318" s="62" t="str">
        <f>IF(AND('领用录入（明细）'!D:D=$F$4,'领用录入（明细）'!C:C&gt;=$J$4,'领用录入（明细）'!C:C&lt;=$L$4),ROW(),"-")</f>
        <v>-</v>
      </c>
    </row>
    <row r="38319" customHeight="1" spans="2:2">
      <c r="B38319" s="62" t="str">
        <f>IF(AND('领用录入（明细）'!D:D=$F$4,'领用录入（明细）'!C:C&gt;=$J$4,'领用录入（明细）'!C:C&lt;=$L$4),ROW(),"-")</f>
        <v>-</v>
      </c>
    </row>
    <row r="38320" customHeight="1" spans="2:2">
      <c r="B38320" s="62" t="str">
        <f>IF(AND('领用录入（明细）'!D:D=$F$4,'领用录入（明细）'!C:C&gt;=$J$4,'领用录入（明细）'!C:C&lt;=$L$4),ROW(),"-")</f>
        <v>-</v>
      </c>
    </row>
    <row r="38321" customHeight="1" spans="2:2">
      <c r="B38321" s="62" t="str">
        <f>IF(AND('领用录入（明细）'!D:D=$F$4,'领用录入（明细）'!C:C&gt;=$J$4,'领用录入（明细）'!C:C&lt;=$L$4),ROW(),"-")</f>
        <v>-</v>
      </c>
    </row>
    <row r="38322" customHeight="1" spans="2:2">
      <c r="B38322" s="62" t="str">
        <f>IF(AND('领用录入（明细）'!D:D=$F$4,'领用录入（明细）'!C:C&gt;=$J$4,'领用录入（明细）'!C:C&lt;=$L$4),ROW(),"-")</f>
        <v>-</v>
      </c>
    </row>
    <row r="38323" customHeight="1" spans="2:2">
      <c r="B38323" s="62" t="str">
        <f>IF(AND('领用录入（明细）'!D:D=$F$4,'领用录入（明细）'!C:C&gt;=$J$4,'领用录入（明细）'!C:C&lt;=$L$4),ROW(),"-")</f>
        <v>-</v>
      </c>
    </row>
    <row r="38324" customHeight="1" spans="2:2">
      <c r="B38324" s="62" t="str">
        <f>IF(AND('领用录入（明细）'!D:D=$F$4,'领用录入（明细）'!C:C&gt;=$J$4,'领用录入（明细）'!C:C&lt;=$L$4),ROW(),"-")</f>
        <v>-</v>
      </c>
    </row>
    <row r="38325" customHeight="1" spans="2:2">
      <c r="B38325" s="62" t="str">
        <f>IF(AND('领用录入（明细）'!D:D=$F$4,'领用录入（明细）'!C:C&gt;=$J$4,'领用录入（明细）'!C:C&lt;=$L$4),ROW(),"-")</f>
        <v>-</v>
      </c>
    </row>
    <row r="38326" customHeight="1" spans="2:2">
      <c r="B38326" s="62" t="str">
        <f>IF(AND('领用录入（明细）'!D:D=$F$4,'领用录入（明细）'!C:C&gt;=$J$4,'领用录入（明细）'!C:C&lt;=$L$4),ROW(),"-")</f>
        <v>-</v>
      </c>
    </row>
    <row r="38327" customHeight="1" spans="2:2">
      <c r="B38327" s="62" t="str">
        <f>IF(AND('领用录入（明细）'!D:D=$F$4,'领用录入（明细）'!C:C&gt;=$J$4,'领用录入（明细）'!C:C&lt;=$L$4),ROW(),"-")</f>
        <v>-</v>
      </c>
    </row>
    <row r="38328" customHeight="1" spans="2:2">
      <c r="B38328" s="62" t="str">
        <f>IF(AND('领用录入（明细）'!D:D=$F$4,'领用录入（明细）'!C:C&gt;=$J$4,'领用录入（明细）'!C:C&lt;=$L$4),ROW(),"-")</f>
        <v>-</v>
      </c>
    </row>
    <row r="38329" customHeight="1" spans="2:2">
      <c r="B38329" s="62" t="str">
        <f>IF(AND('领用录入（明细）'!D:D=$F$4,'领用录入（明细）'!C:C&gt;=$J$4,'领用录入（明细）'!C:C&lt;=$L$4),ROW(),"-")</f>
        <v>-</v>
      </c>
    </row>
    <row r="38330" customHeight="1" spans="2:2">
      <c r="B38330" s="62" t="str">
        <f>IF(AND('领用录入（明细）'!D:D=$F$4,'领用录入（明细）'!C:C&gt;=$J$4,'领用录入（明细）'!C:C&lt;=$L$4),ROW(),"-")</f>
        <v>-</v>
      </c>
    </row>
    <row r="38331" customHeight="1" spans="2:2">
      <c r="B38331" s="62" t="str">
        <f>IF(AND('领用录入（明细）'!D:D=$F$4,'领用录入（明细）'!C:C&gt;=$J$4,'领用录入（明细）'!C:C&lt;=$L$4),ROW(),"-")</f>
        <v>-</v>
      </c>
    </row>
    <row r="38332" customHeight="1" spans="2:2">
      <c r="B38332" s="62" t="str">
        <f>IF(AND('领用录入（明细）'!D:D=$F$4,'领用录入（明细）'!C:C&gt;=$J$4,'领用录入（明细）'!C:C&lt;=$L$4),ROW(),"-")</f>
        <v>-</v>
      </c>
    </row>
    <row r="38333" customHeight="1" spans="2:2">
      <c r="B38333" s="62" t="str">
        <f>IF(AND('领用录入（明细）'!D:D=$F$4,'领用录入（明细）'!C:C&gt;=$J$4,'领用录入（明细）'!C:C&lt;=$L$4),ROW(),"-")</f>
        <v>-</v>
      </c>
    </row>
    <row r="38334" customHeight="1" spans="2:2">
      <c r="B38334" s="62" t="str">
        <f>IF(AND('领用录入（明细）'!D:D=$F$4,'领用录入（明细）'!C:C&gt;=$J$4,'领用录入（明细）'!C:C&lt;=$L$4),ROW(),"-")</f>
        <v>-</v>
      </c>
    </row>
    <row r="38335" customHeight="1" spans="2:2">
      <c r="B38335" s="62" t="str">
        <f>IF(AND('领用录入（明细）'!D:D=$F$4,'领用录入（明细）'!C:C&gt;=$J$4,'领用录入（明细）'!C:C&lt;=$L$4),ROW(),"-")</f>
        <v>-</v>
      </c>
    </row>
    <row r="38336" customHeight="1" spans="2:2">
      <c r="B38336" s="62" t="str">
        <f>IF(AND('领用录入（明细）'!D:D=$F$4,'领用录入（明细）'!C:C&gt;=$J$4,'领用录入（明细）'!C:C&lt;=$L$4),ROW(),"-")</f>
        <v>-</v>
      </c>
    </row>
    <row r="38337" customHeight="1" spans="2:2">
      <c r="B38337" s="62" t="str">
        <f>IF(AND('领用录入（明细）'!D:D=$F$4,'领用录入（明细）'!C:C&gt;=$J$4,'领用录入（明细）'!C:C&lt;=$L$4),ROW(),"-")</f>
        <v>-</v>
      </c>
    </row>
    <row r="38338" customHeight="1" spans="2:2">
      <c r="B38338" s="62" t="str">
        <f>IF(AND('领用录入（明细）'!D:D=$F$4,'领用录入（明细）'!C:C&gt;=$J$4,'领用录入（明细）'!C:C&lt;=$L$4),ROW(),"-")</f>
        <v>-</v>
      </c>
    </row>
    <row r="38339" customHeight="1" spans="2:2">
      <c r="B38339" s="62" t="str">
        <f>IF(AND('领用录入（明细）'!D:D=$F$4,'领用录入（明细）'!C:C&gt;=$J$4,'领用录入（明细）'!C:C&lt;=$L$4),ROW(),"-")</f>
        <v>-</v>
      </c>
    </row>
    <row r="38340" customHeight="1" spans="2:2">
      <c r="B38340" s="62" t="str">
        <f>IF(AND('领用录入（明细）'!D:D=$F$4,'领用录入（明细）'!C:C&gt;=$J$4,'领用录入（明细）'!C:C&lt;=$L$4),ROW(),"-")</f>
        <v>-</v>
      </c>
    </row>
    <row r="38341" customHeight="1" spans="2:2">
      <c r="B38341" s="62" t="str">
        <f>IF(AND('领用录入（明细）'!D:D=$F$4,'领用录入（明细）'!C:C&gt;=$J$4,'领用录入（明细）'!C:C&lt;=$L$4),ROW(),"-")</f>
        <v>-</v>
      </c>
    </row>
    <row r="38342" customHeight="1" spans="2:2">
      <c r="B38342" s="62" t="str">
        <f>IF(AND('领用录入（明细）'!D:D=$F$4,'领用录入（明细）'!C:C&gt;=$J$4,'领用录入（明细）'!C:C&lt;=$L$4),ROW(),"-")</f>
        <v>-</v>
      </c>
    </row>
    <row r="38343" customHeight="1" spans="2:2">
      <c r="B38343" s="62" t="str">
        <f>IF(AND('领用录入（明细）'!D:D=$F$4,'领用录入（明细）'!C:C&gt;=$J$4,'领用录入（明细）'!C:C&lt;=$L$4),ROW(),"-")</f>
        <v>-</v>
      </c>
    </row>
    <row r="38344" customHeight="1" spans="2:2">
      <c r="B38344" s="62" t="str">
        <f>IF(AND('领用录入（明细）'!D:D=$F$4,'领用录入（明细）'!C:C&gt;=$J$4,'领用录入（明细）'!C:C&lt;=$L$4),ROW(),"-")</f>
        <v>-</v>
      </c>
    </row>
    <row r="38345" customHeight="1" spans="2:2">
      <c r="B38345" s="62" t="str">
        <f>IF(AND('领用录入（明细）'!D:D=$F$4,'领用录入（明细）'!C:C&gt;=$J$4,'领用录入（明细）'!C:C&lt;=$L$4),ROW(),"-")</f>
        <v>-</v>
      </c>
    </row>
    <row r="38346" customHeight="1" spans="2:2">
      <c r="B38346" s="62" t="str">
        <f>IF(AND('领用录入（明细）'!D:D=$F$4,'领用录入（明细）'!C:C&gt;=$J$4,'领用录入（明细）'!C:C&lt;=$L$4),ROW(),"-")</f>
        <v>-</v>
      </c>
    </row>
    <row r="38347" customHeight="1" spans="2:2">
      <c r="B38347" s="62" t="str">
        <f>IF(AND('领用录入（明细）'!D:D=$F$4,'领用录入（明细）'!C:C&gt;=$J$4,'领用录入（明细）'!C:C&lt;=$L$4),ROW(),"-")</f>
        <v>-</v>
      </c>
    </row>
    <row r="38348" customHeight="1" spans="2:2">
      <c r="B38348" s="62" t="str">
        <f>IF(AND('领用录入（明细）'!D:D=$F$4,'领用录入（明细）'!C:C&gt;=$J$4,'领用录入（明细）'!C:C&lt;=$L$4),ROW(),"-")</f>
        <v>-</v>
      </c>
    </row>
    <row r="38349" customHeight="1" spans="2:2">
      <c r="B38349" s="62" t="str">
        <f>IF(AND('领用录入（明细）'!D:D=$F$4,'领用录入（明细）'!C:C&gt;=$J$4,'领用录入（明细）'!C:C&lt;=$L$4),ROW(),"-")</f>
        <v>-</v>
      </c>
    </row>
    <row r="38350" customHeight="1" spans="2:2">
      <c r="B38350" s="62" t="str">
        <f>IF(AND('领用录入（明细）'!D:D=$F$4,'领用录入（明细）'!C:C&gt;=$J$4,'领用录入（明细）'!C:C&lt;=$L$4),ROW(),"-")</f>
        <v>-</v>
      </c>
    </row>
    <row r="38351" customHeight="1" spans="2:2">
      <c r="B38351" s="62" t="str">
        <f>IF(AND('领用录入（明细）'!D:D=$F$4,'领用录入（明细）'!C:C&gt;=$J$4,'领用录入（明细）'!C:C&lt;=$L$4),ROW(),"-")</f>
        <v>-</v>
      </c>
    </row>
    <row r="38352" customHeight="1" spans="2:2">
      <c r="B38352" s="62" t="str">
        <f>IF(AND('领用录入（明细）'!D:D=$F$4,'领用录入（明细）'!C:C&gt;=$J$4,'领用录入（明细）'!C:C&lt;=$L$4),ROW(),"-")</f>
        <v>-</v>
      </c>
    </row>
    <row r="38353" customHeight="1" spans="2:2">
      <c r="B38353" s="62" t="str">
        <f>IF(AND('领用录入（明细）'!D:D=$F$4,'领用录入（明细）'!C:C&gt;=$J$4,'领用录入（明细）'!C:C&lt;=$L$4),ROW(),"-")</f>
        <v>-</v>
      </c>
    </row>
    <row r="38354" customHeight="1" spans="2:2">
      <c r="B38354" s="62" t="str">
        <f>IF(AND('领用录入（明细）'!D:D=$F$4,'领用录入（明细）'!C:C&gt;=$J$4,'领用录入（明细）'!C:C&lt;=$L$4),ROW(),"-")</f>
        <v>-</v>
      </c>
    </row>
    <row r="38355" customHeight="1" spans="2:2">
      <c r="B38355" s="62" t="str">
        <f>IF(AND('领用录入（明细）'!D:D=$F$4,'领用录入（明细）'!C:C&gt;=$J$4,'领用录入（明细）'!C:C&lt;=$L$4),ROW(),"-")</f>
        <v>-</v>
      </c>
    </row>
    <row r="38356" customHeight="1" spans="2:2">
      <c r="B38356" s="62" t="str">
        <f>IF(AND('领用录入（明细）'!D:D=$F$4,'领用录入（明细）'!C:C&gt;=$J$4,'领用录入（明细）'!C:C&lt;=$L$4),ROW(),"-")</f>
        <v>-</v>
      </c>
    </row>
    <row r="38357" customHeight="1" spans="2:2">
      <c r="B38357" s="62" t="str">
        <f>IF(AND('领用录入（明细）'!D:D=$F$4,'领用录入（明细）'!C:C&gt;=$J$4,'领用录入（明细）'!C:C&lt;=$L$4),ROW(),"-")</f>
        <v>-</v>
      </c>
    </row>
    <row r="38358" customHeight="1" spans="2:2">
      <c r="B38358" s="62" t="str">
        <f>IF(AND('领用录入（明细）'!D:D=$F$4,'领用录入（明细）'!C:C&gt;=$J$4,'领用录入（明细）'!C:C&lt;=$L$4),ROW(),"-")</f>
        <v>-</v>
      </c>
    </row>
    <row r="38359" customHeight="1" spans="2:2">
      <c r="B38359" s="62" t="str">
        <f>IF(AND('领用录入（明细）'!D:D=$F$4,'领用录入（明细）'!C:C&gt;=$J$4,'领用录入（明细）'!C:C&lt;=$L$4),ROW(),"-")</f>
        <v>-</v>
      </c>
    </row>
    <row r="38360" customHeight="1" spans="2:2">
      <c r="B38360" s="62" t="str">
        <f>IF(AND('领用录入（明细）'!D:D=$F$4,'领用录入（明细）'!C:C&gt;=$J$4,'领用录入（明细）'!C:C&lt;=$L$4),ROW(),"-")</f>
        <v>-</v>
      </c>
    </row>
    <row r="38361" customHeight="1" spans="2:2">
      <c r="B38361" s="62" t="str">
        <f>IF(AND('领用录入（明细）'!D:D=$F$4,'领用录入（明细）'!C:C&gt;=$J$4,'领用录入（明细）'!C:C&lt;=$L$4),ROW(),"-")</f>
        <v>-</v>
      </c>
    </row>
    <row r="38362" customHeight="1" spans="2:2">
      <c r="B38362" s="62" t="str">
        <f>IF(AND('领用录入（明细）'!D:D=$F$4,'领用录入（明细）'!C:C&gt;=$J$4,'领用录入（明细）'!C:C&lt;=$L$4),ROW(),"-")</f>
        <v>-</v>
      </c>
    </row>
    <row r="38363" customHeight="1" spans="2:2">
      <c r="B38363" s="62" t="str">
        <f>IF(AND('领用录入（明细）'!D:D=$F$4,'领用录入（明细）'!C:C&gt;=$J$4,'领用录入（明细）'!C:C&lt;=$L$4),ROW(),"-")</f>
        <v>-</v>
      </c>
    </row>
    <row r="38364" customHeight="1" spans="2:2">
      <c r="B38364" s="62" t="str">
        <f>IF(AND('领用录入（明细）'!D:D=$F$4,'领用录入（明细）'!C:C&gt;=$J$4,'领用录入（明细）'!C:C&lt;=$L$4),ROW(),"-")</f>
        <v>-</v>
      </c>
    </row>
    <row r="38365" customHeight="1" spans="2:2">
      <c r="B38365" s="62" t="str">
        <f>IF(AND('领用录入（明细）'!D:D=$F$4,'领用录入（明细）'!C:C&gt;=$J$4,'领用录入（明细）'!C:C&lt;=$L$4),ROW(),"-")</f>
        <v>-</v>
      </c>
    </row>
    <row r="38366" customHeight="1" spans="2:2">
      <c r="B38366" s="62" t="str">
        <f>IF(AND('领用录入（明细）'!D:D=$F$4,'领用录入（明细）'!C:C&gt;=$J$4,'领用录入（明细）'!C:C&lt;=$L$4),ROW(),"-")</f>
        <v>-</v>
      </c>
    </row>
    <row r="38367" customHeight="1" spans="2:2">
      <c r="B38367" s="62" t="str">
        <f>IF(AND('领用录入（明细）'!D:D=$F$4,'领用录入（明细）'!C:C&gt;=$J$4,'领用录入（明细）'!C:C&lt;=$L$4),ROW(),"-")</f>
        <v>-</v>
      </c>
    </row>
    <row r="38368" customHeight="1" spans="2:2">
      <c r="B38368" s="62" t="str">
        <f>IF(AND('领用录入（明细）'!D:D=$F$4,'领用录入（明细）'!C:C&gt;=$J$4,'领用录入（明细）'!C:C&lt;=$L$4),ROW(),"-")</f>
        <v>-</v>
      </c>
    </row>
    <row r="38369" customHeight="1" spans="2:2">
      <c r="B38369" s="62" t="str">
        <f>IF(AND('领用录入（明细）'!D:D=$F$4,'领用录入（明细）'!C:C&gt;=$J$4,'领用录入（明细）'!C:C&lt;=$L$4),ROW(),"-")</f>
        <v>-</v>
      </c>
    </row>
    <row r="38370" customHeight="1" spans="2:2">
      <c r="B38370" s="62" t="str">
        <f>IF(AND('领用录入（明细）'!D:D=$F$4,'领用录入（明细）'!C:C&gt;=$J$4,'领用录入（明细）'!C:C&lt;=$L$4),ROW(),"-")</f>
        <v>-</v>
      </c>
    </row>
    <row r="38371" customHeight="1" spans="2:2">
      <c r="B38371" s="62" t="str">
        <f>IF(AND('领用录入（明细）'!D:D=$F$4,'领用录入（明细）'!C:C&gt;=$J$4,'领用录入（明细）'!C:C&lt;=$L$4),ROW(),"-")</f>
        <v>-</v>
      </c>
    </row>
    <row r="38372" customHeight="1" spans="2:2">
      <c r="B38372" s="62" t="str">
        <f>IF(AND('领用录入（明细）'!D:D=$F$4,'领用录入（明细）'!C:C&gt;=$J$4,'领用录入（明细）'!C:C&lt;=$L$4),ROW(),"-")</f>
        <v>-</v>
      </c>
    </row>
    <row r="38373" customHeight="1" spans="2:2">
      <c r="B38373" s="62" t="str">
        <f>IF(AND('领用录入（明细）'!D:D=$F$4,'领用录入（明细）'!C:C&gt;=$J$4,'领用录入（明细）'!C:C&lt;=$L$4),ROW(),"-")</f>
        <v>-</v>
      </c>
    </row>
    <row r="38374" customHeight="1" spans="2:2">
      <c r="B38374" s="62" t="str">
        <f>IF(AND('领用录入（明细）'!D:D=$F$4,'领用录入（明细）'!C:C&gt;=$J$4,'领用录入（明细）'!C:C&lt;=$L$4),ROW(),"-")</f>
        <v>-</v>
      </c>
    </row>
    <row r="38375" customHeight="1" spans="2:2">
      <c r="B38375" s="62" t="str">
        <f>IF(AND('领用录入（明细）'!D:D=$F$4,'领用录入（明细）'!C:C&gt;=$J$4,'领用录入（明细）'!C:C&lt;=$L$4),ROW(),"-")</f>
        <v>-</v>
      </c>
    </row>
    <row r="38376" customHeight="1" spans="2:2">
      <c r="B38376" s="62" t="str">
        <f>IF(AND('领用录入（明细）'!D:D=$F$4,'领用录入（明细）'!C:C&gt;=$J$4,'领用录入（明细）'!C:C&lt;=$L$4),ROW(),"-")</f>
        <v>-</v>
      </c>
    </row>
    <row r="38377" customHeight="1" spans="2:2">
      <c r="B38377" s="62" t="str">
        <f>IF(AND('领用录入（明细）'!D:D=$F$4,'领用录入（明细）'!C:C&gt;=$J$4,'领用录入（明细）'!C:C&lt;=$L$4),ROW(),"-")</f>
        <v>-</v>
      </c>
    </row>
    <row r="38378" customHeight="1" spans="2:2">
      <c r="B38378" s="62" t="str">
        <f>IF(AND('领用录入（明细）'!D:D=$F$4,'领用录入（明细）'!C:C&gt;=$J$4,'领用录入（明细）'!C:C&lt;=$L$4),ROW(),"-")</f>
        <v>-</v>
      </c>
    </row>
    <row r="38379" customHeight="1" spans="2:2">
      <c r="B38379" s="62" t="str">
        <f>IF(AND('领用录入（明细）'!D:D=$F$4,'领用录入（明细）'!C:C&gt;=$J$4,'领用录入（明细）'!C:C&lt;=$L$4),ROW(),"-")</f>
        <v>-</v>
      </c>
    </row>
    <row r="38380" customHeight="1" spans="2:2">
      <c r="B38380" s="62" t="str">
        <f>IF(AND('领用录入（明细）'!D:D=$F$4,'领用录入（明细）'!C:C&gt;=$J$4,'领用录入（明细）'!C:C&lt;=$L$4),ROW(),"-")</f>
        <v>-</v>
      </c>
    </row>
    <row r="38381" customHeight="1" spans="2:2">
      <c r="B38381" s="62" t="str">
        <f>IF(AND('领用录入（明细）'!D:D=$F$4,'领用录入（明细）'!C:C&gt;=$J$4,'领用录入（明细）'!C:C&lt;=$L$4),ROW(),"-")</f>
        <v>-</v>
      </c>
    </row>
    <row r="38382" customHeight="1" spans="2:2">
      <c r="B38382" s="62" t="str">
        <f>IF(AND('领用录入（明细）'!D:D=$F$4,'领用录入（明细）'!C:C&gt;=$J$4,'领用录入（明细）'!C:C&lt;=$L$4),ROW(),"-")</f>
        <v>-</v>
      </c>
    </row>
    <row r="38383" customHeight="1" spans="2:2">
      <c r="B38383" s="62" t="str">
        <f>IF(AND('领用录入（明细）'!D:D=$F$4,'领用录入（明细）'!C:C&gt;=$J$4,'领用录入（明细）'!C:C&lt;=$L$4),ROW(),"-")</f>
        <v>-</v>
      </c>
    </row>
    <row r="38384" customHeight="1" spans="2:2">
      <c r="B38384" s="62" t="str">
        <f>IF(AND('领用录入（明细）'!D:D=$F$4,'领用录入（明细）'!C:C&gt;=$J$4,'领用录入（明细）'!C:C&lt;=$L$4),ROW(),"-")</f>
        <v>-</v>
      </c>
    </row>
    <row r="38385" customHeight="1" spans="2:2">
      <c r="B38385" s="62" t="str">
        <f>IF(AND('领用录入（明细）'!D:D=$F$4,'领用录入（明细）'!C:C&gt;=$J$4,'领用录入（明细）'!C:C&lt;=$L$4),ROW(),"-")</f>
        <v>-</v>
      </c>
    </row>
    <row r="38386" customHeight="1" spans="2:2">
      <c r="B38386" s="62" t="str">
        <f>IF(AND('领用录入（明细）'!D:D=$F$4,'领用录入（明细）'!C:C&gt;=$J$4,'领用录入（明细）'!C:C&lt;=$L$4),ROW(),"-")</f>
        <v>-</v>
      </c>
    </row>
    <row r="38387" customHeight="1" spans="2:2">
      <c r="B38387" s="62" t="str">
        <f>IF(AND('领用录入（明细）'!D:D=$F$4,'领用录入（明细）'!C:C&gt;=$J$4,'领用录入（明细）'!C:C&lt;=$L$4),ROW(),"-")</f>
        <v>-</v>
      </c>
    </row>
    <row r="38388" customHeight="1" spans="2:2">
      <c r="B38388" s="62" t="str">
        <f>IF(AND('领用录入（明细）'!D:D=$F$4,'领用录入（明细）'!C:C&gt;=$J$4,'领用录入（明细）'!C:C&lt;=$L$4),ROW(),"-")</f>
        <v>-</v>
      </c>
    </row>
    <row r="38389" customHeight="1" spans="2:2">
      <c r="B38389" s="62" t="str">
        <f>IF(AND('领用录入（明细）'!D:D=$F$4,'领用录入（明细）'!C:C&gt;=$J$4,'领用录入（明细）'!C:C&lt;=$L$4),ROW(),"-")</f>
        <v>-</v>
      </c>
    </row>
    <row r="38390" customHeight="1" spans="2:2">
      <c r="B38390" s="62" t="str">
        <f>IF(AND('领用录入（明细）'!D:D=$F$4,'领用录入（明细）'!C:C&gt;=$J$4,'领用录入（明细）'!C:C&lt;=$L$4),ROW(),"-")</f>
        <v>-</v>
      </c>
    </row>
    <row r="38391" customHeight="1" spans="2:2">
      <c r="B38391" s="62" t="str">
        <f>IF(AND('领用录入（明细）'!D:D=$F$4,'领用录入（明细）'!C:C&gt;=$J$4,'领用录入（明细）'!C:C&lt;=$L$4),ROW(),"-")</f>
        <v>-</v>
      </c>
    </row>
    <row r="38392" customHeight="1" spans="2:2">
      <c r="B38392" s="62" t="str">
        <f>IF(AND('领用录入（明细）'!D:D=$F$4,'领用录入（明细）'!C:C&gt;=$J$4,'领用录入（明细）'!C:C&lt;=$L$4),ROW(),"-")</f>
        <v>-</v>
      </c>
    </row>
    <row r="38393" customHeight="1" spans="2:2">
      <c r="B38393" s="62" t="str">
        <f>IF(AND('领用录入（明细）'!D:D=$F$4,'领用录入（明细）'!C:C&gt;=$J$4,'领用录入（明细）'!C:C&lt;=$L$4),ROW(),"-")</f>
        <v>-</v>
      </c>
    </row>
    <row r="38394" customHeight="1" spans="2:2">
      <c r="B38394" s="62" t="str">
        <f>IF(AND('领用录入（明细）'!D:D=$F$4,'领用录入（明细）'!C:C&gt;=$J$4,'领用录入（明细）'!C:C&lt;=$L$4),ROW(),"-")</f>
        <v>-</v>
      </c>
    </row>
    <row r="38395" customHeight="1" spans="2:2">
      <c r="B38395" s="62" t="str">
        <f>IF(AND('领用录入（明细）'!D:D=$F$4,'领用录入（明细）'!C:C&gt;=$J$4,'领用录入（明细）'!C:C&lt;=$L$4),ROW(),"-")</f>
        <v>-</v>
      </c>
    </row>
    <row r="38396" customHeight="1" spans="2:2">
      <c r="B38396" s="62" t="str">
        <f>IF(AND('领用录入（明细）'!D:D=$F$4,'领用录入（明细）'!C:C&gt;=$J$4,'领用录入（明细）'!C:C&lt;=$L$4),ROW(),"-")</f>
        <v>-</v>
      </c>
    </row>
    <row r="38397" customHeight="1" spans="2:2">
      <c r="B38397" s="62" t="str">
        <f>IF(AND('领用录入（明细）'!D:D=$F$4,'领用录入（明细）'!C:C&gt;=$J$4,'领用录入（明细）'!C:C&lt;=$L$4),ROW(),"-")</f>
        <v>-</v>
      </c>
    </row>
    <row r="38398" customHeight="1" spans="2:2">
      <c r="B38398" s="62" t="str">
        <f>IF(AND('领用录入（明细）'!D:D=$F$4,'领用录入（明细）'!C:C&gt;=$J$4,'领用录入（明细）'!C:C&lt;=$L$4),ROW(),"-")</f>
        <v>-</v>
      </c>
    </row>
    <row r="38399" customHeight="1" spans="2:2">
      <c r="B38399" s="62" t="str">
        <f>IF(AND('领用录入（明细）'!D:D=$F$4,'领用录入（明细）'!C:C&gt;=$J$4,'领用录入（明细）'!C:C&lt;=$L$4),ROW(),"-")</f>
        <v>-</v>
      </c>
    </row>
    <row r="38400" customHeight="1" spans="2:2">
      <c r="B38400" s="62" t="str">
        <f>IF(AND('领用录入（明细）'!D:D=$F$4,'领用录入（明细）'!C:C&gt;=$J$4,'领用录入（明细）'!C:C&lt;=$L$4),ROW(),"-")</f>
        <v>-</v>
      </c>
    </row>
    <row r="38401" customHeight="1" spans="2:2">
      <c r="B38401" s="62" t="str">
        <f>IF(AND('领用录入（明细）'!D:D=$F$4,'领用录入（明细）'!C:C&gt;=$J$4,'领用录入（明细）'!C:C&lt;=$L$4),ROW(),"-")</f>
        <v>-</v>
      </c>
    </row>
    <row r="38402" customHeight="1" spans="2:2">
      <c r="B38402" s="62" t="str">
        <f>IF(AND('领用录入（明细）'!D:D=$F$4,'领用录入（明细）'!C:C&gt;=$J$4,'领用录入（明细）'!C:C&lt;=$L$4),ROW(),"-")</f>
        <v>-</v>
      </c>
    </row>
    <row r="38403" customHeight="1" spans="2:2">
      <c r="B38403" s="62" t="str">
        <f>IF(AND('领用录入（明细）'!D:D=$F$4,'领用录入（明细）'!C:C&gt;=$J$4,'领用录入（明细）'!C:C&lt;=$L$4),ROW(),"-")</f>
        <v>-</v>
      </c>
    </row>
    <row r="38404" customHeight="1" spans="2:2">
      <c r="B38404" s="62" t="str">
        <f>IF(AND('领用录入（明细）'!D:D=$F$4,'领用录入（明细）'!C:C&gt;=$J$4,'领用录入（明细）'!C:C&lt;=$L$4),ROW(),"-")</f>
        <v>-</v>
      </c>
    </row>
    <row r="38405" customHeight="1" spans="2:2">
      <c r="B38405" s="62" t="str">
        <f>IF(AND('领用录入（明细）'!D:D=$F$4,'领用录入（明细）'!C:C&gt;=$J$4,'领用录入（明细）'!C:C&lt;=$L$4),ROW(),"-")</f>
        <v>-</v>
      </c>
    </row>
    <row r="38406" customHeight="1" spans="2:2">
      <c r="B38406" s="62" t="str">
        <f>IF(AND('领用录入（明细）'!D:D=$F$4,'领用录入（明细）'!C:C&gt;=$J$4,'领用录入（明细）'!C:C&lt;=$L$4),ROW(),"-")</f>
        <v>-</v>
      </c>
    </row>
    <row r="38407" customHeight="1" spans="2:2">
      <c r="B38407" s="62" t="str">
        <f>IF(AND('领用录入（明细）'!D:D=$F$4,'领用录入（明细）'!C:C&gt;=$J$4,'领用录入（明细）'!C:C&lt;=$L$4),ROW(),"-")</f>
        <v>-</v>
      </c>
    </row>
    <row r="38408" customHeight="1" spans="2:2">
      <c r="B38408" s="62" t="str">
        <f>IF(AND('领用录入（明细）'!D:D=$F$4,'领用录入（明细）'!C:C&gt;=$J$4,'领用录入（明细）'!C:C&lt;=$L$4),ROW(),"-")</f>
        <v>-</v>
      </c>
    </row>
    <row r="38409" customHeight="1" spans="2:2">
      <c r="B38409" s="62" t="str">
        <f>IF(AND('领用录入（明细）'!D:D=$F$4,'领用录入（明细）'!C:C&gt;=$J$4,'领用录入（明细）'!C:C&lt;=$L$4),ROW(),"-")</f>
        <v>-</v>
      </c>
    </row>
    <row r="38410" customHeight="1" spans="2:2">
      <c r="B38410" s="62" t="str">
        <f>IF(AND('领用录入（明细）'!D:D=$F$4,'领用录入（明细）'!C:C&gt;=$J$4,'领用录入（明细）'!C:C&lt;=$L$4),ROW(),"-")</f>
        <v>-</v>
      </c>
    </row>
    <row r="38411" customHeight="1" spans="2:2">
      <c r="B38411" s="62" t="str">
        <f>IF(AND('领用录入（明细）'!D:D=$F$4,'领用录入（明细）'!C:C&gt;=$J$4,'领用录入（明细）'!C:C&lt;=$L$4),ROW(),"-")</f>
        <v>-</v>
      </c>
    </row>
    <row r="38412" customHeight="1" spans="2:2">
      <c r="B38412" s="62" t="str">
        <f>IF(AND('领用录入（明细）'!D:D=$F$4,'领用录入（明细）'!C:C&gt;=$J$4,'领用录入（明细）'!C:C&lt;=$L$4),ROW(),"-")</f>
        <v>-</v>
      </c>
    </row>
    <row r="38413" customHeight="1" spans="2:2">
      <c r="B38413" s="62" t="str">
        <f>IF(AND('领用录入（明细）'!D:D=$F$4,'领用录入（明细）'!C:C&gt;=$J$4,'领用录入（明细）'!C:C&lt;=$L$4),ROW(),"-")</f>
        <v>-</v>
      </c>
    </row>
    <row r="38414" customHeight="1" spans="2:2">
      <c r="B38414" s="62" t="str">
        <f>IF(AND('领用录入（明细）'!D:D=$F$4,'领用录入（明细）'!C:C&gt;=$J$4,'领用录入（明细）'!C:C&lt;=$L$4),ROW(),"-")</f>
        <v>-</v>
      </c>
    </row>
    <row r="38415" customHeight="1" spans="2:2">
      <c r="B38415" s="62" t="str">
        <f>IF(AND('领用录入（明细）'!D:D=$F$4,'领用录入（明细）'!C:C&gt;=$J$4,'领用录入（明细）'!C:C&lt;=$L$4),ROW(),"-")</f>
        <v>-</v>
      </c>
    </row>
    <row r="38416" customHeight="1" spans="2:2">
      <c r="B38416" s="62" t="str">
        <f>IF(AND('领用录入（明细）'!D:D=$F$4,'领用录入（明细）'!C:C&gt;=$J$4,'领用录入（明细）'!C:C&lt;=$L$4),ROW(),"-")</f>
        <v>-</v>
      </c>
    </row>
    <row r="38417" customHeight="1" spans="2:2">
      <c r="B38417" s="62" t="str">
        <f>IF(AND('领用录入（明细）'!D:D=$F$4,'领用录入（明细）'!C:C&gt;=$J$4,'领用录入（明细）'!C:C&lt;=$L$4),ROW(),"-")</f>
        <v>-</v>
      </c>
    </row>
    <row r="38418" customHeight="1" spans="2:2">
      <c r="B38418" s="62" t="str">
        <f>IF(AND('领用录入（明细）'!D:D=$F$4,'领用录入（明细）'!C:C&gt;=$J$4,'领用录入（明细）'!C:C&lt;=$L$4),ROW(),"-")</f>
        <v>-</v>
      </c>
    </row>
    <row r="38419" customHeight="1" spans="2:2">
      <c r="B38419" s="62" t="str">
        <f>IF(AND('领用录入（明细）'!D:D=$F$4,'领用录入（明细）'!C:C&gt;=$J$4,'领用录入（明细）'!C:C&lt;=$L$4),ROW(),"-")</f>
        <v>-</v>
      </c>
    </row>
    <row r="38420" customHeight="1" spans="2:2">
      <c r="B38420" s="62" t="str">
        <f>IF(AND('领用录入（明细）'!D:D=$F$4,'领用录入（明细）'!C:C&gt;=$J$4,'领用录入（明细）'!C:C&lt;=$L$4),ROW(),"-")</f>
        <v>-</v>
      </c>
    </row>
    <row r="38421" customHeight="1" spans="2:2">
      <c r="B38421" s="62" t="str">
        <f>IF(AND('领用录入（明细）'!D:D=$F$4,'领用录入（明细）'!C:C&gt;=$J$4,'领用录入（明细）'!C:C&lt;=$L$4),ROW(),"-")</f>
        <v>-</v>
      </c>
    </row>
    <row r="38422" customHeight="1" spans="2:2">
      <c r="B38422" s="62" t="str">
        <f>IF(AND('领用录入（明细）'!D:D=$F$4,'领用录入（明细）'!C:C&gt;=$J$4,'领用录入（明细）'!C:C&lt;=$L$4),ROW(),"-")</f>
        <v>-</v>
      </c>
    </row>
    <row r="38423" customHeight="1" spans="2:2">
      <c r="B38423" s="62" t="str">
        <f>IF(AND('领用录入（明细）'!D:D=$F$4,'领用录入（明细）'!C:C&gt;=$J$4,'领用录入（明细）'!C:C&lt;=$L$4),ROW(),"-")</f>
        <v>-</v>
      </c>
    </row>
    <row r="38424" customHeight="1" spans="2:2">
      <c r="B38424" s="62" t="str">
        <f>IF(AND('领用录入（明细）'!D:D=$F$4,'领用录入（明细）'!C:C&gt;=$J$4,'领用录入（明细）'!C:C&lt;=$L$4),ROW(),"-")</f>
        <v>-</v>
      </c>
    </row>
    <row r="38425" customHeight="1" spans="2:2">
      <c r="B38425" s="62" t="str">
        <f>IF(AND('领用录入（明细）'!D:D=$F$4,'领用录入（明细）'!C:C&gt;=$J$4,'领用录入（明细）'!C:C&lt;=$L$4),ROW(),"-")</f>
        <v>-</v>
      </c>
    </row>
    <row r="38426" customHeight="1" spans="2:2">
      <c r="B38426" s="62" t="str">
        <f>IF(AND('领用录入（明细）'!D:D=$F$4,'领用录入（明细）'!C:C&gt;=$J$4,'领用录入（明细）'!C:C&lt;=$L$4),ROW(),"-")</f>
        <v>-</v>
      </c>
    </row>
    <row r="38427" customHeight="1" spans="2:2">
      <c r="B38427" s="62" t="str">
        <f>IF(AND('领用录入（明细）'!D:D=$F$4,'领用录入（明细）'!C:C&gt;=$J$4,'领用录入（明细）'!C:C&lt;=$L$4),ROW(),"-")</f>
        <v>-</v>
      </c>
    </row>
    <row r="38428" customHeight="1" spans="2:2">
      <c r="B38428" s="62" t="str">
        <f>IF(AND('领用录入（明细）'!D:D=$F$4,'领用录入（明细）'!C:C&gt;=$J$4,'领用录入（明细）'!C:C&lt;=$L$4),ROW(),"-")</f>
        <v>-</v>
      </c>
    </row>
    <row r="38429" customHeight="1" spans="2:2">
      <c r="B38429" s="62" t="str">
        <f>IF(AND('领用录入（明细）'!D:D=$F$4,'领用录入（明细）'!C:C&gt;=$J$4,'领用录入（明细）'!C:C&lt;=$L$4),ROW(),"-")</f>
        <v>-</v>
      </c>
    </row>
    <row r="38430" customHeight="1" spans="2:2">
      <c r="B38430" s="62" t="str">
        <f>IF(AND('领用录入（明细）'!D:D=$F$4,'领用录入（明细）'!C:C&gt;=$J$4,'领用录入（明细）'!C:C&lt;=$L$4),ROW(),"-")</f>
        <v>-</v>
      </c>
    </row>
    <row r="38431" customHeight="1" spans="2:2">
      <c r="B38431" s="62" t="str">
        <f>IF(AND('领用录入（明细）'!D:D=$F$4,'领用录入（明细）'!C:C&gt;=$J$4,'领用录入（明细）'!C:C&lt;=$L$4),ROW(),"-")</f>
        <v>-</v>
      </c>
    </row>
    <row r="38432" customHeight="1" spans="2:2">
      <c r="B38432" s="62" t="str">
        <f>IF(AND('领用录入（明细）'!D:D=$F$4,'领用录入（明细）'!C:C&gt;=$J$4,'领用录入（明细）'!C:C&lt;=$L$4),ROW(),"-")</f>
        <v>-</v>
      </c>
    </row>
    <row r="38433" customHeight="1" spans="2:2">
      <c r="B38433" s="62" t="str">
        <f>IF(AND('领用录入（明细）'!D:D=$F$4,'领用录入（明细）'!C:C&gt;=$J$4,'领用录入（明细）'!C:C&lt;=$L$4),ROW(),"-")</f>
        <v>-</v>
      </c>
    </row>
    <row r="38434" customHeight="1" spans="2:2">
      <c r="B38434" s="62" t="str">
        <f>IF(AND('领用录入（明细）'!D:D=$F$4,'领用录入（明细）'!C:C&gt;=$J$4,'领用录入（明细）'!C:C&lt;=$L$4),ROW(),"-")</f>
        <v>-</v>
      </c>
    </row>
    <row r="38435" customHeight="1" spans="2:2">
      <c r="B38435" s="62" t="str">
        <f>IF(AND('领用录入（明细）'!D:D=$F$4,'领用录入（明细）'!C:C&gt;=$J$4,'领用录入（明细）'!C:C&lt;=$L$4),ROW(),"-")</f>
        <v>-</v>
      </c>
    </row>
    <row r="38436" customHeight="1" spans="2:2">
      <c r="B38436" s="62" t="str">
        <f>IF(AND('领用录入（明细）'!D:D=$F$4,'领用录入（明细）'!C:C&gt;=$J$4,'领用录入（明细）'!C:C&lt;=$L$4),ROW(),"-")</f>
        <v>-</v>
      </c>
    </row>
    <row r="38437" customHeight="1" spans="2:2">
      <c r="B38437" s="62" t="str">
        <f>IF(AND('领用录入（明细）'!D:D=$F$4,'领用录入（明细）'!C:C&gt;=$J$4,'领用录入（明细）'!C:C&lt;=$L$4),ROW(),"-")</f>
        <v>-</v>
      </c>
    </row>
    <row r="38438" customHeight="1" spans="2:2">
      <c r="B38438" s="62" t="str">
        <f>IF(AND('领用录入（明细）'!D:D=$F$4,'领用录入（明细）'!C:C&gt;=$J$4,'领用录入（明细）'!C:C&lt;=$L$4),ROW(),"-")</f>
        <v>-</v>
      </c>
    </row>
    <row r="38439" customHeight="1" spans="2:2">
      <c r="B38439" s="62" t="str">
        <f>IF(AND('领用录入（明细）'!D:D=$F$4,'领用录入（明细）'!C:C&gt;=$J$4,'领用录入（明细）'!C:C&lt;=$L$4),ROW(),"-")</f>
        <v>-</v>
      </c>
    </row>
    <row r="38440" customHeight="1" spans="2:2">
      <c r="B38440" s="62" t="str">
        <f>IF(AND('领用录入（明细）'!D:D=$F$4,'领用录入（明细）'!C:C&gt;=$J$4,'领用录入（明细）'!C:C&lt;=$L$4),ROW(),"-")</f>
        <v>-</v>
      </c>
    </row>
    <row r="38441" customHeight="1" spans="2:2">
      <c r="B38441" s="62" t="str">
        <f>IF(AND('领用录入（明细）'!D:D=$F$4,'领用录入（明细）'!C:C&gt;=$J$4,'领用录入（明细）'!C:C&lt;=$L$4),ROW(),"-")</f>
        <v>-</v>
      </c>
    </row>
    <row r="38442" customHeight="1" spans="2:2">
      <c r="B38442" s="62" t="str">
        <f>IF(AND('领用录入（明细）'!D:D=$F$4,'领用录入（明细）'!C:C&gt;=$J$4,'领用录入（明细）'!C:C&lt;=$L$4),ROW(),"-")</f>
        <v>-</v>
      </c>
    </row>
    <row r="38443" customHeight="1" spans="2:2">
      <c r="B38443" s="62" t="str">
        <f>IF(AND('领用录入（明细）'!D:D=$F$4,'领用录入（明细）'!C:C&gt;=$J$4,'领用录入（明细）'!C:C&lt;=$L$4),ROW(),"-")</f>
        <v>-</v>
      </c>
    </row>
    <row r="38444" customHeight="1" spans="2:2">
      <c r="B38444" s="62" t="str">
        <f>IF(AND('领用录入（明细）'!D:D=$F$4,'领用录入（明细）'!C:C&gt;=$J$4,'领用录入（明细）'!C:C&lt;=$L$4),ROW(),"-")</f>
        <v>-</v>
      </c>
    </row>
    <row r="38445" customHeight="1" spans="2:2">
      <c r="B38445" s="62" t="str">
        <f>IF(AND('领用录入（明细）'!D:D=$F$4,'领用录入（明细）'!C:C&gt;=$J$4,'领用录入（明细）'!C:C&lt;=$L$4),ROW(),"-")</f>
        <v>-</v>
      </c>
    </row>
    <row r="38446" customHeight="1" spans="2:2">
      <c r="B38446" s="62" t="str">
        <f>IF(AND('领用录入（明细）'!D:D=$F$4,'领用录入（明细）'!C:C&gt;=$J$4,'领用录入（明细）'!C:C&lt;=$L$4),ROW(),"-")</f>
        <v>-</v>
      </c>
    </row>
    <row r="38447" customHeight="1" spans="2:2">
      <c r="B38447" s="62" t="str">
        <f>IF(AND('领用录入（明细）'!D:D=$F$4,'领用录入（明细）'!C:C&gt;=$J$4,'领用录入（明细）'!C:C&lt;=$L$4),ROW(),"-")</f>
        <v>-</v>
      </c>
    </row>
    <row r="38448" customHeight="1" spans="2:2">
      <c r="B38448" s="62" t="str">
        <f>IF(AND('领用录入（明细）'!D:D=$F$4,'领用录入（明细）'!C:C&gt;=$J$4,'领用录入（明细）'!C:C&lt;=$L$4),ROW(),"-")</f>
        <v>-</v>
      </c>
    </row>
    <row r="38449" customHeight="1" spans="2:2">
      <c r="B38449" s="62" t="str">
        <f>IF(AND('领用录入（明细）'!D:D=$F$4,'领用录入（明细）'!C:C&gt;=$J$4,'领用录入（明细）'!C:C&lt;=$L$4),ROW(),"-")</f>
        <v>-</v>
      </c>
    </row>
    <row r="38450" customHeight="1" spans="2:2">
      <c r="B38450" s="62" t="str">
        <f>IF(AND('领用录入（明细）'!D:D=$F$4,'领用录入（明细）'!C:C&gt;=$J$4,'领用录入（明细）'!C:C&lt;=$L$4),ROW(),"-")</f>
        <v>-</v>
      </c>
    </row>
    <row r="38451" customHeight="1" spans="2:2">
      <c r="B38451" s="62" t="str">
        <f>IF(AND('领用录入（明细）'!D:D=$F$4,'领用录入（明细）'!C:C&gt;=$J$4,'领用录入（明细）'!C:C&lt;=$L$4),ROW(),"-")</f>
        <v>-</v>
      </c>
    </row>
    <row r="38452" customHeight="1" spans="2:2">
      <c r="B38452" s="62" t="str">
        <f>IF(AND('领用录入（明细）'!D:D=$F$4,'领用录入（明细）'!C:C&gt;=$J$4,'领用录入（明细）'!C:C&lt;=$L$4),ROW(),"-")</f>
        <v>-</v>
      </c>
    </row>
    <row r="38453" customHeight="1" spans="2:2">
      <c r="B38453" s="62" t="str">
        <f>IF(AND('领用录入（明细）'!D:D=$F$4,'领用录入（明细）'!C:C&gt;=$J$4,'领用录入（明细）'!C:C&lt;=$L$4),ROW(),"-")</f>
        <v>-</v>
      </c>
    </row>
    <row r="38454" customHeight="1" spans="2:2">
      <c r="B38454" s="62" t="str">
        <f>IF(AND('领用录入（明细）'!D:D=$F$4,'领用录入（明细）'!C:C&gt;=$J$4,'领用录入（明细）'!C:C&lt;=$L$4),ROW(),"-")</f>
        <v>-</v>
      </c>
    </row>
    <row r="38455" customHeight="1" spans="2:2">
      <c r="B38455" s="62" t="str">
        <f>IF(AND('领用录入（明细）'!D:D=$F$4,'领用录入（明细）'!C:C&gt;=$J$4,'领用录入（明细）'!C:C&lt;=$L$4),ROW(),"-")</f>
        <v>-</v>
      </c>
    </row>
    <row r="38456" customHeight="1" spans="2:2">
      <c r="B38456" s="62" t="str">
        <f>IF(AND('领用录入（明细）'!D:D=$F$4,'领用录入（明细）'!C:C&gt;=$J$4,'领用录入（明细）'!C:C&lt;=$L$4),ROW(),"-")</f>
        <v>-</v>
      </c>
    </row>
    <row r="38457" customHeight="1" spans="2:2">
      <c r="B38457" s="62" t="str">
        <f>IF(AND('领用录入（明细）'!D:D=$F$4,'领用录入（明细）'!C:C&gt;=$J$4,'领用录入（明细）'!C:C&lt;=$L$4),ROW(),"-")</f>
        <v>-</v>
      </c>
    </row>
    <row r="38458" customHeight="1" spans="2:2">
      <c r="B38458" s="62" t="str">
        <f>IF(AND('领用录入（明细）'!D:D=$F$4,'领用录入（明细）'!C:C&gt;=$J$4,'领用录入（明细）'!C:C&lt;=$L$4),ROW(),"-")</f>
        <v>-</v>
      </c>
    </row>
    <row r="38459" customHeight="1" spans="2:2">
      <c r="B38459" s="62" t="str">
        <f>IF(AND('领用录入（明细）'!D:D=$F$4,'领用录入（明细）'!C:C&gt;=$J$4,'领用录入（明细）'!C:C&lt;=$L$4),ROW(),"-")</f>
        <v>-</v>
      </c>
    </row>
    <row r="38460" customHeight="1" spans="2:2">
      <c r="B38460" s="62" t="str">
        <f>IF(AND('领用录入（明细）'!D:D=$F$4,'领用录入（明细）'!C:C&gt;=$J$4,'领用录入（明细）'!C:C&lt;=$L$4),ROW(),"-")</f>
        <v>-</v>
      </c>
    </row>
    <row r="38461" customHeight="1" spans="2:2">
      <c r="B38461" s="62" t="str">
        <f>IF(AND('领用录入（明细）'!D:D=$F$4,'领用录入（明细）'!C:C&gt;=$J$4,'领用录入（明细）'!C:C&lt;=$L$4),ROW(),"-")</f>
        <v>-</v>
      </c>
    </row>
    <row r="38462" customHeight="1" spans="2:2">
      <c r="B38462" s="62" t="str">
        <f>IF(AND('领用录入（明细）'!D:D=$F$4,'领用录入（明细）'!C:C&gt;=$J$4,'领用录入（明细）'!C:C&lt;=$L$4),ROW(),"-")</f>
        <v>-</v>
      </c>
    </row>
    <row r="38463" customHeight="1" spans="2:2">
      <c r="B38463" s="62" t="str">
        <f>IF(AND('领用录入（明细）'!D:D=$F$4,'领用录入（明细）'!C:C&gt;=$J$4,'领用录入（明细）'!C:C&lt;=$L$4),ROW(),"-")</f>
        <v>-</v>
      </c>
    </row>
    <row r="38464" customHeight="1" spans="2:2">
      <c r="B38464" s="62" t="str">
        <f>IF(AND('领用录入（明细）'!D:D=$F$4,'领用录入（明细）'!C:C&gt;=$J$4,'领用录入（明细）'!C:C&lt;=$L$4),ROW(),"-")</f>
        <v>-</v>
      </c>
    </row>
    <row r="38465" customHeight="1" spans="2:2">
      <c r="B38465" s="62" t="str">
        <f>IF(AND('领用录入（明细）'!D:D=$F$4,'领用录入（明细）'!C:C&gt;=$J$4,'领用录入（明细）'!C:C&lt;=$L$4),ROW(),"-")</f>
        <v>-</v>
      </c>
    </row>
    <row r="38466" customHeight="1" spans="2:2">
      <c r="B38466" s="62" t="str">
        <f>IF(AND('领用录入（明细）'!D:D=$F$4,'领用录入（明细）'!C:C&gt;=$J$4,'领用录入（明细）'!C:C&lt;=$L$4),ROW(),"-")</f>
        <v>-</v>
      </c>
    </row>
    <row r="38467" customHeight="1" spans="2:2">
      <c r="B38467" s="62" t="str">
        <f>IF(AND('领用录入（明细）'!D:D=$F$4,'领用录入（明细）'!C:C&gt;=$J$4,'领用录入（明细）'!C:C&lt;=$L$4),ROW(),"-")</f>
        <v>-</v>
      </c>
    </row>
    <row r="38468" customHeight="1" spans="2:2">
      <c r="B38468" s="62" t="str">
        <f>IF(AND('领用录入（明细）'!D:D=$F$4,'领用录入（明细）'!C:C&gt;=$J$4,'领用录入（明细）'!C:C&lt;=$L$4),ROW(),"-")</f>
        <v>-</v>
      </c>
    </row>
    <row r="38469" customHeight="1" spans="2:2">
      <c r="B38469" s="62" t="str">
        <f>IF(AND('领用录入（明细）'!D:D=$F$4,'领用录入（明细）'!C:C&gt;=$J$4,'领用录入（明细）'!C:C&lt;=$L$4),ROW(),"-")</f>
        <v>-</v>
      </c>
    </row>
    <row r="38470" customHeight="1" spans="2:2">
      <c r="B38470" s="62" t="str">
        <f>IF(AND('领用录入（明细）'!D:D=$F$4,'领用录入（明细）'!C:C&gt;=$J$4,'领用录入（明细）'!C:C&lt;=$L$4),ROW(),"-")</f>
        <v>-</v>
      </c>
    </row>
    <row r="38471" customHeight="1" spans="2:2">
      <c r="B38471" s="62" t="str">
        <f>IF(AND('领用录入（明细）'!D:D=$F$4,'领用录入（明细）'!C:C&gt;=$J$4,'领用录入（明细）'!C:C&lt;=$L$4),ROW(),"-")</f>
        <v>-</v>
      </c>
    </row>
    <row r="38472" customHeight="1" spans="2:2">
      <c r="B38472" s="62" t="str">
        <f>IF(AND('领用录入（明细）'!D:D=$F$4,'领用录入（明细）'!C:C&gt;=$J$4,'领用录入（明细）'!C:C&lt;=$L$4),ROW(),"-")</f>
        <v>-</v>
      </c>
    </row>
    <row r="38473" customHeight="1" spans="2:2">
      <c r="B38473" s="62" t="str">
        <f>IF(AND('领用录入（明细）'!D:D=$F$4,'领用录入（明细）'!C:C&gt;=$J$4,'领用录入（明细）'!C:C&lt;=$L$4),ROW(),"-")</f>
        <v>-</v>
      </c>
    </row>
    <row r="38474" customHeight="1" spans="2:2">
      <c r="B38474" s="62" t="str">
        <f>IF(AND('领用录入（明细）'!D:D=$F$4,'领用录入（明细）'!C:C&gt;=$J$4,'领用录入（明细）'!C:C&lt;=$L$4),ROW(),"-")</f>
        <v>-</v>
      </c>
    </row>
    <row r="38475" customHeight="1" spans="2:2">
      <c r="B38475" s="62" t="str">
        <f>IF(AND('领用录入（明细）'!D:D=$F$4,'领用录入（明细）'!C:C&gt;=$J$4,'领用录入（明细）'!C:C&lt;=$L$4),ROW(),"-")</f>
        <v>-</v>
      </c>
    </row>
    <row r="38476" customHeight="1" spans="2:2">
      <c r="B38476" s="62" t="str">
        <f>IF(AND('领用录入（明细）'!D:D=$F$4,'领用录入（明细）'!C:C&gt;=$J$4,'领用录入（明细）'!C:C&lt;=$L$4),ROW(),"-")</f>
        <v>-</v>
      </c>
    </row>
    <row r="38477" customHeight="1" spans="2:2">
      <c r="B38477" s="62" t="str">
        <f>IF(AND('领用录入（明细）'!D:D=$F$4,'领用录入（明细）'!C:C&gt;=$J$4,'领用录入（明细）'!C:C&lt;=$L$4),ROW(),"-")</f>
        <v>-</v>
      </c>
    </row>
    <row r="38478" customHeight="1" spans="2:2">
      <c r="B38478" s="62" t="str">
        <f>IF(AND('领用录入（明细）'!D:D=$F$4,'领用录入（明细）'!C:C&gt;=$J$4,'领用录入（明细）'!C:C&lt;=$L$4),ROW(),"-")</f>
        <v>-</v>
      </c>
    </row>
    <row r="38479" customHeight="1" spans="2:2">
      <c r="B38479" s="62" t="str">
        <f>IF(AND('领用录入（明细）'!D:D=$F$4,'领用录入（明细）'!C:C&gt;=$J$4,'领用录入（明细）'!C:C&lt;=$L$4),ROW(),"-")</f>
        <v>-</v>
      </c>
    </row>
    <row r="38480" customHeight="1" spans="2:2">
      <c r="B38480" s="62" t="str">
        <f>IF(AND('领用录入（明细）'!D:D=$F$4,'领用录入（明细）'!C:C&gt;=$J$4,'领用录入（明细）'!C:C&lt;=$L$4),ROW(),"-")</f>
        <v>-</v>
      </c>
    </row>
    <row r="38481" customHeight="1" spans="2:2">
      <c r="B38481" s="62" t="str">
        <f>IF(AND('领用录入（明细）'!D:D=$F$4,'领用录入（明细）'!C:C&gt;=$J$4,'领用录入（明细）'!C:C&lt;=$L$4),ROW(),"-")</f>
        <v>-</v>
      </c>
    </row>
    <row r="38482" customHeight="1" spans="2:2">
      <c r="B38482" s="62" t="str">
        <f>IF(AND('领用录入（明细）'!D:D=$F$4,'领用录入（明细）'!C:C&gt;=$J$4,'领用录入（明细）'!C:C&lt;=$L$4),ROW(),"-")</f>
        <v>-</v>
      </c>
    </row>
    <row r="38483" customHeight="1" spans="2:2">
      <c r="B38483" s="62" t="str">
        <f>IF(AND('领用录入（明细）'!D:D=$F$4,'领用录入（明细）'!C:C&gt;=$J$4,'领用录入（明细）'!C:C&lt;=$L$4),ROW(),"-")</f>
        <v>-</v>
      </c>
    </row>
    <row r="38484" customHeight="1" spans="2:2">
      <c r="B38484" s="62" t="str">
        <f>IF(AND('领用录入（明细）'!D:D=$F$4,'领用录入（明细）'!C:C&gt;=$J$4,'领用录入（明细）'!C:C&lt;=$L$4),ROW(),"-")</f>
        <v>-</v>
      </c>
    </row>
    <row r="38485" customHeight="1" spans="2:2">
      <c r="B38485" s="62" t="str">
        <f>IF(AND('领用录入（明细）'!D:D=$F$4,'领用录入（明细）'!C:C&gt;=$J$4,'领用录入（明细）'!C:C&lt;=$L$4),ROW(),"-")</f>
        <v>-</v>
      </c>
    </row>
    <row r="38486" customHeight="1" spans="2:2">
      <c r="B38486" s="62" t="str">
        <f>IF(AND('领用录入（明细）'!D:D=$F$4,'领用录入（明细）'!C:C&gt;=$J$4,'领用录入（明细）'!C:C&lt;=$L$4),ROW(),"-")</f>
        <v>-</v>
      </c>
    </row>
    <row r="38487" customHeight="1" spans="2:2">
      <c r="B38487" s="62" t="str">
        <f>IF(AND('领用录入（明细）'!D:D=$F$4,'领用录入（明细）'!C:C&gt;=$J$4,'领用录入（明细）'!C:C&lt;=$L$4),ROW(),"-")</f>
        <v>-</v>
      </c>
    </row>
    <row r="38488" customHeight="1" spans="2:2">
      <c r="B38488" s="62" t="str">
        <f>IF(AND('领用录入（明细）'!D:D=$F$4,'领用录入（明细）'!C:C&gt;=$J$4,'领用录入（明细）'!C:C&lt;=$L$4),ROW(),"-")</f>
        <v>-</v>
      </c>
    </row>
    <row r="38489" customHeight="1" spans="2:2">
      <c r="B38489" s="62" t="str">
        <f>IF(AND('领用录入（明细）'!D:D=$F$4,'领用录入（明细）'!C:C&gt;=$J$4,'领用录入（明细）'!C:C&lt;=$L$4),ROW(),"-")</f>
        <v>-</v>
      </c>
    </row>
    <row r="38490" customHeight="1" spans="2:2">
      <c r="B38490" s="62" t="str">
        <f>IF(AND('领用录入（明细）'!D:D=$F$4,'领用录入（明细）'!C:C&gt;=$J$4,'领用录入（明细）'!C:C&lt;=$L$4),ROW(),"-")</f>
        <v>-</v>
      </c>
    </row>
    <row r="38491" customHeight="1" spans="2:2">
      <c r="B38491" s="62" t="str">
        <f>IF(AND('领用录入（明细）'!D:D=$F$4,'领用录入（明细）'!C:C&gt;=$J$4,'领用录入（明细）'!C:C&lt;=$L$4),ROW(),"-")</f>
        <v>-</v>
      </c>
    </row>
    <row r="38492" customHeight="1" spans="2:2">
      <c r="B38492" s="62" t="str">
        <f>IF(AND('领用录入（明细）'!D:D=$F$4,'领用录入（明细）'!C:C&gt;=$J$4,'领用录入（明细）'!C:C&lt;=$L$4),ROW(),"-")</f>
        <v>-</v>
      </c>
    </row>
    <row r="38493" customHeight="1" spans="2:2">
      <c r="B38493" s="62" t="str">
        <f>IF(AND('领用录入（明细）'!D:D=$F$4,'领用录入（明细）'!C:C&gt;=$J$4,'领用录入（明细）'!C:C&lt;=$L$4),ROW(),"-")</f>
        <v>-</v>
      </c>
    </row>
    <row r="38494" customHeight="1" spans="2:2">
      <c r="B38494" s="62" t="str">
        <f>IF(AND('领用录入（明细）'!D:D=$F$4,'领用录入（明细）'!C:C&gt;=$J$4,'领用录入（明细）'!C:C&lt;=$L$4),ROW(),"-")</f>
        <v>-</v>
      </c>
    </row>
    <row r="38495" customHeight="1" spans="2:2">
      <c r="B38495" s="62" t="str">
        <f>IF(AND('领用录入（明细）'!D:D=$F$4,'领用录入（明细）'!C:C&gt;=$J$4,'领用录入（明细）'!C:C&lt;=$L$4),ROW(),"-")</f>
        <v>-</v>
      </c>
    </row>
    <row r="38496" customHeight="1" spans="2:2">
      <c r="B38496" s="62" t="str">
        <f>IF(AND('领用录入（明细）'!D:D=$F$4,'领用录入（明细）'!C:C&gt;=$J$4,'领用录入（明细）'!C:C&lt;=$L$4),ROW(),"-")</f>
        <v>-</v>
      </c>
    </row>
    <row r="38497" customHeight="1" spans="2:2">
      <c r="B38497" s="62" t="str">
        <f>IF(AND('领用录入（明细）'!D:D=$F$4,'领用录入（明细）'!C:C&gt;=$J$4,'领用录入（明细）'!C:C&lt;=$L$4),ROW(),"-")</f>
        <v>-</v>
      </c>
    </row>
    <row r="38498" customHeight="1" spans="2:2">
      <c r="B38498" s="62" t="str">
        <f>IF(AND('领用录入（明细）'!D:D=$F$4,'领用录入（明细）'!C:C&gt;=$J$4,'领用录入（明细）'!C:C&lt;=$L$4),ROW(),"-")</f>
        <v>-</v>
      </c>
    </row>
    <row r="38499" customHeight="1" spans="2:2">
      <c r="B38499" s="62" t="str">
        <f>IF(AND('领用录入（明细）'!D:D=$F$4,'领用录入（明细）'!C:C&gt;=$J$4,'领用录入（明细）'!C:C&lt;=$L$4),ROW(),"-")</f>
        <v>-</v>
      </c>
    </row>
    <row r="38500" customHeight="1" spans="2:2">
      <c r="B38500" s="62" t="str">
        <f>IF(AND('领用录入（明细）'!D:D=$F$4,'领用录入（明细）'!C:C&gt;=$J$4,'领用录入（明细）'!C:C&lt;=$L$4),ROW(),"-")</f>
        <v>-</v>
      </c>
    </row>
    <row r="38501" customHeight="1" spans="2:2">
      <c r="B38501" s="62" t="str">
        <f>IF(AND('领用录入（明细）'!D:D=$F$4,'领用录入（明细）'!C:C&gt;=$J$4,'领用录入（明细）'!C:C&lt;=$L$4),ROW(),"-")</f>
        <v>-</v>
      </c>
    </row>
    <row r="38502" customHeight="1" spans="2:2">
      <c r="B38502" s="62" t="str">
        <f>IF(AND('领用录入（明细）'!D:D=$F$4,'领用录入（明细）'!C:C&gt;=$J$4,'领用录入（明细）'!C:C&lt;=$L$4),ROW(),"-")</f>
        <v>-</v>
      </c>
    </row>
    <row r="38503" customHeight="1" spans="2:2">
      <c r="B38503" s="62" t="str">
        <f>IF(AND('领用录入（明细）'!D:D=$F$4,'领用录入（明细）'!C:C&gt;=$J$4,'领用录入（明细）'!C:C&lt;=$L$4),ROW(),"-")</f>
        <v>-</v>
      </c>
    </row>
    <row r="38504" customHeight="1" spans="2:2">
      <c r="B38504" s="62" t="str">
        <f>IF(AND('领用录入（明细）'!D:D=$F$4,'领用录入（明细）'!C:C&gt;=$J$4,'领用录入（明细）'!C:C&lt;=$L$4),ROW(),"-")</f>
        <v>-</v>
      </c>
    </row>
    <row r="38505" customHeight="1" spans="2:2">
      <c r="B38505" s="62" t="str">
        <f>IF(AND('领用录入（明细）'!D:D=$F$4,'领用录入（明细）'!C:C&gt;=$J$4,'领用录入（明细）'!C:C&lt;=$L$4),ROW(),"-")</f>
        <v>-</v>
      </c>
    </row>
    <row r="38506" customHeight="1" spans="2:2">
      <c r="B38506" s="62" t="str">
        <f>IF(AND('领用录入（明细）'!D:D=$F$4,'领用录入（明细）'!C:C&gt;=$J$4,'领用录入（明细）'!C:C&lt;=$L$4),ROW(),"-")</f>
        <v>-</v>
      </c>
    </row>
    <row r="38507" customHeight="1" spans="2:2">
      <c r="B38507" s="62" t="str">
        <f>IF(AND('领用录入（明细）'!D:D=$F$4,'领用录入（明细）'!C:C&gt;=$J$4,'领用录入（明细）'!C:C&lt;=$L$4),ROW(),"-")</f>
        <v>-</v>
      </c>
    </row>
    <row r="38508" customHeight="1" spans="2:2">
      <c r="B38508" s="62" t="str">
        <f>IF(AND('领用录入（明细）'!D:D=$F$4,'领用录入（明细）'!C:C&gt;=$J$4,'领用录入（明细）'!C:C&lt;=$L$4),ROW(),"-")</f>
        <v>-</v>
      </c>
    </row>
    <row r="38509" customHeight="1" spans="2:2">
      <c r="B38509" s="62" t="str">
        <f>IF(AND('领用录入（明细）'!D:D=$F$4,'领用录入（明细）'!C:C&gt;=$J$4,'领用录入（明细）'!C:C&lt;=$L$4),ROW(),"-")</f>
        <v>-</v>
      </c>
    </row>
    <row r="38510" customHeight="1" spans="2:2">
      <c r="B38510" s="62" t="str">
        <f>IF(AND('领用录入（明细）'!D:D=$F$4,'领用录入（明细）'!C:C&gt;=$J$4,'领用录入（明细）'!C:C&lt;=$L$4),ROW(),"-")</f>
        <v>-</v>
      </c>
    </row>
    <row r="38511" customHeight="1" spans="2:2">
      <c r="B38511" s="62" t="str">
        <f>IF(AND('领用录入（明细）'!D:D=$F$4,'领用录入（明细）'!C:C&gt;=$J$4,'领用录入（明细）'!C:C&lt;=$L$4),ROW(),"-")</f>
        <v>-</v>
      </c>
    </row>
    <row r="38512" customHeight="1" spans="2:2">
      <c r="B38512" s="62" t="str">
        <f>IF(AND('领用录入（明细）'!D:D=$F$4,'领用录入（明细）'!C:C&gt;=$J$4,'领用录入（明细）'!C:C&lt;=$L$4),ROW(),"-")</f>
        <v>-</v>
      </c>
    </row>
    <row r="38513" customHeight="1" spans="2:2">
      <c r="B38513" s="62" t="str">
        <f>IF(AND('领用录入（明细）'!D:D=$F$4,'领用录入（明细）'!C:C&gt;=$J$4,'领用录入（明细）'!C:C&lt;=$L$4),ROW(),"-")</f>
        <v>-</v>
      </c>
    </row>
    <row r="38514" customHeight="1" spans="2:2">
      <c r="B38514" s="62" t="str">
        <f>IF(AND('领用录入（明细）'!D:D=$F$4,'领用录入（明细）'!C:C&gt;=$J$4,'领用录入（明细）'!C:C&lt;=$L$4),ROW(),"-")</f>
        <v>-</v>
      </c>
    </row>
    <row r="38515" customHeight="1" spans="2:2">
      <c r="B38515" s="62" t="str">
        <f>IF(AND('领用录入（明细）'!D:D=$F$4,'领用录入（明细）'!C:C&gt;=$J$4,'领用录入（明细）'!C:C&lt;=$L$4),ROW(),"-")</f>
        <v>-</v>
      </c>
    </row>
    <row r="38516" customHeight="1" spans="2:2">
      <c r="B38516" s="62" t="str">
        <f>IF(AND('领用录入（明细）'!D:D=$F$4,'领用录入（明细）'!C:C&gt;=$J$4,'领用录入（明细）'!C:C&lt;=$L$4),ROW(),"-")</f>
        <v>-</v>
      </c>
    </row>
    <row r="38517" customHeight="1" spans="2:2">
      <c r="B38517" s="62" t="str">
        <f>IF(AND('领用录入（明细）'!D:D=$F$4,'领用录入（明细）'!C:C&gt;=$J$4,'领用录入（明细）'!C:C&lt;=$L$4),ROW(),"-")</f>
        <v>-</v>
      </c>
    </row>
    <row r="38518" customHeight="1" spans="2:2">
      <c r="B38518" s="62" t="str">
        <f>IF(AND('领用录入（明细）'!D:D=$F$4,'领用录入（明细）'!C:C&gt;=$J$4,'领用录入（明细）'!C:C&lt;=$L$4),ROW(),"-")</f>
        <v>-</v>
      </c>
    </row>
    <row r="38519" customHeight="1" spans="2:2">
      <c r="B38519" s="62" t="str">
        <f>IF(AND('领用录入（明细）'!D:D=$F$4,'领用录入（明细）'!C:C&gt;=$J$4,'领用录入（明细）'!C:C&lt;=$L$4),ROW(),"-")</f>
        <v>-</v>
      </c>
    </row>
    <row r="38520" customHeight="1" spans="2:2">
      <c r="B38520" s="62" t="str">
        <f>IF(AND('领用录入（明细）'!D:D=$F$4,'领用录入（明细）'!C:C&gt;=$J$4,'领用录入（明细）'!C:C&lt;=$L$4),ROW(),"-")</f>
        <v>-</v>
      </c>
    </row>
    <row r="38521" customHeight="1" spans="2:2">
      <c r="B38521" s="62" t="str">
        <f>IF(AND('领用录入（明细）'!D:D=$F$4,'领用录入（明细）'!C:C&gt;=$J$4,'领用录入（明细）'!C:C&lt;=$L$4),ROW(),"-")</f>
        <v>-</v>
      </c>
    </row>
    <row r="38522" customHeight="1" spans="2:2">
      <c r="B38522" s="62" t="str">
        <f>IF(AND('领用录入（明细）'!D:D=$F$4,'领用录入（明细）'!C:C&gt;=$J$4,'领用录入（明细）'!C:C&lt;=$L$4),ROW(),"-")</f>
        <v>-</v>
      </c>
    </row>
    <row r="38523" customHeight="1" spans="2:2">
      <c r="B38523" s="62" t="str">
        <f>IF(AND('领用录入（明细）'!D:D=$F$4,'领用录入（明细）'!C:C&gt;=$J$4,'领用录入（明细）'!C:C&lt;=$L$4),ROW(),"-")</f>
        <v>-</v>
      </c>
    </row>
    <row r="38524" customHeight="1" spans="2:2">
      <c r="B38524" s="62" t="str">
        <f>IF(AND('领用录入（明细）'!D:D=$F$4,'领用录入（明细）'!C:C&gt;=$J$4,'领用录入（明细）'!C:C&lt;=$L$4),ROW(),"-")</f>
        <v>-</v>
      </c>
    </row>
    <row r="38525" customHeight="1" spans="2:2">
      <c r="B38525" s="62" t="str">
        <f>IF(AND('领用录入（明细）'!D:D=$F$4,'领用录入（明细）'!C:C&gt;=$J$4,'领用录入（明细）'!C:C&lt;=$L$4),ROW(),"-")</f>
        <v>-</v>
      </c>
    </row>
    <row r="38526" customHeight="1" spans="2:2">
      <c r="B38526" s="62" t="str">
        <f>IF(AND('领用录入（明细）'!D:D=$F$4,'领用录入（明细）'!C:C&gt;=$J$4,'领用录入（明细）'!C:C&lt;=$L$4),ROW(),"-")</f>
        <v>-</v>
      </c>
    </row>
    <row r="38527" customHeight="1" spans="2:2">
      <c r="B38527" s="62" t="str">
        <f>IF(AND('领用录入（明细）'!D:D=$F$4,'领用录入（明细）'!C:C&gt;=$J$4,'领用录入（明细）'!C:C&lt;=$L$4),ROW(),"-")</f>
        <v>-</v>
      </c>
    </row>
    <row r="38528" customHeight="1" spans="2:2">
      <c r="B38528" s="62" t="str">
        <f>IF(AND('领用录入（明细）'!D:D=$F$4,'领用录入（明细）'!C:C&gt;=$J$4,'领用录入（明细）'!C:C&lt;=$L$4),ROW(),"-")</f>
        <v>-</v>
      </c>
    </row>
    <row r="38529" customHeight="1" spans="2:2">
      <c r="B38529" s="62" t="str">
        <f>IF(AND('领用录入（明细）'!D:D=$F$4,'领用录入（明细）'!C:C&gt;=$J$4,'领用录入（明细）'!C:C&lt;=$L$4),ROW(),"-")</f>
        <v>-</v>
      </c>
    </row>
    <row r="38530" customHeight="1" spans="2:2">
      <c r="B38530" s="62" t="str">
        <f>IF(AND('领用录入（明细）'!D:D=$F$4,'领用录入（明细）'!C:C&gt;=$J$4,'领用录入（明细）'!C:C&lt;=$L$4),ROW(),"-")</f>
        <v>-</v>
      </c>
    </row>
    <row r="38531" customHeight="1" spans="2:2">
      <c r="B38531" s="62" t="str">
        <f>IF(AND('领用录入（明细）'!D:D=$F$4,'领用录入（明细）'!C:C&gt;=$J$4,'领用录入（明细）'!C:C&lt;=$L$4),ROW(),"-")</f>
        <v>-</v>
      </c>
    </row>
    <row r="38532" customHeight="1" spans="2:2">
      <c r="B38532" s="62" t="str">
        <f>IF(AND('领用录入（明细）'!D:D=$F$4,'领用录入（明细）'!C:C&gt;=$J$4,'领用录入（明细）'!C:C&lt;=$L$4),ROW(),"-")</f>
        <v>-</v>
      </c>
    </row>
    <row r="38533" customHeight="1" spans="2:2">
      <c r="B38533" s="62" t="str">
        <f>IF(AND('领用录入（明细）'!D:D=$F$4,'领用录入（明细）'!C:C&gt;=$J$4,'领用录入（明细）'!C:C&lt;=$L$4),ROW(),"-")</f>
        <v>-</v>
      </c>
    </row>
    <row r="38534" customHeight="1" spans="2:2">
      <c r="B38534" s="62" t="str">
        <f>IF(AND('领用录入（明细）'!D:D=$F$4,'领用录入（明细）'!C:C&gt;=$J$4,'领用录入（明细）'!C:C&lt;=$L$4),ROW(),"-")</f>
        <v>-</v>
      </c>
    </row>
    <row r="38535" customHeight="1" spans="2:2">
      <c r="B38535" s="62" t="str">
        <f>IF(AND('领用录入（明细）'!D:D=$F$4,'领用录入（明细）'!C:C&gt;=$J$4,'领用录入（明细）'!C:C&lt;=$L$4),ROW(),"-")</f>
        <v>-</v>
      </c>
    </row>
    <row r="38536" customHeight="1" spans="2:2">
      <c r="B38536" s="62" t="str">
        <f>IF(AND('领用录入（明细）'!D:D=$F$4,'领用录入（明细）'!C:C&gt;=$J$4,'领用录入（明细）'!C:C&lt;=$L$4),ROW(),"-")</f>
        <v>-</v>
      </c>
    </row>
    <row r="38537" customHeight="1" spans="2:2">
      <c r="B38537" s="62" t="str">
        <f>IF(AND('领用录入（明细）'!D:D=$F$4,'领用录入（明细）'!C:C&gt;=$J$4,'领用录入（明细）'!C:C&lt;=$L$4),ROW(),"-")</f>
        <v>-</v>
      </c>
    </row>
    <row r="38538" customHeight="1" spans="2:2">
      <c r="B38538" s="62" t="str">
        <f>IF(AND('领用录入（明细）'!D:D=$F$4,'领用录入（明细）'!C:C&gt;=$J$4,'领用录入（明细）'!C:C&lt;=$L$4),ROW(),"-")</f>
        <v>-</v>
      </c>
    </row>
    <row r="38539" customHeight="1" spans="2:2">
      <c r="B38539" s="62" t="str">
        <f>IF(AND('领用录入（明细）'!D:D=$F$4,'领用录入（明细）'!C:C&gt;=$J$4,'领用录入（明细）'!C:C&lt;=$L$4),ROW(),"-")</f>
        <v>-</v>
      </c>
    </row>
    <row r="38540" customHeight="1" spans="2:2">
      <c r="B38540" s="62" t="str">
        <f>IF(AND('领用录入（明细）'!D:D=$F$4,'领用录入（明细）'!C:C&gt;=$J$4,'领用录入（明细）'!C:C&lt;=$L$4),ROW(),"-")</f>
        <v>-</v>
      </c>
    </row>
    <row r="38541" customHeight="1" spans="2:2">
      <c r="B38541" s="62" t="str">
        <f>IF(AND('领用录入（明细）'!D:D=$F$4,'领用录入（明细）'!C:C&gt;=$J$4,'领用录入（明细）'!C:C&lt;=$L$4),ROW(),"-")</f>
        <v>-</v>
      </c>
    </row>
    <row r="38542" customHeight="1" spans="2:2">
      <c r="B38542" s="62" t="str">
        <f>IF(AND('领用录入（明细）'!D:D=$F$4,'领用录入（明细）'!C:C&gt;=$J$4,'领用录入（明细）'!C:C&lt;=$L$4),ROW(),"-")</f>
        <v>-</v>
      </c>
    </row>
    <row r="38543" customHeight="1" spans="2:2">
      <c r="B38543" s="62" t="str">
        <f>IF(AND('领用录入（明细）'!D:D=$F$4,'领用录入（明细）'!C:C&gt;=$J$4,'领用录入（明细）'!C:C&lt;=$L$4),ROW(),"-")</f>
        <v>-</v>
      </c>
    </row>
    <row r="38544" customHeight="1" spans="2:2">
      <c r="B38544" s="62" t="str">
        <f>IF(AND('领用录入（明细）'!D:D=$F$4,'领用录入（明细）'!C:C&gt;=$J$4,'领用录入（明细）'!C:C&lt;=$L$4),ROW(),"-")</f>
        <v>-</v>
      </c>
    </row>
    <row r="38545" customHeight="1" spans="2:2">
      <c r="B38545" s="62" t="str">
        <f>IF(AND('领用录入（明细）'!D:D=$F$4,'领用录入（明细）'!C:C&gt;=$J$4,'领用录入（明细）'!C:C&lt;=$L$4),ROW(),"-")</f>
        <v>-</v>
      </c>
    </row>
    <row r="38546" customHeight="1" spans="2:2">
      <c r="B38546" s="62" t="str">
        <f>IF(AND('领用录入（明细）'!D:D=$F$4,'领用录入（明细）'!C:C&gt;=$J$4,'领用录入（明细）'!C:C&lt;=$L$4),ROW(),"-")</f>
        <v>-</v>
      </c>
    </row>
    <row r="38547" customHeight="1" spans="2:2">
      <c r="B38547" s="62" t="str">
        <f>IF(AND('领用录入（明细）'!D:D=$F$4,'领用录入（明细）'!C:C&gt;=$J$4,'领用录入（明细）'!C:C&lt;=$L$4),ROW(),"-")</f>
        <v>-</v>
      </c>
    </row>
    <row r="38548" customHeight="1" spans="2:2">
      <c r="B38548" s="62" t="str">
        <f>IF(AND('领用录入（明细）'!D:D=$F$4,'领用录入（明细）'!C:C&gt;=$J$4,'领用录入（明细）'!C:C&lt;=$L$4),ROW(),"-")</f>
        <v>-</v>
      </c>
    </row>
    <row r="38549" customHeight="1" spans="2:2">
      <c r="B38549" s="62" t="str">
        <f>IF(AND('领用录入（明细）'!D:D=$F$4,'领用录入（明细）'!C:C&gt;=$J$4,'领用录入（明细）'!C:C&lt;=$L$4),ROW(),"-")</f>
        <v>-</v>
      </c>
    </row>
    <row r="38550" customHeight="1" spans="2:2">
      <c r="B38550" s="62" t="str">
        <f>IF(AND('领用录入（明细）'!D:D=$F$4,'领用录入（明细）'!C:C&gt;=$J$4,'领用录入（明细）'!C:C&lt;=$L$4),ROW(),"-")</f>
        <v>-</v>
      </c>
    </row>
    <row r="38551" customHeight="1" spans="2:2">
      <c r="B38551" s="62" t="str">
        <f>IF(AND('领用录入（明细）'!D:D=$F$4,'领用录入（明细）'!C:C&gt;=$J$4,'领用录入（明细）'!C:C&lt;=$L$4),ROW(),"-")</f>
        <v>-</v>
      </c>
    </row>
    <row r="38552" customHeight="1" spans="2:2">
      <c r="B38552" s="62" t="str">
        <f>IF(AND('领用录入（明细）'!D:D=$F$4,'领用录入（明细）'!C:C&gt;=$J$4,'领用录入（明细）'!C:C&lt;=$L$4),ROW(),"-")</f>
        <v>-</v>
      </c>
    </row>
    <row r="38553" customHeight="1" spans="2:2">
      <c r="B38553" s="62" t="str">
        <f>IF(AND('领用录入（明细）'!D:D=$F$4,'领用录入（明细）'!C:C&gt;=$J$4,'领用录入（明细）'!C:C&lt;=$L$4),ROW(),"-")</f>
        <v>-</v>
      </c>
    </row>
    <row r="38554" customHeight="1" spans="2:2">
      <c r="B38554" s="62" t="str">
        <f>IF(AND('领用录入（明细）'!D:D=$F$4,'领用录入（明细）'!C:C&gt;=$J$4,'领用录入（明细）'!C:C&lt;=$L$4),ROW(),"-")</f>
        <v>-</v>
      </c>
    </row>
    <row r="38555" customHeight="1" spans="2:2">
      <c r="B38555" s="62" t="str">
        <f>IF(AND('领用录入（明细）'!D:D=$F$4,'领用录入（明细）'!C:C&gt;=$J$4,'领用录入（明细）'!C:C&lt;=$L$4),ROW(),"-")</f>
        <v>-</v>
      </c>
    </row>
    <row r="38556" customHeight="1" spans="2:2">
      <c r="B38556" s="62" t="str">
        <f>IF(AND('领用录入（明细）'!D:D=$F$4,'领用录入（明细）'!C:C&gt;=$J$4,'领用录入（明细）'!C:C&lt;=$L$4),ROW(),"-")</f>
        <v>-</v>
      </c>
    </row>
    <row r="38557" customHeight="1" spans="2:2">
      <c r="B38557" s="62" t="str">
        <f>IF(AND('领用录入（明细）'!D:D=$F$4,'领用录入（明细）'!C:C&gt;=$J$4,'领用录入（明细）'!C:C&lt;=$L$4),ROW(),"-")</f>
        <v>-</v>
      </c>
    </row>
    <row r="38558" customHeight="1" spans="2:2">
      <c r="B38558" s="62" t="str">
        <f>IF(AND('领用录入（明细）'!D:D=$F$4,'领用录入（明细）'!C:C&gt;=$J$4,'领用录入（明细）'!C:C&lt;=$L$4),ROW(),"-")</f>
        <v>-</v>
      </c>
    </row>
    <row r="38559" customHeight="1" spans="2:2">
      <c r="B38559" s="62" t="str">
        <f>IF(AND('领用录入（明细）'!D:D=$F$4,'领用录入（明细）'!C:C&gt;=$J$4,'领用录入（明细）'!C:C&lt;=$L$4),ROW(),"-")</f>
        <v>-</v>
      </c>
    </row>
    <row r="38560" customHeight="1" spans="2:2">
      <c r="B38560" s="62" t="str">
        <f>IF(AND('领用录入（明细）'!D:D=$F$4,'领用录入（明细）'!C:C&gt;=$J$4,'领用录入（明细）'!C:C&lt;=$L$4),ROW(),"-")</f>
        <v>-</v>
      </c>
    </row>
    <row r="38561" customHeight="1" spans="2:2">
      <c r="B38561" s="62" t="str">
        <f>IF(AND('领用录入（明细）'!D:D=$F$4,'领用录入（明细）'!C:C&gt;=$J$4,'领用录入（明细）'!C:C&lt;=$L$4),ROW(),"-")</f>
        <v>-</v>
      </c>
    </row>
    <row r="38562" customHeight="1" spans="2:2">
      <c r="B38562" s="62" t="str">
        <f>IF(AND('领用录入（明细）'!D:D=$F$4,'领用录入（明细）'!C:C&gt;=$J$4,'领用录入（明细）'!C:C&lt;=$L$4),ROW(),"-")</f>
        <v>-</v>
      </c>
    </row>
    <row r="38563" customHeight="1" spans="2:2">
      <c r="B38563" s="62" t="str">
        <f>IF(AND('领用录入（明细）'!D:D=$F$4,'领用录入（明细）'!C:C&gt;=$J$4,'领用录入（明细）'!C:C&lt;=$L$4),ROW(),"-")</f>
        <v>-</v>
      </c>
    </row>
    <row r="38564" customHeight="1" spans="2:2">
      <c r="B38564" s="62" t="str">
        <f>IF(AND('领用录入（明细）'!D:D=$F$4,'领用录入（明细）'!C:C&gt;=$J$4,'领用录入（明细）'!C:C&lt;=$L$4),ROW(),"-")</f>
        <v>-</v>
      </c>
    </row>
    <row r="38565" customHeight="1" spans="2:2">
      <c r="B38565" s="62" t="str">
        <f>IF(AND('领用录入（明细）'!D:D=$F$4,'领用录入（明细）'!C:C&gt;=$J$4,'领用录入（明细）'!C:C&lt;=$L$4),ROW(),"-")</f>
        <v>-</v>
      </c>
    </row>
    <row r="38566" customHeight="1" spans="2:2">
      <c r="B38566" s="62" t="str">
        <f>IF(AND('领用录入（明细）'!D:D=$F$4,'领用录入（明细）'!C:C&gt;=$J$4,'领用录入（明细）'!C:C&lt;=$L$4),ROW(),"-")</f>
        <v>-</v>
      </c>
    </row>
    <row r="38567" customHeight="1" spans="2:2">
      <c r="B38567" s="62" t="str">
        <f>IF(AND('领用录入（明细）'!D:D=$F$4,'领用录入（明细）'!C:C&gt;=$J$4,'领用录入（明细）'!C:C&lt;=$L$4),ROW(),"-")</f>
        <v>-</v>
      </c>
    </row>
    <row r="38568" customHeight="1" spans="2:2">
      <c r="B38568" s="62" t="str">
        <f>IF(AND('领用录入（明细）'!D:D=$F$4,'领用录入（明细）'!C:C&gt;=$J$4,'领用录入（明细）'!C:C&lt;=$L$4),ROW(),"-")</f>
        <v>-</v>
      </c>
    </row>
    <row r="38569" customHeight="1" spans="2:2">
      <c r="B38569" s="62" t="str">
        <f>IF(AND('领用录入（明细）'!D:D=$F$4,'领用录入（明细）'!C:C&gt;=$J$4,'领用录入（明细）'!C:C&lt;=$L$4),ROW(),"-")</f>
        <v>-</v>
      </c>
    </row>
    <row r="38570" customHeight="1" spans="2:2">
      <c r="B38570" s="62" t="str">
        <f>IF(AND('领用录入（明细）'!D:D=$F$4,'领用录入（明细）'!C:C&gt;=$J$4,'领用录入（明细）'!C:C&lt;=$L$4),ROW(),"-")</f>
        <v>-</v>
      </c>
    </row>
    <row r="38571" customHeight="1" spans="2:2">
      <c r="B38571" s="62" t="str">
        <f>IF(AND('领用录入（明细）'!D:D=$F$4,'领用录入（明细）'!C:C&gt;=$J$4,'领用录入（明细）'!C:C&lt;=$L$4),ROW(),"-")</f>
        <v>-</v>
      </c>
    </row>
    <row r="38572" customHeight="1" spans="2:2">
      <c r="B38572" s="62" t="str">
        <f>IF(AND('领用录入（明细）'!D:D=$F$4,'领用录入（明细）'!C:C&gt;=$J$4,'领用录入（明细）'!C:C&lt;=$L$4),ROW(),"-")</f>
        <v>-</v>
      </c>
    </row>
    <row r="38573" customHeight="1" spans="2:2">
      <c r="B38573" s="62" t="str">
        <f>IF(AND('领用录入（明细）'!D:D=$F$4,'领用录入（明细）'!C:C&gt;=$J$4,'领用录入（明细）'!C:C&lt;=$L$4),ROW(),"-")</f>
        <v>-</v>
      </c>
    </row>
    <row r="38574" customHeight="1" spans="2:2">
      <c r="B38574" s="62" t="str">
        <f>IF(AND('领用录入（明细）'!D:D=$F$4,'领用录入（明细）'!C:C&gt;=$J$4,'领用录入（明细）'!C:C&lt;=$L$4),ROW(),"-")</f>
        <v>-</v>
      </c>
    </row>
    <row r="38575" customHeight="1" spans="2:2">
      <c r="B38575" s="62" t="str">
        <f>IF(AND('领用录入（明细）'!D:D=$F$4,'领用录入（明细）'!C:C&gt;=$J$4,'领用录入（明细）'!C:C&lt;=$L$4),ROW(),"-")</f>
        <v>-</v>
      </c>
    </row>
    <row r="38576" customHeight="1" spans="2:2">
      <c r="B38576" s="62" t="str">
        <f>IF(AND('领用录入（明细）'!D:D=$F$4,'领用录入（明细）'!C:C&gt;=$J$4,'领用录入（明细）'!C:C&lt;=$L$4),ROW(),"-")</f>
        <v>-</v>
      </c>
    </row>
    <row r="38577" customHeight="1" spans="2:2">
      <c r="B38577" s="62" t="str">
        <f>IF(AND('领用录入（明细）'!D:D=$F$4,'领用录入（明细）'!C:C&gt;=$J$4,'领用录入（明细）'!C:C&lt;=$L$4),ROW(),"-")</f>
        <v>-</v>
      </c>
    </row>
    <row r="38578" customHeight="1" spans="2:2">
      <c r="B38578" s="62" t="str">
        <f>IF(AND('领用录入（明细）'!D:D=$F$4,'领用录入（明细）'!C:C&gt;=$J$4,'领用录入（明细）'!C:C&lt;=$L$4),ROW(),"-")</f>
        <v>-</v>
      </c>
    </row>
    <row r="38579" customHeight="1" spans="2:2">
      <c r="B38579" s="62" t="str">
        <f>IF(AND('领用录入（明细）'!D:D=$F$4,'领用录入（明细）'!C:C&gt;=$J$4,'领用录入（明细）'!C:C&lt;=$L$4),ROW(),"-")</f>
        <v>-</v>
      </c>
    </row>
    <row r="38580" customHeight="1" spans="2:2">
      <c r="B38580" s="62" t="str">
        <f>IF(AND('领用录入（明细）'!D:D=$F$4,'领用录入（明细）'!C:C&gt;=$J$4,'领用录入（明细）'!C:C&lt;=$L$4),ROW(),"-")</f>
        <v>-</v>
      </c>
    </row>
    <row r="38581" customHeight="1" spans="2:2">
      <c r="B38581" s="62" t="str">
        <f>IF(AND('领用录入（明细）'!D:D=$F$4,'领用录入（明细）'!C:C&gt;=$J$4,'领用录入（明细）'!C:C&lt;=$L$4),ROW(),"-")</f>
        <v>-</v>
      </c>
    </row>
    <row r="38582" customHeight="1" spans="2:2">
      <c r="B38582" s="62" t="str">
        <f>IF(AND('领用录入（明细）'!D:D=$F$4,'领用录入（明细）'!C:C&gt;=$J$4,'领用录入（明细）'!C:C&lt;=$L$4),ROW(),"-")</f>
        <v>-</v>
      </c>
    </row>
    <row r="38583" customHeight="1" spans="2:2">
      <c r="B38583" s="62" t="str">
        <f>IF(AND('领用录入（明细）'!D:D=$F$4,'领用录入（明细）'!C:C&gt;=$J$4,'领用录入（明细）'!C:C&lt;=$L$4),ROW(),"-")</f>
        <v>-</v>
      </c>
    </row>
    <row r="38584" customHeight="1" spans="2:2">
      <c r="B38584" s="62" t="str">
        <f>IF(AND('领用录入（明细）'!D:D=$F$4,'领用录入（明细）'!C:C&gt;=$J$4,'领用录入（明细）'!C:C&lt;=$L$4),ROW(),"-")</f>
        <v>-</v>
      </c>
    </row>
    <row r="38585" customHeight="1" spans="2:2">
      <c r="B38585" s="62" t="str">
        <f>IF(AND('领用录入（明细）'!D:D=$F$4,'领用录入（明细）'!C:C&gt;=$J$4,'领用录入（明细）'!C:C&lt;=$L$4),ROW(),"-")</f>
        <v>-</v>
      </c>
    </row>
    <row r="38586" customHeight="1" spans="2:2">
      <c r="B38586" s="62" t="str">
        <f>IF(AND('领用录入（明细）'!D:D=$F$4,'领用录入（明细）'!C:C&gt;=$J$4,'领用录入（明细）'!C:C&lt;=$L$4),ROW(),"-")</f>
        <v>-</v>
      </c>
    </row>
    <row r="38587" customHeight="1" spans="2:2">
      <c r="B38587" s="62" t="str">
        <f>IF(AND('领用录入（明细）'!D:D=$F$4,'领用录入（明细）'!C:C&gt;=$J$4,'领用录入（明细）'!C:C&lt;=$L$4),ROW(),"-")</f>
        <v>-</v>
      </c>
    </row>
    <row r="38588" customHeight="1" spans="2:2">
      <c r="B38588" s="62" t="str">
        <f>IF(AND('领用录入（明细）'!D:D=$F$4,'领用录入（明细）'!C:C&gt;=$J$4,'领用录入（明细）'!C:C&lt;=$L$4),ROW(),"-")</f>
        <v>-</v>
      </c>
    </row>
    <row r="38589" customHeight="1" spans="2:2">
      <c r="B38589" s="62" t="str">
        <f>IF(AND('领用录入（明细）'!D:D=$F$4,'领用录入（明细）'!C:C&gt;=$J$4,'领用录入（明细）'!C:C&lt;=$L$4),ROW(),"-")</f>
        <v>-</v>
      </c>
    </row>
    <row r="38590" customHeight="1" spans="2:2">
      <c r="B38590" s="62" t="str">
        <f>IF(AND('领用录入（明细）'!D:D=$F$4,'领用录入（明细）'!C:C&gt;=$J$4,'领用录入（明细）'!C:C&lt;=$L$4),ROW(),"-")</f>
        <v>-</v>
      </c>
    </row>
    <row r="38591" customHeight="1" spans="2:2">
      <c r="B38591" s="62" t="str">
        <f>IF(AND('领用录入（明细）'!D:D=$F$4,'领用录入（明细）'!C:C&gt;=$J$4,'领用录入（明细）'!C:C&lt;=$L$4),ROW(),"-")</f>
        <v>-</v>
      </c>
    </row>
    <row r="38592" customHeight="1" spans="2:2">
      <c r="B38592" s="62" t="str">
        <f>IF(AND('领用录入（明细）'!D:D=$F$4,'领用录入（明细）'!C:C&gt;=$J$4,'领用录入（明细）'!C:C&lt;=$L$4),ROW(),"-")</f>
        <v>-</v>
      </c>
    </row>
    <row r="38593" customHeight="1" spans="2:2">
      <c r="B38593" s="62" t="str">
        <f>IF(AND('领用录入（明细）'!D:D=$F$4,'领用录入（明细）'!C:C&gt;=$J$4,'领用录入（明细）'!C:C&lt;=$L$4),ROW(),"-")</f>
        <v>-</v>
      </c>
    </row>
    <row r="38594" customHeight="1" spans="2:2">
      <c r="B38594" s="62" t="str">
        <f>IF(AND('领用录入（明细）'!D:D=$F$4,'领用录入（明细）'!C:C&gt;=$J$4,'领用录入（明细）'!C:C&lt;=$L$4),ROW(),"-")</f>
        <v>-</v>
      </c>
    </row>
    <row r="38595" customHeight="1" spans="2:2">
      <c r="B38595" s="62" t="str">
        <f>IF(AND('领用录入（明细）'!D:D=$F$4,'领用录入（明细）'!C:C&gt;=$J$4,'领用录入（明细）'!C:C&lt;=$L$4),ROW(),"-")</f>
        <v>-</v>
      </c>
    </row>
    <row r="38596" customHeight="1" spans="2:2">
      <c r="B38596" s="62" t="str">
        <f>IF(AND('领用录入（明细）'!D:D=$F$4,'领用录入（明细）'!C:C&gt;=$J$4,'领用录入（明细）'!C:C&lt;=$L$4),ROW(),"-")</f>
        <v>-</v>
      </c>
    </row>
    <row r="38597" customHeight="1" spans="2:2">
      <c r="B38597" s="62" t="str">
        <f>IF(AND('领用录入（明细）'!D:D=$F$4,'领用录入（明细）'!C:C&gt;=$J$4,'领用录入（明细）'!C:C&lt;=$L$4),ROW(),"-")</f>
        <v>-</v>
      </c>
    </row>
    <row r="38598" customHeight="1" spans="2:2">
      <c r="B38598" s="62" t="str">
        <f>IF(AND('领用录入（明细）'!D:D=$F$4,'领用录入（明细）'!C:C&gt;=$J$4,'领用录入（明细）'!C:C&lt;=$L$4),ROW(),"-")</f>
        <v>-</v>
      </c>
    </row>
    <row r="38599" customHeight="1" spans="2:2">
      <c r="B38599" s="62" t="str">
        <f>IF(AND('领用录入（明细）'!D:D=$F$4,'领用录入（明细）'!C:C&gt;=$J$4,'领用录入（明细）'!C:C&lt;=$L$4),ROW(),"-")</f>
        <v>-</v>
      </c>
    </row>
    <row r="38600" customHeight="1" spans="2:2">
      <c r="B38600" s="62" t="str">
        <f>IF(AND('领用录入（明细）'!D:D=$F$4,'领用录入（明细）'!C:C&gt;=$J$4,'领用录入（明细）'!C:C&lt;=$L$4),ROW(),"-")</f>
        <v>-</v>
      </c>
    </row>
    <row r="38601" customHeight="1" spans="2:2">
      <c r="B38601" s="62" t="str">
        <f>IF(AND('领用录入（明细）'!D:D=$F$4,'领用录入（明细）'!C:C&gt;=$J$4,'领用录入（明细）'!C:C&lt;=$L$4),ROW(),"-")</f>
        <v>-</v>
      </c>
    </row>
    <row r="38602" customHeight="1" spans="2:2">
      <c r="B38602" s="62" t="str">
        <f>IF(AND('领用录入（明细）'!D:D=$F$4,'领用录入（明细）'!C:C&gt;=$J$4,'领用录入（明细）'!C:C&lt;=$L$4),ROW(),"-")</f>
        <v>-</v>
      </c>
    </row>
    <row r="38603" customHeight="1" spans="2:2">
      <c r="B38603" s="62" t="str">
        <f>IF(AND('领用录入（明细）'!D:D=$F$4,'领用录入（明细）'!C:C&gt;=$J$4,'领用录入（明细）'!C:C&lt;=$L$4),ROW(),"-")</f>
        <v>-</v>
      </c>
    </row>
    <row r="38604" customHeight="1" spans="2:2">
      <c r="B38604" s="62" t="str">
        <f>IF(AND('领用录入（明细）'!D:D=$F$4,'领用录入（明细）'!C:C&gt;=$J$4,'领用录入（明细）'!C:C&lt;=$L$4),ROW(),"-")</f>
        <v>-</v>
      </c>
    </row>
    <row r="38605" customHeight="1" spans="2:2">
      <c r="B38605" s="62" t="str">
        <f>IF(AND('领用录入（明细）'!D:D=$F$4,'领用录入（明细）'!C:C&gt;=$J$4,'领用录入（明细）'!C:C&lt;=$L$4),ROW(),"-")</f>
        <v>-</v>
      </c>
    </row>
    <row r="38606" customHeight="1" spans="2:2">
      <c r="B38606" s="62" t="str">
        <f>IF(AND('领用录入（明细）'!D:D=$F$4,'领用录入（明细）'!C:C&gt;=$J$4,'领用录入（明细）'!C:C&lt;=$L$4),ROW(),"-")</f>
        <v>-</v>
      </c>
    </row>
    <row r="38607" customHeight="1" spans="2:2">
      <c r="B38607" s="62" t="str">
        <f>IF(AND('领用录入（明细）'!D:D=$F$4,'领用录入（明细）'!C:C&gt;=$J$4,'领用录入（明细）'!C:C&lt;=$L$4),ROW(),"-")</f>
        <v>-</v>
      </c>
    </row>
    <row r="38608" customHeight="1" spans="2:2">
      <c r="B38608" s="62" t="str">
        <f>IF(AND('领用录入（明细）'!D:D=$F$4,'领用录入（明细）'!C:C&gt;=$J$4,'领用录入（明细）'!C:C&lt;=$L$4),ROW(),"-")</f>
        <v>-</v>
      </c>
    </row>
    <row r="38609" customHeight="1" spans="2:2">
      <c r="B38609" s="62" t="str">
        <f>IF(AND('领用录入（明细）'!D:D=$F$4,'领用录入（明细）'!C:C&gt;=$J$4,'领用录入（明细）'!C:C&lt;=$L$4),ROW(),"-")</f>
        <v>-</v>
      </c>
    </row>
    <row r="38610" customHeight="1" spans="2:2">
      <c r="B38610" s="62" t="str">
        <f>IF(AND('领用录入（明细）'!D:D=$F$4,'领用录入（明细）'!C:C&gt;=$J$4,'领用录入（明细）'!C:C&lt;=$L$4),ROW(),"-")</f>
        <v>-</v>
      </c>
    </row>
    <row r="38611" customHeight="1" spans="2:2">
      <c r="B38611" s="62" t="str">
        <f>IF(AND('领用录入（明细）'!D:D=$F$4,'领用录入（明细）'!C:C&gt;=$J$4,'领用录入（明细）'!C:C&lt;=$L$4),ROW(),"-")</f>
        <v>-</v>
      </c>
    </row>
    <row r="38612" customHeight="1" spans="2:2">
      <c r="B38612" s="62" t="str">
        <f>IF(AND('领用录入（明细）'!D:D=$F$4,'领用录入（明细）'!C:C&gt;=$J$4,'领用录入（明细）'!C:C&lt;=$L$4),ROW(),"-")</f>
        <v>-</v>
      </c>
    </row>
    <row r="38613" customHeight="1" spans="2:2">
      <c r="B38613" s="62" t="str">
        <f>IF(AND('领用录入（明细）'!D:D=$F$4,'领用录入（明细）'!C:C&gt;=$J$4,'领用录入（明细）'!C:C&lt;=$L$4),ROW(),"-")</f>
        <v>-</v>
      </c>
    </row>
    <row r="38614" customHeight="1" spans="2:2">
      <c r="B38614" s="62" t="str">
        <f>IF(AND('领用录入（明细）'!D:D=$F$4,'领用录入（明细）'!C:C&gt;=$J$4,'领用录入（明细）'!C:C&lt;=$L$4),ROW(),"-")</f>
        <v>-</v>
      </c>
    </row>
    <row r="38615" customHeight="1" spans="2:2">
      <c r="B38615" s="62" t="str">
        <f>IF(AND('领用录入（明细）'!D:D=$F$4,'领用录入（明细）'!C:C&gt;=$J$4,'领用录入（明细）'!C:C&lt;=$L$4),ROW(),"-")</f>
        <v>-</v>
      </c>
    </row>
    <row r="38616" customHeight="1" spans="2:2">
      <c r="B38616" s="62" t="str">
        <f>IF(AND('领用录入（明细）'!D:D=$F$4,'领用录入（明细）'!C:C&gt;=$J$4,'领用录入（明细）'!C:C&lt;=$L$4),ROW(),"-")</f>
        <v>-</v>
      </c>
    </row>
    <row r="38617" customHeight="1" spans="2:2">
      <c r="B38617" s="62" t="str">
        <f>IF(AND('领用录入（明细）'!D:D=$F$4,'领用录入（明细）'!C:C&gt;=$J$4,'领用录入（明细）'!C:C&lt;=$L$4),ROW(),"-")</f>
        <v>-</v>
      </c>
    </row>
    <row r="38618" customHeight="1" spans="2:2">
      <c r="B38618" s="62" t="str">
        <f>IF(AND('领用录入（明细）'!D:D=$F$4,'领用录入（明细）'!C:C&gt;=$J$4,'领用录入（明细）'!C:C&lt;=$L$4),ROW(),"-")</f>
        <v>-</v>
      </c>
    </row>
    <row r="38619" customHeight="1" spans="2:2">
      <c r="B38619" s="62" t="str">
        <f>IF(AND('领用录入（明细）'!D:D=$F$4,'领用录入（明细）'!C:C&gt;=$J$4,'领用录入（明细）'!C:C&lt;=$L$4),ROW(),"-")</f>
        <v>-</v>
      </c>
    </row>
    <row r="38620" customHeight="1" spans="2:2">
      <c r="B38620" s="62" t="str">
        <f>IF(AND('领用录入（明细）'!D:D=$F$4,'领用录入（明细）'!C:C&gt;=$J$4,'领用录入（明细）'!C:C&lt;=$L$4),ROW(),"-")</f>
        <v>-</v>
      </c>
    </row>
    <row r="38621" customHeight="1" spans="2:2">
      <c r="B38621" s="62" t="str">
        <f>IF(AND('领用录入（明细）'!D:D=$F$4,'领用录入（明细）'!C:C&gt;=$J$4,'领用录入（明细）'!C:C&lt;=$L$4),ROW(),"-")</f>
        <v>-</v>
      </c>
    </row>
    <row r="38622" customHeight="1" spans="2:2">
      <c r="B38622" s="62" t="str">
        <f>IF(AND('领用录入（明细）'!D:D=$F$4,'领用录入（明细）'!C:C&gt;=$J$4,'领用录入（明细）'!C:C&lt;=$L$4),ROW(),"-")</f>
        <v>-</v>
      </c>
    </row>
    <row r="38623" customHeight="1" spans="2:2">
      <c r="B38623" s="62" t="str">
        <f>IF(AND('领用录入（明细）'!D:D=$F$4,'领用录入（明细）'!C:C&gt;=$J$4,'领用录入（明细）'!C:C&lt;=$L$4),ROW(),"-")</f>
        <v>-</v>
      </c>
    </row>
    <row r="38624" customHeight="1" spans="2:2">
      <c r="B38624" s="62" t="str">
        <f>IF(AND('领用录入（明细）'!D:D=$F$4,'领用录入（明细）'!C:C&gt;=$J$4,'领用录入（明细）'!C:C&lt;=$L$4),ROW(),"-")</f>
        <v>-</v>
      </c>
    </row>
    <row r="38625" customHeight="1" spans="2:2">
      <c r="B38625" s="62" t="str">
        <f>IF(AND('领用录入（明细）'!D:D=$F$4,'领用录入（明细）'!C:C&gt;=$J$4,'领用录入（明细）'!C:C&lt;=$L$4),ROW(),"-")</f>
        <v>-</v>
      </c>
    </row>
    <row r="38626" customHeight="1" spans="2:2">
      <c r="B38626" s="62" t="str">
        <f>IF(AND('领用录入（明细）'!D:D=$F$4,'领用录入（明细）'!C:C&gt;=$J$4,'领用录入（明细）'!C:C&lt;=$L$4),ROW(),"-")</f>
        <v>-</v>
      </c>
    </row>
    <row r="38627" customHeight="1" spans="2:2">
      <c r="B38627" s="62" t="str">
        <f>IF(AND('领用录入（明细）'!D:D=$F$4,'领用录入（明细）'!C:C&gt;=$J$4,'领用录入（明细）'!C:C&lt;=$L$4),ROW(),"-")</f>
        <v>-</v>
      </c>
    </row>
    <row r="38628" customHeight="1" spans="2:2">
      <c r="B38628" s="62" t="str">
        <f>IF(AND('领用录入（明细）'!D:D=$F$4,'领用录入（明细）'!C:C&gt;=$J$4,'领用录入（明细）'!C:C&lt;=$L$4),ROW(),"-")</f>
        <v>-</v>
      </c>
    </row>
    <row r="38629" customHeight="1" spans="2:2">
      <c r="B38629" s="62" t="str">
        <f>IF(AND('领用录入（明细）'!D:D=$F$4,'领用录入（明细）'!C:C&gt;=$J$4,'领用录入（明细）'!C:C&lt;=$L$4),ROW(),"-")</f>
        <v>-</v>
      </c>
    </row>
    <row r="38630" customHeight="1" spans="2:2">
      <c r="B38630" s="62" t="str">
        <f>IF(AND('领用录入（明细）'!D:D=$F$4,'领用录入（明细）'!C:C&gt;=$J$4,'领用录入（明细）'!C:C&lt;=$L$4),ROW(),"-")</f>
        <v>-</v>
      </c>
    </row>
    <row r="38631" customHeight="1" spans="2:2">
      <c r="B38631" s="62" t="str">
        <f>IF(AND('领用录入（明细）'!D:D=$F$4,'领用录入（明细）'!C:C&gt;=$J$4,'领用录入（明细）'!C:C&lt;=$L$4),ROW(),"-")</f>
        <v>-</v>
      </c>
    </row>
    <row r="38632" customHeight="1" spans="2:2">
      <c r="B38632" s="62" t="str">
        <f>IF(AND('领用录入（明细）'!D:D=$F$4,'领用录入（明细）'!C:C&gt;=$J$4,'领用录入（明细）'!C:C&lt;=$L$4),ROW(),"-")</f>
        <v>-</v>
      </c>
    </row>
    <row r="38633" customHeight="1" spans="2:2">
      <c r="B38633" s="62" t="str">
        <f>IF(AND('领用录入（明细）'!D:D=$F$4,'领用录入（明细）'!C:C&gt;=$J$4,'领用录入（明细）'!C:C&lt;=$L$4),ROW(),"-")</f>
        <v>-</v>
      </c>
    </row>
    <row r="38634" customHeight="1" spans="2:2">
      <c r="B38634" s="62" t="str">
        <f>IF(AND('领用录入（明细）'!D:D=$F$4,'领用录入（明细）'!C:C&gt;=$J$4,'领用录入（明细）'!C:C&lt;=$L$4),ROW(),"-")</f>
        <v>-</v>
      </c>
    </row>
    <row r="38635" customHeight="1" spans="2:2">
      <c r="B38635" s="62" t="str">
        <f>IF(AND('领用录入（明细）'!D:D=$F$4,'领用录入（明细）'!C:C&gt;=$J$4,'领用录入（明细）'!C:C&lt;=$L$4),ROW(),"-")</f>
        <v>-</v>
      </c>
    </row>
    <row r="38636" customHeight="1" spans="2:2">
      <c r="B38636" s="62" t="str">
        <f>IF(AND('领用录入（明细）'!D:D=$F$4,'领用录入（明细）'!C:C&gt;=$J$4,'领用录入（明细）'!C:C&lt;=$L$4),ROW(),"-")</f>
        <v>-</v>
      </c>
    </row>
    <row r="38637" customHeight="1" spans="2:2">
      <c r="B38637" s="62" t="str">
        <f>IF(AND('领用录入（明细）'!D:D=$F$4,'领用录入（明细）'!C:C&gt;=$J$4,'领用录入（明细）'!C:C&lt;=$L$4),ROW(),"-")</f>
        <v>-</v>
      </c>
    </row>
    <row r="38638" customHeight="1" spans="2:2">
      <c r="B38638" s="62" t="str">
        <f>IF(AND('领用录入（明细）'!D:D=$F$4,'领用录入（明细）'!C:C&gt;=$J$4,'领用录入（明细）'!C:C&lt;=$L$4),ROW(),"-")</f>
        <v>-</v>
      </c>
    </row>
    <row r="38639" customHeight="1" spans="2:2">
      <c r="B38639" s="62" t="str">
        <f>IF(AND('领用录入（明细）'!D:D=$F$4,'领用录入（明细）'!C:C&gt;=$J$4,'领用录入（明细）'!C:C&lt;=$L$4),ROW(),"-")</f>
        <v>-</v>
      </c>
    </row>
    <row r="38640" customHeight="1" spans="2:2">
      <c r="B38640" s="62" t="str">
        <f>IF(AND('领用录入（明细）'!D:D=$F$4,'领用录入（明细）'!C:C&gt;=$J$4,'领用录入（明细）'!C:C&lt;=$L$4),ROW(),"-")</f>
        <v>-</v>
      </c>
    </row>
    <row r="38641" customHeight="1" spans="2:2">
      <c r="B38641" s="62" t="str">
        <f>IF(AND('领用录入（明细）'!D:D=$F$4,'领用录入（明细）'!C:C&gt;=$J$4,'领用录入（明细）'!C:C&lt;=$L$4),ROW(),"-")</f>
        <v>-</v>
      </c>
    </row>
    <row r="38642" customHeight="1" spans="2:2">
      <c r="B38642" s="62" t="str">
        <f>IF(AND('领用录入（明细）'!D:D=$F$4,'领用录入（明细）'!C:C&gt;=$J$4,'领用录入（明细）'!C:C&lt;=$L$4),ROW(),"-")</f>
        <v>-</v>
      </c>
    </row>
    <row r="38643" customHeight="1" spans="2:2">
      <c r="B38643" s="62" t="str">
        <f>IF(AND('领用录入（明细）'!D:D=$F$4,'领用录入（明细）'!C:C&gt;=$J$4,'领用录入（明细）'!C:C&lt;=$L$4),ROW(),"-")</f>
        <v>-</v>
      </c>
    </row>
    <row r="38644" customHeight="1" spans="2:2">
      <c r="B38644" s="62" t="str">
        <f>IF(AND('领用录入（明细）'!D:D=$F$4,'领用录入（明细）'!C:C&gt;=$J$4,'领用录入（明细）'!C:C&lt;=$L$4),ROW(),"-")</f>
        <v>-</v>
      </c>
    </row>
    <row r="38645" customHeight="1" spans="2:2">
      <c r="B38645" s="62" t="str">
        <f>IF(AND('领用录入（明细）'!D:D=$F$4,'领用录入（明细）'!C:C&gt;=$J$4,'领用录入（明细）'!C:C&lt;=$L$4),ROW(),"-")</f>
        <v>-</v>
      </c>
    </row>
    <row r="38646" customHeight="1" spans="2:2">
      <c r="B38646" s="62" t="str">
        <f>IF(AND('领用录入（明细）'!D:D=$F$4,'领用录入（明细）'!C:C&gt;=$J$4,'领用录入（明细）'!C:C&lt;=$L$4),ROW(),"-")</f>
        <v>-</v>
      </c>
    </row>
    <row r="38647" customHeight="1" spans="2:2">
      <c r="B38647" s="62" t="str">
        <f>IF(AND('领用录入（明细）'!D:D=$F$4,'领用录入（明细）'!C:C&gt;=$J$4,'领用录入（明细）'!C:C&lt;=$L$4),ROW(),"-")</f>
        <v>-</v>
      </c>
    </row>
    <row r="38648" customHeight="1" spans="2:2">
      <c r="B38648" s="62" t="str">
        <f>IF(AND('领用录入（明细）'!D:D=$F$4,'领用录入（明细）'!C:C&gt;=$J$4,'领用录入（明细）'!C:C&lt;=$L$4),ROW(),"-")</f>
        <v>-</v>
      </c>
    </row>
    <row r="38649" customHeight="1" spans="2:2">
      <c r="B38649" s="62" t="str">
        <f>IF(AND('领用录入（明细）'!D:D=$F$4,'领用录入（明细）'!C:C&gt;=$J$4,'领用录入（明细）'!C:C&lt;=$L$4),ROW(),"-")</f>
        <v>-</v>
      </c>
    </row>
    <row r="38650" customHeight="1" spans="2:2">
      <c r="B38650" s="62" t="str">
        <f>IF(AND('领用录入（明细）'!D:D=$F$4,'领用录入（明细）'!C:C&gt;=$J$4,'领用录入（明细）'!C:C&lt;=$L$4),ROW(),"-")</f>
        <v>-</v>
      </c>
    </row>
    <row r="38651" customHeight="1" spans="2:2">
      <c r="B38651" s="62" t="str">
        <f>IF(AND('领用录入（明细）'!D:D=$F$4,'领用录入（明细）'!C:C&gt;=$J$4,'领用录入（明细）'!C:C&lt;=$L$4),ROW(),"-")</f>
        <v>-</v>
      </c>
    </row>
    <row r="38652" customHeight="1" spans="2:2">
      <c r="B38652" s="62" t="str">
        <f>IF(AND('领用录入（明细）'!D:D=$F$4,'领用录入（明细）'!C:C&gt;=$J$4,'领用录入（明细）'!C:C&lt;=$L$4),ROW(),"-")</f>
        <v>-</v>
      </c>
    </row>
    <row r="38653" customHeight="1" spans="2:2">
      <c r="B38653" s="62" t="str">
        <f>IF(AND('领用录入（明细）'!D:D=$F$4,'领用录入（明细）'!C:C&gt;=$J$4,'领用录入（明细）'!C:C&lt;=$L$4),ROW(),"-")</f>
        <v>-</v>
      </c>
    </row>
    <row r="38654" customHeight="1" spans="2:2">
      <c r="B38654" s="62" t="str">
        <f>IF(AND('领用录入（明细）'!D:D=$F$4,'领用录入（明细）'!C:C&gt;=$J$4,'领用录入（明细）'!C:C&lt;=$L$4),ROW(),"-")</f>
        <v>-</v>
      </c>
    </row>
    <row r="38655" customHeight="1" spans="2:2">
      <c r="B38655" s="62" t="str">
        <f>IF(AND('领用录入（明细）'!D:D=$F$4,'领用录入（明细）'!C:C&gt;=$J$4,'领用录入（明细）'!C:C&lt;=$L$4),ROW(),"-")</f>
        <v>-</v>
      </c>
    </row>
    <row r="38656" customHeight="1" spans="2:2">
      <c r="B38656" s="62" t="str">
        <f>IF(AND('领用录入（明细）'!D:D=$F$4,'领用录入（明细）'!C:C&gt;=$J$4,'领用录入（明细）'!C:C&lt;=$L$4),ROW(),"-")</f>
        <v>-</v>
      </c>
    </row>
    <row r="38657" customHeight="1" spans="2:2">
      <c r="B38657" s="62" t="str">
        <f>IF(AND('领用录入（明细）'!D:D=$F$4,'领用录入（明细）'!C:C&gt;=$J$4,'领用录入（明细）'!C:C&lt;=$L$4),ROW(),"-")</f>
        <v>-</v>
      </c>
    </row>
    <row r="38658" customHeight="1" spans="2:2">
      <c r="B38658" s="62" t="str">
        <f>IF(AND('领用录入（明细）'!D:D=$F$4,'领用录入（明细）'!C:C&gt;=$J$4,'领用录入（明细）'!C:C&lt;=$L$4),ROW(),"-")</f>
        <v>-</v>
      </c>
    </row>
    <row r="38659" customHeight="1" spans="2:2">
      <c r="B38659" s="62" t="str">
        <f>IF(AND('领用录入（明细）'!D:D=$F$4,'领用录入（明细）'!C:C&gt;=$J$4,'领用录入（明细）'!C:C&lt;=$L$4),ROW(),"-")</f>
        <v>-</v>
      </c>
    </row>
    <row r="38660" customHeight="1" spans="2:2">
      <c r="B38660" s="62" t="str">
        <f>IF(AND('领用录入（明细）'!D:D=$F$4,'领用录入（明细）'!C:C&gt;=$J$4,'领用录入（明细）'!C:C&lt;=$L$4),ROW(),"-")</f>
        <v>-</v>
      </c>
    </row>
    <row r="38661" customHeight="1" spans="2:2">
      <c r="B38661" s="62" t="str">
        <f>IF(AND('领用录入（明细）'!D:D=$F$4,'领用录入（明细）'!C:C&gt;=$J$4,'领用录入（明细）'!C:C&lt;=$L$4),ROW(),"-")</f>
        <v>-</v>
      </c>
    </row>
    <row r="38662" customHeight="1" spans="2:2">
      <c r="B38662" s="62" t="str">
        <f>IF(AND('领用录入（明细）'!D:D=$F$4,'领用录入（明细）'!C:C&gt;=$J$4,'领用录入（明细）'!C:C&lt;=$L$4),ROW(),"-")</f>
        <v>-</v>
      </c>
    </row>
    <row r="38663" customHeight="1" spans="2:2">
      <c r="B38663" s="62" t="str">
        <f>IF(AND('领用录入（明细）'!D:D=$F$4,'领用录入（明细）'!C:C&gt;=$J$4,'领用录入（明细）'!C:C&lt;=$L$4),ROW(),"-")</f>
        <v>-</v>
      </c>
    </row>
    <row r="38664" customHeight="1" spans="2:2">
      <c r="B38664" s="62" t="str">
        <f>IF(AND('领用录入（明细）'!D:D=$F$4,'领用录入（明细）'!C:C&gt;=$J$4,'领用录入（明细）'!C:C&lt;=$L$4),ROW(),"-")</f>
        <v>-</v>
      </c>
    </row>
    <row r="38665" customHeight="1" spans="2:2">
      <c r="B38665" s="62" t="str">
        <f>IF(AND('领用录入（明细）'!D:D=$F$4,'领用录入（明细）'!C:C&gt;=$J$4,'领用录入（明细）'!C:C&lt;=$L$4),ROW(),"-")</f>
        <v>-</v>
      </c>
    </row>
    <row r="38666" customHeight="1" spans="2:2">
      <c r="B38666" s="62" t="str">
        <f>IF(AND('领用录入（明细）'!D:D=$F$4,'领用录入（明细）'!C:C&gt;=$J$4,'领用录入（明细）'!C:C&lt;=$L$4),ROW(),"-")</f>
        <v>-</v>
      </c>
    </row>
    <row r="38667" customHeight="1" spans="2:2">
      <c r="B38667" s="62" t="str">
        <f>IF(AND('领用录入（明细）'!D:D=$F$4,'领用录入（明细）'!C:C&gt;=$J$4,'领用录入（明细）'!C:C&lt;=$L$4),ROW(),"-")</f>
        <v>-</v>
      </c>
    </row>
    <row r="38668" customHeight="1" spans="2:2">
      <c r="B38668" s="62" t="str">
        <f>IF(AND('领用录入（明细）'!D:D=$F$4,'领用录入（明细）'!C:C&gt;=$J$4,'领用录入（明细）'!C:C&lt;=$L$4),ROW(),"-")</f>
        <v>-</v>
      </c>
    </row>
    <row r="38669" customHeight="1" spans="2:2">
      <c r="B38669" s="62" t="str">
        <f>IF(AND('领用录入（明细）'!D:D=$F$4,'领用录入（明细）'!C:C&gt;=$J$4,'领用录入（明细）'!C:C&lt;=$L$4),ROW(),"-")</f>
        <v>-</v>
      </c>
    </row>
    <row r="38670" customHeight="1" spans="2:2">
      <c r="B38670" s="62" t="str">
        <f>IF(AND('领用录入（明细）'!D:D=$F$4,'领用录入（明细）'!C:C&gt;=$J$4,'领用录入（明细）'!C:C&lt;=$L$4),ROW(),"-")</f>
        <v>-</v>
      </c>
    </row>
    <row r="38671" customHeight="1" spans="2:2">
      <c r="B38671" s="62" t="str">
        <f>IF(AND('领用录入（明细）'!D:D=$F$4,'领用录入（明细）'!C:C&gt;=$J$4,'领用录入（明细）'!C:C&lt;=$L$4),ROW(),"-")</f>
        <v>-</v>
      </c>
    </row>
    <row r="38672" customHeight="1" spans="2:2">
      <c r="B38672" s="62" t="str">
        <f>IF(AND('领用录入（明细）'!D:D=$F$4,'领用录入（明细）'!C:C&gt;=$J$4,'领用录入（明细）'!C:C&lt;=$L$4),ROW(),"-")</f>
        <v>-</v>
      </c>
    </row>
    <row r="38673" customHeight="1" spans="2:2">
      <c r="B38673" s="62" t="str">
        <f>IF(AND('领用录入（明细）'!D:D=$F$4,'领用录入（明细）'!C:C&gt;=$J$4,'领用录入（明细）'!C:C&lt;=$L$4),ROW(),"-")</f>
        <v>-</v>
      </c>
    </row>
    <row r="38674" customHeight="1" spans="2:2">
      <c r="B38674" s="62" t="str">
        <f>IF(AND('领用录入（明细）'!D:D=$F$4,'领用录入（明细）'!C:C&gt;=$J$4,'领用录入（明细）'!C:C&lt;=$L$4),ROW(),"-")</f>
        <v>-</v>
      </c>
    </row>
    <row r="38675" customHeight="1" spans="2:2">
      <c r="B38675" s="62" t="str">
        <f>IF(AND('领用录入（明细）'!D:D=$F$4,'领用录入（明细）'!C:C&gt;=$J$4,'领用录入（明细）'!C:C&lt;=$L$4),ROW(),"-")</f>
        <v>-</v>
      </c>
    </row>
    <row r="38676" customHeight="1" spans="2:2">
      <c r="B38676" s="62" t="str">
        <f>IF(AND('领用录入（明细）'!D:D=$F$4,'领用录入（明细）'!C:C&gt;=$J$4,'领用录入（明细）'!C:C&lt;=$L$4),ROW(),"-")</f>
        <v>-</v>
      </c>
    </row>
    <row r="38677" customHeight="1" spans="2:2">
      <c r="B38677" s="62" t="str">
        <f>IF(AND('领用录入（明细）'!D:D=$F$4,'领用录入（明细）'!C:C&gt;=$J$4,'领用录入（明细）'!C:C&lt;=$L$4),ROW(),"-")</f>
        <v>-</v>
      </c>
    </row>
    <row r="38678" customHeight="1" spans="2:2">
      <c r="B38678" s="62" t="str">
        <f>IF(AND('领用录入（明细）'!D:D=$F$4,'领用录入（明细）'!C:C&gt;=$J$4,'领用录入（明细）'!C:C&lt;=$L$4),ROW(),"-")</f>
        <v>-</v>
      </c>
    </row>
    <row r="38679" customHeight="1" spans="2:2">
      <c r="B38679" s="62" t="str">
        <f>IF(AND('领用录入（明细）'!D:D=$F$4,'领用录入（明细）'!C:C&gt;=$J$4,'领用录入（明细）'!C:C&lt;=$L$4),ROW(),"-")</f>
        <v>-</v>
      </c>
    </row>
    <row r="38680" customHeight="1" spans="2:2">
      <c r="B38680" s="62" t="str">
        <f>IF(AND('领用录入（明细）'!D:D=$F$4,'领用录入（明细）'!C:C&gt;=$J$4,'领用录入（明细）'!C:C&lt;=$L$4),ROW(),"-")</f>
        <v>-</v>
      </c>
    </row>
    <row r="38681" customHeight="1" spans="2:2">
      <c r="B38681" s="62" t="str">
        <f>IF(AND('领用录入（明细）'!D:D=$F$4,'领用录入（明细）'!C:C&gt;=$J$4,'领用录入（明细）'!C:C&lt;=$L$4),ROW(),"-")</f>
        <v>-</v>
      </c>
    </row>
    <row r="38682" customHeight="1" spans="2:2">
      <c r="B38682" s="62" t="str">
        <f>IF(AND('领用录入（明细）'!D:D=$F$4,'领用录入（明细）'!C:C&gt;=$J$4,'领用录入（明细）'!C:C&lt;=$L$4),ROW(),"-")</f>
        <v>-</v>
      </c>
    </row>
    <row r="38683" customHeight="1" spans="2:2">
      <c r="B38683" s="62" t="str">
        <f>IF(AND('领用录入（明细）'!D:D=$F$4,'领用录入（明细）'!C:C&gt;=$J$4,'领用录入（明细）'!C:C&lt;=$L$4),ROW(),"-")</f>
        <v>-</v>
      </c>
    </row>
    <row r="38684" customHeight="1" spans="2:2">
      <c r="B38684" s="62" t="str">
        <f>IF(AND('领用录入（明细）'!D:D=$F$4,'领用录入（明细）'!C:C&gt;=$J$4,'领用录入（明细）'!C:C&lt;=$L$4),ROW(),"-")</f>
        <v>-</v>
      </c>
    </row>
    <row r="38685" customHeight="1" spans="2:2">
      <c r="B38685" s="62" t="str">
        <f>IF(AND('领用录入（明细）'!D:D=$F$4,'领用录入（明细）'!C:C&gt;=$J$4,'领用录入（明细）'!C:C&lt;=$L$4),ROW(),"-")</f>
        <v>-</v>
      </c>
    </row>
    <row r="38686" customHeight="1" spans="2:2">
      <c r="B38686" s="62" t="str">
        <f>IF(AND('领用录入（明细）'!D:D=$F$4,'领用录入（明细）'!C:C&gt;=$J$4,'领用录入（明细）'!C:C&lt;=$L$4),ROW(),"-")</f>
        <v>-</v>
      </c>
    </row>
    <row r="38687" customHeight="1" spans="2:2">
      <c r="B38687" s="62" t="str">
        <f>IF(AND('领用录入（明细）'!D:D=$F$4,'领用录入（明细）'!C:C&gt;=$J$4,'领用录入（明细）'!C:C&lt;=$L$4),ROW(),"-")</f>
        <v>-</v>
      </c>
    </row>
    <row r="38688" customHeight="1" spans="2:2">
      <c r="B38688" s="62" t="str">
        <f>IF(AND('领用录入（明细）'!D:D=$F$4,'领用录入（明细）'!C:C&gt;=$J$4,'领用录入（明细）'!C:C&lt;=$L$4),ROW(),"-")</f>
        <v>-</v>
      </c>
    </row>
    <row r="38689" customHeight="1" spans="2:2">
      <c r="B38689" s="62" t="str">
        <f>IF(AND('领用录入（明细）'!D:D=$F$4,'领用录入（明细）'!C:C&gt;=$J$4,'领用录入（明细）'!C:C&lt;=$L$4),ROW(),"-")</f>
        <v>-</v>
      </c>
    </row>
    <row r="38690" customHeight="1" spans="2:2">
      <c r="B38690" s="62" t="str">
        <f>IF(AND('领用录入（明细）'!D:D=$F$4,'领用录入（明细）'!C:C&gt;=$J$4,'领用录入（明细）'!C:C&lt;=$L$4),ROW(),"-")</f>
        <v>-</v>
      </c>
    </row>
    <row r="38691" customHeight="1" spans="2:2">
      <c r="B38691" s="62" t="str">
        <f>IF(AND('领用录入（明细）'!D:D=$F$4,'领用录入（明细）'!C:C&gt;=$J$4,'领用录入（明细）'!C:C&lt;=$L$4),ROW(),"-")</f>
        <v>-</v>
      </c>
    </row>
    <row r="38692" customHeight="1" spans="2:2">
      <c r="B38692" s="62" t="str">
        <f>IF(AND('领用录入（明细）'!D:D=$F$4,'领用录入（明细）'!C:C&gt;=$J$4,'领用录入（明细）'!C:C&lt;=$L$4),ROW(),"-")</f>
        <v>-</v>
      </c>
    </row>
    <row r="38693" customHeight="1" spans="2:2">
      <c r="B38693" s="62" t="str">
        <f>IF(AND('领用录入（明细）'!D:D=$F$4,'领用录入（明细）'!C:C&gt;=$J$4,'领用录入（明细）'!C:C&lt;=$L$4),ROW(),"-")</f>
        <v>-</v>
      </c>
    </row>
    <row r="38694" customHeight="1" spans="2:2">
      <c r="B38694" s="62" t="str">
        <f>IF(AND('领用录入（明细）'!D:D=$F$4,'领用录入（明细）'!C:C&gt;=$J$4,'领用录入（明细）'!C:C&lt;=$L$4),ROW(),"-")</f>
        <v>-</v>
      </c>
    </row>
    <row r="38695" customHeight="1" spans="2:2">
      <c r="B38695" s="62" t="str">
        <f>IF(AND('领用录入（明细）'!D:D=$F$4,'领用录入（明细）'!C:C&gt;=$J$4,'领用录入（明细）'!C:C&lt;=$L$4),ROW(),"-")</f>
        <v>-</v>
      </c>
    </row>
    <row r="38696" customHeight="1" spans="2:2">
      <c r="B38696" s="62" t="str">
        <f>IF(AND('领用录入（明细）'!D:D=$F$4,'领用录入（明细）'!C:C&gt;=$J$4,'领用录入（明细）'!C:C&lt;=$L$4),ROW(),"-")</f>
        <v>-</v>
      </c>
    </row>
    <row r="38697" customHeight="1" spans="2:2">
      <c r="B38697" s="62" t="str">
        <f>IF(AND('领用录入（明细）'!D:D=$F$4,'领用录入（明细）'!C:C&gt;=$J$4,'领用录入（明细）'!C:C&lt;=$L$4),ROW(),"-")</f>
        <v>-</v>
      </c>
    </row>
    <row r="38698" customHeight="1" spans="2:2">
      <c r="B38698" s="62" t="str">
        <f>IF(AND('领用录入（明细）'!D:D=$F$4,'领用录入（明细）'!C:C&gt;=$J$4,'领用录入（明细）'!C:C&lt;=$L$4),ROW(),"-")</f>
        <v>-</v>
      </c>
    </row>
    <row r="38699" customHeight="1" spans="2:2">
      <c r="B38699" s="62" t="str">
        <f>IF(AND('领用录入（明细）'!D:D=$F$4,'领用录入（明细）'!C:C&gt;=$J$4,'领用录入（明细）'!C:C&lt;=$L$4),ROW(),"-")</f>
        <v>-</v>
      </c>
    </row>
    <row r="38700" customHeight="1" spans="2:2">
      <c r="B38700" s="62" t="str">
        <f>IF(AND('领用录入（明细）'!D:D=$F$4,'领用录入（明细）'!C:C&gt;=$J$4,'领用录入（明细）'!C:C&lt;=$L$4),ROW(),"-")</f>
        <v>-</v>
      </c>
    </row>
    <row r="38701" customHeight="1" spans="2:2">
      <c r="B38701" s="62" t="str">
        <f>IF(AND('领用录入（明细）'!D:D=$F$4,'领用录入（明细）'!C:C&gt;=$J$4,'领用录入（明细）'!C:C&lt;=$L$4),ROW(),"-")</f>
        <v>-</v>
      </c>
    </row>
    <row r="38702" customHeight="1" spans="2:2">
      <c r="B38702" s="62" t="str">
        <f>IF(AND('领用录入（明细）'!D:D=$F$4,'领用录入（明细）'!C:C&gt;=$J$4,'领用录入（明细）'!C:C&lt;=$L$4),ROW(),"-")</f>
        <v>-</v>
      </c>
    </row>
    <row r="38703" customHeight="1" spans="2:2">
      <c r="B38703" s="62" t="str">
        <f>IF(AND('领用录入（明细）'!D:D=$F$4,'领用录入（明细）'!C:C&gt;=$J$4,'领用录入（明细）'!C:C&lt;=$L$4),ROW(),"-")</f>
        <v>-</v>
      </c>
    </row>
    <row r="38704" customHeight="1" spans="2:2">
      <c r="B38704" s="62" t="str">
        <f>IF(AND('领用录入（明细）'!D:D=$F$4,'领用录入（明细）'!C:C&gt;=$J$4,'领用录入（明细）'!C:C&lt;=$L$4),ROW(),"-")</f>
        <v>-</v>
      </c>
    </row>
    <row r="38705" customHeight="1" spans="2:2">
      <c r="B38705" s="62" t="str">
        <f>IF(AND('领用录入（明细）'!D:D=$F$4,'领用录入（明细）'!C:C&gt;=$J$4,'领用录入（明细）'!C:C&lt;=$L$4),ROW(),"-")</f>
        <v>-</v>
      </c>
    </row>
    <row r="38706" customHeight="1" spans="2:2">
      <c r="B38706" s="62" t="str">
        <f>IF(AND('领用录入（明细）'!D:D=$F$4,'领用录入（明细）'!C:C&gt;=$J$4,'领用录入（明细）'!C:C&lt;=$L$4),ROW(),"-")</f>
        <v>-</v>
      </c>
    </row>
    <row r="38707" customHeight="1" spans="2:2">
      <c r="B38707" s="62" t="str">
        <f>IF(AND('领用录入（明细）'!D:D=$F$4,'领用录入（明细）'!C:C&gt;=$J$4,'领用录入（明细）'!C:C&lt;=$L$4),ROW(),"-")</f>
        <v>-</v>
      </c>
    </row>
    <row r="38708" customHeight="1" spans="2:2">
      <c r="B38708" s="62" t="str">
        <f>IF(AND('领用录入（明细）'!D:D=$F$4,'领用录入（明细）'!C:C&gt;=$J$4,'领用录入（明细）'!C:C&lt;=$L$4),ROW(),"-")</f>
        <v>-</v>
      </c>
    </row>
    <row r="38709" customHeight="1" spans="2:2">
      <c r="B38709" s="62" t="str">
        <f>IF(AND('领用录入（明细）'!D:D=$F$4,'领用录入（明细）'!C:C&gt;=$J$4,'领用录入（明细）'!C:C&lt;=$L$4),ROW(),"-")</f>
        <v>-</v>
      </c>
    </row>
    <row r="38710" customHeight="1" spans="2:2">
      <c r="B38710" s="62" t="str">
        <f>IF(AND('领用录入（明细）'!D:D=$F$4,'领用录入（明细）'!C:C&gt;=$J$4,'领用录入（明细）'!C:C&lt;=$L$4),ROW(),"-")</f>
        <v>-</v>
      </c>
    </row>
    <row r="38711" customHeight="1" spans="2:2">
      <c r="B38711" s="62" t="str">
        <f>IF(AND('领用录入（明细）'!D:D=$F$4,'领用录入（明细）'!C:C&gt;=$J$4,'领用录入（明细）'!C:C&lt;=$L$4),ROW(),"-")</f>
        <v>-</v>
      </c>
    </row>
    <row r="38712" customHeight="1" spans="2:2">
      <c r="B38712" s="62" t="str">
        <f>IF(AND('领用录入（明细）'!D:D=$F$4,'领用录入（明细）'!C:C&gt;=$J$4,'领用录入（明细）'!C:C&lt;=$L$4),ROW(),"-")</f>
        <v>-</v>
      </c>
    </row>
    <row r="38713" customHeight="1" spans="2:2">
      <c r="B38713" s="62" t="str">
        <f>IF(AND('领用录入（明细）'!D:D=$F$4,'领用录入（明细）'!C:C&gt;=$J$4,'领用录入（明细）'!C:C&lt;=$L$4),ROW(),"-")</f>
        <v>-</v>
      </c>
    </row>
    <row r="38714" customHeight="1" spans="2:2">
      <c r="B38714" s="62" t="str">
        <f>IF(AND('领用录入（明细）'!D:D=$F$4,'领用录入（明细）'!C:C&gt;=$J$4,'领用录入（明细）'!C:C&lt;=$L$4),ROW(),"-")</f>
        <v>-</v>
      </c>
    </row>
    <row r="38715" customHeight="1" spans="2:2">
      <c r="B38715" s="62" t="str">
        <f>IF(AND('领用录入（明细）'!D:D=$F$4,'领用录入（明细）'!C:C&gt;=$J$4,'领用录入（明细）'!C:C&lt;=$L$4),ROW(),"-")</f>
        <v>-</v>
      </c>
    </row>
    <row r="38716" customHeight="1" spans="2:2">
      <c r="B38716" s="62" t="str">
        <f>IF(AND('领用录入（明细）'!D:D=$F$4,'领用录入（明细）'!C:C&gt;=$J$4,'领用录入（明细）'!C:C&lt;=$L$4),ROW(),"-")</f>
        <v>-</v>
      </c>
    </row>
    <row r="38717" customHeight="1" spans="2:2">
      <c r="B38717" s="62" t="str">
        <f>IF(AND('领用录入（明细）'!D:D=$F$4,'领用录入（明细）'!C:C&gt;=$J$4,'领用录入（明细）'!C:C&lt;=$L$4),ROW(),"-")</f>
        <v>-</v>
      </c>
    </row>
    <row r="38718" customHeight="1" spans="2:2">
      <c r="B38718" s="62" t="str">
        <f>IF(AND('领用录入（明细）'!D:D=$F$4,'领用录入（明细）'!C:C&gt;=$J$4,'领用录入（明细）'!C:C&lt;=$L$4),ROW(),"-")</f>
        <v>-</v>
      </c>
    </row>
    <row r="38719" customHeight="1" spans="2:2">
      <c r="B38719" s="62" t="str">
        <f>IF(AND('领用录入（明细）'!D:D=$F$4,'领用录入（明细）'!C:C&gt;=$J$4,'领用录入（明细）'!C:C&lt;=$L$4),ROW(),"-")</f>
        <v>-</v>
      </c>
    </row>
    <row r="38720" customHeight="1" spans="2:2">
      <c r="B38720" s="62" t="str">
        <f>IF(AND('领用录入（明细）'!D:D=$F$4,'领用录入（明细）'!C:C&gt;=$J$4,'领用录入（明细）'!C:C&lt;=$L$4),ROW(),"-")</f>
        <v>-</v>
      </c>
    </row>
    <row r="38721" customHeight="1" spans="2:2">
      <c r="B38721" s="62" t="str">
        <f>IF(AND('领用录入（明细）'!D:D=$F$4,'领用录入（明细）'!C:C&gt;=$J$4,'领用录入（明细）'!C:C&lt;=$L$4),ROW(),"-")</f>
        <v>-</v>
      </c>
    </row>
    <row r="38722" customHeight="1" spans="2:2">
      <c r="B38722" s="62" t="str">
        <f>IF(AND('领用录入（明细）'!D:D=$F$4,'领用录入（明细）'!C:C&gt;=$J$4,'领用录入（明细）'!C:C&lt;=$L$4),ROW(),"-")</f>
        <v>-</v>
      </c>
    </row>
    <row r="38723" customHeight="1" spans="2:2">
      <c r="B38723" s="62" t="str">
        <f>IF(AND('领用录入（明细）'!D:D=$F$4,'领用录入（明细）'!C:C&gt;=$J$4,'领用录入（明细）'!C:C&lt;=$L$4),ROW(),"-")</f>
        <v>-</v>
      </c>
    </row>
    <row r="38724" customHeight="1" spans="2:2">
      <c r="B38724" s="62" t="str">
        <f>IF(AND('领用录入（明细）'!D:D=$F$4,'领用录入（明细）'!C:C&gt;=$J$4,'领用录入（明细）'!C:C&lt;=$L$4),ROW(),"-")</f>
        <v>-</v>
      </c>
    </row>
    <row r="38725" customHeight="1" spans="2:2">
      <c r="B38725" s="62" t="str">
        <f>IF(AND('领用录入（明细）'!D:D=$F$4,'领用录入（明细）'!C:C&gt;=$J$4,'领用录入（明细）'!C:C&lt;=$L$4),ROW(),"-")</f>
        <v>-</v>
      </c>
    </row>
    <row r="38726" customHeight="1" spans="2:2">
      <c r="B38726" s="62" t="str">
        <f>IF(AND('领用录入（明细）'!D:D=$F$4,'领用录入（明细）'!C:C&gt;=$J$4,'领用录入（明细）'!C:C&lt;=$L$4),ROW(),"-")</f>
        <v>-</v>
      </c>
    </row>
    <row r="38727" customHeight="1" spans="2:2">
      <c r="B38727" s="62" t="str">
        <f>IF(AND('领用录入（明细）'!D:D=$F$4,'领用录入（明细）'!C:C&gt;=$J$4,'领用录入（明细）'!C:C&lt;=$L$4),ROW(),"-")</f>
        <v>-</v>
      </c>
    </row>
    <row r="38728" customHeight="1" spans="2:2">
      <c r="B38728" s="62" t="str">
        <f>IF(AND('领用录入（明细）'!D:D=$F$4,'领用录入（明细）'!C:C&gt;=$J$4,'领用录入（明细）'!C:C&lt;=$L$4),ROW(),"-")</f>
        <v>-</v>
      </c>
    </row>
    <row r="38729" customHeight="1" spans="2:2">
      <c r="B38729" s="62" t="str">
        <f>IF(AND('领用录入（明细）'!D:D=$F$4,'领用录入（明细）'!C:C&gt;=$J$4,'领用录入（明细）'!C:C&lt;=$L$4),ROW(),"-")</f>
        <v>-</v>
      </c>
    </row>
    <row r="38730" customHeight="1" spans="2:2">
      <c r="B38730" s="62" t="str">
        <f>IF(AND('领用录入（明细）'!D:D=$F$4,'领用录入（明细）'!C:C&gt;=$J$4,'领用录入（明细）'!C:C&lt;=$L$4),ROW(),"-")</f>
        <v>-</v>
      </c>
    </row>
    <row r="38731" customHeight="1" spans="2:2">
      <c r="B38731" s="62" t="str">
        <f>IF(AND('领用录入（明细）'!D:D=$F$4,'领用录入（明细）'!C:C&gt;=$J$4,'领用录入（明细）'!C:C&lt;=$L$4),ROW(),"-")</f>
        <v>-</v>
      </c>
    </row>
    <row r="38732" customHeight="1" spans="2:2">
      <c r="B38732" s="62" t="str">
        <f>IF(AND('领用录入（明细）'!D:D=$F$4,'领用录入（明细）'!C:C&gt;=$J$4,'领用录入（明细）'!C:C&lt;=$L$4),ROW(),"-")</f>
        <v>-</v>
      </c>
    </row>
    <row r="38733" customHeight="1" spans="2:2">
      <c r="B38733" s="62" t="str">
        <f>IF(AND('领用录入（明细）'!D:D=$F$4,'领用录入（明细）'!C:C&gt;=$J$4,'领用录入（明细）'!C:C&lt;=$L$4),ROW(),"-")</f>
        <v>-</v>
      </c>
    </row>
    <row r="38734" customHeight="1" spans="2:2">
      <c r="B38734" s="62" t="str">
        <f>IF(AND('领用录入（明细）'!D:D=$F$4,'领用录入（明细）'!C:C&gt;=$J$4,'领用录入（明细）'!C:C&lt;=$L$4),ROW(),"-")</f>
        <v>-</v>
      </c>
    </row>
    <row r="38735" customHeight="1" spans="2:2">
      <c r="B38735" s="62" t="str">
        <f>IF(AND('领用录入（明细）'!D:D=$F$4,'领用录入（明细）'!C:C&gt;=$J$4,'领用录入（明细）'!C:C&lt;=$L$4),ROW(),"-")</f>
        <v>-</v>
      </c>
    </row>
    <row r="38736" customHeight="1" spans="2:2">
      <c r="B38736" s="62" t="str">
        <f>IF(AND('领用录入（明细）'!D:D=$F$4,'领用录入（明细）'!C:C&gt;=$J$4,'领用录入（明细）'!C:C&lt;=$L$4),ROW(),"-")</f>
        <v>-</v>
      </c>
    </row>
    <row r="38737" customHeight="1" spans="2:2">
      <c r="B38737" s="62" t="str">
        <f>IF(AND('领用录入（明细）'!D:D=$F$4,'领用录入（明细）'!C:C&gt;=$J$4,'领用录入（明细）'!C:C&lt;=$L$4),ROW(),"-")</f>
        <v>-</v>
      </c>
    </row>
    <row r="38738" customHeight="1" spans="2:2">
      <c r="B38738" s="62" t="str">
        <f>IF(AND('领用录入（明细）'!D:D=$F$4,'领用录入（明细）'!C:C&gt;=$J$4,'领用录入（明细）'!C:C&lt;=$L$4),ROW(),"-")</f>
        <v>-</v>
      </c>
    </row>
    <row r="38739" customHeight="1" spans="2:2">
      <c r="B38739" s="62" t="str">
        <f>IF(AND('领用录入（明细）'!D:D=$F$4,'领用录入（明细）'!C:C&gt;=$J$4,'领用录入（明细）'!C:C&lt;=$L$4),ROW(),"-")</f>
        <v>-</v>
      </c>
    </row>
    <row r="38740" customHeight="1" spans="2:2">
      <c r="B38740" s="62" t="str">
        <f>IF(AND('领用录入（明细）'!D:D=$F$4,'领用录入（明细）'!C:C&gt;=$J$4,'领用录入（明细）'!C:C&lt;=$L$4),ROW(),"-")</f>
        <v>-</v>
      </c>
    </row>
    <row r="38741" customHeight="1" spans="2:2">
      <c r="B38741" s="62" t="str">
        <f>IF(AND('领用录入（明细）'!D:D=$F$4,'领用录入（明细）'!C:C&gt;=$J$4,'领用录入（明细）'!C:C&lt;=$L$4),ROW(),"-")</f>
        <v>-</v>
      </c>
    </row>
    <row r="38742" customHeight="1" spans="2:2">
      <c r="B38742" s="62" t="str">
        <f>IF(AND('领用录入（明细）'!D:D=$F$4,'领用录入（明细）'!C:C&gt;=$J$4,'领用录入（明细）'!C:C&lt;=$L$4),ROW(),"-")</f>
        <v>-</v>
      </c>
    </row>
    <row r="38743" customHeight="1" spans="2:2">
      <c r="B38743" s="62" t="str">
        <f>IF(AND('领用录入（明细）'!D:D=$F$4,'领用录入（明细）'!C:C&gt;=$J$4,'领用录入（明细）'!C:C&lt;=$L$4),ROW(),"-")</f>
        <v>-</v>
      </c>
    </row>
    <row r="38744" customHeight="1" spans="2:2">
      <c r="B38744" s="62" t="str">
        <f>IF(AND('领用录入（明细）'!D:D=$F$4,'领用录入（明细）'!C:C&gt;=$J$4,'领用录入（明细）'!C:C&lt;=$L$4),ROW(),"-")</f>
        <v>-</v>
      </c>
    </row>
    <row r="38745" customHeight="1" spans="2:2">
      <c r="B38745" s="62" t="str">
        <f>IF(AND('领用录入（明细）'!D:D=$F$4,'领用录入（明细）'!C:C&gt;=$J$4,'领用录入（明细）'!C:C&lt;=$L$4),ROW(),"-")</f>
        <v>-</v>
      </c>
    </row>
    <row r="38746" customHeight="1" spans="2:2">
      <c r="B38746" s="62" t="str">
        <f>IF(AND('领用录入（明细）'!D:D=$F$4,'领用录入（明细）'!C:C&gt;=$J$4,'领用录入（明细）'!C:C&lt;=$L$4),ROW(),"-")</f>
        <v>-</v>
      </c>
    </row>
    <row r="38747" customHeight="1" spans="2:2">
      <c r="B38747" s="62" t="str">
        <f>IF(AND('领用录入（明细）'!D:D=$F$4,'领用录入（明细）'!C:C&gt;=$J$4,'领用录入（明细）'!C:C&lt;=$L$4),ROW(),"-")</f>
        <v>-</v>
      </c>
    </row>
    <row r="38748" customHeight="1" spans="2:2">
      <c r="B38748" s="62" t="str">
        <f>IF(AND('领用录入（明细）'!D:D=$F$4,'领用录入（明细）'!C:C&gt;=$J$4,'领用录入（明细）'!C:C&lt;=$L$4),ROW(),"-")</f>
        <v>-</v>
      </c>
    </row>
    <row r="38749" customHeight="1" spans="2:2">
      <c r="B38749" s="62" t="str">
        <f>IF(AND('领用录入（明细）'!D:D=$F$4,'领用录入（明细）'!C:C&gt;=$J$4,'领用录入（明细）'!C:C&lt;=$L$4),ROW(),"-")</f>
        <v>-</v>
      </c>
    </row>
    <row r="38750" customHeight="1" spans="2:2">
      <c r="B38750" s="62" t="str">
        <f>IF(AND('领用录入（明细）'!D:D=$F$4,'领用录入（明细）'!C:C&gt;=$J$4,'领用录入（明细）'!C:C&lt;=$L$4),ROW(),"-")</f>
        <v>-</v>
      </c>
    </row>
    <row r="38751" customHeight="1" spans="2:2">
      <c r="B38751" s="62" t="str">
        <f>IF(AND('领用录入（明细）'!D:D=$F$4,'领用录入（明细）'!C:C&gt;=$J$4,'领用录入（明细）'!C:C&lt;=$L$4),ROW(),"-")</f>
        <v>-</v>
      </c>
    </row>
    <row r="38752" customHeight="1" spans="2:2">
      <c r="B38752" s="62" t="str">
        <f>IF(AND('领用录入（明细）'!D:D=$F$4,'领用录入（明细）'!C:C&gt;=$J$4,'领用录入（明细）'!C:C&lt;=$L$4),ROW(),"-")</f>
        <v>-</v>
      </c>
    </row>
    <row r="38753" customHeight="1" spans="2:2">
      <c r="B38753" s="62" t="str">
        <f>IF(AND('领用录入（明细）'!D:D=$F$4,'领用录入（明细）'!C:C&gt;=$J$4,'领用录入（明细）'!C:C&lt;=$L$4),ROW(),"-")</f>
        <v>-</v>
      </c>
    </row>
    <row r="38754" customHeight="1" spans="2:2">
      <c r="B38754" s="62" t="str">
        <f>IF(AND('领用录入（明细）'!D:D=$F$4,'领用录入（明细）'!C:C&gt;=$J$4,'领用录入（明细）'!C:C&lt;=$L$4),ROW(),"-")</f>
        <v>-</v>
      </c>
    </row>
    <row r="38755" customHeight="1" spans="2:2">
      <c r="B38755" s="62" t="str">
        <f>IF(AND('领用录入（明细）'!D:D=$F$4,'领用录入（明细）'!C:C&gt;=$J$4,'领用录入（明细）'!C:C&lt;=$L$4),ROW(),"-")</f>
        <v>-</v>
      </c>
    </row>
    <row r="38756" customHeight="1" spans="2:2">
      <c r="B38756" s="62" t="str">
        <f>IF(AND('领用录入（明细）'!D:D=$F$4,'领用录入（明细）'!C:C&gt;=$J$4,'领用录入（明细）'!C:C&lt;=$L$4),ROW(),"-")</f>
        <v>-</v>
      </c>
    </row>
    <row r="38757" customHeight="1" spans="2:2">
      <c r="B38757" s="62" t="str">
        <f>IF(AND('领用录入（明细）'!D:D=$F$4,'领用录入（明细）'!C:C&gt;=$J$4,'领用录入（明细）'!C:C&lt;=$L$4),ROW(),"-")</f>
        <v>-</v>
      </c>
    </row>
    <row r="38758" customHeight="1" spans="2:2">
      <c r="B38758" s="62" t="str">
        <f>IF(AND('领用录入（明细）'!D:D=$F$4,'领用录入（明细）'!C:C&gt;=$J$4,'领用录入（明细）'!C:C&lt;=$L$4),ROW(),"-")</f>
        <v>-</v>
      </c>
    </row>
    <row r="38759" customHeight="1" spans="2:2">
      <c r="B38759" s="62" t="str">
        <f>IF(AND('领用录入（明细）'!D:D=$F$4,'领用录入（明细）'!C:C&gt;=$J$4,'领用录入（明细）'!C:C&lt;=$L$4),ROW(),"-")</f>
        <v>-</v>
      </c>
    </row>
    <row r="38760" customHeight="1" spans="2:2">
      <c r="B38760" s="62" t="str">
        <f>IF(AND('领用录入（明细）'!D:D=$F$4,'领用录入（明细）'!C:C&gt;=$J$4,'领用录入（明细）'!C:C&lt;=$L$4),ROW(),"-")</f>
        <v>-</v>
      </c>
    </row>
    <row r="38761" customHeight="1" spans="2:2">
      <c r="B38761" s="62" t="str">
        <f>IF(AND('领用录入（明细）'!D:D=$F$4,'领用录入（明细）'!C:C&gt;=$J$4,'领用录入（明细）'!C:C&lt;=$L$4),ROW(),"-")</f>
        <v>-</v>
      </c>
    </row>
    <row r="38762" customHeight="1" spans="2:2">
      <c r="B38762" s="62" t="str">
        <f>IF(AND('领用录入（明细）'!D:D=$F$4,'领用录入（明细）'!C:C&gt;=$J$4,'领用录入（明细）'!C:C&lt;=$L$4),ROW(),"-")</f>
        <v>-</v>
      </c>
    </row>
    <row r="38763" customHeight="1" spans="2:2">
      <c r="B38763" s="62" t="str">
        <f>IF(AND('领用录入（明细）'!D:D=$F$4,'领用录入（明细）'!C:C&gt;=$J$4,'领用录入（明细）'!C:C&lt;=$L$4),ROW(),"-")</f>
        <v>-</v>
      </c>
    </row>
    <row r="38764" customHeight="1" spans="2:2">
      <c r="B38764" s="62" t="str">
        <f>IF(AND('领用录入（明细）'!D:D=$F$4,'领用录入（明细）'!C:C&gt;=$J$4,'领用录入（明细）'!C:C&lt;=$L$4),ROW(),"-")</f>
        <v>-</v>
      </c>
    </row>
    <row r="38765" customHeight="1" spans="2:2">
      <c r="B38765" s="62" t="str">
        <f>IF(AND('领用录入（明细）'!D:D=$F$4,'领用录入（明细）'!C:C&gt;=$J$4,'领用录入（明细）'!C:C&lt;=$L$4),ROW(),"-")</f>
        <v>-</v>
      </c>
    </row>
    <row r="38766" customHeight="1" spans="2:2">
      <c r="B38766" s="62" t="str">
        <f>IF(AND('领用录入（明细）'!D:D=$F$4,'领用录入（明细）'!C:C&gt;=$J$4,'领用录入（明细）'!C:C&lt;=$L$4),ROW(),"-")</f>
        <v>-</v>
      </c>
    </row>
    <row r="38767" customHeight="1" spans="2:2">
      <c r="B38767" s="62" t="str">
        <f>IF(AND('领用录入（明细）'!D:D=$F$4,'领用录入（明细）'!C:C&gt;=$J$4,'领用录入（明细）'!C:C&lt;=$L$4),ROW(),"-")</f>
        <v>-</v>
      </c>
    </row>
    <row r="38768" customHeight="1" spans="2:2">
      <c r="B38768" s="62" t="str">
        <f>IF(AND('领用录入（明细）'!D:D=$F$4,'领用录入（明细）'!C:C&gt;=$J$4,'领用录入（明细）'!C:C&lt;=$L$4),ROW(),"-")</f>
        <v>-</v>
      </c>
    </row>
    <row r="38769" customHeight="1" spans="2:2">
      <c r="B38769" s="62" t="str">
        <f>IF(AND('领用录入（明细）'!D:D=$F$4,'领用录入（明细）'!C:C&gt;=$J$4,'领用录入（明细）'!C:C&lt;=$L$4),ROW(),"-")</f>
        <v>-</v>
      </c>
    </row>
    <row r="38770" customHeight="1" spans="2:2">
      <c r="B38770" s="62" t="str">
        <f>IF(AND('领用录入（明细）'!D:D=$F$4,'领用录入（明细）'!C:C&gt;=$J$4,'领用录入（明细）'!C:C&lt;=$L$4),ROW(),"-")</f>
        <v>-</v>
      </c>
    </row>
    <row r="38771" customHeight="1" spans="2:2">
      <c r="B38771" s="62" t="str">
        <f>IF(AND('领用录入（明细）'!D:D=$F$4,'领用录入（明细）'!C:C&gt;=$J$4,'领用录入（明细）'!C:C&lt;=$L$4),ROW(),"-")</f>
        <v>-</v>
      </c>
    </row>
    <row r="38772" customHeight="1" spans="2:2">
      <c r="B38772" s="62" t="str">
        <f>IF(AND('领用录入（明细）'!D:D=$F$4,'领用录入（明细）'!C:C&gt;=$J$4,'领用录入（明细）'!C:C&lt;=$L$4),ROW(),"-")</f>
        <v>-</v>
      </c>
    </row>
    <row r="38773" customHeight="1" spans="2:2">
      <c r="B38773" s="62" t="str">
        <f>IF(AND('领用录入（明细）'!D:D=$F$4,'领用录入（明细）'!C:C&gt;=$J$4,'领用录入（明细）'!C:C&lt;=$L$4),ROW(),"-")</f>
        <v>-</v>
      </c>
    </row>
    <row r="38774" customHeight="1" spans="2:2">
      <c r="B38774" s="62" t="str">
        <f>IF(AND('领用录入（明细）'!D:D=$F$4,'领用录入（明细）'!C:C&gt;=$J$4,'领用录入（明细）'!C:C&lt;=$L$4),ROW(),"-")</f>
        <v>-</v>
      </c>
    </row>
    <row r="38775" customHeight="1" spans="2:2">
      <c r="B38775" s="62" t="str">
        <f>IF(AND('领用录入（明细）'!D:D=$F$4,'领用录入（明细）'!C:C&gt;=$J$4,'领用录入（明细）'!C:C&lt;=$L$4),ROW(),"-")</f>
        <v>-</v>
      </c>
    </row>
    <row r="38776" customHeight="1" spans="2:2">
      <c r="B38776" s="62" t="str">
        <f>IF(AND('领用录入（明细）'!D:D=$F$4,'领用录入（明细）'!C:C&gt;=$J$4,'领用录入（明细）'!C:C&lt;=$L$4),ROW(),"-")</f>
        <v>-</v>
      </c>
    </row>
    <row r="38777" customHeight="1" spans="2:2">
      <c r="B38777" s="62" t="str">
        <f>IF(AND('领用录入（明细）'!D:D=$F$4,'领用录入（明细）'!C:C&gt;=$J$4,'领用录入（明细）'!C:C&lt;=$L$4),ROW(),"-")</f>
        <v>-</v>
      </c>
    </row>
    <row r="38778" customHeight="1" spans="2:2">
      <c r="B38778" s="62" t="str">
        <f>IF(AND('领用录入（明细）'!D:D=$F$4,'领用录入（明细）'!C:C&gt;=$J$4,'领用录入（明细）'!C:C&lt;=$L$4),ROW(),"-")</f>
        <v>-</v>
      </c>
    </row>
    <row r="38779" customHeight="1" spans="2:2">
      <c r="B38779" s="62" t="str">
        <f>IF(AND('领用录入（明细）'!D:D=$F$4,'领用录入（明细）'!C:C&gt;=$J$4,'领用录入（明细）'!C:C&lt;=$L$4),ROW(),"-")</f>
        <v>-</v>
      </c>
    </row>
    <row r="38780" customHeight="1" spans="2:2">
      <c r="B38780" s="62" t="str">
        <f>IF(AND('领用录入（明细）'!D:D=$F$4,'领用录入（明细）'!C:C&gt;=$J$4,'领用录入（明细）'!C:C&lt;=$L$4),ROW(),"-")</f>
        <v>-</v>
      </c>
    </row>
    <row r="38781" customHeight="1" spans="2:2">
      <c r="B38781" s="62" t="str">
        <f>IF(AND('领用录入（明细）'!D:D=$F$4,'领用录入（明细）'!C:C&gt;=$J$4,'领用录入（明细）'!C:C&lt;=$L$4),ROW(),"-")</f>
        <v>-</v>
      </c>
    </row>
    <row r="38782" customHeight="1" spans="2:2">
      <c r="B38782" s="62" t="str">
        <f>IF(AND('领用录入（明细）'!D:D=$F$4,'领用录入（明细）'!C:C&gt;=$J$4,'领用录入（明细）'!C:C&lt;=$L$4),ROW(),"-")</f>
        <v>-</v>
      </c>
    </row>
    <row r="38783" customHeight="1" spans="2:2">
      <c r="B38783" s="62" t="str">
        <f>IF(AND('领用录入（明细）'!D:D=$F$4,'领用录入（明细）'!C:C&gt;=$J$4,'领用录入（明细）'!C:C&lt;=$L$4),ROW(),"-")</f>
        <v>-</v>
      </c>
    </row>
    <row r="38784" customHeight="1" spans="2:2">
      <c r="B38784" s="62" t="str">
        <f>IF(AND('领用录入（明细）'!D:D=$F$4,'领用录入（明细）'!C:C&gt;=$J$4,'领用录入（明细）'!C:C&lt;=$L$4),ROW(),"-")</f>
        <v>-</v>
      </c>
    </row>
    <row r="38785" customHeight="1" spans="2:2">
      <c r="B38785" s="62" t="str">
        <f>IF(AND('领用录入（明细）'!D:D=$F$4,'领用录入（明细）'!C:C&gt;=$J$4,'领用录入（明细）'!C:C&lt;=$L$4),ROW(),"-")</f>
        <v>-</v>
      </c>
    </row>
    <row r="38786" customHeight="1" spans="2:2">
      <c r="B38786" s="62" t="str">
        <f>IF(AND('领用录入（明细）'!D:D=$F$4,'领用录入（明细）'!C:C&gt;=$J$4,'领用录入（明细）'!C:C&lt;=$L$4),ROW(),"-")</f>
        <v>-</v>
      </c>
    </row>
    <row r="38787" customHeight="1" spans="2:2">
      <c r="B38787" s="62" t="str">
        <f>IF(AND('领用录入（明细）'!D:D=$F$4,'领用录入（明细）'!C:C&gt;=$J$4,'领用录入（明细）'!C:C&lt;=$L$4),ROW(),"-")</f>
        <v>-</v>
      </c>
    </row>
    <row r="38788" customHeight="1" spans="2:2">
      <c r="B38788" s="62" t="str">
        <f>IF(AND('领用录入（明细）'!D:D=$F$4,'领用录入（明细）'!C:C&gt;=$J$4,'领用录入（明细）'!C:C&lt;=$L$4),ROW(),"-")</f>
        <v>-</v>
      </c>
    </row>
    <row r="38789" customHeight="1" spans="2:2">
      <c r="B38789" s="62" t="str">
        <f>IF(AND('领用录入（明细）'!D:D=$F$4,'领用录入（明细）'!C:C&gt;=$J$4,'领用录入（明细）'!C:C&lt;=$L$4),ROW(),"-")</f>
        <v>-</v>
      </c>
    </row>
    <row r="38790" customHeight="1" spans="2:2">
      <c r="B38790" s="62" t="str">
        <f>IF(AND('领用录入（明细）'!D:D=$F$4,'领用录入（明细）'!C:C&gt;=$J$4,'领用录入（明细）'!C:C&lt;=$L$4),ROW(),"-")</f>
        <v>-</v>
      </c>
    </row>
    <row r="38791" customHeight="1" spans="2:2">
      <c r="B38791" s="62" t="str">
        <f>IF(AND('领用录入（明细）'!D:D=$F$4,'领用录入（明细）'!C:C&gt;=$J$4,'领用录入（明细）'!C:C&lt;=$L$4),ROW(),"-")</f>
        <v>-</v>
      </c>
    </row>
    <row r="38792" customHeight="1" spans="2:2">
      <c r="B38792" s="62" t="str">
        <f>IF(AND('领用录入（明细）'!D:D=$F$4,'领用录入（明细）'!C:C&gt;=$J$4,'领用录入（明细）'!C:C&lt;=$L$4),ROW(),"-")</f>
        <v>-</v>
      </c>
    </row>
    <row r="38793" customHeight="1" spans="2:2">
      <c r="B38793" s="62" t="str">
        <f>IF(AND('领用录入（明细）'!D:D=$F$4,'领用录入（明细）'!C:C&gt;=$J$4,'领用录入（明细）'!C:C&lt;=$L$4),ROW(),"-")</f>
        <v>-</v>
      </c>
    </row>
    <row r="38794" customHeight="1" spans="2:2">
      <c r="B38794" s="62" t="str">
        <f>IF(AND('领用录入（明细）'!D:D=$F$4,'领用录入（明细）'!C:C&gt;=$J$4,'领用录入（明细）'!C:C&lt;=$L$4),ROW(),"-")</f>
        <v>-</v>
      </c>
    </row>
    <row r="38795" customHeight="1" spans="2:2">
      <c r="B38795" s="62" t="str">
        <f>IF(AND('领用录入（明细）'!D:D=$F$4,'领用录入（明细）'!C:C&gt;=$J$4,'领用录入（明细）'!C:C&lt;=$L$4),ROW(),"-")</f>
        <v>-</v>
      </c>
    </row>
    <row r="38796" customHeight="1" spans="2:2">
      <c r="B38796" s="62" t="str">
        <f>IF(AND('领用录入（明细）'!D:D=$F$4,'领用录入（明细）'!C:C&gt;=$J$4,'领用录入（明细）'!C:C&lt;=$L$4),ROW(),"-")</f>
        <v>-</v>
      </c>
    </row>
    <row r="38797" customHeight="1" spans="2:2">
      <c r="B38797" s="62" t="str">
        <f>IF(AND('领用录入（明细）'!D:D=$F$4,'领用录入（明细）'!C:C&gt;=$J$4,'领用录入（明细）'!C:C&lt;=$L$4),ROW(),"-")</f>
        <v>-</v>
      </c>
    </row>
    <row r="38798" customHeight="1" spans="2:2">
      <c r="B38798" s="62" t="str">
        <f>IF(AND('领用录入（明细）'!D:D=$F$4,'领用录入（明细）'!C:C&gt;=$J$4,'领用录入（明细）'!C:C&lt;=$L$4),ROW(),"-")</f>
        <v>-</v>
      </c>
    </row>
    <row r="38799" customHeight="1" spans="2:2">
      <c r="B38799" s="62" t="str">
        <f>IF(AND('领用录入（明细）'!D:D=$F$4,'领用录入（明细）'!C:C&gt;=$J$4,'领用录入（明细）'!C:C&lt;=$L$4),ROW(),"-")</f>
        <v>-</v>
      </c>
    </row>
    <row r="38800" customHeight="1" spans="2:2">
      <c r="B38800" s="62" t="str">
        <f>IF(AND('领用录入（明细）'!D:D=$F$4,'领用录入（明细）'!C:C&gt;=$J$4,'领用录入（明细）'!C:C&lt;=$L$4),ROW(),"-")</f>
        <v>-</v>
      </c>
    </row>
    <row r="38801" customHeight="1" spans="2:2">
      <c r="B38801" s="62" t="str">
        <f>IF(AND('领用录入（明细）'!D:D=$F$4,'领用录入（明细）'!C:C&gt;=$J$4,'领用录入（明细）'!C:C&lt;=$L$4),ROW(),"-")</f>
        <v>-</v>
      </c>
    </row>
    <row r="38802" customHeight="1" spans="2:2">
      <c r="B38802" s="62" t="str">
        <f>IF(AND('领用录入（明细）'!D:D=$F$4,'领用录入（明细）'!C:C&gt;=$J$4,'领用录入（明细）'!C:C&lt;=$L$4),ROW(),"-")</f>
        <v>-</v>
      </c>
    </row>
    <row r="38803" customHeight="1" spans="2:2">
      <c r="B38803" s="62" t="str">
        <f>IF(AND('领用录入（明细）'!D:D=$F$4,'领用录入（明细）'!C:C&gt;=$J$4,'领用录入（明细）'!C:C&lt;=$L$4),ROW(),"-")</f>
        <v>-</v>
      </c>
    </row>
    <row r="38804" customHeight="1" spans="2:2">
      <c r="B38804" s="62" t="str">
        <f>IF(AND('领用录入（明细）'!D:D=$F$4,'领用录入（明细）'!C:C&gt;=$J$4,'领用录入（明细）'!C:C&lt;=$L$4),ROW(),"-")</f>
        <v>-</v>
      </c>
    </row>
    <row r="38805" customHeight="1" spans="2:2">
      <c r="B38805" s="62" t="str">
        <f>IF(AND('领用录入（明细）'!D:D=$F$4,'领用录入（明细）'!C:C&gt;=$J$4,'领用录入（明细）'!C:C&lt;=$L$4),ROW(),"-")</f>
        <v>-</v>
      </c>
    </row>
    <row r="38806" customHeight="1" spans="2:2">
      <c r="B38806" s="62" t="str">
        <f>IF(AND('领用录入（明细）'!D:D=$F$4,'领用录入（明细）'!C:C&gt;=$J$4,'领用录入（明细）'!C:C&lt;=$L$4),ROW(),"-")</f>
        <v>-</v>
      </c>
    </row>
    <row r="38807" customHeight="1" spans="2:2">
      <c r="B38807" s="62" t="str">
        <f>IF(AND('领用录入（明细）'!D:D=$F$4,'领用录入（明细）'!C:C&gt;=$J$4,'领用录入（明细）'!C:C&lt;=$L$4),ROW(),"-")</f>
        <v>-</v>
      </c>
    </row>
    <row r="38808" customHeight="1" spans="2:2">
      <c r="B38808" s="62" t="str">
        <f>IF(AND('领用录入（明细）'!D:D=$F$4,'领用录入（明细）'!C:C&gt;=$J$4,'领用录入（明细）'!C:C&lt;=$L$4),ROW(),"-")</f>
        <v>-</v>
      </c>
    </row>
    <row r="38809" customHeight="1" spans="2:2">
      <c r="B38809" s="62" t="str">
        <f>IF(AND('领用录入（明细）'!D:D=$F$4,'领用录入（明细）'!C:C&gt;=$J$4,'领用录入（明细）'!C:C&lt;=$L$4),ROW(),"-")</f>
        <v>-</v>
      </c>
    </row>
    <row r="38810" customHeight="1" spans="2:2">
      <c r="B38810" s="62" t="str">
        <f>IF(AND('领用录入（明细）'!D:D=$F$4,'领用录入（明细）'!C:C&gt;=$J$4,'领用录入（明细）'!C:C&lt;=$L$4),ROW(),"-")</f>
        <v>-</v>
      </c>
    </row>
    <row r="38811" customHeight="1" spans="2:2">
      <c r="B38811" s="62" t="str">
        <f>IF(AND('领用录入（明细）'!D:D=$F$4,'领用录入（明细）'!C:C&gt;=$J$4,'领用录入（明细）'!C:C&lt;=$L$4),ROW(),"-")</f>
        <v>-</v>
      </c>
    </row>
    <row r="38812" customHeight="1" spans="2:2">
      <c r="B38812" s="62" t="str">
        <f>IF(AND('领用录入（明细）'!D:D=$F$4,'领用录入（明细）'!C:C&gt;=$J$4,'领用录入（明细）'!C:C&lt;=$L$4),ROW(),"-")</f>
        <v>-</v>
      </c>
    </row>
    <row r="38813" customHeight="1" spans="2:2">
      <c r="B38813" s="62" t="str">
        <f>IF(AND('领用录入（明细）'!D:D=$F$4,'领用录入（明细）'!C:C&gt;=$J$4,'领用录入（明细）'!C:C&lt;=$L$4),ROW(),"-")</f>
        <v>-</v>
      </c>
    </row>
    <row r="38814" customHeight="1" spans="2:2">
      <c r="B38814" s="62" t="str">
        <f>IF(AND('领用录入（明细）'!D:D=$F$4,'领用录入（明细）'!C:C&gt;=$J$4,'领用录入（明细）'!C:C&lt;=$L$4),ROW(),"-")</f>
        <v>-</v>
      </c>
    </row>
    <row r="38815" customHeight="1" spans="2:2">
      <c r="B38815" s="62" t="str">
        <f>IF(AND('领用录入（明细）'!D:D=$F$4,'领用录入（明细）'!C:C&gt;=$J$4,'领用录入（明细）'!C:C&lt;=$L$4),ROW(),"-")</f>
        <v>-</v>
      </c>
    </row>
    <row r="38816" customHeight="1" spans="2:2">
      <c r="B38816" s="62" t="str">
        <f>IF(AND('领用录入（明细）'!D:D=$F$4,'领用录入（明细）'!C:C&gt;=$J$4,'领用录入（明细）'!C:C&lt;=$L$4),ROW(),"-")</f>
        <v>-</v>
      </c>
    </row>
    <row r="38817" customHeight="1" spans="2:2">
      <c r="B38817" s="62" t="str">
        <f>IF(AND('领用录入（明细）'!D:D=$F$4,'领用录入（明细）'!C:C&gt;=$J$4,'领用录入（明细）'!C:C&lt;=$L$4),ROW(),"-")</f>
        <v>-</v>
      </c>
    </row>
    <row r="38818" customHeight="1" spans="2:2">
      <c r="B38818" s="62" t="str">
        <f>IF(AND('领用录入（明细）'!D:D=$F$4,'领用录入（明细）'!C:C&gt;=$J$4,'领用录入（明细）'!C:C&lt;=$L$4),ROW(),"-")</f>
        <v>-</v>
      </c>
    </row>
    <row r="38819" customHeight="1" spans="2:2">
      <c r="B38819" s="62" t="str">
        <f>IF(AND('领用录入（明细）'!D:D=$F$4,'领用录入（明细）'!C:C&gt;=$J$4,'领用录入（明细）'!C:C&lt;=$L$4),ROW(),"-")</f>
        <v>-</v>
      </c>
    </row>
    <row r="38820" customHeight="1" spans="2:2">
      <c r="B38820" s="62" t="str">
        <f>IF(AND('领用录入（明细）'!D:D=$F$4,'领用录入（明细）'!C:C&gt;=$J$4,'领用录入（明细）'!C:C&lt;=$L$4),ROW(),"-")</f>
        <v>-</v>
      </c>
    </row>
    <row r="38821" customHeight="1" spans="2:2">
      <c r="B38821" s="62" t="str">
        <f>IF(AND('领用录入（明细）'!D:D=$F$4,'领用录入（明细）'!C:C&gt;=$J$4,'领用录入（明细）'!C:C&lt;=$L$4),ROW(),"-")</f>
        <v>-</v>
      </c>
    </row>
    <row r="38822" customHeight="1" spans="2:2">
      <c r="B38822" s="62" t="str">
        <f>IF(AND('领用录入（明细）'!D:D=$F$4,'领用录入（明细）'!C:C&gt;=$J$4,'领用录入（明细）'!C:C&lt;=$L$4),ROW(),"-")</f>
        <v>-</v>
      </c>
    </row>
    <row r="38823" customHeight="1" spans="2:2">
      <c r="B38823" s="62" t="str">
        <f>IF(AND('领用录入（明细）'!D:D=$F$4,'领用录入（明细）'!C:C&gt;=$J$4,'领用录入（明细）'!C:C&lt;=$L$4),ROW(),"-")</f>
        <v>-</v>
      </c>
    </row>
    <row r="38824" customHeight="1" spans="2:2">
      <c r="B38824" s="62" t="str">
        <f>IF(AND('领用录入（明细）'!D:D=$F$4,'领用录入（明细）'!C:C&gt;=$J$4,'领用录入（明细）'!C:C&lt;=$L$4),ROW(),"-")</f>
        <v>-</v>
      </c>
    </row>
    <row r="38825" customHeight="1" spans="2:2">
      <c r="B38825" s="62" t="str">
        <f>IF(AND('领用录入（明细）'!D:D=$F$4,'领用录入（明细）'!C:C&gt;=$J$4,'领用录入（明细）'!C:C&lt;=$L$4),ROW(),"-")</f>
        <v>-</v>
      </c>
    </row>
    <row r="38826" customHeight="1" spans="2:2">
      <c r="B38826" s="62" t="str">
        <f>IF(AND('领用录入（明细）'!D:D=$F$4,'领用录入（明细）'!C:C&gt;=$J$4,'领用录入（明细）'!C:C&lt;=$L$4),ROW(),"-")</f>
        <v>-</v>
      </c>
    </row>
    <row r="38827" customHeight="1" spans="2:2">
      <c r="B38827" s="62" t="str">
        <f>IF(AND('领用录入（明细）'!D:D=$F$4,'领用录入（明细）'!C:C&gt;=$J$4,'领用录入（明细）'!C:C&lt;=$L$4),ROW(),"-")</f>
        <v>-</v>
      </c>
    </row>
    <row r="38828" customHeight="1" spans="2:2">
      <c r="B38828" s="62" t="str">
        <f>IF(AND('领用录入（明细）'!D:D=$F$4,'领用录入（明细）'!C:C&gt;=$J$4,'领用录入（明细）'!C:C&lt;=$L$4),ROW(),"-")</f>
        <v>-</v>
      </c>
    </row>
    <row r="38829" customHeight="1" spans="2:2">
      <c r="B38829" s="62" t="str">
        <f>IF(AND('领用录入（明细）'!D:D=$F$4,'领用录入（明细）'!C:C&gt;=$J$4,'领用录入（明细）'!C:C&lt;=$L$4),ROW(),"-")</f>
        <v>-</v>
      </c>
    </row>
    <row r="38830" customHeight="1" spans="2:2">
      <c r="B38830" s="62" t="str">
        <f>IF(AND('领用录入（明细）'!D:D=$F$4,'领用录入（明细）'!C:C&gt;=$J$4,'领用录入（明细）'!C:C&lt;=$L$4),ROW(),"-")</f>
        <v>-</v>
      </c>
    </row>
    <row r="38831" customHeight="1" spans="2:2">
      <c r="B38831" s="62" t="str">
        <f>IF(AND('领用录入（明细）'!D:D=$F$4,'领用录入（明细）'!C:C&gt;=$J$4,'领用录入（明细）'!C:C&lt;=$L$4),ROW(),"-")</f>
        <v>-</v>
      </c>
    </row>
    <row r="38832" customHeight="1" spans="2:2">
      <c r="B38832" s="62" t="str">
        <f>IF(AND('领用录入（明细）'!D:D=$F$4,'领用录入（明细）'!C:C&gt;=$J$4,'领用录入（明细）'!C:C&lt;=$L$4),ROW(),"-")</f>
        <v>-</v>
      </c>
    </row>
    <row r="38833" customHeight="1" spans="2:2">
      <c r="B38833" s="62" t="str">
        <f>IF(AND('领用录入（明细）'!D:D=$F$4,'领用录入（明细）'!C:C&gt;=$J$4,'领用录入（明细）'!C:C&lt;=$L$4),ROW(),"-")</f>
        <v>-</v>
      </c>
    </row>
    <row r="38834" customHeight="1" spans="2:2">
      <c r="B38834" s="62" t="str">
        <f>IF(AND('领用录入（明细）'!D:D=$F$4,'领用录入（明细）'!C:C&gt;=$J$4,'领用录入（明细）'!C:C&lt;=$L$4),ROW(),"-")</f>
        <v>-</v>
      </c>
    </row>
    <row r="38835" customHeight="1" spans="2:2">
      <c r="B38835" s="62" t="str">
        <f>IF(AND('领用录入（明细）'!D:D=$F$4,'领用录入（明细）'!C:C&gt;=$J$4,'领用录入（明细）'!C:C&lt;=$L$4),ROW(),"-")</f>
        <v>-</v>
      </c>
    </row>
    <row r="38836" customHeight="1" spans="2:2">
      <c r="B38836" s="62" t="str">
        <f>IF(AND('领用录入（明细）'!D:D=$F$4,'领用录入（明细）'!C:C&gt;=$J$4,'领用录入（明细）'!C:C&lt;=$L$4),ROW(),"-")</f>
        <v>-</v>
      </c>
    </row>
    <row r="38837" customHeight="1" spans="2:2">
      <c r="B38837" s="62" t="str">
        <f>IF(AND('领用录入（明细）'!D:D=$F$4,'领用录入（明细）'!C:C&gt;=$J$4,'领用录入（明细）'!C:C&lt;=$L$4),ROW(),"-")</f>
        <v>-</v>
      </c>
    </row>
    <row r="38838" customHeight="1" spans="2:2">
      <c r="B38838" s="62" t="str">
        <f>IF(AND('领用录入（明细）'!D:D=$F$4,'领用录入（明细）'!C:C&gt;=$J$4,'领用录入（明细）'!C:C&lt;=$L$4),ROW(),"-")</f>
        <v>-</v>
      </c>
    </row>
    <row r="38839" customHeight="1" spans="2:2">
      <c r="B38839" s="62" t="str">
        <f>IF(AND('领用录入（明细）'!D:D=$F$4,'领用录入（明细）'!C:C&gt;=$J$4,'领用录入（明细）'!C:C&lt;=$L$4),ROW(),"-")</f>
        <v>-</v>
      </c>
    </row>
    <row r="38840" customHeight="1" spans="2:2">
      <c r="B38840" s="62" t="str">
        <f>IF(AND('领用录入（明细）'!D:D=$F$4,'领用录入（明细）'!C:C&gt;=$J$4,'领用录入（明细）'!C:C&lt;=$L$4),ROW(),"-")</f>
        <v>-</v>
      </c>
    </row>
    <row r="38841" customHeight="1" spans="2:2">
      <c r="B38841" s="62" t="str">
        <f>IF(AND('领用录入（明细）'!D:D=$F$4,'领用录入（明细）'!C:C&gt;=$J$4,'领用录入（明细）'!C:C&lt;=$L$4),ROW(),"-")</f>
        <v>-</v>
      </c>
    </row>
    <row r="38842" customHeight="1" spans="2:2">
      <c r="B38842" s="62" t="str">
        <f>IF(AND('领用录入（明细）'!D:D=$F$4,'领用录入（明细）'!C:C&gt;=$J$4,'领用录入（明细）'!C:C&lt;=$L$4),ROW(),"-")</f>
        <v>-</v>
      </c>
    </row>
    <row r="38843" customHeight="1" spans="2:2">
      <c r="B38843" s="62" t="str">
        <f>IF(AND('领用录入（明细）'!D:D=$F$4,'领用录入（明细）'!C:C&gt;=$J$4,'领用录入（明细）'!C:C&lt;=$L$4),ROW(),"-")</f>
        <v>-</v>
      </c>
    </row>
    <row r="38844" customHeight="1" spans="2:2">
      <c r="B38844" s="62" t="str">
        <f>IF(AND('领用录入（明细）'!D:D=$F$4,'领用录入（明细）'!C:C&gt;=$J$4,'领用录入（明细）'!C:C&lt;=$L$4),ROW(),"-")</f>
        <v>-</v>
      </c>
    </row>
    <row r="38845" customHeight="1" spans="2:2">
      <c r="B38845" s="62" t="str">
        <f>IF(AND('领用录入（明细）'!D:D=$F$4,'领用录入（明细）'!C:C&gt;=$J$4,'领用录入（明细）'!C:C&lt;=$L$4),ROW(),"-")</f>
        <v>-</v>
      </c>
    </row>
    <row r="38846" customHeight="1" spans="2:2">
      <c r="B38846" s="62" t="str">
        <f>IF(AND('领用录入（明细）'!D:D=$F$4,'领用录入（明细）'!C:C&gt;=$J$4,'领用录入（明细）'!C:C&lt;=$L$4),ROW(),"-")</f>
        <v>-</v>
      </c>
    </row>
    <row r="38847" customHeight="1" spans="2:2">
      <c r="B38847" s="62" t="str">
        <f>IF(AND('领用录入（明细）'!D:D=$F$4,'领用录入（明细）'!C:C&gt;=$J$4,'领用录入（明细）'!C:C&lt;=$L$4),ROW(),"-")</f>
        <v>-</v>
      </c>
    </row>
    <row r="38848" customHeight="1" spans="2:2">
      <c r="B38848" s="62" t="str">
        <f>IF(AND('领用录入（明细）'!D:D=$F$4,'领用录入（明细）'!C:C&gt;=$J$4,'领用录入（明细）'!C:C&lt;=$L$4),ROW(),"-")</f>
        <v>-</v>
      </c>
    </row>
    <row r="38849" customHeight="1" spans="2:2">
      <c r="B38849" s="62" t="str">
        <f>IF(AND('领用录入（明细）'!D:D=$F$4,'领用录入（明细）'!C:C&gt;=$J$4,'领用录入（明细）'!C:C&lt;=$L$4),ROW(),"-")</f>
        <v>-</v>
      </c>
    </row>
    <row r="38850" customHeight="1" spans="2:2">
      <c r="B38850" s="62" t="str">
        <f>IF(AND('领用录入（明细）'!D:D=$F$4,'领用录入（明细）'!C:C&gt;=$J$4,'领用录入（明细）'!C:C&lt;=$L$4),ROW(),"-")</f>
        <v>-</v>
      </c>
    </row>
    <row r="38851" customHeight="1" spans="2:2">
      <c r="B38851" s="62" t="str">
        <f>IF(AND('领用录入（明细）'!D:D=$F$4,'领用录入（明细）'!C:C&gt;=$J$4,'领用录入（明细）'!C:C&lt;=$L$4),ROW(),"-")</f>
        <v>-</v>
      </c>
    </row>
    <row r="38852" customHeight="1" spans="2:2">
      <c r="B38852" s="62" t="str">
        <f>IF(AND('领用录入（明细）'!D:D=$F$4,'领用录入（明细）'!C:C&gt;=$J$4,'领用录入（明细）'!C:C&lt;=$L$4),ROW(),"-")</f>
        <v>-</v>
      </c>
    </row>
    <row r="38853" customHeight="1" spans="2:2">
      <c r="B38853" s="62" t="str">
        <f>IF(AND('领用录入（明细）'!D:D=$F$4,'领用录入（明细）'!C:C&gt;=$J$4,'领用录入（明细）'!C:C&lt;=$L$4),ROW(),"-")</f>
        <v>-</v>
      </c>
    </row>
    <row r="38854" customHeight="1" spans="2:2">
      <c r="B38854" s="62" t="str">
        <f>IF(AND('领用录入（明细）'!D:D=$F$4,'领用录入（明细）'!C:C&gt;=$J$4,'领用录入（明细）'!C:C&lt;=$L$4),ROW(),"-")</f>
        <v>-</v>
      </c>
    </row>
    <row r="38855" customHeight="1" spans="2:2">
      <c r="B38855" s="62" t="str">
        <f>IF(AND('领用录入（明细）'!D:D=$F$4,'领用录入（明细）'!C:C&gt;=$J$4,'领用录入（明细）'!C:C&lt;=$L$4),ROW(),"-")</f>
        <v>-</v>
      </c>
    </row>
    <row r="38856" customHeight="1" spans="2:2">
      <c r="B38856" s="62" t="str">
        <f>IF(AND('领用录入（明细）'!D:D=$F$4,'领用录入（明细）'!C:C&gt;=$J$4,'领用录入（明细）'!C:C&lt;=$L$4),ROW(),"-")</f>
        <v>-</v>
      </c>
    </row>
    <row r="38857" customHeight="1" spans="2:2">
      <c r="B38857" s="62" t="str">
        <f>IF(AND('领用录入（明细）'!D:D=$F$4,'领用录入（明细）'!C:C&gt;=$J$4,'领用录入（明细）'!C:C&lt;=$L$4),ROW(),"-")</f>
        <v>-</v>
      </c>
    </row>
    <row r="38858" customHeight="1" spans="2:2">
      <c r="B38858" s="62" t="str">
        <f>IF(AND('领用录入（明细）'!D:D=$F$4,'领用录入（明细）'!C:C&gt;=$J$4,'领用录入（明细）'!C:C&lt;=$L$4),ROW(),"-")</f>
        <v>-</v>
      </c>
    </row>
    <row r="38859" customHeight="1" spans="2:2">
      <c r="B38859" s="62" t="str">
        <f>IF(AND('领用录入（明细）'!D:D=$F$4,'领用录入（明细）'!C:C&gt;=$J$4,'领用录入（明细）'!C:C&lt;=$L$4),ROW(),"-")</f>
        <v>-</v>
      </c>
    </row>
    <row r="38860" customHeight="1" spans="2:2">
      <c r="B38860" s="62" t="str">
        <f>IF(AND('领用录入（明细）'!D:D=$F$4,'领用录入（明细）'!C:C&gt;=$J$4,'领用录入（明细）'!C:C&lt;=$L$4),ROW(),"-")</f>
        <v>-</v>
      </c>
    </row>
    <row r="38861" customHeight="1" spans="2:2">
      <c r="B38861" s="62" t="str">
        <f>IF(AND('领用录入（明细）'!D:D=$F$4,'领用录入（明细）'!C:C&gt;=$J$4,'领用录入（明细）'!C:C&lt;=$L$4),ROW(),"-")</f>
        <v>-</v>
      </c>
    </row>
    <row r="38862" customHeight="1" spans="2:2">
      <c r="B38862" s="62" t="str">
        <f>IF(AND('领用录入（明细）'!D:D=$F$4,'领用录入（明细）'!C:C&gt;=$J$4,'领用录入（明细）'!C:C&lt;=$L$4),ROW(),"-")</f>
        <v>-</v>
      </c>
    </row>
    <row r="38863" customHeight="1" spans="2:2">
      <c r="B38863" s="62" t="str">
        <f>IF(AND('领用录入（明细）'!D:D=$F$4,'领用录入（明细）'!C:C&gt;=$J$4,'领用录入（明细）'!C:C&lt;=$L$4),ROW(),"-")</f>
        <v>-</v>
      </c>
    </row>
    <row r="38864" customHeight="1" spans="2:2">
      <c r="B38864" s="62" t="str">
        <f>IF(AND('领用录入（明细）'!D:D=$F$4,'领用录入（明细）'!C:C&gt;=$J$4,'领用录入（明细）'!C:C&lt;=$L$4),ROW(),"-")</f>
        <v>-</v>
      </c>
    </row>
    <row r="38865" customHeight="1" spans="2:2">
      <c r="B38865" s="62" t="str">
        <f>IF(AND('领用录入（明细）'!D:D=$F$4,'领用录入（明细）'!C:C&gt;=$J$4,'领用录入（明细）'!C:C&lt;=$L$4),ROW(),"-")</f>
        <v>-</v>
      </c>
    </row>
    <row r="38866" customHeight="1" spans="2:2">
      <c r="B38866" s="62" t="str">
        <f>IF(AND('领用录入（明细）'!D:D=$F$4,'领用录入（明细）'!C:C&gt;=$J$4,'领用录入（明细）'!C:C&lt;=$L$4),ROW(),"-")</f>
        <v>-</v>
      </c>
    </row>
    <row r="38867" customHeight="1" spans="2:2">
      <c r="B38867" s="62" t="str">
        <f>IF(AND('领用录入（明细）'!D:D=$F$4,'领用录入（明细）'!C:C&gt;=$J$4,'领用录入（明细）'!C:C&lt;=$L$4),ROW(),"-")</f>
        <v>-</v>
      </c>
    </row>
    <row r="38868" customHeight="1" spans="2:2">
      <c r="B38868" s="62" t="str">
        <f>IF(AND('领用录入（明细）'!D:D=$F$4,'领用录入（明细）'!C:C&gt;=$J$4,'领用录入（明细）'!C:C&lt;=$L$4),ROW(),"-")</f>
        <v>-</v>
      </c>
    </row>
    <row r="38869" customHeight="1" spans="2:2">
      <c r="B38869" s="62" t="str">
        <f>IF(AND('领用录入（明细）'!D:D=$F$4,'领用录入（明细）'!C:C&gt;=$J$4,'领用录入（明细）'!C:C&lt;=$L$4),ROW(),"-")</f>
        <v>-</v>
      </c>
    </row>
    <row r="38870" customHeight="1" spans="2:2">
      <c r="B38870" s="62" t="str">
        <f>IF(AND('领用录入（明细）'!D:D=$F$4,'领用录入（明细）'!C:C&gt;=$J$4,'领用录入（明细）'!C:C&lt;=$L$4),ROW(),"-")</f>
        <v>-</v>
      </c>
    </row>
    <row r="38871" customHeight="1" spans="2:2">
      <c r="B38871" s="62" t="str">
        <f>IF(AND('领用录入（明细）'!D:D=$F$4,'领用录入（明细）'!C:C&gt;=$J$4,'领用录入（明细）'!C:C&lt;=$L$4),ROW(),"-")</f>
        <v>-</v>
      </c>
    </row>
    <row r="38872" customHeight="1" spans="2:2">
      <c r="B38872" s="62" t="str">
        <f>IF(AND('领用录入（明细）'!D:D=$F$4,'领用录入（明细）'!C:C&gt;=$J$4,'领用录入（明细）'!C:C&lt;=$L$4),ROW(),"-")</f>
        <v>-</v>
      </c>
    </row>
    <row r="38873" customHeight="1" spans="2:2">
      <c r="B38873" s="62" t="str">
        <f>IF(AND('领用录入（明细）'!D:D=$F$4,'领用录入（明细）'!C:C&gt;=$J$4,'领用录入（明细）'!C:C&lt;=$L$4),ROW(),"-")</f>
        <v>-</v>
      </c>
    </row>
    <row r="38874" customHeight="1" spans="2:2">
      <c r="B38874" s="62" t="str">
        <f>IF(AND('领用录入（明细）'!D:D=$F$4,'领用录入（明细）'!C:C&gt;=$J$4,'领用录入（明细）'!C:C&lt;=$L$4),ROW(),"-")</f>
        <v>-</v>
      </c>
    </row>
    <row r="38875" customHeight="1" spans="2:2">
      <c r="B38875" s="62" t="str">
        <f>IF(AND('领用录入（明细）'!D:D=$F$4,'领用录入（明细）'!C:C&gt;=$J$4,'领用录入（明细）'!C:C&lt;=$L$4),ROW(),"-")</f>
        <v>-</v>
      </c>
    </row>
    <row r="38876" customHeight="1" spans="2:2">
      <c r="B38876" s="62" t="str">
        <f>IF(AND('领用录入（明细）'!D:D=$F$4,'领用录入（明细）'!C:C&gt;=$J$4,'领用录入（明细）'!C:C&lt;=$L$4),ROW(),"-")</f>
        <v>-</v>
      </c>
    </row>
    <row r="38877" customHeight="1" spans="2:2">
      <c r="B38877" s="62" t="str">
        <f>IF(AND('领用录入（明细）'!D:D=$F$4,'领用录入（明细）'!C:C&gt;=$J$4,'领用录入（明细）'!C:C&lt;=$L$4),ROW(),"-")</f>
        <v>-</v>
      </c>
    </row>
    <row r="38878" customHeight="1" spans="2:2">
      <c r="B38878" s="62" t="str">
        <f>IF(AND('领用录入（明细）'!D:D=$F$4,'领用录入（明细）'!C:C&gt;=$J$4,'领用录入（明细）'!C:C&lt;=$L$4),ROW(),"-")</f>
        <v>-</v>
      </c>
    </row>
    <row r="38879" customHeight="1" spans="2:2">
      <c r="B38879" s="62" t="str">
        <f>IF(AND('领用录入（明细）'!D:D=$F$4,'领用录入（明细）'!C:C&gt;=$J$4,'领用录入（明细）'!C:C&lt;=$L$4),ROW(),"-")</f>
        <v>-</v>
      </c>
    </row>
    <row r="38880" customHeight="1" spans="2:2">
      <c r="B38880" s="62" t="str">
        <f>IF(AND('领用录入（明细）'!D:D=$F$4,'领用录入（明细）'!C:C&gt;=$J$4,'领用录入（明细）'!C:C&lt;=$L$4),ROW(),"-")</f>
        <v>-</v>
      </c>
    </row>
    <row r="38881" customHeight="1" spans="2:2">
      <c r="B38881" s="62" t="str">
        <f>IF(AND('领用录入（明细）'!D:D=$F$4,'领用录入（明细）'!C:C&gt;=$J$4,'领用录入（明细）'!C:C&lt;=$L$4),ROW(),"-")</f>
        <v>-</v>
      </c>
    </row>
    <row r="38882" customHeight="1" spans="2:2">
      <c r="B38882" s="62" t="str">
        <f>IF(AND('领用录入（明细）'!D:D=$F$4,'领用录入（明细）'!C:C&gt;=$J$4,'领用录入（明细）'!C:C&lt;=$L$4),ROW(),"-")</f>
        <v>-</v>
      </c>
    </row>
    <row r="38883" customHeight="1" spans="2:2">
      <c r="B38883" s="62" t="str">
        <f>IF(AND('领用录入（明细）'!D:D=$F$4,'领用录入（明细）'!C:C&gt;=$J$4,'领用录入（明细）'!C:C&lt;=$L$4),ROW(),"-")</f>
        <v>-</v>
      </c>
    </row>
    <row r="38884" customHeight="1" spans="2:2">
      <c r="B38884" s="62" t="str">
        <f>IF(AND('领用录入（明细）'!D:D=$F$4,'领用录入（明细）'!C:C&gt;=$J$4,'领用录入（明细）'!C:C&lt;=$L$4),ROW(),"-")</f>
        <v>-</v>
      </c>
    </row>
    <row r="38885" customHeight="1" spans="2:2">
      <c r="B38885" s="62" t="str">
        <f>IF(AND('领用录入（明细）'!D:D=$F$4,'领用录入（明细）'!C:C&gt;=$J$4,'领用录入（明细）'!C:C&lt;=$L$4),ROW(),"-")</f>
        <v>-</v>
      </c>
    </row>
    <row r="38886" customHeight="1" spans="2:2">
      <c r="B38886" s="62" t="str">
        <f>IF(AND('领用录入（明细）'!D:D=$F$4,'领用录入（明细）'!C:C&gt;=$J$4,'领用录入（明细）'!C:C&lt;=$L$4),ROW(),"-")</f>
        <v>-</v>
      </c>
    </row>
    <row r="38887" customHeight="1" spans="2:2">
      <c r="B38887" s="62" t="str">
        <f>IF(AND('领用录入（明细）'!D:D=$F$4,'领用录入（明细）'!C:C&gt;=$J$4,'领用录入（明细）'!C:C&lt;=$L$4),ROW(),"-")</f>
        <v>-</v>
      </c>
    </row>
    <row r="38888" customHeight="1" spans="2:2">
      <c r="B38888" s="62" t="str">
        <f>IF(AND('领用录入（明细）'!D:D=$F$4,'领用录入（明细）'!C:C&gt;=$J$4,'领用录入（明细）'!C:C&lt;=$L$4),ROW(),"-")</f>
        <v>-</v>
      </c>
    </row>
    <row r="38889" customHeight="1" spans="2:2">
      <c r="B38889" s="62" t="str">
        <f>IF(AND('领用录入（明细）'!D:D=$F$4,'领用录入（明细）'!C:C&gt;=$J$4,'领用录入（明细）'!C:C&lt;=$L$4),ROW(),"-")</f>
        <v>-</v>
      </c>
    </row>
    <row r="38890" customHeight="1" spans="2:2">
      <c r="B38890" s="62" t="str">
        <f>IF(AND('领用录入（明细）'!D:D=$F$4,'领用录入（明细）'!C:C&gt;=$J$4,'领用录入（明细）'!C:C&lt;=$L$4),ROW(),"-")</f>
        <v>-</v>
      </c>
    </row>
    <row r="38891" customHeight="1" spans="2:2">
      <c r="B38891" s="62" t="str">
        <f>IF(AND('领用录入（明细）'!D:D=$F$4,'领用录入（明细）'!C:C&gt;=$J$4,'领用录入（明细）'!C:C&lt;=$L$4),ROW(),"-")</f>
        <v>-</v>
      </c>
    </row>
    <row r="38892" customHeight="1" spans="2:2">
      <c r="B38892" s="62" t="str">
        <f>IF(AND('领用录入（明细）'!D:D=$F$4,'领用录入（明细）'!C:C&gt;=$J$4,'领用录入（明细）'!C:C&lt;=$L$4),ROW(),"-")</f>
        <v>-</v>
      </c>
    </row>
    <row r="38893" customHeight="1" spans="2:2">
      <c r="B38893" s="62" t="str">
        <f>IF(AND('领用录入（明细）'!D:D=$F$4,'领用录入（明细）'!C:C&gt;=$J$4,'领用录入（明细）'!C:C&lt;=$L$4),ROW(),"-")</f>
        <v>-</v>
      </c>
    </row>
    <row r="38894" customHeight="1" spans="2:2">
      <c r="B38894" s="62" t="str">
        <f>IF(AND('领用录入（明细）'!D:D=$F$4,'领用录入（明细）'!C:C&gt;=$J$4,'领用录入（明细）'!C:C&lt;=$L$4),ROW(),"-")</f>
        <v>-</v>
      </c>
    </row>
    <row r="38895" customHeight="1" spans="2:2">
      <c r="B38895" s="62" t="str">
        <f>IF(AND('领用录入（明细）'!D:D=$F$4,'领用录入（明细）'!C:C&gt;=$J$4,'领用录入（明细）'!C:C&lt;=$L$4),ROW(),"-")</f>
        <v>-</v>
      </c>
    </row>
    <row r="38896" customHeight="1" spans="2:2">
      <c r="B38896" s="62" t="str">
        <f>IF(AND('领用录入（明细）'!D:D=$F$4,'领用录入（明细）'!C:C&gt;=$J$4,'领用录入（明细）'!C:C&lt;=$L$4),ROW(),"-")</f>
        <v>-</v>
      </c>
    </row>
    <row r="38897" customHeight="1" spans="2:2">
      <c r="B38897" s="62" t="str">
        <f>IF(AND('领用录入（明细）'!D:D=$F$4,'领用录入（明细）'!C:C&gt;=$J$4,'领用录入（明细）'!C:C&lt;=$L$4),ROW(),"-")</f>
        <v>-</v>
      </c>
    </row>
    <row r="38898" customHeight="1" spans="2:2">
      <c r="B38898" s="62" t="str">
        <f>IF(AND('领用录入（明细）'!D:D=$F$4,'领用录入（明细）'!C:C&gt;=$J$4,'领用录入（明细）'!C:C&lt;=$L$4),ROW(),"-")</f>
        <v>-</v>
      </c>
    </row>
    <row r="38899" customHeight="1" spans="2:2">
      <c r="B38899" s="62" t="str">
        <f>IF(AND('领用录入（明细）'!D:D=$F$4,'领用录入（明细）'!C:C&gt;=$J$4,'领用录入（明细）'!C:C&lt;=$L$4),ROW(),"-")</f>
        <v>-</v>
      </c>
    </row>
    <row r="38900" customHeight="1" spans="2:2">
      <c r="B38900" s="62" t="str">
        <f>IF(AND('领用录入（明细）'!D:D=$F$4,'领用录入（明细）'!C:C&gt;=$J$4,'领用录入（明细）'!C:C&lt;=$L$4),ROW(),"-")</f>
        <v>-</v>
      </c>
    </row>
    <row r="38901" customHeight="1" spans="2:2">
      <c r="B38901" s="62" t="str">
        <f>IF(AND('领用录入（明细）'!D:D=$F$4,'领用录入（明细）'!C:C&gt;=$J$4,'领用录入（明细）'!C:C&lt;=$L$4),ROW(),"-")</f>
        <v>-</v>
      </c>
    </row>
    <row r="38902" customHeight="1" spans="2:2">
      <c r="B38902" s="62" t="str">
        <f>IF(AND('领用录入（明细）'!D:D=$F$4,'领用录入（明细）'!C:C&gt;=$J$4,'领用录入（明细）'!C:C&lt;=$L$4),ROW(),"-")</f>
        <v>-</v>
      </c>
    </row>
    <row r="38903" customHeight="1" spans="2:2">
      <c r="B38903" s="62" t="str">
        <f>IF(AND('领用录入（明细）'!D:D=$F$4,'领用录入（明细）'!C:C&gt;=$J$4,'领用录入（明细）'!C:C&lt;=$L$4),ROW(),"-")</f>
        <v>-</v>
      </c>
    </row>
    <row r="38904" customHeight="1" spans="2:2">
      <c r="B38904" s="62" t="str">
        <f>IF(AND('领用录入（明细）'!D:D=$F$4,'领用录入（明细）'!C:C&gt;=$J$4,'领用录入（明细）'!C:C&lt;=$L$4),ROW(),"-")</f>
        <v>-</v>
      </c>
    </row>
    <row r="38905" customHeight="1" spans="2:2">
      <c r="B38905" s="62" t="str">
        <f>IF(AND('领用录入（明细）'!D:D=$F$4,'领用录入（明细）'!C:C&gt;=$J$4,'领用录入（明细）'!C:C&lt;=$L$4),ROW(),"-")</f>
        <v>-</v>
      </c>
    </row>
    <row r="38906" customHeight="1" spans="2:2">
      <c r="B38906" s="62" t="str">
        <f>IF(AND('领用录入（明细）'!D:D=$F$4,'领用录入（明细）'!C:C&gt;=$J$4,'领用录入（明细）'!C:C&lt;=$L$4),ROW(),"-")</f>
        <v>-</v>
      </c>
    </row>
    <row r="38907" customHeight="1" spans="2:2">
      <c r="B38907" s="62" t="str">
        <f>IF(AND('领用录入（明细）'!D:D=$F$4,'领用录入（明细）'!C:C&gt;=$J$4,'领用录入（明细）'!C:C&lt;=$L$4),ROW(),"-")</f>
        <v>-</v>
      </c>
    </row>
    <row r="38908" customHeight="1" spans="2:2">
      <c r="B38908" s="62" t="str">
        <f>IF(AND('领用录入（明细）'!D:D=$F$4,'领用录入（明细）'!C:C&gt;=$J$4,'领用录入（明细）'!C:C&lt;=$L$4),ROW(),"-")</f>
        <v>-</v>
      </c>
    </row>
    <row r="38909" customHeight="1" spans="2:2">
      <c r="B38909" s="62" t="str">
        <f>IF(AND('领用录入（明细）'!D:D=$F$4,'领用录入（明细）'!C:C&gt;=$J$4,'领用录入（明细）'!C:C&lt;=$L$4),ROW(),"-")</f>
        <v>-</v>
      </c>
    </row>
    <row r="38910" customHeight="1" spans="2:2">
      <c r="B38910" s="62" t="str">
        <f>IF(AND('领用录入（明细）'!D:D=$F$4,'领用录入（明细）'!C:C&gt;=$J$4,'领用录入（明细）'!C:C&lt;=$L$4),ROW(),"-")</f>
        <v>-</v>
      </c>
    </row>
    <row r="38911" customHeight="1" spans="2:2">
      <c r="B38911" s="62" t="str">
        <f>IF(AND('领用录入（明细）'!D:D=$F$4,'领用录入（明细）'!C:C&gt;=$J$4,'领用录入（明细）'!C:C&lt;=$L$4),ROW(),"-")</f>
        <v>-</v>
      </c>
    </row>
    <row r="38912" customHeight="1" spans="2:2">
      <c r="B38912" s="62" t="str">
        <f>IF(AND('领用录入（明细）'!D:D=$F$4,'领用录入（明细）'!C:C&gt;=$J$4,'领用录入（明细）'!C:C&lt;=$L$4),ROW(),"-")</f>
        <v>-</v>
      </c>
    </row>
    <row r="38913" customHeight="1" spans="2:2">
      <c r="B38913" s="62" t="str">
        <f>IF(AND('领用录入（明细）'!D:D=$F$4,'领用录入（明细）'!C:C&gt;=$J$4,'领用录入（明细）'!C:C&lt;=$L$4),ROW(),"-")</f>
        <v>-</v>
      </c>
    </row>
    <row r="38914" customHeight="1" spans="2:2">
      <c r="B38914" s="62" t="str">
        <f>IF(AND('领用录入（明细）'!D:D=$F$4,'领用录入（明细）'!C:C&gt;=$J$4,'领用录入（明细）'!C:C&lt;=$L$4),ROW(),"-")</f>
        <v>-</v>
      </c>
    </row>
    <row r="38915" customHeight="1" spans="2:2">
      <c r="B38915" s="62" t="str">
        <f>IF(AND('领用录入（明细）'!D:D=$F$4,'领用录入（明细）'!C:C&gt;=$J$4,'领用录入（明细）'!C:C&lt;=$L$4),ROW(),"-")</f>
        <v>-</v>
      </c>
    </row>
    <row r="38916" customHeight="1" spans="2:2">
      <c r="B38916" s="62" t="str">
        <f>IF(AND('领用录入（明细）'!D:D=$F$4,'领用录入（明细）'!C:C&gt;=$J$4,'领用录入（明细）'!C:C&lt;=$L$4),ROW(),"-")</f>
        <v>-</v>
      </c>
    </row>
    <row r="38917" customHeight="1" spans="2:2">
      <c r="B38917" s="62" t="str">
        <f>IF(AND('领用录入（明细）'!D:D=$F$4,'领用录入（明细）'!C:C&gt;=$J$4,'领用录入（明细）'!C:C&lt;=$L$4),ROW(),"-")</f>
        <v>-</v>
      </c>
    </row>
    <row r="38918" customHeight="1" spans="2:2">
      <c r="B38918" s="62" t="str">
        <f>IF(AND('领用录入（明细）'!D:D=$F$4,'领用录入（明细）'!C:C&gt;=$J$4,'领用录入（明细）'!C:C&lt;=$L$4),ROW(),"-")</f>
        <v>-</v>
      </c>
    </row>
    <row r="38919" customHeight="1" spans="2:2">
      <c r="B38919" s="62" t="str">
        <f>IF(AND('领用录入（明细）'!D:D=$F$4,'领用录入（明细）'!C:C&gt;=$J$4,'领用录入（明细）'!C:C&lt;=$L$4),ROW(),"-")</f>
        <v>-</v>
      </c>
    </row>
    <row r="38920" customHeight="1" spans="2:2">
      <c r="B38920" s="62" t="str">
        <f>IF(AND('领用录入（明细）'!D:D=$F$4,'领用录入（明细）'!C:C&gt;=$J$4,'领用录入（明细）'!C:C&lt;=$L$4),ROW(),"-")</f>
        <v>-</v>
      </c>
    </row>
    <row r="38921" customHeight="1" spans="2:2">
      <c r="B38921" s="62" t="str">
        <f>IF(AND('领用录入（明细）'!D:D=$F$4,'领用录入（明细）'!C:C&gt;=$J$4,'领用录入（明细）'!C:C&lt;=$L$4),ROW(),"-")</f>
        <v>-</v>
      </c>
    </row>
    <row r="38922" customHeight="1" spans="2:2">
      <c r="B38922" s="62" t="str">
        <f>IF(AND('领用录入（明细）'!D:D=$F$4,'领用录入（明细）'!C:C&gt;=$J$4,'领用录入（明细）'!C:C&lt;=$L$4),ROW(),"-")</f>
        <v>-</v>
      </c>
    </row>
    <row r="38923" customHeight="1" spans="2:2">
      <c r="B38923" s="62" t="str">
        <f>IF(AND('领用录入（明细）'!D:D=$F$4,'领用录入（明细）'!C:C&gt;=$J$4,'领用录入（明细）'!C:C&lt;=$L$4),ROW(),"-")</f>
        <v>-</v>
      </c>
    </row>
    <row r="38924" customHeight="1" spans="2:2">
      <c r="B38924" s="62" t="str">
        <f>IF(AND('领用录入（明细）'!D:D=$F$4,'领用录入（明细）'!C:C&gt;=$J$4,'领用录入（明细）'!C:C&lt;=$L$4),ROW(),"-")</f>
        <v>-</v>
      </c>
    </row>
    <row r="38925" customHeight="1" spans="2:2">
      <c r="B38925" s="62" t="str">
        <f>IF(AND('领用录入（明细）'!D:D=$F$4,'领用录入（明细）'!C:C&gt;=$J$4,'领用录入（明细）'!C:C&lt;=$L$4),ROW(),"-")</f>
        <v>-</v>
      </c>
    </row>
    <row r="38926" customHeight="1" spans="2:2">
      <c r="B38926" s="62" t="str">
        <f>IF(AND('领用录入（明细）'!D:D=$F$4,'领用录入（明细）'!C:C&gt;=$J$4,'领用录入（明细）'!C:C&lt;=$L$4),ROW(),"-")</f>
        <v>-</v>
      </c>
    </row>
    <row r="38927" customHeight="1" spans="2:2">
      <c r="B38927" s="62" t="str">
        <f>IF(AND('领用录入（明细）'!D:D=$F$4,'领用录入（明细）'!C:C&gt;=$J$4,'领用录入（明细）'!C:C&lt;=$L$4),ROW(),"-")</f>
        <v>-</v>
      </c>
    </row>
    <row r="38928" customHeight="1" spans="2:2">
      <c r="B38928" s="62" t="str">
        <f>IF(AND('领用录入（明细）'!D:D=$F$4,'领用录入（明细）'!C:C&gt;=$J$4,'领用录入（明细）'!C:C&lt;=$L$4),ROW(),"-")</f>
        <v>-</v>
      </c>
    </row>
    <row r="38929" customHeight="1" spans="2:2">
      <c r="B38929" s="62" t="str">
        <f>IF(AND('领用录入（明细）'!D:D=$F$4,'领用录入（明细）'!C:C&gt;=$J$4,'领用录入（明细）'!C:C&lt;=$L$4),ROW(),"-")</f>
        <v>-</v>
      </c>
    </row>
    <row r="38930" customHeight="1" spans="2:2">
      <c r="B38930" s="62" t="str">
        <f>IF(AND('领用录入（明细）'!D:D=$F$4,'领用录入（明细）'!C:C&gt;=$J$4,'领用录入（明细）'!C:C&lt;=$L$4),ROW(),"-")</f>
        <v>-</v>
      </c>
    </row>
    <row r="38931" customHeight="1" spans="2:2">
      <c r="B38931" s="62" t="str">
        <f>IF(AND('领用录入（明细）'!D:D=$F$4,'领用录入（明细）'!C:C&gt;=$J$4,'领用录入（明细）'!C:C&lt;=$L$4),ROW(),"-")</f>
        <v>-</v>
      </c>
    </row>
    <row r="38932" customHeight="1" spans="2:2">
      <c r="B38932" s="62" t="str">
        <f>IF(AND('领用录入（明细）'!D:D=$F$4,'领用录入（明细）'!C:C&gt;=$J$4,'领用录入（明细）'!C:C&lt;=$L$4),ROW(),"-")</f>
        <v>-</v>
      </c>
    </row>
    <row r="38933" customHeight="1" spans="2:2">
      <c r="B38933" s="62" t="str">
        <f>IF(AND('领用录入（明细）'!D:D=$F$4,'领用录入（明细）'!C:C&gt;=$J$4,'领用录入（明细）'!C:C&lt;=$L$4),ROW(),"-")</f>
        <v>-</v>
      </c>
    </row>
    <row r="38934" customHeight="1" spans="2:2">
      <c r="B38934" s="62" t="str">
        <f>IF(AND('领用录入（明细）'!D:D=$F$4,'领用录入（明细）'!C:C&gt;=$J$4,'领用录入（明细）'!C:C&lt;=$L$4),ROW(),"-")</f>
        <v>-</v>
      </c>
    </row>
    <row r="38935" customHeight="1" spans="2:2">
      <c r="B38935" s="62" t="str">
        <f>IF(AND('领用录入（明细）'!D:D=$F$4,'领用录入（明细）'!C:C&gt;=$J$4,'领用录入（明细）'!C:C&lt;=$L$4),ROW(),"-")</f>
        <v>-</v>
      </c>
    </row>
    <row r="38936" customHeight="1" spans="2:2">
      <c r="B38936" s="62" t="str">
        <f>IF(AND('领用录入（明细）'!D:D=$F$4,'领用录入（明细）'!C:C&gt;=$J$4,'领用录入（明细）'!C:C&lt;=$L$4),ROW(),"-")</f>
        <v>-</v>
      </c>
    </row>
    <row r="38937" customHeight="1" spans="2:2">
      <c r="B38937" s="62" t="str">
        <f>IF(AND('领用录入（明细）'!D:D=$F$4,'领用录入（明细）'!C:C&gt;=$J$4,'领用录入（明细）'!C:C&lt;=$L$4),ROW(),"-")</f>
        <v>-</v>
      </c>
    </row>
    <row r="38938" customHeight="1" spans="2:2">
      <c r="B38938" s="62" t="str">
        <f>IF(AND('领用录入（明细）'!D:D=$F$4,'领用录入（明细）'!C:C&gt;=$J$4,'领用录入（明细）'!C:C&lt;=$L$4),ROW(),"-")</f>
        <v>-</v>
      </c>
    </row>
    <row r="38939" customHeight="1" spans="2:2">
      <c r="B38939" s="62" t="str">
        <f>IF(AND('领用录入（明细）'!D:D=$F$4,'领用录入（明细）'!C:C&gt;=$J$4,'领用录入（明细）'!C:C&lt;=$L$4),ROW(),"-")</f>
        <v>-</v>
      </c>
    </row>
    <row r="38940" customHeight="1" spans="2:2">
      <c r="B38940" s="62" t="str">
        <f>IF(AND('领用录入（明细）'!D:D=$F$4,'领用录入（明细）'!C:C&gt;=$J$4,'领用录入（明细）'!C:C&lt;=$L$4),ROW(),"-")</f>
        <v>-</v>
      </c>
    </row>
    <row r="38941" customHeight="1" spans="2:2">
      <c r="B38941" s="62" t="str">
        <f>IF(AND('领用录入（明细）'!D:D=$F$4,'领用录入（明细）'!C:C&gt;=$J$4,'领用录入（明细）'!C:C&lt;=$L$4),ROW(),"-")</f>
        <v>-</v>
      </c>
    </row>
    <row r="38942" customHeight="1" spans="2:2">
      <c r="B38942" s="62" t="str">
        <f>IF(AND('领用录入（明细）'!D:D=$F$4,'领用录入（明细）'!C:C&gt;=$J$4,'领用录入（明细）'!C:C&lt;=$L$4),ROW(),"-")</f>
        <v>-</v>
      </c>
    </row>
    <row r="38943" customHeight="1" spans="2:2">
      <c r="B38943" s="62" t="str">
        <f>IF(AND('领用录入（明细）'!D:D=$F$4,'领用录入（明细）'!C:C&gt;=$J$4,'领用录入（明细）'!C:C&lt;=$L$4),ROW(),"-")</f>
        <v>-</v>
      </c>
    </row>
    <row r="38944" customHeight="1" spans="2:2">
      <c r="B38944" s="62" t="str">
        <f>IF(AND('领用录入（明细）'!D:D=$F$4,'领用录入（明细）'!C:C&gt;=$J$4,'领用录入（明细）'!C:C&lt;=$L$4),ROW(),"-")</f>
        <v>-</v>
      </c>
    </row>
    <row r="38945" customHeight="1" spans="2:2">
      <c r="B38945" s="62" t="str">
        <f>IF(AND('领用录入（明细）'!D:D=$F$4,'领用录入（明细）'!C:C&gt;=$J$4,'领用录入（明细）'!C:C&lt;=$L$4),ROW(),"-")</f>
        <v>-</v>
      </c>
    </row>
    <row r="38946" customHeight="1" spans="2:2">
      <c r="B38946" s="62" t="str">
        <f>IF(AND('领用录入（明细）'!D:D=$F$4,'领用录入（明细）'!C:C&gt;=$J$4,'领用录入（明细）'!C:C&lt;=$L$4),ROW(),"-")</f>
        <v>-</v>
      </c>
    </row>
    <row r="38947" customHeight="1" spans="2:2">
      <c r="B38947" s="62" t="str">
        <f>IF(AND('领用录入（明细）'!D:D=$F$4,'领用录入（明细）'!C:C&gt;=$J$4,'领用录入（明细）'!C:C&lt;=$L$4),ROW(),"-")</f>
        <v>-</v>
      </c>
    </row>
    <row r="38948" customHeight="1" spans="2:2">
      <c r="B38948" s="62" t="str">
        <f>IF(AND('领用录入（明细）'!D:D=$F$4,'领用录入（明细）'!C:C&gt;=$J$4,'领用录入（明细）'!C:C&lt;=$L$4),ROW(),"-")</f>
        <v>-</v>
      </c>
    </row>
    <row r="38949" customHeight="1" spans="2:2">
      <c r="B38949" s="62" t="str">
        <f>IF(AND('领用录入（明细）'!D:D=$F$4,'领用录入（明细）'!C:C&gt;=$J$4,'领用录入（明细）'!C:C&lt;=$L$4),ROW(),"-")</f>
        <v>-</v>
      </c>
    </row>
    <row r="38950" customHeight="1" spans="2:2">
      <c r="B38950" s="62" t="str">
        <f>IF(AND('领用录入（明细）'!D:D=$F$4,'领用录入（明细）'!C:C&gt;=$J$4,'领用录入（明细）'!C:C&lt;=$L$4),ROW(),"-")</f>
        <v>-</v>
      </c>
    </row>
    <row r="38951" customHeight="1" spans="2:2">
      <c r="B38951" s="62" t="str">
        <f>IF(AND('领用录入（明细）'!D:D=$F$4,'领用录入（明细）'!C:C&gt;=$J$4,'领用录入（明细）'!C:C&lt;=$L$4),ROW(),"-")</f>
        <v>-</v>
      </c>
    </row>
    <row r="38952" customHeight="1" spans="2:2">
      <c r="B38952" s="62" t="str">
        <f>IF(AND('领用录入（明细）'!D:D=$F$4,'领用录入（明细）'!C:C&gt;=$J$4,'领用录入（明细）'!C:C&lt;=$L$4),ROW(),"-")</f>
        <v>-</v>
      </c>
    </row>
    <row r="38953" customHeight="1" spans="2:2">
      <c r="B38953" s="62" t="str">
        <f>IF(AND('领用录入（明细）'!D:D=$F$4,'领用录入（明细）'!C:C&gt;=$J$4,'领用录入（明细）'!C:C&lt;=$L$4),ROW(),"-")</f>
        <v>-</v>
      </c>
    </row>
    <row r="38954" customHeight="1" spans="2:2">
      <c r="B38954" s="62" t="str">
        <f>IF(AND('领用录入（明细）'!D:D=$F$4,'领用录入（明细）'!C:C&gt;=$J$4,'领用录入（明细）'!C:C&lt;=$L$4),ROW(),"-")</f>
        <v>-</v>
      </c>
    </row>
    <row r="38955" customHeight="1" spans="2:2">
      <c r="B38955" s="62" t="str">
        <f>IF(AND('领用录入（明细）'!D:D=$F$4,'领用录入（明细）'!C:C&gt;=$J$4,'领用录入（明细）'!C:C&lt;=$L$4),ROW(),"-")</f>
        <v>-</v>
      </c>
    </row>
    <row r="38956" customHeight="1" spans="2:2">
      <c r="B38956" s="62" t="str">
        <f>IF(AND('领用录入（明细）'!D:D=$F$4,'领用录入（明细）'!C:C&gt;=$J$4,'领用录入（明细）'!C:C&lt;=$L$4),ROW(),"-")</f>
        <v>-</v>
      </c>
    </row>
    <row r="38957" customHeight="1" spans="2:2">
      <c r="B38957" s="62" t="str">
        <f>IF(AND('领用录入（明细）'!D:D=$F$4,'领用录入（明细）'!C:C&gt;=$J$4,'领用录入（明细）'!C:C&lt;=$L$4),ROW(),"-")</f>
        <v>-</v>
      </c>
    </row>
    <row r="38958" customHeight="1" spans="2:2">
      <c r="B38958" s="62" t="str">
        <f>IF(AND('领用录入（明细）'!D:D=$F$4,'领用录入（明细）'!C:C&gt;=$J$4,'领用录入（明细）'!C:C&lt;=$L$4),ROW(),"-")</f>
        <v>-</v>
      </c>
    </row>
    <row r="38959" customHeight="1" spans="2:2">
      <c r="B38959" s="62" t="str">
        <f>IF(AND('领用录入（明细）'!D:D=$F$4,'领用录入（明细）'!C:C&gt;=$J$4,'领用录入（明细）'!C:C&lt;=$L$4),ROW(),"-")</f>
        <v>-</v>
      </c>
    </row>
    <row r="38960" customHeight="1" spans="2:2">
      <c r="B38960" s="62" t="str">
        <f>IF(AND('领用录入（明细）'!D:D=$F$4,'领用录入（明细）'!C:C&gt;=$J$4,'领用录入（明细）'!C:C&lt;=$L$4),ROW(),"-")</f>
        <v>-</v>
      </c>
    </row>
    <row r="38961" customHeight="1" spans="2:2">
      <c r="B38961" s="62" t="str">
        <f>IF(AND('领用录入（明细）'!D:D=$F$4,'领用录入（明细）'!C:C&gt;=$J$4,'领用录入（明细）'!C:C&lt;=$L$4),ROW(),"-")</f>
        <v>-</v>
      </c>
    </row>
    <row r="38962" customHeight="1" spans="2:2">
      <c r="B38962" s="62" t="str">
        <f>IF(AND('领用录入（明细）'!D:D=$F$4,'领用录入（明细）'!C:C&gt;=$J$4,'领用录入（明细）'!C:C&lt;=$L$4),ROW(),"-")</f>
        <v>-</v>
      </c>
    </row>
    <row r="38963" customHeight="1" spans="2:2">
      <c r="B38963" s="62" t="str">
        <f>IF(AND('领用录入（明细）'!D:D=$F$4,'领用录入（明细）'!C:C&gt;=$J$4,'领用录入（明细）'!C:C&lt;=$L$4),ROW(),"-")</f>
        <v>-</v>
      </c>
    </row>
    <row r="38964" customHeight="1" spans="2:2">
      <c r="B38964" s="62" t="str">
        <f>IF(AND('领用录入（明细）'!D:D=$F$4,'领用录入（明细）'!C:C&gt;=$J$4,'领用录入（明细）'!C:C&lt;=$L$4),ROW(),"-")</f>
        <v>-</v>
      </c>
    </row>
    <row r="38965" customHeight="1" spans="2:2">
      <c r="B38965" s="62" t="str">
        <f>IF(AND('领用录入（明细）'!D:D=$F$4,'领用录入（明细）'!C:C&gt;=$J$4,'领用录入（明细）'!C:C&lt;=$L$4),ROW(),"-")</f>
        <v>-</v>
      </c>
    </row>
    <row r="38966" customHeight="1" spans="2:2">
      <c r="B38966" s="62" t="str">
        <f>IF(AND('领用录入（明细）'!D:D=$F$4,'领用录入（明细）'!C:C&gt;=$J$4,'领用录入（明细）'!C:C&lt;=$L$4),ROW(),"-")</f>
        <v>-</v>
      </c>
    </row>
    <row r="38967" customHeight="1" spans="2:2">
      <c r="B38967" s="62" t="str">
        <f>IF(AND('领用录入（明细）'!D:D=$F$4,'领用录入（明细）'!C:C&gt;=$J$4,'领用录入（明细）'!C:C&lt;=$L$4),ROW(),"-")</f>
        <v>-</v>
      </c>
    </row>
    <row r="38968" customHeight="1" spans="2:2">
      <c r="B38968" s="62" t="str">
        <f>IF(AND('领用录入（明细）'!D:D=$F$4,'领用录入（明细）'!C:C&gt;=$J$4,'领用录入（明细）'!C:C&lt;=$L$4),ROW(),"-")</f>
        <v>-</v>
      </c>
    </row>
    <row r="38969" customHeight="1" spans="2:2">
      <c r="B38969" s="62" t="str">
        <f>IF(AND('领用录入（明细）'!D:D=$F$4,'领用录入（明细）'!C:C&gt;=$J$4,'领用录入（明细）'!C:C&lt;=$L$4),ROW(),"-")</f>
        <v>-</v>
      </c>
    </row>
    <row r="38970" customHeight="1" spans="2:2">
      <c r="B38970" s="62" t="str">
        <f>IF(AND('领用录入（明细）'!D:D=$F$4,'领用录入（明细）'!C:C&gt;=$J$4,'领用录入（明细）'!C:C&lt;=$L$4),ROW(),"-")</f>
        <v>-</v>
      </c>
    </row>
    <row r="38971" customHeight="1" spans="2:2">
      <c r="B38971" s="62" t="str">
        <f>IF(AND('领用录入（明细）'!D:D=$F$4,'领用录入（明细）'!C:C&gt;=$J$4,'领用录入（明细）'!C:C&lt;=$L$4),ROW(),"-")</f>
        <v>-</v>
      </c>
    </row>
    <row r="38972" customHeight="1" spans="2:2">
      <c r="B38972" s="62" t="str">
        <f>IF(AND('领用录入（明细）'!D:D=$F$4,'领用录入（明细）'!C:C&gt;=$J$4,'领用录入（明细）'!C:C&lt;=$L$4),ROW(),"-")</f>
        <v>-</v>
      </c>
    </row>
    <row r="38973" customHeight="1" spans="2:2">
      <c r="B38973" s="62" t="str">
        <f>IF(AND('领用录入（明细）'!D:D=$F$4,'领用录入（明细）'!C:C&gt;=$J$4,'领用录入（明细）'!C:C&lt;=$L$4),ROW(),"-")</f>
        <v>-</v>
      </c>
    </row>
    <row r="38974" customHeight="1" spans="2:2">
      <c r="B38974" s="62" t="str">
        <f>IF(AND('领用录入（明细）'!D:D=$F$4,'领用录入（明细）'!C:C&gt;=$J$4,'领用录入（明细）'!C:C&lt;=$L$4),ROW(),"-")</f>
        <v>-</v>
      </c>
    </row>
    <row r="38975" customHeight="1" spans="2:2">
      <c r="B38975" s="62" t="str">
        <f>IF(AND('领用录入（明细）'!D:D=$F$4,'领用录入（明细）'!C:C&gt;=$J$4,'领用录入（明细）'!C:C&lt;=$L$4),ROW(),"-")</f>
        <v>-</v>
      </c>
    </row>
    <row r="38976" customHeight="1" spans="2:2">
      <c r="B38976" s="62" t="str">
        <f>IF(AND('领用录入（明细）'!D:D=$F$4,'领用录入（明细）'!C:C&gt;=$J$4,'领用录入（明细）'!C:C&lt;=$L$4),ROW(),"-")</f>
        <v>-</v>
      </c>
    </row>
    <row r="38977" customHeight="1" spans="2:2">
      <c r="B38977" s="62" t="str">
        <f>IF(AND('领用录入（明细）'!D:D=$F$4,'领用录入（明细）'!C:C&gt;=$J$4,'领用录入（明细）'!C:C&lt;=$L$4),ROW(),"-")</f>
        <v>-</v>
      </c>
    </row>
    <row r="38978" customHeight="1" spans="2:2">
      <c r="B38978" s="62" t="str">
        <f>IF(AND('领用录入（明细）'!D:D=$F$4,'领用录入（明细）'!C:C&gt;=$J$4,'领用录入（明细）'!C:C&lt;=$L$4),ROW(),"-")</f>
        <v>-</v>
      </c>
    </row>
    <row r="38979" customHeight="1" spans="2:2">
      <c r="B38979" s="62" t="str">
        <f>IF(AND('领用录入（明细）'!D:D=$F$4,'领用录入（明细）'!C:C&gt;=$J$4,'领用录入（明细）'!C:C&lt;=$L$4),ROW(),"-")</f>
        <v>-</v>
      </c>
    </row>
    <row r="38980" customHeight="1" spans="2:2">
      <c r="B38980" s="62" t="str">
        <f>IF(AND('领用录入（明细）'!D:D=$F$4,'领用录入（明细）'!C:C&gt;=$J$4,'领用录入（明细）'!C:C&lt;=$L$4),ROW(),"-")</f>
        <v>-</v>
      </c>
    </row>
    <row r="38981" customHeight="1" spans="2:2">
      <c r="B38981" s="62" t="str">
        <f>IF(AND('领用录入（明细）'!D:D=$F$4,'领用录入（明细）'!C:C&gt;=$J$4,'领用录入（明细）'!C:C&lt;=$L$4),ROW(),"-")</f>
        <v>-</v>
      </c>
    </row>
    <row r="38982" customHeight="1" spans="2:2">
      <c r="B38982" s="62" t="str">
        <f>IF(AND('领用录入（明细）'!D:D=$F$4,'领用录入（明细）'!C:C&gt;=$J$4,'领用录入（明细）'!C:C&lt;=$L$4),ROW(),"-")</f>
        <v>-</v>
      </c>
    </row>
    <row r="38983" customHeight="1" spans="2:2">
      <c r="B38983" s="62" t="str">
        <f>IF(AND('领用录入（明细）'!D:D=$F$4,'领用录入（明细）'!C:C&gt;=$J$4,'领用录入（明细）'!C:C&lt;=$L$4),ROW(),"-")</f>
        <v>-</v>
      </c>
    </row>
    <row r="38984" customHeight="1" spans="2:2">
      <c r="B38984" s="62" t="str">
        <f>IF(AND('领用录入（明细）'!D:D=$F$4,'领用录入（明细）'!C:C&gt;=$J$4,'领用录入（明细）'!C:C&lt;=$L$4),ROW(),"-")</f>
        <v>-</v>
      </c>
    </row>
    <row r="38985" customHeight="1" spans="2:2">
      <c r="B38985" s="62" t="str">
        <f>IF(AND('领用录入（明细）'!D:D=$F$4,'领用录入（明细）'!C:C&gt;=$J$4,'领用录入（明细）'!C:C&lt;=$L$4),ROW(),"-")</f>
        <v>-</v>
      </c>
    </row>
    <row r="38986" customHeight="1" spans="2:2">
      <c r="B38986" s="62" t="str">
        <f>IF(AND('领用录入（明细）'!D:D=$F$4,'领用录入（明细）'!C:C&gt;=$J$4,'领用录入（明细）'!C:C&lt;=$L$4),ROW(),"-")</f>
        <v>-</v>
      </c>
    </row>
    <row r="38987" customHeight="1" spans="2:2">
      <c r="B38987" s="62" t="str">
        <f>IF(AND('领用录入（明细）'!D:D=$F$4,'领用录入（明细）'!C:C&gt;=$J$4,'领用录入（明细）'!C:C&lt;=$L$4),ROW(),"-")</f>
        <v>-</v>
      </c>
    </row>
    <row r="38988" customHeight="1" spans="2:2">
      <c r="B38988" s="62" t="str">
        <f>IF(AND('领用录入（明细）'!D:D=$F$4,'领用录入（明细）'!C:C&gt;=$J$4,'领用录入（明细）'!C:C&lt;=$L$4),ROW(),"-")</f>
        <v>-</v>
      </c>
    </row>
    <row r="38989" customHeight="1" spans="2:2">
      <c r="B38989" s="62" t="str">
        <f>IF(AND('领用录入（明细）'!D:D=$F$4,'领用录入（明细）'!C:C&gt;=$J$4,'领用录入（明细）'!C:C&lt;=$L$4),ROW(),"-")</f>
        <v>-</v>
      </c>
    </row>
    <row r="38990" customHeight="1" spans="2:2">
      <c r="B38990" s="62" t="str">
        <f>IF(AND('领用录入（明细）'!D:D=$F$4,'领用录入（明细）'!C:C&gt;=$J$4,'领用录入（明细）'!C:C&lt;=$L$4),ROW(),"-")</f>
        <v>-</v>
      </c>
    </row>
    <row r="38991" customHeight="1" spans="2:2">
      <c r="B38991" s="62" t="str">
        <f>IF(AND('领用录入（明细）'!D:D=$F$4,'领用录入（明细）'!C:C&gt;=$J$4,'领用录入（明细）'!C:C&lt;=$L$4),ROW(),"-")</f>
        <v>-</v>
      </c>
    </row>
    <row r="38992" customHeight="1" spans="2:2">
      <c r="B38992" s="62" t="str">
        <f>IF(AND('领用录入（明细）'!D:D=$F$4,'领用录入（明细）'!C:C&gt;=$J$4,'领用录入（明细）'!C:C&lt;=$L$4),ROW(),"-")</f>
        <v>-</v>
      </c>
    </row>
    <row r="38993" customHeight="1" spans="2:2">
      <c r="B38993" s="62" t="str">
        <f>IF(AND('领用录入（明细）'!D:D=$F$4,'领用录入（明细）'!C:C&gt;=$J$4,'领用录入（明细）'!C:C&lt;=$L$4),ROW(),"-")</f>
        <v>-</v>
      </c>
    </row>
    <row r="38994" customHeight="1" spans="2:2">
      <c r="B38994" s="62" t="str">
        <f>IF(AND('领用录入（明细）'!D:D=$F$4,'领用录入（明细）'!C:C&gt;=$J$4,'领用录入（明细）'!C:C&lt;=$L$4),ROW(),"-")</f>
        <v>-</v>
      </c>
    </row>
    <row r="38995" customHeight="1" spans="2:2">
      <c r="B38995" s="62" t="str">
        <f>IF(AND('领用录入（明细）'!D:D=$F$4,'领用录入（明细）'!C:C&gt;=$J$4,'领用录入（明细）'!C:C&lt;=$L$4),ROW(),"-")</f>
        <v>-</v>
      </c>
    </row>
    <row r="38996" customHeight="1" spans="2:2">
      <c r="B38996" s="62" t="str">
        <f>IF(AND('领用录入（明细）'!D:D=$F$4,'领用录入（明细）'!C:C&gt;=$J$4,'领用录入（明细）'!C:C&lt;=$L$4),ROW(),"-")</f>
        <v>-</v>
      </c>
    </row>
    <row r="38997" customHeight="1" spans="2:2">
      <c r="B38997" s="62" t="str">
        <f>IF(AND('领用录入（明细）'!D:D=$F$4,'领用录入（明细）'!C:C&gt;=$J$4,'领用录入（明细）'!C:C&lt;=$L$4),ROW(),"-")</f>
        <v>-</v>
      </c>
    </row>
    <row r="38998" customHeight="1" spans="2:2">
      <c r="B38998" s="62" t="str">
        <f>IF(AND('领用录入（明细）'!D:D=$F$4,'领用录入（明细）'!C:C&gt;=$J$4,'领用录入（明细）'!C:C&lt;=$L$4),ROW(),"-")</f>
        <v>-</v>
      </c>
    </row>
    <row r="38999" customHeight="1" spans="2:2">
      <c r="B38999" s="62" t="str">
        <f>IF(AND('领用录入（明细）'!D:D=$F$4,'领用录入（明细）'!C:C&gt;=$J$4,'领用录入（明细）'!C:C&lt;=$L$4),ROW(),"-")</f>
        <v>-</v>
      </c>
    </row>
    <row r="39000" customHeight="1" spans="2:2">
      <c r="B39000" s="62" t="str">
        <f>IF(AND('领用录入（明细）'!D:D=$F$4,'领用录入（明细）'!C:C&gt;=$J$4,'领用录入（明细）'!C:C&lt;=$L$4),ROW(),"-")</f>
        <v>-</v>
      </c>
    </row>
    <row r="39001" customHeight="1" spans="2:2">
      <c r="B39001" s="62" t="str">
        <f>IF(AND('领用录入（明细）'!D:D=$F$4,'领用录入（明细）'!C:C&gt;=$J$4,'领用录入（明细）'!C:C&lt;=$L$4),ROW(),"-")</f>
        <v>-</v>
      </c>
    </row>
    <row r="39002" customHeight="1" spans="2:2">
      <c r="B39002" s="62" t="str">
        <f>IF(AND('领用录入（明细）'!D:D=$F$4,'领用录入（明细）'!C:C&gt;=$J$4,'领用录入（明细）'!C:C&lt;=$L$4),ROW(),"-")</f>
        <v>-</v>
      </c>
    </row>
    <row r="39003" customHeight="1" spans="2:2">
      <c r="B39003" s="62" t="str">
        <f>IF(AND('领用录入（明细）'!D:D=$F$4,'领用录入（明细）'!C:C&gt;=$J$4,'领用录入（明细）'!C:C&lt;=$L$4),ROW(),"-")</f>
        <v>-</v>
      </c>
    </row>
    <row r="39004" customHeight="1" spans="2:2">
      <c r="B39004" s="62" t="str">
        <f>IF(AND('领用录入（明细）'!D:D=$F$4,'领用录入（明细）'!C:C&gt;=$J$4,'领用录入（明细）'!C:C&lt;=$L$4),ROW(),"-")</f>
        <v>-</v>
      </c>
    </row>
    <row r="39005" customHeight="1" spans="2:2">
      <c r="B39005" s="62" t="str">
        <f>IF(AND('领用录入（明细）'!D:D=$F$4,'领用录入（明细）'!C:C&gt;=$J$4,'领用录入（明细）'!C:C&lt;=$L$4),ROW(),"-")</f>
        <v>-</v>
      </c>
    </row>
    <row r="39006" customHeight="1" spans="2:2">
      <c r="B39006" s="62" t="str">
        <f>IF(AND('领用录入（明细）'!D:D=$F$4,'领用录入（明细）'!C:C&gt;=$J$4,'领用录入（明细）'!C:C&lt;=$L$4),ROW(),"-")</f>
        <v>-</v>
      </c>
    </row>
    <row r="39007" customHeight="1" spans="2:2">
      <c r="B39007" s="62" t="str">
        <f>IF(AND('领用录入（明细）'!D:D=$F$4,'领用录入（明细）'!C:C&gt;=$J$4,'领用录入（明细）'!C:C&lt;=$L$4),ROW(),"-")</f>
        <v>-</v>
      </c>
    </row>
    <row r="39008" customHeight="1" spans="2:2">
      <c r="B39008" s="62" t="str">
        <f>IF(AND('领用录入（明细）'!D:D=$F$4,'领用录入（明细）'!C:C&gt;=$J$4,'领用录入（明细）'!C:C&lt;=$L$4),ROW(),"-")</f>
        <v>-</v>
      </c>
    </row>
    <row r="39009" customHeight="1" spans="2:2">
      <c r="B39009" s="62" t="str">
        <f>IF(AND('领用录入（明细）'!D:D=$F$4,'领用录入（明细）'!C:C&gt;=$J$4,'领用录入（明细）'!C:C&lt;=$L$4),ROW(),"-")</f>
        <v>-</v>
      </c>
    </row>
    <row r="39010" customHeight="1" spans="2:2">
      <c r="B39010" s="62" t="str">
        <f>IF(AND('领用录入（明细）'!D:D=$F$4,'领用录入（明细）'!C:C&gt;=$J$4,'领用录入（明细）'!C:C&lt;=$L$4),ROW(),"-")</f>
        <v>-</v>
      </c>
    </row>
    <row r="39011" customHeight="1" spans="2:2">
      <c r="B39011" s="62" t="str">
        <f>IF(AND('领用录入（明细）'!D:D=$F$4,'领用录入（明细）'!C:C&gt;=$J$4,'领用录入（明细）'!C:C&lt;=$L$4),ROW(),"-")</f>
        <v>-</v>
      </c>
    </row>
    <row r="39012" customHeight="1" spans="2:2">
      <c r="B39012" s="62" t="str">
        <f>IF(AND('领用录入（明细）'!D:D=$F$4,'领用录入（明细）'!C:C&gt;=$J$4,'领用录入（明细）'!C:C&lt;=$L$4),ROW(),"-")</f>
        <v>-</v>
      </c>
    </row>
    <row r="39013" customHeight="1" spans="2:2">
      <c r="B39013" s="62" t="str">
        <f>IF(AND('领用录入（明细）'!D:D=$F$4,'领用录入（明细）'!C:C&gt;=$J$4,'领用录入（明细）'!C:C&lt;=$L$4),ROW(),"-")</f>
        <v>-</v>
      </c>
    </row>
    <row r="39014" customHeight="1" spans="2:2">
      <c r="B39014" s="62" t="str">
        <f>IF(AND('领用录入（明细）'!D:D=$F$4,'领用录入（明细）'!C:C&gt;=$J$4,'领用录入（明细）'!C:C&lt;=$L$4),ROW(),"-")</f>
        <v>-</v>
      </c>
    </row>
    <row r="39015" customHeight="1" spans="2:2">
      <c r="B39015" s="62" t="str">
        <f>IF(AND('领用录入（明细）'!D:D=$F$4,'领用录入（明细）'!C:C&gt;=$J$4,'领用录入（明细）'!C:C&lt;=$L$4),ROW(),"-")</f>
        <v>-</v>
      </c>
    </row>
    <row r="39016" customHeight="1" spans="2:2">
      <c r="B39016" s="62" t="str">
        <f>IF(AND('领用录入（明细）'!D:D=$F$4,'领用录入（明细）'!C:C&gt;=$J$4,'领用录入（明细）'!C:C&lt;=$L$4),ROW(),"-")</f>
        <v>-</v>
      </c>
    </row>
    <row r="39017" customHeight="1" spans="2:2">
      <c r="B39017" s="62" t="str">
        <f>IF(AND('领用录入（明细）'!D:D=$F$4,'领用录入（明细）'!C:C&gt;=$J$4,'领用录入（明细）'!C:C&lt;=$L$4),ROW(),"-")</f>
        <v>-</v>
      </c>
    </row>
    <row r="39018" customHeight="1" spans="2:2">
      <c r="B39018" s="62" t="str">
        <f>IF(AND('领用录入（明细）'!D:D=$F$4,'领用录入（明细）'!C:C&gt;=$J$4,'领用录入（明细）'!C:C&lt;=$L$4),ROW(),"-")</f>
        <v>-</v>
      </c>
    </row>
    <row r="39019" customHeight="1" spans="2:2">
      <c r="B39019" s="62" t="str">
        <f>IF(AND('领用录入（明细）'!D:D=$F$4,'领用录入（明细）'!C:C&gt;=$J$4,'领用录入（明细）'!C:C&lt;=$L$4),ROW(),"-")</f>
        <v>-</v>
      </c>
    </row>
    <row r="39020" customHeight="1" spans="2:2">
      <c r="B39020" s="62" t="str">
        <f>IF(AND('领用录入（明细）'!D:D=$F$4,'领用录入（明细）'!C:C&gt;=$J$4,'领用录入（明细）'!C:C&lt;=$L$4),ROW(),"-")</f>
        <v>-</v>
      </c>
    </row>
    <row r="39021" customHeight="1" spans="2:2">
      <c r="B39021" s="62" t="str">
        <f>IF(AND('领用录入（明细）'!D:D=$F$4,'领用录入（明细）'!C:C&gt;=$J$4,'领用录入（明细）'!C:C&lt;=$L$4),ROW(),"-")</f>
        <v>-</v>
      </c>
    </row>
    <row r="39022" customHeight="1" spans="2:2">
      <c r="B39022" s="62" t="str">
        <f>IF(AND('领用录入（明细）'!D:D=$F$4,'领用录入（明细）'!C:C&gt;=$J$4,'领用录入（明细）'!C:C&lt;=$L$4),ROW(),"-")</f>
        <v>-</v>
      </c>
    </row>
    <row r="39023" customHeight="1" spans="2:2">
      <c r="B39023" s="62" t="str">
        <f>IF(AND('领用录入（明细）'!D:D=$F$4,'领用录入（明细）'!C:C&gt;=$J$4,'领用录入（明细）'!C:C&lt;=$L$4),ROW(),"-")</f>
        <v>-</v>
      </c>
    </row>
    <row r="39024" customHeight="1" spans="2:2">
      <c r="B39024" s="62" t="str">
        <f>IF(AND('领用录入（明细）'!D:D=$F$4,'领用录入（明细）'!C:C&gt;=$J$4,'领用录入（明细）'!C:C&lt;=$L$4),ROW(),"-")</f>
        <v>-</v>
      </c>
    </row>
    <row r="39025" customHeight="1" spans="2:2">
      <c r="B39025" s="62" t="str">
        <f>IF(AND('领用录入（明细）'!D:D=$F$4,'领用录入（明细）'!C:C&gt;=$J$4,'领用录入（明细）'!C:C&lt;=$L$4),ROW(),"-")</f>
        <v>-</v>
      </c>
    </row>
    <row r="39026" customHeight="1" spans="2:2">
      <c r="B39026" s="62" t="str">
        <f>IF(AND('领用录入（明细）'!D:D=$F$4,'领用录入（明细）'!C:C&gt;=$J$4,'领用录入（明细）'!C:C&lt;=$L$4),ROW(),"-")</f>
        <v>-</v>
      </c>
    </row>
    <row r="39027" customHeight="1" spans="2:2">
      <c r="B39027" s="62" t="str">
        <f>IF(AND('领用录入（明细）'!D:D=$F$4,'领用录入（明细）'!C:C&gt;=$J$4,'领用录入（明细）'!C:C&lt;=$L$4),ROW(),"-")</f>
        <v>-</v>
      </c>
    </row>
    <row r="39028" customHeight="1" spans="2:2">
      <c r="B39028" s="62" t="str">
        <f>IF(AND('领用录入（明细）'!D:D=$F$4,'领用录入（明细）'!C:C&gt;=$J$4,'领用录入（明细）'!C:C&lt;=$L$4),ROW(),"-")</f>
        <v>-</v>
      </c>
    </row>
    <row r="39029" customHeight="1" spans="2:2">
      <c r="B39029" s="62" t="str">
        <f>IF(AND('领用录入（明细）'!D:D=$F$4,'领用录入（明细）'!C:C&gt;=$J$4,'领用录入（明细）'!C:C&lt;=$L$4),ROW(),"-")</f>
        <v>-</v>
      </c>
    </row>
    <row r="39030" customHeight="1" spans="2:2">
      <c r="B39030" s="62" t="str">
        <f>IF(AND('领用录入（明细）'!D:D=$F$4,'领用录入（明细）'!C:C&gt;=$J$4,'领用录入（明细）'!C:C&lt;=$L$4),ROW(),"-")</f>
        <v>-</v>
      </c>
    </row>
    <row r="39031" customHeight="1" spans="2:2">
      <c r="B39031" s="62" t="str">
        <f>IF(AND('领用录入（明细）'!D:D=$F$4,'领用录入（明细）'!C:C&gt;=$J$4,'领用录入（明细）'!C:C&lt;=$L$4),ROW(),"-")</f>
        <v>-</v>
      </c>
    </row>
    <row r="39032" customHeight="1" spans="2:2">
      <c r="B39032" s="62" t="str">
        <f>IF(AND('领用录入（明细）'!D:D=$F$4,'领用录入（明细）'!C:C&gt;=$J$4,'领用录入（明细）'!C:C&lt;=$L$4),ROW(),"-")</f>
        <v>-</v>
      </c>
    </row>
    <row r="39033" customHeight="1" spans="2:2">
      <c r="B39033" s="62" t="str">
        <f>IF(AND('领用录入（明细）'!D:D=$F$4,'领用录入（明细）'!C:C&gt;=$J$4,'领用录入（明细）'!C:C&lt;=$L$4),ROW(),"-")</f>
        <v>-</v>
      </c>
    </row>
    <row r="39034" customHeight="1" spans="2:2">
      <c r="B39034" s="62" t="str">
        <f>IF(AND('领用录入（明细）'!D:D=$F$4,'领用录入（明细）'!C:C&gt;=$J$4,'领用录入（明细）'!C:C&lt;=$L$4),ROW(),"-")</f>
        <v>-</v>
      </c>
    </row>
    <row r="39035" customHeight="1" spans="2:2">
      <c r="B39035" s="62" t="str">
        <f>IF(AND('领用录入（明细）'!D:D=$F$4,'领用录入（明细）'!C:C&gt;=$J$4,'领用录入（明细）'!C:C&lt;=$L$4),ROW(),"-")</f>
        <v>-</v>
      </c>
    </row>
    <row r="39036" customHeight="1" spans="2:2">
      <c r="B39036" s="62" t="str">
        <f>IF(AND('领用录入（明细）'!D:D=$F$4,'领用录入（明细）'!C:C&gt;=$J$4,'领用录入（明细）'!C:C&lt;=$L$4),ROW(),"-")</f>
        <v>-</v>
      </c>
    </row>
    <row r="39037" customHeight="1" spans="2:2">
      <c r="B39037" s="62" t="str">
        <f>IF(AND('领用录入（明细）'!D:D=$F$4,'领用录入（明细）'!C:C&gt;=$J$4,'领用录入（明细）'!C:C&lt;=$L$4),ROW(),"-")</f>
        <v>-</v>
      </c>
    </row>
    <row r="39038" customHeight="1" spans="2:2">
      <c r="B39038" s="62" t="str">
        <f>IF(AND('领用录入（明细）'!D:D=$F$4,'领用录入（明细）'!C:C&gt;=$J$4,'领用录入（明细）'!C:C&lt;=$L$4),ROW(),"-")</f>
        <v>-</v>
      </c>
    </row>
    <row r="39039" customHeight="1" spans="2:2">
      <c r="B39039" s="62" t="str">
        <f>IF(AND('领用录入（明细）'!D:D=$F$4,'领用录入（明细）'!C:C&gt;=$J$4,'领用录入（明细）'!C:C&lt;=$L$4),ROW(),"-")</f>
        <v>-</v>
      </c>
    </row>
    <row r="39040" customHeight="1" spans="2:2">
      <c r="B39040" s="62" t="str">
        <f>IF(AND('领用录入（明细）'!D:D=$F$4,'领用录入（明细）'!C:C&gt;=$J$4,'领用录入（明细）'!C:C&lt;=$L$4),ROW(),"-")</f>
        <v>-</v>
      </c>
    </row>
    <row r="39041" customHeight="1" spans="2:2">
      <c r="B39041" s="62" t="str">
        <f>IF(AND('领用录入（明细）'!D:D=$F$4,'领用录入（明细）'!C:C&gt;=$J$4,'领用录入（明细）'!C:C&lt;=$L$4),ROW(),"-")</f>
        <v>-</v>
      </c>
    </row>
    <row r="39042" customHeight="1" spans="2:2">
      <c r="B39042" s="62" t="str">
        <f>IF(AND('领用录入（明细）'!D:D=$F$4,'领用录入（明细）'!C:C&gt;=$J$4,'领用录入（明细）'!C:C&lt;=$L$4),ROW(),"-")</f>
        <v>-</v>
      </c>
    </row>
    <row r="39043" customHeight="1" spans="2:2">
      <c r="B39043" s="62" t="str">
        <f>IF(AND('领用录入（明细）'!D:D=$F$4,'领用录入（明细）'!C:C&gt;=$J$4,'领用录入（明细）'!C:C&lt;=$L$4),ROW(),"-")</f>
        <v>-</v>
      </c>
    </row>
    <row r="39044" customHeight="1" spans="2:2">
      <c r="B39044" s="62" t="str">
        <f>IF(AND('领用录入（明细）'!D:D=$F$4,'领用录入（明细）'!C:C&gt;=$J$4,'领用录入（明细）'!C:C&lt;=$L$4),ROW(),"-")</f>
        <v>-</v>
      </c>
    </row>
    <row r="39045" customHeight="1" spans="2:2">
      <c r="B39045" s="62" t="str">
        <f>IF(AND('领用录入（明细）'!D:D=$F$4,'领用录入（明细）'!C:C&gt;=$J$4,'领用录入（明细）'!C:C&lt;=$L$4),ROW(),"-")</f>
        <v>-</v>
      </c>
    </row>
    <row r="39046" customHeight="1" spans="2:2">
      <c r="B39046" s="62" t="str">
        <f>IF(AND('领用录入（明细）'!D:D=$F$4,'领用录入（明细）'!C:C&gt;=$J$4,'领用录入（明细）'!C:C&lt;=$L$4),ROW(),"-")</f>
        <v>-</v>
      </c>
    </row>
    <row r="39047" customHeight="1" spans="2:2">
      <c r="B39047" s="62" t="str">
        <f>IF(AND('领用录入（明细）'!D:D=$F$4,'领用录入（明细）'!C:C&gt;=$J$4,'领用录入（明细）'!C:C&lt;=$L$4),ROW(),"-")</f>
        <v>-</v>
      </c>
    </row>
    <row r="39048" customHeight="1" spans="2:2">
      <c r="B39048" s="62" t="str">
        <f>IF(AND('领用录入（明细）'!D:D=$F$4,'领用录入（明细）'!C:C&gt;=$J$4,'领用录入（明细）'!C:C&lt;=$L$4),ROW(),"-")</f>
        <v>-</v>
      </c>
    </row>
    <row r="39049" customHeight="1" spans="2:2">
      <c r="B39049" s="62" t="str">
        <f>IF(AND('领用录入（明细）'!D:D=$F$4,'领用录入（明细）'!C:C&gt;=$J$4,'领用录入（明细）'!C:C&lt;=$L$4),ROW(),"-")</f>
        <v>-</v>
      </c>
    </row>
    <row r="39050" customHeight="1" spans="2:2">
      <c r="B39050" s="62" t="str">
        <f>IF(AND('领用录入（明细）'!D:D=$F$4,'领用录入（明细）'!C:C&gt;=$J$4,'领用录入（明细）'!C:C&lt;=$L$4),ROW(),"-")</f>
        <v>-</v>
      </c>
    </row>
    <row r="39051" customHeight="1" spans="2:2">
      <c r="B39051" s="62" t="str">
        <f>IF(AND('领用录入（明细）'!D:D=$F$4,'领用录入（明细）'!C:C&gt;=$J$4,'领用录入（明细）'!C:C&lt;=$L$4),ROW(),"-")</f>
        <v>-</v>
      </c>
    </row>
    <row r="39052" customHeight="1" spans="2:2">
      <c r="B39052" s="62" t="str">
        <f>IF(AND('领用录入（明细）'!D:D=$F$4,'领用录入（明细）'!C:C&gt;=$J$4,'领用录入（明细）'!C:C&lt;=$L$4),ROW(),"-")</f>
        <v>-</v>
      </c>
    </row>
    <row r="39053" customHeight="1" spans="2:2">
      <c r="B39053" s="62" t="str">
        <f>IF(AND('领用录入（明细）'!D:D=$F$4,'领用录入（明细）'!C:C&gt;=$J$4,'领用录入（明细）'!C:C&lt;=$L$4),ROW(),"-")</f>
        <v>-</v>
      </c>
    </row>
    <row r="39054" customHeight="1" spans="2:2">
      <c r="B39054" s="62" t="str">
        <f>IF(AND('领用录入（明细）'!D:D=$F$4,'领用录入（明细）'!C:C&gt;=$J$4,'领用录入（明细）'!C:C&lt;=$L$4),ROW(),"-")</f>
        <v>-</v>
      </c>
    </row>
    <row r="39055" customHeight="1" spans="2:2">
      <c r="B39055" s="62" t="str">
        <f>IF(AND('领用录入（明细）'!D:D=$F$4,'领用录入（明细）'!C:C&gt;=$J$4,'领用录入（明细）'!C:C&lt;=$L$4),ROW(),"-")</f>
        <v>-</v>
      </c>
    </row>
    <row r="39056" customHeight="1" spans="2:2">
      <c r="B39056" s="62" t="str">
        <f>IF(AND('领用录入（明细）'!D:D=$F$4,'领用录入（明细）'!C:C&gt;=$J$4,'领用录入（明细）'!C:C&lt;=$L$4),ROW(),"-")</f>
        <v>-</v>
      </c>
    </row>
    <row r="39057" customHeight="1" spans="2:2">
      <c r="B39057" s="62" t="str">
        <f>IF(AND('领用录入（明细）'!D:D=$F$4,'领用录入（明细）'!C:C&gt;=$J$4,'领用录入（明细）'!C:C&lt;=$L$4),ROW(),"-")</f>
        <v>-</v>
      </c>
    </row>
    <row r="39058" customHeight="1" spans="2:2">
      <c r="B39058" s="62" t="str">
        <f>IF(AND('领用录入（明细）'!D:D=$F$4,'领用录入（明细）'!C:C&gt;=$J$4,'领用录入（明细）'!C:C&lt;=$L$4),ROW(),"-")</f>
        <v>-</v>
      </c>
    </row>
    <row r="39059" customHeight="1" spans="2:2">
      <c r="B39059" s="62" t="str">
        <f>IF(AND('领用录入（明细）'!D:D=$F$4,'领用录入（明细）'!C:C&gt;=$J$4,'领用录入（明细）'!C:C&lt;=$L$4),ROW(),"-")</f>
        <v>-</v>
      </c>
    </row>
    <row r="39060" customHeight="1" spans="2:2">
      <c r="B39060" s="62" t="str">
        <f>IF(AND('领用录入（明细）'!D:D=$F$4,'领用录入（明细）'!C:C&gt;=$J$4,'领用录入（明细）'!C:C&lt;=$L$4),ROW(),"-")</f>
        <v>-</v>
      </c>
    </row>
    <row r="39061" customHeight="1" spans="2:2">
      <c r="B39061" s="62" t="str">
        <f>IF(AND('领用录入（明细）'!D:D=$F$4,'领用录入（明细）'!C:C&gt;=$J$4,'领用录入（明细）'!C:C&lt;=$L$4),ROW(),"-")</f>
        <v>-</v>
      </c>
    </row>
    <row r="39062" customHeight="1" spans="2:2">
      <c r="B39062" s="62" t="str">
        <f>IF(AND('领用录入（明细）'!D:D=$F$4,'领用录入（明细）'!C:C&gt;=$J$4,'领用录入（明细）'!C:C&lt;=$L$4),ROW(),"-")</f>
        <v>-</v>
      </c>
    </row>
    <row r="39063" customHeight="1" spans="2:2">
      <c r="B39063" s="62" t="str">
        <f>IF(AND('领用录入（明细）'!D:D=$F$4,'领用录入（明细）'!C:C&gt;=$J$4,'领用录入（明细）'!C:C&lt;=$L$4),ROW(),"-")</f>
        <v>-</v>
      </c>
    </row>
    <row r="39064" customHeight="1" spans="2:2">
      <c r="B39064" s="62" t="str">
        <f>IF(AND('领用录入（明细）'!D:D=$F$4,'领用录入（明细）'!C:C&gt;=$J$4,'领用录入（明细）'!C:C&lt;=$L$4),ROW(),"-")</f>
        <v>-</v>
      </c>
    </row>
    <row r="39065" customHeight="1" spans="2:2">
      <c r="B39065" s="62" t="str">
        <f>IF(AND('领用录入（明细）'!D:D=$F$4,'领用录入（明细）'!C:C&gt;=$J$4,'领用录入（明细）'!C:C&lt;=$L$4),ROW(),"-")</f>
        <v>-</v>
      </c>
    </row>
    <row r="39066" customHeight="1" spans="2:2">
      <c r="B39066" s="62" t="str">
        <f>IF(AND('领用录入（明细）'!D:D=$F$4,'领用录入（明细）'!C:C&gt;=$J$4,'领用录入（明细）'!C:C&lt;=$L$4),ROW(),"-")</f>
        <v>-</v>
      </c>
    </row>
    <row r="39067" customHeight="1" spans="2:2">
      <c r="B39067" s="62" t="str">
        <f>IF(AND('领用录入（明细）'!D:D=$F$4,'领用录入（明细）'!C:C&gt;=$J$4,'领用录入（明细）'!C:C&lt;=$L$4),ROW(),"-")</f>
        <v>-</v>
      </c>
    </row>
    <row r="39068" customHeight="1" spans="2:2">
      <c r="B39068" s="62" t="str">
        <f>IF(AND('领用录入（明细）'!D:D=$F$4,'领用录入（明细）'!C:C&gt;=$J$4,'领用录入（明细）'!C:C&lt;=$L$4),ROW(),"-")</f>
        <v>-</v>
      </c>
    </row>
    <row r="39069" customHeight="1" spans="2:2">
      <c r="B39069" s="62" t="str">
        <f>IF(AND('领用录入（明细）'!D:D=$F$4,'领用录入（明细）'!C:C&gt;=$J$4,'领用录入（明细）'!C:C&lt;=$L$4),ROW(),"-")</f>
        <v>-</v>
      </c>
    </row>
    <row r="39070" customHeight="1" spans="2:2">
      <c r="B39070" s="62" t="str">
        <f>IF(AND('领用录入（明细）'!D:D=$F$4,'领用录入（明细）'!C:C&gt;=$J$4,'领用录入（明细）'!C:C&lt;=$L$4),ROW(),"-")</f>
        <v>-</v>
      </c>
    </row>
    <row r="39071" customHeight="1" spans="2:2">
      <c r="B39071" s="62" t="str">
        <f>IF(AND('领用录入（明细）'!D:D=$F$4,'领用录入（明细）'!C:C&gt;=$J$4,'领用录入（明细）'!C:C&lt;=$L$4),ROW(),"-")</f>
        <v>-</v>
      </c>
    </row>
    <row r="39072" customHeight="1" spans="2:2">
      <c r="B39072" s="62" t="str">
        <f>IF(AND('领用录入（明细）'!D:D=$F$4,'领用录入（明细）'!C:C&gt;=$J$4,'领用录入（明细）'!C:C&lt;=$L$4),ROW(),"-")</f>
        <v>-</v>
      </c>
    </row>
    <row r="39073" customHeight="1" spans="2:2">
      <c r="B39073" s="62" t="str">
        <f>IF(AND('领用录入（明细）'!D:D=$F$4,'领用录入（明细）'!C:C&gt;=$J$4,'领用录入（明细）'!C:C&lt;=$L$4),ROW(),"-")</f>
        <v>-</v>
      </c>
    </row>
    <row r="39074" customHeight="1" spans="2:2">
      <c r="B39074" s="62" t="str">
        <f>IF(AND('领用录入（明细）'!D:D=$F$4,'领用录入（明细）'!C:C&gt;=$J$4,'领用录入（明细）'!C:C&lt;=$L$4),ROW(),"-")</f>
        <v>-</v>
      </c>
    </row>
    <row r="39075" customHeight="1" spans="2:2">
      <c r="B39075" s="62" t="str">
        <f>IF(AND('领用录入（明细）'!D:D=$F$4,'领用录入（明细）'!C:C&gt;=$J$4,'领用录入（明细）'!C:C&lt;=$L$4),ROW(),"-")</f>
        <v>-</v>
      </c>
    </row>
    <row r="39076" customHeight="1" spans="2:2">
      <c r="B39076" s="62" t="str">
        <f>IF(AND('领用录入（明细）'!D:D=$F$4,'领用录入（明细）'!C:C&gt;=$J$4,'领用录入（明细）'!C:C&lt;=$L$4),ROW(),"-")</f>
        <v>-</v>
      </c>
    </row>
    <row r="39077" customHeight="1" spans="2:2">
      <c r="B39077" s="62" t="str">
        <f>IF(AND('领用录入（明细）'!D:D=$F$4,'领用录入（明细）'!C:C&gt;=$J$4,'领用录入（明细）'!C:C&lt;=$L$4),ROW(),"-")</f>
        <v>-</v>
      </c>
    </row>
    <row r="39078" customHeight="1" spans="2:2">
      <c r="B39078" s="62" t="str">
        <f>IF(AND('领用录入（明细）'!D:D=$F$4,'领用录入（明细）'!C:C&gt;=$J$4,'领用录入（明细）'!C:C&lt;=$L$4),ROW(),"-")</f>
        <v>-</v>
      </c>
    </row>
    <row r="39079" customHeight="1" spans="2:2">
      <c r="B39079" s="62" t="str">
        <f>IF(AND('领用录入（明细）'!D:D=$F$4,'领用录入（明细）'!C:C&gt;=$J$4,'领用录入（明细）'!C:C&lt;=$L$4),ROW(),"-")</f>
        <v>-</v>
      </c>
    </row>
    <row r="39080" customHeight="1" spans="2:2">
      <c r="B39080" s="62" t="str">
        <f>IF(AND('领用录入（明细）'!D:D=$F$4,'领用录入（明细）'!C:C&gt;=$J$4,'领用录入（明细）'!C:C&lt;=$L$4),ROW(),"-")</f>
        <v>-</v>
      </c>
    </row>
    <row r="39081" customHeight="1" spans="2:2">
      <c r="B39081" s="62" t="str">
        <f>IF(AND('领用录入（明细）'!D:D=$F$4,'领用录入（明细）'!C:C&gt;=$J$4,'领用录入（明细）'!C:C&lt;=$L$4),ROW(),"-")</f>
        <v>-</v>
      </c>
    </row>
    <row r="39082" customHeight="1" spans="2:2">
      <c r="B39082" s="62" t="str">
        <f>IF(AND('领用录入（明细）'!D:D=$F$4,'领用录入（明细）'!C:C&gt;=$J$4,'领用录入（明细）'!C:C&lt;=$L$4),ROW(),"-")</f>
        <v>-</v>
      </c>
    </row>
    <row r="39083" customHeight="1" spans="2:2">
      <c r="B39083" s="62" t="str">
        <f>IF(AND('领用录入（明细）'!D:D=$F$4,'领用录入（明细）'!C:C&gt;=$J$4,'领用录入（明细）'!C:C&lt;=$L$4),ROW(),"-")</f>
        <v>-</v>
      </c>
    </row>
    <row r="39084" customHeight="1" spans="2:2">
      <c r="B39084" s="62" t="str">
        <f>IF(AND('领用录入（明细）'!D:D=$F$4,'领用录入（明细）'!C:C&gt;=$J$4,'领用录入（明细）'!C:C&lt;=$L$4),ROW(),"-")</f>
        <v>-</v>
      </c>
    </row>
    <row r="39085" customHeight="1" spans="2:2">
      <c r="B39085" s="62" t="str">
        <f>IF(AND('领用录入（明细）'!D:D=$F$4,'领用录入（明细）'!C:C&gt;=$J$4,'领用录入（明细）'!C:C&lt;=$L$4),ROW(),"-")</f>
        <v>-</v>
      </c>
    </row>
    <row r="39086" customHeight="1" spans="2:2">
      <c r="B39086" s="62" t="str">
        <f>IF(AND('领用录入（明细）'!D:D=$F$4,'领用录入（明细）'!C:C&gt;=$J$4,'领用录入（明细）'!C:C&lt;=$L$4),ROW(),"-")</f>
        <v>-</v>
      </c>
    </row>
    <row r="39087" customHeight="1" spans="2:2">
      <c r="B39087" s="62" t="str">
        <f>IF(AND('领用录入（明细）'!D:D=$F$4,'领用录入（明细）'!C:C&gt;=$J$4,'领用录入（明细）'!C:C&lt;=$L$4),ROW(),"-")</f>
        <v>-</v>
      </c>
    </row>
    <row r="39088" customHeight="1" spans="2:2">
      <c r="B39088" s="62" t="str">
        <f>IF(AND('领用录入（明细）'!D:D=$F$4,'领用录入（明细）'!C:C&gt;=$J$4,'领用录入（明细）'!C:C&lt;=$L$4),ROW(),"-")</f>
        <v>-</v>
      </c>
    </row>
    <row r="39089" customHeight="1" spans="2:2">
      <c r="B39089" s="62" t="str">
        <f>IF(AND('领用录入（明细）'!D:D=$F$4,'领用录入（明细）'!C:C&gt;=$J$4,'领用录入（明细）'!C:C&lt;=$L$4),ROW(),"-")</f>
        <v>-</v>
      </c>
    </row>
    <row r="39090" customHeight="1" spans="2:2">
      <c r="B39090" s="62" t="str">
        <f>IF(AND('领用录入（明细）'!D:D=$F$4,'领用录入（明细）'!C:C&gt;=$J$4,'领用录入（明细）'!C:C&lt;=$L$4),ROW(),"-")</f>
        <v>-</v>
      </c>
    </row>
    <row r="39091" customHeight="1" spans="2:2">
      <c r="B39091" s="62" t="str">
        <f>IF(AND('领用录入（明细）'!D:D=$F$4,'领用录入（明细）'!C:C&gt;=$J$4,'领用录入（明细）'!C:C&lt;=$L$4),ROW(),"-")</f>
        <v>-</v>
      </c>
    </row>
    <row r="39092" customHeight="1" spans="2:2">
      <c r="B39092" s="62" t="str">
        <f>IF(AND('领用录入（明细）'!D:D=$F$4,'领用录入（明细）'!C:C&gt;=$J$4,'领用录入（明细）'!C:C&lt;=$L$4),ROW(),"-")</f>
        <v>-</v>
      </c>
    </row>
    <row r="39093" customHeight="1" spans="2:2">
      <c r="B39093" s="62" t="str">
        <f>IF(AND('领用录入（明细）'!D:D=$F$4,'领用录入（明细）'!C:C&gt;=$J$4,'领用录入（明细）'!C:C&lt;=$L$4),ROW(),"-")</f>
        <v>-</v>
      </c>
    </row>
    <row r="39094" customHeight="1" spans="2:2">
      <c r="B39094" s="62" t="str">
        <f>IF(AND('领用录入（明细）'!D:D=$F$4,'领用录入（明细）'!C:C&gt;=$J$4,'领用录入（明细）'!C:C&lt;=$L$4),ROW(),"-")</f>
        <v>-</v>
      </c>
    </row>
    <row r="39095" customHeight="1" spans="2:2">
      <c r="B39095" s="62" t="str">
        <f>IF(AND('领用录入（明细）'!D:D=$F$4,'领用录入（明细）'!C:C&gt;=$J$4,'领用录入（明细）'!C:C&lt;=$L$4),ROW(),"-")</f>
        <v>-</v>
      </c>
    </row>
    <row r="39096" customHeight="1" spans="2:2">
      <c r="B39096" s="62" t="str">
        <f>IF(AND('领用录入（明细）'!D:D=$F$4,'领用录入（明细）'!C:C&gt;=$J$4,'领用录入（明细）'!C:C&lt;=$L$4),ROW(),"-")</f>
        <v>-</v>
      </c>
    </row>
    <row r="39097" customHeight="1" spans="2:2">
      <c r="B39097" s="62" t="str">
        <f>IF(AND('领用录入（明细）'!D:D=$F$4,'领用录入（明细）'!C:C&gt;=$J$4,'领用录入（明细）'!C:C&lt;=$L$4),ROW(),"-")</f>
        <v>-</v>
      </c>
    </row>
    <row r="39098" customHeight="1" spans="2:2">
      <c r="B39098" s="62" t="str">
        <f>IF(AND('领用录入（明细）'!D:D=$F$4,'领用录入（明细）'!C:C&gt;=$J$4,'领用录入（明细）'!C:C&lt;=$L$4),ROW(),"-")</f>
        <v>-</v>
      </c>
    </row>
    <row r="39099" customHeight="1" spans="2:2">
      <c r="B39099" s="62" t="str">
        <f>IF(AND('领用录入（明细）'!D:D=$F$4,'领用录入（明细）'!C:C&gt;=$J$4,'领用录入（明细）'!C:C&lt;=$L$4),ROW(),"-")</f>
        <v>-</v>
      </c>
    </row>
    <row r="39100" customHeight="1" spans="2:2">
      <c r="B39100" s="62" t="str">
        <f>IF(AND('领用录入（明细）'!D:D=$F$4,'领用录入（明细）'!C:C&gt;=$J$4,'领用录入（明细）'!C:C&lt;=$L$4),ROW(),"-")</f>
        <v>-</v>
      </c>
    </row>
    <row r="39101" customHeight="1" spans="2:2">
      <c r="B39101" s="62" t="str">
        <f>IF(AND('领用录入（明细）'!D:D=$F$4,'领用录入（明细）'!C:C&gt;=$J$4,'领用录入（明细）'!C:C&lt;=$L$4),ROW(),"-")</f>
        <v>-</v>
      </c>
    </row>
    <row r="39102" customHeight="1" spans="2:2">
      <c r="B39102" s="62" t="str">
        <f>IF(AND('领用录入（明细）'!D:D=$F$4,'领用录入（明细）'!C:C&gt;=$J$4,'领用录入（明细）'!C:C&lt;=$L$4),ROW(),"-")</f>
        <v>-</v>
      </c>
    </row>
    <row r="39103" customHeight="1" spans="2:2">
      <c r="B39103" s="62" t="str">
        <f>IF(AND('领用录入（明细）'!D:D=$F$4,'领用录入（明细）'!C:C&gt;=$J$4,'领用录入（明细）'!C:C&lt;=$L$4),ROW(),"-")</f>
        <v>-</v>
      </c>
    </row>
    <row r="39104" customHeight="1" spans="2:2">
      <c r="B39104" s="62" t="str">
        <f>IF(AND('领用录入（明细）'!D:D=$F$4,'领用录入（明细）'!C:C&gt;=$J$4,'领用录入（明细）'!C:C&lt;=$L$4),ROW(),"-")</f>
        <v>-</v>
      </c>
    </row>
    <row r="39105" customHeight="1" spans="2:2">
      <c r="B39105" s="62" t="str">
        <f>IF(AND('领用录入（明细）'!D:D=$F$4,'领用录入（明细）'!C:C&gt;=$J$4,'领用录入（明细）'!C:C&lt;=$L$4),ROW(),"-")</f>
        <v>-</v>
      </c>
    </row>
    <row r="39106" customHeight="1" spans="2:2">
      <c r="B39106" s="62" t="str">
        <f>IF(AND('领用录入（明细）'!D:D=$F$4,'领用录入（明细）'!C:C&gt;=$J$4,'领用录入（明细）'!C:C&lt;=$L$4),ROW(),"-")</f>
        <v>-</v>
      </c>
    </row>
    <row r="39107" customHeight="1" spans="2:2">
      <c r="B39107" s="62" t="str">
        <f>IF(AND('领用录入（明细）'!D:D=$F$4,'领用录入（明细）'!C:C&gt;=$J$4,'领用录入（明细）'!C:C&lt;=$L$4),ROW(),"-")</f>
        <v>-</v>
      </c>
    </row>
    <row r="39108" customHeight="1" spans="2:2">
      <c r="B39108" s="62" t="str">
        <f>IF(AND('领用录入（明细）'!D:D=$F$4,'领用录入（明细）'!C:C&gt;=$J$4,'领用录入（明细）'!C:C&lt;=$L$4),ROW(),"-")</f>
        <v>-</v>
      </c>
    </row>
    <row r="39109" customHeight="1" spans="2:2">
      <c r="B39109" s="62" t="str">
        <f>IF(AND('领用录入（明细）'!D:D=$F$4,'领用录入（明细）'!C:C&gt;=$J$4,'领用录入（明细）'!C:C&lt;=$L$4),ROW(),"-")</f>
        <v>-</v>
      </c>
    </row>
    <row r="39110" customHeight="1" spans="2:2">
      <c r="B39110" s="62" t="str">
        <f>IF(AND('领用录入（明细）'!D:D=$F$4,'领用录入（明细）'!C:C&gt;=$J$4,'领用录入（明细）'!C:C&lt;=$L$4),ROW(),"-")</f>
        <v>-</v>
      </c>
    </row>
    <row r="39111" customHeight="1" spans="2:2">
      <c r="B39111" s="62" t="str">
        <f>IF(AND('领用录入（明细）'!D:D=$F$4,'领用录入（明细）'!C:C&gt;=$J$4,'领用录入（明细）'!C:C&lt;=$L$4),ROW(),"-")</f>
        <v>-</v>
      </c>
    </row>
    <row r="39112" customHeight="1" spans="2:2">
      <c r="B39112" s="62" t="str">
        <f>IF(AND('领用录入（明细）'!D:D=$F$4,'领用录入（明细）'!C:C&gt;=$J$4,'领用录入（明细）'!C:C&lt;=$L$4),ROW(),"-")</f>
        <v>-</v>
      </c>
    </row>
    <row r="39113" customHeight="1" spans="2:2">
      <c r="B39113" s="62" t="str">
        <f>IF(AND('领用录入（明细）'!D:D=$F$4,'领用录入（明细）'!C:C&gt;=$J$4,'领用录入（明细）'!C:C&lt;=$L$4),ROW(),"-")</f>
        <v>-</v>
      </c>
    </row>
    <row r="39114" customHeight="1" spans="2:2">
      <c r="B39114" s="62" t="str">
        <f>IF(AND('领用录入（明细）'!D:D=$F$4,'领用录入（明细）'!C:C&gt;=$J$4,'领用录入（明细）'!C:C&lt;=$L$4),ROW(),"-")</f>
        <v>-</v>
      </c>
    </row>
    <row r="39115" customHeight="1" spans="2:2">
      <c r="B39115" s="62" t="str">
        <f>IF(AND('领用录入（明细）'!D:D=$F$4,'领用录入（明细）'!C:C&gt;=$J$4,'领用录入（明细）'!C:C&lt;=$L$4),ROW(),"-")</f>
        <v>-</v>
      </c>
    </row>
    <row r="39116" customHeight="1" spans="2:2">
      <c r="B39116" s="62" t="str">
        <f>IF(AND('领用录入（明细）'!D:D=$F$4,'领用录入（明细）'!C:C&gt;=$J$4,'领用录入（明细）'!C:C&lt;=$L$4),ROW(),"-")</f>
        <v>-</v>
      </c>
    </row>
    <row r="39117" customHeight="1" spans="2:2">
      <c r="B39117" s="62" t="str">
        <f>IF(AND('领用录入（明细）'!D:D=$F$4,'领用录入（明细）'!C:C&gt;=$J$4,'领用录入（明细）'!C:C&lt;=$L$4),ROW(),"-")</f>
        <v>-</v>
      </c>
    </row>
    <row r="39118" customHeight="1" spans="2:2">
      <c r="B39118" s="62" t="str">
        <f>IF(AND('领用录入（明细）'!D:D=$F$4,'领用录入（明细）'!C:C&gt;=$J$4,'领用录入（明细）'!C:C&lt;=$L$4),ROW(),"-")</f>
        <v>-</v>
      </c>
    </row>
    <row r="39119" customHeight="1" spans="2:2">
      <c r="B39119" s="62" t="str">
        <f>IF(AND('领用录入（明细）'!D:D=$F$4,'领用录入（明细）'!C:C&gt;=$J$4,'领用录入（明细）'!C:C&lt;=$L$4),ROW(),"-")</f>
        <v>-</v>
      </c>
    </row>
    <row r="39120" customHeight="1" spans="2:2">
      <c r="B39120" s="62" t="str">
        <f>IF(AND('领用录入（明细）'!D:D=$F$4,'领用录入（明细）'!C:C&gt;=$J$4,'领用录入（明细）'!C:C&lt;=$L$4),ROW(),"-")</f>
        <v>-</v>
      </c>
    </row>
    <row r="39121" customHeight="1" spans="2:2">
      <c r="B39121" s="62" t="str">
        <f>IF(AND('领用录入（明细）'!D:D=$F$4,'领用录入（明细）'!C:C&gt;=$J$4,'领用录入（明细）'!C:C&lt;=$L$4),ROW(),"-")</f>
        <v>-</v>
      </c>
    </row>
    <row r="39122" customHeight="1" spans="2:2">
      <c r="B39122" s="62" t="str">
        <f>IF(AND('领用录入（明细）'!D:D=$F$4,'领用录入（明细）'!C:C&gt;=$J$4,'领用录入（明细）'!C:C&lt;=$L$4),ROW(),"-")</f>
        <v>-</v>
      </c>
    </row>
    <row r="39123" customHeight="1" spans="2:2">
      <c r="B39123" s="62" t="str">
        <f>IF(AND('领用录入（明细）'!D:D=$F$4,'领用录入（明细）'!C:C&gt;=$J$4,'领用录入（明细）'!C:C&lt;=$L$4),ROW(),"-")</f>
        <v>-</v>
      </c>
    </row>
    <row r="39124" customHeight="1" spans="2:2">
      <c r="B39124" s="62" t="str">
        <f>IF(AND('领用录入（明细）'!D:D=$F$4,'领用录入（明细）'!C:C&gt;=$J$4,'领用录入（明细）'!C:C&lt;=$L$4),ROW(),"-")</f>
        <v>-</v>
      </c>
    </row>
    <row r="39125" customHeight="1" spans="2:2">
      <c r="B39125" s="62" t="str">
        <f>IF(AND('领用录入（明细）'!D:D=$F$4,'领用录入（明细）'!C:C&gt;=$J$4,'领用录入（明细）'!C:C&lt;=$L$4),ROW(),"-")</f>
        <v>-</v>
      </c>
    </row>
    <row r="39126" customHeight="1" spans="2:2">
      <c r="B39126" s="62" t="str">
        <f>IF(AND('领用录入（明细）'!D:D=$F$4,'领用录入（明细）'!C:C&gt;=$J$4,'领用录入（明细）'!C:C&lt;=$L$4),ROW(),"-")</f>
        <v>-</v>
      </c>
    </row>
    <row r="39127" customHeight="1" spans="2:2">
      <c r="B39127" s="62" t="str">
        <f>IF(AND('领用录入（明细）'!D:D=$F$4,'领用录入（明细）'!C:C&gt;=$J$4,'领用录入（明细）'!C:C&lt;=$L$4),ROW(),"-")</f>
        <v>-</v>
      </c>
    </row>
    <row r="39128" customHeight="1" spans="2:2">
      <c r="B39128" s="62" t="str">
        <f>IF(AND('领用录入（明细）'!D:D=$F$4,'领用录入（明细）'!C:C&gt;=$J$4,'领用录入（明细）'!C:C&lt;=$L$4),ROW(),"-")</f>
        <v>-</v>
      </c>
    </row>
    <row r="39129" customHeight="1" spans="2:2">
      <c r="B39129" s="62" t="str">
        <f>IF(AND('领用录入（明细）'!D:D=$F$4,'领用录入（明细）'!C:C&gt;=$J$4,'领用录入（明细）'!C:C&lt;=$L$4),ROW(),"-")</f>
        <v>-</v>
      </c>
    </row>
    <row r="39130" customHeight="1" spans="2:2">
      <c r="B39130" s="62" t="str">
        <f>IF(AND('领用录入（明细）'!D:D=$F$4,'领用录入（明细）'!C:C&gt;=$J$4,'领用录入（明细）'!C:C&lt;=$L$4),ROW(),"-")</f>
        <v>-</v>
      </c>
    </row>
    <row r="39131" customHeight="1" spans="2:2">
      <c r="B39131" s="62" t="str">
        <f>IF(AND('领用录入（明细）'!D:D=$F$4,'领用录入（明细）'!C:C&gt;=$J$4,'领用录入（明细）'!C:C&lt;=$L$4),ROW(),"-")</f>
        <v>-</v>
      </c>
    </row>
    <row r="39132" customHeight="1" spans="2:2">
      <c r="B39132" s="62" t="str">
        <f>IF(AND('领用录入（明细）'!D:D=$F$4,'领用录入（明细）'!C:C&gt;=$J$4,'领用录入（明细）'!C:C&lt;=$L$4),ROW(),"-")</f>
        <v>-</v>
      </c>
    </row>
    <row r="39133" customHeight="1" spans="2:2">
      <c r="B39133" s="62" t="str">
        <f>IF(AND('领用录入（明细）'!D:D=$F$4,'领用录入（明细）'!C:C&gt;=$J$4,'领用录入（明细）'!C:C&lt;=$L$4),ROW(),"-")</f>
        <v>-</v>
      </c>
    </row>
    <row r="39134" customHeight="1" spans="2:2">
      <c r="B39134" s="62" t="str">
        <f>IF(AND('领用录入（明细）'!D:D=$F$4,'领用录入（明细）'!C:C&gt;=$J$4,'领用录入（明细）'!C:C&lt;=$L$4),ROW(),"-")</f>
        <v>-</v>
      </c>
    </row>
    <row r="39135" customHeight="1" spans="2:2">
      <c r="B39135" s="62" t="str">
        <f>IF(AND('领用录入（明细）'!D:D=$F$4,'领用录入（明细）'!C:C&gt;=$J$4,'领用录入（明细）'!C:C&lt;=$L$4),ROW(),"-")</f>
        <v>-</v>
      </c>
    </row>
    <row r="39136" customHeight="1" spans="2:2">
      <c r="B39136" s="62" t="str">
        <f>IF(AND('领用录入（明细）'!D:D=$F$4,'领用录入（明细）'!C:C&gt;=$J$4,'领用录入（明细）'!C:C&lt;=$L$4),ROW(),"-")</f>
        <v>-</v>
      </c>
    </row>
    <row r="39137" customHeight="1" spans="2:2">
      <c r="B39137" s="62" t="str">
        <f>IF(AND('领用录入（明细）'!D:D=$F$4,'领用录入（明细）'!C:C&gt;=$J$4,'领用录入（明细）'!C:C&lt;=$L$4),ROW(),"-")</f>
        <v>-</v>
      </c>
    </row>
    <row r="39138" customHeight="1" spans="2:2">
      <c r="B39138" s="62" t="str">
        <f>IF(AND('领用录入（明细）'!D:D=$F$4,'领用录入（明细）'!C:C&gt;=$J$4,'领用录入（明细）'!C:C&lt;=$L$4),ROW(),"-")</f>
        <v>-</v>
      </c>
    </row>
    <row r="39139" customHeight="1" spans="2:2">
      <c r="B39139" s="62" t="str">
        <f>IF(AND('领用录入（明细）'!D:D=$F$4,'领用录入（明细）'!C:C&gt;=$J$4,'领用录入（明细）'!C:C&lt;=$L$4),ROW(),"-")</f>
        <v>-</v>
      </c>
    </row>
    <row r="39140" customHeight="1" spans="2:2">
      <c r="B39140" s="62" t="str">
        <f>IF(AND('领用录入（明细）'!D:D=$F$4,'领用录入（明细）'!C:C&gt;=$J$4,'领用录入（明细）'!C:C&lt;=$L$4),ROW(),"-")</f>
        <v>-</v>
      </c>
    </row>
    <row r="39141" customHeight="1" spans="2:2">
      <c r="B39141" s="62" t="str">
        <f>IF(AND('领用录入（明细）'!D:D=$F$4,'领用录入（明细）'!C:C&gt;=$J$4,'领用录入（明细）'!C:C&lt;=$L$4),ROW(),"-")</f>
        <v>-</v>
      </c>
    </row>
    <row r="39142" customHeight="1" spans="2:2">
      <c r="B39142" s="62" t="str">
        <f>IF(AND('领用录入（明细）'!D:D=$F$4,'领用录入（明细）'!C:C&gt;=$J$4,'领用录入（明细）'!C:C&lt;=$L$4),ROW(),"-")</f>
        <v>-</v>
      </c>
    </row>
    <row r="39143" customHeight="1" spans="2:2">
      <c r="B39143" s="62" t="str">
        <f>IF(AND('领用录入（明细）'!D:D=$F$4,'领用录入（明细）'!C:C&gt;=$J$4,'领用录入（明细）'!C:C&lt;=$L$4),ROW(),"-")</f>
        <v>-</v>
      </c>
    </row>
    <row r="39144" customHeight="1" spans="2:2">
      <c r="B39144" s="62" t="str">
        <f>IF(AND('领用录入（明细）'!D:D=$F$4,'领用录入（明细）'!C:C&gt;=$J$4,'领用录入（明细）'!C:C&lt;=$L$4),ROW(),"-")</f>
        <v>-</v>
      </c>
    </row>
    <row r="39145" customHeight="1" spans="2:2">
      <c r="B39145" s="62" t="str">
        <f>IF(AND('领用录入（明细）'!D:D=$F$4,'领用录入（明细）'!C:C&gt;=$J$4,'领用录入（明细）'!C:C&lt;=$L$4),ROW(),"-")</f>
        <v>-</v>
      </c>
    </row>
    <row r="39146" customHeight="1" spans="2:2">
      <c r="B39146" s="62" t="str">
        <f>IF(AND('领用录入（明细）'!D:D=$F$4,'领用录入（明细）'!C:C&gt;=$J$4,'领用录入（明细）'!C:C&lt;=$L$4),ROW(),"-")</f>
        <v>-</v>
      </c>
    </row>
    <row r="39147" customHeight="1" spans="2:2">
      <c r="B39147" s="62" t="str">
        <f>IF(AND('领用录入（明细）'!D:D=$F$4,'领用录入（明细）'!C:C&gt;=$J$4,'领用录入（明细）'!C:C&lt;=$L$4),ROW(),"-")</f>
        <v>-</v>
      </c>
    </row>
    <row r="39148" customHeight="1" spans="2:2">
      <c r="B39148" s="62" t="str">
        <f>IF(AND('领用录入（明细）'!D:D=$F$4,'领用录入（明细）'!C:C&gt;=$J$4,'领用录入（明细）'!C:C&lt;=$L$4),ROW(),"-")</f>
        <v>-</v>
      </c>
    </row>
    <row r="39149" customHeight="1" spans="2:2">
      <c r="B39149" s="62" t="str">
        <f>IF(AND('领用录入（明细）'!D:D=$F$4,'领用录入（明细）'!C:C&gt;=$J$4,'领用录入（明细）'!C:C&lt;=$L$4),ROW(),"-")</f>
        <v>-</v>
      </c>
    </row>
    <row r="39150" customHeight="1" spans="2:2">
      <c r="B39150" s="62" t="str">
        <f>IF(AND('领用录入（明细）'!D:D=$F$4,'领用录入（明细）'!C:C&gt;=$J$4,'领用录入（明细）'!C:C&lt;=$L$4),ROW(),"-")</f>
        <v>-</v>
      </c>
    </row>
    <row r="39151" customHeight="1" spans="2:2">
      <c r="B39151" s="62" t="str">
        <f>IF(AND('领用录入（明细）'!D:D=$F$4,'领用录入（明细）'!C:C&gt;=$J$4,'领用录入（明细）'!C:C&lt;=$L$4),ROW(),"-")</f>
        <v>-</v>
      </c>
    </row>
    <row r="39152" customHeight="1" spans="2:2">
      <c r="B39152" s="62" t="str">
        <f>IF(AND('领用录入（明细）'!D:D=$F$4,'领用录入（明细）'!C:C&gt;=$J$4,'领用录入（明细）'!C:C&lt;=$L$4),ROW(),"-")</f>
        <v>-</v>
      </c>
    </row>
    <row r="39153" customHeight="1" spans="2:2">
      <c r="B39153" s="62" t="str">
        <f>IF(AND('领用录入（明细）'!D:D=$F$4,'领用录入（明细）'!C:C&gt;=$J$4,'领用录入（明细）'!C:C&lt;=$L$4),ROW(),"-")</f>
        <v>-</v>
      </c>
    </row>
    <row r="39154" customHeight="1" spans="2:2">
      <c r="B39154" s="62" t="str">
        <f>IF(AND('领用录入（明细）'!D:D=$F$4,'领用录入（明细）'!C:C&gt;=$J$4,'领用录入（明细）'!C:C&lt;=$L$4),ROW(),"-")</f>
        <v>-</v>
      </c>
    </row>
    <row r="39155" customHeight="1" spans="2:2">
      <c r="B39155" s="62" t="str">
        <f>IF(AND('领用录入（明细）'!D:D=$F$4,'领用录入（明细）'!C:C&gt;=$J$4,'领用录入（明细）'!C:C&lt;=$L$4),ROW(),"-")</f>
        <v>-</v>
      </c>
    </row>
    <row r="39156" customHeight="1" spans="2:2">
      <c r="B39156" s="62" t="str">
        <f>IF(AND('领用录入（明细）'!D:D=$F$4,'领用录入（明细）'!C:C&gt;=$J$4,'领用录入（明细）'!C:C&lt;=$L$4),ROW(),"-")</f>
        <v>-</v>
      </c>
    </row>
    <row r="39157" customHeight="1" spans="2:2">
      <c r="B39157" s="62" t="str">
        <f>IF(AND('领用录入（明细）'!D:D=$F$4,'领用录入（明细）'!C:C&gt;=$J$4,'领用录入（明细）'!C:C&lt;=$L$4),ROW(),"-")</f>
        <v>-</v>
      </c>
    </row>
    <row r="39158" customHeight="1" spans="2:2">
      <c r="B39158" s="62" t="str">
        <f>IF(AND('领用录入（明细）'!D:D=$F$4,'领用录入（明细）'!C:C&gt;=$J$4,'领用录入（明细）'!C:C&lt;=$L$4),ROW(),"-")</f>
        <v>-</v>
      </c>
    </row>
    <row r="39159" customHeight="1" spans="2:2">
      <c r="B39159" s="62" t="str">
        <f>IF(AND('领用录入（明细）'!D:D=$F$4,'领用录入（明细）'!C:C&gt;=$J$4,'领用录入（明细）'!C:C&lt;=$L$4),ROW(),"-")</f>
        <v>-</v>
      </c>
    </row>
    <row r="39160" customHeight="1" spans="2:2">
      <c r="B39160" s="62" t="str">
        <f>IF(AND('领用录入（明细）'!D:D=$F$4,'领用录入（明细）'!C:C&gt;=$J$4,'领用录入（明细）'!C:C&lt;=$L$4),ROW(),"-")</f>
        <v>-</v>
      </c>
    </row>
    <row r="39161" customHeight="1" spans="2:2">
      <c r="B39161" s="62" t="str">
        <f>IF(AND('领用录入（明细）'!D:D=$F$4,'领用录入（明细）'!C:C&gt;=$J$4,'领用录入（明细）'!C:C&lt;=$L$4),ROW(),"-")</f>
        <v>-</v>
      </c>
    </row>
    <row r="39162" customHeight="1" spans="2:2">
      <c r="B39162" s="62" t="str">
        <f>IF(AND('领用录入（明细）'!D:D=$F$4,'领用录入（明细）'!C:C&gt;=$J$4,'领用录入（明细）'!C:C&lt;=$L$4),ROW(),"-")</f>
        <v>-</v>
      </c>
    </row>
    <row r="39163" customHeight="1" spans="2:2">
      <c r="B39163" s="62" t="str">
        <f>IF(AND('领用录入（明细）'!D:D=$F$4,'领用录入（明细）'!C:C&gt;=$J$4,'领用录入（明细）'!C:C&lt;=$L$4),ROW(),"-")</f>
        <v>-</v>
      </c>
    </row>
    <row r="39164" customHeight="1" spans="2:2">
      <c r="B39164" s="62" t="str">
        <f>IF(AND('领用录入（明细）'!D:D=$F$4,'领用录入（明细）'!C:C&gt;=$J$4,'领用录入（明细）'!C:C&lt;=$L$4),ROW(),"-")</f>
        <v>-</v>
      </c>
    </row>
    <row r="39165" customHeight="1" spans="2:2">
      <c r="B39165" s="62" t="str">
        <f>IF(AND('领用录入（明细）'!D:D=$F$4,'领用录入（明细）'!C:C&gt;=$J$4,'领用录入（明细）'!C:C&lt;=$L$4),ROW(),"-")</f>
        <v>-</v>
      </c>
    </row>
    <row r="39166" customHeight="1" spans="2:2">
      <c r="B39166" s="62" t="str">
        <f>IF(AND('领用录入（明细）'!D:D=$F$4,'领用录入（明细）'!C:C&gt;=$J$4,'领用录入（明细）'!C:C&lt;=$L$4),ROW(),"-")</f>
        <v>-</v>
      </c>
    </row>
    <row r="39167" customHeight="1" spans="2:2">
      <c r="B39167" s="62" t="str">
        <f>IF(AND('领用录入（明细）'!D:D=$F$4,'领用录入（明细）'!C:C&gt;=$J$4,'领用录入（明细）'!C:C&lt;=$L$4),ROW(),"-")</f>
        <v>-</v>
      </c>
    </row>
    <row r="39168" customHeight="1" spans="2:2">
      <c r="B39168" s="62" t="str">
        <f>IF(AND('领用录入（明细）'!D:D=$F$4,'领用录入（明细）'!C:C&gt;=$J$4,'领用录入（明细）'!C:C&lt;=$L$4),ROW(),"-")</f>
        <v>-</v>
      </c>
    </row>
    <row r="39169" customHeight="1" spans="2:2">
      <c r="B39169" s="62" t="str">
        <f>IF(AND('领用录入（明细）'!D:D=$F$4,'领用录入（明细）'!C:C&gt;=$J$4,'领用录入（明细）'!C:C&lt;=$L$4),ROW(),"-")</f>
        <v>-</v>
      </c>
    </row>
    <row r="39170" customHeight="1" spans="2:2">
      <c r="B39170" s="62" t="str">
        <f>IF(AND('领用录入（明细）'!D:D=$F$4,'领用录入（明细）'!C:C&gt;=$J$4,'领用录入（明细）'!C:C&lt;=$L$4),ROW(),"-")</f>
        <v>-</v>
      </c>
    </row>
    <row r="39171" customHeight="1" spans="2:2">
      <c r="B39171" s="62" t="str">
        <f>IF(AND('领用录入（明细）'!D:D=$F$4,'领用录入（明细）'!C:C&gt;=$J$4,'领用录入（明细）'!C:C&lt;=$L$4),ROW(),"-")</f>
        <v>-</v>
      </c>
    </row>
    <row r="39172" customHeight="1" spans="2:2">
      <c r="B39172" s="62" t="str">
        <f>IF(AND('领用录入（明细）'!D:D=$F$4,'领用录入（明细）'!C:C&gt;=$J$4,'领用录入（明细）'!C:C&lt;=$L$4),ROW(),"-")</f>
        <v>-</v>
      </c>
    </row>
    <row r="39173" customHeight="1" spans="2:2">
      <c r="B39173" s="62" t="str">
        <f>IF(AND('领用录入（明细）'!D:D=$F$4,'领用录入（明细）'!C:C&gt;=$J$4,'领用录入（明细）'!C:C&lt;=$L$4),ROW(),"-")</f>
        <v>-</v>
      </c>
    </row>
    <row r="39174" customHeight="1" spans="2:2">
      <c r="B39174" s="62" t="str">
        <f>IF(AND('领用录入（明细）'!D:D=$F$4,'领用录入（明细）'!C:C&gt;=$J$4,'领用录入（明细）'!C:C&lt;=$L$4),ROW(),"-")</f>
        <v>-</v>
      </c>
    </row>
    <row r="39175" customHeight="1" spans="2:2">
      <c r="B39175" s="62" t="str">
        <f>IF(AND('领用录入（明细）'!D:D=$F$4,'领用录入（明细）'!C:C&gt;=$J$4,'领用录入（明细）'!C:C&lt;=$L$4),ROW(),"-")</f>
        <v>-</v>
      </c>
    </row>
    <row r="39176" customHeight="1" spans="2:2">
      <c r="B39176" s="62" t="str">
        <f>IF(AND('领用录入（明细）'!D:D=$F$4,'领用录入（明细）'!C:C&gt;=$J$4,'领用录入（明细）'!C:C&lt;=$L$4),ROW(),"-")</f>
        <v>-</v>
      </c>
    </row>
    <row r="39177" customHeight="1" spans="2:2">
      <c r="B39177" s="62" t="str">
        <f>IF(AND('领用录入（明细）'!D:D=$F$4,'领用录入（明细）'!C:C&gt;=$J$4,'领用录入（明细）'!C:C&lt;=$L$4),ROW(),"-")</f>
        <v>-</v>
      </c>
    </row>
    <row r="39178" customHeight="1" spans="2:2">
      <c r="B39178" s="62" t="str">
        <f>IF(AND('领用录入（明细）'!D:D=$F$4,'领用录入（明细）'!C:C&gt;=$J$4,'领用录入（明细）'!C:C&lt;=$L$4),ROW(),"-")</f>
        <v>-</v>
      </c>
    </row>
    <row r="39179" customHeight="1" spans="2:2">
      <c r="B39179" s="62" t="str">
        <f>IF(AND('领用录入（明细）'!D:D=$F$4,'领用录入（明细）'!C:C&gt;=$J$4,'领用录入（明细）'!C:C&lt;=$L$4),ROW(),"-")</f>
        <v>-</v>
      </c>
    </row>
    <row r="39180" customHeight="1" spans="2:2">
      <c r="B39180" s="62" t="str">
        <f>IF(AND('领用录入（明细）'!D:D=$F$4,'领用录入（明细）'!C:C&gt;=$J$4,'领用录入（明细）'!C:C&lt;=$L$4),ROW(),"-")</f>
        <v>-</v>
      </c>
    </row>
    <row r="39181" customHeight="1" spans="2:2">
      <c r="B39181" s="62" t="str">
        <f>IF(AND('领用录入（明细）'!D:D=$F$4,'领用录入（明细）'!C:C&gt;=$J$4,'领用录入（明细）'!C:C&lt;=$L$4),ROW(),"-")</f>
        <v>-</v>
      </c>
    </row>
    <row r="39182" customHeight="1" spans="2:2">
      <c r="B39182" s="62" t="str">
        <f>IF(AND('领用录入（明细）'!D:D=$F$4,'领用录入（明细）'!C:C&gt;=$J$4,'领用录入（明细）'!C:C&lt;=$L$4),ROW(),"-")</f>
        <v>-</v>
      </c>
    </row>
    <row r="39183" customHeight="1" spans="2:2">
      <c r="B39183" s="62" t="str">
        <f>IF(AND('领用录入（明细）'!D:D=$F$4,'领用录入（明细）'!C:C&gt;=$J$4,'领用录入（明细）'!C:C&lt;=$L$4),ROW(),"-")</f>
        <v>-</v>
      </c>
    </row>
    <row r="39184" customHeight="1" spans="2:2">
      <c r="B39184" s="62" t="str">
        <f>IF(AND('领用录入（明细）'!D:D=$F$4,'领用录入（明细）'!C:C&gt;=$J$4,'领用录入（明细）'!C:C&lt;=$L$4),ROW(),"-")</f>
        <v>-</v>
      </c>
    </row>
    <row r="39185" customHeight="1" spans="2:2">
      <c r="B39185" s="62" t="str">
        <f>IF(AND('领用录入（明细）'!D:D=$F$4,'领用录入（明细）'!C:C&gt;=$J$4,'领用录入（明细）'!C:C&lt;=$L$4),ROW(),"-")</f>
        <v>-</v>
      </c>
    </row>
    <row r="39186" customHeight="1" spans="2:2">
      <c r="B39186" s="62" t="str">
        <f>IF(AND('领用录入（明细）'!D:D=$F$4,'领用录入（明细）'!C:C&gt;=$J$4,'领用录入（明细）'!C:C&lt;=$L$4),ROW(),"-")</f>
        <v>-</v>
      </c>
    </row>
    <row r="39187" customHeight="1" spans="2:2">
      <c r="B39187" s="62" t="str">
        <f>IF(AND('领用录入（明细）'!D:D=$F$4,'领用录入（明细）'!C:C&gt;=$J$4,'领用录入（明细）'!C:C&lt;=$L$4),ROW(),"-")</f>
        <v>-</v>
      </c>
    </row>
    <row r="39188" customHeight="1" spans="2:2">
      <c r="B39188" s="62" t="str">
        <f>IF(AND('领用录入（明细）'!D:D=$F$4,'领用录入（明细）'!C:C&gt;=$J$4,'领用录入（明细）'!C:C&lt;=$L$4),ROW(),"-")</f>
        <v>-</v>
      </c>
    </row>
    <row r="39189" customHeight="1" spans="2:2">
      <c r="B39189" s="62" t="str">
        <f>IF(AND('领用录入（明细）'!D:D=$F$4,'领用录入（明细）'!C:C&gt;=$J$4,'领用录入（明细）'!C:C&lt;=$L$4),ROW(),"-")</f>
        <v>-</v>
      </c>
    </row>
    <row r="39190" customHeight="1" spans="2:2">
      <c r="B39190" s="62" t="str">
        <f>IF(AND('领用录入（明细）'!D:D=$F$4,'领用录入（明细）'!C:C&gt;=$J$4,'领用录入（明细）'!C:C&lt;=$L$4),ROW(),"-")</f>
        <v>-</v>
      </c>
    </row>
    <row r="39191" customHeight="1" spans="2:2">
      <c r="B39191" s="62" t="str">
        <f>IF(AND('领用录入（明细）'!D:D=$F$4,'领用录入（明细）'!C:C&gt;=$J$4,'领用录入（明细）'!C:C&lt;=$L$4),ROW(),"-")</f>
        <v>-</v>
      </c>
    </row>
    <row r="39192" customHeight="1" spans="2:2">
      <c r="B39192" s="62" t="str">
        <f>IF(AND('领用录入（明细）'!D:D=$F$4,'领用录入（明细）'!C:C&gt;=$J$4,'领用录入（明细）'!C:C&lt;=$L$4),ROW(),"-")</f>
        <v>-</v>
      </c>
    </row>
    <row r="39193" customHeight="1" spans="2:2">
      <c r="B39193" s="62" t="str">
        <f>IF(AND('领用录入（明细）'!D:D=$F$4,'领用录入（明细）'!C:C&gt;=$J$4,'领用录入（明细）'!C:C&lt;=$L$4),ROW(),"-")</f>
        <v>-</v>
      </c>
    </row>
    <row r="39194" customHeight="1" spans="2:2">
      <c r="B39194" s="62" t="str">
        <f>IF(AND('领用录入（明细）'!D:D=$F$4,'领用录入（明细）'!C:C&gt;=$J$4,'领用录入（明细）'!C:C&lt;=$L$4),ROW(),"-")</f>
        <v>-</v>
      </c>
    </row>
    <row r="39195" customHeight="1" spans="2:2">
      <c r="B39195" s="62" t="str">
        <f>IF(AND('领用录入（明细）'!D:D=$F$4,'领用录入（明细）'!C:C&gt;=$J$4,'领用录入（明细）'!C:C&lt;=$L$4),ROW(),"-")</f>
        <v>-</v>
      </c>
    </row>
    <row r="39196" customHeight="1" spans="2:2">
      <c r="B39196" s="62" t="str">
        <f>IF(AND('领用录入（明细）'!D:D=$F$4,'领用录入（明细）'!C:C&gt;=$J$4,'领用录入（明细）'!C:C&lt;=$L$4),ROW(),"-")</f>
        <v>-</v>
      </c>
    </row>
    <row r="39197" customHeight="1" spans="2:2">
      <c r="B39197" s="62" t="str">
        <f>IF(AND('领用录入（明细）'!D:D=$F$4,'领用录入（明细）'!C:C&gt;=$J$4,'领用录入（明细）'!C:C&lt;=$L$4),ROW(),"-")</f>
        <v>-</v>
      </c>
    </row>
    <row r="39198" customHeight="1" spans="2:2">
      <c r="B39198" s="62" t="str">
        <f>IF(AND('领用录入（明细）'!D:D=$F$4,'领用录入（明细）'!C:C&gt;=$J$4,'领用录入（明细）'!C:C&lt;=$L$4),ROW(),"-")</f>
        <v>-</v>
      </c>
    </row>
    <row r="39199" customHeight="1" spans="2:2">
      <c r="B39199" s="62" t="str">
        <f>IF(AND('领用录入（明细）'!D:D=$F$4,'领用录入（明细）'!C:C&gt;=$J$4,'领用录入（明细）'!C:C&lt;=$L$4),ROW(),"-")</f>
        <v>-</v>
      </c>
    </row>
    <row r="39200" customHeight="1" spans="2:2">
      <c r="B39200" s="62" t="str">
        <f>IF(AND('领用录入（明细）'!D:D=$F$4,'领用录入（明细）'!C:C&gt;=$J$4,'领用录入（明细）'!C:C&lt;=$L$4),ROW(),"-")</f>
        <v>-</v>
      </c>
    </row>
    <row r="39201" customHeight="1" spans="2:2">
      <c r="B39201" s="62" t="str">
        <f>IF(AND('领用录入（明细）'!D:D=$F$4,'领用录入（明细）'!C:C&gt;=$J$4,'领用录入（明细）'!C:C&lt;=$L$4),ROW(),"-")</f>
        <v>-</v>
      </c>
    </row>
    <row r="39202" customHeight="1" spans="2:2">
      <c r="B39202" s="62" t="str">
        <f>IF(AND('领用录入（明细）'!D:D=$F$4,'领用录入（明细）'!C:C&gt;=$J$4,'领用录入（明细）'!C:C&lt;=$L$4),ROW(),"-")</f>
        <v>-</v>
      </c>
    </row>
    <row r="39203" customHeight="1" spans="2:2">
      <c r="B39203" s="62" t="str">
        <f>IF(AND('领用录入（明细）'!D:D=$F$4,'领用录入（明细）'!C:C&gt;=$J$4,'领用录入（明细）'!C:C&lt;=$L$4),ROW(),"-")</f>
        <v>-</v>
      </c>
    </row>
    <row r="39204" customHeight="1" spans="2:2">
      <c r="B39204" s="62" t="str">
        <f>IF(AND('领用录入（明细）'!D:D=$F$4,'领用录入（明细）'!C:C&gt;=$J$4,'领用录入（明细）'!C:C&lt;=$L$4),ROW(),"-")</f>
        <v>-</v>
      </c>
    </row>
    <row r="39205" customHeight="1" spans="2:2">
      <c r="B39205" s="62" t="str">
        <f>IF(AND('领用录入（明细）'!D:D=$F$4,'领用录入（明细）'!C:C&gt;=$J$4,'领用录入（明细）'!C:C&lt;=$L$4),ROW(),"-")</f>
        <v>-</v>
      </c>
    </row>
    <row r="39206" customHeight="1" spans="2:2">
      <c r="B39206" s="62" t="str">
        <f>IF(AND('领用录入（明细）'!D:D=$F$4,'领用录入（明细）'!C:C&gt;=$J$4,'领用录入（明细）'!C:C&lt;=$L$4),ROW(),"-")</f>
        <v>-</v>
      </c>
    </row>
    <row r="39207" customHeight="1" spans="2:2">
      <c r="B39207" s="62" t="str">
        <f>IF(AND('领用录入（明细）'!D:D=$F$4,'领用录入（明细）'!C:C&gt;=$J$4,'领用录入（明细）'!C:C&lt;=$L$4),ROW(),"-")</f>
        <v>-</v>
      </c>
    </row>
    <row r="39208" customHeight="1" spans="2:2">
      <c r="B39208" s="62" t="str">
        <f>IF(AND('领用录入（明细）'!D:D=$F$4,'领用录入（明细）'!C:C&gt;=$J$4,'领用录入（明细）'!C:C&lt;=$L$4),ROW(),"-")</f>
        <v>-</v>
      </c>
    </row>
    <row r="39209" customHeight="1" spans="2:2">
      <c r="B39209" s="62" t="str">
        <f>IF(AND('领用录入（明细）'!D:D=$F$4,'领用录入（明细）'!C:C&gt;=$J$4,'领用录入（明细）'!C:C&lt;=$L$4),ROW(),"-")</f>
        <v>-</v>
      </c>
    </row>
    <row r="39210" customHeight="1" spans="2:2">
      <c r="B39210" s="62" t="str">
        <f>IF(AND('领用录入（明细）'!D:D=$F$4,'领用录入（明细）'!C:C&gt;=$J$4,'领用录入（明细）'!C:C&lt;=$L$4),ROW(),"-")</f>
        <v>-</v>
      </c>
    </row>
    <row r="39211" customHeight="1" spans="2:2">
      <c r="B39211" s="62" t="str">
        <f>IF(AND('领用录入（明细）'!D:D=$F$4,'领用录入（明细）'!C:C&gt;=$J$4,'领用录入（明细）'!C:C&lt;=$L$4),ROW(),"-")</f>
        <v>-</v>
      </c>
    </row>
    <row r="39212" customHeight="1" spans="2:2">
      <c r="B39212" s="62" t="str">
        <f>IF(AND('领用录入（明细）'!D:D=$F$4,'领用录入（明细）'!C:C&gt;=$J$4,'领用录入（明细）'!C:C&lt;=$L$4),ROW(),"-")</f>
        <v>-</v>
      </c>
    </row>
    <row r="39213" customHeight="1" spans="2:2">
      <c r="B39213" s="62" t="str">
        <f>IF(AND('领用录入（明细）'!D:D=$F$4,'领用录入（明细）'!C:C&gt;=$J$4,'领用录入（明细）'!C:C&lt;=$L$4),ROW(),"-")</f>
        <v>-</v>
      </c>
    </row>
    <row r="39214" customHeight="1" spans="2:2">
      <c r="B39214" s="62" t="str">
        <f>IF(AND('领用录入（明细）'!D:D=$F$4,'领用录入（明细）'!C:C&gt;=$J$4,'领用录入（明细）'!C:C&lt;=$L$4),ROW(),"-")</f>
        <v>-</v>
      </c>
    </row>
    <row r="39215" customHeight="1" spans="2:2">
      <c r="B39215" s="62" t="str">
        <f>IF(AND('领用录入（明细）'!D:D=$F$4,'领用录入（明细）'!C:C&gt;=$J$4,'领用录入（明细）'!C:C&lt;=$L$4),ROW(),"-")</f>
        <v>-</v>
      </c>
    </row>
    <row r="39216" customHeight="1" spans="2:2">
      <c r="B39216" s="62" t="str">
        <f>IF(AND('领用录入（明细）'!D:D=$F$4,'领用录入（明细）'!C:C&gt;=$J$4,'领用录入（明细）'!C:C&lt;=$L$4),ROW(),"-")</f>
        <v>-</v>
      </c>
    </row>
    <row r="39217" customHeight="1" spans="2:2">
      <c r="B39217" s="62" t="str">
        <f>IF(AND('领用录入（明细）'!D:D=$F$4,'领用录入（明细）'!C:C&gt;=$J$4,'领用录入（明细）'!C:C&lt;=$L$4),ROW(),"-")</f>
        <v>-</v>
      </c>
    </row>
    <row r="39218" customHeight="1" spans="2:2">
      <c r="B39218" s="62" t="str">
        <f>IF(AND('领用录入（明细）'!D:D=$F$4,'领用录入（明细）'!C:C&gt;=$J$4,'领用录入（明细）'!C:C&lt;=$L$4),ROW(),"-")</f>
        <v>-</v>
      </c>
    </row>
    <row r="39219" customHeight="1" spans="2:2">
      <c r="B39219" s="62" t="str">
        <f>IF(AND('领用录入（明细）'!D:D=$F$4,'领用录入（明细）'!C:C&gt;=$J$4,'领用录入（明细）'!C:C&lt;=$L$4),ROW(),"-")</f>
        <v>-</v>
      </c>
    </row>
    <row r="39220" customHeight="1" spans="2:2">
      <c r="B39220" s="62" t="str">
        <f>IF(AND('领用录入（明细）'!D:D=$F$4,'领用录入（明细）'!C:C&gt;=$J$4,'领用录入（明细）'!C:C&lt;=$L$4),ROW(),"-")</f>
        <v>-</v>
      </c>
    </row>
    <row r="39221" customHeight="1" spans="2:2">
      <c r="B39221" s="62" t="str">
        <f>IF(AND('领用录入（明细）'!D:D=$F$4,'领用录入（明细）'!C:C&gt;=$J$4,'领用录入（明细）'!C:C&lt;=$L$4),ROW(),"-")</f>
        <v>-</v>
      </c>
    </row>
    <row r="39222" customHeight="1" spans="2:2">
      <c r="B39222" s="62" t="str">
        <f>IF(AND('领用录入（明细）'!D:D=$F$4,'领用录入（明细）'!C:C&gt;=$J$4,'领用录入（明细）'!C:C&lt;=$L$4),ROW(),"-")</f>
        <v>-</v>
      </c>
    </row>
    <row r="39223" customHeight="1" spans="2:2">
      <c r="B39223" s="62" t="str">
        <f>IF(AND('领用录入（明细）'!D:D=$F$4,'领用录入（明细）'!C:C&gt;=$J$4,'领用录入（明细）'!C:C&lt;=$L$4),ROW(),"-")</f>
        <v>-</v>
      </c>
    </row>
    <row r="39224" customHeight="1" spans="2:2">
      <c r="B39224" s="62" t="str">
        <f>IF(AND('领用录入（明细）'!D:D=$F$4,'领用录入（明细）'!C:C&gt;=$J$4,'领用录入（明细）'!C:C&lt;=$L$4),ROW(),"-")</f>
        <v>-</v>
      </c>
    </row>
    <row r="39225" customHeight="1" spans="2:2">
      <c r="B39225" s="62" t="str">
        <f>IF(AND('领用录入（明细）'!D:D=$F$4,'领用录入（明细）'!C:C&gt;=$J$4,'领用录入（明细）'!C:C&lt;=$L$4),ROW(),"-")</f>
        <v>-</v>
      </c>
    </row>
    <row r="39226" customHeight="1" spans="2:2">
      <c r="B39226" s="62" t="str">
        <f>IF(AND('领用录入（明细）'!D:D=$F$4,'领用录入（明细）'!C:C&gt;=$J$4,'领用录入（明细）'!C:C&lt;=$L$4),ROW(),"-")</f>
        <v>-</v>
      </c>
    </row>
    <row r="39227" customHeight="1" spans="2:2">
      <c r="B39227" s="62" t="str">
        <f>IF(AND('领用录入（明细）'!D:D=$F$4,'领用录入（明细）'!C:C&gt;=$J$4,'领用录入（明细）'!C:C&lt;=$L$4),ROW(),"-")</f>
        <v>-</v>
      </c>
    </row>
    <row r="39228" customHeight="1" spans="2:2">
      <c r="B39228" s="62" t="str">
        <f>IF(AND('领用录入（明细）'!D:D=$F$4,'领用录入（明细）'!C:C&gt;=$J$4,'领用录入（明细）'!C:C&lt;=$L$4),ROW(),"-")</f>
        <v>-</v>
      </c>
    </row>
    <row r="39229" customHeight="1" spans="2:2">
      <c r="B39229" s="62" t="str">
        <f>IF(AND('领用录入（明细）'!D:D=$F$4,'领用录入（明细）'!C:C&gt;=$J$4,'领用录入（明细）'!C:C&lt;=$L$4),ROW(),"-")</f>
        <v>-</v>
      </c>
    </row>
    <row r="39230" customHeight="1" spans="2:2">
      <c r="B39230" s="62" t="str">
        <f>IF(AND('领用录入（明细）'!D:D=$F$4,'领用录入（明细）'!C:C&gt;=$J$4,'领用录入（明细）'!C:C&lt;=$L$4),ROW(),"-")</f>
        <v>-</v>
      </c>
    </row>
    <row r="39231" customHeight="1" spans="2:2">
      <c r="B39231" s="62" t="str">
        <f>IF(AND('领用录入（明细）'!D:D=$F$4,'领用录入（明细）'!C:C&gt;=$J$4,'领用录入（明细）'!C:C&lt;=$L$4),ROW(),"-")</f>
        <v>-</v>
      </c>
    </row>
    <row r="39232" customHeight="1" spans="2:2">
      <c r="B39232" s="62" t="str">
        <f>IF(AND('领用录入（明细）'!D:D=$F$4,'领用录入（明细）'!C:C&gt;=$J$4,'领用录入（明细）'!C:C&lt;=$L$4),ROW(),"-")</f>
        <v>-</v>
      </c>
    </row>
    <row r="39233" customHeight="1" spans="2:2">
      <c r="B39233" s="62" t="str">
        <f>IF(AND('领用录入（明细）'!D:D=$F$4,'领用录入（明细）'!C:C&gt;=$J$4,'领用录入（明细）'!C:C&lt;=$L$4),ROW(),"-")</f>
        <v>-</v>
      </c>
    </row>
    <row r="39234" customHeight="1" spans="2:2">
      <c r="B39234" s="62" t="str">
        <f>IF(AND('领用录入（明细）'!D:D=$F$4,'领用录入（明细）'!C:C&gt;=$J$4,'领用录入（明细）'!C:C&lt;=$L$4),ROW(),"-")</f>
        <v>-</v>
      </c>
    </row>
    <row r="39235" customHeight="1" spans="2:2">
      <c r="B39235" s="62" t="str">
        <f>IF(AND('领用录入（明细）'!D:D=$F$4,'领用录入（明细）'!C:C&gt;=$J$4,'领用录入（明细）'!C:C&lt;=$L$4),ROW(),"-")</f>
        <v>-</v>
      </c>
    </row>
    <row r="39236" customHeight="1" spans="2:2">
      <c r="B39236" s="62" t="str">
        <f>IF(AND('领用录入（明细）'!D:D=$F$4,'领用录入（明细）'!C:C&gt;=$J$4,'领用录入（明细）'!C:C&lt;=$L$4),ROW(),"-")</f>
        <v>-</v>
      </c>
    </row>
    <row r="39237" customHeight="1" spans="2:2">
      <c r="B39237" s="62" t="str">
        <f>IF(AND('领用录入（明细）'!D:D=$F$4,'领用录入（明细）'!C:C&gt;=$J$4,'领用录入（明细）'!C:C&lt;=$L$4),ROW(),"-")</f>
        <v>-</v>
      </c>
    </row>
    <row r="39238" customHeight="1" spans="2:2">
      <c r="B39238" s="62" t="str">
        <f>IF(AND('领用录入（明细）'!D:D=$F$4,'领用录入（明细）'!C:C&gt;=$J$4,'领用录入（明细）'!C:C&lt;=$L$4),ROW(),"-")</f>
        <v>-</v>
      </c>
    </row>
    <row r="39239" customHeight="1" spans="2:2">
      <c r="B39239" s="62" t="str">
        <f>IF(AND('领用录入（明细）'!D:D=$F$4,'领用录入（明细）'!C:C&gt;=$J$4,'领用录入（明细）'!C:C&lt;=$L$4),ROW(),"-")</f>
        <v>-</v>
      </c>
    </row>
    <row r="39240" customHeight="1" spans="2:2">
      <c r="B39240" s="62" t="str">
        <f>IF(AND('领用录入（明细）'!D:D=$F$4,'领用录入（明细）'!C:C&gt;=$J$4,'领用录入（明细）'!C:C&lt;=$L$4),ROW(),"-")</f>
        <v>-</v>
      </c>
    </row>
    <row r="39241" customHeight="1" spans="2:2">
      <c r="B39241" s="62" t="str">
        <f>IF(AND('领用录入（明细）'!D:D=$F$4,'领用录入（明细）'!C:C&gt;=$J$4,'领用录入（明细）'!C:C&lt;=$L$4),ROW(),"-")</f>
        <v>-</v>
      </c>
    </row>
    <row r="39242" customHeight="1" spans="2:2">
      <c r="B39242" s="62" t="str">
        <f>IF(AND('领用录入（明细）'!D:D=$F$4,'领用录入（明细）'!C:C&gt;=$J$4,'领用录入（明细）'!C:C&lt;=$L$4),ROW(),"-")</f>
        <v>-</v>
      </c>
    </row>
    <row r="39243" customHeight="1" spans="2:2">
      <c r="B39243" s="62" t="str">
        <f>IF(AND('领用录入（明细）'!D:D=$F$4,'领用录入（明细）'!C:C&gt;=$J$4,'领用录入（明细）'!C:C&lt;=$L$4),ROW(),"-")</f>
        <v>-</v>
      </c>
    </row>
    <row r="39244" customHeight="1" spans="2:2">
      <c r="B39244" s="62" t="str">
        <f>IF(AND('领用录入（明细）'!D:D=$F$4,'领用录入（明细）'!C:C&gt;=$J$4,'领用录入（明细）'!C:C&lt;=$L$4),ROW(),"-")</f>
        <v>-</v>
      </c>
    </row>
    <row r="39245" customHeight="1" spans="2:2">
      <c r="B39245" s="62" t="str">
        <f>IF(AND('领用录入（明细）'!D:D=$F$4,'领用录入（明细）'!C:C&gt;=$J$4,'领用录入（明细）'!C:C&lt;=$L$4),ROW(),"-")</f>
        <v>-</v>
      </c>
    </row>
    <row r="39246" customHeight="1" spans="2:2">
      <c r="B39246" s="62" t="str">
        <f>IF(AND('领用录入（明细）'!D:D=$F$4,'领用录入（明细）'!C:C&gt;=$J$4,'领用录入（明细）'!C:C&lt;=$L$4),ROW(),"-")</f>
        <v>-</v>
      </c>
    </row>
    <row r="39247" customHeight="1" spans="2:2">
      <c r="B39247" s="62" t="str">
        <f>IF(AND('领用录入（明细）'!D:D=$F$4,'领用录入（明细）'!C:C&gt;=$J$4,'领用录入（明细）'!C:C&lt;=$L$4),ROW(),"-")</f>
        <v>-</v>
      </c>
    </row>
    <row r="39248" customHeight="1" spans="2:2">
      <c r="B39248" s="62" t="str">
        <f>IF(AND('领用录入（明细）'!D:D=$F$4,'领用录入（明细）'!C:C&gt;=$J$4,'领用录入（明细）'!C:C&lt;=$L$4),ROW(),"-")</f>
        <v>-</v>
      </c>
    </row>
    <row r="39249" customHeight="1" spans="2:2">
      <c r="B39249" s="62" t="str">
        <f>IF(AND('领用录入（明细）'!D:D=$F$4,'领用录入（明细）'!C:C&gt;=$J$4,'领用录入（明细）'!C:C&lt;=$L$4),ROW(),"-")</f>
        <v>-</v>
      </c>
    </row>
    <row r="39250" customHeight="1" spans="2:2">
      <c r="B39250" s="62" t="str">
        <f>IF(AND('领用录入（明细）'!D:D=$F$4,'领用录入（明细）'!C:C&gt;=$J$4,'领用录入（明细）'!C:C&lt;=$L$4),ROW(),"-")</f>
        <v>-</v>
      </c>
    </row>
    <row r="39251" customHeight="1" spans="2:2">
      <c r="B39251" s="62" t="str">
        <f>IF(AND('领用录入（明细）'!D:D=$F$4,'领用录入（明细）'!C:C&gt;=$J$4,'领用录入（明细）'!C:C&lt;=$L$4),ROW(),"-")</f>
        <v>-</v>
      </c>
    </row>
    <row r="39252" customHeight="1" spans="2:2">
      <c r="B39252" s="62" t="str">
        <f>IF(AND('领用录入（明细）'!D:D=$F$4,'领用录入（明细）'!C:C&gt;=$J$4,'领用录入（明细）'!C:C&lt;=$L$4),ROW(),"-")</f>
        <v>-</v>
      </c>
    </row>
    <row r="39253" customHeight="1" spans="2:2">
      <c r="B39253" s="62" t="str">
        <f>IF(AND('领用录入（明细）'!D:D=$F$4,'领用录入（明细）'!C:C&gt;=$J$4,'领用录入（明细）'!C:C&lt;=$L$4),ROW(),"-")</f>
        <v>-</v>
      </c>
    </row>
    <row r="39254" customHeight="1" spans="2:2">
      <c r="B39254" s="62" t="str">
        <f>IF(AND('领用录入（明细）'!D:D=$F$4,'领用录入（明细）'!C:C&gt;=$J$4,'领用录入（明细）'!C:C&lt;=$L$4),ROW(),"-")</f>
        <v>-</v>
      </c>
    </row>
    <row r="39255" customHeight="1" spans="2:2">
      <c r="B39255" s="62" t="str">
        <f>IF(AND('领用录入（明细）'!D:D=$F$4,'领用录入（明细）'!C:C&gt;=$J$4,'领用录入（明细）'!C:C&lt;=$L$4),ROW(),"-")</f>
        <v>-</v>
      </c>
    </row>
    <row r="39256" customHeight="1" spans="2:2">
      <c r="B39256" s="62" t="str">
        <f>IF(AND('领用录入（明细）'!D:D=$F$4,'领用录入（明细）'!C:C&gt;=$J$4,'领用录入（明细）'!C:C&lt;=$L$4),ROW(),"-")</f>
        <v>-</v>
      </c>
    </row>
    <row r="39257" customHeight="1" spans="2:2">
      <c r="B39257" s="62" t="str">
        <f>IF(AND('领用录入（明细）'!D:D=$F$4,'领用录入（明细）'!C:C&gt;=$J$4,'领用录入（明细）'!C:C&lt;=$L$4),ROW(),"-")</f>
        <v>-</v>
      </c>
    </row>
    <row r="39258" customHeight="1" spans="2:2">
      <c r="B39258" s="62" t="str">
        <f>IF(AND('领用录入（明细）'!D:D=$F$4,'领用录入（明细）'!C:C&gt;=$J$4,'领用录入（明细）'!C:C&lt;=$L$4),ROW(),"-")</f>
        <v>-</v>
      </c>
    </row>
    <row r="39259" customHeight="1" spans="2:2">
      <c r="B39259" s="62" t="str">
        <f>IF(AND('领用录入（明细）'!D:D=$F$4,'领用录入（明细）'!C:C&gt;=$J$4,'领用录入（明细）'!C:C&lt;=$L$4),ROW(),"-")</f>
        <v>-</v>
      </c>
    </row>
    <row r="39260" customHeight="1" spans="2:2">
      <c r="B39260" s="62" t="str">
        <f>IF(AND('领用录入（明细）'!D:D=$F$4,'领用录入（明细）'!C:C&gt;=$J$4,'领用录入（明细）'!C:C&lt;=$L$4),ROW(),"-")</f>
        <v>-</v>
      </c>
    </row>
    <row r="39261" customHeight="1" spans="2:2">
      <c r="B39261" s="62" t="str">
        <f>IF(AND('领用录入（明细）'!D:D=$F$4,'领用录入（明细）'!C:C&gt;=$J$4,'领用录入（明细）'!C:C&lt;=$L$4),ROW(),"-")</f>
        <v>-</v>
      </c>
    </row>
    <row r="39262" customHeight="1" spans="2:2">
      <c r="B39262" s="62" t="str">
        <f>IF(AND('领用录入（明细）'!D:D=$F$4,'领用录入（明细）'!C:C&gt;=$J$4,'领用录入（明细）'!C:C&lt;=$L$4),ROW(),"-")</f>
        <v>-</v>
      </c>
    </row>
    <row r="39263" customHeight="1" spans="2:2">
      <c r="B39263" s="62" t="str">
        <f>IF(AND('领用录入（明细）'!D:D=$F$4,'领用录入（明细）'!C:C&gt;=$J$4,'领用录入（明细）'!C:C&lt;=$L$4),ROW(),"-")</f>
        <v>-</v>
      </c>
    </row>
    <row r="39264" customHeight="1" spans="2:2">
      <c r="B39264" s="62" t="str">
        <f>IF(AND('领用录入（明细）'!D:D=$F$4,'领用录入（明细）'!C:C&gt;=$J$4,'领用录入（明细）'!C:C&lt;=$L$4),ROW(),"-")</f>
        <v>-</v>
      </c>
    </row>
    <row r="39265" customHeight="1" spans="2:2">
      <c r="B39265" s="62" t="str">
        <f>IF(AND('领用录入（明细）'!D:D=$F$4,'领用录入（明细）'!C:C&gt;=$J$4,'领用录入（明细）'!C:C&lt;=$L$4),ROW(),"-")</f>
        <v>-</v>
      </c>
    </row>
    <row r="39266" customHeight="1" spans="2:2">
      <c r="B39266" s="62" t="str">
        <f>IF(AND('领用录入（明细）'!D:D=$F$4,'领用录入（明细）'!C:C&gt;=$J$4,'领用录入（明细）'!C:C&lt;=$L$4),ROW(),"-")</f>
        <v>-</v>
      </c>
    </row>
    <row r="39267" customHeight="1" spans="2:2">
      <c r="B39267" s="62" t="str">
        <f>IF(AND('领用录入（明细）'!D:D=$F$4,'领用录入（明细）'!C:C&gt;=$J$4,'领用录入（明细）'!C:C&lt;=$L$4),ROW(),"-")</f>
        <v>-</v>
      </c>
    </row>
    <row r="39268" customHeight="1" spans="2:2">
      <c r="B39268" s="62" t="str">
        <f>IF(AND('领用录入（明细）'!D:D=$F$4,'领用录入（明细）'!C:C&gt;=$J$4,'领用录入（明细）'!C:C&lt;=$L$4),ROW(),"-")</f>
        <v>-</v>
      </c>
    </row>
    <row r="39269" customHeight="1" spans="2:2">
      <c r="B39269" s="62" t="str">
        <f>IF(AND('领用录入（明细）'!D:D=$F$4,'领用录入（明细）'!C:C&gt;=$J$4,'领用录入（明细）'!C:C&lt;=$L$4),ROW(),"-")</f>
        <v>-</v>
      </c>
    </row>
    <row r="39270" customHeight="1" spans="2:2">
      <c r="B39270" s="62" t="str">
        <f>IF(AND('领用录入（明细）'!D:D=$F$4,'领用录入（明细）'!C:C&gt;=$J$4,'领用录入（明细）'!C:C&lt;=$L$4),ROW(),"-")</f>
        <v>-</v>
      </c>
    </row>
    <row r="39271" customHeight="1" spans="2:2">
      <c r="B39271" s="62" t="str">
        <f>IF(AND('领用录入（明细）'!D:D=$F$4,'领用录入（明细）'!C:C&gt;=$J$4,'领用录入（明细）'!C:C&lt;=$L$4),ROW(),"-")</f>
        <v>-</v>
      </c>
    </row>
    <row r="39272" customHeight="1" spans="2:2">
      <c r="B39272" s="62" t="str">
        <f>IF(AND('领用录入（明细）'!D:D=$F$4,'领用录入（明细）'!C:C&gt;=$J$4,'领用录入（明细）'!C:C&lt;=$L$4),ROW(),"-")</f>
        <v>-</v>
      </c>
    </row>
    <row r="39273" customHeight="1" spans="2:2">
      <c r="B39273" s="62" t="str">
        <f>IF(AND('领用录入（明细）'!D:D=$F$4,'领用录入（明细）'!C:C&gt;=$J$4,'领用录入（明细）'!C:C&lt;=$L$4),ROW(),"-")</f>
        <v>-</v>
      </c>
    </row>
    <row r="39274" customHeight="1" spans="2:2">
      <c r="B39274" s="62" t="str">
        <f>IF(AND('领用录入（明细）'!D:D=$F$4,'领用录入（明细）'!C:C&gt;=$J$4,'领用录入（明细）'!C:C&lt;=$L$4),ROW(),"-")</f>
        <v>-</v>
      </c>
    </row>
    <row r="39275" customHeight="1" spans="2:2">
      <c r="B39275" s="62" t="str">
        <f>IF(AND('领用录入（明细）'!D:D=$F$4,'领用录入（明细）'!C:C&gt;=$J$4,'领用录入（明细）'!C:C&lt;=$L$4),ROW(),"-")</f>
        <v>-</v>
      </c>
    </row>
    <row r="39276" customHeight="1" spans="2:2">
      <c r="B39276" s="62" t="str">
        <f>IF(AND('领用录入（明细）'!D:D=$F$4,'领用录入（明细）'!C:C&gt;=$J$4,'领用录入（明细）'!C:C&lt;=$L$4),ROW(),"-")</f>
        <v>-</v>
      </c>
    </row>
    <row r="39277" customHeight="1" spans="2:2">
      <c r="B39277" s="62" t="str">
        <f>IF(AND('领用录入（明细）'!D:D=$F$4,'领用录入（明细）'!C:C&gt;=$J$4,'领用录入（明细）'!C:C&lt;=$L$4),ROW(),"-")</f>
        <v>-</v>
      </c>
    </row>
    <row r="39278" customHeight="1" spans="2:2">
      <c r="B39278" s="62" t="str">
        <f>IF(AND('领用录入（明细）'!D:D=$F$4,'领用录入（明细）'!C:C&gt;=$J$4,'领用录入（明细）'!C:C&lt;=$L$4),ROW(),"-")</f>
        <v>-</v>
      </c>
    </row>
    <row r="39279" customHeight="1" spans="2:2">
      <c r="B39279" s="62" t="str">
        <f>IF(AND('领用录入（明细）'!D:D=$F$4,'领用录入（明细）'!C:C&gt;=$J$4,'领用录入（明细）'!C:C&lt;=$L$4),ROW(),"-")</f>
        <v>-</v>
      </c>
    </row>
    <row r="39280" customHeight="1" spans="2:2">
      <c r="B39280" s="62" t="str">
        <f>IF(AND('领用录入（明细）'!D:D=$F$4,'领用录入（明细）'!C:C&gt;=$J$4,'领用录入（明细）'!C:C&lt;=$L$4),ROW(),"-")</f>
        <v>-</v>
      </c>
    </row>
    <row r="39281" customHeight="1" spans="2:2">
      <c r="B39281" s="62" t="str">
        <f>IF(AND('领用录入（明细）'!D:D=$F$4,'领用录入（明细）'!C:C&gt;=$J$4,'领用录入（明细）'!C:C&lt;=$L$4),ROW(),"-")</f>
        <v>-</v>
      </c>
    </row>
    <row r="39282" customHeight="1" spans="2:2">
      <c r="B39282" s="62" t="str">
        <f>IF(AND('领用录入（明细）'!D:D=$F$4,'领用录入（明细）'!C:C&gt;=$J$4,'领用录入（明细）'!C:C&lt;=$L$4),ROW(),"-")</f>
        <v>-</v>
      </c>
    </row>
    <row r="39283" customHeight="1" spans="2:2">
      <c r="B39283" s="62" t="str">
        <f>IF(AND('领用录入（明细）'!D:D=$F$4,'领用录入（明细）'!C:C&gt;=$J$4,'领用录入（明细）'!C:C&lt;=$L$4),ROW(),"-")</f>
        <v>-</v>
      </c>
    </row>
    <row r="39284" customHeight="1" spans="2:2">
      <c r="B39284" s="62" t="str">
        <f>IF(AND('领用录入（明细）'!D:D=$F$4,'领用录入（明细）'!C:C&gt;=$J$4,'领用录入（明细）'!C:C&lt;=$L$4),ROW(),"-")</f>
        <v>-</v>
      </c>
    </row>
    <row r="39285" customHeight="1" spans="2:2">
      <c r="B39285" s="62" t="str">
        <f>IF(AND('领用录入（明细）'!D:D=$F$4,'领用录入（明细）'!C:C&gt;=$J$4,'领用录入（明细）'!C:C&lt;=$L$4),ROW(),"-")</f>
        <v>-</v>
      </c>
    </row>
    <row r="39286" customHeight="1" spans="2:2">
      <c r="B39286" s="62" t="str">
        <f>IF(AND('领用录入（明细）'!D:D=$F$4,'领用录入（明细）'!C:C&gt;=$J$4,'领用录入（明细）'!C:C&lt;=$L$4),ROW(),"-")</f>
        <v>-</v>
      </c>
    </row>
    <row r="39287" customHeight="1" spans="2:2">
      <c r="B39287" s="62" t="str">
        <f>IF(AND('领用录入（明细）'!D:D=$F$4,'领用录入（明细）'!C:C&gt;=$J$4,'领用录入（明细）'!C:C&lt;=$L$4),ROW(),"-")</f>
        <v>-</v>
      </c>
    </row>
    <row r="39288" customHeight="1" spans="2:2">
      <c r="B39288" s="62" t="str">
        <f>IF(AND('领用录入（明细）'!D:D=$F$4,'领用录入（明细）'!C:C&gt;=$J$4,'领用录入（明细）'!C:C&lt;=$L$4),ROW(),"-")</f>
        <v>-</v>
      </c>
    </row>
    <row r="39289" customHeight="1" spans="2:2">
      <c r="B39289" s="62" t="str">
        <f>IF(AND('领用录入（明细）'!D:D=$F$4,'领用录入（明细）'!C:C&gt;=$J$4,'领用录入（明细）'!C:C&lt;=$L$4),ROW(),"-")</f>
        <v>-</v>
      </c>
    </row>
    <row r="39290" customHeight="1" spans="2:2">
      <c r="B39290" s="62" t="str">
        <f>IF(AND('领用录入（明细）'!D:D=$F$4,'领用录入（明细）'!C:C&gt;=$J$4,'领用录入（明细）'!C:C&lt;=$L$4),ROW(),"-")</f>
        <v>-</v>
      </c>
    </row>
    <row r="39291" customHeight="1" spans="2:2">
      <c r="B39291" s="62" t="str">
        <f>IF(AND('领用录入（明细）'!D:D=$F$4,'领用录入（明细）'!C:C&gt;=$J$4,'领用录入（明细）'!C:C&lt;=$L$4),ROW(),"-")</f>
        <v>-</v>
      </c>
    </row>
    <row r="39292" customHeight="1" spans="2:2">
      <c r="B39292" s="62" t="str">
        <f>IF(AND('领用录入（明细）'!D:D=$F$4,'领用录入（明细）'!C:C&gt;=$J$4,'领用录入（明细）'!C:C&lt;=$L$4),ROW(),"-")</f>
        <v>-</v>
      </c>
    </row>
    <row r="39293" customHeight="1" spans="2:2">
      <c r="B39293" s="62" t="str">
        <f>IF(AND('领用录入（明细）'!D:D=$F$4,'领用录入（明细）'!C:C&gt;=$J$4,'领用录入（明细）'!C:C&lt;=$L$4),ROW(),"-")</f>
        <v>-</v>
      </c>
    </row>
    <row r="39294" customHeight="1" spans="2:2">
      <c r="B39294" s="62" t="str">
        <f>IF(AND('领用录入（明细）'!D:D=$F$4,'领用录入（明细）'!C:C&gt;=$J$4,'领用录入（明细）'!C:C&lt;=$L$4),ROW(),"-")</f>
        <v>-</v>
      </c>
    </row>
    <row r="39295" customHeight="1" spans="2:2">
      <c r="B39295" s="62" t="str">
        <f>IF(AND('领用录入（明细）'!D:D=$F$4,'领用录入（明细）'!C:C&gt;=$J$4,'领用录入（明细）'!C:C&lt;=$L$4),ROW(),"-")</f>
        <v>-</v>
      </c>
    </row>
    <row r="39296" customHeight="1" spans="2:2">
      <c r="B39296" s="62" t="str">
        <f>IF(AND('领用录入（明细）'!D:D=$F$4,'领用录入（明细）'!C:C&gt;=$J$4,'领用录入（明细）'!C:C&lt;=$L$4),ROW(),"-")</f>
        <v>-</v>
      </c>
    </row>
    <row r="39297" customHeight="1" spans="2:2">
      <c r="B39297" s="62" t="str">
        <f>IF(AND('领用录入（明细）'!D:D=$F$4,'领用录入（明细）'!C:C&gt;=$J$4,'领用录入（明细）'!C:C&lt;=$L$4),ROW(),"-")</f>
        <v>-</v>
      </c>
    </row>
    <row r="39298" customHeight="1" spans="2:2">
      <c r="B39298" s="62" t="str">
        <f>IF(AND('领用录入（明细）'!D:D=$F$4,'领用录入（明细）'!C:C&gt;=$J$4,'领用录入（明细）'!C:C&lt;=$L$4),ROW(),"-")</f>
        <v>-</v>
      </c>
    </row>
    <row r="39299" customHeight="1" spans="2:2">
      <c r="B39299" s="62" t="str">
        <f>IF(AND('领用录入（明细）'!D:D=$F$4,'领用录入（明细）'!C:C&gt;=$J$4,'领用录入（明细）'!C:C&lt;=$L$4),ROW(),"-")</f>
        <v>-</v>
      </c>
    </row>
    <row r="39300" customHeight="1" spans="2:2">
      <c r="B39300" s="62" t="str">
        <f>IF(AND('领用录入（明细）'!D:D=$F$4,'领用录入（明细）'!C:C&gt;=$J$4,'领用录入（明细）'!C:C&lt;=$L$4),ROW(),"-")</f>
        <v>-</v>
      </c>
    </row>
    <row r="39301" customHeight="1" spans="2:2">
      <c r="B39301" s="62" t="str">
        <f>IF(AND('领用录入（明细）'!D:D=$F$4,'领用录入（明细）'!C:C&gt;=$J$4,'领用录入（明细）'!C:C&lt;=$L$4),ROW(),"-")</f>
        <v>-</v>
      </c>
    </row>
    <row r="39302" customHeight="1" spans="2:2">
      <c r="B39302" s="62" t="str">
        <f>IF(AND('领用录入（明细）'!D:D=$F$4,'领用录入（明细）'!C:C&gt;=$J$4,'领用录入（明细）'!C:C&lt;=$L$4),ROW(),"-")</f>
        <v>-</v>
      </c>
    </row>
    <row r="39303" customHeight="1" spans="2:2">
      <c r="B39303" s="62" t="str">
        <f>IF(AND('领用录入（明细）'!D:D=$F$4,'领用录入（明细）'!C:C&gt;=$J$4,'领用录入（明细）'!C:C&lt;=$L$4),ROW(),"-")</f>
        <v>-</v>
      </c>
    </row>
    <row r="39304" customHeight="1" spans="2:2">
      <c r="B39304" s="62" t="str">
        <f>IF(AND('领用录入（明细）'!D:D=$F$4,'领用录入（明细）'!C:C&gt;=$J$4,'领用录入（明细）'!C:C&lt;=$L$4),ROW(),"-")</f>
        <v>-</v>
      </c>
    </row>
    <row r="39305" customHeight="1" spans="2:2">
      <c r="B39305" s="62" t="str">
        <f>IF(AND('领用录入（明细）'!D:D=$F$4,'领用录入（明细）'!C:C&gt;=$J$4,'领用录入（明细）'!C:C&lt;=$L$4),ROW(),"-")</f>
        <v>-</v>
      </c>
    </row>
    <row r="39306" customHeight="1" spans="2:2">
      <c r="B39306" s="62" t="str">
        <f>IF(AND('领用录入（明细）'!D:D=$F$4,'领用录入（明细）'!C:C&gt;=$J$4,'领用录入（明细）'!C:C&lt;=$L$4),ROW(),"-")</f>
        <v>-</v>
      </c>
    </row>
    <row r="39307" customHeight="1" spans="2:2">
      <c r="B39307" s="62" t="str">
        <f>IF(AND('领用录入（明细）'!D:D=$F$4,'领用录入（明细）'!C:C&gt;=$J$4,'领用录入（明细）'!C:C&lt;=$L$4),ROW(),"-")</f>
        <v>-</v>
      </c>
    </row>
    <row r="39308" customHeight="1" spans="2:2">
      <c r="B39308" s="62" t="str">
        <f>IF(AND('领用录入（明细）'!D:D=$F$4,'领用录入（明细）'!C:C&gt;=$J$4,'领用录入（明细）'!C:C&lt;=$L$4),ROW(),"-")</f>
        <v>-</v>
      </c>
    </row>
    <row r="39309" customHeight="1" spans="2:2">
      <c r="B39309" s="62" t="str">
        <f>IF(AND('领用录入（明细）'!D:D=$F$4,'领用录入（明细）'!C:C&gt;=$J$4,'领用录入（明细）'!C:C&lt;=$L$4),ROW(),"-")</f>
        <v>-</v>
      </c>
    </row>
    <row r="39310" customHeight="1" spans="2:2">
      <c r="B39310" s="62" t="str">
        <f>IF(AND('领用录入（明细）'!D:D=$F$4,'领用录入（明细）'!C:C&gt;=$J$4,'领用录入（明细）'!C:C&lt;=$L$4),ROW(),"-")</f>
        <v>-</v>
      </c>
    </row>
    <row r="39311" customHeight="1" spans="2:2">
      <c r="B39311" s="62" t="str">
        <f>IF(AND('领用录入（明细）'!D:D=$F$4,'领用录入（明细）'!C:C&gt;=$J$4,'领用录入（明细）'!C:C&lt;=$L$4),ROW(),"-")</f>
        <v>-</v>
      </c>
    </row>
    <row r="39312" customHeight="1" spans="2:2">
      <c r="B39312" s="62" t="str">
        <f>IF(AND('领用录入（明细）'!D:D=$F$4,'领用录入（明细）'!C:C&gt;=$J$4,'领用录入（明细）'!C:C&lt;=$L$4),ROW(),"-")</f>
        <v>-</v>
      </c>
    </row>
    <row r="39313" customHeight="1" spans="2:2">
      <c r="B39313" s="62" t="str">
        <f>IF(AND('领用录入（明细）'!D:D=$F$4,'领用录入（明细）'!C:C&gt;=$J$4,'领用录入（明细）'!C:C&lt;=$L$4),ROW(),"-")</f>
        <v>-</v>
      </c>
    </row>
    <row r="39314" customHeight="1" spans="2:2">
      <c r="B39314" s="62" t="str">
        <f>IF(AND('领用录入（明细）'!D:D=$F$4,'领用录入（明细）'!C:C&gt;=$J$4,'领用录入（明细）'!C:C&lt;=$L$4),ROW(),"-")</f>
        <v>-</v>
      </c>
    </row>
    <row r="39315" customHeight="1" spans="2:2">
      <c r="B39315" s="62" t="str">
        <f>IF(AND('领用录入（明细）'!D:D=$F$4,'领用录入（明细）'!C:C&gt;=$J$4,'领用录入（明细）'!C:C&lt;=$L$4),ROW(),"-")</f>
        <v>-</v>
      </c>
    </row>
    <row r="39316" customHeight="1" spans="2:2">
      <c r="B39316" s="62" t="str">
        <f>IF(AND('领用录入（明细）'!D:D=$F$4,'领用录入（明细）'!C:C&gt;=$J$4,'领用录入（明细）'!C:C&lt;=$L$4),ROW(),"-")</f>
        <v>-</v>
      </c>
    </row>
    <row r="39317" customHeight="1" spans="2:2">
      <c r="B39317" s="62" t="str">
        <f>IF(AND('领用录入（明细）'!D:D=$F$4,'领用录入（明细）'!C:C&gt;=$J$4,'领用录入（明细）'!C:C&lt;=$L$4),ROW(),"-")</f>
        <v>-</v>
      </c>
    </row>
    <row r="39318" customHeight="1" spans="2:2">
      <c r="B39318" s="62" t="str">
        <f>IF(AND('领用录入（明细）'!D:D=$F$4,'领用录入（明细）'!C:C&gt;=$J$4,'领用录入（明细）'!C:C&lt;=$L$4),ROW(),"-")</f>
        <v>-</v>
      </c>
    </row>
    <row r="39319" customHeight="1" spans="2:2">
      <c r="B39319" s="62" t="str">
        <f>IF(AND('领用录入（明细）'!D:D=$F$4,'领用录入（明细）'!C:C&gt;=$J$4,'领用录入（明细）'!C:C&lt;=$L$4),ROW(),"-")</f>
        <v>-</v>
      </c>
    </row>
    <row r="39320" customHeight="1" spans="2:2">
      <c r="B39320" s="62" t="str">
        <f>IF(AND('领用录入（明细）'!D:D=$F$4,'领用录入（明细）'!C:C&gt;=$J$4,'领用录入（明细）'!C:C&lt;=$L$4),ROW(),"-")</f>
        <v>-</v>
      </c>
    </row>
    <row r="39321" customHeight="1" spans="2:2">
      <c r="B39321" s="62" t="str">
        <f>IF(AND('领用录入（明细）'!D:D=$F$4,'领用录入（明细）'!C:C&gt;=$J$4,'领用录入（明细）'!C:C&lt;=$L$4),ROW(),"-")</f>
        <v>-</v>
      </c>
    </row>
    <row r="39322" customHeight="1" spans="2:2">
      <c r="B39322" s="62" t="str">
        <f>IF(AND('领用录入（明细）'!D:D=$F$4,'领用录入（明细）'!C:C&gt;=$J$4,'领用录入（明细）'!C:C&lt;=$L$4),ROW(),"-")</f>
        <v>-</v>
      </c>
    </row>
    <row r="39323" customHeight="1" spans="2:2">
      <c r="B39323" s="62" t="str">
        <f>IF(AND('领用录入（明细）'!D:D=$F$4,'领用录入（明细）'!C:C&gt;=$J$4,'领用录入（明细）'!C:C&lt;=$L$4),ROW(),"-")</f>
        <v>-</v>
      </c>
    </row>
    <row r="39324" customHeight="1" spans="2:2">
      <c r="B39324" s="62" t="str">
        <f>IF(AND('领用录入（明细）'!D:D=$F$4,'领用录入（明细）'!C:C&gt;=$J$4,'领用录入（明细）'!C:C&lt;=$L$4),ROW(),"-")</f>
        <v>-</v>
      </c>
    </row>
    <row r="39325" customHeight="1" spans="2:2">
      <c r="B39325" s="62" t="str">
        <f>IF(AND('领用录入（明细）'!D:D=$F$4,'领用录入（明细）'!C:C&gt;=$J$4,'领用录入（明细）'!C:C&lt;=$L$4),ROW(),"-")</f>
        <v>-</v>
      </c>
    </row>
    <row r="39326" customHeight="1" spans="2:2">
      <c r="B39326" s="62" t="str">
        <f>IF(AND('领用录入（明细）'!D:D=$F$4,'领用录入（明细）'!C:C&gt;=$J$4,'领用录入（明细）'!C:C&lt;=$L$4),ROW(),"-")</f>
        <v>-</v>
      </c>
    </row>
    <row r="39327" customHeight="1" spans="2:2">
      <c r="B39327" s="62" t="str">
        <f>IF(AND('领用录入（明细）'!D:D=$F$4,'领用录入（明细）'!C:C&gt;=$J$4,'领用录入（明细）'!C:C&lt;=$L$4),ROW(),"-")</f>
        <v>-</v>
      </c>
    </row>
    <row r="39328" customHeight="1" spans="2:2">
      <c r="B39328" s="62" t="str">
        <f>IF(AND('领用录入（明细）'!D:D=$F$4,'领用录入（明细）'!C:C&gt;=$J$4,'领用录入（明细）'!C:C&lt;=$L$4),ROW(),"-")</f>
        <v>-</v>
      </c>
    </row>
    <row r="39329" customHeight="1" spans="2:2">
      <c r="B39329" s="62" t="str">
        <f>IF(AND('领用录入（明细）'!D:D=$F$4,'领用录入（明细）'!C:C&gt;=$J$4,'领用录入（明细）'!C:C&lt;=$L$4),ROW(),"-")</f>
        <v>-</v>
      </c>
    </row>
    <row r="39330" customHeight="1" spans="2:2">
      <c r="B39330" s="62" t="str">
        <f>IF(AND('领用录入（明细）'!D:D=$F$4,'领用录入（明细）'!C:C&gt;=$J$4,'领用录入（明细）'!C:C&lt;=$L$4),ROW(),"-")</f>
        <v>-</v>
      </c>
    </row>
    <row r="39331" customHeight="1" spans="2:2">
      <c r="B39331" s="62" t="str">
        <f>IF(AND('领用录入（明细）'!D:D=$F$4,'领用录入（明细）'!C:C&gt;=$J$4,'领用录入（明细）'!C:C&lt;=$L$4),ROW(),"-")</f>
        <v>-</v>
      </c>
    </row>
    <row r="39332" customHeight="1" spans="2:2">
      <c r="B39332" s="62" t="str">
        <f>IF(AND('领用录入（明细）'!D:D=$F$4,'领用录入（明细）'!C:C&gt;=$J$4,'领用录入（明细）'!C:C&lt;=$L$4),ROW(),"-")</f>
        <v>-</v>
      </c>
    </row>
    <row r="39333" customHeight="1" spans="2:2">
      <c r="B39333" s="62" t="str">
        <f>IF(AND('领用录入（明细）'!D:D=$F$4,'领用录入（明细）'!C:C&gt;=$J$4,'领用录入（明细）'!C:C&lt;=$L$4),ROW(),"-")</f>
        <v>-</v>
      </c>
    </row>
    <row r="39334" customHeight="1" spans="2:2">
      <c r="B39334" s="62" t="str">
        <f>IF(AND('领用录入（明细）'!D:D=$F$4,'领用录入（明细）'!C:C&gt;=$J$4,'领用录入（明细）'!C:C&lt;=$L$4),ROW(),"-")</f>
        <v>-</v>
      </c>
    </row>
    <row r="39335" customHeight="1" spans="2:2">
      <c r="B39335" s="62" t="str">
        <f>IF(AND('领用录入（明细）'!D:D=$F$4,'领用录入（明细）'!C:C&gt;=$J$4,'领用录入（明细）'!C:C&lt;=$L$4),ROW(),"-")</f>
        <v>-</v>
      </c>
    </row>
    <row r="39336" customHeight="1" spans="2:2">
      <c r="B39336" s="62" t="str">
        <f>IF(AND('领用录入（明细）'!D:D=$F$4,'领用录入（明细）'!C:C&gt;=$J$4,'领用录入（明细）'!C:C&lt;=$L$4),ROW(),"-")</f>
        <v>-</v>
      </c>
    </row>
    <row r="39337" customHeight="1" spans="2:2">
      <c r="B39337" s="62" t="str">
        <f>IF(AND('领用录入（明细）'!D:D=$F$4,'领用录入（明细）'!C:C&gt;=$J$4,'领用录入（明细）'!C:C&lt;=$L$4),ROW(),"-")</f>
        <v>-</v>
      </c>
    </row>
    <row r="39338" customHeight="1" spans="2:2">
      <c r="B39338" s="62" t="str">
        <f>IF(AND('领用录入（明细）'!D:D=$F$4,'领用录入（明细）'!C:C&gt;=$J$4,'领用录入（明细）'!C:C&lt;=$L$4),ROW(),"-")</f>
        <v>-</v>
      </c>
    </row>
    <row r="39339" customHeight="1" spans="2:2">
      <c r="B39339" s="62" t="str">
        <f>IF(AND('领用录入（明细）'!D:D=$F$4,'领用录入（明细）'!C:C&gt;=$J$4,'领用录入（明细）'!C:C&lt;=$L$4),ROW(),"-")</f>
        <v>-</v>
      </c>
    </row>
    <row r="39340" customHeight="1" spans="2:2">
      <c r="B39340" s="62" t="str">
        <f>IF(AND('领用录入（明细）'!D:D=$F$4,'领用录入（明细）'!C:C&gt;=$J$4,'领用录入（明细）'!C:C&lt;=$L$4),ROW(),"-")</f>
        <v>-</v>
      </c>
    </row>
    <row r="39341" customHeight="1" spans="2:2">
      <c r="B39341" s="62" t="str">
        <f>IF(AND('领用录入（明细）'!D:D=$F$4,'领用录入（明细）'!C:C&gt;=$J$4,'领用录入（明细）'!C:C&lt;=$L$4),ROW(),"-")</f>
        <v>-</v>
      </c>
    </row>
    <row r="39342" customHeight="1" spans="2:2">
      <c r="B39342" s="62" t="str">
        <f>IF(AND('领用录入（明细）'!D:D=$F$4,'领用录入（明细）'!C:C&gt;=$J$4,'领用录入（明细）'!C:C&lt;=$L$4),ROW(),"-")</f>
        <v>-</v>
      </c>
    </row>
    <row r="39343" customHeight="1" spans="2:2">
      <c r="B39343" s="62" t="str">
        <f>IF(AND('领用录入（明细）'!D:D=$F$4,'领用录入（明细）'!C:C&gt;=$J$4,'领用录入（明细）'!C:C&lt;=$L$4),ROW(),"-")</f>
        <v>-</v>
      </c>
    </row>
    <row r="39344" customHeight="1" spans="2:2">
      <c r="B39344" s="62" t="str">
        <f>IF(AND('领用录入（明细）'!D:D=$F$4,'领用录入（明细）'!C:C&gt;=$J$4,'领用录入（明细）'!C:C&lt;=$L$4),ROW(),"-")</f>
        <v>-</v>
      </c>
    </row>
    <row r="39345" customHeight="1" spans="2:2">
      <c r="B39345" s="62" t="str">
        <f>IF(AND('领用录入（明细）'!D:D=$F$4,'领用录入（明细）'!C:C&gt;=$J$4,'领用录入（明细）'!C:C&lt;=$L$4),ROW(),"-")</f>
        <v>-</v>
      </c>
    </row>
    <row r="39346" customHeight="1" spans="2:2">
      <c r="B39346" s="62" t="str">
        <f>IF(AND('领用录入（明细）'!D:D=$F$4,'领用录入（明细）'!C:C&gt;=$J$4,'领用录入（明细）'!C:C&lt;=$L$4),ROW(),"-")</f>
        <v>-</v>
      </c>
    </row>
    <row r="39347" customHeight="1" spans="2:2">
      <c r="B39347" s="62" t="str">
        <f>IF(AND('领用录入（明细）'!D:D=$F$4,'领用录入（明细）'!C:C&gt;=$J$4,'领用录入（明细）'!C:C&lt;=$L$4),ROW(),"-")</f>
        <v>-</v>
      </c>
    </row>
    <row r="39348" customHeight="1" spans="2:2">
      <c r="B39348" s="62" t="str">
        <f>IF(AND('领用录入（明细）'!D:D=$F$4,'领用录入（明细）'!C:C&gt;=$J$4,'领用录入（明细）'!C:C&lt;=$L$4),ROW(),"-")</f>
        <v>-</v>
      </c>
    </row>
    <row r="39349" customHeight="1" spans="2:2">
      <c r="B39349" s="62" t="str">
        <f>IF(AND('领用录入（明细）'!D:D=$F$4,'领用录入（明细）'!C:C&gt;=$J$4,'领用录入（明细）'!C:C&lt;=$L$4),ROW(),"-")</f>
        <v>-</v>
      </c>
    </row>
    <row r="39350" customHeight="1" spans="2:2">
      <c r="B39350" s="62" t="str">
        <f>IF(AND('领用录入（明细）'!D:D=$F$4,'领用录入（明细）'!C:C&gt;=$J$4,'领用录入（明细）'!C:C&lt;=$L$4),ROW(),"-")</f>
        <v>-</v>
      </c>
    </row>
    <row r="39351" customHeight="1" spans="2:2">
      <c r="B39351" s="62" t="str">
        <f>IF(AND('领用录入（明细）'!D:D=$F$4,'领用录入（明细）'!C:C&gt;=$J$4,'领用录入（明细）'!C:C&lt;=$L$4),ROW(),"-")</f>
        <v>-</v>
      </c>
    </row>
    <row r="39352" customHeight="1" spans="2:2">
      <c r="B39352" s="62" t="str">
        <f>IF(AND('领用录入（明细）'!D:D=$F$4,'领用录入（明细）'!C:C&gt;=$J$4,'领用录入（明细）'!C:C&lt;=$L$4),ROW(),"-")</f>
        <v>-</v>
      </c>
    </row>
    <row r="39353" customHeight="1" spans="2:2">
      <c r="B39353" s="62" t="str">
        <f>IF(AND('领用录入（明细）'!D:D=$F$4,'领用录入（明细）'!C:C&gt;=$J$4,'领用录入（明细）'!C:C&lt;=$L$4),ROW(),"-")</f>
        <v>-</v>
      </c>
    </row>
    <row r="39354" customHeight="1" spans="2:2">
      <c r="B39354" s="62" t="str">
        <f>IF(AND('领用录入（明细）'!D:D=$F$4,'领用录入（明细）'!C:C&gt;=$J$4,'领用录入（明细）'!C:C&lt;=$L$4),ROW(),"-")</f>
        <v>-</v>
      </c>
    </row>
    <row r="39355" customHeight="1" spans="2:2">
      <c r="B39355" s="62" t="str">
        <f>IF(AND('领用录入（明细）'!D:D=$F$4,'领用录入（明细）'!C:C&gt;=$J$4,'领用录入（明细）'!C:C&lt;=$L$4),ROW(),"-")</f>
        <v>-</v>
      </c>
    </row>
    <row r="39356" customHeight="1" spans="2:2">
      <c r="B39356" s="62" t="str">
        <f>IF(AND('领用录入（明细）'!D:D=$F$4,'领用录入（明细）'!C:C&gt;=$J$4,'领用录入（明细）'!C:C&lt;=$L$4),ROW(),"-")</f>
        <v>-</v>
      </c>
    </row>
    <row r="39357" customHeight="1" spans="2:2">
      <c r="B39357" s="62" t="str">
        <f>IF(AND('领用录入（明细）'!D:D=$F$4,'领用录入（明细）'!C:C&gt;=$J$4,'领用录入（明细）'!C:C&lt;=$L$4),ROW(),"-")</f>
        <v>-</v>
      </c>
    </row>
    <row r="39358" customHeight="1" spans="2:2">
      <c r="B39358" s="62" t="str">
        <f>IF(AND('领用录入（明细）'!D:D=$F$4,'领用录入（明细）'!C:C&gt;=$J$4,'领用录入（明细）'!C:C&lt;=$L$4),ROW(),"-")</f>
        <v>-</v>
      </c>
    </row>
    <row r="39359" customHeight="1" spans="2:2">
      <c r="B39359" s="62" t="str">
        <f>IF(AND('领用录入（明细）'!D:D=$F$4,'领用录入（明细）'!C:C&gt;=$J$4,'领用录入（明细）'!C:C&lt;=$L$4),ROW(),"-")</f>
        <v>-</v>
      </c>
    </row>
    <row r="39360" customHeight="1" spans="2:2">
      <c r="B39360" s="62" t="str">
        <f>IF(AND('领用录入（明细）'!D:D=$F$4,'领用录入（明细）'!C:C&gt;=$J$4,'领用录入（明细）'!C:C&lt;=$L$4),ROW(),"-")</f>
        <v>-</v>
      </c>
    </row>
    <row r="39361" customHeight="1" spans="2:2">
      <c r="B39361" s="62" t="str">
        <f>IF(AND('领用录入（明细）'!D:D=$F$4,'领用录入（明细）'!C:C&gt;=$J$4,'领用录入（明细）'!C:C&lt;=$L$4),ROW(),"-")</f>
        <v>-</v>
      </c>
    </row>
    <row r="39362" customHeight="1" spans="2:2">
      <c r="B39362" s="62" t="str">
        <f>IF(AND('领用录入（明细）'!D:D=$F$4,'领用录入（明细）'!C:C&gt;=$J$4,'领用录入（明细）'!C:C&lt;=$L$4),ROW(),"-")</f>
        <v>-</v>
      </c>
    </row>
    <row r="39363" customHeight="1" spans="2:2">
      <c r="B39363" s="62" t="str">
        <f>IF(AND('领用录入（明细）'!D:D=$F$4,'领用录入（明细）'!C:C&gt;=$J$4,'领用录入（明细）'!C:C&lt;=$L$4),ROW(),"-")</f>
        <v>-</v>
      </c>
    </row>
    <row r="39364" customHeight="1" spans="2:2">
      <c r="B39364" s="62" t="str">
        <f>IF(AND('领用录入（明细）'!D:D=$F$4,'领用录入（明细）'!C:C&gt;=$J$4,'领用录入（明细）'!C:C&lt;=$L$4),ROW(),"-")</f>
        <v>-</v>
      </c>
    </row>
    <row r="39365" customHeight="1" spans="2:2">
      <c r="B39365" s="62" t="str">
        <f>IF(AND('领用录入（明细）'!D:D=$F$4,'领用录入（明细）'!C:C&gt;=$J$4,'领用录入（明细）'!C:C&lt;=$L$4),ROW(),"-")</f>
        <v>-</v>
      </c>
    </row>
    <row r="39366" customHeight="1" spans="2:2">
      <c r="B39366" s="62" t="str">
        <f>IF(AND('领用录入（明细）'!D:D=$F$4,'领用录入（明细）'!C:C&gt;=$J$4,'领用录入（明细）'!C:C&lt;=$L$4),ROW(),"-")</f>
        <v>-</v>
      </c>
    </row>
    <row r="39367" customHeight="1" spans="2:2">
      <c r="B39367" s="62" t="str">
        <f>IF(AND('领用录入（明细）'!D:D=$F$4,'领用录入（明细）'!C:C&gt;=$J$4,'领用录入（明细）'!C:C&lt;=$L$4),ROW(),"-")</f>
        <v>-</v>
      </c>
    </row>
    <row r="39368" customHeight="1" spans="2:2">
      <c r="B39368" s="62" t="str">
        <f>IF(AND('领用录入（明细）'!D:D=$F$4,'领用录入（明细）'!C:C&gt;=$J$4,'领用录入（明细）'!C:C&lt;=$L$4),ROW(),"-")</f>
        <v>-</v>
      </c>
    </row>
    <row r="39369" customHeight="1" spans="2:2">
      <c r="B39369" s="62" t="str">
        <f>IF(AND('领用录入（明细）'!D:D=$F$4,'领用录入（明细）'!C:C&gt;=$J$4,'领用录入（明细）'!C:C&lt;=$L$4),ROW(),"-")</f>
        <v>-</v>
      </c>
    </row>
    <row r="39370" customHeight="1" spans="2:2">
      <c r="B39370" s="62" t="str">
        <f>IF(AND('领用录入（明细）'!D:D=$F$4,'领用录入（明细）'!C:C&gt;=$J$4,'领用录入（明细）'!C:C&lt;=$L$4),ROW(),"-")</f>
        <v>-</v>
      </c>
    </row>
    <row r="39371" customHeight="1" spans="2:2">
      <c r="B39371" s="62" t="str">
        <f>IF(AND('领用录入（明细）'!D:D=$F$4,'领用录入（明细）'!C:C&gt;=$J$4,'领用录入（明细）'!C:C&lt;=$L$4),ROW(),"-")</f>
        <v>-</v>
      </c>
    </row>
    <row r="39372" customHeight="1" spans="2:2">
      <c r="B39372" s="62" t="str">
        <f>IF(AND('领用录入（明细）'!D:D=$F$4,'领用录入（明细）'!C:C&gt;=$J$4,'领用录入（明细）'!C:C&lt;=$L$4),ROW(),"-")</f>
        <v>-</v>
      </c>
    </row>
    <row r="39373" customHeight="1" spans="2:2">
      <c r="B39373" s="62" t="str">
        <f>IF(AND('领用录入（明细）'!D:D=$F$4,'领用录入（明细）'!C:C&gt;=$J$4,'领用录入（明细）'!C:C&lt;=$L$4),ROW(),"-")</f>
        <v>-</v>
      </c>
    </row>
    <row r="39374" customHeight="1" spans="2:2">
      <c r="B39374" s="62" t="str">
        <f>IF(AND('领用录入（明细）'!D:D=$F$4,'领用录入（明细）'!C:C&gt;=$J$4,'领用录入（明细）'!C:C&lt;=$L$4),ROW(),"-")</f>
        <v>-</v>
      </c>
    </row>
    <row r="39375" customHeight="1" spans="2:2">
      <c r="B39375" s="62" t="str">
        <f>IF(AND('领用录入（明细）'!D:D=$F$4,'领用录入（明细）'!C:C&gt;=$J$4,'领用录入（明细）'!C:C&lt;=$L$4),ROW(),"-")</f>
        <v>-</v>
      </c>
    </row>
    <row r="39376" customHeight="1" spans="2:2">
      <c r="B39376" s="62" t="str">
        <f>IF(AND('领用录入（明细）'!D:D=$F$4,'领用录入（明细）'!C:C&gt;=$J$4,'领用录入（明细）'!C:C&lt;=$L$4),ROW(),"-")</f>
        <v>-</v>
      </c>
    </row>
    <row r="39377" customHeight="1" spans="2:2">
      <c r="B39377" s="62" t="str">
        <f>IF(AND('领用录入（明细）'!D:D=$F$4,'领用录入（明细）'!C:C&gt;=$J$4,'领用录入（明细）'!C:C&lt;=$L$4),ROW(),"-")</f>
        <v>-</v>
      </c>
    </row>
    <row r="39378" customHeight="1" spans="2:2">
      <c r="B39378" s="62" t="str">
        <f>IF(AND('领用录入（明细）'!D:D=$F$4,'领用录入（明细）'!C:C&gt;=$J$4,'领用录入（明细）'!C:C&lt;=$L$4),ROW(),"-")</f>
        <v>-</v>
      </c>
    </row>
    <row r="39379" customHeight="1" spans="2:2">
      <c r="B39379" s="62" t="str">
        <f>IF(AND('领用录入（明细）'!D:D=$F$4,'领用录入（明细）'!C:C&gt;=$J$4,'领用录入（明细）'!C:C&lt;=$L$4),ROW(),"-")</f>
        <v>-</v>
      </c>
    </row>
    <row r="39380" customHeight="1" spans="2:2">
      <c r="B39380" s="62" t="str">
        <f>IF(AND('领用录入（明细）'!D:D=$F$4,'领用录入（明细）'!C:C&gt;=$J$4,'领用录入（明细）'!C:C&lt;=$L$4),ROW(),"-")</f>
        <v>-</v>
      </c>
    </row>
    <row r="39381" customHeight="1" spans="2:2">
      <c r="B39381" s="62" t="str">
        <f>IF(AND('领用录入（明细）'!D:D=$F$4,'领用录入（明细）'!C:C&gt;=$J$4,'领用录入（明细）'!C:C&lt;=$L$4),ROW(),"-")</f>
        <v>-</v>
      </c>
    </row>
    <row r="39382" customHeight="1" spans="2:2">
      <c r="B39382" s="62" t="str">
        <f>IF(AND('领用录入（明细）'!D:D=$F$4,'领用录入（明细）'!C:C&gt;=$J$4,'领用录入（明细）'!C:C&lt;=$L$4),ROW(),"-")</f>
        <v>-</v>
      </c>
    </row>
    <row r="39383" customHeight="1" spans="2:2">
      <c r="B39383" s="62" t="str">
        <f>IF(AND('领用录入（明细）'!D:D=$F$4,'领用录入（明细）'!C:C&gt;=$J$4,'领用录入（明细）'!C:C&lt;=$L$4),ROW(),"-")</f>
        <v>-</v>
      </c>
    </row>
    <row r="39384" customHeight="1" spans="2:2">
      <c r="B39384" s="62" t="str">
        <f>IF(AND('领用录入（明细）'!D:D=$F$4,'领用录入（明细）'!C:C&gt;=$J$4,'领用录入（明细）'!C:C&lt;=$L$4),ROW(),"-")</f>
        <v>-</v>
      </c>
    </row>
    <row r="39385" customHeight="1" spans="2:2">
      <c r="B39385" s="62" t="str">
        <f>IF(AND('领用录入（明细）'!D:D=$F$4,'领用录入（明细）'!C:C&gt;=$J$4,'领用录入（明细）'!C:C&lt;=$L$4),ROW(),"-")</f>
        <v>-</v>
      </c>
    </row>
    <row r="39386" customHeight="1" spans="2:2">
      <c r="B39386" s="62" t="str">
        <f>IF(AND('领用录入（明细）'!D:D=$F$4,'领用录入（明细）'!C:C&gt;=$J$4,'领用录入（明细）'!C:C&lt;=$L$4),ROW(),"-")</f>
        <v>-</v>
      </c>
    </row>
    <row r="39387" customHeight="1" spans="2:2">
      <c r="B39387" s="62" t="str">
        <f>IF(AND('领用录入（明细）'!D:D=$F$4,'领用录入（明细）'!C:C&gt;=$J$4,'领用录入（明细）'!C:C&lt;=$L$4),ROW(),"-")</f>
        <v>-</v>
      </c>
    </row>
    <row r="39388" customHeight="1" spans="2:2">
      <c r="B39388" s="62" t="str">
        <f>IF(AND('领用录入（明细）'!D:D=$F$4,'领用录入（明细）'!C:C&gt;=$J$4,'领用录入（明细）'!C:C&lt;=$L$4),ROW(),"-")</f>
        <v>-</v>
      </c>
    </row>
    <row r="39389" customHeight="1" spans="2:2">
      <c r="B39389" s="62" t="str">
        <f>IF(AND('领用录入（明细）'!D:D=$F$4,'领用录入（明细）'!C:C&gt;=$J$4,'领用录入（明细）'!C:C&lt;=$L$4),ROW(),"-")</f>
        <v>-</v>
      </c>
    </row>
    <row r="39390" customHeight="1" spans="2:2">
      <c r="B39390" s="62" t="str">
        <f>IF(AND('领用录入（明细）'!D:D=$F$4,'领用录入（明细）'!C:C&gt;=$J$4,'领用录入（明细）'!C:C&lt;=$L$4),ROW(),"-")</f>
        <v>-</v>
      </c>
    </row>
    <row r="39391" customHeight="1" spans="2:2">
      <c r="B39391" s="62" t="str">
        <f>IF(AND('领用录入（明细）'!D:D=$F$4,'领用录入（明细）'!C:C&gt;=$J$4,'领用录入（明细）'!C:C&lt;=$L$4),ROW(),"-")</f>
        <v>-</v>
      </c>
    </row>
    <row r="39392" customHeight="1" spans="2:2">
      <c r="B39392" s="62" t="str">
        <f>IF(AND('领用录入（明细）'!D:D=$F$4,'领用录入（明细）'!C:C&gt;=$J$4,'领用录入（明细）'!C:C&lt;=$L$4),ROW(),"-")</f>
        <v>-</v>
      </c>
    </row>
    <row r="39393" customHeight="1" spans="2:2">
      <c r="B39393" s="62" t="str">
        <f>IF(AND('领用录入（明细）'!D:D=$F$4,'领用录入（明细）'!C:C&gt;=$J$4,'领用录入（明细）'!C:C&lt;=$L$4),ROW(),"-")</f>
        <v>-</v>
      </c>
    </row>
    <row r="39394" customHeight="1" spans="2:2">
      <c r="B39394" s="62" t="str">
        <f>IF(AND('领用录入（明细）'!D:D=$F$4,'领用录入（明细）'!C:C&gt;=$J$4,'领用录入（明细）'!C:C&lt;=$L$4),ROW(),"-")</f>
        <v>-</v>
      </c>
    </row>
    <row r="39395" customHeight="1" spans="2:2">
      <c r="B39395" s="62" t="str">
        <f>IF(AND('领用录入（明细）'!D:D=$F$4,'领用录入（明细）'!C:C&gt;=$J$4,'领用录入（明细）'!C:C&lt;=$L$4),ROW(),"-")</f>
        <v>-</v>
      </c>
    </row>
    <row r="39396" customHeight="1" spans="2:2">
      <c r="B39396" s="62" t="str">
        <f>IF(AND('领用录入（明细）'!D:D=$F$4,'领用录入（明细）'!C:C&gt;=$J$4,'领用录入（明细）'!C:C&lt;=$L$4),ROW(),"-")</f>
        <v>-</v>
      </c>
    </row>
    <row r="39397" customHeight="1" spans="2:2">
      <c r="B39397" s="62" t="str">
        <f>IF(AND('领用录入（明细）'!D:D=$F$4,'领用录入（明细）'!C:C&gt;=$J$4,'领用录入（明细）'!C:C&lt;=$L$4),ROW(),"-")</f>
        <v>-</v>
      </c>
    </row>
    <row r="39398" customHeight="1" spans="2:2">
      <c r="B39398" s="62" t="str">
        <f>IF(AND('领用录入（明细）'!D:D=$F$4,'领用录入（明细）'!C:C&gt;=$J$4,'领用录入（明细）'!C:C&lt;=$L$4),ROW(),"-")</f>
        <v>-</v>
      </c>
    </row>
    <row r="39399" customHeight="1" spans="2:2">
      <c r="B39399" s="62" t="str">
        <f>IF(AND('领用录入（明细）'!D:D=$F$4,'领用录入（明细）'!C:C&gt;=$J$4,'领用录入（明细）'!C:C&lt;=$L$4),ROW(),"-")</f>
        <v>-</v>
      </c>
    </row>
    <row r="39400" customHeight="1" spans="2:2">
      <c r="B39400" s="62" t="str">
        <f>IF(AND('领用录入（明细）'!D:D=$F$4,'领用录入（明细）'!C:C&gt;=$J$4,'领用录入（明细）'!C:C&lt;=$L$4),ROW(),"-")</f>
        <v>-</v>
      </c>
    </row>
    <row r="39401" customHeight="1" spans="2:2">
      <c r="B39401" s="62" t="str">
        <f>IF(AND('领用录入（明细）'!D:D=$F$4,'领用录入（明细）'!C:C&gt;=$J$4,'领用录入（明细）'!C:C&lt;=$L$4),ROW(),"-")</f>
        <v>-</v>
      </c>
    </row>
    <row r="39402" customHeight="1" spans="2:2">
      <c r="B39402" s="62" t="str">
        <f>IF(AND('领用录入（明细）'!D:D=$F$4,'领用录入（明细）'!C:C&gt;=$J$4,'领用录入（明细）'!C:C&lt;=$L$4),ROW(),"-")</f>
        <v>-</v>
      </c>
    </row>
    <row r="39403" customHeight="1" spans="2:2">
      <c r="B39403" s="62" t="str">
        <f>IF(AND('领用录入（明细）'!D:D=$F$4,'领用录入（明细）'!C:C&gt;=$J$4,'领用录入（明细）'!C:C&lt;=$L$4),ROW(),"-")</f>
        <v>-</v>
      </c>
    </row>
    <row r="39404" customHeight="1" spans="2:2">
      <c r="B39404" s="62" t="str">
        <f>IF(AND('领用录入（明细）'!D:D=$F$4,'领用录入（明细）'!C:C&gt;=$J$4,'领用录入（明细）'!C:C&lt;=$L$4),ROW(),"-")</f>
        <v>-</v>
      </c>
    </row>
    <row r="39405" customHeight="1" spans="2:2">
      <c r="B39405" s="62" t="str">
        <f>IF(AND('领用录入（明细）'!D:D=$F$4,'领用录入（明细）'!C:C&gt;=$J$4,'领用录入（明细）'!C:C&lt;=$L$4),ROW(),"-")</f>
        <v>-</v>
      </c>
    </row>
    <row r="39406" customHeight="1" spans="2:2">
      <c r="B39406" s="62" t="str">
        <f>IF(AND('领用录入（明细）'!D:D=$F$4,'领用录入（明细）'!C:C&gt;=$J$4,'领用录入（明细）'!C:C&lt;=$L$4),ROW(),"-")</f>
        <v>-</v>
      </c>
    </row>
    <row r="39407" customHeight="1" spans="2:2">
      <c r="B39407" s="62" t="str">
        <f>IF(AND('领用录入（明细）'!D:D=$F$4,'领用录入（明细）'!C:C&gt;=$J$4,'领用录入（明细）'!C:C&lt;=$L$4),ROW(),"-")</f>
        <v>-</v>
      </c>
    </row>
    <row r="39408" customHeight="1" spans="2:2">
      <c r="B39408" s="62" t="str">
        <f>IF(AND('领用录入（明细）'!D:D=$F$4,'领用录入（明细）'!C:C&gt;=$J$4,'领用录入（明细）'!C:C&lt;=$L$4),ROW(),"-")</f>
        <v>-</v>
      </c>
    </row>
    <row r="39409" customHeight="1" spans="2:2">
      <c r="B39409" s="62" t="str">
        <f>IF(AND('领用录入（明细）'!D:D=$F$4,'领用录入（明细）'!C:C&gt;=$J$4,'领用录入（明细）'!C:C&lt;=$L$4),ROW(),"-")</f>
        <v>-</v>
      </c>
    </row>
    <row r="39410" customHeight="1" spans="2:2">
      <c r="B39410" s="62" t="str">
        <f>IF(AND('领用录入（明细）'!D:D=$F$4,'领用录入（明细）'!C:C&gt;=$J$4,'领用录入（明细）'!C:C&lt;=$L$4),ROW(),"-")</f>
        <v>-</v>
      </c>
    </row>
    <row r="39411" customHeight="1" spans="2:2">
      <c r="B39411" s="62" t="str">
        <f>IF(AND('领用录入（明细）'!D:D=$F$4,'领用录入（明细）'!C:C&gt;=$J$4,'领用录入（明细）'!C:C&lt;=$L$4),ROW(),"-")</f>
        <v>-</v>
      </c>
    </row>
    <row r="39412" customHeight="1" spans="2:2">
      <c r="B39412" s="62" t="str">
        <f>IF(AND('领用录入（明细）'!D:D=$F$4,'领用录入（明细）'!C:C&gt;=$J$4,'领用录入（明细）'!C:C&lt;=$L$4),ROW(),"-")</f>
        <v>-</v>
      </c>
    </row>
    <row r="39413" customHeight="1" spans="2:2">
      <c r="B39413" s="62" t="str">
        <f>IF(AND('领用录入（明细）'!D:D=$F$4,'领用录入（明细）'!C:C&gt;=$J$4,'领用录入（明细）'!C:C&lt;=$L$4),ROW(),"-")</f>
        <v>-</v>
      </c>
    </row>
    <row r="39414" customHeight="1" spans="2:2">
      <c r="B39414" s="62" t="str">
        <f>IF(AND('领用录入（明细）'!D:D=$F$4,'领用录入（明细）'!C:C&gt;=$J$4,'领用录入（明细）'!C:C&lt;=$L$4),ROW(),"-")</f>
        <v>-</v>
      </c>
    </row>
    <row r="39415" customHeight="1" spans="2:2">
      <c r="B39415" s="62" t="str">
        <f>IF(AND('领用录入（明细）'!D:D=$F$4,'领用录入（明细）'!C:C&gt;=$J$4,'领用录入（明细）'!C:C&lt;=$L$4),ROW(),"-")</f>
        <v>-</v>
      </c>
    </row>
    <row r="39416" customHeight="1" spans="2:2">
      <c r="B39416" s="62" t="str">
        <f>IF(AND('领用录入（明细）'!D:D=$F$4,'领用录入（明细）'!C:C&gt;=$J$4,'领用录入（明细）'!C:C&lt;=$L$4),ROW(),"-")</f>
        <v>-</v>
      </c>
    </row>
    <row r="39417" customHeight="1" spans="2:2">
      <c r="B39417" s="62" t="str">
        <f>IF(AND('领用录入（明细）'!D:D=$F$4,'领用录入（明细）'!C:C&gt;=$J$4,'领用录入（明细）'!C:C&lt;=$L$4),ROW(),"-")</f>
        <v>-</v>
      </c>
    </row>
    <row r="39418" customHeight="1" spans="2:2">
      <c r="B39418" s="62" t="str">
        <f>IF(AND('领用录入（明细）'!D:D=$F$4,'领用录入（明细）'!C:C&gt;=$J$4,'领用录入（明细）'!C:C&lt;=$L$4),ROW(),"-")</f>
        <v>-</v>
      </c>
    </row>
    <row r="39419" customHeight="1" spans="2:2">
      <c r="B39419" s="62" t="str">
        <f>IF(AND('领用录入（明细）'!D:D=$F$4,'领用录入（明细）'!C:C&gt;=$J$4,'领用录入（明细）'!C:C&lt;=$L$4),ROW(),"-")</f>
        <v>-</v>
      </c>
    </row>
    <row r="39420" customHeight="1" spans="2:2">
      <c r="B39420" s="62" t="str">
        <f>IF(AND('领用录入（明细）'!D:D=$F$4,'领用录入（明细）'!C:C&gt;=$J$4,'领用录入（明细）'!C:C&lt;=$L$4),ROW(),"-")</f>
        <v>-</v>
      </c>
    </row>
    <row r="39421" customHeight="1" spans="2:2">
      <c r="B39421" s="62" t="str">
        <f>IF(AND('领用录入（明细）'!D:D=$F$4,'领用录入（明细）'!C:C&gt;=$J$4,'领用录入（明细）'!C:C&lt;=$L$4),ROW(),"-")</f>
        <v>-</v>
      </c>
    </row>
    <row r="39422" customHeight="1" spans="2:2">
      <c r="B39422" s="62" t="str">
        <f>IF(AND('领用录入（明细）'!D:D=$F$4,'领用录入（明细）'!C:C&gt;=$J$4,'领用录入（明细）'!C:C&lt;=$L$4),ROW(),"-")</f>
        <v>-</v>
      </c>
    </row>
    <row r="39423" customHeight="1" spans="2:2">
      <c r="B39423" s="62" t="str">
        <f>IF(AND('领用录入（明细）'!D:D=$F$4,'领用录入（明细）'!C:C&gt;=$J$4,'领用录入（明细）'!C:C&lt;=$L$4),ROW(),"-")</f>
        <v>-</v>
      </c>
    </row>
    <row r="39424" customHeight="1" spans="2:2">
      <c r="B39424" s="62" t="str">
        <f>IF(AND('领用录入（明细）'!D:D=$F$4,'领用录入（明细）'!C:C&gt;=$J$4,'领用录入（明细）'!C:C&lt;=$L$4),ROW(),"-")</f>
        <v>-</v>
      </c>
    </row>
    <row r="39425" customHeight="1" spans="2:2">
      <c r="B39425" s="62" t="str">
        <f>IF(AND('领用录入（明细）'!D:D=$F$4,'领用录入（明细）'!C:C&gt;=$J$4,'领用录入（明细）'!C:C&lt;=$L$4),ROW(),"-")</f>
        <v>-</v>
      </c>
    </row>
    <row r="39426" customHeight="1" spans="2:2">
      <c r="B39426" s="62" t="str">
        <f>IF(AND('领用录入（明细）'!D:D=$F$4,'领用录入（明细）'!C:C&gt;=$J$4,'领用录入（明细）'!C:C&lt;=$L$4),ROW(),"-")</f>
        <v>-</v>
      </c>
    </row>
    <row r="39427" customHeight="1" spans="2:2">
      <c r="B39427" s="62" t="str">
        <f>IF(AND('领用录入（明细）'!D:D=$F$4,'领用录入（明细）'!C:C&gt;=$J$4,'领用录入（明细）'!C:C&lt;=$L$4),ROW(),"-")</f>
        <v>-</v>
      </c>
    </row>
    <row r="39428" customHeight="1" spans="2:2">
      <c r="B39428" s="62" t="str">
        <f>IF(AND('领用录入（明细）'!D:D=$F$4,'领用录入（明细）'!C:C&gt;=$J$4,'领用录入（明细）'!C:C&lt;=$L$4),ROW(),"-")</f>
        <v>-</v>
      </c>
    </row>
    <row r="39429" customHeight="1" spans="2:2">
      <c r="B39429" s="62" t="str">
        <f>IF(AND('领用录入（明细）'!D:D=$F$4,'领用录入（明细）'!C:C&gt;=$J$4,'领用录入（明细）'!C:C&lt;=$L$4),ROW(),"-")</f>
        <v>-</v>
      </c>
    </row>
    <row r="39430" customHeight="1" spans="2:2">
      <c r="B39430" s="62" t="str">
        <f>IF(AND('领用录入（明细）'!D:D=$F$4,'领用录入（明细）'!C:C&gt;=$J$4,'领用录入（明细）'!C:C&lt;=$L$4),ROW(),"-")</f>
        <v>-</v>
      </c>
    </row>
    <row r="39431" customHeight="1" spans="2:2">
      <c r="B39431" s="62" t="str">
        <f>IF(AND('领用录入（明细）'!D:D=$F$4,'领用录入（明细）'!C:C&gt;=$J$4,'领用录入（明细）'!C:C&lt;=$L$4),ROW(),"-")</f>
        <v>-</v>
      </c>
    </row>
    <row r="39432" customHeight="1" spans="2:2">
      <c r="B39432" s="62" t="str">
        <f>IF(AND('领用录入（明细）'!D:D=$F$4,'领用录入（明细）'!C:C&gt;=$J$4,'领用录入（明细）'!C:C&lt;=$L$4),ROW(),"-")</f>
        <v>-</v>
      </c>
    </row>
    <row r="39433" customHeight="1" spans="2:2">
      <c r="B39433" s="62" t="str">
        <f>IF(AND('领用录入（明细）'!D:D=$F$4,'领用录入（明细）'!C:C&gt;=$J$4,'领用录入（明细）'!C:C&lt;=$L$4),ROW(),"-")</f>
        <v>-</v>
      </c>
    </row>
    <row r="39434" customHeight="1" spans="2:2">
      <c r="B39434" s="62" t="str">
        <f>IF(AND('领用录入（明细）'!D:D=$F$4,'领用录入（明细）'!C:C&gt;=$J$4,'领用录入（明细）'!C:C&lt;=$L$4),ROW(),"-")</f>
        <v>-</v>
      </c>
    </row>
    <row r="39435" customHeight="1" spans="2:2">
      <c r="B39435" s="62" t="str">
        <f>IF(AND('领用录入（明细）'!D:D=$F$4,'领用录入（明细）'!C:C&gt;=$J$4,'领用录入（明细）'!C:C&lt;=$L$4),ROW(),"-")</f>
        <v>-</v>
      </c>
    </row>
    <row r="39436" customHeight="1" spans="2:2">
      <c r="B39436" s="62" t="str">
        <f>IF(AND('领用录入（明细）'!D:D=$F$4,'领用录入（明细）'!C:C&gt;=$J$4,'领用录入（明细）'!C:C&lt;=$L$4),ROW(),"-")</f>
        <v>-</v>
      </c>
    </row>
    <row r="39437" customHeight="1" spans="2:2">
      <c r="B39437" s="62" t="str">
        <f>IF(AND('领用录入（明细）'!D:D=$F$4,'领用录入（明细）'!C:C&gt;=$J$4,'领用录入（明细）'!C:C&lt;=$L$4),ROW(),"-")</f>
        <v>-</v>
      </c>
    </row>
    <row r="39438" customHeight="1" spans="2:2">
      <c r="B39438" s="62" t="str">
        <f>IF(AND('领用录入（明细）'!D:D=$F$4,'领用录入（明细）'!C:C&gt;=$J$4,'领用录入（明细）'!C:C&lt;=$L$4),ROW(),"-")</f>
        <v>-</v>
      </c>
    </row>
    <row r="39439" customHeight="1" spans="2:2">
      <c r="B39439" s="62" t="str">
        <f>IF(AND('领用录入（明细）'!D:D=$F$4,'领用录入（明细）'!C:C&gt;=$J$4,'领用录入（明细）'!C:C&lt;=$L$4),ROW(),"-")</f>
        <v>-</v>
      </c>
    </row>
    <row r="39440" customHeight="1" spans="2:2">
      <c r="B39440" s="62" t="str">
        <f>IF(AND('领用录入（明细）'!D:D=$F$4,'领用录入（明细）'!C:C&gt;=$J$4,'领用录入（明细）'!C:C&lt;=$L$4),ROW(),"-")</f>
        <v>-</v>
      </c>
    </row>
    <row r="39441" customHeight="1" spans="2:2">
      <c r="B39441" s="62" t="str">
        <f>IF(AND('领用录入（明细）'!D:D=$F$4,'领用录入（明细）'!C:C&gt;=$J$4,'领用录入（明细）'!C:C&lt;=$L$4),ROW(),"-")</f>
        <v>-</v>
      </c>
    </row>
    <row r="39442" customHeight="1" spans="2:2">
      <c r="B39442" s="62" t="str">
        <f>IF(AND('领用录入（明细）'!D:D=$F$4,'领用录入（明细）'!C:C&gt;=$J$4,'领用录入（明细）'!C:C&lt;=$L$4),ROW(),"-")</f>
        <v>-</v>
      </c>
    </row>
    <row r="39443" customHeight="1" spans="2:2">
      <c r="B39443" s="62" t="str">
        <f>IF(AND('领用录入（明细）'!D:D=$F$4,'领用录入（明细）'!C:C&gt;=$J$4,'领用录入（明细）'!C:C&lt;=$L$4),ROW(),"-")</f>
        <v>-</v>
      </c>
    </row>
    <row r="39444" customHeight="1" spans="2:2">
      <c r="B39444" s="62" t="str">
        <f>IF(AND('领用录入（明细）'!D:D=$F$4,'领用录入（明细）'!C:C&gt;=$J$4,'领用录入（明细）'!C:C&lt;=$L$4),ROW(),"-")</f>
        <v>-</v>
      </c>
    </row>
    <row r="39445" customHeight="1" spans="2:2">
      <c r="B39445" s="62" t="str">
        <f>IF(AND('领用录入（明细）'!D:D=$F$4,'领用录入（明细）'!C:C&gt;=$J$4,'领用录入（明细）'!C:C&lt;=$L$4),ROW(),"-")</f>
        <v>-</v>
      </c>
    </row>
    <row r="39446" customHeight="1" spans="2:2">
      <c r="B39446" s="62" t="str">
        <f>IF(AND('领用录入（明细）'!D:D=$F$4,'领用录入（明细）'!C:C&gt;=$J$4,'领用录入（明细）'!C:C&lt;=$L$4),ROW(),"-")</f>
        <v>-</v>
      </c>
    </row>
    <row r="39447" customHeight="1" spans="2:2">
      <c r="B39447" s="62" t="str">
        <f>IF(AND('领用录入（明细）'!D:D=$F$4,'领用录入（明细）'!C:C&gt;=$J$4,'领用录入（明细）'!C:C&lt;=$L$4),ROW(),"-")</f>
        <v>-</v>
      </c>
    </row>
    <row r="39448" customHeight="1" spans="2:2">
      <c r="B39448" s="62" t="str">
        <f>IF(AND('领用录入（明细）'!D:D=$F$4,'领用录入（明细）'!C:C&gt;=$J$4,'领用录入（明细）'!C:C&lt;=$L$4),ROW(),"-")</f>
        <v>-</v>
      </c>
    </row>
    <row r="39449" customHeight="1" spans="2:2">
      <c r="B39449" s="62" t="str">
        <f>IF(AND('领用录入（明细）'!D:D=$F$4,'领用录入（明细）'!C:C&gt;=$J$4,'领用录入（明细）'!C:C&lt;=$L$4),ROW(),"-")</f>
        <v>-</v>
      </c>
    </row>
    <row r="39450" customHeight="1" spans="2:2">
      <c r="B39450" s="62" t="str">
        <f>IF(AND('领用录入（明细）'!D:D=$F$4,'领用录入（明细）'!C:C&gt;=$J$4,'领用录入（明细）'!C:C&lt;=$L$4),ROW(),"-")</f>
        <v>-</v>
      </c>
    </row>
    <row r="39451" customHeight="1" spans="2:2">
      <c r="B39451" s="62" t="str">
        <f>IF(AND('领用录入（明细）'!D:D=$F$4,'领用录入（明细）'!C:C&gt;=$J$4,'领用录入（明细）'!C:C&lt;=$L$4),ROW(),"-")</f>
        <v>-</v>
      </c>
    </row>
    <row r="39452" customHeight="1" spans="2:2">
      <c r="B39452" s="62" t="str">
        <f>IF(AND('领用录入（明细）'!D:D=$F$4,'领用录入（明细）'!C:C&gt;=$J$4,'领用录入（明细）'!C:C&lt;=$L$4),ROW(),"-")</f>
        <v>-</v>
      </c>
    </row>
    <row r="39453" customHeight="1" spans="2:2">
      <c r="B39453" s="62" t="str">
        <f>IF(AND('领用录入（明细）'!D:D=$F$4,'领用录入（明细）'!C:C&gt;=$J$4,'领用录入（明细）'!C:C&lt;=$L$4),ROW(),"-")</f>
        <v>-</v>
      </c>
    </row>
    <row r="39454" customHeight="1" spans="2:2">
      <c r="B39454" s="62" t="str">
        <f>IF(AND('领用录入（明细）'!D:D=$F$4,'领用录入（明细）'!C:C&gt;=$J$4,'领用录入（明细）'!C:C&lt;=$L$4),ROW(),"-")</f>
        <v>-</v>
      </c>
    </row>
    <row r="39455" customHeight="1" spans="2:2">
      <c r="B39455" s="62" t="str">
        <f>IF(AND('领用录入（明细）'!D:D=$F$4,'领用录入（明细）'!C:C&gt;=$J$4,'领用录入（明细）'!C:C&lt;=$L$4),ROW(),"-")</f>
        <v>-</v>
      </c>
    </row>
    <row r="39456" customHeight="1" spans="2:2">
      <c r="B39456" s="62" t="str">
        <f>IF(AND('领用录入（明细）'!D:D=$F$4,'领用录入（明细）'!C:C&gt;=$J$4,'领用录入（明细）'!C:C&lt;=$L$4),ROW(),"-")</f>
        <v>-</v>
      </c>
    </row>
    <row r="39457" customHeight="1" spans="2:2">
      <c r="B39457" s="62" t="str">
        <f>IF(AND('领用录入（明细）'!D:D=$F$4,'领用录入（明细）'!C:C&gt;=$J$4,'领用录入（明细）'!C:C&lt;=$L$4),ROW(),"-")</f>
        <v>-</v>
      </c>
    </row>
    <row r="39458" customHeight="1" spans="2:2">
      <c r="B39458" s="62" t="str">
        <f>IF(AND('领用录入（明细）'!D:D=$F$4,'领用录入（明细）'!C:C&gt;=$J$4,'领用录入（明细）'!C:C&lt;=$L$4),ROW(),"-")</f>
        <v>-</v>
      </c>
    </row>
    <row r="39459" customHeight="1" spans="2:2">
      <c r="B39459" s="62" t="str">
        <f>IF(AND('领用录入（明细）'!D:D=$F$4,'领用录入（明细）'!C:C&gt;=$J$4,'领用录入（明细）'!C:C&lt;=$L$4),ROW(),"-")</f>
        <v>-</v>
      </c>
    </row>
    <row r="39460" customHeight="1" spans="2:2">
      <c r="B39460" s="62" t="str">
        <f>IF(AND('领用录入（明细）'!D:D=$F$4,'领用录入（明细）'!C:C&gt;=$J$4,'领用录入（明细）'!C:C&lt;=$L$4),ROW(),"-")</f>
        <v>-</v>
      </c>
    </row>
    <row r="39461" customHeight="1" spans="2:2">
      <c r="B39461" s="62" t="str">
        <f>IF(AND('领用录入（明细）'!D:D=$F$4,'领用录入（明细）'!C:C&gt;=$J$4,'领用录入（明细）'!C:C&lt;=$L$4),ROW(),"-")</f>
        <v>-</v>
      </c>
    </row>
    <row r="39462" customHeight="1" spans="2:2">
      <c r="B39462" s="62" t="str">
        <f>IF(AND('领用录入（明细）'!D:D=$F$4,'领用录入（明细）'!C:C&gt;=$J$4,'领用录入（明细）'!C:C&lt;=$L$4),ROW(),"-")</f>
        <v>-</v>
      </c>
    </row>
    <row r="39463" customHeight="1" spans="2:2">
      <c r="B39463" s="62" t="str">
        <f>IF(AND('领用录入（明细）'!D:D=$F$4,'领用录入（明细）'!C:C&gt;=$J$4,'领用录入（明细）'!C:C&lt;=$L$4),ROW(),"-")</f>
        <v>-</v>
      </c>
    </row>
    <row r="39464" customHeight="1" spans="2:2">
      <c r="B39464" s="62" t="str">
        <f>IF(AND('领用录入（明细）'!D:D=$F$4,'领用录入（明细）'!C:C&gt;=$J$4,'领用录入（明细）'!C:C&lt;=$L$4),ROW(),"-")</f>
        <v>-</v>
      </c>
    </row>
    <row r="39465" customHeight="1" spans="2:2">
      <c r="B39465" s="62" t="str">
        <f>IF(AND('领用录入（明细）'!D:D=$F$4,'领用录入（明细）'!C:C&gt;=$J$4,'领用录入（明细）'!C:C&lt;=$L$4),ROW(),"-")</f>
        <v>-</v>
      </c>
    </row>
    <row r="39466" customHeight="1" spans="2:2">
      <c r="B39466" s="62" t="str">
        <f>IF(AND('领用录入（明细）'!D:D=$F$4,'领用录入（明细）'!C:C&gt;=$J$4,'领用录入（明细）'!C:C&lt;=$L$4),ROW(),"-")</f>
        <v>-</v>
      </c>
    </row>
    <row r="39467" customHeight="1" spans="2:2">
      <c r="B39467" s="62" t="str">
        <f>IF(AND('领用录入（明细）'!D:D=$F$4,'领用录入（明细）'!C:C&gt;=$J$4,'领用录入（明细）'!C:C&lt;=$L$4),ROW(),"-")</f>
        <v>-</v>
      </c>
    </row>
    <row r="39468" customHeight="1" spans="2:2">
      <c r="B39468" s="62" t="str">
        <f>IF(AND('领用录入（明细）'!D:D=$F$4,'领用录入（明细）'!C:C&gt;=$J$4,'领用录入（明细）'!C:C&lt;=$L$4),ROW(),"-")</f>
        <v>-</v>
      </c>
    </row>
    <row r="39469" customHeight="1" spans="2:2">
      <c r="B39469" s="62" t="str">
        <f>IF(AND('领用录入（明细）'!D:D=$F$4,'领用录入（明细）'!C:C&gt;=$J$4,'领用录入（明细）'!C:C&lt;=$L$4),ROW(),"-")</f>
        <v>-</v>
      </c>
    </row>
    <row r="39470" customHeight="1" spans="2:2">
      <c r="B39470" s="62" t="str">
        <f>IF(AND('领用录入（明细）'!D:D=$F$4,'领用录入（明细）'!C:C&gt;=$J$4,'领用录入（明细）'!C:C&lt;=$L$4),ROW(),"-")</f>
        <v>-</v>
      </c>
    </row>
    <row r="39471" customHeight="1" spans="2:2">
      <c r="B39471" s="62" t="str">
        <f>IF(AND('领用录入（明细）'!D:D=$F$4,'领用录入（明细）'!C:C&gt;=$J$4,'领用录入（明细）'!C:C&lt;=$L$4),ROW(),"-")</f>
        <v>-</v>
      </c>
    </row>
    <row r="39472" customHeight="1" spans="2:2">
      <c r="B39472" s="62" t="str">
        <f>IF(AND('领用录入（明细）'!D:D=$F$4,'领用录入（明细）'!C:C&gt;=$J$4,'领用录入（明细）'!C:C&lt;=$L$4),ROW(),"-")</f>
        <v>-</v>
      </c>
    </row>
    <row r="39473" customHeight="1" spans="2:2">
      <c r="B39473" s="62" t="str">
        <f>IF(AND('领用录入（明细）'!D:D=$F$4,'领用录入（明细）'!C:C&gt;=$J$4,'领用录入（明细）'!C:C&lt;=$L$4),ROW(),"-")</f>
        <v>-</v>
      </c>
    </row>
    <row r="39474" customHeight="1" spans="2:2">
      <c r="B39474" s="62" t="str">
        <f>IF(AND('领用录入（明细）'!D:D=$F$4,'领用录入（明细）'!C:C&gt;=$J$4,'领用录入（明细）'!C:C&lt;=$L$4),ROW(),"-")</f>
        <v>-</v>
      </c>
    </row>
    <row r="39475" customHeight="1" spans="2:2">
      <c r="B39475" s="62" t="str">
        <f>IF(AND('领用录入（明细）'!D:D=$F$4,'领用录入（明细）'!C:C&gt;=$J$4,'领用录入（明细）'!C:C&lt;=$L$4),ROW(),"-")</f>
        <v>-</v>
      </c>
    </row>
    <row r="39476" customHeight="1" spans="2:2">
      <c r="B39476" s="62" t="str">
        <f>IF(AND('领用录入（明细）'!D:D=$F$4,'领用录入（明细）'!C:C&gt;=$J$4,'领用录入（明细）'!C:C&lt;=$L$4),ROW(),"-")</f>
        <v>-</v>
      </c>
    </row>
    <row r="39477" customHeight="1" spans="2:2">
      <c r="B39477" s="62" t="str">
        <f>IF(AND('领用录入（明细）'!D:D=$F$4,'领用录入（明细）'!C:C&gt;=$J$4,'领用录入（明细）'!C:C&lt;=$L$4),ROW(),"-")</f>
        <v>-</v>
      </c>
    </row>
    <row r="39478" customHeight="1" spans="2:2">
      <c r="B39478" s="62" t="str">
        <f>IF(AND('领用录入（明细）'!D:D=$F$4,'领用录入（明细）'!C:C&gt;=$J$4,'领用录入（明细）'!C:C&lt;=$L$4),ROW(),"-")</f>
        <v>-</v>
      </c>
    </row>
    <row r="39479" customHeight="1" spans="2:2">
      <c r="B39479" s="62" t="str">
        <f>IF(AND('领用录入（明细）'!D:D=$F$4,'领用录入（明细）'!C:C&gt;=$J$4,'领用录入（明细）'!C:C&lt;=$L$4),ROW(),"-")</f>
        <v>-</v>
      </c>
    </row>
    <row r="39480" customHeight="1" spans="2:2">
      <c r="B39480" s="62" t="str">
        <f>IF(AND('领用录入（明细）'!D:D=$F$4,'领用录入（明细）'!C:C&gt;=$J$4,'领用录入（明细）'!C:C&lt;=$L$4),ROW(),"-")</f>
        <v>-</v>
      </c>
    </row>
    <row r="39481" customHeight="1" spans="2:2">
      <c r="B39481" s="62" t="str">
        <f>IF(AND('领用录入（明细）'!D:D=$F$4,'领用录入（明细）'!C:C&gt;=$J$4,'领用录入（明细）'!C:C&lt;=$L$4),ROW(),"-")</f>
        <v>-</v>
      </c>
    </row>
    <row r="39482" customHeight="1" spans="2:2">
      <c r="B39482" s="62" t="str">
        <f>IF(AND('领用录入（明细）'!D:D=$F$4,'领用录入（明细）'!C:C&gt;=$J$4,'领用录入（明细）'!C:C&lt;=$L$4),ROW(),"-")</f>
        <v>-</v>
      </c>
    </row>
    <row r="39483" customHeight="1" spans="2:2">
      <c r="B39483" s="62" t="str">
        <f>IF(AND('领用录入（明细）'!D:D=$F$4,'领用录入（明细）'!C:C&gt;=$J$4,'领用录入（明细）'!C:C&lt;=$L$4),ROW(),"-")</f>
        <v>-</v>
      </c>
    </row>
    <row r="39484" customHeight="1" spans="2:2">
      <c r="B39484" s="62" t="str">
        <f>IF(AND('领用录入（明细）'!D:D=$F$4,'领用录入（明细）'!C:C&gt;=$J$4,'领用录入（明细）'!C:C&lt;=$L$4),ROW(),"-")</f>
        <v>-</v>
      </c>
    </row>
    <row r="39485" customHeight="1" spans="2:2">
      <c r="B39485" s="62" t="str">
        <f>IF(AND('领用录入（明细）'!D:D=$F$4,'领用录入（明细）'!C:C&gt;=$J$4,'领用录入（明细）'!C:C&lt;=$L$4),ROW(),"-")</f>
        <v>-</v>
      </c>
    </row>
    <row r="39486" customHeight="1" spans="2:2">
      <c r="B39486" s="62" t="str">
        <f>IF(AND('领用录入（明细）'!D:D=$F$4,'领用录入（明细）'!C:C&gt;=$J$4,'领用录入（明细）'!C:C&lt;=$L$4),ROW(),"-")</f>
        <v>-</v>
      </c>
    </row>
    <row r="39487" customHeight="1" spans="2:2">
      <c r="B39487" s="62" t="str">
        <f>IF(AND('领用录入（明细）'!D:D=$F$4,'领用录入（明细）'!C:C&gt;=$J$4,'领用录入（明细）'!C:C&lt;=$L$4),ROW(),"-")</f>
        <v>-</v>
      </c>
    </row>
    <row r="39488" customHeight="1" spans="2:2">
      <c r="B39488" s="62" t="str">
        <f>IF(AND('领用录入（明细）'!D:D=$F$4,'领用录入（明细）'!C:C&gt;=$J$4,'领用录入（明细）'!C:C&lt;=$L$4),ROW(),"-")</f>
        <v>-</v>
      </c>
    </row>
    <row r="39489" customHeight="1" spans="2:2">
      <c r="B39489" s="62" t="str">
        <f>IF(AND('领用录入（明细）'!D:D=$F$4,'领用录入（明细）'!C:C&gt;=$J$4,'领用录入（明细）'!C:C&lt;=$L$4),ROW(),"-")</f>
        <v>-</v>
      </c>
    </row>
    <row r="39490" customHeight="1" spans="2:2">
      <c r="B39490" s="62" t="str">
        <f>IF(AND('领用录入（明细）'!D:D=$F$4,'领用录入（明细）'!C:C&gt;=$J$4,'领用录入（明细）'!C:C&lt;=$L$4),ROW(),"-")</f>
        <v>-</v>
      </c>
    </row>
    <row r="39491" customHeight="1" spans="2:2">
      <c r="B39491" s="62" t="str">
        <f>IF(AND('领用录入（明细）'!D:D=$F$4,'领用录入（明细）'!C:C&gt;=$J$4,'领用录入（明细）'!C:C&lt;=$L$4),ROW(),"-")</f>
        <v>-</v>
      </c>
    </row>
    <row r="39492" customHeight="1" spans="2:2">
      <c r="B39492" s="62" t="str">
        <f>IF(AND('领用录入（明细）'!D:D=$F$4,'领用录入（明细）'!C:C&gt;=$J$4,'领用录入（明细）'!C:C&lt;=$L$4),ROW(),"-")</f>
        <v>-</v>
      </c>
    </row>
    <row r="39493" customHeight="1" spans="2:2">
      <c r="B39493" s="62" t="str">
        <f>IF(AND('领用录入（明细）'!D:D=$F$4,'领用录入（明细）'!C:C&gt;=$J$4,'领用录入（明细）'!C:C&lt;=$L$4),ROW(),"-")</f>
        <v>-</v>
      </c>
    </row>
    <row r="39494" customHeight="1" spans="2:2">
      <c r="B39494" s="62" t="str">
        <f>IF(AND('领用录入（明细）'!D:D=$F$4,'领用录入（明细）'!C:C&gt;=$J$4,'领用录入（明细）'!C:C&lt;=$L$4),ROW(),"-")</f>
        <v>-</v>
      </c>
    </row>
    <row r="39495" customHeight="1" spans="2:2">
      <c r="B39495" s="62" t="str">
        <f>IF(AND('领用录入（明细）'!D:D=$F$4,'领用录入（明细）'!C:C&gt;=$J$4,'领用录入（明细）'!C:C&lt;=$L$4),ROW(),"-")</f>
        <v>-</v>
      </c>
    </row>
    <row r="39496" customHeight="1" spans="2:2">
      <c r="B39496" s="62" t="str">
        <f>IF(AND('领用录入（明细）'!D:D=$F$4,'领用录入（明细）'!C:C&gt;=$J$4,'领用录入（明细）'!C:C&lt;=$L$4),ROW(),"-")</f>
        <v>-</v>
      </c>
    </row>
    <row r="39497" customHeight="1" spans="2:2">
      <c r="B39497" s="62" t="str">
        <f>IF(AND('领用录入（明细）'!D:D=$F$4,'领用录入（明细）'!C:C&gt;=$J$4,'领用录入（明细）'!C:C&lt;=$L$4),ROW(),"-")</f>
        <v>-</v>
      </c>
    </row>
    <row r="39498" customHeight="1" spans="2:2">
      <c r="B39498" s="62" t="str">
        <f>IF(AND('领用录入（明细）'!D:D=$F$4,'领用录入（明细）'!C:C&gt;=$J$4,'领用录入（明细）'!C:C&lt;=$L$4),ROW(),"-")</f>
        <v>-</v>
      </c>
    </row>
    <row r="39499" customHeight="1" spans="2:2">
      <c r="B39499" s="62" t="str">
        <f>IF(AND('领用录入（明细）'!D:D=$F$4,'领用录入（明细）'!C:C&gt;=$J$4,'领用录入（明细）'!C:C&lt;=$L$4),ROW(),"-")</f>
        <v>-</v>
      </c>
    </row>
    <row r="39500" customHeight="1" spans="2:2">
      <c r="B39500" s="62" t="str">
        <f>IF(AND('领用录入（明细）'!D:D=$F$4,'领用录入（明细）'!C:C&gt;=$J$4,'领用录入（明细）'!C:C&lt;=$L$4),ROW(),"-")</f>
        <v>-</v>
      </c>
    </row>
    <row r="39501" customHeight="1" spans="2:2">
      <c r="B39501" s="62" t="str">
        <f>IF(AND('领用录入（明细）'!D:D=$F$4,'领用录入（明细）'!C:C&gt;=$J$4,'领用录入（明细）'!C:C&lt;=$L$4),ROW(),"-")</f>
        <v>-</v>
      </c>
    </row>
    <row r="39502" customHeight="1" spans="2:2">
      <c r="B39502" s="62" t="str">
        <f>IF(AND('领用录入（明细）'!D:D=$F$4,'领用录入（明细）'!C:C&gt;=$J$4,'领用录入（明细）'!C:C&lt;=$L$4),ROW(),"-")</f>
        <v>-</v>
      </c>
    </row>
    <row r="39503" customHeight="1" spans="2:2">
      <c r="B39503" s="62" t="str">
        <f>IF(AND('领用录入（明细）'!D:D=$F$4,'领用录入（明细）'!C:C&gt;=$J$4,'领用录入（明细）'!C:C&lt;=$L$4),ROW(),"-")</f>
        <v>-</v>
      </c>
    </row>
    <row r="39504" customHeight="1" spans="2:2">
      <c r="B39504" s="62" t="str">
        <f>IF(AND('领用录入（明细）'!D:D=$F$4,'领用录入（明细）'!C:C&gt;=$J$4,'领用录入（明细）'!C:C&lt;=$L$4),ROW(),"-")</f>
        <v>-</v>
      </c>
    </row>
    <row r="39505" customHeight="1" spans="2:2">
      <c r="B39505" s="62" t="str">
        <f>IF(AND('领用录入（明细）'!D:D=$F$4,'领用录入（明细）'!C:C&gt;=$J$4,'领用录入（明细）'!C:C&lt;=$L$4),ROW(),"-")</f>
        <v>-</v>
      </c>
    </row>
    <row r="39506" customHeight="1" spans="2:2">
      <c r="B39506" s="62" t="str">
        <f>IF(AND('领用录入（明细）'!D:D=$F$4,'领用录入（明细）'!C:C&gt;=$J$4,'领用录入（明细）'!C:C&lt;=$L$4),ROW(),"-")</f>
        <v>-</v>
      </c>
    </row>
    <row r="39507" customHeight="1" spans="2:2">
      <c r="B39507" s="62" t="str">
        <f>IF(AND('领用录入（明细）'!D:D=$F$4,'领用录入（明细）'!C:C&gt;=$J$4,'领用录入（明细）'!C:C&lt;=$L$4),ROW(),"-")</f>
        <v>-</v>
      </c>
    </row>
    <row r="39508" customHeight="1" spans="2:2">
      <c r="B39508" s="62" t="str">
        <f>IF(AND('领用录入（明细）'!D:D=$F$4,'领用录入（明细）'!C:C&gt;=$J$4,'领用录入（明细）'!C:C&lt;=$L$4),ROW(),"-")</f>
        <v>-</v>
      </c>
    </row>
    <row r="39509" customHeight="1" spans="2:2">
      <c r="B39509" s="62" t="str">
        <f>IF(AND('领用录入（明细）'!D:D=$F$4,'领用录入（明细）'!C:C&gt;=$J$4,'领用录入（明细）'!C:C&lt;=$L$4),ROW(),"-")</f>
        <v>-</v>
      </c>
    </row>
    <row r="39510" customHeight="1" spans="2:2">
      <c r="B39510" s="62" t="str">
        <f>IF(AND('领用录入（明细）'!D:D=$F$4,'领用录入（明细）'!C:C&gt;=$J$4,'领用录入（明细）'!C:C&lt;=$L$4),ROW(),"-")</f>
        <v>-</v>
      </c>
    </row>
    <row r="39511" customHeight="1" spans="2:2">
      <c r="B39511" s="62" t="str">
        <f>IF(AND('领用录入（明细）'!D:D=$F$4,'领用录入（明细）'!C:C&gt;=$J$4,'领用录入（明细）'!C:C&lt;=$L$4),ROW(),"-")</f>
        <v>-</v>
      </c>
    </row>
    <row r="39512" customHeight="1" spans="2:2">
      <c r="B39512" s="62" t="str">
        <f>IF(AND('领用录入（明细）'!D:D=$F$4,'领用录入（明细）'!C:C&gt;=$J$4,'领用录入（明细）'!C:C&lt;=$L$4),ROW(),"-")</f>
        <v>-</v>
      </c>
    </row>
    <row r="39513" customHeight="1" spans="2:2">
      <c r="B39513" s="62" t="str">
        <f>IF(AND('领用录入（明细）'!D:D=$F$4,'领用录入（明细）'!C:C&gt;=$J$4,'领用录入（明细）'!C:C&lt;=$L$4),ROW(),"-")</f>
        <v>-</v>
      </c>
    </row>
    <row r="39514" customHeight="1" spans="2:2">
      <c r="B39514" s="62" t="str">
        <f>IF(AND('领用录入（明细）'!D:D=$F$4,'领用录入（明细）'!C:C&gt;=$J$4,'领用录入（明细）'!C:C&lt;=$L$4),ROW(),"-")</f>
        <v>-</v>
      </c>
    </row>
    <row r="39515" customHeight="1" spans="2:2">
      <c r="B39515" s="62" t="str">
        <f>IF(AND('领用录入（明细）'!D:D=$F$4,'领用录入（明细）'!C:C&gt;=$J$4,'领用录入（明细）'!C:C&lt;=$L$4),ROW(),"-")</f>
        <v>-</v>
      </c>
    </row>
    <row r="39516" customHeight="1" spans="2:2">
      <c r="B39516" s="62" t="str">
        <f>IF(AND('领用录入（明细）'!D:D=$F$4,'领用录入（明细）'!C:C&gt;=$J$4,'领用录入（明细）'!C:C&lt;=$L$4),ROW(),"-")</f>
        <v>-</v>
      </c>
    </row>
    <row r="39517" customHeight="1" spans="2:2">
      <c r="B39517" s="62" t="str">
        <f>IF(AND('领用录入（明细）'!D:D=$F$4,'领用录入（明细）'!C:C&gt;=$J$4,'领用录入（明细）'!C:C&lt;=$L$4),ROW(),"-")</f>
        <v>-</v>
      </c>
    </row>
    <row r="39518" customHeight="1" spans="2:2">
      <c r="B39518" s="62" t="str">
        <f>IF(AND('领用录入（明细）'!D:D=$F$4,'领用录入（明细）'!C:C&gt;=$J$4,'领用录入（明细）'!C:C&lt;=$L$4),ROW(),"-")</f>
        <v>-</v>
      </c>
    </row>
    <row r="39519" customHeight="1" spans="2:2">
      <c r="B39519" s="62" t="str">
        <f>IF(AND('领用录入（明细）'!D:D=$F$4,'领用录入（明细）'!C:C&gt;=$J$4,'领用录入（明细）'!C:C&lt;=$L$4),ROW(),"-")</f>
        <v>-</v>
      </c>
    </row>
    <row r="39520" customHeight="1" spans="2:2">
      <c r="B39520" s="62" t="str">
        <f>IF(AND('领用录入（明细）'!D:D=$F$4,'领用录入（明细）'!C:C&gt;=$J$4,'领用录入（明细）'!C:C&lt;=$L$4),ROW(),"-")</f>
        <v>-</v>
      </c>
    </row>
    <row r="39521" customHeight="1" spans="2:2">
      <c r="B39521" s="62" t="str">
        <f>IF(AND('领用录入（明细）'!D:D=$F$4,'领用录入（明细）'!C:C&gt;=$J$4,'领用录入（明细）'!C:C&lt;=$L$4),ROW(),"-")</f>
        <v>-</v>
      </c>
    </row>
    <row r="39522" customHeight="1" spans="2:2">
      <c r="B39522" s="62" t="str">
        <f>IF(AND('领用录入（明细）'!D:D=$F$4,'领用录入（明细）'!C:C&gt;=$J$4,'领用录入（明细）'!C:C&lt;=$L$4),ROW(),"-")</f>
        <v>-</v>
      </c>
    </row>
    <row r="39523" customHeight="1" spans="2:2">
      <c r="B39523" s="62" t="str">
        <f>IF(AND('领用录入（明细）'!D:D=$F$4,'领用录入（明细）'!C:C&gt;=$J$4,'领用录入（明细）'!C:C&lt;=$L$4),ROW(),"-")</f>
        <v>-</v>
      </c>
    </row>
    <row r="39524" customHeight="1" spans="2:2">
      <c r="B39524" s="62" t="str">
        <f>IF(AND('领用录入（明细）'!D:D=$F$4,'领用录入（明细）'!C:C&gt;=$J$4,'领用录入（明细）'!C:C&lt;=$L$4),ROW(),"-")</f>
        <v>-</v>
      </c>
    </row>
    <row r="39525" customHeight="1" spans="2:2">
      <c r="B39525" s="62" t="str">
        <f>IF(AND('领用录入（明细）'!D:D=$F$4,'领用录入（明细）'!C:C&gt;=$J$4,'领用录入（明细）'!C:C&lt;=$L$4),ROW(),"-")</f>
        <v>-</v>
      </c>
    </row>
    <row r="39526" customHeight="1" spans="2:2">
      <c r="B39526" s="62" t="str">
        <f>IF(AND('领用录入（明细）'!D:D=$F$4,'领用录入（明细）'!C:C&gt;=$J$4,'领用录入（明细）'!C:C&lt;=$L$4),ROW(),"-")</f>
        <v>-</v>
      </c>
    </row>
    <row r="39527" customHeight="1" spans="2:2">
      <c r="B39527" s="62" t="str">
        <f>IF(AND('领用录入（明细）'!D:D=$F$4,'领用录入（明细）'!C:C&gt;=$J$4,'领用录入（明细）'!C:C&lt;=$L$4),ROW(),"-")</f>
        <v>-</v>
      </c>
    </row>
    <row r="39528" customHeight="1" spans="2:2">
      <c r="B39528" s="62" t="str">
        <f>IF(AND('领用录入（明细）'!D:D=$F$4,'领用录入（明细）'!C:C&gt;=$J$4,'领用录入（明细）'!C:C&lt;=$L$4),ROW(),"-")</f>
        <v>-</v>
      </c>
    </row>
    <row r="39529" customHeight="1" spans="2:2">
      <c r="B39529" s="62" t="str">
        <f>IF(AND('领用录入（明细）'!D:D=$F$4,'领用录入（明细）'!C:C&gt;=$J$4,'领用录入（明细）'!C:C&lt;=$L$4),ROW(),"-")</f>
        <v>-</v>
      </c>
    </row>
    <row r="39530" customHeight="1" spans="2:2">
      <c r="B39530" s="62" t="str">
        <f>IF(AND('领用录入（明细）'!D:D=$F$4,'领用录入（明细）'!C:C&gt;=$J$4,'领用录入（明细）'!C:C&lt;=$L$4),ROW(),"-")</f>
        <v>-</v>
      </c>
    </row>
    <row r="39531" customHeight="1" spans="2:2">
      <c r="B39531" s="62" t="str">
        <f>IF(AND('领用录入（明细）'!D:D=$F$4,'领用录入（明细）'!C:C&gt;=$J$4,'领用录入（明细）'!C:C&lt;=$L$4),ROW(),"-")</f>
        <v>-</v>
      </c>
    </row>
    <row r="39532" customHeight="1" spans="2:2">
      <c r="B39532" s="62" t="str">
        <f>IF(AND('领用录入（明细）'!D:D=$F$4,'领用录入（明细）'!C:C&gt;=$J$4,'领用录入（明细）'!C:C&lt;=$L$4),ROW(),"-")</f>
        <v>-</v>
      </c>
    </row>
    <row r="39533" customHeight="1" spans="2:2">
      <c r="B39533" s="62" t="str">
        <f>IF(AND('领用录入（明细）'!D:D=$F$4,'领用录入（明细）'!C:C&gt;=$J$4,'领用录入（明细）'!C:C&lt;=$L$4),ROW(),"-")</f>
        <v>-</v>
      </c>
    </row>
    <row r="39534" customHeight="1" spans="2:2">
      <c r="B39534" s="62" t="str">
        <f>IF(AND('领用录入（明细）'!D:D=$F$4,'领用录入（明细）'!C:C&gt;=$J$4,'领用录入（明细）'!C:C&lt;=$L$4),ROW(),"-")</f>
        <v>-</v>
      </c>
    </row>
    <row r="39535" customHeight="1" spans="2:2">
      <c r="B39535" s="62" t="str">
        <f>IF(AND('领用录入（明细）'!D:D=$F$4,'领用录入（明细）'!C:C&gt;=$J$4,'领用录入（明细）'!C:C&lt;=$L$4),ROW(),"-")</f>
        <v>-</v>
      </c>
    </row>
    <row r="39536" customHeight="1" spans="2:2">
      <c r="B39536" s="62" t="str">
        <f>IF(AND('领用录入（明细）'!D:D=$F$4,'领用录入（明细）'!C:C&gt;=$J$4,'领用录入（明细）'!C:C&lt;=$L$4),ROW(),"-")</f>
        <v>-</v>
      </c>
    </row>
    <row r="39537" customHeight="1" spans="2:2">
      <c r="B39537" s="62" t="str">
        <f>IF(AND('领用录入（明细）'!D:D=$F$4,'领用录入（明细）'!C:C&gt;=$J$4,'领用录入（明细）'!C:C&lt;=$L$4),ROW(),"-")</f>
        <v>-</v>
      </c>
    </row>
    <row r="39538" customHeight="1" spans="2:2">
      <c r="B39538" s="62" t="str">
        <f>IF(AND('领用录入（明细）'!D:D=$F$4,'领用录入（明细）'!C:C&gt;=$J$4,'领用录入（明细）'!C:C&lt;=$L$4),ROW(),"-")</f>
        <v>-</v>
      </c>
    </row>
    <row r="39539" customHeight="1" spans="2:2">
      <c r="B39539" s="62" t="str">
        <f>IF(AND('领用录入（明细）'!D:D=$F$4,'领用录入（明细）'!C:C&gt;=$J$4,'领用录入（明细）'!C:C&lt;=$L$4),ROW(),"-")</f>
        <v>-</v>
      </c>
    </row>
    <row r="39540" customHeight="1" spans="2:2">
      <c r="B39540" s="62" t="str">
        <f>IF(AND('领用录入（明细）'!D:D=$F$4,'领用录入（明细）'!C:C&gt;=$J$4,'领用录入（明细）'!C:C&lt;=$L$4),ROW(),"-")</f>
        <v>-</v>
      </c>
    </row>
    <row r="39541" customHeight="1" spans="2:2">
      <c r="B39541" s="62" t="str">
        <f>IF(AND('领用录入（明细）'!D:D=$F$4,'领用录入（明细）'!C:C&gt;=$J$4,'领用录入（明细）'!C:C&lt;=$L$4),ROW(),"-")</f>
        <v>-</v>
      </c>
    </row>
    <row r="39542" customHeight="1" spans="2:2">
      <c r="B39542" s="62" t="str">
        <f>IF(AND('领用录入（明细）'!D:D=$F$4,'领用录入（明细）'!C:C&gt;=$J$4,'领用录入（明细）'!C:C&lt;=$L$4),ROW(),"-")</f>
        <v>-</v>
      </c>
    </row>
    <row r="39543" customHeight="1" spans="2:2">
      <c r="B39543" s="62" t="str">
        <f>IF(AND('领用录入（明细）'!D:D=$F$4,'领用录入（明细）'!C:C&gt;=$J$4,'领用录入（明细）'!C:C&lt;=$L$4),ROW(),"-")</f>
        <v>-</v>
      </c>
    </row>
    <row r="39544" customHeight="1" spans="2:2">
      <c r="B39544" s="62" t="str">
        <f>IF(AND('领用录入（明细）'!D:D=$F$4,'领用录入（明细）'!C:C&gt;=$J$4,'领用录入（明细）'!C:C&lt;=$L$4),ROW(),"-")</f>
        <v>-</v>
      </c>
    </row>
    <row r="39545" customHeight="1" spans="2:2">
      <c r="B39545" s="62" t="str">
        <f>IF(AND('领用录入（明细）'!D:D=$F$4,'领用录入（明细）'!C:C&gt;=$J$4,'领用录入（明细）'!C:C&lt;=$L$4),ROW(),"-")</f>
        <v>-</v>
      </c>
    </row>
    <row r="39546" customHeight="1" spans="2:2">
      <c r="B39546" s="62" t="str">
        <f>IF(AND('领用录入（明细）'!D:D=$F$4,'领用录入（明细）'!C:C&gt;=$J$4,'领用录入（明细）'!C:C&lt;=$L$4),ROW(),"-")</f>
        <v>-</v>
      </c>
    </row>
    <row r="39547" customHeight="1" spans="2:2">
      <c r="B39547" s="62" t="str">
        <f>IF(AND('领用录入（明细）'!D:D=$F$4,'领用录入（明细）'!C:C&gt;=$J$4,'领用录入（明细）'!C:C&lt;=$L$4),ROW(),"-")</f>
        <v>-</v>
      </c>
    </row>
    <row r="39548" customHeight="1" spans="2:2">
      <c r="B39548" s="62" t="str">
        <f>IF(AND('领用录入（明细）'!D:D=$F$4,'领用录入（明细）'!C:C&gt;=$J$4,'领用录入（明细）'!C:C&lt;=$L$4),ROW(),"-")</f>
        <v>-</v>
      </c>
    </row>
    <row r="39549" customHeight="1" spans="2:2">
      <c r="B39549" s="62" t="str">
        <f>IF(AND('领用录入（明细）'!D:D=$F$4,'领用录入（明细）'!C:C&gt;=$J$4,'领用录入（明细）'!C:C&lt;=$L$4),ROW(),"-")</f>
        <v>-</v>
      </c>
    </row>
    <row r="39550" customHeight="1" spans="2:2">
      <c r="B39550" s="62" t="str">
        <f>IF(AND('领用录入（明细）'!D:D=$F$4,'领用录入（明细）'!C:C&gt;=$J$4,'领用录入（明细）'!C:C&lt;=$L$4),ROW(),"-")</f>
        <v>-</v>
      </c>
    </row>
    <row r="39551" customHeight="1" spans="2:2">
      <c r="B39551" s="62" t="str">
        <f>IF(AND('领用录入（明细）'!D:D=$F$4,'领用录入（明细）'!C:C&gt;=$J$4,'领用录入（明细）'!C:C&lt;=$L$4),ROW(),"-")</f>
        <v>-</v>
      </c>
    </row>
    <row r="39552" customHeight="1" spans="2:2">
      <c r="B39552" s="62" t="str">
        <f>IF(AND('领用录入（明细）'!D:D=$F$4,'领用录入（明细）'!C:C&gt;=$J$4,'领用录入（明细）'!C:C&lt;=$L$4),ROW(),"-")</f>
        <v>-</v>
      </c>
    </row>
    <row r="39553" customHeight="1" spans="2:2">
      <c r="B39553" s="62" t="str">
        <f>IF(AND('领用录入（明细）'!D:D=$F$4,'领用录入（明细）'!C:C&gt;=$J$4,'领用录入（明细）'!C:C&lt;=$L$4),ROW(),"-")</f>
        <v>-</v>
      </c>
    </row>
    <row r="39554" customHeight="1" spans="2:2">
      <c r="B39554" s="62" t="str">
        <f>IF(AND('领用录入（明细）'!D:D=$F$4,'领用录入（明细）'!C:C&gt;=$J$4,'领用录入（明细）'!C:C&lt;=$L$4),ROW(),"-")</f>
        <v>-</v>
      </c>
    </row>
    <row r="39555" customHeight="1" spans="2:2">
      <c r="B39555" s="62" t="str">
        <f>IF(AND('领用录入（明细）'!D:D=$F$4,'领用录入（明细）'!C:C&gt;=$J$4,'领用录入（明细）'!C:C&lt;=$L$4),ROW(),"-")</f>
        <v>-</v>
      </c>
    </row>
    <row r="39556" customHeight="1" spans="2:2">
      <c r="B39556" s="62" t="str">
        <f>IF(AND('领用录入（明细）'!D:D=$F$4,'领用录入（明细）'!C:C&gt;=$J$4,'领用录入（明细）'!C:C&lt;=$L$4),ROW(),"-")</f>
        <v>-</v>
      </c>
    </row>
    <row r="39557" customHeight="1" spans="2:2">
      <c r="B39557" s="62" t="str">
        <f>IF(AND('领用录入（明细）'!D:D=$F$4,'领用录入（明细）'!C:C&gt;=$J$4,'领用录入（明细）'!C:C&lt;=$L$4),ROW(),"-")</f>
        <v>-</v>
      </c>
    </row>
    <row r="39558" customHeight="1" spans="2:2">
      <c r="B39558" s="62" t="str">
        <f>IF(AND('领用录入（明细）'!D:D=$F$4,'领用录入（明细）'!C:C&gt;=$J$4,'领用录入（明细）'!C:C&lt;=$L$4),ROW(),"-")</f>
        <v>-</v>
      </c>
    </row>
    <row r="39559" customHeight="1" spans="2:2">
      <c r="B39559" s="62" t="str">
        <f>IF(AND('领用录入（明细）'!D:D=$F$4,'领用录入（明细）'!C:C&gt;=$J$4,'领用录入（明细）'!C:C&lt;=$L$4),ROW(),"-")</f>
        <v>-</v>
      </c>
    </row>
    <row r="39560" customHeight="1" spans="2:2">
      <c r="B39560" s="62" t="str">
        <f>IF(AND('领用录入（明细）'!D:D=$F$4,'领用录入（明细）'!C:C&gt;=$J$4,'领用录入（明细）'!C:C&lt;=$L$4),ROW(),"-")</f>
        <v>-</v>
      </c>
    </row>
    <row r="39561" customHeight="1" spans="2:2">
      <c r="B39561" s="62" t="str">
        <f>IF(AND('领用录入（明细）'!D:D=$F$4,'领用录入（明细）'!C:C&gt;=$J$4,'领用录入（明细）'!C:C&lt;=$L$4),ROW(),"-")</f>
        <v>-</v>
      </c>
    </row>
    <row r="39562" customHeight="1" spans="2:2">
      <c r="B39562" s="62" t="str">
        <f>IF(AND('领用录入（明细）'!D:D=$F$4,'领用录入（明细）'!C:C&gt;=$J$4,'领用录入（明细）'!C:C&lt;=$L$4),ROW(),"-")</f>
        <v>-</v>
      </c>
    </row>
    <row r="39563" customHeight="1" spans="2:2">
      <c r="B39563" s="62" t="str">
        <f>IF(AND('领用录入（明细）'!D:D=$F$4,'领用录入（明细）'!C:C&gt;=$J$4,'领用录入（明细）'!C:C&lt;=$L$4),ROW(),"-")</f>
        <v>-</v>
      </c>
    </row>
    <row r="39564" customHeight="1" spans="2:2">
      <c r="B39564" s="62" t="str">
        <f>IF(AND('领用录入（明细）'!D:D=$F$4,'领用录入（明细）'!C:C&gt;=$J$4,'领用录入（明细）'!C:C&lt;=$L$4),ROW(),"-")</f>
        <v>-</v>
      </c>
    </row>
    <row r="39565" customHeight="1" spans="2:2">
      <c r="B39565" s="62" t="str">
        <f>IF(AND('领用录入（明细）'!D:D=$F$4,'领用录入（明细）'!C:C&gt;=$J$4,'领用录入（明细）'!C:C&lt;=$L$4),ROW(),"-")</f>
        <v>-</v>
      </c>
    </row>
    <row r="39566" customHeight="1" spans="2:2">
      <c r="B39566" s="62" t="str">
        <f>IF(AND('领用录入（明细）'!D:D=$F$4,'领用录入（明细）'!C:C&gt;=$J$4,'领用录入（明细）'!C:C&lt;=$L$4),ROW(),"-")</f>
        <v>-</v>
      </c>
    </row>
    <row r="39567" customHeight="1" spans="2:2">
      <c r="B39567" s="62" t="str">
        <f>IF(AND('领用录入（明细）'!D:D=$F$4,'领用录入（明细）'!C:C&gt;=$J$4,'领用录入（明细）'!C:C&lt;=$L$4),ROW(),"-")</f>
        <v>-</v>
      </c>
    </row>
    <row r="39568" customHeight="1" spans="2:2">
      <c r="B39568" s="62" t="str">
        <f>IF(AND('领用录入（明细）'!D:D=$F$4,'领用录入（明细）'!C:C&gt;=$J$4,'领用录入（明细）'!C:C&lt;=$L$4),ROW(),"-")</f>
        <v>-</v>
      </c>
    </row>
    <row r="39569" customHeight="1" spans="2:2">
      <c r="B39569" s="62" t="str">
        <f>IF(AND('领用录入（明细）'!D:D=$F$4,'领用录入（明细）'!C:C&gt;=$J$4,'领用录入（明细）'!C:C&lt;=$L$4),ROW(),"-")</f>
        <v>-</v>
      </c>
    </row>
    <row r="39570" customHeight="1" spans="2:2">
      <c r="B39570" s="62" t="str">
        <f>IF(AND('领用录入（明细）'!D:D=$F$4,'领用录入（明细）'!C:C&gt;=$J$4,'领用录入（明细）'!C:C&lt;=$L$4),ROW(),"-")</f>
        <v>-</v>
      </c>
    </row>
    <row r="39571" customHeight="1" spans="2:2">
      <c r="B39571" s="62" t="str">
        <f>IF(AND('领用录入（明细）'!D:D=$F$4,'领用录入（明细）'!C:C&gt;=$J$4,'领用录入（明细）'!C:C&lt;=$L$4),ROW(),"-")</f>
        <v>-</v>
      </c>
    </row>
    <row r="39572" customHeight="1" spans="2:2">
      <c r="B39572" s="62" t="str">
        <f>IF(AND('领用录入（明细）'!D:D=$F$4,'领用录入（明细）'!C:C&gt;=$J$4,'领用录入（明细）'!C:C&lt;=$L$4),ROW(),"-")</f>
        <v>-</v>
      </c>
    </row>
    <row r="39573" customHeight="1" spans="2:2">
      <c r="B39573" s="62" t="str">
        <f>IF(AND('领用录入（明细）'!D:D=$F$4,'领用录入（明细）'!C:C&gt;=$J$4,'领用录入（明细）'!C:C&lt;=$L$4),ROW(),"-")</f>
        <v>-</v>
      </c>
    </row>
    <row r="39574" customHeight="1" spans="2:2">
      <c r="B39574" s="62" t="str">
        <f>IF(AND('领用录入（明细）'!D:D=$F$4,'领用录入（明细）'!C:C&gt;=$J$4,'领用录入（明细）'!C:C&lt;=$L$4),ROW(),"-")</f>
        <v>-</v>
      </c>
    </row>
    <row r="39575" customHeight="1" spans="2:2">
      <c r="B39575" s="62" t="str">
        <f>IF(AND('领用录入（明细）'!D:D=$F$4,'领用录入（明细）'!C:C&gt;=$J$4,'领用录入（明细）'!C:C&lt;=$L$4),ROW(),"-")</f>
        <v>-</v>
      </c>
    </row>
    <row r="39576" customHeight="1" spans="2:2">
      <c r="B39576" s="62" t="str">
        <f>IF(AND('领用录入（明细）'!D:D=$F$4,'领用录入（明细）'!C:C&gt;=$J$4,'领用录入（明细）'!C:C&lt;=$L$4),ROW(),"-")</f>
        <v>-</v>
      </c>
    </row>
    <row r="39577" customHeight="1" spans="2:2">
      <c r="B39577" s="62" t="str">
        <f>IF(AND('领用录入（明细）'!D:D=$F$4,'领用录入（明细）'!C:C&gt;=$J$4,'领用录入（明细）'!C:C&lt;=$L$4),ROW(),"-")</f>
        <v>-</v>
      </c>
    </row>
    <row r="39578" customHeight="1" spans="2:2">
      <c r="B39578" s="62" t="str">
        <f>IF(AND('领用录入（明细）'!D:D=$F$4,'领用录入（明细）'!C:C&gt;=$J$4,'领用录入（明细）'!C:C&lt;=$L$4),ROW(),"-")</f>
        <v>-</v>
      </c>
    </row>
    <row r="39579" customHeight="1" spans="2:2">
      <c r="B39579" s="62" t="str">
        <f>IF(AND('领用录入（明细）'!D:D=$F$4,'领用录入（明细）'!C:C&gt;=$J$4,'领用录入（明细）'!C:C&lt;=$L$4),ROW(),"-")</f>
        <v>-</v>
      </c>
    </row>
    <row r="39580" customHeight="1" spans="2:2">
      <c r="B39580" s="62" t="str">
        <f>IF(AND('领用录入（明细）'!D:D=$F$4,'领用录入（明细）'!C:C&gt;=$J$4,'领用录入（明细）'!C:C&lt;=$L$4),ROW(),"-")</f>
        <v>-</v>
      </c>
    </row>
    <row r="39581" customHeight="1" spans="2:2">
      <c r="B39581" s="62" t="str">
        <f>IF(AND('领用录入（明细）'!D:D=$F$4,'领用录入（明细）'!C:C&gt;=$J$4,'领用录入（明细）'!C:C&lt;=$L$4),ROW(),"-")</f>
        <v>-</v>
      </c>
    </row>
    <row r="39582" customHeight="1" spans="2:2">
      <c r="B39582" s="62" t="str">
        <f>IF(AND('领用录入（明细）'!D:D=$F$4,'领用录入（明细）'!C:C&gt;=$J$4,'领用录入（明细）'!C:C&lt;=$L$4),ROW(),"-")</f>
        <v>-</v>
      </c>
    </row>
    <row r="39583" customHeight="1" spans="2:2">
      <c r="B39583" s="62" t="str">
        <f>IF(AND('领用录入（明细）'!D:D=$F$4,'领用录入（明细）'!C:C&gt;=$J$4,'领用录入（明细）'!C:C&lt;=$L$4),ROW(),"-")</f>
        <v>-</v>
      </c>
    </row>
    <row r="39584" customHeight="1" spans="2:2">
      <c r="B39584" s="62" t="str">
        <f>IF(AND('领用录入（明细）'!D:D=$F$4,'领用录入（明细）'!C:C&gt;=$J$4,'领用录入（明细）'!C:C&lt;=$L$4),ROW(),"-")</f>
        <v>-</v>
      </c>
    </row>
    <row r="39585" customHeight="1" spans="2:2">
      <c r="B39585" s="62" t="str">
        <f>IF(AND('领用录入（明细）'!D:D=$F$4,'领用录入（明细）'!C:C&gt;=$J$4,'领用录入（明细）'!C:C&lt;=$L$4),ROW(),"-")</f>
        <v>-</v>
      </c>
    </row>
    <row r="39586" customHeight="1" spans="2:2">
      <c r="B39586" s="62" t="str">
        <f>IF(AND('领用录入（明细）'!D:D=$F$4,'领用录入（明细）'!C:C&gt;=$J$4,'领用录入（明细）'!C:C&lt;=$L$4),ROW(),"-")</f>
        <v>-</v>
      </c>
    </row>
    <row r="39587" customHeight="1" spans="2:2">
      <c r="B39587" s="62" t="str">
        <f>IF(AND('领用录入（明细）'!D:D=$F$4,'领用录入（明细）'!C:C&gt;=$J$4,'领用录入（明细）'!C:C&lt;=$L$4),ROW(),"-")</f>
        <v>-</v>
      </c>
    </row>
    <row r="39588" customHeight="1" spans="2:2">
      <c r="B39588" s="62" t="str">
        <f>IF(AND('领用录入（明细）'!D:D=$F$4,'领用录入（明细）'!C:C&gt;=$J$4,'领用录入（明细）'!C:C&lt;=$L$4),ROW(),"-")</f>
        <v>-</v>
      </c>
    </row>
    <row r="39589" customHeight="1" spans="2:2">
      <c r="B39589" s="62" t="str">
        <f>IF(AND('领用录入（明细）'!D:D=$F$4,'领用录入（明细）'!C:C&gt;=$J$4,'领用录入（明细）'!C:C&lt;=$L$4),ROW(),"-")</f>
        <v>-</v>
      </c>
    </row>
    <row r="39590" customHeight="1" spans="2:2">
      <c r="B39590" s="62" t="str">
        <f>IF(AND('领用录入（明细）'!D:D=$F$4,'领用录入（明细）'!C:C&gt;=$J$4,'领用录入（明细）'!C:C&lt;=$L$4),ROW(),"-")</f>
        <v>-</v>
      </c>
    </row>
    <row r="39591" customHeight="1" spans="2:2">
      <c r="B39591" s="62" t="str">
        <f>IF(AND('领用录入（明细）'!D:D=$F$4,'领用录入（明细）'!C:C&gt;=$J$4,'领用录入（明细）'!C:C&lt;=$L$4),ROW(),"-")</f>
        <v>-</v>
      </c>
    </row>
    <row r="39592" customHeight="1" spans="2:2">
      <c r="B39592" s="62" t="str">
        <f>IF(AND('领用录入（明细）'!D:D=$F$4,'领用录入（明细）'!C:C&gt;=$J$4,'领用录入（明细）'!C:C&lt;=$L$4),ROW(),"-")</f>
        <v>-</v>
      </c>
    </row>
    <row r="39593" customHeight="1" spans="2:2">
      <c r="B39593" s="62" t="str">
        <f>IF(AND('领用录入（明细）'!D:D=$F$4,'领用录入（明细）'!C:C&gt;=$J$4,'领用录入（明细）'!C:C&lt;=$L$4),ROW(),"-")</f>
        <v>-</v>
      </c>
    </row>
    <row r="39594" customHeight="1" spans="2:2">
      <c r="B39594" s="62" t="str">
        <f>IF(AND('领用录入（明细）'!D:D=$F$4,'领用录入（明细）'!C:C&gt;=$J$4,'领用录入（明细）'!C:C&lt;=$L$4),ROW(),"-")</f>
        <v>-</v>
      </c>
    </row>
    <row r="39595" customHeight="1" spans="2:2">
      <c r="B39595" s="62" t="str">
        <f>IF(AND('领用录入（明细）'!D:D=$F$4,'领用录入（明细）'!C:C&gt;=$J$4,'领用录入（明细）'!C:C&lt;=$L$4),ROW(),"-")</f>
        <v>-</v>
      </c>
    </row>
    <row r="39596" customHeight="1" spans="2:2">
      <c r="B39596" s="62" t="str">
        <f>IF(AND('领用录入（明细）'!D:D=$F$4,'领用录入（明细）'!C:C&gt;=$J$4,'领用录入（明细）'!C:C&lt;=$L$4),ROW(),"-")</f>
        <v>-</v>
      </c>
    </row>
    <row r="39597" customHeight="1" spans="2:2">
      <c r="B39597" s="62" t="str">
        <f>IF(AND('领用录入（明细）'!D:D=$F$4,'领用录入（明细）'!C:C&gt;=$J$4,'领用录入（明细）'!C:C&lt;=$L$4),ROW(),"-")</f>
        <v>-</v>
      </c>
    </row>
    <row r="39598" customHeight="1" spans="2:2">
      <c r="B39598" s="62" t="str">
        <f>IF(AND('领用录入（明细）'!D:D=$F$4,'领用录入（明细）'!C:C&gt;=$J$4,'领用录入（明细）'!C:C&lt;=$L$4),ROW(),"-")</f>
        <v>-</v>
      </c>
    </row>
    <row r="39599" customHeight="1" spans="2:2">
      <c r="B39599" s="62" t="str">
        <f>IF(AND('领用录入（明细）'!D:D=$F$4,'领用录入（明细）'!C:C&gt;=$J$4,'领用录入（明细）'!C:C&lt;=$L$4),ROW(),"-")</f>
        <v>-</v>
      </c>
    </row>
    <row r="39600" customHeight="1" spans="2:2">
      <c r="B39600" s="62" t="str">
        <f>IF(AND('领用录入（明细）'!D:D=$F$4,'领用录入（明细）'!C:C&gt;=$J$4,'领用录入（明细）'!C:C&lt;=$L$4),ROW(),"-")</f>
        <v>-</v>
      </c>
    </row>
    <row r="39601" customHeight="1" spans="2:2">
      <c r="B39601" s="62" t="str">
        <f>IF(AND('领用录入（明细）'!D:D=$F$4,'领用录入（明细）'!C:C&gt;=$J$4,'领用录入（明细）'!C:C&lt;=$L$4),ROW(),"-")</f>
        <v>-</v>
      </c>
    </row>
    <row r="39602" customHeight="1" spans="2:2">
      <c r="B39602" s="62" t="str">
        <f>IF(AND('领用录入（明细）'!D:D=$F$4,'领用录入（明细）'!C:C&gt;=$J$4,'领用录入（明细）'!C:C&lt;=$L$4),ROW(),"-")</f>
        <v>-</v>
      </c>
    </row>
    <row r="39603" customHeight="1" spans="2:2">
      <c r="B39603" s="62" t="str">
        <f>IF(AND('领用录入（明细）'!D:D=$F$4,'领用录入（明细）'!C:C&gt;=$J$4,'领用录入（明细）'!C:C&lt;=$L$4),ROW(),"-")</f>
        <v>-</v>
      </c>
    </row>
    <row r="39604" customHeight="1" spans="2:2">
      <c r="B39604" s="62" t="str">
        <f>IF(AND('领用录入（明细）'!D:D=$F$4,'领用录入（明细）'!C:C&gt;=$J$4,'领用录入（明细）'!C:C&lt;=$L$4),ROW(),"-")</f>
        <v>-</v>
      </c>
    </row>
    <row r="39605" customHeight="1" spans="2:2">
      <c r="B39605" s="62" t="str">
        <f>IF(AND('领用录入（明细）'!D:D=$F$4,'领用录入（明细）'!C:C&gt;=$J$4,'领用录入（明细）'!C:C&lt;=$L$4),ROW(),"-")</f>
        <v>-</v>
      </c>
    </row>
    <row r="39606" customHeight="1" spans="2:2">
      <c r="B39606" s="62" t="str">
        <f>IF(AND('领用录入（明细）'!D:D=$F$4,'领用录入（明细）'!C:C&gt;=$J$4,'领用录入（明细）'!C:C&lt;=$L$4),ROW(),"-")</f>
        <v>-</v>
      </c>
    </row>
    <row r="39607" customHeight="1" spans="2:2">
      <c r="B39607" s="62" t="str">
        <f>IF(AND('领用录入（明细）'!D:D=$F$4,'领用录入（明细）'!C:C&gt;=$J$4,'领用录入（明细）'!C:C&lt;=$L$4),ROW(),"-")</f>
        <v>-</v>
      </c>
    </row>
    <row r="39608" customHeight="1" spans="2:2">
      <c r="B39608" s="62" t="str">
        <f>IF(AND('领用录入（明细）'!D:D=$F$4,'领用录入（明细）'!C:C&gt;=$J$4,'领用录入（明细）'!C:C&lt;=$L$4),ROW(),"-")</f>
        <v>-</v>
      </c>
    </row>
    <row r="39609" customHeight="1" spans="2:2">
      <c r="B39609" s="62" t="str">
        <f>IF(AND('领用录入（明细）'!D:D=$F$4,'领用录入（明细）'!C:C&gt;=$J$4,'领用录入（明细）'!C:C&lt;=$L$4),ROW(),"-")</f>
        <v>-</v>
      </c>
    </row>
    <row r="39610" customHeight="1" spans="2:2">
      <c r="B39610" s="62" t="str">
        <f>IF(AND('领用录入（明细）'!D:D=$F$4,'领用录入（明细）'!C:C&gt;=$J$4,'领用录入（明细）'!C:C&lt;=$L$4),ROW(),"-")</f>
        <v>-</v>
      </c>
    </row>
    <row r="39611" customHeight="1" spans="2:2">
      <c r="B39611" s="62" t="str">
        <f>IF(AND('领用录入（明细）'!D:D=$F$4,'领用录入（明细）'!C:C&gt;=$J$4,'领用录入（明细）'!C:C&lt;=$L$4),ROW(),"-")</f>
        <v>-</v>
      </c>
    </row>
    <row r="39612" customHeight="1" spans="2:2">
      <c r="B39612" s="62" t="str">
        <f>IF(AND('领用录入（明细）'!D:D=$F$4,'领用录入（明细）'!C:C&gt;=$J$4,'领用录入（明细）'!C:C&lt;=$L$4),ROW(),"-")</f>
        <v>-</v>
      </c>
    </row>
    <row r="39613" customHeight="1" spans="2:2">
      <c r="B39613" s="62" t="str">
        <f>IF(AND('领用录入（明细）'!D:D=$F$4,'领用录入（明细）'!C:C&gt;=$J$4,'领用录入（明细）'!C:C&lt;=$L$4),ROW(),"-")</f>
        <v>-</v>
      </c>
    </row>
    <row r="39614" customHeight="1" spans="2:2">
      <c r="B39614" s="62" t="str">
        <f>IF(AND('领用录入（明细）'!D:D=$F$4,'领用录入（明细）'!C:C&gt;=$J$4,'领用录入（明细）'!C:C&lt;=$L$4),ROW(),"-")</f>
        <v>-</v>
      </c>
    </row>
    <row r="39615" customHeight="1" spans="2:2">
      <c r="B39615" s="62" t="str">
        <f>IF(AND('领用录入（明细）'!D:D=$F$4,'领用录入（明细）'!C:C&gt;=$J$4,'领用录入（明细）'!C:C&lt;=$L$4),ROW(),"-")</f>
        <v>-</v>
      </c>
    </row>
    <row r="39616" customHeight="1" spans="2:2">
      <c r="B39616" s="62" t="str">
        <f>IF(AND('领用录入（明细）'!D:D=$F$4,'领用录入（明细）'!C:C&gt;=$J$4,'领用录入（明细）'!C:C&lt;=$L$4),ROW(),"-")</f>
        <v>-</v>
      </c>
    </row>
    <row r="39617" customHeight="1" spans="2:2">
      <c r="B39617" s="62" t="str">
        <f>IF(AND('领用录入（明细）'!D:D=$F$4,'领用录入（明细）'!C:C&gt;=$J$4,'领用录入（明细）'!C:C&lt;=$L$4),ROW(),"-")</f>
        <v>-</v>
      </c>
    </row>
    <row r="39618" customHeight="1" spans="2:2">
      <c r="B39618" s="62" t="str">
        <f>IF(AND('领用录入（明细）'!D:D=$F$4,'领用录入（明细）'!C:C&gt;=$J$4,'领用录入（明细）'!C:C&lt;=$L$4),ROW(),"-")</f>
        <v>-</v>
      </c>
    </row>
    <row r="39619" customHeight="1" spans="2:2">
      <c r="B39619" s="62" t="str">
        <f>IF(AND('领用录入（明细）'!D:D=$F$4,'领用录入（明细）'!C:C&gt;=$J$4,'领用录入（明细）'!C:C&lt;=$L$4),ROW(),"-")</f>
        <v>-</v>
      </c>
    </row>
    <row r="39620" customHeight="1" spans="2:2">
      <c r="B39620" s="62" t="str">
        <f>IF(AND('领用录入（明细）'!D:D=$F$4,'领用录入（明细）'!C:C&gt;=$J$4,'领用录入（明细）'!C:C&lt;=$L$4),ROW(),"-")</f>
        <v>-</v>
      </c>
    </row>
    <row r="39621" customHeight="1" spans="2:2">
      <c r="B39621" s="62" t="str">
        <f>IF(AND('领用录入（明细）'!D:D=$F$4,'领用录入（明细）'!C:C&gt;=$J$4,'领用录入（明细）'!C:C&lt;=$L$4),ROW(),"-")</f>
        <v>-</v>
      </c>
    </row>
    <row r="39622" customHeight="1" spans="2:2">
      <c r="B39622" s="62" t="str">
        <f>IF(AND('领用录入（明细）'!D:D=$F$4,'领用录入（明细）'!C:C&gt;=$J$4,'领用录入（明细）'!C:C&lt;=$L$4),ROW(),"-")</f>
        <v>-</v>
      </c>
    </row>
    <row r="39623" customHeight="1" spans="2:2">
      <c r="B39623" s="62" t="str">
        <f>IF(AND('领用录入（明细）'!D:D=$F$4,'领用录入（明细）'!C:C&gt;=$J$4,'领用录入（明细）'!C:C&lt;=$L$4),ROW(),"-")</f>
        <v>-</v>
      </c>
    </row>
    <row r="39624" customHeight="1" spans="2:2">
      <c r="B39624" s="62" t="str">
        <f>IF(AND('领用录入（明细）'!D:D=$F$4,'领用录入（明细）'!C:C&gt;=$J$4,'领用录入（明细）'!C:C&lt;=$L$4),ROW(),"-")</f>
        <v>-</v>
      </c>
    </row>
    <row r="39625" customHeight="1" spans="2:2">
      <c r="B39625" s="62" t="str">
        <f>IF(AND('领用录入（明细）'!D:D=$F$4,'领用录入（明细）'!C:C&gt;=$J$4,'领用录入（明细）'!C:C&lt;=$L$4),ROW(),"-")</f>
        <v>-</v>
      </c>
    </row>
    <row r="39626" customHeight="1" spans="2:2">
      <c r="B39626" s="62" t="str">
        <f>IF(AND('领用录入（明细）'!D:D=$F$4,'领用录入（明细）'!C:C&gt;=$J$4,'领用录入（明细）'!C:C&lt;=$L$4),ROW(),"-")</f>
        <v>-</v>
      </c>
    </row>
    <row r="39627" customHeight="1" spans="2:2">
      <c r="B39627" s="62" t="str">
        <f>IF(AND('领用录入（明细）'!D:D=$F$4,'领用录入（明细）'!C:C&gt;=$J$4,'领用录入（明细）'!C:C&lt;=$L$4),ROW(),"-")</f>
        <v>-</v>
      </c>
    </row>
    <row r="39628" customHeight="1" spans="2:2">
      <c r="B39628" s="62" t="str">
        <f>IF(AND('领用录入（明细）'!D:D=$F$4,'领用录入（明细）'!C:C&gt;=$J$4,'领用录入（明细）'!C:C&lt;=$L$4),ROW(),"-")</f>
        <v>-</v>
      </c>
    </row>
    <row r="39629" customHeight="1" spans="2:2">
      <c r="B39629" s="62" t="str">
        <f>IF(AND('领用录入（明细）'!D:D=$F$4,'领用录入（明细）'!C:C&gt;=$J$4,'领用录入（明细）'!C:C&lt;=$L$4),ROW(),"-")</f>
        <v>-</v>
      </c>
    </row>
    <row r="39630" customHeight="1" spans="2:2">
      <c r="B39630" s="62" t="str">
        <f>IF(AND('领用录入（明细）'!D:D=$F$4,'领用录入（明细）'!C:C&gt;=$J$4,'领用录入（明细）'!C:C&lt;=$L$4),ROW(),"-")</f>
        <v>-</v>
      </c>
    </row>
    <row r="39631" customHeight="1" spans="2:2">
      <c r="B39631" s="62" t="str">
        <f>IF(AND('领用录入（明细）'!D:D=$F$4,'领用录入（明细）'!C:C&gt;=$J$4,'领用录入（明细）'!C:C&lt;=$L$4),ROW(),"-")</f>
        <v>-</v>
      </c>
    </row>
    <row r="39632" customHeight="1" spans="2:2">
      <c r="B39632" s="62" t="str">
        <f>IF(AND('领用录入（明细）'!D:D=$F$4,'领用录入（明细）'!C:C&gt;=$J$4,'领用录入（明细）'!C:C&lt;=$L$4),ROW(),"-")</f>
        <v>-</v>
      </c>
    </row>
    <row r="39633" customHeight="1" spans="2:2">
      <c r="B39633" s="62" t="str">
        <f>IF(AND('领用录入（明细）'!D:D=$F$4,'领用录入（明细）'!C:C&gt;=$J$4,'领用录入（明细）'!C:C&lt;=$L$4),ROW(),"-")</f>
        <v>-</v>
      </c>
    </row>
    <row r="39634" customHeight="1" spans="2:2">
      <c r="B39634" s="62" t="str">
        <f>IF(AND('领用录入（明细）'!D:D=$F$4,'领用录入（明细）'!C:C&gt;=$J$4,'领用录入（明细）'!C:C&lt;=$L$4),ROW(),"-")</f>
        <v>-</v>
      </c>
    </row>
    <row r="39635" customHeight="1" spans="2:2">
      <c r="B39635" s="62" t="str">
        <f>IF(AND('领用录入（明细）'!D:D=$F$4,'领用录入（明细）'!C:C&gt;=$J$4,'领用录入（明细）'!C:C&lt;=$L$4),ROW(),"-")</f>
        <v>-</v>
      </c>
    </row>
    <row r="39636" customHeight="1" spans="2:2">
      <c r="B39636" s="62" t="str">
        <f>IF(AND('领用录入（明细）'!D:D=$F$4,'领用录入（明细）'!C:C&gt;=$J$4,'领用录入（明细）'!C:C&lt;=$L$4),ROW(),"-")</f>
        <v>-</v>
      </c>
    </row>
    <row r="39637" customHeight="1" spans="2:2">
      <c r="B39637" s="62" t="str">
        <f>IF(AND('领用录入（明细）'!D:D=$F$4,'领用录入（明细）'!C:C&gt;=$J$4,'领用录入（明细）'!C:C&lt;=$L$4),ROW(),"-")</f>
        <v>-</v>
      </c>
    </row>
    <row r="39638" customHeight="1" spans="2:2">
      <c r="B39638" s="62" t="str">
        <f>IF(AND('领用录入（明细）'!D:D=$F$4,'领用录入（明细）'!C:C&gt;=$J$4,'领用录入（明细）'!C:C&lt;=$L$4),ROW(),"-")</f>
        <v>-</v>
      </c>
    </row>
    <row r="39639" customHeight="1" spans="2:2">
      <c r="B39639" s="62" t="str">
        <f>IF(AND('领用录入（明细）'!D:D=$F$4,'领用录入（明细）'!C:C&gt;=$J$4,'领用录入（明细）'!C:C&lt;=$L$4),ROW(),"-")</f>
        <v>-</v>
      </c>
    </row>
    <row r="39640" customHeight="1" spans="2:2">
      <c r="B39640" s="62" t="str">
        <f>IF(AND('领用录入（明细）'!D:D=$F$4,'领用录入（明细）'!C:C&gt;=$J$4,'领用录入（明细）'!C:C&lt;=$L$4),ROW(),"-")</f>
        <v>-</v>
      </c>
    </row>
    <row r="39641" customHeight="1" spans="2:2">
      <c r="B39641" s="62" t="str">
        <f>IF(AND('领用录入（明细）'!D:D=$F$4,'领用录入（明细）'!C:C&gt;=$J$4,'领用录入（明细）'!C:C&lt;=$L$4),ROW(),"-")</f>
        <v>-</v>
      </c>
    </row>
    <row r="39642" customHeight="1" spans="2:2">
      <c r="B39642" s="62" t="str">
        <f>IF(AND('领用录入（明细）'!D:D=$F$4,'领用录入（明细）'!C:C&gt;=$J$4,'领用录入（明细）'!C:C&lt;=$L$4),ROW(),"-")</f>
        <v>-</v>
      </c>
    </row>
    <row r="39643" customHeight="1" spans="2:2">
      <c r="B39643" s="62" t="str">
        <f>IF(AND('领用录入（明细）'!D:D=$F$4,'领用录入（明细）'!C:C&gt;=$J$4,'领用录入（明细）'!C:C&lt;=$L$4),ROW(),"-")</f>
        <v>-</v>
      </c>
    </row>
    <row r="39644" customHeight="1" spans="2:2">
      <c r="B39644" s="62" t="str">
        <f>IF(AND('领用录入（明细）'!D:D=$F$4,'领用录入（明细）'!C:C&gt;=$J$4,'领用录入（明细）'!C:C&lt;=$L$4),ROW(),"-")</f>
        <v>-</v>
      </c>
    </row>
    <row r="39645" customHeight="1" spans="2:2">
      <c r="B39645" s="62" t="str">
        <f>IF(AND('领用录入（明细）'!D:D=$F$4,'领用录入（明细）'!C:C&gt;=$J$4,'领用录入（明细）'!C:C&lt;=$L$4),ROW(),"-")</f>
        <v>-</v>
      </c>
    </row>
    <row r="39646" customHeight="1" spans="2:2">
      <c r="B39646" s="62" t="str">
        <f>IF(AND('领用录入（明细）'!D:D=$F$4,'领用录入（明细）'!C:C&gt;=$J$4,'领用录入（明细）'!C:C&lt;=$L$4),ROW(),"-")</f>
        <v>-</v>
      </c>
    </row>
    <row r="39647" customHeight="1" spans="2:2">
      <c r="B39647" s="62" t="str">
        <f>IF(AND('领用录入（明细）'!D:D=$F$4,'领用录入（明细）'!C:C&gt;=$J$4,'领用录入（明细）'!C:C&lt;=$L$4),ROW(),"-")</f>
        <v>-</v>
      </c>
    </row>
    <row r="39648" customHeight="1" spans="2:2">
      <c r="B39648" s="62" t="str">
        <f>IF(AND('领用录入（明细）'!D:D=$F$4,'领用录入（明细）'!C:C&gt;=$J$4,'领用录入（明细）'!C:C&lt;=$L$4),ROW(),"-")</f>
        <v>-</v>
      </c>
    </row>
    <row r="39649" customHeight="1" spans="2:2">
      <c r="B39649" s="62" t="str">
        <f>IF(AND('领用录入（明细）'!D:D=$F$4,'领用录入（明细）'!C:C&gt;=$J$4,'领用录入（明细）'!C:C&lt;=$L$4),ROW(),"-")</f>
        <v>-</v>
      </c>
    </row>
    <row r="39650" customHeight="1" spans="2:2">
      <c r="B39650" s="62" t="str">
        <f>IF(AND('领用录入（明细）'!D:D=$F$4,'领用录入（明细）'!C:C&gt;=$J$4,'领用录入（明细）'!C:C&lt;=$L$4),ROW(),"-")</f>
        <v>-</v>
      </c>
    </row>
    <row r="39651" customHeight="1" spans="2:2">
      <c r="B39651" s="62" t="str">
        <f>IF(AND('领用录入（明细）'!D:D=$F$4,'领用录入（明细）'!C:C&gt;=$J$4,'领用录入（明细）'!C:C&lt;=$L$4),ROW(),"-")</f>
        <v>-</v>
      </c>
    </row>
    <row r="39652" customHeight="1" spans="2:2">
      <c r="B39652" s="62" t="str">
        <f>IF(AND('领用录入（明细）'!D:D=$F$4,'领用录入（明细）'!C:C&gt;=$J$4,'领用录入（明细）'!C:C&lt;=$L$4),ROW(),"-")</f>
        <v>-</v>
      </c>
    </row>
    <row r="39653" customHeight="1" spans="2:2">
      <c r="B39653" s="62" t="str">
        <f>IF(AND('领用录入（明细）'!D:D=$F$4,'领用录入（明细）'!C:C&gt;=$J$4,'领用录入（明细）'!C:C&lt;=$L$4),ROW(),"-")</f>
        <v>-</v>
      </c>
    </row>
    <row r="39654" customHeight="1" spans="2:2">
      <c r="B39654" s="62" t="str">
        <f>IF(AND('领用录入（明细）'!D:D=$F$4,'领用录入（明细）'!C:C&gt;=$J$4,'领用录入（明细）'!C:C&lt;=$L$4),ROW(),"-")</f>
        <v>-</v>
      </c>
    </row>
    <row r="39655" customHeight="1" spans="2:2">
      <c r="B39655" s="62" t="str">
        <f>IF(AND('领用录入（明细）'!D:D=$F$4,'领用录入（明细）'!C:C&gt;=$J$4,'领用录入（明细）'!C:C&lt;=$L$4),ROW(),"-")</f>
        <v>-</v>
      </c>
    </row>
    <row r="39656" customHeight="1" spans="2:2">
      <c r="B39656" s="62" t="str">
        <f>IF(AND('领用录入（明细）'!D:D=$F$4,'领用录入（明细）'!C:C&gt;=$J$4,'领用录入（明细）'!C:C&lt;=$L$4),ROW(),"-")</f>
        <v>-</v>
      </c>
    </row>
    <row r="39657" customHeight="1" spans="2:2">
      <c r="B39657" s="62" t="str">
        <f>IF(AND('领用录入（明细）'!D:D=$F$4,'领用录入（明细）'!C:C&gt;=$J$4,'领用录入（明细）'!C:C&lt;=$L$4),ROW(),"-")</f>
        <v>-</v>
      </c>
    </row>
    <row r="39658" customHeight="1" spans="2:2">
      <c r="B39658" s="62" t="str">
        <f>IF(AND('领用录入（明细）'!D:D=$F$4,'领用录入（明细）'!C:C&gt;=$J$4,'领用录入（明细）'!C:C&lt;=$L$4),ROW(),"-")</f>
        <v>-</v>
      </c>
    </row>
    <row r="39659" customHeight="1" spans="2:2">
      <c r="B39659" s="62" t="str">
        <f>IF(AND('领用录入（明细）'!D:D=$F$4,'领用录入（明细）'!C:C&gt;=$J$4,'领用录入（明细）'!C:C&lt;=$L$4),ROW(),"-")</f>
        <v>-</v>
      </c>
    </row>
    <row r="39660" customHeight="1" spans="2:2">
      <c r="B39660" s="62" t="str">
        <f>IF(AND('领用录入（明细）'!D:D=$F$4,'领用录入（明细）'!C:C&gt;=$J$4,'领用录入（明细）'!C:C&lt;=$L$4),ROW(),"-")</f>
        <v>-</v>
      </c>
    </row>
    <row r="39661" customHeight="1" spans="2:2">
      <c r="B39661" s="62" t="str">
        <f>IF(AND('领用录入（明细）'!D:D=$F$4,'领用录入（明细）'!C:C&gt;=$J$4,'领用录入（明细）'!C:C&lt;=$L$4),ROW(),"-")</f>
        <v>-</v>
      </c>
    </row>
    <row r="39662" customHeight="1" spans="2:2">
      <c r="B39662" s="62" t="str">
        <f>IF(AND('领用录入（明细）'!D:D=$F$4,'领用录入（明细）'!C:C&gt;=$J$4,'领用录入（明细）'!C:C&lt;=$L$4),ROW(),"-")</f>
        <v>-</v>
      </c>
    </row>
    <row r="39663" customHeight="1" spans="2:2">
      <c r="B39663" s="62" t="str">
        <f>IF(AND('领用录入（明细）'!D:D=$F$4,'领用录入（明细）'!C:C&gt;=$J$4,'领用录入（明细）'!C:C&lt;=$L$4),ROW(),"-")</f>
        <v>-</v>
      </c>
    </row>
    <row r="39664" customHeight="1" spans="2:2">
      <c r="B39664" s="62" t="str">
        <f>IF(AND('领用录入（明细）'!D:D=$F$4,'领用录入（明细）'!C:C&gt;=$J$4,'领用录入（明细）'!C:C&lt;=$L$4),ROW(),"-")</f>
        <v>-</v>
      </c>
    </row>
    <row r="39665" customHeight="1" spans="2:2">
      <c r="B39665" s="62" t="str">
        <f>IF(AND('领用录入（明细）'!D:D=$F$4,'领用录入（明细）'!C:C&gt;=$J$4,'领用录入（明细）'!C:C&lt;=$L$4),ROW(),"-")</f>
        <v>-</v>
      </c>
    </row>
    <row r="39666" customHeight="1" spans="2:2">
      <c r="B39666" s="62" t="str">
        <f>IF(AND('领用录入（明细）'!D:D=$F$4,'领用录入（明细）'!C:C&gt;=$J$4,'领用录入（明细）'!C:C&lt;=$L$4),ROW(),"-")</f>
        <v>-</v>
      </c>
    </row>
    <row r="39667" customHeight="1" spans="2:2">
      <c r="B39667" s="62" t="str">
        <f>IF(AND('领用录入（明细）'!D:D=$F$4,'领用录入（明细）'!C:C&gt;=$J$4,'领用录入（明细）'!C:C&lt;=$L$4),ROW(),"-")</f>
        <v>-</v>
      </c>
    </row>
    <row r="39668" customHeight="1" spans="2:2">
      <c r="B39668" s="62" t="str">
        <f>IF(AND('领用录入（明细）'!D:D=$F$4,'领用录入（明细）'!C:C&gt;=$J$4,'领用录入（明细）'!C:C&lt;=$L$4),ROW(),"-")</f>
        <v>-</v>
      </c>
    </row>
    <row r="39669" customHeight="1" spans="2:2">
      <c r="B39669" s="62" t="str">
        <f>IF(AND('领用录入（明细）'!D:D=$F$4,'领用录入（明细）'!C:C&gt;=$J$4,'领用录入（明细）'!C:C&lt;=$L$4),ROW(),"-")</f>
        <v>-</v>
      </c>
    </row>
    <row r="39670" customHeight="1" spans="2:2">
      <c r="B39670" s="62" t="str">
        <f>IF(AND('领用录入（明细）'!D:D=$F$4,'领用录入（明细）'!C:C&gt;=$J$4,'领用录入（明细）'!C:C&lt;=$L$4),ROW(),"-")</f>
        <v>-</v>
      </c>
    </row>
    <row r="39671" customHeight="1" spans="2:2">
      <c r="B39671" s="62" t="str">
        <f>IF(AND('领用录入（明细）'!D:D=$F$4,'领用录入（明细）'!C:C&gt;=$J$4,'领用录入（明细）'!C:C&lt;=$L$4),ROW(),"-")</f>
        <v>-</v>
      </c>
    </row>
    <row r="39672" customHeight="1" spans="2:2">
      <c r="B39672" s="62" t="str">
        <f>IF(AND('领用录入（明细）'!D:D=$F$4,'领用录入（明细）'!C:C&gt;=$J$4,'领用录入（明细）'!C:C&lt;=$L$4),ROW(),"-")</f>
        <v>-</v>
      </c>
    </row>
    <row r="39673" customHeight="1" spans="2:2">
      <c r="B39673" s="62" t="str">
        <f>IF(AND('领用录入（明细）'!D:D=$F$4,'领用录入（明细）'!C:C&gt;=$J$4,'领用录入（明细）'!C:C&lt;=$L$4),ROW(),"-")</f>
        <v>-</v>
      </c>
    </row>
    <row r="39674" customHeight="1" spans="2:2">
      <c r="B39674" s="62" t="str">
        <f>IF(AND('领用录入（明细）'!D:D=$F$4,'领用录入（明细）'!C:C&gt;=$J$4,'领用录入（明细）'!C:C&lt;=$L$4),ROW(),"-")</f>
        <v>-</v>
      </c>
    </row>
    <row r="39675" customHeight="1" spans="2:2">
      <c r="B39675" s="62" t="str">
        <f>IF(AND('领用录入（明细）'!D:D=$F$4,'领用录入（明细）'!C:C&gt;=$J$4,'领用录入（明细）'!C:C&lt;=$L$4),ROW(),"-")</f>
        <v>-</v>
      </c>
    </row>
    <row r="39676" customHeight="1" spans="2:2">
      <c r="B39676" s="62" t="str">
        <f>IF(AND('领用录入（明细）'!D:D=$F$4,'领用录入（明细）'!C:C&gt;=$J$4,'领用录入（明细）'!C:C&lt;=$L$4),ROW(),"-")</f>
        <v>-</v>
      </c>
    </row>
    <row r="39677" customHeight="1" spans="2:2">
      <c r="B39677" s="62" t="str">
        <f>IF(AND('领用录入（明细）'!D:D=$F$4,'领用录入（明细）'!C:C&gt;=$J$4,'领用录入（明细）'!C:C&lt;=$L$4),ROW(),"-")</f>
        <v>-</v>
      </c>
    </row>
    <row r="39678" customHeight="1" spans="2:2">
      <c r="B39678" s="62" t="str">
        <f>IF(AND('领用录入（明细）'!D:D=$F$4,'领用录入（明细）'!C:C&gt;=$J$4,'领用录入（明细）'!C:C&lt;=$L$4),ROW(),"-")</f>
        <v>-</v>
      </c>
    </row>
    <row r="39679" customHeight="1" spans="2:2">
      <c r="B39679" s="62" t="str">
        <f>IF(AND('领用录入（明细）'!D:D=$F$4,'领用录入（明细）'!C:C&gt;=$J$4,'领用录入（明细）'!C:C&lt;=$L$4),ROW(),"-")</f>
        <v>-</v>
      </c>
    </row>
    <row r="39680" customHeight="1" spans="2:2">
      <c r="B39680" s="62" t="str">
        <f>IF(AND('领用录入（明细）'!D:D=$F$4,'领用录入（明细）'!C:C&gt;=$J$4,'领用录入（明细）'!C:C&lt;=$L$4),ROW(),"-")</f>
        <v>-</v>
      </c>
    </row>
    <row r="39681" customHeight="1" spans="2:2">
      <c r="B39681" s="62" t="str">
        <f>IF(AND('领用录入（明细）'!D:D=$F$4,'领用录入（明细）'!C:C&gt;=$J$4,'领用录入（明细）'!C:C&lt;=$L$4),ROW(),"-")</f>
        <v>-</v>
      </c>
    </row>
    <row r="39682" customHeight="1" spans="2:2">
      <c r="B39682" s="62" t="str">
        <f>IF(AND('领用录入（明细）'!D:D=$F$4,'领用录入（明细）'!C:C&gt;=$J$4,'领用录入（明细）'!C:C&lt;=$L$4),ROW(),"-")</f>
        <v>-</v>
      </c>
    </row>
    <row r="39683" customHeight="1" spans="2:2">
      <c r="B39683" s="62" t="str">
        <f>IF(AND('领用录入（明细）'!D:D=$F$4,'领用录入（明细）'!C:C&gt;=$J$4,'领用录入（明细）'!C:C&lt;=$L$4),ROW(),"-")</f>
        <v>-</v>
      </c>
    </row>
    <row r="39684" customHeight="1" spans="2:2">
      <c r="B39684" s="62" t="str">
        <f>IF(AND('领用录入（明细）'!D:D=$F$4,'领用录入（明细）'!C:C&gt;=$J$4,'领用录入（明细）'!C:C&lt;=$L$4),ROW(),"-")</f>
        <v>-</v>
      </c>
    </row>
    <row r="39685" customHeight="1" spans="2:2">
      <c r="B39685" s="62" t="str">
        <f>IF(AND('领用录入（明细）'!D:D=$F$4,'领用录入（明细）'!C:C&gt;=$J$4,'领用录入（明细）'!C:C&lt;=$L$4),ROW(),"-")</f>
        <v>-</v>
      </c>
    </row>
    <row r="39686" customHeight="1" spans="2:2">
      <c r="B39686" s="62" t="str">
        <f>IF(AND('领用录入（明细）'!D:D=$F$4,'领用录入（明细）'!C:C&gt;=$J$4,'领用录入（明细）'!C:C&lt;=$L$4),ROW(),"-")</f>
        <v>-</v>
      </c>
    </row>
    <row r="39687" customHeight="1" spans="2:2">
      <c r="B39687" s="62" t="str">
        <f>IF(AND('领用录入（明细）'!D:D=$F$4,'领用录入（明细）'!C:C&gt;=$J$4,'领用录入（明细）'!C:C&lt;=$L$4),ROW(),"-")</f>
        <v>-</v>
      </c>
    </row>
    <row r="39688" customHeight="1" spans="2:2">
      <c r="B39688" s="62" t="str">
        <f>IF(AND('领用录入（明细）'!D:D=$F$4,'领用录入（明细）'!C:C&gt;=$J$4,'领用录入（明细）'!C:C&lt;=$L$4),ROW(),"-")</f>
        <v>-</v>
      </c>
    </row>
    <row r="39689" customHeight="1" spans="2:2">
      <c r="B39689" s="62" t="str">
        <f>IF(AND('领用录入（明细）'!D:D=$F$4,'领用录入（明细）'!C:C&gt;=$J$4,'领用录入（明细）'!C:C&lt;=$L$4),ROW(),"-")</f>
        <v>-</v>
      </c>
    </row>
    <row r="39690" customHeight="1" spans="2:2">
      <c r="B39690" s="62" t="str">
        <f>IF(AND('领用录入（明细）'!D:D=$F$4,'领用录入（明细）'!C:C&gt;=$J$4,'领用录入（明细）'!C:C&lt;=$L$4),ROW(),"-")</f>
        <v>-</v>
      </c>
    </row>
    <row r="39691" customHeight="1" spans="2:2">
      <c r="B39691" s="62" t="str">
        <f>IF(AND('领用录入（明细）'!D:D=$F$4,'领用录入（明细）'!C:C&gt;=$J$4,'领用录入（明细）'!C:C&lt;=$L$4),ROW(),"-")</f>
        <v>-</v>
      </c>
    </row>
    <row r="39692" customHeight="1" spans="2:2">
      <c r="B39692" s="62" t="str">
        <f>IF(AND('领用录入（明细）'!D:D=$F$4,'领用录入（明细）'!C:C&gt;=$J$4,'领用录入（明细）'!C:C&lt;=$L$4),ROW(),"-")</f>
        <v>-</v>
      </c>
    </row>
    <row r="39693" customHeight="1" spans="2:2">
      <c r="B39693" s="62" t="str">
        <f>IF(AND('领用录入（明细）'!D:D=$F$4,'领用录入（明细）'!C:C&gt;=$J$4,'领用录入（明细）'!C:C&lt;=$L$4),ROW(),"-")</f>
        <v>-</v>
      </c>
    </row>
    <row r="39694" customHeight="1" spans="2:2">
      <c r="B39694" s="62" t="str">
        <f>IF(AND('领用录入（明细）'!D:D=$F$4,'领用录入（明细）'!C:C&gt;=$J$4,'领用录入（明细）'!C:C&lt;=$L$4),ROW(),"-")</f>
        <v>-</v>
      </c>
    </row>
    <row r="39695" customHeight="1" spans="2:2">
      <c r="B39695" s="62" t="str">
        <f>IF(AND('领用录入（明细）'!D:D=$F$4,'领用录入（明细）'!C:C&gt;=$J$4,'领用录入（明细）'!C:C&lt;=$L$4),ROW(),"-")</f>
        <v>-</v>
      </c>
    </row>
    <row r="39696" customHeight="1" spans="2:2">
      <c r="B39696" s="62" t="str">
        <f>IF(AND('领用录入（明细）'!D:D=$F$4,'领用录入（明细）'!C:C&gt;=$J$4,'领用录入（明细）'!C:C&lt;=$L$4),ROW(),"-")</f>
        <v>-</v>
      </c>
    </row>
    <row r="39697" customHeight="1" spans="2:2">
      <c r="B39697" s="62" t="str">
        <f>IF(AND('领用录入（明细）'!D:D=$F$4,'领用录入（明细）'!C:C&gt;=$J$4,'领用录入（明细）'!C:C&lt;=$L$4),ROW(),"-")</f>
        <v>-</v>
      </c>
    </row>
    <row r="39698" customHeight="1" spans="2:2">
      <c r="B39698" s="62" t="str">
        <f>IF(AND('领用录入（明细）'!D:D=$F$4,'领用录入（明细）'!C:C&gt;=$J$4,'领用录入（明细）'!C:C&lt;=$L$4),ROW(),"-")</f>
        <v>-</v>
      </c>
    </row>
    <row r="39699" customHeight="1" spans="2:2">
      <c r="B39699" s="62" t="str">
        <f>IF(AND('领用录入（明细）'!D:D=$F$4,'领用录入（明细）'!C:C&gt;=$J$4,'领用录入（明细）'!C:C&lt;=$L$4),ROW(),"-")</f>
        <v>-</v>
      </c>
    </row>
    <row r="39700" customHeight="1" spans="2:2">
      <c r="B39700" s="62" t="str">
        <f>IF(AND('领用录入（明细）'!D:D=$F$4,'领用录入（明细）'!C:C&gt;=$J$4,'领用录入（明细）'!C:C&lt;=$L$4),ROW(),"-")</f>
        <v>-</v>
      </c>
    </row>
    <row r="39701" customHeight="1" spans="2:2">
      <c r="B39701" s="62" t="str">
        <f>IF(AND('领用录入（明细）'!D:D=$F$4,'领用录入（明细）'!C:C&gt;=$J$4,'领用录入（明细）'!C:C&lt;=$L$4),ROW(),"-")</f>
        <v>-</v>
      </c>
    </row>
    <row r="39702" customHeight="1" spans="2:2">
      <c r="B39702" s="62" t="str">
        <f>IF(AND('领用录入（明细）'!D:D=$F$4,'领用录入（明细）'!C:C&gt;=$J$4,'领用录入（明细）'!C:C&lt;=$L$4),ROW(),"-")</f>
        <v>-</v>
      </c>
    </row>
    <row r="39703" customHeight="1" spans="2:2">
      <c r="B39703" s="62" t="str">
        <f>IF(AND('领用录入（明细）'!D:D=$F$4,'领用录入（明细）'!C:C&gt;=$J$4,'领用录入（明细）'!C:C&lt;=$L$4),ROW(),"-")</f>
        <v>-</v>
      </c>
    </row>
    <row r="39704" customHeight="1" spans="2:2">
      <c r="B39704" s="62" t="str">
        <f>IF(AND('领用录入（明细）'!D:D=$F$4,'领用录入（明细）'!C:C&gt;=$J$4,'领用录入（明细）'!C:C&lt;=$L$4),ROW(),"-")</f>
        <v>-</v>
      </c>
    </row>
    <row r="39705" customHeight="1" spans="2:2">
      <c r="B39705" s="62" t="str">
        <f>IF(AND('领用录入（明细）'!D:D=$F$4,'领用录入（明细）'!C:C&gt;=$J$4,'领用录入（明细）'!C:C&lt;=$L$4),ROW(),"-")</f>
        <v>-</v>
      </c>
    </row>
    <row r="39706" customHeight="1" spans="2:2">
      <c r="B39706" s="62" t="str">
        <f>IF(AND('领用录入（明细）'!D:D=$F$4,'领用录入（明细）'!C:C&gt;=$J$4,'领用录入（明细）'!C:C&lt;=$L$4),ROW(),"-")</f>
        <v>-</v>
      </c>
    </row>
    <row r="39707" customHeight="1" spans="2:2">
      <c r="B39707" s="62" t="str">
        <f>IF(AND('领用录入（明细）'!D:D=$F$4,'领用录入（明细）'!C:C&gt;=$J$4,'领用录入（明细）'!C:C&lt;=$L$4),ROW(),"-")</f>
        <v>-</v>
      </c>
    </row>
    <row r="39708" customHeight="1" spans="2:2">
      <c r="B39708" s="62" t="str">
        <f>IF(AND('领用录入（明细）'!D:D=$F$4,'领用录入（明细）'!C:C&gt;=$J$4,'领用录入（明细）'!C:C&lt;=$L$4),ROW(),"-")</f>
        <v>-</v>
      </c>
    </row>
    <row r="39709" customHeight="1" spans="2:2">
      <c r="B39709" s="62" t="str">
        <f>IF(AND('领用录入（明细）'!D:D=$F$4,'领用录入（明细）'!C:C&gt;=$J$4,'领用录入（明细）'!C:C&lt;=$L$4),ROW(),"-")</f>
        <v>-</v>
      </c>
    </row>
    <row r="39710" customHeight="1" spans="2:2">
      <c r="B39710" s="62" t="str">
        <f>IF(AND('领用录入（明细）'!D:D=$F$4,'领用录入（明细）'!C:C&gt;=$J$4,'领用录入（明细）'!C:C&lt;=$L$4),ROW(),"-")</f>
        <v>-</v>
      </c>
    </row>
    <row r="39711" customHeight="1" spans="2:2">
      <c r="B39711" s="62" t="str">
        <f>IF(AND('领用录入（明细）'!D:D=$F$4,'领用录入（明细）'!C:C&gt;=$J$4,'领用录入（明细）'!C:C&lt;=$L$4),ROW(),"-")</f>
        <v>-</v>
      </c>
    </row>
    <row r="39712" customHeight="1" spans="2:2">
      <c r="B39712" s="62" t="str">
        <f>IF(AND('领用录入（明细）'!D:D=$F$4,'领用录入（明细）'!C:C&gt;=$J$4,'领用录入（明细）'!C:C&lt;=$L$4),ROW(),"-")</f>
        <v>-</v>
      </c>
    </row>
    <row r="39713" customHeight="1" spans="2:2">
      <c r="B39713" s="62" t="str">
        <f>IF(AND('领用录入（明细）'!D:D=$F$4,'领用录入（明细）'!C:C&gt;=$J$4,'领用录入（明细）'!C:C&lt;=$L$4),ROW(),"-")</f>
        <v>-</v>
      </c>
    </row>
    <row r="39714" customHeight="1" spans="2:2">
      <c r="B39714" s="62" t="str">
        <f>IF(AND('领用录入（明细）'!D:D=$F$4,'领用录入（明细）'!C:C&gt;=$J$4,'领用录入（明细）'!C:C&lt;=$L$4),ROW(),"-")</f>
        <v>-</v>
      </c>
    </row>
    <row r="39715" customHeight="1" spans="2:2">
      <c r="B39715" s="62" t="str">
        <f>IF(AND('领用录入（明细）'!D:D=$F$4,'领用录入（明细）'!C:C&gt;=$J$4,'领用录入（明细）'!C:C&lt;=$L$4),ROW(),"-")</f>
        <v>-</v>
      </c>
    </row>
    <row r="39716" customHeight="1" spans="2:2">
      <c r="B39716" s="62" t="str">
        <f>IF(AND('领用录入（明细）'!D:D=$F$4,'领用录入（明细）'!C:C&gt;=$J$4,'领用录入（明细）'!C:C&lt;=$L$4),ROW(),"-")</f>
        <v>-</v>
      </c>
    </row>
    <row r="39717" customHeight="1" spans="2:2">
      <c r="B39717" s="62" t="str">
        <f>IF(AND('领用录入（明细）'!D:D=$F$4,'领用录入（明细）'!C:C&gt;=$J$4,'领用录入（明细）'!C:C&lt;=$L$4),ROW(),"-")</f>
        <v>-</v>
      </c>
    </row>
    <row r="39718" customHeight="1" spans="2:2">
      <c r="B39718" s="62" t="str">
        <f>IF(AND('领用录入（明细）'!D:D=$F$4,'领用录入（明细）'!C:C&gt;=$J$4,'领用录入（明细）'!C:C&lt;=$L$4),ROW(),"-")</f>
        <v>-</v>
      </c>
    </row>
    <row r="39719" customHeight="1" spans="2:2">
      <c r="B39719" s="62" t="str">
        <f>IF(AND('领用录入（明细）'!D:D=$F$4,'领用录入（明细）'!C:C&gt;=$J$4,'领用录入（明细）'!C:C&lt;=$L$4),ROW(),"-")</f>
        <v>-</v>
      </c>
    </row>
    <row r="39720" customHeight="1" spans="2:2">
      <c r="B39720" s="62" t="str">
        <f>IF(AND('领用录入（明细）'!D:D=$F$4,'领用录入（明细）'!C:C&gt;=$J$4,'领用录入（明细）'!C:C&lt;=$L$4),ROW(),"-")</f>
        <v>-</v>
      </c>
    </row>
    <row r="39721" customHeight="1" spans="2:2">
      <c r="B39721" s="62" t="str">
        <f>IF(AND('领用录入（明细）'!D:D=$F$4,'领用录入（明细）'!C:C&gt;=$J$4,'领用录入（明细）'!C:C&lt;=$L$4),ROW(),"-")</f>
        <v>-</v>
      </c>
    </row>
    <row r="39722" customHeight="1" spans="2:2">
      <c r="B39722" s="62" t="str">
        <f>IF(AND('领用录入（明细）'!D:D=$F$4,'领用录入（明细）'!C:C&gt;=$J$4,'领用录入（明细）'!C:C&lt;=$L$4),ROW(),"-")</f>
        <v>-</v>
      </c>
    </row>
    <row r="39723" customHeight="1" spans="2:2">
      <c r="B39723" s="62" t="str">
        <f>IF(AND('领用录入（明细）'!D:D=$F$4,'领用录入（明细）'!C:C&gt;=$J$4,'领用录入（明细）'!C:C&lt;=$L$4),ROW(),"-")</f>
        <v>-</v>
      </c>
    </row>
    <row r="39724" customHeight="1" spans="2:2">
      <c r="B39724" s="62" t="str">
        <f>IF(AND('领用录入（明细）'!D:D=$F$4,'领用录入（明细）'!C:C&gt;=$J$4,'领用录入（明细）'!C:C&lt;=$L$4),ROW(),"-")</f>
        <v>-</v>
      </c>
    </row>
    <row r="39725" customHeight="1" spans="2:2">
      <c r="B39725" s="62" t="str">
        <f>IF(AND('领用录入（明细）'!D:D=$F$4,'领用录入（明细）'!C:C&gt;=$J$4,'领用录入（明细）'!C:C&lt;=$L$4),ROW(),"-")</f>
        <v>-</v>
      </c>
    </row>
    <row r="39726" customHeight="1" spans="2:2">
      <c r="B39726" s="62" t="str">
        <f>IF(AND('领用录入（明细）'!D:D=$F$4,'领用录入（明细）'!C:C&gt;=$J$4,'领用录入（明细）'!C:C&lt;=$L$4),ROW(),"-")</f>
        <v>-</v>
      </c>
    </row>
    <row r="39727" customHeight="1" spans="2:2">
      <c r="B39727" s="62" t="str">
        <f>IF(AND('领用录入（明细）'!D:D=$F$4,'领用录入（明细）'!C:C&gt;=$J$4,'领用录入（明细）'!C:C&lt;=$L$4),ROW(),"-")</f>
        <v>-</v>
      </c>
    </row>
    <row r="39728" customHeight="1" spans="2:2">
      <c r="B39728" s="62" t="str">
        <f>IF(AND('领用录入（明细）'!D:D=$F$4,'领用录入（明细）'!C:C&gt;=$J$4,'领用录入（明细）'!C:C&lt;=$L$4),ROW(),"-")</f>
        <v>-</v>
      </c>
    </row>
    <row r="39729" customHeight="1" spans="2:2">
      <c r="B39729" s="62" t="str">
        <f>IF(AND('领用录入（明细）'!D:D=$F$4,'领用录入（明细）'!C:C&gt;=$J$4,'领用录入（明细）'!C:C&lt;=$L$4),ROW(),"-")</f>
        <v>-</v>
      </c>
    </row>
    <row r="39730" customHeight="1" spans="2:2">
      <c r="B39730" s="62" t="str">
        <f>IF(AND('领用录入（明细）'!D:D=$F$4,'领用录入（明细）'!C:C&gt;=$J$4,'领用录入（明细）'!C:C&lt;=$L$4),ROW(),"-")</f>
        <v>-</v>
      </c>
    </row>
    <row r="39731" customHeight="1" spans="2:2">
      <c r="B39731" s="62" t="str">
        <f>IF(AND('领用录入（明细）'!D:D=$F$4,'领用录入（明细）'!C:C&gt;=$J$4,'领用录入（明细）'!C:C&lt;=$L$4),ROW(),"-")</f>
        <v>-</v>
      </c>
    </row>
    <row r="39732" customHeight="1" spans="2:2">
      <c r="B39732" s="62" t="str">
        <f>IF(AND('领用录入（明细）'!D:D=$F$4,'领用录入（明细）'!C:C&gt;=$J$4,'领用录入（明细）'!C:C&lt;=$L$4),ROW(),"-")</f>
        <v>-</v>
      </c>
    </row>
    <row r="39733" customHeight="1" spans="2:2">
      <c r="B39733" s="62" t="str">
        <f>IF(AND('领用录入（明细）'!D:D=$F$4,'领用录入（明细）'!C:C&gt;=$J$4,'领用录入（明细）'!C:C&lt;=$L$4),ROW(),"-")</f>
        <v>-</v>
      </c>
    </row>
    <row r="39734" customHeight="1" spans="2:2">
      <c r="B39734" s="62" t="str">
        <f>IF(AND('领用录入（明细）'!D:D=$F$4,'领用录入（明细）'!C:C&gt;=$J$4,'领用录入（明细）'!C:C&lt;=$L$4),ROW(),"-")</f>
        <v>-</v>
      </c>
    </row>
    <row r="39735" customHeight="1" spans="2:2">
      <c r="B39735" s="62" t="str">
        <f>IF(AND('领用录入（明细）'!D:D=$F$4,'领用录入（明细）'!C:C&gt;=$J$4,'领用录入（明细）'!C:C&lt;=$L$4),ROW(),"-")</f>
        <v>-</v>
      </c>
    </row>
    <row r="39736" customHeight="1" spans="2:2">
      <c r="B39736" s="62" t="str">
        <f>IF(AND('领用录入（明细）'!D:D=$F$4,'领用录入（明细）'!C:C&gt;=$J$4,'领用录入（明细）'!C:C&lt;=$L$4),ROW(),"-")</f>
        <v>-</v>
      </c>
    </row>
    <row r="39737" customHeight="1" spans="2:2">
      <c r="B39737" s="62" t="str">
        <f>IF(AND('领用录入（明细）'!D:D=$F$4,'领用录入（明细）'!C:C&gt;=$J$4,'领用录入（明细）'!C:C&lt;=$L$4),ROW(),"-")</f>
        <v>-</v>
      </c>
    </row>
    <row r="39738" customHeight="1" spans="2:2">
      <c r="B39738" s="62" t="str">
        <f>IF(AND('领用录入（明细）'!D:D=$F$4,'领用录入（明细）'!C:C&gt;=$J$4,'领用录入（明细）'!C:C&lt;=$L$4),ROW(),"-")</f>
        <v>-</v>
      </c>
    </row>
    <row r="39739" customHeight="1" spans="2:2">
      <c r="B39739" s="62" t="str">
        <f>IF(AND('领用录入（明细）'!D:D=$F$4,'领用录入（明细）'!C:C&gt;=$J$4,'领用录入（明细）'!C:C&lt;=$L$4),ROW(),"-")</f>
        <v>-</v>
      </c>
    </row>
    <row r="39740" customHeight="1" spans="2:2">
      <c r="B39740" s="62" t="str">
        <f>IF(AND('领用录入（明细）'!D:D=$F$4,'领用录入（明细）'!C:C&gt;=$J$4,'领用录入（明细）'!C:C&lt;=$L$4),ROW(),"-")</f>
        <v>-</v>
      </c>
    </row>
    <row r="39741" customHeight="1" spans="2:2">
      <c r="B39741" s="62" t="str">
        <f>IF(AND('领用录入（明细）'!D:D=$F$4,'领用录入（明细）'!C:C&gt;=$J$4,'领用录入（明细）'!C:C&lt;=$L$4),ROW(),"-")</f>
        <v>-</v>
      </c>
    </row>
    <row r="39742" customHeight="1" spans="2:2">
      <c r="B39742" s="62" t="str">
        <f>IF(AND('领用录入（明细）'!D:D=$F$4,'领用录入（明细）'!C:C&gt;=$J$4,'领用录入（明细）'!C:C&lt;=$L$4),ROW(),"-")</f>
        <v>-</v>
      </c>
    </row>
    <row r="39743" customHeight="1" spans="2:2">
      <c r="B39743" s="62" t="str">
        <f>IF(AND('领用录入（明细）'!D:D=$F$4,'领用录入（明细）'!C:C&gt;=$J$4,'领用录入（明细）'!C:C&lt;=$L$4),ROW(),"-")</f>
        <v>-</v>
      </c>
    </row>
    <row r="39744" customHeight="1" spans="2:2">
      <c r="B39744" s="62" t="str">
        <f>IF(AND('领用录入（明细）'!D:D=$F$4,'领用录入（明细）'!C:C&gt;=$J$4,'领用录入（明细）'!C:C&lt;=$L$4),ROW(),"-")</f>
        <v>-</v>
      </c>
    </row>
    <row r="39745" customHeight="1" spans="2:2">
      <c r="B39745" s="62" t="str">
        <f>IF(AND('领用录入（明细）'!D:D=$F$4,'领用录入（明细）'!C:C&gt;=$J$4,'领用录入（明细）'!C:C&lt;=$L$4),ROW(),"-")</f>
        <v>-</v>
      </c>
    </row>
    <row r="39746" customHeight="1" spans="2:2">
      <c r="B39746" s="62" t="str">
        <f>IF(AND('领用录入（明细）'!D:D=$F$4,'领用录入（明细）'!C:C&gt;=$J$4,'领用录入（明细）'!C:C&lt;=$L$4),ROW(),"-")</f>
        <v>-</v>
      </c>
    </row>
    <row r="39747" customHeight="1" spans="2:2">
      <c r="B39747" s="62" t="str">
        <f>IF(AND('领用录入（明细）'!D:D=$F$4,'领用录入（明细）'!C:C&gt;=$J$4,'领用录入（明细）'!C:C&lt;=$L$4),ROW(),"-")</f>
        <v>-</v>
      </c>
    </row>
    <row r="39748" customHeight="1" spans="2:2">
      <c r="B39748" s="62" t="str">
        <f>IF(AND('领用录入（明细）'!D:D=$F$4,'领用录入（明细）'!C:C&gt;=$J$4,'领用录入（明细）'!C:C&lt;=$L$4),ROW(),"-")</f>
        <v>-</v>
      </c>
    </row>
    <row r="39749" customHeight="1" spans="2:2">
      <c r="B39749" s="62" t="str">
        <f>IF(AND('领用录入（明细）'!D:D=$F$4,'领用录入（明细）'!C:C&gt;=$J$4,'领用录入（明细）'!C:C&lt;=$L$4),ROW(),"-")</f>
        <v>-</v>
      </c>
    </row>
    <row r="39750" customHeight="1" spans="2:2">
      <c r="B39750" s="62" t="str">
        <f>IF(AND('领用录入（明细）'!D:D=$F$4,'领用录入（明细）'!C:C&gt;=$J$4,'领用录入（明细）'!C:C&lt;=$L$4),ROW(),"-")</f>
        <v>-</v>
      </c>
    </row>
    <row r="39751" customHeight="1" spans="2:2">
      <c r="B39751" s="62" t="str">
        <f>IF(AND('领用录入（明细）'!D:D=$F$4,'领用录入（明细）'!C:C&gt;=$J$4,'领用录入（明细）'!C:C&lt;=$L$4),ROW(),"-")</f>
        <v>-</v>
      </c>
    </row>
    <row r="39752" customHeight="1" spans="2:2">
      <c r="B39752" s="62" t="str">
        <f>IF(AND('领用录入（明细）'!D:D=$F$4,'领用录入（明细）'!C:C&gt;=$J$4,'领用录入（明细）'!C:C&lt;=$L$4),ROW(),"-")</f>
        <v>-</v>
      </c>
    </row>
    <row r="39753" customHeight="1" spans="2:2">
      <c r="B39753" s="62" t="str">
        <f>IF(AND('领用录入（明细）'!D:D=$F$4,'领用录入（明细）'!C:C&gt;=$J$4,'领用录入（明细）'!C:C&lt;=$L$4),ROW(),"-")</f>
        <v>-</v>
      </c>
    </row>
    <row r="39754" customHeight="1" spans="2:2">
      <c r="B39754" s="62" t="str">
        <f>IF(AND('领用录入（明细）'!D:D=$F$4,'领用录入（明细）'!C:C&gt;=$J$4,'领用录入（明细）'!C:C&lt;=$L$4),ROW(),"-")</f>
        <v>-</v>
      </c>
    </row>
    <row r="39755" customHeight="1" spans="2:2">
      <c r="B39755" s="62" t="str">
        <f>IF(AND('领用录入（明细）'!D:D=$F$4,'领用录入（明细）'!C:C&gt;=$J$4,'领用录入（明细）'!C:C&lt;=$L$4),ROW(),"-")</f>
        <v>-</v>
      </c>
    </row>
    <row r="39756" customHeight="1" spans="2:2">
      <c r="B39756" s="62" t="str">
        <f>IF(AND('领用录入（明细）'!D:D=$F$4,'领用录入（明细）'!C:C&gt;=$J$4,'领用录入（明细）'!C:C&lt;=$L$4),ROW(),"-")</f>
        <v>-</v>
      </c>
    </row>
    <row r="39757" customHeight="1" spans="2:2">
      <c r="B39757" s="62" t="str">
        <f>IF(AND('领用录入（明细）'!D:D=$F$4,'领用录入（明细）'!C:C&gt;=$J$4,'领用录入（明细）'!C:C&lt;=$L$4),ROW(),"-")</f>
        <v>-</v>
      </c>
    </row>
    <row r="39758" customHeight="1" spans="2:2">
      <c r="B39758" s="62" t="str">
        <f>IF(AND('领用录入（明细）'!D:D=$F$4,'领用录入（明细）'!C:C&gt;=$J$4,'领用录入（明细）'!C:C&lt;=$L$4),ROW(),"-")</f>
        <v>-</v>
      </c>
    </row>
    <row r="39759" customHeight="1" spans="2:2">
      <c r="B39759" s="62" t="str">
        <f>IF(AND('领用录入（明细）'!D:D=$F$4,'领用录入（明细）'!C:C&gt;=$J$4,'领用录入（明细）'!C:C&lt;=$L$4),ROW(),"-")</f>
        <v>-</v>
      </c>
    </row>
    <row r="39760" customHeight="1" spans="2:2">
      <c r="B39760" s="62" t="str">
        <f>IF(AND('领用录入（明细）'!D:D=$F$4,'领用录入（明细）'!C:C&gt;=$J$4,'领用录入（明细）'!C:C&lt;=$L$4),ROW(),"-")</f>
        <v>-</v>
      </c>
    </row>
    <row r="39761" customHeight="1" spans="2:2">
      <c r="B39761" s="62" t="str">
        <f>IF(AND('领用录入（明细）'!D:D=$F$4,'领用录入（明细）'!C:C&gt;=$J$4,'领用录入（明细）'!C:C&lt;=$L$4),ROW(),"-")</f>
        <v>-</v>
      </c>
    </row>
    <row r="39762" customHeight="1" spans="2:2">
      <c r="B39762" s="62" t="str">
        <f>IF(AND('领用录入（明细）'!D:D=$F$4,'领用录入（明细）'!C:C&gt;=$J$4,'领用录入（明细）'!C:C&lt;=$L$4),ROW(),"-")</f>
        <v>-</v>
      </c>
    </row>
    <row r="39763" customHeight="1" spans="2:2">
      <c r="B39763" s="62" t="str">
        <f>IF(AND('领用录入（明细）'!D:D=$F$4,'领用录入（明细）'!C:C&gt;=$J$4,'领用录入（明细）'!C:C&lt;=$L$4),ROW(),"-")</f>
        <v>-</v>
      </c>
    </row>
    <row r="39764" customHeight="1" spans="2:2">
      <c r="B39764" s="62" t="str">
        <f>IF(AND('领用录入（明细）'!D:D=$F$4,'领用录入（明细）'!C:C&gt;=$J$4,'领用录入（明细）'!C:C&lt;=$L$4),ROW(),"-")</f>
        <v>-</v>
      </c>
    </row>
    <row r="39765" customHeight="1" spans="2:2">
      <c r="B39765" s="62" t="str">
        <f>IF(AND('领用录入（明细）'!D:D=$F$4,'领用录入（明细）'!C:C&gt;=$J$4,'领用录入（明细）'!C:C&lt;=$L$4),ROW(),"-")</f>
        <v>-</v>
      </c>
    </row>
    <row r="39766" customHeight="1" spans="2:2">
      <c r="B39766" s="62" t="str">
        <f>IF(AND('领用录入（明细）'!D:D=$F$4,'领用录入（明细）'!C:C&gt;=$J$4,'领用录入（明细）'!C:C&lt;=$L$4),ROW(),"-")</f>
        <v>-</v>
      </c>
    </row>
    <row r="39767" customHeight="1" spans="2:2">
      <c r="B39767" s="62" t="str">
        <f>IF(AND('领用录入（明细）'!D:D=$F$4,'领用录入（明细）'!C:C&gt;=$J$4,'领用录入（明细）'!C:C&lt;=$L$4),ROW(),"-")</f>
        <v>-</v>
      </c>
    </row>
    <row r="39768" customHeight="1" spans="2:2">
      <c r="B39768" s="62" t="str">
        <f>IF(AND('领用录入（明细）'!D:D=$F$4,'领用录入（明细）'!C:C&gt;=$J$4,'领用录入（明细）'!C:C&lt;=$L$4),ROW(),"-")</f>
        <v>-</v>
      </c>
    </row>
    <row r="39769" customHeight="1" spans="2:2">
      <c r="B39769" s="62" t="str">
        <f>IF(AND('领用录入（明细）'!D:D=$F$4,'领用录入（明细）'!C:C&gt;=$J$4,'领用录入（明细）'!C:C&lt;=$L$4),ROW(),"-")</f>
        <v>-</v>
      </c>
    </row>
    <row r="39770" customHeight="1" spans="2:2">
      <c r="B39770" s="62" t="str">
        <f>IF(AND('领用录入（明细）'!D:D=$F$4,'领用录入（明细）'!C:C&gt;=$J$4,'领用录入（明细）'!C:C&lt;=$L$4),ROW(),"-")</f>
        <v>-</v>
      </c>
    </row>
    <row r="39771" customHeight="1" spans="2:2">
      <c r="B39771" s="62" t="str">
        <f>IF(AND('领用录入（明细）'!D:D=$F$4,'领用录入（明细）'!C:C&gt;=$J$4,'领用录入（明细）'!C:C&lt;=$L$4),ROW(),"-")</f>
        <v>-</v>
      </c>
    </row>
    <row r="39772" customHeight="1" spans="2:2">
      <c r="B39772" s="62" t="str">
        <f>IF(AND('领用录入（明细）'!D:D=$F$4,'领用录入（明细）'!C:C&gt;=$J$4,'领用录入（明细）'!C:C&lt;=$L$4),ROW(),"-")</f>
        <v>-</v>
      </c>
    </row>
    <row r="39773" customHeight="1" spans="2:2">
      <c r="B39773" s="62" t="str">
        <f>IF(AND('领用录入（明细）'!D:D=$F$4,'领用录入（明细）'!C:C&gt;=$J$4,'领用录入（明细）'!C:C&lt;=$L$4),ROW(),"-")</f>
        <v>-</v>
      </c>
    </row>
    <row r="39774" customHeight="1" spans="2:2">
      <c r="B39774" s="62" t="str">
        <f>IF(AND('领用录入（明细）'!D:D=$F$4,'领用录入（明细）'!C:C&gt;=$J$4,'领用录入（明细）'!C:C&lt;=$L$4),ROW(),"-")</f>
        <v>-</v>
      </c>
    </row>
    <row r="39775" customHeight="1" spans="2:2">
      <c r="B39775" s="62" t="str">
        <f>IF(AND('领用录入（明细）'!D:D=$F$4,'领用录入（明细）'!C:C&gt;=$J$4,'领用录入（明细）'!C:C&lt;=$L$4),ROW(),"-")</f>
        <v>-</v>
      </c>
    </row>
    <row r="39776" customHeight="1" spans="2:2">
      <c r="B39776" s="62" t="str">
        <f>IF(AND('领用录入（明细）'!D:D=$F$4,'领用录入（明细）'!C:C&gt;=$J$4,'领用录入（明细）'!C:C&lt;=$L$4),ROW(),"-")</f>
        <v>-</v>
      </c>
    </row>
    <row r="39777" customHeight="1" spans="2:2">
      <c r="B39777" s="62" t="str">
        <f>IF(AND('领用录入（明细）'!D:D=$F$4,'领用录入（明细）'!C:C&gt;=$J$4,'领用录入（明细）'!C:C&lt;=$L$4),ROW(),"-")</f>
        <v>-</v>
      </c>
    </row>
    <row r="39778" customHeight="1" spans="2:2">
      <c r="B39778" s="62" t="str">
        <f>IF(AND('领用录入（明细）'!D:D=$F$4,'领用录入（明细）'!C:C&gt;=$J$4,'领用录入（明细）'!C:C&lt;=$L$4),ROW(),"-")</f>
        <v>-</v>
      </c>
    </row>
    <row r="39779" customHeight="1" spans="2:2">
      <c r="B39779" s="62" t="str">
        <f>IF(AND('领用录入（明细）'!D:D=$F$4,'领用录入（明细）'!C:C&gt;=$J$4,'领用录入（明细）'!C:C&lt;=$L$4),ROW(),"-")</f>
        <v>-</v>
      </c>
    </row>
    <row r="39780" customHeight="1" spans="2:2">
      <c r="B39780" s="62" t="str">
        <f>IF(AND('领用录入（明细）'!D:D=$F$4,'领用录入（明细）'!C:C&gt;=$J$4,'领用录入（明细）'!C:C&lt;=$L$4),ROW(),"-")</f>
        <v>-</v>
      </c>
    </row>
    <row r="39781" customHeight="1" spans="2:2">
      <c r="B39781" s="62" t="str">
        <f>IF(AND('领用录入（明细）'!D:D=$F$4,'领用录入（明细）'!C:C&gt;=$J$4,'领用录入（明细）'!C:C&lt;=$L$4),ROW(),"-")</f>
        <v>-</v>
      </c>
    </row>
    <row r="39782" customHeight="1" spans="2:2">
      <c r="B39782" s="62" t="str">
        <f>IF(AND('领用录入（明细）'!D:D=$F$4,'领用录入（明细）'!C:C&gt;=$J$4,'领用录入（明细）'!C:C&lt;=$L$4),ROW(),"-")</f>
        <v>-</v>
      </c>
    </row>
    <row r="39783" customHeight="1" spans="2:2">
      <c r="B39783" s="62" t="str">
        <f>IF(AND('领用录入（明细）'!D:D=$F$4,'领用录入（明细）'!C:C&gt;=$J$4,'领用录入（明细）'!C:C&lt;=$L$4),ROW(),"-")</f>
        <v>-</v>
      </c>
    </row>
    <row r="39784" customHeight="1" spans="2:2">
      <c r="B39784" s="62" t="str">
        <f>IF(AND('领用录入（明细）'!D:D=$F$4,'领用录入（明细）'!C:C&gt;=$J$4,'领用录入（明细）'!C:C&lt;=$L$4),ROW(),"-")</f>
        <v>-</v>
      </c>
    </row>
    <row r="39785" customHeight="1" spans="2:2">
      <c r="B39785" s="62" t="str">
        <f>IF(AND('领用录入（明细）'!D:D=$F$4,'领用录入（明细）'!C:C&gt;=$J$4,'领用录入（明细）'!C:C&lt;=$L$4),ROW(),"-")</f>
        <v>-</v>
      </c>
    </row>
    <row r="39786" customHeight="1" spans="2:2">
      <c r="B39786" s="62" t="str">
        <f>IF(AND('领用录入（明细）'!D:D=$F$4,'领用录入（明细）'!C:C&gt;=$J$4,'领用录入（明细）'!C:C&lt;=$L$4),ROW(),"-")</f>
        <v>-</v>
      </c>
    </row>
    <row r="39787" customHeight="1" spans="2:2">
      <c r="B39787" s="62" t="str">
        <f>IF(AND('领用录入（明细）'!D:D=$F$4,'领用录入（明细）'!C:C&gt;=$J$4,'领用录入（明细）'!C:C&lt;=$L$4),ROW(),"-")</f>
        <v>-</v>
      </c>
    </row>
    <row r="39788" customHeight="1" spans="2:2">
      <c r="B39788" s="62" t="str">
        <f>IF(AND('领用录入（明细）'!D:D=$F$4,'领用录入（明细）'!C:C&gt;=$J$4,'领用录入（明细）'!C:C&lt;=$L$4),ROW(),"-")</f>
        <v>-</v>
      </c>
    </row>
    <row r="39789" customHeight="1" spans="2:2">
      <c r="B39789" s="62" t="str">
        <f>IF(AND('领用录入（明细）'!D:D=$F$4,'领用录入（明细）'!C:C&gt;=$J$4,'领用录入（明细）'!C:C&lt;=$L$4),ROW(),"-")</f>
        <v>-</v>
      </c>
    </row>
    <row r="39790" customHeight="1" spans="2:2">
      <c r="B39790" s="62" t="str">
        <f>IF(AND('领用录入（明细）'!D:D=$F$4,'领用录入（明细）'!C:C&gt;=$J$4,'领用录入（明细）'!C:C&lt;=$L$4),ROW(),"-")</f>
        <v>-</v>
      </c>
    </row>
    <row r="39791" customHeight="1" spans="2:2">
      <c r="B39791" s="62" t="str">
        <f>IF(AND('领用录入（明细）'!D:D=$F$4,'领用录入（明细）'!C:C&gt;=$J$4,'领用录入（明细）'!C:C&lt;=$L$4),ROW(),"-")</f>
        <v>-</v>
      </c>
    </row>
    <row r="39792" customHeight="1" spans="2:2">
      <c r="B39792" s="62" t="str">
        <f>IF(AND('领用录入（明细）'!D:D=$F$4,'领用录入（明细）'!C:C&gt;=$J$4,'领用录入（明细）'!C:C&lt;=$L$4),ROW(),"-")</f>
        <v>-</v>
      </c>
    </row>
    <row r="39793" customHeight="1" spans="2:2">
      <c r="B39793" s="62" t="str">
        <f>IF(AND('领用录入（明细）'!D:D=$F$4,'领用录入（明细）'!C:C&gt;=$J$4,'领用录入（明细）'!C:C&lt;=$L$4),ROW(),"-")</f>
        <v>-</v>
      </c>
    </row>
    <row r="39794" customHeight="1" spans="2:2">
      <c r="B39794" s="62" t="str">
        <f>IF(AND('领用录入（明细）'!D:D=$F$4,'领用录入（明细）'!C:C&gt;=$J$4,'领用录入（明细）'!C:C&lt;=$L$4),ROW(),"-")</f>
        <v>-</v>
      </c>
    </row>
    <row r="39795" customHeight="1" spans="2:2">
      <c r="B39795" s="62" t="str">
        <f>IF(AND('领用录入（明细）'!D:D=$F$4,'领用录入（明细）'!C:C&gt;=$J$4,'领用录入（明细）'!C:C&lt;=$L$4),ROW(),"-")</f>
        <v>-</v>
      </c>
    </row>
    <row r="39796" customHeight="1" spans="2:2">
      <c r="B39796" s="62" t="str">
        <f>IF(AND('领用录入（明细）'!D:D=$F$4,'领用录入（明细）'!C:C&gt;=$J$4,'领用录入（明细）'!C:C&lt;=$L$4),ROW(),"-")</f>
        <v>-</v>
      </c>
    </row>
    <row r="39797" customHeight="1" spans="2:2">
      <c r="B39797" s="62" t="str">
        <f>IF(AND('领用录入（明细）'!D:D=$F$4,'领用录入（明细）'!C:C&gt;=$J$4,'领用录入（明细）'!C:C&lt;=$L$4),ROW(),"-")</f>
        <v>-</v>
      </c>
    </row>
    <row r="39798" customHeight="1" spans="2:2">
      <c r="B39798" s="62" t="str">
        <f>IF(AND('领用录入（明细）'!D:D=$F$4,'领用录入（明细）'!C:C&gt;=$J$4,'领用录入（明细）'!C:C&lt;=$L$4),ROW(),"-")</f>
        <v>-</v>
      </c>
    </row>
    <row r="39799" customHeight="1" spans="2:2">
      <c r="B39799" s="62" t="str">
        <f>IF(AND('领用录入（明细）'!D:D=$F$4,'领用录入（明细）'!C:C&gt;=$J$4,'领用录入（明细）'!C:C&lt;=$L$4),ROW(),"-")</f>
        <v>-</v>
      </c>
    </row>
    <row r="39800" customHeight="1" spans="2:2">
      <c r="B39800" s="62" t="str">
        <f>IF(AND('领用录入（明细）'!D:D=$F$4,'领用录入（明细）'!C:C&gt;=$J$4,'领用录入（明细）'!C:C&lt;=$L$4),ROW(),"-")</f>
        <v>-</v>
      </c>
    </row>
    <row r="39801" customHeight="1" spans="2:2">
      <c r="B39801" s="62" t="str">
        <f>IF(AND('领用录入（明细）'!D:D=$F$4,'领用录入（明细）'!C:C&gt;=$J$4,'领用录入（明细）'!C:C&lt;=$L$4),ROW(),"-")</f>
        <v>-</v>
      </c>
    </row>
    <row r="39802" customHeight="1" spans="2:2">
      <c r="B39802" s="62" t="str">
        <f>IF(AND('领用录入（明细）'!D:D=$F$4,'领用录入（明细）'!C:C&gt;=$J$4,'领用录入（明细）'!C:C&lt;=$L$4),ROW(),"-")</f>
        <v>-</v>
      </c>
    </row>
    <row r="39803" customHeight="1" spans="2:2">
      <c r="B39803" s="62" t="str">
        <f>IF(AND('领用录入（明细）'!D:D=$F$4,'领用录入（明细）'!C:C&gt;=$J$4,'领用录入（明细）'!C:C&lt;=$L$4),ROW(),"-")</f>
        <v>-</v>
      </c>
    </row>
    <row r="39804" customHeight="1" spans="2:2">
      <c r="B39804" s="62" t="str">
        <f>IF(AND('领用录入（明细）'!D:D=$F$4,'领用录入（明细）'!C:C&gt;=$J$4,'领用录入（明细）'!C:C&lt;=$L$4),ROW(),"-")</f>
        <v>-</v>
      </c>
    </row>
    <row r="39805" customHeight="1" spans="2:2">
      <c r="B39805" s="62" t="str">
        <f>IF(AND('领用录入（明细）'!D:D=$F$4,'领用录入（明细）'!C:C&gt;=$J$4,'领用录入（明细）'!C:C&lt;=$L$4),ROW(),"-")</f>
        <v>-</v>
      </c>
    </row>
    <row r="39806" customHeight="1" spans="2:2">
      <c r="B39806" s="62" t="str">
        <f>IF(AND('领用录入（明细）'!D:D=$F$4,'领用录入（明细）'!C:C&gt;=$J$4,'领用录入（明细）'!C:C&lt;=$L$4),ROW(),"-")</f>
        <v>-</v>
      </c>
    </row>
    <row r="39807" customHeight="1" spans="2:2">
      <c r="B39807" s="62" t="str">
        <f>IF(AND('领用录入（明细）'!D:D=$F$4,'领用录入（明细）'!C:C&gt;=$J$4,'领用录入（明细）'!C:C&lt;=$L$4),ROW(),"-")</f>
        <v>-</v>
      </c>
    </row>
    <row r="39808" customHeight="1" spans="2:2">
      <c r="B39808" s="62" t="str">
        <f>IF(AND('领用录入（明细）'!D:D=$F$4,'领用录入（明细）'!C:C&gt;=$J$4,'领用录入（明细）'!C:C&lt;=$L$4),ROW(),"-")</f>
        <v>-</v>
      </c>
    </row>
    <row r="39809" customHeight="1" spans="2:2">
      <c r="B39809" s="62" t="str">
        <f>IF(AND('领用录入（明细）'!D:D=$F$4,'领用录入（明细）'!C:C&gt;=$J$4,'领用录入（明细）'!C:C&lt;=$L$4),ROW(),"-")</f>
        <v>-</v>
      </c>
    </row>
    <row r="39810" customHeight="1" spans="2:2">
      <c r="B39810" s="62" t="str">
        <f>IF(AND('领用录入（明细）'!D:D=$F$4,'领用录入（明细）'!C:C&gt;=$J$4,'领用录入（明细）'!C:C&lt;=$L$4),ROW(),"-")</f>
        <v>-</v>
      </c>
    </row>
    <row r="39811" customHeight="1" spans="2:2">
      <c r="B39811" s="62" t="str">
        <f>IF(AND('领用录入（明细）'!D:D=$F$4,'领用录入（明细）'!C:C&gt;=$J$4,'领用录入（明细）'!C:C&lt;=$L$4),ROW(),"-")</f>
        <v>-</v>
      </c>
    </row>
    <row r="39812" customHeight="1" spans="2:2">
      <c r="B39812" s="62" t="str">
        <f>IF(AND('领用录入（明细）'!D:D=$F$4,'领用录入（明细）'!C:C&gt;=$J$4,'领用录入（明细）'!C:C&lt;=$L$4),ROW(),"-")</f>
        <v>-</v>
      </c>
    </row>
    <row r="39813" customHeight="1" spans="2:2">
      <c r="B39813" s="62" t="str">
        <f>IF(AND('领用录入（明细）'!D:D=$F$4,'领用录入（明细）'!C:C&gt;=$J$4,'领用录入（明细）'!C:C&lt;=$L$4),ROW(),"-")</f>
        <v>-</v>
      </c>
    </row>
    <row r="39814" customHeight="1" spans="2:2">
      <c r="B39814" s="62" t="str">
        <f>IF(AND('领用录入（明细）'!D:D=$F$4,'领用录入（明细）'!C:C&gt;=$J$4,'领用录入（明细）'!C:C&lt;=$L$4),ROW(),"-")</f>
        <v>-</v>
      </c>
    </row>
    <row r="39815" customHeight="1" spans="2:2">
      <c r="B39815" s="62" t="str">
        <f>IF(AND('领用录入（明细）'!D:D=$F$4,'领用录入（明细）'!C:C&gt;=$J$4,'领用录入（明细）'!C:C&lt;=$L$4),ROW(),"-")</f>
        <v>-</v>
      </c>
    </row>
    <row r="39816" customHeight="1" spans="2:2">
      <c r="B39816" s="62" t="str">
        <f>IF(AND('领用录入（明细）'!D:D=$F$4,'领用录入（明细）'!C:C&gt;=$J$4,'领用录入（明细）'!C:C&lt;=$L$4),ROW(),"-")</f>
        <v>-</v>
      </c>
    </row>
    <row r="39817" customHeight="1" spans="2:2">
      <c r="B39817" s="62" t="str">
        <f>IF(AND('领用录入（明细）'!D:D=$F$4,'领用录入（明细）'!C:C&gt;=$J$4,'领用录入（明细）'!C:C&lt;=$L$4),ROW(),"-")</f>
        <v>-</v>
      </c>
    </row>
    <row r="39818" customHeight="1" spans="2:2">
      <c r="B39818" s="62" t="str">
        <f>IF(AND('领用录入（明细）'!D:D=$F$4,'领用录入（明细）'!C:C&gt;=$J$4,'领用录入（明细）'!C:C&lt;=$L$4),ROW(),"-")</f>
        <v>-</v>
      </c>
    </row>
    <row r="39819" customHeight="1" spans="2:2">
      <c r="B39819" s="62" t="str">
        <f>IF(AND('领用录入（明细）'!D:D=$F$4,'领用录入（明细）'!C:C&gt;=$J$4,'领用录入（明细）'!C:C&lt;=$L$4),ROW(),"-")</f>
        <v>-</v>
      </c>
    </row>
    <row r="39820" customHeight="1" spans="2:2">
      <c r="B39820" s="62" t="str">
        <f>IF(AND('领用录入（明细）'!D:D=$F$4,'领用录入（明细）'!C:C&gt;=$J$4,'领用录入（明细）'!C:C&lt;=$L$4),ROW(),"-")</f>
        <v>-</v>
      </c>
    </row>
    <row r="39821" customHeight="1" spans="2:2">
      <c r="B39821" s="62" t="str">
        <f>IF(AND('领用录入（明细）'!D:D=$F$4,'领用录入（明细）'!C:C&gt;=$J$4,'领用录入（明细）'!C:C&lt;=$L$4),ROW(),"-")</f>
        <v>-</v>
      </c>
    </row>
    <row r="39822" customHeight="1" spans="2:2">
      <c r="B39822" s="62" t="str">
        <f>IF(AND('领用录入（明细）'!D:D=$F$4,'领用录入（明细）'!C:C&gt;=$J$4,'领用录入（明细）'!C:C&lt;=$L$4),ROW(),"-")</f>
        <v>-</v>
      </c>
    </row>
    <row r="39823" customHeight="1" spans="2:2">
      <c r="B39823" s="62" t="str">
        <f>IF(AND('领用录入（明细）'!D:D=$F$4,'领用录入（明细）'!C:C&gt;=$J$4,'领用录入（明细）'!C:C&lt;=$L$4),ROW(),"-")</f>
        <v>-</v>
      </c>
    </row>
    <row r="39824" customHeight="1" spans="2:2">
      <c r="B39824" s="62" t="str">
        <f>IF(AND('领用录入（明细）'!D:D=$F$4,'领用录入（明细）'!C:C&gt;=$J$4,'领用录入（明细）'!C:C&lt;=$L$4),ROW(),"-")</f>
        <v>-</v>
      </c>
    </row>
    <row r="39825" customHeight="1" spans="2:2">
      <c r="B39825" s="62" t="str">
        <f>IF(AND('领用录入（明细）'!D:D=$F$4,'领用录入（明细）'!C:C&gt;=$J$4,'领用录入（明细）'!C:C&lt;=$L$4),ROW(),"-")</f>
        <v>-</v>
      </c>
    </row>
    <row r="39826" customHeight="1" spans="2:2">
      <c r="B39826" s="62" t="str">
        <f>IF(AND('领用录入（明细）'!D:D=$F$4,'领用录入（明细）'!C:C&gt;=$J$4,'领用录入（明细）'!C:C&lt;=$L$4),ROW(),"-")</f>
        <v>-</v>
      </c>
    </row>
    <row r="39827" customHeight="1" spans="2:2">
      <c r="B39827" s="62" t="str">
        <f>IF(AND('领用录入（明细）'!D:D=$F$4,'领用录入（明细）'!C:C&gt;=$J$4,'领用录入（明细）'!C:C&lt;=$L$4),ROW(),"-")</f>
        <v>-</v>
      </c>
    </row>
    <row r="39828" customHeight="1" spans="2:2">
      <c r="B39828" s="62" t="str">
        <f>IF(AND('领用录入（明细）'!D:D=$F$4,'领用录入（明细）'!C:C&gt;=$J$4,'领用录入（明细）'!C:C&lt;=$L$4),ROW(),"-")</f>
        <v>-</v>
      </c>
    </row>
    <row r="39829" customHeight="1" spans="2:2">
      <c r="B39829" s="62" t="str">
        <f>IF(AND('领用录入（明细）'!D:D=$F$4,'领用录入（明细）'!C:C&gt;=$J$4,'领用录入（明细）'!C:C&lt;=$L$4),ROW(),"-")</f>
        <v>-</v>
      </c>
    </row>
    <row r="39830" customHeight="1" spans="2:2">
      <c r="B39830" s="62" t="str">
        <f>IF(AND('领用录入（明细）'!D:D=$F$4,'领用录入（明细）'!C:C&gt;=$J$4,'领用录入（明细）'!C:C&lt;=$L$4),ROW(),"-")</f>
        <v>-</v>
      </c>
    </row>
    <row r="39831" customHeight="1" spans="2:2">
      <c r="B39831" s="62" t="str">
        <f>IF(AND('领用录入（明细）'!D:D=$F$4,'领用录入（明细）'!C:C&gt;=$J$4,'领用录入（明细）'!C:C&lt;=$L$4),ROW(),"-")</f>
        <v>-</v>
      </c>
    </row>
    <row r="39832" customHeight="1" spans="2:2">
      <c r="B39832" s="62" t="str">
        <f>IF(AND('领用录入（明细）'!D:D=$F$4,'领用录入（明细）'!C:C&gt;=$J$4,'领用录入（明细）'!C:C&lt;=$L$4),ROW(),"-")</f>
        <v>-</v>
      </c>
    </row>
    <row r="39833" customHeight="1" spans="2:2">
      <c r="B39833" s="62" t="str">
        <f>IF(AND('领用录入（明细）'!D:D=$F$4,'领用录入（明细）'!C:C&gt;=$J$4,'领用录入（明细）'!C:C&lt;=$L$4),ROW(),"-")</f>
        <v>-</v>
      </c>
    </row>
    <row r="39834" customHeight="1" spans="2:2">
      <c r="B39834" s="62" t="str">
        <f>IF(AND('领用录入（明细）'!D:D=$F$4,'领用录入（明细）'!C:C&gt;=$J$4,'领用录入（明细）'!C:C&lt;=$L$4),ROW(),"-")</f>
        <v>-</v>
      </c>
    </row>
    <row r="39835" customHeight="1" spans="2:2">
      <c r="B39835" s="62" t="str">
        <f>IF(AND('领用录入（明细）'!D:D=$F$4,'领用录入（明细）'!C:C&gt;=$J$4,'领用录入（明细）'!C:C&lt;=$L$4),ROW(),"-")</f>
        <v>-</v>
      </c>
    </row>
    <row r="39836" customHeight="1" spans="2:2">
      <c r="B39836" s="62" t="str">
        <f>IF(AND('领用录入（明细）'!D:D=$F$4,'领用录入（明细）'!C:C&gt;=$J$4,'领用录入（明细）'!C:C&lt;=$L$4),ROW(),"-")</f>
        <v>-</v>
      </c>
    </row>
    <row r="39837" customHeight="1" spans="2:2">
      <c r="B39837" s="62" t="str">
        <f>IF(AND('领用录入（明细）'!D:D=$F$4,'领用录入（明细）'!C:C&gt;=$J$4,'领用录入（明细）'!C:C&lt;=$L$4),ROW(),"-")</f>
        <v>-</v>
      </c>
    </row>
    <row r="39838" customHeight="1" spans="2:2">
      <c r="B39838" s="62" t="str">
        <f>IF(AND('领用录入（明细）'!D:D=$F$4,'领用录入（明细）'!C:C&gt;=$J$4,'领用录入（明细）'!C:C&lt;=$L$4),ROW(),"-")</f>
        <v>-</v>
      </c>
    </row>
    <row r="39839" customHeight="1" spans="2:2">
      <c r="B39839" s="62" t="str">
        <f>IF(AND('领用录入（明细）'!D:D=$F$4,'领用录入（明细）'!C:C&gt;=$J$4,'领用录入（明细）'!C:C&lt;=$L$4),ROW(),"-")</f>
        <v>-</v>
      </c>
    </row>
    <row r="39840" customHeight="1" spans="2:2">
      <c r="B39840" s="62" t="str">
        <f>IF(AND('领用录入（明细）'!D:D=$F$4,'领用录入（明细）'!C:C&gt;=$J$4,'领用录入（明细）'!C:C&lt;=$L$4),ROW(),"-")</f>
        <v>-</v>
      </c>
    </row>
    <row r="39841" customHeight="1" spans="2:2">
      <c r="B39841" s="62" t="str">
        <f>IF(AND('领用录入（明细）'!D:D=$F$4,'领用录入（明细）'!C:C&gt;=$J$4,'领用录入（明细）'!C:C&lt;=$L$4),ROW(),"-")</f>
        <v>-</v>
      </c>
    </row>
    <row r="39842" customHeight="1" spans="2:2">
      <c r="B39842" s="62" t="str">
        <f>IF(AND('领用录入（明细）'!D:D=$F$4,'领用录入（明细）'!C:C&gt;=$J$4,'领用录入（明细）'!C:C&lt;=$L$4),ROW(),"-")</f>
        <v>-</v>
      </c>
    </row>
    <row r="39843" customHeight="1" spans="2:2">
      <c r="B39843" s="62" t="str">
        <f>IF(AND('领用录入（明细）'!D:D=$F$4,'领用录入（明细）'!C:C&gt;=$J$4,'领用录入（明细）'!C:C&lt;=$L$4),ROW(),"-")</f>
        <v>-</v>
      </c>
    </row>
    <row r="39844" customHeight="1" spans="2:2">
      <c r="B39844" s="62" t="str">
        <f>IF(AND('领用录入（明细）'!D:D=$F$4,'领用录入（明细）'!C:C&gt;=$J$4,'领用录入（明细）'!C:C&lt;=$L$4),ROW(),"-")</f>
        <v>-</v>
      </c>
    </row>
    <row r="39845" customHeight="1" spans="2:2">
      <c r="B39845" s="62" t="str">
        <f>IF(AND('领用录入（明细）'!D:D=$F$4,'领用录入（明细）'!C:C&gt;=$J$4,'领用录入（明细）'!C:C&lt;=$L$4),ROW(),"-")</f>
        <v>-</v>
      </c>
    </row>
    <row r="39846" customHeight="1" spans="2:2">
      <c r="B39846" s="62" t="str">
        <f>IF(AND('领用录入（明细）'!D:D=$F$4,'领用录入（明细）'!C:C&gt;=$J$4,'领用录入（明细）'!C:C&lt;=$L$4),ROW(),"-")</f>
        <v>-</v>
      </c>
    </row>
    <row r="39847" customHeight="1" spans="2:2">
      <c r="B39847" s="62" t="str">
        <f>IF(AND('领用录入（明细）'!D:D=$F$4,'领用录入（明细）'!C:C&gt;=$J$4,'领用录入（明细）'!C:C&lt;=$L$4),ROW(),"-")</f>
        <v>-</v>
      </c>
    </row>
    <row r="39848" customHeight="1" spans="2:2">
      <c r="B39848" s="62" t="str">
        <f>IF(AND('领用录入（明细）'!D:D=$F$4,'领用录入（明细）'!C:C&gt;=$J$4,'领用录入（明细）'!C:C&lt;=$L$4),ROW(),"-")</f>
        <v>-</v>
      </c>
    </row>
    <row r="39849" customHeight="1" spans="2:2">
      <c r="B39849" s="62" t="str">
        <f>IF(AND('领用录入（明细）'!D:D=$F$4,'领用录入（明细）'!C:C&gt;=$J$4,'领用录入（明细）'!C:C&lt;=$L$4),ROW(),"-")</f>
        <v>-</v>
      </c>
    </row>
    <row r="39850" customHeight="1" spans="2:2">
      <c r="B39850" s="62" t="str">
        <f>IF(AND('领用录入（明细）'!D:D=$F$4,'领用录入（明细）'!C:C&gt;=$J$4,'领用录入（明细）'!C:C&lt;=$L$4),ROW(),"-")</f>
        <v>-</v>
      </c>
    </row>
    <row r="39851" customHeight="1" spans="2:2">
      <c r="B39851" s="62" t="str">
        <f>IF(AND('领用录入（明细）'!D:D=$F$4,'领用录入（明细）'!C:C&gt;=$J$4,'领用录入（明细）'!C:C&lt;=$L$4),ROW(),"-")</f>
        <v>-</v>
      </c>
    </row>
    <row r="39852" customHeight="1" spans="2:2">
      <c r="B39852" s="62" t="str">
        <f>IF(AND('领用录入（明细）'!D:D=$F$4,'领用录入（明细）'!C:C&gt;=$J$4,'领用录入（明细）'!C:C&lt;=$L$4),ROW(),"-")</f>
        <v>-</v>
      </c>
    </row>
    <row r="39853" customHeight="1" spans="2:2">
      <c r="B39853" s="62" t="str">
        <f>IF(AND('领用录入（明细）'!D:D=$F$4,'领用录入（明细）'!C:C&gt;=$J$4,'领用录入（明细）'!C:C&lt;=$L$4),ROW(),"-")</f>
        <v>-</v>
      </c>
    </row>
    <row r="39854" customHeight="1" spans="2:2">
      <c r="B39854" s="62" t="str">
        <f>IF(AND('领用录入（明细）'!D:D=$F$4,'领用录入（明细）'!C:C&gt;=$J$4,'领用录入（明细）'!C:C&lt;=$L$4),ROW(),"-")</f>
        <v>-</v>
      </c>
    </row>
    <row r="39855" customHeight="1" spans="2:2">
      <c r="B39855" s="62" t="str">
        <f>IF(AND('领用录入（明细）'!D:D=$F$4,'领用录入（明细）'!C:C&gt;=$J$4,'领用录入（明细）'!C:C&lt;=$L$4),ROW(),"-")</f>
        <v>-</v>
      </c>
    </row>
    <row r="39856" customHeight="1" spans="2:2">
      <c r="B39856" s="62" t="str">
        <f>IF(AND('领用录入（明细）'!D:D=$F$4,'领用录入（明细）'!C:C&gt;=$J$4,'领用录入（明细）'!C:C&lt;=$L$4),ROW(),"-")</f>
        <v>-</v>
      </c>
    </row>
    <row r="39857" customHeight="1" spans="2:2">
      <c r="B39857" s="62" t="str">
        <f>IF(AND('领用录入（明细）'!D:D=$F$4,'领用录入（明细）'!C:C&gt;=$J$4,'领用录入（明细）'!C:C&lt;=$L$4),ROW(),"-")</f>
        <v>-</v>
      </c>
    </row>
    <row r="39858" customHeight="1" spans="2:2">
      <c r="B39858" s="62" t="str">
        <f>IF(AND('领用录入（明细）'!D:D=$F$4,'领用录入（明细）'!C:C&gt;=$J$4,'领用录入（明细）'!C:C&lt;=$L$4),ROW(),"-")</f>
        <v>-</v>
      </c>
    </row>
    <row r="39859" customHeight="1" spans="2:2">
      <c r="B39859" s="62" t="str">
        <f>IF(AND('领用录入（明细）'!D:D=$F$4,'领用录入（明细）'!C:C&gt;=$J$4,'领用录入（明细）'!C:C&lt;=$L$4),ROW(),"-")</f>
        <v>-</v>
      </c>
    </row>
    <row r="39860" customHeight="1" spans="2:2">
      <c r="B39860" s="62" t="str">
        <f>IF(AND('领用录入（明细）'!D:D=$F$4,'领用录入（明细）'!C:C&gt;=$J$4,'领用录入（明细）'!C:C&lt;=$L$4),ROW(),"-")</f>
        <v>-</v>
      </c>
    </row>
    <row r="39861" customHeight="1" spans="2:2">
      <c r="B39861" s="62" t="str">
        <f>IF(AND('领用录入（明细）'!D:D=$F$4,'领用录入（明细）'!C:C&gt;=$J$4,'领用录入（明细）'!C:C&lt;=$L$4),ROW(),"-")</f>
        <v>-</v>
      </c>
    </row>
    <row r="39862" customHeight="1" spans="2:2">
      <c r="B39862" s="62" t="str">
        <f>IF(AND('领用录入（明细）'!D:D=$F$4,'领用录入（明细）'!C:C&gt;=$J$4,'领用录入（明细）'!C:C&lt;=$L$4),ROW(),"-")</f>
        <v>-</v>
      </c>
    </row>
    <row r="39863" customHeight="1" spans="2:2">
      <c r="B39863" s="62" t="str">
        <f>IF(AND('领用录入（明细）'!D:D=$F$4,'领用录入（明细）'!C:C&gt;=$J$4,'领用录入（明细）'!C:C&lt;=$L$4),ROW(),"-")</f>
        <v>-</v>
      </c>
    </row>
    <row r="39864" customHeight="1" spans="2:2">
      <c r="B39864" s="62" t="str">
        <f>IF(AND('领用录入（明细）'!D:D=$F$4,'领用录入（明细）'!C:C&gt;=$J$4,'领用录入（明细）'!C:C&lt;=$L$4),ROW(),"-")</f>
        <v>-</v>
      </c>
    </row>
    <row r="39865" customHeight="1" spans="2:2">
      <c r="B39865" s="62" t="str">
        <f>IF(AND('领用录入（明细）'!D:D=$F$4,'领用录入（明细）'!C:C&gt;=$J$4,'领用录入（明细）'!C:C&lt;=$L$4),ROW(),"-")</f>
        <v>-</v>
      </c>
    </row>
    <row r="39866" customHeight="1" spans="2:2">
      <c r="B39866" s="62" t="str">
        <f>IF(AND('领用录入（明细）'!D:D=$F$4,'领用录入（明细）'!C:C&gt;=$J$4,'领用录入（明细）'!C:C&lt;=$L$4),ROW(),"-")</f>
        <v>-</v>
      </c>
    </row>
    <row r="39867" customHeight="1" spans="2:2">
      <c r="B39867" s="62" t="str">
        <f>IF(AND('领用录入（明细）'!D:D=$F$4,'领用录入（明细）'!C:C&gt;=$J$4,'领用录入（明细）'!C:C&lt;=$L$4),ROW(),"-")</f>
        <v>-</v>
      </c>
    </row>
    <row r="39868" customHeight="1" spans="2:2">
      <c r="B39868" s="62" t="str">
        <f>IF(AND('领用录入（明细）'!D:D=$F$4,'领用录入（明细）'!C:C&gt;=$J$4,'领用录入（明细）'!C:C&lt;=$L$4),ROW(),"-")</f>
        <v>-</v>
      </c>
    </row>
    <row r="39869" customHeight="1" spans="2:2">
      <c r="B39869" s="62" t="str">
        <f>IF(AND('领用录入（明细）'!D:D=$F$4,'领用录入（明细）'!C:C&gt;=$J$4,'领用录入（明细）'!C:C&lt;=$L$4),ROW(),"-")</f>
        <v>-</v>
      </c>
    </row>
    <row r="39870" customHeight="1" spans="2:2">
      <c r="B39870" s="62" t="str">
        <f>IF(AND('领用录入（明细）'!D:D=$F$4,'领用录入（明细）'!C:C&gt;=$J$4,'领用录入（明细）'!C:C&lt;=$L$4),ROW(),"-")</f>
        <v>-</v>
      </c>
    </row>
    <row r="39871" customHeight="1" spans="2:2">
      <c r="B39871" s="62" t="str">
        <f>IF(AND('领用录入（明细）'!D:D=$F$4,'领用录入（明细）'!C:C&gt;=$J$4,'领用录入（明细）'!C:C&lt;=$L$4),ROW(),"-")</f>
        <v>-</v>
      </c>
    </row>
    <row r="39872" customHeight="1" spans="2:2">
      <c r="B39872" s="62" t="str">
        <f>IF(AND('领用录入（明细）'!D:D=$F$4,'领用录入（明细）'!C:C&gt;=$J$4,'领用录入（明细）'!C:C&lt;=$L$4),ROW(),"-")</f>
        <v>-</v>
      </c>
    </row>
    <row r="39873" customHeight="1" spans="2:2">
      <c r="B39873" s="62" t="str">
        <f>IF(AND('领用录入（明细）'!D:D=$F$4,'领用录入（明细）'!C:C&gt;=$J$4,'领用录入（明细）'!C:C&lt;=$L$4),ROW(),"-")</f>
        <v>-</v>
      </c>
    </row>
    <row r="39874" customHeight="1" spans="2:2">
      <c r="B39874" s="62" t="str">
        <f>IF(AND('领用录入（明细）'!D:D=$F$4,'领用录入（明细）'!C:C&gt;=$J$4,'领用录入（明细）'!C:C&lt;=$L$4),ROW(),"-")</f>
        <v>-</v>
      </c>
    </row>
    <row r="39875" customHeight="1" spans="2:2">
      <c r="B39875" s="62" t="str">
        <f>IF(AND('领用录入（明细）'!D:D=$F$4,'领用录入（明细）'!C:C&gt;=$J$4,'领用录入（明细）'!C:C&lt;=$L$4),ROW(),"-")</f>
        <v>-</v>
      </c>
    </row>
    <row r="39876" customHeight="1" spans="2:2">
      <c r="B39876" s="62" t="str">
        <f>IF(AND('领用录入（明细）'!D:D=$F$4,'领用录入（明细）'!C:C&gt;=$J$4,'领用录入（明细）'!C:C&lt;=$L$4),ROW(),"-")</f>
        <v>-</v>
      </c>
    </row>
    <row r="39877" customHeight="1" spans="2:2">
      <c r="B39877" s="62" t="str">
        <f>IF(AND('领用录入（明细）'!D:D=$F$4,'领用录入（明细）'!C:C&gt;=$J$4,'领用录入（明细）'!C:C&lt;=$L$4),ROW(),"-")</f>
        <v>-</v>
      </c>
    </row>
    <row r="39878" customHeight="1" spans="2:2">
      <c r="B39878" s="62" t="str">
        <f>IF(AND('领用录入（明细）'!D:D=$F$4,'领用录入（明细）'!C:C&gt;=$J$4,'领用录入（明细）'!C:C&lt;=$L$4),ROW(),"-")</f>
        <v>-</v>
      </c>
    </row>
    <row r="39879" customHeight="1" spans="2:2">
      <c r="B39879" s="62" t="str">
        <f>IF(AND('领用录入（明细）'!D:D=$F$4,'领用录入（明细）'!C:C&gt;=$J$4,'领用录入（明细）'!C:C&lt;=$L$4),ROW(),"-")</f>
        <v>-</v>
      </c>
    </row>
    <row r="39880" customHeight="1" spans="2:2">
      <c r="B39880" s="62" t="str">
        <f>IF(AND('领用录入（明细）'!D:D=$F$4,'领用录入（明细）'!C:C&gt;=$J$4,'领用录入（明细）'!C:C&lt;=$L$4),ROW(),"-")</f>
        <v>-</v>
      </c>
    </row>
    <row r="39881" customHeight="1" spans="2:2">
      <c r="B39881" s="62" t="str">
        <f>IF(AND('领用录入（明细）'!D:D=$F$4,'领用录入（明细）'!C:C&gt;=$J$4,'领用录入（明细）'!C:C&lt;=$L$4),ROW(),"-")</f>
        <v>-</v>
      </c>
    </row>
    <row r="39882" customHeight="1" spans="2:2">
      <c r="B39882" s="62" t="str">
        <f>IF(AND('领用录入（明细）'!D:D=$F$4,'领用录入（明细）'!C:C&gt;=$J$4,'领用录入（明细）'!C:C&lt;=$L$4),ROW(),"-")</f>
        <v>-</v>
      </c>
    </row>
    <row r="39883" customHeight="1" spans="2:2">
      <c r="B39883" s="62" t="str">
        <f>IF(AND('领用录入（明细）'!D:D=$F$4,'领用录入（明细）'!C:C&gt;=$J$4,'领用录入（明细）'!C:C&lt;=$L$4),ROW(),"-")</f>
        <v>-</v>
      </c>
    </row>
    <row r="39884" customHeight="1" spans="2:2">
      <c r="B39884" s="62" t="str">
        <f>IF(AND('领用录入（明细）'!D:D=$F$4,'领用录入（明细）'!C:C&gt;=$J$4,'领用录入（明细）'!C:C&lt;=$L$4),ROW(),"-")</f>
        <v>-</v>
      </c>
    </row>
    <row r="39885" customHeight="1" spans="2:2">
      <c r="B39885" s="62" t="str">
        <f>IF(AND('领用录入（明细）'!D:D=$F$4,'领用录入（明细）'!C:C&gt;=$J$4,'领用录入（明细）'!C:C&lt;=$L$4),ROW(),"-")</f>
        <v>-</v>
      </c>
    </row>
    <row r="39886" customHeight="1" spans="2:2">
      <c r="B39886" s="62" t="str">
        <f>IF(AND('领用录入（明细）'!D:D=$F$4,'领用录入（明细）'!C:C&gt;=$J$4,'领用录入（明细）'!C:C&lt;=$L$4),ROW(),"-")</f>
        <v>-</v>
      </c>
    </row>
    <row r="39887" customHeight="1" spans="2:2">
      <c r="B39887" s="62" t="str">
        <f>IF(AND('领用录入（明细）'!D:D=$F$4,'领用录入（明细）'!C:C&gt;=$J$4,'领用录入（明细）'!C:C&lt;=$L$4),ROW(),"-")</f>
        <v>-</v>
      </c>
    </row>
    <row r="39888" customHeight="1" spans="2:2">
      <c r="B39888" s="62" t="str">
        <f>IF(AND('领用录入（明细）'!D:D=$F$4,'领用录入（明细）'!C:C&gt;=$J$4,'领用录入（明细）'!C:C&lt;=$L$4),ROW(),"-")</f>
        <v>-</v>
      </c>
    </row>
    <row r="39889" customHeight="1" spans="2:2">
      <c r="B39889" s="62" t="str">
        <f>IF(AND('领用录入（明细）'!D:D=$F$4,'领用录入（明细）'!C:C&gt;=$J$4,'领用录入（明细）'!C:C&lt;=$L$4),ROW(),"-")</f>
        <v>-</v>
      </c>
    </row>
    <row r="39890" customHeight="1" spans="2:2">
      <c r="B39890" s="62" t="str">
        <f>IF(AND('领用录入（明细）'!D:D=$F$4,'领用录入（明细）'!C:C&gt;=$J$4,'领用录入（明细）'!C:C&lt;=$L$4),ROW(),"-")</f>
        <v>-</v>
      </c>
    </row>
    <row r="39891" customHeight="1" spans="2:2">
      <c r="B39891" s="62" t="str">
        <f>IF(AND('领用录入（明细）'!D:D=$F$4,'领用录入（明细）'!C:C&gt;=$J$4,'领用录入（明细）'!C:C&lt;=$L$4),ROW(),"-")</f>
        <v>-</v>
      </c>
    </row>
    <row r="39892" customHeight="1" spans="2:2">
      <c r="B39892" s="62" t="str">
        <f>IF(AND('领用录入（明细）'!D:D=$F$4,'领用录入（明细）'!C:C&gt;=$J$4,'领用录入（明细）'!C:C&lt;=$L$4),ROW(),"-")</f>
        <v>-</v>
      </c>
    </row>
    <row r="39893" customHeight="1" spans="2:2">
      <c r="B39893" s="62" t="str">
        <f>IF(AND('领用录入（明细）'!D:D=$F$4,'领用录入（明细）'!C:C&gt;=$J$4,'领用录入（明细）'!C:C&lt;=$L$4),ROW(),"-")</f>
        <v>-</v>
      </c>
    </row>
    <row r="39894" customHeight="1" spans="2:2">
      <c r="B39894" s="62" t="str">
        <f>IF(AND('领用录入（明细）'!D:D=$F$4,'领用录入（明细）'!C:C&gt;=$J$4,'领用录入（明细）'!C:C&lt;=$L$4),ROW(),"-")</f>
        <v>-</v>
      </c>
    </row>
    <row r="39895" customHeight="1" spans="2:2">
      <c r="B39895" s="62" t="str">
        <f>IF(AND('领用录入（明细）'!D:D=$F$4,'领用录入（明细）'!C:C&gt;=$J$4,'领用录入（明细）'!C:C&lt;=$L$4),ROW(),"-")</f>
        <v>-</v>
      </c>
    </row>
    <row r="39896" customHeight="1" spans="2:2">
      <c r="B39896" s="62" t="str">
        <f>IF(AND('领用录入（明细）'!D:D=$F$4,'领用录入（明细）'!C:C&gt;=$J$4,'领用录入（明细）'!C:C&lt;=$L$4),ROW(),"-")</f>
        <v>-</v>
      </c>
    </row>
    <row r="39897" customHeight="1" spans="2:2">
      <c r="B39897" s="62" t="str">
        <f>IF(AND('领用录入（明细）'!D:D=$F$4,'领用录入（明细）'!C:C&gt;=$J$4,'领用录入（明细）'!C:C&lt;=$L$4),ROW(),"-")</f>
        <v>-</v>
      </c>
    </row>
    <row r="39898" customHeight="1" spans="2:2">
      <c r="B39898" s="62" t="str">
        <f>IF(AND('领用录入（明细）'!D:D=$F$4,'领用录入（明细）'!C:C&gt;=$J$4,'领用录入（明细）'!C:C&lt;=$L$4),ROW(),"-")</f>
        <v>-</v>
      </c>
    </row>
    <row r="39899" customHeight="1" spans="2:2">
      <c r="B39899" s="62" t="str">
        <f>IF(AND('领用录入（明细）'!D:D=$F$4,'领用录入（明细）'!C:C&gt;=$J$4,'领用录入（明细）'!C:C&lt;=$L$4),ROW(),"-")</f>
        <v>-</v>
      </c>
    </row>
    <row r="39900" customHeight="1" spans="2:2">
      <c r="B39900" s="62" t="str">
        <f>IF(AND('领用录入（明细）'!D:D=$F$4,'领用录入（明细）'!C:C&gt;=$J$4,'领用录入（明细）'!C:C&lt;=$L$4),ROW(),"-")</f>
        <v>-</v>
      </c>
    </row>
    <row r="39901" customHeight="1" spans="2:2">
      <c r="B39901" s="62" t="str">
        <f>IF(AND('领用录入（明细）'!D:D=$F$4,'领用录入（明细）'!C:C&gt;=$J$4,'领用录入（明细）'!C:C&lt;=$L$4),ROW(),"-")</f>
        <v>-</v>
      </c>
    </row>
    <row r="39902" customHeight="1" spans="2:2">
      <c r="B39902" s="62" t="str">
        <f>IF(AND('领用录入（明细）'!D:D=$F$4,'领用录入（明细）'!C:C&gt;=$J$4,'领用录入（明细）'!C:C&lt;=$L$4),ROW(),"-")</f>
        <v>-</v>
      </c>
    </row>
    <row r="39903" customHeight="1" spans="2:2">
      <c r="B39903" s="62" t="str">
        <f>IF(AND('领用录入（明细）'!D:D=$F$4,'领用录入（明细）'!C:C&gt;=$J$4,'领用录入（明细）'!C:C&lt;=$L$4),ROW(),"-")</f>
        <v>-</v>
      </c>
    </row>
    <row r="39904" customHeight="1" spans="2:2">
      <c r="B39904" s="62" t="str">
        <f>IF(AND('领用录入（明细）'!D:D=$F$4,'领用录入（明细）'!C:C&gt;=$J$4,'领用录入（明细）'!C:C&lt;=$L$4),ROW(),"-")</f>
        <v>-</v>
      </c>
    </row>
    <row r="39905" customHeight="1" spans="2:2">
      <c r="B39905" s="62" t="str">
        <f>IF(AND('领用录入（明细）'!D:D=$F$4,'领用录入（明细）'!C:C&gt;=$J$4,'领用录入（明细）'!C:C&lt;=$L$4),ROW(),"-")</f>
        <v>-</v>
      </c>
    </row>
    <row r="39906" customHeight="1" spans="2:2">
      <c r="B39906" s="62" t="str">
        <f>IF(AND('领用录入（明细）'!D:D=$F$4,'领用录入（明细）'!C:C&gt;=$J$4,'领用录入（明细）'!C:C&lt;=$L$4),ROW(),"-")</f>
        <v>-</v>
      </c>
    </row>
    <row r="39907" customHeight="1" spans="2:2">
      <c r="B39907" s="62" t="str">
        <f>IF(AND('领用录入（明细）'!D:D=$F$4,'领用录入（明细）'!C:C&gt;=$J$4,'领用录入（明细）'!C:C&lt;=$L$4),ROW(),"-")</f>
        <v>-</v>
      </c>
    </row>
    <row r="39908" customHeight="1" spans="2:2">
      <c r="B39908" s="62" t="str">
        <f>IF(AND('领用录入（明细）'!D:D=$F$4,'领用录入（明细）'!C:C&gt;=$J$4,'领用录入（明细）'!C:C&lt;=$L$4),ROW(),"-")</f>
        <v>-</v>
      </c>
    </row>
    <row r="39909" customHeight="1" spans="2:2">
      <c r="B39909" s="62" t="str">
        <f>IF(AND('领用录入（明细）'!D:D=$F$4,'领用录入（明细）'!C:C&gt;=$J$4,'领用录入（明细）'!C:C&lt;=$L$4),ROW(),"-")</f>
        <v>-</v>
      </c>
    </row>
    <row r="39910" customHeight="1" spans="2:2">
      <c r="B39910" s="62" t="str">
        <f>IF(AND('领用录入（明细）'!D:D=$F$4,'领用录入（明细）'!C:C&gt;=$J$4,'领用录入（明细）'!C:C&lt;=$L$4),ROW(),"-")</f>
        <v>-</v>
      </c>
    </row>
    <row r="39911" customHeight="1" spans="2:2">
      <c r="B39911" s="62" t="str">
        <f>IF(AND('领用录入（明细）'!D:D=$F$4,'领用录入（明细）'!C:C&gt;=$J$4,'领用录入（明细）'!C:C&lt;=$L$4),ROW(),"-")</f>
        <v>-</v>
      </c>
    </row>
    <row r="39912" customHeight="1" spans="2:2">
      <c r="B39912" s="62" t="str">
        <f>IF(AND('领用录入（明细）'!D:D=$F$4,'领用录入（明细）'!C:C&gt;=$J$4,'领用录入（明细）'!C:C&lt;=$L$4),ROW(),"-")</f>
        <v>-</v>
      </c>
    </row>
    <row r="39913" customHeight="1" spans="2:2">
      <c r="B39913" s="62" t="str">
        <f>IF(AND('领用录入（明细）'!D:D=$F$4,'领用录入（明细）'!C:C&gt;=$J$4,'领用录入（明细）'!C:C&lt;=$L$4),ROW(),"-")</f>
        <v>-</v>
      </c>
    </row>
    <row r="39914" customHeight="1" spans="2:2">
      <c r="B39914" s="62" t="str">
        <f>IF(AND('领用录入（明细）'!D:D=$F$4,'领用录入（明细）'!C:C&gt;=$J$4,'领用录入（明细）'!C:C&lt;=$L$4),ROW(),"-")</f>
        <v>-</v>
      </c>
    </row>
    <row r="39915" customHeight="1" spans="2:2">
      <c r="B39915" s="62" t="str">
        <f>IF(AND('领用录入（明细）'!D:D=$F$4,'领用录入（明细）'!C:C&gt;=$J$4,'领用录入（明细）'!C:C&lt;=$L$4),ROW(),"-")</f>
        <v>-</v>
      </c>
    </row>
    <row r="39916" customHeight="1" spans="2:2">
      <c r="B39916" s="62" t="str">
        <f>IF(AND('领用录入（明细）'!D:D=$F$4,'领用录入（明细）'!C:C&gt;=$J$4,'领用录入（明细）'!C:C&lt;=$L$4),ROW(),"-")</f>
        <v>-</v>
      </c>
    </row>
    <row r="39917" customHeight="1" spans="2:2">
      <c r="B39917" s="62" t="str">
        <f>IF(AND('领用录入（明细）'!D:D=$F$4,'领用录入（明细）'!C:C&gt;=$J$4,'领用录入（明细）'!C:C&lt;=$L$4),ROW(),"-")</f>
        <v>-</v>
      </c>
    </row>
    <row r="39918" customHeight="1" spans="2:2">
      <c r="B39918" s="62" t="str">
        <f>IF(AND('领用录入（明细）'!D:D=$F$4,'领用录入（明细）'!C:C&gt;=$J$4,'领用录入（明细）'!C:C&lt;=$L$4),ROW(),"-")</f>
        <v>-</v>
      </c>
    </row>
    <row r="39919" customHeight="1" spans="2:2">
      <c r="B39919" s="62" t="str">
        <f>IF(AND('领用录入（明细）'!D:D=$F$4,'领用录入（明细）'!C:C&gt;=$J$4,'领用录入（明细）'!C:C&lt;=$L$4),ROW(),"-")</f>
        <v>-</v>
      </c>
    </row>
    <row r="39920" customHeight="1" spans="2:2">
      <c r="B39920" s="62" t="str">
        <f>IF(AND('领用录入（明细）'!D:D=$F$4,'领用录入（明细）'!C:C&gt;=$J$4,'领用录入（明细）'!C:C&lt;=$L$4),ROW(),"-")</f>
        <v>-</v>
      </c>
    </row>
    <row r="39921" customHeight="1" spans="2:2">
      <c r="B39921" s="62" t="str">
        <f>IF(AND('领用录入（明细）'!D:D=$F$4,'领用录入（明细）'!C:C&gt;=$J$4,'领用录入（明细）'!C:C&lt;=$L$4),ROW(),"-")</f>
        <v>-</v>
      </c>
    </row>
    <row r="39922" customHeight="1" spans="2:2">
      <c r="B39922" s="62" t="str">
        <f>IF(AND('领用录入（明细）'!D:D=$F$4,'领用录入（明细）'!C:C&gt;=$J$4,'领用录入（明细）'!C:C&lt;=$L$4),ROW(),"-")</f>
        <v>-</v>
      </c>
    </row>
    <row r="39923" customHeight="1" spans="2:2">
      <c r="B39923" s="62" t="str">
        <f>IF(AND('领用录入（明细）'!D:D=$F$4,'领用录入（明细）'!C:C&gt;=$J$4,'领用录入（明细）'!C:C&lt;=$L$4),ROW(),"-")</f>
        <v>-</v>
      </c>
    </row>
    <row r="39924" customHeight="1" spans="2:2">
      <c r="B39924" s="62" t="str">
        <f>IF(AND('领用录入（明细）'!D:D=$F$4,'领用录入（明细）'!C:C&gt;=$J$4,'领用录入（明细）'!C:C&lt;=$L$4),ROW(),"-")</f>
        <v>-</v>
      </c>
    </row>
    <row r="39925" customHeight="1" spans="2:2">
      <c r="B39925" s="62" t="str">
        <f>IF(AND('领用录入（明细）'!D:D=$F$4,'领用录入（明细）'!C:C&gt;=$J$4,'领用录入（明细）'!C:C&lt;=$L$4),ROW(),"-")</f>
        <v>-</v>
      </c>
    </row>
    <row r="39926" customHeight="1" spans="2:2">
      <c r="B39926" s="62" t="str">
        <f>IF(AND('领用录入（明细）'!D:D=$F$4,'领用录入（明细）'!C:C&gt;=$J$4,'领用录入（明细）'!C:C&lt;=$L$4),ROW(),"-")</f>
        <v>-</v>
      </c>
    </row>
    <row r="39927" customHeight="1" spans="2:2">
      <c r="B39927" s="62" t="str">
        <f>IF(AND('领用录入（明细）'!D:D=$F$4,'领用录入（明细）'!C:C&gt;=$J$4,'领用录入（明细）'!C:C&lt;=$L$4),ROW(),"-")</f>
        <v>-</v>
      </c>
    </row>
    <row r="39928" customHeight="1" spans="2:2">
      <c r="B39928" s="62" t="str">
        <f>IF(AND('领用录入（明细）'!D:D=$F$4,'领用录入（明细）'!C:C&gt;=$J$4,'领用录入（明细）'!C:C&lt;=$L$4),ROW(),"-")</f>
        <v>-</v>
      </c>
    </row>
    <row r="39929" customHeight="1" spans="2:2">
      <c r="B39929" s="62" t="str">
        <f>IF(AND('领用录入（明细）'!D:D=$F$4,'领用录入（明细）'!C:C&gt;=$J$4,'领用录入（明细）'!C:C&lt;=$L$4),ROW(),"-")</f>
        <v>-</v>
      </c>
    </row>
    <row r="39930" customHeight="1" spans="2:2">
      <c r="B39930" s="62" t="str">
        <f>IF(AND('领用录入（明细）'!D:D=$F$4,'领用录入（明细）'!C:C&gt;=$J$4,'领用录入（明细）'!C:C&lt;=$L$4),ROW(),"-")</f>
        <v>-</v>
      </c>
    </row>
    <row r="39931" customHeight="1" spans="2:2">
      <c r="B39931" s="62" t="str">
        <f>IF(AND('领用录入（明细）'!D:D=$F$4,'领用录入（明细）'!C:C&gt;=$J$4,'领用录入（明细）'!C:C&lt;=$L$4),ROW(),"-")</f>
        <v>-</v>
      </c>
    </row>
    <row r="39932" customHeight="1" spans="2:2">
      <c r="B39932" s="62" t="str">
        <f>IF(AND('领用录入（明细）'!D:D=$F$4,'领用录入（明细）'!C:C&gt;=$J$4,'领用录入（明细）'!C:C&lt;=$L$4),ROW(),"-")</f>
        <v>-</v>
      </c>
    </row>
    <row r="39933" customHeight="1" spans="2:2">
      <c r="B39933" s="62" t="str">
        <f>IF(AND('领用录入（明细）'!D:D=$F$4,'领用录入（明细）'!C:C&gt;=$J$4,'领用录入（明细）'!C:C&lt;=$L$4),ROW(),"-")</f>
        <v>-</v>
      </c>
    </row>
    <row r="39934" customHeight="1" spans="2:2">
      <c r="B39934" s="62" t="str">
        <f>IF(AND('领用录入（明细）'!D:D=$F$4,'领用录入（明细）'!C:C&gt;=$J$4,'领用录入（明细）'!C:C&lt;=$L$4),ROW(),"-")</f>
        <v>-</v>
      </c>
    </row>
    <row r="39935" customHeight="1" spans="2:2">
      <c r="B39935" s="62" t="str">
        <f>IF(AND('领用录入（明细）'!D:D=$F$4,'领用录入（明细）'!C:C&gt;=$J$4,'领用录入（明细）'!C:C&lt;=$L$4),ROW(),"-")</f>
        <v>-</v>
      </c>
    </row>
    <row r="39936" customHeight="1" spans="2:2">
      <c r="B39936" s="62" t="str">
        <f>IF(AND('领用录入（明细）'!D:D=$F$4,'领用录入（明细）'!C:C&gt;=$J$4,'领用录入（明细）'!C:C&lt;=$L$4),ROW(),"-")</f>
        <v>-</v>
      </c>
    </row>
    <row r="39937" customHeight="1" spans="2:2">
      <c r="B39937" s="62" t="str">
        <f>IF(AND('领用录入（明细）'!D:D=$F$4,'领用录入（明细）'!C:C&gt;=$J$4,'领用录入（明细）'!C:C&lt;=$L$4),ROW(),"-")</f>
        <v>-</v>
      </c>
    </row>
    <row r="39938" customHeight="1" spans="2:2">
      <c r="B39938" s="62" t="str">
        <f>IF(AND('领用录入（明细）'!D:D=$F$4,'领用录入（明细）'!C:C&gt;=$J$4,'领用录入（明细）'!C:C&lt;=$L$4),ROW(),"-")</f>
        <v>-</v>
      </c>
    </row>
    <row r="39939" customHeight="1" spans="2:2">
      <c r="B39939" s="62" t="str">
        <f>IF(AND('领用录入（明细）'!D:D=$F$4,'领用录入（明细）'!C:C&gt;=$J$4,'领用录入（明细）'!C:C&lt;=$L$4),ROW(),"-")</f>
        <v>-</v>
      </c>
    </row>
    <row r="39940" customHeight="1" spans="2:2">
      <c r="B39940" s="62" t="str">
        <f>IF(AND('领用录入（明细）'!D:D=$F$4,'领用录入（明细）'!C:C&gt;=$J$4,'领用录入（明细）'!C:C&lt;=$L$4),ROW(),"-")</f>
        <v>-</v>
      </c>
    </row>
    <row r="39941" customHeight="1" spans="2:2">
      <c r="B39941" s="62" t="str">
        <f>IF(AND('领用录入（明细）'!D:D=$F$4,'领用录入（明细）'!C:C&gt;=$J$4,'领用录入（明细）'!C:C&lt;=$L$4),ROW(),"-")</f>
        <v>-</v>
      </c>
    </row>
    <row r="39942" customHeight="1" spans="2:2">
      <c r="B39942" s="62" t="str">
        <f>IF(AND('领用录入（明细）'!D:D=$F$4,'领用录入（明细）'!C:C&gt;=$J$4,'领用录入（明细）'!C:C&lt;=$L$4),ROW(),"-")</f>
        <v>-</v>
      </c>
    </row>
    <row r="39943" customHeight="1" spans="2:2">
      <c r="B39943" s="62" t="str">
        <f>IF(AND('领用录入（明细）'!D:D=$F$4,'领用录入（明细）'!C:C&gt;=$J$4,'领用录入（明细）'!C:C&lt;=$L$4),ROW(),"-")</f>
        <v>-</v>
      </c>
    </row>
    <row r="39944" customHeight="1" spans="2:2">
      <c r="B39944" s="62" t="str">
        <f>IF(AND('领用录入（明细）'!D:D=$F$4,'领用录入（明细）'!C:C&gt;=$J$4,'领用录入（明细）'!C:C&lt;=$L$4),ROW(),"-")</f>
        <v>-</v>
      </c>
    </row>
    <row r="39945" customHeight="1" spans="2:2">
      <c r="B39945" s="62" t="str">
        <f>IF(AND('领用录入（明细）'!D:D=$F$4,'领用录入（明细）'!C:C&gt;=$J$4,'领用录入（明细）'!C:C&lt;=$L$4),ROW(),"-")</f>
        <v>-</v>
      </c>
    </row>
    <row r="39946" customHeight="1" spans="2:2">
      <c r="B39946" s="62" t="str">
        <f>IF(AND('领用录入（明细）'!D:D=$F$4,'领用录入（明细）'!C:C&gt;=$J$4,'领用录入（明细）'!C:C&lt;=$L$4),ROW(),"-")</f>
        <v>-</v>
      </c>
    </row>
    <row r="39947" customHeight="1" spans="2:2">
      <c r="B39947" s="62" t="str">
        <f>IF(AND('领用录入（明细）'!D:D=$F$4,'领用录入（明细）'!C:C&gt;=$J$4,'领用录入（明细）'!C:C&lt;=$L$4),ROW(),"-")</f>
        <v>-</v>
      </c>
    </row>
    <row r="39948" customHeight="1" spans="2:2">
      <c r="B39948" s="62" t="str">
        <f>IF(AND('领用录入（明细）'!D:D=$F$4,'领用录入（明细）'!C:C&gt;=$J$4,'领用录入（明细）'!C:C&lt;=$L$4),ROW(),"-")</f>
        <v>-</v>
      </c>
    </row>
    <row r="39949" customHeight="1" spans="2:2">
      <c r="B39949" s="62" t="str">
        <f>IF(AND('领用录入（明细）'!D:D=$F$4,'领用录入（明细）'!C:C&gt;=$J$4,'领用录入（明细）'!C:C&lt;=$L$4),ROW(),"-")</f>
        <v>-</v>
      </c>
    </row>
    <row r="39950" customHeight="1" spans="2:2">
      <c r="B39950" s="62" t="str">
        <f>IF(AND('领用录入（明细）'!D:D=$F$4,'领用录入（明细）'!C:C&gt;=$J$4,'领用录入（明细）'!C:C&lt;=$L$4),ROW(),"-")</f>
        <v>-</v>
      </c>
    </row>
    <row r="39951" customHeight="1" spans="2:2">
      <c r="B39951" s="62" t="str">
        <f>IF(AND('领用录入（明细）'!D:D=$F$4,'领用录入（明细）'!C:C&gt;=$J$4,'领用录入（明细）'!C:C&lt;=$L$4),ROW(),"-")</f>
        <v>-</v>
      </c>
    </row>
    <row r="39952" customHeight="1" spans="2:2">
      <c r="B39952" s="62" t="str">
        <f>IF(AND('领用录入（明细）'!D:D=$F$4,'领用录入（明细）'!C:C&gt;=$J$4,'领用录入（明细）'!C:C&lt;=$L$4),ROW(),"-")</f>
        <v>-</v>
      </c>
    </row>
    <row r="39953" customHeight="1" spans="2:2">
      <c r="B39953" s="62" t="str">
        <f>IF(AND('领用录入（明细）'!D:D=$F$4,'领用录入（明细）'!C:C&gt;=$J$4,'领用录入（明细）'!C:C&lt;=$L$4),ROW(),"-")</f>
        <v>-</v>
      </c>
    </row>
    <row r="39954" customHeight="1" spans="2:2">
      <c r="B39954" s="62" t="str">
        <f>IF(AND('领用录入（明细）'!D:D=$F$4,'领用录入（明细）'!C:C&gt;=$J$4,'领用录入（明细）'!C:C&lt;=$L$4),ROW(),"-")</f>
        <v>-</v>
      </c>
    </row>
    <row r="39955" customHeight="1" spans="2:2">
      <c r="B39955" s="62" t="str">
        <f>IF(AND('领用录入（明细）'!D:D=$F$4,'领用录入（明细）'!C:C&gt;=$J$4,'领用录入（明细）'!C:C&lt;=$L$4),ROW(),"-")</f>
        <v>-</v>
      </c>
    </row>
    <row r="39956" customHeight="1" spans="2:2">
      <c r="B39956" s="62" t="str">
        <f>IF(AND('领用录入（明细）'!D:D=$F$4,'领用录入（明细）'!C:C&gt;=$J$4,'领用录入（明细）'!C:C&lt;=$L$4),ROW(),"-")</f>
        <v>-</v>
      </c>
    </row>
    <row r="39957" customHeight="1" spans="2:2">
      <c r="B39957" s="62" t="str">
        <f>IF(AND('领用录入（明细）'!D:D=$F$4,'领用录入（明细）'!C:C&gt;=$J$4,'领用录入（明细）'!C:C&lt;=$L$4),ROW(),"-")</f>
        <v>-</v>
      </c>
    </row>
    <row r="39958" customHeight="1" spans="2:2">
      <c r="B39958" s="62" t="str">
        <f>IF(AND('领用录入（明细）'!D:D=$F$4,'领用录入（明细）'!C:C&gt;=$J$4,'领用录入（明细）'!C:C&lt;=$L$4),ROW(),"-")</f>
        <v>-</v>
      </c>
    </row>
    <row r="39959" customHeight="1" spans="2:2">
      <c r="B39959" s="62" t="str">
        <f>IF(AND('领用录入（明细）'!D:D=$F$4,'领用录入（明细）'!C:C&gt;=$J$4,'领用录入（明细）'!C:C&lt;=$L$4),ROW(),"-")</f>
        <v>-</v>
      </c>
    </row>
    <row r="39960" customHeight="1" spans="2:2">
      <c r="B39960" s="62" t="str">
        <f>IF(AND('领用录入（明细）'!D:D=$F$4,'领用录入（明细）'!C:C&gt;=$J$4,'领用录入（明细）'!C:C&lt;=$L$4),ROW(),"-")</f>
        <v>-</v>
      </c>
    </row>
    <row r="39961" customHeight="1" spans="2:2">
      <c r="B39961" s="62" t="str">
        <f>IF(AND('领用录入（明细）'!D:D=$F$4,'领用录入（明细）'!C:C&gt;=$J$4,'领用录入（明细）'!C:C&lt;=$L$4),ROW(),"-")</f>
        <v>-</v>
      </c>
    </row>
    <row r="39962" customHeight="1" spans="2:2">
      <c r="B39962" s="62" t="str">
        <f>IF(AND('领用录入（明细）'!D:D=$F$4,'领用录入（明细）'!C:C&gt;=$J$4,'领用录入（明细）'!C:C&lt;=$L$4),ROW(),"-")</f>
        <v>-</v>
      </c>
    </row>
    <row r="39963" customHeight="1" spans="2:2">
      <c r="B39963" s="62" t="str">
        <f>IF(AND('领用录入（明细）'!D:D=$F$4,'领用录入（明细）'!C:C&gt;=$J$4,'领用录入（明细）'!C:C&lt;=$L$4),ROW(),"-")</f>
        <v>-</v>
      </c>
    </row>
    <row r="39964" customHeight="1" spans="2:2">
      <c r="B39964" s="62" t="str">
        <f>IF(AND('领用录入（明细）'!D:D=$F$4,'领用录入（明细）'!C:C&gt;=$J$4,'领用录入（明细）'!C:C&lt;=$L$4),ROW(),"-")</f>
        <v>-</v>
      </c>
    </row>
    <row r="39965" customHeight="1" spans="2:2">
      <c r="B39965" s="62" t="str">
        <f>IF(AND('领用录入（明细）'!D:D=$F$4,'领用录入（明细）'!C:C&gt;=$J$4,'领用录入（明细）'!C:C&lt;=$L$4),ROW(),"-")</f>
        <v>-</v>
      </c>
    </row>
    <row r="39966" customHeight="1" spans="2:2">
      <c r="B39966" s="62" t="str">
        <f>IF(AND('领用录入（明细）'!D:D=$F$4,'领用录入（明细）'!C:C&gt;=$J$4,'领用录入（明细）'!C:C&lt;=$L$4),ROW(),"-")</f>
        <v>-</v>
      </c>
    </row>
    <row r="39967" customHeight="1" spans="2:2">
      <c r="B39967" s="62" t="str">
        <f>IF(AND('领用录入（明细）'!D:D=$F$4,'领用录入（明细）'!C:C&gt;=$J$4,'领用录入（明细）'!C:C&lt;=$L$4),ROW(),"-")</f>
        <v>-</v>
      </c>
    </row>
    <row r="39968" customHeight="1" spans="2:2">
      <c r="B39968" s="62" t="str">
        <f>IF(AND('领用录入（明细）'!D:D=$F$4,'领用录入（明细）'!C:C&gt;=$J$4,'领用录入（明细）'!C:C&lt;=$L$4),ROW(),"-")</f>
        <v>-</v>
      </c>
    </row>
    <row r="39969" customHeight="1" spans="2:2">
      <c r="B39969" s="62" t="str">
        <f>IF(AND('领用录入（明细）'!D:D=$F$4,'领用录入（明细）'!C:C&gt;=$J$4,'领用录入（明细）'!C:C&lt;=$L$4),ROW(),"-")</f>
        <v>-</v>
      </c>
    </row>
    <row r="39970" customHeight="1" spans="2:2">
      <c r="B39970" s="62" t="str">
        <f>IF(AND('领用录入（明细）'!D:D=$F$4,'领用录入（明细）'!C:C&gt;=$J$4,'领用录入（明细）'!C:C&lt;=$L$4),ROW(),"-")</f>
        <v>-</v>
      </c>
    </row>
    <row r="39971" customHeight="1" spans="2:2">
      <c r="B39971" s="62" t="str">
        <f>IF(AND('领用录入（明细）'!D:D=$F$4,'领用录入（明细）'!C:C&gt;=$J$4,'领用录入（明细）'!C:C&lt;=$L$4),ROW(),"-")</f>
        <v>-</v>
      </c>
    </row>
    <row r="39972" customHeight="1" spans="2:2">
      <c r="B39972" s="62" t="str">
        <f>IF(AND('领用录入（明细）'!D:D=$F$4,'领用录入（明细）'!C:C&gt;=$J$4,'领用录入（明细）'!C:C&lt;=$L$4),ROW(),"-")</f>
        <v>-</v>
      </c>
    </row>
    <row r="39973" customHeight="1" spans="2:2">
      <c r="B39973" s="62" t="str">
        <f>IF(AND('领用录入（明细）'!D:D=$F$4,'领用录入（明细）'!C:C&gt;=$J$4,'领用录入（明细）'!C:C&lt;=$L$4),ROW(),"-")</f>
        <v>-</v>
      </c>
    </row>
    <row r="39974" customHeight="1" spans="2:2">
      <c r="B39974" s="62" t="str">
        <f>IF(AND('领用录入（明细）'!D:D=$F$4,'领用录入（明细）'!C:C&gt;=$J$4,'领用录入（明细）'!C:C&lt;=$L$4),ROW(),"-")</f>
        <v>-</v>
      </c>
    </row>
    <row r="39975" customHeight="1" spans="2:2">
      <c r="B39975" s="62" t="str">
        <f>IF(AND('领用录入（明细）'!D:D=$F$4,'领用录入（明细）'!C:C&gt;=$J$4,'领用录入（明细）'!C:C&lt;=$L$4),ROW(),"-")</f>
        <v>-</v>
      </c>
    </row>
    <row r="39976" customHeight="1" spans="2:2">
      <c r="B39976" s="62" t="str">
        <f>IF(AND('领用录入（明细）'!D:D=$F$4,'领用录入（明细）'!C:C&gt;=$J$4,'领用录入（明细）'!C:C&lt;=$L$4),ROW(),"-")</f>
        <v>-</v>
      </c>
    </row>
    <row r="39977" customHeight="1" spans="2:2">
      <c r="B39977" s="62" t="str">
        <f>IF(AND('领用录入（明细）'!D:D=$F$4,'领用录入（明细）'!C:C&gt;=$J$4,'领用录入（明细）'!C:C&lt;=$L$4),ROW(),"-")</f>
        <v>-</v>
      </c>
    </row>
    <row r="39978" customHeight="1" spans="2:2">
      <c r="B39978" s="62" t="str">
        <f>IF(AND('领用录入（明细）'!D:D=$F$4,'领用录入（明细）'!C:C&gt;=$J$4,'领用录入（明细）'!C:C&lt;=$L$4),ROW(),"-")</f>
        <v>-</v>
      </c>
    </row>
    <row r="39979" customHeight="1" spans="2:2">
      <c r="B39979" s="62" t="str">
        <f>IF(AND('领用录入（明细）'!D:D=$F$4,'领用录入（明细）'!C:C&gt;=$J$4,'领用录入（明细）'!C:C&lt;=$L$4),ROW(),"-")</f>
        <v>-</v>
      </c>
    </row>
    <row r="39980" customHeight="1" spans="2:2">
      <c r="B39980" s="62" t="str">
        <f>IF(AND('领用录入（明细）'!D:D=$F$4,'领用录入（明细）'!C:C&gt;=$J$4,'领用录入（明细）'!C:C&lt;=$L$4),ROW(),"-")</f>
        <v>-</v>
      </c>
    </row>
    <row r="39981" customHeight="1" spans="2:2">
      <c r="B39981" s="62" t="str">
        <f>IF(AND('领用录入（明细）'!D:D=$F$4,'领用录入（明细）'!C:C&gt;=$J$4,'领用录入（明细）'!C:C&lt;=$L$4),ROW(),"-")</f>
        <v>-</v>
      </c>
    </row>
    <row r="39982" customHeight="1" spans="2:2">
      <c r="B39982" s="62" t="str">
        <f>IF(AND('领用录入（明细）'!D:D=$F$4,'领用录入（明细）'!C:C&gt;=$J$4,'领用录入（明细）'!C:C&lt;=$L$4),ROW(),"-")</f>
        <v>-</v>
      </c>
    </row>
    <row r="39983" customHeight="1" spans="2:2">
      <c r="B39983" s="62" t="str">
        <f>IF(AND('领用录入（明细）'!D:D=$F$4,'领用录入（明细）'!C:C&gt;=$J$4,'领用录入（明细）'!C:C&lt;=$L$4),ROW(),"-")</f>
        <v>-</v>
      </c>
    </row>
    <row r="39984" customHeight="1" spans="2:2">
      <c r="B39984" s="62" t="str">
        <f>IF(AND('领用录入（明细）'!D:D=$F$4,'领用录入（明细）'!C:C&gt;=$J$4,'领用录入（明细）'!C:C&lt;=$L$4),ROW(),"-")</f>
        <v>-</v>
      </c>
    </row>
    <row r="39985" customHeight="1" spans="2:2">
      <c r="B39985" s="62" t="str">
        <f>IF(AND('领用录入（明细）'!D:D=$F$4,'领用录入（明细）'!C:C&gt;=$J$4,'领用录入（明细）'!C:C&lt;=$L$4),ROW(),"-")</f>
        <v>-</v>
      </c>
    </row>
    <row r="39986" customHeight="1" spans="2:2">
      <c r="B39986" s="62" t="str">
        <f>IF(AND('领用录入（明细）'!D:D=$F$4,'领用录入（明细）'!C:C&gt;=$J$4,'领用录入（明细）'!C:C&lt;=$L$4),ROW(),"-")</f>
        <v>-</v>
      </c>
    </row>
    <row r="39987" customHeight="1" spans="2:2">
      <c r="B39987" s="62" t="str">
        <f>IF(AND('领用录入（明细）'!D:D=$F$4,'领用录入（明细）'!C:C&gt;=$J$4,'领用录入（明细）'!C:C&lt;=$L$4),ROW(),"-")</f>
        <v>-</v>
      </c>
    </row>
    <row r="39988" customHeight="1" spans="2:2">
      <c r="B39988" s="62" t="str">
        <f>IF(AND('领用录入（明细）'!D:D=$F$4,'领用录入（明细）'!C:C&gt;=$J$4,'领用录入（明细）'!C:C&lt;=$L$4),ROW(),"-")</f>
        <v>-</v>
      </c>
    </row>
    <row r="39989" customHeight="1" spans="2:2">
      <c r="B39989" s="62" t="str">
        <f>IF(AND('领用录入（明细）'!D:D=$F$4,'领用录入（明细）'!C:C&gt;=$J$4,'领用录入（明细）'!C:C&lt;=$L$4),ROW(),"-")</f>
        <v>-</v>
      </c>
    </row>
    <row r="39990" customHeight="1" spans="2:2">
      <c r="B39990" s="62" t="str">
        <f>IF(AND('领用录入（明细）'!D:D=$F$4,'领用录入（明细）'!C:C&gt;=$J$4,'领用录入（明细）'!C:C&lt;=$L$4),ROW(),"-")</f>
        <v>-</v>
      </c>
    </row>
    <row r="39991" customHeight="1" spans="2:2">
      <c r="B39991" s="62" t="str">
        <f>IF(AND('领用录入（明细）'!D:D=$F$4,'领用录入（明细）'!C:C&gt;=$J$4,'领用录入（明细）'!C:C&lt;=$L$4),ROW(),"-")</f>
        <v>-</v>
      </c>
    </row>
    <row r="39992" customHeight="1" spans="2:2">
      <c r="B39992" s="62" t="str">
        <f>IF(AND('领用录入（明细）'!D:D=$F$4,'领用录入（明细）'!C:C&gt;=$J$4,'领用录入（明细）'!C:C&lt;=$L$4),ROW(),"-")</f>
        <v>-</v>
      </c>
    </row>
    <row r="39993" customHeight="1" spans="2:2">
      <c r="B39993" s="62" t="str">
        <f>IF(AND('领用录入（明细）'!D:D=$F$4,'领用录入（明细）'!C:C&gt;=$J$4,'领用录入（明细）'!C:C&lt;=$L$4),ROW(),"-")</f>
        <v>-</v>
      </c>
    </row>
    <row r="39994" customHeight="1" spans="2:2">
      <c r="B39994" s="62" t="str">
        <f>IF(AND('领用录入（明细）'!D:D=$F$4,'领用录入（明细）'!C:C&gt;=$J$4,'领用录入（明细）'!C:C&lt;=$L$4),ROW(),"-")</f>
        <v>-</v>
      </c>
    </row>
    <row r="39995" customHeight="1" spans="2:2">
      <c r="B39995" s="62" t="str">
        <f>IF(AND('领用录入（明细）'!D:D=$F$4,'领用录入（明细）'!C:C&gt;=$J$4,'领用录入（明细）'!C:C&lt;=$L$4),ROW(),"-")</f>
        <v>-</v>
      </c>
    </row>
    <row r="39996" customHeight="1" spans="2:2">
      <c r="B39996" s="62" t="str">
        <f>IF(AND('领用录入（明细）'!D:D=$F$4,'领用录入（明细）'!C:C&gt;=$J$4,'领用录入（明细）'!C:C&lt;=$L$4),ROW(),"-")</f>
        <v>-</v>
      </c>
    </row>
    <row r="39997" customHeight="1" spans="2:2">
      <c r="B39997" s="62" t="str">
        <f>IF(AND('领用录入（明细）'!D:D=$F$4,'领用录入（明细）'!C:C&gt;=$J$4,'领用录入（明细）'!C:C&lt;=$L$4),ROW(),"-")</f>
        <v>-</v>
      </c>
    </row>
    <row r="39998" customHeight="1" spans="2:2">
      <c r="B39998" s="62" t="str">
        <f>IF(AND('领用录入（明细）'!D:D=$F$4,'领用录入（明细）'!C:C&gt;=$J$4,'领用录入（明细）'!C:C&lt;=$L$4),ROW(),"-")</f>
        <v>-</v>
      </c>
    </row>
    <row r="39999" customHeight="1" spans="2:2">
      <c r="B39999" s="62" t="str">
        <f>IF(AND('领用录入（明细）'!D:D=$F$4,'领用录入（明细）'!C:C&gt;=$J$4,'领用录入（明细）'!C:C&lt;=$L$4),ROW(),"-")</f>
        <v>-</v>
      </c>
    </row>
    <row r="40000" customHeight="1" spans="2:2">
      <c r="B40000" s="62" t="str">
        <f>IF(AND('领用录入（明细）'!D:D=$F$4,'领用录入（明细）'!C:C&gt;=$J$4,'领用录入（明细）'!C:C&lt;=$L$4),ROW(),"-")</f>
        <v>-</v>
      </c>
    </row>
    <row r="40001" customHeight="1" spans="2:2">
      <c r="B40001" s="62" t="str">
        <f>IF(AND('领用录入（明细）'!D:D=$F$4,'领用录入（明细）'!C:C&gt;=$J$4,'领用录入（明细）'!C:C&lt;=$L$4),ROW(),"-")</f>
        <v>-</v>
      </c>
    </row>
    <row r="40002" customHeight="1" spans="2:2">
      <c r="B40002" s="62" t="str">
        <f>IF(AND('领用录入（明细）'!D:D=$F$4,'领用录入（明细）'!C:C&gt;=$J$4,'领用录入（明细）'!C:C&lt;=$L$4),ROW(),"-")</f>
        <v>-</v>
      </c>
    </row>
    <row r="40003" customHeight="1" spans="2:2">
      <c r="B40003" s="62" t="str">
        <f>IF(AND('领用录入（明细）'!D:D=$F$4,'领用录入（明细）'!C:C&gt;=$J$4,'领用录入（明细）'!C:C&lt;=$L$4),ROW(),"-")</f>
        <v>-</v>
      </c>
    </row>
    <row r="40004" customHeight="1" spans="2:2">
      <c r="B40004" s="62" t="str">
        <f>IF(AND('领用录入（明细）'!D:D=$F$4,'领用录入（明细）'!C:C&gt;=$J$4,'领用录入（明细）'!C:C&lt;=$L$4),ROW(),"-")</f>
        <v>-</v>
      </c>
    </row>
    <row r="40005" customHeight="1" spans="2:2">
      <c r="B40005" s="62" t="str">
        <f>IF(AND('领用录入（明细）'!D:D=$F$4,'领用录入（明细）'!C:C&gt;=$J$4,'领用录入（明细）'!C:C&lt;=$L$4),ROW(),"-")</f>
        <v>-</v>
      </c>
    </row>
    <row r="40006" customHeight="1" spans="2:2">
      <c r="B40006" s="62" t="str">
        <f>IF(AND('领用录入（明细）'!D:D=$F$4,'领用录入（明细）'!C:C&gt;=$J$4,'领用录入（明细）'!C:C&lt;=$L$4),ROW(),"-")</f>
        <v>-</v>
      </c>
    </row>
    <row r="40007" customHeight="1" spans="2:2">
      <c r="B40007" s="62" t="str">
        <f>IF(AND('领用录入（明细）'!D:D=$F$4,'领用录入（明细）'!C:C&gt;=$J$4,'领用录入（明细）'!C:C&lt;=$L$4),ROW(),"-")</f>
        <v>-</v>
      </c>
    </row>
    <row r="40008" customHeight="1" spans="2:2">
      <c r="B40008" s="62" t="str">
        <f>IF(AND('领用录入（明细）'!D:D=$F$4,'领用录入（明细）'!C:C&gt;=$J$4,'领用录入（明细）'!C:C&lt;=$L$4),ROW(),"-")</f>
        <v>-</v>
      </c>
    </row>
    <row r="40009" customHeight="1" spans="2:2">
      <c r="B40009" s="62" t="str">
        <f>IF(AND('领用录入（明细）'!D:D=$F$4,'领用录入（明细）'!C:C&gt;=$J$4,'领用录入（明细）'!C:C&lt;=$L$4),ROW(),"-")</f>
        <v>-</v>
      </c>
    </row>
    <row r="40010" customHeight="1" spans="2:2">
      <c r="B40010" s="62" t="str">
        <f>IF(AND('领用录入（明细）'!D:D=$F$4,'领用录入（明细）'!C:C&gt;=$J$4,'领用录入（明细）'!C:C&lt;=$L$4),ROW(),"-")</f>
        <v>-</v>
      </c>
    </row>
    <row r="40011" customHeight="1" spans="2:2">
      <c r="B40011" s="62" t="str">
        <f>IF(AND('领用录入（明细）'!D:D=$F$4,'领用录入（明细）'!C:C&gt;=$J$4,'领用录入（明细）'!C:C&lt;=$L$4),ROW(),"-")</f>
        <v>-</v>
      </c>
    </row>
    <row r="40012" customHeight="1" spans="2:2">
      <c r="B40012" s="62" t="str">
        <f>IF(AND('领用录入（明细）'!D:D=$F$4,'领用录入（明细）'!C:C&gt;=$J$4,'领用录入（明细）'!C:C&lt;=$L$4),ROW(),"-")</f>
        <v>-</v>
      </c>
    </row>
    <row r="40013" customHeight="1" spans="2:2">
      <c r="B40013" s="62" t="str">
        <f>IF(AND('领用录入（明细）'!D:D=$F$4,'领用录入（明细）'!C:C&gt;=$J$4,'领用录入（明细）'!C:C&lt;=$L$4),ROW(),"-")</f>
        <v>-</v>
      </c>
    </row>
    <row r="40014" customHeight="1" spans="2:2">
      <c r="B40014" s="62" t="str">
        <f>IF(AND('领用录入（明细）'!D:D=$F$4,'领用录入（明细）'!C:C&gt;=$J$4,'领用录入（明细）'!C:C&lt;=$L$4),ROW(),"-")</f>
        <v>-</v>
      </c>
    </row>
    <row r="40015" customHeight="1" spans="2:2">
      <c r="B40015" s="62" t="str">
        <f>IF(AND('领用录入（明细）'!D:D=$F$4,'领用录入（明细）'!C:C&gt;=$J$4,'领用录入（明细）'!C:C&lt;=$L$4),ROW(),"-")</f>
        <v>-</v>
      </c>
    </row>
    <row r="40016" customHeight="1" spans="2:2">
      <c r="B40016" s="62" t="str">
        <f>IF(AND('领用录入（明细）'!D:D=$F$4,'领用录入（明细）'!C:C&gt;=$J$4,'领用录入（明细）'!C:C&lt;=$L$4),ROW(),"-")</f>
        <v>-</v>
      </c>
    </row>
    <row r="40017" customHeight="1" spans="2:2">
      <c r="B40017" s="62" t="str">
        <f>IF(AND('领用录入（明细）'!D:D=$F$4,'领用录入（明细）'!C:C&gt;=$J$4,'领用录入（明细）'!C:C&lt;=$L$4),ROW(),"-")</f>
        <v>-</v>
      </c>
    </row>
    <row r="40018" customHeight="1" spans="2:2">
      <c r="B40018" s="62" t="str">
        <f>IF(AND('领用录入（明细）'!D:D=$F$4,'领用录入（明细）'!C:C&gt;=$J$4,'领用录入（明细）'!C:C&lt;=$L$4),ROW(),"-")</f>
        <v>-</v>
      </c>
    </row>
    <row r="40019" customHeight="1" spans="2:2">
      <c r="B40019" s="62" t="str">
        <f>IF(AND('领用录入（明细）'!D:D=$F$4,'领用录入（明细）'!C:C&gt;=$J$4,'领用录入（明细）'!C:C&lt;=$L$4),ROW(),"-")</f>
        <v>-</v>
      </c>
    </row>
    <row r="40020" customHeight="1" spans="2:2">
      <c r="B40020" s="62" t="str">
        <f>IF(AND('领用录入（明细）'!D:D=$F$4,'领用录入（明细）'!C:C&gt;=$J$4,'领用录入（明细）'!C:C&lt;=$L$4),ROW(),"-")</f>
        <v>-</v>
      </c>
    </row>
    <row r="40021" customHeight="1" spans="2:2">
      <c r="B40021" s="62" t="str">
        <f>IF(AND('领用录入（明细）'!D:D=$F$4,'领用录入（明细）'!C:C&gt;=$J$4,'领用录入（明细）'!C:C&lt;=$L$4),ROW(),"-")</f>
        <v>-</v>
      </c>
    </row>
    <row r="40022" customHeight="1" spans="2:2">
      <c r="B40022" s="62" t="str">
        <f>IF(AND('领用录入（明细）'!D:D=$F$4,'领用录入（明细）'!C:C&gt;=$J$4,'领用录入（明细）'!C:C&lt;=$L$4),ROW(),"-")</f>
        <v>-</v>
      </c>
    </row>
    <row r="40023" customHeight="1" spans="2:2">
      <c r="B40023" s="62" t="str">
        <f>IF(AND('领用录入（明细）'!D:D=$F$4,'领用录入（明细）'!C:C&gt;=$J$4,'领用录入（明细）'!C:C&lt;=$L$4),ROW(),"-")</f>
        <v>-</v>
      </c>
    </row>
    <row r="40024" customHeight="1" spans="2:2">
      <c r="B40024" s="62" t="str">
        <f>IF(AND('领用录入（明细）'!D:D=$F$4,'领用录入（明细）'!C:C&gt;=$J$4,'领用录入（明细）'!C:C&lt;=$L$4),ROW(),"-")</f>
        <v>-</v>
      </c>
    </row>
    <row r="40025" customHeight="1" spans="2:2">
      <c r="B40025" s="62" t="str">
        <f>IF(AND('领用录入（明细）'!D:D=$F$4,'领用录入（明细）'!C:C&gt;=$J$4,'领用录入（明细）'!C:C&lt;=$L$4),ROW(),"-")</f>
        <v>-</v>
      </c>
    </row>
    <row r="40026" customHeight="1" spans="2:2">
      <c r="B40026" s="62" t="str">
        <f>IF(AND('领用录入（明细）'!D:D=$F$4,'领用录入（明细）'!C:C&gt;=$J$4,'领用录入（明细）'!C:C&lt;=$L$4),ROW(),"-")</f>
        <v>-</v>
      </c>
    </row>
    <row r="40027" customHeight="1" spans="2:2">
      <c r="B40027" s="62" t="str">
        <f>IF(AND('领用录入（明细）'!D:D=$F$4,'领用录入（明细）'!C:C&gt;=$J$4,'领用录入（明细）'!C:C&lt;=$L$4),ROW(),"-")</f>
        <v>-</v>
      </c>
    </row>
    <row r="40028" customHeight="1" spans="2:2">
      <c r="B40028" s="62" t="str">
        <f>IF(AND('领用录入（明细）'!D:D=$F$4,'领用录入（明细）'!C:C&gt;=$J$4,'领用录入（明细）'!C:C&lt;=$L$4),ROW(),"-")</f>
        <v>-</v>
      </c>
    </row>
    <row r="40029" customHeight="1" spans="2:2">
      <c r="B40029" s="62" t="str">
        <f>IF(AND('领用录入（明细）'!D:D=$F$4,'领用录入（明细）'!C:C&gt;=$J$4,'领用录入（明细）'!C:C&lt;=$L$4),ROW(),"-")</f>
        <v>-</v>
      </c>
    </row>
    <row r="40030" customHeight="1" spans="2:2">
      <c r="B40030" s="62" t="str">
        <f>IF(AND('领用录入（明细）'!D:D=$F$4,'领用录入（明细）'!C:C&gt;=$J$4,'领用录入（明细）'!C:C&lt;=$L$4),ROW(),"-")</f>
        <v>-</v>
      </c>
    </row>
    <row r="40031" customHeight="1" spans="2:2">
      <c r="B40031" s="62" t="str">
        <f>IF(AND('领用录入（明细）'!D:D=$F$4,'领用录入（明细）'!C:C&gt;=$J$4,'领用录入（明细）'!C:C&lt;=$L$4),ROW(),"-")</f>
        <v>-</v>
      </c>
    </row>
    <row r="40032" customHeight="1" spans="2:2">
      <c r="B40032" s="62" t="str">
        <f>IF(AND('领用录入（明细）'!D:D=$F$4,'领用录入（明细）'!C:C&gt;=$J$4,'领用录入（明细）'!C:C&lt;=$L$4),ROW(),"-")</f>
        <v>-</v>
      </c>
    </row>
    <row r="40033" customHeight="1" spans="2:2">
      <c r="B40033" s="62" t="str">
        <f>IF(AND('领用录入（明细）'!D:D=$F$4,'领用录入（明细）'!C:C&gt;=$J$4,'领用录入（明细）'!C:C&lt;=$L$4),ROW(),"-")</f>
        <v>-</v>
      </c>
    </row>
    <row r="40034" customHeight="1" spans="2:2">
      <c r="B40034" s="62" t="str">
        <f>IF(AND('领用录入（明细）'!D:D=$F$4,'领用录入（明细）'!C:C&gt;=$J$4,'领用录入（明细）'!C:C&lt;=$L$4),ROW(),"-")</f>
        <v>-</v>
      </c>
    </row>
    <row r="40035" customHeight="1" spans="2:2">
      <c r="B40035" s="62" t="str">
        <f>IF(AND('领用录入（明细）'!D:D=$F$4,'领用录入（明细）'!C:C&gt;=$J$4,'领用录入（明细）'!C:C&lt;=$L$4),ROW(),"-")</f>
        <v>-</v>
      </c>
    </row>
    <row r="40036" customHeight="1" spans="2:2">
      <c r="B40036" s="62" t="str">
        <f>IF(AND('领用录入（明细）'!D:D=$F$4,'领用录入（明细）'!C:C&gt;=$J$4,'领用录入（明细）'!C:C&lt;=$L$4),ROW(),"-")</f>
        <v>-</v>
      </c>
    </row>
    <row r="40037" customHeight="1" spans="2:2">
      <c r="B40037" s="62" t="str">
        <f>IF(AND('领用录入（明细）'!D:D=$F$4,'领用录入（明细）'!C:C&gt;=$J$4,'领用录入（明细）'!C:C&lt;=$L$4),ROW(),"-")</f>
        <v>-</v>
      </c>
    </row>
    <row r="40038" customHeight="1" spans="2:2">
      <c r="B40038" s="62" t="str">
        <f>IF(AND('领用录入（明细）'!D:D=$F$4,'领用录入（明细）'!C:C&gt;=$J$4,'领用录入（明细）'!C:C&lt;=$L$4),ROW(),"-")</f>
        <v>-</v>
      </c>
    </row>
    <row r="40039" customHeight="1" spans="2:2">
      <c r="B40039" s="62" t="str">
        <f>IF(AND('领用录入（明细）'!D:D=$F$4,'领用录入（明细）'!C:C&gt;=$J$4,'领用录入（明细）'!C:C&lt;=$L$4),ROW(),"-")</f>
        <v>-</v>
      </c>
    </row>
    <row r="40040" customHeight="1" spans="2:2">
      <c r="B40040" s="62" t="str">
        <f>IF(AND('领用录入（明细）'!D:D=$F$4,'领用录入（明细）'!C:C&gt;=$J$4,'领用录入（明细）'!C:C&lt;=$L$4),ROW(),"-")</f>
        <v>-</v>
      </c>
    </row>
    <row r="40041" customHeight="1" spans="2:2">
      <c r="B40041" s="62" t="str">
        <f>IF(AND('领用录入（明细）'!D:D=$F$4,'领用录入（明细）'!C:C&gt;=$J$4,'领用录入（明细）'!C:C&lt;=$L$4),ROW(),"-")</f>
        <v>-</v>
      </c>
    </row>
    <row r="40042" customHeight="1" spans="2:2">
      <c r="B40042" s="62" t="str">
        <f>IF(AND('领用录入（明细）'!D:D=$F$4,'领用录入（明细）'!C:C&gt;=$J$4,'领用录入（明细）'!C:C&lt;=$L$4),ROW(),"-")</f>
        <v>-</v>
      </c>
    </row>
    <row r="40043" customHeight="1" spans="2:2">
      <c r="B40043" s="62" t="str">
        <f>IF(AND('领用录入（明细）'!D:D=$F$4,'领用录入（明细）'!C:C&gt;=$J$4,'领用录入（明细）'!C:C&lt;=$L$4),ROW(),"-")</f>
        <v>-</v>
      </c>
    </row>
    <row r="40044" customHeight="1" spans="2:2">
      <c r="B40044" s="62" t="str">
        <f>IF(AND('领用录入（明细）'!D:D=$F$4,'领用录入（明细）'!C:C&gt;=$J$4,'领用录入（明细）'!C:C&lt;=$L$4),ROW(),"-")</f>
        <v>-</v>
      </c>
    </row>
    <row r="40045" customHeight="1" spans="2:2">
      <c r="B40045" s="62" t="str">
        <f>IF(AND('领用录入（明细）'!D:D=$F$4,'领用录入（明细）'!C:C&gt;=$J$4,'领用录入（明细）'!C:C&lt;=$L$4),ROW(),"-")</f>
        <v>-</v>
      </c>
    </row>
    <row r="40046" customHeight="1" spans="2:2">
      <c r="B40046" s="62" t="str">
        <f>IF(AND('领用录入（明细）'!D:D=$F$4,'领用录入（明细）'!C:C&gt;=$J$4,'领用录入（明细）'!C:C&lt;=$L$4),ROW(),"-")</f>
        <v>-</v>
      </c>
    </row>
    <row r="40047" customHeight="1" spans="2:2">
      <c r="B40047" s="62" t="str">
        <f>IF(AND('领用录入（明细）'!D:D=$F$4,'领用录入（明细）'!C:C&gt;=$J$4,'领用录入（明细）'!C:C&lt;=$L$4),ROW(),"-")</f>
        <v>-</v>
      </c>
    </row>
    <row r="40048" customHeight="1" spans="2:2">
      <c r="B40048" s="62" t="str">
        <f>IF(AND('领用录入（明细）'!D:D=$F$4,'领用录入（明细）'!C:C&gt;=$J$4,'领用录入（明细）'!C:C&lt;=$L$4),ROW(),"-")</f>
        <v>-</v>
      </c>
    </row>
    <row r="40049" customHeight="1" spans="2:2">
      <c r="B40049" s="62" t="str">
        <f>IF(AND('领用录入（明细）'!D:D=$F$4,'领用录入（明细）'!C:C&gt;=$J$4,'领用录入（明细）'!C:C&lt;=$L$4),ROW(),"-")</f>
        <v>-</v>
      </c>
    </row>
    <row r="40050" customHeight="1" spans="2:2">
      <c r="B40050" s="62" t="str">
        <f>IF(AND('领用录入（明细）'!D:D=$F$4,'领用录入（明细）'!C:C&gt;=$J$4,'领用录入（明细）'!C:C&lt;=$L$4),ROW(),"-")</f>
        <v>-</v>
      </c>
    </row>
    <row r="40051" customHeight="1" spans="2:2">
      <c r="B40051" s="62" t="str">
        <f>IF(AND('领用录入（明细）'!D:D=$F$4,'领用录入（明细）'!C:C&gt;=$J$4,'领用录入（明细）'!C:C&lt;=$L$4),ROW(),"-")</f>
        <v>-</v>
      </c>
    </row>
    <row r="40052" customHeight="1" spans="2:2">
      <c r="B40052" s="62" t="str">
        <f>IF(AND('领用录入（明细）'!D:D=$F$4,'领用录入（明细）'!C:C&gt;=$J$4,'领用录入（明细）'!C:C&lt;=$L$4),ROW(),"-")</f>
        <v>-</v>
      </c>
    </row>
    <row r="40053" customHeight="1" spans="2:2">
      <c r="B40053" s="62" t="str">
        <f>IF(AND('领用录入（明细）'!D:D=$F$4,'领用录入（明细）'!C:C&gt;=$J$4,'领用录入（明细）'!C:C&lt;=$L$4),ROW(),"-")</f>
        <v>-</v>
      </c>
    </row>
    <row r="40054" customHeight="1" spans="2:2">
      <c r="B40054" s="62" t="str">
        <f>IF(AND('领用录入（明细）'!D:D=$F$4,'领用录入（明细）'!C:C&gt;=$J$4,'领用录入（明细）'!C:C&lt;=$L$4),ROW(),"-")</f>
        <v>-</v>
      </c>
    </row>
    <row r="40055" customHeight="1" spans="2:2">
      <c r="B40055" s="62" t="str">
        <f>IF(AND('领用录入（明细）'!D:D=$F$4,'领用录入（明细）'!C:C&gt;=$J$4,'领用录入（明细）'!C:C&lt;=$L$4),ROW(),"-")</f>
        <v>-</v>
      </c>
    </row>
    <row r="40056" customHeight="1" spans="2:2">
      <c r="B40056" s="62" t="str">
        <f>IF(AND('领用录入（明细）'!D:D=$F$4,'领用录入（明细）'!C:C&gt;=$J$4,'领用录入（明细）'!C:C&lt;=$L$4),ROW(),"-")</f>
        <v>-</v>
      </c>
    </row>
    <row r="40057" customHeight="1" spans="2:2">
      <c r="B40057" s="62" t="str">
        <f>IF(AND('领用录入（明细）'!D:D=$F$4,'领用录入（明细）'!C:C&gt;=$J$4,'领用录入（明细）'!C:C&lt;=$L$4),ROW(),"-")</f>
        <v>-</v>
      </c>
    </row>
    <row r="40058" customHeight="1" spans="2:2">
      <c r="B40058" s="62" t="str">
        <f>IF(AND('领用录入（明细）'!D:D=$F$4,'领用录入（明细）'!C:C&gt;=$J$4,'领用录入（明细）'!C:C&lt;=$L$4),ROW(),"-")</f>
        <v>-</v>
      </c>
    </row>
    <row r="40059" customHeight="1" spans="2:2">
      <c r="B40059" s="62" t="str">
        <f>IF(AND('领用录入（明细）'!D:D=$F$4,'领用录入（明细）'!C:C&gt;=$J$4,'领用录入（明细）'!C:C&lt;=$L$4),ROW(),"-")</f>
        <v>-</v>
      </c>
    </row>
    <row r="40060" customHeight="1" spans="2:2">
      <c r="B40060" s="62" t="str">
        <f>IF(AND('领用录入（明细）'!D:D=$F$4,'领用录入（明细）'!C:C&gt;=$J$4,'领用录入（明细）'!C:C&lt;=$L$4),ROW(),"-")</f>
        <v>-</v>
      </c>
    </row>
    <row r="40061" customHeight="1" spans="2:2">
      <c r="B40061" s="62" t="str">
        <f>IF(AND('领用录入（明细）'!D:D=$F$4,'领用录入（明细）'!C:C&gt;=$J$4,'领用录入（明细）'!C:C&lt;=$L$4),ROW(),"-")</f>
        <v>-</v>
      </c>
    </row>
    <row r="40062" customHeight="1" spans="2:2">
      <c r="B40062" s="62" t="str">
        <f>IF(AND('领用录入（明细）'!D:D=$F$4,'领用录入（明细）'!C:C&gt;=$J$4,'领用录入（明细）'!C:C&lt;=$L$4),ROW(),"-")</f>
        <v>-</v>
      </c>
    </row>
    <row r="40063" customHeight="1" spans="2:2">
      <c r="B40063" s="62" t="str">
        <f>IF(AND('领用录入（明细）'!D:D=$F$4,'领用录入（明细）'!C:C&gt;=$J$4,'领用录入（明细）'!C:C&lt;=$L$4),ROW(),"-")</f>
        <v>-</v>
      </c>
    </row>
    <row r="40064" customHeight="1" spans="2:2">
      <c r="B40064" s="62" t="str">
        <f>IF(AND('领用录入（明细）'!D:D=$F$4,'领用录入（明细）'!C:C&gt;=$J$4,'领用录入（明细）'!C:C&lt;=$L$4),ROW(),"-")</f>
        <v>-</v>
      </c>
    </row>
    <row r="40065" customHeight="1" spans="2:2">
      <c r="B40065" s="62" t="str">
        <f>IF(AND('领用录入（明细）'!D:D=$F$4,'领用录入（明细）'!C:C&gt;=$J$4,'领用录入（明细）'!C:C&lt;=$L$4),ROW(),"-")</f>
        <v>-</v>
      </c>
    </row>
    <row r="40066" customHeight="1" spans="2:2">
      <c r="B40066" s="62" t="str">
        <f>IF(AND('领用录入（明细）'!D:D=$F$4,'领用录入（明细）'!C:C&gt;=$J$4,'领用录入（明细）'!C:C&lt;=$L$4),ROW(),"-")</f>
        <v>-</v>
      </c>
    </row>
    <row r="40067" customHeight="1" spans="2:2">
      <c r="B40067" s="62" t="str">
        <f>IF(AND('领用录入（明细）'!D:D=$F$4,'领用录入（明细）'!C:C&gt;=$J$4,'领用录入（明细）'!C:C&lt;=$L$4),ROW(),"-")</f>
        <v>-</v>
      </c>
    </row>
    <row r="40068" customHeight="1" spans="2:2">
      <c r="B40068" s="62" t="str">
        <f>IF(AND('领用录入（明细）'!D:D=$F$4,'领用录入（明细）'!C:C&gt;=$J$4,'领用录入（明细）'!C:C&lt;=$L$4),ROW(),"-")</f>
        <v>-</v>
      </c>
    </row>
    <row r="40069" customHeight="1" spans="2:2">
      <c r="B40069" s="62" t="str">
        <f>IF(AND('领用录入（明细）'!D:D=$F$4,'领用录入（明细）'!C:C&gt;=$J$4,'领用录入（明细）'!C:C&lt;=$L$4),ROW(),"-")</f>
        <v>-</v>
      </c>
    </row>
    <row r="40070" customHeight="1" spans="2:2">
      <c r="B40070" s="62" t="str">
        <f>IF(AND('领用录入（明细）'!D:D=$F$4,'领用录入（明细）'!C:C&gt;=$J$4,'领用录入（明细）'!C:C&lt;=$L$4),ROW(),"-")</f>
        <v>-</v>
      </c>
    </row>
    <row r="40071" customHeight="1" spans="2:2">
      <c r="B40071" s="62" t="str">
        <f>IF(AND('领用录入（明细）'!D:D=$F$4,'领用录入（明细）'!C:C&gt;=$J$4,'领用录入（明细）'!C:C&lt;=$L$4),ROW(),"-")</f>
        <v>-</v>
      </c>
    </row>
    <row r="40072" customHeight="1" spans="2:2">
      <c r="B40072" s="62" t="str">
        <f>IF(AND('领用录入（明细）'!D:D=$F$4,'领用录入（明细）'!C:C&gt;=$J$4,'领用录入（明细）'!C:C&lt;=$L$4),ROW(),"-")</f>
        <v>-</v>
      </c>
    </row>
    <row r="40073" customHeight="1" spans="2:2">
      <c r="B40073" s="62" t="str">
        <f>IF(AND('领用录入（明细）'!D:D=$F$4,'领用录入（明细）'!C:C&gt;=$J$4,'领用录入（明细）'!C:C&lt;=$L$4),ROW(),"-")</f>
        <v>-</v>
      </c>
    </row>
    <row r="40074" customHeight="1" spans="2:2">
      <c r="B40074" s="62" t="str">
        <f>IF(AND('领用录入（明细）'!D:D=$F$4,'领用录入（明细）'!C:C&gt;=$J$4,'领用录入（明细）'!C:C&lt;=$L$4),ROW(),"-")</f>
        <v>-</v>
      </c>
    </row>
    <row r="40075" customHeight="1" spans="2:2">
      <c r="B40075" s="62" t="str">
        <f>IF(AND('领用录入（明细）'!D:D=$F$4,'领用录入（明细）'!C:C&gt;=$J$4,'领用录入（明细）'!C:C&lt;=$L$4),ROW(),"-")</f>
        <v>-</v>
      </c>
    </row>
    <row r="40076" customHeight="1" spans="2:2">
      <c r="B40076" s="62" t="str">
        <f>IF(AND('领用录入（明细）'!D:D=$F$4,'领用录入（明细）'!C:C&gt;=$J$4,'领用录入（明细）'!C:C&lt;=$L$4),ROW(),"-")</f>
        <v>-</v>
      </c>
    </row>
    <row r="40077" customHeight="1" spans="2:2">
      <c r="B40077" s="62" t="str">
        <f>IF(AND('领用录入（明细）'!D:D=$F$4,'领用录入（明细）'!C:C&gt;=$J$4,'领用录入（明细）'!C:C&lt;=$L$4),ROW(),"-")</f>
        <v>-</v>
      </c>
    </row>
    <row r="40078" customHeight="1" spans="2:2">
      <c r="B40078" s="62" t="str">
        <f>IF(AND('领用录入（明细）'!D:D=$F$4,'领用录入（明细）'!C:C&gt;=$J$4,'领用录入（明细）'!C:C&lt;=$L$4),ROW(),"-")</f>
        <v>-</v>
      </c>
    </row>
    <row r="40079" customHeight="1" spans="2:2">
      <c r="B40079" s="62" t="str">
        <f>IF(AND('领用录入（明细）'!D:D=$F$4,'领用录入（明细）'!C:C&gt;=$J$4,'领用录入（明细）'!C:C&lt;=$L$4),ROW(),"-")</f>
        <v>-</v>
      </c>
    </row>
    <row r="40080" customHeight="1" spans="2:2">
      <c r="B40080" s="62" t="str">
        <f>IF(AND('领用录入（明细）'!D:D=$F$4,'领用录入（明细）'!C:C&gt;=$J$4,'领用录入（明细）'!C:C&lt;=$L$4),ROW(),"-")</f>
        <v>-</v>
      </c>
    </row>
    <row r="40081" customHeight="1" spans="2:2">
      <c r="B40081" s="62" t="str">
        <f>IF(AND('领用录入（明细）'!D:D=$F$4,'领用录入（明细）'!C:C&gt;=$J$4,'领用录入（明细）'!C:C&lt;=$L$4),ROW(),"-")</f>
        <v>-</v>
      </c>
    </row>
    <row r="40082" customHeight="1" spans="2:2">
      <c r="B40082" s="62" t="str">
        <f>IF(AND('领用录入（明细）'!D:D=$F$4,'领用录入（明细）'!C:C&gt;=$J$4,'领用录入（明细）'!C:C&lt;=$L$4),ROW(),"-")</f>
        <v>-</v>
      </c>
    </row>
    <row r="40083" customHeight="1" spans="2:2">
      <c r="B40083" s="62" t="str">
        <f>IF(AND('领用录入（明细）'!D:D=$F$4,'领用录入（明细）'!C:C&gt;=$J$4,'领用录入（明细）'!C:C&lt;=$L$4),ROW(),"-")</f>
        <v>-</v>
      </c>
    </row>
    <row r="40084" customHeight="1" spans="2:2">
      <c r="B40084" s="62" t="str">
        <f>IF(AND('领用录入（明细）'!D:D=$F$4,'领用录入（明细）'!C:C&gt;=$J$4,'领用录入（明细）'!C:C&lt;=$L$4),ROW(),"-")</f>
        <v>-</v>
      </c>
    </row>
    <row r="40085" customHeight="1" spans="2:2">
      <c r="B40085" s="62" t="str">
        <f>IF(AND('领用录入（明细）'!D:D=$F$4,'领用录入（明细）'!C:C&gt;=$J$4,'领用录入（明细）'!C:C&lt;=$L$4),ROW(),"-")</f>
        <v>-</v>
      </c>
    </row>
    <row r="40086" customHeight="1" spans="2:2">
      <c r="B40086" s="62" t="str">
        <f>IF(AND('领用录入（明细）'!D:D=$F$4,'领用录入（明细）'!C:C&gt;=$J$4,'领用录入（明细）'!C:C&lt;=$L$4),ROW(),"-")</f>
        <v>-</v>
      </c>
    </row>
    <row r="40087" customHeight="1" spans="2:2">
      <c r="B40087" s="62" t="str">
        <f>IF(AND('领用录入（明细）'!D:D=$F$4,'领用录入（明细）'!C:C&gt;=$J$4,'领用录入（明细）'!C:C&lt;=$L$4),ROW(),"-")</f>
        <v>-</v>
      </c>
    </row>
    <row r="40088" customHeight="1" spans="2:2">
      <c r="B40088" s="62" t="str">
        <f>IF(AND('领用录入（明细）'!D:D=$F$4,'领用录入（明细）'!C:C&gt;=$J$4,'领用录入（明细）'!C:C&lt;=$L$4),ROW(),"-")</f>
        <v>-</v>
      </c>
    </row>
    <row r="40089" customHeight="1" spans="2:2">
      <c r="B40089" s="62" t="str">
        <f>IF(AND('领用录入（明细）'!D:D=$F$4,'领用录入（明细）'!C:C&gt;=$J$4,'领用录入（明细）'!C:C&lt;=$L$4),ROW(),"-")</f>
        <v>-</v>
      </c>
    </row>
    <row r="40090" customHeight="1" spans="2:2">
      <c r="B40090" s="62" t="str">
        <f>IF(AND('领用录入（明细）'!D:D=$F$4,'领用录入（明细）'!C:C&gt;=$J$4,'领用录入（明细）'!C:C&lt;=$L$4),ROW(),"-")</f>
        <v>-</v>
      </c>
    </row>
    <row r="40091" customHeight="1" spans="2:2">
      <c r="B40091" s="62" t="str">
        <f>IF(AND('领用录入（明细）'!D:D=$F$4,'领用录入（明细）'!C:C&gt;=$J$4,'领用录入（明细）'!C:C&lt;=$L$4),ROW(),"-")</f>
        <v>-</v>
      </c>
    </row>
    <row r="40092" customHeight="1" spans="2:2">
      <c r="B40092" s="62" t="str">
        <f>IF(AND('领用录入（明细）'!D:D=$F$4,'领用录入（明细）'!C:C&gt;=$J$4,'领用录入（明细）'!C:C&lt;=$L$4),ROW(),"-")</f>
        <v>-</v>
      </c>
    </row>
    <row r="40093" customHeight="1" spans="2:2">
      <c r="B40093" s="62" t="str">
        <f>IF(AND('领用录入（明细）'!D:D=$F$4,'领用录入（明细）'!C:C&gt;=$J$4,'领用录入（明细）'!C:C&lt;=$L$4),ROW(),"-")</f>
        <v>-</v>
      </c>
    </row>
    <row r="40094" customHeight="1" spans="2:2">
      <c r="B40094" s="62" t="str">
        <f>IF(AND('领用录入（明细）'!D:D=$F$4,'领用录入（明细）'!C:C&gt;=$J$4,'领用录入（明细）'!C:C&lt;=$L$4),ROW(),"-")</f>
        <v>-</v>
      </c>
    </row>
    <row r="40095" customHeight="1" spans="2:2">
      <c r="B40095" s="62" t="str">
        <f>IF(AND('领用录入（明细）'!D:D=$F$4,'领用录入（明细）'!C:C&gt;=$J$4,'领用录入（明细）'!C:C&lt;=$L$4),ROW(),"-")</f>
        <v>-</v>
      </c>
    </row>
    <row r="40096" customHeight="1" spans="2:2">
      <c r="B40096" s="62" t="str">
        <f>IF(AND('领用录入（明细）'!D:D=$F$4,'领用录入（明细）'!C:C&gt;=$J$4,'领用录入（明细）'!C:C&lt;=$L$4),ROW(),"-")</f>
        <v>-</v>
      </c>
    </row>
    <row r="40097" customHeight="1" spans="2:2">
      <c r="B40097" s="62" t="str">
        <f>IF(AND('领用录入（明细）'!D:D=$F$4,'领用录入（明细）'!C:C&gt;=$J$4,'领用录入（明细）'!C:C&lt;=$L$4),ROW(),"-")</f>
        <v>-</v>
      </c>
    </row>
    <row r="40098" customHeight="1" spans="2:2">
      <c r="B40098" s="62" t="str">
        <f>IF(AND('领用录入（明细）'!D:D=$F$4,'领用录入（明细）'!C:C&gt;=$J$4,'领用录入（明细）'!C:C&lt;=$L$4),ROW(),"-")</f>
        <v>-</v>
      </c>
    </row>
    <row r="40099" customHeight="1" spans="2:2">
      <c r="B40099" s="62" t="str">
        <f>IF(AND('领用录入（明细）'!D:D=$F$4,'领用录入（明细）'!C:C&gt;=$J$4,'领用录入（明细）'!C:C&lt;=$L$4),ROW(),"-")</f>
        <v>-</v>
      </c>
    </row>
    <row r="40100" customHeight="1" spans="2:2">
      <c r="B40100" s="62" t="str">
        <f>IF(AND('领用录入（明细）'!D:D=$F$4,'领用录入（明细）'!C:C&gt;=$J$4,'领用录入（明细）'!C:C&lt;=$L$4),ROW(),"-")</f>
        <v>-</v>
      </c>
    </row>
    <row r="40101" customHeight="1" spans="2:2">
      <c r="B40101" s="62" t="str">
        <f>IF(AND('领用录入（明细）'!D:D=$F$4,'领用录入（明细）'!C:C&gt;=$J$4,'领用录入（明细）'!C:C&lt;=$L$4),ROW(),"-")</f>
        <v>-</v>
      </c>
    </row>
    <row r="40102" customHeight="1" spans="2:2">
      <c r="B40102" s="62" t="str">
        <f>IF(AND('领用录入（明细）'!D:D=$F$4,'领用录入（明细）'!C:C&gt;=$J$4,'领用录入（明细）'!C:C&lt;=$L$4),ROW(),"-")</f>
        <v>-</v>
      </c>
    </row>
    <row r="40103" customHeight="1" spans="2:2">
      <c r="B40103" s="62" t="str">
        <f>IF(AND('领用录入（明细）'!D:D=$F$4,'领用录入（明细）'!C:C&gt;=$J$4,'领用录入（明细）'!C:C&lt;=$L$4),ROW(),"-")</f>
        <v>-</v>
      </c>
    </row>
    <row r="40104" customHeight="1" spans="2:2">
      <c r="B40104" s="62" t="str">
        <f>IF(AND('领用录入（明细）'!D:D=$F$4,'领用录入（明细）'!C:C&gt;=$J$4,'领用录入（明细）'!C:C&lt;=$L$4),ROW(),"-")</f>
        <v>-</v>
      </c>
    </row>
    <row r="40105" customHeight="1" spans="2:2">
      <c r="B40105" s="62" t="str">
        <f>IF(AND('领用录入（明细）'!D:D=$F$4,'领用录入（明细）'!C:C&gt;=$J$4,'领用录入（明细）'!C:C&lt;=$L$4),ROW(),"-")</f>
        <v>-</v>
      </c>
    </row>
    <row r="40106" customHeight="1" spans="2:2">
      <c r="B40106" s="62" t="str">
        <f>IF(AND('领用录入（明细）'!D:D=$F$4,'领用录入（明细）'!C:C&gt;=$J$4,'领用录入（明细）'!C:C&lt;=$L$4),ROW(),"-")</f>
        <v>-</v>
      </c>
    </row>
    <row r="40107" customHeight="1" spans="2:2">
      <c r="B40107" s="62" t="str">
        <f>IF(AND('领用录入（明细）'!D:D=$F$4,'领用录入（明细）'!C:C&gt;=$J$4,'领用录入（明细）'!C:C&lt;=$L$4),ROW(),"-")</f>
        <v>-</v>
      </c>
    </row>
    <row r="40108" customHeight="1" spans="2:2">
      <c r="B40108" s="62" t="str">
        <f>IF(AND('领用录入（明细）'!D:D=$F$4,'领用录入（明细）'!C:C&gt;=$J$4,'领用录入（明细）'!C:C&lt;=$L$4),ROW(),"-")</f>
        <v>-</v>
      </c>
    </row>
    <row r="40109" customHeight="1" spans="2:2">
      <c r="B40109" s="62" t="str">
        <f>IF(AND('领用录入（明细）'!D:D=$F$4,'领用录入（明细）'!C:C&gt;=$J$4,'领用录入（明细）'!C:C&lt;=$L$4),ROW(),"-")</f>
        <v>-</v>
      </c>
    </row>
    <row r="40110" customHeight="1" spans="2:2">
      <c r="B40110" s="62" t="str">
        <f>IF(AND('领用录入（明细）'!D:D=$F$4,'领用录入（明细）'!C:C&gt;=$J$4,'领用录入（明细）'!C:C&lt;=$L$4),ROW(),"-")</f>
        <v>-</v>
      </c>
    </row>
    <row r="40111" customHeight="1" spans="2:2">
      <c r="B40111" s="62" t="str">
        <f>IF(AND('领用录入（明细）'!D:D=$F$4,'领用录入（明细）'!C:C&gt;=$J$4,'领用录入（明细）'!C:C&lt;=$L$4),ROW(),"-")</f>
        <v>-</v>
      </c>
    </row>
    <row r="40112" customHeight="1" spans="2:2">
      <c r="B40112" s="62" t="str">
        <f>IF(AND('领用录入（明细）'!D:D=$F$4,'领用录入（明细）'!C:C&gt;=$J$4,'领用录入（明细）'!C:C&lt;=$L$4),ROW(),"-")</f>
        <v>-</v>
      </c>
    </row>
    <row r="40113" customHeight="1" spans="2:2">
      <c r="B40113" s="62" t="str">
        <f>IF(AND('领用录入（明细）'!D:D=$F$4,'领用录入（明细）'!C:C&gt;=$J$4,'领用录入（明细）'!C:C&lt;=$L$4),ROW(),"-")</f>
        <v>-</v>
      </c>
    </row>
    <row r="40114" customHeight="1" spans="2:2">
      <c r="B40114" s="62" t="str">
        <f>IF(AND('领用录入（明细）'!D:D=$F$4,'领用录入（明细）'!C:C&gt;=$J$4,'领用录入（明细）'!C:C&lt;=$L$4),ROW(),"-")</f>
        <v>-</v>
      </c>
    </row>
    <row r="40115" customHeight="1" spans="2:2">
      <c r="B40115" s="62" t="str">
        <f>IF(AND('领用录入（明细）'!D:D=$F$4,'领用录入（明细）'!C:C&gt;=$J$4,'领用录入（明细）'!C:C&lt;=$L$4),ROW(),"-")</f>
        <v>-</v>
      </c>
    </row>
    <row r="40116" customHeight="1" spans="2:2">
      <c r="B40116" s="62" t="str">
        <f>IF(AND('领用录入（明细）'!D:D=$F$4,'领用录入（明细）'!C:C&gt;=$J$4,'领用录入（明细）'!C:C&lt;=$L$4),ROW(),"-")</f>
        <v>-</v>
      </c>
    </row>
    <row r="40117" customHeight="1" spans="2:2">
      <c r="B40117" s="62" t="str">
        <f>IF(AND('领用录入（明细）'!D:D=$F$4,'领用录入（明细）'!C:C&gt;=$J$4,'领用录入（明细）'!C:C&lt;=$L$4),ROW(),"-")</f>
        <v>-</v>
      </c>
    </row>
    <row r="40118" customHeight="1" spans="2:2">
      <c r="B40118" s="62" t="str">
        <f>IF(AND('领用录入（明细）'!D:D=$F$4,'领用录入（明细）'!C:C&gt;=$J$4,'领用录入（明细）'!C:C&lt;=$L$4),ROW(),"-")</f>
        <v>-</v>
      </c>
    </row>
    <row r="40119" customHeight="1" spans="2:2">
      <c r="B40119" s="62" t="str">
        <f>IF(AND('领用录入（明细）'!D:D=$F$4,'领用录入（明细）'!C:C&gt;=$J$4,'领用录入（明细）'!C:C&lt;=$L$4),ROW(),"-")</f>
        <v>-</v>
      </c>
    </row>
    <row r="40120" customHeight="1" spans="2:2">
      <c r="B40120" s="62" t="str">
        <f>IF(AND('领用录入（明细）'!D:D=$F$4,'领用录入（明细）'!C:C&gt;=$J$4,'领用录入（明细）'!C:C&lt;=$L$4),ROW(),"-")</f>
        <v>-</v>
      </c>
    </row>
    <row r="40121" customHeight="1" spans="2:2">
      <c r="B40121" s="62" t="str">
        <f>IF(AND('领用录入（明细）'!D:D=$F$4,'领用录入（明细）'!C:C&gt;=$J$4,'领用录入（明细）'!C:C&lt;=$L$4),ROW(),"-")</f>
        <v>-</v>
      </c>
    </row>
    <row r="40122" customHeight="1" spans="2:2">
      <c r="B40122" s="62" t="str">
        <f>IF(AND('领用录入（明细）'!D:D=$F$4,'领用录入（明细）'!C:C&gt;=$J$4,'领用录入（明细）'!C:C&lt;=$L$4),ROW(),"-")</f>
        <v>-</v>
      </c>
    </row>
    <row r="40123" customHeight="1" spans="2:2">
      <c r="B40123" s="62" t="str">
        <f>IF(AND('领用录入（明细）'!D:D=$F$4,'领用录入（明细）'!C:C&gt;=$J$4,'领用录入（明细）'!C:C&lt;=$L$4),ROW(),"-")</f>
        <v>-</v>
      </c>
    </row>
    <row r="40124" customHeight="1" spans="2:2">
      <c r="B40124" s="62" t="str">
        <f>IF(AND('领用录入（明细）'!D:D=$F$4,'领用录入（明细）'!C:C&gt;=$J$4,'领用录入（明细）'!C:C&lt;=$L$4),ROW(),"-")</f>
        <v>-</v>
      </c>
    </row>
    <row r="40125" customHeight="1" spans="2:2">
      <c r="B40125" s="62" t="str">
        <f>IF(AND('领用录入（明细）'!D:D=$F$4,'领用录入（明细）'!C:C&gt;=$J$4,'领用录入（明细）'!C:C&lt;=$L$4),ROW(),"-")</f>
        <v>-</v>
      </c>
    </row>
    <row r="40126" customHeight="1" spans="2:2">
      <c r="B40126" s="62" t="str">
        <f>IF(AND('领用录入（明细）'!D:D=$F$4,'领用录入（明细）'!C:C&gt;=$J$4,'领用录入（明细）'!C:C&lt;=$L$4),ROW(),"-")</f>
        <v>-</v>
      </c>
    </row>
    <row r="40127" customHeight="1" spans="2:2">
      <c r="B40127" s="62" t="str">
        <f>IF(AND('领用录入（明细）'!D:D=$F$4,'领用录入（明细）'!C:C&gt;=$J$4,'领用录入（明细）'!C:C&lt;=$L$4),ROW(),"-")</f>
        <v>-</v>
      </c>
    </row>
    <row r="40128" customHeight="1" spans="2:2">
      <c r="B40128" s="62" t="str">
        <f>IF(AND('领用录入（明细）'!D:D=$F$4,'领用录入（明细）'!C:C&gt;=$J$4,'领用录入（明细）'!C:C&lt;=$L$4),ROW(),"-")</f>
        <v>-</v>
      </c>
    </row>
    <row r="40129" customHeight="1" spans="2:2">
      <c r="B40129" s="62" t="str">
        <f>IF(AND('领用录入（明细）'!D:D=$F$4,'领用录入（明细）'!C:C&gt;=$J$4,'领用录入（明细）'!C:C&lt;=$L$4),ROW(),"-")</f>
        <v>-</v>
      </c>
    </row>
    <row r="40130" customHeight="1" spans="2:2">
      <c r="B40130" s="62" t="str">
        <f>IF(AND('领用录入（明细）'!D:D=$F$4,'领用录入（明细）'!C:C&gt;=$J$4,'领用录入（明细）'!C:C&lt;=$L$4),ROW(),"-")</f>
        <v>-</v>
      </c>
    </row>
    <row r="40131" customHeight="1" spans="2:2">
      <c r="B40131" s="62" t="str">
        <f>IF(AND('领用录入（明细）'!D:D=$F$4,'领用录入（明细）'!C:C&gt;=$J$4,'领用录入（明细）'!C:C&lt;=$L$4),ROW(),"-")</f>
        <v>-</v>
      </c>
    </row>
    <row r="40132" customHeight="1" spans="2:2">
      <c r="B40132" s="62" t="str">
        <f>IF(AND('领用录入（明细）'!D:D=$F$4,'领用录入（明细）'!C:C&gt;=$J$4,'领用录入（明细）'!C:C&lt;=$L$4),ROW(),"-")</f>
        <v>-</v>
      </c>
    </row>
    <row r="40133" customHeight="1" spans="2:2">
      <c r="B40133" s="62" t="str">
        <f>IF(AND('领用录入（明细）'!D:D=$F$4,'领用录入（明细）'!C:C&gt;=$J$4,'领用录入（明细）'!C:C&lt;=$L$4),ROW(),"-")</f>
        <v>-</v>
      </c>
    </row>
    <row r="40134" customHeight="1" spans="2:2">
      <c r="B40134" s="62" t="str">
        <f>IF(AND('领用录入（明细）'!D:D=$F$4,'领用录入（明细）'!C:C&gt;=$J$4,'领用录入（明细）'!C:C&lt;=$L$4),ROW(),"-")</f>
        <v>-</v>
      </c>
    </row>
    <row r="40135" customHeight="1" spans="2:2">
      <c r="B40135" s="62" t="str">
        <f>IF(AND('领用录入（明细）'!D:D=$F$4,'领用录入（明细）'!C:C&gt;=$J$4,'领用录入（明细）'!C:C&lt;=$L$4),ROW(),"-")</f>
        <v>-</v>
      </c>
    </row>
    <row r="40136" customHeight="1" spans="2:2">
      <c r="B40136" s="62" t="str">
        <f>IF(AND('领用录入（明细）'!D:D=$F$4,'领用录入（明细）'!C:C&gt;=$J$4,'领用录入（明细）'!C:C&lt;=$L$4),ROW(),"-")</f>
        <v>-</v>
      </c>
    </row>
    <row r="40137" customHeight="1" spans="2:2">
      <c r="B40137" s="62" t="str">
        <f>IF(AND('领用录入（明细）'!D:D=$F$4,'领用录入（明细）'!C:C&gt;=$J$4,'领用录入（明细）'!C:C&lt;=$L$4),ROW(),"-")</f>
        <v>-</v>
      </c>
    </row>
    <row r="40138" customHeight="1" spans="2:2">
      <c r="B40138" s="62" t="str">
        <f>IF(AND('领用录入（明细）'!D:D=$F$4,'领用录入（明细）'!C:C&gt;=$J$4,'领用录入（明细）'!C:C&lt;=$L$4),ROW(),"-")</f>
        <v>-</v>
      </c>
    </row>
    <row r="40139" customHeight="1" spans="2:2">
      <c r="B40139" s="62" t="str">
        <f>IF(AND('领用录入（明细）'!D:D=$F$4,'领用录入（明细）'!C:C&gt;=$J$4,'领用录入（明细）'!C:C&lt;=$L$4),ROW(),"-")</f>
        <v>-</v>
      </c>
    </row>
    <row r="40140" customHeight="1" spans="2:2">
      <c r="B40140" s="62" t="str">
        <f>IF(AND('领用录入（明细）'!D:D=$F$4,'领用录入（明细）'!C:C&gt;=$J$4,'领用录入（明细）'!C:C&lt;=$L$4),ROW(),"-")</f>
        <v>-</v>
      </c>
    </row>
    <row r="40141" customHeight="1" spans="2:2">
      <c r="B40141" s="62" t="str">
        <f>IF(AND('领用录入（明细）'!D:D=$F$4,'领用录入（明细）'!C:C&gt;=$J$4,'领用录入（明细）'!C:C&lt;=$L$4),ROW(),"-")</f>
        <v>-</v>
      </c>
    </row>
    <row r="40142" customHeight="1" spans="2:2">
      <c r="B40142" s="62" t="str">
        <f>IF(AND('领用录入（明细）'!D:D=$F$4,'领用录入（明细）'!C:C&gt;=$J$4,'领用录入（明细）'!C:C&lt;=$L$4),ROW(),"-")</f>
        <v>-</v>
      </c>
    </row>
    <row r="40143" customHeight="1" spans="2:2">
      <c r="B40143" s="62" t="str">
        <f>IF(AND('领用录入（明细）'!D:D=$F$4,'领用录入（明细）'!C:C&gt;=$J$4,'领用录入（明细）'!C:C&lt;=$L$4),ROW(),"-")</f>
        <v>-</v>
      </c>
    </row>
    <row r="40144" customHeight="1" spans="2:2">
      <c r="B40144" s="62" t="str">
        <f>IF(AND('领用录入（明细）'!D:D=$F$4,'领用录入（明细）'!C:C&gt;=$J$4,'领用录入（明细）'!C:C&lt;=$L$4),ROW(),"-")</f>
        <v>-</v>
      </c>
    </row>
    <row r="40145" customHeight="1" spans="2:2">
      <c r="B40145" s="62" t="str">
        <f>IF(AND('领用录入（明细）'!D:D=$F$4,'领用录入（明细）'!C:C&gt;=$J$4,'领用录入（明细）'!C:C&lt;=$L$4),ROW(),"-")</f>
        <v>-</v>
      </c>
    </row>
    <row r="40146" customHeight="1" spans="2:2">
      <c r="B40146" s="62" t="str">
        <f>IF(AND('领用录入（明细）'!D:D=$F$4,'领用录入（明细）'!C:C&gt;=$J$4,'领用录入（明细）'!C:C&lt;=$L$4),ROW(),"-")</f>
        <v>-</v>
      </c>
    </row>
    <row r="40147" customHeight="1" spans="2:2">
      <c r="B40147" s="62" t="str">
        <f>IF(AND('领用录入（明细）'!D:D=$F$4,'领用录入（明细）'!C:C&gt;=$J$4,'领用录入（明细）'!C:C&lt;=$L$4),ROW(),"-")</f>
        <v>-</v>
      </c>
    </row>
    <row r="40148" customHeight="1" spans="2:2">
      <c r="B40148" s="62" t="str">
        <f>IF(AND('领用录入（明细）'!D:D=$F$4,'领用录入（明细）'!C:C&gt;=$J$4,'领用录入（明细）'!C:C&lt;=$L$4),ROW(),"-")</f>
        <v>-</v>
      </c>
    </row>
    <row r="40149" customHeight="1" spans="2:2">
      <c r="B40149" s="62" t="str">
        <f>IF(AND('领用录入（明细）'!D:D=$F$4,'领用录入（明细）'!C:C&gt;=$J$4,'领用录入（明细）'!C:C&lt;=$L$4),ROW(),"-")</f>
        <v>-</v>
      </c>
    </row>
    <row r="40150" customHeight="1" spans="2:2">
      <c r="B40150" s="62" t="str">
        <f>IF(AND('领用录入（明细）'!D:D=$F$4,'领用录入（明细）'!C:C&gt;=$J$4,'领用录入（明细）'!C:C&lt;=$L$4),ROW(),"-")</f>
        <v>-</v>
      </c>
    </row>
    <row r="40151" customHeight="1" spans="2:2">
      <c r="B40151" s="62" t="str">
        <f>IF(AND('领用录入（明细）'!D:D=$F$4,'领用录入（明细）'!C:C&gt;=$J$4,'领用录入（明细）'!C:C&lt;=$L$4),ROW(),"-")</f>
        <v>-</v>
      </c>
    </row>
    <row r="40152" customHeight="1" spans="2:2">
      <c r="B40152" s="62" t="str">
        <f>IF(AND('领用录入（明细）'!D:D=$F$4,'领用录入（明细）'!C:C&gt;=$J$4,'领用录入（明细）'!C:C&lt;=$L$4),ROW(),"-")</f>
        <v>-</v>
      </c>
    </row>
    <row r="40153" customHeight="1" spans="2:2">
      <c r="B40153" s="62" t="str">
        <f>IF(AND('领用录入（明细）'!D:D=$F$4,'领用录入（明细）'!C:C&gt;=$J$4,'领用录入（明细）'!C:C&lt;=$L$4),ROW(),"-")</f>
        <v>-</v>
      </c>
    </row>
    <row r="40154" customHeight="1" spans="2:2">
      <c r="B40154" s="62" t="str">
        <f>IF(AND('领用录入（明细）'!D:D=$F$4,'领用录入（明细）'!C:C&gt;=$J$4,'领用录入（明细）'!C:C&lt;=$L$4),ROW(),"-")</f>
        <v>-</v>
      </c>
    </row>
    <row r="40155" customHeight="1" spans="2:2">
      <c r="B40155" s="62" t="str">
        <f>IF(AND('领用录入（明细）'!D:D=$F$4,'领用录入（明细）'!C:C&gt;=$J$4,'领用录入（明细）'!C:C&lt;=$L$4),ROW(),"-")</f>
        <v>-</v>
      </c>
    </row>
    <row r="40156" customHeight="1" spans="2:2">
      <c r="B40156" s="62" t="str">
        <f>IF(AND('领用录入（明细）'!D:D=$F$4,'领用录入（明细）'!C:C&gt;=$J$4,'领用录入（明细）'!C:C&lt;=$L$4),ROW(),"-")</f>
        <v>-</v>
      </c>
    </row>
    <row r="40157" customHeight="1" spans="2:2">
      <c r="B40157" s="62" t="str">
        <f>IF(AND('领用录入（明细）'!D:D=$F$4,'领用录入（明细）'!C:C&gt;=$J$4,'领用录入（明细）'!C:C&lt;=$L$4),ROW(),"-")</f>
        <v>-</v>
      </c>
    </row>
    <row r="40158" customHeight="1" spans="2:2">
      <c r="B40158" s="62" t="str">
        <f>IF(AND('领用录入（明细）'!D:D=$F$4,'领用录入（明细）'!C:C&gt;=$J$4,'领用录入（明细）'!C:C&lt;=$L$4),ROW(),"-")</f>
        <v>-</v>
      </c>
    </row>
    <row r="40159" customHeight="1" spans="2:2">
      <c r="B40159" s="62" t="str">
        <f>IF(AND('领用录入（明细）'!D:D=$F$4,'领用录入（明细）'!C:C&gt;=$J$4,'领用录入（明细）'!C:C&lt;=$L$4),ROW(),"-")</f>
        <v>-</v>
      </c>
    </row>
    <row r="40160" customHeight="1" spans="2:2">
      <c r="B40160" s="62" t="str">
        <f>IF(AND('领用录入（明细）'!D:D=$F$4,'领用录入（明细）'!C:C&gt;=$J$4,'领用录入（明细）'!C:C&lt;=$L$4),ROW(),"-")</f>
        <v>-</v>
      </c>
    </row>
    <row r="40161" customHeight="1" spans="2:2">
      <c r="B40161" s="62" t="str">
        <f>IF(AND('领用录入（明细）'!D:D=$F$4,'领用录入（明细）'!C:C&gt;=$J$4,'领用录入（明细）'!C:C&lt;=$L$4),ROW(),"-")</f>
        <v>-</v>
      </c>
    </row>
    <row r="40162" customHeight="1" spans="2:2">
      <c r="B40162" s="62" t="str">
        <f>IF(AND('领用录入（明细）'!D:D=$F$4,'领用录入（明细）'!C:C&gt;=$J$4,'领用录入（明细）'!C:C&lt;=$L$4),ROW(),"-")</f>
        <v>-</v>
      </c>
    </row>
    <row r="40163" customHeight="1" spans="2:2">
      <c r="B40163" s="62" t="str">
        <f>IF(AND('领用录入（明细）'!D:D=$F$4,'领用录入（明细）'!C:C&gt;=$J$4,'领用录入（明细）'!C:C&lt;=$L$4),ROW(),"-")</f>
        <v>-</v>
      </c>
    </row>
    <row r="40164" customHeight="1" spans="2:2">
      <c r="B40164" s="62" t="str">
        <f>IF(AND('领用录入（明细）'!D:D=$F$4,'领用录入（明细）'!C:C&gt;=$J$4,'领用录入（明细）'!C:C&lt;=$L$4),ROW(),"-")</f>
        <v>-</v>
      </c>
    </row>
    <row r="40165" customHeight="1" spans="2:2">
      <c r="B40165" s="62" t="str">
        <f>IF(AND('领用录入（明细）'!D:D=$F$4,'领用录入（明细）'!C:C&gt;=$J$4,'领用录入（明细）'!C:C&lt;=$L$4),ROW(),"-")</f>
        <v>-</v>
      </c>
    </row>
    <row r="40166" customHeight="1" spans="2:2">
      <c r="B40166" s="62" t="str">
        <f>IF(AND('领用录入（明细）'!D:D=$F$4,'领用录入（明细）'!C:C&gt;=$J$4,'领用录入（明细）'!C:C&lt;=$L$4),ROW(),"-")</f>
        <v>-</v>
      </c>
    </row>
    <row r="40167" customHeight="1" spans="2:2">
      <c r="B40167" s="62" t="str">
        <f>IF(AND('领用录入（明细）'!D:D=$F$4,'领用录入（明细）'!C:C&gt;=$J$4,'领用录入（明细）'!C:C&lt;=$L$4),ROW(),"-")</f>
        <v>-</v>
      </c>
    </row>
    <row r="40168" customHeight="1" spans="2:2">
      <c r="B40168" s="62" t="str">
        <f>IF(AND('领用录入（明细）'!D:D=$F$4,'领用录入（明细）'!C:C&gt;=$J$4,'领用录入（明细）'!C:C&lt;=$L$4),ROW(),"-")</f>
        <v>-</v>
      </c>
    </row>
    <row r="40169" customHeight="1" spans="2:2">
      <c r="B40169" s="62" t="str">
        <f>IF(AND('领用录入（明细）'!D:D=$F$4,'领用录入（明细）'!C:C&gt;=$J$4,'领用录入（明细）'!C:C&lt;=$L$4),ROW(),"-")</f>
        <v>-</v>
      </c>
    </row>
    <row r="40170" customHeight="1" spans="2:2">
      <c r="B40170" s="62" t="str">
        <f>IF(AND('领用录入（明细）'!D:D=$F$4,'领用录入（明细）'!C:C&gt;=$J$4,'领用录入（明细）'!C:C&lt;=$L$4),ROW(),"-")</f>
        <v>-</v>
      </c>
    </row>
    <row r="40171" customHeight="1" spans="2:2">
      <c r="B40171" s="62" t="str">
        <f>IF(AND('领用录入（明细）'!D:D=$F$4,'领用录入（明细）'!C:C&gt;=$J$4,'领用录入（明细）'!C:C&lt;=$L$4),ROW(),"-")</f>
        <v>-</v>
      </c>
    </row>
    <row r="40172" customHeight="1" spans="2:2">
      <c r="B40172" s="62" t="str">
        <f>IF(AND('领用录入（明细）'!D:D=$F$4,'领用录入（明细）'!C:C&gt;=$J$4,'领用录入（明细）'!C:C&lt;=$L$4),ROW(),"-")</f>
        <v>-</v>
      </c>
    </row>
    <row r="40173" customHeight="1" spans="2:2">
      <c r="B40173" s="62" t="str">
        <f>IF(AND('领用录入（明细）'!D:D=$F$4,'领用录入（明细）'!C:C&gt;=$J$4,'领用录入（明细）'!C:C&lt;=$L$4),ROW(),"-")</f>
        <v>-</v>
      </c>
    </row>
    <row r="40174" customHeight="1" spans="2:2">
      <c r="B40174" s="62" t="str">
        <f>IF(AND('领用录入（明细）'!D:D=$F$4,'领用录入（明细）'!C:C&gt;=$J$4,'领用录入（明细）'!C:C&lt;=$L$4),ROW(),"-")</f>
        <v>-</v>
      </c>
    </row>
    <row r="40175" customHeight="1" spans="2:2">
      <c r="B40175" s="62" t="str">
        <f>IF(AND('领用录入（明细）'!D:D=$F$4,'领用录入（明细）'!C:C&gt;=$J$4,'领用录入（明细）'!C:C&lt;=$L$4),ROW(),"-")</f>
        <v>-</v>
      </c>
    </row>
    <row r="40176" customHeight="1" spans="2:2">
      <c r="B40176" s="62" t="str">
        <f>IF(AND('领用录入（明细）'!D:D=$F$4,'领用录入（明细）'!C:C&gt;=$J$4,'领用录入（明细）'!C:C&lt;=$L$4),ROW(),"-")</f>
        <v>-</v>
      </c>
    </row>
    <row r="40177" customHeight="1" spans="2:2">
      <c r="B40177" s="62" t="str">
        <f>IF(AND('领用录入（明细）'!D:D=$F$4,'领用录入（明细）'!C:C&gt;=$J$4,'领用录入（明细）'!C:C&lt;=$L$4),ROW(),"-")</f>
        <v>-</v>
      </c>
    </row>
    <row r="40178" customHeight="1" spans="2:2">
      <c r="B40178" s="62" t="str">
        <f>IF(AND('领用录入（明细）'!D:D=$F$4,'领用录入（明细）'!C:C&gt;=$J$4,'领用录入（明细）'!C:C&lt;=$L$4),ROW(),"-")</f>
        <v>-</v>
      </c>
    </row>
    <row r="40179" customHeight="1" spans="2:2">
      <c r="B40179" s="62" t="str">
        <f>IF(AND('领用录入（明细）'!D:D=$F$4,'领用录入（明细）'!C:C&gt;=$J$4,'领用录入（明细）'!C:C&lt;=$L$4),ROW(),"-")</f>
        <v>-</v>
      </c>
    </row>
    <row r="40180" customHeight="1" spans="2:2">
      <c r="B40180" s="62" t="str">
        <f>IF(AND('领用录入（明细）'!D:D=$F$4,'领用录入（明细）'!C:C&gt;=$J$4,'领用录入（明细）'!C:C&lt;=$L$4),ROW(),"-")</f>
        <v>-</v>
      </c>
    </row>
    <row r="40181" customHeight="1" spans="2:2">
      <c r="B40181" s="62" t="str">
        <f>IF(AND('领用录入（明细）'!D:D=$F$4,'领用录入（明细）'!C:C&gt;=$J$4,'领用录入（明细）'!C:C&lt;=$L$4),ROW(),"-")</f>
        <v>-</v>
      </c>
    </row>
    <row r="40182" customHeight="1" spans="2:2">
      <c r="B40182" s="62" t="str">
        <f>IF(AND('领用录入（明细）'!D:D=$F$4,'领用录入（明细）'!C:C&gt;=$J$4,'领用录入（明细）'!C:C&lt;=$L$4),ROW(),"-")</f>
        <v>-</v>
      </c>
    </row>
    <row r="40183" customHeight="1" spans="2:2">
      <c r="B40183" s="62" t="str">
        <f>IF(AND('领用录入（明细）'!D:D=$F$4,'领用录入（明细）'!C:C&gt;=$J$4,'领用录入（明细）'!C:C&lt;=$L$4),ROW(),"-")</f>
        <v>-</v>
      </c>
    </row>
    <row r="40184" customHeight="1" spans="2:2">
      <c r="B40184" s="62" t="str">
        <f>IF(AND('领用录入（明细）'!D:D=$F$4,'领用录入（明细）'!C:C&gt;=$J$4,'领用录入（明细）'!C:C&lt;=$L$4),ROW(),"-")</f>
        <v>-</v>
      </c>
    </row>
    <row r="40185" customHeight="1" spans="2:2">
      <c r="B40185" s="62" t="str">
        <f>IF(AND('领用录入（明细）'!D:D=$F$4,'领用录入（明细）'!C:C&gt;=$J$4,'领用录入（明细）'!C:C&lt;=$L$4),ROW(),"-")</f>
        <v>-</v>
      </c>
    </row>
    <row r="40186" customHeight="1" spans="2:2">
      <c r="B40186" s="62" t="str">
        <f>IF(AND('领用录入（明细）'!D:D=$F$4,'领用录入（明细）'!C:C&gt;=$J$4,'领用录入（明细）'!C:C&lt;=$L$4),ROW(),"-")</f>
        <v>-</v>
      </c>
    </row>
    <row r="40187" customHeight="1" spans="2:2">
      <c r="B40187" s="62" t="str">
        <f>IF(AND('领用录入（明细）'!D:D=$F$4,'领用录入（明细）'!C:C&gt;=$J$4,'领用录入（明细）'!C:C&lt;=$L$4),ROW(),"-")</f>
        <v>-</v>
      </c>
    </row>
    <row r="40188" customHeight="1" spans="2:2">
      <c r="B40188" s="62" t="str">
        <f>IF(AND('领用录入（明细）'!D:D=$F$4,'领用录入（明细）'!C:C&gt;=$J$4,'领用录入（明细）'!C:C&lt;=$L$4),ROW(),"-")</f>
        <v>-</v>
      </c>
    </row>
    <row r="40189" customHeight="1" spans="2:2">
      <c r="B40189" s="62" t="str">
        <f>IF(AND('领用录入（明细）'!D:D=$F$4,'领用录入（明细）'!C:C&gt;=$J$4,'领用录入（明细）'!C:C&lt;=$L$4),ROW(),"-")</f>
        <v>-</v>
      </c>
    </row>
    <row r="40190" customHeight="1" spans="2:2">
      <c r="B40190" s="62" t="str">
        <f>IF(AND('领用录入（明细）'!D:D=$F$4,'领用录入（明细）'!C:C&gt;=$J$4,'领用录入（明细）'!C:C&lt;=$L$4),ROW(),"-")</f>
        <v>-</v>
      </c>
    </row>
    <row r="40191" customHeight="1" spans="2:2">
      <c r="B40191" s="62" t="str">
        <f>IF(AND('领用录入（明细）'!D:D=$F$4,'领用录入（明细）'!C:C&gt;=$J$4,'领用录入（明细）'!C:C&lt;=$L$4),ROW(),"-")</f>
        <v>-</v>
      </c>
    </row>
    <row r="40192" customHeight="1" spans="2:2">
      <c r="B40192" s="62" t="str">
        <f>IF(AND('领用录入（明细）'!D:D=$F$4,'领用录入（明细）'!C:C&gt;=$J$4,'领用录入（明细）'!C:C&lt;=$L$4),ROW(),"-")</f>
        <v>-</v>
      </c>
    </row>
    <row r="40193" customHeight="1" spans="2:2">
      <c r="B40193" s="62" t="str">
        <f>IF(AND('领用录入（明细）'!D:D=$F$4,'领用录入（明细）'!C:C&gt;=$J$4,'领用录入（明细）'!C:C&lt;=$L$4),ROW(),"-")</f>
        <v>-</v>
      </c>
    </row>
    <row r="40194" customHeight="1" spans="2:2">
      <c r="B40194" s="62" t="str">
        <f>IF(AND('领用录入（明细）'!D:D=$F$4,'领用录入（明细）'!C:C&gt;=$J$4,'领用录入（明细）'!C:C&lt;=$L$4),ROW(),"-")</f>
        <v>-</v>
      </c>
    </row>
    <row r="40195" customHeight="1" spans="2:2">
      <c r="B40195" s="62" t="str">
        <f>IF(AND('领用录入（明细）'!D:D=$F$4,'领用录入（明细）'!C:C&gt;=$J$4,'领用录入（明细）'!C:C&lt;=$L$4),ROW(),"-")</f>
        <v>-</v>
      </c>
    </row>
    <row r="40196" customHeight="1" spans="2:2">
      <c r="B40196" s="62" t="str">
        <f>IF(AND('领用录入（明细）'!D:D=$F$4,'领用录入（明细）'!C:C&gt;=$J$4,'领用录入（明细）'!C:C&lt;=$L$4),ROW(),"-")</f>
        <v>-</v>
      </c>
    </row>
    <row r="40197" customHeight="1" spans="2:2">
      <c r="B40197" s="62" t="str">
        <f>IF(AND('领用录入（明细）'!D:D=$F$4,'领用录入（明细）'!C:C&gt;=$J$4,'领用录入（明细）'!C:C&lt;=$L$4),ROW(),"-")</f>
        <v>-</v>
      </c>
    </row>
    <row r="40198" customHeight="1" spans="2:2">
      <c r="B40198" s="62" t="str">
        <f>IF(AND('领用录入（明细）'!D:D=$F$4,'领用录入（明细）'!C:C&gt;=$J$4,'领用录入（明细）'!C:C&lt;=$L$4),ROW(),"-")</f>
        <v>-</v>
      </c>
    </row>
    <row r="40199" customHeight="1" spans="2:2">
      <c r="B40199" s="62" t="str">
        <f>IF(AND('领用录入（明细）'!D:D=$F$4,'领用录入（明细）'!C:C&gt;=$J$4,'领用录入（明细）'!C:C&lt;=$L$4),ROW(),"-")</f>
        <v>-</v>
      </c>
    </row>
    <row r="40200" customHeight="1" spans="2:2">
      <c r="B40200" s="62" t="str">
        <f>IF(AND('领用录入（明细）'!D:D=$F$4,'领用录入（明细）'!C:C&gt;=$J$4,'领用录入（明细）'!C:C&lt;=$L$4),ROW(),"-")</f>
        <v>-</v>
      </c>
    </row>
    <row r="40201" customHeight="1" spans="2:2">
      <c r="B40201" s="62" t="str">
        <f>IF(AND('领用录入（明细）'!D:D=$F$4,'领用录入（明细）'!C:C&gt;=$J$4,'领用录入（明细）'!C:C&lt;=$L$4),ROW(),"-")</f>
        <v>-</v>
      </c>
    </row>
    <row r="40202" customHeight="1" spans="2:2">
      <c r="B40202" s="62" t="str">
        <f>IF(AND('领用录入（明细）'!D:D=$F$4,'领用录入（明细）'!C:C&gt;=$J$4,'领用录入（明细）'!C:C&lt;=$L$4),ROW(),"-")</f>
        <v>-</v>
      </c>
    </row>
    <row r="40203" customHeight="1" spans="2:2">
      <c r="B40203" s="62" t="str">
        <f>IF(AND('领用录入（明细）'!D:D=$F$4,'领用录入（明细）'!C:C&gt;=$J$4,'领用录入（明细）'!C:C&lt;=$L$4),ROW(),"-")</f>
        <v>-</v>
      </c>
    </row>
    <row r="40204" customHeight="1" spans="2:2">
      <c r="B40204" s="62" t="str">
        <f>IF(AND('领用录入（明细）'!D:D=$F$4,'领用录入（明细）'!C:C&gt;=$J$4,'领用录入（明细）'!C:C&lt;=$L$4),ROW(),"-")</f>
        <v>-</v>
      </c>
    </row>
    <row r="40205" customHeight="1" spans="2:2">
      <c r="B40205" s="62" t="str">
        <f>IF(AND('领用录入（明细）'!D:D=$F$4,'领用录入（明细）'!C:C&gt;=$J$4,'领用录入（明细）'!C:C&lt;=$L$4),ROW(),"-")</f>
        <v>-</v>
      </c>
    </row>
    <row r="40206" customHeight="1" spans="2:2">
      <c r="B40206" s="62" t="str">
        <f>IF(AND('领用录入（明细）'!D:D=$F$4,'领用录入（明细）'!C:C&gt;=$J$4,'领用录入（明细）'!C:C&lt;=$L$4),ROW(),"-")</f>
        <v>-</v>
      </c>
    </row>
    <row r="40207" customHeight="1" spans="2:2">
      <c r="B40207" s="62" t="str">
        <f>IF(AND('领用录入（明细）'!D:D=$F$4,'领用录入（明细）'!C:C&gt;=$J$4,'领用录入（明细）'!C:C&lt;=$L$4),ROW(),"-")</f>
        <v>-</v>
      </c>
    </row>
    <row r="40208" customHeight="1" spans="2:2">
      <c r="B40208" s="62" t="str">
        <f>IF(AND('领用录入（明细）'!D:D=$F$4,'领用录入（明细）'!C:C&gt;=$J$4,'领用录入（明细）'!C:C&lt;=$L$4),ROW(),"-")</f>
        <v>-</v>
      </c>
    </row>
    <row r="40209" customHeight="1" spans="2:2">
      <c r="B40209" s="62" t="str">
        <f>IF(AND('领用录入（明细）'!D:D=$F$4,'领用录入（明细）'!C:C&gt;=$J$4,'领用录入（明细）'!C:C&lt;=$L$4),ROW(),"-")</f>
        <v>-</v>
      </c>
    </row>
    <row r="40210" customHeight="1" spans="2:2">
      <c r="B40210" s="62" t="str">
        <f>IF(AND('领用录入（明细）'!D:D=$F$4,'领用录入（明细）'!C:C&gt;=$J$4,'领用录入（明细）'!C:C&lt;=$L$4),ROW(),"-")</f>
        <v>-</v>
      </c>
    </row>
    <row r="40211" customHeight="1" spans="2:2">
      <c r="B40211" s="62" t="str">
        <f>IF(AND('领用录入（明细）'!D:D=$F$4,'领用录入（明细）'!C:C&gt;=$J$4,'领用录入（明细）'!C:C&lt;=$L$4),ROW(),"-")</f>
        <v>-</v>
      </c>
    </row>
    <row r="40212" customHeight="1" spans="2:2">
      <c r="B40212" s="62" t="str">
        <f>IF(AND('领用录入（明细）'!D:D=$F$4,'领用录入（明细）'!C:C&gt;=$J$4,'领用录入（明细）'!C:C&lt;=$L$4),ROW(),"-")</f>
        <v>-</v>
      </c>
    </row>
    <row r="40213" customHeight="1" spans="2:2">
      <c r="B40213" s="62" t="str">
        <f>IF(AND('领用录入（明细）'!D:D=$F$4,'领用录入（明细）'!C:C&gt;=$J$4,'领用录入（明细）'!C:C&lt;=$L$4),ROW(),"-")</f>
        <v>-</v>
      </c>
    </row>
    <row r="40214" customHeight="1" spans="2:2">
      <c r="B40214" s="62" t="str">
        <f>IF(AND('领用录入（明细）'!D:D=$F$4,'领用录入（明细）'!C:C&gt;=$J$4,'领用录入（明细）'!C:C&lt;=$L$4),ROW(),"-")</f>
        <v>-</v>
      </c>
    </row>
    <row r="40215" customHeight="1" spans="2:2">
      <c r="B40215" s="62" t="str">
        <f>IF(AND('领用录入（明细）'!D:D=$F$4,'领用录入（明细）'!C:C&gt;=$J$4,'领用录入（明细）'!C:C&lt;=$L$4),ROW(),"-")</f>
        <v>-</v>
      </c>
    </row>
    <row r="40216" customHeight="1" spans="2:2">
      <c r="B40216" s="62" t="str">
        <f>IF(AND('领用录入（明细）'!D:D=$F$4,'领用录入（明细）'!C:C&gt;=$J$4,'领用录入（明细）'!C:C&lt;=$L$4),ROW(),"-")</f>
        <v>-</v>
      </c>
    </row>
    <row r="40217" customHeight="1" spans="2:2">
      <c r="B40217" s="62" t="str">
        <f>IF(AND('领用录入（明细）'!D:D=$F$4,'领用录入（明细）'!C:C&gt;=$J$4,'领用录入（明细）'!C:C&lt;=$L$4),ROW(),"-")</f>
        <v>-</v>
      </c>
    </row>
    <row r="40218" customHeight="1" spans="2:2">
      <c r="B40218" s="62" t="str">
        <f>IF(AND('领用录入（明细）'!D:D=$F$4,'领用录入（明细）'!C:C&gt;=$J$4,'领用录入（明细）'!C:C&lt;=$L$4),ROW(),"-")</f>
        <v>-</v>
      </c>
    </row>
    <row r="40219" customHeight="1" spans="2:2">
      <c r="B40219" s="62" t="str">
        <f>IF(AND('领用录入（明细）'!D:D=$F$4,'领用录入（明细）'!C:C&gt;=$J$4,'领用录入（明细）'!C:C&lt;=$L$4),ROW(),"-")</f>
        <v>-</v>
      </c>
    </row>
    <row r="40220" customHeight="1" spans="2:2">
      <c r="B40220" s="62" t="str">
        <f>IF(AND('领用录入（明细）'!D:D=$F$4,'领用录入（明细）'!C:C&gt;=$J$4,'领用录入（明细）'!C:C&lt;=$L$4),ROW(),"-")</f>
        <v>-</v>
      </c>
    </row>
    <row r="40221" customHeight="1" spans="2:2">
      <c r="B40221" s="62" t="str">
        <f>IF(AND('领用录入（明细）'!D:D=$F$4,'领用录入（明细）'!C:C&gt;=$J$4,'领用录入（明细）'!C:C&lt;=$L$4),ROW(),"-")</f>
        <v>-</v>
      </c>
    </row>
    <row r="40222" customHeight="1" spans="2:2">
      <c r="B40222" s="62" t="str">
        <f>IF(AND('领用录入（明细）'!D:D=$F$4,'领用录入（明细）'!C:C&gt;=$J$4,'领用录入（明细）'!C:C&lt;=$L$4),ROW(),"-")</f>
        <v>-</v>
      </c>
    </row>
    <row r="40223" customHeight="1" spans="2:2">
      <c r="B40223" s="62" t="str">
        <f>IF(AND('领用录入（明细）'!D:D=$F$4,'领用录入（明细）'!C:C&gt;=$J$4,'领用录入（明细）'!C:C&lt;=$L$4),ROW(),"-")</f>
        <v>-</v>
      </c>
    </row>
    <row r="40224" customHeight="1" spans="2:2">
      <c r="B40224" s="62" t="str">
        <f>IF(AND('领用录入（明细）'!D:D=$F$4,'领用录入（明细）'!C:C&gt;=$J$4,'领用录入（明细）'!C:C&lt;=$L$4),ROW(),"-")</f>
        <v>-</v>
      </c>
    </row>
    <row r="40225" customHeight="1" spans="2:2">
      <c r="B40225" s="62" t="str">
        <f>IF(AND('领用录入（明细）'!D:D=$F$4,'领用录入（明细）'!C:C&gt;=$J$4,'领用录入（明细）'!C:C&lt;=$L$4),ROW(),"-")</f>
        <v>-</v>
      </c>
    </row>
    <row r="40226" customHeight="1" spans="2:2">
      <c r="B40226" s="62" t="str">
        <f>IF(AND('领用录入（明细）'!D:D=$F$4,'领用录入（明细）'!C:C&gt;=$J$4,'领用录入（明细）'!C:C&lt;=$L$4),ROW(),"-")</f>
        <v>-</v>
      </c>
    </row>
    <row r="40227" customHeight="1" spans="2:2">
      <c r="B40227" s="62" t="str">
        <f>IF(AND('领用录入（明细）'!D:D=$F$4,'领用录入（明细）'!C:C&gt;=$J$4,'领用录入（明细）'!C:C&lt;=$L$4),ROW(),"-")</f>
        <v>-</v>
      </c>
    </row>
    <row r="40228" customHeight="1" spans="2:2">
      <c r="B40228" s="62" t="str">
        <f>IF(AND('领用录入（明细）'!D:D=$F$4,'领用录入（明细）'!C:C&gt;=$J$4,'领用录入（明细）'!C:C&lt;=$L$4),ROW(),"-")</f>
        <v>-</v>
      </c>
    </row>
    <row r="40229" customHeight="1" spans="2:2">
      <c r="B40229" s="62" t="str">
        <f>IF(AND('领用录入（明细）'!D:D=$F$4,'领用录入（明细）'!C:C&gt;=$J$4,'领用录入（明细）'!C:C&lt;=$L$4),ROW(),"-")</f>
        <v>-</v>
      </c>
    </row>
    <row r="40230" customHeight="1" spans="2:2">
      <c r="B40230" s="62" t="str">
        <f>IF(AND('领用录入（明细）'!D:D=$F$4,'领用录入（明细）'!C:C&gt;=$J$4,'领用录入（明细）'!C:C&lt;=$L$4),ROW(),"-")</f>
        <v>-</v>
      </c>
    </row>
    <row r="40231" customHeight="1" spans="2:2">
      <c r="B40231" s="62" t="str">
        <f>IF(AND('领用录入（明细）'!D:D=$F$4,'领用录入（明细）'!C:C&gt;=$J$4,'领用录入（明细）'!C:C&lt;=$L$4),ROW(),"-")</f>
        <v>-</v>
      </c>
    </row>
    <row r="40232" customHeight="1" spans="2:2">
      <c r="B40232" s="62" t="str">
        <f>IF(AND('领用录入（明细）'!D:D=$F$4,'领用录入（明细）'!C:C&gt;=$J$4,'领用录入（明细）'!C:C&lt;=$L$4),ROW(),"-")</f>
        <v>-</v>
      </c>
    </row>
    <row r="40233" customHeight="1" spans="2:2">
      <c r="B40233" s="62" t="str">
        <f>IF(AND('领用录入（明细）'!D:D=$F$4,'领用录入（明细）'!C:C&gt;=$J$4,'领用录入（明细）'!C:C&lt;=$L$4),ROW(),"-")</f>
        <v>-</v>
      </c>
    </row>
    <row r="40234" customHeight="1" spans="2:2">
      <c r="B40234" s="62" t="str">
        <f>IF(AND('领用录入（明细）'!D:D=$F$4,'领用录入（明细）'!C:C&gt;=$J$4,'领用录入（明细）'!C:C&lt;=$L$4),ROW(),"-")</f>
        <v>-</v>
      </c>
    </row>
    <row r="40235" customHeight="1" spans="2:2">
      <c r="B40235" s="62" t="str">
        <f>IF(AND('领用录入（明细）'!D:D=$F$4,'领用录入（明细）'!C:C&gt;=$J$4,'领用录入（明细）'!C:C&lt;=$L$4),ROW(),"-")</f>
        <v>-</v>
      </c>
    </row>
    <row r="40236" customHeight="1" spans="2:2">
      <c r="B40236" s="62" t="str">
        <f>IF(AND('领用录入（明细）'!D:D=$F$4,'领用录入（明细）'!C:C&gt;=$J$4,'领用录入（明细）'!C:C&lt;=$L$4),ROW(),"-")</f>
        <v>-</v>
      </c>
    </row>
    <row r="40237" customHeight="1" spans="2:2">
      <c r="B40237" s="62" t="str">
        <f>IF(AND('领用录入（明细）'!D:D=$F$4,'领用录入（明细）'!C:C&gt;=$J$4,'领用录入（明细）'!C:C&lt;=$L$4),ROW(),"-")</f>
        <v>-</v>
      </c>
    </row>
    <row r="40238" customHeight="1" spans="2:2">
      <c r="B40238" s="62" t="str">
        <f>IF(AND('领用录入（明细）'!D:D=$F$4,'领用录入（明细）'!C:C&gt;=$J$4,'领用录入（明细）'!C:C&lt;=$L$4),ROW(),"-")</f>
        <v>-</v>
      </c>
    </row>
    <row r="40239" customHeight="1" spans="2:2">
      <c r="B40239" s="62" t="str">
        <f>IF(AND('领用录入（明细）'!D:D=$F$4,'领用录入（明细）'!C:C&gt;=$J$4,'领用录入（明细）'!C:C&lt;=$L$4),ROW(),"-")</f>
        <v>-</v>
      </c>
    </row>
    <row r="40240" customHeight="1" spans="2:2">
      <c r="B40240" s="62" t="str">
        <f>IF(AND('领用录入（明细）'!D:D=$F$4,'领用录入（明细）'!C:C&gt;=$J$4,'领用录入（明细）'!C:C&lt;=$L$4),ROW(),"-")</f>
        <v>-</v>
      </c>
    </row>
    <row r="40241" customHeight="1" spans="2:2">
      <c r="B40241" s="62" t="str">
        <f>IF(AND('领用录入（明细）'!D:D=$F$4,'领用录入（明细）'!C:C&gt;=$J$4,'领用录入（明细）'!C:C&lt;=$L$4),ROW(),"-")</f>
        <v>-</v>
      </c>
    </row>
    <row r="40242" customHeight="1" spans="2:2">
      <c r="B40242" s="62" t="str">
        <f>IF(AND('领用录入（明细）'!D:D=$F$4,'领用录入（明细）'!C:C&gt;=$J$4,'领用录入（明细）'!C:C&lt;=$L$4),ROW(),"-")</f>
        <v>-</v>
      </c>
    </row>
    <row r="40243" customHeight="1" spans="2:2">
      <c r="B40243" s="62" t="str">
        <f>IF(AND('领用录入（明细）'!D:D=$F$4,'领用录入（明细）'!C:C&gt;=$J$4,'领用录入（明细）'!C:C&lt;=$L$4),ROW(),"-")</f>
        <v>-</v>
      </c>
    </row>
    <row r="40244" customHeight="1" spans="2:2">
      <c r="B40244" s="62" t="str">
        <f>IF(AND('领用录入（明细）'!D:D=$F$4,'领用录入（明细）'!C:C&gt;=$J$4,'领用录入（明细）'!C:C&lt;=$L$4),ROW(),"-")</f>
        <v>-</v>
      </c>
    </row>
    <row r="40245" customHeight="1" spans="2:2">
      <c r="B40245" s="62" t="str">
        <f>IF(AND('领用录入（明细）'!D:D=$F$4,'领用录入（明细）'!C:C&gt;=$J$4,'领用录入（明细）'!C:C&lt;=$L$4),ROW(),"-")</f>
        <v>-</v>
      </c>
    </row>
    <row r="40246" customHeight="1" spans="2:2">
      <c r="B40246" s="62" t="str">
        <f>IF(AND('领用录入（明细）'!D:D=$F$4,'领用录入（明细）'!C:C&gt;=$J$4,'领用录入（明细）'!C:C&lt;=$L$4),ROW(),"-")</f>
        <v>-</v>
      </c>
    </row>
    <row r="40247" customHeight="1" spans="2:2">
      <c r="B40247" s="62" t="str">
        <f>IF(AND('领用录入（明细）'!D:D=$F$4,'领用录入（明细）'!C:C&gt;=$J$4,'领用录入（明细）'!C:C&lt;=$L$4),ROW(),"-")</f>
        <v>-</v>
      </c>
    </row>
    <row r="40248" customHeight="1" spans="2:2">
      <c r="B40248" s="62" t="str">
        <f>IF(AND('领用录入（明细）'!D:D=$F$4,'领用录入（明细）'!C:C&gt;=$J$4,'领用录入（明细）'!C:C&lt;=$L$4),ROW(),"-")</f>
        <v>-</v>
      </c>
    </row>
    <row r="40249" customHeight="1" spans="2:2">
      <c r="B40249" s="62" t="str">
        <f>IF(AND('领用录入（明细）'!D:D=$F$4,'领用录入（明细）'!C:C&gt;=$J$4,'领用录入（明细）'!C:C&lt;=$L$4),ROW(),"-")</f>
        <v>-</v>
      </c>
    </row>
    <row r="40250" customHeight="1" spans="2:2">
      <c r="B40250" s="62" t="str">
        <f>IF(AND('领用录入（明细）'!D:D=$F$4,'领用录入（明细）'!C:C&gt;=$J$4,'领用录入（明细）'!C:C&lt;=$L$4),ROW(),"-")</f>
        <v>-</v>
      </c>
    </row>
    <row r="40251" customHeight="1" spans="2:2">
      <c r="B40251" s="62" t="str">
        <f>IF(AND('领用录入（明细）'!D:D=$F$4,'领用录入（明细）'!C:C&gt;=$J$4,'领用录入（明细）'!C:C&lt;=$L$4),ROW(),"-")</f>
        <v>-</v>
      </c>
    </row>
    <row r="40252" customHeight="1" spans="2:2">
      <c r="B40252" s="62" t="str">
        <f>IF(AND('领用录入（明细）'!D:D=$F$4,'领用录入（明细）'!C:C&gt;=$J$4,'领用录入（明细）'!C:C&lt;=$L$4),ROW(),"-")</f>
        <v>-</v>
      </c>
    </row>
    <row r="40253" customHeight="1" spans="2:2">
      <c r="B40253" s="62" t="str">
        <f>IF(AND('领用录入（明细）'!D:D=$F$4,'领用录入（明细）'!C:C&gt;=$J$4,'领用录入（明细）'!C:C&lt;=$L$4),ROW(),"-")</f>
        <v>-</v>
      </c>
    </row>
    <row r="40254" customHeight="1" spans="2:2">
      <c r="B40254" s="62" t="str">
        <f>IF(AND('领用录入（明细）'!D:D=$F$4,'领用录入（明细）'!C:C&gt;=$J$4,'领用录入（明细）'!C:C&lt;=$L$4),ROW(),"-")</f>
        <v>-</v>
      </c>
    </row>
    <row r="40255" customHeight="1" spans="2:2">
      <c r="B40255" s="62" t="str">
        <f>IF(AND('领用录入（明细）'!D:D=$F$4,'领用录入（明细）'!C:C&gt;=$J$4,'领用录入（明细）'!C:C&lt;=$L$4),ROW(),"-")</f>
        <v>-</v>
      </c>
    </row>
    <row r="40256" customHeight="1" spans="2:2">
      <c r="B40256" s="62" t="str">
        <f>IF(AND('领用录入（明细）'!D:D=$F$4,'领用录入（明细）'!C:C&gt;=$J$4,'领用录入（明细）'!C:C&lt;=$L$4),ROW(),"-")</f>
        <v>-</v>
      </c>
    </row>
    <row r="40257" customHeight="1" spans="2:2">
      <c r="B40257" s="62" t="str">
        <f>IF(AND('领用录入（明细）'!D:D=$F$4,'领用录入（明细）'!C:C&gt;=$J$4,'领用录入（明细）'!C:C&lt;=$L$4),ROW(),"-")</f>
        <v>-</v>
      </c>
    </row>
    <row r="40258" customHeight="1" spans="2:2">
      <c r="B40258" s="62" t="str">
        <f>IF(AND('领用录入（明细）'!D:D=$F$4,'领用录入（明细）'!C:C&gt;=$J$4,'领用录入（明细）'!C:C&lt;=$L$4),ROW(),"-")</f>
        <v>-</v>
      </c>
    </row>
    <row r="40259" customHeight="1" spans="2:2">
      <c r="B40259" s="62" t="str">
        <f>IF(AND('领用录入（明细）'!D:D=$F$4,'领用录入（明细）'!C:C&gt;=$J$4,'领用录入（明细）'!C:C&lt;=$L$4),ROW(),"-")</f>
        <v>-</v>
      </c>
    </row>
    <row r="40260" customHeight="1" spans="2:2">
      <c r="B40260" s="62" t="str">
        <f>IF(AND('领用录入（明细）'!D:D=$F$4,'领用录入（明细）'!C:C&gt;=$J$4,'领用录入（明细）'!C:C&lt;=$L$4),ROW(),"-")</f>
        <v>-</v>
      </c>
    </row>
    <row r="40261" customHeight="1" spans="2:2">
      <c r="B40261" s="62" t="str">
        <f>IF(AND('领用录入（明细）'!D:D=$F$4,'领用录入（明细）'!C:C&gt;=$J$4,'领用录入（明细）'!C:C&lt;=$L$4),ROW(),"-")</f>
        <v>-</v>
      </c>
    </row>
    <row r="40262" customHeight="1" spans="2:2">
      <c r="B40262" s="62" t="str">
        <f>IF(AND('领用录入（明细）'!D:D=$F$4,'领用录入（明细）'!C:C&gt;=$J$4,'领用录入（明细）'!C:C&lt;=$L$4),ROW(),"-")</f>
        <v>-</v>
      </c>
    </row>
    <row r="40263" customHeight="1" spans="2:2">
      <c r="B40263" s="62" t="str">
        <f>IF(AND('领用录入（明细）'!D:D=$F$4,'领用录入（明细）'!C:C&gt;=$J$4,'领用录入（明细）'!C:C&lt;=$L$4),ROW(),"-")</f>
        <v>-</v>
      </c>
    </row>
    <row r="40264" customHeight="1" spans="2:2">
      <c r="B40264" s="62" t="str">
        <f>IF(AND('领用录入（明细）'!D:D=$F$4,'领用录入（明细）'!C:C&gt;=$J$4,'领用录入（明细）'!C:C&lt;=$L$4),ROW(),"-")</f>
        <v>-</v>
      </c>
    </row>
    <row r="40265" customHeight="1" spans="2:2">
      <c r="B40265" s="62" t="str">
        <f>IF(AND('领用录入（明细）'!D:D=$F$4,'领用录入（明细）'!C:C&gt;=$J$4,'领用录入（明细）'!C:C&lt;=$L$4),ROW(),"-")</f>
        <v>-</v>
      </c>
    </row>
    <row r="40266" customHeight="1" spans="2:2">
      <c r="B40266" s="62" t="str">
        <f>IF(AND('领用录入（明细）'!D:D=$F$4,'领用录入（明细）'!C:C&gt;=$J$4,'领用录入（明细）'!C:C&lt;=$L$4),ROW(),"-")</f>
        <v>-</v>
      </c>
    </row>
    <row r="40267" customHeight="1" spans="2:2">
      <c r="B40267" s="62" t="str">
        <f>IF(AND('领用录入（明细）'!D:D=$F$4,'领用录入（明细）'!C:C&gt;=$J$4,'领用录入（明细）'!C:C&lt;=$L$4),ROW(),"-")</f>
        <v>-</v>
      </c>
    </row>
    <row r="40268" customHeight="1" spans="2:2">
      <c r="B40268" s="62" t="str">
        <f>IF(AND('领用录入（明细）'!D:D=$F$4,'领用录入（明细）'!C:C&gt;=$J$4,'领用录入（明细）'!C:C&lt;=$L$4),ROW(),"-")</f>
        <v>-</v>
      </c>
    </row>
    <row r="40269" customHeight="1" spans="2:2">
      <c r="B40269" s="62" t="str">
        <f>IF(AND('领用录入（明细）'!D:D=$F$4,'领用录入（明细）'!C:C&gt;=$J$4,'领用录入（明细）'!C:C&lt;=$L$4),ROW(),"-")</f>
        <v>-</v>
      </c>
    </row>
    <row r="40270" customHeight="1" spans="2:2">
      <c r="B40270" s="62" t="str">
        <f>IF(AND('领用录入（明细）'!D:D=$F$4,'领用录入（明细）'!C:C&gt;=$J$4,'领用录入（明细）'!C:C&lt;=$L$4),ROW(),"-")</f>
        <v>-</v>
      </c>
    </row>
    <row r="40271" customHeight="1" spans="2:2">
      <c r="B40271" s="62" t="str">
        <f>IF(AND('领用录入（明细）'!D:D=$F$4,'领用录入（明细）'!C:C&gt;=$J$4,'领用录入（明细）'!C:C&lt;=$L$4),ROW(),"-")</f>
        <v>-</v>
      </c>
    </row>
    <row r="40272" customHeight="1" spans="2:2">
      <c r="B40272" s="62" t="str">
        <f>IF(AND('领用录入（明细）'!D:D=$F$4,'领用录入（明细）'!C:C&gt;=$J$4,'领用录入（明细）'!C:C&lt;=$L$4),ROW(),"-")</f>
        <v>-</v>
      </c>
    </row>
    <row r="40273" customHeight="1" spans="2:2">
      <c r="B40273" s="62" t="str">
        <f>IF(AND('领用录入（明细）'!D:D=$F$4,'领用录入（明细）'!C:C&gt;=$J$4,'领用录入（明细）'!C:C&lt;=$L$4),ROW(),"-")</f>
        <v>-</v>
      </c>
    </row>
    <row r="40274" customHeight="1" spans="2:2">
      <c r="B40274" s="62" t="str">
        <f>IF(AND('领用录入（明细）'!D:D=$F$4,'领用录入（明细）'!C:C&gt;=$J$4,'领用录入（明细）'!C:C&lt;=$L$4),ROW(),"-")</f>
        <v>-</v>
      </c>
    </row>
    <row r="40275" customHeight="1" spans="2:2">
      <c r="B40275" s="62" t="str">
        <f>IF(AND('领用录入（明细）'!D:D=$F$4,'领用录入（明细）'!C:C&gt;=$J$4,'领用录入（明细）'!C:C&lt;=$L$4),ROW(),"-")</f>
        <v>-</v>
      </c>
    </row>
    <row r="40276" customHeight="1" spans="2:2">
      <c r="B40276" s="62" t="str">
        <f>IF(AND('领用录入（明细）'!D:D=$F$4,'领用录入（明细）'!C:C&gt;=$J$4,'领用录入（明细）'!C:C&lt;=$L$4),ROW(),"-")</f>
        <v>-</v>
      </c>
    </row>
    <row r="40277" customHeight="1" spans="2:2">
      <c r="B40277" s="62" t="str">
        <f>IF(AND('领用录入（明细）'!D:D=$F$4,'领用录入（明细）'!C:C&gt;=$J$4,'领用录入（明细）'!C:C&lt;=$L$4),ROW(),"-")</f>
        <v>-</v>
      </c>
    </row>
    <row r="40278" customHeight="1" spans="2:2">
      <c r="B40278" s="62" t="str">
        <f>IF(AND('领用录入（明细）'!D:D=$F$4,'领用录入（明细）'!C:C&gt;=$J$4,'领用录入（明细）'!C:C&lt;=$L$4),ROW(),"-")</f>
        <v>-</v>
      </c>
    </row>
    <row r="40279" customHeight="1" spans="2:2">
      <c r="B40279" s="62" t="str">
        <f>IF(AND('领用录入（明细）'!D:D=$F$4,'领用录入（明细）'!C:C&gt;=$J$4,'领用录入（明细）'!C:C&lt;=$L$4),ROW(),"-")</f>
        <v>-</v>
      </c>
    </row>
    <row r="40280" customHeight="1" spans="2:2">
      <c r="B40280" s="62" t="str">
        <f>IF(AND('领用录入（明细）'!D:D=$F$4,'领用录入（明细）'!C:C&gt;=$J$4,'领用录入（明细）'!C:C&lt;=$L$4),ROW(),"-")</f>
        <v>-</v>
      </c>
    </row>
    <row r="40281" customHeight="1" spans="2:2">
      <c r="B40281" s="62" t="str">
        <f>IF(AND('领用录入（明细）'!D:D=$F$4,'领用录入（明细）'!C:C&gt;=$J$4,'领用录入（明细）'!C:C&lt;=$L$4),ROW(),"-")</f>
        <v>-</v>
      </c>
    </row>
    <row r="40282" customHeight="1" spans="2:2">
      <c r="B40282" s="62" t="str">
        <f>IF(AND('领用录入（明细）'!D:D=$F$4,'领用录入（明细）'!C:C&gt;=$J$4,'领用录入（明细）'!C:C&lt;=$L$4),ROW(),"-")</f>
        <v>-</v>
      </c>
    </row>
    <row r="40283" customHeight="1" spans="2:2">
      <c r="B40283" s="62" t="str">
        <f>IF(AND('领用录入（明细）'!D:D=$F$4,'领用录入（明细）'!C:C&gt;=$J$4,'领用录入（明细）'!C:C&lt;=$L$4),ROW(),"-")</f>
        <v>-</v>
      </c>
    </row>
    <row r="40284" customHeight="1" spans="2:2">
      <c r="B40284" s="62" t="str">
        <f>IF(AND('领用录入（明细）'!D:D=$F$4,'领用录入（明细）'!C:C&gt;=$J$4,'领用录入（明细）'!C:C&lt;=$L$4),ROW(),"-")</f>
        <v>-</v>
      </c>
    </row>
    <row r="40285" customHeight="1" spans="2:2">
      <c r="B40285" s="62" t="str">
        <f>IF(AND('领用录入（明细）'!D:D=$F$4,'领用录入（明细）'!C:C&gt;=$J$4,'领用录入（明细）'!C:C&lt;=$L$4),ROW(),"-")</f>
        <v>-</v>
      </c>
    </row>
    <row r="40286" customHeight="1" spans="2:2">
      <c r="B40286" s="62" t="str">
        <f>IF(AND('领用录入（明细）'!D:D=$F$4,'领用录入（明细）'!C:C&gt;=$J$4,'领用录入（明细）'!C:C&lt;=$L$4),ROW(),"-")</f>
        <v>-</v>
      </c>
    </row>
    <row r="40287" customHeight="1" spans="2:2">
      <c r="B40287" s="62" t="str">
        <f>IF(AND('领用录入（明细）'!D:D=$F$4,'领用录入（明细）'!C:C&gt;=$J$4,'领用录入（明细）'!C:C&lt;=$L$4),ROW(),"-")</f>
        <v>-</v>
      </c>
    </row>
    <row r="40288" customHeight="1" spans="2:2">
      <c r="B40288" s="62" t="str">
        <f>IF(AND('领用录入（明细）'!D:D=$F$4,'领用录入（明细）'!C:C&gt;=$J$4,'领用录入（明细）'!C:C&lt;=$L$4),ROW(),"-")</f>
        <v>-</v>
      </c>
    </row>
    <row r="40289" customHeight="1" spans="2:2">
      <c r="B40289" s="62" t="str">
        <f>IF(AND('领用录入（明细）'!D:D=$F$4,'领用录入（明细）'!C:C&gt;=$J$4,'领用录入（明细）'!C:C&lt;=$L$4),ROW(),"-")</f>
        <v>-</v>
      </c>
    </row>
    <row r="40290" customHeight="1" spans="2:2">
      <c r="B40290" s="62" t="str">
        <f>IF(AND('领用录入（明细）'!D:D=$F$4,'领用录入（明细）'!C:C&gt;=$J$4,'领用录入（明细）'!C:C&lt;=$L$4),ROW(),"-")</f>
        <v>-</v>
      </c>
    </row>
    <row r="40291" customHeight="1" spans="2:2">
      <c r="B40291" s="62" t="str">
        <f>IF(AND('领用录入（明细）'!D:D=$F$4,'领用录入（明细）'!C:C&gt;=$J$4,'领用录入（明细）'!C:C&lt;=$L$4),ROW(),"-")</f>
        <v>-</v>
      </c>
    </row>
    <row r="40292" customHeight="1" spans="2:2">
      <c r="B40292" s="62" t="str">
        <f>IF(AND('领用录入（明细）'!D:D=$F$4,'领用录入（明细）'!C:C&gt;=$J$4,'领用录入（明细）'!C:C&lt;=$L$4),ROW(),"-")</f>
        <v>-</v>
      </c>
    </row>
    <row r="40293" customHeight="1" spans="2:2">
      <c r="B40293" s="62" t="str">
        <f>IF(AND('领用录入（明细）'!D:D=$F$4,'领用录入（明细）'!C:C&gt;=$J$4,'领用录入（明细）'!C:C&lt;=$L$4),ROW(),"-")</f>
        <v>-</v>
      </c>
    </row>
    <row r="40294" customHeight="1" spans="2:2">
      <c r="B40294" s="62" t="str">
        <f>IF(AND('领用录入（明细）'!D:D=$F$4,'领用录入（明细）'!C:C&gt;=$J$4,'领用录入（明细）'!C:C&lt;=$L$4),ROW(),"-")</f>
        <v>-</v>
      </c>
    </row>
    <row r="40295" customHeight="1" spans="2:2">
      <c r="B40295" s="62" t="str">
        <f>IF(AND('领用录入（明细）'!D:D=$F$4,'领用录入（明细）'!C:C&gt;=$J$4,'领用录入（明细）'!C:C&lt;=$L$4),ROW(),"-")</f>
        <v>-</v>
      </c>
    </row>
    <row r="40296" customHeight="1" spans="2:2">
      <c r="B40296" s="62" t="str">
        <f>IF(AND('领用录入（明细）'!D:D=$F$4,'领用录入（明细）'!C:C&gt;=$J$4,'领用录入（明细）'!C:C&lt;=$L$4),ROW(),"-")</f>
        <v>-</v>
      </c>
    </row>
    <row r="40297" customHeight="1" spans="2:2">
      <c r="B40297" s="62" t="str">
        <f>IF(AND('领用录入（明细）'!D:D=$F$4,'领用录入（明细）'!C:C&gt;=$J$4,'领用录入（明细）'!C:C&lt;=$L$4),ROW(),"-")</f>
        <v>-</v>
      </c>
    </row>
    <row r="40298" customHeight="1" spans="2:2">
      <c r="B40298" s="62" t="str">
        <f>IF(AND('领用录入（明细）'!D:D=$F$4,'领用录入（明细）'!C:C&gt;=$J$4,'领用录入（明细）'!C:C&lt;=$L$4),ROW(),"-")</f>
        <v>-</v>
      </c>
    </row>
    <row r="40299" customHeight="1" spans="2:2">
      <c r="B40299" s="62" t="str">
        <f>IF(AND('领用录入（明细）'!D:D=$F$4,'领用录入（明细）'!C:C&gt;=$J$4,'领用录入（明细）'!C:C&lt;=$L$4),ROW(),"-")</f>
        <v>-</v>
      </c>
    </row>
    <row r="40300" customHeight="1" spans="2:2">
      <c r="B40300" s="62" t="str">
        <f>IF(AND('领用录入（明细）'!D:D=$F$4,'领用录入（明细）'!C:C&gt;=$J$4,'领用录入（明细）'!C:C&lt;=$L$4),ROW(),"-")</f>
        <v>-</v>
      </c>
    </row>
    <row r="40301" customHeight="1" spans="2:2">
      <c r="B40301" s="62" t="str">
        <f>IF(AND('领用录入（明细）'!D:D=$F$4,'领用录入（明细）'!C:C&gt;=$J$4,'领用录入（明细）'!C:C&lt;=$L$4),ROW(),"-")</f>
        <v>-</v>
      </c>
    </row>
    <row r="40302" customHeight="1" spans="2:2">
      <c r="B40302" s="62" t="str">
        <f>IF(AND('领用录入（明细）'!D:D=$F$4,'领用录入（明细）'!C:C&gt;=$J$4,'领用录入（明细）'!C:C&lt;=$L$4),ROW(),"-")</f>
        <v>-</v>
      </c>
    </row>
    <row r="40303" customHeight="1" spans="2:2">
      <c r="B40303" s="62" t="str">
        <f>IF(AND('领用录入（明细）'!D:D=$F$4,'领用录入（明细）'!C:C&gt;=$J$4,'领用录入（明细）'!C:C&lt;=$L$4),ROW(),"-")</f>
        <v>-</v>
      </c>
    </row>
    <row r="40304" customHeight="1" spans="2:2">
      <c r="B40304" s="62" t="str">
        <f>IF(AND('领用录入（明细）'!D:D=$F$4,'领用录入（明细）'!C:C&gt;=$J$4,'领用录入（明细）'!C:C&lt;=$L$4),ROW(),"-")</f>
        <v>-</v>
      </c>
    </row>
    <row r="40305" customHeight="1" spans="2:2">
      <c r="B40305" s="62" t="str">
        <f>IF(AND('领用录入（明细）'!D:D=$F$4,'领用录入（明细）'!C:C&gt;=$J$4,'领用录入（明细）'!C:C&lt;=$L$4),ROW(),"-")</f>
        <v>-</v>
      </c>
    </row>
    <row r="40306" customHeight="1" spans="2:2">
      <c r="B40306" s="62" t="str">
        <f>IF(AND('领用录入（明细）'!D:D=$F$4,'领用录入（明细）'!C:C&gt;=$J$4,'领用录入（明细）'!C:C&lt;=$L$4),ROW(),"-")</f>
        <v>-</v>
      </c>
    </row>
    <row r="40307" customHeight="1" spans="2:2">
      <c r="B40307" s="62" t="str">
        <f>IF(AND('领用录入（明细）'!D:D=$F$4,'领用录入（明细）'!C:C&gt;=$J$4,'领用录入（明细）'!C:C&lt;=$L$4),ROW(),"-")</f>
        <v>-</v>
      </c>
    </row>
    <row r="40308" customHeight="1" spans="2:2">
      <c r="B40308" s="62" t="str">
        <f>IF(AND('领用录入（明细）'!D:D=$F$4,'领用录入（明细）'!C:C&gt;=$J$4,'领用录入（明细）'!C:C&lt;=$L$4),ROW(),"-")</f>
        <v>-</v>
      </c>
    </row>
    <row r="40309" customHeight="1" spans="2:2">
      <c r="B40309" s="62" t="str">
        <f>IF(AND('领用录入（明细）'!D:D=$F$4,'领用录入（明细）'!C:C&gt;=$J$4,'领用录入（明细）'!C:C&lt;=$L$4),ROW(),"-")</f>
        <v>-</v>
      </c>
    </row>
    <row r="40310" customHeight="1" spans="2:2">
      <c r="B40310" s="62" t="str">
        <f>IF(AND('领用录入（明细）'!D:D=$F$4,'领用录入（明细）'!C:C&gt;=$J$4,'领用录入（明细）'!C:C&lt;=$L$4),ROW(),"-")</f>
        <v>-</v>
      </c>
    </row>
    <row r="40311" customHeight="1" spans="2:2">
      <c r="B40311" s="62" t="str">
        <f>IF(AND('领用录入（明细）'!D:D=$F$4,'领用录入（明细）'!C:C&gt;=$J$4,'领用录入（明细）'!C:C&lt;=$L$4),ROW(),"-")</f>
        <v>-</v>
      </c>
    </row>
    <row r="40312" customHeight="1" spans="2:2">
      <c r="B40312" s="62" t="str">
        <f>IF(AND('领用录入（明细）'!D:D=$F$4,'领用录入（明细）'!C:C&gt;=$J$4,'领用录入（明细）'!C:C&lt;=$L$4),ROW(),"-")</f>
        <v>-</v>
      </c>
    </row>
    <row r="40313" customHeight="1" spans="2:2">
      <c r="B40313" s="62" t="str">
        <f>IF(AND('领用录入（明细）'!D:D=$F$4,'领用录入（明细）'!C:C&gt;=$J$4,'领用录入（明细）'!C:C&lt;=$L$4),ROW(),"-")</f>
        <v>-</v>
      </c>
    </row>
    <row r="40314" customHeight="1" spans="2:2">
      <c r="B40314" s="62" t="str">
        <f>IF(AND('领用录入（明细）'!D:D=$F$4,'领用录入（明细）'!C:C&gt;=$J$4,'领用录入（明细）'!C:C&lt;=$L$4),ROW(),"-")</f>
        <v>-</v>
      </c>
    </row>
    <row r="40315" customHeight="1" spans="2:2">
      <c r="B40315" s="62" t="str">
        <f>IF(AND('领用录入（明细）'!D:D=$F$4,'领用录入（明细）'!C:C&gt;=$J$4,'领用录入（明细）'!C:C&lt;=$L$4),ROW(),"-")</f>
        <v>-</v>
      </c>
    </row>
    <row r="40316" customHeight="1" spans="2:2">
      <c r="B40316" s="62" t="str">
        <f>IF(AND('领用录入（明细）'!D:D=$F$4,'领用录入（明细）'!C:C&gt;=$J$4,'领用录入（明细）'!C:C&lt;=$L$4),ROW(),"-")</f>
        <v>-</v>
      </c>
    </row>
    <row r="40317" customHeight="1" spans="2:2">
      <c r="B40317" s="62" t="str">
        <f>IF(AND('领用录入（明细）'!D:D=$F$4,'领用录入（明细）'!C:C&gt;=$J$4,'领用录入（明细）'!C:C&lt;=$L$4),ROW(),"-")</f>
        <v>-</v>
      </c>
    </row>
    <row r="40318" customHeight="1" spans="2:2">
      <c r="B40318" s="62" t="str">
        <f>IF(AND('领用录入（明细）'!D:D=$F$4,'领用录入（明细）'!C:C&gt;=$J$4,'领用录入（明细）'!C:C&lt;=$L$4),ROW(),"-")</f>
        <v>-</v>
      </c>
    </row>
    <row r="40319" customHeight="1" spans="2:2">
      <c r="B40319" s="62" t="str">
        <f>IF(AND('领用录入（明细）'!D:D=$F$4,'领用录入（明细）'!C:C&gt;=$J$4,'领用录入（明细）'!C:C&lt;=$L$4),ROW(),"-")</f>
        <v>-</v>
      </c>
    </row>
    <row r="40320" customHeight="1" spans="2:2">
      <c r="B40320" s="62" t="str">
        <f>IF(AND('领用录入（明细）'!D:D=$F$4,'领用录入（明细）'!C:C&gt;=$J$4,'领用录入（明细）'!C:C&lt;=$L$4),ROW(),"-")</f>
        <v>-</v>
      </c>
    </row>
    <row r="40321" customHeight="1" spans="2:2">
      <c r="B40321" s="62" t="str">
        <f>IF(AND('领用录入（明细）'!D:D=$F$4,'领用录入（明细）'!C:C&gt;=$J$4,'领用录入（明细）'!C:C&lt;=$L$4),ROW(),"-")</f>
        <v>-</v>
      </c>
    </row>
    <row r="40322" customHeight="1" spans="2:2">
      <c r="B40322" s="62" t="str">
        <f>IF(AND('领用录入（明细）'!D:D=$F$4,'领用录入（明细）'!C:C&gt;=$J$4,'领用录入（明细）'!C:C&lt;=$L$4),ROW(),"-")</f>
        <v>-</v>
      </c>
    </row>
    <row r="40323" customHeight="1" spans="2:2">
      <c r="B40323" s="62" t="str">
        <f>IF(AND('领用录入（明细）'!D:D=$F$4,'领用录入（明细）'!C:C&gt;=$J$4,'领用录入（明细）'!C:C&lt;=$L$4),ROW(),"-")</f>
        <v>-</v>
      </c>
    </row>
    <row r="40324" customHeight="1" spans="2:2">
      <c r="B40324" s="62" t="str">
        <f>IF(AND('领用录入（明细）'!D:D=$F$4,'领用录入（明细）'!C:C&gt;=$J$4,'领用录入（明细）'!C:C&lt;=$L$4),ROW(),"-")</f>
        <v>-</v>
      </c>
    </row>
    <row r="40325" customHeight="1" spans="2:2">
      <c r="B40325" s="62" t="str">
        <f>IF(AND('领用录入（明细）'!D:D=$F$4,'领用录入（明细）'!C:C&gt;=$J$4,'领用录入（明细）'!C:C&lt;=$L$4),ROW(),"-")</f>
        <v>-</v>
      </c>
    </row>
    <row r="40326" customHeight="1" spans="2:2">
      <c r="B40326" s="62" t="str">
        <f>IF(AND('领用录入（明细）'!D:D=$F$4,'领用录入（明细）'!C:C&gt;=$J$4,'领用录入（明细）'!C:C&lt;=$L$4),ROW(),"-")</f>
        <v>-</v>
      </c>
    </row>
    <row r="40327" customHeight="1" spans="2:2">
      <c r="B40327" s="62" t="str">
        <f>IF(AND('领用录入（明细）'!D:D=$F$4,'领用录入（明细）'!C:C&gt;=$J$4,'领用录入（明细）'!C:C&lt;=$L$4),ROW(),"-")</f>
        <v>-</v>
      </c>
    </row>
    <row r="40328" customHeight="1" spans="2:2">
      <c r="B40328" s="62" t="str">
        <f>IF(AND('领用录入（明细）'!D:D=$F$4,'领用录入（明细）'!C:C&gt;=$J$4,'领用录入（明细）'!C:C&lt;=$L$4),ROW(),"-")</f>
        <v>-</v>
      </c>
    </row>
    <row r="40329" customHeight="1" spans="2:2">
      <c r="B40329" s="62" t="str">
        <f>IF(AND('领用录入（明细）'!D:D=$F$4,'领用录入（明细）'!C:C&gt;=$J$4,'领用录入（明细）'!C:C&lt;=$L$4),ROW(),"-")</f>
        <v>-</v>
      </c>
    </row>
    <row r="40330" customHeight="1" spans="2:2">
      <c r="B40330" s="62" t="str">
        <f>IF(AND('领用录入（明细）'!D:D=$F$4,'领用录入（明细）'!C:C&gt;=$J$4,'领用录入（明细）'!C:C&lt;=$L$4),ROW(),"-")</f>
        <v>-</v>
      </c>
    </row>
    <row r="40331" customHeight="1" spans="2:2">
      <c r="B40331" s="62" t="str">
        <f>IF(AND('领用录入（明细）'!D:D=$F$4,'领用录入（明细）'!C:C&gt;=$J$4,'领用录入（明细）'!C:C&lt;=$L$4),ROW(),"-")</f>
        <v>-</v>
      </c>
    </row>
    <row r="40332" customHeight="1" spans="2:2">
      <c r="B40332" s="62" t="str">
        <f>IF(AND('领用录入（明细）'!D:D=$F$4,'领用录入（明细）'!C:C&gt;=$J$4,'领用录入（明细）'!C:C&lt;=$L$4),ROW(),"-")</f>
        <v>-</v>
      </c>
    </row>
    <row r="40333" customHeight="1" spans="2:2">
      <c r="B40333" s="62" t="str">
        <f>IF(AND('领用录入（明细）'!D:D=$F$4,'领用录入（明细）'!C:C&gt;=$J$4,'领用录入（明细）'!C:C&lt;=$L$4),ROW(),"-")</f>
        <v>-</v>
      </c>
    </row>
    <row r="40334" customHeight="1" spans="2:2">
      <c r="B40334" s="62" t="str">
        <f>IF(AND('领用录入（明细）'!D:D=$F$4,'领用录入（明细）'!C:C&gt;=$J$4,'领用录入（明细）'!C:C&lt;=$L$4),ROW(),"-")</f>
        <v>-</v>
      </c>
    </row>
    <row r="40335" customHeight="1" spans="2:2">
      <c r="B40335" s="62" t="str">
        <f>IF(AND('领用录入（明细）'!D:D=$F$4,'领用录入（明细）'!C:C&gt;=$J$4,'领用录入（明细）'!C:C&lt;=$L$4),ROW(),"-")</f>
        <v>-</v>
      </c>
    </row>
    <row r="40336" customHeight="1" spans="2:2">
      <c r="B40336" s="62" t="str">
        <f>IF(AND('领用录入（明细）'!D:D=$F$4,'领用录入（明细）'!C:C&gt;=$J$4,'领用录入（明细）'!C:C&lt;=$L$4),ROW(),"-")</f>
        <v>-</v>
      </c>
    </row>
    <row r="40337" customHeight="1" spans="2:2">
      <c r="B40337" s="62" t="str">
        <f>IF(AND('领用录入（明细）'!D:D=$F$4,'领用录入（明细）'!C:C&gt;=$J$4,'领用录入（明细）'!C:C&lt;=$L$4),ROW(),"-")</f>
        <v>-</v>
      </c>
    </row>
    <row r="40338" customHeight="1" spans="2:2">
      <c r="B40338" s="62" t="str">
        <f>IF(AND('领用录入（明细）'!D:D=$F$4,'领用录入（明细）'!C:C&gt;=$J$4,'领用录入（明细）'!C:C&lt;=$L$4),ROW(),"-")</f>
        <v>-</v>
      </c>
    </row>
    <row r="40339" customHeight="1" spans="2:2">
      <c r="B40339" s="62" t="str">
        <f>IF(AND('领用录入（明细）'!D:D=$F$4,'领用录入（明细）'!C:C&gt;=$J$4,'领用录入（明细）'!C:C&lt;=$L$4),ROW(),"-")</f>
        <v>-</v>
      </c>
    </row>
    <row r="40340" customHeight="1" spans="2:2">
      <c r="B40340" s="62" t="str">
        <f>IF(AND('领用录入（明细）'!D:D=$F$4,'领用录入（明细）'!C:C&gt;=$J$4,'领用录入（明细）'!C:C&lt;=$L$4),ROW(),"-")</f>
        <v>-</v>
      </c>
    </row>
    <row r="40341" customHeight="1" spans="2:2">
      <c r="B40341" s="62" t="str">
        <f>IF(AND('领用录入（明细）'!D:D=$F$4,'领用录入（明细）'!C:C&gt;=$J$4,'领用录入（明细）'!C:C&lt;=$L$4),ROW(),"-")</f>
        <v>-</v>
      </c>
    </row>
    <row r="40342" customHeight="1" spans="2:2">
      <c r="B40342" s="62" t="str">
        <f>IF(AND('领用录入（明细）'!D:D=$F$4,'领用录入（明细）'!C:C&gt;=$J$4,'领用录入（明细）'!C:C&lt;=$L$4),ROW(),"-")</f>
        <v>-</v>
      </c>
    </row>
    <row r="40343" customHeight="1" spans="2:2">
      <c r="B40343" s="62" t="str">
        <f>IF(AND('领用录入（明细）'!D:D=$F$4,'领用录入（明细）'!C:C&gt;=$J$4,'领用录入（明细）'!C:C&lt;=$L$4),ROW(),"-")</f>
        <v>-</v>
      </c>
    </row>
    <row r="40344" customHeight="1" spans="2:2">
      <c r="B40344" s="62" t="str">
        <f>IF(AND('领用录入（明细）'!D:D=$F$4,'领用录入（明细）'!C:C&gt;=$J$4,'领用录入（明细）'!C:C&lt;=$L$4),ROW(),"-")</f>
        <v>-</v>
      </c>
    </row>
    <row r="40345" customHeight="1" spans="2:2">
      <c r="B40345" s="62" t="str">
        <f>IF(AND('领用录入（明细）'!D:D=$F$4,'领用录入（明细）'!C:C&gt;=$J$4,'领用录入（明细）'!C:C&lt;=$L$4),ROW(),"-")</f>
        <v>-</v>
      </c>
    </row>
    <row r="40346" customHeight="1" spans="2:2">
      <c r="B40346" s="62" t="str">
        <f>IF(AND('领用录入（明细）'!D:D=$F$4,'领用录入（明细）'!C:C&gt;=$J$4,'领用录入（明细）'!C:C&lt;=$L$4),ROW(),"-")</f>
        <v>-</v>
      </c>
    </row>
    <row r="40347" customHeight="1" spans="2:2">
      <c r="B40347" s="62" t="str">
        <f>IF(AND('领用录入（明细）'!D:D=$F$4,'领用录入（明细）'!C:C&gt;=$J$4,'领用录入（明细）'!C:C&lt;=$L$4),ROW(),"-")</f>
        <v>-</v>
      </c>
    </row>
    <row r="40348" customHeight="1" spans="2:2">
      <c r="B40348" s="62" t="str">
        <f>IF(AND('领用录入（明细）'!D:D=$F$4,'领用录入（明细）'!C:C&gt;=$J$4,'领用录入（明细）'!C:C&lt;=$L$4),ROW(),"-")</f>
        <v>-</v>
      </c>
    </row>
    <row r="40349" customHeight="1" spans="2:2">
      <c r="B40349" s="62" t="str">
        <f>IF(AND('领用录入（明细）'!D:D=$F$4,'领用录入（明细）'!C:C&gt;=$J$4,'领用录入（明细）'!C:C&lt;=$L$4),ROW(),"-")</f>
        <v>-</v>
      </c>
    </row>
    <row r="40350" customHeight="1" spans="2:2">
      <c r="B40350" s="62" t="str">
        <f>IF(AND('领用录入（明细）'!D:D=$F$4,'领用录入（明细）'!C:C&gt;=$J$4,'领用录入（明细）'!C:C&lt;=$L$4),ROW(),"-")</f>
        <v>-</v>
      </c>
    </row>
    <row r="40351" customHeight="1" spans="2:2">
      <c r="B40351" s="62" t="str">
        <f>IF(AND('领用录入（明细）'!D:D=$F$4,'领用录入（明细）'!C:C&gt;=$J$4,'领用录入（明细）'!C:C&lt;=$L$4),ROW(),"-")</f>
        <v>-</v>
      </c>
    </row>
    <row r="40352" customHeight="1" spans="2:2">
      <c r="B40352" s="62" t="str">
        <f>IF(AND('领用录入（明细）'!D:D=$F$4,'领用录入（明细）'!C:C&gt;=$J$4,'领用录入（明细）'!C:C&lt;=$L$4),ROW(),"-")</f>
        <v>-</v>
      </c>
    </row>
    <row r="40353" customHeight="1" spans="2:2">
      <c r="B40353" s="62" t="str">
        <f>IF(AND('领用录入（明细）'!D:D=$F$4,'领用录入（明细）'!C:C&gt;=$J$4,'领用录入（明细）'!C:C&lt;=$L$4),ROW(),"-")</f>
        <v>-</v>
      </c>
    </row>
    <row r="40354" customHeight="1" spans="2:2">
      <c r="B40354" s="62" t="str">
        <f>IF(AND('领用录入（明细）'!D:D=$F$4,'领用录入（明细）'!C:C&gt;=$J$4,'领用录入（明细）'!C:C&lt;=$L$4),ROW(),"-")</f>
        <v>-</v>
      </c>
    </row>
    <row r="40355" customHeight="1" spans="2:2">
      <c r="B40355" s="62" t="str">
        <f>IF(AND('领用录入（明细）'!D:D=$F$4,'领用录入（明细）'!C:C&gt;=$J$4,'领用录入（明细）'!C:C&lt;=$L$4),ROW(),"-")</f>
        <v>-</v>
      </c>
    </row>
    <row r="40356" customHeight="1" spans="2:2">
      <c r="B40356" s="62" t="str">
        <f>IF(AND('领用录入（明细）'!D:D=$F$4,'领用录入（明细）'!C:C&gt;=$J$4,'领用录入（明细）'!C:C&lt;=$L$4),ROW(),"-")</f>
        <v>-</v>
      </c>
    </row>
    <row r="40357" customHeight="1" spans="2:2">
      <c r="B40357" s="62" t="str">
        <f>IF(AND('领用录入（明细）'!D:D=$F$4,'领用录入（明细）'!C:C&gt;=$J$4,'领用录入（明细）'!C:C&lt;=$L$4),ROW(),"-")</f>
        <v>-</v>
      </c>
    </row>
    <row r="40358" customHeight="1" spans="2:2">
      <c r="B40358" s="62" t="str">
        <f>IF(AND('领用录入（明细）'!D:D=$F$4,'领用录入（明细）'!C:C&gt;=$J$4,'领用录入（明细）'!C:C&lt;=$L$4),ROW(),"-")</f>
        <v>-</v>
      </c>
    </row>
    <row r="40359" customHeight="1" spans="2:2">
      <c r="B40359" s="62" t="str">
        <f>IF(AND('领用录入（明细）'!D:D=$F$4,'领用录入（明细）'!C:C&gt;=$J$4,'领用录入（明细）'!C:C&lt;=$L$4),ROW(),"-")</f>
        <v>-</v>
      </c>
    </row>
    <row r="40360" customHeight="1" spans="2:2">
      <c r="B40360" s="62" t="str">
        <f>IF(AND('领用录入（明细）'!D:D=$F$4,'领用录入（明细）'!C:C&gt;=$J$4,'领用录入（明细）'!C:C&lt;=$L$4),ROW(),"-")</f>
        <v>-</v>
      </c>
    </row>
    <row r="40361" customHeight="1" spans="2:2">
      <c r="B40361" s="62" t="str">
        <f>IF(AND('领用录入（明细）'!D:D=$F$4,'领用录入（明细）'!C:C&gt;=$J$4,'领用录入（明细）'!C:C&lt;=$L$4),ROW(),"-")</f>
        <v>-</v>
      </c>
    </row>
    <row r="40362" customHeight="1" spans="2:2">
      <c r="B40362" s="62" t="str">
        <f>IF(AND('领用录入（明细）'!D:D=$F$4,'领用录入（明细）'!C:C&gt;=$J$4,'领用录入（明细）'!C:C&lt;=$L$4),ROW(),"-")</f>
        <v>-</v>
      </c>
    </row>
    <row r="40363" customHeight="1" spans="2:2">
      <c r="B40363" s="62" t="str">
        <f>IF(AND('领用录入（明细）'!D:D=$F$4,'领用录入（明细）'!C:C&gt;=$J$4,'领用录入（明细）'!C:C&lt;=$L$4),ROW(),"-")</f>
        <v>-</v>
      </c>
    </row>
    <row r="40364" customHeight="1" spans="2:2">
      <c r="B40364" s="62" t="str">
        <f>IF(AND('领用录入（明细）'!D:D=$F$4,'领用录入（明细）'!C:C&gt;=$J$4,'领用录入（明细）'!C:C&lt;=$L$4),ROW(),"-")</f>
        <v>-</v>
      </c>
    </row>
    <row r="40365" customHeight="1" spans="2:2">
      <c r="B40365" s="62" t="str">
        <f>IF(AND('领用录入（明细）'!D:D=$F$4,'领用录入（明细）'!C:C&gt;=$J$4,'领用录入（明细）'!C:C&lt;=$L$4),ROW(),"-")</f>
        <v>-</v>
      </c>
    </row>
    <row r="40366" customHeight="1" spans="2:2">
      <c r="B40366" s="62" t="str">
        <f>IF(AND('领用录入（明细）'!D:D=$F$4,'领用录入（明细）'!C:C&gt;=$J$4,'领用录入（明细）'!C:C&lt;=$L$4),ROW(),"-")</f>
        <v>-</v>
      </c>
    </row>
    <row r="40367" customHeight="1" spans="2:2">
      <c r="B40367" s="62" t="str">
        <f>IF(AND('领用录入（明细）'!D:D=$F$4,'领用录入（明细）'!C:C&gt;=$J$4,'领用录入（明细）'!C:C&lt;=$L$4),ROW(),"-")</f>
        <v>-</v>
      </c>
    </row>
    <row r="40368" customHeight="1" spans="2:2">
      <c r="B40368" s="62" t="str">
        <f>IF(AND('领用录入（明细）'!D:D=$F$4,'领用录入（明细）'!C:C&gt;=$J$4,'领用录入（明细）'!C:C&lt;=$L$4),ROW(),"-")</f>
        <v>-</v>
      </c>
    </row>
    <row r="40369" customHeight="1" spans="2:2">
      <c r="B40369" s="62" t="str">
        <f>IF(AND('领用录入（明细）'!D:D=$F$4,'领用录入（明细）'!C:C&gt;=$J$4,'领用录入（明细）'!C:C&lt;=$L$4),ROW(),"-")</f>
        <v>-</v>
      </c>
    </row>
    <row r="40370" customHeight="1" spans="2:2">
      <c r="B40370" s="62" t="str">
        <f>IF(AND('领用录入（明细）'!D:D=$F$4,'领用录入（明细）'!C:C&gt;=$J$4,'领用录入（明细）'!C:C&lt;=$L$4),ROW(),"-")</f>
        <v>-</v>
      </c>
    </row>
    <row r="40371" customHeight="1" spans="2:2">
      <c r="B40371" s="62" t="str">
        <f>IF(AND('领用录入（明细）'!D:D=$F$4,'领用录入（明细）'!C:C&gt;=$J$4,'领用录入（明细）'!C:C&lt;=$L$4),ROW(),"-")</f>
        <v>-</v>
      </c>
    </row>
    <row r="40372" customHeight="1" spans="2:2">
      <c r="B40372" s="62" t="str">
        <f>IF(AND('领用录入（明细）'!D:D=$F$4,'领用录入（明细）'!C:C&gt;=$J$4,'领用录入（明细）'!C:C&lt;=$L$4),ROW(),"-")</f>
        <v>-</v>
      </c>
    </row>
    <row r="40373" customHeight="1" spans="2:2">
      <c r="B40373" s="62" t="str">
        <f>IF(AND('领用录入（明细）'!D:D=$F$4,'领用录入（明细）'!C:C&gt;=$J$4,'领用录入（明细）'!C:C&lt;=$L$4),ROW(),"-")</f>
        <v>-</v>
      </c>
    </row>
    <row r="40374" customHeight="1" spans="2:2">
      <c r="B40374" s="62" t="str">
        <f>IF(AND('领用录入（明细）'!D:D=$F$4,'领用录入（明细）'!C:C&gt;=$J$4,'领用录入（明细）'!C:C&lt;=$L$4),ROW(),"-")</f>
        <v>-</v>
      </c>
    </row>
    <row r="40375" customHeight="1" spans="2:2">
      <c r="B40375" s="62" t="str">
        <f>IF(AND('领用录入（明细）'!D:D=$F$4,'领用录入（明细）'!C:C&gt;=$J$4,'领用录入（明细）'!C:C&lt;=$L$4),ROW(),"-")</f>
        <v>-</v>
      </c>
    </row>
    <row r="40376" customHeight="1" spans="2:2">
      <c r="B40376" s="62" t="str">
        <f>IF(AND('领用录入（明细）'!D:D=$F$4,'领用录入（明细）'!C:C&gt;=$J$4,'领用录入（明细）'!C:C&lt;=$L$4),ROW(),"-")</f>
        <v>-</v>
      </c>
    </row>
    <row r="40377" customHeight="1" spans="2:2">
      <c r="B40377" s="62" t="str">
        <f>IF(AND('领用录入（明细）'!D:D=$F$4,'领用录入（明细）'!C:C&gt;=$J$4,'领用录入（明细）'!C:C&lt;=$L$4),ROW(),"-")</f>
        <v>-</v>
      </c>
    </row>
    <row r="40378" customHeight="1" spans="2:2">
      <c r="B40378" s="62" t="str">
        <f>IF(AND('领用录入（明细）'!D:D=$F$4,'领用录入（明细）'!C:C&gt;=$J$4,'领用录入（明细）'!C:C&lt;=$L$4),ROW(),"-")</f>
        <v>-</v>
      </c>
    </row>
    <row r="40379" customHeight="1" spans="2:2">
      <c r="B40379" s="62" t="str">
        <f>IF(AND('领用录入（明细）'!D:D=$F$4,'领用录入（明细）'!C:C&gt;=$J$4,'领用录入（明细）'!C:C&lt;=$L$4),ROW(),"-")</f>
        <v>-</v>
      </c>
    </row>
    <row r="40380" customHeight="1" spans="2:2">
      <c r="B40380" s="62" t="str">
        <f>IF(AND('领用录入（明细）'!D:D=$F$4,'领用录入（明细）'!C:C&gt;=$J$4,'领用录入（明细）'!C:C&lt;=$L$4),ROW(),"-")</f>
        <v>-</v>
      </c>
    </row>
    <row r="40381" customHeight="1" spans="2:2">
      <c r="B40381" s="62" t="str">
        <f>IF(AND('领用录入（明细）'!D:D=$F$4,'领用录入（明细）'!C:C&gt;=$J$4,'领用录入（明细）'!C:C&lt;=$L$4),ROW(),"-")</f>
        <v>-</v>
      </c>
    </row>
    <row r="40382" customHeight="1" spans="2:2">
      <c r="B40382" s="62" t="str">
        <f>IF(AND('领用录入（明细）'!D:D=$F$4,'领用录入（明细）'!C:C&gt;=$J$4,'领用录入（明细）'!C:C&lt;=$L$4),ROW(),"-")</f>
        <v>-</v>
      </c>
    </row>
    <row r="40383" customHeight="1" spans="2:2">
      <c r="B40383" s="62" t="str">
        <f>IF(AND('领用录入（明细）'!D:D=$F$4,'领用录入（明细）'!C:C&gt;=$J$4,'领用录入（明细）'!C:C&lt;=$L$4),ROW(),"-")</f>
        <v>-</v>
      </c>
    </row>
    <row r="40384" customHeight="1" spans="2:2">
      <c r="B40384" s="62" t="str">
        <f>IF(AND('领用录入（明细）'!D:D=$F$4,'领用录入（明细）'!C:C&gt;=$J$4,'领用录入（明细）'!C:C&lt;=$L$4),ROW(),"-")</f>
        <v>-</v>
      </c>
    </row>
    <row r="40385" customHeight="1" spans="2:2">
      <c r="B40385" s="62" t="str">
        <f>IF(AND('领用录入（明细）'!D:D=$F$4,'领用录入（明细）'!C:C&gt;=$J$4,'领用录入（明细）'!C:C&lt;=$L$4),ROW(),"-")</f>
        <v>-</v>
      </c>
    </row>
    <row r="40386" customHeight="1" spans="2:2">
      <c r="B40386" s="62" t="str">
        <f>IF(AND('领用录入（明细）'!D:D=$F$4,'领用录入（明细）'!C:C&gt;=$J$4,'领用录入（明细）'!C:C&lt;=$L$4),ROW(),"-")</f>
        <v>-</v>
      </c>
    </row>
    <row r="40387" customHeight="1" spans="2:2">
      <c r="B40387" s="62" t="str">
        <f>IF(AND('领用录入（明细）'!D:D=$F$4,'领用录入（明细）'!C:C&gt;=$J$4,'领用录入（明细）'!C:C&lt;=$L$4),ROW(),"-")</f>
        <v>-</v>
      </c>
    </row>
    <row r="40388" customHeight="1" spans="2:2">
      <c r="B40388" s="62" t="str">
        <f>IF(AND('领用录入（明细）'!D:D=$F$4,'领用录入（明细）'!C:C&gt;=$J$4,'领用录入（明细）'!C:C&lt;=$L$4),ROW(),"-")</f>
        <v>-</v>
      </c>
    </row>
    <row r="40389" customHeight="1" spans="2:2">
      <c r="B40389" s="62" t="str">
        <f>IF(AND('领用录入（明细）'!D:D=$F$4,'领用录入（明细）'!C:C&gt;=$J$4,'领用录入（明细）'!C:C&lt;=$L$4),ROW(),"-")</f>
        <v>-</v>
      </c>
    </row>
    <row r="40390" customHeight="1" spans="2:2">
      <c r="B40390" s="62" t="str">
        <f>IF(AND('领用录入（明细）'!D:D=$F$4,'领用录入（明细）'!C:C&gt;=$J$4,'领用录入（明细）'!C:C&lt;=$L$4),ROW(),"-")</f>
        <v>-</v>
      </c>
    </row>
    <row r="40391" customHeight="1" spans="2:2">
      <c r="B40391" s="62" t="str">
        <f>IF(AND('领用录入（明细）'!D:D=$F$4,'领用录入（明细）'!C:C&gt;=$J$4,'领用录入（明细）'!C:C&lt;=$L$4),ROW(),"-")</f>
        <v>-</v>
      </c>
    </row>
    <row r="40392" customHeight="1" spans="2:2">
      <c r="B40392" s="62" t="str">
        <f>IF(AND('领用录入（明细）'!D:D=$F$4,'领用录入（明细）'!C:C&gt;=$J$4,'领用录入（明细）'!C:C&lt;=$L$4),ROW(),"-")</f>
        <v>-</v>
      </c>
    </row>
    <row r="40393" customHeight="1" spans="2:2">
      <c r="B40393" s="62" t="str">
        <f>IF(AND('领用录入（明细）'!D:D=$F$4,'领用录入（明细）'!C:C&gt;=$J$4,'领用录入（明细）'!C:C&lt;=$L$4),ROW(),"-")</f>
        <v>-</v>
      </c>
    </row>
    <row r="40394" customHeight="1" spans="2:2">
      <c r="B40394" s="62" t="str">
        <f>IF(AND('领用录入（明细）'!D:D=$F$4,'领用录入（明细）'!C:C&gt;=$J$4,'领用录入（明细）'!C:C&lt;=$L$4),ROW(),"-")</f>
        <v>-</v>
      </c>
    </row>
    <row r="40395" customHeight="1" spans="2:2">
      <c r="B40395" s="62" t="str">
        <f>IF(AND('领用录入（明细）'!D:D=$F$4,'领用录入（明细）'!C:C&gt;=$J$4,'领用录入（明细）'!C:C&lt;=$L$4),ROW(),"-")</f>
        <v>-</v>
      </c>
    </row>
    <row r="40396" customHeight="1" spans="2:2">
      <c r="B40396" s="62" t="str">
        <f>IF(AND('领用录入（明细）'!D:D=$F$4,'领用录入（明细）'!C:C&gt;=$J$4,'领用录入（明细）'!C:C&lt;=$L$4),ROW(),"-")</f>
        <v>-</v>
      </c>
    </row>
    <row r="40397" customHeight="1" spans="2:2">
      <c r="B40397" s="62" t="str">
        <f>IF(AND('领用录入（明细）'!D:D=$F$4,'领用录入（明细）'!C:C&gt;=$J$4,'领用录入（明细）'!C:C&lt;=$L$4),ROW(),"-")</f>
        <v>-</v>
      </c>
    </row>
    <row r="40398" customHeight="1" spans="2:2">
      <c r="B40398" s="62" t="str">
        <f>IF(AND('领用录入（明细）'!D:D=$F$4,'领用录入（明细）'!C:C&gt;=$J$4,'领用录入（明细）'!C:C&lt;=$L$4),ROW(),"-")</f>
        <v>-</v>
      </c>
    </row>
    <row r="40399" customHeight="1" spans="2:2">
      <c r="B40399" s="62" t="str">
        <f>IF(AND('领用录入（明细）'!D:D=$F$4,'领用录入（明细）'!C:C&gt;=$J$4,'领用录入（明细）'!C:C&lt;=$L$4),ROW(),"-")</f>
        <v>-</v>
      </c>
    </row>
    <row r="40400" customHeight="1" spans="2:2">
      <c r="B40400" s="62" t="str">
        <f>IF(AND('领用录入（明细）'!D:D=$F$4,'领用录入（明细）'!C:C&gt;=$J$4,'领用录入（明细）'!C:C&lt;=$L$4),ROW(),"-")</f>
        <v>-</v>
      </c>
    </row>
    <row r="40401" customHeight="1" spans="2:2">
      <c r="B40401" s="62" t="str">
        <f>IF(AND('领用录入（明细）'!D:D=$F$4,'领用录入（明细）'!C:C&gt;=$J$4,'领用录入（明细）'!C:C&lt;=$L$4),ROW(),"-")</f>
        <v>-</v>
      </c>
    </row>
    <row r="40402" customHeight="1" spans="2:2">
      <c r="B40402" s="62" t="str">
        <f>IF(AND('领用录入（明细）'!D:D=$F$4,'领用录入（明细）'!C:C&gt;=$J$4,'领用录入（明细）'!C:C&lt;=$L$4),ROW(),"-")</f>
        <v>-</v>
      </c>
    </row>
    <row r="40403" customHeight="1" spans="2:2">
      <c r="B40403" s="62" t="str">
        <f>IF(AND('领用录入（明细）'!D:D=$F$4,'领用录入（明细）'!C:C&gt;=$J$4,'领用录入（明细）'!C:C&lt;=$L$4),ROW(),"-")</f>
        <v>-</v>
      </c>
    </row>
    <row r="40404" customHeight="1" spans="2:2">
      <c r="B40404" s="62" t="str">
        <f>IF(AND('领用录入（明细）'!D:D=$F$4,'领用录入（明细）'!C:C&gt;=$J$4,'领用录入（明细）'!C:C&lt;=$L$4),ROW(),"-")</f>
        <v>-</v>
      </c>
    </row>
    <row r="40405" customHeight="1" spans="2:2">
      <c r="B40405" s="62" t="str">
        <f>IF(AND('领用录入（明细）'!D:D=$F$4,'领用录入（明细）'!C:C&gt;=$J$4,'领用录入（明细）'!C:C&lt;=$L$4),ROW(),"-")</f>
        <v>-</v>
      </c>
    </row>
    <row r="40406" customHeight="1" spans="2:2">
      <c r="B40406" s="62" t="str">
        <f>IF(AND('领用录入（明细）'!D:D=$F$4,'领用录入（明细）'!C:C&gt;=$J$4,'领用录入（明细）'!C:C&lt;=$L$4),ROW(),"-")</f>
        <v>-</v>
      </c>
    </row>
    <row r="40407" customHeight="1" spans="2:2">
      <c r="B40407" s="62" t="str">
        <f>IF(AND('领用录入（明细）'!D:D=$F$4,'领用录入（明细）'!C:C&gt;=$J$4,'领用录入（明细）'!C:C&lt;=$L$4),ROW(),"-")</f>
        <v>-</v>
      </c>
    </row>
    <row r="40408" customHeight="1" spans="2:2">
      <c r="B40408" s="62" t="str">
        <f>IF(AND('领用录入（明细）'!D:D=$F$4,'领用录入（明细）'!C:C&gt;=$J$4,'领用录入（明细）'!C:C&lt;=$L$4),ROW(),"-")</f>
        <v>-</v>
      </c>
    </row>
    <row r="40409" customHeight="1" spans="2:2">
      <c r="B40409" s="62" t="str">
        <f>IF(AND('领用录入（明细）'!D:D=$F$4,'领用录入（明细）'!C:C&gt;=$J$4,'领用录入（明细）'!C:C&lt;=$L$4),ROW(),"-")</f>
        <v>-</v>
      </c>
    </row>
    <row r="40410" customHeight="1" spans="2:2">
      <c r="B40410" s="62" t="str">
        <f>IF(AND('领用录入（明细）'!D:D=$F$4,'领用录入（明细）'!C:C&gt;=$J$4,'领用录入（明细）'!C:C&lt;=$L$4),ROW(),"-")</f>
        <v>-</v>
      </c>
    </row>
    <row r="40411" customHeight="1" spans="2:2">
      <c r="B40411" s="62" t="str">
        <f>IF(AND('领用录入（明细）'!D:D=$F$4,'领用录入（明细）'!C:C&gt;=$J$4,'领用录入（明细）'!C:C&lt;=$L$4),ROW(),"-")</f>
        <v>-</v>
      </c>
    </row>
    <row r="40412" customHeight="1" spans="2:2">
      <c r="B40412" s="62" t="str">
        <f>IF(AND('领用录入（明细）'!D:D=$F$4,'领用录入（明细）'!C:C&gt;=$J$4,'领用录入（明细）'!C:C&lt;=$L$4),ROW(),"-")</f>
        <v>-</v>
      </c>
    </row>
    <row r="40413" customHeight="1" spans="2:2">
      <c r="B40413" s="62" t="str">
        <f>IF(AND('领用录入（明细）'!D:D=$F$4,'领用录入（明细）'!C:C&gt;=$J$4,'领用录入（明细）'!C:C&lt;=$L$4),ROW(),"-")</f>
        <v>-</v>
      </c>
    </row>
    <row r="40414" customHeight="1" spans="2:2">
      <c r="B40414" s="62" t="str">
        <f>IF(AND('领用录入（明细）'!D:D=$F$4,'领用录入（明细）'!C:C&gt;=$J$4,'领用录入（明细）'!C:C&lt;=$L$4),ROW(),"-")</f>
        <v>-</v>
      </c>
    </row>
    <row r="40415" customHeight="1" spans="2:2">
      <c r="B40415" s="62" t="str">
        <f>IF(AND('领用录入（明细）'!D:D=$F$4,'领用录入（明细）'!C:C&gt;=$J$4,'领用录入（明细）'!C:C&lt;=$L$4),ROW(),"-")</f>
        <v>-</v>
      </c>
    </row>
    <row r="40416" customHeight="1" spans="2:2">
      <c r="B40416" s="62" t="str">
        <f>IF(AND('领用录入（明细）'!D:D=$F$4,'领用录入（明细）'!C:C&gt;=$J$4,'领用录入（明细）'!C:C&lt;=$L$4),ROW(),"-")</f>
        <v>-</v>
      </c>
    </row>
    <row r="40417" customHeight="1" spans="2:2">
      <c r="B40417" s="62" t="str">
        <f>IF(AND('领用录入（明细）'!D:D=$F$4,'领用录入（明细）'!C:C&gt;=$J$4,'领用录入（明细）'!C:C&lt;=$L$4),ROW(),"-")</f>
        <v>-</v>
      </c>
    </row>
    <row r="40418" customHeight="1" spans="2:2">
      <c r="B40418" s="62" t="str">
        <f>IF(AND('领用录入（明细）'!D:D=$F$4,'领用录入（明细）'!C:C&gt;=$J$4,'领用录入（明细）'!C:C&lt;=$L$4),ROW(),"-")</f>
        <v>-</v>
      </c>
    </row>
    <row r="40419" customHeight="1" spans="2:2">
      <c r="B40419" s="62" t="str">
        <f>IF(AND('领用录入（明细）'!D:D=$F$4,'领用录入（明细）'!C:C&gt;=$J$4,'领用录入（明细）'!C:C&lt;=$L$4),ROW(),"-")</f>
        <v>-</v>
      </c>
    </row>
    <row r="40420" customHeight="1" spans="2:2">
      <c r="B40420" s="62" t="str">
        <f>IF(AND('领用录入（明细）'!D:D=$F$4,'领用录入（明细）'!C:C&gt;=$J$4,'领用录入（明细）'!C:C&lt;=$L$4),ROW(),"-")</f>
        <v>-</v>
      </c>
    </row>
    <row r="40421" customHeight="1" spans="2:2">
      <c r="B40421" s="62" t="str">
        <f>IF(AND('领用录入（明细）'!D:D=$F$4,'领用录入（明细）'!C:C&gt;=$J$4,'领用录入（明细）'!C:C&lt;=$L$4),ROW(),"-")</f>
        <v>-</v>
      </c>
    </row>
    <row r="40422" customHeight="1" spans="2:2">
      <c r="B40422" s="62" t="str">
        <f>IF(AND('领用录入（明细）'!D:D=$F$4,'领用录入（明细）'!C:C&gt;=$J$4,'领用录入（明细）'!C:C&lt;=$L$4),ROW(),"-")</f>
        <v>-</v>
      </c>
    </row>
    <row r="40423" customHeight="1" spans="2:2">
      <c r="B40423" s="62" t="str">
        <f>IF(AND('领用录入（明细）'!D:D=$F$4,'领用录入（明细）'!C:C&gt;=$J$4,'领用录入（明细）'!C:C&lt;=$L$4),ROW(),"-")</f>
        <v>-</v>
      </c>
    </row>
    <row r="40424" customHeight="1" spans="2:2">
      <c r="B40424" s="62" t="str">
        <f>IF(AND('领用录入（明细）'!D:D=$F$4,'领用录入（明细）'!C:C&gt;=$J$4,'领用录入（明细）'!C:C&lt;=$L$4),ROW(),"-")</f>
        <v>-</v>
      </c>
    </row>
    <row r="40425" customHeight="1" spans="2:2">
      <c r="B40425" s="62" t="str">
        <f>IF(AND('领用录入（明细）'!D:D=$F$4,'领用录入（明细）'!C:C&gt;=$J$4,'领用录入（明细）'!C:C&lt;=$L$4),ROW(),"-")</f>
        <v>-</v>
      </c>
    </row>
    <row r="40426" customHeight="1" spans="2:2">
      <c r="B40426" s="62" t="str">
        <f>IF(AND('领用录入（明细）'!D:D=$F$4,'领用录入（明细）'!C:C&gt;=$J$4,'领用录入（明细）'!C:C&lt;=$L$4),ROW(),"-")</f>
        <v>-</v>
      </c>
    </row>
    <row r="40427" customHeight="1" spans="2:2">
      <c r="B40427" s="62" t="str">
        <f>IF(AND('领用录入（明细）'!D:D=$F$4,'领用录入（明细）'!C:C&gt;=$J$4,'领用录入（明细）'!C:C&lt;=$L$4),ROW(),"-")</f>
        <v>-</v>
      </c>
    </row>
    <row r="40428" customHeight="1" spans="2:2">
      <c r="B40428" s="62" t="str">
        <f>IF(AND('领用录入（明细）'!D:D=$F$4,'领用录入（明细）'!C:C&gt;=$J$4,'领用录入（明细）'!C:C&lt;=$L$4),ROW(),"-")</f>
        <v>-</v>
      </c>
    </row>
    <row r="40429" customHeight="1" spans="2:2">
      <c r="B40429" s="62" t="str">
        <f>IF(AND('领用录入（明细）'!D:D=$F$4,'领用录入（明细）'!C:C&gt;=$J$4,'领用录入（明细）'!C:C&lt;=$L$4),ROW(),"-")</f>
        <v>-</v>
      </c>
    </row>
    <row r="40430" customHeight="1" spans="2:2">
      <c r="B40430" s="62" t="str">
        <f>IF(AND('领用录入（明细）'!D:D=$F$4,'领用录入（明细）'!C:C&gt;=$J$4,'领用录入（明细）'!C:C&lt;=$L$4),ROW(),"-")</f>
        <v>-</v>
      </c>
    </row>
    <row r="40431" customHeight="1" spans="2:2">
      <c r="B40431" s="62" t="str">
        <f>IF(AND('领用录入（明细）'!D:D=$F$4,'领用录入（明细）'!C:C&gt;=$J$4,'领用录入（明细）'!C:C&lt;=$L$4),ROW(),"-")</f>
        <v>-</v>
      </c>
    </row>
    <row r="40432" customHeight="1" spans="2:2">
      <c r="B40432" s="62" t="str">
        <f>IF(AND('领用录入（明细）'!D:D=$F$4,'领用录入（明细）'!C:C&gt;=$J$4,'领用录入（明细）'!C:C&lt;=$L$4),ROW(),"-")</f>
        <v>-</v>
      </c>
    </row>
    <row r="40433" customHeight="1" spans="2:2">
      <c r="B40433" s="62" t="str">
        <f>IF(AND('领用录入（明细）'!D:D=$F$4,'领用录入（明细）'!C:C&gt;=$J$4,'领用录入（明细）'!C:C&lt;=$L$4),ROW(),"-")</f>
        <v>-</v>
      </c>
    </row>
    <row r="40434" customHeight="1" spans="2:2">
      <c r="B40434" s="62" t="str">
        <f>IF(AND('领用录入（明细）'!D:D=$F$4,'领用录入（明细）'!C:C&gt;=$J$4,'领用录入（明细）'!C:C&lt;=$L$4),ROW(),"-")</f>
        <v>-</v>
      </c>
    </row>
    <row r="40435" customHeight="1" spans="2:2">
      <c r="B40435" s="62" t="str">
        <f>IF(AND('领用录入（明细）'!D:D=$F$4,'领用录入（明细）'!C:C&gt;=$J$4,'领用录入（明细）'!C:C&lt;=$L$4),ROW(),"-")</f>
        <v>-</v>
      </c>
    </row>
    <row r="40436" customHeight="1" spans="2:2">
      <c r="B40436" s="62" t="str">
        <f>IF(AND('领用录入（明细）'!D:D=$F$4,'领用录入（明细）'!C:C&gt;=$J$4,'领用录入（明细）'!C:C&lt;=$L$4),ROW(),"-")</f>
        <v>-</v>
      </c>
    </row>
    <row r="40437" customHeight="1" spans="2:2">
      <c r="B40437" s="62" t="str">
        <f>IF(AND('领用录入（明细）'!D:D=$F$4,'领用录入（明细）'!C:C&gt;=$J$4,'领用录入（明细）'!C:C&lt;=$L$4),ROW(),"-")</f>
        <v>-</v>
      </c>
    </row>
    <row r="40438" customHeight="1" spans="2:2">
      <c r="B40438" s="62" t="str">
        <f>IF(AND('领用录入（明细）'!D:D=$F$4,'领用录入（明细）'!C:C&gt;=$J$4,'领用录入（明细）'!C:C&lt;=$L$4),ROW(),"-")</f>
        <v>-</v>
      </c>
    </row>
    <row r="40439" customHeight="1" spans="2:2">
      <c r="B40439" s="62" t="str">
        <f>IF(AND('领用录入（明细）'!D:D=$F$4,'领用录入（明细）'!C:C&gt;=$J$4,'领用录入（明细）'!C:C&lt;=$L$4),ROW(),"-")</f>
        <v>-</v>
      </c>
    </row>
    <row r="40440" customHeight="1" spans="2:2">
      <c r="B40440" s="62" t="str">
        <f>IF(AND('领用录入（明细）'!D:D=$F$4,'领用录入（明细）'!C:C&gt;=$J$4,'领用录入（明细）'!C:C&lt;=$L$4),ROW(),"-")</f>
        <v>-</v>
      </c>
    </row>
    <row r="40441" customHeight="1" spans="2:2">
      <c r="B40441" s="62" t="str">
        <f>IF(AND('领用录入（明细）'!D:D=$F$4,'领用录入（明细）'!C:C&gt;=$J$4,'领用录入（明细）'!C:C&lt;=$L$4),ROW(),"-")</f>
        <v>-</v>
      </c>
    </row>
    <row r="40442" customHeight="1" spans="2:2">
      <c r="B40442" s="62" t="str">
        <f>IF(AND('领用录入（明细）'!D:D=$F$4,'领用录入（明细）'!C:C&gt;=$J$4,'领用录入（明细）'!C:C&lt;=$L$4),ROW(),"-")</f>
        <v>-</v>
      </c>
    </row>
    <row r="40443" customHeight="1" spans="2:2">
      <c r="B40443" s="62" t="str">
        <f>IF(AND('领用录入（明细）'!D:D=$F$4,'领用录入（明细）'!C:C&gt;=$J$4,'领用录入（明细）'!C:C&lt;=$L$4),ROW(),"-")</f>
        <v>-</v>
      </c>
    </row>
    <row r="40444" customHeight="1" spans="2:2">
      <c r="B40444" s="62" t="str">
        <f>IF(AND('领用录入（明细）'!D:D=$F$4,'领用录入（明细）'!C:C&gt;=$J$4,'领用录入（明细）'!C:C&lt;=$L$4),ROW(),"-")</f>
        <v>-</v>
      </c>
    </row>
    <row r="40445" customHeight="1" spans="2:2">
      <c r="B40445" s="62" t="str">
        <f>IF(AND('领用录入（明细）'!D:D=$F$4,'领用录入（明细）'!C:C&gt;=$J$4,'领用录入（明细）'!C:C&lt;=$L$4),ROW(),"-")</f>
        <v>-</v>
      </c>
    </row>
    <row r="40446" customHeight="1" spans="2:2">
      <c r="B40446" s="62" t="str">
        <f>IF(AND('领用录入（明细）'!D:D=$F$4,'领用录入（明细）'!C:C&gt;=$J$4,'领用录入（明细）'!C:C&lt;=$L$4),ROW(),"-")</f>
        <v>-</v>
      </c>
    </row>
    <row r="40447" customHeight="1" spans="2:2">
      <c r="B40447" s="62" t="str">
        <f>IF(AND('领用录入（明细）'!D:D=$F$4,'领用录入（明细）'!C:C&gt;=$J$4,'领用录入（明细）'!C:C&lt;=$L$4),ROW(),"-")</f>
        <v>-</v>
      </c>
    </row>
    <row r="40448" customHeight="1" spans="2:2">
      <c r="B40448" s="62" t="str">
        <f>IF(AND('领用录入（明细）'!D:D=$F$4,'领用录入（明细）'!C:C&gt;=$J$4,'领用录入（明细）'!C:C&lt;=$L$4),ROW(),"-")</f>
        <v>-</v>
      </c>
    </row>
    <row r="40449" customHeight="1" spans="2:2">
      <c r="B40449" s="62" t="str">
        <f>IF(AND('领用录入（明细）'!D:D=$F$4,'领用录入（明细）'!C:C&gt;=$J$4,'领用录入（明细）'!C:C&lt;=$L$4),ROW(),"-")</f>
        <v>-</v>
      </c>
    </row>
    <row r="40450" customHeight="1" spans="2:2">
      <c r="B40450" s="62" t="str">
        <f>IF(AND('领用录入（明细）'!D:D=$F$4,'领用录入（明细）'!C:C&gt;=$J$4,'领用录入（明细）'!C:C&lt;=$L$4),ROW(),"-")</f>
        <v>-</v>
      </c>
    </row>
    <row r="40451" customHeight="1" spans="2:2">
      <c r="B40451" s="62" t="str">
        <f>IF(AND('领用录入（明细）'!D:D=$F$4,'领用录入（明细）'!C:C&gt;=$J$4,'领用录入（明细）'!C:C&lt;=$L$4),ROW(),"-")</f>
        <v>-</v>
      </c>
    </row>
    <row r="40452" customHeight="1" spans="2:2">
      <c r="B40452" s="62" t="str">
        <f>IF(AND('领用录入（明细）'!D:D=$F$4,'领用录入（明细）'!C:C&gt;=$J$4,'领用录入（明细）'!C:C&lt;=$L$4),ROW(),"-")</f>
        <v>-</v>
      </c>
    </row>
    <row r="40453" customHeight="1" spans="2:2">
      <c r="B40453" s="62" t="str">
        <f>IF(AND('领用录入（明细）'!D:D=$F$4,'领用录入（明细）'!C:C&gt;=$J$4,'领用录入（明细）'!C:C&lt;=$L$4),ROW(),"-")</f>
        <v>-</v>
      </c>
    </row>
    <row r="40454" customHeight="1" spans="2:2">
      <c r="B40454" s="62" t="str">
        <f>IF(AND('领用录入（明细）'!D:D=$F$4,'领用录入（明细）'!C:C&gt;=$J$4,'领用录入（明细）'!C:C&lt;=$L$4),ROW(),"-")</f>
        <v>-</v>
      </c>
    </row>
    <row r="40455" customHeight="1" spans="2:2">
      <c r="B40455" s="62" t="str">
        <f>IF(AND('领用录入（明细）'!D:D=$F$4,'领用录入（明细）'!C:C&gt;=$J$4,'领用录入（明细）'!C:C&lt;=$L$4),ROW(),"-")</f>
        <v>-</v>
      </c>
    </row>
    <row r="40456" customHeight="1" spans="2:2">
      <c r="B40456" s="62" t="str">
        <f>IF(AND('领用录入（明细）'!D:D=$F$4,'领用录入（明细）'!C:C&gt;=$J$4,'领用录入（明细）'!C:C&lt;=$L$4),ROW(),"-")</f>
        <v>-</v>
      </c>
    </row>
    <row r="40457" customHeight="1" spans="2:2">
      <c r="B40457" s="62" t="str">
        <f>IF(AND('领用录入（明细）'!D:D=$F$4,'领用录入（明细）'!C:C&gt;=$J$4,'领用录入（明细）'!C:C&lt;=$L$4),ROW(),"-")</f>
        <v>-</v>
      </c>
    </row>
    <row r="40458" customHeight="1" spans="2:2">
      <c r="B40458" s="62" t="str">
        <f>IF(AND('领用录入（明细）'!D:D=$F$4,'领用录入（明细）'!C:C&gt;=$J$4,'领用录入（明细）'!C:C&lt;=$L$4),ROW(),"-")</f>
        <v>-</v>
      </c>
    </row>
    <row r="40459" customHeight="1" spans="2:2">
      <c r="B40459" s="62" t="str">
        <f>IF(AND('领用录入（明细）'!D:D=$F$4,'领用录入（明细）'!C:C&gt;=$J$4,'领用录入（明细）'!C:C&lt;=$L$4),ROW(),"-")</f>
        <v>-</v>
      </c>
    </row>
    <row r="40460" customHeight="1" spans="2:2">
      <c r="B40460" s="62" t="str">
        <f>IF(AND('领用录入（明细）'!D:D=$F$4,'领用录入（明细）'!C:C&gt;=$J$4,'领用录入（明细）'!C:C&lt;=$L$4),ROW(),"-")</f>
        <v>-</v>
      </c>
    </row>
    <row r="40461" customHeight="1" spans="2:2">
      <c r="B40461" s="62" t="str">
        <f>IF(AND('领用录入（明细）'!D:D=$F$4,'领用录入（明细）'!C:C&gt;=$J$4,'领用录入（明细）'!C:C&lt;=$L$4),ROW(),"-")</f>
        <v>-</v>
      </c>
    </row>
    <row r="40462" customHeight="1" spans="2:2">
      <c r="B40462" s="62" t="str">
        <f>IF(AND('领用录入（明细）'!D:D=$F$4,'领用录入（明细）'!C:C&gt;=$J$4,'领用录入（明细）'!C:C&lt;=$L$4),ROW(),"-")</f>
        <v>-</v>
      </c>
    </row>
    <row r="40463" customHeight="1" spans="2:2">
      <c r="B40463" s="62" t="str">
        <f>IF(AND('领用录入（明细）'!D:D=$F$4,'领用录入（明细）'!C:C&gt;=$J$4,'领用录入（明细）'!C:C&lt;=$L$4),ROW(),"-")</f>
        <v>-</v>
      </c>
    </row>
    <row r="40464" customHeight="1" spans="2:2">
      <c r="B40464" s="62" t="str">
        <f>IF(AND('领用录入（明细）'!D:D=$F$4,'领用录入（明细）'!C:C&gt;=$J$4,'领用录入（明细）'!C:C&lt;=$L$4),ROW(),"-")</f>
        <v>-</v>
      </c>
    </row>
    <row r="40465" customHeight="1" spans="2:2">
      <c r="B40465" s="62" t="str">
        <f>IF(AND('领用录入（明细）'!D:D=$F$4,'领用录入（明细）'!C:C&gt;=$J$4,'领用录入（明细）'!C:C&lt;=$L$4),ROW(),"-")</f>
        <v>-</v>
      </c>
    </row>
    <row r="40466" customHeight="1" spans="2:2">
      <c r="B40466" s="62" t="str">
        <f>IF(AND('领用录入（明细）'!D:D=$F$4,'领用录入（明细）'!C:C&gt;=$J$4,'领用录入（明细）'!C:C&lt;=$L$4),ROW(),"-")</f>
        <v>-</v>
      </c>
    </row>
    <row r="40467" customHeight="1" spans="2:2">
      <c r="B40467" s="62" t="str">
        <f>IF(AND('领用录入（明细）'!D:D=$F$4,'领用录入（明细）'!C:C&gt;=$J$4,'领用录入（明细）'!C:C&lt;=$L$4),ROW(),"-")</f>
        <v>-</v>
      </c>
    </row>
    <row r="40468" customHeight="1" spans="2:2">
      <c r="B40468" s="62" t="str">
        <f>IF(AND('领用录入（明细）'!D:D=$F$4,'领用录入（明细）'!C:C&gt;=$J$4,'领用录入（明细）'!C:C&lt;=$L$4),ROW(),"-")</f>
        <v>-</v>
      </c>
    </row>
    <row r="40469" customHeight="1" spans="2:2">
      <c r="B40469" s="62" t="str">
        <f>IF(AND('领用录入（明细）'!D:D=$F$4,'领用录入（明细）'!C:C&gt;=$J$4,'领用录入（明细）'!C:C&lt;=$L$4),ROW(),"-")</f>
        <v>-</v>
      </c>
    </row>
    <row r="40470" customHeight="1" spans="2:2">
      <c r="B40470" s="62" t="str">
        <f>IF(AND('领用录入（明细）'!D:D=$F$4,'领用录入（明细）'!C:C&gt;=$J$4,'领用录入（明细）'!C:C&lt;=$L$4),ROW(),"-")</f>
        <v>-</v>
      </c>
    </row>
    <row r="40471" customHeight="1" spans="2:2">
      <c r="B40471" s="62" t="str">
        <f>IF(AND('领用录入（明细）'!D:D=$F$4,'领用录入（明细）'!C:C&gt;=$J$4,'领用录入（明细）'!C:C&lt;=$L$4),ROW(),"-")</f>
        <v>-</v>
      </c>
    </row>
    <row r="40472" customHeight="1" spans="2:2">
      <c r="B40472" s="62" t="str">
        <f>IF(AND('领用录入（明细）'!D:D=$F$4,'领用录入（明细）'!C:C&gt;=$J$4,'领用录入（明细）'!C:C&lt;=$L$4),ROW(),"-")</f>
        <v>-</v>
      </c>
    </row>
    <row r="40473" customHeight="1" spans="2:2">
      <c r="B40473" s="62" t="str">
        <f>IF(AND('领用录入（明细）'!D:D=$F$4,'领用录入（明细）'!C:C&gt;=$J$4,'领用录入（明细）'!C:C&lt;=$L$4),ROW(),"-")</f>
        <v>-</v>
      </c>
    </row>
    <row r="40474" customHeight="1" spans="2:2">
      <c r="B40474" s="62" t="str">
        <f>IF(AND('领用录入（明细）'!D:D=$F$4,'领用录入（明细）'!C:C&gt;=$J$4,'领用录入（明细）'!C:C&lt;=$L$4),ROW(),"-")</f>
        <v>-</v>
      </c>
    </row>
    <row r="40475" customHeight="1" spans="2:2">
      <c r="B40475" s="62" t="str">
        <f>IF(AND('领用录入（明细）'!D:D=$F$4,'领用录入（明细）'!C:C&gt;=$J$4,'领用录入（明细）'!C:C&lt;=$L$4),ROW(),"-")</f>
        <v>-</v>
      </c>
    </row>
    <row r="40476" customHeight="1" spans="2:2">
      <c r="B40476" s="62" t="str">
        <f>IF(AND('领用录入（明细）'!D:D=$F$4,'领用录入（明细）'!C:C&gt;=$J$4,'领用录入（明细）'!C:C&lt;=$L$4),ROW(),"-")</f>
        <v>-</v>
      </c>
    </row>
    <row r="40477" customHeight="1" spans="2:2">
      <c r="B40477" s="62" t="str">
        <f>IF(AND('领用录入（明细）'!D:D=$F$4,'领用录入（明细）'!C:C&gt;=$J$4,'领用录入（明细）'!C:C&lt;=$L$4),ROW(),"-")</f>
        <v>-</v>
      </c>
    </row>
    <row r="40478" customHeight="1" spans="2:2">
      <c r="B40478" s="62" t="str">
        <f>IF(AND('领用录入（明细）'!D:D=$F$4,'领用录入（明细）'!C:C&gt;=$J$4,'领用录入（明细）'!C:C&lt;=$L$4),ROW(),"-")</f>
        <v>-</v>
      </c>
    </row>
    <row r="40479" customHeight="1" spans="2:2">
      <c r="B40479" s="62" t="str">
        <f>IF(AND('领用录入（明细）'!D:D=$F$4,'领用录入（明细）'!C:C&gt;=$J$4,'领用录入（明细）'!C:C&lt;=$L$4),ROW(),"-")</f>
        <v>-</v>
      </c>
    </row>
    <row r="40480" customHeight="1" spans="2:2">
      <c r="B40480" s="62" t="str">
        <f>IF(AND('领用录入（明细）'!D:D=$F$4,'领用录入（明细）'!C:C&gt;=$J$4,'领用录入（明细）'!C:C&lt;=$L$4),ROW(),"-")</f>
        <v>-</v>
      </c>
    </row>
    <row r="40481" customHeight="1" spans="2:2">
      <c r="B40481" s="62" t="str">
        <f>IF(AND('领用录入（明细）'!D:D=$F$4,'领用录入（明细）'!C:C&gt;=$J$4,'领用录入（明细）'!C:C&lt;=$L$4),ROW(),"-")</f>
        <v>-</v>
      </c>
    </row>
    <row r="40482" customHeight="1" spans="2:2">
      <c r="B40482" s="62" t="str">
        <f>IF(AND('领用录入（明细）'!D:D=$F$4,'领用录入（明细）'!C:C&gt;=$J$4,'领用录入（明细）'!C:C&lt;=$L$4),ROW(),"-")</f>
        <v>-</v>
      </c>
    </row>
    <row r="40483" customHeight="1" spans="2:2">
      <c r="B40483" s="62" t="str">
        <f>IF(AND('领用录入（明细）'!D:D=$F$4,'领用录入（明细）'!C:C&gt;=$J$4,'领用录入（明细）'!C:C&lt;=$L$4),ROW(),"-")</f>
        <v>-</v>
      </c>
    </row>
    <row r="40484" customHeight="1" spans="2:2">
      <c r="B40484" s="62" t="str">
        <f>IF(AND('领用录入（明细）'!D:D=$F$4,'领用录入（明细）'!C:C&gt;=$J$4,'领用录入（明细）'!C:C&lt;=$L$4),ROW(),"-")</f>
        <v>-</v>
      </c>
    </row>
    <row r="40485" customHeight="1" spans="2:2">
      <c r="B40485" s="62" t="str">
        <f>IF(AND('领用录入（明细）'!D:D=$F$4,'领用录入（明细）'!C:C&gt;=$J$4,'领用录入（明细）'!C:C&lt;=$L$4),ROW(),"-")</f>
        <v>-</v>
      </c>
    </row>
    <row r="40486" customHeight="1" spans="2:2">
      <c r="B40486" s="62" t="str">
        <f>IF(AND('领用录入（明细）'!D:D=$F$4,'领用录入（明细）'!C:C&gt;=$J$4,'领用录入（明细）'!C:C&lt;=$L$4),ROW(),"-")</f>
        <v>-</v>
      </c>
    </row>
    <row r="40487" customHeight="1" spans="2:2">
      <c r="B40487" s="62" t="str">
        <f>IF(AND('领用录入（明细）'!D:D=$F$4,'领用录入（明细）'!C:C&gt;=$J$4,'领用录入（明细）'!C:C&lt;=$L$4),ROW(),"-")</f>
        <v>-</v>
      </c>
    </row>
    <row r="40488" customHeight="1" spans="2:2">
      <c r="B40488" s="62" t="str">
        <f>IF(AND('领用录入（明细）'!D:D=$F$4,'领用录入（明细）'!C:C&gt;=$J$4,'领用录入（明细）'!C:C&lt;=$L$4),ROW(),"-")</f>
        <v>-</v>
      </c>
    </row>
    <row r="40489" customHeight="1" spans="2:2">
      <c r="B40489" s="62" t="str">
        <f>IF(AND('领用录入（明细）'!D:D=$F$4,'领用录入（明细）'!C:C&gt;=$J$4,'领用录入（明细）'!C:C&lt;=$L$4),ROW(),"-")</f>
        <v>-</v>
      </c>
    </row>
    <row r="40490" customHeight="1" spans="2:2">
      <c r="B40490" s="62" t="str">
        <f>IF(AND('领用录入（明细）'!D:D=$F$4,'领用录入（明细）'!C:C&gt;=$J$4,'领用录入（明细）'!C:C&lt;=$L$4),ROW(),"-")</f>
        <v>-</v>
      </c>
    </row>
    <row r="40491" customHeight="1" spans="2:2">
      <c r="B40491" s="62" t="str">
        <f>IF(AND('领用录入（明细）'!D:D=$F$4,'领用录入（明细）'!C:C&gt;=$J$4,'领用录入（明细）'!C:C&lt;=$L$4),ROW(),"-")</f>
        <v>-</v>
      </c>
    </row>
    <row r="40492" customHeight="1" spans="2:2">
      <c r="B40492" s="62" t="str">
        <f>IF(AND('领用录入（明细）'!D:D=$F$4,'领用录入（明细）'!C:C&gt;=$J$4,'领用录入（明细）'!C:C&lt;=$L$4),ROW(),"-")</f>
        <v>-</v>
      </c>
    </row>
    <row r="40493" customHeight="1" spans="2:2">
      <c r="B40493" s="62" t="str">
        <f>IF(AND('领用录入（明细）'!D:D=$F$4,'领用录入（明细）'!C:C&gt;=$J$4,'领用录入（明细）'!C:C&lt;=$L$4),ROW(),"-")</f>
        <v>-</v>
      </c>
    </row>
    <row r="40494" customHeight="1" spans="2:2">
      <c r="B40494" s="62" t="str">
        <f>IF(AND('领用录入（明细）'!D:D=$F$4,'领用录入（明细）'!C:C&gt;=$J$4,'领用录入（明细）'!C:C&lt;=$L$4),ROW(),"-")</f>
        <v>-</v>
      </c>
    </row>
    <row r="40495" customHeight="1" spans="2:2">
      <c r="B40495" s="62" t="str">
        <f>IF(AND('领用录入（明细）'!D:D=$F$4,'领用录入（明细）'!C:C&gt;=$J$4,'领用录入（明细）'!C:C&lt;=$L$4),ROW(),"-")</f>
        <v>-</v>
      </c>
    </row>
    <row r="40496" customHeight="1" spans="2:2">
      <c r="B40496" s="62" t="str">
        <f>IF(AND('领用录入（明细）'!D:D=$F$4,'领用录入（明细）'!C:C&gt;=$J$4,'领用录入（明细）'!C:C&lt;=$L$4),ROW(),"-")</f>
        <v>-</v>
      </c>
    </row>
    <row r="40497" customHeight="1" spans="2:2">
      <c r="B40497" s="62" t="str">
        <f>IF(AND('领用录入（明细）'!D:D=$F$4,'领用录入（明细）'!C:C&gt;=$J$4,'领用录入（明细）'!C:C&lt;=$L$4),ROW(),"-")</f>
        <v>-</v>
      </c>
    </row>
    <row r="40498" customHeight="1" spans="2:2">
      <c r="B40498" s="62" t="str">
        <f>IF(AND('领用录入（明细）'!D:D=$F$4,'领用录入（明细）'!C:C&gt;=$J$4,'领用录入（明细）'!C:C&lt;=$L$4),ROW(),"-")</f>
        <v>-</v>
      </c>
    </row>
    <row r="40499" customHeight="1" spans="2:2">
      <c r="B40499" s="62" t="str">
        <f>IF(AND('领用录入（明细）'!D:D=$F$4,'领用录入（明细）'!C:C&gt;=$J$4,'领用录入（明细）'!C:C&lt;=$L$4),ROW(),"-")</f>
        <v>-</v>
      </c>
    </row>
    <row r="40500" customHeight="1" spans="2:2">
      <c r="B40500" s="62" t="str">
        <f>IF(AND('领用录入（明细）'!D:D=$F$4,'领用录入（明细）'!C:C&gt;=$J$4,'领用录入（明细）'!C:C&lt;=$L$4),ROW(),"-")</f>
        <v>-</v>
      </c>
    </row>
    <row r="40501" customHeight="1" spans="2:2">
      <c r="B40501" s="62" t="str">
        <f>IF(AND('领用录入（明细）'!D:D=$F$4,'领用录入（明细）'!C:C&gt;=$J$4,'领用录入（明细）'!C:C&lt;=$L$4),ROW(),"-")</f>
        <v>-</v>
      </c>
    </row>
    <row r="40502" customHeight="1" spans="2:2">
      <c r="B40502" s="62" t="str">
        <f>IF(AND('领用录入（明细）'!D:D=$F$4,'领用录入（明细）'!C:C&gt;=$J$4,'领用录入（明细）'!C:C&lt;=$L$4),ROW(),"-")</f>
        <v>-</v>
      </c>
    </row>
    <row r="40503" customHeight="1" spans="2:2">
      <c r="B40503" s="62" t="str">
        <f>IF(AND('领用录入（明细）'!D:D=$F$4,'领用录入（明细）'!C:C&gt;=$J$4,'领用录入（明细）'!C:C&lt;=$L$4),ROW(),"-")</f>
        <v>-</v>
      </c>
    </row>
    <row r="40504" customHeight="1" spans="2:2">
      <c r="B40504" s="62" t="str">
        <f>IF(AND('领用录入（明细）'!D:D=$F$4,'领用录入（明细）'!C:C&gt;=$J$4,'领用录入（明细）'!C:C&lt;=$L$4),ROW(),"-")</f>
        <v>-</v>
      </c>
    </row>
    <row r="40505" customHeight="1" spans="2:2">
      <c r="B40505" s="62" t="str">
        <f>IF(AND('领用录入（明细）'!D:D=$F$4,'领用录入（明细）'!C:C&gt;=$J$4,'领用录入（明细）'!C:C&lt;=$L$4),ROW(),"-")</f>
        <v>-</v>
      </c>
    </row>
    <row r="40506" customHeight="1" spans="2:2">
      <c r="B40506" s="62" t="str">
        <f>IF(AND('领用录入（明细）'!D:D=$F$4,'领用录入（明细）'!C:C&gt;=$J$4,'领用录入（明细）'!C:C&lt;=$L$4),ROW(),"-")</f>
        <v>-</v>
      </c>
    </row>
    <row r="40507" customHeight="1" spans="2:2">
      <c r="B40507" s="62" t="str">
        <f>IF(AND('领用录入（明细）'!D:D=$F$4,'领用录入（明细）'!C:C&gt;=$J$4,'领用录入（明细）'!C:C&lt;=$L$4),ROW(),"-")</f>
        <v>-</v>
      </c>
    </row>
    <row r="40508" customHeight="1" spans="2:2">
      <c r="B40508" s="62" t="str">
        <f>IF(AND('领用录入（明细）'!D:D=$F$4,'领用录入（明细）'!C:C&gt;=$J$4,'领用录入（明细）'!C:C&lt;=$L$4),ROW(),"-")</f>
        <v>-</v>
      </c>
    </row>
    <row r="40509" customHeight="1" spans="2:2">
      <c r="B40509" s="62" t="str">
        <f>IF(AND('领用录入（明细）'!D:D=$F$4,'领用录入（明细）'!C:C&gt;=$J$4,'领用录入（明细）'!C:C&lt;=$L$4),ROW(),"-")</f>
        <v>-</v>
      </c>
    </row>
    <row r="40510" customHeight="1" spans="2:2">
      <c r="B40510" s="62" t="str">
        <f>IF(AND('领用录入（明细）'!D:D=$F$4,'领用录入（明细）'!C:C&gt;=$J$4,'领用录入（明细）'!C:C&lt;=$L$4),ROW(),"-")</f>
        <v>-</v>
      </c>
    </row>
    <row r="40511" customHeight="1" spans="2:2">
      <c r="B40511" s="62" t="str">
        <f>IF(AND('领用录入（明细）'!D:D=$F$4,'领用录入（明细）'!C:C&gt;=$J$4,'领用录入（明细）'!C:C&lt;=$L$4),ROW(),"-")</f>
        <v>-</v>
      </c>
    </row>
    <row r="40512" customHeight="1" spans="2:2">
      <c r="B40512" s="62" t="str">
        <f>IF(AND('领用录入（明细）'!D:D=$F$4,'领用录入（明细）'!C:C&gt;=$J$4,'领用录入（明细）'!C:C&lt;=$L$4),ROW(),"-")</f>
        <v>-</v>
      </c>
    </row>
    <row r="40513" customHeight="1" spans="2:2">
      <c r="B40513" s="62" t="str">
        <f>IF(AND('领用录入（明细）'!D:D=$F$4,'领用录入（明细）'!C:C&gt;=$J$4,'领用录入（明细）'!C:C&lt;=$L$4),ROW(),"-")</f>
        <v>-</v>
      </c>
    </row>
    <row r="40514" customHeight="1" spans="2:2">
      <c r="B40514" s="62" t="str">
        <f>IF(AND('领用录入（明细）'!D:D=$F$4,'领用录入（明细）'!C:C&gt;=$J$4,'领用录入（明细）'!C:C&lt;=$L$4),ROW(),"-")</f>
        <v>-</v>
      </c>
    </row>
    <row r="40515" customHeight="1" spans="2:2">
      <c r="B40515" s="62" t="str">
        <f>IF(AND('领用录入（明细）'!D:D=$F$4,'领用录入（明细）'!C:C&gt;=$J$4,'领用录入（明细）'!C:C&lt;=$L$4),ROW(),"-")</f>
        <v>-</v>
      </c>
    </row>
    <row r="40516" customHeight="1" spans="2:2">
      <c r="B40516" s="62" t="str">
        <f>IF(AND('领用录入（明细）'!D:D=$F$4,'领用录入（明细）'!C:C&gt;=$J$4,'领用录入（明细）'!C:C&lt;=$L$4),ROW(),"-")</f>
        <v>-</v>
      </c>
    </row>
    <row r="40517" customHeight="1" spans="2:2">
      <c r="B40517" s="62" t="str">
        <f>IF(AND('领用录入（明细）'!D:D=$F$4,'领用录入（明细）'!C:C&gt;=$J$4,'领用录入（明细）'!C:C&lt;=$L$4),ROW(),"-")</f>
        <v>-</v>
      </c>
    </row>
    <row r="40518" customHeight="1" spans="2:2">
      <c r="B40518" s="62" t="str">
        <f>IF(AND('领用录入（明细）'!D:D=$F$4,'领用录入（明细）'!C:C&gt;=$J$4,'领用录入（明细）'!C:C&lt;=$L$4),ROW(),"-")</f>
        <v>-</v>
      </c>
    </row>
    <row r="40519" customHeight="1" spans="2:2">
      <c r="B40519" s="62" t="str">
        <f>IF(AND('领用录入（明细）'!D:D=$F$4,'领用录入（明细）'!C:C&gt;=$J$4,'领用录入（明细）'!C:C&lt;=$L$4),ROW(),"-")</f>
        <v>-</v>
      </c>
    </row>
    <row r="40520" customHeight="1" spans="2:2">
      <c r="B40520" s="62" t="str">
        <f>IF(AND('领用录入（明细）'!D:D=$F$4,'领用录入（明细）'!C:C&gt;=$J$4,'领用录入（明细）'!C:C&lt;=$L$4),ROW(),"-")</f>
        <v>-</v>
      </c>
    </row>
    <row r="40521" customHeight="1" spans="2:2">
      <c r="B40521" s="62" t="str">
        <f>IF(AND('领用录入（明细）'!D:D=$F$4,'领用录入（明细）'!C:C&gt;=$J$4,'领用录入（明细）'!C:C&lt;=$L$4),ROW(),"-")</f>
        <v>-</v>
      </c>
    </row>
    <row r="40522" customHeight="1" spans="2:2">
      <c r="B40522" s="62" t="str">
        <f>IF(AND('领用录入（明细）'!D:D=$F$4,'领用录入（明细）'!C:C&gt;=$J$4,'领用录入（明细）'!C:C&lt;=$L$4),ROW(),"-")</f>
        <v>-</v>
      </c>
    </row>
    <row r="40523" customHeight="1" spans="2:2">
      <c r="B40523" s="62" t="str">
        <f>IF(AND('领用录入（明细）'!D:D=$F$4,'领用录入（明细）'!C:C&gt;=$J$4,'领用录入（明细）'!C:C&lt;=$L$4),ROW(),"-")</f>
        <v>-</v>
      </c>
    </row>
    <row r="40524" customHeight="1" spans="2:2">
      <c r="B40524" s="62" t="str">
        <f>IF(AND('领用录入（明细）'!D:D=$F$4,'领用录入（明细）'!C:C&gt;=$J$4,'领用录入（明细）'!C:C&lt;=$L$4),ROW(),"-")</f>
        <v>-</v>
      </c>
    </row>
    <row r="40525" customHeight="1" spans="2:2">
      <c r="B40525" s="62" t="str">
        <f>IF(AND('领用录入（明细）'!D:D=$F$4,'领用录入（明细）'!C:C&gt;=$J$4,'领用录入（明细）'!C:C&lt;=$L$4),ROW(),"-")</f>
        <v>-</v>
      </c>
    </row>
    <row r="40526" customHeight="1" spans="2:2">
      <c r="B40526" s="62" t="str">
        <f>IF(AND('领用录入（明细）'!D:D=$F$4,'领用录入（明细）'!C:C&gt;=$J$4,'领用录入（明细）'!C:C&lt;=$L$4),ROW(),"-")</f>
        <v>-</v>
      </c>
    </row>
    <row r="40527" customHeight="1" spans="2:2">
      <c r="B40527" s="62" t="str">
        <f>IF(AND('领用录入（明细）'!D:D=$F$4,'领用录入（明细）'!C:C&gt;=$J$4,'领用录入（明细）'!C:C&lt;=$L$4),ROW(),"-")</f>
        <v>-</v>
      </c>
    </row>
    <row r="40528" customHeight="1" spans="2:2">
      <c r="B40528" s="62" t="str">
        <f>IF(AND('领用录入（明细）'!D:D=$F$4,'领用录入（明细）'!C:C&gt;=$J$4,'领用录入（明细）'!C:C&lt;=$L$4),ROW(),"-")</f>
        <v>-</v>
      </c>
    </row>
    <row r="40529" customHeight="1" spans="2:2">
      <c r="B40529" s="62" t="str">
        <f>IF(AND('领用录入（明细）'!D:D=$F$4,'领用录入（明细）'!C:C&gt;=$J$4,'领用录入（明细）'!C:C&lt;=$L$4),ROW(),"-")</f>
        <v>-</v>
      </c>
    </row>
    <row r="40530" customHeight="1" spans="2:2">
      <c r="B40530" s="62" t="str">
        <f>IF(AND('领用录入（明细）'!D:D=$F$4,'领用录入（明细）'!C:C&gt;=$J$4,'领用录入（明细）'!C:C&lt;=$L$4),ROW(),"-")</f>
        <v>-</v>
      </c>
    </row>
    <row r="40531" customHeight="1" spans="2:2">
      <c r="B40531" s="62" t="str">
        <f>IF(AND('领用录入（明细）'!D:D=$F$4,'领用录入（明细）'!C:C&gt;=$J$4,'领用录入（明细）'!C:C&lt;=$L$4),ROW(),"-")</f>
        <v>-</v>
      </c>
    </row>
    <row r="40532" customHeight="1" spans="2:2">
      <c r="B40532" s="62" t="str">
        <f>IF(AND('领用录入（明细）'!D:D=$F$4,'领用录入（明细）'!C:C&gt;=$J$4,'领用录入（明细）'!C:C&lt;=$L$4),ROW(),"-")</f>
        <v>-</v>
      </c>
    </row>
    <row r="40533" customHeight="1" spans="2:2">
      <c r="B40533" s="62" t="str">
        <f>IF(AND('领用录入（明细）'!D:D=$F$4,'领用录入（明细）'!C:C&gt;=$J$4,'领用录入（明细）'!C:C&lt;=$L$4),ROW(),"-")</f>
        <v>-</v>
      </c>
    </row>
    <row r="40534" customHeight="1" spans="2:2">
      <c r="B40534" s="62" t="str">
        <f>IF(AND('领用录入（明细）'!D:D=$F$4,'领用录入（明细）'!C:C&gt;=$J$4,'领用录入（明细）'!C:C&lt;=$L$4),ROW(),"-")</f>
        <v>-</v>
      </c>
    </row>
    <row r="40535" customHeight="1" spans="2:2">
      <c r="B40535" s="62" t="str">
        <f>IF(AND('领用录入（明细）'!D:D=$F$4,'领用录入（明细）'!C:C&gt;=$J$4,'领用录入（明细）'!C:C&lt;=$L$4),ROW(),"-")</f>
        <v>-</v>
      </c>
    </row>
    <row r="40536" customHeight="1" spans="2:2">
      <c r="B40536" s="62" t="str">
        <f>IF(AND('领用录入（明细）'!D:D=$F$4,'领用录入（明细）'!C:C&gt;=$J$4,'领用录入（明细）'!C:C&lt;=$L$4),ROW(),"-")</f>
        <v>-</v>
      </c>
    </row>
    <row r="40537" customHeight="1" spans="2:2">
      <c r="B40537" s="62" t="str">
        <f>IF(AND('领用录入（明细）'!D:D=$F$4,'领用录入（明细）'!C:C&gt;=$J$4,'领用录入（明细）'!C:C&lt;=$L$4),ROW(),"-")</f>
        <v>-</v>
      </c>
    </row>
    <row r="40538" customHeight="1" spans="2:2">
      <c r="B40538" s="62" t="str">
        <f>IF(AND('领用录入（明细）'!D:D=$F$4,'领用录入（明细）'!C:C&gt;=$J$4,'领用录入（明细）'!C:C&lt;=$L$4),ROW(),"-")</f>
        <v>-</v>
      </c>
    </row>
    <row r="40539" customHeight="1" spans="2:2">
      <c r="B40539" s="62" t="str">
        <f>IF(AND('领用录入（明细）'!D:D=$F$4,'领用录入（明细）'!C:C&gt;=$J$4,'领用录入（明细）'!C:C&lt;=$L$4),ROW(),"-")</f>
        <v>-</v>
      </c>
    </row>
    <row r="40540" customHeight="1" spans="2:2">
      <c r="B40540" s="62" t="str">
        <f>IF(AND('领用录入（明细）'!D:D=$F$4,'领用录入（明细）'!C:C&gt;=$J$4,'领用录入（明细）'!C:C&lt;=$L$4),ROW(),"-")</f>
        <v>-</v>
      </c>
    </row>
    <row r="40541" customHeight="1" spans="2:2">
      <c r="B40541" s="62" t="str">
        <f>IF(AND('领用录入（明细）'!D:D=$F$4,'领用录入（明细）'!C:C&gt;=$J$4,'领用录入（明细）'!C:C&lt;=$L$4),ROW(),"-")</f>
        <v>-</v>
      </c>
    </row>
    <row r="40542" customHeight="1" spans="2:2">
      <c r="B40542" s="62" t="str">
        <f>IF(AND('领用录入（明细）'!D:D=$F$4,'领用录入（明细）'!C:C&gt;=$J$4,'领用录入（明细）'!C:C&lt;=$L$4),ROW(),"-")</f>
        <v>-</v>
      </c>
    </row>
    <row r="40543" customHeight="1" spans="2:2">
      <c r="B40543" s="62" t="str">
        <f>IF(AND('领用录入（明细）'!D:D=$F$4,'领用录入（明细）'!C:C&gt;=$J$4,'领用录入（明细）'!C:C&lt;=$L$4),ROW(),"-")</f>
        <v>-</v>
      </c>
    </row>
    <row r="40544" customHeight="1" spans="2:2">
      <c r="B40544" s="62" t="str">
        <f>IF(AND('领用录入（明细）'!D:D=$F$4,'领用录入（明细）'!C:C&gt;=$J$4,'领用录入（明细）'!C:C&lt;=$L$4),ROW(),"-")</f>
        <v>-</v>
      </c>
    </row>
    <row r="40545" customHeight="1" spans="2:2">
      <c r="B40545" s="62" t="str">
        <f>IF(AND('领用录入（明细）'!D:D=$F$4,'领用录入（明细）'!C:C&gt;=$J$4,'领用录入（明细）'!C:C&lt;=$L$4),ROW(),"-")</f>
        <v>-</v>
      </c>
    </row>
    <row r="40546" customHeight="1" spans="2:2">
      <c r="B40546" s="62" t="str">
        <f>IF(AND('领用录入（明细）'!D:D=$F$4,'领用录入（明细）'!C:C&gt;=$J$4,'领用录入（明细）'!C:C&lt;=$L$4),ROW(),"-")</f>
        <v>-</v>
      </c>
    </row>
    <row r="40547" customHeight="1" spans="2:2">
      <c r="B40547" s="62" t="str">
        <f>IF(AND('领用录入（明细）'!D:D=$F$4,'领用录入（明细）'!C:C&gt;=$J$4,'领用录入（明细）'!C:C&lt;=$L$4),ROW(),"-")</f>
        <v>-</v>
      </c>
    </row>
    <row r="40548" customHeight="1" spans="2:2">
      <c r="B40548" s="62" t="str">
        <f>IF(AND('领用录入（明细）'!D:D=$F$4,'领用录入（明细）'!C:C&gt;=$J$4,'领用录入（明细）'!C:C&lt;=$L$4),ROW(),"-")</f>
        <v>-</v>
      </c>
    </row>
    <row r="40549" customHeight="1" spans="2:2">
      <c r="B40549" s="62" t="str">
        <f>IF(AND('领用录入（明细）'!D:D=$F$4,'领用录入（明细）'!C:C&gt;=$J$4,'领用录入（明细）'!C:C&lt;=$L$4),ROW(),"-")</f>
        <v>-</v>
      </c>
    </row>
    <row r="40550" customHeight="1" spans="2:2">
      <c r="B40550" s="62" t="str">
        <f>IF(AND('领用录入（明细）'!D:D=$F$4,'领用录入（明细）'!C:C&gt;=$J$4,'领用录入（明细）'!C:C&lt;=$L$4),ROW(),"-")</f>
        <v>-</v>
      </c>
    </row>
    <row r="40551" customHeight="1" spans="2:2">
      <c r="B40551" s="62" t="str">
        <f>IF(AND('领用录入（明细）'!D:D=$F$4,'领用录入（明细）'!C:C&gt;=$J$4,'领用录入（明细）'!C:C&lt;=$L$4),ROW(),"-")</f>
        <v>-</v>
      </c>
    </row>
    <row r="40552" customHeight="1" spans="2:2">
      <c r="B40552" s="62" t="str">
        <f>IF(AND('领用录入（明细）'!D:D=$F$4,'领用录入（明细）'!C:C&gt;=$J$4,'领用录入（明细）'!C:C&lt;=$L$4),ROW(),"-")</f>
        <v>-</v>
      </c>
    </row>
    <row r="40553" customHeight="1" spans="2:2">
      <c r="B40553" s="62" t="str">
        <f>IF(AND('领用录入（明细）'!D:D=$F$4,'领用录入（明细）'!C:C&gt;=$J$4,'领用录入（明细）'!C:C&lt;=$L$4),ROW(),"-")</f>
        <v>-</v>
      </c>
    </row>
    <row r="40554" customHeight="1" spans="2:2">
      <c r="B40554" s="62" t="str">
        <f>IF(AND('领用录入（明细）'!D:D=$F$4,'领用录入（明细）'!C:C&gt;=$J$4,'领用录入（明细）'!C:C&lt;=$L$4),ROW(),"-")</f>
        <v>-</v>
      </c>
    </row>
    <row r="40555" customHeight="1" spans="2:2">
      <c r="B40555" s="62" t="str">
        <f>IF(AND('领用录入（明细）'!D:D=$F$4,'领用录入（明细）'!C:C&gt;=$J$4,'领用录入（明细）'!C:C&lt;=$L$4),ROW(),"-")</f>
        <v>-</v>
      </c>
    </row>
    <row r="40556" customHeight="1" spans="2:2">
      <c r="B40556" s="62" t="str">
        <f>IF(AND('领用录入（明细）'!D:D=$F$4,'领用录入（明细）'!C:C&gt;=$J$4,'领用录入（明细）'!C:C&lt;=$L$4),ROW(),"-")</f>
        <v>-</v>
      </c>
    </row>
    <row r="40557" customHeight="1" spans="2:2">
      <c r="B40557" s="62" t="str">
        <f>IF(AND('领用录入（明细）'!D:D=$F$4,'领用录入（明细）'!C:C&gt;=$J$4,'领用录入（明细）'!C:C&lt;=$L$4),ROW(),"-")</f>
        <v>-</v>
      </c>
    </row>
    <row r="40558" customHeight="1" spans="2:2">
      <c r="B40558" s="62" t="str">
        <f>IF(AND('领用录入（明细）'!D:D=$F$4,'领用录入（明细）'!C:C&gt;=$J$4,'领用录入（明细）'!C:C&lt;=$L$4),ROW(),"-")</f>
        <v>-</v>
      </c>
    </row>
    <row r="40559" customHeight="1" spans="2:2">
      <c r="B40559" s="62" t="str">
        <f>IF(AND('领用录入（明细）'!D:D=$F$4,'领用录入（明细）'!C:C&gt;=$J$4,'领用录入（明细）'!C:C&lt;=$L$4),ROW(),"-")</f>
        <v>-</v>
      </c>
    </row>
    <row r="40560" customHeight="1" spans="2:2">
      <c r="B40560" s="62" t="str">
        <f>IF(AND('领用录入（明细）'!D:D=$F$4,'领用录入（明细）'!C:C&gt;=$J$4,'领用录入（明细）'!C:C&lt;=$L$4),ROW(),"-")</f>
        <v>-</v>
      </c>
    </row>
    <row r="40561" customHeight="1" spans="2:2">
      <c r="B40561" s="62" t="str">
        <f>IF(AND('领用录入（明细）'!D:D=$F$4,'领用录入（明细）'!C:C&gt;=$J$4,'领用录入（明细）'!C:C&lt;=$L$4),ROW(),"-")</f>
        <v>-</v>
      </c>
    </row>
    <row r="40562" customHeight="1" spans="2:2">
      <c r="B40562" s="62" t="str">
        <f>IF(AND('领用录入（明细）'!D:D=$F$4,'领用录入（明细）'!C:C&gt;=$J$4,'领用录入（明细）'!C:C&lt;=$L$4),ROW(),"-")</f>
        <v>-</v>
      </c>
    </row>
    <row r="40563" customHeight="1" spans="2:2">
      <c r="B40563" s="62" t="str">
        <f>IF(AND('领用录入（明细）'!D:D=$F$4,'领用录入（明细）'!C:C&gt;=$J$4,'领用录入（明细）'!C:C&lt;=$L$4),ROW(),"-")</f>
        <v>-</v>
      </c>
    </row>
    <row r="40564" customHeight="1" spans="2:2">
      <c r="B40564" s="62" t="str">
        <f>IF(AND('领用录入（明细）'!D:D=$F$4,'领用录入（明细）'!C:C&gt;=$J$4,'领用录入（明细）'!C:C&lt;=$L$4),ROW(),"-")</f>
        <v>-</v>
      </c>
    </row>
    <row r="40565" customHeight="1" spans="2:2">
      <c r="B40565" s="62" t="str">
        <f>IF(AND('领用录入（明细）'!D:D=$F$4,'领用录入（明细）'!C:C&gt;=$J$4,'领用录入（明细）'!C:C&lt;=$L$4),ROW(),"-")</f>
        <v>-</v>
      </c>
    </row>
    <row r="40566" customHeight="1" spans="2:2">
      <c r="B40566" s="62" t="str">
        <f>IF(AND('领用录入（明细）'!D:D=$F$4,'领用录入（明细）'!C:C&gt;=$J$4,'领用录入（明细）'!C:C&lt;=$L$4),ROW(),"-")</f>
        <v>-</v>
      </c>
    </row>
    <row r="40567" customHeight="1" spans="2:2">
      <c r="B40567" s="62" t="str">
        <f>IF(AND('领用录入（明细）'!D:D=$F$4,'领用录入（明细）'!C:C&gt;=$J$4,'领用录入（明细）'!C:C&lt;=$L$4),ROW(),"-")</f>
        <v>-</v>
      </c>
    </row>
    <row r="40568" customHeight="1" spans="2:2">
      <c r="B40568" s="62" t="str">
        <f>IF(AND('领用录入（明细）'!D:D=$F$4,'领用录入（明细）'!C:C&gt;=$J$4,'领用录入（明细）'!C:C&lt;=$L$4),ROW(),"-")</f>
        <v>-</v>
      </c>
    </row>
    <row r="40569" customHeight="1" spans="2:2">
      <c r="B40569" s="62" t="str">
        <f>IF(AND('领用录入（明细）'!D:D=$F$4,'领用录入（明细）'!C:C&gt;=$J$4,'领用录入（明细）'!C:C&lt;=$L$4),ROW(),"-")</f>
        <v>-</v>
      </c>
    </row>
    <row r="40570" customHeight="1" spans="2:2">
      <c r="B40570" s="62" t="str">
        <f>IF(AND('领用录入（明细）'!D:D=$F$4,'领用录入（明细）'!C:C&gt;=$J$4,'领用录入（明细）'!C:C&lt;=$L$4),ROW(),"-")</f>
        <v>-</v>
      </c>
    </row>
    <row r="40571" customHeight="1" spans="2:2">
      <c r="B40571" s="62" t="str">
        <f>IF(AND('领用录入（明细）'!D:D=$F$4,'领用录入（明细）'!C:C&gt;=$J$4,'领用录入（明细）'!C:C&lt;=$L$4),ROW(),"-")</f>
        <v>-</v>
      </c>
    </row>
    <row r="40572" customHeight="1" spans="2:2">
      <c r="B40572" s="62" t="str">
        <f>IF(AND('领用录入（明细）'!D:D=$F$4,'领用录入（明细）'!C:C&gt;=$J$4,'领用录入（明细）'!C:C&lt;=$L$4),ROW(),"-")</f>
        <v>-</v>
      </c>
    </row>
    <row r="40573" customHeight="1" spans="2:2">
      <c r="B40573" s="62" t="str">
        <f>IF(AND('领用录入（明细）'!D:D=$F$4,'领用录入（明细）'!C:C&gt;=$J$4,'领用录入（明细）'!C:C&lt;=$L$4),ROW(),"-")</f>
        <v>-</v>
      </c>
    </row>
    <row r="40574" customHeight="1" spans="2:2">
      <c r="B40574" s="62" t="str">
        <f>IF(AND('领用录入（明细）'!D:D=$F$4,'领用录入（明细）'!C:C&gt;=$J$4,'领用录入（明细）'!C:C&lt;=$L$4),ROW(),"-")</f>
        <v>-</v>
      </c>
    </row>
    <row r="40575" customHeight="1" spans="2:2">
      <c r="B40575" s="62" t="str">
        <f>IF(AND('领用录入（明细）'!D:D=$F$4,'领用录入（明细）'!C:C&gt;=$J$4,'领用录入（明细）'!C:C&lt;=$L$4),ROW(),"-")</f>
        <v>-</v>
      </c>
    </row>
    <row r="40576" customHeight="1" spans="2:2">
      <c r="B40576" s="62" t="str">
        <f>IF(AND('领用录入（明细）'!D:D=$F$4,'领用录入（明细）'!C:C&gt;=$J$4,'领用录入（明细）'!C:C&lt;=$L$4),ROW(),"-")</f>
        <v>-</v>
      </c>
    </row>
    <row r="40577" customHeight="1" spans="2:2">
      <c r="B40577" s="62" t="str">
        <f>IF(AND('领用录入（明细）'!D:D=$F$4,'领用录入（明细）'!C:C&gt;=$J$4,'领用录入（明细）'!C:C&lt;=$L$4),ROW(),"-")</f>
        <v>-</v>
      </c>
    </row>
    <row r="40578" customHeight="1" spans="2:2">
      <c r="B40578" s="62" t="str">
        <f>IF(AND('领用录入（明细）'!D:D=$F$4,'领用录入（明细）'!C:C&gt;=$J$4,'领用录入（明细）'!C:C&lt;=$L$4),ROW(),"-")</f>
        <v>-</v>
      </c>
    </row>
    <row r="40579" customHeight="1" spans="2:2">
      <c r="B40579" s="62" t="str">
        <f>IF(AND('领用录入（明细）'!D:D=$F$4,'领用录入（明细）'!C:C&gt;=$J$4,'领用录入（明细）'!C:C&lt;=$L$4),ROW(),"-")</f>
        <v>-</v>
      </c>
    </row>
    <row r="40580" customHeight="1" spans="2:2">
      <c r="B40580" s="62" t="str">
        <f>IF(AND('领用录入（明细）'!D:D=$F$4,'领用录入（明细）'!C:C&gt;=$J$4,'领用录入（明细）'!C:C&lt;=$L$4),ROW(),"-")</f>
        <v>-</v>
      </c>
    </row>
    <row r="40581" customHeight="1" spans="2:2">
      <c r="B40581" s="62" t="str">
        <f>IF(AND('领用录入（明细）'!D:D=$F$4,'领用录入（明细）'!C:C&gt;=$J$4,'领用录入（明细）'!C:C&lt;=$L$4),ROW(),"-")</f>
        <v>-</v>
      </c>
    </row>
    <row r="40582" customHeight="1" spans="2:2">
      <c r="B40582" s="62" t="str">
        <f>IF(AND('领用录入（明细）'!D:D=$F$4,'领用录入（明细）'!C:C&gt;=$J$4,'领用录入（明细）'!C:C&lt;=$L$4),ROW(),"-")</f>
        <v>-</v>
      </c>
    </row>
    <row r="40583" customHeight="1" spans="2:2">
      <c r="B40583" s="62" t="str">
        <f>IF(AND('领用录入（明细）'!D:D=$F$4,'领用录入（明细）'!C:C&gt;=$J$4,'领用录入（明细）'!C:C&lt;=$L$4),ROW(),"-")</f>
        <v>-</v>
      </c>
    </row>
    <row r="40584" customHeight="1" spans="2:2">
      <c r="B40584" s="62" t="str">
        <f>IF(AND('领用录入（明细）'!D:D=$F$4,'领用录入（明细）'!C:C&gt;=$J$4,'领用录入（明细）'!C:C&lt;=$L$4),ROW(),"-")</f>
        <v>-</v>
      </c>
    </row>
    <row r="40585" customHeight="1" spans="2:2">
      <c r="B40585" s="62" t="str">
        <f>IF(AND('领用录入（明细）'!D:D=$F$4,'领用录入（明细）'!C:C&gt;=$J$4,'领用录入（明细）'!C:C&lt;=$L$4),ROW(),"-")</f>
        <v>-</v>
      </c>
    </row>
    <row r="40586" customHeight="1" spans="2:2">
      <c r="B40586" s="62" t="str">
        <f>IF(AND('领用录入（明细）'!D:D=$F$4,'领用录入（明细）'!C:C&gt;=$J$4,'领用录入（明细）'!C:C&lt;=$L$4),ROW(),"-")</f>
        <v>-</v>
      </c>
    </row>
    <row r="40587" customHeight="1" spans="2:2">
      <c r="B40587" s="62" t="str">
        <f>IF(AND('领用录入（明细）'!D:D=$F$4,'领用录入（明细）'!C:C&gt;=$J$4,'领用录入（明细）'!C:C&lt;=$L$4),ROW(),"-")</f>
        <v>-</v>
      </c>
    </row>
    <row r="40588" customHeight="1" spans="2:2">
      <c r="B40588" s="62" t="str">
        <f>IF(AND('领用录入（明细）'!D:D=$F$4,'领用录入（明细）'!C:C&gt;=$J$4,'领用录入（明细）'!C:C&lt;=$L$4),ROW(),"-")</f>
        <v>-</v>
      </c>
    </row>
    <row r="40589" customHeight="1" spans="2:2">
      <c r="B40589" s="62" t="str">
        <f>IF(AND('领用录入（明细）'!D:D=$F$4,'领用录入（明细）'!C:C&gt;=$J$4,'领用录入（明细）'!C:C&lt;=$L$4),ROW(),"-")</f>
        <v>-</v>
      </c>
    </row>
    <row r="40590" customHeight="1" spans="2:2">
      <c r="B40590" s="62" t="str">
        <f>IF(AND('领用录入（明细）'!D:D=$F$4,'领用录入（明细）'!C:C&gt;=$J$4,'领用录入（明细）'!C:C&lt;=$L$4),ROW(),"-")</f>
        <v>-</v>
      </c>
    </row>
    <row r="40591" customHeight="1" spans="2:2">
      <c r="B40591" s="62" t="str">
        <f>IF(AND('领用录入（明细）'!D:D=$F$4,'领用录入（明细）'!C:C&gt;=$J$4,'领用录入（明细）'!C:C&lt;=$L$4),ROW(),"-")</f>
        <v>-</v>
      </c>
    </row>
    <row r="40592" customHeight="1" spans="2:2">
      <c r="B40592" s="62" t="str">
        <f>IF(AND('领用录入（明细）'!D:D=$F$4,'领用录入（明细）'!C:C&gt;=$J$4,'领用录入（明细）'!C:C&lt;=$L$4),ROW(),"-")</f>
        <v>-</v>
      </c>
    </row>
    <row r="40593" customHeight="1" spans="2:2">
      <c r="B40593" s="62" t="str">
        <f>IF(AND('领用录入（明细）'!D:D=$F$4,'领用录入（明细）'!C:C&gt;=$J$4,'领用录入（明细）'!C:C&lt;=$L$4),ROW(),"-")</f>
        <v>-</v>
      </c>
    </row>
    <row r="40594" customHeight="1" spans="2:2">
      <c r="B40594" s="62" t="str">
        <f>IF(AND('领用录入（明细）'!D:D=$F$4,'领用录入（明细）'!C:C&gt;=$J$4,'领用录入（明细）'!C:C&lt;=$L$4),ROW(),"-")</f>
        <v>-</v>
      </c>
    </row>
    <row r="40595" customHeight="1" spans="2:2">
      <c r="B40595" s="62" t="str">
        <f>IF(AND('领用录入（明细）'!D:D=$F$4,'领用录入（明细）'!C:C&gt;=$J$4,'领用录入（明细）'!C:C&lt;=$L$4),ROW(),"-")</f>
        <v>-</v>
      </c>
    </row>
    <row r="40596" customHeight="1" spans="2:2">
      <c r="B40596" s="62" t="str">
        <f>IF(AND('领用录入（明细）'!D:D=$F$4,'领用录入（明细）'!C:C&gt;=$J$4,'领用录入（明细）'!C:C&lt;=$L$4),ROW(),"-")</f>
        <v>-</v>
      </c>
    </row>
    <row r="40597" customHeight="1" spans="2:2">
      <c r="B40597" s="62" t="str">
        <f>IF(AND('领用录入（明细）'!D:D=$F$4,'领用录入（明细）'!C:C&gt;=$J$4,'领用录入（明细）'!C:C&lt;=$L$4),ROW(),"-")</f>
        <v>-</v>
      </c>
    </row>
    <row r="40598" customHeight="1" spans="2:2">
      <c r="B40598" s="62" t="str">
        <f>IF(AND('领用录入（明细）'!D:D=$F$4,'领用录入（明细）'!C:C&gt;=$J$4,'领用录入（明细）'!C:C&lt;=$L$4),ROW(),"-")</f>
        <v>-</v>
      </c>
    </row>
    <row r="40599" customHeight="1" spans="2:2">
      <c r="B40599" s="62" t="str">
        <f>IF(AND('领用录入（明细）'!D:D=$F$4,'领用录入（明细）'!C:C&gt;=$J$4,'领用录入（明细）'!C:C&lt;=$L$4),ROW(),"-")</f>
        <v>-</v>
      </c>
    </row>
    <row r="40600" customHeight="1" spans="2:2">
      <c r="B40600" s="62" t="str">
        <f>IF(AND('领用录入（明细）'!D:D=$F$4,'领用录入（明细）'!C:C&gt;=$J$4,'领用录入（明细）'!C:C&lt;=$L$4),ROW(),"-")</f>
        <v>-</v>
      </c>
    </row>
    <row r="40601" customHeight="1" spans="2:2">
      <c r="B40601" s="62" t="str">
        <f>IF(AND('领用录入（明细）'!D:D=$F$4,'领用录入（明细）'!C:C&gt;=$J$4,'领用录入（明细）'!C:C&lt;=$L$4),ROW(),"-")</f>
        <v>-</v>
      </c>
    </row>
    <row r="40602" customHeight="1" spans="2:2">
      <c r="B40602" s="62" t="str">
        <f>IF(AND('领用录入（明细）'!D:D=$F$4,'领用录入（明细）'!C:C&gt;=$J$4,'领用录入（明细）'!C:C&lt;=$L$4),ROW(),"-")</f>
        <v>-</v>
      </c>
    </row>
    <row r="40603" customHeight="1" spans="2:2">
      <c r="B40603" s="62" t="str">
        <f>IF(AND('领用录入（明细）'!D:D=$F$4,'领用录入（明细）'!C:C&gt;=$J$4,'领用录入（明细）'!C:C&lt;=$L$4),ROW(),"-")</f>
        <v>-</v>
      </c>
    </row>
    <row r="40604" customHeight="1" spans="2:2">
      <c r="B40604" s="62" t="str">
        <f>IF(AND('领用录入（明细）'!D:D=$F$4,'领用录入（明细）'!C:C&gt;=$J$4,'领用录入（明细）'!C:C&lt;=$L$4),ROW(),"-")</f>
        <v>-</v>
      </c>
    </row>
    <row r="40605" customHeight="1" spans="2:2">
      <c r="B40605" s="62" t="str">
        <f>IF(AND('领用录入（明细）'!D:D=$F$4,'领用录入（明细）'!C:C&gt;=$J$4,'领用录入（明细）'!C:C&lt;=$L$4),ROW(),"-")</f>
        <v>-</v>
      </c>
    </row>
    <row r="40606" customHeight="1" spans="2:2">
      <c r="B40606" s="62" t="str">
        <f>IF(AND('领用录入（明细）'!D:D=$F$4,'领用录入（明细）'!C:C&gt;=$J$4,'领用录入（明细）'!C:C&lt;=$L$4),ROW(),"-")</f>
        <v>-</v>
      </c>
    </row>
    <row r="40607" customHeight="1" spans="2:2">
      <c r="B40607" s="62" t="str">
        <f>IF(AND('领用录入（明细）'!D:D=$F$4,'领用录入（明细）'!C:C&gt;=$J$4,'领用录入（明细）'!C:C&lt;=$L$4),ROW(),"-")</f>
        <v>-</v>
      </c>
    </row>
    <row r="40608" customHeight="1" spans="2:2">
      <c r="B40608" s="62" t="str">
        <f>IF(AND('领用录入（明细）'!D:D=$F$4,'领用录入（明细）'!C:C&gt;=$J$4,'领用录入（明细）'!C:C&lt;=$L$4),ROW(),"-")</f>
        <v>-</v>
      </c>
    </row>
    <row r="40609" customHeight="1" spans="2:2">
      <c r="B40609" s="62" t="str">
        <f>IF(AND('领用录入（明细）'!D:D=$F$4,'领用录入（明细）'!C:C&gt;=$J$4,'领用录入（明细）'!C:C&lt;=$L$4),ROW(),"-")</f>
        <v>-</v>
      </c>
    </row>
    <row r="40610" customHeight="1" spans="2:2">
      <c r="B40610" s="62" t="str">
        <f>IF(AND('领用录入（明细）'!D:D=$F$4,'领用录入（明细）'!C:C&gt;=$J$4,'领用录入（明细）'!C:C&lt;=$L$4),ROW(),"-")</f>
        <v>-</v>
      </c>
    </row>
    <row r="40611" customHeight="1" spans="2:2">
      <c r="B40611" s="62" t="str">
        <f>IF(AND('领用录入（明细）'!D:D=$F$4,'领用录入（明细）'!C:C&gt;=$J$4,'领用录入（明细）'!C:C&lt;=$L$4),ROW(),"-")</f>
        <v>-</v>
      </c>
    </row>
    <row r="40612" customHeight="1" spans="2:2">
      <c r="B40612" s="62" t="str">
        <f>IF(AND('领用录入（明细）'!D:D=$F$4,'领用录入（明细）'!C:C&gt;=$J$4,'领用录入（明细）'!C:C&lt;=$L$4),ROW(),"-")</f>
        <v>-</v>
      </c>
    </row>
    <row r="40613" customHeight="1" spans="2:2">
      <c r="B40613" s="62" t="str">
        <f>IF(AND('领用录入（明细）'!D:D=$F$4,'领用录入（明细）'!C:C&gt;=$J$4,'领用录入（明细）'!C:C&lt;=$L$4),ROW(),"-")</f>
        <v>-</v>
      </c>
    </row>
    <row r="40614" customHeight="1" spans="2:2">
      <c r="B40614" s="62" t="str">
        <f>IF(AND('领用录入（明细）'!D:D=$F$4,'领用录入（明细）'!C:C&gt;=$J$4,'领用录入（明细）'!C:C&lt;=$L$4),ROW(),"-")</f>
        <v>-</v>
      </c>
    </row>
    <row r="40615" customHeight="1" spans="2:2">
      <c r="B40615" s="62" t="str">
        <f>IF(AND('领用录入（明细）'!D:D=$F$4,'领用录入（明细）'!C:C&gt;=$J$4,'领用录入（明细）'!C:C&lt;=$L$4),ROW(),"-")</f>
        <v>-</v>
      </c>
    </row>
    <row r="40616" customHeight="1" spans="2:2">
      <c r="B40616" s="62" t="str">
        <f>IF(AND('领用录入（明细）'!D:D=$F$4,'领用录入（明细）'!C:C&gt;=$J$4,'领用录入（明细）'!C:C&lt;=$L$4),ROW(),"-")</f>
        <v>-</v>
      </c>
    </row>
    <row r="40617" customHeight="1" spans="2:2">
      <c r="B40617" s="62" t="str">
        <f>IF(AND('领用录入（明细）'!D:D=$F$4,'领用录入（明细）'!C:C&gt;=$J$4,'领用录入（明细）'!C:C&lt;=$L$4),ROW(),"-")</f>
        <v>-</v>
      </c>
    </row>
    <row r="40618" customHeight="1" spans="2:2">
      <c r="B40618" s="62" t="str">
        <f>IF(AND('领用录入（明细）'!D:D=$F$4,'领用录入（明细）'!C:C&gt;=$J$4,'领用录入（明细）'!C:C&lt;=$L$4),ROW(),"-")</f>
        <v>-</v>
      </c>
    </row>
    <row r="40619" customHeight="1" spans="2:2">
      <c r="B40619" s="62" t="str">
        <f>IF(AND('领用录入（明细）'!D:D=$F$4,'领用录入（明细）'!C:C&gt;=$J$4,'领用录入（明细）'!C:C&lt;=$L$4),ROW(),"-")</f>
        <v>-</v>
      </c>
    </row>
    <row r="40620" customHeight="1" spans="2:2">
      <c r="B40620" s="62" t="str">
        <f>IF(AND('领用录入（明细）'!D:D=$F$4,'领用录入（明细）'!C:C&gt;=$J$4,'领用录入（明细）'!C:C&lt;=$L$4),ROW(),"-")</f>
        <v>-</v>
      </c>
    </row>
    <row r="40621" customHeight="1" spans="2:2">
      <c r="B40621" s="62" t="str">
        <f>IF(AND('领用录入（明细）'!D:D=$F$4,'领用录入（明细）'!C:C&gt;=$J$4,'领用录入（明细）'!C:C&lt;=$L$4),ROW(),"-")</f>
        <v>-</v>
      </c>
    </row>
    <row r="40622" customHeight="1" spans="2:2">
      <c r="B40622" s="62" t="str">
        <f>IF(AND('领用录入（明细）'!D:D=$F$4,'领用录入（明细）'!C:C&gt;=$J$4,'领用录入（明细）'!C:C&lt;=$L$4),ROW(),"-")</f>
        <v>-</v>
      </c>
    </row>
    <row r="40623" customHeight="1" spans="2:2">
      <c r="B40623" s="62" t="str">
        <f>IF(AND('领用录入（明细）'!D:D=$F$4,'领用录入（明细）'!C:C&gt;=$J$4,'领用录入（明细）'!C:C&lt;=$L$4),ROW(),"-")</f>
        <v>-</v>
      </c>
    </row>
    <row r="40624" customHeight="1" spans="2:2">
      <c r="B40624" s="62" t="str">
        <f>IF(AND('领用录入（明细）'!D:D=$F$4,'领用录入（明细）'!C:C&gt;=$J$4,'领用录入（明细）'!C:C&lt;=$L$4),ROW(),"-")</f>
        <v>-</v>
      </c>
    </row>
    <row r="40625" customHeight="1" spans="2:2">
      <c r="B40625" s="62" t="str">
        <f>IF(AND('领用录入（明细）'!D:D=$F$4,'领用录入（明细）'!C:C&gt;=$J$4,'领用录入（明细）'!C:C&lt;=$L$4),ROW(),"-")</f>
        <v>-</v>
      </c>
    </row>
    <row r="40626" customHeight="1" spans="2:2">
      <c r="B40626" s="62" t="str">
        <f>IF(AND('领用录入（明细）'!D:D=$F$4,'领用录入（明细）'!C:C&gt;=$J$4,'领用录入（明细）'!C:C&lt;=$L$4),ROW(),"-")</f>
        <v>-</v>
      </c>
    </row>
    <row r="40627" customHeight="1" spans="2:2">
      <c r="B40627" s="62" t="str">
        <f>IF(AND('领用录入（明细）'!D:D=$F$4,'领用录入（明细）'!C:C&gt;=$J$4,'领用录入（明细）'!C:C&lt;=$L$4),ROW(),"-")</f>
        <v>-</v>
      </c>
    </row>
    <row r="40628" customHeight="1" spans="2:2">
      <c r="B40628" s="62" t="str">
        <f>IF(AND('领用录入（明细）'!D:D=$F$4,'领用录入（明细）'!C:C&gt;=$J$4,'领用录入（明细）'!C:C&lt;=$L$4),ROW(),"-")</f>
        <v>-</v>
      </c>
    </row>
    <row r="40629" customHeight="1" spans="2:2">
      <c r="B40629" s="62" t="str">
        <f>IF(AND('领用录入（明细）'!D:D=$F$4,'领用录入（明细）'!C:C&gt;=$J$4,'领用录入（明细）'!C:C&lt;=$L$4),ROW(),"-")</f>
        <v>-</v>
      </c>
    </row>
    <row r="40630" customHeight="1" spans="2:2">
      <c r="B40630" s="62" t="str">
        <f>IF(AND('领用录入（明细）'!D:D=$F$4,'领用录入（明细）'!C:C&gt;=$J$4,'领用录入（明细）'!C:C&lt;=$L$4),ROW(),"-")</f>
        <v>-</v>
      </c>
    </row>
    <row r="40631" customHeight="1" spans="2:2">
      <c r="B40631" s="62" t="str">
        <f>IF(AND('领用录入（明细）'!D:D=$F$4,'领用录入（明细）'!C:C&gt;=$J$4,'领用录入（明细）'!C:C&lt;=$L$4),ROW(),"-")</f>
        <v>-</v>
      </c>
    </row>
    <row r="40632" customHeight="1" spans="2:2">
      <c r="B40632" s="62" t="str">
        <f>IF(AND('领用录入（明细）'!D:D=$F$4,'领用录入（明细）'!C:C&gt;=$J$4,'领用录入（明细）'!C:C&lt;=$L$4),ROW(),"-")</f>
        <v>-</v>
      </c>
    </row>
    <row r="40633" customHeight="1" spans="2:2">
      <c r="B40633" s="62" t="str">
        <f>IF(AND('领用录入（明细）'!D:D=$F$4,'领用录入（明细）'!C:C&gt;=$J$4,'领用录入（明细）'!C:C&lt;=$L$4),ROW(),"-")</f>
        <v>-</v>
      </c>
    </row>
    <row r="40634" customHeight="1" spans="2:2">
      <c r="B40634" s="62" t="str">
        <f>IF(AND('领用录入（明细）'!D:D=$F$4,'领用录入（明细）'!C:C&gt;=$J$4,'领用录入（明细）'!C:C&lt;=$L$4),ROW(),"-")</f>
        <v>-</v>
      </c>
    </row>
    <row r="40635" customHeight="1" spans="2:2">
      <c r="B40635" s="62" t="str">
        <f>IF(AND('领用录入（明细）'!D:D=$F$4,'领用录入（明细）'!C:C&gt;=$J$4,'领用录入（明细）'!C:C&lt;=$L$4),ROW(),"-")</f>
        <v>-</v>
      </c>
    </row>
    <row r="40636" customHeight="1" spans="2:2">
      <c r="B40636" s="62" t="str">
        <f>IF(AND('领用录入（明细）'!D:D=$F$4,'领用录入（明细）'!C:C&gt;=$J$4,'领用录入（明细）'!C:C&lt;=$L$4),ROW(),"-")</f>
        <v>-</v>
      </c>
    </row>
    <row r="40637" customHeight="1" spans="2:2">
      <c r="B40637" s="62" t="str">
        <f>IF(AND('领用录入（明细）'!D:D=$F$4,'领用录入（明细）'!C:C&gt;=$J$4,'领用录入（明细）'!C:C&lt;=$L$4),ROW(),"-")</f>
        <v>-</v>
      </c>
    </row>
    <row r="40638" customHeight="1" spans="2:2">
      <c r="B40638" s="62" t="str">
        <f>IF(AND('领用录入（明细）'!D:D=$F$4,'领用录入（明细）'!C:C&gt;=$J$4,'领用录入（明细）'!C:C&lt;=$L$4),ROW(),"-")</f>
        <v>-</v>
      </c>
    </row>
    <row r="40639" customHeight="1" spans="2:2">
      <c r="B40639" s="62" t="str">
        <f>IF(AND('领用录入（明细）'!D:D=$F$4,'领用录入（明细）'!C:C&gt;=$J$4,'领用录入（明细）'!C:C&lt;=$L$4),ROW(),"-")</f>
        <v>-</v>
      </c>
    </row>
    <row r="40640" customHeight="1" spans="2:2">
      <c r="B40640" s="62" t="str">
        <f>IF(AND('领用录入（明细）'!D:D=$F$4,'领用录入（明细）'!C:C&gt;=$J$4,'领用录入（明细）'!C:C&lt;=$L$4),ROW(),"-")</f>
        <v>-</v>
      </c>
    </row>
    <row r="40641" customHeight="1" spans="2:2">
      <c r="B40641" s="62" t="str">
        <f>IF(AND('领用录入（明细）'!D:D=$F$4,'领用录入（明细）'!C:C&gt;=$J$4,'领用录入（明细）'!C:C&lt;=$L$4),ROW(),"-")</f>
        <v>-</v>
      </c>
    </row>
    <row r="40642" customHeight="1" spans="2:2">
      <c r="B40642" s="62" t="str">
        <f>IF(AND('领用录入（明细）'!D:D=$F$4,'领用录入（明细）'!C:C&gt;=$J$4,'领用录入（明细）'!C:C&lt;=$L$4),ROW(),"-")</f>
        <v>-</v>
      </c>
    </row>
    <row r="40643" customHeight="1" spans="2:2">
      <c r="B40643" s="62" t="str">
        <f>IF(AND('领用录入（明细）'!D:D=$F$4,'领用录入（明细）'!C:C&gt;=$J$4,'领用录入（明细）'!C:C&lt;=$L$4),ROW(),"-")</f>
        <v>-</v>
      </c>
    </row>
    <row r="40644" customHeight="1" spans="2:2">
      <c r="B40644" s="62" t="str">
        <f>IF(AND('领用录入（明细）'!D:D=$F$4,'领用录入（明细）'!C:C&gt;=$J$4,'领用录入（明细）'!C:C&lt;=$L$4),ROW(),"-")</f>
        <v>-</v>
      </c>
    </row>
    <row r="40645" customHeight="1" spans="2:2">
      <c r="B40645" s="62" t="str">
        <f>IF(AND('领用录入（明细）'!D:D=$F$4,'领用录入（明细）'!C:C&gt;=$J$4,'领用录入（明细）'!C:C&lt;=$L$4),ROW(),"-")</f>
        <v>-</v>
      </c>
    </row>
    <row r="40646" customHeight="1" spans="2:2">
      <c r="B40646" s="62" t="str">
        <f>IF(AND('领用录入（明细）'!D:D=$F$4,'领用录入（明细）'!C:C&gt;=$J$4,'领用录入（明细）'!C:C&lt;=$L$4),ROW(),"-")</f>
        <v>-</v>
      </c>
    </row>
    <row r="40647" customHeight="1" spans="2:2">
      <c r="B40647" s="62" t="str">
        <f>IF(AND('领用录入（明细）'!D:D=$F$4,'领用录入（明细）'!C:C&gt;=$J$4,'领用录入（明细）'!C:C&lt;=$L$4),ROW(),"-")</f>
        <v>-</v>
      </c>
    </row>
    <row r="40648" customHeight="1" spans="2:2">
      <c r="B40648" s="62" t="str">
        <f>IF(AND('领用录入（明细）'!D:D=$F$4,'领用录入（明细）'!C:C&gt;=$J$4,'领用录入（明细）'!C:C&lt;=$L$4),ROW(),"-")</f>
        <v>-</v>
      </c>
    </row>
    <row r="40649" customHeight="1" spans="2:2">
      <c r="B40649" s="62" t="str">
        <f>IF(AND('领用录入（明细）'!D:D=$F$4,'领用录入（明细）'!C:C&gt;=$J$4,'领用录入（明细）'!C:C&lt;=$L$4),ROW(),"-")</f>
        <v>-</v>
      </c>
    </row>
    <row r="40650" customHeight="1" spans="2:2">
      <c r="B40650" s="62" t="str">
        <f>IF(AND('领用录入（明细）'!D:D=$F$4,'领用录入（明细）'!C:C&gt;=$J$4,'领用录入（明细）'!C:C&lt;=$L$4),ROW(),"-")</f>
        <v>-</v>
      </c>
    </row>
    <row r="40651" customHeight="1" spans="2:2">
      <c r="B40651" s="62" t="str">
        <f>IF(AND('领用录入（明细）'!D:D=$F$4,'领用录入（明细）'!C:C&gt;=$J$4,'领用录入（明细）'!C:C&lt;=$L$4),ROW(),"-")</f>
        <v>-</v>
      </c>
    </row>
    <row r="40652" customHeight="1" spans="2:2">
      <c r="B40652" s="62" t="str">
        <f>IF(AND('领用录入（明细）'!D:D=$F$4,'领用录入（明细）'!C:C&gt;=$J$4,'领用录入（明细）'!C:C&lt;=$L$4),ROW(),"-")</f>
        <v>-</v>
      </c>
    </row>
    <row r="40653" customHeight="1" spans="2:2">
      <c r="B40653" s="62" t="str">
        <f>IF(AND('领用录入（明细）'!D:D=$F$4,'领用录入（明细）'!C:C&gt;=$J$4,'领用录入（明细）'!C:C&lt;=$L$4),ROW(),"-")</f>
        <v>-</v>
      </c>
    </row>
    <row r="40654" customHeight="1" spans="2:2">
      <c r="B40654" s="62" t="str">
        <f>IF(AND('领用录入（明细）'!D:D=$F$4,'领用录入（明细）'!C:C&gt;=$J$4,'领用录入（明细）'!C:C&lt;=$L$4),ROW(),"-")</f>
        <v>-</v>
      </c>
    </row>
    <row r="40655" customHeight="1" spans="2:2">
      <c r="B40655" s="62" t="str">
        <f>IF(AND('领用录入（明细）'!D:D=$F$4,'领用录入（明细）'!C:C&gt;=$J$4,'领用录入（明细）'!C:C&lt;=$L$4),ROW(),"-")</f>
        <v>-</v>
      </c>
    </row>
    <row r="40656" customHeight="1" spans="2:2">
      <c r="B40656" s="62" t="str">
        <f>IF(AND('领用录入（明细）'!D:D=$F$4,'领用录入（明细）'!C:C&gt;=$J$4,'领用录入（明细）'!C:C&lt;=$L$4),ROW(),"-")</f>
        <v>-</v>
      </c>
    </row>
    <row r="40657" customHeight="1" spans="2:2">
      <c r="B40657" s="62" t="str">
        <f>IF(AND('领用录入（明细）'!D:D=$F$4,'领用录入（明细）'!C:C&gt;=$J$4,'领用录入（明细）'!C:C&lt;=$L$4),ROW(),"-")</f>
        <v>-</v>
      </c>
    </row>
    <row r="40658" customHeight="1" spans="2:2">
      <c r="B40658" s="62" t="str">
        <f>IF(AND('领用录入（明细）'!D:D=$F$4,'领用录入（明细）'!C:C&gt;=$J$4,'领用录入（明细）'!C:C&lt;=$L$4),ROW(),"-")</f>
        <v>-</v>
      </c>
    </row>
    <row r="40659" customHeight="1" spans="2:2">
      <c r="B40659" s="62" t="str">
        <f>IF(AND('领用录入（明细）'!D:D=$F$4,'领用录入（明细）'!C:C&gt;=$J$4,'领用录入（明细）'!C:C&lt;=$L$4),ROW(),"-")</f>
        <v>-</v>
      </c>
    </row>
    <row r="40660" customHeight="1" spans="2:2">
      <c r="B40660" s="62" t="str">
        <f>IF(AND('领用录入（明细）'!D:D=$F$4,'领用录入（明细）'!C:C&gt;=$J$4,'领用录入（明细）'!C:C&lt;=$L$4),ROW(),"-")</f>
        <v>-</v>
      </c>
    </row>
    <row r="40661" customHeight="1" spans="2:2">
      <c r="B40661" s="62" t="str">
        <f>IF(AND('领用录入（明细）'!D:D=$F$4,'领用录入（明细）'!C:C&gt;=$J$4,'领用录入（明细）'!C:C&lt;=$L$4),ROW(),"-")</f>
        <v>-</v>
      </c>
    </row>
    <row r="40662" customHeight="1" spans="2:2">
      <c r="B40662" s="62" t="str">
        <f>IF(AND('领用录入（明细）'!D:D=$F$4,'领用录入（明细）'!C:C&gt;=$J$4,'领用录入（明细）'!C:C&lt;=$L$4),ROW(),"-")</f>
        <v>-</v>
      </c>
    </row>
    <row r="40663" customHeight="1" spans="2:2">
      <c r="B40663" s="62" t="str">
        <f>IF(AND('领用录入（明细）'!D:D=$F$4,'领用录入（明细）'!C:C&gt;=$J$4,'领用录入（明细）'!C:C&lt;=$L$4),ROW(),"-")</f>
        <v>-</v>
      </c>
    </row>
    <row r="40664" customHeight="1" spans="2:2">
      <c r="B40664" s="62" t="str">
        <f>IF(AND('领用录入（明细）'!D:D=$F$4,'领用录入（明细）'!C:C&gt;=$J$4,'领用录入（明细）'!C:C&lt;=$L$4),ROW(),"-")</f>
        <v>-</v>
      </c>
    </row>
    <row r="40665" customHeight="1" spans="2:2">
      <c r="B40665" s="62" t="str">
        <f>IF(AND('领用录入（明细）'!D:D=$F$4,'领用录入（明细）'!C:C&gt;=$J$4,'领用录入（明细）'!C:C&lt;=$L$4),ROW(),"-")</f>
        <v>-</v>
      </c>
    </row>
    <row r="40666" customHeight="1" spans="2:2">
      <c r="B40666" s="62" t="str">
        <f>IF(AND('领用录入（明细）'!D:D=$F$4,'领用录入（明细）'!C:C&gt;=$J$4,'领用录入（明细）'!C:C&lt;=$L$4),ROW(),"-")</f>
        <v>-</v>
      </c>
    </row>
    <row r="40667" customHeight="1" spans="2:2">
      <c r="B40667" s="62" t="str">
        <f>IF(AND('领用录入（明细）'!D:D=$F$4,'领用录入（明细）'!C:C&gt;=$J$4,'领用录入（明细）'!C:C&lt;=$L$4),ROW(),"-")</f>
        <v>-</v>
      </c>
    </row>
    <row r="40668" customHeight="1" spans="2:2">
      <c r="B40668" s="62" t="str">
        <f>IF(AND('领用录入（明细）'!D:D=$F$4,'领用录入（明细）'!C:C&gt;=$J$4,'领用录入（明细）'!C:C&lt;=$L$4),ROW(),"-")</f>
        <v>-</v>
      </c>
    </row>
    <row r="40669" customHeight="1" spans="2:2">
      <c r="B40669" s="62" t="str">
        <f>IF(AND('领用录入（明细）'!D:D=$F$4,'领用录入（明细）'!C:C&gt;=$J$4,'领用录入（明细）'!C:C&lt;=$L$4),ROW(),"-")</f>
        <v>-</v>
      </c>
    </row>
    <row r="40670" customHeight="1" spans="2:2">
      <c r="B40670" s="62" t="str">
        <f>IF(AND('领用录入（明细）'!D:D=$F$4,'领用录入（明细）'!C:C&gt;=$J$4,'领用录入（明细）'!C:C&lt;=$L$4),ROW(),"-")</f>
        <v>-</v>
      </c>
    </row>
    <row r="40671" customHeight="1" spans="2:2">
      <c r="B40671" s="62" t="str">
        <f>IF(AND('领用录入（明细）'!D:D=$F$4,'领用录入（明细）'!C:C&gt;=$J$4,'领用录入（明细）'!C:C&lt;=$L$4),ROW(),"-")</f>
        <v>-</v>
      </c>
    </row>
    <row r="40672" customHeight="1" spans="2:2">
      <c r="B40672" s="62" t="str">
        <f>IF(AND('领用录入（明细）'!D:D=$F$4,'领用录入（明细）'!C:C&gt;=$J$4,'领用录入（明细）'!C:C&lt;=$L$4),ROW(),"-")</f>
        <v>-</v>
      </c>
    </row>
    <row r="40673" customHeight="1" spans="2:2">
      <c r="B40673" s="62" t="str">
        <f>IF(AND('领用录入（明细）'!D:D=$F$4,'领用录入（明细）'!C:C&gt;=$J$4,'领用录入（明细）'!C:C&lt;=$L$4),ROW(),"-")</f>
        <v>-</v>
      </c>
    </row>
    <row r="40674" customHeight="1" spans="2:2">
      <c r="B40674" s="62" t="str">
        <f>IF(AND('领用录入（明细）'!D:D=$F$4,'领用录入（明细）'!C:C&gt;=$J$4,'领用录入（明细）'!C:C&lt;=$L$4),ROW(),"-")</f>
        <v>-</v>
      </c>
    </row>
    <row r="40675" customHeight="1" spans="2:2">
      <c r="B40675" s="62" t="str">
        <f>IF(AND('领用录入（明细）'!D:D=$F$4,'领用录入（明细）'!C:C&gt;=$J$4,'领用录入（明细）'!C:C&lt;=$L$4),ROW(),"-")</f>
        <v>-</v>
      </c>
    </row>
    <row r="40676" customHeight="1" spans="2:2">
      <c r="B40676" s="62" t="str">
        <f>IF(AND('领用录入（明细）'!D:D=$F$4,'领用录入（明细）'!C:C&gt;=$J$4,'领用录入（明细）'!C:C&lt;=$L$4),ROW(),"-")</f>
        <v>-</v>
      </c>
    </row>
    <row r="40677" customHeight="1" spans="2:2">
      <c r="B40677" s="62" t="str">
        <f>IF(AND('领用录入（明细）'!D:D=$F$4,'领用录入（明细）'!C:C&gt;=$J$4,'领用录入（明细）'!C:C&lt;=$L$4),ROW(),"-")</f>
        <v>-</v>
      </c>
    </row>
    <row r="40678" customHeight="1" spans="2:2">
      <c r="B40678" s="62" t="str">
        <f>IF(AND('领用录入（明细）'!D:D=$F$4,'领用录入（明细）'!C:C&gt;=$J$4,'领用录入（明细）'!C:C&lt;=$L$4),ROW(),"-")</f>
        <v>-</v>
      </c>
    </row>
    <row r="40679" customHeight="1" spans="2:2">
      <c r="B40679" s="62" t="str">
        <f>IF(AND('领用录入（明细）'!D:D=$F$4,'领用录入（明细）'!C:C&gt;=$J$4,'领用录入（明细）'!C:C&lt;=$L$4),ROW(),"-")</f>
        <v>-</v>
      </c>
    </row>
    <row r="40680" customHeight="1" spans="2:2">
      <c r="B40680" s="62" t="str">
        <f>IF(AND('领用录入（明细）'!D:D=$F$4,'领用录入（明细）'!C:C&gt;=$J$4,'领用录入（明细）'!C:C&lt;=$L$4),ROW(),"-")</f>
        <v>-</v>
      </c>
    </row>
    <row r="40681" customHeight="1" spans="2:2">
      <c r="B40681" s="62" t="str">
        <f>IF(AND('领用录入（明细）'!D:D=$F$4,'领用录入（明细）'!C:C&gt;=$J$4,'领用录入（明细）'!C:C&lt;=$L$4),ROW(),"-")</f>
        <v>-</v>
      </c>
    </row>
    <row r="40682" customHeight="1" spans="2:2">
      <c r="B40682" s="62" t="str">
        <f>IF(AND('领用录入（明细）'!D:D=$F$4,'领用录入（明细）'!C:C&gt;=$J$4,'领用录入（明细）'!C:C&lt;=$L$4),ROW(),"-")</f>
        <v>-</v>
      </c>
    </row>
    <row r="40683" customHeight="1" spans="2:2">
      <c r="B40683" s="62" t="str">
        <f>IF(AND('领用录入（明细）'!D:D=$F$4,'领用录入（明细）'!C:C&gt;=$J$4,'领用录入（明细）'!C:C&lt;=$L$4),ROW(),"-")</f>
        <v>-</v>
      </c>
    </row>
    <row r="40684" customHeight="1" spans="2:2">
      <c r="B40684" s="62" t="str">
        <f>IF(AND('领用录入（明细）'!D:D=$F$4,'领用录入（明细）'!C:C&gt;=$J$4,'领用录入（明细）'!C:C&lt;=$L$4),ROW(),"-")</f>
        <v>-</v>
      </c>
    </row>
    <row r="40685" customHeight="1" spans="2:2">
      <c r="B40685" s="62" t="str">
        <f>IF(AND('领用录入（明细）'!D:D=$F$4,'领用录入（明细）'!C:C&gt;=$J$4,'领用录入（明细）'!C:C&lt;=$L$4),ROW(),"-")</f>
        <v>-</v>
      </c>
    </row>
    <row r="40686" customHeight="1" spans="2:2">
      <c r="B40686" s="62" t="str">
        <f>IF(AND('领用录入（明细）'!D:D=$F$4,'领用录入（明细）'!C:C&gt;=$J$4,'领用录入（明细）'!C:C&lt;=$L$4),ROW(),"-")</f>
        <v>-</v>
      </c>
    </row>
    <row r="40687" customHeight="1" spans="2:2">
      <c r="B40687" s="62" t="str">
        <f>IF(AND('领用录入（明细）'!D:D=$F$4,'领用录入（明细）'!C:C&gt;=$J$4,'领用录入（明细）'!C:C&lt;=$L$4),ROW(),"-")</f>
        <v>-</v>
      </c>
    </row>
    <row r="40688" customHeight="1" spans="2:2">
      <c r="B40688" s="62" t="str">
        <f>IF(AND('领用录入（明细）'!D:D=$F$4,'领用录入（明细）'!C:C&gt;=$J$4,'领用录入（明细）'!C:C&lt;=$L$4),ROW(),"-")</f>
        <v>-</v>
      </c>
    </row>
    <row r="40689" customHeight="1" spans="2:2">
      <c r="B40689" s="62" t="str">
        <f>IF(AND('领用录入（明细）'!D:D=$F$4,'领用录入（明细）'!C:C&gt;=$J$4,'领用录入（明细）'!C:C&lt;=$L$4),ROW(),"-")</f>
        <v>-</v>
      </c>
    </row>
    <row r="40690" customHeight="1" spans="2:2">
      <c r="B40690" s="62" t="str">
        <f>IF(AND('领用录入（明细）'!D:D=$F$4,'领用录入（明细）'!C:C&gt;=$J$4,'领用录入（明细）'!C:C&lt;=$L$4),ROW(),"-")</f>
        <v>-</v>
      </c>
    </row>
    <row r="40691" customHeight="1" spans="2:2">
      <c r="B40691" s="62" t="str">
        <f>IF(AND('领用录入（明细）'!D:D=$F$4,'领用录入（明细）'!C:C&gt;=$J$4,'领用录入（明细）'!C:C&lt;=$L$4),ROW(),"-")</f>
        <v>-</v>
      </c>
    </row>
    <row r="40692" customHeight="1" spans="2:2">
      <c r="B40692" s="62" t="str">
        <f>IF(AND('领用录入（明细）'!D:D=$F$4,'领用录入（明细）'!C:C&gt;=$J$4,'领用录入（明细）'!C:C&lt;=$L$4),ROW(),"-")</f>
        <v>-</v>
      </c>
    </row>
    <row r="40693" customHeight="1" spans="2:2">
      <c r="B40693" s="62" t="str">
        <f>IF(AND('领用录入（明细）'!D:D=$F$4,'领用录入（明细）'!C:C&gt;=$J$4,'领用录入（明细）'!C:C&lt;=$L$4),ROW(),"-")</f>
        <v>-</v>
      </c>
    </row>
    <row r="40694" customHeight="1" spans="2:2">
      <c r="B40694" s="62" t="str">
        <f>IF(AND('领用录入（明细）'!D:D=$F$4,'领用录入（明细）'!C:C&gt;=$J$4,'领用录入（明细）'!C:C&lt;=$L$4),ROW(),"-")</f>
        <v>-</v>
      </c>
    </row>
    <row r="40695" customHeight="1" spans="2:2">
      <c r="B40695" s="62" t="str">
        <f>IF(AND('领用录入（明细）'!D:D=$F$4,'领用录入（明细）'!C:C&gt;=$J$4,'领用录入（明细）'!C:C&lt;=$L$4),ROW(),"-")</f>
        <v>-</v>
      </c>
    </row>
    <row r="40696" customHeight="1" spans="2:2">
      <c r="B40696" s="62" t="str">
        <f>IF(AND('领用录入（明细）'!D:D=$F$4,'领用录入（明细）'!C:C&gt;=$J$4,'领用录入（明细）'!C:C&lt;=$L$4),ROW(),"-")</f>
        <v>-</v>
      </c>
    </row>
    <row r="40697" customHeight="1" spans="2:2">
      <c r="B40697" s="62" t="str">
        <f>IF(AND('领用录入（明细）'!D:D=$F$4,'领用录入（明细）'!C:C&gt;=$J$4,'领用录入（明细）'!C:C&lt;=$L$4),ROW(),"-")</f>
        <v>-</v>
      </c>
    </row>
    <row r="40698" customHeight="1" spans="2:2">
      <c r="B40698" s="62" t="str">
        <f>IF(AND('领用录入（明细）'!D:D=$F$4,'领用录入（明细）'!C:C&gt;=$J$4,'领用录入（明细）'!C:C&lt;=$L$4),ROW(),"-")</f>
        <v>-</v>
      </c>
    </row>
    <row r="40699" customHeight="1" spans="2:2">
      <c r="B40699" s="62" t="str">
        <f>IF(AND('领用录入（明细）'!D:D=$F$4,'领用录入（明细）'!C:C&gt;=$J$4,'领用录入（明细）'!C:C&lt;=$L$4),ROW(),"-")</f>
        <v>-</v>
      </c>
    </row>
    <row r="40700" customHeight="1" spans="2:2">
      <c r="B40700" s="62" t="str">
        <f>IF(AND('领用录入（明细）'!D:D=$F$4,'领用录入（明细）'!C:C&gt;=$J$4,'领用录入（明细）'!C:C&lt;=$L$4),ROW(),"-")</f>
        <v>-</v>
      </c>
    </row>
    <row r="40701" customHeight="1" spans="2:2">
      <c r="B40701" s="62" t="str">
        <f>IF(AND('领用录入（明细）'!D:D=$F$4,'领用录入（明细）'!C:C&gt;=$J$4,'领用录入（明细）'!C:C&lt;=$L$4),ROW(),"-")</f>
        <v>-</v>
      </c>
    </row>
    <row r="40702" customHeight="1" spans="2:2">
      <c r="B40702" s="62" t="str">
        <f>IF(AND('领用录入（明细）'!D:D=$F$4,'领用录入（明细）'!C:C&gt;=$J$4,'领用录入（明细）'!C:C&lt;=$L$4),ROW(),"-")</f>
        <v>-</v>
      </c>
    </row>
    <row r="40703" customHeight="1" spans="2:2">
      <c r="B40703" s="62" t="str">
        <f>IF(AND('领用录入（明细）'!D:D=$F$4,'领用录入（明细）'!C:C&gt;=$J$4,'领用录入（明细）'!C:C&lt;=$L$4),ROW(),"-")</f>
        <v>-</v>
      </c>
    </row>
    <row r="40704" customHeight="1" spans="2:2">
      <c r="B40704" s="62" t="str">
        <f>IF(AND('领用录入（明细）'!D:D=$F$4,'领用录入（明细）'!C:C&gt;=$J$4,'领用录入（明细）'!C:C&lt;=$L$4),ROW(),"-")</f>
        <v>-</v>
      </c>
    </row>
    <row r="40705" customHeight="1" spans="2:2">
      <c r="B40705" s="62" t="str">
        <f>IF(AND('领用录入（明细）'!D:D=$F$4,'领用录入（明细）'!C:C&gt;=$J$4,'领用录入（明细）'!C:C&lt;=$L$4),ROW(),"-")</f>
        <v>-</v>
      </c>
    </row>
    <row r="40706" customHeight="1" spans="2:2">
      <c r="B40706" s="62" t="str">
        <f>IF(AND('领用录入（明细）'!D:D=$F$4,'领用录入（明细）'!C:C&gt;=$J$4,'领用录入（明细）'!C:C&lt;=$L$4),ROW(),"-")</f>
        <v>-</v>
      </c>
    </row>
    <row r="40707" customHeight="1" spans="2:2">
      <c r="B40707" s="62" t="str">
        <f>IF(AND('领用录入（明细）'!D:D=$F$4,'领用录入（明细）'!C:C&gt;=$J$4,'领用录入（明细）'!C:C&lt;=$L$4),ROW(),"-")</f>
        <v>-</v>
      </c>
    </row>
    <row r="40708" customHeight="1" spans="2:2">
      <c r="B40708" s="62" t="str">
        <f>IF(AND('领用录入（明细）'!D:D=$F$4,'领用录入（明细）'!C:C&gt;=$J$4,'领用录入（明细）'!C:C&lt;=$L$4),ROW(),"-")</f>
        <v>-</v>
      </c>
    </row>
    <row r="40709" customHeight="1" spans="2:2">
      <c r="B40709" s="62" t="str">
        <f>IF(AND('领用录入（明细）'!D:D=$F$4,'领用录入（明细）'!C:C&gt;=$J$4,'领用录入（明细）'!C:C&lt;=$L$4),ROW(),"-")</f>
        <v>-</v>
      </c>
    </row>
    <row r="40710" customHeight="1" spans="2:2">
      <c r="B40710" s="62" t="str">
        <f>IF(AND('领用录入（明细）'!D:D=$F$4,'领用录入（明细）'!C:C&gt;=$J$4,'领用录入（明细）'!C:C&lt;=$L$4),ROW(),"-")</f>
        <v>-</v>
      </c>
    </row>
    <row r="40711" customHeight="1" spans="2:2">
      <c r="B40711" s="62" t="str">
        <f>IF(AND('领用录入（明细）'!D:D=$F$4,'领用录入（明细）'!C:C&gt;=$J$4,'领用录入（明细）'!C:C&lt;=$L$4),ROW(),"-")</f>
        <v>-</v>
      </c>
    </row>
    <row r="40712" customHeight="1" spans="2:2">
      <c r="B40712" s="62" t="str">
        <f>IF(AND('领用录入（明细）'!D:D=$F$4,'领用录入（明细）'!C:C&gt;=$J$4,'领用录入（明细）'!C:C&lt;=$L$4),ROW(),"-")</f>
        <v>-</v>
      </c>
    </row>
    <row r="40713" customHeight="1" spans="2:2">
      <c r="B40713" s="62" t="str">
        <f>IF(AND('领用录入（明细）'!D:D=$F$4,'领用录入（明细）'!C:C&gt;=$J$4,'领用录入（明细）'!C:C&lt;=$L$4),ROW(),"-")</f>
        <v>-</v>
      </c>
    </row>
    <row r="40714" customHeight="1" spans="2:2">
      <c r="B40714" s="62" t="str">
        <f>IF(AND('领用录入（明细）'!D:D=$F$4,'领用录入（明细）'!C:C&gt;=$J$4,'领用录入（明细）'!C:C&lt;=$L$4),ROW(),"-")</f>
        <v>-</v>
      </c>
    </row>
    <row r="40715" customHeight="1" spans="2:2">
      <c r="B40715" s="62" t="str">
        <f>IF(AND('领用录入（明细）'!D:D=$F$4,'领用录入（明细）'!C:C&gt;=$J$4,'领用录入（明细）'!C:C&lt;=$L$4),ROW(),"-")</f>
        <v>-</v>
      </c>
    </row>
    <row r="40716" customHeight="1" spans="2:2">
      <c r="B40716" s="62" t="str">
        <f>IF(AND('领用录入（明细）'!D:D=$F$4,'领用录入（明细）'!C:C&gt;=$J$4,'领用录入（明细）'!C:C&lt;=$L$4),ROW(),"-")</f>
        <v>-</v>
      </c>
    </row>
    <row r="40717" customHeight="1" spans="2:2">
      <c r="B40717" s="62" t="str">
        <f>IF(AND('领用录入（明细）'!D:D=$F$4,'领用录入（明细）'!C:C&gt;=$J$4,'领用录入（明细）'!C:C&lt;=$L$4),ROW(),"-")</f>
        <v>-</v>
      </c>
    </row>
    <row r="40718" customHeight="1" spans="2:2">
      <c r="B40718" s="62" t="str">
        <f>IF(AND('领用录入（明细）'!D:D=$F$4,'领用录入（明细）'!C:C&gt;=$J$4,'领用录入（明细）'!C:C&lt;=$L$4),ROW(),"-")</f>
        <v>-</v>
      </c>
    </row>
    <row r="40719" customHeight="1" spans="2:2">
      <c r="B40719" s="62" t="str">
        <f>IF(AND('领用录入（明细）'!D:D=$F$4,'领用录入（明细）'!C:C&gt;=$J$4,'领用录入（明细）'!C:C&lt;=$L$4),ROW(),"-")</f>
        <v>-</v>
      </c>
    </row>
    <row r="40720" customHeight="1" spans="2:2">
      <c r="B40720" s="62" t="str">
        <f>IF(AND('领用录入（明细）'!D:D=$F$4,'领用录入（明细）'!C:C&gt;=$J$4,'领用录入（明细）'!C:C&lt;=$L$4),ROW(),"-")</f>
        <v>-</v>
      </c>
    </row>
    <row r="40721" customHeight="1" spans="2:2">
      <c r="B40721" s="62" t="str">
        <f>IF(AND('领用录入（明细）'!D:D=$F$4,'领用录入（明细）'!C:C&gt;=$J$4,'领用录入（明细）'!C:C&lt;=$L$4),ROW(),"-")</f>
        <v>-</v>
      </c>
    </row>
    <row r="40722" customHeight="1" spans="2:2">
      <c r="B40722" s="62" t="str">
        <f>IF(AND('领用录入（明细）'!D:D=$F$4,'领用录入（明细）'!C:C&gt;=$J$4,'领用录入（明细）'!C:C&lt;=$L$4),ROW(),"-")</f>
        <v>-</v>
      </c>
    </row>
    <row r="40723" customHeight="1" spans="2:2">
      <c r="B40723" s="62" t="str">
        <f>IF(AND('领用录入（明细）'!D:D=$F$4,'领用录入（明细）'!C:C&gt;=$J$4,'领用录入（明细）'!C:C&lt;=$L$4),ROW(),"-")</f>
        <v>-</v>
      </c>
    </row>
    <row r="40724" customHeight="1" spans="2:2">
      <c r="B40724" s="62" t="str">
        <f>IF(AND('领用录入（明细）'!D:D=$F$4,'领用录入（明细）'!C:C&gt;=$J$4,'领用录入（明细）'!C:C&lt;=$L$4),ROW(),"-")</f>
        <v>-</v>
      </c>
    </row>
    <row r="40725" customHeight="1" spans="2:2">
      <c r="B40725" s="62" t="str">
        <f>IF(AND('领用录入（明细）'!D:D=$F$4,'领用录入（明细）'!C:C&gt;=$J$4,'领用录入（明细）'!C:C&lt;=$L$4),ROW(),"-")</f>
        <v>-</v>
      </c>
    </row>
    <row r="40726" customHeight="1" spans="2:2">
      <c r="B40726" s="62" t="str">
        <f>IF(AND('领用录入（明细）'!D:D=$F$4,'领用录入（明细）'!C:C&gt;=$J$4,'领用录入（明细）'!C:C&lt;=$L$4),ROW(),"-")</f>
        <v>-</v>
      </c>
    </row>
    <row r="40727" customHeight="1" spans="2:2">
      <c r="B40727" s="62" t="str">
        <f>IF(AND('领用录入（明细）'!D:D=$F$4,'领用录入（明细）'!C:C&gt;=$J$4,'领用录入（明细）'!C:C&lt;=$L$4),ROW(),"-")</f>
        <v>-</v>
      </c>
    </row>
    <row r="40728" customHeight="1" spans="2:2">
      <c r="B40728" s="62" t="str">
        <f>IF(AND('领用录入（明细）'!D:D=$F$4,'领用录入（明细）'!C:C&gt;=$J$4,'领用录入（明细）'!C:C&lt;=$L$4),ROW(),"-")</f>
        <v>-</v>
      </c>
    </row>
    <row r="40729" customHeight="1" spans="2:2">
      <c r="B40729" s="62" t="str">
        <f>IF(AND('领用录入（明细）'!D:D=$F$4,'领用录入（明细）'!C:C&gt;=$J$4,'领用录入（明细）'!C:C&lt;=$L$4),ROW(),"-")</f>
        <v>-</v>
      </c>
    </row>
    <row r="40730" customHeight="1" spans="2:2">
      <c r="B40730" s="62" t="str">
        <f>IF(AND('领用录入（明细）'!D:D=$F$4,'领用录入（明细）'!C:C&gt;=$J$4,'领用录入（明细）'!C:C&lt;=$L$4),ROW(),"-")</f>
        <v>-</v>
      </c>
    </row>
    <row r="40731" customHeight="1" spans="2:2">
      <c r="B40731" s="62" t="str">
        <f>IF(AND('领用录入（明细）'!D:D=$F$4,'领用录入（明细）'!C:C&gt;=$J$4,'领用录入（明细）'!C:C&lt;=$L$4),ROW(),"-")</f>
        <v>-</v>
      </c>
    </row>
    <row r="40732" customHeight="1" spans="2:2">
      <c r="B40732" s="62" t="str">
        <f>IF(AND('领用录入（明细）'!D:D=$F$4,'领用录入（明细）'!C:C&gt;=$J$4,'领用录入（明细）'!C:C&lt;=$L$4),ROW(),"-")</f>
        <v>-</v>
      </c>
    </row>
    <row r="40733" customHeight="1" spans="2:2">
      <c r="B40733" s="62" t="str">
        <f>IF(AND('领用录入（明细）'!D:D=$F$4,'领用录入（明细）'!C:C&gt;=$J$4,'领用录入（明细）'!C:C&lt;=$L$4),ROW(),"-")</f>
        <v>-</v>
      </c>
    </row>
    <row r="40734" customHeight="1" spans="2:2">
      <c r="B40734" s="62" t="str">
        <f>IF(AND('领用录入（明细）'!D:D=$F$4,'领用录入（明细）'!C:C&gt;=$J$4,'领用录入（明细）'!C:C&lt;=$L$4),ROW(),"-")</f>
        <v>-</v>
      </c>
    </row>
    <row r="40735" customHeight="1" spans="2:2">
      <c r="B40735" s="62" t="str">
        <f>IF(AND('领用录入（明细）'!D:D=$F$4,'领用录入（明细）'!C:C&gt;=$J$4,'领用录入（明细）'!C:C&lt;=$L$4),ROW(),"-")</f>
        <v>-</v>
      </c>
    </row>
    <row r="40736" customHeight="1" spans="2:2">
      <c r="B40736" s="62" t="str">
        <f>IF(AND('领用录入（明细）'!D:D=$F$4,'领用录入（明细）'!C:C&gt;=$J$4,'领用录入（明细）'!C:C&lt;=$L$4),ROW(),"-")</f>
        <v>-</v>
      </c>
    </row>
    <row r="40737" customHeight="1" spans="2:2">
      <c r="B40737" s="62" t="str">
        <f>IF(AND('领用录入（明细）'!D:D=$F$4,'领用录入（明细）'!C:C&gt;=$J$4,'领用录入（明细）'!C:C&lt;=$L$4),ROW(),"-")</f>
        <v>-</v>
      </c>
    </row>
    <row r="40738" customHeight="1" spans="2:2">
      <c r="B40738" s="62" t="str">
        <f>IF(AND('领用录入（明细）'!D:D=$F$4,'领用录入（明细）'!C:C&gt;=$J$4,'领用录入（明细）'!C:C&lt;=$L$4),ROW(),"-")</f>
        <v>-</v>
      </c>
    </row>
    <row r="40739" customHeight="1" spans="2:2">
      <c r="B40739" s="62" t="str">
        <f>IF(AND('领用录入（明细）'!D:D=$F$4,'领用录入（明细）'!C:C&gt;=$J$4,'领用录入（明细）'!C:C&lt;=$L$4),ROW(),"-")</f>
        <v>-</v>
      </c>
    </row>
    <row r="40740" customHeight="1" spans="2:2">
      <c r="B40740" s="62" t="str">
        <f>IF(AND('领用录入（明细）'!D:D=$F$4,'领用录入（明细）'!C:C&gt;=$J$4,'领用录入（明细）'!C:C&lt;=$L$4),ROW(),"-")</f>
        <v>-</v>
      </c>
    </row>
    <row r="40741" customHeight="1" spans="2:2">
      <c r="B40741" s="62" t="str">
        <f>IF(AND('领用录入（明细）'!D:D=$F$4,'领用录入（明细）'!C:C&gt;=$J$4,'领用录入（明细）'!C:C&lt;=$L$4),ROW(),"-")</f>
        <v>-</v>
      </c>
    </row>
    <row r="40742" customHeight="1" spans="2:2">
      <c r="B40742" s="62" t="str">
        <f>IF(AND('领用录入（明细）'!D:D=$F$4,'领用录入（明细）'!C:C&gt;=$J$4,'领用录入（明细）'!C:C&lt;=$L$4),ROW(),"-")</f>
        <v>-</v>
      </c>
    </row>
    <row r="40743" customHeight="1" spans="2:2">
      <c r="B40743" s="62" t="str">
        <f>IF(AND('领用录入（明细）'!D:D=$F$4,'领用录入（明细）'!C:C&gt;=$J$4,'领用录入（明细）'!C:C&lt;=$L$4),ROW(),"-")</f>
        <v>-</v>
      </c>
    </row>
    <row r="40744" customHeight="1" spans="2:2">
      <c r="B40744" s="62" t="str">
        <f>IF(AND('领用录入（明细）'!D:D=$F$4,'领用录入（明细）'!C:C&gt;=$J$4,'领用录入（明细）'!C:C&lt;=$L$4),ROW(),"-")</f>
        <v>-</v>
      </c>
    </row>
    <row r="40745" customHeight="1" spans="2:2">
      <c r="B40745" s="62" t="str">
        <f>IF(AND('领用录入（明细）'!D:D=$F$4,'领用录入（明细）'!C:C&gt;=$J$4,'领用录入（明细）'!C:C&lt;=$L$4),ROW(),"-")</f>
        <v>-</v>
      </c>
    </row>
    <row r="40746" customHeight="1" spans="2:2">
      <c r="B40746" s="62" t="str">
        <f>IF(AND('领用录入（明细）'!D:D=$F$4,'领用录入（明细）'!C:C&gt;=$J$4,'领用录入（明细）'!C:C&lt;=$L$4),ROW(),"-")</f>
        <v>-</v>
      </c>
    </row>
    <row r="40747" customHeight="1" spans="2:2">
      <c r="B40747" s="62" t="str">
        <f>IF(AND('领用录入（明细）'!D:D=$F$4,'领用录入（明细）'!C:C&gt;=$J$4,'领用录入（明细）'!C:C&lt;=$L$4),ROW(),"-")</f>
        <v>-</v>
      </c>
    </row>
    <row r="40748" customHeight="1" spans="2:2">
      <c r="B40748" s="62" t="str">
        <f>IF(AND('领用录入（明细）'!D:D=$F$4,'领用录入（明细）'!C:C&gt;=$J$4,'领用录入（明细）'!C:C&lt;=$L$4),ROW(),"-")</f>
        <v>-</v>
      </c>
    </row>
    <row r="40749" customHeight="1" spans="2:2">
      <c r="B40749" s="62" t="str">
        <f>IF(AND('领用录入（明细）'!D:D=$F$4,'领用录入（明细）'!C:C&gt;=$J$4,'领用录入（明细）'!C:C&lt;=$L$4),ROW(),"-")</f>
        <v>-</v>
      </c>
    </row>
    <row r="40750" customHeight="1" spans="2:2">
      <c r="B40750" s="62" t="str">
        <f>IF(AND('领用录入（明细）'!D:D=$F$4,'领用录入（明细）'!C:C&gt;=$J$4,'领用录入（明细）'!C:C&lt;=$L$4),ROW(),"-")</f>
        <v>-</v>
      </c>
    </row>
    <row r="40751" customHeight="1" spans="2:2">
      <c r="B40751" s="62" t="str">
        <f>IF(AND('领用录入（明细）'!D:D=$F$4,'领用录入（明细）'!C:C&gt;=$J$4,'领用录入（明细）'!C:C&lt;=$L$4),ROW(),"-")</f>
        <v>-</v>
      </c>
    </row>
    <row r="40752" customHeight="1" spans="2:2">
      <c r="B40752" s="62" t="str">
        <f>IF(AND('领用录入（明细）'!D:D=$F$4,'领用录入（明细）'!C:C&gt;=$J$4,'领用录入（明细）'!C:C&lt;=$L$4),ROW(),"-")</f>
        <v>-</v>
      </c>
    </row>
    <row r="40753" customHeight="1" spans="2:2">
      <c r="B40753" s="62" t="str">
        <f>IF(AND('领用录入（明细）'!D:D=$F$4,'领用录入（明细）'!C:C&gt;=$J$4,'领用录入（明细）'!C:C&lt;=$L$4),ROW(),"-")</f>
        <v>-</v>
      </c>
    </row>
    <row r="40754" customHeight="1" spans="2:2">
      <c r="B40754" s="62" t="str">
        <f>IF(AND('领用录入（明细）'!D:D=$F$4,'领用录入（明细）'!C:C&gt;=$J$4,'领用录入（明细）'!C:C&lt;=$L$4),ROW(),"-")</f>
        <v>-</v>
      </c>
    </row>
    <row r="40755" customHeight="1" spans="2:2">
      <c r="B40755" s="62" t="str">
        <f>IF(AND('领用录入（明细）'!D:D=$F$4,'领用录入（明细）'!C:C&gt;=$J$4,'领用录入（明细）'!C:C&lt;=$L$4),ROW(),"-")</f>
        <v>-</v>
      </c>
    </row>
    <row r="40756" customHeight="1" spans="2:2">
      <c r="B40756" s="62" t="str">
        <f>IF(AND('领用录入（明细）'!D:D=$F$4,'领用录入（明细）'!C:C&gt;=$J$4,'领用录入（明细）'!C:C&lt;=$L$4),ROW(),"-")</f>
        <v>-</v>
      </c>
    </row>
    <row r="40757" customHeight="1" spans="2:2">
      <c r="B40757" s="62" t="str">
        <f>IF(AND('领用录入（明细）'!D:D=$F$4,'领用录入（明细）'!C:C&gt;=$J$4,'领用录入（明细）'!C:C&lt;=$L$4),ROW(),"-")</f>
        <v>-</v>
      </c>
    </row>
    <row r="40758" customHeight="1" spans="2:2">
      <c r="B40758" s="62" t="str">
        <f>IF(AND('领用录入（明细）'!D:D=$F$4,'领用录入（明细）'!C:C&gt;=$J$4,'领用录入（明细）'!C:C&lt;=$L$4),ROW(),"-")</f>
        <v>-</v>
      </c>
    </row>
    <row r="40759" customHeight="1" spans="2:2">
      <c r="B40759" s="62" t="str">
        <f>IF(AND('领用录入（明细）'!D:D=$F$4,'领用录入（明细）'!C:C&gt;=$J$4,'领用录入（明细）'!C:C&lt;=$L$4),ROW(),"-")</f>
        <v>-</v>
      </c>
    </row>
    <row r="40760" customHeight="1" spans="2:2">
      <c r="B40760" s="62" t="str">
        <f>IF(AND('领用录入（明细）'!D:D=$F$4,'领用录入（明细）'!C:C&gt;=$J$4,'领用录入（明细）'!C:C&lt;=$L$4),ROW(),"-")</f>
        <v>-</v>
      </c>
    </row>
    <row r="40761" customHeight="1" spans="2:2">
      <c r="B40761" s="62" t="str">
        <f>IF(AND('领用录入（明细）'!D:D=$F$4,'领用录入（明细）'!C:C&gt;=$J$4,'领用录入（明细）'!C:C&lt;=$L$4),ROW(),"-")</f>
        <v>-</v>
      </c>
    </row>
    <row r="40762" customHeight="1" spans="2:2">
      <c r="B40762" s="62" t="str">
        <f>IF(AND('领用录入（明细）'!D:D=$F$4,'领用录入（明细）'!C:C&gt;=$J$4,'领用录入（明细）'!C:C&lt;=$L$4),ROW(),"-")</f>
        <v>-</v>
      </c>
    </row>
    <row r="40763" customHeight="1" spans="2:2">
      <c r="B40763" s="62" t="str">
        <f>IF(AND('领用录入（明细）'!D:D=$F$4,'领用录入（明细）'!C:C&gt;=$J$4,'领用录入（明细）'!C:C&lt;=$L$4),ROW(),"-")</f>
        <v>-</v>
      </c>
    </row>
    <row r="40764" customHeight="1" spans="2:2">
      <c r="B40764" s="62" t="str">
        <f>IF(AND('领用录入（明细）'!D:D=$F$4,'领用录入（明细）'!C:C&gt;=$J$4,'领用录入（明细）'!C:C&lt;=$L$4),ROW(),"-")</f>
        <v>-</v>
      </c>
    </row>
    <row r="40765" customHeight="1" spans="2:2">
      <c r="B40765" s="62" t="str">
        <f>IF(AND('领用录入（明细）'!D:D=$F$4,'领用录入（明细）'!C:C&gt;=$J$4,'领用录入（明细）'!C:C&lt;=$L$4),ROW(),"-")</f>
        <v>-</v>
      </c>
    </row>
    <row r="40766" customHeight="1" spans="2:2">
      <c r="B40766" s="62" t="str">
        <f>IF(AND('领用录入（明细）'!D:D=$F$4,'领用录入（明细）'!C:C&gt;=$J$4,'领用录入（明细）'!C:C&lt;=$L$4),ROW(),"-")</f>
        <v>-</v>
      </c>
    </row>
    <row r="40767" customHeight="1" spans="2:2">
      <c r="B40767" s="62" t="str">
        <f>IF(AND('领用录入（明细）'!D:D=$F$4,'领用录入（明细）'!C:C&gt;=$J$4,'领用录入（明细）'!C:C&lt;=$L$4),ROW(),"-")</f>
        <v>-</v>
      </c>
    </row>
    <row r="40768" customHeight="1" spans="2:2">
      <c r="B40768" s="62" t="str">
        <f>IF(AND('领用录入（明细）'!D:D=$F$4,'领用录入（明细）'!C:C&gt;=$J$4,'领用录入（明细）'!C:C&lt;=$L$4),ROW(),"-")</f>
        <v>-</v>
      </c>
    </row>
    <row r="40769" customHeight="1" spans="2:2">
      <c r="B40769" s="62" t="str">
        <f>IF(AND('领用录入（明细）'!D:D=$F$4,'领用录入（明细）'!C:C&gt;=$J$4,'领用录入（明细）'!C:C&lt;=$L$4),ROW(),"-")</f>
        <v>-</v>
      </c>
    </row>
    <row r="40770" customHeight="1" spans="2:2">
      <c r="B40770" s="62" t="str">
        <f>IF(AND('领用录入（明细）'!D:D=$F$4,'领用录入（明细）'!C:C&gt;=$J$4,'领用录入（明细）'!C:C&lt;=$L$4),ROW(),"-")</f>
        <v>-</v>
      </c>
    </row>
    <row r="40771" customHeight="1" spans="2:2">
      <c r="B40771" s="62" t="str">
        <f>IF(AND('领用录入（明细）'!D:D=$F$4,'领用录入（明细）'!C:C&gt;=$J$4,'领用录入（明细）'!C:C&lt;=$L$4),ROW(),"-")</f>
        <v>-</v>
      </c>
    </row>
    <row r="40772" customHeight="1" spans="2:2">
      <c r="B40772" s="62" t="str">
        <f>IF(AND('领用录入（明细）'!D:D=$F$4,'领用录入（明细）'!C:C&gt;=$J$4,'领用录入（明细）'!C:C&lt;=$L$4),ROW(),"-")</f>
        <v>-</v>
      </c>
    </row>
    <row r="40773" customHeight="1" spans="2:2">
      <c r="B40773" s="62" t="str">
        <f>IF(AND('领用录入（明细）'!D:D=$F$4,'领用录入（明细）'!C:C&gt;=$J$4,'领用录入（明细）'!C:C&lt;=$L$4),ROW(),"-")</f>
        <v>-</v>
      </c>
    </row>
    <row r="40774" customHeight="1" spans="2:2">
      <c r="B40774" s="62" t="str">
        <f>IF(AND('领用录入（明细）'!D:D=$F$4,'领用录入（明细）'!C:C&gt;=$J$4,'领用录入（明细）'!C:C&lt;=$L$4),ROW(),"-")</f>
        <v>-</v>
      </c>
    </row>
    <row r="40775" customHeight="1" spans="2:2">
      <c r="B40775" s="62" t="str">
        <f>IF(AND('领用录入（明细）'!D:D=$F$4,'领用录入（明细）'!C:C&gt;=$J$4,'领用录入（明细）'!C:C&lt;=$L$4),ROW(),"-")</f>
        <v>-</v>
      </c>
    </row>
    <row r="40776" customHeight="1" spans="2:2">
      <c r="B40776" s="62" t="str">
        <f>IF(AND('领用录入（明细）'!D:D=$F$4,'领用录入（明细）'!C:C&gt;=$J$4,'领用录入（明细）'!C:C&lt;=$L$4),ROW(),"-")</f>
        <v>-</v>
      </c>
    </row>
    <row r="40777" customHeight="1" spans="2:2">
      <c r="B40777" s="62" t="str">
        <f>IF(AND('领用录入（明细）'!D:D=$F$4,'领用录入（明细）'!C:C&gt;=$J$4,'领用录入（明细）'!C:C&lt;=$L$4),ROW(),"-")</f>
        <v>-</v>
      </c>
    </row>
    <row r="40778" customHeight="1" spans="2:2">
      <c r="B40778" s="62" t="str">
        <f>IF(AND('领用录入（明细）'!D:D=$F$4,'领用录入（明细）'!C:C&gt;=$J$4,'领用录入（明细）'!C:C&lt;=$L$4),ROW(),"-")</f>
        <v>-</v>
      </c>
    </row>
    <row r="40779" customHeight="1" spans="2:2">
      <c r="B40779" s="62" t="str">
        <f>IF(AND('领用录入（明细）'!D:D=$F$4,'领用录入（明细）'!C:C&gt;=$J$4,'领用录入（明细）'!C:C&lt;=$L$4),ROW(),"-")</f>
        <v>-</v>
      </c>
    </row>
    <row r="40780" customHeight="1" spans="2:2">
      <c r="B40780" s="62" t="str">
        <f>IF(AND('领用录入（明细）'!D:D=$F$4,'领用录入（明细）'!C:C&gt;=$J$4,'领用录入（明细）'!C:C&lt;=$L$4),ROW(),"-")</f>
        <v>-</v>
      </c>
    </row>
    <row r="40781" customHeight="1" spans="2:2">
      <c r="B40781" s="62" t="str">
        <f>IF(AND('领用录入（明细）'!D:D=$F$4,'领用录入（明细）'!C:C&gt;=$J$4,'领用录入（明细）'!C:C&lt;=$L$4),ROW(),"-")</f>
        <v>-</v>
      </c>
    </row>
    <row r="40782" customHeight="1" spans="2:2">
      <c r="B40782" s="62" t="str">
        <f>IF(AND('领用录入（明细）'!D:D=$F$4,'领用录入（明细）'!C:C&gt;=$J$4,'领用录入（明细）'!C:C&lt;=$L$4),ROW(),"-")</f>
        <v>-</v>
      </c>
    </row>
    <row r="40783" customHeight="1" spans="2:2">
      <c r="B40783" s="62" t="str">
        <f>IF(AND('领用录入（明细）'!D:D=$F$4,'领用录入（明细）'!C:C&gt;=$J$4,'领用录入（明细）'!C:C&lt;=$L$4),ROW(),"-")</f>
        <v>-</v>
      </c>
    </row>
    <row r="40784" customHeight="1" spans="2:2">
      <c r="B40784" s="62" t="str">
        <f>IF(AND('领用录入（明细）'!D:D=$F$4,'领用录入（明细）'!C:C&gt;=$J$4,'领用录入（明细）'!C:C&lt;=$L$4),ROW(),"-")</f>
        <v>-</v>
      </c>
    </row>
    <row r="40785" customHeight="1" spans="2:2">
      <c r="B40785" s="62" t="str">
        <f>IF(AND('领用录入（明细）'!D:D=$F$4,'领用录入（明细）'!C:C&gt;=$J$4,'领用录入（明细）'!C:C&lt;=$L$4),ROW(),"-")</f>
        <v>-</v>
      </c>
    </row>
    <row r="40786" customHeight="1" spans="2:2">
      <c r="B40786" s="62" t="str">
        <f>IF(AND('领用录入（明细）'!D:D=$F$4,'领用录入（明细）'!C:C&gt;=$J$4,'领用录入（明细）'!C:C&lt;=$L$4),ROW(),"-")</f>
        <v>-</v>
      </c>
    </row>
    <row r="40787" customHeight="1" spans="2:2">
      <c r="B40787" s="62" t="str">
        <f>IF(AND('领用录入（明细）'!D:D=$F$4,'领用录入（明细）'!C:C&gt;=$J$4,'领用录入（明细）'!C:C&lt;=$L$4),ROW(),"-")</f>
        <v>-</v>
      </c>
    </row>
    <row r="40788" customHeight="1" spans="2:2">
      <c r="B40788" s="62" t="str">
        <f>IF(AND('领用录入（明细）'!D:D=$F$4,'领用录入（明细）'!C:C&gt;=$J$4,'领用录入（明细）'!C:C&lt;=$L$4),ROW(),"-")</f>
        <v>-</v>
      </c>
    </row>
    <row r="40789" customHeight="1" spans="2:2">
      <c r="B40789" s="62" t="str">
        <f>IF(AND('领用录入（明细）'!D:D=$F$4,'领用录入（明细）'!C:C&gt;=$J$4,'领用录入（明细）'!C:C&lt;=$L$4),ROW(),"-")</f>
        <v>-</v>
      </c>
    </row>
    <row r="40790" customHeight="1" spans="2:2">
      <c r="B40790" s="62" t="str">
        <f>IF(AND('领用录入（明细）'!D:D=$F$4,'领用录入（明细）'!C:C&gt;=$J$4,'领用录入（明细）'!C:C&lt;=$L$4),ROW(),"-")</f>
        <v>-</v>
      </c>
    </row>
    <row r="40791" customHeight="1" spans="2:2">
      <c r="B40791" s="62" t="str">
        <f>IF(AND('领用录入（明细）'!D:D=$F$4,'领用录入（明细）'!C:C&gt;=$J$4,'领用录入（明细）'!C:C&lt;=$L$4),ROW(),"-")</f>
        <v>-</v>
      </c>
    </row>
    <row r="40792" customHeight="1" spans="2:2">
      <c r="B40792" s="62" t="str">
        <f>IF(AND('领用录入（明细）'!D:D=$F$4,'领用录入（明细）'!C:C&gt;=$J$4,'领用录入（明细）'!C:C&lt;=$L$4),ROW(),"-")</f>
        <v>-</v>
      </c>
    </row>
    <row r="40793" customHeight="1" spans="2:2">
      <c r="B40793" s="62" t="str">
        <f>IF(AND('领用录入（明细）'!D:D=$F$4,'领用录入（明细）'!C:C&gt;=$J$4,'领用录入（明细）'!C:C&lt;=$L$4),ROW(),"-")</f>
        <v>-</v>
      </c>
    </row>
    <row r="40794" customHeight="1" spans="2:2">
      <c r="B40794" s="62" t="str">
        <f>IF(AND('领用录入（明细）'!D:D=$F$4,'领用录入（明细）'!C:C&gt;=$J$4,'领用录入（明细）'!C:C&lt;=$L$4),ROW(),"-")</f>
        <v>-</v>
      </c>
    </row>
    <row r="40795" customHeight="1" spans="2:2">
      <c r="B40795" s="62" t="str">
        <f>IF(AND('领用录入（明细）'!D:D=$F$4,'领用录入（明细）'!C:C&gt;=$J$4,'领用录入（明细）'!C:C&lt;=$L$4),ROW(),"-")</f>
        <v>-</v>
      </c>
    </row>
    <row r="40796" customHeight="1" spans="2:2">
      <c r="B40796" s="62" t="str">
        <f>IF(AND('领用录入（明细）'!D:D=$F$4,'领用录入（明细）'!C:C&gt;=$J$4,'领用录入（明细）'!C:C&lt;=$L$4),ROW(),"-")</f>
        <v>-</v>
      </c>
    </row>
    <row r="40797" customHeight="1" spans="2:2">
      <c r="B40797" s="62" t="str">
        <f>IF(AND('领用录入（明细）'!D:D=$F$4,'领用录入（明细）'!C:C&gt;=$J$4,'领用录入（明细）'!C:C&lt;=$L$4),ROW(),"-")</f>
        <v>-</v>
      </c>
    </row>
    <row r="40798" customHeight="1" spans="2:2">
      <c r="B40798" s="62" t="str">
        <f>IF(AND('领用录入（明细）'!D:D=$F$4,'领用录入（明细）'!C:C&gt;=$J$4,'领用录入（明细）'!C:C&lt;=$L$4),ROW(),"-")</f>
        <v>-</v>
      </c>
    </row>
    <row r="40799" customHeight="1" spans="2:2">
      <c r="B40799" s="62" t="str">
        <f>IF(AND('领用录入（明细）'!D:D=$F$4,'领用录入（明细）'!C:C&gt;=$J$4,'领用录入（明细）'!C:C&lt;=$L$4),ROW(),"-")</f>
        <v>-</v>
      </c>
    </row>
    <row r="40800" customHeight="1" spans="2:2">
      <c r="B40800" s="62" t="str">
        <f>IF(AND('领用录入（明细）'!D:D=$F$4,'领用录入（明细）'!C:C&gt;=$J$4,'领用录入（明细）'!C:C&lt;=$L$4),ROW(),"-")</f>
        <v>-</v>
      </c>
    </row>
    <row r="40801" customHeight="1" spans="2:2">
      <c r="B40801" s="62" t="str">
        <f>IF(AND('领用录入（明细）'!D:D=$F$4,'领用录入（明细）'!C:C&gt;=$J$4,'领用录入（明细）'!C:C&lt;=$L$4),ROW(),"-")</f>
        <v>-</v>
      </c>
    </row>
    <row r="40802" customHeight="1" spans="2:2">
      <c r="B40802" s="62" t="str">
        <f>IF(AND('领用录入（明细）'!D:D=$F$4,'领用录入（明细）'!C:C&gt;=$J$4,'领用录入（明细）'!C:C&lt;=$L$4),ROW(),"-")</f>
        <v>-</v>
      </c>
    </row>
    <row r="40803" customHeight="1" spans="2:2">
      <c r="B40803" s="62" t="str">
        <f>IF(AND('领用录入（明细）'!D:D=$F$4,'领用录入（明细）'!C:C&gt;=$J$4,'领用录入（明细）'!C:C&lt;=$L$4),ROW(),"-")</f>
        <v>-</v>
      </c>
    </row>
    <row r="40804" customHeight="1" spans="2:2">
      <c r="B40804" s="62" t="str">
        <f>IF(AND('领用录入（明细）'!D:D=$F$4,'领用录入（明细）'!C:C&gt;=$J$4,'领用录入（明细）'!C:C&lt;=$L$4),ROW(),"-")</f>
        <v>-</v>
      </c>
    </row>
    <row r="40805" customHeight="1" spans="2:2">
      <c r="B40805" s="62" t="str">
        <f>IF(AND('领用录入（明细）'!D:D=$F$4,'领用录入（明细）'!C:C&gt;=$J$4,'领用录入（明细）'!C:C&lt;=$L$4),ROW(),"-")</f>
        <v>-</v>
      </c>
    </row>
    <row r="40806" customHeight="1" spans="2:2">
      <c r="B40806" s="62" t="str">
        <f>IF(AND('领用录入（明细）'!D:D=$F$4,'领用录入（明细）'!C:C&gt;=$J$4,'领用录入（明细）'!C:C&lt;=$L$4),ROW(),"-")</f>
        <v>-</v>
      </c>
    </row>
    <row r="40807" customHeight="1" spans="2:2">
      <c r="B40807" s="62" t="str">
        <f>IF(AND('领用录入（明细）'!D:D=$F$4,'领用录入（明细）'!C:C&gt;=$J$4,'领用录入（明细）'!C:C&lt;=$L$4),ROW(),"-")</f>
        <v>-</v>
      </c>
    </row>
    <row r="40808" customHeight="1" spans="2:2">
      <c r="B40808" s="62" t="str">
        <f>IF(AND('领用录入（明细）'!D:D=$F$4,'领用录入（明细）'!C:C&gt;=$J$4,'领用录入（明细）'!C:C&lt;=$L$4),ROW(),"-")</f>
        <v>-</v>
      </c>
    </row>
    <row r="40809" customHeight="1" spans="2:2">
      <c r="B40809" s="62" t="str">
        <f>IF(AND('领用录入（明细）'!D:D=$F$4,'领用录入（明细）'!C:C&gt;=$J$4,'领用录入（明细）'!C:C&lt;=$L$4),ROW(),"-")</f>
        <v>-</v>
      </c>
    </row>
    <row r="40810" customHeight="1" spans="2:2">
      <c r="B40810" s="62" t="str">
        <f>IF(AND('领用录入（明细）'!D:D=$F$4,'领用录入（明细）'!C:C&gt;=$J$4,'领用录入（明细）'!C:C&lt;=$L$4),ROW(),"-")</f>
        <v>-</v>
      </c>
    </row>
    <row r="40811" customHeight="1" spans="2:2">
      <c r="B40811" s="62" t="str">
        <f>IF(AND('领用录入（明细）'!D:D=$F$4,'领用录入（明细）'!C:C&gt;=$J$4,'领用录入（明细）'!C:C&lt;=$L$4),ROW(),"-")</f>
        <v>-</v>
      </c>
    </row>
    <row r="40812" customHeight="1" spans="2:2">
      <c r="B40812" s="62" t="str">
        <f>IF(AND('领用录入（明细）'!D:D=$F$4,'领用录入（明细）'!C:C&gt;=$J$4,'领用录入（明细）'!C:C&lt;=$L$4),ROW(),"-")</f>
        <v>-</v>
      </c>
    </row>
    <row r="40813" customHeight="1" spans="2:2">
      <c r="B40813" s="62" t="str">
        <f>IF(AND('领用录入（明细）'!D:D=$F$4,'领用录入（明细）'!C:C&gt;=$J$4,'领用录入（明细）'!C:C&lt;=$L$4),ROW(),"-")</f>
        <v>-</v>
      </c>
    </row>
    <row r="40814" customHeight="1" spans="2:2">
      <c r="B40814" s="62" t="str">
        <f>IF(AND('领用录入（明细）'!D:D=$F$4,'领用录入（明细）'!C:C&gt;=$J$4,'领用录入（明细）'!C:C&lt;=$L$4),ROW(),"-")</f>
        <v>-</v>
      </c>
    </row>
    <row r="40815" customHeight="1" spans="2:2">
      <c r="B40815" s="62" t="str">
        <f>IF(AND('领用录入（明细）'!D:D=$F$4,'领用录入（明细）'!C:C&gt;=$J$4,'领用录入（明细）'!C:C&lt;=$L$4),ROW(),"-")</f>
        <v>-</v>
      </c>
    </row>
    <row r="40816" customHeight="1" spans="2:2">
      <c r="B40816" s="62" t="str">
        <f>IF(AND('领用录入（明细）'!D:D=$F$4,'领用录入（明细）'!C:C&gt;=$J$4,'领用录入（明细）'!C:C&lt;=$L$4),ROW(),"-")</f>
        <v>-</v>
      </c>
    </row>
    <row r="40817" customHeight="1" spans="2:2">
      <c r="B40817" s="62" t="str">
        <f>IF(AND('领用录入（明细）'!D:D=$F$4,'领用录入（明细）'!C:C&gt;=$J$4,'领用录入（明细）'!C:C&lt;=$L$4),ROW(),"-")</f>
        <v>-</v>
      </c>
    </row>
    <row r="40818" customHeight="1" spans="2:2">
      <c r="B40818" s="62" t="str">
        <f>IF(AND('领用录入（明细）'!D:D=$F$4,'领用录入（明细）'!C:C&gt;=$J$4,'领用录入（明细）'!C:C&lt;=$L$4),ROW(),"-")</f>
        <v>-</v>
      </c>
    </row>
    <row r="40819" customHeight="1" spans="2:2">
      <c r="B40819" s="62" t="str">
        <f>IF(AND('领用录入（明细）'!D:D=$F$4,'领用录入（明细）'!C:C&gt;=$J$4,'领用录入（明细）'!C:C&lt;=$L$4),ROW(),"-")</f>
        <v>-</v>
      </c>
    </row>
    <row r="40820" customHeight="1" spans="2:2">
      <c r="B40820" s="62" t="str">
        <f>IF(AND('领用录入（明细）'!D:D=$F$4,'领用录入（明细）'!C:C&gt;=$J$4,'领用录入（明细）'!C:C&lt;=$L$4),ROW(),"-")</f>
        <v>-</v>
      </c>
    </row>
    <row r="40821" customHeight="1" spans="2:2">
      <c r="B40821" s="62" t="str">
        <f>IF(AND('领用录入（明细）'!D:D=$F$4,'领用录入（明细）'!C:C&gt;=$J$4,'领用录入（明细）'!C:C&lt;=$L$4),ROW(),"-")</f>
        <v>-</v>
      </c>
    </row>
    <row r="40822" customHeight="1" spans="2:2">
      <c r="B40822" s="62" t="str">
        <f>IF(AND('领用录入（明细）'!D:D=$F$4,'领用录入（明细）'!C:C&gt;=$J$4,'领用录入（明细）'!C:C&lt;=$L$4),ROW(),"-")</f>
        <v>-</v>
      </c>
    </row>
    <row r="40823" customHeight="1" spans="2:2">
      <c r="B40823" s="62" t="str">
        <f>IF(AND('领用录入（明细）'!D:D=$F$4,'领用录入（明细）'!C:C&gt;=$J$4,'领用录入（明细）'!C:C&lt;=$L$4),ROW(),"-")</f>
        <v>-</v>
      </c>
    </row>
    <row r="40824" customHeight="1" spans="2:2">
      <c r="B40824" s="62" t="str">
        <f>IF(AND('领用录入（明细）'!D:D=$F$4,'领用录入（明细）'!C:C&gt;=$J$4,'领用录入（明细）'!C:C&lt;=$L$4),ROW(),"-")</f>
        <v>-</v>
      </c>
    </row>
    <row r="40825" customHeight="1" spans="2:2">
      <c r="B40825" s="62" t="str">
        <f>IF(AND('领用录入（明细）'!D:D=$F$4,'领用录入（明细）'!C:C&gt;=$J$4,'领用录入（明细）'!C:C&lt;=$L$4),ROW(),"-")</f>
        <v>-</v>
      </c>
    </row>
    <row r="40826" customHeight="1" spans="2:2">
      <c r="B40826" s="62" t="str">
        <f>IF(AND('领用录入（明细）'!D:D=$F$4,'领用录入（明细）'!C:C&gt;=$J$4,'领用录入（明细）'!C:C&lt;=$L$4),ROW(),"-")</f>
        <v>-</v>
      </c>
    </row>
    <row r="40827" customHeight="1" spans="2:2">
      <c r="B40827" s="62" t="str">
        <f>IF(AND('领用录入（明细）'!D:D=$F$4,'领用录入（明细）'!C:C&gt;=$J$4,'领用录入（明细）'!C:C&lt;=$L$4),ROW(),"-")</f>
        <v>-</v>
      </c>
    </row>
    <row r="40828" customHeight="1" spans="2:2">
      <c r="B40828" s="62" t="str">
        <f>IF(AND('领用录入（明细）'!D:D=$F$4,'领用录入（明细）'!C:C&gt;=$J$4,'领用录入（明细）'!C:C&lt;=$L$4),ROW(),"-")</f>
        <v>-</v>
      </c>
    </row>
    <row r="40829" customHeight="1" spans="2:2">
      <c r="B40829" s="62" t="str">
        <f>IF(AND('领用录入（明细）'!D:D=$F$4,'领用录入（明细）'!C:C&gt;=$J$4,'领用录入（明细）'!C:C&lt;=$L$4),ROW(),"-")</f>
        <v>-</v>
      </c>
    </row>
    <row r="40830" customHeight="1" spans="2:2">
      <c r="B40830" s="62" t="str">
        <f>IF(AND('领用录入（明细）'!D:D=$F$4,'领用录入（明细）'!C:C&gt;=$J$4,'领用录入（明细）'!C:C&lt;=$L$4),ROW(),"-")</f>
        <v>-</v>
      </c>
    </row>
    <row r="40831" customHeight="1" spans="2:2">
      <c r="B40831" s="62" t="str">
        <f>IF(AND('领用录入（明细）'!D:D=$F$4,'领用录入（明细）'!C:C&gt;=$J$4,'领用录入（明细）'!C:C&lt;=$L$4),ROW(),"-")</f>
        <v>-</v>
      </c>
    </row>
    <row r="40832" customHeight="1" spans="2:2">
      <c r="B40832" s="62" t="str">
        <f>IF(AND('领用录入（明细）'!D:D=$F$4,'领用录入（明细）'!C:C&gt;=$J$4,'领用录入（明细）'!C:C&lt;=$L$4),ROW(),"-")</f>
        <v>-</v>
      </c>
    </row>
    <row r="40833" customHeight="1" spans="2:2">
      <c r="B40833" s="62" t="str">
        <f>IF(AND('领用录入（明细）'!D:D=$F$4,'领用录入（明细）'!C:C&gt;=$J$4,'领用录入（明细）'!C:C&lt;=$L$4),ROW(),"-")</f>
        <v>-</v>
      </c>
    </row>
    <row r="40834" customHeight="1" spans="2:2">
      <c r="B40834" s="62" t="str">
        <f>IF(AND('领用录入（明细）'!D:D=$F$4,'领用录入（明细）'!C:C&gt;=$J$4,'领用录入（明细）'!C:C&lt;=$L$4),ROW(),"-")</f>
        <v>-</v>
      </c>
    </row>
    <row r="40835" customHeight="1" spans="2:2">
      <c r="B40835" s="62" t="str">
        <f>IF(AND('领用录入（明细）'!D:D=$F$4,'领用录入（明细）'!C:C&gt;=$J$4,'领用录入（明细）'!C:C&lt;=$L$4),ROW(),"-")</f>
        <v>-</v>
      </c>
    </row>
    <row r="40836" customHeight="1" spans="2:2">
      <c r="B40836" s="62" t="str">
        <f>IF(AND('领用录入（明细）'!D:D=$F$4,'领用录入（明细）'!C:C&gt;=$J$4,'领用录入（明细）'!C:C&lt;=$L$4),ROW(),"-")</f>
        <v>-</v>
      </c>
    </row>
    <row r="40837" customHeight="1" spans="2:2">
      <c r="B40837" s="62" t="str">
        <f>IF(AND('领用录入（明细）'!D:D=$F$4,'领用录入（明细）'!C:C&gt;=$J$4,'领用录入（明细）'!C:C&lt;=$L$4),ROW(),"-")</f>
        <v>-</v>
      </c>
    </row>
    <row r="40838" customHeight="1" spans="2:2">
      <c r="B40838" s="62" t="str">
        <f>IF(AND('领用录入（明细）'!D:D=$F$4,'领用录入（明细）'!C:C&gt;=$J$4,'领用录入（明细）'!C:C&lt;=$L$4),ROW(),"-")</f>
        <v>-</v>
      </c>
    </row>
    <row r="40839" customHeight="1" spans="2:2">
      <c r="B40839" s="62" t="str">
        <f>IF(AND('领用录入（明细）'!D:D=$F$4,'领用录入（明细）'!C:C&gt;=$J$4,'领用录入（明细）'!C:C&lt;=$L$4),ROW(),"-")</f>
        <v>-</v>
      </c>
    </row>
    <row r="40840" customHeight="1" spans="2:2">
      <c r="B40840" s="62" t="str">
        <f>IF(AND('领用录入（明细）'!D:D=$F$4,'领用录入（明细）'!C:C&gt;=$J$4,'领用录入（明细）'!C:C&lt;=$L$4),ROW(),"-")</f>
        <v>-</v>
      </c>
    </row>
    <row r="40841" customHeight="1" spans="2:2">
      <c r="B40841" s="62" t="str">
        <f>IF(AND('领用录入（明细）'!D:D=$F$4,'领用录入（明细）'!C:C&gt;=$J$4,'领用录入（明细）'!C:C&lt;=$L$4),ROW(),"-")</f>
        <v>-</v>
      </c>
    </row>
    <row r="40842" customHeight="1" spans="2:2">
      <c r="B40842" s="62" t="str">
        <f>IF(AND('领用录入（明细）'!D:D=$F$4,'领用录入（明细）'!C:C&gt;=$J$4,'领用录入（明细）'!C:C&lt;=$L$4),ROW(),"-")</f>
        <v>-</v>
      </c>
    </row>
    <row r="40843" customHeight="1" spans="2:2">
      <c r="B40843" s="62" t="str">
        <f>IF(AND('领用录入（明细）'!D:D=$F$4,'领用录入（明细）'!C:C&gt;=$J$4,'领用录入（明细）'!C:C&lt;=$L$4),ROW(),"-")</f>
        <v>-</v>
      </c>
    </row>
    <row r="40844" customHeight="1" spans="2:2">
      <c r="B40844" s="62" t="str">
        <f>IF(AND('领用录入（明细）'!D:D=$F$4,'领用录入（明细）'!C:C&gt;=$J$4,'领用录入（明细）'!C:C&lt;=$L$4),ROW(),"-")</f>
        <v>-</v>
      </c>
    </row>
    <row r="40845" customHeight="1" spans="2:2">
      <c r="B40845" s="62" t="str">
        <f>IF(AND('领用录入（明细）'!D:D=$F$4,'领用录入（明细）'!C:C&gt;=$J$4,'领用录入（明细）'!C:C&lt;=$L$4),ROW(),"-")</f>
        <v>-</v>
      </c>
    </row>
    <row r="40846" customHeight="1" spans="2:2">
      <c r="B40846" s="62" t="str">
        <f>IF(AND('领用录入（明细）'!D:D=$F$4,'领用录入（明细）'!C:C&gt;=$J$4,'领用录入（明细）'!C:C&lt;=$L$4),ROW(),"-")</f>
        <v>-</v>
      </c>
    </row>
    <row r="40847" customHeight="1" spans="2:2">
      <c r="B40847" s="62" t="str">
        <f>IF(AND('领用录入（明细）'!D:D=$F$4,'领用录入（明细）'!C:C&gt;=$J$4,'领用录入（明细）'!C:C&lt;=$L$4),ROW(),"-")</f>
        <v>-</v>
      </c>
    </row>
    <row r="40848" customHeight="1" spans="2:2">
      <c r="B40848" s="62" t="str">
        <f>IF(AND('领用录入（明细）'!D:D=$F$4,'领用录入（明细）'!C:C&gt;=$J$4,'领用录入（明细）'!C:C&lt;=$L$4),ROW(),"-")</f>
        <v>-</v>
      </c>
    </row>
    <row r="40849" customHeight="1" spans="2:2">
      <c r="B40849" s="62" t="str">
        <f>IF(AND('领用录入（明细）'!D:D=$F$4,'领用录入（明细）'!C:C&gt;=$J$4,'领用录入（明细）'!C:C&lt;=$L$4),ROW(),"-")</f>
        <v>-</v>
      </c>
    </row>
    <row r="40850" customHeight="1" spans="2:2">
      <c r="B40850" s="62" t="str">
        <f>IF(AND('领用录入（明细）'!D:D=$F$4,'领用录入（明细）'!C:C&gt;=$J$4,'领用录入（明细）'!C:C&lt;=$L$4),ROW(),"-")</f>
        <v>-</v>
      </c>
    </row>
    <row r="40851" customHeight="1" spans="2:2">
      <c r="B40851" s="62" t="str">
        <f>IF(AND('领用录入（明细）'!D:D=$F$4,'领用录入（明细）'!C:C&gt;=$J$4,'领用录入（明细）'!C:C&lt;=$L$4),ROW(),"-")</f>
        <v>-</v>
      </c>
    </row>
    <row r="40852" customHeight="1" spans="2:2">
      <c r="B40852" s="62" t="str">
        <f>IF(AND('领用录入（明细）'!D:D=$F$4,'领用录入（明细）'!C:C&gt;=$J$4,'领用录入（明细）'!C:C&lt;=$L$4),ROW(),"-")</f>
        <v>-</v>
      </c>
    </row>
    <row r="40853" customHeight="1" spans="2:2">
      <c r="B40853" s="62" t="str">
        <f>IF(AND('领用录入（明细）'!D:D=$F$4,'领用录入（明细）'!C:C&gt;=$J$4,'领用录入（明细）'!C:C&lt;=$L$4),ROW(),"-")</f>
        <v>-</v>
      </c>
    </row>
    <row r="40854" customHeight="1" spans="2:2">
      <c r="B40854" s="62" t="str">
        <f>IF(AND('领用录入（明细）'!D:D=$F$4,'领用录入（明细）'!C:C&gt;=$J$4,'领用录入（明细）'!C:C&lt;=$L$4),ROW(),"-")</f>
        <v>-</v>
      </c>
    </row>
    <row r="40855" customHeight="1" spans="2:2">
      <c r="B40855" s="62" t="str">
        <f>IF(AND('领用录入（明细）'!D:D=$F$4,'领用录入（明细）'!C:C&gt;=$J$4,'领用录入（明细）'!C:C&lt;=$L$4),ROW(),"-")</f>
        <v>-</v>
      </c>
    </row>
    <row r="40856" customHeight="1" spans="2:2">
      <c r="B40856" s="62" t="str">
        <f>IF(AND('领用录入（明细）'!D:D=$F$4,'领用录入（明细）'!C:C&gt;=$J$4,'领用录入（明细）'!C:C&lt;=$L$4),ROW(),"-")</f>
        <v>-</v>
      </c>
    </row>
    <row r="40857" customHeight="1" spans="2:2">
      <c r="B40857" s="62" t="str">
        <f>IF(AND('领用录入（明细）'!D:D=$F$4,'领用录入（明细）'!C:C&gt;=$J$4,'领用录入（明细）'!C:C&lt;=$L$4),ROW(),"-")</f>
        <v>-</v>
      </c>
    </row>
    <row r="40858" customHeight="1" spans="2:2">
      <c r="B40858" s="62" t="str">
        <f>IF(AND('领用录入（明细）'!D:D=$F$4,'领用录入（明细）'!C:C&gt;=$J$4,'领用录入（明细）'!C:C&lt;=$L$4),ROW(),"-")</f>
        <v>-</v>
      </c>
    </row>
    <row r="40859" customHeight="1" spans="2:2">
      <c r="B40859" s="62" t="str">
        <f>IF(AND('领用录入（明细）'!D:D=$F$4,'领用录入（明细）'!C:C&gt;=$J$4,'领用录入（明细）'!C:C&lt;=$L$4),ROW(),"-")</f>
        <v>-</v>
      </c>
    </row>
    <row r="40860" customHeight="1" spans="2:2">
      <c r="B40860" s="62" t="str">
        <f>IF(AND('领用录入（明细）'!D:D=$F$4,'领用录入（明细）'!C:C&gt;=$J$4,'领用录入（明细）'!C:C&lt;=$L$4),ROW(),"-")</f>
        <v>-</v>
      </c>
    </row>
    <row r="40861" customHeight="1" spans="2:2">
      <c r="B40861" s="62" t="str">
        <f>IF(AND('领用录入（明细）'!D:D=$F$4,'领用录入（明细）'!C:C&gt;=$J$4,'领用录入（明细）'!C:C&lt;=$L$4),ROW(),"-")</f>
        <v>-</v>
      </c>
    </row>
    <row r="40862" customHeight="1" spans="2:2">
      <c r="B40862" s="62" t="str">
        <f>IF(AND('领用录入（明细）'!D:D=$F$4,'领用录入（明细）'!C:C&gt;=$J$4,'领用录入（明细）'!C:C&lt;=$L$4),ROW(),"-")</f>
        <v>-</v>
      </c>
    </row>
    <row r="40863" customHeight="1" spans="2:2">
      <c r="B40863" s="62" t="str">
        <f>IF(AND('领用录入（明细）'!D:D=$F$4,'领用录入（明细）'!C:C&gt;=$J$4,'领用录入（明细）'!C:C&lt;=$L$4),ROW(),"-")</f>
        <v>-</v>
      </c>
    </row>
    <row r="40864" customHeight="1" spans="2:2">
      <c r="B40864" s="62" t="str">
        <f>IF(AND('领用录入（明细）'!D:D=$F$4,'领用录入（明细）'!C:C&gt;=$J$4,'领用录入（明细）'!C:C&lt;=$L$4),ROW(),"-")</f>
        <v>-</v>
      </c>
    </row>
    <row r="40865" customHeight="1" spans="2:2">
      <c r="B40865" s="62" t="str">
        <f>IF(AND('领用录入（明细）'!D:D=$F$4,'领用录入（明细）'!C:C&gt;=$J$4,'领用录入（明细）'!C:C&lt;=$L$4),ROW(),"-")</f>
        <v>-</v>
      </c>
    </row>
    <row r="40866" customHeight="1" spans="2:2">
      <c r="B40866" s="62" t="str">
        <f>IF(AND('领用录入（明细）'!D:D=$F$4,'领用录入（明细）'!C:C&gt;=$J$4,'领用录入（明细）'!C:C&lt;=$L$4),ROW(),"-")</f>
        <v>-</v>
      </c>
    </row>
    <row r="40867" customHeight="1" spans="2:2">
      <c r="B40867" s="62" t="str">
        <f>IF(AND('领用录入（明细）'!D:D=$F$4,'领用录入（明细）'!C:C&gt;=$J$4,'领用录入（明细）'!C:C&lt;=$L$4),ROW(),"-")</f>
        <v>-</v>
      </c>
    </row>
    <row r="40868" customHeight="1" spans="2:2">
      <c r="B40868" s="62" t="str">
        <f>IF(AND('领用录入（明细）'!D:D=$F$4,'领用录入（明细）'!C:C&gt;=$J$4,'领用录入（明细）'!C:C&lt;=$L$4),ROW(),"-")</f>
        <v>-</v>
      </c>
    </row>
    <row r="40869" customHeight="1" spans="2:2">
      <c r="B40869" s="62" t="str">
        <f>IF(AND('领用录入（明细）'!D:D=$F$4,'领用录入（明细）'!C:C&gt;=$J$4,'领用录入（明细）'!C:C&lt;=$L$4),ROW(),"-")</f>
        <v>-</v>
      </c>
    </row>
    <row r="40870" customHeight="1" spans="2:2">
      <c r="B40870" s="62" t="str">
        <f>IF(AND('领用录入（明细）'!D:D=$F$4,'领用录入（明细）'!C:C&gt;=$J$4,'领用录入（明细）'!C:C&lt;=$L$4),ROW(),"-")</f>
        <v>-</v>
      </c>
    </row>
    <row r="40871" customHeight="1" spans="2:2">
      <c r="B40871" s="62" t="str">
        <f>IF(AND('领用录入（明细）'!D:D=$F$4,'领用录入（明细）'!C:C&gt;=$J$4,'领用录入（明细）'!C:C&lt;=$L$4),ROW(),"-")</f>
        <v>-</v>
      </c>
    </row>
    <row r="40872" customHeight="1" spans="2:2">
      <c r="B40872" s="62" t="str">
        <f>IF(AND('领用录入（明细）'!D:D=$F$4,'领用录入（明细）'!C:C&gt;=$J$4,'领用录入（明细）'!C:C&lt;=$L$4),ROW(),"-")</f>
        <v>-</v>
      </c>
    </row>
    <row r="40873" customHeight="1" spans="2:2">
      <c r="B40873" s="62" t="str">
        <f>IF(AND('领用录入（明细）'!D:D=$F$4,'领用录入（明细）'!C:C&gt;=$J$4,'领用录入（明细）'!C:C&lt;=$L$4),ROW(),"-")</f>
        <v>-</v>
      </c>
    </row>
    <row r="40874" customHeight="1" spans="2:2">
      <c r="B40874" s="62" t="str">
        <f>IF(AND('领用录入（明细）'!D:D=$F$4,'领用录入（明细）'!C:C&gt;=$J$4,'领用录入（明细）'!C:C&lt;=$L$4),ROW(),"-")</f>
        <v>-</v>
      </c>
    </row>
    <row r="40875" customHeight="1" spans="2:2">
      <c r="B40875" s="62" t="str">
        <f>IF(AND('领用录入（明细）'!D:D=$F$4,'领用录入（明细）'!C:C&gt;=$J$4,'领用录入（明细）'!C:C&lt;=$L$4),ROW(),"-")</f>
        <v>-</v>
      </c>
    </row>
    <row r="40876" customHeight="1" spans="2:2">
      <c r="B40876" s="62" t="str">
        <f>IF(AND('领用录入（明细）'!D:D=$F$4,'领用录入（明细）'!C:C&gt;=$J$4,'领用录入（明细）'!C:C&lt;=$L$4),ROW(),"-")</f>
        <v>-</v>
      </c>
    </row>
    <row r="40877" customHeight="1" spans="2:2">
      <c r="B40877" s="62" t="str">
        <f>IF(AND('领用录入（明细）'!D:D=$F$4,'领用录入（明细）'!C:C&gt;=$J$4,'领用录入（明细）'!C:C&lt;=$L$4),ROW(),"-")</f>
        <v>-</v>
      </c>
    </row>
    <row r="40878" customHeight="1" spans="2:2">
      <c r="B40878" s="62" t="str">
        <f>IF(AND('领用录入（明细）'!D:D=$F$4,'领用录入（明细）'!C:C&gt;=$J$4,'领用录入（明细）'!C:C&lt;=$L$4),ROW(),"-")</f>
        <v>-</v>
      </c>
    </row>
    <row r="40879" customHeight="1" spans="2:2">
      <c r="B40879" s="62" t="str">
        <f>IF(AND('领用录入（明细）'!D:D=$F$4,'领用录入（明细）'!C:C&gt;=$J$4,'领用录入（明细）'!C:C&lt;=$L$4),ROW(),"-")</f>
        <v>-</v>
      </c>
    </row>
    <row r="40880" customHeight="1" spans="2:2">
      <c r="B40880" s="62" t="str">
        <f>IF(AND('领用录入（明细）'!D:D=$F$4,'领用录入（明细）'!C:C&gt;=$J$4,'领用录入（明细）'!C:C&lt;=$L$4),ROW(),"-")</f>
        <v>-</v>
      </c>
    </row>
    <row r="40881" customHeight="1" spans="2:2">
      <c r="B40881" s="62" t="str">
        <f>IF(AND('领用录入（明细）'!D:D=$F$4,'领用录入（明细）'!C:C&gt;=$J$4,'领用录入（明细）'!C:C&lt;=$L$4),ROW(),"-")</f>
        <v>-</v>
      </c>
    </row>
    <row r="40882" customHeight="1" spans="2:2">
      <c r="B40882" s="62" t="str">
        <f>IF(AND('领用录入（明细）'!D:D=$F$4,'领用录入（明细）'!C:C&gt;=$J$4,'领用录入（明细）'!C:C&lt;=$L$4),ROW(),"-")</f>
        <v>-</v>
      </c>
    </row>
    <row r="40883" customHeight="1" spans="2:2">
      <c r="B40883" s="62" t="str">
        <f>IF(AND('领用录入（明细）'!D:D=$F$4,'领用录入（明细）'!C:C&gt;=$J$4,'领用录入（明细）'!C:C&lt;=$L$4),ROW(),"-")</f>
        <v>-</v>
      </c>
    </row>
    <row r="40884" customHeight="1" spans="2:2">
      <c r="B40884" s="62" t="str">
        <f>IF(AND('领用录入（明细）'!D:D=$F$4,'领用录入（明细）'!C:C&gt;=$J$4,'领用录入（明细）'!C:C&lt;=$L$4),ROW(),"-")</f>
        <v>-</v>
      </c>
    </row>
    <row r="40885" customHeight="1" spans="2:2">
      <c r="B40885" s="62" t="str">
        <f>IF(AND('领用录入（明细）'!D:D=$F$4,'领用录入（明细）'!C:C&gt;=$J$4,'领用录入（明细）'!C:C&lt;=$L$4),ROW(),"-")</f>
        <v>-</v>
      </c>
    </row>
    <row r="40886" customHeight="1" spans="2:2">
      <c r="B40886" s="62" t="str">
        <f>IF(AND('领用录入（明细）'!D:D=$F$4,'领用录入（明细）'!C:C&gt;=$J$4,'领用录入（明细）'!C:C&lt;=$L$4),ROW(),"-")</f>
        <v>-</v>
      </c>
    </row>
    <row r="40887" customHeight="1" spans="2:2">
      <c r="B40887" s="62" t="str">
        <f>IF(AND('领用录入（明细）'!D:D=$F$4,'领用录入（明细）'!C:C&gt;=$J$4,'领用录入（明细）'!C:C&lt;=$L$4),ROW(),"-")</f>
        <v>-</v>
      </c>
    </row>
    <row r="40888" customHeight="1" spans="2:2">
      <c r="B40888" s="62" t="str">
        <f>IF(AND('领用录入（明细）'!D:D=$F$4,'领用录入（明细）'!C:C&gt;=$J$4,'领用录入（明细）'!C:C&lt;=$L$4),ROW(),"-")</f>
        <v>-</v>
      </c>
    </row>
    <row r="40889" customHeight="1" spans="2:2">
      <c r="B40889" s="62" t="str">
        <f>IF(AND('领用录入（明细）'!D:D=$F$4,'领用录入（明细）'!C:C&gt;=$J$4,'领用录入（明细）'!C:C&lt;=$L$4),ROW(),"-")</f>
        <v>-</v>
      </c>
    </row>
    <row r="40890" customHeight="1" spans="2:2">
      <c r="B40890" s="62" t="str">
        <f>IF(AND('领用录入（明细）'!D:D=$F$4,'领用录入（明细）'!C:C&gt;=$J$4,'领用录入（明细）'!C:C&lt;=$L$4),ROW(),"-")</f>
        <v>-</v>
      </c>
    </row>
    <row r="40891" customHeight="1" spans="2:2">
      <c r="B40891" s="62" t="str">
        <f>IF(AND('领用录入（明细）'!D:D=$F$4,'领用录入（明细）'!C:C&gt;=$J$4,'领用录入（明细）'!C:C&lt;=$L$4),ROW(),"-")</f>
        <v>-</v>
      </c>
    </row>
    <row r="40892" customHeight="1" spans="2:2">
      <c r="B40892" s="62" t="str">
        <f>IF(AND('领用录入（明细）'!D:D=$F$4,'领用录入（明细）'!C:C&gt;=$J$4,'领用录入（明细）'!C:C&lt;=$L$4),ROW(),"-")</f>
        <v>-</v>
      </c>
    </row>
    <row r="40893" customHeight="1" spans="2:2">
      <c r="B40893" s="62" t="str">
        <f>IF(AND('领用录入（明细）'!D:D=$F$4,'领用录入（明细）'!C:C&gt;=$J$4,'领用录入（明细）'!C:C&lt;=$L$4),ROW(),"-")</f>
        <v>-</v>
      </c>
    </row>
    <row r="40894" customHeight="1" spans="2:2">
      <c r="B40894" s="62" t="str">
        <f>IF(AND('领用录入（明细）'!D:D=$F$4,'领用录入（明细）'!C:C&gt;=$J$4,'领用录入（明细）'!C:C&lt;=$L$4),ROW(),"-")</f>
        <v>-</v>
      </c>
    </row>
    <row r="40895" customHeight="1" spans="2:2">
      <c r="B40895" s="62" t="str">
        <f>IF(AND('领用录入（明细）'!D:D=$F$4,'领用录入（明细）'!C:C&gt;=$J$4,'领用录入（明细）'!C:C&lt;=$L$4),ROW(),"-")</f>
        <v>-</v>
      </c>
    </row>
    <row r="40896" customHeight="1" spans="2:2">
      <c r="B40896" s="62" t="str">
        <f>IF(AND('领用录入（明细）'!D:D=$F$4,'领用录入（明细）'!C:C&gt;=$J$4,'领用录入（明细）'!C:C&lt;=$L$4),ROW(),"-")</f>
        <v>-</v>
      </c>
    </row>
    <row r="40897" customHeight="1" spans="2:2">
      <c r="B40897" s="62" t="str">
        <f>IF(AND('领用录入（明细）'!D:D=$F$4,'领用录入（明细）'!C:C&gt;=$J$4,'领用录入（明细）'!C:C&lt;=$L$4),ROW(),"-")</f>
        <v>-</v>
      </c>
    </row>
    <row r="40898" customHeight="1" spans="2:2">
      <c r="B40898" s="62" t="str">
        <f>IF(AND('领用录入（明细）'!D:D=$F$4,'领用录入（明细）'!C:C&gt;=$J$4,'领用录入（明细）'!C:C&lt;=$L$4),ROW(),"-")</f>
        <v>-</v>
      </c>
    </row>
    <row r="40899" customHeight="1" spans="2:2">
      <c r="B40899" s="62" t="str">
        <f>IF(AND('领用录入（明细）'!D:D=$F$4,'领用录入（明细）'!C:C&gt;=$J$4,'领用录入（明细）'!C:C&lt;=$L$4),ROW(),"-")</f>
        <v>-</v>
      </c>
    </row>
    <row r="40900" customHeight="1" spans="2:2">
      <c r="B40900" s="62" t="str">
        <f>IF(AND('领用录入（明细）'!D:D=$F$4,'领用录入（明细）'!C:C&gt;=$J$4,'领用录入（明细）'!C:C&lt;=$L$4),ROW(),"-")</f>
        <v>-</v>
      </c>
    </row>
    <row r="40901" customHeight="1" spans="2:2">
      <c r="B40901" s="62" t="str">
        <f>IF(AND('领用录入（明细）'!D:D=$F$4,'领用录入（明细）'!C:C&gt;=$J$4,'领用录入（明细）'!C:C&lt;=$L$4),ROW(),"-")</f>
        <v>-</v>
      </c>
    </row>
    <row r="40902" customHeight="1" spans="2:2">
      <c r="B40902" s="62" t="str">
        <f>IF(AND('领用录入（明细）'!D:D=$F$4,'领用录入（明细）'!C:C&gt;=$J$4,'领用录入（明细）'!C:C&lt;=$L$4),ROW(),"-")</f>
        <v>-</v>
      </c>
    </row>
    <row r="40903" customHeight="1" spans="2:2">
      <c r="B40903" s="62" t="str">
        <f>IF(AND('领用录入（明细）'!D:D=$F$4,'领用录入（明细）'!C:C&gt;=$J$4,'领用录入（明细）'!C:C&lt;=$L$4),ROW(),"-")</f>
        <v>-</v>
      </c>
    </row>
    <row r="40904" customHeight="1" spans="2:2">
      <c r="B40904" s="62" t="str">
        <f>IF(AND('领用录入（明细）'!D:D=$F$4,'领用录入（明细）'!C:C&gt;=$J$4,'领用录入（明细）'!C:C&lt;=$L$4),ROW(),"-")</f>
        <v>-</v>
      </c>
    </row>
    <row r="40905" customHeight="1" spans="2:2">
      <c r="B40905" s="62" t="str">
        <f>IF(AND('领用录入（明细）'!D:D=$F$4,'领用录入（明细）'!C:C&gt;=$J$4,'领用录入（明细）'!C:C&lt;=$L$4),ROW(),"-")</f>
        <v>-</v>
      </c>
    </row>
    <row r="40906" customHeight="1" spans="2:2">
      <c r="B40906" s="62" t="str">
        <f>IF(AND('领用录入（明细）'!D:D=$F$4,'领用录入（明细）'!C:C&gt;=$J$4,'领用录入（明细）'!C:C&lt;=$L$4),ROW(),"-")</f>
        <v>-</v>
      </c>
    </row>
    <row r="40907" customHeight="1" spans="2:2">
      <c r="B40907" s="62" t="str">
        <f>IF(AND('领用录入（明细）'!D:D=$F$4,'领用录入（明细）'!C:C&gt;=$J$4,'领用录入（明细）'!C:C&lt;=$L$4),ROW(),"-")</f>
        <v>-</v>
      </c>
    </row>
    <row r="40908" customHeight="1" spans="2:2">
      <c r="B40908" s="62" t="str">
        <f>IF(AND('领用录入（明细）'!D:D=$F$4,'领用录入（明细）'!C:C&gt;=$J$4,'领用录入（明细）'!C:C&lt;=$L$4),ROW(),"-")</f>
        <v>-</v>
      </c>
    </row>
    <row r="40909" customHeight="1" spans="2:2">
      <c r="B40909" s="62" t="str">
        <f>IF(AND('领用录入（明细）'!D:D=$F$4,'领用录入（明细）'!C:C&gt;=$J$4,'领用录入（明细）'!C:C&lt;=$L$4),ROW(),"-")</f>
        <v>-</v>
      </c>
    </row>
    <row r="40910" customHeight="1" spans="2:2">
      <c r="B40910" s="62" t="str">
        <f>IF(AND('领用录入（明细）'!D:D=$F$4,'领用录入（明细）'!C:C&gt;=$J$4,'领用录入（明细）'!C:C&lt;=$L$4),ROW(),"-")</f>
        <v>-</v>
      </c>
    </row>
    <row r="40911" customHeight="1" spans="2:2">
      <c r="B40911" s="62" t="str">
        <f>IF(AND('领用录入（明细）'!D:D=$F$4,'领用录入（明细）'!C:C&gt;=$J$4,'领用录入（明细）'!C:C&lt;=$L$4),ROW(),"-")</f>
        <v>-</v>
      </c>
    </row>
    <row r="40912" customHeight="1" spans="2:2">
      <c r="B40912" s="62" t="str">
        <f>IF(AND('领用录入（明细）'!D:D=$F$4,'领用录入（明细）'!C:C&gt;=$J$4,'领用录入（明细）'!C:C&lt;=$L$4),ROW(),"-")</f>
        <v>-</v>
      </c>
    </row>
    <row r="40913" customHeight="1" spans="2:2">
      <c r="B40913" s="62" t="str">
        <f>IF(AND('领用录入（明细）'!D:D=$F$4,'领用录入（明细）'!C:C&gt;=$J$4,'领用录入（明细）'!C:C&lt;=$L$4),ROW(),"-")</f>
        <v>-</v>
      </c>
    </row>
    <row r="40914" customHeight="1" spans="2:2">
      <c r="B40914" s="62" t="str">
        <f>IF(AND('领用录入（明细）'!D:D=$F$4,'领用录入（明细）'!C:C&gt;=$J$4,'领用录入（明细）'!C:C&lt;=$L$4),ROW(),"-")</f>
        <v>-</v>
      </c>
    </row>
    <row r="40915" customHeight="1" spans="2:2">
      <c r="B40915" s="62" t="str">
        <f>IF(AND('领用录入（明细）'!D:D=$F$4,'领用录入（明细）'!C:C&gt;=$J$4,'领用录入（明细）'!C:C&lt;=$L$4),ROW(),"-")</f>
        <v>-</v>
      </c>
    </row>
    <row r="40916" customHeight="1" spans="2:2">
      <c r="B40916" s="62" t="str">
        <f>IF(AND('领用录入（明细）'!D:D=$F$4,'领用录入（明细）'!C:C&gt;=$J$4,'领用录入（明细）'!C:C&lt;=$L$4),ROW(),"-")</f>
        <v>-</v>
      </c>
    </row>
    <row r="40917" customHeight="1" spans="2:2">
      <c r="B40917" s="62" t="str">
        <f>IF(AND('领用录入（明细）'!D:D=$F$4,'领用录入（明细）'!C:C&gt;=$J$4,'领用录入（明细）'!C:C&lt;=$L$4),ROW(),"-")</f>
        <v>-</v>
      </c>
    </row>
    <row r="40918" customHeight="1" spans="2:2">
      <c r="B40918" s="62" t="str">
        <f>IF(AND('领用录入（明细）'!D:D=$F$4,'领用录入（明细）'!C:C&gt;=$J$4,'领用录入（明细）'!C:C&lt;=$L$4),ROW(),"-")</f>
        <v>-</v>
      </c>
    </row>
    <row r="40919" customHeight="1" spans="2:2">
      <c r="B40919" s="62" t="str">
        <f>IF(AND('领用录入（明细）'!D:D=$F$4,'领用录入（明细）'!C:C&gt;=$J$4,'领用录入（明细）'!C:C&lt;=$L$4),ROW(),"-")</f>
        <v>-</v>
      </c>
    </row>
    <row r="40920" customHeight="1" spans="2:2">
      <c r="B40920" s="62" t="str">
        <f>IF(AND('领用录入（明细）'!D:D=$F$4,'领用录入（明细）'!C:C&gt;=$J$4,'领用录入（明细）'!C:C&lt;=$L$4),ROW(),"-")</f>
        <v>-</v>
      </c>
    </row>
    <row r="40921" customHeight="1" spans="2:2">
      <c r="B40921" s="62" t="str">
        <f>IF(AND('领用录入（明细）'!D:D=$F$4,'领用录入（明细）'!C:C&gt;=$J$4,'领用录入（明细）'!C:C&lt;=$L$4),ROW(),"-")</f>
        <v>-</v>
      </c>
    </row>
    <row r="40922" customHeight="1" spans="2:2">
      <c r="B40922" s="62" t="str">
        <f>IF(AND('领用录入（明细）'!D:D=$F$4,'领用录入（明细）'!C:C&gt;=$J$4,'领用录入（明细）'!C:C&lt;=$L$4),ROW(),"-")</f>
        <v>-</v>
      </c>
    </row>
    <row r="40923" customHeight="1" spans="2:2">
      <c r="B40923" s="62" t="str">
        <f>IF(AND('领用录入（明细）'!D:D=$F$4,'领用录入（明细）'!C:C&gt;=$J$4,'领用录入（明细）'!C:C&lt;=$L$4),ROW(),"-")</f>
        <v>-</v>
      </c>
    </row>
    <row r="40924" customHeight="1" spans="2:2">
      <c r="B40924" s="62" t="str">
        <f>IF(AND('领用录入（明细）'!D:D=$F$4,'领用录入（明细）'!C:C&gt;=$J$4,'领用录入（明细）'!C:C&lt;=$L$4),ROW(),"-")</f>
        <v>-</v>
      </c>
    </row>
    <row r="40925" customHeight="1" spans="2:2">
      <c r="B40925" s="62" t="str">
        <f>IF(AND('领用录入（明细）'!D:D=$F$4,'领用录入（明细）'!C:C&gt;=$J$4,'领用录入（明细）'!C:C&lt;=$L$4),ROW(),"-")</f>
        <v>-</v>
      </c>
    </row>
    <row r="40926" customHeight="1" spans="2:2">
      <c r="B40926" s="62" t="str">
        <f>IF(AND('领用录入（明细）'!D:D=$F$4,'领用录入（明细）'!C:C&gt;=$J$4,'领用录入（明细）'!C:C&lt;=$L$4),ROW(),"-")</f>
        <v>-</v>
      </c>
    </row>
    <row r="40927" customHeight="1" spans="2:2">
      <c r="B40927" s="62" t="str">
        <f>IF(AND('领用录入（明细）'!D:D=$F$4,'领用录入（明细）'!C:C&gt;=$J$4,'领用录入（明细）'!C:C&lt;=$L$4),ROW(),"-")</f>
        <v>-</v>
      </c>
    </row>
    <row r="40928" customHeight="1" spans="2:2">
      <c r="B40928" s="62" t="str">
        <f>IF(AND('领用录入（明细）'!D:D=$F$4,'领用录入（明细）'!C:C&gt;=$J$4,'领用录入（明细）'!C:C&lt;=$L$4),ROW(),"-")</f>
        <v>-</v>
      </c>
    </row>
    <row r="40929" customHeight="1" spans="2:2">
      <c r="B40929" s="62" t="str">
        <f>IF(AND('领用录入（明细）'!D:D=$F$4,'领用录入（明细）'!C:C&gt;=$J$4,'领用录入（明细）'!C:C&lt;=$L$4),ROW(),"-")</f>
        <v>-</v>
      </c>
    </row>
    <row r="40930" customHeight="1" spans="2:2">
      <c r="B40930" s="62" t="str">
        <f>IF(AND('领用录入（明细）'!D:D=$F$4,'领用录入（明细）'!C:C&gt;=$J$4,'领用录入（明细）'!C:C&lt;=$L$4),ROW(),"-")</f>
        <v>-</v>
      </c>
    </row>
    <row r="40931" customHeight="1" spans="2:2">
      <c r="B40931" s="62" t="str">
        <f>IF(AND('领用录入（明细）'!D:D=$F$4,'领用录入（明细）'!C:C&gt;=$J$4,'领用录入（明细）'!C:C&lt;=$L$4),ROW(),"-")</f>
        <v>-</v>
      </c>
    </row>
    <row r="40932" customHeight="1" spans="2:2">
      <c r="B40932" s="62" t="str">
        <f>IF(AND('领用录入（明细）'!D:D=$F$4,'领用录入（明细）'!C:C&gt;=$J$4,'领用录入（明细）'!C:C&lt;=$L$4),ROW(),"-")</f>
        <v>-</v>
      </c>
    </row>
    <row r="40933" customHeight="1" spans="2:2">
      <c r="B40933" s="62" t="str">
        <f>IF(AND('领用录入（明细）'!D:D=$F$4,'领用录入（明细）'!C:C&gt;=$J$4,'领用录入（明细）'!C:C&lt;=$L$4),ROW(),"-")</f>
        <v>-</v>
      </c>
    </row>
    <row r="40934" customHeight="1" spans="2:2">
      <c r="B40934" s="62" t="str">
        <f>IF(AND('领用录入（明细）'!D:D=$F$4,'领用录入（明细）'!C:C&gt;=$J$4,'领用录入（明细）'!C:C&lt;=$L$4),ROW(),"-")</f>
        <v>-</v>
      </c>
    </row>
    <row r="40935" customHeight="1" spans="2:2">
      <c r="B40935" s="62" t="str">
        <f>IF(AND('领用录入（明细）'!D:D=$F$4,'领用录入（明细）'!C:C&gt;=$J$4,'领用录入（明细）'!C:C&lt;=$L$4),ROW(),"-")</f>
        <v>-</v>
      </c>
    </row>
    <row r="40936" customHeight="1" spans="2:2">
      <c r="B40936" s="62" t="str">
        <f>IF(AND('领用录入（明细）'!D:D=$F$4,'领用录入（明细）'!C:C&gt;=$J$4,'领用录入（明细）'!C:C&lt;=$L$4),ROW(),"-")</f>
        <v>-</v>
      </c>
    </row>
    <row r="40937" customHeight="1" spans="2:2">
      <c r="B40937" s="62" t="str">
        <f>IF(AND('领用录入（明细）'!D:D=$F$4,'领用录入（明细）'!C:C&gt;=$J$4,'领用录入（明细）'!C:C&lt;=$L$4),ROW(),"-")</f>
        <v>-</v>
      </c>
    </row>
    <row r="40938" customHeight="1" spans="2:2">
      <c r="B40938" s="62" t="str">
        <f>IF(AND('领用录入（明细）'!D:D=$F$4,'领用录入（明细）'!C:C&gt;=$J$4,'领用录入（明细）'!C:C&lt;=$L$4),ROW(),"-")</f>
        <v>-</v>
      </c>
    </row>
    <row r="40939" customHeight="1" spans="2:2">
      <c r="B40939" s="62" t="str">
        <f>IF(AND('领用录入（明细）'!D:D=$F$4,'领用录入（明细）'!C:C&gt;=$J$4,'领用录入（明细）'!C:C&lt;=$L$4),ROW(),"-")</f>
        <v>-</v>
      </c>
    </row>
    <row r="40940" customHeight="1" spans="2:2">
      <c r="B40940" s="62" t="str">
        <f>IF(AND('领用录入（明细）'!D:D=$F$4,'领用录入（明细）'!C:C&gt;=$J$4,'领用录入（明细）'!C:C&lt;=$L$4),ROW(),"-")</f>
        <v>-</v>
      </c>
    </row>
    <row r="40941" customHeight="1" spans="2:2">
      <c r="B40941" s="62" t="str">
        <f>IF(AND('领用录入（明细）'!D:D=$F$4,'领用录入（明细）'!C:C&gt;=$J$4,'领用录入（明细）'!C:C&lt;=$L$4),ROW(),"-")</f>
        <v>-</v>
      </c>
    </row>
    <row r="40942" customHeight="1" spans="2:2">
      <c r="B40942" s="62" t="str">
        <f>IF(AND('领用录入（明细）'!D:D=$F$4,'领用录入（明细）'!C:C&gt;=$J$4,'领用录入（明细）'!C:C&lt;=$L$4),ROW(),"-")</f>
        <v>-</v>
      </c>
    </row>
    <row r="40943" customHeight="1" spans="2:2">
      <c r="B40943" s="62" t="str">
        <f>IF(AND('领用录入（明细）'!D:D=$F$4,'领用录入（明细）'!C:C&gt;=$J$4,'领用录入（明细）'!C:C&lt;=$L$4),ROW(),"-")</f>
        <v>-</v>
      </c>
    </row>
    <row r="40944" customHeight="1" spans="2:2">
      <c r="B40944" s="62" t="str">
        <f>IF(AND('领用录入（明细）'!D:D=$F$4,'领用录入（明细）'!C:C&gt;=$J$4,'领用录入（明细）'!C:C&lt;=$L$4),ROW(),"-")</f>
        <v>-</v>
      </c>
    </row>
    <row r="40945" customHeight="1" spans="2:2">
      <c r="B40945" s="62" t="str">
        <f>IF(AND('领用录入（明细）'!D:D=$F$4,'领用录入（明细）'!C:C&gt;=$J$4,'领用录入（明细）'!C:C&lt;=$L$4),ROW(),"-")</f>
        <v>-</v>
      </c>
    </row>
    <row r="40946" customHeight="1" spans="2:2">
      <c r="B40946" s="62" t="str">
        <f>IF(AND('领用录入（明细）'!D:D=$F$4,'领用录入（明细）'!C:C&gt;=$J$4,'领用录入（明细）'!C:C&lt;=$L$4),ROW(),"-")</f>
        <v>-</v>
      </c>
    </row>
    <row r="40947" customHeight="1" spans="2:2">
      <c r="B40947" s="62" t="str">
        <f>IF(AND('领用录入（明细）'!D:D=$F$4,'领用录入（明细）'!C:C&gt;=$J$4,'领用录入（明细）'!C:C&lt;=$L$4),ROW(),"-")</f>
        <v>-</v>
      </c>
    </row>
    <row r="40948" customHeight="1" spans="2:2">
      <c r="B40948" s="62" t="str">
        <f>IF(AND('领用录入（明细）'!D:D=$F$4,'领用录入（明细）'!C:C&gt;=$J$4,'领用录入（明细）'!C:C&lt;=$L$4),ROW(),"-")</f>
        <v>-</v>
      </c>
    </row>
    <row r="40949" customHeight="1" spans="2:2">
      <c r="B40949" s="62" t="str">
        <f>IF(AND('领用录入（明细）'!D:D=$F$4,'领用录入（明细）'!C:C&gt;=$J$4,'领用录入（明细）'!C:C&lt;=$L$4),ROW(),"-")</f>
        <v>-</v>
      </c>
    </row>
    <row r="40950" customHeight="1" spans="2:2">
      <c r="B40950" s="62" t="str">
        <f>IF(AND('领用录入（明细）'!D:D=$F$4,'领用录入（明细）'!C:C&gt;=$J$4,'领用录入（明细）'!C:C&lt;=$L$4),ROW(),"-")</f>
        <v>-</v>
      </c>
    </row>
    <row r="40951" customHeight="1" spans="2:2">
      <c r="B40951" s="62" t="str">
        <f>IF(AND('领用录入（明细）'!D:D=$F$4,'领用录入（明细）'!C:C&gt;=$J$4,'领用录入（明细）'!C:C&lt;=$L$4),ROW(),"-")</f>
        <v>-</v>
      </c>
    </row>
    <row r="40952" customHeight="1" spans="2:2">
      <c r="B40952" s="62" t="str">
        <f>IF(AND('领用录入（明细）'!D:D=$F$4,'领用录入（明细）'!C:C&gt;=$J$4,'领用录入（明细）'!C:C&lt;=$L$4),ROW(),"-")</f>
        <v>-</v>
      </c>
    </row>
    <row r="40953" customHeight="1" spans="2:2">
      <c r="B40953" s="62" t="str">
        <f>IF(AND('领用录入（明细）'!D:D=$F$4,'领用录入（明细）'!C:C&gt;=$J$4,'领用录入（明细）'!C:C&lt;=$L$4),ROW(),"-")</f>
        <v>-</v>
      </c>
    </row>
    <row r="40954" customHeight="1" spans="2:2">
      <c r="B40954" s="62" t="str">
        <f>IF(AND('领用录入（明细）'!D:D=$F$4,'领用录入（明细）'!C:C&gt;=$J$4,'领用录入（明细）'!C:C&lt;=$L$4),ROW(),"-")</f>
        <v>-</v>
      </c>
    </row>
    <row r="40955" customHeight="1" spans="2:2">
      <c r="B40955" s="62" t="str">
        <f>IF(AND('领用录入（明细）'!D:D=$F$4,'领用录入（明细）'!C:C&gt;=$J$4,'领用录入（明细）'!C:C&lt;=$L$4),ROW(),"-")</f>
        <v>-</v>
      </c>
    </row>
    <row r="40956" customHeight="1" spans="2:2">
      <c r="B40956" s="62" t="str">
        <f>IF(AND('领用录入（明细）'!D:D=$F$4,'领用录入（明细）'!C:C&gt;=$J$4,'领用录入（明细）'!C:C&lt;=$L$4),ROW(),"-")</f>
        <v>-</v>
      </c>
    </row>
    <row r="40957" customHeight="1" spans="2:2">
      <c r="B40957" s="62" t="str">
        <f>IF(AND('领用录入（明细）'!D:D=$F$4,'领用录入（明细）'!C:C&gt;=$J$4,'领用录入（明细）'!C:C&lt;=$L$4),ROW(),"-")</f>
        <v>-</v>
      </c>
    </row>
    <row r="40958" customHeight="1" spans="2:2">
      <c r="B40958" s="62" t="str">
        <f>IF(AND('领用录入（明细）'!D:D=$F$4,'领用录入（明细）'!C:C&gt;=$J$4,'领用录入（明细）'!C:C&lt;=$L$4),ROW(),"-")</f>
        <v>-</v>
      </c>
    </row>
    <row r="40959" customHeight="1" spans="2:2">
      <c r="B40959" s="62" t="str">
        <f>IF(AND('领用录入（明细）'!D:D=$F$4,'领用录入（明细）'!C:C&gt;=$J$4,'领用录入（明细）'!C:C&lt;=$L$4),ROW(),"-")</f>
        <v>-</v>
      </c>
    </row>
    <row r="40960" customHeight="1" spans="2:2">
      <c r="B40960" s="62" t="str">
        <f>IF(AND('领用录入（明细）'!D:D=$F$4,'领用录入（明细）'!C:C&gt;=$J$4,'领用录入（明细）'!C:C&lt;=$L$4),ROW(),"-")</f>
        <v>-</v>
      </c>
    </row>
    <row r="40961" customHeight="1" spans="2:2">
      <c r="B40961" s="62" t="str">
        <f>IF(AND('领用录入（明细）'!D:D=$F$4,'领用录入（明细）'!C:C&gt;=$J$4,'领用录入（明细）'!C:C&lt;=$L$4),ROW(),"-")</f>
        <v>-</v>
      </c>
    </row>
    <row r="40962" customHeight="1" spans="2:2">
      <c r="B40962" s="62" t="str">
        <f>IF(AND('领用录入（明细）'!D:D=$F$4,'领用录入（明细）'!C:C&gt;=$J$4,'领用录入（明细）'!C:C&lt;=$L$4),ROW(),"-")</f>
        <v>-</v>
      </c>
    </row>
    <row r="40963" customHeight="1" spans="2:2">
      <c r="B40963" s="62" t="str">
        <f>IF(AND('领用录入（明细）'!D:D=$F$4,'领用录入（明细）'!C:C&gt;=$J$4,'领用录入（明细）'!C:C&lt;=$L$4),ROW(),"-")</f>
        <v>-</v>
      </c>
    </row>
    <row r="40964" customHeight="1" spans="2:2">
      <c r="B40964" s="62" t="str">
        <f>IF(AND('领用录入（明细）'!D:D=$F$4,'领用录入（明细）'!C:C&gt;=$J$4,'领用录入（明细）'!C:C&lt;=$L$4),ROW(),"-")</f>
        <v>-</v>
      </c>
    </row>
    <row r="40965" customHeight="1" spans="2:2">
      <c r="B40965" s="62" t="str">
        <f>IF(AND('领用录入（明细）'!D:D=$F$4,'领用录入（明细）'!C:C&gt;=$J$4,'领用录入（明细）'!C:C&lt;=$L$4),ROW(),"-")</f>
        <v>-</v>
      </c>
    </row>
    <row r="40966" customHeight="1" spans="2:2">
      <c r="B40966" s="62" t="str">
        <f>IF(AND('领用录入（明细）'!D:D=$F$4,'领用录入（明细）'!C:C&gt;=$J$4,'领用录入（明细）'!C:C&lt;=$L$4),ROW(),"-")</f>
        <v>-</v>
      </c>
    </row>
    <row r="40967" customHeight="1" spans="2:2">
      <c r="B40967" s="62" t="str">
        <f>IF(AND('领用录入（明细）'!D:D=$F$4,'领用录入（明细）'!C:C&gt;=$J$4,'领用录入（明细）'!C:C&lt;=$L$4),ROW(),"-")</f>
        <v>-</v>
      </c>
    </row>
    <row r="40968" customHeight="1" spans="2:2">
      <c r="B40968" s="62" t="str">
        <f>IF(AND('领用录入（明细）'!D:D=$F$4,'领用录入（明细）'!C:C&gt;=$J$4,'领用录入（明细）'!C:C&lt;=$L$4),ROW(),"-")</f>
        <v>-</v>
      </c>
    </row>
    <row r="40969" customHeight="1" spans="2:2">
      <c r="B40969" s="62" t="str">
        <f>IF(AND('领用录入（明细）'!D:D=$F$4,'领用录入（明细）'!C:C&gt;=$J$4,'领用录入（明细）'!C:C&lt;=$L$4),ROW(),"-")</f>
        <v>-</v>
      </c>
    </row>
    <row r="40970" customHeight="1" spans="2:2">
      <c r="B40970" s="62" t="str">
        <f>IF(AND('领用录入（明细）'!D:D=$F$4,'领用录入（明细）'!C:C&gt;=$J$4,'领用录入（明细）'!C:C&lt;=$L$4),ROW(),"-")</f>
        <v>-</v>
      </c>
    </row>
    <row r="40971" customHeight="1" spans="2:2">
      <c r="B40971" s="62" t="str">
        <f>IF(AND('领用录入（明细）'!D:D=$F$4,'领用录入（明细）'!C:C&gt;=$J$4,'领用录入（明细）'!C:C&lt;=$L$4),ROW(),"-")</f>
        <v>-</v>
      </c>
    </row>
    <row r="40972" customHeight="1" spans="2:2">
      <c r="B40972" s="62" t="str">
        <f>IF(AND('领用录入（明细）'!D:D=$F$4,'领用录入（明细）'!C:C&gt;=$J$4,'领用录入（明细）'!C:C&lt;=$L$4),ROW(),"-")</f>
        <v>-</v>
      </c>
    </row>
    <row r="40973" customHeight="1" spans="2:2">
      <c r="B40973" s="62" t="str">
        <f>IF(AND('领用录入（明细）'!D:D=$F$4,'领用录入（明细）'!C:C&gt;=$J$4,'领用录入（明细）'!C:C&lt;=$L$4),ROW(),"-")</f>
        <v>-</v>
      </c>
    </row>
    <row r="40974" customHeight="1" spans="2:2">
      <c r="B40974" s="62" t="str">
        <f>IF(AND('领用录入（明细）'!D:D=$F$4,'领用录入（明细）'!C:C&gt;=$J$4,'领用录入（明细）'!C:C&lt;=$L$4),ROW(),"-")</f>
        <v>-</v>
      </c>
    </row>
    <row r="40975" customHeight="1" spans="2:2">
      <c r="B40975" s="62" t="str">
        <f>IF(AND('领用录入（明细）'!D:D=$F$4,'领用录入（明细）'!C:C&gt;=$J$4,'领用录入（明细）'!C:C&lt;=$L$4),ROW(),"-")</f>
        <v>-</v>
      </c>
    </row>
    <row r="40976" customHeight="1" spans="2:2">
      <c r="B40976" s="62" t="str">
        <f>IF(AND('领用录入（明细）'!D:D=$F$4,'领用录入（明细）'!C:C&gt;=$J$4,'领用录入（明细）'!C:C&lt;=$L$4),ROW(),"-")</f>
        <v>-</v>
      </c>
    </row>
    <row r="40977" customHeight="1" spans="2:2">
      <c r="B40977" s="62" t="str">
        <f>IF(AND('领用录入（明细）'!D:D=$F$4,'领用录入（明细）'!C:C&gt;=$J$4,'领用录入（明细）'!C:C&lt;=$L$4),ROW(),"-")</f>
        <v>-</v>
      </c>
    </row>
    <row r="40978" customHeight="1" spans="2:2">
      <c r="B40978" s="62" t="str">
        <f>IF(AND('领用录入（明细）'!D:D=$F$4,'领用录入（明细）'!C:C&gt;=$J$4,'领用录入（明细）'!C:C&lt;=$L$4),ROW(),"-")</f>
        <v>-</v>
      </c>
    </row>
    <row r="40979" customHeight="1" spans="2:2">
      <c r="B40979" s="62" t="str">
        <f>IF(AND('领用录入（明细）'!D:D=$F$4,'领用录入（明细）'!C:C&gt;=$J$4,'领用录入（明细）'!C:C&lt;=$L$4),ROW(),"-")</f>
        <v>-</v>
      </c>
    </row>
    <row r="40980" customHeight="1" spans="2:2">
      <c r="B40980" s="62" t="str">
        <f>IF(AND('领用录入（明细）'!D:D=$F$4,'领用录入（明细）'!C:C&gt;=$J$4,'领用录入（明细）'!C:C&lt;=$L$4),ROW(),"-")</f>
        <v>-</v>
      </c>
    </row>
    <row r="40981" customHeight="1" spans="2:2">
      <c r="B40981" s="62" t="str">
        <f>IF(AND('领用录入（明细）'!D:D=$F$4,'领用录入（明细）'!C:C&gt;=$J$4,'领用录入（明细）'!C:C&lt;=$L$4),ROW(),"-")</f>
        <v>-</v>
      </c>
    </row>
    <row r="40982" customHeight="1" spans="2:2">
      <c r="B40982" s="62" t="str">
        <f>IF(AND('领用录入（明细）'!D:D=$F$4,'领用录入（明细）'!C:C&gt;=$J$4,'领用录入（明细）'!C:C&lt;=$L$4),ROW(),"-")</f>
        <v>-</v>
      </c>
    </row>
    <row r="40983" customHeight="1" spans="2:2">
      <c r="B40983" s="62" t="str">
        <f>IF(AND('领用录入（明细）'!D:D=$F$4,'领用录入（明细）'!C:C&gt;=$J$4,'领用录入（明细）'!C:C&lt;=$L$4),ROW(),"-")</f>
        <v>-</v>
      </c>
    </row>
    <row r="40984" customHeight="1" spans="2:2">
      <c r="B40984" s="62" t="str">
        <f>IF(AND('领用录入（明细）'!D:D=$F$4,'领用录入（明细）'!C:C&gt;=$J$4,'领用录入（明细）'!C:C&lt;=$L$4),ROW(),"-")</f>
        <v>-</v>
      </c>
    </row>
    <row r="40985" customHeight="1" spans="2:2">
      <c r="B40985" s="62" t="str">
        <f>IF(AND('领用录入（明细）'!D:D=$F$4,'领用录入（明细）'!C:C&gt;=$J$4,'领用录入（明细）'!C:C&lt;=$L$4),ROW(),"-")</f>
        <v>-</v>
      </c>
    </row>
    <row r="40986" customHeight="1" spans="2:2">
      <c r="B40986" s="62" t="str">
        <f>IF(AND('领用录入（明细）'!D:D=$F$4,'领用录入（明细）'!C:C&gt;=$J$4,'领用录入（明细）'!C:C&lt;=$L$4),ROW(),"-")</f>
        <v>-</v>
      </c>
    </row>
    <row r="40987" customHeight="1" spans="2:2">
      <c r="B40987" s="62" t="str">
        <f>IF(AND('领用录入（明细）'!D:D=$F$4,'领用录入（明细）'!C:C&gt;=$J$4,'领用录入（明细）'!C:C&lt;=$L$4),ROW(),"-")</f>
        <v>-</v>
      </c>
    </row>
    <row r="40988" customHeight="1" spans="2:2">
      <c r="B40988" s="62" t="str">
        <f>IF(AND('领用录入（明细）'!D:D=$F$4,'领用录入（明细）'!C:C&gt;=$J$4,'领用录入（明细）'!C:C&lt;=$L$4),ROW(),"-")</f>
        <v>-</v>
      </c>
    </row>
    <row r="40989" customHeight="1" spans="2:2">
      <c r="B40989" s="62" t="str">
        <f>IF(AND('领用录入（明细）'!D:D=$F$4,'领用录入（明细）'!C:C&gt;=$J$4,'领用录入（明细）'!C:C&lt;=$L$4),ROW(),"-")</f>
        <v>-</v>
      </c>
    </row>
    <row r="40990" customHeight="1" spans="2:2">
      <c r="B40990" s="62" t="str">
        <f>IF(AND('领用录入（明细）'!D:D=$F$4,'领用录入（明细）'!C:C&gt;=$J$4,'领用录入（明细）'!C:C&lt;=$L$4),ROW(),"-")</f>
        <v>-</v>
      </c>
    </row>
    <row r="40991" customHeight="1" spans="2:2">
      <c r="B40991" s="62" t="str">
        <f>IF(AND('领用录入（明细）'!D:D=$F$4,'领用录入（明细）'!C:C&gt;=$J$4,'领用录入（明细）'!C:C&lt;=$L$4),ROW(),"-")</f>
        <v>-</v>
      </c>
    </row>
    <row r="40992" customHeight="1" spans="2:2">
      <c r="B40992" s="62" t="str">
        <f>IF(AND('领用录入（明细）'!D:D=$F$4,'领用录入（明细）'!C:C&gt;=$J$4,'领用录入（明细）'!C:C&lt;=$L$4),ROW(),"-")</f>
        <v>-</v>
      </c>
    </row>
    <row r="40993" customHeight="1" spans="2:2">
      <c r="B40993" s="62" t="str">
        <f>IF(AND('领用录入（明细）'!D:D=$F$4,'领用录入（明细）'!C:C&gt;=$J$4,'领用录入（明细）'!C:C&lt;=$L$4),ROW(),"-")</f>
        <v>-</v>
      </c>
    </row>
    <row r="40994" customHeight="1" spans="2:2">
      <c r="B40994" s="62" t="str">
        <f>IF(AND('领用录入（明细）'!D:D=$F$4,'领用录入（明细）'!C:C&gt;=$J$4,'领用录入（明细）'!C:C&lt;=$L$4),ROW(),"-")</f>
        <v>-</v>
      </c>
    </row>
    <row r="40995" customHeight="1" spans="2:2">
      <c r="B40995" s="62" t="str">
        <f>IF(AND('领用录入（明细）'!D:D=$F$4,'领用录入（明细）'!C:C&gt;=$J$4,'领用录入（明细）'!C:C&lt;=$L$4),ROW(),"-")</f>
        <v>-</v>
      </c>
    </row>
    <row r="40996" customHeight="1" spans="2:2">
      <c r="B40996" s="62" t="str">
        <f>IF(AND('领用录入（明细）'!D:D=$F$4,'领用录入（明细）'!C:C&gt;=$J$4,'领用录入（明细）'!C:C&lt;=$L$4),ROW(),"-")</f>
        <v>-</v>
      </c>
    </row>
    <row r="40997" customHeight="1" spans="2:2">
      <c r="B40997" s="62" t="str">
        <f>IF(AND('领用录入（明细）'!D:D=$F$4,'领用录入（明细）'!C:C&gt;=$J$4,'领用录入（明细）'!C:C&lt;=$L$4),ROW(),"-")</f>
        <v>-</v>
      </c>
    </row>
    <row r="40998" customHeight="1" spans="2:2">
      <c r="B40998" s="62" t="str">
        <f>IF(AND('领用录入（明细）'!D:D=$F$4,'领用录入（明细）'!C:C&gt;=$J$4,'领用录入（明细）'!C:C&lt;=$L$4),ROW(),"-")</f>
        <v>-</v>
      </c>
    </row>
    <row r="40999" customHeight="1" spans="2:2">
      <c r="B40999" s="62" t="str">
        <f>IF(AND('领用录入（明细）'!D:D=$F$4,'领用录入（明细）'!C:C&gt;=$J$4,'领用录入（明细）'!C:C&lt;=$L$4),ROW(),"-")</f>
        <v>-</v>
      </c>
    </row>
    <row r="41000" customHeight="1" spans="2:2">
      <c r="B41000" s="62" t="str">
        <f>IF(AND('领用录入（明细）'!D:D=$F$4,'领用录入（明细）'!C:C&gt;=$J$4,'领用录入（明细）'!C:C&lt;=$L$4),ROW(),"-")</f>
        <v>-</v>
      </c>
    </row>
    <row r="41001" customHeight="1" spans="2:2">
      <c r="B41001" s="62" t="str">
        <f>IF(AND('领用录入（明细）'!D:D=$F$4,'领用录入（明细）'!C:C&gt;=$J$4,'领用录入（明细）'!C:C&lt;=$L$4),ROW(),"-")</f>
        <v>-</v>
      </c>
    </row>
    <row r="41002" customHeight="1" spans="2:2">
      <c r="B41002" s="62" t="str">
        <f>IF(AND('领用录入（明细）'!D:D=$F$4,'领用录入（明细）'!C:C&gt;=$J$4,'领用录入（明细）'!C:C&lt;=$L$4),ROW(),"-")</f>
        <v>-</v>
      </c>
    </row>
    <row r="41003" customHeight="1" spans="2:2">
      <c r="B41003" s="62" t="str">
        <f>IF(AND('领用录入（明细）'!D:D=$F$4,'领用录入（明细）'!C:C&gt;=$J$4,'领用录入（明细）'!C:C&lt;=$L$4),ROW(),"-")</f>
        <v>-</v>
      </c>
    </row>
    <row r="41004" customHeight="1" spans="2:2">
      <c r="B41004" s="62" t="str">
        <f>IF(AND('领用录入（明细）'!D:D=$F$4,'领用录入（明细）'!C:C&gt;=$J$4,'领用录入（明细）'!C:C&lt;=$L$4),ROW(),"-")</f>
        <v>-</v>
      </c>
    </row>
    <row r="41005" customHeight="1" spans="2:2">
      <c r="B41005" s="62" t="str">
        <f>IF(AND('领用录入（明细）'!D:D=$F$4,'领用录入（明细）'!C:C&gt;=$J$4,'领用录入（明细）'!C:C&lt;=$L$4),ROW(),"-")</f>
        <v>-</v>
      </c>
    </row>
    <row r="41006" customHeight="1" spans="2:2">
      <c r="B41006" s="62" t="str">
        <f>IF(AND('领用录入（明细）'!D:D=$F$4,'领用录入（明细）'!C:C&gt;=$J$4,'领用录入（明细）'!C:C&lt;=$L$4),ROW(),"-")</f>
        <v>-</v>
      </c>
    </row>
    <row r="41007" customHeight="1" spans="2:2">
      <c r="B41007" s="62" t="str">
        <f>IF(AND('领用录入（明细）'!D:D=$F$4,'领用录入（明细）'!C:C&gt;=$J$4,'领用录入（明细）'!C:C&lt;=$L$4),ROW(),"-")</f>
        <v>-</v>
      </c>
    </row>
    <row r="41008" customHeight="1" spans="2:2">
      <c r="B41008" s="62" t="str">
        <f>IF(AND('领用录入（明细）'!D:D=$F$4,'领用录入（明细）'!C:C&gt;=$J$4,'领用录入（明细）'!C:C&lt;=$L$4),ROW(),"-")</f>
        <v>-</v>
      </c>
    </row>
    <row r="41009" customHeight="1" spans="2:2">
      <c r="B41009" s="62" t="str">
        <f>IF(AND('领用录入（明细）'!D:D=$F$4,'领用录入（明细）'!C:C&gt;=$J$4,'领用录入（明细）'!C:C&lt;=$L$4),ROW(),"-")</f>
        <v>-</v>
      </c>
    </row>
    <row r="41010" customHeight="1" spans="2:2">
      <c r="B41010" s="62" t="str">
        <f>IF(AND('领用录入（明细）'!D:D=$F$4,'领用录入（明细）'!C:C&gt;=$J$4,'领用录入（明细）'!C:C&lt;=$L$4),ROW(),"-")</f>
        <v>-</v>
      </c>
    </row>
    <row r="41011" customHeight="1" spans="2:2">
      <c r="B41011" s="62" t="str">
        <f>IF(AND('领用录入（明细）'!D:D=$F$4,'领用录入（明细）'!C:C&gt;=$J$4,'领用录入（明细）'!C:C&lt;=$L$4),ROW(),"-")</f>
        <v>-</v>
      </c>
    </row>
    <row r="41012" customHeight="1" spans="2:2">
      <c r="B41012" s="62" t="str">
        <f>IF(AND('领用录入（明细）'!D:D=$F$4,'领用录入（明细）'!C:C&gt;=$J$4,'领用录入（明细）'!C:C&lt;=$L$4),ROW(),"-")</f>
        <v>-</v>
      </c>
    </row>
    <row r="41013" customHeight="1" spans="2:2">
      <c r="B41013" s="62" t="str">
        <f>IF(AND('领用录入（明细）'!D:D=$F$4,'领用录入（明细）'!C:C&gt;=$J$4,'领用录入（明细）'!C:C&lt;=$L$4),ROW(),"-")</f>
        <v>-</v>
      </c>
    </row>
    <row r="41014" customHeight="1" spans="2:2">
      <c r="B41014" s="62" t="str">
        <f>IF(AND('领用录入（明细）'!D:D=$F$4,'领用录入（明细）'!C:C&gt;=$J$4,'领用录入（明细）'!C:C&lt;=$L$4),ROW(),"-")</f>
        <v>-</v>
      </c>
    </row>
    <row r="41015" customHeight="1" spans="2:2">
      <c r="B41015" s="62" t="str">
        <f>IF(AND('领用录入（明细）'!D:D=$F$4,'领用录入（明细）'!C:C&gt;=$J$4,'领用录入（明细）'!C:C&lt;=$L$4),ROW(),"-")</f>
        <v>-</v>
      </c>
    </row>
    <row r="41016" customHeight="1" spans="2:2">
      <c r="B41016" s="62" t="str">
        <f>IF(AND('领用录入（明细）'!D:D=$F$4,'领用录入（明细）'!C:C&gt;=$J$4,'领用录入（明细）'!C:C&lt;=$L$4),ROW(),"-")</f>
        <v>-</v>
      </c>
    </row>
    <row r="41017" customHeight="1" spans="2:2">
      <c r="B41017" s="62" t="str">
        <f>IF(AND('领用录入（明细）'!D:D=$F$4,'领用录入（明细）'!C:C&gt;=$J$4,'领用录入（明细）'!C:C&lt;=$L$4),ROW(),"-")</f>
        <v>-</v>
      </c>
    </row>
    <row r="41018" customHeight="1" spans="2:2">
      <c r="B41018" s="62" t="str">
        <f>IF(AND('领用录入（明细）'!D:D=$F$4,'领用录入（明细）'!C:C&gt;=$J$4,'领用录入（明细）'!C:C&lt;=$L$4),ROW(),"-")</f>
        <v>-</v>
      </c>
    </row>
    <row r="41019" customHeight="1" spans="2:2">
      <c r="B41019" s="62" t="str">
        <f>IF(AND('领用录入（明细）'!D:D=$F$4,'领用录入（明细）'!C:C&gt;=$J$4,'领用录入（明细）'!C:C&lt;=$L$4),ROW(),"-")</f>
        <v>-</v>
      </c>
    </row>
    <row r="41020" customHeight="1" spans="2:2">
      <c r="B41020" s="62" t="str">
        <f>IF(AND('领用录入（明细）'!D:D=$F$4,'领用录入（明细）'!C:C&gt;=$J$4,'领用录入（明细）'!C:C&lt;=$L$4),ROW(),"-")</f>
        <v>-</v>
      </c>
    </row>
    <row r="41021" customHeight="1" spans="2:2">
      <c r="B41021" s="62" t="str">
        <f>IF(AND('领用录入（明细）'!D:D=$F$4,'领用录入（明细）'!C:C&gt;=$J$4,'领用录入（明细）'!C:C&lt;=$L$4),ROW(),"-")</f>
        <v>-</v>
      </c>
    </row>
    <row r="41022" customHeight="1" spans="2:2">
      <c r="B41022" s="62" t="str">
        <f>IF(AND('领用录入（明细）'!D:D=$F$4,'领用录入（明细）'!C:C&gt;=$J$4,'领用录入（明细）'!C:C&lt;=$L$4),ROW(),"-")</f>
        <v>-</v>
      </c>
    </row>
    <row r="41023" customHeight="1" spans="2:2">
      <c r="B41023" s="62" t="str">
        <f>IF(AND('领用录入（明细）'!D:D=$F$4,'领用录入（明细）'!C:C&gt;=$J$4,'领用录入（明细）'!C:C&lt;=$L$4),ROW(),"-")</f>
        <v>-</v>
      </c>
    </row>
    <row r="41024" customHeight="1" spans="2:2">
      <c r="B41024" s="62" t="str">
        <f>IF(AND('领用录入（明细）'!D:D=$F$4,'领用录入（明细）'!C:C&gt;=$J$4,'领用录入（明细）'!C:C&lt;=$L$4),ROW(),"-")</f>
        <v>-</v>
      </c>
    </row>
    <row r="41025" customHeight="1" spans="2:2">
      <c r="B41025" s="62" t="str">
        <f>IF(AND('领用录入（明细）'!D:D=$F$4,'领用录入（明细）'!C:C&gt;=$J$4,'领用录入（明细）'!C:C&lt;=$L$4),ROW(),"-")</f>
        <v>-</v>
      </c>
    </row>
    <row r="41026" customHeight="1" spans="2:2">
      <c r="B41026" s="62" t="str">
        <f>IF(AND('领用录入（明细）'!D:D=$F$4,'领用录入（明细）'!C:C&gt;=$J$4,'领用录入（明细）'!C:C&lt;=$L$4),ROW(),"-")</f>
        <v>-</v>
      </c>
    </row>
    <row r="41027" customHeight="1" spans="2:2">
      <c r="B41027" s="62" t="str">
        <f>IF(AND('领用录入（明细）'!D:D=$F$4,'领用录入（明细）'!C:C&gt;=$J$4,'领用录入（明细）'!C:C&lt;=$L$4),ROW(),"-")</f>
        <v>-</v>
      </c>
    </row>
    <row r="41028" customHeight="1" spans="2:2">
      <c r="B41028" s="62" t="str">
        <f>IF(AND('领用录入（明细）'!D:D=$F$4,'领用录入（明细）'!C:C&gt;=$J$4,'领用录入（明细）'!C:C&lt;=$L$4),ROW(),"-")</f>
        <v>-</v>
      </c>
    </row>
    <row r="41029" customHeight="1" spans="2:2">
      <c r="B41029" s="62" t="str">
        <f>IF(AND('领用录入（明细）'!D:D=$F$4,'领用录入（明细）'!C:C&gt;=$J$4,'领用录入（明细）'!C:C&lt;=$L$4),ROW(),"-")</f>
        <v>-</v>
      </c>
    </row>
    <row r="41030" customHeight="1" spans="2:2">
      <c r="B41030" s="62" t="str">
        <f>IF(AND('领用录入（明细）'!D:D=$F$4,'领用录入（明细）'!C:C&gt;=$J$4,'领用录入（明细）'!C:C&lt;=$L$4),ROW(),"-")</f>
        <v>-</v>
      </c>
    </row>
    <row r="41031" customHeight="1" spans="2:2">
      <c r="B41031" s="62" t="str">
        <f>IF(AND('领用录入（明细）'!D:D=$F$4,'领用录入（明细）'!C:C&gt;=$J$4,'领用录入（明细）'!C:C&lt;=$L$4),ROW(),"-")</f>
        <v>-</v>
      </c>
    </row>
    <row r="41032" customHeight="1" spans="2:2">
      <c r="B41032" s="62" t="str">
        <f>IF(AND('领用录入（明细）'!D:D=$F$4,'领用录入（明细）'!C:C&gt;=$J$4,'领用录入（明细）'!C:C&lt;=$L$4),ROW(),"-")</f>
        <v>-</v>
      </c>
    </row>
    <row r="41033" customHeight="1" spans="2:2">
      <c r="B41033" s="62" t="str">
        <f>IF(AND('领用录入（明细）'!D:D=$F$4,'领用录入（明细）'!C:C&gt;=$J$4,'领用录入（明细）'!C:C&lt;=$L$4),ROW(),"-")</f>
        <v>-</v>
      </c>
    </row>
    <row r="41034" customHeight="1" spans="2:2">
      <c r="B41034" s="62" t="str">
        <f>IF(AND('领用录入（明细）'!D:D=$F$4,'领用录入（明细）'!C:C&gt;=$J$4,'领用录入（明细）'!C:C&lt;=$L$4),ROW(),"-")</f>
        <v>-</v>
      </c>
    </row>
    <row r="41035" customHeight="1" spans="2:2">
      <c r="B41035" s="62" t="str">
        <f>IF(AND('领用录入（明细）'!D:D=$F$4,'领用录入（明细）'!C:C&gt;=$J$4,'领用录入（明细）'!C:C&lt;=$L$4),ROW(),"-")</f>
        <v>-</v>
      </c>
    </row>
    <row r="41036" customHeight="1" spans="2:2">
      <c r="B41036" s="62" t="str">
        <f>IF(AND('领用录入（明细）'!D:D=$F$4,'领用录入（明细）'!C:C&gt;=$J$4,'领用录入（明细）'!C:C&lt;=$L$4),ROW(),"-")</f>
        <v>-</v>
      </c>
    </row>
    <row r="41037" customHeight="1" spans="2:2">
      <c r="B41037" s="62" t="str">
        <f>IF(AND('领用录入（明细）'!D:D=$F$4,'领用录入（明细）'!C:C&gt;=$J$4,'领用录入（明细）'!C:C&lt;=$L$4),ROW(),"-")</f>
        <v>-</v>
      </c>
    </row>
    <row r="41038" customHeight="1" spans="2:2">
      <c r="B41038" s="62" t="str">
        <f>IF(AND('领用录入（明细）'!D:D=$F$4,'领用录入（明细）'!C:C&gt;=$J$4,'领用录入（明细）'!C:C&lt;=$L$4),ROW(),"-")</f>
        <v>-</v>
      </c>
    </row>
    <row r="41039" customHeight="1" spans="2:2">
      <c r="B41039" s="62" t="str">
        <f>IF(AND('领用录入（明细）'!D:D=$F$4,'领用录入（明细）'!C:C&gt;=$J$4,'领用录入（明细）'!C:C&lt;=$L$4),ROW(),"-")</f>
        <v>-</v>
      </c>
    </row>
    <row r="41040" customHeight="1" spans="2:2">
      <c r="B41040" s="62" t="str">
        <f>IF(AND('领用录入（明细）'!D:D=$F$4,'领用录入（明细）'!C:C&gt;=$J$4,'领用录入（明细）'!C:C&lt;=$L$4),ROW(),"-")</f>
        <v>-</v>
      </c>
    </row>
    <row r="41041" customHeight="1" spans="2:2">
      <c r="B41041" s="62" t="str">
        <f>IF(AND('领用录入（明细）'!D:D=$F$4,'领用录入（明细）'!C:C&gt;=$J$4,'领用录入（明细）'!C:C&lt;=$L$4),ROW(),"-")</f>
        <v>-</v>
      </c>
    </row>
    <row r="41042" customHeight="1" spans="2:2">
      <c r="B41042" s="62" t="str">
        <f>IF(AND('领用录入（明细）'!D:D=$F$4,'领用录入（明细）'!C:C&gt;=$J$4,'领用录入（明细）'!C:C&lt;=$L$4),ROW(),"-")</f>
        <v>-</v>
      </c>
    </row>
    <row r="41043" customHeight="1" spans="2:2">
      <c r="B41043" s="62" t="str">
        <f>IF(AND('领用录入（明细）'!D:D=$F$4,'领用录入（明细）'!C:C&gt;=$J$4,'领用录入（明细）'!C:C&lt;=$L$4),ROW(),"-")</f>
        <v>-</v>
      </c>
    </row>
    <row r="41044" customHeight="1" spans="2:2">
      <c r="B41044" s="62" t="str">
        <f>IF(AND('领用录入（明细）'!D:D=$F$4,'领用录入（明细）'!C:C&gt;=$J$4,'领用录入（明细）'!C:C&lt;=$L$4),ROW(),"-")</f>
        <v>-</v>
      </c>
    </row>
    <row r="41045" customHeight="1" spans="2:2">
      <c r="B41045" s="62" t="str">
        <f>IF(AND('领用录入（明细）'!D:D=$F$4,'领用录入（明细）'!C:C&gt;=$J$4,'领用录入（明细）'!C:C&lt;=$L$4),ROW(),"-")</f>
        <v>-</v>
      </c>
    </row>
    <row r="41046" customHeight="1" spans="2:2">
      <c r="B41046" s="62" t="str">
        <f>IF(AND('领用录入（明细）'!D:D=$F$4,'领用录入（明细）'!C:C&gt;=$J$4,'领用录入（明细）'!C:C&lt;=$L$4),ROW(),"-")</f>
        <v>-</v>
      </c>
    </row>
    <row r="41047" customHeight="1" spans="2:2">
      <c r="B41047" s="62" t="str">
        <f>IF(AND('领用录入（明细）'!D:D=$F$4,'领用录入（明细）'!C:C&gt;=$J$4,'领用录入（明细）'!C:C&lt;=$L$4),ROW(),"-")</f>
        <v>-</v>
      </c>
    </row>
    <row r="41048" customHeight="1" spans="2:2">
      <c r="B41048" s="62" t="str">
        <f>IF(AND('领用录入（明细）'!D:D=$F$4,'领用录入（明细）'!C:C&gt;=$J$4,'领用录入（明细）'!C:C&lt;=$L$4),ROW(),"-")</f>
        <v>-</v>
      </c>
    </row>
    <row r="41049" customHeight="1" spans="2:2">
      <c r="B41049" s="62" t="str">
        <f>IF(AND('领用录入（明细）'!D:D=$F$4,'领用录入（明细）'!C:C&gt;=$J$4,'领用录入（明细）'!C:C&lt;=$L$4),ROW(),"-")</f>
        <v>-</v>
      </c>
    </row>
    <row r="41050" customHeight="1" spans="2:2">
      <c r="B41050" s="62" t="str">
        <f>IF(AND('领用录入（明细）'!D:D=$F$4,'领用录入（明细）'!C:C&gt;=$J$4,'领用录入（明细）'!C:C&lt;=$L$4),ROW(),"-")</f>
        <v>-</v>
      </c>
    </row>
    <row r="41051" customHeight="1" spans="2:2">
      <c r="B41051" s="62" t="str">
        <f>IF(AND('领用录入（明细）'!D:D=$F$4,'领用录入（明细）'!C:C&gt;=$J$4,'领用录入（明细）'!C:C&lt;=$L$4),ROW(),"-")</f>
        <v>-</v>
      </c>
    </row>
    <row r="41052" customHeight="1" spans="2:2">
      <c r="B41052" s="62" t="str">
        <f>IF(AND('领用录入（明细）'!D:D=$F$4,'领用录入（明细）'!C:C&gt;=$J$4,'领用录入（明细）'!C:C&lt;=$L$4),ROW(),"-")</f>
        <v>-</v>
      </c>
    </row>
    <row r="41053" customHeight="1" spans="2:2">
      <c r="B41053" s="62" t="str">
        <f>IF(AND('领用录入（明细）'!D:D=$F$4,'领用录入（明细）'!C:C&gt;=$J$4,'领用录入（明细）'!C:C&lt;=$L$4),ROW(),"-")</f>
        <v>-</v>
      </c>
    </row>
    <row r="41054" customHeight="1" spans="2:2">
      <c r="B41054" s="62" t="str">
        <f>IF(AND('领用录入（明细）'!D:D=$F$4,'领用录入（明细）'!C:C&gt;=$J$4,'领用录入（明细）'!C:C&lt;=$L$4),ROW(),"-")</f>
        <v>-</v>
      </c>
    </row>
    <row r="41055" customHeight="1" spans="2:2">
      <c r="B41055" s="62" t="str">
        <f>IF(AND('领用录入（明细）'!D:D=$F$4,'领用录入（明细）'!C:C&gt;=$J$4,'领用录入（明细）'!C:C&lt;=$L$4),ROW(),"-")</f>
        <v>-</v>
      </c>
    </row>
    <row r="41056" customHeight="1" spans="2:2">
      <c r="B41056" s="62" t="str">
        <f>IF(AND('领用录入（明细）'!D:D=$F$4,'领用录入（明细）'!C:C&gt;=$J$4,'领用录入（明细）'!C:C&lt;=$L$4),ROW(),"-")</f>
        <v>-</v>
      </c>
    </row>
    <row r="41057" customHeight="1" spans="2:2">
      <c r="B41057" s="62" t="str">
        <f>IF(AND('领用录入（明细）'!D:D=$F$4,'领用录入（明细）'!C:C&gt;=$J$4,'领用录入（明细）'!C:C&lt;=$L$4),ROW(),"-")</f>
        <v>-</v>
      </c>
    </row>
    <row r="41058" customHeight="1" spans="2:2">
      <c r="B41058" s="62" t="str">
        <f>IF(AND('领用录入（明细）'!D:D=$F$4,'领用录入（明细）'!C:C&gt;=$J$4,'领用录入（明细）'!C:C&lt;=$L$4),ROW(),"-")</f>
        <v>-</v>
      </c>
    </row>
    <row r="41059" customHeight="1" spans="2:2">
      <c r="B41059" s="62" t="str">
        <f>IF(AND('领用录入（明细）'!D:D=$F$4,'领用录入（明细）'!C:C&gt;=$J$4,'领用录入（明细）'!C:C&lt;=$L$4),ROW(),"-")</f>
        <v>-</v>
      </c>
    </row>
    <row r="41060" customHeight="1" spans="2:2">
      <c r="B41060" s="62" t="str">
        <f>IF(AND('领用录入（明细）'!D:D=$F$4,'领用录入（明细）'!C:C&gt;=$J$4,'领用录入（明细）'!C:C&lt;=$L$4),ROW(),"-")</f>
        <v>-</v>
      </c>
    </row>
    <row r="41061" customHeight="1" spans="2:2">
      <c r="B41061" s="62" t="str">
        <f>IF(AND('领用录入（明细）'!D:D=$F$4,'领用录入（明细）'!C:C&gt;=$J$4,'领用录入（明细）'!C:C&lt;=$L$4),ROW(),"-")</f>
        <v>-</v>
      </c>
    </row>
    <row r="41062" customHeight="1" spans="2:2">
      <c r="B41062" s="62" t="str">
        <f>IF(AND('领用录入（明细）'!D:D=$F$4,'领用录入（明细）'!C:C&gt;=$J$4,'领用录入（明细）'!C:C&lt;=$L$4),ROW(),"-")</f>
        <v>-</v>
      </c>
    </row>
    <row r="41063" customHeight="1" spans="2:2">
      <c r="B41063" s="62" t="str">
        <f>IF(AND('领用录入（明细）'!D:D=$F$4,'领用录入（明细）'!C:C&gt;=$J$4,'领用录入（明细）'!C:C&lt;=$L$4),ROW(),"-")</f>
        <v>-</v>
      </c>
    </row>
    <row r="41064" customHeight="1" spans="2:2">
      <c r="B41064" s="62" t="str">
        <f>IF(AND('领用录入（明细）'!D:D=$F$4,'领用录入（明细）'!C:C&gt;=$J$4,'领用录入（明细）'!C:C&lt;=$L$4),ROW(),"-")</f>
        <v>-</v>
      </c>
    </row>
    <row r="41065" customHeight="1" spans="2:2">
      <c r="B41065" s="62" t="str">
        <f>IF(AND('领用录入（明细）'!D:D=$F$4,'领用录入（明细）'!C:C&gt;=$J$4,'领用录入（明细）'!C:C&lt;=$L$4),ROW(),"-")</f>
        <v>-</v>
      </c>
    </row>
    <row r="41066" customHeight="1" spans="2:2">
      <c r="B41066" s="62" t="str">
        <f>IF(AND('领用录入（明细）'!D:D=$F$4,'领用录入（明细）'!C:C&gt;=$J$4,'领用录入（明细）'!C:C&lt;=$L$4),ROW(),"-")</f>
        <v>-</v>
      </c>
    </row>
    <row r="41067" customHeight="1" spans="2:2">
      <c r="B41067" s="62" t="str">
        <f>IF(AND('领用录入（明细）'!D:D=$F$4,'领用录入（明细）'!C:C&gt;=$J$4,'领用录入（明细）'!C:C&lt;=$L$4),ROW(),"-")</f>
        <v>-</v>
      </c>
    </row>
    <row r="41068" customHeight="1" spans="2:2">
      <c r="B41068" s="62" t="str">
        <f>IF(AND('领用录入（明细）'!D:D=$F$4,'领用录入（明细）'!C:C&gt;=$J$4,'领用录入（明细）'!C:C&lt;=$L$4),ROW(),"-")</f>
        <v>-</v>
      </c>
    </row>
    <row r="41069" customHeight="1" spans="2:2">
      <c r="B41069" s="62" t="str">
        <f>IF(AND('领用录入（明细）'!D:D=$F$4,'领用录入（明细）'!C:C&gt;=$J$4,'领用录入（明细）'!C:C&lt;=$L$4),ROW(),"-")</f>
        <v>-</v>
      </c>
    </row>
    <row r="41070" customHeight="1" spans="2:2">
      <c r="B41070" s="62" t="str">
        <f>IF(AND('领用录入（明细）'!D:D=$F$4,'领用录入（明细）'!C:C&gt;=$J$4,'领用录入（明细）'!C:C&lt;=$L$4),ROW(),"-")</f>
        <v>-</v>
      </c>
    </row>
    <row r="41071" customHeight="1" spans="2:2">
      <c r="B41071" s="62" t="str">
        <f>IF(AND('领用录入（明细）'!D:D=$F$4,'领用录入（明细）'!C:C&gt;=$J$4,'领用录入（明细）'!C:C&lt;=$L$4),ROW(),"-")</f>
        <v>-</v>
      </c>
    </row>
    <row r="41072" customHeight="1" spans="2:2">
      <c r="B41072" s="62" t="str">
        <f>IF(AND('领用录入（明细）'!D:D=$F$4,'领用录入（明细）'!C:C&gt;=$J$4,'领用录入（明细）'!C:C&lt;=$L$4),ROW(),"-")</f>
        <v>-</v>
      </c>
    </row>
    <row r="41073" customHeight="1" spans="2:2">
      <c r="B41073" s="62" t="str">
        <f>IF(AND('领用录入（明细）'!D:D=$F$4,'领用录入（明细）'!C:C&gt;=$J$4,'领用录入（明细）'!C:C&lt;=$L$4),ROW(),"-")</f>
        <v>-</v>
      </c>
    </row>
    <row r="41074" customHeight="1" spans="2:2">
      <c r="B41074" s="62" t="str">
        <f>IF(AND('领用录入（明细）'!D:D=$F$4,'领用录入（明细）'!C:C&gt;=$J$4,'领用录入（明细）'!C:C&lt;=$L$4),ROW(),"-")</f>
        <v>-</v>
      </c>
    </row>
    <row r="41075" customHeight="1" spans="2:2">
      <c r="B41075" s="62" t="str">
        <f>IF(AND('领用录入（明细）'!D:D=$F$4,'领用录入（明细）'!C:C&gt;=$J$4,'领用录入（明细）'!C:C&lt;=$L$4),ROW(),"-")</f>
        <v>-</v>
      </c>
    </row>
    <row r="41076" customHeight="1" spans="2:2">
      <c r="B41076" s="62" t="str">
        <f>IF(AND('领用录入（明细）'!D:D=$F$4,'领用录入（明细）'!C:C&gt;=$J$4,'领用录入（明细）'!C:C&lt;=$L$4),ROW(),"-")</f>
        <v>-</v>
      </c>
    </row>
    <row r="41077" customHeight="1" spans="2:2">
      <c r="B41077" s="62" t="str">
        <f>IF(AND('领用录入（明细）'!D:D=$F$4,'领用录入（明细）'!C:C&gt;=$J$4,'领用录入（明细）'!C:C&lt;=$L$4),ROW(),"-")</f>
        <v>-</v>
      </c>
    </row>
    <row r="41078" customHeight="1" spans="2:2">
      <c r="B41078" s="62" t="str">
        <f>IF(AND('领用录入（明细）'!D:D=$F$4,'领用录入（明细）'!C:C&gt;=$J$4,'领用录入（明细）'!C:C&lt;=$L$4),ROW(),"-")</f>
        <v>-</v>
      </c>
    </row>
    <row r="41079" customHeight="1" spans="2:2">
      <c r="B41079" s="62" t="str">
        <f>IF(AND('领用录入（明细）'!D:D=$F$4,'领用录入（明细）'!C:C&gt;=$J$4,'领用录入（明细）'!C:C&lt;=$L$4),ROW(),"-")</f>
        <v>-</v>
      </c>
    </row>
    <row r="41080" customHeight="1" spans="2:2">
      <c r="B41080" s="62" t="str">
        <f>IF(AND('领用录入（明细）'!D:D=$F$4,'领用录入（明细）'!C:C&gt;=$J$4,'领用录入（明细）'!C:C&lt;=$L$4),ROW(),"-")</f>
        <v>-</v>
      </c>
    </row>
    <row r="41081" customHeight="1" spans="2:2">
      <c r="B41081" s="62" t="str">
        <f>IF(AND('领用录入（明细）'!D:D=$F$4,'领用录入（明细）'!C:C&gt;=$J$4,'领用录入（明细）'!C:C&lt;=$L$4),ROW(),"-")</f>
        <v>-</v>
      </c>
    </row>
    <row r="41082" customHeight="1" spans="2:2">
      <c r="B41082" s="62" t="str">
        <f>IF(AND('领用录入（明细）'!D:D=$F$4,'领用录入（明细）'!C:C&gt;=$J$4,'领用录入（明细）'!C:C&lt;=$L$4),ROW(),"-")</f>
        <v>-</v>
      </c>
    </row>
    <row r="41083" customHeight="1" spans="2:2">
      <c r="B41083" s="62" t="str">
        <f>IF(AND('领用录入（明细）'!D:D=$F$4,'领用录入（明细）'!C:C&gt;=$J$4,'领用录入（明细）'!C:C&lt;=$L$4),ROW(),"-")</f>
        <v>-</v>
      </c>
    </row>
    <row r="41084" customHeight="1" spans="2:2">
      <c r="B41084" s="62" t="str">
        <f>IF(AND('领用录入（明细）'!D:D=$F$4,'领用录入（明细）'!C:C&gt;=$J$4,'领用录入（明细）'!C:C&lt;=$L$4),ROW(),"-")</f>
        <v>-</v>
      </c>
    </row>
    <row r="41085" customHeight="1" spans="2:2">
      <c r="B41085" s="62" t="str">
        <f>IF(AND('领用录入（明细）'!D:D=$F$4,'领用录入（明细）'!C:C&gt;=$J$4,'领用录入（明细）'!C:C&lt;=$L$4),ROW(),"-")</f>
        <v>-</v>
      </c>
    </row>
    <row r="41086" customHeight="1" spans="2:2">
      <c r="B41086" s="62" t="str">
        <f>IF(AND('领用录入（明细）'!D:D=$F$4,'领用录入（明细）'!C:C&gt;=$J$4,'领用录入（明细）'!C:C&lt;=$L$4),ROW(),"-")</f>
        <v>-</v>
      </c>
    </row>
    <row r="41087" customHeight="1" spans="2:2">
      <c r="B41087" s="62" t="str">
        <f>IF(AND('领用录入（明细）'!D:D=$F$4,'领用录入（明细）'!C:C&gt;=$J$4,'领用录入（明细）'!C:C&lt;=$L$4),ROW(),"-")</f>
        <v>-</v>
      </c>
    </row>
    <row r="41088" customHeight="1" spans="2:2">
      <c r="B41088" s="62" t="str">
        <f>IF(AND('领用录入（明细）'!D:D=$F$4,'领用录入（明细）'!C:C&gt;=$J$4,'领用录入（明细）'!C:C&lt;=$L$4),ROW(),"-")</f>
        <v>-</v>
      </c>
    </row>
    <row r="41089" customHeight="1" spans="2:2">
      <c r="B41089" s="62" t="str">
        <f>IF(AND('领用录入（明细）'!D:D=$F$4,'领用录入（明细）'!C:C&gt;=$J$4,'领用录入（明细）'!C:C&lt;=$L$4),ROW(),"-")</f>
        <v>-</v>
      </c>
    </row>
    <row r="41090" customHeight="1" spans="2:2">
      <c r="B41090" s="62" t="str">
        <f>IF(AND('领用录入（明细）'!D:D=$F$4,'领用录入（明细）'!C:C&gt;=$J$4,'领用录入（明细）'!C:C&lt;=$L$4),ROW(),"-")</f>
        <v>-</v>
      </c>
    </row>
    <row r="41091" customHeight="1" spans="2:2">
      <c r="B41091" s="62" t="str">
        <f>IF(AND('领用录入（明细）'!D:D=$F$4,'领用录入（明细）'!C:C&gt;=$J$4,'领用录入（明细）'!C:C&lt;=$L$4),ROW(),"-")</f>
        <v>-</v>
      </c>
    </row>
    <row r="41092" customHeight="1" spans="2:2">
      <c r="B41092" s="62" t="str">
        <f>IF(AND('领用录入（明细）'!D:D=$F$4,'领用录入（明细）'!C:C&gt;=$J$4,'领用录入（明细）'!C:C&lt;=$L$4),ROW(),"-")</f>
        <v>-</v>
      </c>
    </row>
    <row r="41093" customHeight="1" spans="2:2">
      <c r="B41093" s="62" t="str">
        <f>IF(AND('领用录入（明细）'!D:D=$F$4,'领用录入（明细）'!C:C&gt;=$J$4,'领用录入（明细）'!C:C&lt;=$L$4),ROW(),"-")</f>
        <v>-</v>
      </c>
    </row>
    <row r="41094" customHeight="1" spans="2:2">
      <c r="B41094" s="62" t="str">
        <f>IF(AND('领用录入（明细）'!D:D=$F$4,'领用录入（明细）'!C:C&gt;=$J$4,'领用录入（明细）'!C:C&lt;=$L$4),ROW(),"-")</f>
        <v>-</v>
      </c>
    </row>
    <row r="41095" customHeight="1" spans="2:2">
      <c r="B41095" s="62" t="str">
        <f>IF(AND('领用录入（明细）'!D:D=$F$4,'领用录入（明细）'!C:C&gt;=$J$4,'领用录入（明细）'!C:C&lt;=$L$4),ROW(),"-")</f>
        <v>-</v>
      </c>
    </row>
    <row r="41096" customHeight="1" spans="2:2">
      <c r="B41096" s="62" t="str">
        <f>IF(AND('领用录入（明细）'!D:D=$F$4,'领用录入（明细）'!C:C&gt;=$J$4,'领用录入（明细）'!C:C&lt;=$L$4),ROW(),"-")</f>
        <v>-</v>
      </c>
    </row>
    <row r="41097" customHeight="1" spans="2:2">
      <c r="B41097" s="62" t="str">
        <f>IF(AND('领用录入（明细）'!D:D=$F$4,'领用录入（明细）'!C:C&gt;=$J$4,'领用录入（明细）'!C:C&lt;=$L$4),ROW(),"-")</f>
        <v>-</v>
      </c>
    </row>
    <row r="41098" customHeight="1" spans="2:2">
      <c r="B41098" s="62" t="str">
        <f>IF(AND('领用录入（明细）'!D:D=$F$4,'领用录入（明细）'!C:C&gt;=$J$4,'领用录入（明细）'!C:C&lt;=$L$4),ROW(),"-")</f>
        <v>-</v>
      </c>
    </row>
    <row r="41099" customHeight="1" spans="2:2">
      <c r="B41099" s="62" t="str">
        <f>IF(AND('领用录入（明细）'!D:D=$F$4,'领用录入（明细）'!C:C&gt;=$J$4,'领用录入（明细）'!C:C&lt;=$L$4),ROW(),"-")</f>
        <v>-</v>
      </c>
    </row>
    <row r="41100" customHeight="1" spans="2:2">
      <c r="B41100" s="62" t="str">
        <f>IF(AND('领用录入（明细）'!D:D=$F$4,'领用录入（明细）'!C:C&gt;=$J$4,'领用录入（明细）'!C:C&lt;=$L$4),ROW(),"-")</f>
        <v>-</v>
      </c>
    </row>
    <row r="41101" customHeight="1" spans="2:2">
      <c r="B41101" s="62" t="str">
        <f>IF(AND('领用录入（明细）'!D:D=$F$4,'领用录入（明细）'!C:C&gt;=$J$4,'领用录入（明细）'!C:C&lt;=$L$4),ROW(),"-")</f>
        <v>-</v>
      </c>
    </row>
    <row r="41102" customHeight="1" spans="2:2">
      <c r="B41102" s="62" t="str">
        <f>IF(AND('领用录入（明细）'!D:D=$F$4,'领用录入（明细）'!C:C&gt;=$J$4,'领用录入（明细）'!C:C&lt;=$L$4),ROW(),"-")</f>
        <v>-</v>
      </c>
    </row>
    <row r="41103" customHeight="1" spans="2:2">
      <c r="B41103" s="62" t="str">
        <f>IF(AND('领用录入（明细）'!D:D=$F$4,'领用录入（明细）'!C:C&gt;=$J$4,'领用录入（明细）'!C:C&lt;=$L$4),ROW(),"-")</f>
        <v>-</v>
      </c>
    </row>
    <row r="41104" customHeight="1" spans="2:2">
      <c r="B41104" s="62" t="str">
        <f>IF(AND('领用录入（明细）'!D:D=$F$4,'领用录入（明细）'!C:C&gt;=$J$4,'领用录入（明细）'!C:C&lt;=$L$4),ROW(),"-")</f>
        <v>-</v>
      </c>
    </row>
    <row r="41105" customHeight="1" spans="2:2">
      <c r="B41105" s="62" t="str">
        <f>IF(AND('领用录入（明细）'!D:D=$F$4,'领用录入（明细）'!C:C&gt;=$J$4,'领用录入（明细）'!C:C&lt;=$L$4),ROW(),"-")</f>
        <v>-</v>
      </c>
    </row>
    <row r="41106" customHeight="1" spans="2:2">
      <c r="B41106" s="62" t="str">
        <f>IF(AND('领用录入（明细）'!D:D=$F$4,'领用录入（明细）'!C:C&gt;=$J$4,'领用录入（明细）'!C:C&lt;=$L$4),ROW(),"-")</f>
        <v>-</v>
      </c>
    </row>
    <row r="41107" customHeight="1" spans="2:2">
      <c r="B41107" s="62" t="str">
        <f>IF(AND('领用录入（明细）'!D:D=$F$4,'领用录入（明细）'!C:C&gt;=$J$4,'领用录入（明细）'!C:C&lt;=$L$4),ROW(),"-")</f>
        <v>-</v>
      </c>
    </row>
    <row r="41108" customHeight="1" spans="2:2">
      <c r="B41108" s="62" t="str">
        <f>IF(AND('领用录入（明细）'!D:D=$F$4,'领用录入（明细）'!C:C&gt;=$J$4,'领用录入（明细）'!C:C&lt;=$L$4),ROW(),"-")</f>
        <v>-</v>
      </c>
    </row>
    <row r="41109" customHeight="1" spans="2:2">
      <c r="B41109" s="62" t="str">
        <f>IF(AND('领用录入（明细）'!D:D=$F$4,'领用录入（明细）'!C:C&gt;=$J$4,'领用录入（明细）'!C:C&lt;=$L$4),ROW(),"-")</f>
        <v>-</v>
      </c>
    </row>
    <row r="41110" customHeight="1" spans="2:2">
      <c r="B41110" s="62" t="str">
        <f>IF(AND('领用录入（明细）'!D:D=$F$4,'领用录入（明细）'!C:C&gt;=$J$4,'领用录入（明细）'!C:C&lt;=$L$4),ROW(),"-")</f>
        <v>-</v>
      </c>
    </row>
    <row r="41111" customHeight="1" spans="2:2">
      <c r="B41111" s="62" t="str">
        <f>IF(AND('领用录入（明细）'!D:D=$F$4,'领用录入（明细）'!C:C&gt;=$J$4,'领用录入（明细）'!C:C&lt;=$L$4),ROW(),"-")</f>
        <v>-</v>
      </c>
    </row>
    <row r="41112" customHeight="1" spans="2:2">
      <c r="B41112" s="62" t="str">
        <f>IF(AND('领用录入（明细）'!D:D=$F$4,'领用录入（明细）'!C:C&gt;=$J$4,'领用录入（明细）'!C:C&lt;=$L$4),ROW(),"-")</f>
        <v>-</v>
      </c>
    </row>
    <row r="41113" customHeight="1" spans="2:2">
      <c r="B41113" s="62" t="str">
        <f>IF(AND('领用录入（明细）'!D:D=$F$4,'领用录入（明细）'!C:C&gt;=$J$4,'领用录入（明细）'!C:C&lt;=$L$4),ROW(),"-")</f>
        <v>-</v>
      </c>
    </row>
    <row r="41114" customHeight="1" spans="2:2">
      <c r="B41114" s="62" t="str">
        <f>IF(AND('领用录入（明细）'!D:D=$F$4,'领用录入（明细）'!C:C&gt;=$J$4,'领用录入（明细）'!C:C&lt;=$L$4),ROW(),"-")</f>
        <v>-</v>
      </c>
    </row>
    <row r="41115" customHeight="1" spans="2:2">
      <c r="B41115" s="62" t="str">
        <f>IF(AND('领用录入（明细）'!D:D=$F$4,'领用录入（明细）'!C:C&gt;=$J$4,'领用录入（明细）'!C:C&lt;=$L$4),ROW(),"-")</f>
        <v>-</v>
      </c>
    </row>
    <row r="41116" customHeight="1" spans="2:2">
      <c r="B41116" s="62" t="str">
        <f>IF(AND('领用录入（明细）'!D:D=$F$4,'领用录入（明细）'!C:C&gt;=$J$4,'领用录入（明细）'!C:C&lt;=$L$4),ROW(),"-")</f>
        <v>-</v>
      </c>
    </row>
    <row r="41117" customHeight="1" spans="2:2">
      <c r="B41117" s="62" t="str">
        <f>IF(AND('领用录入（明细）'!D:D=$F$4,'领用录入（明细）'!C:C&gt;=$J$4,'领用录入（明细）'!C:C&lt;=$L$4),ROW(),"-")</f>
        <v>-</v>
      </c>
    </row>
    <row r="41118" customHeight="1" spans="2:2">
      <c r="B41118" s="62" t="str">
        <f>IF(AND('领用录入（明细）'!D:D=$F$4,'领用录入（明细）'!C:C&gt;=$J$4,'领用录入（明细）'!C:C&lt;=$L$4),ROW(),"-")</f>
        <v>-</v>
      </c>
    </row>
    <row r="41119" customHeight="1" spans="2:2">
      <c r="B41119" s="62" t="str">
        <f>IF(AND('领用录入（明细）'!D:D=$F$4,'领用录入（明细）'!C:C&gt;=$J$4,'领用录入（明细）'!C:C&lt;=$L$4),ROW(),"-")</f>
        <v>-</v>
      </c>
    </row>
    <row r="41120" customHeight="1" spans="2:2">
      <c r="B41120" s="62" t="str">
        <f>IF(AND('领用录入（明细）'!D:D=$F$4,'领用录入（明细）'!C:C&gt;=$J$4,'领用录入（明细）'!C:C&lt;=$L$4),ROW(),"-")</f>
        <v>-</v>
      </c>
    </row>
    <row r="41121" customHeight="1" spans="2:2">
      <c r="B41121" s="62" t="str">
        <f>IF(AND('领用录入（明细）'!D:D=$F$4,'领用录入（明细）'!C:C&gt;=$J$4,'领用录入（明细）'!C:C&lt;=$L$4),ROW(),"-")</f>
        <v>-</v>
      </c>
    </row>
    <row r="41122" customHeight="1" spans="2:2">
      <c r="B41122" s="62" t="str">
        <f>IF(AND('领用录入（明细）'!D:D=$F$4,'领用录入（明细）'!C:C&gt;=$J$4,'领用录入（明细）'!C:C&lt;=$L$4),ROW(),"-")</f>
        <v>-</v>
      </c>
    </row>
    <row r="41123" customHeight="1" spans="2:2">
      <c r="B41123" s="62" t="str">
        <f>IF(AND('领用录入（明细）'!D:D=$F$4,'领用录入（明细）'!C:C&gt;=$J$4,'领用录入（明细）'!C:C&lt;=$L$4),ROW(),"-")</f>
        <v>-</v>
      </c>
    </row>
    <row r="41124" customHeight="1" spans="2:2">
      <c r="B41124" s="62" t="str">
        <f>IF(AND('领用录入（明细）'!D:D=$F$4,'领用录入（明细）'!C:C&gt;=$J$4,'领用录入（明细）'!C:C&lt;=$L$4),ROW(),"-")</f>
        <v>-</v>
      </c>
    </row>
    <row r="41125" customHeight="1" spans="2:2">
      <c r="B41125" s="62" t="str">
        <f>IF(AND('领用录入（明细）'!D:D=$F$4,'领用录入（明细）'!C:C&gt;=$J$4,'领用录入（明细）'!C:C&lt;=$L$4),ROW(),"-")</f>
        <v>-</v>
      </c>
    </row>
    <row r="41126" customHeight="1" spans="2:2">
      <c r="B41126" s="62" t="str">
        <f>IF(AND('领用录入（明细）'!D:D=$F$4,'领用录入（明细）'!C:C&gt;=$J$4,'领用录入（明细）'!C:C&lt;=$L$4),ROW(),"-")</f>
        <v>-</v>
      </c>
    </row>
    <row r="41127" customHeight="1" spans="2:2">
      <c r="B41127" s="62" t="str">
        <f>IF(AND('领用录入（明细）'!D:D=$F$4,'领用录入（明细）'!C:C&gt;=$J$4,'领用录入（明细）'!C:C&lt;=$L$4),ROW(),"-")</f>
        <v>-</v>
      </c>
    </row>
    <row r="41128" customHeight="1" spans="2:2">
      <c r="B41128" s="62" t="str">
        <f>IF(AND('领用录入（明细）'!D:D=$F$4,'领用录入（明细）'!C:C&gt;=$J$4,'领用录入（明细）'!C:C&lt;=$L$4),ROW(),"-")</f>
        <v>-</v>
      </c>
    </row>
    <row r="41129" customHeight="1" spans="2:2">
      <c r="B41129" s="62" t="str">
        <f>IF(AND('领用录入（明细）'!D:D=$F$4,'领用录入（明细）'!C:C&gt;=$J$4,'领用录入（明细）'!C:C&lt;=$L$4),ROW(),"-")</f>
        <v>-</v>
      </c>
    </row>
    <row r="41130" customHeight="1" spans="2:2">
      <c r="B41130" s="62" t="str">
        <f>IF(AND('领用录入（明细）'!D:D=$F$4,'领用录入（明细）'!C:C&gt;=$J$4,'领用录入（明细）'!C:C&lt;=$L$4),ROW(),"-")</f>
        <v>-</v>
      </c>
    </row>
    <row r="41131" customHeight="1" spans="2:2">
      <c r="B41131" s="62" t="str">
        <f>IF(AND('领用录入（明细）'!D:D=$F$4,'领用录入（明细）'!C:C&gt;=$J$4,'领用录入（明细）'!C:C&lt;=$L$4),ROW(),"-")</f>
        <v>-</v>
      </c>
    </row>
    <row r="41132" customHeight="1" spans="2:2">
      <c r="B41132" s="62" t="str">
        <f>IF(AND('领用录入（明细）'!D:D=$F$4,'领用录入（明细）'!C:C&gt;=$J$4,'领用录入（明细）'!C:C&lt;=$L$4),ROW(),"-")</f>
        <v>-</v>
      </c>
    </row>
    <row r="41133" customHeight="1" spans="2:2">
      <c r="B41133" s="62" t="str">
        <f>IF(AND('领用录入（明细）'!D:D=$F$4,'领用录入（明细）'!C:C&gt;=$J$4,'领用录入（明细）'!C:C&lt;=$L$4),ROW(),"-")</f>
        <v>-</v>
      </c>
    </row>
    <row r="41134" customHeight="1" spans="2:2">
      <c r="B41134" s="62" t="str">
        <f>IF(AND('领用录入（明细）'!D:D=$F$4,'领用录入（明细）'!C:C&gt;=$J$4,'领用录入（明细）'!C:C&lt;=$L$4),ROW(),"-")</f>
        <v>-</v>
      </c>
    </row>
    <row r="41135" customHeight="1" spans="2:2">
      <c r="B41135" s="62" t="str">
        <f>IF(AND('领用录入（明细）'!D:D=$F$4,'领用录入（明细）'!C:C&gt;=$J$4,'领用录入（明细）'!C:C&lt;=$L$4),ROW(),"-")</f>
        <v>-</v>
      </c>
    </row>
    <row r="41136" customHeight="1" spans="2:2">
      <c r="B41136" s="62" t="str">
        <f>IF(AND('领用录入（明细）'!D:D=$F$4,'领用录入（明细）'!C:C&gt;=$J$4,'领用录入（明细）'!C:C&lt;=$L$4),ROW(),"-")</f>
        <v>-</v>
      </c>
    </row>
    <row r="41137" customHeight="1" spans="2:2">
      <c r="B41137" s="62" t="str">
        <f>IF(AND('领用录入（明细）'!D:D=$F$4,'领用录入（明细）'!C:C&gt;=$J$4,'领用录入（明细）'!C:C&lt;=$L$4),ROW(),"-")</f>
        <v>-</v>
      </c>
    </row>
    <row r="41138" customHeight="1" spans="2:2">
      <c r="B41138" s="62" t="str">
        <f>IF(AND('领用录入（明细）'!D:D=$F$4,'领用录入（明细）'!C:C&gt;=$J$4,'领用录入（明细）'!C:C&lt;=$L$4),ROW(),"-")</f>
        <v>-</v>
      </c>
    </row>
    <row r="41139" customHeight="1" spans="2:2">
      <c r="B41139" s="62" t="str">
        <f>IF(AND('领用录入（明细）'!D:D=$F$4,'领用录入（明细）'!C:C&gt;=$J$4,'领用录入（明细）'!C:C&lt;=$L$4),ROW(),"-")</f>
        <v>-</v>
      </c>
    </row>
    <row r="41140" customHeight="1" spans="2:2">
      <c r="B41140" s="62" t="str">
        <f>IF(AND('领用录入（明细）'!D:D=$F$4,'领用录入（明细）'!C:C&gt;=$J$4,'领用录入（明细）'!C:C&lt;=$L$4),ROW(),"-")</f>
        <v>-</v>
      </c>
    </row>
    <row r="41141" customHeight="1" spans="2:2">
      <c r="B41141" s="62" t="str">
        <f>IF(AND('领用录入（明细）'!D:D=$F$4,'领用录入（明细）'!C:C&gt;=$J$4,'领用录入（明细）'!C:C&lt;=$L$4),ROW(),"-")</f>
        <v>-</v>
      </c>
    </row>
    <row r="41142" customHeight="1" spans="2:2">
      <c r="B41142" s="62" t="str">
        <f>IF(AND('领用录入（明细）'!D:D=$F$4,'领用录入（明细）'!C:C&gt;=$J$4,'领用录入（明细）'!C:C&lt;=$L$4),ROW(),"-")</f>
        <v>-</v>
      </c>
    </row>
    <row r="41143" customHeight="1" spans="2:2">
      <c r="B41143" s="62" t="str">
        <f>IF(AND('领用录入（明细）'!D:D=$F$4,'领用录入（明细）'!C:C&gt;=$J$4,'领用录入（明细）'!C:C&lt;=$L$4),ROW(),"-")</f>
        <v>-</v>
      </c>
    </row>
    <row r="41144" customHeight="1" spans="2:2">
      <c r="B41144" s="62" t="str">
        <f>IF(AND('领用录入（明细）'!D:D=$F$4,'领用录入（明细）'!C:C&gt;=$J$4,'领用录入（明细）'!C:C&lt;=$L$4),ROW(),"-")</f>
        <v>-</v>
      </c>
    </row>
    <row r="41145" customHeight="1" spans="2:2">
      <c r="B41145" s="62" t="str">
        <f>IF(AND('领用录入（明细）'!D:D=$F$4,'领用录入（明细）'!C:C&gt;=$J$4,'领用录入（明细）'!C:C&lt;=$L$4),ROW(),"-")</f>
        <v>-</v>
      </c>
    </row>
    <row r="41146" customHeight="1" spans="2:2">
      <c r="B41146" s="62" t="str">
        <f>IF(AND('领用录入（明细）'!D:D=$F$4,'领用录入（明细）'!C:C&gt;=$J$4,'领用录入（明细）'!C:C&lt;=$L$4),ROW(),"-")</f>
        <v>-</v>
      </c>
    </row>
    <row r="41147" customHeight="1" spans="2:2">
      <c r="B41147" s="62" t="str">
        <f>IF(AND('领用录入（明细）'!D:D=$F$4,'领用录入（明细）'!C:C&gt;=$J$4,'领用录入（明细）'!C:C&lt;=$L$4),ROW(),"-")</f>
        <v>-</v>
      </c>
    </row>
    <row r="41148" customHeight="1" spans="2:2">
      <c r="B41148" s="62" t="str">
        <f>IF(AND('领用录入（明细）'!D:D=$F$4,'领用录入（明细）'!C:C&gt;=$J$4,'领用录入（明细）'!C:C&lt;=$L$4),ROW(),"-")</f>
        <v>-</v>
      </c>
    </row>
    <row r="41149" customHeight="1" spans="2:2">
      <c r="B41149" s="62" t="str">
        <f>IF(AND('领用录入（明细）'!D:D=$F$4,'领用录入（明细）'!C:C&gt;=$J$4,'领用录入（明细）'!C:C&lt;=$L$4),ROW(),"-")</f>
        <v>-</v>
      </c>
    </row>
    <row r="41150" customHeight="1" spans="2:2">
      <c r="B41150" s="62" t="str">
        <f>IF(AND('领用录入（明细）'!D:D=$F$4,'领用录入（明细）'!C:C&gt;=$J$4,'领用录入（明细）'!C:C&lt;=$L$4),ROW(),"-")</f>
        <v>-</v>
      </c>
    </row>
    <row r="41151" customHeight="1" spans="2:2">
      <c r="B41151" s="62" t="str">
        <f>IF(AND('领用录入（明细）'!D:D=$F$4,'领用录入（明细）'!C:C&gt;=$J$4,'领用录入（明细）'!C:C&lt;=$L$4),ROW(),"-")</f>
        <v>-</v>
      </c>
    </row>
    <row r="41152" customHeight="1" spans="2:2">
      <c r="B41152" s="62" t="str">
        <f>IF(AND('领用录入（明细）'!D:D=$F$4,'领用录入（明细）'!C:C&gt;=$J$4,'领用录入（明细）'!C:C&lt;=$L$4),ROW(),"-")</f>
        <v>-</v>
      </c>
    </row>
    <row r="41153" customHeight="1" spans="2:2">
      <c r="B41153" s="62" t="str">
        <f>IF(AND('领用录入（明细）'!D:D=$F$4,'领用录入（明细）'!C:C&gt;=$J$4,'领用录入（明细）'!C:C&lt;=$L$4),ROW(),"-")</f>
        <v>-</v>
      </c>
    </row>
    <row r="41154" customHeight="1" spans="2:2">
      <c r="B41154" s="62" t="str">
        <f>IF(AND('领用录入（明细）'!D:D=$F$4,'领用录入（明细）'!C:C&gt;=$J$4,'领用录入（明细）'!C:C&lt;=$L$4),ROW(),"-")</f>
        <v>-</v>
      </c>
    </row>
    <row r="41155" customHeight="1" spans="2:2">
      <c r="B41155" s="62" t="str">
        <f>IF(AND('领用录入（明细）'!D:D=$F$4,'领用录入（明细）'!C:C&gt;=$J$4,'领用录入（明细）'!C:C&lt;=$L$4),ROW(),"-")</f>
        <v>-</v>
      </c>
    </row>
    <row r="41156" customHeight="1" spans="2:2">
      <c r="B41156" s="62" t="str">
        <f>IF(AND('领用录入（明细）'!D:D=$F$4,'领用录入（明细）'!C:C&gt;=$J$4,'领用录入（明细）'!C:C&lt;=$L$4),ROW(),"-")</f>
        <v>-</v>
      </c>
    </row>
    <row r="41157" customHeight="1" spans="2:2">
      <c r="B41157" s="62" t="str">
        <f>IF(AND('领用录入（明细）'!D:D=$F$4,'领用录入（明细）'!C:C&gt;=$J$4,'领用录入（明细）'!C:C&lt;=$L$4),ROW(),"-")</f>
        <v>-</v>
      </c>
    </row>
    <row r="41158" customHeight="1" spans="2:2">
      <c r="B41158" s="62" t="str">
        <f>IF(AND('领用录入（明细）'!D:D=$F$4,'领用录入（明细）'!C:C&gt;=$J$4,'领用录入（明细）'!C:C&lt;=$L$4),ROW(),"-")</f>
        <v>-</v>
      </c>
    </row>
    <row r="41159" customHeight="1" spans="2:2">
      <c r="B41159" s="62" t="str">
        <f>IF(AND('领用录入（明细）'!D:D=$F$4,'领用录入（明细）'!C:C&gt;=$J$4,'领用录入（明细）'!C:C&lt;=$L$4),ROW(),"-")</f>
        <v>-</v>
      </c>
    </row>
    <row r="41160" customHeight="1" spans="2:2">
      <c r="B41160" s="62" t="str">
        <f>IF(AND('领用录入（明细）'!D:D=$F$4,'领用录入（明细）'!C:C&gt;=$J$4,'领用录入（明细）'!C:C&lt;=$L$4),ROW(),"-")</f>
        <v>-</v>
      </c>
    </row>
    <row r="41161" customHeight="1" spans="2:2">
      <c r="B41161" s="62" t="str">
        <f>IF(AND('领用录入（明细）'!D:D=$F$4,'领用录入（明细）'!C:C&gt;=$J$4,'领用录入（明细）'!C:C&lt;=$L$4),ROW(),"-")</f>
        <v>-</v>
      </c>
    </row>
    <row r="41162" customHeight="1" spans="2:2">
      <c r="B41162" s="62" t="str">
        <f>IF(AND('领用录入（明细）'!D:D=$F$4,'领用录入（明细）'!C:C&gt;=$J$4,'领用录入（明细）'!C:C&lt;=$L$4),ROW(),"-")</f>
        <v>-</v>
      </c>
    </row>
    <row r="41163" customHeight="1" spans="2:2">
      <c r="B41163" s="62" t="str">
        <f>IF(AND('领用录入（明细）'!D:D=$F$4,'领用录入（明细）'!C:C&gt;=$J$4,'领用录入（明细）'!C:C&lt;=$L$4),ROW(),"-")</f>
        <v>-</v>
      </c>
    </row>
    <row r="41164" customHeight="1" spans="2:2">
      <c r="B41164" s="62" t="str">
        <f>IF(AND('领用录入（明细）'!D:D=$F$4,'领用录入（明细）'!C:C&gt;=$J$4,'领用录入（明细）'!C:C&lt;=$L$4),ROW(),"-")</f>
        <v>-</v>
      </c>
    </row>
    <row r="41165" customHeight="1" spans="2:2">
      <c r="B41165" s="62" t="str">
        <f>IF(AND('领用录入（明细）'!D:D=$F$4,'领用录入（明细）'!C:C&gt;=$J$4,'领用录入（明细）'!C:C&lt;=$L$4),ROW(),"-")</f>
        <v>-</v>
      </c>
    </row>
    <row r="41166" customHeight="1" spans="2:2">
      <c r="B41166" s="62" t="str">
        <f>IF(AND('领用录入（明细）'!D:D=$F$4,'领用录入（明细）'!C:C&gt;=$J$4,'领用录入（明细）'!C:C&lt;=$L$4),ROW(),"-")</f>
        <v>-</v>
      </c>
    </row>
    <row r="41167" customHeight="1" spans="2:2">
      <c r="B41167" s="62" t="str">
        <f>IF(AND('领用录入（明细）'!D:D=$F$4,'领用录入（明细）'!C:C&gt;=$J$4,'领用录入（明细）'!C:C&lt;=$L$4),ROW(),"-")</f>
        <v>-</v>
      </c>
    </row>
    <row r="41168" customHeight="1" spans="2:2">
      <c r="B41168" s="62" t="str">
        <f>IF(AND('领用录入（明细）'!D:D=$F$4,'领用录入（明细）'!C:C&gt;=$J$4,'领用录入（明细）'!C:C&lt;=$L$4),ROW(),"-")</f>
        <v>-</v>
      </c>
    </row>
    <row r="41169" customHeight="1" spans="2:2">
      <c r="B41169" s="62" t="str">
        <f>IF(AND('领用录入（明细）'!D:D=$F$4,'领用录入（明细）'!C:C&gt;=$J$4,'领用录入（明细）'!C:C&lt;=$L$4),ROW(),"-")</f>
        <v>-</v>
      </c>
    </row>
    <row r="41170" customHeight="1" spans="2:2">
      <c r="B41170" s="62" t="str">
        <f>IF(AND('领用录入（明细）'!D:D=$F$4,'领用录入（明细）'!C:C&gt;=$J$4,'领用录入（明细）'!C:C&lt;=$L$4),ROW(),"-")</f>
        <v>-</v>
      </c>
    </row>
    <row r="41171" customHeight="1" spans="2:2">
      <c r="B41171" s="62" t="str">
        <f>IF(AND('领用录入（明细）'!D:D=$F$4,'领用录入（明细）'!C:C&gt;=$J$4,'领用录入（明细）'!C:C&lt;=$L$4),ROW(),"-")</f>
        <v>-</v>
      </c>
    </row>
    <row r="41172" customHeight="1" spans="2:2">
      <c r="B41172" s="62" t="str">
        <f>IF(AND('领用录入（明细）'!D:D=$F$4,'领用录入（明细）'!C:C&gt;=$J$4,'领用录入（明细）'!C:C&lt;=$L$4),ROW(),"-")</f>
        <v>-</v>
      </c>
    </row>
    <row r="41173" customHeight="1" spans="2:2">
      <c r="B41173" s="62" t="str">
        <f>IF(AND('领用录入（明细）'!D:D=$F$4,'领用录入（明细）'!C:C&gt;=$J$4,'领用录入（明细）'!C:C&lt;=$L$4),ROW(),"-")</f>
        <v>-</v>
      </c>
    </row>
    <row r="41174" customHeight="1" spans="2:2">
      <c r="B41174" s="62" t="str">
        <f>IF(AND('领用录入（明细）'!D:D=$F$4,'领用录入（明细）'!C:C&gt;=$J$4,'领用录入（明细）'!C:C&lt;=$L$4),ROW(),"-")</f>
        <v>-</v>
      </c>
    </row>
    <row r="41175" customHeight="1" spans="2:2">
      <c r="B41175" s="62" t="str">
        <f>IF(AND('领用录入（明细）'!D:D=$F$4,'领用录入（明细）'!C:C&gt;=$J$4,'领用录入（明细）'!C:C&lt;=$L$4),ROW(),"-")</f>
        <v>-</v>
      </c>
    </row>
    <row r="41176" customHeight="1" spans="2:2">
      <c r="B41176" s="62" t="str">
        <f>IF(AND('领用录入（明细）'!D:D=$F$4,'领用录入（明细）'!C:C&gt;=$J$4,'领用录入（明细）'!C:C&lt;=$L$4),ROW(),"-")</f>
        <v>-</v>
      </c>
    </row>
    <row r="41177" customHeight="1" spans="2:2">
      <c r="B41177" s="62" t="str">
        <f>IF(AND('领用录入（明细）'!D:D=$F$4,'领用录入（明细）'!C:C&gt;=$J$4,'领用录入（明细）'!C:C&lt;=$L$4),ROW(),"-")</f>
        <v>-</v>
      </c>
    </row>
    <row r="41178" customHeight="1" spans="2:2">
      <c r="B41178" s="62" t="str">
        <f>IF(AND('领用录入（明细）'!D:D=$F$4,'领用录入（明细）'!C:C&gt;=$J$4,'领用录入（明细）'!C:C&lt;=$L$4),ROW(),"-")</f>
        <v>-</v>
      </c>
    </row>
    <row r="41179" customHeight="1" spans="2:2">
      <c r="B41179" s="62" t="str">
        <f>IF(AND('领用录入（明细）'!D:D=$F$4,'领用录入（明细）'!C:C&gt;=$J$4,'领用录入（明细）'!C:C&lt;=$L$4),ROW(),"-")</f>
        <v>-</v>
      </c>
    </row>
    <row r="41180" customHeight="1" spans="2:2">
      <c r="B41180" s="62" t="str">
        <f>IF(AND('领用录入（明细）'!D:D=$F$4,'领用录入（明细）'!C:C&gt;=$J$4,'领用录入（明细）'!C:C&lt;=$L$4),ROW(),"-")</f>
        <v>-</v>
      </c>
    </row>
    <row r="41181" customHeight="1" spans="2:2">
      <c r="B41181" s="62" t="str">
        <f>IF(AND('领用录入（明细）'!D:D=$F$4,'领用录入（明细）'!C:C&gt;=$J$4,'领用录入（明细）'!C:C&lt;=$L$4),ROW(),"-")</f>
        <v>-</v>
      </c>
    </row>
    <row r="41182" customHeight="1" spans="2:2">
      <c r="B41182" s="62" t="str">
        <f>IF(AND('领用录入（明细）'!D:D=$F$4,'领用录入（明细）'!C:C&gt;=$J$4,'领用录入（明细）'!C:C&lt;=$L$4),ROW(),"-")</f>
        <v>-</v>
      </c>
    </row>
    <row r="41183" customHeight="1" spans="2:2">
      <c r="B41183" s="62" t="str">
        <f>IF(AND('领用录入（明细）'!D:D=$F$4,'领用录入（明细）'!C:C&gt;=$J$4,'领用录入（明细）'!C:C&lt;=$L$4),ROW(),"-")</f>
        <v>-</v>
      </c>
    </row>
    <row r="41184" customHeight="1" spans="2:2">
      <c r="B41184" s="62" t="str">
        <f>IF(AND('领用录入（明细）'!D:D=$F$4,'领用录入（明细）'!C:C&gt;=$J$4,'领用录入（明细）'!C:C&lt;=$L$4),ROW(),"-")</f>
        <v>-</v>
      </c>
    </row>
    <row r="41185" customHeight="1" spans="2:2">
      <c r="B41185" s="62" t="str">
        <f>IF(AND('领用录入（明细）'!D:D=$F$4,'领用录入（明细）'!C:C&gt;=$J$4,'领用录入（明细）'!C:C&lt;=$L$4),ROW(),"-")</f>
        <v>-</v>
      </c>
    </row>
    <row r="41186" customHeight="1" spans="2:2">
      <c r="B41186" s="62" t="str">
        <f>IF(AND('领用录入（明细）'!D:D=$F$4,'领用录入（明细）'!C:C&gt;=$J$4,'领用录入（明细）'!C:C&lt;=$L$4),ROW(),"-")</f>
        <v>-</v>
      </c>
    </row>
    <row r="41187" customHeight="1" spans="2:2">
      <c r="B41187" s="62" t="str">
        <f>IF(AND('领用录入（明细）'!D:D=$F$4,'领用录入（明细）'!C:C&gt;=$J$4,'领用录入（明细）'!C:C&lt;=$L$4),ROW(),"-")</f>
        <v>-</v>
      </c>
    </row>
    <row r="41188" customHeight="1" spans="2:2">
      <c r="B41188" s="62" t="str">
        <f>IF(AND('领用录入（明细）'!D:D=$F$4,'领用录入（明细）'!C:C&gt;=$J$4,'领用录入（明细）'!C:C&lt;=$L$4),ROW(),"-")</f>
        <v>-</v>
      </c>
    </row>
    <row r="41189" customHeight="1" spans="2:2">
      <c r="B41189" s="62" t="str">
        <f>IF(AND('领用录入（明细）'!D:D=$F$4,'领用录入（明细）'!C:C&gt;=$J$4,'领用录入（明细）'!C:C&lt;=$L$4),ROW(),"-")</f>
        <v>-</v>
      </c>
    </row>
    <row r="41190" customHeight="1" spans="2:2">
      <c r="B41190" s="62" t="str">
        <f>IF(AND('领用录入（明细）'!D:D=$F$4,'领用录入（明细）'!C:C&gt;=$J$4,'领用录入（明细）'!C:C&lt;=$L$4),ROW(),"-")</f>
        <v>-</v>
      </c>
    </row>
    <row r="41191" customHeight="1" spans="2:2">
      <c r="B41191" s="62" t="str">
        <f>IF(AND('领用录入（明细）'!D:D=$F$4,'领用录入（明细）'!C:C&gt;=$J$4,'领用录入（明细）'!C:C&lt;=$L$4),ROW(),"-")</f>
        <v>-</v>
      </c>
    </row>
    <row r="41192" customHeight="1" spans="2:2">
      <c r="B41192" s="62" t="str">
        <f>IF(AND('领用录入（明细）'!D:D=$F$4,'领用录入（明细）'!C:C&gt;=$J$4,'领用录入（明细）'!C:C&lt;=$L$4),ROW(),"-")</f>
        <v>-</v>
      </c>
    </row>
    <row r="41193" customHeight="1" spans="2:2">
      <c r="B41193" s="62" t="str">
        <f>IF(AND('领用录入（明细）'!D:D=$F$4,'领用录入（明细）'!C:C&gt;=$J$4,'领用录入（明细）'!C:C&lt;=$L$4),ROW(),"-")</f>
        <v>-</v>
      </c>
    </row>
    <row r="41194" customHeight="1" spans="2:2">
      <c r="B41194" s="62" t="str">
        <f>IF(AND('领用录入（明细）'!D:D=$F$4,'领用录入（明细）'!C:C&gt;=$J$4,'领用录入（明细）'!C:C&lt;=$L$4),ROW(),"-")</f>
        <v>-</v>
      </c>
    </row>
    <row r="41195" customHeight="1" spans="2:2">
      <c r="B41195" s="62" t="str">
        <f>IF(AND('领用录入（明细）'!D:D=$F$4,'领用录入（明细）'!C:C&gt;=$J$4,'领用录入（明细）'!C:C&lt;=$L$4),ROW(),"-")</f>
        <v>-</v>
      </c>
    </row>
    <row r="41196" customHeight="1" spans="2:2">
      <c r="B41196" s="62" t="str">
        <f>IF(AND('领用录入（明细）'!D:D=$F$4,'领用录入（明细）'!C:C&gt;=$J$4,'领用录入（明细）'!C:C&lt;=$L$4),ROW(),"-")</f>
        <v>-</v>
      </c>
    </row>
    <row r="41197" customHeight="1" spans="2:2">
      <c r="B41197" s="62" t="str">
        <f>IF(AND('领用录入（明细）'!D:D=$F$4,'领用录入（明细）'!C:C&gt;=$J$4,'领用录入（明细）'!C:C&lt;=$L$4),ROW(),"-")</f>
        <v>-</v>
      </c>
    </row>
    <row r="41198" customHeight="1" spans="2:2">
      <c r="B41198" s="62" t="str">
        <f>IF(AND('领用录入（明细）'!D:D=$F$4,'领用录入（明细）'!C:C&gt;=$J$4,'领用录入（明细）'!C:C&lt;=$L$4),ROW(),"-")</f>
        <v>-</v>
      </c>
    </row>
    <row r="41199" customHeight="1" spans="2:2">
      <c r="B41199" s="62" t="str">
        <f>IF(AND('领用录入（明细）'!D:D=$F$4,'领用录入（明细）'!C:C&gt;=$J$4,'领用录入（明细）'!C:C&lt;=$L$4),ROW(),"-")</f>
        <v>-</v>
      </c>
    </row>
    <row r="41200" customHeight="1" spans="2:2">
      <c r="B41200" s="62" t="str">
        <f>IF(AND('领用录入（明细）'!D:D=$F$4,'领用录入（明细）'!C:C&gt;=$J$4,'领用录入（明细）'!C:C&lt;=$L$4),ROW(),"-")</f>
        <v>-</v>
      </c>
    </row>
    <row r="41201" customHeight="1" spans="2:2">
      <c r="B41201" s="62" t="str">
        <f>IF(AND('领用录入（明细）'!D:D=$F$4,'领用录入（明细）'!C:C&gt;=$J$4,'领用录入（明细）'!C:C&lt;=$L$4),ROW(),"-")</f>
        <v>-</v>
      </c>
    </row>
    <row r="41202" customHeight="1" spans="2:2">
      <c r="B41202" s="62" t="str">
        <f>IF(AND('领用录入（明细）'!D:D=$F$4,'领用录入（明细）'!C:C&gt;=$J$4,'领用录入（明细）'!C:C&lt;=$L$4),ROW(),"-")</f>
        <v>-</v>
      </c>
    </row>
    <row r="41203" customHeight="1" spans="2:2">
      <c r="B41203" s="62" t="str">
        <f>IF(AND('领用录入（明细）'!D:D=$F$4,'领用录入（明细）'!C:C&gt;=$J$4,'领用录入（明细）'!C:C&lt;=$L$4),ROW(),"-")</f>
        <v>-</v>
      </c>
    </row>
    <row r="41204" customHeight="1" spans="2:2">
      <c r="B41204" s="62" t="str">
        <f>IF(AND('领用录入（明细）'!D:D=$F$4,'领用录入（明细）'!C:C&gt;=$J$4,'领用录入（明细）'!C:C&lt;=$L$4),ROW(),"-")</f>
        <v>-</v>
      </c>
    </row>
    <row r="41205" customHeight="1" spans="2:2">
      <c r="B41205" s="62" t="str">
        <f>IF(AND('领用录入（明细）'!D:D=$F$4,'领用录入（明细）'!C:C&gt;=$J$4,'领用录入（明细）'!C:C&lt;=$L$4),ROW(),"-")</f>
        <v>-</v>
      </c>
    </row>
    <row r="41206" customHeight="1" spans="2:2">
      <c r="B41206" s="62" t="str">
        <f>IF(AND('领用录入（明细）'!D:D=$F$4,'领用录入（明细）'!C:C&gt;=$J$4,'领用录入（明细）'!C:C&lt;=$L$4),ROW(),"-")</f>
        <v>-</v>
      </c>
    </row>
    <row r="41207" customHeight="1" spans="2:2">
      <c r="B41207" s="62" t="str">
        <f>IF(AND('领用录入（明细）'!D:D=$F$4,'领用录入（明细）'!C:C&gt;=$J$4,'领用录入（明细）'!C:C&lt;=$L$4),ROW(),"-")</f>
        <v>-</v>
      </c>
    </row>
    <row r="41208" customHeight="1" spans="2:2">
      <c r="B41208" s="62" t="str">
        <f>IF(AND('领用录入（明细）'!D:D=$F$4,'领用录入（明细）'!C:C&gt;=$J$4,'领用录入（明细）'!C:C&lt;=$L$4),ROW(),"-")</f>
        <v>-</v>
      </c>
    </row>
    <row r="41209" customHeight="1" spans="2:2">
      <c r="B41209" s="62" t="str">
        <f>IF(AND('领用录入（明细）'!D:D=$F$4,'领用录入（明细）'!C:C&gt;=$J$4,'领用录入（明细）'!C:C&lt;=$L$4),ROW(),"-")</f>
        <v>-</v>
      </c>
    </row>
    <row r="41210" customHeight="1" spans="2:2">
      <c r="B41210" s="62" t="str">
        <f>IF(AND('领用录入（明细）'!D:D=$F$4,'领用录入（明细）'!C:C&gt;=$J$4,'领用录入（明细）'!C:C&lt;=$L$4),ROW(),"-")</f>
        <v>-</v>
      </c>
    </row>
    <row r="41211" customHeight="1" spans="2:2">
      <c r="B41211" s="62" t="str">
        <f>IF(AND('领用录入（明细）'!D:D=$F$4,'领用录入（明细）'!C:C&gt;=$J$4,'领用录入（明细）'!C:C&lt;=$L$4),ROW(),"-")</f>
        <v>-</v>
      </c>
    </row>
    <row r="41212" customHeight="1" spans="2:2">
      <c r="B41212" s="62" t="str">
        <f>IF(AND('领用录入（明细）'!D:D=$F$4,'领用录入（明细）'!C:C&gt;=$J$4,'领用录入（明细）'!C:C&lt;=$L$4),ROW(),"-")</f>
        <v>-</v>
      </c>
    </row>
    <row r="41213" customHeight="1" spans="2:2">
      <c r="B41213" s="62" t="str">
        <f>IF(AND('领用录入（明细）'!D:D=$F$4,'领用录入（明细）'!C:C&gt;=$J$4,'领用录入（明细）'!C:C&lt;=$L$4),ROW(),"-")</f>
        <v>-</v>
      </c>
    </row>
    <row r="41214" customHeight="1" spans="2:2">
      <c r="B41214" s="62" t="str">
        <f>IF(AND('领用录入（明细）'!D:D=$F$4,'领用录入（明细）'!C:C&gt;=$J$4,'领用录入（明细）'!C:C&lt;=$L$4),ROW(),"-")</f>
        <v>-</v>
      </c>
    </row>
    <row r="41215" customHeight="1" spans="2:2">
      <c r="B41215" s="62" t="str">
        <f>IF(AND('领用录入（明细）'!D:D=$F$4,'领用录入（明细）'!C:C&gt;=$J$4,'领用录入（明细）'!C:C&lt;=$L$4),ROW(),"-")</f>
        <v>-</v>
      </c>
    </row>
    <row r="41216" customHeight="1" spans="2:2">
      <c r="B41216" s="62" t="str">
        <f>IF(AND('领用录入（明细）'!D:D=$F$4,'领用录入（明细）'!C:C&gt;=$J$4,'领用录入（明细）'!C:C&lt;=$L$4),ROW(),"-")</f>
        <v>-</v>
      </c>
    </row>
    <row r="41217" customHeight="1" spans="2:2">
      <c r="B41217" s="62" t="str">
        <f>IF(AND('领用录入（明细）'!D:D=$F$4,'领用录入（明细）'!C:C&gt;=$J$4,'领用录入（明细）'!C:C&lt;=$L$4),ROW(),"-")</f>
        <v>-</v>
      </c>
    </row>
    <row r="41218" customHeight="1" spans="2:2">
      <c r="B41218" s="62" t="str">
        <f>IF(AND('领用录入（明细）'!D:D=$F$4,'领用录入（明细）'!C:C&gt;=$J$4,'领用录入（明细）'!C:C&lt;=$L$4),ROW(),"-")</f>
        <v>-</v>
      </c>
    </row>
    <row r="41219" customHeight="1" spans="2:2">
      <c r="B41219" s="62" t="str">
        <f>IF(AND('领用录入（明细）'!D:D=$F$4,'领用录入（明细）'!C:C&gt;=$J$4,'领用录入（明细）'!C:C&lt;=$L$4),ROW(),"-")</f>
        <v>-</v>
      </c>
    </row>
    <row r="41220" customHeight="1" spans="2:2">
      <c r="B41220" s="62" t="str">
        <f>IF(AND('领用录入（明细）'!D:D=$F$4,'领用录入（明细）'!C:C&gt;=$J$4,'领用录入（明细）'!C:C&lt;=$L$4),ROW(),"-")</f>
        <v>-</v>
      </c>
    </row>
    <row r="41221" customHeight="1" spans="2:2">
      <c r="B41221" s="62" t="str">
        <f>IF(AND('领用录入（明细）'!D:D=$F$4,'领用录入（明细）'!C:C&gt;=$J$4,'领用录入（明细）'!C:C&lt;=$L$4),ROW(),"-")</f>
        <v>-</v>
      </c>
    </row>
    <row r="41222" customHeight="1" spans="2:2">
      <c r="B41222" s="62" t="str">
        <f>IF(AND('领用录入（明细）'!D:D=$F$4,'领用录入（明细）'!C:C&gt;=$J$4,'领用录入（明细）'!C:C&lt;=$L$4),ROW(),"-")</f>
        <v>-</v>
      </c>
    </row>
    <row r="41223" customHeight="1" spans="2:2">
      <c r="B41223" s="62" t="str">
        <f>IF(AND('领用录入（明细）'!D:D=$F$4,'领用录入（明细）'!C:C&gt;=$J$4,'领用录入（明细）'!C:C&lt;=$L$4),ROW(),"-")</f>
        <v>-</v>
      </c>
    </row>
    <row r="41224" customHeight="1" spans="2:2">
      <c r="B41224" s="62" t="str">
        <f>IF(AND('领用录入（明细）'!D:D=$F$4,'领用录入（明细）'!C:C&gt;=$J$4,'领用录入（明细）'!C:C&lt;=$L$4),ROW(),"-")</f>
        <v>-</v>
      </c>
    </row>
    <row r="41225" customHeight="1" spans="2:2">
      <c r="B41225" s="62" t="str">
        <f>IF(AND('领用录入（明细）'!D:D=$F$4,'领用录入（明细）'!C:C&gt;=$J$4,'领用录入（明细）'!C:C&lt;=$L$4),ROW(),"-")</f>
        <v>-</v>
      </c>
    </row>
    <row r="41226" customHeight="1" spans="2:2">
      <c r="B41226" s="62" t="str">
        <f>IF(AND('领用录入（明细）'!D:D=$F$4,'领用录入（明细）'!C:C&gt;=$J$4,'领用录入（明细）'!C:C&lt;=$L$4),ROW(),"-")</f>
        <v>-</v>
      </c>
    </row>
    <row r="41227" customHeight="1" spans="2:2">
      <c r="B41227" s="62" t="str">
        <f>IF(AND('领用录入（明细）'!D:D=$F$4,'领用录入（明细）'!C:C&gt;=$J$4,'领用录入（明细）'!C:C&lt;=$L$4),ROW(),"-")</f>
        <v>-</v>
      </c>
    </row>
    <row r="41228" customHeight="1" spans="2:2">
      <c r="B41228" s="62" t="str">
        <f>IF(AND('领用录入（明细）'!D:D=$F$4,'领用录入（明细）'!C:C&gt;=$J$4,'领用录入（明细）'!C:C&lt;=$L$4),ROW(),"-")</f>
        <v>-</v>
      </c>
    </row>
    <row r="41229" customHeight="1" spans="2:2">
      <c r="B41229" s="62" t="str">
        <f>IF(AND('领用录入（明细）'!D:D=$F$4,'领用录入（明细）'!C:C&gt;=$J$4,'领用录入（明细）'!C:C&lt;=$L$4),ROW(),"-")</f>
        <v>-</v>
      </c>
    </row>
    <row r="41230" customHeight="1" spans="2:2">
      <c r="B41230" s="62" t="str">
        <f>IF(AND('领用录入（明细）'!D:D=$F$4,'领用录入（明细）'!C:C&gt;=$J$4,'领用录入（明细）'!C:C&lt;=$L$4),ROW(),"-")</f>
        <v>-</v>
      </c>
    </row>
    <row r="41231" customHeight="1" spans="2:2">
      <c r="B41231" s="62" t="str">
        <f>IF(AND('领用录入（明细）'!D:D=$F$4,'领用录入（明细）'!C:C&gt;=$J$4,'领用录入（明细）'!C:C&lt;=$L$4),ROW(),"-")</f>
        <v>-</v>
      </c>
    </row>
    <row r="41232" customHeight="1" spans="2:2">
      <c r="B41232" s="62" t="str">
        <f>IF(AND('领用录入（明细）'!D:D=$F$4,'领用录入（明细）'!C:C&gt;=$J$4,'领用录入（明细）'!C:C&lt;=$L$4),ROW(),"-")</f>
        <v>-</v>
      </c>
    </row>
    <row r="41233" customHeight="1" spans="2:2">
      <c r="B41233" s="62" t="str">
        <f>IF(AND('领用录入（明细）'!D:D=$F$4,'领用录入（明细）'!C:C&gt;=$J$4,'领用录入（明细）'!C:C&lt;=$L$4),ROW(),"-")</f>
        <v>-</v>
      </c>
    </row>
    <row r="41234" customHeight="1" spans="2:2">
      <c r="B41234" s="62" t="str">
        <f>IF(AND('领用录入（明细）'!D:D=$F$4,'领用录入（明细）'!C:C&gt;=$J$4,'领用录入（明细）'!C:C&lt;=$L$4),ROW(),"-")</f>
        <v>-</v>
      </c>
    </row>
    <row r="41235" customHeight="1" spans="2:2">
      <c r="B41235" s="62" t="str">
        <f>IF(AND('领用录入（明细）'!D:D=$F$4,'领用录入（明细）'!C:C&gt;=$J$4,'领用录入（明细）'!C:C&lt;=$L$4),ROW(),"-")</f>
        <v>-</v>
      </c>
    </row>
    <row r="41236" customHeight="1" spans="2:2">
      <c r="B41236" s="62" t="str">
        <f>IF(AND('领用录入（明细）'!D:D=$F$4,'领用录入（明细）'!C:C&gt;=$J$4,'领用录入（明细）'!C:C&lt;=$L$4),ROW(),"-")</f>
        <v>-</v>
      </c>
    </row>
    <row r="41237" customHeight="1" spans="2:2">
      <c r="B41237" s="62" t="str">
        <f>IF(AND('领用录入（明细）'!D:D=$F$4,'领用录入（明细）'!C:C&gt;=$J$4,'领用录入（明细）'!C:C&lt;=$L$4),ROW(),"-")</f>
        <v>-</v>
      </c>
    </row>
    <row r="41238" customHeight="1" spans="2:2">
      <c r="B41238" s="62" t="str">
        <f>IF(AND('领用录入（明细）'!D:D=$F$4,'领用录入（明细）'!C:C&gt;=$J$4,'领用录入（明细）'!C:C&lt;=$L$4),ROW(),"-")</f>
        <v>-</v>
      </c>
    </row>
    <row r="41239" customHeight="1" spans="2:2">
      <c r="B41239" s="62" t="str">
        <f>IF(AND('领用录入（明细）'!D:D=$F$4,'领用录入（明细）'!C:C&gt;=$J$4,'领用录入（明细）'!C:C&lt;=$L$4),ROW(),"-")</f>
        <v>-</v>
      </c>
    </row>
    <row r="41240" customHeight="1" spans="2:2">
      <c r="B41240" s="62" t="str">
        <f>IF(AND('领用录入（明细）'!D:D=$F$4,'领用录入（明细）'!C:C&gt;=$J$4,'领用录入（明细）'!C:C&lt;=$L$4),ROW(),"-")</f>
        <v>-</v>
      </c>
    </row>
    <row r="41241" customHeight="1" spans="2:2">
      <c r="B41241" s="62" t="str">
        <f>IF(AND('领用录入（明细）'!D:D=$F$4,'领用录入（明细）'!C:C&gt;=$J$4,'领用录入（明细）'!C:C&lt;=$L$4),ROW(),"-")</f>
        <v>-</v>
      </c>
    </row>
    <row r="41242" customHeight="1" spans="2:2">
      <c r="B41242" s="62" t="str">
        <f>IF(AND('领用录入（明细）'!D:D=$F$4,'领用录入（明细）'!C:C&gt;=$J$4,'领用录入（明细）'!C:C&lt;=$L$4),ROW(),"-")</f>
        <v>-</v>
      </c>
    </row>
    <row r="41243" customHeight="1" spans="2:2">
      <c r="B41243" s="62" t="str">
        <f>IF(AND('领用录入（明细）'!D:D=$F$4,'领用录入（明细）'!C:C&gt;=$J$4,'领用录入（明细）'!C:C&lt;=$L$4),ROW(),"-")</f>
        <v>-</v>
      </c>
    </row>
    <row r="41244" customHeight="1" spans="2:2">
      <c r="B41244" s="62" t="str">
        <f>IF(AND('领用录入（明细）'!D:D=$F$4,'领用录入（明细）'!C:C&gt;=$J$4,'领用录入（明细）'!C:C&lt;=$L$4),ROW(),"-")</f>
        <v>-</v>
      </c>
    </row>
    <row r="41245" customHeight="1" spans="2:2">
      <c r="B41245" s="62" t="str">
        <f>IF(AND('领用录入（明细）'!D:D=$F$4,'领用录入（明细）'!C:C&gt;=$J$4,'领用录入（明细）'!C:C&lt;=$L$4),ROW(),"-")</f>
        <v>-</v>
      </c>
    </row>
    <row r="41246" customHeight="1" spans="2:2">
      <c r="B41246" s="62" t="str">
        <f>IF(AND('领用录入（明细）'!D:D=$F$4,'领用录入（明细）'!C:C&gt;=$J$4,'领用录入（明细）'!C:C&lt;=$L$4),ROW(),"-")</f>
        <v>-</v>
      </c>
    </row>
    <row r="41247" customHeight="1" spans="2:2">
      <c r="B41247" s="62" t="str">
        <f>IF(AND('领用录入（明细）'!D:D=$F$4,'领用录入（明细）'!C:C&gt;=$J$4,'领用录入（明细）'!C:C&lt;=$L$4),ROW(),"-")</f>
        <v>-</v>
      </c>
    </row>
    <row r="41248" customHeight="1" spans="2:2">
      <c r="B41248" s="62" t="str">
        <f>IF(AND('领用录入（明细）'!D:D=$F$4,'领用录入（明细）'!C:C&gt;=$J$4,'领用录入（明细）'!C:C&lt;=$L$4),ROW(),"-")</f>
        <v>-</v>
      </c>
    </row>
    <row r="41249" customHeight="1" spans="2:2">
      <c r="B41249" s="62" t="str">
        <f>IF(AND('领用录入（明细）'!D:D=$F$4,'领用录入（明细）'!C:C&gt;=$J$4,'领用录入（明细）'!C:C&lt;=$L$4),ROW(),"-")</f>
        <v>-</v>
      </c>
    </row>
    <row r="41250" customHeight="1" spans="2:2">
      <c r="B41250" s="62" t="str">
        <f>IF(AND('领用录入（明细）'!D:D=$F$4,'领用录入（明细）'!C:C&gt;=$J$4,'领用录入（明细）'!C:C&lt;=$L$4),ROW(),"-")</f>
        <v>-</v>
      </c>
    </row>
    <row r="41251" customHeight="1" spans="2:2">
      <c r="B41251" s="62" t="str">
        <f>IF(AND('领用录入（明细）'!D:D=$F$4,'领用录入（明细）'!C:C&gt;=$J$4,'领用录入（明细）'!C:C&lt;=$L$4),ROW(),"-")</f>
        <v>-</v>
      </c>
    </row>
    <row r="41252" customHeight="1" spans="2:2">
      <c r="B41252" s="62" t="str">
        <f>IF(AND('领用录入（明细）'!D:D=$F$4,'领用录入（明细）'!C:C&gt;=$J$4,'领用录入（明细）'!C:C&lt;=$L$4),ROW(),"-")</f>
        <v>-</v>
      </c>
    </row>
    <row r="41253" customHeight="1" spans="2:2">
      <c r="B41253" s="62" t="str">
        <f>IF(AND('领用录入（明细）'!D:D=$F$4,'领用录入（明细）'!C:C&gt;=$J$4,'领用录入（明细）'!C:C&lt;=$L$4),ROW(),"-")</f>
        <v>-</v>
      </c>
    </row>
    <row r="41254" customHeight="1" spans="2:2">
      <c r="B41254" s="62" t="str">
        <f>IF(AND('领用录入（明细）'!D:D=$F$4,'领用录入（明细）'!C:C&gt;=$J$4,'领用录入（明细）'!C:C&lt;=$L$4),ROW(),"-")</f>
        <v>-</v>
      </c>
    </row>
    <row r="41255" customHeight="1" spans="2:2">
      <c r="B41255" s="62" t="str">
        <f>IF(AND('领用录入（明细）'!D:D=$F$4,'领用录入（明细）'!C:C&gt;=$J$4,'领用录入（明细）'!C:C&lt;=$L$4),ROW(),"-")</f>
        <v>-</v>
      </c>
    </row>
    <row r="41256" customHeight="1" spans="2:2">
      <c r="B41256" s="62" t="str">
        <f>IF(AND('领用录入（明细）'!D:D=$F$4,'领用录入（明细）'!C:C&gt;=$J$4,'领用录入（明细）'!C:C&lt;=$L$4),ROW(),"-")</f>
        <v>-</v>
      </c>
    </row>
    <row r="41257" customHeight="1" spans="2:2">
      <c r="B41257" s="62" t="str">
        <f>IF(AND('领用录入（明细）'!D:D=$F$4,'领用录入（明细）'!C:C&gt;=$J$4,'领用录入（明细）'!C:C&lt;=$L$4),ROW(),"-")</f>
        <v>-</v>
      </c>
    </row>
    <row r="41258" customHeight="1" spans="2:2">
      <c r="B41258" s="62" t="str">
        <f>IF(AND('领用录入（明细）'!D:D=$F$4,'领用录入（明细）'!C:C&gt;=$J$4,'领用录入（明细）'!C:C&lt;=$L$4),ROW(),"-")</f>
        <v>-</v>
      </c>
    </row>
    <row r="41259" customHeight="1" spans="2:2">
      <c r="B41259" s="62" t="str">
        <f>IF(AND('领用录入（明细）'!D:D=$F$4,'领用录入（明细）'!C:C&gt;=$J$4,'领用录入（明细）'!C:C&lt;=$L$4),ROW(),"-")</f>
        <v>-</v>
      </c>
    </row>
    <row r="41260" customHeight="1" spans="2:2">
      <c r="B41260" s="62" t="str">
        <f>IF(AND('领用录入（明细）'!D:D=$F$4,'领用录入（明细）'!C:C&gt;=$J$4,'领用录入（明细）'!C:C&lt;=$L$4),ROW(),"-")</f>
        <v>-</v>
      </c>
    </row>
    <row r="41261" customHeight="1" spans="2:2">
      <c r="B41261" s="62" t="str">
        <f>IF(AND('领用录入（明细）'!D:D=$F$4,'领用录入（明细）'!C:C&gt;=$J$4,'领用录入（明细）'!C:C&lt;=$L$4),ROW(),"-")</f>
        <v>-</v>
      </c>
    </row>
    <row r="41262" customHeight="1" spans="2:2">
      <c r="B41262" s="62" t="str">
        <f>IF(AND('领用录入（明细）'!D:D=$F$4,'领用录入（明细）'!C:C&gt;=$J$4,'领用录入（明细）'!C:C&lt;=$L$4),ROW(),"-")</f>
        <v>-</v>
      </c>
    </row>
    <row r="41263" customHeight="1" spans="2:2">
      <c r="B41263" s="62" t="str">
        <f>IF(AND('领用录入（明细）'!D:D=$F$4,'领用录入（明细）'!C:C&gt;=$J$4,'领用录入（明细）'!C:C&lt;=$L$4),ROW(),"-")</f>
        <v>-</v>
      </c>
    </row>
    <row r="41264" customHeight="1" spans="2:2">
      <c r="B41264" s="62" t="str">
        <f>IF(AND('领用录入（明细）'!D:D=$F$4,'领用录入（明细）'!C:C&gt;=$J$4,'领用录入（明细）'!C:C&lt;=$L$4),ROW(),"-")</f>
        <v>-</v>
      </c>
    </row>
    <row r="41265" customHeight="1" spans="2:2">
      <c r="B41265" s="62" t="str">
        <f>IF(AND('领用录入（明细）'!D:D=$F$4,'领用录入（明细）'!C:C&gt;=$J$4,'领用录入（明细）'!C:C&lt;=$L$4),ROW(),"-")</f>
        <v>-</v>
      </c>
    </row>
    <row r="41266" customHeight="1" spans="2:2">
      <c r="B41266" s="62" t="str">
        <f>IF(AND('领用录入（明细）'!D:D=$F$4,'领用录入（明细）'!C:C&gt;=$J$4,'领用录入（明细）'!C:C&lt;=$L$4),ROW(),"-")</f>
        <v>-</v>
      </c>
    </row>
    <row r="41267" customHeight="1" spans="2:2">
      <c r="B41267" s="62" t="str">
        <f>IF(AND('领用录入（明细）'!D:D=$F$4,'领用录入（明细）'!C:C&gt;=$J$4,'领用录入（明细）'!C:C&lt;=$L$4),ROW(),"-")</f>
        <v>-</v>
      </c>
    </row>
    <row r="41268" customHeight="1" spans="2:2">
      <c r="B41268" s="62" t="str">
        <f>IF(AND('领用录入（明细）'!D:D=$F$4,'领用录入（明细）'!C:C&gt;=$J$4,'领用录入（明细）'!C:C&lt;=$L$4),ROW(),"-")</f>
        <v>-</v>
      </c>
    </row>
    <row r="41269" customHeight="1" spans="2:2">
      <c r="B41269" s="62" t="str">
        <f>IF(AND('领用录入（明细）'!D:D=$F$4,'领用录入（明细）'!C:C&gt;=$J$4,'领用录入（明细）'!C:C&lt;=$L$4),ROW(),"-")</f>
        <v>-</v>
      </c>
    </row>
    <row r="41270" customHeight="1" spans="2:2">
      <c r="B41270" s="62" t="str">
        <f>IF(AND('领用录入（明细）'!D:D=$F$4,'领用录入（明细）'!C:C&gt;=$J$4,'领用录入（明细）'!C:C&lt;=$L$4),ROW(),"-")</f>
        <v>-</v>
      </c>
    </row>
    <row r="41271" customHeight="1" spans="2:2">
      <c r="B41271" s="62" t="str">
        <f>IF(AND('领用录入（明细）'!D:D=$F$4,'领用录入（明细）'!C:C&gt;=$J$4,'领用录入（明细）'!C:C&lt;=$L$4),ROW(),"-")</f>
        <v>-</v>
      </c>
    </row>
    <row r="41272" customHeight="1" spans="2:2">
      <c r="B41272" s="62" t="str">
        <f>IF(AND('领用录入（明细）'!D:D=$F$4,'领用录入（明细）'!C:C&gt;=$J$4,'领用录入（明细）'!C:C&lt;=$L$4),ROW(),"-")</f>
        <v>-</v>
      </c>
    </row>
    <row r="41273" customHeight="1" spans="2:2">
      <c r="B41273" s="62" t="str">
        <f>IF(AND('领用录入（明细）'!D:D=$F$4,'领用录入（明细）'!C:C&gt;=$J$4,'领用录入（明细）'!C:C&lt;=$L$4),ROW(),"-")</f>
        <v>-</v>
      </c>
    </row>
    <row r="41274" customHeight="1" spans="2:2">
      <c r="B41274" s="62" t="str">
        <f>IF(AND('领用录入（明细）'!D:D=$F$4,'领用录入（明细）'!C:C&gt;=$J$4,'领用录入（明细）'!C:C&lt;=$L$4),ROW(),"-")</f>
        <v>-</v>
      </c>
    </row>
    <row r="41275" customHeight="1" spans="2:2">
      <c r="B41275" s="62" t="str">
        <f>IF(AND('领用录入（明细）'!D:D=$F$4,'领用录入（明细）'!C:C&gt;=$J$4,'领用录入（明细）'!C:C&lt;=$L$4),ROW(),"-")</f>
        <v>-</v>
      </c>
    </row>
    <row r="41276" customHeight="1" spans="2:2">
      <c r="B41276" s="62" t="str">
        <f>IF(AND('领用录入（明细）'!D:D=$F$4,'领用录入（明细）'!C:C&gt;=$J$4,'领用录入（明细）'!C:C&lt;=$L$4),ROW(),"-")</f>
        <v>-</v>
      </c>
    </row>
    <row r="41277" customHeight="1" spans="2:2">
      <c r="B41277" s="62" t="str">
        <f>IF(AND('领用录入（明细）'!D:D=$F$4,'领用录入（明细）'!C:C&gt;=$J$4,'领用录入（明细）'!C:C&lt;=$L$4),ROW(),"-")</f>
        <v>-</v>
      </c>
    </row>
    <row r="41278" customHeight="1" spans="2:2">
      <c r="B41278" s="62" t="str">
        <f>IF(AND('领用录入（明细）'!D:D=$F$4,'领用录入（明细）'!C:C&gt;=$J$4,'领用录入（明细）'!C:C&lt;=$L$4),ROW(),"-")</f>
        <v>-</v>
      </c>
    </row>
    <row r="41279" customHeight="1" spans="2:2">
      <c r="B41279" s="62" t="str">
        <f>IF(AND('领用录入（明细）'!D:D=$F$4,'领用录入（明细）'!C:C&gt;=$J$4,'领用录入（明细）'!C:C&lt;=$L$4),ROW(),"-")</f>
        <v>-</v>
      </c>
    </row>
    <row r="41280" customHeight="1" spans="2:2">
      <c r="B41280" s="62" t="str">
        <f>IF(AND('领用录入（明细）'!D:D=$F$4,'领用录入（明细）'!C:C&gt;=$J$4,'领用录入（明细）'!C:C&lt;=$L$4),ROW(),"-")</f>
        <v>-</v>
      </c>
    </row>
    <row r="41281" customHeight="1" spans="2:2">
      <c r="B41281" s="62" t="str">
        <f>IF(AND('领用录入（明细）'!D:D=$F$4,'领用录入（明细）'!C:C&gt;=$J$4,'领用录入（明细）'!C:C&lt;=$L$4),ROW(),"-")</f>
        <v>-</v>
      </c>
    </row>
    <row r="41282" customHeight="1" spans="2:2">
      <c r="B41282" s="62" t="str">
        <f>IF(AND('领用录入（明细）'!D:D=$F$4,'领用录入（明细）'!C:C&gt;=$J$4,'领用录入（明细）'!C:C&lt;=$L$4),ROW(),"-")</f>
        <v>-</v>
      </c>
    </row>
    <row r="41283" customHeight="1" spans="2:2">
      <c r="B41283" s="62" t="str">
        <f>IF(AND('领用录入（明细）'!D:D=$F$4,'领用录入（明细）'!C:C&gt;=$J$4,'领用录入（明细）'!C:C&lt;=$L$4),ROW(),"-")</f>
        <v>-</v>
      </c>
    </row>
    <row r="41284" customHeight="1" spans="2:2">
      <c r="B41284" s="62" t="str">
        <f>IF(AND('领用录入（明细）'!D:D=$F$4,'领用录入（明细）'!C:C&gt;=$J$4,'领用录入（明细）'!C:C&lt;=$L$4),ROW(),"-")</f>
        <v>-</v>
      </c>
    </row>
    <row r="41285" customHeight="1" spans="2:2">
      <c r="B41285" s="62" t="str">
        <f>IF(AND('领用录入（明细）'!D:D=$F$4,'领用录入（明细）'!C:C&gt;=$J$4,'领用录入（明细）'!C:C&lt;=$L$4),ROW(),"-")</f>
        <v>-</v>
      </c>
    </row>
    <row r="41286" customHeight="1" spans="2:2">
      <c r="B41286" s="62" t="str">
        <f>IF(AND('领用录入（明细）'!D:D=$F$4,'领用录入（明细）'!C:C&gt;=$J$4,'领用录入（明细）'!C:C&lt;=$L$4),ROW(),"-")</f>
        <v>-</v>
      </c>
    </row>
    <row r="41287" customHeight="1" spans="2:2">
      <c r="B41287" s="62" t="str">
        <f>IF(AND('领用录入（明细）'!D:D=$F$4,'领用录入（明细）'!C:C&gt;=$J$4,'领用录入（明细）'!C:C&lt;=$L$4),ROW(),"-")</f>
        <v>-</v>
      </c>
    </row>
    <row r="41288" customHeight="1" spans="2:2">
      <c r="B41288" s="62" t="str">
        <f>IF(AND('领用录入（明细）'!D:D=$F$4,'领用录入（明细）'!C:C&gt;=$J$4,'领用录入（明细）'!C:C&lt;=$L$4),ROW(),"-")</f>
        <v>-</v>
      </c>
    </row>
    <row r="41289" customHeight="1" spans="2:2">
      <c r="B41289" s="62" t="str">
        <f>IF(AND('领用录入（明细）'!D:D=$F$4,'领用录入（明细）'!C:C&gt;=$J$4,'领用录入（明细）'!C:C&lt;=$L$4),ROW(),"-")</f>
        <v>-</v>
      </c>
    </row>
    <row r="41290" customHeight="1" spans="2:2">
      <c r="B41290" s="62" t="str">
        <f>IF(AND('领用录入（明细）'!D:D=$F$4,'领用录入（明细）'!C:C&gt;=$J$4,'领用录入（明细）'!C:C&lt;=$L$4),ROW(),"-")</f>
        <v>-</v>
      </c>
    </row>
    <row r="41291" customHeight="1" spans="2:2">
      <c r="B41291" s="62" t="str">
        <f>IF(AND('领用录入（明细）'!D:D=$F$4,'领用录入（明细）'!C:C&gt;=$J$4,'领用录入（明细）'!C:C&lt;=$L$4),ROW(),"-")</f>
        <v>-</v>
      </c>
    </row>
    <row r="41292" customHeight="1" spans="2:2">
      <c r="B41292" s="62" t="str">
        <f>IF(AND('领用录入（明细）'!D:D=$F$4,'领用录入（明细）'!C:C&gt;=$J$4,'领用录入（明细）'!C:C&lt;=$L$4),ROW(),"-")</f>
        <v>-</v>
      </c>
    </row>
    <row r="41293" customHeight="1" spans="2:2">
      <c r="B41293" s="62" t="str">
        <f>IF(AND('领用录入（明细）'!D:D=$F$4,'领用录入（明细）'!C:C&gt;=$J$4,'领用录入（明细）'!C:C&lt;=$L$4),ROW(),"-")</f>
        <v>-</v>
      </c>
    </row>
    <row r="41294" customHeight="1" spans="2:2">
      <c r="B41294" s="62" t="str">
        <f>IF(AND('领用录入（明细）'!D:D=$F$4,'领用录入（明细）'!C:C&gt;=$J$4,'领用录入（明细）'!C:C&lt;=$L$4),ROW(),"-")</f>
        <v>-</v>
      </c>
    </row>
    <row r="41295" customHeight="1" spans="2:2">
      <c r="B41295" s="62" t="str">
        <f>IF(AND('领用录入（明细）'!D:D=$F$4,'领用录入（明细）'!C:C&gt;=$J$4,'领用录入（明细）'!C:C&lt;=$L$4),ROW(),"-")</f>
        <v>-</v>
      </c>
    </row>
    <row r="41296" customHeight="1" spans="2:2">
      <c r="B41296" s="62" t="str">
        <f>IF(AND('领用录入（明细）'!D:D=$F$4,'领用录入（明细）'!C:C&gt;=$J$4,'领用录入（明细）'!C:C&lt;=$L$4),ROW(),"-")</f>
        <v>-</v>
      </c>
    </row>
    <row r="41297" customHeight="1" spans="2:2">
      <c r="B41297" s="62" t="str">
        <f>IF(AND('领用录入（明细）'!D:D=$F$4,'领用录入（明细）'!C:C&gt;=$J$4,'领用录入（明细）'!C:C&lt;=$L$4),ROW(),"-")</f>
        <v>-</v>
      </c>
    </row>
    <row r="41298" customHeight="1" spans="2:2">
      <c r="B41298" s="62" t="str">
        <f>IF(AND('领用录入（明细）'!D:D=$F$4,'领用录入（明细）'!C:C&gt;=$J$4,'领用录入（明细）'!C:C&lt;=$L$4),ROW(),"-")</f>
        <v>-</v>
      </c>
    </row>
    <row r="41299" customHeight="1" spans="2:2">
      <c r="B41299" s="62" t="str">
        <f>IF(AND('领用录入（明细）'!D:D=$F$4,'领用录入（明细）'!C:C&gt;=$J$4,'领用录入（明细）'!C:C&lt;=$L$4),ROW(),"-")</f>
        <v>-</v>
      </c>
    </row>
    <row r="41300" customHeight="1" spans="2:2">
      <c r="B41300" s="62" t="str">
        <f>IF(AND('领用录入（明细）'!D:D=$F$4,'领用录入（明细）'!C:C&gt;=$J$4,'领用录入（明细）'!C:C&lt;=$L$4),ROW(),"-")</f>
        <v>-</v>
      </c>
    </row>
    <row r="41301" customHeight="1" spans="2:2">
      <c r="B41301" s="62" t="str">
        <f>IF(AND('领用录入（明细）'!D:D=$F$4,'领用录入（明细）'!C:C&gt;=$J$4,'领用录入（明细）'!C:C&lt;=$L$4),ROW(),"-")</f>
        <v>-</v>
      </c>
    </row>
    <row r="41302" customHeight="1" spans="2:2">
      <c r="B41302" s="62" t="str">
        <f>IF(AND('领用录入（明细）'!D:D=$F$4,'领用录入（明细）'!C:C&gt;=$J$4,'领用录入（明细）'!C:C&lt;=$L$4),ROW(),"-")</f>
        <v>-</v>
      </c>
    </row>
    <row r="41303" customHeight="1" spans="2:2">
      <c r="B41303" s="62" t="str">
        <f>IF(AND('领用录入（明细）'!D:D=$F$4,'领用录入（明细）'!C:C&gt;=$J$4,'领用录入（明细）'!C:C&lt;=$L$4),ROW(),"-")</f>
        <v>-</v>
      </c>
    </row>
    <row r="41304" customHeight="1" spans="2:2">
      <c r="B41304" s="62" t="str">
        <f>IF(AND('领用录入（明细）'!D:D=$F$4,'领用录入（明细）'!C:C&gt;=$J$4,'领用录入（明细）'!C:C&lt;=$L$4),ROW(),"-")</f>
        <v>-</v>
      </c>
    </row>
    <row r="41305" customHeight="1" spans="2:2">
      <c r="B41305" s="62" t="str">
        <f>IF(AND('领用录入（明细）'!D:D=$F$4,'领用录入（明细）'!C:C&gt;=$J$4,'领用录入（明细）'!C:C&lt;=$L$4),ROW(),"-")</f>
        <v>-</v>
      </c>
    </row>
    <row r="41306" customHeight="1" spans="2:2">
      <c r="B41306" s="62" t="str">
        <f>IF(AND('领用录入（明细）'!D:D=$F$4,'领用录入（明细）'!C:C&gt;=$J$4,'领用录入（明细）'!C:C&lt;=$L$4),ROW(),"-")</f>
        <v>-</v>
      </c>
    </row>
    <row r="41307" customHeight="1" spans="2:2">
      <c r="B41307" s="62" t="str">
        <f>IF(AND('领用录入（明细）'!D:D=$F$4,'领用录入（明细）'!C:C&gt;=$J$4,'领用录入（明细）'!C:C&lt;=$L$4),ROW(),"-")</f>
        <v>-</v>
      </c>
    </row>
    <row r="41308" customHeight="1" spans="2:2">
      <c r="B41308" s="62" t="str">
        <f>IF(AND('领用录入（明细）'!D:D=$F$4,'领用录入（明细）'!C:C&gt;=$J$4,'领用录入（明细）'!C:C&lt;=$L$4),ROW(),"-")</f>
        <v>-</v>
      </c>
    </row>
    <row r="41309" customHeight="1" spans="2:2">
      <c r="B41309" s="62" t="str">
        <f>IF(AND('领用录入（明细）'!D:D=$F$4,'领用录入（明细）'!C:C&gt;=$J$4,'领用录入（明细）'!C:C&lt;=$L$4),ROW(),"-")</f>
        <v>-</v>
      </c>
    </row>
    <row r="41310" customHeight="1" spans="2:2">
      <c r="B41310" s="62" t="str">
        <f>IF(AND('领用录入（明细）'!D:D=$F$4,'领用录入（明细）'!C:C&gt;=$J$4,'领用录入（明细）'!C:C&lt;=$L$4),ROW(),"-")</f>
        <v>-</v>
      </c>
    </row>
    <row r="41311" customHeight="1" spans="2:2">
      <c r="B41311" s="62" t="str">
        <f>IF(AND('领用录入（明细）'!D:D=$F$4,'领用录入（明细）'!C:C&gt;=$J$4,'领用录入（明细）'!C:C&lt;=$L$4),ROW(),"-")</f>
        <v>-</v>
      </c>
    </row>
    <row r="41312" customHeight="1" spans="2:2">
      <c r="B41312" s="62" t="str">
        <f>IF(AND('领用录入（明细）'!D:D=$F$4,'领用录入（明细）'!C:C&gt;=$J$4,'领用录入（明细）'!C:C&lt;=$L$4),ROW(),"-")</f>
        <v>-</v>
      </c>
    </row>
    <row r="41313" customHeight="1" spans="2:2">
      <c r="B41313" s="62" t="str">
        <f>IF(AND('领用录入（明细）'!D:D=$F$4,'领用录入（明细）'!C:C&gt;=$J$4,'领用录入（明细）'!C:C&lt;=$L$4),ROW(),"-")</f>
        <v>-</v>
      </c>
    </row>
    <row r="41314" customHeight="1" spans="2:2">
      <c r="B41314" s="62" t="str">
        <f>IF(AND('领用录入（明细）'!D:D=$F$4,'领用录入（明细）'!C:C&gt;=$J$4,'领用录入（明细）'!C:C&lt;=$L$4),ROW(),"-")</f>
        <v>-</v>
      </c>
    </row>
    <row r="41315" customHeight="1" spans="2:2">
      <c r="B41315" s="62" t="str">
        <f>IF(AND('领用录入（明细）'!D:D=$F$4,'领用录入（明细）'!C:C&gt;=$J$4,'领用录入（明细）'!C:C&lt;=$L$4),ROW(),"-")</f>
        <v>-</v>
      </c>
    </row>
    <row r="41316" customHeight="1" spans="2:2">
      <c r="B41316" s="62" t="str">
        <f>IF(AND('领用录入（明细）'!D:D=$F$4,'领用录入（明细）'!C:C&gt;=$J$4,'领用录入（明细）'!C:C&lt;=$L$4),ROW(),"-")</f>
        <v>-</v>
      </c>
    </row>
    <row r="41317" customHeight="1" spans="2:2">
      <c r="B41317" s="62" t="str">
        <f>IF(AND('领用录入（明细）'!D:D=$F$4,'领用录入（明细）'!C:C&gt;=$J$4,'领用录入（明细）'!C:C&lt;=$L$4),ROW(),"-")</f>
        <v>-</v>
      </c>
    </row>
    <row r="41318" customHeight="1" spans="2:2">
      <c r="B41318" s="62" t="str">
        <f>IF(AND('领用录入（明细）'!D:D=$F$4,'领用录入（明细）'!C:C&gt;=$J$4,'领用录入（明细）'!C:C&lt;=$L$4),ROW(),"-")</f>
        <v>-</v>
      </c>
    </row>
    <row r="41319" customHeight="1" spans="2:2">
      <c r="B41319" s="62" t="str">
        <f>IF(AND('领用录入（明细）'!D:D=$F$4,'领用录入（明细）'!C:C&gt;=$J$4,'领用录入（明细）'!C:C&lt;=$L$4),ROW(),"-")</f>
        <v>-</v>
      </c>
    </row>
    <row r="41320" customHeight="1" spans="2:2">
      <c r="B41320" s="62" t="str">
        <f>IF(AND('领用录入（明细）'!D:D=$F$4,'领用录入（明细）'!C:C&gt;=$J$4,'领用录入（明细）'!C:C&lt;=$L$4),ROW(),"-")</f>
        <v>-</v>
      </c>
    </row>
    <row r="41321" customHeight="1" spans="2:2">
      <c r="B41321" s="62" t="str">
        <f>IF(AND('领用录入（明细）'!D:D=$F$4,'领用录入（明细）'!C:C&gt;=$J$4,'领用录入（明细）'!C:C&lt;=$L$4),ROW(),"-")</f>
        <v>-</v>
      </c>
    </row>
    <row r="41322" customHeight="1" spans="2:2">
      <c r="B41322" s="62" t="str">
        <f>IF(AND('领用录入（明细）'!D:D=$F$4,'领用录入（明细）'!C:C&gt;=$J$4,'领用录入（明细）'!C:C&lt;=$L$4),ROW(),"-")</f>
        <v>-</v>
      </c>
    </row>
    <row r="41323" customHeight="1" spans="2:2">
      <c r="B41323" s="62" t="str">
        <f>IF(AND('领用录入（明细）'!D:D=$F$4,'领用录入（明细）'!C:C&gt;=$J$4,'领用录入（明细）'!C:C&lt;=$L$4),ROW(),"-")</f>
        <v>-</v>
      </c>
    </row>
    <row r="41324" customHeight="1" spans="2:2">
      <c r="B41324" s="62" t="str">
        <f>IF(AND('领用录入（明细）'!D:D=$F$4,'领用录入（明细）'!C:C&gt;=$J$4,'领用录入（明细）'!C:C&lt;=$L$4),ROW(),"-")</f>
        <v>-</v>
      </c>
    </row>
    <row r="41325" customHeight="1" spans="2:2">
      <c r="B41325" s="62" t="str">
        <f>IF(AND('领用录入（明细）'!D:D=$F$4,'领用录入（明细）'!C:C&gt;=$J$4,'领用录入（明细）'!C:C&lt;=$L$4),ROW(),"-")</f>
        <v>-</v>
      </c>
    </row>
    <row r="41326" customHeight="1" spans="2:2">
      <c r="B41326" s="62" t="str">
        <f>IF(AND('领用录入（明细）'!D:D=$F$4,'领用录入（明细）'!C:C&gt;=$J$4,'领用录入（明细）'!C:C&lt;=$L$4),ROW(),"-")</f>
        <v>-</v>
      </c>
    </row>
    <row r="41327" customHeight="1" spans="2:2">
      <c r="B41327" s="62" t="str">
        <f>IF(AND('领用录入（明细）'!D:D=$F$4,'领用录入（明细）'!C:C&gt;=$J$4,'领用录入（明细）'!C:C&lt;=$L$4),ROW(),"-")</f>
        <v>-</v>
      </c>
    </row>
    <row r="41328" customHeight="1" spans="2:2">
      <c r="B41328" s="62" t="str">
        <f>IF(AND('领用录入（明细）'!D:D=$F$4,'领用录入（明细）'!C:C&gt;=$J$4,'领用录入（明细）'!C:C&lt;=$L$4),ROW(),"-")</f>
        <v>-</v>
      </c>
    </row>
    <row r="41329" customHeight="1" spans="2:2">
      <c r="B41329" s="62" t="str">
        <f>IF(AND('领用录入（明细）'!D:D=$F$4,'领用录入（明细）'!C:C&gt;=$J$4,'领用录入（明细）'!C:C&lt;=$L$4),ROW(),"-")</f>
        <v>-</v>
      </c>
    </row>
    <row r="41330" customHeight="1" spans="2:2">
      <c r="B41330" s="62" t="str">
        <f>IF(AND('领用录入（明细）'!D:D=$F$4,'领用录入（明细）'!C:C&gt;=$J$4,'领用录入（明细）'!C:C&lt;=$L$4),ROW(),"-")</f>
        <v>-</v>
      </c>
    </row>
    <row r="41331" customHeight="1" spans="2:2">
      <c r="B41331" s="62" t="str">
        <f>IF(AND('领用录入（明细）'!D:D=$F$4,'领用录入（明细）'!C:C&gt;=$J$4,'领用录入（明细）'!C:C&lt;=$L$4),ROW(),"-")</f>
        <v>-</v>
      </c>
    </row>
    <row r="41332" customHeight="1" spans="2:2">
      <c r="B41332" s="62" t="str">
        <f>IF(AND('领用录入（明细）'!D:D=$F$4,'领用录入（明细）'!C:C&gt;=$J$4,'领用录入（明细）'!C:C&lt;=$L$4),ROW(),"-")</f>
        <v>-</v>
      </c>
    </row>
    <row r="41333" customHeight="1" spans="2:2">
      <c r="B41333" s="62" t="str">
        <f>IF(AND('领用录入（明细）'!D:D=$F$4,'领用录入（明细）'!C:C&gt;=$J$4,'领用录入（明细）'!C:C&lt;=$L$4),ROW(),"-")</f>
        <v>-</v>
      </c>
    </row>
    <row r="41334" customHeight="1" spans="2:2">
      <c r="B41334" s="62" t="str">
        <f>IF(AND('领用录入（明细）'!D:D=$F$4,'领用录入（明细）'!C:C&gt;=$J$4,'领用录入（明细）'!C:C&lt;=$L$4),ROW(),"-")</f>
        <v>-</v>
      </c>
    </row>
    <row r="41335" customHeight="1" spans="2:2">
      <c r="B41335" s="62" t="str">
        <f>IF(AND('领用录入（明细）'!D:D=$F$4,'领用录入（明细）'!C:C&gt;=$J$4,'领用录入（明细）'!C:C&lt;=$L$4),ROW(),"-")</f>
        <v>-</v>
      </c>
    </row>
    <row r="41336" customHeight="1" spans="2:2">
      <c r="B41336" s="62" t="str">
        <f>IF(AND('领用录入（明细）'!D:D=$F$4,'领用录入（明细）'!C:C&gt;=$J$4,'领用录入（明细）'!C:C&lt;=$L$4),ROW(),"-")</f>
        <v>-</v>
      </c>
    </row>
    <row r="41337" customHeight="1" spans="2:2">
      <c r="B41337" s="62" t="str">
        <f>IF(AND('领用录入（明细）'!D:D=$F$4,'领用录入（明细）'!C:C&gt;=$J$4,'领用录入（明细）'!C:C&lt;=$L$4),ROW(),"-")</f>
        <v>-</v>
      </c>
    </row>
    <row r="41338" customHeight="1" spans="2:2">
      <c r="B41338" s="62" t="str">
        <f>IF(AND('领用录入（明细）'!D:D=$F$4,'领用录入（明细）'!C:C&gt;=$J$4,'领用录入（明细）'!C:C&lt;=$L$4),ROW(),"-")</f>
        <v>-</v>
      </c>
    </row>
    <row r="41339" customHeight="1" spans="2:2">
      <c r="B41339" s="62" t="str">
        <f>IF(AND('领用录入（明细）'!D:D=$F$4,'领用录入（明细）'!C:C&gt;=$J$4,'领用录入（明细）'!C:C&lt;=$L$4),ROW(),"-")</f>
        <v>-</v>
      </c>
    </row>
    <row r="41340" customHeight="1" spans="2:2">
      <c r="B41340" s="62" t="str">
        <f>IF(AND('领用录入（明细）'!D:D=$F$4,'领用录入（明细）'!C:C&gt;=$J$4,'领用录入（明细）'!C:C&lt;=$L$4),ROW(),"-")</f>
        <v>-</v>
      </c>
    </row>
    <row r="41341" customHeight="1" spans="2:2">
      <c r="B41341" s="62" t="str">
        <f>IF(AND('领用录入（明细）'!D:D=$F$4,'领用录入（明细）'!C:C&gt;=$J$4,'领用录入（明细）'!C:C&lt;=$L$4),ROW(),"-")</f>
        <v>-</v>
      </c>
    </row>
    <row r="41342" customHeight="1" spans="2:2">
      <c r="B41342" s="62" t="str">
        <f>IF(AND('领用录入（明细）'!D:D=$F$4,'领用录入（明细）'!C:C&gt;=$J$4,'领用录入（明细）'!C:C&lt;=$L$4),ROW(),"-")</f>
        <v>-</v>
      </c>
    </row>
    <row r="41343" customHeight="1" spans="2:2">
      <c r="B41343" s="62" t="str">
        <f>IF(AND('领用录入（明细）'!D:D=$F$4,'领用录入（明细）'!C:C&gt;=$J$4,'领用录入（明细）'!C:C&lt;=$L$4),ROW(),"-")</f>
        <v>-</v>
      </c>
    </row>
    <row r="41344" customHeight="1" spans="2:2">
      <c r="B41344" s="62" t="str">
        <f>IF(AND('领用录入（明细）'!D:D=$F$4,'领用录入（明细）'!C:C&gt;=$J$4,'领用录入（明细）'!C:C&lt;=$L$4),ROW(),"-")</f>
        <v>-</v>
      </c>
    </row>
    <row r="41345" customHeight="1" spans="2:2">
      <c r="B41345" s="62" t="str">
        <f>IF(AND('领用录入（明细）'!D:D=$F$4,'领用录入（明细）'!C:C&gt;=$J$4,'领用录入（明细）'!C:C&lt;=$L$4),ROW(),"-")</f>
        <v>-</v>
      </c>
    </row>
    <row r="41346" customHeight="1" spans="2:2">
      <c r="B41346" s="62" t="str">
        <f>IF(AND('领用录入（明细）'!D:D=$F$4,'领用录入（明细）'!C:C&gt;=$J$4,'领用录入（明细）'!C:C&lt;=$L$4),ROW(),"-")</f>
        <v>-</v>
      </c>
    </row>
    <row r="41347" customHeight="1" spans="2:2">
      <c r="B41347" s="62" t="str">
        <f>IF(AND('领用录入（明细）'!D:D=$F$4,'领用录入（明细）'!C:C&gt;=$J$4,'领用录入（明细）'!C:C&lt;=$L$4),ROW(),"-")</f>
        <v>-</v>
      </c>
    </row>
    <row r="41348" customHeight="1" spans="2:2">
      <c r="B41348" s="62" t="str">
        <f>IF(AND('领用录入（明细）'!D:D=$F$4,'领用录入（明细）'!C:C&gt;=$J$4,'领用录入（明细）'!C:C&lt;=$L$4),ROW(),"-")</f>
        <v>-</v>
      </c>
    </row>
    <row r="41349" customHeight="1" spans="2:2">
      <c r="B41349" s="62" t="str">
        <f>IF(AND('领用录入（明细）'!D:D=$F$4,'领用录入（明细）'!C:C&gt;=$J$4,'领用录入（明细）'!C:C&lt;=$L$4),ROW(),"-")</f>
        <v>-</v>
      </c>
    </row>
    <row r="41350" customHeight="1" spans="2:2">
      <c r="B41350" s="62" t="str">
        <f>IF(AND('领用录入（明细）'!D:D=$F$4,'领用录入（明细）'!C:C&gt;=$J$4,'领用录入（明细）'!C:C&lt;=$L$4),ROW(),"-")</f>
        <v>-</v>
      </c>
    </row>
    <row r="41351" customHeight="1" spans="2:2">
      <c r="B41351" s="62" t="str">
        <f>IF(AND('领用录入（明细）'!D:D=$F$4,'领用录入（明细）'!C:C&gt;=$J$4,'领用录入（明细）'!C:C&lt;=$L$4),ROW(),"-")</f>
        <v>-</v>
      </c>
    </row>
    <row r="41352" customHeight="1" spans="2:2">
      <c r="B41352" s="62" t="str">
        <f>IF(AND('领用录入（明细）'!D:D=$F$4,'领用录入（明细）'!C:C&gt;=$J$4,'领用录入（明细）'!C:C&lt;=$L$4),ROW(),"-")</f>
        <v>-</v>
      </c>
    </row>
    <row r="41353" customHeight="1" spans="2:2">
      <c r="B41353" s="62" t="str">
        <f>IF(AND('领用录入（明细）'!D:D=$F$4,'领用录入（明细）'!C:C&gt;=$J$4,'领用录入（明细）'!C:C&lt;=$L$4),ROW(),"-")</f>
        <v>-</v>
      </c>
    </row>
    <row r="41354" customHeight="1" spans="2:2">
      <c r="B41354" s="62" t="str">
        <f>IF(AND('领用录入（明细）'!D:D=$F$4,'领用录入（明细）'!C:C&gt;=$J$4,'领用录入（明细）'!C:C&lt;=$L$4),ROW(),"-")</f>
        <v>-</v>
      </c>
    </row>
    <row r="41355" customHeight="1" spans="2:2">
      <c r="B41355" s="62" t="str">
        <f>IF(AND('领用录入（明细）'!D:D=$F$4,'领用录入（明细）'!C:C&gt;=$J$4,'领用录入（明细）'!C:C&lt;=$L$4),ROW(),"-")</f>
        <v>-</v>
      </c>
    </row>
    <row r="41356" customHeight="1" spans="2:2">
      <c r="B41356" s="62" t="str">
        <f>IF(AND('领用录入（明细）'!D:D=$F$4,'领用录入（明细）'!C:C&gt;=$J$4,'领用录入（明细）'!C:C&lt;=$L$4),ROW(),"-")</f>
        <v>-</v>
      </c>
    </row>
    <row r="41357" customHeight="1" spans="2:2">
      <c r="B41357" s="62" t="str">
        <f>IF(AND('领用录入（明细）'!D:D=$F$4,'领用录入（明细）'!C:C&gt;=$J$4,'领用录入（明细）'!C:C&lt;=$L$4),ROW(),"-")</f>
        <v>-</v>
      </c>
    </row>
    <row r="41358" customHeight="1" spans="2:2">
      <c r="B41358" s="62" t="str">
        <f>IF(AND('领用录入（明细）'!D:D=$F$4,'领用录入（明细）'!C:C&gt;=$J$4,'领用录入（明细）'!C:C&lt;=$L$4),ROW(),"-")</f>
        <v>-</v>
      </c>
    </row>
    <row r="41359" customHeight="1" spans="2:2">
      <c r="B41359" s="62" t="str">
        <f>IF(AND('领用录入（明细）'!D:D=$F$4,'领用录入（明细）'!C:C&gt;=$J$4,'领用录入（明细）'!C:C&lt;=$L$4),ROW(),"-")</f>
        <v>-</v>
      </c>
    </row>
    <row r="41360" customHeight="1" spans="2:2">
      <c r="B41360" s="62" t="str">
        <f>IF(AND('领用录入（明细）'!D:D=$F$4,'领用录入（明细）'!C:C&gt;=$J$4,'领用录入（明细）'!C:C&lt;=$L$4),ROW(),"-")</f>
        <v>-</v>
      </c>
    </row>
    <row r="41361" customHeight="1" spans="2:2">
      <c r="B41361" s="62" t="str">
        <f>IF(AND('领用录入（明细）'!D:D=$F$4,'领用录入（明细）'!C:C&gt;=$J$4,'领用录入（明细）'!C:C&lt;=$L$4),ROW(),"-")</f>
        <v>-</v>
      </c>
    </row>
    <row r="41362" customHeight="1" spans="2:2">
      <c r="B41362" s="62" t="str">
        <f>IF(AND('领用录入（明细）'!D:D=$F$4,'领用录入（明细）'!C:C&gt;=$J$4,'领用录入（明细）'!C:C&lt;=$L$4),ROW(),"-")</f>
        <v>-</v>
      </c>
    </row>
    <row r="41363" customHeight="1" spans="2:2">
      <c r="B41363" s="62" t="str">
        <f>IF(AND('领用录入（明细）'!D:D=$F$4,'领用录入（明细）'!C:C&gt;=$J$4,'领用录入（明细）'!C:C&lt;=$L$4),ROW(),"-")</f>
        <v>-</v>
      </c>
    </row>
    <row r="41364" customHeight="1" spans="2:2">
      <c r="B41364" s="62" t="str">
        <f>IF(AND('领用录入（明细）'!D:D=$F$4,'领用录入（明细）'!C:C&gt;=$J$4,'领用录入（明细）'!C:C&lt;=$L$4),ROW(),"-")</f>
        <v>-</v>
      </c>
    </row>
    <row r="41365" customHeight="1" spans="2:2">
      <c r="B41365" s="62" t="str">
        <f>IF(AND('领用录入（明细）'!D:D=$F$4,'领用录入（明细）'!C:C&gt;=$J$4,'领用录入（明细）'!C:C&lt;=$L$4),ROW(),"-")</f>
        <v>-</v>
      </c>
    </row>
    <row r="41366" customHeight="1" spans="2:2">
      <c r="B41366" s="62" t="str">
        <f>IF(AND('领用录入（明细）'!D:D=$F$4,'领用录入（明细）'!C:C&gt;=$J$4,'领用录入（明细）'!C:C&lt;=$L$4),ROW(),"-")</f>
        <v>-</v>
      </c>
    </row>
    <row r="41367" customHeight="1" spans="2:2">
      <c r="B41367" s="62" t="str">
        <f>IF(AND('领用录入（明细）'!D:D=$F$4,'领用录入（明细）'!C:C&gt;=$J$4,'领用录入（明细）'!C:C&lt;=$L$4),ROW(),"-")</f>
        <v>-</v>
      </c>
    </row>
    <row r="41368" customHeight="1" spans="2:2">
      <c r="B41368" s="62" t="str">
        <f>IF(AND('领用录入（明细）'!D:D=$F$4,'领用录入（明细）'!C:C&gt;=$J$4,'领用录入（明细）'!C:C&lt;=$L$4),ROW(),"-")</f>
        <v>-</v>
      </c>
    </row>
    <row r="41369" customHeight="1" spans="2:2">
      <c r="B41369" s="62" t="str">
        <f>IF(AND('领用录入（明细）'!D:D=$F$4,'领用录入（明细）'!C:C&gt;=$J$4,'领用录入（明细）'!C:C&lt;=$L$4),ROW(),"-")</f>
        <v>-</v>
      </c>
    </row>
    <row r="41370" customHeight="1" spans="2:2">
      <c r="B41370" s="62" t="str">
        <f>IF(AND('领用录入（明细）'!D:D=$F$4,'领用录入（明细）'!C:C&gt;=$J$4,'领用录入（明细）'!C:C&lt;=$L$4),ROW(),"-")</f>
        <v>-</v>
      </c>
    </row>
    <row r="41371" customHeight="1" spans="2:2">
      <c r="B41371" s="62" t="str">
        <f>IF(AND('领用录入（明细）'!D:D=$F$4,'领用录入（明细）'!C:C&gt;=$J$4,'领用录入（明细）'!C:C&lt;=$L$4),ROW(),"-")</f>
        <v>-</v>
      </c>
    </row>
    <row r="41372" customHeight="1" spans="2:2">
      <c r="B41372" s="62" t="str">
        <f>IF(AND('领用录入（明细）'!D:D=$F$4,'领用录入（明细）'!C:C&gt;=$J$4,'领用录入（明细）'!C:C&lt;=$L$4),ROW(),"-")</f>
        <v>-</v>
      </c>
    </row>
    <row r="41373" customHeight="1" spans="2:2">
      <c r="B41373" s="62" t="str">
        <f>IF(AND('领用录入（明细）'!D:D=$F$4,'领用录入（明细）'!C:C&gt;=$J$4,'领用录入（明细）'!C:C&lt;=$L$4),ROW(),"-")</f>
        <v>-</v>
      </c>
    </row>
    <row r="41374" customHeight="1" spans="2:2">
      <c r="B41374" s="62" t="str">
        <f>IF(AND('领用录入（明细）'!D:D=$F$4,'领用录入（明细）'!C:C&gt;=$J$4,'领用录入（明细）'!C:C&lt;=$L$4),ROW(),"-")</f>
        <v>-</v>
      </c>
    </row>
    <row r="41375" customHeight="1" spans="2:2">
      <c r="B41375" s="62" t="str">
        <f>IF(AND('领用录入（明细）'!D:D=$F$4,'领用录入（明细）'!C:C&gt;=$J$4,'领用录入（明细）'!C:C&lt;=$L$4),ROW(),"-")</f>
        <v>-</v>
      </c>
    </row>
    <row r="41376" customHeight="1" spans="2:2">
      <c r="B41376" s="62" t="str">
        <f>IF(AND('领用录入（明细）'!D:D=$F$4,'领用录入（明细）'!C:C&gt;=$J$4,'领用录入（明细）'!C:C&lt;=$L$4),ROW(),"-")</f>
        <v>-</v>
      </c>
    </row>
    <row r="41377" customHeight="1" spans="2:2">
      <c r="B41377" s="62" t="str">
        <f>IF(AND('领用录入（明细）'!D:D=$F$4,'领用录入（明细）'!C:C&gt;=$J$4,'领用录入（明细）'!C:C&lt;=$L$4),ROW(),"-")</f>
        <v>-</v>
      </c>
    </row>
    <row r="41378" customHeight="1" spans="2:2">
      <c r="B41378" s="62" t="str">
        <f>IF(AND('领用录入（明细）'!D:D=$F$4,'领用录入（明细）'!C:C&gt;=$J$4,'领用录入（明细）'!C:C&lt;=$L$4),ROW(),"-")</f>
        <v>-</v>
      </c>
    </row>
    <row r="41379" customHeight="1" spans="2:2">
      <c r="B41379" s="62" t="str">
        <f>IF(AND('领用录入（明细）'!D:D=$F$4,'领用录入（明细）'!C:C&gt;=$J$4,'领用录入（明细）'!C:C&lt;=$L$4),ROW(),"-")</f>
        <v>-</v>
      </c>
    </row>
    <row r="41380" customHeight="1" spans="2:2">
      <c r="B41380" s="62" t="str">
        <f>IF(AND('领用录入（明细）'!D:D=$F$4,'领用录入（明细）'!C:C&gt;=$J$4,'领用录入（明细）'!C:C&lt;=$L$4),ROW(),"-")</f>
        <v>-</v>
      </c>
    </row>
    <row r="41381" customHeight="1" spans="2:2">
      <c r="B41381" s="62" t="str">
        <f>IF(AND('领用录入（明细）'!D:D=$F$4,'领用录入（明细）'!C:C&gt;=$J$4,'领用录入（明细）'!C:C&lt;=$L$4),ROW(),"-")</f>
        <v>-</v>
      </c>
    </row>
    <row r="41382" customHeight="1" spans="2:2">
      <c r="B41382" s="62" t="str">
        <f>IF(AND('领用录入（明细）'!D:D=$F$4,'领用录入（明细）'!C:C&gt;=$J$4,'领用录入（明细）'!C:C&lt;=$L$4),ROW(),"-")</f>
        <v>-</v>
      </c>
    </row>
    <row r="41383" customHeight="1" spans="2:2">
      <c r="B41383" s="62" t="str">
        <f>IF(AND('领用录入（明细）'!D:D=$F$4,'领用录入（明细）'!C:C&gt;=$J$4,'领用录入（明细）'!C:C&lt;=$L$4),ROW(),"-")</f>
        <v>-</v>
      </c>
    </row>
    <row r="41384" customHeight="1" spans="2:2">
      <c r="B41384" s="62" t="str">
        <f>IF(AND('领用录入（明细）'!D:D=$F$4,'领用录入（明细）'!C:C&gt;=$J$4,'领用录入（明细）'!C:C&lt;=$L$4),ROW(),"-")</f>
        <v>-</v>
      </c>
    </row>
    <row r="41385" customHeight="1" spans="2:2">
      <c r="B41385" s="62" t="str">
        <f>IF(AND('领用录入（明细）'!D:D=$F$4,'领用录入（明细）'!C:C&gt;=$J$4,'领用录入（明细）'!C:C&lt;=$L$4),ROW(),"-")</f>
        <v>-</v>
      </c>
    </row>
    <row r="41386" customHeight="1" spans="2:2">
      <c r="B41386" s="62" t="str">
        <f>IF(AND('领用录入（明细）'!D:D=$F$4,'领用录入（明细）'!C:C&gt;=$J$4,'领用录入（明细）'!C:C&lt;=$L$4),ROW(),"-")</f>
        <v>-</v>
      </c>
    </row>
    <row r="41387" customHeight="1" spans="2:2">
      <c r="B41387" s="62" t="str">
        <f>IF(AND('领用录入（明细）'!D:D=$F$4,'领用录入（明细）'!C:C&gt;=$J$4,'领用录入（明细）'!C:C&lt;=$L$4),ROW(),"-")</f>
        <v>-</v>
      </c>
    </row>
    <row r="41388" customHeight="1" spans="2:2">
      <c r="B41388" s="62" t="str">
        <f>IF(AND('领用录入（明细）'!D:D=$F$4,'领用录入（明细）'!C:C&gt;=$J$4,'领用录入（明细）'!C:C&lt;=$L$4),ROW(),"-")</f>
        <v>-</v>
      </c>
    </row>
    <row r="41389" customHeight="1" spans="2:2">
      <c r="B41389" s="62" t="str">
        <f>IF(AND('领用录入（明细）'!D:D=$F$4,'领用录入（明细）'!C:C&gt;=$J$4,'领用录入（明细）'!C:C&lt;=$L$4),ROW(),"-")</f>
        <v>-</v>
      </c>
    </row>
    <row r="41390" customHeight="1" spans="2:2">
      <c r="B41390" s="62" t="str">
        <f>IF(AND('领用录入（明细）'!D:D=$F$4,'领用录入（明细）'!C:C&gt;=$J$4,'领用录入（明细）'!C:C&lt;=$L$4),ROW(),"-")</f>
        <v>-</v>
      </c>
    </row>
    <row r="41391" customHeight="1" spans="2:2">
      <c r="B41391" s="62" t="str">
        <f>IF(AND('领用录入（明细）'!D:D=$F$4,'领用录入（明细）'!C:C&gt;=$J$4,'领用录入（明细）'!C:C&lt;=$L$4),ROW(),"-")</f>
        <v>-</v>
      </c>
    </row>
    <row r="41392" customHeight="1" spans="2:2">
      <c r="B41392" s="62" t="str">
        <f>IF(AND('领用录入（明细）'!D:D=$F$4,'领用录入（明细）'!C:C&gt;=$J$4,'领用录入（明细）'!C:C&lt;=$L$4),ROW(),"-")</f>
        <v>-</v>
      </c>
    </row>
    <row r="41393" customHeight="1" spans="2:2">
      <c r="B41393" s="62" t="str">
        <f>IF(AND('领用录入（明细）'!D:D=$F$4,'领用录入（明细）'!C:C&gt;=$J$4,'领用录入（明细）'!C:C&lt;=$L$4),ROW(),"-")</f>
        <v>-</v>
      </c>
    </row>
    <row r="41394" customHeight="1" spans="2:2">
      <c r="B41394" s="62" t="str">
        <f>IF(AND('领用录入（明细）'!D:D=$F$4,'领用录入（明细）'!C:C&gt;=$J$4,'领用录入（明细）'!C:C&lt;=$L$4),ROW(),"-")</f>
        <v>-</v>
      </c>
    </row>
    <row r="41395" customHeight="1" spans="2:2">
      <c r="B41395" s="62" t="str">
        <f>IF(AND('领用录入（明细）'!D:D=$F$4,'领用录入（明细）'!C:C&gt;=$J$4,'领用录入（明细）'!C:C&lt;=$L$4),ROW(),"-")</f>
        <v>-</v>
      </c>
    </row>
    <row r="41396" customHeight="1" spans="2:2">
      <c r="B41396" s="62" t="str">
        <f>IF(AND('领用录入（明细）'!D:D=$F$4,'领用录入（明细）'!C:C&gt;=$J$4,'领用录入（明细）'!C:C&lt;=$L$4),ROW(),"-")</f>
        <v>-</v>
      </c>
    </row>
    <row r="41397" customHeight="1" spans="2:2">
      <c r="B41397" s="62" t="str">
        <f>IF(AND('领用录入（明细）'!D:D=$F$4,'领用录入（明细）'!C:C&gt;=$J$4,'领用录入（明细）'!C:C&lt;=$L$4),ROW(),"-")</f>
        <v>-</v>
      </c>
    </row>
    <row r="41398" customHeight="1" spans="2:2">
      <c r="B41398" s="62" t="str">
        <f>IF(AND('领用录入（明细）'!D:D=$F$4,'领用录入（明细）'!C:C&gt;=$J$4,'领用录入（明细）'!C:C&lt;=$L$4),ROW(),"-")</f>
        <v>-</v>
      </c>
    </row>
    <row r="41399" customHeight="1" spans="2:2">
      <c r="B41399" s="62" t="str">
        <f>IF(AND('领用录入（明细）'!D:D=$F$4,'领用录入（明细）'!C:C&gt;=$J$4,'领用录入（明细）'!C:C&lt;=$L$4),ROW(),"-")</f>
        <v>-</v>
      </c>
    </row>
    <row r="41400" customHeight="1" spans="2:2">
      <c r="B41400" s="62" t="str">
        <f>IF(AND('领用录入（明细）'!D:D=$F$4,'领用录入（明细）'!C:C&gt;=$J$4,'领用录入（明细）'!C:C&lt;=$L$4),ROW(),"-")</f>
        <v>-</v>
      </c>
    </row>
    <row r="41401" customHeight="1" spans="2:2">
      <c r="B41401" s="62" t="str">
        <f>IF(AND('领用录入（明细）'!D:D=$F$4,'领用录入（明细）'!C:C&gt;=$J$4,'领用录入（明细）'!C:C&lt;=$L$4),ROW(),"-")</f>
        <v>-</v>
      </c>
    </row>
    <row r="41402" customHeight="1" spans="2:2">
      <c r="B41402" s="62" t="str">
        <f>IF(AND('领用录入（明细）'!D:D=$F$4,'领用录入（明细）'!C:C&gt;=$J$4,'领用录入（明细）'!C:C&lt;=$L$4),ROW(),"-")</f>
        <v>-</v>
      </c>
    </row>
    <row r="41403" customHeight="1" spans="2:2">
      <c r="B41403" s="62" t="str">
        <f>IF(AND('领用录入（明细）'!D:D=$F$4,'领用录入（明细）'!C:C&gt;=$J$4,'领用录入（明细）'!C:C&lt;=$L$4),ROW(),"-")</f>
        <v>-</v>
      </c>
    </row>
    <row r="41404" customHeight="1" spans="2:2">
      <c r="B41404" s="62" t="str">
        <f>IF(AND('领用录入（明细）'!D:D=$F$4,'领用录入（明细）'!C:C&gt;=$J$4,'领用录入（明细）'!C:C&lt;=$L$4),ROW(),"-")</f>
        <v>-</v>
      </c>
    </row>
    <row r="41405" customHeight="1" spans="2:2">
      <c r="B41405" s="62" t="str">
        <f>IF(AND('领用录入（明细）'!D:D=$F$4,'领用录入（明细）'!C:C&gt;=$J$4,'领用录入（明细）'!C:C&lt;=$L$4),ROW(),"-")</f>
        <v>-</v>
      </c>
    </row>
    <row r="41406" customHeight="1" spans="2:2">
      <c r="B41406" s="62" t="str">
        <f>IF(AND('领用录入（明细）'!D:D=$F$4,'领用录入（明细）'!C:C&gt;=$J$4,'领用录入（明细）'!C:C&lt;=$L$4),ROW(),"-")</f>
        <v>-</v>
      </c>
    </row>
    <row r="41407" customHeight="1" spans="2:2">
      <c r="B41407" s="62" t="str">
        <f>IF(AND('领用录入（明细）'!D:D=$F$4,'领用录入（明细）'!C:C&gt;=$J$4,'领用录入（明细）'!C:C&lt;=$L$4),ROW(),"-")</f>
        <v>-</v>
      </c>
    </row>
    <row r="41408" customHeight="1" spans="2:2">
      <c r="B41408" s="62" t="str">
        <f>IF(AND('领用录入（明细）'!D:D=$F$4,'领用录入（明细）'!C:C&gt;=$J$4,'领用录入（明细）'!C:C&lt;=$L$4),ROW(),"-")</f>
        <v>-</v>
      </c>
    </row>
    <row r="41409" customHeight="1" spans="2:2">
      <c r="B41409" s="62" t="str">
        <f>IF(AND('领用录入（明细）'!D:D=$F$4,'领用录入（明细）'!C:C&gt;=$J$4,'领用录入（明细）'!C:C&lt;=$L$4),ROW(),"-")</f>
        <v>-</v>
      </c>
    </row>
    <row r="41410" customHeight="1" spans="2:2">
      <c r="B41410" s="62" t="str">
        <f>IF(AND('领用录入（明细）'!D:D=$F$4,'领用录入（明细）'!C:C&gt;=$J$4,'领用录入（明细）'!C:C&lt;=$L$4),ROW(),"-")</f>
        <v>-</v>
      </c>
    </row>
    <row r="41411" customHeight="1" spans="2:2">
      <c r="B41411" s="62" t="str">
        <f>IF(AND('领用录入（明细）'!D:D=$F$4,'领用录入（明细）'!C:C&gt;=$J$4,'领用录入（明细）'!C:C&lt;=$L$4),ROW(),"-")</f>
        <v>-</v>
      </c>
    </row>
    <row r="41412" customHeight="1" spans="2:2">
      <c r="B41412" s="62" t="str">
        <f>IF(AND('领用录入（明细）'!D:D=$F$4,'领用录入（明细）'!C:C&gt;=$J$4,'领用录入（明细）'!C:C&lt;=$L$4),ROW(),"-")</f>
        <v>-</v>
      </c>
    </row>
    <row r="41413" customHeight="1" spans="2:2">
      <c r="B41413" s="62" t="str">
        <f>IF(AND('领用录入（明细）'!D:D=$F$4,'领用录入（明细）'!C:C&gt;=$J$4,'领用录入（明细）'!C:C&lt;=$L$4),ROW(),"-")</f>
        <v>-</v>
      </c>
    </row>
    <row r="41414" customHeight="1" spans="2:2">
      <c r="B41414" s="62" t="str">
        <f>IF(AND('领用录入（明细）'!D:D=$F$4,'领用录入（明细）'!C:C&gt;=$J$4,'领用录入（明细）'!C:C&lt;=$L$4),ROW(),"-")</f>
        <v>-</v>
      </c>
    </row>
    <row r="41415" customHeight="1" spans="2:2">
      <c r="B41415" s="62" t="str">
        <f>IF(AND('领用录入（明细）'!D:D=$F$4,'领用录入（明细）'!C:C&gt;=$J$4,'领用录入（明细）'!C:C&lt;=$L$4),ROW(),"-")</f>
        <v>-</v>
      </c>
    </row>
    <row r="41416" customHeight="1" spans="2:2">
      <c r="B41416" s="62" t="str">
        <f>IF(AND('领用录入（明细）'!D:D=$F$4,'领用录入（明细）'!C:C&gt;=$J$4,'领用录入（明细）'!C:C&lt;=$L$4),ROW(),"-")</f>
        <v>-</v>
      </c>
    </row>
    <row r="41417" customHeight="1" spans="2:2">
      <c r="B41417" s="62" t="str">
        <f>IF(AND('领用录入（明细）'!D:D=$F$4,'领用录入（明细）'!C:C&gt;=$J$4,'领用录入（明细）'!C:C&lt;=$L$4),ROW(),"-")</f>
        <v>-</v>
      </c>
    </row>
    <row r="41418" customHeight="1" spans="2:2">
      <c r="B41418" s="62" t="str">
        <f>IF(AND('领用录入（明细）'!D:D=$F$4,'领用录入（明细）'!C:C&gt;=$J$4,'领用录入（明细）'!C:C&lt;=$L$4),ROW(),"-")</f>
        <v>-</v>
      </c>
    </row>
    <row r="41419" customHeight="1" spans="2:2">
      <c r="B41419" s="62" t="str">
        <f>IF(AND('领用录入（明细）'!D:D=$F$4,'领用录入（明细）'!C:C&gt;=$J$4,'领用录入（明细）'!C:C&lt;=$L$4),ROW(),"-")</f>
        <v>-</v>
      </c>
    </row>
    <row r="41420" customHeight="1" spans="2:2">
      <c r="B41420" s="62" t="str">
        <f>IF(AND('领用录入（明细）'!D:D=$F$4,'领用录入（明细）'!C:C&gt;=$J$4,'领用录入（明细）'!C:C&lt;=$L$4),ROW(),"-")</f>
        <v>-</v>
      </c>
    </row>
    <row r="41421" customHeight="1" spans="2:2">
      <c r="B41421" s="62" t="str">
        <f>IF(AND('领用录入（明细）'!D:D=$F$4,'领用录入（明细）'!C:C&gt;=$J$4,'领用录入（明细）'!C:C&lt;=$L$4),ROW(),"-")</f>
        <v>-</v>
      </c>
    </row>
    <row r="41422" customHeight="1" spans="2:2">
      <c r="B41422" s="62" t="str">
        <f>IF(AND('领用录入（明细）'!D:D=$F$4,'领用录入（明细）'!C:C&gt;=$J$4,'领用录入（明细）'!C:C&lt;=$L$4),ROW(),"-")</f>
        <v>-</v>
      </c>
    </row>
    <row r="41423" customHeight="1" spans="2:2">
      <c r="B41423" s="62" t="str">
        <f>IF(AND('领用录入（明细）'!D:D=$F$4,'领用录入（明细）'!C:C&gt;=$J$4,'领用录入（明细）'!C:C&lt;=$L$4),ROW(),"-")</f>
        <v>-</v>
      </c>
    </row>
    <row r="41424" customHeight="1" spans="2:2">
      <c r="B41424" s="62" t="str">
        <f>IF(AND('领用录入（明细）'!D:D=$F$4,'领用录入（明细）'!C:C&gt;=$J$4,'领用录入（明细）'!C:C&lt;=$L$4),ROW(),"-")</f>
        <v>-</v>
      </c>
    </row>
    <row r="41425" customHeight="1" spans="2:2">
      <c r="B41425" s="62" t="str">
        <f>IF(AND('领用录入（明细）'!D:D=$F$4,'领用录入（明细）'!C:C&gt;=$J$4,'领用录入（明细）'!C:C&lt;=$L$4),ROW(),"-")</f>
        <v>-</v>
      </c>
    </row>
    <row r="41426" customHeight="1" spans="2:2">
      <c r="B41426" s="62" t="str">
        <f>IF(AND('领用录入（明细）'!D:D=$F$4,'领用录入（明细）'!C:C&gt;=$J$4,'领用录入（明细）'!C:C&lt;=$L$4),ROW(),"-")</f>
        <v>-</v>
      </c>
    </row>
    <row r="41427" customHeight="1" spans="2:2">
      <c r="B41427" s="62" t="str">
        <f>IF(AND('领用录入（明细）'!D:D=$F$4,'领用录入（明细）'!C:C&gt;=$J$4,'领用录入（明细）'!C:C&lt;=$L$4),ROW(),"-")</f>
        <v>-</v>
      </c>
    </row>
    <row r="41428" customHeight="1" spans="2:2">
      <c r="B41428" s="62" t="str">
        <f>IF(AND('领用录入（明细）'!D:D=$F$4,'领用录入（明细）'!C:C&gt;=$J$4,'领用录入（明细）'!C:C&lt;=$L$4),ROW(),"-")</f>
        <v>-</v>
      </c>
    </row>
    <row r="41429" customHeight="1" spans="2:2">
      <c r="B41429" s="62" t="str">
        <f>IF(AND('领用录入（明细）'!D:D=$F$4,'领用录入（明细）'!C:C&gt;=$J$4,'领用录入（明细）'!C:C&lt;=$L$4),ROW(),"-")</f>
        <v>-</v>
      </c>
    </row>
    <row r="41430" customHeight="1" spans="2:2">
      <c r="B41430" s="62" t="str">
        <f>IF(AND('领用录入（明细）'!D:D=$F$4,'领用录入（明细）'!C:C&gt;=$J$4,'领用录入（明细）'!C:C&lt;=$L$4),ROW(),"-")</f>
        <v>-</v>
      </c>
    </row>
    <row r="41431" customHeight="1" spans="2:2">
      <c r="B41431" s="62" t="str">
        <f>IF(AND('领用录入（明细）'!D:D=$F$4,'领用录入（明细）'!C:C&gt;=$J$4,'领用录入（明细）'!C:C&lt;=$L$4),ROW(),"-")</f>
        <v>-</v>
      </c>
    </row>
    <row r="41432" customHeight="1" spans="2:2">
      <c r="B41432" s="62" t="str">
        <f>IF(AND('领用录入（明细）'!D:D=$F$4,'领用录入（明细）'!C:C&gt;=$J$4,'领用录入（明细）'!C:C&lt;=$L$4),ROW(),"-")</f>
        <v>-</v>
      </c>
    </row>
    <row r="41433" customHeight="1" spans="2:2">
      <c r="B41433" s="62" t="str">
        <f>IF(AND('领用录入（明细）'!D:D=$F$4,'领用录入（明细）'!C:C&gt;=$J$4,'领用录入（明细）'!C:C&lt;=$L$4),ROW(),"-")</f>
        <v>-</v>
      </c>
    </row>
    <row r="41434" customHeight="1" spans="2:2">
      <c r="B41434" s="62" t="str">
        <f>IF(AND('领用录入（明细）'!D:D=$F$4,'领用录入（明细）'!C:C&gt;=$J$4,'领用录入（明细）'!C:C&lt;=$L$4),ROW(),"-")</f>
        <v>-</v>
      </c>
    </row>
    <row r="41435" customHeight="1" spans="2:2">
      <c r="B41435" s="62" t="str">
        <f>IF(AND('领用录入（明细）'!D:D=$F$4,'领用录入（明细）'!C:C&gt;=$J$4,'领用录入（明细）'!C:C&lt;=$L$4),ROW(),"-")</f>
        <v>-</v>
      </c>
    </row>
    <row r="41436" customHeight="1" spans="2:2">
      <c r="B41436" s="62" t="str">
        <f>IF(AND('领用录入（明细）'!D:D=$F$4,'领用录入（明细）'!C:C&gt;=$J$4,'领用录入（明细）'!C:C&lt;=$L$4),ROW(),"-")</f>
        <v>-</v>
      </c>
    </row>
    <row r="41437" customHeight="1" spans="2:2">
      <c r="B41437" s="62" t="str">
        <f>IF(AND('领用录入（明细）'!D:D=$F$4,'领用录入（明细）'!C:C&gt;=$J$4,'领用录入（明细）'!C:C&lt;=$L$4),ROW(),"-")</f>
        <v>-</v>
      </c>
    </row>
    <row r="41438" customHeight="1" spans="2:2">
      <c r="B41438" s="62" t="str">
        <f>IF(AND('领用录入（明细）'!D:D=$F$4,'领用录入（明细）'!C:C&gt;=$J$4,'领用录入（明细）'!C:C&lt;=$L$4),ROW(),"-")</f>
        <v>-</v>
      </c>
    </row>
    <row r="41439" customHeight="1" spans="2:2">
      <c r="B41439" s="62" t="str">
        <f>IF(AND('领用录入（明细）'!D:D=$F$4,'领用录入（明细）'!C:C&gt;=$J$4,'领用录入（明细）'!C:C&lt;=$L$4),ROW(),"-")</f>
        <v>-</v>
      </c>
    </row>
    <row r="41440" customHeight="1" spans="2:2">
      <c r="B41440" s="62" t="str">
        <f>IF(AND('领用录入（明细）'!D:D=$F$4,'领用录入（明细）'!C:C&gt;=$J$4,'领用录入（明细）'!C:C&lt;=$L$4),ROW(),"-")</f>
        <v>-</v>
      </c>
    </row>
    <row r="41441" customHeight="1" spans="2:2">
      <c r="B41441" s="62" t="str">
        <f>IF(AND('领用录入（明细）'!D:D=$F$4,'领用录入（明细）'!C:C&gt;=$J$4,'领用录入（明细）'!C:C&lt;=$L$4),ROW(),"-")</f>
        <v>-</v>
      </c>
    </row>
    <row r="41442" customHeight="1" spans="2:2">
      <c r="B41442" s="62" t="str">
        <f>IF(AND('领用录入（明细）'!D:D=$F$4,'领用录入（明细）'!C:C&gt;=$J$4,'领用录入（明细）'!C:C&lt;=$L$4),ROW(),"-")</f>
        <v>-</v>
      </c>
    </row>
    <row r="41443" customHeight="1" spans="2:2">
      <c r="B41443" s="62" t="str">
        <f>IF(AND('领用录入（明细）'!D:D=$F$4,'领用录入（明细）'!C:C&gt;=$J$4,'领用录入（明细）'!C:C&lt;=$L$4),ROW(),"-")</f>
        <v>-</v>
      </c>
    </row>
    <row r="41444" customHeight="1" spans="2:2">
      <c r="B41444" s="62" t="str">
        <f>IF(AND('领用录入（明细）'!D:D=$F$4,'领用录入（明细）'!C:C&gt;=$J$4,'领用录入（明细）'!C:C&lt;=$L$4),ROW(),"-")</f>
        <v>-</v>
      </c>
    </row>
    <row r="41445" customHeight="1" spans="2:2">
      <c r="B41445" s="62" t="str">
        <f>IF(AND('领用录入（明细）'!D:D=$F$4,'领用录入（明细）'!C:C&gt;=$J$4,'领用录入（明细）'!C:C&lt;=$L$4),ROW(),"-")</f>
        <v>-</v>
      </c>
    </row>
    <row r="41446" customHeight="1" spans="2:2">
      <c r="B41446" s="62" t="str">
        <f>IF(AND('领用录入（明细）'!D:D=$F$4,'领用录入（明细）'!C:C&gt;=$J$4,'领用录入（明细）'!C:C&lt;=$L$4),ROW(),"-")</f>
        <v>-</v>
      </c>
    </row>
    <row r="41447" customHeight="1" spans="2:2">
      <c r="B41447" s="62" t="str">
        <f>IF(AND('领用录入（明细）'!D:D=$F$4,'领用录入（明细）'!C:C&gt;=$J$4,'领用录入（明细）'!C:C&lt;=$L$4),ROW(),"-")</f>
        <v>-</v>
      </c>
    </row>
    <row r="41448" customHeight="1" spans="2:2">
      <c r="B41448" s="62" t="str">
        <f>IF(AND('领用录入（明细）'!D:D=$F$4,'领用录入（明细）'!C:C&gt;=$J$4,'领用录入（明细）'!C:C&lt;=$L$4),ROW(),"-")</f>
        <v>-</v>
      </c>
    </row>
    <row r="41449" customHeight="1" spans="2:2">
      <c r="B41449" s="62" t="str">
        <f>IF(AND('领用录入（明细）'!D:D=$F$4,'领用录入（明细）'!C:C&gt;=$J$4,'领用录入（明细）'!C:C&lt;=$L$4),ROW(),"-")</f>
        <v>-</v>
      </c>
    </row>
    <row r="41450" customHeight="1" spans="2:2">
      <c r="B41450" s="62" t="str">
        <f>IF(AND('领用录入（明细）'!D:D=$F$4,'领用录入（明细）'!C:C&gt;=$J$4,'领用录入（明细）'!C:C&lt;=$L$4),ROW(),"-")</f>
        <v>-</v>
      </c>
    </row>
    <row r="41451" customHeight="1" spans="2:2">
      <c r="B41451" s="62" t="str">
        <f>IF(AND('领用录入（明细）'!D:D=$F$4,'领用录入（明细）'!C:C&gt;=$J$4,'领用录入（明细）'!C:C&lt;=$L$4),ROW(),"-")</f>
        <v>-</v>
      </c>
    </row>
    <row r="41452" customHeight="1" spans="2:2">
      <c r="B41452" s="62" t="str">
        <f>IF(AND('领用录入（明细）'!D:D=$F$4,'领用录入（明细）'!C:C&gt;=$J$4,'领用录入（明细）'!C:C&lt;=$L$4),ROW(),"-")</f>
        <v>-</v>
      </c>
    </row>
    <row r="41453" customHeight="1" spans="2:2">
      <c r="B41453" s="62" t="str">
        <f>IF(AND('领用录入（明细）'!D:D=$F$4,'领用录入（明细）'!C:C&gt;=$J$4,'领用录入（明细）'!C:C&lt;=$L$4),ROW(),"-")</f>
        <v>-</v>
      </c>
    </row>
    <row r="41454" customHeight="1" spans="2:2">
      <c r="B41454" s="62" t="str">
        <f>IF(AND('领用录入（明细）'!D:D=$F$4,'领用录入（明细）'!C:C&gt;=$J$4,'领用录入（明细）'!C:C&lt;=$L$4),ROW(),"-")</f>
        <v>-</v>
      </c>
    </row>
    <row r="41455" customHeight="1" spans="2:2">
      <c r="B41455" s="62" t="str">
        <f>IF(AND('领用录入（明细）'!D:D=$F$4,'领用录入（明细）'!C:C&gt;=$J$4,'领用录入（明细）'!C:C&lt;=$L$4),ROW(),"-")</f>
        <v>-</v>
      </c>
    </row>
    <row r="41456" customHeight="1" spans="2:2">
      <c r="B41456" s="62" t="str">
        <f>IF(AND('领用录入（明细）'!D:D=$F$4,'领用录入（明细）'!C:C&gt;=$J$4,'领用录入（明细）'!C:C&lt;=$L$4),ROW(),"-")</f>
        <v>-</v>
      </c>
    </row>
    <row r="41457" customHeight="1" spans="2:2">
      <c r="B41457" s="62" t="str">
        <f>IF(AND('领用录入（明细）'!D:D=$F$4,'领用录入（明细）'!C:C&gt;=$J$4,'领用录入（明细）'!C:C&lt;=$L$4),ROW(),"-")</f>
        <v>-</v>
      </c>
    </row>
    <row r="41458" customHeight="1" spans="2:2">
      <c r="B41458" s="62" t="str">
        <f>IF(AND('领用录入（明细）'!D:D=$F$4,'领用录入（明细）'!C:C&gt;=$J$4,'领用录入（明细）'!C:C&lt;=$L$4),ROW(),"-")</f>
        <v>-</v>
      </c>
    </row>
    <row r="41459" customHeight="1" spans="2:2">
      <c r="B41459" s="62" t="str">
        <f>IF(AND('领用录入（明细）'!D:D=$F$4,'领用录入（明细）'!C:C&gt;=$J$4,'领用录入（明细）'!C:C&lt;=$L$4),ROW(),"-")</f>
        <v>-</v>
      </c>
    </row>
    <row r="41460" customHeight="1" spans="2:2">
      <c r="B41460" s="62" t="str">
        <f>IF(AND('领用录入（明细）'!D:D=$F$4,'领用录入（明细）'!C:C&gt;=$J$4,'领用录入（明细）'!C:C&lt;=$L$4),ROW(),"-")</f>
        <v>-</v>
      </c>
    </row>
    <row r="41461" customHeight="1" spans="2:2">
      <c r="B41461" s="62" t="str">
        <f>IF(AND('领用录入（明细）'!D:D=$F$4,'领用录入（明细）'!C:C&gt;=$J$4,'领用录入（明细）'!C:C&lt;=$L$4),ROW(),"-")</f>
        <v>-</v>
      </c>
    </row>
    <row r="41462" customHeight="1" spans="2:2">
      <c r="B41462" s="62" t="str">
        <f>IF(AND('领用录入（明细）'!D:D=$F$4,'领用录入（明细）'!C:C&gt;=$J$4,'领用录入（明细）'!C:C&lt;=$L$4),ROW(),"-")</f>
        <v>-</v>
      </c>
    </row>
    <row r="41463" customHeight="1" spans="2:2">
      <c r="B41463" s="62" t="str">
        <f>IF(AND('领用录入（明细）'!D:D=$F$4,'领用录入（明细）'!C:C&gt;=$J$4,'领用录入（明细）'!C:C&lt;=$L$4),ROW(),"-")</f>
        <v>-</v>
      </c>
    </row>
    <row r="41464" customHeight="1" spans="2:2">
      <c r="B41464" s="62" t="str">
        <f>IF(AND('领用录入（明细）'!D:D=$F$4,'领用录入（明细）'!C:C&gt;=$J$4,'领用录入（明细）'!C:C&lt;=$L$4),ROW(),"-")</f>
        <v>-</v>
      </c>
    </row>
    <row r="41465" customHeight="1" spans="2:2">
      <c r="B41465" s="62" t="str">
        <f>IF(AND('领用录入（明细）'!D:D=$F$4,'领用录入（明细）'!C:C&gt;=$J$4,'领用录入（明细）'!C:C&lt;=$L$4),ROW(),"-")</f>
        <v>-</v>
      </c>
    </row>
    <row r="41466" customHeight="1" spans="2:2">
      <c r="B41466" s="62" t="str">
        <f>IF(AND('领用录入（明细）'!D:D=$F$4,'领用录入（明细）'!C:C&gt;=$J$4,'领用录入（明细）'!C:C&lt;=$L$4),ROW(),"-")</f>
        <v>-</v>
      </c>
    </row>
    <row r="41467" customHeight="1" spans="2:2">
      <c r="B41467" s="62" t="str">
        <f>IF(AND('领用录入（明细）'!D:D=$F$4,'领用录入（明细）'!C:C&gt;=$J$4,'领用录入（明细）'!C:C&lt;=$L$4),ROW(),"-")</f>
        <v>-</v>
      </c>
    </row>
    <row r="41468" customHeight="1" spans="2:2">
      <c r="B41468" s="62" t="str">
        <f>IF(AND('领用录入（明细）'!D:D=$F$4,'领用录入（明细）'!C:C&gt;=$J$4,'领用录入（明细）'!C:C&lt;=$L$4),ROW(),"-")</f>
        <v>-</v>
      </c>
    </row>
    <row r="41469" customHeight="1" spans="2:2">
      <c r="B41469" s="62" t="str">
        <f>IF(AND('领用录入（明细）'!D:D=$F$4,'领用录入（明细）'!C:C&gt;=$J$4,'领用录入（明细）'!C:C&lt;=$L$4),ROW(),"-")</f>
        <v>-</v>
      </c>
    </row>
    <row r="41470" customHeight="1" spans="2:2">
      <c r="B41470" s="62" t="str">
        <f>IF(AND('领用录入（明细）'!D:D=$F$4,'领用录入（明细）'!C:C&gt;=$J$4,'领用录入（明细）'!C:C&lt;=$L$4),ROW(),"-")</f>
        <v>-</v>
      </c>
    </row>
    <row r="41471" customHeight="1" spans="2:2">
      <c r="B41471" s="62" t="str">
        <f>IF(AND('领用录入（明细）'!D:D=$F$4,'领用录入（明细）'!C:C&gt;=$J$4,'领用录入（明细）'!C:C&lt;=$L$4),ROW(),"-")</f>
        <v>-</v>
      </c>
    </row>
    <row r="41472" customHeight="1" spans="2:2">
      <c r="B41472" s="62" t="str">
        <f>IF(AND('领用录入（明细）'!D:D=$F$4,'领用录入（明细）'!C:C&gt;=$J$4,'领用录入（明细）'!C:C&lt;=$L$4),ROW(),"-")</f>
        <v>-</v>
      </c>
    </row>
    <row r="41473" customHeight="1" spans="2:2">
      <c r="B41473" s="62" t="str">
        <f>IF(AND('领用录入（明细）'!D:D=$F$4,'领用录入（明细）'!C:C&gt;=$J$4,'领用录入（明细）'!C:C&lt;=$L$4),ROW(),"-")</f>
        <v>-</v>
      </c>
    </row>
    <row r="41474" customHeight="1" spans="2:2">
      <c r="B41474" s="62" t="str">
        <f>IF(AND('领用录入（明细）'!D:D=$F$4,'领用录入（明细）'!C:C&gt;=$J$4,'领用录入（明细）'!C:C&lt;=$L$4),ROW(),"-")</f>
        <v>-</v>
      </c>
    </row>
    <row r="41475" customHeight="1" spans="2:2">
      <c r="B41475" s="62" t="str">
        <f>IF(AND('领用录入（明细）'!D:D=$F$4,'领用录入（明细）'!C:C&gt;=$J$4,'领用录入（明细）'!C:C&lt;=$L$4),ROW(),"-")</f>
        <v>-</v>
      </c>
    </row>
    <row r="41476" customHeight="1" spans="2:2">
      <c r="B41476" s="62" t="str">
        <f>IF(AND('领用录入（明细）'!D:D=$F$4,'领用录入（明细）'!C:C&gt;=$J$4,'领用录入（明细）'!C:C&lt;=$L$4),ROW(),"-")</f>
        <v>-</v>
      </c>
    </row>
    <row r="41477" customHeight="1" spans="2:2">
      <c r="B41477" s="62" t="str">
        <f>IF(AND('领用录入（明细）'!D:D=$F$4,'领用录入（明细）'!C:C&gt;=$J$4,'领用录入（明细）'!C:C&lt;=$L$4),ROW(),"-")</f>
        <v>-</v>
      </c>
    </row>
    <row r="41478" customHeight="1" spans="2:2">
      <c r="B41478" s="62" t="str">
        <f>IF(AND('领用录入（明细）'!D:D=$F$4,'领用录入（明细）'!C:C&gt;=$J$4,'领用录入（明细）'!C:C&lt;=$L$4),ROW(),"-")</f>
        <v>-</v>
      </c>
    </row>
    <row r="41479" customHeight="1" spans="2:2">
      <c r="B41479" s="62" t="str">
        <f>IF(AND('领用录入（明细）'!D:D=$F$4,'领用录入（明细）'!C:C&gt;=$J$4,'领用录入（明细）'!C:C&lt;=$L$4),ROW(),"-")</f>
        <v>-</v>
      </c>
    </row>
    <row r="41480" customHeight="1" spans="2:2">
      <c r="B41480" s="62" t="str">
        <f>IF(AND('领用录入（明细）'!D:D=$F$4,'领用录入（明细）'!C:C&gt;=$J$4,'领用录入（明细）'!C:C&lt;=$L$4),ROW(),"-")</f>
        <v>-</v>
      </c>
    </row>
    <row r="41481" customHeight="1" spans="2:2">
      <c r="B41481" s="62" t="str">
        <f>IF(AND('领用录入（明细）'!D:D=$F$4,'领用录入（明细）'!C:C&gt;=$J$4,'领用录入（明细）'!C:C&lt;=$L$4),ROW(),"-")</f>
        <v>-</v>
      </c>
    </row>
    <row r="41482" customHeight="1" spans="2:2">
      <c r="B41482" s="62" t="str">
        <f>IF(AND('领用录入（明细）'!D:D=$F$4,'领用录入（明细）'!C:C&gt;=$J$4,'领用录入（明细）'!C:C&lt;=$L$4),ROW(),"-")</f>
        <v>-</v>
      </c>
    </row>
    <row r="41483" customHeight="1" spans="2:2">
      <c r="B41483" s="62" t="str">
        <f>IF(AND('领用录入（明细）'!D:D=$F$4,'领用录入（明细）'!C:C&gt;=$J$4,'领用录入（明细）'!C:C&lt;=$L$4),ROW(),"-")</f>
        <v>-</v>
      </c>
    </row>
    <row r="41484" customHeight="1" spans="2:2">
      <c r="B41484" s="62" t="str">
        <f>IF(AND('领用录入（明细）'!D:D=$F$4,'领用录入（明细）'!C:C&gt;=$J$4,'领用录入（明细）'!C:C&lt;=$L$4),ROW(),"-")</f>
        <v>-</v>
      </c>
    </row>
    <row r="41485" customHeight="1" spans="2:2">
      <c r="B41485" s="62" t="str">
        <f>IF(AND('领用录入（明细）'!D:D=$F$4,'领用录入（明细）'!C:C&gt;=$J$4,'领用录入（明细）'!C:C&lt;=$L$4),ROW(),"-")</f>
        <v>-</v>
      </c>
    </row>
    <row r="41486" customHeight="1" spans="2:2">
      <c r="B41486" s="62" t="str">
        <f>IF(AND('领用录入（明细）'!D:D=$F$4,'领用录入（明细）'!C:C&gt;=$J$4,'领用录入（明细）'!C:C&lt;=$L$4),ROW(),"-")</f>
        <v>-</v>
      </c>
    </row>
    <row r="41487" customHeight="1" spans="2:2">
      <c r="B41487" s="62" t="str">
        <f>IF(AND('领用录入（明细）'!D:D=$F$4,'领用录入（明细）'!C:C&gt;=$J$4,'领用录入（明细）'!C:C&lt;=$L$4),ROW(),"-")</f>
        <v>-</v>
      </c>
    </row>
    <row r="41488" customHeight="1" spans="2:2">
      <c r="B41488" s="62" t="str">
        <f>IF(AND('领用录入（明细）'!D:D=$F$4,'领用录入（明细）'!C:C&gt;=$J$4,'领用录入（明细）'!C:C&lt;=$L$4),ROW(),"-")</f>
        <v>-</v>
      </c>
    </row>
    <row r="41489" customHeight="1" spans="2:2">
      <c r="B41489" s="62" t="str">
        <f>IF(AND('领用录入（明细）'!D:D=$F$4,'领用录入（明细）'!C:C&gt;=$J$4,'领用录入（明细）'!C:C&lt;=$L$4),ROW(),"-")</f>
        <v>-</v>
      </c>
    </row>
    <row r="41490" customHeight="1" spans="2:2">
      <c r="B41490" s="62" t="str">
        <f>IF(AND('领用录入（明细）'!D:D=$F$4,'领用录入（明细）'!C:C&gt;=$J$4,'领用录入（明细）'!C:C&lt;=$L$4),ROW(),"-")</f>
        <v>-</v>
      </c>
    </row>
    <row r="41491" customHeight="1" spans="2:2">
      <c r="B41491" s="62" t="str">
        <f>IF(AND('领用录入（明细）'!D:D=$F$4,'领用录入（明细）'!C:C&gt;=$J$4,'领用录入（明细）'!C:C&lt;=$L$4),ROW(),"-")</f>
        <v>-</v>
      </c>
    </row>
    <row r="41492" customHeight="1" spans="2:2">
      <c r="B41492" s="62" t="str">
        <f>IF(AND('领用录入（明细）'!D:D=$F$4,'领用录入（明细）'!C:C&gt;=$J$4,'领用录入（明细）'!C:C&lt;=$L$4),ROW(),"-")</f>
        <v>-</v>
      </c>
    </row>
    <row r="41493" customHeight="1" spans="2:2">
      <c r="B41493" s="62" t="str">
        <f>IF(AND('领用录入（明细）'!D:D=$F$4,'领用录入（明细）'!C:C&gt;=$J$4,'领用录入（明细）'!C:C&lt;=$L$4),ROW(),"-")</f>
        <v>-</v>
      </c>
    </row>
    <row r="41494" customHeight="1" spans="2:2">
      <c r="B41494" s="62" t="str">
        <f>IF(AND('领用录入（明细）'!D:D=$F$4,'领用录入（明细）'!C:C&gt;=$J$4,'领用录入（明细）'!C:C&lt;=$L$4),ROW(),"-")</f>
        <v>-</v>
      </c>
    </row>
    <row r="41495" customHeight="1" spans="2:2">
      <c r="B41495" s="62" t="str">
        <f>IF(AND('领用录入（明细）'!D:D=$F$4,'领用录入（明细）'!C:C&gt;=$J$4,'领用录入（明细）'!C:C&lt;=$L$4),ROW(),"-")</f>
        <v>-</v>
      </c>
    </row>
    <row r="41496" customHeight="1" spans="2:2">
      <c r="B41496" s="62" t="str">
        <f>IF(AND('领用录入（明细）'!D:D=$F$4,'领用录入（明细）'!C:C&gt;=$J$4,'领用录入（明细）'!C:C&lt;=$L$4),ROW(),"-")</f>
        <v>-</v>
      </c>
    </row>
    <row r="41497" customHeight="1" spans="2:2">
      <c r="B41497" s="62" t="str">
        <f>IF(AND('领用录入（明细）'!D:D=$F$4,'领用录入（明细）'!C:C&gt;=$J$4,'领用录入（明细）'!C:C&lt;=$L$4),ROW(),"-")</f>
        <v>-</v>
      </c>
    </row>
    <row r="41498" customHeight="1" spans="2:2">
      <c r="B41498" s="62" t="str">
        <f>IF(AND('领用录入（明细）'!D:D=$F$4,'领用录入（明细）'!C:C&gt;=$J$4,'领用录入（明细）'!C:C&lt;=$L$4),ROW(),"-")</f>
        <v>-</v>
      </c>
    </row>
    <row r="41499" customHeight="1" spans="2:2">
      <c r="B41499" s="62" t="str">
        <f>IF(AND('领用录入（明细）'!D:D=$F$4,'领用录入（明细）'!C:C&gt;=$J$4,'领用录入（明细）'!C:C&lt;=$L$4),ROW(),"-")</f>
        <v>-</v>
      </c>
    </row>
    <row r="41500" customHeight="1" spans="2:2">
      <c r="B41500" s="62" t="str">
        <f>IF(AND('领用录入（明细）'!D:D=$F$4,'领用录入（明细）'!C:C&gt;=$J$4,'领用录入（明细）'!C:C&lt;=$L$4),ROW(),"-")</f>
        <v>-</v>
      </c>
    </row>
    <row r="41501" customHeight="1" spans="2:2">
      <c r="B41501" s="62" t="str">
        <f>IF(AND('领用录入（明细）'!D:D=$F$4,'领用录入（明细）'!C:C&gt;=$J$4,'领用录入（明细）'!C:C&lt;=$L$4),ROW(),"-")</f>
        <v>-</v>
      </c>
    </row>
    <row r="41502" customHeight="1" spans="2:2">
      <c r="B41502" s="62" t="str">
        <f>IF(AND('领用录入（明细）'!D:D=$F$4,'领用录入（明细）'!C:C&gt;=$J$4,'领用录入（明细）'!C:C&lt;=$L$4),ROW(),"-")</f>
        <v>-</v>
      </c>
    </row>
    <row r="41503" customHeight="1" spans="2:2">
      <c r="B41503" s="62" t="str">
        <f>IF(AND('领用录入（明细）'!D:D=$F$4,'领用录入（明细）'!C:C&gt;=$J$4,'领用录入（明细）'!C:C&lt;=$L$4),ROW(),"-")</f>
        <v>-</v>
      </c>
    </row>
    <row r="41504" customHeight="1" spans="2:2">
      <c r="B41504" s="62" t="str">
        <f>IF(AND('领用录入（明细）'!D:D=$F$4,'领用录入（明细）'!C:C&gt;=$J$4,'领用录入（明细）'!C:C&lt;=$L$4),ROW(),"-")</f>
        <v>-</v>
      </c>
    </row>
    <row r="41505" customHeight="1" spans="2:2">
      <c r="B41505" s="62" t="str">
        <f>IF(AND('领用录入（明细）'!D:D=$F$4,'领用录入（明细）'!C:C&gt;=$J$4,'领用录入（明细）'!C:C&lt;=$L$4),ROW(),"-")</f>
        <v>-</v>
      </c>
    </row>
    <row r="41506" customHeight="1" spans="2:2">
      <c r="B41506" s="62" t="str">
        <f>IF(AND('领用录入（明细）'!D:D=$F$4,'领用录入（明细）'!C:C&gt;=$J$4,'领用录入（明细）'!C:C&lt;=$L$4),ROW(),"-")</f>
        <v>-</v>
      </c>
    </row>
    <row r="41507" customHeight="1" spans="2:2">
      <c r="B41507" s="62" t="str">
        <f>IF(AND('领用录入（明细）'!D:D=$F$4,'领用录入（明细）'!C:C&gt;=$J$4,'领用录入（明细）'!C:C&lt;=$L$4),ROW(),"-")</f>
        <v>-</v>
      </c>
    </row>
    <row r="41508" customHeight="1" spans="2:2">
      <c r="B41508" s="62" t="str">
        <f>IF(AND('领用录入（明细）'!D:D=$F$4,'领用录入（明细）'!C:C&gt;=$J$4,'领用录入（明细）'!C:C&lt;=$L$4),ROW(),"-")</f>
        <v>-</v>
      </c>
    </row>
    <row r="41509" customHeight="1" spans="2:2">
      <c r="B41509" s="62" t="str">
        <f>IF(AND('领用录入（明细）'!D:D=$F$4,'领用录入（明细）'!C:C&gt;=$J$4,'领用录入（明细）'!C:C&lt;=$L$4),ROW(),"-")</f>
        <v>-</v>
      </c>
    </row>
    <row r="41510" customHeight="1" spans="2:2">
      <c r="B41510" s="62" t="str">
        <f>IF(AND('领用录入（明细）'!D:D=$F$4,'领用录入（明细）'!C:C&gt;=$J$4,'领用录入（明细）'!C:C&lt;=$L$4),ROW(),"-")</f>
        <v>-</v>
      </c>
    </row>
    <row r="41511" customHeight="1" spans="2:2">
      <c r="B41511" s="62" t="str">
        <f>IF(AND('领用录入（明细）'!D:D=$F$4,'领用录入（明细）'!C:C&gt;=$J$4,'领用录入（明细）'!C:C&lt;=$L$4),ROW(),"-")</f>
        <v>-</v>
      </c>
    </row>
    <row r="41512" customHeight="1" spans="2:2">
      <c r="B41512" s="62" t="str">
        <f>IF(AND('领用录入（明细）'!D:D=$F$4,'领用录入（明细）'!C:C&gt;=$J$4,'领用录入（明细）'!C:C&lt;=$L$4),ROW(),"-")</f>
        <v>-</v>
      </c>
    </row>
    <row r="41513" customHeight="1" spans="2:2">
      <c r="B41513" s="62" t="str">
        <f>IF(AND('领用录入（明细）'!D:D=$F$4,'领用录入（明细）'!C:C&gt;=$J$4,'领用录入（明细）'!C:C&lt;=$L$4),ROW(),"-")</f>
        <v>-</v>
      </c>
    </row>
    <row r="41514" customHeight="1" spans="2:2">
      <c r="B41514" s="62" t="str">
        <f>IF(AND('领用录入（明细）'!D:D=$F$4,'领用录入（明细）'!C:C&gt;=$J$4,'领用录入（明细）'!C:C&lt;=$L$4),ROW(),"-")</f>
        <v>-</v>
      </c>
    </row>
    <row r="41515" customHeight="1" spans="2:2">
      <c r="B41515" s="62" t="str">
        <f>IF(AND('领用录入（明细）'!D:D=$F$4,'领用录入（明细）'!C:C&gt;=$J$4,'领用录入（明细）'!C:C&lt;=$L$4),ROW(),"-")</f>
        <v>-</v>
      </c>
    </row>
    <row r="41516" customHeight="1" spans="2:2">
      <c r="B41516" s="62" t="str">
        <f>IF(AND('领用录入（明细）'!D:D=$F$4,'领用录入（明细）'!C:C&gt;=$J$4,'领用录入（明细）'!C:C&lt;=$L$4),ROW(),"-")</f>
        <v>-</v>
      </c>
    </row>
    <row r="41517" customHeight="1" spans="2:2">
      <c r="B41517" s="62" t="str">
        <f>IF(AND('领用录入（明细）'!D:D=$F$4,'领用录入（明细）'!C:C&gt;=$J$4,'领用录入（明细）'!C:C&lt;=$L$4),ROW(),"-")</f>
        <v>-</v>
      </c>
    </row>
    <row r="41518" customHeight="1" spans="2:2">
      <c r="B41518" s="62" t="str">
        <f>IF(AND('领用录入（明细）'!D:D=$F$4,'领用录入（明细）'!C:C&gt;=$J$4,'领用录入（明细）'!C:C&lt;=$L$4),ROW(),"-")</f>
        <v>-</v>
      </c>
    </row>
    <row r="41519" customHeight="1" spans="2:2">
      <c r="B41519" s="62" t="str">
        <f>IF(AND('领用录入（明细）'!D:D=$F$4,'领用录入（明细）'!C:C&gt;=$J$4,'领用录入（明细）'!C:C&lt;=$L$4),ROW(),"-")</f>
        <v>-</v>
      </c>
    </row>
    <row r="41520" customHeight="1" spans="2:2">
      <c r="B41520" s="62" t="str">
        <f>IF(AND('领用录入（明细）'!D:D=$F$4,'领用录入（明细）'!C:C&gt;=$J$4,'领用录入（明细）'!C:C&lt;=$L$4),ROW(),"-")</f>
        <v>-</v>
      </c>
    </row>
    <row r="41521" customHeight="1" spans="2:2">
      <c r="B41521" s="62" t="str">
        <f>IF(AND('领用录入（明细）'!D:D=$F$4,'领用录入（明细）'!C:C&gt;=$J$4,'领用录入（明细）'!C:C&lt;=$L$4),ROW(),"-")</f>
        <v>-</v>
      </c>
    </row>
    <row r="41522" customHeight="1" spans="2:2">
      <c r="B41522" s="62" t="str">
        <f>IF(AND('领用录入（明细）'!D:D=$F$4,'领用录入（明细）'!C:C&gt;=$J$4,'领用录入（明细）'!C:C&lt;=$L$4),ROW(),"-")</f>
        <v>-</v>
      </c>
    </row>
    <row r="41523" customHeight="1" spans="2:2">
      <c r="B41523" s="62" t="str">
        <f>IF(AND('领用录入（明细）'!D:D=$F$4,'领用录入（明细）'!C:C&gt;=$J$4,'领用录入（明细）'!C:C&lt;=$L$4),ROW(),"-")</f>
        <v>-</v>
      </c>
    </row>
    <row r="41524" customHeight="1" spans="2:2">
      <c r="B41524" s="62" t="str">
        <f>IF(AND('领用录入（明细）'!D:D=$F$4,'领用录入（明细）'!C:C&gt;=$J$4,'领用录入（明细）'!C:C&lt;=$L$4),ROW(),"-")</f>
        <v>-</v>
      </c>
    </row>
    <row r="41525" customHeight="1" spans="2:2">
      <c r="B41525" s="62" t="str">
        <f>IF(AND('领用录入（明细）'!D:D=$F$4,'领用录入（明细）'!C:C&gt;=$J$4,'领用录入（明细）'!C:C&lt;=$L$4),ROW(),"-")</f>
        <v>-</v>
      </c>
    </row>
    <row r="41526" customHeight="1" spans="2:2">
      <c r="B41526" s="62" t="str">
        <f>IF(AND('领用录入（明细）'!D:D=$F$4,'领用录入（明细）'!C:C&gt;=$J$4,'领用录入（明细）'!C:C&lt;=$L$4),ROW(),"-")</f>
        <v>-</v>
      </c>
    </row>
    <row r="41527" customHeight="1" spans="2:2">
      <c r="B41527" s="62" t="str">
        <f>IF(AND('领用录入（明细）'!D:D=$F$4,'领用录入（明细）'!C:C&gt;=$J$4,'领用录入（明细）'!C:C&lt;=$L$4),ROW(),"-")</f>
        <v>-</v>
      </c>
    </row>
    <row r="41528" customHeight="1" spans="2:2">
      <c r="B41528" s="62" t="str">
        <f>IF(AND('领用录入（明细）'!D:D=$F$4,'领用录入（明细）'!C:C&gt;=$J$4,'领用录入（明细）'!C:C&lt;=$L$4),ROW(),"-")</f>
        <v>-</v>
      </c>
    </row>
    <row r="41529" customHeight="1" spans="2:2">
      <c r="B41529" s="62" t="str">
        <f>IF(AND('领用录入（明细）'!D:D=$F$4,'领用录入（明细）'!C:C&gt;=$J$4,'领用录入（明细）'!C:C&lt;=$L$4),ROW(),"-")</f>
        <v>-</v>
      </c>
    </row>
    <row r="41530" customHeight="1" spans="2:2">
      <c r="B41530" s="62" t="str">
        <f>IF(AND('领用录入（明细）'!D:D=$F$4,'领用录入（明细）'!C:C&gt;=$J$4,'领用录入（明细）'!C:C&lt;=$L$4),ROW(),"-")</f>
        <v>-</v>
      </c>
    </row>
    <row r="41531" customHeight="1" spans="2:2">
      <c r="B41531" s="62" t="str">
        <f>IF(AND('领用录入（明细）'!D:D=$F$4,'领用录入（明细）'!C:C&gt;=$J$4,'领用录入（明细）'!C:C&lt;=$L$4),ROW(),"-")</f>
        <v>-</v>
      </c>
    </row>
    <row r="41532" customHeight="1" spans="2:2">
      <c r="B41532" s="62" t="str">
        <f>IF(AND('领用录入（明细）'!D:D=$F$4,'领用录入（明细）'!C:C&gt;=$J$4,'领用录入（明细）'!C:C&lt;=$L$4),ROW(),"-")</f>
        <v>-</v>
      </c>
    </row>
    <row r="41533" customHeight="1" spans="2:2">
      <c r="B41533" s="62" t="str">
        <f>IF(AND('领用录入（明细）'!D:D=$F$4,'领用录入（明细）'!C:C&gt;=$J$4,'领用录入（明细）'!C:C&lt;=$L$4),ROW(),"-")</f>
        <v>-</v>
      </c>
    </row>
    <row r="41534" customHeight="1" spans="2:2">
      <c r="B41534" s="62" t="str">
        <f>IF(AND('领用录入（明细）'!D:D=$F$4,'领用录入（明细）'!C:C&gt;=$J$4,'领用录入（明细）'!C:C&lt;=$L$4),ROW(),"-")</f>
        <v>-</v>
      </c>
    </row>
    <row r="41535" customHeight="1" spans="2:2">
      <c r="B41535" s="62" t="str">
        <f>IF(AND('领用录入（明细）'!D:D=$F$4,'领用录入（明细）'!C:C&gt;=$J$4,'领用录入（明细）'!C:C&lt;=$L$4),ROW(),"-")</f>
        <v>-</v>
      </c>
    </row>
    <row r="41536" customHeight="1" spans="2:2">
      <c r="B41536" s="62" t="str">
        <f>IF(AND('领用录入（明细）'!D:D=$F$4,'领用录入（明细）'!C:C&gt;=$J$4,'领用录入（明细）'!C:C&lt;=$L$4),ROW(),"-")</f>
        <v>-</v>
      </c>
    </row>
    <row r="41537" customHeight="1" spans="2:2">
      <c r="B41537" s="62" t="str">
        <f>IF(AND('领用录入（明细）'!D:D=$F$4,'领用录入（明细）'!C:C&gt;=$J$4,'领用录入（明细）'!C:C&lt;=$L$4),ROW(),"-")</f>
        <v>-</v>
      </c>
    </row>
    <row r="41538" customHeight="1" spans="2:2">
      <c r="B41538" s="62" t="str">
        <f>IF(AND('领用录入（明细）'!D:D=$F$4,'领用录入（明细）'!C:C&gt;=$J$4,'领用录入（明细）'!C:C&lt;=$L$4),ROW(),"-")</f>
        <v>-</v>
      </c>
    </row>
    <row r="41539" customHeight="1" spans="2:2">
      <c r="B41539" s="62" t="str">
        <f>IF(AND('领用录入（明细）'!D:D=$F$4,'领用录入（明细）'!C:C&gt;=$J$4,'领用录入（明细）'!C:C&lt;=$L$4),ROW(),"-")</f>
        <v>-</v>
      </c>
    </row>
    <row r="41540" customHeight="1" spans="2:2">
      <c r="B41540" s="62" t="str">
        <f>IF(AND('领用录入（明细）'!D:D=$F$4,'领用录入（明细）'!C:C&gt;=$J$4,'领用录入（明细）'!C:C&lt;=$L$4),ROW(),"-")</f>
        <v>-</v>
      </c>
    </row>
    <row r="41541" customHeight="1" spans="2:2">
      <c r="B41541" s="62" t="str">
        <f>IF(AND('领用录入（明细）'!D:D=$F$4,'领用录入（明细）'!C:C&gt;=$J$4,'领用录入（明细）'!C:C&lt;=$L$4),ROW(),"-")</f>
        <v>-</v>
      </c>
    </row>
    <row r="41542" customHeight="1" spans="2:2">
      <c r="B41542" s="62" t="str">
        <f>IF(AND('领用录入（明细）'!D:D=$F$4,'领用录入（明细）'!C:C&gt;=$J$4,'领用录入（明细）'!C:C&lt;=$L$4),ROW(),"-")</f>
        <v>-</v>
      </c>
    </row>
    <row r="41543" customHeight="1" spans="2:2">
      <c r="B41543" s="62" t="str">
        <f>IF(AND('领用录入（明细）'!D:D=$F$4,'领用录入（明细）'!C:C&gt;=$J$4,'领用录入（明细）'!C:C&lt;=$L$4),ROW(),"-")</f>
        <v>-</v>
      </c>
    </row>
    <row r="41544" customHeight="1" spans="2:2">
      <c r="B41544" s="62" t="str">
        <f>IF(AND('领用录入（明细）'!D:D=$F$4,'领用录入（明细）'!C:C&gt;=$J$4,'领用录入（明细）'!C:C&lt;=$L$4),ROW(),"-")</f>
        <v>-</v>
      </c>
    </row>
    <row r="41545" customHeight="1" spans="2:2">
      <c r="B41545" s="62" t="str">
        <f>IF(AND('领用录入（明细）'!D:D=$F$4,'领用录入（明细）'!C:C&gt;=$J$4,'领用录入（明细）'!C:C&lt;=$L$4),ROW(),"-")</f>
        <v>-</v>
      </c>
    </row>
    <row r="41546" customHeight="1" spans="2:2">
      <c r="B41546" s="62" t="str">
        <f>IF(AND('领用录入（明细）'!D:D=$F$4,'领用录入（明细）'!C:C&gt;=$J$4,'领用录入（明细）'!C:C&lt;=$L$4),ROW(),"-")</f>
        <v>-</v>
      </c>
    </row>
    <row r="41547" customHeight="1" spans="2:2">
      <c r="B41547" s="62" t="str">
        <f>IF(AND('领用录入（明细）'!D:D=$F$4,'领用录入（明细）'!C:C&gt;=$J$4,'领用录入（明细）'!C:C&lt;=$L$4),ROW(),"-")</f>
        <v>-</v>
      </c>
    </row>
    <row r="41548" customHeight="1" spans="2:2">
      <c r="B41548" s="62" t="str">
        <f>IF(AND('领用录入（明细）'!D:D=$F$4,'领用录入（明细）'!C:C&gt;=$J$4,'领用录入（明细）'!C:C&lt;=$L$4),ROW(),"-")</f>
        <v>-</v>
      </c>
    </row>
    <row r="41549" customHeight="1" spans="2:2">
      <c r="B41549" s="62" t="str">
        <f>IF(AND('领用录入（明细）'!D:D=$F$4,'领用录入（明细）'!C:C&gt;=$J$4,'领用录入（明细）'!C:C&lt;=$L$4),ROW(),"-")</f>
        <v>-</v>
      </c>
    </row>
    <row r="41550" customHeight="1" spans="2:2">
      <c r="B41550" s="62" t="str">
        <f>IF(AND('领用录入（明细）'!D:D=$F$4,'领用录入（明细）'!C:C&gt;=$J$4,'领用录入（明细）'!C:C&lt;=$L$4),ROW(),"-")</f>
        <v>-</v>
      </c>
    </row>
    <row r="41551" customHeight="1" spans="2:2">
      <c r="B41551" s="62" t="str">
        <f>IF(AND('领用录入（明细）'!D:D=$F$4,'领用录入（明细）'!C:C&gt;=$J$4,'领用录入（明细）'!C:C&lt;=$L$4),ROW(),"-")</f>
        <v>-</v>
      </c>
    </row>
    <row r="41552" customHeight="1" spans="2:2">
      <c r="B41552" s="62" t="str">
        <f>IF(AND('领用录入（明细）'!D:D=$F$4,'领用录入（明细）'!C:C&gt;=$J$4,'领用录入（明细）'!C:C&lt;=$L$4),ROW(),"-")</f>
        <v>-</v>
      </c>
    </row>
    <row r="41553" customHeight="1" spans="2:2">
      <c r="B41553" s="62" t="str">
        <f>IF(AND('领用录入（明细）'!D:D=$F$4,'领用录入（明细）'!C:C&gt;=$J$4,'领用录入（明细）'!C:C&lt;=$L$4),ROW(),"-")</f>
        <v>-</v>
      </c>
    </row>
    <row r="41554" customHeight="1" spans="2:2">
      <c r="B41554" s="62" t="str">
        <f>IF(AND('领用录入（明细）'!D:D=$F$4,'领用录入（明细）'!C:C&gt;=$J$4,'领用录入（明细）'!C:C&lt;=$L$4),ROW(),"-")</f>
        <v>-</v>
      </c>
    </row>
    <row r="41555" customHeight="1" spans="2:2">
      <c r="B41555" s="62" t="str">
        <f>IF(AND('领用录入（明细）'!D:D=$F$4,'领用录入（明细）'!C:C&gt;=$J$4,'领用录入（明细）'!C:C&lt;=$L$4),ROW(),"-")</f>
        <v>-</v>
      </c>
    </row>
    <row r="41556" customHeight="1" spans="2:2">
      <c r="B41556" s="62" t="str">
        <f>IF(AND('领用录入（明细）'!D:D=$F$4,'领用录入（明细）'!C:C&gt;=$J$4,'领用录入（明细）'!C:C&lt;=$L$4),ROW(),"-")</f>
        <v>-</v>
      </c>
    </row>
    <row r="41557" customHeight="1" spans="2:2">
      <c r="B41557" s="62" t="str">
        <f>IF(AND('领用录入（明细）'!D:D=$F$4,'领用录入（明细）'!C:C&gt;=$J$4,'领用录入（明细）'!C:C&lt;=$L$4),ROW(),"-")</f>
        <v>-</v>
      </c>
    </row>
    <row r="41558" customHeight="1" spans="2:2">
      <c r="B41558" s="62" t="str">
        <f>IF(AND('领用录入（明细）'!D:D=$F$4,'领用录入（明细）'!C:C&gt;=$J$4,'领用录入（明细）'!C:C&lt;=$L$4),ROW(),"-")</f>
        <v>-</v>
      </c>
    </row>
    <row r="41559" customHeight="1" spans="2:2">
      <c r="B41559" s="62" t="str">
        <f>IF(AND('领用录入（明细）'!D:D=$F$4,'领用录入（明细）'!C:C&gt;=$J$4,'领用录入（明细）'!C:C&lt;=$L$4),ROW(),"-")</f>
        <v>-</v>
      </c>
    </row>
    <row r="41560" customHeight="1" spans="2:2">
      <c r="B41560" s="62" t="str">
        <f>IF(AND('领用录入（明细）'!D:D=$F$4,'领用录入（明细）'!C:C&gt;=$J$4,'领用录入（明细）'!C:C&lt;=$L$4),ROW(),"-")</f>
        <v>-</v>
      </c>
    </row>
    <row r="41561" customHeight="1" spans="2:2">
      <c r="B41561" s="62" t="str">
        <f>IF(AND('领用录入（明细）'!D:D=$F$4,'领用录入（明细）'!C:C&gt;=$J$4,'领用录入（明细）'!C:C&lt;=$L$4),ROW(),"-")</f>
        <v>-</v>
      </c>
    </row>
    <row r="41562" customHeight="1" spans="2:2">
      <c r="B41562" s="62" t="str">
        <f>IF(AND('领用录入（明细）'!D:D=$F$4,'领用录入（明细）'!C:C&gt;=$J$4,'领用录入（明细）'!C:C&lt;=$L$4),ROW(),"-")</f>
        <v>-</v>
      </c>
    </row>
    <row r="41563" customHeight="1" spans="2:2">
      <c r="B41563" s="62" t="str">
        <f>IF(AND('领用录入（明细）'!D:D=$F$4,'领用录入（明细）'!C:C&gt;=$J$4,'领用录入（明细）'!C:C&lt;=$L$4),ROW(),"-")</f>
        <v>-</v>
      </c>
    </row>
    <row r="41564" customHeight="1" spans="2:2">
      <c r="B41564" s="62" t="str">
        <f>IF(AND('领用录入（明细）'!D:D=$F$4,'领用录入（明细）'!C:C&gt;=$J$4,'领用录入（明细）'!C:C&lt;=$L$4),ROW(),"-")</f>
        <v>-</v>
      </c>
    </row>
    <row r="41565" customHeight="1" spans="2:2">
      <c r="B41565" s="62" t="str">
        <f>IF(AND('领用录入（明细）'!D:D=$F$4,'领用录入（明细）'!C:C&gt;=$J$4,'领用录入（明细）'!C:C&lt;=$L$4),ROW(),"-")</f>
        <v>-</v>
      </c>
    </row>
    <row r="41566" customHeight="1" spans="2:2">
      <c r="B41566" s="62" t="str">
        <f>IF(AND('领用录入（明细）'!D:D=$F$4,'领用录入（明细）'!C:C&gt;=$J$4,'领用录入（明细）'!C:C&lt;=$L$4),ROW(),"-")</f>
        <v>-</v>
      </c>
    </row>
    <row r="41567" customHeight="1" spans="2:2">
      <c r="B41567" s="62" t="str">
        <f>IF(AND('领用录入（明细）'!D:D=$F$4,'领用录入（明细）'!C:C&gt;=$J$4,'领用录入（明细）'!C:C&lt;=$L$4),ROW(),"-")</f>
        <v>-</v>
      </c>
    </row>
    <row r="41568" customHeight="1" spans="2:2">
      <c r="B41568" s="62" t="str">
        <f>IF(AND('领用录入（明细）'!D:D=$F$4,'领用录入（明细）'!C:C&gt;=$J$4,'领用录入（明细）'!C:C&lt;=$L$4),ROW(),"-")</f>
        <v>-</v>
      </c>
    </row>
    <row r="41569" customHeight="1" spans="2:2">
      <c r="B41569" s="62" t="str">
        <f>IF(AND('领用录入（明细）'!D:D=$F$4,'领用录入（明细）'!C:C&gt;=$J$4,'领用录入（明细）'!C:C&lt;=$L$4),ROW(),"-")</f>
        <v>-</v>
      </c>
    </row>
    <row r="41570" customHeight="1" spans="2:2">
      <c r="B41570" s="62" t="str">
        <f>IF(AND('领用录入（明细）'!D:D=$F$4,'领用录入（明细）'!C:C&gt;=$J$4,'领用录入（明细）'!C:C&lt;=$L$4),ROW(),"-")</f>
        <v>-</v>
      </c>
    </row>
    <row r="41571" customHeight="1" spans="2:2">
      <c r="B41571" s="62" t="str">
        <f>IF(AND('领用录入（明细）'!D:D=$F$4,'领用录入（明细）'!C:C&gt;=$J$4,'领用录入（明细）'!C:C&lt;=$L$4),ROW(),"-")</f>
        <v>-</v>
      </c>
    </row>
    <row r="41572" customHeight="1" spans="2:2">
      <c r="B41572" s="62" t="str">
        <f>IF(AND('领用录入（明细）'!D:D=$F$4,'领用录入（明细）'!C:C&gt;=$J$4,'领用录入（明细）'!C:C&lt;=$L$4),ROW(),"-")</f>
        <v>-</v>
      </c>
    </row>
    <row r="41573" customHeight="1" spans="2:2">
      <c r="B41573" s="62" t="str">
        <f>IF(AND('领用录入（明细）'!D:D=$F$4,'领用录入（明细）'!C:C&gt;=$J$4,'领用录入（明细）'!C:C&lt;=$L$4),ROW(),"-")</f>
        <v>-</v>
      </c>
    </row>
    <row r="41574" customHeight="1" spans="2:2">
      <c r="B41574" s="62" t="str">
        <f>IF(AND('领用录入（明细）'!D:D=$F$4,'领用录入（明细）'!C:C&gt;=$J$4,'领用录入（明细）'!C:C&lt;=$L$4),ROW(),"-")</f>
        <v>-</v>
      </c>
    </row>
    <row r="41575" customHeight="1" spans="2:2">
      <c r="B41575" s="62" t="str">
        <f>IF(AND('领用录入（明细）'!D:D=$F$4,'领用录入（明细）'!C:C&gt;=$J$4,'领用录入（明细）'!C:C&lt;=$L$4),ROW(),"-")</f>
        <v>-</v>
      </c>
    </row>
    <row r="41576" customHeight="1" spans="2:2">
      <c r="B41576" s="62" t="str">
        <f>IF(AND('领用录入（明细）'!D:D=$F$4,'领用录入（明细）'!C:C&gt;=$J$4,'领用录入（明细）'!C:C&lt;=$L$4),ROW(),"-")</f>
        <v>-</v>
      </c>
    </row>
    <row r="41577" customHeight="1" spans="2:2">
      <c r="B41577" s="62" t="str">
        <f>IF(AND('领用录入（明细）'!D:D=$F$4,'领用录入（明细）'!C:C&gt;=$J$4,'领用录入（明细）'!C:C&lt;=$L$4),ROW(),"-")</f>
        <v>-</v>
      </c>
    </row>
    <row r="41578" customHeight="1" spans="2:2">
      <c r="B41578" s="62" t="str">
        <f>IF(AND('领用录入（明细）'!D:D=$F$4,'领用录入（明细）'!C:C&gt;=$J$4,'领用录入（明细）'!C:C&lt;=$L$4),ROW(),"-")</f>
        <v>-</v>
      </c>
    </row>
    <row r="41579" customHeight="1" spans="2:2">
      <c r="B41579" s="62" t="str">
        <f>IF(AND('领用录入（明细）'!D:D=$F$4,'领用录入（明细）'!C:C&gt;=$J$4,'领用录入（明细）'!C:C&lt;=$L$4),ROW(),"-")</f>
        <v>-</v>
      </c>
    </row>
    <row r="41580" customHeight="1" spans="2:2">
      <c r="B41580" s="62" t="str">
        <f>IF(AND('领用录入（明细）'!D:D=$F$4,'领用录入（明细）'!C:C&gt;=$J$4,'领用录入（明细）'!C:C&lt;=$L$4),ROW(),"-")</f>
        <v>-</v>
      </c>
    </row>
    <row r="41581" customHeight="1" spans="2:2">
      <c r="B41581" s="62" t="str">
        <f>IF(AND('领用录入（明细）'!D:D=$F$4,'领用录入（明细）'!C:C&gt;=$J$4,'领用录入（明细）'!C:C&lt;=$L$4),ROW(),"-")</f>
        <v>-</v>
      </c>
    </row>
    <row r="41582" customHeight="1" spans="2:2">
      <c r="B41582" s="62" t="str">
        <f>IF(AND('领用录入（明细）'!D:D=$F$4,'领用录入（明细）'!C:C&gt;=$J$4,'领用录入（明细）'!C:C&lt;=$L$4),ROW(),"-")</f>
        <v>-</v>
      </c>
    </row>
    <row r="41583" customHeight="1" spans="2:2">
      <c r="B41583" s="62" t="str">
        <f>IF(AND('领用录入（明细）'!D:D=$F$4,'领用录入（明细）'!C:C&gt;=$J$4,'领用录入（明细）'!C:C&lt;=$L$4),ROW(),"-")</f>
        <v>-</v>
      </c>
    </row>
    <row r="41584" customHeight="1" spans="2:2">
      <c r="B41584" s="62" t="str">
        <f>IF(AND('领用录入（明细）'!D:D=$F$4,'领用录入（明细）'!C:C&gt;=$J$4,'领用录入（明细）'!C:C&lt;=$L$4),ROW(),"-")</f>
        <v>-</v>
      </c>
    </row>
    <row r="41585" customHeight="1" spans="2:2">
      <c r="B41585" s="62" t="str">
        <f>IF(AND('领用录入（明细）'!D:D=$F$4,'领用录入（明细）'!C:C&gt;=$J$4,'领用录入（明细）'!C:C&lt;=$L$4),ROW(),"-")</f>
        <v>-</v>
      </c>
    </row>
    <row r="41586" customHeight="1" spans="2:2">
      <c r="B41586" s="62" t="str">
        <f>IF(AND('领用录入（明细）'!D:D=$F$4,'领用录入（明细）'!C:C&gt;=$J$4,'领用录入（明细）'!C:C&lt;=$L$4),ROW(),"-")</f>
        <v>-</v>
      </c>
    </row>
    <row r="41587" customHeight="1" spans="2:2">
      <c r="B41587" s="62" t="str">
        <f>IF(AND('领用录入（明细）'!D:D=$F$4,'领用录入（明细）'!C:C&gt;=$J$4,'领用录入（明细）'!C:C&lt;=$L$4),ROW(),"-")</f>
        <v>-</v>
      </c>
    </row>
    <row r="41588" customHeight="1" spans="2:2">
      <c r="B41588" s="62" t="str">
        <f>IF(AND('领用录入（明细）'!D:D=$F$4,'领用录入（明细）'!C:C&gt;=$J$4,'领用录入（明细）'!C:C&lt;=$L$4),ROW(),"-")</f>
        <v>-</v>
      </c>
    </row>
    <row r="41589" customHeight="1" spans="2:2">
      <c r="B41589" s="62" t="str">
        <f>IF(AND('领用录入（明细）'!D:D=$F$4,'领用录入（明细）'!C:C&gt;=$J$4,'领用录入（明细）'!C:C&lt;=$L$4),ROW(),"-")</f>
        <v>-</v>
      </c>
    </row>
    <row r="41590" customHeight="1" spans="2:2">
      <c r="B41590" s="62" t="str">
        <f>IF(AND('领用录入（明细）'!D:D=$F$4,'领用录入（明细）'!C:C&gt;=$J$4,'领用录入（明细）'!C:C&lt;=$L$4),ROW(),"-")</f>
        <v>-</v>
      </c>
    </row>
    <row r="41591" customHeight="1" spans="2:2">
      <c r="B41591" s="62" t="str">
        <f>IF(AND('领用录入（明细）'!D:D=$F$4,'领用录入（明细）'!C:C&gt;=$J$4,'领用录入（明细）'!C:C&lt;=$L$4),ROW(),"-")</f>
        <v>-</v>
      </c>
    </row>
    <row r="41592" customHeight="1" spans="2:2">
      <c r="B41592" s="62" t="str">
        <f>IF(AND('领用录入（明细）'!D:D=$F$4,'领用录入（明细）'!C:C&gt;=$J$4,'领用录入（明细）'!C:C&lt;=$L$4),ROW(),"-")</f>
        <v>-</v>
      </c>
    </row>
    <row r="41593" customHeight="1" spans="2:2">
      <c r="B41593" s="62" t="str">
        <f>IF(AND('领用录入（明细）'!D:D=$F$4,'领用录入（明细）'!C:C&gt;=$J$4,'领用录入（明细）'!C:C&lt;=$L$4),ROW(),"-")</f>
        <v>-</v>
      </c>
    </row>
    <row r="41594" customHeight="1" spans="2:2">
      <c r="B41594" s="62" t="str">
        <f>IF(AND('领用录入（明细）'!D:D=$F$4,'领用录入（明细）'!C:C&gt;=$J$4,'领用录入（明细）'!C:C&lt;=$L$4),ROW(),"-")</f>
        <v>-</v>
      </c>
    </row>
    <row r="41595" customHeight="1" spans="2:2">
      <c r="B41595" s="62" t="str">
        <f>IF(AND('领用录入（明细）'!D:D=$F$4,'领用录入（明细）'!C:C&gt;=$J$4,'领用录入（明细）'!C:C&lt;=$L$4),ROW(),"-")</f>
        <v>-</v>
      </c>
    </row>
    <row r="41596" customHeight="1" spans="2:2">
      <c r="B41596" s="62" t="str">
        <f>IF(AND('领用录入（明细）'!D:D=$F$4,'领用录入（明细）'!C:C&gt;=$J$4,'领用录入（明细）'!C:C&lt;=$L$4),ROW(),"-")</f>
        <v>-</v>
      </c>
    </row>
    <row r="41597" customHeight="1" spans="2:2">
      <c r="B41597" s="62" t="str">
        <f>IF(AND('领用录入（明细）'!D:D=$F$4,'领用录入（明细）'!C:C&gt;=$J$4,'领用录入（明细）'!C:C&lt;=$L$4),ROW(),"-")</f>
        <v>-</v>
      </c>
    </row>
    <row r="41598" customHeight="1" spans="2:2">
      <c r="B41598" s="62" t="str">
        <f>IF(AND('领用录入（明细）'!D:D=$F$4,'领用录入（明细）'!C:C&gt;=$J$4,'领用录入（明细）'!C:C&lt;=$L$4),ROW(),"-")</f>
        <v>-</v>
      </c>
    </row>
    <row r="41599" customHeight="1" spans="2:2">
      <c r="B41599" s="62" t="str">
        <f>IF(AND('领用录入（明细）'!D:D=$F$4,'领用录入（明细）'!C:C&gt;=$J$4,'领用录入（明细）'!C:C&lt;=$L$4),ROW(),"-")</f>
        <v>-</v>
      </c>
    </row>
    <row r="41600" customHeight="1" spans="2:2">
      <c r="B41600" s="62" t="str">
        <f>IF(AND('领用录入（明细）'!D:D=$F$4,'领用录入（明细）'!C:C&gt;=$J$4,'领用录入（明细）'!C:C&lt;=$L$4),ROW(),"-")</f>
        <v>-</v>
      </c>
    </row>
    <row r="41601" customHeight="1" spans="2:2">
      <c r="B41601" s="62" t="str">
        <f>IF(AND('领用录入（明细）'!D:D=$F$4,'领用录入（明细）'!C:C&gt;=$J$4,'领用录入（明细）'!C:C&lt;=$L$4),ROW(),"-")</f>
        <v>-</v>
      </c>
    </row>
    <row r="41602" customHeight="1" spans="2:2">
      <c r="B41602" s="62" t="str">
        <f>IF(AND('领用录入（明细）'!D:D=$F$4,'领用录入（明细）'!C:C&gt;=$J$4,'领用录入（明细）'!C:C&lt;=$L$4),ROW(),"-")</f>
        <v>-</v>
      </c>
    </row>
    <row r="41603" customHeight="1" spans="2:2">
      <c r="B41603" s="62" t="str">
        <f>IF(AND('领用录入（明细）'!D:D=$F$4,'领用录入（明细）'!C:C&gt;=$J$4,'领用录入（明细）'!C:C&lt;=$L$4),ROW(),"-")</f>
        <v>-</v>
      </c>
    </row>
    <row r="41604" customHeight="1" spans="2:2">
      <c r="B41604" s="62" t="str">
        <f>IF(AND('领用录入（明细）'!D:D=$F$4,'领用录入（明细）'!C:C&gt;=$J$4,'领用录入（明细）'!C:C&lt;=$L$4),ROW(),"-")</f>
        <v>-</v>
      </c>
    </row>
    <row r="41605" customHeight="1" spans="2:2">
      <c r="B41605" s="62" t="str">
        <f>IF(AND('领用录入（明细）'!D:D=$F$4,'领用录入（明细）'!C:C&gt;=$J$4,'领用录入（明细）'!C:C&lt;=$L$4),ROW(),"-")</f>
        <v>-</v>
      </c>
    </row>
    <row r="41606" customHeight="1" spans="2:2">
      <c r="B41606" s="62" t="str">
        <f>IF(AND('领用录入（明细）'!D:D=$F$4,'领用录入（明细）'!C:C&gt;=$J$4,'领用录入（明细）'!C:C&lt;=$L$4),ROW(),"-")</f>
        <v>-</v>
      </c>
    </row>
    <row r="41607" customHeight="1" spans="2:2">
      <c r="B41607" s="62" t="str">
        <f>IF(AND('领用录入（明细）'!D:D=$F$4,'领用录入（明细）'!C:C&gt;=$J$4,'领用录入（明细）'!C:C&lt;=$L$4),ROW(),"-")</f>
        <v>-</v>
      </c>
    </row>
    <row r="41608" customHeight="1" spans="2:2">
      <c r="B41608" s="62" t="str">
        <f>IF(AND('领用录入（明细）'!D:D=$F$4,'领用录入（明细）'!C:C&gt;=$J$4,'领用录入（明细）'!C:C&lt;=$L$4),ROW(),"-")</f>
        <v>-</v>
      </c>
    </row>
    <row r="41609" customHeight="1" spans="2:2">
      <c r="B41609" s="62" t="str">
        <f>IF(AND('领用录入（明细）'!D:D=$F$4,'领用录入（明细）'!C:C&gt;=$J$4,'领用录入（明细）'!C:C&lt;=$L$4),ROW(),"-")</f>
        <v>-</v>
      </c>
    </row>
    <row r="41610" customHeight="1" spans="2:2">
      <c r="B41610" s="62" t="str">
        <f>IF(AND('领用录入（明细）'!D:D=$F$4,'领用录入（明细）'!C:C&gt;=$J$4,'领用录入（明细）'!C:C&lt;=$L$4),ROW(),"-")</f>
        <v>-</v>
      </c>
    </row>
    <row r="41611" customHeight="1" spans="2:2">
      <c r="B41611" s="62" t="str">
        <f>IF(AND('领用录入（明细）'!D:D=$F$4,'领用录入（明细）'!C:C&gt;=$J$4,'领用录入（明细）'!C:C&lt;=$L$4),ROW(),"-")</f>
        <v>-</v>
      </c>
    </row>
    <row r="41612" customHeight="1" spans="2:2">
      <c r="B41612" s="62" t="str">
        <f>IF(AND('领用录入（明细）'!D:D=$F$4,'领用录入（明细）'!C:C&gt;=$J$4,'领用录入（明细）'!C:C&lt;=$L$4),ROW(),"-")</f>
        <v>-</v>
      </c>
    </row>
    <row r="41613" customHeight="1" spans="2:2">
      <c r="B41613" s="62" t="str">
        <f>IF(AND('领用录入（明细）'!D:D=$F$4,'领用录入（明细）'!C:C&gt;=$J$4,'领用录入（明细）'!C:C&lt;=$L$4),ROW(),"-")</f>
        <v>-</v>
      </c>
    </row>
    <row r="41614" customHeight="1" spans="2:2">
      <c r="B41614" s="62" t="str">
        <f>IF(AND('领用录入（明细）'!D:D=$F$4,'领用录入（明细）'!C:C&gt;=$J$4,'领用录入（明细）'!C:C&lt;=$L$4),ROW(),"-")</f>
        <v>-</v>
      </c>
    </row>
    <row r="41615" customHeight="1" spans="2:2">
      <c r="B41615" s="62" t="str">
        <f>IF(AND('领用录入（明细）'!D:D=$F$4,'领用录入（明细）'!C:C&gt;=$J$4,'领用录入（明细）'!C:C&lt;=$L$4),ROW(),"-")</f>
        <v>-</v>
      </c>
    </row>
    <row r="41616" customHeight="1" spans="2:2">
      <c r="B41616" s="62" t="str">
        <f>IF(AND('领用录入（明细）'!D:D=$F$4,'领用录入（明细）'!C:C&gt;=$J$4,'领用录入（明细）'!C:C&lt;=$L$4),ROW(),"-")</f>
        <v>-</v>
      </c>
    </row>
    <row r="41617" customHeight="1" spans="2:2">
      <c r="B41617" s="62" t="str">
        <f>IF(AND('领用录入（明细）'!D:D=$F$4,'领用录入（明细）'!C:C&gt;=$J$4,'领用录入（明细）'!C:C&lt;=$L$4),ROW(),"-")</f>
        <v>-</v>
      </c>
    </row>
    <row r="41618" customHeight="1" spans="2:2">
      <c r="B41618" s="62" t="str">
        <f>IF(AND('领用录入（明细）'!D:D=$F$4,'领用录入（明细）'!C:C&gt;=$J$4,'领用录入（明细）'!C:C&lt;=$L$4),ROW(),"-")</f>
        <v>-</v>
      </c>
    </row>
    <row r="41619" customHeight="1" spans="2:2">
      <c r="B41619" s="62" t="str">
        <f>IF(AND('领用录入（明细）'!D:D=$F$4,'领用录入（明细）'!C:C&gt;=$J$4,'领用录入（明细）'!C:C&lt;=$L$4),ROW(),"-")</f>
        <v>-</v>
      </c>
    </row>
    <row r="41620" customHeight="1" spans="2:2">
      <c r="B41620" s="62" t="str">
        <f>IF(AND('领用录入（明细）'!D:D=$F$4,'领用录入（明细）'!C:C&gt;=$J$4,'领用录入（明细）'!C:C&lt;=$L$4),ROW(),"-")</f>
        <v>-</v>
      </c>
    </row>
    <row r="41621" customHeight="1" spans="2:2">
      <c r="B41621" s="62" t="str">
        <f>IF(AND('领用录入（明细）'!D:D=$F$4,'领用录入（明细）'!C:C&gt;=$J$4,'领用录入（明细）'!C:C&lt;=$L$4),ROW(),"-")</f>
        <v>-</v>
      </c>
    </row>
    <row r="41622" customHeight="1" spans="2:2">
      <c r="B41622" s="62" t="str">
        <f>IF(AND('领用录入（明细）'!D:D=$F$4,'领用录入（明细）'!C:C&gt;=$J$4,'领用录入（明细）'!C:C&lt;=$L$4),ROW(),"-")</f>
        <v>-</v>
      </c>
    </row>
    <row r="41623" customHeight="1" spans="2:2">
      <c r="B41623" s="62" t="str">
        <f>IF(AND('领用录入（明细）'!D:D=$F$4,'领用录入（明细）'!C:C&gt;=$J$4,'领用录入（明细）'!C:C&lt;=$L$4),ROW(),"-")</f>
        <v>-</v>
      </c>
    </row>
    <row r="41624" customHeight="1" spans="2:2">
      <c r="B41624" s="62" t="str">
        <f>IF(AND('领用录入（明细）'!D:D=$F$4,'领用录入（明细）'!C:C&gt;=$J$4,'领用录入（明细）'!C:C&lt;=$L$4),ROW(),"-")</f>
        <v>-</v>
      </c>
    </row>
    <row r="41625" customHeight="1" spans="2:2">
      <c r="B41625" s="62" t="str">
        <f>IF(AND('领用录入（明细）'!D:D=$F$4,'领用录入（明细）'!C:C&gt;=$J$4,'领用录入（明细）'!C:C&lt;=$L$4),ROW(),"-")</f>
        <v>-</v>
      </c>
    </row>
    <row r="41626" customHeight="1" spans="2:2">
      <c r="B41626" s="62" t="str">
        <f>IF(AND('领用录入（明细）'!D:D=$F$4,'领用录入（明细）'!C:C&gt;=$J$4,'领用录入（明细）'!C:C&lt;=$L$4),ROW(),"-")</f>
        <v>-</v>
      </c>
    </row>
    <row r="41627" customHeight="1" spans="2:2">
      <c r="B41627" s="62" t="str">
        <f>IF(AND('领用录入（明细）'!D:D=$F$4,'领用录入（明细）'!C:C&gt;=$J$4,'领用录入（明细）'!C:C&lt;=$L$4),ROW(),"-")</f>
        <v>-</v>
      </c>
    </row>
    <row r="41628" customHeight="1" spans="2:2">
      <c r="B41628" s="62" t="str">
        <f>IF(AND('领用录入（明细）'!D:D=$F$4,'领用录入（明细）'!C:C&gt;=$J$4,'领用录入（明细）'!C:C&lt;=$L$4),ROW(),"-")</f>
        <v>-</v>
      </c>
    </row>
    <row r="41629" customHeight="1" spans="2:2">
      <c r="B41629" s="62" t="str">
        <f>IF(AND('领用录入（明细）'!D:D=$F$4,'领用录入（明细）'!C:C&gt;=$J$4,'领用录入（明细）'!C:C&lt;=$L$4),ROW(),"-")</f>
        <v>-</v>
      </c>
    </row>
    <row r="41630" customHeight="1" spans="2:2">
      <c r="B41630" s="62" t="str">
        <f>IF(AND('领用录入（明细）'!D:D=$F$4,'领用录入（明细）'!C:C&gt;=$J$4,'领用录入（明细）'!C:C&lt;=$L$4),ROW(),"-")</f>
        <v>-</v>
      </c>
    </row>
    <row r="41631" customHeight="1" spans="2:2">
      <c r="B41631" s="62" t="str">
        <f>IF(AND('领用录入（明细）'!D:D=$F$4,'领用录入（明细）'!C:C&gt;=$J$4,'领用录入（明细）'!C:C&lt;=$L$4),ROW(),"-")</f>
        <v>-</v>
      </c>
    </row>
    <row r="41632" customHeight="1" spans="2:2">
      <c r="B41632" s="62" t="str">
        <f>IF(AND('领用录入（明细）'!D:D=$F$4,'领用录入（明细）'!C:C&gt;=$J$4,'领用录入（明细）'!C:C&lt;=$L$4),ROW(),"-")</f>
        <v>-</v>
      </c>
    </row>
    <row r="41633" customHeight="1" spans="2:2">
      <c r="B41633" s="62" t="str">
        <f>IF(AND('领用录入（明细）'!D:D=$F$4,'领用录入（明细）'!C:C&gt;=$J$4,'领用录入（明细）'!C:C&lt;=$L$4),ROW(),"-")</f>
        <v>-</v>
      </c>
    </row>
    <row r="41634" customHeight="1" spans="2:2">
      <c r="B41634" s="62" t="str">
        <f>IF(AND('领用录入（明细）'!D:D=$F$4,'领用录入（明细）'!C:C&gt;=$J$4,'领用录入（明细）'!C:C&lt;=$L$4),ROW(),"-")</f>
        <v>-</v>
      </c>
    </row>
    <row r="41635" customHeight="1" spans="2:2">
      <c r="B41635" s="62" t="str">
        <f>IF(AND('领用录入（明细）'!D:D=$F$4,'领用录入（明细）'!C:C&gt;=$J$4,'领用录入（明细）'!C:C&lt;=$L$4),ROW(),"-")</f>
        <v>-</v>
      </c>
    </row>
    <row r="41636" customHeight="1" spans="2:2">
      <c r="B41636" s="62" t="str">
        <f>IF(AND('领用录入（明细）'!D:D=$F$4,'领用录入（明细）'!C:C&gt;=$J$4,'领用录入（明细）'!C:C&lt;=$L$4),ROW(),"-")</f>
        <v>-</v>
      </c>
    </row>
    <row r="41637" customHeight="1" spans="2:2">
      <c r="B41637" s="62" t="str">
        <f>IF(AND('领用录入（明细）'!D:D=$F$4,'领用录入（明细）'!C:C&gt;=$J$4,'领用录入（明细）'!C:C&lt;=$L$4),ROW(),"-")</f>
        <v>-</v>
      </c>
    </row>
    <row r="41638" customHeight="1" spans="2:2">
      <c r="B41638" s="62" t="str">
        <f>IF(AND('领用录入（明细）'!D:D=$F$4,'领用录入（明细）'!C:C&gt;=$J$4,'领用录入（明细）'!C:C&lt;=$L$4),ROW(),"-")</f>
        <v>-</v>
      </c>
    </row>
    <row r="41639" customHeight="1" spans="2:2">
      <c r="B41639" s="62" t="str">
        <f>IF(AND('领用录入（明细）'!D:D=$F$4,'领用录入（明细）'!C:C&gt;=$J$4,'领用录入（明细）'!C:C&lt;=$L$4),ROW(),"-")</f>
        <v>-</v>
      </c>
    </row>
    <row r="41640" customHeight="1" spans="2:2">
      <c r="B41640" s="62" t="str">
        <f>IF(AND('领用录入（明细）'!D:D=$F$4,'领用录入（明细）'!C:C&gt;=$J$4,'领用录入（明细）'!C:C&lt;=$L$4),ROW(),"-")</f>
        <v>-</v>
      </c>
    </row>
    <row r="41641" customHeight="1" spans="2:2">
      <c r="B41641" s="62" t="str">
        <f>IF(AND('领用录入（明细）'!D:D=$F$4,'领用录入（明细）'!C:C&gt;=$J$4,'领用录入（明细）'!C:C&lt;=$L$4),ROW(),"-")</f>
        <v>-</v>
      </c>
    </row>
    <row r="41642" customHeight="1" spans="2:2">
      <c r="B41642" s="62" t="str">
        <f>IF(AND('领用录入（明细）'!D:D=$F$4,'领用录入（明细）'!C:C&gt;=$J$4,'领用录入（明细）'!C:C&lt;=$L$4),ROW(),"-")</f>
        <v>-</v>
      </c>
    </row>
    <row r="41643" customHeight="1" spans="2:2">
      <c r="B41643" s="62" t="str">
        <f>IF(AND('领用录入（明细）'!D:D=$F$4,'领用录入（明细）'!C:C&gt;=$J$4,'领用录入（明细）'!C:C&lt;=$L$4),ROW(),"-")</f>
        <v>-</v>
      </c>
    </row>
    <row r="41644" customHeight="1" spans="2:2">
      <c r="B41644" s="62" t="str">
        <f>IF(AND('领用录入（明细）'!D:D=$F$4,'领用录入（明细）'!C:C&gt;=$J$4,'领用录入（明细）'!C:C&lt;=$L$4),ROW(),"-")</f>
        <v>-</v>
      </c>
    </row>
    <row r="41645" customHeight="1" spans="2:2">
      <c r="B41645" s="62" t="str">
        <f>IF(AND('领用录入（明细）'!D:D=$F$4,'领用录入（明细）'!C:C&gt;=$J$4,'领用录入（明细）'!C:C&lt;=$L$4),ROW(),"-")</f>
        <v>-</v>
      </c>
    </row>
    <row r="41646" customHeight="1" spans="2:2">
      <c r="B41646" s="62" t="str">
        <f>IF(AND('领用录入（明细）'!D:D=$F$4,'领用录入（明细）'!C:C&gt;=$J$4,'领用录入（明细）'!C:C&lt;=$L$4),ROW(),"-")</f>
        <v>-</v>
      </c>
    </row>
    <row r="41647" customHeight="1" spans="2:2">
      <c r="B41647" s="62" t="str">
        <f>IF(AND('领用录入（明细）'!D:D=$F$4,'领用录入（明细）'!C:C&gt;=$J$4,'领用录入（明细）'!C:C&lt;=$L$4),ROW(),"-")</f>
        <v>-</v>
      </c>
    </row>
    <row r="41648" customHeight="1" spans="2:2">
      <c r="B41648" s="62" t="str">
        <f>IF(AND('领用录入（明细）'!D:D=$F$4,'领用录入（明细）'!C:C&gt;=$J$4,'领用录入（明细）'!C:C&lt;=$L$4),ROW(),"-")</f>
        <v>-</v>
      </c>
    </row>
    <row r="41649" customHeight="1" spans="2:2">
      <c r="B41649" s="62" t="str">
        <f>IF(AND('领用录入（明细）'!D:D=$F$4,'领用录入（明细）'!C:C&gt;=$J$4,'领用录入（明细）'!C:C&lt;=$L$4),ROW(),"-")</f>
        <v>-</v>
      </c>
    </row>
    <row r="41650" customHeight="1" spans="2:2">
      <c r="B41650" s="62" t="str">
        <f>IF(AND('领用录入（明细）'!D:D=$F$4,'领用录入（明细）'!C:C&gt;=$J$4,'领用录入（明细）'!C:C&lt;=$L$4),ROW(),"-")</f>
        <v>-</v>
      </c>
    </row>
    <row r="41651" customHeight="1" spans="2:2">
      <c r="B41651" s="62" t="str">
        <f>IF(AND('领用录入（明细）'!D:D=$F$4,'领用录入（明细）'!C:C&gt;=$J$4,'领用录入（明细）'!C:C&lt;=$L$4),ROW(),"-")</f>
        <v>-</v>
      </c>
    </row>
    <row r="41652" customHeight="1" spans="2:2">
      <c r="B41652" s="62" t="str">
        <f>IF(AND('领用录入（明细）'!D:D=$F$4,'领用录入（明细）'!C:C&gt;=$J$4,'领用录入（明细）'!C:C&lt;=$L$4),ROW(),"-")</f>
        <v>-</v>
      </c>
    </row>
    <row r="41653" customHeight="1" spans="2:2">
      <c r="B41653" s="62" t="str">
        <f>IF(AND('领用录入（明细）'!D:D=$F$4,'领用录入（明细）'!C:C&gt;=$J$4,'领用录入（明细）'!C:C&lt;=$L$4),ROW(),"-")</f>
        <v>-</v>
      </c>
    </row>
    <row r="41654" customHeight="1" spans="2:2">
      <c r="B41654" s="62" t="str">
        <f>IF(AND('领用录入（明细）'!D:D=$F$4,'领用录入（明细）'!C:C&gt;=$J$4,'领用录入（明细）'!C:C&lt;=$L$4),ROW(),"-")</f>
        <v>-</v>
      </c>
    </row>
    <row r="41655" customHeight="1" spans="2:2">
      <c r="B41655" s="62" t="str">
        <f>IF(AND('领用录入（明细）'!D:D=$F$4,'领用录入（明细）'!C:C&gt;=$J$4,'领用录入（明细）'!C:C&lt;=$L$4),ROW(),"-")</f>
        <v>-</v>
      </c>
    </row>
    <row r="41656" customHeight="1" spans="2:2">
      <c r="B41656" s="62" t="str">
        <f>IF(AND('领用录入（明细）'!D:D=$F$4,'领用录入（明细）'!C:C&gt;=$J$4,'领用录入（明细）'!C:C&lt;=$L$4),ROW(),"-")</f>
        <v>-</v>
      </c>
    </row>
    <row r="41657" customHeight="1" spans="2:2">
      <c r="B41657" s="62" t="str">
        <f>IF(AND('领用录入（明细）'!D:D=$F$4,'领用录入（明细）'!C:C&gt;=$J$4,'领用录入（明细）'!C:C&lt;=$L$4),ROW(),"-")</f>
        <v>-</v>
      </c>
    </row>
    <row r="41658" customHeight="1" spans="2:2">
      <c r="B41658" s="62" t="str">
        <f>IF(AND('领用录入（明细）'!D:D=$F$4,'领用录入（明细）'!C:C&gt;=$J$4,'领用录入（明细）'!C:C&lt;=$L$4),ROW(),"-")</f>
        <v>-</v>
      </c>
    </row>
    <row r="41659" customHeight="1" spans="2:2">
      <c r="B41659" s="62" t="str">
        <f>IF(AND('领用录入（明细）'!D:D=$F$4,'领用录入（明细）'!C:C&gt;=$J$4,'领用录入（明细）'!C:C&lt;=$L$4),ROW(),"-")</f>
        <v>-</v>
      </c>
    </row>
    <row r="41660" customHeight="1" spans="2:2">
      <c r="B41660" s="62" t="str">
        <f>IF(AND('领用录入（明细）'!D:D=$F$4,'领用录入（明细）'!C:C&gt;=$J$4,'领用录入（明细）'!C:C&lt;=$L$4),ROW(),"-")</f>
        <v>-</v>
      </c>
    </row>
    <row r="41661" customHeight="1" spans="2:2">
      <c r="B41661" s="62" t="str">
        <f>IF(AND('领用录入（明细）'!D:D=$F$4,'领用录入（明细）'!C:C&gt;=$J$4,'领用录入（明细）'!C:C&lt;=$L$4),ROW(),"-")</f>
        <v>-</v>
      </c>
    </row>
    <row r="41662" customHeight="1" spans="2:2">
      <c r="B41662" s="62" t="str">
        <f>IF(AND('领用录入（明细）'!D:D=$F$4,'领用录入（明细）'!C:C&gt;=$J$4,'领用录入（明细）'!C:C&lt;=$L$4),ROW(),"-")</f>
        <v>-</v>
      </c>
    </row>
    <row r="41663" customHeight="1" spans="2:2">
      <c r="B41663" s="62" t="str">
        <f>IF(AND('领用录入（明细）'!D:D=$F$4,'领用录入（明细）'!C:C&gt;=$J$4,'领用录入（明细）'!C:C&lt;=$L$4),ROW(),"-")</f>
        <v>-</v>
      </c>
    </row>
    <row r="41664" customHeight="1" spans="2:2">
      <c r="B41664" s="62" t="str">
        <f>IF(AND('领用录入（明细）'!D:D=$F$4,'领用录入（明细）'!C:C&gt;=$J$4,'领用录入（明细）'!C:C&lt;=$L$4),ROW(),"-")</f>
        <v>-</v>
      </c>
    </row>
    <row r="41665" customHeight="1" spans="2:2">
      <c r="B41665" s="62" t="str">
        <f>IF(AND('领用录入（明细）'!D:D=$F$4,'领用录入（明细）'!C:C&gt;=$J$4,'领用录入（明细）'!C:C&lt;=$L$4),ROW(),"-")</f>
        <v>-</v>
      </c>
    </row>
    <row r="41666" customHeight="1" spans="2:2">
      <c r="B41666" s="62" t="str">
        <f>IF(AND('领用录入（明细）'!D:D=$F$4,'领用录入（明细）'!C:C&gt;=$J$4,'领用录入（明细）'!C:C&lt;=$L$4),ROW(),"-")</f>
        <v>-</v>
      </c>
    </row>
    <row r="41667" customHeight="1" spans="2:2">
      <c r="B41667" s="62" t="str">
        <f>IF(AND('领用录入（明细）'!D:D=$F$4,'领用录入（明细）'!C:C&gt;=$J$4,'领用录入（明细）'!C:C&lt;=$L$4),ROW(),"-")</f>
        <v>-</v>
      </c>
    </row>
    <row r="41668" customHeight="1" spans="2:2">
      <c r="B41668" s="62" t="str">
        <f>IF(AND('领用录入（明细）'!D:D=$F$4,'领用录入（明细）'!C:C&gt;=$J$4,'领用录入（明细）'!C:C&lt;=$L$4),ROW(),"-")</f>
        <v>-</v>
      </c>
    </row>
    <row r="41669" customHeight="1" spans="2:2">
      <c r="B41669" s="62" t="str">
        <f>IF(AND('领用录入（明细）'!D:D=$F$4,'领用录入（明细）'!C:C&gt;=$J$4,'领用录入（明细）'!C:C&lt;=$L$4),ROW(),"-")</f>
        <v>-</v>
      </c>
    </row>
    <row r="41670" customHeight="1" spans="2:2">
      <c r="B41670" s="62" t="str">
        <f>IF(AND('领用录入（明细）'!D:D=$F$4,'领用录入（明细）'!C:C&gt;=$J$4,'领用录入（明细）'!C:C&lt;=$L$4),ROW(),"-")</f>
        <v>-</v>
      </c>
    </row>
    <row r="41671" customHeight="1" spans="2:2">
      <c r="B41671" s="62" t="str">
        <f>IF(AND('领用录入（明细）'!D:D=$F$4,'领用录入（明细）'!C:C&gt;=$J$4,'领用录入（明细）'!C:C&lt;=$L$4),ROW(),"-")</f>
        <v>-</v>
      </c>
    </row>
    <row r="41672" customHeight="1" spans="2:2">
      <c r="B41672" s="62" t="str">
        <f>IF(AND('领用录入（明细）'!D:D=$F$4,'领用录入（明细）'!C:C&gt;=$J$4,'领用录入（明细）'!C:C&lt;=$L$4),ROW(),"-")</f>
        <v>-</v>
      </c>
    </row>
    <row r="41673" customHeight="1" spans="2:2">
      <c r="B41673" s="62" t="str">
        <f>IF(AND('领用录入（明细）'!D:D=$F$4,'领用录入（明细）'!C:C&gt;=$J$4,'领用录入（明细）'!C:C&lt;=$L$4),ROW(),"-")</f>
        <v>-</v>
      </c>
    </row>
    <row r="41674" customHeight="1" spans="2:2">
      <c r="B41674" s="62" t="str">
        <f>IF(AND('领用录入（明细）'!D:D=$F$4,'领用录入（明细）'!C:C&gt;=$J$4,'领用录入（明细）'!C:C&lt;=$L$4),ROW(),"-")</f>
        <v>-</v>
      </c>
    </row>
    <row r="41675" customHeight="1" spans="2:2">
      <c r="B41675" s="62" t="str">
        <f>IF(AND('领用录入（明细）'!D:D=$F$4,'领用录入（明细）'!C:C&gt;=$J$4,'领用录入（明细）'!C:C&lt;=$L$4),ROW(),"-")</f>
        <v>-</v>
      </c>
    </row>
    <row r="41676" customHeight="1" spans="2:2">
      <c r="B41676" s="62" t="str">
        <f>IF(AND('领用录入（明细）'!D:D=$F$4,'领用录入（明细）'!C:C&gt;=$J$4,'领用录入（明细）'!C:C&lt;=$L$4),ROW(),"-")</f>
        <v>-</v>
      </c>
    </row>
    <row r="41677" customHeight="1" spans="2:2">
      <c r="B41677" s="62" t="str">
        <f>IF(AND('领用录入（明细）'!D:D=$F$4,'领用录入（明细）'!C:C&gt;=$J$4,'领用录入（明细）'!C:C&lt;=$L$4),ROW(),"-")</f>
        <v>-</v>
      </c>
    </row>
    <row r="41678" customHeight="1" spans="2:2">
      <c r="B41678" s="62" t="str">
        <f>IF(AND('领用录入（明细）'!D:D=$F$4,'领用录入（明细）'!C:C&gt;=$J$4,'领用录入（明细）'!C:C&lt;=$L$4),ROW(),"-")</f>
        <v>-</v>
      </c>
    </row>
    <row r="41679" customHeight="1" spans="2:2">
      <c r="B41679" s="62" t="str">
        <f>IF(AND('领用录入（明细）'!D:D=$F$4,'领用录入（明细）'!C:C&gt;=$J$4,'领用录入（明细）'!C:C&lt;=$L$4),ROW(),"-")</f>
        <v>-</v>
      </c>
    </row>
    <row r="41680" customHeight="1" spans="2:2">
      <c r="B41680" s="62" t="str">
        <f>IF(AND('领用录入（明细）'!D:D=$F$4,'领用录入（明细）'!C:C&gt;=$J$4,'领用录入（明细）'!C:C&lt;=$L$4),ROW(),"-")</f>
        <v>-</v>
      </c>
    </row>
    <row r="41681" customHeight="1" spans="2:2">
      <c r="B41681" s="62" t="str">
        <f>IF(AND('领用录入（明细）'!D:D=$F$4,'领用录入（明细）'!C:C&gt;=$J$4,'领用录入（明细）'!C:C&lt;=$L$4),ROW(),"-")</f>
        <v>-</v>
      </c>
    </row>
    <row r="41682" customHeight="1" spans="2:2">
      <c r="B41682" s="62" t="str">
        <f>IF(AND('领用录入（明细）'!D:D=$F$4,'领用录入（明细）'!C:C&gt;=$J$4,'领用录入（明细）'!C:C&lt;=$L$4),ROW(),"-")</f>
        <v>-</v>
      </c>
    </row>
    <row r="41683" customHeight="1" spans="2:2">
      <c r="B41683" s="62" t="str">
        <f>IF(AND('领用录入（明细）'!D:D=$F$4,'领用录入（明细）'!C:C&gt;=$J$4,'领用录入（明细）'!C:C&lt;=$L$4),ROW(),"-")</f>
        <v>-</v>
      </c>
    </row>
    <row r="41684" customHeight="1" spans="2:2">
      <c r="B41684" s="62" t="str">
        <f>IF(AND('领用录入（明细）'!D:D=$F$4,'领用录入（明细）'!C:C&gt;=$J$4,'领用录入（明细）'!C:C&lt;=$L$4),ROW(),"-")</f>
        <v>-</v>
      </c>
    </row>
    <row r="41685" customHeight="1" spans="2:2">
      <c r="B41685" s="62" t="str">
        <f>IF(AND('领用录入（明细）'!D:D=$F$4,'领用录入（明细）'!C:C&gt;=$J$4,'领用录入（明细）'!C:C&lt;=$L$4),ROW(),"-")</f>
        <v>-</v>
      </c>
    </row>
    <row r="41686" customHeight="1" spans="2:2">
      <c r="B41686" s="62" t="str">
        <f>IF(AND('领用录入（明细）'!D:D=$F$4,'领用录入（明细）'!C:C&gt;=$J$4,'领用录入（明细）'!C:C&lt;=$L$4),ROW(),"-")</f>
        <v>-</v>
      </c>
    </row>
    <row r="41687" customHeight="1" spans="2:2">
      <c r="B41687" s="62" t="str">
        <f>IF(AND('领用录入（明细）'!D:D=$F$4,'领用录入（明细）'!C:C&gt;=$J$4,'领用录入（明细）'!C:C&lt;=$L$4),ROW(),"-")</f>
        <v>-</v>
      </c>
    </row>
    <row r="41688" customHeight="1" spans="2:2">
      <c r="B41688" s="62" t="str">
        <f>IF(AND('领用录入（明细）'!D:D=$F$4,'领用录入（明细）'!C:C&gt;=$J$4,'领用录入（明细）'!C:C&lt;=$L$4),ROW(),"-")</f>
        <v>-</v>
      </c>
    </row>
    <row r="41689" customHeight="1" spans="2:2">
      <c r="B41689" s="62" t="str">
        <f>IF(AND('领用录入（明细）'!D:D=$F$4,'领用录入（明细）'!C:C&gt;=$J$4,'领用录入（明细）'!C:C&lt;=$L$4),ROW(),"-")</f>
        <v>-</v>
      </c>
    </row>
    <row r="41690" customHeight="1" spans="2:2">
      <c r="B41690" s="62" t="str">
        <f>IF(AND('领用录入（明细）'!D:D=$F$4,'领用录入（明细）'!C:C&gt;=$J$4,'领用录入（明细）'!C:C&lt;=$L$4),ROW(),"-")</f>
        <v>-</v>
      </c>
    </row>
    <row r="41691" customHeight="1" spans="2:2">
      <c r="B41691" s="62" t="str">
        <f>IF(AND('领用录入（明细）'!D:D=$F$4,'领用录入（明细）'!C:C&gt;=$J$4,'领用录入（明细）'!C:C&lt;=$L$4),ROW(),"-")</f>
        <v>-</v>
      </c>
    </row>
    <row r="41692" customHeight="1" spans="2:2">
      <c r="B41692" s="62" t="str">
        <f>IF(AND('领用录入（明细）'!D:D=$F$4,'领用录入（明细）'!C:C&gt;=$J$4,'领用录入（明细）'!C:C&lt;=$L$4),ROW(),"-")</f>
        <v>-</v>
      </c>
    </row>
    <row r="41693" customHeight="1" spans="2:2">
      <c r="B41693" s="62" t="str">
        <f>IF(AND('领用录入（明细）'!D:D=$F$4,'领用录入（明细）'!C:C&gt;=$J$4,'领用录入（明细）'!C:C&lt;=$L$4),ROW(),"-")</f>
        <v>-</v>
      </c>
    </row>
    <row r="41694" customHeight="1" spans="2:2">
      <c r="B41694" s="62" t="str">
        <f>IF(AND('领用录入（明细）'!D:D=$F$4,'领用录入（明细）'!C:C&gt;=$J$4,'领用录入（明细）'!C:C&lt;=$L$4),ROW(),"-")</f>
        <v>-</v>
      </c>
    </row>
    <row r="41695" customHeight="1" spans="2:2">
      <c r="B41695" s="62" t="str">
        <f>IF(AND('领用录入（明细）'!D:D=$F$4,'领用录入（明细）'!C:C&gt;=$J$4,'领用录入（明细）'!C:C&lt;=$L$4),ROW(),"-")</f>
        <v>-</v>
      </c>
    </row>
    <row r="41696" customHeight="1" spans="2:2">
      <c r="B41696" s="62" t="str">
        <f>IF(AND('领用录入（明细）'!D:D=$F$4,'领用录入（明细）'!C:C&gt;=$J$4,'领用录入（明细）'!C:C&lt;=$L$4),ROW(),"-")</f>
        <v>-</v>
      </c>
    </row>
    <row r="41697" customHeight="1" spans="2:2">
      <c r="B41697" s="62" t="str">
        <f>IF(AND('领用录入（明细）'!D:D=$F$4,'领用录入（明细）'!C:C&gt;=$J$4,'领用录入（明细）'!C:C&lt;=$L$4),ROW(),"-")</f>
        <v>-</v>
      </c>
    </row>
    <row r="41698" customHeight="1" spans="2:2">
      <c r="B41698" s="62" t="str">
        <f>IF(AND('领用录入（明细）'!D:D=$F$4,'领用录入（明细）'!C:C&gt;=$J$4,'领用录入（明细）'!C:C&lt;=$L$4),ROW(),"-")</f>
        <v>-</v>
      </c>
    </row>
    <row r="41699" customHeight="1" spans="2:2">
      <c r="B41699" s="62" t="str">
        <f>IF(AND('领用录入（明细）'!D:D=$F$4,'领用录入（明细）'!C:C&gt;=$J$4,'领用录入（明细）'!C:C&lt;=$L$4),ROW(),"-")</f>
        <v>-</v>
      </c>
    </row>
    <row r="41700" customHeight="1" spans="2:2">
      <c r="B41700" s="62" t="str">
        <f>IF(AND('领用录入（明细）'!D:D=$F$4,'领用录入（明细）'!C:C&gt;=$J$4,'领用录入（明细）'!C:C&lt;=$L$4),ROW(),"-")</f>
        <v>-</v>
      </c>
    </row>
    <row r="41701" customHeight="1" spans="2:2">
      <c r="B41701" s="62" t="str">
        <f>IF(AND('领用录入（明细）'!D:D=$F$4,'领用录入（明细）'!C:C&gt;=$J$4,'领用录入（明细）'!C:C&lt;=$L$4),ROW(),"-")</f>
        <v>-</v>
      </c>
    </row>
    <row r="41702" customHeight="1" spans="2:2">
      <c r="B41702" s="62" t="str">
        <f>IF(AND('领用录入（明细）'!D:D=$F$4,'领用录入（明细）'!C:C&gt;=$J$4,'领用录入（明细）'!C:C&lt;=$L$4),ROW(),"-")</f>
        <v>-</v>
      </c>
    </row>
    <row r="41703" customHeight="1" spans="2:2">
      <c r="B41703" s="62" t="str">
        <f>IF(AND('领用录入（明细）'!D:D=$F$4,'领用录入（明细）'!C:C&gt;=$J$4,'领用录入（明细）'!C:C&lt;=$L$4),ROW(),"-")</f>
        <v>-</v>
      </c>
    </row>
    <row r="41704" customHeight="1" spans="2:2">
      <c r="B41704" s="62" t="str">
        <f>IF(AND('领用录入（明细）'!D:D=$F$4,'领用录入（明细）'!C:C&gt;=$J$4,'领用录入（明细）'!C:C&lt;=$L$4),ROW(),"-")</f>
        <v>-</v>
      </c>
    </row>
    <row r="41705" customHeight="1" spans="2:2">
      <c r="B41705" s="62" t="str">
        <f>IF(AND('领用录入（明细）'!D:D=$F$4,'领用录入（明细）'!C:C&gt;=$J$4,'领用录入（明细）'!C:C&lt;=$L$4),ROW(),"-")</f>
        <v>-</v>
      </c>
    </row>
    <row r="41706" customHeight="1" spans="2:2">
      <c r="B41706" s="62" t="str">
        <f>IF(AND('领用录入（明细）'!D:D=$F$4,'领用录入（明细）'!C:C&gt;=$J$4,'领用录入（明细）'!C:C&lt;=$L$4),ROW(),"-")</f>
        <v>-</v>
      </c>
    </row>
    <row r="41707" customHeight="1" spans="2:2">
      <c r="B41707" s="62" t="str">
        <f>IF(AND('领用录入（明细）'!D:D=$F$4,'领用录入（明细）'!C:C&gt;=$J$4,'领用录入（明细）'!C:C&lt;=$L$4),ROW(),"-")</f>
        <v>-</v>
      </c>
    </row>
    <row r="41708" customHeight="1" spans="2:2">
      <c r="B41708" s="62" t="str">
        <f>IF(AND('领用录入（明细）'!D:D=$F$4,'领用录入（明细）'!C:C&gt;=$J$4,'领用录入（明细）'!C:C&lt;=$L$4),ROW(),"-")</f>
        <v>-</v>
      </c>
    </row>
    <row r="41709" customHeight="1" spans="2:2">
      <c r="B41709" s="62" t="str">
        <f>IF(AND('领用录入（明细）'!D:D=$F$4,'领用录入（明细）'!C:C&gt;=$J$4,'领用录入（明细）'!C:C&lt;=$L$4),ROW(),"-")</f>
        <v>-</v>
      </c>
    </row>
    <row r="41710" customHeight="1" spans="2:2">
      <c r="B41710" s="62" t="str">
        <f>IF(AND('领用录入（明细）'!D:D=$F$4,'领用录入（明细）'!C:C&gt;=$J$4,'领用录入（明细）'!C:C&lt;=$L$4),ROW(),"-")</f>
        <v>-</v>
      </c>
    </row>
    <row r="41711" customHeight="1" spans="2:2">
      <c r="B41711" s="62" t="str">
        <f>IF(AND('领用录入（明细）'!D:D=$F$4,'领用录入（明细）'!C:C&gt;=$J$4,'领用录入（明细）'!C:C&lt;=$L$4),ROW(),"-")</f>
        <v>-</v>
      </c>
    </row>
    <row r="41712" customHeight="1" spans="2:2">
      <c r="B41712" s="62" t="str">
        <f>IF(AND('领用录入（明细）'!D:D=$F$4,'领用录入（明细）'!C:C&gt;=$J$4,'领用录入（明细）'!C:C&lt;=$L$4),ROW(),"-")</f>
        <v>-</v>
      </c>
    </row>
    <row r="41713" customHeight="1" spans="2:2">
      <c r="B41713" s="62" t="str">
        <f>IF(AND('领用录入（明细）'!D:D=$F$4,'领用录入（明细）'!C:C&gt;=$J$4,'领用录入（明细）'!C:C&lt;=$L$4),ROW(),"-")</f>
        <v>-</v>
      </c>
    </row>
    <row r="41714" customHeight="1" spans="2:2">
      <c r="B41714" s="62" t="str">
        <f>IF(AND('领用录入（明细）'!D:D=$F$4,'领用录入（明细）'!C:C&gt;=$J$4,'领用录入（明细）'!C:C&lt;=$L$4),ROW(),"-")</f>
        <v>-</v>
      </c>
    </row>
    <row r="41715" customHeight="1" spans="2:2">
      <c r="B41715" s="62" t="str">
        <f>IF(AND('领用录入（明细）'!D:D=$F$4,'领用录入（明细）'!C:C&gt;=$J$4,'领用录入（明细）'!C:C&lt;=$L$4),ROW(),"-")</f>
        <v>-</v>
      </c>
    </row>
    <row r="41716" customHeight="1" spans="2:2">
      <c r="B41716" s="62" t="str">
        <f>IF(AND('领用录入（明细）'!D:D=$F$4,'领用录入（明细）'!C:C&gt;=$J$4,'领用录入（明细）'!C:C&lt;=$L$4),ROW(),"-")</f>
        <v>-</v>
      </c>
    </row>
    <row r="41717" customHeight="1" spans="2:2">
      <c r="B41717" s="62" t="str">
        <f>IF(AND('领用录入（明细）'!D:D=$F$4,'领用录入（明细）'!C:C&gt;=$J$4,'领用录入（明细）'!C:C&lt;=$L$4),ROW(),"-")</f>
        <v>-</v>
      </c>
    </row>
    <row r="41718" customHeight="1" spans="2:2">
      <c r="B41718" s="62" t="str">
        <f>IF(AND('领用录入（明细）'!D:D=$F$4,'领用录入（明细）'!C:C&gt;=$J$4,'领用录入（明细）'!C:C&lt;=$L$4),ROW(),"-")</f>
        <v>-</v>
      </c>
    </row>
    <row r="41719" customHeight="1" spans="2:2">
      <c r="B41719" s="62" t="str">
        <f>IF(AND('领用录入（明细）'!D:D=$F$4,'领用录入（明细）'!C:C&gt;=$J$4,'领用录入（明细）'!C:C&lt;=$L$4),ROW(),"-")</f>
        <v>-</v>
      </c>
    </row>
    <row r="41720" customHeight="1" spans="2:2">
      <c r="B41720" s="62" t="str">
        <f>IF(AND('领用录入（明细）'!D:D=$F$4,'领用录入（明细）'!C:C&gt;=$J$4,'领用录入（明细）'!C:C&lt;=$L$4),ROW(),"-")</f>
        <v>-</v>
      </c>
    </row>
    <row r="41721" customHeight="1" spans="2:2">
      <c r="B41721" s="62" t="str">
        <f>IF(AND('领用录入（明细）'!D:D=$F$4,'领用录入（明细）'!C:C&gt;=$J$4,'领用录入（明细）'!C:C&lt;=$L$4),ROW(),"-")</f>
        <v>-</v>
      </c>
    </row>
    <row r="41722" customHeight="1" spans="2:2">
      <c r="B41722" s="62" t="str">
        <f>IF(AND('领用录入（明细）'!D:D=$F$4,'领用录入（明细）'!C:C&gt;=$J$4,'领用录入（明细）'!C:C&lt;=$L$4),ROW(),"-")</f>
        <v>-</v>
      </c>
    </row>
    <row r="41723" customHeight="1" spans="2:2">
      <c r="B41723" s="62" t="str">
        <f>IF(AND('领用录入（明细）'!D:D=$F$4,'领用录入（明细）'!C:C&gt;=$J$4,'领用录入（明细）'!C:C&lt;=$L$4),ROW(),"-")</f>
        <v>-</v>
      </c>
    </row>
    <row r="41724" customHeight="1" spans="2:2">
      <c r="B41724" s="62" t="str">
        <f>IF(AND('领用录入（明细）'!D:D=$F$4,'领用录入（明细）'!C:C&gt;=$J$4,'领用录入（明细）'!C:C&lt;=$L$4),ROW(),"-")</f>
        <v>-</v>
      </c>
    </row>
    <row r="41725" customHeight="1" spans="2:2">
      <c r="B41725" s="62" t="str">
        <f>IF(AND('领用录入（明细）'!D:D=$F$4,'领用录入（明细）'!C:C&gt;=$J$4,'领用录入（明细）'!C:C&lt;=$L$4),ROW(),"-")</f>
        <v>-</v>
      </c>
    </row>
    <row r="41726" customHeight="1" spans="2:2">
      <c r="B41726" s="62" t="str">
        <f>IF(AND('领用录入（明细）'!D:D=$F$4,'领用录入（明细）'!C:C&gt;=$J$4,'领用录入（明细）'!C:C&lt;=$L$4),ROW(),"-")</f>
        <v>-</v>
      </c>
    </row>
    <row r="41727" customHeight="1" spans="2:2">
      <c r="B41727" s="62" t="str">
        <f>IF(AND('领用录入（明细）'!D:D=$F$4,'领用录入（明细）'!C:C&gt;=$J$4,'领用录入（明细）'!C:C&lt;=$L$4),ROW(),"-")</f>
        <v>-</v>
      </c>
    </row>
    <row r="41728" customHeight="1" spans="2:2">
      <c r="B41728" s="62" t="str">
        <f>IF(AND('领用录入（明细）'!D:D=$F$4,'领用录入（明细）'!C:C&gt;=$J$4,'领用录入（明细）'!C:C&lt;=$L$4),ROW(),"-")</f>
        <v>-</v>
      </c>
    </row>
    <row r="41729" customHeight="1" spans="2:2">
      <c r="B41729" s="62" t="str">
        <f>IF(AND('领用录入（明细）'!D:D=$F$4,'领用录入（明细）'!C:C&gt;=$J$4,'领用录入（明细）'!C:C&lt;=$L$4),ROW(),"-")</f>
        <v>-</v>
      </c>
    </row>
    <row r="41730" customHeight="1" spans="2:2">
      <c r="B41730" s="62" t="str">
        <f>IF(AND('领用录入（明细）'!D:D=$F$4,'领用录入（明细）'!C:C&gt;=$J$4,'领用录入（明细）'!C:C&lt;=$L$4),ROW(),"-")</f>
        <v>-</v>
      </c>
    </row>
    <row r="41731" customHeight="1" spans="2:2">
      <c r="B41731" s="62" t="str">
        <f>IF(AND('领用录入（明细）'!D:D=$F$4,'领用录入（明细）'!C:C&gt;=$J$4,'领用录入（明细）'!C:C&lt;=$L$4),ROW(),"-")</f>
        <v>-</v>
      </c>
    </row>
    <row r="41732" customHeight="1" spans="2:2">
      <c r="B41732" s="62" t="str">
        <f>IF(AND('领用录入（明细）'!D:D=$F$4,'领用录入（明细）'!C:C&gt;=$J$4,'领用录入（明细）'!C:C&lt;=$L$4),ROW(),"-")</f>
        <v>-</v>
      </c>
    </row>
    <row r="41733" customHeight="1" spans="2:2">
      <c r="B41733" s="62" t="str">
        <f>IF(AND('领用录入（明细）'!D:D=$F$4,'领用录入（明细）'!C:C&gt;=$J$4,'领用录入（明细）'!C:C&lt;=$L$4),ROW(),"-")</f>
        <v>-</v>
      </c>
    </row>
    <row r="41734" customHeight="1" spans="2:2">
      <c r="B41734" s="62" t="str">
        <f>IF(AND('领用录入（明细）'!D:D=$F$4,'领用录入（明细）'!C:C&gt;=$J$4,'领用录入（明细）'!C:C&lt;=$L$4),ROW(),"-")</f>
        <v>-</v>
      </c>
    </row>
    <row r="41735" customHeight="1" spans="2:2">
      <c r="B41735" s="62" t="str">
        <f>IF(AND('领用录入（明细）'!D:D=$F$4,'领用录入（明细）'!C:C&gt;=$J$4,'领用录入（明细）'!C:C&lt;=$L$4),ROW(),"-")</f>
        <v>-</v>
      </c>
    </row>
    <row r="41736" customHeight="1" spans="2:2">
      <c r="B41736" s="62" t="str">
        <f>IF(AND('领用录入（明细）'!D:D=$F$4,'领用录入（明细）'!C:C&gt;=$J$4,'领用录入（明细）'!C:C&lt;=$L$4),ROW(),"-")</f>
        <v>-</v>
      </c>
    </row>
    <row r="41737" customHeight="1" spans="2:2">
      <c r="B41737" s="62" t="str">
        <f>IF(AND('领用录入（明细）'!D:D=$F$4,'领用录入（明细）'!C:C&gt;=$J$4,'领用录入（明细）'!C:C&lt;=$L$4),ROW(),"-")</f>
        <v>-</v>
      </c>
    </row>
    <row r="41738" customHeight="1" spans="2:2">
      <c r="B41738" s="62" t="str">
        <f>IF(AND('领用录入（明细）'!D:D=$F$4,'领用录入（明细）'!C:C&gt;=$J$4,'领用录入（明细）'!C:C&lt;=$L$4),ROW(),"-")</f>
        <v>-</v>
      </c>
    </row>
    <row r="41739" customHeight="1" spans="2:2">
      <c r="B41739" s="62" t="str">
        <f>IF(AND('领用录入（明细）'!D:D=$F$4,'领用录入（明细）'!C:C&gt;=$J$4,'领用录入（明细）'!C:C&lt;=$L$4),ROW(),"-")</f>
        <v>-</v>
      </c>
    </row>
    <row r="41740" customHeight="1" spans="2:2">
      <c r="B41740" s="62" t="str">
        <f>IF(AND('领用录入（明细）'!D:D=$F$4,'领用录入（明细）'!C:C&gt;=$J$4,'领用录入（明细）'!C:C&lt;=$L$4),ROW(),"-")</f>
        <v>-</v>
      </c>
    </row>
    <row r="41741" customHeight="1" spans="2:2">
      <c r="B41741" s="62" t="str">
        <f>IF(AND('领用录入（明细）'!D:D=$F$4,'领用录入（明细）'!C:C&gt;=$J$4,'领用录入（明细）'!C:C&lt;=$L$4),ROW(),"-")</f>
        <v>-</v>
      </c>
    </row>
    <row r="41742" customHeight="1" spans="2:2">
      <c r="B41742" s="62" t="str">
        <f>IF(AND('领用录入（明细）'!D:D=$F$4,'领用录入（明细）'!C:C&gt;=$J$4,'领用录入（明细）'!C:C&lt;=$L$4),ROW(),"-")</f>
        <v>-</v>
      </c>
    </row>
    <row r="41743" customHeight="1" spans="2:2">
      <c r="B41743" s="62" t="str">
        <f>IF(AND('领用录入（明细）'!D:D=$F$4,'领用录入（明细）'!C:C&gt;=$J$4,'领用录入（明细）'!C:C&lt;=$L$4),ROW(),"-")</f>
        <v>-</v>
      </c>
    </row>
    <row r="41744" customHeight="1" spans="2:2">
      <c r="B41744" s="62" t="str">
        <f>IF(AND('领用录入（明细）'!D:D=$F$4,'领用录入（明细）'!C:C&gt;=$J$4,'领用录入（明细）'!C:C&lt;=$L$4),ROW(),"-")</f>
        <v>-</v>
      </c>
    </row>
    <row r="41745" customHeight="1" spans="2:2">
      <c r="B41745" s="62" t="str">
        <f>IF(AND('领用录入（明细）'!D:D=$F$4,'领用录入（明细）'!C:C&gt;=$J$4,'领用录入（明细）'!C:C&lt;=$L$4),ROW(),"-")</f>
        <v>-</v>
      </c>
    </row>
    <row r="41746" customHeight="1" spans="2:2">
      <c r="B41746" s="62" t="str">
        <f>IF(AND('领用录入（明细）'!D:D=$F$4,'领用录入（明细）'!C:C&gt;=$J$4,'领用录入（明细）'!C:C&lt;=$L$4),ROW(),"-")</f>
        <v>-</v>
      </c>
    </row>
    <row r="41747" customHeight="1" spans="2:2">
      <c r="B41747" s="62" t="str">
        <f>IF(AND('领用录入（明细）'!D:D=$F$4,'领用录入（明细）'!C:C&gt;=$J$4,'领用录入（明细）'!C:C&lt;=$L$4),ROW(),"-")</f>
        <v>-</v>
      </c>
    </row>
    <row r="41748" customHeight="1" spans="2:2">
      <c r="B41748" s="62" t="str">
        <f>IF(AND('领用录入（明细）'!D:D=$F$4,'领用录入（明细）'!C:C&gt;=$J$4,'领用录入（明细）'!C:C&lt;=$L$4),ROW(),"-")</f>
        <v>-</v>
      </c>
    </row>
    <row r="41749" customHeight="1" spans="2:2">
      <c r="B41749" s="62" t="str">
        <f>IF(AND('领用录入（明细）'!D:D=$F$4,'领用录入（明细）'!C:C&gt;=$J$4,'领用录入（明细）'!C:C&lt;=$L$4),ROW(),"-")</f>
        <v>-</v>
      </c>
    </row>
    <row r="41750" customHeight="1" spans="2:2">
      <c r="B41750" s="62" t="str">
        <f>IF(AND('领用录入（明细）'!D:D=$F$4,'领用录入（明细）'!C:C&gt;=$J$4,'领用录入（明细）'!C:C&lt;=$L$4),ROW(),"-")</f>
        <v>-</v>
      </c>
    </row>
    <row r="41751" customHeight="1" spans="2:2">
      <c r="B41751" s="62" t="str">
        <f>IF(AND('领用录入（明细）'!D:D=$F$4,'领用录入（明细）'!C:C&gt;=$J$4,'领用录入（明细）'!C:C&lt;=$L$4),ROW(),"-")</f>
        <v>-</v>
      </c>
    </row>
    <row r="41752" customHeight="1" spans="2:2">
      <c r="B41752" s="62" t="str">
        <f>IF(AND('领用录入（明细）'!D:D=$F$4,'领用录入（明细）'!C:C&gt;=$J$4,'领用录入（明细）'!C:C&lt;=$L$4),ROW(),"-")</f>
        <v>-</v>
      </c>
    </row>
    <row r="41753" customHeight="1" spans="2:2">
      <c r="B41753" s="62" t="str">
        <f>IF(AND('领用录入（明细）'!D:D=$F$4,'领用录入（明细）'!C:C&gt;=$J$4,'领用录入（明细）'!C:C&lt;=$L$4),ROW(),"-")</f>
        <v>-</v>
      </c>
    </row>
    <row r="41754" customHeight="1" spans="2:2">
      <c r="B41754" s="62" t="str">
        <f>IF(AND('领用录入（明细）'!D:D=$F$4,'领用录入（明细）'!C:C&gt;=$J$4,'领用录入（明细）'!C:C&lt;=$L$4),ROW(),"-")</f>
        <v>-</v>
      </c>
    </row>
    <row r="41755" customHeight="1" spans="2:2">
      <c r="B41755" s="62" t="str">
        <f>IF(AND('领用录入（明细）'!D:D=$F$4,'领用录入（明细）'!C:C&gt;=$J$4,'领用录入（明细）'!C:C&lt;=$L$4),ROW(),"-")</f>
        <v>-</v>
      </c>
    </row>
    <row r="41756" customHeight="1" spans="2:2">
      <c r="B41756" s="62" t="str">
        <f>IF(AND('领用录入（明细）'!D:D=$F$4,'领用录入（明细）'!C:C&gt;=$J$4,'领用录入（明细）'!C:C&lt;=$L$4),ROW(),"-")</f>
        <v>-</v>
      </c>
    </row>
    <row r="41757" customHeight="1" spans="2:2">
      <c r="B41757" s="62" t="str">
        <f>IF(AND('领用录入（明细）'!D:D=$F$4,'领用录入（明细）'!C:C&gt;=$J$4,'领用录入（明细）'!C:C&lt;=$L$4),ROW(),"-")</f>
        <v>-</v>
      </c>
    </row>
    <row r="41758" customHeight="1" spans="2:2">
      <c r="B41758" s="62" t="str">
        <f>IF(AND('领用录入（明细）'!D:D=$F$4,'领用录入（明细）'!C:C&gt;=$J$4,'领用录入（明细）'!C:C&lt;=$L$4),ROW(),"-")</f>
        <v>-</v>
      </c>
    </row>
    <row r="41759" customHeight="1" spans="2:2">
      <c r="B41759" s="62" t="str">
        <f>IF(AND('领用录入（明细）'!D:D=$F$4,'领用录入（明细）'!C:C&gt;=$J$4,'领用录入（明细）'!C:C&lt;=$L$4),ROW(),"-")</f>
        <v>-</v>
      </c>
    </row>
    <row r="41760" customHeight="1" spans="2:2">
      <c r="B41760" s="62" t="str">
        <f>IF(AND('领用录入（明细）'!D:D=$F$4,'领用录入（明细）'!C:C&gt;=$J$4,'领用录入（明细）'!C:C&lt;=$L$4),ROW(),"-")</f>
        <v>-</v>
      </c>
    </row>
    <row r="41761" customHeight="1" spans="2:2">
      <c r="B41761" s="62" t="str">
        <f>IF(AND('领用录入（明细）'!D:D=$F$4,'领用录入（明细）'!C:C&gt;=$J$4,'领用录入（明细）'!C:C&lt;=$L$4),ROW(),"-")</f>
        <v>-</v>
      </c>
    </row>
    <row r="41762" customHeight="1" spans="2:2">
      <c r="B41762" s="62" t="str">
        <f>IF(AND('领用录入（明细）'!D:D=$F$4,'领用录入（明细）'!C:C&gt;=$J$4,'领用录入（明细）'!C:C&lt;=$L$4),ROW(),"-")</f>
        <v>-</v>
      </c>
    </row>
    <row r="41763" customHeight="1" spans="2:2">
      <c r="B41763" s="62" t="str">
        <f>IF(AND('领用录入（明细）'!D:D=$F$4,'领用录入（明细）'!C:C&gt;=$J$4,'领用录入（明细）'!C:C&lt;=$L$4),ROW(),"-")</f>
        <v>-</v>
      </c>
    </row>
    <row r="41764" customHeight="1" spans="2:2">
      <c r="B41764" s="62" t="str">
        <f>IF(AND('领用录入（明细）'!D:D=$F$4,'领用录入（明细）'!C:C&gt;=$J$4,'领用录入（明细）'!C:C&lt;=$L$4),ROW(),"-")</f>
        <v>-</v>
      </c>
    </row>
    <row r="41765" customHeight="1" spans="2:2">
      <c r="B41765" s="62" t="str">
        <f>IF(AND('领用录入（明细）'!D:D=$F$4,'领用录入（明细）'!C:C&gt;=$J$4,'领用录入（明细）'!C:C&lt;=$L$4),ROW(),"-")</f>
        <v>-</v>
      </c>
    </row>
    <row r="41766" customHeight="1" spans="2:2">
      <c r="B41766" s="62" t="str">
        <f>IF(AND('领用录入（明细）'!D:D=$F$4,'领用录入（明细）'!C:C&gt;=$J$4,'领用录入（明细）'!C:C&lt;=$L$4),ROW(),"-")</f>
        <v>-</v>
      </c>
    </row>
    <row r="41767" customHeight="1" spans="2:2">
      <c r="B41767" s="62" t="str">
        <f>IF(AND('领用录入（明细）'!D:D=$F$4,'领用录入（明细）'!C:C&gt;=$J$4,'领用录入（明细）'!C:C&lt;=$L$4),ROW(),"-")</f>
        <v>-</v>
      </c>
    </row>
    <row r="41768" customHeight="1" spans="2:2">
      <c r="B41768" s="62" t="str">
        <f>IF(AND('领用录入（明细）'!D:D=$F$4,'领用录入（明细）'!C:C&gt;=$J$4,'领用录入（明细）'!C:C&lt;=$L$4),ROW(),"-")</f>
        <v>-</v>
      </c>
    </row>
    <row r="41769" customHeight="1" spans="2:2">
      <c r="B41769" s="62" t="str">
        <f>IF(AND('领用录入（明细）'!D:D=$F$4,'领用录入（明细）'!C:C&gt;=$J$4,'领用录入（明细）'!C:C&lt;=$L$4),ROW(),"-")</f>
        <v>-</v>
      </c>
    </row>
    <row r="41770" customHeight="1" spans="2:2">
      <c r="B41770" s="62" t="str">
        <f>IF(AND('领用录入（明细）'!D:D=$F$4,'领用录入（明细）'!C:C&gt;=$J$4,'领用录入（明细）'!C:C&lt;=$L$4),ROW(),"-")</f>
        <v>-</v>
      </c>
    </row>
    <row r="41771" customHeight="1" spans="2:2">
      <c r="B41771" s="62" t="str">
        <f>IF(AND('领用录入（明细）'!D:D=$F$4,'领用录入（明细）'!C:C&gt;=$J$4,'领用录入（明细）'!C:C&lt;=$L$4),ROW(),"-")</f>
        <v>-</v>
      </c>
    </row>
    <row r="41772" customHeight="1" spans="2:2">
      <c r="B41772" s="62" t="str">
        <f>IF(AND('领用录入（明细）'!D:D=$F$4,'领用录入（明细）'!C:C&gt;=$J$4,'领用录入（明细）'!C:C&lt;=$L$4),ROW(),"-")</f>
        <v>-</v>
      </c>
    </row>
    <row r="41773" customHeight="1" spans="2:2">
      <c r="B41773" s="62" t="str">
        <f>IF(AND('领用录入（明细）'!D:D=$F$4,'领用录入（明细）'!C:C&gt;=$J$4,'领用录入（明细）'!C:C&lt;=$L$4),ROW(),"-")</f>
        <v>-</v>
      </c>
    </row>
    <row r="41774" customHeight="1" spans="2:2">
      <c r="B41774" s="62" t="str">
        <f>IF(AND('领用录入（明细）'!D:D=$F$4,'领用录入（明细）'!C:C&gt;=$J$4,'领用录入（明细）'!C:C&lt;=$L$4),ROW(),"-")</f>
        <v>-</v>
      </c>
    </row>
    <row r="41775" customHeight="1" spans="2:2">
      <c r="B41775" s="62" t="str">
        <f>IF(AND('领用录入（明细）'!D:D=$F$4,'领用录入（明细）'!C:C&gt;=$J$4,'领用录入（明细）'!C:C&lt;=$L$4),ROW(),"-")</f>
        <v>-</v>
      </c>
    </row>
    <row r="41776" customHeight="1" spans="2:2">
      <c r="B41776" s="62" t="str">
        <f>IF(AND('领用录入（明细）'!D:D=$F$4,'领用录入（明细）'!C:C&gt;=$J$4,'领用录入（明细）'!C:C&lt;=$L$4),ROW(),"-")</f>
        <v>-</v>
      </c>
    </row>
    <row r="41777" customHeight="1" spans="2:2">
      <c r="B41777" s="62" t="str">
        <f>IF(AND('领用录入（明细）'!D:D=$F$4,'领用录入（明细）'!C:C&gt;=$J$4,'领用录入（明细）'!C:C&lt;=$L$4),ROW(),"-")</f>
        <v>-</v>
      </c>
    </row>
    <row r="41778" customHeight="1" spans="2:2">
      <c r="B41778" s="62" t="str">
        <f>IF(AND('领用录入（明细）'!D:D=$F$4,'领用录入（明细）'!C:C&gt;=$J$4,'领用录入（明细）'!C:C&lt;=$L$4),ROW(),"-")</f>
        <v>-</v>
      </c>
    </row>
    <row r="41779" customHeight="1" spans="2:2">
      <c r="B41779" s="62" t="str">
        <f>IF(AND('领用录入（明细）'!D:D=$F$4,'领用录入（明细）'!C:C&gt;=$J$4,'领用录入（明细）'!C:C&lt;=$L$4),ROW(),"-")</f>
        <v>-</v>
      </c>
    </row>
    <row r="41780" customHeight="1" spans="2:2">
      <c r="B41780" s="62" t="str">
        <f>IF(AND('领用录入（明细）'!D:D=$F$4,'领用录入（明细）'!C:C&gt;=$J$4,'领用录入（明细）'!C:C&lt;=$L$4),ROW(),"-")</f>
        <v>-</v>
      </c>
    </row>
    <row r="41781" customHeight="1" spans="2:2">
      <c r="B41781" s="62" t="str">
        <f>IF(AND('领用录入（明细）'!D:D=$F$4,'领用录入（明细）'!C:C&gt;=$J$4,'领用录入（明细）'!C:C&lt;=$L$4),ROW(),"-")</f>
        <v>-</v>
      </c>
    </row>
    <row r="41782" customHeight="1" spans="2:2">
      <c r="B41782" s="62" t="str">
        <f>IF(AND('领用录入（明细）'!D:D=$F$4,'领用录入（明细）'!C:C&gt;=$J$4,'领用录入（明细）'!C:C&lt;=$L$4),ROW(),"-")</f>
        <v>-</v>
      </c>
    </row>
    <row r="41783" customHeight="1" spans="2:2">
      <c r="B41783" s="62" t="str">
        <f>IF(AND('领用录入（明细）'!D:D=$F$4,'领用录入（明细）'!C:C&gt;=$J$4,'领用录入（明细）'!C:C&lt;=$L$4),ROW(),"-")</f>
        <v>-</v>
      </c>
    </row>
    <row r="41784" customHeight="1" spans="2:2">
      <c r="B41784" s="62" t="str">
        <f>IF(AND('领用录入（明细）'!D:D=$F$4,'领用录入（明细）'!C:C&gt;=$J$4,'领用录入（明细）'!C:C&lt;=$L$4),ROW(),"-")</f>
        <v>-</v>
      </c>
    </row>
    <row r="41785" customHeight="1" spans="2:2">
      <c r="B41785" s="62" t="str">
        <f>IF(AND('领用录入（明细）'!D:D=$F$4,'领用录入（明细）'!C:C&gt;=$J$4,'领用录入（明细）'!C:C&lt;=$L$4),ROW(),"-")</f>
        <v>-</v>
      </c>
    </row>
    <row r="41786" customHeight="1" spans="2:2">
      <c r="B41786" s="62" t="str">
        <f>IF(AND('领用录入（明细）'!D:D=$F$4,'领用录入（明细）'!C:C&gt;=$J$4,'领用录入（明细）'!C:C&lt;=$L$4),ROW(),"-")</f>
        <v>-</v>
      </c>
    </row>
    <row r="41787" customHeight="1" spans="2:2">
      <c r="B41787" s="62" t="str">
        <f>IF(AND('领用录入（明细）'!D:D=$F$4,'领用录入（明细）'!C:C&gt;=$J$4,'领用录入（明细）'!C:C&lt;=$L$4),ROW(),"-")</f>
        <v>-</v>
      </c>
    </row>
    <row r="41788" customHeight="1" spans="2:2">
      <c r="B41788" s="62" t="str">
        <f>IF(AND('领用录入（明细）'!D:D=$F$4,'领用录入（明细）'!C:C&gt;=$J$4,'领用录入（明细）'!C:C&lt;=$L$4),ROW(),"-")</f>
        <v>-</v>
      </c>
    </row>
    <row r="41789" customHeight="1" spans="2:2">
      <c r="B41789" s="62" t="str">
        <f>IF(AND('领用录入（明细）'!D:D=$F$4,'领用录入（明细）'!C:C&gt;=$J$4,'领用录入（明细）'!C:C&lt;=$L$4),ROW(),"-")</f>
        <v>-</v>
      </c>
    </row>
    <row r="41790" customHeight="1" spans="2:2">
      <c r="B41790" s="62" t="str">
        <f>IF(AND('领用录入（明细）'!D:D=$F$4,'领用录入（明细）'!C:C&gt;=$J$4,'领用录入（明细）'!C:C&lt;=$L$4),ROW(),"-")</f>
        <v>-</v>
      </c>
    </row>
    <row r="41791" customHeight="1" spans="2:2">
      <c r="B41791" s="62" t="str">
        <f>IF(AND('领用录入（明细）'!D:D=$F$4,'领用录入（明细）'!C:C&gt;=$J$4,'领用录入（明细）'!C:C&lt;=$L$4),ROW(),"-")</f>
        <v>-</v>
      </c>
    </row>
    <row r="41792" customHeight="1" spans="2:2">
      <c r="B41792" s="62" t="str">
        <f>IF(AND('领用录入（明细）'!D:D=$F$4,'领用录入（明细）'!C:C&gt;=$J$4,'领用录入（明细）'!C:C&lt;=$L$4),ROW(),"-")</f>
        <v>-</v>
      </c>
    </row>
    <row r="41793" customHeight="1" spans="2:2">
      <c r="B41793" s="62" t="str">
        <f>IF(AND('领用录入（明细）'!D:D=$F$4,'领用录入（明细）'!C:C&gt;=$J$4,'领用录入（明细）'!C:C&lt;=$L$4),ROW(),"-")</f>
        <v>-</v>
      </c>
    </row>
    <row r="41794" customHeight="1" spans="2:2">
      <c r="B41794" s="62" t="str">
        <f>IF(AND('领用录入（明细）'!D:D=$F$4,'领用录入（明细）'!C:C&gt;=$J$4,'领用录入（明细）'!C:C&lt;=$L$4),ROW(),"-")</f>
        <v>-</v>
      </c>
    </row>
    <row r="41795" customHeight="1" spans="2:2">
      <c r="B41795" s="62" t="str">
        <f>IF(AND('领用录入（明细）'!D:D=$F$4,'领用录入（明细）'!C:C&gt;=$J$4,'领用录入（明细）'!C:C&lt;=$L$4),ROW(),"-")</f>
        <v>-</v>
      </c>
    </row>
    <row r="41796" customHeight="1" spans="2:2">
      <c r="B41796" s="62" t="str">
        <f>IF(AND('领用录入（明细）'!D:D=$F$4,'领用录入（明细）'!C:C&gt;=$J$4,'领用录入（明细）'!C:C&lt;=$L$4),ROW(),"-")</f>
        <v>-</v>
      </c>
    </row>
    <row r="41797" customHeight="1" spans="2:2">
      <c r="B41797" s="62" t="str">
        <f>IF(AND('领用录入（明细）'!D:D=$F$4,'领用录入（明细）'!C:C&gt;=$J$4,'领用录入（明细）'!C:C&lt;=$L$4),ROW(),"-")</f>
        <v>-</v>
      </c>
    </row>
    <row r="41798" customHeight="1" spans="2:2">
      <c r="B41798" s="62" t="str">
        <f>IF(AND('领用录入（明细）'!D:D=$F$4,'领用录入（明细）'!C:C&gt;=$J$4,'领用录入（明细）'!C:C&lt;=$L$4),ROW(),"-")</f>
        <v>-</v>
      </c>
    </row>
    <row r="41799" customHeight="1" spans="2:2">
      <c r="B41799" s="62" t="str">
        <f>IF(AND('领用录入（明细）'!D:D=$F$4,'领用录入（明细）'!C:C&gt;=$J$4,'领用录入（明细）'!C:C&lt;=$L$4),ROW(),"-")</f>
        <v>-</v>
      </c>
    </row>
    <row r="41800" customHeight="1" spans="2:2">
      <c r="B41800" s="62" t="str">
        <f>IF(AND('领用录入（明细）'!D:D=$F$4,'领用录入（明细）'!C:C&gt;=$J$4,'领用录入（明细）'!C:C&lt;=$L$4),ROW(),"-")</f>
        <v>-</v>
      </c>
    </row>
    <row r="41801" customHeight="1" spans="2:2">
      <c r="B41801" s="62" t="str">
        <f>IF(AND('领用录入（明细）'!D:D=$F$4,'领用录入（明细）'!C:C&gt;=$J$4,'领用录入（明细）'!C:C&lt;=$L$4),ROW(),"-")</f>
        <v>-</v>
      </c>
    </row>
    <row r="41802" customHeight="1" spans="2:2">
      <c r="B41802" s="62" t="str">
        <f>IF(AND('领用录入（明细）'!D:D=$F$4,'领用录入（明细）'!C:C&gt;=$J$4,'领用录入（明细）'!C:C&lt;=$L$4),ROW(),"-")</f>
        <v>-</v>
      </c>
    </row>
    <row r="41803" customHeight="1" spans="2:2">
      <c r="B41803" s="62" t="str">
        <f>IF(AND('领用录入（明细）'!D:D=$F$4,'领用录入（明细）'!C:C&gt;=$J$4,'领用录入（明细）'!C:C&lt;=$L$4),ROW(),"-")</f>
        <v>-</v>
      </c>
    </row>
    <row r="41804" customHeight="1" spans="2:2">
      <c r="B41804" s="62" t="str">
        <f>IF(AND('领用录入（明细）'!D:D=$F$4,'领用录入（明细）'!C:C&gt;=$J$4,'领用录入（明细）'!C:C&lt;=$L$4),ROW(),"-")</f>
        <v>-</v>
      </c>
    </row>
    <row r="41805" customHeight="1" spans="2:2">
      <c r="B41805" s="62" t="str">
        <f>IF(AND('领用录入（明细）'!D:D=$F$4,'领用录入（明细）'!C:C&gt;=$J$4,'领用录入（明细）'!C:C&lt;=$L$4),ROW(),"-")</f>
        <v>-</v>
      </c>
    </row>
    <row r="41806" customHeight="1" spans="2:2">
      <c r="B41806" s="62" t="str">
        <f>IF(AND('领用录入（明细）'!D:D=$F$4,'领用录入（明细）'!C:C&gt;=$J$4,'领用录入（明细）'!C:C&lt;=$L$4),ROW(),"-")</f>
        <v>-</v>
      </c>
    </row>
    <row r="41807" customHeight="1" spans="2:2">
      <c r="B41807" s="62" t="str">
        <f>IF(AND('领用录入（明细）'!D:D=$F$4,'领用录入（明细）'!C:C&gt;=$J$4,'领用录入（明细）'!C:C&lt;=$L$4),ROW(),"-")</f>
        <v>-</v>
      </c>
    </row>
    <row r="41808" customHeight="1" spans="2:2">
      <c r="B41808" s="62" t="str">
        <f>IF(AND('领用录入（明细）'!D:D=$F$4,'领用录入（明细）'!C:C&gt;=$J$4,'领用录入（明细）'!C:C&lt;=$L$4),ROW(),"-")</f>
        <v>-</v>
      </c>
    </row>
    <row r="41809" customHeight="1" spans="2:2">
      <c r="B41809" s="62" t="str">
        <f>IF(AND('领用录入（明细）'!D:D=$F$4,'领用录入（明细）'!C:C&gt;=$J$4,'领用录入（明细）'!C:C&lt;=$L$4),ROW(),"-")</f>
        <v>-</v>
      </c>
    </row>
    <row r="41810" customHeight="1" spans="2:2">
      <c r="B41810" s="62" t="str">
        <f>IF(AND('领用录入（明细）'!D:D=$F$4,'领用录入（明细）'!C:C&gt;=$J$4,'领用录入（明细）'!C:C&lt;=$L$4),ROW(),"-")</f>
        <v>-</v>
      </c>
    </row>
    <row r="41811" customHeight="1" spans="2:2">
      <c r="B41811" s="62" t="str">
        <f>IF(AND('领用录入（明细）'!D:D=$F$4,'领用录入（明细）'!C:C&gt;=$J$4,'领用录入（明细）'!C:C&lt;=$L$4),ROW(),"-")</f>
        <v>-</v>
      </c>
    </row>
    <row r="41812" customHeight="1" spans="2:2">
      <c r="B41812" s="62" t="str">
        <f>IF(AND('领用录入（明细）'!D:D=$F$4,'领用录入（明细）'!C:C&gt;=$J$4,'领用录入（明细）'!C:C&lt;=$L$4),ROW(),"-")</f>
        <v>-</v>
      </c>
    </row>
    <row r="41813" customHeight="1" spans="2:2">
      <c r="B41813" s="62" t="str">
        <f>IF(AND('领用录入（明细）'!D:D=$F$4,'领用录入（明细）'!C:C&gt;=$J$4,'领用录入（明细）'!C:C&lt;=$L$4),ROW(),"-")</f>
        <v>-</v>
      </c>
    </row>
    <row r="41814" customHeight="1" spans="2:2">
      <c r="B41814" s="62" t="str">
        <f>IF(AND('领用录入（明细）'!D:D=$F$4,'领用录入（明细）'!C:C&gt;=$J$4,'领用录入（明细）'!C:C&lt;=$L$4),ROW(),"-")</f>
        <v>-</v>
      </c>
    </row>
    <row r="41815" customHeight="1" spans="2:2">
      <c r="B41815" s="62" t="str">
        <f>IF(AND('领用录入（明细）'!D:D=$F$4,'领用录入（明细）'!C:C&gt;=$J$4,'领用录入（明细）'!C:C&lt;=$L$4),ROW(),"-")</f>
        <v>-</v>
      </c>
    </row>
    <row r="41816" customHeight="1" spans="2:2">
      <c r="B41816" s="62" t="str">
        <f>IF(AND('领用录入（明细）'!D:D=$F$4,'领用录入（明细）'!C:C&gt;=$J$4,'领用录入（明细）'!C:C&lt;=$L$4),ROW(),"-")</f>
        <v>-</v>
      </c>
    </row>
    <row r="41817" customHeight="1" spans="2:2">
      <c r="B41817" s="62" t="str">
        <f>IF(AND('领用录入（明细）'!D:D=$F$4,'领用录入（明细）'!C:C&gt;=$J$4,'领用录入（明细）'!C:C&lt;=$L$4),ROW(),"-")</f>
        <v>-</v>
      </c>
    </row>
    <row r="41818" customHeight="1" spans="2:2">
      <c r="B41818" s="62" t="str">
        <f>IF(AND('领用录入（明细）'!D:D=$F$4,'领用录入（明细）'!C:C&gt;=$J$4,'领用录入（明细）'!C:C&lt;=$L$4),ROW(),"-")</f>
        <v>-</v>
      </c>
    </row>
    <row r="41819" customHeight="1" spans="2:2">
      <c r="B41819" s="62" t="str">
        <f>IF(AND('领用录入（明细）'!D:D=$F$4,'领用录入（明细）'!C:C&gt;=$J$4,'领用录入（明细）'!C:C&lt;=$L$4),ROW(),"-")</f>
        <v>-</v>
      </c>
    </row>
    <row r="41820" customHeight="1" spans="2:2">
      <c r="B41820" s="62" t="str">
        <f>IF(AND('领用录入（明细）'!D:D=$F$4,'领用录入（明细）'!C:C&gt;=$J$4,'领用录入（明细）'!C:C&lt;=$L$4),ROW(),"-")</f>
        <v>-</v>
      </c>
    </row>
    <row r="41821" customHeight="1" spans="2:2">
      <c r="B41821" s="62" t="str">
        <f>IF(AND('领用录入（明细）'!D:D=$F$4,'领用录入（明细）'!C:C&gt;=$J$4,'领用录入（明细）'!C:C&lt;=$L$4),ROW(),"-")</f>
        <v>-</v>
      </c>
    </row>
    <row r="41822" customHeight="1" spans="2:2">
      <c r="B41822" s="62" t="str">
        <f>IF(AND('领用录入（明细）'!D:D=$F$4,'领用录入（明细）'!C:C&gt;=$J$4,'领用录入（明细）'!C:C&lt;=$L$4),ROW(),"-")</f>
        <v>-</v>
      </c>
    </row>
    <row r="41823" customHeight="1" spans="2:2">
      <c r="B41823" s="62" t="str">
        <f>IF(AND('领用录入（明细）'!D:D=$F$4,'领用录入（明细）'!C:C&gt;=$J$4,'领用录入（明细）'!C:C&lt;=$L$4),ROW(),"-")</f>
        <v>-</v>
      </c>
    </row>
    <row r="41824" customHeight="1" spans="2:2">
      <c r="B41824" s="62" t="str">
        <f>IF(AND('领用录入（明细）'!D:D=$F$4,'领用录入（明细）'!C:C&gt;=$J$4,'领用录入（明细）'!C:C&lt;=$L$4),ROW(),"-")</f>
        <v>-</v>
      </c>
    </row>
    <row r="41825" customHeight="1" spans="2:2">
      <c r="B41825" s="62" t="str">
        <f>IF(AND('领用录入（明细）'!D:D=$F$4,'领用录入（明细）'!C:C&gt;=$J$4,'领用录入（明细）'!C:C&lt;=$L$4),ROW(),"-")</f>
        <v>-</v>
      </c>
    </row>
    <row r="41826" customHeight="1" spans="2:2">
      <c r="B41826" s="62" t="str">
        <f>IF(AND('领用录入（明细）'!D:D=$F$4,'领用录入（明细）'!C:C&gt;=$J$4,'领用录入（明细）'!C:C&lt;=$L$4),ROW(),"-")</f>
        <v>-</v>
      </c>
    </row>
    <row r="41827" customHeight="1" spans="2:2">
      <c r="B41827" s="62" t="str">
        <f>IF(AND('领用录入（明细）'!D:D=$F$4,'领用录入（明细）'!C:C&gt;=$J$4,'领用录入（明细）'!C:C&lt;=$L$4),ROW(),"-")</f>
        <v>-</v>
      </c>
    </row>
    <row r="41828" customHeight="1" spans="2:2">
      <c r="B41828" s="62" t="str">
        <f>IF(AND('领用录入（明细）'!D:D=$F$4,'领用录入（明细）'!C:C&gt;=$J$4,'领用录入（明细）'!C:C&lt;=$L$4),ROW(),"-")</f>
        <v>-</v>
      </c>
    </row>
    <row r="41829" customHeight="1" spans="2:2">
      <c r="B41829" s="62" t="str">
        <f>IF(AND('领用录入（明细）'!D:D=$F$4,'领用录入（明细）'!C:C&gt;=$J$4,'领用录入（明细）'!C:C&lt;=$L$4),ROW(),"-")</f>
        <v>-</v>
      </c>
    </row>
    <row r="41830" customHeight="1" spans="2:2">
      <c r="B41830" s="62" t="str">
        <f>IF(AND('领用录入（明细）'!D:D=$F$4,'领用录入（明细）'!C:C&gt;=$J$4,'领用录入（明细）'!C:C&lt;=$L$4),ROW(),"-")</f>
        <v>-</v>
      </c>
    </row>
    <row r="41831" customHeight="1" spans="2:2">
      <c r="B41831" s="62" t="str">
        <f>IF(AND('领用录入（明细）'!D:D=$F$4,'领用录入（明细）'!C:C&gt;=$J$4,'领用录入（明细）'!C:C&lt;=$L$4),ROW(),"-")</f>
        <v>-</v>
      </c>
    </row>
    <row r="41832" customHeight="1" spans="2:2">
      <c r="B41832" s="62" t="str">
        <f>IF(AND('领用录入（明细）'!D:D=$F$4,'领用录入（明细）'!C:C&gt;=$J$4,'领用录入（明细）'!C:C&lt;=$L$4),ROW(),"-")</f>
        <v>-</v>
      </c>
    </row>
    <row r="41833" customHeight="1" spans="2:2">
      <c r="B41833" s="62" t="str">
        <f>IF(AND('领用录入（明细）'!D:D=$F$4,'领用录入（明细）'!C:C&gt;=$J$4,'领用录入（明细）'!C:C&lt;=$L$4),ROW(),"-")</f>
        <v>-</v>
      </c>
    </row>
    <row r="41834" customHeight="1" spans="2:2">
      <c r="B41834" s="62" t="str">
        <f>IF(AND('领用录入（明细）'!D:D=$F$4,'领用录入（明细）'!C:C&gt;=$J$4,'领用录入（明细）'!C:C&lt;=$L$4),ROW(),"-")</f>
        <v>-</v>
      </c>
    </row>
    <row r="41835" customHeight="1" spans="2:2">
      <c r="B41835" s="62" t="str">
        <f>IF(AND('领用录入（明细）'!D:D=$F$4,'领用录入（明细）'!C:C&gt;=$J$4,'领用录入（明细）'!C:C&lt;=$L$4),ROW(),"-")</f>
        <v>-</v>
      </c>
    </row>
    <row r="41836" customHeight="1" spans="2:2">
      <c r="B41836" s="62" t="str">
        <f>IF(AND('领用录入（明细）'!D:D=$F$4,'领用录入（明细）'!C:C&gt;=$J$4,'领用录入（明细）'!C:C&lt;=$L$4),ROW(),"-")</f>
        <v>-</v>
      </c>
    </row>
    <row r="41837" customHeight="1" spans="2:2">
      <c r="B41837" s="62" t="str">
        <f>IF(AND('领用录入（明细）'!D:D=$F$4,'领用录入（明细）'!C:C&gt;=$J$4,'领用录入（明细）'!C:C&lt;=$L$4),ROW(),"-")</f>
        <v>-</v>
      </c>
    </row>
    <row r="41838" customHeight="1" spans="2:2">
      <c r="B41838" s="62" t="str">
        <f>IF(AND('领用录入（明细）'!D:D=$F$4,'领用录入（明细）'!C:C&gt;=$J$4,'领用录入（明细）'!C:C&lt;=$L$4),ROW(),"-")</f>
        <v>-</v>
      </c>
    </row>
    <row r="41839" customHeight="1" spans="2:2">
      <c r="B41839" s="62" t="str">
        <f>IF(AND('领用录入（明细）'!D:D=$F$4,'领用录入（明细）'!C:C&gt;=$J$4,'领用录入（明细）'!C:C&lt;=$L$4),ROW(),"-")</f>
        <v>-</v>
      </c>
    </row>
    <row r="41840" customHeight="1" spans="2:2">
      <c r="B41840" s="62" t="str">
        <f>IF(AND('领用录入（明细）'!D:D=$F$4,'领用录入（明细）'!C:C&gt;=$J$4,'领用录入（明细）'!C:C&lt;=$L$4),ROW(),"-")</f>
        <v>-</v>
      </c>
    </row>
    <row r="41841" customHeight="1" spans="2:2">
      <c r="B41841" s="62" t="str">
        <f>IF(AND('领用录入（明细）'!D:D=$F$4,'领用录入（明细）'!C:C&gt;=$J$4,'领用录入（明细）'!C:C&lt;=$L$4),ROW(),"-")</f>
        <v>-</v>
      </c>
    </row>
    <row r="41842" customHeight="1" spans="2:2">
      <c r="B41842" s="62" t="str">
        <f>IF(AND('领用录入（明细）'!D:D=$F$4,'领用录入（明细）'!C:C&gt;=$J$4,'领用录入（明细）'!C:C&lt;=$L$4),ROW(),"-")</f>
        <v>-</v>
      </c>
    </row>
    <row r="41843" customHeight="1" spans="2:2">
      <c r="B41843" s="62" t="str">
        <f>IF(AND('领用录入（明细）'!D:D=$F$4,'领用录入（明细）'!C:C&gt;=$J$4,'领用录入（明细）'!C:C&lt;=$L$4),ROW(),"-")</f>
        <v>-</v>
      </c>
    </row>
    <row r="41844" customHeight="1" spans="2:2">
      <c r="B41844" s="62" t="str">
        <f>IF(AND('领用录入（明细）'!D:D=$F$4,'领用录入（明细）'!C:C&gt;=$J$4,'领用录入（明细）'!C:C&lt;=$L$4),ROW(),"-")</f>
        <v>-</v>
      </c>
    </row>
    <row r="41845" customHeight="1" spans="2:2">
      <c r="B41845" s="62" t="str">
        <f>IF(AND('领用录入（明细）'!D:D=$F$4,'领用录入（明细）'!C:C&gt;=$J$4,'领用录入（明细）'!C:C&lt;=$L$4),ROW(),"-")</f>
        <v>-</v>
      </c>
    </row>
    <row r="41846" customHeight="1" spans="2:2">
      <c r="B41846" s="62" t="str">
        <f>IF(AND('领用录入（明细）'!D:D=$F$4,'领用录入（明细）'!C:C&gt;=$J$4,'领用录入（明细）'!C:C&lt;=$L$4),ROW(),"-")</f>
        <v>-</v>
      </c>
    </row>
    <row r="41847" customHeight="1" spans="2:2">
      <c r="B41847" s="62" t="str">
        <f>IF(AND('领用录入（明细）'!D:D=$F$4,'领用录入（明细）'!C:C&gt;=$J$4,'领用录入（明细）'!C:C&lt;=$L$4),ROW(),"-")</f>
        <v>-</v>
      </c>
    </row>
    <row r="41848" customHeight="1" spans="2:2">
      <c r="B41848" s="62" t="str">
        <f>IF(AND('领用录入（明细）'!D:D=$F$4,'领用录入（明细）'!C:C&gt;=$J$4,'领用录入（明细）'!C:C&lt;=$L$4),ROW(),"-")</f>
        <v>-</v>
      </c>
    </row>
    <row r="41849" customHeight="1" spans="2:2">
      <c r="B41849" s="62" t="str">
        <f>IF(AND('领用录入（明细）'!D:D=$F$4,'领用录入（明细）'!C:C&gt;=$J$4,'领用录入（明细）'!C:C&lt;=$L$4),ROW(),"-")</f>
        <v>-</v>
      </c>
    </row>
    <row r="41850" customHeight="1" spans="2:2">
      <c r="B41850" s="62" t="str">
        <f>IF(AND('领用录入（明细）'!D:D=$F$4,'领用录入（明细）'!C:C&gt;=$J$4,'领用录入（明细）'!C:C&lt;=$L$4),ROW(),"-")</f>
        <v>-</v>
      </c>
    </row>
    <row r="41851" customHeight="1" spans="2:2">
      <c r="B41851" s="62" t="str">
        <f>IF(AND('领用录入（明细）'!D:D=$F$4,'领用录入（明细）'!C:C&gt;=$J$4,'领用录入（明细）'!C:C&lt;=$L$4),ROW(),"-")</f>
        <v>-</v>
      </c>
    </row>
    <row r="41852" customHeight="1" spans="2:2">
      <c r="B41852" s="62" t="str">
        <f>IF(AND('领用录入（明细）'!D:D=$F$4,'领用录入（明细）'!C:C&gt;=$J$4,'领用录入（明细）'!C:C&lt;=$L$4),ROW(),"-")</f>
        <v>-</v>
      </c>
    </row>
    <row r="41853" customHeight="1" spans="2:2">
      <c r="B41853" s="62" t="str">
        <f>IF(AND('领用录入（明细）'!D:D=$F$4,'领用录入（明细）'!C:C&gt;=$J$4,'领用录入（明细）'!C:C&lt;=$L$4),ROW(),"-")</f>
        <v>-</v>
      </c>
    </row>
    <row r="41854" customHeight="1" spans="2:2">
      <c r="B41854" s="62" t="str">
        <f>IF(AND('领用录入（明细）'!D:D=$F$4,'领用录入（明细）'!C:C&gt;=$J$4,'领用录入（明细）'!C:C&lt;=$L$4),ROW(),"-")</f>
        <v>-</v>
      </c>
    </row>
    <row r="41855" customHeight="1" spans="2:2">
      <c r="B41855" s="62" t="str">
        <f>IF(AND('领用录入（明细）'!D:D=$F$4,'领用录入（明细）'!C:C&gt;=$J$4,'领用录入（明细）'!C:C&lt;=$L$4),ROW(),"-")</f>
        <v>-</v>
      </c>
    </row>
    <row r="41856" customHeight="1" spans="2:2">
      <c r="B41856" s="62" t="str">
        <f>IF(AND('领用录入（明细）'!D:D=$F$4,'领用录入（明细）'!C:C&gt;=$J$4,'领用录入（明细）'!C:C&lt;=$L$4),ROW(),"-")</f>
        <v>-</v>
      </c>
    </row>
    <row r="41857" customHeight="1" spans="2:2">
      <c r="B41857" s="62" t="str">
        <f>IF(AND('领用录入（明细）'!D:D=$F$4,'领用录入（明细）'!C:C&gt;=$J$4,'领用录入（明细）'!C:C&lt;=$L$4),ROW(),"-")</f>
        <v>-</v>
      </c>
    </row>
    <row r="41858" customHeight="1" spans="2:2">
      <c r="B41858" s="62" t="str">
        <f>IF(AND('领用录入（明细）'!D:D=$F$4,'领用录入（明细）'!C:C&gt;=$J$4,'领用录入（明细）'!C:C&lt;=$L$4),ROW(),"-")</f>
        <v>-</v>
      </c>
    </row>
    <row r="41859" customHeight="1" spans="2:2">
      <c r="B41859" s="62" t="str">
        <f>IF(AND('领用录入（明细）'!D:D=$F$4,'领用录入（明细）'!C:C&gt;=$J$4,'领用录入（明细）'!C:C&lt;=$L$4),ROW(),"-")</f>
        <v>-</v>
      </c>
    </row>
    <row r="41860" customHeight="1" spans="2:2">
      <c r="B41860" s="62" t="str">
        <f>IF(AND('领用录入（明细）'!D:D=$F$4,'领用录入（明细）'!C:C&gt;=$J$4,'领用录入（明细）'!C:C&lt;=$L$4),ROW(),"-")</f>
        <v>-</v>
      </c>
    </row>
    <row r="41861" customHeight="1" spans="2:2">
      <c r="B41861" s="62" t="str">
        <f>IF(AND('领用录入（明细）'!D:D=$F$4,'领用录入（明细）'!C:C&gt;=$J$4,'领用录入（明细）'!C:C&lt;=$L$4),ROW(),"-")</f>
        <v>-</v>
      </c>
    </row>
    <row r="41862" customHeight="1" spans="2:2">
      <c r="B41862" s="62" t="str">
        <f>IF(AND('领用录入（明细）'!D:D=$F$4,'领用录入（明细）'!C:C&gt;=$J$4,'领用录入（明细）'!C:C&lt;=$L$4),ROW(),"-")</f>
        <v>-</v>
      </c>
    </row>
    <row r="41863" customHeight="1" spans="2:2">
      <c r="B41863" s="62" t="str">
        <f>IF(AND('领用录入（明细）'!D:D=$F$4,'领用录入（明细）'!C:C&gt;=$J$4,'领用录入（明细）'!C:C&lt;=$L$4),ROW(),"-")</f>
        <v>-</v>
      </c>
    </row>
    <row r="41864" customHeight="1" spans="2:2">
      <c r="B41864" s="62" t="str">
        <f>IF(AND('领用录入（明细）'!D:D=$F$4,'领用录入（明细）'!C:C&gt;=$J$4,'领用录入（明细）'!C:C&lt;=$L$4),ROW(),"-")</f>
        <v>-</v>
      </c>
    </row>
    <row r="41865" customHeight="1" spans="2:2">
      <c r="B41865" s="62" t="str">
        <f>IF(AND('领用录入（明细）'!D:D=$F$4,'领用录入（明细）'!C:C&gt;=$J$4,'领用录入（明细）'!C:C&lt;=$L$4),ROW(),"-")</f>
        <v>-</v>
      </c>
    </row>
    <row r="41866" customHeight="1" spans="2:2">
      <c r="B41866" s="62" t="str">
        <f>IF(AND('领用录入（明细）'!D:D=$F$4,'领用录入（明细）'!C:C&gt;=$J$4,'领用录入（明细）'!C:C&lt;=$L$4),ROW(),"-")</f>
        <v>-</v>
      </c>
    </row>
    <row r="41867" customHeight="1" spans="2:2">
      <c r="B41867" s="62" t="str">
        <f>IF(AND('领用录入（明细）'!D:D=$F$4,'领用录入（明细）'!C:C&gt;=$J$4,'领用录入（明细）'!C:C&lt;=$L$4),ROW(),"-")</f>
        <v>-</v>
      </c>
    </row>
    <row r="41868" customHeight="1" spans="2:2">
      <c r="B41868" s="62" t="str">
        <f>IF(AND('领用录入（明细）'!D:D=$F$4,'领用录入（明细）'!C:C&gt;=$J$4,'领用录入（明细）'!C:C&lt;=$L$4),ROW(),"-")</f>
        <v>-</v>
      </c>
    </row>
    <row r="41869" customHeight="1" spans="2:2">
      <c r="B41869" s="62" t="str">
        <f>IF(AND('领用录入（明细）'!D:D=$F$4,'领用录入（明细）'!C:C&gt;=$J$4,'领用录入（明细）'!C:C&lt;=$L$4),ROW(),"-")</f>
        <v>-</v>
      </c>
    </row>
    <row r="41870" customHeight="1" spans="2:2">
      <c r="B41870" s="62" t="str">
        <f>IF(AND('领用录入（明细）'!D:D=$F$4,'领用录入（明细）'!C:C&gt;=$J$4,'领用录入（明细）'!C:C&lt;=$L$4),ROW(),"-")</f>
        <v>-</v>
      </c>
    </row>
    <row r="41871" customHeight="1" spans="2:2">
      <c r="B41871" s="62" t="str">
        <f>IF(AND('领用录入（明细）'!D:D=$F$4,'领用录入（明细）'!C:C&gt;=$J$4,'领用录入（明细）'!C:C&lt;=$L$4),ROW(),"-")</f>
        <v>-</v>
      </c>
    </row>
    <row r="41872" customHeight="1" spans="2:2">
      <c r="B41872" s="62" t="str">
        <f>IF(AND('领用录入（明细）'!D:D=$F$4,'领用录入（明细）'!C:C&gt;=$J$4,'领用录入（明细）'!C:C&lt;=$L$4),ROW(),"-")</f>
        <v>-</v>
      </c>
    </row>
    <row r="41873" customHeight="1" spans="2:2">
      <c r="B41873" s="62" t="str">
        <f>IF(AND('领用录入（明细）'!D:D=$F$4,'领用录入（明细）'!C:C&gt;=$J$4,'领用录入（明细）'!C:C&lt;=$L$4),ROW(),"-")</f>
        <v>-</v>
      </c>
    </row>
    <row r="41874" customHeight="1" spans="2:2">
      <c r="B41874" s="62" t="str">
        <f>IF(AND('领用录入（明细）'!D:D=$F$4,'领用录入（明细）'!C:C&gt;=$J$4,'领用录入（明细）'!C:C&lt;=$L$4),ROW(),"-")</f>
        <v>-</v>
      </c>
    </row>
    <row r="41875" customHeight="1" spans="2:2">
      <c r="B41875" s="62" t="str">
        <f>IF(AND('领用录入（明细）'!D:D=$F$4,'领用录入（明细）'!C:C&gt;=$J$4,'领用录入（明细）'!C:C&lt;=$L$4),ROW(),"-")</f>
        <v>-</v>
      </c>
    </row>
    <row r="41876" customHeight="1" spans="2:2">
      <c r="B41876" s="62" t="str">
        <f>IF(AND('领用录入（明细）'!D:D=$F$4,'领用录入（明细）'!C:C&gt;=$J$4,'领用录入（明细）'!C:C&lt;=$L$4),ROW(),"-")</f>
        <v>-</v>
      </c>
    </row>
    <row r="41877" customHeight="1" spans="2:2">
      <c r="B41877" s="62" t="str">
        <f>IF(AND('领用录入（明细）'!D:D=$F$4,'领用录入（明细）'!C:C&gt;=$J$4,'领用录入（明细）'!C:C&lt;=$L$4),ROW(),"-")</f>
        <v>-</v>
      </c>
    </row>
    <row r="41878" customHeight="1" spans="2:2">
      <c r="B41878" s="62" t="str">
        <f>IF(AND('领用录入（明细）'!D:D=$F$4,'领用录入（明细）'!C:C&gt;=$J$4,'领用录入（明细）'!C:C&lt;=$L$4),ROW(),"-")</f>
        <v>-</v>
      </c>
    </row>
    <row r="41879" customHeight="1" spans="2:2">
      <c r="B41879" s="62" t="str">
        <f>IF(AND('领用录入（明细）'!D:D=$F$4,'领用录入（明细）'!C:C&gt;=$J$4,'领用录入（明细）'!C:C&lt;=$L$4),ROW(),"-")</f>
        <v>-</v>
      </c>
    </row>
    <row r="41880" customHeight="1" spans="2:2">
      <c r="B41880" s="62" t="str">
        <f>IF(AND('领用录入（明细）'!D:D=$F$4,'领用录入（明细）'!C:C&gt;=$J$4,'领用录入（明细）'!C:C&lt;=$L$4),ROW(),"-")</f>
        <v>-</v>
      </c>
    </row>
    <row r="41881" customHeight="1" spans="2:2">
      <c r="B41881" s="62" t="str">
        <f>IF(AND('领用录入（明细）'!D:D=$F$4,'领用录入（明细）'!C:C&gt;=$J$4,'领用录入（明细）'!C:C&lt;=$L$4),ROW(),"-")</f>
        <v>-</v>
      </c>
    </row>
    <row r="41882" customHeight="1" spans="2:2">
      <c r="B41882" s="62" t="str">
        <f>IF(AND('领用录入（明细）'!D:D=$F$4,'领用录入（明细）'!C:C&gt;=$J$4,'领用录入（明细）'!C:C&lt;=$L$4),ROW(),"-")</f>
        <v>-</v>
      </c>
    </row>
    <row r="41883" customHeight="1" spans="2:2">
      <c r="B41883" s="62" t="str">
        <f>IF(AND('领用录入（明细）'!D:D=$F$4,'领用录入（明细）'!C:C&gt;=$J$4,'领用录入（明细）'!C:C&lt;=$L$4),ROW(),"-")</f>
        <v>-</v>
      </c>
    </row>
    <row r="41884" customHeight="1" spans="2:2">
      <c r="B41884" s="62" t="str">
        <f>IF(AND('领用录入（明细）'!D:D=$F$4,'领用录入（明细）'!C:C&gt;=$J$4,'领用录入（明细）'!C:C&lt;=$L$4),ROW(),"-")</f>
        <v>-</v>
      </c>
    </row>
    <row r="41885" customHeight="1" spans="2:2">
      <c r="B41885" s="62" t="str">
        <f>IF(AND('领用录入（明细）'!D:D=$F$4,'领用录入（明细）'!C:C&gt;=$J$4,'领用录入（明细）'!C:C&lt;=$L$4),ROW(),"-")</f>
        <v>-</v>
      </c>
    </row>
    <row r="41886" customHeight="1" spans="2:2">
      <c r="B41886" s="62" t="str">
        <f>IF(AND('领用录入（明细）'!D:D=$F$4,'领用录入（明细）'!C:C&gt;=$J$4,'领用录入（明细）'!C:C&lt;=$L$4),ROW(),"-")</f>
        <v>-</v>
      </c>
    </row>
    <row r="41887" customHeight="1" spans="2:2">
      <c r="B41887" s="62" t="str">
        <f>IF(AND('领用录入（明细）'!D:D=$F$4,'领用录入（明细）'!C:C&gt;=$J$4,'领用录入（明细）'!C:C&lt;=$L$4),ROW(),"-")</f>
        <v>-</v>
      </c>
    </row>
    <row r="41888" customHeight="1" spans="2:2">
      <c r="B41888" s="62" t="str">
        <f>IF(AND('领用录入（明细）'!D:D=$F$4,'领用录入（明细）'!C:C&gt;=$J$4,'领用录入（明细）'!C:C&lt;=$L$4),ROW(),"-")</f>
        <v>-</v>
      </c>
    </row>
    <row r="41889" customHeight="1" spans="2:2">
      <c r="B41889" s="62" t="str">
        <f>IF(AND('领用录入（明细）'!D:D=$F$4,'领用录入（明细）'!C:C&gt;=$J$4,'领用录入（明细）'!C:C&lt;=$L$4),ROW(),"-")</f>
        <v>-</v>
      </c>
    </row>
    <row r="41890" customHeight="1" spans="2:2">
      <c r="B41890" s="62" t="str">
        <f>IF(AND('领用录入（明细）'!D:D=$F$4,'领用录入（明细）'!C:C&gt;=$J$4,'领用录入（明细）'!C:C&lt;=$L$4),ROW(),"-")</f>
        <v>-</v>
      </c>
    </row>
    <row r="41891" customHeight="1" spans="2:2">
      <c r="B41891" s="62" t="str">
        <f>IF(AND('领用录入（明细）'!D:D=$F$4,'领用录入（明细）'!C:C&gt;=$J$4,'领用录入（明细）'!C:C&lt;=$L$4),ROW(),"-")</f>
        <v>-</v>
      </c>
    </row>
    <row r="41892" customHeight="1" spans="2:2">
      <c r="B41892" s="62" t="str">
        <f>IF(AND('领用录入（明细）'!D:D=$F$4,'领用录入（明细）'!C:C&gt;=$J$4,'领用录入（明细）'!C:C&lt;=$L$4),ROW(),"-")</f>
        <v>-</v>
      </c>
    </row>
    <row r="41893" customHeight="1" spans="2:2">
      <c r="B41893" s="62" t="str">
        <f>IF(AND('领用录入（明细）'!D:D=$F$4,'领用录入（明细）'!C:C&gt;=$J$4,'领用录入（明细）'!C:C&lt;=$L$4),ROW(),"-")</f>
        <v>-</v>
      </c>
    </row>
    <row r="41894" customHeight="1" spans="2:2">
      <c r="B41894" s="62" t="str">
        <f>IF(AND('领用录入（明细）'!D:D=$F$4,'领用录入（明细）'!C:C&gt;=$J$4,'领用录入（明细）'!C:C&lt;=$L$4),ROW(),"-")</f>
        <v>-</v>
      </c>
    </row>
    <row r="41895" customHeight="1" spans="2:2">
      <c r="B41895" s="62" t="str">
        <f>IF(AND('领用录入（明细）'!D:D=$F$4,'领用录入（明细）'!C:C&gt;=$J$4,'领用录入（明细）'!C:C&lt;=$L$4),ROW(),"-")</f>
        <v>-</v>
      </c>
    </row>
    <row r="41896" customHeight="1" spans="2:2">
      <c r="B41896" s="62" t="str">
        <f>IF(AND('领用录入（明细）'!D:D=$F$4,'领用录入（明细）'!C:C&gt;=$J$4,'领用录入（明细）'!C:C&lt;=$L$4),ROW(),"-")</f>
        <v>-</v>
      </c>
    </row>
    <row r="41897" customHeight="1" spans="2:2">
      <c r="B41897" s="62" t="str">
        <f>IF(AND('领用录入（明细）'!D:D=$F$4,'领用录入（明细）'!C:C&gt;=$J$4,'领用录入（明细）'!C:C&lt;=$L$4),ROW(),"-")</f>
        <v>-</v>
      </c>
    </row>
    <row r="41898" customHeight="1" spans="2:2">
      <c r="B41898" s="62" t="str">
        <f>IF(AND('领用录入（明细）'!D:D=$F$4,'领用录入（明细）'!C:C&gt;=$J$4,'领用录入（明细）'!C:C&lt;=$L$4),ROW(),"-")</f>
        <v>-</v>
      </c>
    </row>
    <row r="41899" customHeight="1" spans="2:2">
      <c r="B41899" s="62" t="str">
        <f>IF(AND('领用录入（明细）'!D:D=$F$4,'领用录入（明细）'!C:C&gt;=$J$4,'领用录入（明细）'!C:C&lt;=$L$4),ROW(),"-")</f>
        <v>-</v>
      </c>
    </row>
    <row r="41900" customHeight="1" spans="2:2">
      <c r="B41900" s="62" t="str">
        <f>IF(AND('领用录入（明细）'!D:D=$F$4,'领用录入（明细）'!C:C&gt;=$J$4,'领用录入（明细）'!C:C&lt;=$L$4),ROW(),"-")</f>
        <v>-</v>
      </c>
    </row>
    <row r="41901" customHeight="1" spans="2:2">
      <c r="B41901" s="62" t="str">
        <f>IF(AND('领用录入（明细）'!D:D=$F$4,'领用录入（明细）'!C:C&gt;=$J$4,'领用录入（明细）'!C:C&lt;=$L$4),ROW(),"-")</f>
        <v>-</v>
      </c>
    </row>
    <row r="41902" customHeight="1" spans="2:2">
      <c r="B41902" s="62" t="str">
        <f>IF(AND('领用录入（明细）'!D:D=$F$4,'领用录入（明细）'!C:C&gt;=$J$4,'领用录入（明细）'!C:C&lt;=$L$4),ROW(),"-")</f>
        <v>-</v>
      </c>
    </row>
    <row r="41903" customHeight="1" spans="2:2">
      <c r="B41903" s="62" t="str">
        <f>IF(AND('领用录入（明细）'!D:D=$F$4,'领用录入（明细）'!C:C&gt;=$J$4,'领用录入（明细）'!C:C&lt;=$L$4),ROW(),"-")</f>
        <v>-</v>
      </c>
    </row>
    <row r="41904" customHeight="1" spans="2:2">
      <c r="B41904" s="62" t="str">
        <f>IF(AND('领用录入（明细）'!D:D=$F$4,'领用录入（明细）'!C:C&gt;=$J$4,'领用录入（明细）'!C:C&lt;=$L$4),ROW(),"-")</f>
        <v>-</v>
      </c>
    </row>
    <row r="41905" customHeight="1" spans="2:2">
      <c r="B41905" s="62" t="str">
        <f>IF(AND('领用录入（明细）'!D:D=$F$4,'领用录入（明细）'!C:C&gt;=$J$4,'领用录入（明细）'!C:C&lt;=$L$4),ROW(),"-")</f>
        <v>-</v>
      </c>
    </row>
    <row r="41906" customHeight="1" spans="2:2">
      <c r="B41906" s="62" t="str">
        <f>IF(AND('领用录入（明细）'!D:D=$F$4,'领用录入（明细）'!C:C&gt;=$J$4,'领用录入（明细）'!C:C&lt;=$L$4),ROW(),"-")</f>
        <v>-</v>
      </c>
    </row>
    <row r="41907" customHeight="1" spans="2:2">
      <c r="B41907" s="62" t="str">
        <f>IF(AND('领用录入（明细）'!D:D=$F$4,'领用录入（明细）'!C:C&gt;=$J$4,'领用录入（明细）'!C:C&lt;=$L$4),ROW(),"-")</f>
        <v>-</v>
      </c>
    </row>
    <row r="41908" customHeight="1" spans="2:2">
      <c r="B41908" s="62" t="str">
        <f>IF(AND('领用录入（明细）'!D:D=$F$4,'领用录入（明细）'!C:C&gt;=$J$4,'领用录入（明细）'!C:C&lt;=$L$4),ROW(),"-")</f>
        <v>-</v>
      </c>
    </row>
    <row r="41909" customHeight="1" spans="2:2">
      <c r="B41909" s="62" t="str">
        <f>IF(AND('领用录入（明细）'!D:D=$F$4,'领用录入（明细）'!C:C&gt;=$J$4,'领用录入（明细）'!C:C&lt;=$L$4),ROW(),"-")</f>
        <v>-</v>
      </c>
    </row>
    <row r="41910" customHeight="1" spans="2:2">
      <c r="B41910" s="62" t="str">
        <f>IF(AND('领用录入（明细）'!D:D=$F$4,'领用录入（明细）'!C:C&gt;=$J$4,'领用录入（明细）'!C:C&lt;=$L$4),ROW(),"-")</f>
        <v>-</v>
      </c>
    </row>
    <row r="41911" customHeight="1" spans="2:2">
      <c r="B41911" s="62" t="str">
        <f>IF(AND('领用录入（明细）'!D:D=$F$4,'领用录入（明细）'!C:C&gt;=$J$4,'领用录入（明细）'!C:C&lt;=$L$4),ROW(),"-")</f>
        <v>-</v>
      </c>
    </row>
    <row r="41912" customHeight="1" spans="2:2">
      <c r="B41912" s="62" t="str">
        <f>IF(AND('领用录入（明细）'!D:D=$F$4,'领用录入（明细）'!C:C&gt;=$J$4,'领用录入（明细）'!C:C&lt;=$L$4),ROW(),"-")</f>
        <v>-</v>
      </c>
    </row>
    <row r="41913" customHeight="1" spans="2:2">
      <c r="B41913" s="62" t="str">
        <f>IF(AND('领用录入（明细）'!D:D=$F$4,'领用录入（明细）'!C:C&gt;=$J$4,'领用录入（明细）'!C:C&lt;=$L$4),ROW(),"-")</f>
        <v>-</v>
      </c>
    </row>
    <row r="41914" customHeight="1" spans="2:2">
      <c r="B41914" s="62" t="str">
        <f>IF(AND('领用录入（明细）'!D:D=$F$4,'领用录入（明细）'!C:C&gt;=$J$4,'领用录入（明细）'!C:C&lt;=$L$4),ROW(),"-")</f>
        <v>-</v>
      </c>
    </row>
    <row r="41915" customHeight="1" spans="2:2">
      <c r="B41915" s="62" t="str">
        <f>IF(AND('领用录入（明细）'!D:D=$F$4,'领用录入（明细）'!C:C&gt;=$J$4,'领用录入（明细）'!C:C&lt;=$L$4),ROW(),"-")</f>
        <v>-</v>
      </c>
    </row>
    <row r="41916" customHeight="1" spans="2:2">
      <c r="B41916" s="62" t="str">
        <f>IF(AND('领用录入（明细）'!D:D=$F$4,'领用录入（明细）'!C:C&gt;=$J$4,'领用录入（明细）'!C:C&lt;=$L$4),ROW(),"-")</f>
        <v>-</v>
      </c>
    </row>
    <row r="41917" customHeight="1" spans="2:2">
      <c r="B41917" s="62" t="str">
        <f>IF(AND('领用录入（明细）'!D:D=$F$4,'领用录入（明细）'!C:C&gt;=$J$4,'领用录入（明细）'!C:C&lt;=$L$4),ROW(),"-")</f>
        <v>-</v>
      </c>
    </row>
    <row r="41918" customHeight="1" spans="2:2">
      <c r="B41918" s="62" t="str">
        <f>IF(AND('领用录入（明细）'!D:D=$F$4,'领用录入（明细）'!C:C&gt;=$J$4,'领用录入（明细）'!C:C&lt;=$L$4),ROW(),"-")</f>
        <v>-</v>
      </c>
    </row>
    <row r="41919" customHeight="1" spans="2:2">
      <c r="B41919" s="62" t="str">
        <f>IF(AND('领用录入（明细）'!D:D=$F$4,'领用录入（明细）'!C:C&gt;=$J$4,'领用录入（明细）'!C:C&lt;=$L$4),ROW(),"-")</f>
        <v>-</v>
      </c>
    </row>
    <row r="41920" customHeight="1" spans="2:2">
      <c r="B41920" s="62" t="str">
        <f>IF(AND('领用录入（明细）'!D:D=$F$4,'领用录入（明细）'!C:C&gt;=$J$4,'领用录入（明细）'!C:C&lt;=$L$4),ROW(),"-")</f>
        <v>-</v>
      </c>
    </row>
    <row r="41921" customHeight="1" spans="2:2">
      <c r="B41921" s="62" t="str">
        <f>IF(AND('领用录入（明细）'!D:D=$F$4,'领用录入（明细）'!C:C&gt;=$J$4,'领用录入（明细）'!C:C&lt;=$L$4),ROW(),"-")</f>
        <v>-</v>
      </c>
    </row>
    <row r="41922" customHeight="1" spans="2:2">
      <c r="B41922" s="62" t="str">
        <f>IF(AND('领用录入（明细）'!D:D=$F$4,'领用录入（明细）'!C:C&gt;=$J$4,'领用录入（明细）'!C:C&lt;=$L$4),ROW(),"-")</f>
        <v>-</v>
      </c>
    </row>
    <row r="41923" customHeight="1" spans="2:2">
      <c r="B41923" s="62" t="str">
        <f>IF(AND('领用录入（明细）'!D:D=$F$4,'领用录入（明细）'!C:C&gt;=$J$4,'领用录入（明细）'!C:C&lt;=$L$4),ROW(),"-")</f>
        <v>-</v>
      </c>
    </row>
    <row r="41924" customHeight="1" spans="2:2">
      <c r="B41924" s="62" t="str">
        <f>IF(AND('领用录入（明细）'!D:D=$F$4,'领用录入（明细）'!C:C&gt;=$J$4,'领用录入（明细）'!C:C&lt;=$L$4),ROW(),"-")</f>
        <v>-</v>
      </c>
    </row>
    <row r="41925" customHeight="1" spans="2:2">
      <c r="B41925" s="62" t="str">
        <f>IF(AND('领用录入（明细）'!D:D=$F$4,'领用录入（明细）'!C:C&gt;=$J$4,'领用录入（明细）'!C:C&lt;=$L$4),ROW(),"-")</f>
        <v>-</v>
      </c>
    </row>
    <row r="41926" customHeight="1" spans="2:2">
      <c r="B41926" s="62" t="str">
        <f>IF(AND('领用录入（明细）'!D:D=$F$4,'领用录入（明细）'!C:C&gt;=$J$4,'领用录入（明细）'!C:C&lt;=$L$4),ROW(),"-")</f>
        <v>-</v>
      </c>
    </row>
    <row r="41927" customHeight="1" spans="2:2">
      <c r="B41927" s="62" t="str">
        <f>IF(AND('领用录入（明细）'!D:D=$F$4,'领用录入（明细）'!C:C&gt;=$J$4,'领用录入（明细）'!C:C&lt;=$L$4),ROW(),"-")</f>
        <v>-</v>
      </c>
    </row>
    <row r="41928" customHeight="1" spans="2:2">
      <c r="B41928" s="62" t="str">
        <f>IF(AND('领用录入（明细）'!D:D=$F$4,'领用录入（明细）'!C:C&gt;=$J$4,'领用录入（明细）'!C:C&lt;=$L$4),ROW(),"-")</f>
        <v>-</v>
      </c>
    </row>
    <row r="41929" customHeight="1" spans="2:2">
      <c r="B41929" s="62" t="str">
        <f>IF(AND('领用录入（明细）'!D:D=$F$4,'领用录入（明细）'!C:C&gt;=$J$4,'领用录入（明细）'!C:C&lt;=$L$4),ROW(),"-")</f>
        <v>-</v>
      </c>
    </row>
    <row r="41930" customHeight="1" spans="2:2">
      <c r="B41930" s="62" t="str">
        <f>IF(AND('领用录入（明细）'!D:D=$F$4,'领用录入（明细）'!C:C&gt;=$J$4,'领用录入（明细）'!C:C&lt;=$L$4),ROW(),"-")</f>
        <v>-</v>
      </c>
    </row>
    <row r="41931" customHeight="1" spans="2:2">
      <c r="B41931" s="62" t="str">
        <f>IF(AND('领用录入（明细）'!D:D=$F$4,'领用录入（明细）'!C:C&gt;=$J$4,'领用录入（明细）'!C:C&lt;=$L$4),ROW(),"-")</f>
        <v>-</v>
      </c>
    </row>
    <row r="41932" customHeight="1" spans="2:2">
      <c r="B41932" s="62" t="str">
        <f>IF(AND('领用录入（明细）'!D:D=$F$4,'领用录入（明细）'!C:C&gt;=$J$4,'领用录入（明细）'!C:C&lt;=$L$4),ROW(),"-")</f>
        <v>-</v>
      </c>
    </row>
    <row r="41933" customHeight="1" spans="2:2">
      <c r="B41933" s="62" t="str">
        <f>IF(AND('领用录入（明细）'!D:D=$F$4,'领用录入（明细）'!C:C&gt;=$J$4,'领用录入（明细）'!C:C&lt;=$L$4),ROW(),"-")</f>
        <v>-</v>
      </c>
    </row>
    <row r="41934" customHeight="1" spans="2:2">
      <c r="B41934" s="62" t="str">
        <f>IF(AND('领用录入（明细）'!D:D=$F$4,'领用录入（明细）'!C:C&gt;=$J$4,'领用录入（明细）'!C:C&lt;=$L$4),ROW(),"-")</f>
        <v>-</v>
      </c>
    </row>
    <row r="41935" customHeight="1" spans="2:2">
      <c r="B41935" s="62" t="str">
        <f>IF(AND('领用录入（明细）'!D:D=$F$4,'领用录入（明细）'!C:C&gt;=$J$4,'领用录入（明细）'!C:C&lt;=$L$4),ROW(),"-")</f>
        <v>-</v>
      </c>
    </row>
    <row r="41936" customHeight="1" spans="2:2">
      <c r="B41936" s="62" t="str">
        <f>IF(AND('领用录入（明细）'!D:D=$F$4,'领用录入（明细）'!C:C&gt;=$J$4,'领用录入（明细）'!C:C&lt;=$L$4),ROW(),"-")</f>
        <v>-</v>
      </c>
    </row>
    <row r="41937" customHeight="1" spans="2:2">
      <c r="B41937" s="62" t="str">
        <f>IF(AND('领用录入（明细）'!D:D=$F$4,'领用录入（明细）'!C:C&gt;=$J$4,'领用录入（明细）'!C:C&lt;=$L$4),ROW(),"-")</f>
        <v>-</v>
      </c>
    </row>
    <row r="41938" customHeight="1" spans="2:2">
      <c r="B41938" s="62" t="str">
        <f>IF(AND('领用录入（明细）'!D:D=$F$4,'领用录入（明细）'!C:C&gt;=$J$4,'领用录入（明细）'!C:C&lt;=$L$4),ROW(),"-")</f>
        <v>-</v>
      </c>
    </row>
    <row r="41939" customHeight="1" spans="2:2">
      <c r="B41939" s="62" t="str">
        <f>IF(AND('领用录入（明细）'!D:D=$F$4,'领用录入（明细）'!C:C&gt;=$J$4,'领用录入（明细）'!C:C&lt;=$L$4),ROW(),"-")</f>
        <v>-</v>
      </c>
    </row>
    <row r="41940" customHeight="1" spans="2:2">
      <c r="B41940" s="62" t="str">
        <f>IF(AND('领用录入（明细）'!D:D=$F$4,'领用录入（明细）'!C:C&gt;=$J$4,'领用录入（明细）'!C:C&lt;=$L$4),ROW(),"-")</f>
        <v>-</v>
      </c>
    </row>
    <row r="41941" customHeight="1" spans="2:2">
      <c r="B41941" s="62" t="str">
        <f>IF(AND('领用录入（明细）'!D:D=$F$4,'领用录入（明细）'!C:C&gt;=$J$4,'领用录入（明细）'!C:C&lt;=$L$4),ROW(),"-")</f>
        <v>-</v>
      </c>
    </row>
    <row r="41942" customHeight="1" spans="2:2">
      <c r="B41942" s="62" t="str">
        <f>IF(AND('领用录入（明细）'!D:D=$F$4,'领用录入（明细）'!C:C&gt;=$J$4,'领用录入（明细）'!C:C&lt;=$L$4),ROW(),"-")</f>
        <v>-</v>
      </c>
    </row>
    <row r="41943" customHeight="1" spans="2:2">
      <c r="B41943" s="62" t="str">
        <f>IF(AND('领用录入（明细）'!D:D=$F$4,'领用录入（明细）'!C:C&gt;=$J$4,'领用录入（明细）'!C:C&lt;=$L$4),ROW(),"-")</f>
        <v>-</v>
      </c>
    </row>
    <row r="41944" customHeight="1" spans="2:2">
      <c r="B41944" s="62" t="str">
        <f>IF(AND('领用录入（明细）'!D:D=$F$4,'领用录入（明细）'!C:C&gt;=$J$4,'领用录入（明细）'!C:C&lt;=$L$4),ROW(),"-")</f>
        <v>-</v>
      </c>
    </row>
    <row r="41945" customHeight="1" spans="2:2">
      <c r="B41945" s="62" t="str">
        <f>IF(AND('领用录入（明细）'!D:D=$F$4,'领用录入（明细）'!C:C&gt;=$J$4,'领用录入（明细）'!C:C&lt;=$L$4),ROW(),"-")</f>
        <v>-</v>
      </c>
    </row>
    <row r="41946" customHeight="1" spans="2:2">
      <c r="B41946" s="62" t="str">
        <f>IF(AND('领用录入（明细）'!D:D=$F$4,'领用录入（明细）'!C:C&gt;=$J$4,'领用录入（明细）'!C:C&lt;=$L$4),ROW(),"-")</f>
        <v>-</v>
      </c>
    </row>
    <row r="41947" customHeight="1" spans="2:2">
      <c r="B41947" s="62" t="str">
        <f>IF(AND('领用录入（明细）'!D:D=$F$4,'领用录入（明细）'!C:C&gt;=$J$4,'领用录入（明细）'!C:C&lt;=$L$4),ROW(),"-")</f>
        <v>-</v>
      </c>
    </row>
    <row r="41948" customHeight="1" spans="2:2">
      <c r="B41948" s="62" t="str">
        <f>IF(AND('领用录入（明细）'!D:D=$F$4,'领用录入（明细）'!C:C&gt;=$J$4,'领用录入（明细）'!C:C&lt;=$L$4),ROW(),"-")</f>
        <v>-</v>
      </c>
    </row>
    <row r="41949" customHeight="1" spans="2:2">
      <c r="B41949" s="62" t="str">
        <f>IF(AND('领用录入（明细）'!D:D=$F$4,'领用录入（明细）'!C:C&gt;=$J$4,'领用录入（明细）'!C:C&lt;=$L$4),ROW(),"-")</f>
        <v>-</v>
      </c>
    </row>
    <row r="41950" customHeight="1" spans="2:2">
      <c r="B41950" s="62" t="str">
        <f>IF(AND('领用录入（明细）'!D:D=$F$4,'领用录入（明细）'!C:C&gt;=$J$4,'领用录入（明细）'!C:C&lt;=$L$4),ROW(),"-")</f>
        <v>-</v>
      </c>
    </row>
    <row r="41951" customHeight="1" spans="2:2">
      <c r="B41951" s="62" t="str">
        <f>IF(AND('领用录入（明细）'!D:D=$F$4,'领用录入（明细）'!C:C&gt;=$J$4,'领用录入（明细）'!C:C&lt;=$L$4),ROW(),"-")</f>
        <v>-</v>
      </c>
    </row>
    <row r="41952" customHeight="1" spans="2:2">
      <c r="B41952" s="62" t="str">
        <f>IF(AND('领用录入（明细）'!D:D=$F$4,'领用录入（明细）'!C:C&gt;=$J$4,'领用录入（明细）'!C:C&lt;=$L$4),ROW(),"-")</f>
        <v>-</v>
      </c>
    </row>
    <row r="41953" customHeight="1" spans="2:2">
      <c r="B41953" s="62" t="str">
        <f>IF(AND('领用录入（明细）'!D:D=$F$4,'领用录入（明细）'!C:C&gt;=$J$4,'领用录入（明细）'!C:C&lt;=$L$4),ROW(),"-")</f>
        <v>-</v>
      </c>
    </row>
    <row r="41954" customHeight="1" spans="2:2">
      <c r="B41954" s="62" t="str">
        <f>IF(AND('领用录入（明细）'!D:D=$F$4,'领用录入（明细）'!C:C&gt;=$J$4,'领用录入（明细）'!C:C&lt;=$L$4),ROW(),"-")</f>
        <v>-</v>
      </c>
    </row>
    <row r="41955" customHeight="1" spans="2:2">
      <c r="B41955" s="62" t="str">
        <f>IF(AND('领用录入（明细）'!D:D=$F$4,'领用录入（明细）'!C:C&gt;=$J$4,'领用录入（明细）'!C:C&lt;=$L$4),ROW(),"-")</f>
        <v>-</v>
      </c>
    </row>
    <row r="41956" customHeight="1" spans="2:2">
      <c r="B41956" s="62" t="str">
        <f>IF(AND('领用录入（明细）'!D:D=$F$4,'领用录入（明细）'!C:C&gt;=$J$4,'领用录入（明细）'!C:C&lt;=$L$4),ROW(),"-")</f>
        <v>-</v>
      </c>
    </row>
    <row r="41957" customHeight="1" spans="2:2">
      <c r="B41957" s="62" t="str">
        <f>IF(AND('领用录入（明细）'!D:D=$F$4,'领用录入（明细）'!C:C&gt;=$J$4,'领用录入（明细）'!C:C&lt;=$L$4),ROW(),"-")</f>
        <v>-</v>
      </c>
    </row>
    <row r="41958" customHeight="1" spans="2:2">
      <c r="B41958" s="62" t="str">
        <f>IF(AND('领用录入（明细）'!D:D=$F$4,'领用录入（明细）'!C:C&gt;=$J$4,'领用录入（明细）'!C:C&lt;=$L$4),ROW(),"-")</f>
        <v>-</v>
      </c>
    </row>
    <row r="41959" customHeight="1" spans="2:2">
      <c r="B41959" s="62" t="str">
        <f>IF(AND('领用录入（明细）'!D:D=$F$4,'领用录入（明细）'!C:C&gt;=$J$4,'领用录入（明细）'!C:C&lt;=$L$4),ROW(),"-")</f>
        <v>-</v>
      </c>
    </row>
    <row r="41960" customHeight="1" spans="2:2">
      <c r="B41960" s="62" t="str">
        <f>IF(AND('领用录入（明细）'!D:D=$F$4,'领用录入（明细）'!C:C&gt;=$J$4,'领用录入（明细）'!C:C&lt;=$L$4),ROW(),"-")</f>
        <v>-</v>
      </c>
    </row>
    <row r="41961" customHeight="1" spans="2:2">
      <c r="B41961" s="62" t="str">
        <f>IF(AND('领用录入（明细）'!D:D=$F$4,'领用录入（明细）'!C:C&gt;=$J$4,'领用录入（明细）'!C:C&lt;=$L$4),ROW(),"-")</f>
        <v>-</v>
      </c>
    </row>
    <row r="41962" customHeight="1" spans="2:2">
      <c r="B41962" s="62" t="str">
        <f>IF(AND('领用录入（明细）'!D:D=$F$4,'领用录入（明细）'!C:C&gt;=$J$4,'领用录入（明细）'!C:C&lt;=$L$4),ROW(),"-")</f>
        <v>-</v>
      </c>
    </row>
    <row r="41963" customHeight="1" spans="2:2">
      <c r="B41963" s="62" t="str">
        <f>IF(AND('领用录入（明细）'!D:D=$F$4,'领用录入（明细）'!C:C&gt;=$J$4,'领用录入（明细）'!C:C&lt;=$L$4),ROW(),"-")</f>
        <v>-</v>
      </c>
    </row>
    <row r="41964" customHeight="1" spans="2:2">
      <c r="B41964" s="62" t="str">
        <f>IF(AND('领用录入（明细）'!D:D=$F$4,'领用录入（明细）'!C:C&gt;=$J$4,'领用录入（明细）'!C:C&lt;=$L$4),ROW(),"-")</f>
        <v>-</v>
      </c>
    </row>
    <row r="41965" customHeight="1" spans="2:2">
      <c r="B41965" s="62" t="str">
        <f>IF(AND('领用录入（明细）'!D:D=$F$4,'领用录入（明细）'!C:C&gt;=$J$4,'领用录入（明细）'!C:C&lt;=$L$4),ROW(),"-")</f>
        <v>-</v>
      </c>
    </row>
    <row r="41966" customHeight="1" spans="2:2">
      <c r="B41966" s="62" t="str">
        <f>IF(AND('领用录入（明细）'!D:D=$F$4,'领用录入（明细）'!C:C&gt;=$J$4,'领用录入（明细）'!C:C&lt;=$L$4),ROW(),"-")</f>
        <v>-</v>
      </c>
    </row>
    <row r="41967" customHeight="1" spans="2:2">
      <c r="B41967" s="62" t="str">
        <f>IF(AND('领用录入（明细）'!D:D=$F$4,'领用录入（明细）'!C:C&gt;=$J$4,'领用录入（明细）'!C:C&lt;=$L$4),ROW(),"-")</f>
        <v>-</v>
      </c>
    </row>
    <row r="41968" customHeight="1" spans="2:2">
      <c r="B41968" s="62" t="str">
        <f>IF(AND('领用录入（明细）'!D:D=$F$4,'领用录入（明细）'!C:C&gt;=$J$4,'领用录入（明细）'!C:C&lt;=$L$4),ROW(),"-")</f>
        <v>-</v>
      </c>
    </row>
    <row r="41969" customHeight="1" spans="2:2">
      <c r="B41969" s="62" t="str">
        <f>IF(AND('领用录入（明细）'!D:D=$F$4,'领用录入（明细）'!C:C&gt;=$J$4,'领用录入（明细）'!C:C&lt;=$L$4),ROW(),"-")</f>
        <v>-</v>
      </c>
    </row>
    <row r="41970" customHeight="1" spans="2:2">
      <c r="B41970" s="62" t="str">
        <f>IF(AND('领用录入（明细）'!D:D=$F$4,'领用录入（明细）'!C:C&gt;=$J$4,'领用录入（明细）'!C:C&lt;=$L$4),ROW(),"-")</f>
        <v>-</v>
      </c>
    </row>
    <row r="41971" customHeight="1" spans="2:2">
      <c r="B41971" s="62" t="str">
        <f>IF(AND('领用录入（明细）'!D:D=$F$4,'领用录入（明细）'!C:C&gt;=$J$4,'领用录入（明细）'!C:C&lt;=$L$4),ROW(),"-")</f>
        <v>-</v>
      </c>
    </row>
    <row r="41972" customHeight="1" spans="2:2">
      <c r="B41972" s="62" t="str">
        <f>IF(AND('领用录入（明细）'!D:D=$F$4,'领用录入（明细）'!C:C&gt;=$J$4,'领用录入（明细）'!C:C&lt;=$L$4),ROW(),"-")</f>
        <v>-</v>
      </c>
    </row>
    <row r="41973" customHeight="1" spans="2:2">
      <c r="B41973" s="62" t="str">
        <f>IF(AND('领用录入（明细）'!D:D=$F$4,'领用录入（明细）'!C:C&gt;=$J$4,'领用录入（明细）'!C:C&lt;=$L$4),ROW(),"-")</f>
        <v>-</v>
      </c>
    </row>
    <row r="41974" customHeight="1" spans="2:2">
      <c r="B41974" s="62" t="str">
        <f>IF(AND('领用录入（明细）'!D:D=$F$4,'领用录入（明细）'!C:C&gt;=$J$4,'领用录入（明细）'!C:C&lt;=$L$4),ROW(),"-")</f>
        <v>-</v>
      </c>
    </row>
    <row r="41975" customHeight="1" spans="2:2">
      <c r="B41975" s="62" t="str">
        <f>IF(AND('领用录入（明细）'!D:D=$F$4,'领用录入（明细）'!C:C&gt;=$J$4,'领用录入（明细）'!C:C&lt;=$L$4),ROW(),"-")</f>
        <v>-</v>
      </c>
    </row>
    <row r="41976" customHeight="1" spans="2:2">
      <c r="B41976" s="62" t="str">
        <f>IF(AND('领用录入（明细）'!D:D=$F$4,'领用录入（明细）'!C:C&gt;=$J$4,'领用录入（明细）'!C:C&lt;=$L$4),ROW(),"-")</f>
        <v>-</v>
      </c>
    </row>
    <row r="41977" customHeight="1" spans="2:2">
      <c r="B41977" s="62" t="str">
        <f>IF(AND('领用录入（明细）'!D:D=$F$4,'领用录入（明细）'!C:C&gt;=$J$4,'领用录入（明细）'!C:C&lt;=$L$4),ROW(),"-")</f>
        <v>-</v>
      </c>
    </row>
    <row r="41978" customHeight="1" spans="2:2">
      <c r="B41978" s="62" t="str">
        <f>IF(AND('领用录入（明细）'!D:D=$F$4,'领用录入（明细）'!C:C&gt;=$J$4,'领用录入（明细）'!C:C&lt;=$L$4),ROW(),"-")</f>
        <v>-</v>
      </c>
    </row>
    <row r="41979" customHeight="1" spans="2:2">
      <c r="B41979" s="62" t="str">
        <f>IF(AND('领用录入（明细）'!D:D=$F$4,'领用录入（明细）'!C:C&gt;=$J$4,'领用录入（明细）'!C:C&lt;=$L$4),ROW(),"-")</f>
        <v>-</v>
      </c>
    </row>
    <row r="41980" customHeight="1" spans="2:2">
      <c r="B41980" s="62" t="str">
        <f>IF(AND('领用录入（明细）'!D:D=$F$4,'领用录入（明细）'!C:C&gt;=$J$4,'领用录入（明细）'!C:C&lt;=$L$4),ROW(),"-")</f>
        <v>-</v>
      </c>
    </row>
    <row r="41981" customHeight="1" spans="2:2">
      <c r="B41981" s="62" t="str">
        <f>IF(AND('领用录入（明细）'!D:D=$F$4,'领用录入（明细）'!C:C&gt;=$J$4,'领用录入（明细）'!C:C&lt;=$L$4),ROW(),"-")</f>
        <v>-</v>
      </c>
    </row>
    <row r="41982" customHeight="1" spans="2:2">
      <c r="B41982" s="62" t="str">
        <f>IF(AND('领用录入（明细）'!D:D=$F$4,'领用录入（明细）'!C:C&gt;=$J$4,'领用录入（明细）'!C:C&lt;=$L$4),ROW(),"-")</f>
        <v>-</v>
      </c>
    </row>
    <row r="41983" customHeight="1" spans="2:2">
      <c r="B41983" s="62" t="str">
        <f>IF(AND('领用录入（明细）'!D:D=$F$4,'领用录入（明细）'!C:C&gt;=$J$4,'领用录入（明细）'!C:C&lt;=$L$4),ROW(),"-")</f>
        <v>-</v>
      </c>
    </row>
    <row r="41984" customHeight="1" spans="2:2">
      <c r="B41984" s="62" t="str">
        <f>IF(AND('领用录入（明细）'!D:D=$F$4,'领用录入（明细）'!C:C&gt;=$J$4,'领用录入（明细）'!C:C&lt;=$L$4),ROW(),"-")</f>
        <v>-</v>
      </c>
    </row>
    <row r="41985" customHeight="1" spans="2:2">
      <c r="B41985" s="62" t="str">
        <f>IF(AND('领用录入（明细）'!D:D=$F$4,'领用录入（明细）'!C:C&gt;=$J$4,'领用录入（明细）'!C:C&lt;=$L$4),ROW(),"-")</f>
        <v>-</v>
      </c>
    </row>
    <row r="41986" customHeight="1" spans="2:2">
      <c r="B41986" s="62" t="str">
        <f>IF(AND('领用录入（明细）'!D:D=$F$4,'领用录入（明细）'!C:C&gt;=$J$4,'领用录入（明细）'!C:C&lt;=$L$4),ROW(),"-")</f>
        <v>-</v>
      </c>
    </row>
    <row r="41987" customHeight="1" spans="2:2">
      <c r="B41987" s="62" t="str">
        <f>IF(AND('领用录入（明细）'!D:D=$F$4,'领用录入（明细）'!C:C&gt;=$J$4,'领用录入（明细）'!C:C&lt;=$L$4),ROW(),"-")</f>
        <v>-</v>
      </c>
    </row>
    <row r="41988" customHeight="1" spans="2:2">
      <c r="B41988" s="62" t="str">
        <f>IF(AND('领用录入（明细）'!D:D=$F$4,'领用录入（明细）'!C:C&gt;=$J$4,'领用录入（明细）'!C:C&lt;=$L$4),ROW(),"-")</f>
        <v>-</v>
      </c>
    </row>
    <row r="41989" customHeight="1" spans="2:2">
      <c r="B41989" s="62" t="str">
        <f>IF(AND('领用录入（明细）'!D:D=$F$4,'领用录入（明细）'!C:C&gt;=$J$4,'领用录入（明细）'!C:C&lt;=$L$4),ROW(),"-")</f>
        <v>-</v>
      </c>
    </row>
    <row r="41990" customHeight="1" spans="2:2">
      <c r="B41990" s="62" t="str">
        <f>IF(AND('领用录入（明细）'!D:D=$F$4,'领用录入（明细）'!C:C&gt;=$J$4,'领用录入（明细）'!C:C&lt;=$L$4),ROW(),"-")</f>
        <v>-</v>
      </c>
    </row>
    <row r="41991" customHeight="1" spans="2:2">
      <c r="B41991" s="62" t="str">
        <f>IF(AND('领用录入（明细）'!D:D=$F$4,'领用录入（明细）'!C:C&gt;=$J$4,'领用录入（明细）'!C:C&lt;=$L$4),ROW(),"-")</f>
        <v>-</v>
      </c>
    </row>
    <row r="41992" customHeight="1" spans="2:2">
      <c r="B41992" s="62" t="str">
        <f>IF(AND('领用录入（明细）'!D:D=$F$4,'领用录入（明细）'!C:C&gt;=$J$4,'领用录入（明细）'!C:C&lt;=$L$4),ROW(),"-")</f>
        <v>-</v>
      </c>
    </row>
    <row r="41993" customHeight="1" spans="2:2">
      <c r="B41993" s="62" t="str">
        <f>IF(AND('领用录入（明细）'!D:D=$F$4,'领用录入（明细）'!C:C&gt;=$J$4,'领用录入（明细）'!C:C&lt;=$L$4),ROW(),"-")</f>
        <v>-</v>
      </c>
    </row>
    <row r="41994" customHeight="1" spans="2:2">
      <c r="B41994" s="62" t="str">
        <f>IF(AND('领用录入（明细）'!D:D=$F$4,'领用录入（明细）'!C:C&gt;=$J$4,'领用录入（明细）'!C:C&lt;=$L$4),ROW(),"-")</f>
        <v>-</v>
      </c>
    </row>
    <row r="41995" customHeight="1" spans="2:2">
      <c r="B41995" s="62" t="str">
        <f>IF(AND('领用录入（明细）'!D:D=$F$4,'领用录入（明细）'!C:C&gt;=$J$4,'领用录入（明细）'!C:C&lt;=$L$4),ROW(),"-")</f>
        <v>-</v>
      </c>
    </row>
    <row r="41996" customHeight="1" spans="2:2">
      <c r="B41996" s="62" t="str">
        <f>IF(AND('领用录入（明细）'!D:D=$F$4,'领用录入（明细）'!C:C&gt;=$J$4,'领用录入（明细）'!C:C&lt;=$L$4),ROW(),"-")</f>
        <v>-</v>
      </c>
    </row>
    <row r="41997" customHeight="1" spans="2:2">
      <c r="B41997" s="62" t="str">
        <f>IF(AND('领用录入（明细）'!D:D=$F$4,'领用录入（明细）'!C:C&gt;=$J$4,'领用录入（明细）'!C:C&lt;=$L$4),ROW(),"-")</f>
        <v>-</v>
      </c>
    </row>
    <row r="41998" customHeight="1" spans="2:2">
      <c r="B41998" s="62" t="str">
        <f>IF(AND('领用录入（明细）'!D:D=$F$4,'领用录入（明细）'!C:C&gt;=$J$4,'领用录入（明细）'!C:C&lt;=$L$4),ROW(),"-")</f>
        <v>-</v>
      </c>
    </row>
    <row r="41999" customHeight="1" spans="2:2">
      <c r="B41999" s="62" t="str">
        <f>IF(AND('领用录入（明细）'!D:D=$F$4,'领用录入（明细）'!C:C&gt;=$J$4,'领用录入（明细）'!C:C&lt;=$L$4),ROW(),"-")</f>
        <v>-</v>
      </c>
    </row>
    <row r="42000" customHeight="1" spans="2:2">
      <c r="B42000" s="62" t="str">
        <f>IF(AND('领用录入（明细）'!D:D=$F$4,'领用录入（明细）'!C:C&gt;=$J$4,'领用录入（明细）'!C:C&lt;=$L$4),ROW(),"-")</f>
        <v>-</v>
      </c>
    </row>
    <row r="42001" customHeight="1" spans="2:2">
      <c r="B42001" s="62" t="str">
        <f>IF(AND('领用录入（明细）'!D:D=$F$4,'领用录入（明细）'!C:C&gt;=$J$4,'领用录入（明细）'!C:C&lt;=$L$4),ROW(),"-")</f>
        <v>-</v>
      </c>
    </row>
    <row r="42002" customHeight="1" spans="2:2">
      <c r="B42002" s="62" t="str">
        <f>IF(AND('领用录入（明细）'!D:D=$F$4,'领用录入（明细）'!C:C&gt;=$J$4,'领用录入（明细）'!C:C&lt;=$L$4),ROW(),"-")</f>
        <v>-</v>
      </c>
    </row>
    <row r="42003" customHeight="1" spans="2:2">
      <c r="B42003" s="62" t="str">
        <f>IF(AND('领用录入（明细）'!D:D=$F$4,'领用录入（明细）'!C:C&gt;=$J$4,'领用录入（明细）'!C:C&lt;=$L$4),ROW(),"-")</f>
        <v>-</v>
      </c>
    </row>
    <row r="42004" customHeight="1" spans="2:2">
      <c r="B42004" s="62" t="str">
        <f>IF(AND('领用录入（明细）'!D:D=$F$4,'领用录入（明细）'!C:C&gt;=$J$4,'领用录入（明细）'!C:C&lt;=$L$4),ROW(),"-")</f>
        <v>-</v>
      </c>
    </row>
    <row r="42005" customHeight="1" spans="2:2">
      <c r="B42005" s="62" t="str">
        <f>IF(AND('领用录入（明细）'!D:D=$F$4,'领用录入（明细）'!C:C&gt;=$J$4,'领用录入（明细）'!C:C&lt;=$L$4),ROW(),"-")</f>
        <v>-</v>
      </c>
    </row>
    <row r="42006" customHeight="1" spans="2:2">
      <c r="B42006" s="62" t="str">
        <f>IF(AND('领用录入（明细）'!D:D=$F$4,'领用录入（明细）'!C:C&gt;=$J$4,'领用录入（明细）'!C:C&lt;=$L$4),ROW(),"-")</f>
        <v>-</v>
      </c>
    </row>
    <row r="42007" customHeight="1" spans="2:2">
      <c r="B42007" s="62" t="str">
        <f>IF(AND('领用录入（明细）'!D:D=$F$4,'领用录入（明细）'!C:C&gt;=$J$4,'领用录入（明细）'!C:C&lt;=$L$4),ROW(),"-")</f>
        <v>-</v>
      </c>
    </row>
    <row r="42008" customHeight="1" spans="2:2">
      <c r="B42008" s="62" t="str">
        <f>IF(AND('领用录入（明细）'!D:D=$F$4,'领用录入（明细）'!C:C&gt;=$J$4,'领用录入（明细）'!C:C&lt;=$L$4),ROW(),"-")</f>
        <v>-</v>
      </c>
    </row>
    <row r="42009" customHeight="1" spans="2:2">
      <c r="B42009" s="62" t="str">
        <f>IF(AND('领用录入（明细）'!D:D=$F$4,'领用录入（明细）'!C:C&gt;=$J$4,'领用录入（明细）'!C:C&lt;=$L$4),ROW(),"-")</f>
        <v>-</v>
      </c>
    </row>
    <row r="42010" customHeight="1" spans="2:2">
      <c r="B42010" s="62" t="str">
        <f>IF(AND('领用录入（明细）'!D:D=$F$4,'领用录入（明细）'!C:C&gt;=$J$4,'领用录入（明细）'!C:C&lt;=$L$4),ROW(),"-")</f>
        <v>-</v>
      </c>
    </row>
    <row r="42011" customHeight="1" spans="2:2">
      <c r="B42011" s="62" t="str">
        <f>IF(AND('领用录入（明细）'!D:D=$F$4,'领用录入（明细）'!C:C&gt;=$J$4,'领用录入（明细）'!C:C&lt;=$L$4),ROW(),"-")</f>
        <v>-</v>
      </c>
    </row>
    <row r="42012" customHeight="1" spans="2:2">
      <c r="B42012" s="62" t="str">
        <f>IF(AND('领用录入（明细）'!D:D=$F$4,'领用录入（明细）'!C:C&gt;=$J$4,'领用录入（明细）'!C:C&lt;=$L$4),ROW(),"-")</f>
        <v>-</v>
      </c>
    </row>
    <row r="42013" customHeight="1" spans="2:2">
      <c r="B42013" s="62" t="str">
        <f>IF(AND('领用录入（明细）'!D:D=$F$4,'领用录入（明细）'!C:C&gt;=$J$4,'领用录入（明细）'!C:C&lt;=$L$4),ROW(),"-")</f>
        <v>-</v>
      </c>
    </row>
    <row r="42014" customHeight="1" spans="2:2">
      <c r="B42014" s="62" t="str">
        <f>IF(AND('领用录入（明细）'!D:D=$F$4,'领用录入（明细）'!C:C&gt;=$J$4,'领用录入（明细）'!C:C&lt;=$L$4),ROW(),"-")</f>
        <v>-</v>
      </c>
    </row>
    <row r="42015" customHeight="1" spans="2:2">
      <c r="B42015" s="62" t="str">
        <f>IF(AND('领用录入（明细）'!D:D=$F$4,'领用录入（明细）'!C:C&gt;=$J$4,'领用录入（明细）'!C:C&lt;=$L$4),ROW(),"-")</f>
        <v>-</v>
      </c>
    </row>
    <row r="42016" customHeight="1" spans="2:2">
      <c r="B42016" s="62" t="str">
        <f>IF(AND('领用录入（明细）'!D:D=$F$4,'领用录入（明细）'!C:C&gt;=$J$4,'领用录入（明细）'!C:C&lt;=$L$4),ROW(),"-")</f>
        <v>-</v>
      </c>
    </row>
    <row r="42017" customHeight="1" spans="2:2">
      <c r="B42017" s="62" t="str">
        <f>IF(AND('领用录入（明细）'!D:D=$F$4,'领用录入（明细）'!C:C&gt;=$J$4,'领用录入（明细）'!C:C&lt;=$L$4),ROW(),"-")</f>
        <v>-</v>
      </c>
    </row>
    <row r="42018" customHeight="1" spans="2:2">
      <c r="B42018" s="62" t="str">
        <f>IF(AND('领用录入（明细）'!D:D=$F$4,'领用录入（明细）'!C:C&gt;=$J$4,'领用录入（明细）'!C:C&lt;=$L$4),ROW(),"-")</f>
        <v>-</v>
      </c>
    </row>
    <row r="42019" customHeight="1" spans="2:2">
      <c r="B42019" s="62" t="str">
        <f>IF(AND('领用录入（明细）'!D:D=$F$4,'领用录入（明细）'!C:C&gt;=$J$4,'领用录入（明细）'!C:C&lt;=$L$4),ROW(),"-")</f>
        <v>-</v>
      </c>
    </row>
    <row r="42020" customHeight="1" spans="2:2">
      <c r="B42020" s="62" t="str">
        <f>IF(AND('领用录入（明细）'!D:D=$F$4,'领用录入（明细）'!C:C&gt;=$J$4,'领用录入（明细）'!C:C&lt;=$L$4),ROW(),"-")</f>
        <v>-</v>
      </c>
    </row>
    <row r="42021" customHeight="1" spans="2:2">
      <c r="B42021" s="62" t="str">
        <f>IF(AND('领用录入（明细）'!D:D=$F$4,'领用录入（明细）'!C:C&gt;=$J$4,'领用录入（明细）'!C:C&lt;=$L$4),ROW(),"-")</f>
        <v>-</v>
      </c>
    </row>
    <row r="42022" customHeight="1" spans="2:2">
      <c r="B42022" s="62" t="str">
        <f>IF(AND('领用录入（明细）'!D:D=$F$4,'领用录入（明细）'!C:C&gt;=$J$4,'领用录入（明细）'!C:C&lt;=$L$4),ROW(),"-")</f>
        <v>-</v>
      </c>
    </row>
    <row r="42023" customHeight="1" spans="2:2">
      <c r="B42023" s="62" t="str">
        <f>IF(AND('领用录入（明细）'!D:D=$F$4,'领用录入（明细）'!C:C&gt;=$J$4,'领用录入（明细）'!C:C&lt;=$L$4),ROW(),"-")</f>
        <v>-</v>
      </c>
    </row>
    <row r="42024" customHeight="1" spans="2:2">
      <c r="B42024" s="62" t="str">
        <f>IF(AND('领用录入（明细）'!D:D=$F$4,'领用录入（明细）'!C:C&gt;=$J$4,'领用录入（明细）'!C:C&lt;=$L$4),ROW(),"-")</f>
        <v>-</v>
      </c>
    </row>
    <row r="42025" customHeight="1" spans="2:2">
      <c r="B42025" s="62" t="str">
        <f>IF(AND('领用录入（明细）'!D:D=$F$4,'领用录入（明细）'!C:C&gt;=$J$4,'领用录入（明细）'!C:C&lt;=$L$4),ROW(),"-")</f>
        <v>-</v>
      </c>
    </row>
    <row r="42026" customHeight="1" spans="2:2">
      <c r="B42026" s="62" t="str">
        <f>IF(AND('领用录入（明细）'!D:D=$F$4,'领用录入（明细）'!C:C&gt;=$J$4,'领用录入（明细）'!C:C&lt;=$L$4),ROW(),"-")</f>
        <v>-</v>
      </c>
    </row>
    <row r="42027" customHeight="1" spans="2:2">
      <c r="B42027" s="62" t="str">
        <f>IF(AND('领用录入（明细）'!D:D=$F$4,'领用录入（明细）'!C:C&gt;=$J$4,'领用录入（明细）'!C:C&lt;=$L$4),ROW(),"-")</f>
        <v>-</v>
      </c>
    </row>
    <row r="42028" customHeight="1" spans="2:2">
      <c r="B42028" s="62" t="str">
        <f>IF(AND('领用录入（明细）'!D:D=$F$4,'领用录入（明细）'!C:C&gt;=$J$4,'领用录入（明细）'!C:C&lt;=$L$4),ROW(),"-")</f>
        <v>-</v>
      </c>
    </row>
    <row r="42029" customHeight="1" spans="2:2">
      <c r="B42029" s="62" t="str">
        <f>IF(AND('领用录入（明细）'!D:D=$F$4,'领用录入（明细）'!C:C&gt;=$J$4,'领用录入（明细）'!C:C&lt;=$L$4),ROW(),"-")</f>
        <v>-</v>
      </c>
    </row>
    <row r="42030" customHeight="1" spans="2:2">
      <c r="B42030" s="62" t="str">
        <f>IF(AND('领用录入（明细）'!D:D=$F$4,'领用录入（明细）'!C:C&gt;=$J$4,'领用录入（明细）'!C:C&lt;=$L$4),ROW(),"-")</f>
        <v>-</v>
      </c>
    </row>
    <row r="42031" customHeight="1" spans="2:2">
      <c r="B42031" s="62" t="str">
        <f>IF(AND('领用录入（明细）'!D:D=$F$4,'领用录入（明细）'!C:C&gt;=$J$4,'领用录入（明细）'!C:C&lt;=$L$4),ROW(),"-")</f>
        <v>-</v>
      </c>
    </row>
    <row r="42032" customHeight="1" spans="2:2">
      <c r="B42032" s="62" t="str">
        <f>IF(AND('领用录入（明细）'!D:D=$F$4,'领用录入（明细）'!C:C&gt;=$J$4,'领用录入（明细）'!C:C&lt;=$L$4),ROW(),"-")</f>
        <v>-</v>
      </c>
    </row>
    <row r="42033" customHeight="1" spans="2:2">
      <c r="B42033" s="62" t="str">
        <f>IF(AND('领用录入（明细）'!D:D=$F$4,'领用录入（明细）'!C:C&gt;=$J$4,'领用录入（明细）'!C:C&lt;=$L$4),ROW(),"-")</f>
        <v>-</v>
      </c>
    </row>
    <row r="42034" customHeight="1" spans="2:2">
      <c r="B42034" s="62" t="str">
        <f>IF(AND('领用录入（明细）'!D:D=$F$4,'领用录入（明细）'!C:C&gt;=$J$4,'领用录入（明细）'!C:C&lt;=$L$4),ROW(),"-")</f>
        <v>-</v>
      </c>
    </row>
    <row r="42035" customHeight="1" spans="2:2">
      <c r="B42035" s="62" t="str">
        <f>IF(AND('领用录入（明细）'!D:D=$F$4,'领用录入（明细）'!C:C&gt;=$J$4,'领用录入（明细）'!C:C&lt;=$L$4),ROW(),"-")</f>
        <v>-</v>
      </c>
    </row>
    <row r="42036" customHeight="1" spans="2:2">
      <c r="B42036" s="62" t="str">
        <f>IF(AND('领用录入（明细）'!D:D=$F$4,'领用录入（明细）'!C:C&gt;=$J$4,'领用录入（明细）'!C:C&lt;=$L$4),ROW(),"-")</f>
        <v>-</v>
      </c>
    </row>
    <row r="42037" customHeight="1" spans="2:2">
      <c r="B42037" s="62" t="str">
        <f>IF(AND('领用录入（明细）'!D:D=$F$4,'领用录入（明细）'!C:C&gt;=$J$4,'领用录入（明细）'!C:C&lt;=$L$4),ROW(),"-")</f>
        <v>-</v>
      </c>
    </row>
    <row r="42038" customHeight="1" spans="2:2">
      <c r="B42038" s="62" t="str">
        <f>IF(AND('领用录入（明细）'!D:D=$F$4,'领用录入（明细）'!C:C&gt;=$J$4,'领用录入（明细）'!C:C&lt;=$L$4),ROW(),"-")</f>
        <v>-</v>
      </c>
    </row>
    <row r="42039" customHeight="1" spans="2:2">
      <c r="B42039" s="62" t="str">
        <f>IF(AND('领用录入（明细）'!D:D=$F$4,'领用录入（明细）'!C:C&gt;=$J$4,'领用录入（明细）'!C:C&lt;=$L$4),ROW(),"-")</f>
        <v>-</v>
      </c>
    </row>
    <row r="42040" customHeight="1" spans="2:2">
      <c r="B42040" s="62" t="str">
        <f>IF(AND('领用录入（明细）'!D:D=$F$4,'领用录入（明细）'!C:C&gt;=$J$4,'领用录入（明细）'!C:C&lt;=$L$4),ROW(),"-")</f>
        <v>-</v>
      </c>
    </row>
    <row r="42041" customHeight="1" spans="2:2">
      <c r="B42041" s="62" t="str">
        <f>IF(AND('领用录入（明细）'!D:D=$F$4,'领用录入（明细）'!C:C&gt;=$J$4,'领用录入（明细）'!C:C&lt;=$L$4),ROW(),"-")</f>
        <v>-</v>
      </c>
    </row>
    <row r="42042" customHeight="1" spans="2:2">
      <c r="B42042" s="62" t="str">
        <f>IF(AND('领用录入（明细）'!D:D=$F$4,'领用录入（明细）'!C:C&gt;=$J$4,'领用录入（明细）'!C:C&lt;=$L$4),ROW(),"-")</f>
        <v>-</v>
      </c>
    </row>
    <row r="42043" customHeight="1" spans="2:2">
      <c r="B42043" s="62" t="str">
        <f>IF(AND('领用录入（明细）'!D:D=$F$4,'领用录入（明细）'!C:C&gt;=$J$4,'领用录入（明细）'!C:C&lt;=$L$4),ROW(),"-")</f>
        <v>-</v>
      </c>
    </row>
    <row r="42044" customHeight="1" spans="2:2">
      <c r="B42044" s="62" t="str">
        <f>IF(AND('领用录入（明细）'!D:D=$F$4,'领用录入（明细）'!C:C&gt;=$J$4,'领用录入（明细）'!C:C&lt;=$L$4),ROW(),"-")</f>
        <v>-</v>
      </c>
    </row>
    <row r="42045" customHeight="1" spans="2:2">
      <c r="B42045" s="62" t="str">
        <f>IF(AND('领用录入（明细）'!D:D=$F$4,'领用录入（明细）'!C:C&gt;=$J$4,'领用录入（明细）'!C:C&lt;=$L$4),ROW(),"-")</f>
        <v>-</v>
      </c>
    </row>
    <row r="42046" customHeight="1" spans="2:2">
      <c r="B42046" s="62" t="str">
        <f>IF(AND('领用录入（明细）'!D:D=$F$4,'领用录入（明细）'!C:C&gt;=$J$4,'领用录入（明细）'!C:C&lt;=$L$4),ROW(),"-")</f>
        <v>-</v>
      </c>
    </row>
    <row r="42047" customHeight="1" spans="2:2">
      <c r="B42047" s="62" t="str">
        <f>IF(AND('领用录入（明细）'!D:D=$F$4,'领用录入（明细）'!C:C&gt;=$J$4,'领用录入（明细）'!C:C&lt;=$L$4),ROW(),"-")</f>
        <v>-</v>
      </c>
    </row>
    <row r="42048" customHeight="1" spans="2:2">
      <c r="B42048" s="62" t="str">
        <f>IF(AND('领用录入（明细）'!D:D=$F$4,'领用录入（明细）'!C:C&gt;=$J$4,'领用录入（明细）'!C:C&lt;=$L$4),ROW(),"-")</f>
        <v>-</v>
      </c>
    </row>
    <row r="42049" customHeight="1" spans="2:2">
      <c r="B42049" s="62" t="str">
        <f>IF(AND('领用录入（明细）'!D:D=$F$4,'领用录入（明细）'!C:C&gt;=$J$4,'领用录入（明细）'!C:C&lt;=$L$4),ROW(),"-")</f>
        <v>-</v>
      </c>
    </row>
    <row r="42050" customHeight="1" spans="2:2">
      <c r="B42050" s="62" t="str">
        <f>IF(AND('领用录入（明细）'!D:D=$F$4,'领用录入（明细）'!C:C&gt;=$J$4,'领用录入（明细）'!C:C&lt;=$L$4),ROW(),"-")</f>
        <v>-</v>
      </c>
    </row>
    <row r="42051" customHeight="1" spans="2:2">
      <c r="B42051" s="62" t="str">
        <f>IF(AND('领用录入（明细）'!D:D=$F$4,'领用录入（明细）'!C:C&gt;=$J$4,'领用录入（明细）'!C:C&lt;=$L$4),ROW(),"-")</f>
        <v>-</v>
      </c>
    </row>
    <row r="42052" customHeight="1" spans="2:2">
      <c r="B42052" s="62" t="str">
        <f>IF(AND('领用录入（明细）'!D:D=$F$4,'领用录入（明细）'!C:C&gt;=$J$4,'领用录入（明细）'!C:C&lt;=$L$4),ROW(),"-")</f>
        <v>-</v>
      </c>
    </row>
    <row r="42053" customHeight="1" spans="2:2">
      <c r="B42053" s="62" t="str">
        <f>IF(AND('领用录入（明细）'!D:D=$F$4,'领用录入（明细）'!C:C&gt;=$J$4,'领用录入（明细）'!C:C&lt;=$L$4),ROW(),"-")</f>
        <v>-</v>
      </c>
    </row>
    <row r="42054" customHeight="1" spans="2:2">
      <c r="B42054" s="62" t="str">
        <f>IF(AND('领用录入（明细）'!D:D=$F$4,'领用录入（明细）'!C:C&gt;=$J$4,'领用录入（明细）'!C:C&lt;=$L$4),ROW(),"-")</f>
        <v>-</v>
      </c>
    </row>
    <row r="42055" customHeight="1" spans="2:2">
      <c r="B42055" s="62" t="str">
        <f>IF(AND('领用录入（明细）'!D:D=$F$4,'领用录入（明细）'!C:C&gt;=$J$4,'领用录入（明细）'!C:C&lt;=$L$4),ROW(),"-")</f>
        <v>-</v>
      </c>
    </row>
    <row r="42056" customHeight="1" spans="2:2">
      <c r="B42056" s="62" t="str">
        <f>IF(AND('领用录入（明细）'!D:D=$F$4,'领用录入（明细）'!C:C&gt;=$J$4,'领用录入（明细）'!C:C&lt;=$L$4),ROW(),"-")</f>
        <v>-</v>
      </c>
    </row>
    <row r="42057" customHeight="1" spans="2:2">
      <c r="B42057" s="62" t="str">
        <f>IF(AND('领用录入（明细）'!D:D=$F$4,'领用录入（明细）'!C:C&gt;=$J$4,'领用录入（明细）'!C:C&lt;=$L$4),ROW(),"-")</f>
        <v>-</v>
      </c>
    </row>
    <row r="42058" customHeight="1" spans="2:2">
      <c r="B42058" s="62" t="str">
        <f>IF(AND('领用录入（明细）'!D:D=$F$4,'领用录入（明细）'!C:C&gt;=$J$4,'领用录入（明细）'!C:C&lt;=$L$4),ROW(),"-")</f>
        <v>-</v>
      </c>
    </row>
    <row r="42059" customHeight="1" spans="2:2">
      <c r="B42059" s="62" t="str">
        <f>IF(AND('领用录入（明细）'!D:D=$F$4,'领用录入（明细）'!C:C&gt;=$J$4,'领用录入（明细）'!C:C&lt;=$L$4),ROW(),"-")</f>
        <v>-</v>
      </c>
    </row>
    <row r="42060" customHeight="1" spans="2:2">
      <c r="B42060" s="62" t="str">
        <f>IF(AND('领用录入（明细）'!D:D=$F$4,'领用录入（明细）'!C:C&gt;=$J$4,'领用录入（明细）'!C:C&lt;=$L$4),ROW(),"-")</f>
        <v>-</v>
      </c>
    </row>
    <row r="42061" customHeight="1" spans="2:2">
      <c r="B42061" s="62" t="str">
        <f>IF(AND('领用录入（明细）'!D:D=$F$4,'领用录入（明细）'!C:C&gt;=$J$4,'领用录入（明细）'!C:C&lt;=$L$4),ROW(),"-")</f>
        <v>-</v>
      </c>
    </row>
    <row r="42062" customHeight="1" spans="2:2">
      <c r="B42062" s="62" t="str">
        <f>IF(AND('领用录入（明细）'!D:D=$F$4,'领用录入（明细）'!C:C&gt;=$J$4,'领用录入（明细）'!C:C&lt;=$L$4),ROW(),"-")</f>
        <v>-</v>
      </c>
    </row>
    <row r="42063" customHeight="1" spans="2:2">
      <c r="B42063" s="62" t="str">
        <f>IF(AND('领用录入（明细）'!D:D=$F$4,'领用录入（明细）'!C:C&gt;=$J$4,'领用录入（明细）'!C:C&lt;=$L$4),ROW(),"-")</f>
        <v>-</v>
      </c>
    </row>
    <row r="42064" customHeight="1" spans="2:2">
      <c r="B42064" s="62" t="str">
        <f>IF(AND('领用录入（明细）'!D:D=$F$4,'领用录入（明细）'!C:C&gt;=$J$4,'领用录入（明细）'!C:C&lt;=$L$4),ROW(),"-")</f>
        <v>-</v>
      </c>
    </row>
    <row r="42065" customHeight="1" spans="2:2">
      <c r="B42065" s="62" t="str">
        <f>IF(AND('领用录入（明细）'!D:D=$F$4,'领用录入（明细）'!C:C&gt;=$J$4,'领用录入（明细）'!C:C&lt;=$L$4),ROW(),"-")</f>
        <v>-</v>
      </c>
    </row>
    <row r="42066" customHeight="1" spans="2:2">
      <c r="B42066" s="62" t="str">
        <f>IF(AND('领用录入（明细）'!D:D=$F$4,'领用录入（明细）'!C:C&gt;=$J$4,'领用录入（明细）'!C:C&lt;=$L$4),ROW(),"-")</f>
        <v>-</v>
      </c>
    </row>
    <row r="42067" customHeight="1" spans="2:2">
      <c r="B42067" s="62" t="str">
        <f>IF(AND('领用录入（明细）'!D:D=$F$4,'领用录入（明细）'!C:C&gt;=$J$4,'领用录入（明细）'!C:C&lt;=$L$4),ROW(),"-")</f>
        <v>-</v>
      </c>
    </row>
    <row r="42068" customHeight="1" spans="2:2">
      <c r="B42068" s="62" t="str">
        <f>IF(AND('领用录入（明细）'!D:D=$F$4,'领用录入（明细）'!C:C&gt;=$J$4,'领用录入（明细）'!C:C&lt;=$L$4),ROW(),"-")</f>
        <v>-</v>
      </c>
    </row>
    <row r="42069" customHeight="1" spans="2:2">
      <c r="B42069" s="62" t="str">
        <f>IF(AND('领用录入（明细）'!D:D=$F$4,'领用录入（明细）'!C:C&gt;=$J$4,'领用录入（明细）'!C:C&lt;=$L$4),ROW(),"-")</f>
        <v>-</v>
      </c>
    </row>
    <row r="42070" customHeight="1" spans="2:2">
      <c r="B42070" s="62" t="str">
        <f>IF(AND('领用录入（明细）'!D:D=$F$4,'领用录入（明细）'!C:C&gt;=$J$4,'领用录入（明细）'!C:C&lt;=$L$4),ROW(),"-")</f>
        <v>-</v>
      </c>
    </row>
    <row r="42071" customHeight="1" spans="2:2">
      <c r="B42071" s="62" t="str">
        <f>IF(AND('领用录入（明细）'!D:D=$F$4,'领用录入（明细）'!C:C&gt;=$J$4,'领用录入（明细）'!C:C&lt;=$L$4),ROW(),"-")</f>
        <v>-</v>
      </c>
    </row>
    <row r="42072" customHeight="1" spans="2:2">
      <c r="B42072" s="62" t="str">
        <f>IF(AND('领用录入（明细）'!D:D=$F$4,'领用录入（明细）'!C:C&gt;=$J$4,'领用录入（明细）'!C:C&lt;=$L$4),ROW(),"-")</f>
        <v>-</v>
      </c>
    </row>
    <row r="42073" customHeight="1" spans="2:2">
      <c r="B42073" s="62" t="str">
        <f>IF(AND('领用录入（明细）'!D:D=$F$4,'领用录入（明细）'!C:C&gt;=$J$4,'领用录入（明细）'!C:C&lt;=$L$4),ROW(),"-")</f>
        <v>-</v>
      </c>
    </row>
    <row r="42074" customHeight="1" spans="2:2">
      <c r="B42074" s="62" t="str">
        <f>IF(AND('领用录入（明细）'!D:D=$F$4,'领用录入（明细）'!C:C&gt;=$J$4,'领用录入（明细）'!C:C&lt;=$L$4),ROW(),"-")</f>
        <v>-</v>
      </c>
    </row>
    <row r="42075" customHeight="1" spans="2:2">
      <c r="B42075" s="62" t="str">
        <f>IF(AND('领用录入（明细）'!D:D=$F$4,'领用录入（明细）'!C:C&gt;=$J$4,'领用录入（明细）'!C:C&lt;=$L$4),ROW(),"-")</f>
        <v>-</v>
      </c>
    </row>
    <row r="42076" customHeight="1" spans="2:2">
      <c r="B42076" s="62" t="str">
        <f>IF(AND('领用录入（明细）'!D:D=$F$4,'领用录入（明细）'!C:C&gt;=$J$4,'领用录入（明细）'!C:C&lt;=$L$4),ROW(),"-")</f>
        <v>-</v>
      </c>
    </row>
    <row r="42077" customHeight="1" spans="2:2">
      <c r="B42077" s="62" t="str">
        <f>IF(AND('领用录入（明细）'!D:D=$F$4,'领用录入（明细）'!C:C&gt;=$J$4,'领用录入（明细）'!C:C&lt;=$L$4),ROW(),"-")</f>
        <v>-</v>
      </c>
    </row>
    <row r="42078" customHeight="1" spans="2:2">
      <c r="B42078" s="62" t="str">
        <f>IF(AND('领用录入（明细）'!D:D=$F$4,'领用录入（明细）'!C:C&gt;=$J$4,'领用录入（明细）'!C:C&lt;=$L$4),ROW(),"-")</f>
        <v>-</v>
      </c>
    </row>
    <row r="42079" customHeight="1" spans="2:2">
      <c r="B42079" s="62" t="str">
        <f>IF(AND('领用录入（明细）'!D:D=$F$4,'领用录入（明细）'!C:C&gt;=$J$4,'领用录入（明细）'!C:C&lt;=$L$4),ROW(),"-")</f>
        <v>-</v>
      </c>
    </row>
    <row r="42080" customHeight="1" spans="2:2">
      <c r="B42080" s="62" t="str">
        <f>IF(AND('领用录入（明细）'!D:D=$F$4,'领用录入（明细）'!C:C&gt;=$J$4,'领用录入（明细）'!C:C&lt;=$L$4),ROW(),"-")</f>
        <v>-</v>
      </c>
    </row>
    <row r="42081" customHeight="1" spans="2:2">
      <c r="B42081" s="62" t="str">
        <f>IF(AND('领用录入（明细）'!D:D=$F$4,'领用录入（明细）'!C:C&gt;=$J$4,'领用录入（明细）'!C:C&lt;=$L$4),ROW(),"-")</f>
        <v>-</v>
      </c>
    </row>
    <row r="42082" customHeight="1" spans="2:2">
      <c r="B42082" s="62" t="str">
        <f>IF(AND('领用录入（明细）'!D:D=$F$4,'领用录入（明细）'!C:C&gt;=$J$4,'领用录入（明细）'!C:C&lt;=$L$4),ROW(),"-")</f>
        <v>-</v>
      </c>
    </row>
    <row r="42083" customHeight="1" spans="2:2">
      <c r="B42083" s="62" t="str">
        <f>IF(AND('领用录入（明细）'!D:D=$F$4,'领用录入（明细）'!C:C&gt;=$J$4,'领用录入（明细）'!C:C&lt;=$L$4),ROW(),"-")</f>
        <v>-</v>
      </c>
    </row>
    <row r="42084" customHeight="1" spans="2:2">
      <c r="B42084" s="62" t="str">
        <f>IF(AND('领用录入（明细）'!D:D=$F$4,'领用录入（明细）'!C:C&gt;=$J$4,'领用录入（明细）'!C:C&lt;=$L$4),ROW(),"-")</f>
        <v>-</v>
      </c>
    </row>
    <row r="42085" customHeight="1" spans="2:2">
      <c r="B42085" s="62" t="str">
        <f>IF(AND('领用录入（明细）'!D:D=$F$4,'领用录入（明细）'!C:C&gt;=$J$4,'领用录入（明细）'!C:C&lt;=$L$4),ROW(),"-")</f>
        <v>-</v>
      </c>
    </row>
    <row r="42086" customHeight="1" spans="2:2">
      <c r="B42086" s="62" t="str">
        <f>IF(AND('领用录入（明细）'!D:D=$F$4,'领用录入（明细）'!C:C&gt;=$J$4,'领用录入（明细）'!C:C&lt;=$L$4),ROW(),"-")</f>
        <v>-</v>
      </c>
    </row>
    <row r="42087" customHeight="1" spans="2:2">
      <c r="B42087" s="62" t="str">
        <f>IF(AND('领用录入（明细）'!D:D=$F$4,'领用录入（明细）'!C:C&gt;=$J$4,'领用录入（明细）'!C:C&lt;=$L$4),ROW(),"-")</f>
        <v>-</v>
      </c>
    </row>
    <row r="42088" customHeight="1" spans="2:2">
      <c r="B42088" s="62" t="str">
        <f>IF(AND('领用录入（明细）'!D:D=$F$4,'领用录入（明细）'!C:C&gt;=$J$4,'领用录入（明细）'!C:C&lt;=$L$4),ROW(),"-")</f>
        <v>-</v>
      </c>
    </row>
    <row r="42089" customHeight="1" spans="2:2">
      <c r="B42089" s="62" t="str">
        <f>IF(AND('领用录入（明细）'!D:D=$F$4,'领用录入（明细）'!C:C&gt;=$J$4,'领用录入（明细）'!C:C&lt;=$L$4),ROW(),"-")</f>
        <v>-</v>
      </c>
    </row>
    <row r="42090" customHeight="1" spans="2:2">
      <c r="B42090" s="62" t="str">
        <f>IF(AND('领用录入（明细）'!D:D=$F$4,'领用录入（明细）'!C:C&gt;=$J$4,'领用录入（明细）'!C:C&lt;=$L$4),ROW(),"-")</f>
        <v>-</v>
      </c>
    </row>
    <row r="42091" customHeight="1" spans="2:2">
      <c r="B42091" s="62" t="str">
        <f>IF(AND('领用录入（明细）'!D:D=$F$4,'领用录入（明细）'!C:C&gt;=$J$4,'领用录入（明细）'!C:C&lt;=$L$4),ROW(),"-")</f>
        <v>-</v>
      </c>
    </row>
    <row r="42092" customHeight="1" spans="2:2">
      <c r="B42092" s="62" t="str">
        <f>IF(AND('领用录入（明细）'!D:D=$F$4,'领用录入（明细）'!C:C&gt;=$J$4,'领用录入（明细）'!C:C&lt;=$L$4),ROW(),"-")</f>
        <v>-</v>
      </c>
    </row>
    <row r="42093" customHeight="1" spans="2:2">
      <c r="B42093" s="62" t="str">
        <f>IF(AND('领用录入（明细）'!D:D=$F$4,'领用录入（明细）'!C:C&gt;=$J$4,'领用录入（明细）'!C:C&lt;=$L$4),ROW(),"-")</f>
        <v>-</v>
      </c>
    </row>
    <row r="42094" customHeight="1" spans="2:2">
      <c r="B42094" s="62" t="str">
        <f>IF(AND('领用录入（明细）'!D:D=$F$4,'领用录入（明细）'!C:C&gt;=$J$4,'领用录入（明细）'!C:C&lt;=$L$4),ROW(),"-")</f>
        <v>-</v>
      </c>
    </row>
    <row r="42095" customHeight="1" spans="2:2">
      <c r="B42095" s="62" t="str">
        <f>IF(AND('领用录入（明细）'!D:D=$F$4,'领用录入（明细）'!C:C&gt;=$J$4,'领用录入（明细）'!C:C&lt;=$L$4),ROW(),"-")</f>
        <v>-</v>
      </c>
    </row>
    <row r="42096" customHeight="1" spans="2:2">
      <c r="B42096" s="62" t="str">
        <f>IF(AND('领用录入（明细）'!D:D=$F$4,'领用录入（明细）'!C:C&gt;=$J$4,'领用录入（明细）'!C:C&lt;=$L$4),ROW(),"-")</f>
        <v>-</v>
      </c>
    </row>
    <row r="42097" customHeight="1" spans="2:2">
      <c r="B42097" s="62" t="str">
        <f>IF(AND('领用录入（明细）'!D:D=$F$4,'领用录入（明细）'!C:C&gt;=$J$4,'领用录入（明细）'!C:C&lt;=$L$4),ROW(),"-")</f>
        <v>-</v>
      </c>
    </row>
    <row r="42098" customHeight="1" spans="2:2">
      <c r="B42098" s="62" t="str">
        <f>IF(AND('领用录入（明细）'!D:D=$F$4,'领用录入（明细）'!C:C&gt;=$J$4,'领用录入（明细）'!C:C&lt;=$L$4),ROW(),"-")</f>
        <v>-</v>
      </c>
    </row>
    <row r="42099" customHeight="1" spans="2:2">
      <c r="B42099" s="62" t="str">
        <f>IF(AND('领用录入（明细）'!D:D=$F$4,'领用录入（明细）'!C:C&gt;=$J$4,'领用录入（明细）'!C:C&lt;=$L$4),ROW(),"-")</f>
        <v>-</v>
      </c>
    </row>
    <row r="42100" customHeight="1" spans="2:2">
      <c r="B42100" s="62" t="str">
        <f>IF(AND('领用录入（明细）'!D:D=$F$4,'领用录入（明细）'!C:C&gt;=$J$4,'领用录入（明细）'!C:C&lt;=$L$4),ROW(),"-")</f>
        <v>-</v>
      </c>
    </row>
    <row r="42101" customHeight="1" spans="2:2">
      <c r="B42101" s="62" t="str">
        <f>IF(AND('领用录入（明细）'!D:D=$F$4,'领用录入（明细）'!C:C&gt;=$J$4,'领用录入（明细）'!C:C&lt;=$L$4),ROW(),"-")</f>
        <v>-</v>
      </c>
    </row>
    <row r="42102" customHeight="1" spans="2:2">
      <c r="B42102" s="62" t="str">
        <f>IF(AND('领用录入（明细）'!D:D=$F$4,'领用录入（明细）'!C:C&gt;=$J$4,'领用录入（明细）'!C:C&lt;=$L$4),ROW(),"-")</f>
        <v>-</v>
      </c>
    </row>
    <row r="42103" customHeight="1" spans="2:2">
      <c r="B42103" s="62" t="str">
        <f>IF(AND('领用录入（明细）'!D:D=$F$4,'领用录入（明细）'!C:C&gt;=$J$4,'领用录入（明细）'!C:C&lt;=$L$4),ROW(),"-")</f>
        <v>-</v>
      </c>
    </row>
    <row r="42104" customHeight="1" spans="2:2">
      <c r="B42104" s="62" t="str">
        <f>IF(AND('领用录入（明细）'!D:D=$F$4,'领用录入（明细）'!C:C&gt;=$J$4,'领用录入（明细）'!C:C&lt;=$L$4),ROW(),"-")</f>
        <v>-</v>
      </c>
    </row>
    <row r="42105" customHeight="1" spans="2:2">
      <c r="B42105" s="62" t="str">
        <f>IF(AND('领用录入（明细）'!D:D=$F$4,'领用录入（明细）'!C:C&gt;=$J$4,'领用录入（明细）'!C:C&lt;=$L$4),ROW(),"-")</f>
        <v>-</v>
      </c>
    </row>
    <row r="42106" customHeight="1" spans="2:2">
      <c r="B42106" s="62" t="str">
        <f>IF(AND('领用录入（明细）'!D:D=$F$4,'领用录入（明细）'!C:C&gt;=$J$4,'领用录入（明细）'!C:C&lt;=$L$4),ROW(),"-")</f>
        <v>-</v>
      </c>
    </row>
    <row r="42107" customHeight="1" spans="2:2">
      <c r="B42107" s="62" t="str">
        <f>IF(AND('领用录入（明细）'!D:D=$F$4,'领用录入（明细）'!C:C&gt;=$J$4,'领用录入（明细）'!C:C&lt;=$L$4),ROW(),"-")</f>
        <v>-</v>
      </c>
    </row>
    <row r="42108" customHeight="1" spans="2:2">
      <c r="B42108" s="62" t="str">
        <f>IF(AND('领用录入（明细）'!D:D=$F$4,'领用录入（明细）'!C:C&gt;=$J$4,'领用录入（明细）'!C:C&lt;=$L$4),ROW(),"-")</f>
        <v>-</v>
      </c>
    </row>
    <row r="42109" customHeight="1" spans="2:2">
      <c r="B42109" s="62" t="str">
        <f>IF(AND('领用录入（明细）'!D:D=$F$4,'领用录入（明细）'!C:C&gt;=$J$4,'领用录入（明细）'!C:C&lt;=$L$4),ROW(),"-")</f>
        <v>-</v>
      </c>
    </row>
    <row r="42110" customHeight="1" spans="2:2">
      <c r="B42110" s="62" t="str">
        <f>IF(AND('领用录入（明细）'!D:D=$F$4,'领用录入（明细）'!C:C&gt;=$J$4,'领用录入（明细）'!C:C&lt;=$L$4),ROW(),"-")</f>
        <v>-</v>
      </c>
    </row>
    <row r="42111" customHeight="1" spans="2:2">
      <c r="B42111" s="62" t="str">
        <f>IF(AND('领用录入（明细）'!D:D=$F$4,'领用录入（明细）'!C:C&gt;=$J$4,'领用录入（明细）'!C:C&lt;=$L$4),ROW(),"-")</f>
        <v>-</v>
      </c>
    </row>
    <row r="42112" customHeight="1" spans="2:2">
      <c r="B42112" s="62" t="str">
        <f>IF(AND('领用录入（明细）'!D:D=$F$4,'领用录入（明细）'!C:C&gt;=$J$4,'领用录入（明细）'!C:C&lt;=$L$4),ROW(),"-")</f>
        <v>-</v>
      </c>
    </row>
    <row r="42113" customHeight="1" spans="2:2">
      <c r="B42113" s="62" t="str">
        <f>IF(AND('领用录入（明细）'!D:D=$F$4,'领用录入（明细）'!C:C&gt;=$J$4,'领用录入（明细）'!C:C&lt;=$L$4),ROW(),"-")</f>
        <v>-</v>
      </c>
    </row>
    <row r="42114" customHeight="1" spans="2:2">
      <c r="B42114" s="62" t="str">
        <f>IF(AND('领用录入（明细）'!D:D=$F$4,'领用录入（明细）'!C:C&gt;=$J$4,'领用录入（明细）'!C:C&lt;=$L$4),ROW(),"-")</f>
        <v>-</v>
      </c>
    </row>
    <row r="42115" customHeight="1" spans="2:2">
      <c r="B42115" s="62" t="str">
        <f>IF(AND('领用录入（明细）'!D:D=$F$4,'领用录入（明细）'!C:C&gt;=$J$4,'领用录入（明细）'!C:C&lt;=$L$4),ROW(),"-")</f>
        <v>-</v>
      </c>
    </row>
    <row r="42116" customHeight="1" spans="2:2">
      <c r="B42116" s="62" t="str">
        <f>IF(AND('领用录入（明细）'!D:D=$F$4,'领用录入（明细）'!C:C&gt;=$J$4,'领用录入（明细）'!C:C&lt;=$L$4),ROW(),"-")</f>
        <v>-</v>
      </c>
    </row>
    <row r="42117" customHeight="1" spans="2:2">
      <c r="B42117" s="62" t="str">
        <f>IF(AND('领用录入（明细）'!D:D=$F$4,'领用录入（明细）'!C:C&gt;=$J$4,'领用录入（明细）'!C:C&lt;=$L$4),ROW(),"-")</f>
        <v>-</v>
      </c>
    </row>
    <row r="42118" customHeight="1" spans="2:2">
      <c r="B42118" s="62" t="str">
        <f>IF(AND('领用录入（明细）'!D:D=$F$4,'领用录入（明细）'!C:C&gt;=$J$4,'领用录入（明细）'!C:C&lt;=$L$4),ROW(),"-")</f>
        <v>-</v>
      </c>
    </row>
    <row r="42119" customHeight="1" spans="2:2">
      <c r="B42119" s="62" t="str">
        <f>IF(AND('领用录入（明细）'!D:D=$F$4,'领用录入（明细）'!C:C&gt;=$J$4,'领用录入（明细）'!C:C&lt;=$L$4),ROW(),"-")</f>
        <v>-</v>
      </c>
    </row>
    <row r="42120" customHeight="1" spans="2:2">
      <c r="B42120" s="62" t="str">
        <f>IF(AND('领用录入（明细）'!D:D=$F$4,'领用录入（明细）'!C:C&gt;=$J$4,'领用录入（明细）'!C:C&lt;=$L$4),ROW(),"-")</f>
        <v>-</v>
      </c>
    </row>
    <row r="42121" customHeight="1" spans="2:2">
      <c r="B42121" s="62" t="str">
        <f>IF(AND('领用录入（明细）'!D:D=$F$4,'领用录入（明细）'!C:C&gt;=$J$4,'领用录入（明细）'!C:C&lt;=$L$4),ROW(),"-")</f>
        <v>-</v>
      </c>
    </row>
    <row r="42122" customHeight="1" spans="2:2">
      <c r="B42122" s="62" t="str">
        <f>IF(AND('领用录入（明细）'!D:D=$F$4,'领用录入（明细）'!C:C&gt;=$J$4,'领用录入（明细）'!C:C&lt;=$L$4),ROW(),"-")</f>
        <v>-</v>
      </c>
    </row>
    <row r="42123" customHeight="1" spans="2:2">
      <c r="B42123" s="62" t="str">
        <f>IF(AND('领用录入（明细）'!D:D=$F$4,'领用录入（明细）'!C:C&gt;=$J$4,'领用录入（明细）'!C:C&lt;=$L$4),ROW(),"-")</f>
        <v>-</v>
      </c>
    </row>
    <row r="42124" customHeight="1" spans="2:2">
      <c r="B42124" s="62" t="str">
        <f>IF(AND('领用录入（明细）'!D:D=$F$4,'领用录入（明细）'!C:C&gt;=$J$4,'领用录入（明细）'!C:C&lt;=$L$4),ROW(),"-")</f>
        <v>-</v>
      </c>
    </row>
    <row r="42125" customHeight="1" spans="2:2">
      <c r="B42125" s="62" t="str">
        <f>IF(AND('领用录入（明细）'!D:D=$F$4,'领用录入（明细）'!C:C&gt;=$J$4,'领用录入（明细）'!C:C&lt;=$L$4),ROW(),"-")</f>
        <v>-</v>
      </c>
    </row>
    <row r="42126" customHeight="1" spans="2:2">
      <c r="B42126" s="62" t="str">
        <f>IF(AND('领用录入（明细）'!D:D=$F$4,'领用录入（明细）'!C:C&gt;=$J$4,'领用录入（明细）'!C:C&lt;=$L$4),ROW(),"-")</f>
        <v>-</v>
      </c>
    </row>
    <row r="42127" customHeight="1" spans="2:2">
      <c r="B42127" s="62" t="str">
        <f>IF(AND('领用录入（明细）'!D:D=$F$4,'领用录入（明细）'!C:C&gt;=$J$4,'领用录入（明细）'!C:C&lt;=$L$4),ROW(),"-")</f>
        <v>-</v>
      </c>
    </row>
    <row r="42128" customHeight="1" spans="2:2">
      <c r="B42128" s="62" t="str">
        <f>IF(AND('领用录入（明细）'!D:D=$F$4,'领用录入（明细）'!C:C&gt;=$J$4,'领用录入（明细）'!C:C&lt;=$L$4),ROW(),"-")</f>
        <v>-</v>
      </c>
    </row>
    <row r="42129" customHeight="1" spans="2:2">
      <c r="B42129" s="62" t="str">
        <f>IF(AND('领用录入（明细）'!D:D=$F$4,'领用录入（明细）'!C:C&gt;=$J$4,'领用录入（明细）'!C:C&lt;=$L$4),ROW(),"-")</f>
        <v>-</v>
      </c>
    </row>
    <row r="42130" customHeight="1" spans="2:2">
      <c r="B42130" s="62" t="str">
        <f>IF(AND('领用录入（明细）'!D:D=$F$4,'领用录入（明细）'!C:C&gt;=$J$4,'领用录入（明细）'!C:C&lt;=$L$4),ROW(),"-")</f>
        <v>-</v>
      </c>
    </row>
    <row r="42131" customHeight="1" spans="2:2">
      <c r="B42131" s="62" t="str">
        <f>IF(AND('领用录入（明细）'!D:D=$F$4,'领用录入（明细）'!C:C&gt;=$J$4,'领用录入（明细）'!C:C&lt;=$L$4),ROW(),"-")</f>
        <v>-</v>
      </c>
    </row>
    <row r="42132" customHeight="1" spans="2:2">
      <c r="B42132" s="62" t="str">
        <f>IF(AND('领用录入（明细）'!D:D=$F$4,'领用录入（明细）'!C:C&gt;=$J$4,'领用录入（明细）'!C:C&lt;=$L$4),ROW(),"-")</f>
        <v>-</v>
      </c>
    </row>
    <row r="42133" customHeight="1" spans="2:2">
      <c r="B42133" s="62" t="str">
        <f>IF(AND('领用录入（明细）'!D:D=$F$4,'领用录入（明细）'!C:C&gt;=$J$4,'领用录入（明细）'!C:C&lt;=$L$4),ROW(),"-")</f>
        <v>-</v>
      </c>
    </row>
    <row r="42134" customHeight="1" spans="2:2">
      <c r="B42134" s="62" t="str">
        <f>IF(AND('领用录入（明细）'!D:D=$F$4,'领用录入（明细）'!C:C&gt;=$J$4,'领用录入（明细）'!C:C&lt;=$L$4),ROW(),"-")</f>
        <v>-</v>
      </c>
    </row>
    <row r="42135" customHeight="1" spans="2:2">
      <c r="B42135" s="62" t="str">
        <f>IF(AND('领用录入（明细）'!D:D=$F$4,'领用录入（明细）'!C:C&gt;=$J$4,'领用录入（明细）'!C:C&lt;=$L$4),ROW(),"-")</f>
        <v>-</v>
      </c>
    </row>
    <row r="42136" customHeight="1" spans="2:2">
      <c r="B42136" s="62" t="str">
        <f>IF(AND('领用录入（明细）'!D:D=$F$4,'领用录入（明细）'!C:C&gt;=$J$4,'领用录入（明细）'!C:C&lt;=$L$4),ROW(),"-")</f>
        <v>-</v>
      </c>
    </row>
    <row r="42137" customHeight="1" spans="2:2">
      <c r="B42137" s="62" t="str">
        <f>IF(AND('领用录入（明细）'!D:D=$F$4,'领用录入（明细）'!C:C&gt;=$J$4,'领用录入（明细）'!C:C&lt;=$L$4),ROW(),"-")</f>
        <v>-</v>
      </c>
    </row>
    <row r="42138" customHeight="1" spans="2:2">
      <c r="B42138" s="62" t="str">
        <f>IF(AND('领用录入（明细）'!D:D=$F$4,'领用录入（明细）'!C:C&gt;=$J$4,'领用录入（明细）'!C:C&lt;=$L$4),ROW(),"-")</f>
        <v>-</v>
      </c>
    </row>
    <row r="42139" customHeight="1" spans="2:2">
      <c r="B42139" s="62" t="str">
        <f>IF(AND('领用录入（明细）'!D:D=$F$4,'领用录入（明细）'!C:C&gt;=$J$4,'领用录入（明细）'!C:C&lt;=$L$4),ROW(),"-")</f>
        <v>-</v>
      </c>
    </row>
    <row r="42140" customHeight="1" spans="2:2">
      <c r="B42140" s="62" t="str">
        <f>IF(AND('领用录入（明细）'!D:D=$F$4,'领用录入（明细）'!C:C&gt;=$J$4,'领用录入（明细）'!C:C&lt;=$L$4),ROW(),"-")</f>
        <v>-</v>
      </c>
    </row>
    <row r="42141" customHeight="1" spans="2:2">
      <c r="B42141" s="62" t="str">
        <f>IF(AND('领用录入（明细）'!D:D=$F$4,'领用录入（明细）'!C:C&gt;=$J$4,'领用录入（明细）'!C:C&lt;=$L$4),ROW(),"-")</f>
        <v>-</v>
      </c>
    </row>
    <row r="42142" customHeight="1" spans="2:2">
      <c r="B42142" s="62" t="str">
        <f>IF(AND('领用录入（明细）'!D:D=$F$4,'领用录入（明细）'!C:C&gt;=$J$4,'领用录入（明细）'!C:C&lt;=$L$4),ROW(),"-")</f>
        <v>-</v>
      </c>
    </row>
    <row r="42143" customHeight="1" spans="2:2">
      <c r="B42143" s="62" t="str">
        <f>IF(AND('领用录入（明细）'!D:D=$F$4,'领用录入（明细）'!C:C&gt;=$J$4,'领用录入（明细）'!C:C&lt;=$L$4),ROW(),"-")</f>
        <v>-</v>
      </c>
    </row>
    <row r="42144" customHeight="1" spans="2:2">
      <c r="B42144" s="62" t="str">
        <f>IF(AND('领用录入（明细）'!D:D=$F$4,'领用录入（明细）'!C:C&gt;=$J$4,'领用录入（明细）'!C:C&lt;=$L$4),ROW(),"-")</f>
        <v>-</v>
      </c>
    </row>
    <row r="42145" customHeight="1" spans="2:2">
      <c r="B42145" s="62" t="str">
        <f>IF(AND('领用录入（明细）'!D:D=$F$4,'领用录入（明细）'!C:C&gt;=$J$4,'领用录入（明细）'!C:C&lt;=$L$4),ROW(),"-")</f>
        <v>-</v>
      </c>
    </row>
    <row r="42146" customHeight="1" spans="2:2">
      <c r="B42146" s="62" t="str">
        <f>IF(AND('领用录入（明细）'!D:D=$F$4,'领用录入（明细）'!C:C&gt;=$J$4,'领用录入（明细）'!C:C&lt;=$L$4),ROW(),"-")</f>
        <v>-</v>
      </c>
    </row>
    <row r="42147" customHeight="1" spans="2:2">
      <c r="B42147" s="62" t="str">
        <f>IF(AND('领用录入（明细）'!D:D=$F$4,'领用录入（明细）'!C:C&gt;=$J$4,'领用录入（明细）'!C:C&lt;=$L$4),ROW(),"-")</f>
        <v>-</v>
      </c>
    </row>
    <row r="42148" customHeight="1" spans="2:2">
      <c r="B42148" s="62" t="str">
        <f>IF(AND('领用录入（明细）'!D:D=$F$4,'领用录入（明细）'!C:C&gt;=$J$4,'领用录入（明细）'!C:C&lt;=$L$4),ROW(),"-")</f>
        <v>-</v>
      </c>
    </row>
    <row r="42149" customHeight="1" spans="2:2">
      <c r="B42149" s="62" t="str">
        <f>IF(AND('领用录入（明细）'!D:D=$F$4,'领用录入（明细）'!C:C&gt;=$J$4,'领用录入（明细）'!C:C&lt;=$L$4),ROW(),"-")</f>
        <v>-</v>
      </c>
    </row>
    <row r="42150" customHeight="1" spans="2:2">
      <c r="B42150" s="62" t="str">
        <f>IF(AND('领用录入（明细）'!D:D=$F$4,'领用录入（明细）'!C:C&gt;=$J$4,'领用录入（明细）'!C:C&lt;=$L$4),ROW(),"-")</f>
        <v>-</v>
      </c>
    </row>
    <row r="42151" customHeight="1" spans="2:2">
      <c r="B42151" s="62" t="str">
        <f>IF(AND('领用录入（明细）'!D:D=$F$4,'领用录入（明细）'!C:C&gt;=$J$4,'领用录入（明细）'!C:C&lt;=$L$4),ROW(),"-")</f>
        <v>-</v>
      </c>
    </row>
    <row r="42152" customHeight="1" spans="2:2">
      <c r="B42152" s="62" t="str">
        <f>IF(AND('领用录入（明细）'!D:D=$F$4,'领用录入（明细）'!C:C&gt;=$J$4,'领用录入（明细）'!C:C&lt;=$L$4),ROW(),"-")</f>
        <v>-</v>
      </c>
    </row>
    <row r="42153" customHeight="1" spans="2:2">
      <c r="B42153" s="62" t="str">
        <f>IF(AND('领用录入（明细）'!D:D=$F$4,'领用录入（明细）'!C:C&gt;=$J$4,'领用录入（明细）'!C:C&lt;=$L$4),ROW(),"-")</f>
        <v>-</v>
      </c>
    </row>
    <row r="42154" customHeight="1" spans="2:2">
      <c r="B42154" s="62" t="str">
        <f>IF(AND('领用录入（明细）'!D:D=$F$4,'领用录入（明细）'!C:C&gt;=$J$4,'领用录入（明细）'!C:C&lt;=$L$4),ROW(),"-")</f>
        <v>-</v>
      </c>
    </row>
    <row r="42155" customHeight="1" spans="2:2">
      <c r="B42155" s="62" t="str">
        <f>IF(AND('领用录入（明细）'!D:D=$F$4,'领用录入（明细）'!C:C&gt;=$J$4,'领用录入（明细）'!C:C&lt;=$L$4),ROW(),"-")</f>
        <v>-</v>
      </c>
    </row>
    <row r="42156" customHeight="1" spans="2:2">
      <c r="B42156" s="62" t="str">
        <f>IF(AND('领用录入（明细）'!D:D=$F$4,'领用录入（明细）'!C:C&gt;=$J$4,'领用录入（明细）'!C:C&lt;=$L$4),ROW(),"-")</f>
        <v>-</v>
      </c>
    </row>
    <row r="42157" customHeight="1" spans="2:2">
      <c r="B42157" s="62" t="str">
        <f>IF(AND('领用录入（明细）'!D:D=$F$4,'领用录入（明细）'!C:C&gt;=$J$4,'领用录入（明细）'!C:C&lt;=$L$4),ROW(),"-")</f>
        <v>-</v>
      </c>
    </row>
    <row r="42158" customHeight="1" spans="2:2">
      <c r="B42158" s="62" t="str">
        <f>IF(AND('领用录入（明细）'!D:D=$F$4,'领用录入（明细）'!C:C&gt;=$J$4,'领用录入（明细）'!C:C&lt;=$L$4),ROW(),"-")</f>
        <v>-</v>
      </c>
    </row>
    <row r="42159" customHeight="1" spans="2:2">
      <c r="B42159" s="62" t="str">
        <f>IF(AND('领用录入（明细）'!D:D=$F$4,'领用录入（明细）'!C:C&gt;=$J$4,'领用录入（明细）'!C:C&lt;=$L$4),ROW(),"-")</f>
        <v>-</v>
      </c>
    </row>
    <row r="42160" customHeight="1" spans="2:2">
      <c r="B42160" s="62" t="str">
        <f>IF(AND('领用录入（明细）'!D:D=$F$4,'领用录入（明细）'!C:C&gt;=$J$4,'领用录入（明细）'!C:C&lt;=$L$4),ROW(),"-")</f>
        <v>-</v>
      </c>
    </row>
    <row r="42161" customHeight="1" spans="2:2">
      <c r="B42161" s="62" t="str">
        <f>IF(AND('领用录入（明细）'!D:D=$F$4,'领用录入（明细）'!C:C&gt;=$J$4,'领用录入（明细）'!C:C&lt;=$L$4),ROW(),"-")</f>
        <v>-</v>
      </c>
    </row>
    <row r="42162" customHeight="1" spans="2:2">
      <c r="B42162" s="62" t="str">
        <f>IF(AND('领用录入（明细）'!D:D=$F$4,'领用录入（明细）'!C:C&gt;=$J$4,'领用录入（明细）'!C:C&lt;=$L$4),ROW(),"-")</f>
        <v>-</v>
      </c>
    </row>
    <row r="42163" customHeight="1" spans="2:2">
      <c r="B42163" s="62" t="str">
        <f>IF(AND('领用录入（明细）'!D:D=$F$4,'领用录入（明细）'!C:C&gt;=$J$4,'领用录入（明细）'!C:C&lt;=$L$4),ROW(),"-")</f>
        <v>-</v>
      </c>
    </row>
    <row r="42164" customHeight="1" spans="2:2">
      <c r="B42164" s="62" t="str">
        <f>IF(AND('领用录入（明细）'!D:D=$F$4,'领用录入（明细）'!C:C&gt;=$J$4,'领用录入（明细）'!C:C&lt;=$L$4),ROW(),"-")</f>
        <v>-</v>
      </c>
    </row>
    <row r="42165" customHeight="1" spans="2:2">
      <c r="B42165" s="62" t="str">
        <f>IF(AND('领用录入（明细）'!D:D=$F$4,'领用录入（明细）'!C:C&gt;=$J$4,'领用录入（明细）'!C:C&lt;=$L$4),ROW(),"-")</f>
        <v>-</v>
      </c>
    </row>
    <row r="42166" customHeight="1" spans="2:2">
      <c r="B42166" s="62" t="str">
        <f>IF(AND('领用录入（明细）'!D:D=$F$4,'领用录入（明细）'!C:C&gt;=$J$4,'领用录入（明细）'!C:C&lt;=$L$4),ROW(),"-")</f>
        <v>-</v>
      </c>
    </row>
    <row r="42167" customHeight="1" spans="2:2">
      <c r="B42167" s="62" t="str">
        <f>IF(AND('领用录入（明细）'!D:D=$F$4,'领用录入（明细）'!C:C&gt;=$J$4,'领用录入（明细）'!C:C&lt;=$L$4),ROW(),"-")</f>
        <v>-</v>
      </c>
    </row>
    <row r="42168" customHeight="1" spans="2:2">
      <c r="B42168" s="62" t="str">
        <f>IF(AND('领用录入（明细）'!D:D=$F$4,'领用录入（明细）'!C:C&gt;=$J$4,'领用录入（明细）'!C:C&lt;=$L$4),ROW(),"-")</f>
        <v>-</v>
      </c>
    </row>
    <row r="42169" customHeight="1" spans="2:2">
      <c r="B42169" s="62" t="str">
        <f>IF(AND('领用录入（明细）'!D:D=$F$4,'领用录入（明细）'!C:C&gt;=$J$4,'领用录入（明细）'!C:C&lt;=$L$4),ROW(),"-")</f>
        <v>-</v>
      </c>
    </row>
    <row r="42170" customHeight="1" spans="2:2">
      <c r="B42170" s="62" t="str">
        <f>IF(AND('领用录入（明细）'!D:D=$F$4,'领用录入（明细）'!C:C&gt;=$J$4,'领用录入（明细）'!C:C&lt;=$L$4),ROW(),"-")</f>
        <v>-</v>
      </c>
    </row>
    <row r="42171" customHeight="1" spans="2:2">
      <c r="B42171" s="62" t="str">
        <f>IF(AND('领用录入（明细）'!D:D=$F$4,'领用录入（明细）'!C:C&gt;=$J$4,'领用录入（明细）'!C:C&lt;=$L$4),ROW(),"-")</f>
        <v>-</v>
      </c>
    </row>
    <row r="42172" customHeight="1" spans="2:2">
      <c r="B42172" s="62" t="str">
        <f>IF(AND('领用录入（明细）'!D:D=$F$4,'领用录入（明细）'!C:C&gt;=$J$4,'领用录入（明细）'!C:C&lt;=$L$4),ROW(),"-")</f>
        <v>-</v>
      </c>
    </row>
    <row r="42173" customHeight="1" spans="2:2">
      <c r="B42173" s="62" t="str">
        <f>IF(AND('领用录入（明细）'!D:D=$F$4,'领用录入（明细）'!C:C&gt;=$J$4,'领用录入（明细）'!C:C&lt;=$L$4),ROW(),"-")</f>
        <v>-</v>
      </c>
    </row>
    <row r="42174" customHeight="1" spans="2:2">
      <c r="B42174" s="62" t="str">
        <f>IF(AND('领用录入（明细）'!D:D=$F$4,'领用录入（明细）'!C:C&gt;=$J$4,'领用录入（明细）'!C:C&lt;=$L$4),ROW(),"-")</f>
        <v>-</v>
      </c>
    </row>
    <row r="42175" customHeight="1" spans="2:2">
      <c r="B42175" s="62" t="str">
        <f>IF(AND('领用录入（明细）'!D:D=$F$4,'领用录入（明细）'!C:C&gt;=$J$4,'领用录入（明细）'!C:C&lt;=$L$4),ROW(),"-")</f>
        <v>-</v>
      </c>
    </row>
    <row r="42176" customHeight="1" spans="2:2">
      <c r="B42176" s="62" t="str">
        <f>IF(AND('领用录入（明细）'!D:D=$F$4,'领用录入（明细）'!C:C&gt;=$J$4,'领用录入（明细）'!C:C&lt;=$L$4),ROW(),"-")</f>
        <v>-</v>
      </c>
    </row>
    <row r="42177" customHeight="1" spans="2:2">
      <c r="B42177" s="62" t="str">
        <f>IF(AND('领用录入（明细）'!D:D=$F$4,'领用录入（明细）'!C:C&gt;=$J$4,'领用录入（明细）'!C:C&lt;=$L$4),ROW(),"-")</f>
        <v>-</v>
      </c>
    </row>
    <row r="42178" customHeight="1" spans="2:2">
      <c r="B42178" s="62" t="str">
        <f>IF(AND('领用录入（明细）'!D:D=$F$4,'领用录入（明细）'!C:C&gt;=$J$4,'领用录入（明细）'!C:C&lt;=$L$4),ROW(),"-")</f>
        <v>-</v>
      </c>
    </row>
    <row r="42179" customHeight="1" spans="2:2">
      <c r="B42179" s="62" t="str">
        <f>IF(AND('领用录入（明细）'!D:D=$F$4,'领用录入（明细）'!C:C&gt;=$J$4,'领用录入（明细）'!C:C&lt;=$L$4),ROW(),"-")</f>
        <v>-</v>
      </c>
    </row>
    <row r="42180" customHeight="1" spans="2:2">
      <c r="B42180" s="62" t="str">
        <f>IF(AND('领用录入（明细）'!D:D=$F$4,'领用录入（明细）'!C:C&gt;=$J$4,'领用录入（明细）'!C:C&lt;=$L$4),ROW(),"-")</f>
        <v>-</v>
      </c>
    </row>
    <row r="42181" customHeight="1" spans="2:2">
      <c r="B42181" s="62" t="str">
        <f>IF(AND('领用录入（明细）'!D:D=$F$4,'领用录入（明细）'!C:C&gt;=$J$4,'领用录入（明细）'!C:C&lt;=$L$4),ROW(),"-")</f>
        <v>-</v>
      </c>
    </row>
    <row r="42182" customHeight="1" spans="2:2">
      <c r="B42182" s="62" t="str">
        <f>IF(AND('领用录入（明细）'!D:D=$F$4,'领用录入（明细）'!C:C&gt;=$J$4,'领用录入（明细）'!C:C&lt;=$L$4),ROW(),"-")</f>
        <v>-</v>
      </c>
    </row>
    <row r="42183" customHeight="1" spans="2:2">
      <c r="B42183" s="62" t="str">
        <f>IF(AND('领用录入（明细）'!D:D=$F$4,'领用录入（明细）'!C:C&gt;=$J$4,'领用录入（明细）'!C:C&lt;=$L$4),ROW(),"-")</f>
        <v>-</v>
      </c>
    </row>
    <row r="42184" customHeight="1" spans="2:2">
      <c r="B42184" s="62" t="str">
        <f>IF(AND('领用录入（明细）'!D:D=$F$4,'领用录入（明细）'!C:C&gt;=$J$4,'领用录入（明细）'!C:C&lt;=$L$4),ROW(),"-")</f>
        <v>-</v>
      </c>
    </row>
    <row r="42185" customHeight="1" spans="2:2">
      <c r="B42185" s="62" t="str">
        <f>IF(AND('领用录入（明细）'!D:D=$F$4,'领用录入（明细）'!C:C&gt;=$J$4,'领用录入（明细）'!C:C&lt;=$L$4),ROW(),"-")</f>
        <v>-</v>
      </c>
    </row>
    <row r="42186" customHeight="1" spans="2:2">
      <c r="B42186" s="62" t="str">
        <f>IF(AND('领用录入（明细）'!D:D=$F$4,'领用录入（明细）'!C:C&gt;=$J$4,'领用录入（明细）'!C:C&lt;=$L$4),ROW(),"-")</f>
        <v>-</v>
      </c>
    </row>
    <row r="42187" customHeight="1" spans="2:2">
      <c r="B42187" s="62" t="str">
        <f>IF(AND('领用录入（明细）'!D:D=$F$4,'领用录入（明细）'!C:C&gt;=$J$4,'领用录入（明细）'!C:C&lt;=$L$4),ROW(),"-")</f>
        <v>-</v>
      </c>
    </row>
    <row r="42188" customHeight="1" spans="2:2">
      <c r="B42188" s="62" t="str">
        <f>IF(AND('领用录入（明细）'!D:D=$F$4,'领用录入（明细）'!C:C&gt;=$J$4,'领用录入（明细）'!C:C&lt;=$L$4),ROW(),"-")</f>
        <v>-</v>
      </c>
    </row>
    <row r="42189" customHeight="1" spans="2:2">
      <c r="B42189" s="62" t="str">
        <f>IF(AND('领用录入（明细）'!D:D=$F$4,'领用录入（明细）'!C:C&gt;=$J$4,'领用录入（明细）'!C:C&lt;=$L$4),ROW(),"-")</f>
        <v>-</v>
      </c>
    </row>
    <row r="42190" customHeight="1" spans="2:2">
      <c r="B42190" s="62" t="str">
        <f>IF(AND('领用录入（明细）'!D:D=$F$4,'领用录入（明细）'!C:C&gt;=$J$4,'领用录入（明细）'!C:C&lt;=$L$4),ROW(),"-")</f>
        <v>-</v>
      </c>
    </row>
    <row r="42191" customHeight="1" spans="2:2">
      <c r="B42191" s="62" t="str">
        <f>IF(AND('领用录入（明细）'!D:D=$F$4,'领用录入（明细）'!C:C&gt;=$J$4,'领用录入（明细）'!C:C&lt;=$L$4),ROW(),"-")</f>
        <v>-</v>
      </c>
    </row>
    <row r="42192" customHeight="1" spans="2:2">
      <c r="B42192" s="62" t="str">
        <f>IF(AND('领用录入（明细）'!D:D=$F$4,'领用录入（明细）'!C:C&gt;=$J$4,'领用录入（明细）'!C:C&lt;=$L$4),ROW(),"-")</f>
        <v>-</v>
      </c>
    </row>
    <row r="42193" customHeight="1" spans="2:2">
      <c r="B42193" s="62" t="str">
        <f>IF(AND('领用录入（明细）'!D:D=$F$4,'领用录入（明细）'!C:C&gt;=$J$4,'领用录入（明细）'!C:C&lt;=$L$4),ROW(),"-")</f>
        <v>-</v>
      </c>
    </row>
    <row r="42194" customHeight="1" spans="2:2">
      <c r="B42194" s="62" t="str">
        <f>IF(AND('领用录入（明细）'!D:D=$F$4,'领用录入（明细）'!C:C&gt;=$J$4,'领用录入（明细）'!C:C&lt;=$L$4),ROW(),"-")</f>
        <v>-</v>
      </c>
    </row>
    <row r="42195" customHeight="1" spans="2:2">
      <c r="B42195" s="62" t="str">
        <f>IF(AND('领用录入（明细）'!D:D=$F$4,'领用录入（明细）'!C:C&gt;=$J$4,'领用录入（明细）'!C:C&lt;=$L$4),ROW(),"-")</f>
        <v>-</v>
      </c>
    </row>
    <row r="42196" customHeight="1" spans="2:2">
      <c r="B42196" s="62" t="str">
        <f>IF(AND('领用录入（明细）'!D:D=$F$4,'领用录入（明细）'!C:C&gt;=$J$4,'领用录入（明细）'!C:C&lt;=$L$4),ROW(),"-")</f>
        <v>-</v>
      </c>
    </row>
    <row r="42197" customHeight="1" spans="2:2">
      <c r="B42197" s="62" t="str">
        <f>IF(AND('领用录入（明细）'!D:D=$F$4,'领用录入（明细）'!C:C&gt;=$J$4,'领用录入（明细）'!C:C&lt;=$L$4),ROW(),"-")</f>
        <v>-</v>
      </c>
    </row>
    <row r="42198" customHeight="1" spans="2:2">
      <c r="B42198" s="62" t="str">
        <f>IF(AND('领用录入（明细）'!D:D=$F$4,'领用录入（明细）'!C:C&gt;=$J$4,'领用录入（明细）'!C:C&lt;=$L$4),ROW(),"-")</f>
        <v>-</v>
      </c>
    </row>
    <row r="42199" customHeight="1" spans="2:2">
      <c r="B42199" s="62" t="str">
        <f>IF(AND('领用录入（明细）'!D:D=$F$4,'领用录入（明细）'!C:C&gt;=$J$4,'领用录入（明细）'!C:C&lt;=$L$4),ROW(),"-")</f>
        <v>-</v>
      </c>
    </row>
    <row r="42200" customHeight="1" spans="2:2">
      <c r="B42200" s="62" t="str">
        <f>IF(AND('领用录入（明细）'!D:D=$F$4,'领用录入（明细）'!C:C&gt;=$J$4,'领用录入（明细）'!C:C&lt;=$L$4),ROW(),"-")</f>
        <v>-</v>
      </c>
    </row>
    <row r="42201" customHeight="1" spans="2:2">
      <c r="B42201" s="62" t="str">
        <f>IF(AND('领用录入（明细）'!D:D=$F$4,'领用录入（明细）'!C:C&gt;=$J$4,'领用录入（明细）'!C:C&lt;=$L$4),ROW(),"-")</f>
        <v>-</v>
      </c>
    </row>
    <row r="42202" customHeight="1" spans="2:2">
      <c r="B42202" s="62" t="str">
        <f>IF(AND('领用录入（明细）'!D:D=$F$4,'领用录入（明细）'!C:C&gt;=$J$4,'领用录入（明细）'!C:C&lt;=$L$4),ROW(),"-")</f>
        <v>-</v>
      </c>
    </row>
    <row r="42203" customHeight="1" spans="2:2">
      <c r="B42203" s="62" t="str">
        <f>IF(AND('领用录入（明细）'!D:D=$F$4,'领用录入（明细）'!C:C&gt;=$J$4,'领用录入（明细）'!C:C&lt;=$L$4),ROW(),"-")</f>
        <v>-</v>
      </c>
    </row>
    <row r="42204" customHeight="1" spans="2:2">
      <c r="B42204" s="62" t="str">
        <f>IF(AND('领用录入（明细）'!D:D=$F$4,'领用录入（明细）'!C:C&gt;=$J$4,'领用录入（明细）'!C:C&lt;=$L$4),ROW(),"-")</f>
        <v>-</v>
      </c>
    </row>
    <row r="42205" customHeight="1" spans="2:2">
      <c r="B42205" s="62" t="str">
        <f>IF(AND('领用录入（明细）'!D:D=$F$4,'领用录入（明细）'!C:C&gt;=$J$4,'领用录入（明细）'!C:C&lt;=$L$4),ROW(),"-")</f>
        <v>-</v>
      </c>
    </row>
    <row r="42206" customHeight="1" spans="2:2">
      <c r="B42206" s="62" t="str">
        <f>IF(AND('领用录入（明细）'!D:D=$F$4,'领用录入（明细）'!C:C&gt;=$J$4,'领用录入（明细）'!C:C&lt;=$L$4),ROW(),"-")</f>
        <v>-</v>
      </c>
    </row>
    <row r="42207" customHeight="1" spans="2:2">
      <c r="B42207" s="62" t="str">
        <f>IF(AND('领用录入（明细）'!D:D=$F$4,'领用录入（明细）'!C:C&gt;=$J$4,'领用录入（明细）'!C:C&lt;=$L$4),ROW(),"-")</f>
        <v>-</v>
      </c>
    </row>
    <row r="42208" customHeight="1" spans="2:2">
      <c r="B42208" s="62" t="str">
        <f>IF(AND('领用录入（明细）'!D:D=$F$4,'领用录入（明细）'!C:C&gt;=$J$4,'领用录入（明细）'!C:C&lt;=$L$4),ROW(),"-")</f>
        <v>-</v>
      </c>
    </row>
    <row r="42209" customHeight="1" spans="2:2">
      <c r="B42209" s="62" t="str">
        <f>IF(AND('领用录入（明细）'!D:D=$F$4,'领用录入（明细）'!C:C&gt;=$J$4,'领用录入（明细）'!C:C&lt;=$L$4),ROW(),"-")</f>
        <v>-</v>
      </c>
    </row>
    <row r="42210" customHeight="1" spans="2:2">
      <c r="B42210" s="62" t="str">
        <f>IF(AND('领用录入（明细）'!D:D=$F$4,'领用录入（明细）'!C:C&gt;=$J$4,'领用录入（明细）'!C:C&lt;=$L$4),ROW(),"-")</f>
        <v>-</v>
      </c>
    </row>
    <row r="42211" customHeight="1" spans="2:2">
      <c r="B42211" s="62" t="str">
        <f>IF(AND('领用录入（明细）'!D:D=$F$4,'领用录入（明细）'!C:C&gt;=$J$4,'领用录入（明细）'!C:C&lt;=$L$4),ROW(),"-")</f>
        <v>-</v>
      </c>
    </row>
    <row r="42212" customHeight="1" spans="2:2">
      <c r="B42212" s="62" t="str">
        <f>IF(AND('领用录入（明细）'!D:D=$F$4,'领用录入（明细）'!C:C&gt;=$J$4,'领用录入（明细）'!C:C&lt;=$L$4),ROW(),"-")</f>
        <v>-</v>
      </c>
    </row>
    <row r="42213" customHeight="1" spans="2:2">
      <c r="B42213" s="62" t="str">
        <f>IF(AND('领用录入（明细）'!D:D=$F$4,'领用录入（明细）'!C:C&gt;=$J$4,'领用录入（明细）'!C:C&lt;=$L$4),ROW(),"-")</f>
        <v>-</v>
      </c>
    </row>
    <row r="42214" customHeight="1" spans="2:2">
      <c r="B42214" s="62" t="str">
        <f>IF(AND('领用录入（明细）'!D:D=$F$4,'领用录入（明细）'!C:C&gt;=$J$4,'领用录入（明细）'!C:C&lt;=$L$4),ROW(),"-")</f>
        <v>-</v>
      </c>
    </row>
    <row r="42215" customHeight="1" spans="2:2">
      <c r="B42215" s="62" t="str">
        <f>IF(AND('领用录入（明细）'!D:D=$F$4,'领用录入（明细）'!C:C&gt;=$J$4,'领用录入（明细）'!C:C&lt;=$L$4),ROW(),"-")</f>
        <v>-</v>
      </c>
    </row>
    <row r="42216" customHeight="1" spans="2:2">
      <c r="B42216" s="62" t="str">
        <f>IF(AND('领用录入（明细）'!D:D=$F$4,'领用录入（明细）'!C:C&gt;=$J$4,'领用录入（明细）'!C:C&lt;=$L$4),ROW(),"-")</f>
        <v>-</v>
      </c>
    </row>
    <row r="42217" customHeight="1" spans="2:2">
      <c r="B42217" s="62" t="str">
        <f>IF(AND('领用录入（明细）'!D:D=$F$4,'领用录入（明细）'!C:C&gt;=$J$4,'领用录入（明细）'!C:C&lt;=$L$4),ROW(),"-")</f>
        <v>-</v>
      </c>
    </row>
    <row r="42218" customHeight="1" spans="2:2">
      <c r="B42218" s="62" t="str">
        <f>IF(AND('领用录入（明细）'!D:D=$F$4,'领用录入（明细）'!C:C&gt;=$J$4,'领用录入（明细）'!C:C&lt;=$L$4),ROW(),"-")</f>
        <v>-</v>
      </c>
    </row>
    <row r="42219" customHeight="1" spans="2:2">
      <c r="B42219" s="62" t="str">
        <f>IF(AND('领用录入（明细）'!D:D=$F$4,'领用录入（明细）'!C:C&gt;=$J$4,'领用录入（明细）'!C:C&lt;=$L$4),ROW(),"-")</f>
        <v>-</v>
      </c>
    </row>
    <row r="42220" customHeight="1" spans="2:2">
      <c r="B42220" s="62" t="str">
        <f>IF(AND('领用录入（明细）'!D:D=$F$4,'领用录入（明细）'!C:C&gt;=$J$4,'领用录入（明细）'!C:C&lt;=$L$4),ROW(),"-")</f>
        <v>-</v>
      </c>
    </row>
    <row r="42221" customHeight="1" spans="2:2">
      <c r="B42221" s="62" t="str">
        <f>IF(AND('领用录入（明细）'!D:D=$F$4,'领用录入（明细）'!C:C&gt;=$J$4,'领用录入（明细）'!C:C&lt;=$L$4),ROW(),"-")</f>
        <v>-</v>
      </c>
    </row>
    <row r="42222" customHeight="1" spans="2:2">
      <c r="B42222" s="62" t="str">
        <f>IF(AND('领用录入（明细）'!D:D=$F$4,'领用录入（明细）'!C:C&gt;=$J$4,'领用录入（明细）'!C:C&lt;=$L$4),ROW(),"-")</f>
        <v>-</v>
      </c>
    </row>
    <row r="42223" customHeight="1" spans="2:2">
      <c r="B42223" s="62" t="str">
        <f>IF(AND('领用录入（明细）'!D:D=$F$4,'领用录入（明细）'!C:C&gt;=$J$4,'领用录入（明细）'!C:C&lt;=$L$4),ROW(),"-")</f>
        <v>-</v>
      </c>
    </row>
    <row r="42224" customHeight="1" spans="2:2">
      <c r="B42224" s="62" t="str">
        <f>IF(AND('领用录入（明细）'!D:D=$F$4,'领用录入（明细）'!C:C&gt;=$J$4,'领用录入（明细）'!C:C&lt;=$L$4),ROW(),"-")</f>
        <v>-</v>
      </c>
    </row>
    <row r="42225" customHeight="1" spans="2:2">
      <c r="B42225" s="62" t="str">
        <f>IF(AND('领用录入（明细）'!D:D=$F$4,'领用录入（明细）'!C:C&gt;=$J$4,'领用录入（明细）'!C:C&lt;=$L$4),ROW(),"-")</f>
        <v>-</v>
      </c>
    </row>
    <row r="42226" customHeight="1" spans="2:2">
      <c r="B42226" s="62" t="str">
        <f>IF(AND('领用录入（明细）'!D:D=$F$4,'领用录入（明细）'!C:C&gt;=$J$4,'领用录入（明细）'!C:C&lt;=$L$4),ROW(),"-")</f>
        <v>-</v>
      </c>
    </row>
    <row r="42227" customHeight="1" spans="2:2">
      <c r="B42227" s="62" t="str">
        <f>IF(AND('领用录入（明细）'!D:D=$F$4,'领用录入（明细）'!C:C&gt;=$J$4,'领用录入（明细）'!C:C&lt;=$L$4),ROW(),"-")</f>
        <v>-</v>
      </c>
    </row>
    <row r="42228" customHeight="1" spans="2:2">
      <c r="B42228" s="62" t="str">
        <f>IF(AND('领用录入（明细）'!D:D=$F$4,'领用录入（明细）'!C:C&gt;=$J$4,'领用录入（明细）'!C:C&lt;=$L$4),ROW(),"-")</f>
        <v>-</v>
      </c>
    </row>
    <row r="42229" customHeight="1" spans="2:2">
      <c r="B42229" s="62" t="str">
        <f>IF(AND('领用录入（明细）'!D:D=$F$4,'领用录入（明细）'!C:C&gt;=$J$4,'领用录入（明细）'!C:C&lt;=$L$4),ROW(),"-")</f>
        <v>-</v>
      </c>
    </row>
    <row r="42230" customHeight="1" spans="2:2">
      <c r="B42230" s="62" t="str">
        <f>IF(AND('领用录入（明细）'!D:D=$F$4,'领用录入（明细）'!C:C&gt;=$J$4,'领用录入（明细）'!C:C&lt;=$L$4),ROW(),"-")</f>
        <v>-</v>
      </c>
    </row>
    <row r="42231" customHeight="1" spans="2:2">
      <c r="B42231" s="62" t="str">
        <f>IF(AND('领用录入（明细）'!D:D=$F$4,'领用录入（明细）'!C:C&gt;=$J$4,'领用录入（明细）'!C:C&lt;=$L$4),ROW(),"-")</f>
        <v>-</v>
      </c>
    </row>
    <row r="42232" customHeight="1" spans="2:2">
      <c r="B42232" s="62" t="str">
        <f>IF(AND('领用录入（明细）'!D:D=$F$4,'领用录入（明细）'!C:C&gt;=$J$4,'领用录入（明细）'!C:C&lt;=$L$4),ROW(),"-")</f>
        <v>-</v>
      </c>
    </row>
    <row r="42233" customHeight="1" spans="2:2">
      <c r="B42233" s="62" t="str">
        <f>IF(AND('领用录入（明细）'!D:D=$F$4,'领用录入（明细）'!C:C&gt;=$J$4,'领用录入（明细）'!C:C&lt;=$L$4),ROW(),"-")</f>
        <v>-</v>
      </c>
    </row>
    <row r="42234" customHeight="1" spans="2:2">
      <c r="B42234" s="62" t="str">
        <f>IF(AND('领用录入（明细）'!D:D=$F$4,'领用录入（明细）'!C:C&gt;=$J$4,'领用录入（明细）'!C:C&lt;=$L$4),ROW(),"-")</f>
        <v>-</v>
      </c>
    </row>
    <row r="42235" customHeight="1" spans="2:2">
      <c r="B42235" s="62" t="str">
        <f>IF(AND('领用录入（明细）'!D:D=$F$4,'领用录入（明细）'!C:C&gt;=$J$4,'领用录入（明细）'!C:C&lt;=$L$4),ROW(),"-")</f>
        <v>-</v>
      </c>
    </row>
    <row r="42236" customHeight="1" spans="2:2">
      <c r="B42236" s="62" t="str">
        <f>IF(AND('领用录入（明细）'!D:D=$F$4,'领用录入（明细）'!C:C&gt;=$J$4,'领用录入（明细）'!C:C&lt;=$L$4),ROW(),"-")</f>
        <v>-</v>
      </c>
    </row>
    <row r="42237" customHeight="1" spans="2:2">
      <c r="B42237" s="62" t="str">
        <f>IF(AND('领用录入（明细）'!D:D=$F$4,'领用录入（明细）'!C:C&gt;=$J$4,'领用录入（明细）'!C:C&lt;=$L$4),ROW(),"-")</f>
        <v>-</v>
      </c>
    </row>
    <row r="42238" customHeight="1" spans="2:2">
      <c r="B42238" s="62" t="str">
        <f>IF(AND('领用录入（明细）'!D:D=$F$4,'领用录入（明细）'!C:C&gt;=$J$4,'领用录入（明细）'!C:C&lt;=$L$4),ROW(),"-")</f>
        <v>-</v>
      </c>
    </row>
    <row r="42239" customHeight="1" spans="2:2">
      <c r="B42239" s="62" t="str">
        <f>IF(AND('领用录入（明细）'!D:D=$F$4,'领用录入（明细）'!C:C&gt;=$J$4,'领用录入（明细）'!C:C&lt;=$L$4),ROW(),"-")</f>
        <v>-</v>
      </c>
    </row>
    <row r="42240" customHeight="1" spans="2:2">
      <c r="B42240" s="62" t="str">
        <f>IF(AND('领用录入（明细）'!D:D=$F$4,'领用录入（明细）'!C:C&gt;=$J$4,'领用录入（明细）'!C:C&lt;=$L$4),ROW(),"-")</f>
        <v>-</v>
      </c>
    </row>
    <row r="42241" customHeight="1" spans="2:2">
      <c r="B42241" s="62" t="str">
        <f>IF(AND('领用录入（明细）'!D:D=$F$4,'领用录入（明细）'!C:C&gt;=$J$4,'领用录入（明细）'!C:C&lt;=$L$4),ROW(),"-")</f>
        <v>-</v>
      </c>
    </row>
    <row r="42242" customHeight="1" spans="2:2">
      <c r="B42242" s="62" t="str">
        <f>IF(AND('领用录入（明细）'!D:D=$F$4,'领用录入（明细）'!C:C&gt;=$J$4,'领用录入（明细）'!C:C&lt;=$L$4),ROW(),"-")</f>
        <v>-</v>
      </c>
    </row>
    <row r="42243" customHeight="1" spans="2:2">
      <c r="B42243" s="62" t="str">
        <f>IF(AND('领用录入（明细）'!D:D=$F$4,'领用录入（明细）'!C:C&gt;=$J$4,'领用录入（明细）'!C:C&lt;=$L$4),ROW(),"-")</f>
        <v>-</v>
      </c>
    </row>
    <row r="42244" customHeight="1" spans="2:2">
      <c r="B42244" s="62" t="str">
        <f>IF(AND('领用录入（明细）'!D:D=$F$4,'领用录入（明细）'!C:C&gt;=$J$4,'领用录入（明细）'!C:C&lt;=$L$4),ROW(),"-")</f>
        <v>-</v>
      </c>
    </row>
    <row r="42245" customHeight="1" spans="2:2">
      <c r="B42245" s="62" t="str">
        <f>IF(AND('领用录入（明细）'!D:D=$F$4,'领用录入（明细）'!C:C&gt;=$J$4,'领用录入（明细）'!C:C&lt;=$L$4),ROW(),"-")</f>
        <v>-</v>
      </c>
    </row>
    <row r="42246" customHeight="1" spans="2:2">
      <c r="B42246" s="62" t="str">
        <f>IF(AND('领用录入（明细）'!D:D=$F$4,'领用录入（明细）'!C:C&gt;=$J$4,'领用录入（明细）'!C:C&lt;=$L$4),ROW(),"-")</f>
        <v>-</v>
      </c>
    </row>
    <row r="42247" customHeight="1" spans="2:2">
      <c r="B42247" s="62" t="str">
        <f>IF(AND('领用录入（明细）'!D:D=$F$4,'领用录入（明细）'!C:C&gt;=$J$4,'领用录入（明细）'!C:C&lt;=$L$4),ROW(),"-")</f>
        <v>-</v>
      </c>
    </row>
    <row r="42248" customHeight="1" spans="2:2">
      <c r="B42248" s="62" t="str">
        <f>IF(AND('领用录入（明细）'!D:D=$F$4,'领用录入（明细）'!C:C&gt;=$J$4,'领用录入（明细）'!C:C&lt;=$L$4),ROW(),"-")</f>
        <v>-</v>
      </c>
    </row>
    <row r="42249" customHeight="1" spans="2:2">
      <c r="B42249" s="62" t="str">
        <f>IF(AND('领用录入（明细）'!D:D=$F$4,'领用录入（明细）'!C:C&gt;=$J$4,'领用录入（明细）'!C:C&lt;=$L$4),ROW(),"-")</f>
        <v>-</v>
      </c>
    </row>
    <row r="42250" customHeight="1" spans="2:2">
      <c r="B42250" s="62" t="str">
        <f>IF(AND('领用录入（明细）'!D:D=$F$4,'领用录入（明细）'!C:C&gt;=$J$4,'领用录入（明细）'!C:C&lt;=$L$4),ROW(),"-")</f>
        <v>-</v>
      </c>
    </row>
    <row r="42251" customHeight="1" spans="2:2">
      <c r="B42251" s="62" t="str">
        <f>IF(AND('领用录入（明细）'!D:D=$F$4,'领用录入（明细）'!C:C&gt;=$J$4,'领用录入（明细）'!C:C&lt;=$L$4),ROW(),"-")</f>
        <v>-</v>
      </c>
    </row>
    <row r="42252" customHeight="1" spans="2:2">
      <c r="B42252" s="62" t="str">
        <f>IF(AND('领用录入（明细）'!D:D=$F$4,'领用录入（明细）'!C:C&gt;=$J$4,'领用录入（明细）'!C:C&lt;=$L$4),ROW(),"-")</f>
        <v>-</v>
      </c>
    </row>
    <row r="42253" customHeight="1" spans="2:2">
      <c r="B42253" s="62" t="str">
        <f>IF(AND('领用录入（明细）'!D:D=$F$4,'领用录入（明细）'!C:C&gt;=$J$4,'领用录入（明细）'!C:C&lt;=$L$4),ROW(),"-")</f>
        <v>-</v>
      </c>
    </row>
    <row r="42254" customHeight="1" spans="2:2">
      <c r="B42254" s="62" t="str">
        <f>IF(AND('领用录入（明细）'!D:D=$F$4,'领用录入（明细）'!C:C&gt;=$J$4,'领用录入（明细）'!C:C&lt;=$L$4),ROW(),"-")</f>
        <v>-</v>
      </c>
    </row>
    <row r="42255" customHeight="1" spans="2:2">
      <c r="B42255" s="62" t="str">
        <f>IF(AND('领用录入（明细）'!D:D=$F$4,'领用录入（明细）'!C:C&gt;=$J$4,'领用录入（明细）'!C:C&lt;=$L$4),ROW(),"-")</f>
        <v>-</v>
      </c>
    </row>
    <row r="42256" customHeight="1" spans="2:2">
      <c r="B42256" s="62" t="str">
        <f>IF(AND('领用录入（明细）'!D:D=$F$4,'领用录入（明细）'!C:C&gt;=$J$4,'领用录入（明细）'!C:C&lt;=$L$4),ROW(),"-")</f>
        <v>-</v>
      </c>
    </row>
    <row r="42257" customHeight="1" spans="2:2">
      <c r="B42257" s="62" t="str">
        <f>IF(AND('领用录入（明细）'!D:D=$F$4,'领用录入（明细）'!C:C&gt;=$J$4,'领用录入（明细）'!C:C&lt;=$L$4),ROW(),"-")</f>
        <v>-</v>
      </c>
    </row>
    <row r="42258" customHeight="1" spans="2:2">
      <c r="B42258" s="62" t="str">
        <f>IF(AND('领用录入（明细）'!D:D=$F$4,'领用录入（明细）'!C:C&gt;=$J$4,'领用录入（明细）'!C:C&lt;=$L$4),ROW(),"-")</f>
        <v>-</v>
      </c>
    </row>
    <row r="42259" customHeight="1" spans="2:2">
      <c r="B42259" s="62" t="str">
        <f>IF(AND('领用录入（明细）'!D:D=$F$4,'领用录入（明细）'!C:C&gt;=$J$4,'领用录入（明细）'!C:C&lt;=$L$4),ROW(),"-")</f>
        <v>-</v>
      </c>
    </row>
    <row r="42260" customHeight="1" spans="2:2">
      <c r="B42260" s="62" t="str">
        <f>IF(AND('领用录入（明细）'!D:D=$F$4,'领用录入（明细）'!C:C&gt;=$J$4,'领用录入（明细）'!C:C&lt;=$L$4),ROW(),"-")</f>
        <v>-</v>
      </c>
    </row>
    <row r="42261" customHeight="1" spans="2:2">
      <c r="B42261" s="62" t="str">
        <f>IF(AND('领用录入（明细）'!D:D=$F$4,'领用录入（明细）'!C:C&gt;=$J$4,'领用录入（明细）'!C:C&lt;=$L$4),ROW(),"-")</f>
        <v>-</v>
      </c>
    </row>
    <row r="42262" customHeight="1" spans="2:2">
      <c r="B42262" s="62" t="str">
        <f>IF(AND('领用录入（明细）'!D:D=$F$4,'领用录入（明细）'!C:C&gt;=$J$4,'领用录入（明细）'!C:C&lt;=$L$4),ROW(),"-")</f>
        <v>-</v>
      </c>
    </row>
    <row r="42263" customHeight="1" spans="2:2">
      <c r="B42263" s="62" t="str">
        <f>IF(AND('领用录入（明细）'!D:D=$F$4,'领用录入（明细）'!C:C&gt;=$J$4,'领用录入（明细）'!C:C&lt;=$L$4),ROW(),"-")</f>
        <v>-</v>
      </c>
    </row>
    <row r="42264" customHeight="1" spans="2:2">
      <c r="B42264" s="62" t="str">
        <f>IF(AND('领用录入（明细）'!D:D=$F$4,'领用录入（明细）'!C:C&gt;=$J$4,'领用录入（明细）'!C:C&lt;=$L$4),ROW(),"-")</f>
        <v>-</v>
      </c>
    </row>
    <row r="42265" customHeight="1" spans="2:2">
      <c r="B42265" s="62" t="str">
        <f>IF(AND('领用录入（明细）'!D:D=$F$4,'领用录入（明细）'!C:C&gt;=$J$4,'领用录入（明细）'!C:C&lt;=$L$4),ROW(),"-")</f>
        <v>-</v>
      </c>
    </row>
    <row r="42266" customHeight="1" spans="2:2">
      <c r="B42266" s="62" t="str">
        <f>IF(AND('领用录入（明细）'!D:D=$F$4,'领用录入（明细）'!C:C&gt;=$J$4,'领用录入（明细）'!C:C&lt;=$L$4),ROW(),"-")</f>
        <v>-</v>
      </c>
    </row>
    <row r="42267" customHeight="1" spans="2:2">
      <c r="B42267" s="62" t="str">
        <f>IF(AND('领用录入（明细）'!D:D=$F$4,'领用录入（明细）'!C:C&gt;=$J$4,'领用录入（明细）'!C:C&lt;=$L$4),ROW(),"-")</f>
        <v>-</v>
      </c>
    </row>
    <row r="42268" customHeight="1" spans="2:2">
      <c r="B42268" s="62" t="str">
        <f>IF(AND('领用录入（明细）'!D:D=$F$4,'领用录入（明细）'!C:C&gt;=$J$4,'领用录入（明细）'!C:C&lt;=$L$4),ROW(),"-")</f>
        <v>-</v>
      </c>
    </row>
    <row r="42269" customHeight="1" spans="2:2">
      <c r="B42269" s="62" t="str">
        <f>IF(AND('领用录入（明细）'!D:D=$F$4,'领用录入（明细）'!C:C&gt;=$J$4,'领用录入（明细）'!C:C&lt;=$L$4),ROW(),"-")</f>
        <v>-</v>
      </c>
    </row>
    <row r="42270" customHeight="1" spans="2:2">
      <c r="B42270" s="62" t="str">
        <f>IF(AND('领用录入（明细）'!D:D=$F$4,'领用录入（明细）'!C:C&gt;=$J$4,'领用录入（明细）'!C:C&lt;=$L$4),ROW(),"-")</f>
        <v>-</v>
      </c>
    </row>
    <row r="42271" customHeight="1" spans="2:2">
      <c r="B42271" s="62" t="str">
        <f>IF(AND('领用录入（明细）'!D:D=$F$4,'领用录入（明细）'!C:C&gt;=$J$4,'领用录入（明细）'!C:C&lt;=$L$4),ROW(),"-")</f>
        <v>-</v>
      </c>
    </row>
    <row r="42272" customHeight="1" spans="2:2">
      <c r="B42272" s="62" t="str">
        <f>IF(AND('领用录入（明细）'!D:D=$F$4,'领用录入（明细）'!C:C&gt;=$J$4,'领用录入（明细）'!C:C&lt;=$L$4),ROW(),"-")</f>
        <v>-</v>
      </c>
    </row>
    <row r="42273" customHeight="1" spans="2:2">
      <c r="B42273" s="62" t="str">
        <f>IF(AND('领用录入（明细）'!D:D=$F$4,'领用录入（明细）'!C:C&gt;=$J$4,'领用录入（明细）'!C:C&lt;=$L$4),ROW(),"-")</f>
        <v>-</v>
      </c>
    </row>
    <row r="42274" customHeight="1" spans="2:2">
      <c r="B42274" s="62" t="str">
        <f>IF(AND('领用录入（明细）'!D:D=$F$4,'领用录入（明细）'!C:C&gt;=$J$4,'领用录入（明细）'!C:C&lt;=$L$4),ROW(),"-")</f>
        <v>-</v>
      </c>
    </row>
    <row r="42275" customHeight="1" spans="2:2">
      <c r="B42275" s="62" t="str">
        <f>IF(AND('领用录入（明细）'!D:D=$F$4,'领用录入（明细）'!C:C&gt;=$J$4,'领用录入（明细）'!C:C&lt;=$L$4),ROW(),"-")</f>
        <v>-</v>
      </c>
    </row>
    <row r="42276" customHeight="1" spans="2:2">
      <c r="B42276" s="62" t="str">
        <f>IF(AND('领用录入（明细）'!D:D=$F$4,'领用录入（明细）'!C:C&gt;=$J$4,'领用录入（明细）'!C:C&lt;=$L$4),ROW(),"-")</f>
        <v>-</v>
      </c>
    </row>
    <row r="42277" customHeight="1" spans="2:2">
      <c r="B42277" s="62" t="str">
        <f>IF(AND('领用录入（明细）'!D:D=$F$4,'领用录入（明细）'!C:C&gt;=$J$4,'领用录入（明细）'!C:C&lt;=$L$4),ROW(),"-")</f>
        <v>-</v>
      </c>
    </row>
    <row r="42278" customHeight="1" spans="2:2">
      <c r="B42278" s="62" t="str">
        <f>IF(AND('领用录入（明细）'!D:D=$F$4,'领用录入（明细）'!C:C&gt;=$J$4,'领用录入（明细）'!C:C&lt;=$L$4),ROW(),"-")</f>
        <v>-</v>
      </c>
    </row>
    <row r="42279" customHeight="1" spans="2:2">
      <c r="B42279" s="62" t="str">
        <f>IF(AND('领用录入（明细）'!D:D=$F$4,'领用录入（明细）'!C:C&gt;=$J$4,'领用录入（明细）'!C:C&lt;=$L$4),ROW(),"-")</f>
        <v>-</v>
      </c>
    </row>
    <row r="42280" customHeight="1" spans="2:2">
      <c r="B42280" s="62" t="str">
        <f>IF(AND('领用录入（明细）'!D:D=$F$4,'领用录入（明细）'!C:C&gt;=$J$4,'领用录入（明细）'!C:C&lt;=$L$4),ROW(),"-")</f>
        <v>-</v>
      </c>
    </row>
    <row r="42281" customHeight="1" spans="2:2">
      <c r="B42281" s="62" t="str">
        <f>IF(AND('领用录入（明细）'!D:D=$F$4,'领用录入（明细）'!C:C&gt;=$J$4,'领用录入（明细）'!C:C&lt;=$L$4),ROW(),"-")</f>
        <v>-</v>
      </c>
    </row>
    <row r="42282" customHeight="1" spans="2:2">
      <c r="B42282" s="62" t="str">
        <f>IF(AND('领用录入（明细）'!D:D=$F$4,'领用录入（明细）'!C:C&gt;=$J$4,'领用录入（明细）'!C:C&lt;=$L$4),ROW(),"-")</f>
        <v>-</v>
      </c>
    </row>
    <row r="42283" customHeight="1" spans="2:2">
      <c r="B42283" s="62" t="str">
        <f>IF(AND('领用录入（明细）'!D:D=$F$4,'领用录入（明细）'!C:C&gt;=$J$4,'领用录入（明细）'!C:C&lt;=$L$4),ROW(),"-")</f>
        <v>-</v>
      </c>
    </row>
    <row r="42284" customHeight="1" spans="2:2">
      <c r="B42284" s="62" t="str">
        <f>IF(AND('领用录入（明细）'!D:D=$F$4,'领用录入（明细）'!C:C&gt;=$J$4,'领用录入（明细）'!C:C&lt;=$L$4),ROW(),"-")</f>
        <v>-</v>
      </c>
    </row>
    <row r="42285" customHeight="1" spans="2:2">
      <c r="B42285" s="62" t="str">
        <f>IF(AND('领用录入（明细）'!D:D=$F$4,'领用录入（明细）'!C:C&gt;=$J$4,'领用录入（明细）'!C:C&lt;=$L$4),ROW(),"-")</f>
        <v>-</v>
      </c>
    </row>
    <row r="42286" customHeight="1" spans="2:2">
      <c r="B42286" s="62" t="str">
        <f>IF(AND('领用录入（明细）'!D:D=$F$4,'领用录入（明细）'!C:C&gt;=$J$4,'领用录入（明细）'!C:C&lt;=$L$4),ROW(),"-")</f>
        <v>-</v>
      </c>
    </row>
    <row r="42287" customHeight="1" spans="2:2">
      <c r="B42287" s="62" t="str">
        <f>IF(AND('领用录入（明细）'!D:D=$F$4,'领用录入（明细）'!C:C&gt;=$J$4,'领用录入（明细）'!C:C&lt;=$L$4),ROW(),"-")</f>
        <v>-</v>
      </c>
    </row>
    <row r="42288" customHeight="1" spans="2:2">
      <c r="B42288" s="62" t="str">
        <f>IF(AND('领用录入（明细）'!D:D=$F$4,'领用录入（明细）'!C:C&gt;=$J$4,'领用录入（明细）'!C:C&lt;=$L$4),ROW(),"-")</f>
        <v>-</v>
      </c>
    </row>
    <row r="42289" customHeight="1" spans="2:2">
      <c r="B42289" s="62" t="str">
        <f>IF(AND('领用录入（明细）'!D:D=$F$4,'领用录入（明细）'!C:C&gt;=$J$4,'领用录入（明细）'!C:C&lt;=$L$4),ROW(),"-")</f>
        <v>-</v>
      </c>
    </row>
    <row r="42290" customHeight="1" spans="2:2">
      <c r="B42290" s="62" t="str">
        <f>IF(AND('领用录入（明细）'!D:D=$F$4,'领用录入（明细）'!C:C&gt;=$J$4,'领用录入（明细）'!C:C&lt;=$L$4),ROW(),"-")</f>
        <v>-</v>
      </c>
    </row>
    <row r="42291" customHeight="1" spans="2:2">
      <c r="B42291" s="62" t="str">
        <f>IF(AND('领用录入（明细）'!D:D=$F$4,'领用录入（明细）'!C:C&gt;=$J$4,'领用录入（明细）'!C:C&lt;=$L$4),ROW(),"-")</f>
        <v>-</v>
      </c>
    </row>
    <row r="42292" customHeight="1" spans="2:2">
      <c r="B42292" s="62" t="str">
        <f>IF(AND('领用录入（明细）'!D:D=$F$4,'领用录入（明细）'!C:C&gt;=$J$4,'领用录入（明细）'!C:C&lt;=$L$4),ROW(),"-")</f>
        <v>-</v>
      </c>
    </row>
    <row r="42293" customHeight="1" spans="2:2">
      <c r="B42293" s="62" t="str">
        <f>IF(AND('领用录入（明细）'!D:D=$F$4,'领用录入（明细）'!C:C&gt;=$J$4,'领用录入（明细）'!C:C&lt;=$L$4),ROW(),"-")</f>
        <v>-</v>
      </c>
    </row>
    <row r="42294" customHeight="1" spans="2:2">
      <c r="B42294" s="62" t="str">
        <f>IF(AND('领用录入（明细）'!D:D=$F$4,'领用录入（明细）'!C:C&gt;=$J$4,'领用录入（明细）'!C:C&lt;=$L$4),ROW(),"-")</f>
        <v>-</v>
      </c>
    </row>
    <row r="42295" customHeight="1" spans="2:2">
      <c r="B42295" s="62" t="str">
        <f>IF(AND('领用录入（明细）'!D:D=$F$4,'领用录入（明细）'!C:C&gt;=$J$4,'领用录入（明细）'!C:C&lt;=$L$4),ROW(),"-")</f>
        <v>-</v>
      </c>
    </row>
    <row r="42296" customHeight="1" spans="2:2">
      <c r="B42296" s="62" t="str">
        <f>IF(AND('领用录入（明细）'!D:D=$F$4,'领用录入（明细）'!C:C&gt;=$J$4,'领用录入（明细）'!C:C&lt;=$L$4),ROW(),"-")</f>
        <v>-</v>
      </c>
    </row>
    <row r="42297" customHeight="1" spans="2:2">
      <c r="B42297" s="62" t="str">
        <f>IF(AND('领用录入（明细）'!D:D=$F$4,'领用录入（明细）'!C:C&gt;=$J$4,'领用录入（明细）'!C:C&lt;=$L$4),ROW(),"-")</f>
        <v>-</v>
      </c>
    </row>
    <row r="42298" customHeight="1" spans="2:2">
      <c r="B42298" s="62" t="str">
        <f>IF(AND('领用录入（明细）'!D:D=$F$4,'领用录入（明细）'!C:C&gt;=$J$4,'领用录入（明细）'!C:C&lt;=$L$4),ROW(),"-")</f>
        <v>-</v>
      </c>
    </row>
    <row r="42299" customHeight="1" spans="2:2">
      <c r="B42299" s="62" t="str">
        <f>IF(AND('领用录入（明细）'!D:D=$F$4,'领用录入（明细）'!C:C&gt;=$J$4,'领用录入（明细）'!C:C&lt;=$L$4),ROW(),"-")</f>
        <v>-</v>
      </c>
    </row>
    <row r="42300" customHeight="1" spans="2:2">
      <c r="B42300" s="62" t="str">
        <f>IF(AND('领用录入（明细）'!D:D=$F$4,'领用录入（明细）'!C:C&gt;=$J$4,'领用录入（明细）'!C:C&lt;=$L$4),ROW(),"-")</f>
        <v>-</v>
      </c>
    </row>
    <row r="42301" customHeight="1" spans="2:2">
      <c r="B42301" s="62" t="str">
        <f>IF(AND('领用录入（明细）'!D:D=$F$4,'领用录入（明细）'!C:C&gt;=$J$4,'领用录入（明细）'!C:C&lt;=$L$4),ROW(),"-")</f>
        <v>-</v>
      </c>
    </row>
    <row r="42302" customHeight="1" spans="2:2">
      <c r="B42302" s="62" t="str">
        <f>IF(AND('领用录入（明细）'!D:D=$F$4,'领用录入（明细）'!C:C&gt;=$J$4,'领用录入（明细）'!C:C&lt;=$L$4),ROW(),"-")</f>
        <v>-</v>
      </c>
    </row>
    <row r="42303" customHeight="1" spans="2:2">
      <c r="B42303" s="62" t="str">
        <f>IF(AND('领用录入（明细）'!D:D=$F$4,'领用录入（明细）'!C:C&gt;=$J$4,'领用录入（明细）'!C:C&lt;=$L$4),ROW(),"-")</f>
        <v>-</v>
      </c>
    </row>
    <row r="42304" customHeight="1" spans="2:2">
      <c r="B42304" s="62" t="str">
        <f>IF(AND('领用录入（明细）'!D:D=$F$4,'领用录入（明细）'!C:C&gt;=$J$4,'领用录入（明细）'!C:C&lt;=$L$4),ROW(),"-")</f>
        <v>-</v>
      </c>
    </row>
    <row r="42305" customHeight="1" spans="2:2">
      <c r="B42305" s="62" t="str">
        <f>IF(AND('领用录入（明细）'!D:D=$F$4,'领用录入（明细）'!C:C&gt;=$J$4,'领用录入（明细）'!C:C&lt;=$L$4),ROW(),"-")</f>
        <v>-</v>
      </c>
    </row>
    <row r="42306" customHeight="1" spans="2:2">
      <c r="B42306" s="62" t="str">
        <f>IF(AND('领用录入（明细）'!D:D=$F$4,'领用录入（明细）'!C:C&gt;=$J$4,'领用录入（明细）'!C:C&lt;=$L$4),ROW(),"-")</f>
        <v>-</v>
      </c>
    </row>
    <row r="42307" customHeight="1" spans="2:2">
      <c r="B42307" s="62" t="str">
        <f>IF(AND('领用录入（明细）'!D:D=$F$4,'领用录入（明细）'!C:C&gt;=$J$4,'领用录入（明细）'!C:C&lt;=$L$4),ROW(),"-")</f>
        <v>-</v>
      </c>
    </row>
    <row r="42308" customHeight="1" spans="2:2">
      <c r="B42308" s="62" t="str">
        <f>IF(AND('领用录入（明细）'!D:D=$F$4,'领用录入（明细）'!C:C&gt;=$J$4,'领用录入（明细）'!C:C&lt;=$L$4),ROW(),"-")</f>
        <v>-</v>
      </c>
    </row>
    <row r="42309" customHeight="1" spans="2:2">
      <c r="B42309" s="62" t="str">
        <f>IF(AND('领用录入（明细）'!D:D=$F$4,'领用录入（明细）'!C:C&gt;=$J$4,'领用录入（明细）'!C:C&lt;=$L$4),ROW(),"-")</f>
        <v>-</v>
      </c>
    </row>
    <row r="42310" customHeight="1" spans="2:2">
      <c r="B42310" s="62" t="str">
        <f>IF(AND('领用录入（明细）'!D:D=$F$4,'领用录入（明细）'!C:C&gt;=$J$4,'领用录入（明细）'!C:C&lt;=$L$4),ROW(),"-")</f>
        <v>-</v>
      </c>
    </row>
    <row r="42311" customHeight="1" spans="2:2">
      <c r="B42311" s="62" t="str">
        <f>IF(AND('领用录入（明细）'!D:D=$F$4,'领用录入（明细）'!C:C&gt;=$J$4,'领用录入（明细）'!C:C&lt;=$L$4),ROW(),"-")</f>
        <v>-</v>
      </c>
    </row>
    <row r="42312" customHeight="1" spans="2:2">
      <c r="B42312" s="62" t="str">
        <f>IF(AND('领用录入（明细）'!D:D=$F$4,'领用录入（明细）'!C:C&gt;=$J$4,'领用录入（明细）'!C:C&lt;=$L$4),ROW(),"-")</f>
        <v>-</v>
      </c>
    </row>
    <row r="42313" customHeight="1" spans="2:2">
      <c r="B42313" s="62" t="str">
        <f>IF(AND('领用录入（明细）'!D:D=$F$4,'领用录入（明细）'!C:C&gt;=$J$4,'领用录入（明细）'!C:C&lt;=$L$4),ROW(),"-")</f>
        <v>-</v>
      </c>
    </row>
    <row r="42314" customHeight="1" spans="2:2">
      <c r="B42314" s="62" t="str">
        <f>IF(AND('领用录入（明细）'!D:D=$F$4,'领用录入（明细）'!C:C&gt;=$J$4,'领用录入（明细）'!C:C&lt;=$L$4),ROW(),"-")</f>
        <v>-</v>
      </c>
    </row>
    <row r="42315" customHeight="1" spans="2:2">
      <c r="B42315" s="62" t="str">
        <f>IF(AND('领用录入（明细）'!D:D=$F$4,'领用录入（明细）'!C:C&gt;=$J$4,'领用录入（明细）'!C:C&lt;=$L$4),ROW(),"-")</f>
        <v>-</v>
      </c>
    </row>
    <row r="42316" customHeight="1" spans="2:2">
      <c r="B42316" s="62" t="str">
        <f>IF(AND('领用录入（明细）'!D:D=$F$4,'领用录入（明细）'!C:C&gt;=$J$4,'领用录入（明细）'!C:C&lt;=$L$4),ROW(),"-")</f>
        <v>-</v>
      </c>
    </row>
    <row r="42317" customHeight="1" spans="2:2">
      <c r="B42317" s="62" t="str">
        <f>IF(AND('领用录入（明细）'!D:D=$F$4,'领用录入（明细）'!C:C&gt;=$J$4,'领用录入（明细）'!C:C&lt;=$L$4),ROW(),"-")</f>
        <v>-</v>
      </c>
    </row>
    <row r="42318" customHeight="1" spans="2:2">
      <c r="B42318" s="62" t="str">
        <f>IF(AND('领用录入（明细）'!D:D=$F$4,'领用录入（明细）'!C:C&gt;=$J$4,'领用录入（明细）'!C:C&lt;=$L$4),ROW(),"-")</f>
        <v>-</v>
      </c>
    </row>
    <row r="42319" customHeight="1" spans="2:2">
      <c r="B42319" s="62" t="str">
        <f>IF(AND('领用录入（明细）'!D:D=$F$4,'领用录入（明细）'!C:C&gt;=$J$4,'领用录入（明细）'!C:C&lt;=$L$4),ROW(),"-")</f>
        <v>-</v>
      </c>
    </row>
    <row r="42320" customHeight="1" spans="2:2">
      <c r="B42320" s="62" t="str">
        <f>IF(AND('领用录入（明细）'!D:D=$F$4,'领用录入（明细）'!C:C&gt;=$J$4,'领用录入（明细）'!C:C&lt;=$L$4),ROW(),"-")</f>
        <v>-</v>
      </c>
    </row>
    <row r="42321" customHeight="1" spans="2:2">
      <c r="B42321" s="62" t="str">
        <f>IF(AND('领用录入（明细）'!D:D=$F$4,'领用录入（明细）'!C:C&gt;=$J$4,'领用录入（明细）'!C:C&lt;=$L$4),ROW(),"-")</f>
        <v>-</v>
      </c>
    </row>
    <row r="42322" customHeight="1" spans="2:2">
      <c r="B42322" s="62" t="str">
        <f>IF(AND('领用录入（明细）'!D:D=$F$4,'领用录入（明细）'!C:C&gt;=$J$4,'领用录入（明细）'!C:C&lt;=$L$4),ROW(),"-")</f>
        <v>-</v>
      </c>
    </row>
    <row r="42323" customHeight="1" spans="2:2">
      <c r="B42323" s="62" t="str">
        <f>IF(AND('领用录入（明细）'!D:D=$F$4,'领用录入（明细）'!C:C&gt;=$J$4,'领用录入（明细）'!C:C&lt;=$L$4),ROW(),"-")</f>
        <v>-</v>
      </c>
    </row>
    <row r="42324" customHeight="1" spans="2:2">
      <c r="B42324" s="62" t="str">
        <f>IF(AND('领用录入（明细）'!D:D=$F$4,'领用录入（明细）'!C:C&gt;=$J$4,'领用录入（明细）'!C:C&lt;=$L$4),ROW(),"-")</f>
        <v>-</v>
      </c>
    </row>
    <row r="42325" customHeight="1" spans="2:2">
      <c r="B42325" s="62" t="str">
        <f>IF(AND('领用录入（明细）'!D:D=$F$4,'领用录入（明细）'!C:C&gt;=$J$4,'领用录入（明细）'!C:C&lt;=$L$4),ROW(),"-")</f>
        <v>-</v>
      </c>
    </row>
    <row r="42326" customHeight="1" spans="2:2">
      <c r="B42326" s="62" t="str">
        <f>IF(AND('领用录入（明细）'!D:D=$F$4,'领用录入（明细）'!C:C&gt;=$J$4,'领用录入（明细）'!C:C&lt;=$L$4),ROW(),"-")</f>
        <v>-</v>
      </c>
    </row>
    <row r="42327" customHeight="1" spans="2:2">
      <c r="B42327" s="62" t="str">
        <f>IF(AND('领用录入（明细）'!D:D=$F$4,'领用录入（明细）'!C:C&gt;=$J$4,'领用录入（明细）'!C:C&lt;=$L$4),ROW(),"-")</f>
        <v>-</v>
      </c>
    </row>
    <row r="42328" customHeight="1" spans="2:2">
      <c r="B42328" s="62" t="str">
        <f>IF(AND('领用录入（明细）'!D:D=$F$4,'领用录入（明细）'!C:C&gt;=$J$4,'领用录入（明细）'!C:C&lt;=$L$4),ROW(),"-")</f>
        <v>-</v>
      </c>
    </row>
    <row r="42329" customHeight="1" spans="2:2">
      <c r="B42329" s="62" t="str">
        <f>IF(AND('领用录入（明细）'!D:D=$F$4,'领用录入（明细）'!C:C&gt;=$J$4,'领用录入（明细）'!C:C&lt;=$L$4),ROW(),"-")</f>
        <v>-</v>
      </c>
    </row>
    <row r="42330" customHeight="1" spans="2:2">
      <c r="B42330" s="62" t="str">
        <f>IF(AND('领用录入（明细）'!D:D=$F$4,'领用录入（明细）'!C:C&gt;=$J$4,'领用录入（明细）'!C:C&lt;=$L$4),ROW(),"-")</f>
        <v>-</v>
      </c>
    </row>
    <row r="42331" customHeight="1" spans="2:2">
      <c r="B42331" s="62" t="str">
        <f>IF(AND('领用录入（明细）'!D:D=$F$4,'领用录入（明细）'!C:C&gt;=$J$4,'领用录入（明细）'!C:C&lt;=$L$4),ROW(),"-")</f>
        <v>-</v>
      </c>
    </row>
    <row r="42332" customHeight="1" spans="2:2">
      <c r="B42332" s="62" t="str">
        <f>IF(AND('领用录入（明细）'!D:D=$F$4,'领用录入（明细）'!C:C&gt;=$J$4,'领用录入（明细）'!C:C&lt;=$L$4),ROW(),"-")</f>
        <v>-</v>
      </c>
    </row>
    <row r="42333" customHeight="1" spans="2:2">
      <c r="B42333" s="62" t="str">
        <f>IF(AND('领用录入（明细）'!D:D=$F$4,'领用录入（明细）'!C:C&gt;=$J$4,'领用录入（明细）'!C:C&lt;=$L$4),ROW(),"-")</f>
        <v>-</v>
      </c>
    </row>
    <row r="42334" customHeight="1" spans="2:2">
      <c r="B42334" s="62" t="str">
        <f>IF(AND('领用录入（明细）'!D:D=$F$4,'领用录入（明细）'!C:C&gt;=$J$4,'领用录入（明细）'!C:C&lt;=$L$4),ROW(),"-")</f>
        <v>-</v>
      </c>
    </row>
    <row r="42335" customHeight="1" spans="2:2">
      <c r="B42335" s="62" t="str">
        <f>IF(AND('领用录入（明细）'!D:D=$F$4,'领用录入（明细）'!C:C&gt;=$J$4,'领用录入（明细）'!C:C&lt;=$L$4),ROW(),"-")</f>
        <v>-</v>
      </c>
    </row>
    <row r="42336" customHeight="1" spans="2:2">
      <c r="B42336" s="62" t="str">
        <f>IF(AND('领用录入（明细）'!D:D=$F$4,'领用录入（明细）'!C:C&gt;=$J$4,'领用录入（明细）'!C:C&lt;=$L$4),ROW(),"-")</f>
        <v>-</v>
      </c>
    </row>
    <row r="42337" customHeight="1" spans="2:2">
      <c r="B42337" s="62" t="str">
        <f>IF(AND('领用录入（明细）'!D:D=$F$4,'领用录入（明细）'!C:C&gt;=$J$4,'领用录入（明细）'!C:C&lt;=$L$4),ROW(),"-")</f>
        <v>-</v>
      </c>
    </row>
    <row r="42338" customHeight="1" spans="2:2">
      <c r="B42338" s="62" t="str">
        <f>IF(AND('领用录入（明细）'!D:D=$F$4,'领用录入（明细）'!C:C&gt;=$J$4,'领用录入（明细）'!C:C&lt;=$L$4),ROW(),"-")</f>
        <v>-</v>
      </c>
    </row>
    <row r="42339" customHeight="1" spans="2:2">
      <c r="B42339" s="62" t="str">
        <f>IF(AND('领用录入（明细）'!D:D=$F$4,'领用录入（明细）'!C:C&gt;=$J$4,'领用录入（明细）'!C:C&lt;=$L$4),ROW(),"-")</f>
        <v>-</v>
      </c>
    </row>
    <row r="42340" customHeight="1" spans="2:2">
      <c r="B42340" s="62" t="str">
        <f>IF(AND('领用录入（明细）'!D:D=$F$4,'领用录入（明细）'!C:C&gt;=$J$4,'领用录入（明细）'!C:C&lt;=$L$4),ROW(),"-")</f>
        <v>-</v>
      </c>
    </row>
    <row r="42341" customHeight="1" spans="2:2">
      <c r="B42341" s="62" t="str">
        <f>IF(AND('领用录入（明细）'!D:D=$F$4,'领用录入（明细）'!C:C&gt;=$J$4,'领用录入（明细）'!C:C&lt;=$L$4),ROW(),"-")</f>
        <v>-</v>
      </c>
    </row>
    <row r="42342" customHeight="1" spans="2:2">
      <c r="B42342" s="62" t="str">
        <f>IF(AND('领用录入（明细）'!D:D=$F$4,'领用录入（明细）'!C:C&gt;=$J$4,'领用录入（明细）'!C:C&lt;=$L$4),ROW(),"-")</f>
        <v>-</v>
      </c>
    </row>
    <row r="42343" customHeight="1" spans="2:2">
      <c r="B42343" s="62" t="str">
        <f>IF(AND('领用录入（明细）'!D:D=$F$4,'领用录入（明细）'!C:C&gt;=$J$4,'领用录入（明细）'!C:C&lt;=$L$4),ROW(),"-")</f>
        <v>-</v>
      </c>
    </row>
    <row r="42344" customHeight="1" spans="2:2">
      <c r="B42344" s="62" t="str">
        <f>IF(AND('领用录入（明细）'!D:D=$F$4,'领用录入（明细）'!C:C&gt;=$J$4,'领用录入（明细）'!C:C&lt;=$L$4),ROW(),"-")</f>
        <v>-</v>
      </c>
    </row>
    <row r="42345" customHeight="1" spans="2:2">
      <c r="B42345" s="62" t="str">
        <f>IF(AND('领用录入（明细）'!D:D=$F$4,'领用录入（明细）'!C:C&gt;=$J$4,'领用录入（明细）'!C:C&lt;=$L$4),ROW(),"-")</f>
        <v>-</v>
      </c>
    </row>
    <row r="42346" customHeight="1" spans="2:2">
      <c r="B42346" s="62" t="str">
        <f>IF(AND('领用录入（明细）'!D:D=$F$4,'领用录入（明细）'!C:C&gt;=$J$4,'领用录入（明细）'!C:C&lt;=$L$4),ROW(),"-")</f>
        <v>-</v>
      </c>
    </row>
    <row r="42347" customHeight="1" spans="2:2">
      <c r="B42347" s="62" t="str">
        <f>IF(AND('领用录入（明细）'!D:D=$F$4,'领用录入（明细）'!C:C&gt;=$J$4,'领用录入（明细）'!C:C&lt;=$L$4),ROW(),"-")</f>
        <v>-</v>
      </c>
    </row>
    <row r="42348" customHeight="1" spans="2:2">
      <c r="B42348" s="62" t="str">
        <f>IF(AND('领用录入（明细）'!D:D=$F$4,'领用录入（明细）'!C:C&gt;=$J$4,'领用录入（明细）'!C:C&lt;=$L$4),ROW(),"-")</f>
        <v>-</v>
      </c>
    </row>
    <row r="42349" customHeight="1" spans="2:2">
      <c r="B42349" s="62" t="str">
        <f>IF(AND('领用录入（明细）'!D:D=$F$4,'领用录入（明细）'!C:C&gt;=$J$4,'领用录入（明细）'!C:C&lt;=$L$4),ROW(),"-")</f>
        <v>-</v>
      </c>
    </row>
    <row r="42350" customHeight="1" spans="2:2">
      <c r="B42350" s="62" t="str">
        <f>IF(AND('领用录入（明细）'!D:D=$F$4,'领用录入（明细）'!C:C&gt;=$J$4,'领用录入（明细）'!C:C&lt;=$L$4),ROW(),"-")</f>
        <v>-</v>
      </c>
    </row>
    <row r="42351" customHeight="1" spans="2:2">
      <c r="B42351" s="62" t="str">
        <f>IF(AND('领用录入（明细）'!D:D=$F$4,'领用录入（明细）'!C:C&gt;=$J$4,'领用录入（明细）'!C:C&lt;=$L$4),ROW(),"-")</f>
        <v>-</v>
      </c>
    </row>
    <row r="42352" customHeight="1" spans="2:2">
      <c r="B42352" s="62" t="str">
        <f>IF(AND('领用录入（明细）'!D:D=$F$4,'领用录入（明细）'!C:C&gt;=$J$4,'领用录入（明细）'!C:C&lt;=$L$4),ROW(),"-")</f>
        <v>-</v>
      </c>
    </row>
    <row r="42353" customHeight="1" spans="2:2">
      <c r="B42353" s="62" t="str">
        <f>IF(AND('领用录入（明细）'!D:D=$F$4,'领用录入（明细）'!C:C&gt;=$J$4,'领用录入（明细）'!C:C&lt;=$L$4),ROW(),"-")</f>
        <v>-</v>
      </c>
    </row>
    <row r="42354" customHeight="1" spans="2:2">
      <c r="B42354" s="62" t="str">
        <f>IF(AND('领用录入（明细）'!D:D=$F$4,'领用录入（明细）'!C:C&gt;=$J$4,'领用录入（明细）'!C:C&lt;=$L$4),ROW(),"-")</f>
        <v>-</v>
      </c>
    </row>
    <row r="42355" customHeight="1" spans="2:2">
      <c r="B42355" s="62" t="str">
        <f>IF(AND('领用录入（明细）'!D:D=$F$4,'领用录入（明细）'!C:C&gt;=$J$4,'领用录入（明细）'!C:C&lt;=$L$4),ROW(),"-")</f>
        <v>-</v>
      </c>
    </row>
    <row r="42356" customHeight="1" spans="2:2">
      <c r="B42356" s="62" t="str">
        <f>IF(AND('领用录入（明细）'!D:D=$F$4,'领用录入（明细）'!C:C&gt;=$J$4,'领用录入（明细）'!C:C&lt;=$L$4),ROW(),"-")</f>
        <v>-</v>
      </c>
    </row>
    <row r="42357" customHeight="1" spans="2:2">
      <c r="B42357" s="62" t="str">
        <f>IF(AND('领用录入（明细）'!D:D=$F$4,'领用录入（明细）'!C:C&gt;=$J$4,'领用录入（明细）'!C:C&lt;=$L$4),ROW(),"-")</f>
        <v>-</v>
      </c>
    </row>
    <row r="42358" customHeight="1" spans="2:2">
      <c r="B42358" s="62" t="str">
        <f>IF(AND('领用录入（明细）'!D:D=$F$4,'领用录入（明细）'!C:C&gt;=$J$4,'领用录入（明细）'!C:C&lt;=$L$4),ROW(),"-")</f>
        <v>-</v>
      </c>
    </row>
    <row r="42359" customHeight="1" spans="2:2">
      <c r="B42359" s="62" t="str">
        <f>IF(AND('领用录入（明细）'!D:D=$F$4,'领用录入（明细）'!C:C&gt;=$J$4,'领用录入（明细）'!C:C&lt;=$L$4),ROW(),"-")</f>
        <v>-</v>
      </c>
    </row>
    <row r="42360" customHeight="1" spans="2:2">
      <c r="B42360" s="62" t="str">
        <f>IF(AND('领用录入（明细）'!D:D=$F$4,'领用录入（明细）'!C:C&gt;=$J$4,'领用录入（明细）'!C:C&lt;=$L$4),ROW(),"-")</f>
        <v>-</v>
      </c>
    </row>
    <row r="42361" customHeight="1" spans="2:2">
      <c r="B42361" s="62" t="str">
        <f>IF(AND('领用录入（明细）'!D:D=$F$4,'领用录入（明细）'!C:C&gt;=$J$4,'领用录入（明细）'!C:C&lt;=$L$4),ROW(),"-")</f>
        <v>-</v>
      </c>
    </row>
    <row r="42362" customHeight="1" spans="2:2">
      <c r="B42362" s="62" t="str">
        <f>IF(AND('领用录入（明细）'!D:D=$F$4,'领用录入（明细）'!C:C&gt;=$J$4,'领用录入（明细）'!C:C&lt;=$L$4),ROW(),"-")</f>
        <v>-</v>
      </c>
    </row>
    <row r="42363" customHeight="1" spans="2:2">
      <c r="B42363" s="62" t="str">
        <f>IF(AND('领用录入（明细）'!D:D=$F$4,'领用录入（明细）'!C:C&gt;=$J$4,'领用录入（明细）'!C:C&lt;=$L$4),ROW(),"-")</f>
        <v>-</v>
      </c>
    </row>
    <row r="42364" customHeight="1" spans="2:2">
      <c r="B42364" s="62" t="str">
        <f>IF(AND('领用录入（明细）'!D:D=$F$4,'领用录入（明细）'!C:C&gt;=$J$4,'领用录入（明细）'!C:C&lt;=$L$4),ROW(),"-")</f>
        <v>-</v>
      </c>
    </row>
    <row r="42365" customHeight="1" spans="2:2">
      <c r="B42365" s="62" t="str">
        <f>IF(AND('领用录入（明细）'!D:D=$F$4,'领用录入（明细）'!C:C&gt;=$J$4,'领用录入（明细）'!C:C&lt;=$L$4),ROW(),"-")</f>
        <v>-</v>
      </c>
    </row>
    <row r="42366" customHeight="1" spans="2:2">
      <c r="B42366" s="62" t="str">
        <f>IF(AND('领用录入（明细）'!D:D=$F$4,'领用录入（明细）'!C:C&gt;=$J$4,'领用录入（明细）'!C:C&lt;=$L$4),ROW(),"-")</f>
        <v>-</v>
      </c>
    </row>
    <row r="42367" customHeight="1" spans="2:2">
      <c r="B42367" s="62" t="str">
        <f>IF(AND('领用录入（明细）'!D:D=$F$4,'领用录入（明细）'!C:C&gt;=$J$4,'领用录入（明细）'!C:C&lt;=$L$4),ROW(),"-")</f>
        <v>-</v>
      </c>
    </row>
    <row r="42368" customHeight="1" spans="2:2">
      <c r="B42368" s="62" t="str">
        <f>IF(AND('领用录入（明细）'!D:D=$F$4,'领用录入（明细）'!C:C&gt;=$J$4,'领用录入（明细）'!C:C&lt;=$L$4),ROW(),"-")</f>
        <v>-</v>
      </c>
    </row>
    <row r="42369" customHeight="1" spans="2:2">
      <c r="B42369" s="62" t="str">
        <f>IF(AND('领用录入（明细）'!D:D=$F$4,'领用录入（明细）'!C:C&gt;=$J$4,'领用录入（明细）'!C:C&lt;=$L$4),ROW(),"-")</f>
        <v>-</v>
      </c>
    </row>
    <row r="42370" customHeight="1" spans="2:2">
      <c r="B42370" s="62" t="str">
        <f>IF(AND('领用录入（明细）'!D:D=$F$4,'领用录入（明细）'!C:C&gt;=$J$4,'领用录入（明细）'!C:C&lt;=$L$4),ROW(),"-")</f>
        <v>-</v>
      </c>
    </row>
    <row r="42371" customHeight="1" spans="2:2">
      <c r="B42371" s="62" t="str">
        <f>IF(AND('领用录入（明细）'!D:D=$F$4,'领用录入（明细）'!C:C&gt;=$J$4,'领用录入（明细）'!C:C&lt;=$L$4),ROW(),"-")</f>
        <v>-</v>
      </c>
    </row>
    <row r="42372" customHeight="1" spans="2:2">
      <c r="B42372" s="62" t="str">
        <f>IF(AND('领用录入（明细）'!D:D=$F$4,'领用录入（明细）'!C:C&gt;=$J$4,'领用录入（明细）'!C:C&lt;=$L$4),ROW(),"-")</f>
        <v>-</v>
      </c>
    </row>
    <row r="42373" customHeight="1" spans="2:2">
      <c r="B42373" s="62" t="str">
        <f>IF(AND('领用录入（明细）'!D:D=$F$4,'领用录入（明细）'!C:C&gt;=$J$4,'领用录入（明细）'!C:C&lt;=$L$4),ROW(),"-")</f>
        <v>-</v>
      </c>
    </row>
    <row r="42374" customHeight="1" spans="2:2">
      <c r="B42374" s="62" t="str">
        <f>IF(AND('领用录入（明细）'!D:D=$F$4,'领用录入（明细）'!C:C&gt;=$J$4,'领用录入（明细）'!C:C&lt;=$L$4),ROW(),"-")</f>
        <v>-</v>
      </c>
    </row>
    <row r="42375" customHeight="1" spans="2:2">
      <c r="B42375" s="62" t="str">
        <f>IF(AND('领用录入（明细）'!D:D=$F$4,'领用录入（明细）'!C:C&gt;=$J$4,'领用录入（明细）'!C:C&lt;=$L$4),ROW(),"-")</f>
        <v>-</v>
      </c>
    </row>
    <row r="42376" customHeight="1" spans="2:2">
      <c r="B42376" s="62" t="str">
        <f>IF(AND('领用录入（明细）'!D:D=$F$4,'领用录入（明细）'!C:C&gt;=$J$4,'领用录入（明细）'!C:C&lt;=$L$4),ROW(),"-")</f>
        <v>-</v>
      </c>
    </row>
    <row r="42377" customHeight="1" spans="2:2">
      <c r="B42377" s="62" t="str">
        <f>IF(AND('领用录入（明细）'!D:D=$F$4,'领用录入（明细）'!C:C&gt;=$J$4,'领用录入（明细）'!C:C&lt;=$L$4),ROW(),"-")</f>
        <v>-</v>
      </c>
    </row>
    <row r="42378" customHeight="1" spans="2:2">
      <c r="B42378" s="62" t="str">
        <f>IF(AND('领用录入（明细）'!D:D=$F$4,'领用录入（明细）'!C:C&gt;=$J$4,'领用录入（明细）'!C:C&lt;=$L$4),ROW(),"-")</f>
        <v>-</v>
      </c>
    </row>
    <row r="42379" customHeight="1" spans="2:2">
      <c r="B42379" s="62" t="str">
        <f>IF(AND('领用录入（明细）'!D:D=$F$4,'领用录入（明细）'!C:C&gt;=$J$4,'领用录入（明细）'!C:C&lt;=$L$4),ROW(),"-")</f>
        <v>-</v>
      </c>
    </row>
    <row r="42380" customHeight="1" spans="2:2">
      <c r="B42380" s="62" t="str">
        <f>IF(AND('领用录入（明细）'!D:D=$F$4,'领用录入（明细）'!C:C&gt;=$J$4,'领用录入（明细）'!C:C&lt;=$L$4),ROW(),"-")</f>
        <v>-</v>
      </c>
    </row>
    <row r="42381" customHeight="1" spans="2:2">
      <c r="B42381" s="62" t="str">
        <f>IF(AND('领用录入（明细）'!D:D=$F$4,'领用录入（明细）'!C:C&gt;=$J$4,'领用录入（明细）'!C:C&lt;=$L$4),ROW(),"-")</f>
        <v>-</v>
      </c>
    </row>
    <row r="42382" customHeight="1" spans="2:2">
      <c r="B42382" s="62" t="str">
        <f>IF(AND('领用录入（明细）'!D:D=$F$4,'领用录入（明细）'!C:C&gt;=$J$4,'领用录入（明细）'!C:C&lt;=$L$4),ROW(),"-")</f>
        <v>-</v>
      </c>
    </row>
    <row r="42383" customHeight="1" spans="2:2">
      <c r="B42383" s="62" t="str">
        <f>IF(AND('领用录入（明细）'!D:D=$F$4,'领用录入（明细）'!C:C&gt;=$J$4,'领用录入（明细）'!C:C&lt;=$L$4),ROW(),"-")</f>
        <v>-</v>
      </c>
    </row>
    <row r="42384" customHeight="1" spans="2:2">
      <c r="B42384" s="62" t="str">
        <f>IF(AND('领用录入（明细）'!D:D=$F$4,'领用录入（明细）'!C:C&gt;=$J$4,'领用录入（明细）'!C:C&lt;=$L$4),ROW(),"-")</f>
        <v>-</v>
      </c>
    </row>
    <row r="42385" customHeight="1" spans="2:2">
      <c r="B42385" s="62" t="str">
        <f>IF(AND('领用录入（明细）'!D:D=$F$4,'领用录入（明细）'!C:C&gt;=$J$4,'领用录入（明细）'!C:C&lt;=$L$4),ROW(),"-")</f>
        <v>-</v>
      </c>
    </row>
    <row r="42386" customHeight="1" spans="2:2">
      <c r="B42386" s="62" t="str">
        <f>IF(AND('领用录入（明细）'!D:D=$F$4,'领用录入（明细）'!C:C&gt;=$J$4,'领用录入（明细）'!C:C&lt;=$L$4),ROW(),"-")</f>
        <v>-</v>
      </c>
    </row>
    <row r="42387" customHeight="1" spans="2:2">
      <c r="B42387" s="62" t="str">
        <f>IF(AND('领用录入（明细）'!D:D=$F$4,'领用录入（明细）'!C:C&gt;=$J$4,'领用录入（明细）'!C:C&lt;=$L$4),ROW(),"-")</f>
        <v>-</v>
      </c>
    </row>
    <row r="42388" customHeight="1" spans="2:2">
      <c r="B42388" s="62" t="str">
        <f>IF(AND('领用录入（明细）'!D:D=$F$4,'领用录入（明细）'!C:C&gt;=$J$4,'领用录入（明细）'!C:C&lt;=$L$4),ROW(),"-")</f>
        <v>-</v>
      </c>
    </row>
    <row r="42389" customHeight="1" spans="2:2">
      <c r="B42389" s="62" t="str">
        <f>IF(AND('领用录入（明细）'!D:D=$F$4,'领用录入（明细）'!C:C&gt;=$J$4,'领用录入（明细）'!C:C&lt;=$L$4),ROW(),"-")</f>
        <v>-</v>
      </c>
    </row>
    <row r="42390" customHeight="1" spans="2:2">
      <c r="B42390" s="62" t="str">
        <f>IF(AND('领用录入（明细）'!D:D=$F$4,'领用录入（明细）'!C:C&gt;=$J$4,'领用录入（明细）'!C:C&lt;=$L$4),ROW(),"-")</f>
        <v>-</v>
      </c>
    </row>
    <row r="42391" customHeight="1" spans="2:2">
      <c r="B42391" s="62" t="str">
        <f>IF(AND('领用录入（明细）'!D:D=$F$4,'领用录入（明细）'!C:C&gt;=$J$4,'领用录入（明细）'!C:C&lt;=$L$4),ROW(),"-")</f>
        <v>-</v>
      </c>
    </row>
    <row r="42392" customHeight="1" spans="2:2">
      <c r="B42392" s="62" t="str">
        <f>IF(AND('领用录入（明细）'!D:D=$F$4,'领用录入（明细）'!C:C&gt;=$J$4,'领用录入（明细）'!C:C&lt;=$L$4),ROW(),"-")</f>
        <v>-</v>
      </c>
    </row>
    <row r="42393" customHeight="1" spans="2:2">
      <c r="B42393" s="62" t="str">
        <f>IF(AND('领用录入（明细）'!D:D=$F$4,'领用录入（明细）'!C:C&gt;=$J$4,'领用录入（明细）'!C:C&lt;=$L$4),ROW(),"-")</f>
        <v>-</v>
      </c>
    </row>
    <row r="42394" customHeight="1" spans="2:2">
      <c r="B42394" s="62" t="str">
        <f>IF(AND('领用录入（明细）'!D:D=$F$4,'领用录入（明细）'!C:C&gt;=$J$4,'领用录入（明细）'!C:C&lt;=$L$4),ROW(),"-")</f>
        <v>-</v>
      </c>
    </row>
    <row r="42395" customHeight="1" spans="2:2">
      <c r="B42395" s="62" t="str">
        <f>IF(AND('领用录入（明细）'!D:D=$F$4,'领用录入（明细）'!C:C&gt;=$J$4,'领用录入（明细）'!C:C&lt;=$L$4),ROW(),"-")</f>
        <v>-</v>
      </c>
    </row>
    <row r="42396" customHeight="1" spans="2:2">
      <c r="B42396" s="62" t="str">
        <f>IF(AND('领用录入（明细）'!D:D=$F$4,'领用录入（明细）'!C:C&gt;=$J$4,'领用录入（明细）'!C:C&lt;=$L$4),ROW(),"-")</f>
        <v>-</v>
      </c>
    </row>
    <row r="42397" customHeight="1" spans="2:2">
      <c r="B42397" s="62" t="str">
        <f>IF(AND('领用录入（明细）'!D:D=$F$4,'领用录入（明细）'!C:C&gt;=$J$4,'领用录入（明细）'!C:C&lt;=$L$4),ROW(),"-")</f>
        <v>-</v>
      </c>
    </row>
    <row r="42398" customHeight="1" spans="2:2">
      <c r="B42398" s="62" t="str">
        <f>IF(AND('领用录入（明细）'!D:D=$F$4,'领用录入（明细）'!C:C&gt;=$J$4,'领用录入（明细）'!C:C&lt;=$L$4),ROW(),"-")</f>
        <v>-</v>
      </c>
    </row>
    <row r="42399" customHeight="1" spans="2:2">
      <c r="B42399" s="62" t="str">
        <f>IF(AND('领用录入（明细）'!D:D=$F$4,'领用录入（明细）'!C:C&gt;=$J$4,'领用录入（明细）'!C:C&lt;=$L$4),ROW(),"-")</f>
        <v>-</v>
      </c>
    </row>
    <row r="42400" customHeight="1" spans="2:2">
      <c r="B42400" s="62" t="str">
        <f>IF(AND('领用录入（明细）'!D:D=$F$4,'领用录入（明细）'!C:C&gt;=$J$4,'领用录入（明细）'!C:C&lt;=$L$4),ROW(),"-")</f>
        <v>-</v>
      </c>
    </row>
    <row r="42401" customHeight="1" spans="2:2">
      <c r="B42401" s="62" t="str">
        <f>IF(AND('领用录入（明细）'!D:D=$F$4,'领用录入（明细）'!C:C&gt;=$J$4,'领用录入（明细）'!C:C&lt;=$L$4),ROW(),"-")</f>
        <v>-</v>
      </c>
    </row>
    <row r="42402" customHeight="1" spans="2:2">
      <c r="B42402" s="62" t="str">
        <f>IF(AND('领用录入（明细）'!D:D=$F$4,'领用录入（明细）'!C:C&gt;=$J$4,'领用录入（明细）'!C:C&lt;=$L$4),ROW(),"-")</f>
        <v>-</v>
      </c>
    </row>
    <row r="42403" customHeight="1" spans="2:2">
      <c r="B42403" s="62" t="str">
        <f>IF(AND('领用录入（明细）'!D:D=$F$4,'领用录入（明细）'!C:C&gt;=$J$4,'领用录入（明细）'!C:C&lt;=$L$4),ROW(),"-")</f>
        <v>-</v>
      </c>
    </row>
    <row r="42404" customHeight="1" spans="2:2">
      <c r="B42404" s="62" t="str">
        <f>IF(AND('领用录入（明细）'!D:D=$F$4,'领用录入（明细）'!C:C&gt;=$J$4,'领用录入（明细）'!C:C&lt;=$L$4),ROW(),"-")</f>
        <v>-</v>
      </c>
    </row>
    <row r="42405" customHeight="1" spans="2:2">
      <c r="B42405" s="62" t="str">
        <f>IF(AND('领用录入（明细）'!D:D=$F$4,'领用录入（明细）'!C:C&gt;=$J$4,'领用录入（明细）'!C:C&lt;=$L$4),ROW(),"-")</f>
        <v>-</v>
      </c>
    </row>
    <row r="42406" customHeight="1" spans="2:2">
      <c r="B42406" s="62" t="str">
        <f>IF(AND('领用录入（明细）'!D:D=$F$4,'领用录入（明细）'!C:C&gt;=$J$4,'领用录入（明细）'!C:C&lt;=$L$4),ROW(),"-")</f>
        <v>-</v>
      </c>
    </row>
    <row r="42407" customHeight="1" spans="2:2">
      <c r="B42407" s="62" t="str">
        <f>IF(AND('领用录入（明细）'!D:D=$F$4,'领用录入（明细）'!C:C&gt;=$J$4,'领用录入（明细）'!C:C&lt;=$L$4),ROW(),"-")</f>
        <v>-</v>
      </c>
    </row>
    <row r="42408" customHeight="1" spans="2:2">
      <c r="B42408" s="62" t="str">
        <f>IF(AND('领用录入（明细）'!D:D=$F$4,'领用录入（明细）'!C:C&gt;=$J$4,'领用录入（明细）'!C:C&lt;=$L$4),ROW(),"-")</f>
        <v>-</v>
      </c>
    </row>
    <row r="42409" customHeight="1" spans="2:2">
      <c r="B42409" s="62" t="str">
        <f>IF(AND('领用录入（明细）'!D:D=$F$4,'领用录入（明细）'!C:C&gt;=$J$4,'领用录入（明细）'!C:C&lt;=$L$4),ROW(),"-")</f>
        <v>-</v>
      </c>
    </row>
    <row r="42410" customHeight="1" spans="2:2">
      <c r="B42410" s="62" t="str">
        <f>IF(AND('领用录入（明细）'!D:D=$F$4,'领用录入（明细）'!C:C&gt;=$J$4,'领用录入（明细）'!C:C&lt;=$L$4),ROW(),"-")</f>
        <v>-</v>
      </c>
    </row>
    <row r="42411" customHeight="1" spans="2:2">
      <c r="B42411" s="62" t="str">
        <f>IF(AND('领用录入（明细）'!D:D=$F$4,'领用录入（明细）'!C:C&gt;=$J$4,'领用录入（明细）'!C:C&lt;=$L$4),ROW(),"-")</f>
        <v>-</v>
      </c>
    </row>
    <row r="42412" customHeight="1" spans="2:2">
      <c r="B42412" s="62" t="str">
        <f>IF(AND('领用录入（明细）'!D:D=$F$4,'领用录入（明细）'!C:C&gt;=$J$4,'领用录入（明细）'!C:C&lt;=$L$4),ROW(),"-")</f>
        <v>-</v>
      </c>
    </row>
    <row r="42413" customHeight="1" spans="2:2">
      <c r="B42413" s="62" t="str">
        <f>IF(AND('领用录入（明细）'!D:D=$F$4,'领用录入（明细）'!C:C&gt;=$J$4,'领用录入（明细）'!C:C&lt;=$L$4),ROW(),"-")</f>
        <v>-</v>
      </c>
    </row>
    <row r="42414" customHeight="1" spans="2:2">
      <c r="B42414" s="62" t="str">
        <f>IF(AND('领用录入（明细）'!D:D=$F$4,'领用录入（明细）'!C:C&gt;=$J$4,'领用录入（明细）'!C:C&lt;=$L$4),ROW(),"-")</f>
        <v>-</v>
      </c>
    </row>
    <row r="42415" customHeight="1" spans="2:2">
      <c r="B42415" s="62" t="str">
        <f>IF(AND('领用录入（明细）'!D:D=$F$4,'领用录入（明细）'!C:C&gt;=$J$4,'领用录入（明细）'!C:C&lt;=$L$4),ROW(),"-")</f>
        <v>-</v>
      </c>
    </row>
    <row r="42416" customHeight="1" spans="2:2">
      <c r="B42416" s="62" t="str">
        <f>IF(AND('领用录入（明细）'!D:D=$F$4,'领用录入（明细）'!C:C&gt;=$J$4,'领用录入（明细）'!C:C&lt;=$L$4),ROW(),"-")</f>
        <v>-</v>
      </c>
    </row>
    <row r="42417" customHeight="1" spans="2:2">
      <c r="B42417" s="62" t="str">
        <f>IF(AND('领用录入（明细）'!D:D=$F$4,'领用录入（明细）'!C:C&gt;=$J$4,'领用录入（明细）'!C:C&lt;=$L$4),ROW(),"-")</f>
        <v>-</v>
      </c>
    </row>
    <row r="42418" customHeight="1" spans="2:2">
      <c r="B42418" s="62" t="str">
        <f>IF(AND('领用录入（明细）'!D:D=$F$4,'领用录入（明细）'!C:C&gt;=$J$4,'领用录入（明细）'!C:C&lt;=$L$4),ROW(),"-")</f>
        <v>-</v>
      </c>
    </row>
    <row r="42419" customHeight="1" spans="2:2">
      <c r="B42419" s="62" t="str">
        <f>IF(AND('领用录入（明细）'!D:D=$F$4,'领用录入（明细）'!C:C&gt;=$J$4,'领用录入（明细）'!C:C&lt;=$L$4),ROW(),"-")</f>
        <v>-</v>
      </c>
    </row>
    <row r="42420" customHeight="1" spans="2:2">
      <c r="B42420" s="62" t="str">
        <f>IF(AND('领用录入（明细）'!D:D=$F$4,'领用录入（明细）'!C:C&gt;=$J$4,'领用录入（明细）'!C:C&lt;=$L$4),ROW(),"-")</f>
        <v>-</v>
      </c>
    </row>
    <row r="42421" customHeight="1" spans="2:2">
      <c r="B42421" s="62" t="str">
        <f>IF(AND('领用录入（明细）'!D:D=$F$4,'领用录入（明细）'!C:C&gt;=$J$4,'领用录入（明细）'!C:C&lt;=$L$4),ROW(),"-")</f>
        <v>-</v>
      </c>
    </row>
    <row r="42422" customHeight="1" spans="2:2">
      <c r="B42422" s="62" t="str">
        <f>IF(AND('领用录入（明细）'!D:D=$F$4,'领用录入（明细）'!C:C&gt;=$J$4,'领用录入（明细）'!C:C&lt;=$L$4),ROW(),"-")</f>
        <v>-</v>
      </c>
    </row>
    <row r="42423" customHeight="1" spans="2:2">
      <c r="B42423" s="62" t="str">
        <f>IF(AND('领用录入（明细）'!D:D=$F$4,'领用录入（明细）'!C:C&gt;=$J$4,'领用录入（明细）'!C:C&lt;=$L$4),ROW(),"-")</f>
        <v>-</v>
      </c>
    </row>
    <row r="42424" customHeight="1" spans="2:2">
      <c r="B42424" s="62" t="str">
        <f>IF(AND('领用录入（明细）'!D:D=$F$4,'领用录入（明细）'!C:C&gt;=$J$4,'领用录入（明细）'!C:C&lt;=$L$4),ROW(),"-")</f>
        <v>-</v>
      </c>
    </row>
    <row r="42425" customHeight="1" spans="2:2">
      <c r="B42425" s="62" t="str">
        <f>IF(AND('领用录入（明细）'!D:D=$F$4,'领用录入（明细）'!C:C&gt;=$J$4,'领用录入（明细）'!C:C&lt;=$L$4),ROW(),"-")</f>
        <v>-</v>
      </c>
    </row>
    <row r="42426" customHeight="1" spans="2:2">
      <c r="B42426" s="62" t="str">
        <f>IF(AND('领用录入（明细）'!D:D=$F$4,'领用录入（明细）'!C:C&gt;=$J$4,'领用录入（明细）'!C:C&lt;=$L$4),ROW(),"-")</f>
        <v>-</v>
      </c>
    </row>
    <row r="42427" customHeight="1" spans="2:2">
      <c r="B42427" s="62" t="str">
        <f>IF(AND('领用录入（明细）'!D:D=$F$4,'领用录入（明细）'!C:C&gt;=$J$4,'领用录入（明细）'!C:C&lt;=$L$4),ROW(),"-")</f>
        <v>-</v>
      </c>
    </row>
    <row r="42428" customHeight="1" spans="2:2">
      <c r="B42428" s="62" t="str">
        <f>IF(AND('领用录入（明细）'!D:D=$F$4,'领用录入（明细）'!C:C&gt;=$J$4,'领用录入（明细）'!C:C&lt;=$L$4),ROW(),"-")</f>
        <v>-</v>
      </c>
    </row>
    <row r="42429" customHeight="1" spans="2:2">
      <c r="B42429" s="62" t="str">
        <f>IF(AND('领用录入（明细）'!D:D=$F$4,'领用录入（明细）'!C:C&gt;=$J$4,'领用录入（明细）'!C:C&lt;=$L$4),ROW(),"-")</f>
        <v>-</v>
      </c>
    </row>
    <row r="42430" customHeight="1" spans="2:2">
      <c r="B42430" s="62" t="str">
        <f>IF(AND('领用录入（明细）'!D:D=$F$4,'领用录入（明细）'!C:C&gt;=$J$4,'领用录入（明细）'!C:C&lt;=$L$4),ROW(),"-")</f>
        <v>-</v>
      </c>
    </row>
    <row r="42431" customHeight="1" spans="2:2">
      <c r="B42431" s="62" t="str">
        <f>IF(AND('领用录入（明细）'!D:D=$F$4,'领用录入（明细）'!C:C&gt;=$J$4,'领用录入（明细）'!C:C&lt;=$L$4),ROW(),"-")</f>
        <v>-</v>
      </c>
    </row>
    <row r="42432" customHeight="1" spans="2:2">
      <c r="B42432" s="62" t="str">
        <f>IF(AND('领用录入（明细）'!D:D=$F$4,'领用录入（明细）'!C:C&gt;=$J$4,'领用录入（明细）'!C:C&lt;=$L$4),ROW(),"-")</f>
        <v>-</v>
      </c>
    </row>
    <row r="42433" customHeight="1" spans="2:2">
      <c r="B42433" s="62" t="str">
        <f>IF(AND('领用录入（明细）'!D:D=$F$4,'领用录入（明细）'!C:C&gt;=$J$4,'领用录入（明细）'!C:C&lt;=$L$4),ROW(),"-")</f>
        <v>-</v>
      </c>
    </row>
    <row r="42434" customHeight="1" spans="2:2">
      <c r="B42434" s="62" t="str">
        <f>IF(AND('领用录入（明细）'!D:D=$F$4,'领用录入（明细）'!C:C&gt;=$J$4,'领用录入（明细）'!C:C&lt;=$L$4),ROW(),"-")</f>
        <v>-</v>
      </c>
    </row>
    <row r="42435" customHeight="1" spans="2:2">
      <c r="B42435" s="62" t="str">
        <f>IF(AND('领用录入（明细）'!D:D=$F$4,'领用录入（明细）'!C:C&gt;=$J$4,'领用录入（明细）'!C:C&lt;=$L$4),ROW(),"-")</f>
        <v>-</v>
      </c>
    </row>
    <row r="42436" customHeight="1" spans="2:2">
      <c r="B42436" s="62" t="str">
        <f>IF(AND('领用录入（明细）'!D:D=$F$4,'领用录入（明细）'!C:C&gt;=$J$4,'领用录入（明细）'!C:C&lt;=$L$4),ROW(),"-")</f>
        <v>-</v>
      </c>
    </row>
    <row r="42437" customHeight="1" spans="2:2">
      <c r="B42437" s="62" t="str">
        <f>IF(AND('领用录入（明细）'!D:D=$F$4,'领用录入（明细）'!C:C&gt;=$J$4,'领用录入（明细）'!C:C&lt;=$L$4),ROW(),"-")</f>
        <v>-</v>
      </c>
    </row>
    <row r="42438" customHeight="1" spans="2:2">
      <c r="B42438" s="62" t="str">
        <f>IF(AND('领用录入（明细）'!D:D=$F$4,'领用录入（明细）'!C:C&gt;=$J$4,'领用录入（明细）'!C:C&lt;=$L$4),ROW(),"-")</f>
        <v>-</v>
      </c>
    </row>
    <row r="42439" customHeight="1" spans="2:2">
      <c r="B42439" s="62" t="str">
        <f>IF(AND('领用录入（明细）'!D:D=$F$4,'领用录入（明细）'!C:C&gt;=$J$4,'领用录入（明细）'!C:C&lt;=$L$4),ROW(),"-")</f>
        <v>-</v>
      </c>
    </row>
    <row r="42440" customHeight="1" spans="2:2">
      <c r="B42440" s="62" t="str">
        <f>IF(AND('领用录入（明细）'!D:D=$F$4,'领用录入（明细）'!C:C&gt;=$J$4,'领用录入（明细）'!C:C&lt;=$L$4),ROW(),"-")</f>
        <v>-</v>
      </c>
    </row>
    <row r="42441" customHeight="1" spans="2:2">
      <c r="B42441" s="62" t="str">
        <f>IF(AND('领用录入（明细）'!D:D=$F$4,'领用录入（明细）'!C:C&gt;=$J$4,'领用录入（明细）'!C:C&lt;=$L$4),ROW(),"-")</f>
        <v>-</v>
      </c>
    </row>
    <row r="42442" customHeight="1" spans="2:2">
      <c r="B42442" s="62" t="str">
        <f>IF(AND('领用录入（明细）'!D:D=$F$4,'领用录入（明细）'!C:C&gt;=$J$4,'领用录入（明细）'!C:C&lt;=$L$4),ROW(),"-")</f>
        <v>-</v>
      </c>
    </row>
    <row r="42443" customHeight="1" spans="2:2">
      <c r="B42443" s="62" t="str">
        <f>IF(AND('领用录入（明细）'!D:D=$F$4,'领用录入（明细）'!C:C&gt;=$J$4,'领用录入（明细）'!C:C&lt;=$L$4),ROW(),"-")</f>
        <v>-</v>
      </c>
    </row>
    <row r="42444" customHeight="1" spans="2:2">
      <c r="B42444" s="62" t="str">
        <f>IF(AND('领用录入（明细）'!D:D=$F$4,'领用录入（明细）'!C:C&gt;=$J$4,'领用录入（明细）'!C:C&lt;=$L$4),ROW(),"-")</f>
        <v>-</v>
      </c>
    </row>
    <row r="42445" customHeight="1" spans="2:2">
      <c r="B42445" s="62" t="str">
        <f>IF(AND('领用录入（明细）'!D:D=$F$4,'领用录入（明细）'!C:C&gt;=$J$4,'领用录入（明细）'!C:C&lt;=$L$4),ROW(),"-")</f>
        <v>-</v>
      </c>
    </row>
    <row r="42446" customHeight="1" spans="2:2">
      <c r="B42446" s="62" t="str">
        <f>IF(AND('领用录入（明细）'!D:D=$F$4,'领用录入（明细）'!C:C&gt;=$J$4,'领用录入（明细）'!C:C&lt;=$L$4),ROW(),"-")</f>
        <v>-</v>
      </c>
    </row>
    <row r="42447" customHeight="1" spans="2:2">
      <c r="B42447" s="62" t="str">
        <f>IF(AND('领用录入（明细）'!D:D=$F$4,'领用录入（明细）'!C:C&gt;=$J$4,'领用录入（明细）'!C:C&lt;=$L$4),ROW(),"-")</f>
        <v>-</v>
      </c>
    </row>
    <row r="42448" customHeight="1" spans="2:2">
      <c r="B42448" s="62" t="str">
        <f>IF(AND('领用录入（明细）'!D:D=$F$4,'领用录入（明细）'!C:C&gt;=$J$4,'领用录入（明细）'!C:C&lt;=$L$4),ROW(),"-")</f>
        <v>-</v>
      </c>
    </row>
    <row r="42449" customHeight="1" spans="2:2">
      <c r="B42449" s="62" t="str">
        <f>IF(AND('领用录入（明细）'!D:D=$F$4,'领用录入（明细）'!C:C&gt;=$J$4,'领用录入（明细）'!C:C&lt;=$L$4),ROW(),"-")</f>
        <v>-</v>
      </c>
    </row>
    <row r="42450" customHeight="1" spans="2:2">
      <c r="B42450" s="62" t="str">
        <f>IF(AND('领用录入（明细）'!D:D=$F$4,'领用录入（明细）'!C:C&gt;=$J$4,'领用录入（明细）'!C:C&lt;=$L$4),ROW(),"-")</f>
        <v>-</v>
      </c>
    </row>
    <row r="42451" customHeight="1" spans="2:2">
      <c r="B42451" s="62" t="str">
        <f>IF(AND('领用录入（明细）'!D:D=$F$4,'领用录入（明细）'!C:C&gt;=$J$4,'领用录入（明细）'!C:C&lt;=$L$4),ROW(),"-")</f>
        <v>-</v>
      </c>
    </row>
    <row r="42452" customHeight="1" spans="2:2">
      <c r="B42452" s="62" t="str">
        <f>IF(AND('领用录入（明细）'!D:D=$F$4,'领用录入（明细）'!C:C&gt;=$J$4,'领用录入（明细）'!C:C&lt;=$L$4),ROW(),"-")</f>
        <v>-</v>
      </c>
    </row>
    <row r="42453" customHeight="1" spans="2:2">
      <c r="B42453" s="62" t="str">
        <f>IF(AND('领用录入（明细）'!D:D=$F$4,'领用录入（明细）'!C:C&gt;=$J$4,'领用录入（明细）'!C:C&lt;=$L$4),ROW(),"-")</f>
        <v>-</v>
      </c>
    </row>
    <row r="42454" customHeight="1" spans="2:2">
      <c r="B42454" s="62" t="str">
        <f>IF(AND('领用录入（明细）'!D:D=$F$4,'领用录入（明细）'!C:C&gt;=$J$4,'领用录入（明细）'!C:C&lt;=$L$4),ROW(),"-")</f>
        <v>-</v>
      </c>
    </row>
    <row r="42455" customHeight="1" spans="2:2">
      <c r="B42455" s="62" t="str">
        <f>IF(AND('领用录入（明细）'!D:D=$F$4,'领用录入（明细）'!C:C&gt;=$J$4,'领用录入（明细）'!C:C&lt;=$L$4),ROW(),"-")</f>
        <v>-</v>
      </c>
    </row>
    <row r="42456" customHeight="1" spans="2:2">
      <c r="B42456" s="62" t="str">
        <f>IF(AND('领用录入（明细）'!D:D=$F$4,'领用录入（明细）'!C:C&gt;=$J$4,'领用录入（明细）'!C:C&lt;=$L$4),ROW(),"-")</f>
        <v>-</v>
      </c>
    </row>
    <row r="42457" customHeight="1" spans="2:2">
      <c r="B42457" s="62" t="str">
        <f>IF(AND('领用录入（明细）'!D:D=$F$4,'领用录入（明细）'!C:C&gt;=$J$4,'领用录入（明细）'!C:C&lt;=$L$4),ROW(),"-")</f>
        <v>-</v>
      </c>
    </row>
    <row r="42458" customHeight="1" spans="2:2">
      <c r="B42458" s="62" t="str">
        <f>IF(AND('领用录入（明细）'!D:D=$F$4,'领用录入（明细）'!C:C&gt;=$J$4,'领用录入（明细）'!C:C&lt;=$L$4),ROW(),"-")</f>
        <v>-</v>
      </c>
    </row>
    <row r="42459" customHeight="1" spans="2:2">
      <c r="B42459" s="62" t="str">
        <f>IF(AND('领用录入（明细）'!D:D=$F$4,'领用录入（明细）'!C:C&gt;=$J$4,'领用录入（明细）'!C:C&lt;=$L$4),ROW(),"-")</f>
        <v>-</v>
      </c>
    </row>
    <row r="42460" customHeight="1" spans="2:2">
      <c r="B42460" s="62" t="str">
        <f>IF(AND('领用录入（明细）'!D:D=$F$4,'领用录入（明细）'!C:C&gt;=$J$4,'领用录入（明细）'!C:C&lt;=$L$4),ROW(),"-")</f>
        <v>-</v>
      </c>
    </row>
    <row r="42461" customHeight="1" spans="2:2">
      <c r="B42461" s="62" t="str">
        <f>IF(AND('领用录入（明细）'!D:D=$F$4,'领用录入（明细）'!C:C&gt;=$J$4,'领用录入（明细）'!C:C&lt;=$L$4),ROW(),"-")</f>
        <v>-</v>
      </c>
    </row>
    <row r="42462" customHeight="1" spans="2:2">
      <c r="B42462" s="62" t="str">
        <f>IF(AND('领用录入（明细）'!D:D=$F$4,'领用录入（明细）'!C:C&gt;=$J$4,'领用录入（明细）'!C:C&lt;=$L$4),ROW(),"-")</f>
        <v>-</v>
      </c>
    </row>
    <row r="42463" customHeight="1" spans="2:2">
      <c r="B42463" s="62" t="str">
        <f>IF(AND('领用录入（明细）'!D:D=$F$4,'领用录入（明细）'!C:C&gt;=$J$4,'领用录入（明细）'!C:C&lt;=$L$4),ROW(),"-")</f>
        <v>-</v>
      </c>
    </row>
    <row r="42464" customHeight="1" spans="2:2">
      <c r="B42464" s="62" t="str">
        <f>IF(AND('领用录入（明细）'!D:D=$F$4,'领用录入（明细）'!C:C&gt;=$J$4,'领用录入（明细）'!C:C&lt;=$L$4),ROW(),"-")</f>
        <v>-</v>
      </c>
    </row>
    <row r="42465" customHeight="1" spans="2:2">
      <c r="B42465" s="62" t="str">
        <f>IF(AND('领用录入（明细）'!D:D=$F$4,'领用录入（明细）'!C:C&gt;=$J$4,'领用录入（明细）'!C:C&lt;=$L$4),ROW(),"-")</f>
        <v>-</v>
      </c>
    </row>
    <row r="42466" customHeight="1" spans="2:2">
      <c r="B42466" s="62" t="str">
        <f>IF(AND('领用录入（明细）'!D:D=$F$4,'领用录入（明细）'!C:C&gt;=$J$4,'领用录入（明细）'!C:C&lt;=$L$4),ROW(),"-")</f>
        <v>-</v>
      </c>
    </row>
    <row r="42467" customHeight="1" spans="2:2">
      <c r="B42467" s="62" t="str">
        <f>IF(AND('领用录入（明细）'!D:D=$F$4,'领用录入（明细）'!C:C&gt;=$J$4,'领用录入（明细）'!C:C&lt;=$L$4),ROW(),"-")</f>
        <v>-</v>
      </c>
    </row>
    <row r="42468" customHeight="1" spans="2:2">
      <c r="B42468" s="62" t="str">
        <f>IF(AND('领用录入（明细）'!D:D=$F$4,'领用录入（明细）'!C:C&gt;=$J$4,'领用录入（明细）'!C:C&lt;=$L$4),ROW(),"-")</f>
        <v>-</v>
      </c>
    </row>
    <row r="42469" customHeight="1" spans="2:2">
      <c r="B42469" s="62" t="str">
        <f>IF(AND('领用录入（明细）'!D:D=$F$4,'领用录入（明细）'!C:C&gt;=$J$4,'领用录入（明细）'!C:C&lt;=$L$4),ROW(),"-")</f>
        <v>-</v>
      </c>
    </row>
    <row r="42470" customHeight="1" spans="2:2">
      <c r="B42470" s="62" t="str">
        <f>IF(AND('领用录入（明细）'!D:D=$F$4,'领用录入（明细）'!C:C&gt;=$J$4,'领用录入（明细）'!C:C&lt;=$L$4),ROW(),"-")</f>
        <v>-</v>
      </c>
    </row>
    <row r="42471" customHeight="1" spans="2:2">
      <c r="B42471" s="62" t="str">
        <f>IF(AND('领用录入（明细）'!D:D=$F$4,'领用录入（明细）'!C:C&gt;=$J$4,'领用录入（明细）'!C:C&lt;=$L$4),ROW(),"-")</f>
        <v>-</v>
      </c>
    </row>
    <row r="42472" customHeight="1" spans="2:2">
      <c r="B42472" s="62" t="str">
        <f>IF(AND('领用录入（明细）'!D:D=$F$4,'领用录入（明细）'!C:C&gt;=$J$4,'领用录入（明细）'!C:C&lt;=$L$4),ROW(),"-")</f>
        <v>-</v>
      </c>
    </row>
    <row r="42473" customHeight="1" spans="2:2">
      <c r="B42473" s="62" t="str">
        <f>IF(AND('领用录入（明细）'!D:D=$F$4,'领用录入（明细）'!C:C&gt;=$J$4,'领用录入（明细）'!C:C&lt;=$L$4),ROW(),"-")</f>
        <v>-</v>
      </c>
    </row>
    <row r="42474" customHeight="1" spans="2:2">
      <c r="B42474" s="62" t="str">
        <f>IF(AND('领用录入（明细）'!D:D=$F$4,'领用录入（明细）'!C:C&gt;=$J$4,'领用录入（明细）'!C:C&lt;=$L$4),ROW(),"-")</f>
        <v>-</v>
      </c>
    </row>
    <row r="42475" customHeight="1" spans="2:2">
      <c r="B42475" s="62" t="str">
        <f>IF(AND('领用录入（明细）'!D:D=$F$4,'领用录入（明细）'!C:C&gt;=$J$4,'领用录入（明细）'!C:C&lt;=$L$4),ROW(),"-")</f>
        <v>-</v>
      </c>
    </row>
    <row r="42476" customHeight="1" spans="2:2">
      <c r="B42476" s="62" t="str">
        <f>IF(AND('领用录入（明细）'!D:D=$F$4,'领用录入（明细）'!C:C&gt;=$J$4,'领用录入（明细）'!C:C&lt;=$L$4),ROW(),"-")</f>
        <v>-</v>
      </c>
    </row>
    <row r="42477" customHeight="1" spans="2:2">
      <c r="B42477" s="62" t="str">
        <f>IF(AND('领用录入（明细）'!D:D=$F$4,'领用录入（明细）'!C:C&gt;=$J$4,'领用录入（明细）'!C:C&lt;=$L$4),ROW(),"-")</f>
        <v>-</v>
      </c>
    </row>
    <row r="42478" customHeight="1" spans="2:2">
      <c r="B42478" s="62" t="str">
        <f>IF(AND('领用录入（明细）'!D:D=$F$4,'领用录入（明细）'!C:C&gt;=$J$4,'领用录入（明细）'!C:C&lt;=$L$4),ROW(),"-")</f>
        <v>-</v>
      </c>
    </row>
    <row r="42479" customHeight="1" spans="2:2">
      <c r="B42479" s="62" t="str">
        <f>IF(AND('领用录入（明细）'!D:D=$F$4,'领用录入（明细）'!C:C&gt;=$J$4,'领用录入（明细）'!C:C&lt;=$L$4),ROW(),"-")</f>
        <v>-</v>
      </c>
    </row>
    <row r="42480" customHeight="1" spans="2:2">
      <c r="B42480" s="62" t="str">
        <f>IF(AND('领用录入（明细）'!D:D=$F$4,'领用录入（明细）'!C:C&gt;=$J$4,'领用录入（明细）'!C:C&lt;=$L$4),ROW(),"-")</f>
        <v>-</v>
      </c>
    </row>
    <row r="42481" customHeight="1" spans="2:2">
      <c r="B42481" s="62" t="str">
        <f>IF(AND('领用录入（明细）'!D:D=$F$4,'领用录入（明细）'!C:C&gt;=$J$4,'领用录入（明细）'!C:C&lt;=$L$4),ROW(),"-")</f>
        <v>-</v>
      </c>
    </row>
    <row r="42482" customHeight="1" spans="2:2">
      <c r="B42482" s="62" t="str">
        <f>IF(AND('领用录入（明细）'!D:D=$F$4,'领用录入（明细）'!C:C&gt;=$J$4,'领用录入（明细）'!C:C&lt;=$L$4),ROW(),"-")</f>
        <v>-</v>
      </c>
    </row>
    <row r="42483" customHeight="1" spans="2:2">
      <c r="B42483" s="62" t="str">
        <f>IF(AND('领用录入（明细）'!D:D=$F$4,'领用录入（明细）'!C:C&gt;=$J$4,'领用录入（明细）'!C:C&lt;=$L$4),ROW(),"-")</f>
        <v>-</v>
      </c>
    </row>
    <row r="42484" customHeight="1" spans="2:2">
      <c r="B42484" s="62" t="str">
        <f>IF(AND('领用录入（明细）'!D:D=$F$4,'领用录入（明细）'!C:C&gt;=$J$4,'领用录入（明细）'!C:C&lt;=$L$4),ROW(),"-")</f>
        <v>-</v>
      </c>
    </row>
    <row r="42485" customHeight="1" spans="2:2">
      <c r="B42485" s="62" t="str">
        <f>IF(AND('领用录入（明细）'!D:D=$F$4,'领用录入（明细）'!C:C&gt;=$J$4,'领用录入（明细）'!C:C&lt;=$L$4),ROW(),"-")</f>
        <v>-</v>
      </c>
    </row>
    <row r="42486" customHeight="1" spans="2:2">
      <c r="B42486" s="62" t="str">
        <f>IF(AND('领用录入（明细）'!D:D=$F$4,'领用录入（明细）'!C:C&gt;=$J$4,'领用录入（明细）'!C:C&lt;=$L$4),ROW(),"-")</f>
        <v>-</v>
      </c>
    </row>
    <row r="42487" customHeight="1" spans="2:2">
      <c r="B42487" s="62" t="str">
        <f>IF(AND('领用录入（明细）'!D:D=$F$4,'领用录入（明细）'!C:C&gt;=$J$4,'领用录入（明细）'!C:C&lt;=$L$4),ROW(),"-")</f>
        <v>-</v>
      </c>
    </row>
    <row r="42488" customHeight="1" spans="2:2">
      <c r="B42488" s="62" t="str">
        <f>IF(AND('领用录入（明细）'!D:D=$F$4,'领用录入（明细）'!C:C&gt;=$J$4,'领用录入（明细）'!C:C&lt;=$L$4),ROW(),"-")</f>
        <v>-</v>
      </c>
    </row>
    <row r="42489" customHeight="1" spans="2:2">
      <c r="B42489" s="62" t="str">
        <f>IF(AND('领用录入（明细）'!D:D=$F$4,'领用录入（明细）'!C:C&gt;=$J$4,'领用录入（明细）'!C:C&lt;=$L$4),ROW(),"-")</f>
        <v>-</v>
      </c>
    </row>
    <row r="42490" customHeight="1" spans="2:2">
      <c r="B42490" s="62" t="str">
        <f>IF(AND('领用录入（明细）'!D:D=$F$4,'领用录入（明细）'!C:C&gt;=$J$4,'领用录入（明细）'!C:C&lt;=$L$4),ROW(),"-")</f>
        <v>-</v>
      </c>
    </row>
    <row r="42491" customHeight="1" spans="2:2">
      <c r="B42491" s="62" t="str">
        <f>IF(AND('领用录入（明细）'!D:D=$F$4,'领用录入（明细）'!C:C&gt;=$J$4,'领用录入（明细）'!C:C&lt;=$L$4),ROW(),"-")</f>
        <v>-</v>
      </c>
    </row>
    <row r="42492" customHeight="1" spans="2:2">
      <c r="B42492" s="62" t="str">
        <f>IF(AND('领用录入（明细）'!D:D=$F$4,'领用录入（明细）'!C:C&gt;=$J$4,'领用录入（明细）'!C:C&lt;=$L$4),ROW(),"-")</f>
        <v>-</v>
      </c>
    </row>
    <row r="42493" customHeight="1" spans="2:2">
      <c r="B42493" s="62" t="str">
        <f>IF(AND('领用录入（明细）'!D:D=$F$4,'领用录入（明细）'!C:C&gt;=$J$4,'领用录入（明细）'!C:C&lt;=$L$4),ROW(),"-")</f>
        <v>-</v>
      </c>
    </row>
    <row r="42494" customHeight="1" spans="2:2">
      <c r="B42494" s="62" t="str">
        <f>IF(AND('领用录入（明细）'!D:D=$F$4,'领用录入（明细）'!C:C&gt;=$J$4,'领用录入（明细）'!C:C&lt;=$L$4),ROW(),"-")</f>
        <v>-</v>
      </c>
    </row>
    <row r="42495" customHeight="1" spans="2:2">
      <c r="B42495" s="62" t="str">
        <f>IF(AND('领用录入（明细）'!D:D=$F$4,'领用录入（明细）'!C:C&gt;=$J$4,'领用录入（明细）'!C:C&lt;=$L$4),ROW(),"-")</f>
        <v>-</v>
      </c>
    </row>
    <row r="42496" customHeight="1" spans="2:2">
      <c r="B42496" s="62" t="str">
        <f>IF(AND('领用录入（明细）'!D:D=$F$4,'领用录入（明细）'!C:C&gt;=$J$4,'领用录入（明细）'!C:C&lt;=$L$4),ROW(),"-")</f>
        <v>-</v>
      </c>
    </row>
    <row r="42497" customHeight="1" spans="2:2">
      <c r="B42497" s="62" t="str">
        <f>IF(AND('领用录入（明细）'!D:D=$F$4,'领用录入（明细）'!C:C&gt;=$J$4,'领用录入（明细）'!C:C&lt;=$L$4),ROW(),"-")</f>
        <v>-</v>
      </c>
    </row>
    <row r="42498" customHeight="1" spans="2:2">
      <c r="B42498" s="62" t="str">
        <f>IF(AND('领用录入（明细）'!D:D=$F$4,'领用录入（明细）'!C:C&gt;=$J$4,'领用录入（明细）'!C:C&lt;=$L$4),ROW(),"-")</f>
        <v>-</v>
      </c>
    </row>
    <row r="42499" customHeight="1" spans="2:2">
      <c r="B42499" s="62" t="str">
        <f>IF(AND('领用录入（明细）'!D:D=$F$4,'领用录入（明细）'!C:C&gt;=$J$4,'领用录入（明细）'!C:C&lt;=$L$4),ROW(),"-")</f>
        <v>-</v>
      </c>
    </row>
    <row r="42500" customHeight="1" spans="2:2">
      <c r="B42500" s="62" t="str">
        <f>IF(AND('领用录入（明细）'!D:D=$F$4,'领用录入（明细）'!C:C&gt;=$J$4,'领用录入（明细）'!C:C&lt;=$L$4),ROW(),"-")</f>
        <v>-</v>
      </c>
    </row>
    <row r="42501" customHeight="1" spans="2:2">
      <c r="B42501" s="62" t="str">
        <f>IF(AND('领用录入（明细）'!D:D=$F$4,'领用录入（明细）'!C:C&gt;=$J$4,'领用录入（明细）'!C:C&lt;=$L$4),ROW(),"-")</f>
        <v>-</v>
      </c>
    </row>
    <row r="42502" customHeight="1" spans="2:2">
      <c r="B42502" s="62" t="str">
        <f>IF(AND('领用录入（明细）'!D:D=$F$4,'领用录入（明细）'!C:C&gt;=$J$4,'领用录入（明细）'!C:C&lt;=$L$4),ROW(),"-")</f>
        <v>-</v>
      </c>
    </row>
    <row r="42503" customHeight="1" spans="2:2">
      <c r="B42503" s="62" t="str">
        <f>IF(AND('领用录入（明细）'!D:D=$F$4,'领用录入（明细）'!C:C&gt;=$J$4,'领用录入（明细）'!C:C&lt;=$L$4),ROW(),"-")</f>
        <v>-</v>
      </c>
    </row>
    <row r="42504" customHeight="1" spans="2:2">
      <c r="B42504" s="62" t="str">
        <f>IF(AND('领用录入（明细）'!D:D=$F$4,'领用录入（明细）'!C:C&gt;=$J$4,'领用录入（明细）'!C:C&lt;=$L$4),ROW(),"-")</f>
        <v>-</v>
      </c>
    </row>
    <row r="42505" customHeight="1" spans="2:2">
      <c r="B42505" s="62" t="str">
        <f>IF(AND('领用录入（明细）'!D:D=$F$4,'领用录入（明细）'!C:C&gt;=$J$4,'领用录入（明细）'!C:C&lt;=$L$4),ROW(),"-")</f>
        <v>-</v>
      </c>
    </row>
    <row r="42506" customHeight="1" spans="2:2">
      <c r="B42506" s="62" t="str">
        <f>IF(AND('领用录入（明细）'!D:D=$F$4,'领用录入（明细）'!C:C&gt;=$J$4,'领用录入（明细）'!C:C&lt;=$L$4),ROW(),"-")</f>
        <v>-</v>
      </c>
    </row>
    <row r="42507" customHeight="1" spans="2:2">
      <c r="B42507" s="62" t="str">
        <f>IF(AND('领用录入（明细）'!D:D=$F$4,'领用录入（明细）'!C:C&gt;=$J$4,'领用录入（明细）'!C:C&lt;=$L$4),ROW(),"-")</f>
        <v>-</v>
      </c>
    </row>
    <row r="42508" customHeight="1" spans="2:2">
      <c r="B42508" s="62" t="str">
        <f>IF(AND('领用录入（明细）'!D:D=$F$4,'领用录入（明细）'!C:C&gt;=$J$4,'领用录入（明细）'!C:C&lt;=$L$4),ROW(),"-")</f>
        <v>-</v>
      </c>
    </row>
    <row r="42509" customHeight="1" spans="2:2">
      <c r="B42509" s="62" t="str">
        <f>IF(AND('领用录入（明细）'!D:D=$F$4,'领用录入（明细）'!C:C&gt;=$J$4,'领用录入（明细）'!C:C&lt;=$L$4),ROW(),"-")</f>
        <v>-</v>
      </c>
    </row>
    <row r="42510" customHeight="1" spans="2:2">
      <c r="B42510" s="62" t="str">
        <f>IF(AND('领用录入（明细）'!D:D=$F$4,'领用录入（明细）'!C:C&gt;=$J$4,'领用录入（明细）'!C:C&lt;=$L$4),ROW(),"-")</f>
        <v>-</v>
      </c>
    </row>
    <row r="42511" customHeight="1" spans="2:2">
      <c r="B42511" s="62" t="str">
        <f>IF(AND('领用录入（明细）'!D:D=$F$4,'领用录入（明细）'!C:C&gt;=$J$4,'领用录入（明细）'!C:C&lt;=$L$4),ROW(),"-")</f>
        <v>-</v>
      </c>
    </row>
    <row r="42512" customHeight="1" spans="2:2">
      <c r="B42512" s="62" t="str">
        <f>IF(AND('领用录入（明细）'!D:D=$F$4,'领用录入（明细）'!C:C&gt;=$J$4,'领用录入（明细）'!C:C&lt;=$L$4),ROW(),"-")</f>
        <v>-</v>
      </c>
    </row>
    <row r="42513" customHeight="1" spans="2:2">
      <c r="B42513" s="62" t="str">
        <f>IF(AND('领用录入（明细）'!D:D=$F$4,'领用录入（明细）'!C:C&gt;=$J$4,'领用录入（明细）'!C:C&lt;=$L$4),ROW(),"-")</f>
        <v>-</v>
      </c>
    </row>
    <row r="42514" customHeight="1" spans="2:2">
      <c r="B42514" s="62" t="str">
        <f>IF(AND('领用录入（明细）'!D:D=$F$4,'领用录入（明细）'!C:C&gt;=$J$4,'领用录入（明细）'!C:C&lt;=$L$4),ROW(),"-")</f>
        <v>-</v>
      </c>
    </row>
    <row r="42515" customHeight="1" spans="2:2">
      <c r="B42515" s="62" t="str">
        <f>IF(AND('领用录入（明细）'!D:D=$F$4,'领用录入（明细）'!C:C&gt;=$J$4,'领用录入（明细）'!C:C&lt;=$L$4),ROW(),"-")</f>
        <v>-</v>
      </c>
    </row>
    <row r="42516" customHeight="1" spans="2:2">
      <c r="B42516" s="62" t="str">
        <f>IF(AND('领用录入（明细）'!D:D=$F$4,'领用录入（明细）'!C:C&gt;=$J$4,'领用录入（明细）'!C:C&lt;=$L$4),ROW(),"-")</f>
        <v>-</v>
      </c>
    </row>
    <row r="42517" customHeight="1" spans="2:2">
      <c r="B42517" s="62" t="str">
        <f>IF(AND('领用录入（明细）'!D:D=$F$4,'领用录入（明细）'!C:C&gt;=$J$4,'领用录入（明细）'!C:C&lt;=$L$4),ROW(),"-")</f>
        <v>-</v>
      </c>
    </row>
    <row r="42518" customHeight="1" spans="2:2">
      <c r="B42518" s="62" t="str">
        <f>IF(AND('领用录入（明细）'!D:D=$F$4,'领用录入（明细）'!C:C&gt;=$J$4,'领用录入（明细）'!C:C&lt;=$L$4),ROW(),"-")</f>
        <v>-</v>
      </c>
    </row>
    <row r="42519" customHeight="1" spans="2:2">
      <c r="B42519" s="62" t="str">
        <f>IF(AND('领用录入（明细）'!D:D=$F$4,'领用录入（明细）'!C:C&gt;=$J$4,'领用录入（明细）'!C:C&lt;=$L$4),ROW(),"-")</f>
        <v>-</v>
      </c>
    </row>
    <row r="42520" customHeight="1" spans="2:2">
      <c r="B42520" s="62" t="str">
        <f>IF(AND('领用录入（明细）'!D:D=$F$4,'领用录入（明细）'!C:C&gt;=$J$4,'领用录入（明细）'!C:C&lt;=$L$4),ROW(),"-")</f>
        <v>-</v>
      </c>
    </row>
    <row r="42521" customHeight="1" spans="2:2">
      <c r="B42521" s="62" t="str">
        <f>IF(AND('领用录入（明细）'!D:D=$F$4,'领用录入（明细）'!C:C&gt;=$J$4,'领用录入（明细）'!C:C&lt;=$L$4),ROW(),"-")</f>
        <v>-</v>
      </c>
    </row>
    <row r="42522" customHeight="1" spans="2:2">
      <c r="B42522" s="62" t="str">
        <f>IF(AND('领用录入（明细）'!D:D=$F$4,'领用录入（明细）'!C:C&gt;=$J$4,'领用录入（明细）'!C:C&lt;=$L$4),ROW(),"-")</f>
        <v>-</v>
      </c>
    </row>
    <row r="42523" customHeight="1" spans="2:2">
      <c r="B42523" s="62" t="str">
        <f>IF(AND('领用录入（明细）'!D:D=$F$4,'领用录入（明细）'!C:C&gt;=$J$4,'领用录入（明细）'!C:C&lt;=$L$4),ROW(),"-")</f>
        <v>-</v>
      </c>
    </row>
    <row r="42524" customHeight="1" spans="2:2">
      <c r="B42524" s="62" t="str">
        <f>IF(AND('领用录入（明细）'!D:D=$F$4,'领用录入（明细）'!C:C&gt;=$J$4,'领用录入（明细）'!C:C&lt;=$L$4),ROW(),"-")</f>
        <v>-</v>
      </c>
    </row>
    <row r="42525" customHeight="1" spans="2:2">
      <c r="B42525" s="62" t="str">
        <f>IF(AND('领用录入（明细）'!D:D=$F$4,'领用录入（明细）'!C:C&gt;=$J$4,'领用录入（明细）'!C:C&lt;=$L$4),ROW(),"-")</f>
        <v>-</v>
      </c>
    </row>
    <row r="42526" customHeight="1" spans="2:2">
      <c r="B42526" s="62" t="str">
        <f>IF(AND('领用录入（明细）'!D:D=$F$4,'领用录入（明细）'!C:C&gt;=$J$4,'领用录入（明细）'!C:C&lt;=$L$4),ROW(),"-")</f>
        <v>-</v>
      </c>
    </row>
    <row r="42527" customHeight="1" spans="2:2">
      <c r="B42527" s="62" t="str">
        <f>IF(AND('领用录入（明细）'!D:D=$F$4,'领用录入（明细）'!C:C&gt;=$J$4,'领用录入（明细）'!C:C&lt;=$L$4),ROW(),"-")</f>
        <v>-</v>
      </c>
    </row>
    <row r="42528" customHeight="1" spans="2:2">
      <c r="B42528" s="62" t="str">
        <f>IF(AND('领用录入（明细）'!D:D=$F$4,'领用录入（明细）'!C:C&gt;=$J$4,'领用录入（明细）'!C:C&lt;=$L$4),ROW(),"-")</f>
        <v>-</v>
      </c>
    </row>
    <row r="42529" customHeight="1" spans="2:2">
      <c r="B42529" s="62" t="str">
        <f>IF(AND('领用录入（明细）'!D:D=$F$4,'领用录入（明细）'!C:C&gt;=$J$4,'领用录入（明细）'!C:C&lt;=$L$4),ROW(),"-")</f>
        <v>-</v>
      </c>
    </row>
    <row r="42530" customHeight="1" spans="2:2">
      <c r="B42530" s="62" t="str">
        <f>IF(AND('领用录入（明细）'!D:D=$F$4,'领用录入（明细）'!C:C&gt;=$J$4,'领用录入（明细）'!C:C&lt;=$L$4),ROW(),"-")</f>
        <v>-</v>
      </c>
    </row>
    <row r="42531" customHeight="1" spans="2:2">
      <c r="B42531" s="62" t="str">
        <f>IF(AND('领用录入（明细）'!D:D=$F$4,'领用录入（明细）'!C:C&gt;=$J$4,'领用录入（明细）'!C:C&lt;=$L$4),ROW(),"-")</f>
        <v>-</v>
      </c>
    </row>
    <row r="42532" customHeight="1" spans="2:2">
      <c r="B42532" s="62" t="str">
        <f>IF(AND('领用录入（明细）'!D:D=$F$4,'领用录入（明细）'!C:C&gt;=$J$4,'领用录入（明细）'!C:C&lt;=$L$4),ROW(),"-")</f>
        <v>-</v>
      </c>
    </row>
    <row r="42533" customHeight="1" spans="2:2">
      <c r="B42533" s="62" t="str">
        <f>IF(AND('领用录入（明细）'!D:D=$F$4,'领用录入（明细）'!C:C&gt;=$J$4,'领用录入（明细）'!C:C&lt;=$L$4),ROW(),"-")</f>
        <v>-</v>
      </c>
    </row>
    <row r="42534" customHeight="1" spans="2:2">
      <c r="B42534" s="62" t="str">
        <f>IF(AND('领用录入（明细）'!D:D=$F$4,'领用录入（明细）'!C:C&gt;=$J$4,'领用录入（明细）'!C:C&lt;=$L$4),ROW(),"-")</f>
        <v>-</v>
      </c>
    </row>
    <row r="42535" customHeight="1" spans="2:2">
      <c r="B42535" s="62" t="str">
        <f>IF(AND('领用录入（明细）'!D:D=$F$4,'领用录入（明细）'!C:C&gt;=$J$4,'领用录入（明细）'!C:C&lt;=$L$4),ROW(),"-")</f>
        <v>-</v>
      </c>
    </row>
    <row r="42536" customHeight="1" spans="2:2">
      <c r="B42536" s="62" t="str">
        <f>IF(AND('领用录入（明细）'!D:D=$F$4,'领用录入（明细）'!C:C&gt;=$J$4,'领用录入（明细）'!C:C&lt;=$L$4),ROW(),"-")</f>
        <v>-</v>
      </c>
    </row>
    <row r="42537" customHeight="1" spans="2:2">
      <c r="B42537" s="62" t="str">
        <f>IF(AND('领用录入（明细）'!D:D=$F$4,'领用录入（明细）'!C:C&gt;=$J$4,'领用录入（明细）'!C:C&lt;=$L$4),ROW(),"-")</f>
        <v>-</v>
      </c>
    </row>
    <row r="42538" customHeight="1" spans="2:2">
      <c r="B42538" s="62" t="str">
        <f>IF(AND('领用录入（明细）'!D:D=$F$4,'领用录入（明细）'!C:C&gt;=$J$4,'领用录入（明细）'!C:C&lt;=$L$4),ROW(),"-")</f>
        <v>-</v>
      </c>
    </row>
    <row r="42539" customHeight="1" spans="2:2">
      <c r="B42539" s="62" t="str">
        <f>IF(AND('领用录入（明细）'!D:D=$F$4,'领用录入（明细）'!C:C&gt;=$J$4,'领用录入（明细）'!C:C&lt;=$L$4),ROW(),"-")</f>
        <v>-</v>
      </c>
    </row>
    <row r="42540" customHeight="1" spans="2:2">
      <c r="B42540" s="62" t="str">
        <f>IF(AND('领用录入（明细）'!D:D=$F$4,'领用录入（明细）'!C:C&gt;=$J$4,'领用录入（明细）'!C:C&lt;=$L$4),ROW(),"-")</f>
        <v>-</v>
      </c>
    </row>
    <row r="42541" customHeight="1" spans="2:2">
      <c r="B42541" s="62" t="str">
        <f>IF(AND('领用录入（明细）'!D:D=$F$4,'领用录入（明细）'!C:C&gt;=$J$4,'领用录入（明细）'!C:C&lt;=$L$4),ROW(),"-")</f>
        <v>-</v>
      </c>
    </row>
    <row r="42542" customHeight="1" spans="2:2">
      <c r="B42542" s="62" t="str">
        <f>IF(AND('领用录入（明细）'!D:D=$F$4,'领用录入（明细）'!C:C&gt;=$J$4,'领用录入（明细）'!C:C&lt;=$L$4),ROW(),"-")</f>
        <v>-</v>
      </c>
    </row>
    <row r="42543" customHeight="1" spans="2:2">
      <c r="B42543" s="62" t="str">
        <f>IF(AND('领用录入（明细）'!D:D=$F$4,'领用录入（明细）'!C:C&gt;=$J$4,'领用录入（明细）'!C:C&lt;=$L$4),ROW(),"-")</f>
        <v>-</v>
      </c>
    </row>
    <row r="42544" customHeight="1" spans="2:2">
      <c r="B42544" s="62" t="str">
        <f>IF(AND('领用录入（明细）'!D:D=$F$4,'领用录入（明细）'!C:C&gt;=$J$4,'领用录入（明细）'!C:C&lt;=$L$4),ROW(),"-")</f>
        <v>-</v>
      </c>
    </row>
    <row r="42545" customHeight="1" spans="2:2">
      <c r="B42545" s="62" t="str">
        <f>IF(AND('领用录入（明细）'!D:D=$F$4,'领用录入（明细）'!C:C&gt;=$J$4,'领用录入（明细）'!C:C&lt;=$L$4),ROW(),"-")</f>
        <v>-</v>
      </c>
    </row>
    <row r="42546" customHeight="1" spans="2:2">
      <c r="B42546" s="62" t="str">
        <f>IF(AND('领用录入（明细）'!D:D=$F$4,'领用录入（明细）'!C:C&gt;=$J$4,'领用录入（明细）'!C:C&lt;=$L$4),ROW(),"-")</f>
        <v>-</v>
      </c>
    </row>
    <row r="42547" customHeight="1" spans="2:2">
      <c r="B42547" s="62" t="str">
        <f>IF(AND('领用录入（明细）'!D:D=$F$4,'领用录入（明细）'!C:C&gt;=$J$4,'领用录入（明细）'!C:C&lt;=$L$4),ROW(),"-")</f>
        <v>-</v>
      </c>
    </row>
    <row r="42548" customHeight="1" spans="2:2">
      <c r="B42548" s="62" t="str">
        <f>IF(AND('领用录入（明细）'!D:D=$F$4,'领用录入（明细）'!C:C&gt;=$J$4,'领用录入（明细）'!C:C&lt;=$L$4),ROW(),"-")</f>
        <v>-</v>
      </c>
    </row>
    <row r="42549" customHeight="1" spans="2:2">
      <c r="B42549" s="62" t="str">
        <f>IF(AND('领用录入（明细）'!D:D=$F$4,'领用录入（明细）'!C:C&gt;=$J$4,'领用录入（明细）'!C:C&lt;=$L$4),ROW(),"-")</f>
        <v>-</v>
      </c>
    </row>
    <row r="42550" customHeight="1" spans="2:2">
      <c r="B42550" s="62" t="str">
        <f>IF(AND('领用录入（明细）'!D:D=$F$4,'领用录入（明细）'!C:C&gt;=$J$4,'领用录入（明细）'!C:C&lt;=$L$4),ROW(),"-")</f>
        <v>-</v>
      </c>
    </row>
    <row r="42551" customHeight="1" spans="2:2">
      <c r="B42551" s="62" t="str">
        <f>IF(AND('领用录入（明细）'!D:D=$F$4,'领用录入（明细）'!C:C&gt;=$J$4,'领用录入（明细）'!C:C&lt;=$L$4),ROW(),"-")</f>
        <v>-</v>
      </c>
    </row>
    <row r="42552" customHeight="1" spans="2:2">
      <c r="B42552" s="62" t="str">
        <f>IF(AND('领用录入（明细）'!D:D=$F$4,'领用录入（明细）'!C:C&gt;=$J$4,'领用录入（明细）'!C:C&lt;=$L$4),ROW(),"-")</f>
        <v>-</v>
      </c>
    </row>
    <row r="42553" customHeight="1" spans="2:2">
      <c r="B42553" s="62" t="str">
        <f>IF(AND('领用录入（明细）'!D:D=$F$4,'领用录入（明细）'!C:C&gt;=$J$4,'领用录入（明细）'!C:C&lt;=$L$4),ROW(),"-")</f>
        <v>-</v>
      </c>
    </row>
    <row r="42554" customHeight="1" spans="2:2">
      <c r="B42554" s="62" t="str">
        <f>IF(AND('领用录入（明细）'!D:D=$F$4,'领用录入（明细）'!C:C&gt;=$J$4,'领用录入（明细）'!C:C&lt;=$L$4),ROW(),"-")</f>
        <v>-</v>
      </c>
    </row>
    <row r="42555" customHeight="1" spans="2:2">
      <c r="B42555" s="62" t="str">
        <f>IF(AND('领用录入（明细）'!D:D=$F$4,'领用录入（明细）'!C:C&gt;=$J$4,'领用录入（明细）'!C:C&lt;=$L$4),ROW(),"-")</f>
        <v>-</v>
      </c>
    </row>
    <row r="42556" customHeight="1" spans="2:2">
      <c r="B42556" s="62" t="str">
        <f>IF(AND('领用录入（明细）'!D:D=$F$4,'领用录入（明细）'!C:C&gt;=$J$4,'领用录入（明细）'!C:C&lt;=$L$4),ROW(),"-")</f>
        <v>-</v>
      </c>
    </row>
    <row r="42557" customHeight="1" spans="2:2">
      <c r="B42557" s="62" t="str">
        <f>IF(AND('领用录入（明细）'!D:D=$F$4,'领用录入（明细）'!C:C&gt;=$J$4,'领用录入（明细）'!C:C&lt;=$L$4),ROW(),"-")</f>
        <v>-</v>
      </c>
    </row>
    <row r="42558" customHeight="1" spans="2:2">
      <c r="B42558" s="62" t="str">
        <f>IF(AND('领用录入（明细）'!D:D=$F$4,'领用录入（明细）'!C:C&gt;=$J$4,'领用录入（明细）'!C:C&lt;=$L$4),ROW(),"-")</f>
        <v>-</v>
      </c>
    </row>
    <row r="42559" customHeight="1" spans="2:2">
      <c r="B42559" s="62" t="str">
        <f>IF(AND('领用录入（明细）'!D:D=$F$4,'领用录入（明细）'!C:C&gt;=$J$4,'领用录入（明细）'!C:C&lt;=$L$4),ROW(),"-")</f>
        <v>-</v>
      </c>
    </row>
    <row r="42560" customHeight="1" spans="2:2">
      <c r="B42560" s="62" t="str">
        <f>IF(AND('领用录入（明细）'!D:D=$F$4,'领用录入（明细）'!C:C&gt;=$J$4,'领用录入（明细）'!C:C&lt;=$L$4),ROW(),"-")</f>
        <v>-</v>
      </c>
    </row>
    <row r="42561" customHeight="1" spans="2:2">
      <c r="B42561" s="62" t="str">
        <f>IF(AND('领用录入（明细）'!D:D=$F$4,'领用录入（明细）'!C:C&gt;=$J$4,'领用录入（明细）'!C:C&lt;=$L$4),ROW(),"-")</f>
        <v>-</v>
      </c>
    </row>
    <row r="42562" customHeight="1" spans="2:2">
      <c r="B42562" s="62" t="str">
        <f>IF(AND('领用录入（明细）'!D:D=$F$4,'领用录入（明细）'!C:C&gt;=$J$4,'领用录入（明细）'!C:C&lt;=$L$4),ROW(),"-")</f>
        <v>-</v>
      </c>
    </row>
    <row r="42563" customHeight="1" spans="2:2">
      <c r="B42563" s="62" t="str">
        <f>IF(AND('领用录入（明细）'!D:D=$F$4,'领用录入（明细）'!C:C&gt;=$J$4,'领用录入（明细）'!C:C&lt;=$L$4),ROW(),"-")</f>
        <v>-</v>
      </c>
    </row>
    <row r="42564" customHeight="1" spans="2:2">
      <c r="B42564" s="62" t="str">
        <f>IF(AND('领用录入（明细）'!D:D=$F$4,'领用录入（明细）'!C:C&gt;=$J$4,'领用录入（明细）'!C:C&lt;=$L$4),ROW(),"-")</f>
        <v>-</v>
      </c>
    </row>
    <row r="42565" customHeight="1" spans="2:2">
      <c r="B42565" s="62" t="str">
        <f>IF(AND('领用录入（明细）'!D:D=$F$4,'领用录入（明细）'!C:C&gt;=$J$4,'领用录入（明细）'!C:C&lt;=$L$4),ROW(),"-")</f>
        <v>-</v>
      </c>
    </row>
    <row r="42566" customHeight="1" spans="2:2">
      <c r="B42566" s="62" t="str">
        <f>IF(AND('领用录入（明细）'!D:D=$F$4,'领用录入（明细）'!C:C&gt;=$J$4,'领用录入（明细）'!C:C&lt;=$L$4),ROW(),"-")</f>
        <v>-</v>
      </c>
    </row>
    <row r="42567" customHeight="1" spans="2:2">
      <c r="B42567" s="62" t="str">
        <f>IF(AND('领用录入（明细）'!D:D=$F$4,'领用录入（明细）'!C:C&gt;=$J$4,'领用录入（明细）'!C:C&lt;=$L$4),ROW(),"-")</f>
        <v>-</v>
      </c>
    </row>
    <row r="42568" customHeight="1" spans="2:2">
      <c r="B42568" s="62" t="str">
        <f>IF(AND('领用录入（明细）'!D:D=$F$4,'领用录入（明细）'!C:C&gt;=$J$4,'领用录入（明细）'!C:C&lt;=$L$4),ROW(),"-")</f>
        <v>-</v>
      </c>
    </row>
    <row r="42569" customHeight="1" spans="2:2">
      <c r="B42569" s="62" t="str">
        <f>IF(AND('领用录入（明细）'!D:D=$F$4,'领用录入（明细）'!C:C&gt;=$J$4,'领用录入（明细）'!C:C&lt;=$L$4),ROW(),"-")</f>
        <v>-</v>
      </c>
    </row>
    <row r="42570" customHeight="1" spans="2:2">
      <c r="B42570" s="62" t="str">
        <f>IF(AND('领用录入（明细）'!D:D=$F$4,'领用录入（明细）'!C:C&gt;=$J$4,'领用录入（明细）'!C:C&lt;=$L$4),ROW(),"-")</f>
        <v>-</v>
      </c>
    </row>
    <row r="42571" customHeight="1" spans="2:2">
      <c r="B42571" s="62" t="str">
        <f>IF(AND('领用录入（明细）'!D:D=$F$4,'领用录入（明细）'!C:C&gt;=$J$4,'领用录入（明细）'!C:C&lt;=$L$4),ROW(),"-")</f>
        <v>-</v>
      </c>
    </row>
    <row r="42572" customHeight="1" spans="2:2">
      <c r="B42572" s="62" t="str">
        <f>IF(AND('领用录入（明细）'!D:D=$F$4,'领用录入（明细）'!C:C&gt;=$J$4,'领用录入（明细）'!C:C&lt;=$L$4),ROW(),"-")</f>
        <v>-</v>
      </c>
    </row>
    <row r="42573" customHeight="1" spans="2:2">
      <c r="B42573" s="62" t="str">
        <f>IF(AND('领用录入（明细）'!D:D=$F$4,'领用录入（明细）'!C:C&gt;=$J$4,'领用录入（明细）'!C:C&lt;=$L$4),ROW(),"-")</f>
        <v>-</v>
      </c>
    </row>
    <row r="42574" customHeight="1" spans="2:2">
      <c r="B42574" s="62" t="str">
        <f>IF(AND('领用录入（明细）'!D:D=$F$4,'领用录入（明细）'!C:C&gt;=$J$4,'领用录入（明细）'!C:C&lt;=$L$4),ROW(),"-")</f>
        <v>-</v>
      </c>
    </row>
    <row r="42575" customHeight="1" spans="2:2">
      <c r="B42575" s="62" t="str">
        <f>IF(AND('领用录入（明细）'!D:D=$F$4,'领用录入（明细）'!C:C&gt;=$J$4,'领用录入（明细）'!C:C&lt;=$L$4),ROW(),"-")</f>
        <v>-</v>
      </c>
    </row>
    <row r="42576" customHeight="1" spans="2:2">
      <c r="B42576" s="62" t="str">
        <f>IF(AND('领用录入（明细）'!D:D=$F$4,'领用录入（明细）'!C:C&gt;=$J$4,'领用录入（明细）'!C:C&lt;=$L$4),ROW(),"-")</f>
        <v>-</v>
      </c>
    </row>
    <row r="42577" customHeight="1" spans="2:2">
      <c r="B42577" s="62" t="str">
        <f>IF(AND('领用录入（明细）'!D:D=$F$4,'领用录入（明细）'!C:C&gt;=$J$4,'领用录入（明细）'!C:C&lt;=$L$4),ROW(),"-")</f>
        <v>-</v>
      </c>
    </row>
    <row r="42578" customHeight="1" spans="2:2">
      <c r="B42578" s="62" t="str">
        <f>IF(AND('领用录入（明细）'!D:D=$F$4,'领用录入（明细）'!C:C&gt;=$J$4,'领用录入（明细）'!C:C&lt;=$L$4),ROW(),"-")</f>
        <v>-</v>
      </c>
    </row>
    <row r="42579" customHeight="1" spans="2:2">
      <c r="B42579" s="62" t="str">
        <f>IF(AND('领用录入（明细）'!D:D=$F$4,'领用录入（明细）'!C:C&gt;=$J$4,'领用录入（明细）'!C:C&lt;=$L$4),ROW(),"-")</f>
        <v>-</v>
      </c>
    </row>
    <row r="42580" customHeight="1" spans="2:2">
      <c r="B42580" s="62" t="str">
        <f>IF(AND('领用录入（明细）'!D:D=$F$4,'领用录入（明细）'!C:C&gt;=$J$4,'领用录入（明细）'!C:C&lt;=$L$4),ROW(),"-")</f>
        <v>-</v>
      </c>
    </row>
    <row r="42581" customHeight="1" spans="2:2">
      <c r="B42581" s="62" t="str">
        <f>IF(AND('领用录入（明细）'!D:D=$F$4,'领用录入（明细）'!C:C&gt;=$J$4,'领用录入（明细）'!C:C&lt;=$L$4),ROW(),"-")</f>
        <v>-</v>
      </c>
    </row>
    <row r="42582" customHeight="1" spans="2:2">
      <c r="B42582" s="62" t="str">
        <f>IF(AND('领用录入（明细）'!D:D=$F$4,'领用录入（明细）'!C:C&gt;=$J$4,'领用录入（明细）'!C:C&lt;=$L$4),ROW(),"-")</f>
        <v>-</v>
      </c>
    </row>
    <row r="42583" customHeight="1" spans="2:2">
      <c r="B42583" s="62" t="str">
        <f>IF(AND('领用录入（明细）'!D:D=$F$4,'领用录入（明细）'!C:C&gt;=$J$4,'领用录入（明细）'!C:C&lt;=$L$4),ROW(),"-")</f>
        <v>-</v>
      </c>
    </row>
    <row r="42584" customHeight="1" spans="2:2">
      <c r="B42584" s="62" t="str">
        <f>IF(AND('领用录入（明细）'!D:D=$F$4,'领用录入（明细）'!C:C&gt;=$J$4,'领用录入（明细）'!C:C&lt;=$L$4),ROW(),"-")</f>
        <v>-</v>
      </c>
    </row>
    <row r="42585" customHeight="1" spans="2:2">
      <c r="B42585" s="62" t="str">
        <f>IF(AND('领用录入（明细）'!D:D=$F$4,'领用录入（明细）'!C:C&gt;=$J$4,'领用录入（明细）'!C:C&lt;=$L$4),ROW(),"-")</f>
        <v>-</v>
      </c>
    </row>
    <row r="42586" customHeight="1" spans="2:2">
      <c r="B42586" s="62" t="str">
        <f>IF(AND('领用录入（明细）'!D:D=$F$4,'领用录入（明细）'!C:C&gt;=$J$4,'领用录入（明细）'!C:C&lt;=$L$4),ROW(),"-")</f>
        <v>-</v>
      </c>
    </row>
    <row r="42587" customHeight="1" spans="2:2">
      <c r="B42587" s="62" t="str">
        <f>IF(AND('领用录入（明细）'!D:D=$F$4,'领用录入（明细）'!C:C&gt;=$J$4,'领用录入（明细）'!C:C&lt;=$L$4),ROW(),"-")</f>
        <v>-</v>
      </c>
    </row>
    <row r="42588" customHeight="1" spans="2:2">
      <c r="B42588" s="62" t="str">
        <f>IF(AND('领用录入（明细）'!D:D=$F$4,'领用录入（明细）'!C:C&gt;=$J$4,'领用录入（明细）'!C:C&lt;=$L$4),ROW(),"-")</f>
        <v>-</v>
      </c>
    </row>
    <row r="42589" customHeight="1" spans="2:2">
      <c r="B42589" s="62" t="str">
        <f>IF(AND('领用录入（明细）'!D:D=$F$4,'领用录入（明细）'!C:C&gt;=$J$4,'领用录入（明细）'!C:C&lt;=$L$4),ROW(),"-")</f>
        <v>-</v>
      </c>
    </row>
    <row r="42590" customHeight="1" spans="2:2">
      <c r="B42590" s="62" t="str">
        <f>IF(AND('领用录入（明细）'!D:D=$F$4,'领用录入（明细）'!C:C&gt;=$J$4,'领用录入（明细）'!C:C&lt;=$L$4),ROW(),"-")</f>
        <v>-</v>
      </c>
    </row>
    <row r="42591" customHeight="1" spans="2:2">
      <c r="B42591" s="62" t="str">
        <f>IF(AND('领用录入（明细）'!D:D=$F$4,'领用录入（明细）'!C:C&gt;=$J$4,'领用录入（明细）'!C:C&lt;=$L$4),ROW(),"-")</f>
        <v>-</v>
      </c>
    </row>
    <row r="42592" customHeight="1" spans="2:2">
      <c r="B42592" s="62" t="str">
        <f>IF(AND('领用录入（明细）'!D:D=$F$4,'领用录入（明细）'!C:C&gt;=$J$4,'领用录入（明细）'!C:C&lt;=$L$4),ROW(),"-")</f>
        <v>-</v>
      </c>
    </row>
    <row r="42593" customHeight="1" spans="2:2">
      <c r="B42593" s="62" t="str">
        <f>IF(AND('领用录入（明细）'!D:D=$F$4,'领用录入（明细）'!C:C&gt;=$J$4,'领用录入（明细）'!C:C&lt;=$L$4),ROW(),"-")</f>
        <v>-</v>
      </c>
    </row>
    <row r="42594" customHeight="1" spans="2:2">
      <c r="B42594" s="62" t="str">
        <f>IF(AND('领用录入（明细）'!D:D=$F$4,'领用录入（明细）'!C:C&gt;=$J$4,'领用录入（明细）'!C:C&lt;=$L$4),ROW(),"-")</f>
        <v>-</v>
      </c>
    </row>
    <row r="42595" customHeight="1" spans="2:2">
      <c r="B42595" s="62" t="str">
        <f>IF(AND('领用录入（明细）'!D:D=$F$4,'领用录入（明细）'!C:C&gt;=$J$4,'领用录入（明细）'!C:C&lt;=$L$4),ROW(),"-")</f>
        <v>-</v>
      </c>
    </row>
    <row r="42596" customHeight="1" spans="2:2">
      <c r="B42596" s="62" t="str">
        <f>IF(AND('领用录入（明细）'!D:D=$F$4,'领用录入（明细）'!C:C&gt;=$J$4,'领用录入（明细）'!C:C&lt;=$L$4),ROW(),"-")</f>
        <v>-</v>
      </c>
    </row>
    <row r="42597" customHeight="1" spans="2:2">
      <c r="B42597" s="62" t="str">
        <f>IF(AND('领用录入（明细）'!D:D=$F$4,'领用录入（明细）'!C:C&gt;=$J$4,'领用录入（明细）'!C:C&lt;=$L$4),ROW(),"-")</f>
        <v>-</v>
      </c>
    </row>
    <row r="42598" customHeight="1" spans="2:2">
      <c r="B42598" s="62" t="str">
        <f>IF(AND('领用录入（明细）'!D:D=$F$4,'领用录入（明细）'!C:C&gt;=$J$4,'领用录入（明细）'!C:C&lt;=$L$4),ROW(),"-")</f>
        <v>-</v>
      </c>
    </row>
    <row r="42599" customHeight="1" spans="2:2">
      <c r="B42599" s="62" t="str">
        <f>IF(AND('领用录入（明细）'!D:D=$F$4,'领用录入（明细）'!C:C&gt;=$J$4,'领用录入（明细）'!C:C&lt;=$L$4),ROW(),"-")</f>
        <v>-</v>
      </c>
    </row>
    <row r="42600" customHeight="1" spans="2:2">
      <c r="B42600" s="62" t="str">
        <f>IF(AND('领用录入（明细）'!D:D=$F$4,'领用录入（明细）'!C:C&gt;=$J$4,'领用录入（明细）'!C:C&lt;=$L$4),ROW(),"-")</f>
        <v>-</v>
      </c>
    </row>
    <row r="42601" customHeight="1" spans="2:2">
      <c r="B42601" s="62" t="str">
        <f>IF(AND('领用录入（明细）'!D:D=$F$4,'领用录入（明细）'!C:C&gt;=$J$4,'领用录入（明细）'!C:C&lt;=$L$4),ROW(),"-")</f>
        <v>-</v>
      </c>
    </row>
    <row r="42602" customHeight="1" spans="2:2">
      <c r="B42602" s="62" t="str">
        <f>IF(AND('领用录入（明细）'!D:D=$F$4,'领用录入（明细）'!C:C&gt;=$J$4,'领用录入（明细）'!C:C&lt;=$L$4),ROW(),"-")</f>
        <v>-</v>
      </c>
    </row>
    <row r="42603" customHeight="1" spans="2:2">
      <c r="B42603" s="62" t="str">
        <f>IF(AND('领用录入（明细）'!D:D=$F$4,'领用录入（明细）'!C:C&gt;=$J$4,'领用录入（明细）'!C:C&lt;=$L$4),ROW(),"-")</f>
        <v>-</v>
      </c>
    </row>
    <row r="42604" customHeight="1" spans="2:2">
      <c r="B42604" s="62" t="str">
        <f>IF(AND('领用录入（明细）'!D:D=$F$4,'领用录入（明细）'!C:C&gt;=$J$4,'领用录入（明细）'!C:C&lt;=$L$4),ROW(),"-")</f>
        <v>-</v>
      </c>
    </row>
    <row r="42605" customHeight="1" spans="2:2">
      <c r="B42605" s="62" t="str">
        <f>IF(AND('领用录入（明细）'!D:D=$F$4,'领用录入（明细）'!C:C&gt;=$J$4,'领用录入（明细）'!C:C&lt;=$L$4),ROW(),"-")</f>
        <v>-</v>
      </c>
    </row>
    <row r="42606" customHeight="1" spans="2:2">
      <c r="B42606" s="62" t="str">
        <f>IF(AND('领用录入（明细）'!D:D=$F$4,'领用录入（明细）'!C:C&gt;=$J$4,'领用录入（明细）'!C:C&lt;=$L$4),ROW(),"-")</f>
        <v>-</v>
      </c>
    </row>
    <row r="42607" customHeight="1" spans="2:2">
      <c r="B42607" s="62" t="str">
        <f>IF(AND('领用录入（明细）'!D:D=$F$4,'领用录入（明细）'!C:C&gt;=$J$4,'领用录入（明细）'!C:C&lt;=$L$4),ROW(),"-")</f>
        <v>-</v>
      </c>
    </row>
    <row r="42608" customHeight="1" spans="2:2">
      <c r="B42608" s="62" t="str">
        <f>IF(AND('领用录入（明细）'!D:D=$F$4,'领用录入（明细）'!C:C&gt;=$J$4,'领用录入（明细）'!C:C&lt;=$L$4),ROW(),"-")</f>
        <v>-</v>
      </c>
    </row>
    <row r="42609" customHeight="1" spans="2:2">
      <c r="B42609" s="62" t="str">
        <f>IF(AND('领用录入（明细）'!D:D=$F$4,'领用录入（明细）'!C:C&gt;=$J$4,'领用录入（明细）'!C:C&lt;=$L$4),ROW(),"-")</f>
        <v>-</v>
      </c>
    </row>
    <row r="42610" customHeight="1" spans="2:2">
      <c r="B42610" s="62" t="str">
        <f>IF(AND('领用录入（明细）'!D:D=$F$4,'领用录入（明细）'!C:C&gt;=$J$4,'领用录入（明细）'!C:C&lt;=$L$4),ROW(),"-")</f>
        <v>-</v>
      </c>
    </row>
    <row r="42611" customHeight="1" spans="2:2">
      <c r="B42611" s="62" t="str">
        <f>IF(AND('领用录入（明细）'!D:D=$F$4,'领用录入（明细）'!C:C&gt;=$J$4,'领用录入（明细）'!C:C&lt;=$L$4),ROW(),"-")</f>
        <v>-</v>
      </c>
    </row>
    <row r="42612" customHeight="1" spans="2:2">
      <c r="B42612" s="62" t="str">
        <f>IF(AND('领用录入（明细）'!D:D=$F$4,'领用录入（明细）'!C:C&gt;=$J$4,'领用录入（明细）'!C:C&lt;=$L$4),ROW(),"-")</f>
        <v>-</v>
      </c>
    </row>
    <row r="42613" customHeight="1" spans="2:2">
      <c r="B42613" s="62" t="str">
        <f>IF(AND('领用录入（明细）'!D:D=$F$4,'领用录入（明细）'!C:C&gt;=$J$4,'领用录入（明细）'!C:C&lt;=$L$4),ROW(),"-")</f>
        <v>-</v>
      </c>
    </row>
    <row r="42614" customHeight="1" spans="2:2">
      <c r="B42614" s="62" t="str">
        <f>IF(AND('领用录入（明细）'!D:D=$F$4,'领用录入（明细）'!C:C&gt;=$J$4,'领用录入（明细）'!C:C&lt;=$L$4),ROW(),"-")</f>
        <v>-</v>
      </c>
    </row>
    <row r="42615" customHeight="1" spans="2:2">
      <c r="B42615" s="62" t="str">
        <f>IF(AND('领用录入（明细）'!D:D=$F$4,'领用录入（明细）'!C:C&gt;=$J$4,'领用录入（明细）'!C:C&lt;=$L$4),ROW(),"-")</f>
        <v>-</v>
      </c>
    </row>
    <row r="42616" customHeight="1" spans="2:2">
      <c r="B42616" s="62" t="str">
        <f>IF(AND('领用录入（明细）'!D:D=$F$4,'领用录入（明细）'!C:C&gt;=$J$4,'领用录入（明细）'!C:C&lt;=$L$4),ROW(),"-")</f>
        <v>-</v>
      </c>
    </row>
    <row r="42617" customHeight="1" spans="2:2">
      <c r="B42617" s="62" t="str">
        <f>IF(AND('领用录入（明细）'!D:D=$F$4,'领用录入（明细）'!C:C&gt;=$J$4,'领用录入（明细）'!C:C&lt;=$L$4),ROW(),"-")</f>
        <v>-</v>
      </c>
    </row>
    <row r="42618" customHeight="1" spans="2:2">
      <c r="B42618" s="62" t="str">
        <f>IF(AND('领用录入（明细）'!D:D=$F$4,'领用录入（明细）'!C:C&gt;=$J$4,'领用录入（明细）'!C:C&lt;=$L$4),ROW(),"-")</f>
        <v>-</v>
      </c>
    </row>
    <row r="42619" customHeight="1" spans="2:2">
      <c r="B42619" s="62" t="str">
        <f>IF(AND('领用录入（明细）'!D:D=$F$4,'领用录入（明细）'!C:C&gt;=$J$4,'领用录入（明细）'!C:C&lt;=$L$4),ROW(),"-")</f>
        <v>-</v>
      </c>
    </row>
    <row r="42620" customHeight="1" spans="2:2">
      <c r="B42620" s="62" t="str">
        <f>IF(AND('领用录入（明细）'!D:D=$F$4,'领用录入（明细）'!C:C&gt;=$J$4,'领用录入（明细）'!C:C&lt;=$L$4),ROW(),"-")</f>
        <v>-</v>
      </c>
    </row>
    <row r="42621" customHeight="1" spans="2:2">
      <c r="B42621" s="62" t="str">
        <f>IF(AND('领用录入（明细）'!D:D=$F$4,'领用录入（明细）'!C:C&gt;=$J$4,'领用录入（明细）'!C:C&lt;=$L$4),ROW(),"-")</f>
        <v>-</v>
      </c>
    </row>
    <row r="42622" customHeight="1" spans="2:2">
      <c r="B42622" s="62" t="str">
        <f>IF(AND('领用录入（明细）'!D:D=$F$4,'领用录入（明细）'!C:C&gt;=$J$4,'领用录入（明细）'!C:C&lt;=$L$4),ROW(),"-")</f>
        <v>-</v>
      </c>
    </row>
    <row r="42623" customHeight="1" spans="2:2">
      <c r="B42623" s="62" t="str">
        <f>IF(AND('领用录入（明细）'!D:D=$F$4,'领用录入（明细）'!C:C&gt;=$J$4,'领用录入（明细）'!C:C&lt;=$L$4),ROW(),"-")</f>
        <v>-</v>
      </c>
    </row>
    <row r="42624" customHeight="1" spans="2:2">
      <c r="B42624" s="62" t="str">
        <f>IF(AND('领用录入（明细）'!D:D=$F$4,'领用录入（明细）'!C:C&gt;=$J$4,'领用录入（明细）'!C:C&lt;=$L$4),ROW(),"-")</f>
        <v>-</v>
      </c>
    </row>
    <row r="42625" customHeight="1" spans="2:2">
      <c r="B42625" s="62" t="str">
        <f>IF(AND('领用录入（明细）'!D:D=$F$4,'领用录入（明细）'!C:C&gt;=$J$4,'领用录入（明细）'!C:C&lt;=$L$4),ROW(),"-")</f>
        <v>-</v>
      </c>
    </row>
    <row r="42626" customHeight="1" spans="2:2">
      <c r="B42626" s="62" t="str">
        <f>IF(AND('领用录入（明细）'!D:D=$F$4,'领用录入（明细）'!C:C&gt;=$J$4,'领用录入（明细）'!C:C&lt;=$L$4),ROW(),"-")</f>
        <v>-</v>
      </c>
    </row>
    <row r="42627" customHeight="1" spans="2:2">
      <c r="B42627" s="62" t="str">
        <f>IF(AND('领用录入（明细）'!D:D=$F$4,'领用录入（明细）'!C:C&gt;=$J$4,'领用录入（明细）'!C:C&lt;=$L$4),ROW(),"-")</f>
        <v>-</v>
      </c>
    </row>
    <row r="42628" customHeight="1" spans="2:2">
      <c r="B42628" s="62" t="str">
        <f>IF(AND('领用录入（明细）'!D:D=$F$4,'领用录入（明细）'!C:C&gt;=$J$4,'领用录入（明细）'!C:C&lt;=$L$4),ROW(),"-")</f>
        <v>-</v>
      </c>
    </row>
    <row r="42629" customHeight="1" spans="2:2">
      <c r="B42629" s="62" t="str">
        <f>IF(AND('领用录入（明细）'!D:D=$F$4,'领用录入（明细）'!C:C&gt;=$J$4,'领用录入（明细）'!C:C&lt;=$L$4),ROW(),"-")</f>
        <v>-</v>
      </c>
    </row>
    <row r="42630" customHeight="1" spans="2:2">
      <c r="B42630" s="62" t="str">
        <f>IF(AND('领用录入（明细）'!D:D=$F$4,'领用录入（明细）'!C:C&gt;=$J$4,'领用录入（明细）'!C:C&lt;=$L$4),ROW(),"-")</f>
        <v>-</v>
      </c>
    </row>
    <row r="42631" customHeight="1" spans="2:2">
      <c r="B42631" s="62" t="str">
        <f>IF(AND('领用录入（明细）'!D:D=$F$4,'领用录入（明细）'!C:C&gt;=$J$4,'领用录入（明细）'!C:C&lt;=$L$4),ROW(),"-")</f>
        <v>-</v>
      </c>
    </row>
    <row r="42632" customHeight="1" spans="2:2">
      <c r="B42632" s="62" t="str">
        <f>IF(AND('领用录入（明细）'!D:D=$F$4,'领用录入（明细）'!C:C&gt;=$J$4,'领用录入（明细）'!C:C&lt;=$L$4),ROW(),"-")</f>
        <v>-</v>
      </c>
    </row>
    <row r="42633" customHeight="1" spans="2:2">
      <c r="B42633" s="62" t="str">
        <f>IF(AND('领用录入（明细）'!D:D=$F$4,'领用录入（明细）'!C:C&gt;=$J$4,'领用录入（明细）'!C:C&lt;=$L$4),ROW(),"-")</f>
        <v>-</v>
      </c>
    </row>
    <row r="42634" customHeight="1" spans="2:2">
      <c r="B42634" s="62" t="str">
        <f>IF(AND('领用录入（明细）'!D:D=$F$4,'领用录入（明细）'!C:C&gt;=$J$4,'领用录入（明细）'!C:C&lt;=$L$4),ROW(),"-")</f>
        <v>-</v>
      </c>
    </row>
    <row r="42635" customHeight="1" spans="2:2">
      <c r="B42635" s="62" t="str">
        <f>IF(AND('领用录入（明细）'!D:D=$F$4,'领用录入（明细）'!C:C&gt;=$J$4,'领用录入（明细）'!C:C&lt;=$L$4),ROW(),"-")</f>
        <v>-</v>
      </c>
    </row>
    <row r="42636" customHeight="1" spans="2:2">
      <c r="B42636" s="62" t="str">
        <f>IF(AND('领用录入（明细）'!D:D=$F$4,'领用录入（明细）'!C:C&gt;=$J$4,'领用录入（明细）'!C:C&lt;=$L$4),ROW(),"-")</f>
        <v>-</v>
      </c>
    </row>
    <row r="42637" customHeight="1" spans="2:2">
      <c r="B42637" s="62" t="str">
        <f>IF(AND('领用录入（明细）'!D:D=$F$4,'领用录入（明细）'!C:C&gt;=$J$4,'领用录入（明细）'!C:C&lt;=$L$4),ROW(),"-")</f>
        <v>-</v>
      </c>
    </row>
    <row r="42638" customHeight="1" spans="2:2">
      <c r="B42638" s="62" t="str">
        <f>IF(AND('领用录入（明细）'!D:D=$F$4,'领用录入（明细）'!C:C&gt;=$J$4,'领用录入（明细）'!C:C&lt;=$L$4),ROW(),"-")</f>
        <v>-</v>
      </c>
    </row>
    <row r="42639" customHeight="1" spans="2:2">
      <c r="B42639" s="62" t="str">
        <f>IF(AND('领用录入（明细）'!D:D=$F$4,'领用录入（明细）'!C:C&gt;=$J$4,'领用录入（明细）'!C:C&lt;=$L$4),ROW(),"-")</f>
        <v>-</v>
      </c>
    </row>
    <row r="42640" customHeight="1" spans="2:2">
      <c r="B42640" s="62" t="str">
        <f>IF(AND('领用录入（明细）'!D:D=$F$4,'领用录入（明细）'!C:C&gt;=$J$4,'领用录入（明细）'!C:C&lt;=$L$4),ROW(),"-")</f>
        <v>-</v>
      </c>
    </row>
    <row r="42641" customHeight="1" spans="2:2">
      <c r="B42641" s="62" t="str">
        <f>IF(AND('领用录入（明细）'!D:D=$F$4,'领用录入（明细）'!C:C&gt;=$J$4,'领用录入（明细）'!C:C&lt;=$L$4),ROW(),"-")</f>
        <v>-</v>
      </c>
    </row>
    <row r="42642" customHeight="1" spans="2:2">
      <c r="B42642" s="62" t="str">
        <f>IF(AND('领用录入（明细）'!D:D=$F$4,'领用录入（明细）'!C:C&gt;=$J$4,'领用录入（明细）'!C:C&lt;=$L$4),ROW(),"-")</f>
        <v>-</v>
      </c>
    </row>
    <row r="42643" customHeight="1" spans="2:2">
      <c r="B42643" s="62" t="str">
        <f>IF(AND('领用录入（明细）'!D:D=$F$4,'领用录入（明细）'!C:C&gt;=$J$4,'领用录入（明细）'!C:C&lt;=$L$4),ROW(),"-")</f>
        <v>-</v>
      </c>
    </row>
    <row r="42644" customHeight="1" spans="2:2">
      <c r="B42644" s="62" t="str">
        <f>IF(AND('领用录入（明细）'!D:D=$F$4,'领用录入（明细）'!C:C&gt;=$J$4,'领用录入（明细）'!C:C&lt;=$L$4),ROW(),"-")</f>
        <v>-</v>
      </c>
    </row>
    <row r="42645" customHeight="1" spans="2:2">
      <c r="B42645" s="62" t="str">
        <f>IF(AND('领用录入（明细）'!D:D=$F$4,'领用录入（明细）'!C:C&gt;=$J$4,'领用录入（明细）'!C:C&lt;=$L$4),ROW(),"-")</f>
        <v>-</v>
      </c>
    </row>
    <row r="42646" customHeight="1" spans="2:2">
      <c r="B42646" s="62" t="str">
        <f>IF(AND('领用录入（明细）'!D:D=$F$4,'领用录入（明细）'!C:C&gt;=$J$4,'领用录入（明细）'!C:C&lt;=$L$4),ROW(),"-")</f>
        <v>-</v>
      </c>
    </row>
    <row r="42647" customHeight="1" spans="2:2">
      <c r="B42647" s="62" t="str">
        <f>IF(AND('领用录入（明细）'!D:D=$F$4,'领用录入（明细）'!C:C&gt;=$J$4,'领用录入（明细）'!C:C&lt;=$L$4),ROW(),"-")</f>
        <v>-</v>
      </c>
    </row>
    <row r="42648" customHeight="1" spans="2:2">
      <c r="B42648" s="62" t="str">
        <f>IF(AND('领用录入（明细）'!D:D=$F$4,'领用录入（明细）'!C:C&gt;=$J$4,'领用录入（明细）'!C:C&lt;=$L$4),ROW(),"-")</f>
        <v>-</v>
      </c>
    </row>
    <row r="42649" customHeight="1" spans="2:2">
      <c r="B42649" s="62" t="str">
        <f>IF(AND('领用录入（明细）'!D:D=$F$4,'领用录入（明细）'!C:C&gt;=$J$4,'领用录入（明细）'!C:C&lt;=$L$4),ROW(),"-")</f>
        <v>-</v>
      </c>
    </row>
    <row r="42650" customHeight="1" spans="2:2">
      <c r="B42650" s="62" t="str">
        <f>IF(AND('领用录入（明细）'!D:D=$F$4,'领用录入（明细）'!C:C&gt;=$J$4,'领用录入（明细）'!C:C&lt;=$L$4),ROW(),"-")</f>
        <v>-</v>
      </c>
    </row>
    <row r="42651" customHeight="1" spans="2:2">
      <c r="B42651" s="62" t="str">
        <f>IF(AND('领用录入（明细）'!D:D=$F$4,'领用录入（明细）'!C:C&gt;=$J$4,'领用录入（明细）'!C:C&lt;=$L$4),ROW(),"-")</f>
        <v>-</v>
      </c>
    </row>
    <row r="42652" customHeight="1" spans="2:2">
      <c r="B42652" s="62" t="str">
        <f>IF(AND('领用录入（明细）'!D:D=$F$4,'领用录入（明细）'!C:C&gt;=$J$4,'领用录入（明细）'!C:C&lt;=$L$4),ROW(),"-")</f>
        <v>-</v>
      </c>
    </row>
    <row r="42653" customHeight="1" spans="2:2">
      <c r="B42653" s="62" t="str">
        <f>IF(AND('领用录入（明细）'!D:D=$F$4,'领用录入（明细）'!C:C&gt;=$J$4,'领用录入（明细）'!C:C&lt;=$L$4),ROW(),"-")</f>
        <v>-</v>
      </c>
    </row>
    <row r="42654" customHeight="1" spans="2:2">
      <c r="B42654" s="62" t="str">
        <f>IF(AND('领用录入（明细）'!D:D=$F$4,'领用录入（明细）'!C:C&gt;=$J$4,'领用录入（明细）'!C:C&lt;=$L$4),ROW(),"-")</f>
        <v>-</v>
      </c>
    </row>
    <row r="42655" customHeight="1" spans="2:2">
      <c r="B42655" s="62" t="str">
        <f>IF(AND('领用录入（明细）'!D:D=$F$4,'领用录入（明细）'!C:C&gt;=$J$4,'领用录入（明细）'!C:C&lt;=$L$4),ROW(),"-")</f>
        <v>-</v>
      </c>
    </row>
    <row r="42656" customHeight="1" spans="2:2">
      <c r="B42656" s="62" t="str">
        <f>IF(AND('领用录入（明细）'!D:D=$F$4,'领用录入（明细）'!C:C&gt;=$J$4,'领用录入（明细）'!C:C&lt;=$L$4),ROW(),"-")</f>
        <v>-</v>
      </c>
    </row>
    <row r="42657" customHeight="1" spans="2:2">
      <c r="B42657" s="62" t="str">
        <f>IF(AND('领用录入（明细）'!D:D=$F$4,'领用录入（明细）'!C:C&gt;=$J$4,'领用录入（明细）'!C:C&lt;=$L$4),ROW(),"-")</f>
        <v>-</v>
      </c>
    </row>
    <row r="42658" customHeight="1" spans="2:2">
      <c r="B42658" s="62" t="str">
        <f>IF(AND('领用录入（明细）'!D:D=$F$4,'领用录入（明细）'!C:C&gt;=$J$4,'领用录入（明细）'!C:C&lt;=$L$4),ROW(),"-")</f>
        <v>-</v>
      </c>
    </row>
    <row r="42659" customHeight="1" spans="2:2">
      <c r="B42659" s="62" t="str">
        <f>IF(AND('领用录入（明细）'!D:D=$F$4,'领用录入（明细）'!C:C&gt;=$J$4,'领用录入（明细）'!C:C&lt;=$L$4),ROW(),"-")</f>
        <v>-</v>
      </c>
    </row>
    <row r="42660" customHeight="1" spans="2:2">
      <c r="B42660" s="62" t="str">
        <f>IF(AND('领用录入（明细）'!D:D=$F$4,'领用录入（明细）'!C:C&gt;=$J$4,'领用录入（明细）'!C:C&lt;=$L$4),ROW(),"-")</f>
        <v>-</v>
      </c>
    </row>
    <row r="42661" customHeight="1" spans="2:2">
      <c r="B42661" s="62" t="str">
        <f>IF(AND('领用录入（明细）'!D:D=$F$4,'领用录入（明细）'!C:C&gt;=$J$4,'领用录入（明细）'!C:C&lt;=$L$4),ROW(),"-")</f>
        <v>-</v>
      </c>
    </row>
    <row r="42662" customHeight="1" spans="2:2">
      <c r="B42662" s="62" t="str">
        <f>IF(AND('领用录入（明细）'!D:D=$F$4,'领用录入（明细）'!C:C&gt;=$J$4,'领用录入（明细）'!C:C&lt;=$L$4),ROW(),"-")</f>
        <v>-</v>
      </c>
    </row>
    <row r="42663" customHeight="1" spans="2:2">
      <c r="B42663" s="62" t="str">
        <f>IF(AND('领用录入（明细）'!D:D=$F$4,'领用录入（明细）'!C:C&gt;=$J$4,'领用录入（明细）'!C:C&lt;=$L$4),ROW(),"-")</f>
        <v>-</v>
      </c>
    </row>
    <row r="42664" customHeight="1" spans="2:2">
      <c r="B42664" s="62" t="str">
        <f>IF(AND('领用录入（明细）'!D:D=$F$4,'领用录入（明细）'!C:C&gt;=$J$4,'领用录入（明细）'!C:C&lt;=$L$4),ROW(),"-")</f>
        <v>-</v>
      </c>
    </row>
    <row r="42665" customHeight="1" spans="2:2">
      <c r="B42665" s="62" t="str">
        <f>IF(AND('领用录入（明细）'!D:D=$F$4,'领用录入（明细）'!C:C&gt;=$J$4,'领用录入（明细）'!C:C&lt;=$L$4),ROW(),"-")</f>
        <v>-</v>
      </c>
    </row>
    <row r="42666" customHeight="1" spans="2:2">
      <c r="B42666" s="62" t="str">
        <f>IF(AND('领用录入（明细）'!D:D=$F$4,'领用录入（明细）'!C:C&gt;=$J$4,'领用录入（明细）'!C:C&lt;=$L$4),ROW(),"-")</f>
        <v>-</v>
      </c>
    </row>
    <row r="42667" customHeight="1" spans="2:2">
      <c r="B42667" s="62" t="str">
        <f>IF(AND('领用录入（明细）'!D:D=$F$4,'领用录入（明细）'!C:C&gt;=$J$4,'领用录入（明细）'!C:C&lt;=$L$4),ROW(),"-")</f>
        <v>-</v>
      </c>
    </row>
    <row r="42668" customHeight="1" spans="2:2">
      <c r="B42668" s="62" t="str">
        <f>IF(AND('领用录入（明细）'!D:D=$F$4,'领用录入（明细）'!C:C&gt;=$J$4,'领用录入（明细）'!C:C&lt;=$L$4),ROW(),"-")</f>
        <v>-</v>
      </c>
    </row>
    <row r="42669" customHeight="1" spans="2:2">
      <c r="B42669" s="62" t="str">
        <f>IF(AND('领用录入（明细）'!D:D=$F$4,'领用录入（明细）'!C:C&gt;=$J$4,'领用录入（明细）'!C:C&lt;=$L$4),ROW(),"-")</f>
        <v>-</v>
      </c>
    </row>
    <row r="42670" customHeight="1" spans="2:2">
      <c r="B42670" s="62" t="str">
        <f>IF(AND('领用录入（明细）'!D:D=$F$4,'领用录入（明细）'!C:C&gt;=$J$4,'领用录入（明细）'!C:C&lt;=$L$4),ROW(),"-")</f>
        <v>-</v>
      </c>
    </row>
    <row r="42671" customHeight="1" spans="2:2">
      <c r="B42671" s="62" t="str">
        <f>IF(AND('领用录入（明细）'!D:D=$F$4,'领用录入（明细）'!C:C&gt;=$J$4,'领用录入（明细）'!C:C&lt;=$L$4),ROW(),"-")</f>
        <v>-</v>
      </c>
    </row>
    <row r="42672" customHeight="1" spans="2:2">
      <c r="B42672" s="62" t="str">
        <f>IF(AND('领用录入（明细）'!D:D=$F$4,'领用录入（明细）'!C:C&gt;=$J$4,'领用录入（明细）'!C:C&lt;=$L$4),ROW(),"-")</f>
        <v>-</v>
      </c>
    </row>
    <row r="42673" customHeight="1" spans="2:2">
      <c r="B42673" s="62" t="str">
        <f>IF(AND('领用录入（明细）'!D:D=$F$4,'领用录入（明细）'!C:C&gt;=$J$4,'领用录入（明细）'!C:C&lt;=$L$4),ROW(),"-")</f>
        <v>-</v>
      </c>
    </row>
    <row r="42674" customHeight="1" spans="2:2">
      <c r="B42674" s="62" t="str">
        <f>IF(AND('领用录入（明细）'!D:D=$F$4,'领用录入（明细）'!C:C&gt;=$J$4,'领用录入（明细）'!C:C&lt;=$L$4),ROW(),"-")</f>
        <v>-</v>
      </c>
    </row>
    <row r="42675" customHeight="1" spans="2:2">
      <c r="B42675" s="62" t="str">
        <f>IF(AND('领用录入（明细）'!D:D=$F$4,'领用录入（明细）'!C:C&gt;=$J$4,'领用录入（明细）'!C:C&lt;=$L$4),ROW(),"-")</f>
        <v>-</v>
      </c>
    </row>
    <row r="42676" customHeight="1" spans="2:2">
      <c r="B42676" s="62" t="str">
        <f>IF(AND('领用录入（明细）'!D:D=$F$4,'领用录入（明细）'!C:C&gt;=$J$4,'领用录入（明细）'!C:C&lt;=$L$4),ROW(),"-")</f>
        <v>-</v>
      </c>
    </row>
    <row r="42677" customHeight="1" spans="2:2">
      <c r="B42677" s="62" t="str">
        <f>IF(AND('领用录入（明细）'!D:D=$F$4,'领用录入（明细）'!C:C&gt;=$J$4,'领用录入（明细）'!C:C&lt;=$L$4),ROW(),"-")</f>
        <v>-</v>
      </c>
    </row>
    <row r="42678" customHeight="1" spans="2:2">
      <c r="B42678" s="62" t="str">
        <f>IF(AND('领用录入（明细）'!D:D=$F$4,'领用录入（明细）'!C:C&gt;=$J$4,'领用录入（明细）'!C:C&lt;=$L$4),ROW(),"-")</f>
        <v>-</v>
      </c>
    </row>
    <row r="42679" customHeight="1" spans="2:2">
      <c r="B42679" s="62" t="str">
        <f>IF(AND('领用录入（明细）'!D:D=$F$4,'领用录入（明细）'!C:C&gt;=$J$4,'领用录入（明细）'!C:C&lt;=$L$4),ROW(),"-")</f>
        <v>-</v>
      </c>
    </row>
    <row r="42680" customHeight="1" spans="2:2">
      <c r="B42680" s="62" t="str">
        <f>IF(AND('领用录入（明细）'!D:D=$F$4,'领用录入（明细）'!C:C&gt;=$J$4,'领用录入（明细）'!C:C&lt;=$L$4),ROW(),"-")</f>
        <v>-</v>
      </c>
    </row>
    <row r="42681" customHeight="1" spans="2:2">
      <c r="B42681" s="62" t="str">
        <f>IF(AND('领用录入（明细）'!D:D=$F$4,'领用录入（明细）'!C:C&gt;=$J$4,'领用录入（明细）'!C:C&lt;=$L$4),ROW(),"-")</f>
        <v>-</v>
      </c>
    </row>
    <row r="42682" customHeight="1" spans="2:2">
      <c r="B42682" s="62" t="str">
        <f>IF(AND('领用录入（明细）'!D:D=$F$4,'领用录入（明细）'!C:C&gt;=$J$4,'领用录入（明细）'!C:C&lt;=$L$4),ROW(),"-")</f>
        <v>-</v>
      </c>
    </row>
    <row r="42683" customHeight="1" spans="2:2">
      <c r="B42683" s="62" t="str">
        <f>IF(AND('领用录入（明细）'!D:D=$F$4,'领用录入（明细）'!C:C&gt;=$J$4,'领用录入（明细）'!C:C&lt;=$L$4),ROW(),"-")</f>
        <v>-</v>
      </c>
    </row>
    <row r="42684" customHeight="1" spans="2:2">
      <c r="B42684" s="62" t="str">
        <f>IF(AND('领用录入（明细）'!D:D=$F$4,'领用录入（明细）'!C:C&gt;=$J$4,'领用录入（明细）'!C:C&lt;=$L$4),ROW(),"-")</f>
        <v>-</v>
      </c>
    </row>
    <row r="42685" customHeight="1" spans="2:2">
      <c r="B42685" s="62" t="str">
        <f>IF(AND('领用录入（明细）'!D:D=$F$4,'领用录入（明细）'!C:C&gt;=$J$4,'领用录入（明细）'!C:C&lt;=$L$4),ROW(),"-")</f>
        <v>-</v>
      </c>
    </row>
    <row r="42686" customHeight="1" spans="2:2">
      <c r="B42686" s="62" t="str">
        <f>IF(AND('领用录入（明细）'!D:D=$F$4,'领用录入（明细）'!C:C&gt;=$J$4,'领用录入（明细）'!C:C&lt;=$L$4),ROW(),"-")</f>
        <v>-</v>
      </c>
    </row>
    <row r="42687" customHeight="1" spans="2:2">
      <c r="B42687" s="62" t="str">
        <f>IF(AND('领用录入（明细）'!D:D=$F$4,'领用录入（明细）'!C:C&gt;=$J$4,'领用录入（明细）'!C:C&lt;=$L$4),ROW(),"-")</f>
        <v>-</v>
      </c>
    </row>
    <row r="42688" customHeight="1" spans="2:2">
      <c r="B42688" s="62" t="str">
        <f>IF(AND('领用录入（明细）'!D:D=$F$4,'领用录入（明细）'!C:C&gt;=$J$4,'领用录入（明细）'!C:C&lt;=$L$4),ROW(),"-")</f>
        <v>-</v>
      </c>
    </row>
    <row r="42689" customHeight="1" spans="2:2">
      <c r="B42689" s="62" t="str">
        <f>IF(AND('领用录入（明细）'!D:D=$F$4,'领用录入（明细）'!C:C&gt;=$J$4,'领用录入（明细）'!C:C&lt;=$L$4),ROW(),"-")</f>
        <v>-</v>
      </c>
    </row>
    <row r="42690" customHeight="1" spans="2:2">
      <c r="B42690" s="62" t="str">
        <f>IF(AND('领用录入（明细）'!D:D=$F$4,'领用录入（明细）'!C:C&gt;=$J$4,'领用录入（明细）'!C:C&lt;=$L$4),ROW(),"-")</f>
        <v>-</v>
      </c>
    </row>
    <row r="42691" customHeight="1" spans="2:2">
      <c r="B42691" s="62" t="str">
        <f>IF(AND('领用录入（明细）'!D:D=$F$4,'领用录入（明细）'!C:C&gt;=$J$4,'领用录入（明细）'!C:C&lt;=$L$4),ROW(),"-")</f>
        <v>-</v>
      </c>
    </row>
    <row r="42692" customHeight="1" spans="2:2">
      <c r="B42692" s="62" t="str">
        <f>IF(AND('领用录入（明细）'!D:D=$F$4,'领用录入（明细）'!C:C&gt;=$J$4,'领用录入（明细）'!C:C&lt;=$L$4),ROW(),"-")</f>
        <v>-</v>
      </c>
    </row>
    <row r="42693" customHeight="1" spans="2:2">
      <c r="B42693" s="62" t="str">
        <f>IF(AND('领用录入（明细）'!D:D=$F$4,'领用录入（明细）'!C:C&gt;=$J$4,'领用录入（明细）'!C:C&lt;=$L$4),ROW(),"-")</f>
        <v>-</v>
      </c>
    </row>
    <row r="42694" customHeight="1" spans="2:2">
      <c r="B42694" s="62" t="str">
        <f>IF(AND('领用录入（明细）'!D:D=$F$4,'领用录入（明细）'!C:C&gt;=$J$4,'领用录入（明细）'!C:C&lt;=$L$4),ROW(),"-")</f>
        <v>-</v>
      </c>
    </row>
    <row r="42695" customHeight="1" spans="2:2">
      <c r="B42695" s="62" t="str">
        <f>IF(AND('领用录入（明细）'!D:D=$F$4,'领用录入（明细）'!C:C&gt;=$J$4,'领用录入（明细）'!C:C&lt;=$L$4),ROW(),"-")</f>
        <v>-</v>
      </c>
    </row>
    <row r="42696" customHeight="1" spans="2:2">
      <c r="B42696" s="62" t="str">
        <f>IF(AND('领用录入（明细）'!D:D=$F$4,'领用录入（明细）'!C:C&gt;=$J$4,'领用录入（明细）'!C:C&lt;=$L$4),ROW(),"-")</f>
        <v>-</v>
      </c>
    </row>
    <row r="42697" customHeight="1" spans="2:2">
      <c r="B42697" s="62" t="str">
        <f>IF(AND('领用录入（明细）'!D:D=$F$4,'领用录入（明细）'!C:C&gt;=$J$4,'领用录入（明细）'!C:C&lt;=$L$4),ROW(),"-")</f>
        <v>-</v>
      </c>
    </row>
    <row r="42698" customHeight="1" spans="2:2">
      <c r="B42698" s="62" t="str">
        <f>IF(AND('领用录入（明细）'!D:D=$F$4,'领用录入（明细）'!C:C&gt;=$J$4,'领用录入（明细）'!C:C&lt;=$L$4),ROW(),"-")</f>
        <v>-</v>
      </c>
    </row>
    <row r="42699" customHeight="1" spans="2:2">
      <c r="B42699" s="62" t="str">
        <f>IF(AND('领用录入（明细）'!D:D=$F$4,'领用录入（明细）'!C:C&gt;=$J$4,'领用录入（明细）'!C:C&lt;=$L$4),ROW(),"-")</f>
        <v>-</v>
      </c>
    </row>
    <row r="42700" customHeight="1" spans="2:2">
      <c r="B42700" s="62" t="str">
        <f>IF(AND('领用录入（明细）'!D:D=$F$4,'领用录入（明细）'!C:C&gt;=$J$4,'领用录入（明细）'!C:C&lt;=$L$4),ROW(),"-")</f>
        <v>-</v>
      </c>
    </row>
    <row r="42701" customHeight="1" spans="2:2">
      <c r="B42701" s="62" t="str">
        <f>IF(AND('领用录入（明细）'!D:D=$F$4,'领用录入（明细）'!C:C&gt;=$J$4,'领用录入（明细）'!C:C&lt;=$L$4),ROW(),"-")</f>
        <v>-</v>
      </c>
    </row>
    <row r="42702" customHeight="1" spans="2:2">
      <c r="B42702" s="62" t="str">
        <f>IF(AND('领用录入（明细）'!D:D=$F$4,'领用录入（明细）'!C:C&gt;=$J$4,'领用录入（明细）'!C:C&lt;=$L$4),ROW(),"-")</f>
        <v>-</v>
      </c>
    </row>
    <row r="42703" customHeight="1" spans="2:2">
      <c r="B42703" s="62" t="str">
        <f>IF(AND('领用录入（明细）'!D:D=$F$4,'领用录入（明细）'!C:C&gt;=$J$4,'领用录入（明细）'!C:C&lt;=$L$4),ROW(),"-")</f>
        <v>-</v>
      </c>
    </row>
    <row r="42704" customHeight="1" spans="2:2">
      <c r="B42704" s="62" t="str">
        <f>IF(AND('领用录入（明细）'!D:D=$F$4,'领用录入（明细）'!C:C&gt;=$J$4,'领用录入（明细）'!C:C&lt;=$L$4),ROW(),"-")</f>
        <v>-</v>
      </c>
    </row>
    <row r="42705" customHeight="1" spans="2:2">
      <c r="B42705" s="62" t="str">
        <f>IF(AND('领用录入（明细）'!D:D=$F$4,'领用录入（明细）'!C:C&gt;=$J$4,'领用录入（明细）'!C:C&lt;=$L$4),ROW(),"-")</f>
        <v>-</v>
      </c>
    </row>
    <row r="42706" customHeight="1" spans="2:2">
      <c r="B42706" s="62" t="str">
        <f>IF(AND('领用录入（明细）'!D:D=$F$4,'领用录入（明细）'!C:C&gt;=$J$4,'领用录入（明细）'!C:C&lt;=$L$4),ROW(),"-")</f>
        <v>-</v>
      </c>
    </row>
    <row r="42707" customHeight="1" spans="2:2">
      <c r="B42707" s="62" t="str">
        <f>IF(AND('领用录入（明细）'!D:D=$F$4,'领用录入（明细）'!C:C&gt;=$J$4,'领用录入（明细）'!C:C&lt;=$L$4),ROW(),"-")</f>
        <v>-</v>
      </c>
    </row>
    <row r="42708" customHeight="1" spans="2:2">
      <c r="B42708" s="62" t="str">
        <f>IF(AND('领用录入（明细）'!D:D=$F$4,'领用录入（明细）'!C:C&gt;=$J$4,'领用录入（明细）'!C:C&lt;=$L$4),ROW(),"-")</f>
        <v>-</v>
      </c>
    </row>
    <row r="42709" customHeight="1" spans="2:2">
      <c r="B42709" s="62" t="str">
        <f>IF(AND('领用录入（明细）'!D:D=$F$4,'领用录入（明细）'!C:C&gt;=$J$4,'领用录入（明细）'!C:C&lt;=$L$4),ROW(),"-")</f>
        <v>-</v>
      </c>
    </row>
    <row r="42710" customHeight="1" spans="2:2">
      <c r="B42710" s="62" t="str">
        <f>IF(AND('领用录入（明细）'!D:D=$F$4,'领用录入（明细）'!C:C&gt;=$J$4,'领用录入（明细）'!C:C&lt;=$L$4),ROW(),"-")</f>
        <v>-</v>
      </c>
    </row>
    <row r="42711" customHeight="1" spans="2:2">
      <c r="B42711" s="62" t="str">
        <f>IF(AND('领用录入（明细）'!D:D=$F$4,'领用录入（明细）'!C:C&gt;=$J$4,'领用录入（明细）'!C:C&lt;=$L$4),ROW(),"-")</f>
        <v>-</v>
      </c>
    </row>
    <row r="42712" customHeight="1" spans="2:2">
      <c r="B42712" s="62" t="str">
        <f>IF(AND('领用录入（明细）'!D:D=$F$4,'领用录入（明细）'!C:C&gt;=$J$4,'领用录入（明细）'!C:C&lt;=$L$4),ROW(),"-")</f>
        <v>-</v>
      </c>
    </row>
    <row r="42713" customHeight="1" spans="2:2">
      <c r="B42713" s="62" t="str">
        <f>IF(AND('领用录入（明细）'!D:D=$F$4,'领用录入（明细）'!C:C&gt;=$J$4,'领用录入（明细）'!C:C&lt;=$L$4),ROW(),"-")</f>
        <v>-</v>
      </c>
    </row>
    <row r="42714" customHeight="1" spans="2:2">
      <c r="B42714" s="62" t="str">
        <f>IF(AND('领用录入（明细）'!D:D=$F$4,'领用录入（明细）'!C:C&gt;=$J$4,'领用录入（明细）'!C:C&lt;=$L$4),ROW(),"-")</f>
        <v>-</v>
      </c>
    </row>
    <row r="42715" customHeight="1" spans="2:2">
      <c r="B42715" s="62" t="str">
        <f>IF(AND('领用录入（明细）'!D:D=$F$4,'领用录入（明细）'!C:C&gt;=$J$4,'领用录入（明细）'!C:C&lt;=$L$4),ROW(),"-")</f>
        <v>-</v>
      </c>
    </row>
    <row r="42716" customHeight="1" spans="2:2">
      <c r="B42716" s="62" t="str">
        <f>IF(AND('领用录入（明细）'!D:D=$F$4,'领用录入（明细）'!C:C&gt;=$J$4,'领用录入（明细）'!C:C&lt;=$L$4),ROW(),"-")</f>
        <v>-</v>
      </c>
    </row>
    <row r="42717" customHeight="1" spans="2:2">
      <c r="B42717" s="62" t="str">
        <f>IF(AND('领用录入（明细）'!D:D=$F$4,'领用录入（明细）'!C:C&gt;=$J$4,'领用录入（明细）'!C:C&lt;=$L$4),ROW(),"-")</f>
        <v>-</v>
      </c>
    </row>
    <row r="42718" customHeight="1" spans="2:2">
      <c r="B42718" s="62" t="str">
        <f>IF(AND('领用录入（明细）'!D:D=$F$4,'领用录入（明细）'!C:C&gt;=$J$4,'领用录入（明细）'!C:C&lt;=$L$4),ROW(),"-")</f>
        <v>-</v>
      </c>
    </row>
    <row r="42719" customHeight="1" spans="2:2">
      <c r="B42719" s="62" t="str">
        <f>IF(AND('领用录入（明细）'!D:D=$F$4,'领用录入（明细）'!C:C&gt;=$J$4,'领用录入（明细）'!C:C&lt;=$L$4),ROW(),"-")</f>
        <v>-</v>
      </c>
    </row>
    <row r="42720" customHeight="1" spans="2:2">
      <c r="B42720" s="62" t="str">
        <f>IF(AND('领用录入（明细）'!D:D=$F$4,'领用录入（明细）'!C:C&gt;=$J$4,'领用录入（明细）'!C:C&lt;=$L$4),ROW(),"-")</f>
        <v>-</v>
      </c>
    </row>
    <row r="42721" customHeight="1" spans="2:2">
      <c r="B42721" s="62" t="str">
        <f>IF(AND('领用录入（明细）'!D:D=$F$4,'领用录入（明细）'!C:C&gt;=$J$4,'领用录入（明细）'!C:C&lt;=$L$4),ROW(),"-")</f>
        <v>-</v>
      </c>
    </row>
    <row r="42722" customHeight="1" spans="2:2">
      <c r="B42722" s="62" t="str">
        <f>IF(AND('领用录入（明细）'!D:D=$F$4,'领用录入（明细）'!C:C&gt;=$J$4,'领用录入（明细）'!C:C&lt;=$L$4),ROW(),"-")</f>
        <v>-</v>
      </c>
    </row>
    <row r="42723" customHeight="1" spans="2:2">
      <c r="B42723" s="62" t="str">
        <f>IF(AND('领用录入（明细）'!D:D=$F$4,'领用录入（明细）'!C:C&gt;=$J$4,'领用录入（明细）'!C:C&lt;=$L$4),ROW(),"-")</f>
        <v>-</v>
      </c>
    </row>
    <row r="42724" customHeight="1" spans="2:2">
      <c r="B42724" s="62" t="str">
        <f>IF(AND('领用录入（明细）'!D:D=$F$4,'领用录入（明细）'!C:C&gt;=$J$4,'领用录入（明细）'!C:C&lt;=$L$4),ROW(),"-")</f>
        <v>-</v>
      </c>
    </row>
    <row r="42725" customHeight="1" spans="2:2">
      <c r="B42725" s="62" t="str">
        <f>IF(AND('领用录入（明细）'!D:D=$F$4,'领用录入（明细）'!C:C&gt;=$J$4,'领用录入（明细）'!C:C&lt;=$L$4),ROW(),"-")</f>
        <v>-</v>
      </c>
    </row>
    <row r="42726" customHeight="1" spans="2:2">
      <c r="B42726" s="62" t="str">
        <f>IF(AND('领用录入（明细）'!D:D=$F$4,'领用录入（明细）'!C:C&gt;=$J$4,'领用录入（明细）'!C:C&lt;=$L$4),ROW(),"-")</f>
        <v>-</v>
      </c>
    </row>
    <row r="42727" customHeight="1" spans="2:2">
      <c r="B42727" s="62" t="str">
        <f>IF(AND('领用录入（明细）'!D:D=$F$4,'领用录入（明细）'!C:C&gt;=$J$4,'领用录入（明细）'!C:C&lt;=$L$4),ROW(),"-")</f>
        <v>-</v>
      </c>
    </row>
    <row r="42728" customHeight="1" spans="2:2">
      <c r="B42728" s="62" t="str">
        <f>IF(AND('领用录入（明细）'!D:D=$F$4,'领用录入（明细）'!C:C&gt;=$J$4,'领用录入（明细）'!C:C&lt;=$L$4),ROW(),"-")</f>
        <v>-</v>
      </c>
    </row>
    <row r="42729" customHeight="1" spans="2:2">
      <c r="B42729" s="62" t="str">
        <f>IF(AND('领用录入（明细）'!D:D=$F$4,'领用录入（明细）'!C:C&gt;=$J$4,'领用录入（明细）'!C:C&lt;=$L$4),ROW(),"-")</f>
        <v>-</v>
      </c>
    </row>
    <row r="42730" customHeight="1" spans="2:2">
      <c r="B42730" s="62" t="str">
        <f>IF(AND('领用录入（明细）'!D:D=$F$4,'领用录入（明细）'!C:C&gt;=$J$4,'领用录入（明细）'!C:C&lt;=$L$4),ROW(),"-")</f>
        <v>-</v>
      </c>
    </row>
    <row r="42731" customHeight="1" spans="2:2">
      <c r="B42731" s="62" t="str">
        <f>IF(AND('领用录入（明细）'!D:D=$F$4,'领用录入（明细）'!C:C&gt;=$J$4,'领用录入（明细）'!C:C&lt;=$L$4),ROW(),"-")</f>
        <v>-</v>
      </c>
    </row>
    <row r="42732" customHeight="1" spans="2:2">
      <c r="B42732" s="62" t="str">
        <f>IF(AND('领用录入（明细）'!D:D=$F$4,'领用录入（明细）'!C:C&gt;=$J$4,'领用录入（明细）'!C:C&lt;=$L$4),ROW(),"-")</f>
        <v>-</v>
      </c>
    </row>
    <row r="42733" customHeight="1" spans="2:2">
      <c r="B42733" s="62" t="str">
        <f>IF(AND('领用录入（明细）'!D:D=$F$4,'领用录入（明细）'!C:C&gt;=$J$4,'领用录入（明细）'!C:C&lt;=$L$4),ROW(),"-")</f>
        <v>-</v>
      </c>
    </row>
    <row r="42734" customHeight="1" spans="2:2">
      <c r="B42734" s="62" t="str">
        <f>IF(AND('领用录入（明细）'!D:D=$F$4,'领用录入（明细）'!C:C&gt;=$J$4,'领用录入（明细）'!C:C&lt;=$L$4),ROW(),"-")</f>
        <v>-</v>
      </c>
    </row>
    <row r="42735" customHeight="1" spans="2:2">
      <c r="B42735" s="62" t="str">
        <f>IF(AND('领用录入（明细）'!D:D=$F$4,'领用录入（明细）'!C:C&gt;=$J$4,'领用录入（明细）'!C:C&lt;=$L$4),ROW(),"-")</f>
        <v>-</v>
      </c>
    </row>
    <row r="42736" customHeight="1" spans="2:2">
      <c r="B42736" s="62" t="str">
        <f>IF(AND('领用录入（明细）'!D:D=$F$4,'领用录入（明细）'!C:C&gt;=$J$4,'领用录入（明细）'!C:C&lt;=$L$4),ROW(),"-")</f>
        <v>-</v>
      </c>
    </row>
    <row r="42737" customHeight="1" spans="2:2">
      <c r="B42737" s="62" t="str">
        <f>IF(AND('领用录入（明细）'!D:D=$F$4,'领用录入（明细）'!C:C&gt;=$J$4,'领用录入（明细）'!C:C&lt;=$L$4),ROW(),"-")</f>
        <v>-</v>
      </c>
    </row>
    <row r="42738" customHeight="1" spans="2:2">
      <c r="B42738" s="62" t="str">
        <f>IF(AND('领用录入（明细）'!D:D=$F$4,'领用录入（明细）'!C:C&gt;=$J$4,'领用录入（明细）'!C:C&lt;=$L$4),ROW(),"-")</f>
        <v>-</v>
      </c>
    </row>
    <row r="42739" customHeight="1" spans="2:2">
      <c r="B42739" s="62" t="str">
        <f>IF(AND('领用录入（明细）'!D:D=$F$4,'领用录入（明细）'!C:C&gt;=$J$4,'领用录入（明细）'!C:C&lt;=$L$4),ROW(),"-")</f>
        <v>-</v>
      </c>
    </row>
    <row r="42740" customHeight="1" spans="2:2">
      <c r="B42740" s="62" t="str">
        <f>IF(AND('领用录入（明细）'!D:D=$F$4,'领用录入（明细）'!C:C&gt;=$J$4,'领用录入（明细）'!C:C&lt;=$L$4),ROW(),"-")</f>
        <v>-</v>
      </c>
    </row>
    <row r="42741" customHeight="1" spans="2:2">
      <c r="B42741" s="62" t="str">
        <f>IF(AND('领用录入（明细）'!D:D=$F$4,'领用录入（明细）'!C:C&gt;=$J$4,'领用录入（明细）'!C:C&lt;=$L$4),ROW(),"-")</f>
        <v>-</v>
      </c>
    </row>
    <row r="42742" customHeight="1" spans="2:2">
      <c r="B42742" s="62" t="str">
        <f>IF(AND('领用录入（明细）'!D:D=$F$4,'领用录入（明细）'!C:C&gt;=$J$4,'领用录入（明细）'!C:C&lt;=$L$4),ROW(),"-")</f>
        <v>-</v>
      </c>
    </row>
    <row r="42743" customHeight="1" spans="2:2">
      <c r="B42743" s="62" t="str">
        <f>IF(AND('领用录入（明细）'!D:D=$F$4,'领用录入（明细）'!C:C&gt;=$J$4,'领用录入（明细）'!C:C&lt;=$L$4),ROW(),"-")</f>
        <v>-</v>
      </c>
    </row>
    <row r="42744" customHeight="1" spans="2:2">
      <c r="B42744" s="62" t="str">
        <f>IF(AND('领用录入（明细）'!D:D=$F$4,'领用录入（明细）'!C:C&gt;=$J$4,'领用录入（明细）'!C:C&lt;=$L$4),ROW(),"-")</f>
        <v>-</v>
      </c>
    </row>
    <row r="42745" customHeight="1" spans="2:2">
      <c r="B42745" s="62" t="str">
        <f>IF(AND('领用录入（明细）'!D:D=$F$4,'领用录入（明细）'!C:C&gt;=$J$4,'领用录入（明细）'!C:C&lt;=$L$4),ROW(),"-")</f>
        <v>-</v>
      </c>
    </row>
    <row r="42746" customHeight="1" spans="2:2">
      <c r="B42746" s="62" t="str">
        <f>IF(AND('领用录入（明细）'!D:D=$F$4,'领用录入（明细）'!C:C&gt;=$J$4,'领用录入（明细）'!C:C&lt;=$L$4),ROW(),"-")</f>
        <v>-</v>
      </c>
    </row>
    <row r="42747" customHeight="1" spans="2:2">
      <c r="B42747" s="62" t="str">
        <f>IF(AND('领用录入（明细）'!D:D=$F$4,'领用录入（明细）'!C:C&gt;=$J$4,'领用录入（明细）'!C:C&lt;=$L$4),ROW(),"-")</f>
        <v>-</v>
      </c>
    </row>
    <row r="42748" customHeight="1" spans="2:2">
      <c r="B42748" s="62" t="str">
        <f>IF(AND('领用录入（明细）'!D:D=$F$4,'领用录入（明细）'!C:C&gt;=$J$4,'领用录入（明细）'!C:C&lt;=$L$4),ROW(),"-")</f>
        <v>-</v>
      </c>
    </row>
    <row r="42749" customHeight="1" spans="2:2">
      <c r="B42749" s="62" t="str">
        <f>IF(AND('领用录入（明细）'!D:D=$F$4,'领用录入（明细）'!C:C&gt;=$J$4,'领用录入（明细）'!C:C&lt;=$L$4),ROW(),"-")</f>
        <v>-</v>
      </c>
    </row>
    <row r="42750" customHeight="1" spans="2:2">
      <c r="B42750" s="62" t="str">
        <f>IF(AND('领用录入（明细）'!D:D=$F$4,'领用录入（明细）'!C:C&gt;=$J$4,'领用录入（明细）'!C:C&lt;=$L$4),ROW(),"-")</f>
        <v>-</v>
      </c>
    </row>
    <row r="42751" customHeight="1" spans="2:2">
      <c r="B42751" s="62" t="str">
        <f>IF(AND('领用录入（明细）'!D:D=$F$4,'领用录入（明细）'!C:C&gt;=$J$4,'领用录入（明细）'!C:C&lt;=$L$4),ROW(),"-")</f>
        <v>-</v>
      </c>
    </row>
    <row r="42752" customHeight="1" spans="2:2">
      <c r="B42752" s="62" t="str">
        <f>IF(AND('领用录入（明细）'!D:D=$F$4,'领用录入（明细）'!C:C&gt;=$J$4,'领用录入（明细）'!C:C&lt;=$L$4),ROW(),"-")</f>
        <v>-</v>
      </c>
    </row>
    <row r="42753" customHeight="1" spans="2:2">
      <c r="B42753" s="62" t="str">
        <f>IF(AND('领用录入（明细）'!D:D=$F$4,'领用录入（明细）'!C:C&gt;=$J$4,'领用录入（明细）'!C:C&lt;=$L$4),ROW(),"-")</f>
        <v>-</v>
      </c>
    </row>
    <row r="42754" customHeight="1" spans="2:2">
      <c r="B42754" s="62" t="str">
        <f>IF(AND('领用录入（明细）'!D:D=$F$4,'领用录入（明细）'!C:C&gt;=$J$4,'领用录入（明细）'!C:C&lt;=$L$4),ROW(),"-")</f>
        <v>-</v>
      </c>
    </row>
    <row r="42755" customHeight="1" spans="2:2">
      <c r="B42755" s="62" t="str">
        <f>IF(AND('领用录入（明细）'!D:D=$F$4,'领用录入（明细）'!C:C&gt;=$J$4,'领用录入（明细）'!C:C&lt;=$L$4),ROW(),"-")</f>
        <v>-</v>
      </c>
    </row>
    <row r="42756" customHeight="1" spans="2:2">
      <c r="B42756" s="62" t="str">
        <f>IF(AND('领用录入（明细）'!D:D=$F$4,'领用录入（明细）'!C:C&gt;=$J$4,'领用录入（明细）'!C:C&lt;=$L$4),ROW(),"-")</f>
        <v>-</v>
      </c>
    </row>
    <row r="42757" customHeight="1" spans="2:2">
      <c r="B42757" s="62" t="str">
        <f>IF(AND('领用录入（明细）'!D:D=$F$4,'领用录入（明细）'!C:C&gt;=$J$4,'领用录入（明细）'!C:C&lt;=$L$4),ROW(),"-")</f>
        <v>-</v>
      </c>
    </row>
    <row r="42758" customHeight="1" spans="2:2">
      <c r="B42758" s="62" t="str">
        <f>IF(AND('领用录入（明细）'!D:D=$F$4,'领用录入（明细）'!C:C&gt;=$J$4,'领用录入（明细）'!C:C&lt;=$L$4),ROW(),"-")</f>
        <v>-</v>
      </c>
    </row>
    <row r="42759" customHeight="1" spans="2:2">
      <c r="B42759" s="62" t="str">
        <f>IF(AND('领用录入（明细）'!D:D=$F$4,'领用录入（明细）'!C:C&gt;=$J$4,'领用录入（明细）'!C:C&lt;=$L$4),ROW(),"-")</f>
        <v>-</v>
      </c>
    </row>
    <row r="42760" customHeight="1" spans="2:2">
      <c r="B42760" s="62" t="str">
        <f>IF(AND('领用录入（明细）'!D:D=$F$4,'领用录入（明细）'!C:C&gt;=$J$4,'领用录入（明细）'!C:C&lt;=$L$4),ROW(),"-")</f>
        <v>-</v>
      </c>
    </row>
    <row r="42761" customHeight="1" spans="2:2">
      <c r="B42761" s="62" t="str">
        <f>IF(AND('领用录入（明细）'!D:D=$F$4,'领用录入（明细）'!C:C&gt;=$J$4,'领用录入（明细）'!C:C&lt;=$L$4),ROW(),"-")</f>
        <v>-</v>
      </c>
    </row>
    <row r="42762" customHeight="1" spans="2:2">
      <c r="B42762" s="62" t="str">
        <f>IF(AND('领用录入（明细）'!D:D=$F$4,'领用录入（明细）'!C:C&gt;=$J$4,'领用录入（明细）'!C:C&lt;=$L$4),ROW(),"-")</f>
        <v>-</v>
      </c>
    </row>
    <row r="42763" customHeight="1" spans="2:2">
      <c r="B42763" s="62" t="str">
        <f>IF(AND('领用录入（明细）'!D:D=$F$4,'领用录入（明细）'!C:C&gt;=$J$4,'领用录入（明细）'!C:C&lt;=$L$4),ROW(),"-")</f>
        <v>-</v>
      </c>
    </row>
    <row r="42764" customHeight="1" spans="2:2">
      <c r="B42764" s="62" t="str">
        <f>IF(AND('领用录入（明细）'!D:D=$F$4,'领用录入（明细）'!C:C&gt;=$J$4,'领用录入（明细）'!C:C&lt;=$L$4),ROW(),"-")</f>
        <v>-</v>
      </c>
    </row>
    <row r="42765" customHeight="1" spans="2:2">
      <c r="B42765" s="62" t="str">
        <f>IF(AND('领用录入（明细）'!D:D=$F$4,'领用录入（明细）'!C:C&gt;=$J$4,'领用录入（明细）'!C:C&lt;=$L$4),ROW(),"-")</f>
        <v>-</v>
      </c>
    </row>
    <row r="42766" customHeight="1" spans="2:2">
      <c r="B42766" s="62" t="str">
        <f>IF(AND('领用录入（明细）'!D:D=$F$4,'领用录入（明细）'!C:C&gt;=$J$4,'领用录入（明细）'!C:C&lt;=$L$4),ROW(),"-")</f>
        <v>-</v>
      </c>
    </row>
    <row r="42767" customHeight="1" spans="2:2">
      <c r="B42767" s="62" t="str">
        <f>IF(AND('领用录入（明细）'!D:D=$F$4,'领用录入（明细）'!C:C&gt;=$J$4,'领用录入（明细）'!C:C&lt;=$L$4),ROW(),"-")</f>
        <v>-</v>
      </c>
    </row>
    <row r="42768" customHeight="1" spans="2:2">
      <c r="B42768" s="62" t="str">
        <f>IF(AND('领用录入（明细）'!D:D=$F$4,'领用录入（明细）'!C:C&gt;=$J$4,'领用录入（明细）'!C:C&lt;=$L$4),ROW(),"-")</f>
        <v>-</v>
      </c>
    </row>
    <row r="42769" customHeight="1" spans="2:2">
      <c r="B42769" s="62" t="str">
        <f>IF(AND('领用录入（明细）'!D:D=$F$4,'领用录入（明细）'!C:C&gt;=$J$4,'领用录入（明细）'!C:C&lt;=$L$4),ROW(),"-")</f>
        <v>-</v>
      </c>
    </row>
    <row r="42770" customHeight="1" spans="2:2">
      <c r="B42770" s="62" t="str">
        <f>IF(AND('领用录入（明细）'!D:D=$F$4,'领用录入（明细）'!C:C&gt;=$J$4,'领用录入（明细）'!C:C&lt;=$L$4),ROW(),"-")</f>
        <v>-</v>
      </c>
    </row>
    <row r="42771" customHeight="1" spans="2:2">
      <c r="B42771" s="62" t="str">
        <f>IF(AND('领用录入（明细）'!D:D=$F$4,'领用录入（明细）'!C:C&gt;=$J$4,'领用录入（明细）'!C:C&lt;=$L$4),ROW(),"-")</f>
        <v>-</v>
      </c>
    </row>
    <row r="42772" customHeight="1" spans="2:2">
      <c r="B42772" s="62" t="str">
        <f>IF(AND('领用录入（明细）'!D:D=$F$4,'领用录入（明细）'!C:C&gt;=$J$4,'领用录入（明细）'!C:C&lt;=$L$4),ROW(),"-")</f>
        <v>-</v>
      </c>
    </row>
    <row r="42773" customHeight="1" spans="2:2">
      <c r="B42773" s="62" t="str">
        <f>IF(AND('领用录入（明细）'!D:D=$F$4,'领用录入（明细）'!C:C&gt;=$J$4,'领用录入（明细）'!C:C&lt;=$L$4),ROW(),"-")</f>
        <v>-</v>
      </c>
    </row>
    <row r="42774" customHeight="1" spans="2:2">
      <c r="B42774" s="62" t="str">
        <f>IF(AND('领用录入（明细）'!D:D=$F$4,'领用录入（明细）'!C:C&gt;=$J$4,'领用录入（明细）'!C:C&lt;=$L$4),ROW(),"-")</f>
        <v>-</v>
      </c>
    </row>
    <row r="42775" customHeight="1" spans="2:2">
      <c r="B42775" s="62" t="str">
        <f>IF(AND('领用录入（明细）'!D:D=$F$4,'领用录入（明细）'!C:C&gt;=$J$4,'领用录入（明细）'!C:C&lt;=$L$4),ROW(),"-")</f>
        <v>-</v>
      </c>
    </row>
    <row r="42776" customHeight="1" spans="2:2">
      <c r="B42776" s="62" t="str">
        <f>IF(AND('领用录入（明细）'!D:D=$F$4,'领用录入（明细）'!C:C&gt;=$J$4,'领用录入（明细）'!C:C&lt;=$L$4),ROW(),"-")</f>
        <v>-</v>
      </c>
    </row>
    <row r="42777" customHeight="1" spans="2:2">
      <c r="B42777" s="62" t="str">
        <f>IF(AND('领用录入（明细）'!D:D=$F$4,'领用录入（明细）'!C:C&gt;=$J$4,'领用录入（明细）'!C:C&lt;=$L$4),ROW(),"-")</f>
        <v>-</v>
      </c>
    </row>
    <row r="42778" customHeight="1" spans="2:2">
      <c r="B42778" s="62" t="str">
        <f>IF(AND('领用录入（明细）'!D:D=$F$4,'领用录入（明细）'!C:C&gt;=$J$4,'领用录入（明细）'!C:C&lt;=$L$4),ROW(),"-")</f>
        <v>-</v>
      </c>
    </row>
    <row r="42779" customHeight="1" spans="2:2">
      <c r="B42779" s="62" t="str">
        <f>IF(AND('领用录入（明细）'!D:D=$F$4,'领用录入（明细）'!C:C&gt;=$J$4,'领用录入（明细）'!C:C&lt;=$L$4),ROW(),"-")</f>
        <v>-</v>
      </c>
    </row>
    <row r="42780" customHeight="1" spans="2:2">
      <c r="B42780" s="62" t="str">
        <f>IF(AND('领用录入（明细）'!D:D=$F$4,'领用录入（明细）'!C:C&gt;=$J$4,'领用录入（明细）'!C:C&lt;=$L$4),ROW(),"-")</f>
        <v>-</v>
      </c>
    </row>
    <row r="42781" customHeight="1" spans="2:2">
      <c r="B42781" s="62" t="str">
        <f>IF(AND('领用录入（明细）'!D:D=$F$4,'领用录入（明细）'!C:C&gt;=$J$4,'领用录入（明细）'!C:C&lt;=$L$4),ROW(),"-")</f>
        <v>-</v>
      </c>
    </row>
    <row r="42782" customHeight="1" spans="2:2">
      <c r="B42782" s="62" t="str">
        <f>IF(AND('领用录入（明细）'!D:D=$F$4,'领用录入（明细）'!C:C&gt;=$J$4,'领用录入（明细）'!C:C&lt;=$L$4),ROW(),"-")</f>
        <v>-</v>
      </c>
    </row>
    <row r="42783" customHeight="1" spans="2:2">
      <c r="B42783" s="62" t="str">
        <f>IF(AND('领用录入（明细）'!D:D=$F$4,'领用录入（明细）'!C:C&gt;=$J$4,'领用录入（明细）'!C:C&lt;=$L$4),ROW(),"-")</f>
        <v>-</v>
      </c>
    </row>
    <row r="42784" customHeight="1" spans="2:2">
      <c r="B42784" s="62" t="str">
        <f>IF(AND('领用录入（明细）'!D:D=$F$4,'领用录入（明细）'!C:C&gt;=$J$4,'领用录入（明细）'!C:C&lt;=$L$4),ROW(),"-")</f>
        <v>-</v>
      </c>
    </row>
    <row r="42785" customHeight="1" spans="2:2">
      <c r="B42785" s="62" t="str">
        <f>IF(AND('领用录入（明细）'!D:D=$F$4,'领用录入（明细）'!C:C&gt;=$J$4,'领用录入（明细）'!C:C&lt;=$L$4),ROW(),"-")</f>
        <v>-</v>
      </c>
    </row>
    <row r="42786" customHeight="1" spans="2:2">
      <c r="B42786" s="62" t="str">
        <f>IF(AND('领用录入（明细）'!D:D=$F$4,'领用录入（明细）'!C:C&gt;=$J$4,'领用录入（明细）'!C:C&lt;=$L$4),ROW(),"-")</f>
        <v>-</v>
      </c>
    </row>
    <row r="42787" customHeight="1" spans="2:2">
      <c r="B42787" s="62" t="str">
        <f>IF(AND('领用录入（明细）'!D:D=$F$4,'领用录入（明细）'!C:C&gt;=$J$4,'领用录入（明细）'!C:C&lt;=$L$4),ROW(),"-")</f>
        <v>-</v>
      </c>
    </row>
    <row r="42788" customHeight="1" spans="2:2">
      <c r="B42788" s="62" t="str">
        <f>IF(AND('领用录入（明细）'!D:D=$F$4,'领用录入（明细）'!C:C&gt;=$J$4,'领用录入（明细）'!C:C&lt;=$L$4),ROW(),"-")</f>
        <v>-</v>
      </c>
    </row>
    <row r="42789" customHeight="1" spans="2:2">
      <c r="B42789" s="62" t="str">
        <f>IF(AND('领用录入（明细）'!D:D=$F$4,'领用录入（明细）'!C:C&gt;=$J$4,'领用录入（明细）'!C:C&lt;=$L$4),ROW(),"-")</f>
        <v>-</v>
      </c>
    </row>
    <row r="42790" customHeight="1" spans="2:2">
      <c r="B42790" s="62" t="str">
        <f>IF(AND('领用录入（明细）'!D:D=$F$4,'领用录入（明细）'!C:C&gt;=$J$4,'领用录入（明细）'!C:C&lt;=$L$4),ROW(),"-")</f>
        <v>-</v>
      </c>
    </row>
    <row r="42791" customHeight="1" spans="2:2">
      <c r="B42791" s="62" t="str">
        <f>IF(AND('领用录入（明细）'!D:D=$F$4,'领用录入（明细）'!C:C&gt;=$J$4,'领用录入（明细）'!C:C&lt;=$L$4),ROW(),"-")</f>
        <v>-</v>
      </c>
    </row>
    <row r="42792" customHeight="1" spans="2:2">
      <c r="B42792" s="62" t="str">
        <f>IF(AND('领用录入（明细）'!D:D=$F$4,'领用录入（明细）'!C:C&gt;=$J$4,'领用录入（明细）'!C:C&lt;=$L$4),ROW(),"-")</f>
        <v>-</v>
      </c>
    </row>
    <row r="42793" customHeight="1" spans="2:2">
      <c r="B42793" s="62" t="str">
        <f>IF(AND('领用录入（明细）'!D:D=$F$4,'领用录入（明细）'!C:C&gt;=$J$4,'领用录入（明细）'!C:C&lt;=$L$4),ROW(),"-")</f>
        <v>-</v>
      </c>
    </row>
    <row r="42794" customHeight="1" spans="2:2">
      <c r="B42794" s="62" t="str">
        <f>IF(AND('领用录入（明细）'!D:D=$F$4,'领用录入（明细）'!C:C&gt;=$J$4,'领用录入（明细）'!C:C&lt;=$L$4),ROW(),"-")</f>
        <v>-</v>
      </c>
    </row>
    <row r="42795" customHeight="1" spans="2:2">
      <c r="B42795" s="62" t="str">
        <f>IF(AND('领用录入（明细）'!D:D=$F$4,'领用录入（明细）'!C:C&gt;=$J$4,'领用录入（明细）'!C:C&lt;=$L$4),ROW(),"-")</f>
        <v>-</v>
      </c>
    </row>
    <row r="42796" customHeight="1" spans="2:2">
      <c r="B42796" s="62" t="str">
        <f>IF(AND('领用录入（明细）'!D:D=$F$4,'领用录入（明细）'!C:C&gt;=$J$4,'领用录入（明细）'!C:C&lt;=$L$4),ROW(),"-")</f>
        <v>-</v>
      </c>
    </row>
    <row r="42797" customHeight="1" spans="2:2">
      <c r="B42797" s="62" t="str">
        <f>IF(AND('领用录入（明细）'!D:D=$F$4,'领用录入（明细）'!C:C&gt;=$J$4,'领用录入（明细）'!C:C&lt;=$L$4),ROW(),"-")</f>
        <v>-</v>
      </c>
    </row>
    <row r="42798" customHeight="1" spans="2:2">
      <c r="B42798" s="62" t="str">
        <f>IF(AND('领用录入（明细）'!D:D=$F$4,'领用录入（明细）'!C:C&gt;=$J$4,'领用录入（明细）'!C:C&lt;=$L$4),ROW(),"-")</f>
        <v>-</v>
      </c>
    </row>
    <row r="42799" customHeight="1" spans="2:2">
      <c r="B42799" s="62" t="str">
        <f>IF(AND('领用录入（明细）'!D:D=$F$4,'领用录入（明细）'!C:C&gt;=$J$4,'领用录入（明细）'!C:C&lt;=$L$4),ROW(),"-")</f>
        <v>-</v>
      </c>
    </row>
    <row r="42800" customHeight="1" spans="2:2">
      <c r="B42800" s="62" t="str">
        <f>IF(AND('领用录入（明细）'!D:D=$F$4,'领用录入（明细）'!C:C&gt;=$J$4,'领用录入（明细）'!C:C&lt;=$L$4),ROW(),"-")</f>
        <v>-</v>
      </c>
    </row>
    <row r="42801" customHeight="1" spans="2:2">
      <c r="B42801" s="62" t="str">
        <f>IF(AND('领用录入（明细）'!D:D=$F$4,'领用录入（明细）'!C:C&gt;=$J$4,'领用录入（明细）'!C:C&lt;=$L$4),ROW(),"-")</f>
        <v>-</v>
      </c>
    </row>
    <row r="42802" customHeight="1" spans="2:2">
      <c r="B42802" s="62" t="str">
        <f>IF(AND('领用录入（明细）'!D:D=$F$4,'领用录入（明细）'!C:C&gt;=$J$4,'领用录入（明细）'!C:C&lt;=$L$4),ROW(),"-")</f>
        <v>-</v>
      </c>
    </row>
    <row r="42803" customHeight="1" spans="2:2">
      <c r="B42803" s="62" t="str">
        <f>IF(AND('领用录入（明细）'!D:D=$F$4,'领用录入（明细）'!C:C&gt;=$J$4,'领用录入（明细）'!C:C&lt;=$L$4),ROW(),"-")</f>
        <v>-</v>
      </c>
    </row>
    <row r="42804" customHeight="1" spans="2:2">
      <c r="B42804" s="62" t="str">
        <f>IF(AND('领用录入（明细）'!D:D=$F$4,'领用录入（明细）'!C:C&gt;=$J$4,'领用录入（明细）'!C:C&lt;=$L$4),ROW(),"-")</f>
        <v>-</v>
      </c>
    </row>
    <row r="42805" customHeight="1" spans="2:2">
      <c r="B42805" s="62" t="str">
        <f>IF(AND('领用录入（明细）'!D:D=$F$4,'领用录入（明细）'!C:C&gt;=$J$4,'领用录入（明细）'!C:C&lt;=$L$4),ROW(),"-")</f>
        <v>-</v>
      </c>
    </row>
    <row r="42806" customHeight="1" spans="2:2">
      <c r="B42806" s="62" t="str">
        <f>IF(AND('领用录入（明细）'!D:D=$F$4,'领用录入（明细）'!C:C&gt;=$J$4,'领用录入（明细）'!C:C&lt;=$L$4),ROW(),"-")</f>
        <v>-</v>
      </c>
    </row>
    <row r="42807" customHeight="1" spans="2:2">
      <c r="B42807" s="62" t="str">
        <f>IF(AND('领用录入（明细）'!D:D=$F$4,'领用录入（明细）'!C:C&gt;=$J$4,'领用录入（明细）'!C:C&lt;=$L$4),ROW(),"-")</f>
        <v>-</v>
      </c>
    </row>
    <row r="42808" customHeight="1" spans="2:2">
      <c r="B42808" s="62" t="str">
        <f>IF(AND('领用录入（明细）'!D:D=$F$4,'领用录入（明细）'!C:C&gt;=$J$4,'领用录入（明细）'!C:C&lt;=$L$4),ROW(),"-")</f>
        <v>-</v>
      </c>
    </row>
    <row r="42809" customHeight="1" spans="2:2">
      <c r="B42809" s="62" t="str">
        <f>IF(AND('领用录入（明细）'!D:D=$F$4,'领用录入（明细）'!C:C&gt;=$J$4,'领用录入（明细）'!C:C&lt;=$L$4),ROW(),"-")</f>
        <v>-</v>
      </c>
    </row>
    <row r="42810" customHeight="1" spans="2:2">
      <c r="B42810" s="62" t="str">
        <f>IF(AND('领用录入（明细）'!D:D=$F$4,'领用录入（明细）'!C:C&gt;=$J$4,'领用录入（明细）'!C:C&lt;=$L$4),ROW(),"-")</f>
        <v>-</v>
      </c>
    </row>
    <row r="42811" customHeight="1" spans="2:2">
      <c r="B42811" s="62" t="str">
        <f>IF(AND('领用录入（明细）'!D:D=$F$4,'领用录入（明细）'!C:C&gt;=$J$4,'领用录入（明细）'!C:C&lt;=$L$4),ROW(),"-")</f>
        <v>-</v>
      </c>
    </row>
    <row r="42812" customHeight="1" spans="2:2">
      <c r="B42812" s="62" t="str">
        <f>IF(AND('领用录入（明细）'!D:D=$F$4,'领用录入（明细）'!C:C&gt;=$J$4,'领用录入（明细）'!C:C&lt;=$L$4),ROW(),"-")</f>
        <v>-</v>
      </c>
    </row>
    <row r="42813" customHeight="1" spans="2:2">
      <c r="B42813" s="62" t="str">
        <f>IF(AND('领用录入（明细）'!D:D=$F$4,'领用录入（明细）'!C:C&gt;=$J$4,'领用录入（明细）'!C:C&lt;=$L$4),ROW(),"-")</f>
        <v>-</v>
      </c>
    </row>
    <row r="42814" customHeight="1" spans="2:2">
      <c r="B42814" s="62" t="str">
        <f>IF(AND('领用录入（明细）'!D:D=$F$4,'领用录入（明细）'!C:C&gt;=$J$4,'领用录入（明细）'!C:C&lt;=$L$4),ROW(),"-")</f>
        <v>-</v>
      </c>
    </row>
    <row r="42815" customHeight="1" spans="2:2">
      <c r="B42815" s="62" t="str">
        <f>IF(AND('领用录入（明细）'!D:D=$F$4,'领用录入（明细）'!C:C&gt;=$J$4,'领用录入（明细）'!C:C&lt;=$L$4),ROW(),"-")</f>
        <v>-</v>
      </c>
    </row>
    <row r="42816" customHeight="1" spans="2:2">
      <c r="B42816" s="62" t="str">
        <f>IF(AND('领用录入（明细）'!D:D=$F$4,'领用录入（明细）'!C:C&gt;=$J$4,'领用录入（明细）'!C:C&lt;=$L$4),ROW(),"-")</f>
        <v>-</v>
      </c>
    </row>
    <row r="42817" customHeight="1" spans="2:2">
      <c r="B42817" s="62" t="str">
        <f>IF(AND('领用录入（明细）'!D:D=$F$4,'领用录入（明细）'!C:C&gt;=$J$4,'领用录入（明细）'!C:C&lt;=$L$4),ROW(),"-")</f>
        <v>-</v>
      </c>
    </row>
    <row r="42818" customHeight="1" spans="2:2">
      <c r="B42818" s="62" t="str">
        <f>IF(AND('领用录入（明细）'!D:D=$F$4,'领用录入（明细）'!C:C&gt;=$J$4,'领用录入（明细）'!C:C&lt;=$L$4),ROW(),"-")</f>
        <v>-</v>
      </c>
    </row>
    <row r="42819" customHeight="1" spans="2:2">
      <c r="B42819" s="62" t="str">
        <f>IF(AND('领用录入（明细）'!D:D=$F$4,'领用录入（明细）'!C:C&gt;=$J$4,'领用录入（明细）'!C:C&lt;=$L$4),ROW(),"-")</f>
        <v>-</v>
      </c>
    </row>
    <row r="42820" customHeight="1" spans="2:2">
      <c r="B42820" s="62" t="str">
        <f>IF(AND('领用录入（明细）'!D:D=$F$4,'领用录入（明细）'!C:C&gt;=$J$4,'领用录入（明细）'!C:C&lt;=$L$4),ROW(),"-")</f>
        <v>-</v>
      </c>
    </row>
    <row r="42821" customHeight="1" spans="2:2">
      <c r="B42821" s="62" t="str">
        <f>IF(AND('领用录入（明细）'!D:D=$F$4,'领用录入（明细）'!C:C&gt;=$J$4,'领用录入（明细）'!C:C&lt;=$L$4),ROW(),"-")</f>
        <v>-</v>
      </c>
    </row>
    <row r="42822" customHeight="1" spans="2:2">
      <c r="B42822" s="62" t="str">
        <f>IF(AND('领用录入（明细）'!D:D=$F$4,'领用录入（明细）'!C:C&gt;=$J$4,'领用录入（明细）'!C:C&lt;=$L$4),ROW(),"-")</f>
        <v>-</v>
      </c>
    </row>
    <row r="42823" customHeight="1" spans="2:2">
      <c r="B42823" s="62" t="str">
        <f>IF(AND('领用录入（明细）'!D:D=$F$4,'领用录入（明细）'!C:C&gt;=$J$4,'领用录入（明细）'!C:C&lt;=$L$4),ROW(),"-")</f>
        <v>-</v>
      </c>
    </row>
    <row r="42824" customHeight="1" spans="2:2">
      <c r="B42824" s="62" t="str">
        <f>IF(AND('领用录入（明细）'!D:D=$F$4,'领用录入（明细）'!C:C&gt;=$J$4,'领用录入（明细）'!C:C&lt;=$L$4),ROW(),"-")</f>
        <v>-</v>
      </c>
    </row>
    <row r="42825" customHeight="1" spans="2:2">
      <c r="B42825" s="62" t="str">
        <f>IF(AND('领用录入（明细）'!D:D=$F$4,'领用录入（明细）'!C:C&gt;=$J$4,'领用录入（明细）'!C:C&lt;=$L$4),ROW(),"-")</f>
        <v>-</v>
      </c>
    </row>
    <row r="42826" customHeight="1" spans="2:2">
      <c r="B42826" s="62" t="str">
        <f>IF(AND('领用录入（明细）'!D:D=$F$4,'领用录入（明细）'!C:C&gt;=$J$4,'领用录入（明细）'!C:C&lt;=$L$4),ROW(),"-")</f>
        <v>-</v>
      </c>
    </row>
    <row r="42827" customHeight="1" spans="2:2">
      <c r="B42827" s="62" t="str">
        <f>IF(AND('领用录入（明细）'!D:D=$F$4,'领用录入（明细）'!C:C&gt;=$J$4,'领用录入（明细）'!C:C&lt;=$L$4),ROW(),"-")</f>
        <v>-</v>
      </c>
    </row>
    <row r="42828" customHeight="1" spans="2:2">
      <c r="B42828" s="62" t="str">
        <f>IF(AND('领用录入（明细）'!D:D=$F$4,'领用录入（明细）'!C:C&gt;=$J$4,'领用录入（明细）'!C:C&lt;=$L$4),ROW(),"-")</f>
        <v>-</v>
      </c>
    </row>
    <row r="42829" customHeight="1" spans="2:2">
      <c r="B42829" s="62" t="str">
        <f>IF(AND('领用录入（明细）'!D:D=$F$4,'领用录入（明细）'!C:C&gt;=$J$4,'领用录入（明细）'!C:C&lt;=$L$4),ROW(),"-")</f>
        <v>-</v>
      </c>
    </row>
    <row r="42830" customHeight="1" spans="2:2">
      <c r="B42830" s="62" t="str">
        <f>IF(AND('领用录入（明细）'!D:D=$F$4,'领用录入（明细）'!C:C&gt;=$J$4,'领用录入（明细）'!C:C&lt;=$L$4),ROW(),"-")</f>
        <v>-</v>
      </c>
    </row>
    <row r="42831" customHeight="1" spans="2:2">
      <c r="B42831" s="62" t="str">
        <f>IF(AND('领用录入（明细）'!D:D=$F$4,'领用录入（明细）'!C:C&gt;=$J$4,'领用录入（明细）'!C:C&lt;=$L$4),ROW(),"-")</f>
        <v>-</v>
      </c>
    </row>
    <row r="42832" customHeight="1" spans="2:2">
      <c r="B42832" s="62" t="str">
        <f>IF(AND('领用录入（明细）'!D:D=$F$4,'领用录入（明细）'!C:C&gt;=$J$4,'领用录入（明细）'!C:C&lt;=$L$4),ROW(),"-")</f>
        <v>-</v>
      </c>
    </row>
    <row r="42833" customHeight="1" spans="2:2">
      <c r="B42833" s="62" t="str">
        <f>IF(AND('领用录入（明细）'!D:D=$F$4,'领用录入（明细）'!C:C&gt;=$J$4,'领用录入（明细）'!C:C&lt;=$L$4),ROW(),"-")</f>
        <v>-</v>
      </c>
    </row>
    <row r="42834" customHeight="1" spans="2:2">
      <c r="B42834" s="62" t="str">
        <f>IF(AND('领用录入（明细）'!D:D=$F$4,'领用录入（明细）'!C:C&gt;=$J$4,'领用录入（明细）'!C:C&lt;=$L$4),ROW(),"-")</f>
        <v>-</v>
      </c>
    </row>
    <row r="42835" customHeight="1" spans="2:2">
      <c r="B42835" s="62" t="str">
        <f>IF(AND('领用录入（明细）'!D:D=$F$4,'领用录入（明细）'!C:C&gt;=$J$4,'领用录入（明细）'!C:C&lt;=$L$4),ROW(),"-")</f>
        <v>-</v>
      </c>
    </row>
    <row r="42836" customHeight="1" spans="2:2">
      <c r="B42836" s="62" t="str">
        <f>IF(AND('领用录入（明细）'!D:D=$F$4,'领用录入（明细）'!C:C&gt;=$J$4,'领用录入（明细）'!C:C&lt;=$L$4),ROW(),"-")</f>
        <v>-</v>
      </c>
    </row>
    <row r="42837" customHeight="1" spans="2:2">
      <c r="B42837" s="62" t="str">
        <f>IF(AND('领用录入（明细）'!D:D=$F$4,'领用录入（明细）'!C:C&gt;=$J$4,'领用录入（明细）'!C:C&lt;=$L$4),ROW(),"-")</f>
        <v>-</v>
      </c>
    </row>
    <row r="42838" customHeight="1" spans="2:2">
      <c r="B42838" s="62" t="str">
        <f>IF(AND('领用录入（明细）'!D:D=$F$4,'领用录入（明细）'!C:C&gt;=$J$4,'领用录入（明细）'!C:C&lt;=$L$4),ROW(),"-")</f>
        <v>-</v>
      </c>
    </row>
    <row r="42839" customHeight="1" spans="2:2">
      <c r="B42839" s="62" t="str">
        <f>IF(AND('领用录入（明细）'!D:D=$F$4,'领用录入（明细）'!C:C&gt;=$J$4,'领用录入（明细）'!C:C&lt;=$L$4),ROW(),"-")</f>
        <v>-</v>
      </c>
    </row>
    <row r="42840" customHeight="1" spans="2:2">
      <c r="B42840" s="62" t="str">
        <f>IF(AND('领用录入（明细）'!D:D=$F$4,'领用录入（明细）'!C:C&gt;=$J$4,'领用录入（明细）'!C:C&lt;=$L$4),ROW(),"-")</f>
        <v>-</v>
      </c>
    </row>
    <row r="42841" customHeight="1" spans="2:2">
      <c r="B42841" s="62" t="str">
        <f>IF(AND('领用录入（明细）'!D:D=$F$4,'领用录入（明细）'!C:C&gt;=$J$4,'领用录入（明细）'!C:C&lt;=$L$4),ROW(),"-")</f>
        <v>-</v>
      </c>
    </row>
    <row r="42842" customHeight="1" spans="2:2">
      <c r="B42842" s="62" t="str">
        <f>IF(AND('领用录入（明细）'!D:D=$F$4,'领用录入（明细）'!C:C&gt;=$J$4,'领用录入（明细）'!C:C&lt;=$L$4),ROW(),"-")</f>
        <v>-</v>
      </c>
    </row>
    <row r="42843" customHeight="1" spans="2:2">
      <c r="B42843" s="62" t="str">
        <f>IF(AND('领用录入（明细）'!D:D=$F$4,'领用录入（明细）'!C:C&gt;=$J$4,'领用录入（明细）'!C:C&lt;=$L$4),ROW(),"-")</f>
        <v>-</v>
      </c>
    </row>
    <row r="42844" customHeight="1" spans="2:2">
      <c r="B42844" s="62" t="str">
        <f>IF(AND('领用录入（明细）'!D:D=$F$4,'领用录入（明细）'!C:C&gt;=$J$4,'领用录入（明细）'!C:C&lt;=$L$4),ROW(),"-")</f>
        <v>-</v>
      </c>
    </row>
    <row r="42845" customHeight="1" spans="2:2">
      <c r="B42845" s="62" t="str">
        <f>IF(AND('领用录入（明细）'!D:D=$F$4,'领用录入（明细）'!C:C&gt;=$J$4,'领用录入（明细）'!C:C&lt;=$L$4),ROW(),"-")</f>
        <v>-</v>
      </c>
    </row>
    <row r="42846" customHeight="1" spans="2:2">
      <c r="B42846" s="62" t="str">
        <f>IF(AND('领用录入（明细）'!D:D=$F$4,'领用录入（明细）'!C:C&gt;=$J$4,'领用录入（明细）'!C:C&lt;=$L$4),ROW(),"-")</f>
        <v>-</v>
      </c>
    </row>
    <row r="42847" customHeight="1" spans="2:2">
      <c r="B42847" s="62" t="str">
        <f>IF(AND('领用录入（明细）'!D:D=$F$4,'领用录入（明细）'!C:C&gt;=$J$4,'领用录入（明细）'!C:C&lt;=$L$4),ROW(),"-")</f>
        <v>-</v>
      </c>
    </row>
    <row r="42848" customHeight="1" spans="2:2">
      <c r="B42848" s="62" t="str">
        <f>IF(AND('领用录入（明细）'!D:D=$F$4,'领用录入（明细）'!C:C&gt;=$J$4,'领用录入（明细）'!C:C&lt;=$L$4),ROW(),"-")</f>
        <v>-</v>
      </c>
    </row>
    <row r="42849" customHeight="1" spans="2:2">
      <c r="B42849" s="62" t="str">
        <f>IF(AND('领用录入（明细）'!D:D=$F$4,'领用录入（明细）'!C:C&gt;=$J$4,'领用录入（明细）'!C:C&lt;=$L$4),ROW(),"-")</f>
        <v>-</v>
      </c>
    </row>
    <row r="42850" customHeight="1" spans="2:2">
      <c r="B42850" s="62" t="str">
        <f>IF(AND('领用录入（明细）'!D:D=$F$4,'领用录入（明细）'!C:C&gt;=$J$4,'领用录入（明细）'!C:C&lt;=$L$4),ROW(),"-")</f>
        <v>-</v>
      </c>
    </row>
    <row r="42851" customHeight="1" spans="2:2">
      <c r="B42851" s="62" t="str">
        <f>IF(AND('领用录入（明细）'!D:D=$F$4,'领用录入（明细）'!C:C&gt;=$J$4,'领用录入（明细）'!C:C&lt;=$L$4),ROW(),"-")</f>
        <v>-</v>
      </c>
    </row>
    <row r="42852" customHeight="1" spans="2:2">
      <c r="B42852" s="62" t="str">
        <f>IF(AND('领用录入（明细）'!D:D=$F$4,'领用录入（明细）'!C:C&gt;=$J$4,'领用录入（明细）'!C:C&lt;=$L$4),ROW(),"-")</f>
        <v>-</v>
      </c>
    </row>
    <row r="42853" customHeight="1" spans="2:2">
      <c r="B42853" s="62" t="str">
        <f>IF(AND('领用录入（明细）'!D:D=$F$4,'领用录入（明细）'!C:C&gt;=$J$4,'领用录入（明细）'!C:C&lt;=$L$4),ROW(),"-")</f>
        <v>-</v>
      </c>
    </row>
    <row r="42854" customHeight="1" spans="2:2">
      <c r="B42854" s="62" t="str">
        <f>IF(AND('领用录入（明细）'!D:D=$F$4,'领用录入（明细）'!C:C&gt;=$J$4,'领用录入（明细）'!C:C&lt;=$L$4),ROW(),"-")</f>
        <v>-</v>
      </c>
    </row>
    <row r="42855" customHeight="1" spans="2:2">
      <c r="B42855" s="62" t="str">
        <f>IF(AND('领用录入（明细）'!D:D=$F$4,'领用录入（明细）'!C:C&gt;=$J$4,'领用录入（明细）'!C:C&lt;=$L$4),ROW(),"-")</f>
        <v>-</v>
      </c>
    </row>
    <row r="42856" customHeight="1" spans="2:2">
      <c r="B42856" s="62" t="str">
        <f>IF(AND('领用录入（明细）'!D:D=$F$4,'领用录入（明细）'!C:C&gt;=$J$4,'领用录入（明细）'!C:C&lt;=$L$4),ROW(),"-")</f>
        <v>-</v>
      </c>
    </row>
    <row r="42857" customHeight="1" spans="2:2">
      <c r="B42857" s="62" t="str">
        <f>IF(AND('领用录入（明细）'!D:D=$F$4,'领用录入（明细）'!C:C&gt;=$J$4,'领用录入（明细）'!C:C&lt;=$L$4),ROW(),"-")</f>
        <v>-</v>
      </c>
    </row>
    <row r="42858" customHeight="1" spans="2:2">
      <c r="B42858" s="62" t="str">
        <f>IF(AND('领用录入（明细）'!D:D=$F$4,'领用录入（明细）'!C:C&gt;=$J$4,'领用录入（明细）'!C:C&lt;=$L$4),ROW(),"-")</f>
        <v>-</v>
      </c>
    </row>
    <row r="42859" customHeight="1" spans="2:2">
      <c r="B42859" s="62" t="str">
        <f>IF(AND('领用录入（明细）'!D:D=$F$4,'领用录入（明细）'!C:C&gt;=$J$4,'领用录入（明细）'!C:C&lt;=$L$4),ROW(),"-")</f>
        <v>-</v>
      </c>
    </row>
    <row r="42860" customHeight="1" spans="2:2">
      <c r="B42860" s="62" t="str">
        <f>IF(AND('领用录入（明细）'!D:D=$F$4,'领用录入（明细）'!C:C&gt;=$J$4,'领用录入（明细）'!C:C&lt;=$L$4),ROW(),"-")</f>
        <v>-</v>
      </c>
    </row>
    <row r="42861" customHeight="1" spans="2:2">
      <c r="B42861" s="62" t="str">
        <f>IF(AND('领用录入（明细）'!D:D=$F$4,'领用录入（明细）'!C:C&gt;=$J$4,'领用录入（明细）'!C:C&lt;=$L$4),ROW(),"-")</f>
        <v>-</v>
      </c>
    </row>
    <row r="42862" customHeight="1" spans="2:2">
      <c r="B42862" s="62" t="str">
        <f>IF(AND('领用录入（明细）'!D:D=$F$4,'领用录入（明细）'!C:C&gt;=$J$4,'领用录入（明细）'!C:C&lt;=$L$4),ROW(),"-")</f>
        <v>-</v>
      </c>
    </row>
    <row r="42863" customHeight="1" spans="2:2">
      <c r="B42863" s="62" t="str">
        <f>IF(AND('领用录入（明细）'!D:D=$F$4,'领用录入（明细）'!C:C&gt;=$J$4,'领用录入（明细）'!C:C&lt;=$L$4),ROW(),"-")</f>
        <v>-</v>
      </c>
    </row>
    <row r="42864" customHeight="1" spans="2:2">
      <c r="B42864" s="62" t="str">
        <f>IF(AND('领用录入（明细）'!D:D=$F$4,'领用录入（明细）'!C:C&gt;=$J$4,'领用录入（明细）'!C:C&lt;=$L$4),ROW(),"-")</f>
        <v>-</v>
      </c>
    </row>
    <row r="42865" customHeight="1" spans="2:2">
      <c r="B42865" s="62" t="str">
        <f>IF(AND('领用录入（明细）'!D:D=$F$4,'领用录入（明细）'!C:C&gt;=$J$4,'领用录入（明细）'!C:C&lt;=$L$4),ROW(),"-")</f>
        <v>-</v>
      </c>
    </row>
    <row r="42866" customHeight="1" spans="2:2">
      <c r="B42866" s="62" t="str">
        <f>IF(AND('领用录入（明细）'!D:D=$F$4,'领用录入（明细）'!C:C&gt;=$J$4,'领用录入（明细）'!C:C&lt;=$L$4),ROW(),"-")</f>
        <v>-</v>
      </c>
    </row>
    <row r="42867" customHeight="1" spans="2:2">
      <c r="B42867" s="62" t="str">
        <f>IF(AND('领用录入（明细）'!D:D=$F$4,'领用录入（明细）'!C:C&gt;=$J$4,'领用录入（明细）'!C:C&lt;=$L$4),ROW(),"-")</f>
        <v>-</v>
      </c>
    </row>
    <row r="42868" customHeight="1" spans="2:2">
      <c r="B42868" s="62" t="str">
        <f>IF(AND('领用录入（明细）'!D:D=$F$4,'领用录入（明细）'!C:C&gt;=$J$4,'领用录入（明细）'!C:C&lt;=$L$4),ROW(),"-")</f>
        <v>-</v>
      </c>
    </row>
    <row r="42869" customHeight="1" spans="2:2">
      <c r="B42869" s="62" t="str">
        <f>IF(AND('领用录入（明细）'!D:D=$F$4,'领用录入（明细）'!C:C&gt;=$J$4,'领用录入（明细）'!C:C&lt;=$L$4),ROW(),"-")</f>
        <v>-</v>
      </c>
    </row>
    <row r="42870" customHeight="1" spans="2:2">
      <c r="B42870" s="62" t="str">
        <f>IF(AND('领用录入（明细）'!D:D=$F$4,'领用录入（明细）'!C:C&gt;=$J$4,'领用录入（明细）'!C:C&lt;=$L$4),ROW(),"-")</f>
        <v>-</v>
      </c>
    </row>
    <row r="42871" customHeight="1" spans="2:2">
      <c r="B42871" s="62" t="str">
        <f>IF(AND('领用录入（明细）'!D:D=$F$4,'领用录入（明细）'!C:C&gt;=$J$4,'领用录入（明细）'!C:C&lt;=$L$4),ROW(),"-")</f>
        <v>-</v>
      </c>
    </row>
    <row r="42872" customHeight="1" spans="2:2">
      <c r="B42872" s="62" t="str">
        <f>IF(AND('领用录入（明细）'!D:D=$F$4,'领用录入（明细）'!C:C&gt;=$J$4,'领用录入（明细）'!C:C&lt;=$L$4),ROW(),"-")</f>
        <v>-</v>
      </c>
    </row>
    <row r="42873" customHeight="1" spans="2:2">
      <c r="B42873" s="62" t="str">
        <f>IF(AND('领用录入（明细）'!D:D=$F$4,'领用录入（明细）'!C:C&gt;=$J$4,'领用录入（明细）'!C:C&lt;=$L$4),ROW(),"-")</f>
        <v>-</v>
      </c>
    </row>
    <row r="42874" customHeight="1" spans="2:2">
      <c r="B42874" s="62" t="str">
        <f>IF(AND('领用录入（明细）'!D:D=$F$4,'领用录入（明细）'!C:C&gt;=$J$4,'领用录入（明细）'!C:C&lt;=$L$4),ROW(),"-")</f>
        <v>-</v>
      </c>
    </row>
    <row r="42875" customHeight="1" spans="2:2">
      <c r="B42875" s="62" t="str">
        <f>IF(AND('领用录入（明细）'!D:D=$F$4,'领用录入（明细）'!C:C&gt;=$J$4,'领用录入（明细）'!C:C&lt;=$L$4),ROW(),"-")</f>
        <v>-</v>
      </c>
    </row>
    <row r="42876" customHeight="1" spans="2:2">
      <c r="B42876" s="62" t="str">
        <f>IF(AND('领用录入（明细）'!D:D=$F$4,'领用录入（明细）'!C:C&gt;=$J$4,'领用录入（明细）'!C:C&lt;=$L$4),ROW(),"-")</f>
        <v>-</v>
      </c>
    </row>
    <row r="42877" customHeight="1" spans="2:2">
      <c r="B42877" s="62" t="str">
        <f>IF(AND('领用录入（明细）'!D:D=$F$4,'领用录入（明细）'!C:C&gt;=$J$4,'领用录入（明细）'!C:C&lt;=$L$4),ROW(),"-")</f>
        <v>-</v>
      </c>
    </row>
    <row r="42878" customHeight="1" spans="2:2">
      <c r="B42878" s="62" t="str">
        <f>IF(AND('领用录入（明细）'!D:D=$F$4,'领用录入（明细）'!C:C&gt;=$J$4,'领用录入（明细）'!C:C&lt;=$L$4),ROW(),"-")</f>
        <v>-</v>
      </c>
    </row>
    <row r="42879" customHeight="1" spans="2:2">
      <c r="B42879" s="62" t="str">
        <f>IF(AND('领用录入（明细）'!D:D=$F$4,'领用录入（明细）'!C:C&gt;=$J$4,'领用录入（明细）'!C:C&lt;=$L$4),ROW(),"-")</f>
        <v>-</v>
      </c>
    </row>
    <row r="42880" customHeight="1" spans="2:2">
      <c r="B42880" s="62" t="str">
        <f>IF(AND('领用录入（明细）'!D:D=$F$4,'领用录入（明细）'!C:C&gt;=$J$4,'领用录入（明细）'!C:C&lt;=$L$4),ROW(),"-")</f>
        <v>-</v>
      </c>
    </row>
    <row r="42881" customHeight="1" spans="2:2">
      <c r="B42881" s="62" t="str">
        <f>IF(AND('领用录入（明细）'!D:D=$F$4,'领用录入（明细）'!C:C&gt;=$J$4,'领用录入（明细）'!C:C&lt;=$L$4),ROW(),"-")</f>
        <v>-</v>
      </c>
    </row>
    <row r="42882" customHeight="1" spans="2:2">
      <c r="B42882" s="62" t="str">
        <f>IF(AND('领用录入（明细）'!D:D=$F$4,'领用录入（明细）'!C:C&gt;=$J$4,'领用录入（明细）'!C:C&lt;=$L$4),ROW(),"-")</f>
        <v>-</v>
      </c>
    </row>
    <row r="42883" customHeight="1" spans="2:2">
      <c r="B42883" s="62" t="str">
        <f>IF(AND('领用录入（明细）'!D:D=$F$4,'领用录入（明细）'!C:C&gt;=$J$4,'领用录入（明细）'!C:C&lt;=$L$4),ROW(),"-")</f>
        <v>-</v>
      </c>
    </row>
    <row r="42884" customHeight="1" spans="2:2">
      <c r="B42884" s="62" t="str">
        <f>IF(AND('领用录入（明细）'!D:D=$F$4,'领用录入（明细）'!C:C&gt;=$J$4,'领用录入（明细）'!C:C&lt;=$L$4),ROW(),"-")</f>
        <v>-</v>
      </c>
    </row>
    <row r="42885" customHeight="1" spans="2:2">
      <c r="B42885" s="62" t="str">
        <f>IF(AND('领用录入（明细）'!D:D=$F$4,'领用录入（明细）'!C:C&gt;=$J$4,'领用录入（明细）'!C:C&lt;=$L$4),ROW(),"-")</f>
        <v>-</v>
      </c>
    </row>
    <row r="42886" customHeight="1" spans="2:2">
      <c r="B42886" s="62" t="str">
        <f>IF(AND('领用录入（明细）'!D:D=$F$4,'领用录入（明细）'!C:C&gt;=$J$4,'领用录入（明细）'!C:C&lt;=$L$4),ROW(),"-")</f>
        <v>-</v>
      </c>
    </row>
    <row r="42887" customHeight="1" spans="2:2">
      <c r="B42887" s="62" t="str">
        <f>IF(AND('领用录入（明细）'!D:D=$F$4,'领用录入（明细）'!C:C&gt;=$J$4,'领用录入（明细）'!C:C&lt;=$L$4),ROW(),"-")</f>
        <v>-</v>
      </c>
    </row>
    <row r="42888" customHeight="1" spans="2:2">
      <c r="B42888" s="62" t="str">
        <f>IF(AND('领用录入（明细）'!D:D=$F$4,'领用录入（明细）'!C:C&gt;=$J$4,'领用录入（明细）'!C:C&lt;=$L$4),ROW(),"-")</f>
        <v>-</v>
      </c>
    </row>
    <row r="42889" customHeight="1" spans="2:2">
      <c r="B42889" s="62" t="str">
        <f>IF(AND('领用录入（明细）'!D:D=$F$4,'领用录入（明细）'!C:C&gt;=$J$4,'领用录入（明细）'!C:C&lt;=$L$4),ROW(),"-")</f>
        <v>-</v>
      </c>
    </row>
    <row r="42890" customHeight="1" spans="2:2">
      <c r="B42890" s="62" t="str">
        <f>IF(AND('领用录入（明细）'!D:D=$F$4,'领用录入（明细）'!C:C&gt;=$J$4,'领用录入（明细）'!C:C&lt;=$L$4),ROW(),"-")</f>
        <v>-</v>
      </c>
    </row>
    <row r="42891" customHeight="1" spans="2:2">
      <c r="B42891" s="62" t="str">
        <f>IF(AND('领用录入（明细）'!D:D=$F$4,'领用录入（明细）'!C:C&gt;=$J$4,'领用录入（明细）'!C:C&lt;=$L$4),ROW(),"-")</f>
        <v>-</v>
      </c>
    </row>
    <row r="42892" customHeight="1" spans="2:2">
      <c r="B42892" s="62" t="str">
        <f>IF(AND('领用录入（明细）'!D:D=$F$4,'领用录入（明细）'!C:C&gt;=$J$4,'领用录入（明细）'!C:C&lt;=$L$4),ROW(),"-")</f>
        <v>-</v>
      </c>
    </row>
    <row r="42893" customHeight="1" spans="2:2">
      <c r="B42893" s="62" t="str">
        <f>IF(AND('领用录入（明细）'!D:D=$F$4,'领用录入（明细）'!C:C&gt;=$J$4,'领用录入（明细）'!C:C&lt;=$L$4),ROW(),"-")</f>
        <v>-</v>
      </c>
    </row>
    <row r="42894" customHeight="1" spans="2:2">
      <c r="B42894" s="62" t="str">
        <f>IF(AND('领用录入（明细）'!D:D=$F$4,'领用录入（明细）'!C:C&gt;=$J$4,'领用录入（明细）'!C:C&lt;=$L$4),ROW(),"-")</f>
        <v>-</v>
      </c>
    </row>
    <row r="42895" customHeight="1" spans="2:2">
      <c r="B42895" s="62" t="str">
        <f>IF(AND('领用录入（明细）'!D:D=$F$4,'领用录入（明细）'!C:C&gt;=$J$4,'领用录入（明细）'!C:C&lt;=$L$4),ROW(),"-")</f>
        <v>-</v>
      </c>
    </row>
    <row r="42896" customHeight="1" spans="2:2">
      <c r="B42896" s="62" t="str">
        <f>IF(AND('领用录入（明细）'!D:D=$F$4,'领用录入（明细）'!C:C&gt;=$J$4,'领用录入（明细）'!C:C&lt;=$L$4),ROW(),"-")</f>
        <v>-</v>
      </c>
    </row>
    <row r="42897" customHeight="1" spans="2:2">
      <c r="B42897" s="62" t="str">
        <f>IF(AND('领用录入（明细）'!D:D=$F$4,'领用录入（明细）'!C:C&gt;=$J$4,'领用录入（明细）'!C:C&lt;=$L$4),ROW(),"-")</f>
        <v>-</v>
      </c>
    </row>
    <row r="42898" customHeight="1" spans="2:2">
      <c r="B42898" s="62" t="str">
        <f>IF(AND('领用录入（明细）'!D:D=$F$4,'领用录入（明细）'!C:C&gt;=$J$4,'领用录入（明细）'!C:C&lt;=$L$4),ROW(),"-")</f>
        <v>-</v>
      </c>
    </row>
    <row r="42899" customHeight="1" spans="2:2">
      <c r="B42899" s="62" t="str">
        <f>IF(AND('领用录入（明细）'!D:D=$F$4,'领用录入（明细）'!C:C&gt;=$J$4,'领用录入（明细）'!C:C&lt;=$L$4),ROW(),"-")</f>
        <v>-</v>
      </c>
    </row>
    <row r="42900" customHeight="1" spans="2:2">
      <c r="B42900" s="62" t="str">
        <f>IF(AND('领用录入（明细）'!D:D=$F$4,'领用录入（明细）'!C:C&gt;=$J$4,'领用录入（明细）'!C:C&lt;=$L$4),ROW(),"-")</f>
        <v>-</v>
      </c>
    </row>
    <row r="42901" customHeight="1" spans="2:2">
      <c r="B42901" s="62" t="str">
        <f>IF(AND('领用录入（明细）'!D:D=$F$4,'领用录入（明细）'!C:C&gt;=$J$4,'领用录入（明细）'!C:C&lt;=$L$4),ROW(),"-")</f>
        <v>-</v>
      </c>
    </row>
    <row r="42902" customHeight="1" spans="2:2">
      <c r="B42902" s="62" t="str">
        <f>IF(AND('领用录入（明细）'!D:D=$F$4,'领用录入（明细）'!C:C&gt;=$J$4,'领用录入（明细）'!C:C&lt;=$L$4),ROW(),"-")</f>
        <v>-</v>
      </c>
    </row>
    <row r="42903" customHeight="1" spans="2:2">
      <c r="B42903" s="62" t="str">
        <f>IF(AND('领用录入（明细）'!D:D=$F$4,'领用录入（明细）'!C:C&gt;=$J$4,'领用录入（明细）'!C:C&lt;=$L$4),ROW(),"-")</f>
        <v>-</v>
      </c>
    </row>
    <row r="42904" customHeight="1" spans="2:2">
      <c r="B42904" s="62" t="str">
        <f>IF(AND('领用录入（明细）'!D:D=$F$4,'领用录入（明细）'!C:C&gt;=$J$4,'领用录入（明细）'!C:C&lt;=$L$4),ROW(),"-")</f>
        <v>-</v>
      </c>
    </row>
    <row r="42905" customHeight="1" spans="2:2">
      <c r="B42905" s="62" t="str">
        <f>IF(AND('领用录入（明细）'!D:D=$F$4,'领用录入（明细）'!C:C&gt;=$J$4,'领用录入（明细）'!C:C&lt;=$L$4),ROW(),"-")</f>
        <v>-</v>
      </c>
    </row>
    <row r="42906" customHeight="1" spans="2:2">
      <c r="B42906" s="62" t="str">
        <f>IF(AND('领用录入（明细）'!D:D=$F$4,'领用录入（明细）'!C:C&gt;=$J$4,'领用录入（明细）'!C:C&lt;=$L$4),ROW(),"-")</f>
        <v>-</v>
      </c>
    </row>
    <row r="42907" customHeight="1" spans="2:2">
      <c r="B42907" s="62" t="str">
        <f>IF(AND('领用录入（明细）'!D:D=$F$4,'领用录入（明细）'!C:C&gt;=$J$4,'领用录入（明细）'!C:C&lt;=$L$4),ROW(),"-")</f>
        <v>-</v>
      </c>
    </row>
    <row r="42908" customHeight="1" spans="2:2">
      <c r="B42908" s="62" t="str">
        <f>IF(AND('领用录入（明细）'!D:D=$F$4,'领用录入（明细）'!C:C&gt;=$J$4,'领用录入（明细）'!C:C&lt;=$L$4),ROW(),"-")</f>
        <v>-</v>
      </c>
    </row>
    <row r="42909" customHeight="1" spans="2:2">
      <c r="B42909" s="62" t="str">
        <f>IF(AND('领用录入（明细）'!D:D=$F$4,'领用录入（明细）'!C:C&gt;=$J$4,'领用录入（明细）'!C:C&lt;=$L$4),ROW(),"-")</f>
        <v>-</v>
      </c>
    </row>
    <row r="42910" customHeight="1" spans="2:2">
      <c r="B42910" s="62" t="str">
        <f>IF(AND('领用录入（明细）'!D:D=$F$4,'领用录入（明细）'!C:C&gt;=$J$4,'领用录入（明细）'!C:C&lt;=$L$4),ROW(),"-")</f>
        <v>-</v>
      </c>
    </row>
    <row r="42911" customHeight="1" spans="2:2">
      <c r="B42911" s="62" t="str">
        <f>IF(AND('领用录入（明细）'!D:D=$F$4,'领用录入（明细）'!C:C&gt;=$J$4,'领用录入（明细）'!C:C&lt;=$L$4),ROW(),"-")</f>
        <v>-</v>
      </c>
    </row>
    <row r="42912" customHeight="1" spans="2:2">
      <c r="B42912" s="62" t="str">
        <f>IF(AND('领用录入（明细）'!D:D=$F$4,'领用录入（明细）'!C:C&gt;=$J$4,'领用录入（明细）'!C:C&lt;=$L$4),ROW(),"-")</f>
        <v>-</v>
      </c>
    </row>
    <row r="42913" customHeight="1" spans="2:2">
      <c r="B42913" s="62" t="str">
        <f>IF(AND('领用录入（明细）'!D:D=$F$4,'领用录入（明细）'!C:C&gt;=$J$4,'领用录入（明细）'!C:C&lt;=$L$4),ROW(),"-")</f>
        <v>-</v>
      </c>
    </row>
    <row r="42914" customHeight="1" spans="2:2">
      <c r="B42914" s="62" t="str">
        <f>IF(AND('领用录入（明细）'!D:D=$F$4,'领用录入（明细）'!C:C&gt;=$J$4,'领用录入（明细）'!C:C&lt;=$L$4),ROW(),"-")</f>
        <v>-</v>
      </c>
    </row>
    <row r="42915" customHeight="1" spans="2:2">
      <c r="B42915" s="62" t="str">
        <f>IF(AND('领用录入（明细）'!D:D=$F$4,'领用录入（明细）'!C:C&gt;=$J$4,'领用录入（明细）'!C:C&lt;=$L$4),ROW(),"-")</f>
        <v>-</v>
      </c>
    </row>
    <row r="42916" customHeight="1" spans="2:2">
      <c r="B42916" s="62" t="str">
        <f>IF(AND('领用录入（明细）'!D:D=$F$4,'领用录入（明细）'!C:C&gt;=$J$4,'领用录入（明细）'!C:C&lt;=$L$4),ROW(),"-")</f>
        <v>-</v>
      </c>
    </row>
    <row r="42917" customHeight="1" spans="2:2">
      <c r="B42917" s="62" t="str">
        <f>IF(AND('领用录入（明细）'!D:D=$F$4,'领用录入（明细）'!C:C&gt;=$J$4,'领用录入（明细）'!C:C&lt;=$L$4),ROW(),"-")</f>
        <v>-</v>
      </c>
    </row>
    <row r="42918" customHeight="1" spans="2:2">
      <c r="B42918" s="62" t="str">
        <f>IF(AND('领用录入（明细）'!D:D=$F$4,'领用录入（明细）'!C:C&gt;=$J$4,'领用录入（明细）'!C:C&lt;=$L$4),ROW(),"-")</f>
        <v>-</v>
      </c>
    </row>
    <row r="42919" customHeight="1" spans="2:2">
      <c r="B42919" s="62" t="str">
        <f>IF(AND('领用录入（明细）'!D:D=$F$4,'领用录入（明细）'!C:C&gt;=$J$4,'领用录入（明细）'!C:C&lt;=$L$4),ROW(),"-")</f>
        <v>-</v>
      </c>
    </row>
    <row r="42920" customHeight="1" spans="2:2">
      <c r="B42920" s="62" t="str">
        <f>IF(AND('领用录入（明细）'!D:D=$F$4,'领用录入（明细）'!C:C&gt;=$J$4,'领用录入（明细）'!C:C&lt;=$L$4),ROW(),"-")</f>
        <v>-</v>
      </c>
    </row>
    <row r="42921" customHeight="1" spans="2:2">
      <c r="B42921" s="62" t="str">
        <f>IF(AND('领用录入（明细）'!D:D=$F$4,'领用录入（明细）'!C:C&gt;=$J$4,'领用录入（明细）'!C:C&lt;=$L$4),ROW(),"-")</f>
        <v>-</v>
      </c>
    </row>
    <row r="42922" customHeight="1" spans="2:2">
      <c r="B42922" s="62" t="str">
        <f>IF(AND('领用录入（明细）'!D:D=$F$4,'领用录入（明细）'!C:C&gt;=$J$4,'领用录入（明细）'!C:C&lt;=$L$4),ROW(),"-")</f>
        <v>-</v>
      </c>
    </row>
    <row r="42923" customHeight="1" spans="2:2">
      <c r="B42923" s="62" t="str">
        <f>IF(AND('领用录入（明细）'!D:D=$F$4,'领用录入（明细）'!C:C&gt;=$J$4,'领用录入（明细）'!C:C&lt;=$L$4),ROW(),"-")</f>
        <v>-</v>
      </c>
    </row>
    <row r="42924" customHeight="1" spans="2:2">
      <c r="B42924" s="62" t="str">
        <f>IF(AND('领用录入（明细）'!D:D=$F$4,'领用录入（明细）'!C:C&gt;=$J$4,'领用录入（明细）'!C:C&lt;=$L$4),ROW(),"-")</f>
        <v>-</v>
      </c>
    </row>
    <row r="42925" customHeight="1" spans="2:2">
      <c r="B42925" s="62" t="str">
        <f>IF(AND('领用录入（明细）'!D:D=$F$4,'领用录入（明细）'!C:C&gt;=$J$4,'领用录入（明细）'!C:C&lt;=$L$4),ROW(),"-")</f>
        <v>-</v>
      </c>
    </row>
    <row r="42926" customHeight="1" spans="2:2">
      <c r="B42926" s="62" t="str">
        <f>IF(AND('领用录入（明细）'!D:D=$F$4,'领用录入（明细）'!C:C&gt;=$J$4,'领用录入（明细）'!C:C&lt;=$L$4),ROW(),"-")</f>
        <v>-</v>
      </c>
    </row>
    <row r="42927" customHeight="1" spans="2:2">
      <c r="B42927" s="62" t="str">
        <f>IF(AND('领用录入（明细）'!D:D=$F$4,'领用录入（明细）'!C:C&gt;=$J$4,'领用录入（明细）'!C:C&lt;=$L$4),ROW(),"-")</f>
        <v>-</v>
      </c>
    </row>
    <row r="42928" customHeight="1" spans="2:2">
      <c r="B42928" s="62" t="str">
        <f>IF(AND('领用录入（明细）'!D:D=$F$4,'领用录入（明细）'!C:C&gt;=$J$4,'领用录入（明细）'!C:C&lt;=$L$4),ROW(),"-")</f>
        <v>-</v>
      </c>
    </row>
    <row r="42929" customHeight="1" spans="2:2">
      <c r="B42929" s="62" t="str">
        <f>IF(AND('领用录入（明细）'!D:D=$F$4,'领用录入（明细）'!C:C&gt;=$J$4,'领用录入（明细）'!C:C&lt;=$L$4),ROW(),"-")</f>
        <v>-</v>
      </c>
    </row>
    <row r="42930" customHeight="1" spans="2:2">
      <c r="B42930" s="62" t="str">
        <f>IF(AND('领用录入（明细）'!D:D=$F$4,'领用录入（明细）'!C:C&gt;=$J$4,'领用录入（明细）'!C:C&lt;=$L$4),ROW(),"-")</f>
        <v>-</v>
      </c>
    </row>
    <row r="42931" customHeight="1" spans="2:2">
      <c r="B42931" s="62" t="str">
        <f>IF(AND('领用录入（明细）'!D:D=$F$4,'领用录入（明细）'!C:C&gt;=$J$4,'领用录入（明细）'!C:C&lt;=$L$4),ROW(),"-")</f>
        <v>-</v>
      </c>
    </row>
    <row r="42932" customHeight="1" spans="2:2">
      <c r="B42932" s="62" t="str">
        <f>IF(AND('领用录入（明细）'!D:D=$F$4,'领用录入（明细）'!C:C&gt;=$J$4,'领用录入（明细）'!C:C&lt;=$L$4),ROW(),"-")</f>
        <v>-</v>
      </c>
    </row>
    <row r="42933" customHeight="1" spans="2:2">
      <c r="B42933" s="62" t="str">
        <f>IF(AND('领用录入（明细）'!D:D=$F$4,'领用录入（明细）'!C:C&gt;=$J$4,'领用录入（明细）'!C:C&lt;=$L$4),ROW(),"-")</f>
        <v>-</v>
      </c>
    </row>
    <row r="42934" customHeight="1" spans="2:2">
      <c r="B42934" s="62" t="str">
        <f>IF(AND('领用录入（明细）'!D:D=$F$4,'领用录入（明细）'!C:C&gt;=$J$4,'领用录入（明细）'!C:C&lt;=$L$4),ROW(),"-")</f>
        <v>-</v>
      </c>
    </row>
    <row r="42935" customHeight="1" spans="2:2">
      <c r="B42935" s="62" t="str">
        <f>IF(AND('领用录入（明细）'!D:D=$F$4,'领用录入（明细）'!C:C&gt;=$J$4,'领用录入（明细）'!C:C&lt;=$L$4),ROW(),"-")</f>
        <v>-</v>
      </c>
    </row>
    <row r="42936" customHeight="1" spans="2:2">
      <c r="B42936" s="62" t="str">
        <f>IF(AND('领用录入（明细）'!D:D=$F$4,'领用录入（明细）'!C:C&gt;=$J$4,'领用录入（明细）'!C:C&lt;=$L$4),ROW(),"-")</f>
        <v>-</v>
      </c>
    </row>
    <row r="42937" customHeight="1" spans="2:2">
      <c r="B42937" s="62" t="str">
        <f>IF(AND('领用录入（明细）'!D:D=$F$4,'领用录入（明细）'!C:C&gt;=$J$4,'领用录入（明细）'!C:C&lt;=$L$4),ROW(),"-")</f>
        <v>-</v>
      </c>
    </row>
    <row r="42938" customHeight="1" spans="2:2">
      <c r="B42938" s="62" t="str">
        <f>IF(AND('领用录入（明细）'!D:D=$F$4,'领用录入（明细）'!C:C&gt;=$J$4,'领用录入（明细）'!C:C&lt;=$L$4),ROW(),"-")</f>
        <v>-</v>
      </c>
    </row>
    <row r="42939" customHeight="1" spans="2:2">
      <c r="B42939" s="62" t="str">
        <f>IF(AND('领用录入（明细）'!D:D=$F$4,'领用录入（明细）'!C:C&gt;=$J$4,'领用录入（明细）'!C:C&lt;=$L$4),ROW(),"-")</f>
        <v>-</v>
      </c>
    </row>
    <row r="42940" customHeight="1" spans="2:2">
      <c r="B42940" s="62" t="str">
        <f>IF(AND('领用录入（明细）'!D:D=$F$4,'领用录入（明细）'!C:C&gt;=$J$4,'领用录入（明细）'!C:C&lt;=$L$4),ROW(),"-")</f>
        <v>-</v>
      </c>
    </row>
    <row r="42941" customHeight="1" spans="2:2">
      <c r="B42941" s="62" t="str">
        <f>IF(AND('领用录入（明细）'!D:D=$F$4,'领用录入（明细）'!C:C&gt;=$J$4,'领用录入（明细）'!C:C&lt;=$L$4),ROW(),"-")</f>
        <v>-</v>
      </c>
    </row>
    <row r="42942" customHeight="1" spans="2:2">
      <c r="B42942" s="62" t="str">
        <f>IF(AND('领用录入（明细）'!D:D=$F$4,'领用录入（明细）'!C:C&gt;=$J$4,'领用录入（明细）'!C:C&lt;=$L$4),ROW(),"-")</f>
        <v>-</v>
      </c>
    </row>
    <row r="42943" customHeight="1" spans="2:2">
      <c r="B42943" s="62" t="str">
        <f>IF(AND('领用录入（明细）'!D:D=$F$4,'领用录入（明细）'!C:C&gt;=$J$4,'领用录入（明细）'!C:C&lt;=$L$4),ROW(),"-")</f>
        <v>-</v>
      </c>
    </row>
    <row r="42944" customHeight="1" spans="2:2">
      <c r="B42944" s="62" t="str">
        <f>IF(AND('领用录入（明细）'!D:D=$F$4,'领用录入（明细）'!C:C&gt;=$J$4,'领用录入（明细）'!C:C&lt;=$L$4),ROW(),"-")</f>
        <v>-</v>
      </c>
    </row>
    <row r="42945" customHeight="1" spans="2:2">
      <c r="B42945" s="62" t="str">
        <f>IF(AND('领用录入（明细）'!D:D=$F$4,'领用录入（明细）'!C:C&gt;=$J$4,'领用录入（明细）'!C:C&lt;=$L$4),ROW(),"-")</f>
        <v>-</v>
      </c>
    </row>
    <row r="42946" customHeight="1" spans="2:2">
      <c r="B42946" s="62" t="str">
        <f>IF(AND('领用录入（明细）'!D:D=$F$4,'领用录入（明细）'!C:C&gt;=$J$4,'领用录入（明细）'!C:C&lt;=$L$4),ROW(),"-")</f>
        <v>-</v>
      </c>
    </row>
    <row r="42947" customHeight="1" spans="2:2">
      <c r="B42947" s="62" t="str">
        <f>IF(AND('领用录入（明细）'!D:D=$F$4,'领用录入（明细）'!C:C&gt;=$J$4,'领用录入（明细）'!C:C&lt;=$L$4),ROW(),"-")</f>
        <v>-</v>
      </c>
    </row>
    <row r="42948" customHeight="1" spans="2:2">
      <c r="B42948" s="62" t="str">
        <f>IF(AND('领用录入（明细）'!D:D=$F$4,'领用录入（明细）'!C:C&gt;=$J$4,'领用录入（明细）'!C:C&lt;=$L$4),ROW(),"-")</f>
        <v>-</v>
      </c>
    </row>
    <row r="42949" customHeight="1" spans="2:2">
      <c r="B42949" s="62" t="str">
        <f>IF(AND('领用录入（明细）'!D:D=$F$4,'领用录入（明细）'!C:C&gt;=$J$4,'领用录入（明细）'!C:C&lt;=$L$4),ROW(),"-")</f>
        <v>-</v>
      </c>
    </row>
    <row r="42950" customHeight="1" spans="2:2">
      <c r="B42950" s="62" t="str">
        <f>IF(AND('领用录入（明细）'!D:D=$F$4,'领用录入（明细）'!C:C&gt;=$J$4,'领用录入（明细）'!C:C&lt;=$L$4),ROW(),"-")</f>
        <v>-</v>
      </c>
    </row>
    <row r="42951" customHeight="1" spans="2:2">
      <c r="B42951" s="62" t="str">
        <f>IF(AND('领用录入（明细）'!D:D=$F$4,'领用录入（明细）'!C:C&gt;=$J$4,'领用录入（明细）'!C:C&lt;=$L$4),ROW(),"-")</f>
        <v>-</v>
      </c>
    </row>
    <row r="42952" customHeight="1" spans="2:2">
      <c r="B42952" s="62" t="str">
        <f>IF(AND('领用录入（明细）'!D:D=$F$4,'领用录入（明细）'!C:C&gt;=$J$4,'领用录入（明细）'!C:C&lt;=$L$4),ROW(),"-")</f>
        <v>-</v>
      </c>
    </row>
    <row r="42953" customHeight="1" spans="2:2">
      <c r="B42953" s="62" t="str">
        <f>IF(AND('领用录入（明细）'!D:D=$F$4,'领用录入（明细）'!C:C&gt;=$J$4,'领用录入（明细）'!C:C&lt;=$L$4),ROW(),"-")</f>
        <v>-</v>
      </c>
    </row>
    <row r="42954" customHeight="1" spans="2:2">
      <c r="B42954" s="62" t="str">
        <f>IF(AND('领用录入（明细）'!D:D=$F$4,'领用录入（明细）'!C:C&gt;=$J$4,'领用录入（明细）'!C:C&lt;=$L$4),ROW(),"-")</f>
        <v>-</v>
      </c>
    </row>
    <row r="42955" customHeight="1" spans="2:2">
      <c r="B42955" s="62" t="str">
        <f>IF(AND('领用录入（明细）'!D:D=$F$4,'领用录入（明细）'!C:C&gt;=$J$4,'领用录入（明细）'!C:C&lt;=$L$4),ROW(),"-")</f>
        <v>-</v>
      </c>
    </row>
    <row r="42956" customHeight="1" spans="2:2">
      <c r="B42956" s="62" t="str">
        <f>IF(AND('领用录入（明细）'!D:D=$F$4,'领用录入（明细）'!C:C&gt;=$J$4,'领用录入（明细）'!C:C&lt;=$L$4),ROW(),"-")</f>
        <v>-</v>
      </c>
    </row>
    <row r="42957" customHeight="1" spans="2:2">
      <c r="B42957" s="62" t="str">
        <f>IF(AND('领用录入（明细）'!D:D=$F$4,'领用录入（明细）'!C:C&gt;=$J$4,'领用录入（明细）'!C:C&lt;=$L$4),ROW(),"-")</f>
        <v>-</v>
      </c>
    </row>
    <row r="42958" customHeight="1" spans="2:2">
      <c r="B42958" s="62" t="str">
        <f>IF(AND('领用录入（明细）'!D:D=$F$4,'领用录入（明细）'!C:C&gt;=$J$4,'领用录入（明细）'!C:C&lt;=$L$4),ROW(),"-")</f>
        <v>-</v>
      </c>
    </row>
    <row r="42959" customHeight="1" spans="2:2">
      <c r="B42959" s="62" t="str">
        <f>IF(AND('领用录入（明细）'!D:D=$F$4,'领用录入（明细）'!C:C&gt;=$J$4,'领用录入（明细）'!C:C&lt;=$L$4),ROW(),"-")</f>
        <v>-</v>
      </c>
    </row>
    <row r="42960" customHeight="1" spans="2:2">
      <c r="B42960" s="62" t="str">
        <f>IF(AND('领用录入（明细）'!D:D=$F$4,'领用录入（明细）'!C:C&gt;=$J$4,'领用录入（明细）'!C:C&lt;=$L$4),ROW(),"-")</f>
        <v>-</v>
      </c>
    </row>
    <row r="42961" customHeight="1" spans="2:2">
      <c r="B42961" s="62" t="str">
        <f>IF(AND('领用录入（明细）'!D:D=$F$4,'领用录入（明细）'!C:C&gt;=$J$4,'领用录入（明细）'!C:C&lt;=$L$4),ROW(),"-")</f>
        <v>-</v>
      </c>
    </row>
    <row r="42962" customHeight="1" spans="2:2">
      <c r="B42962" s="62" t="str">
        <f>IF(AND('领用录入（明细）'!D:D=$F$4,'领用录入（明细）'!C:C&gt;=$J$4,'领用录入（明细）'!C:C&lt;=$L$4),ROW(),"-")</f>
        <v>-</v>
      </c>
    </row>
    <row r="42963" customHeight="1" spans="2:2">
      <c r="B42963" s="62" t="str">
        <f>IF(AND('领用录入（明细）'!D:D=$F$4,'领用录入（明细）'!C:C&gt;=$J$4,'领用录入（明细）'!C:C&lt;=$L$4),ROW(),"-")</f>
        <v>-</v>
      </c>
    </row>
    <row r="42964" customHeight="1" spans="2:2">
      <c r="B42964" s="62" t="str">
        <f>IF(AND('领用录入（明细）'!D:D=$F$4,'领用录入（明细）'!C:C&gt;=$J$4,'领用录入（明细）'!C:C&lt;=$L$4),ROW(),"-")</f>
        <v>-</v>
      </c>
    </row>
    <row r="42965" customHeight="1" spans="2:2">
      <c r="B42965" s="62" t="str">
        <f>IF(AND('领用录入（明细）'!D:D=$F$4,'领用录入（明细）'!C:C&gt;=$J$4,'领用录入（明细）'!C:C&lt;=$L$4),ROW(),"-")</f>
        <v>-</v>
      </c>
    </row>
    <row r="42966" customHeight="1" spans="2:2">
      <c r="B42966" s="62" t="str">
        <f>IF(AND('领用录入（明细）'!D:D=$F$4,'领用录入（明细）'!C:C&gt;=$J$4,'领用录入（明细）'!C:C&lt;=$L$4),ROW(),"-")</f>
        <v>-</v>
      </c>
    </row>
    <row r="42967" customHeight="1" spans="2:2">
      <c r="B42967" s="62" t="str">
        <f>IF(AND('领用录入（明细）'!D:D=$F$4,'领用录入（明细）'!C:C&gt;=$J$4,'领用录入（明细）'!C:C&lt;=$L$4),ROW(),"-")</f>
        <v>-</v>
      </c>
    </row>
    <row r="42968" customHeight="1" spans="2:2">
      <c r="B42968" s="62" t="str">
        <f>IF(AND('领用录入（明细）'!D:D=$F$4,'领用录入（明细）'!C:C&gt;=$J$4,'领用录入（明细）'!C:C&lt;=$L$4),ROW(),"-")</f>
        <v>-</v>
      </c>
    </row>
    <row r="42969" customHeight="1" spans="2:2">
      <c r="B42969" s="62" t="str">
        <f>IF(AND('领用录入（明细）'!D:D=$F$4,'领用录入（明细）'!C:C&gt;=$J$4,'领用录入（明细）'!C:C&lt;=$L$4),ROW(),"-")</f>
        <v>-</v>
      </c>
    </row>
    <row r="42970" customHeight="1" spans="2:2">
      <c r="B42970" s="62" t="str">
        <f>IF(AND('领用录入（明细）'!D:D=$F$4,'领用录入（明细）'!C:C&gt;=$J$4,'领用录入（明细）'!C:C&lt;=$L$4),ROW(),"-")</f>
        <v>-</v>
      </c>
    </row>
    <row r="42971" customHeight="1" spans="2:2">
      <c r="B42971" s="62" t="str">
        <f>IF(AND('领用录入（明细）'!D:D=$F$4,'领用录入（明细）'!C:C&gt;=$J$4,'领用录入（明细）'!C:C&lt;=$L$4),ROW(),"-")</f>
        <v>-</v>
      </c>
    </row>
    <row r="42972" customHeight="1" spans="2:2">
      <c r="B42972" s="62" t="str">
        <f>IF(AND('领用录入（明细）'!D:D=$F$4,'领用录入（明细）'!C:C&gt;=$J$4,'领用录入（明细）'!C:C&lt;=$L$4),ROW(),"-")</f>
        <v>-</v>
      </c>
    </row>
    <row r="42973" customHeight="1" spans="2:2">
      <c r="B42973" s="62" t="str">
        <f>IF(AND('领用录入（明细）'!D:D=$F$4,'领用录入（明细）'!C:C&gt;=$J$4,'领用录入（明细）'!C:C&lt;=$L$4),ROW(),"-")</f>
        <v>-</v>
      </c>
    </row>
    <row r="42974" customHeight="1" spans="2:2">
      <c r="B42974" s="62" t="str">
        <f>IF(AND('领用录入（明细）'!D:D=$F$4,'领用录入（明细）'!C:C&gt;=$J$4,'领用录入（明细）'!C:C&lt;=$L$4),ROW(),"-")</f>
        <v>-</v>
      </c>
    </row>
    <row r="42975" customHeight="1" spans="2:2">
      <c r="B42975" s="62" t="str">
        <f>IF(AND('领用录入（明细）'!D:D=$F$4,'领用录入（明细）'!C:C&gt;=$J$4,'领用录入（明细）'!C:C&lt;=$L$4),ROW(),"-")</f>
        <v>-</v>
      </c>
    </row>
    <row r="42976" customHeight="1" spans="2:2">
      <c r="B42976" s="62" t="str">
        <f>IF(AND('领用录入（明细）'!D:D=$F$4,'领用录入（明细）'!C:C&gt;=$J$4,'领用录入（明细）'!C:C&lt;=$L$4),ROW(),"-")</f>
        <v>-</v>
      </c>
    </row>
    <row r="42977" customHeight="1" spans="2:2">
      <c r="B42977" s="62" t="str">
        <f>IF(AND('领用录入（明细）'!D:D=$F$4,'领用录入（明细）'!C:C&gt;=$J$4,'领用录入（明细）'!C:C&lt;=$L$4),ROW(),"-")</f>
        <v>-</v>
      </c>
    </row>
    <row r="42978" customHeight="1" spans="2:2">
      <c r="B42978" s="62" t="str">
        <f>IF(AND('领用录入（明细）'!D:D=$F$4,'领用录入（明细）'!C:C&gt;=$J$4,'领用录入（明细）'!C:C&lt;=$L$4),ROW(),"-")</f>
        <v>-</v>
      </c>
    </row>
    <row r="42979" customHeight="1" spans="2:2">
      <c r="B42979" s="62" t="str">
        <f>IF(AND('领用录入（明细）'!D:D=$F$4,'领用录入（明细）'!C:C&gt;=$J$4,'领用录入（明细）'!C:C&lt;=$L$4),ROW(),"-")</f>
        <v>-</v>
      </c>
    </row>
    <row r="42980" customHeight="1" spans="2:2">
      <c r="B42980" s="62" t="str">
        <f>IF(AND('领用录入（明细）'!D:D=$F$4,'领用录入（明细）'!C:C&gt;=$J$4,'领用录入（明细）'!C:C&lt;=$L$4),ROW(),"-")</f>
        <v>-</v>
      </c>
    </row>
    <row r="42981" customHeight="1" spans="2:2">
      <c r="B42981" s="62" t="str">
        <f>IF(AND('领用录入（明细）'!D:D=$F$4,'领用录入（明细）'!C:C&gt;=$J$4,'领用录入（明细）'!C:C&lt;=$L$4),ROW(),"-")</f>
        <v>-</v>
      </c>
    </row>
    <row r="42982" customHeight="1" spans="2:2">
      <c r="B42982" s="62" t="str">
        <f>IF(AND('领用录入（明细）'!D:D=$F$4,'领用录入（明细）'!C:C&gt;=$J$4,'领用录入（明细）'!C:C&lt;=$L$4),ROW(),"-")</f>
        <v>-</v>
      </c>
    </row>
    <row r="42983" customHeight="1" spans="2:2">
      <c r="B42983" s="62" t="str">
        <f>IF(AND('领用录入（明细）'!D:D=$F$4,'领用录入（明细）'!C:C&gt;=$J$4,'领用录入（明细）'!C:C&lt;=$L$4),ROW(),"-")</f>
        <v>-</v>
      </c>
    </row>
    <row r="42984" customHeight="1" spans="2:2">
      <c r="B42984" s="62" t="str">
        <f>IF(AND('领用录入（明细）'!D:D=$F$4,'领用录入（明细）'!C:C&gt;=$J$4,'领用录入（明细）'!C:C&lt;=$L$4),ROW(),"-")</f>
        <v>-</v>
      </c>
    </row>
    <row r="42985" customHeight="1" spans="2:2">
      <c r="B42985" s="62" t="str">
        <f>IF(AND('领用录入（明细）'!D:D=$F$4,'领用录入（明细）'!C:C&gt;=$J$4,'领用录入（明细）'!C:C&lt;=$L$4),ROW(),"-")</f>
        <v>-</v>
      </c>
    </row>
    <row r="42986" customHeight="1" spans="2:2">
      <c r="B42986" s="62" t="str">
        <f>IF(AND('领用录入（明细）'!D:D=$F$4,'领用录入（明细）'!C:C&gt;=$J$4,'领用录入（明细）'!C:C&lt;=$L$4),ROW(),"-")</f>
        <v>-</v>
      </c>
    </row>
    <row r="42987" customHeight="1" spans="2:2">
      <c r="B42987" s="62" t="str">
        <f>IF(AND('领用录入（明细）'!D:D=$F$4,'领用录入（明细）'!C:C&gt;=$J$4,'领用录入（明细）'!C:C&lt;=$L$4),ROW(),"-")</f>
        <v>-</v>
      </c>
    </row>
    <row r="42988" customHeight="1" spans="2:2">
      <c r="B42988" s="62" t="str">
        <f>IF(AND('领用录入（明细）'!D:D=$F$4,'领用录入（明细）'!C:C&gt;=$J$4,'领用录入（明细）'!C:C&lt;=$L$4),ROW(),"-")</f>
        <v>-</v>
      </c>
    </row>
    <row r="42989" customHeight="1" spans="2:2">
      <c r="B42989" s="62" t="str">
        <f>IF(AND('领用录入（明细）'!D:D=$F$4,'领用录入（明细）'!C:C&gt;=$J$4,'领用录入（明细）'!C:C&lt;=$L$4),ROW(),"-")</f>
        <v>-</v>
      </c>
    </row>
    <row r="42990" customHeight="1" spans="2:2">
      <c r="B42990" s="62" t="str">
        <f>IF(AND('领用录入（明细）'!D:D=$F$4,'领用录入（明细）'!C:C&gt;=$J$4,'领用录入（明细）'!C:C&lt;=$L$4),ROW(),"-")</f>
        <v>-</v>
      </c>
    </row>
    <row r="42991" customHeight="1" spans="2:2">
      <c r="B42991" s="62" t="str">
        <f>IF(AND('领用录入（明细）'!D:D=$F$4,'领用录入（明细）'!C:C&gt;=$J$4,'领用录入（明细）'!C:C&lt;=$L$4),ROW(),"-")</f>
        <v>-</v>
      </c>
    </row>
    <row r="42992" customHeight="1" spans="2:2">
      <c r="B42992" s="62" t="str">
        <f>IF(AND('领用录入（明细）'!D:D=$F$4,'领用录入（明细）'!C:C&gt;=$J$4,'领用录入（明细）'!C:C&lt;=$L$4),ROW(),"-")</f>
        <v>-</v>
      </c>
    </row>
    <row r="42993" customHeight="1" spans="2:2">
      <c r="B42993" s="62" t="str">
        <f>IF(AND('领用录入（明细）'!D:D=$F$4,'领用录入（明细）'!C:C&gt;=$J$4,'领用录入（明细）'!C:C&lt;=$L$4),ROW(),"-")</f>
        <v>-</v>
      </c>
    </row>
    <row r="42994" customHeight="1" spans="2:2">
      <c r="B42994" s="62" t="str">
        <f>IF(AND('领用录入（明细）'!D:D=$F$4,'领用录入（明细）'!C:C&gt;=$J$4,'领用录入（明细）'!C:C&lt;=$L$4),ROW(),"-")</f>
        <v>-</v>
      </c>
    </row>
    <row r="42995" customHeight="1" spans="2:2">
      <c r="B42995" s="62" t="str">
        <f>IF(AND('领用录入（明细）'!D:D=$F$4,'领用录入（明细）'!C:C&gt;=$J$4,'领用录入（明细）'!C:C&lt;=$L$4),ROW(),"-")</f>
        <v>-</v>
      </c>
    </row>
    <row r="42996" customHeight="1" spans="2:2">
      <c r="B42996" s="62" t="str">
        <f>IF(AND('领用录入（明细）'!D:D=$F$4,'领用录入（明细）'!C:C&gt;=$J$4,'领用录入（明细）'!C:C&lt;=$L$4),ROW(),"-")</f>
        <v>-</v>
      </c>
    </row>
    <row r="42997" customHeight="1" spans="2:2">
      <c r="B42997" s="62" t="str">
        <f>IF(AND('领用录入（明细）'!D:D=$F$4,'领用录入（明细）'!C:C&gt;=$J$4,'领用录入（明细）'!C:C&lt;=$L$4),ROW(),"-")</f>
        <v>-</v>
      </c>
    </row>
    <row r="42998" customHeight="1" spans="2:2">
      <c r="B42998" s="62" t="str">
        <f>IF(AND('领用录入（明细）'!D:D=$F$4,'领用录入（明细）'!C:C&gt;=$J$4,'领用录入（明细）'!C:C&lt;=$L$4),ROW(),"-")</f>
        <v>-</v>
      </c>
    </row>
    <row r="42999" customHeight="1" spans="2:2">
      <c r="B42999" s="62" t="str">
        <f>IF(AND('领用录入（明细）'!D:D=$F$4,'领用录入（明细）'!C:C&gt;=$J$4,'领用录入（明细）'!C:C&lt;=$L$4),ROW(),"-")</f>
        <v>-</v>
      </c>
    </row>
    <row r="43000" customHeight="1" spans="2:2">
      <c r="B43000" s="62" t="str">
        <f>IF(AND('领用录入（明细）'!D:D=$F$4,'领用录入（明细）'!C:C&gt;=$J$4,'领用录入（明细）'!C:C&lt;=$L$4),ROW(),"-")</f>
        <v>-</v>
      </c>
    </row>
    <row r="43001" customHeight="1" spans="2:2">
      <c r="B43001" s="62" t="str">
        <f>IF(AND('领用录入（明细）'!D:D=$F$4,'领用录入（明细）'!C:C&gt;=$J$4,'领用录入（明细）'!C:C&lt;=$L$4),ROW(),"-")</f>
        <v>-</v>
      </c>
    </row>
    <row r="43002" customHeight="1" spans="2:2">
      <c r="B43002" s="62" t="str">
        <f>IF(AND('领用录入（明细）'!D:D=$F$4,'领用录入（明细）'!C:C&gt;=$J$4,'领用录入（明细）'!C:C&lt;=$L$4),ROW(),"-")</f>
        <v>-</v>
      </c>
    </row>
    <row r="43003" customHeight="1" spans="2:2">
      <c r="B43003" s="62" t="str">
        <f>IF(AND('领用录入（明细）'!D:D=$F$4,'领用录入（明细）'!C:C&gt;=$J$4,'领用录入（明细）'!C:C&lt;=$L$4),ROW(),"-")</f>
        <v>-</v>
      </c>
    </row>
    <row r="43004" customHeight="1" spans="2:2">
      <c r="B43004" s="62" t="str">
        <f>IF(AND('领用录入（明细）'!D:D=$F$4,'领用录入（明细）'!C:C&gt;=$J$4,'领用录入（明细）'!C:C&lt;=$L$4),ROW(),"-")</f>
        <v>-</v>
      </c>
    </row>
    <row r="43005" customHeight="1" spans="2:2">
      <c r="B43005" s="62" t="str">
        <f>IF(AND('领用录入（明细）'!D:D=$F$4,'领用录入（明细）'!C:C&gt;=$J$4,'领用录入（明细）'!C:C&lt;=$L$4),ROW(),"-")</f>
        <v>-</v>
      </c>
    </row>
    <row r="43006" customHeight="1" spans="2:2">
      <c r="B43006" s="62" t="str">
        <f>IF(AND('领用录入（明细）'!D:D=$F$4,'领用录入（明细）'!C:C&gt;=$J$4,'领用录入（明细）'!C:C&lt;=$L$4),ROW(),"-")</f>
        <v>-</v>
      </c>
    </row>
    <row r="43007" customHeight="1" spans="2:2">
      <c r="B43007" s="62" t="str">
        <f>IF(AND('领用录入（明细）'!D:D=$F$4,'领用录入（明细）'!C:C&gt;=$J$4,'领用录入（明细）'!C:C&lt;=$L$4),ROW(),"-")</f>
        <v>-</v>
      </c>
    </row>
    <row r="43008" customHeight="1" spans="2:2">
      <c r="B43008" s="62" t="str">
        <f>IF(AND('领用录入（明细）'!D:D=$F$4,'领用录入（明细）'!C:C&gt;=$J$4,'领用录入（明细）'!C:C&lt;=$L$4),ROW(),"-")</f>
        <v>-</v>
      </c>
    </row>
    <row r="43009" customHeight="1" spans="2:2">
      <c r="B43009" s="62" t="str">
        <f>IF(AND('领用录入（明细）'!D:D=$F$4,'领用录入（明细）'!C:C&gt;=$J$4,'领用录入（明细）'!C:C&lt;=$L$4),ROW(),"-")</f>
        <v>-</v>
      </c>
    </row>
    <row r="43010" customHeight="1" spans="2:2">
      <c r="B43010" s="62" t="str">
        <f>IF(AND('领用录入（明细）'!D:D=$F$4,'领用录入（明细）'!C:C&gt;=$J$4,'领用录入（明细）'!C:C&lt;=$L$4),ROW(),"-")</f>
        <v>-</v>
      </c>
    </row>
    <row r="43011" customHeight="1" spans="2:2">
      <c r="B43011" s="62" t="str">
        <f>IF(AND('领用录入（明细）'!D:D=$F$4,'领用录入（明细）'!C:C&gt;=$J$4,'领用录入（明细）'!C:C&lt;=$L$4),ROW(),"-")</f>
        <v>-</v>
      </c>
    </row>
    <row r="43012" customHeight="1" spans="2:2">
      <c r="B43012" s="62" t="str">
        <f>IF(AND('领用录入（明细）'!D:D=$F$4,'领用录入（明细）'!C:C&gt;=$J$4,'领用录入（明细）'!C:C&lt;=$L$4),ROW(),"-")</f>
        <v>-</v>
      </c>
    </row>
    <row r="43013" customHeight="1" spans="2:2">
      <c r="B43013" s="62" t="str">
        <f>IF(AND('领用录入（明细）'!D:D=$F$4,'领用录入（明细）'!C:C&gt;=$J$4,'领用录入（明细）'!C:C&lt;=$L$4),ROW(),"-")</f>
        <v>-</v>
      </c>
    </row>
    <row r="43014" customHeight="1" spans="2:2">
      <c r="B43014" s="62" t="str">
        <f>IF(AND('领用录入（明细）'!D:D=$F$4,'领用录入（明细）'!C:C&gt;=$J$4,'领用录入（明细）'!C:C&lt;=$L$4),ROW(),"-")</f>
        <v>-</v>
      </c>
    </row>
    <row r="43015" customHeight="1" spans="2:2">
      <c r="B43015" s="62" t="str">
        <f>IF(AND('领用录入（明细）'!D:D=$F$4,'领用录入（明细）'!C:C&gt;=$J$4,'领用录入（明细）'!C:C&lt;=$L$4),ROW(),"-")</f>
        <v>-</v>
      </c>
    </row>
    <row r="43016" customHeight="1" spans="2:2">
      <c r="B43016" s="62" t="str">
        <f>IF(AND('领用录入（明细）'!D:D=$F$4,'领用录入（明细）'!C:C&gt;=$J$4,'领用录入（明细）'!C:C&lt;=$L$4),ROW(),"-")</f>
        <v>-</v>
      </c>
    </row>
    <row r="43017" customHeight="1" spans="2:2">
      <c r="B43017" s="62" t="str">
        <f>IF(AND('领用录入（明细）'!D:D=$F$4,'领用录入（明细）'!C:C&gt;=$J$4,'领用录入（明细）'!C:C&lt;=$L$4),ROW(),"-")</f>
        <v>-</v>
      </c>
    </row>
    <row r="43018" customHeight="1" spans="2:2">
      <c r="B43018" s="62" t="str">
        <f>IF(AND('领用录入（明细）'!D:D=$F$4,'领用录入（明细）'!C:C&gt;=$J$4,'领用录入（明细）'!C:C&lt;=$L$4),ROW(),"-")</f>
        <v>-</v>
      </c>
    </row>
    <row r="43019" customHeight="1" spans="2:2">
      <c r="B43019" s="62" t="str">
        <f>IF(AND('领用录入（明细）'!D:D=$F$4,'领用录入（明细）'!C:C&gt;=$J$4,'领用录入（明细）'!C:C&lt;=$L$4),ROW(),"-")</f>
        <v>-</v>
      </c>
    </row>
    <row r="43020" customHeight="1" spans="2:2">
      <c r="B43020" s="62" t="str">
        <f>IF(AND('领用录入（明细）'!D:D=$F$4,'领用录入（明细）'!C:C&gt;=$J$4,'领用录入（明细）'!C:C&lt;=$L$4),ROW(),"-")</f>
        <v>-</v>
      </c>
    </row>
    <row r="43021" customHeight="1" spans="2:2">
      <c r="B43021" s="62" t="str">
        <f>IF(AND('领用录入（明细）'!D:D=$F$4,'领用录入（明细）'!C:C&gt;=$J$4,'领用录入（明细）'!C:C&lt;=$L$4),ROW(),"-")</f>
        <v>-</v>
      </c>
    </row>
    <row r="43022" customHeight="1" spans="2:2">
      <c r="B43022" s="62" t="str">
        <f>IF(AND('领用录入（明细）'!D:D=$F$4,'领用录入（明细）'!C:C&gt;=$J$4,'领用录入（明细）'!C:C&lt;=$L$4),ROW(),"-")</f>
        <v>-</v>
      </c>
    </row>
    <row r="43023" customHeight="1" spans="2:2">
      <c r="B43023" s="62" t="str">
        <f>IF(AND('领用录入（明细）'!D:D=$F$4,'领用录入（明细）'!C:C&gt;=$J$4,'领用录入（明细）'!C:C&lt;=$L$4),ROW(),"-")</f>
        <v>-</v>
      </c>
    </row>
    <row r="43024" customHeight="1" spans="2:2">
      <c r="B43024" s="62" t="str">
        <f>IF(AND('领用录入（明细）'!D:D=$F$4,'领用录入（明细）'!C:C&gt;=$J$4,'领用录入（明细）'!C:C&lt;=$L$4),ROW(),"-")</f>
        <v>-</v>
      </c>
    </row>
    <row r="43025" customHeight="1" spans="2:2">
      <c r="B43025" s="62" t="str">
        <f>IF(AND('领用录入（明细）'!D:D=$F$4,'领用录入（明细）'!C:C&gt;=$J$4,'领用录入（明细）'!C:C&lt;=$L$4),ROW(),"-")</f>
        <v>-</v>
      </c>
    </row>
    <row r="43026" customHeight="1" spans="2:2">
      <c r="B43026" s="62" t="str">
        <f>IF(AND('领用录入（明细）'!D:D=$F$4,'领用录入（明细）'!C:C&gt;=$J$4,'领用录入（明细）'!C:C&lt;=$L$4),ROW(),"-")</f>
        <v>-</v>
      </c>
    </row>
    <row r="43027" customHeight="1" spans="2:2">
      <c r="B43027" s="62" t="str">
        <f>IF(AND('领用录入（明细）'!D:D=$F$4,'领用录入（明细）'!C:C&gt;=$J$4,'领用录入（明细）'!C:C&lt;=$L$4),ROW(),"-")</f>
        <v>-</v>
      </c>
    </row>
    <row r="43028" customHeight="1" spans="2:2">
      <c r="B43028" s="62" t="str">
        <f>IF(AND('领用录入（明细）'!D:D=$F$4,'领用录入（明细）'!C:C&gt;=$J$4,'领用录入（明细）'!C:C&lt;=$L$4),ROW(),"-")</f>
        <v>-</v>
      </c>
    </row>
    <row r="43029" customHeight="1" spans="2:2">
      <c r="B43029" s="62" t="str">
        <f>IF(AND('领用录入（明细）'!D:D=$F$4,'领用录入（明细）'!C:C&gt;=$J$4,'领用录入（明细）'!C:C&lt;=$L$4),ROW(),"-")</f>
        <v>-</v>
      </c>
    </row>
    <row r="43030" customHeight="1" spans="2:2">
      <c r="B43030" s="62" t="str">
        <f>IF(AND('领用录入（明细）'!D:D=$F$4,'领用录入（明细）'!C:C&gt;=$J$4,'领用录入（明细）'!C:C&lt;=$L$4),ROW(),"-")</f>
        <v>-</v>
      </c>
    </row>
    <row r="43031" customHeight="1" spans="2:2">
      <c r="B43031" s="62" t="str">
        <f>IF(AND('领用录入（明细）'!D:D=$F$4,'领用录入（明细）'!C:C&gt;=$J$4,'领用录入（明细）'!C:C&lt;=$L$4),ROW(),"-")</f>
        <v>-</v>
      </c>
    </row>
    <row r="43032" customHeight="1" spans="2:2">
      <c r="B43032" s="62" t="str">
        <f>IF(AND('领用录入（明细）'!D:D=$F$4,'领用录入（明细）'!C:C&gt;=$J$4,'领用录入（明细）'!C:C&lt;=$L$4),ROW(),"-")</f>
        <v>-</v>
      </c>
    </row>
    <row r="43033" customHeight="1" spans="2:2">
      <c r="B43033" s="62" t="str">
        <f>IF(AND('领用录入（明细）'!D:D=$F$4,'领用录入（明细）'!C:C&gt;=$J$4,'领用录入（明细）'!C:C&lt;=$L$4),ROW(),"-")</f>
        <v>-</v>
      </c>
    </row>
    <row r="43034" customHeight="1" spans="2:2">
      <c r="B43034" s="62" t="str">
        <f>IF(AND('领用录入（明细）'!D:D=$F$4,'领用录入（明细）'!C:C&gt;=$J$4,'领用录入（明细）'!C:C&lt;=$L$4),ROW(),"-")</f>
        <v>-</v>
      </c>
    </row>
    <row r="43035" customHeight="1" spans="2:2">
      <c r="B43035" s="62" t="str">
        <f>IF(AND('领用录入（明细）'!D:D=$F$4,'领用录入（明细）'!C:C&gt;=$J$4,'领用录入（明细）'!C:C&lt;=$L$4),ROW(),"-")</f>
        <v>-</v>
      </c>
    </row>
    <row r="43036" customHeight="1" spans="2:2">
      <c r="B43036" s="62" t="str">
        <f>IF(AND('领用录入（明细）'!D:D=$F$4,'领用录入（明细）'!C:C&gt;=$J$4,'领用录入（明细）'!C:C&lt;=$L$4),ROW(),"-")</f>
        <v>-</v>
      </c>
    </row>
    <row r="43037" customHeight="1" spans="2:2">
      <c r="B43037" s="62" t="str">
        <f>IF(AND('领用录入（明细）'!D:D=$F$4,'领用录入（明细）'!C:C&gt;=$J$4,'领用录入（明细）'!C:C&lt;=$L$4),ROW(),"-")</f>
        <v>-</v>
      </c>
    </row>
    <row r="43038" customHeight="1" spans="2:2">
      <c r="B43038" s="62" t="str">
        <f>IF(AND('领用录入（明细）'!D:D=$F$4,'领用录入（明细）'!C:C&gt;=$J$4,'领用录入（明细）'!C:C&lt;=$L$4),ROW(),"-")</f>
        <v>-</v>
      </c>
    </row>
    <row r="43039" customHeight="1" spans="2:2">
      <c r="B43039" s="62" t="str">
        <f>IF(AND('领用录入（明细）'!D:D=$F$4,'领用录入（明细）'!C:C&gt;=$J$4,'领用录入（明细）'!C:C&lt;=$L$4),ROW(),"-")</f>
        <v>-</v>
      </c>
    </row>
    <row r="43040" customHeight="1" spans="2:2">
      <c r="B43040" s="62" t="str">
        <f>IF(AND('领用录入（明细）'!D:D=$F$4,'领用录入（明细）'!C:C&gt;=$J$4,'领用录入（明细）'!C:C&lt;=$L$4),ROW(),"-")</f>
        <v>-</v>
      </c>
    </row>
    <row r="43041" customHeight="1" spans="2:2">
      <c r="B43041" s="62" t="str">
        <f>IF(AND('领用录入（明细）'!D:D=$F$4,'领用录入（明细）'!C:C&gt;=$J$4,'领用录入（明细）'!C:C&lt;=$L$4),ROW(),"-")</f>
        <v>-</v>
      </c>
    </row>
    <row r="43042" customHeight="1" spans="2:2">
      <c r="B43042" s="62" t="str">
        <f>IF(AND('领用录入（明细）'!D:D=$F$4,'领用录入（明细）'!C:C&gt;=$J$4,'领用录入（明细）'!C:C&lt;=$L$4),ROW(),"-")</f>
        <v>-</v>
      </c>
    </row>
    <row r="43043" customHeight="1" spans="2:2">
      <c r="B43043" s="62" t="str">
        <f>IF(AND('领用录入（明细）'!D:D=$F$4,'领用录入（明细）'!C:C&gt;=$J$4,'领用录入（明细）'!C:C&lt;=$L$4),ROW(),"-")</f>
        <v>-</v>
      </c>
    </row>
    <row r="43044" customHeight="1" spans="2:2">
      <c r="B43044" s="62" t="str">
        <f>IF(AND('领用录入（明细）'!D:D=$F$4,'领用录入（明细）'!C:C&gt;=$J$4,'领用录入（明细）'!C:C&lt;=$L$4),ROW(),"-")</f>
        <v>-</v>
      </c>
    </row>
    <row r="43045" customHeight="1" spans="2:2">
      <c r="B43045" s="62" t="str">
        <f>IF(AND('领用录入（明细）'!D:D=$F$4,'领用录入（明细）'!C:C&gt;=$J$4,'领用录入（明细）'!C:C&lt;=$L$4),ROW(),"-")</f>
        <v>-</v>
      </c>
    </row>
    <row r="43046" customHeight="1" spans="2:2">
      <c r="B43046" s="62" t="str">
        <f>IF(AND('领用录入（明细）'!D:D=$F$4,'领用录入（明细）'!C:C&gt;=$J$4,'领用录入（明细）'!C:C&lt;=$L$4),ROW(),"-")</f>
        <v>-</v>
      </c>
    </row>
    <row r="43047" customHeight="1" spans="2:2">
      <c r="B43047" s="62" t="str">
        <f>IF(AND('领用录入（明细）'!D:D=$F$4,'领用录入（明细）'!C:C&gt;=$J$4,'领用录入（明细）'!C:C&lt;=$L$4),ROW(),"-")</f>
        <v>-</v>
      </c>
    </row>
    <row r="43048" customHeight="1" spans="2:2">
      <c r="B43048" s="62" t="str">
        <f>IF(AND('领用录入（明细）'!D:D=$F$4,'领用录入（明细）'!C:C&gt;=$J$4,'领用录入（明细）'!C:C&lt;=$L$4),ROW(),"-")</f>
        <v>-</v>
      </c>
    </row>
    <row r="43049" customHeight="1" spans="2:2">
      <c r="B43049" s="62" t="str">
        <f>IF(AND('领用录入（明细）'!D:D=$F$4,'领用录入（明细）'!C:C&gt;=$J$4,'领用录入（明细）'!C:C&lt;=$L$4),ROW(),"-")</f>
        <v>-</v>
      </c>
    </row>
    <row r="43050" customHeight="1" spans="2:2">
      <c r="B43050" s="62" t="str">
        <f>IF(AND('领用录入（明细）'!D:D=$F$4,'领用录入（明细）'!C:C&gt;=$J$4,'领用录入（明细）'!C:C&lt;=$L$4),ROW(),"-")</f>
        <v>-</v>
      </c>
    </row>
    <row r="43051" customHeight="1" spans="2:2">
      <c r="B43051" s="62" t="str">
        <f>IF(AND('领用录入（明细）'!D:D=$F$4,'领用录入（明细）'!C:C&gt;=$J$4,'领用录入（明细）'!C:C&lt;=$L$4),ROW(),"-")</f>
        <v>-</v>
      </c>
    </row>
    <row r="43052" customHeight="1" spans="2:2">
      <c r="B43052" s="62" t="str">
        <f>IF(AND('领用录入（明细）'!D:D=$F$4,'领用录入（明细）'!C:C&gt;=$J$4,'领用录入（明细）'!C:C&lt;=$L$4),ROW(),"-")</f>
        <v>-</v>
      </c>
    </row>
    <row r="43053" customHeight="1" spans="2:2">
      <c r="B43053" s="62" t="str">
        <f>IF(AND('领用录入（明细）'!D:D=$F$4,'领用录入（明细）'!C:C&gt;=$J$4,'领用录入（明细）'!C:C&lt;=$L$4),ROW(),"-")</f>
        <v>-</v>
      </c>
    </row>
    <row r="43054" customHeight="1" spans="2:2">
      <c r="B43054" s="62" t="str">
        <f>IF(AND('领用录入（明细）'!D:D=$F$4,'领用录入（明细）'!C:C&gt;=$J$4,'领用录入（明细）'!C:C&lt;=$L$4),ROW(),"-")</f>
        <v>-</v>
      </c>
    </row>
    <row r="43055" customHeight="1" spans="2:2">
      <c r="B43055" s="62" t="str">
        <f>IF(AND('领用录入（明细）'!D:D=$F$4,'领用录入（明细）'!C:C&gt;=$J$4,'领用录入（明细）'!C:C&lt;=$L$4),ROW(),"-")</f>
        <v>-</v>
      </c>
    </row>
    <row r="43056" customHeight="1" spans="2:2">
      <c r="B43056" s="62" t="str">
        <f>IF(AND('领用录入（明细）'!D:D=$F$4,'领用录入（明细）'!C:C&gt;=$J$4,'领用录入（明细）'!C:C&lt;=$L$4),ROW(),"-")</f>
        <v>-</v>
      </c>
    </row>
    <row r="43057" customHeight="1" spans="2:2">
      <c r="B43057" s="62" t="str">
        <f>IF(AND('领用录入（明细）'!D:D=$F$4,'领用录入（明细）'!C:C&gt;=$J$4,'领用录入（明细）'!C:C&lt;=$L$4),ROW(),"-")</f>
        <v>-</v>
      </c>
    </row>
    <row r="43058" customHeight="1" spans="2:2">
      <c r="B43058" s="62" t="str">
        <f>IF(AND('领用录入（明细）'!D:D=$F$4,'领用录入（明细）'!C:C&gt;=$J$4,'领用录入（明细）'!C:C&lt;=$L$4),ROW(),"-")</f>
        <v>-</v>
      </c>
    </row>
    <row r="43059" customHeight="1" spans="2:2">
      <c r="B43059" s="62" t="str">
        <f>IF(AND('领用录入（明细）'!D:D=$F$4,'领用录入（明细）'!C:C&gt;=$J$4,'领用录入（明细）'!C:C&lt;=$L$4),ROW(),"-")</f>
        <v>-</v>
      </c>
    </row>
    <row r="43060" customHeight="1" spans="2:2">
      <c r="B43060" s="62" t="str">
        <f>IF(AND('领用录入（明细）'!D:D=$F$4,'领用录入（明细）'!C:C&gt;=$J$4,'领用录入（明细）'!C:C&lt;=$L$4),ROW(),"-")</f>
        <v>-</v>
      </c>
    </row>
    <row r="43061" customHeight="1" spans="2:2">
      <c r="B43061" s="62" t="str">
        <f>IF(AND('领用录入（明细）'!D:D=$F$4,'领用录入（明细）'!C:C&gt;=$J$4,'领用录入（明细）'!C:C&lt;=$L$4),ROW(),"-")</f>
        <v>-</v>
      </c>
    </row>
    <row r="43062" customHeight="1" spans="2:2">
      <c r="B43062" s="62" t="str">
        <f>IF(AND('领用录入（明细）'!D:D=$F$4,'领用录入（明细）'!C:C&gt;=$J$4,'领用录入（明细）'!C:C&lt;=$L$4),ROW(),"-")</f>
        <v>-</v>
      </c>
    </row>
    <row r="43063" customHeight="1" spans="2:2">
      <c r="B43063" s="62" t="str">
        <f>IF(AND('领用录入（明细）'!D:D=$F$4,'领用录入（明细）'!C:C&gt;=$J$4,'领用录入（明细）'!C:C&lt;=$L$4),ROW(),"-")</f>
        <v>-</v>
      </c>
    </row>
    <row r="43064" customHeight="1" spans="2:2">
      <c r="B43064" s="62" t="str">
        <f>IF(AND('领用录入（明细）'!D:D=$F$4,'领用录入（明细）'!C:C&gt;=$J$4,'领用录入（明细）'!C:C&lt;=$L$4),ROW(),"-")</f>
        <v>-</v>
      </c>
    </row>
    <row r="43065" customHeight="1" spans="2:2">
      <c r="B43065" s="62" t="str">
        <f>IF(AND('领用录入（明细）'!D:D=$F$4,'领用录入（明细）'!C:C&gt;=$J$4,'领用录入（明细）'!C:C&lt;=$L$4),ROW(),"-")</f>
        <v>-</v>
      </c>
    </row>
    <row r="43066" customHeight="1" spans="2:2">
      <c r="B43066" s="62" t="str">
        <f>IF(AND('领用录入（明细）'!D:D=$F$4,'领用录入（明细）'!C:C&gt;=$J$4,'领用录入（明细）'!C:C&lt;=$L$4),ROW(),"-")</f>
        <v>-</v>
      </c>
    </row>
    <row r="43067" customHeight="1" spans="2:2">
      <c r="B43067" s="62" t="str">
        <f>IF(AND('领用录入（明细）'!D:D=$F$4,'领用录入（明细）'!C:C&gt;=$J$4,'领用录入（明细）'!C:C&lt;=$L$4),ROW(),"-")</f>
        <v>-</v>
      </c>
    </row>
    <row r="43068" customHeight="1" spans="2:2">
      <c r="B43068" s="62" t="str">
        <f>IF(AND('领用录入（明细）'!D:D=$F$4,'领用录入（明细）'!C:C&gt;=$J$4,'领用录入（明细）'!C:C&lt;=$L$4),ROW(),"-")</f>
        <v>-</v>
      </c>
    </row>
    <row r="43069" customHeight="1" spans="2:2">
      <c r="B43069" s="62" t="str">
        <f>IF(AND('领用录入（明细）'!D:D=$F$4,'领用录入（明细）'!C:C&gt;=$J$4,'领用录入（明细）'!C:C&lt;=$L$4),ROW(),"-")</f>
        <v>-</v>
      </c>
    </row>
    <row r="43070" customHeight="1" spans="2:2">
      <c r="B43070" s="62" t="str">
        <f>IF(AND('领用录入（明细）'!D:D=$F$4,'领用录入（明细）'!C:C&gt;=$J$4,'领用录入（明细）'!C:C&lt;=$L$4),ROW(),"-")</f>
        <v>-</v>
      </c>
    </row>
    <row r="43071" customHeight="1" spans="2:2">
      <c r="B43071" s="62" t="str">
        <f>IF(AND('领用录入（明细）'!D:D=$F$4,'领用录入（明细）'!C:C&gt;=$J$4,'领用录入（明细）'!C:C&lt;=$L$4),ROW(),"-")</f>
        <v>-</v>
      </c>
    </row>
    <row r="43072" customHeight="1" spans="2:2">
      <c r="B43072" s="62" t="str">
        <f>IF(AND('领用录入（明细）'!D:D=$F$4,'领用录入（明细）'!C:C&gt;=$J$4,'领用录入（明细）'!C:C&lt;=$L$4),ROW(),"-")</f>
        <v>-</v>
      </c>
    </row>
    <row r="43073" customHeight="1" spans="2:2">
      <c r="B43073" s="62" t="str">
        <f>IF(AND('领用录入（明细）'!D:D=$F$4,'领用录入（明细）'!C:C&gt;=$J$4,'领用录入（明细）'!C:C&lt;=$L$4),ROW(),"-")</f>
        <v>-</v>
      </c>
    </row>
    <row r="43074" customHeight="1" spans="2:2">
      <c r="B43074" s="62" t="str">
        <f>IF(AND('领用录入（明细）'!D:D=$F$4,'领用录入（明细）'!C:C&gt;=$J$4,'领用录入（明细）'!C:C&lt;=$L$4),ROW(),"-")</f>
        <v>-</v>
      </c>
    </row>
    <row r="43075" customHeight="1" spans="2:2">
      <c r="B43075" s="62" t="str">
        <f>IF(AND('领用录入（明细）'!D:D=$F$4,'领用录入（明细）'!C:C&gt;=$J$4,'领用录入（明细）'!C:C&lt;=$L$4),ROW(),"-")</f>
        <v>-</v>
      </c>
    </row>
    <row r="43076" customHeight="1" spans="2:2">
      <c r="B43076" s="62" t="str">
        <f>IF(AND('领用录入（明细）'!D:D=$F$4,'领用录入（明细）'!C:C&gt;=$J$4,'领用录入（明细）'!C:C&lt;=$L$4),ROW(),"-")</f>
        <v>-</v>
      </c>
    </row>
    <row r="43077" customHeight="1" spans="2:2">
      <c r="B43077" s="62" t="str">
        <f>IF(AND('领用录入（明细）'!D:D=$F$4,'领用录入（明细）'!C:C&gt;=$J$4,'领用录入（明细）'!C:C&lt;=$L$4),ROW(),"-")</f>
        <v>-</v>
      </c>
    </row>
    <row r="43078" customHeight="1" spans="2:2">
      <c r="B43078" s="62" t="str">
        <f>IF(AND('领用录入（明细）'!D:D=$F$4,'领用录入（明细）'!C:C&gt;=$J$4,'领用录入（明细）'!C:C&lt;=$L$4),ROW(),"-")</f>
        <v>-</v>
      </c>
    </row>
    <row r="43079" customHeight="1" spans="2:2">
      <c r="B43079" s="62" t="str">
        <f>IF(AND('领用录入（明细）'!D:D=$F$4,'领用录入（明细）'!C:C&gt;=$J$4,'领用录入（明细）'!C:C&lt;=$L$4),ROW(),"-")</f>
        <v>-</v>
      </c>
    </row>
    <row r="43080" customHeight="1" spans="2:2">
      <c r="B43080" s="62" t="str">
        <f>IF(AND('领用录入（明细）'!D:D=$F$4,'领用录入（明细）'!C:C&gt;=$J$4,'领用录入（明细）'!C:C&lt;=$L$4),ROW(),"-")</f>
        <v>-</v>
      </c>
    </row>
    <row r="43081" customHeight="1" spans="2:2">
      <c r="B43081" s="62" t="str">
        <f>IF(AND('领用录入（明细）'!D:D=$F$4,'领用录入（明细）'!C:C&gt;=$J$4,'领用录入（明细）'!C:C&lt;=$L$4),ROW(),"-")</f>
        <v>-</v>
      </c>
    </row>
    <row r="43082" customHeight="1" spans="2:2">
      <c r="B43082" s="62" t="str">
        <f>IF(AND('领用录入（明细）'!D:D=$F$4,'领用录入（明细）'!C:C&gt;=$J$4,'领用录入（明细）'!C:C&lt;=$L$4),ROW(),"-")</f>
        <v>-</v>
      </c>
    </row>
    <row r="43083" customHeight="1" spans="2:2">
      <c r="B43083" s="62" t="str">
        <f>IF(AND('领用录入（明细）'!D:D=$F$4,'领用录入（明细）'!C:C&gt;=$J$4,'领用录入（明细）'!C:C&lt;=$L$4),ROW(),"-")</f>
        <v>-</v>
      </c>
    </row>
    <row r="43084" customHeight="1" spans="2:2">
      <c r="B43084" s="62" t="str">
        <f>IF(AND('领用录入（明细）'!D:D=$F$4,'领用录入（明细）'!C:C&gt;=$J$4,'领用录入（明细）'!C:C&lt;=$L$4),ROW(),"-")</f>
        <v>-</v>
      </c>
    </row>
    <row r="43085" customHeight="1" spans="2:2">
      <c r="B43085" s="62" t="str">
        <f>IF(AND('领用录入（明细）'!D:D=$F$4,'领用录入（明细）'!C:C&gt;=$J$4,'领用录入（明细）'!C:C&lt;=$L$4),ROW(),"-")</f>
        <v>-</v>
      </c>
    </row>
    <row r="43086" customHeight="1" spans="2:2">
      <c r="B43086" s="62" t="str">
        <f>IF(AND('领用录入（明细）'!D:D=$F$4,'领用录入（明细）'!C:C&gt;=$J$4,'领用录入（明细）'!C:C&lt;=$L$4),ROW(),"-")</f>
        <v>-</v>
      </c>
    </row>
    <row r="43087" customHeight="1" spans="2:2">
      <c r="B43087" s="62" t="str">
        <f>IF(AND('领用录入（明细）'!D:D=$F$4,'领用录入（明细）'!C:C&gt;=$J$4,'领用录入（明细）'!C:C&lt;=$L$4),ROW(),"-")</f>
        <v>-</v>
      </c>
    </row>
    <row r="43088" customHeight="1" spans="2:2">
      <c r="B43088" s="62" t="str">
        <f>IF(AND('领用录入（明细）'!D:D=$F$4,'领用录入（明细）'!C:C&gt;=$J$4,'领用录入（明细）'!C:C&lt;=$L$4),ROW(),"-")</f>
        <v>-</v>
      </c>
    </row>
    <row r="43089" customHeight="1" spans="2:2">
      <c r="B43089" s="62" t="str">
        <f>IF(AND('领用录入（明细）'!D:D=$F$4,'领用录入（明细）'!C:C&gt;=$J$4,'领用录入（明细）'!C:C&lt;=$L$4),ROW(),"-")</f>
        <v>-</v>
      </c>
    </row>
    <row r="43090" customHeight="1" spans="2:2">
      <c r="B43090" s="62" t="str">
        <f>IF(AND('领用录入（明细）'!D:D=$F$4,'领用录入（明细）'!C:C&gt;=$J$4,'领用录入（明细）'!C:C&lt;=$L$4),ROW(),"-")</f>
        <v>-</v>
      </c>
    </row>
    <row r="43091" customHeight="1" spans="2:2">
      <c r="B43091" s="62" t="str">
        <f>IF(AND('领用录入（明细）'!D:D=$F$4,'领用录入（明细）'!C:C&gt;=$J$4,'领用录入（明细）'!C:C&lt;=$L$4),ROW(),"-")</f>
        <v>-</v>
      </c>
    </row>
    <row r="43092" customHeight="1" spans="2:2">
      <c r="B43092" s="62" t="str">
        <f>IF(AND('领用录入（明细）'!D:D=$F$4,'领用录入（明细）'!C:C&gt;=$J$4,'领用录入（明细）'!C:C&lt;=$L$4),ROW(),"-")</f>
        <v>-</v>
      </c>
    </row>
    <row r="43093" customHeight="1" spans="2:2">
      <c r="B43093" s="62" t="str">
        <f>IF(AND('领用录入（明细）'!D:D=$F$4,'领用录入（明细）'!C:C&gt;=$J$4,'领用录入（明细）'!C:C&lt;=$L$4),ROW(),"-")</f>
        <v>-</v>
      </c>
    </row>
    <row r="43094" customHeight="1" spans="2:2">
      <c r="B43094" s="62" t="str">
        <f>IF(AND('领用录入（明细）'!D:D=$F$4,'领用录入（明细）'!C:C&gt;=$J$4,'领用录入（明细）'!C:C&lt;=$L$4),ROW(),"-")</f>
        <v>-</v>
      </c>
    </row>
    <row r="43095" customHeight="1" spans="2:2">
      <c r="B43095" s="62" t="str">
        <f>IF(AND('领用录入（明细）'!D:D=$F$4,'领用录入（明细）'!C:C&gt;=$J$4,'领用录入（明细）'!C:C&lt;=$L$4),ROW(),"-")</f>
        <v>-</v>
      </c>
    </row>
    <row r="43096" customHeight="1" spans="2:2">
      <c r="B43096" s="62" t="str">
        <f>IF(AND('领用录入（明细）'!D:D=$F$4,'领用录入（明细）'!C:C&gt;=$J$4,'领用录入（明细）'!C:C&lt;=$L$4),ROW(),"-")</f>
        <v>-</v>
      </c>
    </row>
    <row r="43097" customHeight="1" spans="2:2">
      <c r="B43097" s="62" t="str">
        <f>IF(AND('领用录入（明细）'!D:D=$F$4,'领用录入（明细）'!C:C&gt;=$J$4,'领用录入（明细）'!C:C&lt;=$L$4),ROW(),"-")</f>
        <v>-</v>
      </c>
    </row>
    <row r="43098" customHeight="1" spans="2:2">
      <c r="B43098" s="62" t="str">
        <f>IF(AND('领用录入（明细）'!D:D=$F$4,'领用录入（明细）'!C:C&gt;=$J$4,'领用录入（明细）'!C:C&lt;=$L$4),ROW(),"-")</f>
        <v>-</v>
      </c>
    </row>
    <row r="43099" customHeight="1" spans="2:2">
      <c r="B43099" s="62" t="str">
        <f>IF(AND('领用录入（明细）'!D:D=$F$4,'领用录入（明细）'!C:C&gt;=$J$4,'领用录入（明细）'!C:C&lt;=$L$4),ROW(),"-")</f>
        <v>-</v>
      </c>
    </row>
    <row r="43100" customHeight="1" spans="2:2">
      <c r="B43100" s="62" t="str">
        <f>IF(AND('领用录入（明细）'!D:D=$F$4,'领用录入（明细）'!C:C&gt;=$J$4,'领用录入（明细）'!C:C&lt;=$L$4),ROW(),"-")</f>
        <v>-</v>
      </c>
    </row>
    <row r="43101" customHeight="1" spans="2:2">
      <c r="B43101" s="62" t="str">
        <f>IF(AND('领用录入（明细）'!D:D=$F$4,'领用录入（明细）'!C:C&gt;=$J$4,'领用录入（明细）'!C:C&lt;=$L$4),ROW(),"-")</f>
        <v>-</v>
      </c>
    </row>
    <row r="43102" customHeight="1" spans="2:2">
      <c r="B43102" s="62" t="str">
        <f>IF(AND('领用录入（明细）'!D:D=$F$4,'领用录入（明细）'!C:C&gt;=$J$4,'领用录入（明细）'!C:C&lt;=$L$4),ROW(),"-")</f>
        <v>-</v>
      </c>
    </row>
    <row r="43103" customHeight="1" spans="2:2">
      <c r="B43103" s="62" t="str">
        <f>IF(AND('领用录入（明细）'!D:D=$F$4,'领用录入（明细）'!C:C&gt;=$J$4,'领用录入（明细）'!C:C&lt;=$L$4),ROW(),"-")</f>
        <v>-</v>
      </c>
    </row>
    <row r="43104" customHeight="1" spans="2:2">
      <c r="B43104" s="62" t="str">
        <f>IF(AND('领用录入（明细）'!D:D=$F$4,'领用录入（明细）'!C:C&gt;=$J$4,'领用录入（明细）'!C:C&lt;=$L$4),ROW(),"-")</f>
        <v>-</v>
      </c>
    </row>
    <row r="43105" customHeight="1" spans="2:2">
      <c r="B43105" s="62" t="str">
        <f>IF(AND('领用录入（明细）'!D:D=$F$4,'领用录入（明细）'!C:C&gt;=$J$4,'领用录入（明细）'!C:C&lt;=$L$4),ROW(),"-")</f>
        <v>-</v>
      </c>
    </row>
    <row r="43106" customHeight="1" spans="2:2">
      <c r="B43106" s="62" t="str">
        <f>IF(AND('领用录入（明细）'!D:D=$F$4,'领用录入（明细）'!C:C&gt;=$J$4,'领用录入（明细）'!C:C&lt;=$L$4),ROW(),"-")</f>
        <v>-</v>
      </c>
    </row>
    <row r="43107" customHeight="1" spans="2:2">
      <c r="B43107" s="62" t="str">
        <f>IF(AND('领用录入（明细）'!D:D=$F$4,'领用录入（明细）'!C:C&gt;=$J$4,'领用录入（明细）'!C:C&lt;=$L$4),ROW(),"-")</f>
        <v>-</v>
      </c>
    </row>
    <row r="43108" customHeight="1" spans="2:2">
      <c r="B43108" s="62" t="str">
        <f>IF(AND('领用录入（明细）'!D:D=$F$4,'领用录入（明细）'!C:C&gt;=$J$4,'领用录入（明细）'!C:C&lt;=$L$4),ROW(),"-")</f>
        <v>-</v>
      </c>
    </row>
    <row r="43109" customHeight="1" spans="2:2">
      <c r="B43109" s="62" t="str">
        <f>IF(AND('领用录入（明细）'!D:D=$F$4,'领用录入（明细）'!C:C&gt;=$J$4,'领用录入（明细）'!C:C&lt;=$L$4),ROW(),"-")</f>
        <v>-</v>
      </c>
    </row>
    <row r="43110" customHeight="1" spans="2:2">
      <c r="B43110" s="62" t="str">
        <f>IF(AND('领用录入（明细）'!D:D=$F$4,'领用录入（明细）'!C:C&gt;=$J$4,'领用录入（明细）'!C:C&lt;=$L$4),ROW(),"-")</f>
        <v>-</v>
      </c>
    </row>
    <row r="43111" customHeight="1" spans="2:2">
      <c r="B43111" s="62" t="str">
        <f>IF(AND('领用录入（明细）'!D:D=$F$4,'领用录入（明细）'!C:C&gt;=$J$4,'领用录入（明细）'!C:C&lt;=$L$4),ROW(),"-")</f>
        <v>-</v>
      </c>
    </row>
    <row r="43112" customHeight="1" spans="2:2">
      <c r="B43112" s="62" t="str">
        <f>IF(AND('领用录入（明细）'!D:D=$F$4,'领用录入（明细）'!C:C&gt;=$J$4,'领用录入（明细）'!C:C&lt;=$L$4),ROW(),"-")</f>
        <v>-</v>
      </c>
    </row>
    <row r="43113" customHeight="1" spans="2:2">
      <c r="B43113" s="62" t="str">
        <f>IF(AND('领用录入（明细）'!D:D=$F$4,'领用录入（明细）'!C:C&gt;=$J$4,'领用录入（明细）'!C:C&lt;=$L$4),ROW(),"-")</f>
        <v>-</v>
      </c>
    </row>
    <row r="43114" customHeight="1" spans="2:2">
      <c r="B43114" s="62" t="str">
        <f>IF(AND('领用录入（明细）'!D:D=$F$4,'领用录入（明细）'!C:C&gt;=$J$4,'领用录入（明细）'!C:C&lt;=$L$4),ROW(),"-")</f>
        <v>-</v>
      </c>
    </row>
    <row r="43115" customHeight="1" spans="2:2">
      <c r="B43115" s="62" t="str">
        <f>IF(AND('领用录入（明细）'!D:D=$F$4,'领用录入（明细）'!C:C&gt;=$J$4,'领用录入（明细）'!C:C&lt;=$L$4),ROW(),"-")</f>
        <v>-</v>
      </c>
    </row>
    <row r="43116" customHeight="1" spans="2:2">
      <c r="B43116" s="62" t="str">
        <f>IF(AND('领用录入（明细）'!D:D=$F$4,'领用录入（明细）'!C:C&gt;=$J$4,'领用录入（明细）'!C:C&lt;=$L$4),ROW(),"-")</f>
        <v>-</v>
      </c>
    </row>
    <row r="43117" customHeight="1" spans="2:2">
      <c r="B43117" s="62" t="str">
        <f>IF(AND('领用录入（明细）'!D:D=$F$4,'领用录入（明细）'!C:C&gt;=$J$4,'领用录入（明细）'!C:C&lt;=$L$4),ROW(),"-")</f>
        <v>-</v>
      </c>
    </row>
    <row r="43118" customHeight="1" spans="2:2">
      <c r="B43118" s="62" t="str">
        <f>IF(AND('领用录入（明细）'!D:D=$F$4,'领用录入（明细）'!C:C&gt;=$J$4,'领用录入（明细）'!C:C&lt;=$L$4),ROW(),"-")</f>
        <v>-</v>
      </c>
    </row>
    <row r="43119" customHeight="1" spans="2:2">
      <c r="B43119" s="62" t="str">
        <f>IF(AND('领用录入（明细）'!D:D=$F$4,'领用录入（明细）'!C:C&gt;=$J$4,'领用录入（明细）'!C:C&lt;=$L$4),ROW(),"-")</f>
        <v>-</v>
      </c>
    </row>
    <row r="43120" customHeight="1" spans="2:2">
      <c r="B43120" s="62" t="str">
        <f>IF(AND('领用录入（明细）'!D:D=$F$4,'领用录入（明细）'!C:C&gt;=$J$4,'领用录入（明细）'!C:C&lt;=$L$4),ROW(),"-")</f>
        <v>-</v>
      </c>
    </row>
    <row r="43121" customHeight="1" spans="2:2">
      <c r="B43121" s="62" t="str">
        <f>IF(AND('领用录入（明细）'!D:D=$F$4,'领用录入（明细）'!C:C&gt;=$J$4,'领用录入（明细）'!C:C&lt;=$L$4),ROW(),"-")</f>
        <v>-</v>
      </c>
    </row>
    <row r="43122" customHeight="1" spans="2:2">
      <c r="B43122" s="62" t="str">
        <f>IF(AND('领用录入（明细）'!D:D=$F$4,'领用录入（明细）'!C:C&gt;=$J$4,'领用录入（明细）'!C:C&lt;=$L$4),ROW(),"-")</f>
        <v>-</v>
      </c>
    </row>
    <row r="43123" customHeight="1" spans="2:2">
      <c r="B43123" s="62" t="str">
        <f>IF(AND('领用录入（明细）'!D:D=$F$4,'领用录入（明细）'!C:C&gt;=$J$4,'领用录入（明细）'!C:C&lt;=$L$4),ROW(),"-")</f>
        <v>-</v>
      </c>
    </row>
    <row r="43124" customHeight="1" spans="2:2">
      <c r="B43124" s="62" t="str">
        <f>IF(AND('领用录入（明细）'!D:D=$F$4,'领用录入（明细）'!C:C&gt;=$J$4,'领用录入（明细）'!C:C&lt;=$L$4),ROW(),"-")</f>
        <v>-</v>
      </c>
    </row>
    <row r="43125" customHeight="1" spans="2:2">
      <c r="B43125" s="62" t="str">
        <f>IF(AND('领用录入（明细）'!D:D=$F$4,'领用录入（明细）'!C:C&gt;=$J$4,'领用录入（明细）'!C:C&lt;=$L$4),ROW(),"-")</f>
        <v>-</v>
      </c>
    </row>
    <row r="43126" customHeight="1" spans="2:2">
      <c r="B43126" s="62" t="str">
        <f>IF(AND('领用录入（明细）'!D:D=$F$4,'领用录入（明细）'!C:C&gt;=$J$4,'领用录入（明细）'!C:C&lt;=$L$4),ROW(),"-")</f>
        <v>-</v>
      </c>
    </row>
    <row r="43127" customHeight="1" spans="2:2">
      <c r="B43127" s="62" t="str">
        <f>IF(AND('领用录入（明细）'!D:D=$F$4,'领用录入（明细）'!C:C&gt;=$J$4,'领用录入（明细）'!C:C&lt;=$L$4),ROW(),"-")</f>
        <v>-</v>
      </c>
    </row>
    <row r="43128" customHeight="1" spans="2:2">
      <c r="B43128" s="62" t="str">
        <f>IF(AND('领用录入（明细）'!D:D=$F$4,'领用录入（明细）'!C:C&gt;=$J$4,'领用录入（明细）'!C:C&lt;=$L$4),ROW(),"-")</f>
        <v>-</v>
      </c>
    </row>
    <row r="43129" customHeight="1" spans="2:2">
      <c r="B43129" s="62" t="str">
        <f>IF(AND('领用录入（明细）'!D:D=$F$4,'领用录入（明细）'!C:C&gt;=$J$4,'领用录入（明细）'!C:C&lt;=$L$4),ROW(),"-")</f>
        <v>-</v>
      </c>
    </row>
    <row r="43130" customHeight="1" spans="2:2">
      <c r="B43130" s="62" t="str">
        <f>IF(AND('领用录入（明细）'!D:D=$F$4,'领用录入（明细）'!C:C&gt;=$J$4,'领用录入（明细）'!C:C&lt;=$L$4),ROW(),"-")</f>
        <v>-</v>
      </c>
    </row>
    <row r="43131" customHeight="1" spans="2:2">
      <c r="B43131" s="62" t="str">
        <f>IF(AND('领用录入（明细）'!D:D=$F$4,'领用录入（明细）'!C:C&gt;=$J$4,'领用录入（明细）'!C:C&lt;=$L$4),ROW(),"-")</f>
        <v>-</v>
      </c>
    </row>
    <row r="43132" customHeight="1" spans="2:2">
      <c r="B43132" s="62" t="str">
        <f>IF(AND('领用录入（明细）'!D:D=$F$4,'领用录入（明细）'!C:C&gt;=$J$4,'领用录入（明细）'!C:C&lt;=$L$4),ROW(),"-")</f>
        <v>-</v>
      </c>
    </row>
    <row r="43133" customHeight="1" spans="2:2">
      <c r="B43133" s="62" t="str">
        <f>IF(AND('领用录入（明细）'!D:D=$F$4,'领用录入（明细）'!C:C&gt;=$J$4,'领用录入（明细）'!C:C&lt;=$L$4),ROW(),"-")</f>
        <v>-</v>
      </c>
    </row>
    <row r="43134" customHeight="1" spans="2:2">
      <c r="B43134" s="62" t="str">
        <f>IF(AND('领用录入（明细）'!D:D=$F$4,'领用录入（明细）'!C:C&gt;=$J$4,'领用录入（明细）'!C:C&lt;=$L$4),ROW(),"-")</f>
        <v>-</v>
      </c>
    </row>
    <row r="43135" customHeight="1" spans="2:2">
      <c r="B43135" s="62" t="str">
        <f>IF(AND('领用录入（明细）'!D:D=$F$4,'领用录入（明细）'!C:C&gt;=$J$4,'领用录入（明细）'!C:C&lt;=$L$4),ROW(),"-")</f>
        <v>-</v>
      </c>
    </row>
    <row r="43136" customHeight="1" spans="2:2">
      <c r="B43136" s="62" t="str">
        <f>IF(AND('领用录入（明细）'!D:D=$F$4,'领用录入（明细）'!C:C&gt;=$J$4,'领用录入（明细）'!C:C&lt;=$L$4),ROW(),"-")</f>
        <v>-</v>
      </c>
    </row>
    <row r="43137" customHeight="1" spans="2:2">
      <c r="B43137" s="62" t="str">
        <f>IF(AND('领用录入（明细）'!D:D=$F$4,'领用录入（明细）'!C:C&gt;=$J$4,'领用录入（明细）'!C:C&lt;=$L$4),ROW(),"-")</f>
        <v>-</v>
      </c>
    </row>
    <row r="43138" customHeight="1" spans="2:2">
      <c r="B43138" s="62" t="str">
        <f>IF(AND('领用录入（明细）'!D:D=$F$4,'领用录入（明细）'!C:C&gt;=$J$4,'领用录入（明细）'!C:C&lt;=$L$4),ROW(),"-")</f>
        <v>-</v>
      </c>
    </row>
    <row r="43139" customHeight="1" spans="2:2">
      <c r="B43139" s="62" t="str">
        <f>IF(AND('领用录入（明细）'!D:D=$F$4,'领用录入（明细）'!C:C&gt;=$J$4,'领用录入（明细）'!C:C&lt;=$L$4),ROW(),"-")</f>
        <v>-</v>
      </c>
    </row>
    <row r="43140" customHeight="1" spans="2:2">
      <c r="B43140" s="62" t="str">
        <f>IF(AND('领用录入（明细）'!D:D=$F$4,'领用录入（明细）'!C:C&gt;=$J$4,'领用录入（明细）'!C:C&lt;=$L$4),ROW(),"-")</f>
        <v>-</v>
      </c>
    </row>
    <row r="43141" customHeight="1" spans="2:2">
      <c r="B43141" s="62" t="str">
        <f>IF(AND('领用录入（明细）'!D:D=$F$4,'领用录入（明细）'!C:C&gt;=$J$4,'领用录入（明细）'!C:C&lt;=$L$4),ROW(),"-")</f>
        <v>-</v>
      </c>
    </row>
    <row r="43142" customHeight="1" spans="2:2">
      <c r="B43142" s="62" t="str">
        <f>IF(AND('领用录入（明细）'!D:D=$F$4,'领用录入（明细）'!C:C&gt;=$J$4,'领用录入（明细）'!C:C&lt;=$L$4),ROW(),"-")</f>
        <v>-</v>
      </c>
    </row>
    <row r="43143" customHeight="1" spans="2:2">
      <c r="B43143" s="62" t="str">
        <f>IF(AND('领用录入（明细）'!D:D=$F$4,'领用录入（明细）'!C:C&gt;=$J$4,'领用录入（明细）'!C:C&lt;=$L$4),ROW(),"-")</f>
        <v>-</v>
      </c>
    </row>
    <row r="43144" customHeight="1" spans="2:2">
      <c r="B43144" s="62" t="str">
        <f>IF(AND('领用录入（明细）'!D:D=$F$4,'领用录入（明细）'!C:C&gt;=$J$4,'领用录入（明细）'!C:C&lt;=$L$4),ROW(),"-")</f>
        <v>-</v>
      </c>
    </row>
    <row r="43145" customHeight="1" spans="2:2">
      <c r="B43145" s="62" t="str">
        <f>IF(AND('领用录入（明细）'!D:D=$F$4,'领用录入（明细）'!C:C&gt;=$J$4,'领用录入（明细）'!C:C&lt;=$L$4),ROW(),"-")</f>
        <v>-</v>
      </c>
    </row>
    <row r="43146" customHeight="1" spans="2:2">
      <c r="B43146" s="62" t="str">
        <f>IF(AND('领用录入（明细）'!D:D=$F$4,'领用录入（明细）'!C:C&gt;=$J$4,'领用录入（明细）'!C:C&lt;=$L$4),ROW(),"-")</f>
        <v>-</v>
      </c>
    </row>
    <row r="43147" customHeight="1" spans="2:2">
      <c r="B43147" s="62" t="str">
        <f>IF(AND('领用录入（明细）'!D:D=$F$4,'领用录入（明细）'!C:C&gt;=$J$4,'领用录入（明细）'!C:C&lt;=$L$4),ROW(),"-")</f>
        <v>-</v>
      </c>
    </row>
    <row r="43148" customHeight="1" spans="2:2">
      <c r="B43148" s="62" t="str">
        <f>IF(AND('领用录入（明细）'!D:D=$F$4,'领用录入（明细）'!C:C&gt;=$J$4,'领用录入（明细）'!C:C&lt;=$L$4),ROW(),"-")</f>
        <v>-</v>
      </c>
    </row>
    <row r="43149" customHeight="1" spans="2:2">
      <c r="B43149" s="62" t="str">
        <f>IF(AND('领用录入（明细）'!D:D=$F$4,'领用录入（明细）'!C:C&gt;=$J$4,'领用录入（明细）'!C:C&lt;=$L$4),ROW(),"-")</f>
        <v>-</v>
      </c>
    </row>
    <row r="43150" customHeight="1" spans="2:2">
      <c r="B43150" s="62" t="str">
        <f>IF(AND('领用录入（明细）'!D:D=$F$4,'领用录入（明细）'!C:C&gt;=$J$4,'领用录入（明细）'!C:C&lt;=$L$4),ROW(),"-")</f>
        <v>-</v>
      </c>
    </row>
    <row r="43151" customHeight="1" spans="2:2">
      <c r="B43151" s="62" t="str">
        <f>IF(AND('领用录入（明细）'!D:D=$F$4,'领用录入（明细）'!C:C&gt;=$J$4,'领用录入（明细）'!C:C&lt;=$L$4),ROW(),"-")</f>
        <v>-</v>
      </c>
    </row>
    <row r="43152" customHeight="1" spans="2:2">
      <c r="B43152" s="62" t="str">
        <f>IF(AND('领用录入（明细）'!D:D=$F$4,'领用录入（明细）'!C:C&gt;=$J$4,'领用录入（明细）'!C:C&lt;=$L$4),ROW(),"-")</f>
        <v>-</v>
      </c>
    </row>
    <row r="43153" customHeight="1" spans="2:2">
      <c r="B43153" s="62" t="str">
        <f>IF(AND('领用录入（明细）'!D:D=$F$4,'领用录入（明细）'!C:C&gt;=$J$4,'领用录入（明细）'!C:C&lt;=$L$4),ROW(),"-")</f>
        <v>-</v>
      </c>
    </row>
    <row r="43154" customHeight="1" spans="2:2">
      <c r="B43154" s="62" t="str">
        <f>IF(AND('领用录入（明细）'!D:D=$F$4,'领用录入（明细）'!C:C&gt;=$J$4,'领用录入（明细）'!C:C&lt;=$L$4),ROW(),"-")</f>
        <v>-</v>
      </c>
    </row>
    <row r="43155" customHeight="1" spans="2:2">
      <c r="B43155" s="62" t="str">
        <f>IF(AND('领用录入（明细）'!D:D=$F$4,'领用录入（明细）'!C:C&gt;=$J$4,'领用录入（明细）'!C:C&lt;=$L$4),ROW(),"-")</f>
        <v>-</v>
      </c>
    </row>
    <row r="43156" customHeight="1" spans="2:2">
      <c r="B43156" s="62" t="str">
        <f>IF(AND('领用录入（明细）'!D:D=$F$4,'领用录入（明细）'!C:C&gt;=$J$4,'领用录入（明细）'!C:C&lt;=$L$4),ROW(),"-")</f>
        <v>-</v>
      </c>
    </row>
    <row r="43157" customHeight="1" spans="2:2">
      <c r="B43157" s="62" t="str">
        <f>IF(AND('领用录入（明细）'!D:D=$F$4,'领用录入（明细）'!C:C&gt;=$J$4,'领用录入（明细）'!C:C&lt;=$L$4),ROW(),"-")</f>
        <v>-</v>
      </c>
    </row>
    <row r="43158" customHeight="1" spans="2:2">
      <c r="B43158" s="62" t="str">
        <f>IF(AND('领用录入（明细）'!D:D=$F$4,'领用录入（明细）'!C:C&gt;=$J$4,'领用录入（明细）'!C:C&lt;=$L$4),ROW(),"-")</f>
        <v>-</v>
      </c>
    </row>
    <row r="43159" customHeight="1" spans="2:2">
      <c r="B43159" s="62" t="str">
        <f>IF(AND('领用录入（明细）'!D:D=$F$4,'领用录入（明细）'!C:C&gt;=$J$4,'领用录入（明细）'!C:C&lt;=$L$4),ROW(),"-")</f>
        <v>-</v>
      </c>
    </row>
    <row r="43160" customHeight="1" spans="2:2">
      <c r="B43160" s="62" t="str">
        <f>IF(AND('领用录入（明细）'!D:D=$F$4,'领用录入（明细）'!C:C&gt;=$J$4,'领用录入（明细）'!C:C&lt;=$L$4),ROW(),"-")</f>
        <v>-</v>
      </c>
    </row>
    <row r="43161" customHeight="1" spans="2:2">
      <c r="B43161" s="62" t="str">
        <f>IF(AND('领用录入（明细）'!D:D=$F$4,'领用录入（明细）'!C:C&gt;=$J$4,'领用录入（明细）'!C:C&lt;=$L$4),ROW(),"-")</f>
        <v>-</v>
      </c>
    </row>
    <row r="43162" customHeight="1" spans="2:2">
      <c r="B43162" s="62" t="str">
        <f>IF(AND('领用录入（明细）'!D:D=$F$4,'领用录入（明细）'!C:C&gt;=$J$4,'领用录入（明细）'!C:C&lt;=$L$4),ROW(),"-")</f>
        <v>-</v>
      </c>
    </row>
    <row r="43163" customHeight="1" spans="2:2">
      <c r="B43163" s="62" t="str">
        <f>IF(AND('领用录入（明细）'!D:D=$F$4,'领用录入（明细）'!C:C&gt;=$J$4,'领用录入（明细）'!C:C&lt;=$L$4),ROW(),"-")</f>
        <v>-</v>
      </c>
    </row>
    <row r="43164" customHeight="1" spans="2:2">
      <c r="B43164" s="62" t="str">
        <f>IF(AND('领用录入（明细）'!D:D=$F$4,'领用录入（明细）'!C:C&gt;=$J$4,'领用录入（明细）'!C:C&lt;=$L$4),ROW(),"-")</f>
        <v>-</v>
      </c>
    </row>
    <row r="43165" customHeight="1" spans="2:2">
      <c r="B43165" s="62" t="str">
        <f>IF(AND('领用录入（明细）'!D:D=$F$4,'领用录入（明细）'!C:C&gt;=$J$4,'领用录入（明细）'!C:C&lt;=$L$4),ROW(),"-")</f>
        <v>-</v>
      </c>
    </row>
    <row r="43166" customHeight="1" spans="2:2">
      <c r="B43166" s="62" t="str">
        <f>IF(AND('领用录入（明细）'!D:D=$F$4,'领用录入（明细）'!C:C&gt;=$J$4,'领用录入（明细）'!C:C&lt;=$L$4),ROW(),"-")</f>
        <v>-</v>
      </c>
    </row>
    <row r="43167" customHeight="1" spans="2:2">
      <c r="B43167" s="62" t="str">
        <f>IF(AND('领用录入（明细）'!D:D=$F$4,'领用录入（明细）'!C:C&gt;=$J$4,'领用录入（明细）'!C:C&lt;=$L$4),ROW(),"-")</f>
        <v>-</v>
      </c>
    </row>
    <row r="43168" customHeight="1" spans="2:2">
      <c r="B43168" s="62" t="str">
        <f>IF(AND('领用录入（明细）'!D:D=$F$4,'领用录入（明细）'!C:C&gt;=$J$4,'领用录入（明细）'!C:C&lt;=$L$4),ROW(),"-")</f>
        <v>-</v>
      </c>
    </row>
    <row r="43169" customHeight="1" spans="2:2">
      <c r="B43169" s="62" t="str">
        <f>IF(AND('领用录入（明细）'!D:D=$F$4,'领用录入（明细）'!C:C&gt;=$J$4,'领用录入（明细）'!C:C&lt;=$L$4),ROW(),"-")</f>
        <v>-</v>
      </c>
    </row>
    <row r="43170" customHeight="1" spans="2:2">
      <c r="B43170" s="62" t="str">
        <f>IF(AND('领用录入（明细）'!D:D=$F$4,'领用录入（明细）'!C:C&gt;=$J$4,'领用录入（明细）'!C:C&lt;=$L$4),ROW(),"-")</f>
        <v>-</v>
      </c>
    </row>
    <row r="43171" customHeight="1" spans="2:2">
      <c r="B43171" s="62" t="str">
        <f>IF(AND('领用录入（明细）'!D:D=$F$4,'领用录入（明细）'!C:C&gt;=$J$4,'领用录入（明细）'!C:C&lt;=$L$4),ROW(),"-")</f>
        <v>-</v>
      </c>
    </row>
    <row r="43172" customHeight="1" spans="2:2">
      <c r="B43172" s="62" t="str">
        <f>IF(AND('领用录入（明细）'!D:D=$F$4,'领用录入（明细）'!C:C&gt;=$J$4,'领用录入（明细）'!C:C&lt;=$L$4),ROW(),"-")</f>
        <v>-</v>
      </c>
    </row>
    <row r="43173" customHeight="1" spans="2:2">
      <c r="B43173" s="62" t="str">
        <f>IF(AND('领用录入（明细）'!D:D=$F$4,'领用录入（明细）'!C:C&gt;=$J$4,'领用录入（明细）'!C:C&lt;=$L$4),ROW(),"-")</f>
        <v>-</v>
      </c>
    </row>
    <row r="43174" customHeight="1" spans="2:2">
      <c r="B43174" s="62" t="str">
        <f>IF(AND('领用录入（明细）'!D:D=$F$4,'领用录入（明细）'!C:C&gt;=$J$4,'领用录入（明细）'!C:C&lt;=$L$4),ROW(),"-")</f>
        <v>-</v>
      </c>
    </row>
    <row r="43175" customHeight="1" spans="2:2">
      <c r="B43175" s="62" t="str">
        <f>IF(AND('领用录入（明细）'!D:D=$F$4,'领用录入（明细）'!C:C&gt;=$J$4,'领用录入（明细）'!C:C&lt;=$L$4),ROW(),"-")</f>
        <v>-</v>
      </c>
    </row>
    <row r="43176" customHeight="1" spans="2:2">
      <c r="B43176" s="62" t="str">
        <f>IF(AND('领用录入（明细）'!D:D=$F$4,'领用录入（明细）'!C:C&gt;=$J$4,'领用录入（明细）'!C:C&lt;=$L$4),ROW(),"-")</f>
        <v>-</v>
      </c>
    </row>
    <row r="43177" customHeight="1" spans="2:2">
      <c r="B43177" s="62" t="str">
        <f>IF(AND('领用录入（明细）'!D:D=$F$4,'领用录入（明细）'!C:C&gt;=$J$4,'领用录入（明细）'!C:C&lt;=$L$4),ROW(),"-")</f>
        <v>-</v>
      </c>
    </row>
    <row r="43178" customHeight="1" spans="2:2">
      <c r="B43178" s="62" t="str">
        <f>IF(AND('领用录入（明细）'!D:D=$F$4,'领用录入（明细）'!C:C&gt;=$J$4,'领用录入（明细）'!C:C&lt;=$L$4),ROW(),"-")</f>
        <v>-</v>
      </c>
    </row>
    <row r="43179" customHeight="1" spans="2:2">
      <c r="B43179" s="62" t="str">
        <f>IF(AND('领用录入（明细）'!D:D=$F$4,'领用录入（明细）'!C:C&gt;=$J$4,'领用录入（明细）'!C:C&lt;=$L$4),ROW(),"-")</f>
        <v>-</v>
      </c>
    </row>
    <row r="43180" customHeight="1" spans="2:2">
      <c r="B43180" s="62" t="str">
        <f>IF(AND('领用录入（明细）'!D:D=$F$4,'领用录入（明细）'!C:C&gt;=$J$4,'领用录入（明细）'!C:C&lt;=$L$4),ROW(),"-")</f>
        <v>-</v>
      </c>
    </row>
    <row r="43181" customHeight="1" spans="2:2">
      <c r="B43181" s="62" t="str">
        <f>IF(AND('领用录入（明细）'!D:D=$F$4,'领用录入（明细）'!C:C&gt;=$J$4,'领用录入（明细）'!C:C&lt;=$L$4),ROW(),"-")</f>
        <v>-</v>
      </c>
    </row>
    <row r="43182" customHeight="1" spans="2:2">
      <c r="B43182" s="62" t="str">
        <f>IF(AND('领用录入（明细）'!D:D=$F$4,'领用录入（明细）'!C:C&gt;=$J$4,'领用录入（明细）'!C:C&lt;=$L$4),ROW(),"-")</f>
        <v>-</v>
      </c>
    </row>
    <row r="43183" customHeight="1" spans="2:2">
      <c r="B43183" s="62" t="str">
        <f>IF(AND('领用录入（明细）'!D:D=$F$4,'领用录入（明细）'!C:C&gt;=$J$4,'领用录入（明细）'!C:C&lt;=$L$4),ROW(),"-")</f>
        <v>-</v>
      </c>
    </row>
    <row r="43184" customHeight="1" spans="2:2">
      <c r="B43184" s="62" t="str">
        <f>IF(AND('领用录入（明细）'!D:D=$F$4,'领用录入（明细）'!C:C&gt;=$J$4,'领用录入（明细）'!C:C&lt;=$L$4),ROW(),"-")</f>
        <v>-</v>
      </c>
    </row>
    <row r="43185" customHeight="1" spans="2:2">
      <c r="B43185" s="62" t="str">
        <f>IF(AND('领用录入（明细）'!D:D=$F$4,'领用录入（明细）'!C:C&gt;=$J$4,'领用录入（明细）'!C:C&lt;=$L$4),ROW(),"-")</f>
        <v>-</v>
      </c>
    </row>
    <row r="43186" customHeight="1" spans="2:2">
      <c r="B43186" s="62" t="str">
        <f>IF(AND('领用录入（明细）'!D:D=$F$4,'领用录入（明细）'!C:C&gt;=$J$4,'领用录入（明细）'!C:C&lt;=$L$4),ROW(),"-")</f>
        <v>-</v>
      </c>
    </row>
    <row r="43187" customHeight="1" spans="2:2">
      <c r="B43187" s="62" t="str">
        <f>IF(AND('领用录入（明细）'!D:D=$F$4,'领用录入（明细）'!C:C&gt;=$J$4,'领用录入（明细）'!C:C&lt;=$L$4),ROW(),"-")</f>
        <v>-</v>
      </c>
    </row>
    <row r="43188" customHeight="1" spans="2:2">
      <c r="B43188" s="62" t="str">
        <f>IF(AND('领用录入（明细）'!D:D=$F$4,'领用录入（明细）'!C:C&gt;=$J$4,'领用录入（明细）'!C:C&lt;=$L$4),ROW(),"-")</f>
        <v>-</v>
      </c>
    </row>
    <row r="43189" customHeight="1" spans="2:2">
      <c r="B43189" s="62" t="str">
        <f>IF(AND('领用录入（明细）'!D:D=$F$4,'领用录入（明细）'!C:C&gt;=$J$4,'领用录入（明细）'!C:C&lt;=$L$4),ROW(),"-")</f>
        <v>-</v>
      </c>
    </row>
    <row r="43190" customHeight="1" spans="2:2">
      <c r="B43190" s="62" t="str">
        <f>IF(AND('领用录入（明细）'!D:D=$F$4,'领用录入（明细）'!C:C&gt;=$J$4,'领用录入（明细）'!C:C&lt;=$L$4),ROW(),"-")</f>
        <v>-</v>
      </c>
    </row>
    <row r="43191" customHeight="1" spans="2:2">
      <c r="B43191" s="62" t="str">
        <f>IF(AND('领用录入（明细）'!D:D=$F$4,'领用录入（明细）'!C:C&gt;=$J$4,'领用录入（明细）'!C:C&lt;=$L$4),ROW(),"-")</f>
        <v>-</v>
      </c>
    </row>
    <row r="43192" customHeight="1" spans="2:2">
      <c r="B43192" s="62" t="str">
        <f>IF(AND('领用录入（明细）'!D:D=$F$4,'领用录入（明细）'!C:C&gt;=$J$4,'领用录入（明细）'!C:C&lt;=$L$4),ROW(),"-")</f>
        <v>-</v>
      </c>
    </row>
    <row r="43193" customHeight="1" spans="2:2">
      <c r="B43193" s="62" t="str">
        <f>IF(AND('领用录入（明细）'!D:D=$F$4,'领用录入（明细）'!C:C&gt;=$J$4,'领用录入（明细）'!C:C&lt;=$L$4),ROW(),"-")</f>
        <v>-</v>
      </c>
    </row>
    <row r="43194" customHeight="1" spans="2:2">
      <c r="B43194" s="62" t="str">
        <f>IF(AND('领用录入（明细）'!D:D=$F$4,'领用录入（明细）'!C:C&gt;=$J$4,'领用录入（明细）'!C:C&lt;=$L$4),ROW(),"-")</f>
        <v>-</v>
      </c>
    </row>
    <row r="43195" customHeight="1" spans="2:2">
      <c r="B43195" s="62" t="str">
        <f>IF(AND('领用录入（明细）'!D:D=$F$4,'领用录入（明细）'!C:C&gt;=$J$4,'领用录入（明细）'!C:C&lt;=$L$4),ROW(),"-")</f>
        <v>-</v>
      </c>
    </row>
    <row r="43196" customHeight="1" spans="2:2">
      <c r="B43196" s="62" t="str">
        <f>IF(AND('领用录入（明细）'!D:D=$F$4,'领用录入（明细）'!C:C&gt;=$J$4,'领用录入（明细）'!C:C&lt;=$L$4),ROW(),"-")</f>
        <v>-</v>
      </c>
    </row>
    <row r="43197" customHeight="1" spans="2:2">
      <c r="B43197" s="62" t="str">
        <f>IF(AND('领用录入（明细）'!D:D=$F$4,'领用录入（明细）'!C:C&gt;=$J$4,'领用录入（明细）'!C:C&lt;=$L$4),ROW(),"-")</f>
        <v>-</v>
      </c>
    </row>
    <row r="43198" customHeight="1" spans="2:2">
      <c r="B43198" s="62" t="str">
        <f>IF(AND('领用录入（明细）'!D:D=$F$4,'领用录入（明细）'!C:C&gt;=$J$4,'领用录入（明细）'!C:C&lt;=$L$4),ROW(),"-")</f>
        <v>-</v>
      </c>
    </row>
    <row r="43199" customHeight="1" spans="2:2">
      <c r="B43199" s="62" t="str">
        <f>IF(AND('领用录入（明细）'!D:D=$F$4,'领用录入（明细）'!C:C&gt;=$J$4,'领用录入（明细）'!C:C&lt;=$L$4),ROW(),"-")</f>
        <v>-</v>
      </c>
    </row>
    <row r="43200" customHeight="1" spans="2:2">
      <c r="B43200" s="62" t="str">
        <f>IF(AND('领用录入（明细）'!D:D=$F$4,'领用录入（明细）'!C:C&gt;=$J$4,'领用录入（明细）'!C:C&lt;=$L$4),ROW(),"-")</f>
        <v>-</v>
      </c>
    </row>
    <row r="43201" customHeight="1" spans="2:2">
      <c r="B43201" s="62" t="str">
        <f>IF(AND('领用录入（明细）'!D:D=$F$4,'领用录入（明细）'!C:C&gt;=$J$4,'领用录入（明细）'!C:C&lt;=$L$4),ROW(),"-")</f>
        <v>-</v>
      </c>
    </row>
    <row r="43202" customHeight="1" spans="2:2">
      <c r="B43202" s="62" t="str">
        <f>IF(AND('领用录入（明细）'!D:D=$F$4,'领用录入（明细）'!C:C&gt;=$J$4,'领用录入（明细）'!C:C&lt;=$L$4),ROW(),"-")</f>
        <v>-</v>
      </c>
    </row>
    <row r="43203" customHeight="1" spans="2:2">
      <c r="B43203" s="62" t="str">
        <f>IF(AND('领用录入（明细）'!D:D=$F$4,'领用录入（明细）'!C:C&gt;=$J$4,'领用录入（明细）'!C:C&lt;=$L$4),ROW(),"-")</f>
        <v>-</v>
      </c>
    </row>
    <row r="43204" customHeight="1" spans="2:2">
      <c r="B43204" s="62" t="str">
        <f>IF(AND('领用录入（明细）'!D:D=$F$4,'领用录入（明细）'!C:C&gt;=$J$4,'领用录入（明细）'!C:C&lt;=$L$4),ROW(),"-")</f>
        <v>-</v>
      </c>
    </row>
    <row r="43205" customHeight="1" spans="2:2">
      <c r="B43205" s="62" t="str">
        <f>IF(AND('领用录入（明细）'!D:D=$F$4,'领用录入（明细）'!C:C&gt;=$J$4,'领用录入（明细）'!C:C&lt;=$L$4),ROW(),"-")</f>
        <v>-</v>
      </c>
    </row>
    <row r="43206" customHeight="1" spans="2:2">
      <c r="B43206" s="62" t="str">
        <f>IF(AND('领用录入（明细）'!D:D=$F$4,'领用录入（明细）'!C:C&gt;=$J$4,'领用录入（明细）'!C:C&lt;=$L$4),ROW(),"-")</f>
        <v>-</v>
      </c>
    </row>
    <row r="43207" customHeight="1" spans="2:2">
      <c r="B43207" s="62" t="str">
        <f>IF(AND('领用录入（明细）'!D:D=$F$4,'领用录入（明细）'!C:C&gt;=$J$4,'领用录入（明细）'!C:C&lt;=$L$4),ROW(),"-")</f>
        <v>-</v>
      </c>
    </row>
    <row r="43208" customHeight="1" spans="2:2">
      <c r="B43208" s="62" t="str">
        <f>IF(AND('领用录入（明细）'!D:D=$F$4,'领用录入（明细）'!C:C&gt;=$J$4,'领用录入（明细）'!C:C&lt;=$L$4),ROW(),"-")</f>
        <v>-</v>
      </c>
    </row>
    <row r="43209" customHeight="1" spans="2:2">
      <c r="B43209" s="62" t="str">
        <f>IF(AND('领用录入（明细）'!D:D=$F$4,'领用录入（明细）'!C:C&gt;=$J$4,'领用录入（明细）'!C:C&lt;=$L$4),ROW(),"-")</f>
        <v>-</v>
      </c>
    </row>
    <row r="43210" customHeight="1" spans="2:2">
      <c r="B43210" s="62" t="str">
        <f>IF(AND('领用录入（明细）'!D:D=$F$4,'领用录入（明细）'!C:C&gt;=$J$4,'领用录入（明细）'!C:C&lt;=$L$4),ROW(),"-")</f>
        <v>-</v>
      </c>
    </row>
    <row r="43211" customHeight="1" spans="2:2">
      <c r="B43211" s="62" t="str">
        <f>IF(AND('领用录入（明细）'!D:D=$F$4,'领用录入（明细）'!C:C&gt;=$J$4,'领用录入（明细）'!C:C&lt;=$L$4),ROW(),"-")</f>
        <v>-</v>
      </c>
    </row>
    <row r="43212" customHeight="1" spans="2:2">
      <c r="B43212" s="62" t="str">
        <f>IF(AND('领用录入（明细）'!D:D=$F$4,'领用录入（明细）'!C:C&gt;=$J$4,'领用录入（明细）'!C:C&lt;=$L$4),ROW(),"-")</f>
        <v>-</v>
      </c>
    </row>
    <row r="43213" customHeight="1" spans="2:2">
      <c r="B43213" s="62" t="str">
        <f>IF(AND('领用录入（明细）'!D:D=$F$4,'领用录入（明细）'!C:C&gt;=$J$4,'领用录入（明细）'!C:C&lt;=$L$4),ROW(),"-")</f>
        <v>-</v>
      </c>
    </row>
    <row r="43214" customHeight="1" spans="2:2">
      <c r="B43214" s="62" t="str">
        <f>IF(AND('领用录入（明细）'!D:D=$F$4,'领用录入（明细）'!C:C&gt;=$J$4,'领用录入（明细）'!C:C&lt;=$L$4),ROW(),"-")</f>
        <v>-</v>
      </c>
    </row>
    <row r="43215" customHeight="1" spans="2:2">
      <c r="B43215" s="62" t="str">
        <f>IF(AND('领用录入（明细）'!D:D=$F$4,'领用录入（明细）'!C:C&gt;=$J$4,'领用录入（明细）'!C:C&lt;=$L$4),ROW(),"-")</f>
        <v>-</v>
      </c>
    </row>
    <row r="43216" customHeight="1" spans="2:2">
      <c r="B43216" s="62" t="str">
        <f>IF(AND('领用录入（明细）'!D:D=$F$4,'领用录入（明细）'!C:C&gt;=$J$4,'领用录入（明细）'!C:C&lt;=$L$4),ROW(),"-")</f>
        <v>-</v>
      </c>
    </row>
    <row r="43217" customHeight="1" spans="2:2">
      <c r="B43217" s="62" t="str">
        <f>IF(AND('领用录入（明细）'!D:D=$F$4,'领用录入（明细）'!C:C&gt;=$J$4,'领用录入（明细）'!C:C&lt;=$L$4),ROW(),"-")</f>
        <v>-</v>
      </c>
    </row>
    <row r="43218" customHeight="1" spans="2:2">
      <c r="B43218" s="62" t="str">
        <f>IF(AND('领用录入（明细）'!D:D=$F$4,'领用录入（明细）'!C:C&gt;=$J$4,'领用录入（明细）'!C:C&lt;=$L$4),ROW(),"-")</f>
        <v>-</v>
      </c>
    </row>
    <row r="43219" customHeight="1" spans="2:2">
      <c r="B43219" s="62" t="str">
        <f>IF(AND('领用录入（明细）'!D:D=$F$4,'领用录入（明细）'!C:C&gt;=$J$4,'领用录入（明细）'!C:C&lt;=$L$4),ROW(),"-")</f>
        <v>-</v>
      </c>
    </row>
    <row r="43220" customHeight="1" spans="2:2">
      <c r="B43220" s="62" t="str">
        <f>IF(AND('领用录入（明细）'!D:D=$F$4,'领用录入（明细）'!C:C&gt;=$J$4,'领用录入（明细）'!C:C&lt;=$L$4),ROW(),"-")</f>
        <v>-</v>
      </c>
    </row>
    <row r="43221" customHeight="1" spans="2:2">
      <c r="B43221" s="62" t="str">
        <f>IF(AND('领用录入（明细）'!D:D=$F$4,'领用录入（明细）'!C:C&gt;=$J$4,'领用录入（明细）'!C:C&lt;=$L$4),ROW(),"-")</f>
        <v>-</v>
      </c>
    </row>
    <row r="43222" customHeight="1" spans="2:2">
      <c r="B43222" s="62" t="str">
        <f>IF(AND('领用录入（明细）'!D:D=$F$4,'领用录入（明细）'!C:C&gt;=$J$4,'领用录入（明细）'!C:C&lt;=$L$4),ROW(),"-")</f>
        <v>-</v>
      </c>
    </row>
    <row r="43223" customHeight="1" spans="2:2">
      <c r="B43223" s="62" t="str">
        <f>IF(AND('领用录入（明细）'!D:D=$F$4,'领用录入（明细）'!C:C&gt;=$J$4,'领用录入（明细）'!C:C&lt;=$L$4),ROW(),"-")</f>
        <v>-</v>
      </c>
    </row>
    <row r="43224" customHeight="1" spans="2:2">
      <c r="B43224" s="62" t="str">
        <f>IF(AND('领用录入（明细）'!D:D=$F$4,'领用录入（明细）'!C:C&gt;=$J$4,'领用录入（明细）'!C:C&lt;=$L$4),ROW(),"-")</f>
        <v>-</v>
      </c>
    </row>
    <row r="43225" customHeight="1" spans="2:2">
      <c r="B43225" s="62" t="str">
        <f>IF(AND('领用录入（明细）'!D:D=$F$4,'领用录入（明细）'!C:C&gt;=$J$4,'领用录入（明细）'!C:C&lt;=$L$4),ROW(),"-")</f>
        <v>-</v>
      </c>
    </row>
    <row r="43226" customHeight="1" spans="2:2">
      <c r="B43226" s="62" t="str">
        <f>IF(AND('领用录入（明细）'!D:D=$F$4,'领用录入（明细）'!C:C&gt;=$J$4,'领用录入（明细）'!C:C&lt;=$L$4),ROW(),"-")</f>
        <v>-</v>
      </c>
    </row>
    <row r="43227" customHeight="1" spans="2:2">
      <c r="B43227" s="62" t="str">
        <f>IF(AND('领用录入（明细）'!D:D=$F$4,'领用录入（明细）'!C:C&gt;=$J$4,'领用录入（明细）'!C:C&lt;=$L$4),ROW(),"-")</f>
        <v>-</v>
      </c>
    </row>
    <row r="43228" customHeight="1" spans="2:2">
      <c r="B43228" s="62" t="str">
        <f>IF(AND('领用录入（明细）'!D:D=$F$4,'领用录入（明细）'!C:C&gt;=$J$4,'领用录入（明细）'!C:C&lt;=$L$4),ROW(),"-")</f>
        <v>-</v>
      </c>
    </row>
    <row r="43229" customHeight="1" spans="2:2">
      <c r="B43229" s="62" t="str">
        <f>IF(AND('领用录入（明细）'!D:D=$F$4,'领用录入（明细）'!C:C&gt;=$J$4,'领用录入（明细）'!C:C&lt;=$L$4),ROW(),"-")</f>
        <v>-</v>
      </c>
    </row>
    <row r="43230" customHeight="1" spans="2:2">
      <c r="B43230" s="62" t="str">
        <f>IF(AND('领用录入（明细）'!D:D=$F$4,'领用录入（明细）'!C:C&gt;=$J$4,'领用录入（明细）'!C:C&lt;=$L$4),ROW(),"-")</f>
        <v>-</v>
      </c>
    </row>
    <row r="43231" customHeight="1" spans="2:2">
      <c r="B43231" s="62" t="str">
        <f>IF(AND('领用录入（明细）'!D:D=$F$4,'领用录入（明细）'!C:C&gt;=$J$4,'领用录入（明细）'!C:C&lt;=$L$4),ROW(),"-")</f>
        <v>-</v>
      </c>
    </row>
    <row r="43232" customHeight="1" spans="2:2">
      <c r="B43232" s="62" t="str">
        <f>IF(AND('领用录入（明细）'!D:D=$F$4,'领用录入（明细）'!C:C&gt;=$J$4,'领用录入（明细）'!C:C&lt;=$L$4),ROW(),"-")</f>
        <v>-</v>
      </c>
    </row>
    <row r="43233" customHeight="1" spans="2:2">
      <c r="B43233" s="62" t="str">
        <f>IF(AND('领用录入（明细）'!D:D=$F$4,'领用录入（明细）'!C:C&gt;=$J$4,'领用录入（明细）'!C:C&lt;=$L$4),ROW(),"-")</f>
        <v>-</v>
      </c>
    </row>
    <row r="43234" customHeight="1" spans="2:2">
      <c r="B43234" s="62" t="str">
        <f>IF(AND('领用录入（明细）'!D:D=$F$4,'领用录入（明细）'!C:C&gt;=$J$4,'领用录入（明细）'!C:C&lt;=$L$4),ROW(),"-")</f>
        <v>-</v>
      </c>
    </row>
    <row r="43235" customHeight="1" spans="2:2">
      <c r="B43235" s="62" t="str">
        <f>IF(AND('领用录入（明细）'!D:D=$F$4,'领用录入（明细）'!C:C&gt;=$J$4,'领用录入（明细）'!C:C&lt;=$L$4),ROW(),"-")</f>
        <v>-</v>
      </c>
    </row>
    <row r="43236" customHeight="1" spans="2:2">
      <c r="B43236" s="62" t="str">
        <f>IF(AND('领用录入（明细）'!D:D=$F$4,'领用录入（明细）'!C:C&gt;=$J$4,'领用录入（明细）'!C:C&lt;=$L$4),ROW(),"-")</f>
        <v>-</v>
      </c>
    </row>
    <row r="43237" customHeight="1" spans="2:2">
      <c r="B43237" s="62" t="str">
        <f>IF(AND('领用录入（明细）'!D:D=$F$4,'领用录入（明细）'!C:C&gt;=$J$4,'领用录入（明细）'!C:C&lt;=$L$4),ROW(),"-")</f>
        <v>-</v>
      </c>
    </row>
    <row r="43238" customHeight="1" spans="2:2">
      <c r="B43238" s="62" t="str">
        <f>IF(AND('领用录入（明细）'!D:D=$F$4,'领用录入（明细）'!C:C&gt;=$J$4,'领用录入（明细）'!C:C&lt;=$L$4),ROW(),"-")</f>
        <v>-</v>
      </c>
    </row>
    <row r="43239" customHeight="1" spans="2:2">
      <c r="B43239" s="62" t="str">
        <f>IF(AND('领用录入（明细）'!D:D=$F$4,'领用录入（明细）'!C:C&gt;=$J$4,'领用录入（明细）'!C:C&lt;=$L$4),ROW(),"-")</f>
        <v>-</v>
      </c>
    </row>
    <row r="43240" customHeight="1" spans="2:2">
      <c r="B43240" s="62" t="str">
        <f>IF(AND('领用录入（明细）'!D:D=$F$4,'领用录入（明细）'!C:C&gt;=$J$4,'领用录入（明细）'!C:C&lt;=$L$4),ROW(),"-")</f>
        <v>-</v>
      </c>
    </row>
    <row r="43241" customHeight="1" spans="2:2">
      <c r="B43241" s="62" t="str">
        <f>IF(AND('领用录入（明细）'!D:D=$F$4,'领用录入（明细）'!C:C&gt;=$J$4,'领用录入（明细）'!C:C&lt;=$L$4),ROW(),"-")</f>
        <v>-</v>
      </c>
    </row>
    <row r="43242" customHeight="1" spans="2:2">
      <c r="B43242" s="62" t="str">
        <f>IF(AND('领用录入（明细）'!D:D=$F$4,'领用录入（明细）'!C:C&gt;=$J$4,'领用录入（明细）'!C:C&lt;=$L$4),ROW(),"-")</f>
        <v>-</v>
      </c>
    </row>
    <row r="43243" customHeight="1" spans="2:2">
      <c r="B43243" s="62" t="str">
        <f>IF(AND('领用录入（明细）'!D:D=$F$4,'领用录入（明细）'!C:C&gt;=$J$4,'领用录入（明细）'!C:C&lt;=$L$4),ROW(),"-")</f>
        <v>-</v>
      </c>
    </row>
    <row r="43244" customHeight="1" spans="2:2">
      <c r="B43244" s="62" t="str">
        <f>IF(AND('领用录入（明细）'!D:D=$F$4,'领用录入（明细）'!C:C&gt;=$J$4,'领用录入（明细）'!C:C&lt;=$L$4),ROW(),"-")</f>
        <v>-</v>
      </c>
    </row>
    <row r="43245" customHeight="1" spans="2:2">
      <c r="B43245" s="62" t="str">
        <f>IF(AND('领用录入（明细）'!D:D=$F$4,'领用录入（明细）'!C:C&gt;=$J$4,'领用录入（明细）'!C:C&lt;=$L$4),ROW(),"-")</f>
        <v>-</v>
      </c>
    </row>
    <row r="43246" customHeight="1" spans="2:2">
      <c r="B43246" s="62" t="str">
        <f>IF(AND('领用录入（明细）'!D:D=$F$4,'领用录入（明细）'!C:C&gt;=$J$4,'领用录入（明细）'!C:C&lt;=$L$4),ROW(),"-")</f>
        <v>-</v>
      </c>
    </row>
    <row r="43247" customHeight="1" spans="2:2">
      <c r="B43247" s="62" t="str">
        <f>IF(AND('领用录入（明细）'!D:D=$F$4,'领用录入（明细）'!C:C&gt;=$J$4,'领用录入（明细）'!C:C&lt;=$L$4),ROW(),"-")</f>
        <v>-</v>
      </c>
    </row>
    <row r="43248" customHeight="1" spans="2:2">
      <c r="B43248" s="62" t="str">
        <f>IF(AND('领用录入（明细）'!D:D=$F$4,'领用录入（明细）'!C:C&gt;=$J$4,'领用录入（明细）'!C:C&lt;=$L$4),ROW(),"-")</f>
        <v>-</v>
      </c>
    </row>
    <row r="43249" customHeight="1" spans="2:2">
      <c r="B43249" s="62" t="str">
        <f>IF(AND('领用录入（明细）'!D:D=$F$4,'领用录入（明细）'!C:C&gt;=$J$4,'领用录入（明细）'!C:C&lt;=$L$4),ROW(),"-")</f>
        <v>-</v>
      </c>
    </row>
    <row r="43250" customHeight="1" spans="2:2">
      <c r="B43250" s="62" t="str">
        <f>IF(AND('领用录入（明细）'!D:D=$F$4,'领用录入（明细）'!C:C&gt;=$J$4,'领用录入（明细）'!C:C&lt;=$L$4),ROW(),"-")</f>
        <v>-</v>
      </c>
    </row>
    <row r="43251" customHeight="1" spans="2:2">
      <c r="B43251" s="62" t="str">
        <f>IF(AND('领用录入（明细）'!D:D=$F$4,'领用录入（明细）'!C:C&gt;=$J$4,'领用录入（明细）'!C:C&lt;=$L$4),ROW(),"-")</f>
        <v>-</v>
      </c>
    </row>
    <row r="43252" customHeight="1" spans="2:2">
      <c r="B43252" s="62" t="str">
        <f>IF(AND('领用录入（明细）'!D:D=$F$4,'领用录入（明细）'!C:C&gt;=$J$4,'领用录入（明细）'!C:C&lt;=$L$4),ROW(),"-")</f>
        <v>-</v>
      </c>
    </row>
    <row r="43253" customHeight="1" spans="2:2">
      <c r="B43253" s="62" t="str">
        <f>IF(AND('领用录入（明细）'!D:D=$F$4,'领用录入（明细）'!C:C&gt;=$J$4,'领用录入（明细）'!C:C&lt;=$L$4),ROW(),"-")</f>
        <v>-</v>
      </c>
    </row>
    <row r="43254" customHeight="1" spans="2:2">
      <c r="B43254" s="62" t="str">
        <f>IF(AND('领用录入（明细）'!D:D=$F$4,'领用录入（明细）'!C:C&gt;=$J$4,'领用录入（明细）'!C:C&lt;=$L$4),ROW(),"-")</f>
        <v>-</v>
      </c>
    </row>
    <row r="43255" customHeight="1" spans="2:2">
      <c r="B43255" s="62" t="str">
        <f>IF(AND('领用录入（明细）'!D:D=$F$4,'领用录入（明细）'!C:C&gt;=$J$4,'领用录入（明细）'!C:C&lt;=$L$4),ROW(),"-")</f>
        <v>-</v>
      </c>
    </row>
    <row r="43256" customHeight="1" spans="2:2">
      <c r="B43256" s="62" t="str">
        <f>IF(AND('领用录入（明细）'!D:D=$F$4,'领用录入（明细）'!C:C&gt;=$J$4,'领用录入（明细）'!C:C&lt;=$L$4),ROW(),"-")</f>
        <v>-</v>
      </c>
    </row>
    <row r="43257" customHeight="1" spans="2:2">
      <c r="B43257" s="62" t="str">
        <f>IF(AND('领用录入（明细）'!D:D=$F$4,'领用录入（明细）'!C:C&gt;=$J$4,'领用录入（明细）'!C:C&lt;=$L$4),ROW(),"-")</f>
        <v>-</v>
      </c>
    </row>
    <row r="43258" customHeight="1" spans="2:2">
      <c r="B43258" s="62" t="str">
        <f>IF(AND('领用录入（明细）'!D:D=$F$4,'领用录入（明细）'!C:C&gt;=$J$4,'领用录入（明细）'!C:C&lt;=$L$4),ROW(),"-")</f>
        <v>-</v>
      </c>
    </row>
    <row r="43259" customHeight="1" spans="2:2">
      <c r="B43259" s="62" t="str">
        <f>IF(AND('领用录入（明细）'!D:D=$F$4,'领用录入（明细）'!C:C&gt;=$J$4,'领用录入（明细）'!C:C&lt;=$L$4),ROW(),"-")</f>
        <v>-</v>
      </c>
    </row>
    <row r="43260" customHeight="1" spans="2:2">
      <c r="B43260" s="62" t="str">
        <f>IF(AND('领用录入（明细）'!D:D=$F$4,'领用录入（明细）'!C:C&gt;=$J$4,'领用录入（明细）'!C:C&lt;=$L$4),ROW(),"-")</f>
        <v>-</v>
      </c>
    </row>
    <row r="43261" customHeight="1" spans="2:2">
      <c r="B43261" s="62" t="str">
        <f>IF(AND('领用录入（明细）'!D:D=$F$4,'领用录入（明细）'!C:C&gt;=$J$4,'领用录入（明细）'!C:C&lt;=$L$4),ROW(),"-")</f>
        <v>-</v>
      </c>
    </row>
    <row r="43262" customHeight="1" spans="2:2">
      <c r="B43262" s="62" t="str">
        <f>IF(AND('领用录入（明细）'!D:D=$F$4,'领用录入（明细）'!C:C&gt;=$J$4,'领用录入（明细）'!C:C&lt;=$L$4),ROW(),"-")</f>
        <v>-</v>
      </c>
    </row>
    <row r="43263" customHeight="1" spans="2:2">
      <c r="B43263" s="62" t="str">
        <f>IF(AND('领用录入（明细）'!D:D=$F$4,'领用录入（明细）'!C:C&gt;=$J$4,'领用录入（明细）'!C:C&lt;=$L$4),ROW(),"-")</f>
        <v>-</v>
      </c>
    </row>
    <row r="43264" customHeight="1" spans="2:2">
      <c r="B43264" s="62" t="str">
        <f>IF(AND('领用录入（明细）'!D:D=$F$4,'领用录入（明细）'!C:C&gt;=$J$4,'领用录入（明细）'!C:C&lt;=$L$4),ROW(),"-")</f>
        <v>-</v>
      </c>
    </row>
    <row r="43265" customHeight="1" spans="2:2">
      <c r="B43265" s="62" t="str">
        <f>IF(AND('领用录入（明细）'!D:D=$F$4,'领用录入（明细）'!C:C&gt;=$J$4,'领用录入（明细）'!C:C&lt;=$L$4),ROW(),"-")</f>
        <v>-</v>
      </c>
    </row>
    <row r="43266" customHeight="1" spans="2:2">
      <c r="B43266" s="62" t="str">
        <f>IF(AND('领用录入（明细）'!D:D=$F$4,'领用录入（明细）'!C:C&gt;=$J$4,'领用录入（明细）'!C:C&lt;=$L$4),ROW(),"-")</f>
        <v>-</v>
      </c>
    </row>
    <row r="43267" customHeight="1" spans="2:2">
      <c r="B43267" s="62" t="str">
        <f>IF(AND('领用录入（明细）'!D:D=$F$4,'领用录入（明细）'!C:C&gt;=$J$4,'领用录入（明细）'!C:C&lt;=$L$4),ROW(),"-")</f>
        <v>-</v>
      </c>
    </row>
    <row r="43268" customHeight="1" spans="2:2">
      <c r="B43268" s="62" t="str">
        <f>IF(AND('领用录入（明细）'!D:D=$F$4,'领用录入（明细）'!C:C&gt;=$J$4,'领用录入（明细）'!C:C&lt;=$L$4),ROW(),"-")</f>
        <v>-</v>
      </c>
    </row>
    <row r="43269" customHeight="1" spans="2:2">
      <c r="B43269" s="62" t="str">
        <f>IF(AND('领用录入（明细）'!D:D=$F$4,'领用录入（明细）'!C:C&gt;=$J$4,'领用录入（明细）'!C:C&lt;=$L$4),ROW(),"-")</f>
        <v>-</v>
      </c>
    </row>
    <row r="43270" customHeight="1" spans="2:2">
      <c r="B43270" s="62" t="str">
        <f>IF(AND('领用录入（明细）'!D:D=$F$4,'领用录入（明细）'!C:C&gt;=$J$4,'领用录入（明细）'!C:C&lt;=$L$4),ROW(),"-")</f>
        <v>-</v>
      </c>
    </row>
    <row r="43271" customHeight="1" spans="2:2">
      <c r="B43271" s="62" t="str">
        <f>IF(AND('领用录入（明细）'!D:D=$F$4,'领用录入（明细）'!C:C&gt;=$J$4,'领用录入（明细）'!C:C&lt;=$L$4),ROW(),"-")</f>
        <v>-</v>
      </c>
    </row>
    <row r="43272" customHeight="1" spans="2:2">
      <c r="B43272" s="62" t="str">
        <f>IF(AND('领用录入（明细）'!D:D=$F$4,'领用录入（明细）'!C:C&gt;=$J$4,'领用录入（明细）'!C:C&lt;=$L$4),ROW(),"-")</f>
        <v>-</v>
      </c>
    </row>
    <row r="43273" customHeight="1" spans="2:2">
      <c r="B43273" s="62" t="str">
        <f>IF(AND('领用录入（明细）'!D:D=$F$4,'领用录入（明细）'!C:C&gt;=$J$4,'领用录入（明细）'!C:C&lt;=$L$4),ROW(),"-")</f>
        <v>-</v>
      </c>
    </row>
    <row r="43274" customHeight="1" spans="2:2">
      <c r="B43274" s="62" t="str">
        <f>IF(AND('领用录入（明细）'!D:D=$F$4,'领用录入（明细）'!C:C&gt;=$J$4,'领用录入（明细）'!C:C&lt;=$L$4),ROW(),"-")</f>
        <v>-</v>
      </c>
    </row>
    <row r="43275" customHeight="1" spans="2:2">
      <c r="B43275" s="62" t="str">
        <f>IF(AND('领用录入（明细）'!D:D=$F$4,'领用录入（明细）'!C:C&gt;=$J$4,'领用录入（明细）'!C:C&lt;=$L$4),ROW(),"-")</f>
        <v>-</v>
      </c>
    </row>
    <row r="43276" customHeight="1" spans="2:2">
      <c r="B43276" s="62" t="str">
        <f>IF(AND('领用录入（明细）'!D:D=$F$4,'领用录入（明细）'!C:C&gt;=$J$4,'领用录入（明细）'!C:C&lt;=$L$4),ROW(),"-")</f>
        <v>-</v>
      </c>
    </row>
    <row r="43277" customHeight="1" spans="2:2">
      <c r="B43277" s="62" t="str">
        <f>IF(AND('领用录入（明细）'!D:D=$F$4,'领用录入（明细）'!C:C&gt;=$J$4,'领用录入（明细）'!C:C&lt;=$L$4),ROW(),"-")</f>
        <v>-</v>
      </c>
    </row>
    <row r="43278" customHeight="1" spans="2:2">
      <c r="B43278" s="62" t="str">
        <f>IF(AND('领用录入（明细）'!D:D=$F$4,'领用录入（明细）'!C:C&gt;=$J$4,'领用录入（明细）'!C:C&lt;=$L$4),ROW(),"-")</f>
        <v>-</v>
      </c>
    </row>
    <row r="43279" customHeight="1" spans="2:2">
      <c r="B43279" s="62" t="str">
        <f>IF(AND('领用录入（明细）'!D:D=$F$4,'领用录入（明细）'!C:C&gt;=$J$4,'领用录入（明细）'!C:C&lt;=$L$4),ROW(),"-")</f>
        <v>-</v>
      </c>
    </row>
    <row r="43280" customHeight="1" spans="2:2">
      <c r="B43280" s="62" t="str">
        <f>IF(AND('领用录入（明细）'!D:D=$F$4,'领用录入（明细）'!C:C&gt;=$J$4,'领用录入（明细）'!C:C&lt;=$L$4),ROW(),"-")</f>
        <v>-</v>
      </c>
    </row>
    <row r="43281" customHeight="1" spans="2:2">
      <c r="B43281" s="62" t="str">
        <f>IF(AND('领用录入（明细）'!D:D=$F$4,'领用录入（明细）'!C:C&gt;=$J$4,'领用录入（明细）'!C:C&lt;=$L$4),ROW(),"-")</f>
        <v>-</v>
      </c>
    </row>
    <row r="43282" customHeight="1" spans="2:2">
      <c r="B43282" s="62" t="str">
        <f>IF(AND('领用录入（明细）'!D:D=$F$4,'领用录入（明细）'!C:C&gt;=$J$4,'领用录入（明细）'!C:C&lt;=$L$4),ROW(),"-")</f>
        <v>-</v>
      </c>
    </row>
    <row r="43283" customHeight="1" spans="2:2">
      <c r="B43283" s="62" t="str">
        <f>IF(AND('领用录入（明细）'!D:D=$F$4,'领用录入（明细）'!C:C&gt;=$J$4,'领用录入（明细）'!C:C&lt;=$L$4),ROW(),"-")</f>
        <v>-</v>
      </c>
    </row>
    <row r="43284" customHeight="1" spans="2:2">
      <c r="B43284" s="62" t="str">
        <f>IF(AND('领用录入（明细）'!D:D=$F$4,'领用录入（明细）'!C:C&gt;=$J$4,'领用录入（明细）'!C:C&lt;=$L$4),ROW(),"-")</f>
        <v>-</v>
      </c>
    </row>
    <row r="43285" customHeight="1" spans="2:2">
      <c r="B43285" s="62" t="str">
        <f>IF(AND('领用录入（明细）'!D:D=$F$4,'领用录入（明细）'!C:C&gt;=$J$4,'领用录入（明细）'!C:C&lt;=$L$4),ROW(),"-")</f>
        <v>-</v>
      </c>
    </row>
    <row r="43286" customHeight="1" spans="2:2">
      <c r="B43286" s="62" t="str">
        <f>IF(AND('领用录入（明细）'!D:D=$F$4,'领用录入（明细）'!C:C&gt;=$J$4,'领用录入（明细）'!C:C&lt;=$L$4),ROW(),"-")</f>
        <v>-</v>
      </c>
    </row>
    <row r="43287" customHeight="1" spans="2:2">
      <c r="B43287" s="62" t="str">
        <f>IF(AND('领用录入（明细）'!D:D=$F$4,'领用录入（明细）'!C:C&gt;=$J$4,'领用录入（明细）'!C:C&lt;=$L$4),ROW(),"-")</f>
        <v>-</v>
      </c>
    </row>
    <row r="43288" customHeight="1" spans="2:2">
      <c r="B43288" s="62" t="str">
        <f>IF(AND('领用录入（明细）'!D:D=$F$4,'领用录入（明细）'!C:C&gt;=$J$4,'领用录入（明细）'!C:C&lt;=$L$4),ROW(),"-")</f>
        <v>-</v>
      </c>
    </row>
    <row r="43289" customHeight="1" spans="2:2">
      <c r="B43289" s="62" t="str">
        <f>IF(AND('领用录入（明细）'!D:D=$F$4,'领用录入（明细）'!C:C&gt;=$J$4,'领用录入（明细）'!C:C&lt;=$L$4),ROW(),"-")</f>
        <v>-</v>
      </c>
    </row>
    <row r="43290" customHeight="1" spans="2:2">
      <c r="B43290" s="62" t="str">
        <f>IF(AND('领用录入（明细）'!D:D=$F$4,'领用录入（明细）'!C:C&gt;=$J$4,'领用录入（明细）'!C:C&lt;=$L$4),ROW(),"-")</f>
        <v>-</v>
      </c>
    </row>
    <row r="43291" customHeight="1" spans="2:2">
      <c r="B43291" s="62" t="str">
        <f>IF(AND('领用录入（明细）'!D:D=$F$4,'领用录入（明细）'!C:C&gt;=$J$4,'领用录入（明细）'!C:C&lt;=$L$4),ROW(),"-")</f>
        <v>-</v>
      </c>
    </row>
    <row r="43292" customHeight="1" spans="2:2">
      <c r="B43292" s="62" t="str">
        <f>IF(AND('领用录入（明细）'!D:D=$F$4,'领用录入（明细）'!C:C&gt;=$J$4,'领用录入（明细）'!C:C&lt;=$L$4),ROW(),"-")</f>
        <v>-</v>
      </c>
    </row>
    <row r="43293" customHeight="1" spans="2:2">
      <c r="B43293" s="62" t="str">
        <f>IF(AND('领用录入（明细）'!D:D=$F$4,'领用录入（明细）'!C:C&gt;=$J$4,'领用录入（明细）'!C:C&lt;=$L$4),ROW(),"-")</f>
        <v>-</v>
      </c>
    </row>
    <row r="43294" customHeight="1" spans="2:2">
      <c r="B43294" s="62" t="str">
        <f>IF(AND('领用录入（明细）'!D:D=$F$4,'领用录入（明细）'!C:C&gt;=$J$4,'领用录入（明细）'!C:C&lt;=$L$4),ROW(),"-")</f>
        <v>-</v>
      </c>
    </row>
    <row r="43295" customHeight="1" spans="2:2">
      <c r="B43295" s="62" t="str">
        <f>IF(AND('领用录入（明细）'!D:D=$F$4,'领用录入（明细）'!C:C&gt;=$J$4,'领用录入（明细）'!C:C&lt;=$L$4),ROW(),"-")</f>
        <v>-</v>
      </c>
    </row>
    <row r="43296" customHeight="1" spans="2:2">
      <c r="B43296" s="62" t="str">
        <f>IF(AND('领用录入（明细）'!D:D=$F$4,'领用录入（明细）'!C:C&gt;=$J$4,'领用录入（明细）'!C:C&lt;=$L$4),ROW(),"-")</f>
        <v>-</v>
      </c>
    </row>
    <row r="43297" customHeight="1" spans="2:2">
      <c r="B43297" s="62" t="str">
        <f>IF(AND('领用录入（明细）'!D:D=$F$4,'领用录入（明细）'!C:C&gt;=$J$4,'领用录入（明细）'!C:C&lt;=$L$4),ROW(),"-")</f>
        <v>-</v>
      </c>
    </row>
    <row r="43298" customHeight="1" spans="2:2">
      <c r="B43298" s="62" t="str">
        <f>IF(AND('领用录入（明细）'!D:D=$F$4,'领用录入（明细）'!C:C&gt;=$J$4,'领用录入（明细）'!C:C&lt;=$L$4),ROW(),"-")</f>
        <v>-</v>
      </c>
    </row>
    <row r="43299" customHeight="1" spans="2:2">
      <c r="B43299" s="62" t="str">
        <f>IF(AND('领用录入（明细）'!D:D=$F$4,'领用录入（明细）'!C:C&gt;=$J$4,'领用录入（明细）'!C:C&lt;=$L$4),ROW(),"-")</f>
        <v>-</v>
      </c>
    </row>
    <row r="43300" customHeight="1" spans="2:2">
      <c r="B43300" s="62" t="str">
        <f>IF(AND('领用录入（明细）'!D:D=$F$4,'领用录入（明细）'!C:C&gt;=$J$4,'领用录入（明细）'!C:C&lt;=$L$4),ROW(),"-")</f>
        <v>-</v>
      </c>
    </row>
    <row r="43301" customHeight="1" spans="2:2">
      <c r="B43301" s="62" t="str">
        <f>IF(AND('领用录入（明细）'!D:D=$F$4,'领用录入（明细）'!C:C&gt;=$J$4,'领用录入（明细）'!C:C&lt;=$L$4),ROW(),"-")</f>
        <v>-</v>
      </c>
    </row>
    <row r="43302" customHeight="1" spans="2:2">
      <c r="B43302" s="62" t="str">
        <f>IF(AND('领用录入（明细）'!D:D=$F$4,'领用录入（明细）'!C:C&gt;=$J$4,'领用录入（明细）'!C:C&lt;=$L$4),ROW(),"-")</f>
        <v>-</v>
      </c>
    </row>
    <row r="43303" customHeight="1" spans="2:2">
      <c r="B43303" s="62" t="str">
        <f>IF(AND('领用录入（明细）'!D:D=$F$4,'领用录入（明细）'!C:C&gt;=$J$4,'领用录入（明细）'!C:C&lt;=$L$4),ROW(),"-")</f>
        <v>-</v>
      </c>
    </row>
    <row r="43304" customHeight="1" spans="2:2">
      <c r="B43304" s="62" t="str">
        <f>IF(AND('领用录入（明细）'!D:D=$F$4,'领用录入（明细）'!C:C&gt;=$J$4,'领用录入（明细）'!C:C&lt;=$L$4),ROW(),"-")</f>
        <v>-</v>
      </c>
    </row>
    <row r="43305" customHeight="1" spans="2:2">
      <c r="B43305" s="62" t="str">
        <f>IF(AND('领用录入（明细）'!D:D=$F$4,'领用录入（明细）'!C:C&gt;=$J$4,'领用录入（明细）'!C:C&lt;=$L$4),ROW(),"-")</f>
        <v>-</v>
      </c>
    </row>
    <row r="43306" customHeight="1" spans="2:2">
      <c r="B43306" s="62" t="str">
        <f>IF(AND('领用录入（明细）'!D:D=$F$4,'领用录入（明细）'!C:C&gt;=$J$4,'领用录入（明细）'!C:C&lt;=$L$4),ROW(),"-")</f>
        <v>-</v>
      </c>
    </row>
    <row r="43307" customHeight="1" spans="2:2">
      <c r="B43307" s="62" t="str">
        <f>IF(AND('领用录入（明细）'!D:D=$F$4,'领用录入（明细）'!C:C&gt;=$J$4,'领用录入（明细）'!C:C&lt;=$L$4),ROW(),"-")</f>
        <v>-</v>
      </c>
    </row>
    <row r="43308" customHeight="1" spans="2:2">
      <c r="B43308" s="62" t="str">
        <f>IF(AND('领用录入（明细）'!D:D=$F$4,'领用录入（明细）'!C:C&gt;=$J$4,'领用录入（明细）'!C:C&lt;=$L$4),ROW(),"-")</f>
        <v>-</v>
      </c>
    </row>
    <row r="43309" customHeight="1" spans="2:2">
      <c r="B43309" s="62" t="str">
        <f>IF(AND('领用录入（明细）'!D:D=$F$4,'领用录入（明细）'!C:C&gt;=$J$4,'领用录入（明细）'!C:C&lt;=$L$4),ROW(),"-")</f>
        <v>-</v>
      </c>
    </row>
    <row r="43310" customHeight="1" spans="2:2">
      <c r="B43310" s="62" t="str">
        <f>IF(AND('领用录入（明细）'!D:D=$F$4,'领用录入（明细）'!C:C&gt;=$J$4,'领用录入（明细）'!C:C&lt;=$L$4),ROW(),"-")</f>
        <v>-</v>
      </c>
    </row>
    <row r="43311" customHeight="1" spans="2:2">
      <c r="B43311" s="62" t="str">
        <f>IF(AND('领用录入（明细）'!D:D=$F$4,'领用录入（明细）'!C:C&gt;=$J$4,'领用录入（明细）'!C:C&lt;=$L$4),ROW(),"-")</f>
        <v>-</v>
      </c>
    </row>
    <row r="43312" customHeight="1" spans="2:2">
      <c r="B43312" s="62" t="str">
        <f>IF(AND('领用录入（明细）'!D:D=$F$4,'领用录入（明细）'!C:C&gt;=$J$4,'领用录入（明细）'!C:C&lt;=$L$4),ROW(),"-")</f>
        <v>-</v>
      </c>
    </row>
    <row r="43313" customHeight="1" spans="2:2">
      <c r="B43313" s="62" t="str">
        <f>IF(AND('领用录入（明细）'!D:D=$F$4,'领用录入（明细）'!C:C&gt;=$J$4,'领用录入（明细）'!C:C&lt;=$L$4),ROW(),"-")</f>
        <v>-</v>
      </c>
    </row>
    <row r="43314" customHeight="1" spans="2:2">
      <c r="B43314" s="62" t="str">
        <f>IF(AND('领用录入（明细）'!D:D=$F$4,'领用录入（明细）'!C:C&gt;=$J$4,'领用录入（明细）'!C:C&lt;=$L$4),ROW(),"-")</f>
        <v>-</v>
      </c>
    </row>
    <row r="43315" customHeight="1" spans="2:2">
      <c r="B43315" s="62" t="str">
        <f>IF(AND('领用录入（明细）'!D:D=$F$4,'领用录入（明细）'!C:C&gt;=$J$4,'领用录入（明细）'!C:C&lt;=$L$4),ROW(),"-")</f>
        <v>-</v>
      </c>
    </row>
    <row r="43316" customHeight="1" spans="2:2">
      <c r="B43316" s="62" t="str">
        <f>IF(AND('领用录入（明细）'!D:D=$F$4,'领用录入（明细）'!C:C&gt;=$J$4,'领用录入（明细）'!C:C&lt;=$L$4),ROW(),"-")</f>
        <v>-</v>
      </c>
    </row>
    <row r="43317" customHeight="1" spans="2:2">
      <c r="B43317" s="62" t="str">
        <f>IF(AND('领用录入（明细）'!D:D=$F$4,'领用录入（明细）'!C:C&gt;=$J$4,'领用录入（明细）'!C:C&lt;=$L$4),ROW(),"-")</f>
        <v>-</v>
      </c>
    </row>
    <row r="43318" customHeight="1" spans="2:2">
      <c r="B43318" s="62" t="str">
        <f>IF(AND('领用录入（明细）'!D:D=$F$4,'领用录入（明细）'!C:C&gt;=$J$4,'领用录入（明细）'!C:C&lt;=$L$4),ROW(),"-")</f>
        <v>-</v>
      </c>
    </row>
    <row r="43319" customHeight="1" spans="2:2">
      <c r="B43319" s="62" t="str">
        <f>IF(AND('领用录入（明细）'!D:D=$F$4,'领用录入（明细）'!C:C&gt;=$J$4,'领用录入（明细）'!C:C&lt;=$L$4),ROW(),"-")</f>
        <v>-</v>
      </c>
    </row>
    <row r="43320" customHeight="1" spans="2:2">
      <c r="B43320" s="62" t="str">
        <f>IF(AND('领用录入（明细）'!D:D=$F$4,'领用录入（明细）'!C:C&gt;=$J$4,'领用录入（明细）'!C:C&lt;=$L$4),ROW(),"-")</f>
        <v>-</v>
      </c>
    </row>
    <row r="43321" customHeight="1" spans="2:2">
      <c r="B43321" s="62" t="str">
        <f>IF(AND('领用录入（明细）'!D:D=$F$4,'领用录入（明细）'!C:C&gt;=$J$4,'领用录入（明细）'!C:C&lt;=$L$4),ROW(),"-")</f>
        <v>-</v>
      </c>
    </row>
    <row r="43322" customHeight="1" spans="2:2">
      <c r="B43322" s="62" t="str">
        <f>IF(AND('领用录入（明细）'!D:D=$F$4,'领用录入（明细）'!C:C&gt;=$J$4,'领用录入（明细）'!C:C&lt;=$L$4),ROW(),"-")</f>
        <v>-</v>
      </c>
    </row>
    <row r="43323" customHeight="1" spans="2:2">
      <c r="B43323" s="62" t="str">
        <f>IF(AND('领用录入（明细）'!D:D=$F$4,'领用录入（明细）'!C:C&gt;=$J$4,'领用录入（明细）'!C:C&lt;=$L$4),ROW(),"-")</f>
        <v>-</v>
      </c>
    </row>
    <row r="43324" customHeight="1" spans="2:2">
      <c r="B43324" s="62" t="str">
        <f>IF(AND('领用录入（明细）'!D:D=$F$4,'领用录入（明细）'!C:C&gt;=$J$4,'领用录入（明细）'!C:C&lt;=$L$4),ROW(),"-")</f>
        <v>-</v>
      </c>
    </row>
    <row r="43325" customHeight="1" spans="2:2">
      <c r="B43325" s="62" t="str">
        <f>IF(AND('领用录入（明细）'!D:D=$F$4,'领用录入（明细）'!C:C&gt;=$J$4,'领用录入（明细）'!C:C&lt;=$L$4),ROW(),"-")</f>
        <v>-</v>
      </c>
    </row>
    <row r="43326" customHeight="1" spans="2:2">
      <c r="B43326" s="62" t="str">
        <f>IF(AND('领用录入（明细）'!D:D=$F$4,'领用录入（明细）'!C:C&gt;=$J$4,'领用录入（明细）'!C:C&lt;=$L$4),ROW(),"-")</f>
        <v>-</v>
      </c>
    </row>
    <row r="43327" customHeight="1" spans="2:2">
      <c r="B43327" s="62" t="str">
        <f>IF(AND('领用录入（明细）'!D:D=$F$4,'领用录入（明细）'!C:C&gt;=$J$4,'领用录入（明细）'!C:C&lt;=$L$4),ROW(),"-")</f>
        <v>-</v>
      </c>
    </row>
    <row r="43328" customHeight="1" spans="2:2">
      <c r="B43328" s="62" t="str">
        <f>IF(AND('领用录入（明细）'!D:D=$F$4,'领用录入（明细）'!C:C&gt;=$J$4,'领用录入（明细）'!C:C&lt;=$L$4),ROW(),"-")</f>
        <v>-</v>
      </c>
    </row>
    <row r="43329" customHeight="1" spans="2:2">
      <c r="B43329" s="62" t="str">
        <f>IF(AND('领用录入（明细）'!D:D=$F$4,'领用录入（明细）'!C:C&gt;=$J$4,'领用录入（明细）'!C:C&lt;=$L$4),ROW(),"-")</f>
        <v>-</v>
      </c>
    </row>
    <row r="43330" customHeight="1" spans="2:2">
      <c r="B43330" s="62" t="str">
        <f>IF(AND('领用录入（明细）'!D:D=$F$4,'领用录入（明细）'!C:C&gt;=$J$4,'领用录入（明细）'!C:C&lt;=$L$4),ROW(),"-")</f>
        <v>-</v>
      </c>
    </row>
    <row r="43331" customHeight="1" spans="2:2">
      <c r="B43331" s="62" t="str">
        <f>IF(AND('领用录入（明细）'!D:D=$F$4,'领用录入（明细）'!C:C&gt;=$J$4,'领用录入（明细）'!C:C&lt;=$L$4),ROW(),"-")</f>
        <v>-</v>
      </c>
    </row>
    <row r="43332" customHeight="1" spans="2:2">
      <c r="B43332" s="62" t="str">
        <f>IF(AND('领用录入（明细）'!D:D=$F$4,'领用录入（明细）'!C:C&gt;=$J$4,'领用录入（明细）'!C:C&lt;=$L$4),ROW(),"-")</f>
        <v>-</v>
      </c>
    </row>
    <row r="43333" customHeight="1" spans="2:2">
      <c r="B43333" s="62" t="str">
        <f>IF(AND('领用录入（明细）'!D:D=$F$4,'领用录入（明细）'!C:C&gt;=$J$4,'领用录入（明细）'!C:C&lt;=$L$4),ROW(),"-")</f>
        <v>-</v>
      </c>
    </row>
    <row r="43334" customHeight="1" spans="2:2">
      <c r="B43334" s="62" t="str">
        <f>IF(AND('领用录入（明细）'!D:D=$F$4,'领用录入（明细）'!C:C&gt;=$J$4,'领用录入（明细）'!C:C&lt;=$L$4),ROW(),"-")</f>
        <v>-</v>
      </c>
    </row>
    <row r="43335" customHeight="1" spans="2:2">
      <c r="B43335" s="62" t="str">
        <f>IF(AND('领用录入（明细）'!D:D=$F$4,'领用录入（明细）'!C:C&gt;=$J$4,'领用录入（明细）'!C:C&lt;=$L$4),ROW(),"-")</f>
        <v>-</v>
      </c>
    </row>
    <row r="43336" customHeight="1" spans="2:2">
      <c r="B43336" s="62" t="str">
        <f>IF(AND('领用录入（明细）'!D:D=$F$4,'领用录入（明细）'!C:C&gt;=$J$4,'领用录入（明细）'!C:C&lt;=$L$4),ROW(),"-")</f>
        <v>-</v>
      </c>
    </row>
    <row r="43337" customHeight="1" spans="2:2">
      <c r="B43337" s="62" t="str">
        <f>IF(AND('领用录入（明细）'!D:D=$F$4,'领用录入（明细）'!C:C&gt;=$J$4,'领用录入（明细）'!C:C&lt;=$L$4),ROW(),"-")</f>
        <v>-</v>
      </c>
    </row>
    <row r="43338" customHeight="1" spans="2:2">
      <c r="B43338" s="62" t="str">
        <f>IF(AND('领用录入（明细）'!D:D=$F$4,'领用录入（明细）'!C:C&gt;=$J$4,'领用录入（明细）'!C:C&lt;=$L$4),ROW(),"-")</f>
        <v>-</v>
      </c>
    </row>
    <row r="43339" customHeight="1" spans="2:2">
      <c r="B43339" s="62" t="str">
        <f>IF(AND('领用录入（明细）'!D:D=$F$4,'领用录入（明细）'!C:C&gt;=$J$4,'领用录入（明细）'!C:C&lt;=$L$4),ROW(),"-")</f>
        <v>-</v>
      </c>
    </row>
    <row r="43340" customHeight="1" spans="2:2">
      <c r="B43340" s="62" t="str">
        <f>IF(AND('领用录入（明细）'!D:D=$F$4,'领用录入（明细）'!C:C&gt;=$J$4,'领用录入（明细）'!C:C&lt;=$L$4),ROW(),"-")</f>
        <v>-</v>
      </c>
    </row>
    <row r="43341" customHeight="1" spans="2:2">
      <c r="B43341" s="62" t="str">
        <f>IF(AND('领用录入（明细）'!D:D=$F$4,'领用录入（明细）'!C:C&gt;=$J$4,'领用录入（明细）'!C:C&lt;=$L$4),ROW(),"-")</f>
        <v>-</v>
      </c>
    </row>
    <row r="43342" customHeight="1" spans="2:2">
      <c r="B43342" s="62" t="str">
        <f>IF(AND('领用录入（明细）'!D:D=$F$4,'领用录入（明细）'!C:C&gt;=$J$4,'领用录入（明细）'!C:C&lt;=$L$4),ROW(),"-")</f>
        <v>-</v>
      </c>
    </row>
    <row r="43343" customHeight="1" spans="2:2">
      <c r="B43343" s="62" t="str">
        <f>IF(AND('领用录入（明细）'!D:D=$F$4,'领用录入（明细）'!C:C&gt;=$J$4,'领用录入（明细）'!C:C&lt;=$L$4),ROW(),"-")</f>
        <v>-</v>
      </c>
    </row>
    <row r="43344" customHeight="1" spans="2:2">
      <c r="B43344" s="62" t="str">
        <f>IF(AND('领用录入（明细）'!D:D=$F$4,'领用录入（明细）'!C:C&gt;=$J$4,'领用录入（明细）'!C:C&lt;=$L$4),ROW(),"-")</f>
        <v>-</v>
      </c>
    </row>
    <row r="43345" customHeight="1" spans="2:2">
      <c r="B43345" s="62" t="str">
        <f>IF(AND('领用录入（明细）'!D:D=$F$4,'领用录入（明细）'!C:C&gt;=$J$4,'领用录入（明细）'!C:C&lt;=$L$4),ROW(),"-")</f>
        <v>-</v>
      </c>
    </row>
    <row r="43346" customHeight="1" spans="2:2">
      <c r="B43346" s="62" t="str">
        <f>IF(AND('领用录入（明细）'!D:D=$F$4,'领用录入（明细）'!C:C&gt;=$J$4,'领用录入（明细）'!C:C&lt;=$L$4),ROW(),"-")</f>
        <v>-</v>
      </c>
    </row>
    <row r="43347" customHeight="1" spans="2:2">
      <c r="B43347" s="62" t="str">
        <f>IF(AND('领用录入（明细）'!D:D=$F$4,'领用录入（明细）'!C:C&gt;=$J$4,'领用录入（明细）'!C:C&lt;=$L$4),ROW(),"-")</f>
        <v>-</v>
      </c>
    </row>
    <row r="43348" customHeight="1" spans="2:2">
      <c r="B43348" s="62" t="str">
        <f>IF(AND('领用录入（明细）'!D:D=$F$4,'领用录入（明细）'!C:C&gt;=$J$4,'领用录入（明细）'!C:C&lt;=$L$4),ROW(),"-")</f>
        <v>-</v>
      </c>
    </row>
    <row r="43349" customHeight="1" spans="2:2">
      <c r="B43349" s="62" t="str">
        <f>IF(AND('领用录入（明细）'!D:D=$F$4,'领用录入（明细）'!C:C&gt;=$J$4,'领用录入（明细）'!C:C&lt;=$L$4),ROW(),"-")</f>
        <v>-</v>
      </c>
    </row>
    <row r="43350" customHeight="1" spans="2:2">
      <c r="B43350" s="62" t="str">
        <f>IF(AND('领用录入（明细）'!D:D=$F$4,'领用录入（明细）'!C:C&gt;=$J$4,'领用录入（明细）'!C:C&lt;=$L$4),ROW(),"-")</f>
        <v>-</v>
      </c>
    </row>
    <row r="43351" customHeight="1" spans="2:2">
      <c r="B43351" s="62" t="str">
        <f>IF(AND('领用录入（明细）'!D:D=$F$4,'领用录入（明细）'!C:C&gt;=$J$4,'领用录入（明细）'!C:C&lt;=$L$4),ROW(),"-")</f>
        <v>-</v>
      </c>
    </row>
    <row r="43352" customHeight="1" spans="2:2">
      <c r="B43352" s="62" t="str">
        <f>IF(AND('领用录入（明细）'!D:D=$F$4,'领用录入（明细）'!C:C&gt;=$J$4,'领用录入（明细）'!C:C&lt;=$L$4),ROW(),"-")</f>
        <v>-</v>
      </c>
    </row>
    <row r="43353" customHeight="1" spans="2:2">
      <c r="B43353" s="62" t="str">
        <f>IF(AND('领用录入（明细）'!D:D=$F$4,'领用录入（明细）'!C:C&gt;=$J$4,'领用录入（明细）'!C:C&lt;=$L$4),ROW(),"-")</f>
        <v>-</v>
      </c>
    </row>
    <row r="43354" customHeight="1" spans="2:2">
      <c r="B43354" s="62" t="str">
        <f>IF(AND('领用录入（明细）'!D:D=$F$4,'领用录入（明细）'!C:C&gt;=$J$4,'领用录入（明细）'!C:C&lt;=$L$4),ROW(),"-")</f>
        <v>-</v>
      </c>
    </row>
    <row r="43355" customHeight="1" spans="2:2">
      <c r="B43355" s="62" t="str">
        <f>IF(AND('领用录入（明细）'!D:D=$F$4,'领用录入（明细）'!C:C&gt;=$J$4,'领用录入（明细）'!C:C&lt;=$L$4),ROW(),"-")</f>
        <v>-</v>
      </c>
    </row>
    <row r="43356" customHeight="1" spans="2:2">
      <c r="B43356" s="62" t="str">
        <f>IF(AND('领用录入（明细）'!D:D=$F$4,'领用录入（明细）'!C:C&gt;=$J$4,'领用录入（明细）'!C:C&lt;=$L$4),ROW(),"-")</f>
        <v>-</v>
      </c>
    </row>
    <row r="43357" customHeight="1" spans="2:2">
      <c r="B43357" s="62" t="str">
        <f>IF(AND('领用录入（明细）'!D:D=$F$4,'领用录入（明细）'!C:C&gt;=$J$4,'领用录入（明细）'!C:C&lt;=$L$4),ROW(),"-")</f>
        <v>-</v>
      </c>
    </row>
    <row r="43358" customHeight="1" spans="2:2">
      <c r="B43358" s="62" t="str">
        <f>IF(AND('领用录入（明细）'!D:D=$F$4,'领用录入（明细）'!C:C&gt;=$J$4,'领用录入（明细）'!C:C&lt;=$L$4),ROW(),"-")</f>
        <v>-</v>
      </c>
    </row>
    <row r="43359" customHeight="1" spans="2:2">
      <c r="B43359" s="62" t="str">
        <f>IF(AND('领用录入（明细）'!D:D=$F$4,'领用录入（明细）'!C:C&gt;=$J$4,'领用录入（明细）'!C:C&lt;=$L$4),ROW(),"-")</f>
        <v>-</v>
      </c>
    </row>
    <row r="43360" customHeight="1" spans="2:2">
      <c r="B43360" s="62" t="str">
        <f>IF(AND('领用录入（明细）'!D:D=$F$4,'领用录入（明细）'!C:C&gt;=$J$4,'领用录入（明细）'!C:C&lt;=$L$4),ROW(),"-")</f>
        <v>-</v>
      </c>
    </row>
    <row r="43361" customHeight="1" spans="2:2">
      <c r="B43361" s="62" t="str">
        <f>IF(AND('领用录入（明细）'!D:D=$F$4,'领用录入（明细）'!C:C&gt;=$J$4,'领用录入（明细）'!C:C&lt;=$L$4),ROW(),"-")</f>
        <v>-</v>
      </c>
    </row>
    <row r="43362" customHeight="1" spans="2:2">
      <c r="B43362" s="62" t="str">
        <f>IF(AND('领用录入（明细）'!D:D=$F$4,'领用录入（明细）'!C:C&gt;=$J$4,'领用录入（明细）'!C:C&lt;=$L$4),ROW(),"-")</f>
        <v>-</v>
      </c>
    </row>
    <row r="43363" customHeight="1" spans="2:2">
      <c r="B43363" s="62" t="str">
        <f>IF(AND('领用录入（明细）'!D:D=$F$4,'领用录入（明细）'!C:C&gt;=$J$4,'领用录入（明细）'!C:C&lt;=$L$4),ROW(),"-")</f>
        <v>-</v>
      </c>
    </row>
    <row r="43364" customHeight="1" spans="2:2">
      <c r="B43364" s="62" t="str">
        <f>IF(AND('领用录入（明细）'!D:D=$F$4,'领用录入（明细）'!C:C&gt;=$J$4,'领用录入（明细）'!C:C&lt;=$L$4),ROW(),"-")</f>
        <v>-</v>
      </c>
    </row>
    <row r="43365" customHeight="1" spans="2:2">
      <c r="B43365" s="62" t="str">
        <f>IF(AND('领用录入（明细）'!D:D=$F$4,'领用录入（明细）'!C:C&gt;=$J$4,'领用录入（明细）'!C:C&lt;=$L$4),ROW(),"-")</f>
        <v>-</v>
      </c>
    </row>
    <row r="43366" customHeight="1" spans="2:2">
      <c r="B43366" s="62" t="str">
        <f>IF(AND('领用录入（明细）'!D:D=$F$4,'领用录入（明细）'!C:C&gt;=$J$4,'领用录入（明细）'!C:C&lt;=$L$4),ROW(),"-")</f>
        <v>-</v>
      </c>
    </row>
    <row r="43367" customHeight="1" spans="2:2">
      <c r="B43367" s="62" t="str">
        <f>IF(AND('领用录入（明细）'!D:D=$F$4,'领用录入（明细）'!C:C&gt;=$J$4,'领用录入（明细）'!C:C&lt;=$L$4),ROW(),"-")</f>
        <v>-</v>
      </c>
    </row>
    <row r="43368" customHeight="1" spans="2:2">
      <c r="B43368" s="62" t="str">
        <f>IF(AND('领用录入（明细）'!D:D=$F$4,'领用录入（明细）'!C:C&gt;=$J$4,'领用录入（明细）'!C:C&lt;=$L$4),ROW(),"-")</f>
        <v>-</v>
      </c>
    </row>
    <row r="43369" customHeight="1" spans="2:2">
      <c r="B43369" s="62" t="str">
        <f>IF(AND('领用录入（明细）'!D:D=$F$4,'领用录入（明细）'!C:C&gt;=$J$4,'领用录入（明细）'!C:C&lt;=$L$4),ROW(),"-")</f>
        <v>-</v>
      </c>
    </row>
    <row r="43370" customHeight="1" spans="2:2">
      <c r="B43370" s="62" t="str">
        <f>IF(AND('领用录入（明细）'!D:D=$F$4,'领用录入（明细）'!C:C&gt;=$J$4,'领用录入（明细）'!C:C&lt;=$L$4),ROW(),"-")</f>
        <v>-</v>
      </c>
    </row>
    <row r="43371" customHeight="1" spans="2:2">
      <c r="B43371" s="62" t="str">
        <f>IF(AND('领用录入（明细）'!D:D=$F$4,'领用录入（明细）'!C:C&gt;=$J$4,'领用录入（明细）'!C:C&lt;=$L$4),ROW(),"-")</f>
        <v>-</v>
      </c>
    </row>
    <row r="43372" customHeight="1" spans="2:2">
      <c r="B43372" s="62" t="str">
        <f>IF(AND('领用录入（明细）'!D:D=$F$4,'领用录入（明细）'!C:C&gt;=$J$4,'领用录入（明细）'!C:C&lt;=$L$4),ROW(),"-")</f>
        <v>-</v>
      </c>
    </row>
    <row r="43373" customHeight="1" spans="2:2">
      <c r="B43373" s="62" t="str">
        <f>IF(AND('领用录入（明细）'!D:D=$F$4,'领用录入（明细）'!C:C&gt;=$J$4,'领用录入（明细）'!C:C&lt;=$L$4),ROW(),"-")</f>
        <v>-</v>
      </c>
    </row>
    <row r="43374" customHeight="1" spans="2:2">
      <c r="B43374" s="62" t="str">
        <f>IF(AND('领用录入（明细）'!D:D=$F$4,'领用录入（明细）'!C:C&gt;=$J$4,'领用录入（明细）'!C:C&lt;=$L$4),ROW(),"-")</f>
        <v>-</v>
      </c>
    </row>
    <row r="43375" customHeight="1" spans="2:2">
      <c r="B43375" s="62" t="str">
        <f>IF(AND('领用录入（明细）'!D:D=$F$4,'领用录入（明细）'!C:C&gt;=$J$4,'领用录入（明细）'!C:C&lt;=$L$4),ROW(),"-")</f>
        <v>-</v>
      </c>
    </row>
    <row r="43376" customHeight="1" spans="2:2">
      <c r="B43376" s="62" t="str">
        <f>IF(AND('领用录入（明细）'!D:D=$F$4,'领用录入（明细）'!C:C&gt;=$J$4,'领用录入（明细）'!C:C&lt;=$L$4),ROW(),"-")</f>
        <v>-</v>
      </c>
    </row>
    <row r="43377" customHeight="1" spans="2:2">
      <c r="B43377" s="62" t="str">
        <f>IF(AND('领用录入（明细）'!D:D=$F$4,'领用录入（明细）'!C:C&gt;=$J$4,'领用录入（明细）'!C:C&lt;=$L$4),ROW(),"-")</f>
        <v>-</v>
      </c>
    </row>
    <row r="43378" customHeight="1" spans="2:2">
      <c r="B43378" s="62" t="str">
        <f>IF(AND('领用录入（明细）'!D:D=$F$4,'领用录入（明细）'!C:C&gt;=$J$4,'领用录入（明细）'!C:C&lt;=$L$4),ROW(),"-")</f>
        <v>-</v>
      </c>
    </row>
    <row r="43379" customHeight="1" spans="2:2">
      <c r="B43379" s="62" t="str">
        <f>IF(AND('领用录入（明细）'!D:D=$F$4,'领用录入（明细）'!C:C&gt;=$J$4,'领用录入（明细）'!C:C&lt;=$L$4),ROW(),"-")</f>
        <v>-</v>
      </c>
    </row>
    <row r="43380" customHeight="1" spans="2:2">
      <c r="B43380" s="62" t="str">
        <f>IF(AND('领用录入（明细）'!D:D=$F$4,'领用录入（明细）'!C:C&gt;=$J$4,'领用录入（明细）'!C:C&lt;=$L$4),ROW(),"-")</f>
        <v>-</v>
      </c>
    </row>
    <row r="43381" customHeight="1" spans="2:2">
      <c r="B43381" s="62" t="str">
        <f>IF(AND('领用录入（明细）'!D:D=$F$4,'领用录入（明细）'!C:C&gt;=$J$4,'领用录入（明细）'!C:C&lt;=$L$4),ROW(),"-")</f>
        <v>-</v>
      </c>
    </row>
    <row r="43382" customHeight="1" spans="2:2">
      <c r="B43382" s="62" t="str">
        <f>IF(AND('领用录入（明细）'!D:D=$F$4,'领用录入（明细）'!C:C&gt;=$J$4,'领用录入（明细）'!C:C&lt;=$L$4),ROW(),"-")</f>
        <v>-</v>
      </c>
    </row>
    <row r="43383" customHeight="1" spans="2:2">
      <c r="B43383" s="62" t="str">
        <f>IF(AND('领用录入（明细）'!D:D=$F$4,'领用录入（明细）'!C:C&gt;=$J$4,'领用录入（明细）'!C:C&lt;=$L$4),ROW(),"-")</f>
        <v>-</v>
      </c>
    </row>
    <row r="43384" customHeight="1" spans="2:2">
      <c r="B43384" s="62" t="str">
        <f>IF(AND('领用录入（明细）'!D:D=$F$4,'领用录入（明细）'!C:C&gt;=$J$4,'领用录入（明细）'!C:C&lt;=$L$4),ROW(),"-")</f>
        <v>-</v>
      </c>
    </row>
    <row r="43385" customHeight="1" spans="2:2">
      <c r="B43385" s="62" t="str">
        <f>IF(AND('领用录入（明细）'!D:D=$F$4,'领用录入（明细）'!C:C&gt;=$J$4,'领用录入（明细）'!C:C&lt;=$L$4),ROW(),"-")</f>
        <v>-</v>
      </c>
    </row>
    <row r="43386" customHeight="1" spans="2:2">
      <c r="B43386" s="62" t="str">
        <f>IF(AND('领用录入（明细）'!D:D=$F$4,'领用录入（明细）'!C:C&gt;=$J$4,'领用录入（明细）'!C:C&lt;=$L$4),ROW(),"-")</f>
        <v>-</v>
      </c>
    </row>
    <row r="43387" customHeight="1" spans="2:2">
      <c r="B43387" s="62" t="str">
        <f>IF(AND('领用录入（明细）'!D:D=$F$4,'领用录入（明细）'!C:C&gt;=$J$4,'领用录入（明细）'!C:C&lt;=$L$4),ROW(),"-")</f>
        <v>-</v>
      </c>
    </row>
    <row r="43388" customHeight="1" spans="2:2">
      <c r="B43388" s="62" t="str">
        <f>IF(AND('领用录入（明细）'!D:D=$F$4,'领用录入（明细）'!C:C&gt;=$J$4,'领用录入（明细）'!C:C&lt;=$L$4),ROW(),"-")</f>
        <v>-</v>
      </c>
    </row>
    <row r="43389" customHeight="1" spans="2:2">
      <c r="B43389" s="62" t="str">
        <f>IF(AND('领用录入（明细）'!D:D=$F$4,'领用录入（明细）'!C:C&gt;=$J$4,'领用录入（明细）'!C:C&lt;=$L$4),ROW(),"-")</f>
        <v>-</v>
      </c>
    </row>
    <row r="43390" customHeight="1" spans="2:2">
      <c r="B43390" s="62" t="str">
        <f>IF(AND('领用录入（明细）'!D:D=$F$4,'领用录入（明细）'!C:C&gt;=$J$4,'领用录入（明细）'!C:C&lt;=$L$4),ROW(),"-")</f>
        <v>-</v>
      </c>
    </row>
    <row r="43391" customHeight="1" spans="2:2">
      <c r="B43391" s="62" t="str">
        <f>IF(AND('领用录入（明细）'!D:D=$F$4,'领用录入（明细）'!C:C&gt;=$J$4,'领用录入（明细）'!C:C&lt;=$L$4),ROW(),"-")</f>
        <v>-</v>
      </c>
    </row>
    <row r="43392" customHeight="1" spans="2:2">
      <c r="B43392" s="62" t="str">
        <f>IF(AND('领用录入（明细）'!D:D=$F$4,'领用录入（明细）'!C:C&gt;=$J$4,'领用录入（明细）'!C:C&lt;=$L$4),ROW(),"-")</f>
        <v>-</v>
      </c>
    </row>
    <row r="43393" customHeight="1" spans="2:2">
      <c r="B43393" s="62" t="str">
        <f>IF(AND('领用录入（明细）'!D:D=$F$4,'领用录入（明细）'!C:C&gt;=$J$4,'领用录入（明细）'!C:C&lt;=$L$4),ROW(),"-")</f>
        <v>-</v>
      </c>
    </row>
    <row r="43394" customHeight="1" spans="2:2">
      <c r="B43394" s="62" t="str">
        <f>IF(AND('领用录入（明细）'!D:D=$F$4,'领用录入（明细）'!C:C&gt;=$J$4,'领用录入（明细）'!C:C&lt;=$L$4),ROW(),"-")</f>
        <v>-</v>
      </c>
    </row>
    <row r="43395" customHeight="1" spans="2:2">
      <c r="B43395" s="62" t="str">
        <f>IF(AND('领用录入（明细）'!D:D=$F$4,'领用录入（明细）'!C:C&gt;=$J$4,'领用录入（明细）'!C:C&lt;=$L$4),ROW(),"-")</f>
        <v>-</v>
      </c>
    </row>
    <row r="43396" customHeight="1" spans="2:2">
      <c r="B43396" s="62" t="str">
        <f>IF(AND('领用录入（明细）'!D:D=$F$4,'领用录入（明细）'!C:C&gt;=$J$4,'领用录入（明细）'!C:C&lt;=$L$4),ROW(),"-")</f>
        <v>-</v>
      </c>
    </row>
    <row r="43397" customHeight="1" spans="2:2">
      <c r="B43397" s="62" t="str">
        <f>IF(AND('领用录入（明细）'!D:D=$F$4,'领用录入（明细）'!C:C&gt;=$J$4,'领用录入（明细）'!C:C&lt;=$L$4),ROW(),"-")</f>
        <v>-</v>
      </c>
    </row>
    <row r="43398" customHeight="1" spans="2:2">
      <c r="B43398" s="62" t="str">
        <f>IF(AND('领用录入（明细）'!D:D=$F$4,'领用录入（明细）'!C:C&gt;=$J$4,'领用录入（明细）'!C:C&lt;=$L$4),ROW(),"-")</f>
        <v>-</v>
      </c>
    </row>
    <row r="43399" customHeight="1" spans="2:2">
      <c r="B43399" s="62" t="str">
        <f>IF(AND('领用录入（明细）'!D:D=$F$4,'领用录入（明细）'!C:C&gt;=$J$4,'领用录入（明细）'!C:C&lt;=$L$4),ROW(),"-")</f>
        <v>-</v>
      </c>
    </row>
    <row r="43400" customHeight="1" spans="2:2">
      <c r="B43400" s="62" t="str">
        <f>IF(AND('领用录入（明细）'!D:D=$F$4,'领用录入（明细）'!C:C&gt;=$J$4,'领用录入（明细）'!C:C&lt;=$L$4),ROW(),"-")</f>
        <v>-</v>
      </c>
    </row>
    <row r="43401" customHeight="1" spans="2:2">
      <c r="B43401" s="62" t="str">
        <f>IF(AND('领用录入（明细）'!D:D=$F$4,'领用录入（明细）'!C:C&gt;=$J$4,'领用录入（明细）'!C:C&lt;=$L$4),ROW(),"-")</f>
        <v>-</v>
      </c>
    </row>
    <row r="43402" customHeight="1" spans="2:2">
      <c r="B43402" s="62" t="str">
        <f>IF(AND('领用录入（明细）'!D:D=$F$4,'领用录入（明细）'!C:C&gt;=$J$4,'领用录入（明细）'!C:C&lt;=$L$4),ROW(),"-")</f>
        <v>-</v>
      </c>
    </row>
    <row r="43403" customHeight="1" spans="2:2">
      <c r="B43403" s="62" t="str">
        <f>IF(AND('领用录入（明细）'!D:D=$F$4,'领用录入（明细）'!C:C&gt;=$J$4,'领用录入（明细）'!C:C&lt;=$L$4),ROW(),"-")</f>
        <v>-</v>
      </c>
    </row>
    <row r="43404" customHeight="1" spans="2:2">
      <c r="B43404" s="62" t="str">
        <f>IF(AND('领用录入（明细）'!D:D=$F$4,'领用录入（明细）'!C:C&gt;=$J$4,'领用录入（明细）'!C:C&lt;=$L$4),ROW(),"-")</f>
        <v>-</v>
      </c>
    </row>
    <row r="43405" customHeight="1" spans="2:2">
      <c r="B43405" s="62" t="str">
        <f>IF(AND('领用录入（明细）'!D:D=$F$4,'领用录入（明细）'!C:C&gt;=$J$4,'领用录入（明细）'!C:C&lt;=$L$4),ROW(),"-")</f>
        <v>-</v>
      </c>
    </row>
    <row r="43406" customHeight="1" spans="2:2">
      <c r="B43406" s="62" t="str">
        <f>IF(AND('领用录入（明细）'!D:D=$F$4,'领用录入（明细）'!C:C&gt;=$J$4,'领用录入（明细）'!C:C&lt;=$L$4),ROW(),"-")</f>
        <v>-</v>
      </c>
    </row>
    <row r="43407" customHeight="1" spans="2:2">
      <c r="B43407" s="62" t="str">
        <f>IF(AND('领用录入（明细）'!D:D=$F$4,'领用录入（明细）'!C:C&gt;=$J$4,'领用录入（明细）'!C:C&lt;=$L$4),ROW(),"-")</f>
        <v>-</v>
      </c>
    </row>
    <row r="43408" customHeight="1" spans="2:2">
      <c r="B43408" s="62" t="str">
        <f>IF(AND('领用录入（明细）'!D:D=$F$4,'领用录入（明细）'!C:C&gt;=$J$4,'领用录入（明细）'!C:C&lt;=$L$4),ROW(),"-")</f>
        <v>-</v>
      </c>
    </row>
    <row r="43409" customHeight="1" spans="2:2">
      <c r="B43409" s="62" t="str">
        <f>IF(AND('领用录入（明细）'!D:D=$F$4,'领用录入（明细）'!C:C&gt;=$J$4,'领用录入（明细）'!C:C&lt;=$L$4),ROW(),"-")</f>
        <v>-</v>
      </c>
    </row>
    <row r="43410" customHeight="1" spans="2:2">
      <c r="B43410" s="62" t="str">
        <f>IF(AND('领用录入（明细）'!D:D=$F$4,'领用录入（明细）'!C:C&gt;=$J$4,'领用录入（明细）'!C:C&lt;=$L$4),ROW(),"-")</f>
        <v>-</v>
      </c>
    </row>
    <row r="43411" customHeight="1" spans="2:2">
      <c r="B43411" s="62" t="str">
        <f>IF(AND('领用录入（明细）'!D:D=$F$4,'领用录入（明细）'!C:C&gt;=$J$4,'领用录入（明细）'!C:C&lt;=$L$4),ROW(),"-")</f>
        <v>-</v>
      </c>
    </row>
    <row r="43412" customHeight="1" spans="2:2">
      <c r="B43412" s="62" t="str">
        <f>IF(AND('领用录入（明细）'!D:D=$F$4,'领用录入（明细）'!C:C&gt;=$J$4,'领用录入（明细）'!C:C&lt;=$L$4),ROW(),"-")</f>
        <v>-</v>
      </c>
    </row>
    <row r="43413" customHeight="1" spans="2:2">
      <c r="B43413" s="62" t="str">
        <f>IF(AND('领用录入（明细）'!D:D=$F$4,'领用录入（明细）'!C:C&gt;=$J$4,'领用录入（明细）'!C:C&lt;=$L$4),ROW(),"-")</f>
        <v>-</v>
      </c>
    </row>
    <row r="43414" customHeight="1" spans="2:2">
      <c r="B43414" s="62" t="str">
        <f>IF(AND('领用录入（明细）'!D:D=$F$4,'领用录入（明细）'!C:C&gt;=$J$4,'领用录入（明细）'!C:C&lt;=$L$4),ROW(),"-")</f>
        <v>-</v>
      </c>
    </row>
    <row r="43415" customHeight="1" spans="2:2">
      <c r="B43415" s="62" t="str">
        <f>IF(AND('领用录入（明细）'!D:D=$F$4,'领用录入（明细）'!C:C&gt;=$J$4,'领用录入（明细）'!C:C&lt;=$L$4),ROW(),"-")</f>
        <v>-</v>
      </c>
    </row>
    <row r="43416" customHeight="1" spans="2:2">
      <c r="B43416" s="62" t="str">
        <f>IF(AND('领用录入（明细）'!D:D=$F$4,'领用录入（明细）'!C:C&gt;=$J$4,'领用录入（明细）'!C:C&lt;=$L$4),ROW(),"-")</f>
        <v>-</v>
      </c>
    </row>
    <row r="43417" customHeight="1" spans="2:2">
      <c r="B43417" s="62" t="str">
        <f>IF(AND('领用录入（明细）'!D:D=$F$4,'领用录入（明细）'!C:C&gt;=$J$4,'领用录入（明细）'!C:C&lt;=$L$4),ROW(),"-")</f>
        <v>-</v>
      </c>
    </row>
    <row r="43418" customHeight="1" spans="2:2">
      <c r="B43418" s="62" t="str">
        <f>IF(AND('领用录入（明细）'!D:D=$F$4,'领用录入（明细）'!C:C&gt;=$J$4,'领用录入（明细）'!C:C&lt;=$L$4),ROW(),"-")</f>
        <v>-</v>
      </c>
    </row>
    <row r="43419" customHeight="1" spans="2:2">
      <c r="B43419" s="62" t="str">
        <f>IF(AND('领用录入（明细）'!D:D=$F$4,'领用录入（明细）'!C:C&gt;=$J$4,'领用录入（明细）'!C:C&lt;=$L$4),ROW(),"-")</f>
        <v>-</v>
      </c>
    </row>
    <row r="43420" customHeight="1" spans="2:2">
      <c r="B43420" s="62" t="str">
        <f>IF(AND('领用录入（明细）'!D:D=$F$4,'领用录入（明细）'!C:C&gt;=$J$4,'领用录入（明细）'!C:C&lt;=$L$4),ROW(),"-")</f>
        <v>-</v>
      </c>
    </row>
    <row r="43421" customHeight="1" spans="2:2">
      <c r="B43421" s="62" t="str">
        <f>IF(AND('领用录入（明细）'!D:D=$F$4,'领用录入（明细）'!C:C&gt;=$J$4,'领用录入（明细）'!C:C&lt;=$L$4),ROW(),"-")</f>
        <v>-</v>
      </c>
    </row>
    <row r="43422" customHeight="1" spans="2:2">
      <c r="B43422" s="62" t="str">
        <f>IF(AND('领用录入（明细）'!D:D=$F$4,'领用录入（明细）'!C:C&gt;=$J$4,'领用录入（明细）'!C:C&lt;=$L$4),ROW(),"-")</f>
        <v>-</v>
      </c>
    </row>
    <row r="43423" customHeight="1" spans="2:2">
      <c r="B43423" s="62" t="str">
        <f>IF(AND('领用录入（明细）'!D:D=$F$4,'领用录入（明细）'!C:C&gt;=$J$4,'领用录入（明细）'!C:C&lt;=$L$4),ROW(),"-")</f>
        <v>-</v>
      </c>
    </row>
    <row r="43424" customHeight="1" spans="2:2">
      <c r="B43424" s="62" t="str">
        <f>IF(AND('领用录入（明细）'!D:D=$F$4,'领用录入（明细）'!C:C&gt;=$J$4,'领用录入（明细）'!C:C&lt;=$L$4),ROW(),"-")</f>
        <v>-</v>
      </c>
    </row>
    <row r="43425" customHeight="1" spans="2:2">
      <c r="B43425" s="62" t="str">
        <f>IF(AND('领用录入（明细）'!D:D=$F$4,'领用录入（明细）'!C:C&gt;=$J$4,'领用录入（明细）'!C:C&lt;=$L$4),ROW(),"-")</f>
        <v>-</v>
      </c>
    </row>
    <row r="43426" customHeight="1" spans="2:2">
      <c r="B43426" s="62" t="str">
        <f>IF(AND('领用录入（明细）'!D:D=$F$4,'领用录入（明细）'!C:C&gt;=$J$4,'领用录入（明细）'!C:C&lt;=$L$4),ROW(),"-")</f>
        <v>-</v>
      </c>
    </row>
    <row r="43427" customHeight="1" spans="2:2">
      <c r="B43427" s="62" t="str">
        <f>IF(AND('领用录入（明细）'!D:D=$F$4,'领用录入（明细）'!C:C&gt;=$J$4,'领用录入（明细）'!C:C&lt;=$L$4),ROW(),"-")</f>
        <v>-</v>
      </c>
    </row>
    <row r="43428" customHeight="1" spans="2:2">
      <c r="B43428" s="62" t="str">
        <f>IF(AND('领用录入（明细）'!D:D=$F$4,'领用录入（明细）'!C:C&gt;=$J$4,'领用录入（明细）'!C:C&lt;=$L$4),ROW(),"-")</f>
        <v>-</v>
      </c>
    </row>
    <row r="43429" customHeight="1" spans="2:2">
      <c r="B43429" s="62" t="str">
        <f>IF(AND('领用录入（明细）'!D:D=$F$4,'领用录入（明细）'!C:C&gt;=$J$4,'领用录入（明细）'!C:C&lt;=$L$4),ROW(),"-")</f>
        <v>-</v>
      </c>
    </row>
    <row r="43430" customHeight="1" spans="2:2">
      <c r="B43430" s="62" t="str">
        <f>IF(AND('领用录入（明细）'!D:D=$F$4,'领用录入（明细）'!C:C&gt;=$J$4,'领用录入（明细）'!C:C&lt;=$L$4),ROW(),"-")</f>
        <v>-</v>
      </c>
    </row>
    <row r="43431" customHeight="1" spans="2:2">
      <c r="B43431" s="62" t="str">
        <f>IF(AND('领用录入（明细）'!D:D=$F$4,'领用录入（明细）'!C:C&gt;=$J$4,'领用录入（明细）'!C:C&lt;=$L$4),ROW(),"-")</f>
        <v>-</v>
      </c>
    </row>
    <row r="43432" customHeight="1" spans="2:2">
      <c r="B43432" s="62" t="str">
        <f>IF(AND('领用录入（明细）'!D:D=$F$4,'领用录入（明细）'!C:C&gt;=$J$4,'领用录入（明细）'!C:C&lt;=$L$4),ROW(),"-")</f>
        <v>-</v>
      </c>
    </row>
    <row r="43433" customHeight="1" spans="2:2">
      <c r="B43433" s="62" t="str">
        <f>IF(AND('领用录入（明细）'!D:D=$F$4,'领用录入（明细）'!C:C&gt;=$J$4,'领用录入（明细）'!C:C&lt;=$L$4),ROW(),"-")</f>
        <v>-</v>
      </c>
    </row>
    <row r="43434" customHeight="1" spans="2:2">
      <c r="B43434" s="62" t="str">
        <f>IF(AND('领用录入（明细）'!D:D=$F$4,'领用录入（明细）'!C:C&gt;=$J$4,'领用录入（明细）'!C:C&lt;=$L$4),ROW(),"-")</f>
        <v>-</v>
      </c>
    </row>
    <row r="43435" customHeight="1" spans="2:2">
      <c r="B43435" s="62" t="str">
        <f>IF(AND('领用录入（明细）'!D:D=$F$4,'领用录入（明细）'!C:C&gt;=$J$4,'领用录入（明细）'!C:C&lt;=$L$4),ROW(),"-")</f>
        <v>-</v>
      </c>
    </row>
    <row r="43436" customHeight="1" spans="2:2">
      <c r="B43436" s="62" t="str">
        <f>IF(AND('领用录入（明细）'!D:D=$F$4,'领用录入（明细）'!C:C&gt;=$J$4,'领用录入（明细）'!C:C&lt;=$L$4),ROW(),"-")</f>
        <v>-</v>
      </c>
    </row>
    <row r="43437" customHeight="1" spans="2:2">
      <c r="B43437" s="62" t="str">
        <f>IF(AND('领用录入（明细）'!D:D=$F$4,'领用录入（明细）'!C:C&gt;=$J$4,'领用录入（明细）'!C:C&lt;=$L$4),ROW(),"-")</f>
        <v>-</v>
      </c>
    </row>
    <row r="43438" customHeight="1" spans="2:2">
      <c r="B43438" s="62" t="str">
        <f>IF(AND('领用录入（明细）'!D:D=$F$4,'领用录入（明细）'!C:C&gt;=$J$4,'领用录入（明细）'!C:C&lt;=$L$4),ROW(),"-")</f>
        <v>-</v>
      </c>
    </row>
    <row r="43439" customHeight="1" spans="2:2">
      <c r="B43439" s="62" t="str">
        <f>IF(AND('领用录入（明细）'!D:D=$F$4,'领用录入（明细）'!C:C&gt;=$J$4,'领用录入（明细）'!C:C&lt;=$L$4),ROW(),"-")</f>
        <v>-</v>
      </c>
    </row>
    <row r="43440" customHeight="1" spans="2:2">
      <c r="B43440" s="62" t="str">
        <f>IF(AND('领用录入（明细）'!D:D=$F$4,'领用录入（明细）'!C:C&gt;=$J$4,'领用录入（明细）'!C:C&lt;=$L$4),ROW(),"-")</f>
        <v>-</v>
      </c>
    </row>
    <row r="43441" customHeight="1" spans="2:2">
      <c r="B43441" s="62" t="str">
        <f>IF(AND('领用录入（明细）'!D:D=$F$4,'领用录入（明细）'!C:C&gt;=$J$4,'领用录入（明细）'!C:C&lt;=$L$4),ROW(),"-")</f>
        <v>-</v>
      </c>
    </row>
    <row r="43442" customHeight="1" spans="2:2">
      <c r="B43442" s="62" t="str">
        <f>IF(AND('领用录入（明细）'!D:D=$F$4,'领用录入（明细）'!C:C&gt;=$J$4,'领用录入（明细）'!C:C&lt;=$L$4),ROW(),"-")</f>
        <v>-</v>
      </c>
    </row>
    <row r="43443" customHeight="1" spans="2:2">
      <c r="B43443" s="62" t="str">
        <f>IF(AND('领用录入（明细）'!D:D=$F$4,'领用录入（明细）'!C:C&gt;=$J$4,'领用录入（明细）'!C:C&lt;=$L$4),ROW(),"-")</f>
        <v>-</v>
      </c>
    </row>
    <row r="43444" customHeight="1" spans="2:2">
      <c r="B43444" s="62" t="str">
        <f>IF(AND('领用录入（明细）'!D:D=$F$4,'领用录入（明细）'!C:C&gt;=$J$4,'领用录入（明细）'!C:C&lt;=$L$4),ROW(),"-")</f>
        <v>-</v>
      </c>
    </row>
    <row r="43445" customHeight="1" spans="2:2">
      <c r="B43445" s="62" t="str">
        <f>IF(AND('领用录入（明细）'!D:D=$F$4,'领用录入（明细）'!C:C&gt;=$J$4,'领用录入（明细）'!C:C&lt;=$L$4),ROW(),"-")</f>
        <v>-</v>
      </c>
    </row>
    <row r="43446" customHeight="1" spans="2:2">
      <c r="B43446" s="62" t="str">
        <f>IF(AND('领用录入（明细）'!D:D=$F$4,'领用录入（明细）'!C:C&gt;=$J$4,'领用录入（明细）'!C:C&lt;=$L$4),ROW(),"-")</f>
        <v>-</v>
      </c>
    </row>
    <row r="43447" customHeight="1" spans="2:2">
      <c r="B43447" s="62" t="str">
        <f>IF(AND('领用录入（明细）'!D:D=$F$4,'领用录入（明细）'!C:C&gt;=$J$4,'领用录入（明细）'!C:C&lt;=$L$4),ROW(),"-")</f>
        <v>-</v>
      </c>
    </row>
    <row r="43448" customHeight="1" spans="2:2">
      <c r="B43448" s="62" t="str">
        <f>IF(AND('领用录入（明细）'!D:D=$F$4,'领用录入（明细）'!C:C&gt;=$J$4,'领用录入（明细）'!C:C&lt;=$L$4),ROW(),"-")</f>
        <v>-</v>
      </c>
    </row>
    <row r="43449" customHeight="1" spans="2:2">
      <c r="B43449" s="62" t="str">
        <f>IF(AND('领用录入（明细）'!D:D=$F$4,'领用录入（明细）'!C:C&gt;=$J$4,'领用录入（明细）'!C:C&lt;=$L$4),ROW(),"-")</f>
        <v>-</v>
      </c>
    </row>
    <row r="43450" customHeight="1" spans="2:2">
      <c r="B43450" s="62" t="str">
        <f>IF(AND('领用录入（明细）'!D:D=$F$4,'领用录入（明细）'!C:C&gt;=$J$4,'领用录入（明细）'!C:C&lt;=$L$4),ROW(),"-")</f>
        <v>-</v>
      </c>
    </row>
    <row r="43451" customHeight="1" spans="2:2">
      <c r="B43451" s="62" t="str">
        <f>IF(AND('领用录入（明细）'!D:D=$F$4,'领用录入（明细）'!C:C&gt;=$J$4,'领用录入（明细）'!C:C&lt;=$L$4),ROW(),"-")</f>
        <v>-</v>
      </c>
    </row>
    <row r="43452" customHeight="1" spans="2:2">
      <c r="B43452" s="62" t="str">
        <f>IF(AND('领用录入（明细）'!D:D=$F$4,'领用录入（明细）'!C:C&gt;=$J$4,'领用录入（明细）'!C:C&lt;=$L$4),ROW(),"-")</f>
        <v>-</v>
      </c>
    </row>
    <row r="43453" customHeight="1" spans="2:2">
      <c r="B43453" s="62" t="str">
        <f>IF(AND('领用录入（明细）'!D:D=$F$4,'领用录入（明细）'!C:C&gt;=$J$4,'领用录入（明细）'!C:C&lt;=$L$4),ROW(),"-")</f>
        <v>-</v>
      </c>
    </row>
    <row r="43454" customHeight="1" spans="2:2">
      <c r="B43454" s="62" t="str">
        <f>IF(AND('领用录入（明细）'!D:D=$F$4,'领用录入（明细）'!C:C&gt;=$J$4,'领用录入（明细）'!C:C&lt;=$L$4),ROW(),"-")</f>
        <v>-</v>
      </c>
    </row>
    <row r="43455" customHeight="1" spans="2:2">
      <c r="B43455" s="62" t="str">
        <f>IF(AND('领用录入（明细）'!D:D=$F$4,'领用录入（明细）'!C:C&gt;=$J$4,'领用录入（明细）'!C:C&lt;=$L$4),ROW(),"-")</f>
        <v>-</v>
      </c>
    </row>
    <row r="43456" customHeight="1" spans="2:2">
      <c r="B43456" s="62" t="str">
        <f>IF(AND('领用录入（明细）'!D:D=$F$4,'领用录入（明细）'!C:C&gt;=$J$4,'领用录入（明细）'!C:C&lt;=$L$4),ROW(),"-")</f>
        <v>-</v>
      </c>
    </row>
    <row r="43457" customHeight="1" spans="2:2">
      <c r="B43457" s="62" t="str">
        <f>IF(AND('领用录入（明细）'!D:D=$F$4,'领用录入（明细）'!C:C&gt;=$J$4,'领用录入（明细）'!C:C&lt;=$L$4),ROW(),"-")</f>
        <v>-</v>
      </c>
    </row>
    <row r="43458" customHeight="1" spans="2:2">
      <c r="B43458" s="62" t="str">
        <f>IF(AND('领用录入（明细）'!D:D=$F$4,'领用录入（明细）'!C:C&gt;=$J$4,'领用录入（明细）'!C:C&lt;=$L$4),ROW(),"-")</f>
        <v>-</v>
      </c>
    </row>
    <row r="43459" customHeight="1" spans="2:2">
      <c r="B43459" s="62" t="str">
        <f>IF(AND('领用录入（明细）'!D:D=$F$4,'领用录入（明细）'!C:C&gt;=$J$4,'领用录入（明细）'!C:C&lt;=$L$4),ROW(),"-")</f>
        <v>-</v>
      </c>
    </row>
    <row r="43460" customHeight="1" spans="2:2">
      <c r="B43460" s="62" t="str">
        <f>IF(AND('领用录入（明细）'!D:D=$F$4,'领用录入（明细）'!C:C&gt;=$J$4,'领用录入（明细）'!C:C&lt;=$L$4),ROW(),"-")</f>
        <v>-</v>
      </c>
    </row>
    <row r="43461" customHeight="1" spans="2:2">
      <c r="B43461" s="62" t="str">
        <f>IF(AND('领用录入（明细）'!D:D=$F$4,'领用录入（明细）'!C:C&gt;=$J$4,'领用录入（明细）'!C:C&lt;=$L$4),ROW(),"-")</f>
        <v>-</v>
      </c>
    </row>
    <row r="43462" customHeight="1" spans="2:2">
      <c r="B43462" s="62" t="str">
        <f>IF(AND('领用录入（明细）'!D:D=$F$4,'领用录入（明细）'!C:C&gt;=$J$4,'领用录入（明细）'!C:C&lt;=$L$4),ROW(),"-")</f>
        <v>-</v>
      </c>
    </row>
    <row r="43463" customHeight="1" spans="2:2">
      <c r="B43463" s="62" t="str">
        <f>IF(AND('领用录入（明细）'!D:D=$F$4,'领用录入（明细）'!C:C&gt;=$J$4,'领用录入（明细）'!C:C&lt;=$L$4),ROW(),"-")</f>
        <v>-</v>
      </c>
    </row>
    <row r="43464" customHeight="1" spans="2:2">
      <c r="B43464" s="62" t="str">
        <f>IF(AND('领用录入（明细）'!D:D=$F$4,'领用录入（明细）'!C:C&gt;=$J$4,'领用录入（明细）'!C:C&lt;=$L$4),ROW(),"-")</f>
        <v>-</v>
      </c>
    </row>
    <row r="43465" customHeight="1" spans="2:2">
      <c r="B43465" s="62" t="str">
        <f>IF(AND('领用录入（明细）'!D:D=$F$4,'领用录入（明细）'!C:C&gt;=$J$4,'领用录入（明细）'!C:C&lt;=$L$4),ROW(),"-")</f>
        <v>-</v>
      </c>
    </row>
    <row r="43466" customHeight="1" spans="2:2">
      <c r="B43466" s="62" t="str">
        <f>IF(AND('领用录入（明细）'!D:D=$F$4,'领用录入（明细）'!C:C&gt;=$J$4,'领用录入（明细）'!C:C&lt;=$L$4),ROW(),"-")</f>
        <v>-</v>
      </c>
    </row>
    <row r="43467" customHeight="1" spans="2:2">
      <c r="B43467" s="62" t="str">
        <f>IF(AND('领用录入（明细）'!D:D=$F$4,'领用录入（明细）'!C:C&gt;=$J$4,'领用录入（明细）'!C:C&lt;=$L$4),ROW(),"-")</f>
        <v>-</v>
      </c>
    </row>
    <row r="43468" customHeight="1" spans="2:2">
      <c r="B43468" s="62" t="str">
        <f>IF(AND('领用录入（明细）'!D:D=$F$4,'领用录入（明细）'!C:C&gt;=$J$4,'领用录入（明细）'!C:C&lt;=$L$4),ROW(),"-")</f>
        <v>-</v>
      </c>
    </row>
    <row r="43469" customHeight="1" spans="2:2">
      <c r="B43469" s="62" t="str">
        <f>IF(AND('领用录入（明细）'!D:D=$F$4,'领用录入（明细）'!C:C&gt;=$J$4,'领用录入（明细）'!C:C&lt;=$L$4),ROW(),"-")</f>
        <v>-</v>
      </c>
    </row>
    <row r="43470" customHeight="1" spans="2:2">
      <c r="B43470" s="62" t="str">
        <f>IF(AND('领用录入（明细）'!D:D=$F$4,'领用录入（明细）'!C:C&gt;=$J$4,'领用录入（明细）'!C:C&lt;=$L$4),ROW(),"-")</f>
        <v>-</v>
      </c>
    </row>
    <row r="43471" customHeight="1" spans="2:2">
      <c r="B43471" s="62" t="str">
        <f>IF(AND('领用录入（明细）'!D:D=$F$4,'领用录入（明细）'!C:C&gt;=$J$4,'领用录入（明细）'!C:C&lt;=$L$4),ROW(),"-")</f>
        <v>-</v>
      </c>
    </row>
    <row r="43472" customHeight="1" spans="2:2">
      <c r="B43472" s="62" t="str">
        <f>IF(AND('领用录入（明细）'!D:D=$F$4,'领用录入（明细）'!C:C&gt;=$J$4,'领用录入（明细）'!C:C&lt;=$L$4),ROW(),"-")</f>
        <v>-</v>
      </c>
    </row>
    <row r="43473" customHeight="1" spans="2:2">
      <c r="B43473" s="62" t="str">
        <f>IF(AND('领用录入（明细）'!D:D=$F$4,'领用录入（明细）'!C:C&gt;=$J$4,'领用录入（明细）'!C:C&lt;=$L$4),ROW(),"-")</f>
        <v>-</v>
      </c>
    </row>
    <row r="43474" customHeight="1" spans="2:2">
      <c r="B43474" s="62" t="str">
        <f>IF(AND('领用录入（明细）'!D:D=$F$4,'领用录入（明细）'!C:C&gt;=$J$4,'领用录入（明细）'!C:C&lt;=$L$4),ROW(),"-")</f>
        <v>-</v>
      </c>
    </row>
    <row r="43475" customHeight="1" spans="2:2">
      <c r="B43475" s="62" t="str">
        <f>IF(AND('领用录入（明细）'!D:D=$F$4,'领用录入（明细）'!C:C&gt;=$J$4,'领用录入（明细）'!C:C&lt;=$L$4),ROW(),"-")</f>
        <v>-</v>
      </c>
    </row>
    <row r="43476" customHeight="1" spans="2:2">
      <c r="B43476" s="62" t="str">
        <f>IF(AND('领用录入（明细）'!D:D=$F$4,'领用录入（明细）'!C:C&gt;=$J$4,'领用录入（明细）'!C:C&lt;=$L$4),ROW(),"-")</f>
        <v>-</v>
      </c>
    </row>
    <row r="43477" customHeight="1" spans="2:2">
      <c r="B43477" s="62" t="str">
        <f>IF(AND('领用录入（明细）'!D:D=$F$4,'领用录入（明细）'!C:C&gt;=$J$4,'领用录入（明细）'!C:C&lt;=$L$4),ROW(),"-")</f>
        <v>-</v>
      </c>
    </row>
    <row r="43478" customHeight="1" spans="2:2">
      <c r="B43478" s="62" t="str">
        <f>IF(AND('领用录入（明细）'!D:D=$F$4,'领用录入（明细）'!C:C&gt;=$J$4,'领用录入（明细）'!C:C&lt;=$L$4),ROW(),"-")</f>
        <v>-</v>
      </c>
    </row>
    <row r="43479" customHeight="1" spans="2:2">
      <c r="B43479" s="62" t="str">
        <f>IF(AND('领用录入（明细）'!D:D=$F$4,'领用录入（明细）'!C:C&gt;=$J$4,'领用录入（明细）'!C:C&lt;=$L$4),ROW(),"-")</f>
        <v>-</v>
      </c>
    </row>
    <row r="43480" customHeight="1" spans="2:2">
      <c r="B43480" s="62" t="str">
        <f>IF(AND('领用录入（明细）'!D:D=$F$4,'领用录入（明细）'!C:C&gt;=$J$4,'领用录入（明细）'!C:C&lt;=$L$4),ROW(),"-")</f>
        <v>-</v>
      </c>
    </row>
    <row r="43481" customHeight="1" spans="2:2">
      <c r="B43481" s="62" t="str">
        <f>IF(AND('领用录入（明细）'!D:D=$F$4,'领用录入（明细）'!C:C&gt;=$J$4,'领用录入（明细）'!C:C&lt;=$L$4),ROW(),"-")</f>
        <v>-</v>
      </c>
    </row>
    <row r="43482" customHeight="1" spans="2:2">
      <c r="B43482" s="62" t="str">
        <f>IF(AND('领用录入（明细）'!D:D=$F$4,'领用录入（明细）'!C:C&gt;=$J$4,'领用录入（明细）'!C:C&lt;=$L$4),ROW(),"-")</f>
        <v>-</v>
      </c>
    </row>
    <row r="43483" customHeight="1" spans="2:2">
      <c r="B43483" s="62" t="str">
        <f>IF(AND('领用录入（明细）'!D:D=$F$4,'领用录入（明细）'!C:C&gt;=$J$4,'领用录入（明细）'!C:C&lt;=$L$4),ROW(),"-")</f>
        <v>-</v>
      </c>
    </row>
    <row r="43484" customHeight="1" spans="2:2">
      <c r="B43484" s="62" t="str">
        <f>IF(AND('领用录入（明细）'!D:D=$F$4,'领用录入（明细）'!C:C&gt;=$J$4,'领用录入（明细）'!C:C&lt;=$L$4),ROW(),"-")</f>
        <v>-</v>
      </c>
    </row>
    <row r="43485" customHeight="1" spans="2:2">
      <c r="B43485" s="62" t="str">
        <f>IF(AND('领用录入（明细）'!D:D=$F$4,'领用录入（明细）'!C:C&gt;=$J$4,'领用录入（明细）'!C:C&lt;=$L$4),ROW(),"-")</f>
        <v>-</v>
      </c>
    </row>
    <row r="43486" customHeight="1" spans="2:2">
      <c r="B43486" s="62" t="str">
        <f>IF(AND('领用录入（明细）'!D:D=$F$4,'领用录入（明细）'!C:C&gt;=$J$4,'领用录入（明细）'!C:C&lt;=$L$4),ROW(),"-")</f>
        <v>-</v>
      </c>
    </row>
    <row r="43487" customHeight="1" spans="2:2">
      <c r="B43487" s="62" t="str">
        <f>IF(AND('领用录入（明细）'!D:D=$F$4,'领用录入（明细）'!C:C&gt;=$J$4,'领用录入（明细）'!C:C&lt;=$L$4),ROW(),"-")</f>
        <v>-</v>
      </c>
    </row>
    <row r="43488" customHeight="1" spans="2:2">
      <c r="B43488" s="62" t="str">
        <f>IF(AND('领用录入（明细）'!D:D=$F$4,'领用录入（明细）'!C:C&gt;=$J$4,'领用录入（明细）'!C:C&lt;=$L$4),ROW(),"-")</f>
        <v>-</v>
      </c>
    </row>
    <row r="43489" customHeight="1" spans="2:2">
      <c r="B43489" s="62" t="str">
        <f>IF(AND('领用录入（明细）'!D:D=$F$4,'领用录入（明细）'!C:C&gt;=$J$4,'领用录入（明细）'!C:C&lt;=$L$4),ROW(),"-")</f>
        <v>-</v>
      </c>
    </row>
    <row r="43490" customHeight="1" spans="2:2">
      <c r="B43490" s="62" t="str">
        <f>IF(AND('领用录入（明细）'!D:D=$F$4,'领用录入（明细）'!C:C&gt;=$J$4,'领用录入（明细）'!C:C&lt;=$L$4),ROW(),"-")</f>
        <v>-</v>
      </c>
    </row>
    <row r="43491" customHeight="1" spans="2:2">
      <c r="B43491" s="62" t="str">
        <f>IF(AND('领用录入（明细）'!D:D=$F$4,'领用录入（明细）'!C:C&gt;=$J$4,'领用录入（明细）'!C:C&lt;=$L$4),ROW(),"-")</f>
        <v>-</v>
      </c>
    </row>
    <row r="43492" customHeight="1" spans="2:2">
      <c r="B43492" s="62" t="str">
        <f>IF(AND('领用录入（明细）'!D:D=$F$4,'领用录入（明细）'!C:C&gt;=$J$4,'领用录入（明细）'!C:C&lt;=$L$4),ROW(),"-")</f>
        <v>-</v>
      </c>
    </row>
    <row r="43493" customHeight="1" spans="2:2">
      <c r="B43493" s="62" t="str">
        <f>IF(AND('领用录入（明细）'!D:D=$F$4,'领用录入（明细）'!C:C&gt;=$J$4,'领用录入（明细）'!C:C&lt;=$L$4),ROW(),"-")</f>
        <v>-</v>
      </c>
    </row>
    <row r="43494" customHeight="1" spans="2:2">
      <c r="B43494" s="62" t="str">
        <f>IF(AND('领用录入（明细）'!D:D=$F$4,'领用录入（明细）'!C:C&gt;=$J$4,'领用录入（明细）'!C:C&lt;=$L$4),ROW(),"-")</f>
        <v>-</v>
      </c>
    </row>
    <row r="43495" customHeight="1" spans="2:2">
      <c r="B43495" s="62" t="str">
        <f>IF(AND('领用录入（明细）'!D:D=$F$4,'领用录入（明细）'!C:C&gt;=$J$4,'领用录入（明细）'!C:C&lt;=$L$4),ROW(),"-")</f>
        <v>-</v>
      </c>
    </row>
    <row r="43496" customHeight="1" spans="2:2">
      <c r="B43496" s="62" t="str">
        <f>IF(AND('领用录入（明细）'!D:D=$F$4,'领用录入（明细）'!C:C&gt;=$J$4,'领用录入（明细）'!C:C&lt;=$L$4),ROW(),"-")</f>
        <v>-</v>
      </c>
    </row>
    <row r="43497" customHeight="1" spans="2:2">
      <c r="B43497" s="62" t="str">
        <f>IF(AND('领用录入（明细）'!D:D=$F$4,'领用录入（明细）'!C:C&gt;=$J$4,'领用录入（明细）'!C:C&lt;=$L$4),ROW(),"-")</f>
        <v>-</v>
      </c>
    </row>
    <row r="43498" customHeight="1" spans="2:2">
      <c r="B43498" s="62" t="str">
        <f>IF(AND('领用录入（明细）'!D:D=$F$4,'领用录入（明细）'!C:C&gt;=$J$4,'领用录入（明细）'!C:C&lt;=$L$4),ROW(),"-")</f>
        <v>-</v>
      </c>
    </row>
    <row r="43499" customHeight="1" spans="2:2">
      <c r="B43499" s="62" t="str">
        <f>IF(AND('领用录入（明细）'!D:D=$F$4,'领用录入（明细）'!C:C&gt;=$J$4,'领用录入（明细）'!C:C&lt;=$L$4),ROW(),"-")</f>
        <v>-</v>
      </c>
    </row>
    <row r="43500" customHeight="1" spans="2:2">
      <c r="B43500" s="62" t="str">
        <f>IF(AND('领用录入（明细）'!D:D=$F$4,'领用录入（明细）'!C:C&gt;=$J$4,'领用录入（明细）'!C:C&lt;=$L$4),ROW(),"-")</f>
        <v>-</v>
      </c>
    </row>
    <row r="43501" customHeight="1" spans="2:2">
      <c r="B43501" s="62" t="str">
        <f>IF(AND('领用录入（明细）'!D:D=$F$4,'领用录入（明细）'!C:C&gt;=$J$4,'领用录入（明细）'!C:C&lt;=$L$4),ROW(),"-")</f>
        <v>-</v>
      </c>
    </row>
    <row r="43502" customHeight="1" spans="2:2">
      <c r="B43502" s="62" t="str">
        <f>IF(AND('领用录入（明细）'!D:D=$F$4,'领用录入（明细）'!C:C&gt;=$J$4,'领用录入（明细）'!C:C&lt;=$L$4),ROW(),"-")</f>
        <v>-</v>
      </c>
    </row>
    <row r="43503" customHeight="1" spans="2:2">
      <c r="B43503" s="62" t="str">
        <f>IF(AND('领用录入（明细）'!D:D=$F$4,'领用录入（明细）'!C:C&gt;=$J$4,'领用录入（明细）'!C:C&lt;=$L$4),ROW(),"-")</f>
        <v>-</v>
      </c>
    </row>
    <row r="43504" customHeight="1" spans="2:2">
      <c r="B43504" s="62" t="str">
        <f>IF(AND('领用录入（明细）'!D:D=$F$4,'领用录入（明细）'!C:C&gt;=$J$4,'领用录入（明细）'!C:C&lt;=$L$4),ROW(),"-")</f>
        <v>-</v>
      </c>
    </row>
    <row r="43505" customHeight="1" spans="2:2">
      <c r="B43505" s="62" t="str">
        <f>IF(AND('领用录入（明细）'!D:D=$F$4,'领用录入（明细）'!C:C&gt;=$J$4,'领用录入（明细）'!C:C&lt;=$L$4),ROW(),"-")</f>
        <v>-</v>
      </c>
    </row>
    <row r="43506" customHeight="1" spans="2:2">
      <c r="B43506" s="62" t="str">
        <f>IF(AND('领用录入（明细）'!D:D=$F$4,'领用录入（明细）'!C:C&gt;=$J$4,'领用录入（明细）'!C:C&lt;=$L$4),ROW(),"-")</f>
        <v>-</v>
      </c>
    </row>
    <row r="43507" customHeight="1" spans="2:2">
      <c r="B43507" s="62" t="str">
        <f>IF(AND('领用录入（明细）'!D:D=$F$4,'领用录入（明细）'!C:C&gt;=$J$4,'领用录入（明细）'!C:C&lt;=$L$4),ROW(),"-")</f>
        <v>-</v>
      </c>
    </row>
    <row r="43508" customHeight="1" spans="2:2">
      <c r="B43508" s="62" t="str">
        <f>IF(AND('领用录入（明细）'!D:D=$F$4,'领用录入（明细）'!C:C&gt;=$J$4,'领用录入（明细）'!C:C&lt;=$L$4),ROW(),"-")</f>
        <v>-</v>
      </c>
    </row>
    <row r="43509" customHeight="1" spans="2:2">
      <c r="B43509" s="62" t="str">
        <f>IF(AND('领用录入（明细）'!D:D=$F$4,'领用录入（明细）'!C:C&gt;=$J$4,'领用录入（明细）'!C:C&lt;=$L$4),ROW(),"-")</f>
        <v>-</v>
      </c>
    </row>
    <row r="43510" customHeight="1" spans="2:2">
      <c r="B43510" s="62" t="str">
        <f>IF(AND('领用录入（明细）'!D:D=$F$4,'领用录入（明细）'!C:C&gt;=$J$4,'领用录入（明细）'!C:C&lt;=$L$4),ROW(),"-")</f>
        <v>-</v>
      </c>
    </row>
    <row r="43511" customHeight="1" spans="2:2">
      <c r="B43511" s="62" t="str">
        <f>IF(AND('领用录入（明细）'!D:D=$F$4,'领用录入（明细）'!C:C&gt;=$J$4,'领用录入（明细）'!C:C&lt;=$L$4),ROW(),"-")</f>
        <v>-</v>
      </c>
    </row>
    <row r="43512" customHeight="1" spans="2:2">
      <c r="B43512" s="62" t="str">
        <f>IF(AND('领用录入（明细）'!D:D=$F$4,'领用录入（明细）'!C:C&gt;=$J$4,'领用录入（明细）'!C:C&lt;=$L$4),ROW(),"-")</f>
        <v>-</v>
      </c>
    </row>
    <row r="43513" customHeight="1" spans="2:2">
      <c r="B43513" s="62" t="str">
        <f>IF(AND('领用录入（明细）'!D:D=$F$4,'领用录入（明细）'!C:C&gt;=$J$4,'领用录入（明细）'!C:C&lt;=$L$4),ROW(),"-")</f>
        <v>-</v>
      </c>
    </row>
    <row r="43514" customHeight="1" spans="2:2">
      <c r="B43514" s="62" t="str">
        <f>IF(AND('领用录入（明细）'!D:D=$F$4,'领用录入（明细）'!C:C&gt;=$J$4,'领用录入（明细）'!C:C&lt;=$L$4),ROW(),"-")</f>
        <v>-</v>
      </c>
    </row>
    <row r="43515" customHeight="1" spans="2:2">
      <c r="B43515" s="62" t="str">
        <f>IF(AND('领用录入（明细）'!D:D=$F$4,'领用录入（明细）'!C:C&gt;=$J$4,'领用录入（明细）'!C:C&lt;=$L$4),ROW(),"-")</f>
        <v>-</v>
      </c>
    </row>
    <row r="43516" customHeight="1" spans="2:2">
      <c r="B43516" s="62" t="str">
        <f>IF(AND('领用录入（明细）'!D:D=$F$4,'领用录入（明细）'!C:C&gt;=$J$4,'领用录入（明细）'!C:C&lt;=$L$4),ROW(),"-")</f>
        <v>-</v>
      </c>
    </row>
    <row r="43517" customHeight="1" spans="2:2">
      <c r="B43517" s="62" t="str">
        <f>IF(AND('领用录入（明细）'!D:D=$F$4,'领用录入（明细）'!C:C&gt;=$J$4,'领用录入（明细）'!C:C&lt;=$L$4),ROW(),"-")</f>
        <v>-</v>
      </c>
    </row>
    <row r="43518" customHeight="1" spans="2:2">
      <c r="B43518" s="62" t="str">
        <f>IF(AND('领用录入（明细）'!D:D=$F$4,'领用录入（明细）'!C:C&gt;=$J$4,'领用录入（明细）'!C:C&lt;=$L$4),ROW(),"-")</f>
        <v>-</v>
      </c>
    </row>
    <row r="43519" customHeight="1" spans="2:2">
      <c r="B43519" s="62" t="str">
        <f>IF(AND('领用录入（明细）'!D:D=$F$4,'领用录入（明细）'!C:C&gt;=$J$4,'领用录入（明细）'!C:C&lt;=$L$4),ROW(),"-")</f>
        <v>-</v>
      </c>
    </row>
    <row r="43520" customHeight="1" spans="2:2">
      <c r="B43520" s="62" t="str">
        <f>IF(AND('领用录入（明细）'!D:D=$F$4,'领用录入（明细）'!C:C&gt;=$J$4,'领用录入（明细）'!C:C&lt;=$L$4),ROW(),"-")</f>
        <v>-</v>
      </c>
    </row>
    <row r="43521" customHeight="1" spans="2:2">
      <c r="B43521" s="62" t="str">
        <f>IF(AND('领用录入（明细）'!D:D=$F$4,'领用录入（明细）'!C:C&gt;=$J$4,'领用录入（明细）'!C:C&lt;=$L$4),ROW(),"-")</f>
        <v>-</v>
      </c>
    </row>
    <row r="43522" customHeight="1" spans="2:2">
      <c r="B43522" s="62" t="str">
        <f>IF(AND('领用录入（明细）'!D:D=$F$4,'领用录入（明细）'!C:C&gt;=$J$4,'领用录入（明细）'!C:C&lt;=$L$4),ROW(),"-")</f>
        <v>-</v>
      </c>
    </row>
    <row r="43523" customHeight="1" spans="2:2">
      <c r="B43523" s="62" t="str">
        <f>IF(AND('领用录入（明细）'!D:D=$F$4,'领用录入（明细）'!C:C&gt;=$J$4,'领用录入（明细）'!C:C&lt;=$L$4),ROW(),"-")</f>
        <v>-</v>
      </c>
    </row>
    <row r="43524" customHeight="1" spans="2:2">
      <c r="B43524" s="62" t="str">
        <f>IF(AND('领用录入（明细）'!D:D=$F$4,'领用录入（明细）'!C:C&gt;=$J$4,'领用录入（明细）'!C:C&lt;=$L$4),ROW(),"-")</f>
        <v>-</v>
      </c>
    </row>
    <row r="43525" customHeight="1" spans="2:2">
      <c r="B43525" s="62" t="str">
        <f>IF(AND('领用录入（明细）'!D:D=$F$4,'领用录入（明细）'!C:C&gt;=$J$4,'领用录入（明细）'!C:C&lt;=$L$4),ROW(),"-")</f>
        <v>-</v>
      </c>
    </row>
    <row r="43526" customHeight="1" spans="2:2">
      <c r="B43526" s="62" t="str">
        <f>IF(AND('领用录入（明细）'!D:D=$F$4,'领用录入（明细）'!C:C&gt;=$J$4,'领用录入（明细）'!C:C&lt;=$L$4),ROW(),"-")</f>
        <v>-</v>
      </c>
    </row>
    <row r="43527" customHeight="1" spans="2:2">
      <c r="B43527" s="62" t="str">
        <f>IF(AND('领用录入（明细）'!D:D=$F$4,'领用录入（明细）'!C:C&gt;=$J$4,'领用录入（明细）'!C:C&lt;=$L$4),ROW(),"-")</f>
        <v>-</v>
      </c>
    </row>
    <row r="43528" customHeight="1" spans="2:2">
      <c r="B43528" s="62" t="str">
        <f>IF(AND('领用录入（明细）'!D:D=$F$4,'领用录入（明细）'!C:C&gt;=$J$4,'领用录入（明细）'!C:C&lt;=$L$4),ROW(),"-")</f>
        <v>-</v>
      </c>
    </row>
    <row r="43529" customHeight="1" spans="2:2">
      <c r="B43529" s="62" t="str">
        <f>IF(AND('领用录入（明细）'!D:D=$F$4,'领用录入（明细）'!C:C&gt;=$J$4,'领用录入（明细）'!C:C&lt;=$L$4),ROW(),"-")</f>
        <v>-</v>
      </c>
    </row>
    <row r="43530" customHeight="1" spans="2:2">
      <c r="B43530" s="62" t="str">
        <f>IF(AND('领用录入（明细）'!D:D=$F$4,'领用录入（明细）'!C:C&gt;=$J$4,'领用录入（明细）'!C:C&lt;=$L$4),ROW(),"-")</f>
        <v>-</v>
      </c>
    </row>
    <row r="43531" customHeight="1" spans="2:2">
      <c r="B43531" s="62" t="str">
        <f>IF(AND('领用录入（明细）'!D:D=$F$4,'领用录入（明细）'!C:C&gt;=$J$4,'领用录入（明细）'!C:C&lt;=$L$4),ROW(),"-")</f>
        <v>-</v>
      </c>
    </row>
    <row r="43532" customHeight="1" spans="2:2">
      <c r="B43532" s="62" t="str">
        <f>IF(AND('领用录入（明细）'!D:D=$F$4,'领用录入（明细）'!C:C&gt;=$J$4,'领用录入（明细）'!C:C&lt;=$L$4),ROW(),"-")</f>
        <v>-</v>
      </c>
    </row>
    <row r="43533" customHeight="1" spans="2:2">
      <c r="B43533" s="62" t="str">
        <f>IF(AND('领用录入（明细）'!D:D=$F$4,'领用录入（明细）'!C:C&gt;=$J$4,'领用录入（明细）'!C:C&lt;=$L$4),ROW(),"-")</f>
        <v>-</v>
      </c>
    </row>
    <row r="43534" customHeight="1" spans="2:2">
      <c r="B43534" s="62" t="str">
        <f>IF(AND('领用录入（明细）'!D:D=$F$4,'领用录入（明细）'!C:C&gt;=$J$4,'领用录入（明细）'!C:C&lt;=$L$4),ROW(),"-")</f>
        <v>-</v>
      </c>
    </row>
    <row r="43535" customHeight="1" spans="2:2">
      <c r="B43535" s="62" t="str">
        <f>IF(AND('领用录入（明细）'!D:D=$F$4,'领用录入（明细）'!C:C&gt;=$J$4,'领用录入（明细）'!C:C&lt;=$L$4),ROW(),"-")</f>
        <v>-</v>
      </c>
    </row>
    <row r="43536" customHeight="1" spans="2:2">
      <c r="B43536" s="62" t="str">
        <f>IF(AND('领用录入（明细）'!D:D=$F$4,'领用录入（明细）'!C:C&gt;=$J$4,'领用录入（明细）'!C:C&lt;=$L$4),ROW(),"-")</f>
        <v>-</v>
      </c>
    </row>
    <row r="43537" customHeight="1" spans="2:2">
      <c r="B43537" s="62" t="str">
        <f>IF(AND('领用录入（明细）'!D:D=$F$4,'领用录入（明细）'!C:C&gt;=$J$4,'领用录入（明细）'!C:C&lt;=$L$4),ROW(),"-")</f>
        <v>-</v>
      </c>
    </row>
    <row r="43538" customHeight="1" spans="2:2">
      <c r="B43538" s="62" t="str">
        <f>IF(AND('领用录入（明细）'!D:D=$F$4,'领用录入（明细）'!C:C&gt;=$J$4,'领用录入（明细）'!C:C&lt;=$L$4),ROW(),"-")</f>
        <v>-</v>
      </c>
    </row>
    <row r="43539" customHeight="1" spans="2:2">
      <c r="B43539" s="62" t="str">
        <f>IF(AND('领用录入（明细）'!D:D=$F$4,'领用录入（明细）'!C:C&gt;=$J$4,'领用录入（明细）'!C:C&lt;=$L$4),ROW(),"-")</f>
        <v>-</v>
      </c>
    </row>
    <row r="43540" customHeight="1" spans="2:2">
      <c r="B43540" s="62" t="str">
        <f>IF(AND('领用录入（明细）'!D:D=$F$4,'领用录入（明细）'!C:C&gt;=$J$4,'领用录入（明细）'!C:C&lt;=$L$4),ROW(),"-")</f>
        <v>-</v>
      </c>
    </row>
    <row r="43541" customHeight="1" spans="2:2">
      <c r="B43541" s="62" t="str">
        <f>IF(AND('领用录入（明细）'!D:D=$F$4,'领用录入（明细）'!C:C&gt;=$J$4,'领用录入（明细）'!C:C&lt;=$L$4),ROW(),"-")</f>
        <v>-</v>
      </c>
    </row>
    <row r="43542" customHeight="1" spans="2:2">
      <c r="B43542" s="62" t="str">
        <f>IF(AND('领用录入（明细）'!D:D=$F$4,'领用录入（明细）'!C:C&gt;=$J$4,'领用录入（明细）'!C:C&lt;=$L$4),ROW(),"-")</f>
        <v>-</v>
      </c>
    </row>
    <row r="43543" customHeight="1" spans="2:2">
      <c r="B43543" s="62" t="str">
        <f>IF(AND('领用录入（明细）'!D:D=$F$4,'领用录入（明细）'!C:C&gt;=$J$4,'领用录入（明细）'!C:C&lt;=$L$4),ROW(),"-")</f>
        <v>-</v>
      </c>
    </row>
    <row r="43544" customHeight="1" spans="2:2">
      <c r="B43544" s="62" t="str">
        <f>IF(AND('领用录入（明细）'!D:D=$F$4,'领用录入（明细）'!C:C&gt;=$J$4,'领用录入（明细）'!C:C&lt;=$L$4),ROW(),"-")</f>
        <v>-</v>
      </c>
    </row>
    <row r="43545" customHeight="1" spans="2:2">
      <c r="B43545" s="62" t="str">
        <f>IF(AND('领用录入（明细）'!D:D=$F$4,'领用录入（明细）'!C:C&gt;=$J$4,'领用录入（明细）'!C:C&lt;=$L$4),ROW(),"-")</f>
        <v>-</v>
      </c>
    </row>
    <row r="43546" customHeight="1" spans="2:2">
      <c r="B43546" s="62" t="str">
        <f>IF(AND('领用录入（明细）'!D:D=$F$4,'领用录入（明细）'!C:C&gt;=$J$4,'领用录入（明细）'!C:C&lt;=$L$4),ROW(),"-")</f>
        <v>-</v>
      </c>
    </row>
    <row r="43547" customHeight="1" spans="2:2">
      <c r="B43547" s="62" t="str">
        <f>IF(AND('领用录入（明细）'!D:D=$F$4,'领用录入（明细）'!C:C&gt;=$J$4,'领用录入（明细）'!C:C&lt;=$L$4),ROW(),"-")</f>
        <v>-</v>
      </c>
    </row>
    <row r="43548" customHeight="1" spans="2:2">
      <c r="B43548" s="62" t="str">
        <f>IF(AND('领用录入（明细）'!D:D=$F$4,'领用录入（明细）'!C:C&gt;=$J$4,'领用录入（明细）'!C:C&lt;=$L$4),ROW(),"-")</f>
        <v>-</v>
      </c>
    </row>
    <row r="43549" customHeight="1" spans="2:2">
      <c r="B43549" s="62" t="str">
        <f>IF(AND('领用录入（明细）'!D:D=$F$4,'领用录入（明细）'!C:C&gt;=$J$4,'领用录入（明细）'!C:C&lt;=$L$4),ROW(),"-")</f>
        <v>-</v>
      </c>
    </row>
    <row r="43550" customHeight="1" spans="2:2">
      <c r="B43550" s="62" t="str">
        <f>IF(AND('领用录入（明细）'!D:D=$F$4,'领用录入（明细）'!C:C&gt;=$J$4,'领用录入（明细）'!C:C&lt;=$L$4),ROW(),"-")</f>
        <v>-</v>
      </c>
    </row>
    <row r="43551" customHeight="1" spans="2:2">
      <c r="B43551" s="62" t="str">
        <f>IF(AND('领用录入（明细）'!D:D=$F$4,'领用录入（明细）'!C:C&gt;=$J$4,'领用录入（明细）'!C:C&lt;=$L$4),ROW(),"-")</f>
        <v>-</v>
      </c>
    </row>
    <row r="43552" customHeight="1" spans="2:2">
      <c r="B43552" s="62" t="str">
        <f>IF(AND('领用录入（明细）'!D:D=$F$4,'领用录入（明细）'!C:C&gt;=$J$4,'领用录入（明细）'!C:C&lt;=$L$4),ROW(),"-")</f>
        <v>-</v>
      </c>
    </row>
    <row r="43553" customHeight="1" spans="2:2">
      <c r="B43553" s="62" t="str">
        <f>IF(AND('领用录入（明细）'!D:D=$F$4,'领用录入（明细）'!C:C&gt;=$J$4,'领用录入（明细）'!C:C&lt;=$L$4),ROW(),"-")</f>
        <v>-</v>
      </c>
    </row>
    <row r="43554" customHeight="1" spans="2:2">
      <c r="B43554" s="62" t="str">
        <f>IF(AND('领用录入（明细）'!D:D=$F$4,'领用录入（明细）'!C:C&gt;=$J$4,'领用录入（明细）'!C:C&lt;=$L$4),ROW(),"-")</f>
        <v>-</v>
      </c>
    </row>
    <row r="43555" customHeight="1" spans="2:2">
      <c r="B43555" s="62" t="str">
        <f>IF(AND('领用录入（明细）'!D:D=$F$4,'领用录入（明细）'!C:C&gt;=$J$4,'领用录入（明细）'!C:C&lt;=$L$4),ROW(),"-")</f>
        <v>-</v>
      </c>
    </row>
    <row r="43556" customHeight="1" spans="2:2">
      <c r="B43556" s="62" t="str">
        <f>IF(AND('领用录入（明细）'!D:D=$F$4,'领用录入（明细）'!C:C&gt;=$J$4,'领用录入（明细）'!C:C&lt;=$L$4),ROW(),"-")</f>
        <v>-</v>
      </c>
    </row>
    <row r="43557" customHeight="1" spans="2:2">
      <c r="B43557" s="62" t="str">
        <f>IF(AND('领用录入（明细）'!D:D=$F$4,'领用录入（明细）'!C:C&gt;=$J$4,'领用录入（明细）'!C:C&lt;=$L$4),ROW(),"-")</f>
        <v>-</v>
      </c>
    </row>
    <row r="43558" customHeight="1" spans="2:2">
      <c r="B43558" s="62" t="str">
        <f>IF(AND('领用录入（明细）'!D:D=$F$4,'领用录入（明细）'!C:C&gt;=$J$4,'领用录入（明细）'!C:C&lt;=$L$4),ROW(),"-")</f>
        <v>-</v>
      </c>
    </row>
    <row r="43559" customHeight="1" spans="2:2">
      <c r="B43559" s="62" t="str">
        <f>IF(AND('领用录入（明细）'!D:D=$F$4,'领用录入（明细）'!C:C&gt;=$J$4,'领用录入（明细）'!C:C&lt;=$L$4),ROW(),"-")</f>
        <v>-</v>
      </c>
    </row>
    <row r="43560" customHeight="1" spans="2:2">
      <c r="B43560" s="62" t="str">
        <f>IF(AND('领用录入（明细）'!D:D=$F$4,'领用录入（明细）'!C:C&gt;=$J$4,'领用录入（明细）'!C:C&lt;=$L$4),ROW(),"-")</f>
        <v>-</v>
      </c>
    </row>
    <row r="43561" customHeight="1" spans="2:2">
      <c r="B43561" s="62" t="str">
        <f>IF(AND('领用录入（明细）'!D:D=$F$4,'领用录入（明细）'!C:C&gt;=$J$4,'领用录入（明细）'!C:C&lt;=$L$4),ROW(),"-")</f>
        <v>-</v>
      </c>
    </row>
    <row r="43562" customHeight="1" spans="2:2">
      <c r="B43562" s="62" t="str">
        <f>IF(AND('领用录入（明细）'!D:D=$F$4,'领用录入（明细）'!C:C&gt;=$J$4,'领用录入（明细）'!C:C&lt;=$L$4),ROW(),"-")</f>
        <v>-</v>
      </c>
    </row>
    <row r="43563" customHeight="1" spans="2:2">
      <c r="B43563" s="62" t="str">
        <f>IF(AND('领用录入（明细）'!D:D=$F$4,'领用录入（明细）'!C:C&gt;=$J$4,'领用录入（明细）'!C:C&lt;=$L$4),ROW(),"-")</f>
        <v>-</v>
      </c>
    </row>
    <row r="43564" customHeight="1" spans="2:2">
      <c r="B43564" s="62" t="str">
        <f>IF(AND('领用录入（明细）'!D:D=$F$4,'领用录入（明细）'!C:C&gt;=$J$4,'领用录入（明细）'!C:C&lt;=$L$4),ROW(),"-")</f>
        <v>-</v>
      </c>
    </row>
    <row r="43565" customHeight="1" spans="2:2">
      <c r="B43565" s="62" t="str">
        <f>IF(AND('领用录入（明细）'!D:D=$F$4,'领用录入（明细）'!C:C&gt;=$J$4,'领用录入（明细）'!C:C&lt;=$L$4),ROW(),"-")</f>
        <v>-</v>
      </c>
    </row>
    <row r="43566" customHeight="1" spans="2:2">
      <c r="B43566" s="62" t="str">
        <f>IF(AND('领用录入（明细）'!D:D=$F$4,'领用录入（明细）'!C:C&gt;=$J$4,'领用录入（明细）'!C:C&lt;=$L$4),ROW(),"-")</f>
        <v>-</v>
      </c>
    </row>
    <row r="43567" customHeight="1" spans="2:2">
      <c r="B43567" s="62" t="str">
        <f>IF(AND('领用录入（明细）'!D:D=$F$4,'领用录入（明细）'!C:C&gt;=$J$4,'领用录入（明细）'!C:C&lt;=$L$4),ROW(),"-")</f>
        <v>-</v>
      </c>
    </row>
    <row r="43568" customHeight="1" spans="2:2">
      <c r="B43568" s="62" t="str">
        <f>IF(AND('领用录入（明细）'!D:D=$F$4,'领用录入（明细）'!C:C&gt;=$J$4,'领用录入（明细）'!C:C&lt;=$L$4),ROW(),"-")</f>
        <v>-</v>
      </c>
    </row>
    <row r="43569" customHeight="1" spans="2:2">
      <c r="B43569" s="62" t="str">
        <f>IF(AND('领用录入（明细）'!D:D=$F$4,'领用录入（明细）'!C:C&gt;=$J$4,'领用录入（明细）'!C:C&lt;=$L$4),ROW(),"-")</f>
        <v>-</v>
      </c>
    </row>
    <row r="43570" customHeight="1" spans="2:2">
      <c r="B43570" s="62" t="str">
        <f>IF(AND('领用录入（明细）'!D:D=$F$4,'领用录入（明细）'!C:C&gt;=$J$4,'领用录入（明细）'!C:C&lt;=$L$4),ROW(),"-")</f>
        <v>-</v>
      </c>
    </row>
    <row r="43571" customHeight="1" spans="2:2">
      <c r="B43571" s="62" t="str">
        <f>IF(AND('领用录入（明细）'!D:D=$F$4,'领用录入（明细）'!C:C&gt;=$J$4,'领用录入（明细）'!C:C&lt;=$L$4),ROW(),"-")</f>
        <v>-</v>
      </c>
    </row>
    <row r="43572" customHeight="1" spans="2:2">
      <c r="B43572" s="62" t="str">
        <f>IF(AND('领用录入（明细）'!D:D=$F$4,'领用录入（明细）'!C:C&gt;=$J$4,'领用录入（明细）'!C:C&lt;=$L$4),ROW(),"-")</f>
        <v>-</v>
      </c>
    </row>
    <row r="43573" customHeight="1" spans="2:2">
      <c r="B43573" s="62" t="str">
        <f>IF(AND('领用录入（明细）'!D:D=$F$4,'领用录入（明细）'!C:C&gt;=$J$4,'领用录入（明细）'!C:C&lt;=$L$4),ROW(),"-")</f>
        <v>-</v>
      </c>
    </row>
    <row r="43574" customHeight="1" spans="2:2">
      <c r="B43574" s="62" t="str">
        <f>IF(AND('领用录入（明细）'!D:D=$F$4,'领用录入（明细）'!C:C&gt;=$J$4,'领用录入（明细）'!C:C&lt;=$L$4),ROW(),"-")</f>
        <v>-</v>
      </c>
    </row>
    <row r="43575" customHeight="1" spans="2:2">
      <c r="B43575" s="62" t="str">
        <f>IF(AND('领用录入（明细）'!D:D=$F$4,'领用录入（明细）'!C:C&gt;=$J$4,'领用录入（明细）'!C:C&lt;=$L$4),ROW(),"-")</f>
        <v>-</v>
      </c>
    </row>
    <row r="43576" customHeight="1" spans="2:2">
      <c r="B43576" s="62" t="str">
        <f>IF(AND('领用录入（明细）'!D:D=$F$4,'领用录入（明细）'!C:C&gt;=$J$4,'领用录入（明细）'!C:C&lt;=$L$4),ROW(),"-")</f>
        <v>-</v>
      </c>
    </row>
    <row r="43577" customHeight="1" spans="2:2">
      <c r="B43577" s="62" t="str">
        <f>IF(AND('领用录入（明细）'!D:D=$F$4,'领用录入（明细）'!C:C&gt;=$J$4,'领用录入（明细）'!C:C&lt;=$L$4),ROW(),"-")</f>
        <v>-</v>
      </c>
    </row>
    <row r="43578" customHeight="1" spans="2:2">
      <c r="B43578" s="62" t="str">
        <f>IF(AND('领用录入（明细）'!D:D=$F$4,'领用录入（明细）'!C:C&gt;=$J$4,'领用录入（明细）'!C:C&lt;=$L$4),ROW(),"-")</f>
        <v>-</v>
      </c>
    </row>
    <row r="43579" customHeight="1" spans="2:2">
      <c r="B43579" s="62" t="str">
        <f>IF(AND('领用录入（明细）'!D:D=$F$4,'领用录入（明细）'!C:C&gt;=$J$4,'领用录入（明细）'!C:C&lt;=$L$4),ROW(),"-")</f>
        <v>-</v>
      </c>
    </row>
    <row r="43580" customHeight="1" spans="2:2">
      <c r="B43580" s="62" t="str">
        <f>IF(AND('领用录入（明细）'!D:D=$F$4,'领用录入（明细）'!C:C&gt;=$J$4,'领用录入（明细）'!C:C&lt;=$L$4),ROW(),"-")</f>
        <v>-</v>
      </c>
    </row>
    <row r="43581" customHeight="1" spans="2:2">
      <c r="B43581" s="62" t="str">
        <f>IF(AND('领用录入（明细）'!D:D=$F$4,'领用录入（明细）'!C:C&gt;=$J$4,'领用录入（明细）'!C:C&lt;=$L$4),ROW(),"-")</f>
        <v>-</v>
      </c>
    </row>
    <row r="43582" customHeight="1" spans="2:2">
      <c r="B43582" s="62" t="str">
        <f>IF(AND('领用录入（明细）'!D:D=$F$4,'领用录入（明细）'!C:C&gt;=$J$4,'领用录入（明细）'!C:C&lt;=$L$4),ROW(),"-")</f>
        <v>-</v>
      </c>
    </row>
    <row r="43583" customHeight="1" spans="2:2">
      <c r="B43583" s="62" t="str">
        <f>IF(AND('领用录入（明细）'!D:D=$F$4,'领用录入（明细）'!C:C&gt;=$J$4,'领用录入（明细）'!C:C&lt;=$L$4),ROW(),"-")</f>
        <v>-</v>
      </c>
    </row>
    <row r="43584" customHeight="1" spans="2:2">
      <c r="B43584" s="62" t="str">
        <f>IF(AND('领用录入（明细）'!D:D=$F$4,'领用录入（明细）'!C:C&gt;=$J$4,'领用录入（明细）'!C:C&lt;=$L$4),ROW(),"-")</f>
        <v>-</v>
      </c>
    </row>
    <row r="43585" customHeight="1" spans="2:2">
      <c r="B43585" s="62" t="str">
        <f>IF(AND('领用录入（明细）'!D:D=$F$4,'领用录入（明细）'!C:C&gt;=$J$4,'领用录入（明细）'!C:C&lt;=$L$4),ROW(),"-")</f>
        <v>-</v>
      </c>
    </row>
    <row r="43586" customHeight="1" spans="2:2">
      <c r="B43586" s="62" t="str">
        <f>IF(AND('领用录入（明细）'!D:D=$F$4,'领用录入（明细）'!C:C&gt;=$J$4,'领用录入（明细）'!C:C&lt;=$L$4),ROW(),"-")</f>
        <v>-</v>
      </c>
    </row>
    <row r="43587" customHeight="1" spans="2:2">
      <c r="B43587" s="62" t="str">
        <f>IF(AND('领用录入（明细）'!D:D=$F$4,'领用录入（明细）'!C:C&gt;=$J$4,'领用录入（明细）'!C:C&lt;=$L$4),ROW(),"-")</f>
        <v>-</v>
      </c>
    </row>
    <row r="43588" customHeight="1" spans="2:2">
      <c r="B43588" s="62" t="str">
        <f>IF(AND('领用录入（明细）'!D:D=$F$4,'领用录入（明细）'!C:C&gt;=$J$4,'领用录入（明细）'!C:C&lt;=$L$4),ROW(),"-")</f>
        <v>-</v>
      </c>
    </row>
    <row r="43589" customHeight="1" spans="2:2">
      <c r="B43589" s="62" t="str">
        <f>IF(AND('领用录入（明细）'!D:D=$F$4,'领用录入（明细）'!C:C&gt;=$J$4,'领用录入（明细）'!C:C&lt;=$L$4),ROW(),"-")</f>
        <v>-</v>
      </c>
    </row>
    <row r="43590" customHeight="1" spans="2:2">
      <c r="B43590" s="62" t="str">
        <f>IF(AND('领用录入（明细）'!D:D=$F$4,'领用录入（明细）'!C:C&gt;=$J$4,'领用录入（明细）'!C:C&lt;=$L$4),ROW(),"-")</f>
        <v>-</v>
      </c>
    </row>
    <row r="43591" customHeight="1" spans="2:2">
      <c r="B43591" s="62" t="str">
        <f>IF(AND('领用录入（明细）'!D:D=$F$4,'领用录入（明细）'!C:C&gt;=$J$4,'领用录入（明细）'!C:C&lt;=$L$4),ROW(),"-")</f>
        <v>-</v>
      </c>
    </row>
    <row r="43592" customHeight="1" spans="2:2">
      <c r="B43592" s="62" t="str">
        <f>IF(AND('领用录入（明细）'!D:D=$F$4,'领用录入（明细）'!C:C&gt;=$J$4,'领用录入（明细）'!C:C&lt;=$L$4),ROW(),"-")</f>
        <v>-</v>
      </c>
    </row>
    <row r="43593" customHeight="1" spans="2:2">
      <c r="B43593" s="62" t="str">
        <f>IF(AND('领用录入（明细）'!D:D=$F$4,'领用录入（明细）'!C:C&gt;=$J$4,'领用录入（明细）'!C:C&lt;=$L$4),ROW(),"-")</f>
        <v>-</v>
      </c>
    </row>
    <row r="43594" customHeight="1" spans="2:2">
      <c r="B43594" s="62" t="str">
        <f>IF(AND('领用录入（明细）'!D:D=$F$4,'领用录入（明细）'!C:C&gt;=$J$4,'领用录入（明细）'!C:C&lt;=$L$4),ROW(),"-")</f>
        <v>-</v>
      </c>
    </row>
    <row r="43595" customHeight="1" spans="2:2">
      <c r="B43595" s="62" t="str">
        <f>IF(AND('领用录入（明细）'!D:D=$F$4,'领用录入（明细）'!C:C&gt;=$J$4,'领用录入（明细）'!C:C&lt;=$L$4),ROW(),"-")</f>
        <v>-</v>
      </c>
    </row>
    <row r="43596" customHeight="1" spans="2:2">
      <c r="B43596" s="62" t="str">
        <f>IF(AND('领用录入（明细）'!D:D=$F$4,'领用录入（明细）'!C:C&gt;=$J$4,'领用录入（明细）'!C:C&lt;=$L$4),ROW(),"-")</f>
        <v>-</v>
      </c>
    </row>
    <row r="43597" customHeight="1" spans="2:2">
      <c r="B43597" s="62" t="str">
        <f>IF(AND('领用录入（明细）'!D:D=$F$4,'领用录入（明细）'!C:C&gt;=$J$4,'领用录入（明细）'!C:C&lt;=$L$4),ROW(),"-")</f>
        <v>-</v>
      </c>
    </row>
    <row r="43598" customHeight="1" spans="2:2">
      <c r="B43598" s="62" t="str">
        <f>IF(AND('领用录入（明细）'!D:D=$F$4,'领用录入（明细）'!C:C&gt;=$J$4,'领用录入（明细）'!C:C&lt;=$L$4),ROW(),"-")</f>
        <v>-</v>
      </c>
    </row>
    <row r="43599" customHeight="1" spans="2:2">
      <c r="B43599" s="62" t="str">
        <f>IF(AND('领用录入（明细）'!D:D=$F$4,'领用录入（明细）'!C:C&gt;=$J$4,'领用录入（明细）'!C:C&lt;=$L$4),ROW(),"-")</f>
        <v>-</v>
      </c>
    </row>
    <row r="43600" customHeight="1" spans="2:2">
      <c r="B43600" s="62" t="str">
        <f>IF(AND('领用录入（明细）'!D:D=$F$4,'领用录入（明细）'!C:C&gt;=$J$4,'领用录入（明细）'!C:C&lt;=$L$4),ROW(),"-")</f>
        <v>-</v>
      </c>
    </row>
    <row r="43601" customHeight="1" spans="2:2">
      <c r="B43601" s="62" t="str">
        <f>IF(AND('领用录入（明细）'!D:D=$F$4,'领用录入（明细）'!C:C&gt;=$J$4,'领用录入（明细）'!C:C&lt;=$L$4),ROW(),"-")</f>
        <v>-</v>
      </c>
    </row>
    <row r="43602" customHeight="1" spans="2:2">
      <c r="B43602" s="62" t="str">
        <f>IF(AND('领用录入（明细）'!D:D=$F$4,'领用录入（明细）'!C:C&gt;=$J$4,'领用录入（明细）'!C:C&lt;=$L$4),ROW(),"-")</f>
        <v>-</v>
      </c>
    </row>
    <row r="43603" customHeight="1" spans="2:2">
      <c r="B43603" s="62" t="str">
        <f>IF(AND('领用录入（明细）'!D:D=$F$4,'领用录入（明细）'!C:C&gt;=$J$4,'领用录入（明细）'!C:C&lt;=$L$4),ROW(),"-")</f>
        <v>-</v>
      </c>
    </row>
    <row r="43604" customHeight="1" spans="2:2">
      <c r="B43604" s="62" t="str">
        <f>IF(AND('领用录入（明细）'!D:D=$F$4,'领用录入（明细）'!C:C&gt;=$J$4,'领用录入（明细）'!C:C&lt;=$L$4),ROW(),"-")</f>
        <v>-</v>
      </c>
    </row>
    <row r="43605" customHeight="1" spans="2:2">
      <c r="B43605" s="62" t="str">
        <f>IF(AND('领用录入（明细）'!D:D=$F$4,'领用录入（明细）'!C:C&gt;=$J$4,'领用录入（明细）'!C:C&lt;=$L$4),ROW(),"-")</f>
        <v>-</v>
      </c>
    </row>
    <row r="43606" customHeight="1" spans="2:2">
      <c r="B43606" s="62" t="str">
        <f>IF(AND('领用录入（明细）'!D:D=$F$4,'领用录入（明细）'!C:C&gt;=$J$4,'领用录入（明细）'!C:C&lt;=$L$4),ROW(),"-")</f>
        <v>-</v>
      </c>
    </row>
    <row r="43607" customHeight="1" spans="2:2">
      <c r="B43607" s="62" t="str">
        <f>IF(AND('领用录入（明细）'!D:D=$F$4,'领用录入（明细）'!C:C&gt;=$J$4,'领用录入（明细）'!C:C&lt;=$L$4),ROW(),"-")</f>
        <v>-</v>
      </c>
    </row>
    <row r="43608" customHeight="1" spans="2:2">
      <c r="B43608" s="62" t="str">
        <f>IF(AND('领用录入（明细）'!D:D=$F$4,'领用录入（明细）'!C:C&gt;=$J$4,'领用录入（明细）'!C:C&lt;=$L$4),ROW(),"-")</f>
        <v>-</v>
      </c>
    </row>
    <row r="43609" customHeight="1" spans="2:2">
      <c r="B43609" s="62" t="str">
        <f>IF(AND('领用录入（明细）'!D:D=$F$4,'领用录入（明细）'!C:C&gt;=$J$4,'领用录入（明细）'!C:C&lt;=$L$4),ROW(),"-")</f>
        <v>-</v>
      </c>
    </row>
    <row r="43610" customHeight="1" spans="2:2">
      <c r="B43610" s="62" t="str">
        <f>IF(AND('领用录入（明细）'!D:D=$F$4,'领用录入（明细）'!C:C&gt;=$J$4,'领用录入（明细）'!C:C&lt;=$L$4),ROW(),"-")</f>
        <v>-</v>
      </c>
    </row>
    <row r="43611" customHeight="1" spans="2:2">
      <c r="B43611" s="62" t="str">
        <f>IF(AND('领用录入（明细）'!D:D=$F$4,'领用录入（明细）'!C:C&gt;=$J$4,'领用录入（明细）'!C:C&lt;=$L$4),ROW(),"-")</f>
        <v>-</v>
      </c>
    </row>
    <row r="43612" customHeight="1" spans="2:2">
      <c r="B43612" s="62" t="str">
        <f>IF(AND('领用录入（明细）'!D:D=$F$4,'领用录入（明细）'!C:C&gt;=$J$4,'领用录入（明细）'!C:C&lt;=$L$4),ROW(),"-")</f>
        <v>-</v>
      </c>
    </row>
    <row r="43613" customHeight="1" spans="2:2">
      <c r="B43613" s="62" t="str">
        <f>IF(AND('领用录入（明细）'!D:D=$F$4,'领用录入（明细）'!C:C&gt;=$J$4,'领用录入（明细）'!C:C&lt;=$L$4),ROW(),"-")</f>
        <v>-</v>
      </c>
    </row>
    <row r="43614" customHeight="1" spans="2:2">
      <c r="B43614" s="62" t="str">
        <f>IF(AND('领用录入（明细）'!D:D=$F$4,'领用录入（明细）'!C:C&gt;=$J$4,'领用录入（明细）'!C:C&lt;=$L$4),ROW(),"-")</f>
        <v>-</v>
      </c>
    </row>
    <row r="43615" customHeight="1" spans="2:2">
      <c r="B43615" s="62" t="str">
        <f>IF(AND('领用录入（明细）'!D:D=$F$4,'领用录入（明细）'!C:C&gt;=$J$4,'领用录入（明细）'!C:C&lt;=$L$4),ROW(),"-")</f>
        <v>-</v>
      </c>
    </row>
    <row r="43616" customHeight="1" spans="2:2">
      <c r="B43616" s="62" t="str">
        <f>IF(AND('领用录入（明细）'!D:D=$F$4,'领用录入（明细）'!C:C&gt;=$J$4,'领用录入（明细）'!C:C&lt;=$L$4),ROW(),"-")</f>
        <v>-</v>
      </c>
    </row>
    <row r="43617" customHeight="1" spans="2:2">
      <c r="B43617" s="62" t="str">
        <f>IF(AND('领用录入（明细）'!D:D=$F$4,'领用录入（明细）'!C:C&gt;=$J$4,'领用录入（明细）'!C:C&lt;=$L$4),ROW(),"-")</f>
        <v>-</v>
      </c>
    </row>
    <row r="43618" customHeight="1" spans="2:2">
      <c r="B43618" s="62" t="str">
        <f>IF(AND('领用录入（明细）'!D:D=$F$4,'领用录入（明细）'!C:C&gt;=$J$4,'领用录入（明细）'!C:C&lt;=$L$4),ROW(),"-")</f>
        <v>-</v>
      </c>
    </row>
    <row r="43619" customHeight="1" spans="2:2">
      <c r="B43619" s="62" t="str">
        <f>IF(AND('领用录入（明细）'!D:D=$F$4,'领用录入（明细）'!C:C&gt;=$J$4,'领用录入（明细）'!C:C&lt;=$L$4),ROW(),"-")</f>
        <v>-</v>
      </c>
    </row>
    <row r="43620" customHeight="1" spans="2:2">
      <c r="B43620" s="62" t="str">
        <f>IF(AND('领用录入（明细）'!D:D=$F$4,'领用录入（明细）'!C:C&gt;=$J$4,'领用录入（明细）'!C:C&lt;=$L$4),ROW(),"-")</f>
        <v>-</v>
      </c>
    </row>
    <row r="43621" customHeight="1" spans="2:2">
      <c r="B43621" s="62" t="str">
        <f>IF(AND('领用录入（明细）'!D:D=$F$4,'领用录入（明细）'!C:C&gt;=$J$4,'领用录入（明细）'!C:C&lt;=$L$4),ROW(),"-")</f>
        <v>-</v>
      </c>
    </row>
    <row r="43622" customHeight="1" spans="2:2">
      <c r="B43622" s="62" t="str">
        <f>IF(AND('领用录入（明细）'!D:D=$F$4,'领用录入（明细）'!C:C&gt;=$J$4,'领用录入（明细）'!C:C&lt;=$L$4),ROW(),"-")</f>
        <v>-</v>
      </c>
    </row>
    <row r="43623" customHeight="1" spans="2:2">
      <c r="B43623" s="62" t="str">
        <f>IF(AND('领用录入（明细）'!D:D=$F$4,'领用录入（明细）'!C:C&gt;=$J$4,'领用录入（明细）'!C:C&lt;=$L$4),ROW(),"-")</f>
        <v>-</v>
      </c>
    </row>
    <row r="43624" customHeight="1" spans="2:2">
      <c r="B43624" s="62" t="str">
        <f>IF(AND('领用录入（明细）'!D:D=$F$4,'领用录入（明细）'!C:C&gt;=$J$4,'领用录入（明细）'!C:C&lt;=$L$4),ROW(),"-")</f>
        <v>-</v>
      </c>
    </row>
    <row r="43625" customHeight="1" spans="2:2">
      <c r="B43625" s="62" t="str">
        <f>IF(AND('领用录入（明细）'!D:D=$F$4,'领用录入（明细）'!C:C&gt;=$J$4,'领用录入（明细）'!C:C&lt;=$L$4),ROW(),"-")</f>
        <v>-</v>
      </c>
    </row>
    <row r="43626" customHeight="1" spans="2:2">
      <c r="B43626" s="62" t="str">
        <f>IF(AND('领用录入（明细）'!D:D=$F$4,'领用录入（明细）'!C:C&gt;=$J$4,'领用录入（明细）'!C:C&lt;=$L$4),ROW(),"-")</f>
        <v>-</v>
      </c>
    </row>
    <row r="43627" customHeight="1" spans="2:2">
      <c r="B43627" s="62" t="str">
        <f>IF(AND('领用录入（明细）'!D:D=$F$4,'领用录入（明细）'!C:C&gt;=$J$4,'领用录入（明细）'!C:C&lt;=$L$4),ROW(),"-")</f>
        <v>-</v>
      </c>
    </row>
    <row r="43628" customHeight="1" spans="2:2">
      <c r="B43628" s="62" t="str">
        <f>IF(AND('领用录入（明细）'!D:D=$F$4,'领用录入（明细）'!C:C&gt;=$J$4,'领用录入（明细）'!C:C&lt;=$L$4),ROW(),"-")</f>
        <v>-</v>
      </c>
    </row>
    <row r="43629" customHeight="1" spans="2:2">
      <c r="B43629" s="62" t="str">
        <f>IF(AND('领用录入（明细）'!D:D=$F$4,'领用录入（明细）'!C:C&gt;=$J$4,'领用录入（明细）'!C:C&lt;=$L$4),ROW(),"-")</f>
        <v>-</v>
      </c>
    </row>
    <row r="43630" customHeight="1" spans="2:2">
      <c r="B43630" s="62" t="str">
        <f>IF(AND('领用录入（明细）'!D:D=$F$4,'领用录入（明细）'!C:C&gt;=$J$4,'领用录入（明细）'!C:C&lt;=$L$4),ROW(),"-")</f>
        <v>-</v>
      </c>
    </row>
    <row r="43631" customHeight="1" spans="2:2">
      <c r="B43631" s="62" t="str">
        <f>IF(AND('领用录入（明细）'!D:D=$F$4,'领用录入（明细）'!C:C&gt;=$J$4,'领用录入（明细）'!C:C&lt;=$L$4),ROW(),"-")</f>
        <v>-</v>
      </c>
    </row>
    <row r="43632" customHeight="1" spans="2:2">
      <c r="B43632" s="62" t="str">
        <f>IF(AND('领用录入（明细）'!D:D=$F$4,'领用录入（明细）'!C:C&gt;=$J$4,'领用录入（明细）'!C:C&lt;=$L$4),ROW(),"-")</f>
        <v>-</v>
      </c>
    </row>
    <row r="43633" customHeight="1" spans="2:2">
      <c r="B43633" s="62" t="str">
        <f>IF(AND('领用录入（明细）'!D:D=$F$4,'领用录入（明细）'!C:C&gt;=$J$4,'领用录入（明细）'!C:C&lt;=$L$4),ROW(),"-")</f>
        <v>-</v>
      </c>
    </row>
    <row r="43634" customHeight="1" spans="2:2">
      <c r="B43634" s="62" t="str">
        <f>IF(AND('领用录入（明细）'!D:D=$F$4,'领用录入（明细）'!C:C&gt;=$J$4,'领用录入（明细）'!C:C&lt;=$L$4),ROW(),"-")</f>
        <v>-</v>
      </c>
    </row>
    <row r="43635" customHeight="1" spans="2:2">
      <c r="B43635" s="62" t="str">
        <f>IF(AND('领用录入（明细）'!D:D=$F$4,'领用录入（明细）'!C:C&gt;=$J$4,'领用录入（明细）'!C:C&lt;=$L$4),ROW(),"-")</f>
        <v>-</v>
      </c>
    </row>
    <row r="43636" customHeight="1" spans="2:2">
      <c r="B43636" s="62" t="str">
        <f>IF(AND('领用录入（明细）'!D:D=$F$4,'领用录入（明细）'!C:C&gt;=$J$4,'领用录入（明细）'!C:C&lt;=$L$4),ROW(),"-")</f>
        <v>-</v>
      </c>
    </row>
    <row r="43637" customHeight="1" spans="2:2">
      <c r="B43637" s="62" t="str">
        <f>IF(AND('领用录入（明细）'!D:D=$F$4,'领用录入（明细）'!C:C&gt;=$J$4,'领用录入（明细）'!C:C&lt;=$L$4),ROW(),"-")</f>
        <v>-</v>
      </c>
    </row>
    <row r="43638" customHeight="1" spans="2:2">
      <c r="B43638" s="62" t="str">
        <f>IF(AND('领用录入（明细）'!D:D=$F$4,'领用录入（明细）'!C:C&gt;=$J$4,'领用录入（明细）'!C:C&lt;=$L$4),ROW(),"-")</f>
        <v>-</v>
      </c>
    </row>
    <row r="43639" customHeight="1" spans="2:2">
      <c r="B43639" s="62" t="str">
        <f>IF(AND('领用录入（明细）'!D:D=$F$4,'领用录入（明细）'!C:C&gt;=$J$4,'领用录入（明细）'!C:C&lt;=$L$4),ROW(),"-")</f>
        <v>-</v>
      </c>
    </row>
    <row r="43640" customHeight="1" spans="2:2">
      <c r="B43640" s="62" t="str">
        <f>IF(AND('领用录入（明细）'!D:D=$F$4,'领用录入（明细）'!C:C&gt;=$J$4,'领用录入（明细）'!C:C&lt;=$L$4),ROW(),"-")</f>
        <v>-</v>
      </c>
    </row>
    <row r="43641" customHeight="1" spans="2:2">
      <c r="B43641" s="62" t="str">
        <f>IF(AND('领用录入（明细）'!D:D=$F$4,'领用录入（明细）'!C:C&gt;=$J$4,'领用录入（明细）'!C:C&lt;=$L$4),ROW(),"-")</f>
        <v>-</v>
      </c>
    </row>
    <row r="43642" customHeight="1" spans="2:2">
      <c r="B43642" s="62" t="str">
        <f>IF(AND('领用录入（明细）'!D:D=$F$4,'领用录入（明细）'!C:C&gt;=$J$4,'领用录入（明细）'!C:C&lt;=$L$4),ROW(),"-")</f>
        <v>-</v>
      </c>
    </row>
    <row r="43643" customHeight="1" spans="2:2">
      <c r="B43643" s="62" t="str">
        <f>IF(AND('领用录入（明细）'!D:D=$F$4,'领用录入（明细）'!C:C&gt;=$J$4,'领用录入（明细）'!C:C&lt;=$L$4),ROW(),"-")</f>
        <v>-</v>
      </c>
    </row>
    <row r="43644" customHeight="1" spans="2:2">
      <c r="B43644" s="62" t="str">
        <f>IF(AND('领用录入（明细）'!D:D=$F$4,'领用录入（明细）'!C:C&gt;=$J$4,'领用录入（明细）'!C:C&lt;=$L$4),ROW(),"-")</f>
        <v>-</v>
      </c>
    </row>
    <row r="43645" customHeight="1" spans="2:2">
      <c r="B43645" s="62" t="str">
        <f>IF(AND('领用录入（明细）'!D:D=$F$4,'领用录入（明细）'!C:C&gt;=$J$4,'领用录入（明细）'!C:C&lt;=$L$4),ROW(),"-")</f>
        <v>-</v>
      </c>
    </row>
    <row r="43646" customHeight="1" spans="2:2">
      <c r="B43646" s="62" t="str">
        <f>IF(AND('领用录入（明细）'!D:D=$F$4,'领用录入（明细）'!C:C&gt;=$J$4,'领用录入（明细）'!C:C&lt;=$L$4),ROW(),"-")</f>
        <v>-</v>
      </c>
    </row>
    <row r="43647" customHeight="1" spans="2:2">
      <c r="B43647" s="62" t="str">
        <f>IF(AND('领用录入（明细）'!D:D=$F$4,'领用录入（明细）'!C:C&gt;=$J$4,'领用录入（明细）'!C:C&lt;=$L$4),ROW(),"-")</f>
        <v>-</v>
      </c>
    </row>
    <row r="43648" customHeight="1" spans="2:2">
      <c r="B43648" s="62" t="str">
        <f>IF(AND('领用录入（明细）'!D:D=$F$4,'领用录入（明细）'!C:C&gt;=$J$4,'领用录入（明细）'!C:C&lt;=$L$4),ROW(),"-")</f>
        <v>-</v>
      </c>
    </row>
    <row r="43649" customHeight="1" spans="2:2">
      <c r="B43649" s="62" t="str">
        <f>IF(AND('领用录入（明细）'!D:D=$F$4,'领用录入（明细）'!C:C&gt;=$J$4,'领用录入（明细）'!C:C&lt;=$L$4),ROW(),"-")</f>
        <v>-</v>
      </c>
    </row>
    <row r="43650" customHeight="1" spans="2:2">
      <c r="B43650" s="62" t="str">
        <f>IF(AND('领用录入（明细）'!D:D=$F$4,'领用录入（明细）'!C:C&gt;=$J$4,'领用录入（明细）'!C:C&lt;=$L$4),ROW(),"-")</f>
        <v>-</v>
      </c>
    </row>
    <row r="43651" customHeight="1" spans="2:2">
      <c r="B43651" s="62" t="str">
        <f>IF(AND('领用录入（明细）'!D:D=$F$4,'领用录入（明细）'!C:C&gt;=$J$4,'领用录入（明细）'!C:C&lt;=$L$4),ROW(),"-")</f>
        <v>-</v>
      </c>
    </row>
    <row r="43652" customHeight="1" spans="2:2">
      <c r="B43652" s="62" t="str">
        <f>IF(AND('领用录入（明细）'!D:D=$F$4,'领用录入（明细）'!C:C&gt;=$J$4,'领用录入（明细）'!C:C&lt;=$L$4),ROW(),"-")</f>
        <v>-</v>
      </c>
    </row>
    <row r="43653" customHeight="1" spans="2:2">
      <c r="B43653" s="62" t="str">
        <f>IF(AND('领用录入（明细）'!D:D=$F$4,'领用录入（明细）'!C:C&gt;=$J$4,'领用录入（明细）'!C:C&lt;=$L$4),ROW(),"-")</f>
        <v>-</v>
      </c>
    </row>
    <row r="43654" customHeight="1" spans="2:2">
      <c r="B43654" s="62" t="str">
        <f>IF(AND('领用录入（明细）'!D:D=$F$4,'领用录入（明细）'!C:C&gt;=$J$4,'领用录入（明细）'!C:C&lt;=$L$4),ROW(),"-")</f>
        <v>-</v>
      </c>
    </row>
    <row r="43655" customHeight="1" spans="2:2">
      <c r="B43655" s="62" t="str">
        <f>IF(AND('领用录入（明细）'!D:D=$F$4,'领用录入（明细）'!C:C&gt;=$J$4,'领用录入（明细）'!C:C&lt;=$L$4),ROW(),"-")</f>
        <v>-</v>
      </c>
    </row>
    <row r="43656" customHeight="1" spans="2:2">
      <c r="B43656" s="62" t="str">
        <f>IF(AND('领用录入（明细）'!D:D=$F$4,'领用录入（明细）'!C:C&gt;=$J$4,'领用录入（明细）'!C:C&lt;=$L$4),ROW(),"-")</f>
        <v>-</v>
      </c>
    </row>
    <row r="43657" customHeight="1" spans="2:2">
      <c r="B43657" s="62" t="str">
        <f>IF(AND('领用录入（明细）'!D:D=$F$4,'领用录入（明细）'!C:C&gt;=$J$4,'领用录入（明细）'!C:C&lt;=$L$4),ROW(),"-")</f>
        <v>-</v>
      </c>
    </row>
    <row r="43658" customHeight="1" spans="2:2">
      <c r="B43658" s="62" t="str">
        <f>IF(AND('领用录入（明细）'!D:D=$F$4,'领用录入（明细）'!C:C&gt;=$J$4,'领用录入（明细）'!C:C&lt;=$L$4),ROW(),"-")</f>
        <v>-</v>
      </c>
    </row>
    <row r="43659" customHeight="1" spans="2:2">
      <c r="B43659" s="62" t="str">
        <f>IF(AND('领用录入（明细）'!D:D=$F$4,'领用录入（明细）'!C:C&gt;=$J$4,'领用录入（明细）'!C:C&lt;=$L$4),ROW(),"-")</f>
        <v>-</v>
      </c>
    </row>
    <row r="43660" customHeight="1" spans="2:2">
      <c r="B43660" s="62" t="str">
        <f>IF(AND('领用录入（明细）'!D:D=$F$4,'领用录入（明细）'!C:C&gt;=$J$4,'领用录入（明细）'!C:C&lt;=$L$4),ROW(),"-")</f>
        <v>-</v>
      </c>
    </row>
    <row r="43661" customHeight="1" spans="2:2">
      <c r="B43661" s="62" t="str">
        <f>IF(AND('领用录入（明细）'!D:D=$F$4,'领用录入（明细）'!C:C&gt;=$J$4,'领用录入（明细）'!C:C&lt;=$L$4),ROW(),"-")</f>
        <v>-</v>
      </c>
    </row>
    <row r="43662" customHeight="1" spans="2:2">
      <c r="B43662" s="62" t="str">
        <f>IF(AND('领用录入（明细）'!D:D=$F$4,'领用录入（明细）'!C:C&gt;=$J$4,'领用录入（明细）'!C:C&lt;=$L$4),ROW(),"-")</f>
        <v>-</v>
      </c>
    </row>
    <row r="43663" customHeight="1" spans="2:2">
      <c r="B43663" s="62" t="str">
        <f>IF(AND('领用录入（明细）'!D:D=$F$4,'领用录入（明细）'!C:C&gt;=$J$4,'领用录入（明细）'!C:C&lt;=$L$4),ROW(),"-")</f>
        <v>-</v>
      </c>
    </row>
    <row r="43664" customHeight="1" spans="2:2">
      <c r="B43664" s="62" t="str">
        <f>IF(AND('领用录入（明细）'!D:D=$F$4,'领用录入（明细）'!C:C&gt;=$J$4,'领用录入（明细）'!C:C&lt;=$L$4),ROW(),"-")</f>
        <v>-</v>
      </c>
    </row>
    <row r="43665" customHeight="1" spans="2:2">
      <c r="B43665" s="62" t="str">
        <f>IF(AND('领用录入（明细）'!D:D=$F$4,'领用录入（明细）'!C:C&gt;=$J$4,'领用录入（明细）'!C:C&lt;=$L$4),ROW(),"-")</f>
        <v>-</v>
      </c>
    </row>
    <row r="43666" customHeight="1" spans="2:2">
      <c r="B43666" s="62" t="str">
        <f>IF(AND('领用录入（明细）'!D:D=$F$4,'领用录入（明细）'!C:C&gt;=$J$4,'领用录入（明细）'!C:C&lt;=$L$4),ROW(),"-")</f>
        <v>-</v>
      </c>
    </row>
    <row r="43667" customHeight="1" spans="2:2">
      <c r="B43667" s="62" t="str">
        <f>IF(AND('领用录入（明细）'!D:D=$F$4,'领用录入（明细）'!C:C&gt;=$J$4,'领用录入（明细）'!C:C&lt;=$L$4),ROW(),"-")</f>
        <v>-</v>
      </c>
    </row>
    <row r="43668" customHeight="1" spans="2:2">
      <c r="B43668" s="62" t="str">
        <f>IF(AND('领用录入（明细）'!D:D=$F$4,'领用录入（明细）'!C:C&gt;=$J$4,'领用录入（明细）'!C:C&lt;=$L$4),ROW(),"-")</f>
        <v>-</v>
      </c>
    </row>
    <row r="43669" customHeight="1" spans="2:2">
      <c r="B43669" s="62" t="str">
        <f>IF(AND('领用录入（明细）'!D:D=$F$4,'领用录入（明细）'!C:C&gt;=$J$4,'领用录入（明细）'!C:C&lt;=$L$4),ROW(),"-")</f>
        <v>-</v>
      </c>
    </row>
    <row r="43670" customHeight="1" spans="2:2">
      <c r="B43670" s="62" t="str">
        <f>IF(AND('领用录入（明细）'!D:D=$F$4,'领用录入（明细）'!C:C&gt;=$J$4,'领用录入（明细）'!C:C&lt;=$L$4),ROW(),"-")</f>
        <v>-</v>
      </c>
    </row>
    <row r="43671" customHeight="1" spans="2:2">
      <c r="B43671" s="62" t="str">
        <f>IF(AND('领用录入（明细）'!D:D=$F$4,'领用录入（明细）'!C:C&gt;=$J$4,'领用录入（明细）'!C:C&lt;=$L$4),ROW(),"-")</f>
        <v>-</v>
      </c>
    </row>
    <row r="43672" customHeight="1" spans="2:2">
      <c r="B43672" s="62" t="str">
        <f>IF(AND('领用录入（明细）'!D:D=$F$4,'领用录入（明细）'!C:C&gt;=$J$4,'领用录入（明细）'!C:C&lt;=$L$4),ROW(),"-")</f>
        <v>-</v>
      </c>
    </row>
    <row r="43673" customHeight="1" spans="2:2">
      <c r="B43673" s="62" t="str">
        <f>IF(AND('领用录入（明细）'!D:D=$F$4,'领用录入（明细）'!C:C&gt;=$J$4,'领用录入（明细）'!C:C&lt;=$L$4),ROW(),"-")</f>
        <v>-</v>
      </c>
    </row>
    <row r="43674" customHeight="1" spans="2:2">
      <c r="B43674" s="62" t="str">
        <f>IF(AND('领用录入（明细）'!D:D=$F$4,'领用录入（明细）'!C:C&gt;=$J$4,'领用录入（明细）'!C:C&lt;=$L$4),ROW(),"-")</f>
        <v>-</v>
      </c>
    </row>
    <row r="43675" customHeight="1" spans="2:2">
      <c r="B43675" s="62" t="str">
        <f>IF(AND('领用录入（明细）'!D:D=$F$4,'领用录入（明细）'!C:C&gt;=$J$4,'领用录入（明细）'!C:C&lt;=$L$4),ROW(),"-")</f>
        <v>-</v>
      </c>
    </row>
    <row r="43676" customHeight="1" spans="2:2">
      <c r="B43676" s="62" t="str">
        <f>IF(AND('领用录入（明细）'!D:D=$F$4,'领用录入（明细）'!C:C&gt;=$J$4,'领用录入（明细）'!C:C&lt;=$L$4),ROW(),"-")</f>
        <v>-</v>
      </c>
    </row>
    <row r="43677" customHeight="1" spans="2:2">
      <c r="B43677" s="62" t="str">
        <f>IF(AND('领用录入（明细）'!D:D=$F$4,'领用录入（明细）'!C:C&gt;=$J$4,'领用录入（明细）'!C:C&lt;=$L$4),ROW(),"-")</f>
        <v>-</v>
      </c>
    </row>
    <row r="43678" customHeight="1" spans="2:2">
      <c r="B43678" s="62" t="str">
        <f>IF(AND('领用录入（明细）'!D:D=$F$4,'领用录入（明细）'!C:C&gt;=$J$4,'领用录入（明细）'!C:C&lt;=$L$4),ROW(),"-")</f>
        <v>-</v>
      </c>
    </row>
    <row r="43679" customHeight="1" spans="2:2">
      <c r="B43679" s="62" t="str">
        <f>IF(AND('领用录入（明细）'!D:D=$F$4,'领用录入（明细）'!C:C&gt;=$J$4,'领用录入（明细）'!C:C&lt;=$L$4),ROW(),"-")</f>
        <v>-</v>
      </c>
    </row>
    <row r="43680" customHeight="1" spans="2:2">
      <c r="B43680" s="62" t="str">
        <f>IF(AND('领用录入（明细）'!D:D=$F$4,'领用录入（明细）'!C:C&gt;=$J$4,'领用录入（明细）'!C:C&lt;=$L$4),ROW(),"-")</f>
        <v>-</v>
      </c>
    </row>
    <row r="43681" customHeight="1" spans="2:2">
      <c r="B43681" s="62" t="str">
        <f>IF(AND('领用录入（明细）'!D:D=$F$4,'领用录入（明细）'!C:C&gt;=$J$4,'领用录入（明细）'!C:C&lt;=$L$4),ROW(),"-")</f>
        <v>-</v>
      </c>
    </row>
    <row r="43682" customHeight="1" spans="2:2">
      <c r="B43682" s="62" t="str">
        <f>IF(AND('领用录入（明细）'!D:D=$F$4,'领用录入（明细）'!C:C&gt;=$J$4,'领用录入（明细）'!C:C&lt;=$L$4),ROW(),"-")</f>
        <v>-</v>
      </c>
    </row>
    <row r="43683" customHeight="1" spans="2:2">
      <c r="B43683" s="62" t="str">
        <f>IF(AND('领用录入（明细）'!D:D=$F$4,'领用录入（明细）'!C:C&gt;=$J$4,'领用录入（明细）'!C:C&lt;=$L$4),ROW(),"-")</f>
        <v>-</v>
      </c>
    </row>
    <row r="43684" customHeight="1" spans="2:2">
      <c r="B43684" s="62" t="str">
        <f>IF(AND('领用录入（明细）'!D:D=$F$4,'领用录入（明细）'!C:C&gt;=$J$4,'领用录入（明细）'!C:C&lt;=$L$4),ROW(),"-")</f>
        <v>-</v>
      </c>
    </row>
    <row r="43685" customHeight="1" spans="2:2">
      <c r="B43685" s="62" t="str">
        <f>IF(AND('领用录入（明细）'!D:D=$F$4,'领用录入（明细）'!C:C&gt;=$J$4,'领用录入（明细）'!C:C&lt;=$L$4),ROW(),"-")</f>
        <v>-</v>
      </c>
    </row>
    <row r="43686" customHeight="1" spans="2:2">
      <c r="B43686" s="62" t="str">
        <f>IF(AND('领用录入（明细）'!D:D=$F$4,'领用录入（明细）'!C:C&gt;=$J$4,'领用录入（明细）'!C:C&lt;=$L$4),ROW(),"-")</f>
        <v>-</v>
      </c>
    </row>
    <row r="43687" customHeight="1" spans="2:2">
      <c r="B43687" s="62" t="str">
        <f>IF(AND('领用录入（明细）'!D:D=$F$4,'领用录入（明细）'!C:C&gt;=$J$4,'领用录入（明细）'!C:C&lt;=$L$4),ROW(),"-")</f>
        <v>-</v>
      </c>
    </row>
    <row r="43688" customHeight="1" spans="2:2">
      <c r="B43688" s="62" t="str">
        <f>IF(AND('领用录入（明细）'!D:D=$F$4,'领用录入（明细）'!C:C&gt;=$J$4,'领用录入（明细）'!C:C&lt;=$L$4),ROW(),"-")</f>
        <v>-</v>
      </c>
    </row>
    <row r="43689" customHeight="1" spans="2:2">
      <c r="B43689" s="62" t="str">
        <f>IF(AND('领用录入（明细）'!D:D=$F$4,'领用录入（明细）'!C:C&gt;=$J$4,'领用录入（明细）'!C:C&lt;=$L$4),ROW(),"-")</f>
        <v>-</v>
      </c>
    </row>
    <row r="43690" customHeight="1" spans="2:2">
      <c r="B43690" s="62" t="str">
        <f>IF(AND('领用录入（明细）'!D:D=$F$4,'领用录入（明细）'!C:C&gt;=$J$4,'领用录入（明细）'!C:C&lt;=$L$4),ROW(),"-")</f>
        <v>-</v>
      </c>
    </row>
    <row r="43691" customHeight="1" spans="2:2">
      <c r="B43691" s="62" t="str">
        <f>IF(AND('领用录入（明细）'!D:D=$F$4,'领用录入（明细）'!C:C&gt;=$J$4,'领用录入（明细）'!C:C&lt;=$L$4),ROW(),"-")</f>
        <v>-</v>
      </c>
    </row>
    <row r="43692" customHeight="1" spans="2:2">
      <c r="B43692" s="62" t="str">
        <f>IF(AND('领用录入（明细）'!D:D=$F$4,'领用录入（明细）'!C:C&gt;=$J$4,'领用录入（明细）'!C:C&lt;=$L$4),ROW(),"-")</f>
        <v>-</v>
      </c>
    </row>
    <row r="43693" customHeight="1" spans="2:2">
      <c r="B43693" s="62" t="str">
        <f>IF(AND('领用录入（明细）'!D:D=$F$4,'领用录入（明细）'!C:C&gt;=$J$4,'领用录入（明细）'!C:C&lt;=$L$4),ROW(),"-")</f>
        <v>-</v>
      </c>
    </row>
    <row r="43694" customHeight="1" spans="2:2">
      <c r="B43694" s="62" t="str">
        <f>IF(AND('领用录入（明细）'!D:D=$F$4,'领用录入（明细）'!C:C&gt;=$J$4,'领用录入（明细）'!C:C&lt;=$L$4),ROW(),"-")</f>
        <v>-</v>
      </c>
    </row>
    <row r="43695" customHeight="1" spans="2:2">
      <c r="B43695" s="62" t="str">
        <f>IF(AND('领用录入（明细）'!D:D=$F$4,'领用录入（明细）'!C:C&gt;=$J$4,'领用录入（明细）'!C:C&lt;=$L$4),ROW(),"-")</f>
        <v>-</v>
      </c>
    </row>
    <row r="43696" customHeight="1" spans="2:2">
      <c r="B43696" s="62" t="str">
        <f>IF(AND('领用录入（明细）'!D:D=$F$4,'领用录入（明细）'!C:C&gt;=$J$4,'领用录入（明细）'!C:C&lt;=$L$4),ROW(),"-")</f>
        <v>-</v>
      </c>
    </row>
    <row r="43697" customHeight="1" spans="2:2">
      <c r="B43697" s="62" t="str">
        <f>IF(AND('领用录入（明细）'!D:D=$F$4,'领用录入（明细）'!C:C&gt;=$J$4,'领用录入（明细）'!C:C&lt;=$L$4),ROW(),"-")</f>
        <v>-</v>
      </c>
    </row>
    <row r="43698" customHeight="1" spans="2:2">
      <c r="B43698" s="62" t="str">
        <f>IF(AND('领用录入（明细）'!D:D=$F$4,'领用录入（明细）'!C:C&gt;=$J$4,'领用录入（明细）'!C:C&lt;=$L$4),ROW(),"-")</f>
        <v>-</v>
      </c>
    </row>
    <row r="43699" customHeight="1" spans="2:2">
      <c r="B43699" s="62" t="str">
        <f>IF(AND('领用录入（明细）'!D:D=$F$4,'领用录入（明细）'!C:C&gt;=$J$4,'领用录入（明细）'!C:C&lt;=$L$4),ROW(),"-")</f>
        <v>-</v>
      </c>
    </row>
    <row r="43700" customHeight="1" spans="2:2">
      <c r="B43700" s="62" t="str">
        <f>IF(AND('领用录入（明细）'!D:D=$F$4,'领用录入（明细）'!C:C&gt;=$J$4,'领用录入（明细）'!C:C&lt;=$L$4),ROW(),"-")</f>
        <v>-</v>
      </c>
    </row>
    <row r="43701" customHeight="1" spans="2:2">
      <c r="B43701" s="62" t="str">
        <f>IF(AND('领用录入（明细）'!D:D=$F$4,'领用录入（明细）'!C:C&gt;=$J$4,'领用录入（明细）'!C:C&lt;=$L$4),ROW(),"-")</f>
        <v>-</v>
      </c>
    </row>
    <row r="43702" customHeight="1" spans="2:2">
      <c r="B43702" s="62" t="str">
        <f>IF(AND('领用录入（明细）'!D:D=$F$4,'领用录入（明细）'!C:C&gt;=$J$4,'领用录入（明细）'!C:C&lt;=$L$4),ROW(),"-")</f>
        <v>-</v>
      </c>
    </row>
    <row r="43703" customHeight="1" spans="2:2">
      <c r="B43703" s="62" t="str">
        <f>IF(AND('领用录入（明细）'!D:D=$F$4,'领用录入（明细）'!C:C&gt;=$J$4,'领用录入（明细）'!C:C&lt;=$L$4),ROW(),"-")</f>
        <v>-</v>
      </c>
    </row>
    <row r="43704" customHeight="1" spans="2:2">
      <c r="B43704" s="62" t="str">
        <f>IF(AND('领用录入（明细）'!D:D=$F$4,'领用录入（明细）'!C:C&gt;=$J$4,'领用录入（明细）'!C:C&lt;=$L$4),ROW(),"-")</f>
        <v>-</v>
      </c>
    </row>
    <row r="43705" customHeight="1" spans="2:2">
      <c r="B43705" s="62" t="str">
        <f>IF(AND('领用录入（明细）'!D:D=$F$4,'领用录入（明细）'!C:C&gt;=$J$4,'领用录入（明细）'!C:C&lt;=$L$4),ROW(),"-")</f>
        <v>-</v>
      </c>
    </row>
    <row r="43706" customHeight="1" spans="2:2">
      <c r="B43706" s="62" t="str">
        <f>IF(AND('领用录入（明细）'!D:D=$F$4,'领用录入（明细）'!C:C&gt;=$J$4,'领用录入（明细）'!C:C&lt;=$L$4),ROW(),"-")</f>
        <v>-</v>
      </c>
    </row>
    <row r="43707" customHeight="1" spans="2:2">
      <c r="B43707" s="62" t="str">
        <f>IF(AND('领用录入（明细）'!D:D=$F$4,'领用录入（明细）'!C:C&gt;=$J$4,'领用录入（明细）'!C:C&lt;=$L$4),ROW(),"-")</f>
        <v>-</v>
      </c>
    </row>
    <row r="43708" customHeight="1" spans="2:2">
      <c r="B43708" s="62" t="str">
        <f>IF(AND('领用录入（明细）'!D:D=$F$4,'领用录入（明细）'!C:C&gt;=$J$4,'领用录入（明细）'!C:C&lt;=$L$4),ROW(),"-")</f>
        <v>-</v>
      </c>
    </row>
    <row r="43709" customHeight="1" spans="2:2">
      <c r="B43709" s="62" t="str">
        <f>IF(AND('领用录入（明细）'!D:D=$F$4,'领用录入（明细）'!C:C&gt;=$J$4,'领用录入（明细）'!C:C&lt;=$L$4),ROW(),"-")</f>
        <v>-</v>
      </c>
    </row>
    <row r="43710" customHeight="1" spans="2:2">
      <c r="B43710" s="62" t="str">
        <f>IF(AND('领用录入（明细）'!D:D=$F$4,'领用录入（明细）'!C:C&gt;=$J$4,'领用录入（明细）'!C:C&lt;=$L$4),ROW(),"-")</f>
        <v>-</v>
      </c>
    </row>
    <row r="43711" customHeight="1" spans="2:2">
      <c r="B43711" s="62" t="str">
        <f>IF(AND('领用录入（明细）'!D:D=$F$4,'领用录入（明细）'!C:C&gt;=$J$4,'领用录入（明细）'!C:C&lt;=$L$4),ROW(),"-")</f>
        <v>-</v>
      </c>
    </row>
    <row r="43712" customHeight="1" spans="2:2">
      <c r="B43712" s="62" t="str">
        <f>IF(AND('领用录入（明细）'!D:D=$F$4,'领用录入（明细）'!C:C&gt;=$J$4,'领用录入（明细）'!C:C&lt;=$L$4),ROW(),"-")</f>
        <v>-</v>
      </c>
    </row>
    <row r="43713" customHeight="1" spans="2:2">
      <c r="B43713" s="62" t="str">
        <f>IF(AND('领用录入（明细）'!D:D=$F$4,'领用录入（明细）'!C:C&gt;=$J$4,'领用录入（明细）'!C:C&lt;=$L$4),ROW(),"-")</f>
        <v>-</v>
      </c>
    </row>
    <row r="43714" customHeight="1" spans="2:2">
      <c r="B43714" s="62" t="str">
        <f>IF(AND('领用录入（明细）'!D:D=$F$4,'领用录入（明细）'!C:C&gt;=$J$4,'领用录入（明细）'!C:C&lt;=$L$4),ROW(),"-")</f>
        <v>-</v>
      </c>
    </row>
    <row r="43715" customHeight="1" spans="2:2">
      <c r="B43715" s="62" t="str">
        <f>IF(AND('领用录入（明细）'!D:D=$F$4,'领用录入（明细）'!C:C&gt;=$J$4,'领用录入（明细）'!C:C&lt;=$L$4),ROW(),"-")</f>
        <v>-</v>
      </c>
    </row>
    <row r="43716" customHeight="1" spans="2:2">
      <c r="B43716" s="62" t="str">
        <f>IF(AND('领用录入（明细）'!D:D=$F$4,'领用录入（明细）'!C:C&gt;=$J$4,'领用录入（明细）'!C:C&lt;=$L$4),ROW(),"-")</f>
        <v>-</v>
      </c>
    </row>
    <row r="43717" customHeight="1" spans="2:2">
      <c r="B43717" s="62" t="str">
        <f>IF(AND('领用录入（明细）'!D:D=$F$4,'领用录入（明细）'!C:C&gt;=$J$4,'领用录入（明细）'!C:C&lt;=$L$4),ROW(),"-")</f>
        <v>-</v>
      </c>
    </row>
    <row r="43718" customHeight="1" spans="2:2">
      <c r="B43718" s="62" t="str">
        <f>IF(AND('领用录入（明细）'!D:D=$F$4,'领用录入（明细）'!C:C&gt;=$J$4,'领用录入（明细）'!C:C&lt;=$L$4),ROW(),"-")</f>
        <v>-</v>
      </c>
    </row>
    <row r="43719" customHeight="1" spans="2:2">
      <c r="B43719" s="62" t="str">
        <f>IF(AND('领用录入（明细）'!D:D=$F$4,'领用录入（明细）'!C:C&gt;=$J$4,'领用录入（明细）'!C:C&lt;=$L$4),ROW(),"-")</f>
        <v>-</v>
      </c>
    </row>
    <row r="43720" customHeight="1" spans="2:2">
      <c r="B43720" s="62" t="str">
        <f>IF(AND('领用录入（明细）'!D:D=$F$4,'领用录入（明细）'!C:C&gt;=$J$4,'领用录入（明细）'!C:C&lt;=$L$4),ROW(),"-")</f>
        <v>-</v>
      </c>
    </row>
    <row r="43721" customHeight="1" spans="2:2">
      <c r="B43721" s="62" t="str">
        <f>IF(AND('领用录入（明细）'!D:D=$F$4,'领用录入（明细）'!C:C&gt;=$J$4,'领用录入（明细）'!C:C&lt;=$L$4),ROW(),"-")</f>
        <v>-</v>
      </c>
    </row>
    <row r="43722" customHeight="1" spans="2:2">
      <c r="B43722" s="62" t="str">
        <f>IF(AND('领用录入（明细）'!D:D=$F$4,'领用录入（明细）'!C:C&gt;=$J$4,'领用录入（明细）'!C:C&lt;=$L$4),ROW(),"-")</f>
        <v>-</v>
      </c>
    </row>
    <row r="43723" customHeight="1" spans="2:2">
      <c r="B43723" s="62" t="str">
        <f>IF(AND('领用录入（明细）'!D:D=$F$4,'领用录入（明细）'!C:C&gt;=$J$4,'领用录入（明细）'!C:C&lt;=$L$4),ROW(),"-")</f>
        <v>-</v>
      </c>
    </row>
    <row r="43724" customHeight="1" spans="2:2">
      <c r="B43724" s="62" t="str">
        <f>IF(AND('领用录入（明细）'!D:D=$F$4,'领用录入（明细）'!C:C&gt;=$J$4,'领用录入（明细）'!C:C&lt;=$L$4),ROW(),"-")</f>
        <v>-</v>
      </c>
    </row>
    <row r="43725" customHeight="1" spans="2:2">
      <c r="B43725" s="62" t="str">
        <f>IF(AND('领用录入（明细）'!D:D=$F$4,'领用录入（明细）'!C:C&gt;=$J$4,'领用录入（明细）'!C:C&lt;=$L$4),ROW(),"-")</f>
        <v>-</v>
      </c>
    </row>
    <row r="43726" customHeight="1" spans="2:2">
      <c r="B43726" s="62" t="str">
        <f>IF(AND('领用录入（明细）'!D:D=$F$4,'领用录入（明细）'!C:C&gt;=$J$4,'领用录入（明细）'!C:C&lt;=$L$4),ROW(),"-")</f>
        <v>-</v>
      </c>
    </row>
    <row r="43727" customHeight="1" spans="2:2">
      <c r="B43727" s="62" t="str">
        <f>IF(AND('领用录入（明细）'!D:D=$F$4,'领用录入（明细）'!C:C&gt;=$J$4,'领用录入（明细）'!C:C&lt;=$L$4),ROW(),"-")</f>
        <v>-</v>
      </c>
    </row>
    <row r="43728" customHeight="1" spans="2:2">
      <c r="B43728" s="62" t="str">
        <f>IF(AND('领用录入（明细）'!D:D=$F$4,'领用录入（明细）'!C:C&gt;=$J$4,'领用录入（明细）'!C:C&lt;=$L$4),ROW(),"-")</f>
        <v>-</v>
      </c>
    </row>
    <row r="43729" customHeight="1" spans="2:2">
      <c r="B43729" s="62" t="str">
        <f>IF(AND('领用录入（明细）'!D:D=$F$4,'领用录入（明细）'!C:C&gt;=$J$4,'领用录入（明细）'!C:C&lt;=$L$4),ROW(),"-")</f>
        <v>-</v>
      </c>
    </row>
    <row r="43730" customHeight="1" spans="2:2">
      <c r="B43730" s="62" t="str">
        <f>IF(AND('领用录入（明细）'!D:D=$F$4,'领用录入（明细）'!C:C&gt;=$J$4,'领用录入（明细）'!C:C&lt;=$L$4),ROW(),"-")</f>
        <v>-</v>
      </c>
    </row>
    <row r="43731" customHeight="1" spans="2:2">
      <c r="B43731" s="62" t="str">
        <f>IF(AND('领用录入（明细）'!D:D=$F$4,'领用录入（明细）'!C:C&gt;=$J$4,'领用录入（明细）'!C:C&lt;=$L$4),ROW(),"-")</f>
        <v>-</v>
      </c>
    </row>
    <row r="43732" customHeight="1" spans="2:2">
      <c r="B43732" s="62" t="str">
        <f>IF(AND('领用录入（明细）'!D:D=$F$4,'领用录入（明细）'!C:C&gt;=$J$4,'领用录入（明细）'!C:C&lt;=$L$4),ROW(),"-")</f>
        <v>-</v>
      </c>
    </row>
    <row r="43733" customHeight="1" spans="2:2">
      <c r="B43733" s="62" t="str">
        <f>IF(AND('领用录入（明细）'!D:D=$F$4,'领用录入（明细）'!C:C&gt;=$J$4,'领用录入（明细）'!C:C&lt;=$L$4),ROW(),"-")</f>
        <v>-</v>
      </c>
    </row>
    <row r="43734" customHeight="1" spans="2:2">
      <c r="B43734" s="62" t="str">
        <f>IF(AND('领用录入（明细）'!D:D=$F$4,'领用录入（明细）'!C:C&gt;=$J$4,'领用录入（明细）'!C:C&lt;=$L$4),ROW(),"-")</f>
        <v>-</v>
      </c>
    </row>
    <row r="43735" customHeight="1" spans="2:2">
      <c r="B43735" s="62" t="str">
        <f>IF(AND('领用录入（明细）'!D:D=$F$4,'领用录入（明细）'!C:C&gt;=$J$4,'领用录入（明细）'!C:C&lt;=$L$4),ROW(),"-")</f>
        <v>-</v>
      </c>
    </row>
    <row r="43736" customHeight="1" spans="2:2">
      <c r="B43736" s="62" t="str">
        <f>IF(AND('领用录入（明细）'!D:D=$F$4,'领用录入（明细）'!C:C&gt;=$J$4,'领用录入（明细）'!C:C&lt;=$L$4),ROW(),"-")</f>
        <v>-</v>
      </c>
    </row>
    <row r="43737" customHeight="1" spans="2:2">
      <c r="B43737" s="62" t="str">
        <f>IF(AND('领用录入（明细）'!D:D=$F$4,'领用录入（明细）'!C:C&gt;=$J$4,'领用录入（明细）'!C:C&lt;=$L$4),ROW(),"-")</f>
        <v>-</v>
      </c>
    </row>
    <row r="43738" customHeight="1" spans="2:2">
      <c r="B43738" s="62" t="str">
        <f>IF(AND('领用录入（明细）'!D:D=$F$4,'领用录入（明细）'!C:C&gt;=$J$4,'领用录入（明细）'!C:C&lt;=$L$4),ROW(),"-")</f>
        <v>-</v>
      </c>
    </row>
    <row r="43739" customHeight="1" spans="2:2">
      <c r="B43739" s="62" t="str">
        <f>IF(AND('领用录入（明细）'!D:D=$F$4,'领用录入（明细）'!C:C&gt;=$J$4,'领用录入（明细）'!C:C&lt;=$L$4),ROW(),"-")</f>
        <v>-</v>
      </c>
    </row>
    <row r="43740" customHeight="1" spans="2:2">
      <c r="B43740" s="62" t="str">
        <f>IF(AND('领用录入（明细）'!D:D=$F$4,'领用录入（明细）'!C:C&gt;=$J$4,'领用录入（明细）'!C:C&lt;=$L$4),ROW(),"-")</f>
        <v>-</v>
      </c>
    </row>
    <row r="43741" customHeight="1" spans="2:2">
      <c r="B43741" s="62" t="str">
        <f>IF(AND('领用录入（明细）'!D:D=$F$4,'领用录入（明细）'!C:C&gt;=$J$4,'领用录入（明细）'!C:C&lt;=$L$4),ROW(),"-")</f>
        <v>-</v>
      </c>
    </row>
    <row r="43742" customHeight="1" spans="2:2">
      <c r="B43742" s="62" t="str">
        <f>IF(AND('领用录入（明细）'!D:D=$F$4,'领用录入（明细）'!C:C&gt;=$J$4,'领用录入（明细）'!C:C&lt;=$L$4),ROW(),"-")</f>
        <v>-</v>
      </c>
    </row>
    <row r="43743" customHeight="1" spans="2:2">
      <c r="B43743" s="62" t="str">
        <f>IF(AND('领用录入（明细）'!D:D=$F$4,'领用录入（明细）'!C:C&gt;=$J$4,'领用录入（明细）'!C:C&lt;=$L$4),ROW(),"-")</f>
        <v>-</v>
      </c>
    </row>
    <row r="43744" customHeight="1" spans="2:2">
      <c r="B43744" s="62" t="str">
        <f>IF(AND('领用录入（明细）'!D:D=$F$4,'领用录入（明细）'!C:C&gt;=$J$4,'领用录入（明细）'!C:C&lt;=$L$4),ROW(),"-")</f>
        <v>-</v>
      </c>
    </row>
    <row r="43745" customHeight="1" spans="2:2">
      <c r="B43745" s="62" t="str">
        <f>IF(AND('领用录入（明细）'!D:D=$F$4,'领用录入（明细）'!C:C&gt;=$J$4,'领用录入（明细）'!C:C&lt;=$L$4),ROW(),"-")</f>
        <v>-</v>
      </c>
    </row>
    <row r="43746" customHeight="1" spans="2:2">
      <c r="B43746" s="62" t="str">
        <f>IF(AND('领用录入（明细）'!D:D=$F$4,'领用录入（明细）'!C:C&gt;=$J$4,'领用录入（明细）'!C:C&lt;=$L$4),ROW(),"-")</f>
        <v>-</v>
      </c>
    </row>
    <row r="43747" customHeight="1" spans="2:2">
      <c r="B43747" s="62" t="str">
        <f>IF(AND('领用录入（明细）'!D:D=$F$4,'领用录入（明细）'!C:C&gt;=$J$4,'领用录入（明细）'!C:C&lt;=$L$4),ROW(),"-")</f>
        <v>-</v>
      </c>
    </row>
    <row r="43748" customHeight="1" spans="2:2">
      <c r="B43748" s="62" t="str">
        <f>IF(AND('领用录入（明细）'!D:D=$F$4,'领用录入（明细）'!C:C&gt;=$J$4,'领用录入（明细）'!C:C&lt;=$L$4),ROW(),"-")</f>
        <v>-</v>
      </c>
    </row>
    <row r="43749" customHeight="1" spans="2:2">
      <c r="B43749" s="62" t="str">
        <f>IF(AND('领用录入（明细）'!D:D=$F$4,'领用录入（明细）'!C:C&gt;=$J$4,'领用录入（明细）'!C:C&lt;=$L$4),ROW(),"-")</f>
        <v>-</v>
      </c>
    </row>
    <row r="43750" customHeight="1" spans="2:2">
      <c r="B43750" s="62" t="str">
        <f>IF(AND('领用录入（明细）'!D:D=$F$4,'领用录入（明细）'!C:C&gt;=$J$4,'领用录入（明细）'!C:C&lt;=$L$4),ROW(),"-")</f>
        <v>-</v>
      </c>
    </row>
    <row r="43751" customHeight="1" spans="2:2">
      <c r="B43751" s="62" t="str">
        <f>IF(AND('领用录入（明细）'!D:D=$F$4,'领用录入（明细）'!C:C&gt;=$J$4,'领用录入（明细）'!C:C&lt;=$L$4),ROW(),"-")</f>
        <v>-</v>
      </c>
    </row>
    <row r="43752" customHeight="1" spans="2:2">
      <c r="B43752" s="62" t="str">
        <f>IF(AND('领用录入（明细）'!D:D=$F$4,'领用录入（明细）'!C:C&gt;=$J$4,'领用录入（明细）'!C:C&lt;=$L$4),ROW(),"-")</f>
        <v>-</v>
      </c>
    </row>
    <row r="43753" customHeight="1" spans="2:2">
      <c r="B43753" s="62" t="str">
        <f>IF(AND('领用录入（明细）'!D:D=$F$4,'领用录入（明细）'!C:C&gt;=$J$4,'领用录入（明细）'!C:C&lt;=$L$4),ROW(),"-")</f>
        <v>-</v>
      </c>
    </row>
    <row r="43754" customHeight="1" spans="2:2">
      <c r="B43754" s="62" t="str">
        <f>IF(AND('领用录入（明细）'!D:D=$F$4,'领用录入（明细）'!C:C&gt;=$J$4,'领用录入（明细）'!C:C&lt;=$L$4),ROW(),"-")</f>
        <v>-</v>
      </c>
    </row>
    <row r="43755" customHeight="1" spans="2:2">
      <c r="B43755" s="62" t="str">
        <f>IF(AND('领用录入（明细）'!D:D=$F$4,'领用录入（明细）'!C:C&gt;=$J$4,'领用录入（明细）'!C:C&lt;=$L$4),ROW(),"-")</f>
        <v>-</v>
      </c>
    </row>
    <row r="43756" customHeight="1" spans="2:2">
      <c r="B43756" s="62" t="str">
        <f>IF(AND('领用录入（明细）'!D:D=$F$4,'领用录入（明细）'!C:C&gt;=$J$4,'领用录入（明细）'!C:C&lt;=$L$4),ROW(),"-")</f>
        <v>-</v>
      </c>
    </row>
    <row r="43757" customHeight="1" spans="2:2">
      <c r="B43757" s="62" t="str">
        <f>IF(AND('领用录入（明细）'!D:D=$F$4,'领用录入（明细）'!C:C&gt;=$J$4,'领用录入（明细）'!C:C&lt;=$L$4),ROW(),"-")</f>
        <v>-</v>
      </c>
    </row>
    <row r="43758" customHeight="1" spans="2:2">
      <c r="B43758" s="62" t="str">
        <f>IF(AND('领用录入（明细）'!D:D=$F$4,'领用录入（明细）'!C:C&gt;=$J$4,'领用录入（明细）'!C:C&lt;=$L$4),ROW(),"-")</f>
        <v>-</v>
      </c>
    </row>
    <row r="43759" customHeight="1" spans="2:2">
      <c r="B43759" s="62" t="str">
        <f>IF(AND('领用录入（明细）'!D:D=$F$4,'领用录入（明细）'!C:C&gt;=$J$4,'领用录入（明细）'!C:C&lt;=$L$4),ROW(),"-")</f>
        <v>-</v>
      </c>
    </row>
    <row r="43760" customHeight="1" spans="2:2">
      <c r="B43760" s="62" t="str">
        <f>IF(AND('领用录入（明细）'!D:D=$F$4,'领用录入（明细）'!C:C&gt;=$J$4,'领用录入（明细）'!C:C&lt;=$L$4),ROW(),"-")</f>
        <v>-</v>
      </c>
    </row>
    <row r="43761" customHeight="1" spans="2:2">
      <c r="B43761" s="62" t="str">
        <f>IF(AND('领用录入（明细）'!D:D=$F$4,'领用录入（明细）'!C:C&gt;=$J$4,'领用录入（明细）'!C:C&lt;=$L$4),ROW(),"-")</f>
        <v>-</v>
      </c>
    </row>
    <row r="43762" customHeight="1" spans="2:2">
      <c r="B43762" s="62" t="str">
        <f>IF(AND('领用录入（明细）'!D:D=$F$4,'领用录入（明细）'!C:C&gt;=$J$4,'领用录入（明细）'!C:C&lt;=$L$4),ROW(),"-")</f>
        <v>-</v>
      </c>
    </row>
    <row r="43763" customHeight="1" spans="2:2">
      <c r="B43763" s="62" t="str">
        <f>IF(AND('领用录入（明细）'!D:D=$F$4,'领用录入（明细）'!C:C&gt;=$J$4,'领用录入（明细）'!C:C&lt;=$L$4),ROW(),"-")</f>
        <v>-</v>
      </c>
    </row>
    <row r="43764" customHeight="1" spans="2:2">
      <c r="B43764" s="62" t="str">
        <f>IF(AND('领用录入（明细）'!D:D=$F$4,'领用录入（明细）'!C:C&gt;=$J$4,'领用录入（明细）'!C:C&lt;=$L$4),ROW(),"-")</f>
        <v>-</v>
      </c>
    </row>
    <row r="43765" customHeight="1" spans="2:2">
      <c r="B43765" s="62" t="str">
        <f>IF(AND('领用录入（明细）'!D:D=$F$4,'领用录入（明细）'!C:C&gt;=$J$4,'领用录入（明细）'!C:C&lt;=$L$4),ROW(),"-")</f>
        <v>-</v>
      </c>
    </row>
    <row r="43766" customHeight="1" spans="2:2">
      <c r="B43766" s="62" t="str">
        <f>IF(AND('领用录入（明细）'!D:D=$F$4,'领用录入（明细）'!C:C&gt;=$J$4,'领用录入（明细）'!C:C&lt;=$L$4),ROW(),"-")</f>
        <v>-</v>
      </c>
    </row>
    <row r="43767" customHeight="1" spans="2:2">
      <c r="B43767" s="62" t="str">
        <f>IF(AND('领用录入（明细）'!D:D=$F$4,'领用录入（明细）'!C:C&gt;=$J$4,'领用录入（明细）'!C:C&lt;=$L$4),ROW(),"-")</f>
        <v>-</v>
      </c>
    </row>
    <row r="43768" customHeight="1" spans="2:2">
      <c r="B43768" s="62" t="str">
        <f>IF(AND('领用录入（明细）'!D:D=$F$4,'领用录入（明细）'!C:C&gt;=$J$4,'领用录入（明细）'!C:C&lt;=$L$4),ROW(),"-")</f>
        <v>-</v>
      </c>
    </row>
    <row r="43769" customHeight="1" spans="2:2">
      <c r="B43769" s="62" t="str">
        <f>IF(AND('领用录入（明细）'!D:D=$F$4,'领用录入（明细）'!C:C&gt;=$J$4,'领用录入（明细）'!C:C&lt;=$L$4),ROW(),"-")</f>
        <v>-</v>
      </c>
    </row>
    <row r="43770" customHeight="1" spans="2:2">
      <c r="B43770" s="62" t="str">
        <f>IF(AND('领用录入（明细）'!D:D=$F$4,'领用录入（明细）'!C:C&gt;=$J$4,'领用录入（明细）'!C:C&lt;=$L$4),ROW(),"-")</f>
        <v>-</v>
      </c>
    </row>
    <row r="43771" customHeight="1" spans="2:2">
      <c r="B43771" s="62" t="str">
        <f>IF(AND('领用录入（明细）'!D:D=$F$4,'领用录入（明细）'!C:C&gt;=$J$4,'领用录入（明细）'!C:C&lt;=$L$4),ROW(),"-")</f>
        <v>-</v>
      </c>
    </row>
    <row r="43772" customHeight="1" spans="2:2">
      <c r="B43772" s="62" t="str">
        <f>IF(AND('领用录入（明细）'!D:D=$F$4,'领用录入（明细）'!C:C&gt;=$J$4,'领用录入（明细）'!C:C&lt;=$L$4),ROW(),"-")</f>
        <v>-</v>
      </c>
    </row>
    <row r="43773" customHeight="1" spans="2:2">
      <c r="B43773" s="62" t="str">
        <f>IF(AND('领用录入（明细）'!D:D=$F$4,'领用录入（明细）'!C:C&gt;=$J$4,'领用录入（明细）'!C:C&lt;=$L$4),ROW(),"-")</f>
        <v>-</v>
      </c>
    </row>
    <row r="43774" customHeight="1" spans="2:2">
      <c r="B43774" s="62" t="str">
        <f>IF(AND('领用录入（明细）'!D:D=$F$4,'领用录入（明细）'!C:C&gt;=$J$4,'领用录入（明细）'!C:C&lt;=$L$4),ROW(),"-")</f>
        <v>-</v>
      </c>
    </row>
    <row r="43775" customHeight="1" spans="2:2">
      <c r="B43775" s="62" t="str">
        <f>IF(AND('领用录入（明细）'!D:D=$F$4,'领用录入（明细）'!C:C&gt;=$J$4,'领用录入（明细）'!C:C&lt;=$L$4),ROW(),"-")</f>
        <v>-</v>
      </c>
    </row>
    <row r="43776" customHeight="1" spans="2:2">
      <c r="B43776" s="62" t="str">
        <f>IF(AND('领用录入（明细）'!D:D=$F$4,'领用录入（明细）'!C:C&gt;=$J$4,'领用录入（明细）'!C:C&lt;=$L$4),ROW(),"-")</f>
        <v>-</v>
      </c>
    </row>
    <row r="43777" customHeight="1" spans="2:2">
      <c r="B43777" s="62" t="str">
        <f>IF(AND('领用录入（明细）'!D:D=$F$4,'领用录入（明细）'!C:C&gt;=$J$4,'领用录入（明细）'!C:C&lt;=$L$4),ROW(),"-")</f>
        <v>-</v>
      </c>
    </row>
    <row r="43778" customHeight="1" spans="2:2">
      <c r="B43778" s="62" t="str">
        <f>IF(AND('领用录入（明细）'!D:D=$F$4,'领用录入（明细）'!C:C&gt;=$J$4,'领用录入（明细）'!C:C&lt;=$L$4),ROW(),"-")</f>
        <v>-</v>
      </c>
    </row>
    <row r="43779" customHeight="1" spans="2:2">
      <c r="B43779" s="62" t="str">
        <f>IF(AND('领用录入（明细）'!D:D=$F$4,'领用录入（明细）'!C:C&gt;=$J$4,'领用录入（明细）'!C:C&lt;=$L$4),ROW(),"-")</f>
        <v>-</v>
      </c>
    </row>
    <row r="43780" customHeight="1" spans="2:2">
      <c r="B43780" s="62" t="str">
        <f>IF(AND('领用录入（明细）'!D:D=$F$4,'领用录入（明细）'!C:C&gt;=$J$4,'领用录入（明细）'!C:C&lt;=$L$4),ROW(),"-")</f>
        <v>-</v>
      </c>
    </row>
    <row r="43781" customHeight="1" spans="2:2">
      <c r="B43781" s="62" t="str">
        <f>IF(AND('领用录入（明细）'!D:D=$F$4,'领用录入（明细）'!C:C&gt;=$J$4,'领用录入（明细）'!C:C&lt;=$L$4),ROW(),"-")</f>
        <v>-</v>
      </c>
    </row>
    <row r="43782" customHeight="1" spans="2:2">
      <c r="B43782" s="62" t="str">
        <f>IF(AND('领用录入（明细）'!D:D=$F$4,'领用录入（明细）'!C:C&gt;=$J$4,'领用录入（明细）'!C:C&lt;=$L$4),ROW(),"-")</f>
        <v>-</v>
      </c>
    </row>
    <row r="43783" customHeight="1" spans="2:2">
      <c r="B43783" s="62" t="str">
        <f>IF(AND('领用录入（明细）'!D:D=$F$4,'领用录入（明细）'!C:C&gt;=$J$4,'领用录入（明细）'!C:C&lt;=$L$4),ROW(),"-")</f>
        <v>-</v>
      </c>
    </row>
    <row r="43784" customHeight="1" spans="2:2">
      <c r="B43784" s="62" t="str">
        <f>IF(AND('领用录入（明细）'!D:D=$F$4,'领用录入（明细）'!C:C&gt;=$J$4,'领用录入（明细）'!C:C&lt;=$L$4),ROW(),"-")</f>
        <v>-</v>
      </c>
    </row>
    <row r="43785" customHeight="1" spans="2:2">
      <c r="B43785" s="62" t="str">
        <f>IF(AND('领用录入（明细）'!D:D=$F$4,'领用录入（明细）'!C:C&gt;=$J$4,'领用录入（明细）'!C:C&lt;=$L$4),ROW(),"-")</f>
        <v>-</v>
      </c>
    </row>
    <row r="43786" customHeight="1" spans="2:2">
      <c r="B43786" s="62" t="str">
        <f>IF(AND('领用录入（明细）'!D:D=$F$4,'领用录入（明细）'!C:C&gt;=$J$4,'领用录入（明细）'!C:C&lt;=$L$4),ROW(),"-")</f>
        <v>-</v>
      </c>
    </row>
    <row r="43787" customHeight="1" spans="2:2">
      <c r="B43787" s="62" t="str">
        <f>IF(AND('领用录入（明细）'!D:D=$F$4,'领用录入（明细）'!C:C&gt;=$J$4,'领用录入（明细）'!C:C&lt;=$L$4),ROW(),"-")</f>
        <v>-</v>
      </c>
    </row>
    <row r="43788" customHeight="1" spans="2:2">
      <c r="B43788" s="62" t="str">
        <f>IF(AND('领用录入（明细）'!D:D=$F$4,'领用录入（明细）'!C:C&gt;=$J$4,'领用录入（明细）'!C:C&lt;=$L$4),ROW(),"-")</f>
        <v>-</v>
      </c>
    </row>
    <row r="43789" customHeight="1" spans="2:2">
      <c r="B43789" s="62" t="str">
        <f>IF(AND('领用录入（明细）'!D:D=$F$4,'领用录入（明细）'!C:C&gt;=$J$4,'领用录入（明细）'!C:C&lt;=$L$4),ROW(),"-")</f>
        <v>-</v>
      </c>
    </row>
    <row r="43790" customHeight="1" spans="2:2">
      <c r="B43790" s="62" t="str">
        <f>IF(AND('领用录入（明细）'!D:D=$F$4,'领用录入（明细）'!C:C&gt;=$J$4,'领用录入（明细）'!C:C&lt;=$L$4),ROW(),"-")</f>
        <v>-</v>
      </c>
    </row>
    <row r="43791" customHeight="1" spans="2:2">
      <c r="B43791" s="62" t="str">
        <f>IF(AND('领用录入（明细）'!D:D=$F$4,'领用录入（明细）'!C:C&gt;=$J$4,'领用录入（明细）'!C:C&lt;=$L$4),ROW(),"-")</f>
        <v>-</v>
      </c>
    </row>
    <row r="43792" customHeight="1" spans="2:2">
      <c r="B43792" s="62" t="str">
        <f>IF(AND('领用录入（明细）'!D:D=$F$4,'领用录入（明细）'!C:C&gt;=$J$4,'领用录入（明细）'!C:C&lt;=$L$4),ROW(),"-")</f>
        <v>-</v>
      </c>
    </row>
    <row r="43793" customHeight="1" spans="2:2">
      <c r="B43793" s="62" t="str">
        <f>IF(AND('领用录入（明细）'!D:D=$F$4,'领用录入（明细）'!C:C&gt;=$J$4,'领用录入（明细）'!C:C&lt;=$L$4),ROW(),"-")</f>
        <v>-</v>
      </c>
    </row>
    <row r="43794" customHeight="1" spans="2:2">
      <c r="B43794" s="62" t="str">
        <f>IF(AND('领用录入（明细）'!D:D=$F$4,'领用录入（明细）'!C:C&gt;=$J$4,'领用录入（明细）'!C:C&lt;=$L$4),ROW(),"-")</f>
        <v>-</v>
      </c>
    </row>
    <row r="43795" customHeight="1" spans="2:2">
      <c r="B43795" s="62" t="str">
        <f>IF(AND('领用录入（明细）'!D:D=$F$4,'领用录入（明细）'!C:C&gt;=$J$4,'领用录入（明细）'!C:C&lt;=$L$4),ROW(),"-")</f>
        <v>-</v>
      </c>
    </row>
    <row r="43796" customHeight="1" spans="2:2">
      <c r="B43796" s="62" t="str">
        <f>IF(AND('领用录入（明细）'!D:D=$F$4,'领用录入（明细）'!C:C&gt;=$J$4,'领用录入（明细）'!C:C&lt;=$L$4),ROW(),"-")</f>
        <v>-</v>
      </c>
    </row>
    <row r="43797" customHeight="1" spans="2:2">
      <c r="B43797" s="62" t="str">
        <f>IF(AND('领用录入（明细）'!D:D=$F$4,'领用录入（明细）'!C:C&gt;=$J$4,'领用录入（明细）'!C:C&lt;=$L$4),ROW(),"-")</f>
        <v>-</v>
      </c>
    </row>
    <row r="43798" customHeight="1" spans="2:2">
      <c r="B43798" s="62" t="str">
        <f>IF(AND('领用录入（明细）'!D:D=$F$4,'领用录入（明细）'!C:C&gt;=$J$4,'领用录入（明细）'!C:C&lt;=$L$4),ROW(),"-")</f>
        <v>-</v>
      </c>
    </row>
    <row r="43799" customHeight="1" spans="2:2">
      <c r="B43799" s="62" t="str">
        <f>IF(AND('领用录入（明细）'!D:D=$F$4,'领用录入（明细）'!C:C&gt;=$J$4,'领用录入（明细）'!C:C&lt;=$L$4),ROW(),"-")</f>
        <v>-</v>
      </c>
    </row>
    <row r="43800" customHeight="1" spans="2:2">
      <c r="B43800" s="62" t="str">
        <f>IF(AND('领用录入（明细）'!D:D=$F$4,'领用录入（明细）'!C:C&gt;=$J$4,'领用录入（明细）'!C:C&lt;=$L$4),ROW(),"-")</f>
        <v>-</v>
      </c>
    </row>
    <row r="43801" customHeight="1" spans="2:2">
      <c r="B43801" s="62" t="str">
        <f>IF(AND('领用录入（明细）'!D:D=$F$4,'领用录入（明细）'!C:C&gt;=$J$4,'领用录入（明细）'!C:C&lt;=$L$4),ROW(),"-")</f>
        <v>-</v>
      </c>
    </row>
    <row r="43802" customHeight="1" spans="2:2">
      <c r="B43802" s="62" t="str">
        <f>IF(AND('领用录入（明细）'!D:D=$F$4,'领用录入（明细）'!C:C&gt;=$J$4,'领用录入（明细）'!C:C&lt;=$L$4),ROW(),"-")</f>
        <v>-</v>
      </c>
    </row>
    <row r="43803" customHeight="1" spans="2:2">
      <c r="B43803" s="62" t="str">
        <f>IF(AND('领用录入（明细）'!D:D=$F$4,'领用录入（明细）'!C:C&gt;=$J$4,'领用录入（明细）'!C:C&lt;=$L$4),ROW(),"-")</f>
        <v>-</v>
      </c>
    </row>
    <row r="43804" customHeight="1" spans="2:2">
      <c r="B43804" s="62" t="str">
        <f>IF(AND('领用录入（明细）'!D:D=$F$4,'领用录入（明细）'!C:C&gt;=$J$4,'领用录入（明细）'!C:C&lt;=$L$4),ROW(),"-")</f>
        <v>-</v>
      </c>
    </row>
    <row r="43805" customHeight="1" spans="2:2">
      <c r="B43805" s="62" t="str">
        <f>IF(AND('领用录入（明细）'!D:D=$F$4,'领用录入（明细）'!C:C&gt;=$J$4,'领用录入（明细）'!C:C&lt;=$L$4),ROW(),"-")</f>
        <v>-</v>
      </c>
    </row>
    <row r="43806" customHeight="1" spans="2:2">
      <c r="B43806" s="62" t="str">
        <f>IF(AND('领用录入（明细）'!D:D=$F$4,'领用录入（明细）'!C:C&gt;=$J$4,'领用录入（明细）'!C:C&lt;=$L$4),ROW(),"-")</f>
        <v>-</v>
      </c>
    </row>
    <row r="43807" customHeight="1" spans="2:2">
      <c r="B43807" s="62" t="str">
        <f>IF(AND('领用录入（明细）'!D:D=$F$4,'领用录入（明细）'!C:C&gt;=$J$4,'领用录入（明细）'!C:C&lt;=$L$4),ROW(),"-")</f>
        <v>-</v>
      </c>
    </row>
    <row r="43808" customHeight="1" spans="2:2">
      <c r="B43808" s="62" t="str">
        <f>IF(AND('领用录入（明细）'!D:D=$F$4,'领用录入（明细）'!C:C&gt;=$J$4,'领用录入（明细）'!C:C&lt;=$L$4),ROW(),"-")</f>
        <v>-</v>
      </c>
    </row>
    <row r="43809" customHeight="1" spans="2:2">
      <c r="B43809" s="62" t="str">
        <f>IF(AND('领用录入（明细）'!D:D=$F$4,'领用录入（明细）'!C:C&gt;=$J$4,'领用录入（明细）'!C:C&lt;=$L$4),ROW(),"-")</f>
        <v>-</v>
      </c>
    </row>
    <row r="43810" customHeight="1" spans="2:2">
      <c r="B43810" s="62" t="str">
        <f>IF(AND('领用录入（明细）'!D:D=$F$4,'领用录入（明细）'!C:C&gt;=$J$4,'领用录入（明细）'!C:C&lt;=$L$4),ROW(),"-")</f>
        <v>-</v>
      </c>
    </row>
    <row r="43811" customHeight="1" spans="2:2">
      <c r="B43811" s="62" t="str">
        <f>IF(AND('领用录入（明细）'!D:D=$F$4,'领用录入（明细）'!C:C&gt;=$J$4,'领用录入（明细）'!C:C&lt;=$L$4),ROW(),"-")</f>
        <v>-</v>
      </c>
    </row>
    <row r="43812" customHeight="1" spans="2:2">
      <c r="B43812" s="62" t="str">
        <f>IF(AND('领用录入（明细）'!D:D=$F$4,'领用录入（明细）'!C:C&gt;=$J$4,'领用录入（明细）'!C:C&lt;=$L$4),ROW(),"-")</f>
        <v>-</v>
      </c>
    </row>
    <row r="43813" customHeight="1" spans="2:2">
      <c r="B43813" s="62" t="str">
        <f>IF(AND('领用录入（明细）'!D:D=$F$4,'领用录入（明细）'!C:C&gt;=$J$4,'领用录入（明细）'!C:C&lt;=$L$4),ROW(),"-")</f>
        <v>-</v>
      </c>
    </row>
    <row r="43814" customHeight="1" spans="2:2">
      <c r="B43814" s="62" t="str">
        <f>IF(AND('领用录入（明细）'!D:D=$F$4,'领用录入（明细）'!C:C&gt;=$J$4,'领用录入（明细）'!C:C&lt;=$L$4),ROW(),"-")</f>
        <v>-</v>
      </c>
    </row>
    <row r="43815" customHeight="1" spans="2:2">
      <c r="B43815" s="62" t="str">
        <f>IF(AND('领用录入（明细）'!D:D=$F$4,'领用录入（明细）'!C:C&gt;=$J$4,'领用录入（明细）'!C:C&lt;=$L$4),ROW(),"-")</f>
        <v>-</v>
      </c>
    </row>
    <row r="43816" customHeight="1" spans="2:2">
      <c r="B43816" s="62" t="str">
        <f>IF(AND('领用录入（明细）'!D:D=$F$4,'领用录入（明细）'!C:C&gt;=$J$4,'领用录入（明细）'!C:C&lt;=$L$4),ROW(),"-")</f>
        <v>-</v>
      </c>
    </row>
    <row r="43817" customHeight="1" spans="2:2">
      <c r="B43817" s="62" t="str">
        <f>IF(AND('领用录入（明细）'!D:D=$F$4,'领用录入（明细）'!C:C&gt;=$J$4,'领用录入（明细）'!C:C&lt;=$L$4),ROW(),"-")</f>
        <v>-</v>
      </c>
    </row>
    <row r="43818" customHeight="1" spans="2:2">
      <c r="B43818" s="62" t="str">
        <f>IF(AND('领用录入（明细）'!D:D=$F$4,'领用录入（明细）'!C:C&gt;=$J$4,'领用录入（明细）'!C:C&lt;=$L$4),ROW(),"-")</f>
        <v>-</v>
      </c>
    </row>
    <row r="43819" customHeight="1" spans="2:2">
      <c r="B43819" s="62" t="str">
        <f>IF(AND('领用录入（明细）'!D:D=$F$4,'领用录入（明细）'!C:C&gt;=$J$4,'领用录入（明细）'!C:C&lt;=$L$4),ROW(),"-")</f>
        <v>-</v>
      </c>
    </row>
    <row r="43820" customHeight="1" spans="2:2">
      <c r="B43820" s="62" t="str">
        <f>IF(AND('领用录入（明细）'!D:D=$F$4,'领用录入（明细）'!C:C&gt;=$J$4,'领用录入（明细）'!C:C&lt;=$L$4),ROW(),"-")</f>
        <v>-</v>
      </c>
    </row>
    <row r="43821" customHeight="1" spans="2:2">
      <c r="B43821" s="62" t="str">
        <f>IF(AND('领用录入（明细）'!D:D=$F$4,'领用录入（明细）'!C:C&gt;=$J$4,'领用录入（明细）'!C:C&lt;=$L$4),ROW(),"-")</f>
        <v>-</v>
      </c>
    </row>
    <row r="43822" customHeight="1" spans="2:2">
      <c r="B43822" s="62" t="str">
        <f>IF(AND('领用录入（明细）'!D:D=$F$4,'领用录入（明细）'!C:C&gt;=$J$4,'领用录入（明细）'!C:C&lt;=$L$4),ROW(),"-")</f>
        <v>-</v>
      </c>
    </row>
    <row r="43823" customHeight="1" spans="2:2">
      <c r="B43823" s="62" t="str">
        <f>IF(AND('领用录入（明细）'!D:D=$F$4,'领用录入（明细）'!C:C&gt;=$J$4,'领用录入（明细）'!C:C&lt;=$L$4),ROW(),"-")</f>
        <v>-</v>
      </c>
    </row>
    <row r="43824" customHeight="1" spans="2:2">
      <c r="B43824" s="62" t="str">
        <f>IF(AND('领用录入（明细）'!D:D=$F$4,'领用录入（明细）'!C:C&gt;=$J$4,'领用录入（明细）'!C:C&lt;=$L$4),ROW(),"-")</f>
        <v>-</v>
      </c>
    </row>
    <row r="43825" customHeight="1" spans="2:2">
      <c r="B43825" s="62" t="str">
        <f>IF(AND('领用录入（明细）'!D:D=$F$4,'领用录入（明细）'!C:C&gt;=$J$4,'领用录入（明细）'!C:C&lt;=$L$4),ROW(),"-")</f>
        <v>-</v>
      </c>
    </row>
    <row r="43826" customHeight="1" spans="2:2">
      <c r="B43826" s="62" t="str">
        <f>IF(AND('领用录入（明细）'!D:D=$F$4,'领用录入（明细）'!C:C&gt;=$J$4,'领用录入（明细）'!C:C&lt;=$L$4),ROW(),"-")</f>
        <v>-</v>
      </c>
    </row>
    <row r="43827" customHeight="1" spans="2:2">
      <c r="B43827" s="62" t="str">
        <f>IF(AND('领用录入（明细）'!D:D=$F$4,'领用录入（明细）'!C:C&gt;=$J$4,'领用录入（明细）'!C:C&lt;=$L$4),ROW(),"-")</f>
        <v>-</v>
      </c>
    </row>
    <row r="43828" customHeight="1" spans="2:2">
      <c r="B43828" s="62" t="str">
        <f>IF(AND('领用录入（明细）'!D:D=$F$4,'领用录入（明细）'!C:C&gt;=$J$4,'领用录入（明细）'!C:C&lt;=$L$4),ROW(),"-")</f>
        <v>-</v>
      </c>
    </row>
    <row r="43829" customHeight="1" spans="2:2">
      <c r="B43829" s="62" t="str">
        <f>IF(AND('领用录入（明细）'!D:D=$F$4,'领用录入（明细）'!C:C&gt;=$J$4,'领用录入（明细）'!C:C&lt;=$L$4),ROW(),"-")</f>
        <v>-</v>
      </c>
    </row>
    <row r="43830" customHeight="1" spans="2:2">
      <c r="B43830" s="62" t="str">
        <f>IF(AND('领用录入（明细）'!D:D=$F$4,'领用录入（明细）'!C:C&gt;=$J$4,'领用录入（明细）'!C:C&lt;=$L$4),ROW(),"-")</f>
        <v>-</v>
      </c>
    </row>
    <row r="43831" customHeight="1" spans="2:2">
      <c r="B43831" s="62" t="str">
        <f>IF(AND('领用录入（明细）'!D:D=$F$4,'领用录入（明细）'!C:C&gt;=$J$4,'领用录入（明细）'!C:C&lt;=$L$4),ROW(),"-")</f>
        <v>-</v>
      </c>
    </row>
    <row r="43832" customHeight="1" spans="2:2">
      <c r="B43832" s="62" t="str">
        <f>IF(AND('领用录入（明细）'!D:D=$F$4,'领用录入（明细）'!C:C&gt;=$J$4,'领用录入（明细）'!C:C&lt;=$L$4),ROW(),"-")</f>
        <v>-</v>
      </c>
    </row>
    <row r="43833" customHeight="1" spans="2:2">
      <c r="B43833" s="62" t="str">
        <f>IF(AND('领用录入（明细）'!D:D=$F$4,'领用录入（明细）'!C:C&gt;=$J$4,'领用录入（明细）'!C:C&lt;=$L$4),ROW(),"-")</f>
        <v>-</v>
      </c>
    </row>
    <row r="43834" customHeight="1" spans="2:2">
      <c r="B43834" s="62" t="str">
        <f>IF(AND('领用录入（明细）'!D:D=$F$4,'领用录入（明细）'!C:C&gt;=$J$4,'领用录入（明细）'!C:C&lt;=$L$4),ROW(),"-")</f>
        <v>-</v>
      </c>
    </row>
    <row r="43835" customHeight="1" spans="2:2">
      <c r="B43835" s="62" t="str">
        <f>IF(AND('领用录入（明细）'!D:D=$F$4,'领用录入（明细）'!C:C&gt;=$J$4,'领用录入（明细）'!C:C&lt;=$L$4),ROW(),"-")</f>
        <v>-</v>
      </c>
    </row>
    <row r="43836" customHeight="1" spans="2:2">
      <c r="B43836" s="62" t="str">
        <f>IF(AND('领用录入（明细）'!D:D=$F$4,'领用录入（明细）'!C:C&gt;=$J$4,'领用录入（明细）'!C:C&lt;=$L$4),ROW(),"-")</f>
        <v>-</v>
      </c>
    </row>
    <row r="43837" customHeight="1" spans="2:2">
      <c r="B43837" s="62" t="str">
        <f>IF(AND('领用录入（明细）'!D:D=$F$4,'领用录入（明细）'!C:C&gt;=$J$4,'领用录入（明细）'!C:C&lt;=$L$4),ROW(),"-")</f>
        <v>-</v>
      </c>
    </row>
    <row r="43838" customHeight="1" spans="2:2">
      <c r="B43838" s="62" t="str">
        <f>IF(AND('领用录入（明细）'!D:D=$F$4,'领用录入（明细）'!C:C&gt;=$J$4,'领用录入（明细）'!C:C&lt;=$L$4),ROW(),"-")</f>
        <v>-</v>
      </c>
    </row>
    <row r="43839" customHeight="1" spans="2:2">
      <c r="B43839" s="62" t="str">
        <f>IF(AND('领用录入（明细）'!D:D=$F$4,'领用录入（明细）'!C:C&gt;=$J$4,'领用录入（明细）'!C:C&lt;=$L$4),ROW(),"-")</f>
        <v>-</v>
      </c>
    </row>
    <row r="43840" customHeight="1" spans="2:2">
      <c r="B43840" s="62" t="str">
        <f>IF(AND('领用录入（明细）'!D:D=$F$4,'领用录入（明细）'!C:C&gt;=$J$4,'领用录入（明细）'!C:C&lt;=$L$4),ROW(),"-")</f>
        <v>-</v>
      </c>
    </row>
    <row r="43841" customHeight="1" spans="2:2">
      <c r="B43841" s="62" t="str">
        <f>IF(AND('领用录入（明细）'!D:D=$F$4,'领用录入（明细）'!C:C&gt;=$J$4,'领用录入（明细）'!C:C&lt;=$L$4),ROW(),"-")</f>
        <v>-</v>
      </c>
    </row>
    <row r="43842" customHeight="1" spans="2:2">
      <c r="B43842" s="62" t="str">
        <f>IF(AND('领用录入（明细）'!D:D=$F$4,'领用录入（明细）'!C:C&gt;=$J$4,'领用录入（明细）'!C:C&lt;=$L$4),ROW(),"-")</f>
        <v>-</v>
      </c>
    </row>
    <row r="43843" customHeight="1" spans="2:2">
      <c r="B43843" s="62" t="str">
        <f>IF(AND('领用录入（明细）'!D:D=$F$4,'领用录入（明细）'!C:C&gt;=$J$4,'领用录入（明细）'!C:C&lt;=$L$4),ROW(),"-")</f>
        <v>-</v>
      </c>
    </row>
    <row r="43844" customHeight="1" spans="2:2">
      <c r="B43844" s="62" t="str">
        <f>IF(AND('领用录入（明细）'!D:D=$F$4,'领用录入（明细）'!C:C&gt;=$J$4,'领用录入（明细）'!C:C&lt;=$L$4),ROW(),"-")</f>
        <v>-</v>
      </c>
    </row>
    <row r="43845" customHeight="1" spans="2:2">
      <c r="B43845" s="62" t="str">
        <f>IF(AND('领用录入（明细）'!D:D=$F$4,'领用录入（明细）'!C:C&gt;=$J$4,'领用录入（明细）'!C:C&lt;=$L$4),ROW(),"-")</f>
        <v>-</v>
      </c>
    </row>
    <row r="43846" customHeight="1" spans="2:2">
      <c r="B43846" s="62" t="str">
        <f>IF(AND('领用录入（明细）'!D:D=$F$4,'领用录入（明细）'!C:C&gt;=$J$4,'领用录入（明细）'!C:C&lt;=$L$4),ROW(),"-")</f>
        <v>-</v>
      </c>
    </row>
    <row r="43847" customHeight="1" spans="2:2">
      <c r="B43847" s="62" t="str">
        <f>IF(AND('领用录入（明细）'!D:D=$F$4,'领用录入（明细）'!C:C&gt;=$J$4,'领用录入（明细）'!C:C&lt;=$L$4),ROW(),"-")</f>
        <v>-</v>
      </c>
    </row>
    <row r="43848" customHeight="1" spans="2:2">
      <c r="B43848" s="62" t="str">
        <f>IF(AND('领用录入（明细）'!D:D=$F$4,'领用录入（明细）'!C:C&gt;=$J$4,'领用录入（明细）'!C:C&lt;=$L$4),ROW(),"-")</f>
        <v>-</v>
      </c>
    </row>
    <row r="43849" customHeight="1" spans="2:2">
      <c r="B43849" s="62" t="str">
        <f>IF(AND('领用录入（明细）'!D:D=$F$4,'领用录入（明细）'!C:C&gt;=$J$4,'领用录入（明细）'!C:C&lt;=$L$4),ROW(),"-")</f>
        <v>-</v>
      </c>
    </row>
    <row r="43850" customHeight="1" spans="2:2">
      <c r="B43850" s="62" t="str">
        <f>IF(AND('领用录入（明细）'!D:D=$F$4,'领用录入（明细）'!C:C&gt;=$J$4,'领用录入（明细）'!C:C&lt;=$L$4),ROW(),"-")</f>
        <v>-</v>
      </c>
    </row>
    <row r="43851" customHeight="1" spans="2:2">
      <c r="B43851" s="62" t="str">
        <f>IF(AND('领用录入（明细）'!D:D=$F$4,'领用录入（明细）'!C:C&gt;=$J$4,'领用录入（明细）'!C:C&lt;=$L$4),ROW(),"-")</f>
        <v>-</v>
      </c>
    </row>
    <row r="43852" customHeight="1" spans="2:2">
      <c r="B43852" s="62" t="str">
        <f>IF(AND('领用录入（明细）'!D:D=$F$4,'领用录入（明细）'!C:C&gt;=$J$4,'领用录入（明细）'!C:C&lt;=$L$4),ROW(),"-")</f>
        <v>-</v>
      </c>
    </row>
    <row r="43853" customHeight="1" spans="2:2">
      <c r="B43853" s="62" t="str">
        <f>IF(AND('领用录入（明细）'!D:D=$F$4,'领用录入（明细）'!C:C&gt;=$J$4,'领用录入（明细）'!C:C&lt;=$L$4),ROW(),"-")</f>
        <v>-</v>
      </c>
    </row>
    <row r="43854" customHeight="1" spans="2:2">
      <c r="B43854" s="62" t="str">
        <f>IF(AND('领用录入（明细）'!D:D=$F$4,'领用录入（明细）'!C:C&gt;=$J$4,'领用录入（明细）'!C:C&lt;=$L$4),ROW(),"-")</f>
        <v>-</v>
      </c>
    </row>
    <row r="43855" customHeight="1" spans="2:2">
      <c r="B43855" s="62" t="str">
        <f>IF(AND('领用录入（明细）'!D:D=$F$4,'领用录入（明细）'!C:C&gt;=$J$4,'领用录入（明细）'!C:C&lt;=$L$4),ROW(),"-")</f>
        <v>-</v>
      </c>
    </row>
    <row r="43856" customHeight="1" spans="2:2">
      <c r="B43856" s="62" t="str">
        <f>IF(AND('领用录入（明细）'!D:D=$F$4,'领用录入（明细）'!C:C&gt;=$J$4,'领用录入（明细）'!C:C&lt;=$L$4),ROW(),"-")</f>
        <v>-</v>
      </c>
    </row>
    <row r="43857" customHeight="1" spans="2:2">
      <c r="B43857" s="62" t="str">
        <f>IF(AND('领用录入（明细）'!D:D=$F$4,'领用录入（明细）'!C:C&gt;=$J$4,'领用录入（明细）'!C:C&lt;=$L$4),ROW(),"-")</f>
        <v>-</v>
      </c>
    </row>
    <row r="43858" customHeight="1" spans="2:2">
      <c r="B43858" s="62" t="str">
        <f>IF(AND('领用录入（明细）'!D:D=$F$4,'领用录入（明细）'!C:C&gt;=$J$4,'领用录入（明细）'!C:C&lt;=$L$4),ROW(),"-")</f>
        <v>-</v>
      </c>
    </row>
    <row r="43859" customHeight="1" spans="2:2">
      <c r="B43859" s="62" t="str">
        <f>IF(AND('领用录入（明细）'!D:D=$F$4,'领用录入（明细）'!C:C&gt;=$J$4,'领用录入（明细）'!C:C&lt;=$L$4),ROW(),"-")</f>
        <v>-</v>
      </c>
    </row>
    <row r="43860" customHeight="1" spans="2:2">
      <c r="B43860" s="62" t="str">
        <f>IF(AND('领用录入（明细）'!D:D=$F$4,'领用录入（明细）'!C:C&gt;=$J$4,'领用录入（明细）'!C:C&lt;=$L$4),ROW(),"-")</f>
        <v>-</v>
      </c>
    </row>
    <row r="43861" customHeight="1" spans="2:2">
      <c r="B43861" s="62" t="str">
        <f>IF(AND('领用录入（明细）'!D:D=$F$4,'领用录入（明细）'!C:C&gt;=$J$4,'领用录入（明细）'!C:C&lt;=$L$4),ROW(),"-")</f>
        <v>-</v>
      </c>
    </row>
    <row r="43862" customHeight="1" spans="2:2">
      <c r="B43862" s="62" t="str">
        <f>IF(AND('领用录入（明细）'!D:D=$F$4,'领用录入（明细）'!C:C&gt;=$J$4,'领用录入（明细）'!C:C&lt;=$L$4),ROW(),"-")</f>
        <v>-</v>
      </c>
    </row>
    <row r="43863" customHeight="1" spans="2:2">
      <c r="B43863" s="62" t="str">
        <f>IF(AND('领用录入（明细）'!D:D=$F$4,'领用录入（明细）'!C:C&gt;=$J$4,'领用录入（明细）'!C:C&lt;=$L$4),ROW(),"-")</f>
        <v>-</v>
      </c>
    </row>
    <row r="43864" customHeight="1" spans="2:2">
      <c r="B43864" s="62" t="str">
        <f>IF(AND('领用录入（明细）'!D:D=$F$4,'领用录入（明细）'!C:C&gt;=$J$4,'领用录入（明细）'!C:C&lt;=$L$4),ROW(),"-")</f>
        <v>-</v>
      </c>
    </row>
    <row r="43865" customHeight="1" spans="2:2">
      <c r="B43865" s="62" t="str">
        <f>IF(AND('领用录入（明细）'!D:D=$F$4,'领用录入（明细）'!C:C&gt;=$J$4,'领用录入（明细）'!C:C&lt;=$L$4),ROW(),"-")</f>
        <v>-</v>
      </c>
    </row>
    <row r="43866" customHeight="1" spans="2:2">
      <c r="B43866" s="62" t="str">
        <f>IF(AND('领用录入（明细）'!D:D=$F$4,'领用录入（明细）'!C:C&gt;=$J$4,'领用录入（明细）'!C:C&lt;=$L$4),ROW(),"-")</f>
        <v>-</v>
      </c>
    </row>
    <row r="43867" customHeight="1" spans="2:2">
      <c r="B43867" s="62" t="str">
        <f>IF(AND('领用录入（明细）'!D:D=$F$4,'领用录入（明细）'!C:C&gt;=$J$4,'领用录入（明细）'!C:C&lt;=$L$4),ROW(),"-")</f>
        <v>-</v>
      </c>
    </row>
    <row r="43868" customHeight="1" spans="2:2">
      <c r="B43868" s="62" t="str">
        <f>IF(AND('领用录入（明细）'!D:D=$F$4,'领用录入（明细）'!C:C&gt;=$J$4,'领用录入（明细）'!C:C&lt;=$L$4),ROW(),"-")</f>
        <v>-</v>
      </c>
    </row>
    <row r="43869" customHeight="1" spans="2:2">
      <c r="B43869" s="62" t="str">
        <f>IF(AND('领用录入（明细）'!D:D=$F$4,'领用录入（明细）'!C:C&gt;=$J$4,'领用录入（明细）'!C:C&lt;=$L$4),ROW(),"-")</f>
        <v>-</v>
      </c>
    </row>
    <row r="43870" customHeight="1" spans="2:2">
      <c r="B43870" s="62" t="str">
        <f>IF(AND('领用录入（明细）'!D:D=$F$4,'领用录入（明细）'!C:C&gt;=$J$4,'领用录入（明细）'!C:C&lt;=$L$4),ROW(),"-")</f>
        <v>-</v>
      </c>
    </row>
    <row r="43871" customHeight="1" spans="2:2">
      <c r="B43871" s="62" t="str">
        <f>IF(AND('领用录入（明细）'!D:D=$F$4,'领用录入（明细）'!C:C&gt;=$J$4,'领用录入（明细）'!C:C&lt;=$L$4),ROW(),"-")</f>
        <v>-</v>
      </c>
    </row>
    <row r="43872" customHeight="1" spans="2:2">
      <c r="B43872" s="62" t="str">
        <f>IF(AND('领用录入（明细）'!D:D=$F$4,'领用录入（明细）'!C:C&gt;=$J$4,'领用录入（明细）'!C:C&lt;=$L$4),ROW(),"-")</f>
        <v>-</v>
      </c>
    </row>
    <row r="43873" customHeight="1" spans="2:2">
      <c r="B43873" s="62" t="str">
        <f>IF(AND('领用录入（明细）'!D:D=$F$4,'领用录入（明细）'!C:C&gt;=$J$4,'领用录入（明细）'!C:C&lt;=$L$4),ROW(),"-")</f>
        <v>-</v>
      </c>
    </row>
    <row r="43874" customHeight="1" spans="2:2">
      <c r="B43874" s="62" t="str">
        <f>IF(AND('领用录入（明细）'!D:D=$F$4,'领用录入（明细）'!C:C&gt;=$J$4,'领用录入（明细）'!C:C&lt;=$L$4),ROW(),"-")</f>
        <v>-</v>
      </c>
    </row>
    <row r="43875" customHeight="1" spans="2:2">
      <c r="B43875" s="62" t="str">
        <f>IF(AND('领用录入（明细）'!D:D=$F$4,'领用录入（明细）'!C:C&gt;=$J$4,'领用录入（明细）'!C:C&lt;=$L$4),ROW(),"-")</f>
        <v>-</v>
      </c>
    </row>
    <row r="43876" customHeight="1" spans="2:2">
      <c r="B43876" s="62" t="str">
        <f>IF(AND('领用录入（明细）'!D:D=$F$4,'领用录入（明细）'!C:C&gt;=$J$4,'领用录入（明细）'!C:C&lt;=$L$4),ROW(),"-")</f>
        <v>-</v>
      </c>
    </row>
    <row r="43877" customHeight="1" spans="2:2">
      <c r="B43877" s="62" t="str">
        <f>IF(AND('领用录入（明细）'!D:D=$F$4,'领用录入（明细）'!C:C&gt;=$J$4,'领用录入（明细）'!C:C&lt;=$L$4),ROW(),"-")</f>
        <v>-</v>
      </c>
    </row>
    <row r="43878" customHeight="1" spans="2:2">
      <c r="B43878" s="62" t="str">
        <f>IF(AND('领用录入（明细）'!D:D=$F$4,'领用录入（明细）'!C:C&gt;=$J$4,'领用录入（明细）'!C:C&lt;=$L$4),ROW(),"-")</f>
        <v>-</v>
      </c>
    </row>
    <row r="43879" customHeight="1" spans="2:2">
      <c r="B43879" s="62" t="str">
        <f>IF(AND('领用录入（明细）'!D:D=$F$4,'领用录入（明细）'!C:C&gt;=$J$4,'领用录入（明细）'!C:C&lt;=$L$4),ROW(),"-")</f>
        <v>-</v>
      </c>
    </row>
    <row r="43880" customHeight="1" spans="2:2">
      <c r="B43880" s="62" t="str">
        <f>IF(AND('领用录入（明细）'!D:D=$F$4,'领用录入（明细）'!C:C&gt;=$J$4,'领用录入（明细）'!C:C&lt;=$L$4),ROW(),"-")</f>
        <v>-</v>
      </c>
    </row>
    <row r="43881" customHeight="1" spans="2:2">
      <c r="B43881" s="62" t="str">
        <f>IF(AND('领用录入（明细）'!D:D=$F$4,'领用录入（明细）'!C:C&gt;=$J$4,'领用录入（明细）'!C:C&lt;=$L$4),ROW(),"-")</f>
        <v>-</v>
      </c>
    </row>
    <row r="43882" customHeight="1" spans="2:2">
      <c r="B43882" s="62" t="str">
        <f>IF(AND('领用录入（明细）'!D:D=$F$4,'领用录入（明细）'!C:C&gt;=$J$4,'领用录入（明细）'!C:C&lt;=$L$4),ROW(),"-")</f>
        <v>-</v>
      </c>
    </row>
    <row r="43883" customHeight="1" spans="2:2">
      <c r="B43883" s="62" t="str">
        <f>IF(AND('领用录入（明细）'!D:D=$F$4,'领用录入（明细）'!C:C&gt;=$J$4,'领用录入（明细）'!C:C&lt;=$L$4),ROW(),"-")</f>
        <v>-</v>
      </c>
    </row>
    <row r="43884" customHeight="1" spans="2:2">
      <c r="B43884" s="62" t="str">
        <f>IF(AND('领用录入（明细）'!D:D=$F$4,'领用录入（明细）'!C:C&gt;=$J$4,'领用录入（明细）'!C:C&lt;=$L$4),ROW(),"-")</f>
        <v>-</v>
      </c>
    </row>
    <row r="43885" customHeight="1" spans="2:2">
      <c r="B43885" s="62" t="str">
        <f>IF(AND('领用录入（明细）'!D:D=$F$4,'领用录入（明细）'!C:C&gt;=$J$4,'领用录入（明细）'!C:C&lt;=$L$4),ROW(),"-")</f>
        <v>-</v>
      </c>
    </row>
    <row r="43886" customHeight="1" spans="2:2">
      <c r="B43886" s="62" t="str">
        <f>IF(AND('领用录入（明细）'!D:D=$F$4,'领用录入（明细）'!C:C&gt;=$J$4,'领用录入（明细）'!C:C&lt;=$L$4),ROW(),"-")</f>
        <v>-</v>
      </c>
    </row>
    <row r="43887" customHeight="1" spans="2:2">
      <c r="B43887" s="62" t="str">
        <f>IF(AND('领用录入（明细）'!D:D=$F$4,'领用录入（明细）'!C:C&gt;=$J$4,'领用录入（明细）'!C:C&lt;=$L$4),ROW(),"-")</f>
        <v>-</v>
      </c>
    </row>
    <row r="43888" customHeight="1" spans="2:2">
      <c r="B43888" s="62" t="str">
        <f>IF(AND('领用录入（明细）'!D:D=$F$4,'领用录入（明细）'!C:C&gt;=$J$4,'领用录入（明细）'!C:C&lt;=$L$4),ROW(),"-")</f>
        <v>-</v>
      </c>
    </row>
    <row r="43889" customHeight="1" spans="2:2">
      <c r="B43889" s="62" t="str">
        <f>IF(AND('领用录入（明细）'!D:D=$F$4,'领用录入（明细）'!C:C&gt;=$J$4,'领用录入（明细）'!C:C&lt;=$L$4),ROW(),"-")</f>
        <v>-</v>
      </c>
    </row>
    <row r="43890" customHeight="1" spans="2:2">
      <c r="B43890" s="62" t="str">
        <f>IF(AND('领用录入（明细）'!D:D=$F$4,'领用录入（明细）'!C:C&gt;=$J$4,'领用录入（明细）'!C:C&lt;=$L$4),ROW(),"-")</f>
        <v>-</v>
      </c>
    </row>
    <row r="43891" customHeight="1" spans="2:2">
      <c r="B43891" s="62" t="str">
        <f>IF(AND('领用录入（明细）'!D:D=$F$4,'领用录入（明细）'!C:C&gt;=$J$4,'领用录入（明细）'!C:C&lt;=$L$4),ROW(),"-")</f>
        <v>-</v>
      </c>
    </row>
    <row r="43892" customHeight="1" spans="2:2">
      <c r="B43892" s="62" t="str">
        <f>IF(AND('领用录入（明细）'!D:D=$F$4,'领用录入（明细）'!C:C&gt;=$J$4,'领用录入（明细）'!C:C&lt;=$L$4),ROW(),"-")</f>
        <v>-</v>
      </c>
    </row>
    <row r="43893" customHeight="1" spans="2:2">
      <c r="B43893" s="62" t="str">
        <f>IF(AND('领用录入（明细）'!D:D=$F$4,'领用录入（明细）'!C:C&gt;=$J$4,'领用录入（明细）'!C:C&lt;=$L$4),ROW(),"-")</f>
        <v>-</v>
      </c>
    </row>
    <row r="43894" customHeight="1" spans="2:2">
      <c r="B43894" s="62" t="str">
        <f>IF(AND('领用录入（明细）'!D:D=$F$4,'领用录入（明细）'!C:C&gt;=$J$4,'领用录入（明细）'!C:C&lt;=$L$4),ROW(),"-")</f>
        <v>-</v>
      </c>
    </row>
    <row r="43895" customHeight="1" spans="2:2">
      <c r="B43895" s="62" t="str">
        <f>IF(AND('领用录入（明细）'!D:D=$F$4,'领用录入（明细）'!C:C&gt;=$J$4,'领用录入（明细）'!C:C&lt;=$L$4),ROW(),"-")</f>
        <v>-</v>
      </c>
    </row>
    <row r="43896" customHeight="1" spans="2:2">
      <c r="B43896" s="62" t="str">
        <f>IF(AND('领用录入（明细）'!D:D=$F$4,'领用录入（明细）'!C:C&gt;=$J$4,'领用录入（明细）'!C:C&lt;=$L$4),ROW(),"-")</f>
        <v>-</v>
      </c>
    </row>
    <row r="43897" customHeight="1" spans="2:2">
      <c r="B43897" s="62" t="str">
        <f>IF(AND('领用录入（明细）'!D:D=$F$4,'领用录入（明细）'!C:C&gt;=$J$4,'领用录入（明细）'!C:C&lt;=$L$4),ROW(),"-")</f>
        <v>-</v>
      </c>
    </row>
    <row r="43898" customHeight="1" spans="2:2">
      <c r="B43898" s="62" t="str">
        <f>IF(AND('领用录入（明细）'!D:D=$F$4,'领用录入（明细）'!C:C&gt;=$J$4,'领用录入（明细）'!C:C&lt;=$L$4),ROW(),"-")</f>
        <v>-</v>
      </c>
    </row>
    <row r="43899" customHeight="1" spans="2:2">
      <c r="B43899" s="62" t="str">
        <f>IF(AND('领用录入（明细）'!D:D=$F$4,'领用录入（明细）'!C:C&gt;=$J$4,'领用录入（明细）'!C:C&lt;=$L$4),ROW(),"-")</f>
        <v>-</v>
      </c>
    </row>
    <row r="43900" customHeight="1" spans="2:2">
      <c r="B43900" s="62" t="str">
        <f>IF(AND('领用录入（明细）'!D:D=$F$4,'领用录入（明细）'!C:C&gt;=$J$4,'领用录入（明细）'!C:C&lt;=$L$4),ROW(),"-")</f>
        <v>-</v>
      </c>
    </row>
    <row r="43901" customHeight="1" spans="2:2">
      <c r="B43901" s="62" t="str">
        <f>IF(AND('领用录入（明细）'!D:D=$F$4,'领用录入（明细）'!C:C&gt;=$J$4,'领用录入（明细）'!C:C&lt;=$L$4),ROW(),"-")</f>
        <v>-</v>
      </c>
    </row>
    <row r="43902" customHeight="1" spans="2:2">
      <c r="B43902" s="62" t="str">
        <f>IF(AND('领用录入（明细）'!D:D=$F$4,'领用录入（明细）'!C:C&gt;=$J$4,'领用录入（明细）'!C:C&lt;=$L$4),ROW(),"-")</f>
        <v>-</v>
      </c>
    </row>
    <row r="43903" customHeight="1" spans="2:2">
      <c r="B43903" s="62" t="str">
        <f>IF(AND('领用录入（明细）'!D:D=$F$4,'领用录入（明细）'!C:C&gt;=$J$4,'领用录入（明细）'!C:C&lt;=$L$4),ROW(),"-")</f>
        <v>-</v>
      </c>
    </row>
    <row r="43904" customHeight="1" spans="2:2">
      <c r="B43904" s="62" t="str">
        <f>IF(AND('领用录入（明细）'!D:D=$F$4,'领用录入（明细）'!C:C&gt;=$J$4,'领用录入（明细）'!C:C&lt;=$L$4),ROW(),"-")</f>
        <v>-</v>
      </c>
    </row>
    <row r="43905" customHeight="1" spans="2:2">
      <c r="B43905" s="62" t="str">
        <f>IF(AND('领用录入（明细）'!D:D=$F$4,'领用录入（明细）'!C:C&gt;=$J$4,'领用录入（明细）'!C:C&lt;=$L$4),ROW(),"-")</f>
        <v>-</v>
      </c>
    </row>
    <row r="43906" customHeight="1" spans="2:2">
      <c r="B43906" s="62" t="str">
        <f>IF(AND('领用录入（明细）'!D:D=$F$4,'领用录入（明细）'!C:C&gt;=$J$4,'领用录入（明细）'!C:C&lt;=$L$4),ROW(),"-")</f>
        <v>-</v>
      </c>
    </row>
    <row r="43907" customHeight="1" spans="2:2">
      <c r="B43907" s="62" t="str">
        <f>IF(AND('领用录入（明细）'!D:D=$F$4,'领用录入（明细）'!C:C&gt;=$J$4,'领用录入（明细）'!C:C&lt;=$L$4),ROW(),"-")</f>
        <v>-</v>
      </c>
    </row>
    <row r="43908" customHeight="1" spans="2:2">
      <c r="B43908" s="62" t="str">
        <f>IF(AND('领用录入（明细）'!D:D=$F$4,'领用录入（明细）'!C:C&gt;=$J$4,'领用录入（明细）'!C:C&lt;=$L$4),ROW(),"-")</f>
        <v>-</v>
      </c>
    </row>
    <row r="43909" customHeight="1" spans="2:2">
      <c r="B43909" s="62" t="str">
        <f>IF(AND('领用录入（明细）'!D:D=$F$4,'领用录入（明细）'!C:C&gt;=$J$4,'领用录入（明细）'!C:C&lt;=$L$4),ROW(),"-")</f>
        <v>-</v>
      </c>
    </row>
    <row r="43910" customHeight="1" spans="2:2">
      <c r="B43910" s="62" t="str">
        <f>IF(AND('领用录入（明细）'!D:D=$F$4,'领用录入（明细）'!C:C&gt;=$J$4,'领用录入（明细）'!C:C&lt;=$L$4),ROW(),"-")</f>
        <v>-</v>
      </c>
    </row>
    <row r="43911" customHeight="1" spans="2:2">
      <c r="B43911" s="62" t="str">
        <f>IF(AND('领用录入（明细）'!D:D=$F$4,'领用录入（明细）'!C:C&gt;=$J$4,'领用录入（明细）'!C:C&lt;=$L$4),ROW(),"-")</f>
        <v>-</v>
      </c>
    </row>
    <row r="43912" customHeight="1" spans="2:2">
      <c r="B43912" s="62" t="str">
        <f>IF(AND('领用录入（明细）'!D:D=$F$4,'领用录入（明细）'!C:C&gt;=$J$4,'领用录入（明细）'!C:C&lt;=$L$4),ROW(),"-")</f>
        <v>-</v>
      </c>
    </row>
    <row r="43913" customHeight="1" spans="2:2">
      <c r="B43913" s="62" t="str">
        <f>IF(AND('领用录入（明细）'!D:D=$F$4,'领用录入（明细）'!C:C&gt;=$J$4,'领用录入（明细）'!C:C&lt;=$L$4),ROW(),"-")</f>
        <v>-</v>
      </c>
    </row>
    <row r="43914" customHeight="1" spans="2:2">
      <c r="B43914" s="62" t="str">
        <f>IF(AND('领用录入（明细）'!D:D=$F$4,'领用录入（明细）'!C:C&gt;=$J$4,'领用录入（明细）'!C:C&lt;=$L$4),ROW(),"-")</f>
        <v>-</v>
      </c>
    </row>
    <row r="43915" customHeight="1" spans="2:2">
      <c r="B43915" s="62" t="str">
        <f>IF(AND('领用录入（明细）'!D:D=$F$4,'领用录入（明细）'!C:C&gt;=$J$4,'领用录入（明细）'!C:C&lt;=$L$4),ROW(),"-")</f>
        <v>-</v>
      </c>
    </row>
    <row r="43916" customHeight="1" spans="2:2">
      <c r="B43916" s="62" t="str">
        <f>IF(AND('领用录入（明细）'!D:D=$F$4,'领用录入（明细）'!C:C&gt;=$J$4,'领用录入（明细）'!C:C&lt;=$L$4),ROW(),"-")</f>
        <v>-</v>
      </c>
    </row>
    <row r="43917" customHeight="1" spans="2:2">
      <c r="B43917" s="62" t="str">
        <f>IF(AND('领用录入（明细）'!D:D=$F$4,'领用录入（明细）'!C:C&gt;=$J$4,'领用录入（明细）'!C:C&lt;=$L$4),ROW(),"-")</f>
        <v>-</v>
      </c>
    </row>
    <row r="43918" customHeight="1" spans="2:2">
      <c r="B43918" s="62" t="str">
        <f>IF(AND('领用录入（明细）'!D:D=$F$4,'领用录入（明细）'!C:C&gt;=$J$4,'领用录入（明细）'!C:C&lt;=$L$4),ROW(),"-")</f>
        <v>-</v>
      </c>
    </row>
    <row r="43919" customHeight="1" spans="2:2">
      <c r="B43919" s="62" t="str">
        <f>IF(AND('领用录入（明细）'!D:D=$F$4,'领用录入（明细）'!C:C&gt;=$J$4,'领用录入（明细）'!C:C&lt;=$L$4),ROW(),"-")</f>
        <v>-</v>
      </c>
    </row>
    <row r="43920" customHeight="1" spans="2:2">
      <c r="B43920" s="62" t="str">
        <f>IF(AND('领用录入（明细）'!D:D=$F$4,'领用录入（明细）'!C:C&gt;=$J$4,'领用录入（明细）'!C:C&lt;=$L$4),ROW(),"-")</f>
        <v>-</v>
      </c>
    </row>
    <row r="43921" customHeight="1" spans="2:2">
      <c r="B43921" s="62" t="str">
        <f>IF(AND('领用录入（明细）'!D:D=$F$4,'领用录入（明细）'!C:C&gt;=$J$4,'领用录入（明细）'!C:C&lt;=$L$4),ROW(),"-")</f>
        <v>-</v>
      </c>
    </row>
    <row r="43922" customHeight="1" spans="2:2">
      <c r="B43922" s="62" t="str">
        <f>IF(AND('领用录入（明细）'!D:D=$F$4,'领用录入（明细）'!C:C&gt;=$J$4,'领用录入（明细）'!C:C&lt;=$L$4),ROW(),"-")</f>
        <v>-</v>
      </c>
    </row>
    <row r="43923" customHeight="1" spans="2:2">
      <c r="B43923" s="62" t="str">
        <f>IF(AND('领用录入（明细）'!D:D=$F$4,'领用录入（明细）'!C:C&gt;=$J$4,'领用录入（明细）'!C:C&lt;=$L$4),ROW(),"-")</f>
        <v>-</v>
      </c>
    </row>
    <row r="43924" customHeight="1" spans="2:2">
      <c r="B43924" s="62" t="str">
        <f>IF(AND('领用录入（明细）'!D:D=$F$4,'领用录入（明细）'!C:C&gt;=$J$4,'领用录入（明细）'!C:C&lt;=$L$4),ROW(),"-")</f>
        <v>-</v>
      </c>
    </row>
    <row r="43925" customHeight="1" spans="2:2">
      <c r="B43925" s="62" t="str">
        <f>IF(AND('领用录入（明细）'!D:D=$F$4,'领用录入（明细）'!C:C&gt;=$J$4,'领用录入（明细）'!C:C&lt;=$L$4),ROW(),"-")</f>
        <v>-</v>
      </c>
    </row>
    <row r="43926" customHeight="1" spans="2:2">
      <c r="B43926" s="62" t="str">
        <f>IF(AND('领用录入（明细）'!D:D=$F$4,'领用录入（明细）'!C:C&gt;=$J$4,'领用录入（明细）'!C:C&lt;=$L$4),ROW(),"-")</f>
        <v>-</v>
      </c>
    </row>
    <row r="43927" customHeight="1" spans="2:2">
      <c r="B43927" s="62" t="str">
        <f>IF(AND('领用录入（明细）'!D:D=$F$4,'领用录入（明细）'!C:C&gt;=$J$4,'领用录入（明细）'!C:C&lt;=$L$4),ROW(),"-")</f>
        <v>-</v>
      </c>
    </row>
    <row r="43928" customHeight="1" spans="2:2">
      <c r="B43928" s="62" t="str">
        <f>IF(AND('领用录入（明细）'!D:D=$F$4,'领用录入（明细）'!C:C&gt;=$J$4,'领用录入（明细）'!C:C&lt;=$L$4),ROW(),"-")</f>
        <v>-</v>
      </c>
    </row>
    <row r="43929" customHeight="1" spans="2:2">
      <c r="B43929" s="62" t="str">
        <f>IF(AND('领用录入（明细）'!D:D=$F$4,'领用录入（明细）'!C:C&gt;=$J$4,'领用录入（明细）'!C:C&lt;=$L$4),ROW(),"-")</f>
        <v>-</v>
      </c>
    </row>
    <row r="43930" customHeight="1" spans="2:2">
      <c r="B43930" s="62" t="str">
        <f>IF(AND('领用录入（明细）'!D:D=$F$4,'领用录入（明细）'!C:C&gt;=$J$4,'领用录入（明细）'!C:C&lt;=$L$4),ROW(),"-")</f>
        <v>-</v>
      </c>
    </row>
    <row r="43931" customHeight="1" spans="2:2">
      <c r="B43931" s="62" t="str">
        <f>IF(AND('领用录入（明细）'!D:D=$F$4,'领用录入（明细）'!C:C&gt;=$J$4,'领用录入（明细）'!C:C&lt;=$L$4),ROW(),"-")</f>
        <v>-</v>
      </c>
    </row>
    <row r="43932" customHeight="1" spans="2:2">
      <c r="B43932" s="62" t="str">
        <f>IF(AND('领用录入（明细）'!D:D=$F$4,'领用录入（明细）'!C:C&gt;=$J$4,'领用录入（明细）'!C:C&lt;=$L$4),ROW(),"-")</f>
        <v>-</v>
      </c>
    </row>
    <row r="43933" customHeight="1" spans="2:2">
      <c r="B43933" s="62" t="str">
        <f>IF(AND('领用录入（明细）'!D:D=$F$4,'领用录入（明细）'!C:C&gt;=$J$4,'领用录入（明细）'!C:C&lt;=$L$4),ROW(),"-")</f>
        <v>-</v>
      </c>
    </row>
    <row r="43934" customHeight="1" spans="2:2">
      <c r="B43934" s="62" t="str">
        <f>IF(AND('领用录入（明细）'!D:D=$F$4,'领用录入（明细）'!C:C&gt;=$J$4,'领用录入（明细）'!C:C&lt;=$L$4),ROW(),"-")</f>
        <v>-</v>
      </c>
    </row>
    <row r="43935" customHeight="1" spans="2:2">
      <c r="B43935" s="62" t="str">
        <f>IF(AND('领用录入（明细）'!D:D=$F$4,'领用录入（明细）'!C:C&gt;=$J$4,'领用录入（明细）'!C:C&lt;=$L$4),ROW(),"-")</f>
        <v>-</v>
      </c>
    </row>
    <row r="43936" customHeight="1" spans="2:2">
      <c r="B43936" s="62" t="str">
        <f>IF(AND('领用录入（明细）'!D:D=$F$4,'领用录入（明细）'!C:C&gt;=$J$4,'领用录入（明细）'!C:C&lt;=$L$4),ROW(),"-")</f>
        <v>-</v>
      </c>
    </row>
    <row r="43937" customHeight="1" spans="2:2">
      <c r="B43937" s="62" t="str">
        <f>IF(AND('领用录入（明细）'!D:D=$F$4,'领用录入（明细）'!C:C&gt;=$J$4,'领用录入（明细）'!C:C&lt;=$L$4),ROW(),"-")</f>
        <v>-</v>
      </c>
    </row>
    <row r="43938" customHeight="1" spans="2:2">
      <c r="B43938" s="62" t="str">
        <f>IF(AND('领用录入（明细）'!D:D=$F$4,'领用录入（明细）'!C:C&gt;=$J$4,'领用录入（明细）'!C:C&lt;=$L$4),ROW(),"-")</f>
        <v>-</v>
      </c>
    </row>
    <row r="43939" customHeight="1" spans="2:2">
      <c r="B43939" s="62" t="str">
        <f>IF(AND('领用录入（明细）'!D:D=$F$4,'领用录入（明细）'!C:C&gt;=$J$4,'领用录入（明细）'!C:C&lt;=$L$4),ROW(),"-")</f>
        <v>-</v>
      </c>
    </row>
    <row r="43940" customHeight="1" spans="2:2">
      <c r="B43940" s="62" t="str">
        <f>IF(AND('领用录入（明细）'!D:D=$F$4,'领用录入（明细）'!C:C&gt;=$J$4,'领用录入（明细）'!C:C&lt;=$L$4),ROW(),"-")</f>
        <v>-</v>
      </c>
    </row>
    <row r="43941" customHeight="1" spans="2:2">
      <c r="B43941" s="62" t="str">
        <f>IF(AND('领用录入（明细）'!D:D=$F$4,'领用录入（明细）'!C:C&gt;=$J$4,'领用录入（明细）'!C:C&lt;=$L$4),ROW(),"-")</f>
        <v>-</v>
      </c>
    </row>
    <row r="43942" customHeight="1" spans="2:2">
      <c r="B43942" s="62" t="str">
        <f>IF(AND('领用录入（明细）'!D:D=$F$4,'领用录入（明细）'!C:C&gt;=$J$4,'领用录入（明细）'!C:C&lt;=$L$4),ROW(),"-")</f>
        <v>-</v>
      </c>
    </row>
    <row r="43943" customHeight="1" spans="2:2">
      <c r="B43943" s="62" t="str">
        <f>IF(AND('领用录入（明细）'!D:D=$F$4,'领用录入（明细）'!C:C&gt;=$J$4,'领用录入（明细）'!C:C&lt;=$L$4),ROW(),"-")</f>
        <v>-</v>
      </c>
    </row>
    <row r="43944" customHeight="1" spans="2:2">
      <c r="B43944" s="62" t="str">
        <f>IF(AND('领用录入（明细）'!D:D=$F$4,'领用录入（明细）'!C:C&gt;=$J$4,'领用录入（明细）'!C:C&lt;=$L$4),ROW(),"-")</f>
        <v>-</v>
      </c>
    </row>
    <row r="43945" customHeight="1" spans="2:2">
      <c r="B43945" s="62" t="str">
        <f>IF(AND('领用录入（明细）'!D:D=$F$4,'领用录入（明细）'!C:C&gt;=$J$4,'领用录入（明细）'!C:C&lt;=$L$4),ROW(),"-")</f>
        <v>-</v>
      </c>
    </row>
    <row r="43946" customHeight="1" spans="2:2">
      <c r="B43946" s="62" t="str">
        <f>IF(AND('领用录入（明细）'!D:D=$F$4,'领用录入（明细）'!C:C&gt;=$J$4,'领用录入（明细）'!C:C&lt;=$L$4),ROW(),"-")</f>
        <v>-</v>
      </c>
    </row>
    <row r="43947" customHeight="1" spans="2:2">
      <c r="B43947" s="62" t="str">
        <f>IF(AND('领用录入（明细）'!D:D=$F$4,'领用录入（明细）'!C:C&gt;=$J$4,'领用录入（明细）'!C:C&lt;=$L$4),ROW(),"-")</f>
        <v>-</v>
      </c>
    </row>
    <row r="43948" customHeight="1" spans="2:2">
      <c r="B43948" s="62" t="str">
        <f>IF(AND('领用录入（明细）'!D:D=$F$4,'领用录入（明细）'!C:C&gt;=$J$4,'领用录入（明细）'!C:C&lt;=$L$4),ROW(),"-")</f>
        <v>-</v>
      </c>
    </row>
    <row r="43949" customHeight="1" spans="2:2">
      <c r="B43949" s="62" t="str">
        <f>IF(AND('领用录入（明细）'!D:D=$F$4,'领用录入（明细）'!C:C&gt;=$J$4,'领用录入（明细）'!C:C&lt;=$L$4),ROW(),"-")</f>
        <v>-</v>
      </c>
    </row>
    <row r="43950" customHeight="1" spans="2:2">
      <c r="B43950" s="62" t="str">
        <f>IF(AND('领用录入（明细）'!D:D=$F$4,'领用录入（明细）'!C:C&gt;=$J$4,'领用录入（明细）'!C:C&lt;=$L$4),ROW(),"-")</f>
        <v>-</v>
      </c>
    </row>
    <row r="43951" customHeight="1" spans="2:2">
      <c r="B43951" s="62" t="str">
        <f>IF(AND('领用录入（明细）'!D:D=$F$4,'领用录入（明细）'!C:C&gt;=$J$4,'领用录入（明细）'!C:C&lt;=$L$4),ROW(),"-")</f>
        <v>-</v>
      </c>
    </row>
    <row r="43952" customHeight="1" spans="2:2">
      <c r="B43952" s="62" t="str">
        <f>IF(AND('领用录入（明细）'!D:D=$F$4,'领用录入（明细）'!C:C&gt;=$J$4,'领用录入（明细）'!C:C&lt;=$L$4),ROW(),"-")</f>
        <v>-</v>
      </c>
    </row>
    <row r="43953" customHeight="1" spans="2:2">
      <c r="B43953" s="62" t="str">
        <f>IF(AND('领用录入（明细）'!D:D=$F$4,'领用录入（明细）'!C:C&gt;=$J$4,'领用录入（明细）'!C:C&lt;=$L$4),ROW(),"-")</f>
        <v>-</v>
      </c>
    </row>
    <row r="43954" customHeight="1" spans="2:2">
      <c r="B43954" s="62" t="str">
        <f>IF(AND('领用录入（明细）'!D:D=$F$4,'领用录入（明细）'!C:C&gt;=$J$4,'领用录入（明细）'!C:C&lt;=$L$4),ROW(),"-")</f>
        <v>-</v>
      </c>
    </row>
    <row r="43955" customHeight="1" spans="2:2">
      <c r="B43955" s="62" t="str">
        <f>IF(AND('领用录入（明细）'!D:D=$F$4,'领用录入（明细）'!C:C&gt;=$J$4,'领用录入（明细）'!C:C&lt;=$L$4),ROW(),"-")</f>
        <v>-</v>
      </c>
    </row>
    <row r="43956" customHeight="1" spans="2:2">
      <c r="B43956" s="62" t="str">
        <f>IF(AND('领用录入（明细）'!D:D=$F$4,'领用录入（明细）'!C:C&gt;=$J$4,'领用录入（明细）'!C:C&lt;=$L$4),ROW(),"-")</f>
        <v>-</v>
      </c>
    </row>
    <row r="43957" customHeight="1" spans="2:2">
      <c r="B43957" s="62" t="str">
        <f>IF(AND('领用录入（明细）'!D:D=$F$4,'领用录入（明细）'!C:C&gt;=$J$4,'领用录入（明细）'!C:C&lt;=$L$4),ROW(),"-")</f>
        <v>-</v>
      </c>
    </row>
    <row r="43958" customHeight="1" spans="2:2">
      <c r="B43958" s="62" t="str">
        <f>IF(AND('领用录入（明细）'!D:D=$F$4,'领用录入（明细）'!C:C&gt;=$J$4,'领用录入（明细）'!C:C&lt;=$L$4),ROW(),"-")</f>
        <v>-</v>
      </c>
    </row>
    <row r="43959" customHeight="1" spans="2:2">
      <c r="B43959" s="62" t="str">
        <f>IF(AND('领用录入（明细）'!D:D=$F$4,'领用录入（明细）'!C:C&gt;=$J$4,'领用录入（明细）'!C:C&lt;=$L$4),ROW(),"-")</f>
        <v>-</v>
      </c>
    </row>
    <row r="43960" customHeight="1" spans="2:2">
      <c r="B43960" s="62" t="str">
        <f>IF(AND('领用录入（明细）'!D:D=$F$4,'领用录入（明细）'!C:C&gt;=$J$4,'领用录入（明细）'!C:C&lt;=$L$4),ROW(),"-")</f>
        <v>-</v>
      </c>
    </row>
    <row r="43961" customHeight="1" spans="2:2">
      <c r="B43961" s="62" t="str">
        <f>IF(AND('领用录入（明细）'!D:D=$F$4,'领用录入（明细）'!C:C&gt;=$J$4,'领用录入（明细）'!C:C&lt;=$L$4),ROW(),"-")</f>
        <v>-</v>
      </c>
    </row>
    <row r="43962" customHeight="1" spans="2:2">
      <c r="B43962" s="62" t="str">
        <f>IF(AND('领用录入（明细）'!D:D=$F$4,'领用录入（明细）'!C:C&gt;=$J$4,'领用录入（明细）'!C:C&lt;=$L$4),ROW(),"-")</f>
        <v>-</v>
      </c>
    </row>
    <row r="43963" customHeight="1" spans="2:2">
      <c r="B43963" s="62" t="str">
        <f>IF(AND('领用录入（明细）'!D:D=$F$4,'领用录入（明细）'!C:C&gt;=$J$4,'领用录入（明细）'!C:C&lt;=$L$4),ROW(),"-")</f>
        <v>-</v>
      </c>
    </row>
    <row r="43964" customHeight="1" spans="2:2">
      <c r="B43964" s="62" t="str">
        <f>IF(AND('领用录入（明细）'!D:D=$F$4,'领用录入（明细）'!C:C&gt;=$J$4,'领用录入（明细）'!C:C&lt;=$L$4),ROW(),"-")</f>
        <v>-</v>
      </c>
    </row>
    <row r="43965" customHeight="1" spans="2:2">
      <c r="B43965" s="62" t="str">
        <f>IF(AND('领用录入（明细）'!D:D=$F$4,'领用录入（明细）'!C:C&gt;=$J$4,'领用录入（明细）'!C:C&lt;=$L$4),ROW(),"-")</f>
        <v>-</v>
      </c>
    </row>
    <row r="43966" customHeight="1" spans="2:2">
      <c r="B43966" s="62" t="str">
        <f>IF(AND('领用录入（明细）'!D:D=$F$4,'领用录入（明细）'!C:C&gt;=$J$4,'领用录入（明细）'!C:C&lt;=$L$4),ROW(),"-")</f>
        <v>-</v>
      </c>
    </row>
    <row r="43967" customHeight="1" spans="2:2">
      <c r="B43967" s="62" t="str">
        <f>IF(AND('领用录入（明细）'!D:D=$F$4,'领用录入（明细）'!C:C&gt;=$J$4,'领用录入（明细）'!C:C&lt;=$L$4),ROW(),"-")</f>
        <v>-</v>
      </c>
    </row>
    <row r="43968" customHeight="1" spans="2:2">
      <c r="B43968" s="62" t="str">
        <f>IF(AND('领用录入（明细）'!D:D=$F$4,'领用录入（明细）'!C:C&gt;=$J$4,'领用录入（明细）'!C:C&lt;=$L$4),ROW(),"-")</f>
        <v>-</v>
      </c>
    </row>
    <row r="43969" customHeight="1" spans="2:2">
      <c r="B43969" s="62" t="str">
        <f>IF(AND('领用录入（明细）'!D:D=$F$4,'领用录入（明细）'!C:C&gt;=$J$4,'领用录入（明细）'!C:C&lt;=$L$4),ROW(),"-")</f>
        <v>-</v>
      </c>
    </row>
    <row r="43970" customHeight="1" spans="2:2">
      <c r="B43970" s="62" t="str">
        <f>IF(AND('领用录入（明细）'!D:D=$F$4,'领用录入（明细）'!C:C&gt;=$J$4,'领用录入（明细）'!C:C&lt;=$L$4),ROW(),"-")</f>
        <v>-</v>
      </c>
    </row>
    <row r="43971" customHeight="1" spans="2:2">
      <c r="B43971" s="62" t="str">
        <f>IF(AND('领用录入（明细）'!D:D=$F$4,'领用录入（明细）'!C:C&gt;=$J$4,'领用录入（明细）'!C:C&lt;=$L$4),ROW(),"-")</f>
        <v>-</v>
      </c>
    </row>
    <row r="43972" customHeight="1" spans="2:2">
      <c r="B43972" s="62" t="str">
        <f>IF(AND('领用录入（明细）'!D:D=$F$4,'领用录入（明细）'!C:C&gt;=$J$4,'领用录入（明细）'!C:C&lt;=$L$4),ROW(),"-")</f>
        <v>-</v>
      </c>
    </row>
    <row r="43973" customHeight="1" spans="2:2">
      <c r="B43973" s="62" t="str">
        <f>IF(AND('领用录入（明细）'!D:D=$F$4,'领用录入（明细）'!C:C&gt;=$J$4,'领用录入（明细）'!C:C&lt;=$L$4),ROW(),"-")</f>
        <v>-</v>
      </c>
    </row>
    <row r="43974" customHeight="1" spans="2:2">
      <c r="B43974" s="62" t="str">
        <f>IF(AND('领用录入（明细）'!D:D=$F$4,'领用录入（明细）'!C:C&gt;=$J$4,'领用录入（明细）'!C:C&lt;=$L$4),ROW(),"-")</f>
        <v>-</v>
      </c>
    </row>
    <row r="43975" customHeight="1" spans="2:2">
      <c r="B43975" s="62" t="str">
        <f>IF(AND('领用录入（明细）'!D:D=$F$4,'领用录入（明细）'!C:C&gt;=$J$4,'领用录入（明细）'!C:C&lt;=$L$4),ROW(),"-")</f>
        <v>-</v>
      </c>
    </row>
    <row r="43976" customHeight="1" spans="2:2">
      <c r="B43976" s="62" t="str">
        <f>IF(AND('领用录入（明细）'!D:D=$F$4,'领用录入（明细）'!C:C&gt;=$J$4,'领用录入（明细）'!C:C&lt;=$L$4),ROW(),"-")</f>
        <v>-</v>
      </c>
    </row>
    <row r="43977" customHeight="1" spans="2:2">
      <c r="B43977" s="62" t="str">
        <f>IF(AND('领用录入（明细）'!D:D=$F$4,'领用录入（明细）'!C:C&gt;=$J$4,'领用录入（明细）'!C:C&lt;=$L$4),ROW(),"-")</f>
        <v>-</v>
      </c>
    </row>
    <row r="43978" customHeight="1" spans="2:2">
      <c r="B43978" s="62" t="str">
        <f>IF(AND('领用录入（明细）'!D:D=$F$4,'领用录入（明细）'!C:C&gt;=$J$4,'领用录入（明细）'!C:C&lt;=$L$4),ROW(),"-")</f>
        <v>-</v>
      </c>
    </row>
    <row r="43979" customHeight="1" spans="2:2">
      <c r="B43979" s="62" t="str">
        <f>IF(AND('领用录入（明细）'!D:D=$F$4,'领用录入（明细）'!C:C&gt;=$J$4,'领用录入（明细）'!C:C&lt;=$L$4),ROW(),"-")</f>
        <v>-</v>
      </c>
    </row>
    <row r="43980" customHeight="1" spans="2:2">
      <c r="B43980" s="62" t="str">
        <f>IF(AND('领用录入（明细）'!D:D=$F$4,'领用录入（明细）'!C:C&gt;=$J$4,'领用录入（明细）'!C:C&lt;=$L$4),ROW(),"-")</f>
        <v>-</v>
      </c>
    </row>
    <row r="43981" customHeight="1" spans="2:2">
      <c r="B43981" s="62" t="str">
        <f>IF(AND('领用录入（明细）'!D:D=$F$4,'领用录入（明细）'!C:C&gt;=$J$4,'领用录入（明细）'!C:C&lt;=$L$4),ROW(),"-")</f>
        <v>-</v>
      </c>
    </row>
    <row r="43982" customHeight="1" spans="2:2">
      <c r="B43982" s="62" t="str">
        <f>IF(AND('领用录入（明细）'!D:D=$F$4,'领用录入（明细）'!C:C&gt;=$J$4,'领用录入（明细）'!C:C&lt;=$L$4),ROW(),"-")</f>
        <v>-</v>
      </c>
    </row>
    <row r="43983" customHeight="1" spans="2:2">
      <c r="B43983" s="62" t="str">
        <f>IF(AND('领用录入（明细）'!D:D=$F$4,'领用录入（明细）'!C:C&gt;=$J$4,'领用录入（明细）'!C:C&lt;=$L$4),ROW(),"-")</f>
        <v>-</v>
      </c>
    </row>
    <row r="43984" customHeight="1" spans="2:2">
      <c r="B43984" s="62" t="str">
        <f>IF(AND('领用录入（明细）'!D:D=$F$4,'领用录入（明细）'!C:C&gt;=$J$4,'领用录入（明细）'!C:C&lt;=$L$4),ROW(),"-")</f>
        <v>-</v>
      </c>
    </row>
    <row r="43985" customHeight="1" spans="2:2">
      <c r="B43985" s="62" t="str">
        <f>IF(AND('领用录入（明细）'!D:D=$F$4,'领用录入（明细）'!C:C&gt;=$J$4,'领用录入（明细）'!C:C&lt;=$L$4),ROW(),"-")</f>
        <v>-</v>
      </c>
    </row>
    <row r="43986" customHeight="1" spans="2:2">
      <c r="B43986" s="62" t="str">
        <f>IF(AND('领用录入（明细）'!D:D=$F$4,'领用录入（明细）'!C:C&gt;=$J$4,'领用录入（明细）'!C:C&lt;=$L$4),ROW(),"-")</f>
        <v>-</v>
      </c>
    </row>
    <row r="43987" customHeight="1" spans="2:2">
      <c r="B43987" s="62" t="str">
        <f>IF(AND('领用录入（明细）'!D:D=$F$4,'领用录入（明细）'!C:C&gt;=$J$4,'领用录入（明细）'!C:C&lt;=$L$4),ROW(),"-")</f>
        <v>-</v>
      </c>
    </row>
    <row r="43988" customHeight="1" spans="2:2">
      <c r="B43988" s="62" t="str">
        <f>IF(AND('领用录入（明细）'!D:D=$F$4,'领用录入（明细）'!C:C&gt;=$J$4,'领用录入（明细）'!C:C&lt;=$L$4),ROW(),"-")</f>
        <v>-</v>
      </c>
    </row>
    <row r="43989" customHeight="1" spans="2:2">
      <c r="B43989" s="62" t="str">
        <f>IF(AND('领用录入（明细）'!D:D=$F$4,'领用录入（明细）'!C:C&gt;=$J$4,'领用录入（明细）'!C:C&lt;=$L$4),ROW(),"-")</f>
        <v>-</v>
      </c>
    </row>
    <row r="43990" customHeight="1" spans="2:2">
      <c r="B43990" s="62" t="str">
        <f>IF(AND('领用录入（明细）'!D:D=$F$4,'领用录入（明细）'!C:C&gt;=$J$4,'领用录入（明细）'!C:C&lt;=$L$4),ROW(),"-")</f>
        <v>-</v>
      </c>
    </row>
    <row r="43991" customHeight="1" spans="2:2">
      <c r="B43991" s="62" t="str">
        <f>IF(AND('领用录入（明细）'!D:D=$F$4,'领用录入（明细）'!C:C&gt;=$J$4,'领用录入（明细）'!C:C&lt;=$L$4),ROW(),"-")</f>
        <v>-</v>
      </c>
    </row>
    <row r="43992" customHeight="1" spans="2:2">
      <c r="B43992" s="62" t="str">
        <f>IF(AND('领用录入（明细）'!D:D=$F$4,'领用录入（明细）'!C:C&gt;=$J$4,'领用录入（明细）'!C:C&lt;=$L$4),ROW(),"-")</f>
        <v>-</v>
      </c>
    </row>
    <row r="43993" customHeight="1" spans="2:2">
      <c r="B43993" s="62" t="str">
        <f>IF(AND('领用录入（明细）'!D:D=$F$4,'领用录入（明细）'!C:C&gt;=$J$4,'领用录入（明细）'!C:C&lt;=$L$4),ROW(),"-")</f>
        <v>-</v>
      </c>
    </row>
    <row r="43994" customHeight="1" spans="2:2">
      <c r="B43994" s="62" t="str">
        <f>IF(AND('领用录入（明细）'!D:D=$F$4,'领用录入（明细）'!C:C&gt;=$J$4,'领用录入（明细）'!C:C&lt;=$L$4),ROW(),"-")</f>
        <v>-</v>
      </c>
    </row>
    <row r="43995" customHeight="1" spans="2:2">
      <c r="B43995" s="62" t="str">
        <f>IF(AND('领用录入（明细）'!D:D=$F$4,'领用录入（明细）'!C:C&gt;=$J$4,'领用录入（明细）'!C:C&lt;=$L$4),ROW(),"-")</f>
        <v>-</v>
      </c>
    </row>
    <row r="43996" customHeight="1" spans="2:2">
      <c r="B43996" s="62" t="str">
        <f>IF(AND('领用录入（明细）'!D:D=$F$4,'领用录入（明细）'!C:C&gt;=$J$4,'领用录入（明细）'!C:C&lt;=$L$4),ROW(),"-")</f>
        <v>-</v>
      </c>
    </row>
    <row r="43997" customHeight="1" spans="2:2">
      <c r="B43997" s="62" t="str">
        <f>IF(AND('领用录入（明细）'!D:D=$F$4,'领用录入（明细）'!C:C&gt;=$J$4,'领用录入（明细）'!C:C&lt;=$L$4),ROW(),"-")</f>
        <v>-</v>
      </c>
    </row>
    <row r="43998" customHeight="1" spans="2:2">
      <c r="B43998" s="62" t="str">
        <f>IF(AND('领用录入（明细）'!D:D=$F$4,'领用录入（明细）'!C:C&gt;=$J$4,'领用录入（明细）'!C:C&lt;=$L$4),ROW(),"-")</f>
        <v>-</v>
      </c>
    </row>
    <row r="43999" customHeight="1" spans="2:2">
      <c r="B43999" s="62" t="str">
        <f>IF(AND('领用录入（明细）'!D:D=$F$4,'领用录入（明细）'!C:C&gt;=$J$4,'领用录入（明细）'!C:C&lt;=$L$4),ROW(),"-")</f>
        <v>-</v>
      </c>
    </row>
    <row r="44000" customHeight="1" spans="2:2">
      <c r="B44000" s="62" t="str">
        <f>IF(AND('领用录入（明细）'!D:D=$F$4,'领用录入（明细）'!C:C&gt;=$J$4,'领用录入（明细）'!C:C&lt;=$L$4),ROW(),"-")</f>
        <v>-</v>
      </c>
    </row>
    <row r="44001" customHeight="1" spans="2:2">
      <c r="B44001" s="62" t="str">
        <f>IF(AND('领用录入（明细）'!D:D=$F$4,'领用录入（明细）'!C:C&gt;=$J$4,'领用录入（明细）'!C:C&lt;=$L$4),ROW(),"-")</f>
        <v>-</v>
      </c>
    </row>
    <row r="44002" customHeight="1" spans="2:2">
      <c r="B44002" s="62" t="str">
        <f>IF(AND('领用录入（明细）'!D:D=$F$4,'领用录入（明细）'!C:C&gt;=$J$4,'领用录入（明细）'!C:C&lt;=$L$4),ROW(),"-")</f>
        <v>-</v>
      </c>
    </row>
    <row r="44003" customHeight="1" spans="2:2">
      <c r="B44003" s="62" t="str">
        <f>IF(AND('领用录入（明细）'!D:D=$F$4,'领用录入（明细）'!C:C&gt;=$J$4,'领用录入（明细）'!C:C&lt;=$L$4),ROW(),"-")</f>
        <v>-</v>
      </c>
    </row>
    <row r="44004" customHeight="1" spans="2:2">
      <c r="B44004" s="62" t="str">
        <f>IF(AND('领用录入（明细）'!D:D=$F$4,'领用录入（明细）'!C:C&gt;=$J$4,'领用录入（明细）'!C:C&lt;=$L$4),ROW(),"-")</f>
        <v>-</v>
      </c>
    </row>
    <row r="44005" customHeight="1" spans="2:2">
      <c r="B44005" s="62" t="str">
        <f>IF(AND('领用录入（明细）'!D:D=$F$4,'领用录入（明细）'!C:C&gt;=$J$4,'领用录入（明细）'!C:C&lt;=$L$4),ROW(),"-")</f>
        <v>-</v>
      </c>
    </row>
    <row r="44006" customHeight="1" spans="2:2">
      <c r="B44006" s="62" t="str">
        <f>IF(AND('领用录入（明细）'!D:D=$F$4,'领用录入（明细）'!C:C&gt;=$J$4,'领用录入（明细）'!C:C&lt;=$L$4),ROW(),"-")</f>
        <v>-</v>
      </c>
    </row>
    <row r="44007" customHeight="1" spans="2:2">
      <c r="B44007" s="62" t="str">
        <f>IF(AND('领用录入（明细）'!D:D=$F$4,'领用录入（明细）'!C:C&gt;=$J$4,'领用录入（明细）'!C:C&lt;=$L$4),ROW(),"-")</f>
        <v>-</v>
      </c>
    </row>
    <row r="44008" customHeight="1" spans="2:2">
      <c r="B44008" s="62" t="str">
        <f>IF(AND('领用录入（明细）'!D:D=$F$4,'领用录入（明细）'!C:C&gt;=$J$4,'领用录入（明细）'!C:C&lt;=$L$4),ROW(),"-")</f>
        <v>-</v>
      </c>
    </row>
    <row r="44009" customHeight="1" spans="2:2">
      <c r="B44009" s="62" t="str">
        <f>IF(AND('领用录入（明细）'!D:D=$F$4,'领用录入（明细）'!C:C&gt;=$J$4,'领用录入（明细）'!C:C&lt;=$L$4),ROW(),"-")</f>
        <v>-</v>
      </c>
    </row>
    <row r="44010" customHeight="1" spans="2:2">
      <c r="B44010" s="62" t="str">
        <f>IF(AND('领用录入（明细）'!D:D=$F$4,'领用录入（明细）'!C:C&gt;=$J$4,'领用录入（明细）'!C:C&lt;=$L$4),ROW(),"-")</f>
        <v>-</v>
      </c>
    </row>
    <row r="44011" customHeight="1" spans="2:2">
      <c r="B44011" s="62" t="str">
        <f>IF(AND('领用录入（明细）'!D:D=$F$4,'领用录入（明细）'!C:C&gt;=$J$4,'领用录入（明细）'!C:C&lt;=$L$4),ROW(),"-")</f>
        <v>-</v>
      </c>
    </row>
    <row r="44012" customHeight="1" spans="2:2">
      <c r="B44012" s="62" t="str">
        <f>IF(AND('领用录入（明细）'!D:D=$F$4,'领用录入（明细）'!C:C&gt;=$J$4,'领用录入（明细）'!C:C&lt;=$L$4),ROW(),"-")</f>
        <v>-</v>
      </c>
    </row>
    <row r="44013" customHeight="1" spans="2:2">
      <c r="B44013" s="62" t="str">
        <f>IF(AND('领用录入（明细）'!D:D=$F$4,'领用录入（明细）'!C:C&gt;=$J$4,'领用录入（明细）'!C:C&lt;=$L$4),ROW(),"-")</f>
        <v>-</v>
      </c>
    </row>
    <row r="44014" customHeight="1" spans="2:2">
      <c r="B44014" s="62" t="str">
        <f>IF(AND('领用录入（明细）'!D:D=$F$4,'领用录入（明细）'!C:C&gt;=$J$4,'领用录入（明细）'!C:C&lt;=$L$4),ROW(),"-")</f>
        <v>-</v>
      </c>
    </row>
    <row r="44015" customHeight="1" spans="2:2">
      <c r="B44015" s="62" t="str">
        <f>IF(AND('领用录入（明细）'!D:D=$F$4,'领用录入（明细）'!C:C&gt;=$J$4,'领用录入（明细）'!C:C&lt;=$L$4),ROW(),"-")</f>
        <v>-</v>
      </c>
    </row>
    <row r="44016" customHeight="1" spans="2:2">
      <c r="B44016" s="62" t="str">
        <f>IF(AND('领用录入（明细）'!D:D=$F$4,'领用录入（明细）'!C:C&gt;=$J$4,'领用录入（明细）'!C:C&lt;=$L$4),ROW(),"-")</f>
        <v>-</v>
      </c>
    </row>
    <row r="44017" customHeight="1" spans="2:2">
      <c r="B44017" s="62" t="str">
        <f>IF(AND('领用录入（明细）'!D:D=$F$4,'领用录入（明细）'!C:C&gt;=$J$4,'领用录入（明细）'!C:C&lt;=$L$4),ROW(),"-")</f>
        <v>-</v>
      </c>
    </row>
    <row r="44018" customHeight="1" spans="2:2">
      <c r="B44018" s="62" t="str">
        <f>IF(AND('领用录入（明细）'!D:D=$F$4,'领用录入（明细）'!C:C&gt;=$J$4,'领用录入（明细）'!C:C&lt;=$L$4),ROW(),"-")</f>
        <v>-</v>
      </c>
    </row>
    <row r="44019" customHeight="1" spans="2:2">
      <c r="B44019" s="62" t="str">
        <f>IF(AND('领用录入（明细）'!D:D=$F$4,'领用录入（明细）'!C:C&gt;=$J$4,'领用录入（明细）'!C:C&lt;=$L$4),ROW(),"-")</f>
        <v>-</v>
      </c>
    </row>
    <row r="44020" customHeight="1" spans="2:2">
      <c r="B44020" s="62" t="str">
        <f>IF(AND('领用录入（明细）'!D:D=$F$4,'领用录入（明细）'!C:C&gt;=$J$4,'领用录入（明细）'!C:C&lt;=$L$4),ROW(),"-")</f>
        <v>-</v>
      </c>
    </row>
    <row r="44021" customHeight="1" spans="2:2">
      <c r="B44021" s="62" t="str">
        <f>IF(AND('领用录入（明细）'!D:D=$F$4,'领用录入（明细）'!C:C&gt;=$J$4,'领用录入（明细）'!C:C&lt;=$L$4),ROW(),"-")</f>
        <v>-</v>
      </c>
    </row>
    <row r="44022" customHeight="1" spans="2:2">
      <c r="B44022" s="62" t="str">
        <f>IF(AND('领用录入（明细）'!D:D=$F$4,'领用录入（明细）'!C:C&gt;=$J$4,'领用录入（明细）'!C:C&lt;=$L$4),ROW(),"-")</f>
        <v>-</v>
      </c>
    </row>
    <row r="44023" customHeight="1" spans="2:2">
      <c r="B44023" s="62" t="str">
        <f>IF(AND('领用录入（明细）'!D:D=$F$4,'领用录入（明细）'!C:C&gt;=$J$4,'领用录入（明细）'!C:C&lt;=$L$4),ROW(),"-")</f>
        <v>-</v>
      </c>
    </row>
    <row r="44024" customHeight="1" spans="2:2">
      <c r="B44024" s="62" t="str">
        <f>IF(AND('领用录入（明细）'!D:D=$F$4,'领用录入（明细）'!C:C&gt;=$J$4,'领用录入（明细）'!C:C&lt;=$L$4),ROW(),"-")</f>
        <v>-</v>
      </c>
    </row>
    <row r="44025" customHeight="1" spans="2:2">
      <c r="B44025" s="62" t="str">
        <f>IF(AND('领用录入（明细）'!D:D=$F$4,'领用录入（明细）'!C:C&gt;=$J$4,'领用录入（明细）'!C:C&lt;=$L$4),ROW(),"-")</f>
        <v>-</v>
      </c>
    </row>
    <row r="44026" customHeight="1" spans="2:2">
      <c r="B44026" s="62" t="str">
        <f>IF(AND('领用录入（明细）'!D:D=$F$4,'领用录入（明细）'!C:C&gt;=$J$4,'领用录入（明细）'!C:C&lt;=$L$4),ROW(),"-")</f>
        <v>-</v>
      </c>
    </row>
    <row r="44027" customHeight="1" spans="2:2">
      <c r="B44027" s="62" t="str">
        <f>IF(AND('领用录入（明细）'!D:D=$F$4,'领用录入（明细）'!C:C&gt;=$J$4,'领用录入（明细）'!C:C&lt;=$L$4),ROW(),"-")</f>
        <v>-</v>
      </c>
    </row>
    <row r="44028" customHeight="1" spans="2:2">
      <c r="B44028" s="62" t="str">
        <f>IF(AND('领用录入（明细）'!D:D=$F$4,'领用录入（明细）'!C:C&gt;=$J$4,'领用录入（明细）'!C:C&lt;=$L$4),ROW(),"-")</f>
        <v>-</v>
      </c>
    </row>
    <row r="44029" customHeight="1" spans="2:2">
      <c r="B44029" s="62" t="str">
        <f>IF(AND('领用录入（明细）'!D:D=$F$4,'领用录入（明细）'!C:C&gt;=$J$4,'领用录入（明细）'!C:C&lt;=$L$4),ROW(),"-")</f>
        <v>-</v>
      </c>
    </row>
    <row r="44030" customHeight="1" spans="2:2">
      <c r="B44030" s="62" t="str">
        <f>IF(AND('领用录入（明细）'!D:D=$F$4,'领用录入（明细）'!C:C&gt;=$J$4,'领用录入（明细）'!C:C&lt;=$L$4),ROW(),"-")</f>
        <v>-</v>
      </c>
    </row>
    <row r="44031" customHeight="1" spans="2:2">
      <c r="B44031" s="62" t="str">
        <f>IF(AND('领用录入（明细）'!D:D=$F$4,'领用录入（明细）'!C:C&gt;=$J$4,'领用录入（明细）'!C:C&lt;=$L$4),ROW(),"-")</f>
        <v>-</v>
      </c>
    </row>
    <row r="44032" customHeight="1" spans="2:2">
      <c r="B44032" s="62" t="str">
        <f>IF(AND('领用录入（明细）'!D:D=$F$4,'领用录入（明细）'!C:C&gt;=$J$4,'领用录入（明细）'!C:C&lt;=$L$4),ROW(),"-")</f>
        <v>-</v>
      </c>
    </row>
    <row r="44033" customHeight="1" spans="2:2">
      <c r="B44033" s="62" t="str">
        <f>IF(AND('领用录入（明细）'!D:D=$F$4,'领用录入（明细）'!C:C&gt;=$J$4,'领用录入（明细）'!C:C&lt;=$L$4),ROW(),"-")</f>
        <v>-</v>
      </c>
    </row>
    <row r="44034" customHeight="1" spans="2:2">
      <c r="B44034" s="62" t="str">
        <f>IF(AND('领用录入（明细）'!D:D=$F$4,'领用录入（明细）'!C:C&gt;=$J$4,'领用录入（明细）'!C:C&lt;=$L$4),ROW(),"-")</f>
        <v>-</v>
      </c>
    </row>
    <row r="44035" customHeight="1" spans="2:2">
      <c r="B44035" s="62" t="str">
        <f>IF(AND('领用录入（明细）'!D:D=$F$4,'领用录入（明细）'!C:C&gt;=$J$4,'领用录入（明细）'!C:C&lt;=$L$4),ROW(),"-")</f>
        <v>-</v>
      </c>
    </row>
    <row r="44036" customHeight="1" spans="2:2">
      <c r="B44036" s="62" t="str">
        <f>IF(AND('领用录入（明细）'!D:D=$F$4,'领用录入（明细）'!C:C&gt;=$J$4,'领用录入（明细）'!C:C&lt;=$L$4),ROW(),"-")</f>
        <v>-</v>
      </c>
    </row>
    <row r="44037" customHeight="1" spans="2:2">
      <c r="B44037" s="62" t="str">
        <f>IF(AND('领用录入（明细）'!D:D=$F$4,'领用录入（明细）'!C:C&gt;=$J$4,'领用录入（明细）'!C:C&lt;=$L$4),ROW(),"-")</f>
        <v>-</v>
      </c>
    </row>
    <row r="44038" customHeight="1" spans="2:2">
      <c r="B44038" s="62" t="str">
        <f>IF(AND('领用录入（明细）'!D:D=$F$4,'领用录入（明细）'!C:C&gt;=$J$4,'领用录入（明细）'!C:C&lt;=$L$4),ROW(),"-")</f>
        <v>-</v>
      </c>
    </row>
    <row r="44039" customHeight="1" spans="2:2">
      <c r="B44039" s="62" t="str">
        <f>IF(AND('领用录入（明细）'!D:D=$F$4,'领用录入（明细）'!C:C&gt;=$J$4,'领用录入（明细）'!C:C&lt;=$L$4),ROW(),"-")</f>
        <v>-</v>
      </c>
    </row>
    <row r="44040" customHeight="1" spans="2:2">
      <c r="B44040" s="62" t="str">
        <f>IF(AND('领用录入（明细）'!D:D=$F$4,'领用录入（明细）'!C:C&gt;=$J$4,'领用录入（明细）'!C:C&lt;=$L$4),ROW(),"-")</f>
        <v>-</v>
      </c>
    </row>
    <row r="44041" customHeight="1" spans="2:2">
      <c r="B44041" s="62" t="str">
        <f>IF(AND('领用录入（明细）'!D:D=$F$4,'领用录入（明细）'!C:C&gt;=$J$4,'领用录入（明细）'!C:C&lt;=$L$4),ROW(),"-")</f>
        <v>-</v>
      </c>
    </row>
    <row r="44042" customHeight="1" spans="2:2">
      <c r="B44042" s="62" t="str">
        <f>IF(AND('领用录入（明细）'!D:D=$F$4,'领用录入（明细）'!C:C&gt;=$J$4,'领用录入（明细）'!C:C&lt;=$L$4),ROW(),"-")</f>
        <v>-</v>
      </c>
    </row>
    <row r="44043" customHeight="1" spans="2:2">
      <c r="B44043" s="62" t="str">
        <f>IF(AND('领用录入（明细）'!D:D=$F$4,'领用录入（明细）'!C:C&gt;=$J$4,'领用录入（明细）'!C:C&lt;=$L$4),ROW(),"-")</f>
        <v>-</v>
      </c>
    </row>
    <row r="44044" customHeight="1" spans="2:2">
      <c r="B44044" s="62" t="str">
        <f>IF(AND('领用录入（明细）'!D:D=$F$4,'领用录入（明细）'!C:C&gt;=$J$4,'领用录入（明细）'!C:C&lt;=$L$4),ROW(),"-")</f>
        <v>-</v>
      </c>
    </row>
    <row r="44045" customHeight="1" spans="2:2">
      <c r="B44045" s="62" t="str">
        <f>IF(AND('领用录入（明细）'!D:D=$F$4,'领用录入（明细）'!C:C&gt;=$J$4,'领用录入（明细）'!C:C&lt;=$L$4),ROW(),"-")</f>
        <v>-</v>
      </c>
    </row>
    <row r="44046" customHeight="1" spans="2:2">
      <c r="B44046" s="62" t="str">
        <f>IF(AND('领用录入（明细）'!D:D=$F$4,'领用录入（明细）'!C:C&gt;=$J$4,'领用录入（明细）'!C:C&lt;=$L$4),ROW(),"-")</f>
        <v>-</v>
      </c>
    </row>
    <row r="44047" customHeight="1" spans="2:2">
      <c r="B44047" s="62" t="str">
        <f>IF(AND('领用录入（明细）'!D:D=$F$4,'领用录入（明细）'!C:C&gt;=$J$4,'领用录入（明细）'!C:C&lt;=$L$4),ROW(),"-")</f>
        <v>-</v>
      </c>
    </row>
    <row r="44048" customHeight="1" spans="2:2">
      <c r="B44048" s="62" t="str">
        <f>IF(AND('领用录入（明细）'!D:D=$F$4,'领用录入（明细）'!C:C&gt;=$J$4,'领用录入（明细）'!C:C&lt;=$L$4),ROW(),"-")</f>
        <v>-</v>
      </c>
    </row>
    <row r="44049" customHeight="1" spans="2:2">
      <c r="B44049" s="62" t="str">
        <f>IF(AND('领用录入（明细）'!D:D=$F$4,'领用录入（明细）'!C:C&gt;=$J$4,'领用录入（明细）'!C:C&lt;=$L$4),ROW(),"-")</f>
        <v>-</v>
      </c>
    </row>
    <row r="44050" customHeight="1" spans="2:2">
      <c r="B44050" s="62" t="str">
        <f>IF(AND('领用录入（明细）'!D:D=$F$4,'领用录入（明细）'!C:C&gt;=$J$4,'领用录入（明细）'!C:C&lt;=$L$4),ROW(),"-")</f>
        <v>-</v>
      </c>
    </row>
    <row r="44051" customHeight="1" spans="2:2">
      <c r="B44051" s="62" t="str">
        <f>IF(AND('领用录入（明细）'!D:D=$F$4,'领用录入（明细）'!C:C&gt;=$J$4,'领用录入（明细）'!C:C&lt;=$L$4),ROW(),"-")</f>
        <v>-</v>
      </c>
    </row>
    <row r="44052" customHeight="1" spans="2:2">
      <c r="B44052" s="62" t="str">
        <f>IF(AND('领用录入（明细）'!D:D=$F$4,'领用录入（明细）'!C:C&gt;=$J$4,'领用录入（明细）'!C:C&lt;=$L$4),ROW(),"-")</f>
        <v>-</v>
      </c>
    </row>
    <row r="44053" customHeight="1" spans="2:2">
      <c r="B44053" s="62" t="str">
        <f>IF(AND('领用录入（明细）'!D:D=$F$4,'领用录入（明细）'!C:C&gt;=$J$4,'领用录入（明细）'!C:C&lt;=$L$4),ROW(),"-")</f>
        <v>-</v>
      </c>
    </row>
    <row r="44054" customHeight="1" spans="2:2">
      <c r="B44054" s="62" t="str">
        <f>IF(AND('领用录入（明细）'!D:D=$F$4,'领用录入（明细）'!C:C&gt;=$J$4,'领用录入（明细）'!C:C&lt;=$L$4),ROW(),"-")</f>
        <v>-</v>
      </c>
    </row>
    <row r="44055" customHeight="1" spans="2:2">
      <c r="B44055" s="62" t="str">
        <f>IF(AND('领用录入（明细）'!D:D=$F$4,'领用录入（明细）'!C:C&gt;=$J$4,'领用录入（明细）'!C:C&lt;=$L$4),ROW(),"-")</f>
        <v>-</v>
      </c>
    </row>
    <row r="44056" customHeight="1" spans="2:2">
      <c r="B44056" s="62" t="str">
        <f>IF(AND('领用录入（明细）'!D:D=$F$4,'领用录入（明细）'!C:C&gt;=$J$4,'领用录入（明细）'!C:C&lt;=$L$4),ROW(),"-")</f>
        <v>-</v>
      </c>
    </row>
    <row r="44057" customHeight="1" spans="2:2">
      <c r="B44057" s="62" t="str">
        <f>IF(AND('领用录入（明细）'!D:D=$F$4,'领用录入（明细）'!C:C&gt;=$J$4,'领用录入（明细）'!C:C&lt;=$L$4),ROW(),"-")</f>
        <v>-</v>
      </c>
    </row>
    <row r="44058" customHeight="1" spans="2:2">
      <c r="B44058" s="62" t="str">
        <f>IF(AND('领用录入（明细）'!D:D=$F$4,'领用录入（明细）'!C:C&gt;=$J$4,'领用录入（明细）'!C:C&lt;=$L$4),ROW(),"-")</f>
        <v>-</v>
      </c>
    </row>
    <row r="44059" customHeight="1" spans="2:2">
      <c r="B44059" s="62" t="str">
        <f>IF(AND('领用录入（明细）'!D:D=$F$4,'领用录入（明细）'!C:C&gt;=$J$4,'领用录入（明细）'!C:C&lt;=$L$4),ROW(),"-")</f>
        <v>-</v>
      </c>
    </row>
    <row r="44060" customHeight="1" spans="2:2">
      <c r="B44060" s="62" t="str">
        <f>IF(AND('领用录入（明细）'!D:D=$F$4,'领用录入（明细）'!C:C&gt;=$J$4,'领用录入（明细）'!C:C&lt;=$L$4),ROW(),"-")</f>
        <v>-</v>
      </c>
    </row>
    <row r="44061" customHeight="1" spans="2:2">
      <c r="B44061" s="62" t="str">
        <f>IF(AND('领用录入（明细）'!D:D=$F$4,'领用录入（明细）'!C:C&gt;=$J$4,'领用录入（明细）'!C:C&lt;=$L$4),ROW(),"-")</f>
        <v>-</v>
      </c>
    </row>
    <row r="44062" customHeight="1" spans="2:2">
      <c r="B44062" s="62" t="str">
        <f>IF(AND('领用录入（明细）'!D:D=$F$4,'领用录入（明细）'!C:C&gt;=$J$4,'领用录入（明细）'!C:C&lt;=$L$4),ROW(),"-")</f>
        <v>-</v>
      </c>
    </row>
    <row r="44063" customHeight="1" spans="2:2">
      <c r="B44063" s="62" t="str">
        <f>IF(AND('领用录入（明细）'!D:D=$F$4,'领用录入（明细）'!C:C&gt;=$J$4,'领用录入（明细）'!C:C&lt;=$L$4),ROW(),"-")</f>
        <v>-</v>
      </c>
    </row>
    <row r="44064" customHeight="1" spans="2:2">
      <c r="B44064" s="62" t="str">
        <f>IF(AND('领用录入（明细）'!D:D=$F$4,'领用录入（明细）'!C:C&gt;=$J$4,'领用录入（明细）'!C:C&lt;=$L$4),ROW(),"-")</f>
        <v>-</v>
      </c>
    </row>
    <row r="44065" customHeight="1" spans="2:2">
      <c r="B44065" s="62" t="str">
        <f>IF(AND('领用录入（明细）'!D:D=$F$4,'领用录入（明细）'!C:C&gt;=$J$4,'领用录入（明细）'!C:C&lt;=$L$4),ROW(),"-")</f>
        <v>-</v>
      </c>
    </row>
    <row r="44066" customHeight="1" spans="2:2">
      <c r="B44066" s="62" t="str">
        <f>IF(AND('领用录入（明细）'!D:D=$F$4,'领用录入（明细）'!C:C&gt;=$J$4,'领用录入（明细）'!C:C&lt;=$L$4),ROW(),"-")</f>
        <v>-</v>
      </c>
    </row>
    <row r="44067" customHeight="1" spans="2:2">
      <c r="B44067" s="62" t="str">
        <f>IF(AND('领用录入（明细）'!D:D=$F$4,'领用录入（明细）'!C:C&gt;=$J$4,'领用录入（明细）'!C:C&lt;=$L$4),ROW(),"-")</f>
        <v>-</v>
      </c>
    </row>
    <row r="44068" customHeight="1" spans="2:2">
      <c r="B44068" s="62" t="str">
        <f>IF(AND('领用录入（明细）'!D:D=$F$4,'领用录入（明细）'!C:C&gt;=$J$4,'领用录入（明细）'!C:C&lt;=$L$4),ROW(),"-")</f>
        <v>-</v>
      </c>
    </row>
    <row r="44069" customHeight="1" spans="2:2">
      <c r="B44069" s="62" t="str">
        <f>IF(AND('领用录入（明细）'!D:D=$F$4,'领用录入（明细）'!C:C&gt;=$J$4,'领用录入（明细）'!C:C&lt;=$L$4),ROW(),"-")</f>
        <v>-</v>
      </c>
    </row>
    <row r="44070" customHeight="1" spans="2:2">
      <c r="B44070" s="62" t="str">
        <f>IF(AND('领用录入（明细）'!D:D=$F$4,'领用录入（明细）'!C:C&gt;=$J$4,'领用录入（明细）'!C:C&lt;=$L$4),ROW(),"-")</f>
        <v>-</v>
      </c>
    </row>
    <row r="44071" customHeight="1" spans="2:2">
      <c r="B44071" s="62" t="str">
        <f>IF(AND('领用录入（明细）'!D:D=$F$4,'领用录入（明细）'!C:C&gt;=$J$4,'领用录入（明细）'!C:C&lt;=$L$4),ROW(),"-")</f>
        <v>-</v>
      </c>
    </row>
    <row r="44072" customHeight="1" spans="2:2">
      <c r="B44072" s="62" t="str">
        <f>IF(AND('领用录入（明细）'!D:D=$F$4,'领用录入（明细）'!C:C&gt;=$J$4,'领用录入（明细）'!C:C&lt;=$L$4),ROW(),"-")</f>
        <v>-</v>
      </c>
    </row>
    <row r="44073" customHeight="1" spans="2:2">
      <c r="B44073" s="62" t="str">
        <f>IF(AND('领用录入（明细）'!D:D=$F$4,'领用录入（明细）'!C:C&gt;=$J$4,'领用录入（明细）'!C:C&lt;=$L$4),ROW(),"-")</f>
        <v>-</v>
      </c>
    </row>
    <row r="44074" customHeight="1" spans="2:2">
      <c r="B44074" s="62" t="str">
        <f>IF(AND('领用录入（明细）'!D:D=$F$4,'领用录入（明细）'!C:C&gt;=$J$4,'领用录入（明细）'!C:C&lt;=$L$4),ROW(),"-")</f>
        <v>-</v>
      </c>
    </row>
    <row r="44075" customHeight="1" spans="2:2">
      <c r="B44075" s="62" t="str">
        <f>IF(AND('领用录入（明细）'!D:D=$F$4,'领用录入（明细）'!C:C&gt;=$J$4,'领用录入（明细）'!C:C&lt;=$L$4),ROW(),"-")</f>
        <v>-</v>
      </c>
    </row>
    <row r="44076" customHeight="1" spans="2:2">
      <c r="B44076" s="62" t="str">
        <f>IF(AND('领用录入（明细）'!D:D=$F$4,'领用录入（明细）'!C:C&gt;=$J$4,'领用录入（明细）'!C:C&lt;=$L$4),ROW(),"-")</f>
        <v>-</v>
      </c>
    </row>
    <row r="44077" customHeight="1" spans="2:2">
      <c r="B44077" s="62" t="str">
        <f>IF(AND('领用录入（明细）'!D:D=$F$4,'领用录入（明细）'!C:C&gt;=$J$4,'领用录入（明细）'!C:C&lt;=$L$4),ROW(),"-")</f>
        <v>-</v>
      </c>
    </row>
    <row r="44078" customHeight="1" spans="2:2">
      <c r="B44078" s="62" t="str">
        <f>IF(AND('领用录入（明细）'!D:D=$F$4,'领用录入（明细）'!C:C&gt;=$J$4,'领用录入（明细）'!C:C&lt;=$L$4),ROW(),"-")</f>
        <v>-</v>
      </c>
    </row>
    <row r="44079" customHeight="1" spans="2:2">
      <c r="B44079" s="62" t="str">
        <f>IF(AND('领用录入（明细）'!D:D=$F$4,'领用录入（明细）'!C:C&gt;=$J$4,'领用录入（明细）'!C:C&lt;=$L$4),ROW(),"-")</f>
        <v>-</v>
      </c>
    </row>
    <row r="44080" customHeight="1" spans="2:2">
      <c r="B44080" s="62" t="str">
        <f>IF(AND('领用录入（明细）'!D:D=$F$4,'领用录入（明细）'!C:C&gt;=$J$4,'领用录入（明细）'!C:C&lt;=$L$4),ROW(),"-")</f>
        <v>-</v>
      </c>
    </row>
    <row r="44081" customHeight="1" spans="2:2">
      <c r="B44081" s="62" t="str">
        <f>IF(AND('领用录入（明细）'!D:D=$F$4,'领用录入（明细）'!C:C&gt;=$J$4,'领用录入（明细）'!C:C&lt;=$L$4),ROW(),"-")</f>
        <v>-</v>
      </c>
    </row>
    <row r="44082" customHeight="1" spans="2:2">
      <c r="B44082" s="62" t="str">
        <f>IF(AND('领用录入（明细）'!D:D=$F$4,'领用录入（明细）'!C:C&gt;=$J$4,'领用录入（明细）'!C:C&lt;=$L$4),ROW(),"-")</f>
        <v>-</v>
      </c>
    </row>
    <row r="44083" customHeight="1" spans="2:2">
      <c r="B44083" s="62" t="str">
        <f>IF(AND('领用录入（明细）'!D:D=$F$4,'领用录入（明细）'!C:C&gt;=$J$4,'领用录入（明细）'!C:C&lt;=$L$4),ROW(),"-")</f>
        <v>-</v>
      </c>
    </row>
    <row r="44084" customHeight="1" spans="2:2">
      <c r="B44084" s="62" t="str">
        <f>IF(AND('领用录入（明细）'!D:D=$F$4,'领用录入（明细）'!C:C&gt;=$J$4,'领用录入（明细）'!C:C&lt;=$L$4),ROW(),"-")</f>
        <v>-</v>
      </c>
    </row>
    <row r="44085" customHeight="1" spans="2:2">
      <c r="B44085" s="62" t="str">
        <f>IF(AND('领用录入（明细）'!D:D=$F$4,'领用录入（明细）'!C:C&gt;=$J$4,'领用录入（明细）'!C:C&lt;=$L$4),ROW(),"-")</f>
        <v>-</v>
      </c>
    </row>
    <row r="44086" customHeight="1" spans="2:2">
      <c r="B44086" s="62" t="str">
        <f>IF(AND('领用录入（明细）'!D:D=$F$4,'领用录入（明细）'!C:C&gt;=$J$4,'领用录入（明细）'!C:C&lt;=$L$4),ROW(),"-")</f>
        <v>-</v>
      </c>
    </row>
    <row r="44087" customHeight="1" spans="2:2">
      <c r="B44087" s="62" t="str">
        <f>IF(AND('领用录入（明细）'!D:D=$F$4,'领用录入（明细）'!C:C&gt;=$J$4,'领用录入（明细）'!C:C&lt;=$L$4),ROW(),"-")</f>
        <v>-</v>
      </c>
    </row>
    <row r="44088" customHeight="1" spans="2:2">
      <c r="B44088" s="62" t="str">
        <f>IF(AND('领用录入（明细）'!D:D=$F$4,'领用录入（明细）'!C:C&gt;=$J$4,'领用录入（明细）'!C:C&lt;=$L$4),ROW(),"-")</f>
        <v>-</v>
      </c>
    </row>
    <row r="44089" customHeight="1" spans="2:2">
      <c r="B44089" s="62" t="str">
        <f>IF(AND('领用录入（明细）'!D:D=$F$4,'领用录入（明细）'!C:C&gt;=$J$4,'领用录入（明细）'!C:C&lt;=$L$4),ROW(),"-")</f>
        <v>-</v>
      </c>
    </row>
    <row r="44090" customHeight="1" spans="2:2">
      <c r="B44090" s="62" t="str">
        <f>IF(AND('领用录入（明细）'!D:D=$F$4,'领用录入（明细）'!C:C&gt;=$J$4,'领用录入（明细）'!C:C&lt;=$L$4),ROW(),"-")</f>
        <v>-</v>
      </c>
    </row>
    <row r="44091" customHeight="1" spans="2:2">
      <c r="B44091" s="62" t="str">
        <f>IF(AND('领用录入（明细）'!D:D=$F$4,'领用录入（明细）'!C:C&gt;=$J$4,'领用录入（明细）'!C:C&lt;=$L$4),ROW(),"-")</f>
        <v>-</v>
      </c>
    </row>
    <row r="44092" customHeight="1" spans="2:2">
      <c r="B44092" s="62" t="str">
        <f>IF(AND('领用录入（明细）'!D:D=$F$4,'领用录入（明细）'!C:C&gt;=$J$4,'领用录入（明细）'!C:C&lt;=$L$4),ROW(),"-")</f>
        <v>-</v>
      </c>
    </row>
    <row r="44093" customHeight="1" spans="2:2">
      <c r="B44093" s="62" t="str">
        <f>IF(AND('领用录入（明细）'!D:D=$F$4,'领用录入（明细）'!C:C&gt;=$J$4,'领用录入（明细）'!C:C&lt;=$L$4),ROW(),"-")</f>
        <v>-</v>
      </c>
    </row>
    <row r="44094" customHeight="1" spans="2:2">
      <c r="B44094" s="62" t="str">
        <f>IF(AND('领用录入（明细）'!D:D=$F$4,'领用录入（明细）'!C:C&gt;=$J$4,'领用录入（明细）'!C:C&lt;=$L$4),ROW(),"-")</f>
        <v>-</v>
      </c>
    </row>
    <row r="44095" customHeight="1" spans="2:2">
      <c r="B44095" s="62" t="str">
        <f>IF(AND('领用录入（明细）'!D:D=$F$4,'领用录入（明细）'!C:C&gt;=$J$4,'领用录入（明细）'!C:C&lt;=$L$4),ROW(),"-")</f>
        <v>-</v>
      </c>
    </row>
    <row r="44096" customHeight="1" spans="2:2">
      <c r="B44096" s="62" t="str">
        <f>IF(AND('领用录入（明细）'!D:D=$F$4,'领用录入（明细）'!C:C&gt;=$J$4,'领用录入（明细）'!C:C&lt;=$L$4),ROW(),"-")</f>
        <v>-</v>
      </c>
    </row>
    <row r="44097" customHeight="1" spans="2:2">
      <c r="B44097" s="62" t="str">
        <f>IF(AND('领用录入（明细）'!D:D=$F$4,'领用录入（明细）'!C:C&gt;=$J$4,'领用录入（明细）'!C:C&lt;=$L$4),ROW(),"-")</f>
        <v>-</v>
      </c>
    </row>
    <row r="44098" customHeight="1" spans="2:2">
      <c r="B44098" s="62" t="str">
        <f>IF(AND('领用录入（明细）'!D:D=$F$4,'领用录入（明细）'!C:C&gt;=$J$4,'领用录入（明细）'!C:C&lt;=$L$4),ROW(),"-")</f>
        <v>-</v>
      </c>
    </row>
    <row r="44099" customHeight="1" spans="2:2">
      <c r="B44099" s="62" t="str">
        <f>IF(AND('领用录入（明细）'!D:D=$F$4,'领用录入（明细）'!C:C&gt;=$J$4,'领用录入（明细）'!C:C&lt;=$L$4),ROW(),"-")</f>
        <v>-</v>
      </c>
    </row>
    <row r="44100" customHeight="1" spans="2:2">
      <c r="B44100" s="62" t="str">
        <f>IF(AND('领用录入（明细）'!D:D=$F$4,'领用录入（明细）'!C:C&gt;=$J$4,'领用录入（明细）'!C:C&lt;=$L$4),ROW(),"-")</f>
        <v>-</v>
      </c>
    </row>
    <row r="44101" customHeight="1" spans="2:2">
      <c r="B44101" s="62" t="str">
        <f>IF(AND('领用录入（明细）'!D:D=$F$4,'领用录入（明细）'!C:C&gt;=$J$4,'领用录入（明细）'!C:C&lt;=$L$4),ROW(),"-")</f>
        <v>-</v>
      </c>
    </row>
    <row r="44102" customHeight="1" spans="2:2">
      <c r="B44102" s="62" t="str">
        <f>IF(AND('领用录入（明细）'!D:D=$F$4,'领用录入（明细）'!C:C&gt;=$J$4,'领用录入（明细）'!C:C&lt;=$L$4),ROW(),"-")</f>
        <v>-</v>
      </c>
    </row>
    <row r="44103" customHeight="1" spans="2:2">
      <c r="B44103" s="62" t="str">
        <f>IF(AND('领用录入（明细）'!D:D=$F$4,'领用录入（明细）'!C:C&gt;=$J$4,'领用录入（明细）'!C:C&lt;=$L$4),ROW(),"-")</f>
        <v>-</v>
      </c>
    </row>
    <row r="44104" customHeight="1" spans="2:2">
      <c r="B44104" s="62" t="str">
        <f>IF(AND('领用录入（明细）'!D:D=$F$4,'领用录入（明细）'!C:C&gt;=$J$4,'领用录入（明细）'!C:C&lt;=$L$4),ROW(),"-")</f>
        <v>-</v>
      </c>
    </row>
    <row r="44105" customHeight="1" spans="2:2">
      <c r="B44105" s="62" t="str">
        <f>IF(AND('领用录入（明细）'!D:D=$F$4,'领用录入（明细）'!C:C&gt;=$J$4,'领用录入（明细）'!C:C&lt;=$L$4),ROW(),"-")</f>
        <v>-</v>
      </c>
    </row>
    <row r="44106" customHeight="1" spans="2:2">
      <c r="B44106" s="62" t="str">
        <f>IF(AND('领用录入（明细）'!D:D=$F$4,'领用录入（明细）'!C:C&gt;=$J$4,'领用录入（明细）'!C:C&lt;=$L$4),ROW(),"-")</f>
        <v>-</v>
      </c>
    </row>
    <row r="44107" customHeight="1" spans="2:2">
      <c r="B44107" s="62" t="str">
        <f>IF(AND('领用录入（明细）'!D:D=$F$4,'领用录入（明细）'!C:C&gt;=$J$4,'领用录入（明细）'!C:C&lt;=$L$4),ROW(),"-")</f>
        <v>-</v>
      </c>
    </row>
    <row r="44108" customHeight="1" spans="2:2">
      <c r="B44108" s="62" t="str">
        <f>IF(AND('领用录入（明细）'!D:D=$F$4,'领用录入（明细）'!C:C&gt;=$J$4,'领用录入（明细）'!C:C&lt;=$L$4),ROW(),"-")</f>
        <v>-</v>
      </c>
    </row>
    <row r="44109" customHeight="1" spans="2:2">
      <c r="B44109" s="62" t="str">
        <f>IF(AND('领用录入（明细）'!D:D=$F$4,'领用录入（明细）'!C:C&gt;=$J$4,'领用录入（明细）'!C:C&lt;=$L$4),ROW(),"-")</f>
        <v>-</v>
      </c>
    </row>
    <row r="44110" customHeight="1" spans="2:2">
      <c r="B44110" s="62" t="str">
        <f>IF(AND('领用录入（明细）'!D:D=$F$4,'领用录入（明细）'!C:C&gt;=$J$4,'领用录入（明细）'!C:C&lt;=$L$4),ROW(),"-")</f>
        <v>-</v>
      </c>
    </row>
    <row r="44111" customHeight="1" spans="2:2">
      <c r="B44111" s="62" t="str">
        <f>IF(AND('领用录入（明细）'!D:D=$F$4,'领用录入（明细）'!C:C&gt;=$J$4,'领用录入（明细）'!C:C&lt;=$L$4),ROW(),"-")</f>
        <v>-</v>
      </c>
    </row>
    <row r="44112" customHeight="1" spans="2:2">
      <c r="B44112" s="62" t="str">
        <f>IF(AND('领用录入（明细）'!D:D=$F$4,'领用录入（明细）'!C:C&gt;=$J$4,'领用录入（明细）'!C:C&lt;=$L$4),ROW(),"-")</f>
        <v>-</v>
      </c>
    </row>
    <row r="44113" customHeight="1" spans="2:2">
      <c r="B44113" s="62" t="str">
        <f>IF(AND('领用录入（明细）'!D:D=$F$4,'领用录入（明细）'!C:C&gt;=$J$4,'领用录入（明细）'!C:C&lt;=$L$4),ROW(),"-")</f>
        <v>-</v>
      </c>
    </row>
    <row r="44114" customHeight="1" spans="2:2">
      <c r="B44114" s="62" t="str">
        <f>IF(AND('领用录入（明细）'!D:D=$F$4,'领用录入（明细）'!C:C&gt;=$J$4,'领用录入（明细）'!C:C&lt;=$L$4),ROW(),"-")</f>
        <v>-</v>
      </c>
    </row>
    <row r="44115" customHeight="1" spans="2:2">
      <c r="B44115" s="62" t="str">
        <f>IF(AND('领用录入（明细）'!D:D=$F$4,'领用录入（明细）'!C:C&gt;=$J$4,'领用录入（明细）'!C:C&lt;=$L$4),ROW(),"-")</f>
        <v>-</v>
      </c>
    </row>
    <row r="44116" customHeight="1" spans="2:2">
      <c r="B44116" s="62" t="str">
        <f>IF(AND('领用录入（明细）'!D:D=$F$4,'领用录入（明细）'!C:C&gt;=$J$4,'领用录入（明细）'!C:C&lt;=$L$4),ROW(),"-")</f>
        <v>-</v>
      </c>
    </row>
    <row r="44117" customHeight="1" spans="2:2">
      <c r="B44117" s="62" t="str">
        <f>IF(AND('领用录入（明细）'!D:D=$F$4,'领用录入（明细）'!C:C&gt;=$J$4,'领用录入（明细）'!C:C&lt;=$L$4),ROW(),"-")</f>
        <v>-</v>
      </c>
    </row>
    <row r="44118" customHeight="1" spans="2:2">
      <c r="B44118" s="62" t="str">
        <f>IF(AND('领用录入（明细）'!D:D=$F$4,'领用录入（明细）'!C:C&gt;=$J$4,'领用录入（明细）'!C:C&lt;=$L$4),ROW(),"-")</f>
        <v>-</v>
      </c>
    </row>
    <row r="44119" customHeight="1" spans="2:2">
      <c r="B44119" s="62" t="str">
        <f>IF(AND('领用录入（明细）'!D:D=$F$4,'领用录入（明细）'!C:C&gt;=$J$4,'领用录入（明细）'!C:C&lt;=$L$4),ROW(),"-")</f>
        <v>-</v>
      </c>
    </row>
    <row r="44120" customHeight="1" spans="2:2">
      <c r="B44120" s="62" t="str">
        <f>IF(AND('领用录入（明细）'!D:D=$F$4,'领用录入（明细）'!C:C&gt;=$J$4,'领用录入（明细）'!C:C&lt;=$L$4),ROW(),"-")</f>
        <v>-</v>
      </c>
    </row>
    <row r="44121" customHeight="1" spans="2:2">
      <c r="B44121" s="62" t="str">
        <f>IF(AND('领用录入（明细）'!D:D=$F$4,'领用录入（明细）'!C:C&gt;=$J$4,'领用录入（明细）'!C:C&lt;=$L$4),ROW(),"-")</f>
        <v>-</v>
      </c>
    </row>
    <row r="44122" customHeight="1" spans="2:2">
      <c r="B44122" s="62" t="str">
        <f>IF(AND('领用录入（明细）'!D:D=$F$4,'领用录入（明细）'!C:C&gt;=$J$4,'领用录入（明细）'!C:C&lt;=$L$4),ROW(),"-")</f>
        <v>-</v>
      </c>
    </row>
    <row r="44123" customHeight="1" spans="2:2">
      <c r="B44123" s="62" t="str">
        <f>IF(AND('领用录入（明细）'!D:D=$F$4,'领用录入（明细）'!C:C&gt;=$J$4,'领用录入（明细）'!C:C&lt;=$L$4),ROW(),"-")</f>
        <v>-</v>
      </c>
    </row>
    <row r="44124" customHeight="1" spans="2:2">
      <c r="B44124" s="62" t="str">
        <f>IF(AND('领用录入（明细）'!D:D=$F$4,'领用录入（明细）'!C:C&gt;=$J$4,'领用录入（明细）'!C:C&lt;=$L$4),ROW(),"-")</f>
        <v>-</v>
      </c>
    </row>
    <row r="44125" customHeight="1" spans="2:2">
      <c r="B44125" s="62" t="str">
        <f>IF(AND('领用录入（明细）'!D:D=$F$4,'领用录入（明细）'!C:C&gt;=$J$4,'领用录入（明细）'!C:C&lt;=$L$4),ROW(),"-")</f>
        <v>-</v>
      </c>
    </row>
    <row r="44126" customHeight="1" spans="2:2">
      <c r="B44126" s="62" t="str">
        <f>IF(AND('领用录入（明细）'!D:D=$F$4,'领用录入（明细）'!C:C&gt;=$J$4,'领用录入（明细）'!C:C&lt;=$L$4),ROW(),"-")</f>
        <v>-</v>
      </c>
    </row>
    <row r="44127" customHeight="1" spans="2:2">
      <c r="B44127" s="62" t="str">
        <f>IF(AND('领用录入（明细）'!D:D=$F$4,'领用录入（明细）'!C:C&gt;=$J$4,'领用录入（明细）'!C:C&lt;=$L$4),ROW(),"-")</f>
        <v>-</v>
      </c>
    </row>
    <row r="44128" customHeight="1" spans="2:2">
      <c r="B44128" s="62" t="str">
        <f>IF(AND('领用录入（明细）'!D:D=$F$4,'领用录入（明细）'!C:C&gt;=$J$4,'领用录入（明细）'!C:C&lt;=$L$4),ROW(),"-")</f>
        <v>-</v>
      </c>
    </row>
    <row r="44129" customHeight="1" spans="2:2">
      <c r="B44129" s="62" t="str">
        <f>IF(AND('领用录入（明细）'!D:D=$F$4,'领用录入（明细）'!C:C&gt;=$J$4,'领用录入（明细）'!C:C&lt;=$L$4),ROW(),"-")</f>
        <v>-</v>
      </c>
    </row>
    <row r="44130" customHeight="1" spans="2:2">
      <c r="B44130" s="62" t="str">
        <f>IF(AND('领用录入（明细）'!D:D=$F$4,'领用录入（明细）'!C:C&gt;=$J$4,'领用录入（明细）'!C:C&lt;=$L$4),ROW(),"-")</f>
        <v>-</v>
      </c>
    </row>
    <row r="44131" customHeight="1" spans="2:2">
      <c r="B44131" s="62" t="str">
        <f>IF(AND('领用录入（明细）'!D:D=$F$4,'领用录入（明细）'!C:C&gt;=$J$4,'领用录入（明细）'!C:C&lt;=$L$4),ROW(),"-")</f>
        <v>-</v>
      </c>
    </row>
    <row r="44132" customHeight="1" spans="2:2">
      <c r="B44132" s="62" t="str">
        <f>IF(AND('领用录入（明细）'!D:D=$F$4,'领用录入（明细）'!C:C&gt;=$J$4,'领用录入（明细）'!C:C&lt;=$L$4),ROW(),"-")</f>
        <v>-</v>
      </c>
    </row>
    <row r="44133" customHeight="1" spans="2:2">
      <c r="B44133" s="62" t="str">
        <f>IF(AND('领用录入（明细）'!D:D=$F$4,'领用录入（明细）'!C:C&gt;=$J$4,'领用录入（明细）'!C:C&lt;=$L$4),ROW(),"-")</f>
        <v>-</v>
      </c>
    </row>
    <row r="44134" customHeight="1" spans="2:2">
      <c r="B44134" s="62" t="str">
        <f>IF(AND('领用录入（明细）'!D:D=$F$4,'领用录入（明细）'!C:C&gt;=$J$4,'领用录入（明细）'!C:C&lt;=$L$4),ROW(),"-")</f>
        <v>-</v>
      </c>
    </row>
    <row r="44135" customHeight="1" spans="2:2">
      <c r="B44135" s="62" t="str">
        <f>IF(AND('领用录入（明细）'!D:D=$F$4,'领用录入（明细）'!C:C&gt;=$J$4,'领用录入（明细）'!C:C&lt;=$L$4),ROW(),"-")</f>
        <v>-</v>
      </c>
    </row>
    <row r="44136" customHeight="1" spans="2:2">
      <c r="B44136" s="62" t="str">
        <f>IF(AND('领用录入（明细）'!D:D=$F$4,'领用录入（明细）'!C:C&gt;=$J$4,'领用录入（明细）'!C:C&lt;=$L$4),ROW(),"-")</f>
        <v>-</v>
      </c>
    </row>
    <row r="44137" customHeight="1" spans="2:2">
      <c r="B44137" s="62" t="str">
        <f>IF(AND('领用录入（明细）'!D:D=$F$4,'领用录入（明细）'!C:C&gt;=$J$4,'领用录入（明细）'!C:C&lt;=$L$4),ROW(),"-")</f>
        <v>-</v>
      </c>
    </row>
    <row r="44138" customHeight="1" spans="2:2">
      <c r="B44138" s="62" t="str">
        <f>IF(AND('领用录入（明细）'!D:D=$F$4,'领用录入（明细）'!C:C&gt;=$J$4,'领用录入（明细）'!C:C&lt;=$L$4),ROW(),"-")</f>
        <v>-</v>
      </c>
    </row>
    <row r="44139" customHeight="1" spans="2:2">
      <c r="B44139" s="62" t="str">
        <f>IF(AND('领用录入（明细）'!D:D=$F$4,'领用录入（明细）'!C:C&gt;=$J$4,'领用录入（明细）'!C:C&lt;=$L$4),ROW(),"-")</f>
        <v>-</v>
      </c>
    </row>
    <row r="44140" customHeight="1" spans="2:2">
      <c r="B44140" s="62" t="str">
        <f>IF(AND('领用录入（明细）'!D:D=$F$4,'领用录入（明细）'!C:C&gt;=$J$4,'领用录入（明细）'!C:C&lt;=$L$4),ROW(),"-")</f>
        <v>-</v>
      </c>
    </row>
    <row r="44141" customHeight="1" spans="2:2">
      <c r="B44141" s="62" t="str">
        <f>IF(AND('领用录入（明细）'!D:D=$F$4,'领用录入（明细）'!C:C&gt;=$J$4,'领用录入（明细）'!C:C&lt;=$L$4),ROW(),"-")</f>
        <v>-</v>
      </c>
    </row>
    <row r="44142" customHeight="1" spans="2:2">
      <c r="B44142" s="62" t="str">
        <f>IF(AND('领用录入（明细）'!D:D=$F$4,'领用录入（明细）'!C:C&gt;=$J$4,'领用录入（明细）'!C:C&lt;=$L$4),ROW(),"-")</f>
        <v>-</v>
      </c>
    </row>
    <row r="44143" customHeight="1" spans="2:2">
      <c r="B44143" s="62" t="str">
        <f>IF(AND('领用录入（明细）'!D:D=$F$4,'领用录入（明细）'!C:C&gt;=$J$4,'领用录入（明细）'!C:C&lt;=$L$4),ROW(),"-")</f>
        <v>-</v>
      </c>
    </row>
    <row r="44144" customHeight="1" spans="2:2">
      <c r="B44144" s="62" t="str">
        <f>IF(AND('领用录入（明细）'!D:D=$F$4,'领用录入（明细）'!C:C&gt;=$J$4,'领用录入（明细）'!C:C&lt;=$L$4),ROW(),"-")</f>
        <v>-</v>
      </c>
    </row>
    <row r="44145" customHeight="1" spans="2:2">
      <c r="B44145" s="62" t="str">
        <f>IF(AND('领用录入（明细）'!D:D=$F$4,'领用录入（明细）'!C:C&gt;=$J$4,'领用录入（明细）'!C:C&lt;=$L$4),ROW(),"-")</f>
        <v>-</v>
      </c>
    </row>
    <row r="44146" customHeight="1" spans="2:2">
      <c r="B44146" s="62" t="str">
        <f>IF(AND('领用录入（明细）'!D:D=$F$4,'领用录入（明细）'!C:C&gt;=$J$4,'领用录入（明细）'!C:C&lt;=$L$4),ROW(),"-")</f>
        <v>-</v>
      </c>
    </row>
    <row r="44147" customHeight="1" spans="2:2">
      <c r="B44147" s="62" t="str">
        <f>IF(AND('领用录入（明细）'!D:D=$F$4,'领用录入（明细）'!C:C&gt;=$J$4,'领用录入（明细）'!C:C&lt;=$L$4),ROW(),"-")</f>
        <v>-</v>
      </c>
    </row>
    <row r="44148" customHeight="1" spans="2:2">
      <c r="B44148" s="62" t="str">
        <f>IF(AND('领用录入（明细）'!D:D=$F$4,'领用录入（明细）'!C:C&gt;=$J$4,'领用录入（明细）'!C:C&lt;=$L$4),ROW(),"-")</f>
        <v>-</v>
      </c>
    </row>
    <row r="44149" customHeight="1" spans="2:2">
      <c r="B44149" s="62" t="str">
        <f>IF(AND('领用录入（明细）'!D:D=$F$4,'领用录入（明细）'!C:C&gt;=$J$4,'领用录入（明细）'!C:C&lt;=$L$4),ROW(),"-")</f>
        <v>-</v>
      </c>
    </row>
    <row r="44150" customHeight="1" spans="2:2">
      <c r="B44150" s="62" t="str">
        <f>IF(AND('领用录入（明细）'!D:D=$F$4,'领用录入（明细）'!C:C&gt;=$J$4,'领用录入（明细）'!C:C&lt;=$L$4),ROW(),"-")</f>
        <v>-</v>
      </c>
    </row>
    <row r="44151" customHeight="1" spans="2:2">
      <c r="B44151" s="62" t="str">
        <f>IF(AND('领用录入（明细）'!D:D=$F$4,'领用录入（明细）'!C:C&gt;=$J$4,'领用录入（明细）'!C:C&lt;=$L$4),ROW(),"-")</f>
        <v>-</v>
      </c>
    </row>
    <row r="44152" customHeight="1" spans="2:2">
      <c r="B44152" s="62" t="str">
        <f>IF(AND('领用录入（明细）'!D:D=$F$4,'领用录入（明细）'!C:C&gt;=$J$4,'领用录入（明细）'!C:C&lt;=$L$4),ROW(),"-")</f>
        <v>-</v>
      </c>
    </row>
    <row r="44153" customHeight="1" spans="2:2">
      <c r="B44153" s="62" t="str">
        <f>IF(AND('领用录入（明细）'!D:D=$F$4,'领用录入（明细）'!C:C&gt;=$J$4,'领用录入（明细）'!C:C&lt;=$L$4),ROW(),"-")</f>
        <v>-</v>
      </c>
    </row>
    <row r="44154" customHeight="1" spans="2:2">
      <c r="B44154" s="62" t="str">
        <f>IF(AND('领用录入（明细）'!D:D=$F$4,'领用录入（明细）'!C:C&gt;=$J$4,'领用录入（明细）'!C:C&lt;=$L$4),ROW(),"-")</f>
        <v>-</v>
      </c>
    </row>
    <row r="44155" customHeight="1" spans="2:2">
      <c r="B44155" s="62" t="str">
        <f>IF(AND('领用录入（明细）'!D:D=$F$4,'领用录入（明细）'!C:C&gt;=$J$4,'领用录入（明细）'!C:C&lt;=$L$4),ROW(),"-")</f>
        <v>-</v>
      </c>
    </row>
    <row r="44156" customHeight="1" spans="2:2">
      <c r="B44156" s="62" t="str">
        <f>IF(AND('领用录入（明细）'!D:D=$F$4,'领用录入（明细）'!C:C&gt;=$J$4,'领用录入（明细）'!C:C&lt;=$L$4),ROW(),"-")</f>
        <v>-</v>
      </c>
    </row>
    <row r="44157" customHeight="1" spans="2:2">
      <c r="B44157" s="62" t="str">
        <f>IF(AND('领用录入（明细）'!D:D=$F$4,'领用录入（明细）'!C:C&gt;=$J$4,'领用录入（明细）'!C:C&lt;=$L$4),ROW(),"-")</f>
        <v>-</v>
      </c>
    </row>
    <row r="44158" customHeight="1" spans="2:2">
      <c r="B44158" s="62" t="str">
        <f>IF(AND('领用录入（明细）'!D:D=$F$4,'领用录入（明细）'!C:C&gt;=$J$4,'领用录入（明细）'!C:C&lt;=$L$4),ROW(),"-")</f>
        <v>-</v>
      </c>
    </row>
    <row r="44159" customHeight="1" spans="2:2">
      <c r="B44159" s="62" t="str">
        <f>IF(AND('领用录入（明细）'!D:D=$F$4,'领用录入（明细）'!C:C&gt;=$J$4,'领用录入（明细）'!C:C&lt;=$L$4),ROW(),"-")</f>
        <v>-</v>
      </c>
    </row>
    <row r="44160" customHeight="1" spans="2:2">
      <c r="B44160" s="62" t="str">
        <f>IF(AND('领用录入（明细）'!D:D=$F$4,'领用录入（明细）'!C:C&gt;=$J$4,'领用录入（明细）'!C:C&lt;=$L$4),ROW(),"-")</f>
        <v>-</v>
      </c>
    </row>
    <row r="44161" customHeight="1" spans="2:2">
      <c r="B44161" s="62" t="str">
        <f>IF(AND('领用录入（明细）'!D:D=$F$4,'领用录入（明细）'!C:C&gt;=$J$4,'领用录入（明细）'!C:C&lt;=$L$4),ROW(),"-")</f>
        <v>-</v>
      </c>
    </row>
    <row r="44162" customHeight="1" spans="2:2">
      <c r="B44162" s="62" t="str">
        <f>IF(AND('领用录入（明细）'!D:D=$F$4,'领用录入（明细）'!C:C&gt;=$J$4,'领用录入（明细）'!C:C&lt;=$L$4),ROW(),"-")</f>
        <v>-</v>
      </c>
    </row>
    <row r="44163" customHeight="1" spans="2:2">
      <c r="B44163" s="62" t="str">
        <f>IF(AND('领用录入（明细）'!D:D=$F$4,'领用录入（明细）'!C:C&gt;=$J$4,'领用录入（明细）'!C:C&lt;=$L$4),ROW(),"-")</f>
        <v>-</v>
      </c>
    </row>
    <row r="44164" customHeight="1" spans="2:2">
      <c r="B44164" s="62" t="str">
        <f>IF(AND('领用录入（明细）'!D:D=$F$4,'领用录入（明细）'!C:C&gt;=$J$4,'领用录入（明细）'!C:C&lt;=$L$4),ROW(),"-")</f>
        <v>-</v>
      </c>
    </row>
    <row r="44165" customHeight="1" spans="2:2">
      <c r="B44165" s="62" t="str">
        <f>IF(AND('领用录入（明细）'!D:D=$F$4,'领用录入（明细）'!C:C&gt;=$J$4,'领用录入（明细）'!C:C&lt;=$L$4),ROW(),"-")</f>
        <v>-</v>
      </c>
    </row>
    <row r="44166" customHeight="1" spans="2:2">
      <c r="B44166" s="62" t="str">
        <f>IF(AND('领用录入（明细）'!D:D=$F$4,'领用录入（明细）'!C:C&gt;=$J$4,'领用录入（明细）'!C:C&lt;=$L$4),ROW(),"-")</f>
        <v>-</v>
      </c>
    </row>
    <row r="44167" customHeight="1" spans="2:2">
      <c r="B44167" s="62" t="str">
        <f>IF(AND('领用录入（明细）'!D:D=$F$4,'领用录入（明细）'!C:C&gt;=$J$4,'领用录入（明细）'!C:C&lt;=$L$4),ROW(),"-")</f>
        <v>-</v>
      </c>
    </row>
    <row r="44168" customHeight="1" spans="2:2">
      <c r="B44168" s="62" t="str">
        <f>IF(AND('领用录入（明细）'!D:D=$F$4,'领用录入（明细）'!C:C&gt;=$J$4,'领用录入（明细）'!C:C&lt;=$L$4),ROW(),"-")</f>
        <v>-</v>
      </c>
    </row>
    <row r="44169" customHeight="1" spans="2:2">
      <c r="B44169" s="62" t="str">
        <f>IF(AND('领用录入（明细）'!D:D=$F$4,'领用录入（明细）'!C:C&gt;=$J$4,'领用录入（明细）'!C:C&lt;=$L$4),ROW(),"-")</f>
        <v>-</v>
      </c>
    </row>
    <row r="44170" customHeight="1" spans="2:2">
      <c r="B44170" s="62" t="str">
        <f>IF(AND('领用录入（明细）'!D:D=$F$4,'领用录入（明细）'!C:C&gt;=$J$4,'领用录入（明细）'!C:C&lt;=$L$4),ROW(),"-")</f>
        <v>-</v>
      </c>
    </row>
    <row r="44171" customHeight="1" spans="2:2">
      <c r="B44171" s="62" t="str">
        <f>IF(AND('领用录入（明细）'!D:D=$F$4,'领用录入（明细）'!C:C&gt;=$J$4,'领用录入（明细）'!C:C&lt;=$L$4),ROW(),"-")</f>
        <v>-</v>
      </c>
    </row>
    <row r="44172" customHeight="1" spans="2:2">
      <c r="B44172" s="62" t="str">
        <f>IF(AND('领用录入（明细）'!D:D=$F$4,'领用录入（明细）'!C:C&gt;=$J$4,'领用录入（明细）'!C:C&lt;=$L$4),ROW(),"-")</f>
        <v>-</v>
      </c>
    </row>
    <row r="44173" customHeight="1" spans="2:2">
      <c r="B44173" s="62" t="str">
        <f>IF(AND('领用录入（明细）'!D:D=$F$4,'领用录入（明细）'!C:C&gt;=$J$4,'领用录入（明细）'!C:C&lt;=$L$4),ROW(),"-")</f>
        <v>-</v>
      </c>
    </row>
    <row r="44174" customHeight="1" spans="2:2">
      <c r="B44174" s="62" t="str">
        <f>IF(AND('领用录入（明细）'!D:D=$F$4,'领用录入（明细）'!C:C&gt;=$J$4,'领用录入（明细）'!C:C&lt;=$L$4),ROW(),"-")</f>
        <v>-</v>
      </c>
    </row>
    <row r="44175" customHeight="1" spans="2:2">
      <c r="B44175" s="62" t="str">
        <f>IF(AND('领用录入（明细）'!D:D=$F$4,'领用录入（明细）'!C:C&gt;=$J$4,'领用录入（明细）'!C:C&lt;=$L$4),ROW(),"-")</f>
        <v>-</v>
      </c>
    </row>
    <row r="44176" customHeight="1" spans="2:2">
      <c r="B44176" s="62" t="str">
        <f>IF(AND('领用录入（明细）'!D:D=$F$4,'领用录入（明细）'!C:C&gt;=$J$4,'领用录入（明细）'!C:C&lt;=$L$4),ROW(),"-")</f>
        <v>-</v>
      </c>
    </row>
    <row r="44177" customHeight="1" spans="2:2">
      <c r="B44177" s="62" t="str">
        <f>IF(AND('领用录入（明细）'!D:D=$F$4,'领用录入（明细）'!C:C&gt;=$J$4,'领用录入（明细）'!C:C&lt;=$L$4),ROW(),"-")</f>
        <v>-</v>
      </c>
    </row>
    <row r="44178" customHeight="1" spans="2:2">
      <c r="B44178" s="62" t="str">
        <f>IF(AND('领用录入（明细）'!D:D=$F$4,'领用录入（明细）'!C:C&gt;=$J$4,'领用录入（明细）'!C:C&lt;=$L$4),ROW(),"-")</f>
        <v>-</v>
      </c>
    </row>
    <row r="44179" customHeight="1" spans="2:2">
      <c r="B44179" s="62" t="str">
        <f>IF(AND('领用录入（明细）'!D:D=$F$4,'领用录入（明细）'!C:C&gt;=$J$4,'领用录入（明细）'!C:C&lt;=$L$4),ROW(),"-")</f>
        <v>-</v>
      </c>
    </row>
    <row r="44180" customHeight="1" spans="2:2">
      <c r="B44180" s="62" t="str">
        <f>IF(AND('领用录入（明细）'!D:D=$F$4,'领用录入（明细）'!C:C&gt;=$J$4,'领用录入（明细）'!C:C&lt;=$L$4),ROW(),"-")</f>
        <v>-</v>
      </c>
    </row>
    <row r="44181" customHeight="1" spans="2:2">
      <c r="B44181" s="62" t="str">
        <f>IF(AND('领用录入（明细）'!D:D=$F$4,'领用录入（明细）'!C:C&gt;=$J$4,'领用录入（明细）'!C:C&lt;=$L$4),ROW(),"-")</f>
        <v>-</v>
      </c>
    </row>
    <row r="44182" customHeight="1" spans="2:2">
      <c r="B44182" s="62" t="str">
        <f>IF(AND('领用录入（明细）'!D:D=$F$4,'领用录入（明细）'!C:C&gt;=$J$4,'领用录入（明细）'!C:C&lt;=$L$4),ROW(),"-")</f>
        <v>-</v>
      </c>
    </row>
    <row r="44183" customHeight="1" spans="2:2">
      <c r="B44183" s="62" t="str">
        <f>IF(AND('领用录入（明细）'!D:D=$F$4,'领用录入（明细）'!C:C&gt;=$J$4,'领用录入（明细）'!C:C&lt;=$L$4),ROW(),"-")</f>
        <v>-</v>
      </c>
    </row>
    <row r="44184" customHeight="1" spans="2:2">
      <c r="B44184" s="62" t="str">
        <f>IF(AND('领用录入（明细）'!D:D=$F$4,'领用录入（明细）'!C:C&gt;=$J$4,'领用录入（明细）'!C:C&lt;=$L$4),ROW(),"-")</f>
        <v>-</v>
      </c>
    </row>
    <row r="44185" customHeight="1" spans="2:2">
      <c r="B44185" s="62" t="str">
        <f>IF(AND('领用录入（明细）'!D:D=$F$4,'领用录入（明细）'!C:C&gt;=$J$4,'领用录入（明细）'!C:C&lt;=$L$4),ROW(),"-")</f>
        <v>-</v>
      </c>
    </row>
    <row r="44186" customHeight="1" spans="2:2">
      <c r="B44186" s="62" t="str">
        <f>IF(AND('领用录入（明细）'!D:D=$F$4,'领用录入（明细）'!C:C&gt;=$J$4,'领用录入（明细）'!C:C&lt;=$L$4),ROW(),"-")</f>
        <v>-</v>
      </c>
    </row>
    <row r="44187" customHeight="1" spans="2:2">
      <c r="B44187" s="62" t="str">
        <f>IF(AND('领用录入（明细）'!D:D=$F$4,'领用录入（明细）'!C:C&gt;=$J$4,'领用录入（明细）'!C:C&lt;=$L$4),ROW(),"-")</f>
        <v>-</v>
      </c>
    </row>
    <row r="44188" customHeight="1" spans="2:2">
      <c r="B44188" s="62" t="str">
        <f>IF(AND('领用录入（明细）'!D:D=$F$4,'领用录入（明细）'!C:C&gt;=$J$4,'领用录入（明细）'!C:C&lt;=$L$4),ROW(),"-")</f>
        <v>-</v>
      </c>
    </row>
    <row r="44189" customHeight="1" spans="2:2">
      <c r="B44189" s="62" t="str">
        <f>IF(AND('领用录入（明细）'!D:D=$F$4,'领用录入（明细）'!C:C&gt;=$J$4,'领用录入（明细）'!C:C&lt;=$L$4),ROW(),"-")</f>
        <v>-</v>
      </c>
    </row>
    <row r="44190" customHeight="1" spans="2:2">
      <c r="B44190" s="62" t="str">
        <f>IF(AND('领用录入（明细）'!D:D=$F$4,'领用录入（明细）'!C:C&gt;=$J$4,'领用录入（明细）'!C:C&lt;=$L$4),ROW(),"-")</f>
        <v>-</v>
      </c>
    </row>
    <row r="44191" customHeight="1" spans="2:2">
      <c r="B44191" s="62" t="str">
        <f>IF(AND('领用录入（明细）'!D:D=$F$4,'领用录入（明细）'!C:C&gt;=$J$4,'领用录入（明细）'!C:C&lt;=$L$4),ROW(),"-")</f>
        <v>-</v>
      </c>
    </row>
    <row r="44192" customHeight="1" spans="2:2">
      <c r="B44192" s="62" t="str">
        <f>IF(AND('领用录入（明细）'!D:D=$F$4,'领用录入（明细）'!C:C&gt;=$J$4,'领用录入（明细）'!C:C&lt;=$L$4),ROW(),"-")</f>
        <v>-</v>
      </c>
    </row>
    <row r="44193" customHeight="1" spans="2:2">
      <c r="B44193" s="62" t="str">
        <f>IF(AND('领用录入（明细）'!D:D=$F$4,'领用录入（明细）'!C:C&gt;=$J$4,'领用录入（明细）'!C:C&lt;=$L$4),ROW(),"-")</f>
        <v>-</v>
      </c>
    </row>
    <row r="44194" customHeight="1" spans="2:2">
      <c r="B44194" s="62" t="str">
        <f>IF(AND('领用录入（明细）'!D:D=$F$4,'领用录入（明细）'!C:C&gt;=$J$4,'领用录入（明细）'!C:C&lt;=$L$4),ROW(),"-")</f>
        <v>-</v>
      </c>
    </row>
    <row r="44195" customHeight="1" spans="2:2">
      <c r="B44195" s="62" t="str">
        <f>IF(AND('领用录入（明细）'!D:D=$F$4,'领用录入（明细）'!C:C&gt;=$J$4,'领用录入（明细）'!C:C&lt;=$L$4),ROW(),"-")</f>
        <v>-</v>
      </c>
    </row>
    <row r="44196" customHeight="1" spans="2:2">
      <c r="B44196" s="62" t="str">
        <f>IF(AND('领用录入（明细）'!D:D=$F$4,'领用录入（明细）'!C:C&gt;=$J$4,'领用录入（明细）'!C:C&lt;=$L$4),ROW(),"-")</f>
        <v>-</v>
      </c>
    </row>
    <row r="44197" customHeight="1" spans="2:2">
      <c r="B44197" s="62" t="str">
        <f>IF(AND('领用录入（明细）'!D:D=$F$4,'领用录入（明细）'!C:C&gt;=$J$4,'领用录入（明细）'!C:C&lt;=$L$4),ROW(),"-")</f>
        <v>-</v>
      </c>
    </row>
    <row r="44198" customHeight="1" spans="2:2">
      <c r="B44198" s="62" t="str">
        <f>IF(AND('领用录入（明细）'!D:D=$F$4,'领用录入（明细）'!C:C&gt;=$J$4,'领用录入（明细）'!C:C&lt;=$L$4),ROW(),"-")</f>
        <v>-</v>
      </c>
    </row>
    <row r="44199" customHeight="1" spans="2:2">
      <c r="B44199" s="62" t="str">
        <f>IF(AND('领用录入（明细）'!D:D=$F$4,'领用录入（明细）'!C:C&gt;=$J$4,'领用录入（明细）'!C:C&lt;=$L$4),ROW(),"-")</f>
        <v>-</v>
      </c>
    </row>
    <row r="44200" customHeight="1" spans="2:2">
      <c r="B44200" s="62" t="str">
        <f>IF(AND('领用录入（明细）'!D:D=$F$4,'领用录入（明细）'!C:C&gt;=$J$4,'领用录入（明细）'!C:C&lt;=$L$4),ROW(),"-")</f>
        <v>-</v>
      </c>
    </row>
    <row r="44201" customHeight="1" spans="2:2">
      <c r="B44201" s="62" t="str">
        <f>IF(AND('领用录入（明细）'!D:D=$F$4,'领用录入（明细）'!C:C&gt;=$J$4,'领用录入（明细）'!C:C&lt;=$L$4),ROW(),"-")</f>
        <v>-</v>
      </c>
    </row>
    <row r="44202" customHeight="1" spans="2:2">
      <c r="B44202" s="62" t="str">
        <f>IF(AND('领用录入（明细）'!D:D=$F$4,'领用录入（明细）'!C:C&gt;=$J$4,'领用录入（明细）'!C:C&lt;=$L$4),ROW(),"-")</f>
        <v>-</v>
      </c>
    </row>
    <row r="44203" customHeight="1" spans="2:2">
      <c r="B44203" s="62" t="str">
        <f>IF(AND('领用录入（明细）'!D:D=$F$4,'领用录入（明细）'!C:C&gt;=$J$4,'领用录入（明细）'!C:C&lt;=$L$4),ROW(),"-")</f>
        <v>-</v>
      </c>
    </row>
    <row r="44204" customHeight="1" spans="2:2">
      <c r="B44204" s="62" t="str">
        <f>IF(AND('领用录入（明细）'!D:D=$F$4,'领用录入（明细）'!C:C&gt;=$J$4,'领用录入（明细）'!C:C&lt;=$L$4),ROW(),"-")</f>
        <v>-</v>
      </c>
    </row>
    <row r="44205" customHeight="1" spans="2:2">
      <c r="B44205" s="62" t="str">
        <f>IF(AND('领用录入（明细）'!D:D=$F$4,'领用录入（明细）'!C:C&gt;=$J$4,'领用录入（明细）'!C:C&lt;=$L$4),ROW(),"-")</f>
        <v>-</v>
      </c>
    </row>
    <row r="44206" customHeight="1" spans="2:2">
      <c r="B44206" s="62" t="str">
        <f>IF(AND('领用录入（明细）'!D:D=$F$4,'领用录入（明细）'!C:C&gt;=$J$4,'领用录入（明细）'!C:C&lt;=$L$4),ROW(),"-")</f>
        <v>-</v>
      </c>
    </row>
    <row r="44207" customHeight="1" spans="2:2">
      <c r="B44207" s="62" t="str">
        <f>IF(AND('领用录入（明细）'!D:D=$F$4,'领用录入（明细）'!C:C&gt;=$J$4,'领用录入（明细）'!C:C&lt;=$L$4),ROW(),"-")</f>
        <v>-</v>
      </c>
    </row>
    <row r="44208" customHeight="1" spans="2:2">
      <c r="B44208" s="62" t="str">
        <f>IF(AND('领用录入（明细）'!D:D=$F$4,'领用录入（明细）'!C:C&gt;=$J$4,'领用录入（明细）'!C:C&lt;=$L$4),ROW(),"-")</f>
        <v>-</v>
      </c>
    </row>
    <row r="44209" customHeight="1" spans="2:2">
      <c r="B44209" s="62" t="str">
        <f>IF(AND('领用录入（明细）'!D:D=$F$4,'领用录入（明细）'!C:C&gt;=$J$4,'领用录入（明细）'!C:C&lt;=$L$4),ROW(),"-")</f>
        <v>-</v>
      </c>
    </row>
    <row r="44210" customHeight="1" spans="2:2">
      <c r="B44210" s="62" t="str">
        <f>IF(AND('领用录入（明细）'!D:D=$F$4,'领用录入（明细）'!C:C&gt;=$J$4,'领用录入（明细）'!C:C&lt;=$L$4),ROW(),"-")</f>
        <v>-</v>
      </c>
    </row>
    <row r="44211" customHeight="1" spans="2:2">
      <c r="B44211" s="62" t="str">
        <f>IF(AND('领用录入（明细）'!D:D=$F$4,'领用录入（明细）'!C:C&gt;=$J$4,'领用录入（明细）'!C:C&lt;=$L$4),ROW(),"-")</f>
        <v>-</v>
      </c>
    </row>
    <row r="44212" customHeight="1" spans="2:2">
      <c r="B44212" s="62" t="str">
        <f>IF(AND('领用录入（明细）'!D:D=$F$4,'领用录入（明细）'!C:C&gt;=$J$4,'领用录入（明细）'!C:C&lt;=$L$4),ROW(),"-")</f>
        <v>-</v>
      </c>
    </row>
    <row r="44213" customHeight="1" spans="2:2">
      <c r="B44213" s="62" t="str">
        <f>IF(AND('领用录入（明细）'!D:D=$F$4,'领用录入（明细）'!C:C&gt;=$J$4,'领用录入（明细）'!C:C&lt;=$L$4),ROW(),"-")</f>
        <v>-</v>
      </c>
    </row>
    <row r="44214" customHeight="1" spans="2:2">
      <c r="B44214" s="62" t="str">
        <f>IF(AND('领用录入（明细）'!D:D=$F$4,'领用录入（明细）'!C:C&gt;=$J$4,'领用录入（明细）'!C:C&lt;=$L$4),ROW(),"-")</f>
        <v>-</v>
      </c>
    </row>
    <row r="44215" customHeight="1" spans="2:2">
      <c r="B44215" s="62" t="str">
        <f>IF(AND('领用录入（明细）'!D:D=$F$4,'领用录入（明细）'!C:C&gt;=$J$4,'领用录入（明细）'!C:C&lt;=$L$4),ROW(),"-")</f>
        <v>-</v>
      </c>
    </row>
    <row r="44216" customHeight="1" spans="2:2">
      <c r="B44216" s="62" t="str">
        <f>IF(AND('领用录入（明细）'!D:D=$F$4,'领用录入（明细）'!C:C&gt;=$J$4,'领用录入（明细）'!C:C&lt;=$L$4),ROW(),"-")</f>
        <v>-</v>
      </c>
    </row>
    <row r="44217" customHeight="1" spans="2:2">
      <c r="B44217" s="62" t="str">
        <f>IF(AND('领用录入（明细）'!D:D=$F$4,'领用录入（明细）'!C:C&gt;=$J$4,'领用录入（明细）'!C:C&lt;=$L$4),ROW(),"-")</f>
        <v>-</v>
      </c>
    </row>
    <row r="44218" customHeight="1" spans="2:2">
      <c r="B44218" s="62" t="str">
        <f>IF(AND('领用录入（明细）'!D:D=$F$4,'领用录入（明细）'!C:C&gt;=$J$4,'领用录入（明细）'!C:C&lt;=$L$4),ROW(),"-")</f>
        <v>-</v>
      </c>
    </row>
    <row r="44219" customHeight="1" spans="2:2">
      <c r="B44219" s="62" t="str">
        <f>IF(AND('领用录入（明细）'!D:D=$F$4,'领用录入（明细）'!C:C&gt;=$J$4,'领用录入（明细）'!C:C&lt;=$L$4),ROW(),"-")</f>
        <v>-</v>
      </c>
    </row>
    <row r="44220" customHeight="1" spans="2:2">
      <c r="B44220" s="62" t="str">
        <f>IF(AND('领用录入（明细）'!D:D=$F$4,'领用录入（明细）'!C:C&gt;=$J$4,'领用录入（明细）'!C:C&lt;=$L$4),ROW(),"-")</f>
        <v>-</v>
      </c>
    </row>
    <row r="44221" customHeight="1" spans="2:2">
      <c r="B44221" s="62" t="str">
        <f>IF(AND('领用录入（明细）'!D:D=$F$4,'领用录入（明细）'!C:C&gt;=$J$4,'领用录入（明细）'!C:C&lt;=$L$4),ROW(),"-")</f>
        <v>-</v>
      </c>
    </row>
    <row r="44222" customHeight="1" spans="2:2">
      <c r="B44222" s="62" t="str">
        <f>IF(AND('领用录入（明细）'!D:D=$F$4,'领用录入（明细）'!C:C&gt;=$J$4,'领用录入（明细）'!C:C&lt;=$L$4),ROW(),"-")</f>
        <v>-</v>
      </c>
    </row>
    <row r="44223" customHeight="1" spans="2:2">
      <c r="B44223" s="62" t="str">
        <f>IF(AND('领用录入（明细）'!D:D=$F$4,'领用录入（明细）'!C:C&gt;=$J$4,'领用录入（明细）'!C:C&lt;=$L$4),ROW(),"-")</f>
        <v>-</v>
      </c>
    </row>
    <row r="44224" customHeight="1" spans="2:2">
      <c r="B44224" s="62" t="str">
        <f>IF(AND('领用录入（明细）'!D:D=$F$4,'领用录入（明细）'!C:C&gt;=$J$4,'领用录入（明细）'!C:C&lt;=$L$4),ROW(),"-")</f>
        <v>-</v>
      </c>
    </row>
    <row r="44225" customHeight="1" spans="2:2">
      <c r="B44225" s="62" t="str">
        <f>IF(AND('领用录入（明细）'!D:D=$F$4,'领用录入（明细）'!C:C&gt;=$J$4,'领用录入（明细）'!C:C&lt;=$L$4),ROW(),"-")</f>
        <v>-</v>
      </c>
    </row>
    <row r="44226" customHeight="1" spans="2:2">
      <c r="B44226" s="62" t="str">
        <f>IF(AND('领用录入（明细）'!D:D=$F$4,'领用录入（明细）'!C:C&gt;=$J$4,'领用录入（明细）'!C:C&lt;=$L$4),ROW(),"-")</f>
        <v>-</v>
      </c>
    </row>
    <row r="44227" customHeight="1" spans="2:2">
      <c r="B44227" s="62" t="str">
        <f>IF(AND('领用录入（明细）'!D:D=$F$4,'领用录入（明细）'!C:C&gt;=$J$4,'领用录入（明细）'!C:C&lt;=$L$4),ROW(),"-")</f>
        <v>-</v>
      </c>
    </row>
    <row r="44228" customHeight="1" spans="2:2">
      <c r="B44228" s="62" t="str">
        <f>IF(AND('领用录入（明细）'!D:D=$F$4,'领用录入（明细）'!C:C&gt;=$J$4,'领用录入（明细）'!C:C&lt;=$L$4),ROW(),"-")</f>
        <v>-</v>
      </c>
    </row>
    <row r="44229" customHeight="1" spans="2:2">
      <c r="B44229" s="62" t="str">
        <f>IF(AND('领用录入（明细）'!D:D=$F$4,'领用录入（明细）'!C:C&gt;=$J$4,'领用录入（明细）'!C:C&lt;=$L$4),ROW(),"-")</f>
        <v>-</v>
      </c>
    </row>
    <row r="44230" customHeight="1" spans="2:2">
      <c r="B44230" s="62" t="str">
        <f>IF(AND('领用录入（明细）'!D:D=$F$4,'领用录入（明细）'!C:C&gt;=$J$4,'领用录入（明细）'!C:C&lt;=$L$4),ROW(),"-")</f>
        <v>-</v>
      </c>
    </row>
    <row r="44231" customHeight="1" spans="2:2">
      <c r="B44231" s="62" t="str">
        <f>IF(AND('领用录入（明细）'!D:D=$F$4,'领用录入（明细）'!C:C&gt;=$J$4,'领用录入（明细）'!C:C&lt;=$L$4),ROW(),"-")</f>
        <v>-</v>
      </c>
    </row>
    <row r="44232" customHeight="1" spans="2:2">
      <c r="B44232" s="62" t="str">
        <f>IF(AND('领用录入（明细）'!D:D=$F$4,'领用录入（明细）'!C:C&gt;=$J$4,'领用录入（明细）'!C:C&lt;=$L$4),ROW(),"-")</f>
        <v>-</v>
      </c>
    </row>
    <row r="44233" customHeight="1" spans="2:2">
      <c r="B44233" s="62" t="str">
        <f>IF(AND('领用录入（明细）'!D:D=$F$4,'领用录入（明细）'!C:C&gt;=$J$4,'领用录入（明细）'!C:C&lt;=$L$4),ROW(),"-")</f>
        <v>-</v>
      </c>
    </row>
    <row r="44234" customHeight="1" spans="2:2">
      <c r="B44234" s="62" t="str">
        <f>IF(AND('领用录入（明细）'!D:D=$F$4,'领用录入（明细）'!C:C&gt;=$J$4,'领用录入（明细）'!C:C&lt;=$L$4),ROW(),"-")</f>
        <v>-</v>
      </c>
    </row>
    <row r="44235" customHeight="1" spans="2:2">
      <c r="B44235" s="62" t="str">
        <f>IF(AND('领用录入（明细）'!D:D=$F$4,'领用录入（明细）'!C:C&gt;=$J$4,'领用录入（明细）'!C:C&lt;=$L$4),ROW(),"-")</f>
        <v>-</v>
      </c>
    </row>
    <row r="44236" customHeight="1" spans="2:2">
      <c r="B44236" s="62" t="str">
        <f>IF(AND('领用录入（明细）'!D:D=$F$4,'领用录入（明细）'!C:C&gt;=$J$4,'领用录入（明细）'!C:C&lt;=$L$4),ROW(),"-")</f>
        <v>-</v>
      </c>
    </row>
    <row r="44237" customHeight="1" spans="2:2">
      <c r="B44237" s="62" t="str">
        <f>IF(AND('领用录入（明细）'!D:D=$F$4,'领用录入（明细）'!C:C&gt;=$J$4,'领用录入（明细）'!C:C&lt;=$L$4),ROW(),"-")</f>
        <v>-</v>
      </c>
    </row>
    <row r="44238" customHeight="1" spans="2:2">
      <c r="B44238" s="62" t="str">
        <f>IF(AND('领用录入（明细）'!D:D=$F$4,'领用录入（明细）'!C:C&gt;=$J$4,'领用录入（明细）'!C:C&lt;=$L$4),ROW(),"-")</f>
        <v>-</v>
      </c>
    </row>
    <row r="44239" customHeight="1" spans="2:2">
      <c r="B44239" s="62" t="str">
        <f>IF(AND('领用录入（明细）'!D:D=$F$4,'领用录入（明细）'!C:C&gt;=$J$4,'领用录入（明细）'!C:C&lt;=$L$4),ROW(),"-")</f>
        <v>-</v>
      </c>
    </row>
    <row r="44240" customHeight="1" spans="2:2">
      <c r="B44240" s="62" t="str">
        <f>IF(AND('领用录入（明细）'!D:D=$F$4,'领用录入（明细）'!C:C&gt;=$J$4,'领用录入（明细）'!C:C&lt;=$L$4),ROW(),"-")</f>
        <v>-</v>
      </c>
    </row>
    <row r="44241" customHeight="1" spans="2:2">
      <c r="B44241" s="62" t="str">
        <f>IF(AND('领用录入（明细）'!D:D=$F$4,'领用录入（明细）'!C:C&gt;=$J$4,'领用录入（明细）'!C:C&lt;=$L$4),ROW(),"-")</f>
        <v>-</v>
      </c>
    </row>
    <row r="44242" customHeight="1" spans="2:2">
      <c r="B44242" s="62" t="str">
        <f>IF(AND('领用录入（明细）'!D:D=$F$4,'领用录入（明细）'!C:C&gt;=$J$4,'领用录入（明细）'!C:C&lt;=$L$4),ROW(),"-")</f>
        <v>-</v>
      </c>
    </row>
    <row r="44243" customHeight="1" spans="2:2">
      <c r="B44243" s="62" t="str">
        <f>IF(AND('领用录入（明细）'!D:D=$F$4,'领用录入（明细）'!C:C&gt;=$J$4,'领用录入（明细）'!C:C&lt;=$L$4),ROW(),"-")</f>
        <v>-</v>
      </c>
    </row>
    <row r="44244" customHeight="1" spans="2:2">
      <c r="B44244" s="62" t="str">
        <f>IF(AND('领用录入（明细）'!D:D=$F$4,'领用录入（明细）'!C:C&gt;=$J$4,'领用录入（明细）'!C:C&lt;=$L$4),ROW(),"-")</f>
        <v>-</v>
      </c>
    </row>
    <row r="44245" customHeight="1" spans="2:2">
      <c r="B44245" s="62" t="str">
        <f>IF(AND('领用录入（明细）'!D:D=$F$4,'领用录入（明细）'!C:C&gt;=$J$4,'领用录入（明细）'!C:C&lt;=$L$4),ROW(),"-")</f>
        <v>-</v>
      </c>
    </row>
    <row r="44246" customHeight="1" spans="2:2">
      <c r="B44246" s="62" t="str">
        <f>IF(AND('领用录入（明细）'!D:D=$F$4,'领用录入（明细）'!C:C&gt;=$J$4,'领用录入（明细）'!C:C&lt;=$L$4),ROW(),"-")</f>
        <v>-</v>
      </c>
    </row>
    <row r="44247" customHeight="1" spans="2:2">
      <c r="B44247" s="62" t="str">
        <f>IF(AND('领用录入（明细）'!D:D=$F$4,'领用录入（明细）'!C:C&gt;=$J$4,'领用录入（明细）'!C:C&lt;=$L$4),ROW(),"-")</f>
        <v>-</v>
      </c>
    </row>
    <row r="44248" customHeight="1" spans="2:2">
      <c r="B44248" s="62" t="str">
        <f>IF(AND('领用录入（明细）'!D:D=$F$4,'领用录入（明细）'!C:C&gt;=$J$4,'领用录入（明细）'!C:C&lt;=$L$4),ROW(),"-")</f>
        <v>-</v>
      </c>
    </row>
    <row r="44249" customHeight="1" spans="2:2">
      <c r="B44249" s="62" t="str">
        <f>IF(AND('领用录入（明细）'!D:D=$F$4,'领用录入（明细）'!C:C&gt;=$J$4,'领用录入（明细）'!C:C&lt;=$L$4),ROW(),"-")</f>
        <v>-</v>
      </c>
    </row>
    <row r="44250" customHeight="1" spans="2:2">
      <c r="B44250" s="62" t="str">
        <f>IF(AND('领用录入（明细）'!D:D=$F$4,'领用录入（明细）'!C:C&gt;=$J$4,'领用录入（明细）'!C:C&lt;=$L$4),ROW(),"-")</f>
        <v>-</v>
      </c>
    </row>
    <row r="44251" customHeight="1" spans="2:2">
      <c r="B44251" s="62" t="str">
        <f>IF(AND('领用录入（明细）'!D:D=$F$4,'领用录入（明细）'!C:C&gt;=$J$4,'领用录入（明细）'!C:C&lt;=$L$4),ROW(),"-")</f>
        <v>-</v>
      </c>
    </row>
    <row r="44252" customHeight="1" spans="2:2">
      <c r="B44252" s="62" t="str">
        <f>IF(AND('领用录入（明细）'!D:D=$F$4,'领用录入（明细）'!C:C&gt;=$J$4,'领用录入（明细）'!C:C&lt;=$L$4),ROW(),"-")</f>
        <v>-</v>
      </c>
    </row>
    <row r="44253" customHeight="1" spans="2:2">
      <c r="B44253" s="62" t="str">
        <f>IF(AND('领用录入（明细）'!D:D=$F$4,'领用录入（明细）'!C:C&gt;=$J$4,'领用录入（明细）'!C:C&lt;=$L$4),ROW(),"-")</f>
        <v>-</v>
      </c>
    </row>
    <row r="44254" customHeight="1" spans="2:2">
      <c r="B44254" s="62" t="str">
        <f>IF(AND('领用录入（明细）'!D:D=$F$4,'领用录入（明细）'!C:C&gt;=$J$4,'领用录入（明细）'!C:C&lt;=$L$4),ROW(),"-")</f>
        <v>-</v>
      </c>
    </row>
    <row r="44255" customHeight="1" spans="2:2">
      <c r="B44255" s="62" t="str">
        <f>IF(AND('领用录入（明细）'!D:D=$F$4,'领用录入（明细）'!C:C&gt;=$J$4,'领用录入（明细）'!C:C&lt;=$L$4),ROW(),"-")</f>
        <v>-</v>
      </c>
    </row>
    <row r="44256" customHeight="1" spans="2:2">
      <c r="B44256" s="62" t="str">
        <f>IF(AND('领用录入（明细）'!D:D=$F$4,'领用录入（明细）'!C:C&gt;=$J$4,'领用录入（明细）'!C:C&lt;=$L$4),ROW(),"-")</f>
        <v>-</v>
      </c>
    </row>
    <row r="44257" customHeight="1" spans="2:2">
      <c r="B44257" s="62" t="str">
        <f>IF(AND('领用录入（明细）'!D:D=$F$4,'领用录入（明细）'!C:C&gt;=$J$4,'领用录入（明细）'!C:C&lt;=$L$4),ROW(),"-")</f>
        <v>-</v>
      </c>
    </row>
    <row r="44258" customHeight="1" spans="2:2">
      <c r="B44258" s="62" t="str">
        <f>IF(AND('领用录入（明细）'!D:D=$F$4,'领用录入（明细）'!C:C&gt;=$J$4,'领用录入（明细）'!C:C&lt;=$L$4),ROW(),"-")</f>
        <v>-</v>
      </c>
    </row>
    <row r="44259" customHeight="1" spans="2:2">
      <c r="B44259" s="62" t="str">
        <f>IF(AND('领用录入（明细）'!D:D=$F$4,'领用录入（明细）'!C:C&gt;=$J$4,'领用录入（明细）'!C:C&lt;=$L$4),ROW(),"-")</f>
        <v>-</v>
      </c>
    </row>
    <row r="44260" customHeight="1" spans="2:2">
      <c r="B44260" s="62" t="str">
        <f>IF(AND('领用录入（明细）'!D:D=$F$4,'领用录入（明细）'!C:C&gt;=$J$4,'领用录入（明细）'!C:C&lt;=$L$4),ROW(),"-")</f>
        <v>-</v>
      </c>
    </row>
    <row r="44261" customHeight="1" spans="2:2">
      <c r="B44261" s="62" t="str">
        <f>IF(AND('领用录入（明细）'!D:D=$F$4,'领用录入（明细）'!C:C&gt;=$J$4,'领用录入（明细）'!C:C&lt;=$L$4),ROW(),"-")</f>
        <v>-</v>
      </c>
    </row>
    <row r="44262" customHeight="1" spans="2:2">
      <c r="B44262" s="62" t="str">
        <f>IF(AND('领用录入（明细）'!D:D=$F$4,'领用录入（明细）'!C:C&gt;=$J$4,'领用录入（明细）'!C:C&lt;=$L$4),ROW(),"-")</f>
        <v>-</v>
      </c>
    </row>
    <row r="44263" customHeight="1" spans="2:2">
      <c r="B44263" s="62" t="str">
        <f>IF(AND('领用录入（明细）'!D:D=$F$4,'领用录入（明细）'!C:C&gt;=$J$4,'领用录入（明细）'!C:C&lt;=$L$4),ROW(),"-")</f>
        <v>-</v>
      </c>
    </row>
    <row r="44264" customHeight="1" spans="2:2">
      <c r="B44264" s="62" t="str">
        <f>IF(AND('领用录入（明细）'!D:D=$F$4,'领用录入（明细）'!C:C&gt;=$J$4,'领用录入（明细）'!C:C&lt;=$L$4),ROW(),"-")</f>
        <v>-</v>
      </c>
    </row>
    <row r="44265" customHeight="1" spans="2:2">
      <c r="B44265" s="62" t="str">
        <f>IF(AND('领用录入（明细）'!D:D=$F$4,'领用录入（明细）'!C:C&gt;=$J$4,'领用录入（明细）'!C:C&lt;=$L$4),ROW(),"-")</f>
        <v>-</v>
      </c>
    </row>
    <row r="44266" customHeight="1" spans="2:2">
      <c r="B44266" s="62" t="str">
        <f>IF(AND('领用录入（明细）'!D:D=$F$4,'领用录入（明细）'!C:C&gt;=$J$4,'领用录入（明细）'!C:C&lt;=$L$4),ROW(),"-")</f>
        <v>-</v>
      </c>
    </row>
    <row r="44267" customHeight="1" spans="2:2">
      <c r="B44267" s="62" t="str">
        <f>IF(AND('领用录入（明细）'!D:D=$F$4,'领用录入（明细）'!C:C&gt;=$J$4,'领用录入（明细）'!C:C&lt;=$L$4),ROW(),"-")</f>
        <v>-</v>
      </c>
    </row>
    <row r="44268" customHeight="1" spans="2:2">
      <c r="B44268" s="62" t="str">
        <f>IF(AND('领用录入（明细）'!D:D=$F$4,'领用录入（明细）'!C:C&gt;=$J$4,'领用录入（明细）'!C:C&lt;=$L$4),ROW(),"-")</f>
        <v>-</v>
      </c>
    </row>
    <row r="44269" customHeight="1" spans="2:2">
      <c r="B44269" s="62" t="str">
        <f>IF(AND('领用录入（明细）'!D:D=$F$4,'领用录入（明细）'!C:C&gt;=$J$4,'领用录入（明细）'!C:C&lt;=$L$4),ROW(),"-")</f>
        <v>-</v>
      </c>
    </row>
    <row r="44270" customHeight="1" spans="2:2">
      <c r="B44270" s="62" t="str">
        <f>IF(AND('领用录入（明细）'!D:D=$F$4,'领用录入（明细）'!C:C&gt;=$J$4,'领用录入（明细）'!C:C&lt;=$L$4),ROW(),"-")</f>
        <v>-</v>
      </c>
    </row>
    <row r="44271" customHeight="1" spans="2:2">
      <c r="B44271" s="62" t="str">
        <f>IF(AND('领用录入（明细）'!D:D=$F$4,'领用录入（明细）'!C:C&gt;=$J$4,'领用录入（明细）'!C:C&lt;=$L$4),ROW(),"-")</f>
        <v>-</v>
      </c>
    </row>
    <row r="44272" customHeight="1" spans="2:2">
      <c r="B44272" s="62" t="str">
        <f>IF(AND('领用录入（明细）'!D:D=$F$4,'领用录入（明细）'!C:C&gt;=$J$4,'领用录入（明细）'!C:C&lt;=$L$4),ROW(),"-")</f>
        <v>-</v>
      </c>
    </row>
    <row r="44273" customHeight="1" spans="2:2">
      <c r="B44273" s="62" t="str">
        <f>IF(AND('领用录入（明细）'!D:D=$F$4,'领用录入（明细）'!C:C&gt;=$J$4,'领用录入（明细）'!C:C&lt;=$L$4),ROW(),"-")</f>
        <v>-</v>
      </c>
    </row>
    <row r="44274" customHeight="1" spans="2:2">
      <c r="B44274" s="62" t="str">
        <f>IF(AND('领用录入（明细）'!D:D=$F$4,'领用录入（明细）'!C:C&gt;=$J$4,'领用录入（明细）'!C:C&lt;=$L$4),ROW(),"-")</f>
        <v>-</v>
      </c>
    </row>
    <row r="44275" customHeight="1" spans="2:2">
      <c r="B44275" s="62" t="str">
        <f>IF(AND('领用录入（明细）'!D:D=$F$4,'领用录入（明细）'!C:C&gt;=$J$4,'领用录入（明细）'!C:C&lt;=$L$4),ROW(),"-")</f>
        <v>-</v>
      </c>
    </row>
    <row r="44276" customHeight="1" spans="2:2">
      <c r="B44276" s="62" t="str">
        <f>IF(AND('领用录入（明细）'!D:D=$F$4,'领用录入（明细）'!C:C&gt;=$J$4,'领用录入（明细）'!C:C&lt;=$L$4),ROW(),"-")</f>
        <v>-</v>
      </c>
    </row>
    <row r="44277" customHeight="1" spans="2:2">
      <c r="B44277" s="62" t="str">
        <f>IF(AND('领用录入（明细）'!D:D=$F$4,'领用录入（明细）'!C:C&gt;=$J$4,'领用录入（明细）'!C:C&lt;=$L$4),ROW(),"-")</f>
        <v>-</v>
      </c>
    </row>
    <row r="44278" customHeight="1" spans="2:2">
      <c r="B44278" s="62" t="str">
        <f>IF(AND('领用录入（明细）'!D:D=$F$4,'领用录入（明细）'!C:C&gt;=$J$4,'领用录入（明细）'!C:C&lt;=$L$4),ROW(),"-")</f>
        <v>-</v>
      </c>
    </row>
    <row r="44279" customHeight="1" spans="2:2">
      <c r="B44279" s="62" t="str">
        <f>IF(AND('领用录入（明细）'!D:D=$F$4,'领用录入（明细）'!C:C&gt;=$J$4,'领用录入（明细）'!C:C&lt;=$L$4),ROW(),"-")</f>
        <v>-</v>
      </c>
    </row>
    <row r="44280" customHeight="1" spans="2:2">
      <c r="B44280" s="62" t="str">
        <f>IF(AND('领用录入（明细）'!D:D=$F$4,'领用录入（明细）'!C:C&gt;=$J$4,'领用录入（明细）'!C:C&lt;=$L$4),ROW(),"-")</f>
        <v>-</v>
      </c>
    </row>
    <row r="44281" customHeight="1" spans="2:2">
      <c r="B44281" s="62" t="str">
        <f>IF(AND('领用录入（明细）'!D:D=$F$4,'领用录入（明细）'!C:C&gt;=$J$4,'领用录入（明细）'!C:C&lt;=$L$4),ROW(),"-")</f>
        <v>-</v>
      </c>
    </row>
    <row r="44282" customHeight="1" spans="2:2">
      <c r="B44282" s="62" t="str">
        <f>IF(AND('领用录入（明细）'!D:D=$F$4,'领用录入（明细）'!C:C&gt;=$J$4,'领用录入（明细）'!C:C&lt;=$L$4),ROW(),"-")</f>
        <v>-</v>
      </c>
    </row>
    <row r="44283" customHeight="1" spans="2:2">
      <c r="B44283" s="62" t="str">
        <f>IF(AND('领用录入（明细）'!D:D=$F$4,'领用录入（明细）'!C:C&gt;=$J$4,'领用录入（明细）'!C:C&lt;=$L$4),ROW(),"-")</f>
        <v>-</v>
      </c>
    </row>
    <row r="44284" customHeight="1" spans="2:2">
      <c r="B44284" s="62" t="str">
        <f>IF(AND('领用录入（明细）'!D:D=$F$4,'领用录入（明细）'!C:C&gt;=$J$4,'领用录入（明细）'!C:C&lt;=$L$4),ROW(),"-")</f>
        <v>-</v>
      </c>
    </row>
    <row r="44285" customHeight="1" spans="2:2">
      <c r="B44285" s="62" t="str">
        <f>IF(AND('领用录入（明细）'!D:D=$F$4,'领用录入（明细）'!C:C&gt;=$J$4,'领用录入（明细）'!C:C&lt;=$L$4),ROW(),"-")</f>
        <v>-</v>
      </c>
    </row>
    <row r="44286" customHeight="1" spans="2:2">
      <c r="B44286" s="62" t="str">
        <f>IF(AND('领用录入（明细）'!D:D=$F$4,'领用录入（明细）'!C:C&gt;=$J$4,'领用录入（明细）'!C:C&lt;=$L$4),ROW(),"-")</f>
        <v>-</v>
      </c>
    </row>
    <row r="44287" customHeight="1" spans="2:2">
      <c r="B44287" s="62" t="str">
        <f>IF(AND('领用录入（明细）'!D:D=$F$4,'领用录入（明细）'!C:C&gt;=$J$4,'领用录入（明细）'!C:C&lt;=$L$4),ROW(),"-")</f>
        <v>-</v>
      </c>
    </row>
    <row r="44288" customHeight="1" spans="2:2">
      <c r="B44288" s="62" t="str">
        <f>IF(AND('领用录入（明细）'!D:D=$F$4,'领用录入（明细）'!C:C&gt;=$J$4,'领用录入（明细）'!C:C&lt;=$L$4),ROW(),"-")</f>
        <v>-</v>
      </c>
    </row>
    <row r="44289" customHeight="1" spans="2:2">
      <c r="B44289" s="62" t="str">
        <f>IF(AND('领用录入（明细）'!D:D=$F$4,'领用录入（明细）'!C:C&gt;=$J$4,'领用录入（明细）'!C:C&lt;=$L$4),ROW(),"-")</f>
        <v>-</v>
      </c>
    </row>
    <row r="44290" customHeight="1" spans="2:2">
      <c r="B44290" s="62" t="str">
        <f>IF(AND('领用录入（明细）'!D:D=$F$4,'领用录入（明细）'!C:C&gt;=$J$4,'领用录入（明细）'!C:C&lt;=$L$4),ROW(),"-")</f>
        <v>-</v>
      </c>
    </row>
    <row r="44291" customHeight="1" spans="2:2">
      <c r="B44291" s="62" t="str">
        <f>IF(AND('领用录入（明细）'!D:D=$F$4,'领用录入（明细）'!C:C&gt;=$J$4,'领用录入（明细）'!C:C&lt;=$L$4),ROW(),"-")</f>
        <v>-</v>
      </c>
    </row>
    <row r="44292" customHeight="1" spans="2:2">
      <c r="B44292" s="62" t="str">
        <f>IF(AND('领用录入（明细）'!D:D=$F$4,'领用录入（明细）'!C:C&gt;=$J$4,'领用录入（明细）'!C:C&lt;=$L$4),ROW(),"-")</f>
        <v>-</v>
      </c>
    </row>
    <row r="44293" customHeight="1" spans="2:2">
      <c r="B44293" s="62" t="str">
        <f>IF(AND('领用录入（明细）'!D:D=$F$4,'领用录入（明细）'!C:C&gt;=$J$4,'领用录入（明细）'!C:C&lt;=$L$4),ROW(),"-")</f>
        <v>-</v>
      </c>
    </row>
    <row r="44294" customHeight="1" spans="2:2">
      <c r="B44294" s="62" t="str">
        <f>IF(AND('领用录入（明细）'!D:D=$F$4,'领用录入（明细）'!C:C&gt;=$J$4,'领用录入（明细）'!C:C&lt;=$L$4),ROW(),"-")</f>
        <v>-</v>
      </c>
    </row>
    <row r="44295" customHeight="1" spans="2:2">
      <c r="B44295" s="62" t="str">
        <f>IF(AND('领用录入（明细）'!D:D=$F$4,'领用录入（明细）'!C:C&gt;=$J$4,'领用录入（明细）'!C:C&lt;=$L$4),ROW(),"-")</f>
        <v>-</v>
      </c>
    </row>
    <row r="44296" customHeight="1" spans="2:2">
      <c r="B44296" s="62" t="str">
        <f>IF(AND('领用录入（明细）'!D:D=$F$4,'领用录入（明细）'!C:C&gt;=$J$4,'领用录入（明细）'!C:C&lt;=$L$4),ROW(),"-")</f>
        <v>-</v>
      </c>
    </row>
    <row r="44297" customHeight="1" spans="2:2">
      <c r="B44297" s="62" t="str">
        <f>IF(AND('领用录入（明细）'!D:D=$F$4,'领用录入（明细）'!C:C&gt;=$J$4,'领用录入（明细）'!C:C&lt;=$L$4),ROW(),"-")</f>
        <v>-</v>
      </c>
    </row>
    <row r="44298" customHeight="1" spans="2:2">
      <c r="B44298" s="62" t="str">
        <f>IF(AND('领用录入（明细）'!D:D=$F$4,'领用录入（明细）'!C:C&gt;=$J$4,'领用录入（明细）'!C:C&lt;=$L$4),ROW(),"-")</f>
        <v>-</v>
      </c>
    </row>
    <row r="44299" customHeight="1" spans="2:2">
      <c r="B44299" s="62" t="str">
        <f>IF(AND('领用录入（明细）'!D:D=$F$4,'领用录入（明细）'!C:C&gt;=$J$4,'领用录入（明细）'!C:C&lt;=$L$4),ROW(),"-")</f>
        <v>-</v>
      </c>
    </row>
    <row r="44300" customHeight="1" spans="2:2">
      <c r="B44300" s="62" t="str">
        <f>IF(AND('领用录入（明细）'!D:D=$F$4,'领用录入（明细）'!C:C&gt;=$J$4,'领用录入（明细）'!C:C&lt;=$L$4),ROW(),"-")</f>
        <v>-</v>
      </c>
    </row>
    <row r="44301" customHeight="1" spans="2:2">
      <c r="B44301" s="62" t="str">
        <f>IF(AND('领用录入（明细）'!D:D=$F$4,'领用录入（明细）'!C:C&gt;=$J$4,'领用录入（明细）'!C:C&lt;=$L$4),ROW(),"-")</f>
        <v>-</v>
      </c>
    </row>
    <row r="44302" customHeight="1" spans="2:2">
      <c r="B44302" s="62" t="str">
        <f>IF(AND('领用录入（明细）'!D:D=$F$4,'领用录入（明细）'!C:C&gt;=$J$4,'领用录入（明细）'!C:C&lt;=$L$4),ROW(),"-")</f>
        <v>-</v>
      </c>
    </row>
    <row r="44303" customHeight="1" spans="2:2">
      <c r="B44303" s="62" t="str">
        <f>IF(AND('领用录入（明细）'!D:D=$F$4,'领用录入（明细）'!C:C&gt;=$J$4,'领用录入（明细）'!C:C&lt;=$L$4),ROW(),"-")</f>
        <v>-</v>
      </c>
    </row>
    <row r="44304" customHeight="1" spans="2:2">
      <c r="B44304" s="62" t="str">
        <f>IF(AND('领用录入（明细）'!D:D=$F$4,'领用录入（明细）'!C:C&gt;=$J$4,'领用录入（明细）'!C:C&lt;=$L$4),ROW(),"-")</f>
        <v>-</v>
      </c>
    </row>
    <row r="44305" customHeight="1" spans="2:2">
      <c r="B44305" s="62" t="str">
        <f>IF(AND('领用录入（明细）'!D:D=$F$4,'领用录入（明细）'!C:C&gt;=$J$4,'领用录入（明细）'!C:C&lt;=$L$4),ROW(),"-")</f>
        <v>-</v>
      </c>
    </row>
    <row r="44306" customHeight="1" spans="2:2">
      <c r="B44306" s="62" t="str">
        <f>IF(AND('领用录入（明细）'!D:D=$F$4,'领用录入（明细）'!C:C&gt;=$J$4,'领用录入（明细）'!C:C&lt;=$L$4),ROW(),"-")</f>
        <v>-</v>
      </c>
    </row>
    <row r="44307" customHeight="1" spans="2:2">
      <c r="B44307" s="62" t="str">
        <f>IF(AND('领用录入（明细）'!D:D=$F$4,'领用录入（明细）'!C:C&gt;=$J$4,'领用录入（明细）'!C:C&lt;=$L$4),ROW(),"-")</f>
        <v>-</v>
      </c>
    </row>
    <row r="44308" customHeight="1" spans="2:2">
      <c r="B44308" s="62" t="str">
        <f>IF(AND('领用录入（明细）'!D:D=$F$4,'领用录入（明细）'!C:C&gt;=$J$4,'领用录入（明细）'!C:C&lt;=$L$4),ROW(),"-")</f>
        <v>-</v>
      </c>
    </row>
    <row r="44309" customHeight="1" spans="2:2">
      <c r="B44309" s="62" t="str">
        <f>IF(AND('领用录入（明细）'!D:D=$F$4,'领用录入（明细）'!C:C&gt;=$J$4,'领用录入（明细）'!C:C&lt;=$L$4),ROW(),"-")</f>
        <v>-</v>
      </c>
    </row>
    <row r="44310" customHeight="1" spans="2:2">
      <c r="B44310" s="62" t="str">
        <f>IF(AND('领用录入（明细）'!D:D=$F$4,'领用录入（明细）'!C:C&gt;=$J$4,'领用录入（明细）'!C:C&lt;=$L$4),ROW(),"-")</f>
        <v>-</v>
      </c>
    </row>
    <row r="44311" customHeight="1" spans="2:2">
      <c r="B44311" s="62" t="str">
        <f>IF(AND('领用录入（明细）'!D:D=$F$4,'领用录入（明细）'!C:C&gt;=$J$4,'领用录入（明细）'!C:C&lt;=$L$4),ROW(),"-")</f>
        <v>-</v>
      </c>
    </row>
    <row r="44312" customHeight="1" spans="2:2">
      <c r="B44312" s="62" t="str">
        <f>IF(AND('领用录入（明细）'!D:D=$F$4,'领用录入（明细）'!C:C&gt;=$J$4,'领用录入（明细）'!C:C&lt;=$L$4),ROW(),"-")</f>
        <v>-</v>
      </c>
    </row>
    <row r="44313" customHeight="1" spans="2:2">
      <c r="B44313" s="62" t="str">
        <f>IF(AND('领用录入（明细）'!D:D=$F$4,'领用录入（明细）'!C:C&gt;=$J$4,'领用录入（明细）'!C:C&lt;=$L$4),ROW(),"-")</f>
        <v>-</v>
      </c>
    </row>
    <row r="44314" customHeight="1" spans="2:2">
      <c r="B44314" s="62" t="str">
        <f>IF(AND('领用录入（明细）'!D:D=$F$4,'领用录入（明细）'!C:C&gt;=$J$4,'领用录入（明细）'!C:C&lt;=$L$4),ROW(),"-")</f>
        <v>-</v>
      </c>
    </row>
    <row r="44315" customHeight="1" spans="2:2">
      <c r="B44315" s="62" t="str">
        <f>IF(AND('领用录入（明细）'!D:D=$F$4,'领用录入（明细）'!C:C&gt;=$J$4,'领用录入（明细）'!C:C&lt;=$L$4),ROW(),"-")</f>
        <v>-</v>
      </c>
    </row>
    <row r="44316" customHeight="1" spans="2:2">
      <c r="B44316" s="62" t="str">
        <f>IF(AND('领用录入（明细）'!D:D=$F$4,'领用录入（明细）'!C:C&gt;=$J$4,'领用录入（明细）'!C:C&lt;=$L$4),ROW(),"-")</f>
        <v>-</v>
      </c>
    </row>
    <row r="44317" customHeight="1" spans="2:2">
      <c r="B44317" s="62" t="str">
        <f>IF(AND('领用录入（明细）'!D:D=$F$4,'领用录入（明细）'!C:C&gt;=$J$4,'领用录入（明细）'!C:C&lt;=$L$4),ROW(),"-")</f>
        <v>-</v>
      </c>
    </row>
    <row r="44318" customHeight="1" spans="2:2">
      <c r="B44318" s="62" t="str">
        <f>IF(AND('领用录入（明细）'!D:D=$F$4,'领用录入（明细）'!C:C&gt;=$J$4,'领用录入（明细）'!C:C&lt;=$L$4),ROW(),"-")</f>
        <v>-</v>
      </c>
    </row>
    <row r="44319" customHeight="1" spans="2:2">
      <c r="B44319" s="62" t="str">
        <f>IF(AND('领用录入（明细）'!D:D=$F$4,'领用录入（明细）'!C:C&gt;=$J$4,'领用录入（明细）'!C:C&lt;=$L$4),ROW(),"-")</f>
        <v>-</v>
      </c>
    </row>
    <row r="44320" customHeight="1" spans="2:2">
      <c r="B44320" s="62" t="str">
        <f>IF(AND('领用录入（明细）'!D:D=$F$4,'领用录入（明细）'!C:C&gt;=$J$4,'领用录入（明细）'!C:C&lt;=$L$4),ROW(),"-")</f>
        <v>-</v>
      </c>
    </row>
    <row r="44321" customHeight="1" spans="2:2">
      <c r="B44321" s="62" t="str">
        <f>IF(AND('领用录入（明细）'!D:D=$F$4,'领用录入（明细）'!C:C&gt;=$J$4,'领用录入（明细）'!C:C&lt;=$L$4),ROW(),"-")</f>
        <v>-</v>
      </c>
    </row>
    <row r="44322" customHeight="1" spans="2:2">
      <c r="B44322" s="62" t="str">
        <f>IF(AND('领用录入（明细）'!D:D=$F$4,'领用录入（明细）'!C:C&gt;=$J$4,'领用录入（明细）'!C:C&lt;=$L$4),ROW(),"-")</f>
        <v>-</v>
      </c>
    </row>
    <row r="44323" customHeight="1" spans="2:2">
      <c r="B44323" s="62" t="str">
        <f>IF(AND('领用录入（明细）'!D:D=$F$4,'领用录入（明细）'!C:C&gt;=$J$4,'领用录入（明细）'!C:C&lt;=$L$4),ROW(),"-")</f>
        <v>-</v>
      </c>
    </row>
    <row r="44324" customHeight="1" spans="2:2">
      <c r="B44324" s="62" t="str">
        <f>IF(AND('领用录入（明细）'!D:D=$F$4,'领用录入（明细）'!C:C&gt;=$J$4,'领用录入（明细）'!C:C&lt;=$L$4),ROW(),"-")</f>
        <v>-</v>
      </c>
    </row>
    <row r="44325" customHeight="1" spans="2:2">
      <c r="B44325" s="62" t="str">
        <f>IF(AND('领用录入（明细）'!D:D=$F$4,'领用录入（明细）'!C:C&gt;=$J$4,'领用录入（明细）'!C:C&lt;=$L$4),ROW(),"-")</f>
        <v>-</v>
      </c>
    </row>
    <row r="44326" customHeight="1" spans="2:2">
      <c r="B44326" s="62" t="str">
        <f>IF(AND('领用录入（明细）'!D:D=$F$4,'领用录入（明细）'!C:C&gt;=$J$4,'领用录入（明细）'!C:C&lt;=$L$4),ROW(),"-")</f>
        <v>-</v>
      </c>
    </row>
    <row r="44327" customHeight="1" spans="2:2">
      <c r="B44327" s="62" t="str">
        <f>IF(AND('领用录入（明细）'!D:D=$F$4,'领用录入（明细）'!C:C&gt;=$J$4,'领用录入（明细）'!C:C&lt;=$L$4),ROW(),"-")</f>
        <v>-</v>
      </c>
    </row>
    <row r="44328" customHeight="1" spans="2:2">
      <c r="B44328" s="62" t="str">
        <f>IF(AND('领用录入（明细）'!D:D=$F$4,'领用录入（明细）'!C:C&gt;=$J$4,'领用录入（明细）'!C:C&lt;=$L$4),ROW(),"-")</f>
        <v>-</v>
      </c>
    </row>
    <row r="44329" customHeight="1" spans="2:2">
      <c r="B44329" s="62" t="str">
        <f>IF(AND('领用录入（明细）'!D:D=$F$4,'领用录入（明细）'!C:C&gt;=$J$4,'领用录入（明细）'!C:C&lt;=$L$4),ROW(),"-")</f>
        <v>-</v>
      </c>
    </row>
    <row r="44330" customHeight="1" spans="2:2">
      <c r="B44330" s="62" t="str">
        <f>IF(AND('领用录入（明细）'!D:D=$F$4,'领用录入（明细）'!C:C&gt;=$J$4,'领用录入（明细）'!C:C&lt;=$L$4),ROW(),"-")</f>
        <v>-</v>
      </c>
    </row>
    <row r="44331" customHeight="1" spans="2:2">
      <c r="B44331" s="62" t="str">
        <f>IF(AND('领用录入（明细）'!D:D=$F$4,'领用录入（明细）'!C:C&gt;=$J$4,'领用录入（明细）'!C:C&lt;=$L$4),ROW(),"-")</f>
        <v>-</v>
      </c>
    </row>
    <row r="44332" customHeight="1" spans="2:2">
      <c r="B44332" s="62" t="str">
        <f>IF(AND('领用录入（明细）'!D:D=$F$4,'领用录入（明细）'!C:C&gt;=$J$4,'领用录入（明细）'!C:C&lt;=$L$4),ROW(),"-")</f>
        <v>-</v>
      </c>
    </row>
    <row r="44333" customHeight="1" spans="2:2">
      <c r="B44333" s="62" t="str">
        <f>IF(AND('领用录入（明细）'!D:D=$F$4,'领用录入（明细）'!C:C&gt;=$J$4,'领用录入（明细）'!C:C&lt;=$L$4),ROW(),"-")</f>
        <v>-</v>
      </c>
    </row>
    <row r="44334" customHeight="1" spans="2:2">
      <c r="B44334" s="62" t="str">
        <f>IF(AND('领用录入（明细）'!D:D=$F$4,'领用录入（明细）'!C:C&gt;=$J$4,'领用录入（明细）'!C:C&lt;=$L$4),ROW(),"-")</f>
        <v>-</v>
      </c>
    </row>
    <row r="44335" customHeight="1" spans="2:2">
      <c r="B44335" s="62" t="str">
        <f>IF(AND('领用录入（明细）'!D:D=$F$4,'领用录入（明细）'!C:C&gt;=$J$4,'领用录入（明细）'!C:C&lt;=$L$4),ROW(),"-")</f>
        <v>-</v>
      </c>
    </row>
    <row r="44336" customHeight="1" spans="2:2">
      <c r="B44336" s="62" t="str">
        <f>IF(AND('领用录入（明细）'!D:D=$F$4,'领用录入（明细）'!C:C&gt;=$J$4,'领用录入（明细）'!C:C&lt;=$L$4),ROW(),"-")</f>
        <v>-</v>
      </c>
    </row>
    <row r="44337" customHeight="1" spans="2:2">
      <c r="B44337" s="62" t="str">
        <f>IF(AND('领用录入（明细）'!D:D=$F$4,'领用录入（明细）'!C:C&gt;=$J$4,'领用录入（明细）'!C:C&lt;=$L$4),ROW(),"-")</f>
        <v>-</v>
      </c>
    </row>
    <row r="44338" customHeight="1" spans="2:2">
      <c r="B44338" s="62" t="str">
        <f>IF(AND('领用录入（明细）'!D:D=$F$4,'领用录入（明细）'!C:C&gt;=$J$4,'领用录入（明细）'!C:C&lt;=$L$4),ROW(),"-")</f>
        <v>-</v>
      </c>
    </row>
    <row r="44339" customHeight="1" spans="2:2">
      <c r="B44339" s="62" t="str">
        <f>IF(AND('领用录入（明细）'!D:D=$F$4,'领用录入（明细）'!C:C&gt;=$J$4,'领用录入（明细）'!C:C&lt;=$L$4),ROW(),"-")</f>
        <v>-</v>
      </c>
    </row>
    <row r="44340" customHeight="1" spans="2:2">
      <c r="B44340" s="62" t="str">
        <f>IF(AND('领用录入（明细）'!D:D=$F$4,'领用录入（明细）'!C:C&gt;=$J$4,'领用录入（明细）'!C:C&lt;=$L$4),ROW(),"-")</f>
        <v>-</v>
      </c>
    </row>
    <row r="44341" customHeight="1" spans="2:2">
      <c r="B44341" s="62" t="str">
        <f>IF(AND('领用录入（明细）'!D:D=$F$4,'领用录入（明细）'!C:C&gt;=$J$4,'领用录入（明细）'!C:C&lt;=$L$4),ROW(),"-")</f>
        <v>-</v>
      </c>
    </row>
    <row r="44342" customHeight="1" spans="2:2">
      <c r="B44342" s="62" t="str">
        <f>IF(AND('领用录入（明细）'!D:D=$F$4,'领用录入（明细）'!C:C&gt;=$J$4,'领用录入（明细）'!C:C&lt;=$L$4),ROW(),"-")</f>
        <v>-</v>
      </c>
    </row>
    <row r="44343" customHeight="1" spans="2:2">
      <c r="B44343" s="62" t="str">
        <f>IF(AND('领用录入（明细）'!D:D=$F$4,'领用录入（明细）'!C:C&gt;=$J$4,'领用录入（明细）'!C:C&lt;=$L$4),ROW(),"-")</f>
        <v>-</v>
      </c>
    </row>
    <row r="44344" customHeight="1" spans="2:2">
      <c r="B44344" s="62" t="str">
        <f>IF(AND('领用录入（明细）'!D:D=$F$4,'领用录入（明细）'!C:C&gt;=$J$4,'领用录入（明细）'!C:C&lt;=$L$4),ROW(),"-")</f>
        <v>-</v>
      </c>
    </row>
    <row r="44345" customHeight="1" spans="2:2">
      <c r="B44345" s="62" t="str">
        <f>IF(AND('领用录入（明细）'!D:D=$F$4,'领用录入（明细）'!C:C&gt;=$J$4,'领用录入（明细）'!C:C&lt;=$L$4),ROW(),"-")</f>
        <v>-</v>
      </c>
    </row>
    <row r="44346" customHeight="1" spans="2:2">
      <c r="B44346" s="62" t="str">
        <f>IF(AND('领用录入（明细）'!D:D=$F$4,'领用录入（明细）'!C:C&gt;=$J$4,'领用录入（明细）'!C:C&lt;=$L$4),ROW(),"-")</f>
        <v>-</v>
      </c>
    </row>
    <row r="44347" customHeight="1" spans="2:2">
      <c r="B44347" s="62" t="str">
        <f>IF(AND('领用录入（明细）'!D:D=$F$4,'领用录入（明细）'!C:C&gt;=$J$4,'领用录入（明细）'!C:C&lt;=$L$4),ROW(),"-")</f>
        <v>-</v>
      </c>
    </row>
    <row r="44348" customHeight="1" spans="2:2">
      <c r="B44348" s="62" t="str">
        <f>IF(AND('领用录入（明细）'!D:D=$F$4,'领用录入（明细）'!C:C&gt;=$J$4,'领用录入（明细）'!C:C&lt;=$L$4),ROW(),"-")</f>
        <v>-</v>
      </c>
    </row>
    <row r="44349" customHeight="1" spans="2:2">
      <c r="B44349" s="62" t="str">
        <f>IF(AND('领用录入（明细）'!D:D=$F$4,'领用录入（明细）'!C:C&gt;=$J$4,'领用录入（明细）'!C:C&lt;=$L$4),ROW(),"-")</f>
        <v>-</v>
      </c>
    </row>
    <row r="44350" customHeight="1" spans="2:2">
      <c r="B44350" s="62" t="str">
        <f>IF(AND('领用录入（明细）'!D:D=$F$4,'领用录入（明细）'!C:C&gt;=$J$4,'领用录入（明细）'!C:C&lt;=$L$4),ROW(),"-")</f>
        <v>-</v>
      </c>
    </row>
    <row r="44351" customHeight="1" spans="2:2">
      <c r="B44351" s="62" t="str">
        <f>IF(AND('领用录入（明细）'!D:D=$F$4,'领用录入（明细）'!C:C&gt;=$J$4,'领用录入（明细）'!C:C&lt;=$L$4),ROW(),"-")</f>
        <v>-</v>
      </c>
    </row>
    <row r="44352" customHeight="1" spans="2:2">
      <c r="B44352" s="62" t="str">
        <f>IF(AND('领用录入（明细）'!D:D=$F$4,'领用录入（明细）'!C:C&gt;=$J$4,'领用录入（明细）'!C:C&lt;=$L$4),ROW(),"-")</f>
        <v>-</v>
      </c>
    </row>
    <row r="44353" customHeight="1" spans="2:2">
      <c r="B44353" s="62" t="str">
        <f>IF(AND('领用录入（明细）'!D:D=$F$4,'领用录入（明细）'!C:C&gt;=$J$4,'领用录入（明细）'!C:C&lt;=$L$4),ROW(),"-")</f>
        <v>-</v>
      </c>
    </row>
    <row r="44354" customHeight="1" spans="2:2">
      <c r="B44354" s="62" t="str">
        <f>IF(AND('领用录入（明细）'!D:D=$F$4,'领用录入（明细）'!C:C&gt;=$J$4,'领用录入（明细）'!C:C&lt;=$L$4),ROW(),"-")</f>
        <v>-</v>
      </c>
    </row>
    <row r="44355" customHeight="1" spans="2:2">
      <c r="B44355" s="62" t="str">
        <f>IF(AND('领用录入（明细）'!D:D=$F$4,'领用录入（明细）'!C:C&gt;=$J$4,'领用录入（明细）'!C:C&lt;=$L$4),ROW(),"-")</f>
        <v>-</v>
      </c>
    </row>
    <row r="44356" customHeight="1" spans="2:2">
      <c r="B44356" s="62" t="str">
        <f>IF(AND('领用录入（明细）'!D:D=$F$4,'领用录入（明细）'!C:C&gt;=$J$4,'领用录入（明细）'!C:C&lt;=$L$4),ROW(),"-")</f>
        <v>-</v>
      </c>
    </row>
    <row r="44357" customHeight="1" spans="2:2">
      <c r="B44357" s="62" t="str">
        <f>IF(AND('领用录入（明细）'!D:D=$F$4,'领用录入（明细）'!C:C&gt;=$J$4,'领用录入（明细）'!C:C&lt;=$L$4),ROW(),"-")</f>
        <v>-</v>
      </c>
    </row>
    <row r="44358" customHeight="1" spans="2:2">
      <c r="B44358" s="62" t="str">
        <f>IF(AND('领用录入（明细）'!D:D=$F$4,'领用录入（明细）'!C:C&gt;=$J$4,'领用录入（明细）'!C:C&lt;=$L$4),ROW(),"-")</f>
        <v>-</v>
      </c>
    </row>
    <row r="44359" customHeight="1" spans="2:2">
      <c r="B44359" s="62" t="str">
        <f>IF(AND('领用录入（明细）'!D:D=$F$4,'领用录入（明细）'!C:C&gt;=$J$4,'领用录入（明细）'!C:C&lt;=$L$4),ROW(),"-")</f>
        <v>-</v>
      </c>
    </row>
    <row r="44360" customHeight="1" spans="2:2">
      <c r="B44360" s="62" t="str">
        <f>IF(AND('领用录入（明细）'!D:D=$F$4,'领用录入（明细）'!C:C&gt;=$J$4,'领用录入（明细）'!C:C&lt;=$L$4),ROW(),"-")</f>
        <v>-</v>
      </c>
    </row>
    <row r="44361" customHeight="1" spans="2:2">
      <c r="B44361" s="62" t="str">
        <f>IF(AND('领用录入（明细）'!D:D=$F$4,'领用录入（明细）'!C:C&gt;=$J$4,'领用录入（明细）'!C:C&lt;=$L$4),ROW(),"-")</f>
        <v>-</v>
      </c>
    </row>
    <row r="44362" customHeight="1" spans="2:2">
      <c r="B44362" s="62" t="str">
        <f>IF(AND('领用录入（明细）'!D:D=$F$4,'领用录入（明细）'!C:C&gt;=$J$4,'领用录入（明细）'!C:C&lt;=$L$4),ROW(),"-")</f>
        <v>-</v>
      </c>
    </row>
    <row r="44363" customHeight="1" spans="2:2">
      <c r="B44363" s="62" t="str">
        <f>IF(AND('领用录入（明细）'!D:D=$F$4,'领用录入（明细）'!C:C&gt;=$J$4,'领用录入（明细）'!C:C&lt;=$L$4),ROW(),"-")</f>
        <v>-</v>
      </c>
    </row>
    <row r="44364" customHeight="1" spans="2:2">
      <c r="B44364" s="62" t="str">
        <f>IF(AND('领用录入（明细）'!D:D=$F$4,'领用录入（明细）'!C:C&gt;=$J$4,'领用录入（明细）'!C:C&lt;=$L$4),ROW(),"-")</f>
        <v>-</v>
      </c>
    </row>
    <row r="44365" customHeight="1" spans="2:2">
      <c r="B44365" s="62" t="str">
        <f>IF(AND('领用录入（明细）'!D:D=$F$4,'领用录入（明细）'!C:C&gt;=$J$4,'领用录入（明细）'!C:C&lt;=$L$4),ROW(),"-")</f>
        <v>-</v>
      </c>
    </row>
    <row r="44366" customHeight="1" spans="2:2">
      <c r="B44366" s="62" t="str">
        <f>IF(AND('领用录入（明细）'!D:D=$F$4,'领用录入（明细）'!C:C&gt;=$J$4,'领用录入（明细）'!C:C&lt;=$L$4),ROW(),"-")</f>
        <v>-</v>
      </c>
    </row>
    <row r="44367" customHeight="1" spans="2:2">
      <c r="B44367" s="62" t="str">
        <f>IF(AND('领用录入（明细）'!D:D=$F$4,'领用录入（明细）'!C:C&gt;=$J$4,'领用录入（明细）'!C:C&lt;=$L$4),ROW(),"-")</f>
        <v>-</v>
      </c>
    </row>
    <row r="44368" customHeight="1" spans="2:2">
      <c r="B44368" s="62" t="str">
        <f>IF(AND('领用录入（明细）'!D:D=$F$4,'领用录入（明细）'!C:C&gt;=$J$4,'领用录入（明细）'!C:C&lt;=$L$4),ROW(),"-")</f>
        <v>-</v>
      </c>
    </row>
    <row r="44369" customHeight="1" spans="2:2">
      <c r="B44369" s="62" t="str">
        <f>IF(AND('领用录入（明细）'!D:D=$F$4,'领用录入（明细）'!C:C&gt;=$J$4,'领用录入（明细）'!C:C&lt;=$L$4),ROW(),"-")</f>
        <v>-</v>
      </c>
    </row>
    <row r="44370" customHeight="1" spans="2:2">
      <c r="B44370" s="62" t="str">
        <f>IF(AND('领用录入（明细）'!D:D=$F$4,'领用录入（明细）'!C:C&gt;=$J$4,'领用录入（明细）'!C:C&lt;=$L$4),ROW(),"-")</f>
        <v>-</v>
      </c>
    </row>
    <row r="44371" customHeight="1" spans="2:2">
      <c r="B44371" s="62" t="str">
        <f>IF(AND('领用录入（明细）'!D:D=$F$4,'领用录入（明细）'!C:C&gt;=$J$4,'领用录入（明细）'!C:C&lt;=$L$4),ROW(),"-")</f>
        <v>-</v>
      </c>
    </row>
    <row r="44372" customHeight="1" spans="2:2">
      <c r="B44372" s="62" t="str">
        <f>IF(AND('领用录入（明细）'!D:D=$F$4,'领用录入（明细）'!C:C&gt;=$J$4,'领用录入（明细）'!C:C&lt;=$L$4),ROW(),"-")</f>
        <v>-</v>
      </c>
    </row>
    <row r="44373" customHeight="1" spans="2:2">
      <c r="B44373" s="62" t="str">
        <f>IF(AND('领用录入（明细）'!D:D=$F$4,'领用录入（明细）'!C:C&gt;=$J$4,'领用录入（明细）'!C:C&lt;=$L$4),ROW(),"-")</f>
        <v>-</v>
      </c>
    </row>
    <row r="44374" customHeight="1" spans="2:2">
      <c r="B44374" s="62" t="str">
        <f>IF(AND('领用录入（明细）'!D:D=$F$4,'领用录入（明细）'!C:C&gt;=$J$4,'领用录入（明细）'!C:C&lt;=$L$4),ROW(),"-")</f>
        <v>-</v>
      </c>
    </row>
    <row r="44375" customHeight="1" spans="2:2">
      <c r="B44375" s="62" t="str">
        <f>IF(AND('领用录入（明细）'!D:D=$F$4,'领用录入（明细）'!C:C&gt;=$J$4,'领用录入（明细）'!C:C&lt;=$L$4),ROW(),"-")</f>
        <v>-</v>
      </c>
    </row>
    <row r="44376" customHeight="1" spans="2:2">
      <c r="B44376" s="62" t="str">
        <f>IF(AND('领用录入（明细）'!D:D=$F$4,'领用录入（明细）'!C:C&gt;=$J$4,'领用录入（明细）'!C:C&lt;=$L$4),ROW(),"-")</f>
        <v>-</v>
      </c>
    </row>
    <row r="44377" customHeight="1" spans="2:2">
      <c r="B44377" s="62" t="str">
        <f>IF(AND('领用录入（明细）'!D:D=$F$4,'领用录入（明细）'!C:C&gt;=$J$4,'领用录入（明细）'!C:C&lt;=$L$4),ROW(),"-")</f>
        <v>-</v>
      </c>
    </row>
    <row r="44378" customHeight="1" spans="2:2">
      <c r="B44378" s="62" t="str">
        <f>IF(AND('领用录入（明细）'!D:D=$F$4,'领用录入（明细）'!C:C&gt;=$J$4,'领用录入（明细）'!C:C&lt;=$L$4),ROW(),"-")</f>
        <v>-</v>
      </c>
    </row>
    <row r="44379" customHeight="1" spans="2:2">
      <c r="B44379" s="62" t="str">
        <f>IF(AND('领用录入（明细）'!D:D=$F$4,'领用录入（明细）'!C:C&gt;=$J$4,'领用录入（明细）'!C:C&lt;=$L$4),ROW(),"-")</f>
        <v>-</v>
      </c>
    </row>
    <row r="44380" customHeight="1" spans="2:2">
      <c r="B44380" s="62" t="str">
        <f>IF(AND('领用录入（明细）'!D:D=$F$4,'领用录入（明细）'!C:C&gt;=$J$4,'领用录入（明细）'!C:C&lt;=$L$4),ROW(),"-")</f>
        <v>-</v>
      </c>
    </row>
    <row r="44381" customHeight="1" spans="2:2">
      <c r="B44381" s="62" t="str">
        <f>IF(AND('领用录入（明细）'!D:D=$F$4,'领用录入（明细）'!C:C&gt;=$J$4,'领用录入（明细）'!C:C&lt;=$L$4),ROW(),"-")</f>
        <v>-</v>
      </c>
    </row>
    <row r="44382" customHeight="1" spans="2:2">
      <c r="B44382" s="62" t="str">
        <f>IF(AND('领用录入（明细）'!D:D=$F$4,'领用录入（明细）'!C:C&gt;=$J$4,'领用录入（明细）'!C:C&lt;=$L$4),ROW(),"-")</f>
        <v>-</v>
      </c>
    </row>
    <row r="44383" customHeight="1" spans="2:2">
      <c r="B44383" s="62" t="str">
        <f>IF(AND('领用录入（明细）'!D:D=$F$4,'领用录入（明细）'!C:C&gt;=$J$4,'领用录入（明细）'!C:C&lt;=$L$4),ROW(),"-")</f>
        <v>-</v>
      </c>
    </row>
    <row r="44384" customHeight="1" spans="2:2">
      <c r="B44384" s="62" t="str">
        <f>IF(AND('领用录入（明细）'!D:D=$F$4,'领用录入（明细）'!C:C&gt;=$J$4,'领用录入（明细）'!C:C&lt;=$L$4),ROW(),"-")</f>
        <v>-</v>
      </c>
    </row>
    <row r="44385" customHeight="1" spans="2:2">
      <c r="B44385" s="62" t="str">
        <f>IF(AND('领用录入（明细）'!D:D=$F$4,'领用录入（明细）'!C:C&gt;=$J$4,'领用录入（明细）'!C:C&lt;=$L$4),ROW(),"-")</f>
        <v>-</v>
      </c>
    </row>
    <row r="44386" customHeight="1" spans="2:2">
      <c r="B44386" s="62" t="str">
        <f>IF(AND('领用录入（明细）'!D:D=$F$4,'领用录入（明细）'!C:C&gt;=$J$4,'领用录入（明细）'!C:C&lt;=$L$4),ROW(),"-")</f>
        <v>-</v>
      </c>
    </row>
    <row r="44387" customHeight="1" spans="2:2">
      <c r="B44387" s="62" t="str">
        <f>IF(AND('领用录入（明细）'!D:D=$F$4,'领用录入（明细）'!C:C&gt;=$J$4,'领用录入（明细）'!C:C&lt;=$L$4),ROW(),"-")</f>
        <v>-</v>
      </c>
    </row>
    <row r="44388" customHeight="1" spans="2:2">
      <c r="B44388" s="62" t="str">
        <f>IF(AND('领用录入（明细）'!D:D=$F$4,'领用录入（明细）'!C:C&gt;=$J$4,'领用录入（明细）'!C:C&lt;=$L$4),ROW(),"-")</f>
        <v>-</v>
      </c>
    </row>
    <row r="44389" customHeight="1" spans="2:2">
      <c r="B44389" s="62" t="str">
        <f>IF(AND('领用录入（明细）'!D:D=$F$4,'领用录入（明细）'!C:C&gt;=$J$4,'领用录入（明细）'!C:C&lt;=$L$4),ROW(),"-")</f>
        <v>-</v>
      </c>
    </row>
    <row r="44390" customHeight="1" spans="2:2">
      <c r="B44390" s="62" t="str">
        <f>IF(AND('领用录入（明细）'!D:D=$F$4,'领用录入（明细）'!C:C&gt;=$J$4,'领用录入（明细）'!C:C&lt;=$L$4),ROW(),"-")</f>
        <v>-</v>
      </c>
    </row>
    <row r="44391" customHeight="1" spans="2:2">
      <c r="B44391" s="62" t="str">
        <f>IF(AND('领用录入（明细）'!D:D=$F$4,'领用录入（明细）'!C:C&gt;=$J$4,'领用录入（明细）'!C:C&lt;=$L$4),ROW(),"-")</f>
        <v>-</v>
      </c>
    </row>
    <row r="44392" customHeight="1" spans="2:2">
      <c r="B44392" s="62" t="str">
        <f>IF(AND('领用录入（明细）'!D:D=$F$4,'领用录入（明细）'!C:C&gt;=$J$4,'领用录入（明细）'!C:C&lt;=$L$4),ROW(),"-")</f>
        <v>-</v>
      </c>
    </row>
    <row r="44393" customHeight="1" spans="2:2">
      <c r="B44393" s="62" t="str">
        <f>IF(AND('领用录入（明细）'!D:D=$F$4,'领用录入（明细）'!C:C&gt;=$J$4,'领用录入（明细）'!C:C&lt;=$L$4),ROW(),"-")</f>
        <v>-</v>
      </c>
    </row>
    <row r="44394" customHeight="1" spans="2:2">
      <c r="B44394" s="62" t="str">
        <f>IF(AND('领用录入（明细）'!D:D=$F$4,'领用录入（明细）'!C:C&gt;=$J$4,'领用录入（明细）'!C:C&lt;=$L$4),ROW(),"-")</f>
        <v>-</v>
      </c>
    </row>
    <row r="44395" customHeight="1" spans="2:2">
      <c r="B44395" s="62" t="str">
        <f>IF(AND('领用录入（明细）'!D:D=$F$4,'领用录入（明细）'!C:C&gt;=$J$4,'领用录入（明细）'!C:C&lt;=$L$4),ROW(),"-")</f>
        <v>-</v>
      </c>
    </row>
    <row r="44396" customHeight="1" spans="2:2">
      <c r="B44396" s="62" t="str">
        <f>IF(AND('领用录入（明细）'!D:D=$F$4,'领用录入（明细）'!C:C&gt;=$J$4,'领用录入（明细）'!C:C&lt;=$L$4),ROW(),"-")</f>
        <v>-</v>
      </c>
    </row>
    <row r="44397" customHeight="1" spans="2:2">
      <c r="B44397" s="62" t="str">
        <f>IF(AND('领用录入（明细）'!D:D=$F$4,'领用录入（明细）'!C:C&gt;=$J$4,'领用录入（明细）'!C:C&lt;=$L$4),ROW(),"-")</f>
        <v>-</v>
      </c>
    </row>
    <row r="44398" customHeight="1" spans="2:2">
      <c r="B44398" s="62" t="str">
        <f>IF(AND('领用录入（明细）'!D:D=$F$4,'领用录入（明细）'!C:C&gt;=$J$4,'领用录入（明细）'!C:C&lt;=$L$4),ROW(),"-")</f>
        <v>-</v>
      </c>
    </row>
    <row r="44399" customHeight="1" spans="2:2">
      <c r="B44399" s="62" t="str">
        <f>IF(AND('领用录入（明细）'!D:D=$F$4,'领用录入（明细）'!C:C&gt;=$J$4,'领用录入（明细）'!C:C&lt;=$L$4),ROW(),"-")</f>
        <v>-</v>
      </c>
    </row>
    <row r="44400" customHeight="1" spans="2:2">
      <c r="B44400" s="62" t="str">
        <f>IF(AND('领用录入（明细）'!D:D=$F$4,'领用录入（明细）'!C:C&gt;=$J$4,'领用录入（明细）'!C:C&lt;=$L$4),ROW(),"-")</f>
        <v>-</v>
      </c>
    </row>
    <row r="44401" customHeight="1" spans="2:2">
      <c r="B44401" s="62" t="str">
        <f>IF(AND('领用录入（明细）'!D:D=$F$4,'领用录入（明细）'!C:C&gt;=$J$4,'领用录入（明细）'!C:C&lt;=$L$4),ROW(),"-")</f>
        <v>-</v>
      </c>
    </row>
    <row r="44402" customHeight="1" spans="2:2">
      <c r="B44402" s="62" t="str">
        <f>IF(AND('领用录入（明细）'!D:D=$F$4,'领用录入（明细）'!C:C&gt;=$J$4,'领用录入（明细）'!C:C&lt;=$L$4),ROW(),"-")</f>
        <v>-</v>
      </c>
    </row>
    <row r="44403" customHeight="1" spans="2:2">
      <c r="B44403" s="62" t="str">
        <f>IF(AND('领用录入（明细）'!D:D=$F$4,'领用录入（明细）'!C:C&gt;=$J$4,'领用录入（明细）'!C:C&lt;=$L$4),ROW(),"-")</f>
        <v>-</v>
      </c>
    </row>
    <row r="44404" customHeight="1" spans="2:2">
      <c r="B44404" s="62" t="str">
        <f>IF(AND('领用录入（明细）'!D:D=$F$4,'领用录入（明细）'!C:C&gt;=$J$4,'领用录入（明细）'!C:C&lt;=$L$4),ROW(),"-")</f>
        <v>-</v>
      </c>
    </row>
    <row r="44405" customHeight="1" spans="2:2">
      <c r="B44405" s="62" t="str">
        <f>IF(AND('领用录入（明细）'!D:D=$F$4,'领用录入（明细）'!C:C&gt;=$J$4,'领用录入（明细）'!C:C&lt;=$L$4),ROW(),"-")</f>
        <v>-</v>
      </c>
    </row>
    <row r="44406" customHeight="1" spans="2:2">
      <c r="B44406" s="62" t="str">
        <f>IF(AND('领用录入（明细）'!D:D=$F$4,'领用录入（明细）'!C:C&gt;=$J$4,'领用录入（明细）'!C:C&lt;=$L$4),ROW(),"-")</f>
        <v>-</v>
      </c>
    </row>
    <row r="44407" customHeight="1" spans="2:2">
      <c r="B44407" s="62" t="str">
        <f>IF(AND('领用录入（明细）'!D:D=$F$4,'领用录入（明细）'!C:C&gt;=$J$4,'领用录入（明细）'!C:C&lt;=$L$4),ROW(),"-")</f>
        <v>-</v>
      </c>
    </row>
    <row r="44408" customHeight="1" spans="2:2">
      <c r="B44408" s="62" t="str">
        <f>IF(AND('领用录入（明细）'!D:D=$F$4,'领用录入（明细）'!C:C&gt;=$J$4,'领用录入（明细）'!C:C&lt;=$L$4),ROW(),"-")</f>
        <v>-</v>
      </c>
    </row>
    <row r="44409" customHeight="1" spans="2:2">
      <c r="B44409" s="62" t="str">
        <f>IF(AND('领用录入（明细）'!D:D=$F$4,'领用录入（明细）'!C:C&gt;=$J$4,'领用录入（明细）'!C:C&lt;=$L$4),ROW(),"-")</f>
        <v>-</v>
      </c>
    </row>
    <row r="44410" customHeight="1" spans="2:2">
      <c r="B44410" s="62" t="str">
        <f>IF(AND('领用录入（明细）'!D:D=$F$4,'领用录入（明细）'!C:C&gt;=$J$4,'领用录入（明细）'!C:C&lt;=$L$4),ROW(),"-")</f>
        <v>-</v>
      </c>
    </row>
    <row r="44411" customHeight="1" spans="2:2">
      <c r="B44411" s="62" t="str">
        <f>IF(AND('领用录入（明细）'!D:D=$F$4,'领用录入（明细）'!C:C&gt;=$J$4,'领用录入（明细）'!C:C&lt;=$L$4),ROW(),"-")</f>
        <v>-</v>
      </c>
    </row>
    <row r="44412" customHeight="1" spans="2:2">
      <c r="B44412" s="62" t="str">
        <f>IF(AND('领用录入（明细）'!D:D=$F$4,'领用录入（明细）'!C:C&gt;=$J$4,'领用录入（明细）'!C:C&lt;=$L$4),ROW(),"-")</f>
        <v>-</v>
      </c>
    </row>
    <row r="44413" customHeight="1" spans="2:2">
      <c r="B44413" s="62" t="str">
        <f>IF(AND('领用录入（明细）'!D:D=$F$4,'领用录入（明细）'!C:C&gt;=$J$4,'领用录入（明细）'!C:C&lt;=$L$4),ROW(),"-")</f>
        <v>-</v>
      </c>
    </row>
    <row r="44414" customHeight="1" spans="2:2">
      <c r="B44414" s="62" t="str">
        <f>IF(AND('领用录入（明细）'!D:D=$F$4,'领用录入（明细）'!C:C&gt;=$J$4,'领用录入（明细）'!C:C&lt;=$L$4),ROW(),"-")</f>
        <v>-</v>
      </c>
    </row>
    <row r="44415" customHeight="1" spans="2:2">
      <c r="B44415" s="62" t="str">
        <f>IF(AND('领用录入（明细）'!D:D=$F$4,'领用录入（明细）'!C:C&gt;=$J$4,'领用录入（明细）'!C:C&lt;=$L$4),ROW(),"-")</f>
        <v>-</v>
      </c>
    </row>
    <row r="44416" customHeight="1" spans="2:2">
      <c r="B44416" s="62" t="str">
        <f>IF(AND('领用录入（明细）'!D:D=$F$4,'领用录入（明细）'!C:C&gt;=$J$4,'领用录入（明细）'!C:C&lt;=$L$4),ROW(),"-")</f>
        <v>-</v>
      </c>
    </row>
    <row r="44417" customHeight="1" spans="2:2">
      <c r="B44417" s="62" t="str">
        <f>IF(AND('领用录入（明细）'!D:D=$F$4,'领用录入（明细）'!C:C&gt;=$J$4,'领用录入（明细）'!C:C&lt;=$L$4),ROW(),"-")</f>
        <v>-</v>
      </c>
    </row>
    <row r="44418" customHeight="1" spans="2:2">
      <c r="B44418" s="62" t="str">
        <f>IF(AND('领用录入（明细）'!D:D=$F$4,'领用录入（明细）'!C:C&gt;=$J$4,'领用录入（明细）'!C:C&lt;=$L$4),ROW(),"-")</f>
        <v>-</v>
      </c>
    </row>
    <row r="44419" customHeight="1" spans="2:2">
      <c r="B44419" s="62" t="str">
        <f>IF(AND('领用录入（明细）'!D:D=$F$4,'领用录入（明细）'!C:C&gt;=$J$4,'领用录入（明细）'!C:C&lt;=$L$4),ROW(),"-")</f>
        <v>-</v>
      </c>
    </row>
    <row r="44420" customHeight="1" spans="2:2">
      <c r="B44420" s="62" t="str">
        <f>IF(AND('领用录入（明细）'!D:D=$F$4,'领用录入（明细）'!C:C&gt;=$J$4,'领用录入（明细）'!C:C&lt;=$L$4),ROW(),"-")</f>
        <v>-</v>
      </c>
    </row>
    <row r="44421" customHeight="1" spans="2:2">
      <c r="B44421" s="62" t="str">
        <f>IF(AND('领用录入（明细）'!D:D=$F$4,'领用录入（明细）'!C:C&gt;=$J$4,'领用录入（明细）'!C:C&lt;=$L$4),ROW(),"-")</f>
        <v>-</v>
      </c>
    </row>
    <row r="44422" customHeight="1" spans="2:2">
      <c r="B44422" s="62" t="str">
        <f>IF(AND('领用录入（明细）'!D:D=$F$4,'领用录入（明细）'!C:C&gt;=$J$4,'领用录入（明细）'!C:C&lt;=$L$4),ROW(),"-")</f>
        <v>-</v>
      </c>
    </row>
    <row r="44423" customHeight="1" spans="2:2">
      <c r="B44423" s="62" t="str">
        <f>IF(AND('领用录入（明细）'!D:D=$F$4,'领用录入（明细）'!C:C&gt;=$J$4,'领用录入（明细）'!C:C&lt;=$L$4),ROW(),"-")</f>
        <v>-</v>
      </c>
    </row>
    <row r="44424" customHeight="1" spans="2:2">
      <c r="B44424" s="62" t="str">
        <f>IF(AND('领用录入（明细）'!D:D=$F$4,'领用录入（明细）'!C:C&gt;=$J$4,'领用录入（明细）'!C:C&lt;=$L$4),ROW(),"-")</f>
        <v>-</v>
      </c>
    </row>
    <row r="44425" customHeight="1" spans="2:2">
      <c r="B44425" s="62" t="str">
        <f>IF(AND('领用录入（明细）'!D:D=$F$4,'领用录入（明细）'!C:C&gt;=$J$4,'领用录入（明细）'!C:C&lt;=$L$4),ROW(),"-")</f>
        <v>-</v>
      </c>
    </row>
    <row r="44426" customHeight="1" spans="2:2">
      <c r="B44426" s="62" t="str">
        <f>IF(AND('领用录入（明细）'!D:D=$F$4,'领用录入（明细）'!C:C&gt;=$J$4,'领用录入（明细）'!C:C&lt;=$L$4),ROW(),"-")</f>
        <v>-</v>
      </c>
    </row>
    <row r="44427" customHeight="1" spans="2:2">
      <c r="B44427" s="62" t="str">
        <f>IF(AND('领用录入（明细）'!D:D=$F$4,'领用录入（明细）'!C:C&gt;=$J$4,'领用录入（明细）'!C:C&lt;=$L$4),ROW(),"-")</f>
        <v>-</v>
      </c>
    </row>
    <row r="44428" customHeight="1" spans="2:2">
      <c r="B44428" s="62" t="str">
        <f>IF(AND('领用录入（明细）'!D:D=$F$4,'领用录入（明细）'!C:C&gt;=$J$4,'领用录入（明细）'!C:C&lt;=$L$4),ROW(),"-")</f>
        <v>-</v>
      </c>
    </row>
    <row r="44429" customHeight="1" spans="2:2">
      <c r="B44429" s="62" t="str">
        <f>IF(AND('领用录入（明细）'!D:D=$F$4,'领用录入（明细）'!C:C&gt;=$J$4,'领用录入（明细）'!C:C&lt;=$L$4),ROW(),"-")</f>
        <v>-</v>
      </c>
    </row>
    <row r="44430" customHeight="1" spans="2:2">
      <c r="B44430" s="62" t="str">
        <f>IF(AND('领用录入（明细）'!D:D=$F$4,'领用录入（明细）'!C:C&gt;=$J$4,'领用录入（明细）'!C:C&lt;=$L$4),ROW(),"-")</f>
        <v>-</v>
      </c>
    </row>
    <row r="44431" customHeight="1" spans="2:2">
      <c r="B44431" s="62" t="str">
        <f>IF(AND('领用录入（明细）'!D:D=$F$4,'领用录入（明细）'!C:C&gt;=$J$4,'领用录入（明细）'!C:C&lt;=$L$4),ROW(),"-")</f>
        <v>-</v>
      </c>
    </row>
    <row r="44432" customHeight="1" spans="2:2">
      <c r="B44432" s="62" t="str">
        <f>IF(AND('领用录入（明细）'!D:D=$F$4,'领用录入（明细）'!C:C&gt;=$J$4,'领用录入（明细）'!C:C&lt;=$L$4),ROW(),"-")</f>
        <v>-</v>
      </c>
    </row>
    <row r="44433" customHeight="1" spans="2:2">
      <c r="B44433" s="62" t="str">
        <f>IF(AND('领用录入（明细）'!D:D=$F$4,'领用录入（明细）'!C:C&gt;=$J$4,'领用录入（明细）'!C:C&lt;=$L$4),ROW(),"-")</f>
        <v>-</v>
      </c>
    </row>
    <row r="44434" customHeight="1" spans="2:2">
      <c r="B44434" s="62" t="str">
        <f>IF(AND('领用录入（明细）'!D:D=$F$4,'领用录入（明细）'!C:C&gt;=$J$4,'领用录入（明细）'!C:C&lt;=$L$4),ROW(),"-")</f>
        <v>-</v>
      </c>
    </row>
    <row r="44435" customHeight="1" spans="2:2">
      <c r="B44435" s="62" t="str">
        <f>IF(AND('领用录入（明细）'!D:D=$F$4,'领用录入（明细）'!C:C&gt;=$J$4,'领用录入（明细）'!C:C&lt;=$L$4),ROW(),"-")</f>
        <v>-</v>
      </c>
    </row>
    <row r="44436" customHeight="1" spans="2:2">
      <c r="B44436" s="62" t="str">
        <f>IF(AND('领用录入（明细）'!D:D=$F$4,'领用录入（明细）'!C:C&gt;=$J$4,'领用录入（明细）'!C:C&lt;=$L$4),ROW(),"-")</f>
        <v>-</v>
      </c>
    </row>
    <row r="44437" customHeight="1" spans="2:2">
      <c r="B44437" s="62" t="str">
        <f>IF(AND('领用录入（明细）'!D:D=$F$4,'领用录入（明细）'!C:C&gt;=$J$4,'领用录入（明细）'!C:C&lt;=$L$4),ROW(),"-")</f>
        <v>-</v>
      </c>
    </row>
    <row r="44438" customHeight="1" spans="2:2">
      <c r="B44438" s="62" t="str">
        <f>IF(AND('领用录入（明细）'!D:D=$F$4,'领用录入（明细）'!C:C&gt;=$J$4,'领用录入（明细）'!C:C&lt;=$L$4),ROW(),"-")</f>
        <v>-</v>
      </c>
    </row>
    <row r="44439" customHeight="1" spans="2:2">
      <c r="B44439" s="62" t="str">
        <f>IF(AND('领用录入（明细）'!D:D=$F$4,'领用录入（明细）'!C:C&gt;=$J$4,'领用录入（明细）'!C:C&lt;=$L$4),ROW(),"-")</f>
        <v>-</v>
      </c>
    </row>
    <row r="44440" customHeight="1" spans="2:2">
      <c r="B44440" s="62" t="str">
        <f>IF(AND('领用录入（明细）'!D:D=$F$4,'领用录入（明细）'!C:C&gt;=$J$4,'领用录入（明细）'!C:C&lt;=$L$4),ROW(),"-")</f>
        <v>-</v>
      </c>
    </row>
    <row r="44441" customHeight="1" spans="2:2">
      <c r="B44441" s="62" t="str">
        <f>IF(AND('领用录入（明细）'!D:D=$F$4,'领用录入（明细）'!C:C&gt;=$J$4,'领用录入（明细）'!C:C&lt;=$L$4),ROW(),"-")</f>
        <v>-</v>
      </c>
    </row>
    <row r="44442" customHeight="1" spans="2:2">
      <c r="B44442" s="62" t="str">
        <f>IF(AND('领用录入（明细）'!D:D=$F$4,'领用录入（明细）'!C:C&gt;=$J$4,'领用录入（明细）'!C:C&lt;=$L$4),ROW(),"-")</f>
        <v>-</v>
      </c>
    </row>
    <row r="44443" customHeight="1" spans="2:2">
      <c r="B44443" s="62" t="str">
        <f>IF(AND('领用录入（明细）'!D:D=$F$4,'领用录入（明细）'!C:C&gt;=$J$4,'领用录入（明细）'!C:C&lt;=$L$4),ROW(),"-")</f>
        <v>-</v>
      </c>
    </row>
    <row r="44444" customHeight="1" spans="2:2">
      <c r="B44444" s="62" t="str">
        <f>IF(AND('领用录入（明细）'!D:D=$F$4,'领用录入（明细）'!C:C&gt;=$J$4,'领用录入（明细）'!C:C&lt;=$L$4),ROW(),"-")</f>
        <v>-</v>
      </c>
    </row>
    <row r="44445" customHeight="1" spans="2:2">
      <c r="B44445" s="62" t="str">
        <f>IF(AND('领用录入（明细）'!D:D=$F$4,'领用录入（明细）'!C:C&gt;=$J$4,'领用录入（明细）'!C:C&lt;=$L$4),ROW(),"-")</f>
        <v>-</v>
      </c>
    </row>
    <row r="44446" customHeight="1" spans="2:2">
      <c r="B44446" s="62" t="str">
        <f>IF(AND('领用录入（明细）'!D:D=$F$4,'领用录入（明细）'!C:C&gt;=$J$4,'领用录入（明细）'!C:C&lt;=$L$4),ROW(),"-")</f>
        <v>-</v>
      </c>
    </row>
    <row r="44447" customHeight="1" spans="2:2">
      <c r="B44447" s="62" t="str">
        <f>IF(AND('领用录入（明细）'!D:D=$F$4,'领用录入（明细）'!C:C&gt;=$J$4,'领用录入（明细）'!C:C&lt;=$L$4),ROW(),"-")</f>
        <v>-</v>
      </c>
    </row>
    <row r="44448" customHeight="1" spans="2:2">
      <c r="B44448" s="62" t="str">
        <f>IF(AND('领用录入（明细）'!D:D=$F$4,'领用录入（明细）'!C:C&gt;=$J$4,'领用录入（明细）'!C:C&lt;=$L$4),ROW(),"-")</f>
        <v>-</v>
      </c>
    </row>
    <row r="44449" customHeight="1" spans="2:2">
      <c r="B44449" s="62" t="str">
        <f>IF(AND('领用录入（明细）'!D:D=$F$4,'领用录入（明细）'!C:C&gt;=$J$4,'领用录入（明细）'!C:C&lt;=$L$4),ROW(),"-")</f>
        <v>-</v>
      </c>
    </row>
    <row r="44450" customHeight="1" spans="2:2">
      <c r="B44450" s="62" t="str">
        <f>IF(AND('领用录入（明细）'!D:D=$F$4,'领用录入（明细）'!C:C&gt;=$J$4,'领用录入（明细）'!C:C&lt;=$L$4),ROW(),"-")</f>
        <v>-</v>
      </c>
    </row>
    <row r="44451" customHeight="1" spans="2:2">
      <c r="B44451" s="62" t="str">
        <f>IF(AND('领用录入（明细）'!D:D=$F$4,'领用录入（明细）'!C:C&gt;=$J$4,'领用录入（明细）'!C:C&lt;=$L$4),ROW(),"-")</f>
        <v>-</v>
      </c>
    </row>
    <row r="44452" customHeight="1" spans="2:2">
      <c r="B44452" s="62" t="str">
        <f>IF(AND('领用录入（明细）'!D:D=$F$4,'领用录入（明细）'!C:C&gt;=$J$4,'领用录入（明细）'!C:C&lt;=$L$4),ROW(),"-")</f>
        <v>-</v>
      </c>
    </row>
    <row r="44453" customHeight="1" spans="2:2">
      <c r="B44453" s="62" t="str">
        <f>IF(AND('领用录入（明细）'!D:D=$F$4,'领用录入（明细）'!C:C&gt;=$J$4,'领用录入（明细）'!C:C&lt;=$L$4),ROW(),"-")</f>
        <v>-</v>
      </c>
    </row>
    <row r="44454" customHeight="1" spans="2:2">
      <c r="B44454" s="62" t="str">
        <f>IF(AND('领用录入（明细）'!D:D=$F$4,'领用录入（明细）'!C:C&gt;=$J$4,'领用录入（明细）'!C:C&lt;=$L$4),ROW(),"-")</f>
        <v>-</v>
      </c>
    </row>
    <row r="44455" customHeight="1" spans="2:2">
      <c r="B44455" s="62" t="str">
        <f>IF(AND('领用录入（明细）'!D:D=$F$4,'领用录入（明细）'!C:C&gt;=$J$4,'领用录入（明细）'!C:C&lt;=$L$4),ROW(),"-")</f>
        <v>-</v>
      </c>
    </row>
    <row r="44456" customHeight="1" spans="2:2">
      <c r="B44456" s="62" t="str">
        <f>IF(AND('领用录入（明细）'!D:D=$F$4,'领用录入（明细）'!C:C&gt;=$J$4,'领用录入（明细）'!C:C&lt;=$L$4),ROW(),"-")</f>
        <v>-</v>
      </c>
    </row>
    <row r="44457" customHeight="1" spans="2:2">
      <c r="B44457" s="62" t="str">
        <f>IF(AND('领用录入（明细）'!D:D=$F$4,'领用录入（明细）'!C:C&gt;=$J$4,'领用录入（明细）'!C:C&lt;=$L$4),ROW(),"-")</f>
        <v>-</v>
      </c>
    </row>
    <row r="44458" customHeight="1" spans="2:2">
      <c r="B44458" s="62" t="str">
        <f>IF(AND('领用录入（明细）'!D:D=$F$4,'领用录入（明细）'!C:C&gt;=$J$4,'领用录入（明细）'!C:C&lt;=$L$4),ROW(),"-")</f>
        <v>-</v>
      </c>
    </row>
    <row r="44459" customHeight="1" spans="2:2">
      <c r="B44459" s="62" t="str">
        <f>IF(AND('领用录入（明细）'!D:D=$F$4,'领用录入（明细）'!C:C&gt;=$J$4,'领用录入（明细）'!C:C&lt;=$L$4),ROW(),"-")</f>
        <v>-</v>
      </c>
    </row>
    <row r="44460" customHeight="1" spans="2:2">
      <c r="B44460" s="62" t="str">
        <f>IF(AND('领用录入（明细）'!D:D=$F$4,'领用录入（明细）'!C:C&gt;=$J$4,'领用录入（明细）'!C:C&lt;=$L$4),ROW(),"-")</f>
        <v>-</v>
      </c>
    </row>
    <row r="44461" customHeight="1" spans="2:2">
      <c r="B44461" s="62" t="str">
        <f>IF(AND('领用录入（明细）'!D:D=$F$4,'领用录入（明细）'!C:C&gt;=$J$4,'领用录入（明细）'!C:C&lt;=$L$4),ROW(),"-")</f>
        <v>-</v>
      </c>
    </row>
    <row r="44462" customHeight="1" spans="2:2">
      <c r="B44462" s="62" t="str">
        <f>IF(AND('领用录入（明细）'!D:D=$F$4,'领用录入（明细）'!C:C&gt;=$J$4,'领用录入（明细）'!C:C&lt;=$L$4),ROW(),"-")</f>
        <v>-</v>
      </c>
    </row>
    <row r="44463" customHeight="1" spans="2:2">
      <c r="B44463" s="62" t="str">
        <f>IF(AND('领用录入（明细）'!D:D=$F$4,'领用录入（明细）'!C:C&gt;=$J$4,'领用录入（明细）'!C:C&lt;=$L$4),ROW(),"-")</f>
        <v>-</v>
      </c>
    </row>
    <row r="44464" customHeight="1" spans="2:2">
      <c r="B44464" s="62" t="str">
        <f>IF(AND('领用录入（明细）'!D:D=$F$4,'领用录入（明细）'!C:C&gt;=$J$4,'领用录入（明细）'!C:C&lt;=$L$4),ROW(),"-")</f>
        <v>-</v>
      </c>
    </row>
    <row r="44465" customHeight="1" spans="2:2">
      <c r="B44465" s="62" t="str">
        <f>IF(AND('领用录入（明细）'!D:D=$F$4,'领用录入（明细）'!C:C&gt;=$J$4,'领用录入（明细）'!C:C&lt;=$L$4),ROW(),"-")</f>
        <v>-</v>
      </c>
    </row>
    <row r="44466" customHeight="1" spans="2:2">
      <c r="B44466" s="62" t="str">
        <f>IF(AND('领用录入（明细）'!D:D=$F$4,'领用录入（明细）'!C:C&gt;=$J$4,'领用录入（明细）'!C:C&lt;=$L$4),ROW(),"-")</f>
        <v>-</v>
      </c>
    </row>
    <row r="44467" customHeight="1" spans="2:2">
      <c r="B44467" s="62" t="str">
        <f>IF(AND('领用录入（明细）'!D:D=$F$4,'领用录入（明细）'!C:C&gt;=$J$4,'领用录入（明细）'!C:C&lt;=$L$4),ROW(),"-")</f>
        <v>-</v>
      </c>
    </row>
    <row r="44468" customHeight="1" spans="2:2">
      <c r="B44468" s="62" t="str">
        <f>IF(AND('领用录入（明细）'!D:D=$F$4,'领用录入（明细）'!C:C&gt;=$J$4,'领用录入（明细）'!C:C&lt;=$L$4),ROW(),"-")</f>
        <v>-</v>
      </c>
    </row>
    <row r="44469" customHeight="1" spans="2:2">
      <c r="B44469" s="62" t="str">
        <f>IF(AND('领用录入（明细）'!D:D=$F$4,'领用录入（明细）'!C:C&gt;=$J$4,'领用录入（明细）'!C:C&lt;=$L$4),ROW(),"-")</f>
        <v>-</v>
      </c>
    </row>
    <row r="44470" customHeight="1" spans="2:2">
      <c r="B44470" s="62" t="str">
        <f>IF(AND('领用录入（明细）'!D:D=$F$4,'领用录入（明细）'!C:C&gt;=$J$4,'领用录入（明细）'!C:C&lt;=$L$4),ROW(),"-")</f>
        <v>-</v>
      </c>
    </row>
    <row r="44471" customHeight="1" spans="2:2">
      <c r="B44471" s="62" t="str">
        <f>IF(AND('领用录入（明细）'!D:D=$F$4,'领用录入（明细）'!C:C&gt;=$J$4,'领用录入（明细）'!C:C&lt;=$L$4),ROW(),"-")</f>
        <v>-</v>
      </c>
    </row>
    <row r="44472" customHeight="1" spans="2:2">
      <c r="B44472" s="62" t="str">
        <f>IF(AND('领用录入（明细）'!D:D=$F$4,'领用录入（明细）'!C:C&gt;=$J$4,'领用录入（明细）'!C:C&lt;=$L$4),ROW(),"-")</f>
        <v>-</v>
      </c>
    </row>
    <row r="44473" customHeight="1" spans="2:2">
      <c r="B44473" s="62" t="str">
        <f>IF(AND('领用录入（明细）'!D:D=$F$4,'领用录入（明细）'!C:C&gt;=$J$4,'领用录入（明细）'!C:C&lt;=$L$4),ROW(),"-")</f>
        <v>-</v>
      </c>
    </row>
    <row r="44474" customHeight="1" spans="2:2">
      <c r="B44474" s="62" t="str">
        <f>IF(AND('领用录入（明细）'!D:D=$F$4,'领用录入（明细）'!C:C&gt;=$J$4,'领用录入（明细）'!C:C&lt;=$L$4),ROW(),"-")</f>
        <v>-</v>
      </c>
    </row>
    <row r="44475" customHeight="1" spans="2:2">
      <c r="B44475" s="62" t="str">
        <f>IF(AND('领用录入（明细）'!D:D=$F$4,'领用录入（明细）'!C:C&gt;=$J$4,'领用录入（明细）'!C:C&lt;=$L$4),ROW(),"-")</f>
        <v>-</v>
      </c>
    </row>
    <row r="44476" customHeight="1" spans="2:2">
      <c r="B44476" s="62" t="str">
        <f>IF(AND('领用录入（明细）'!D:D=$F$4,'领用录入（明细）'!C:C&gt;=$J$4,'领用录入（明细）'!C:C&lt;=$L$4),ROW(),"-")</f>
        <v>-</v>
      </c>
    </row>
    <row r="44477" customHeight="1" spans="2:2">
      <c r="B44477" s="62" t="str">
        <f>IF(AND('领用录入（明细）'!D:D=$F$4,'领用录入（明细）'!C:C&gt;=$J$4,'领用录入（明细）'!C:C&lt;=$L$4),ROW(),"-")</f>
        <v>-</v>
      </c>
    </row>
    <row r="44478" customHeight="1" spans="2:2">
      <c r="B44478" s="62" t="str">
        <f>IF(AND('领用录入（明细）'!D:D=$F$4,'领用录入（明细）'!C:C&gt;=$J$4,'领用录入（明细）'!C:C&lt;=$L$4),ROW(),"-")</f>
        <v>-</v>
      </c>
    </row>
    <row r="44479" customHeight="1" spans="2:2">
      <c r="B44479" s="62" t="str">
        <f>IF(AND('领用录入（明细）'!D:D=$F$4,'领用录入（明细）'!C:C&gt;=$J$4,'领用录入（明细）'!C:C&lt;=$L$4),ROW(),"-")</f>
        <v>-</v>
      </c>
    </row>
    <row r="44480" customHeight="1" spans="2:2">
      <c r="B44480" s="62" t="str">
        <f>IF(AND('领用录入（明细）'!D:D=$F$4,'领用录入（明细）'!C:C&gt;=$J$4,'领用录入（明细）'!C:C&lt;=$L$4),ROW(),"-")</f>
        <v>-</v>
      </c>
    </row>
    <row r="44481" customHeight="1" spans="2:2">
      <c r="B44481" s="62" t="str">
        <f>IF(AND('领用录入（明细）'!D:D=$F$4,'领用录入（明细）'!C:C&gt;=$J$4,'领用录入（明细）'!C:C&lt;=$L$4),ROW(),"-")</f>
        <v>-</v>
      </c>
    </row>
    <row r="44482" customHeight="1" spans="2:2">
      <c r="B44482" s="62" t="str">
        <f>IF(AND('领用录入（明细）'!D:D=$F$4,'领用录入（明细）'!C:C&gt;=$J$4,'领用录入（明细）'!C:C&lt;=$L$4),ROW(),"-")</f>
        <v>-</v>
      </c>
    </row>
    <row r="44483" customHeight="1" spans="2:2">
      <c r="B44483" s="62" t="str">
        <f>IF(AND('领用录入（明细）'!D:D=$F$4,'领用录入（明细）'!C:C&gt;=$J$4,'领用录入（明细）'!C:C&lt;=$L$4),ROW(),"-")</f>
        <v>-</v>
      </c>
    </row>
    <row r="44484" customHeight="1" spans="2:2">
      <c r="B44484" s="62" t="str">
        <f>IF(AND('领用录入（明细）'!D:D=$F$4,'领用录入（明细）'!C:C&gt;=$J$4,'领用录入（明细）'!C:C&lt;=$L$4),ROW(),"-")</f>
        <v>-</v>
      </c>
    </row>
    <row r="44485" customHeight="1" spans="2:2">
      <c r="B44485" s="62" t="str">
        <f>IF(AND('领用录入（明细）'!D:D=$F$4,'领用录入（明细）'!C:C&gt;=$J$4,'领用录入（明细）'!C:C&lt;=$L$4),ROW(),"-")</f>
        <v>-</v>
      </c>
    </row>
    <row r="44486" customHeight="1" spans="2:2">
      <c r="B44486" s="62" t="str">
        <f>IF(AND('领用录入（明细）'!D:D=$F$4,'领用录入（明细）'!C:C&gt;=$J$4,'领用录入（明细）'!C:C&lt;=$L$4),ROW(),"-")</f>
        <v>-</v>
      </c>
    </row>
    <row r="44487" customHeight="1" spans="2:2">
      <c r="B44487" s="62" t="str">
        <f>IF(AND('领用录入（明细）'!D:D=$F$4,'领用录入（明细）'!C:C&gt;=$J$4,'领用录入（明细）'!C:C&lt;=$L$4),ROW(),"-")</f>
        <v>-</v>
      </c>
    </row>
    <row r="44488" customHeight="1" spans="2:2">
      <c r="B44488" s="62" t="str">
        <f>IF(AND('领用录入（明细）'!D:D=$F$4,'领用录入（明细）'!C:C&gt;=$J$4,'领用录入（明细）'!C:C&lt;=$L$4),ROW(),"-")</f>
        <v>-</v>
      </c>
    </row>
    <row r="44489" customHeight="1" spans="2:2">
      <c r="B44489" s="62" t="str">
        <f>IF(AND('领用录入（明细）'!D:D=$F$4,'领用录入（明细）'!C:C&gt;=$J$4,'领用录入（明细）'!C:C&lt;=$L$4),ROW(),"-")</f>
        <v>-</v>
      </c>
    </row>
    <row r="44490" customHeight="1" spans="2:2">
      <c r="B44490" s="62" t="str">
        <f>IF(AND('领用录入（明细）'!D:D=$F$4,'领用录入（明细）'!C:C&gt;=$J$4,'领用录入（明细）'!C:C&lt;=$L$4),ROW(),"-")</f>
        <v>-</v>
      </c>
    </row>
    <row r="44491" customHeight="1" spans="2:2">
      <c r="B44491" s="62" t="str">
        <f>IF(AND('领用录入（明细）'!D:D=$F$4,'领用录入（明细）'!C:C&gt;=$J$4,'领用录入（明细）'!C:C&lt;=$L$4),ROW(),"-")</f>
        <v>-</v>
      </c>
    </row>
    <row r="44492" customHeight="1" spans="2:2">
      <c r="B44492" s="62" t="str">
        <f>IF(AND('领用录入（明细）'!D:D=$F$4,'领用录入（明细）'!C:C&gt;=$J$4,'领用录入（明细）'!C:C&lt;=$L$4),ROW(),"-")</f>
        <v>-</v>
      </c>
    </row>
    <row r="44493" customHeight="1" spans="2:2">
      <c r="B44493" s="62" t="str">
        <f>IF(AND('领用录入（明细）'!D:D=$F$4,'领用录入（明细）'!C:C&gt;=$J$4,'领用录入（明细）'!C:C&lt;=$L$4),ROW(),"-")</f>
        <v>-</v>
      </c>
    </row>
    <row r="44494" customHeight="1" spans="2:2">
      <c r="B44494" s="62" t="str">
        <f>IF(AND('领用录入（明细）'!D:D=$F$4,'领用录入（明细）'!C:C&gt;=$J$4,'领用录入（明细）'!C:C&lt;=$L$4),ROW(),"-")</f>
        <v>-</v>
      </c>
    </row>
    <row r="44495" customHeight="1" spans="2:2">
      <c r="B44495" s="62" t="str">
        <f>IF(AND('领用录入（明细）'!D:D=$F$4,'领用录入（明细）'!C:C&gt;=$J$4,'领用录入（明细）'!C:C&lt;=$L$4),ROW(),"-")</f>
        <v>-</v>
      </c>
    </row>
    <row r="44496" customHeight="1" spans="2:2">
      <c r="B44496" s="62" t="str">
        <f>IF(AND('领用录入（明细）'!D:D=$F$4,'领用录入（明细）'!C:C&gt;=$J$4,'领用录入（明细）'!C:C&lt;=$L$4),ROW(),"-")</f>
        <v>-</v>
      </c>
    </row>
    <row r="44497" customHeight="1" spans="2:2">
      <c r="B44497" s="62" t="str">
        <f>IF(AND('领用录入（明细）'!D:D=$F$4,'领用录入（明细）'!C:C&gt;=$J$4,'领用录入（明细）'!C:C&lt;=$L$4),ROW(),"-")</f>
        <v>-</v>
      </c>
    </row>
    <row r="44498" customHeight="1" spans="2:2">
      <c r="B44498" s="62" t="str">
        <f>IF(AND('领用录入（明细）'!D:D=$F$4,'领用录入（明细）'!C:C&gt;=$J$4,'领用录入（明细）'!C:C&lt;=$L$4),ROW(),"-")</f>
        <v>-</v>
      </c>
    </row>
    <row r="44499" customHeight="1" spans="2:2">
      <c r="B44499" s="62" t="str">
        <f>IF(AND('领用录入（明细）'!D:D=$F$4,'领用录入（明细）'!C:C&gt;=$J$4,'领用录入（明细）'!C:C&lt;=$L$4),ROW(),"-")</f>
        <v>-</v>
      </c>
    </row>
    <row r="44500" customHeight="1" spans="2:2">
      <c r="B44500" s="62" t="str">
        <f>IF(AND('领用录入（明细）'!D:D=$F$4,'领用录入（明细）'!C:C&gt;=$J$4,'领用录入（明细）'!C:C&lt;=$L$4),ROW(),"-")</f>
        <v>-</v>
      </c>
    </row>
    <row r="44501" customHeight="1" spans="2:2">
      <c r="B44501" s="62" t="str">
        <f>IF(AND('领用录入（明细）'!D:D=$F$4,'领用录入（明细）'!C:C&gt;=$J$4,'领用录入（明细）'!C:C&lt;=$L$4),ROW(),"-")</f>
        <v>-</v>
      </c>
    </row>
    <row r="44502" customHeight="1" spans="2:2">
      <c r="B44502" s="62" t="str">
        <f>IF(AND('领用录入（明细）'!D:D=$F$4,'领用录入（明细）'!C:C&gt;=$J$4,'领用录入（明细）'!C:C&lt;=$L$4),ROW(),"-")</f>
        <v>-</v>
      </c>
    </row>
    <row r="44503" customHeight="1" spans="2:2">
      <c r="B44503" s="62" t="str">
        <f>IF(AND('领用录入（明细）'!D:D=$F$4,'领用录入（明细）'!C:C&gt;=$J$4,'领用录入（明细）'!C:C&lt;=$L$4),ROW(),"-")</f>
        <v>-</v>
      </c>
    </row>
    <row r="44504" customHeight="1" spans="2:2">
      <c r="B44504" s="62" t="str">
        <f>IF(AND('领用录入（明细）'!D:D=$F$4,'领用录入（明细）'!C:C&gt;=$J$4,'领用录入（明细）'!C:C&lt;=$L$4),ROW(),"-")</f>
        <v>-</v>
      </c>
    </row>
    <row r="44505" customHeight="1" spans="2:2">
      <c r="B44505" s="62" t="str">
        <f>IF(AND('领用录入（明细）'!D:D=$F$4,'领用录入（明细）'!C:C&gt;=$J$4,'领用录入（明细）'!C:C&lt;=$L$4),ROW(),"-")</f>
        <v>-</v>
      </c>
    </row>
    <row r="44506" customHeight="1" spans="2:2">
      <c r="B44506" s="62" t="str">
        <f>IF(AND('领用录入（明细）'!D:D=$F$4,'领用录入（明细）'!C:C&gt;=$J$4,'领用录入（明细）'!C:C&lt;=$L$4),ROW(),"-")</f>
        <v>-</v>
      </c>
    </row>
    <row r="44507" customHeight="1" spans="2:2">
      <c r="B44507" s="62" t="str">
        <f>IF(AND('领用录入（明细）'!D:D=$F$4,'领用录入（明细）'!C:C&gt;=$J$4,'领用录入（明细）'!C:C&lt;=$L$4),ROW(),"-")</f>
        <v>-</v>
      </c>
    </row>
    <row r="44508" customHeight="1" spans="2:2">
      <c r="B44508" s="62" t="str">
        <f>IF(AND('领用录入（明细）'!D:D=$F$4,'领用录入（明细）'!C:C&gt;=$J$4,'领用录入（明细）'!C:C&lt;=$L$4),ROW(),"-")</f>
        <v>-</v>
      </c>
    </row>
    <row r="44509" customHeight="1" spans="2:2">
      <c r="B44509" s="62" t="str">
        <f>IF(AND('领用录入（明细）'!D:D=$F$4,'领用录入（明细）'!C:C&gt;=$J$4,'领用录入（明细）'!C:C&lt;=$L$4),ROW(),"-")</f>
        <v>-</v>
      </c>
    </row>
    <row r="44510" customHeight="1" spans="2:2">
      <c r="B44510" s="62" t="str">
        <f>IF(AND('领用录入（明细）'!D:D=$F$4,'领用录入（明细）'!C:C&gt;=$J$4,'领用录入（明细）'!C:C&lt;=$L$4),ROW(),"-")</f>
        <v>-</v>
      </c>
    </row>
    <row r="44511" customHeight="1" spans="2:2">
      <c r="B44511" s="62" t="str">
        <f>IF(AND('领用录入（明细）'!D:D=$F$4,'领用录入（明细）'!C:C&gt;=$J$4,'领用录入（明细）'!C:C&lt;=$L$4),ROW(),"-")</f>
        <v>-</v>
      </c>
    </row>
    <row r="44512" customHeight="1" spans="2:2">
      <c r="B44512" s="62" t="str">
        <f>IF(AND('领用录入（明细）'!D:D=$F$4,'领用录入（明细）'!C:C&gt;=$J$4,'领用录入（明细）'!C:C&lt;=$L$4),ROW(),"-")</f>
        <v>-</v>
      </c>
    </row>
    <row r="44513" customHeight="1" spans="2:2">
      <c r="B44513" s="62" t="str">
        <f>IF(AND('领用录入（明细）'!D:D=$F$4,'领用录入（明细）'!C:C&gt;=$J$4,'领用录入（明细）'!C:C&lt;=$L$4),ROW(),"-")</f>
        <v>-</v>
      </c>
    </row>
    <row r="44514" customHeight="1" spans="2:2">
      <c r="B44514" s="62" t="str">
        <f>IF(AND('领用录入（明细）'!D:D=$F$4,'领用录入（明细）'!C:C&gt;=$J$4,'领用录入（明细）'!C:C&lt;=$L$4),ROW(),"-")</f>
        <v>-</v>
      </c>
    </row>
    <row r="44515" customHeight="1" spans="2:2">
      <c r="B44515" s="62" t="str">
        <f>IF(AND('领用录入（明细）'!D:D=$F$4,'领用录入（明细）'!C:C&gt;=$J$4,'领用录入（明细）'!C:C&lt;=$L$4),ROW(),"-")</f>
        <v>-</v>
      </c>
    </row>
    <row r="44516" customHeight="1" spans="2:2">
      <c r="B44516" s="62" t="str">
        <f>IF(AND('领用录入（明细）'!D:D=$F$4,'领用录入（明细）'!C:C&gt;=$J$4,'领用录入（明细）'!C:C&lt;=$L$4),ROW(),"-")</f>
        <v>-</v>
      </c>
    </row>
    <row r="44517" customHeight="1" spans="2:2">
      <c r="B44517" s="62" t="str">
        <f>IF(AND('领用录入（明细）'!D:D=$F$4,'领用录入（明细）'!C:C&gt;=$J$4,'领用录入（明细）'!C:C&lt;=$L$4),ROW(),"-")</f>
        <v>-</v>
      </c>
    </row>
    <row r="44518" customHeight="1" spans="2:2">
      <c r="B44518" s="62" t="str">
        <f>IF(AND('领用录入（明细）'!D:D=$F$4,'领用录入（明细）'!C:C&gt;=$J$4,'领用录入（明细）'!C:C&lt;=$L$4),ROW(),"-")</f>
        <v>-</v>
      </c>
    </row>
    <row r="44519" customHeight="1" spans="2:2">
      <c r="B44519" s="62" t="str">
        <f>IF(AND('领用录入（明细）'!D:D=$F$4,'领用录入（明细）'!C:C&gt;=$J$4,'领用录入（明细）'!C:C&lt;=$L$4),ROW(),"-")</f>
        <v>-</v>
      </c>
    </row>
    <row r="44520" customHeight="1" spans="2:2">
      <c r="B44520" s="62" t="str">
        <f>IF(AND('领用录入（明细）'!D:D=$F$4,'领用录入（明细）'!C:C&gt;=$J$4,'领用录入（明细）'!C:C&lt;=$L$4),ROW(),"-")</f>
        <v>-</v>
      </c>
    </row>
    <row r="44521" customHeight="1" spans="2:2">
      <c r="B44521" s="62" t="str">
        <f>IF(AND('领用录入（明细）'!D:D=$F$4,'领用录入（明细）'!C:C&gt;=$J$4,'领用录入（明细）'!C:C&lt;=$L$4),ROW(),"-")</f>
        <v>-</v>
      </c>
    </row>
    <row r="44522" customHeight="1" spans="2:2">
      <c r="B44522" s="62" t="str">
        <f>IF(AND('领用录入（明细）'!D:D=$F$4,'领用录入（明细）'!C:C&gt;=$J$4,'领用录入（明细）'!C:C&lt;=$L$4),ROW(),"-")</f>
        <v>-</v>
      </c>
    </row>
    <row r="44523" customHeight="1" spans="2:2">
      <c r="B44523" s="62" t="str">
        <f>IF(AND('领用录入（明细）'!D:D=$F$4,'领用录入（明细）'!C:C&gt;=$J$4,'领用录入（明细）'!C:C&lt;=$L$4),ROW(),"-")</f>
        <v>-</v>
      </c>
    </row>
    <row r="44524" customHeight="1" spans="2:2">
      <c r="B44524" s="62" t="str">
        <f>IF(AND('领用录入（明细）'!D:D=$F$4,'领用录入（明细）'!C:C&gt;=$J$4,'领用录入（明细）'!C:C&lt;=$L$4),ROW(),"-")</f>
        <v>-</v>
      </c>
    </row>
    <row r="44525" customHeight="1" spans="2:2">
      <c r="B44525" s="62" t="str">
        <f>IF(AND('领用录入（明细）'!D:D=$F$4,'领用录入（明细）'!C:C&gt;=$J$4,'领用录入（明细）'!C:C&lt;=$L$4),ROW(),"-")</f>
        <v>-</v>
      </c>
    </row>
    <row r="44526" customHeight="1" spans="2:2">
      <c r="B44526" s="62" t="str">
        <f>IF(AND('领用录入（明细）'!D:D=$F$4,'领用录入（明细）'!C:C&gt;=$J$4,'领用录入（明细）'!C:C&lt;=$L$4),ROW(),"-")</f>
        <v>-</v>
      </c>
    </row>
    <row r="44527" customHeight="1" spans="2:2">
      <c r="B44527" s="62" t="str">
        <f>IF(AND('领用录入（明细）'!D:D=$F$4,'领用录入（明细）'!C:C&gt;=$J$4,'领用录入（明细）'!C:C&lt;=$L$4),ROW(),"-")</f>
        <v>-</v>
      </c>
    </row>
    <row r="44528" customHeight="1" spans="2:2">
      <c r="B44528" s="62" t="str">
        <f>IF(AND('领用录入（明细）'!D:D=$F$4,'领用录入（明细）'!C:C&gt;=$J$4,'领用录入（明细）'!C:C&lt;=$L$4),ROW(),"-")</f>
        <v>-</v>
      </c>
    </row>
    <row r="44529" customHeight="1" spans="2:2">
      <c r="B44529" s="62" t="str">
        <f>IF(AND('领用录入（明细）'!D:D=$F$4,'领用录入（明细）'!C:C&gt;=$J$4,'领用录入（明细）'!C:C&lt;=$L$4),ROW(),"-")</f>
        <v>-</v>
      </c>
    </row>
    <row r="44530" customHeight="1" spans="2:2">
      <c r="B44530" s="62" t="str">
        <f>IF(AND('领用录入（明细）'!D:D=$F$4,'领用录入（明细）'!C:C&gt;=$J$4,'领用录入（明细）'!C:C&lt;=$L$4),ROW(),"-")</f>
        <v>-</v>
      </c>
    </row>
    <row r="44531" customHeight="1" spans="2:2">
      <c r="B44531" s="62" t="str">
        <f>IF(AND('领用录入（明细）'!D:D=$F$4,'领用录入（明细）'!C:C&gt;=$J$4,'领用录入（明细）'!C:C&lt;=$L$4),ROW(),"-")</f>
        <v>-</v>
      </c>
    </row>
    <row r="44532" customHeight="1" spans="2:2">
      <c r="B44532" s="62" t="str">
        <f>IF(AND('领用录入（明细）'!D:D=$F$4,'领用录入（明细）'!C:C&gt;=$J$4,'领用录入（明细）'!C:C&lt;=$L$4),ROW(),"-")</f>
        <v>-</v>
      </c>
    </row>
    <row r="44533" customHeight="1" spans="2:2">
      <c r="B44533" s="62" t="str">
        <f>IF(AND('领用录入（明细）'!D:D=$F$4,'领用录入（明细）'!C:C&gt;=$J$4,'领用录入（明细）'!C:C&lt;=$L$4),ROW(),"-")</f>
        <v>-</v>
      </c>
    </row>
    <row r="44534" customHeight="1" spans="2:2">
      <c r="B44534" s="62" t="str">
        <f>IF(AND('领用录入（明细）'!D:D=$F$4,'领用录入（明细）'!C:C&gt;=$J$4,'领用录入（明细）'!C:C&lt;=$L$4),ROW(),"-")</f>
        <v>-</v>
      </c>
    </row>
    <row r="44535" customHeight="1" spans="2:2">
      <c r="B44535" s="62" t="str">
        <f>IF(AND('领用录入（明细）'!D:D=$F$4,'领用录入（明细）'!C:C&gt;=$J$4,'领用录入（明细）'!C:C&lt;=$L$4),ROW(),"-")</f>
        <v>-</v>
      </c>
    </row>
    <row r="44536" customHeight="1" spans="2:2">
      <c r="B44536" s="62" t="str">
        <f>IF(AND('领用录入（明细）'!D:D=$F$4,'领用录入（明细）'!C:C&gt;=$J$4,'领用录入（明细）'!C:C&lt;=$L$4),ROW(),"-")</f>
        <v>-</v>
      </c>
    </row>
    <row r="44537" customHeight="1" spans="2:2">
      <c r="B44537" s="62" t="str">
        <f>IF(AND('领用录入（明细）'!D:D=$F$4,'领用录入（明细）'!C:C&gt;=$J$4,'领用录入（明细）'!C:C&lt;=$L$4),ROW(),"-")</f>
        <v>-</v>
      </c>
    </row>
    <row r="44538" customHeight="1" spans="2:2">
      <c r="B44538" s="62" t="str">
        <f>IF(AND('领用录入（明细）'!D:D=$F$4,'领用录入（明细）'!C:C&gt;=$J$4,'领用录入（明细）'!C:C&lt;=$L$4),ROW(),"-")</f>
        <v>-</v>
      </c>
    </row>
    <row r="44539" customHeight="1" spans="2:2">
      <c r="B44539" s="62" t="str">
        <f>IF(AND('领用录入（明细）'!D:D=$F$4,'领用录入（明细）'!C:C&gt;=$J$4,'领用录入（明细）'!C:C&lt;=$L$4),ROW(),"-")</f>
        <v>-</v>
      </c>
    </row>
    <row r="44540" customHeight="1" spans="2:2">
      <c r="B44540" s="62" t="str">
        <f>IF(AND('领用录入（明细）'!D:D=$F$4,'领用录入（明细）'!C:C&gt;=$J$4,'领用录入（明细）'!C:C&lt;=$L$4),ROW(),"-")</f>
        <v>-</v>
      </c>
    </row>
    <row r="44541" customHeight="1" spans="2:2">
      <c r="B44541" s="62" t="str">
        <f>IF(AND('领用录入（明细）'!D:D=$F$4,'领用录入（明细）'!C:C&gt;=$J$4,'领用录入（明细）'!C:C&lt;=$L$4),ROW(),"-")</f>
        <v>-</v>
      </c>
    </row>
    <row r="44542" customHeight="1" spans="2:2">
      <c r="B44542" s="62" t="str">
        <f>IF(AND('领用录入（明细）'!D:D=$F$4,'领用录入（明细）'!C:C&gt;=$J$4,'领用录入（明细）'!C:C&lt;=$L$4),ROW(),"-")</f>
        <v>-</v>
      </c>
    </row>
    <row r="44543" customHeight="1" spans="2:2">
      <c r="B44543" s="62" t="str">
        <f>IF(AND('领用录入（明细）'!D:D=$F$4,'领用录入（明细）'!C:C&gt;=$J$4,'领用录入（明细）'!C:C&lt;=$L$4),ROW(),"-")</f>
        <v>-</v>
      </c>
    </row>
    <row r="44544" customHeight="1" spans="2:2">
      <c r="B44544" s="62" t="str">
        <f>IF(AND('领用录入（明细）'!D:D=$F$4,'领用录入（明细）'!C:C&gt;=$J$4,'领用录入（明细）'!C:C&lt;=$L$4),ROW(),"-")</f>
        <v>-</v>
      </c>
    </row>
    <row r="44545" customHeight="1" spans="2:2">
      <c r="B44545" s="62" t="str">
        <f>IF(AND('领用录入（明细）'!D:D=$F$4,'领用录入（明细）'!C:C&gt;=$J$4,'领用录入（明细）'!C:C&lt;=$L$4),ROW(),"-")</f>
        <v>-</v>
      </c>
    </row>
    <row r="44546" customHeight="1" spans="2:2">
      <c r="B44546" s="62" t="str">
        <f>IF(AND('领用录入（明细）'!D:D=$F$4,'领用录入（明细）'!C:C&gt;=$J$4,'领用录入（明细）'!C:C&lt;=$L$4),ROW(),"-")</f>
        <v>-</v>
      </c>
    </row>
    <row r="44547" customHeight="1" spans="2:2">
      <c r="B44547" s="62" t="str">
        <f>IF(AND('领用录入（明细）'!D:D=$F$4,'领用录入（明细）'!C:C&gt;=$J$4,'领用录入（明细）'!C:C&lt;=$L$4),ROW(),"-")</f>
        <v>-</v>
      </c>
    </row>
    <row r="44548" customHeight="1" spans="2:2">
      <c r="B44548" s="62" t="str">
        <f>IF(AND('领用录入（明细）'!D:D=$F$4,'领用录入（明细）'!C:C&gt;=$J$4,'领用录入（明细）'!C:C&lt;=$L$4),ROW(),"-")</f>
        <v>-</v>
      </c>
    </row>
    <row r="44549" customHeight="1" spans="2:2">
      <c r="B44549" s="62" t="str">
        <f>IF(AND('领用录入（明细）'!D:D=$F$4,'领用录入（明细）'!C:C&gt;=$J$4,'领用录入（明细）'!C:C&lt;=$L$4),ROW(),"-")</f>
        <v>-</v>
      </c>
    </row>
    <row r="44550" customHeight="1" spans="2:2">
      <c r="B44550" s="62" t="str">
        <f>IF(AND('领用录入（明细）'!D:D=$F$4,'领用录入（明细）'!C:C&gt;=$J$4,'领用录入（明细）'!C:C&lt;=$L$4),ROW(),"-")</f>
        <v>-</v>
      </c>
    </row>
    <row r="44551" customHeight="1" spans="2:2">
      <c r="B44551" s="62" t="str">
        <f>IF(AND('领用录入（明细）'!D:D=$F$4,'领用录入（明细）'!C:C&gt;=$J$4,'领用录入（明细）'!C:C&lt;=$L$4),ROW(),"-")</f>
        <v>-</v>
      </c>
    </row>
    <row r="44552" customHeight="1" spans="2:2">
      <c r="B44552" s="62" t="str">
        <f>IF(AND('领用录入（明细）'!D:D=$F$4,'领用录入（明细）'!C:C&gt;=$J$4,'领用录入（明细）'!C:C&lt;=$L$4),ROW(),"-")</f>
        <v>-</v>
      </c>
    </row>
    <row r="44553" customHeight="1" spans="2:2">
      <c r="B44553" s="62" t="str">
        <f>IF(AND('领用录入（明细）'!D:D=$F$4,'领用录入（明细）'!C:C&gt;=$J$4,'领用录入（明细）'!C:C&lt;=$L$4),ROW(),"-")</f>
        <v>-</v>
      </c>
    </row>
    <row r="44554" customHeight="1" spans="2:2">
      <c r="B44554" s="62" t="str">
        <f>IF(AND('领用录入（明细）'!D:D=$F$4,'领用录入（明细）'!C:C&gt;=$J$4,'领用录入（明细）'!C:C&lt;=$L$4),ROW(),"-")</f>
        <v>-</v>
      </c>
    </row>
    <row r="44555" customHeight="1" spans="2:2">
      <c r="B44555" s="62" t="str">
        <f>IF(AND('领用录入（明细）'!D:D=$F$4,'领用录入（明细）'!C:C&gt;=$J$4,'领用录入（明细）'!C:C&lt;=$L$4),ROW(),"-")</f>
        <v>-</v>
      </c>
    </row>
    <row r="44556" customHeight="1" spans="2:2">
      <c r="B44556" s="62" t="str">
        <f>IF(AND('领用录入（明细）'!D:D=$F$4,'领用录入（明细）'!C:C&gt;=$J$4,'领用录入（明细）'!C:C&lt;=$L$4),ROW(),"-")</f>
        <v>-</v>
      </c>
    </row>
    <row r="44557" customHeight="1" spans="2:2">
      <c r="B44557" s="62" t="str">
        <f>IF(AND('领用录入（明细）'!D:D=$F$4,'领用录入（明细）'!C:C&gt;=$J$4,'领用录入（明细）'!C:C&lt;=$L$4),ROW(),"-")</f>
        <v>-</v>
      </c>
    </row>
    <row r="44558" customHeight="1" spans="2:2">
      <c r="B44558" s="62" t="str">
        <f>IF(AND('领用录入（明细）'!D:D=$F$4,'领用录入（明细）'!C:C&gt;=$J$4,'领用录入（明细）'!C:C&lt;=$L$4),ROW(),"-")</f>
        <v>-</v>
      </c>
    </row>
    <row r="44559" customHeight="1" spans="2:2">
      <c r="B44559" s="62" t="str">
        <f>IF(AND('领用录入（明细）'!D:D=$F$4,'领用录入（明细）'!C:C&gt;=$J$4,'领用录入（明细）'!C:C&lt;=$L$4),ROW(),"-")</f>
        <v>-</v>
      </c>
    </row>
    <row r="44560" customHeight="1" spans="2:2">
      <c r="B44560" s="62" t="str">
        <f>IF(AND('领用录入（明细）'!D:D=$F$4,'领用录入（明细）'!C:C&gt;=$J$4,'领用录入（明细）'!C:C&lt;=$L$4),ROW(),"-")</f>
        <v>-</v>
      </c>
    </row>
    <row r="44561" customHeight="1" spans="2:2">
      <c r="B44561" s="62" t="str">
        <f>IF(AND('领用录入（明细）'!D:D=$F$4,'领用录入（明细）'!C:C&gt;=$J$4,'领用录入（明细）'!C:C&lt;=$L$4),ROW(),"-")</f>
        <v>-</v>
      </c>
    </row>
    <row r="44562" customHeight="1" spans="2:2">
      <c r="B44562" s="62" t="str">
        <f>IF(AND('领用录入（明细）'!D:D=$F$4,'领用录入（明细）'!C:C&gt;=$J$4,'领用录入（明细）'!C:C&lt;=$L$4),ROW(),"-")</f>
        <v>-</v>
      </c>
    </row>
    <row r="44563" customHeight="1" spans="2:2">
      <c r="B44563" s="62" t="str">
        <f>IF(AND('领用录入（明细）'!D:D=$F$4,'领用录入（明细）'!C:C&gt;=$J$4,'领用录入（明细）'!C:C&lt;=$L$4),ROW(),"-")</f>
        <v>-</v>
      </c>
    </row>
    <row r="44564" customHeight="1" spans="2:2">
      <c r="B44564" s="62" t="str">
        <f>IF(AND('领用录入（明细）'!D:D=$F$4,'领用录入（明细）'!C:C&gt;=$J$4,'领用录入（明细）'!C:C&lt;=$L$4),ROW(),"-")</f>
        <v>-</v>
      </c>
    </row>
    <row r="44565" customHeight="1" spans="2:2">
      <c r="B44565" s="62" t="str">
        <f>IF(AND('领用录入（明细）'!D:D=$F$4,'领用录入（明细）'!C:C&gt;=$J$4,'领用录入（明细）'!C:C&lt;=$L$4),ROW(),"-")</f>
        <v>-</v>
      </c>
    </row>
    <row r="44566" customHeight="1" spans="2:2">
      <c r="B44566" s="62" t="str">
        <f>IF(AND('领用录入（明细）'!D:D=$F$4,'领用录入（明细）'!C:C&gt;=$J$4,'领用录入（明细）'!C:C&lt;=$L$4),ROW(),"-")</f>
        <v>-</v>
      </c>
    </row>
    <row r="44567" customHeight="1" spans="2:2">
      <c r="B44567" s="62" t="str">
        <f>IF(AND('领用录入（明细）'!D:D=$F$4,'领用录入（明细）'!C:C&gt;=$J$4,'领用录入（明细）'!C:C&lt;=$L$4),ROW(),"-")</f>
        <v>-</v>
      </c>
    </row>
    <row r="44568" customHeight="1" spans="2:2">
      <c r="B44568" s="62" t="str">
        <f>IF(AND('领用录入（明细）'!D:D=$F$4,'领用录入（明细）'!C:C&gt;=$J$4,'领用录入（明细）'!C:C&lt;=$L$4),ROW(),"-")</f>
        <v>-</v>
      </c>
    </row>
    <row r="44569" customHeight="1" spans="2:2">
      <c r="B44569" s="62" t="str">
        <f>IF(AND('领用录入（明细）'!D:D=$F$4,'领用录入（明细）'!C:C&gt;=$J$4,'领用录入（明细）'!C:C&lt;=$L$4),ROW(),"-")</f>
        <v>-</v>
      </c>
    </row>
    <row r="44570" customHeight="1" spans="2:2">
      <c r="B44570" s="62" t="str">
        <f>IF(AND('领用录入（明细）'!D:D=$F$4,'领用录入（明细）'!C:C&gt;=$J$4,'领用录入（明细）'!C:C&lt;=$L$4),ROW(),"-")</f>
        <v>-</v>
      </c>
    </row>
    <row r="44571" customHeight="1" spans="2:2">
      <c r="B44571" s="62" t="str">
        <f>IF(AND('领用录入（明细）'!D:D=$F$4,'领用录入（明细）'!C:C&gt;=$J$4,'领用录入（明细）'!C:C&lt;=$L$4),ROW(),"-")</f>
        <v>-</v>
      </c>
    </row>
    <row r="44572" customHeight="1" spans="2:2">
      <c r="B44572" s="62" t="str">
        <f>IF(AND('领用录入（明细）'!D:D=$F$4,'领用录入（明细）'!C:C&gt;=$J$4,'领用录入（明细）'!C:C&lt;=$L$4),ROW(),"-")</f>
        <v>-</v>
      </c>
    </row>
    <row r="44573" customHeight="1" spans="2:2">
      <c r="B44573" s="62" t="str">
        <f>IF(AND('领用录入（明细）'!D:D=$F$4,'领用录入（明细）'!C:C&gt;=$J$4,'领用录入（明细）'!C:C&lt;=$L$4),ROW(),"-")</f>
        <v>-</v>
      </c>
    </row>
    <row r="44574" customHeight="1" spans="2:2">
      <c r="B44574" s="62" t="str">
        <f>IF(AND('领用录入（明细）'!D:D=$F$4,'领用录入（明细）'!C:C&gt;=$J$4,'领用录入（明细）'!C:C&lt;=$L$4),ROW(),"-")</f>
        <v>-</v>
      </c>
    </row>
    <row r="44575" customHeight="1" spans="2:2">
      <c r="B44575" s="62" t="str">
        <f>IF(AND('领用录入（明细）'!D:D=$F$4,'领用录入（明细）'!C:C&gt;=$J$4,'领用录入（明细）'!C:C&lt;=$L$4),ROW(),"-")</f>
        <v>-</v>
      </c>
    </row>
    <row r="44576" customHeight="1" spans="2:2">
      <c r="B44576" s="62" t="str">
        <f>IF(AND('领用录入（明细）'!D:D=$F$4,'领用录入（明细）'!C:C&gt;=$J$4,'领用录入（明细）'!C:C&lt;=$L$4),ROW(),"-")</f>
        <v>-</v>
      </c>
    </row>
    <row r="44577" customHeight="1" spans="2:2">
      <c r="B44577" s="62" t="str">
        <f>IF(AND('领用录入（明细）'!D:D=$F$4,'领用录入（明细）'!C:C&gt;=$J$4,'领用录入（明细）'!C:C&lt;=$L$4),ROW(),"-")</f>
        <v>-</v>
      </c>
    </row>
    <row r="44578" customHeight="1" spans="2:2">
      <c r="B44578" s="62" t="str">
        <f>IF(AND('领用录入（明细）'!D:D=$F$4,'领用录入（明细）'!C:C&gt;=$J$4,'领用录入（明细）'!C:C&lt;=$L$4),ROW(),"-")</f>
        <v>-</v>
      </c>
    </row>
    <row r="44579" customHeight="1" spans="2:2">
      <c r="B44579" s="62" t="str">
        <f>IF(AND('领用录入（明细）'!D:D=$F$4,'领用录入（明细）'!C:C&gt;=$J$4,'领用录入（明细）'!C:C&lt;=$L$4),ROW(),"-")</f>
        <v>-</v>
      </c>
    </row>
    <row r="44580" customHeight="1" spans="2:2">
      <c r="B44580" s="62" t="str">
        <f>IF(AND('领用录入（明细）'!D:D=$F$4,'领用录入（明细）'!C:C&gt;=$J$4,'领用录入（明细）'!C:C&lt;=$L$4),ROW(),"-")</f>
        <v>-</v>
      </c>
    </row>
    <row r="44581" customHeight="1" spans="2:2">
      <c r="B44581" s="62" t="str">
        <f>IF(AND('领用录入（明细）'!D:D=$F$4,'领用录入（明细）'!C:C&gt;=$J$4,'领用录入（明细）'!C:C&lt;=$L$4),ROW(),"-")</f>
        <v>-</v>
      </c>
    </row>
    <row r="44582" customHeight="1" spans="2:2">
      <c r="B44582" s="62" t="str">
        <f>IF(AND('领用录入（明细）'!D:D=$F$4,'领用录入（明细）'!C:C&gt;=$J$4,'领用录入（明细）'!C:C&lt;=$L$4),ROW(),"-")</f>
        <v>-</v>
      </c>
    </row>
    <row r="44583" customHeight="1" spans="2:2">
      <c r="B44583" s="62" t="str">
        <f>IF(AND('领用录入（明细）'!D:D=$F$4,'领用录入（明细）'!C:C&gt;=$J$4,'领用录入（明细）'!C:C&lt;=$L$4),ROW(),"-")</f>
        <v>-</v>
      </c>
    </row>
    <row r="44584" customHeight="1" spans="2:2">
      <c r="B44584" s="62" t="str">
        <f>IF(AND('领用录入（明细）'!D:D=$F$4,'领用录入（明细）'!C:C&gt;=$J$4,'领用录入（明细）'!C:C&lt;=$L$4),ROW(),"-")</f>
        <v>-</v>
      </c>
    </row>
    <row r="44585" customHeight="1" spans="2:2">
      <c r="B44585" s="62" t="str">
        <f>IF(AND('领用录入（明细）'!D:D=$F$4,'领用录入（明细）'!C:C&gt;=$J$4,'领用录入（明细）'!C:C&lt;=$L$4),ROW(),"-")</f>
        <v>-</v>
      </c>
    </row>
    <row r="44586" customHeight="1" spans="2:2">
      <c r="B44586" s="62" t="str">
        <f>IF(AND('领用录入（明细）'!D:D=$F$4,'领用录入（明细）'!C:C&gt;=$J$4,'领用录入（明细）'!C:C&lt;=$L$4),ROW(),"-")</f>
        <v>-</v>
      </c>
    </row>
    <row r="44587" customHeight="1" spans="2:2">
      <c r="B44587" s="62" t="str">
        <f>IF(AND('领用录入（明细）'!D:D=$F$4,'领用录入（明细）'!C:C&gt;=$J$4,'领用录入（明细）'!C:C&lt;=$L$4),ROW(),"-")</f>
        <v>-</v>
      </c>
    </row>
    <row r="44588" customHeight="1" spans="2:2">
      <c r="B44588" s="62" t="str">
        <f>IF(AND('领用录入（明细）'!D:D=$F$4,'领用录入（明细）'!C:C&gt;=$J$4,'领用录入（明细）'!C:C&lt;=$L$4),ROW(),"-")</f>
        <v>-</v>
      </c>
    </row>
    <row r="44589" customHeight="1" spans="2:2">
      <c r="B44589" s="62" t="str">
        <f>IF(AND('领用录入（明细）'!D:D=$F$4,'领用录入（明细）'!C:C&gt;=$J$4,'领用录入（明细）'!C:C&lt;=$L$4),ROW(),"-")</f>
        <v>-</v>
      </c>
    </row>
    <row r="44590" customHeight="1" spans="2:2">
      <c r="B44590" s="62" t="str">
        <f>IF(AND('领用录入（明细）'!D:D=$F$4,'领用录入（明细）'!C:C&gt;=$J$4,'领用录入（明细）'!C:C&lt;=$L$4),ROW(),"-")</f>
        <v>-</v>
      </c>
    </row>
    <row r="44591" customHeight="1" spans="2:2">
      <c r="B44591" s="62" t="str">
        <f>IF(AND('领用录入（明细）'!D:D=$F$4,'领用录入（明细）'!C:C&gt;=$J$4,'领用录入（明细）'!C:C&lt;=$L$4),ROW(),"-")</f>
        <v>-</v>
      </c>
    </row>
    <row r="44592" customHeight="1" spans="2:2">
      <c r="B44592" s="62" t="str">
        <f>IF(AND('领用录入（明细）'!D:D=$F$4,'领用录入（明细）'!C:C&gt;=$J$4,'领用录入（明细）'!C:C&lt;=$L$4),ROW(),"-")</f>
        <v>-</v>
      </c>
    </row>
    <row r="44593" customHeight="1" spans="2:2">
      <c r="B44593" s="62" t="str">
        <f>IF(AND('领用录入（明细）'!D:D=$F$4,'领用录入（明细）'!C:C&gt;=$J$4,'领用录入（明细）'!C:C&lt;=$L$4),ROW(),"-")</f>
        <v>-</v>
      </c>
    </row>
    <row r="44594" customHeight="1" spans="2:2">
      <c r="B44594" s="62" t="str">
        <f>IF(AND('领用录入（明细）'!D:D=$F$4,'领用录入（明细）'!C:C&gt;=$J$4,'领用录入（明细）'!C:C&lt;=$L$4),ROW(),"-")</f>
        <v>-</v>
      </c>
    </row>
    <row r="44595" customHeight="1" spans="2:2">
      <c r="B44595" s="62" t="str">
        <f>IF(AND('领用录入（明细）'!D:D=$F$4,'领用录入（明细）'!C:C&gt;=$J$4,'领用录入（明细）'!C:C&lt;=$L$4),ROW(),"-")</f>
        <v>-</v>
      </c>
    </row>
    <row r="44596" customHeight="1" spans="2:2">
      <c r="B44596" s="62" t="str">
        <f>IF(AND('领用录入（明细）'!D:D=$F$4,'领用录入（明细）'!C:C&gt;=$J$4,'领用录入（明细）'!C:C&lt;=$L$4),ROW(),"-")</f>
        <v>-</v>
      </c>
    </row>
    <row r="44597" customHeight="1" spans="2:2">
      <c r="B44597" s="62" t="str">
        <f>IF(AND('领用录入（明细）'!D:D=$F$4,'领用录入（明细）'!C:C&gt;=$J$4,'领用录入（明细）'!C:C&lt;=$L$4),ROW(),"-")</f>
        <v>-</v>
      </c>
    </row>
    <row r="44598" customHeight="1" spans="2:2">
      <c r="B44598" s="62" t="str">
        <f>IF(AND('领用录入（明细）'!D:D=$F$4,'领用录入（明细）'!C:C&gt;=$J$4,'领用录入（明细）'!C:C&lt;=$L$4),ROW(),"-")</f>
        <v>-</v>
      </c>
    </row>
    <row r="44599" customHeight="1" spans="2:2">
      <c r="B44599" s="62" t="str">
        <f>IF(AND('领用录入（明细）'!D:D=$F$4,'领用录入（明细）'!C:C&gt;=$J$4,'领用录入（明细）'!C:C&lt;=$L$4),ROW(),"-")</f>
        <v>-</v>
      </c>
    </row>
    <row r="44600" customHeight="1" spans="2:2">
      <c r="B44600" s="62" t="str">
        <f>IF(AND('领用录入（明细）'!D:D=$F$4,'领用录入（明细）'!C:C&gt;=$J$4,'领用录入（明细）'!C:C&lt;=$L$4),ROW(),"-")</f>
        <v>-</v>
      </c>
    </row>
    <row r="44601" customHeight="1" spans="2:2">
      <c r="B44601" s="62" t="str">
        <f>IF(AND('领用录入（明细）'!D:D=$F$4,'领用录入（明细）'!C:C&gt;=$J$4,'领用录入（明细）'!C:C&lt;=$L$4),ROW(),"-")</f>
        <v>-</v>
      </c>
    </row>
    <row r="44602" customHeight="1" spans="2:2">
      <c r="B44602" s="62" t="str">
        <f>IF(AND('领用录入（明细）'!D:D=$F$4,'领用录入（明细）'!C:C&gt;=$J$4,'领用录入（明细）'!C:C&lt;=$L$4),ROW(),"-")</f>
        <v>-</v>
      </c>
    </row>
    <row r="44603" customHeight="1" spans="2:2">
      <c r="B44603" s="62" t="str">
        <f>IF(AND('领用录入（明细）'!D:D=$F$4,'领用录入（明细）'!C:C&gt;=$J$4,'领用录入（明细）'!C:C&lt;=$L$4),ROW(),"-")</f>
        <v>-</v>
      </c>
    </row>
    <row r="44604" customHeight="1" spans="2:2">
      <c r="B44604" s="62" t="str">
        <f>IF(AND('领用录入（明细）'!D:D=$F$4,'领用录入（明细）'!C:C&gt;=$J$4,'领用录入（明细）'!C:C&lt;=$L$4),ROW(),"-")</f>
        <v>-</v>
      </c>
    </row>
    <row r="44605" customHeight="1" spans="2:2">
      <c r="B44605" s="62" t="str">
        <f>IF(AND('领用录入（明细）'!D:D=$F$4,'领用录入（明细）'!C:C&gt;=$J$4,'领用录入（明细）'!C:C&lt;=$L$4),ROW(),"-")</f>
        <v>-</v>
      </c>
    </row>
    <row r="44606" customHeight="1" spans="2:2">
      <c r="B44606" s="62" t="str">
        <f>IF(AND('领用录入（明细）'!D:D=$F$4,'领用录入（明细）'!C:C&gt;=$J$4,'领用录入（明细）'!C:C&lt;=$L$4),ROW(),"-")</f>
        <v>-</v>
      </c>
    </row>
    <row r="44607" customHeight="1" spans="2:2">
      <c r="B44607" s="62" t="str">
        <f>IF(AND('领用录入（明细）'!D:D=$F$4,'领用录入（明细）'!C:C&gt;=$J$4,'领用录入（明细）'!C:C&lt;=$L$4),ROW(),"-")</f>
        <v>-</v>
      </c>
    </row>
    <row r="44608" customHeight="1" spans="2:2">
      <c r="B44608" s="62" t="str">
        <f>IF(AND('领用录入（明细）'!D:D=$F$4,'领用录入（明细）'!C:C&gt;=$J$4,'领用录入（明细）'!C:C&lt;=$L$4),ROW(),"-")</f>
        <v>-</v>
      </c>
    </row>
    <row r="44609" customHeight="1" spans="2:2">
      <c r="B44609" s="62" t="str">
        <f>IF(AND('领用录入（明细）'!D:D=$F$4,'领用录入（明细）'!C:C&gt;=$J$4,'领用录入（明细）'!C:C&lt;=$L$4),ROW(),"-")</f>
        <v>-</v>
      </c>
    </row>
    <row r="44610" customHeight="1" spans="2:2">
      <c r="B44610" s="62" t="str">
        <f>IF(AND('领用录入（明细）'!D:D=$F$4,'领用录入（明细）'!C:C&gt;=$J$4,'领用录入（明细）'!C:C&lt;=$L$4),ROW(),"-")</f>
        <v>-</v>
      </c>
    </row>
    <row r="44611" customHeight="1" spans="2:2">
      <c r="B44611" s="62" t="str">
        <f>IF(AND('领用录入（明细）'!D:D=$F$4,'领用录入（明细）'!C:C&gt;=$J$4,'领用录入（明细）'!C:C&lt;=$L$4),ROW(),"-")</f>
        <v>-</v>
      </c>
    </row>
    <row r="44612" customHeight="1" spans="2:2">
      <c r="B44612" s="62" t="str">
        <f>IF(AND('领用录入（明细）'!D:D=$F$4,'领用录入（明细）'!C:C&gt;=$J$4,'领用录入（明细）'!C:C&lt;=$L$4),ROW(),"-")</f>
        <v>-</v>
      </c>
    </row>
    <row r="44613" customHeight="1" spans="2:2">
      <c r="B44613" s="62" t="str">
        <f>IF(AND('领用录入（明细）'!D:D=$F$4,'领用录入（明细）'!C:C&gt;=$J$4,'领用录入（明细）'!C:C&lt;=$L$4),ROW(),"-")</f>
        <v>-</v>
      </c>
    </row>
    <row r="44614" customHeight="1" spans="2:2">
      <c r="B44614" s="62" t="str">
        <f>IF(AND('领用录入（明细）'!D:D=$F$4,'领用录入（明细）'!C:C&gt;=$J$4,'领用录入（明细）'!C:C&lt;=$L$4),ROW(),"-")</f>
        <v>-</v>
      </c>
    </row>
    <row r="44615" customHeight="1" spans="2:2">
      <c r="B44615" s="62" t="str">
        <f>IF(AND('领用录入（明细）'!D:D=$F$4,'领用录入（明细）'!C:C&gt;=$J$4,'领用录入（明细）'!C:C&lt;=$L$4),ROW(),"-")</f>
        <v>-</v>
      </c>
    </row>
    <row r="44616" customHeight="1" spans="2:2">
      <c r="B44616" s="62" t="str">
        <f>IF(AND('领用录入（明细）'!D:D=$F$4,'领用录入（明细）'!C:C&gt;=$J$4,'领用录入（明细）'!C:C&lt;=$L$4),ROW(),"-")</f>
        <v>-</v>
      </c>
    </row>
    <row r="44617" customHeight="1" spans="2:2">
      <c r="B44617" s="62" t="str">
        <f>IF(AND('领用录入（明细）'!D:D=$F$4,'领用录入（明细）'!C:C&gt;=$J$4,'领用录入（明细）'!C:C&lt;=$L$4),ROW(),"-")</f>
        <v>-</v>
      </c>
    </row>
    <row r="44618" customHeight="1" spans="2:2">
      <c r="B44618" s="62" t="str">
        <f>IF(AND('领用录入（明细）'!D:D=$F$4,'领用录入（明细）'!C:C&gt;=$J$4,'领用录入（明细）'!C:C&lt;=$L$4),ROW(),"-")</f>
        <v>-</v>
      </c>
    </row>
    <row r="44619" customHeight="1" spans="2:2">
      <c r="B44619" s="62" t="str">
        <f>IF(AND('领用录入（明细）'!D:D=$F$4,'领用录入（明细）'!C:C&gt;=$J$4,'领用录入（明细）'!C:C&lt;=$L$4),ROW(),"-")</f>
        <v>-</v>
      </c>
    </row>
    <row r="44620" customHeight="1" spans="2:2">
      <c r="B44620" s="62" t="str">
        <f>IF(AND('领用录入（明细）'!D:D=$F$4,'领用录入（明细）'!C:C&gt;=$J$4,'领用录入（明细）'!C:C&lt;=$L$4),ROW(),"-")</f>
        <v>-</v>
      </c>
    </row>
    <row r="44621" customHeight="1" spans="2:2">
      <c r="B44621" s="62" t="str">
        <f>IF(AND('领用录入（明细）'!D:D=$F$4,'领用录入（明细）'!C:C&gt;=$J$4,'领用录入（明细）'!C:C&lt;=$L$4),ROW(),"-")</f>
        <v>-</v>
      </c>
    </row>
    <row r="44622" customHeight="1" spans="2:2">
      <c r="B44622" s="62" t="str">
        <f>IF(AND('领用录入（明细）'!D:D=$F$4,'领用录入（明细）'!C:C&gt;=$J$4,'领用录入（明细）'!C:C&lt;=$L$4),ROW(),"-")</f>
        <v>-</v>
      </c>
    </row>
    <row r="44623" customHeight="1" spans="2:2">
      <c r="B44623" s="62" t="str">
        <f>IF(AND('领用录入（明细）'!D:D=$F$4,'领用录入（明细）'!C:C&gt;=$J$4,'领用录入（明细）'!C:C&lt;=$L$4),ROW(),"-")</f>
        <v>-</v>
      </c>
    </row>
    <row r="44624" customHeight="1" spans="2:2">
      <c r="B44624" s="62" t="str">
        <f>IF(AND('领用录入（明细）'!D:D=$F$4,'领用录入（明细）'!C:C&gt;=$J$4,'领用录入（明细）'!C:C&lt;=$L$4),ROW(),"-")</f>
        <v>-</v>
      </c>
    </row>
    <row r="44625" customHeight="1" spans="2:2">
      <c r="B44625" s="62" t="str">
        <f>IF(AND('领用录入（明细）'!D:D=$F$4,'领用录入（明细）'!C:C&gt;=$J$4,'领用录入（明细）'!C:C&lt;=$L$4),ROW(),"-")</f>
        <v>-</v>
      </c>
    </row>
    <row r="44626" customHeight="1" spans="2:2">
      <c r="B44626" s="62" t="str">
        <f>IF(AND('领用录入（明细）'!D:D=$F$4,'领用录入（明细）'!C:C&gt;=$J$4,'领用录入（明细）'!C:C&lt;=$L$4),ROW(),"-")</f>
        <v>-</v>
      </c>
    </row>
    <row r="44627" customHeight="1" spans="2:2">
      <c r="B44627" s="62" t="str">
        <f>IF(AND('领用录入（明细）'!D:D=$F$4,'领用录入（明细）'!C:C&gt;=$J$4,'领用录入（明细）'!C:C&lt;=$L$4),ROW(),"-")</f>
        <v>-</v>
      </c>
    </row>
    <row r="44628" customHeight="1" spans="2:2">
      <c r="B44628" s="62" t="str">
        <f>IF(AND('领用录入（明细）'!D:D=$F$4,'领用录入（明细）'!C:C&gt;=$J$4,'领用录入（明细）'!C:C&lt;=$L$4),ROW(),"-")</f>
        <v>-</v>
      </c>
    </row>
    <row r="44629" customHeight="1" spans="2:2">
      <c r="B44629" s="62" t="str">
        <f>IF(AND('领用录入（明细）'!D:D=$F$4,'领用录入（明细）'!C:C&gt;=$J$4,'领用录入（明细）'!C:C&lt;=$L$4),ROW(),"-")</f>
        <v>-</v>
      </c>
    </row>
    <row r="44630" customHeight="1" spans="2:2">
      <c r="B44630" s="62" t="str">
        <f>IF(AND('领用录入（明细）'!D:D=$F$4,'领用录入（明细）'!C:C&gt;=$J$4,'领用录入（明细）'!C:C&lt;=$L$4),ROW(),"-")</f>
        <v>-</v>
      </c>
    </row>
    <row r="44631" customHeight="1" spans="2:2">
      <c r="B44631" s="62" t="str">
        <f>IF(AND('领用录入（明细）'!D:D=$F$4,'领用录入（明细）'!C:C&gt;=$J$4,'领用录入（明细）'!C:C&lt;=$L$4),ROW(),"-")</f>
        <v>-</v>
      </c>
    </row>
    <row r="44632" customHeight="1" spans="2:2">
      <c r="B44632" s="62" t="str">
        <f>IF(AND('领用录入（明细）'!D:D=$F$4,'领用录入（明细）'!C:C&gt;=$J$4,'领用录入（明细）'!C:C&lt;=$L$4),ROW(),"-")</f>
        <v>-</v>
      </c>
    </row>
    <row r="44633" customHeight="1" spans="2:2">
      <c r="B44633" s="62" t="str">
        <f>IF(AND('领用录入（明细）'!D:D=$F$4,'领用录入（明细）'!C:C&gt;=$J$4,'领用录入（明细）'!C:C&lt;=$L$4),ROW(),"-")</f>
        <v>-</v>
      </c>
    </row>
    <row r="44634" customHeight="1" spans="2:2">
      <c r="B44634" s="62" t="str">
        <f>IF(AND('领用录入（明细）'!D:D=$F$4,'领用录入（明细）'!C:C&gt;=$J$4,'领用录入（明细）'!C:C&lt;=$L$4),ROW(),"-")</f>
        <v>-</v>
      </c>
    </row>
    <row r="44635" customHeight="1" spans="2:2">
      <c r="B44635" s="62" t="str">
        <f>IF(AND('领用录入（明细）'!D:D=$F$4,'领用录入（明细）'!C:C&gt;=$J$4,'领用录入（明细）'!C:C&lt;=$L$4),ROW(),"-")</f>
        <v>-</v>
      </c>
    </row>
    <row r="44636" customHeight="1" spans="2:2">
      <c r="B44636" s="62" t="str">
        <f>IF(AND('领用录入（明细）'!D:D=$F$4,'领用录入（明细）'!C:C&gt;=$J$4,'领用录入（明细）'!C:C&lt;=$L$4),ROW(),"-")</f>
        <v>-</v>
      </c>
    </row>
    <row r="44637" customHeight="1" spans="2:2">
      <c r="B44637" s="62" t="str">
        <f>IF(AND('领用录入（明细）'!D:D=$F$4,'领用录入（明细）'!C:C&gt;=$J$4,'领用录入（明细）'!C:C&lt;=$L$4),ROW(),"-")</f>
        <v>-</v>
      </c>
    </row>
    <row r="44638" customHeight="1" spans="2:2">
      <c r="B44638" s="62" t="str">
        <f>IF(AND('领用录入（明细）'!D:D=$F$4,'领用录入（明细）'!C:C&gt;=$J$4,'领用录入（明细）'!C:C&lt;=$L$4),ROW(),"-")</f>
        <v>-</v>
      </c>
    </row>
    <row r="44639" customHeight="1" spans="2:2">
      <c r="B44639" s="62" t="str">
        <f>IF(AND('领用录入（明细）'!D:D=$F$4,'领用录入（明细）'!C:C&gt;=$J$4,'领用录入（明细）'!C:C&lt;=$L$4),ROW(),"-")</f>
        <v>-</v>
      </c>
    </row>
    <row r="44640" customHeight="1" spans="2:2">
      <c r="B44640" s="62" t="str">
        <f>IF(AND('领用录入（明细）'!D:D=$F$4,'领用录入（明细）'!C:C&gt;=$J$4,'领用录入（明细）'!C:C&lt;=$L$4),ROW(),"-")</f>
        <v>-</v>
      </c>
    </row>
    <row r="44641" customHeight="1" spans="2:2">
      <c r="B44641" s="62" t="str">
        <f>IF(AND('领用录入（明细）'!D:D=$F$4,'领用录入（明细）'!C:C&gt;=$J$4,'领用录入（明细）'!C:C&lt;=$L$4),ROW(),"-")</f>
        <v>-</v>
      </c>
    </row>
    <row r="44642" customHeight="1" spans="2:2">
      <c r="B44642" s="62" t="str">
        <f>IF(AND('领用录入（明细）'!D:D=$F$4,'领用录入（明细）'!C:C&gt;=$J$4,'领用录入（明细）'!C:C&lt;=$L$4),ROW(),"-")</f>
        <v>-</v>
      </c>
    </row>
    <row r="44643" customHeight="1" spans="2:2">
      <c r="B44643" s="62" t="str">
        <f>IF(AND('领用录入（明细）'!D:D=$F$4,'领用录入（明细）'!C:C&gt;=$J$4,'领用录入（明细）'!C:C&lt;=$L$4),ROW(),"-")</f>
        <v>-</v>
      </c>
    </row>
    <row r="44644" customHeight="1" spans="2:2">
      <c r="B44644" s="62" t="str">
        <f>IF(AND('领用录入（明细）'!D:D=$F$4,'领用录入（明细）'!C:C&gt;=$J$4,'领用录入（明细）'!C:C&lt;=$L$4),ROW(),"-")</f>
        <v>-</v>
      </c>
    </row>
    <row r="44645" customHeight="1" spans="2:2">
      <c r="B44645" s="62" t="str">
        <f>IF(AND('领用录入（明细）'!D:D=$F$4,'领用录入（明细）'!C:C&gt;=$J$4,'领用录入（明细）'!C:C&lt;=$L$4),ROW(),"-")</f>
        <v>-</v>
      </c>
    </row>
    <row r="44646" customHeight="1" spans="2:2">
      <c r="B44646" s="62" t="str">
        <f>IF(AND('领用录入（明细）'!D:D=$F$4,'领用录入（明细）'!C:C&gt;=$J$4,'领用录入（明细）'!C:C&lt;=$L$4),ROW(),"-")</f>
        <v>-</v>
      </c>
    </row>
    <row r="44647" customHeight="1" spans="2:2">
      <c r="B44647" s="62" t="str">
        <f>IF(AND('领用录入（明细）'!D:D=$F$4,'领用录入（明细）'!C:C&gt;=$J$4,'领用录入（明细）'!C:C&lt;=$L$4),ROW(),"-")</f>
        <v>-</v>
      </c>
    </row>
    <row r="44648" customHeight="1" spans="2:2">
      <c r="B44648" s="62" t="str">
        <f>IF(AND('领用录入（明细）'!D:D=$F$4,'领用录入（明细）'!C:C&gt;=$J$4,'领用录入（明细）'!C:C&lt;=$L$4),ROW(),"-")</f>
        <v>-</v>
      </c>
    </row>
    <row r="44649" customHeight="1" spans="2:2">
      <c r="B44649" s="62" t="str">
        <f>IF(AND('领用录入（明细）'!D:D=$F$4,'领用录入（明细）'!C:C&gt;=$J$4,'领用录入（明细）'!C:C&lt;=$L$4),ROW(),"-")</f>
        <v>-</v>
      </c>
    </row>
    <row r="44650" customHeight="1" spans="2:2">
      <c r="B44650" s="62" t="str">
        <f>IF(AND('领用录入（明细）'!D:D=$F$4,'领用录入（明细）'!C:C&gt;=$J$4,'领用录入（明细）'!C:C&lt;=$L$4),ROW(),"-")</f>
        <v>-</v>
      </c>
    </row>
    <row r="44651" customHeight="1" spans="2:2">
      <c r="B44651" s="62" t="str">
        <f>IF(AND('领用录入（明细）'!D:D=$F$4,'领用录入（明细）'!C:C&gt;=$J$4,'领用录入（明细）'!C:C&lt;=$L$4),ROW(),"-")</f>
        <v>-</v>
      </c>
    </row>
    <row r="44652" customHeight="1" spans="2:2">
      <c r="B44652" s="62" t="str">
        <f>IF(AND('领用录入（明细）'!D:D=$F$4,'领用录入（明细）'!C:C&gt;=$J$4,'领用录入（明细）'!C:C&lt;=$L$4),ROW(),"-")</f>
        <v>-</v>
      </c>
    </row>
    <row r="44653" customHeight="1" spans="2:2">
      <c r="B44653" s="62" t="str">
        <f>IF(AND('领用录入（明细）'!D:D=$F$4,'领用录入（明细）'!C:C&gt;=$J$4,'领用录入（明细）'!C:C&lt;=$L$4),ROW(),"-")</f>
        <v>-</v>
      </c>
    </row>
    <row r="44654" customHeight="1" spans="2:2">
      <c r="B44654" s="62" t="str">
        <f>IF(AND('领用录入（明细）'!D:D=$F$4,'领用录入（明细）'!C:C&gt;=$J$4,'领用录入（明细）'!C:C&lt;=$L$4),ROW(),"-")</f>
        <v>-</v>
      </c>
    </row>
    <row r="44655" customHeight="1" spans="2:2">
      <c r="B44655" s="62" t="str">
        <f>IF(AND('领用录入（明细）'!D:D=$F$4,'领用录入（明细）'!C:C&gt;=$J$4,'领用录入（明细）'!C:C&lt;=$L$4),ROW(),"-")</f>
        <v>-</v>
      </c>
    </row>
    <row r="44656" customHeight="1" spans="2:2">
      <c r="B44656" s="62" t="str">
        <f>IF(AND('领用录入（明细）'!D:D=$F$4,'领用录入（明细）'!C:C&gt;=$J$4,'领用录入（明细）'!C:C&lt;=$L$4),ROW(),"-")</f>
        <v>-</v>
      </c>
    </row>
    <row r="44657" customHeight="1" spans="2:2">
      <c r="B44657" s="62" t="str">
        <f>IF(AND('领用录入（明细）'!D:D=$F$4,'领用录入（明细）'!C:C&gt;=$J$4,'领用录入（明细）'!C:C&lt;=$L$4),ROW(),"-")</f>
        <v>-</v>
      </c>
    </row>
    <row r="44658" customHeight="1" spans="2:2">
      <c r="B44658" s="62" t="str">
        <f>IF(AND('领用录入（明细）'!D:D=$F$4,'领用录入（明细）'!C:C&gt;=$J$4,'领用录入（明细）'!C:C&lt;=$L$4),ROW(),"-")</f>
        <v>-</v>
      </c>
    </row>
    <row r="44659" customHeight="1" spans="2:2">
      <c r="B44659" s="62" t="str">
        <f>IF(AND('领用录入（明细）'!D:D=$F$4,'领用录入（明细）'!C:C&gt;=$J$4,'领用录入（明细）'!C:C&lt;=$L$4),ROW(),"-")</f>
        <v>-</v>
      </c>
    </row>
    <row r="44660" customHeight="1" spans="2:2">
      <c r="B44660" s="62" t="str">
        <f>IF(AND('领用录入（明细）'!D:D=$F$4,'领用录入（明细）'!C:C&gt;=$J$4,'领用录入（明细）'!C:C&lt;=$L$4),ROW(),"-")</f>
        <v>-</v>
      </c>
    </row>
    <row r="44661" customHeight="1" spans="2:2">
      <c r="B44661" s="62" t="str">
        <f>IF(AND('领用录入（明细）'!D:D=$F$4,'领用录入（明细）'!C:C&gt;=$J$4,'领用录入（明细）'!C:C&lt;=$L$4),ROW(),"-")</f>
        <v>-</v>
      </c>
    </row>
    <row r="44662" customHeight="1" spans="2:2">
      <c r="B44662" s="62" t="str">
        <f>IF(AND('领用录入（明细）'!D:D=$F$4,'领用录入（明细）'!C:C&gt;=$J$4,'领用录入（明细）'!C:C&lt;=$L$4),ROW(),"-")</f>
        <v>-</v>
      </c>
    </row>
    <row r="44663" customHeight="1" spans="2:2">
      <c r="B44663" s="62" t="str">
        <f>IF(AND('领用录入（明细）'!D:D=$F$4,'领用录入（明细）'!C:C&gt;=$J$4,'领用录入（明细）'!C:C&lt;=$L$4),ROW(),"-")</f>
        <v>-</v>
      </c>
    </row>
    <row r="44664" customHeight="1" spans="2:2">
      <c r="B44664" s="62" t="str">
        <f>IF(AND('领用录入（明细）'!D:D=$F$4,'领用录入（明细）'!C:C&gt;=$J$4,'领用录入（明细）'!C:C&lt;=$L$4),ROW(),"-")</f>
        <v>-</v>
      </c>
    </row>
    <row r="44665" customHeight="1" spans="2:2">
      <c r="B44665" s="62" t="str">
        <f>IF(AND('领用录入（明细）'!D:D=$F$4,'领用录入（明细）'!C:C&gt;=$J$4,'领用录入（明细）'!C:C&lt;=$L$4),ROW(),"-")</f>
        <v>-</v>
      </c>
    </row>
    <row r="44666" customHeight="1" spans="2:2">
      <c r="B44666" s="62" t="str">
        <f>IF(AND('领用录入（明细）'!D:D=$F$4,'领用录入（明细）'!C:C&gt;=$J$4,'领用录入（明细）'!C:C&lt;=$L$4),ROW(),"-")</f>
        <v>-</v>
      </c>
    </row>
    <row r="44667" customHeight="1" spans="2:2">
      <c r="B44667" s="62" t="str">
        <f>IF(AND('领用录入（明细）'!D:D=$F$4,'领用录入（明细）'!C:C&gt;=$J$4,'领用录入（明细）'!C:C&lt;=$L$4),ROW(),"-")</f>
        <v>-</v>
      </c>
    </row>
    <row r="44668" customHeight="1" spans="2:2">
      <c r="B44668" s="62" t="str">
        <f>IF(AND('领用录入（明细）'!D:D=$F$4,'领用录入（明细）'!C:C&gt;=$J$4,'领用录入（明细）'!C:C&lt;=$L$4),ROW(),"-")</f>
        <v>-</v>
      </c>
    </row>
    <row r="44669" customHeight="1" spans="2:2">
      <c r="B44669" s="62" t="str">
        <f>IF(AND('领用录入（明细）'!D:D=$F$4,'领用录入（明细）'!C:C&gt;=$J$4,'领用录入（明细）'!C:C&lt;=$L$4),ROW(),"-")</f>
        <v>-</v>
      </c>
    </row>
    <row r="44670" customHeight="1" spans="2:2">
      <c r="B44670" s="62" t="str">
        <f>IF(AND('领用录入（明细）'!D:D=$F$4,'领用录入（明细）'!C:C&gt;=$J$4,'领用录入（明细）'!C:C&lt;=$L$4),ROW(),"-")</f>
        <v>-</v>
      </c>
    </row>
    <row r="44671" customHeight="1" spans="2:2">
      <c r="B44671" s="62" t="str">
        <f>IF(AND('领用录入（明细）'!D:D=$F$4,'领用录入（明细）'!C:C&gt;=$J$4,'领用录入（明细）'!C:C&lt;=$L$4),ROW(),"-")</f>
        <v>-</v>
      </c>
    </row>
    <row r="44672" customHeight="1" spans="2:2">
      <c r="B44672" s="62" t="str">
        <f>IF(AND('领用录入（明细）'!D:D=$F$4,'领用录入（明细）'!C:C&gt;=$J$4,'领用录入（明细）'!C:C&lt;=$L$4),ROW(),"-")</f>
        <v>-</v>
      </c>
    </row>
    <row r="44673" customHeight="1" spans="2:2">
      <c r="B44673" s="62" t="str">
        <f>IF(AND('领用录入（明细）'!D:D=$F$4,'领用录入（明细）'!C:C&gt;=$J$4,'领用录入（明细）'!C:C&lt;=$L$4),ROW(),"-")</f>
        <v>-</v>
      </c>
    </row>
    <row r="44674" customHeight="1" spans="2:2">
      <c r="B44674" s="62" t="str">
        <f>IF(AND('领用录入（明细）'!D:D=$F$4,'领用录入（明细）'!C:C&gt;=$J$4,'领用录入（明细）'!C:C&lt;=$L$4),ROW(),"-")</f>
        <v>-</v>
      </c>
    </row>
    <row r="44675" customHeight="1" spans="2:2">
      <c r="B44675" s="62" t="str">
        <f>IF(AND('领用录入（明细）'!D:D=$F$4,'领用录入（明细）'!C:C&gt;=$J$4,'领用录入（明细）'!C:C&lt;=$L$4),ROW(),"-")</f>
        <v>-</v>
      </c>
    </row>
    <row r="44676" customHeight="1" spans="2:2">
      <c r="B44676" s="62" t="str">
        <f>IF(AND('领用录入（明细）'!D:D=$F$4,'领用录入（明细）'!C:C&gt;=$J$4,'领用录入（明细）'!C:C&lt;=$L$4),ROW(),"-")</f>
        <v>-</v>
      </c>
    </row>
    <row r="44677" customHeight="1" spans="2:2">
      <c r="B44677" s="62" t="str">
        <f>IF(AND('领用录入（明细）'!D:D=$F$4,'领用录入（明细）'!C:C&gt;=$J$4,'领用录入（明细）'!C:C&lt;=$L$4),ROW(),"-")</f>
        <v>-</v>
      </c>
    </row>
    <row r="44678" customHeight="1" spans="2:2">
      <c r="B44678" s="62" t="str">
        <f>IF(AND('领用录入（明细）'!D:D=$F$4,'领用录入（明细）'!C:C&gt;=$J$4,'领用录入（明细）'!C:C&lt;=$L$4),ROW(),"-")</f>
        <v>-</v>
      </c>
    </row>
    <row r="44679" customHeight="1" spans="2:2">
      <c r="B44679" s="62" t="str">
        <f>IF(AND('领用录入（明细）'!D:D=$F$4,'领用录入（明细）'!C:C&gt;=$J$4,'领用录入（明细）'!C:C&lt;=$L$4),ROW(),"-")</f>
        <v>-</v>
      </c>
    </row>
    <row r="44680" customHeight="1" spans="2:2">
      <c r="B44680" s="62" t="str">
        <f>IF(AND('领用录入（明细）'!D:D=$F$4,'领用录入（明细）'!C:C&gt;=$J$4,'领用录入（明细）'!C:C&lt;=$L$4),ROW(),"-")</f>
        <v>-</v>
      </c>
    </row>
    <row r="44681" customHeight="1" spans="2:2">
      <c r="B44681" s="62" t="str">
        <f>IF(AND('领用录入（明细）'!D:D=$F$4,'领用录入（明细）'!C:C&gt;=$J$4,'领用录入（明细）'!C:C&lt;=$L$4),ROW(),"-")</f>
        <v>-</v>
      </c>
    </row>
    <row r="44682" customHeight="1" spans="2:2">
      <c r="B44682" s="62" t="str">
        <f>IF(AND('领用录入（明细）'!D:D=$F$4,'领用录入（明细）'!C:C&gt;=$J$4,'领用录入（明细）'!C:C&lt;=$L$4),ROW(),"-")</f>
        <v>-</v>
      </c>
    </row>
    <row r="44683" customHeight="1" spans="2:2">
      <c r="B44683" s="62" t="str">
        <f>IF(AND('领用录入（明细）'!D:D=$F$4,'领用录入（明细）'!C:C&gt;=$J$4,'领用录入（明细）'!C:C&lt;=$L$4),ROW(),"-")</f>
        <v>-</v>
      </c>
    </row>
    <row r="44684" customHeight="1" spans="2:2">
      <c r="B44684" s="62" t="str">
        <f>IF(AND('领用录入（明细）'!D:D=$F$4,'领用录入（明细）'!C:C&gt;=$J$4,'领用录入（明细）'!C:C&lt;=$L$4),ROW(),"-")</f>
        <v>-</v>
      </c>
    </row>
    <row r="44685" customHeight="1" spans="2:2">
      <c r="B44685" s="62" t="str">
        <f>IF(AND('领用录入（明细）'!D:D=$F$4,'领用录入（明细）'!C:C&gt;=$J$4,'领用录入（明细）'!C:C&lt;=$L$4),ROW(),"-")</f>
        <v>-</v>
      </c>
    </row>
    <row r="44686" customHeight="1" spans="2:2">
      <c r="B44686" s="62" t="str">
        <f>IF(AND('领用录入（明细）'!D:D=$F$4,'领用录入（明细）'!C:C&gt;=$J$4,'领用录入（明细）'!C:C&lt;=$L$4),ROW(),"-")</f>
        <v>-</v>
      </c>
    </row>
    <row r="44687" customHeight="1" spans="2:2">
      <c r="B44687" s="62" t="str">
        <f>IF(AND('领用录入（明细）'!D:D=$F$4,'领用录入（明细）'!C:C&gt;=$J$4,'领用录入（明细）'!C:C&lt;=$L$4),ROW(),"-")</f>
        <v>-</v>
      </c>
    </row>
    <row r="44688" customHeight="1" spans="2:2">
      <c r="B44688" s="62" t="str">
        <f>IF(AND('领用录入（明细）'!D:D=$F$4,'领用录入（明细）'!C:C&gt;=$J$4,'领用录入（明细）'!C:C&lt;=$L$4),ROW(),"-")</f>
        <v>-</v>
      </c>
    </row>
    <row r="44689" customHeight="1" spans="2:2">
      <c r="B44689" s="62" t="str">
        <f>IF(AND('领用录入（明细）'!D:D=$F$4,'领用录入（明细）'!C:C&gt;=$J$4,'领用录入（明细）'!C:C&lt;=$L$4),ROW(),"-")</f>
        <v>-</v>
      </c>
    </row>
    <row r="44690" customHeight="1" spans="2:2">
      <c r="B44690" s="62" t="str">
        <f>IF(AND('领用录入（明细）'!D:D=$F$4,'领用录入（明细）'!C:C&gt;=$J$4,'领用录入（明细）'!C:C&lt;=$L$4),ROW(),"-")</f>
        <v>-</v>
      </c>
    </row>
    <row r="44691" customHeight="1" spans="2:2">
      <c r="B44691" s="62" t="str">
        <f>IF(AND('领用录入（明细）'!D:D=$F$4,'领用录入（明细）'!C:C&gt;=$J$4,'领用录入（明细）'!C:C&lt;=$L$4),ROW(),"-")</f>
        <v>-</v>
      </c>
    </row>
    <row r="44692" customHeight="1" spans="2:2">
      <c r="B44692" s="62" t="str">
        <f>IF(AND('领用录入（明细）'!D:D=$F$4,'领用录入（明细）'!C:C&gt;=$J$4,'领用录入（明细）'!C:C&lt;=$L$4),ROW(),"-")</f>
        <v>-</v>
      </c>
    </row>
    <row r="44693" customHeight="1" spans="2:2">
      <c r="B44693" s="62" t="str">
        <f>IF(AND('领用录入（明细）'!D:D=$F$4,'领用录入（明细）'!C:C&gt;=$J$4,'领用录入（明细）'!C:C&lt;=$L$4),ROW(),"-")</f>
        <v>-</v>
      </c>
    </row>
    <row r="44694" customHeight="1" spans="2:2">
      <c r="B44694" s="62" t="str">
        <f>IF(AND('领用录入（明细）'!D:D=$F$4,'领用录入（明细）'!C:C&gt;=$J$4,'领用录入（明细）'!C:C&lt;=$L$4),ROW(),"-")</f>
        <v>-</v>
      </c>
    </row>
    <row r="44695" customHeight="1" spans="2:2">
      <c r="B44695" s="62" t="str">
        <f>IF(AND('领用录入（明细）'!D:D=$F$4,'领用录入（明细）'!C:C&gt;=$J$4,'领用录入（明细）'!C:C&lt;=$L$4),ROW(),"-")</f>
        <v>-</v>
      </c>
    </row>
    <row r="44696" customHeight="1" spans="2:2">
      <c r="B44696" s="62" t="str">
        <f>IF(AND('领用录入（明细）'!D:D=$F$4,'领用录入（明细）'!C:C&gt;=$J$4,'领用录入（明细）'!C:C&lt;=$L$4),ROW(),"-")</f>
        <v>-</v>
      </c>
    </row>
    <row r="44697" customHeight="1" spans="2:2">
      <c r="B44697" s="62" t="str">
        <f>IF(AND('领用录入（明细）'!D:D=$F$4,'领用录入（明细）'!C:C&gt;=$J$4,'领用录入（明细）'!C:C&lt;=$L$4),ROW(),"-")</f>
        <v>-</v>
      </c>
    </row>
    <row r="44698" customHeight="1" spans="2:2">
      <c r="B44698" s="62" t="str">
        <f>IF(AND('领用录入（明细）'!D:D=$F$4,'领用录入（明细）'!C:C&gt;=$J$4,'领用录入（明细）'!C:C&lt;=$L$4),ROW(),"-")</f>
        <v>-</v>
      </c>
    </row>
    <row r="44699" customHeight="1" spans="2:2">
      <c r="B44699" s="62" t="str">
        <f>IF(AND('领用录入（明细）'!D:D=$F$4,'领用录入（明细）'!C:C&gt;=$J$4,'领用录入（明细）'!C:C&lt;=$L$4),ROW(),"-")</f>
        <v>-</v>
      </c>
    </row>
    <row r="44700" customHeight="1" spans="2:2">
      <c r="B44700" s="62" t="str">
        <f>IF(AND('领用录入（明细）'!D:D=$F$4,'领用录入（明细）'!C:C&gt;=$J$4,'领用录入（明细）'!C:C&lt;=$L$4),ROW(),"-")</f>
        <v>-</v>
      </c>
    </row>
    <row r="44701" customHeight="1" spans="2:2">
      <c r="B44701" s="62" t="str">
        <f>IF(AND('领用录入（明细）'!D:D=$F$4,'领用录入（明细）'!C:C&gt;=$J$4,'领用录入（明细）'!C:C&lt;=$L$4),ROW(),"-")</f>
        <v>-</v>
      </c>
    </row>
    <row r="44702" customHeight="1" spans="2:2">
      <c r="B44702" s="62" t="str">
        <f>IF(AND('领用录入（明细）'!D:D=$F$4,'领用录入（明细）'!C:C&gt;=$J$4,'领用录入（明细）'!C:C&lt;=$L$4),ROW(),"-")</f>
        <v>-</v>
      </c>
    </row>
    <row r="44703" customHeight="1" spans="2:2">
      <c r="B44703" s="62" t="str">
        <f>IF(AND('领用录入（明细）'!D:D=$F$4,'领用录入（明细）'!C:C&gt;=$J$4,'领用录入（明细）'!C:C&lt;=$L$4),ROW(),"-")</f>
        <v>-</v>
      </c>
    </row>
    <row r="44704" customHeight="1" spans="2:2">
      <c r="B44704" s="62" t="str">
        <f>IF(AND('领用录入（明细）'!D:D=$F$4,'领用录入（明细）'!C:C&gt;=$J$4,'领用录入（明细）'!C:C&lt;=$L$4),ROW(),"-")</f>
        <v>-</v>
      </c>
    </row>
    <row r="44705" customHeight="1" spans="2:2">
      <c r="B44705" s="62" t="str">
        <f>IF(AND('领用录入（明细）'!D:D=$F$4,'领用录入（明细）'!C:C&gt;=$J$4,'领用录入（明细）'!C:C&lt;=$L$4),ROW(),"-")</f>
        <v>-</v>
      </c>
    </row>
    <row r="44706" customHeight="1" spans="2:2">
      <c r="B44706" s="62" t="str">
        <f>IF(AND('领用录入（明细）'!D:D=$F$4,'领用录入（明细）'!C:C&gt;=$J$4,'领用录入（明细）'!C:C&lt;=$L$4),ROW(),"-")</f>
        <v>-</v>
      </c>
    </row>
    <row r="44707" customHeight="1" spans="2:2">
      <c r="B44707" s="62" t="str">
        <f>IF(AND('领用录入（明细）'!D:D=$F$4,'领用录入（明细）'!C:C&gt;=$J$4,'领用录入（明细）'!C:C&lt;=$L$4),ROW(),"-")</f>
        <v>-</v>
      </c>
    </row>
    <row r="44708" customHeight="1" spans="2:2">
      <c r="B44708" s="62" t="str">
        <f>IF(AND('领用录入（明细）'!D:D=$F$4,'领用录入（明细）'!C:C&gt;=$J$4,'领用录入（明细）'!C:C&lt;=$L$4),ROW(),"-")</f>
        <v>-</v>
      </c>
    </row>
    <row r="44709" customHeight="1" spans="2:2">
      <c r="B44709" s="62" t="str">
        <f>IF(AND('领用录入（明细）'!D:D=$F$4,'领用录入（明细）'!C:C&gt;=$J$4,'领用录入（明细）'!C:C&lt;=$L$4),ROW(),"-")</f>
        <v>-</v>
      </c>
    </row>
    <row r="44710" customHeight="1" spans="2:2">
      <c r="B44710" s="62" t="str">
        <f>IF(AND('领用录入（明细）'!D:D=$F$4,'领用录入（明细）'!C:C&gt;=$J$4,'领用录入（明细）'!C:C&lt;=$L$4),ROW(),"-")</f>
        <v>-</v>
      </c>
    </row>
    <row r="44711" customHeight="1" spans="2:2">
      <c r="B44711" s="62" t="str">
        <f>IF(AND('领用录入（明细）'!D:D=$F$4,'领用录入（明细）'!C:C&gt;=$J$4,'领用录入（明细）'!C:C&lt;=$L$4),ROW(),"-")</f>
        <v>-</v>
      </c>
    </row>
    <row r="44712" customHeight="1" spans="2:2">
      <c r="B44712" s="62" t="str">
        <f>IF(AND('领用录入（明细）'!D:D=$F$4,'领用录入（明细）'!C:C&gt;=$J$4,'领用录入（明细）'!C:C&lt;=$L$4),ROW(),"-")</f>
        <v>-</v>
      </c>
    </row>
    <row r="44713" customHeight="1" spans="2:2">
      <c r="B44713" s="62" t="str">
        <f>IF(AND('领用录入（明细）'!D:D=$F$4,'领用录入（明细）'!C:C&gt;=$J$4,'领用录入（明细）'!C:C&lt;=$L$4),ROW(),"-")</f>
        <v>-</v>
      </c>
    </row>
    <row r="44714" customHeight="1" spans="2:2">
      <c r="B44714" s="62" t="str">
        <f>IF(AND('领用录入（明细）'!D:D=$F$4,'领用录入（明细）'!C:C&gt;=$J$4,'领用录入（明细）'!C:C&lt;=$L$4),ROW(),"-")</f>
        <v>-</v>
      </c>
    </row>
    <row r="44715" customHeight="1" spans="2:2">
      <c r="B44715" s="62" t="str">
        <f>IF(AND('领用录入（明细）'!D:D=$F$4,'领用录入（明细）'!C:C&gt;=$J$4,'领用录入（明细）'!C:C&lt;=$L$4),ROW(),"-")</f>
        <v>-</v>
      </c>
    </row>
    <row r="44716" customHeight="1" spans="2:2">
      <c r="B44716" s="62" t="str">
        <f>IF(AND('领用录入（明细）'!D:D=$F$4,'领用录入（明细）'!C:C&gt;=$J$4,'领用录入（明细）'!C:C&lt;=$L$4),ROW(),"-")</f>
        <v>-</v>
      </c>
    </row>
    <row r="44717" customHeight="1" spans="2:2">
      <c r="B44717" s="62" t="str">
        <f>IF(AND('领用录入（明细）'!D:D=$F$4,'领用录入（明细）'!C:C&gt;=$J$4,'领用录入（明细）'!C:C&lt;=$L$4),ROW(),"-")</f>
        <v>-</v>
      </c>
    </row>
    <row r="44718" customHeight="1" spans="2:2">
      <c r="B44718" s="62" t="str">
        <f>IF(AND('领用录入（明细）'!D:D=$F$4,'领用录入（明细）'!C:C&gt;=$J$4,'领用录入（明细）'!C:C&lt;=$L$4),ROW(),"-")</f>
        <v>-</v>
      </c>
    </row>
    <row r="44719" customHeight="1" spans="2:2">
      <c r="B44719" s="62" t="str">
        <f>IF(AND('领用录入（明细）'!D:D=$F$4,'领用录入（明细）'!C:C&gt;=$J$4,'领用录入（明细）'!C:C&lt;=$L$4),ROW(),"-")</f>
        <v>-</v>
      </c>
    </row>
    <row r="44720" customHeight="1" spans="2:2">
      <c r="B44720" s="62" t="str">
        <f>IF(AND('领用录入（明细）'!D:D=$F$4,'领用录入（明细）'!C:C&gt;=$J$4,'领用录入（明细）'!C:C&lt;=$L$4),ROW(),"-")</f>
        <v>-</v>
      </c>
    </row>
    <row r="44721" customHeight="1" spans="2:2">
      <c r="B44721" s="62" t="str">
        <f>IF(AND('领用录入（明细）'!D:D=$F$4,'领用录入（明细）'!C:C&gt;=$J$4,'领用录入（明细）'!C:C&lt;=$L$4),ROW(),"-")</f>
        <v>-</v>
      </c>
    </row>
    <row r="44722" customHeight="1" spans="2:2">
      <c r="B44722" s="62" t="str">
        <f>IF(AND('领用录入（明细）'!D:D=$F$4,'领用录入（明细）'!C:C&gt;=$J$4,'领用录入（明细）'!C:C&lt;=$L$4),ROW(),"-")</f>
        <v>-</v>
      </c>
    </row>
    <row r="44723" customHeight="1" spans="2:2">
      <c r="B44723" s="62" t="str">
        <f>IF(AND('领用录入（明细）'!D:D=$F$4,'领用录入（明细）'!C:C&gt;=$J$4,'领用录入（明细）'!C:C&lt;=$L$4),ROW(),"-")</f>
        <v>-</v>
      </c>
    </row>
    <row r="44724" customHeight="1" spans="2:2">
      <c r="B44724" s="62" t="str">
        <f>IF(AND('领用录入（明细）'!D:D=$F$4,'领用录入（明细）'!C:C&gt;=$J$4,'领用录入（明细）'!C:C&lt;=$L$4),ROW(),"-")</f>
        <v>-</v>
      </c>
    </row>
    <row r="44725" customHeight="1" spans="2:2">
      <c r="B44725" s="62" t="str">
        <f>IF(AND('领用录入（明细）'!D:D=$F$4,'领用录入（明细）'!C:C&gt;=$J$4,'领用录入（明细）'!C:C&lt;=$L$4),ROW(),"-")</f>
        <v>-</v>
      </c>
    </row>
    <row r="44726" customHeight="1" spans="2:2">
      <c r="B44726" s="62" t="str">
        <f>IF(AND('领用录入（明细）'!D:D=$F$4,'领用录入（明细）'!C:C&gt;=$J$4,'领用录入（明细）'!C:C&lt;=$L$4),ROW(),"-")</f>
        <v>-</v>
      </c>
    </row>
    <row r="44727" customHeight="1" spans="2:2">
      <c r="B44727" s="62" t="str">
        <f>IF(AND('领用录入（明细）'!D:D=$F$4,'领用录入（明细）'!C:C&gt;=$J$4,'领用录入（明细）'!C:C&lt;=$L$4),ROW(),"-")</f>
        <v>-</v>
      </c>
    </row>
    <row r="44728" customHeight="1" spans="2:2">
      <c r="B44728" s="62" t="str">
        <f>IF(AND('领用录入（明细）'!D:D=$F$4,'领用录入（明细）'!C:C&gt;=$J$4,'领用录入（明细）'!C:C&lt;=$L$4),ROW(),"-")</f>
        <v>-</v>
      </c>
    </row>
    <row r="44729" customHeight="1" spans="2:2">
      <c r="B44729" s="62" t="str">
        <f>IF(AND('领用录入（明细）'!D:D=$F$4,'领用录入（明细）'!C:C&gt;=$J$4,'领用录入（明细）'!C:C&lt;=$L$4),ROW(),"-")</f>
        <v>-</v>
      </c>
    </row>
    <row r="44730" customHeight="1" spans="2:2">
      <c r="B44730" s="62" t="str">
        <f>IF(AND('领用录入（明细）'!D:D=$F$4,'领用录入（明细）'!C:C&gt;=$J$4,'领用录入（明细）'!C:C&lt;=$L$4),ROW(),"-")</f>
        <v>-</v>
      </c>
    </row>
    <row r="44731" customHeight="1" spans="2:2">
      <c r="B44731" s="62" t="str">
        <f>IF(AND('领用录入（明细）'!D:D=$F$4,'领用录入（明细）'!C:C&gt;=$J$4,'领用录入（明细）'!C:C&lt;=$L$4),ROW(),"-")</f>
        <v>-</v>
      </c>
    </row>
    <row r="44732" customHeight="1" spans="2:2">
      <c r="B44732" s="62" t="str">
        <f>IF(AND('领用录入（明细）'!D:D=$F$4,'领用录入（明细）'!C:C&gt;=$J$4,'领用录入（明细）'!C:C&lt;=$L$4),ROW(),"-")</f>
        <v>-</v>
      </c>
    </row>
    <row r="44733" customHeight="1" spans="2:2">
      <c r="B44733" s="62" t="str">
        <f>IF(AND('领用录入（明细）'!D:D=$F$4,'领用录入（明细）'!C:C&gt;=$J$4,'领用录入（明细）'!C:C&lt;=$L$4),ROW(),"-")</f>
        <v>-</v>
      </c>
    </row>
    <row r="44734" customHeight="1" spans="2:2">
      <c r="B44734" s="62" t="str">
        <f>IF(AND('领用录入（明细）'!D:D=$F$4,'领用录入（明细）'!C:C&gt;=$J$4,'领用录入（明细）'!C:C&lt;=$L$4),ROW(),"-")</f>
        <v>-</v>
      </c>
    </row>
    <row r="44735" customHeight="1" spans="2:2">
      <c r="B44735" s="62" t="str">
        <f>IF(AND('领用录入（明细）'!D:D=$F$4,'领用录入（明细）'!C:C&gt;=$J$4,'领用录入（明细）'!C:C&lt;=$L$4),ROW(),"-")</f>
        <v>-</v>
      </c>
    </row>
    <row r="44736" customHeight="1" spans="2:2">
      <c r="B44736" s="62" t="str">
        <f>IF(AND('领用录入（明细）'!D:D=$F$4,'领用录入（明细）'!C:C&gt;=$J$4,'领用录入（明细）'!C:C&lt;=$L$4),ROW(),"-")</f>
        <v>-</v>
      </c>
    </row>
    <row r="44737" customHeight="1" spans="2:2">
      <c r="B44737" s="62" t="str">
        <f>IF(AND('领用录入（明细）'!D:D=$F$4,'领用录入（明细）'!C:C&gt;=$J$4,'领用录入（明细）'!C:C&lt;=$L$4),ROW(),"-")</f>
        <v>-</v>
      </c>
    </row>
    <row r="44738" customHeight="1" spans="2:2">
      <c r="B44738" s="62" t="str">
        <f>IF(AND('领用录入（明细）'!D:D=$F$4,'领用录入（明细）'!C:C&gt;=$J$4,'领用录入（明细）'!C:C&lt;=$L$4),ROW(),"-")</f>
        <v>-</v>
      </c>
    </row>
    <row r="44739" customHeight="1" spans="2:2">
      <c r="B44739" s="62" t="str">
        <f>IF(AND('领用录入（明细）'!D:D=$F$4,'领用录入（明细）'!C:C&gt;=$J$4,'领用录入（明细）'!C:C&lt;=$L$4),ROW(),"-")</f>
        <v>-</v>
      </c>
    </row>
    <row r="44740" customHeight="1" spans="2:2">
      <c r="B44740" s="62" t="str">
        <f>IF(AND('领用录入（明细）'!D:D=$F$4,'领用录入（明细）'!C:C&gt;=$J$4,'领用录入（明细）'!C:C&lt;=$L$4),ROW(),"-")</f>
        <v>-</v>
      </c>
    </row>
    <row r="44741" customHeight="1" spans="2:2">
      <c r="B44741" s="62" t="str">
        <f>IF(AND('领用录入（明细）'!D:D=$F$4,'领用录入（明细）'!C:C&gt;=$J$4,'领用录入（明细）'!C:C&lt;=$L$4),ROW(),"-")</f>
        <v>-</v>
      </c>
    </row>
    <row r="44742" customHeight="1" spans="2:2">
      <c r="B44742" s="62" t="str">
        <f>IF(AND('领用录入（明细）'!D:D=$F$4,'领用录入（明细）'!C:C&gt;=$J$4,'领用录入（明细）'!C:C&lt;=$L$4),ROW(),"-")</f>
        <v>-</v>
      </c>
    </row>
    <row r="44743" customHeight="1" spans="2:2">
      <c r="B44743" s="62" t="str">
        <f>IF(AND('领用录入（明细）'!D:D=$F$4,'领用录入（明细）'!C:C&gt;=$J$4,'领用录入（明细）'!C:C&lt;=$L$4),ROW(),"-")</f>
        <v>-</v>
      </c>
    </row>
    <row r="44744" customHeight="1" spans="2:2">
      <c r="B44744" s="62" t="str">
        <f>IF(AND('领用录入（明细）'!D:D=$F$4,'领用录入（明细）'!C:C&gt;=$J$4,'领用录入（明细）'!C:C&lt;=$L$4),ROW(),"-")</f>
        <v>-</v>
      </c>
    </row>
    <row r="44745" customHeight="1" spans="2:2">
      <c r="B44745" s="62" t="str">
        <f>IF(AND('领用录入（明细）'!D:D=$F$4,'领用录入（明细）'!C:C&gt;=$J$4,'领用录入（明细）'!C:C&lt;=$L$4),ROW(),"-")</f>
        <v>-</v>
      </c>
    </row>
    <row r="44746" customHeight="1" spans="2:2">
      <c r="B44746" s="62" t="str">
        <f>IF(AND('领用录入（明细）'!D:D=$F$4,'领用录入（明细）'!C:C&gt;=$J$4,'领用录入（明细）'!C:C&lt;=$L$4),ROW(),"-")</f>
        <v>-</v>
      </c>
    </row>
    <row r="44747" customHeight="1" spans="2:2">
      <c r="B44747" s="62" t="str">
        <f>IF(AND('领用录入（明细）'!D:D=$F$4,'领用录入（明细）'!C:C&gt;=$J$4,'领用录入（明细）'!C:C&lt;=$L$4),ROW(),"-")</f>
        <v>-</v>
      </c>
    </row>
    <row r="44748" customHeight="1" spans="2:2">
      <c r="B44748" s="62" t="str">
        <f>IF(AND('领用录入（明细）'!D:D=$F$4,'领用录入（明细）'!C:C&gt;=$J$4,'领用录入（明细）'!C:C&lt;=$L$4),ROW(),"-")</f>
        <v>-</v>
      </c>
    </row>
    <row r="44749" customHeight="1" spans="2:2">
      <c r="B44749" s="62" t="str">
        <f>IF(AND('领用录入（明细）'!D:D=$F$4,'领用录入（明细）'!C:C&gt;=$J$4,'领用录入（明细）'!C:C&lt;=$L$4),ROW(),"-")</f>
        <v>-</v>
      </c>
    </row>
    <row r="44750" customHeight="1" spans="2:2">
      <c r="B44750" s="62" t="str">
        <f>IF(AND('领用录入（明细）'!D:D=$F$4,'领用录入（明细）'!C:C&gt;=$J$4,'领用录入（明细）'!C:C&lt;=$L$4),ROW(),"-")</f>
        <v>-</v>
      </c>
    </row>
    <row r="44751" customHeight="1" spans="2:2">
      <c r="B44751" s="62" t="str">
        <f>IF(AND('领用录入（明细）'!D:D=$F$4,'领用录入（明细）'!C:C&gt;=$J$4,'领用录入（明细）'!C:C&lt;=$L$4),ROW(),"-")</f>
        <v>-</v>
      </c>
    </row>
    <row r="44752" customHeight="1" spans="2:2">
      <c r="B44752" s="62" t="str">
        <f>IF(AND('领用录入（明细）'!D:D=$F$4,'领用录入（明细）'!C:C&gt;=$J$4,'领用录入（明细）'!C:C&lt;=$L$4),ROW(),"-")</f>
        <v>-</v>
      </c>
    </row>
    <row r="44753" customHeight="1" spans="2:2">
      <c r="B44753" s="62" t="str">
        <f>IF(AND('领用录入（明细）'!D:D=$F$4,'领用录入（明细）'!C:C&gt;=$J$4,'领用录入（明细）'!C:C&lt;=$L$4),ROW(),"-")</f>
        <v>-</v>
      </c>
    </row>
    <row r="44754" customHeight="1" spans="2:2">
      <c r="B44754" s="62" t="str">
        <f>IF(AND('领用录入（明细）'!D:D=$F$4,'领用录入（明细）'!C:C&gt;=$J$4,'领用录入（明细）'!C:C&lt;=$L$4),ROW(),"-")</f>
        <v>-</v>
      </c>
    </row>
    <row r="44755" customHeight="1" spans="2:2">
      <c r="B44755" s="62" t="str">
        <f>IF(AND('领用录入（明细）'!D:D=$F$4,'领用录入（明细）'!C:C&gt;=$J$4,'领用录入（明细）'!C:C&lt;=$L$4),ROW(),"-")</f>
        <v>-</v>
      </c>
    </row>
    <row r="44756" customHeight="1" spans="2:2">
      <c r="B44756" s="62" t="str">
        <f>IF(AND('领用录入（明细）'!D:D=$F$4,'领用录入（明细）'!C:C&gt;=$J$4,'领用录入（明细）'!C:C&lt;=$L$4),ROW(),"-")</f>
        <v>-</v>
      </c>
    </row>
    <row r="44757" customHeight="1" spans="2:2">
      <c r="B44757" s="62" t="str">
        <f>IF(AND('领用录入（明细）'!D:D=$F$4,'领用录入（明细）'!C:C&gt;=$J$4,'领用录入（明细）'!C:C&lt;=$L$4),ROW(),"-")</f>
        <v>-</v>
      </c>
    </row>
    <row r="44758" customHeight="1" spans="2:2">
      <c r="B44758" s="62" t="str">
        <f>IF(AND('领用录入（明细）'!D:D=$F$4,'领用录入（明细）'!C:C&gt;=$J$4,'领用录入（明细）'!C:C&lt;=$L$4),ROW(),"-")</f>
        <v>-</v>
      </c>
    </row>
    <row r="44759" customHeight="1" spans="2:2">
      <c r="B44759" s="62" t="str">
        <f>IF(AND('领用录入（明细）'!D:D=$F$4,'领用录入（明细）'!C:C&gt;=$J$4,'领用录入（明细）'!C:C&lt;=$L$4),ROW(),"-")</f>
        <v>-</v>
      </c>
    </row>
    <row r="44760" customHeight="1" spans="2:2">
      <c r="B44760" s="62" t="str">
        <f>IF(AND('领用录入（明细）'!D:D=$F$4,'领用录入（明细）'!C:C&gt;=$J$4,'领用录入（明细）'!C:C&lt;=$L$4),ROW(),"-")</f>
        <v>-</v>
      </c>
    </row>
    <row r="44761" customHeight="1" spans="2:2">
      <c r="B44761" s="62" t="str">
        <f>IF(AND('领用录入（明细）'!D:D=$F$4,'领用录入（明细）'!C:C&gt;=$J$4,'领用录入（明细）'!C:C&lt;=$L$4),ROW(),"-")</f>
        <v>-</v>
      </c>
    </row>
    <row r="44762" customHeight="1" spans="2:2">
      <c r="B44762" s="62" t="str">
        <f>IF(AND('领用录入（明细）'!D:D=$F$4,'领用录入（明细）'!C:C&gt;=$J$4,'领用录入（明细）'!C:C&lt;=$L$4),ROW(),"-")</f>
        <v>-</v>
      </c>
    </row>
    <row r="44763" customHeight="1" spans="2:2">
      <c r="B44763" s="62" t="str">
        <f>IF(AND('领用录入（明细）'!D:D=$F$4,'领用录入（明细）'!C:C&gt;=$J$4,'领用录入（明细）'!C:C&lt;=$L$4),ROW(),"-")</f>
        <v>-</v>
      </c>
    </row>
    <row r="44764" customHeight="1" spans="2:2">
      <c r="B44764" s="62" t="str">
        <f>IF(AND('领用录入（明细）'!D:D=$F$4,'领用录入（明细）'!C:C&gt;=$J$4,'领用录入（明细）'!C:C&lt;=$L$4),ROW(),"-")</f>
        <v>-</v>
      </c>
    </row>
    <row r="44765" customHeight="1" spans="2:2">
      <c r="B44765" s="62" t="str">
        <f>IF(AND('领用录入（明细）'!D:D=$F$4,'领用录入（明细）'!C:C&gt;=$J$4,'领用录入（明细）'!C:C&lt;=$L$4),ROW(),"-")</f>
        <v>-</v>
      </c>
    </row>
    <row r="44766" customHeight="1" spans="2:2">
      <c r="B44766" s="62" t="str">
        <f>IF(AND('领用录入（明细）'!D:D=$F$4,'领用录入（明细）'!C:C&gt;=$J$4,'领用录入（明细）'!C:C&lt;=$L$4),ROW(),"-")</f>
        <v>-</v>
      </c>
    </row>
    <row r="44767" customHeight="1" spans="2:2">
      <c r="B44767" s="62" t="str">
        <f>IF(AND('领用录入（明细）'!D:D=$F$4,'领用录入（明细）'!C:C&gt;=$J$4,'领用录入（明细）'!C:C&lt;=$L$4),ROW(),"-")</f>
        <v>-</v>
      </c>
    </row>
    <row r="44768" customHeight="1" spans="2:2">
      <c r="B44768" s="62" t="str">
        <f>IF(AND('领用录入（明细）'!D:D=$F$4,'领用录入（明细）'!C:C&gt;=$J$4,'领用录入（明细）'!C:C&lt;=$L$4),ROW(),"-")</f>
        <v>-</v>
      </c>
    </row>
    <row r="44769" customHeight="1" spans="2:2">
      <c r="B44769" s="62" t="str">
        <f>IF(AND('领用录入（明细）'!D:D=$F$4,'领用录入（明细）'!C:C&gt;=$J$4,'领用录入（明细）'!C:C&lt;=$L$4),ROW(),"-")</f>
        <v>-</v>
      </c>
    </row>
    <row r="44770" customHeight="1" spans="2:2">
      <c r="B44770" s="62" t="str">
        <f>IF(AND('领用录入（明细）'!D:D=$F$4,'领用录入（明细）'!C:C&gt;=$J$4,'领用录入（明细）'!C:C&lt;=$L$4),ROW(),"-")</f>
        <v>-</v>
      </c>
    </row>
    <row r="44771" customHeight="1" spans="2:2">
      <c r="B44771" s="62" t="str">
        <f>IF(AND('领用录入（明细）'!D:D=$F$4,'领用录入（明细）'!C:C&gt;=$J$4,'领用录入（明细）'!C:C&lt;=$L$4),ROW(),"-")</f>
        <v>-</v>
      </c>
    </row>
    <row r="44772" customHeight="1" spans="2:2">
      <c r="B44772" s="62" t="str">
        <f>IF(AND('领用录入（明细）'!D:D=$F$4,'领用录入（明细）'!C:C&gt;=$J$4,'领用录入（明细）'!C:C&lt;=$L$4),ROW(),"-")</f>
        <v>-</v>
      </c>
    </row>
    <row r="44773" customHeight="1" spans="2:2">
      <c r="B44773" s="62" t="str">
        <f>IF(AND('领用录入（明细）'!D:D=$F$4,'领用录入（明细）'!C:C&gt;=$J$4,'领用录入（明细）'!C:C&lt;=$L$4),ROW(),"-")</f>
        <v>-</v>
      </c>
    </row>
    <row r="44774" customHeight="1" spans="2:2">
      <c r="B44774" s="62" t="str">
        <f>IF(AND('领用录入（明细）'!D:D=$F$4,'领用录入（明细）'!C:C&gt;=$J$4,'领用录入（明细）'!C:C&lt;=$L$4),ROW(),"-")</f>
        <v>-</v>
      </c>
    </row>
    <row r="44775" customHeight="1" spans="2:2">
      <c r="B44775" s="62" t="str">
        <f>IF(AND('领用录入（明细）'!D:D=$F$4,'领用录入（明细）'!C:C&gt;=$J$4,'领用录入（明细）'!C:C&lt;=$L$4),ROW(),"-")</f>
        <v>-</v>
      </c>
    </row>
    <row r="44776" customHeight="1" spans="2:2">
      <c r="B44776" s="62" t="str">
        <f>IF(AND('领用录入（明细）'!D:D=$F$4,'领用录入（明细）'!C:C&gt;=$J$4,'领用录入（明细）'!C:C&lt;=$L$4),ROW(),"-")</f>
        <v>-</v>
      </c>
    </row>
    <row r="44777" customHeight="1" spans="2:2">
      <c r="B44777" s="62" t="str">
        <f>IF(AND('领用录入（明细）'!D:D=$F$4,'领用录入（明细）'!C:C&gt;=$J$4,'领用录入（明细）'!C:C&lt;=$L$4),ROW(),"-")</f>
        <v>-</v>
      </c>
    </row>
    <row r="44778" customHeight="1" spans="2:2">
      <c r="B44778" s="62" t="str">
        <f>IF(AND('领用录入（明细）'!D:D=$F$4,'领用录入（明细）'!C:C&gt;=$J$4,'领用录入（明细）'!C:C&lt;=$L$4),ROW(),"-")</f>
        <v>-</v>
      </c>
    </row>
    <row r="44779" customHeight="1" spans="2:2">
      <c r="B44779" s="62" t="str">
        <f>IF(AND('领用录入（明细）'!D:D=$F$4,'领用录入（明细）'!C:C&gt;=$J$4,'领用录入（明细）'!C:C&lt;=$L$4),ROW(),"-")</f>
        <v>-</v>
      </c>
    </row>
    <row r="44780" customHeight="1" spans="2:2">
      <c r="B44780" s="62" t="str">
        <f>IF(AND('领用录入（明细）'!D:D=$F$4,'领用录入（明细）'!C:C&gt;=$J$4,'领用录入（明细）'!C:C&lt;=$L$4),ROW(),"-")</f>
        <v>-</v>
      </c>
    </row>
    <row r="44781" customHeight="1" spans="2:2">
      <c r="B44781" s="62" t="str">
        <f>IF(AND('领用录入（明细）'!D:D=$F$4,'领用录入（明细）'!C:C&gt;=$J$4,'领用录入（明细）'!C:C&lt;=$L$4),ROW(),"-")</f>
        <v>-</v>
      </c>
    </row>
    <row r="44782" customHeight="1" spans="2:2">
      <c r="B44782" s="62" t="str">
        <f>IF(AND('领用录入（明细）'!D:D=$F$4,'领用录入（明细）'!C:C&gt;=$J$4,'领用录入（明细）'!C:C&lt;=$L$4),ROW(),"-")</f>
        <v>-</v>
      </c>
    </row>
    <row r="44783" customHeight="1" spans="2:2">
      <c r="B44783" s="62" t="str">
        <f>IF(AND('领用录入（明细）'!D:D=$F$4,'领用录入（明细）'!C:C&gt;=$J$4,'领用录入（明细）'!C:C&lt;=$L$4),ROW(),"-")</f>
        <v>-</v>
      </c>
    </row>
    <row r="44784" customHeight="1" spans="2:2">
      <c r="B44784" s="62" t="str">
        <f>IF(AND('领用录入（明细）'!D:D=$F$4,'领用录入（明细）'!C:C&gt;=$J$4,'领用录入（明细）'!C:C&lt;=$L$4),ROW(),"-")</f>
        <v>-</v>
      </c>
    </row>
    <row r="44785" customHeight="1" spans="2:2">
      <c r="B44785" s="62" t="str">
        <f>IF(AND('领用录入（明细）'!D:D=$F$4,'领用录入（明细）'!C:C&gt;=$J$4,'领用录入（明细）'!C:C&lt;=$L$4),ROW(),"-")</f>
        <v>-</v>
      </c>
    </row>
    <row r="44786" customHeight="1" spans="2:2">
      <c r="B44786" s="62" t="str">
        <f>IF(AND('领用录入（明细）'!D:D=$F$4,'领用录入（明细）'!C:C&gt;=$J$4,'领用录入（明细）'!C:C&lt;=$L$4),ROW(),"-")</f>
        <v>-</v>
      </c>
    </row>
    <row r="44787" customHeight="1" spans="2:2">
      <c r="B44787" s="62" t="str">
        <f>IF(AND('领用录入（明细）'!D:D=$F$4,'领用录入（明细）'!C:C&gt;=$J$4,'领用录入（明细）'!C:C&lt;=$L$4),ROW(),"-")</f>
        <v>-</v>
      </c>
    </row>
    <row r="44788" customHeight="1" spans="2:2">
      <c r="B44788" s="62" t="str">
        <f>IF(AND('领用录入（明细）'!D:D=$F$4,'领用录入（明细）'!C:C&gt;=$J$4,'领用录入（明细）'!C:C&lt;=$L$4),ROW(),"-")</f>
        <v>-</v>
      </c>
    </row>
    <row r="44789" customHeight="1" spans="2:2">
      <c r="B44789" s="62" t="str">
        <f>IF(AND('领用录入（明细）'!D:D=$F$4,'领用录入（明细）'!C:C&gt;=$J$4,'领用录入（明细）'!C:C&lt;=$L$4),ROW(),"-")</f>
        <v>-</v>
      </c>
    </row>
    <row r="44790" customHeight="1" spans="2:2">
      <c r="B44790" s="62" t="str">
        <f>IF(AND('领用录入（明细）'!D:D=$F$4,'领用录入（明细）'!C:C&gt;=$J$4,'领用录入（明细）'!C:C&lt;=$L$4),ROW(),"-")</f>
        <v>-</v>
      </c>
    </row>
    <row r="44791" customHeight="1" spans="2:2">
      <c r="B44791" s="62" t="str">
        <f>IF(AND('领用录入（明细）'!D:D=$F$4,'领用录入（明细）'!C:C&gt;=$J$4,'领用录入（明细）'!C:C&lt;=$L$4),ROW(),"-")</f>
        <v>-</v>
      </c>
    </row>
    <row r="44792" customHeight="1" spans="2:2">
      <c r="B44792" s="62" t="str">
        <f>IF(AND('领用录入（明细）'!D:D=$F$4,'领用录入（明细）'!C:C&gt;=$J$4,'领用录入（明细）'!C:C&lt;=$L$4),ROW(),"-")</f>
        <v>-</v>
      </c>
    </row>
    <row r="44793" customHeight="1" spans="2:2">
      <c r="B44793" s="62" t="str">
        <f>IF(AND('领用录入（明细）'!D:D=$F$4,'领用录入（明细）'!C:C&gt;=$J$4,'领用录入（明细）'!C:C&lt;=$L$4),ROW(),"-")</f>
        <v>-</v>
      </c>
    </row>
    <row r="44794" customHeight="1" spans="2:2">
      <c r="B44794" s="62" t="str">
        <f>IF(AND('领用录入（明细）'!D:D=$F$4,'领用录入（明细）'!C:C&gt;=$J$4,'领用录入（明细）'!C:C&lt;=$L$4),ROW(),"-")</f>
        <v>-</v>
      </c>
    </row>
    <row r="44795" customHeight="1" spans="2:2">
      <c r="B44795" s="62" t="str">
        <f>IF(AND('领用录入（明细）'!D:D=$F$4,'领用录入（明细）'!C:C&gt;=$J$4,'领用录入（明细）'!C:C&lt;=$L$4),ROW(),"-")</f>
        <v>-</v>
      </c>
    </row>
    <row r="44796" customHeight="1" spans="2:2">
      <c r="B44796" s="62" t="str">
        <f>IF(AND('领用录入（明细）'!D:D=$F$4,'领用录入（明细）'!C:C&gt;=$J$4,'领用录入（明细）'!C:C&lt;=$L$4),ROW(),"-")</f>
        <v>-</v>
      </c>
    </row>
    <row r="44797" customHeight="1" spans="2:2">
      <c r="B44797" s="62" t="str">
        <f>IF(AND('领用录入（明细）'!D:D=$F$4,'领用录入（明细）'!C:C&gt;=$J$4,'领用录入（明细）'!C:C&lt;=$L$4),ROW(),"-")</f>
        <v>-</v>
      </c>
    </row>
    <row r="44798" customHeight="1" spans="2:2">
      <c r="B44798" s="62" t="str">
        <f>IF(AND('领用录入（明细）'!D:D=$F$4,'领用录入（明细）'!C:C&gt;=$J$4,'领用录入（明细）'!C:C&lt;=$L$4),ROW(),"-")</f>
        <v>-</v>
      </c>
    </row>
    <row r="44799" customHeight="1" spans="2:2">
      <c r="B44799" s="62" t="str">
        <f>IF(AND('领用录入（明细）'!D:D=$F$4,'领用录入（明细）'!C:C&gt;=$J$4,'领用录入（明细）'!C:C&lt;=$L$4),ROW(),"-")</f>
        <v>-</v>
      </c>
    </row>
    <row r="44800" customHeight="1" spans="2:2">
      <c r="B44800" s="62" t="str">
        <f>IF(AND('领用录入（明细）'!D:D=$F$4,'领用录入（明细）'!C:C&gt;=$J$4,'领用录入（明细）'!C:C&lt;=$L$4),ROW(),"-")</f>
        <v>-</v>
      </c>
    </row>
    <row r="44801" customHeight="1" spans="2:2">
      <c r="B44801" s="62" t="str">
        <f>IF(AND('领用录入（明细）'!D:D=$F$4,'领用录入（明细）'!C:C&gt;=$J$4,'领用录入（明细）'!C:C&lt;=$L$4),ROW(),"-")</f>
        <v>-</v>
      </c>
    </row>
    <row r="44802" customHeight="1" spans="2:2">
      <c r="B44802" s="62" t="str">
        <f>IF(AND('领用录入（明细）'!D:D=$F$4,'领用录入（明细）'!C:C&gt;=$J$4,'领用录入（明细）'!C:C&lt;=$L$4),ROW(),"-")</f>
        <v>-</v>
      </c>
    </row>
    <row r="44803" customHeight="1" spans="2:2">
      <c r="B44803" s="62" t="str">
        <f>IF(AND('领用录入（明细）'!D:D=$F$4,'领用录入（明细）'!C:C&gt;=$J$4,'领用录入（明细）'!C:C&lt;=$L$4),ROW(),"-")</f>
        <v>-</v>
      </c>
    </row>
    <row r="44804" customHeight="1" spans="2:2">
      <c r="B44804" s="62" t="str">
        <f>IF(AND('领用录入（明细）'!D:D=$F$4,'领用录入（明细）'!C:C&gt;=$J$4,'领用录入（明细）'!C:C&lt;=$L$4),ROW(),"-")</f>
        <v>-</v>
      </c>
    </row>
    <row r="44805" customHeight="1" spans="2:2">
      <c r="B44805" s="62" t="str">
        <f>IF(AND('领用录入（明细）'!D:D=$F$4,'领用录入（明细）'!C:C&gt;=$J$4,'领用录入（明细）'!C:C&lt;=$L$4),ROW(),"-")</f>
        <v>-</v>
      </c>
    </row>
    <row r="44806" customHeight="1" spans="2:2">
      <c r="B44806" s="62" t="str">
        <f>IF(AND('领用录入（明细）'!D:D=$F$4,'领用录入（明细）'!C:C&gt;=$J$4,'领用录入（明细）'!C:C&lt;=$L$4),ROW(),"-")</f>
        <v>-</v>
      </c>
    </row>
    <row r="44807" customHeight="1" spans="2:2">
      <c r="B44807" s="62" t="str">
        <f>IF(AND('领用录入（明细）'!D:D=$F$4,'领用录入（明细）'!C:C&gt;=$J$4,'领用录入（明细）'!C:C&lt;=$L$4),ROW(),"-")</f>
        <v>-</v>
      </c>
    </row>
    <row r="44808" customHeight="1" spans="2:2">
      <c r="B44808" s="62" t="str">
        <f>IF(AND('领用录入（明细）'!D:D=$F$4,'领用录入（明细）'!C:C&gt;=$J$4,'领用录入（明细）'!C:C&lt;=$L$4),ROW(),"-")</f>
        <v>-</v>
      </c>
    </row>
    <row r="44809" customHeight="1" spans="2:2">
      <c r="B44809" s="62" t="str">
        <f>IF(AND('领用录入（明细）'!D:D=$F$4,'领用录入（明细）'!C:C&gt;=$J$4,'领用录入（明细）'!C:C&lt;=$L$4),ROW(),"-")</f>
        <v>-</v>
      </c>
    </row>
    <row r="44810" customHeight="1" spans="2:2">
      <c r="B44810" s="62" t="str">
        <f>IF(AND('领用录入（明细）'!D:D=$F$4,'领用录入（明细）'!C:C&gt;=$J$4,'领用录入（明细）'!C:C&lt;=$L$4),ROW(),"-")</f>
        <v>-</v>
      </c>
    </row>
    <row r="44811" customHeight="1" spans="2:2">
      <c r="B44811" s="62" t="str">
        <f>IF(AND('领用录入（明细）'!D:D=$F$4,'领用录入（明细）'!C:C&gt;=$J$4,'领用录入（明细）'!C:C&lt;=$L$4),ROW(),"-")</f>
        <v>-</v>
      </c>
    </row>
    <row r="44812" customHeight="1" spans="2:2">
      <c r="B44812" s="62" t="str">
        <f>IF(AND('领用录入（明细）'!D:D=$F$4,'领用录入（明细）'!C:C&gt;=$J$4,'领用录入（明细）'!C:C&lt;=$L$4),ROW(),"-")</f>
        <v>-</v>
      </c>
    </row>
    <row r="44813" customHeight="1" spans="2:2">
      <c r="B44813" s="62" t="str">
        <f>IF(AND('领用录入（明细）'!D:D=$F$4,'领用录入（明细）'!C:C&gt;=$J$4,'领用录入（明细）'!C:C&lt;=$L$4),ROW(),"-")</f>
        <v>-</v>
      </c>
    </row>
    <row r="44814" customHeight="1" spans="2:2">
      <c r="B44814" s="62" t="str">
        <f>IF(AND('领用录入（明细）'!D:D=$F$4,'领用录入（明细）'!C:C&gt;=$J$4,'领用录入（明细）'!C:C&lt;=$L$4),ROW(),"-")</f>
        <v>-</v>
      </c>
    </row>
    <row r="44815" customHeight="1" spans="2:2">
      <c r="B44815" s="62" t="str">
        <f>IF(AND('领用录入（明细）'!D:D=$F$4,'领用录入（明细）'!C:C&gt;=$J$4,'领用录入（明细）'!C:C&lt;=$L$4),ROW(),"-")</f>
        <v>-</v>
      </c>
    </row>
    <row r="44816" customHeight="1" spans="2:2">
      <c r="B44816" s="62" t="str">
        <f>IF(AND('领用录入（明细）'!D:D=$F$4,'领用录入（明细）'!C:C&gt;=$J$4,'领用录入（明细）'!C:C&lt;=$L$4),ROW(),"-")</f>
        <v>-</v>
      </c>
    </row>
    <row r="44817" customHeight="1" spans="2:2">
      <c r="B44817" s="62" t="str">
        <f>IF(AND('领用录入（明细）'!D:D=$F$4,'领用录入（明细）'!C:C&gt;=$J$4,'领用录入（明细）'!C:C&lt;=$L$4),ROW(),"-")</f>
        <v>-</v>
      </c>
    </row>
    <row r="44818" customHeight="1" spans="2:2">
      <c r="B44818" s="62" t="str">
        <f>IF(AND('领用录入（明细）'!D:D=$F$4,'领用录入（明细）'!C:C&gt;=$J$4,'领用录入（明细）'!C:C&lt;=$L$4),ROW(),"-")</f>
        <v>-</v>
      </c>
    </row>
    <row r="44819" customHeight="1" spans="2:2">
      <c r="B44819" s="62" t="str">
        <f>IF(AND('领用录入（明细）'!D:D=$F$4,'领用录入（明细）'!C:C&gt;=$J$4,'领用录入（明细）'!C:C&lt;=$L$4),ROW(),"-")</f>
        <v>-</v>
      </c>
    </row>
    <row r="44820" customHeight="1" spans="2:2">
      <c r="B44820" s="62" t="str">
        <f>IF(AND('领用录入（明细）'!D:D=$F$4,'领用录入（明细）'!C:C&gt;=$J$4,'领用录入（明细）'!C:C&lt;=$L$4),ROW(),"-")</f>
        <v>-</v>
      </c>
    </row>
    <row r="44821" customHeight="1" spans="2:2">
      <c r="B44821" s="62" t="str">
        <f>IF(AND('领用录入（明细）'!D:D=$F$4,'领用录入（明细）'!C:C&gt;=$J$4,'领用录入（明细）'!C:C&lt;=$L$4),ROW(),"-")</f>
        <v>-</v>
      </c>
    </row>
    <row r="44822" customHeight="1" spans="2:2">
      <c r="B44822" s="62" t="str">
        <f>IF(AND('领用录入（明细）'!D:D=$F$4,'领用录入（明细）'!C:C&gt;=$J$4,'领用录入（明细）'!C:C&lt;=$L$4),ROW(),"-")</f>
        <v>-</v>
      </c>
    </row>
    <row r="44823" customHeight="1" spans="2:2">
      <c r="B44823" s="62" t="str">
        <f>IF(AND('领用录入（明细）'!D:D=$F$4,'领用录入（明细）'!C:C&gt;=$J$4,'领用录入（明细）'!C:C&lt;=$L$4),ROW(),"-")</f>
        <v>-</v>
      </c>
    </row>
    <row r="44824" customHeight="1" spans="2:2">
      <c r="B44824" s="62" t="str">
        <f>IF(AND('领用录入（明细）'!D:D=$F$4,'领用录入（明细）'!C:C&gt;=$J$4,'领用录入（明细）'!C:C&lt;=$L$4),ROW(),"-")</f>
        <v>-</v>
      </c>
    </row>
    <row r="44825" customHeight="1" spans="2:2">
      <c r="B44825" s="62" t="str">
        <f>IF(AND('领用录入（明细）'!D:D=$F$4,'领用录入（明细）'!C:C&gt;=$J$4,'领用录入（明细）'!C:C&lt;=$L$4),ROW(),"-")</f>
        <v>-</v>
      </c>
    </row>
    <row r="44826" customHeight="1" spans="2:2">
      <c r="B44826" s="62" t="str">
        <f>IF(AND('领用录入（明细）'!D:D=$F$4,'领用录入（明细）'!C:C&gt;=$J$4,'领用录入（明细）'!C:C&lt;=$L$4),ROW(),"-")</f>
        <v>-</v>
      </c>
    </row>
    <row r="44827" customHeight="1" spans="2:2">
      <c r="B44827" s="62" t="str">
        <f>IF(AND('领用录入（明细）'!D:D=$F$4,'领用录入（明细）'!C:C&gt;=$J$4,'领用录入（明细）'!C:C&lt;=$L$4),ROW(),"-")</f>
        <v>-</v>
      </c>
    </row>
    <row r="44828" customHeight="1" spans="2:2">
      <c r="B44828" s="62" t="str">
        <f>IF(AND('领用录入（明细）'!D:D=$F$4,'领用录入（明细）'!C:C&gt;=$J$4,'领用录入（明细）'!C:C&lt;=$L$4),ROW(),"-")</f>
        <v>-</v>
      </c>
    </row>
    <row r="44829" customHeight="1" spans="2:2">
      <c r="B44829" s="62" t="str">
        <f>IF(AND('领用录入（明细）'!D:D=$F$4,'领用录入（明细）'!C:C&gt;=$J$4,'领用录入（明细）'!C:C&lt;=$L$4),ROW(),"-")</f>
        <v>-</v>
      </c>
    </row>
    <row r="44830" customHeight="1" spans="2:2">
      <c r="B44830" s="62" t="str">
        <f>IF(AND('领用录入（明细）'!D:D=$F$4,'领用录入（明细）'!C:C&gt;=$J$4,'领用录入（明细）'!C:C&lt;=$L$4),ROW(),"-")</f>
        <v>-</v>
      </c>
    </row>
    <row r="44831" customHeight="1" spans="2:2">
      <c r="B44831" s="62" t="str">
        <f>IF(AND('领用录入（明细）'!D:D=$F$4,'领用录入（明细）'!C:C&gt;=$J$4,'领用录入（明细）'!C:C&lt;=$L$4),ROW(),"-")</f>
        <v>-</v>
      </c>
    </row>
    <row r="44832" customHeight="1" spans="2:2">
      <c r="B44832" s="62" t="str">
        <f>IF(AND('领用录入（明细）'!D:D=$F$4,'领用录入（明细）'!C:C&gt;=$J$4,'领用录入（明细）'!C:C&lt;=$L$4),ROW(),"-")</f>
        <v>-</v>
      </c>
    </row>
    <row r="44833" customHeight="1" spans="2:2">
      <c r="B44833" s="62" t="str">
        <f>IF(AND('领用录入（明细）'!D:D=$F$4,'领用录入（明细）'!C:C&gt;=$J$4,'领用录入（明细）'!C:C&lt;=$L$4),ROW(),"-")</f>
        <v>-</v>
      </c>
    </row>
    <row r="44834" customHeight="1" spans="2:2">
      <c r="B44834" s="62" t="str">
        <f>IF(AND('领用录入（明细）'!D:D=$F$4,'领用录入（明细）'!C:C&gt;=$J$4,'领用录入（明细）'!C:C&lt;=$L$4),ROW(),"-")</f>
        <v>-</v>
      </c>
    </row>
    <row r="44835" customHeight="1" spans="2:2">
      <c r="B44835" s="62" t="str">
        <f>IF(AND('领用录入（明细）'!D:D=$F$4,'领用录入（明细）'!C:C&gt;=$J$4,'领用录入（明细）'!C:C&lt;=$L$4),ROW(),"-")</f>
        <v>-</v>
      </c>
    </row>
    <row r="44836" customHeight="1" spans="2:2">
      <c r="B44836" s="62" t="str">
        <f>IF(AND('领用录入（明细）'!D:D=$F$4,'领用录入（明细）'!C:C&gt;=$J$4,'领用录入（明细）'!C:C&lt;=$L$4),ROW(),"-")</f>
        <v>-</v>
      </c>
    </row>
    <row r="44837" customHeight="1" spans="2:2">
      <c r="B44837" s="62" t="str">
        <f>IF(AND('领用录入（明细）'!D:D=$F$4,'领用录入（明细）'!C:C&gt;=$J$4,'领用录入（明细）'!C:C&lt;=$L$4),ROW(),"-")</f>
        <v>-</v>
      </c>
    </row>
    <row r="44838" customHeight="1" spans="2:2">
      <c r="B44838" s="62" t="str">
        <f>IF(AND('领用录入（明细）'!D:D=$F$4,'领用录入（明细）'!C:C&gt;=$J$4,'领用录入（明细）'!C:C&lt;=$L$4),ROW(),"-")</f>
        <v>-</v>
      </c>
    </row>
    <row r="44839" customHeight="1" spans="2:2">
      <c r="B44839" s="62" t="str">
        <f>IF(AND('领用录入（明细）'!D:D=$F$4,'领用录入（明细）'!C:C&gt;=$J$4,'领用录入（明细）'!C:C&lt;=$L$4),ROW(),"-")</f>
        <v>-</v>
      </c>
    </row>
    <row r="44840" customHeight="1" spans="2:2">
      <c r="B44840" s="62" t="str">
        <f>IF(AND('领用录入（明细）'!D:D=$F$4,'领用录入（明细）'!C:C&gt;=$J$4,'领用录入（明细）'!C:C&lt;=$L$4),ROW(),"-")</f>
        <v>-</v>
      </c>
    </row>
    <row r="44841" customHeight="1" spans="2:2">
      <c r="B44841" s="62" t="str">
        <f>IF(AND('领用录入（明细）'!D:D=$F$4,'领用录入（明细）'!C:C&gt;=$J$4,'领用录入（明细）'!C:C&lt;=$L$4),ROW(),"-")</f>
        <v>-</v>
      </c>
    </row>
    <row r="44842" customHeight="1" spans="2:2">
      <c r="B44842" s="62" t="str">
        <f>IF(AND('领用录入（明细）'!D:D=$F$4,'领用录入（明细）'!C:C&gt;=$J$4,'领用录入（明细）'!C:C&lt;=$L$4),ROW(),"-")</f>
        <v>-</v>
      </c>
    </row>
    <row r="44843" customHeight="1" spans="2:2">
      <c r="B44843" s="62" t="str">
        <f>IF(AND('领用录入（明细）'!D:D=$F$4,'领用录入（明细）'!C:C&gt;=$J$4,'领用录入（明细）'!C:C&lt;=$L$4),ROW(),"-")</f>
        <v>-</v>
      </c>
    </row>
    <row r="44844" customHeight="1" spans="2:2">
      <c r="B44844" s="62" t="str">
        <f>IF(AND('领用录入（明细）'!D:D=$F$4,'领用录入（明细）'!C:C&gt;=$J$4,'领用录入（明细）'!C:C&lt;=$L$4),ROW(),"-")</f>
        <v>-</v>
      </c>
    </row>
    <row r="44845" customHeight="1" spans="2:2">
      <c r="B44845" s="62" t="str">
        <f>IF(AND('领用录入（明细）'!D:D=$F$4,'领用录入（明细）'!C:C&gt;=$J$4,'领用录入（明细）'!C:C&lt;=$L$4),ROW(),"-")</f>
        <v>-</v>
      </c>
    </row>
    <row r="44846" customHeight="1" spans="2:2">
      <c r="B44846" s="62" t="str">
        <f>IF(AND('领用录入（明细）'!D:D=$F$4,'领用录入（明细）'!C:C&gt;=$J$4,'领用录入（明细）'!C:C&lt;=$L$4),ROW(),"-")</f>
        <v>-</v>
      </c>
    </row>
    <row r="44847" customHeight="1" spans="2:2">
      <c r="B44847" s="62" t="str">
        <f>IF(AND('领用录入（明细）'!D:D=$F$4,'领用录入（明细）'!C:C&gt;=$J$4,'领用录入（明细）'!C:C&lt;=$L$4),ROW(),"-")</f>
        <v>-</v>
      </c>
    </row>
    <row r="44848" customHeight="1" spans="2:2">
      <c r="B44848" s="62" t="str">
        <f>IF(AND('领用录入（明细）'!D:D=$F$4,'领用录入（明细）'!C:C&gt;=$J$4,'领用录入（明细）'!C:C&lt;=$L$4),ROW(),"-")</f>
        <v>-</v>
      </c>
    </row>
    <row r="44849" customHeight="1" spans="2:2">
      <c r="B44849" s="62" t="str">
        <f>IF(AND('领用录入（明细）'!D:D=$F$4,'领用录入（明细）'!C:C&gt;=$J$4,'领用录入（明细）'!C:C&lt;=$L$4),ROW(),"-")</f>
        <v>-</v>
      </c>
    </row>
    <row r="44850" customHeight="1" spans="2:2">
      <c r="B44850" s="62" t="str">
        <f>IF(AND('领用录入（明细）'!D:D=$F$4,'领用录入（明细）'!C:C&gt;=$J$4,'领用录入（明细）'!C:C&lt;=$L$4),ROW(),"-")</f>
        <v>-</v>
      </c>
    </row>
    <row r="44851" customHeight="1" spans="2:2">
      <c r="B44851" s="62" t="str">
        <f>IF(AND('领用录入（明细）'!D:D=$F$4,'领用录入（明细）'!C:C&gt;=$J$4,'领用录入（明细）'!C:C&lt;=$L$4),ROW(),"-")</f>
        <v>-</v>
      </c>
    </row>
    <row r="44852" customHeight="1" spans="2:2">
      <c r="B44852" s="62" t="str">
        <f>IF(AND('领用录入（明细）'!D:D=$F$4,'领用录入（明细）'!C:C&gt;=$J$4,'领用录入（明细）'!C:C&lt;=$L$4),ROW(),"-")</f>
        <v>-</v>
      </c>
    </row>
    <row r="44853" customHeight="1" spans="2:2">
      <c r="B44853" s="62" t="str">
        <f>IF(AND('领用录入（明细）'!D:D=$F$4,'领用录入（明细）'!C:C&gt;=$J$4,'领用录入（明细）'!C:C&lt;=$L$4),ROW(),"-")</f>
        <v>-</v>
      </c>
    </row>
    <row r="44854" customHeight="1" spans="2:2">
      <c r="B44854" s="62" t="str">
        <f>IF(AND('领用录入（明细）'!D:D=$F$4,'领用录入（明细）'!C:C&gt;=$J$4,'领用录入（明细）'!C:C&lt;=$L$4),ROW(),"-")</f>
        <v>-</v>
      </c>
    </row>
    <row r="44855" customHeight="1" spans="2:2">
      <c r="B44855" s="62" t="str">
        <f>IF(AND('领用录入（明细）'!D:D=$F$4,'领用录入（明细）'!C:C&gt;=$J$4,'领用录入（明细）'!C:C&lt;=$L$4),ROW(),"-")</f>
        <v>-</v>
      </c>
    </row>
    <row r="44856" customHeight="1" spans="2:2">
      <c r="B44856" s="62" t="str">
        <f>IF(AND('领用录入（明细）'!D:D=$F$4,'领用录入（明细）'!C:C&gt;=$J$4,'领用录入（明细）'!C:C&lt;=$L$4),ROW(),"-")</f>
        <v>-</v>
      </c>
    </row>
    <row r="44857" customHeight="1" spans="2:2">
      <c r="B44857" s="62" t="str">
        <f>IF(AND('领用录入（明细）'!D:D=$F$4,'领用录入（明细）'!C:C&gt;=$J$4,'领用录入（明细）'!C:C&lt;=$L$4),ROW(),"-")</f>
        <v>-</v>
      </c>
    </row>
    <row r="44858" customHeight="1" spans="2:2">
      <c r="B44858" s="62" t="str">
        <f>IF(AND('领用录入（明细）'!D:D=$F$4,'领用录入（明细）'!C:C&gt;=$J$4,'领用录入（明细）'!C:C&lt;=$L$4),ROW(),"-")</f>
        <v>-</v>
      </c>
    </row>
    <row r="44859" customHeight="1" spans="2:2">
      <c r="B44859" s="62" t="str">
        <f>IF(AND('领用录入（明细）'!D:D=$F$4,'领用录入（明细）'!C:C&gt;=$J$4,'领用录入（明细）'!C:C&lt;=$L$4),ROW(),"-")</f>
        <v>-</v>
      </c>
    </row>
    <row r="44860" customHeight="1" spans="2:2">
      <c r="B44860" s="62" t="str">
        <f>IF(AND('领用录入（明细）'!D:D=$F$4,'领用录入（明细）'!C:C&gt;=$J$4,'领用录入（明细）'!C:C&lt;=$L$4),ROW(),"-")</f>
        <v>-</v>
      </c>
    </row>
    <row r="44861" customHeight="1" spans="2:2">
      <c r="B44861" s="62" t="str">
        <f>IF(AND('领用录入（明细）'!D:D=$F$4,'领用录入（明细）'!C:C&gt;=$J$4,'领用录入（明细）'!C:C&lt;=$L$4),ROW(),"-")</f>
        <v>-</v>
      </c>
    </row>
    <row r="44862" customHeight="1" spans="2:2">
      <c r="B44862" s="62" t="str">
        <f>IF(AND('领用录入（明细）'!D:D=$F$4,'领用录入（明细）'!C:C&gt;=$J$4,'领用录入（明细）'!C:C&lt;=$L$4),ROW(),"-")</f>
        <v>-</v>
      </c>
    </row>
    <row r="44863" customHeight="1" spans="2:2">
      <c r="B44863" s="62" t="str">
        <f>IF(AND('领用录入（明细）'!D:D=$F$4,'领用录入（明细）'!C:C&gt;=$J$4,'领用录入（明细）'!C:C&lt;=$L$4),ROW(),"-")</f>
        <v>-</v>
      </c>
    </row>
    <row r="44864" customHeight="1" spans="2:2">
      <c r="B44864" s="62" t="str">
        <f>IF(AND('领用录入（明细）'!D:D=$F$4,'领用录入（明细）'!C:C&gt;=$J$4,'领用录入（明细）'!C:C&lt;=$L$4),ROW(),"-")</f>
        <v>-</v>
      </c>
    </row>
    <row r="44865" customHeight="1" spans="2:2">
      <c r="B44865" s="62" t="str">
        <f>IF(AND('领用录入（明细）'!D:D=$F$4,'领用录入（明细）'!C:C&gt;=$J$4,'领用录入（明细）'!C:C&lt;=$L$4),ROW(),"-")</f>
        <v>-</v>
      </c>
    </row>
    <row r="44866" customHeight="1" spans="2:2">
      <c r="B44866" s="62" t="str">
        <f>IF(AND('领用录入（明细）'!D:D=$F$4,'领用录入（明细）'!C:C&gt;=$J$4,'领用录入（明细）'!C:C&lt;=$L$4),ROW(),"-")</f>
        <v>-</v>
      </c>
    </row>
    <row r="44867" customHeight="1" spans="2:2">
      <c r="B44867" s="62" t="str">
        <f>IF(AND('领用录入（明细）'!D:D=$F$4,'领用录入（明细）'!C:C&gt;=$J$4,'领用录入（明细）'!C:C&lt;=$L$4),ROW(),"-")</f>
        <v>-</v>
      </c>
    </row>
    <row r="44868" customHeight="1" spans="2:2">
      <c r="B44868" s="62" t="str">
        <f>IF(AND('领用录入（明细）'!D:D=$F$4,'领用录入（明细）'!C:C&gt;=$J$4,'领用录入（明细）'!C:C&lt;=$L$4),ROW(),"-")</f>
        <v>-</v>
      </c>
    </row>
    <row r="44869" customHeight="1" spans="2:2">
      <c r="B44869" s="62" t="str">
        <f>IF(AND('领用录入（明细）'!D:D=$F$4,'领用录入（明细）'!C:C&gt;=$J$4,'领用录入（明细）'!C:C&lt;=$L$4),ROW(),"-")</f>
        <v>-</v>
      </c>
    </row>
    <row r="44870" customHeight="1" spans="2:2">
      <c r="B44870" s="62" t="str">
        <f>IF(AND('领用录入（明细）'!D:D=$F$4,'领用录入（明细）'!C:C&gt;=$J$4,'领用录入（明细）'!C:C&lt;=$L$4),ROW(),"-")</f>
        <v>-</v>
      </c>
    </row>
    <row r="44871" customHeight="1" spans="2:2">
      <c r="B44871" s="62" t="str">
        <f>IF(AND('领用录入（明细）'!D:D=$F$4,'领用录入（明细）'!C:C&gt;=$J$4,'领用录入（明细）'!C:C&lt;=$L$4),ROW(),"-")</f>
        <v>-</v>
      </c>
    </row>
    <row r="44872" customHeight="1" spans="2:2">
      <c r="B44872" s="62" t="str">
        <f>IF(AND('领用录入（明细）'!D:D=$F$4,'领用录入（明细）'!C:C&gt;=$J$4,'领用录入（明细）'!C:C&lt;=$L$4),ROW(),"-")</f>
        <v>-</v>
      </c>
    </row>
    <row r="44873" customHeight="1" spans="2:2">
      <c r="B44873" s="62" t="str">
        <f>IF(AND('领用录入（明细）'!D:D=$F$4,'领用录入（明细）'!C:C&gt;=$J$4,'领用录入（明细）'!C:C&lt;=$L$4),ROW(),"-")</f>
        <v>-</v>
      </c>
    </row>
    <row r="44874" customHeight="1" spans="2:2">
      <c r="B44874" s="62" t="str">
        <f>IF(AND('领用录入（明细）'!D:D=$F$4,'领用录入（明细）'!C:C&gt;=$J$4,'领用录入（明细）'!C:C&lt;=$L$4),ROW(),"-")</f>
        <v>-</v>
      </c>
    </row>
    <row r="44875" customHeight="1" spans="2:2">
      <c r="B44875" s="62" t="str">
        <f>IF(AND('领用录入（明细）'!D:D=$F$4,'领用录入（明细）'!C:C&gt;=$J$4,'领用录入（明细）'!C:C&lt;=$L$4),ROW(),"-")</f>
        <v>-</v>
      </c>
    </row>
    <row r="44876" customHeight="1" spans="2:2">
      <c r="B44876" s="62" t="str">
        <f>IF(AND('领用录入（明细）'!D:D=$F$4,'领用录入（明细）'!C:C&gt;=$J$4,'领用录入（明细）'!C:C&lt;=$L$4),ROW(),"-")</f>
        <v>-</v>
      </c>
    </row>
    <row r="44877" customHeight="1" spans="2:2">
      <c r="B44877" s="62" t="str">
        <f>IF(AND('领用录入（明细）'!D:D=$F$4,'领用录入（明细）'!C:C&gt;=$J$4,'领用录入（明细）'!C:C&lt;=$L$4),ROW(),"-")</f>
        <v>-</v>
      </c>
    </row>
    <row r="44878" customHeight="1" spans="2:2">
      <c r="B44878" s="62" t="str">
        <f>IF(AND('领用录入（明细）'!D:D=$F$4,'领用录入（明细）'!C:C&gt;=$J$4,'领用录入（明细）'!C:C&lt;=$L$4),ROW(),"-")</f>
        <v>-</v>
      </c>
    </row>
    <row r="44879" customHeight="1" spans="2:2">
      <c r="B44879" s="62" t="str">
        <f>IF(AND('领用录入（明细）'!D:D=$F$4,'领用录入（明细）'!C:C&gt;=$J$4,'领用录入（明细）'!C:C&lt;=$L$4),ROW(),"-")</f>
        <v>-</v>
      </c>
    </row>
    <row r="44880" customHeight="1" spans="2:2">
      <c r="B44880" s="62" t="str">
        <f>IF(AND('领用录入（明细）'!D:D=$F$4,'领用录入（明细）'!C:C&gt;=$J$4,'领用录入（明细）'!C:C&lt;=$L$4),ROW(),"-")</f>
        <v>-</v>
      </c>
    </row>
    <row r="44881" customHeight="1" spans="2:2">
      <c r="B44881" s="62" t="str">
        <f>IF(AND('领用录入（明细）'!D:D=$F$4,'领用录入（明细）'!C:C&gt;=$J$4,'领用录入（明细）'!C:C&lt;=$L$4),ROW(),"-")</f>
        <v>-</v>
      </c>
    </row>
    <row r="44882" customHeight="1" spans="2:2">
      <c r="B44882" s="62" t="str">
        <f>IF(AND('领用录入（明细）'!D:D=$F$4,'领用录入（明细）'!C:C&gt;=$J$4,'领用录入（明细）'!C:C&lt;=$L$4),ROW(),"-")</f>
        <v>-</v>
      </c>
    </row>
    <row r="44883" customHeight="1" spans="2:2">
      <c r="B44883" s="62" t="str">
        <f>IF(AND('领用录入（明细）'!D:D=$F$4,'领用录入（明细）'!C:C&gt;=$J$4,'领用录入（明细）'!C:C&lt;=$L$4),ROW(),"-")</f>
        <v>-</v>
      </c>
    </row>
    <row r="44884" customHeight="1" spans="2:2">
      <c r="B44884" s="62" t="str">
        <f>IF(AND('领用录入（明细）'!D:D=$F$4,'领用录入（明细）'!C:C&gt;=$J$4,'领用录入（明细）'!C:C&lt;=$L$4),ROW(),"-")</f>
        <v>-</v>
      </c>
    </row>
    <row r="44885" customHeight="1" spans="2:2">
      <c r="B44885" s="62" t="str">
        <f>IF(AND('领用录入（明细）'!D:D=$F$4,'领用录入（明细）'!C:C&gt;=$J$4,'领用录入（明细）'!C:C&lt;=$L$4),ROW(),"-")</f>
        <v>-</v>
      </c>
    </row>
    <row r="44886" customHeight="1" spans="2:2">
      <c r="B44886" s="62" t="str">
        <f>IF(AND('领用录入（明细）'!D:D=$F$4,'领用录入（明细）'!C:C&gt;=$J$4,'领用录入（明细）'!C:C&lt;=$L$4),ROW(),"-")</f>
        <v>-</v>
      </c>
    </row>
    <row r="44887" customHeight="1" spans="2:2">
      <c r="B44887" s="62" t="str">
        <f>IF(AND('领用录入（明细）'!D:D=$F$4,'领用录入（明细）'!C:C&gt;=$J$4,'领用录入（明细）'!C:C&lt;=$L$4),ROW(),"-")</f>
        <v>-</v>
      </c>
    </row>
    <row r="44888" customHeight="1" spans="2:2">
      <c r="B44888" s="62" t="str">
        <f>IF(AND('领用录入（明细）'!D:D=$F$4,'领用录入（明细）'!C:C&gt;=$J$4,'领用录入（明细）'!C:C&lt;=$L$4),ROW(),"-")</f>
        <v>-</v>
      </c>
    </row>
    <row r="44889" customHeight="1" spans="2:2">
      <c r="B44889" s="62" t="str">
        <f>IF(AND('领用录入（明细）'!D:D=$F$4,'领用录入（明细）'!C:C&gt;=$J$4,'领用录入（明细）'!C:C&lt;=$L$4),ROW(),"-")</f>
        <v>-</v>
      </c>
    </row>
    <row r="44890" customHeight="1" spans="2:2">
      <c r="B44890" s="62" t="str">
        <f>IF(AND('领用录入（明细）'!D:D=$F$4,'领用录入（明细）'!C:C&gt;=$J$4,'领用录入（明细）'!C:C&lt;=$L$4),ROW(),"-")</f>
        <v>-</v>
      </c>
    </row>
    <row r="44891" customHeight="1" spans="2:2">
      <c r="B44891" s="62" t="str">
        <f>IF(AND('领用录入（明细）'!D:D=$F$4,'领用录入（明细）'!C:C&gt;=$J$4,'领用录入（明细）'!C:C&lt;=$L$4),ROW(),"-")</f>
        <v>-</v>
      </c>
    </row>
    <row r="44892" customHeight="1" spans="2:2">
      <c r="B44892" s="62" t="str">
        <f>IF(AND('领用录入（明细）'!D:D=$F$4,'领用录入（明细）'!C:C&gt;=$J$4,'领用录入（明细）'!C:C&lt;=$L$4),ROW(),"-")</f>
        <v>-</v>
      </c>
    </row>
    <row r="44893" customHeight="1" spans="2:2">
      <c r="B44893" s="62" t="str">
        <f>IF(AND('领用录入（明细）'!D:D=$F$4,'领用录入（明细）'!C:C&gt;=$J$4,'领用录入（明细）'!C:C&lt;=$L$4),ROW(),"-")</f>
        <v>-</v>
      </c>
    </row>
    <row r="44894" customHeight="1" spans="2:2">
      <c r="B44894" s="62" t="str">
        <f>IF(AND('领用录入（明细）'!D:D=$F$4,'领用录入（明细）'!C:C&gt;=$J$4,'领用录入（明细）'!C:C&lt;=$L$4),ROW(),"-")</f>
        <v>-</v>
      </c>
    </row>
    <row r="44895" customHeight="1" spans="2:2">
      <c r="B44895" s="62" t="str">
        <f>IF(AND('领用录入（明细）'!D:D=$F$4,'领用录入（明细）'!C:C&gt;=$J$4,'领用录入（明细）'!C:C&lt;=$L$4),ROW(),"-")</f>
        <v>-</v>
      </c>
    </row>
    <row r="44896" customHeight="1" spans="2:2">
      <c r="B44896" s="62" t="str">
        <f>IF(AND('领用录入（明细）'!D:D=$F$4,'领用录入（明细）'!C:C&gt;=$J$4,'领用录入（明细）'!C:C&lt;=$L$4),ROW(),"-")</f>
        <v>-</v>
      </c>
    </row>
    <row r="44897" customHeight="1" spans="2:2">
      <c r="B44897" s="62" t="str">
        <f>IF(AND('领用录入（明细）'!D:D=$F$4,'领用录入（明细）'!C:C&gt;=$J$4,'领用录入（明细）'!C:C&lt;=$L$4),ROW(),"-")</f>
        <v>-</v>
      </c>
    </row>
    <row r="44898" customHeight="1" spans="2:2">
      <c r="B44898" s="62" t="str">
        <f>IF(AND('领用录入（明细）'!D:D=$F$4,'领用录入（明细）'!C:C&gt;=$J$4,'领用录入（明细）'!C:C&lt;=$L$4),ROW(),"-")</f>
        <v>-</v>
      </c>
    </row>
    <row r="44899" customHeight="1" spans="2:2">
      <c r="B44899" s="62" t="str">
        <f>IF(AND('领用录入（明细）'!D:D=$F$4,'领用录入（明细）'!C:C&gt;=$J$4,'领用录入（明细）'!C:C&lt;=$L$4),ROW(),"-")</f>
        <v>-</v>
      </c>
    </row>
    <row r="44900" customHeight="1" spans="2:2">
      <c r="B44900" s="62" t="str">
        <f>IF(AND('领用录入（明细）'!D:D=$F$4,'领用录入（明细）'!C:C&gt;=$J$4,'领用录入（明细）'!C:C&lt;=$L$4),ROW(),"-")</f>
        <v>-</v>
      </c>
    </row>
    <row r="44901" customHeight="1" spans="2:2">
      <c r="B44901" s="62" t="str">
        <f>IF(AND('领用录入（明细）'!D:D=$F$4,'领用录入（明细）'!C:C&gt;=$J$4,'领用录入（明细）'!C:C&lt;=$L$4),ROW(),"-")</f>
        <v>-</v>
      </c>
    </row>
    <row r="44902" customHeight="1" spans="2:2">
      <c r="B44902" s="62" t="str">
        <f>IF(AND('领用录入（明细）'!D:D=$F$4,'领用录入（明细）'!C:C&gt;=$J$4,'领用录入（明细）'!C:C&lt;=$L$4),ROW(),"-")</f>
        <v>-</v>
      </c>
    </row>
    <row r="44903" customHeight="1" spans="2:2">
      <c r="B44903" s="62" t="str">
        <f>IF(AND('领用录入（明细）'!D:D=$F$4,'领用录入（明细）'!C:C&gt;=$J$4,'领用录入（明细）'!C:C&lt;=$L$4),ROW(),"-")</f>
        <v>-</v>
      </c>
    </row>
    <row r="44904" customHeight="1" spans="2:2">
      <c r="B44904" s="62" t="str">
        <f>IF(AND('领用录入（明细）'!D:D=$F$4,'领用录入（明细）'!C:C&gt;=$J$4,'领用录入（明细）'!C:C&lt;=$L$4),ROW(),"-")</f>
        <v>-</v>
      </c>
    </row>
    <row r="44905" customHeight="1" spans="2:2">
      <c r="B44905" s="62" t="str">
        <f>IF(AND('领用录入（明细）'!D:D=$F$4,'领用录入（明细）'!C:C&gt;=$J$4,'领用录入（明细）'!C:C&lt;=$L$4),ROW(),"-")</f>
        <v>-</v>
      </c>
    </row>
    <row r="44906" customHeight="1" spans="2:2">
      <c r="B44906" s="62" t="str">
        <f>IF(AND('领用录入（明细）'!D:D=$F$4,'领用录入（明细）'!C:C&gt;=$J$4,'领用录入（明细）'!C:C&lt;=$L$4),ROW(),"-")</f>
        <v>-</v>
      </c>
    </row>
    <row r="44907" customHeight="1" spans="2:2">
      <c r="B44907" s="62" t="str">
        <f>IF(AND('领用录入（明细）'!D:D=$F$4,'领用录入（明细）'!C:C&gt;=$J$4,'领用录入（明细）'!C:C&lt;=$L$4),ROW(),"-")</f>
        <v>-</v>
      </c>
    </row>
    <row r="44908" customHeight="1" spans="2:2">
      <c r="B44908" s="62" t="str">
        <f>IF(AND('领用录入（明细）'!D:D=$F$4,'领用录入（明细）'!C:C&gt;=$J$4,'领用录入（明细）'!C:C&lt;=$L$4),ROW(),"-")</f>
        <v>-</v>
      </c>
    </row>
    <row r="44909" customHeight="1" spans="2:2">
      <c r="B44909" s="62" t="str">
        <f>IF(AND('领用录入（明细）'!D:D=$F$4,'领用录入（明细）'!C:C&gt;=$J$4,'领用录入（明细）'!C:C&lt;=$L$4),ROW(),"-")</f>
        <v>-</v>
      </c>
    </row>
    <row r="44910" customHeight="1" spans="2:2">
      <c r="B44910" s="62" t="str">
        <f>IF(AND('领用录入（明细）'!D:D=$F$4,'领用录入（明细）'!C:C&gt;=$J$4,'领用录入（明细）'!C:C&lt;=$L$4),ROW(),"-")</f>
        <v>-</v>
      </c>
    </row>
    <row r="44911" customHeight="1" spans="2:2">
      <c r="B44911" s="62" t="str">
        <f>IF(AND('领用录入（明细）'!D:D=$F$4,'领用录入（明细）'!C:C&gt;=$J$4,'领用录入（明细）'!C:C&lt;=$L$4),ROW(),"-")</f>
        <v>-</v>
      </c>
    </row>
    <row r="44912" customHeight="1" spans="2:2">
      <c r="B44912" s="62" t="str">
        <f>IF(AND('领用录入（明细）'!D:D=$F$4,'领用录入（明细）'!C:C&gt;=$J$4,'领用录入（明细）'!C:C&lt;=$L$4),ROW(),"-")</f>
        <v>-</v>
      </c>
    </row>
    <row r="44913" customHeight="1" spans="2:2">
      <c r="B44913" s="62" t="str">
        <f>IF(AND('领用录入（明细）'!D:D=$F$4,'领用录入（明细）'!C:C&gt;=$J$4,'领用录入（明细）'!C:C&lt;=$L$4),ROW(),"-")</f>
        <v>-</v>
      </c>
    </row>
    <row r="44914" customHeight="1" spans="2:2">
      <c r="B44914" s="62" t="str">
        <f>IF(AND('领用录入（明细）'!D:D=$F$4,'领用录入（明细）'!C:C&gt;=$J$4,'领用录入（明细）'!C:C&lt;=$L$4),ROW(),"-")</f>
        <v>-</v>
      </c>
    </row>
    <row r="44915" customHeight="1" spans="2:2">
      <c r="B44915" s="62" t="str">
        <f>IF(AND('领用录入（明细）'!D:D=$F$4,'领用录入（明细）'!C:C&gt;=$J$4,'领用录入（明细）'!C:C&lt;=$L$4),ROW(),"-")</f>
        <v>-</v>
      </c>
    </row>
    <row r="44916" customHeight="1" spans="2:2">
      <c r="B44916" s="62" t="str">
        <f>IF(AND('领用录入（明细）'!D:D=$F$4,'领用录入（明细）'!C:C&gt;=$J$4,'领用录入（明细）'!C:C&lt;=$L$4),ROW(),"-")</f>
        <v>-</v>
      </c>
    </row>
    <row r="44917" customHeight="1" spans="2:2">
      <c r="B44917" s="62" t="str">
        <f>IF(AND('领用录入（明细）'!D:D=$F$4,'领用录入（明细）'!C:C&gt;=$J$4,'领用录入（明细）'!C:C&lt;=$L$4),ROW(),"-")</f>
        <v>-</v>
      </c>
    </row>
    <row r="44918" customHeight="1" spans="2:2">
      <c r="B44918" s="62" t="str">
        <f>IF(AND('领用录入（明细）'!D:D=$F$4,'领用录入（明细）'!C:C&gt;=$J$4,'领用录入（明细）'!C:C&lt;=$L$4),ROW(),"-")</f>
        <v>-</v>
      </c>
    </row>
    <row r="44919" customHeight="1" spans="2:2">
      <c r="B44919" s="62" t="str">
        <f>IF(AND('领用录入（明细）'!D:D=$F$4,'领用录入（明细）'!C:C&gt;=$J$4,'领用录入（明细）'!C:C&lt;=$L$4),ROW(),"-")</f>
        <v>-</v>
      </c>
    </row>
    <row r="44920" customHeight="1" spans="2:2">
      <c r="B44920" s="62" t="str">
        <f>IF(AND('领用录入（明细）'!D:D=$F$4,'领用录入（明细）'!C:C&gt;=$J$4,'领用录入（明细）'!C:C&lt;=$L$4),ROW(),"-")</f>
        <v>-</v>
      </c>
    </row>
    <row r="44921" customHeight="1" spans="2:2">
      <c r="B44921" s="62" t="str">
        <f>IF(AND('领用录入（明细）'!D:D=$F$4,'领用录入（明细）'!C:C&gt;=$J$4,'领用录入（明细）'!C:C&lt;=$L$4),ROW(),"-")</f>
        <v>-</v>
      </c>
    </row>
    <row r="44922" customHeight="1" spans="2:2">
      <c r="B44922" s="62" t="str">
        <f>IF(AND('领用录入（明细）'!D:D=$F$4,'领用录入（明细）'!C:C&gt;=$J$4,'领用录入（明细）'!C:C&lt;=$L$4),ROW(),"-")</f>
        <v>-</v>
      </c>
    </row>
    <row r="44923" customHeight="1" spans="2:2">
      <c r="B44923" s="62" t="str">
        <f>IF(AND('领用录入（明细）'!D:D=$F$4,'领用录入（明细）'!C:C&gt;=$J$4,'领用录入（明细）'!C:C&lt;=$L$4),ROW(),"-")</f>
        <v>-</v>
      </c>
    </row>
    <row r="44924" customHeight="1" spans="2:2">
      <c r="B44924" s="62" t="str">
        <f>IF(AND('领用录入（明细）'!D:D=$F$4,'领用录入（明细）'!C:C&gt;=$J$4,'领用录入（明细）'!C:C&lt;=$L$4),ROW(),"-")</f>
        <v>-</v>
      </c>
    </row>
    <row r="44925" customHeight="1" spans="2:2">
      <c r="B44925" s="62" t="str">
        <f>IF(AND('领用录入（明细）'!D:D=$F$4,'领用录入（明细）'!C:C&gt;=$J$4,'领用录入（明细）'!C:C&lt;=$L$4),ROW(),"-")</f>
        <v>-</v>
      </c>
    </row>
    <row r="44926" customHeight="1" spans="2:2">
      <c r="B44926" s="62" t="str">
        <f>IF(AND('领用录入（明细）'!D:D=$F$4,'领用录入（明细）'!C:C&gt;=$J$4,'领用录入（明细）'!C:C&lt;=$L$4),ROW(),"-")</f>
        <v>-</v>
      </c>
    </row>
    <row r="44927" customHeight="1" spans="2:2">
      <c r="B44927" s="62" t="str">
        <f>IF(AND('领用录入（明细）'!D:D=$F$4,'领用录入（明细）'!C:C&gt;=$J$4,'领用录入（明细）'!C:C&lt;=$L$4),ROW(),"-")</f>
        <v>-</v>
      </c>
    </row>
    <row r="44928" customHeight="1" spans="2:2">
      <c r="B44928" s="62" t="str">
        <f>IF(AND('领用录入（明细）'!D:D=$F$4,'领用录入（明细）'!C:C&gt;=$J$4,'领用录入（明细）'!C:C&lt;=$L$4),ROW(),"-")</f>
        <v>-</v>
      </c>
    </row>
    <row r="44929" customHeight="1" spans="2:2">
      <c r="B44929" s="62" t="str">
        <f>IF(AND('领用录入（明细）'!D:D=$F$4,'领用录入（明细）'!C:C&gt;=$J$4,'领用录入（明细）'!C:C&lt;=$L$4),ROW(),"-")</f>
        <v>-</v>
      </c>
    </row>
    <row r="44930" customHeight="1" spans="2:2">
      <c r="B44930" s="62" t="str">
        <f>IF(AND('领用录入（明细）'!D:D=$F$4,'领用录入（明细）'!C:C&gt;=$J$4,'领用录入（明细）'!C:C&lt;=$L$4),ROW(),"-")</f>
        <v>-</v>
      </c>
    </row>
    <row r="44931" customHeight="1" spans="2:2">
      <c r="B44931" s="62" t="str">
        <f>IF(AND('领用录入（明细）'!D:D=$F$4,'领用录入（明细）'!C:C&gt;=$J$4,'领用录入（明细）'!C:C&lt;=$L$4),ROW(),"-")</f>
        <v>-</v>
      </c>
    </row>
    <row r="44932" customHeight="1" spans="2:2">
      <c r="B44932" s="62" t="str">
        <f>IF(AND('领用录入（明细）'!D:D=$F$4,'领用录入（明细）'!C:C&gt;=$J$4,'领用录入（明细）'!C:C&lt;=$L$4),ROW(),"-")</f>
        <v>-</v>
      </c>
    </row>
    <row r="44933" customHeight="1" spans="2:2">
      <c r="B44933" s="62" t="str">
        <f>IF(AND('领用录入（明细）'!D:D=$F$4,'领用录入（明细）'!C:C&gt;=$J$4,'领用录入（明细）'!C:C&lt;=$L$4),ROW(),"-")</f>
        <v>-</v>
      </c>
    </row>
    <row r="44934" customHeight="1" spans="2:2">
      <c r="B44934" s="62" t="str">
        <f>IF(AND('领用录入（明细）'!D:D=$F$4,'领用录入（明细）'!C:C&gt;=$J$4,'领用录入（明细）'!C:C&lt;=$L$4),ROW(),"-")</f>
        <v>-</v>
      </c>
    </row>
    <row r="44935" customHeight="1" spans="2:2">
      <c r="B44935" s="62" t="str">
        <f>IF(AND('领用录入（明细）'!D:D=$F$4,'领用录入（明细）'!C:C&gt;=$J$4,'领用录入（明细）'!C:C&lt;=$L$4),ROW(),"-")</f>
        <v>-</v>
      </c>
    </row>
    <row r="44936" customHeight="1" spans="2:2">
      <c r="B44936" s="62" t="str">
        <f>IF(AND('领用录入（明细）'!D:D=$F$4,'领用录入（明细）'!C:C&gt;=$J$4,'领用录入（明细）'!C:C&lt;=$L$4),ROW(),"-")</f>
        <v>-</v>
      </c>
    </row>
    <row r="44937" customHeight="1" spans="2:2">
      <c r="B44937" s="62" t="str">
        <f>IF(AND('领用录入（明细）'!D:D=$F$4,'领用录入（明细）'!C:C&gt;=$J$4,'领用录入（明细）'!C:C&lt;=$L$4),ROW(),"-")</f>
        <v>-</v>
      </c>
    </row>
    <row r="44938" customHeight="1" spans="2:2">
      <c r="B44938" s="62" t="str">
        <f>IF(AND('领用录入（明细）'!D:D=$F$4,'领用录入（明细）'!C:C&gt;=$J$4,'领用录入（明细）'!C:C&lt;=$L$4),ROW(),"-")</f>
        <v>-</v>
      </c>
    </row>
    <row r="44939" customHeight="1" spans="2:2">
      <c r="B44939" s="62" t="str">
        <f>IF(AND('领用录入（明细）'!D:D=$F$4,'领用录入（明细）'!C:C&gt;=$J$4,'领用录入（明细）'!C:C&lt;=$L$4),ROW(),"-")</f>
        <v>-</v>
      </c>
    </row>
    <row r="44940" customHeight="1" spans="2:2">
      <c r="B44940" s="62" t="str">
        <f>IF(AND('领用录入（明细）'!D:D=$F$4,'领用录入（明细）'!C:C&gt;=$J$4,'领用录入（明细）'!C:C&lt;=$L$4),ROW(),"-")</f>
        <v>-</v>
      </c>
    </row>
    <row r="44941" customHeight="1" spans="2:2">
      <c r="B44941" s="62" t="str">
        <f>IF(AND('领用录入（明细）'!D:D=$F$4,'领用录入（明细）'!C:C&gt;=$J$4,'领用录入（明细）'!C:C&lt;=$L$4),ROW(),"-")</f>
        <v>-</v>
      </c>
    </row>
    <row r="44942" customHeight="1" spans="2:2">
      <c r="B44942" s="62" t="str">
        <f>IF(AND('领用录入（明细）'!D:D=$F$4,'领用录入（明细）'!C:C&gt;=$J$4,'领用录入（明细）'!C:C&lt;=$L$4),ROW(),"-")</f>
        <v>-</v>
      </c>
    </row>
    <row r="44943" customHeight="1" spans="2:2">
      <c r="B44943" s="62" t="str">
        <f>IF(AND('领用录入（明细）'!D:D=$F$4,'领用录入（明细）'!C:C&gt;=$J$4,'领用录入（明细）'!C:C&lt;=$L$4),ROW(),"-")</f>
        <v>-</v>
      </c>
    </row>
    <row r="44944" customHeight="1" spans="2:2">
      <c r="B44944" s="62" t="str">
        <f>IF(AND('领用录入（明细）'!D:D=$F$4,'领用录入（明细）'!C:C&gt;=$J$4,'领用录入（明细）'!C:C&lt;=$L$4),ROW(),"-")</f>
        <v>-</v>
      </c>
    </row>
    <row r="44945" customHeight="1" spans="2:2">
      <c r="B44945" s="62" t="str">
        <f>IF(AND('领用录入（明细）'!D:D=$F$4,'领用录入（明细）'!C:C&gt;=$J$4,'领用录入（明细）'!C:C&lt;=$L$4),ROW(),"-")</f>
        <v>-</v>
      </c>
    </row>
    <row r="44946" customHeight="1" spans="2:2">
      <c r="B44946" s="62" t="str">
        <f>IF(AND('领用录入（明细）'!D:D=$F$4,'领用录入（明细）'!C:C&gt;=$J$4,'领用录入（明细）'!C:C&lt;=$L$4),ROW(),"-")</f>
        <v>-</v>
      </c>
    </row>
    <row r="44947" customHeight="1" spans="2:2">
      <c r="B44947" s="62" t="str">
        <f>IF(AND('领用录入（明细）'!D:D=$F$4,'领用录入（明细）'!C:C&gt;=$J$4,'领用录入（明细）'!C:C&lt;=$L$4),ROW(),"-")</f>
        <v>-</v>
      </c>
    </row>
    <row r="44948" customHeight="1" spans="2:2">
      <c r="B44948" s="62" t="str">
        <f>IF(AND('领用录入（明细）'!D:D=$F$4,'领用录入（明细）'!C:C&gt;=$J$4,'领用录入（明细）'!C:C&lt;=$L$4),ROW(),"-")</f>
        <v>-</v>
      </c>
    </row>
    <row r="44949" customHeight="1" spans="2:2">
      <c r="B44949" s="62" t="str">
        <f>IF(AND('领用录入（明细）'!D:D=$F$4,'领用录入（明细）'!C:C&gt;=$J$4,'领用录入（明细）'!C:C&lt;=$L$4),ROW(),"-")</f>
        <v>-</v>
      </c>
    </row>
    <row r="44950" customHeight="1" spans="2:2">
      <c r="B44950" s="62" t="str">
        <f>IF(AND('领用录入（明细）'!D:D=$F$4,'领用录入（明细）'!C:C&gt;=$J$4,'领用录入（明细）'!C:C&lt;=$L$4),ROW(),"-")</f>
        <v>-</v>
      </c>
    </row>
    <row r="44951" customHeight="1" spans="2:2">
      <c r="B44951" s="62" t="str">
        <f>IF(AND('领用录入（明细）'!D:D=$F$4,'领用录入（明细）'!C:C&gt;=$J$4,'领用录入（明细）'!C:C&lt;=$L$4),ROW(),"-")</f>
        <v>-</v>
      </c>
    </row>
    <row r="44952" customHeight="1" spans="2:2">
      <c r="B44952" s="62" t="str">
        <f>IF(AND('领用录入（明细）'!D:D=$F$4,'领用录入（明细）'!C:C&gt;=$J$4,'领用录入（明细）'!C:C&lt;=$L$4),ROW(),"-")</f>
        <v>-</v>
      </c>
    </row>
    <row r="44953" customHeight="1" spans="2:2">
      <c r="B44953" s="62" t="str">
        <f>IF(AND('领用录入（明细）'!D:D=$F$4,'领用录入（明细）'!C:C&gt;=$J$4,'领用录入（明细）'!C:C&lt;=$L$4),ROW(),"-")</f>
        <v>-</v>
      </c>
    </row>
    <row r="44954" customHeight="1" spans="2:2">
      <c r="B44954" s="62" t="str">
        <f>IF(AND('领用录入（明细）'!D:D=$F$4,'领用录入（明细）'!C:C&gt;=$J$4,'领用录入（明细）'!C:C&lt;=$L$4),ROW(),"-")</f>
        <v>-</v>
      </c>
    </row>
    <row r="44955" customHeight="1" spans="2:2">
      <c r="B44955" s="62" t="str">
        <f>IF(AND('领用录入（明细）'!D:D=$F$4,'领用录入（明细）'!C:C&gt;=$J$4,'领用录入（明细）'!C:C&lt;=$L$4),ROW(),"-")</f>
        <v>-</v>
      </c>
    </row>
    <row r="44956" customHeight="1" spans="2:2">
      <c r="B44956" s="62" t="str">
        <f>IF(AND('领用录入（明细）'!D:D=$F$4,'领用录入（明细）'!C:C&gt;=$J$4,'领用录入（明细）'!C:C&lt;=$L$4),ROW(),"-")</f>
        <v>-</v>
      </c>
    </row>
    <row r="44957" customHeight="1" spans="2:2">
      <c r="B44957" s="62" t="str">
        <f>IF(AND('领用录入（明细）'!D:D=$F$4,'领用录入（明细）'!C:C&gt;=$J$4,'领用录入（明细）'!C:C&lt;=$L$4),ROW(),"-")</f>
        <v>-</v>
      </c>
    </row>
    <row r="44958" customHeight="1" spans="2:2">
      <c r="B44958" s="62" t="str">
        <f>IF(AND('领用录入（明细）'!D:D=$F$4,'领用录入（明细）'!C:C&gt;=$J$4,'领用录入（明细）'!C:C&lt;=$L$4),ROW(),"-")</f>
        <v>-</v>
      </c>
    </row>
    <row r="44959" customHeight="1" spans="2:2">
      <c r="B44959" s="62" t="str">
        <f>IF(AND('领用录入（明细）'!D:D=$F$4,'领用录入（明细）'!C:C&gt;=$J$4,'领用录入（明细）'!C:C&lt;=$L$4),ROW(),"-")</f>
        <v>-</v>
      </c>
    </row>
    <row r="44960" customHeight="1" spans="2:2">
      <c r="B44960" s="62" t="str">
        <f>IF(AND('领用录入（明细）'!D:D=$F$4,'领用录入（明细）'!C:C&gt;=$J$4,'领用录入（明细）'!C:C&lt;=$L$4),ROW(),"-")</f>
        <v>-</v>
      </c>
    </row>
    <row r="44961" customHeight="1" spans="2:2">
      <c r="B44961" s="62" t="str">
        <f>IF(AND('领用录入（明细）'!D:D=$F$4,'领用录入（明细）'!C:C&gt;=$J$4,'领用录入（明细）'!C:C&lt;=$L$4),ROW(),"-")</f>
        <v>-</v>
      </c>
    </row>
    <row r="44962" customHeight="1" spans="2:2">
      <c r="B44962" s="62" t="str">
        <f>IF(AND('领用录入（明细）'!D:D=$F$4,'领用录入（明细）'!C:C&gt;=$J$4,'领用录入（明细）'!C:C&lt;=$L$4),ROW(),"-")</f>
        <v>-</v>
      </c>
    </row>
    <row r="44963" customHeight="1" spans="2:2">
      <c r="B44963" s="62" t="str">
        <f>IF(AND('领用录入（明细）'!D:D=$F$4,'领用录入（明细）'!C:C&gt;=$J$4,'领用录入（明细）'!C:C&lt;=$L$4),ROW(),"-")</f>
        <v>-</v>
      </c>
    </row>
    <row r="44964" customHeight="1" spans="2:2">
      <c r="B44964" s="62" t="str">
        <f>IF(AND('领用录入（明细）'!D:D=$F$4,'领用录入（明细）'!C:C&gt;=$J$4,'领用录入（明细）'!C:C&lt;=$L$4),ROW(),"-")</f>
        <v>-</v>
      </c>
    </row>
    <row r="44965" customHeight="1" spans="2:2">
      <c r="B44965" s="62" t="str">
        <f>IF(AND('领用录入（明细）'!D:D=$F$4,'领用录入（明细）'!C:C&gt;=$J$4,'领用录入（明细）'!C:C&lt;=$L$4),ROW(),"-")</f>
        <v>-</v>
      </c>
    </row>
    <row r="44966" customHeight="1" spans="2:2">
      <c r="B44966" s="62" t="str">
        <f>IF(AND('领用录入（明细）'!D:D=$F$4,'领用录入（明细）'!C:C&gt;=$J$4,'领用录入（明细）'!C:C&lt;=$L$4),ROW(),"-")</f>
        <v>-</v>
      </c>
    </row>
    <row r="44967" customHeight="1" spans="2:2">
      <c r="B44967" s="62" t="str">
        <f>IF(AND('领用录入（明细）'!D:D=$F$4,'领用录入（明细）'!C:C&gt;=$J$4,'领用录入（明细）'!C:C&lt;=$L$4),ROW(),"-")</f>
        <v>-</v>
      </c>
    </row>
    <row r="44968" customHeight="1" spans="2:2">
      <c r="B44968" s="62" t="str">
        <f>IF(AND('领用录入（明细）'!D:D=$F$4,'领用录入（明细）'!C:C&gt;=$J$4,'领用录入（明细）'!C:C&lt;=$L$4),ROW(),"-")</f>
        <v>-</v>
      </c>
    </row>
    <row r="44969" customHeight="1" spans="2:2">
      <c r="B44969" s="62" t="str">
        <f>IF(AND('领用录入（明细）'!D:D=$F$4,'领用录入（明细）'!C:C&gt;=$J$4,'领用录入（明细）'!C:C&lt;=$L$4),ROW(),"-")</f>
        <v>-</v>
      </c>
    </row>
    <row r="44970" customHeight="1" spans="2:2">
      <c r="B44970" s="62" t="str">
        <f>IF(AND('领用录入（明细）'!D:D=$F$4,'领用录入（明细）'!C:C&gt;=$J$4,'领用录入（明细）'!C:C&lt;=$L$4),ROW(),"-")</f>
        <v>-</v>
      </c>
    </row>
    <row r="44971" customHeight="1" spans="2:2">
      <c r="B44971" s="62" t="str">
        <f>IF(AND('领用录入（明细）'!D:D=$F$4,'领用录入（明细）'!C:C&gt;=$J$4,'领用录入（明细）'!C:C&lt;=$L$4),ROW(),"-")</f>
        <v>-</v>
      </c>
    </row>
    <row r="44972" customHeight="1" spans="2:2">
      <c r="B44972" s="62" t="str">
        <f>IF(AND('领用录入（明细）'!D:D=$F$4,'领用录入（明细）'!C:C&gt;=$J$4,'领用录入（明细）'!C:C&lt;=$L$4),ROW(),"-")</f>
        <v>-</v>
      </c>
    </row>
    <row r="44973" customHeight="1" spans="2:2">
      <c r="B44973" s="62" t="str">
        <f>IF(AND('领用录入（明细）'!D:D=$F$4,'领用录入（明细）'!C:C&gt;=$J$4,'领用录入（明细）'!C:C&lt;=$L$4),ROW(),"-")</f>
        <v>-</v>
      </c>
    </row>
    <row r="44974" customHeight="1" spans="2:2">
      <c r="B44974" s="62" t="str">
        <f>IF(AND('领用录入（明细）'!D:D=$F$4,'领用录入（明细）'!C:C&gt;=$J$4,'领用录入（明细）'!C:C&lt;=$L$4),ROW(),"-")</f>
        <v>-</v>
      </c>
    </row>
    <row r="44975" customHeight="1" spans="2:2">
      <c r="B44975" s="62" t="str">
        <f>IF(AND('领用录入（明细）'!D:D=$F$4,'领用录入（明细）'!C:C&gt;=$J$4,'领用录入（明细）'!C:C&lt;=$L$4),ROW(),"-")</f>
        <v>-</v>
      </c>
    </row>
    <row r="44976" customHeight="1" spans="2:2">
      <c r="B44976" s="62" t="str">
        <f>IF(AND('领用录入（明细）'!D:D=$F$4,'领用录入（明细）'!C:C&gt;=$J$4,'领用录入（明细）'!C:C&lt;=$L$4),ROW(),"-")</f>
        <v>-</v>
      </c>
    </row>
    <row r="44977" customHeight="1" spans="2:2">
      <c r="B44977" s="62" t="str">
        <f>IF(AND('领用录入（明细）'!D:D=$F$4,'领用录入（明细）'!C:C&gt;=$J$4,'领用录入（明细）'!C:C&lt;=$L$4),ROW(),"-")</f>
        <v>-</v>
      </c>
    </row>
    <row r="44978" customHeight="1" spans="2:2">
      <c r="B44978" s="62" t="str">
        <f>IF(AND('领用录入（明细）'!D:D=$F$4,'领用录入（明细）'!C:C&gt;=$J$4,'领用录入（明细）'!C:C&lt;=$L$4),ROW(),"-")</f>
        <v>-</v>
      </c>
    </row>
    <row r="44979" customHeight="1" spans="2:2">
      <c r="B44979" s="62" t="str">
        <f>IF(AND('领用录入（明细）'!D:D=$F$4,'领用录入（明细）'!C:C&gt;=$J$4,'领用录入（明细）'!C:C&lt;=$L$4),ROW(),"-")</f>
        <v>-</v>
      </c>
    </row>
    <row r="44980" customHeight="1" spans="2:2">
      <c r="B44980" s="62" t="str">
        <f>IF(AND('领用录入（明细）'!D:D=$F$4,'领用录入（明细）'!C:C&gt;=$J$4,'领用录入（明细）'!C:C&lt;=$L$4),ROW(),"-")</f>
        <v>-</v>
      </c>
    </row>
    <row r="44981" customHeight="1" spans="2:2">
      <c r="B44981" s="62" t="str">
        <f>IF(AND('领用录入（明细）'!D:D=$F$4,'领用录入（明细）'!C:C&gt;=$J$4,'领用录入（明细）'!C:C&lt;=$L$4),ROW(),"-")</f>
        <v>-</v>
      </c>
    </row>
    <row r="44982" customHeight="1" spans="2:2">
      <c r="B44982" s="62" t="str">
        <f>IF(AND('领用录入（明细）'!D:D=$F$4,'领用录入（明细）'!C:C&gt;=$J$4,'领用录入（明细）'!C:C&lt;=$L$4),ROW(),"-")</f>
        <v>-</v>
      </c>
    </row>
    <row r="44983" customHeight="1" spans="2:2">
      <c r="B44983" s="62" t="str">
        <f>IF(AND('领用录入（明细）'!D:D=$F$4,'领用录入（明细）'!C:C&gt;=$J$4,'领用录入（明细）'!C:C&lt;=$L$4),ROW(),"-")</f>
        <v>-</v>
      </c>
    </row>
    <row r="44984" customHeight="1" spans="2:2">
      <c r="B44984" s="62" t="str">
        <f>IF(AND('领用录入（明细）'!D:D=$F$4,'领用录入（明细）'!C:C&gt;=$J$4,'领用录入（明细）'!C:C&lt;=$L$4),ROW(),"-")</f>
        <v>-</v>
      </c>
    </row>
    <row r="44985" customHeight="1" spans="2:2">
      <c r="B44985" s="62" t="str">
        <f>IF(AND('领用录入（明细）'!D:D=$F$4,'领用录入（明细）'!C:C&gt;=$J$4,'领用录入（明细）'!C:C&lt;=$L$4),ROW(),"-")</f>
        <v>-</v>
      </c>
    </row>
    <row r="44986" customHeight="1" spans="2:2">
      <c r="B44986" s="62" t="str">
        <f>IF(AND('领用录入（明细）'!D:D=$F$4,'领用录入（明细）'!C:C&gt;=$J$4,'领用录入（明细）'!C:C&lt;=$L$4),ROW(),"-")</f>
        <v>-</v>
      </c>
    </row>
    <row r="44987" customHeight="1" spans="2:2">
      <c r="B44987" s="62" t="str">
        <f>IF(AND('领用录入（明细）'!D:D=$F$4,'领用录入（明细）'!C:C&gt;=$J$4,'领用录入（明细）'!C:C&lt;=$L$4),ROW(),"-")</f>
        <v>-</v>
      </c>
    </row>
    <row r="44988" customHeight="1" spans="2:2">
      <c r="B44988" s="62" t="str">
        <f>IF(AND('领用录入（明细）'!D:D=$F$4,'领用录入（明细）'!C:C&gt;=$J$4,'领用录入（明细）'!C:C&lt;=$L$4),ROW(),"-")</f>
        <v>-</v>
      </c>
    </row>
    <row r="44989" customHeight="1" spans="2:2">
      <c r="B44989" s="62" t="str">
        <f>IF(AND('领用录入（明细）'!D:D=$F$4,'领用录入（明细）'!C:C&gt;=$J$4,'领用录入（明细）'!C:C&lt;=$L$4),ROW(),"-")</f>
        <v>-</v>
      </c>
    </row>
    <row r="44990" customHeight="1" spans="2:2">
      <c r="B44990" s="62" t="str">
        <f>IF(AND('领用录入（明细）'!D:D=$F$4,'领用录入（明细）'!C:C&gt;=$J$4,'领用录入（明细）'!C:C&lt;=$L$4),ROW(),"-")</f>
        <v>-</v>
      </c>
    </row>
    <row r="44991" customHeight="1" spans="2:2">
      <c r="B44991" s="62" t="str">
        <f>IF(AND('领用录入（明细）'!D:D=$F$4,'领用录入（明细）'!C:C&gt;=$J$4,'领用录入（明细）'!C:C&lt;=$L$4),ROW(),"-")</f>
        <v>-</v>
      </c>
    </row>
    <row r="44992" customHeight="1" spans="2:2">
      <c r="B44992" s="62" t="str">
        <f>IF(AND('领用录入（明细）'!D:D=$F$4,'领用录入（明细）'!C:C&gt;=$J$4,'领用录入（明细）'!C:C&lt;=$L$4),ROW(),"-")</f>
        <v>-</v>
      </c>
    </row>
    <row r="44993" customHeight="1" spans="2:2">
      <c r="B44993" s="62" t="str">
        <f>IF(AND('领用录入（明细）'!D:D=$F$4,'领用录入（明细）'!C:C&gt;=$J$4,'领用录入（明细）'!C:C&lt;=$L$4),ROW(),"-")</f>
        <v>-</v>
      </c>
    </row>
    <row r="44994" customHeight="1" spans="2:2">
      <c r="B44994" s="62" t="str">
        <f>IF(AND('领用录入（明细）'!D:D=$F$4,'领用录入（明细）'!C:C&gt;=$J$4,'领用录入（明细）'!C:C&lt;=$L$4),ROW(),"-")</f>
        <v>-</v>
      </c>
    </row>
    <row r="44995" customHeight="1" spans="2:2">
      <c r="B44995" s="62" t="str">
        <f>IF(AND('领用录入（明细）'!D:D=$F$4,'领用录入（明细）'!C:C&gt;=$J$4,'领用录入（明细）'!C:C&lt;=$L$4),ROW(),"-")</f>
        <v>-</v>
      </c>
    </row>
    <row r="44996" customHeight="1" spans="2:2">
      <c r="B44996" s="62" t="str">
        <f>IF(AND('领用录入（明细）'!D:D=$F$4,'领用录入（明细）'!C:C&gt;=$J$4,'领用录入（明细）'!C:C&lt;=$L$4),ROW(),"-")</f>
        <v>-</v>
      </c>
    </row>
    <row r="44997" customHeight="1" spans="2:2">
      <c r="B44997" s="62" t="str">
        <f>IF(AND('领用录入（明细）'!D:D=$F$4,'领用录入（明细）'!C:C&gt;=$J$4,'领用录入（明细）'!C:C&lt;=$L$4),ROW(),"-")</f>
        <v>-</v>
      </c>
    </row>
    <row r="44998" customHeight="1" spans="2:2">
      <c r="B44998" s="62" t="str">
        <f>IF(AND('领用录入（明细）'!D:D=$F$4,'领用录入（明细）'!C:C&gt;=$J$4,'领用录入（明细）'!C:C&lt;=$L$4),ROW(),"-")</f>
        <v>-</v>
      </c>
    </row>
    <row r="44999" customHeight="1" spans="2:2">
      <c r="B44999" s="62" t="str">
        <f>IF(AND('领用录入（明细）'!D:D=$F$4,'领用录入（明细）'!C:C&gt;=$J$4,'领用录入（明细）'!C:C&lt;=$L$4),ROW(),"-")</f>
        <v>-</v>
      </c>
    </row>
    <row r="45000" customHeight="1" spans="2:2">
      <c r="B45000" s="62" t="str">
        <f>IF(AND('领用录入（明细）'!D:D=$F$4,'领用录入（明细）'!C:C&gt;=$J$4,'领用录入（明细）'!C:C&lt;=$L$4),ROW(),"-")</f>
        <v>-</v>
      </c>
    </row>
    <row r="45001" customHeight="1" spans="2:2">
      <c r="B45001" s="62" t="str">
        <f>IF(AND('领用录入（明细）'!D:D=$F$4,'领用录入（明细）'!C:C&gt;=$J$4,'领用录入（明细）'!C:C&lt;=$L$4),ROW(),"-")</f>
        <v>-</v>
      </c>
    </row>
    <row r="45002" customHeight="1" spans="2:2">
      <c r="B45002" s="62" t="str">
        <f>IF(AND('领用录入（明细）'!D:D=$F$4,'领用录入（明细）'!C:C&gt;=$J$4,'领用录入（明细）'!C:C&lt;=$L$4),ROW(),"-")</f>
        <v>-</v>
      </c>
    </row>
    <row r="45003" customHeight="1" spans="2:2">
      <c r="B45003" s="62" t="str">
        <f>IF(AND('领用录入（明细）'!D:D=$F$4,'领用录入（明细）'!C:C&gt;=$J$4,'领用录入（明细）'!C:C&lt;=$L$4),ROW(),"-")</f>
        <v>-</v>
      </c>
    </row>
    <row r="45004" customHeight="1" spans="2:2">
      <c r="B45004" s="62" t="str">
        <f>IF(AND('领用录入（明细）'!D:D=$F$4,'领用录入（明细）'!C:C&gt;=$J$4,'领用录入（明细）'!C:C&lt;=$L$4),ROW(),"-")</f>
        <v>-</v>
      </c>
    </row>
    <row r="45005" customHeight="1" spans="2:2">
      <c r="B45005" s="62" t="str">
        <f>IF(AND('领用录入（明细）'!D:D=$F$4,'领用录入（明细）'!C:C&gt;=$J$4,'领用录入（明细）'!C:C&lt;=$L$4),ROW(),"-")</f>
        <v>-</v>
      </c>
    </row>
    <row r="45006" customHeight="1" spans="2:2">
      <c r="B45006" s="62" t="str">
        <f>IF(AND('领用录入（明细）'!D:D=$F$4,'领用录入（明细）'!C:C&gt;=$J$4,'领用录入（明细）'!C:C&lt;=$L$4),ROW(),"-")</f>
        <v>-</v>
      </c>
    </row>
    <row r="45007" customHeight="1" spans="2:2">
      <c r="B45007" s="62" t="str">
        <f>IF(AND('领用录入（明细）'!D:D=$F$4,'领用录入（明细）'!C:C&gt;=$J$4,'领用录入（明细）'!C:C&lt;=$L$4),ROW(),"-")</f>
        <v>-</v>
      </c>
    </row>
    <row r="45008" customHeight="1" spans="2:2">
      <c r="B45008" s="62" t="str">
        <f>IF(AND('领用录入（明细）'!D:D=$F$4,'领用录入（明细）'!C:C&gt;=$J$4,'领用录入（明细）'!C:C&lt;=$L$4),ROW(),"-")</f>
        <v>-</v>
      </c>
    </row>
    <row r="45009" customHeight="1" spans="2:2">
      <c r="B45009" s="62" t="str">
        <f>IF(AND('领用录入（明细）'!D:D=$F$4,'领用录入（明细）'!C:C&gt;=$J$4,'领用录入（明细）'!C:C&lt;=$L$4),ROW(),"-")</f>
        <v>-</v>
      </c>
    </row>
    <row r="45010" customHeight="1" spans="2:2">
      <c r="B45010" s="62" t="str">
        <f>IF(AND('领用录入（明细）'!D:D=$F$4,'领用录入（明细）'!C:C&gt;=$J$4,'领用录入（明细）'!C:C&lt;=$L$4),ROW(),"-")</f>
        <v>-</v>
      </c>
    </row>
    <row r="45011" customHeight="1" spans="2:2">
      <c r="B45011" s="62" t="str">
        <f>IF(AND('领用录入（明细）'!D:D=$F$4,'领用录入（明细）'!C:C&gt;=$J$4,'领用录入（明细）'!C:C&lt;=$L$4),ROW(),"-")</f>
        <v>-</v>
      </c>
    </row>
    <row r="45012" customHeight="1" spans="2:2">
      <c r="B45012" s="62" t="str">
        <f>IF(AND('领用录入（明细）'!D:D=$F$4,'领用录入（明细）'!C:C&gt;=$J$4,'领用录入（明细）'!C:C&lt;=$L$4),ROW(),"-")</f>
        <v>-</v>
      </c>
    </row>
    <row r="45013" customHeight="1" spans="2:2">
      <c r="B45013" s="62" t="str">
        <f>IF(AND('领用录入（明细）'!D:D=$F$4,'领用录入（明细）'!C:C&gt;=$J$4,'领用录入（明细）'!C:C&lt;=$L$4),ROW(),"-")</f>
        <v>-</v>
      </c>
    </row>
    <row r="45014" customHeight="1" spans="2:2">
      <c r="B45014" s="62" t="str">
        <f>IF(AND('领用录入（明细）'!D:D=$F$4,'领用录入（明细）'!C:C&gt;=$J$4,'领用录入（明细）'!C:C&lt;=$L$4),ROW(),"-")</f>
        <v>-</v>
      </c>
    </row>
    <row r="45015" customHeight="1" spans="2:2">
      <c r="B45015" s="62" t="str">
        <f>IF(AND('领用录入（明细）'!D:D=$F$4,'领用录入（明细）'!C:C&gt;=$J$4,'领用录入（明细）'!C:C&lt;=$L$4),ROW(),"-")</f>
        <v>-</v>
      </c>
    </row>
    <row r="45016" customHeight="1" spans="2:2">
      <c r="B45016" s="62" t="str">
        <f>IF(AND('领用录入（明细）'!D:D=$F$4,'领用录入（明细）'!C:C&gt;=$J$4,'领用录入（明细）'!C:C&lt;=$L$4),ROW(),"-")</f>
        <v>-</v>
      </c>
    </row>
    <row r="45017" customHeight="1" spans="2:2">
      <c r="B45017" s="62" t="str">
        <f>IF(AND('领用录入（明细）'!D:D=$F$4,'领用录入（明细）'!C:C&gt;=$J$4,'领用录入（明细）'!C:C&lt;=$L$4),ROW(),"-")</f>
        <v>-</v>
      </c>
    </row>
    <row r="45018" customHeight="1" spans="2:2">
      <c r="B45018" s="62" t="str">
        <f>IF(AND('领用录入（明细）'!D:D=$F$4,'领用录入（明细）'!C:C&gt;=$J$4,'领用录入（明细）'!C:C&lt;=$L$4),ROW(),"-")</f>
        <v>-</v>
      </c>
    </row>
    <row r="45019" customHeight="1" spans="2:2">
      <c r="B45019" s="62" t="str">
        <f>IF(AND('领用录入（明细）'!D:D=$F$4,'领用录入（明细）'!C:C&gt;=$J$4,'领用录入（明细）'!C:C&lt;=$L$4),ROW(),"-")</f>
        <v>-</v>
      </c>
    </row>
    <row r="45020" customHeight="1" spans="2:2">
      <c r="B45020" s="62" t="str">
        <f>IF(AND('领用录入（明细）'!D:D=$F$4,'领用录入（明细）'!C:C&gt;=$J$4,'领用录入（明细）'!C:C&lt;=$L$4),ROW(),"-")</f>
        <v>-</v>
      </c>
    </row>
    <row r="45021" customHeight="1" spans="2:2">
      <c r="B45021" s="62" t="str">
        <f>IF(AND('领用录入（明细）'!D:D=$F$4,'领用录入（明细）'!C:C&gt;=$J$4,'领用录入（明细）'!C:C&lt;=$L$4),ROW(),"-")</f>
        <v>-</v>
      </c>
    </row>
    <row r="45022" customHeight="1" spans="2:2">
      <c r="B45022" s="62" t="str">
        <f>IF(AND('领用录入（明细）'!D:D=$F$4,'领用录入（明细）'!C:C&gt;=$J$4,'领用录入（明细）'!C:C&lt;=$L$4),ROW(),"-")</f>
        <v>-</v>
      </c>
    </row>
    <row r="45023" customHeight="1" spans="2:2">
      <c r="B45023" s="62" t="str">
        <f>IF(AND('领用录入（明细）'!D:D=$F$4,'领用录入（明细）'!C:C&gt;=$J$4,'领用录入（明细）'!C:C&lt;=$L$4),ROW(),"-")</f>
        <v>-</v>
      </c>
    </row>
    <row r="45024" customHeight="1" spans="2:2">
      <c r="B45024" s="62" t="str">
        <f>IF(AND('领用录入（明细）'!D:D=$F$4,'领用录入（明细）'!C:C&gt;=$J$4,'领用录入（明细）'!C:C&lt;=$L$4),ROW(),"-")</f>
        <v>-</v>
      </c>
    </row>
    <row r="45025" customHeight="1" spans="2:2">
      <c r="B45025" s="62" t="str">
        <f>IF(AND('领用录入（明细）'!D:D=$F$4,'领用录入（明细）'!C:C&gt;=$J$4,'领用录入（明细）'!C:C&lt;=$L$4),ROW(),"-")</f>
        <v>-</v>
      </c>
    </row>
    <row r="45026" customHeight="1" spans="2:2">
      <c r="B45026" s="62" t="str">
        <f>IF(AND('领用录入（明细）'!D:D=$F$4,'领用录入（明细）'!C:C&gt;=$J$4,'领用录入（明细）'!C:C&lt;=$L$4),ROW(),"-")</f>
        <v>-</v>
      </c>
    </row>
    <row r="45027" customHeight="1" spans="2:2">
      <c r="B45027" s="62" t="str">
        <f>IF(AND('领用录入（明细）'!D:D=$F$4,'领用录入（明细）'!C:C&gt;=$J$4,'领用录入（明细）'!C:C&lt;=$L$4),ROW(),"-")</f>
        <v>-</v>
      </c>
    </row>
    <row r="45028" customHeight="1" spans="2:2">
      <c r="B45028" s="62" t="str">
        <f>IF(AND('领用录入（明细）'!D:D=$F$4,'领用录入（明细）'!C:C&gt;=$J$4,'领用录入（明细）'!C:C&lt;=$L$4),ROW(),"-")</f>
        <v>-</v>
      </c>
    </row>
    <row r="45029" customHeight="1" spans="2:2">
      <c r="B45029" s="62" t="str">
        <f>IF(AND('领用录入（明细）'!D:D=$F$4,'领用录入（明细）'!C:C&gt;=$J$4,'领用录入（明细）'!C:C&lt;=$L$4),ROW(),"-")</f>
        <v>-</v>
      </c>
    </row>
    <row r="45030" customHeight="1" spans="2:2">
      <c r="B45030" s="62" t="str">
        <f>IF(AND('领用录入（明细）'!D:D=$F$4,'领用录入（明细）'!C:C&gt;=$J$4,'领用录入（明细）'!C:C&lt;=$L$4),ROW(),"-")</f>
        <v>-</v>
      </c>
    </row>
    <row r="45031" customHeight="1" spans="2:2">
      <c r="B45031" s="62" t="str">
        <f>IF(AND('领用录入（明细）'!D:D=$F$4,'领用录入（明细）'!C:C&gt;=$J$4,'领用录入（明细）'!C:C&lt;=$L$4),ROW(),"-")</f>
        <v>-</v>
      </c>
    </row>
    <row r="45032" customHeight="1" spans="2:2">
      <c r="B45032" s="62" t="str">
        <f>IF(AND('领用录入（明细）'!D:D=$F$4,'领用录入（明细）'!C:C&gt;=$J$4,'领用录入（明细）'!C:C&lt;=$L$4),ROW(),"-")</f>
        <v>-</v>
      </c>
    </row>
    <row r="45033" customHeight="1" spans="2:2">
      <c r="B45033" s="62" t="str">
        <f>IF(AND('领用录入（明细）'!D:D=$F$4,'领用录入（明细）'!C:C&gt;=$J$4,'领用录入（明细）'!C:C&lt;=$L$4),ROW(),"-")</f>
        <v>-</v>
      </c>
    </row>
    <row r="45034" customHeight="1" spans="2:2">
      <c r="B45034" s="62" t="str">
        <f>IF(AND('领用录入（明细）'!D:D=$F$4,'领用录入（明细）'!C:C&gt;=$J$4,'领用录入（明细）'!C:C&lt;=$L$4),ROW(),"-")</f>
        <v>-</v>
      </c>
    </row>
    <row r="45035" customHeight="1" spans="2:2">
      <c r="B45035" s="62" t="str">
        <f>IF(AND('领用录入（明细）'!D:D=$F$4,'领用录入（明细）'!C:C&gt;=$J$4,'领用录入（明细）'!C:C&lt;=$L$4),ROW(),"-")</f>
        <v>-</v>
      </c>
    </row>
    <row r="45036" customHeight="1" spans="2:2">
      <c r="B45036" s="62" t="str">
        <f>IF(AND('领用录入（明细）'!D:D=$F$4,'领用录入（明细）'!C:C&gt;=$J$4,'领用录入（明细）'!C:C&lt;=$L$4),ROW(),"-")</f>
        <v>-</v>
      </c>
    </row>
    <row r="45037" customHeight="1" spans="2:2">
      <c r="B45037" s="62" t="str">
        <f>IF(AND('领用录入（明细）'!D:D=$F$4,'领用录入（明细）'!C:C&gt;=$J$4,'领用录入（明细）'!C:C&lt;=$L$4),ROW(),"-")</f>
        <v>-</v>
      </c>
    </row>
    <row r="45038" customHeight="1" spans="2:2">
      <c r="B45038" s="62" t="str">
        <f>IF(AND('领用录入（明细）'!D:D=$F$4,'领用录入（明细）'!C:C&gt;=$J$4,'领用录入（明细）'!C:C&lt;=$L$4),ROW(),"-")</f>
        <v>-</v>
      </c>
    </row>
    <row r="45039" customHeight="1" spans="2:2">
      <c r="B45039" s="62" t="str">
        <f>IF(AND('领用录入（明细）'!D:D=$F$4,'领用录入（明细）'!C:C&gt;=$J$4,'领用录入（明细）'!C:C&lt;=$L$4),ROW(),"-")</f>
        <v>-</v>
      </c>
    </row>
    <row r="45040" customHeight="1" spans="2:2">
      <c r="B45040" s="62" t="str">
        <f>IF(AND('领用录入（明细）'!D:D=$F$4,'领用录入（明细）'!C:C&gt;=$J$4,'领用录入（明细）'!C:C&lt;=$L$4),ROW(),"-")</f>
        <v>-</v>
      </c>
    </row>
    <row r="45041" customHeight="1" spans="2:2">
      <c r="B45041" s="62" t="str">
        <f>IF(AND('领用录入（明细）'!D:D=$F$4,'领用录入（明细）'!C:C&gt;=$J$4,'领用录入（明细）'!C:C&lt;=$L$4),ROW(),"-")</f>
        <v>-</v>
      </c>
    </row>
    <row r="45042" customHeight="1" spans="2:2">
      <c r="B45042" s="62" t="str">
        <f>IF(AND('领用录入（明细）'!D:D=$F$4,'领用录入（明细）'!C:C&gt;=$J$4,'领用录入（明细）'!C:C&lt;=$L$4),ROW(),"-")</f>
        <v>-</v>
      </c>
    </row>
    <row r="45043" customHeight="1" spans="2:2">
      <c r="B45043" s="62" t="str">
        <f>IF(AND('领用录入（明细）'!D:D=$F$4,'领用录入（明细）'!C:C&gt;=$J$4,'领用录入（明细）'!C:C&lt;=$L$4),ROW(),"-")</f>
        <v>-</v>
      </c>
    </row>
    <row r="45044" customHeight="1" spans="2:2">
      <c r="B45044" s="62" t="str">
        <f>IF(AND('领用录入（明细）'!D:D=$F$4,'领用录入（明细）'!C:C&gt;=$J$4,'领用录入（明细）'!C:C&lt;=$L$4),ROW(),"-")</f>
        <v>-</v>
      </c>
    </row>
    <row r="45045" customHeight="1" spans="2:2">
      <c r="B45045" s="62" t="str">
        <f>IF(AND('领用录入（明细）'!D:D=$F$4,'领用录入（明细）'!C:C&gt;=$J$4,'领用录入（明细）'!C:C&lt;=$L$4),ROW(),"-")</f>
        <v>-</v>
      </c>
    </row>
    <row r="45046" customHeight="1" spans="2:2">
      <c r="B45046" s="62" t="str">
        <f>IF(AND('领用录入（明细）'!D:D=$F$4,'领用录入（明细）'!C:C&gt;=$J$4,'领用录入（明细）'!C:C&lt;=$L$4),ROW(),"-")</f>
        <v>-</v>
      </c>
    </row>
    <row r="45047" customHeight="1" spans="2:2">
      <c r="B45047" s="62" t="str">
        <f>IF(AND('领用录入（明细）'!D:D=$F$4,'领用录入（明细）'!C:C&gt;=$J$4,'领用录入（明细）'!C:C&lt;=$L$4),ROW(),"-")</f>
        <v>-</v>
      </c>
    </row>
    <row r="45048" customHeight="1" spans="2:2">
      <c r="B45048" s="62" t="str">
        <f>IF(AND('领用录入（明细）'!D:D=$F$4,'领用录入（明细）'!C:C&gt;=$J$4,'领用录入（明细）'!C:C&lt;=$L$4),ROW(),"-")</f>
        <v>-</v>
      </c>
    </row>
    <row r="45049" customHeight="1" spans="2:2">
      <c r="B45049" s="62" t="str">
        <f>IF(AND('领用录入（明细）'!D:D=$F$4,'领用录入（明细）'!C:C&gt;=$J$4,'领用录入（明细）'!C:C&lt;=$L$4),ROW(),"-")</f>
        <v>-</v>
      </c>
    </row>
    <row r="45050" customHeight="1" spans="2:2">
      <c r="B45050" s="62" t="str">
        <f>IF(AND('领用录入（明细）'!D:D=$F$4,'领用录入（明细）'!C:C&gt;=$J$4,'领用录入（明细）'!C:C&lt;=$L$4),ROW(),"-")</f>
        <v>-</v>
      </c>
    </row>
    <row r="45051" customHeight="1" spans="2:2">
      <c r="B45051" s="62" t="str">
        <f>IF(AND('领用录入（明细）'!D:D=$F$4,'领用录入（明细）'!C:C&gt;=$J$4,'领用录入（明细）'!C:C&lt;=$L$4),ROW(),"-")</f>
        <v>-</v>
      </c>
    </row>
    <row r="45052" customHeight="1" spans="2:2">
      <c r="B45052" s="62" t="str">
        <f>IF(AND('领用录入（明细）'!D:D=$F$4,'领用录入（明细）'!C:C&gt;=$J$4,'领用录入（明细）'!C:C&lt;=$L$4),ROW(),"-")</f>
        <v>-</v>
      </c>
    </row>
    <row r="45053" customHeight="1" spans="2:2">
      <c r="B45053" s="62" t="str">
        <f>IF(AND('领用录入（明细）'!D:D=$F$4,'领用录入（明细）'!C:C&gt;=$J$4,'领用录入（明细）'!C:C&lt;=$L$4),ROW(),"-")</f>
        <v>-</v>
      </c>
    </row>
    <row r="45054" customHeight="1" spans="2:2">
      <c r="B45054" s="62" t="str">
        <f>IF(AND('领用录入（明细）'!D:D=$F$4,'领用录入（明细）'!C:C&gt;=$J$4,'领用录入（明细）'!C:C&lt;=$L$4),ROW(),"-")</f>
        <v>-</v>
      </c>
    </row>
    <row r="45055" customHeight="1" spans="2:2">
      <c r="B45055" s="62" t="str">
        <f>IF(AND('领用录入（明细）'!D:D=$F$4,'领用录入（明细）'!C:C&gt;=$J$4,'领用录入（明细）'!C:C&lt;=$L$4),ROW(),"-")</f>
        <v>-</v>
      </c>
    </row>
    <row r="45056" customHeight="1" spans="2:2">
      <c r="B45056" s="62" t="str">
        <f>IF(AND('领用录入（明细）'!D:D=$F$4,'领用录入（明细）'!C:C&gt;=$J$4,'领用录入（明细）'!C:C&lt;=$L$4),ROW(),"-")</f>
        <v>-</v>
      </c>
    </row>
    <row r="45057" customHeight="1" spans="2:2">
      <c r="B45057" s="62" t="str">
        <f>IF(AND('领用录入（明细）'!D:D=$F$4,'领用录入（明细）'!C:C&gt;=$J$4,'领用录入（明细）'!C:C&lt;=$L$4),ROW(),"-")</f>
        <v>-</v>
      </c>
    </row>
    <row r="45058" customHeight="1" spans="2:2">
      <c r="B45058" s="62" t="str">
        <f>IF(AND('领用录入（明细）'!D:D=$F$4,'领用录入（明细）'!C:C&gt;=$J$4,'领用录入（明细）'!C:C&lt;=$L$4),ROW(),"-")</f>
        <v>-</v>
      </c>
    </row>
    <row r="45059" customHeight="1" spans="2:2">
      <c r="B45059" s="62" t="str">
        <f>IF(AND('领用录入（明细）'!D:D=$F$4,'领用录入（明细）'!C:C&gt;=$J$4,'领用录入（明细）'!C:C&lt;=$L$4),ROW(),"-")</f>
        <v>-</v>
      </c>
    </row>
    <row r="45060" customHeight="1" spans="2:2">
      <c r="B45060" s="62" t="str">
        <f>IF(AND('领用录入（明细）'!D:D=$F$4,'领用录入（明细）'!C:C&gt;=$J$4,'领用录入（明细）'!C:C&lt;=$L$4),ROW(),"-")</f>
        <v>-</v>
      </c>
    </row>
    <row r="45061" customHeight="1" spans="2:2">
      <c r="B45061" s="62" t="str">
        <f>IF(AND('领用录入（明细）'!D:D=$F$4,'领用录入（明细）'!C:C&gt;=$J$4,'领用录入（明细）'!C:C&lt;=$L$4),ROW(),"-")</f>
        <v>-</v>
      </c>
    </row>
    <row r="45062" customHeight="1" spans="2:2">
      <c r="B45062" s="62" t="str">
        <f>IF(AND('领用录入（明细）'!D:D=$F$4,'领用录入（明细）'!C:C&gt;=$J$4,'领用录入（明细）'!C:C&lt;=$L$4),ROW(),"-")</f>
        <v>-</v>
      </c>
    </row>
    <row r="45063" customHeight="1" spans="2:2">
      <c r="B45063" s="62" t="str">
        <f>IF(AND('领用录入（明细）'!D:D=$F$4,'领用录入（明细）'!C:C&gt;=$J$4,'领用录入（明细）'!C:C&lt;=$L$4),ROW(),"-")</f>
        <v>-</v>
      </c>
    </row>
    <row r="45064" customHeight="1" spans="2:2">
      <c r="B45064" s="62" t="str">
        <f>IF(AND('领用录入（明细）'!D:D=$F$4,'领用录入（明细）'!C:C&gt;=$J$4,'领用录入（明细）'!C:C&lt;=$L$4),ROW(),"-")</f>
        <v>-</v>
      </c>
    </row>
    <row r="45065" customHeight="1" spans="2:2">
      <c r="B45065" s="62" t="str">
        <f>IF(AND('领用录入（明细）'!D:D=$F$4,'领用录入（明细）'!C:C&gt;=$J$4,'领用录入（明细）'!C:C&lt;=$L$4),ROW(),"-")</f>
        <v>-</v>
      </c>
    </row>
    <row r="45066" customHeight="1" spans="2:2">
      <c r="B45066" s="62" t="str">
        <f>IF(AND('领用录入（明细）'!D:D=$F$4,'领用录入（明细）'!C:C&gt;=$J$4,'领用录入（明细）'!C:C&lt;=$L$4),ROW(),"-")</f>
        <v>-</v>
      </c>
    </row>
    <row r="45067" customHeight="1" spans="2:2">
      <c r="B45067" s="62" t="str">
        <f>IF(AND('领用录入（明细）'!D:D=$F$4,'领用录入（明细）'!C:C&gt;=$J$4,'领用录入（明细）'!C:C&lt;=$L$4),ROW(),"-")</f>
        <v>-</v>
      </c>
    </row>
    <row r="45068" customHeight="1" spans="2:2">
      <c r="B45068" s="62" t="str">
        <f>IF(AND('领用录入（明细）'!D:D=$F$4,'领用录入（明细）'!C:C&gt;=$J$4,'领用录入（明细）'!C:C&lt;=$L$4),ROW(),"-")</f>
        <v>-</v>
      </c>
    </row>
    <row r="45069" customHeight="1" spans="2:2">
      <c r="B45069" s="62" t="str">
        <f>IF(AND('领用录入（明细）'!D:D=$F$4,'领用录入（明细）'!C:C&gt;=$J$4,'领用录入（明细）'!C:C&lt;=$L$4),ROW(),"-")</f>
        <v>-</v>
      </c>
    </row>
    <row r="45070" customHeight="1" spans="2:2">
      <c r="B45070" s="62" t="str">
        <f>IF(AND('领用录入（明细）'!D:D=$F$4,'领用录入（明细）'!C:C&gt;=$J$4,'领用录入（明细）'!C:C&lt;=$L$4),ROW(),"-")</f>
        <v>-</v>
      </c>
    </row>
    <row r="45071" customHeight="1" spans="2:2">
      <c r="B45071" s="62" t="str">
        <f>IF(AND('领用录入（明细）'!D:D=$F$4,'领用录入（明细）'!C:C&gt;=$J$4,'领用录入（明细）'!C:C&lt;=$L$4),ROW(),"-")</f>
        <v>-</v>
      </c>
    </row>
    <row r="45072" customHeight="1" spans="2:2">
      <c r="B45072" s="62" t="str">
        <f>IF(AND('领用录入（明细）'!D:D=$F$4,'领用录入（明细）'!C:C&gt;=$J$4,'领用录入（明细）'!C:C&lt;=$L$4),ROW(),"-")</f>
        <v>-</v>
      </c>
    </row>
    <row r="45073" customHeight="1" spans="2:2">
      <c r="B45073" s="62" t="str">
        <f>IF(AND('领用录入（明细）'!D:D=$F$4,'领用录入（明细）'!C:C&gt;=$J$4,'领用录入（明细）'!C:C&lt;=$L$4),ROW(),"-")</f>
        <v>-</v>
      </c>
    </row>
    <row r="45074" customHeight="1" spans="2:2">
      <c r="B45074" s="62" t="str">
        <f>IF(AND('领用录入（明细）'!D:D=$F$4,'领用录入（明细）'!C:C&gt;=$J$4,'领用录入（明细）'!C:C&lt;=$L$4),ROW(),"-")</f>
        <v>-</v>
      </c>
    </row>
    <row r="45075" customHeight="1" spans="2:2">
      <c r="B45075" s="62" t="str">
        <f>IF(AND('领用录入（明细）'!D:D=$F$4,'领用录入（明细）'!C:C&gt;=$J$4,'领用录入（明细）'!C:C&lt;=$L$4),ROW(),"-")</f>
        <v>-</v>
      </c>
    </row>
    <row r="45076" customHeight="1" spans="2:2">
      <c r="B45076" s="62" t="str">
        <f>IF(AND('领用录入（明细）'!D:D=$F$4,'领用录入（明细）'!C:C&gt;=$J$4,'领用录入（明细）'!C:C&lt;=$L$4),ROW(),"-")</f>
        <v>-</v>
      </c>
    </row>
    <row r="45077" customHeight="1" spans="2:2">
      <c r="B45077" s="62" t="str">
        <f>IF(AND('领用录入（明细）'!D:D=$F$4,'领用录入（明细）'!C:C&gt;=$J$4,'领用录入（明细）'!C:C&lt;=$L$4),ROW(),"-")</f>
        <v>-</v>
      </c>
    </row>
    <row r="45078" customHeight="1" spans="2:2">
      <c r="B45078" s="62" t="str">
        <f>IF(AND('领用录入（明细）'!D:D=$F$4,'领用录入（明细）'!C:C&gt;=$J$4,'领用录入（明细）'!C:C&lt;=$L$4),ROW(),"-")</f>
        <v>-</v>
      </c>
    </row>
    <row r="45079" customHeight="1" spans="2:2">
      <c r="B45079" s="62" t="str">
        <f>IF(AND('领用录入（明细）'!D:D=$F$4,'领用录入（明细）'!C:C&gt;=$J$4,'领用录入（明细）'!C:C&lt;=$L$4),ROW(),"-")</f>
        <v>-</v>
      </c>
    </row>
    <row r="45080" customHeight="1" spans="2:2">
      <c r="B45080" s="62" t="str">
        <f>IF(AND('领用录入（明细）'!D:D=$F$4,'领用录入（明细）'!C:C&gt;=$J$4,'领用录入（明细）'!C:C&lt;=$L$4),ROW(),"-")</f>
        <v>-</v>
      </c>
    </row>
    <row r="45081" customHeight="1" spans="2:2">
      <c r="B45081" s="62" t="str">
        <f>IF(AND('领用录入（明细）'!D:D=$F$4,'领用录入（明细）'!C:C&gt;=$J$4,'领用录入（明细）'!C:C&lt;=$L$4),ROW(),"-")</f>
        <v>-</v>
      </c>
    </row>
    <row r="45082" customHeight="1" spans="2:2">
      <c r="B45082" s="62" t="str">
        <f>IF(AND('领用录入（明细）'!D:D=$F$4,'领用录入（明细）'!C:C&gt;=$J$4,'领用录入（明细）'!C:C&lt;=$L$4),ROW(),"-")</f>
        <v>-</v>
      </c>
    </row>
    <row r="45083" customHeight="1" spans="2:2">
      <c r="B45083" s="62" t="str">
        <f>IF(AND('领用录入（明细）'!D:D=$F$4,'领用录入（明细）'!C:C&gt;=$J$4,'领用录入（明细）'!C:C&lt;=$L$4),ROW(),"-")</f>
        <v>-</v>
      </c>
    </row>
    <row r="45084" customHeight="1" spans="2:2">
      <c r="B45084" s="62" t="str">
        <f>IF(AND('领用录入（明细）'!D:D=$F$4,'领用录入（明细）'!C:C&gt;=$J$4,'领用录入（明细）'!C:C&lt;=$L$4),ROW(),"-")</f>
        <v>-</v>
      </c>
    </row>
    <row r="45085" customHeight="1" spans="2:2">
      <c r="B45085" s="62" t="str">
        <f>IF(AND('领用录入（明细）'!D:D=$F$4,'领用录入（明细）'!C:C&gt;=$J$4,'领用录入（明细）'!C:C&lt;=$L$4),ROW(),"-")</f>
        <v>-</v>
      </c>
    </row>
    <row r="45086" customHeight="1" spans="2:2">
      <c r="B45086" s="62" t="str">
        <f>IF(AND('领用录入（明细）'!D:D=$F$4,'领用录入（明细）'!C:C&gt;=$J$4,'领用录入（明细）'!C:C&lt;=$L$4),ROW(),"-")</f>
        <v>-</v>
      </c>
    </row>
    <row r="45087" customHeight="1" spans="2:2">
      <c r="B45087" s="62" t="str">
        <f>IF(AND('领用录入（明细）'!D:D=$F$4,'领用录入（明细）'!C:C&gt;=$J$4,'领用录入（明细）'!C:C&lt;=$L$4),ROW(),"-")</f>
        <v>-</v>
      </c>
    </row>
    <row r="45088" customHeight="1" spans="2:2">
      <c r="B45088" s="62" t="str">
        <f>IF(AND('领用录入（明细）'!D:D=$F$4,'领用录入（明细）'!C:C&gt;=$J$4,'领用录入（明细）'!C:C&lt;=$L$4),ROW(),"-")</f>
        <v>-</v>
      </c>
    </row>
    <row r="45089" customHeight="1" spans="2:2">
      <c r="B45089" s="62" t="str">
        <f>IF(AND('领用录入（明细）'!D:D=$F$4,'领用录入（明细）'!C:C&gt;=$J$4,'领用录入（明细）'!C:C&lt;=$L$4),ROW(),"-")</f>
        <v>-</v>
      </c>
    </row>
    <row r="45090" customHeight="1" spans="2:2">
      <c r="B45090" s="62" t="str">
        <f>IF(AND('领用录入（明细）'!D:D=$F$4,'领用录入（明细）'!C:C&gt;=$J$4,'领用录入（明细）'!C:C&lt;=$L$4),ROW(),"-")</f>
        <v>-</v>
      </c>
    </row>
    <row r="45091" customHeight="1" spans="2:2">
      <c r="B45091" s="62" t="str">
        <f>IF(AND('领用录入（明细）'!D:D=$F$4,'领用录入（明细）'!C:C&gt;=$J$4,'领用录入（明细）'!C:C&lt;=$L$4),ROW(),"-")</f>
        <v>-</v>
      </c>
    </row>
    <row r="45092" customHeight="1" spans="2:2">
      <c r="B45092" s="62" t="str">
        <f>IF(AND('领用录入（明细）'!D:D=$F$4,'领用录入（明细）'!C:C&gt;=$J$4,'领用录入（明细）'!C:C&lt;=$L$4),ROW(),"-")</f>
        <v>-</v>
      </c>
    </row>
    <row r="45093" customHeight="1" spans="2:2">
      <c r="B45093" s="62" t="str">
        <f>IF(AND('领用录入（明细）'!D:D=$F$4,'领用录入（明细）'!C:C&gt;=$J$4,'领用录入（明细）'!C:C&lt;=$L$4),ROW(),"-")</f>
        <v>-</v>
      </c>
    </row>
    <row r="45094" customHeight="1" spans="2:2">
      <c r="B45094" s="62" t="str">
        <f>IF(AND('领用录入（明细）'!D:D=$F$4,'领用录入（明细）'!C:C&gt;=$J$4,'领用录入（明细）'!C:C&lt;=$L$4),ROW(),"-")</f>
        <v>-</v>
      </c>
    </row>
    <row r="45095" customHeight="1" spans="2:2">
      <c r="B45095" s="62" t="str">
        <f>IF(AND('领用录入（明细）'!D:D=$F$4,'领用录入（明细）'!C:C&gt;=$J$4,'领用录入（明细）'!C:C&lt;=$L$4),ROW(),"-")</f>
        <v>-</v>
      </c>
    </row>
    <row r="45096" customHeight="1" spans="2:2">
      <c r="B45096" s="62" t="str">
        <f>IF(AND('领用录入（明细）'!D:D=$F$4,'领用录入（明细）'!C:C&gt;=$J$4,'领用录入（明细）'!C:C&lt;=$L$4),ROW(),"-")</f>
        <v>-</v>
      </c>
    </row>
    <row r="45097" customHeight="1" spans="2:2">
      <c r="B45097" s="62" t="str">
        <f>IF(AND('领用录入（明细）'!D:D=$F$4,'领用录入（明细）'!C:C&gt;=$J$4,'领用录入（明细）'!C:C&lt;=$L$4),ROW(),"-")</f>
        <v>-</v>
      </c>
    </row>
    <row r="45098" customHeight="1" spans="2:2">
      <c r="B45098" s="62" t="str">
        <f>IF(AND('领用录入（明细）'!D:D=$F$4,'领用录入（明细）'!C:C&gt;=$J$4,'领用录入（明细）'!C:C&lt;=$L$4),ROW(),"-")</f>
        <v>-</v>
      </c>
    </row>
    <row r="45099" customHeight="1" spans="2:2">
      <c r="B45099" s="62" t="str">
        <f>IF(AND('领用录入（明细）'!D:D=$F$4,'领用录入（明细）'!C:C&gt;=$J$4,'领用录入（明细）'!C:C&lt;=$L$4),ROW(),"-")</f>
        <v>-</v>
      </c>
    </row>
    <row r="45100" customHeight="1" spans="2:2">
      <c r="B45100" s="62" t="str">
        <f>IF(AND('领用录入（明细）'!D:D=$F$4,'领用录入（明细）'!C:C&gt;=$J$4,'领用录入（明细）'!C:C&lt;=$L$4),ROW(),"-")</f>
        <v>-</v>
      </c>
    </row>
    <row r="45101" customHeight="1" spans="2:2">
      <c r="B45101" s="62" t="str">
        <f>IF(AND('领用录入（明细）'!D:D=$F$4,'领用录入（明细）'!C:C&gt;=$J$4,'领用录入（明细）'!C:C&lt;=$L$4),ROW(),"-")</f>
        <v>-</v>
      </c>
    </row>
    <row r="45102" customHeight="1" spans="2:2">
      <c r="B45102" s="62" t="str">
        <f>IF(AND('领用录入（明细）'!D:D=$F$4,'领用录入（明细）'!C:C&gt;=$J$4,'领用录入（明细）'!C:C&lt;=$L$4),ROW(),"-")</f>
        <v>-</v>
      </c>
    </row>
    <row r="45103" customHeight="1" spans="2:2">
      <c r="B45103" s="62" t="str">
        <f>IF(AND('领用录入（明细）'!D:D=$F$4,'领用录入（明细）'!C:C&gt;=$J$4,'领用录入（明细）'!C:C&lt;=$L$4),ROW(),"-")</f>
        <v>-</v>
      </c>
    </row>
    <row r="45104" customHeight="1" spans="2:2">
      <c r="B45104" s="62" t="str">
        <f>IF(AND('领用录入（明细）'!D:D=$F$4,'领用录入（明细）'!C:C&gt;=$J$4,'领用录入（明细）'!C:C&lt;=$L$4),ROW(),"-")</f>
        <v>-</v>
      </c>
    </row>
    <row r="45105" customHeight="1" spans="2:2">
      <c r="B45105" s="62" t="str">
        <f>IF(AND('领用录入（明细）'!D:D=$F$4,'领用录入（明细）'!C:C&gt;=$J$4,'领用录入（明细）'!C:C&lt;=$L$4),ROW(),"-")</f>
        <v>-</v>
      </c>
    </row>
    <row r="45106" customHeight="1" spans="2:2">
      <c r="B45106" s="62" t="str">
        <f>IF(AND('领用录入（明细）'!D:D=$F$4,'领用录入（明细）'!C:C&gt;=$J$4,'领用录入（明细）'!C:C&lt;=$L$4),ROW(),"-")</f>
        <v>-</v>
      </c>
    </row>
    <row r="45107" customHeight="1" spans="2:2">
      <c r="B45107" s="62" t="str">
        <f>IF(AND('领用录入（明细）'!D:D=$F$4,'领用录入（明细）'!C:C&gt;=$J$4,'领用录入（明细）'!C:C&lt;=$L$4),ROW(),"-")</f>
        <v>-</v>
      </c>
    </row>
    <row r="45108" customHeight="1" spans="2:2">
      <c r="B45108" s="62" t="str">
        <f>IF(AND('领用录入（明细）'!D:D=$F$4,'领用录入（明细）'!C:C&gt;=$J$4,'领用录入（明细）'!C:C&lt;=$L$4),ROW(),"-")</f>
        <v>-</v>
      </c>
    </row>
    <row r="45109" customHeight="1" spans="2:2">
      <c r="B45109" s="62" t="str">
        <f>IF(AND('领用录入（明细）'!D:D=$F$4,'领用录入（明细）'!C:C&gt;=$J$4,'领用录入（明细）'!C:C&lt;=$L$4),ROW(),"-")</f>
        <v>-</v>
      </c>
    </row>
    <row r="45110" customHeight="1" spans="2:2">
      <c r="B45110" s="62" t="str">
        <f>IF(AND('领用录入（明细）'!D:D=$F$4,'领用录入（明细）'!C:C&gt;=$J$4,'领用录入（明细）'!C:C&lt;=$L$4),ROW(),"-")</f>
        <v>-</v>
      </c>
    </row>
    <row r="45111" customHeight="1" spans="2:2">
      <c r="B45111" s="62" t="str">
        <f>IF(AND('领用录入（明细）'!D:D=$F$4,'领用录入（明细）'!C:C&gt;=$J$4,'领用录入（明细）'!C:C&lt;=$L$4),ROW(),"-")</f>
        <v>-</v>
      </c>
    </row>
    <row r="45112" customHeight="1" spans="2:2">
      <c r="B45112" s="62" t="str">
        <f>IF(AND('领用录入（明细）'!D:D=$F$4,'领用录入（明细）'!C:C&gt;=$J$4,'领用录入（明细）'!C:C&lt;=$L$4),ROW(),"-")</f>
        <v>-</v>
      </c>
    </row>
    <row r="45113" customHeight="1" spans="2:2">
      <c r="B45113" s="62" t="str">
        <f>IF(AND('领用录入（明细）'!D:D=$F$4,'领用录入（明细）'!C:C&gt;=$J$4,'领用录入（明细）'!C:C&lt;=$L$4),ROW(),"-")</f>
        <v>-</v>
      </c>
    </row>
    <row r="45114" customHeight="1" spans="2:2">
      <c r="B45114" s="62" t="str">
        <f>IF(AND('领用录入（明细）'!D:D=$F$4,'领用录入（明细）'!C:C&gt;=$J$4,'领用录入（明细）'!C:C&lt;=$L$4),ROW(),"-")</f>
        <v>-</v>
      </c>
    </row>
    <row r="45115" customHeight="1" spans="2:2">
      <c r="B45115" s="62" t="str">
        <f>IF(AND('领用录入（明细）'!D:D=$F$4,'领用录入（明细）'!C:C&gt;=$J$4,'领用录入（明细）'!C:C&lt;=$L$4),ROW(),"-")</f>
        <v>-</v>
      </c>
    </row>
    <row r="45116" customHeight="1" spans="2:2">
      <c r="B45116" s="62" t="str">
        <f>IF(AND('领用录入（明细）'!D:D=$F$4,'领用录入（明细）'!C:C&gt;=$J$4,'领用录入（明细）'!C:C&lt;=$L$4),ROW(),"-")</f>
        <v>-</v>
      </c>
    </row>
    <row r="45117" customHeight="1" spans="2:2">
      <c r="B45117" s="62" t="str">
        <f>IF(AND('领用录入（明细）'!D:D=$F$4,'领用录入（明细）'!C:C&gt;=$J$4,'领用录入（明细）'!C:C&lt;=$L$4),ROW(),"-")</f>
        <v>-</v>
      </c>
    </row>
    <row r="45118" customHeight="1" spans="2:2">
      <c r="B45118" s="62" t="str">
        <f>IF(AND('领用录入（明细）'!D:D=$F$4,'领用录入（明细）'!C:C&gt;=$J$4,'领用录入（明细）'!C:C&lt;=$L$4),ROW(),"-")</f>
        <v>-</v>
      </c>
    </row>
    <row r="45119" customHeight="1" spans="2:2">
      <c r="B45119" s="62" t="str">
        <f>IF(AND('领用录入（明细）'!D:D=$F$4,'领用录入（明细）'!C:C&gt;=$J$4,'领用录入（明细）'!C:C&lt;=$L$4),ROW(),"-")</f>
        <v>-</v>
      </c>
    </row>
    <row r="45120" customHeight="1" spans="2:2">
      <c r="B45120" s="62" t="str">
        <f>IF(AND('领用录入（明细）'!D:D=$F$4,'领用录入（明细）'!C:C&gt;=$J$4,'领用录入（明细）'!C:C&lt;=$L$4),ROW(),"-")</f>
        <v>-</v>
      </c>
    </row>
    <row r="45121" customHeight="1" spans="2:2">
      <c r="B45121" s="62" t="str">
        <f>IF(AND('领用录入（明细）'!D:D=$F$4,'领用录入（明细）'!C:C&gt;=$J$4,'领用录入（明细）'!C:C&lt;=$L$4),ROW(),"-")</f>
        <v>-</v>
      </c>
    </row>
    <row r="45122" customHeight="1" spans="2:2">
      <c r="B45122" s="62" t="str">
        <f>IF(AND('领用录入（明细）'!D:D=$F$4,'领用录入（明细）'!C:C&gt;=$J$4,'领用录入（明细）'!C:C&lt;=$L$4),ROW(),"-")</f>
        <v>-</v>
      </c>
    </row>
    <row r="45123" customHeight="1" spans="2:2">
      <c r="B45123" s="62" t="str">
        <f>IF(AND('领用录入（明细）'!D:D=$F$4,'领用录入（明细）'!C:C&gt;=$J$4,'领用录入（明细）'!C:C&lt;=$L$4),ROW(),"-")</f>
        <v>-</v>
      </c>
    </row>
    <row r="45124" customHeight="1" spans="2:2">
      <c r="B45124" s="62" t="str">
        <f>IF(AND('领用录入（明细）'!D:D=$F$4,'领用录入（明细）'!C:C&gt;=$J$4,'领用录入（明细）'!C:C&lt;=$L$4),ROW(),"-")</f>
        <v>-</v>
      </c>
    </row>
    <row r="45125" customHeight="1" spans="2:2">
      <c r="B45125" s="62" t="str">
        <f>IF(AND('领用录入（明细）'!D:D=$F$4,'领用录入（明细）'!C:C&gt;=$J$4,'领用录入（明细）'!C:C&lt;=$L$4),ROW(),"-")</f>
        <v>-</v>
      </c>
    </row>
    <row r="45126" customHeight="1" spans="2:2">
      <c r="B45126" s="62" t="str">
        <f>IF(AND('领用录入（明细）'!D:D=$F$4,'领用录入（明细）'!C:C&gt;=$J$4,'领用录入（明细）'!C:C&lt;=$L$4),ROW(),"-")</f>
        <v>-</v>
      </c>
    </row>
    <row r="45127" customHeight="1" spans="2:2">
      <c r="B45127" s="62" t="str">
        <f>IF(AND('领用录入（明细）'!D:D=$F$4,'领用录入（明细）'!C:C&gt;=$J$4,'领用录入（明细）'!C:C&lt;=$L$4),ROW(),"-")</f>
        <v>-</v>
      </c>
    </row>
    <row r="45128" customHeight="1" spans="2:2">
      <c r="B45128" s="62" t="str">
        <f>IF(AND('领用录入（明细）'!D:D=$F$4,'领用录入（明细）'!C:C&gt;=$J$4,'领用录入（明细）'!C:C&lt;=$L$4),ROW(),"-")</f>
        <v>-</v>
      </c>
    </row>
    <row r="45129" customHeight="1" spans="2:2">
      <c r="B45129" s="62" t="str">
        <f>IF(AND('领用录入（明细）'!D:D=$F$4,'领用录入（明细）'!C:C&gt;=$J$4,'领用录入（明细）'!C:C&lt;=$L$4),ROW(),"-")</f>
        <v>-</v>
      </c>
    </row>
    <row r="45130" customHeight="1" spans="2:2">
      <c r="B45130" s="62" t="str">
        <f>IF(AND('领用录入（明细）'!D:D=$F$4,'领用录入（明细）'!C:C&gt;=$J$4,'领用录入（明细）'!C:C&lt;=$L$4),ROW(),"-")</f>
        <v>-</v>
      </c>
    </row>
    <row r="45131" customHeight="1" spans="2:2">
      <c r="B45131" s="62" t="str">
        <f>IF(AND('领用录入（明细）'!D:D=$F$4,'领用录入（明细）'!C:C&gt;=$J$4,'领用录入（明细）'!C:C&lt;=$L$4),ROW(),"-")</f>
        <v>-</v>
      </c>
    </row>
    <row r="45132" customHeight="1" spans="2:2">
      <c r="B45132" s="62" t="str">
        <f>IF(AND('领用录入（明细）'!D:D=$F$4,'领用录入（明细）'!C:C&gt;=$J$4,'领用录入（明细）'!C:C&lt;=$L$4),ROW(),"-")</f>
        <v>-</v>
      </c>
    </row>
    <row r="45133" customHeight="1" spans="2:2">
      <c r="B45133" s="62" t="str">
        <f>IF(AND('领用录入（明细）'!D:D=$F$4,'领用录入（明细）'!C:C&gt;=$J$4,'领用录入（明细）'!C:C&lt;=$L$4),ROW(),"-")</f>
        <v>-</v>
      </c>
    </row>
    <row r="45134" customHeight="1" spans="2:2">
      <c r="B45134" s="62" t="str">
        <f>IF(AND('领用录入（明细）'!D:D=$F$4,'领用录入（明细）'!C:C&gt;=$J$4,'领用录入（明细）'!C:C&lt;=$L$4),ROW(),"-")</f>
        <v>-</v>
      </c>
    </row>
    <row r="45135" customHeight="1" spans="2:2">
      <c r="B45135" s="62" t="str">
        <f>IF(AND('领用录入（明细）'!D:D=$F$4,'领用录入（明细）'!C:C&gt;=$J$4,'领用录入（明细）'!C:C&lt;=$L$4),ROW(),"-")</f>
        <v>-</v>
      </c>
    </row>
    <row r="45136" customHeight="1" spans="2:2">
      <c r="B45136" s="62" t="str">
        <f>IF(AND('领用录入（明细）'!D:D=$F$4,'领用录入（明细）'!C:C&gt;=$J$4,'领用录入（明细）'!C:C&lt;=$L$4),ROW(),"-")</f>
        <v>-</v>
      </c>
    </row>
    <row r="45137" customHeight="1" spans="2:2">
      <c r="B45137" s="62" t="str">
        <f>IF(AND('领用录入（明细）'!D:D=$F$4,'领用录入（明细）'!C:C&gt;=$J$4,'领用录入（明细）'!C:C&lt;=$L$4),ROW(),"-")</f>
        <v>-</v>
      </c>
    </row>
    <row r="45138" customHeight="1" spans="2:2">
      <c r="B45138" s="62" t="str">
        <f>IF(AND('领用录入（明细）'!D:D=$F$4,'领用录入（明细）'!C:C&gt;=$J$4,'领用录入（明细）'!C:C&lt;=$L$4),ROW(),"-")</f>
        <v>-</v>
      </c>
    </row>
    <row r="45139" customHeight="1" spans="2:2">
      <c r="B45139" s="62" t="str">
        <f>IF(AND('领用录入（明细）'!D:D=$F$4,'领用录入（明细）'!C:C&gt;=$J$4,'领用录入（明细）'!C:C&lt;=$L$4),ROW(),"-")</f>
        <v>-</v>
      </c>
    </row>
    <row r="45140" customHeight="1" spans="2:2">
      <c r="B45140" s="62" t="str">
        <f>IF(AND('领用录入（明细）'!D:D=$F$4,'领用录入（明细）'!C:C&gt;=$J$4,'领用录入（明细）'!C:C&lt;=$L$4),ROW(),"-")</f>
        <v>-</v>
      </c>
    </row>
    <row r="45141" customHeight="1" spans="2:2">
      <c r="B45141" s="62" t="str">
        <f>IF(AND('领用录入（明细）'!D:D=$F$4,'领用录入（明细）'!C:C&gt;=$J$4,'领用录入（明细）'!C:C&lt;=$L$4),ROW(),"-")</f>
        <v>-</v>
      </c>
    </row>
    <row r="45142" customHeight="1" spans="2:2">
      <c r="B45142" s="62" t="str">
        <f>IF(AND('领用录入（明细）'!D:D=$F$4,'领用录入（明细）'!C:C&gt;=$J$4,'领用录入（明细）'!C:C&lt;=$L$4),ROW(),"-")</f>
        <v>-</v>
      </c>
    </row>
    <row r="45143" customHeight="1" spans="2:2">
      <c r="B45143" s="62" t="str">
        <f>IF(AND('领用录入（明细）'!D:D=$F$4,'领用录入（明细）'!C:C&gt;=$J$4,'领用录入（明细）'!C:C&lt;=$L$4),ROW(),"-")</f>
        <v>-</v>
      </c>
    </row>
    <row r="45144" customHeight="1" spans="2:2">
      <c r="B45144" s="62" t="str">
        <f>IF(AND('领用录入（明细）'!D:D=$F$4,'领用录入（明细）'!C:C&gt;=$J$4,'领用录入（明细）'!C:C&lt;=$L$4),ROW(),"-")</f>
        <v>-</v>
      </c>
    </row>
    <row r="45145" customHeight="1" spans="2:2">
      <c r="B45145" s="62" t="str">
        <f>IF(AND('领用录入（明细）'!D:D=$F$4,'领用录入（明细）'!C:C&gt;=$J$4,'领用录入（明细）'!C:C&lt;=$L$4),ROW(),"-")</f>
        <v>-</v>
      </c>
    </row>
    <row r="45146" customHeight="1" spans="2:2">
      <c r="B45146" s="62" t="str">
        <f>IF(AND('领用录入（明细）'!D:D=$F$4,'领用录入（明细）'!C:C&gt;=$J$4,'领用录入（明细）'!C:C&lt;=$L$4),ROW(),"-")</f>
        <v>-</v>
      </c>
    </row>
    <row r="45147" customHeight="1" spans="2:2">
      <c r="B45147" s="62" t="str">
        <f>IF(AND('领用录入（明细）'!D:D=$F$4,'领用录入（明细）'!C:C&gt;=$J$4,'领用录入（明细）'!C:C&lt;=$L$4),ROW(),"-")</f>
        <v>-</v>
      </c>
    </row>
    <row r="45148" customHeight="1" spans="2:2">
      <c r="B45148" s="62" t="str">
        <f>IF(AND('领用录入（明细）'!D:D=$F$4,'领用录入（明细）'!C:C&gt;=$J$4,'领用录入（明细）'!C:C&lt;=$L$4),ROW(),"-")</f>
        <v>-</v>
      </c>
    </row>
    <row r="45149" customHeight="1" spans="2:2">
      <c r="B45149" s="62" t="str">
        <f>IF(AND('领用录入（明细）'!D:D=$F$4,'领用录入（明细）'!C:C&gt;=$J$4,'领用录入（明细）'!C:C&lt;=$L$4),ROW(),"-")</f>
        <v>-</v>
      </c>
    </row>
    <row r="45150" customHeight="1" spans="2:2">
      <c r="B45150" s="62" t="str">
        <f>IF(AND('领用录入（明细）'!D:D=$F$4,'领用录入（明细）'!C:C&gt;=$J$4,'领用录入（明细）'!C:C&lt;=$L$4),ROW(),"-")</f>
        <v>-</v>
      </c>
    </row>
    <row r="45151" customHeight="1" spans="2:2">
      <c r="B45151" s="62" t="str">
        <f>IF(AND('领用录入（明细）'!D:D=$F$4,'领用录入（明细）'!C:C&gt;=$J$4,'领用录入（明细）'!C:C&lt;=$L$4),ROW(),"-")</f>
        <v>-</v>
      </c>
    </row>
    <row r="45152" customHeight="1" spans="2:2">
      <c r="B45152" s="62" t="str">
        <f>IF(AND('领用录入（明细）'!D:D=$F$4,'领用录入（明细）'!C:C&gt;=$J$4,'领用录入（明细）'!C:C&lt;=$L$4),ROW(),"-")</f>
        <v>-</v>
      </c>
    </row>
    <row r="45153" customHeight="1" spans="2:2">
      <c r="B45153" s="62" t="str">
        <f>IF(AND('领用录入（明细）'!D:D=$F$4,'领用录入（明细）'!C:C&gt;=$J$4,'领用录入（明细）'!C:C&lt;=$L$4),ROW(),"-")</f>
        <v>-</v>
      </c>
    </row>
    <row r="45154" customHeight="1" spans="2:2">
      <c r="B45154" s="62" t="str">
        <f>IF(AND('领用录入（明细）'!D:D=$F$4,'领用录入（明细）'!C:C&gt;=$J$4,'领用录入（明细）'!C:C&lt;=$L$4),ROW(),"-")</f>
        <v>-</v>
      </c>
    </row>
    <row r="45155" customHeight="1" spans="2:2">
      <c r="B45155" s="62" t="str">
        <f>IF(AND('领用录入（明细）'!D:D=$F$4,'领用录入（明细）'!C:C&gt;=$J$4,'领用录入（明细）'!C:C&lt;=$L$4),ROW(),"-")</f>
        <v>-</v>
      </c>
    </row>
    <row r="45156" customHeight="1" spans="2:2">
      <c r="B45156" s="62" t="str">
        <f>IF(AND('领用录入（明细）'!D:D=$F$4,'领用录入（明细）'!C:C&gt;=$J$4,'领用录入（明细）'!C:C&lt;=$L$4),ROW(),"-")</f>
        <v>-</v>
      </c>
    </row>
    <row r="45157" customHeight="1" spans="2:2">
      <c r="B45157" s="62" t="str">
        <f>IF(AND('领用录入（明细）'!D:D=$F$4,'领用录入（明细）'!C:C&gt;=$J$4,'领用录入（明细）'!C:C&lt;=$L$4),ROW(),"-")</f>
        <v>-</v>
      </c>
    </row>
    <row r="45158" customHeight="1" spans="2:2">
      <c r="B45158" s="62" t="str">
        <f>IF(AND('领用录入（明细）'!D:D=$F$4,'领用录入（明细）'!C:C&gt;=$J$4,'领用录入（明细）'!C:C&lt;=$L$4),ROW(),"-")</f>
        <v>-</v>
      </c>
    </row>
    <row r="45159" customHeight="1" spans="2:2">
      <c r="B45159" s="62" t="str">
        <f>IF(AND('领用录入（明细）'!D:D=$F$4,'领用录入（明细）'!C:C&gt;=$J$4,'领用录入（明细）'!C:C&lt;=$L$4),ROW(),"-")</f>
        <v>-</v>
      </c>
    </row>
    <row r="45160" customHeight="1" spans="2:2">
      <c r="B45160" s="62" t="str">
        <f>IF(AND('领用录入（明细）'!D:D=$F$4,'领用录入（明细）'!C:C&gt;=$J$4,'领用录入（明细）'!C:C&lt;=$L$4),ROW(),"-")</f>
        <v>-</v>
      </c>
    </row>
    <row r="45161" customHeight="1" spans="2:2">
      <c r="B45161" s="62" t="str">
        <f>IF(AND('领用录入（明细）'!D:D=$F$4,'领用录入（明细）'!C:C&gt;=$J$4,'领用录入（明细）'!C:C&lt;=$L$4),ROW(),"-")</f>
        <v>-</v>
      </c>
    </row>
    <row r="45162" customHeight="1" spans="2:2">
      <c r="B45162" s="62" t="str">
        <f>IF(AND('领用录入（明细）'!D:D=$F$4,'领用录入（明细）'!C:C&gt;=$J$4,'领用录入（明细）'!C:C&lt;=$L$4),ROW(),"-")</f>
        <v>-</v>
      </c>
    </row>
    <row r="45163" customHeight="1" spans="2:2">
      <c r="B45163" s="62" t="str">
        <f>IF(AND('领用录入（明细）'!D:D=$F$4,'领用录入（明细）'!C:C&gt;=$J$4,'领用录入（明细）'!C:C&lt;=$L$4),ROW(),"-")</f>
        <v>-</v>
      </c>
    </row>
    <row r="45164" customHeight="1" spans="2:2">
      <c r="B45164" s="62" t="str">
        <f>IF(AND('领用录入（明细）'!D:D=$F$4,'领用录入（明细）'!C:C&gt;=$J$4,'领用录入（明细）'!C:C&lt;=$L$4),ROW(),"-")</f>
        <v>-</v>
      </c>
    </row>
    <row r="45165" customHeight="1" spans="2:2">
      <c r="B45165" s="62" t="str">
        <f>IF(AND('领用录入（明细）'!D:D=$F$4,'领用录入（明细）'!C:C&gt;=$J$4,'领用录入（明细）'!C:C&lt;=$L$4),ROW(),"-")</f>
        <v>-</v>
      </c>
    </row>
    <row r="45166" customHeight="1" spans="2:2">
      <c r="B45166" s="62" t="str">
        <f>IF(AND('领用录入（明细）'!D:D=$F$4,'领用录入（明细）'!C:C&gt;=$J$4,'领用录入（明细）'!C:C&lt;=$L$4),ROW(),"-")</f>
        <v>-</v>
      </c>
    </row>
    <row r="45167" customHeight="1" spans="2:2">
      <c r="B45167" s="62" t="str">
        <f>IF(AND('领用录入（明细）'!D:D=$F$4,'领用录入（明细）'!C:C&gt;=$J$4,'领用录入（明细）'!C:C&lt;=$L$4),ROW(),"-")</f>
        <v>-</v>
      </c>
    </row>
    <row r="45168" customHeight="1" spans="2:2">
      <c r="B45168" s="62" t="str">
        <f>IF(AND('领用录入（明细）'!D:D=$F$4,'领用录入（明细）'!C:C&gt;=$J$4,'领用录入（明细）'!C:C&lt;=$L$4),ROW(),"-")</f>
        <v>-</v>
      </c>
    </row>
    <row r="45169" customHeight="1" spans="2:2">
      <c r="B45169" s="62" t="str">
        <f>IF(AND('领用录入（明细）'!D:D=$F$4,'领用录入（明细）'!C:C&gt;=$J$4,'领用录入（明细）'!C:C&lt;=$L$4),ROW(),"-")</f>
        <v>-</v>
      </c>
    </row>
    <row r="45170" customHeight="1" spans="2:2">
      <c r="B45170" s="62" t="str">
        <f>IF(AND('领用录入（明细）'!D:D=$F$4,'领用录入（明细）'!C:C&gt;=$J$4,'领用录入（明细）'!C:C&lt;=$L$4),ROW(),"-")</f>
        <v>-</v>
      </c>
    </row>
    <row r="45171" customHeight="1" spans="2:2">
      <c r="B45171" s="62" t="str">
        <f>IF(AND('领用录入（明细）'!D:D=$F$4,'领用录入（明细）'!C:C&gt;=$J$4,'领用录入（明细）'!C:C&lt;=$L$4),ROW(),"-")</f>
        <v>-</v>
      </c>
    </row>
    <row r="45172" customHeight="1" spans="2:2">
      <c r="B45172" s="62" t="str">
        <f>IF(AND('领用录入（明细）'!D:D=$F$4,'领用录入（明细）'!C:C&gt;=$J$4,'领用录入（明细）'!C:C&lt;=$L$4),ROW(),"-")</f>
        <v>-</v>
      </c>
    </row>
    <row r="45173" customHeight="1" spans="2:2">
      <c r="B45173" s="62" t="str">
        <f>IF(AND('领用录入（明细）'!D:D=$F$4,'领用录入（明细）'!C:C&gt;=$J$4,'领用录入（明细）'!C:C&lt;=$L$4),ROW(),"-")</f>
        <v>-</v>
      </c>
    </row>
    <row r="45174" customHeight="1" spans="2:2">
      <c r="B45174" s="62" t="str">
        <f>IF(AND('领用录入（明细）'!D:D=$F$4,'领用录入（明细）'!C:C&gt;=$J$4,'领用录入（明细）'!C:C&lt;=$L$4),ROW(),"-")</f>
        <v>-</v>
      </c>
    </row>
    <row r="45175" customHeight="1" spans="2:2">
      <c r="B45175" s="62" t="str">
        <f>IF(AND('领用录入（明细）'!D:D=$F$4,'领用录入（明细）'!C:C&gt;=$J$4,'领用录入（明细）'!C:C&lt;=$L$4),ROW(),"-")</f>
        <v>-</v>
      </c>
    </row>
    <row r="45176" customHeight="1" spans="2:2">
      <c r="B45176" s="62" t="str">
        <f>IF(AND('领用录入（明细）'!D:D=$F$4,'领用录入（明细）'!C:C&gt;=$J$4,'领用录入（明细）'!C:C&lt;=$L$4),ROW(),"-")</f>
        <v>-</v>
      </c>
    </row>
    <row r="45177" customHeight="1" spans="2:2">
      <c r="B45177" s="62" t="str">
        <f>IF(AND('领用录入（明细）'!D:D=$F$4,'领用录入（明细）'!C:C&gt;=$J$4,'领用录入（明细）'!C:C&lt;=$L$4),ROW(),"-")</f>
        <v>-</v>
      </c>
    </row>
    <row r="45178" customHeight="1" spans="2:2">
      <c r="B45178" s="62" t="str">
        <f>IF(AND('领用录入（明细）'!D:D=$F$4,'领用录入（明细）'!C:C&gt;=$J$4,'领用录入（明细）'!C:C&lt;=$L$4),ROW(),"-")</f>
        <v>-</v>
      </c>
    </row>
    <row r="45179" customHeight="1" spans="2:2">
      <c r="B45179" s="62" t="str">
        <f>IF(AND('领用录入（明细）'!D:D=$F$4,'领用录入（明细）'!C:C&gt;=$J$4,'领用录入（明细）'!C:C&lt;=$L$4),ROW(),"-")</f>
        <v>-</v>
      </c>
    </row>
    <row r="45180" customHeight="1" spans="2:2">
      <c r="B45180" s="62" t="str">
        <f>IF(AND('领用录入（明细）'!D:D=$F$4,'领用录入（明细）'!C:C&gt;=$J$4,'领用录入（明细）'!C:C&lt;=$L$4),ROW(),"-")</f>
        <v>-</v>
      </c>
    </row>
    <row r="45181" customHeight="1" spans="2:2">
      <c r="B45181" s="62" t="str">
        <f>IF(AND('领用录入（明细）'!D:D=$F$4,'领用录入（明细）'!C:C&gt;=$J$4,'领用录入（明细）'!C:C&lt;=$L$4),ROW(),"-")</f>
        <v>-</v>
      </c>
    </row>
    <row r="45182" customHeight="1" spans="2:2">
      <c r="B45182" s="62" t="str">
        <f>IF(AND('领用录入（明细）'!D:D=$F$4,'领用录入（明细）'!C:C&gt;=$J$4,'领用录入（明细）'!C:C&lt;=$L$4),ROW(),"-")</f>
        <v>-</v>
      </c>
    </row>
    <row r="45183" customHeight="1" spans="2:2">
      <c r="B45183" s="62" t="str">
        <f>IF(AND('领用录入（明细）'!D:D=$F$4,'领用录入（明细）'!C:C&gt;=$J$4,'领用录入（明细）'!C:C&lt;=$L$4),ROW(),"-")</f>
        <v>-</v>
      </c>
    </row>
    <row r="45184" customHeight="1" spans="2:2">
      <c r="B45184" s="62" t="str">
        <f>IF(AND('领用录入（明细）'!D:D=$F$4,'领用录入（明细）'!C:C&gt;=$J$4,'领用录入（明细）'!C:C&lt;=$L$4),ROW(),"-")</f>
        <v>-</v>
      </c>
    </row>
    <row r="45185" customHeight="1" spans="2:2">
      <c r="B45185" s="62" t="str">
        <f>IF(AND('领用录入（明细）'!D:D=$F$4,'领用录入（明细）'!C:C&gt;=$J$4,'领用录入（明细）'!C:C&lt;=$L$4),ROW(),"-")</f>
        <v>-</v>
      </c>
    </row>
    <row r="45186" customHeight="1" spans="2:2">
      <c r="B45186" s="62" t="str">
        <f>IF(AND('领用录入（明细）'!D:D=$F$4,'领用录入（明细）'!C:C&gt;=$J$4,'领用录入（明细）'!C:C&lt;=$L$4),ROW(),"-")</f>
        <v>-</v>
      </c>
    </row>
    <row r="45187" customHeight="1" spans="2:2">
      <c r="B45187" s="62" t="str">
        <f>IF(AND('领用录入（明细）'!D:D=$F$4,'领用录入（明细）'!C:C&gt;=$J$4,'领用录入（明细）'!C:C&lt;=$L$4),ROW(),"-")</f>
        <v>-</v>
      </c>
    </row>
    <row r="45188" customHeight="1" spans="2:2">
      <c r="B45188" s="62" t="str">
        <f>IF(AND('领用录入（明细）'!D:D=$F$4,'领用录入（明细）'!C:C&gt;=$J$4,'领用录入（明细）'!C:C&lt;=$L$4),ROW(),"-")</f>
        <v>-</v>
      </c>
    </row>
    <row r="45189" customHeight="1" spans="2:2">
      <c r="B45189" s="62" t="str">
        <f>IF(AND('领用录入（明细）'!D:D=$F$4,'领用录入（明细）'!C:C&gt;=$J$4,'领用录入（明细）'!C:C&lt;=$L$4),ROW(),"-")</f>
        <v>-</v>
      </c>
    </row>
    <row r="45190" customHeight="1" spans="2:2">
      <c r="B45190" s="62" t="str">
        <f>IF(AND('领用录入（明细）'!D:D=$F$4,'领用录入（明细）'!C:C&gt;=$J$4,'领用录入（明细）'!C:C&lt;=$L$4),ROW(),"-")</f>
        <v>-</v>
      </c>
    </row>
    <row r="45191" customHeight="1" spans="2:2">
      <c r="B45191" s="62" t="str">
        <f>IF(AND('领用录入（明细）'!D:D=$F$4,'领用录入（明细）'!C:C&gt;=$J$4,'领用录入（明细）'!C:C&lt;=$L$4),ROW(),"-")</f>
        <v>-</v>
      </c>
    </row>
    <row r="45192" customHeight="1" spans="2:2">
      <c r="B45192" s="62" t="str">
        <f>IF(AND('领用录入（明细）'!D:D=$F$4,'领用录入（明细）'!C:C&gt;=$J$4,'领用录入（明细）'!C:C&lt;=$L$4),ROW(),"-")</f>
        <v>-</v>
      </c>
    </row>
    <row r="45193" customHeight="1" spans="2:2">
      <c r="B45193" s="62" t="str">
        <f>IF(AND('领用录入（明细）'!D:D=$F$4,'领用录入（明细）'!C:C&gt;=$J$4,'领用录入（明细）'!C:C&lt;=$L$4),ROW(),"-")</f>
        <v>-</v>
      </c>
    </row>
    <row r="45194" customHeight="1" spans="2:2">
      <c r="B45194" s="62" t="str">
        <f>IF(AND('领用录入（明细）'!D:D=$F$4,'领用录入（明细）'!C:C&gt;=$J$4,'领用录入（明细）'!C:C&lt;=$L$4),ROW(),"-")</f>
        <v>-</v>
      </c>
    </row>
    <row r="45195" customHeight="1" spans="2:2">
      <c r="B45195" s="62" t="str">
        <f>IF(AND('领用录入（明细）'!D:D=$F$4,'领用录入（明细）'!C:C&gt;=$J$4,'领用录入（明细）'!C:C&lt;=$L$4),ROW(),"-")</f>
        <v>-</v>
      </c>
    </row>
    <row r="45196" customHeight="1" spans="2:2">
      <c r="B45196" s="62" t="str">
        <f>IF(AND('领用录入（明细）'!D:D=$F$4,'领用录入（明细）'!C:C&gt;=$J$4,'领用录入（明细）'!C:C&lt;=$L$4),ROW(),"-")</f>
        <v>-</v>
      </c>
    </row>
    <row r="45197" customHeight="1" spans="2:2">
      <c r="B45197" s="62" t="str">
        <f>IF(AND('领用录入（明细）'!D:D=$F$4,'领用录入（明细）'!C:C&gt;=$J$4,'领用录入（明细）'!C:C&lt;=$L$4),ROW(),"-")</f>
        <v>-</v>
      </c>
    </row>
    <row r="45198" customHeight="1" spans="2:2">
      <c r="B45198" s="62" t="str">
        <f>IF(AND('领用录入（明细）'!D:D=$F$4,'领用录入（明细）'!C:C&gt;=$J$4,'领用录入（明细）'!C:C&lt;=$L$4),ROW(),"-")</f>
        <v>-</v>
      </c>
    </row>
    <row r="45199" customHeight="1" spans="2:2">
      <c r="B45199" s="62" t="str">
        <f>IF(AND('领用录入（明细）'!D:D=$F$4,'领用录入（明细）'!C:C&gt;=$J$4,'领用录入（明细）'!C:C&lt;=$L$4),ROW(),"-")</f>
        <v>-</v>
      </c>
    </row>
    <row r="45200" customHeight="1" spans="2:2">
      <c r="B45200" s="62" t="str">
        <f>IF(AND('领用录入（明细）'!D:D=$F$4,'领用录入（明细）'!C:C&gt;=$J$4,'领用录入（明细）'!C:C&lt;=$L$4),ROW(),"-")</f>
        <v>-</v>
      </c>
    </row>
    <row r="45201" customHeight="1" spans="2:2">
      <c r="B45201" s="62" t="str">
        <f>IF(AND('领用录入（明细）'!D:D=$F$4,'领用录入（明细）'!C:C&gt;=$J$4,'领用录入（明细）'!C:C&lt;=$L$4),ROW(),"-")</f>
        <v>-</v>
      </c>
    </row>
    <row r="45202" customHeight="1" spans="2:2">
      <c r="B45202" s="62" t="str">
        <f>IF(AND('领用录入（明细）'!D:D=$F$4,'领用录入（明细）'!C:C&gt;=$J$4,'领用录入（明细）'!C:C&lt;=$L$4),ROW(),"-")</f>
        <v>-</v>
      </c>
    </row>
    <row r="45203" customHeight="1" spans="2:2">
      <c r="B45203" s="62" t="str">
        <f>IF(AND('领用录入（明细）'!D:D=$F$4,'领用录入（明细）'!C:C&gt;=$J$4,'领用录入（明细）'!C:C&lt;=$L$4),ROW(),"-")</f>
        <v>-</v>
      </c>
    </row>
    <row r="45204" customHeight="1" spans="2:2">
      <c r="B45204" s="62" t="str">
        <f>IF(AND('领用录入（明细）'!D:D=$F$4,'领用录入（明细）'!C:C&gt;=$J$4,'领用录入（明细）'!C:C&lt;=$L$4),ROW(),"-")</f>
        <v>-</v>
      </c>
    </row>
    <row r="45205" customHeight="1" spans="2:2">
      <c r="B45205" s="62" t="str">
        <f>IF(AND('领用录入（明细）'!D:D=$F$4,'领用录入（明细）'!C:C&gt;=$J$4,'领用录入（明细）'!C:C&lt;=$L$4),ROW(),"-")</f>
        <v>-</v>
      </c>
    </row>
    <row r="45206" customHeight="1" spans="2:2">
      <c r="B45206" s="62" t="str">
        <f>IF(AND('领用录入（明细）'!D:D=$F$4,'领用录入（明细）'!C:C&gt;=$J$4,'领用录入（明细）'!C:C&lt;=$L$4),ROW(),"-")</f>
        <v>-</v>
      </c>
    </row>
    <row r="45207" customHeight="1" spans="2:2">
      <c r="B45207" s="62" t="str">
        <f>IF(AND('领用录入（明细）'!D:D=$F$4,'领用录入（明细）'!C:C&gt;=$J$4,'领用录入（明细）'!C:C&lt;=$L$4),ROW(),"-")</f>
        <v>-</v>
      </c>
    </row>
    <row r="45208" customHeight="1" spans="2:2">
      <c r="B45208" s="62" t="str">
        <f>IF(AND('领用录入（明细）'!D:D=$F$4,'领用录入（明细）'!C:C&gt;=$J$4,'领用录入（明细）'!C:C&lt;=$L$4),ROW(),"-")</f>
        <v>-</v>
      </c>
    </row>
    <row r="45209" customHeight="1" spans="2:2">
      <c r="B45209" s="62" t="str">
        <f>IF(AND('领用录入（明细）'!D:D=$F$4,'领用录入（明细）'!C:C&gt;=$J$4,'领用录入（明细）'!C:C&lt;=$L$4),ROW(),"-")</f>
        <v>-</v>
      </c>
    </row>
    <row r="45210" customHeight="1" spans="2:2">
      <c r="B45210" s="62" t="str">
        <f>IF(AND('领用录入（明细）'!D:D=$F$4,'领用录入（明细）'!C:C&gt;=$J$4,'领用录入（明细）'!C:C&lt;=$L$4),ROW(),"-")</f>
        <v>-</v>
      </c>
    </row>
    <row r="45211" customHeight="1" spans="2:2">
      <c r="B45211" s="62" t="str">
        <f>IF(AND('领用录入（明细）'!D:D=$F$4,'领用录入（明细）'!C:C&gt;=$J$4,'领用录入（明细）'!C:C&lt;=$L$4),ROW(),"-")</f>
        <v>-</v>
      </c>
    </row>
    <row r="45212" customHeight="1" spans="2:2">
      <c r="B45212" s="62" t="str">
        <f>IF(AND('领用录入（明细）'!D:D=$F$4,'领用录入（明细）'!C:C&gt;=$J$4,'领用录入（明细）'!C:C&lt;=$L$4),ROW(),"-")</f>
        <v>-</v>
      </c>
    </row>
    <row r="45213" customHeight="1" spans="2:2">
      <c r="B45213" s="62" t="str">
        <f>IF(AND('领用录入（明细）'!D:D=$F$4,'领用录入（明细）'!C:C&gt;=$J$4,'领用录入（明细）'!C:C&lt;=$L$4),ROW(),"-")</f>
        <v>-</v>
      </c>
    </row>
    <row r="45214" customHeight="1" spans="2:2">
      <c r="B45214" s="62" t="str">
        <f>IF(AND('领用录入（明细）'!D:D=$F$4,'领用录入（明细）'!C:C&gt;=$J$4,'领用录入（明细）'!C:C&lt;=$L$4),ROW(),"-")</f>
        <v>-</v>
      </c>
    </row>
    <row r="45215" customHeight="1" spans="2:2">
      <c r="B45215" s="62" t="str">
        <f>IF(AND('领用录入（明细）'!D:D=$F$4,'领用录入（明细）'!C:C&gt;=$J$4,'领用录入（明细）'!C:C&lt;=$L$4),ROW(),"-")</f>
        <v>-</v>
      </c>
    </row>
    <row r="45216" customHeight="1" spans="2:2">
      <c r="B45216" s="62" t="str">
        <f>IF(AND('领用录入（明细）'!D:D=$F$4,'领用录入（明细）'!C:C&gt;=$J$4,'领用录入（明细）'!C:C&lt;=$L$4),ROW(),"-")</f>
        <v>-</v>
      </c>
    </row>
    <row r="45217" customHeight="1" spans="2:2">
      <c r="B45217" s="62" t="str">
        <f>IF(AND('领用录入（明细）'!D:D=$F$4,'领用录入（明细）'!C:C&gt;=$J$4,'领用录入（明细）'!C:C&lt;=$L$4),ROW(),"-")</f>
        <v>-</v>
      </c>
    </row>
    <row r="45218" customHeight="1" spans="2:2">
      <c r="B45218" s="62" t="str">
        <f>IF(AND('领用录入（明细）'!D:D=$F$4,'领用录入（明细）'!C:C&gt;=$J$4,'领用录入（明细）'!C:C&lt;=$L$4),ROW(),"-")</f>
        <v>-</v>
      </c>
    </row>
    <row r="45219" customHeight="1" spans="2:2">
      <c r="B45219" s="62" t="str">
        <f>IF(AND('领用录入（明细）'!D:D=$F$4,'领用录入（明细）'!C:C&gt;=$J$4,'领用录入（明细）'!C:C&lt;=$L$4),ROW(),"-")</f>
        <v>-</v>
      </c>
    </row>
    <row r="45220" customHeight="1" spans="2:2">
      <c r="B45220" s="62" t="str">
        <f>IF(AND('领用录入（明细）'!D:D=$F$4,'领用录入（明细）'!C:C&gt;=$J$4,'领用录入（明细）'!C:C&lt;=$L$4),ROW(),"-")</f>
        <v>-</v>
      </c>
    </row>
    <row r="45221" customHeight="1" spans="2:2">
      <c r="B45221" s="62" t="str">
        <f>IF(AND('领用录入（明细）'!D:D=$F$4,'领用录入（明细）'!C:C&gt;=$J$4,'领用录入（明细）'!C:C&lt;=$L$4),ROW(),"-")</f>
        <v>-</v>
      </c>
    </row>
    <row r="45222" customHeight="1" spans="2:2">
      <c r="B45222" s="62" t="str">
        <f>IF(AND('领用录入（明细）'!D:D=$F$4,'领用录入（明细）'!C:C&gt;=$J$4,'领用录入（明细）'!C:C&lt;=$L$4),ROW(),"-")</f>
        <v>-</v>
      </c>
    </row>
    <row r="45223" customHeight="1" spans="2:2">
      <c r="B45223" s="62" t="str">
        <f>IF(AND('领用录入（明细）'!D:D=$F$4,'领用录入（明细）'!C:C&gt;=$J$4,'领用录入（明细）'!C:C&lt;=$L$4),ROW(),"-")</f>
        <v>-</v>
      </c>
    </row>
    <row r="45224" customHeight="1" spans="2:2">
      <c r="B45224" s="62" t="str">
        <f>IF(AND('领用录入（明细）'!D:D=$F$4,'领用录入（明细）'!C:C&gt;=$J$4,'领用录入（明细）'!C:C&lt;=$L$4),ROW(),"-")</f>
        <v>-</v>
      </c>
    </row>
    <row r="45225" customHeight="1" spans="2:2">
      <c r="B45225" s="62" t="str">
        <f>IF(AND('领用录入（明细）'!D:D=$F$4,'领用录入（明细）'!C:C&gt;=$J$4,'领用录入（明细）'!C:C&lt;=$L$4),ROW(),"-")</f>
        <v>-</v>
      </c>
    </row>
    <row r="45226" customHeight="1" spans="2:2">
      <c r="B45226" s="62" t="str">
        <f>IF(AND('领用录入（明细）'!D:D=$F$4,'领用录入（明细）'!C:C&gt;=$J$4,'领用录入（明细）'!C:C&lt;=$L$4),ROW(),"-")</f>
        <v>-</v>
      </c>
    </row>
    <row r="45227" customHeight="1" spans="2:2">
      <c r="B45227" s="62" t="str">
        <f>IF(AND('领用录入（明细）'!D:D=$F$4,'领用录入（明细）'!C:C&gt;=$J$4,'领用录入（明细）'!C:C&lt;=$L$4),ROW(),"-")</f>
        <v>-</v>
      </c>
    </row>
    <row r="45228" customHeight="1" spans="2:2">
      <c r="B45228" s="62" t="str">
        <f>IF(AND('领用录入（明细）'!D:D=$F$4,'领用录入（明细）'!C:C&gt;=$J$4,'领用录入（明细）'!C:C&lt;=$L$4),ROW(),"-")</f>
        <v>-</v>
      </c>
    </row>
    <row r="45229" customHeight="1" spans="2:2">
      <c r="B45229" s="62" t="str">
        <f>IF(AND('领用录入（明细）'!D:D=$F$4,'领用录入（明细）'!C:C&gt;=$J$4,'领用录入（明细）'!C:C&lt;=$L$4),ROW(),"-")</f>
        <v>-</v>
      </c>
    </row>
    <row r="45230" customHeight="1" spans="2:2">
      <c r="B45230" s="62" t="str">
        <f>IF(AND('领用录入（明细）'!D:D=$F$4,'领用录入（明细）'!C:C&gt;=$J$4,'领用录入（明细）'!C:C&lt;=$L$4),ROW(),"-")</f>
        <v>-</v>
      </c>
    </row>
    <row r="45231" customHeight="1" spans="2:2">
      <c r="B45231" s="62" t="str">
        <f>IF(AND('领用录入（明细）'!D:D=$F$4,'领用录入（明细）'!C:C&gt;=$J$4,'领用录入（明细）'!C:C&lt;=$L$4),ROW(),"-")</f>
        <v>-</v>
      </c>
    </row>
    <row r="45232" customHeight="1" spans="2:2">
      <c r="B45232" s="62" t="str">
        <f>IF(AND('领用录入（明细）'!D:D=$F$4,'领用录入（明细）'!C:C&gt;=$J$4,'领用录入（明细）'!C:C&lt;=$L$4),ROW(),"-")</f>
        <v>-</v>
      </c>
    </row>
    <row r="45233" customHeight="1" spans="2:2">
      <c r="B45233" s="62" t="str">
        <f>IF(AND('领用录入（明细）'!D:D=$F$4,'领用录入（明细）'!C:C&gt;=$J$4,'领用录入（明细）'!C:C&lt;=$L$4),ROW(),"-")</f>
        <v>-</v>
      </c>
    </row>
    <row r="45234" customHeight="1" spans="2:2">
      <c r="B45234" s="62" t="str">
        <f>IF(AND('领用录入（明细）'!D:D=$F$4,'领用录入（明细）'!C:C&gt;=$J$4,'领用录入（明细）'!C:C&lt;=$L$4),ROW(),"-")</f>
        <v>-</v>
      </c>
    </row>
    <row r="45235" customHeight="1" spans="2:2">
      <c r="B45235" s="62" t="str">
        <f>IF(AND('领用录入（明细）'!D:D=$F$4,'领用录入（明细）'!C:C&gt;=$J$4,'领用录入（明细）'!C:C&lt;=$L$4),ROW(),"-")</f>
        <v>-</v>
      </c>
    </row>
    <row r="45236" customHeight="1" spans="2:2">
      <c r="B45236" s="62" t="str">
        <f>IF(AND('领用录入（明细）'!D:D=$F$4,'领用录入（明细）'!C:C&gt;=$J$4,'领用录入（明细）'!C:C&lt;=$L$4),ROW(),"-")</f>
        <v>-</v>
      </c>
    </row>
    <row r="45237" customHeight="1" spans="2:2">
      <c r="B45237" s="62" t="str">
        <f>IF(AND('领用录入（明细）'!D:D=$F$4,'领用录入（明细）'!C:C&gt;=$J$4,'领用录入（明细）'!C:C&lt;=$L$4),ROW(),"-")</f>
        <v>-</v>
      </c>
    </row>
    <row r="45238" customHeight="1" spans="2:2">
      <c r="B45238" s="62" t="str">
        <f>IF(AND('领用录入（明细）'!D:D=$F$4,'领用录入（明细）'!C:C&gt;=$J$4,'领用录入（明细）'!C:C&lt;=$L$4),ROW(),"-")</f>
        <v>-</v>
      </c>
    </row>
    <row r="45239" customHeight="1" spans="2:2">
      <c r="B45239" s="62" t="str">
        <f>IF(AND('领用录入（明细）'!D:D=$F$4,'领用录入（明细）'!C:C&gt;=$J$4,'领用录入（明细）'!C:C&lt;=$L$4),ROW(),"-")</f>
        <v>-</v>
      </c>
    </row>
    <row r="45240" customHeight="1" spans="2:2">
      <c r="B45240" s="62" t="str">
        <f>IF(AND('领用录入（明细）'!D:D=$F$4,'领用录入（明细）'!C:C&gt;=$J$4,'领用录入（明细）'!C:C&lt;=$L$4),ROW(),"-")</f>
        <v>-</v>
      </c>
    </row>
    <row r="45241" customHeight="1" spans="2:2">
      <c r="B45241" s="62" t="str">
        <f>IF(AND('领用录入（明细）'!D:D=$F$4,'领用录入（明细）'!C:C&gt;=$J$4,'领用录入（明细）'!C:C&lt;=$L$4),ROW(),"-")</f>
        <v>-</v>
      </c>
    </row>
    <row r="45242" customHeight="1" spans="2:2">
      <c r="B45242" s="62" t="str">
        <f>IF(AND('领用录入（明细）'!D:D=$F$4,'领用录入（明细）'!C:C&gt;=$J$4,'领用录入（明细）'!C:C&lt;=$L$4),ROW(),"-")</f>
        <v>-</v>
      </c>
    </row>
    <row r="45243" customHeight="1" spans="2:2">
      <c r="B45243" s="62" t="str">
        <f>IF(AND('领用录入（明细）'!D:D=$F$4,'领用录入（明细）'!C:C&gt;=$J$4,'领用录入（明细）'!C:C&lt;=$L$4),ROW(),"-")</f>
        <v>-</v>
      </c>
    </row>
    <row r="45244" customHeight="1" spans="2:2">
      <c r="B45244" s="62" t="str">
        <f>IF(AND('领用录入（明细）'!D:D=$F$4,'领用录入（明细）'!C:C&gt;=$J$4,'领用录入（明细）'!C:C&lt;=$L$4),ROW(),"-")</f>
        <v>-</v>
      </c>
    </row>
    <row r="45245" customHeight="1" spans="2:2">
      <c r="B45245" s="62" t="str">
        <f>IF(AND('领用录入（明细）'!D:D=$F$4,'领用录入（明细）'!C:C&gt;=$J$4,'领用录入（明细）'!C:C&lt;=$L$4),ROW(),"-")</f>
        <v>-</v>
      </c>
    </row>
    <row r="45246" customHeight="1" spans="2:2">
      <c r="B45246" s="62" t="str">
        <f>IF(AND('领用录入（明细）'!D:D=$F$4,'领用录入（明细）'!C:C&gt;=$J$4,'领用录入（明细）'!C:C&lt;=$L$4),ROW(),"-")</f>
        <v>-</v>
      </c>
    </row>
    <row r="45247" customHeight="1" spans="2:2">
      <c r="B45247" s="62" t="str">
        <f>IF(AND('领用录入（明细）'!D:D=$F$4,'领用录入（明细）'!C:C&gt;=$J$4,'领用录入（明细）'!C:C&lt;=$L$4),ROW(),"-")</f>
        <v>-</v>
      </c>
    </row>
    <row r="45248" customHeight="1" spans="2:2">
      <c r="B45248" s="62" t="str">
        <f>IF(AND('领用录入（明细）'!D:D=$F$4,'领用录入（明细）'!C:C&gt;=$J$4,'领用录入（明细）'!C:C&lt;=$L$4),ROW(),"-")</f>
        <v>-</v>
      </c>
    </row>
    <row r="45249" customHeight="1" spans="2:2">
      <c r="B45249" s="62" t="str">
        <f>IF(AND('领用录入（明细）'!D:D=$F$4,'领用录入（明细）'!C:C&gt;=$J$4,'领用录入（明细）'!C:C&lt;=$L$4),ROW(),"-")</f>
        <v>-</v>
      </c>
    </row>
    <row r="45250" customHeight="1" spans="2:2">
      <c r="B45250" s="62" t="str">
        <f>IF(AND('领用录入（明细）'!D:D=$F$4,'领用录入（明细）'!C:C&gt;=$J$4,'领用录入（明细）'!C:C&lt;=$L$4),ROW(),"-")</f>
        <v>-</v>
      </c>
    </row>
    <row r="45251" customHeight="1" spans="2:2">
      <c r="B45251" s="62" t="str">
        <f>IF(AND('领用录入（明细）'!D:D=$F$4,'领用录入（明细）'!C:C&gt;=$J$4,'领用录入（明细）'!C:C&lt;=$L$4),ROW(),"-")</f>
        <v>-</v>
      </c>
    </row>
    <row r="45252" customHeight="1" spans="2:2">
      <c r="B45252" s="62" t="str">
        <f>IF(AND('领用录入（明细）'!D:D=$F$4,'领用录入（明细）'!C:C&gt;=$J$4,'领用录入（明细）'!C:C&lt;=$L$4),ROW(),"-")</f>
        <v>-</v>
      </c>
    </row>
    <row r="45253" customHeight="1" spans="2:2">
      <c r="B45253" s="62" t="str">
        <f>IF(AND('领用录入（明细）'!D:D=$F$4,'领用录入（明细）'!C:C&gt;=$J$4,'领用录入（明细）'!C:C&lt;=$L$4),ROW(),"-")</f>
        <v>-</v>
      </c>
    </row>
    <row r="45254" customHeight="1" spans="2:2">
      <c r="B45254" s="62" t="str">
        <f>IF(AND('领用录入（明细）'!D:D=$F$4,'领用录入（明细）'!C:C&gt;=$J$4,'领用录入（明细）'!C:C&lt;=$L$4),ROW(),"-")</f>
        <v>-</v>
      </c>
    </row>
    <row r="45255" customHeight="1" spans="2:2">
      <c r="B45255" s="62" t="str">
        <f>IF(AND('领用录入（明细）'!D:D=$F$4,'领用录入（明细）'!C:C&gt;=$J$4,'领用录入（明细）'!C:C&lt;=$L$4),ROW(),"-")</f>
        <v>-</v>
      </c>
    </row>
    <row r="45256" customHeight="1" spans="2:2">
      <c r="B45256" s="62" t="str">
        <f>IF(AND('领用录入（明细）'!D:D=$F$4,'领用录入（明细）'!C:C&gt;=$J$4,'领用录入（明细）'!C:C&lt;=$L$4),ROW(),"-")</f>
        <v>-</v>
      </c>
    </row>
    <row r="45257" customHeight="1" spans="2:2">
      <c r="B45257" s="62" t="str">
        <f>IF(AND('领用录入（明细）'!D:D=$F$4,'领用录入（明细）'!C:C&gt;=$J$4,'领用录入（明细）'!C:C&lt;=$L$4),ROW(),"-")</f>
        <v>-</v>
      </c>
    </row>
    <row r="45258" customHeight="1" spans="2:2">
      <c r="B45258" s="62" t="str">
        <f>IF(AND('领用录入（明细）'!D:D=$F$4,'领用录入（明细）'!C:C&gt;=$J$4,'领用录入（明细）'!C:C&lt;=$L$4),ROW(),"-")</f>
        <v>-</v>
      </c>
    </row>
    <row r="45259" customHeight="1" spans="2:2">
      <c r="B45259" s="62" t="str">
        <f>IF(AND('领用录入（明细）'!D:D=$F$4,'领用录入（明细）'!C:C&gt;=$J$4,'领用录入（明细）'!C:C&lt;=$L$4),ROW(),"-")</f>
        <v>-</v>
      </c>
    </row>
    <row r="45260" customHeight="1" spans="2:2">
      <c r="B45260" s="62" t="str">
        <f>IF(AND('领用录入（明细）'!D:D=$F$4,'领用录入（明细）'!C:C&gt;=$J$4,'领用录入（明细）'!C:C&lt;=$L$4),ROW(),"-")</f>
        <v>-</v>
      </c>
    </row>
    <row r="45261" customHeight="1" spans="2:2">
      <c r="B45261" s="62" t="str">
        <f>IF(AND('领用录入（明细）'!D:D=$F$4,'领用录入（明细）'!C:C&gt;=$J$4,'领用录入（明细）'!C:C&lt;=$L$4),ROW(),"-")</f>
        <v>-</v>
      </c>
    </row>
    <row r="45262" customHeight="1" spans="2:2">
      <c r="B45262" s="62" t="str">
        <f>IF(AND('领用录入（明细）'!D:D=$F$4,'领用录入（明细）'!C:C&gt;=$J$4,'领用录入（明细）'!C:C&lt;=$L$4),ROW(),"-")</f>
        <v>-</v>
      </c>
    </row>
    <row r="45263" customHeight="1" spans="2:2">
      <c r="B45263" s="62" t="str">
        <f>IF(AND('领用录入（明细）'!D:D=$F$4,'领用录入（明细）'!C:C&gt;=$J$4,'领用录入（明细）'!C:C&lt;=$L$4),ROW(),"-")</f>
        <v>-</v>
      </c>
    </row>
    <row r="45264" customHeight="1" spans="2:2">
      <c r="B45264" s="62" t="str">
        <f>IF(AND('领用录入（明细）'!D:D=$F$4,'领用录入（明细）'!C:C&gt;=$J$4,'领用录入（明细）'!C:C&lt;=$L$4),ROW(),"-")</f>
        <v>-</v>
      </c>
    </row>
    <row r="45265" customHeight="1" spans="2:2">
      <c r="B45265" s="62" t="str">
        <f>IF(AND('领用录入（明细）'!D:D=$F$4,'领用录入（明细）'!C:C&gt;=$J$4,'领用录入（明细）'!C:C&lt;=$L$4),ROW(),"-")</f>
        <v>-</v>
      </c>
    </row>
    <row r="45266" customHeight="1" spans="2:2">
      <c r="B45266" s="62" t="str">
        <f>IF(AND('领用录入（明细）'!D:D=$F$4,'领用录入（明细）'!C:C&gt;=$J$4,'领用录入（明细）'!C:C&lt;=$L$4),ROW(),"-")</f>
        <v>-</v>
      </c>
    </row>
    <row r="45267" customHeight="1" spans="2:2">
      <c r="B45267" s="62" t="str">
        <f>IF(AND('领用录入（明细）'!D:D=$F$4,'领用录入（明细）'!C:C&gt;=$J$4,'领用录入（明细）'!C:C&lt;=$L$4),ROW(),"-")</f>
        <v>-</v>
      </c>
    </row>
    <row r="45268" customHeight="1" spans="2:2">
      <c r="B45268" s="62" t="str">
        <f>IF(AND('领用录入（明细）'!D:D=$F$4,'领用录入（明细）'!C:C&gt;=$J$4,'领用录入（明细）'!C:C&lt;=$L$4),ROW(),"-")</f>
        <v>-</v>
      </c>
    </row>
    <row r="45269" customHeight="1" spans="2:2">
      <c r="B45269" s="62" t="str">
        <f>IF(AND('领用录入（明细）'!D:D=$F$4,'领用录入（明细）'!C:C&gt;=$J$4,'领用录入（明细）'!C:C&lt;=$L$4),ROW(),"-")</f>
        <v>-</v>
      </c>
    </row>
    <row r="45270" customHeight="1" spans="2:2">
      <c r="B45270" s="62" t="str">
        <f>IF(AND('领用录入（明细）'!D:D=$F$4,'领用录入（明细）'!C:C&gt;=$J$4,'领用录入（明细）'!C:C&lt;=$L$4),ROW(),"-")</f>
        <v>-</v>
      </c>
    </row>
    <row r="45271" customHeight="1" spans="2:2">
      <c r="B45271" s="62" t="str">
        <f>IF(AND('领用录入（明细）'!D:D=$F$4,'领用录入（明细）'!C:C&gt;=$J$4,'领用录入（明细）'!C:C&lt;=$L$4),ROW(),"-")</f>
        <v>-</v>
      </c>
    </row>
    <row r="45272" customHeight="1" spans="2:2">
      <c r="B45272" s="62" t="str">
        <f>IF(AND('领用录入（明细）'!D:D=$F$4,'领用录入（明细）'!C:C&gt;=$J$4,'领用录入（明细）'!C:C&lt;=$L$4),ROW(),"-")</f>
        <v>-</v>
      </c>
    </row>
    <row r="45273" customHeight="1" spans="2:2">
      <c r="B45273" s="62" t="str">
        <f>IF(AND('领用录入（明细）'!D:D=$F$4,'领用录入（明细）'!C:C&gt;=$J$4,'领用录入（明细）'!C:C&lt;=$L$4),ROW(),"-")</f>
        <v>-</v>
      </c>
    </row>
    <row r="45274" customHeight="1" spans="2:2">
      <c r="B45274" s="62" t="str">
        <f>IF(AND('领用录入（明细）'!D:D=$F$4,'领用录入（明细）'!C:C&gt;=$J$4,'领用录入（明细）'!C:C&lt;=$L$4),ROW(),"-")</f>
        <v>-</v>
      </c>
    </row>
    <row r="45275" customHeight="1" spans="2:2">
      <c r="B45275" s="62" t="str">
        <f>IF(AND('领用录入（明细）'!D:D=$F$4,'领用录入（明细）'!C:C&gt;=$J$4,'领用录入（明细）'!C:C&lt;=$L$4),ROW(),"-")</f>
        <v>-</v>
      </c>
    </row>
    <row r="45276" customHeight="1" spans="2:2">
      <c r="B45276" s="62" t="str">
        <f>IF(AND('领用录入（明细）'!D:D=$F$4,'领用录入（明细）'!C:C&gt;=$J$4,'领用录入（明细）'!C:C&lt;=$L$4),ROW(),"-")</f>
        <v>-</v>
      </c>
    </row>
    <row r="45277" customHeight="1" spans="2:2">
      <c r="B45277" s="62" t="str">
        <f>IF(AND('领用录入（明细）'!D:D=$F$4,'领用录入（明细）'!C:C&gt;=$J$4,'领用录入（明细）'!C:C&lt;=$L$4),ROW(),"-")</f>
        <v>-</v>
      </c>
    </row>
    <row r="45278" customHeight="1" spans="2:2">
      <c r="B45278" s="62" t="str">
        <f>IF(AND('领用录入（明细）'!D:D=$F$4,'领用录入（明细）'!C:C&gt;=$J$4,'领用录入（明细）'!C:C&lt;=$L$4),ROW(),"-")</f>
        <v>-</v>
      </c>
    </row>
    <row r="45279" customHeight="1" spans="2:2">
      <c r="B45279" s="62" t="str">
        <f>IF(AND('领用录入（明细）'!D:D=$F$4,'领用录入（明细）'!C:C&gt;=$J$4,'领用录入（明细）'!C:C&lt;=$L$4),ROW(),"-")</f>
        <v>-</v>
      </c>
    </row>
    <row r="45280" customHeight="1" spans="2:2">
      <c r="B45280" s="62" t="str">
        <f>IF(AND('领用录入（明细）'!D:D=$F$4,'领用录入（明细）'!C:C&gt;=$J$4,'领用录入（明细）'!C:C&lt;=$L$4),ROW(),"-")</f>
        <v>-</v>
      </c>
    </row>
    <row r="45281" customHeight="1" spans="2:2">
      <c r="B45281" s="62" t="str">
        <f>IF(AND('领用录入（明细）'!D:D=$F$4,'领用录入（明细）'!C:C&gt;=$J$4,'领用录入（明细）'!C:C&lt;=$L$4),ROW(),"-")</f>
        <v>-</v>
      </c>
    </row>
    <row r="45282" customHeight="1" spans="2:2">
      <c r="B45282" s="62" t="str">
        <f>IF(AND('领用录入（明细）'!D:D=$F$4,'领用录入（明细）'!C:C&gt;=$J$4,'领用录入（明细）'!C:C&lt;=$L$4),ROW(),"-")</f>
        <v>-</v>
      </c>
    </row>
    <row r="45283" customHeight="1" spans="2:2">
      <c r="B45283" s="62" t="str">
        <f>IF(AND('领用录入（明细）'!D:D=$F$4,'领用录入（明细）'!C:C&gt;=$J$4,'领用录入（明细）'!C:C&lt;=$L$4),ROW(),"-")</f>
        <v>-</v>
      </c>
    </row>
    <row r="45284" customHeight="1" spans="2:2">
      <c r="B45284" s="62" t="str">
        <f>IF(AND('领用录入（明细）'!D:D=$F$4,'领用录入（明细）'!C:C&gt;=$J$4,'领用录入（明细）'!C:C&lt;=$L$4),ROW(),"-")</f>
        <v>-</v>
      </c>
    </row>
    <row r="45285" customHeight="1" spans="2:2">
      <c r="B45285" s="62" t="str">
        <f>IF(AND('领用录入（明细）'!D:D=$F$4,'领用录入（明细）'!C:C&gt;=$J$4,'领用录入（明细）'!C:C&lt;=$L$4),ROW(),"-")</f>
        <v>-</v>
      </c>
    </row>
    <row r="45286" customHeight="1" spans="2:2">
      <c r="B45286" s="62" t="str">
        <f>IF(AND('领用录入（明细）'!D:D=$F$4,'领用录入（明细）'!C:C&gt;=$J$4,'领用录入（明细）'!C:C&lt;=$L$4),ROW(),"-")</f>
        <v>-</v>
      </c>
    </row>
    <row r="45287" customHeight="1" spans="2:2">
      <c r="B45287" s="62" t="str">
        <f>IF(AND('领用录入（明细）'!D:D=$F$4,'领用录入（明细）'!C:C&gt;=$J$4,'领用录入（明细）'!C:C&lt;=$L$4),ROW(),"-")</f>
        <v>-</v>
      </c>
    </row>
    <row r="45288" customHeight="1" spans="2:2">
      <c r="B45288" s="62" t="str">
        <f>IF(AND('领用录入（明细）'!D:D=$F$4,'领用录入（明细）'!C:C&gt;=$J$4,'领用录入（明细）'!C:C&lt;=$L$4),ROW(),"-")</f>
        <v>-</v>
      </c>
    </row>
    <row r="45289" customHeight="1" spans="2:2">
      <c r="B45289" s="62" t="str">
        <f>IF(AND('领用录入（明细）'!D:D=$F$4,'领用录入（明细）'!C:C&gt;=$J$4,'领用录入（明细）'!C:C&lt;=$L$4),ROW(),"-")</f>
        <v>-</v>
      </c>
    </row>
    <row r="45290" customHeight="1" spans="2:2">
      <c r="B45290" s="62" t="str">
        <f>IF(AND('领用录入（明细）'!D:D=$F$4,'领用录入（明细）'!C:C&gt;=$J$4,'领用录入（明细）'!C:C&lt;=$L$4),ROW(),"-")</f>
        <v>-</v>
      </c>
    </row>
    <row r="45291" customHeight="1" spans="2:2">
      <c r="B45291" s="62" t="str">
        <f>IF(AND('领用录入（明细）'!D:D=$F$4,'领用录入（明细）'!C:C&gt;=$J$4,'领用录入（明细）'!C:C&lt;=$L$4),ROW(),"-")</f>
        <v>-</v>
      </c>
    </row>
    <row r="45292" customHeight="1" spans="2:2">
      <c r="B45292" s="62" t="str">
        <f>IF(AND('领用录入（明细）'!D:D=$F$4,'领用录入（明细）'!C:C&gt;=$J$4,'领用录入（明细）'!C:C&lt;=$L$4),ROW(),"-")</f>
        <v>-</v>
      </c>
    </row>
    <row r="45293" customHeight="1" spans="2:2">
      <c r="B45293" s="62" t="str">
        <f>IF(AND('领用录入（明细）'!D:D=$F$4,'领用录入（明细）'!C:C&gt;=$J$4,'领用录入（明细）'!C:C&lt;=$L$4),ROW(),"-")</f>
        <v>-</v>
      </c>
    </row>
    <row r="45294" customHeight="1" spans="2:2">
      <c r="B45294" s="62" t="str">
        <f>IF(AND('领用录入（明细）'!D:D=$F$4,'领用录入（明细）'!C:C&gt;=$J$4,'领用录入（明细）'!C:C&lt;=$L$4),ROW(),"-")</f>
        <v>-</v>
      </c>
    </row>
    <row r="45295" customHeight="1" spans="2:2">
      <c r="B45295" s="62" t="str">
        <f>IF(AND('领用录入（明细）'!D:D=$F$4,'领用录入（明细）'!C:C&gt;=$J$4,'领用录入（明细）'!C:C&lt;=$L$4),ROW(),"-")</f>
        <v>-</v>
      </c>
    </row>
    <row r="45296" customHeight="1" spans="2:2">
      <c r="B45296" s="62" t="str">
        <f>IF(AND('领用录入（明细）'!D:D=$F$4,'领用录入（明细）'!C:C&gt;=$J$4,'领用录入（明细）'!C:C&lt;=$L$4),ROW(),"-")</f>
        <v>-</v>
      </c>
    </row>
    <row r="45297" customHeight="1" spans="2:2">
      <c r="B45297" s="62" t="str">
        <f>IF(AND('领用录入（明细）'!D:D=$F$4,'领用录入（明细）'!C:C&gt;=$J$4,'领用录入（明细）'!C:C&lt;=$L$4),ROW(),"-")</f>
        <v>-</v>
      </c>
    </row>
    <row r="45298" customHeight="1" spans="2:2">
      <c r="B45298" s="62" t="str">
        <f>IF(AND('领用录入（明细）'!D:D=$F$4,'领用录入（明细）'!C:C&gt;=$J$4,'领用录入（明细）'!C:C&lt;=$L$4),ROW(),"-")</f>
        <v>-</v>
      </c>
    </row>
    <row r="45299" customHeight="1" spans="2:2">
      <c r="B45299" s="62" t="str">
        <f>IF(AND('领用录入（明细）'!D:D=$F$4,'领用录入（明细）'!C:C&gt;=$J$4,'领用录入（明细）'!C:C&lt;=$L$4),ROW(),"-")</f>
        <v>-</v>
      </c>
    </row>
    <row r="45300" customHeight="1" spans="2:2">
      <c r="B45300" s="62" t="str">
        <f>IF(AND('领用录入（明细）'!D:D=$F$4,'领用录入（明细）'!C:C&gt;=$J$4,'领用录入（明细）'!C:C&lt;=$L$4),ROW(),"-")</f>
        <v>-</v>
      </c>
    </row>
    <row r="45301" customHeight="1" spans="2:2">
      <c r="B45301" s="62" t="str">
        <f>IF(AND('领用录入（明细）'!D:D=$F$4,'领用录入（明细）'!C:C&gt;=$J$4,'领用录入（明细）'!C:C&lt;=$L$4),ROW(),"-")</f>
        <v>-</v>
      </c>
    </row>
    <row r="45302" customHeight="1" spans="2:2">
      <c r="B45302" s="62" t="str">
        <f>IF(AND('领用录入（明细）'!D:D=$F$4,'领用录入（明细）'!C:C&gt;=$J$4,'领用录入（明细）'!C:C&lt;=$L$4),ROW(),"-")</f>
        <v>-</v>
      </c>
    </row>
    <row r="45303" customHeight="1" spans="2:2">
      <c r="B45303" s="62" t="str">
        <f>IF(AND('领用录入（明细）'!D:D=$F$4,'领用录入（明细）'!C:C&gt;=$J$4,'领用录入（明细）'!C:C&lt;=$L$4),ROW(),"-")</f>
        <v>-</v>
      </c>
    </row>
    <row r="45304" customHeight="1" spans="2:2">
      <c r="B45304" s="62" t="str">
        <f>IF(AND('领用录入（明细）'!D:D=$F$4,'领用录入（明细）'!C:C&gt;=$J$4,'领用录入（明细）'!C:C&lt;=$L$4),ROW(),"-")</f>
        <v>-</v>
      </c>
    </row>
    <row r="45305" customHeight="1" spans="2:2">
      <c r="B45305" s="62" t="str">
        <f>IF(AND('领用录入（明细）'!D:D=$F$4,'领用录入（明细）'!C:C&gt;=$J$4,'领用录入（明细）'!C:C&lt;=$L$4),ROW(),"-")</f>
        <v>-</v>
      </c>
    </row>
    <row r="45306" customHeight="1" spans="2:2">
      <c r="B45306" s="62" t="str">
        <f>IF(AND('领用录入（明细）'!D:D=$F$4,'领用录入（明细）'!C:C&gt;=$J$4,'领用录入（明细）'!C:C&lt;=$L$4),ROW(),"-")</f>
        <v>-</v>
      </c>
    </row>
    <row r="45307" customHeight="1" spans="2:2">
      <c r="B45307" s="62" t="str">
        <f>IF(AND('领用录入（明细）'!D:D=$F$4,'领用录入（明细）'!C:C&gt;=$J$4,'领用录入（明细）'!C:C&lt;=$L$4),ROW(),"-")</f>
        <v>-</v>
      </c>
    </row>
    <row r="45308" customHeight="1" spans="2:2">
      <c r="B45308" s="62" t="str">
        <f>IF(AND('领用录入（明细）'!D:D=$F$4,'领用录入（明细）'!C:C&gt;=$J$4,'领用录入（明细）'!C:C&lt;=$L$4),ROW(),"-")</f>
        <v>-</v>
      </c>
    </row>
    <row r="45309" customHeight="1" spans="2:2">
      <c r="B45309" s="62" t="str">
        <f>IF(AND('领用录入（明细）'!D:D=$F$4,'领用录入（明细）'!C:C&gt;=$J$4,'领用录入（明细）'!C:C&lt;=$L$4),ROW(),"-")</f>
        <v>-</v>
      </c>
    </row>
    <row r="45310" customHeight="1" spans="2:2">
      <c r="B45310" s="62" t="str">
        <f>IF(AND('领用录入（明细）'!D:D=$F$4,'领用录入（明细）'!C:C&gt;=$J$4,'领用录入（明细）'!C:C&lt;=$L$4),ROW(),"-")</f>
        <v>-</v>
      </c>
    </row>
    <row r="45311" customHeight="1" spans="2:2">
      <c r="B45311" s="62" t="str">
        <f>IF(AND('领用录入（明细）'!D:D=$F$4,'领用录入（明细）'!C:C&gt;=$J$4,'领用录入（明细）'!C:C&lt;=$L$4),ROW(),"-")</f>
        <v>-</v>
      </c>
    </row>
    <row r="45312" customHeight="1" spans="2:2">
      <c r="B45312" s="62" t="str">
        <f>IF(AND('领用录入（明细）'!D:D=$F$4,'领用录入（明细）'!C:C&gt;=$J$4,'领用录入（明细）'!C:C&lt;=$L$4),ROW(),"-")</f>
        <v>-</v>
      </c>
    </row>
    <row r="45313" customHeight="1" spans="2:2">
      <c r="B45313" s="62" t="str">
        <f>IF(AND('领用录入（明细）'!D:D=$F$4,'领用录入（明细）'!C:C&gt;=$J$4,'领用录入（明细）'!C:C&lt;=$L$4),ROW(),"-")</f>
        <v>-</v>
      </c>
    </row>
    <row r="45314" customHeight="1" spans="2:2">
      <c r="B45314" s="62" t="str">
        <f>IF(AND('领用录入（明细）'!D:D=$F$4,'领用录入（明细）'!C:C&gt;=$J$4,'领用录入（明细）'!C:C&lt;=$L$4),ROW(),"-")</f>
        <v>-</v>
      </c>
    </row>
    <row r="45315" customHeight="1" spans="2:2">
      <c r="B45315" s="62" t="str">
        <f>IF(AND('领用录入（明细）'!D:D=$F$4,'领用录入（明细）'!C:C&gt;=$J$4,'领用录入（明细）'!C:C&lt;=$L$4),ROW(),"-")</f>
        <v>-</v>
      </c>
    </row>
    <row r="45316" customHeight="1" spans="2:2">
      <c r="B45316" s="62" t="str">
        <f>IF(AND('领用录入（明细）'!D:D=$F$4,'领用录入（明细）'!C:C&gt;=$J$4,'领用录入（明细）'!C:C&lt;=$L$4),ROW(),"-")</f>
        <v>-</v>
      </c>
    </row>
    <row r="45317" customHeight="1" spans="2:2">
      <c r="B45317" s="62" t="str">
        <f>IF(AND('领用录入（明细）'!D:D=$F$4,'领用录入（明细）'!C:C&gt;=$J$4,'领用录入（明细）'!C:C&lt;=$L$4),ROW(),"-")</f>
        <v>-</v>
      </c>
    </row>
    <row r="45318" customHeight="1" spans="2:2">
      <c r="B45318" s="62" t="str">
        <f>IF(AND('领用录入（明细）'!D:D=$F$4,'领用录入（明细）'!C:C&gt;=$J$4,'领用录入（明细）'!C:C&lt;=$L$4),ROW(),"-")</f>
        <v>-</v>
      </c>
    </row>
    <row r="45319" customHeight="1" spans="2:2">
      <c r="B45319" s="62" t="str">
        <f>IF(AND('领用录入（明细）'!D:D=$F$4,'领用录入（明细）'!C:C&gt;=$J$4,'领用录入（明细）'!C:C&lt;=$L$4),ROW(),"-")</f>
        <v>-</v>
      </c>
    </row>
    <row r="45320" customHeight="1" spans="2:2">
      <c r="B45320" s="62" t="str">
        <f>IF(AND('领用录入（明细）'!D:D=$F$4,'领用录入（明细）'!C:C&gt;=$J$4,'领用录入（明细）'!C:C&lt;=$L$4),ROW(),"-")</f>
        <v>-</v>
      </c>
    </row>
    <row r="45321" customHeight="1" spans="2:2">
      <c r="B45321" s="62" t="str">
        <f>IF(AND('领用录入（明细）'!D:D=$F$4,'领用录入（明细）'!C:C&gt;=$J$4,'领用录入（明细）'!C:C&lt;=$L$4),ROW(),"-")</f>
        <v>-</v>
      </c>
    </row>
    <row r="45322" customHeight="1" spans="2:2">
      <c r="B45322" s="62" t="str">
        <f>IF(AND('领用录入（明细）'!D:D=$F$4,'领用录入（明细）'!C:C&gt;=$J$4,'领用录入（明细）'!C:C&lt;=$L$4),ROW(),"-")</f>
        <v>-</v>
      </c>
    </row>
    <row r="45323" customHeight="1" spans="2:2">
      <c r="B45323" s="62" t="str">
        <f>IF(AND('领用录入（明细）'!D:D=$F$4,'领用录入（明细）'!C:C&gt;=$J$4,'领用录入（明细）'!C:C&lt;=$L$4),ROW(),"-")</f>
        <v>-</v>
      </c>
    </row>
    <row r="45324" customHeight="1" spans="2:2">
      <c r="B45324" s="62" t="str">
        <f>IF(AND('领用录入（明细）'!D:D=$F$4,'领用录入（明细）'!C:C&gt;=$J$4,'领用录入（明细）'!C:C&lt;=$L$4),ROW(),"-")</f>
        <v>-</v>
      </c>
    </row>
    <row r="45325" customHeight="1" spans="2:2">
      <c r="B45325" s="62" t="str">
        <f>IF(AND('领用录入（明细）'!D:D=$F$4,'领用录入（明细）'!C:C&gt;=$J$4,'领用录入（明细）'!C:C&lt;=$L$4),ROW(),"-")</f>
        <v>-</v>
      </c>
    </row>
    <row r="45326" customHeight="1" spans="2:2">
      <c r="B45326" s="62" t="str">
        <f>IF(AND('领用录入（明细）'!D:D=$F$4,'领用录入（明细）'!C:C&gt;=$J$4,'领用录入（明细）'!C:C&lt;=$L$4),ROW(),"-")</f>
        <v>-</v>
      </c>
    </row>
    <row r="45327" customHeight="1" spans="2:2">
      <c r="B45327" s="62" t="str">
        <f>IF(AND('领用录入（明细）'!D:D=$F$4,'领用录入（明细）'!C:C&gt;=$J$4,'领用录入（明细）'!C:C&lt;=$L$4),ROW(),"-")</f>
        <v>-</v>
      </c>
    </row>
    <row r="45328" customHeight="1" spans="2:2">
      <c r="B45328" s="62" t="str">
        <f>IF(AND('领用录入（明细）'!D:D=$F$4,'领用录入（明细）'!C:C&gt;=$J$4,'领用录入（明细）'!C:C&lt;=$L$4),ROW(),"-")</f>
        <v>-</v>
      </c>
    </row>
    <row r="45329" customHeight="1" spans="2:2">
      <c r="B45329" s="62" t="str">
        <f>IF(AND('领用录入（明细）'!D:D=$F$4,'领用录入（明细）'!C:C&gt;=$J$4,'领用录入（明细）'!C:C&lt;=$L$4),ROW(),"-")</f>
        <v>-</v>
      </c>
    </row>
    <row r="45330" customHeight="1" spans="2:2">
      <c r="B45330" s="62" t="str">
        <f>IF(AND('领用录入（明细）'!D:D=$F$4,'领用录入（明细）'!C:C&gt;=$J$4,'领用录入（明细）'!C:C&lt;=$L$4),ROW(),"-")</f>
        <v>-</v>
      </c>
    </row>
    <row r="45331" customHeight="1" spans="2:2">
      <c r="B45331" s="62" t="str">
        <f>IF(AND('领用录入（明细）'!D:D=$F$4,'领用录入（明细）'!C:C&gt;=$J$4,'领用录入（明细）'!C:C&lt;=$L$4),ROW(),"-")</f>
        <v>-</v>
      </c>
    </row>
    <row r="45332" customHeight="1" spans="2:2">
      <c r="B45332" s="62" t="str">
        <f>IF(AND('领用录入（明细）'!D:D=$F$4,'领用录入（明细）'!C:C&gt;=$J$4,'领用录入（明细）'!C:C&lt;=$L$4),ROW(),"-")</f>
        <v>-</v>
      </c>
    </row>
    <row r="45333" customHeight="1" spans="2:2">
      <c r="B45333" s="62" t="str">
        <f>IF(AND('领用录入（明细）'!D:D=$F$4,'领用录入（明细）'!C:C&gt;=$J$4,'领用录入（明细）'!C:C&lt;=$L$4),ROW(),"-")</f>
        <v>-</v>
      </c>
    </row>
    <row r="45334" customHeight="1" spans="2:2">
      <c r="B45334" s="62" t="str">
        <f>IF(AND('领用录入（明细）'!D:D=$F$4,'领用录入（明细）'!C:C&gt;=$J$4,'领用录入（明细）'!C:C&lt;=$L$4),ROW(),"-")</f>
        <v>-</v>
      </c>
    </row>
    <row r="45335" customHeight="1" spans="2:2">
      <c r="B45335" s="62" t="str">
        <f>IF(AND('领用录入（明细）'!D:D=$F$4,'领用录入（明细）'!C:C&gt;=$J$4,'领用录入（明细）'!C:C&lt;=$L$4),ROW(),"-")</f>
        <v>-</v>
      </c>
    </row>
    <row r="45336" customHeight="1" spans="2:2">
      <c r="B45336" s="62" t="str">
        <f>IF(AND('领用录入（明细）'!D:D=$F$4,'领用录入（明细）'!C:C&gt;=$J$4,'领用录入（明细）'!C:C&lt;=$L$4),ROW(),"-")</f>
        <v>-</v>
      </c>
    </row>
    <row r="45337" customHeight="1" spans="2:2">
      <c r="B45337" s="62" t="str">
        <f>IF(AND('领用录入（明细）'!D:D=$F$4,'领用录入（明细）'!C:C&gt;=$J$4,'领用录入（明细）'!C:C&lt;=$L$4),ROW(),"-")</f>
        <v>-</v>
      </c>
    </row>
    <row r="45338" customHeight="1" spans="2:2">
      <c r="B45338" s="62" t="str">
        <f>IF(AND('领用录入（明细）'!D:D=$F$4,'领用录入（明细）'!C:C&gt;=$J$4,'领用录入（明细）'!C:C&lt;=$L$4),ROW(),"-")</f>
        <v>-</v>
      </c>
    </row>
    <row r="45339" customHeight="1" spans="2:2">
      <c r="B45339" s="62" t="str">
        <f>IF(AND('领用录入（明细）'!D:D=$F$4,'领用录入（明细）'!C:C&gt;=$J$4,'领用录入（明细）'!C:C&lt;=$L$4),ROW(),"-")</f>
        <v>-</v>
      </c>
    </row>
    <row r="45340" customHeight="1" spans="2:2">
      <c r="B45340" s="62" t="str">
        <f>IF(AND('领用录入（明细）'!D:D=$F$4,'领用录入（明细）'!C:C&gt;=$J$4,'领用录入（明细）'!C:C&lt;=$L$4),ROW(),"-")</f>
        <v>-</v>
      </c>
    </row>
    <row r="45341" customHeight="1" spans="2:2">
      <c r="B45341" s="62" t="str">
        <f>IF(AND('领用录入（明细）'!D:D=$F$4,'领用录入（明细）'!C:C&gt;=$J$4,'领用录入（明细）'!C:C&lt;=$L$4),ROW(),"-")</f>
        <v>-</v>
      </c>
    </row>
    <row r="45342" customHeight="1" spans="2:2">
      <c r="B45342" s="62" t="str">
        <f>IF(AND('领用录入（明细）'!D:D=$F$4,'领用录入（明细）'!C:C&gt;=$J$4,'领用录入（明细）'!C:C&lt;=$L$4),ROW(),"-")</f>
        <v>-</v>
      </c>
    </row>
    <row r="45343" customHeight="1" spans="2:2">
      <c r="B45343" s="62" t="str">
        <f>IF(AND('领用录入（明细）'!D:D=$F$4,'领用录入（明细）'!C:C&gt;=$J$4,'领用录入（明细）'!C:C&lt;=$L$4),ROW(),"-")</f>
        <v>-</v>
      </c>
    </row>
    <row r="45344" customHeight="1" spans="2:2">
      <c r="B45344" s="62" t="str">
        <f>IF(AND('领用录入（明细）'!D:D=$F$4,'领用录入（明细）'!C:C&gt;=$J$4,'领用录入（明细）'!C:C&lt;=$L$4),ROW(),"-")</f>
        <v>-</v>
      </c>
    </row>
    <row r="45345" customHeight="1" spans="2:2">
      <c r="B45345" s="62" t="str">
        <f>IF(AND('领用录入（明细）'!D:D=$F$4,'领用录入（明细）'!C:C&gt;=$J$4,'领用录入（明细）'!C:C&lt;=$L$4),ROW(),"-")</f>
        <v>-</v>
      </c>
    </row>
    <row r="45346" customHeight="1" spans="2:2">
      <c r="B45346" s="62" t="str">
        <f>IF(AND('领用录入（明细）'!D:D=$F$4,'领用录入（明细）'!C:C&gt;=$J$4,'领用录入（明细）'!C:C&lt;=$L$4),ROW(),"-")</f>
        <v>-</v>
      </c>
    </row>
    <row r="45347" customHeight="1" spans="2:2">
      <c r="B45347" s="62" t="str">
        <f>IF(AND('领用录入（明细）'!D:D=$F$4,'领用录入（明细）'!C:C&gt;=$J$4,'领用录入（明细）'!C:C&lt;=$L$4),ROW(),"-")</f>
        <v>-</v>
      </c>
    </row>
    <row r="45348" customHeight="1" spans="2:2">
      <c r="B45348" s="62" t="str">
        <f>IF(AND('领用录入（明细）'!D:D=$F$4,'领用录入（明细）'!C:C&gt;=$J$4,'领用录入（明细）'!C:C&lt;=$L$4),ROW(),"-")</f>
        <v>-</v>
      </c>
    </row>
    <row r="45349" customHeight="1" spans="2:2">
      <c r="B45349" s="62" t="str">
        <f>IF(AND('领用录入（明细）'!D:D=$F$4,'领用录入（明细）'!C:C&gt;=$J$4,'领用录入（明细）'!C:C&lt;=$L$4),ROW(),"-")</f>
        <v>-</v>
      </c>
    </row>
    <row r="45350" customHeight="1" spans="2:2">
      <c r="B45350" s="62" t="str">
        <f>IF(AND('领用录入（明细）'!D:D=$F$4,'领用录入（明细）'!C:C&gt;=$J$4,'领用录入（明细）'!C:C&lt;=$L$4),ROW(),"-")</f>
        <v>-</v>
      </c>
    </row>
    <row r="45351" customHeight="1" spans="2:2">
      <c r="B45351" s="62" t="str">
        <f>IF(AND('领用录入（明细）'!D:D=$F$4,'领用录入（明细）'!C:C&gt;=$J$4,'领用录入（明细）'!C:C&lt;=$L$4),ROW(),"-")</f>
        <v>-</v>
      </c>
    </row>
    <row r="45352" customHeight="1" spans="2:2">
      <c r="B45352" s="62" t="str">
        <f>IF(AND('领用录入（明细）'!D:D=$F$4,'领用录入（明细）'!C:C&gt;=$J$4,'领用录入（明细）'!C:C&lt;=$L$4),ROW(),"-")</f>
        <v>-</v>
      </c>
    </row>
    <row r="45353" customHeight="1" spans="2:2">
      <c r="B45353" s="62" t="str">
        <f>IF(AND('领用录入（明细）'!D:D=$F$4,'领用录入（明细）'!C:C&gt;=$J$4,'领用录入（明细）'!C:C&lt;=$L$4),ROW(),"-")</f>
        <v>-</v>
      </c>
    </row>
    <row r="45354" customHeight="1" spans="2:2">
      <c r="B45354" s="62" t="str">
        <f>IF(AND('领用录入（明细）'!D:D=$F$4,'领用录入（明细）'!C:C&gt;=$J$4,'领用录入（明细）'!C:C&lt;=$L$4),ROW(),"-")</f>
        <v>-</v>
      </c>
    </row>
    <row r="45355" customHeight="1" spans="2:2">
      <c r="B45355" s="62" t="str">
        <f>IF(AND('领用录入（明细）'!D:D=$F$4,'领用录入（明细）'!C:C&gt;=$J$4,'领用录入（明细）'!C:C&lt;=$L$4),ROW(),"-")</f>
        <v>-</v>
      </c>
    </row>
    <row r="45356" customHeight="1" spans="2:2">
      <c r="B45356" s="62" t="str">
        <f>IF(AND('领用录入（明细）'!D:D=$F$4,'领用录入（明细）'!C:C&gt;=$J$4,'领用录入（明细）'!C:C&lt;=$L$4),ROW(),"-")</f>
        <v>-</v>
      </c>
    </row>
    <row r="45357" customHeight="1" spans="2:2">
      <c r="B45357" s="62" t="str">
        <f>IF(AND('领用录入（明细）'!D:D=$F$4,'领用录入（明细）'!C:C&gt;=$J$4,'领用录入（明细）'!C:C&lt;=$L$4),ROW(),"-")</f>
        <v>-</v>
      </c>
    </row>
    <row r="45358" customHeight="1" spans="2:2">
      <c r="B45358" s="62" t="str">
        <f>IF(AND('领用录入（明细）'!D:D=$F$4,'领用录入（明细）'!C:C&gt;=$J$4,'领用录入（明细）'!C:C&lt;=$L$4),ROW(),"-")</f>
        <v>-</v>
      </c>
    </row>
    <row r="45359" customHeight="1" spans="2:2">
      <c r="B45359" s="62" t="str">
        <f>IF(AND('领用录入（明细）'!D:D=$F$4,'领用录入（明细）'!C:C&gt;=$J$4,'领用录入（明细）'!C:C&lt;=$L$4),ROW(),"-")</f>
        <v>-</v>
      </c>
    </row>
    <row r="45360" customHeight="1" spans="2:2">
      <c r="B45360" s="62" t="str">
        <f>IF(AND('领用录入（明细）'!D:D=$F$4,'领用录入（明细）'!C:C&gt;=$J$4,'领用录入（明细）'!C:C&lt;=$L$4),ROW(),"-")</f>
        <v>-</v>
      </c>
    </row>
    <row r="45361" customHeight="1" spans="2:2">
      <c r="B45361" s="62" t="str">
        <f>IF(AND('领用录入（明细）'!D:D=$F$4,'领用录入（明细）'!C:C&gt;=$J$4,'领用录入（明细）'!C:C&lt;=$L$4),ROW(),"-")</f>
        <v>-</v>
      </c>
    </row>
    <row r="45362" customHeight="1" spans="2:2">
      <c r="B45362" s="62" t="str">
        <f>IF(AND('领用录入（明细）'!D:D=$F$4,'领用录入（明细）'!C:C&gt;=$J$4,'领用录入（明细）'!C:C&lt;=$L$4),ROW(),"-")</f>
        <v>-</v>
      </c>
    </row>
    <row r="45363" customHeight="1" spans="2:2">
      <c r="B45363" s="62" t="str">
        <f>IF(AND('领用录入（明细）'!D:D=$F$4,'领用录入（明细）'!C:C&gt;=$J$4,'领用录入（明细）'!C:C&lt;=$L$4),ROW(),"-")</f>
        <v>-</v>
      </c>
    </row>
    <row r="45364" customHeight="1" spans="2:2">
      <c r="B45364" s="62" t="str">
        <f>IF(AND('领用录入（明细）'!D:D=$F$4,'领用录入（明细）'!C:C&gt;=$J$4,'领用录入（明细）'!C:C&lt;=$L$4),ROW(),"-")</f>
        <v>-</v>
      </c>
    </row>
    <row r="45365" customHeight="1" spans="2:2">
      <c r="B45365" s="62" t="str">
        <f>IF(AND('领用录入（明细）'!D:D=$F$4,'领用录入（明细）'!C:C&gt;=$J$4,'领用录入（明细）'!C:C&lt;=$L$4),ROW(),"-")</f>
        <v>-</v>
      </c>
    </row>
    <row r="45366" customHeight="1" spans="2:2">
      <c r="B45366" s="62" t="str">
        <f>IF(AND('领用录入（明细）'!D:D=$F$4,'领用录入（明细）'!C:C&gt;=$J$4,'领用录入（明细）'!C:C&lt;=$L$4),ROW(),"-")</f>
        <v>-</v>
      </c>
    </row>
    <row r="45367" customHeight="1" spans="2:2">
      <c r="B45367" s="62" t="str">
        <f>IF(AND('领用录入（明细）'!D:D=$F$4,'领用录入（明细）'!C:C&gt;=$J$4,'领用录入（明细）'!C:C&lt;=$L$4),ROW(),"-")</f>
        <v>-</v>
      </c>
    </row>
    <row r="45368" customHeight="1" spans="2:2">
      <c r="B45368" s="62" t="str">
        <f>IF(AND('领用录入（明细）'!D:D=$F$4,'领用录入（明细）'!C:C&gt;=$J$4,'领用录入（明细）'!C:C&lt;=$L$4),ROW(),"-")</f>
        <v>-</v>
      </c>
    </row>
    <row r="45369" customHeight="1" spans="2:2">
      <c r="B45369" s="62" t="str">
        <f>IF(AND('领用录入（明细）'!D:D=$F$4,'领用录入（明细）'!C:C&gt;=$J$4,'领用录入（明细）'!C:C&lt;=$L$4),ROW(),"-")</f>
        <v>-</v>
      </c>
    </row>
    <row r="45370" customHeight="1" spans="2:2">
      <c r="B45370" s="62" t="str">
        <f>IF(AND('领用录入（明细）'!D:D=$F$4,'领用录入（明细）'!C:C&gt;=$J$4,'领用录入（明细）'!C:C&lt;=$L$4),ROW(),"-")</f>
        <v>-</v>
      </c>
    </row>
    <row r="45371" customHeight="1" spans="2:2">
      <c r="B45371" s="62" t="str">
        <f>IF(AND('领用录入（明细）'!D:D=$F$4,'领用录入（明细）'!C:C&gt;=$J$4,'领用录入（明细）'!C:C&lt;=$L$4),ROW(),"-")</f>
        <v>-</v>
      </c>
    </row>
    <row r="45372" customHeight="1" spans="2:2">
      <c r="B45372" s="62" t="str">
        <f>IF(AND('领用录入（明细）'!D:D=$F$4,'领用录入（明细）'!C:C&gt;=$J$4,'领用录入（明细）'!C:C&lt;=$L$4),ROW(),"-")</f>
        <v>-</v>
      </c>
    </row>
    <row r="45373" customHeight="1" spans="2:2">
      <c r="B45373" s="62" t="str">
        <f>IF(AND('领用录入（明细）'!D:D=$F$4,'领用录入（明细）'!C:C&gt;=$J$4,'领用录入（明细）'!C:C&lt;=$L$4),ROW(),"-")</f>
        <v>-</v>
      </c>
    </row>
    <row r="45374" customHeight="1" spans="2:2">
      <c r="B45374" s="62" t="str">
        <f>IF(AND('领用录入（明细）'!D:D=$F$4,'领用录入（明细）'!C:C&gt;=$J$4,'领用录入（明细）'!C:C&lt;=$L$4),ROW(),"-")</f>
        <v>-</v>
      </c>
    </row>
    <row r="45375" customHeight="1" spans="2:2">
      <c r="B45375" s="62" t="str">
        <f>IF(AND('领用录入（明细）'!D:D=$F$4,'领用录入（明细）'!C:C&gt;=$J$4,'领用录入（明细）'!C:C&lt;=$L$4),ROW(),"-")</f>
        <v>-</v>
      </c>
    </row>
    <row r="45376" customHeight="1" spans="2:2">
      <c r="B45376" s="62" t="str">
        <f>IF(AND('领用录入（明细）'!D:D=$F$4,'领用录入（明细）'!C:C&gt;=$J$4,'领用录入（明细）'!C:C&lt;=$L$4),ROW(),"-")</f>
        <v>-</v>
      </c>
    </row>
    <row r="45377" customHeight="1" spans="2:2">
      <c r="B45377" s="62" t="str">
        <f>IF(AND('领用录入（明细）'!D:D=$F$4,'领用录入（明细）'!C:C&gt;=$J$4,'领用录入（明细）'!C:C&lt;=$L$4),ROW(),"-")</f>
        <v>-</v>
      </c>
    </row>
    <row r="45378" customHeight="1" spans="2:2">
      <c r="B45378" s="62" t="str">
        <f>IF(AND('领用录入（明细）'!D:D=$F$4,'领用录入（明细）'!C:C&gt;=$J$4,'领用录入（明细）'!C:C&lt;=$L$4),ROW(),"-")</f>
        <v>-</v>
      </c>
    </row>
    <row r="45379" customHeight="1" spans="2:2">
      <c r="B45379" s="62" t="str">
        <f>IF(AND('领用录入（明细）'!D:D=$F$4,'领用录入（明细）'!C:C&gt;=$J$4,'领用录入（明细）'!C:C&lt;=$L$4),ROW(),"-")</f>
        <v>-</v>
      </c>
    </row>
    <row r="45380" customHeight="1" spans="2:2">
      <c r="B45380" s="62" t="str">
        <f>IF(AND('领用录入（明细）'!D:D=$F$4,'领用录入（明细）'!C:C&gt;=$J$4,'领用录入（明细）'!C:C&lt;=$L$4),ROW(),"-")</f>
        <v>-</v>
      </c>
    </row>
    <row r="45381" customHeight="1" spans="2:2">
      <c r="B45381" s="62" t="str">
        <f>IF(AND('领用录入（明细）'!D:D=$F$4,'领用录入（明细）'!C:C&gt;=$J$4,'领用录入（明细）'!C:C&lt;=$L$4),ROW(),"-")</f>
        <v>-</v>
      </c>
    </row>
    <row r="45382" customHeight="1" spans="2:2">
      <c r="B45382" s="62" t="str">
        <f>IF(AND('领用录入（明细）'!D:D=$F$4,'领用录入（明细）'!C:C&gt;=$J$4,'领用录入（明细）'!C:C&lt;=$L$4),ROW(),"-")</f>
        <v>-</v>
      </c>
    </row>
    <row r="45383" customHeight="1" spans="2:2">
      <c r="B45383" s="62" t="str">
        <f>IF(AND('领用录入（明细）'!D:D=$F$4,'领用录入（明细）'!C:C&gt;=$J$4,'领用录入（明细）'!C:C&lt;=$L$4),ROW(),"-")</f>
        <v>-</v>
      </c>
    </row>
    <row r="45384" customHeight="1" spans="2:2">
      <c r="B45384" s="62" t="str">
        <f>IF(AND('领用录入（明细）'!D:D=$F$4,'领用录入（明细）'!C:C&gt;=$J$4,'领用录入（明细）'!C:C&lt;=$L$4),ROW(),"-")</f>
        <v>-</v>
      </c>
    </row>
    <row r="45385" customHeight="1" spans="2:2">
      <c r="B45385" s="62" t="str">
        <f>IF(AND('领用录入（明细）'!D:D=$F$4,'领用录入（明细）'!C:C&gt;=$J$4,'领用录入（明细）'!C:C&lt;=$L$4),ROW(),"-")</f>
        <v>-</v>
      </c>
    </row>
    <row r="45386" customHeight="1" spans="2:2">
      <c r="B45386" s="62" t="str">
        <f>IF(AND('领用录入（明细）'!D:D=$F$4,'领用录入（明细）'!C:C&gt;=$J$4,'领用录入（明细）'!C:C&lt;=$L$4),ROW(),"-")</f>
        <v>-</v>
      </c>
    </row>
    <row r="45387" customHeight="1" spans="2:2">
      <c r="B45387" s="62" t="str">
        <f>IF(AND('领用录入（明细）'!D:D=$F$4,'领用录入（明细）'!C:C&gt;=$J$4,'领用录入（明细）'!C:C&lt;=$L$4),ROW(),"-")</f>
        <v>-</v>
      </c>
    </row>
    <row r="45388" customHeight="1" spans="2:2">
      <c r="B45388" s="62" t="str">
        <f>IF(AND('领用录入（明细）'!D:D=$F$4,'领用录入（明细）'!C:C&gt;=$J$4,'领用录入（明细）'!C:C&lt;=$L$4),ROW(),"-")</f>
        <v>-</v>
      </c>
    </row>
    <row r="45389" customHeight="1" spans="2:2">
      <c r="B45389" s="62" t="str">
        <f>IF(AND('领用录入（明细）'!D:D=$F$4,'领用录入（明细）'!C:C&gt;=$J$4,'领用录入（明细）'!C:C&lt;=$L$4),ROW(),"-")</f>
        <v>-</v>
      </c>
    </row>
    <row r="45390" customHeight="1" spans="2:2">
      <c r="B45390" s="62" t="str">
        <f>IF(AND('领用录入（明细）'!D:D=$F$4,'领用录入（明细）'!C:C&gt;=$J$4,'领用录入（明细）'!C:C&lt;=$L$4),ROW(),"-")</f>
        <v>-</v>
      </c>
    </row>
    <row r="45391" customHeight="1" spans="2:2">
      <c r="B45391" s="62" t="str">
        <f>IF(AND('领用录入（明细）'!D:D=$F$4,'领用录入（明细）'!C:C&gt;=$J$4,'领用录入（明细）'!C:C&lt;=$L$4),ROW(),"-")</f>
        <v>-</v>
      </c>
    </row>
    <row r="45392" customHeight="1" spans="2:2">
      <c r="B45392" s="62" t="str">
        <f>IF(AND('领用录入（明细）'!D:D=$F$4,'领用录入（明细）'!C:C&gt;=$J$4,'领用录入（明细）'!C:C&lt;=$L$4),ROW(),"-")</f>
        <v>-</v>
      </c>
    </row>
    <row r="45393" customHeight="1" spans="2:2">
      <c r="B45393" s="62" t="str">
        <f>IF(AND('领用录入（明细）'!D:D=$F$4,'领用录入（明细）'!C:C&gt;=$J$4,'领用录入（明细）'!C:C&lt;=$L$4),ROW(),"-")</f>
        <v>-</v>
      </c>
    </row>
    <row r="45394" customHeight="1" spans="2:2">
      <c r="B45394" s="62" t="str">
        <f>IF(AND('领用录入（明细）'!D:D=$F$4,'领用录入（明细）'!C:C&gt;=$J$4,'领用录入（明细）'!C:C&lt;=$L$4),ROW(),"-")</f>
        <v>-</v>
      </c>
    </row>
    <row r="45395" customHeight="1" spans="2:2">
      <c r="B45395" s="62" t="str">
        <f>IF(AND('领用录入（明细）'!D:D=$F$4,'领用录入（明细）'!C:C&gt;=$J$4,'领用录入（明细）'!C:C&lt;=$L$4),ROW(),"-")</f>
        <v>-</v>
      </c>
    </row>
    <row r="45396" customHeight="1" spans="2:2">
      <c r="B45396" s="62" t="str">
        <f>IF(AND('领用录入（明细）'!D:D=$F$4,'领用录入（明细）'!C:C&gt;=$J$4,'领用录入（明细）'!C:C&lt;=$L$4),ROW(),"-")</f>
        <v>-</v>
      </c>
    </row>
    <row r="45397" customHeight="1" spans="2:2">
      <c r="B45397" s="62" t="str">
        <f>IF(AND('领用录入（明细）'!D:D=$F$4,'领用录入（明细）'!C:C&gt;=$J$4,'领用录入（明细）'!C:C&lt;=$L$4),ROW(),"-")</f>
        <v>-</v>
      </c>
    </row>
    <row r="45398" customHeight="1" spans="2:2">
      <c r="B45398" s="62" t="str">
        <f>IF(AND('领用录入（明细）'!D:D=$F$4,'领用录入（明细）'!C:C&gt;=$J$4,'领用录入（明细）'!C:C&lt;=$L$4),ROW(),"-")</f>
        <v>-</v>
      </c>
    </row>
    <row r="45399" customHeight="1" spans="2:2">
      <c r="B45399" s="62" t="str">
        <f>IF(AND('领用录入（明细）'!D:D=$F$4,'领用录入（明细）'!C:C&gt;=$J$4,'领用录入（明细）'!C:C&lt;=$L$4),ROW(),"-")</f>
        <v>-</v>
      </c>
    </row>
    <row r="45400" customHeight="1" spans="2:2">
      <c r="B45400" s="62" t="str">
        <f>IF(AND('领用录入（明细）'!D:D=$F$4,'领用录入（明细）'!C:C&gt;=$J$4,'领用录入（明细）'!C:C&lt;=$L$4),ROW(),"-")</f>
        <v>-</v>
      </c>
    </row>
    <row r="45401" customHeight="1" spans="2:2">
      <c r="B45401" s="62" t="str">
        <f>IF(AND('领用录入（明细）'!D:D=$F$4,'领用录入（明细）'!C:C&gt;=$J$4,'领用录入（明细）'!C:C&lt;=$L$4),ROW(),"-")</f>
        <v>-</v>
      </c>
    </row>
    <row r="45402" customHeight="1" spans="2:2">
      <c r="B45402" s="62" t="str">
        <f>IF(AND('领用录入（明细）'!D:D=$F$4,'领用录入（明细）'!C:C&gt;=$J$4,'领用录入（明细）'!C:C&lt;=$L$4),ROW(),"-")</f>
        <v>-</v>
      </c>
    </row>
    <row r="45403" customHeight="1" spans="2:2">
      <c r="B45403" s="62" t="str">
        <f>IF(AND('领用录入（明细）'!D:D=$F$4,'领用录入（明细）'!C:C&gt;=$J$4,'领用录入（明细）'!C:C&lt;=$L$4),ROW(),"-")</f>
        <v>-</v>
      </c>
    </row>
    <row r="45404" customHeight="1" spans="2:2">
      <c r="B45404" s="62" t="str">
        <f>IF(AND('领用录入（明细）'!D:D=$F$4,'领用录入（明细）'!C:C&gt;=$J$4,'领用录入（明细）'!C:C&lt;=$L$4),ROW(),"-")</f>
        <v>-</v>
      </c>
    </row>
    <row r="45405" customHeight="1" spans="2:2">
      <c r="B45405" s="62" t="str">
        <f>IF(AND('领用录入（明细）'!D:D=$F$4,'领用录入（明细）'!C:C&gt;=$J$4,'领用录入（明细）'!C:C&lt;=$L$4),ROW(),"-")</f>
        <v>-</v>
      </c>
    </row>
    <row r="45406" customHeight="1" spans="2:2">
      <c r="B45406" s="62" t="str">
        <f>IF(AND('领用录入（明细）'!D:D=$F$4,'领用录入（明细）'!C:C&gt;=$J$4,'领用录入（明细）'!C:C&lt;=$L$4),ROW(),"-")</f>
        <v>-</v>
      </c>
    </row>
    <row r="45407" customHeight="1" spans="2:2">
      <c r="B45407" s="62" t="str">
        <f>IF(AND('领用录入（明细）'!D:D=$F$4,'领用录入（明细）'!C:C&gt;=$J$4,'领用录入（明细）'!C:C&lt;=$L$4),ROW(),"-")</f>
        <v>-</v>
      </c>
    </row>
    <row r="45408" customHeight="1" spans="2:2">
      <c r="B45408" s="62" t="str">
        <f>IF(AND('领用录入（明细）'!D:D=$F$4,'领用录入（明细）'!C:C&gt;=$J$4,'领用录入（明细）'!C:C&lt;=$L$4),ROW(),"-")</f>
        <v>-</v>
      </c>
    </row>
    <row r="45409" customHeight="1" spans="2:2">
      <c r="B45409" s="62" t="str">
        <f>IF(AND('领用录入（明细）'!D:D=$F$4,'领用录入（明细）'!C:C&gt;=$J$4,'领用录入（明细）'!C:C&lt;=$L$4),ROW(),"-")</f>
        <v>-</v>
      </c>
    </row>
    <row r="45410" customHeight="1" spans="2:2">
      <c r="B45410" s="62" t="str">
        <f>IF(AND('领用录入（明细）'!D:D=$F$4,'领用录入（明细）'!C:C&gt;=$J$4,'领用录入（明细）'!C:C&lt;=$L$4),ROW(),"-")</f>
        <v>-</v>
      </c>
    </row>
    <row r="45411" customHeight="1" spans="2:2">
      <c r="B45411" s="62" t="str">
        <f>IF(AND('领用录入（明细）'!D:D=$F$4,'领用录入（明细）'!C:C&gt;=$J$4,'领用录入（明细）'!C:C&lt;=$L$4),ROW(),"-")</f>
        <v>-</v>
      </c>
    </row>
    <row r="45412" customHeight="1" spans="2:2">
      <c r="B45412" s="62" t="str">
        <f>IF(AND('领用录入（明细）'!D:D=$F$4,'领用录入（明细）'!C:C&gt;=$J$4,'领用录入（明细）'!C:C&lt;=$L$4),ROW(),"-")</f>
        <v>-</v>
      </c>
    </row>
    <row r="45413" customHeight="1" spans="2:2">
      <c r="B45413" s="62" t="str">
        <f>IF(AND('领用录入（明细）'!D:D=$F$4,'领用录入（明细）'!C:C&gt;=$J$4,'领用录入（明细）'!C:C&lt;=$L$4),ROW(),"-")</f>
        <v>-</v>
      </c>
    </row>
    <row r="45414" customHeight="1" spans="2:2">
      <c r="B45414" s="62" t="str">
        <f>IF(AND('领用录入（明细）'!D:D=$F$4,'领用录入（明细）'!C:C&gt;=$J$4,'领用录入（明细）'!C:C&lt;=$L$4),ROW(),"-")</f>
        <v>-</v>
      </c>
    </row>
    <row r="45415" customHeight="1" spans="2:2">
      <c r="B45415" s="62" t="str">
        <f>IF(AND('领用录入（明细）'!D:D=$F$4,'领用录入（明细）'!C:C&gt;=$J$4,'领用录入（明细）'!C:C&lt;=$L$4),ROW(),"-")</f>
        <v>-</v>
      </c>
    </row>
    <row r="45416" customHeight="1" spans="2:2">
      <c r="B45416" s="62" t="str">
        <f>IF(AND('领用录入（明细）'!D:D=$F$4,'领用录入（明细）'!C:C&gt;=$J$4,'领用录入（明细）'!C:C&lt;=$L$4),ROW(),"-")</f>
        <v>-</v>
      </c>
    </row>
    <row r="45417" customHeight="1" spans="2:2">
      <c r="B45417" s="62" t="str">
        <f>IF(AND('领用录入（明细）'!D:D=$F$4,'领用录入（明细）'!C:C&gt;=$J$4,'领用录入（明细）'!C:C&lt;=$L$4),ROW(),"-")</f>
        <v>-</v>
      </c>
    </row>
    <row r="45418" customHeight="1" spans="2:2">
      <c r="B45418" s="62" t="str">
        <f>IF(AND('领用录入（明细）'!D:D=$F$4,'领用录入（明细）'!C:C&gt;=$J$4,'领用录入（明细）'!C:C&lt;=$L$4),ROW(),"-")</f>
        <v>-</v>
      </c>
    </row>
    <row r="45419" customHeight="1" spans="2:2">
      <c r="B45419" s="62" t="str">
        <f>IF(AND('领用录入（明细）'!D:D=$F$4,'领用录入（明细）'!C:C&gt;=$J$4,'领用录入（明细）'!C:C&lt;=$L$4),ROW(),"-")</f>
        <v>-</v>
      </c>
    </row>
    <row r="45420" customHeight="1" spans="2:2">
      <c r="B45420" s="62" t="str">
        <f>IF(AND('领用录入（明细）'!D:D=$F$4,'领用录入（明细）'!C:C&gt;=$J$4,'领用录入（明细）'!C:C&lt;=$L$4),ROW(),"-")</f>
        <v>-</v>
      </c>
    </row>
    <row r="45421" customHeight="1" spans="2:2">
      <c r="B45421" s="62" t="str">
        <f>IF(AND('领用录入（明细）'!D:D=$F$4,'领用录入（明细）'!C:C&gt;=$J$4,'领用录入（明细）'!C:C&lt;=$L$4),ROW(),"-")</f>
        <v>-</v>
      </c>
    </row>
    <row r="45422" customHeight="1" spans="2:2">
      <c r="B45422" s="62" t="str">
        <f>IF(AND('领用录入（明细）'!D:D=$F$4,'领用录入（明细）'!C:C&gt;=$J$4,'领用录入（明细）'!C:C&lt;=$L$4),ROW(),"-")</f>
        <v>-</v>
      </c>
    </row>
    <row r="45423" customHeight="1" spans="2:2">
      <c r="B45423" s="62" t="str">
        <f>IF(AND('领用录入（明细）'!D:D=$F$4,'领用录入（明细）'!C:C&gt;=$J$4,'领用录入（明细）'!C:C&lt;=$L$4),ROW(),"-")</f>
        <v>-</v>
      </c>
    </row>
    <row r="45424" customHeight="1" spans="2:2">
      <c r="B45424" s="62" t="str">
        <f>IF(AND('领用录入（明细）'!D:D=$F$4,'领用录入（明细）'!C:C&gt;=$J$4,'领用录入（明细）'!C:C&lt;=$L$4),ROW(),"-")</f>
        <v>-</v>
      </c>
    </row>
    <row r="45425" customHeight="1" spans="2:2">
      <c r="B45425" s="62" t="str">
        <f>IF(AND('领用录入（明细）'!D:D=$F$4,'领用录入（明细）'!C:C&gt;=$J$4,'领用录入（明细）'!C:C&lt;=$L$4),ROW(),"-")</f>
        <v>-</v>
      </c>
    </row>
    <row r="45426" customHeight="1" spans="2:2">
      <c r="B45426" s="62" t="str">
        <f>IF(AND('领用录入（明细）'!D:D=$F$4,'领用录入（明细）'!C:C&gt;=$J$4,'领用录入（明细）'!C:C&lt;=$L$4),ROW(),"-")</f>
        <v>-</v>
      </c>
    </row>
    <row r="45427" customHeight="1" spans="2:2">
      <c r="B45427" s="62" t="str">
        <f>IF(AND('领用录入（明细）'!D:D=$F$4,'领用录入（明细）'!C:C&gt;=$J$4,'领用录入（明细）'!C:C&lt;=$L$4),ROW(),"-")</f>
        <v>-</v>
      </c>
    </row>
    <row r="45428" customHeight="1" spans="2:2">
      <c r="B45428" s="62" t="str">
        <f>IF(AND('领用录入（明细）'!D:D=$F$4,'领用录入（明细）'!C:C&gt;=$J$4,'领用录入（明细）'!C:C&lt;=$L$4),ROW(),"-")</f>
        <v>-</v>
      </c>
    </row>
    <row r="45429" customHeight="1" spans="2:2">
      <c r="B45429" s="62" t="str">
        <f>IF(AND('领用录入（明细）'!D:D=$F$4,'领用录入（明细）'!C:C&gt;=$J$4,'领用录入（明细）'!C:C&lt;=$L$4),ROW(),"-")</f>
        <v>-</v>
      </c>
    </row>
    <row r="45430" customHeight="1" spans="2:2">
      <c r="B45430" s="62" t="str">
        <f>IF(AND('领用录入（明细）'!D:D=$F$4,'领用录入（明细）'!C:C&gt;=$J$4,'领用录入（明细）'!C:C&lt;=$L$4),ROW(),"-")</f>
        <v>-</v>
      </c>
    </row>
    <row r="45431" customHeight="1" spans="2:2">
      <c r="B45431" s="62" t="str">
        <f>IF(AND('领用录入（明细）'!D:D=$F$4,'领用录入（明细）'!C:C&gt;=$J$4,'领用录入（明细）'!C:C&lt;=$L$4),ROW(),"-")</f>
        <v>-</v>
      </c>
    </row>
    <row r="45432" customHeight="1" spans="2:2">
      <c r="B45432" s="62" t="str">
        <f>IF(AND('领用录入（明细）'!D:D=$F$4,'领用录入（明细）'!C:C&gt;=$J$4,'领用录入（明细）'!C:C&lt;=$L$4),ROW(),"-")</f>
        <v>-</v>
      </c>
    </row>
    <row r="45433" customHeight="1" spans="2:2">
      <c r="B45433" s="62" t="str">
        <f>IF(AND('领用录入（明细）'!D:D=$F$4,'领用录入（明细）'!C:C&gt;=$J$4,'领用录入（明细）'!C:C&lt;=$L$4),ROW(),"-")</f>
        <v>-</v>
      </c>
    </row>
    <row r="45434" customHeight="1" spans="2:2">
      <c r="B45434" s="62" t="str">
        <f>IF(AND('领用录入（明细）'!D:D=$F$4,'领用录入（明细）'!C:C&gt;=$J$4,'领用录入（明细）'!C:C&lt;=$L$4),ROW(),"-")</f>
        <v>-</v>
      </c>
    </row>
    <row r="45435" customHeight="1" spans="2:2">
      <c r="B45435" s="62" t="str">
        <f>IF(AND('领用录入（明细）'!D:D=$F$4,'领用录入（明细）'!C:C&gt;=$J$4,'领用录入（明细）'!C:C&lt;=$L$4),ROW(),"-")</f>
        <v>-</v>
      </c>
    </row>
    <row r="45436" customHeight="1" spans="2:2">
      <c r="B45436" s="62" t="str">
        <f>IF(AND('领用录入（明细）'!D:D=$F$4,'领用录入（明细）'!C:C&gt;=$J$4,'领用录入（明细）'!C:C&lt;=$L$4),ROW(),"-")</f>
        <v>-</v>
      </c>
    </row>
    <row r="45437" customHeight="1" spans="2:2">
      <c r="B45437" s="62" t="str">
        <f>IF(AND('领用录入（明细）'!D:D=$F$4,'领用录入（明细）'!C:C&gt;=$J$4,'领用录入（明细）'!C:C&lt;=$L$4),ROW(),"-")</f>
        <v>-</v>
      </c>
    </row>
    <row r="45438" customHeight="1" spans="2:2">
      <c r="B45438" s="62" t="str">
        <f>IF(AND('领用录入（明细）'!D:D=$F$4,'领用录入（明细）'!C:C&gt;=$J$4,'领用录入（明细）'!C:C&lt;=$L$4),ROW(),"-")</f>
        <v>-</v>
      </c>
    </row>
    <row r="45439" customHeight="1" spans="2:2">
      <c r="B45439" s="62" t="str">
        <f>IF(AND('领用录入（明细）'!D:D=$F$4,'领用录入（明细）'!C:C&gt;=$J$4,'领用录入（明细）'!C:C&lt;=$L$4),ROW(),"-")</f>
        <v>-</v>
      </c>
    </row>
    <row r="45440" customHeight="1" spans="2:2">
      <c r="B45440" s="62" t="str">
        <f>IF(AND('领用录入（明细）'!D:D=$F$4,'领用录入（明细）'!C:C&gt;=$J$4,'领用录入（明细）'!C:C&lt;=$L$4),ROW(),"-")</f>
        <v>-</v>
      </c>
    </row>
    <row r="45441" customHeight="1" spans="2:2">
      <c r="B45441" s="62" t="str">
        <f>IF(AND('领用录入（明细）'!D:D=$F$4,'领用录入（明细）'!C:C&gt;=$J$4,'领用录入（明细）'!C:C&lt;=$L$4),ROW(),"-")</f>
        <v>-</v>
      </c>
    </row>
    <row r="45442" customHeight="1" spans="2:2">
      <c r="B45442" s="62" t="str">
        <f>IF(AND('领用录入（明细）'!D:D=$F$4,'领用录入（明细）'!C:C&gt;=$J$4,'领用录入（明细）'!C:C&lt;=$L$4),ROW(),"-")</f>
        <v>-</v>
      </c>
    </row>
    <row r="45443" customHeight="1" spans="2:2">
      <c r="B45443" s="62" t="str">
        <f>IF(AND('领用录入（明细）'!D:D=$F$4,'领用录入（明细）'!C:C&gt;=$J$4,'领用录入（明细）'!C:C&lt;=$L$4),ROW(),"-")</f>
        <v>-</v>
      </c>
    </row>
    <row r="45444" customHeight="1" spans="2:2">
      <c r="B45444" s="62" t="str">
        <f>IF(AND('领用录入（明细）'!D:D=$F$4,'领用录入（明细）'!C:C&gt;=$J$4,'领用录入（明细）'!C:C&lt;=$L$4),ROW(),"-")</f>
        <v>-</v>
      </c>
    </row>
    <row r="45445" customHeight="1" spans="2:2">
      <c r="B45445" s="62" t="str">
        <f>IF(AND('领用录入（明细）'!D:D=$F$4,'领用录入（明细）'!C:C&gt;=$J$4,'领用录入（明细）'!C:C&lt;=$L$4),ROW(),"-")</f>
        <v>-</v>
      </c>
    </row>
    <row r="45446" customHeight="1" spans="2:2">
      <c r="B45446" s="62" t="str">
        <f>IF(AND('领用录入（明细）'!D:D=$F$4,'领用录入（明细）'!C:C&gt;=$J$4,'领用录入（明细）'!C:C&lt;=$L$4),ROW(),"-")</f>
        <v>-</v>
      </c>
    </row>
    <row r="45447" customHeight="1" spans="2:2">
      <c r="B45447" s="62" t="str">
        <f>IF(AND('领用录入（明细）'!D:D=$F$4,'领用录入（明细）'!C:C&gt;=$J$4,'领用录入（明细）'!C:C&lt;=$L$4),ROW(),"-")</f>
        <v>-</v>
      </c>
    </row>
    <row r="45448" customHeight="1" spans="2:2">
      <c r="B45448" s="62" t="str">
        <f>IF(AND('领用录入（明细）'!D:D=$F$4,'领用录入（明细）'!C:C&gt;=$J$4,'领用录入（明细）'!C:C&lt;=$L$4),ROW(),"-")</f>
        <v>-</v>
      </c>
    </row>
    <row r="45449" customHeight="1" spans="2:2">
      <c r="B45449" s="62" t="str">
        <f>IF(AND('领用录入（明细）'!D:D=$F$4,'领用录入（明细）'!C:C&gt;=$J$4,'领用录入（明细）'!C:C&lt;=$L$4),ROW(),"-")</f>
        <v>-</v>
      </c>
    </row>
    <row r="45450" customHeight="1" spans="2:2">
      <c r="B45450" s="62" t="str">
        <f>IF(AND('领用录入（明细）'!D:D=$F$4,'领用录入（明细）'!C:C&gt;=$J$4,'领用录入（明细）'!C:C&lt;=$L$4),ROW(),"-")</f>
        <v>-</v>
      </c>
    </row>
    <row r="45451" customHeight="1" spans="2:2">
      <c r="B45451" s="62" t="str">
        <f>IF(AND('领用录入（明细）'!D:D=$F$4,'领用录入（明细）'!C:C&gt;=$J$4,'领用录入（明细）'!C:C&lt;=$L$4),ROW(),"-")</f>
        <v>-</v>
      </c>
    </row>
    <row r="45452" customHeight="1" spans="2:2">
      <c r="B45452" s="62" t="str">
        <f>IF(AND('领用录入（明细）'!D:D=$F$4,'领用录入（明细）'!C:C&gt;=$J$4,'领用录入（明细）'!C:C&lt;=$L$4),ROW(),"-")</f>
        <v>-</v>
      </c>
    </row>
    <row r="45453" customHeight="1" spans="2:2">
      <c r="B45453" s="62" t="str">
        <f>IF(AND('领用录入（明细）'!D:D=$F$4,'领用录入（明细）'!C:C&gt;=$J$4,'领用录入（明细）'!C:C&lt;=$L$4),ROW(),"-")</f>
        <v>-</v>
      </c>
    </row>
    <row r="45454" customHeight="1" spans="2:2">
      <c r="B45454" s="62" t="str">
        <f>IF(AND('领用录入（明细）'!D:D=$F$4,'领用录入（明细）'!C:C&gt;=$J$4,'领用录入（明细）'!C:C&lt;=$L$4),ROW(),"-")</f>
        <v>-</v>
      </c>
    </row>
    <row r="45455" customHeight="1" spans="2:2">
      <c r="B45455" s="62" t="str">
        <f>IF(AND('领用录入（明细）'!D:D=$F$4,'领用录入（明细）'!C:C&gt;=$J$4,'领用录入（明细）'!C:C&lt;=$L$4),ROW(),"-")</f>
        <v>-</v>
      </c>
    </row>
    <row r="45456" customHeight="1" spans="2:2">
      <c r="B45456" s="62" t="str">
        <f>IF(AND('领用录入（明细）'!D:D=$F$4,'领用录入（明细）'!C:C&gt;=$J$4,'领用录入（明细）'!C:C&lt;=$L$4),ROW(),"-")</f>
        <v>-</v>
      </c>
    </row>
    <row r="45457" customHeight="1" spans="2:2">
      <c r="B45457" s="62" t="str">
        <f>IF(AND('领用录入（明细）'!D:D=$F$4,'领用录入（明细）'!C:C&gt;=$J$4,'领用录入（明细）'!C:C&lt;=$L$4),ROW(),"-")</f>
        <v>-</v>
      </c>
    </row>
    <row r="45458" customHeight="1" spans="2:2">
      <c r="B45458" s="62" t="str">
        <f>IF(AND('领用录入（明细）'!D:D=$F$4,'领用录入（明细）'!C:C&gt;=$J$4,'领用录入（明细）'!C:C&lt;=$L$4),ROW(),"-")</f>
        <v>-</v>
      </c>
    </row>
    <row r="45459" customHeight="1" spans="2:2">
      <c r="B45459" s="62" t="str">
        <f>IF(AND('领用录入（明细）'!D:D=$F$4,'领用录入（明细）'!C:C&gt;=$J$4,'领用录入（明细）'!C:C&lt;=$L$4),ROW(),"-")</f>
        <v>-</v>
      </c>
    </row>
    <row r="45460" customHeight="1" spans="2:2">
      <c r="B45460" s="62" t="str">
        <f>IF(AND('领用录入（明细）'!D:D=$F$4,'领用录入（明细）'!C:C&gt;=$J$4,'领用录入（明细）'!C:C&lt;=$L$4),ROW(),"-")</f>
        <v>-</v>
      </c>
    </row>
    <row r="45461" customHeight="1" spans="2:2">
      <c r="B45461" s="62" t="str">
        <f>IF(AND('领用录入（明细）'!D:D=$F$4,'领用录入（明细）'!C:C&gt;=$J$4,'领用录入（明细）'!C:C&lt;=$L$4),ROW(),"-")</f>
        <v>-</v>
      </c>
    </row>
    <row r="45462" customHeight="1" spans="2:2">
      <c r="B45462" s="62" t="str">
        <f>IF(AND('领用录入（明细）'!D:D=$F$4,'领用录入（明细）'!C:C&gt;=$J$4,'领用录入（明细）'!C:C&lt;=$L$4),ROW(),"-")</f>
        <v>-</v>
      </c>
    </row>
    <row r="45463" customHeight="1" spans="2:2">
      <c r="B45463" s="62" t="str">
        <f>IF(AND('领用录入（明细）'!D:D=$F$4,'领用录入（明细）'!C:C&gt;=$J$4,'领用录入（明细）'!C:C&lt;=$L$4),ROW(),"-")</f>
        <v>-</v>
      </c>
    </row>
    <row r="45464" customHeight="1" spans="2:2">
      <c r="B45464" s="62" t="str">
        <f>IF(AND('领用录入（明细）'!D:D=$F$4,'领用录入（明细）'!C:C&gt;=$J$4,'领用录入（明细）'!C:C&lt;=$L$4),ROW(),"-")</f>
        <v>-</v>
      </c>
    </row>
    <row r="45465" customHeight="1" spans="2:2">
      <c r="B45465" s="62" t="str">
        <f>IF(AND('领用录入（明细）'!D:D=$F$4,'领用录入（明细）'!C:C&gt;=$J$4,'领用录入（明细）'!C:C&lt;=$L$4),ROW(),"-")</f>
        <v>-</v>
      </c>
    </row>
    <row r="45466" customHeight="1" spans="2:2">
      <c r="B45466" s="62" t="str">
        <f>IF(AND('领用录入（明细）'!D:D=$F$4,'领用录入（明细）'!C:C&gt;=$J$4,'领用录入（明细）'!C:C&lt;=$L$4),ROW(),"-")</f>
        <v>-</v>
      </c>
    </row>
    <row r="45467" customHeight="1" spans="2:2">
      <c r="B45467" s="62" t="str">
        <f>IF(AND('领用录入（明细）'!D:D=$F$4,'领用录入（明细）'!C:C&gt;=$J$4,'领用录入（明细）'!C:C&lt;=$L$4),ROW(),"-")</f>
        <v>-</v>
      </c>
    </row>
    <row r="45468" customHeight="1" spans="2:2">
      <c r="B45468" s="62" t="str">
        <f>IF(AND('领用录入（明细）'!D:D=$F$4,'领用录入（明细）'!C:C&gt;=$J$4,'领用录入（明细）'!C:C&lt;=$L$4),ROW(),"-")</f>
        <v>-</v>
      </c>
    </row>
    <row r="45469" customHeight="1" spans="2:2">
      <c r="B45469" s="62" t="str">
        <f>IF(AND('领用录入（明细）'!D:D=$F$4,'领用录入（明细）'!C:C&gt;=$J$4,'领用录入（明细）'!C:C&lt;=$L$4),ROW(),"-")</f>
        <v>-</v>
      </c>
    </row>
    <row r="45470" customHeight="1" spans="2:2">
      <c r="B45470" s="62" t="str">
        <f>IF(AND('领用录入（明细）'!D:D=$F$4,'领用录入（明细）'!C:C&gt;=$J$4,'领用录入（明细）'!C:C&lt;=$L$4),ROW(),"-")</f>
        <v>-</v>
      </c>
    </row>
    <row r="45471" customHeight="1" spans="2:2">
      <c r="B45471" s="62" t="str">
        <f>IF(AND('领用录入（明细）'!D:D=$F$4,'领用录入（明细）'!C:C&gt;=$J$4,'领用录入（明细）'!C:C&lt;=$L$4),ROW(),"-")</f>
        <v>-</v>
      </c>
    </row>
    <row r="45472" customHeight="1" spans="2:2">
      <c r="B45472" s="62" t="str">
        <f>IF(AND('领用录入（明细）'!D:D=$F$4,'领用录入（明细）'!C:C&gt;=$J$4,'领用录入（明细）'!C:C&lt;=$L$4),ROW(),"-")</f>
        <v>-</v>
      </c>
    </row>
    <row r="45473" customHeight="1" spans="2:2">
      <c r="B45473" s="62" t="str">
        <f>IF(AND('领用录入（明细）'!D:D=$F$4,'领用录入（明细）'!C:C&gt;=$J$4,'领用录入（明细）'!C:C&lt;=$L$4),ROW(),"-")</f>
        <v>-</v>
      </c>
    </row>
    <row r="45474" customHeight="1" spans="2:2">
      <c r="B45474" s="62" t="str">
        <f>IF(AND('领用录入（明细）'!D:D=$F$4,'领用录入（明细）'!C:C&gt;=$J$4,'领用录入（明细）'!C:C&lt;=$L$4),ROW(),"-")</f>
        <v>-</v>
      </c>
    </row>
    <row r="45475" customHeight="1" spans="2:2">
      <c r="B45475" s="62" t="str">
        <f>IF(AND('领用录入（明细）'!D:D=$F$4,'领用录入（明细）'!C:C&gt;=$J$4,'领用录入（明细）'!C:C&lt;=$L$4),ROW(),"-")</f>
        <v>-</v>
      </c>
    </row>
    <row r="45476" customHeight="1" spans="2:2">
      <c r="B45476" s="62" t="str">
        <f>IF(AND('领用录入（明细）'!D:D=$F$4,'领用录入（明细）'!C:C&gt;=$J$4,'领用录入（明细）'!C:C&lt;=$L$4),ROW(),"-")</f>
        <v>-</v>
      </c>
    </row>
    <row r="45477" customHeight="1" spans="2:2">
      <c r="B45477" s="62" t="str">
        <f>IF(AND('领用录入（明细）'!D:D=$F$4,'领用录入（明细）'!C:C&gt;=$J$4,'领用录入（明细）'!C:C&lt;=$L$4),ROW(),"-")</f>
        <v>-</v>
      </c>
    </row>
    <row r="45478" customHeight="1" spans="2:2">
      <c r="B45478" s="62" t="str">
        <f>IF(AND('领用录入（明细）'!D:D=$F$4,'领用录入（明细）'!C:C&gt;=$J$4,'领用录入（明细）'!C:C&lt;=$L$4),ROW(),"-")</f>
        <v>-</v>
      </c>
    </row>
    <row r="45479" customHeight="1" spans="2:2">
      <c r="B45479" s="62" t="str">
        <f>IF(AND('领用录入（明细）'!D:D=$F$4,'领用录入（明细）'!C:C&gt;=$J$4,'领用录入（明细）'!C:C&lt;=$L$4),ROW(),"-")</f>
        <v>-</v>
      </c>
    </row>
    <row r="45480" customHeight="1" spans="2:2">
      <c r="B45480" s="62" t="str">
        <f>IF(AND('领用录入（明细）'!D:D=$F$4,'领用录入（明细）'!C:C&gt;=$J$4,'领用录入（明细）'!C:C&lt;=$L$4),ROW(),"-")</f>
        <v>-</v>
      </c>
    </row>
    <row r="45481" customHeight="1" spans="2:2">
      <c r="B45481" s="62" t="str">
        <f>IF(AND('领用录入（明细）'!D:D=$F$4,'领用录入（明细）'!C:C&gt;=$J$4,'领用录入（明细）'!C:C&lt;=$L$4),ROW(),"-")</f>
        <v>-</v>
      </c>
    </row>
    <row r="45482" customHeight="1" spans="2:2">
      <c r="B45482" s="62" t="str">
        <f>IF(AND('领用录入（明细）'!D:D=$F$4,'领用录入（明细）'!C:C&gt;=$J$4,'领用录入（明细）'!C:C&lt;=$L$4),ROW(),"-")</f>
        <v>-</v>
      </c>
    </row>
    <row r="45483" customHeight="1" spans="2:2">
      <c r="B45483" s="62" t="str">
        <f>IF(AND('领用录入（明细）'!D:D=$F$4,'领用录入（明细）'!C:C&gt;=$J$4,'领用录入（明细）'!C:C&lt;=$L$4),ROW(),"-")</f>
        <v>-</v>
      </c>
    </row>
    <row r="45484" customHeight="1" spans="2:2">
      <c r="B45484" s="62" t="str">
        <f>IF(AND('领用录入（明细）'!D:D=$F$4,'领用录入（明细）'!C:C&gt;=$J$4,'领用录入（明细）'!C:C&lt;=$L$4),ROW(),"-")</f>
        <v>-</v>
      </c>
    </row>
    <row r="45485" customHeight="1" spans="2:2">
      <c r="B45485" s="62" t="str">
        <f>IF(AND('领用录入（明细）'!D:D=$F$4,'领用录入（明细）'!C:C&gt;=$J$4,'领用录入（明细）'!C:C&lt;=$L$4),ROW(),"-")</f>
        <v>-</v>
      </c>
    </row>
    <row r="45486" customHeight="1" spans="2:2">
      <c r="B45486" s="62" t="str">
        <f>IF(AND('领用录入（明细）'!D:D=$F$4,'领用录入（明细）'!C:C&gt;=$J$4,'领用录入（明细）'!C:C&lt;=$L$4),ROW(),"-")</f>
        <v>-</v>
      </c>
    </row>
    <row r="45487" customHeight="1" spans="2:2">
      <c r="B45487" s="62" t="str">
        <f>IF(AND('领用录入（明细）'!D:D=$F$4,'领用录入（明细）'!C:C&gt;=$J$4,'领用录入（明细）'!C:C&lt;=$L$4),ROW(),"-")</f>
        <v>-</v>
      </c>
    </row>
    <row r="45488" customHeight="1" spans="2:2">
      <c r="B45488" s="62" t="str">
        <f>IF(AND('领用录入（明细）'!D:D=$F$4,'领用录入（明细）'!C:C&gt;=$J$4,'领用录入（明细）'!C:C&lt;=$L$4),ROW(),"-")</f>
        <v>-</v>
      </c>
    </row>
    <row r="45489" customHeight="1" spans="2:2">
      <c r="B45489" s="62" t="str">
        <f>IF(AND('领用录入（明细）'!D:D=$F$4,'领用录入（明细）'!C:C&gt;=$J$4,'领用录入（明细）'!C:C&lt;=$L$4),ROW(),"-")</f>
        <v>-</v>
      </c>
    </row>
    <row r="45490" customHeight="1" spans="2:2">
      <c r="B45490" s="62" t="str">
        <f>IF(AND('领用录入（明细）'!D:D=$F$4,'领用录入（明细）'!C:C&gt;=$J$4,'领用录入（明细）'!C:C&lt;=$L$4),ROW(),"-")</f>
        <v>-</v>
      </c>
    </row>
    <row r="45491" customHeight="1" spans="2:2">
      <c r="B45491" s="62" t="str">
        <f>IF(AND('领用录入（明细）'!D:D=$F$4,'领用录入（明细）'!C:C&gt;=$J$4,'领用录入（明细）'!C:C&lt;=$L$4),ROW(),"-")</f>
        <v>-</v>
      </c>
    </row>
    <row r="45492" customHeight="1" spans="2:2">
      <c r="B45492" s="62" t="str">
        <f>IF(AND('领用录入（明细）'!D:D=$F$4,'领用录入（明细）'!C:C&gt;=$J$4,'领用录入（明细）'!C:C&lt;=$L$4),ROW(),"-")</f>
        <v>-</v>
      </c>
    </row>
    <row r="45493" customHeight="1" spans="2:2">
      <c r="B45493" s="62" t="str">
        <f>IF(AND('领用录入（明细）'!D:D=$F$4,'领用录入（明细）'!C:C&gt;=$J$4,'领用录入（明细）'!C:C&lt;=$L$4),ROW(),"-")</f>
        <v>-</v>
      </c>
    </row>
    <row r="45494" customHeight="1" spans="2:2">
      <c r="B45494" s="62" t="str">
        <f>IF(AND('领用录入（明细）'!D:D=$F$4,'领用录入（明细）'!C:C&gt;=$J$4,'领用录入（明细）'!C:C&lt;=$L$4),ROW(),"-")</f>
        <v>-</v>
      </c>
    </row>
    <row r="45495" customHeight="1" spans="2:2">
      <c r="B45495" s="62" t="str">
        <f>IF(AND('领用录入（明细）'!D:D=$F$4,'领用录入（明细）'!C:C&gt;=$J$4,'领用录入（明细）'!C:C&lt;=$L$4),ROW(),"-")</f>
        <v>-</v>
      </c>
    </row>
    <row r="45496" customHeight="1" spans="2:2">
      <c r="B45496" s="62" t="str">
        <f>IF(AND('领用录入（明细）'!D:D=$F$4,'领用录入（明细）'!C:C&gt;=$J$4,'领用录入（明细）'!C:C&lt;=$L$4),ROW(),"-")</f>
        <v>-</v>
      </c>
    </row>
    <row r="45497" customHeight="1" spans="2:2">
      <c r="B45497" s="62" t="str">
        <f>IF(AND('领用录入（明细）'!D:D=$F$4,'领用录入（明细）'!C:C&gt;=$J$4,'领用录入（明细）'!C:C&lt;=$L$4),ROW(),"-")</f>
        <v>-</v>
      </c>
    </row>
    <row r="45498" customHeight="1" spans="2:2">
      <c r="B45498" s="62" t="str">
        <f>IF(AND('领用录入（明细）'!D:D=$F$4,'领用录入（明细）'!C:C&gt;=$J$4,'领用录入（明细）'!C:C&lt;=$L$4),ROW(),"-")</f>
        <v>-</v>
      </c>
    </row>
    <row r="45499" customHeight="1" spans="2:2">
      <c r="B45499" s="62" t="str">
        <f>IF(AND('领用录入（明细）'!D:D=$F$4,'领用录入（明细）'!C:C&gt;=$J$4,'领用录入（明细）'!C:C&lt;=$L$4),ROW(),"-")</f>
        <v>-</v>
      </c>
    </row>
    <row r="45500" customHeight="1" spans="2:2">
      <c r="B45500" s="62" t="str">
        <f>IF(AND('领用录入（明细）'!D:D=$F$4,'领用录入（明细）'!C:C&gt;=$J$4,'领用录入（明细）'!C:C&lt;=$L$4),ROW(),"-")</f>
        <v>-</v>
      </c>
    </row>
    <row r="45501" customHeight="1" spans="2:2">
      <c r="B45501" s="62" t="str">
        <f>IF(AND('领用录入（明细）'!D:D=$F$4,'领用录入（明细）'!C:C&gt;=$J$4,'领用录入（明细）'!C:C&lt;=$L$4),ROW(),"-")</f>
        <v>-</v>
      </c>
    </row>
    <row r="45502" customHeight="1" spans="2:2">
      <c r="B45502" s="62" t="str">
        <f>IF(AND('领用录入（明细）'!D:D=$F$4,'领用录入（明细）'!C:C&gt;=$J$4,'领用录入（明细）'!C:C&lt;=$L$4),ROW(),"-")</f>
        <v>-</v>
      </c>
    </row>
    <row r="45503" customHeight="1" spans="2:2">
      <c r="B45503" s="62" t="str">
        <f>IF(AND('领用录入（明细）'!D:D=$F$4,'领用录入（明细）'!C:C&gt;=$J$4,'领用录入（明细）'!C:C&lt;=$L$4),ROW(),"-")</f>
        <v>-</v>
      </c>
    </row>
    <row r="45504" customHeight="1" spans="2:2">
      <c r="B45504" s="62" t="str">
        <f>IF(AND('领用录入（明细）'!D:D=$F$4,'领用录入（明细）'!C:C&gt;=$J$4,'领用录入（明细）'!C:C&lt;=$L$4),ROW(),"-")</f>
        <v>-</v>
      </c>
    </row>
    <row r="45505" customHeight="1" spans="2:2">
      <c r="B45505" s="62" t="str">
        <f>IF(AND('领用录入（明细）'!D:D=$F$4,'领用录入（明细）'!C:C&gt;=$J$4,'领用录入（明细）'!C:C&lt;=$L$4),ROW(),"-")</f>
        <v>-</v>
      </c>
    </row>
    <row r="45506" customHeight="1" spans="2:2">
      <c r="B45506" s="62" t="str">
        <f>IF(AND('领用录入（明细）'!D:D=$F$4,'领用录入（明细）'!C:C&gt;=$J$4,'领用录入（明细）'!C:C&lt;=$L$4),ROW(),"-")</f>
        <v>-</v>
      </c>
    </row>
    <row r="45507" customHeight="1" spans="2:2">
      <c r="B45507" s="62" t="str">
        <f>IF(AND('领用录入（明细）'!D:D=$F$4,'领用录入（明细）'!C:C&gt;=$J$4,'领用录入（明细）'!C:C&lt;=$L$4),ROW(),"-")</f>
        <v>-</v>
      </c>
    </row>
    <row r="45508" customHeight="1" spans="2:2">
      <c r="B45508" s="62" t="str">
        <f>IF(AND('领用录入（明细）'!D:D=$F$4,'领用录入（明细）'!C:C&gt;=$J$4,'领用录入（明细）'!C:C&lt;=$L$4),ROW(),"-")</f>
        <v>-</v>
      </c>
    </row>
    <row r="45509" customHeight="1" spans="2:2">
      <c r="B45509" s="62" t="str">
        <f>IF(AND('领用录入（明细）'!D:D=$F$4,'领用录入（明细）'!C:C&gt;=$J$4,'领用录入（明细）'!C:C&lt;=$L$4),ROW(),"-")</f>
        <v>-</v>
      </c>
    </row>
    <row r="45510" customHeight="1" spans="2:2">
      <c r="B45510" s="62" t="str">
        <f>IF(AND('领用录入（明细）'!D:D=$F$4,'领用录入（明细）'!C:C&gt;=$J$4,'领用录入（明细）'!C:C&lt;=$L$4),ROW(),"-")</f>
        <v>-</v>
      </c>
    </row>
    <row r="45511" customHeight="1" spans="2:2">
      <c r="B45511" s="62" t="str">
        <f>IF(AND('领用录入（明细）'!D:D=$F$4,'领用录入（明细）'!C:C&gt;=$J$4,'领用录入（明细）'!C:C&lt;=$L$4),ROW(),"-")</f>
        <v>-</v>
      </c>
    </row>
    <row r="45512" customHeight="1" spans="2:2">
      <c r="B45512" s="62" t="str">
        <f>IF(AND('领用录入（明细）'!D:D=$F$4,'领用录入（明细）'!C:C&gt;=$J$4,'领用录入（明细）'!C:C&lt;=$L$4),ROW(),"-")</f>
        <v>-</v>
      </c>
    </row>
    <row r="45513" customHeight="1" spans="2:2">
      <c r="B45513" s="62" t="str">
        <f>IF(AND('领用录入（明细）'!D:D=$F$4,'领用录入（明细）'!C:C&gt;=$J$4,'领用录入（明细）'!C:C&lt;=$L$4),ROW(),"-")</f>
        <v>-</v>
      </c>
    </row>
    <row r="45514" customHeight="1" spans="2:2">
      <c r="B45514" s="62" t="str">
        <f>IF(AND('领用录入（明细）'!D:D=$F$4,'领用录入（明细）'!C:C&gt;=$J$4,'领用录入（明细）'!C:C&lt;=$L$4),ROW(),"-")</f>
        <v>-</v>
      </c>
    </row>
    <row r="45515" customHeight="1" spans="2:2">
      <c r="B45515" s="62" t="str">
        <f>IF(AND('领用录入（明细）'!D:D=$F$4,'领用录入（明细）'!C:C&gt;=$J$4,'领用录入（明细）'!C:C&lt;=$L$4),ROW(),"-")</f>
        <v>-</v>
      </c>
    </row>
    <row r="45516" customHeight="1" spans="2:2">
      <c r="B45516" s="62" t="str">
        <f>IF(AND('领用录入（明细）'!D:D=$F$4,'领用录入（明细）'!C:C&gt;=$J$4,'领用录入（明细）'!C:C&lt;=$L$4),ROW(),"-")</f>
        <v>-</v>
      </c>
    </row>
    <row r="45517" customHeight="1" spans="2:2">
      <c r="B45517" s="62" t="str">
        <f>IF(AND('领用录入（明细）'!D:D=$F$4,'领用录入（明细）'!C:C&gt;=$J$4,'领用录入（明细）'!C:C&lt;=$L$4),ROW(),"-")</f>
        <v>-</v>
      </c>
    </row>
    <row r="45518" customHeight="1" spans="2:2">
      <c r="B45518" s="62" t="str">
        <f>IF(AND('领用录入（明细）'!D:D=$F$4,'领用录入（明细）'!C:C&gt;=$J$4,'领用录入（明细）'!C:C&lt;=$L$4),ROW(),"-")</f>
        <v>-</v>
      </c>
    </row>
    <row r="45519" customHeight="1" spans="2:2">
      <c r="B45519" s="62" t="str">
        <f>IF(AND('领用录入（明细）'!D:D=$F$4,'领用录入（明细）'!C:C&gt;=$J$4,'领用录入（明细）'!C:C&lt;=$L$4),ROW(),"-")</f>
        <v>-</v>
      </c>
    </row>
    <row r="45520" customHeight="1" spans="2:2">
      <c r="B45520" s="62" t="str">
        <f>IF(AND('领用录入（明细）'!D:D=$F$4,'领用录入（明细）'!C:C&gt;=$J$4,'领用录入（明细）'!C:C&lt;=$L$4),ROW(),"-")</f>
        <v>-</v>
      </c>
    </row>
    <row r="45521" customHeight="1" spans="2:2">
      <c r="B45521" s="62" t="str">
        <f>IF(AND('领用录入（明细）'!D:D=$F$4,'领用录入（明细）'!C:C&gt;=$J$4,'领用录入（明细）'!C:C&lt;=$L$4),ROW(),"-")</f>
        <v>-</v>
      </c>
    </row>
    <row r="45522" customHeight="1" spans="2:2">
      <c r="B45522" s="62" t="str">
        <f>IF(AND('领用录入（明细）'!D:D=$F$4,'领用录入（明细）'!C:C&gt;=$J$4,'领用录入（明细）'!C:C&lt;=$L$4),ROW(),"-")</f>
        <v>-</v>
      </c>
    </row>
    <row r="45523" customHeight="1" spans="2:2">
      <c r="B45523" s="62" t="str">
        <f>IF(AND('领用录入（明细）'!D:D=$F$4,'领用录入（明细）'!C:C&gt;=$J$4,'领用录入（明细）'!C:C&lt;=$L$4),ROW(),"-")</f>
        <v>-</v>
      </c>
    </row>
    <row r="45524" customHeight="1" spans="2:2">
      <c r="B45524" s="62" t="str">
        <f>IF(AND('领用录入（明细）'!D:D=$F$4,'领用录入（明细）'!C:C&gt;=$J$4,'领用录入（明细）'!C:C&lt;=$L$4),ROW(),"-")</f>
        <v>-</v>
      </c>
    </row>
    <row r="45525" customHeight="1" spans="2:2">
      <c r="B45525" s="62" t="str">
        <f>IF(AND('领用录入（明细）'!D:D=$F$4,'领用录入（明细）'!C:C&gt;=$J$4,'领用录入（明细）'!C:C&lt;=$L$4),ROW(),"-")</f>
        <v>-</v>
      </c>
    </row>
    <row r="45526" customHeight="1" spans="2:2">
      <c r="B45526" s="62" t="str">
        <f>IF(AND('领用录入（明细）'!D:D=$F$4,'领用录入（明细）'!C:C&gt;=$J$4,'领用录入（明细）'!C:C&lt;=$L$4),ROW(),"-")</f>
        <v>-</v>
      </c>
    </row>
    <row r="45527" customHeight="1" spans="2:2">
      <c r="B45527" s="62" t="str">
        <f>IF(AND('领用录入（明细）'!D:D=$F$4,'领用录入（明细）'!C:C&gt;=$J$4,'领用录入（明细）'!C:C&lt;=$L$4),ROW(),"-")</f>
        <v>-</v>
      </c>
    </row>
    <row r="45528" customHeight="1" spans="2:2">
      <c r="B45528" s="62" t="str">
        <f>IF(AND('领用录入（明细）'!D:D=$F$4,'领用录入（明细）'!C:C&gt;=$J$4,'领用录入（明细）'!C:C&lt;=$L$4),ROW(),"-")</f>
        <v>-</v>
      </c>
    </row>
    <row r="45529" customHeight="1" spans="2:2">
      <c r="B45529" s="62" t="str">
        <f>IF(AND('领用录入（明细）'!D:D=$F$4,'领用录入（明细）'!C:C&gt;=$J$4,'领用录入（明细）'!C:C&lt;=$L$4),ROW(),"-")</f>
        <v>-</v>
      </c>
    </row>
    <row r="45530" customHeight="1" spans="2:2">
      <c r="B45530" s="62" t="str">
        <f>IF(AND('领用录入（明细）'!D:D=$F$4,'领用录入（明细）'!C:C&gt;=$J$4,'领用录入（明细）'!C:C&lt;=$L$4),ROW(),"-")</f>
        <v>-</v>
      </c>
    </row>
    <row r="45531" customHeight="1" spans="2:2">
      <c r="B45531" s="62" t="str">
        <f>IF(AND('领用录入（明细）'!D:D=$F$4,'领用录入（明细）'!C:C&gt;=$J$4,'领用录入（明细）'!C:C&lt;=$L$4),ROW(),"-")</f>
        <v>-</v>
      </c>
    </row>
    <row r="45532" customHeight="1" spans="2:2">
      <c r="B45532" s="62" t="str">
        <f>IF(AND('领用录入（明细）'!D:D=$F$4,'领用录入（明细）'!C:C&gt;=$J$4,'领用录入（明细）'!C:C&lt;=$L$4),ROW(),"-")</f>
        <v>-</v>
      </c>
    </row>
    <row r="45533" customHeight="1" spans="2:2">
      <c r="B45533" s="62" t="str">
        <f>IF(AND('领用录入（明细）'!D:D=$F$4,'领用录入（明细）'!C:C&gt;=$J$4,'领用录入（明细）'!C:C&lt;=$L$4),ROW(),"-")</f>
        <v>-</v>
      </c>
    </row>
    <row r="45534" customHeight="1" spans="2:2">
      <c r="B45534" s="62" t="str">
        <f>IF(AND('领用录入（明细）'!D:D=$F$4,'领用录入（明细）'!C:C&gt;=$J$4,'领用录入（明细）'!C:C&lt;=$L$4),ROW(),"-")</f>
        <v>-</v>
      </c>
    </row>
    <row r="45535" customHeight="1" spans="2:2">
      <c r="B45535" s="62" t="str">
        <f>IF(AND('领用录入（明细）'!D:D=$F$4,'领用录入（明细）'!C:C&gt;=$J$4,'领用录入（明细）'!C:C&lt;=$L$4),ROW(),"-")</f>
        <v>-</v>
      </c>
    </row>
    <row r="45536" customHeight="1" spans="2:2">
      <c r="B45536" s="62" t="str">
        <f>IF(AND('领用录入（明细）'!D:D=$F$4,'领用录入（明细）'!C:C&gt;=$J$4,'领用录入（明细）'!C:C&lt;=$L$4),ROW(),"-")</f>
        <v>-</v>
      </c>
    </row>
    <row r="45537" customHeight="1" spans="2:2">
      <c r="B45537" s="62" t="str">
        <f>IF(AND('领用录入（明细）'!D:D=$F$4,'领用录入（明细）'!C:C&gt;=$J$4,'领用录入（明细）'!C:C&lt;=$L$4),ROW(),"-")</f>
        <v>-</v>
      </c>
    </row>
    <row r="45538" customHeight="1" spans="2:2">
      <c r="B45538" s="62" t="str">
        <f>IF(AND('领用录入（明细）'!D:D=$F$4,'领用录入（明细）'!C:C&gt;=$J$4,'领用录入（明细）'!C:C&lt;=$L$4),ROW(),"-")</f>
        <v>-</v>
      </c>
    </row>
    <row r="45539" customHeight="1" spans="2:2">
      <c r="B45539" s="62" t="str">
        <f>IF(AND('领用录入（明细）'!D:D=$F$4,'领用录入（明细）'!C:C&gt;=$J$4,'领用录入（明细）'!C:C&lt;=$L$4),ROW(),"-")</f>
        <v>-</v>
      </c>
    </row>
    <row r="45540" customHeight="1" spans="2:2">
      <c r="B45540" s="62" t="str">
        <f>IF(AND('领用录入（明细）'!D:D=$F$4,'领用录入（明细）'!C:C&gt;=$J$4,'领用录入（明细）'!C:C&lt;=$L$4),ROW(),"-")</f>
        <v>-</v>
      </c>
    </row>
    <row r="45541" customHeight="1" spans="2:2">
      <c r="B45541" s="62" t="str">
        <f>IF(AND('领用录入（明细）'!D:D=$F$4,'领用录入（明细）'!C:C&gt;=$J$4,'领用录入（明细）'!C:C&lt;=$L$4),ROW(),"-")</f>
        <v>-</v>
      </c>
    </row>
    <row r="45542" customHeight="1" spans="2:2">
      <c r="B45542" s="62" t="str">
        <f>IF(AND('领用录入（明细）'!D:D=$F$4,'领用录入（明细）'!C:C&gt;=$J$4,'领用录入（明细）'!C:C&lt;=$L$4),ROW(),"-")</f>
        <v>-</v>
      </c>
    </row>
    <row r="45543" customHeight="1" spans="2:2">
      <c r="B45543" s="62" t="str">
        <f>IF(AND('领用录入（明细）'!D:D=$F$4,'领用录入（明细）'!C:C&gt;=$J$4,'领用录入（明细）'!C:C&lt;=$L$4),ROW(),"-")</f>
        <v>-</v>
      </c>
    </row>
    <row r="45544" customHeight="1" spans="2:2">
      <c r="B45544" s="62" t="str">
        <f>IF(AND('领用录入（明细）'!D:D=$F$4,'领用录入（明细）'!C:C&gt;=$J$4,'领用录入（明细）'!C:C&lt;=$L$4),ROW(),"-")</f>
        <v>-</v>
      </c>
    </row>
    <row r="45545" customHeight="1" spans="2:2">
      <c r="B45545" s="62" t="str">
        <f>IF(AND('领用录入（明细）'!D:D=$F$4,'领用录入（明细）'!C:C&gt;=$J$4,'领用录入（明细）'!C:C&lt;=$L$4),ROW(),"-")</f>
        <v>-</v>
      </c>
    </row>
    <row r="45546" customHeight="1" spans="2:2">
      <c r="B45546" s="62" t="str">
        <f>IF(AND('领用录入（明细）'!D:D=$F$4,'领用录入（明细）'!C:C&gt;=$J$4,'领用录入（明细）'!C:C&lt;=$L$4),ROW(),"-")</f>
        <v>-</v>
      </c>
    </row>
    <row r="45547" customHeight="1" spans="2:2">
      <c r="B45547" s="62" t="str">
        <f>IF(AND('领用录入（明细）'!D:D=$F$4,'领用录入（明细）'!C:C&gt;=$J$4,'领用录入（明细）'!C:C&lt;=$L$4),ROW(),"-")</f>
        <v>-</v>
      </c>
    </row>
    <row r="45548" customHeight="1" spans="2:2">
      <c r="B45548" s="62" t="str">
        <f>IF(AND('领用录入（明细）'!D:D=$F$4,'领用录入（明细）'!C:C&gt;=$J$4,'领用录入（明细）'!C:C&lt;=$L$4),ROW(),"-")</f>
        <v>-</v>
      </c>
    </row>
    <row r="45549" customHeight="1" spans="2:2">
      <c r="B45549" s="62" t="str">
        <f>IF(AND('领用录入（明细）'!D:D=$F$4,'领用录入（明细）'!C:C&gt;=$J$4,'领用录入（明细）'!C:C&lt;=$L$4),ROW(),"-")</f>
        <v>-</v>
      </c>
    </row>
    <row r="45550" customHeight="1" spans="2:2">
      <c r="B45550" s="62" t="str">
        <f>IF(AND('领用录入（明细）'!D:D=$F$4,'领用录入（明细）'!C:C&gt;=$J$4,'领用录入（明细）'!C:C&lt;=$L$4),ROW(),"-")</f>
        <v>-</v>
      </c>
    </row>
    <row r="45551" customHeight="1" spans="2:2">
      <c r="B45551" s="62" t="str">
        <f>IF(AND('领用录入（明细）'!D:D=$F$4,'领用录入（明细）'!C:C&gt;=$J$4,'领用录入（明细）'!C:C&lt;=$L$4),ROW(),"-")</f>
        <v>-</v>
      </c>
    </row>
    <row r="45552" customHeight="1" spans="2:2">
      <c r="B45552" s="62" t="str">
        <f>IF(AND('领用录入（明细）'!D:D=$F$4,'领用录入（明细）'!C:C&gt;=$J$4,'领用录入（明细）'!C:C&lt;=$L$4),ROW(),"-")</f>
        <v>-</v>
      </c>
    </row>
    <row r="45553" customHeight="1" spans="2:2">
      <c r="B45553" s="62" t="str">
        <f>IF(AND('领用录入（明细）'!D:D=$F$4,'领用录入（明细）'!C:C&gt;=$J$4,'领用录入（明细）'!C:C&lt;=$L$4),ROW(),"-")</f>
        <v>-</v>
      </c>
    </row>
    <row r="45554" customHeight="1" spans="2:2">
      <c r="B45554" s="62" t="str">
        <f>IF(AND('领用录入（明细）'!D:D=$F$4,'领用录入（明细）'!C:C&gt;=$J$4,'领用录入（明细）'!C:C&lt;=$L$4),ROW(),"-")</f>
        <v>-</v>
      </c>
    </row>
    <row r="45555" customHeight="1" spans="2:2">
      <c r="B45555" s="62" t="str">
        <f>IF(AND('领用录入（明细）'!D:D=$F$4,'领用录入（明细）'!C:C&gt;=$J$4,'领用录入（明细）'!C:C&lt;=$L$4),ROW(),"-")</f>
        <v>-</v>
      </c>
    </row>
    <row r="45556" customHeight="1" spans="2:2">
      <c r="B45556" s="62" t="str">
        <f>IF(AND('领用录入（明细）'!D:D=$F$4,'领用录入（明细）'!C:C&gt;=$J$4,'领用录入（明细）'!C:C&lt;=$L$4),ROW(),"-")</f>
        <v>-</v>
      </c>
    </row>
    <row r="45557" customHeight="1" spans="2:2">
      <c r="B45557" s="62" t="str">
        <f>IF(AND('领用录入（明细）'!D:D=$F$4,'领用录入（明细）'!C:C&gt;=$J$4,'领用录入（明细）'!C:C&lt;=$L$4),ROW(),"-")</f>
        <v>-</v>
      </c>
    </row>
    <row r="45558" customHeight="1" spans="2:2">
      <c r="B45558" s="62" t="str">
        <f>IF(AND('领用录入（明细）'!D:D=$F$4,'领用录入（明细）'!C:C&gt;=$J$4,'领用录入（明细）'!C:C&lt;=$L$4),ROW(),"-")</f>
        <v>-</v>
      </c>
    </row>
    <row r="45559" customHeight="1" spans="2:2">
      <c r="B45559" s="62" t="str">
        <f>IF(AND('领用录入（明细）'!D:D=$F$4,'领用录入（明细）'!C:C&gt;=$J$4,'领用录入（明细）'!C:C&lt;=$L$4),ROW(),"-")</f>
        <v>-</v>
      </c>
    </row>
    <row r="45560" customHeight="1" spans="2:2">
      <c r="B45560" s="62" t="str">
        <f>IF(AND('领用录入（明细）'!D:D=$F$4,'领用录入（明细）'!C:C&gt;=$J$4,'领用录入（明细）'!C:C&lt;=$L$4),ROW(),"-")</f>
        <v>-</v>
      </c>
    </row>
    <row r="45561" customHeight="1" spans="2:2">
      <c r="B45561" s="62" t="str">
        <f>IF(AND('领用录入（明细）'!D:D=$F$4,'领用录入（明细）'!C:C&gt;=$J$4,'领用录入（明细）'!C:C&lt;=$L$4),ROW(),"-")</f>
        <v>-</v>
      </c>
    </row>
    <row r="45562" customHeight="1" spans="2:2">
      <c r="B45562" s="62" t="str">
        <f>IF(AND('领用录入（明细）'!D:D=$F$4,'领用录入（明细）'!C:C&gt;=$J$4,'领用录入（明细）'!C:C&lt;=$L$4),ROW(),"-")</f>
        <v>-</v>
      </c>
    </row>
    <row r="45563" customHeight="1" spans="2:2">
      <c r="B45563" s="62" t="str">
        <f>IF(AND('领用录入（明细）'!D:D=$F$4,'领用录入（明细）'!C:C&gt;=$J$4,'领用录入（明细）'!C:C&lt;=$L$4),ROW(),"-")</f>
        <v>-</v>
      </c>
    </row>
    <row r="45564" customHeight="1" spans="2:2">
      <c r="B45564" s="62" t="str">
        <f>IF(AND('领用录入（明细）'!D:D=$F$4,'领用录入（明细）'!C:C&gt;=$J$4,'领用录入（明细）'!C:C&lt;=$L$4),ROW(),"-")</f>
        <v>-</v>
      </c>
    </row>
    <row r="45565" customHeight="1" spans="2:2">
      <c r="B45565" s="62" t="str">
        <f>IF(AND('领用录入（明细）'!D:D=$F$4,'领用录入（明细）'!C:C&gt;=$J$4,'领用录入（明细）'!C:C&lt;=$L$4),ROW(),"-")</f>
        <v>-</v>
      </c>
    </row>
    <row r="45566" customHeight="1" spans="2:2">
      <c r="B45566" s="62" t="str">
        <f>IF(AND('领用录入（明细）'!D:D=$F$4,'领用录入（明细）'!C:C&gt;=$J$4,'领用录入（明细）'!C:C&lt;=$L$4),ROW(),"-")</f>
        <v>-</v>
      </c>
    </row>
    <row r="45567" customHeight="1" spans="2:2">
      <c r="B45567" s="62" t="str">
        <f>IF(AND('领用录入（明细）'!D:D=$F$4,'领用录入（明细）'!C:C&gt;=$J$4,'领用录入（明细）'!C:C&lt;=$L$4),ROW(),"-")</f>
        <v>-</v>
      </c>
    </row>
    <row r="45568" customHeight="1" spans="2:2">
      <c r="B45568" s="62" t="str">
        <f>IF(AND('领用录入（明细）'!D:D=$F$4,'领用录入（明细）'!C:C&gt;=$J$4,'领用录入（明细）'!C:C&lt;=$L$4),ROW(),"-")</f>
        <v>-</v>
      </c>
    </row>
    <row r="45569" customHeight="1" spans="2:2">
      <c r="B45569" s="62" t="str">
        <f>IF(AND('领用录入（明细）'!D:D=$F$4,'领用录入（明细）'!C:C&gt;=$J$4,'领用录入（明细）'!C:C&lt;=$L$4),ROW(),"-")</f>
        <v>-</v>
      </c>
    </row>
    <row r="45570" customHeight="1" spans="2:2">
      <c r="B45570" s="62" t="str">
        <f>IF(AND('领用录入（明细）'!D:D=$F$4,'领用录入（明细）'!C:C&gt;=$J$4,'领用录入（明细）'!C:C&lt;=$L$4),ROW(),"-")</f>
        <v>-</v>
      </c>
    </row>
    <row r="45571" customHeight="1" spans="2:2">
      <c r="B45571" s="62" t="str">
        <f>IF(AND('领用录入（明细）'!D:D=$F$4,'领用录入（明细）'!C:C&gt;=$J$4,'领用录入（明细）'!C:C&lt;=$L$4),ROW(),"-")</f>
        <v>-</v>
      </c>
    </row>
    <row r="45572" customHeight="1" spans="2:2">
      <c r="B45572" s="62" t="str">
        <f>IF(AND('领用录入（明细）'!D:D=$F$4,'领用录入（明细）'!C:C&gt;=$J$4,'领用录入（明细）'!C:C&lt;=$L$4),ROW(),"-")</f>
        <v>-</v>
      </c>
    </row>
    <row r="45573" customHeight="1" spans="2:2">
      <c r="B45573" s="62" t="str">
        <f>IF(AND('领用录入（明细）'!D:D=$F$4,'领用录入（明细）'!C:C&gt;=$J$4,'领用录入（明细）'!C:C&lt;=$L$4),ROW(),"-")</f>
        <v>-</v>
      </c>
    </row>
    <row r="45574" customHeight="1" spans="2:2">
      <c r="B45574" s="62" t="str">
        <f>IF(AND('领用录入（明细）'!D:D=$F$4,'领用录入（明细）'!C:C&gt;=$J$4,'领用录入（明细）'!C:C&lt;=$L$4),ROW(),"-")</f>
        <v>-</v>
      </c>
    </row>
    <row r="45575" customHeight="1" spans="2:2">
      <c r="B45575" s="62" t="str">
        <f>IF(AND('领用录入（明细）'!D:D=$F$4,'领用录入（明细）'!C:C&gt;=$J$4,'领用录入（明细）'!C:C&lt;=$L$4),ROW(),"-")</f>
        <v>-</v>
      </c>
    </row>
    <row r="45576" customHeight="1" spans="2:2">
      <c r="B45576" s="62" t="str">
        <f>IF(AND('领用录入（明细）'!D:D=$F$4,'领用录入（明细）'!C:C&gt;=$J$4,'领用录入（明细）'!C:C&lt;=$L$4),ROW(),"-")</f>
        <v>-</v>
      </c>
    </row>
    <row r="45577" customHeight="1" spans="2:2">
      <c r="B45577" s="62" t="str">
        <f>IF(AND('领用录入（明细）'!D:D=$F$4,'领用录入（明细）'!C:C&gt;=$J$4,'领用录入（明细）'!C:C&lt;=$L$4),ROW(),"-")</f>
        <v>-</v>
      </c>
    </row>
    <row r="45578" customHeight="1" spans="2:2">
      <c r="B45578" s="62" t="str">
        <f>IF(AND('领用录入（明细）'!D:D=$F$4,'领用录入（明细）'!C:C&gt;=$J$4,'领用录入（明细）'!C:C&lt;=$L$4),ROW(),"-")</f>
        <v>-</v>
      </c>
    </row>
    <row r="45579" customHeight="1" spans="2:2">
      <c r="B45579" s="62" t="str">
        <f>IF(AND('领用录入（明细）'!D:D=$F$4,'领用录入（明细）'!C:C&gt;=$J$4,'领用录入（明细）'!C:C&lt;=$L$4),ROW(),"-")</f>
        <v>-</v>
      </c>
    </row>
    <row r="45580" customHeight="1" spans="2:2">
      <c r="B45580" s="62" t="str">
        <f>IF(AND('领用录入（明细）'!D:D=$F$4,'领用录入（明细）'!C:C&gt;=$J$4,'领用录入（明细）'!C:C&lt;=$L$4),ROW(),"-")</f>
        <v>-</v>
      </c>
    </row>
    <row r="45581" customHeight="1" spans="2:2">
      <c r="B45581" s="62" t="str">
        <f>IF(AND('领用录入（明细）'!D:D=$F$4,'领用录入（明细）'!C:C&gt;=$J$4,'领用录入（明细）'!C:C&lt;=$L$4),ROW(),"-")</f>
        <v>-</v>
      </c>
    </row>
    <row r="45582" customHeight="1" spans="2:2">
      <c r="B45582" s="62" t="str">
        <f>IF(AND('领用录入（明细）'!D:D=$F$4,'领用录入（明细）'!C:C&gt;=$J$4,'领用录入（明细）'!C:C&lt;=$L$4),ROW(),"-")</f>
        <v>-</v>
      </c>
    </row>
    <row r="45583" customHeight="1" spans="2:2">
      <c r="B45583" s="62" t="str">
        <f>IF(AND('领用录入（明细）'!D:D=$F$4,'领用录入（明细）'!C:C&gt;=$J$4,'领用录入（明细）'!C:C&lt;=$L$4),ROW(),"-")</f>
        <v>-</v>
      </c>
    </row>
    <row r="45584" customHeight="1" spans="2:2">
      <c r="B45584" s="62" t="str">
        <f>IF(AND('领用录入（明细）'!D:D=$F$4,'领用录入（明细）'!C:C&gt;=$J$4,'领用录入（明细）'!C:C&lt;=$L$4),ROW(),"-")</f>
        <v>-</v>
      </c>
    </row>
    <row r="45585" customHeight="1" spans="2:2">
      <c r="B45585" s="62" t="str">
        <f>IF(AND('领用录入（明细）'!D:D=$F$4,'领用录入（明细）'!C:C&gt;=$J$4,'领用录入（明细）'!C:C&lt;=$L$4),ROW(),"-")</f>
        <v>-</v>
      </c>
    </row>
    <row r="45586" customHeight="1" spans="2:2">
      <c r="B45586" s="62" t="str">
        <f>IF(AND('领用录入（明细）'!D:D=$F$4,'领用录入（明细）'!C:C&gt;=$J$4,'领用录入（明细）'!C:C&lt;=$L$4),ROW(),"-")</f>
        <v>-</v>
      </c>
    </row>
    <row r="45587" customHeight="1" spans="2:2">
      <c r="B45587" s="62" t="str">
        <f>IF(AND('领用录入（明细）'!D:D=$F$4,'领用录入（明细）'!C:C&gt;=$J$4,'领用录入（明细）'!C:C&lt;=$L$4),ROW(),"-")</f>
        <v>-</v>
      </c>
    </row>
    <row r="45588" customHeight="1" spans="2:2">
      <c r="B45588" s="62" t="str">
        <f>IF(AND('领用录入（明细）'!D:D=$F$4,'领用录入（明细）'!C:C&gt;=$J$4,'领用录入（明细）'!C:C&lt;=$L$4),ROW(),"-")</f>
        <v>-</v>
      </c>
    </row>
    <row r="45589" customHeight="1" spans="2:2">
      <c r="B45589" s="62" t="str">
        <f>IF(AND('领用录入（明细）'!D:D=$F$4,'领用录入（明细）'!C:C&gt;=$J$4,'领用录入（明细）'!C:C&lt;=$L$4),ROW(),"-")</f>
        <v>-</v>
      </c>
    </row>
    <row r="45590" customHeight="1" spans="2:2">
      <c r="B45590" s="62" t="str">
        <f>IF(AND('领用录入（明细）'!D:D=$F$4,'领用录入（明细）'!C:C&gt;=$J$4,'领用录入（明细）'!C:C&lt;=$L$4),ROW(),"-")</f>
        <v>-</v>
      </c>
    </row>
    <row r="45591" customHeight="1" spans="2:2">
      <c r="B45591" s="62" t="str">
        <f>IF(AND('领用录入（明细）'!D:D=$F$4,'领用录入（明细）'!C:C&gt;=$J$4,'领用录入（明细）'!C:C&lt;=$L$4),ROW(),"-")</f>
        <v>-</v>
      </c>
    </row>
    <row r="45592" customHeight="1" spans="2:2">
      <c r="B45592" s="62" t="str">
        <f>IF(AND('领用录入（明细）'!D:D=$F$4,'领用录入（明细）'!C:C&gt;=$J$4,'领用录入（明细）'!C:C&lt;=$L$4),ROW(),"-")</f>
        <v>-</v>
      </c>
    </row>
    <row r="45593" customHeight="1" spans="2:2">
      <c r="B45593" s="62" t="str">
        <f>IF(AND('领用录入（明细）'!D:D=$F$4,'领用录入（明细）'!C:C&gt;=$J$4,'领用录入（明细）'!C:C&lt;=$L$4),ROW(),"-")</f>
        <v>-</v>
      </c>
    </row>
    <row r="45594" customHeight="1" spans="2:2">
      <c r="B45594" s="62" t="str">
        <f>IF(AND('领用录入（明细）'!D:D=$F$4,'领用录入（明细）'!C:C&gt;=$J$4,'领用录入（明细）'!C:C&lt;=$L$4),ROW(),"-")</f>
        <v>-</v>
      </c>
    </row>
    <row r="45595" customHeight="1" spans="2:2">
      <c r="B45595" s="62" t="str">
        <f>IF(AND('领用录入（明细）'!D:D=$F$4,'领用录入（明细）'!C:C&gt;=$J$4,'领用录入（明细）'!C:C&lt;=$L$4),ROW(),"-")</f>
        <v>-</v>
      </c>
    </row>
    <row r="45596" customHeight="1" spans="2:2">
      <c r="B45596" s="62" t="str">
        <f>IF(AND('领用录入（明细）'!D:D=$F$4,'领用录入（明细）'!C:C&gt;=$J$4,'领用录入（明细）'!C:C&lt;=$L$4),ROW(),"-")</f>
        <v>-</v>
      </c>
    </row>
    <row r="45597" customHeight="1" spans="2:2">
      <c r="B45597" s="62" t="str">
        <f>IF(AND('领用录入（明细）'!D:D=$F$4,'领用录入（明细）'!C:C&gt;=$J$4,'领用录入（明细）'!C:C&lt;=$L$4),ROW(),"-")</f>
        <v>-</v>
      </c>
    </row>
    <row r="45598" customHeight="1" spans="2:2">
      <c r="B45598" s="62" t="str">
        <f>IF(AND('领用录入（明细）'!D:D=$F$4,'领用录入（明细）'!C:C&gt;=$J$4,'领用录入（明细）'!C:C&lt;=$L$4),ROW(),"-")</f>
        <v>-</v>
      </c>
    </row>
    <row r="45599" customHeight="1" spans="2:2">
      <c r="B45599" s="62" t="str">
        <f>IF(AND('领用录入（明细）'!D:D=$F$4,'领用录入（明细）'!C:C&gt;=$J$4,'领用录入（明细）'!C:C&lt;=$L$4),ROW(),"-")</f>
        <v>-</v>
      </c>
    </row>
    <row r="45600" customHeight="1" spans="2:2">
      <c r="B45600" s="62" t="str">
        <f>IF(AND('领用录入（明细）'!D:D=$F$4,'领用录入（明细）'!C:C&gt;=$J$4,'领用录入（明细）'!C:C&lt;=$L$4),ROW(),"-")</f>
        <v>-</v>
      </c>
    </row>
    <row r="45601" customHeight="1" spans="2:2">
      <c r="B45601" s="62" t="str">
        <f>IF(AND('领用录入（明细）'!D:D=$F$4,'领用录入（明细）'!C:C&gt;=$J$4,'领用录入（明细）'!C:C&lt;=$L$4),ROW(),"-")</f>
        <v>-</v>
      </c>
    </row>
    <row r="45602" customHeight="1" spans="2:2">
      <c r="B45602" s="62" t="str">
        <f>IF(AND('领用录入（明细）'!D:D=$F$4,'领用录入（明细）'!C:C&gt;=$J$4,'领用录入（明细）'!C:C&lt;=$L$4),ROW(),"-")</f>
        <v>-</v>
      </c>
    </row>
    <row r="45603" customHeight="1" spans="2:2">
      <c r="B45603" s="62" t="str">
        <f>IF(AND('领用录入（明细）'!D:D=$F$4,'领用录入（明细）'!C:C&gt;=$J$4,'领用录入（明细）'!C:C&lt;=$L$4),ROW(),"-")</f>
        <v>-</v>
      </c>
    </row>
    <row r="45604" customHeight="1" spans="2:2">
      <c r="B45604" s="62" t="str">
        <f>IF(AND('领用录入（明细）'!D:D=$F$4,'领用录入（明细）'!C:C&gt;=$J$4,'领用录入（明细）'!C:C&lt;=$L$4),ROW(),"-")</f>
        <v>-</v>
      </c>
    </row>
    <row r="45605" customHeight="1" spans="2:2">
      <c r="B45605" s="62" t="str">
        <f>IF(AND('领用录入（明细）'!D:D=$F$4,'领用录入（明细）'!C:C&gt;=$J$4,'领用录入（明细）'!C:C&lt;=$L$4),ROW(),"-")</f>
        <v>-</v>
      </c>
    </row>
    <row r="45606" customHeight="1" spans="2:2">
      <c r="B45606" s="62" t="str">
        <f>IF(AND('领用录入（明细）'!D:D=$F$4,'领用录入（明细）'!C:C&gt;=$J$4,'领用录入（明细）'!C:C&lt;=$L$4),ROW(),"-")</f>
        <v>-</v>
      </c>
    </row>
    <row r="45607" customHeight="1" spans="2:2">
      <c r="B45607" s="62" t="str">
        <f>IF(AND('领用录入（明细）'!D:D=$F$4,'领用录入（明细）'!C:C&gt;=$J$4,'领用录入（明细）'!C:C&lt;=$L$4),ROW(),"-")</f>
        <v>-</v>
      </c>
    </row>
    <row r="45608" customHeight="1" spans="2:2">
      <c r="B45608" s="62" t="str">
        <f>IF(AND('领用录入（明细）'!D:D=$F$4,'领用录入（明细）'!C:C&gt;=$J$4,'领用录入（明细）'!C:C&lt;=$L$4),ROW(),"-")</f>
        <v>-</v>
      </c>
    </row>
    <row r="45609" customHeight="1" spans="2:2">
      <c r="B45609" s="62" t="str">
        <f>IF(AND('领用录入（明细）'!D:D=$F$4,'领用录入（明细）'!C:C&gt;=$J$4,'领用录入（明细）'!C:C&lt;=$L$4),ROW(),"-")</f>
        <v>-</v>
      </c>
    </row>
    <row r="45610" customHeight="1" spans="2:2">
      <c r="B45610" s="62" t="str">
        <f>IF(AND('领用录入（明细）'!D:D=$F$4,'领用录入（明细）'!C:C&gt;=$J$4,'领用录入（明细）'!C:C&lt;=$L$4),ROW(),"-")</f>
        <v>-</v>
      </c>
    </row>
    <row r="45611" customHeight="1" spans="2:2">
      <c r="B45611" s="62" t="str">
        <f>IF(AND('领用录入（明细）'!D:D=$F$4,'领用录入（明细）'!C:C&gt;=$J$4,'领用录入（明细）'!C:C&lt;=$L$4),ROW(),"-")</f>
        <v>-</v>
      </c>
    </row>
    <row r="45612" customHeight="1" spans="2:2">
      <c r="B45612" s="62" t="str">
        <f>IF(AND('领用录入（明细）'!D:D=$F$4,'领用录入（明细）'!C:C&gt;=$J$4,'领用录入（明细）'!C:C&lt;=$L$4),ROW(),"-")</f>
        <v>-</v>
      </c>
    </row>
    <row r="45613" customHeight="1" spans="2:2">
      <c r="B45613" s="62" t="str">
        <f>IF(AND('领用录入（明细）'!D:D=$F$4,'领用录入（明细）'!C:C&gt;=$J$4,'领用录入（明细）'!C:C&lt;=$L$4),ROW(),"-")</f>
        <v>-</v>
      </c>
    </row>
    <row r="45614" customHeight="1" spans="2:2">
      <c r="B45614" s="62" t="str">
        <f>IF(AND('领用录入（明细）'!D:D=$F$4,'领用录入（明细）'!C:C&gt;=$J$4,'领用录入（明细）'!C:C&lt;=$L$4),ROW(),"-")</f>
        <v>-</v>
      </c>
    </row>
    <row r="45615" customHeight="1" spans="2:2">
      <c r="B45615" s="62" t="str">
        <f>IF(AND('领用录入（明细）'!D:D=$F$4,'领用录入（明细）'!C:C&gt;=$J$4,'领用录入（明细）'!C:C&lt;=$L$4),ROW(),"-")</f>
        <v>-</v>
      </c>
    </row>
    <row r="45616" customHeight="1" spans="2:2">
      <c r="B45616" s="62" t="str">
        <f>IF(AND('领用录入（明细）'!D:D=$F$4,'领用录入（明细）'!C:C&gt;=$J$4,'领用录入（明细）'!C:C&lt;=$L$4),ROW(),"-")</f>
        <v>-</v>
      </c>
    </row>
    <row r="45617" customHeight="1" spans="2:2">
      <c r="B45617" s="62" t="str">
        <f>IF(AND('领用录入（明细）'!D:D=$F$4,'领用录入（明细）'!C:C&gt;=$J$4,'领用录入（明细）'!C:C&lt;=$L$4),ROW(),"-")</f>
        <v>-</v>
      </c>
    </row>
    <row r="45618" customHeight="1" spans="2:2">
      <c r="B45618" s="62" t="str">
        <f>IF(AND('领用录入（明细）'!D:D=$F$4,'领用录入（明细）'!C:C&gt;=$J$4,'领用录入（明细）'!C:C&lt;=$L$4),ROW(),"-")</f>
        <v>-</v>
      </c>
    </row>
    <row r="45619" customHeight="1" spans="2:2">
      <c r="B45619" s="62" t="str">
        <f>IF(AND('领用录入（明细）'!D:D=$F$4,'领用录入（明细）'!C:C&gt;=$J$4,'领用录入（明细）'!C:C&lt;=$L$4),ROW(),"-")</f>
        <v>-</v>
      </c>
    </row>
    <row r="45620" customHeight="1" spans="2:2">
      <c r="B45620" s="62" t="str">
        <f>IF(AND('领用录入（明细）'!D:D=$F$4,'领用录入（明细）'!C:C&gt;=$J$4,'领用录入（明细）'!C:C&lt;=$L$4),ROW(),"-")</f>
        <v>-</v>
      </c>
    </row>
    <row r="45621" customHeight="1" spans="2:2">
      <c r="B45621" s="62" t="str">
        <f>IF(AND('领用录入（明细）'!D:D=$F$4,'领用录入（明细）'!C:C&gt;=$J$4,'领用录入（明细）'!C:C&lt;=$L$4),ROW(),"-")</f>
        <v>-</v>
      </c>
    </row>
    <row r="45622" customHeight="1" spans="2:2">
      <c r="B45622" s="62" t="str">
        <f>IF(AND('领用录入（明细）'!D:D=$F$4,'领用录入（明细）'!C:C&gt;=$J$4,'领用录入（明细）'!C:C&lt;=$L$4),ROW(),"-")</f>
        <v>-</v>
      </c>
    </row>
    <row r="45623" customHeight="1" spans="2:2">
      <c r="B45623" s="62" t="str">
        <f>IF(AND('领用录入（明细）'!D:D=$F$4,'领用录入（明细）'!C:C&gt;=$J$4,'领用录入（明细）'!C:C&lt;=$L$4),ROW(),"-")</f>
        <v>-</v>
      </c>
    </row>
    <row r="45624" customHeight="1" spans="2:2">
      <c r="B45624" s="62" t="str">
        <f>IF(AND('领用录入（明细）'!D:D=$F$4,'领用录入（明细）'!C:C&gt;=$J$4,'领用录入（明细）'!C:C&lt;=$L$4),ROW(),"-")</f>
        <v>-</v>
      </c>
    </row>
    <row r="45625" customHeight="1" spans="2:2">
      <c r="B45625" s="62" t="str">
        <f>IF(AND('领用录入（明细）'!D:D=$F$4,'领用录入（明细）'!C:C&gt;=$J$4,'领用录入（明细）'!C:C&lt;=$L$4),ROW(),"-")</f>
        <v>-</v>
      </c>
    </row>
    <row r="45626" customHeight="1" spans="2:2">
      <c r="B45626" s="62" t="str">
        <f>IF(AND('领用录入（明细）'!D:D=$F$4,'领用录入（明细）'!C:C&gt;=$J$4,'领用录入（明细）'!C:C&lt;=$L$4),ROW(),"-")</f>
        <v>-</v>
      </c>
    </row>
    <row r="45627" customHeight="1" spans="2:2">
      <c r="B45627" s="62" t="str">
        <f>IF(AND('领用录入（明细）'!D:D=$F$4,'领用录入（明细）'!C:C&gt;=$J$4,'领用录入（明细）'!C:C&lt;=$L$4),ROW(),"-")</f>
        <v>-</v>
      </c>
    </row>
    <row r="45628" customHeight="1" spans="2:2">
      <c r="B45628" s="62" t="str">
        <f>IF(AND('领用录入（明细）'!D:D=$F$4,'领用录入（明细）'!C:C&gt;=$J$4,'领用录入（明细）'!C:C&lt;=$L$4),ROW(),"-")</f>
        <v>-</v>
      </c>
    </row>
    <row r="45629" customHeight="1" spans="2:2">
      <c r="B45629" s="62" t="str">
        <f>IF(AND('领用录入（明细）'!D:D=$F$4,'领用录入（明细）'!C:C&gt;=$J$4,'领用录入（明细）'!C:C&lt;=$L$4),ROW(),"-")</f>
        <v>-</v>
      </c>
    </row>
    <row r="45630" customHeight="1" spans="2:2">
      <c r="B45630" s="62" t="str">
        <f>IF(AND('领用录入（明细）'!D:D=$F$4,'领用录入（明细）'!C:C&gt;=$J$4,'领用录入（明细）'!C:C&lt;=$L$4),ROW(),"-")</f>
        <v>-</v>
      </c>
    </row>
    <row r="45631" customHeight="1" spans="2:2">
      <c r="B45631" s="62" t="str">
        <f>IF(AND('领用录入（明细）'!D:D=$F$4,'领用录入（明细）'!C:C&gt;=$J$4,'领用录入（明细）'!C:C&lt;=$L$4),ROW(),"-")</f>
        <v>-</v>
      </c>
    </row>
    <row r="45632" customHeight="1" spans="2:2">
      <c r="B45632" s="62" t="str">
        <f>IF(AND('领用录入（明细）'!D:D=$F$4,'领用录入（明细）'!C:C&gt;=$J$4,'领用录入（明细）'!C:C&lt;=$L$4),ROW(),"-")</f>
        <v>-</v>
      </c>
    </row>
    <row r="45633" customHeight="1" spans="2:2">
      <c r="B45633" s="62" t="str">
        <f>IF(AND('领用录入（明细）'!D:D=$F$4,'领用录入（明细）'!C:C&gt;=$J$4,'领用录入（明细）'!C:C&lt;=$L$4),ROW(),"-")</f>
        <v>-</v>
      </c>
    </row>
    <row r="45634" customHeight="1" spans="2:2">
      <c r="B45634" s="62" t="str">
        <f>IF(AND('领用录入（明细）'!D:D=$F$4,'领用录入（明细）'!C:C&gt;=$J$4,'领用录入（明细）'!C:C&lt;=$L$4),ROW(),"-")</f>
        <v>-</v>
      </c>
    </row>
    <row r="45635" customHeight="1" spans="2:2">
      <c r="B45635" s="62" t="str">
        <f>IF(AND('领用录入（明细）'!D:D=$F$4,'领用录入（明细）'!C:C&gt;=$J$4,'领用录入（明细）'!C:C&lt;=$L$4),ROW(),"-")</f>
        <v>-</v>
      </c>
    </row>
    <row r="45636" customHeight="1" spans="2:2">
      <c r="B45636" s="62" t="str">
        <f>IF(AND('领用录入（明细）'!D:D=$F$4,'领用录入（明细）'!C:C&gt;=$J$4,'领用录入（明细）'!C:C&lt;=$L$4),ROW(),"-")</f>
        <v>-</v>
      </c>
    </row>
    <row r="45637" customHeight="1" spans="2:2">
      <c r="B45637" s="62" t="str">
        <f>IF(AND('领用录入（明细）'!D:D=$F$4,'领用录入（明细）'!C:C&gt;=$J$4,'领用录入（明细）'!C:C&lt;=$L$4),ROW(),"-")</f>
        <v>-</v>
      </c>
    </row>
    <row r="45638" customHeight="1" spans="2:2">
      <c r="B45638" s="62" t="str">
        <f>IF(AND('领用录入（明细）'!D:D=$F$4,'领用录入（明细）'!C:C&gt;=$J$4,'领用录入（明细）'!C:C&lt;=$L$4),ROW(),"-")</f>
        <v>-</v>
      </c>
    </row>
    <row r="45639" customHeight="1" spans="2:2">
      <c r="B45639" s="62" t="str">
        <f>IF(AND('领用录入（明细）'!D:D=$F$4,'领用录入（明细）'!C:C&gt;=$J$4,'领用录入（明细）'!C:C&lt;=$L$4),ROW(),"-")</f>
        <v>-</v>
      </c>
    </row>
    <row r="45640" customHeight="1" spans="2:2">
      <c r="B45640" s="62" t="str">
        <f>IF(AND('领用录入（明细）'!D:D=$F$4,'领用录入（明细）'!C:C&gt;=$J$4,'领用录入（明细）'!C:C&lt;=$L$4),ROW(),"-")</f>
        <v>-</v>
      </c>
    </row>
    <row r="45641" customHeight="1" spans="2:2">
      <c r="B45641" s="62" t="str">
        <f>IF(AND('领用录入（明细）'!D:D=$F$4,'领用录入（明细）'!C:C&gt;=$J$4,'领用录入（明细）'!C:C&lt;=$L$4),ROW(),"-")</f>
        <v>-</v>
      </c>
    </row>
    <row r="45642" customHeight="1" spans="2:2">
      <c r="B45642" s="62" t="str">
        <f>IF(AND('领用录入（明细）'!D:D=$F$4,'领用录入（明细）'!C:C&gt;=$J$4,'领用录入（明细）'!C:C&lt;=$L$4),ROW(),"-")</f>
        <v>-</v>
      </c>
    </row>
    <row r="45643" customHeight="1" spans="2:2">
      <c r="B45643" s="62" t="str">
        <f>IF(AND('领用录入（明细）'!D:D=$F$4,'领用录入（明细）'!C:C&gt;=$J$4,'领用录入（明细）'!C:C&lt;=$L$4),ROW(),"-")</f>
        <v>-</v>
      </c>
    </row>
    <row r="45644" customHeight="1" spans="2:2">
      <c r="B45644" s="62" t="str">
        <f>IF(AND('领用录入（明细）'!D:D=$F$4,'领用录入（明细）'!C:C&gt;=$J$4,'领用录入（明细）'!C:C&lt;=$L$4),ROW(),"-")</f>
        <v>-</v>
      </c>
    </row>
    <row r="45645" customHeight="1" spans="2:2">
      <c r="B45645" s="62" t="str">
        <f>IF(AND('领用录入（明细）'!D:D=$F$4,'领用录入（明细）'!C:C&gt;=$J$4,'领用录入（明细）'!C:C&lt;=$L$4),ROW(),"-")</f>
        <v>-</v>
      </c>
    </row>
    <row r="45646" customHeight="1" spans="2:2">
      <c r="B45646" s="62" t="str">
        <f>IF(AND('领用录入（明细）'!D:D=$F$4,'领用录入（明细）'!C:C&gt;=$J$4,'领用录入（明细）'!C:C&lt;=$L$4),ROW(),"-")</f>
        <v>-</v>
      </c>
    </row>
    <row r="45647" customHeight="1" spans="2:2">
      <c r="B45647" s="62" t="str">
        <f>IF(AND('领用录入（明细）'!D:D=$F$4,'领用录入（明细）'!C:C&gt;=$J$4,'领用录入（明细）'!C:C&lt;=$L$4),ROW(),"-")</f>
        <v>-</v>
      </c>
    </row>
    <row r="45648" customHeight="1" spans="2:2">
      <c r="B45648" s="62" t="str">
        <f>IF(AND('领用录入（明细）'!D:D=$F$4,'领用录入（明细）'!C:C&gt;=$J$4,'领用录入（明细）'!C:C&lt;=$L$4),ROW(),"-")</f>
        <v>-</v>
      </c>
    </row>
    <row r="45649" customHeight="1" spans="2:2">
      <c r="B45649" s="62" t="str">
        <f>IF(AND('领用录入（明细）'!D:D=$F$4,'领用录入（明细）'!C:C&gt;=$J$4,'领用录入（明细）'!C:C&lt;=$L$4),ROW(),"-")</f>
        <v>-</v>
      </c>
    </row>
    <row r="45650" customHeight="1" spans="2:2">
      <c r="B45650" s="62" t="str">
        <f>IF(AND('领用录入（明细）'!D:D=$F$4,'领用录入（明细）'!C:C&gt;=$J$4,'领用录入（明细）'!C:C&lt;=$L$4),ROW(),"-")</f>
        <v>-</v>
      </c>
    </row>
    <row r="45651" customHeight="1" spans="2:2">
      <c r="B45651" s="62" t="str">
        <f>IF(AND('领用录入（明细）'!D:D=$F$4,'领用录入（明细）'!C:C&gt;=$J$4,'领用录入（明细）'!C:C&lt;=$L$4),ROW(),"-")</f>
        <v>-</v>
      </c>
    </row>
    <row r="45652" customHeight="1" spans="2:2">
      <c r="B45652" s="62" t="str">
        <f>IF(AND('领用录入（明细）'!D:D=$F$4,'领用录入（明细）'!C:C&gt;=$J$4,'领用录入（明细）'!C:C&lt;=$L$4),ROW(),"-")</f>
        <v>-</v>
      </c>
    </row>
    <row r="45653" customHeight="1" spans="2:2">
      <c r="B45653" s="62" t="str">
        <f>IF(AND('领用录入（明细）'!D:D=$F$4,'领用录入（明细）'!C:C&gt;=$J$4,'领用录入（明细）'!C:C&lt;=$L$4),ROW(),"-")</f>
        <v>-</v>
      </c>
    </row>
    <row r="45654" customHeight="1" spans="2:2">
      <c r="B45654" s="62" t="str">
        <f>IF(AND('领用录入（明细）'!D:D=$F$4,'领用录入（明细）'!C:C&gt;=$J$4,'领用录入（明细）'!C:C&lt;=$L$4),ROW(),"-")</f>
        <v>-</v>
      </c>
    </row>
    <row r="45655" customHeight="1" spans="2:2">
      <c r="B45655" s="62" t="str">
        <f>IF(AND('领用录入（明细）'!D:D=$F$4,'领用录入（明细）'!C:C&gt;=$J$4,'领用录入（明细）'!C:C&lt;=$L$4),ROW(),"-")</f>
        <v>-</v>
      </c>
    </row>
    <row r="45656" customHeight="1" spans="2:2">
      <c r="B45656" s="62" t="str">
        <f>IF(AND('领用录入（明细）'!D:D=$F$4,'领用录入（明细）'!C:C&gt;=$J$4,'领用录入（明细）'!C:C&lt;=$L$4),ROW(),"-")</f>
        <v>-</v>
      </c>
    </row>
    <row r="45657" customHeight="1" spans="2:2">
      <c r="B45657" s="62" t="str">
        <f>IF(AND('领用录入（明细）'!D:D=$F$4,'领用录入（明细）'!C:C&gt;=$J$4,'领用录入（明细）'!C:C&lt;=$L$4),ROW(),"-")</f>
        <v>-</v>
      </c>
    </row>
    <row r="45658" customHeight="1" spans="2:2">
      <c r="B45658" s="62" t="str">
        <f>IF(AND('领用录入（明细）'!D:D=$F$4,'领用录入（明细）'!C:C&gt;=$J$4,'领用录入（明细）'!C:C&lt;=$L$4),ROW(),"-")</f>
        <v>-</v>
      </c>
    </row>
    <row r="45659" customHeight="1" spans="2:2">
      <c r="B45659" s="62" t="str">
        <f>IF(AND('领用录入（明细）'!D:D=$F$4,'领用录入（明细）'!C:C&gt;=$J$4,'领用录入（明细）'!C:C&lt;=$L$4),ROW(),"-")</f>
        <v>-</v>
      </c>
    </row>
    <row r="45660" customHeight="1" spans="2:2">
      <c r="B45660" s="62" t="str">
        <f>IF(AND('领用录入（明细）'!D:D=$F$4,'领用录入（明细）'!C:C&gt;=$J$4,'领用录入（明细）'!C:C&lt;=$L$4),ROW(),"-")</f>
        <v>-</v>
      </c>
    </row>
    <row r="45661" customHeight="1" spans="2:2">
      <c r="B45661" s="62" t="str">
        <f>IF(AND('领用录入（明细）'!D:D=$F$4,'领用录入（明细）'!C:C&gt;=$J$4,'领用录入（明细）'!C:C&lt;=$L$4),ROW(),"-")</f>
        <v>-</v>
      </c>
    </row>
    <row r="45662" customHeight="1" spans="2:2">
      <c r="B45662" s="62" t="str">
        <f>IF(AND('领用录入（明细）'!D:D=$F$4,'领用录入（明细）'!C:C&gt;=$J$4,'领用录入（明细）'!C:C&lt;=$L$4),ROW(),"-")</f>
        <v>-</v>
      </c>
    </row>
    <row r="45663" customHeight="1" spans="2:2">
      <c r="B45663" s="62" t="str">
        <f>IF(AND('领用录入（明细）'!D:D=$F$4,'领用录入（明细）'!C:C&gt;=$J$4,'领用录入（明细）'!C:C&lt;=$L$4),ROW(),"-")</f>
        <v>-</v>
      </c>
    </row>
    <row r="45664" customHeight="1" spans="2:2">
      <c r="B45664" s="62" t="str">
        <f>IF(AND('领用录入（明细）'!D:D=$F$4,'领用录入（明细）'!C:C&gt;=$J$4,'领用录入（明细）'!C:C&lt;=$L$4),ROW(),"-")</f>
        <v>-</v>
      </c>
    </row>
    <row r="45665" customHeight="1" spans="2:2">
      <c r="B45665" s="62" t="str">
        <f>IF(AND('领用录入（明细）'!D:D=$F$4,'领用录入（明细）'!C:C&gt;=$J$4,'领用录入（明细）'!C:C&lt;=$L$4),ROW(),"-")</f>
        <v>-</v>
      </c>
    </row>
    <row r="45666" customHeight="1" spans="2:2">
      <c r="B45666" s="62" t="str">
        <f>IF(AND('领用录入（明细）'!D:D=$F$4,'领用录入（明细）'!C:C&gt;=$J$4,'领用录入（明细）'!C:C&lt;=$L$4),ROW(),"-")</f>
        <v>-</v>
      </c>
    </row>
    <row r="45667" customHeight="1" spans="2:2">
      <c r="B45667" s="62" t="str">
        <f>IF(AND('领用录入（明细）'!D:D=$F$4,'领用录入（明细）'!C:C&gt;=$J$4,'领用录入（明细）'!C:C&lt;=$L$4),ROW(),"-")</f>
        <v>-</v>
      </c>
    </row>
    <row r="45668" customHeight="1" spans="2:2">
      <c r="B45668" s="62" t="str">
        <f>IF(AND('领用录入（明细）'!D:D=$F$4,'领用录入（明细）'!C:C&gt;=$J$4,'领用录入（明细）'!C:C&lt;=$L$4),ROW(),"-")</f>
        <v>-</v>
      </c>
    </row>
    <row r="45669" customHeight="1" spans="2:2">
      <c r="B45669" s="62" t="str">
        <f>IF(AND('领用录入（明细）'!D:D=$F$4,'领用录入（明细）'!C:C&gt;=$J$4,'领用录入（明细）'!C:C&lt;=$L$4),ROW(),"-")</f>
        <v>-</v>
      </c>
    </row>
    <row r="45670" customHeight="1" spans="2:2">
      <c r="B45670" s="62" t="str">
        <f>IF(AND('领用录入（明细）'!D:D=$F$4,'领用录入（明细）'!C:C&gt;=$J$4,'领用录入（明细）'!C:C&lt;=$L$4),ROW(),"-")</f>
        <v>-</v>
      </c>
    </row>
    <row r="45671" customHeight="1" spans="2:2">
      <c r="B45671" s="62" t="str">
        <f>IF(AND('领用录入（明细）'!D:D=$F$4,'领用录入（明细）'!C:C&gt;=$J$4,'领用录入（明细）'!C:C&lt;=$L$4),ROW(),"-")</f>
        <v>-</v>
      </c>
    </row>
    <row r="45672" customHeight="1" spans="2:2">
      <c r="B45672" s="62" t="str">
        <f>IF(AND('领用录入（明细）'!D:D=$F$4,'领用录入（明细）'!C:C&gt;=$J$4,'领用录入（明细）'!C:C&lt;=$L$4),ROW(),"-")</f>
        <v>-</v>
      </c>
    </row>
    <row r="45673" customHeight="1" spans="2:2">
      <c r="B45673" s="62" t="str">
        <f>IF(AND('领用录入（明细）'!D:D=$F$4,'领用录入（明细）'!C:C&gt;=$J$4,'领用录入（明细）'!C:C&lt;=$L$4),ROW(),"-")</f>
        <v>-</v>
      </c>
    </row>
    <row r="45674" customHeight="1" spans="2:2">
      <c r="B45674" s="62" t="str">
        <f>IF(AND('领用录入（明细）'!D:D=$F$4,'领用录入（明细）'!C:C&gt;=$J$4,'领用录入（明细）'!C:C&lt;=$L$4),ROW(),"-")</f>
        <v>-</v>
      </c>
    </row>
    <row r="45675" customHeight="1" spans="2:2">
      <c r="B45675" s="62" t="str">
        <f>IF(AND('领用录入（明细）'!D:D=$F$4,'领用录入（明细）'!C:C&gt;=$J$4,'领用录入（明细）'!C:C&lt;=$L$4),ROW(),"-")</f>
        <v>-</v>
      </c>
    </row>
    <row r="45676" customHeight="1" spans="2:2">
      <c r="B45676" s="62" t="str">
        <f>IF(AND('领用录入（明细）'!D:D=$F$4,'领用录入（明细）'!C:C&gt;=$J$4,'领用录入（明细）'!C:C&lt;=$L$4),ROW(),"-")</f>
        <v>-</v>
      </c>
    </row>
    <row r="45677" customHeight="1" spans="2:2">
      <c r="B45677" s="62" t="str">
        <f>IF(AND('领用录入（明细）'!D:D=$F$4,'领用录入（明细）'!C:C&gt;=$J$4,'领用录入（明细）'!C:C&lt;=$L$4),ROW(),"-")</f>
        <v>-</v>
      </c>
    </row>
    <row r="45678" customHeight="1" spans="2:2">
      <c r="B45678" s="62" t="str">
        <f>IF(AND('领用录入（明细）'!D:D=$F$4,'领用录入（明细）'!C:C&gt;=$J$4,'领用录入（明细）'!C:C&lt;=$L$4),ROW(),"-")</f>
        <v>-</v>
      </c>
    </row>
    <row r="45679" customHeight="1" spans="2:2">
      <c r="B45679" s="62" t="str">
        <f>IF(AND('领用录入（明细）'!D:D=$F$4,'领用录入（明细）'!C:C&gt;=$J$4,'领用录入（明细）'!C:C&lt;=$L$4),ROW(),"-")</f>
        <v>-</v>
      </c>
    </row>
    <row r="45680" customHeight="1" spans="2:2">
      <c r="B45680" s="62" t="str">
        <f>IF(AND('领用录入（明细）'!D:D=$F$4,'领用录入（明细）'!C:C&gt;=$J$4,'领用录入（明细）'!C:C&lt;=$L$4),ROW(),"-")</f>
        <v>-</v>
      </c>
    </row>
    <row r="45681" customHeight="1" spans="2:2">
      <c r="B45681" s="62" t="str">
        <f>IF(AND('领用录入（明细）'!D:D=$F$4,'领用录入（明细）'!C:C&gt;=$J$4,'领用录入（明细）'!C:C&lt;=$L$4),ROW(),"-")</f>
        <v>-</v>
      </c>
    </row>
    <row r="45682" customHeight="1" spans="2:2">
      <c r="B45682" s="62" t="str">
        <f>IF(AND('领用录入（明细）'!D:D=$F$4,'领用录入（明细）'!C:C&gt;=$J$4,'领用录入（明细）'!C:C&lt;=$L$4),ROW(),"-")</f>
        <v>-</v>
      </c>
    </row>
    <row r="45683" customHeight="1" spans="2:2">
      <c r="B45683" s="62" t="str">
        <f>IF(AND('领用录入（明细）'!D:D=$F$4,'领用录入（明细）'!C:C&gt;=$J$4,'领用录入（明细）'!C:C&lt;=$L$4),ROW(),"-")</f>
        <v>-</v>
      </c>
    </row>
    <row r="45684" customHeight="1" spans="2:2">
      <c r="B45684" s="62" t="str">
        <f>IF(AND('领用录入（明细）'!D:D=$F$4,'领用录入（明细）'!C:C&gt;=$J$4,'领用录入（明细）'!C:C&lt;=$L$4),ROW(),"-")</f>
        <v>-</v>
      </c>
    </row>
    <row r="45685" customHeight="1" spans="2:2">
      <c r="B45685" s="62" t="str">
        <f>IF(AND('领用录入（明细）'!D:D=$F$4,'领用录入（明细）'!C:C&gt;=$J$4,'领用录入（明细）'!C:C&lt;=$L$4),ROW(),"-")</f>
        <v>-</v>
      </c>
    </row>
    <row r="45686" customHeight="1" spans="2:2">
      <c r="B45686" s="62" t="str">
        <f>IF(AND('领用录入（明细）'!D:D=$F$4,'领用录入（明细）'!C:C&gt;=$J$4,'领用录入（明细）'!C:C&lt;=$L$4),ROW(),"-")</f>
        <v>-</v>
      </c>
    </row>
    <row r="45687" customHeight="1" spans="2:2">
      <c r="B45687" s="62" t="str">
        <f>IF(AND('领用录入（明细）'!D:D=$F$4,'领用录入（明细）'!C:C&gt;=$J$4,'领用录入（明细）'!C:C&lt;=$L$4),ROW(),"-")</f>
        <v>-</v>
      </c>
    </row>
    <row r="45688" customHeight="1" spans="2:2">
      <c r="B45688" s="62" t="str">
        <f>IF(AND('领用录入（明细）'!D:D=$F$4,'领用录入（明细）'!C:C&gt;=$J$4,'领用录入（明细）'!C:C&lt;=$L$4),ROW(),"-")</f>
        <v>-</v>
      </c>
    </row>
    <row r="45689" customHeight="1" spans="2:2">
      <c r="B45689" s="62" t="str">
        <f>IF(AND('领用录入（明细）'!D:D=$F$4,'领用录入（明细）'!C:C&gt;=$J$4,'领用录入（明细）'!C:C&lt;=$L$4),ROW(),"-")</f>
        <v>-</v>
      </c>
    </row>
    <row r="45690" customHeight="1" spans="2:2">
      <c r="B45690" s="62" t="str">
        <f>IF(AND('领用录入（明细）'!D:D=$F$4,'领用录入（明细）'!C:C&gt;=$J$4,'领用录入（明细）'!C:C&lt;=$L$4),ROW(),"-")</f>
        <v>-</v>
      </c>
    </row>
    <row r="45691" customHeight="1" spans="2:2">
      <c r="B45691" s="62" t="str">
        <f>IF(AND('领用录入（明细）'!D:D=$F$4,'领用录入（明细）'!C:C&gt;=$J$4,'领用录入（明细）'!C:C&lt;=$L$4),ROW(),"-")</f>
        <v>-</v>
      </c>
    </row>
    <row r="45692" customHeight="1" spans="2:2">
      <c r="B45692" s="62" t="str">
        <f>IF(AND('领用录入（明细）'!D:D=$F$4,'领用录入（明细）'!C:C&gt;=$J$4,'领用录入（明细）'!C:C&lt;=$L$4),ROW(),"-")</f>
        <v>-</v>
      </c>
    </row>
    <row r="45693" customHeight="1" spans="2:2">
      <c r="B45693" s="62" t="str">
        <f>IF(AND('领用录入（明细）'!D:D=$F$4,'领用录入（明细）'!C:C&gt;=$J$4,'领用录入（明细）'!C:C&lt;=$L$4),ROW(),"-")</f>
        <v>-</v>
      </c>
    </row>
    <row r="45694" customHeight="1" spans="2:2">
      <c r="B45694" s="62" t="str">
        <f>IF(AND('领用录入（明细）'!D:D=$F$4,'领用录入（明细）'!C:C&gt;=$J$4,'领用录入（明细）'!C:C&lt;=$L$4),ROW(),"-")</f>
        <v>-</v>
      </c>
    </row>
    <row r="45695" customHeight="1" spans="2:2">
      <c r="B45695" s="62" t="str">
        <f>IF(AND('领用录入（明细）'!D:D=$F$4,'领用录入（明细）'!C:C&gt;=$J$4,'领用录入（明细）'!C:C&lt;=$L$4),ROW(),"-")</f>
        <v>-</v>
      </c>
    </row>
    <row r="45696" customHeight="1" spans="2:2">
      <c r="B45696" s="62" t="str">
        <f>IF(AND('领用录入（明细）'!D:D=$F$4,'领用录入（明细）'!C:C&gt;=$J$4,'领用录入（明细）'!C:C&lt;=$L$4),ROW(),"-")</f>
        <v>-</v>
      </c>
    </row>
    <row r="45697" customHeight="1" spans="2:2">
      <c r="B45697" s="62" t="str">
        <f>IF(AND('领用录入（明细）'!D:D=$F$4,'领用录入（明细）'!C:C&gt;=$J$4,'领用录入（明细）'!C:C&lt;=$L$4),ROW(),"-")</f>
        <v>-</v>
      </c>
    </row>
    <row r="45698" customHeight="1" spans="2:2">
      <c r="B45698" s="62" t="str">
        <f>IF(AND('领用录入（明细）'!D:D=$F$4,'领用录入（明细）'!C:C&gt;=$J$4,'领用录入（明细）'!C:C&lt;=$L$4),ROW(),"-")</f>
        <v>-</v>
      </c>
    </row>
    <row r="45699" customHeight="1" spans="2:2">
      <c r="B45699" s="62" t="str">
        <f>IF(AND('领用录入（明细）'!D:D=$F$4,'领用录入（明细）'!C:C&gt;=$J$4,'领用录入（明细）'!C:C&lt;=$L$4),ROW(),"-")</f>
        <v>-</v>
      </c>
    </row>
    <row r="45700" customHeight="1" spans="2:2">
      <c r="B45700" s="62" t="str">
        <f>IF(AND('领用录入（明细）'!D:D=$F$4,'领用录入（明细）'!C:C&gt;=$J$4,'领用录入（明细）'!C:C&lt;=$L$4),ROW(),"-")</f>
        <v>-</v>
      </c>
    </row>
    <row r="45701" customHeight="1" spans="2:2">
      <c r="B45701" s="62" t="str">
        <f>IF(AND('领用录入（明细）'!D:D=$F$4,'领用录入（明细）'!C:C&gt;=$J$4,'领用录入（明细）'!C:C&lt;=$L$4),ROW(),"-")</f>
        <v>-</v>
      </c>
    </row>
    <row r="45702" customHeight="1" spans="2:2">
      <c r="B45702" s="62" t="str">
        <f>IF(AND('领用录入（明细）'!D:D=$F$4,'领用录入（明细）'!C:C&gt;=$J$4,'领用录入（明细）'!C:C&lt;=$L$4),ROW(),"-")</f>
        <v>-</v>
      </c>
    </row>
    <row r="45703" customHeight="1" spans="2:2">
      <c r="B45703" s="62" t="str">
        <f>IF(AND('领用录入（明细）'!D:D=$F$4,'领用录入（明细）'!C:C&gt;=$J$4,'领用录入（明细）'!C:C&lt;=$L$4),ROW(),"-")</f>
        <v>-</v>
      </c>
    </row>
    <row r="45704" customHeight="1" spans="2:2">
      <c r="B45704" s="62" t="str">
        <f>IF(AND('领用录入（明细）'!D:D=$F$4,'领用录入（明细）'!C:C&gt;=$J$4,'领用录入（明细）'!C:C&lt;=$L$4),ROW(),"-")</f>
        <v>-</v>
      </c>
    </row>
    <row r="45705" customHeight="1" spans="2:2">
      <c r="B45705" s="62" t="str">
        <f>IF(AND('领用录入（明细）'!D:D=$F$4,'领用录入（明细）'!C:C&gt;=$J$4,'领用录入（明细）'!C:C&lt;=$L$4),ROW(),"-")</f>
        <v>-</v>
      </c>
    </row>
    <row r="45706" customHeight="1" spans="2:2">
      <c r="B45706" s="62" t="str">
        <f>IF(AND('领用录入（明细）'!D:D=$F$4,'领用录入（明细）'!C:C&gt;=$J$4,'领用录入（明细）'!C:C&lt;=$L$4),ROW(),"-")</f>
        <v>-</v>
      </c>
    </row>
    <row r="45707" customHeight="1" spans="2:2">
      <c r="B45707" s="62" t="str">
        <f>IF(AND('领用录入（明细）'!D:D=$F$4,'领用录入（明细）'!C:C&gt;=$J$4,'领用录入（明细）'!C:C&lt;=$L$4),ROW(),"-")</f>
        <v>-</v>
      </c>
    </row>
    <row r="45708" customHeight="1" spans="2:2">
      <c r="B45708" s="62" t="str">
        <f>IF(AND('领用录入（明细）'!D:D=$F$4,'领用录入（明细）'!C:C&gt;=$J$4,'领用录入（明细）'!C:C&lt;=$L$4),ROW(),"-")</f>
        <v>-</v>
      </c>
    </row>
    <row r="45709" customHeight="1" spans="2:2">
      <c r="B45709" s="62" t="str">
        <f>IF(AND('领用录入（明细）'!D:D=$F$4,'领用录入（明细）'!C:C&gt;=$J$4,'领用录入（明细）'!C:C&lt;=$L$4),ROW(),"-")</f>
        <v>-</v>
      </c>
    </row>
    <row r="45710" customHeight="1" spans="2:2">
      <c r="B45710" s="62" t="str">
        <f>IF(AND('领用录入（明细）'!D:D=$F$4,'领用录入（明细）'!C:C&gt;=$J$4,'领用录入（明细）'!C:C&lt;=$L$4),ROW(),"-")</f>
        <v>-</v>
      </c>
    </row>
    <row r="45711" customHeight="1" spans="2:2">
      <c r="B45711" s="62" t="str">
        <f>IF(AND('领用录入（明细）'!D:D=$F$4,'领用录入（明细）'!C:C&gt;=$J$4,'领用录入（明细）'!C:C&lt;=$L$4),ROW(),"-")</f>
        <v>-</v>
      </c>
    </row>
    <row r="45712" customHeight="1" spans="2:2">
      <c r="B45712" s="62" t="str">
        <f>IF(AND('领用录入（明细）'!D:D=$F$4,'领用录入（明细）'!C:C&gt;=$J$4,'领用录入（明细）'!C:C&lt;=$L$4),ROW(),"-")</f>
        <v>-</v>
      </c>
    </row>
    <row r="45713" customHeight="1" spans="2:2">
      <c r="B45713" s="62" t="str">
        <f>IF(AND('领用录入（明细）'!D:D=$F$4,'领用录入（明细）'!C:C&gt;=$J$4,'领用录入（明细）'!C:C&lt;=$L$4),ROW(),"-")</f>
        <v>-</v>
      </c>
    </row>
    <row r="45714" customHeight="1" spans="2:2">
      <c r="B45714" s="62" t="str">
        <f>IF(AND('领用录入（明细）'!D:D=$F$4,'领用录入（明细）'!C:C&gt;=$J$4,'领用录入（明细）'!C:C&lt;=$L$4),ROW(),"-")</f>
        <v>-</v>
      </c>
    </row>
    <row r="45715" customHeight="1" spans="2:2">
      <c r="B45715" s="62" t="str">
        <f>IF(AND('领用录入（明细）'!D:D=$F$4,'领用录入（明细）'!C:C&gt;=$J$4,'领用录入（明细）'!C:C&lt;=$L$4),ROW(),"-")</f>
        <v>-</v>
      </c>
    </row>
    <row r="45716" customHeight="1" spans="2:2">
      <c r="B45716" s="62" t="str">
        <f>IF(AND('领用录入（明细）'!D:D=$F$4,'领用录入（明细）'!C:C&gt;=$J$4,'领用录入（明细）'!C:C&lt;=$L$4),ROW(),"-")</f>
        <v>-</v>
      </c>
    </row>
    <row r="45717" customHeight="1" spans="2:2">
      <c r="B45717" s="62" t="str">
        <f>IF(AND('领用录入（明细）'!D:D=$F$4,'领用录入（明细）'!C:C&gt;=$J$4,'领用录入（明细）'!C:C&lt;=$L$4),ROW(),"-")</f>
        <v>-</v>
      </c>
    </row>
    <row r="45718" customHeight="1" spans="2:2">
      <c r="B45718" s="62" t="str">
        <f>IF(AND('领用录入（明细）'!D:D=$F$4,'领用录入（明细）'!C:C&gt;=$J$4,'领用录入（明细）'!C:C&lt;=$L$4),ROW(),"-")</f>
        <v>-</v>
      </c>
    </row>
    <row r="45719" customHeight="1" spans="2:2">
      <c r="B45719" s="62" t="str">
        <f>IF(AND('领用录入（明细）'!D:D=$F$4,'领用录入（明细）'!C:C&gt;=$J$4,'领用录入（明细）'!C:C&lt;=$L$4),ROW(),"-")</f>
        <v>-</v>
      </c>
    </row>
    <row r="45720" customHeight="1" spans="2:2">
      <c r="B45720" s="62" t="str">
        <f>IF(AND('领用录入（明细）'!D:D=$F$4,'领用录入（明细）'!C:C&gt;=$J$4,'领用录入（明细）'!C:C&lt;=$L$4),ROW(),"-")</f>
        <v>-</v>
      </c>
    </row>
    <row r="45721" customHeight="1" spans="2:2">
      <c r="B45721" s="62" t="str">
        <f>IF(AND('领用录入（明细）'!D:D=$F$4,'领用录入（明细）'!C:C&gt;=$J$4,'领用录入（明细）'!C:C&lt;=$L$4),ROW(),"-")</f>
        <v>-</v>
      </c>
    </row>
    <row r="45722" customHeight="1" spans="2:2">
      <c r="B45722" s="62" t="str">
        <f>IF(AND('领用录入（明细）'!D:D=$F$4,'领用录入（明细）'!C:C&gt;=$J$4,'领用录入（明细）'!C:C&lt;=$L$4),ROW(),"-")</f>
        <v>-</v>
      </c>
    </row>
    <row r="45723" customHeight="1" spans="2:2">
      <c r="B45723" s="62" t="str">
        <f>IF(AND('领用录入（明细）'!D:D=$F$4,'领用录入（明细）'!C:C&gt;=$J$4,'领用录入（明细）'!C:C&lt;=$L$4),ROW(),"-")</f>
        <v>-</v>
      </c>
    </row>
    <row r="45724" customHeight="1" spans="2:2">
      <c r="B45724" s="62" t="str">
        <f>IF(AND('领用录入（明细）'!D:D=$F$4,'领用录入（明细）'!C:C&gt;=$J$4,'领用录入（明细）'!C:C&lt;=$L$4),ROW(),"-")</f>
        <v>-</v>
      </c>
    </row>
    <row r="45725" customHeight="1" spans="2:2">
      <c r="B45725" s="62" t="str">
        <f>IF(AND('领用录入（明细）'!D:D=$F$4,'领用录入（明细）'!C:C&gt;=$J$4,'领用录入（明细）'!C:C&lt;=$L$4),ROW(),"-")</f>
        <v>-</v>
      </c>
    </row>
    <row r="45726" customHeight="1" spans="2:2">
      <c r="B45726" s="62" t="str">
        <f>IF(AND('领用录入（明细）'!D:D=$F$4,'领用录入（明细）'!C:C&gt;=$J$4,'领用录入（明细）'!C:C&lt;=$L$4),ROW(),"-")</f>
        <v>-</v>
      </c>
    </row>
    <row r="45727" customHeight="1" spans="2:2">
      <c r="B45727" s="62" t="str">
        <f>IF(AND('领用录入（明细）'!D:D=$F$4,'领用录入（明细）'!C:C&gt;=$J$4,'领用录入（明细）'!C:C&lt;=$L$4),ROW(),"-")</f>
        <v>-</v>
      </c>
    </row>
    <row r="45728" customHeight="1" spans="2:2">
      <c r="B45728" s="62" t="str">
        <f>IF(AND('领用录入（明细）'!D:D=$F$4,'领用录入（明细）'!C:C&gt;=$J$4,'领用录入（明细）'!C:C&lt;=$L$4),ROW(),"-")</f>
        <v>-</v>
      </c>
    </row>
    <row r="45729" customHeight="1" spans="2:2">
      <c r="B45729" s="62" t="str">
        <f>IF(AND('领用录入（明细）'!D:D=$F$4,'领用录入（明细）'!C:C&gt;=$J$4,'领用录入（明细）'!C:C&lt;=$L$4),ROW(),"-")</f>
        <v>-</v>
      </c>
    </row>
    <row r="45730" customHeight="1" spans="2:2">
      <c r="B45730" s="62" t="str">
        <f>IF(AND('领用录入（明细）'!D:D=$F$4,'领用录入（明细）'!C:C&gt;=$J$4,'领用录入（明细）'!C:C&lt;=$L$4),ROW(),"-")</f>
        <v>-</v>
      </c>
    </row>
    <row r="45731" customHeight="1" spans="2:2">
      <c r="B45731" s="62" t="str">
        <f>IF(AND('领用录入（明细）'!D:D=$F$4,'领用录入（明细）'!C:C&gt;=$J$4,'领用录入（明细）'!C:C&lt;=$L$4),ROW(),"-")</f>
        <v>-</v>
      </c>
    </row>
    <row r="45732" customHeight="1" spans="2:2">
      <c r="B45732" s="62" t="str">
        <f>IF(AND('领用录入（明细）'!D:D=$F$4,'领用录入（明细）'!C:C&gt;=$J$4,'领用录入（明细）'!C:C&lt;=$L$4),ROW(),"-")</f>
        <v>-</v>
      </c>
    </row>
    <row r="45733" customHeight="1" spans="2:2">
      <c r="B45733" s="62" t="str">
        <f>IF(AND('领用录入（明细）'!D:D=$F$4,'领用录入（明细）'!C:C&gt;=$J$4,'领用录入（明细）'!C:C&lt;=$L$4),ROW(),"-")</f>
        <v>-</v>
      </c>
    </row>
    <row r="45734" customHeight="1" spans="2:2">
      <c r="B45734" s="62" t="str">
        <f>IF(AND('领用录入（明细）'!D:D=$F$4,'领用录入（明细）'!C:C&gt;=$J$4,'领用录入（明细）'!C:C&lt;=$L$4),ROW(),"-")</f>
        <v>-</v>
      </c>
    </row>
    <row r="45735" customHeight="1" spans="2:2">
      <c r="B45735" s="62" t="str">
        <f>IF(AND('领用录入（明细）'!D:D=$F$4,'领用录入（明细）'!C:C&gt;=$J$4,'领用录入（明细）'!C:C&lt;=$L$4),ROW(),"-")</f>
        <v>-</v>
      </c>
    </row>
    <row r="45736" customHeight="1" spans="2:2">
      <c r="B45736" s="62" t="str">
        <f>IF(AND('领用录入（明细）'!D:D=$F$4,'领用录入（明细）'!C:C&gt;=$J$4,'领用录入（明细）'!C:C&lt;=$L$4),ROW(),"-")</f>
        <v>-</v>
      </c>
    </row>
    <row r="45737" customHeight="1" spans="2:2">
      <c r="B45737" s="62" t="str">
        <f>IF(AND('领用录入（明细）'!D:D=$F$4,'领用录入（明细）'!C:C&gt;=$J$4,'领用录入（明细）'!C:C&lt;=$L$4),ROW(),"-")</f>
        <v>-</v>
      </c>
    </row>
    <row r="45738" customHeight="1" spans="2:2">
      <c r="B45738" s="62" t="str">
        <f>IF(AND('领用录入（明细）'!D:D=$F$4,'领用录入（明细）'!C:C&gt;=$J$4,'领用录入（明细）'!C:C&lt;=$L$4),ROW(),"-")</f>
        <v>-</v>
      </c>
    </row>
    <row r="45739" customHeight="1" spans="2:2">
      <c r="B45739" s="62" t="str">
        <f>IF(AND('领用录入（明细）'!D:D=$F$4,'领用录入（明细）'!C:C&gt;=$J$4,'领用录入（明细）'!C:C&lt;=$L$4),ROW(),"-")</f>
        <v>-</v>
      </c>
    </row>
    <row r="45740" customHeight="1" spans="2:2">
      <c r="B45740" s="62" t="str">
        <f>IF(AND('领用录入（明细）'!D:D=$F$4,'领用录入（明细）'!C:C&gt;=$J$4,'领用录入（明细）'!C:C&lt;=$L$4),ROW(),"-")</f>
        <v>-</v>
      </c>
    </row>
    <row r="45741" customHeight="1" spans="2:2">
      <c r="B45741" s="62" t="str">
        <f>IF(AND('领用录入（明细）'!D:D=$F$4,'领用录入（明细）'!C:C&gt;=$J$4,'领用录入（明细）'!C:C&lt;=$L$4),ROW(),"-")</f>
        <v>-</v>
      </c>
    </row>
    <row r="45742" customHeight="1" spans="2:2">
      <c r="B45742" s="62" t="str">
        <f>IF(AND('领用录入（明细）'!D:D=$F$4,'领用录入（明细）'!C:C&gt;=$J$4,'领用录入（明细）'!C:C&lt;=$L$4),ROW(),"-")</f>
        <v>-</v>
      </c>
    </row>
    <row r="45743" customHeight="1" spans="2:2">
      <c r="B45743" s="62" t="str">
        <f>IF(AND('领用录入（明细）'!D:D=$F$4,'领用录入（明细）'!C:C&gt;=$J$4,'领用录入（明细）'!C:C&lt;=$L$4),ROW(),"-")</f>
        <v>-</v>
      </c>
    </row>
    <row r="45744" customHeight="1" spans="2:2">
      <c r="B45744" s="62" t="str">
        <f>IF(AND('领用录入（明细）'!D:D=$F$4,'领用录入（明细）'!C:C&gt;=$J$4,'领用录入（明细）'!C:C&lt;=$L$4),ROW(),"-")</f>
        <v>-</v>
      </c>
    </row>
    <row r="45745" customHeight="1" spans="2:2">
      <c r="B45745" s="62" t="str">
        <f>IF(AND('领用录入（明细）'!D:D=$F$4,'领用录入（明细）'!C:C&gt;=$J$4,'领用录入（明细）'!C:C&lt;=$L$4),ROW(),"-")</f>
        <v>-</v>
      </c>
    </row>
    <row r="45746" customHeight="1" spans="2:2">
      <c r="B45746" s="62" t="str">
        <f>IF(AND('领用录入（明细）'!D:D=$F$4,'领用录入（明细）'!C:C&gt;=$J$4,'领用录入（明细）'!C:C&lt;=$L$4),ROW(),"-")</f>
        <v>-</v>
      </c>
    </row>
    <row r="45747" customHeight="1" spans="2:2">
      <c r="B45747" s="62" t="str">
        <f>IF(AND('领用录入（明细）'!D:D=$F$4,'领用录入（明细）'!C:C&gt;=$J$4,'领用录入（明细）'!C:C&lt;=$L$4),ROW(),"-")</f>
        <v>-</v>
      </c>
    </row>
    <row r="45748" customHeight="1" spans="2:2">
      <c r="B45748" s="62" t="str">
        <f>IF(AND('领用录入（明细）'!D:D=$F$4,'领用录入（明细）'!C:C&gt;=$J$4,'领用录入（明细）'!C:C&lt;=$L$4),ROW(),"-")</f>
        <v>-</v>
      </c>
    </row>
    <row r="45749" customHeight="1" spans="2:2">
      <c r="B45749" s="62" t="str">
        <f>IF(AND('领用录入（明细）'!D:D=$F$4,'领用录入（明细）'!C:C&gt;=$J$4,'领用录入（明细）'!C:C&lt;=$L$4),ROW(),"-")</f>
        <v>-</v>
      </c>
    </row>
    <row r="45750" customHeight="1" spans="2:2">
      <c r="B45750" s="62" t="str">
        <f>IF(AND('领用录入（明细）'!D:D=$F$4,'领用录入（明细）'!C:C&gt;=$J$4,'领用录入（明细）'!C:C&lt;=$L$4),ROW(),"-")</f>
        <v>-</v>
      </c>
    </row>
    <row r="45751" customHeight="1" spans="2:2">
      <c r="B45751" s="62" t="str">
        <f>IF(AND('领用录入（明细）'!D:D=$F$4,'领用录入（明细）'!C:C&gt;=$J$4,'领用录入（明细）'!C:C&lt;=$L$4),ROW(),"-")</f>
        <v>-</v>
      </c>
    </row>
    <row r="45752" customHeight="1" spans="2:2">
      <c r="B45752" s="62" t="str">
        <f>IF(AND('领用录入（明细）'!D:D=$F$4,'领用录入（明细）'!C:C&gt;=$J$4,'领用录入（明细）'!C:C&lt;=$L$4),ROW(),"-")</f>
        <v>-</v>
      </c>
    </row>
    <row r="45753" customHeight="1" spans="2:2">
      <c r="B45753" s="62" t="str">
        <f>IF(AND('领用录入（明细）'!D:D=$F$4,'领用录入（明细）'!C:C&gt;=$J$4,'领用录入（明细）'!C:C&lt;=$L$4),ROW(),"-")</f>
        <v>-</v>
      </c>
    </row>
    <row r="45754" customHeight="1" spans="2:2">
      <c r="B45754" s="62" t="str">
        <f>IF(AND('领用录入（明细）'!D:D=$F$4,'领用录入（明细）'!C:C&gt;=$J$4,'领用录入（明细）'!C:C&lt;=$L$4),ROW(),"-")</f>
        <v>-</v>
      </c>
    </row>
    <row r="45755" customHeight="1" spans="2:2">
      <c r="B45755" s="62" t="str">
        <f>IF(AND('领用录入（明细）'!D:D=$F$4,'领用录入（明细）'!C:C&gt;=$J$4,'领用录入（明细）'!C:C&lt;=$L$4),ROW(),"-")</f>
        <v>-</v>
      </c>
    </row>
    <row r="45756" customHeight="1" spans="2:2">
      <c r="B45756" s="62" t="str">
        <f>IF(AND('领用录入（明细）'!D:D=$F$4,'领用录入（明细）'!C:C&gt;=$J$4,'领用录入（明细）'!C:C&lt;=$L$4),ROW(),"-")</f>
        <v>-</v>
      </c>
    </row>
    <row r="45757" customHeight="1" spans="2:2">
      <c r="B45757" s="62" t="str">
        <f>IF(AND('领用录入（明细）'!D:D=$F$4,'领用录入（明细）'!C:C&gt;=$J$4,'领用录入（明细）'!C:C&lt;=$L$4),ROW(),"-")</f>
        <v>-</v>
      </c>
    </row>
    <row r="45758" customHeight="1" spans="2:2">
      <c r="B45758" s="62" t="str">
        <f>IF(AND('领用录入（明细）'!D:D=$F$4,'领用录入（明细）'!C:C&gt;=$J$4,'领用录入（明细）'!C:C&lt;=$L$4),ROW(),"-")</f>
        <v>-</v>
      </c>
    </row>
    <row r="45759" customHeight="1" spans="2:2">
      <c r="B45759" s="62" t="str">
        <f>IF(AND('领用录入（明细）'!D:D=$F$4,'领用录入（明细）'!C:C&gt;=$J$4,'领用录入（明细）'!C:C&lt;=$L$4),ROW(),"-")</f>
        <v>-</v>
      </c>
    </row>
    <row r="45760" customHeight="1" spans="2:2">
      <c r="B45760" s="62" t="str">
        <f>IF(AND('领用录入（明细）'!D:D=$F$4,'领用录入（明细）'!C:C&gt;=$J$4,'领用录入（明细）'!C:C&lt;=$L$4),ROW(),"-")</f>
        <v>-</v>
      </c>
    </row>
    <row r="45761" customHeight="1" spans="2:2">
      <c r="B45761" s="62" t="str">
        <f>IF(AND('领用录入（明细）'!D:D=$F$4,'领用录入（明细）'!C:C&gt;=$J$4,'领用录入（明细）'!C:C&lt;=$L$4),ROW(),"-")</f>
        <v>-</v>
      </c>
    </row>
    <row r="45762" customHeight="1" spans="2:2">
      <c r="B45762" s="62" t="str">
        <f>IF(AND('领用录入（明细）'!D:D=$F$4,'领用录入（明细）'!C:C&gt;=$J$4,'领用录入（明细）'!C:C&lt;=$L$4),ROW(),"-")</f>
        <v>-</v>
      </c>
    </row>
    <row r="45763" customHeight="1" spans="2:2">
      <c r="B45763" s="62" t="str">
        <f>IF(AND('领用录入（明细）'!D:D=$F$4,'领用录入（明细）'!C:C&gt;=$J$4,'领用录入（明细）'!C:C&lt;=$L$4),ROW(),"-")</f>
        <v>-</v>
      </c>
    </row>
    <row r="45764" customHeight="1" spans="2:2">
      <c r="B45764" s="62" t="str">
        <f>IF(AND('领用录入（明细）'!D:D=$F$4,'领用录入（明细）'!C:C&gt;=$J$4,'领用录入（明细）'!C:C&lt;=$L$4),ROW(),"-")</f>
        <v>-</v>
      </c>
    </row>
    <row r="45765" customHeight="1" spans="2:2">
      <c r="B45765" s="62" t="str">
        <f>IF(AND('领用录入（明细）'!D:D=$F$4,'领用录入（明细）'!C:C&gt;=$J$4,'领用录入（明细）'!C:C&lt;=$L$4),ROW(),"-")</f>
        <v>-</v>
      </c>
    </row>
    <row r="45766" customHeight="1" spans="2:2">
      <c r="B45766" s="62" t="str">
        <f>IF(AND('领用录入（明细）'!D:D=$F$4,'领用录入（明细）'!C:C&gt;=$J$4,'领用录入（明细）'!C:C&lt;=$L$4),ROW(),"-")</f>
        <v>-</v>
      </c>
    </row>
    <row r="45767" customHeight="1" spans="2:2">
      <c r="B45767" s="62" t="str">
        <f>IF(AND('领用录入（明细）'!D:D=$F$4,'领用录入（明细）'!C:C&gt;=$J$4,'领用录入（明细）'!C:C&lt;=$L$4),ROW(),"-")</f>
        <v>-</v>
      </c>
    </row>
    <row r="45768" customHeight="1" spans="2:2">
      <c r="B45768" s="62" t="str">
        <f>IF(AND('领用录入（明细）'!D:D=$F$4,'领用录入（明细）'!C:C&gt;=$J$4,'领用录入（明细）'!C:C&lt;=$L$4),ROW(),"-")</f>
        <v>-</v>
      </c>
    </row>
    <row r="45769" customHeight="1" spans="2:2">
      <c r="B45769" s="62" t="str">
        <f>IF(AND('领用录入（明细）'!D:D=$F$4,'领用录入（明细）'!C:C&gt;=$J$4,'领用录入（明细）'!C:C&lt;=$L$4),ROW(),"-")</f>
        <v>-</v>
      </c>
    </row>
    <row r="45770" customHeight="1" spans="2:2">
      <c r="B45770" s="62" t="str">
        <f>IF(AND('领用录入（明细）'!D:D=$F$4,'领用录入（明细）'!C:C&gt;=$J$4,'领用录入（明细）'!C:C&lt;=$L$4),ROW(),"-")</f>
        <v>-</v>
      </c>
    </row>
    <row r="45771" customHeight="1" spans="2:2">
      <c r="B45771" s="62" t="str">
        <f>IF(AND('领用录入（明细）'!D:D=$F$4,'领用录入（明细）'!C:C&gt;=$J$4,'领用录入（明细）'!C:C&lt;=$L$4),ROW(),"-")</f>
        <v>-</v>
      </c>
    </row>
    <row r="45772" customHeight="1" spans="2:2">
      <c r="B45772" s="62" t="str">
        <f>IF(AND('领用录入（明细）'!D:D=$F$4,'领用录入（明细）'!C:C&gt;=$J$4,'领用录入（明细）'!C:C&lt;=$L$4),ROW(),"-")</f>
        <v>-</v>
      </c>
    </row>
    <row r="45773" customHeight="1" spans="2:2">
      <c r="B45773" s="62" t="str">
        <f>IF(AND('领用录入（明细）'!D:D=$F$4,'领用录入（明细）'!C:C&gt;=$J$4,'领用录入（明细）'!C:C&lt;=$L$4),ROW(),"-")</f>
        <v>-</v>
      </c>
    </row>
    <row r="45774" customHeight="1" spans="2:2">
      <c r="B45774" s="62" t="str">
        <f>IF(AND('领用录入（明细）'!D:D=$F$4,'领用录入（明细）'!C:C&gt;=$J$4,'领用录入（明细）'!C:C&lt;=$L$4),ROW(),"-")</f>
        <v>-</v>
      </c>
    </row>
    <row r="45775" customHeight="1" spans="2:2">
      <c r="B45775" s="62" t="str">
        <f>IF(AND('领用录入（明细）'!D:D=$F$4,'领用录入（明细）'!C:C&gt;=$J$4,'领用录入（明细）'!C:C&lt;=$L$4),ROW(),"-")</f>
        <v>-</v>
      </c>
    </row>
    <row r="45776" customHeight="1" spans="2:2">
      <c r="B45776" s="62" t="str">
        <f>IF(AND('领用录入（明细）'!D:D=$F$4,'领用录入（明细）'!C:C&gt;=$J$4,'领用录入（明细）'!C:C&lt;=$L$4),ROW(),"-")</f>
        <v>-</v>
      </c>
    </row>
    <row r="45777" customHeight="1" spans="2:2">
      <c r="B45777" s="62" t="str">
        <f>IF(AND('领用录入（明细）'!D:D=$F$4,'领用录入（明细）'!C:C&gt;=$J$4,'领用录入（明细）'!C:C&lt;=$L$4),ROW(),"-")</f>
        <v>-</v>
      </c>
    </row>
    <row r="45778" customHeight="1" spans="2:2">
      <c r="B45778" s="62" t="str">
        <f>IF(AND('领用录入（明细）'!D:D=$F$4,'领用录入（明细）'!C:C&gt;=$J$4,'领用录入（明细）'!C:C&lt;=$L$4),ROW(),"-")</f>
        <v>-</v>
      </c>
    </row>
    <row r="45779" customHeight="1" spans="2:2">
      <c r="B45779" s="62" t="str">
        <f>IF(AND('领用录入（明细）'!D:D=$F$4,'领用录入（明细）'!C:C&gt;=$J$4,'领用录入（明细）'!C:C&lt;=$L$4),ROW(),"-")</f>
        <v>-</v>
      </c>
    </row>
    <row r="45780" customHeight="1" spans="2:2">
      <c r="B45780" s="62" t="str">
        <f>IF(AND('领用录入（明细）'!D:D=$F$4,'领用录入（明细）'!C:C&gt;=$J$4,'领用录入（明细）'!C:C&lt;=$L$4),ROW(),"-")</f>
        <v>-</v>
      </c>
    </row>
    <row r="45781" customHeight="1" spans="2:2">
      <c r="B45781" s="62" t="str">
        <f>IF(AND('领用录入（明细）'!D:D=$F$4,'领用录入（明细）'!C:C&gt;=$J$4,'领用录入（明细）'!C:C&lt;=$L$4),ROW(),"-")</f>
        <v>-</v>
      </c>
    </row>
    <row r="45782" customHeight="1" spans="2:2">
      <c r="B45782" s="62" t="str">
        <f>IF(AND('领用录入（明细）'!D:D=$F$4,'领用录入（明细）'!C:C&gt;=$J$4,'领用录入（明细）'!C:C&lt;=$L$4),ROW(),"-")</f>
        <v>-</v>
      </c>
    </row>
    <row r="45783" customHeight="1" spans="2:2">
      <c r="B45783" s="62" t="str">
        <f>IF(AND('领用录入（明细）'!D:D=$F$4,'领用录入（明细）'!C:C&gt;=$J$4,'领用录入（明细）'!C:C&lt;=$L$4),ROW(),"-")</f>
        <v>-</v>
      </c>
    </row>
    <row r="45784" customHeight="1" spans="2:2">
      <c r="B45784" s="62" t="str">
        <f>IF(AND('领用录入（明细）'!D:D=$F$4,'领用录入（明细）'!C:C&gt;=$J$4,'领用录入（明细）'!C:C&lt;=$L$4),ROW(),"-")</f>
        <v>-</v>
      </c>
    </row>
    <row r="45785" customHeight="1" spans="2:2">
      <c r="B45785" s="62" t="str">
        <f>IF(AND('领用录入（明细）'!D:D=$F$4,'领用录入（明细）'!C:C&gt;=$J$4,'领用录入（明细）'!C:C&lt;=$L$4),ROW(),"-")</f>
        <v>-</v>
      </c>
    </row>
    <row r="45786" customHeight="1" spans="2:2">
      <c r="B45786" s="62" t="str">
        <f>IF(AND('领用录入（明细）'!D:D=$F$4,'领用录入（明细）'!C:C&gt;=$J$4,'领用录入（明细）'!C:C&lt;=$L$4),ROW(),"-")</f>
        <v>-</v>
      </c>
    </row>
    <row r="45787" customHeight="1" spans="2:2">
      <c r="B45787" s="62" t="str">
        <f>IF(AND('领用录入（明细）'!D:D=$F$4,'领用录入（明细）'!C:C&gt;=$J$4,'领用录入（明细）'!C:C&lt;=$L$4),ROW(),"-")</f>
        <v>-</v>
      </c>
    </row>
    <row r="45788" customHeight="1" spans="2:2">
      <c r="B45788" s="62" t="str">
        <f>IF(AND('领用录入（明细）'!D:D=$F$4,'领用录入（明细）'!C:C&gt;=$J$4,'领用录入（明细）'!C:C&lt;=$L$4),ROW(),"-")</f>
        <v>-</v>
      </c>
    </row>
    <row r="45789" customHeight="1" spans="2:2">
      <c r="B45789" s="62" t="str">
        <f>IF(AND('领用录入（明细）'!D:D=$F$4,'领用录入（明细）'!C:C&gt;=$J$4,'领用录入（明细）'!C:C&lt;=$L$4),ROW(),"-")</f>
        <v>-</v>
      </c>
    </row>
    <row r="45790" customHeight="1" spans="2:2">
      <c r="B45790" s="62" t="str">
        <f>IF(AND('领用录入（明细）'!D:D=$F$4,'领用录入（明细）'!C:C&gt;=$J$4,'领用录入（明细）'!C:C&lt;=$L$4),ROW(),"-")</f>
        <v>-</v>
      </c>
    </row>
    <row r="45791" customHeight="1" spans="2:2">
      <c r="B45791" s="62" t="str">
        <f>IF(AND('领用录入（明细）'!D:D=$F$4,'领用录入（明细）'!C:C&gt;=$J$4,'领用录入（明细）'!C:C&lt;=$L$4),ROW(),"-")</f>
        <v>-</v>
      </c>
    </row>
    <row r="45792" customHeight="1" spans="2:2">
      <c r="B45792" s="62" t="str">
        <f>IF(AND('领用录入（明细）'!D:D=$F$4,'领用录入（明细）'!C:C&gt;=$J$4,'领用录入（明细）'!C:C&lt;=$L$4),ROW(),"-")</f>
        <v>-</v>
      </c>
    </row>
    <row r="45793" customHeight="1" spans="2:2">
      <c r="B45793" s="62" t="str">
        <f>IF(AND('领用录入（明细）'!D:D=$F$4,'领用录入（明细）'!C:C&gt;=$J$4,'领用录入（明细）'!C:C&lt;=$L$4),ROW(),"-")</f>
        <v>-</v>
      </c>
    </row>
    <row r="45794" customHeight="1" spans="2:2">
      <c r="B45794" s="62" t="str">
        <f>IF(AND('领用录入（明细）'!D:D=$F$4,'领用录入（明细）'!C:C&gt;=$J$4,'领用录入（明细）'!C:C&lt;=$L$4),ROW(),"-")</f>
        <v>-</v>
      </c>
    </row>
    <row r="45795" customHeight="1" spans="2:2">
      <c r="B45795" s="62" t="str">
        <f>IF(AND('领用录入（明细）'!D:D=$F$4,'领用录入（明细）'!C:C&gt;=$J$4,'领用录入（明细）'!C:C&lt;=$L$4),ROW(),"-")</f>
        <v>-</v>
      </c>
    </row>
    <row r="45796" customHeight="1" spans="2:2">
      <c r="B45796" s="62" t="str">
        <f>IF(AND('领用录入（明细）'!D:D=$F$4,'领用录入（明细）'!C:C&gt;=$J$4,'领用录入（明细）'!C:C&lt;=$L$4),ROW(),"-")</f>
        <v>-</v>
      </c>
    </row>
    <row r="45797" customHeight="1" spans="2:2">
      <c r="B45797" s="62" t="str">
        <f>IF(AND('领用录入（明细）'!D:D=$F$4,'领用录入（明细）'!C:C&gt;=$J$4,'领用录入（明细）'!C:C&lt;=$L$4),ROW(),"-")</f>
        <v>-</v>
      </c>
    </row>
    <row r="45798" customHeight="1" spans="2:2">
      <c r="B45798" s="62" t="str">
        <f>IF(AND('领用录入（明细）'!D:D=$F$4,'领用录入（明细）'!C:C&gt;=$J$4,'领用录入（明细）'!C:C&lt;=$L$4),ROW(),"-")</f>
        <v>-</v>
      </c>
    </row>
    <row r="45799" customHeight="1" spans="2:2">
      <c r="B45799" s="62" t="str">
        <f>IF(AND('领用录入（明细）'!D:D=$F$4,'领用录入（明细）'!C:C&gt;=$J$4,'领用录入（明细）'!C:C&lt;=$L$4),ROW(),"-")</f>
        <v>-</v>
      </c>
    </row>
    <row r="45800" customHeight="1" spans="2:2">
      <c r="B45800" s="62" t="str">
        <f>IF(AND('领用录入（明细）'!D:D=$F$4,'领用录入（明细）'!C:C&gt;=$J$4,'领用录入（明细）'!C:C&lt;=$L$4),ROW(),"-")</f>
        <v>-</v>
      </c>
    </row>
    <row r="45801" customHeight="1" spans="2:2">
      <c r="B45801" s="62" t="str">
        <f>IF(AND('领用录入（明细）'!D:D=$F$4,'领用录入（明细）'!C:C&gt;=$J$4,'领用录入（明细）'!C:C&lt;=$L$4),ROW(),"-")</f>
        <v>-</v>
      </c>
    </row>
    <row r="45802" customHeight="1" spans="2:2">
      <c r="B45802" s="62" t="str">
        <f>IF(AND('领用录入（明细）'!D:D=$F$4,'领用录入（明细）'!C:C&gt;=$J$4,'领用录入（明细）'!C:C&lt;=$L$4),ROW(),"-")</f>
        <v>-</v>
      </c>
    </row>
    <row r="45803" customHeight="1" spans="2:2">
      <c r="B45803" s="62" t="str">
        <f>IF(AND('领用录入（明细）'!D:D=$F$4,'领用录入（明细）'!C:C&gt;=$J$4,'领用录入（明细）'!C:C&lt;=$L$4),ROW(),"-")</f>
        <v>-</v>
      </c>
    </row>
    <row r="45804" customHeight="1" spans="2:2">
      <c r="B45804" s="62" t="str">
        <f>IF(AND('领用录入（明细）'!D:D=$F$4,'领用录入（明细）'!C:C&gt;=$J$4,'领用录入（明细）'!C:C&lt;=$L$4),ROW(),"-")</f>
        <v>-</v>
      </c>
    </row>
    <row r="45805" customHeight="1" spans="2:2">
      <c r="B45805" s="62" t="str">
        <f>IF(AND('领用录入（明细）'!D:D=$F$4,'领用录入（明细）'!C:C&gt;=$J$4,'领用录入（明细）'!C:C&lt;=$L$4),ROW(),"-")</f>
        <v>-</v>
      </c>
    </row>
    <row r="45806" customHeight="1" spans="2:2">
      <c r="B45806" s="62" t="str">
        <f>IF(AND('领用录入（明细）'!D:D=$F$4,'领用录入（明细）'!C:C&gt;=$J$4,'领用录入（明细）'!C:C&lt;=$L$4),ROW(),"-")</f>
        <v>-</v>
      </c>
    </row>
    <row r="45807" customHeight="1" spans="2:2">
      <c r="B45807" s="62" t="str">
        <f>IF(AND('领用录入（明细）'!D:D=$F$4,'领用录入（明细）'!C:C&gt;=$J$4,'领用录入（明细）'!C:C&lt;=$L$4),ROW(),"-")</f>
        <v>-</v>
      </c>
    </row>
    <row r="45808" customHeight="1" spans="2:2">
      <c r="B45808" s="62" t="str">
        <f>IF(AND('领用录入（明细）'!D:D=$F$4,'领用录入（明细）'!C:C&gt;=$J$4,'领用录入（明细）'!C:C&lt;=$L$4),ROW(),"-")</f>
        <v>-</v>
      </c>
    </row>
    <row r="45809" customHeight="1" spans="2:2">
      <c r="B45809" s="62" t="str">
        <f>IF(AND('领用录入（明细）'!D:D=$F$4,'领用录入（明细）'!C:C&gt;=$J$4,'领用录入（明细）'!C:C&lt;=$L$4),ROW(),"-")</f>
        <v>-</v>
      </c>
    </row>
    <row r="45810" customHeight="1" spans="2:2">
      <c r="B45810" s="62" t="str">
        <f>IF(AND('领用录入（明细）'!D:D=$F$4,'领用录入（明细）'!C:C&gt;=$J$4,'领用录入（明细）'!C:C&lt;=$L$4),ROW(),"-")</f>
        <v>-</v>
      </c>
    </row>
    <row r="45811" customHeight="1" spans="2:2">
      <c r="B45811" s="62" t="str">
        <f>IF(AND('领用录入（明细）'!D:D=$F$4,'领用录入（明细）'!C:C&gt;=$J$4,'领用录入（明细）'!C:C&lt;=$L$4),ROW(),"-")</f>
        <v>-</v>
      </c>
    </row>
    <row r="45812" customHeight="1" spans="2:2">
      <c r="B45812" s="62" t="str">
        <f>IF(AND('领用录入（明细）'!D:D=$F$4,'领用录入（明细）'!C:C&gt;=$J$4,'领用录入（明细）'!C:C&lt;=$L$4),ROW(),"-")</f>
        <v>-</v>
      </c>
    </row>
    <row r="45813" customHeight="1" spans="2:2">
      <c r="B45813" s="62" t="str">
        <f>IF(AND('领用录入（明细）'!D:D=$F$4,'领用录入（明细）'!C:C&gt;=$J$4,'领用录入（明细）'!C:C&lt;=$L$4),ROW(),"-")</f>
        <v>-</v>
      </c>
    </row>
    <row r="45814" customHeight="1" spans="2:2">
      <c r="B45814" s="62" t="str">
        <f>IF(AND('领用录入（明细）'!D:D=$F$4,'领用录入（明细）'!C:C&gt;=$J$4,'领用录入（明细）'!C:C&lt;=$L$4),ROW(),"-")</f>
        <v>-</v>
      </c>
    </row>
    <row r="45815" customHeight="1" spans="2:2">
      <c r="B45815" s="62" t="str">
        <f>IF(AND('领用录入（明细）'!D:D=$F$4,'领用录入（明细）'!C:C&gt;=$J$4,'领用录入（明细）'!C:C&lt;=$L$4),ROW(),"-")</f>
        <v>-</v>
      </c>
    </row>
    <row r="45816" customHeight="1" spans="2:2">
      <c r="B45816" s="62" t="str">
        <f>IF(AND('领用录入（明细）'!D:D=$F$4,'领用录入（明细）'!C:C&gt;=$J$4,'领用录入（明细）'!C:C&lt;=$L$4),ROW(),"-")</f>
        <v>-</v>
      </c>
    </row>
    <row r="45817" customHeight="1" spans="2:2">
      <c r="B45817" s="62" t="str">
        <f>IF(AND('领用录入（明细）'!D:D=$F$4,'领用录入（明细）'!C:C&gt;=$J$4,'领用录入（明细）'!C:C&lt;=$L$4),ROW(),"-")</f>
        <v>-</v>
      </c>
    </row>
    <row r="45818" customHeight="1" spans="2:2">
      <c r="B45818" s="62" t="str">
        <f>IF(AND('领用录入（明细）'!D:D=$F$4,'领用录入（明细）'!C:C&gt;=$J$4,'领用录入（明细）'!C:C&lt;=$L$4),ROW(),"-")</f>
        <v>-</v>
      </c>
    </row>
    <row r="45819" customHeight="1" spans="2:2">
      <c r="B45819" s="62" t="str">
        <f>IF(AND('领用录入（明细）'!D:D=$F$4,'领用录入（明细）'!C:C&gt;=$J$4,'领用录入（明细）'!C:C&lt;=$L$4),ROW(),"-")</f>
        <v>-</v>
      </c>
    </row>
    <row r="45820" customHeight="1" spans="2:2">
      <c r="B45820" s="62" t="str">
        <f>IF(AND('领用录入（明细）'!D:D=$F$4,'领用录入（明细）'!C:C&gt;=$J$4,'领用录入（明细）'!C:C&lt;=$L$4),ROW(),"-")</f>
        <v>-</v>
      </c>
    </row>
    <row r="45821" customHeight="1" spans="2:2">
      <c r="B45821" s="62" t="str">
        <f>IF(AND('领用录入（明细）'!D:D=$F$4,'领用录入（明细）'!C:C&gt;=$J$4,'领用录入（明细）'!C:C&lt;=$L$4),ROW(),"-")</f>
        <v>-</v>
      </c>
    </row>
    <row r="45822" customHeight="1" spans="2:2">
      <c r="B45822" s="62" t="str">
        <f>IF(AND('领用录入（明细）'!D:D=$F$4,'领用录入（明细）'!C:C&gt;=$J$4,'领用录入（明细）'!C:C&lt;=$L$4),ROW(),"-")</f>
        <v>-</v>
      </c>
    </row>
    <row r="45823" customHeight="1" spans="2:2">
      <c r="B45823" s="62" t="str">
        <f>IF(AND('领用录入（明细）'!D:D=$F$4,'领用录入（明细）'!C:C&gt;=$J$4,'领用录入（明细）'!C:C&lt;=$L$4),ROW(),"-")</f>
        <v>-</v>
      </c>
    </row>
    <row r="45824" customHeight="1" spans="2:2">
      <c r="B45824" s="62" t="str">
        <f>IF(AND('领用录入（明细）'!D:D=$F$4,'领用录入（明细）'!C:C&gt;=$J$4,'领用录入（明细）'!C:C&lt;=$L$4),ROW(),"-")</f>
        <v>-</v>
      </c>
    </row>
    <row r="45825" customHeight="1" spans="2:2">
      <c r="B45825" s="62" t="str">
        <f>IF(AND('领用录入（明细）'!D:D=$F$4,'领用录入（明细）'!C:C&gt;=$J$4,'领用录入（明细）'!C:C&lt;=$L$4),ROW(),"-")</f>
        <v>-</v>
      </c>
    </row>
    <row r="45826" customHeight="1" spans="2:2">
      <c r="B45826" s="62" t="str">
        <f>IF(AND('领用录入（明细）'!D:D=$F$4,'领用录入（明细）'!C:C&gt;=$J$4,'领用录入（明细）'!C:C&lt;=$L$4),ROW(),"-")</f>
        <v>-</v>
      </c>
    </row>
    <row r="45827" customHeight="1" spans="2:2">
      <c r="B45827" s="62" t="str">
        <f>IF(AND('领用录入（明细）'!D:D=$F$4,'领用录入（明细）'!C:C&gt;=$J$4,'领用录入（明细）'!C:C&lt;=$L$4),ROW(),"-")</f>
        <v>-</v>
      </c>
    </row>
    <row r="45828" customHeight="1" spans="2:2">
      <c r="B45828" s="62" t="str">
        <f>IF(AND('领用录入（明细）'!D:D=$F$4,'领用录入（明细）'!C:C&gt;=$J$4,'领用录入（明细）'!C:C&lt;=$L$4),ROW(),"-")</f>
        <v>-</v>
      </c>
    </row>
    <row r="45829" customHeight="1" spans="2:2">
      <c r="B45829" s="62" t="str">
        <f>IF(AND('领用录入（明细）'!D:D=$F$4,'领用录入（明细）'!C:C&gt;=$J$4,'领用录入（明细）'!C:C&lt;=$L$4),ROW(),"-")</f>
        <v>-</v>
      </c>
    </row>
    <row r="45830" customHeight="1" spans="2:2">
      <c r="B45830" s="62" t="str">
        <f>IF(AND('领用录入（明细）'!D:D=$F$4,'领用录入（明细）'!C:C&gt;=$J$4,'领用录入（明细）'!C:C&lt;=$L$4),ROW(),"-")</f>
        <v>-</v>
      </c>
    </row>
    <row r="45831" customHeight="1" spans="2:2">
      <c r="B45831" s="62" t="str">
        <f>IF(AND('领用录入（明细）'!D:D=$F$4,'领用录入（明细）'!C:C&gt;=$J$4,'领用录入（明细）'!C:C&lt;=$L$4),ROW(),"-")</f>
        <v>-</v>
      </c>
    </row>
    <row r="45832" customHeight="1" spans="2:2">
      <c r="B45832" s="62" t="str">
        <f>IF(AND('领用录入（明细）'!D:D=$F$4,'领用录入（明细）'!C:C&gt;=$J$4,'领用录入（明细）'!C:C&lt;=$L$4),ROW(),"-")</f>
        <v>-</v>
      </c>
    </row>
    <row r="45833" customHeight="1" spans="2:2">
      <c r="B45833" s="62" t="str">
        <f>IF(AND('领用录入（明细）'!D:D=$F$4,'领用录入（明细）'!C:C&gt;=$J$4,'领用录入（明细）'!C:C&lt;=$L$4),ROW(),"-")</f>
        <v>-</v>
      </c>
    </row>
    <row r="45834" customHeight="1" spans="2:2">
      <c r="B45834" s="62" t="str">
        <f>IF(AND('领用录入（明细）'!D:D=$F$4,'领用录入（明细）'!C:C&gt;=$J$4,'领用录入（明细）'!C:C&lt;=$L$4),ROW(),"-")</f>
        <v>-</v>
      </c>
    </row>
    <row r="45835" customHeight="1" spans="2:2">
      <c r="B45835" s="62" t="str">
        <f>IF(AND('领用录入（明细）'!D:D=$F$4,'领用录入（明细）'!C:C&gt;=$J$4,'领用录入（明细）'!C:C&lt;=$L$4),ROW(),"-")</f>
        <v>-</v>
      </c>
    </row>
    <row r="45836" customHeight="1" spans="2:2">
      <c r="B45836" s="62" t="str">
        <f>IF(AND('领用录入（明细）'!D:D=$F$4,'领用录入（明细）'!C:C&gt;=$J$4,'领用录入（明细）'!C:C&lt;=$L$4),ROW(),"-")</f>
        <v>-</v>
      </c>
    </row>
    <row r="45837" customHeight="1" spans="2:2">
      <c r="B45837" s="62" t="str">
        <f>IF(AND('领用录入（明细）'!D:D=$F$4,'领用录入（明细）'!C:C&gt;=$J$4,'领用录入（明细）'!C:C&lt;=$L$4),ROW(),"-")</f>
        <v>-</v>
      </c>
    </row>
    <row r="45838" customHeight="1" spans="2:2">
      <c r="B45838" s="62" t="str">
        <f>IF(AND('领用录入（明细）'!D:D=$F$4,'领用录入（明细）'!C:C&gt;=$J$4,'领用录入（明细）'!C:C&lt;=$L$4),ROW(),"-")</f>
        <v>-</v>
      </c>
    </row>
    <row r="45839" customHeight="1" spans="2:2">
      <c r="B45839" s="62" t="str">
        <f>IF(AND('领用录入（明细）'!D:D=$F$4,'领用录入（明细）'!C:C&gt;=$J$4,'领用录入（明细）'!C:C&lt;=$L$4),ROW(),"-")</f>
        <v>-</v>
      </c>
    </row>
    <row r="45840" customHeight="1" spans="2:2">
      <c r="B45840" s="62" t="str">
        <f>IF(AND('领用录入（明细）'!D:D=$F$4,'领用录入（明细）'!C:C&gt;=$J$4,'领用录入（明细）'!C:C&lt;=$L$4),ROW(),"-")</f>
        <v>-</v>
      </c>
    </row>
    <row r="45841" customHeight="1" spans="2:2">
      <c r="B45841" s="62" t="str">
        <f>IF(AND('领用录入（明细）'!D:D=$F$4,'领用录入（明细）'!C:C&gt;=$J$4,'领用录入（明细）'!C:C&lt;=$L$4),ROW(),"-")</f>
        <v>-</v>
      </c>
    </row>
    <row r="45842" customHeight="1" spans="2:2">
      <c r="B45842" s="62" t="str">
        <f>IF(AND('领用录入（明细）'!D:D=$F$4,'领用录入（明细）'!C:C&gt;=$J$4,'领用录入（明细）'!C:C&lt;=$L$4),ROW(),"-")</f>
        <v>-</v>
      </c>
    </row>
    <row r="45843" customHeight="1" spans="2:2">
      <c r="B45843" s="62" t="str">
        <f>IF(AND('领用录入（明细）'!D:D=$F$4,'领用录入（明细）'!C:C&gt;=$J$4,'领用录入（明细）'!C:C&lt;=$L$4),ROW(),"-")</f>
        <v>-</v>
      </c>
    </row>
    <row r="45844" customHeight="1" spans="2:2">
      <c r="B45844" s="62" t="str">
        <f>IF(AND('领用录入（明细）'!D:D=$F$4,'领用录入（明细）'!C:C&gt;=$J$4,'领用录入（明细）'!C:C&lt;=$L$4),ROW(),"-")</f>
        <v>-</v>
      </c>
    </row>
    <row r="45845" customHeight="1" spans="2:2">
      <c r="B45845" s="62" t="str">
        <f>IF(AND('领用录入（明细）'!D:D=$F$4,'领用录入（明细）'!C:C&gt;=$J$4,'领用录入（明细）'!C:C&lt;=$L$4),ROW(),"-")</f>
        <v>-</v>
      </c>
    </row>
    <row r="45846" customHeight="1" spans="2:2">
      <c r="B45846" s="62" t="str">
        <f>IF(AND('领用录入（明细）'!D:D=$F$4,'领用录入（明细）'!C:C&gt;=$J$4,'领用录入（明细）'!C:C&lt;=$L$4),ROW(),"-")</f>
        <v>-</v>
      </c>
    </row>
    <row r="45847" customHeight="1" spans="2:2">
      <c r="B45847" s="62" t="str">
        <f>IF(AND('领用录入（明细）'!D:D=$F$4,'领用录入（明细）'!C:C&gt;=$J$4,'领用录入（明细）'!C:C&lt;=$L$4),ROW(),"-")</f>
        <v>-</v>
      </c>
    </row>
    <row r="45848" customHeight="1" spans="2:2">
      <c r="B45848" s="62" t="str">
        <f>IF(AND('领用录入（明细）'!D:D=$F$4,'领用录入（明细）'!C:C&gt;=$J$4,'领用录入（明细）'!C:C&lt;=$L$4),ROW(),"-")</f>
        <v>-</v>
      </c>
    </row>
    <row r="45849" customHeight="1" spans="2:2">
      <c r="B45849" s="62" t="str">
        <f>IF(AND('领用录入（明细）'!D:D=$F$4,'领用录入（明细）'!C:C&gt;=$J$4,'领用录入（明细）'!C:C&lt;=$L$4),ROW(),"-")</f>
        <v>-</v>
      </c>
    </row>
    <row r="45850" customHeight="1" spans="2:2">
      <c r="B45850" s="62" t="str">
        <f>IF(AND('领用录入（明细）'!D:D=$F$4,'领用录入（明细）'!C:C&gt;=$J$4,'领用录入（明细）'!C:C&lt;=$L$4),ROW(),"-")</f>
        <v>-</v>
      </c>
    </row>
    <row r="45851" customHeight="1" spans="2:2">
      <c r="B45851" s="62" t="str">
        <f>IF(AND('领用录入（明细）'!D:D=$F$4,'领用录入（明细）'!C:C&gt;=$J$4,'领用录入（明细）'!C:C&lt;=$L$4),ROW(),"-")</f>
        <v>-</v>
      </c>
    </row>
    <row r="45852" customHeight="1" spans="2:2">
      <c r="B45852" s="62" t="str">
        <f>IF(AND('领用录入（明细）'!D:D=$F$4,'领用录入（明细）'!C:C&gt;=$J$4,'领用录入（明细）'!C:C&lt;=$L$4),ROW(),"-")</f>
        <v>-</v>
      </c>
    </row>
    <row r="45853" customHeight="1" spans="2:2">
      <c r="B45853" s="62" t="str">
        <f>IF(AND('领用录入（明细）'!D:D=$F$4,'领用录入（明细）'!C:C&gt;=$J$4,'领用录入（明细）'!C:C&lt;=$L$4),ROW(),"-")</f>
        <v>-</v>
      </c>
    </row>
    <row r="45854" customHeight="1" spans="2:2">
      <c r="B45854" s="62" t="str">
        <f>IF(AND('领用录入（明细）'!D:D=$F$4,'领用录入（明细）'!C:C&gt;=$J$4,'领用录入（明细）'!C:C&lt;=$L$4),ROW(),"-")</f>
        <v>-</v>
      </c>
    </row>
    <row r="45855" customHeight="1" spans="2:2">
      <c r="B45855" s="62" t="str">
        <f>IF(AND('领用录入（明细）'!D:D=$F$4,'领用录入（明细）'!C:C&gt;=$J$4,'领用录入（明细）'!C:C&lt;=$L$4),ROW(),"-")</f>
        <v>-</v>
      </c>
    </row>
    <row r="45856" customHeight="1" spans="2:2">
      <c r="B45856" s="62" t="str">
        <f>IF(AND('领用录入（明细）'!D:D=$F$4,'领用录入（明细）'!C:C&gt;=$J$4,'领用录入（明细）'!C:C&lt;=$L$4),ROW(),"-")</f>
        <v>-</v>
      </c>
    </row>
    <row r="45857" customHeight="1" spans="2:2">
      <c r="B45857" s="62" t="str">
        <f>IF(AND('领用录入（明细）'!D:D=$F$4,'领用录入（明细）'!C:C&gt;=$J$4,'领用录入（明细）'!C:C&lt;=$L$4),ROW(),"-")</f>
        <v>-</v>
      </c>
    </row>
    <row r="45858" customHeight="1" spans="2:2">
      <c r="B45858" s="62" t="str">
        <f>IF(AND('领用录入（明细）'!D:D=$F$4,'领用录入（明细）'!C:C&gt;=$J$4,'领用录入（明细）'!C:C&lt;=$L$4),ROW(),"-")</f>
        <v>-</v>
      </c>
    </row>
    <row r="45859" customHeight="1" spans="2:2">
      <c r="B45859" s="62" t="str">
        <f>IF(AND('领用录入（明细）'!D:D=$F$4,'领用录入（明细）'!C:C&gt;=$J$4,'领用录入（明细）'!C:C&lt;=$L$4),ROW(),"-")</f>
        <v>-</v>
      </c>
    </row>
    <row r="45860" customHeight="1" spans="2:2">
      <c r="B45860" s="62" t="str">
        <f>IF(AND('领用录入（明细）'!D:D=$F$4,'领用录入（明细）'!C:C&gt;=$J$4,'领用录入（明细）'!C:C&lt;=$L$4),ROW(),"-")</f>
        <v>-</v>
      </c>
    </row>
    <row r="45861" customHeight="1" spans="2:2">
      <c r="B45861" s="62" t="str">
        <f>IF(AND('领用录入（明细）'!D:D=$F$4,'领用录入（明细）'!C:C&gt;=$J$4,'领用录入（明细）'!C:C&lt;=$L$4),ROW(),"-")</f>
        <v>-</v>
      </c>
    </row>
    <row r="45862" customHeight="1" spans="2:2">
      <c r="B45862" s="62" t="str">
        <f>IF(AND('领用录入（明细）'!D:D=$F$4,'领用录入（明细）'!C:C&gt;=$J$4,'领用录入（明细）'!C:C&lt;=$L$4),ROW(),"-")</f>
        <v>-</v>
      </c>
    </row>
    <row r="45863" customHeight="1" spans="2:2">
      <c r="B45863" s="62" t="str">
        <f>IF(AND('领用录入（明细）'!D:D=$F$4,'领用录入（明细）'!C:C&gt;=$J$4,'领用录入（明细）'!C:C&lt;=$L$4),ROW(),"-")</f>
        <v>-</v>
      </c>
    </row>
    <row r="45864" customHeight="1" spans="2:2">
      <c r="B45864" s="62" t="str">
        <f>IF(AND('领用录入（明细）'!D:D=$F$4,'领用录入（明细）'!C:C&gt;=$J$4,'领用录入（明细）'!C:C&lt;=$L$4),ROW(),"-")</f>
        <v>-</v>
      </c>
    </row>
    <row r="45865" customHeight="1" spans="2:2">
      <c r="B45865" s="62" t="str">
        <f>IF(AND('领用录入（明细）'!D:D=$F$4,'领用录入（明细）'!C:C&gt;=$J$4,'领用录入（明细）'!C:C&lt;=$L$4),ROW(),"-")</f>
        <v>-</v>
      </c>
    </row>
    <row r="45866" customHeight="1" spans="2:2">
      <c r="B45866" s="62" t="str">
        <f>IF(AND('领用录入（明细）'!D:D=$F$4,'领用录入（明细）'!C:C&gt;=$J$4,'领用录入（明细）'!C:C&lt;=$L$4),ROW(),"-")</f>
        <v>-</v>
      </c>
    </row>
    <row r="45867" customHeight="1" spans="2:2">
      <c r="B45867" s="62" t="str">
        <f>IF(AND('领用录入（明细）'!D:D=$F$4,'领用录入（明细）'!C:C&gt;=$J$4,'领用录入（明细）'!C:C&lt;=$L$4),ROW(),"-")</f>
        <v>-</v>
      </c>
    </row>
    <row r="45868" customHeight="1" spans="2:2">
      <c r="B45868" s="62" t="str">
        <f>IF(AND('领用录入（明细）'!D:D=$F$4,'领用录入（明细）'!C:C&gt;=$J$4,'领用录入（明细）'!C:C&lt;=$L$4),ROW(),"-")</f>
        <v>-</v>
      </c>
    </row>
    <row r="45869" customHeight="1" spans="2:2">
      <c r="B45869" s="62" t="str">
        <f>IF(AND('领用录入（明细）'!D:D=$F$4,'领用录入（明细）'!C:C&gt;=$J$4,'领用录入（明细）'!C:C&lt;=$L$4),ROW(),"-")</f>
        <v>-</v>
      </c>
    </row>
    <row r="45870" customHeight="1" spans="2:2">
      <c r="B45870" s="62" t="str">
        <f>IF(AND('领用录入（明细）'!D:D=$F$4,'领用录入（明细）'!C:C&gt;=$J$4,'领用录入（明细）'!C:C&lt;=$L$4),ROW(),"-")</f>
        <v>-</v>
      </c>
    </row>
    <row r="45871" customHeight="1" spans="2:2">
      <c r="B45871" s="62" t="str">
        <f>IF(AND('领用录入（明细）'!D:D=$F$4,'领用录入（明细）'!C:C&gt;=$J$4,'领用录入（明细）'!C:C&lt;=$L$4),ROW(),"-")</f>
        <v>-</v>
      </c>
    </row>
    <row r="45872" customHeight="1" spans="2:2">
      <c r="B45872" s="62" t="str">
        <f>IF(AND('领用录入（明细）'!D:D=$F$4,'领用录入（明细）'!C:C&gt;=$J$4,'领用录入（明细）'!C:C&lt;=$L$4),ROW(),"-")</f>
        <v>-</v>
      </c>
    </row>
    <row r="45873" customHeight="1" spans="2:2">
      <c r="B45873" s="62" t="str">
        <f>IF(AND('领用录入（明细）'!D:D=$F$4,'领用录入（明细）'!C:C&gt;=$J$4,'领用录入（明细）'!C:C&lt;=$L$4),ROW(),"-")</f>
        <v>-</v>
      </c>
    </row>
    <row r="45874" customHeight="1" spans="2:2">
      <c r="B45874" s="62" t="str">
        <f>IF(AND('领用录入（明细）'!D:D=$F$4,'领用录入（明细）'!C:C&gt;=$J$4,'领用录入（明细）'!C:C&lt;=$L$4),ROW(),"-")</f>
        <v>-</v>
      </c>
    </row>
    <row r="45875" customHeight="1" spans="2:2">
      <c r="B45875" s="62" t="str">
        <f>IF(AND('领用录入（明细）'!D:D=$F$4,'领用录入（明细）'!C:C&gt;=$J$4,'领用录入（明细）'!C:C&lt;=$L$4),ROW(),"-")</f>
        <v>-</v>
      </c>
    </row>
    <row r="45876" customHeight="1" spans="2:2">
      <c r="B45876" s="62" t="str">
        <f>IF(AND('领用录入（明细）'!D:D=$F$4,'领用录入（明细）'!C:C&gt;=$J$4,'领用录入（明细）'!C:C&lt;=$L$4),ROW(),"-")</f>
        <v>-</v>
      </c>
    </row>
    <row r="45877" customHeight="1" spans="2:2">
      <c r="B45877" s="62" t="str">
        <f>IF(AND('领用录入（明细）'!D:D=$F$4,'领用录入（明细）'!C:C&gt;=$J$4,'领用录入（明细）'!C:C&lt;=$L$4),ROW(),"-")</f>
        <v>-</v>
      </c>
    </row>
    <row r="45878" customHeight="1" spans="2:2">
      <c r="B45878" s="62" t="str">
        <f>IF(AND('领用录入（明细）'!D:D=$F$4,'领用录入（明细）'!C:C&gt;=$J$4,'领用录入（明细）'!C:C&lt;=$L$4),ROW(),"-")</f>
        <v>-</v>
      </c>
    </row>
    <row r="45879" customHeight="1" spans="2:2">
      <c r="B45879" s="62" t="str">
        <f>IF(AND('领用录入（明细）'!D:D=$F$4,'领用录入（明细）'!C:C&gt;=$J$4,'领用录入（明细）'!C:C&lt;=$L$4),ROW(),"-")</f>
        <v>-</v>
      </c>
    </row>
    <row r="45880" customHeight="1" spans="2:2">
      <c r="B45880" s="62" t="str">
        <f>IF(AND('领用录入（明细）'!D:D=$F$4,'领用录入（明细）'!C:C&gt;=$J$4,'领用录入（明细）'!C:C&lt;=$L$4),ROW(),"-")</f>
        <v>-</v>
      </c>
    </row>
    <row r="45881" customHeight="1" spans="2:2">
      <c r="B45881" s="62" t="str">
        <f>IF(AND('领用录入（明细）'!D:D=$F$4,'领用录入（明细）'!C:C&gt;=$J$4,'领用录入（明细）'!C:C&lt;=$L$4),ROW(),"-")</f>
        <v>-</v>
      </c>
    </row>
    <row r="45882" customHeight="1" spans="2:2">
      <c r="B45882" s="62" t="str">
        <f>IF(AND('领用录入（明细）'!D:D=$F$4,'领用录入（明细）'!C:C&gt;=$J$4,'领用录入（明细）'!C:C&lt;=$L$4),ROW(),"-")</f>
        <v>-</v>
      </c>
    </row>
    <row r="45883" customHeight="1" spans="2:2">
      <c r="B45883" s="62" t="str">
        <f>IF(AND('领用录入（明细）'!D:D=$F$4,'领用录入（明细）'!C:C&gt;=$J$4,'领用录入（明细）'!C:C&lt;=$L$4),ROW(),"-")</f>
        <v>-</v>
      </c>
    </row>
    <row r="45884" customHeight="1" spans="2:2">
      <c r="B45884" s="62" t="str">
        <f>IF(AND('领用录入（明细）'!D:D=$F$4,'领用录入（明细）'!C:C&gt;=$J$4,'领用录入（明细）'!C:C&lt;=$L$4),ROW(),"-")</f>
        <v>-</v>
      </c>
    </row>
    <row r="45885" customHeight="1" spans="2:2">
      <c r="B45885" s="62" t="str">
        <f>IF(AND('领用录入（明细）'!D:D=$F$4,'领用录入（明细）'!C:C&gt;=$J$4,'领用录入（明细）'!C:C&lt;=$L$4),ROW(),"-")</f>
        <v>-</v>
      </c>
    </row>
    <row r="45886" customHeight="1" spans="2:2">
      <c r="B45886" s="62" t="str">
        <f>IF(AND('领用录入（明细）'!D:D=$F$4,'领用录入（明细）'!C:C&gt;=$J$4,'领用录入（明细）'!C:C&lt;=$L$4),ROW(),"-")</f>
        <v>-</v>
      </c>
    </row>
    <row r="45887" customHeight="1" spans="2:2">
      <c r="B45887" s="62" t="str">
        <f>IF(AND('领用录入（明细）'!D:D=$F$4,'领用录入（明细）'!C:C&gt;=$J$4,'领用录入（明细）'!C:C&lt;=$L$4),ROW(),"-")</f>
        <v>-</v>
      </c>
    </row>
    <row r="45888" customHeight="1" spans="2:2">
      <c r="B45888" s="62" t="str">
        <f>IF(AND('领用录入（明细）'!D:D=$F$4,'领用录入（明细）'!C:C&gt;=$J$4,'领用录入（明细）'!C:C&lt;=$L$4),ROW(),"-")</f>
        <v>-</v>
      </c>
    </row>
    <row r="45889" customHeight="1" spans="2:2">
      <c r="B45889" s="62" t="str">
        <f>IF(AND('领用录入（明细）'!D:D=$F$4,'领用录入（明细）'!C:C&gt;=$J$4,'领用录入（明细）'!C:C&lt;=$L$4),ROW(),"-")</f>
        <v>-</v>
      </c>
    </row>
    <row r="45890" customHeight="1" spans="2:2">
      <c r="B45890" s="62" t="str">
        <f>IF(AND('领用录入（明细）'!D:D=$F$4,'领用录入（明细）'!C:C&gt;=$J$4,'领用录入（明细）'!C:C&lt;=$L$4),ROW(),"-")</f>
        <v>-</v>
      </c>
    </row>
    <row r="45891" customHeight="1" spans="2:2">
      <c r="B45891" s="62" t="str">
        <f>IF(AND('领用录入（明细）'!D:D=$F$4,'领用录入（明细）'!C:C&gt;=$J$4,'领用录入（明细）'!C:C&lt;=$L$4),ROW(),"-")</f>
        <v>-</v>
      </c>
    </row>
    <row r="45892" customHeight="1" spans="2:2">
      <c r="B45892" s="62" t="str">
        <f>IF(AND('领用录入（明细）'!D:D=$F$4,'领用录入（明细）'!C:C&gt;=$J$4,'领用录入（明细）'!C:C&lt;=$L$4),ROW(),"-")</f>
        <v>-</v>
      </c>
    </row>
    <row r="45893" customHeight="1" spans="2:2">
      <c r="B45893" s="62" t="str">
        <f>IF(AND('领用录入（明细）'!D:D=$F$4,'领用录入（明细）'!C:C&gt;=$J$4,'领用录入（明细）'!C:C&lt;=$L$4),ROW(),"-")</f>
        <v>-</v>
      </c>
    </row>
    <row r="45894" customHeight="1" spans="2:2">
      <c r="B45894" s="62" t="str">
        <f>IF(AND('领用录入（明细）'!D:D=$F$4,'领用录入（明细）'!C:C&gt;=$J$4,'领用录入（明细）'!C:C&lt;=$L$4),ROW(),"-")</f>
        <v>-</v>
      </c>
    </row>
    <row r="45895" customHeight="1" spans="2:2">
      <c r="B45895" s="62" t="str">
        <f>IF(AND('领用录入（明细）'!D:D=$F$4,'领用录入（明细）'!C:C&gt;=$J$4,'领用录入（明细）'!C:C&lt;=$L$4),ROW(),"-")</f>
        <v>-</v>
      </c>
    </row>
    <row r="45896" customHeight="1" spans="2:2">
      <c r="B45896" s="62" t="str">
        <f>IF(AND('领用录入（明细）'!D:D=$F$4,'领用录入（明细）'!C:C&gt;=$J$4,'领用录入（明细）'!C:C&lt;=$L$4),ROW(),"-")</f>
        <v>-</v>
      </c>
    </row>
    <row r="45897" customHeight="1" spans="2:2">
      <c r="B45897" s="62" t="str">
        <f>IF(AND('领用录入（明细）'!D:D=$F$4,'领用录入（明细）'!C:C&gt;=$J$4,'领用录入（明细）'!C:C&lt;=$L$4),ROW(),"-")</f>
        <v>-</v>
      </c>
    </row>
    <row r="45898" customHeight="1" spans="2:2">
      <c r="B45898" s="62" t="str">
        <f>IF(AND('领用录入（明细）'!D:D=$F$4,'领用录入（明细）'!C:C&gt;=$J$4,'领用录入（明细）'!C:C&lt;=$L$4),ROW(),"-")</f>
        <v>-</v>
      </c>
    </row>
    <row r="45899" customHeight="1" spans="2:2">
      <c r="B45899" s="62" t="str">
        <f>IF(AND('领用录入（明细）'!D:D=$F$4,'领用录入（明细）'!C:C&gt;=$J$4,'领用录入（明细）'!C:C&lt;=$L$4),ROW(),"-")</f>
        <v>-</v>
      </c>
    </row>
    <row r="45900" customHeight="1" spans="2:2">
      <c r="B45900" s="62" t="str">
        <f>IF(AND('领用录入（明细）'!D:D=$F$4,'领用录入（明细）'!C:C&gt;=$J$4,'领用录入（明细）'!C:C&lt;=$L$4),ROW(),"-")</f>
        <v>-</v>
      </c>
    </row>
    <row r="45901" customHeight="1" spans="2:2">
      <c r="B45901" s="62" t="str">
        <f>IF(AND('领用录入（明细）'!D:D=$F$4,'领用录入（明细）'!C:C&gt;=$J$4,'领用录入（明细）'!C:C&lt;=$L$4),ROW(),"-")</f>
        <v>-</v>
      </c>
    </row>
    <row r="45902" customHeight="1" spans="2:2">
      <c r="B45902" s="62" t="str">
        <f>IF(AND('领用录入（明细）'!D:D=$F$4,'领用录入（明细）'!C:C&gt;=$J$4,'领用录入（明细）'!C:C&lt;=$L$4),ROW(),"-")</f>
        <v>-</v>
      </c>
    </row>
    <row r="45903" customHeight="1" spans="2:2">
      <c r="B45903" s="62" t="str">
        <f>IF(AND('领用录入（明细）'!D:D=$F$4,'领用录入（明细）'!C:C&gt;=$J$4,'领用录入（明细）'!C:C&lt;=$L$4),ROW(),"-")</f>
        <v>-</v>
      </c>
    </row>
    <row r="45904" customHeight="1" spans="2:2">
      <c r="B45904" s="62" t="str">
        <f>IF(AND('领用录入（明细）'!D:D=$F$4,'领用录入（明细）'!C:C&gt;=$J$4,'领用录入（明细）'!C:C&lt;=$L$4),ROW(),"-")</f>
        <v>-</v>
      </c>
    </row>
    <row r="45905" customHeight="1" spans="2:2">
      <c r="B45905" s="62" t="str">
        <f>IF(AND('领用录入（明细）'!D:D=$F$4,'领用录入（明细）'!C:C&gt;=$J$4,'领用录入（明细）'!C:C&lt;=$L$4),ROW(),"-")</f>
        <v>-</v>
      </c>
    </row>
    <row r="45906" customHeight="1" spans="2:2">
      <c r="B45906" s="62" t="str">
        <f>IF(AND('领用录入（明细）'!D:D=$F$4,'领用录入（明细）'!C:C&gt;=$J$4,'领用录入（明细）'!C:C&lt;=$L$4),ROW(),"-")</f>
        <v>-</v>
      </c>
    </row>
    <row r="45907" customHeight="1" spans="2:2">
      <c r="B45907" s="62" t="str">
        <f>IF(AND('领用录入（明细）'!D:D=$F$4,'领用录入（明细）'!C:C&gt;=$J$4,'领用录入（明细）'!C:C&lt;=$L$4),ROW(),"-")</f>
        <v>-</v>
      </c>
    </row>
    <row r="45908" customHeight="1" spans="2:2">
      <c r="B45908" s="62" t="str">
        <f>IF(AND('领用录入（明细）'!D:D=$F$4,'领用录入（明细）'!C:C&gt;=$J$4,'领用录入（明细）'!C:C&lt;=$L$4),ROW(),"-")</f>
        <v>-</v>
      </c>
    </row>
    <row r="45909" customHeight="1" spans="2:2">
      <c r="B45909" s="62" t="str">
        <f>IF(AND('领用录入（明细）'!D:D=$F$4,'领用录入（明细）'!C:C&gt;=$J$4,'领用录入（明细）'!C:C&lt;=$L$4),ROW(),"-")</f>
        <v>-</v>
      </c>
    </row>
    <row r="45910" customHeight="1" spans="2:2">
      <c r="B45910" s="62" t="str">
        <f>IF(AND('领用录入（明细）'!D:D=$F$4,'领用录入（明细）'!C:C&gt;=$J$4,'领用录入（明细）'!C:C&lt;=$L$4),ROW(),"-")</f>
        <v>-</v>
      </c>
    </row>
    <row r="45911" customHeight="1" spans="2:2">
      <c r="B45911" s="62" t="str">
        <f>IF(AND('领用录入（明细）'!D:D=$F$4,'领用录入（明细）'!C:C&gt;=$J$4,'领用录入（明细）'!C:C&lt;=$L$4),ROW(),"-")</f>
        <v>-</v>
      </c>
    </row>
    <row r="45912" customHeight="1" spans="2:2">
      <c r="B45912" s="62" t="str">
        <f>IF(AND('领用录入（明细）'!D:D=$F$4,'领用录入（明细）'!C:C&gt;=$J$4,'领用录入（明细）'!C:C&lt;=$L$4),ROW(),"-")</f>
        <v>-</v>
      </c>
    </row>
    <row r="45913" customHeight="1" spans="2:2">
      <c r="B45913" s="62" t="str">
        <f>IF(AND('领用录入（明细）'!D:D=$F$4,'领用录入（明细）'!C:C&gt;=$J$4,'领用录入（明细）'!C:C&lt;=$L$4),ROW(),"-")</f>
        <v>-</v>
      </c>
    </row>
    <row r="45914" customHeight="1" spans="2:2">
      <c r="B45914" s="62" t="str">
        <f>IF(AND('领用录入（明细）'!D:D=$F$4,'领用录入（明细）'!C:C&gt;=$J$4,'领用录入（明细）'!C:C&lt;=$L$4),ROW(),"-")</f>
        <v>-</v>
      </c>
    </row>
    <row r="45915" customHeight="1" spans="2:2">
      <c r="B45915" s="62" t="str">
        <f>IF(AND('领用录入（明细）'!D:D=$F$4,'领用录入（明细）'!C:C&gt;=$J$4,'领用录入（明细）'!C:C&lt;=$L$4),ROW(),"-")</f>
        <v>-</v>
      </c>
    </row>
    <row r="45916" customHeight="1" spans="2:2">
      <c r="B45916" s="62" t="str">
        <f>IF(AND('领用录入（明细）'!D:D=$F$4,'领用录入（明细）'!C:C&gt;=$J$4,'领用录入（明细）'!C:C&lt;=$L$4),ROW(),"-")</f>
        <v>-</v>
      </c>
    </row>
    <row r="45917" customHeight="1" spans="2:2">
      <c r="B45917" s="62" t="str">
        <f>IF(AND('领用录入（明细）'!D:D=$F$4,'领用录入（明细）'!C:C&gt;=$J$4,'领用录入（明细）'!C:C&lt;=$L$4),ROW(),"-")</f>
        <v>-</v>
      </c>
    </row>
    <row r="45918" customHeight="1" spans="2:2">
      <c r="B45918" s="62" t="str">
        <f>IF(AND('领用录入（明细）'!D:D=$F$4,'领用录入（明细）'!C:C&gt;=$J$4,'领用录入（明细）'!C:C&lt;=$L$4),ROW(),"-")</f>
        <v>-</v>
      </c>
    </row>
    <row r="45919" customHeight="1" spans="2:2">
      <c r="B45919" s="62" t="str">
        <f>IF(AND('领用录入（明细）'!D:D=$F$4,'领用录入（明细）'!C:C&gt;=$J$4,'领用录入（明细）'!C:C&lt;=$L$4),ROW(),"-")</f>
        <v>-</v>
      </c>
    </row>
    <row r="45920" customHeight="1" spans="2:2">
      <c r="B45920" s="62" t="str">
        <f>IF(AND('领用录入（明细）'!D:D=$F$4,'领用录入（明细）'!C:C&gt;=$J$4,'领用录入（明细）'!C:C&lt;=$L$4),ROW(),"-")</f>
        <v>-</v>
      </c>
    </row>
    <row r="45921" customHeight="1" spans="2:2">
      <c r="B45921" s="62" t="str">
        <f>IF(AND('领用录入（明细）'!D:D=$F$4,'领用录入（明细）'!C:C&gt;=$J$4,'领用录入（明细）'!C:C&lt;=$L$4),ROW(),"-")</f>
        <v>-</v>
      </c>
    </row>
    <row r="45922" customHeight="1" spans="2:2">
      <c r="B45922" s="62" t="str">
        <f>IF(AND('领用录入（明细）'!D:D=$F$4,'领用录入（明细）'!C:C&gt;=$J$4,'领用录入（明细）'!C:C&lt;=$L$4),ROW(),"-")</f>
        <v>-</v>
      </c>
    </row>
    <row r="45923" customHeight="1" spans="2:2">
      <c r="B45923" s="62" t="str">
        <f>IF(AND('领用录入（明细）'!D:D=$F$4,'领用录入（明细）'!C:C&gt;=$J$4,'领用录入（明细）'!C:C&lt;=$L$4),ROW(),"-")</f>
        <v>-</v>
      </c>
    </row>
    <row r="45924" customHeight="1" spans="2:2">
      <c r="B45924" s="62" t="str">
        <f>IF(AND('领用录入（明细）'!D:D=$F$4,'领用录入（明细）'!C:C&gt;=$J$4,'领用录入（明细）'!C:C&lt;=$L$4),ROW(),"-")</f>
        <v>-</v>
      </c>
    </row>
    <row r="45925" customHeight="1" spans="2:2">
      <c r="B45925" s="62" t="str">
        <f>IF(AND('领用录入（明细）'!D:D=$F$4,'领用录入（明细）'!C:C&gt;=$J$4,'领用录入（明细）'!C:C&lt;=$L$4),ROW(),"-")</f>
        <v>-</v>
      </c>
    </row>
    <row r="45926" customHeight="1" spans="2:2">
      <c r="B45926" s="62" t="str">
        <f>IF(AND('领用录入（明细）'!D:D=$F$4,'领用录入（明细）'!C:C&gt;=$J$4,'领用录入（明细）'!C:C&lt;=$L$4),ROW(),"-")</f>
        <v>-</v>
      </c>
    </row>
    <row r="45927" customHeight="1" spans="2:2">
      <c r="B45927" s="62" t="str">
        <f>IF(AND('领用录入（明细）'!D:D=$F$4,'领用录入（明细）'!C:C&gt;=$J$4,'领用录入（明细）'!C:C&lt;=$L$4),ROW(),"-")</f>
        <v>-</v>
      </c>
    </row>
    <row r="45928" customHeight="1" spans="2:2">
      <c r="B45928" s="62" t="str">
        <f>IF(AND('领用录入（明细）'!D:D=$F$4,'领用录入（明细）'!C:C&gt;=$J$4,'领用录入（明细）'!C:C&lt;=$L$4),ROW(),"-")</f>
        <v>-</v>
      </c>
    </row>
    <row r="45929" customHeight="1" spans="2:2">
      <c r="B45929" s="62" t="str">
        <f>IF(AND('领用录入（明细）'!D:D=$F$4,'领用录入（明细）'!C:C&gt;=$J$4,'领用录入（明细）'!C:C&lt;=$L$4),ROW(),"-")</f>
        <v>-</v>
      </c>
    </row>
    <row r="45930" customHeight="1" spans="2:2">
      <c r="B45930" s="62" t="str">
        <f>IF(AND('领用录入（明细）'!D:D=$F$4,'领用录入（明细）'!C:C&gt;=$J$4,'领用录入（明细）'!C:C&lt;=$L$4),ROW(),"-")</f>
        <v>-</v>
      </c>
    </row>
    <row r="45931" customHeight="1" spans="2:2">
      <c r="B45931" s="62" t="str">
        <f>IF(AND('领用录入（明细）'!D:D=$F$4,'领用录入（明细）'!C:C&gt;=$J$4,'领用录入（明细）'!C:C&lt;=$L$4),ROW(),"-")</f>
        <v>-</v>
      </c>
    </row>
    <row r="45932" customHeight="1" spans="2:2">
      <c r="B45932" s="62" t="str">
        <f>IF(AND('领用录入（明细）'!D:D=$F$4,'领用录入（明细）'!C:C&gt;=$J$4,'领用录入（明细）'!C:C&lt;=$L$4),ROW(),"-")</f>
        <v>-</v>
      </c>
    </row>
    <row r="45933" customHeight="1" spans="2:2">
      <c r="B45933" s="62" t="str">
        <f>IF(AND('领用录入（明细）'!D:D=$F$4,'领用录入（明细）'!C:C&gt;=$J$4,'领用录入（明细）'!C:C&lt;=$L$4),ROW(),"-")</f>
        <v>-</v>
      </c>
    </row>
    <row r="45934" customHeight="1" spans="2:2">
      <c r="B45934" s="62" t="str">
        <f>IF(AND('领用录入（明细）'!D:D=$F$4,'领用录入（明细）'!C:C&gt;=$J$4,'领用录入（明细）'!C:C&lt;=$L$4),ROW(),"-")</f>
        <v>-</v>
      </c>
    </row>
    <row r="45935" customHeight="1" spans="2:2">
      <c r="B45935" s="62" t="str">
        <f>IF(AND('领用录入（明细）'!D:D=$F$4,'领用录入（明细）'!C:C&gt;=$J$4,'领用录入（明细）'!C:C&lt;=$L$4),ROW(),"-")</f>
        <v>-</v>
      </c>
    </row>
    <row r="45936" customHeight="1" spans="2:2">
      <c r="B45936" s="62" t="str">
        <f>IF(AND('领用录入（明细）'!D:D=$F$4,'领用录入（明细）'!C:C&gt;=$J$4,'领用录入（明细）'!C:C&lt;=$L$4),ROW(),"-")</f>
        <v>-</v>
      </c>
    </row>
    <row r="45937" customHeight="1" spans="2:2">
      <c r="B45937" s="62" t="str">
        <f>IF(AND('领用录入（明细）'!D:D=$F$4,'领用录入（明细）'!C:C&gt;=$J$4,'领用录入（明细）'!C:C&lt;=$L$4),ROW(),"-")</f>
        <v>-</v>
      </c>
    </row>
    <row r="45938" customHeight="1" spans="2:2">
      <c r="B45938" s="62" t="str">
        <f>IF(AND('领用录入（明细）'!D:D=$F$4,'领用录入（明细）'!C:C&gt;=$J$4,'领用录入（明细）'!C:C&lt;=$L$4),ROW(),"-")</f>
        <v>-</v>
      </c>
    </row>
    <row r="45939" customHeight="1" spans="2:2">
      <c r="B45939" s="62" t="str">
        <f>IF(AND('领用录入（明细）'!D:D=$F$4,'领用录入（明细）'!C:C&gt;=$J$4,'领用录入（明细）'!C:C&lt;=$L$4),ROW(),"-")</f>
        <v>-</v>
      </c>
    </row>
    <row r="45940" customHeight="1" spans="2:2">
      <c r="B45940" s="62" t="str">
        <f>IF(AND('领用录入（明细）'!D:D=$F$4,'领用录入（明细）'!C:C&gt;=$J$4,'领用录入（明细）'!C:C&lt;=$L$4),ROW(),"-")</f>
        <v>-</v>
      </c>
    </row>
    <row r="45941" customHeight="1" spans="2:2">
      <c r="B45941" s="62" t="str">
        <f>IF(AND('领用录入（明细）'!D:D=$F$4,'领用录入（明细）'!C:C&gt;=$J$4,'领用录入（明细）'!C:C&lt;=$L$4),ROW(),"-")</f>
        <v>-</v>
      </c>
    </row>
    <row r="45942" customHeight="1" spans="2:2">
      <c r="B45942" s="62" t="str">
        <f>IF(AND('领用录入（明细）'!D:D=$F$4,'领用录入（明细）'!C:C&gt;=$J$4,'领用录入（明细）'!C:C&lt;=$L$4),ROW(),"-")</f>
        <v>-</v>
      </c>
    </row>
    <row r="45943" customHeight="1" spans="2:2">
      <c r="B45943" s="62" t="str">
        <f>IF(AND('领用录入（明细）'!D:D=$F$4,'领用录入（明细）'!C:C&gt;=$J$4,'领用录入（明细）'!C:C&lt;=$L$4),ROW(),"-")</f>
        <v>-</v>
      </c>
    </row>
    <row r="45944" customHeight="1" spans="2:2">
      <c r="B45944" s="62" t="str">
        <f>IF(AND('领用录入（明细）'!D:D=$F$4,'领用录入（明细）'!C:C&gt;=$J$4,'领用录入（明细）'!C:C&lt;=$L$4),ROW(),"-")</f>
        <v>-</v>
      </c>
    </row>
    <row r="45945" customHeight="1" spans="2:2">
      <c r="B45945" s="62" t="str">
        <f>IF(AND('领用录入（明细）'!D:D=$F$4,'领用录入（明细）'!C:C&gt;=$J$4,'领用录入（明细）'!C:C&lt;=$L$4),ROW(),"-")</f>
        <v>-</v>
      </c>
    </row>
    <row r="45946" customHeight="1" spans="2:2">
      <c r="B45946" s="62" t="str">
        <f>IF(AND('领用录入（明细）'!D:D=$F$4,'领用录入（明细）'!C:C&gt;=$J$4,'领用录入（明细）'!C:C&lt;=$L$4),ROW(),"-")</f>
        <v>-</v>
      </c>
    </row>
    <row r="45947" customHeight="1" spans="2:2">
      <c r="B45947" s="62" t="str">
        <f>IF(AND('领用录入（明细）'!D:D=$F$4,'领用录入（明细）'!C:C&gt;=$J$4,'领用录入（明细）'!C:C&lt;=$L$4),ROW(),"-")</f>
        <v>-</v>
      </c>
    </row>
    <row r="45948" customHeight="1" spans="2:2">
      <c r="B45948" s="62" t="str">
        <f>IF(AND('领用录入（明细）'!D:D=$F$4,'领用录入（明细）'!C:C&gt;=$J$4,'领用录入（明细）'!C:C&lt;=$L$4),ROW(),"-")</f>
        <v>-</v>
      </c>
    </row>
    <row r="45949" customHeight="1" spans="2:2">
      <c r="B45949" s="62" t="str">
        <f>IF(AND('领用录入（明细）'!D:D=$F$4,'领用录入（明细）'!C:C&gt;=$J$4,'领用录入（明细）'!C:C&lt;=$L$4),ROW(),"-")</f>
        <v>-</v>
      </c>
    </row>
    <row r="45950" customHeight="1" spans="2:2">
      <c r="B45950" s="62" t="str">
        <f>IF(AND('领用录入（明细）'!D:D=$F$4,'领用录入（明细）'!C:C&gt;=$J$4,'领用录入（明细）'!C:C&lt;=$L$4),ROW(),"-")</f>
        <v>-</v>
      </c>
    </row>
    <row r="45951" customHeight="1" spans="2:2">
      <c r="B45951" s="62" t="str">
        <f>IF(AND('领用录入（明细）'!D:D=$F$4,'领用录入（明细）'!C:C&gt;=$J$4,'领用录入（明细）'!C:C&lt;=$L$4),ROW(),"-")</f>
        <v>-</v>
      </c>
    </row>
    <row r="45952" customHeight="1" spans="2:2">
      <c r="B45952" s="62" t="str">
        <f>IF(AND('领用录入（明细）'!D:D=$F$4,'领用录入（明细）'!C:C&gt;=$J$4,'领用录入（明细）'!C:C&lt;=$L$4),ROW(),"-")</f>
        <v>-</v>
      </c>
    </row>
    <row r="45953" customHeight="1" spans="2:2">
      <c r="B45953" s="62" t="str">
        <f>IF(AND('领用录入（明细）'!D:D=$F$4,'领用录入（明细）'!C:C&gt;=$J$4,'领用录入（明细）'!C:C&lt;=$L$4),ROW(),"-")</f>
        <v>-</v>
      </c>
    </row>
    <row r="45954" customHeight="1" spans="2:2">
      <c r="B45954" s="62" t="str">
        <f>IF(AND('领用录入（明细）'!D:D=$F$4,'领用录入（明细）'!C:C&gt;=$J$4,'领用录入（明细）'!C:C&lt;=$L$4),ROW(),"-")</f>
        <v>-</v>
      </c>
    </row>
    <row r="45955" customHeight="1" spans="2:2">
      <c r="B45955" s="62" t="str">
        <f>IF(AND('领用录入（明细）'!D:D=$F$4,'领用录入（明细）'!C:C&gt;=$J$4,'领用录入（明细）'!C:C&lt;=$L$4),ROW(),"-")</f>
        <v>-</v>
      </c>
    </row>
    <row r="45956" customHeight="1" spans="2:2">
      <c r="B45956" s="62" t="str">
        <f>IF(AND('领用录入（明细）'!D:D=$F$4,'领用录入（明细）'!C:C&gt;=$J$4,'领用录入（明细）'!C:C&lt;=$L$4),ROW(),"-")</f>
        <v>-</v>
      </c>
    </row>
    <row r="45957" customHeight="1" spans="2:2">
      <c r="B45957" s="62" t="str">
        <f>IF(AND('领用录入（明细）'!D:D=$F$4,'领用录入（明细）'!C:C&gt;=$J$4,'领用录入（明细）'!C:C&lt;=$L$4),ROW(),"-")</f>
        <v>-</v>
      </c>
    </row>
    <row r="45958" customHeight="1" spans="2:2">
      <c r="B45958" s="62" t="str">
        <f>IF(AND('领用录入（明细）'!D:D=$F$4,'领用录入（明细）'!C:C&gt;=$J$4,'领用录入（明细）'!C:C&lt;=$L$4),ROW(),"-")</f>
        <v>-</v>
      </c>
    </row>
    <row r="45959" customHeight="1" spans="2:2">
      <c r="B45959" s="62" t="str">
        <f>IF(AND('领用录入（明细）'!D:D=$F$4,'领用录入（明细）'!C:C&gt;=$J$4,'领用录入（明细）'!C:C&lt;=$L$4),ROW(),"-")</f>
        <v>-</v>
      </c>
    </row>
    <row r="45960" customHeight="1" spans="2:2">
      <c r="B45960" s="62" t="str">
        <f>IF(AND('领用录入（明细）'!D:D=$F$4,'领用录入（明细）'!C:C&gt;=$J$4,'领用录入（明细）'!C:C&lt;=$L$4),ROW(),"-")</f>
        <v>-</v>
      </c>
    </row>
    <row r="45961" customHeight="1" spans="2:2">
      <c r="B45961" s="62" t="str">
        <f>IF(AND('领用录入（明细）'!D:D=$F$4,'领用录入（明细）'!C:C&gt;=$J$4,'领用录入（明细）'!C:C&lt;=$L$4),ROW(),"-")</f>
        <v>-</v>
      </c>
    </row>
    <row r="45962" customHeight="1" spans="2:2">
      <c r="B45962" s="62" t="str">
        <f>IF(AND('领用录入（明细）'!D:D=$F$4,'领用录入（明细）'!C:C&gt;=$J$4,'领用录入（明细）'!C:C&lt;=$L$4),ROW(),"-")</f>
        <v>-</v>
      </c>
    </row>
    <row r="45963" customHeight="1" spans="2:2">
      <c r="B45963" s="62" t="str">
        <f>IF(AND('领用录入（明细）'!D:D=$F$4,'领用录入（明细）'!C:C&gt;=$J$4,'领用录入（明细）'!C:C&lt;=$L$4),ROW(),"-")</f>
        <v>-</v>
      </c>
    </row>
    <row r="45964" customHeight="1" spans="2:2">
      <c r="B45964" s="62" t="str">
        <f>IF(AND('领用录入（明细）'!D:D=$F$4,'领用录入（明细）'!C:C&gt;=$J$4,'领用录入（明细）'!C:C&lt;=$L$4),ROW(),"-")</f>
        <v>-</v>
      </c>
    </row>
    <row r="45965" customHeight="1" spans="2:2">
      <c r="B45965" s="62" t="str">
        <f>IF(AND('领用录入（明细）'!D:D=$F$4,'领用录入（明细）'!C:C&gt;=$J$4,'领用录入（明细）'!C:C&lt;=$L$4),ROW(),"-")</f>
        <v>-</v>
      </c>
    </row>
    <row r="45966" customHeight="1" spans="2:2">
      <c r="B45966" s="62" t="str">
        <f>IF(AND('领用录入（明细）'!D:D=$F$4,'领用录入（明细）'!C:C&gt;=$J$4,'领用录入（明细）'!C:C&lt;=$L$4),ROW(),"-")</f>
        <v>-</v>
      </c>
    </row>
    <row r="45967" customHeight="1" spans="2:2">
      <c r="B45967" s="62" t="str">
        <f>IF(AND('领用录入（明细）'!D:D=$F$4,'领用录入（明细）'!C:C&gt;=$J$4,'领用录入（明细）'!C:C&lt;=$L$4),ROW(),"-")</f>
        <v>-</v>
      </c>
    </row>
    <row r="45968" customHeight="1" spans="2:2">
      <c r="B45968" s="62" t="str">
        <f>IF(AND('领用录入（明细）'!D:D=$F$4,'领用录入（明细）'!C:C&gt;=$J$4,'领用录入（明细）'!C:C&lt;=$L$4),ROW(),"-")</f>
        <v>-</v>
      </c>
    </row>
    <row r="45969" customHeight="1" spans="2:2">
      <c r="B45969" s="62" t="str">
        <f>IF(AND('领用录入（明细）'!D:D=$F$4,'领用录入（明细）'!C:C&gt;=$J$4,'领用录入（明细）'!C:C&lt;=$L$4),ROW(),"-")</f>
        <v>-</v>
      </c>
    </row>
    <row r="45970" customHeight="1" spans="2:2">
      <c r="B45970" s="62" t="str">
        <f>IF(AND('领用录入（明细）'!D:D=$F$4,'领用录入（明细）'!C:C&gt;=$J$4,'领用录入（明细）'!C:C&lt;=$L$4),ROW(),"-")</f>
        <v>-</v>
      </c>
    </row>
    <row r="45971" customHeight="1" spans="2:2">
      <c r="B45971" s="62" t="str">
        <f>IF(AND('领用录入（明细）'!D:D=$F$4,'领用录入（明细）'!C:C&gt;=$J$4,'领用录入（明细）'!C:C&lt;=$L$4),ROW(),"-")</f>
        <v>-</v>
      </c>
    </row>
    <row r="45972" customHeight="1" spans="2:2">
      <c r="B45972" s="62" t="str">
        <f>IF(AND('领用录入（明细）'!D:D=$F$4,'领用录入（明细）'!C:C&gt;=$J$4,'领用录入（明细）'!C:C&lt;=$L$4),ROW(),"-")</f>
        <v>-</v>
      </c>
    </row>
    <row r="45973" customHeight="1" spans="2:2">
      <c r="B45973" s="62" t="str">
        <f>IF(AND('领用录入（明细）'!D:D=$F$4,'领用录入（明细）'!C:C&gt;=$J$4,'领用录入（明细）'!C:C&lt;=$L$4),ROW(),"-")</f>
        <v>-</v>
      </c>
    </row>
    <row r="45974" customHeight="1" spans="2:2">
      <c r="B45974" s="62" t="str">
        <f>IF(AND('领用录入（明细）'!D:D=$F$4,'领用录入（明细）'!C:C&gt;=$J$4,'领用录入（明细）'!C:C&lt;=$L$4),ROW(),"-")</f>
        <v>-</v>
      </c>
    </row>
    <row r="45975" customHeight="1" spans="2:2">
      <c r="B45975" s="62" t="str">
        <f>IF(AND('领用录入（明细）'!D:D=$F$4,'领用录入（明细）'!C:C&gt;=$J$4,'领用录入（明细）'!C:C&lt;=$L$4),ROW(),"-")</f>
        <v>-</v>
      </c>
    </row>
    <row r="45976" customHeight="1" spans="2:2">
      <c r="B45976" s="62" t="str">
        <f>IF(AND('领用录入（明细）'!D:D=$F$4,'领用录入（明细）'!C:C&gt;=$J$4,'领用录入（明细）'!C:C&lt;=$L$4),ROW(),"-")</f>
        <v>-</v>
      </c>
    </row>
    <row r="45977" customHeight="1" spans="2:2">
      <c r="B45977" s="62" t="str">
        <f>IF(AND('领用录入（明细）'!D:D=$F$4,'领用录入（明细）'!C:C&gt;=$J$4,'领用录入（明细）'!C:C&lt;=$L$4),ROW(),"-")</f>
        <v>-</v>
      </c>
    </row>
    <row r="45978" customHeight="1" spans="2:2">
      <c r="B45978" s="62" t="str">
        <f>IF(AND('领用录入（明细）'!D:D=$F$4,'领用录入（明细）'!C:C&gt;=$J$4,'领用录入（明细）'!C:C&lt;=$L$4),ROW(),"-")</f>
        <v>-</v>
      </c>
    </row>
    <row r="45979" customHeight="1" spans="2:2">
      <c r="B45979" s="62" t="str">
        <f>IF(AND('领用录入（明细）'!D:D=$F$4,'领用录入（明细）'!C:C&gt;=$J$4,'领用录入（明细）'!C:C&lt;=$L$4),ROW(),"-")</f>
        <v>-</v>
      </c>
    </row>
    <row r="45980" customHeight="1" spans="2:2">
      <c r="B45980" s="62" t="str">
        <f>IF(AND('领用录入（明细）'!D:D=$F$4,'领用录入（明细）'!C:C&gt;=$J$4,'领用录入（明细）'!C:C&lt;=$L$4),ROW(),"-")</f>
        <v>-</v>
      </c>
    </row>
    <row r="45981" customHeight="1" spans="2:2">
      <c r="B45981" s="62" t="str">
        <f>IF(AND('领用录入（明细）'!D:D=$F$4,'领用录入（明细）'!C:C&gt;=$J$4,'领用录入（明细）'!C:C&lt;=$L$4),ROW(),"-")</f>
        <v>-</v>
      </c>
    </row>
    <row r="45982" customHeight="1" spans="2:2">
      <c r="B45982" s="62" t="str">
        <f>IF(AND('领用录入（明细）'!D:D=$F$4,'领用录入（明细）'!C:C&gt;=$J$4,'领用录入（明细）'!C:C&lt;=$L$4),ROW(),"-")</f>
        <v>-</v>
      </c>
    </row>
    <row r="45983" customHeight="1" spans="2:2">
      <c r="B45983" s="62" t="str">
        <f>IF(AND('领用录入（明细）'!D:D=$F$4,'领用录入（明细）'!C:C&gt;=$J$4,'领用录入（明细）'!C:C&lt;=$L$4),ROW(),"-")</f>
        <v>-</v>
      </c>
    </row>
    <row r="45984" customHeight="1" spans="2:2">
      <c r="B45984" s="62" t="str">
        <f>IF(AND('领用录入（明细）'!D:D=$F$4,'领用录入（明细）'!C:C&gt;=$J$4,'领用录入（明细）'!C:C&lt;=$L$4),ROW(),"-")</f>
        <v>-</v>
      </c>
    </row>
    <row r="45985" customHeight="1" spans="2:2">
      <c r="B45985" s="62" t="str">
        <f>IF(AND('领用录入（明细）'!D:D=$F$4,'领用录入（明细）'!C:C&gt;=$J$4,'领用录入（明细）'!C:C&lt;=$L$4),ROW(),"-")</f>
        <v>-</v>
      </c>
    </row>
    <row r="45986" customHeight="1" spans="2:2">
      <c r="B45986" s="62" t="str">
        <f>IF(AND('领用录入（明细）'!D:D=$F$4,'领用录入（明细）'!C:C&gt;=$J$4,'领用录入（明细）'!C:C&lt;=$L$4),ROW(),"-")</f>
        <v>-</v>
      </c>
    </row>
    <row r="45987" customHeight="1" spans="2:2">
      <c r="B45987" s="62" t="str">
        <f>IF(AND('领用录入（明细）'!D:D=$F$4,'领用录入（明细）'!C:C&gt;=$J$4,'领用录入（明细）'!C:C&lt;=$L$4),ROW(),"-")</f>
        <v>-</v>
      </c>
    </row>
    <row r="45988" customHeight="1" spans="2:2">
      <c r="B45988" s="62" t="str">
        <f>IF(AND('领用录入（明细）'!D:D=$F$4,'领用录入（明细）'!C:C&gt;=$J$4,'领用录入（明细）'!C:C&lt;=$L$4),ROW(),"-")</f>
        <v>-</v>
      </c>
    </row>
    <row r="45989" customHeight="1" spans="2:2">
      <c r="B45989" s="62" t="str">
        <f>IF(AND('领用录入（明细）'!D:D=$F$4,'领用录入（明细）'!C:C&gt;=$J$4,'领用录入（明细）'!C:C&lt;=$L$4),ROW(),"-")</f>
        <v>-</v>
      </c>
    </row>
    <row r="45990" customHeight="1" spans="2:2">
      <c r="B45990" s="62" t="str">
        <f>IF(AND('领用录入（明细）'!D:D=$F$4,'领用录入（明细）'!C:C&gt;=$J$4,'领用录入（明细）'!C:C&lt;=$L$4),ROW(),"-")</f>
        <v>-</v>
      </c>
    </row>
    <row r="45991" customHeight="1" spans="2:2">
      <c r="B45991" s="62" t="str">
        <f>IF(AND('领用录入（明细）'!D:D=$F$4,'领用录入（明细）'!C:C&gt;=$J$4,'领用录入（明细）'!C:C&lt;=$L$4),ROW(),"-")</f>
        <v>-</v>
      </c>
    </row>
    <row r="45992" customHeight="1" spans="2:2">
      <c r="B45992" s="62" t="str">
        <f>IF(AND('领用录入（明细）'!D:D=$F$4,'领用录入（明细）'!C:C&gt;=$J$4,'领用录入（明细）'!C:C&lt;=$L$4),ROW(),"-")</f>
        <v>-</v>
      </c>
    </row>
    <row r="45993" customHeight="1" spans="2:2">
      <c r="B45993" s="62" t="str">
        <f>IF(AND('领用录入（明细）'!D:D=$F$4,'领用录入（明细）'!C:C&gt;=$J$4,'领用录入（明细）'!C:C&lt;=$L$4),ROW(),"-")</f>
        <v>-</v>
      </c>
    </row>
    <row r="45994" customHeight="1" spans="2:2">
      <c r="B45994" s="62" t="str">
        <f>IF(AND('领用录入（明细）'!D:D=$F$4,'领用录入（明细）'!C:C&gt;=$J$4,'领用录入（明细）'!C:C&lt;=$L$4),ROW(),"-")</f>
        <v>-</v>
      </c>
    </row>
    <row r="45995" customHeight="1" spans="2:2">
      <c r="B45995" s="62" t="str">
        <f>IF(AND('领用录入（明细）'!D:D=$F$4,'领用录入（明细）'!C:C&gt;=$J$4,'领用录入（明细）'!C:C&lt;=$L$4),ROW(),"-")</f>
        <v>-</v>
      </c>
    </row>
    <row r="45996" customHeight="1" spans="2:2">
      <c r="B45996" s="62" t="str">
        <f>IF(AND('领用录入（明细）'!D:D=$F$4,'领用录入（明细）'!C:C&gt;=$J$4,'领用录入（明细）'!C:C&lt;=$L$4),ROW(),"-")</f>
        <v>-</v>
      </c>
    </row>
    <row r="45997" customHeight="1" spans="2:2">
      <c r="B45997" s="62" t="str">
        <f>IF(AND('领用录入（明细）'!D:D=$F$4,'领用录入（明细）'!C:C&gt;=$J$4,'领用录入（明细）'!C:C&lt;=$L$4),ROW(),"-")</f>
        <v>-</v>
      </c>
    </row>
    <row r="45998" customHeight="1" spans="2:2">
      <c r="B45998" s="62" t="str">
        <f>IF(AND('领用录入（明细）'!D:D=$F$4,'领用录入（明细）'!C:C&gt;=$J$4,'领用录入（明细）'!C:C&lt;=$L$4),ROW(),"-")</f>
        <v>-</v>
      </c>
    </row>
    <row r="45999" customHeight="1" spans="2:2">
      <c r="B45999" s="62" t="str">
        <f>IF(AND('领用录入（明细）'!D:D=$F$4,'领用录入（明细）'!C:C&gt;=$J$4,'领用录入（明细）'!C:C&lt;=$L$4),ROW(),"-")</f>
        <v>-</v>
      </c>
    </row>
    <row r="46000" customHeight="1" spans="2:2">
      <c r="B46000" s="62" t="str">
        <f>IF(AND('领用录入（明细）'!D:D=$F$4,'领用录入（明细）'!C:C&gt;=$J$4,'领用录入（明细）'!C:C&lt;=$L$4),ROW(),"-")</f>
        <v>-</v>
      </c>
    </row>
    <row r="46001" customHeight="1" spans="2:2">
      <c r="B46001" s="62" t="str">
        <f>IF(AND('领用录入（明细）'!D:D=$F$4,'领用录入（明细）'!C:C&gt;=$J$4,'领用录入（明细）'!C:C&lt;=$L$4),ROW(),"-")</f>
        <v>-</v>
      </c>
    </row>
    <row r="46002" customHeight="1" spans="2:2">
      <c r="B46002" s="62" t="str">
        <f>IF(AND('领用录入（明细）'!D:D=$F$4,'领用录入（明细）'!C:C&gt;=$J$4,'领用录入（明细）'!C:C&lt;=$L$4),ROW(),"-")</f>
        <v>-</v>
      </c>
    </row>
    <row r="46003" customHeight="1" spans="2:2">
      <c r="B46003" s="62" t="str">
        <f>IF(AND('领用录入（明细）'!D:D=$F$4,'领用录入（明细）'!C:C&gt;=$J$4,'领用录入（明细）'!C:C&lt;=$L$4),ROW(),"-")</f>
        <v>-</v>
      </c>
    </row>
    <row r="46004" customHeight="1" spans="2:2">
      <c r="B46004" s="62" t="str">
        <f>IF(AND('领用录入（明细）'!D:D=$F$4,'领用录入（明细）'!C:C&gt;=$J$4,'领用录入（明细）'!C:C&lt;=$L$4),ROW(),"-")</f>
        <v>-</v>
      </c>
    </row>
    <row r="46005" customHeight="1" spans="2:2">
      <c r="B46005" s="62" t="str">
        <f>IF(AND('领用录入（明细）'!D:D=$F$4,'领用录入（明细）'!C:C&gt;=$J$4,'领用录入（明细）'!C:C&lt;=$L$4),ROW(),"-")</f>
        <v>-</v>
      </c>
    </row>
    <row r="46006" customHeight="1" spans="2:2">
      <c r="B46006" s="62" t="str">
        <f>IF(AND('领用录入（明细）'!D:D=$F$4,'领用录入（明细）'!C:C&gt;=$J$4,'领用录入（明细）'!C:C&lt;=$L$4),ROW(),"-")</f>
        <v>-</v>
      </c>
    </row>
    <row r="46007" customHeight="1" spans="2:2">
      <c r="B46007" s="62" t="str">
        <f>IF(AND('领用录入（明细）'!D:D=$F$4,'领用录入（明细）'!C:C&gt;=$J$4,'领用录入（明细）'!C:C&lt;=$L$4),ROW(),"-")</f>
        <v>-</v>
      </c>
    </row>
    <row r="46008" customHeight="1" spans="2:2">
      <c r="B46008" s="62" t="str">
        <f>IF(AND('领用录入（明细）'!D:D=$F$4,'领用录入（明细）'!C:C&gt;=$J$4,'领用录入（明细）'!C:C&lt;=$L$4),ROW(),"-")</f>
        <v>-</v>
      </c>
    </row>
    <row r="46009" customHeight="1" spans="2:2">
      <c r="B46009" s="62" t="str">
        <f>IF(AND('领用录入（明细）'!D:D=$F$4,'领用录入（明细）'!C:C&gt;=$J$4,'领用录入（明细）'!C:C&lt;=$L$4),ROW(),"-")</f>
        <v>-</v>
      </c>
    </row>
    <row r="46010" customHeight="1" spans="2:2">
      <c r="B46010" s="62" t="str">
        <f>IF(AND('领用录入（明细）'!D:D=$F$4,'领用录入（明细）'!C:C&gt;=$J$4,'领用录入（明细）'!C:C&lt;=$L$4),ROW(),"-")</f>
        <v>-</v>
      </c>
    </row>
    <row r="46011" customHeight="1" spans="2:2">
      <c r="B46011" s="62" t="str">
        <f>IF(AND('领用录入（明细）'!D:D=$F$4,'领用录入（明细）'!C:C&gt;=$J$4,'领用录入（明细）'!C:C&lt;=$L$4),ROW(),"-")</f>
        <v>-</v>
      </c>
    </row>
    <row r="46012" customHeight="1" spans="2:2">
      <c r="B46012" s="62" t="str">
        <f>IF(AND('领用录入（明细）'!D:D=$F$4,'领用录入（明细）'!C:C&gt;=$J$4,'领用录入（明细）'!C:C&lt;=$L$4),ROW(),"-")</f>
        <v>-</v>
      </c>
    </row>
    <row r="46013" customHeight="1" spans="2:2">
      <c r="B46013" s="62" t="str">
        <f>IF(AND('领用录入（明细）'!D:D=$F$4,'领用录入（明细）'!C:C&gt;=$J$4,'领用录入（明细）'!C:C&lt;=$L$4),ROW(),"-")</f>
        <v>-</v>
      </c>
    </row>
    <row r="46014" customHeight="1" spans="2:2">
      <c r="B46014" s="62" t="str">
        <f>IF(AND('领用录入（明细）'!D:D=$F$4,'领用录入（明细）'!C:C&gt;=$J$4,'领用录入（明细）'!C:C&lt;=$L$4),ROW(),"-")</f>
        <v>-</v>
      </c>
    </row>
    <row r="46015" customHeight="1" spans="2:2">
      <c r="B46015" s="62" t="str">
        <f>IF(AND('领用录入（明细）'!D:D=$F$4,'领用录入（明细）'!C:C&gt;=$J$4,'领用录入（明细）'!C:C&lt;=$L$4),ROW(),"-")</f>
        <v>-</v>
      </c>
    </row>
    <row r="46016" customHeight="1" spans="2:2">
      <c r="B46016" s="62" t="str">
        <f>IF(AND('领用录入（明细）'!D:D=$F$4,'领用录入（明细）'!C:C&gt;=$J$4,'领用录入（明细）'!C:C&lt;=$L$4),ROW(),"-")</f>
        <v>-</v>
      </c>
    </row>
    <row r="46017" customHeight="1" spans="2:2">
      <c r="B46017" s="62" t="str">
        <f>IF(AND('领用录入（明细）'!D:D=$F$4,'领用录入（明细）'!C:C&gt;=$J$4,'领用录入（明细）'!C:C&lt;=$L$4),ROW(),"-")</f>
        <v>-</v>
      </c>
    </row>
    <row r="46018" customHeight="1" spans="2:2">
      <c r="B46018" s="62" t="str">
        <f>IF(AND('领用录入（明细）'!D:D=$F$4,'领用录入（明细）'!C:C&gt;=$J$4,'领用录入（明细）'!C:C&lt;=$L$4),ROW(),"-")</f>
        <v>-</v>
      </c>
    </row>
    <row r="46019" customHeight="1" spans="2:2">
      <c r="B46019" s="62" t="str">
        <f>IF(AND('领用录入（明细）'!D:D=$F$4,'领用录入（明细）'!C:C&gt;=$J$4,'领用录入（明细）'!C:C&lt;=$L$4),ROW(),"-")</f>
        <v>-</v>
      </c>
    </row>
    <row r="46020" customHeight="1" spans="2:2">
      <c r="B46020" s="62" t="str">
        <f>IF(AND('领用录入（明细）'!D:D=$F$4,'领用录入（明细）'!C:C&gt;=$J$4,'领用录入（明细）'!C:C&lt;=$L$4),ROW(),"-")</f>
        <v>-</v>
      </c>
    </row>
    <row r="46021" customHeight="1" spans="2:2">
      <c r="B46021" s="62" t="str">
        <f>IF(AND('领用录入（明细）'!D:D=$F$4,'领用录入（明细）'!C:C&gt;=$J$4,'领用录入（明细）'!C:C&lt;=$L$4),ROW(),"-")</f>
        <v>-</v>
      </c>
    </row>
    <row r="46022" customHeight="1" spans="2:2">
      <c r="B46022" s="62" t="str">
        <f>IF(AND('领用录入（明细）'!D:D=$F$4,'领用录入（明细）'!C:C&gt;=$J$4,'领用录入（明细）'!C:C&lt;=$L$4),ROW(),"-")</f>
        <v>-</v>
      </c>
    </row>
    <row r="46023" customHeight="1" spans="2:2">
      <c r="B46023" s="62" t="str">
        <f>IF(AND('领用录入（明细）'!D:D=$F$4,'领用录入（明细）'!C:C&gt;=$J$4,'领用录入（明细）'!C:C&lt;=$L$4),ROW(),"-")</f>
        <v>-</v>
      </c>
    </row>
    <row r="46024" customHeight="1" spans="2:2">
      <c r="B46024" s="62" t="str">
        <f>IF(AND('领用录入（明细）'!D:D=$F$4,'领用录入（明细）'!C:C&gt;=$J$4,'领用录入（明细）'!C:C&lt;=$L$4),ROW(),"-")</f>
        <v>-</v>
      </c>
    </row>
    <row r="46025" customHeight="1" spans="2:2">
      <c r="B46025" s="62" t="str">
        <f>IF(AND('领用录入（明细）'!D:D=$F$4,'领用录入（明细）'!C:C&gt;=$J$4,'领用录入（明细）'!C:C&lt;=$L$4),ROW(),"-")</f>
        <v>-</v>
      </c>
    </row>
    <row r="46026" customHeight="1" spans="2:2">
      <c r="B46026" s="62" t="str">
        <f>IF(AND('领用录入（明细）'!D:D=$F$4,'领用录入（明细）'!C:C&gt;=$J$4,'领用录入（明细）'!C:C&lt;=$L$4),ROW(),"-")</f>
        <v>-</v>
      </c>
    </row>
    <row r="46027" customHeight="1" spans="2:2">
      <c r="B46027" s="62" t="str">
        <f>IF(AND('领用录入（明细）'!D:D=$F$4,'领用录入（明细）'!C:C&gt;=$J$4,'领用录入（明细）'!C:C&lt;=$L$4),ROW(),"-")</f>
        <v>-</v>
      </c>
    </row>
    <row r="46028" customHeight="1" spans="2:2">
      <c r="B46028" s="62" t="str">
        <f>IF(AND('领用录入（明细）'!D:D=$F$4,'领用录入（明细）'!C:C&gt;=$J$4,'领用录入（明细）'!C:C&lt;=$L$4),ROW(),"-")</f>
        <v>-</v>
      </c>
    </row>
    <row r="46029" customHeight="1" spans="2:2">
      <c r="B46029" s="62" t="str">
        <f>IF(AND('领用录入（明细）'!D:D=$F$4,'领用录入（明细）'!C:C&gt;=$J$4,'领用录入（明细）'!C:C&lt;=$L$4),ROW(),"-")</f>
        <v>-</v>
      </c>
    </row>
    <row r="46030" customHeight="1" spans="2:2">
      <c r="B46030" s="62" t="str">
        <f>IF(AND('领用录入（明细）'!D:D=$F$4,'领用录入（明细）'!C:C&gt;=$J$4,'领用录入（明细）'!C:C&lt;=$L$4),ROW(),"-")</f>
        <v>-</v>
      </c>
    </row>
    <row r="46031" customHeight="1" spans="2:2">
      <c r="B46031" s="62" t="str">
        <f>IF(AND('领用录入（明细）'!D:D=$F$4,'领用录入（明细）'!C:C&gt;=$J$4,'领用录入（明细）'!C:C&lt;=$L$4),ROW(),"-")</f>
        <v>-</v>
      </c>
    </row>
    <row r="46032" customHeight="1" spans="2:2">
      <c r="B46032" s="62" t="str">
        <f>IF(AND('领用录入（明细）'!D:D=$F$4,'领用录入（明细）'!C:C&gt;=$J$4,'领用录入（明细）'!C:C&lt;=$L$4),ROW(),"-")</f>
        <v>-</v>
      </c>
    </row>
    <row r="46033" customHeight="1" spans="2:2">
      <c r="B46033" s="62" t="str">
        <f>IF(AND('领用录入（明细）'!D:D=$F$4,'领用录入（明细）'!C:C&gt;=$J$4,'领用录入（明细）'!C:C&lt;=$L$4),ROW(),"-")</f>
        <v>-</v>
      </c>
    </row>
    <row r="46034" customHeight="1" spans="2:2">
      <c r="B46034" s="62" t="str">
        <f>IF(AND('领用录入（明细）'!D:D=$F$4,'领用录入（明细）'!C:C&gt;=$J$4,'领用录入（明细）'!C:C&lt;=$L$4),ROW(),"-")</f>
        <v>-</v>
      </c>
    </row>
    <row r="46035" customHeight="1" spans="2:2">
      <c r="B46035" s="62" t="str">
        <f>IF(AND('领用录入（明细）'!D:D=$F$4,'领用录入（明细）'!C:C&gt;=$J$4,'领用录入（明细）'!C:C&lt;=$L$4),ROW(),"-")</f>
        <v>-</v>
      </c>
    </row>
    <row r="46036" customHeight="1" spans="2:2">
      <c r="B46036" s="62" t="str">
        <f>IF(AND('领用录入（明细）'!D:D=$F$4,'领用录入（明细）'!C:C&gt;=$J$4,'领用录入（明细）'!C:C&lt;=$L$4),ROW(),"-")</f>
        <v>-</v>
      </c>
    </row>
    <row r="46037" customHeight="1" spans="2:2">
      <c r="B46037" s="62" t="str">
        <f>IF(AND('领用录入（明细）'!D:D=$F$4,'领用录入（明细）'!C:C&gt;=$J$4,'领用录入（明细）'!C:C&lt;=$L$4),ROW(),"-")</f>
        <v>-</v>
      </c>
    </row>
    <row r="46038" customHeight="1" spans="2:2">
      <c r="B46038" s="62" t="str">
        <f>IF(AND('领用录入（明细）'!D:D=$F$4,'领用录入（明细）'!C:C&gt;=$J$4,'领用录入（明细）'!C:C&lt;=$L$4),ROW(),"-")</f>
        <v>-</v>
      </c>
    </row>
    <row r="46039" customHeight="1" spans="2:2">
      <c r="B46039" s="62" t="str">
        <f>IF(AND('领用录入（明细）'!D:D=$F$4,'领用录入（明细）'!C:C&gt;=$J$4,'领用录入（明细）'!C:C&lt;=$L$4),ROW(),"-")</f>
        <v>-</v>
      </c>
    </row>
    <row r="46040" customHeight="1" spans="2:2">
      <c r="B46040" s="62" t="str">
        <f>IF(AND('领用录入（明细）'!D:D=$F$4,'领用录入（明细）'!C:C&gt;=$J$4,'领用录入（明细）'!C:C&lt;=$L$4),ROW(),"-")</f>
        <v>-</v>
      </c>
    </row>
    <row r="46041" customHeight="1" spans="2:2">
      <c r="B46041" s="62" t="str">
        <f>IF(AND('领用录入（明细）'!D:D=$F$4,'领用录入（明细）'!C:C&gt;=$J$4,'领用录入（明细）'!C:C&lt;=$L$4),ROW(),"-")</f>
        <v>-</v>
      </c>
    </row>
    <row r="46042" customHeight="1" spans="2:2">
      <c r="B46042" s="62" t="str">
        <f>IF(AND('领用录入（明细）'!D:D=$F$4,'领用录入（明细）'!C:C&gt;=$J$4,'领用录入（明细）'!C:C&lt;=$L$4),ROW(),"-")</f>
        <v>-</v>
      </c>
    </row>
    <row r="46043" customHeight="1" spans="2:2">
      <c r="B46043" s="62" t="str">
        <f>IF(AND('领用录入（明细）'!D:D=$F$4,'领用录入（明细）'!C:C&gt;=$J$4,'领用录入（明细）'!C:C&lt;=$L$4),ROW(),"-")</f>
        <v>-</v>
      </c>
    </row>
    <row r="46044" customHeight="1" spans="2:2">
      <c r="B46044" s="62" t="str">
        <f>IF(AND('领用录入（明细）'!D:D=$F$4,'领用录入（明细）'!C:C&gt;=$J$4,'领用录入（明细）'!C:C&lt;=$L$4),ROW(),"-")</f>
        <v>-</v>
      </c>
    </row>
    <row r="46045" customHeight="1" spans="2:2">
      <c r="B46045" s="62" t="str">
        <f>IF(AND('领用录入（明细）'!D:D=$F$4,'领用录入（明细）'!C:C&gt;=$J$4,'领用录入（明细）'!C:C&lt;=$L$4),ROW(),"-")</f>
        <v>-</v>
      </c>
    </row>
    <row r="46046" customHeight="1" spans="2:2">
      <c r="B46046" s="62" t="str">
        <f>IF(AND('领用录入（明细）'!D:D=$F$4,'领用录入（明细）'!C:C&gt;=$J$4,'领用录入（明细）'!C:C&lt;=$L$4),ROW(),"-")</f>
        <v>-</v>
      </c>
    </row>
    <row r="46047" customHeight="1" spans="2:2">
      <c r="B46047" s="62" t="str">
        <f>IF(AND('领用录入（明细）'!D:D=$F$4,'领用录入（明细）'!C:C&gt;=$J$4,'领用录入（明细）'!C:C&lt;=$L$4),ROW(),"-")</f>
        <v>-</v>
      </c>
    </row>
    <row r="46048" customHeight="1" spans="2:2">
      <c r="B46048" s="62" t="str">
        <f>IF(AND('领用录入（明细）'!D:D=$F$4,'领用录入（明细）'!C:C&gt;=$J$4,'领用录入（明细）'!C:C&lt;=$L$4),ROW(),"-")</f>
        <v>-</v>
      </c>
    </row>
    <row r="46049" customHeight="1" spans="2:2">
      <c r="B46049" s="62" t="str">
        <f>IF(AND('领用录入（明细）'!D:D=$F$4,'领用录入（明细）'!C:C&gt;=$J$4,'领用录入（明细）'!C:C&lt;=$L$4),ROW(),"-")</f>
        <v>-</v>
      </c>
    </row>
    <row r="46050" customHeight="1" spans="2:2">
      <c r="B46050" s="62" t="str">
        <f>IF(AND('领用录入（明细）'!D:D=$F$4,'领用录入（明细）'!C:C&gt;=$J$4,'领用录入（明细）'!C:C&lt;=$L$4),ROW(),"-")</f>
        <v>-</v>
      </c>
    </row>
    <row r="46051" customHeight="1" spans="2:2">
      <c r="B46051" s="62" t="str">
        <f>IF(AND('领用录入（明细）'!D:D=$F$4,'领用录入（明细）'!C:C&gt;=$J$4,'领用录入（明细）'!C:C&lt;=$L$4),ROW(),"-")</f>
        <v>-</v>
      </c>
    </row>
    <row r="46052" customHeight="1" spans="2:2">
      <c r="B46052" s="62" t="str">
        <f>IF(AND('领用录入（明细）'!D:D=$F$4,'领用录入（明细）'!C:C&gt;=$J$4,'领用录入（明细）'!C:C&lt;=$L$4),ROW(),"-")</f>
        <v>-</v>
      </c>
    </row>
    <row r="46053" customHeight="1" spans="2:2">
      <c r="B46053" s="62" t="str">
        <f>IF(AND('领用录入（明细）'!D:D=$F$4,'领用录入（明细）'!C:C&gt;=$J$4,'领用录入（明细）'!C:C&lt;=$L$4),ROW(),"-")</f>
        <v>-</v>
      </c>
    </row>
    <row r="46054" customHeight="1" spans="2:2">
      <c r="B46054" s="62" t="str">
        <f>IF(AND('领用录入（明细）'!D:D=$F$4,'领用录入（明细）'!C:C&gt;=$J$4,'领用录入（明细）'!C:C&lt;=$L$4),ROW(),"-")</f>
        <v>-</v>
      </c>
    </row>
    <row r="46055" customHeight="1" spans="2:2">
      <c r="B46055" s="62" t="str">
        <f>IF(AND('领用录入（明细）'!D:D=$F$4,'领用录入（明细）'!C:C&gt;=$J$4,'领用录入（明细）'!C:C&lt;=$L$4),ROW(),"-")</f>
        <v>-</v>
      </c>
    </row>
    <row r="46056" customHeight="1" spans="2:2">
      <c r="B46056" s="62" t="str">
        <f>IF(AND('领用录入（明细）'!D:D=$F$4,'领用录入（明细）'!C:C&gt;=$J$4,'领用录入（明细）'!C:C&lt;=$L$4),ROW(),"-")</f>
        <v>-</v>
      </c>
    </row>
    <row r="46057" customHeight="1" spans="2:2">
      <c r="B46057" s="62" t="str">
        <f>IF(AND('领用录入（明细）'!D:D=$F$4,'领用录入（明细）'!C:C&gt;=$J$4,'领用录入（明细）'!C:C&lt;=$L$4),ROW(),"-")</f>
        <v>-</v>
      </c>
    </row>
    <row r="46058" customHeight="1" spans="2:2">
      <c r="B46058" s="62" t="str">
        <f>IF(AND('领用录入（明细）'!D:D=$F$4,'领用录入（明细）'!C:C&gt;=$J$4,'领用录入（明细）'!C:C&lt;=$L$4),ROW(),"-")</f>
        <v>-</v>
      </c>
    </row>
    <row r="46059" customHeight="1" spans="2:2">
      <c r="B46059" s="62" t="str">
        <f>IF(AND('领用录入（明细）'!D:D=$F$4,'领用录入（明细）'!C:C&gt;=$J$4,'领用录入（明细）'!C:C&lt;=$L$4),ROW(),"-")</f>
        <v>-</v>
      </c>
    </row>
    <row r="46060" customHeight="1" spans="2:2">
      <c r="B46060" s="62" t="str">
        <f>IF(AND('领用录入（明细）'!D:D=$F$4,'领用录入（明细）'!C:C&gt;=$J$4,'领用录入（明细）'!C:C&lt;=$L$4),ROW(),"-")</f>
        <v>-</v>
      </c>
    </row>
    <row r="46061" customHeight="1" spans="2:2">
      <c r="B46061" s="62" t="str">
        <f>IF(AND('领用录入（明细）'!D:D=$F$4,'领用录入（明细）'!C:C&gt;=$J$4,'领用录入（明细）'!C:C&lt;=$L$4),ROW(),"-")</f>
        <v>-</v>
      </c>
    </row>
    <row r="46062" customHeight="1" spans="2:2">
      <c r="B46062" s="62" t="str">
        <f>IF(AND('领用录入（明细）'!D:D=$F$4,'领用录入（明细）'!C:C&gt;=$J$4,'领用录入（明细）'!C:C&lt;=$L$4),ROW(),"-")</f>
        <v>-</v>
      </c>
    </row>
    <row r="46063" customHeight="1" spans="2:2">
      <c r="B46063" s="62" t="str">
        <f>IF(AND('领用录入（明细）'!D:D=$F$4,'领用录入（明细）'!C:C&gt;=$J$4,'领用录入（明细）'!C:C&lt;=$L$4),ROW(),"-")</f>
        <v>-</v>
      </c>
    </row>
    <row r="46064" customHeight="1" spans="2:2">
      <c r="B46064" s="62" t="str">
        <f>IF(AND('领用录入（明细）'!D:D=$F$4,'领用录入（明细）'!C:C&gt;=$J$4,'领用录入（明细）'!C:C&lt;=$L$4),ROW(),"-")</f>
        <v>-</v>
      </c>
    </row>
    <row r="46065" customHeight="1" spans="2:2">
      <c r="B46065" s="62" t="str">
        <f>IF(AND('领用录入（明细）'!D:D=$F$4,'领用录入（明细）'!C:C&gt;=$J$4,'领用录入（明细）'!C:C&lt;=$L$4),ROW(),"-")</f>
        <v>-</v>
      </c>
    </row>
    <row r="46066" customHeight="1" spans="2:2">
      <c r="B46066" s="62" t="str">
        <f>IF(AND('领用录入（明细）'!D:D=$F$4,'领用录入（明细）'!C:C&gt;=$J$4,'领用录入（明细）'!C:C&lt;=$L$4),ROW(),"-")</f>
        <v>-</v>
      </c>
    </row>
    <row r="46067" customHeight="1" spans="2:2">
      <c r="B46067" s="62" t="str">
        <f>IF(AND('领用录入（明细）'!D:D=$F$4,'领用录入（明细）'!C:C&gt;=$J$4,'领用录入（明细）'!C:C&lt;=$L$4),ROW(),"-")</f>
        <v>-</v>
      </c>
    </row>
    <row r="46068" customHeight="1" spans="2:2">
      <c r="B46068" s="62" t="str">
        <f>IF(AND('领用录入（明细）'!D:D=$F$4,'领用录入（明细）'!C:C&gt;=$J$4,'领用录入（明细）'!C:C&lt;=$L$4),ROW(),"-")</f>
        <v>-</v>
      </c>
    </row>
    <row r="46069" customHeight="1" spans="2:2">
      <c r="B46069" s="62" t="str">
        <f>IF(AND('领用录入（明细）'!D:D=$F$4,'领用录入（明细）'!C:C&gt;=$J$4,'领用录入（明细）'!C:C&lt;=$L$4),ROW(),"-")</f>
        <v>-</v>
      </c>
    </row>
    <row r="46070" customHeight="1" spans="2:2">
      <c r="B46070" s="62" t="str">
        <f>IF(AND('领用录入（明细）'!D:D=$F$4,'领用录入（明细）'!C:C&gt;=$J$4,'领用录入（明细）'!C:C&lt;=$L$4),ROW(),"-")</f>
        <v>-</v>
      </c>
    </row>
    <row r="46071" customHeight="1" spans="2:2">
      <c r="B46071" s="62" t="str">
        <f>IF(AND('领用录入（明细）'!D:D=$F$4,'领用录入（明细）'!C:C&gt;=$J$4,'领用录入（明细）'!C:C&lt;=$L$4),ROW(),"-")</f>
        <v>-</v>
      </c>
    </row>
    <row r="46072" customHeight="1" spans="2:2">
      <c r="B46072" s="62" t="str">
        <f>IF(AND('领用录入（明细）'!D:D=$F$4,'领用录入（明细）'!C:C&gt;=$J$4,'领用录入（明细）'!C:C&lt;=$L$4),ROW(),"-")</f>
        <v>-</v>
      </c>
    </row>
    <row r="46073" customHeight="1" spans="2:2">
      <c r="B46073" s="62" t="str">
        <f>IF(AND('领用录入（明细）'!D:D=$F$4,'领用录入（明细）'!C:C&gt;=$J$4,'领用录入（明细）'!C:C&lt;=$L$4),ROW(),"-")</f>
        <v>-</v>
      </c>
    </row>
    <row r="46074" customHeight="1" spans="2:2">
      <c r="B46074" s="62" t="str">
        <f>IF(AND('领用录入（明细）'!D:D=$F$4,'领用录入（明细）'!C:C&gt;=$J$4,'领用录入（明细）'!C:C&lt;=$L$4),ROW(),"-")</f>
        <v>-</v>
      </c>
    </row>
    <row r="46075" customHeight="1" spans="2:2">
      <c r="B46075" s="62" t="str">
        <f>IF(AND('领用录入（明细）'!D:D=$F$4,'领用录入（明细）'!C:C&gt;=$J$4,'领用录入（明细）'!C:C&lt;=$L$4),ROW(),"-")</f>
        <v>-</v>
      </c>
    </row>
    <row r="46076" customHeight="1" spans="2:2">
      <c r="B46076" s="62" t="str">
        <f>IF(AND('领用录入（明细）'!D:D=$F$4,'领用录入（明细）'!C:C&gt;=$J$4,'领用录入（明细）'!C:C&lt;=$L$4),ROW(),"-")</f>
        <v>-</v>
      </c>
    </row>
    <row r="46077" customHeight="1" spans="2:2">
      <c r="B46077" s="62" t="str">
        <f>IF(AND('领用录入（明细）'!D:D=$F$4,'领用录入（明细）'!C:C&gt;=$J$4,'领用录入（明细）'!C:C&lt;=$L$4),ROW(),"-")</f>
        <v>-</v>
      </c>
    </row>
    <row r="46078" customHeight="1" spans="2:2">
      <c r="B46078" s="62" t="str">
        <f>IF(AND('领用录入（明细）'!D:D=$F$4,'领用录入（明细）'!C:C&gt;=$J$4,'领用录入（明细）'!C:C&lt;=$L$4),ROW(),"-")</f>
        <v>-</v>
      </c>
    </row>
    <row r="46079" customHeight="1" spans="2:2">
      <c r="B46079" s="62" t="str">
        <f>IF(AND('领用录入（明细）'!D:D=$F$4,'领用录入（明细）'!C:C&gt;=$J$4,'领用录入（明细）'!C:C&lt;=$L$4),ROW(),"-")</f>
        <v>-</v>
      </c>
    </row>
    <row r="46080" customHeight="1" spans="2:2">
      <c r="B46080" s="62" t="str">
        <f>IF(AND('领用录入（明细）'!D:D=$F$4,'领用录入（明细）'!C:C&gt;=$J$4,'领用录入（明细）'!C:C&lt;=$L$4),ROW(),"-")</f>
        <v>-</v>
      </c>
    </row>
    <row r="46081" customHeight="1" spans="2:2">
      <c r="B46081" s="62" t="str">
        <f>IF(AND('领用录入（明细）'!D:D=$F$4,'领用录入（明细）'!C:C&gt;=$J$4,'领用录入（明细）'!C:C&lt;=$L$4),ROW(),"-")</f>
        <v>-</v>
      </c>
    </row>
    <row r="46082" customHeight="1" spans="2:2">
      <c r="B46082" s="62" t="str">
        <f>IF(AND('领用录入（明细）'!D:D=$F$4,'领用录入（明细）'!C:C&gt;=$J$4,'领用录入（明细）'!C:C&lt;=$L$4),ROW(),"-")</f>
        <v>-</v>
      </c>
    </row>
    <row r="46083" customHeight="1" spans="2:2">
      <c r="B46083" s="62" t="str">
        <f>IF(AND('领用录入（明细）'!D:D=$F$4,'领用录入（明细）'!C:C&gt;=$J$4,'领用录入（明细）'!C:C&lt;=$L$4),ROW(),"-")</f>
        <v>-</v>
      </c>
    </row>
    <row r="46084" customHeight="1" spans="2:2">
      <c r="B46084" s="62" t="str">
        <f>IF(AND('领用录入（明细）'!D:D=$F$4,'领用录入（明细）'!C:C&gt;=$J$4,'领用录入（明细）'!C:C&lt;=$L$4),ROW(),"-")</f>
        <v>-</v>
      </c>
    </row>
    <row r="46085" customHeight="1" spans="2:2">
      <c r="B46085" s="62" t="str">
        <f>IF(AND('领用录入（明细）'!D:D=$F$4,'领用录入（明细）'!C:C&gt;=$J$4,'领用录入（明细）'!C:C&lt;=$L$4),ROW(),"-")</f>
        <v>-</v>
      </c>
    </row>
    <row r="46086" customHeight="1" spans="2:2">
      <c r="B46086" s="62" t="str">
        <f>IF(AND('领用录入（明细）'!D:D=$F$4,'领用录入（明细）'!C:C&gt;=$J$4,'领用录入（明细）'!C:C&lt;=$L$4),ROW(),"-")</f>
        <v>-</v>
      </c>
    </row>
    <row r="46087" customHeight="1" spans="2:2">
      <c r="B46087" s="62" t="str">
        <f>IF(AND('领用录入（明细）'!D:D=$F$4,'领用录入（明细）'!C:C&gt;=$J$4,'领用录入（明细）'!C:C&lt;=$L$4),ROW(),"-")</f>
        <v>-</v>
      </c>
    </row>
    <row r="46088" customHeight="1" spans="2:2">
      <c r="B46088" s="62" t="str">
        <f>IF(AND('领用录入（明细）'!D:D=$F$4,'领用录入（明细）'!C:C&gt;=$J$4,'领用录入（明细）'!C:C&lt;=$L$4),ROW(),"-")</f>
        <v>-</v>
      </c>
    </row>
    <row r="46089" customHeight="1" spans="2:2">
      <c r="B46089" s="62" t="str">
        <f>IF(AND('领用录入（明细）'!D:D=$F$4,'领用录入（明细）'!C:C&gt;=$J$4,'领用录入（明细）'!C:C&lt;=$L$4),ROW(),"-")</f>
        <v>-</v>
      </c>
    </row>
    <row r="46090" customHeight="1" spans="2:2">
      <c r="B46090" s="62" t="str">
        <f>IF(AND('领用录入（明细）'!D:D=$F$4,'领用录入（明细）'!C:C&gt;=$J$4,'领用录入（明细）'!C:C&lt;=$L$4),ROW(),"-")</f>
        <v>-</v>
      </c>
    </row>
    <row r="46091" customHeight="1" spans="2:2">
      <c r="B46091" s="62" t="str">
        <f>IF(AND('领用录入（明细）'!D:D=$F$4,'领用录入（明细）'!C:C&gt;=$J$4,'领用录入（明细）'!C:C&lt;=$L$4),ROW(),"-")</f>
        <v>-</v>
      </c>
    </row>
    <row r="46092" customHeight="1" spans="2:2">
      <c r="B46092" s="62" t="str">
        <f>IF(AND('领用录入（明细）'!D:D=$F$4,'领用录入（明细）'!C:C&gt;=$J$4,'领用录入（明细）'!C:C&lt;=$L$4),ROW(),"-")</f>
        <v>-</v>
      </c>
    </row>
    <row r="46093" customHeight="1" spans="2:2">
      <c r="B46093" s="62" t="str">
        <f>IF(AND('领用录入（明细）'!D:D=$F$4,'领用录入（明细）'!C:C&gt;=$J$4,'领用录入（明细）'!C:C&lt;=$L$4),ROW(),"-")</f>
        <v>-</v>
      </c>
    </row>
    <row r="46094" customHeight="1" spans="2:2">
      <c r="B46094" s="62" t="str">
        <f>IF(AND('领用录入（明细）'!D:D=$F$4,'领用录入（明细）'!C:C&gt;=$J$4,'领用录入（明细）'!C:C&lt;=$L$4),ROW(),"-")</f>
        <v>-</v>
      </c>
    </row>
    <row r="46095" customHeight="1" spans="2:2">
      <c r="B46095" s="62" t="str">
        <f>IF(AND('领用录入（明细）'!D:D=$F$4,'领用录入（明细）'!C:C&gt;=$J$4,'领用录入（明细）'!C:C&lt;=$L$4),ROW(),"-")</f>
        <v>-</v>
      </c>
    </row>
    <row r="46096" customHeight="1" spans="2:2">
      <c r="B46096" s="62" t="str">
        <f>IF(AND('领用录入（明细）'!D:D=$F$4,'领用录入（明细）'!C:C&gt;=$J$4,'领用录入（明细）'!C:C&lt;=$L$4),ROW(),"-")</f>
        <v>-</v>
      </c>
    </row>
    <row r="46097" customHeight="1" spans="2:2">
      <c r="B46097" s="62" t="str">
        <f>IF(AND('领用录入（明细）'!D:D=$F$4,'领用录入（明细）'!C:C&gt;=$J$4,'领用录入（明细）'!C:C&lt;=$L$4),ROW(),"-")</f>
        <v>-</v>
      </c>
    </row>
    <row r="46098" customHeight="1" spans="2:2">
      <c r="B46098" s="62" t="str">
        <f>IF(AND('领用录入（明细）'!D:D=$F$4,'领用录入（明细）'!C:C&gt;=$J$4,'领用录入（明细）'!C:C&lt;=$L$4),ROW(),"-")</f>
        <v>-</v>
      </c>
    </row>
    <row r="46099" customHeight="1" spans="2:2">
      <c r="B46099" s="62" t="str">
        <f>IF(AND('领用录入（明细）'!D:D=$F$4,'领用录入（明细）'!C:C&gt;=$J$4,'领用录入（明细）'!C:C&lt;=$L$4),ROW(),"-")</f>
        <v>-</v>
      </c>
    </row>
    <row r="46100" customHeight="1" spans="2:2">
      <c r="B46100" s="62" t="str">
        <f>IF(AND('领用录入（明细）'!D:D=$F$4,'领用录入（明细）'!C:C&gt;=$J$4,'领用录入（明细）'!C:C&lt;=$L$4),ROW(),"-")</f>
        <v>-</v>
      </c>
    </row>
    <row r="46101" customHeight="1" spans="2:2">
      <c r="B46101" s="62" t="str">
        <f>IF(AND('领用录入（明细）'!D:D=$F$4,'领用录入（明细）'!C:C&gt;=$J$4,'领用录入（明细）'!C:C&lt;=$L$4),ROW(),"-")</f>
        <v>-</v>
      </c>
    </row>
    <row r="46102" customHeight="1" spans="2:2">
      <c r="B46102" s="62" t="str">
        <f>IF(AND('领用录入（明细）'!D:D=$F$4,'领用录入（明细）'!C:C&gt;=$J$4,'领用录入（明细）'!C:C&lt;=$L$4),ROW(),"-")</f>
        <v>-</v>
      </c>
    </row>
    <row r="46103" customHeight="1" spans="2:2">
      <c r="B46103" s="62" t="str">
        <f>IF(AND('领用录入（明细）'!D:D=$F$4,'领用录入（明细）'!C:C&gt;=$J$4,'领用录入（明细）'!C:C&lt;=$L$4),ROW(),"-")</f>
        <v>-</v>
      </c>
    </row>
    <row r="46104" customHeight="1" spans="2:2">
      <c r="B46104" s="62" t="str">
        <f>IF(AND('领用录入（明细）'!D:D=$F$4,'领用录入（明细）'!C:C&gt;=$J$4,'领用录入（明细）'!C:C&lt;=$L$4),ROW(),"-")</f>
        <v>-</v>
      </c>
    </row>
    <row r="46105" customHeight="1" spans="2:2">
      <c r="B46105" s="62" t="str">
        <f>IF(AND('领用录入（明细）'!D:D=$F$4,'领用录入（明细）'!C:C&gt;=$J$4,'领用录入（明细）'!C:C&lt;=$L$4),ROW(),"-")</f>
        <v>-</v>
      </c>
    </row>
    <row r="46106" customHeight="1" spans="2:2">
      <c r="B46106" s="62" t="str">
        <f>IF(AND('领用录入（明细）'!D:D=$F$4,'领用录入（明细）'!C:C&gt;=$J$4,'领用录入（明细）'!C:C&lt;=$L$4),ROW(),"-")</f>
        <v>-</v>
      </c>
    </row>
    <row r="46107" customHeight="1" spans="2:2">
      <c r="B46107" s="62" t="str">
        <f>IF(AND('领用录入（明细）'!D:D=$F$4,'领用录入（明细）'!C:C&gt;=$J$4,'领用录入（明细）'!C:C&lt;=$L$4),ROW(),"-")</f>
        <v>-</v>
      </c>
    </row>
    <row r="46108" customHeight="1" spans="2:2">
      <c r="B46108" s="62" t="str">
        <f>IF(AND('领用录入（明细）'!D:D=$F$4,'领用录入（明细）'!C:C&gt;=$J$4,'领用录入（明细）'!C:C&lt;=$L$4),ROW(),"-")</f>
        <v>-</v>
      </c>
    </row>
    <row r="46109" customHeight="1" spans="2:2">
      <c r="B46109" s="62" t="str">
        <f>IF(AND('领用录入（明细）'!D:D=$F$4,'领用录入（明细）'!C:C&gt;=$J$4,'领用录入（明细）'!C:C&lt;=$L$4),ROW(),"-")</f>
        <v>-</v>
      </c>
    </row>
    <row r="46110" customHeight="1" spans="2:2">
      <c r="B46110" s="62" t="str">
        <f>IF(AND('领用录入（明细）'!D:D=$F$4,'领用录入（明细）'!C:C&gt;=$J$4,'领用录入（明细）'!C:C&lt;=$L$4),ROW(),"-")</f>
        <v>-</v>
      </c>
    </row>
    <row r="46111" customHeight="1" spans="2:2">
      <c r="B46111" s="62" t="str">
        <f>IF(AND('领用录入（明细）'!D:D=$F$4,'领用录入（明细）'!C:C&gt;=$J$4,'领用录入（明细）'!C:C&lt;=$L$4),ROW(),"-")</f>
        <v>-</v>
      </c>
    </row>
    <row r="46112" customHeight="1" spans="2:2">
      <c r="B46112" s="62" t="str">
        <f>IF(AND('领用录入（明细）'!D:D=$F$4,'领用录入（明细）'!C:C&gt;=$J$4,'领用录入（明细）'!C:C&lt;=$L$4),ROW(),"-")</f>
        <v>-</v>
      </c>
    </row>
    <row r="46113" customHeight="1" spans="2:2">
      <c r="B46113" s="62" t="str">
        <f>IF(AND('领用录入（明细）'!D:D=$F$4,'领用录入（明细）'!C:C&gt;=$J$4,'领用录入（明细）'!C:C&lt;=$L$4),ROW(),"-")</f>
        <v>-</v>
      </c>
    </row>
    <row r="46114" customHeight="1" spans="2:2">
      <c r="B46114" s="62" t="str">
        <f>IF(AND('领用录入（明细）'!D:D=$F$4,'领用录入（明细）'!C:C&gt;=$J$4,'领用录入（明细）'!C:C&lt;=$L$4),ROW(),"-")</f>
        <v>-</v>
      </c>
    </row>
    <row r="46115" customHeight="1" spans="2:2">
      <c r="B46115" s="62" t="str">
        <f>IF(AND('领用录入（明细）'!D:D=$F$4,'领用录入（明细）'!C:C&gt;=$J$4,'领用录入（明细）'!C:C&lt;=$L$4),ROW(),"-")</f>
        <v>-</v>
      </c>
    </row>
    <row r="46116" customHeight="1" spans="2:2">
      <c r="B46116" s="62" t="str">
        <f>IF(AND('领用录入（明细）'!D:D=$F$4,'领用录入（明细）'!C:C&gt;=$J$4,'领用录入（明细）'!C:C&lt;=$L$4),ROW(),"-")</f>
        <v>-</v>
      </c>
    </row>
    <row r="46117" customHeight="1" spans="2:2">
      <c r="B46117" s="62" t="str">
        <f>IF(AND('领用录入（明细）'!D:D=$F$4,'领用录入（明细）'!C:C&gt;=$J$4,'领用录入（明细）'!C:C&lt;=$L$4),ROW(),"-")</f>
        <v>-</v>
      </c>
    </row>
    <row r="46118" customHeight="1" spans="2:2">
      <c r="B46118" s="62" t="str">
        <f>IF(AND('领用录入（明细）'!D:D=$F$4,'领用录入（明细）'!C:C&gt;=$J$4,'领用录入（明细）'!C:C&lt;=$L$4),ROW(),"-")</f>
        <v>-</v>
      </c>
    </row>
    <row r="46119" customHeight="1" spans="2:2">
      <c r="B46119" s="62" t="str">
        <f>IF(AND('领用录入（明细）'!D:D=$F$4,'领用录入（明细）'!C:C&gt;=$J$4,'领用录入（明细）'!C:C&lt;=$L$4),ROW(),"-")</f>
        <v>-</v>
      </c>
    </row>
    <row r="46120" customHeight="1" spans="2:2">
      <c r="B46120" s="62" t="str">
        <f>IF(AND('领用录入（明细）'!D:D=$F$4,'领用录入（明细）'!C:C&gt;=$J$4,'领用录入（明细）'!C:C&lt;=$L$4),ROW(),"-")</f>
        <v>-</v>
      </c>
    </row>
    <row r="46121" customHeight="1" spans="2:2">
      <c r="B46121" s="62" t="str">
        <f>IF(AND('领用录入（明细）'!D:D=$F$4,'领用录入（明细）'!C:C&gt;=$J$4,'领用录入（明细）'!C:C&lt;=$L$4),ROW(),"-")</f>
        <v>-</v>
      </c>
    </row>
    <row r="46122" customHeight="1" spans="2:2">
      <c r="B46122" s="62" t="str">
        <f>IF(AND('领用录入（明细）'!D:D=$F$4,'领用录入（明细）'!C:C&gt;=$J$4,'领用录入（明细）'!C:C&lt;=$L$4),ROW(),"-")</f>
        <v>-</v>
      </c>
    </row>
    <row r="46123" customHeight="1" spans="2:2">
      <c r="B46123" s="62" t="str">
        <f>IF(AND('领用录入（明细）'!D:D=$F$4,'领用录入（明细）'!C:C&gt;=$J$4,'领用录入（明细）'!C:C&lt;=$L$4),ROW(),"-")</f>
        <v>-</v>
      </c>
    </row>
    <row r="46124" customHeight="1" spans="2:2">
      <c r="B46124" s="62" t="str">
        <f>IF(AND('领用录入（明细）'!D:D=$F$4,'领用录入（明细）'!C:C&gt;=$J$4,'领用录入（明细）'!C:C&lt;=$L$4),ROW(),"-")</f>
        <v>-</v>
      </c>
    </row>
    <row r="46125" customHeight="1" spans="2:2">
      <c r="B46125" s="62" t="str">
        <f>IF(AND('领用录入（明细）'!D:D=$F$4,'领用录入（明细）'!C:C&gt;=$J$4,'领用录入（明细）'!C:C&lt;=$L$4),ROW(),"-")</f>
        <v>-</v>
      </c>
    </row>
    <row r="46126" customHeight="1" spans="2:2">
      <c r="B46126" s="62" t="str">
        <f>IF(AND('领用录入（明细）'!D:D=$F$4,'领用录入（明细）'!C:C&gt;=$J$4,'领用录入（明细）'!C:C&lt;=$L$4),ROW(),"-")</f>
        <v>-</v>
      </c>
    </row>
    <row r="46127" customHeight="1" spans="2:2">
      <c r="B46127" s="62" t="str">
        <f>IF(AND('领用录入（明细）'!D:D=$F$4,'领用录入（明细）'!C:C&gt;=$J$4,'领用录入（明细）'!C:C&lt;=$L$4),ROW(),"-")</f>
        <v>-</v>
      </c>
    </row>
    <row r="46128" customHeight="1" spans="2:2">
      <c r="B46128" s="62" t="str">
        <f>IF(AND('领用录入（明细）'!D:D=$F$4,'领用录入（明细）'!C:C&gt;=$J$4,'领用录入（明细）'!C:C&lt;=$L$4),ROW(),"-")</f>
        <v>-</v>
      </c>
    </row>
    <row r="46129" customHeight="1" spans="2:2">
      <c r="B46129" s="62" t="str">
        <f>IF(AND('领用录入（明细）'!D:D=$F$4,'领用录入（明细）'!C:C&gt;=$J$4,'领用录入（明细）'!C:C&lt;=$L$4),ROW(),"-")</f>
        <v>-</v>
      </c>
    </row>
    <row r="46130" customHeight="1" spans="2:2">
      <c r="B46130" s="62" t="str">
        <f>IF(AND('领用录入（明细）'!D:D=$F$4,'领用录入（明细）'!C:C&gt;=$J$4,'领用录入（明细）'!C:C&lt;=$L$4),ROW(),"-")</f>
        <v>-</v>
      </c>
    </row>
    <row r="46131" customHeight="1" spans="2:2">
      <c r="B46131" s="62" t="str">
        <f>IF(AND('领用录入（明细）'!D:D=$F$4,'领用录入（明细）'!C:C&gt;=$J$4,'领用录入（明细）'!C:C&lt;=$L$4),ROW(),"-")</f>
        <v>-</v>
      </c>
    </row>
    <row r="46132" customHeight="1" spans="2:2">
      <c r="B46132" s="62" t="str">
        <f>IF(AND('领用录入（明细）'!D:D=$F$4,'领用录入（明细）'!C:C&gt;=$J$4,'领用录入（明细）'!C:C&lt;=$L$4),ROW(),"-")</f>
        <v>-</v>
      </c>
    </row>
    <row r="46133" customHeight="1" spans="2:2">
      <c r="B46133" s="62" t="str">
        <f>IF(AND('领用录入（明细）'!D:D=$F$4,'领用录入（明细）'!C:C&gt;=$J$4,'领用录入（明细）'!C:C&lt;=$L$4),ROW(),"-")</f>
        <v>-</v>
      </c>
    </row>
    <row r="46134" customHeight="1" spans="2:2">
      <c r="B46134" s="62" t="str">
        <f>IF(AND('领用录入（明细）'!D:D=$F$4,'领用录入（明细）'!C:C&gt;=$J$4,'领用录入（明细）'!C:C&lt;=$L$4),ROW(),"-")</f>
        <v>-</v>
      </c>
    </row>
    <row r="46135" customHeight="1" spans="2:2">
      <c r="B46135" s="62" t="str">
        <f>IF(AND('领用录入（明细）'!D:D=$F$4,'领用录入（明细）'!C:C&gt;=$J$4,'领用录入（明细）'!C:C&lt;=$L$4),ROW(),"-")</f>
        <v>-</v>
      </c>
    </row>
    <row r="46136" customHeight="1" spans="2:2">
      <c r="B46136" s="62" t="str">
        <f>IF(AND('领用录入（明细）'!D:D=$F$4,'领用录入（明细）'!C:C&gt;=$J$4,'领用录入（明细）'!C:C&lt;=$L$4),ROW(),"-")</f>
        <v>-</v>
      </c>
    </row>
    <row r="46137" customHeight="1" spans="2:2">
      <c r="B46137" s="62" t="str">
        <f>IF(AND('领用录入（明细）'!D:D=$F$4,'领用录入（明细）'!C:C&gt;=$J$4,'领用录入（明细）'!C:C&lt;=$L$4),ROW(),"-")</f>
        <v>-</v>
      </c>
    </row>
    <row r="46138" customHeight="1" spans="2:2">
      <c r="B46138" s="62" t="str">
        <f>IF(AND('领用录入（明细）'!D:D=$F$4,'领用录入（明细）'!C:C&gt;=$J$4,'领用录入（明细）'!C:C&lt;=$L$4),ROW(),"-")</f>
        <v>-</v>
      </c>
    </row>
    <row r="46139" customHeight="1" spans="2:2">
      <c r="B46139" s="62" t="str">
        <f>IF(AND('领用录入（明细）'!D:D=$F$4,'领用录入（明细）'!C:C&gt;=$J$4,'领用录入（明细）'!C:C&lt;=$L$4),ROW(),"-")</f>
        <v>-</v>
      </c>
    </row>
    <row r="46140" customHeight="1" spans="2:2">
      <c r="B46140" s="62" t="str">
        <f>IF(AND('领用录入（明细）'!D:D=$F$4,'领用录入（明细）'!C:C&gt;=$J$4,'领用录入（明细）'!C:C&lt;=$L$4),ROW(),"-")</f>
        <v>-</v>
      </c>
    </row>
    <row r="46141" customHeight="1" spans="2:2">
      <c r="B46141" s="62" t="str">
        <f>IF(AND('领用录入（明细）'!D:D=$F$4,'领用录入（明细）'!C:C&gt;=$J$4,'领用录入（明细）'!C:C&lt;=$L$4),ROW(),"-")</f>
        <v>-</v>
      </c>
    </row>
    <row r="46142" customHeight="1" spans="2:2">
      <c r="B46142" s="62" t="str">
        <f>IF(AND('领用录入（明细）'!D:D=$F$4,'领用录入（明细）'!C:C&gt;=$J$4,'领用录入（明细）'!C:C&lt;=$L$4),ROW(),"-")</f>
        <v>-</v>
      </c>
    </row>
    <row r="46143" customHeight="1" spans="2:2">
      <c r="B46143" s="62" t="str">
        <f>IF(AND('领用录入（明细）'!D:D=$F$4,'领用录入（明细）'!C:C&gt;=$J$4,'领用录入（明细）'!C:C&lt;=$L$4),ROW(),"-")</f>
        <v>-</v>
      </c>
    </row>
    <row r="46144" customHeight="1" spans="2:2">
      <c r="B46144" s="62" t="str">
        <f>IF(AND('领用录入（明细）'!D:D=$F$4,'领用录入（明细）'!C:C&gt;=$J$4,'领用录入（明细）'!C:C&lt;=$L$4),ROW(),"-")</f>
        <v>-</v>
      </c>
    </row>
    <row r="46145" customHeight="1" spans="2:2">
      <c r="B46145" s="62" t="str">
        <f>IF(AND('领用录入（明细）'!D:D=$F$4,'领用录入（明细）'!C:C&gt;=$J$4,'领用录入（明细）'!C:C&lt;=$L$4),ROW(),"-")</f>
        <v>-</v>
      </c>
    </row>
    <row r="46146" customHeight="1" spans="2:2">
      <c r="B46146" s="62" t="str">
        <f>IF(AND('领用录入（明细）'!D:D=$F$4,'领用录入（明细）'!C:C&gt;=$J$4,'领用录入（明细）'!C:C&lt;=$L$4),ROW(),"-")</f>
        <v>-</v>
      </c>
    </row>
    <row r="46147" customHeight="1" spans="2:2">
      <c r="B46147" s="62" t="str">
        <f>IF(AND('领用录入（明细）'!D:D=$F$4,'领用录入（明细）'!C:C&gt;=$J$4,'领用录入（明细）'!C:C&lt;=$L$4),ROW(),"-")</f>
        <v>-</v>
      </c>
    </row>
    <row r="46148" customHeight="1" spans="2:2">
      <c r="B46148" s="62" t="str">
        <f>IF(AND('领用录入（明细）'!D:D=$F$4,'领用录入（明细）'!C:C&gt;=$J$4,'领用录入（明细）'!C:C&lt;=$L$4),ROW(),"-")</f>
        <v>-</v>
      </c>
    </row>
    <row r="46149" customHeight="1" spans="2:2">
      <c r="B46149" s="62" t="str">
        <f>IF(AND('领用录入（明细）'!D:D=$F$4,'领用录入（明细）'!C:C&gt;=$J$4,'领用录入（明细）'!C:C&lt;=$L$4),ROW(),"-")</f>
        <v>-</v>
      </c>
    </row>
    <row r="46150" customHeight="1" spans="2:2">
      <c r="B46150" s="62" t="str">
        <f>IF(AND('领用录入（明细）'!D:D=$F$4,'领用录入（明细）'!C:C&gt;=$J$4,'领用录入（明细）'!C:C&lt;=$L$4),ROW(),"-")</f>
        <v>-</v>
      </c>
    </row>
    <row r="46151" customHeight="1" spans="2:2">
      <c r="B46151" s="62" t="str">
        <f>IF(AND('领用录入（明细）'!D:D=$F$4,'领用录入（明细）'!C:C&gt;=$J$4,'领用录入（明细）'!C:C&lt;=$L$4),ROW(),"-")</f>
        <v>-</v>
      </c>
    </row>
    <row r="46152" customHeight="1" spans="2:2">
      <c r="B46152" s="62" t="str">
        <f>IF(AND('领用录入（明细）'!D:D=$F$4,'领用录入（明细）'!C:C&gt;=$J$4,'领用录入（明细）'!C:C&lt;=$L$4),ROW(),"-")</f>
        <v>-</v>
      </c>
    </row>
    <row r="46153" customHeight="1" spans="2:2">
      <c r="B46153" s="62" t="str">
        <f>IF(AND('领用录入（明细）'!D:D=$F$4,'领用录入（明细）'!C:C&gt;=$J$4,'领用录入（明细）'!C:C&lt;=$L$4),ROW(),"-")</f>
        <v>-</v>
      </c>
    </row>
    <row r="46154" customHeight="1" spans="2:2">
      <c r="B46154" s="62" t="str">
        <f>IF(AND('领用录入（明细）'!D:D=$F$4,'领用录入（明细）'!C:C&gt;=$J$4,'领用录入（明细）'!C:C&lt;=$L$4),ROW(),"-")</f>
        <v>-</v>
      </c>
    </row>
    <row r="46155" customHeight="1" spans="2:2">
      <c r="B46155" s="62" t="str">
        <f>IF(AND('领用录入（明细）'!D:D=$F$4,'领用录入（明细）'!C:C&gt;=$J$4,'领用录入（明细）'!C:C&lt;=$L$4),ROW(),"-")</f>
        <v>-</v>
      </c>
    </row>
    <row r="46156" customHeight="1" spans="2:2">
      <c r="B46156" s="62" t="str">
        <f>IF(AND('领用录入（明细）'!D:D=$F$4,'领用录入（明细）'!C:C&gt;=$J$4,'领用录入（明细）'!C:C&lt;=$L$4),ROW(),"-")</f>
        <v>-</v>
      </c>
    </row>
    <row r="46157" customHeight="1" spans="2:2">
      <c r="B46157" s="62" t="str">
        <f>IF(AND('领用录入（明细）'!D:D=$F$4,'领用录入（明细）'!C:C&gt;=$J$4,'领用录入（明细）'!C:C&lt;=$L$4),ROW(),"-")</f>
        <v>-</v>
      </c>
    </row>
    <row r="46158" customHeight="1" spans="2:2">
      <c r="B46158" s="62" t="str">
        <f>IF(AND('领用录入（明细）'!D:D=$F$4,'领用录入（明细）'!C:C&gt;=$J$4,'领用录入（明细）'!C:C&lt;=$L$4),ROW(),"-")</f>
        <v>-</v>
      </c>
    </row>
    <row r="46159" customHeight="1" spans="2:2">
      <c r="B46159" s="62" t="str">
        <f>IF(AND('领用录入（明细）'!D:D=$F$4,'领用录入（明细）'!C:C&gt;=$J$4,'领用录入（明细）'!C:C&lt;=$L$4),ROW(),"-")</f>
        <v>-</v>
      </c>
    </row>
    <row r="46160" customHeight="1" spans="2:2">
      <c r="B46160" s="62" t="str">
        <f>IF(AND('领用录入（明细）'!D:D=$F$4,'领用录入（明细）'!C:C&gt;=$J$4,'领用录入（明细）'!C:C&lt;=$L$4),ROW(),"-")</f>
        <v>-</v>
      </c>
    </row>
    <row r="46161" customHeight="1" spans="2:2">
      <c r="B46161" s="62" t="str">
        <f>IF(AND('领用录入（明细）'!D:D=$F$4,'领用录入（明细）'!C:C&gt;=$J$4,'领用录入（明细）'!C:C&lt;=$L$4),ROW(),"-")</f>
        <v>-</v>
      </c>
    </row>
    <row r="46162" customHeight="1" spans="2:2">
      <c r="B46162" s="62" t="str">
        <f>IF(AND('领用录入（明细）'!D:D=$F$4,'领用录入（明细）'!C:C&gt;=$J$4,'领用录入（明细）'!C:C&lt;=$L$4),ROW(),"-")</f>
        <v>-</v>
      </c>
    </row>
    <row r="46163" customHeight="1" spans="2:2">
      <c r="B46163" s="62" t="str">
        <f>IF(AND('领用录入（明细）'!D:D=$F$4,'领用录入（明细）'!C:C&gt;=$J$4,'领用录入（明细）'!C:C&lt;=$L$4),ROW(),"-")</f>
        <v>-</v>
      </c>
    </row>
    <row r="46164" customHeight="1" spans="2:2">
      <c r="B46164" s="62" t="str">
        <f>IF(AND('领用录入（明细）'!D:D=$F$4,'领用录入（明细）'!C:C&gt;=$J$4,'领用录入（明细）'!C:C&lt;=$L$4),ROW(),"-")</f>
        <v>-</v>
      </c>
    </row>
    <row r="46165" customHeight="1" spans="2:2">
      <c r="B46165" s="62" t="str">
        <f>IF(AND('领用录入（明细）'!D:D=$F$4,'领用录入（明细）'!C:C&gt;=$J$4,'领用录入（明细）'!C:C&lt;=$L$4),ROW(),"-")</f>
        <v>-</v>
      </c>
    </row>
    <row r="46166" customHeight="1" spans="2:2">
      <c r="B46166" s="62" t="str">
        <f>IF(AND('领用录入（明细）'!D:D=$F$4,'领用录入（明细）'!C:C&gt;=$J$4,'领用录入（明细）'!C:C&lt;=$L$4),ROW(),"-")</f>
        <v>-</v>
      </c>
    </row>
    <row r="46167" customHeight="1" spans="2:2">
      <c r="B46167" s="62" t="str">
        <f>IF(AND('领用录入（明细）'!D:D=$F$4,'领用录入（明细）'!C:C&gt;=$J$4,'领用录入（明细）'!C:C&lt;=$L$4),ROW(),"-")</f>
        <v>-</v>
      </c>
    </row>
    <row r="46168" customHeight="1" spans="2:2">
      <c r="B46168" s="62" t="str">
        <f>IF(AND('领用录入（明细）'!D:D=$F$4,'领用录入（明细）'!C:C&gt;=$J$4,'领用录入（明细）'!C:C&lt;=$L$4),ROW(),"-")</f>
        <v>-</v>
      </c>
    </row>
    <row r="46169" customHeight="1" spans="2:2">
      <c r="B46169" s="62" t="str">
        <f>IF(AND('领用录入（明细）'!D:D=$F$4,'领用录入（明细）'!C:C&gt;=$J$4,'领用录入（明细）'!C:C&lt;=$L$4),ROW(),"-")</f>
        <v>-</v>
      </c>
    </row>
    <row r="46170" customHeight="1" spans="2:2">
      <c r="B46170" s="62" t="str">
        <f>IF(AND('领用录入（明细）'!D:D=$F$4,'领用录入（明细）'!C:C&gt;=$J$4,'领用录入（明细）'!C:C&lt;=$L$4),ROW(),"-")</f>
        <v>-</v>
      </c>
    </row>
    <row r="46171" customHeight="1" spans="2:2">
      <c r="B46171" s="62" t="str">
        <f>IF(AND('领用录入（明细）'!D:D=$F$4,'领用录入（明细）'!C:C&gt;=$J$4,'领用录入（明细）'!C:C&lt;=$L$4),ROW(),"-")</f>
        <v>-</v>
      </c>
    </row>
    <row r="46172" customHeight="1" spans="2:2">
      <c r="B46172" s="62" t="str">
        <f>IF(AND('领用录入（明细）'!D:D=$F$4,'领用录入（明细）'!C:C&gt;=$J$4,'领用录入（明细）'!C:C&lt;=$L$4),ROW(),"-")</f>
        <v>-</v>
      </c>
    </row>
    <row r="46173" customHeight="1" spans="2:2">
      <c r="B46173" s="62" t="str">
        <f>IF(AND('领用录入（明细）'!D:D=$F$4,'领用录入（明细）'!C:C&gt;=$J$4,'领用录入（明细）'!C:C&lt;=$L$4),ROW(),"-")</f>
        <v>-</v>
      </c>
    </row>
    <row r="46174" customHeight="1" spans="2:2">
      <c r="B46174" s="62" t="str">
        <f>IF(AND('领用录入（明细）'!D:D=$F$4,'领用录入（明细）'!C:C&gt;=$J$4,'领用录入（明细）'!C:C&lt;=$L$4),ROW(),"-")</f>
        <v>-</v>
      </c>
    </row>
    <row r="46175" customHeight="1" spans="2:2">
      <c r="B46175" s="62" t="str">
        <f>IF(AND('领用录入（明细）'!D:D=$F$4,'领用录入（明细）'!C:C&gt;=$J$4,'领用录入（明细）'!C:C&lt;=$L$4),ROW(),"-")</f>
        <v>-</v>
      </c>
    </row>
    <row r="46176" customHeight="1" spans="2:2">
      <c r="B46176" s="62" t="str">
        <f>IF(AND('领用录入（明细）'!D:D=$F$4,'领用录入（明细）'!C:C&gt;=$J$4,'领用录入（明细）'!C:C&lt;=$L$4),ROW(),"-")</f>
        <v>-</v>
      </c>
    </row>
    <row r="46177" customHeight="1" spans="2:2">
      <c r="B46177" s="62" t="str">
        <f>IF(AND('领用录入（明细）'!D:D=$F$4,'领用录入（明细）'!C:C&gt;=$J$4,'领用录入（明细）'!C:C&lt;=$L$4),ROW(),"-")</f>
        <v>-</v>
      </c>
    </row>
    <row r="46178" customHeight="1" spans="2:2">
      <c r="B46178" s="62" t="str">
        <f>IF(AND('领用录入（明细）'!D:D=$F$4,'领用录入（明细）'!C:C&gt;=$J$4,'领用录入（明细）'!C:C&lt;=$L$4),ROW(),"-")</f>
        <v>-</v>
      </c>
    </row>
    <row r="46179" customHeight="1" spans="2:2">
      <c r="B46179" s="62" t="str">
        <f>IF(AND('领用录入（明细）'!D:D=$F$4,'领用录入（明细）'!C:C&gt;=$J$4,'领用录入（明细）'!C:C&lt;=$L$4),ROW(),"-")</f>
        <v>-</v>
      </c>
    </row>
    <row r="46180" customHeight="1" spans="2:2">
      <c r="B46180" s="62" t="str">
        <f>IF(AND('领用录入（明细）'!D:D=$F$4,'领用录入（明细）'!C:C&gt;=$J$4,'领用录入（明细）'!C:C&lt;=$L$4),ROW(),"-")</f>
        <v>-</v>
      </c>
    </row>
    <row r="46181" customHeight="1" spans="2:2">
      <c r="B46181" s="62" t="str">
        <f>IF(AND('领用录入（明细）'!D:D=$F$4,'领用录入（明细）'!C:C&gt;=$J$4,'领用录入（明细）'!C:C&lt;=$L$4),ROW(),"-")</f>
        <v>-</v>
      </c>
    </row>
    <row r="46182" customHeight="1" spans="2:2">
      <c r="B46182" s="62" t="str">
        <f>IF(AND('领用录入（明细）'!D:D=$F$4,'领用录入（明细）'!C:C&gt;=$J$4,'领用录入（明细）'!C:C&lt;=$L$4),ROW(),"-")</f>
        <v>-</v>
      </c>
    </row>
    <row r="46183" customHeight="1" spans="2:2">
      <c r="B46183" s="62" t="str">
        <f>IF(AND('领用录入（明细）'!D:D=$F$4,'领用录入（明细）'!C:C&gt;=$J$4,'领用录入（明细）'!C:C&lt;=$L$4),ROW(),"-")</f>
        <v>-</v>
      </c>
    </row>
    <row r="46184" customHeight="1" spans="2:2">
      <c r="B46184" s="62" t="str">
        <f>IF(AND('领用录入（明细）'!D:D=$F$4,'领用录入（明细）'!C:C&gt;=$J$4,'领用录入（明细）'!C:C&lt;=$L$4),ROW(),"-")</f>
        <v>-</v>
      </c>
    </row>
    <row r="46185" customHeight="1" spans="2:2">
      <c r="B46185" s="62" t="str">
        <f>IF(AND('领用录入（明细）'!D:D=$F$4,'领用录入（明细）'!C:C&gt;=$J$4,'领用录入（明细）'!C:C&lt;=$L$4),ROW(),"-")</f>
        <v>-</v>
      </c>
    </row>
    <row r="46186" customHeight="1" spans="2:2">
      <c r="B46186" s="62" t="str">
        <f>IF(AND('领用录入（明细）'!D:D=$F$4,'领用录入（明细）'!C:C&gt;=$J$4,'领用录入（明细）'!C:C&lt;=$L$4),ROW(),"-")</f>
        <v>-</v>
      </c>
    </row>
    <row r="46187" customHeight="1" spans="2:2">
      <c r="B46187" s="62" t="str">
        <f>IF(AND('领用录入（明细）'!D:D=$F$4,'领用录入（明细）'!C:C&gt;=$J$4,'领用录入（明细）'!C:C&lt;=$L$4),ROW(),"-")</f>
        <v>-</v>
      </c>
    </row>
    <row r="46188" customHeight="1" spans="2:2">
      <c r="B46188" s="62" t="str">
        <f>IF(AND('领用录入（明细）'!D:D=$F$4,'领用录入（明细）'!C:C&gt;=$J$4,'领用录入（明细）'!C:C&lt;=$L$4),ROW(),"-")</f>
        <v>-</v>
      </c>
    </row>
    <row r="46189" customHeight="1" spans="2:2">
      <c r="B46189" s="62" t="str">
        <f>IF(AND('领用录入（明细）'!D:D=$F$4,'领用录入（明细）'!C:C&gt;=$J$4,'领用录入（明细）'!C:C&lt;=$L$4),ROW(),"-")</f>
        <v>-</v>
      </c>
    </row>
    <row r="46190" customHeight="1" spans="2:2">
      <c r="B46190" s="62" t="str">
        <f>IF(AND('领用录入（明细）'!D:D=$F$4,'领用录入（明细）'!C:C&gt;=$J$4,'领用录入（明细）'!C:C&lt;=$L$4),ROW(),"-")</f>
        <v>-</v>
      </c>
    </row>
    <row r="46191" customHeight="1" spans="2:2">
      <c r="B46191" s="62" t="str">
        <f>IF(AND('领用录入（明细）'!D:D=$F$4,'领用录入（明细）'!C:C&gt;=$J$4,'领用录入（明细）'!C:C&lt;=$L$4),ROW(),"-")</f>
        <v>-</v>
      </c>
    </row>
    <row r="46192" customHeight="1" spans="2:2">
      <c r="B46192" s="62" t="str">
        <f>IF(AND('领用录入（明细）'!D:D=$F$4,'领用录入（明细）'!C:C&gt;=$J$4,'领用录入（明细）'!C:C&lt;=$L$4),ROW(),"-")</f>
        <v>-</v>
      </c>
    </row>
    <row r="46193" customHeight="1" spans="2:2">
      <c r="B46193" s="62" t="str">
        <f>IF(AND('领用录入（明细）'!D:D=$F$4,'领用录入（明细）'!C:C&gt;=$J$4,'领用录入（明细）'!C:C&lt;=$L$4),ROW(),"-")</f>
        <v>-</v>
      </c>
    </row>
    <row r="46194" customHeight="1" spans="2:2">
      <c r="B46194" s="62" t="str">
        <f>IF(AND('领用录入（明细）'!D:D=$F$4,'领用录入（明细）'!C:C&gt;=$J$4,'领用录入（明细）'!C:C&lt;=$L$4),ROW(),"-")</f>
        <v>-</v>
      </c>
    </row>
    <row r="46195" customHeight="1" spans="2:2">
      <c r="B46195" s="62" t="str">
        <f>IF(AND('领用录入（明细）'!D:D=$F$4,'领用录入（明细）'!C:C&gt;=$J$4,'领用录入（明细）'!C:C&lt;=$L$4),ROW(),"-")</f>
        <v>-</v>
      </c>
    </row>
    <row r="46196" customHeight="1" spans="2:2">
      <c r="B46196" s="62" t="str">
        <f>IF(AND('领用录入（明细）'!D:D=$F$4,'领用录入（明细）'!C:C&gt;=$J$4,'领用录入（明细）'!C:C&lt;=$L$4),ROW(),"-")</f>
        <v>-</v>
      </c>
    </row>
    <row r="46197" customHeight="1" spans="2:2">
      <c r="B46197" s="62" t="str">
        <f>IF(AND('领用录入（明细）'!D:D=$F$4,'领用录入（明细）'!C:C&gt;=$J$4,'领用录入（明细）'!C:C&lt;=$L$4),ROW(),"-")</f>
        <v>-</v>
      </c>
    </row>
    <row r="46198" customHeight="1" spans="2:2">
      <c r="B46198" s="62" t="str">
        <f>IF(AND('领用录入（明细）'!D:D=$F$4,'领用录入（明细）'!C:C&gt;=$J$4,'领用录入（明细）'!C:C&lt;=$L$4),ROW(),"-")</f>
        <v>-</v>
      </c>
    </row>
    <row r="46199" customHeight="1" spans="2:2">
      <c r="B46199" s="62" t="str">
        <f>IF(AND('领用录入（明细）'!D:D=$F$4,'领用录入（明细）'!C:C&gt;=$J$4,'领用录入（明细）'!C:C&lt;=$L$4),ROW(),"-")</f>
        <v>-</v>
      </c>
    </row>
    <row r="46200" customHeight="1" spans="2:2">
      <c r="B46200" s="62" t="str">
        <f>IF(AND('领用录入（明细）'!D:D=$F$4,'领用录入（明细）'!C:C&gt;=$J$4,'领用录入（明细）'!C:C&lt;=$L$4),ROW(),"-")</f>
        <v>-</v>
      </c>
    </row>
    <row r="46201" customHeight="1" spans="2:2">
      <c r="B46201" s="62" t="str">
        <f>IF(AND('领用录入（明细）'!D:D=$F$4,'领用录入（明细）'!C:C&gt;=$J$4,'领用录入（明细）'!C:C&lt;=$L$4),ROW(),"-")</f>
        <v>-</v>
      </c>
    </row>
    <row r="46202" customHeight="1" spans="2:2">
      <c r="B46202" s="62" t="str">
        <f>IF(AND('领用录入（明细）'!D:D=$F$4,'领用录入（明细）'!C:C&gt;=$J$4,'领用录入（明细）'!C:C&lt;=$L$4),ROW(),"-")</f>
        <v>-</v>
      </c>
    </row>
    <row r="46203" customHeight="1" spans="2:2">
      <c r="B46203" s="62" t="str">
        <f>IF(AND('领用录入（明细）'!D:D=$F$4,'领用录入（明细）'!C:C&gt;=$J$4,'领用录入（明细）'!C:C&lt;=$L$4),ROW(),"-")</f>
        <v>-</v>
      </c>
    </row>
    <row r="46204" customHeight="1" spans="2:2">
      <c r="B46204" s="62" t="str">
        <f>IF(AND('领用录入（明细）'!D:D=$F$4,'领用录入（明细）'!C:C&gt;=$J$4,'领用录入（明细）'!C:C&lt;=$L$4),ROW(),"-")</f>
        <v>-</v>
      </c>
    </row>
    <row r="46205" customHeight="1" spans="2:2">
      <c r="B46205" s="62" t="str">
        <f>IF(AND('领用录入（明细）'!D:D=$F$4,'领用录入（明细）'!C:C&gt;=$J$4,'领用录入（明细）'!C:C&lt;=$L$4),ROW(),"-")</f>
        <v>-</v>
      </c>
    </row>
    <row r="46206" customHeight="1" spans="2:2">
      <c r="B46206" s="62" t="str">
        <f>IF(AND('领用录入（明细）'!D:D=$F$4,'领用录入（明细）'!C:C&gt;=$J$4,'领用录入（明细）'!C:C&lt;=$L$4),ROW(),"-")</f>
        <v>-</v>
      </c>
    </row>
    <row r="46207" customHeight="1" spans="2:2">
      <c r="B46207" s="62" t="str">
        <f>IF(AND('领用录入（明细）'!D:D=$F$4,'领用录入（明细）'!C:C&gt;=$J$4,'领用录入（明细）'!C:C&lt;=$L$4),ROW(),"-")</f>
        <v>-</v>
      </c>
    </row>
    <row r="46208" customHeight="1" spans="2:2">
      <c r="B46208" s="62" t="str">
        <f>IF(AND('领用录入（明细）'!D:D=$F$4,'领用录入（明细）'!C:C&gt;=$J$4,'领用录入（明细）'!C:C&lt;=$L$4),ROW(),"-")</f>
        <v>-</v>
      </c>
    </row>
    <row r="46209" customHeight="1" spans="2:2">
      <c r="B46209" s="62" t="str">
        <f>IF(AND('领用录入（明细）'!D:D=$F$4,'领用录入（明细）'!C:C&gt;=$J$4,'领用录入（明细）'!C:C&lt;=$L$4),ROW(),"-")</f>
        <v>-</v>
      </c>
    </row>
    <row r="46210" customHeight="1" spans="2:2">
      <c r="B46210" s="62" t="str">
        <f>IF(AND('领用录入（明细）'!D:D=$F$4,'领用录入（明细）'!C:C&gt;=$J$4,'领用录入（明细）'!C:C&lt;=$L$4),ROW(),"-")</f>
        <v>-</v>
      </c>
    </row>
    <row r="46211" customHeight="1" spans="2:2">
      <c r="B46211" s="62" t="str">
        <f>IF(AND('领用录入（明细）'!D:D=$F$4,'领用录入（明细）'!C:C&gt;=$J$4,'领用录入（明细）'!C:C&lt;=$L$4),ROW(),"-")</f>
        <v>-</v>
      </c>
    </row>
    <row r="46212" customHeight="1" spans="2:2">
      <c r="B46212" s="62" t="str">
        <f>IF(AND('领用录入（明细）'!D:D=$F$4,'领用录入（明细）'!C:C&gt;=$J$4,'领用录入（明细）'!C:C&lt;=$L$4),ROW(),"-")</f>
        <v>-</v>
      </c>
    </row>
    <row r="46213" customHeight="1" spans="2:2">
      <c r="B46213" s="62" t="str">
        <f>IF(AND('领用录入（明细）'!D:D=$F$4,'领用录入（明细）'!C:C&gt;=$J$4,'领用录入（明细）'!C:C&lt;=$L$4),ROW(),"-")</f>
        <v>-</v>
      </c>
    </row>
    <row r="46214" customHeight="1" spans="2:2">
      <c r="B46214" s="62" t="str">
        <f>IF(AND('领用录入（明细）'!D:D=$F$4,'领用录入（明细）'!C:C&gt;=$J$4,'领用录入（明细）'!C:C&lt;=$L$4),ROW(),"-")</f>
        <v>-</v>
      </c>
    </row>
    <row r="46215" customHeight="1" spans="2:2">
      <c r="B46215" s="62" t="str">
        <f>IF(AND('领用录入（明细）'!D:D=$F$4,'领用录入（明细）'!C:C&gt;=$J$4,'领用录入（明细）'!C:C&lt;=$L$4),ROW(),"-")</f>
        <v>-</v>
      </c>
    </row>
    <row r="46216" customHeight="1" spans="2:2">
      <c r="B46216" s="62" t="str">
        <f>IF(AND('领用录入（明细）'!D:D=$F$4,'领用录入（明细）'!C:C&gt;=$J$4,'领用录入（明细）'!C:C&lt;=$L$4),ROW(),"-")</f>
        <v>-</v>
      </c>
    </row>
    <row r="46217" customHeight="1" spans="2:2">
      <c r="B46217" s="62" t="str">
        <f>IF(AND('领用录入（明细）'!D:D=$F$4,'领用录入（明细）'!C:C&gt;=$J$4,'领用录入（明细）'!C:C&lt;=$L$4),ROW(),"-")</f>
        <v>-</v>
      </c>
    </row>
    <row r="46218" customHeight="1" spans="2:2">
      <c r="B46218" s="62" t="str">
        <f>IF(AND('领用录入（明细）'!D:D=$F$4,'领用录入（明细）'!C:C&gt;=$J$4,'领用录入（明细）'!C:C&lt;=$L$4),ROW(),"-")</f>
        <v>-</v>
      </c>
    </row>
    <row r="46219" customHeight="1" spans="2:2">
      <c r="B46219" s="62" t="str">
        <f>IF(AND('领用录入（明细）'!D:D=$F$4,'领用录入（明细）'!C:C&gt;=$J$4,'领用录入（明细）'!C:C&lt;=$L$4),ROW(),"-")</f>
        <v>-</v>
      </c>
    </row>
    <row r="46220" customHeight="1" spans="2:2">
      <c r="B46220" s="62" t="str">
        <f>IF(AND('领用录入（明细）'!D:D=$F$4,'领用录入（明细）'!C:C&gt;=$J$4,'领用录入（明细）'!C:C&lt;=$L$4),ROW(),"-")</f>
        <v>-</v>
      </c>
    </row>
    <row r="46221" customHeight="1" spans="2:2">
      <c r="B46221" s="62" t="str">
        <f>IF(AND('领用录入（明细）'!D:D=$F$4,'领用录入（明细）'!C:C&gt;=$J$4,'领用录入（明细）'!C:C&lt;=$L$4),ROW(),"-")</f>
        <v>-</v>
      </c>
    </row>
    <row r="46222" customHeight="1" spans="2:2">
      <c r="B46222" s="62" t="str">
        <f>IF(AND('领用录入（明细）'!D:D=$F$4,'领用录入（明细）'!C:C&gt;=$J$4,'领用录入（明细）'!C:C&lt;=$L$4),ROW(),"-")</f>
        <v>-</v>
      </c>
    </row>
    <row r="46223" customHeight="1" spans="2:2">
      <c r="B46223" s="62" t="str">
        <f>IF(AND('领用录入（明细）'!D:D=$F$4,'领用录入（明细）'!C:C&gt;=$J$4,'领用录入（明细）'!C:C&lt;=$L$4),ROW(),"-")</f>
        <v>-</v>
      </c>
    </row>
    <row r="46224" customHeight="1" spans="2:2">
      <c r="B46224" s="62" t="str">
        <f>IF(AND('领用录入（明细）'!D:D=$F$4,'领用录入（明细）'!C:C&gt;=$J$4,'领用录入（明细）'!C:C&lt;=$L$4),ROW(),"-")</f>
        <v>-</v>
      </c>
    </row>
    <row r="46225" customHeight="1" spans="2:2">
      <c r="B46225" s="62" t="str">
        <f>IF(AND('领用录入（明细）'!D:D=$F$4,'领用录入（明细）'!C:C&gt;=$J$4,'领用录入（明细）'!C:C&lt;=$L$4),ROW(),"-")</f>
        <v>-</v>
      </c>
    </row>
    <row r="46226" customHeight="1" spans="2:2">
      <c r="B46226" s="62" t="str">
        <f>IF(AND('领用录入（明细）'!D:D=$F$4,'领用录入（明细）'!C:C&gt;=$J$4,'领用录入（明细）'!C:C&lt;=$L$4),ROW(),"-")</f>
        <v>-</v>
      </c>
    </row>
    <row r="46227" customHeight="1" spans="2:2">
      <c r="B46227" s="62" t="str">
        <f>IF(AND('领用录入（明细）'!D:D=$F$4,'领用录入（明细）'!C:C&gt;=$J$4,'领用录入（明细）'!C:C&lt;=$L$4),ROW(),"-")</f>
        <v>-</v>
      </c>
    </row>
    <row r="46228" customHeight="1" spans="2:2">
      <c r="B46228" s="62" t="str">
        <f>IF(AND('领用录入（明细）'!D:D=$F$4,'领用录入（明细）'!C:C&gt;=$J$4,'领用录入（明细）'!C:C&lt;=$L$4),ROW(),"-")</f>
        <v>-</v>
      </c>
    </row>
    <row r="46229" customHeight="1" spans="2:2">
      <c r="B46229" s="62" t="str">
        <f>IF(AND('领用录入（明细）'!D:D=$F$4,'领用录入（明细）'!C:C&gt;=$J$4,'领用录入（明细）'!C:C&lt;=$L$4),ROW(),"-")</f>
        <v>-</v>
      </c>
    </row>
    <row r="46230" customHeight="1" spans="2:2">
      <c r="B46230" s="62" t="str">
        <f>IF(AND('领用录入（明细）'!D:D=$F$4,'领用录入（明细）'!C:C&gt;=$J$4,'领用录入（明细）'!C:C&lt;=$L$4),ROW(),"-")</f>
        <v>-</v>
      </c>
    </row>
    <row r="46231" customHeight="1" spans="2:2">
      <c r="B46231" s="62" t="str">
        <f>IF(AND('领用录入（明细）'!D:D=$F$4,'领用录入（明细）'!C:C&gt;=$J$4,'领用录入（明细）'!C:C&lt;=$L$4),ROW(),"-")</f>
        <v>-</v>
      </c>
    </row>
    <row r="46232" customHeight="1" spans="2:2">
      <c r="B46232" s="62" t="str">
        <f>IF(AND('领用录入（明细）'!D:D=$F$4,'领用录入（明细）'!C:C&gt;=$J$4,'领用录入（明细）'!C:C&lt;=$L$4),ROW(),"-")</f>
        <v>-</v>
      </c>
    </row>
    <row r="46233" customHeight="1" spans="2:2">
      <c r="B46233" s="62" t="str">
        <f>IF(AND('领用录入（明细）'!D:D=$F$4,'领用录入（明细）'!C:C&gt;=$J$4,'领用录入（明细）'!C:C&lt;=$L$4),ROW(),"-")</f>
        <v>-</v>
      </c>
    </row>
    <row r="46234" customHeight="1" spans="2:2">
      <c r="B46234" s="62" t="str">
        <f>IF(AND('领用录入（明细）'!D:D=$F$4,'领用录入（明细）'!C:C&gt;=$J$4,'领用录入（明细）'!C:C&lt;=$L$4),ROW(),"-")</f>
        <v>-</v>
      </c>
    </row>
    <row r="46235" customHeight="1" spans="2:2">
      <c r="B46235" s="62" t="str">
        <f>IF(AND('领用录入（明细）'!D:D=$F$4,'领用录入（明细）'!C:C&gt;=$J$4,'领用录入（明细）'!C:C&lt;=$L$4),ROW(),"-")</f>
        <v>-</v>
      </c>
    </row>
    <row r="46236" customHeight="1" spans="2:2">
      <c r="B46236" s="62" t="str">
        <f>IF(AND('领用录入（明细）'!D:D=$F$4,'领用录入（明细）'!C:C&gt;=$J$4,'领用录入（明细）'!C:C&lt;=$L$4),ROW(),"-")</f>
        <v>-</v>
      </c>
    </row>
    <row r="46237" customHeight="1" spans="2:2">
      <c r="B46237" s="62" t="str">
        <f>IF(AND('领用录入（明细）'!D:D=$F$4,'领用录入（明细）'!C:C&gt;=$J$4,'领用录入（明细）'!C:C&lt;=$L$4),ROW(),"-")</f>
        <v>-</v>
      </c>
    </row>
    <row r="46238" customHeight="1" spans="2:2">
      <c r="B46238" s="62" t="str">
        <f>IF(AND('领用录入（明细）'!D:D=$F$4,'领用录入（明细）'!C:C&gt;=$J$4,'领用录入（明细）'!C:C&lt;=$L$4),ROW(),"-")</f>
        <v>-</v>
      </c>
    </row>
    <row r="46239" customHeight="1" spans="2:2">
      <c r="B46239" s="62" t="str">
        <f>IF(AND('领用录入（明细）'!D:D=$F$4,'领用录入（明细）'!C:C&gt;=$J$4,'领用录入（明细）'!C:C&lt;=$L$4),ROW(),"-")</f>
        <v>-</v>
      </c>
    </row>
    <row r="46240" customHeight="1" spans="2:2">
      <c r="B46240" s="62" t="str">
        <f>IF(AND('领用录入（明细）'!D:D=$F$4,'领用录入（明细）'!C:C&gt;=$J$4,'领用录入（明细）'!C:C&lt;=$L$4),ROW(),"-")</f>
        <v>-</v>
      </c>
    </row>
    <row r="46241" customHeight="1" spans="2:2">
      <c r="B46241" s="62" t="str">
        <f>IF(AND('领用录入（明细）'!D:D=$F$4,'领用录入（明细）'!C:C&gt;=$J$4,'领用录入（明细）'!C:C&lt;=$L$4),ROW(),"-")</f>
        <v>-</v>
      </c>
    </row>
    <row r="46242" customHeight="1" spans="2:2">
      <c r="B46242" s="62" t="str">
        <f>IF(AND('领用录入（明细）'!D:D=$F$4,'领用录入（明细）'!C:C&gt;=$J$4,'领用录入（明细）'!C:C&lt;=$L$4),ROW(),"-")</f>
        <v>-</v>
      </c>
    </row>
    <row r="46243" customHeight="1" spans="2:2">
      <c r="B46243" s="62" t="str">
        <f>IF(AND('领用录入（明细）'!D:D=$F$4,'领用录入（明细）'!C:C&gt;=$J$4,'领用录入（明细）'!C:C&lt;=$L$4),ROW(),"-")</f>
        <v>-</v>
      </c>
    </row>
    <row r="46244" customHeight="1" spans="2:2">
      <c r="B46244" s="62" t="str">
        <f>IF(AND('领用录入（明细）'!D:D=$F$4,'领用录入（明细）'!C:C&gt;=$J$4,'领用录入（明细）'!C:C&lt;=$L$4),ROW(),"-")</f>
        <v>-</v>
      </c>
    </row>
    <row r="46245" customHeight="1" spans="2:2">
      <c r="B46245" s="62" t="str">
        <f>IF(AND('领用录入（明细）'!D:D=$F$4,'领用录入（明细）'!C:C&gt;=$J$4,'领用录入（明细）'!C:C&lt;=$L$4),ROW(),"-")</f>
        <v>-</v>
      </c>
    </row>
    <row r="46246" customHeight="1" spans="2:2">
      <c r="B46246" s="62" t="str">
        <f>IF(AND('领用录入（明细）'!D:D=$F$4,'领用录入（明细）'!C:C&gt;=$J$4,'领用录入（明细）'!C:C&lt;=$L$4),ROW(),"-")</f>
        <v>-</v>
      </c>
    </row>
    <row r="46247" customHeight="1" spans="2:2">
      <c r="B46247" s="62" t="str">
        <f>IF(AND('领用录入（明细）'!D:D=$F$4,'领用录入（明细）'!C:C&gt;=$J$4,'领用录入（明细）'!C:C&lt;=$L$4),ROW(),"-")</f>
        <v>-</v>
      </c>
    </row>
    <row r="46248" customHeight="1" spans="2:2">
      <c r="B46248" s="62" t="str">
        <f>IF(AND('领用录入（明细）'!D:D=$F$4,'领用录入（明细）'!C:C&gt;=$J$4,'领用录入（明细）'!C:C&lt;=$L$4),ROW(),"-")</f>
        <v>-</v>
      </c>
    </row>
    <row r="46249" customHeight="1" spans="2:2">
      <c r="B46249" s="62" t="str">
        <f>IF(AND('领用录入（明细）'!D:D=$F$4,'领用录入（明细）'!C:C&gt;=$J$4,'领用录入（明细）'!C:C&lt;=$L$4),ROW(),"-")</f>
        <v>-</v>
      </c>
    </row>
    <row r="46250" customHeight="1" spans="2:2">
      <c r="B46250" s="62" t="str">
        <f>IF(AND('领用录入（明细）'!D:D=$F$4,'领用录入（明细）'!C:C&gt;=$J$4,'领用录入（明细）'!C:C&lt;=$L$4),ROW(),"-")</f>
        <v>-</v>
      </c>
    </row>
    <row r="46251" customHeight="1" spans="2:2">
      <c r="B46251" s="62" t="str">
        <f>IF(AND('领用录入（明细）'!D:D=$F$4,'领用录入（明细）'!C:C&gt;=$J$4,'领用录入（明细）'!C:C&lt;=$L$4),ROW(),"-")</f>
        <v>-</v>
      </c>
    </row>
    <row r="46252" customHeight="1" spans="2:2">
      <c r="B46252" s="62" t="str">
        <f>IF(AND('领用录入（明细）'!D:D=$F$4,'领用录入（明细）'!C:C&gt;=$J$4,'领用录入（明细）'!C:C&lt;=$L$4),ROW(),"-")</f>
        <v>-</v>
      </c>
    </row>
    <row r="46253" customHeight="1" spans="2:2">
      <c r="B46253" s="62" t="str">
        <f>IF(AND('领用录入（明细）'!D:D=$F$4,'领用录入（明细）'!C:C&gt;=$J$4,'领用录入（明细）'!C:C&lt;=$L$4),ROW(),"-")</f>
        <v>-</v>
      </c>
    </row>
    <row r="46254" customHeight="1" spans="2:2">
      <c r="B46254" s="62" t="str">
        <f>IF(AND('领用录入（明细）'!D:D=$F$4,'领用录入（明细）'!C:C&gt;=$J$4,'领用录入（明细）'!C:C&lt;=$L$4),ROW(),"-")</f>
        <v>-</v>
      </c>
    </row>
    <row r="46255" customHeight="1" spans="2:2">
      <c r="B46255" s="62" t="str">
        <f>IF(AND('领用录入（明细）'!D:D=$F$4,'领用录入（明细）'!C:C&gt;=$J$4,'领用录入（明细）'!C:C&lt;=$L$4),ROW(),"-")</f>
        <v>-</v>
      </c>
    </row>
    <row r="46256" customHeight="1" spans="2:2">
      <c r="B46256" s="62" t="str">
        <f>IF(AND('领用录入（明细）'!D:D=$F$4,'领用录入（明细）'!C:C&gt;=$J$4,'领用录入（明细）'!C:C&lt;=$L$4),ROW(),"-")</f>
        <v>-</v>
      </c>
    </row>
    <row r="46257" customHeight="1" spans="2:2">
      <c r="B46257" s="62" t="str">
        <f>IF(AND('领用录入（明细）'!D:D=$F$4,'领用录入（明细）'!C:C&gt;=$J$4,'领用录入（明细）'!C:C&lt;=$L$4),ROW(),"-")</f>
        <v>-</v>
      </c>
    </row>
    <row r="46258" customHeight="1" spans="2:2">
      <c r="B46258" s="62" t="str">
        <f>IF(AND('领用录入（明细）'!D:D=$F$4,'领用录入（明细）'!C:C&gt;=$J$4,'领用录入（明细）'!C:C&lt;=$L$4),ROW(),"-")</f>
        <v>-</v>
      </c>
    </row>
    <row r="46259" customHeight="1" spans="2:2">
      <c r="B46259" s="62" t="str">
        <f>IF(AND('领用录入（明细）'!D:D=$F$4,'领用录入（明细）'!C:C&gt;=$J$4,'领用录入（明细）'!C:C&lt;=$L$4),ROW(),"-")</f>
        <v>-</v>
      </c>
    </row>
    <row r="46260" customHeight="1" spans="2:2">
      <c r="B46260" s="62" t="str">
        <f>IF(AND('领用录入（明细）'!D:D=$F$4,'领用录入（明细）'!C:C&gt;=$J$4,'领用录入（明细）'!C:C&lt;=$L$4),ROW(),"-")</f>
        <v>-</v>
      </c>
    </row>
    <row r="46261" customHeight="1" spans="2:2">
      <c r="B46261" s="62" t="str">
        <f>IF(AND('领用录入（明细）'!D:D=$F$4,'领用录入（明细）'!C:C&gt;=$J$4,'领用录入（明细）'!C:C&lt;=$L$4),ROW(),"-")</f>
        <v>-</v>
      </c>
    </row>
    <row r="46262" customHeight="1" spans="2:2">
      <c r="B46262" s="62" t="str">
        <f>IF(AND('领用录入（明细）'!D:D=$F$4,'领用录入（明细）'!C:C&gt;=$J$4,'领用录入（明细）'!C:C&lt;=$L$4),ROW(),"-")</f>
        <v>-</v>
      </c>
    </row>
    <row r="46263" customHeight="1" spans="2:2">
      <c r="B46263" s="62" t="str">
        <f>IF(AND('领用录入（明细）'!D:D=$F$4,'领用录入（明细）'!C:C&gt;=$J$4,'领用录入（明细）'!C:C&lt;=$L$4),ROW(),"-")</f>
        <v>-</v>
      </c>
    </row>
    <row r="46264" customHeight="1" spans="2:2">
      <c r="B46264" s="62" t="str">
        <f>IF(AND('领用录入（明细）'!D:D=$F$4,'领用录入（明细）'!C:C&gt;=$J$4,'领用录入（明细）'!C:C&lt;=$L$4),ROW(),"-")</f>
        <v>-</v>
      </c>
    </row>
    <row r="46265" customHeight="1" spans="2:2">
      <c r="B46265" s="62" t="str">
        <f>IF(AND('领用录入（明细）'!D:D=$F$4,'领用录入（明细）'!C:C&gt;=$J$4,'领用录入（明细）'!C:C&lt;=$L$4),ROW(),"-")</f>
        <v>-</v>
      </c>
    </row>
    <row r="46266" customHeight="1" spans="2:2">
      <c r="B46266" s="62" t="str">
        <f>IF(AND('领用录入（明细）'!D:D=$F$4,'领用录入（明细）'!C:C&gt;=$J$4,'领用录入（明细）'!C:C&lt;=$L$4),ROW(),"-")</f>
        <v>-</v>
      </c>
    </row>
    <row r="46267" customHeight="1" spans="2:2">
      <c r="B46267" s="62" t="str">
        <f>IF(AND('领用录入（明细）'!D:D=$F$4,'领用录入（明细）'!C:C&gt;=$J$4,'领用录入（明细）'!C:C&lt;=$L$4),ROW(),"-")</f>
        <v>-</v>
      </c>
    </row>
    <row r="46268" customHeight="1" spans="2:2">
      <c r="B46268" s="62" t="str">
        <f>IF(AND('领用录入（明细）'!D:D=$F$4,'领用录入（明细）'!C:C&gt;=$J$4,'领用录入（明细）'!C:C&lt;=$L$4),ROW(),"-")</f>
        <v>-</v>
      </c>
    </row>
    <row r="46269" customHeight="1" spans="2:2">
      <c r="B46269" s="62" t="str">
        <f>IF(AND('领用录入（明细）'!D:D=$F$4,'领用录入（明细）'!C:C&gt;=$J$4,'领用录入（明细）'!C:C&lt;=$L$4),ROW(),"-")</f>
        <v>-</v>
      </c>
    </row>
    <row r="46270" customHeight="1" spans="2:2">
      <c r="B46270" s="62" t="str">
        <f>IF(AND('领用录入（明细）'!D:D=$F$4,'领用录入（明细）'!C:C&gt;=$J$4,'领用录入（明细）'!C:C&lt;=$L$4),ROW(),"-")</f>
        <v>-</v>
      </c>
    </row>
    <row r="46271" customHeight="1" spans="2:2">
      <c r="B46271" s="62" t="str">
        <f>IF(AND('领用录入（明细）'!D:D=$F$4,'领用录入（明细）'!C:C&gt;=$J$4,'领用录入（明细）'!C:C&lt;=$L$4),ROW(),"-")</f>
        <v>-</v>
      </c>
    </row>
    <row r="46272" customHeight="1" spans="2:2">
      <c r="B46272" s="62" t="str">
        <f>IF(AND('领用录入（明细）'!D:D=$F$4,'领用录入（明细）'!C:C&gt;=$J$4,'领用录入（明细）'!C:C&lt;=$L$4),ROW(),"-")</f>
        <v>-</v>
      </c>
    </row>
    <row r="46273" customHeight="1" spans="2:2">
      <c r="B46273" s="62" t="str">
        <f>IF(AND('领用录入（明细）'!D:D=$F$4,'领用录入（明细）'!C:C&gt;=$J$4,'领用录入（明细）'!C:C&lt;=$L$4),ROW(),"-")</f>
        <v>-</v>
      </c>
    </row>
    <row r="46274" customHeight="1" spans="2:2">
      <c r="B46274" s="62" t="str">
        <f>IF(AND('领用录入（明细）'!D:D=$F$4,'领用录入（明细）'!C:C&gt;=$J$4,'领用录入（明细）'!C:C&lt;=$L$4),ROW(),"-")</f>
        <v>-</v>
      </c>
    </row>
    <row r="46275" customHeight="1" spans="2:2">
      <c r="B46275" s="62" t="str">
        <f>IF(AND('领用录入（明细）'!D:D=$F$4,'领用录入（明细）'!C:C&gt;=$J$4,'领用录入（明细）'!C:C&lt;=$L$4),ROW(),"-")</f>
        <v>-</v>
      </c>
    </row>
    <row r="46276" customHeight="1" spans="2:2">
      <c r="B46276" s="62" t="str">
        <f>IF(AND('领用录入（明细）'!D:D=$F$4,'领用录入（明细）'!C:C&gt;=$J$4,'领用录入（明细）'!C:C&lt;=$L$4),ROW(),"-")</f>
        <v>-</v>
      </c>
    </row>
    <row r="46277" customHeight="1" spans="2:2">
      <c r="B46277" s="62" t="str">
        <f>IF(AND('领用录入（明细）'!D:D=$F$4,'领用录入（明细）'!C:C&gt;=$J$4,'领用录入（明细）'!C:C&lt;=$L$4),ROW(),"-")</f>
        <v>-</v>
      </c>
    </row>
    <row r="46278" customHeight="1" spans="2:2">
      <c r="B46278" s="62" t="str">
        <f>IF(AND('领用录入（明细）'!D:D=$F$4,'领用录入（明细）'!C:C&gt;=$J$4,'领用录入（明细）'!C:C&lt;=$L$4),ROW(),"-")</f>
        <v>-</v>
      </c>
    </row>
    <row r="46279" customHeight="1" spans="2:2">
      <c r="B46279" s="62" t="str">
        <f>IF(AND('领用录入（明细）'!D:D=$F$4,'领用录入（明细）'!C:C&gt;=$J$4,'领用录入（明细）'!C:C&lt;=$L$4),ROW(),"-")</f>
        <v>-</v>
      </c>
    </row>
    <row r="46280" customHeight="1" spans="2:2">
      <c r="B46280" s="62" t="str">
        <f>IF(AND('领用录入（明细）'!D:D=$F$4,'领用录入（明细）'!C:C&gt;=$J$4,'领用录入（明细）'!C:C&lt;=$L$4),ROW(),"-")</f>
        <v>-</v>
      </c>
    </row>
    <row r="46281" customHeight="1" spans="2:2">
      <c r="B46281" s="62" t="str">
        <f>IF(AND('领用录入（明细）'!D:D=$F$4,'领用录入（明细）'!C:C&gt;=$J$4,'领用录入（明细）'!C:C&lt;=$L$4),ROW(),"-")</f>
        <v>-</v>
      </c>
    </row>
    <row r="46282" customHeight="1" spans="2:2">
      <c r="B46282" s="62" t="str">
        <f>IF(AND('领用录入（明细）'!D:D=$F$4,'领用录入（明细）'!C:C&gt;=$J$4,'领用录入（明细）'!C:C&lt;=$L$4),ROW(),"-")</f>
        <v>-</v>
      </c>
    </row>
    <row r="46283" customHeight="1" spans="2:2">
      <c r="B46283" s="62" t="str">
        <f>IF(AND('领用录入（明细）'!D:D=$F$4,'领用录入（明细）'!C:C&gt;=$J$4,'领用录入（明细）'!C:C&lt;=$L$4),ROW(),"-")</f>
        <v>-</v>
      </c>
    </row>
    <row r="46284" customHeight="1" spans="2:2">
      <c r="B46284" s="62" t="str">
        <f>IF(AND('领用录入（明细）'!D:D=$F$4,'领用录入（明细）'!C:C&gt;=$J$4,'领用录入（明细）'!C:C&lt;=$L$4),ROW(),"-")</f>
        <v>-</v>
      </c>
    </row>
    <row r="46285" customHeight="1" spans="2:2">
      <c r="B46285" s="62" t="str">
        <f>IF(AND('领用录入（明细）'!D:D=$F$4,'领用录入（明细）'!C:C&gt;=$J$4,'领用录入（明细）'!C:C&lt;=$L$4),ROW(),"-")</f>
        <v>-</v>
      </c>
    </row>
    <row r="46286" customHeight="1" spans="2:2">
      <c r="B46286" s="62" t="str">
        <f>IF(AND('领用录入（明细）'!D:D=$F$4,'领用录入（明细）'!C:C&gt;=$J$4,'领用录入（明细）'!C:C&lt;=$L$4),ROW(),"-")</f>
        <v>-</v>
      </c>
    </row>
    <row r="46287" customHeight="1" spans="2:2">
      <c r="B46287" s="62" t="str">
        <f>IF(AND('领用录入（明细）'!D:D=$F$4,'领用录入（明细）'!C:C&gt;=$J$4,'领用录入（明细）'!C:C&lt;=$L$4),ROW(),"-")</f>
        <v>-</v>
      </c>
    </row>
    <row r="46288" customHeight="1" spans="2:2">
      <c r="B46288" s="62" t="str">
        <f>IF(AND('领用录入（明细）'!D:D=$F$4,'领用录入（明细）'!C:C&gt;=$J$4,'领用录入（明细）'!C:C&lt;=$L$4),ROW(),"-")</f>
        <v>-</v>
      </c>
    </row>
    <row r="46289" customHeight="1" spans="2:2">
      <c r="B46289" s="62" t="str">
        <f>IF(AND('领用录入（明细）'!D:D=$F$4,'领用录入（明细）'!C:C&gt;=$J$4,'领用录入（明细）'!C:C&lt;=$L$4),ROW(),"-")</f>
        <v>-</v>
      </c>
    </row>
    <row r="46290" customHeight="1" spans="2:2">
      <c r="B46290" s="62" t="str">
        <f>IF(AND('领用录入（明细）'!D:D=$F$4,'领用录入（明细）'!C:C&gt;=$J$4,'领用录入（明细）'!C:C&lt;=$L$4),ROW(),"-")</f>
        <v>-</v>
      </c>
    </row>
    <row r="46291" customHeight="1" spans="2:2">
      <c r="B46291" s="62" t="str">
        <f>IF(AND('领用录入（明细）'!D:D=$F$4,'领用录入（明细）'!C:C&gt;=$J$4,'领用录入（明细）'!C:C&lt;=$L$4),ROW(),"-")</f>
        <v>-</v>
      </c>
    </row>
    <row r="46292" customHeight="1" spans="2:2">
      <c r="B46292" s="62" t="str">
        <f>IF(AND('领用录入（明细）'!D:D=$F$4,'领用录入（明细）'!C:C&gt;=$J$4,'领用录入（明细）'!C:C&lt;=$L$4),ROW(),"-")</f>
        <v>-</v>
      </c>
    </row>
    <row r="46293" customHeight="1" spans="2:2">
      <c r="B46293" s="62" t="str">
        <f>IF(AND('领用录入（明细）'!D:D=$F$4,'领用录入（明细）'!C:C&gt;=$J$4,'领用录入（明细）'!C:C&lt;=$L$4),ROW(),"-")</f>
        <v>-</v>
      </c>
    </row>
    <row r="46294" customHeight="1" spans="2:2">
      <c r="B46294" s="62" t="str">
        <f>IF(AND('领用录入（明细）'!D:D=$F$4,'领用录入（明细）'!C:C&gt;=$J$4,'领用录入（明细）'!C:C&lt;=$L$4),ROW(),"-")</f>
        <v>-</v>
      </c>
    </row>
    <row r="46295" customHeight="1" spans="2:2">
      <c r="B46295" s="62" t="str">
        <f>IF(AND('领用录入（明细）'!D:D=$F$4,'领用录入（明细）'!C:C&gt;=$J$4,'领用录入（明细）'!C:C&lt;=$L$4),ROW(),"-")</f>
        <v>-</v>
      </c>
    </row>
    <row r="46296" customHeight="1" spans="2:2">
      <c r="B46296" s="62" t="str">
        <f>IF(AND('领用录入（明细）'!D:D=$F$4,'领用录入（明细）'!C:C&gt;=$J$4,'领用录入（明细）'!C:C&lt;=$L$4),ROW(),"-")</f>
        <v>-</v>
      </c>
    </row>
    <row r="46297" customHeight="1" spans="2:2">
      <c r="B46297" s="62" t="str">
        <f>IF(AND('领用录入（明细）'!D:D=$F$4,'领用录入（明细）'!C:C&gt;=$J$4,'领用录入（明细）'!C:C&lt;=$L$4),ROW(),"-")</f>
        <v>-</v>
      </c>
    </row>
    <row r="46298" customHeight="1" spans="2:2">
      <c r="B46298" s="62" t="str">
        <f>IF(AND('领用录入（明细）'!D:D=$F$4,'领用录入（明细）'!C:C&gt;=$J$4,'领用录入（明细）'!C:C&lt;=$L$4),ROW(),"-")</f>
        <v>-</v>
      </c>
    </row>
    <row r="46299" customHeight="1" spans="2:2">
      <c r="B46299" s="62" t="str">
        <f>IF(AND('领用录入（明细）'!D:D=$F$4,'领用录入（明细）'!C:C&gt;=$J$4,'领用录入（明细）'!C:C&lt;=$L$4),ROW(),"-")</f>
        <v>-</v>
      </c>
    </row>
    <row r="46300" customHeight="1" spans="2:2">
      <c r="B46300" s="62" t="str">
        <f>IF(AND('领用录入（明细）'!D:D=$F$4,'领用录入（明细）'!C:C&gt;=$J$4,'领用录入（明细）'!C:C&lt;=$L$4),ROW(),"-")</f>
        <v>-</v>
      </c>
    </row>
    <row r="46301" customHeight="1" spans="2:2">
      <c r="B46301" s="62" t="str">
        <f>IF(AND('领用录入（明细）'!D:D=$F$4,'领用录入（明细）'!C:C&gt;=$J$4,'领用录入（明细）'!C:C&lt;=$L$4),ROW(),"-")</f>
        <v>-</v>
      </c>
    </row>
    <row r="46302" customHeight="1" spans="2:2">
      <c r="B46302" s="62" t="str">
        <f>IF(AND('领用录入（明细）'!D:D=$F$4,'领用录入（明细）'!C:C&gt;=$J$4,'领用录入（明细）'!C:C&lt;=$L$4),ROW(),"-")</f>
        <v>-</v>
      </c>
    </row>
    <row r="46303" customHeight="1" spans="2:2">
      <c r="B46303" s="62" t="str">
        <f>IF(AND('领用录入（明细）'!D:D=$F$4,'领用录入（明细）'!C:C&gt;=$J$4,'领用录入（明细）'!C:C&lt;=$L$4),ROW(),"-")</f>
        <v>-</v>
      </c>
    </row>
    <row r="46304" customHeight="1" spans="2:2">
      <c r="B46304" s="62" t="str">
        <f>IF(AND('领用录入（明细）'!D:D=$F$4,'领用录入（明细）'!C:C&gt;=$J$4,'领用录入（明细）'!C:C&lt;=$L$4),ROW(),"-")</f>
        <v>-</v>
      </c>
    </row>
    <row r="46305" customHeight="1" spans="2:2">
      <c r="B46305" s="62" t="str">
        <f>IF(AND('领用录入（明细）'!D:D=$F$4,'领用录入（明细）'!C:C&gt;=$J$4,'领用录入（明细）'!C:C&lt;=$L$4),ROW(),"-")</f>
        <v>-</v>
      </c>
    </row>
    <row r="46306" customHeight="1" spans="2:2">
      <c r="B46306" s="62" t="str">
        <f>IF(AND('领用录入（明细）'!D:D=$F$4,'领用录入（明细）'!C:C&gt;=$J$4,'领用录入（明细）'!C:C&lt;=$L$4),ROW(),"-")</f>
        <v>-</v>
      </c>
    </row>
    <row r="46307" customHeight="1" spans="2:2">
      <c r="B46307" s="62" t="str">
        <f>IF(AND('领用录入（明细）'!D:D=$F$4,'领用录入（明细）'!C:C&gt;=$J$4,'领用录入（明细）'!C:C&lt;=$L$4),ROW(),"-")</f>
        <v>-</v>
      </c>
    </row>
    <row r="46308" customHeight="1" spans="2:2">
      <c r="B46308" s="62" t="str">
        <f>IF(AND('领用录入（明细）'!D:D=$F$4,'领用录入（明细）'!C:C&gt;=$J$4,'领用录入（明细）'!C:C&lt;=$L$4),ROW(),"-")</f>
        <v>-</v>
      </c>
    </row>
    <row r="46309" customHeight="1" spans="2:2">
      <c r="B46309" s="62" t="str">
        <f>IF(AND('领用录入（明细）'!D:D=$F$4,'领用录入（明细）'!C:C&gt;=$J$4,'领用录入（明细）'!C:C&lt;=$L$4),ROW(),"-")</f>
        <v>-</v>
      </c>
    </row>
    <row r="46310" customHeight="1" spans="2:2">
      <c r="B46310" s="62" t="str">
        <f>IF(AND('领用录入（明细）'!D:D=$F$4,'领用录入（明细）'!C:C&gt;=$J$4,'领用录入（明细）'!C:C&lt;=$L$4),ROW(),"-")</f>
        <v>-</v>
      </c>
    </row>
    <row r="46311" customHeight="1" spans="2:2">
      <c r="B46311" s="62" t="str">
        <f>IF(AND('领用录入（明细）'!D:D=$F$4,'领用录入（明细）'!C:C&gt;=$J$4,'领用录入（明细）'!C:C&lt;=$L$4),ROW(),"-")</f>
        <v>-</v>
      </c>
    </row>
    <row r="46312" customHeight="1" spans="2:2">
      <c r="B46312" s="62" t="str">
        <f>IF(AND('领用录入（明细）'!D:D=$F$4,'领用录入（明细）'!C:C&gt;=$J$4,'领用录入（明细）'!C:C&lt;=$L$4),ROW(),"-")</f>
        <v>-</v>
      </c>
    </row>
    <row r="46313" customHeight="1" spans="2:2">
      <c r="B46313" s="62" t="str">
        <f>IF(AND('领用录入（明细）'!D:D=$F$4,'领用录入（明细）'!C:C&gt;=$J$4,'领用录入（明细）'!C:C&lt;=$L$4),ROW(),"-")</f>
        <v>-</v>
      </c>
    </row>
    <row r="46314" customHeight="1" spans="2:2">
      <c r="B46314" s="62" t="str">
        <f>IF(AND('领用录入（明细）'!D:D=$F$4,'领用录入（明细）'!C:C&gt;=$J$4,'领用录入（明细）'!C:C&lt;=$L$4),ROW(),"-")</f>
        <v>-</v>
      </c>
    </row>
    <row r="46315" customHeight="1" spans="2:2">
      <c r="B46315" s="62" t="str">
        <f>IF(AND('领用录入（明细）'!D:D=$F$4,'领用录入（明细）'!C:C&gt;=$J$4,'领用录入（明细）'!C:C&lt;=$L$4),ROW(),"-")</f>
        <v>-</v>
      </c>
    </row>
    <row r="46316" customHeight="1" spans="2:2">
      <c r="B46316" s="62" t="str">
        <f>IF(AND('领用录入（明细）'!D:D=$F$4,'领用录入（明细）'!C:C&gt;=$J$4,'领用录入（明细）'!C:C&lt;=$L$4),ROW(),"-")</f>
        <v>-</v>
      </c>
    </row>
    <row r="46317" customHeight="1" spans="2:2">
      <c r="B46317" s="62" t="str">
        <f>IF(AND('领用录入（明细）'!D:D=$F$4,'领用录入（明细）'!C:C&gt;=$J$4,'领用录入（明细）'!C:C&lt;=$L$4),ROW(),"-")</f>
        <v>-</v>
      </c>
    </row>
    <row r="46318" customHeight="1" spans="2:2">
      <c r="B46318" s="62" t="str">
        <f>IF(AND('领用录入（明细）'!D:D=$F$4,'领用录入（明细）'!C:C&gt;=$J$4,'领用录入（明细）'!C:C&lt;=$L$4),ROW(),"-")</f>
        <v>-</v>
      </c>
    </row>
    <row r="46319" customHeight="1" spans="2:2">
      <c r="B46319" s="62" t="str">
        <f>IF(AND('领用录入（明细）'!D:D=$F$4,'领用录入（明细）'!C:C&gt;=$J$4,'领用录入（明细）'!C:C&lt;=$L$4),ROW(),"-")</f>
        <v>-</v>
      </c>
    </row>
    <row r="46320" customHeight="1" spans="2:2">
      <c r="B46320" s="62" t="str">
        <f>IF(AND('领用录入（明细）'!D:D=$F$4,'领用录入（明细）'!C:C&gt;=$J$4,'领用录入（明细）'!C:C&lt;=$L$4),ROW(),"-")</f>
        <v>-</v>
      </c>
    </row>
    <row r="46321" customHeight="1" spans="2:2">
      <c r="B46321" s="62" t="str">
        <f>IF(AND('领用录入（明细）'!D:D=$F$4,'领用录入（明细）'!C:C&gt;=$J$4,'领用录入（明细）'!C:C&lt;=$L$4),ROW(),"-")</f>
        <v>-</v>
      </c>
    </row>
    <row r="46322" customHeight="1" spans="2:2">
      <c r="B46322" s="62" t="str">
        <f>IF(AND('领用录入（明细）'!D:D=$F$4,'领用录入（明细）'!C:C&gt;=$J$4,'领用录入（明细）'!C:C&lt;=$L$4),ROW(),"-")</f>
        <v>-</v>
      </c>
    </row>
    <row r="46323" customHeight="1" spans="2:2">
      <c r="B46323" s="62" t="str">
        <f>IF(AND('领用录入（明细）'!D:D=$F$4,'领用录入（明细）'!C:C&gt;=$J$4,'领用录入（明细）'!C:C&lt;=$L$4),ROW(),"-")</f>
        <v>-</v>
      </c>
    </row>
    <row r="46324" customHeight="1" spans="2:2">
      <c r="B46324" s="62" t="str">
        <f>IF(AND('领用录入（明细）'!D:D=$F$4,'领用录入（明细）'!C:C&gt;=$J$4,'领用录入（明细）'!C:C&lt;=$L$4),ROW(),"-")</f>
        <v>-</v>
      </c>
    </row>
    <row r="46325" customHeight="1" spans="2:2">
      <c r="B46325" s="62" t="str">
        <f>IF(AND('领用录入（明细）'!D:D=$F$4,'领用录入（明细）'!C:C&gt;=$J$4,'领用录入（明细）'!C:C&lt;=$L$4),ROW(),"-")</f>
        <v>-</v>
      </c>
    </row>
    <row r="46326" customHeight="1" spans="2:2">
      <c r="B46326" s="62" t="str">
        <f>IF(AND('领用录入（明细）'!D:D=$F$4,'领用录入（明细）'!C:C&gt;=$J$4,'领用录入（明细）'!C:C&lt;=$L$4),ROW(),"-")</f>
        <v>-</v>
      </c>
    </row>
    <row r="46327" customHeight="1" spans="2:2">
      <c r="B46327" s="62" t="str">
        <f>IF(AND('领用录入（明细）'!D:D=$F$4,'领用录入（明细）'!C:C&gt;=$J$4,'领用录入（明细）'!C:C&lt;=$L$4),ROW(),"-")</f>
        <v>-</v>
      </c>
    </row>
    <row r="46328" customHeight="1" spans="2:2">
      <c r="B46328" s="62" t="str">
        <f>IF(AND('领用录入（明细）'!D:D=$F$4,'领用录入（明细）'!C:C&gt;=$J$4,'领用录入（明细）'!C:C&lt;=$L$4),ROW(),"-")</f>
        <v>-</v>
      </c>
    </row>
    <row r="46329" customHeight="1" spans="2:2">
      <c r="B46329" s="62" t="str">
        <f>IF(AND('领用录入（明细）'!D:D=$F$4,'领用录入（明细）'!C:C&gt;=$J$4,'领用录入（明细）'!C:C&lt;=$L$4),ROW(),"-")</f>
        <v>-</v>
      </c>
    </row>
    <row r="46330" customHeight="1" spans="2:2">
      <c r="B46330" s="62" t="str">
        <f>IF(AND('领用录入（明细）'!D:D=$F$4,'领用录入（明细）'!C:C&gt;=$J$4,'领用录入（明细）'!C:C&lt;=$L$4),ROW(),"-")</f>
        <v>-</v>
      </c>
    </row>
    <row r="46331" customHeight="1" spans="2:2">
      <c r="B46331" s="62" t="str">
        <f>IF(AND('领用录入（明细）'!D:D=$F$4,'领用录入（明细）'!C:C&gt;=$J$4,'领用录入（明细）'!C:C&lt;=$L$4),ROW(),"-")</f>
        <v>-</v>
      </c>
    </row>
    <row r="46332" customHeight="1" spans="2:2">
      <c r="B46332" s="62" t="str">
        <f>IF(AND('领用录入（明细）'!D:D=$F$4,'领用录入（明细）'!C:C&gt;=$J$4,'领用录入（明细）'!C:C&lt;=$L$4),ROW(),"-")</f>
        <v>-</v>
      </c>
    </row>
    <row r="46333" customHeight="1" spans="2:2">
      <c r="B46333" s="62" t="str">
        <f>IF(AND('领用录入（明细）'!D:D=$F$4,'领用录入（明细）'!C:C&gt;=$J$4,'领用录入（明细）'!C:C&lt;=$L$4),ROW(),"-")</f>
        <v>-</v>
      </c>
    </row>
    <row r="46334" customHeight="1" spans="2:2">
      <c r="B46334" s="62" t="str">
        <f>IF(AND('领用录入（明细）'!D:D=$F$4,'领用录入（明细）'!C:C&gt;=$J$4,'领用录入（明细）'!C:C&lt;=$L$4),ROW(),"-")</f>
        <v>-</v>
      </c>
    </row>
    <row r="46335" customHeight="1" spans="2:2">
      <c r="B46335" s="62" t="str">
        <f>IF(AND('领用录入（明细）'!D:D=$F$4,'领用录入（明细）'!C:C&gt;=$J$4,'领用录入（明细）'!C:C&lt;=$L$4),ROW(),"-")</f>
        <v>-</v>
      </c>
    </row>
    <row r="46336" customHeight="1" spans="2:2">
      <c r="B46336" s="62" t="str">
        <f>IF(AND('领用录入（明细）'!D:D=$F$4,'领用录入（明细）'!C:C&gt;=$J$4,'领用录入（明细）'!C:C&lt;=$L$4),ROW(),"-")</f>
        <v>-</v>
      </c>
    </row>
    <row r="46337" customHeight="1" spans="2:2">
      <c r="B46337" s="62" t="str">
        <f>IF(AND('领用录入（明细）'!D:D=$F$4,'领用录入（明细）'!C:C&gt;=$J$4,'领用录入（明细）'!C:C&lt;=$L$4),ROW(),"-")</f>
        <v>-</v>
      </c>
    </row>
    <row r="46338" customHeight="1" spans="2:2">
      <c r="B46338" s="62" t="str">
        <f>IF(AND('领用录入（明细）'!D:D=$F$4,'领用录入（明细）'!C:C&gt;=$J$4,'领用录入（明细）'!C:C&lt;=$L$4),ROW(),"-")</f>
        <v>-</v>
      </c>
    </row>
    <row r="46339" customHeight="1" spans="2:2">
      <c r="B46339" s="62" t="str">
        <f>IF(AND('领用录入（明细）'!D:D=$F$4,'领用录入（明细）'!C:C&gt;=$J$4,'领用录入（明细）'!C:C&lt;=$L$4),ROW(),"-")</f>
        <v>-</v>
      </c>
    </row>
    <row r="46340" customHeight="1" spans="2:2">
      <c r="B46340" s="62" t="str">
        <f>IF(AND('领用录入（明细）'!D:D=$F$4,'领用录入（明细）'!C:C&gt;=$J$4,'领用录入（明细）'!C:C&lt;=$L$4),ROW(),"-")</f>
        <v>-</v>
      </c>
    </row>
    <row r="46341" customHeight="1" spans="2:2">
      <c r="B46341" s="62" t="str">
        <f>IF(AND('领用录入（明细）'!D:D=$F$4,'领用录入（明细）'!C:C&gt;=$J$4,'领用录入（明细）'!C:C&lt;=$L$4),ROW(),"-")</f>
        <v>-</v>
      </c>
    </row>
    <row r="46342" customHeight="1" spans="2:2">
      <c r="B46342" s="62" t="str">
        <f>IF(AND('领用录入（明细）'!D:D=$F$4,'领用录入（明细）'!C:C&gt;=$J$4,'领用录入（明细）'!C:C&lt;=$L$4),ROW(),"-")</f>
        <v>-</v>
      </c>
    </row>
    <row r="46343" customHeight="1" spans="2:2">
      <c r="B46343" s="62" t="str">
        <f>IF(AND('领用录入（明细）'!D:D=$F$4,'领用录入（明细）'!C:C&gt;=$J$4,'领用录入（明细）'!C:C&lt;=$L$4),ROW(),"-")</f>
        <v>-</v>
      </c>
    </row>
    <row r="46344" customHeight="1" spans="2:2">
      <c r="B46344" s="62" t="str">
        <f>IF(AND('领用录入（明细）'!D:D=$F$4,'领用录入（明细）'!C:C&gt;=$J$4,'领用录入（明细）'!C:C&lt;=$L$4),ROW(),"-")</f>
        <v>-</v>
      </c>
    </row>
    <row r="46345" customHeight="1" spans="2:2">
      <c r="B46345" s="62" t="str">
        <f>IF(AND('领用录入（明细）'!D:D=$F$4,'领用录入（明细）'!C:C&gt;=$J$4,'领用录入（明细）'!C:C&lt;=$L$4),ROW(),"-")</f>
        <v>-</v>
      </c>
    </row>
    <row r="46346" customHeight="1" spans="2:2">
      <c r="B46346" s="62" t="str">
        <f>IF(AND('领用录入（明细）'!D:D=$F$4,'领用录入（明细）'!C:C&gt;=$J$4,'领用录入（明细）'!C:C&lt;=$L$4),ROW(),"-")</f>
        <v>-</v>
      </c>
    </row>
    <row r="46347" customHeight="1" spans="2:2">
      <c r="B46347" s="62" t="str">
        <f>IF(AND('领用录入（明细）'!D:D=$F$4,'领用录入（明细）'!C:C&gt;=$J$4,'领用录入（明细）'!C:C&lt;=$L$4),ROW(),"-")</f>
        <v>-</v>
      </c>
    </row>
    <row r="46348" customHeight="1" spans="2:2">
      <c r="B46348" s="62" t="str">
        <f>IF(AND('领用录入（明细）'!D:D=$F$4,'领用录入（明细）'!C:C&gt;=$J$4,'领用录入（明细）'!C:C&lt;=$L$4),ROW(),"-")</f>
        <v>-</v>
      </c>
    </row>
    <row r="46349" customHeight="1" spans="2:2">
      <c r="B46349" s="62" t="str">
        <f>IF(AND('领用录入（明细）'!D:D=$F$4,'领用录入（明细）'!C:C&gt;=$J$4,'领用录入（明细）'!C:C&lt;=$L$4),ROW(),"-")</f>
        <v>-</v>
      </c>
    </row>
    <row r="46350" customHeight="1" spans="2:2">
      <c r="B46350" s="62" t="str">
        <f>IF(AND('领用录入（明细）'!D:D=$F$4,'领用录入（明细）'!C:C&gt;=$J$4,'领用录入（明细）'!C:C&lt;=$L$4),ROW(),"-")</f>
        <v>-</v>
      </c>
    </row>
    <row r="46351" customHeight="1" spans="2:2">
      <c r="B46351" s="62" t="str">
        <f>IF(AND('领用录入（明细）'!D:D=$F$4,'领用录入（明细）'!C:C&gt;=$J$4,'领用录入（明细）'!C:C&lt;=$L$4),ROW(),"-")</f>
        <v>-</v>
      </c>
    </row>
    <row r="46352" customHeight="1" spans="2:2">
      <c r="B46352" s="62" t="str">
        <f>IF(AND('领用录入（明细）'!D:D=$F$4,'领用录入（明细）'!C:C&gt;=$J$4,'领用录入（明细）'!C:C&lt;=$L$4),ROW(),"-")</f>
        <v>-</v>
      </c>
    </row>
    <row r="46353" customHeight="1" spans="2:2">
      <c r="B46353" s="62" t="str">
        <f>IF(AND('领用录入（明细）'!D:D=$F$4,'领用录入（明细）'!C:C&gt;=$J$4,'领用录入（明细）'!C:C&lt;=$L$4),ROW(),"-")</f>
        <v>-</v>
      </c>
    </row>
    <row r="46354" customHeight="1" spans="2:2">
      <c r="B46354" s="62" t="str">
        <f>IF(AND('领用录入（明细）'!D:D=$F$4,'领用录入（明细）'!C:C&gt;=$J$4,'领用录入（明细）'!C:C&lt;=$L$4),ROW(),"-")</f>
        <v>-</v>
      </c>
    </row>
    <row r="46355" customHeight="1" spans="2:2">
      <c r="B46355" s="62" t="str">
        <f>IF(AND('领用录入（明细）'!D:D=$F$4,'领用录入（明细）'!C:C&gt;=$J$4,'领用录入（明细）'!C:C&lt;=$L$4),ROW(),"-")</f>
        <v>-</v>
      </c>
    </row>
    <row r="46356" customHeight="1" spans="2:2">
      <c r="B46356" s="62" t="str">
        <f>IF(AND('领用录入（明细）'!D:D=$F$4,'领用录入（明细）'!C:C&gt;=$J$4,'领用录入（明细）'!C:C&lt;=$L$4),ROW(),"-")</f>
        <v>-</v>
      </c>
    </row>
    <row r="46357" customHeight="1" spans="2:2">
      <c r="B46357" s="62" t="str">
        <f>IF(AND('领用录入（明细）'!D:D=$F$4,'领用录入（明细）'!C:C&gt;=$J$4,'领用录入（明细）'!C:C&lt;=$L$4),ROW(),"-")</f>
        <v>-</v>
      </c>
    </row>
    <row r="46358" customHeight="1" spans="2:2">
      <c r="B46358" s="62" t="str">
        <f>IF(AND('领用录入（明细）'!D:D=$F$4,'领用录入（明细）'!C:C&gt;=$J$4,'领用录入（明细）'!C:C&lt;=$L$4),ROW(),"-")</f>
        <v>-</v>
      </c>
    </row>
    <row r="46359" customHeight="1" spans="2:2">
      <c r="B46359" s="62" t="str">
        <f>IF(AND('领用录入（明细）'!D:D=$F$4,'领用录入（明细）'!C:C&gt;=$J$4,'领用录入（明细）'!C:C&lt;=$L$4),ROW(),"-")</f>
        <v>-</v>
      </c>
    </row>
    <row r="46360" customHeight="1" spans="2:2">
      <c r="B46360" s="62" t="str">
        <f>IF(AND('领用录入（明细）'!D:D=$F$4,'领用录入（明细）'!C:C&gt;=$J$4,'领用录入（明细）'!C:C&lt;=$L$4),ROW(),"-")</f>
        <v>-</v>
      </c>
    </row>
    <row r="46361" customHeight="1" spans="2:2">
      <c r="B46361" s="62" t="str">
        <f>IF(AND('领用录入（明细）'!D:D=$F$4,'领用录入（明细）'!C:C&gt;=$J$4,'领用录入（明细）'!C:C&lt;=$L$4),ROW(),"-")</f>
        <v>-</v>
      </c>
    </row>
    <row r="46362" customHeight="1" spans="2:2">
      <c r="B46362" s="62" t="str">
        <f>IF(AND('领用录入（明细）'!D:D=$F$4,'领用录入（明细）'!C:C&gt;=$J$4,'领用录入（明细）'!C:C&lt;=$L$4),ROW(),"-")</f>
        <v>-</v>
      </c>
    </row>
    <row r="46363" customHeight="1" spans="2:2">
      <c r="B46363" s="62" t="str">
        <f>IF(AND('领用录入（明细）'!D:D=$F$4,'领用录入（明细）'!C:C&gt;=$J$4,'领用录入（明细）'!C:C&lt;=$L$4),ROW(),"-")</f>
        <v>-</v>
      </c>
    </row>
    <row r="46364" customHeight="1" spans="2:2">
      <c r="B46364" s="62" t="str">
        <f>IF(AND('领用录入（明细）'!D:D=$F$4,'领用录入（明细）'!C:C&gt;=$J$4,'领用录入（明细）'!C:C&lt;=$L$4),ROW(),"-")</f>
        <v>-</v>
      </c>
    </row>
    <row r="46365" customHeight="1" spans="2:2">
      <c r="B46365" s="62" t="str">
        <f>IF(AND('领用录入（明细）'!D:D=$F$4,'领用录入（明细）'!C:C&gt;=$J$4,'领用录入（明细）'!C:C&lt;=$L$4),ROW(),"-")</f>
        <v>-</v>
      </c>
    </row>
    <row r="46366" customHeight="1" spans="2:2">
      <c r="B46366" s="62" t="str">
        <f>IF(AND('领用录入（明细）'!D:D=$F$4,'领用录入（明细）'!C:C&gt;=$J$4,'领用录入（明细）'!C:C&lt;=$L$4),ROW(),"-")</f>
        <v>-</v>
      </c>
    </row>
    <row r="46367" customHeight="1" spans="2:2">
      <c r="B46367" s="62" t="str">
        <f>IF(AND('领用录入（明细）'!D:D=$F$4,'领用录入（明细）'!C:C&gt;=$J$4,'领用录入（明细）'!C:C&lt;=$L$4),ROW(),"-")</f>
        <v>-</v>
      </c>
    </row>
    <row r="46368" customHeight="1" spans="2:2">
      <c r="B46368" s="62" t="str">
        <f>IF(AND('领用录入（明细）'!D:D=$F$4,'领用录入（明细）'!C:C&gt;=$J$4,'领用录入（明细）'!C:C&lt;=$L$4),ROW(),"-")</f>
        <v>-</v>
      </c>
    </row>
    <row r="46369" customHeight="1" spans="2:2">
      <c r="B46369" s="62" t="str">
        <f>IF(AND('领用录入（明细）'!D:D=$F$4,'领用录入（明细）'!C:C&gt;=$J$4,'领用录入（明细）'!C:C&lt;=$L$4),ROW(),"-")</f>
        <v>-</v>
      </c>
    </row>
    <row r="46370" customHeight="1" spans="2:2">
      <c r="B46370" s="62" t="str">
        <f>IF(AND('领用录入（明细）'!D:D=$F$4,'领用录入（明细）'!C:C&gt;=$J$4,'领用录入（明细）'!C:C&lt;=$L$4),ROW(),"-")</f>
        <v>-</v>
      </c>
    </row>
    <row r="46371" customHeight="1" spans="2:2">
      <c r="B46371" s="62" t="str">
        <f>IF(AND('领用录入（明细）'!D:D=$F$4,'领用录入（明细）'!C:C&gt;=$J$4,'领用录入（明细）'!C:C&lt;=$L$4),ROW(),"-")</f>
        <v>-</v>
      </c>
    </row>
    <row r="46372" customHeight="1" spans="2:2">
      <c r="B46372" s="62" t="str">
        <f>IF(AND('领用录入（明细）'!D:D=$F$4,'领用录入（明细）'!C:C&gt;=$J$4,'领用录入（明细）'!C:C&lt;=$L$4),ROW(),"-")</f>
        <v>-</v>
      </c>
    </row>
    <row r="46373" customHeight="1" spans="2:2">
      <c r="B46373" s="62" t="str">
        <f>IF(AND('领用录入（明细）'!D:D=$F$4,'领用录入（明细）'!C:C&gt;=$J$4,'领用录入（明细）'!C:C&lt;=$L$4),ROW(),"-")</f>
        <v>-</v>
      </c>
    </row>
    <row r="46374" customHeight="1" spans="2:2">
      <c r="B46374" s="62" t="str">
        <f>IF(AND('领用录入（明细）'!D:D=$F$4,'领用录入（明细）'!C:C&gt;=$J$4,'领用录入（明细）'!C:C&lt;=$L$4),ROW(),"-")</f>
        <v>-</v>
      </c>
    </row>
    <row r="46375" customHeight="1" spans="2:2">
      <c r="B46375" s="62" t="str">
        <f>IF(AND('领用录入（明细）'!D:D=$F$4,'领用录入（明细）'!C:C&gt;=$J$4,'领用录入（明细）'!C:C&lt;=$L$4),ROW(),"-")</f>
        <v>-</v>
      </c>
    </row>
    <row r="46376" customHeight="1" spans="2:2">
      <c r="B46376" s="62" t="str">
        <f>IF(AND('领用录入（明细）'!D:D=$F$4,'领用录入（明细）'!C:C&gt;=$J$4,'领用录入（明细）'!C:C&lt;=$L$4),ROW(),"-")</f>
        <v>-</v>
      </c>
    </row>
    <row r="46377" customHeight="1" spans="2:2">
      <c r="B46377" s="62" t="str">
        <f>IF(AND('领用录入（明细）'!D:D=$F$4,'领用录入（明细）'!C:C&gt;=$J$4,'领用录入（明细）'!C:C&lt;=$L$4),ROW(),"-")</f>
        <v>-</v>
      </c>
    </row>
    <row r="46378" customHeight="1" spans="2:2">
      <c r="B46378" s="62" t="str">
        <f>IF(AND('领用录入（明细）'!D:D=$F$4,'领用录入（明细）'!C:C&gt;=$J$4,'领用录入（明细）'!C:C&lt;=$L$4),ROW(),"-")</f>
        <v>-</v>
      </c>
    </row>
    <row r="46379" customHeight="1" spans="2:2">
      <c r="B46379" s="62" t="str">
        <f>IF(AND('领用录入（明细）'!D:D=$F$4,'领用录入（明细）'!C:C&gt;=$J$4,'领用录入（明细）'!C:C&lt;=$L$4),ROW(),"-")</f>
        <v>-</v>
      </c>
    </row>
    <row r="46380" customHeight="1" spans="2:2">
      <c r="B46380" s="62" t="str">
        <f>IF(AND('领用录入（明细）'!D:D=$F$4,'领用录入（明细）'!C:C&gt;=$J$4,'领用录入（明细）'!C:C&lt;=$L$4),ROW(),"-")</f>
        <v>-</v>
      </c>
    </row>
    <row r="46381" customHeight="1" spans="2:2">
      <c r="B46381" s="62" t="str">
        <f>IF(AND('领用录入（明细）'!D:D=$F$4,'领用录入（明细）'!C:C&gt;=$J$4,'领用录入（明细）'!C:C&lt;=$L$4),ROW(),"-")</f>
        <v>-</v>
      </c>
    </row>
    <row r="46382" customHeight="1" spans="2:2">
      <c r="B46382" s="62" t="str">
        <f>IF(AND('领用录入（明细）'!D:D=$F$4,'领用录入（明细）'!C:C&gt;=$J$4,'领用录入（明细）'!C:C&lt;=$L$4),ROW(),"-")</f>
        <v>-</v>
      </c>
    </row>
    <row r="46383" customHeight="1" spans="2:2">
      <c r="B46383" s="62" t="str">
        <f>IF(AND('领用录入（明细）'!D:D=$F$4,'领用录入（明细）'!C:C&gt;=$J$4,'领用录入（明细）'!C:C&lt;=$L$4),ROW(),"-")</f>
        <v>-</v>
      </c>
    </row>
    <row r="46384" customHeight="1" spans="2:2">
      <c r="B46384" s="62" t="str">
        <f>IF(AND('领用录入（明细）'!D:D=$F$4,'领用录入（明细）'!C:C&gt;=$J$4,'领用录入（明细）'!C:C&lt;=$L$4),ROW(),"-")</f>
        <v>-</v>
      </c>
    </row>
    <row r="46385" customHeight="1" spans="2:2">
      <c r="B46385" s="62" t="str">
        <f>IF(AND('领用录入（明细）'!D:D=$F$4,'领用录入（明细）'!C:C&gt;=$J$4,'领用录入（明细）'!C:C&lt;=$L$4),ROW(),"-")</f>
        <v>-</v>
      </c>
    </row>
    <row r="46386" customHeight="1" spans="2:2">
      <c r="B46386" s="62" t="str">
        <f>IF(AND('领用录入（明细）'!D:D=$F$4,'领用录入（明细）'!C:C&gt;=$J$4,'领用录入（明细）'!C:C&lt;=$L$4),ROW(),"-")</f>
        <v>-</v>
      </c>
    </row>
    <row r="46387" customHeight="1" spans="2:2">
      <c r="B46387" s="62" t="str">
        <f>IF(AND('领用录入（明细）'!D:D=$F$4,'领用录入（明细）'!C:C&gt;=$J$4,'领用录入（明细）'!C:C&lt;=$L$4),ROW(),"-")</f>
        <v>-</v>
      </c>
    </row>
    <row r="46388" customHeight="1" spans="2:2">
      <c r="B46388" s="62" t="str">
        <f>IF(AND('领用录入（明细）'!D:D=$F$4,'领用录入（明细）'!C:C&gt;=$J$4,'领用录入（明细）'!C:C&lt;=$L$4),ROW(),"-")</f>
        <v>-</v>
      </c>
    </row>
    <row r="46389" customHeight="1" spans="2:2">
      <c r="B46389" s="62" t="str">
        <f>IF(AND('领用录入（明细）'!D:D=$F$4,'领用录入（明细）'!C:C&gt;=$J$4,'领用录入（明细）'!C:C&lt;=$L$4),ROW(),"-")</f>
        <v>-</v>
      </c>
    </row>
    <row r="46390" customHeight="1" spans="2:2">
      <c r="B46390" s="62" t="str">
        <f>IF(AND('领用录入（明细）'!D:D=$F$4,'领用录入（明细）'!C:C&gt;=$J$4,'领用录入（明细）'!C:C&lt;=$L$4),ROW(),"-")</f>
        <v>-</v>
      </c>
    </row>
    <row r="46391" customHeight="1" spans="2:2">
      <c r="B46391" s="62" t="str">
        <f>IF(AND('领用录入（明细）'!D:D=$F$4,'领用录入（明细）'!C:C&gt;=$J$4,'领用录入（明细）'!C:C&lt;=$L$4),ROW(),"-")</f>
        <v>-</v>
      </c>
    </row>
    <row r="46392" customHeight="1" spans="2:2">
      <c r="B46392" s="62" t="str">
        <f>IF(AND('领用录入（明细）'!D:D=$F$4,'领用录入（明细）'!C:C&gt;=$J$4,'领用录入（明细）'!C:C&lt;=$L$4),ROW(),"-")</f>
        <v>-</v>
      </c>
    </row>
    <row r="46393" customHeight="1" spans="2:2">
      <c r="B46393" s="62" t="str">
        <f>IF(AND('领用录入（明细）'!D:D=$F$4,'领用录入（明细）'!C:C&gt;=$J$4,'领用录入（明细）'!C:C&lt;=$L$4),ROW(),"-")</f>
        <v>-</v>
      </c>
    </row>
    <row r="46394" customHeight="1" spans="2:2">
      <c r="B46394" s="62" t="str">
        <f>IF(AND('领用录入（明细）'!D:D=$F$4,'领用录入（明细）'!C:C&gt;=$J$4,'领用录入（明细）'!C:C&lt;=$L$4),ROW(),"-")</f>
        <v>-</v>
      </c>
    </row>
    <row r="46395" customHeight="1" spans="2:2">
      <c r="B46395" s="62" t="str">
        <f>IF(AND('领用录入（明细）'!D:D=$F$4,'领用录入（明细）'!C:C&gt;=$J$4,'领用录入（明细）'!C:C&lt;=$L$4),ROW(),"-")</f>
        <v>-</v>
      </c>
    </row>
    <row r="46396" customHeight="1" spans="2:2">
      <c r="B46396" s="62" t="str">
        <f>IF(AND('领用录入（明细）'!D:D=$F$4,'领用录入（明细）'!C:C&gt;=$J$4,'领用录入（明细）'!C:C&lt;=$L$4),ROW(),"-")</f>
        <v>-</v>
      </c>
    </row>
    <row r="46397" customHeight="1" spans="2:2">
      <c r="B46397" s="62" t="str">
        <f>IF(AND('领用录入（明细）'!D:D=$F$4,'领用录入（明细）'!C:C&gt;=$J$4,'领用录入（明细）'!C:C&lt;=$L$4),ROW(),"-")</f>
        <v>-</v>
      </c>
    </row>
    <row r="46398" customHeight="1" spans="2:2">
      <c r="B46398" s="62" t="str">
        <f>IF(AND('领用录入（明细）'!D:D=$F$4,'领用录入（明细）'!C:C&gt;=$J$4,'领用录入（明细）'!C:C&lt;=$L$4),ROW(),"-")</f>
        <v>-</v>
      </c>
    </row>
    <row r="46399" customHeight="1" spans="2:2">
      <c r="B46399" s="62" t="str">
        <f>IF(AND('领用录入（明细）'!D:D=$F$4,'领用录入（明细）'!C:C&gt;=$J$4,'领用录入（明细）'!C:C&lt;=$L$4),ROW(),"-")</f>
        <v>-</v>
      </c>
    </row>
    <row r="46400" customHeight="1" spans="2:2">
      <c r="B46400" s="62" t="str">
        <f>IF(AND('领用录入（明细）'!D:D=$F$4,'领用录入（明细）'!C:C&gt;=$J$4,'领用录入（明细）'!C:C&lt;=$L$4),ROW(),"-")</f>
        <v>-</v>
      </c>
    </row>
    <row r="46401" customHeight="1" spans="2:2">
      <c r="B46401" s="62" t="str">
        <f>IF(AND('领用录入（明细）'!D:D=$F$4,'领用录入（明细）'!C:C&gt;=$J$4,'领用录入（明细）'!C:C&lt;=$L$4),ROW(),"-")</f>
        <v>-</v>
      </c>
    </row>
    <row r="46402" customHeight="1" spans="2:2">
      <c r="B46402" s="62" t="str">
        <f>IF(AND('领用录入（明细）'!D:D=$F$4,'领用录入（明细）'!C:C&gt;=$J$4,'领用录入（明细）'!C:C&lt;=$L$4),ROW(),"-")</f>
        <v>-</v>
      </c>
    </row>
    <row r="46403" customHeight="1" spans="2:2">
      <c r="B46403" s="62" t="str">
        <f>IF(AND('领用录入（明细）'!D:D=$F$4,'领用录入（明细）'!C:C&gt;=$J$4,'领用录入（明细）'!C:C&lt;=$L$4),ROW(),"-")</f>
        <v>-</v>
      </c>
    </row>
    <row r="46404" customHeight="1" spans="2:2">
      <c r="B46404" s="62" t="str">
        <f>IF(AND('领用录入（明细）'!D:D=$F$4,'领用录入（明细）'!C:C&gt;=$J$4,'领用录入（明细）'!C:C&lt;=$L$4),ROW(),"-")</f>
        <v>-</v>
      </c>
    </row>
    <row r="46405" customHeight="1" spans="2:2">
      <c r="B46405" s="62" t="str">
        <f>IF(AND('领用录入（明细）'!D:D=$F$4,'领用录入（明细）'!C:C&gt;=$J$4,'领用录入（明细）'!C:C&lt;=$L$4),ROW(),"-")</f>
        <v>-</v>
      </c>
    </row>
    <row r="46406" customHeight="1" spans="2:2">
      <c r="B46406" s="62" t="str">
        <f>IF(AND('领用录入（明细）'!D:D=$F$4,'领用录入（明细）'!C:C&gt;=$J$4,'领用录入（明细）'!C:C&lt;=$L$4),ROW(),"-")</f>
        <v>-</v>
      </c>
    </row>
    <row r="46407" customHeight="1" spans="2:2">
      <c r="B46407" s="62" t="str">
        <f>IF(AND('领用录入（明细）'!D:D=$F$4,'领用录入（明细）'!C:C&gt;=$J$4,'领用录入（明细）'!C:C&lt;=$L$4),ROW(),"-")</f>
        <v>-</v>
      </c>
    </row>
    <row r="46408" customHeight="1" spans="2:2">
      <c r="B46408" s="62" t="str">
        <f>IF(AND('领用录入（明细）'!D:D=$F$4,'领用录入（明细）'!C:C&gt;=$J$4,'领用录入（明细）'!C:C&lt;=$L$4),ROW(),"-")</f>
        <v>-</v>
      </c>
    </row>
    <row r="46409" customHeight="1" spans="2:2">
      <c r="B46409" s="62" t="str">
        <f>IF(AND('领用录入（明细）'!D:D=$F$4,'领用录入（明细）'!C:C&gt;=$J$4,'领用录入（明细）'!C:C&lt;=$L$4),ROW(),"-")</f>
        <v>-</v>
      </c>
    </row>
    <row r="46410" customHeight="1" spans="2:2">
      <c r="B46410" s="62" t="str">
        <f>IF(AND('领用录入（明细）'!D:D=$F$4,'领用录入（明细）'!C:C&gt;=$J$4,'领用录入（明细）'!C:C&lt;=$L$4),ROW(),"-")</f>
        <v>-</v>
      </c>
    </row>
    <row r="46411" customHeight="1" spans="2:2">
      <c r="B46411" s="62" t="str">
        <f>IF(AND('领用录入（明细）'!D:D=$F$4,'领用录入（明细）'!C:C&gt;=$J$4,'领用录入（明细）'!C:C&lt;=$L$4),ROW(),"-")</f>
        <v>-</v>
      </c>
    </row>
    <row r="46412" customHeight="1" spans="2:2">
      <c r="B46412" s="62" t="str">
        <f>IF(AND('领用录入（明细）'!D:D=$F$4,'领用录入（明细）'!C:C&gt;=$J$4,'领用录入（明细）'!C:C&lt;=$L$4),ROW(),"-")</f>
        <v>-</v>
      </c>
    </row>
    <row r="46413" customHeight="1" spans="2:2">
      <c r="B46413" s="62" t="str">
        <f>IF(AND('领用录入（明细）'!D:D=$F$4,'领用录入（明细）'!C:C&gt;=$J$4,'领用录入（明细）'!C:C&lt;=$L$4),ROW(),"-")</f>
        <v>-</v>
      </c>
    </row>
    <row r="46414" customHeight="1" spans="2:2">
      <c r="B46414" s="62" t="str">
        <f>IF(AND('领用录入（明细）'!D:D=$F$4,'领用录入（明细）'!C:C&gt;=$J$4,'领用录入（明细）'!C:C&lt;=$L$4),ROW(),"-")</f>
        <v>-</v>
      </c>
    </row>
    <row r="46415" customHeight="1" spans="2:2">
      <c r="B46415" s="62" t="str">
        <f>IF(AND('领用录入（明细）'!D:D=$F$4,'领用录入（明细）'!C:C&gt;=$J$4,'领用录入（明细）'!C:C&lt;=$L$4),ROW(),"-")</f>
        <v>-</v>
      </c>
    </row>
    <row r="46416" customHeight="1" spans="2:2">
      <c r="B46416" s="62" t="str">
        <f>IF(AND('领用录入（明细）'!D:D=$F$4,'领用录入（明细）'!C:C&gt;=$J$4,'领用录入（明细）'!C:C&lt;=$L$4),ROW(),"-")</f>
        <v>-</v>
      </c>
    </row>
    <row r="46417" customHeight="1" spans="2:2">
      <c r="B46417" s="62" t="str">
        <f>IF(AND('领用录入（明细）'!D:D=$F$4,'领用录入（明细）'!C:C&gt;=$J$4,'领用录入（明细）'!C:C&lt;=$L$4),ROW(),"-")</f>
        <v>-</v>
      </c>
    </row>
    <row r="46418" customHeight="1" spans="2:2">
      <c r="B46418" s="62" t="str">
        <f>IF(AND('领用录入（明细）'!D:D=$F$4,'领用录入（明细）'!C:C&gt;=$J$4,'领用录入（明细）'!C:C&lt;=$L$4),ROW(),"-")</f>
        <v>-</v>
      </c>
    </row>
    <row r="46419" customHeight="1" spans="2:2">
      <c r="B46419" s="62" t="str">
        <f>IF(AND('领用录入（明细）'!D:D=$F$4,'领用录入（明细）'!C:C&gt;=$J$4,'领用录入（明细）'!C:C&lt;=$L$4),ROW(),"-")</f>
        <v>-</v>
      </c>
    </row>
    <row r="46420" customHeight="1" spans="2:2">
      <c r="B46420" s="62" t="str">
        <f>IF(AND('领用录入（明细）'!D:D=$F$4,'领用录入（明细）'!C:C&gt;=$J$4,'领用录入（明细）'!C:C&lt;=$L$4),ROW(),"-")</f>
        <v>-</v>
      </c>
    </row>
    <row r="46421" customHeight="1" spans="2:2">
      <c r="B46421" s="62" t="str">
        <f>IF(AND('领用录入（明细）'!D:D=$F$4,'领用录入（明细）'!C:C&gt;=$J$4,'领用录入（明细）'!C:C&lt;=$L$4),ROW(),"-")</f>
        <v>-</v>
      </c>
    </row>
    <row r="46422" customHeight="1" spans="2:2">
      <c r="B46422" s="62" t="str">
        <f>IF(AND('领用录入（明细）'!D:D=$F$4,'领用录入（明细）'!C:C&gt;=$J$4,'领用录入（明细）'!C:C&lt;=$L$4),ROW(),"-")</f>
        <v>-</v>
      </c>
    </row>
    <row r="46423" customHeight="1" spans="2:2">
      <c r="B46423" s="62" t="str">
        <f>IF(AND('领用录入（明细）'!D:D=$F$4,'领用录入（明细）'!C:C&gt;=$J$4,'领用录入（明细）'!C:C&lt;=$L$4),ROW(),"-")</f>
        <v>-</v>
      </c>
    </row>
    <row r="46424" customHeight="1" spans="2:2">
      <c r="B46424" s="62" t="str">
        <f>IF(AND('领用录入（明细）'!D:D=$F$4,'领用录入（明细）'!C:C&gt;=$J$4,'领用录入（明细）'!C:C&lt;=$L$4),ROW(),"-")</f>
        <v>-</v>
      </c>
    </row>
    <row r="46425" customHeight="1" spans="2:2">
      <c r="B46425" s="62" t="str">
        <f>IF(AND('领用录入（明细）'!D:D=$F$4,'领用录入（明细）'!C:C&gt;=$J$4,'领用录入（明细）'!C:C&lt;=$L$4),ROW(),"-")</f>
        <v>-</v>
      </c>
    </row>
    <row r="46426" customHeight="1" spans="2:2">
      <c r="B46426" s="62" t="str">
        <f>IF(AND('领用录入（明细）'!D:D=$F$4,'领用录入（明细）'!C:C&gt;=$J$4,'领用录入（明细）'!C:C&lt;=$L$4),ROW(),"-")</f>
        <v>-</v>
      </c>
    </row>
    <row r="46427" customHeight="1" spans="2:2">
      <c r="B46427" s="62" t="str">
        <f>IF(AND('领用录入（明细）'!D:D=$F$4,'领用录入（明细）'!C:C&gt;=$J$4,'领用录入（明细）'!C:C&lt;=$L$4),ROW(),"-")</f>
        <v>-</v>
      </c>
    </row>
    <row r="46428" customHeight="1" spans="2:2">
      <c r="B46428" s="62" t="str">
        <f>IF(AND('领用录入（明细）'!D:D=$F$4,'领用录入（明细）'!C:C&gt;=$J$4,'领用录入（明细）'!C:C&lt;=$L$4),ROW(),"-")</f>
        <v>-</v>
      </c>
    </row>
    <row r="46429" customHeight="1" spans="2:2">
      <c r="B46429" s="62" t="str">
        <f>IF(AND('领用录入（明细）'!D:D=$F$4,'领用录入（明细）'!C:C&gt;=$J$4,'领用录入（明细）'!C:C&lt;=$L$4),ROW(),"-")</f>
        <v>-</v>
      </c>
    </row>
    <row r="46430" customHeight="1" spans="2:2">
      <c r="B46430" s="62" t="str">
        <f>IF(AND('领用录入（明细）'!D:D=$F$4,'领用录入（明细）'!C:C&gt;=$J$4,'领用录入（明细）'!C:C&lt;=$L$4),ROW(),"-")</f>
        <v>-</v>
      </c>
    </row>
    <row r="46431" customHeight="1" spans="2:2">
      <c r="B46431" s="62" t="str">
        <f>IF(AND('领用录入（明细）'!D:D=$F$4,'领用录入（明细）'!C:C&gt;=$J$4,'领用录入（明细）'!C:C&lt;=$L$4),ROW(),"-")</f>
        <v>-</v>
      </c>
    </row>
    <row r="46432" customHeight="1" spans="2:2">
      <c r="B46432" s="62" t="str">
        <f>IF(AND('领用录入（明细）'!D:D=$F$4,'领用录入（明细）'!C:C&gt;=$J$4,'领用录入（明细）'!C:C&lt;=$L$4),ROW(),"-")</f>
        <v>-</v>
      </c>
    </row>
    <row r="46433" customHeight="1" spans="2:2">
      <c r="B46433" s="62" t="str">
        <f>IF(AND('领用录入（明细）'!D:D=$F$4,'领用录入（明细）'!C:C&gt;=$J$4,'领用录入（明细）'!C:C&lt;=$L$4),ROW(),"-")</f>
        <v>-</v>
      </c>
    </row>
    <row r="46434" customHeight="1" spans="2:2">
      <c r="B46434" s="62" t="str">
        <f>IF(AND('领用录入（明细）'!D:D=$F$4,'领用录入（明细）'!C:C&gt;=$J$4,'领用录入（明细）'!C:C&lt;=$L$4),ROW(),"-")</f>
        <v>-</v>
      </c>
    </row>
    <row r="46435" customHeight="1" spans="2:2">
      <c r="B46435" s="62" t="str">
        <f>IF(AND('领用录入（明细）'!D:D=$F$4,'领用录入（明细）'!C:C&gt;=$J$4,'领用录入（明细）'!C:C&lt;=$L$4),ROW(),"-")</f>
        <v>-</v>
      </c>
    </row>
    <row r="46436" customHeight="1" spans="2:2">
      <c r="B46436" s="62" t="str">
        <f>IF(AND('领用录入（明细）'!D:D=$F$4,'领用录入（明细）'!C:C&gt;=$J$4,'领用录入（明细）'!C:C&lt;=$L$4),ROW(),"-")</f>
        <v>-</v>
      </c>
    </row>
    <row r="46437" customHeight="1" spans="2:2">
      <c r="B46437" s="62" t="str">
        <f>IF(AND('领用录入（明细）'!D:D=$F$4,'领用录入（明细）'!C:C&gt;=$J$4,'领用录入（明细）'!C:C&lt;=$L$4),ROW(),"-")</f>
        <v>-</v>
      </c>
    </row>
    <row r="46438" customHeight="1" spans="2:2">
      <c r="B46438" s="62" t="str">
        <f>IF(AND('领用录入（明细）'!D:D=$F$4,'领用录入（明细）'!C:C&gt;=$J$4,'领用录入（明细）'!C:C&lt;=$L$4),ROW(),"-")</f>
        <v>-</v>
      </c>
    </row>
    <row r="46439" customHeight="1" spans="2:2">
      <c r="B46439" s="62" t="str">
        <f>IF(AND('领用录入（明细）'!D:D=$F$4,'领用录入（明细）'!C:C&gt;=$J$4,'领用录入（明细）'!C:C&lt;=$L$4),ROW(),"-")</f>
        <v>-</v>
      </c>
    </row>
    <row r="46440" customHeight="1" spans="2:2">
      <c r="B46440" s="62" t="str">
        <f>IF(AND('领用录入（明细）'!D:D=$F$4,'领用录入（明细）'!C:C&gt;=$J$4,'领用录入（明细）'!C:C&lt;=$L$4),ROW(),"-")</f>
        <v>-</v>
      </c>
    </row>
    <row r="46441" customHeight="1" spans="2:2">
      <c r="B46441" s="62" t="str">
        <f>IF(AND('领用录入（明细）'!D:D=$F$4,'领用录入（明细）'!C:C&gt;=$J$4,'领用录入（明细）'!C:C&lt;=$L$4),ROW(),"-")</f>
        <v>-</v>
      </c>
    </row>
    <row r="46442" customHeight="1" spans="2:2">
      <c r="B46442" s="62" t="str">
        <f>IF(AND('领用录入（明细）'!D:D=$F$4,'领用录入（明细）'!C:C&gt;=$J$4,'领用录入（明细）'!C:C&lt;=$L$4),ROW(),"-")</f>
        <v>-</v>
      </c>
    </row>
    <row r="46443" customHeight="1" spans="2:2">
      <c r="B46443" s="62" t="str">
        <f>IF(AND('领用录入（明细）'!D:D=$F$4,'领用录入（明细）'!C:C&gt;=$J$4,'领用录入（明细）'!C:C&lt;=$L$4),ROW(),"-")</f>
        <v>-</v>
      </c>
    </row>
    <row r="46444" customHeight="1" spans="2:2">
      <c r="B46444" s="62" t="str">
        <f>IF(AND('领用录入（明细）'!D:D=$F$4,'领用录入（明细）'!C:C&gt;=$J$4,'领用录入（明细）'!C:C&lt;=$L$4),ROW(),"-")</f>
        <v>-</v>
      </c>
    </row>
    <row r="46445" customHeight="1" spans="2:2">
      <c r="B46445" s="62" t="str">
        <f>IF(AND('领用录入（明细）'!D:D=$F$4,'领用录入（明细）'!C:C&gt;=$J$4,'领用录入（明细）'!C:C&lt;=$L$4),ROW(),"-")</f>
        <v>-</v>
      </c>
    </row>
    <row r="46446" customHeight="1" spans="2:2">
      <c r="B46446" s="62" t="str">
        <f>IF(AND('领用录入（明细）'!D:D=$F$4,'领用录入（明细）'!C:C&gt;=$J$4,'领用录入（明细）'!C:C&lt;=$L$4),ROW(),"-")</f>
        <v>-</v>
      </c>
    </row>
    <row r="46447" customHeight="1" spans="2:2">
      <c r="B46447" s="62" t="str">
        <f>IF(AND('领用录入（明细）'!D:D=$F$4,'领用录入（明细）'!C:C&gt;=$J$4,'领用录入（明细）'!C:C&lt;=$L$4),ROW(),"-")</f>
        <v>-</v>
      </c>
    </row>
    <row r="46448" customHeight="1" spans="2:2">
      <c r="B46448" s="62" t="str">
        <f>IF(AND('领用录入（明细）'!D:D=$F$4,'领用录入（明细）'!C:C&gt;=$J$4,'领用录入（明细）'!C:C&lt;=$L$4),ROW(),"-")</f>
        <v>-</v>
      </c>
    </row>
    <row r="46449" customHeight="1" spans="2:2">
      <c r="B46449" s="62" t="str">
        <f>IF(AND('领用录入（明细）'!D:D=$F$4,'领用录入（明细）'!C:C&gt;=$J$4,'领用录入（明细）'!C:C&lt;=$L$4),ROW(),"-")</f>
        <v>-</v>
      </c>
    </row>
    <row r="46450" customHeight="1" spans="2:2">
      <c r="B46450" s="62" t="str">
        <f>IF(AND('领用录入（明细）'!D:D=$F$4,'领用录入（明细）'!C:C&gt;=$J$4,'领用录入（明细）'!C:C&lt;=$L$4),ROW(),"-")</f>
        <v>-</v>
      </c>
    </row>
    <row r="46451" customHeight="1" spans="2:2">
      <c r="B46451" s="62" t="str">
        <f>IF(AND('领用录入（明细）'!D:D=$F$4,'领用录入（明细）'!C:C&gt;=$J$4,'领用录入（明细）'!C:C&lt;=$L$4),ROW(),"-")</f>
        <v>-</v>
      </c>
    </row>
    <row r="46452" customHeight="1" spans="2:2">
      <c r="B46452" s="62" t="str">
        <f>IF(AND('领用录入（明细）'!D:D=$F$4,'领用录入（明细）'!C:C&gt;=$J$4,'领用录入（明细）'!C:C&lt;=$L$4),ROW(),"-")</f>
        <v>-</v>
      </c>
    </row>
    <row r="46453" customHeight="1" spans="2:2">
      <c r="B46453" s="62" t="str">
        <f>IF(AND('领用录入（明细）'!D:D=$F$4,'领用录入（明细）'!C:C&gt;=$J$4,'领用录入（明细）'!C:C&lt;=$L$4),ROW(),"-")</f>
        <v>-</v>
      </c>
    </row>
    <row r="46454" customHeight="1" spans="2:2">
      <c r="B46454" s="62" t="str">
        <f>IF(AND('领用录入（明细）'!D:D=$F$4,'领用录入（明细）'!C:C&gt;=$J$4,'领用录入（明细）'!C:C&lt;=$L$4),ROW(),"-")</f>
        <v>-</v>
      </c>
    </row>
    <row r="46455" customHeight="1" spans="2:2">
      <c r="B46455" s="62" t="str">
        <f>IF(AND('领用录入（明细）'!D:D=$F$4,'领用录入（明细）'!C:C&gt;=$J$4,'领用录入（明细）'!C:C&lt;=$L$4),ROW(),"-")</f>
        <v>-</v>
      </c>
    </row>
    <row r="46456" customHeight="1" spans="2:2">
      <c r="B46456" s="62" t="str">
        <f>IF(AND('领用录入（明细）'!D:D=$F$4,'领用录入（明细）'!C:C&gt;=$J$4,'领用录入（明细）'!C:C&lt;=$L$4),ROW(),"-")</f>
        <v>-</v>
      </c>
    </row>
    <row r="46457" customHeight="1" spans="2:2">
      <c r="B46457" s="62" t="str">
        <f>IF(AND('领用录入（明细）'!D:D=$F$4,'领用录入（明细）'!C:C&gt;=$J$4,'领用录入（明细）'!C:C&lt;=$L$4),ROW(),"-")</f>
        <v>-</v>
      </c>
    </row>
    <row r="46458" customHeight="1" spans="2:2">
      <c r="B46458" s="62" t="str">
        <f>IF(AND('领用录入（明细）'!D:D=$F$4,'领用录入（明细）'!C:C&gt;=$J$4,'领用录入（明细）'!C:C&lt;=$L$4),ROW(),"-")</f>
        <v>-</v>
      </c>
    </row>
    <row r="46459" customHeight="1" spans="2:2">
      <c r="B46459" s="62" t="str">
        <f>IF(AND('领用录入（明细）'!D:D=$F$4,'领用录入（明细）'!C:C&gt;=$J$4,'领用录入（明细）'!C:C&lt;=$L$4),ROW(),"-")</f>
        <v>-</v>
      </c>
    </row>
    <row r="46460" customHeight="1" spans="2:2">
      <c r="B46460" s="62" t="str">
        <f>IF(AND('领用录入（明细）'!D:D=$F$4,'领用录入（明细）'!C:C&gt;=$J$4,'领用录入（明细）'!C:C&lt;=$L$4),ROW(),"-")</f>
        <v>-</v>
      </c>
    </row>
    <row r="46461" customHeight="1" spans="2:2">
      <c r="B46461" s="62" t="str">
        <f>IF(AND('领用录入（明细）'!D:D=$F$4,'领用录入（明细）'!C:C&gt;=$J$4,'领用录入（明细）'!C:C&lt;=$L$4),ROW(),"-")</f>
        <v>-</v>
      </c>
    </row>
    <row r="46462" customHeight="1" spans="2:2">
      <c r="B46462" s="62" t="str">
        <f>IF(AND('领用录入（明细）'!D:D=$F$4,'领用录入（明细）'!C:C&gt;=$J$4,'领用录入（明细）'!C:C&lt;=$L$4),ROW(),"-")</f>
        <v>-</v>
      </c>
    </row>
    <row r="46463" customHeight="1" spans="2:2">
      <c r="B46463" s="62" t="str">
        <f>IF(AND('领用录入（明细）'!D:D=$F$4,'领用录入（明细）'!C:C&gt;=$J$4,'领用录入（明细）'!C:C&lt;=$L$4),ROW(),"-")</f>
        <v>-</v>
      </c>
    </row>
    <row r="46464" customHeight="1" spans="2:2">
      <c r="B46464" s="62" t="str">
        <f>IF(AND('领用录入（明细）'!D:D=$F$4,'领用录入（明细）'!C:C&gt;=$J$4,'领用录入（明细）'!C:C&lt;=$L$4),ROW(),"-")</f>
        <v>-</v>
      </c>
    </row>
    <row r="46465" customHeight="1" spans="2:2">
      <c r="B46465" s="62" t="str">
        <f>IF(AND('领用录入（明细）'!D:D=$F$4,'领用录入（明细）'!C:C&gt;=$J$4,'领用录入（明细）'!C:C&lt;=$L$4),ROW(),"-")</f>
        <v>-</v>
      </c>
    </row>
    <row r="46466" customHeight="1" spans="2:2">
      <c r="B46466" s="62" t="str">
        <f>IF(AND('领用录入（明细）'!D:D=$F$4,'领用录入（明细）'!C:C&gt;=$J$4,'领用录入（明细）'!C:C&lt;=$L$4),ROW(),"-")</f>
        <v>-</v>
      </c>
    </row>
    <row r="46467" customHeight="1" spans="2:2">
      <c r="B46467" s="62" t="str">
        <f>IF(AND('领用录入（明细）'!D:D=$F$4,'领用录入（明细）'!C:C&gt;=$J$4,'领用录入（明细）'!C:C&lt;=$L$4),ROW(),"-")</f>
        <v>-</v>
      </c>
    </row>
    <row r="46468" customHeight="1" spans="2:2">
      <c r="B46468" s="62" t="str">
        <f>IF(AND('领用录入（明细）'!D:D=$F$4,'领用录入（明细）'!C:C&gt;=$J$4,'领用录入（明细）'!C:C&lt;=$L$4),ROW(),"-")</f>
        <v>-</v>
      </c>
    </row>
    <row r="46469" customHeight="1" spans="2:2">
      <c r="B46469" s="62" t="str">
        <f>IF(AND('领用录入（明细）'!D:D=$F$4,'领用录入（明细）'!C:C&gt;=$J$4,'领用录入（明细）'!C:C&lt;=$L$4),ROW(),"-")</f>
        <v>-</v>
      </c>
    </row>
    <row r="46470" customHeight="1" spans="2:2">
      <c r="B46470" s="62" t="str">
        <f>IF(AND('领用录入（明细）'!D:D=$F$4,'领用录入（明细）'!C:C&gt;=$J$4,'领用录入（明细）'!C:C&lt;=$L$4),ROW(),"-")</f>
        <v>-</v>
      </c>
    </row>
    <row r="46471" customHeight="1" spans="2:2">
      <c r="B46471" s="62" t="str">
        <f>IF(AND('领用录入（明细）'!D:D=$F$4,'领用录入（明细）'!C:C&gt;=$J$4,'领用录入（明细）'!C:C&lt;=$L$4),ROW(),"-")</f>
        <v>-</v>
      </c>
    </row>
    <row r="46472" customHeight="1" spans="2:2">
      <c r="B46472" s="62" t="str">
        <f>IF(AND('领用录入（明细）'!D:D=$F$4,'领用录入（明细）'!C:C&gt;=$J$4,'领用录入（明细）'!C:C&lt;=$L$4),ROW(),"-")</f>
        <v>-</v>
      </c>
    </row>
    <row r="46473" customHeight="1" spans="2:2">
      <c r="B46473" s="62" t="str">
        <f>IF(AND('领用录入（明细）'!D:D=$F$4,'领用录入（明细）'!C:C&gt;=$J$4,'领用录入（明细）'!C:C&lt;=$L$4),ROW(),"-")</f>
        <v>-</v>
      </c>
    </row>
    <row r="46474" customHeight="1" spans="2:2">
      <c r="B46474" s="62" t="str">
        <f>IF(AND('领用录入（明细）'!D:D=$F$4,'领用录入（明细）'!C:C&gt;=$J$4,'领用录入（明细）'!C:C&lt;=$L$4),ROW(),"-")</f>
        <v>-</v>
      </c>
    </row>
    <row r="46475" customHeight="1" spans="2:2">
      <c r="B46475" s="62" t="str">
        <f>IF(AND('领用录入（明细）'!D:D=$F$4,'领用录入（明细）'!C:C&gt;=$J$4,'领用录入（明细）'!C:C&lt;=$L$4),ROW(),"-")</f>
        <v>-</v>
      </c>
    </row>
    <row r="46476" customHeight="1" spans="2:2">
      <c r="B46476" s="62" t="str">
        <f>IF(AND('领用录入（明细）'!D:D=$F$4,'领用录入（明细）'!C:C&gt;=$J$4,'领用录入（明细）'!C:C&lt;=$L$4),ROW(),"-")</f>
        <v>-</v>
      </c>
    </row>
    <row r="46477" customHeight="1" spans="2:2">
      <c r="B46477" s="62" t="str">
        <f>IF(AND('领用录入（明细）'!D:D=$F$4,'领用录入（明细）'!C:C&gt;=$J$4,'领用录入（明细）'!C:C&lt;=$L$4),ROW(),"-")</f>
        <v>-</v>
      </c>
    </row>
    <row r="46478" customHeight="1" spans="2:2">
      <c r="B46478" s="62" t="str">
        <f>IF(AND('领用录入（明细）'!D:D=$F$4,'领用录入（明细）'!C:C&gt;=$J$4,'领用录入（明细）'!C:C&lt;=$L$4),ROW(),"-")</f>
        <v>-</v>
      </c>
    </row>
    <row r="46479" customHeight="1" spans="2:2">
      <c r="B46479" s="62" t="str">
        <f>IF(AND('领用录入（明细）'!D:D=$F$4,'领用录入（明细）'!C:C&gt;=$J$4,'领用录入（明细）'!C:C&lt;=$L$4),ROW(),"-")</f>
        <v>-</v>
      </c>
    </row>
    <row r="46480" customHeight="1" spans="2:2">
      <c r="B46480" s="62" t="str">
        <f>IF(AND('领用录入（明细）'!D:D=$F$4,'领用录入（明细）'!C:C&gt;=$J$4,'领用录入（明细）'!C:C&lt;=$L$4),ROW(),"-")</f>
        <v>-</v>
      </c>
    </row>
    <row r="46481" customHeight="1" spans="2:2">
      <c r="B46481" s="62" t="str">
        <f>IF(AND('领用录入（明细）'!D:D=$F$4,'领用录入（明细）'!C:C&gt;=$J$4,'领用录入（明细）'!C:C&lt;=$L$4),ROW(),"-")</f>
        <v>-</v>
      </c>
    </row>
    <row r="46482" customHeight="1" spans="2:2">
      <c r="B46482" s="62" t="str">
        <f>IF(AND('领用录入（明细）'!D:D=$F$4,'领用录入（明细）'!C:C&gt;=$J$4,'领用录入（明细）'!C:C&lt;=$L$4),ROW(),"-")</f>
        <v>-</v>
      </c>
    </row>
    <row r="46483" customHeight="1" spans="2:2">
      <c r="B46483" s="62" t="str">
        <f>IF(AND('领用录入（明细）'!D:D=$F$4,'领用录入（明细）'!C:C&gt;=$J$4,'领用录入（明细）'!C:C&lt;=$L$4),ROW(),"-")</f>
        <v>-</v>
      </c>
    </row>
    <row r="46484" customHeight="1" spans="2:2">
      <c r="B46484" s="62" t="str">
        <f>IF(AND('领用录入（明细）'!D:D=$F$4,'领用录入（明细）'!C:C&gt;=$J$4,'领用录入（明细）'!C:C&lt;=$L$4),ROW(),"-")</f>
        <v>-</v>
      </c>
    </row>
    <row r="46485" customHeight="1" spans="2:2">
      <c r="B46485" s="62" t="str">
        <f>IF(AND('领用录入（明细）'!D:D=$F$4,'领用录入（明细）'!C:C&gt;=$J$4,'领用录入（明细）'!C:C&lt;=$L$4),ROW(),"-")</f>
        <v>-</v>
      </c>
    </row>
    <row r="46486" customHeight="1" spans="2:2">
      <c r="B46486" s="62" t="str">
        <f>IF(AND('领用录入（明细）'!D:D=$F$4,'领用录入（明细）'!C:C&gt;=$J$4,'领用录入（明细）'!C:C&lt;=$L$4),ROW(),"-")</f>
        <v>-</v>
      </c>
    </row>
    <row r="46487" customHeight="1" spans="2:2">
      <c r="B46487" s="62" t="str">
        <f>IF(AND('领用录入（明细）'!D:D=$F$4,'领用录入（明细）'!C:C&gt;=$J$4,'领用录入（明细）'!C:C&lt;=$L$4),ROW(),"-")</f>
        <v>-</v>
      </c>
    </row>
    <row r="46488" customHeight="1" spans="2:2">
      <c r="B46488" s="62" t="str">
        <f>IF(AND('领用录入（明细）'!D:D=$F$4,'领用录入（明细）'!C:C&gt;=$J$4,'领用录入（明细）'!C:C&lt;=$L$4),ROW(),"-")</f>
        <v>-</v>
      </c>
    </row>
    <row r="46489" customHeight="1" spans="2:2">
      <c r="B46489" s="62" t="str">
        <f>IF(AND('领用录入（明细）'!D:D=$F$4,'领用录入（明细）'!C:C&gt;=$J$4,'领用录入（明细）'!C:C&lt;=$L$4),ROW(),"-")</f>
        <v>-</v>
      </c>
    </row>
    <row r="46490" customHeight="1" spans="2:2">
      <c r="B46490" s="62" t="str">
        <f>IF(AND('领用录入（明细）'!D:D=$F$4,'领用录入（明细）'!C:C&gt;=$J$4,'领用录入（明细）'!C:C&lt;=$L$4),ROW(),"-")</f>
        <v>-</v>
      </c>
    </row>
    <row r="46491" customHeight="1" spans="2:2">
      <c r="B46491" s="62" t="str">
        <f>IF(AND('领用录入（明细）'!D:D=$F$4,'领用录入（明细）'!C:C&gt;=$J$4,'领用录入（明细）'!C:C&lt;=$L$4),ROW(),"-")</f>
        <v>-</v>
      </c>
    </row>
    <row r="46492" customHeight="1" spans="2:2">
      <c r="B46492" s="62" t="str">
        <f>IF(AND('领用录入（明细）'!D:D=$F$4,'领用录入（明细）'!C:C&gt;=$J$4,'领用录入（明细）'!C:C&lt;=$L$4),ROW(),"-")</f>
        <v>-</v>
      </c>
    </row>
    <row r="46493" customHeight="1" spans="2:2">
      <c r="B46493" s="62" t="str">
        <f>IF(AND('领用录入（明细）'!D:D=$F$4,'领用录入（明细）'!C:C&gt;=$J$4,'领用录入（明细）'!C:C&lt;=$L$4),ROW(),"-")</f>
        <v>-</v>
      </c>
    </row>
    <row r="46494" customHeight="1" spans="2:2">
      <c r="B46494" s="62" t="str">
        <f>IF(AND('领用录入（明细）'!D:D=$F$4,'领用录入（明细）'!C:C&gt;=$J$4,'领用录入（明细）'!C:C&lt;=$L$4),ROW(),"-")</f>
        <v>-</v>
      </c>
    </row>
    <row r="46495" customHeight="1" spans="2:2">
      <c r="B46495" s="62" t="str">
        <f>IF(AND('领用录入（明细）'!D:D=$F$4,'领用录入（明细）'!C:C&gt;=$J$4,'领用录入（明细）'!C:C&lt;=$L$4),ROW(),"-")</f>
        <v>-</v>
      </c>
    </row>
    <row r="46496" customHeight="1" spans="2:2">
      <c r="B46496" s="62" t="str">
        <f>IF(AND('领用录入（明细）'!D:D=$F$4,'领用录入（明细）'!C:C&gt;=$J$4,'领用录入（明细）'!C:C&lt;=$L$4),ROW(),"-")</f>
        <v>-</v>
      </c>
    </row>
    <row r="46497" customHeight="1" spans="2:2">
      <c r="B46497" s="62" t="str">
        <f>IF(AND('领用录入（明细）'!D:D=$F$4,'领用录入（明细）'!C:C&gt;=$J$4,'领用录入（明细）'!C:C&lt;=$L$4),ROW(),"-")</f>
        <v>-</v>
      </c>
    </row>
    <row r="46498" customHeight="1" spans="2:2">
      <c r="B46498" s="62" t="str">
        <f>IF(AND('领用录入（明细）'!D:D=$F$4,'领用录入（明细）'!C:C&gt;=$J$4,'领用录入（明细）'!C:C&lt;=$L$4),ROW(),"-")</f>
        <v>-</v>
      </c>
    </row>
    <row r="46499" customHeight="1" spans="2:2">
      <c r="B46499" s="62" t="str">
        <f>IF(AND('领用录入（明细）'!D:D=$F$4,'领用录入（明细）'!C:C&gt;=$J$4,'领用录入（明细）'!C:C&lt;=$L$4),ROW(),"-")</f>
        <v>-</v>
      </c>
    </row>
    <row r="46500" customHeight="1" spans="2:2">
      <c r="B46500" s="62" t="str">
        <f>IF(AND('领用录入（明细）'!D:D=$F$4,'领用录入（明细）'!C:C&gt;=$J$4,'领用录入（明细）'!C:C&lt;=$L$4),ROW(),"-")</f>
        <v>-</v>
      </c>
    </row>
    <row r="46501" customHeight="1" spans="2:2">
      <c r="B46501" s="62" t="str">
        <f>IF(AND('领用录入（明细）'!D:D=$F$4,'领用录入（明细）'!C:C&gt;=$J$4,'领用录入（明细）'!C:C&lt;=$L$4),ROW(),"-")</f>
        <v>-</v>
      </c>
    </row>
    <row r="46502" customHeight="1" spans="2:2">
      <c r="B46502" s="62" t="str">
        <f>IF(AND('领用录入（明细）'!D:D=$F$4,'领用录入（明细）'!C:C&gt;=$J$4,'领用录入（明细）'!C:C&lt;=$L$4),ROW(),"-")</f>
        <v>-</v>
      </c>
    </row>
    <row r="46503" customHeight="1" spans="2:2">
      <c r="B46503" s="62" t="str">
        <f>IF(AND('领用录入（明细）'!D:D=$F$4,'领用录入（明细）'!C:C&gt;=$J$4,'领用录入（明细）'!C:C&lt;=$L$4),ROW(),"-")</f>
        <v>-</v>
      </c>
    </row>
    <row r="46504" customHeight="1" spans="2:2">
      <c r="B46504" s="62" t="str">
        <f>IF(AND('领用录入（明细）'!D:D=$F$4,'领用录入（明细）'!C:C&gt;=$J$4,'领用录入（明细）'!C:C&lt;=$L$4),ROW(),"-")</f>
        <v>-</v>
      </c>
    </row>
    <row r="46505" customHeight="1" spans="2:2">
      <c r="B46505" s="62" t="str">
        <f>IF(AND('领用录入（明细）'!D:D=$F$4,'领用录入（明细）'!C:C&gt;=$J$4,'领用录入（明细）'!C:C&lt;=$L$4),ROW(),"-")</f>
        <v>-</v>
      </c>
    </row>
    <row r="46506" customHeight="1" spans="2:2">
      <c r="B46506" s="62" t="str">
        <f>IF(AND('领用录入（明细）'!D:D=$F$4,'领用录入（明细）'!C:C&gt;=$J$4,'领用录入（明细）'!C:C&lt;=$L$4),ROW(),"-")</f>
        <v>-</v>
      </c>
    </row>
    <row r="46507" customHeight="1" spans="2:2">
      <c r="B46507" s="62" t="str">
        <f>IF(AND('领用录入（明细）'!D:D=$F$4,'领用录入（明细）'!C:C&gt;=$J$4,'领用录入（明细）'!C:C&lt;=$L$4),ROW(),"-")</f>
        <v>-</v>
      </c>
    </row>
    <row r="46508" customHeight="1" spans="2:2">
      <c r="B46508" s="62" t="str">
        <f>IF(AND('领用录入（明细）'!D:D=$F$4,'领用录入（明细）'!C:C&gt;=$J$4,'领用录入（明细）'!C:C&lt;=$L$4),ROW(),"-")</f>
        <v>-</v>
      </c>
    </row>
    <row r="46509" customHeight="1" spans="2:2">
      <c r="B46509" s="62" t="str">
        <f>IF(AND('领用录入（明细）'!D:D=$F$4,'领用录入（明细）'!C:C&gt;=$J$4,'领用录入（明细）'!C:C&lt;=$L$4),ROW(),"-")</f>
        <v>-</v>
      </c>
    </row>
    <row r="46510" customHeight="1" spans="2:2">
      <c r="B46510" s="62" t="str">
        <f>IF(AND('领用录入（明细）'!D:D=$F$4,'领用录入（明细）'!C:C&gt;=$J$4,'领用录入（明细）'!C:C&lt;=$L$4),ROW(),"-")</f>
        <v>-</v>
      </c>
    </row>
    <row r="46511" customHeight="1" spans="2:2">
      <c r="B46511" s="62" t="str">
        <f>IF(AND('领用录入（明细）'!D:D=$F$4,'领用录入（明细）'!C:C&gt;=$J$4,'领用录入（明细）'!C:C&lt;=$L$4),ROW(),"-")</f>
        <v>-</v>
      </c>
    </row>
    <row r="46512" customHeight="1" spans="2:2">
      <c r="B46512" s="62" t="str">
        <f>IF(AND('领用录入（明细）'!D:D=$F$4,'领用录入（明细）'!C:C&gt;=$J$4,'领用录入（明细）'!C:C&lt;=$L$4),ROW(),"-")</f>
        <v>-</v>
      </c>
    </row>
    <row r="46513" customHeight="1" spans="2:2">
      <c r="B46513" s="62" t="str">
        <f>IF(AND('领用录入（明细）'!D:D=$F$4,'领用录入（明细）'!C:C&gt;=$J$4,'领用录入（明细）'!C:C&lt;=$L$4),ROW(),"-")</f>
        <v>-</v>
      </c>
    </row>
    <row r="46514" customHeight="1" spans="2:2">
      <c r="B46514" s="62" t="str">
        <f>IF(AND('领用录入（明细）'!D:D=$F$4,'领用录入（明细）'!C:C&gt;=$J$4,'领用录入（明细）'!C:C&lt;=$L$4),ROW(),"-")</f>
        <v>-</v>
      </c>
    </row>
    <row r="46515" customHeight="1" spans="2:2">
      <c r="B46515" s="62" t="str">
        <f>IF(AND('领用录入（明细）'!D:D=$F$4,'领用录入（明细）'!C:C&gt;=$J$4,'领用录入（明细）'!C:C&lt;=$L$4),ROW(),"-")</f>
        <v>-</v>
      </c>
    </row>
    <row r="46516" customHeight="1" spans="2:2">
      <c r="B46516" s="62" t="str">
        <f>IF(AND('领用录入（明细）'!D:D=$F$4,'领用录入（明细）'!C:C&gt;=$J$4,'领用录入（明细）'!C:C&lt;=$L$4),ROW(),"-")</f>
        <v>-</v>
      </c>
    </row>
    <row r="46517" customHeight="1" spans="2:2">
      <c r="B46517" s="62" t="str">
        <f>IF(AND('领用录入（明细）'!D:D=$F$4,'领用录入（明细）'!C:C&gt;=$J$4,'领用录入（明细）'!C:C&lt;=$L$4),ROW(),"-")</f>
        <v>-</v>
      </c>
    </row>
    <row r="46518" customHeight="1" spans="2:2">
      <c r="B46518" s="62" t="str">
        <f>IF(AND('领用录入（明细）'!D:D=$F$4,'领用录入（明细）'!C:C&gt;=$J$4,'领用录入（明细）'!C:C&lt;=$L$4),ROW(),"-")</f>
        <v>-</v>
      </c>
    </row>
    <row r="46519" customHeight="1" spans="2:2">
      <c r="B46519" s="62" t="str">
        <f>IF(AND('领用录入（明细）'!D:D=$F$4,'领用录入（明细）'!C:C&gt;=$J$4,'领用录入（明细）'!C:C&lt;=$L$4),ROW(),"-")</f>
        <v>-</v>
      </c>
    </row>
    <row r="46520" customHeight="1" spans="2:2">
      <c r="B46520" s="62" t="str">
        <f>IF(AND('领用录入（明细）'!D:D=$F$4,'领用录入（明细）'!C:C&gt;=$J$4,'领用录入（明细）'!C:C&lt;=$L$4),ROW(),"-")</f>
        <v>-</v>
      </c>
    </row>
    <row r="46521" customHeight="1" spans="2:2">
      <c r="B46521" s="62" t="str">
        <f>IF(AND('领用录入（明细）'!D:D=$F$4,'领用录入（明细）'!C:C&gt;=$J$4,'领用录入（明细）'!C:C&lt;=$L$4),ROW(),"-")</f>
        <v>-</v>
      </c>
    </row>
    <row r="46522" customHeight="1" spans="2:2">
      <c r="B46522" s="62" t="str">
        <f>IF(AND('领用录入（明细）'!D:D=$F$4,'领用录入（明细）'!C:C&gt;=$J$4,'领用录入（明细）'!C:C&lt;=$L$4),ROW(),"-")</f>
        <v>-</v>
      </c>
    </row>
    <row r="46523" customHeight="1" spans="2:2">
      <c r="B46523" s="62" t="str">
        <f>IF(AND('领用录入（明细）'!D:D=$F$4,'领用录入（明细）'!C:C&gt;=$J$4,'领用录入（明细）'!C:C&lt;=$L$4),ROW(),"-")</f>
        <v>-</v>
      </c>
    </row>
    <row r="46524" customHeight="1" spans="2:2">
      <c r="B46524" s="62" t="str">
        <f>IF(AND('领用录入（明细）'!D:D=$F$4,'领用录入（明细）'!C:C&gt;=$J$4,'领用录入（明细）'!C:C&lt;=$L$4),ROW(),"-")</f>
        <v>-</v>
      </c>
    </row>
    <row r="46525" customHeight="1" spans="2:2">
      <c r="B46525" s="62" t="str">
        <f>IF(AND('领用录入（明细）'!D:D=$F$4,'领用录入（明细）'!C:C&gt;=$J$4,'领用录入（明细）'!C:C&lt;=$L$4),ROW(),"-")</f>
        <v>-</v>
      </c>
    </row>
    <row r="46526" customHeight="1" spans="2:2">
      <c r="B46526" s="62" t="str">
        <f>IF(AND('领用录入（明细）'!D:D=$F$4,'领用录入（明细）'!C:C&gt;=$J$4,'领用录入（明细）'!C:C&lt;=$L$4),ROW(),"-")</f>
        <v>-</v>
      </c>
    </row>
    <row r="46527" customHeight="1" spans="2:2">
      <c r="B46527" s="62" t="str">
        <f>IF(AND('领用录入（明细）'!D:D=$F$4,'领用录入（明细）'!C:C&gt;=$J$4,'领用录入（明细）'!C:C&lt;=$L$4),ROW(),"-")</f>
        <v>-</v>
      </c>
    </row>
    <row r="46528" customHeight="1" spans="2:2">
      <c r="B46528" s="62" t="str">
        <f>IF(AND('领用录入（明细）'!D:D=$F$4,'领用录入（明细）'!C:C&gt;=$J$4,'领用录入（明细）'!C:C&lt;=$L$4),ROW(),"-")</f>
        <v>-</v>
      </c>
    </row>
    <row r="46529" customHeight="1" spans="2:2">
      <c r="B46529" s="62" t="str">
        <f>IF(AND('领用录入（明细）'!D:D=$F$4,'领用录入（明细）'!C:C&gt;=$J$4,'领用录入（明细）'!C:C&lt;=$L$4),ROW(),"-")</f>
        <v>-</v>
      </c>
    </row>
    <row r="46530" customHeight="1" spans="2:2">
      <c r="B46530" s="62" t="str">
        <f>IF(AND('领用录入（明细）'!D:D=$F$4,'领用录入（明细）'!C:C&gt;=$J$4,'领用录入（明细）'!C:C&lt;=$L$4),ROW(),"-")</f>
        <v>-</v>
      </c>
    </row>
    <row r="46531" customHeight="1" spans="2:2">
      <c r="B46531" s="62" t="str">
        <f>IF(AND('领用录入（明细）'!D:D=$F$4,'领用录入（明细）'!C:C&gt;=$J$4,'领用录入（明细）'!C:C&lt;=$L$4),ROW(),"-")</f>
        <v>-</v>
      </c>
    </row>
    <row r="46532" customHeight="1" spans="2:2">
      <c r="B46532" s="62" t="str">
        <f>IF(AND('领用录入（明细）'!D:D=$F$4,'领用录入（明细）'!C:C&gt;=$J$4,'领用录入（明细）'!C:C&lt;=$L$4),ROW(),"-")</f>
        <v>-</v>
      </c>
    </row>
    <row r="46533" customHeight="1" spans="2:2">
      <c r="B46533" s="62" t="str">
        <f>IF(AND('领用录入（明细）'!D:D=$F$4,'领用录入（明细）'!C:C&gt;=$J$4,'领用录入（明细）'!C:C&lt;=$L$4),ROW(),"-")</f>
        <v>-</v>
      </c>
    </row>
    <row r="46534" customHeight="1" spans="2:2">
      <c r="B46534" s="62" t="str">
        <f>IF(AND('领用录入（明细）'!D:D=$F$4,'领用录入（明细）'!C:C&gt;=$J$4,'领用录入（明细）'!C:C&lt;=$L$4),ROW(),"-")</f>
        <v>-</v>
      </c>
    </row>
    <row r="46535" customHeight="1" spans="2:2">
      <c r="B46535" s="62" t="str">
        <f>IF(AND('领用录入（明细）'!D:D=$F$4,'领用录入（明细）'!C:C&gt;=$J$4,'领用录入（明细）'!C:C&lt;=$L$4),ROW(),"-")</f>
        <v>-</v>
      </c>
    </row>
    <row r="46536" customHeight="1" spans="2:2">
      <c r="B46536" s="62" t="str">
        <f>IF(AND('领用录入（明细）'!D:D=$F$4,'领用录入（明细）'!C:C&gt;=$J$4,'领用录入（明细）'!C:C&lt;=$L$4),ROW(),"-")</f>
        <v>-</v>
      </c>
    </row>
    <row r="46537" customHeight="1" spans="2:2">
      <c r="B46537" s="62" t="str">
        <f>IF(AND('领用录入（明细）'!D:D=$F$4,'领用录入（明细）'!C:C&gt;=$J$4,'领用录入（明细）'!C:C&lt;=$L$4),ROW(),"-")</f>
        <v>-</v>
      </c>
    </row>
    <row r="46538" customHeight="1" spans="2:2">
      <c r="B46538" s="62" t="str">
        <f>IF(AND('领用录入（明细）'!D:D=$F$4,'领用录入（明细）'!C:C&gt;=$J$4,'领用录入（明细）'!C:C&lt;=$L$4),ROW(),"-")</f>
        <v>-</v>
      </c>
    </row>
    <row r="46539" customHeight="1" spans="2:2">
      <c r="B46539" s="62" t="str">
        <f>IF(AND('领用录入（明细）'!D:D=$F$4,'领用录入（明细）'!C:C&gt;=$J$4,'领用录入（明细）'!C:C&lt;=$L$4),ROW(),"-")</f>
        <v>-</v>
      </c>
    </row>
    <row r="46540" customHeight="1" spans="2:2">
      <c r="B46540" s="62" t="str">
        <f>IF(AND('领用录入（明细）'!D:D=$F$4,'领用录入（明细）'!C:C&gt;=$J$4,'领用录入（明细）'!C:C&lt;=$L$4),ROW(),"-")</f>
        <v>-</v>
      </c>
    </row>
    <row r="46541" customHeight="1" spans="2:2">
      <c r="B46541" s="62" t="str">
        <f>IF(AND('领用录入（明细）'!D:D=$F$4,'领用录入（明细）'!C:C&gt;=$J$4,'领用录入（明细）'!C:C&lt;=$L$4),ROW(),"-")</f>
        <v>-</v>
      </c>
    </row>
    <row r="46542" customHeight="1" spans="2:2">
      <c r="B46542" s="62" t="str">
        <f>IF(AND('领用录入（明细）'!D:D=$F$4,'领用录入（明细）'!C:C&gt;=$J$4,'领用录入（明细）'!C:C&lt;=$L$4),ROW(),"-")</f>
        <v>-</v>
      </c>
    </row>
    <row r="46543" customHeight="1" spans="2:2">
      <c r="B46543" s="62" t="str">
        <f>IF(AND('领用录入（明细）'!D:D=$F$4,'领用录入（明细）'!C:C&gt;=$J$4,'领用录入（明细）'!C:C&lt;=$L$4),ROW(),"-")</f>
        <v>-</v>
      </c>
    </row>
    <row r="46544" customHeight="1" spans="2:2">
      <c r="B46544" s="62" t="str">
        <f>IF(AND('领用录入（明细）'!D:D=$F$4,'领用录入（明细）'!C:C&gt;=$J$4,'领用录入（明细）'!C:C&lt;=$L$4),ROW(),"-")</f>
        <v>-</v>
      </c>
    </row>
    <row r="46545" customHeight="1" spans="2:2">
      <c r="B46545" s="62" t="str">
        <f>IF(AND('领用录入（明细）'!D:D=$F$4,'领用录入（明细）'!C:C&gt;=$J$4,'领用录入（明细）'!C:C&lt;=$L$4),ROW(),"-")</f>
        <v>-</v>
      </c>
    </row>
    <row r="46546" customHeight="1" spans="2:2">
      <c r="B46546" s="62" t="str">
        <f>IF(AND('领用录入（明细）'!D:D=$F$4,'领用录入（明细）'!C:C&gt;=$J$4,'领用录入（明细）'!C:C&lt;=$L$4),ROW(),"-")</f>
        <v>-</v>
      </c>
    </row>
    <row r="46547" customHeight="1" spans="2:2">
      <c r="B46547" s="62" t="str">
        <f>IF(AND('领用录入（明细）'!D:D=$F$4,'领用录入（明细）'!C:C&gt;=$J$4,'领用录入（明细）'!C:C&lt;=$L$4),ROW(),"-")</f>
        <v>-</v>
      </c>
    </row>
    <row r="46548" customHeight="1" spans="2:2">
      <c r="B46548" s="62" t="str">
        <f>IF(AND('领用录入（明细）'!D:D=$F$4,'领用录入（明细）'!C:C&gt;=$J$4,'领用录入（明细）'!C:C&lt;=$L$4),ROW(),"-")</f>
        <v>-</v>
      </c>
    </row>
    <row r="46549" customHeight="1" spans="2:2">
      <c r="B46549" s="62" t="str">
        <f>IF(AND('领用录入（明细）'!D:D=$F$4,'领用录入（明细）'!C:C&gt;=$J$4,'领用录入（明细）'!C:C&lt;=$L$4),ROW(),"-")</f>
        <v>-</v>
      </c>
    </row>
    <row r="46550" customHeight="1" spans="2:2">
      <c r="B46550" s="62" t="str">
        <f>IF(AND('领用录入（明细）'!D:D=$F$4,'领用录入（明细）'!C:C&gt;=$J$4,'领用录入（明细）'!C:C&lt;=$L$4),ROW(),"-")</f>
        <v>-</v>
      </c>
    </row>
    <row r="46551" customHeight="1" spans="2:2">
      <c r="B46551" s="62" t="str">
        <f>IF(AND('领用录入（明细）'!D:D=$F$4,'领用录入（明细）'!C:C&gt;=$J$4,'领用录入（明细）'!C:C&lt;=$L$4),ROW(),"-")</f>
        <v>-</v>
      </c>
    </row>
    <row r="46552" customHeight="1" spans="2:2">
      <c r="B46552" s="62" t="str">
        <f>IF(AND('领用录入（明细）'!D:D=$F$4,'领用录入（明细）'!C:C&gt;=$J$4,'领用录入（明细）'!C:C&lt;=$L$4),ROW(),"-")</f>
        <v>-</v>
      </c>
    </row>
    <row r="46553" customHeight="1" spans="2:2">
      <c r="B46553" s="62" t="str">
        <f>IF(AND('领用录入（明细）'!D:D=$F$4,'领用录入（明细）'!C:C&gt;=$J$4,'领用录入（明细）'!C:C&lt;=$L$4),ROW(),"-")</f>
        <v>-</v>
      </c>
    </row>
    <row r="46554" customHeight="1" spans="2:2">
      <c r="B46554" s="62" t="str">
        <f>IF(AND('领用录入（明细）'!D:D=$F$4,'领用录入（明细）'!C:C&gt;=$J$4,'领用录入（明细）'!C:C&lt;=$L$4),ROW(),"-")</f>
        <v>-</v>
      </c>
    </row>
    <row r="46555" customHeight="1" spans="2:2">
      <c r="B46555" s="62" t="str">
        <f>IF(AND('领用录入（明细）'!D:D=$F$4,'领用录入（明细）'!C:C&gt;=$J$4,'领用录入（明细）'!C:C&lt;=$L$4),ROW(),"-")</f>
        <v>-</v>
      </c>
    </row>
    <row r="46556" customHeight="1" spans="2:2">
      <c r="B46556" s="62" t="str">
        <f>IF(AND('领用录入（明细）'!D:D=$F$4,'领用录入（明细）'!C:C&gt;=$J$4,'领用录入（明细）'!C:C&lt;=$L$4),ROW(),"-")</f>
        <v>-</v>
      </c>
    </row>
    <row r="46557" customHeight="1" spans="2:2">
      <c r="B46557" s="62" t="str">
        <f>IF(AND('领用录入（明细）'!D:D=$F$4,'领用录入（明细）'!C:C&gt;=$J$4,'领用录入（明细）'!C:C&lt;=$L$4),ROW(),"-")</f>
        <v>-</v>
      </c>
    </row>
    <row r="46558" customHeight="1" spans="2:2">
      <c r="B46558" s="62" t="str">
        <f>IF(AND('领用录入（明细）'!D:D=$F$4,'领用录入（明细）'!C:C&gt;=$J$4,'领用录入（明细）'!C:C&lt;=$L$4),ROW(),"-")</f>
        <v>-</v>
      </c>
    </row>
    <row r="46559" customHeight="1" spans="2:2">
      <c r="B46559" s="62" t="str">
        <f>IF(AND('领用录入（明细）'!D:D=$F$4,'领用录入（明细）'!C:C&gt;=$J$4,'领用录入（明细）'!C:C&lt;=$L$4),ROW(),"-")</f>
        <v>-</v>
      </c>
    </row>
    <row r="46560" customHeight="1" spans="2:2">
      <c r="B46560" s="62" t="str">
        <f>IF(AND('领用录入（明细）'!D:D=$F$4,'领用录入（明细）'!C:C&gt;=$J$4,'领用录入（明细）'!C:C&lt;=$L$4),ROW(),"-")</f>
        <v>-</v>
      </c>
    </row>
    <row r="46561" customHeight="1" spans="2:2">
      <c r="B46561" s="62" t="str">
        <f>IF(AND('领用录入（明细）'!D:D=$F$4,'领用录入（明细）'!C:C&gt;=$J$4,'领用录入（明细）'!C:C&lt;=$L$4),ROW(),"-")</f>
        <v>-</v>
      </c>
    </row>
    <row r="46562" customHeight="1" spans="2:2">
      <c r="B46562" s="62" t="str">
        <f>IF(AND('领用录入（明细）'!D:D=$F$4,'领用录入（明细）'!C:C&gt;=$J$4,'领用录入（明细）'!C:C&lt;=$L$4),ROW(),"-")</f>
        <v>-</v>
      </c>
    </row>
    <row r="46563" customHeight="1" spans="2:2">
      <c r="B46563" s="62" t="str">
        <f>IF(AND('领用录入（明细）'!D:D=$F$4,'领用录入（明细）'!C:C&gt;=$J$4,'领用录入（明细）'!C:C&lt;=$L$4),ROW(),"-")</f>
        <v>-</v>
      </c>
    </row>
    <row r="46564" customHeight="1" spans="2:2">
      <c r="B46564" s="62" t="str">
        <f>IF(AND('领用录入（明细）'!D:D=$F$4,'领用录入（明细）'!C:C&gt;=$J$4,'领用录入（明细）'!C:C&lt;=$L$4),ROW(),"-")</f>
        <v>-</v>
      </c>
    </row>
    <row r="46565" customHeight="1" spans="2:2">
      <c r="B46565" s="62" t="str">
        <f>IF(AND('领用录入（明细）'!D:D=$F$4,'领用录入（明细）'!C:C&gt;=$J$4,'领用录入（明细）'!C:C&lt;=$L$4),ROW(),"-")</f>
        <v>-</v>
      </c>
    </row>
    <row r="46566" customHeight="1" spans="2:2">
      <c r="B46566" s="62" t="str">
        <f>IF(AND('领用录入（明细）'!D:D=$F$4,'领用录入（明细）'!C:C&gt;=$J$4,'领用录入（明细）'!C:C&lt;=$L$4),ROW(),"-")</f>
        <v>-</v>
      </c>
    </row>
    <row r="46567" customHeight="1" spans="2:2">
      <c r="B46567" s="62" t="str">
        <f>IF(AND('领用录入（明细）'!D:D=$F$4,'领用录入（明细）'!C:C&gt;=$J$4,'领用录入（明细）'!C:C&lt;=$L$4),ROW(),"-")</f>
        <v>-</v>
      </c>
    </row>
    <row r="46568" customHeight="1" spans="2:2">
      <c r="B46568" s="62" t="str">
        <f>IF(AND('领用录入（明细）'!D:D=$F$4,'领用录入（明细）'!C:C&gt;=$J$4,'领用录入（明细）'!C:C&lt;=$L$4),ROW(),"-")</f>
        <v>-</v>
      </c>
    </row>
    <row r="46569" customHeight="1" spans="2:2">
      <c r="B46569" s="62" t="str">
        <f>IF(AND('领用录入（明细）'!D:D=$F$4,'领用录入（明细）'!C:C&gt;=$J$4,'领用录入（明细）'!C:C&lt;=$L$4),ROW(),"-")</f>
        <v>-</v>
      </c>
    </row>
    <row r="46570" customHeight="1" spans="2:2">
      <c r="B46570" s="62" t="str">
        <f>IF(AND('领用录入（明细）'!D:D=$F$4,'领用录入（明细）'!C:C&gt;=$J$4,'领用录入（明细）'!C:C&lt;=$L$4),ROW(),"-")</f>
        <v>-</v>
      </c>
    </row>
    <row r="46571" customHeight="1" spans="2:2">
      <c r="B46571" s="62" t="str">
        <f>IF(AND('领用录入（明细）'!D:D=$F$4,'领用录入（明细）'!C:C&gt;=$J$4,'领用录入（明细）'!C:C&lt;=$L$4),ROW(),"-")</f>
        <v>-</v>
      </c>
    </row>
    <row r="46572" customHeight="1" spans="2:2">
      <c r="B46572" s="62" t="str">
        <f>IF(AND('领用录入（明细）'!D:D=$F$4,'领用录入（明细）'!C:C&gt;=$J$4,'领用录入（明细）'!C:C&lt;=$L$4),ROW(),"-")</f>
        <v>-</v>
      </c>
    </row>
    <row r="46573" customHeight="1" spans="2:2">
      <c r="B46573" s="62" t="str">
        <f>IF(AND('领用录入（明细）'!D:D=$F$4,'领用录入（明细）'!C:C&gt;=$J$4,'领用录入（明细）'!C:C&lt;=$L$4),ROW(),"-")</f>
        <v>-</v>
      </c>
    </row>
    <row r="46574" customHeight="1" spans="2:2">
      <c r="B46574" s="62" t="str">
        <f>IF(AND('领用录入（明细）'!D:D=$F$4,'领用录入（明细）'!C:C&gt;=$J$4,'领用录入（明细）'!C:C&lt;=$L$4),ROW(),"-")</f>
        <v>-</v>
      </c>
    </row>
    <row r="46575" customHeight="1" spans="2:2">
      <c r="B46575" s="62" t="str">
        <f>IF(AND('领用录入（明细）'!D:D=$F$4,'领用录入（明细）'!C:C&gt;=$J$4,'领用录入（明细）'!C:C&lt;=$L$4),ROW(),"-")</f>
        <v>-</v>
      </c>
    </row>
    <row r="46576" customHeight="1" spans="2:2">
      <c r="B46576" s="62" t="str">
        <f>IF(AND('领用录入（明细）'!D:D=$F$4,'领用录入（明细）'!C:C&gt;=$J$4,'领用录入（明细）'!C:C&lt;=$L$4),ROW(),"-")</f>
        <v>-</v>
      </c>
    </row>
    <row r="46577" customHeight="1" spans="2:2">
      <c r="B46577" s="62" t="str">
        <f>IF(AND('领用录入（明细）'!D:D=$F$4,'领用录入（明细）'!C:C&gt;=$J$4,'领用录入（明细）'!C:C&lt;=$L$4),ROW(),"-")</f>
        <v>-</v>
      </c>
    </row>
    <row r="46578" customHeight="1" spans="2:2">
      <c r="B46578" s="62" t="str">
        <f>IF(AND('领用录入（明细）'!D:D=$F$4,'领用录入（明细）'!C:C&gt;=$J$4,'领用录入（明细）'!C:C&lt;=$L$4),ROW(),"-")</f>
        <v>-</v>
      </c>
    </row>
    <row r="46579" customHeight="1" spans="2:2">
      <c r="B46579" s="62" t="str">
        <f>IF(AND('领用录入（明细）'!D:D=$F$4,'领用录入（明细）'!C:C&gt;=$J$4,'领用录入（明细）'!C:C&lt;=$L$4),ROW(),"-")</f>
        <v>-</v>
      </c>
    </row>
    <row r="46580" customHeight="1" spans="2:2">
      <c r="B46580" s="62" t="str">
        <f>IF(AND('领用录入（明细）'!D:D=$F$4,'领用录入（明细）'!C:C&gt;=$J$4,'领用录入（明细）'!C:C&lt;=$L$4),ROW(),"-")</f>
        <v>-</v>
      </c>
    </row>
    <row r="46581" customHeight="1" spans="2:2">
      <c r="B46581" s="62" t="str">
        <f>IF(AND('领用录入（明细）'!D:D=$F$4,'领用录入（明细）'!C:C&gt;=$J$4,'领用录入（明细）'!C:C&lt;=$L$4),ROW(),"-")</f>
        <v>-</v>
      </c>
    </row>
    <row r="46582" customHeight="1" spans="2:2">
      <c r="B46582" s="62" t="str">
        <f>IF(AND('领用录入（明细）'!D:D=$F$4,'领用录入（明细）'!C:C&gt;=$J$4,'领用录入（明细）'!C:C&lt;=$L$4),ROW(),"-")</f>
        <v>-</v>
      </c>
    </row>
    <row r="46583" customHeight="1" spans="2:2">
      <c r="B46583" s="62" t="str">
        <f>IF(AND('领用录入（明细）'!D:D=$F$4,'领用录入（明细）'!C:C&gt;=$J$4,'领用录入（明细）'!C:C&lt;=$L$4),ROW(),"-")</f>
        <v>-</v>
      </c>
    </row>
    <row r="46584" customHeight="1" spans="2:2">
      <c r="B46584" s="62" t="str">
        <f>IF(AND('领用录入（明细）'!D:D=$F$4,'领用录入（明细）'!C:C&gt;=$J$4,'领用录入（明细）'!C:C&lt;=$L$4),ROW(),"-")</f>
        <v>-</v>
      </c>
    </row>
    <row r="46585" customHeight="1" spans="2:2">
      <c r="B46585" s="62" t="str">
        <f>IF(AND('领用录入（明细）'!D:D=$F$4,'领用录入（明细）'!C:C&gt;=$J$4,'领用录入（明细）'!C:C&lt;=$L$4),ROW(),"-")</f>
        <v>-</v>
      </c>
    </row>
    <row r="46586" customHeight="1" spans="2:2">
      <c r="B46586" s="62" t="str">
        <f>IF(AND('领用录入（明细）'!D:D=$F$4,'领用录入（明细）'!C:C&gt;=$J$4,'领用录入（明细）'!C:C&lt;=$L$4),ROW(),"-")</f>
        <v>-</v>
      </c>
    </row>
    <row r="46587" customHeight="1" spans="2:2">
      <c r="B46587" s="62" t="str">
        <f>IF(AND('领用录入（明细）'!D:D=$F$4,'领用录入（明细）'!C:C&gt;=$J$4,'领用录入（明细）'!C:C&lt;=$L$4),ROW(),"-")</f>
        <v>-</v>
      </c>
    </row>
    <row r="46588" customHeight="1" spans="2:2">
      <c r="B46588" s="62" t="str">
        <f>IF(AND('领用录入（明细）'!D:D=$F$4,'领用录入（明细）'!C:C&gt;=$J$4,'领用录入（明细）'!C:C&lt;=$L$4),ROW(),"-")</f>
        <v>-</v>
      </c>
    </row>
    <row r="46589" customHeight="1" spans="2:2">
      <c r="B46589" s="62" t="str">
        <f>IF(AND('领用录入（明细）'!D:D=$F$4,'领用录入（明细）'!C:C&gt;=$J$4,'领用录入（明细）'!C:C&lt;=$L$4),ROW(),"-")</f>
        <v>-</v>
      </c>
    </row>
    <row r="46590" customHeight="1" spans="2:2">
      <c r="B46590" s="62" t="str">
        <f>IF(AND('领用录入（明细）'!D:D=$F$4,'领用录入（明细）'!C:C&gt;=$J$4,'领用录入（明细）'!C:C&lt;=$L$4),ROW(),"-")</f>
        <v>-</v>
      </c>
    </row>
    <row r="46591" customHeight="1" spans="2:2">
      <c r="B46591" s="62" t="str">
        <f>IF(AND('领用录入（明细）'!D:D=$F$4,'领用录入（明细）'!C:C&gt;=$J$4,'领用录入（明细）'!C:C&lt;=$L$4),ROW(),"-")</f>
        <v>-</v>
      </c>
    </row>
    <row r="46592" customHeight="1" spans="2:2">
      <c r="B46592" s="62" t="str">
        <f>IF(AND('领用录入（明细）'!D:D=$F$4,'领用录入（明细）'!C:C&gt;=$J$4,'领用录入（明细）'!C:C&lt;=$L$4),ROW(),"-")</f>
        <v>-</v>
      </c>
    </row>
    <row r="46593" customHeight="1" spans="2:2">
      <c r="B46593" s="62" t="str">
        <f>IF(AND('领用录入（明细）'!D:D=$F$4,'领用录入（明细）'!C:C&gt;=$J$4,'领用录入（明细）'!C:C&lt;=$L$4),ROW(),"-")</f>
        <v>-</v>
      </c>
    </row>
    <row r="46594" customHeight="1" spans="2:2">
      <c r="B46594" s="62" t="str">
        <f>IF(AND('领用录入（明细）'!D:D=$F$4,'领用录入（明细）'!C:C&gt;=$J$4,'领用录入（明细）'!C:C&lt;=$L$4),ROW(),"-")</f>
        <v>-</v>
      </c>
    </row>
    <row r="46595" customHeight="1" spans="2:2">
      <c r="B46595" s="62" t="str">
        <f>IF(AND('领用录入（明细）'!D:D=$F$4,'领用录入（明细）'!C:C&gt;=$J$4,'领用录入（明细）'!C:C&lt;=$L$4),ROW(),"-")</f>
        <v>-</v>
      </c>
    </row>
    <row r="46596" customHeight="1" spans="2:2">
      <c r="B46596" s="62" t="str">
        <f>IF(AND('领用录入（明细）'!D:D=$F$4,'领用录入（明细）'!C:C&gt;=$J$4,'领用录入（明细）'!C:C&lt;=$L$4),ROW(),"-")</f>
        <v>-</v>
      </c>
    </row>
    <row r="46597" customHeight="1" spans="2:2">
      <c r="B46597" s="62" t="str">
        <f>IF(AND('领用录入（明细）'!D:D=$F$4,'领用录入（明细）'!C:C&gt;=$J$4,'领用录入（明细）'!C:C&lt;=$L$4),ROW(),"-")</f>
        <v>-</v>
      </c>
    </row>
    <row r="46598" customHeight="1" spans="2:2">
      <c r="B46598" s="62" t="str">
        <f>IF(AND('领用录入（明细）'!D:D=$F$4,'领用录入（明细）'!C:C&gt;=$J$4,'领用录入（明细）'!C:C&lt;=$L$4),ROW(),"-")</f>
        <v>-</v>
      </c>
    </row>
    <row r="46599" customHeight="1" spans="2:2">
      <c r="B46599" s="62" t="str">
        <f>IF(AND('领用录入（明细）'!D:D=$F$4,'领用录入（明细）'!C:C&gt;=$J$4,'领用录入（明细）'!C:C&lt;=$L$4),ROW(),"-")</f>
        <v>-</v>
      </c>
    </row>
    <row r="46600" customHeight="1" spans="2:2">
      <c r="B46600" s="62" t="str">
        <f>IF(AND('领用录入（明细）'!D:D=$F$4,'领用录入（明细）'!C:C&gt;=$J$4,'领用录入（明细）'!C:C&lt;=$L$4),ROW(),"-")</f>
        <v>-</v>
      </c>
    </row>
    <row r="46601" customHeight="1" spans="2:2">
      <c r="B46601" s="62" t="str">
        <f>IF(AND('领用录入（明细）'!D:D=$F$4,'领用录入（明细）'!C:C&gt;=$J$4,'领用录入（明细）'!C:C&lt;=$L$4),ROW(),"-")</f>
        <v>-</v>
      </c>
    </row>
    <row r="46602" customHeight="1" spans="2:2">
      <c r="B46602" s="62" t="str">
        <f>IF(AND('领用录入（明细）'!D:D=$F$4,'领用录入（明细）'!C:C&gt;=$J$4,'领用录入（明细）'!C:C&lt;=$L$4),ROW(),"-")</f>
        <v>-</v>
      </c>
    </row>
    <row r="46603" customHeight="1" spans="2:2">
      <c r="B46603" s="62" t="str">
        <f>IF(AND('领用录入（明细）'!D:D=$F$4,'领用录入（明细）'!C:C&gt;=$J$4,'领用录入（明细）'!C:C&lt;=$L$4),ROW(),"-")</f>
        <v>-</v>
      </c>
    </row>
    <row r="46604" customHeight="1" spans="2:2">
      <c r="B46604" s="62" t="str">
        <f>IF(AND('领用录入（明细）'!D:D=$F$4,'领用录入（明细）'!C:C&gt;=$J$4,'领用录入（明细）'!C:C&lt;=$L$4),ROW(),"-")</f>
        <v>-</v>
      </c>
    </row>
    <row r="46605" customHeight="1" spans="2:2">
      <c r="B46605" s="62" t="str">
        <f>IF(AND('领用录入（明细）'!D:D=$F$4,'领用录入（明细）'!C:C&gt;=$J$4,'领用录入（明细）'!C:C&lt;=$L$4),ROW(),"-")</f>
        <v>-</v>
      </c>
    </row>
    <row r="46606" customHeight="1" spans="2:2">
      <c r="B46606" s="62" t="str">
        <f>IF(AND('领用录入（明细）'!D:D=$F$4,'领用录入（明细）'!C:C&gt;=$J$4,'领用录入（明细）'!C:C&lt;=$L$4),ROW(),"-")</f>
        <v>-</v>
      </c>
    </row>
    <row r="46607" customHeight="1" spans="2:2">
      <c r="B46607" s="62" t="str">
        <f>IF(AND('领用录入（明细）'!D:D=$F$4,'领用录入（明细）'!C:C&gt;=$J$4,'领用录入（明细）'!C:C&lt;=$L$4),ROW(),"-")</f>
        <v>-</v>
      </c>
    </row>
    <row r="46608" customHeight="1" spans="2:2">
      <c r="B46608" s="62" t="str">
        <f>IF(AND('领用录入（明细）'!D:D=$F$4,'领用录入（明细）'!C:C&gt;=$J$4,'领用录入（明细）'!C:C&lt;=$L$4),ROW(),"-")</f>
        <v>-</v>
      </c>
    </row>
    <row r="46609" customHeight="1" spans="2:2">
      <c r="B46609" s="62" t="str">
        <f>IF(AND('领用录入（明细）'!D:D=$F$4,'领用录入（明细）'!C:C&gt;=$J$4,'领用录入（明细）'!C:C&lt;=$L$4),ROW(),"-")</f>
        <v>-</v>
      </c>
    </row>
    <row r="46610" customHeight="1" spans="2:2">
      <c r="B46610" s="62" t="str">
        <f>IF(AND('领用录入（明细）'!D:D=$F$4,'领用录入（明细）'!C:C&gt;=$J$4,'领用录入（明细）'!C:C&lt;=$L$4),ROW(),"-")</f>
        <v>-</v>
      </c>
    </row>
    <row r="46611" customHeight="1" spans="2:2">
      <c r="B46611" s="62" t="str">
        <f>IF(AND('领用录入（明细）'!D:D=$F$4,'领用录入（明细）'!C:C&gt;=$J$4,'领用录入（明细）'!C:C&lt;=$L$4),ROW(),"-")</f>
        <v>-</v>
      </c>
    </row>
    <row r="46612" customHeight="1" spans="2:2">
      <c r="B46612" s="62" t="str">
        <f>IF(AND('领用录入（明细）'!D:D=$F$4,'领用录入（明细）'!C:C&gt;=$J$4,'领用录入（明细）'!C:C&lt;=$L$4),ROW(),"-")</f>
        <v>-</v>
      </c>
    </row>
    <row r="46613" customHeight="1" spans="2:2">
      <c r="B46613" s="62" t="str">
        <f>IF(AND('领用录入（明细）'!D:D=$F$4,'领用录入（明细）'!C:C&gt;=$J$4,'领用录入（明细）'!C:C&lt;=$L$4),ROW(),"-")</f>
        <v>-</v>
      </c>
    </row>
    <row r="46614" customHeight="1" spans="2:2">
      <c r="B46614" s="62" t="str">
        <f>IF(AND('领用录入（明细）'!D:D=$F$4,'领用录入（明细）'!C:C&gt;=$J$4,'领用录入（明细）'!C:C&lt;=$L$4),ROW(),"-")</f>
        <v>-</v>
      </c>
    </row>
    <row r="46615" customHeight="1" spans="2:2">
      <c r="B46615" s="62" t="str">
        <f>IF(AND('领用录入（明细）'!D:D=$F$4,'领用录入（明细）'!C:C&gt;=$J$4,'领用录入（明细）'!C:C&lt;=$L$4),ROW(),"-")</f>
        <v>-</v>
      </c>
    </row>
    <row r="46616" customHeight="1" spans="2:2">
      <c r="B46616" s="62" t="str">
        <f>IF(AND('领用录入（明细）'!D:D=$F$4,'领用录入（明细）'!C:C&gt;=$J$4,'领用录入（明细）'!C:C&lt;=$L$4),ROW(),"-")</f>
        <v>-</v>
      </c>
    </row>
    <row r="46617" customHeight="1" spans="2:2">
      <c r="B46617" s="62" t="str">
        <f>IF(AND('领用录入（明细）'!D:D=$F$4,'领用录入（明细）'!C:C&gt;=$J$4,'领用录入（明细）'!C:C&lt;=$L$4),ROW(),"-")</f>
        <v>-</v>
      </c>
    </row>
    <row r="46618" customHeight="1" spans="2:2">
      <c r="B46618" s="62" t="str">
        <f>IF(AND('领用录入（明细）'!D:D=$F$4,'领用录入（明细）'!C:C&gt;=$J$4,'领用录入（明细）'!C:C&lt;=$L$4),ROW(),"-")</f>
        <v>-</v>
      </c>
    </row>
    <row r="46619" customHeight="1" spans="2:2">
      <c r="B46619" s="62" t="str">
        <f>IF(AND('领用录入（明细）'!D:D=$F$4,'领用录入（明细）'!C:C&gt;=$J$4,'领用录入（明细）'!C:C&lt;=$L$4),ROW(),"-")</f>
        <v>-</v>
      </c>
    </row>
    <row r="46620" customHeight="1" spans="2:2">
      <c r="B46620" s="62" t="str">
        <f>IF(AND('领用录入（明细）'!D:D=$F$4,'领用录入（明细）'!C:C&gt;=$J$4,'领用录入（明细）'!C:C&lt;=$L$4),ROW(),"-")</f>
        <v>-</v>
      </c>
    </row>
    <row r="46621" customHeight="1" spans="2:2">
      <c r="B46621" s="62" t="str">
        <f>IF(AND('领用录入（明细）'!D:D=$F$4,'领用录入（明细）'!C:C&gt;=$J$4,'领用录入（明细）'!C:C&lt;=$L$4),ROW(),"-")</f>
        <v>-</v>
      </c>
    </row>
    <row r="46622" customHeight="1" spans="2:2">
      <c r="B46622" s="62" t="str">
        <f>IF(AND('领用录入（明细）'!D:D=$F$4,'领用录入（明细）'!C:C&gt;=$J$4,'领用录入（明细）'!C:C&lt;=$L$4),ROW(),"-")</f>
        <v>-</v>
      </c>
    </row>
    <row r="46623" customHeight="1" spans="2:2">
      <c r="B46623" s="62" t="str">
        <f>IF(AND('领用录入（明细）'!D:D=$F$4,'领用录入（明细）'!C:C&gt;=$J$4,'领用录入（明细）'!C:C&lt;=$L$4),ROW(),"-")</f>
        <v>-</v>
      </c>
    </row>
    <row r="46624" customHeight="1" spans="2:2">
      <c r="B46624" s="62" t="str">
        <f>IF(AND('领用录入（明细）'!D:D=$F$4,'领用录入（明细）'!C:C&gt;=$J$4,'领用录入（明细）'!C:C&lt;=$L$4),ROW(),"-")</f>
        <v>-</v>
      </c>
    </row>
    <row r="46625" customHeight="1" spans="2:2">
      <c r="B46625" s="62" t="str">
        <f>IF(AND('领用录入（明细）'!D:D=$F$4,'领用录入（明细）'!C:C&gt;=$J$4,'领用录入（明细）'!C:C&lt;=$L$4),ROW(),"-")</f>
        <v>-</v>
      </c>
    </row>
    <row r="46626" customHeight="1" spans="2:2">
      <c r="B46626" s="62" t="str">
        <f>IF(AND('领用录入（明细）'!D:D=$F$4,'领用录入（明细）'!C:C&gt;=$J$4,'领用录入（明细）'!C:C&lt;=$L$4),ROW(),"-")</f>
        <v>-</v>
      </c>
    </row>
    <row r="46627" customHeight="1" spans="2:2">
      <c r="B46627" s="62" t="str">
        <f>IF(AND('领用录入（明细）'!D:D=$F$4,'领用录入（明细）'!C:C&gt;=$J$4,'领用录入（明细）'!C:C&lt;=$L$4),ROW(),"-")</f>
        <v>-</v>
      </c>
    </row>
    <row r="46628" customHeight="1" spans="2:2">
      <c r="B46628" s="62" t="str">
        <f>IF(AND('领用录入（明细）'!D:D=$F$4,'领用录入（明细）'!C:C&gt;=$J$4,'领用录入（明细）'!C:C&lt;=$L$4),ROW(),"-")</f>
        <v>-</v>
      </c>
    </row>
    <row r="46629" customHeight="1" spans="2:2">
      <c r="B46629" s="62" t="str">
        <f>IF(AND('领用录入（明细）'!D:D=$F$4,'领用录入（明细）'!C:C&gt;=$J$4,'领用录入（明细）'!C:C&lt;=$L$4),ROW(),"-")</f>
        <v>-</v>
      </c>
    </row>
    <row r="46630" customHeight="1" spans="2:2">
      <c r="B46630" s="62" t="str">
        <f>IF(AND('领用录入（明细）'!D:D=$F$4,'领用录入（明细）'!C:C&gt;=$J$4,'领用录入（明细）'!C:C&lt;=$L$4),ROW(),"-")</f>
        <v>-</v>
      </c>
    </row>
    <row r="46631" customHeight="1" spans="2:2">
      <c r="B46631" s="62" t="str">
        <f>IF(AND('领用录入（明细）'!D:D=$F$4,'领用录入（明细）'!C:C&gt;=$J$4,'领用录入（明细）'!C:C&lt;=$L$4),ROW(),"-")</f>
        <v>-</v>
      </c>
    </row>
    <row r="46632" customHeight="1" spans="2:2">
      <c r="B46632" s="62" t="str">
        <f>IF(AND('领用录入（明细）'!D:D=$F$4,'领用录入（明细）'!C:C&gt;=$J$4,'领用录入（明细）'!C:C&lt;=$L$4),ROW(),"-")</f>
        <v>-</v>
      </c>
    </row>
    <row r="46633" customHeight="1" spans="2:2">
      <c r="B46633" s="62" t="str">
        <f>IF(AND('领用录入（明细）'!D:D=$F$4,'领用录入（明细）'!C:C&gt;=$J$4,'领用录入（明细）'!C:C&lt;=$L$4),ROW(),"-")</f>
        <v>-</v>
      </c>
    </row>
    <row r="46634" customHeight="1" spans="2:2">
      <c r="B46634" s="62" t="str">
        <f>IF(AND('领用录入（明细）'!D:D=$F$4,'领用录入（明细）'!C:C&gt;=$J$4,'领用录入（明细）'!C:C&lt;=$L$4),ROW(),"-")</f>
        <v>-</v>
      </c>
    </row>
    <row r="46635" customHeight="1" spans="2:2">
      <c r="B46635" s="62" t="str">
        <f>IF(AND('领用录入（明细）'!D:D=$F$4,'领用录入（明细）'!C:C&gt;=$J$4,'领用录入（明细）'!C:C&lt;=$L$4),ROW(),"-")</f>
        <v>-</v>
      </c>
    </row>
    <row r="46636" customHeight="1" spans="2:2">
      <c r="B46636" s="62" t="str">
        <f>IF(AND('领用录入（明细）'!D:D=$F$4,'领用录入（明细）'!C:C&gt;=$J$4,'领用录入（明细）'!C:C&lt;=$L$4),ROW(),"-")</f>
        <v>-</v>
      </c>
    </row>
    <row r="46637" customHeight="1" spans="2:2">
      <c r="B46637" s="62" t="str">
        <f>IF(AND('领用录入（明细）'!D:D=$F$4,'领用录入（明细）'!C:C&gt;=$J$4,'领用录入（明细）'!C:C&lt;=$L$4),ROW(),"-")</f>
        <v>-</v>
      </c>
    </row>
    <row r="46638" customHeight="1" spans="2:2">
      <c r="B46638" s="62" t="str">
        <f>IF(AND('领用录入（明细）'!D:D=$F$4,'领用录入（明细）'!C:C&gt;=$J$4,'领用录入（明细）'!C:C&lt;=$L$4),ROW(),"-")</f>
        <v>-</v>
      </c>
    </row>
    <row r="46639" customHeight="1" spans="2:2">
      <c r="B46639" s="62" t="str">
        <f>IF(AND('领用录入（明细）'!D:D=$F$4,'领用录入（明细）'!C:C&gt;=$J$4,'领用录入（明细）'!C:C&lt;=$L$4),ROW(),"-")</f>
        <v>-</v>
      </c>
    </row>
    <row r="46640" customHeight="1" spans="2:2">
      <c r="B46640" s="62" t="str">
        <f>IF(AND('领用录入（明细）'!D:D=$F$4,'领用录入（明细）'!C:C&gt;=$J$4,'领用录入（明细）'!C:C&lt;=$L$4),ROW(),"-")</f>
        <v>-</v>
      </c>
    </row>
    <row r="46641" customHeight="1" spans="2:2">
      <c r="B46641" s="62" t="str">
        <f>IF(AND('领用录入（明细）'!D:D=$F$4,'领用录入（明细）'!C:C&gt;=$J$4,'领用录入（明细）'!C:C&lt;=$L$4),ROW(),"-")</f>
        <v>-</v>
      </c>
    </row>
    <row r="46642" customHeight="1" spans="2:2">
      <c r="B46642" s="62" t="str">
        <f>IF(AND('领用录入（明细）'!D:D=$F$4,'领用录入（明细）'!C:C&gt;=$J$4,'领用录入（明细）'!C:C&lt;=$L$4),ROW(),"-")</f>
        <v>-</v>
      </c>
    </row>
    <row r="46643" customHeight="1" spans="2:2">
      <c r="B46643" s="62" t="str">
        <f>IF(AND('领用录入（明细）'!D:D=$F$4,'领用录入（明细）'!C:C&gt;=$J$4,'领用录入（明细）'!C:C&lt;=$L$4),ROW(),"-")</f>
        <v>-</v>
      </c>
    </row>
    <row r="46644" customHeight="1" spans="2:2">
      <c r="B46644" s="62" t="str">
        <f>IF(AND('领用录入（明细）'!D:D=$F$4,'领用录入（明细）'!C:C&gt;=$J$4,'领用录入（明细）'!C:C&lt;=$L$4),ROW(),"-")</f>
        <v>-</v>
      </c>
    </row>
    <row r="46645" customHeight="1" spans="2:2">
      <c r="B46645" s="62" t="str">
        <f>IF(AND('领用录入（明细）'!D:D=$F$4,'领用录入（明细）'!C:C&gt;=$J$4,'领用录入（明细）'!C:C&lt;=$L$4),ROW(),"-")</f>
        <v>-</v>
      </c>
    </row>
    <row r="46646" customHeight="1" spans="2:2">
      <c r="B46646" s="62" t="str">
        <f>IF(AND('领用录入（明细）'!D:D=$F$4,'领用录入（明细）'!C:C&gt;=$J$4,'领用录入（明细）'!C:C&lt;=$L$4),ROW(),"-")</f>
        <v>-</v>
      </c>
    </row>
    <row r="46647" customHeight="1" spans="2:2">
      <c r="B46647" s="62" t="str">
        <f>IF(AND('领用录入（明细）'!D:D=$F$4,'领用录入（明细）'!C:C&gt;=$J$4,'领用录入（明细）'!C:C&lt;=$L$4),ROW(),"-")</f>
        <v>-</v>
      </c>
    </row>
    <row r="46648" customHeight="1" spans="2:2">
      <c r="B46648" s="62" t="str">
        <f>IF(AND('领用录入（明细）'!D:D=$F$4,'领用录入（明细）'!C:C&gt;=$J$4,'领用录入（明细）'!C:C&lt;=$L$4),ROW(),"-")</f>
        <v>-</v>
      </c>
    </row>
    <row r="46649" customHeight="1" spans="2:2">
      <c r="B46649" s="62" t="str">
        <f>IF(AND('领用录入（明细）'!D:D=$F$4,'领用录入（明细）'!C:C&gt;=$J$4,'领用录入（明细）'!C:C&lt;=$L$4),ROW(),"-")</f>
        <v>-</v>
      </c>
    </row>
    <row r="46650" customHeight="1" spans="2:2">
      <c r="B46650" s="62" t="str">
        <f>IF(AND('领用录入（明细）'!D:D=$F$4,'领用录入（明细）'!C:C&gt;=$J$4,'领用录入（明细）'!C:C&lt;=$L$4),ROW(),"-")</f>
        <v>-</v>
      </c>
    </row>
    <row r="46651" customHeight="1" spans="2:2">
      <c r="B46651" s="62" t="str">
        <f>IF(AND('领用录入（明细）'!D:D=$F$4,'领用录入（明细）'!C:C&gt;=$J$4,'领用录入（明细）'!C:C&lt;=$L$4),ROW(),"-")</f>
        <v>-</v>
      </c>
    </row>
    <row r="46652" customHeight="1" spans="2:2">
      <c r="B46652" s="62" t="str">
        <f>IF(AND('领用录入（明细）'!D:D=$F$4,'领用录入（明细）'!C:C&gt;=$J$4,'领用录入（明细）'!C:C&lt;=$L$4),ROW(),"-")</f>
        <v>-</v>
      </c>
    </row>
    <row r="46653" customHeight="1" spans="2:2">
      <c r="B46653" s="62" t="str">
        <f>IF(AND('领用录入（明细）'!D:D=$F$4,'领用录入（明细）'!C:C&gt;=$J$4,'领用录入（明细）'!C:C&lt;=$L$4),ROW(),"-")</f>
        <v>-</v>
      </c>
    </row>
    <row r="46654" customHeight="1" spans="2:2">
      <c r="B46654" s="62" t="str">
        <f>IF(AND('领用录入（明细）'!D:D=$F$4,'领用录入（明细）'!C:C&gt;=$J$4,'领用录入（明细）'!C:C&lt;=$L$4),ROW(),"-")</f>
        <v>-</v>
      </c>
    </row>
    <row r="46655" customHeight="1" spans="2:2">
      <c r="B46655" s="62" t="str">
        <f>IF(AND('领用录入（明细）'!D:D=$F$4,'领用录入（明细）'!C:C&gt;=$J$4,'领用录入（明细）'!C:C&lt;=$L$4),ROW(),"-")</f>
        <v>-</v>
      </c>
    </row>
    <row r="46656" customHeight="1" spans="2:2">
      <c r="B46656" s="62" t="str">
        <f>IF(AND('领用录入（明细）'!D:D=$F$4,'领用录入（明细）'!C:C&gt;=$J$4,'领用录入（明细）'!C:C&lt;=$L$4),ROW(),"-")</f>
        <v>-</v>
      </c>
    </row>
    <row r="46657" customHeight="1" spans="2:2">
      <c r="B46657" s="62" t="str">
        <f>IF(AND('领用录入（明细）'!D:D=$F$4,'领用录入（明细）'!C:C&gt;=$J$4,'领用录入（明细）'!C:C&lt;=$L$4),ROW(),"-")</f>
        <v>-</v>
      </c>
    </row>
    <row r="46658" customHeight="1" spans="2:2">
      <c r="B46658" s="62" t="str">
        <f>IF(AND('领用录入（明细）'!D:D=$F$4,'领用录入（明细）'!C:C&gt;=$J$4,'领用录入（明细）'!C:C&lt;=$L$4),ROW(),"-")</f>
        <v>-</v>
      </c>
    </row>
    <row r="46659" customHeight="1" spans="2:2">
      <c r="B46659" s="62" t="str">
        <f>IF(AND('领用录入（明细）'!D:D=$F$4,'领用录入（明细）'!C:C&gt;=$J$4,'领用录入（明细）'!C:C&lt;=$L$4),ROW(),"-")</f>
        <v>-</v>
      </c>
    </row>
    <row r="46660" customHeight="1" spans="2:2">
      <c r="B46660" s="62" t="str">
        <f>IF(AND('领用录入（明细）'!D:D=$F$4,'领用录入（明细）'!C:C&gt;=$J$4,'领用录入（明细）'!C:C&lt;=$L$4),ROW(),"-")</f>
        <v>-</v>
      </c>
    </row>
    <row r="46661" customHeight="1" spans="2:2">
      <c r="B46661" s="62" t="str">
        <f>IF(AND('领用录入（明细）'!D:D=$F$4,'领用录入（明细）'!C:C&gt;=$J$4,'领用录入（明细）'!C:C&lt;=$L$4),ROW(),"-")</f>
        <v>-</v>
      </c>
    </row>
    <row r="46662" customHeight="1" spans="2:2">
      <c r="B46662" s="62" t="str">
        <f>IF(AND('领用录入（明细）'!D:D=$F$4,'领用录入（明细）'!C:C&gt;=$J$4,'领用录入（明细）'!C:C&lt;=$L$4),ROW(),"-")</f>
        <v>-</v>
      </c>
    </row>
    <row r="46663" customHeight="1" spans="2:2">
      <c r="B46663" s="62" t="str">
        <f>IF(AND('领用录入（明细）'!D:D=$F$4,'领用录入（明细）'!C:C&gt;=$J$4,'领用录入（明细）'!C:C&lt;=$L$4),ROW(),"-")</f>
        <v>-</v>
      </c>
    </row>
    <row r="46664" customHeight="1" spans="2:2">
      <c r="B46664" s="62" t="str">
        <f>IF(AND('领用录入（明细）'!D:D=$F$4,'领用录入（明细）'!C:C&gt;=$J$4,'领用录入（明细）'!C:C&lt;=$L$4),ROW(),"-")</f>
        <v>-</v>
      </c>
    </row>
    <row r="46665" customHeight="1" spans="2:2">
      <c r="B46665" s="62" t="str">
        <f>IF(AND('领用录入（明细）'!D:D=$F$4,'领用录入（明细）'!C:C&gt;=$J$4,'领用录入（明细）'!C:C&lt;=$L$4),ROW(),"-")</f>
        <v>-</v>
      </c>
    </row>
    <row r="46666" customHeight="1" spans="2:2">
      <c r="B46666" s="62" t="str">
        <f>IF(AND('领用录入（明细）'!D:D=$F$4,'领用录入（明细）'!C:C&gt;=$J$4,'领用录入（明细）'!C:C&lt;=$L$4),ROW(),"-")</f>
        <v>-</v>
      </c>
    </row>
    <row r="46667" customHeight="1" spans="2:2">
      <c r="B46667" s="62" t="str">
        <f>IF(AND('领用录入（明细）'!D:D=$F$4,'领用录入（明细）'!C:C&gt;=$J$4,'领用录入（明细）'!C:C&lt;=$L$4),ROW(),"-")</f>
        <v>-</v>
      </c>
    </row>
    <row r="46668" customHeight="1" spans="2:2">
      <c r="B46668" s="62" t="str">
        <f>IF(AND('领用录入（明细）'!D:D=$F$4,'领用录入（明细）'!C:C&gt;=$J$4,'领用录入（明细）'!C:C&lt;=$L$4),ROW(),"-")</f>
        <v>-</v>
      </c>
    </row>
    <row r="46669" customHeight="1" spans="2:2">
      <c r="B46669" s="62" t="str">
        <f>IF(AND('领用录入（明细）'!D:D=$F$4,'领用录入（明细）'!C:C&gt;=$J$4,'领用录入（明细）'!C:C&lt;=$L$4),ROW(),"-")</f>
        <v>-</v>
      </c>
    </row>
    <row r="46670" customHeight="1" spans="2:2">
      <c r="B46670" s="62" t="str">
        <f>IF(AND('领用录入（明细）'!D:D=$F$4,'领用录入（明细）'!C:C&gt;=$J$4,'领用录入（明细）'!C:C&lt;=$L$4),ROW(),"-")</f>
        <v>-</v>
      </c>
    </row>
    <row r="46671" customHeight="1" spans="2:2">
      <c r="B46671" s="62" t="str">
        <f>IF(AND('领用录入（明细）'!D:D=$F$4,'领用录入（明细）'!C:C&gt;=$J$4,'领用录入（明细）'!C:C&lt;=$L$4),ROW(),"-")</f>
        <v>-</v>
      </c>
    </row>
    <row r="46672" customHeight="1" spans="2:2">
      <c r="B46672" s="62" t="str">
        <f>IF(AND('领用录入（明细）'!D:D=$F$4,'领用录入（明细）'!C:C&gt;=$J$4,'领用录入（明细）'!C:C&lt;=$L$4),ROW(),"-")</f>
        <v>-</v>
      </c>
    </row>
    <row r="46673" customHeight="1" spans="2:2">
      <c r="B46673" s="62" t="str">
        <f>IF(AND('领用录入（明细）'!D:D=$F$4,'领用录入（明细）'!C:C&gt;=$J$4,'领用录入（明细）'!C:C&lt;=$L$4),ROW(),"-")</f>
        <v>-</v>
      </c>
    </row>
    <row r="46674" customHeight="1" spans="2:2">
      <c r="B46674" s="62" t="str">
        <f>IF(AND('领用录入（明细）'!D:D=$F$4,'领用录入（明细）'!C:C&gt;=$J$4,'领用录入（明细）'!C:C&lt;=$L$4),ROW(),"-")</f>
        <v>-</v>
      </c>
    </row>
    <row r="46675" customHeight="1" spans="2:2">
      <c r="B46675" s="62" t="str">
        <f>IF(AND('领用录入（明细）'!D:D=$F$4,'领用录入（明细）'!C:C&gt;=$J$4,'领用录入（明细）'!C:C&lt;=$L$4),ROW(),"-")</f>
        <v>-</v>
      </c>
    </row>
    <row r="46676" customHeight="1" spans="2:2">
      <c r="B46676" s="62" t="str">
        <f>IF(AND('领用录入（明细）'!D:D=$F$4,'领用录入（明细）'!C:C&gt;=$J$4,'领用录入（明细）'!C:C&lt;=$L$4),ROW(),"-")</f>
        <v>-</v>
      </c>
    </row>
    <row r="46677" customHeight="1" spans="2:2">
      <c r="B46677" s="62" t="str">
        <f>IF(AND('领用录入（明细）'!D:D=$F$4,'领用录入（明细）'!C:C&gt;=$J$4,'领用录入（明细）'!C:C&lt;=$L$4),ROW(),"-")</f>
        <v>-</v>
      </c>
    </row>
    <row r="46678" customHeight="1" spans="2:2">
      <c r="B46678" s="62" t="str">
        <f>IF(AND('领用录入（明细）'!D:D=$F$4,'领用录入（明细）'!C:C&gt;=$J$4,'领用录入（明细）'!C:C&lt;=$L$4),ROW(),"-")</f>
        <v>-</v>
      </c>
    </row>
    <row r="46679" customHeight="1" spans="2:2">
      <c r="B46679" s="62" t="str">
        <f>IF(AND('领用录入（明细）'!D:D=$F$4,'领用录入（明细）'!C:C&gt;=$J$4,'领用录入（明细）'!C:C&lt;=$L$4),ROW(),"-")</f>
        <v>-</v>
      </c>
    </row>
    <row r="46680" customHeight="1" spans="2:2">
      <c r="B46680" s="62" t="str">
        <f>IF(AND('领用录入（明细）'!D:D=$F$4,'领用录入（明细）'!C:C&gt;=$J$4,'领用录入（明细）'!C:C&lt;=$L$4),ROW(),"-")</f>
        <v>-</v>
      </c>
    </row>
    <row r="46681" customHeight="1" spans="2:2">
      <c r="B46681" s="62" t="str">
        <f>IF(AND('领用录入（明细）'!D:D=$F$4,'领用录入（明细）'!C:C&gt;=$J$4,'领用录入（明细）'!C:C&lt;=$L$4),ROW(),"-")</f>
        <v>-</v>
      </c>
    </row>
    <row r="46682" customHeight="1" spans="2:2">
      <c r="B46682" s="62" t="str">
        <f>IF(AND('领用录入（明细）'!D:D=$F$4,'领用录入（明细）'!C:C&gt;=$J$4,'领用录入（明细）'!C:C&lt;=$L$4),ROW(),"-")</f>
        <v>-</v>
      </c>
    </row>
    <row r="46683" customHeight="1" spans="2:2">
      <c r="B46683" s="62" t="str">
        <f>IF(AND('领用录入（明细）'!D:D=$F$4,'领用录入（明细）'!C:C&gt;=$J$4,'领用录入（明细）'!C:C&lt;=$L$4),ROW(),"-")</f>
        <v>-</v>
      </c>
    </row>
    <row r="46684" customHeight="1" spans="2:2">
      <c r="B46684" s="62" t="str">
        <f>IF(AND('领用录入（明细）'!D:D=$F$4,'领用录入（明细）'!C:C&gt;=$J$4,'领用录入（明细）'!C:C&lt;=$L$4),ROW(),"-")</f>
        <v>-</v>
      </c>
    </row>
    <row r="46685" customHeight="1" spans="2:2">
      <c r="B46685" s="62" t="str">
        <f>IF(AND('领用录入（明细）'!D:D=$F$4,'领用录入（明细）'!C:C&gt;=$J$4,'领用录入（明细）'!C:C&lt;=$L$4),ROW(),"-")</f>
        <v>-</v>
      </c>
    </row>
    <row r="46686" customHeight="1" spans="2:2">
      <c r="B46686" s="62" t="str">
        <f>IF(AND('领用录入（明细）'!D:D=$F$4,'领用录入（明细）'!C:C&gt;=$J$4,'领用录入（明细）'!C:C&lt;=$L$4),ROW(),"-")</f>
        <v>-</v>
      </c>
    </row>
    <row r="46687" customHeight="1" spans="2:2">
      <c r="B46687" s="62" t="str">
        <f>IF(AND('领用录入（明细）'!D:D=$F$4,'领用录入（明细）'!C:C&gt;=$J$4,'领用录入（明细）'!C:C&lt;=$L$4),ROW(),"-")</f>
        <v>-</v>
      </c>
    </row>
    <row r="46688" customHeight="1" spans="2:2">
      <c r="B46688" s="62" t="str">
        <f>IF(AND('领用录入（明细）'!D:D=$F$4,'领用录入（明细）'!C:C&gt;=$J$4,'领用录入（明细）'!C:C&lt;=$L$4),ROW(),"-")</f>
        <v>-</v>
      </c>
    </row>
    <row r="46689" customHeight="1" spans="2:2">
      <c r="B46689" s="62" t="str">
        <f>IF(AND('领用录入（明细）'!D:D=$F$4,'领用录入（明细）'!C:C&gt;=$J$4,'领用录入（明细）'!C:C&lt;=$L$4),ROW(),"-")</f>
        <v>-</v>
      </c>
    </row>
    <row r="46690" customHeight="1" spans="2:2">
      <c r="B46690" s="62" t="str">
        <f>IF(AND('领用录入（明细）'!D:D=$F$4,'领用录入（明细）'!C:C&gt;=$J$4,'领用录入（明细）'!C:C&lt;=$L$4),ROW(),"-")</f>
        <v>-</v>
      </c>
    </row>
    <row r="46691" customHeight="1" spans="2:2">
      <c r="B46691" s="62" t="str">
        <f>IF(AND('领用录入（明细）'!D:D=$F$4,'领用录入（明细）'!C:C&gt;=$J$4,'领用录入（明细）'!C:C&lt;=$L$4),ROW(),"-")</f>
        <v>-</v>
      </c>
    </row>
    <row r="46692" customHeight="1" spans="2:2">
      <c r="B46692" s="62" t="str">
        <f>IF(AND('领用录入（明细）'!D:D=$F$4,'领用录入（明细）'!C:C&gt;=$J$4,'领用录入（明细）'!C:C&lt;=$L$4),ROW(),"-")</f>
        <v>-</v>
      </c>
    </row>
    <row r="46693" customHeight="1" spans="2:2">
      <c r="B46693" s="62" t="str">
        <f>IF(AND('领用录入（明细）'!D:D=$F$4,'领用录入（明细）'!C:C&gt;=$J$4,'领用录入（明细）'!C:C&lt;=$L$4),ROW(),"-")</f>
        <v>-</v>
      </c>
    </row>
    <row r="46694" customHeight="1" spans="2:2">
      <c r="B46694" s="62" t="str">
        <f>IF(AND('领用录入（明细）'!D:D=$F$4,'领用录入（明细）'!C:C&gt;=$J$4,'领用录入（明细）'!C:C&lt;=$L$4),ROW(),"-")</f>
        <v>-</v>
      </c>
    </row>
    <row r="46695" customHeight="1" spans="2:2">
      <c r="B46695" s="62" t="str">
        <f>IF(AND('领用录入（明细）'!D:D=$F$4,'领用录入（明细）'!C:C&gt;=$J$4,'领用录入（明细）'!C:C&lt;=$L$4),ROW(),"-")</f>
        <v>-</v>
      </c>
    </row>
    <row r="46696" customHeight="1" spans="2:2">
      <c r="B46696" s="62" t="str">
        <f>IF(AND('领用录入（明细）'!D:D=$F$4,'领用录入（明细）'!C:C&gt;=$J$4,'领用录入（明细）'!C:C&lt;=$L$4),ROW(),"-")</f>
        <v>-</v>
      </c>
    </row>
    <row r="46697" customHeight="1" spans="2:2">
      <c r="B46697" s="62" t="str">
        <f>IF(AND('领用录入（明细）'!D:D=$F$4,'领用录入（明细）'!C:C&gt;=$J$4,'领用录入（明细）'!C:C&lt;=$L$4),ROW(),"-")</f>
        <v>-</v>
      </c>
    </row>
    <row r="46698" customHeight="1" spans="2:2">
      <c r="B46698" s="62" t="str">
        <f>IF(AND('领用录入（明细）'!D:D=$F$4,'领用录入（明细）'!C:C&gt;=$J$4,'领用录入（明细）'!C:C&lt;=$L$4),ROW(),"-")</f>
        <v>-</v>
      </c>
    </row>
    <row r="46699" customHeight="1" spans="2:2">
      <c r="B46699" s="62" t="str">
        <f>IF(AND('领用录入（明细）'!D:D=$F$4,'领用录入（明细）'!C:C&gt;=$J$4,'领用录入（明细）'!C:C&lt;=$L$4),ROW(),"-")</f>
        <v>-</v>
      </c>
    </row>
    <row r="46700" customHeight="1" spans="2:2">
      <c r="B46700" s="62" t="str">
        <f>IF(AND('领用录入（明细）'!D:D=$F$4,'领用录入（明细）'!C:C&gt;=$J$4,'领用录入（明细）'!C:C&lt;=$L$4),ROW(),"-")</f>
        <v>-</v>
      </c>
    </row>
    <row r="46701" customHeight="1" spans="2:2">
      <c r="B46701" s="62" t="str">
        <f>IF(AND('领用录入（明细）'!D:D=$F$4,'领用录入（明细）'!C:C&gt;=$J$4,'领用录入（明细）'!C:C&lt;=$L$4),ROW(),"-")</f>
        <v>-</v>
      </c>
    </row>
    <row r="46702" customHeight="1" spans="2:2">
      <c r="B46702" s="62" t="str">
        <f>IF(AND('领用录入（明细）'!D:D=$F$4,'领用录入（明细）'!C:C&gt;=$J$4,'领用录入（明细）'!C:C&lt;=$L$4),ROW(),"-")</f>
        <v>-</v>
      </c>
    </row>
    <row r="46703" customHeight="1" spans="2:2">
      <c r="B46703" s="62" t="str">
        <f>IF(AND('领用录入（明细）'!D:D=$F$4,'领用录入（明细）'!C:C&gt;=$J$4,'领用录入（明细）'!C:C&lt;=$L$4),ROW(),"-")</f>
        <v>-</v>
      </c>
    </row>
    <row r="46704" customHeight="1" spans="2:2">
      <c r="B46704" s="62" t="str">
        <f>IF(AND('领用录入（明细）'!D:D=$F$4,'领用录入（明细）'!C:C&gt;=$J$4,'领用录入（明细）'!C:C&lt;=$L$4),ROW(),"-")</f>
        <v>-</v>
      </c>
    </row>
    <row r="46705" customHeight="1" spans="2:2">
      <c r="B46705" s="62" t="str">
        <f>IF(AND('领用录入（明细）'!D:D=$F$4,'领用录入（明细）'!C:C&gt;=$J$4,'领用录入（明细）'!C:C&lt;=$L$4),ROW(),"-")</f>
        <v>-</v>
      </c>
    </row>
    <row r="46706" customHeight="1" spans="2:2">
      <c r="B46706" s="62" t="str">
        <f>IF(AND('领用录入（明细）'!D:D=$F$4,'领用录入（明细）'!C:C&gt;=$J$4,'领用录入（明细）'!C:C&lt;=$L$4),ROW(),"-")</f>
        <v>-</v>
      </c>
    </row>
    <row r="46707" customHeight="1" spans="2:2">
      <c r="B46707" s="62" t="str">
        <f>IF(AND('领用录入（明细）'!D:D=$F$4,'领用录入（明细）'!C:C&gt;=$J$4,'领用录入（明细）'!C:C&lt;=$L$4),ROW(),"-")</f>
        <v>-</v>
      </c>
    </row>
    <row r="46708" customHeight="1" spans="2:2">
      <c r="B46708" s="62" t="str">
        <f>IF(AND('领用录入（明细）'!D:D=$F$4,'领用录入（明细）'!C:C&gt;=$J$4,'领用录入（明细）'!C:C&lt;=$L$4),ROW(),"-")</f>
        <v>-</v>
      </c>
    </row>
    <row r="46709" customHeight="1" spans="2:2">
      <c r="B46709" s="62" t="str">
        <f>IF(AND('领用录入（明细）'!D:D=$F$4,'领用录入（明细）'!C:C&gt;=$J$4,'领用录入（明细）'!C:C&lt;=$L$4),ROW(),"-")</f>
        <v>-</v>
      </c>
    </row>
    <row r="46710" customHeight="1" spans="2:2">
      <c r="B46710" s="62" t="str">
        <f>IF(AND('领用录入（明细）'!D:D=$F$4,'领用录入（明细）'!C:C&gt;=$J$4,'领用录入（明细）'!C:C&lt;=$L$4),ROW(),"-")</f>
        <v>-</v>
      </c>
    </row>
    <row r="46711" customHeight="1" spans="2:2">
      <c r="B46711" s="62" t="str">
        <f>IF(AND('领用录入（明细）'!D:D=$F$4,'领用录入（明细）'!C:C&gt;=$J$4,'领用录入（明细）'!C:C&lt;=$L$4),ROW(),"-")</f>
        <v>-</v>
      </c>
    </row>
    <row r="46712" customHeight="1" spans="2:2">
      <c r="B46712" s="62" t="str">
        <f>IF(AND('领用录入（明细）'!D:D=$F$4,'领用录入（明细）'!C:C&gt;=$J$4,'领用录入（明细）'!C:C&lt;=$L$4),ROW(),"-")</f>
        <v>-</v>
      </c>
    </row>
    <row r="46713" customHeight="1" spans="2:2">
      <c r="B46713" s="62" t="str">
        <f>IF(AND('领用录入（明细）'!D:D=$F$4,'领用录入（明细）'!C:C&gt;=$J$4,'领用录入（明细）'!C:C&lt;=$L$4),ROW(),"-")</f>
        <v>-</v>
      </c>
    </row>
    <row r="46714" customHeight="1" spans="2:2">
      <c r="B46714" s="62" t="str">
        <f>IF(AND('领用录入（明细）'!D:D=$F$4,'领用录入（明细）'!C:C&gt;=$J$4,'领用录入（明细）'!C:C&lt;=$L$4),ROW(),"-")</f>
        <v>-</v>
      </c>
    </row>
    <row r="46715" customHeight="1" spans="2:2">
      <c r="B46715" s="62" t="str">
        <f>IF(AND('领用录入（明细）'!D:D=$F$4,'领用录入（明细）'!C:C&gt;=$J$4,'领用录入（明细）'!C:C&lt;=$L$4),ROW(),"-")</f>
        <v>-</v>
      </c>
    </row>
    <row r="46716" customHeight="1" spans="2:2">
      <c r="B46716" s="62" t="str">
        <f>IF(AND('领用录入（明细）'!D:D=$F$4,'领用录入（明细）'!C:C&gt;=$J$4,'领用录入（明细）'!C:C&lt;=$L$4),ROW(),"-")</f>
        <v>-</v>
      </c>
    </row>
    <row r="46717" customHeight="1" spans="2:2">
      <c r="B46717" s="62" t="str">
        <f>IF(AND('领用录入（明细）'!D:D=$F$4,'领用录入（明细）'!C:C&gt;=$J$4,'领用录入（明细）'!C:C&lt;=$L$4),ROW(),"-")</f>
        <v>-</v>
      </c>
    </row>
    <row r="46718" customHeight="1" spans="2:2">
      <c r="B46718" s="62" t="str">
        <f>IF(AND('领用录入（明细）'!D:D=$F$4,'领用录入（明细）'!C:C&gt;=$J$4,'领用录入（明细）'!C:C&lt;=$L$4),ROW(),"-")</f>
        <v>-</v>
      </c>
    </row>
    <row r="46719" customHeight="1" spans="2:2">
      <c r="B46719" s="62" t="str">
        <f>IF(AND('领用录入（明细）'!D:D=$F$4,'领用录入（明细）'!C:C&gt;=$J$4,'领用录入（明细）'!C:C&lt;=$L$4),ROW(),"-")</f>
        <v>-</v>
      </c>
    </row>
    <row r="46720" customHeight="1" spans="2:2">
      <c r="B46720" s="62" t="str">
        <f>IF(AND('领用录入（明细）'!D:D=$F$4,'领用录入（明细）'!C:C&gt;=$J$4,'领用录入（明细）'!C:C&lt;=$L$4),ROW(),"-")</f>
        <v>-</v>
      </c>
    </row>
    <row r="46721" customHeight="1" spans="2:2">
      <c r="B46721" s="62" t="str">
        <f>IF(AND('领用录入（明细）'!D:D=$F$4,'领用录入（明细）'!C:C&gt;=$J$4,'领用录入（明细）'!C:C&lt;=$L$4),ROW(),"-")</f>
        <v>-</v>
      </c>
    </row>
    <row r="46722" customHeight="1" spans="2:2">
      <c r="B46722" s="62" t="str">
        <f>IF(AND('领用录入（明细）'!D:D=$F$4,'领用录入（明细）'!C:C&gt;=$J$4,'领用录入（明细）'!C:C&lt;=$L$4),ROW(),"-")</f>
        <v>-</v>
      </c>
    </row>
    <row r="46723" customHeight="1" spans="2:2">
      <c r="B46723" s="62" t="str">
        <f>IF(AND('领用录入（明细）'!D:D=$F$4,'领用录入（明细）'!C:C&gt;=$J$4,'领用录入（明细）'!C:C&lt;=$L$4),ROW(),"-")</f>
        <v>-</v>
      </c>
    </row>
    <row r="46724" customHeight="1" spans="2:2">
      <c r="B46724" s="62" t="str">
        <f>IF(AND('领用录入（明细）'!D:D=$F$4,'领用录入（明细）'!C:C&gt;=$J$4,'领用录入（明细）'!C:C&lt;=$L$4),ROW(),"-")</f>
        <v>-</v>
      </c>
    </row>
    <row r="46725" customHeight="1" spans="2:2">
      <c r="B46725" s="62" t="str">
        <f>IF(AND('领用录入（明细）'!D:D=$F$4,'领用录入（明细）'!C:C&gt;=$J$4,'领用录入（明细）'!C:C&lt;=$L$4),ROW(),"-")</f>
        <v>-</v>
      </c>
    </row>
    <row r="46726" customHeight="1" spans="2:2">
      <c r="B46726" s="62" t="str">
        <f>IF(AND('领用录入（明细）'!D:D=$F$4,'领用录入（明细）'!C:C&gt;=$J$4,'领用录入（明细）'!C:C&lt;=$L$4),ROW(),"-")</f>
        <v>-</v>
      </c>
    </row>
    <row r="46727" customHeight="1" spans="2:2">
      <c r="B46727" s="62" t="str">
        <f>IF(AND('领用录入（明细）'!D:D=$F$4,'领用录入（明细）'!C:C&gt;=$J$4,'领用录入（明细）'!C:C&lt;=$L$4),ROW(),"-")</f>
        <v>-</v>
      </c>
    </row>
    <row r="46728" customHeight="1" spans="2:2">
      <c r="B46728" s="62" t="str">
        <f>IF(AND('领用录入（明细）'!D:D=$F$4,'领用录入（明细）'!C:C&gt;=$J$4,'领用录入（明细）'!C:C&lt;=$L$4),ROW(),"-")</f>
        <v>-</v>
      </c>
    </row>
    <row r="46729" customHeight="1" spans="2:2">
      <c r="B46729" s="62" t="str">
        <f>IF(AND('领用录入（明细）'!D:D=$F$4,'领用录入（明细）'!C:C&gt;=$J$4,'领用录入（明细）'!C:C&lt;=$L$4),ROW(),"-")</f>
        <v>-</v>
      </c>
    </row>
    <row r="46730" customHeight="1" spans="2:2">
      <c r="B46730" s="62" t="str">
        <f>IF(AND('领用录入（明细）'!D:D=$F$4,'领用录入（明细）'!C:C&gt;=$J$4,'领用录入（明细）'!C:C&lt;=$L$4),ROW(),"-")</f>
        <v>-</v>
      </c>
    </row>
    <row r="46731" customHeight="1" spans="2:2">
      <c r="B46731" s="62" t="str">
        <f>IF(AND('领用录入（明细）'!D:D=$F$4,'领用录入（明细）'!C:C&gt;=$J$4,'领用录入（明细）'!C:C&lt;=$L$4),ROW(),"-")</f>
        <v>-</v>
      </c>
    </row>
    <row r="46732" customHeight="1" spans="2:2">
      <c r="B46732" s="62" t="str">
        <f>IF(AND('领用录入（明细）'!D:D=$F$4,'领用录入（明细）'!C:C&gt;=$J$4,'领用录入（明细）'!C:C&lt;=$L$4),ROW(),"-")</f>
        <v>-</v>
      </c>
    </row>
    <row r="46733" customHeight="1" spans="2:2">
      <c r="B46733" s="62" t="str">
        <f>IF(AND('领用录入（明细）'!D:D=$F$4,'领用录入（明细）'!C:C&gt;=$J$4,'领用录入（明细）'!C:C&lt;=$L$4),ROW(),"-")</f>
        <v>-</v>
      </c>
    </row>
    <row r="46734" customHeight="1" spans="2:2">
      <c r="B46734" s="62" t="str">
        <f>IF(AND('领用录入（明细）'!D:D=$F$4,'领用录入（明细）'!C:C&gt;=$J$4,'领用录入（明细）'!C:C&lt;=$L$4),ROW(),"-")</f>
        <v>-</v>
      </c>
    </row>
    <row r="46735" customHeight="1" spans="2:2">
      <c r="B46735" s="62" t="str">
        <f>IF(AND('领用录入（明细）'!D:D=$F$4,'领用录入（明细）'!C:C&gt;=$J$4,'领用录入（明细）'!C:C&lt;=$L$4),ROW(),"-")</f>
        <v>-</v>
      </c>
    </row>
    <row r="46736" customHeight="1" spans="2:2">
      <c r="B46736" s="62" t="str">
        <f>IF(AND('领用录入（明细）'!D:D=$F$4,'领用录入（明细）'!C:C&gt;=$J$4,'领用录入（明细）'!C:C&lt;=$L$4),ROW(),"-")</f>
        <v>-</v>
      </c>
    </row>
    <row r="46737" customHeight="1" spans="2:2">
      <c r="B46737" s="62" t="str">
        <f>IF(AND('领用录入（明细）'!D:D=$F$4,'领用录入（明细）'!C:C&gt;=$J$4,'领用录入（明细）'!C:C&lt;=$L$4),ROW(),"-")</f>
        <v>-</v>
      </c>
    </row>
    <row r="46738" customHeight="1" spans="2:2">
      <c r="B46738" s="62" t="str">
        <f>IF(AND('领用录入（明细）'!D:D=$F$4,'领用录入（明细）'!C:C&gt;=$J$4,'领用录入（明细）'!C:C&lt;=$L$4),ROW(),"-")</f>
        <v>-</v>
      </c>
    </row>
    <row r="46739" customHeight="1" spans="2:2">
      <c r="B46739" s="62" t="str">
        <f>IF(AND('领用录入（明细）'!D:D=$F$4,'领用录入（明细）'!C:C&gt;=$J$4,'领用录入（明细）'!C:C&lt;=$L$4),ROW(),"-")</f>
        <v>-</v>
      </c>
    </row>
    <row r="46740" customHeight="1" spans="2:2">
      <c r="B46740" s="62" t="str">
        <f>IF(AND('领用录入（明细）'!D:D=$F$4,'领用录入（明细）'!C:C&gt;=$J$4,'领用录入（明细）'!C:C&lt;=$L$4),ROW(),"-")</f>
        <v>-</v>
      </c>
    </row>
    <row r="46741" customHeight="1" spans="2:2">
      <c r="B46741" s="62" t="str">
        <f>IF(AND('领用录入（明细）'!D:D=$F$4,'领用录入（明细）'!C:C&gt;=$J$4,'领用录入（明细）'!C:C&lt;=$L$4),ROW(),"-")</f>
        <v>-</v>
      </c>
    </row>
    <row r="46742" customHeight="1" spans="2:2">
      <c r="B46742" s="62" t="str">
        <f>IF(AND('领用录入（明细）'!D:D=$F$4,'领用录入（明细）'!C:C&gt;=$J$4,'领用录入（明细）'!C:C&lt;=$L$4),ROW(),"-")</f>
        <v>-</v>
      </c>
    </row>
    <row r="46743" customHeight="1" spans="2:2">
      <c r="B46743" s="62" t="str">
        <f>IF(AND('领用录入（明细）'!D:D=$F$4,'领用录入（明细）'!C:C&gt;=$J$4,'领用录入（明细）'!C:C&lt;=$L$4),ROW(),"-")</f>
        <v>-</v>
      </c>
    </row>
    <row r="46744" customHeight="1" spans="2:2">
      <c r="B46744" s="62" t="str">
        <f>IF(AND('领用录入（明细）'!D:D=$F$4,'领用录入（明细）'!C:C&gt;=$J$4,'领用录入（明细）'!C:C&lt;=$L$4),ROW(),"-")</f>
        <v>-</v>
      </c>
    </row>
    <row r="46745" customHeight="1" spans="2:2">
      <c r="B46745" s="62" t="str">
        <f>IF(AND('领用录入（明细）'!D:D=$F$4,'领用录入（明细）'!C:C&gt;=$J$4,'领用录入（明细）'!C:C&lt;=$L$4),ROW(),"-")</f>
        <v>-</v>
      </c>
    </row>
    <row r="46746" customHeight="1" spans="2:2">
      <c r="B46746" s="62" t="str">
        <f>IF(AND('领用录入（明细）'!D:D=$F$4,'领用录入（明细）'!C:C&gt;=$J$4,'领用录入（明细）'!C:C&lt;=$L$4),ROW(),"-")</f>
        <v>-</v>
      </c>
    </row>
    <row r="46747" customHeight="1" spans="2:2">
      <c r="B46747" s="62" t="str">
        <f>IF(AND('领用录入（明细）'!D:D=$F$4,'领用录入（明细）'!C:C&gt;=$J$4,'领用录入（明细）'!C:C&lt;=$L$4),ROW(),"-")</f>
        <v>-</v>
      </c>
    </row>
    <row r="46748" customHeight="1" spans="2:2">
      <c r="B46748" s="62" t="str">
        <f>IF(AND('领用录入（明细）'!D:D=$F$4,'领用录入（明细）'!C:C&gt;=$J$4,'领用录入（明细）'!C:C&lt;=$L$4),ROW(),"-")</f>
        <v>-</v>
      </c>
    </row>
    <row r="46749" customHeight="1" spans="2:2">
      <c r="B46749" s="62" t="str">
        <f>IF(AND('领用录入（明细）'!D:D=$F$4,'领用录入（明细）'!C:C&gt;=$J$4,'领用录入（明细）'!C:C&lt;=$L$4),ROW(),"-")</f>
        <v>-</v>
      </c>
    </row>
    <row r="46750" customHeight="1" spans="2:2">
      <c r="B46750" s="62" t="str">
        <f>IF(AND('领用录入（明细）'!D:D=$F$4,'领用录入（明细）'!C:C&gt;=$J$4,'领用录入（明细）'!C:C&lt;=$L$4),ROW(),"-")</f>
        <v>-</v>
      </c>
    </row>
    <row r="46751" customHeight="1" spans="2:2">
      <c r="B46751" s="62" t="str">
        <f>IF(AND('领用录入（明细）'!D:D=$F$4,'领用录入（明细）'!C:C&gt;=$J$4,'领用录入（明细）'!C:C&lt;=$L$4),ROW(),"-")</f>
        <v>-</v>
      </c>
    </row>
    <row r="46752" customHeight="1" spans="2:2">
      <c r="B46752" s="62" t="str">
        <f>IF(AND('领用录入（明细）'!D:D=$F$4,'领用录入（明细）'!C:C&gt;=$J$4,'领用录入（明细）'!C:C&lt;=$L$4),ROW(),"-")</f>
        <v>-</v>
      </c>
    </row>
    <row r="46753" customHeight="1" spans="2:2">
      <c r="B46753" s="62" t="str">
        <f>IF(AND('领用录入（明细）'!D:D=$F$4,'领用录入（明细）'!C:C&gt;=$J$4,'领用录入（明细）'!C:C&lt;=$L$4),ROW(),"-")</f>
        <v>-</v>
      </c>
    </row>
    <row r="46754" customHeight="1" spans="2:2">
      <c r="B46754" s="62" t="str">
        <f>IF(AND('领用录入（明细）'!D:D=$F$4,'领用录入（明细）'!C:C&gt;=$J$4,'领用录入（明细）'!C:C&lt;=$L$4),ROW(),"-")</f>
        <v>-</v>
      </c>
    </row>
    <row r="46755" customHeight="1" spans="2:2">
      <c r="B46755" s="62" t="str">
        <f>IF(AND('领用录入（明细）'!D:D=$F$4,'领用录入（明细）'!C:C&gt;=$J$4,'领用录入（明细）'!C:C&lt;=$L$4),ROW(),"-")</f>
        <v>-</v>
      </c>
    </row>
    <row r="46756" customHeight="1" spans="2:2">
      <c r="B46756" s="62" t="str">
        <f>IF(AND('领用录入（明细）'!D:D=$F$4,'领用录入（明细）'!C:C&gt;=$J$4,'领用录入（明细）'!C:C&lt;=$L$4),ROW(),"-")</f>
        <v>-</v>
      </c>
    </row>
    <row r="46757" customHeight="1" spans="2:2">
      <c r="B46757" s="62" t="str">
        <f>IF(AND('领用录入（明细）'!D:D=$F$4,'领用录入（明细）'!C:C&gt;=$J$4,'领用录入（明细）'!C:C&lt;=$L$4),ROW(),"-")</f>
        <v>-</v>
      </c>
    </row>
    <row r="46758" customHeight="1" spans="2:2">
      <c r="B46758" s="62" t="str">
        <f>IF(AND('领用录入（明细）'!D:D=$F$4,'领用录入（明细）'!C:C&gt;=$J$4,'领用录入（明细）'!C:C&lt;=$L$4),ROW(),"-")</f>
        <v>-</v>
      </c>
    </row>
    <row r="46759" customHeight="1" spans="2:2">
      <c r="B46759" s="62" t="str">
        <f>IF(AND('领用录入（明细）'!D:D=$F$4,'领用录入（明细）'!C:C&gt;=$J$4,'领用录入（明细）'!C:C&lt;=$L$4),ROW(),"-")</f>
        <v>-</v>
      </c>
    </row>
    <row r="46760" customHeight="1" spans="2:2">
      <c r="B46760" s="62" t="str">
        <f>IF(AND('领用录入（明细）'!D:D=$F$4,'领用录入（明细）'!C:C&gt;=$J$4,'领用录入（明细）'!C:C&lt;=$L$4),ROW(),"-")</f>
        <v>-</v>
      </c>
    </row>
    <row r="46761" customHeight="1" spans="2:2">
      <c r="B46761" s="62" t="str">
        <f>IF(AND('领用录入（明细）'!D:D=$F$4,'领用录入（明细）'!C:C&gt;=$J$4,'领用录入（明细）'!C:C&lt;=$L$4),ROW(),"-")</f>
        <v>-</v>
      </c>
    </row>
    <row r="46762" customHeight="1" spans="2:2">
      <c r="B46762" s="62" t="str">
        <f>IF(AND('领用录入（明细）'!D:D=$F$4,'领用录入（明细）'!C:C&gt;=$J$4,'领用录入（明细）'!C:C&lt;=$L$4),ROW(),"-")</f>
        <v>-</v>
      </c>
    </row>
    <row r="46763" customHeight="1" spans="2:2">
      <c r="B46763" s="62" t="str">
        <f>IF(AND('领用录入（明细）'!D:D=$F$4,'领用录入（明细）'!C:C&gt;=$J$4,'领用录入（明细）'!C:C&lt;=$L$4),ROW(),"-")</f>
        <v>-</v>
      </c>
    </row>
    <row r="46764" customHeight="1" spans="2:2">
      <c r="B46764" s="62" t="str">
        <f>IF(AND('领用录入（明细）'!D:D=$F$4,'领用录入（明细）'!C:C&gt;=$J$4,'领用录入（明细）'!C:C&lt;=$L$4),ROW(),"-")</f>
        <v>-</v>
      </c>
    </row>
    <row r="46765" customHeight="1" spans="2:2">
      <c r="B46765" s="62" t="str">
        <f>IF(AND('领用录入（明细）'!D:D=$F$4,'领用录入（明细）'!C:C&gt;=$J$4,'领用录入（明细）'!C:C&lt;=$L$4),ROW(),"-")</f>
        <v>-</v>
      </c>
    </row>
    <row r="46766" customHeight="1" spans="2:2">
      <c r="B46766" s="62" t="str">
        <f>IF(AND('领用录入（明细）'!D:D=$F$4,'领用录入（明细）'!C:C&gt;=$J$4,'领用录入（明细）'!C:C&lt;=$L$4),ROW(),"-")</f>
        <v>-</v>
      </c>
    </row>
    <row r="46767" customHeight="1" spans="2:2">
      <c r="B46767" s="62" t="str">
        <f>IF(AND('领用录入（明细）'!D:D=$F$4,'领用录入（明细）'!C:C&gt;=$J$4,'领用录入（明细）'!C:C&lt;=$L$4),ROW(),"-")</f>
        <v>-</v>
      </c>
    </row>
    <row r="46768" customHeight="1" spans="2:2">
      <c r="B46768" s="62" t="str">
        <f>IF(AND('领用录入（明细）'!D:D=$F$4,'领用录入（明细）'!C:C&gt;=$J$4,'领用录入（明细）'!C:C&lt;=$L$4),ROW(),"-")</f>
        <v>-</v>
      </c>
    </row>
    <row r="46769" customHeight="1" spans="2:2">
      <c r="B46769" s="62" t="str">
        <f>IF(AND('领用录入（明细）'!D:D=$F$4,'领用录入（明细）'!C:C&gt;=$J$4,'领用录入（明细）'!C:C&lt;=$L$4),ROW(),"-")</f>
        <v>-</v>
      </c>
    </row>
    <row r="46770" customHeight="1" spans="2:2">
      <c r="B46770" s="62" t="str">
        <f>IF(AND('领用录入（明细）'!D:D=$F$4,'领用录入（明细）'!C:C&gt;=$J$4,'领用录入（明细）'!C:C&lt;=$L$4),ROW(),"-")</f>
        <v>-</v>
      </c>
    </row>
    <row r="46771" customHeight="1" spans="2:2">
      <c r="B46771" s="62" t="str">
        <f>IF(AND('领用录入（明细）'!D:D=$F$4,'领用录入（明细）'!C:C&gt;=$J$4,'领用录入（明细）'!C:C&lt;=$L$4),ROW(),"-")</f>
        <v>-</v>
      </c>
    </row>
    <row r="46772" customHeight="1" spans="2:2">
      <c r="B46772" s="62" t="str">
        <f>IF(AND('领用录入（明细）'!D:D=$F$4,'领用录入（明细）'!C:C&gt;=$J$4,'领用录入（明细）'!C:C&lt;=$L$4),ROW(),"-")</f>
        <v>-</v>
      </c>
    </row>
    <row r="46773" customHeight="1" spans="2:2">
      <c r="B46773" s="62" t="str">
        <f>IF(AND('领用录入（明细）'!D:D=$F$4,'领用录入（明细）'!C:C&gt;=$J$4,'领用录入（明细）'!C:C&lt;=$L$4),ROW(),"-")</f>
        <v>-</v>
      </c>
    </row>
    <row r="46774" customHeight="1" spans="2:2">
      <c r="B46774" s="62" t="str">
        <f>IF(AND('领用录入（明细）'!D:D=$F$4,'领用录入（明细）'!C:C&gt;=$J$4,'领用录入（明细）'!C:C&lt;=$L$4),ROW(),"-")</f>
        <v>-</v>
      </c>
    </row>
    <row r="46775" customHeight="1" spans="2:2">
      <c r="B46775" s="62" t="str">
        <f>IF(AND('领用录入（明细）'!D:D=$F$4,'领用录入（明细）'!C:C&gt;=$J$4,'领用录入（明细）'!C:C&lt;=$L$4),ROW(),"-")</f>
        <v>-</v>
      </c>
    </row>
    <row r="46776" customHeight="1" spans="2:2">
      <c r="B46776" s="62" t="str">
        <f>IF(AND('领用录入（明细）'!D:D=$F$4,'领用录入（明细）'!C:C&gt;=$J$4,'领用录入（明细）'!C:C&lt;=$L$4),ROW(),"-")</f>
        <v>-</v>
      </c>
    </row>
    <row r="46777" customHeight="1" spans="2:2">
      <c r="B46777" s="62" t="str">
        <f>IF(AND('领用录入（明细）'!D:D=$F$4,'领用录入（明细）'!C:C&gt;=$J$4,'领用录入（明细）'!C:C&lt;=$L$4),ROW(),"-")</f>
        <v>-</v>
      </c>
    </row>
    <row r="46778" customHeight="1" spans="2:2">
      <c r="B46778" s="62" t="str">
        <f>IF(AND('领用录入（明细）'!D:D=$F$4,'领用录入（明细）'!C:C&gt;=$J$4,'领用录入（明细）'!C:C&lt;=$L$4),ROW(),"-")</f>
        <v>-</v>
      </c>
    </row>
    <row r="46779" customHeight="1" spans="2:2">
      <c r="B46779" s="62" t="str">
        <f>IF(AND('领用录入（明细）'!D:D=$F$4,'领用录入（明细）'!C:C&gt;=$J$4,'领用录入（明细）'!C:C&lt;=$L$4),ROW(),"-")</f>
        <v>-</v>
      </c>
    </row>
    <row r="46780" customHeight="1" spans="2:2">
      <c r="B46780" s="62" t="str">
        <f>IF(AND('领用录入（明细）'!D:D=$F$4,'领用录入（明细）'!C:C&gt;=$J$4,'领用录入（明细）'!C:C&lt;=$L$4),ROW(),"-")</f>
        <v>-</v>
      </c>
    </row>
    <row r="46781" customHeight="1" spans="2:2">
      <c r="B46781" s="62" t="str">
        <f>IF(AND('领用录入（明细）'!D:D=$F$4,'领用录入（明细）'!C:C&gt;=$J$4,'领用录入（明细）'!C:C&lt;=$L$4),ROW(),"-")</f>
        <v>-</v>
      </c>
    </row>
    <row r="46782" customHeight="1" spans="2:2">
      <c r="B46782" s="62" t="str">
        <f>IF(AND('领用录入（明细）'!D:D=$F$4,'领用录入（明细）'!C:C&gt;=$J$4,'领用录入（明细）'!C:C&lt;=$L$4),ROW(),"-")</f>
        <v>-</v>
      </c>
    </row>
    <row r="46783" customHeight="1" spans="2:2">
      <c r="B46783" s="62" t="str">
        <f>IF(AND('领用录入（明细）'!D:D=$F$4,'领用录入（明细）'!C:C&gt;=$J$4,'领用录入（明细）'!C:C&lt;=$L$4),ROW(),"-")</f>
        <v>-</v>
      </c>
    </row>
    <row r="46784" customHeight="1" spans="2:2">
      <c r="B46784" s="62" t="str">
        <f>IF(AND('领用录入（明细）'!D:D=$F$4,'领用录入（明细）'!C:C&gt;=$J$4,'领用录入（明细）'!C:C&lt;=$L$4),ROW(),"-")</f>
        <v>-</v>
      </c>
    </row>
    <row r="46785" customHeight="1" spans="2:2">
      <c r="B46785" s="62" t="str">
        <f>IF(AND('领用录入（明细）'!D:D=$F$4,'领用录入（明细）'!C:C&gt;=$J$4,'领用录入（明细）'!C:C&lt;=$L$4),ROW(),"-")</f>
        <v>-</v>
      </c>
    </row>
    <row r="46786" customHeight="1" spans="2:2">
      <c r="B46786" s="62" t="str">
        <f>IF(AND('领用录入（明细）'!D:D=$F$4,'领用录入（明细）'!C:C&gt;=$J$4,'领用录入（明细）'!C:C&lt;=$L$4),ROW(),"-")</f>
        <v>-</v>
      </c>
    </row>
    <row r="46787" customHeight="1" spans="2:2">
      <c r="B46787" s="62" t="str">
        <f>IF(AND('领用录入（明细）'!D:D=$F$4,'领用录入（明细）'!C:C&gt;=$J$4,'领用录入（明细）'!C:C&lt;=$L$4),ROW(),"-")</f>
        <v>-</v>
      </c>
    </row>
    <row r="46788" customHeight="1" spans="2:2">
      <c r="B46788" s="62" t="str">
        <f>IF(AND('领用录入（明细）'!D:D=$F$4,'领用录入（明细）'!C:C&gt;=$J$4,'领用录入（明细）'!C:C&lt;=$L$4),ROW(),"-")</f>
        <v>-</v>
      </c>
    </row>
    <row r="46789" customHeight="1" spans="2:2">
      <c r="B46789" s="62" t="str">
        <f>IF(AND('领用录入（明细）'!D:D=$F$4,'领用录入（明细）'!C:C&gt;=$J$4,'领用录入（明细）'!C:C&lt;=$L$4),ROW(),"-")</f>
        <v>-</v>
      </c>
    </row>
    <row r="46790" customHeight="1" spans="2:2">
      <c r="B46790" s="62" t="str">
        <f>IF(AND('领用录入（明细）'!D:D=$F$4,'领用录入（明细）'!C:C&gt;=$J$4,'领用录入（明细）'!C:C&lt;=$L$4),ROW(),"-")</f>
        <v>-</v>
      </c>
    </row>
    <row r="46791" customHeight="1" spans="2:2">
      <c r="B46791" s="62" t="str">
        <f>IF(AND('领用录入（明细）'!D:D=$F$4,'领用录入（明细）'!C:C&gt;=$J$4,'领用录入（明细）'!C:C&lt;=$L$4),ROW(),"-")</f>
        <v>-</v>
      </c>
    </row>
    <row r="46792" customHeight="1" spans="2:2">
      <c r="B46792" s="62" t="str">
        <f>IF(AND('领用录入（明细）'!D:D=$F$4,'领用录入（明细）'!C:C&gt;=$J$4,'领用录入（明细）'!C:C&lt;=$L$4),ROW(),"-")</f>
        <v>-</v>
      </c>
    </row>
    <row r="46793" customHeight="1" spans="2:2">
      <c r="B46793" s="62" t="str">
        <f>IF(AND('领用录入（明细）'!D:D=$F$4,'领用录入（明细）'!C:C&gt;=$J$4,'领用录入（明细）'!C:C&lt;=$L$4),ROW(),"-")</f>
        <v>-</v>
      </c>
    </row>
    <row r="46794" customHeight="1" spans="2:2">
      <c r="B46794" s="62" t="str">
        <f>IF(AND('领用录入（明细）'!D:D=$F$4,'领用录入（明细）'!C:C&gt;=$J$4,'领用录入（明细）'!C:C&lt;=$L$4),ROW(),"-")</f>
        <v>-</v>
      </c>
    </row>
    <row r="46795" customHeight="1" spans="2:2">
      <c r="B46795" s="62" t="str">
        <f>IF(AND('领用录入（明细）'!D:D=$F$4,'领用录入（明细）'!C:C&gt;=$J$4,'领用录入（明细）'!C:C&lt;=$L$4),ROW(),"-")</f>
        <v>-</v>
      </c>
    </row>
    <row r="46796" customHeight="1" spans="2:2">
      <c r="B46796" s="62" t="str">
        <f>IF(AND('领用录入（明细）'!D:D=$F$4,'领用录入（明细）'!C:C&gt;=$J$4,'领用录入（明细）'!C:C&lt;=$L$4),ROW(),"-")</f>
        <v>-</v>
      </c>
    </row>
    <row r="46797" customHeight="1" spans="2:2">
      <c r="B46797" s="62" t="str">
        <f>IF(AND('领用录入（明细）'!D:D=$F$4,'领用录入（明细）'!C:C&gt;=$J$4,'领用录入（明细）'!C:C&lt;=$L$4),ROW(),"-")</f>
        <v>-</v>
      </c>
    </row>
    <row r="46798" customHeight="1" spans="2:2">
      <c r="B46798" s="62" t="str">
        <f>IF(AND('领用录入（明细）'!D:D=$F$4,'领用录入（明细）'!C:C&gt;=$J$4,'领用录入（明细）'!C:C&lt;=$L$4),ROW(),"-")</f>
        <v>-</v>
      </c>
    </row>
    <row r="46799" customHeight="1" spans="2:2">
      <c r="B46799" s="62" t="str">
        <f>IF(AND('领用录入（明细）'!D:D=$F$4,'领用录入（明细）'!C:C&gt;=$J$4,'领用录入（明细）'!C:C&lt;=$L$4),ROW(),"-")</f>
        <v>-</v>
      </c>
    </row>
    <row r="46800" customHeight="1" spans="2:2">
      <c r="B46800" s="62" t="str">
        <f>IF(AND('领用录入（明细）'!D:D=$F$4,'领用录入（明细）'!C:C&gt;=$J$4,'领用录入（明细）'!C:C&lt;=$L$4),ROW(),"-")</f>
        <v>-</v>
      </c>
    </row>
    <row r="46801" customHeight="1" spans="2:2">
      <c r="B46801" s="62" t="str">
        <f>IF(AND('领用录入（明细）'!D:D=$F$4,'领用录入（明细）'!C:C&gt;=$J$4,'领用录入（明细）'!C:C&lt;=$L$4),ROW(),"-")</f>
        <v>-</v>
      </c>
    </row>
    <row r="46802" customHeight="1" spans="2:2">
      <c r="B46802" s="62" t="str">
        <f>IF(AND('领用录入（明细）'!D:D=$F$4,'领用录入（明细）'!C:C&gt;=$J$4,'领用录入（明细）'!C:C&lt;=$L$4),ROW(),"-")</f>
        <v>-</v>
      </c>
    </row>
    <row r="46803" customHeight="1" spans="2:2">
      <c r="B46803" s="62" t="str">
        <f>IF(AND('领用录入（明细）'!D:D=$F$4,'领用录入（明细）'!C:C&gt;=$J$4,'领用录入（明细）'!C:C&lt;=$L$4),ROW(),"-")</f>
        <v>-</v>
      </c>
    </row>
    <row r="46804" customHeight="1" spans="2:2">
      <c r="B46804" s="62" t="str">
        <f>IF(AND('领用录入（明细）'!D:D=$F$4,'领用录入（明细）'!C:C&gt;=$J$4,'领用录入（明细）'!C:C&lt;=$L$4),ROW(),"-")</f>
        <v>-</v>
      </c>
    </row>
    <row r="46805" customHeight="1" spans="2:2">
      <c r="B46805" s="62" t="str">
        <f>IF(AND('领用录入（明细）'!D:D=$F$4,'领用录入（明细）'!C:C&gt;=$J$4,'领用录入（明细）'!C:C&lt;=$L$4),ROW(),"-")</f>
        <v>-</v>
      </c>
    </row>
    <row r="46806" customHeight="1" spans="2:2">
      <c r="B46806" s="62" t="str">
        <f>IF(AND('领用录入（明细）'!D:D=$F$4,'领用录入（明细）'!C:C&gt;=$J$4,'领用录入（明细）'!C:C&lt;=$L$4),ROW(),"-")</f>
        <v>-</v>
      </c>
    </row>
    <row r="46807" customHeight="1" spans="2:2">
      <c r="B46807" s="62" t="str">
        <f>IF(AND('领用录入（明细）'!D:D=$F$4,'领用录入（明细）'!C:C&gt;=$J$4,'领用录入（明细）'!C:C&lt;=$L$4),ROW(),"-")</f>
        <v>-</v>
      </c>
    </row>
    <row r="46808" customHeight="1" spans="2:2">
      <c r="B46808" s="62" t="str">
        <f>IF(AND('领用录入（明细）'!D:D=$F$4,'领用录入（明细）'!C:C&gt;=$J$4,'领用录入（明细）'!C:C&lt;=$L$4),ROW(),"-")</f>
        <v>-</v>
      </c>
    </row>
    <row r="46809" customHeight="1" spans="2:2">
      <c r="B46809" s="62" t="str">
        <f>IF(AND('领用录入（明细）'!D:D=$F$4,'领用录入（明细）'!C:C&gt;=$J$4,'领用录入（明细）'!C:C&lt;=$L$4),ROW(),"-")</f>
        <v>-</v>
      </c>
    </row>
    <row r="46810" customHeight="1" spans="2:2">
      <c r="B46810" s="62" t="str">
        <f>IF(AND('领用录入（明细）'!D:D=$F$4,'领用录入（明细）'!C:C&gt;=$J$4,'领用录入（明细）'!C:C&lt;=$L$4),ROW(),"-")</f>
        <v>-</v>
      </c>
    </row>
    <row r="46811" customHeight="1" spans="2:2">
      <c r="B46811" s="62" t="str">
        <f>IF(AND('领用录入（明细）'!D:D=$F$4,'领用录入（明细）'!C:C&gt;=$J$4,'领用录入（明细）'!C:C&lt;=$L$4),ROW(),"-")</f>
        <v>-</v>
      </c>
    </row>
    <row r="46812" customHeight="1" spans="2:2">
      <c r="B46812" s="62" t="str">
        <f>IF(AND('领用录入（明细）'!D:D=$F$4,'领用录入（明细）'!C:C&gt;=$J$4,'领用录入（明细）'!C:C&lt;=$L$4),ROW(),"-")</f>
        <v>-</v>
      </c>
    </row>
    <row r="46813" customHeight="1" spans="2:2">
      <c r="B46813" s="62" t="str">
        <f>IF(AND('领用录入（明细）'!D:D=$F$4,'领用录入（明细）'!C:C&gt;=$J$4,'领用录入（明细）'!C:C&lt;=$L$4),ROW(),"-")</f>
        <v>-</v>
      </c>
    </row>
    <row r="46814" customHeight="1" spans="2:2">
      <c r="B46814" s="62" t="str">
        <f>IF(AND('领用录入（明细）'!D:D=$F$4,'领用录入（明细）'!C:C&gt;=$J$4,'领用录入（明细）'!C:C&lt;=$L$4),ROW(),"-")</f>
        <v>-</v>
      </c>
    </row>
    <row r="46815" customHeight="1" spans="2:2">
      <c r="B46815" s="62" t="str">
        <f>IF(AND('领用录入（明细）'!D:D=$F$4,'领用录入（明细）'!C:C&gt;=$J$4,'领用录入（明细）'!C:C&lt;=$L$4),ROW(),"-")</f>
        <v>-</v>
      </c>
    </row>
    <row r="46816" customHeight="1" spans="2:2">
      <c r="B46816" s="62" t="str">
        <f>IF(AND('领用录入（明细）'!D:D=$F$4,'领用录入（明细）'!C:C&gt;=$J$4,'领用录入（明细）'!C:C&lt;=$L$4),ROW(),"-")</f>
        <v>-</v>
      </c>
    </row>
    <row r="46817" customHeight="1" spans="2:2">
      <c r="B46817" s="62" t="str">
        <f>IF(AND('领用录入（明细）'!D:D=$F$4,'领用录入（明细）'!C:C&gt;=$J$4,'领用录入（明细）'!C:C&lt;=$L$4),ROW(),"-")</f>
        <v>-</v>
      </c>
    </row>
    <row r="46818" customHeight="1" spans="2:2">
      <c r="B46818" s="62" t="str">
        <f>IF(AND('领用录入（明细）'!D:D=$F$4,'领用录入（明细）'!C:C&gt;=$J$4,'领用录入（明细）'!C:C&lt;=$L$4),ROW(),"-")</f>
        <v>-</v>
      </c>
    </row>
    <row r="46819" customHeight="1" spans="2:2">
      <c r="B46819" s="62" t="str">
        <f>IF(AND('领用录入（明细）'!D:D=$F$4,'领用录入（明细）'!C:C&gt;=$J$4,'领用录入（明细）'!C:C&lt;=$L$4),ROW(),"-")</f>
        <v>-</v>
      </c>
    </row>
    <row r="46820" customHeight="1" spans="2:2">
      <c r="B46820" s="62" t="str">
        <f>IF(AND('领用录入（明细）'!D:D=$F$4,'领用录入（明细）'!C:C&gt;=$J$4,'领用录入（明细）'!C:C&lt;=$L$4),ROW(),"-")</f>
        <v>-</v>
      </c>
    </row>
    <row r="46821" customHeight="1" spans="2:2">
      <c r="B46821" s="62" t="str">
        <f>IF(AND('领用录入（明细）'!D:D=$F$4,'领用录入（明细）'!C:C&gt;=$J$4,'领用录入（明细）'!C:C&lt;=$L$4),ROW(),"-")</f>
        <v>-</v>
      </c>
    </row>
    <row r="46822" customHeight="1" spans="2:2">
      <c r="B46822" s="62" t="str">
        <f>IF(AND('领用录入（明细）'!D:D=$F$4,'领用录入（明细）'!C:C&gt;=$J$4,'领用录入（明细）'!C:C&lt;=$L$4),ROW(),"-")</f>
        <v>-</v>
      </c>
    </row>
    <row r="46823" customHeight="1" spans="2:2">
      <c r="B46823" s="62" t="str">
        <f>IF(AND('领用录入（明细）'!D:D=$F$4,'领用录入（明细）'!C:C&gt;=$J$4,'领用录入（明细）'!C:C&lt;=$L$4),ROW(),"-")</f>
        <v>-</v>
      </c>
    </row>
    <row r="46824" customHeight="1" spans="2:2">
      <c r="B46824" s="62" t="str">
        <f>IF(AND('领用录入（明细）'!D:D=$F$4,'领用录入（明细）'!C:C&gt;=$J$4,'领用录入（明细）'!C:C&lt;=$L$4),ROW(),"-")</f>
        <v>-</v>
      </c>
    </row>
    <row r="46825" customHeight="1" spans="2:2">
      <c r="B46825" s="62" t="str">
        <f>IF(AND('领用录入（明细）'!D:D=$F$4,'领用录入（明细）'!C:C&gt;=$J$4,'领用录入（明细）'!C:C&lt;=$L$4),ROW(),"-")</f>
        <v>-</v>
      </c>
    </row>
    <row r="46826" customHeight="1" spans="2:2">
      <c r="B46826" s="62" t="str">
        <f>IF(AND('领用录入（明细）'!D:D=$F$4,'领用录入（明细）'!C:C&gt;=$J$4,'领用录入（明细）'!C:C&lt;=$L$4),ROW(),"-")</f>
        <v>-</v>
      </c>
    </row>
    <row r="46827" customHeight="1" spans="2:2">
      <c r="B46827" s="62" t="str">
        <f>IF(AND('领用录入（明细）'!D:D=$F$4,'领用录入（明细）'!C:C&gt;=$J$4,'领用录入（明细）'!C:C&lt;=$L$4),ROW(),"-")</f>
        <v>-</v>
      </c>
    </row>
    <row r="46828" customHeight="1" spans="2:2">
      <c r="B46828" s="62" t="str">
        <f>IF(AND('领用录入（明细）'!D:D=$F$4,'领用录入（明细）'!C:C&gt;=$J$4,'领用录入（明细）'!C:C&lt;=$L$4),ROW(),"-")</f>
        <v>-</v>
      </c>
    </row>
    <row r="46829" customHeight="1" spans="2:2">
      <c r="B46829" s="62" t="str">
        <f>IF(AND('领用录入（明细）'!D:D=$F$4,'领用录入（明细）'!C:C&gt;=$J$4,'领用录入（明细）'!C:C&lt;=$L$4),ROW(),"-")</f>
        <v>-</v>
      </c>
    </row>
    <row r="46830" customHeight="1" spans="2:2">
      <c r="B46830" s="62" t="str">
        <f>IF(AND('领用录入（明细）'!D:D=$F$4,'领用录入（明细）'!C:C&gt;=$J$4,'领用录入（明细）'!C:C&lt;=$L$4),ROW(),"-")</f>
        <v>-</v>
      </c>
    </row>
    <row r="46831" customHeight="1" spans="2:2">
      <c r="B46831" s="62" t="str">
        <f>IF(AND('领用录入（明细）'!D:D=$F$4,'领用录入（明细）'!C:C&gt;=$J$4,'领用录入（明细）'!C:C&lt;=$L$4),ROW(),"-")</f>
        <v>-</v>
      </c>
    </row>
    <row r="46832" customHeight="1" spans="2:2">
      <c r="B46832" s="62" t="str">
        <f>IF(AND('领用录入（明细）'!D:D=$F$4,'领用录入（明细）'!C:C&gt;=$J$4,'领用录入（明细）'!C:C&lt;=$L$4),ROW(),"-")</f>
        <v>-</v>
      </c>
    </row>
    <row r="46833" customHeight="1" spans="2:2">
      <c r="B46833" s="62" t="str">
        <f>IF(AND('领用录入（明细）'!D:D=$F$4,'领用录入（明细）'!C:C&gt;=$J$4,'领用录入（明细）'!C:C&lt;=$L$4),ROW(),"-")</f>
        <v>-</v>
      </c>
    </row>
    <row r="46834" customHeight="1" spans="2:2">
      <c r="B46834" s="62" t="str">
        <f>IF(AND('领用录入（明细）'!D:D=$F$4,'领用录入（明细）'!C:C&gt;=$J$4,'领用录入（明细）'!C:C&lt;=$L$4),ROW(),"-")</f>
        <v>-</v>
      </c>
    </row>
    <row r="46835" customHeight="1" spans="2:2">
      <c r="B46835" s="62" t="str">
        <f>IF(AND('领用录入（明细）'!D:D=$F$4,'领用录入（明细）'!C:C&gt;=$J$4,'领用录入（明细）'!C:C&lt;=$L$4),ROW(),"-")</f>
        <v>-</v>
      </c>
    </row>
    <row r="46836" customHeight="1" spans="2:2">
      <c r="B46836" s="62" t="str">
        <f>IF(AND('领用录入（明细）'!D:D=$F$4,'领用录入（明细）'!C:C&gt;=$J$4,'领用录入（明细）'!C:C&lt;=$L$4),ROW(),"-")</f>
        <v>-</v>
      </c>
    </row>
    <row r="46837" customHeight="1" spans="2:2">
      <c r="B46837" s="62" t="str">
        <f>IF(AND('领用录入（明细）'!D:D=$F$4,'领用录入（明细）'!C:C&gt;=$J$4,'领用录入（明细）'!C:C&lt;=$L$4),ROW(),"-")</f>
        <v>-</v>
      </c>
    </row>
    <row r="46838" customHeight="1" spans="2:2">
      <c r="B46838" s="62" t="str">
        <f>IF(AND('领用录入（明细）'!D:D=$F$4,'领用录入（明细）'!C:C&gt;=$J$4,'领用录入（明细）'!C:C&lt;=$L$4),ROW(),"-")</f>
        <v>-</v>
      </c>
    </row>
    <row r="46839" customHeight="1" spans="2:2">
      <c r="B46839" s="62" t="str">
        <f>IF(AND('领用录入（明细）'!D:D=$F$4,'领用录入（明细）'!C:C&gt;=$J$4,'领用录入（明细）'!C:C&lt;=$L$4),ROW(),"-")</f>
        <v>-</v>
      </c>
    </row>
    <row r="46840" customHeight="1" spans="2:2">
      <c r="B46840" s="62" t="str">
        <f>IF(AND('领用录入（明细）'!D:D=$F$4,'领用录入（明细）'!C:C&gt;=$J$4,'领用录入（明细）'!C:C&lt;=$L$4),ROW(),"-")</f>
        <v>-</v>
      </c>
    </row>
    <row r="46841" customHeight="1" spans="2:2">
      <c r="B46841" s="62" t="str">
        <f>IF(AND('领用录入（明细）'!D:D=$F$4,'领用录入（明细）'!C:C&gt;=$J$4,'领用录入（明细）'!C:C&lt;=$L$4),ROW(),"-")</f>
        <v>-</v>
      </c>
    </row>
    <row r="46842" customHeight="1" spans="2:2">
      <c r="B46842" s="62" t="str">
        <f>IF(AND('领用录入（明细）'!D:D=$F$4,'领用录入（明细）'!C:C&gt;=$J$4,'领用录入（明细）'!C:C&lt;=$L$4),ROW(),"-")</f>
        <v>-</v>
      </c>
    </row>
    <row r="46843" customHeight="1" spans="2:2">
      <c r="B46843" s="62" t="str">
        <f>IF(AND('领用录入（明细）'!D:D=$F$4,'领用录入（明细）'!C:C&gt;=$J$4,'领用录入（明细）'!C:C&lt;=$L$4),ROW(),"-")</f>
        <v>-</v>
      </c>
    </row>
    <row r="46844" customHeight="1" spans="2:2">
      <c r="B46844" s="62" t="str">
        <f>IF(AND('领用录入（明细）'!D:D=$F$4,'领用录入（明细）'!C:C&gt;=$J$4,'领用录入（明细）'!C:C&lt;=$L$4),ROW(),"-")</f>
        <v>-</v>
      </c>
    </row>
    <row r="46845" customHeight="1" spans="2:2">
      <c r="B46845" s="62" t="str">
        <f>IF(AND('领用录入（明细）'!D:D=$F$4,'领用录入（明细）'!C:C&gt;=$J$4,'领用录入（明细）'!C:C&lt;=$L$4),ROW(),"-")</f>
        <v>-</v>
      </c>
    </row>
    <row r="46846" customHeight="1" spans="2:2">
      <c r="B46846" s="62" t="str">
        <f>IF(AND('领用录入（明细）'!D:D=$F$4,'领用录入（明细）'!C:C&gt;=$J$4,'领用录入（明细）'!C:C&lt;=$L$4),ROW(),"-")</f>
        <v>-</v>
      </c>
    </row>
    <row r="46847" customHeight="1" spans="2:2">
      <c r="B46847" s="62" t="str">
        <f>IF(AND('领用录入（明细）'!D:D=$F$4,'领用录入（明细）'!C:C&gt;=$J$4,'领用录入（明细）'!C:C&lt;=$L$4),ROW(),"-")</f>
        <v>-</v>
      </c>
    </row>
    <row r="46848" customHeight="1" spans="2:2">
      <c r="B46848" s="62" t="str">
        <f>IF(AND('领用录入（明细）'!D:D=$F$4,'领用录入（明细）'!C:C&gt;=$J$4,'领用录入（明细）'!C:C&lt;=$L$4),ROW(),"-")</f>
        <v>-</v>
      </c>
    </row>
    <row r="46849" customHeight="1" spans="2:2">
      <c r="B46849" s="62" t="str">
        <f>IF(AND('领用录入（明细）'!D:D=$F$4,'领用录入（明细）'!C:C&gt;=$J$4,'领用录入（明细）'!C:C&lt;=$L$4),ROW(),"-")</f>
        <v>-</v>
      </c>
    </row>
    <row r="46850" customHeight="1" spans="2:2">
      <c r="B46850" s="62" t="str">
        <f>IF(AND('领用录入（明细）'!D:D=$F$4,'领用录入（明细）'!C:C&gt;=$J$4,'领用录入（明细）'!C:C&lt;=$L$4),ROW(),"-")</f>
        <v>-</v>
      </c>
    </row>
    <row r="46851" customHeight="1" spans="2:2">
      <c r="B46851" s="62" t="str">
        <f>IF(AND('领用录入（明细）'!D:D=$F$4,'领用录入（明细）'!C:C&gt;=$J$4,'领用录入（明细）'!C:C&lt;=$L$4),ROW(),"-")</f>
        <v>-</v>
      </c>
    </row>
    <row r="46852" customHeight="1" spans="2:2">
      <c r="B46852" s="62" t="str">
        <f>IF(AND('领用录入（明细）'!D:D=$F$4,'领用录入（明细）'!C:C&gt;=$J$4,'领用录入（明细）'!C:C&lt;=$L$4),ROW(),"-")</f>
        <v>-</v>
      </c>
    </row>
    <row r="46853" customHeight="1" spans="2:2">
      <c r="B46853" s="62" t="str">
        <f>IF(AND('领用录入（明细）'!D:D=$F$4,'领用录入（明细）'!C:C&gt;=$J$4,'领用录入（明细）'!C:C&lt;=$L$4),ROW(),"-")</f>
        <v>-</v>
      </c>
    </row>
    <row r="46854" customHeight="1" spans="2:2">
      <c r="B46854" s="62" t="str">
        <f>IF(AND('领用录入（明细）'!D:D=$F$4,'领用录入（明细）'!C:C&gt;=$J$4,'领用录入（明细）'!C:C&lt;=$L$4),ROW(),"-")</f>
        <v>-</v>
      </c>
    </row>
    <row r="46855" customHeight="1" spans="2:2">
      <c r="B46855" s="62" t="str">
        <f>IF(AND('领用录入（明细）'!D:D=$F$4,'领用录入（明细）'!C:C&gt;=$J$4,'领用录入（明细）'!C:C&lt;=$L$4),ROW(),"-")</f>
        <v>-</v>
      </c>
    </row>
    <row r="46856" customHeight="1" spans="2:2">
      <c r="B46856" s="62" t="str">
        <f>IF(AND('领用录入（明细）'!D:D=$F$4,'领用录入（明细）'!C:C&gt;=$J$4,'领用录入（明细）'!C:C&lt;=$L$4),ROW(),"-")</f>
        <v>-</v>
      </c>
    </row>
    <row r="46857" customHeight="1" spans="2:2">
      <c r="B46857" s="62" t="str">
        <f>IF(AND('领用录入（明细）'!D:D=$F$4,'领用录入（明细）'!C:C&gt;=$J$4,'领用录入（明细）'!C:C&lt;=$L$4),ROW(),"-")</f>
        <v>-</v>
      </c>
    </row>
    <row r="46858" customHeight="1" spans="2:2">
      <c r="B46858" s="62" t="str">
        <f>IF(AND('领用录入（明细）'!D:D=$F$4,'领用录入（明细）'!C:C&gt;=$J$4,'领用录入（明细）'!C:C&lt;=$L$4),ROW(),"-")</f>
        <v>-</v>
      </c>
    </row>
    <row r="46859" customHeight="1" spans="2:2">
      <c r="B46859" s="62" t="str">
        <f>IF(AND('领用录入（明细）'!D:D=$F$4,'领用录入（明细）'!C:C&gt;=$J$4,'领用录入（明细）'!C:C&lt;=$L$4),ROW(),"-")</f>
        <v>-</v>
      </c>
    </row>
    <row r="46860" customHeight="1" spans="2:2">
      <c r="B46860" s="62" t="str">
        <f>IF(AND('领用录入（明细）'!D:D=$F$4,'领用录入（明细）'!C:C&gt;=$J$4,'领用录入（明细）'!C:C&lt;=$L$4),ROW(),"-")</f>
        <v>-</v>
      </c>
    </row>
    <row r="46861" customHeight="1" spans="2:2">
      <c r="B46861" s="62" t="str">
        <f>IF(AND('领用录入（明细）'!D:D=$F$4,'领用录入（明细）'!C:C&gt;=$J$4,'领用录入（明细）'!C:C&lt;=$L$4),ROW(),"-")</f>
        <v>-</v>
      </c>
    </row>
    <row r="46862" customHeight="1" spans="2:2">
      <c r="B46862" s="62" t="str">
        <f>IF(AND('领用录入（明细）'!D:D=$F$4,'领用录入（明细）'!C:C&gt;=$J$4,'领用录入（明细）'!C:C&lt;=$L$4),ROW(),"-")</f>
        <v>-</v>
      </c>
    </row>
    <row r="46863" customHeight="1" spans="2:2">
      <c r="B46863" s="62" t="str">
        <f>IF(AND('领用录入（明细）'!D:D=$F$4,'领用录入（明细）'!C:C&gt;=$J$4,'领用录入（明细）'!C:C&lt;=$L$4),ROW(),"-")</f>
        <v>-</v>
      </c>
    </row>
    <row r="46864" customHeight="1" spans="2:2">
      <c r="B46864" s="62" t="str">
        <f>IF(AND('领用录入（明细）'!D:D=$F$4,'领用录入（明细）'!C:C&gt;=$J$4,'领用录入（明细）'!C:C&lt;=$L$4),ROW(),"-")</f>
        <v>-</v>
      </c>
    </row>
    <row r="46865" customHeight="1" spans="2:2">
      <c r="B46865" s="62" t="str">
        <f>IF(AND('领用录入（明细）'!D:D=$F$4,'领用录入（明细）'!C:C&gt;=$J$4,'领用录入（明细）'!C:C&lt;=$L$4),ROW(),"-")</f>
        <v>-</v>
      </c>
    </row>
    <row r="46866" customHeight="1" spans="2:2">
      <c r="B46866" s="62" t="str">
        <f>IF(AND('领用录入（明细）'!D:D=$F$4,'领用录入（明细）'!C:C&gt;=$J$4,'领用录入（明细）'!C:C&lt;=$L$4),ROW(),"-")</f>
        <v>-</v>
      </c>
    </row>
    <row r="46867" customHeight="1" spans="2:2">
      <c r="B46867" s="62" t="str">
        <f>IF(AND('领用录入（明细）'!D:D=$F$4,'领用录入（明细）'!C:C&gt;=$J$4,'领用录入（明细）'!C:C&lt;=$L$4),ROW(),"-")</f>
        <v>-</v>
      </c>
    </row>
    <row r="46868" customHeight="1" spans="2:2">
      <c r="B46868" s="62" t="str">
        <f>IF(AND('领用录入（明细）'!D:D=$F$4,'领用录入（明细）'!C:C&gt;=$J$4,'领用录入（明细）'!C:C&lt;=$L$4),ROW(),"-")</f>
        <v>-</v>
      </c>
    </row>
    <row r="46869" customHeight="1" spans="2:2">
      <c r="B46869" s="62" t="str">
        <f>IF(AND('领用录入（明细）'!D:D=$F$4,'领用录入（明细）'!C:C&gt;=$J$4,'领用录入（明细）'!C:C&lt;=$L$4),ROW(),"-")</f>
        <v>-</v>
      </c>
    </row>
    <row r="46870" customHeight="1" spans="2:2">
      <c r="B46870" s="62" t="str">
        <f>IF(AND('领用录入（明细）'!D:D=$F$4,'领用录入（明细）'!C:C&gt;=$J$4,'领用录入（明细）'!C:C&lt;=$L$4),ROW(),"-")</f>
        <v>-</v>
      </c>
    </row>
    <row r="46871" customHeight="1" spans="2:2">
      <c r="B46871" s="62" t="str">
        <f>IF(AND('领用录入（明细）'!D:D=$F$4,'领用录入（明细）'!C:C&gt;=$J$4,'领用录入（明细）'!C:C&lt;=$L$4),ROW(),"-")</f>
        <v>-</v>
      </c>
    </row>
    <row r="46872" customHeight="1" spans="2:2">
      <c r="B46872" s="62" t="str">
        <f>IF(AND('领用录入（明细）'!D:D=$F$4,'领用录入（明细）'!C:C&gt;=$J$4,'领用录入（明细）'!C:C&lt;=$L$4),ROW(),"-")</f>
        <v>-</v>
      </c>
    </row>
    <row r="46873" customHeight="1" spans="2:2">
      <c r="B46873" s="62" t="str">
        <f>IF(AND('领用录入（明细）'!D:D=$F$4,'领用录入（明细）'!C:C&gt;=$J$4,'领用录入（明细）'!C:C&lt;=$L$4),ROW(),"-")</f>
        <v>-</v>
      </c>
    </row>
    <row r="46874" customHeight="1" spans="2:2">
      <c r="B46874" s="62" t="str">
        <f>IF(AND('领用录入（明细）'!D:D=$F$4,'领用录入（明细）'!C:C&gt;=$J$4,'领用录入（明细）'!C:C&lt;=$L$4),ROW(),"-")</f>
        <v>-</v>
      </c>
    </row>
    <row r="46875" customHeight="1" spans="2:2">
      <c r="B46875" s="62" t="str">
        <f>IF(AND('领用录入（明细）'!D:D=$F$4,'领用录入（明细）'!C:C&gt;=$J$4,'领用录入（明细）'!C:C&lt;=$L$4),ROW(),"-")</f>
        <v>-</v>
      </c>
    </row>
    <row r="46876" customHeight="1" spans="2:2">
      <c r="B46876" s="62" t="str">
        <f>IF(AND('领用录入（明细）'!D:D=$F$4,'领用录入（明细）'!C:C&gt;=$J$4,'领用录入（明细）'!C:C&lt;=$L$4),ROW(),"-")</f>
        <v>-</v>
      </c>
    </row>
    <row r="46877" customHeight="1" spans="2:2">
      <c r="B46877" s="62" t="str">
        <f>IF(AND('领用录入（明细）'!D:D=$F$4,'领用录入（明细）'!C:C&gt;=$J$4,'领用录入（明细）'!C:C&lt;=$L$4),ROW(),"-")</f>
        <v>-</v>
      </c>
    </row>
    <row r="46878" customHeight="1" spans="2:2">
      <c r="B46878" s="62" t="str">
        <f>IF(AND('领用录入（明细）'!D:D=$F$4,'领用录入（明细）'!C:C&gt;=$J$4,'领用录入（明细）'!C:C&lt;=$L$4),ROW(),"-")</f>
        <v>-</v>
      </c>
    </row>
    <row r="46879" customHeight="1" spans="2:2">
      <c r="B46879" s="62" t="str">
        <f>IF(AND('领用录入（明细）'!D:D=$F$4,'领用录入（明细）'!C:C&gt;=$J$4,'领用录入（明细）'!C:C&lt;=$L$4),ROW(),"-")</f>
        <v>-</v>
      </c>
    </row>
    <row r="46880" customHeight="1" spans="2:2">
      <c r="B46880" s="62" t="str">
        <f>IF(AND('领用录入（明细）'!D:D=$F$4,'领用录入（明细）'!C:C&gt;=$J$4,'领用录入（明细）'!C:C&lt;=$L$4),ROW(),"-")</f>
        <v>-</v>
      </c>
    </row>
    <row r="46881" customHeight="1" spans="2:2">
      <c r="B46881" s="62" t="str">
        <f>IF(AND('领用录入（明细）'!D:D=$F$4,'领用录入（明细）'!C:C&gt;=$J$4,'领用录入（明细）'!C:C&lt;=$L$4),ROW(),"-")</f>
        <v>-</v>
      </c>
    </row>
    <row r="46882" customHeight="1" spans="2:2">
      <c r="B46882" s="62" t="str">
        <f>IF(AND('领用录入（明细）'!D:D=$F$4,'领用录入（明细）'!C:C&gt;=$J$4,'领用录入（明细）'!C:C&lt;=$L$4),ROW(),"-")</f>
        <v>-</v>
      </c>
    </row>
    <row r="46883" customHeight="1" spans="2:2">
      <c r="B46883" s="62" t="str">
        <f>IF(AND('领用录入（明细）'!D:D=$F$4,'领用录入（明细）'!C:C&gt;=$J$4,'领用录入（明细）'!C:C&lt;=$L$4),ROW(),"-")</f>
        <v>-</v>
      </c>
    </row>
    <row r="46884" customHeight="1" spans="2:2">
      <c r="B46884" s="62" t="str">
        <f>IF(AND('领用录入（明细）'!D:D=$F$4,'领用录入（明细）'!C:C&gt;=$J$4,'领用录入（明细）'!C:C&lt;=$L$4),ROW(),"-")</f>
        <v>-</v>
      </c>
    </row>
    <row r="46885" customHeight="1" spans="2:2">
      <c r="B46885" s="62" t="str">
        <f>IF(AND('领用录入（明细）'!D:D=$F$4,'领用录入（明细）'!C:C&gt;=$J$4,'领用录入（明细）'!C:C&lt;=$L$4),ROW(),"-")</f>
        <v>-</v>
      </c>
    </row>
    <row r="46886" customHeight="1" spans="2:2">
      <c r="B46886" s="62" t="str">
        <f>IF(AND('领用录入（明细）'!D:D=$F$4,'领用录入（明细）'!C:C&gt;=$J$4,'领用录入（明细）'!C:C&lt;=$L$4),ROW(),"-")</f>
        <v>-</v>
      </c>
    </row>
    <row r="46887" customHeight="1" spans="2:2">
      <c r="B46887" s="62" t="str">
        <f>IF(AND('领用录入（明细）'!D:D=$F$4,'领用录入（明细）'!C:C&gt;=$J$4,'领用录入（明细）'!C:C&lt;=$L$4),ROW(),"-")</f>
        <v>-</v>
      </c>
    </row>
    <row r="46888" customHeight="1" spans="2:2">
      <c r="B46888" s="62" t="str">
        <f>IF(AND('领用录入（明细）'!D:D=$F$4,'领用录入（明细）'!C:C&gt;=$J$4,'领用录入（明细）'!C:C&lt;=$L$4),ROW(),"-")</f>
        <v>-</v>
      </c>
    </row>
    <row r="46889" customHeight="1" spans="2:2">
      <c r="B46889" s="62" t="str">
        <f>IF(AND('领用录入（明细）'!D:D=$F$4,'领用录入（明细）'!C:C&gt;=$J$4,'领用录入（明细）'!C:C&lt;=$L$4),ROW(),"-")</f>
        <v>-</v>
      </c>
    </row>
    <row r="46890" customHeight="1" spans="2:2">
      <c r="B46890" s="62" t="str">
        <f>IF(AND('领用录入（明细）'!D:D=$F$4,'领用录入（明细）'!C:C&gt;=$J$4,'领用录入（明细）'!C:C&lt;=$L$4),ROW(),"-")</f>
        <v>-</v>
      </c>
    </row>
    <row r="46891" customHeight="1" spans="2:2">
      <c r="B46891" s="62" t="str">
        <f>IF(AND('领用录入（明细）'!D:D=$F$4,'领用录入（明细）'!C:C&gt;=$J$4,'领用录入（明细）'!C:C&lt;=$L$4),ROW(),"-")</f>
        <v>-</v>
      </c>
    </row>
    <row r="46892" customHeight="1" spans="2:2">
      <c r="B46892" s="62" t="str">
        <f>IF(AND('领用录入（明细）'!D:D=$F$4,'领用录入（明细）'!C:C&gt;=$J$4,'领用录入（明细）'!C:C&lt;=$L$4),ROW(),"-")</f>
        <v>-</v>
      </c>
    </row>
    <row r="46893" customHeight="1" spans="2:2">
      <c r="B46893" s="62" t="str">
        <f>IF(AND('领用录入（明细）'!D:D=$F$4,'领用录入（明细）'!C:C&gt;=$J$4,'领用录入（明细）'!C:C&lt;=$L$4),ROW(),"-")</f>
        <v>-</v>
      </c>
    </row>
    <row r="46894" customHeight="1" spans="2:2">
      <c r="B46894" s="62" t="str">
        <f>IF(AND('领用录入（明细）'!D:D=$F$4,'领用录入（明细）'!C:C&gt;=$J$4,'领用录入（明细）'!C:C&lt;=$L$4),ROW(),"-")</f>
        <v>-</v>
      </c>
    </row>
    <row r="46895" customHeight="1" spans="2:2">
      <c r="B46895" s="62" t="str">
        <f>IF(AND('领用录入（明细）'!D:D=$F$4,'领用录入（明细）'!C:C&gt;=$J$4,'领用录入（明细）'!C:C&lt;=$L$4),ROW(),"-")</f>
        <v>-</v>
      </c>
    </row>
    <row r="46896" customHeight="1" spans="2:2">
      <c r="B46896" s="62" t="str">
        <f>IF(AND('领用录入（明细）'!D:D=$F$4,'领用录入（明细）'!C:C&gt;=$J$4,'领用录入（明细）'!C:C&lt;=$L$4),ROW(),"-")</f>
        <v>-</v>
      </c>
    </row>
    <row r="46897" customHeight="1" spans="2:2">
      <c r="B46897" s="62" t="str">
        <f>IF(AND('领用录入（明细）'!D:D=$F$4,'领用录入（明细）'!C:C&gt;=$J$4,'领用录入（明细）'!C:C&lt;=$L$4),ROW(),"-")</f>
        <v>-</v>
      </c>
    </row>
    <row r="46898" customHeight="1" spans="2:2">
      <c r="B46898" s="62" t="str">
        <f>IF(AND('领用录入（明细）'!D:D=$F$4,'领用录入（明细）'!C:C&gt;=$J$4,'领用录入（明细）'!C:C&lt;=$L$4),ROW(),"-")</f>
        <v>-</v>
      </c>
    </row>
    <row r="46899" customHeight="1" spans="2:2">
      <c r="B46899" s="62" t="str">
        <f>IF(AND('领用录入（明细）'!D:D=$F$4,'领用录入（明细）'!C:C&gt;=$J$4,'领用录入（明细）'!C:C&lt;=$L$4),ROW(),"-")</f>
        <v>-</v>
      </c>
    </row>
    <row r="46900" customHeight="1" spans="2:2">
      <c r="B46900" s="62" t="str">
        <f>IF(AND('领用录入（明细）'!D:D=$F$4,'领用录入（明细）'!C:C&gt;=$J$4,'领用录入（明细）'!C:C&lt;=$L$4),ROW(),"-")</f>
        <v>-</v>
      </c>
    </row>
    <row r="46901" customHeight="1" spans="2:2">
      <c r="B46901" s="62" t="str">
        <f>IF(AND('领用录入（明细）'!D:D=$F$4,'领用录入（明细）'!C:C&gt;=$J$4,'领用录入（明细）'!C:C&lt;=$L$4),ROW(),"-")</f>
        <v>-</v>
      </c>
    </row>
    <row r="46902" customHeight="1" spans="2:2">
      <c r="B46902" s="62" t="str">
        <f>IF(AND('领用录入（明细）'!D:D=$F$4,'领用录入（明细）'!C:C&gt;=$J$4,'领用录入（明细）'!C:C&lt;=$L$4),ROW(),"-")</f>
        <v>-</v>
      </c>
    </row>
    <row r="46903" customHeight="1" spans="2:2">
      <c r="B46903" s="62" t="str">
        <f>IF(AND('领用录入（明细）'!D:D=$F$4,'领用录入（明细）'!C:C&gt;=$J$4,'领用录入（明细）'!C:C&lt;=$L$4),ROW(),"-")</f>
        <v>-</v>
      </c>
    </row>
    <row r="46904" customHeight="1" spans="2:2">
      <c r="B46904" s="62" t="str">
        <f>IF(AND('领用录入（明细）'!D:D=$F$4,'领用录入（明细）'!C:C&gt;=$J$4,'领用录入（明细）'!C:C&lt;=$L$4),ROW(),"-")</f>
        <v>-</v>
      </c>
    </row>
    <row r="46905" customHeight="1" spans="2:2">
      <c r="B46905" s="62" t="str">
        <f>IF(AND('领用录入（明细）'!D:D=$F$4,'领用录入（明细）'!C:C&gt;=$J$4,'领用录入（明细）'!C:C&lt;=$L$4),ROW(),"-")</f>
        <v>-</v>
      </c>
    </row>
    <row r="46906" customHeight="1" spans="2:2">
      <c r="B46906" s="62" t="str">
        <f>IF(AND('领用录入（明细）'!D:D=$F$4,'领用录入（明细）'!C:C&gt;=$J$4,'领用录入（明细）'!C:C&lt;=$L$4),ROW(),"-")</f>
        <v>-</v>
      </c>
    </row>
    <row r="46907" customHeight="1" spans="2:2">
      <c r="B46907" s="62" t="str">
        <f>IF(AND('领用录入（明细）'!D:D=$F$4,'领用录入（明细）'!C:C&gt;=$J$4,'领用录入（明细）'!C:C&lt;=$L$4),ROW(),"-")</f>
        <v>-</v>
      </c>
    </row>
    <row r="46908" customHeight="1" spans="2:2">
      <c r="B46908" s="62" t="str">
        <f>IF(AND('领用录入（明细）'!D:D=$F$4,'领用录入（明细）'!C:C&gt;=$J$4,'领用录入（明细）'!C:C&lt;=$L$4),ROW(),"-")</f>
        <v>-</v>
      </c>
    </row>
    <row r="46909" customHeight="1" spans="2:2">
      <c r="B46909" s="62" t="str">
        <f>IF(AND('领用录入（明细）'!D:D=$F$4,'领用录入（明细）'!C:C&gt;=$J$4,'领用录入（明细）'!C:C&lt;=$L$4),ROW(),"-")</f>
        <v>-</v>
      </c>
    </row>
    <row r="46910" customHeight="1" spans="2:2">
      <c r="B46910" s="62" t="str">
        <f>IF(AND('领用录入（明细）'!D:D=$F$4,'领用录入（明细）'!C:C&gt;=$J$4,'领用录入（明细）'!C:C&lt;=$L$4),ROW(),"-")</f>
        <v>-</v>
      </c>
    </row>
    <row r="46911" customHeight="1" spans="2:2">
      <c r="B46911" s="62" t="str">
        <f>IF(AND('领用录入（明细）'!D:D=$F$4,'领用录入（明细）'!C:C&gt;=$J$4,'领用录入（明细）'!C:C&lt;=$L$4),ROW(),"-")</f>
        <v>-</v>
      </c>
    </row>
    <row r="46912" customHeight="1" spans="2:2">
      <c r="B46912" s="62" t="str">
        <f>IF(AND('领用录入（明细）'!D:D=$F$4,'领用录入（明细）'!C:C&gt;=$J$4,'领用录入（明细）'!C:C&lt;=$L$4),ROW(),"-")</f>
        <v>-</v>
      </c>
    </row>
    <row r="46913" customHeight="1" spans="2:2">
      <c r="B46913" s="62" t="str">
        <f>IF(AND('领用录入（明细）'!D:D=$F$4,'领用录入（明细）'!C:C&gt;=$J$4,'领用录入（明细）'!C:C&lt;=$L$4),ROW(),"-")</f>
        <v>-</v>
      </c>
    </row>
    <row r="46914" customHeight="1" spans="2:2">
      <c r="B46914" s="62" t="str">
        <f>IF(AND('领用录入（明细）'!D:D=$F$4,'领用录入（明细）'!C:C&gt;=$J$4,'领用录入（明细）'!C:C&lt;=$L$4),ROW(),"-")</f>
        <v>-</v>
      </c>
    </row>
    <row r="46915" customHeight="1" spans="2:2">
      <c r="B46915" s="62" t="str">
        <f>IF(AND('领用录入（明细）'!D:D=$F$4,'领用录入（明细）'!C:C&gt;=$J$4,'领用录入（明细）'!C:C&lt;=$L$4),ROW(),"-")</f>
        <v>-</v>
      </c>
    </row>
    <row r="46916" customHeight="1" spans="2:2">
      <c r="B46916" s="62" t="str">
        <f>IF(AND('领用录入（明细）'!D:D=$F$4,'领用录入（明细）'!C:C&gt;=$J$4,'领用录入（明细）'!C:C&lt;=$L$4),ROW(),"-")</f>
        <v>-</v>
      </c>
    </row>
    <row r="46917" customHeight="1" spans="2:2">
      <c r="B46917" s="62" t="str">
        <f>IF(AND('领用录入（明细）'!D:D=$F$4,'领用录入（明细）'!C:C&gt;=$J$4,'领用录入（明细）'!C:C&lt;=$L$4),ROW(),"-")</f>
        <v>-</v>
      </c>
    </row>
    <row r="46918" customHeight="1" spans="2:2">
      <c r="B46918" s="62" t="str">
        <f>IF(AND('领用录入（明细）'!D:D=$F$4,'领用录入（明细）'!C:C&gt;=$J$4,'领用录入（明细）'!C:C&lt;=$L$4),ROW(),"-")</f>
        <v>-</v>
      </c>
    </row>
    <row r="46919" customHeight="1" spans="2:2">
      <c r="B46919" s="62" t="str">
        <f>IF(AND('领用录入（明细）'!D:D=$F$4,'领用录入（明细）'!C:C&gt;=$J$4,'领用录入（明细）'!C:C&lt;=$L$4),ROW(),"-")</f>
        <v>-</v>
      </c>
    </row>
    <row r="46920" customHeight="1" spans="2:2">
      <c r="B46920" s="62" t="str">
        <f>IF(AND('领用录入（明细）'!D:D=$F$4,'领用录入（明细）'!C:C&gt;=$J$4,'领用录入（明细）'!C:C&lt;=$L$4),ROW(),"-")</f>
        <v>-</v>
      </c>
    </row>
    <row r="46921" customHeight="1" spans="2:2">
      <c r="B46921" s="62" t="str">
        <f>IF(AND('领用录入（明细）'!D:D=$F$4,'领用录入（明细）'!C:C&gt;=$J$4,'领用录入（明细）'!C:C&lt;=$L$4),ROW(),"-")</f>
        <v>-</v>
      </c>
    </row>
    <row r="46922" customHeight="1" spans="2:2">
      <c r="B46922" s="62" t="str">
        <f>IF(AND('领用录入（明细）'!D:D=$F$4,'领用录入（明细）'!C:C&gt;=$J$4,'领用录入（明细）'!C:C&lt;=$L$4),ROW(),"-")</f>
        <v>-</v>
      </c>
    </row>
    <row r="46923" customHeight="1" spans="2:2">
      <c r="B46923" s="62" t="str">
        <f>IF(AND('领用录入（明细）'!D:D=$F$4,'领用录入（明细）'!C:C&gt;=$J$4,'领用录入（明细）'!C:C&lt;=$L$4),ROW(),"-")</f>
        <v>-</v>
      </c>
    </row>
    <row r="46924" customHeight="1" spans="2:2">
      <c r="B46924" s="62" t="str">
        <f>IF(AND('领用录入（明细）'!D:D=$F$4,'领用录入（明细）'!C:C&gt;=$J$4,'领用录入（明细）'!C:C&lt;=$L$4),ROW(),"-")</f>
        <v>-</v>
      </c>
    </row>
    <row r="46925" customHeight="1" spans="2:2">
      <c r="B46925" s="62" t="str">
        <f>IF(AND('领用录入（明细）'!D:D=$F$4,'领用录入（明细）'!C:C&gt;=$J$4,'领用录入（明细）'!C:C&lt;=$L$4),ROW(),"-")</f>
        <v>-</v>
      </c>
    </row>
    <row r="46926" customHeight="1" spans="2:2">
      <c r="B46926" s="62" t="str">
        <f>IF(AND('领用录入（明细）'!D:D=$F$4,'领用录入（明细）'!C:C&gt;=$J$4,'领用录入（明细）'!C:C&lt;=$L$4),ROW(),"-")</f>
        <v>-</v>
      </c>
    </row>
    <row r="46927" customHeight="1" spans="2:2">
      <c r="B46927" s="62" t="str">
        <f>IF(AND('领用录入（明细）'!D:D=$F$4,'领用录入（明细）'!C:C&gt;=$J$4,'领用录入（明细）'!C:C&lt;=$L$4),ROW(),"-")</f>
        <v>-</v>
      </c>
    </row>
    <row r="46928" customHeight="1" spans="2:2">
      <c r="B46928" s="62" t="str">
        <f>IF(AND('领用录入（明细）'!D:D=$F$4,'领用录入（明细）'!C:C&gt;=$J$4,'领用录入（明细）'!C:C&lt;=$L$4),ROW(),"-")</f>
        <v>-</v>
      </c>
    </row>
    <row r="46929" customHeight="1" spans="2:2">
      <c r="B46929" s="62" t="str">
        <f>IF(AND('领用录入（明细）'!D:D=$F$4,'领用录入（明细）'!C:C&gt;=$J$4,'领用录入（明细）'!C:C&lt;=$L$4),ROW(),"-")</f>
        <v>-</v>
      </c>
    </row>
    <row r="46930" customHeight="1" spans="2:2">
      <c r="B46930" s="62" t="str">
        <f>IF(AND('领用录入（明细）'!D:D=$F$4,'领用录入（明细）'!C:C&gt;=$J$4,'领用录入（明细）'!C:C&lt;=$L$4),ROW(),"-")</f>
        <v>-</v>
      </c>
    </row>
    <row r="46931" customHeight="1" spans="2:2">
      <c r="B46931" s="62" t="str">
        <f>IF(AND('领用录入（明细）'!D:D=$F$4,'领用录入（明细）'!C:C&gt;=$J$4,'领用录入（明细）'!C:C&lt;=$L$4),ROW(),"-")</f>
        <v>-</v>
      </c>
    </row>
    <row r="46932" customHeight="1" spans="2:2">
      <c r="B46932" s="62" t="str">
        <f>IF(AND('领用录入（明细）'!D:D=$F$4,'领用录入（明细）'!C:C&gt;=$J$4,'领用录入（明细）'!C:C&lt;=$L$4),ROW(),"-")</f>
        <v>-</v>
      </c>
    </row>
    <row r="46933" customHeight="1" spans="2:2">
      <c r="B46933" s="62" t="str">
        <f>IF(AND('领用录入（明细）'!D:D=$F$4,'领用录入（明细）'!C:C&gt;=$J$4,'领用录入（明细）'!C:C&lt;=$L$4),ROW(),"-")</f>
        <v>-</v>
      </c>
    </row>
    <row r="46934" customHeight="1" spans="2:2">
      <c r="B46934" s="62" t="str">
        <f>IF(AND('领用录入（明细）'!D:D=$F$4,'领用录入（明细）'!C:C&gt;=$J$4,'领用录入（明细）'!C:C&lt;=$L$4),ROW(),"-")</f>
        <v>-</v>
      </c>
    </row>
    <row r="46935" customHeight="1" spans="2:2">
      <c r="B46935" s="62" t="str">
        <f>IF(AND('领用录入（明细）'!D:D=$F$4,'领用录入（明细）'!C:C&gt;=$J$4,'领用录入（明细）'!C:C&lt;=$L$4),ROW(),"-")</f>
        <v>-</v>
      </c>
    </row>
    <row r="46936" customHeight="1" spans="2:2">
      <c r="B46936" s="62" t="str">
        <f>IF(AND('领用录入（明细）'!D:D=$F$4,'领用录入（明细）'!C:C&gt;=$J$4,'领用录入（明细）'!C:C&lt;=$L$4),ROW(),"-")</f>
        <v>-</v>
      </c>
    </row>
    <row r="46937" customHeight="1" spans="2:2">
      <c r="B46937" s="62" t="str">
        <f>IF(AND('领用录入（明细）'!D:D=$F$4,'领用录入（明细）'!C:C&gt;=$J$4,'领用录入（明细）'!C:C&lt;=$L$4),ROW(),"-")</f>
        <v>-</v>
      </c>
    </row>
    <row r="46938" customHeight="1" spans="2:2">
      <c r="B46938" s="62" t="str">
        <f>IF(AND('领用录入（明细）'!D:D=$F$4,'领用录入（明细）'!C:C&gt;=$J$4,'领用录入（明细）'!C:C&lt;=$L$4),ROW(),"-")</f>
        <v>-</v>
      </c>
    </row>
    <row r="46939" customHeight="1" spans="2:2">
      <c r="B46939" s="62" t="str">
        <f>IF(AND('领用录入（明细）'!D:D=$F$4,'领用录入（明细）'!C:C&gt;=$J$4,'领用录入（明细）'!C:C&lt;=$L$4),ROW(),"-")</f>
        <v>-</v>
      </c>
    </row>
    <row r="46940" customHeight="1" spans="2:2">
      <c r="B46940" s="62" t="str">
        <f>IF(AND('领用录入（明细）'!D:D=$F$4,'领用录入（明细）'!C:C&gt;=$J$4,'领用录入（明细）'!C:C&lt;=$L$4),ROW(),"-")</f>
        <v>-</v>
      </c>
    </row>
    <row r="46941" customHeight="1" spans="2:2">
      <c r="B46941" s="62" t="str">
        <f>IF(AND('领用录入（明细）'!D:D=$F$4,'领用录入（明细）'!C:C&gt;=$J$4,'领用录入（明细）'!C:C&lt;=$L$4),ROW(),"-")</f>
        <v>-</v>
      </c>
    </row>
    <row r="46942" customHeight="1" spans="2:2">
      <c r="B46942" s="62" t="str">
        <f>IF(AND('领用录入（明细）'!D:D=$F$4,'领用录入（明细）'!C:C&gt;=$J$4,'领用录入（明细）'!C:C&lt;=$L$4),ROW(),"-")</f>
        <v>-</v>
      </c>
    </row>
    <row r="46943" customHeight="1" spans="2:2">
      <c r="B46943" s="62" t="str">
        <f>IF(AND('领用录入（明细）'!D:D=$F$4,'领用录入（明细）'!C:C&gt;=$J$4,'领用录入（明细）'!C:C&lt;=$L$4),ROW(),"-")</f>
        <v>-</v>
      </c>
    </row>
    <row r="46944" customHeight="1" spans="2:2">
      <c r="B46944" s="62" t="str">
        <f>IF(AND('领用录入（明细）'!D:D=$F$4,'领用录入（明细）'!C:C&gt;=$J$4,'领用录入（明细）'!C:C&lt;=$L$4),ROW(),"-")</f>
        <v>-</v>
      </c>
    </row>
    <row r="46945" customHeight="1" spans="2:2">
      <c r="B46945" s="62" t="str">
        <f>IF(AND('领用录入（明细）'!D:D=$F$4,'领用录入（明细）'!C:C&gt;=$J$4,'领用录入（明细）'!C:C&lt;=$L$4),ROW(),"-")</f>
        <v>-</v>
      </c>
    </row>
    <row r="46946" customHeight="1" spans="2:2">
      <c r="B46946" s="62" t="str">
        <f>IF(AND('领用录入（明细）'!D:D=$F$4,'领用录入（明细）'!C:C&gt;=$J$4,'领用录入（明细）'!C:C&lt;=$L$4),ROW(),"-")</f>
        <v>-</v>
      </c>
    </row>
    <row r="46947" customHeight="1" spans="2:2">
      <c r="B46947" s="62" t="str">
        <f>IF(AND('领用录入（明细）'!D:D=$F$4,'领用录入（明细）'!C:C&gt;=$J$4,'领用录入（明细）'!C:C&lt;=$L$4),ROW(),"-")</f>
        <v>-</v>
      </c>
    </row>
    <row r="46948" customHeight="1" spans="2:2">
      <c r="B46948" s="62" t="str">
        <f>IF(AND('领用录入（明细）'!D:D=$F$4,'领用录入（明细）'!C:C&gt;=$J$4,'领用录入（明细）'!C:C&lt;=$L$4),ROW(),"-")</f>
        <v>-</v>
      </c>
    </row>
    <row r="46949" customHeight="1" spans="2:2">
      <c r="B46949" s="62" t="str">
        <f>IF(AND('领用录入（明细）'!D:D=$F$4,'领用录入（明细）'!C:C&gt;=$J$4,'领用录入（明细）'!C:C&lt;=$L$4),ROW(),"-")</f>
        <v>-</v>
      </c>
    </row>
    <row r="46950" customHeight="1" spans="2:2">
      <c r="B46950" s="62" t="str">
        <f>IF(AND('领用录入（明细）'!D:D=$F$4,'领用录入（明细）'!C:C&gt;=$J$4,'领用录入（明细）'!C:C&lt;=$L$4),ROW(),"-")</f>
        <v>-</v>
      </c>
    </row>
    <row r="46951" customHeight="1" spans="2:2">
      <c r="B46951" s="62" t="str">
        <f>IF(AND('领用录入（明细）'!D:D=$F$4,'领用录入（明细）'!C:C&gt;=$J$4,'领用录入（明细）'!C:C&lt;=$L$4),ROW(),"-")</f>
        <v>-</v>
      </c>
    </row>
    <row r="46952" customHeight="1" spans="2:2">
      <c r="B46952" s="62" t="str">
        <f>IF(AND('领用录入（明细）'!D:D=$F$4,'领用录入（明细）'!C:C&gt;=$J$4,'领用录入（明细）'!C:C&lt;=$L$4),ROW(),"-")</f>
        <v>-</v>
      </c>
    </row>
    <row r="46953" customHeight="1" spans="2:2">
      <c r="B46953" s="62" t="str">
        <f>IF(AND('领用录入（明细）'!D:D=$F$4,'领用录入（明细）'!C:C&gt;=$J$4,'领用录入（明细）'!C:C&lt;=$L$4),ROW(),"-")</f>
        <v>-</v>
      </c>
    </row>
    <row r="46954" customHeight="1" spans="2:2">
      <c r="B46954" s="62" t="str">
        <f>IF(AND('领用录入（明细）'!D:D=$F$4,'领用录入（明细）'!C:C&gt;=$J$4,'领用录入（明细）'!C:C&lt;=$L$4),ROW(),"-")</f>
        <v>-</v>
      </c>
    </row>
    <row r="46955" customHeight="1" spans="2:2">
      <c r="B46955" s="62" t="str">
        <f>IF(AND('领用录入（明细）'!D:D=$F$4,'领用录入（明细）'!C:C&gt;=$J$4,'领用录入（明细）'!C:C&lt;=$L$4),ROW(),"-")</f>
        <v>-</v>
      </c>
    </row>
    <row r="46956" customHeight="1" spans="2:2">
      <c r="B46956" s="62" t="str">
        <f>IF(AND('领用录入（明细）'!D:D=$F$4,'领用录入（明细）'!C:C&gt;=$J$4,'领用录入（明细）'!C:C&lt;=$L$4),ROW(),"-")</f>
        <v>-</v>
      </c>
    </row>
    <row r="46957" customHeight="1" spans="2:2">
      <c r="B46957" s="62" t="str">
        <f>IF(AND('领用录入（明细）'!D:D=$F$4,'领用录入（明细）'!C:C&gt;=$J$4,'领用录入（明细）'!C:C&lt;=$L$4),ROW(),"-")</f>
        <v>-</v>
      </c>
    </row>
    <row r="46958" customHeight="1" spans="2:2">
      <c r="B46958" s="62" t="str">
        <f>IF(AND('领用录入（明细）'!D:D=$F$4,'领用录入（明细）'!C:C&gt;=$J$4,'领用录入（明细）'!C:C&lt;=$L$4),ROW(),"-")</f>
        <v>-</v>
      </c>
    </row>
    <row r="46959" customHeight="1" spans="2:2">
      <c r="B46959" s="62" t="str">
        <f>IF(AND('领用录入（明细）'!D:D=$F$4,'领用录入（明细）'!C:C&gt;=$J$4,'领用录入（明细）'!C:C&lt;=$L$4),ROW(),"-")</f>
        <v>-</v>
      </c>
    </row>
    <row r="46960" customHeight="1" spans="2:2">
      <c r="B46960" s="62" t="str">
        <f>IF(AND('领用录入（明细）'!D:D=$F$4,'领用录入（明细）'!C:C&gt;=$J$4,'领用录入（明细）'!C:C&lt;=$L$4),ROW(),"-")</f>
        <v>-</v>
      </c>
    </row>
    <row r="46961" customHeight="1" spans="2:2">
      <c r="B46961" s="62" t="str">
        <f>IF(AND('领用录入（明细）'!D:D=$F$4,'领用录入（明细）'!C:C&gt;=$J$4,'领用录入（明细）'!C:C&lt;=$L$4),ROW(),"-")</f>
        <v>-</v>
      </c>
    </row>
    <row r="46962" customHeight="1" spans="2:2">
      <c r="B46962" s="62" t="str">
        <f>IF(AND('领用录入（明细）'!D:D=$F$4,'领用录入（明细）'!C:C&gt;=$J$4,'领用录入（明细）'!C:C&lt;=$L$4),ROW(),"-")</f>
        <v>-</v>
      </c>
    </row>
    <row r="46963" customHeight="1" spans="2:2">
      <c r="B46963" s="62" t="str">
        <f>IF(AND('领用录入（明细）'!D:D=$F$4,'领用录入（明细）'!C:C&gt;=$J$4,'领用录入（明细）'!C:C&lt;=$L$4),ROW(),"-")</f>
        <v>-</v>
      </c>
    </row>
    <row r="46964" customHeight="1" spans="2:2">
      <c r="B46964" s="62" t="str">
        <f>IF(AND('领用录入（明细）'!D:D=$F$4,'领用录入（明细）'!C:C&gt;=$J$4,'领用录入（明细）'!C:C&lt;=$L$4),ROW(),"-")</f>
        <v>-</v>
      </c>
    </row>
    <row r="46965" customHeight="1" spans="2:2">
      <c r="B46965" s="62" t="str">
        <f>IF(AND('领用录入（明细）'!D:D=$F$4,'领用录入（明细）'!C:C&gt;=$J$4,'领用录入（明细）'!C:C&lt;=$L$4),ROW(),"-")</f>
        <v>-</v>
      </c>
    </row>
    <row r="46966" customHeight="1" spans="2:2">
      <c r="B46966" s="62" t="str">
        <f>IF(AND('领用录入（明细）'!D:D=$F$4,'领用录入（明细）'!C:C&gt;=$J$4,'领用录入（明细）'!C:C&lt;=$L$4),ROW(),"-")</f>
        <v>-</v>
      </c>
    </row>
    <row r="46967" customHeight="1" spans="2:2">
      <c r="B46967" s="62" t="str">
        <f>IF(AND('领用录入（明细）'!D:D=$F$4,'领用录入（明细）'!C:C&gt;=$J$4,'领用录入（明细）'!C:C&lt;=$L$4),ROW(),"-")</f>
        <v>-</v>
      </c>
    </row>
    <row r="46968" customHeight="1" spans="2:2">
      <c r="B46968" s="62" t="str">
        <f>IF(AND('领用录入（明细）'!D:D=$F$4,'领用录入（明细）'!C:C&gt;=$J$4,'领用录入（明细）'!C:C&lt;=$L$4),ROW(),"-")</f>
        <v>-</v>
      </c>
    </row>
    <row r="46969" customHeight="1" spans="2:2">
      <c r="B46969" s="62" t="str">
        <f>IF(AND('领用录入（明细）'!D:D=$F$4,'领用录入（明细）'!C:C&gt;=$J$4,'领用录入（明细）'!C:C&lt;=$L$4),ROW(),"-")</f>
        <v>-</v>
      </c>
    </row>
    <row r="46970" customHeight="1" spans="2:2">
      <c r="B46970" s="62" t="str">
        <f>IF(AND('领用录入（明细）'!D:D=$F$4,'领用录入（明细）'!C:C&gt;=$J$4,'领用录入（明细）'!C:C&lt;=$L$4),ROW(),"-")</f>
        <v>-</v>
      </c>
    </row>
    <row r="46971" customHeight="1" spans="2:2">
      <c r="B46971" s="62" t="str">
        <f>IF(AND('领用录入（明细）'!D:D=$F$4,'领用录入（明细）'!C:C&gt;=$J$4,'领用录入（明细）'!C:C&lt;=$L$4),ROW(),"-")</f>
        <v>-</v>
      </c>
    </row>
    <row r="46972" customHeight="1" spans="2:2">
      <c r="B46972" s="62" t="str">
        <f>IF(AND('领用录入（明细）'!D:D=$F$4,'领用录入（明细）'!C:C&gt;=$J$4,'领用录入（明细）'!C:C&lt;=$L$4),ROW(),"-")</f>
        <v>-</v>
      </c>
    </row>
    <row r="46973" customHeight="1" spans="2:2">
      <c r="B46973" s="62" t="str">
        <f>IF(AND('领用录入（明细）'!D:D=$F$4,'领用录入（明细）'!C:C&gt;=$J$4,'领用录入（明细）'!C:C&lt;=$L$4),ROW(),"-")</f>
        <v>-</v>
      </c>
    </row>
    <row r="46974" customHeight="1" spans="2:2">
      <c r="B46974" s="62" t="str">
        <f>IF(AND('领用录入（明细）'!D:D=$F$4,'领用录入（明细）'!C:C&gt;=$J$4,'领用录入（明细）'!C:C&lt;=$L$4),ROW(),"-")</f>
        <v>-</v>
      </c>
    </row>
    <row r="46975" customHeight="1" spans="2:2">
      <c r="B46975" s="62" t="str">
        <f>IF(AND('领用录入（明细）'!D:D=$F$4,'领用录入（明细）'!C:C&gt;=$J$4,'领用录入（明细）'!C:C&lt;=$L$4),ROW(),"-")</f>
        <v>-</v>
      </c>
    </row>
    <row r="46976" customHeight="1" spans="2:2">
      <c r="B46976" s="62" t="str">
        <f>IF(AND('领用录入（明细）'!D:D=$F$4,'领用录入（明细）'!C:C&gt;=$J$4,'领用录入（明细）'!C:C&lt;=$L$4),ROW(),"-")</f>
        <v>-</v>
      </c>
    </row>
    <row r="46977" customHeight="1" spans="2:2">
      <c r="B46977" s="62" t="str">
        <f>IF(AND('领用录入（明细）'!D:D=$F$4,'领用录入（明细）'!C:C&gt;=$J$4,'领用录入（明细）'!C:C&lt;=$L$4),ROW(),"-")</f>
        <v>-</v>
      </c>
    </row>
    <row r="46978" customHeight="1" spans="2:2">
      <c r="B46978" s="62" t="str">
        <f>IF(AND('领用录入（明细）'!D:D=$F$4,'领用录入（明细）'!C:C&gt;=$J$4,'领用录入（明细）'!C:C&lt;=$L$4),ROW(),"-")</f>
        <v>-</v>
      </c>
    </row>
    <row r="46979" customHeight="1" spans="2:2">
      <c r="B46979" s="62" t="str">
        <f>IF(AND('领用录入（明细）'!D:D=$F$4,'领用录入（明细）'!C:C&gt;=$J$4,'领用录入（明细）'!C:C&lt;=$L$4),ROW(),"-")</f>
        <v>-</v>
      </c>
    </row>
    <row r="46980" customHeight="1" spans="2:2">
      <c r="B46980" s="62" t="str">
        <f>IF(AND('领用录入（明细）'!D:D=$F$4,'领用录入（明细）'!C:C&gt;=$J$4,'领用录入（明细）'!C:C&lt;=$L$4),ROW(),"-")</f>
        <v>-</v>
      </c>
    </row>
    <row r="46981" customHeight="1" spans="2:2">
      <c r="B46981" s="62" t="str">
        <f>IF(AND('领用录入（明细）'!D:D=$F$4,'领用录入（明细）'!C:C&gt;=$J$4,'领用录入（明细）'!C:C&lt;=$L$4),ROW(),"-")</f>
        <v>-</v>
      </c>
    </row>
    <row r="46982" customHeight="1" spans="2:2">
      <c r="B46982" s="62" t="str">
        <f>IF(AND('领用录入（明细）'!D:D=$F$4,'领用录入（明细）'!C:C&gt;=$J$4,'领用录入（明细）'!C:C&lt;=$L$4),ROW(),"-")</f>
        <v>-</v>
      </c>
    </row>
    <row r="46983" customHeight="1" spans="2:2">
      <c r="B46983" s="62" t="str">
        <f>IF(AND('领用录入（明细）'!D:D=$F$4,'领用录入（明细）'!C:C&gt;=$J$4,'领用录入（明细）'!C:C&lt;=$L$4),ROW(),"-")</f>
        <v>-</v>
      </c>
    </row>
    <row r="46984" customHeight="1" spans="2:2">
      <c r="B46984" s="62" t="str">
        <f>IF(AND('领用录入（明细）'!D:D=$F$4,'领用录入（明细）'!C:C&gt;=$J$4,'领用录入（明细）'!C:C&lt;=$L$4),ROW(),"-")</f>
        <v>-</v>
      </c>
    </row>
    <row r="46985" customHeight="1" spans="2:2">
      <c r="B46985" s="62" t="str">
        <f>IF(AND('领用录入（明细）'!D:D=$F$4,'领用录入（明细）'!C:C&gt;=$J$4,'领用录入（明细）'!C:C&lt;=$L$4),ROW(),"-")</f>
        <v>-</v>
      </c>
    </row>
    <row r="46986" customHeight="1" spans="2:2">
      <c r="B46986" s="62" t="str">
        <f>IF(AND('领用录入（明细）'!D:D=$F$4,'领用录入（明细）'!C:C&gt;=$J$4,'领用录入（明细）'!C:C&lt;=$L$4),ROW(),"-")</f>
        <v>-</v>
      </c>
    </row>
    <row r="46987" customHeight="1" spans="2:2">
      <c r="B46987" s="62" t="str">
        <f>IF(AND('领用录入（明细）'!D:D=$F$4,'领用录入（明细）'!C:C&gt;=$J$4,'领用录入（明细）'!C:C&lt;=$L$4),ROW(),"-")</f>
        <v>-</v>
      </c>
    </row>
    <row r="46988" customHeight="1" spans="2:2">
      <c r="B46988" s="62" t="str">
        <f>IF(AND('领用录入（明细）'!D:D=$F$4,'领用录入（明细）'!C:C&gt;=$J$4,'领用录入（明细）'!C:C&lt;=$L$4),ROW(),"-")</f>
        <v>-</v>
      </c>
    </row>
    <row r="46989" customHeight="1" spans="2:2">
      <c r="B46989" s="62" t="str">
        <f>IF(AND('领用录入（明细）'!D:D=$F$4,'领用录入（明细）'!C:C&gt;=$J$4,'领用录入（明细）'!C:C&lt;=$L$4),ROW(),"-")</f>
        <v>-</v>
      </c>
    </row>
    <row r="46990" customHeight="1" spans="2:2">
      <c r="B46990" s="62" t="str">
        <f>IF(AND('领用录入（明细）'!D:D=$F$4,'领用录入（明细）'!C:C&gt;=$J$4,'领用录入（明细）'!C:C&lt;=$L$4),ROW(),"-")</f>
        <v>-</v>
      </c>
    </row>
    <row r="46991" customHeight="1" spans="2:2">
      <c r="B46991" s="62" t="str">
        <f>IF(AND('领用录入（明细）'!D:D=$F$4,'领用录入（明细）'!C:C&gt;=$J$4,'领用录入（明细）'!C:C&lt;=$L$4),ROW(),"-")</f>
        <v>-</v>
      </c>
    </row>
    <row r="46992" customHeight="1" spans="2:2">
      <c r="B46992" s="62" t="str">
        <f>IF(AND('领用录入（明细）'!D:D=$F$4,'领用录入（明细）'!C:C&gt;=$J$4,'领用录入（明细）'!C:C&lt;=$L$4),ROW(),"-")</f>
        <v>-</v>
      </c>
    </row>
    <row r="46993" customHeight="1" spans="2:2">
      <c r="B46993" s="62" t="str">
        <f>IF(AND('领用录入（明细）'!D:D=$F$4,'领用录入（明细）'!C:C&gt;=$J$4,'领用录入（明细）'!C:C&lt;=$L$4),ROW(),"-")</f>
        <v>-</v>
      </c>
    </row>
    <row r="46994" customHeight="1" spans="2:2">
      <c r="B46994" s="62" t="str">
        <f>IF(AND('领用录入（明细）'!D:D=$F$4,'领用录入（明细）'!C:C&gt;=$J$4,'领用录入（明细）'!C:C&lt;=$L$4),ROW(),"-")</f>
        <v>-</v>
      </c>
    </row>
    <row r="46995" customHeight="1" spans="2:2">
      <c r="B46995" s="62" t="str">
        <f>IF(AND('领用录入（明细）'!D:D=$F$4,'领用录入（明细）'!C:C&gt;=$J$4,'领用录入（明细）'!C:C&lt;=$L$4),ROW(),"-")</f>
        <v>-</v>
      </c>
    </row>
    <row r="46996" customHeight="1" spans="2:2">
      <c r="B46996" s="62" t="str">
        <f>IF(AND('领用录入（明细）'!D:D=$F$4,'领用录入（明细）'!C:C&gt;=$J$4,'领用录入（明细）'!C:C&lt;=$L$4),ROW(),"-")</f>
        <v>-</v>
      </c>
    </row>
    <row r="46997" customHeight="1" spans="2:2">
      <c r="B46997" s="62" t="str">
        <f>IF(AND('领用录入（明细）'!D:D=$F$4,'领用录入（明细）'!C:C&gt;=$J$4,'领用录入（明细）'!C:C&lt;=$L$4),ROW(),"-")</f>
        <v>-</v>
      </c>
    </row>
    <row r="46998" customHeight="1" spans="2:2">
      <c r="B46998" s="62" t="str">
        <f>IF(AND('领用录入（明细）'!D:D=$F$4,'领用录入（明细）'!C:C&gt;=$J$4,'领用录入（明细）'!C:C&lt;=$L$4),ROW(),"-")</f>
        <v>-</v>
      </c>
    </row>
    <row r="46999" customHeight="1" spans="2:2">
      <c r="B46999" s="62" t="str">
        <f>IF(AND('领用录入（明细）'!D:D=$F$4,'领用录入（明细）'!C:C&gt;=$J$4,'领用录入（明细）'!C:C&lt;=$L$4),ROW(),"-")</f>
        <v>-</v>
      </c>
    </row>
    <row r="47000" customHeight="1" spans="2:2">
      <c r="B47000" s="62" t="str">
        <f>IF(AND('领用录入（明细）'!D:D=$F$4,'领用录入（明细）'!C:C&gt;=$J$4,'领用录入（明细）'!C:C&lt;=$L$4),ROW(),"-")</f>
        <v>-</v>
      </c>
    </row>
    <row r="47001" customHeight="1" spans="2:2">
      <c r="B47001" s="62" t="str">
        <f>IF(AND('领用录入（明细）'!D:D=$F$4,'领用录入（明细）'!C:C&gt;=$J$4,'领用录入（明细）'!C:C&lt;=$L$4),ROW(),"-")</f>
        <v>-</v>
      </c>
    </row>
    <row r="47002" customHeight="1" spans="2:2">
      <c r="B47002" s="62" t="str">
        <f>IF(AND('领用录入（明细）'!D:D=$F$4,'领用录入（明细）'!C:C&gt;=$J$4,'领用录入（明细）'!C:C&lt;=$L$4),ROW(),"-")</f>
        <v>-</v>
      </c>
    </row>
    <row r="47003" customHeight="1" spans="2:2">
      <c r="B47003" s="62" t="str">
        <f>IF(AND('领用录入（明细）'!D:D=$F$4,'领用录入（明细）'!C:C&gt;=$J$4,'领用录入（明细）'!C:C&lt;=$L$4),ROW(),"-")</f>
        <v>-</v>
      </c>
    </row>
    <row r="47004" customHeight="1" spans="2:2">
      <c r="B47004" s="62" t="str">
        <f>IF(AND('领用录入（明细）'!D:D=$F$4,'领用录入（明细）'!C:C&gt;=$J$4,'领用录入（明细）'!C:C&lt;=$L$4),ROW(),"-")</f>
        <v>-</v>
      </c>
    </row>
    <row r="47005" customHeight="1" spans="2:2">
      <c r="B47005" s="62" t="str">
        <f>IF(AND('领用录入（明细）'!D:D=$F$4,'领用录入（明细）'!C:C&gt;=$J$4,'领用录入（明细）'!C:C&lt;=$L$4),ROW(),"-")</f>
        <v>-</v>
      </c>
    </row>
    <row r="47006" customHeight="1" spans="2:2">
      <c r="B47006" s="62" t="str">
        <f>IF(AND('领用录入（明细）'!D:D=$F$4,'领用录入（明细）'!C:C&gt;=$J$4,'领用录入（明细）'!C:C&lt;=$L$4),ROW(),"-")</f>
        <v>-</v>
      </c>
    </row>
    <row r="47007" customHeight="1" spans="2:2">
      <c r="B47007" s="62" t="str">
        <f>IF(AND('领用录入（明细）'!D:D=$F$4,'领用录入（明细）'!C:C&gt;=$J$4,'领用录入（明细）'!C:C&lt;=$L$4),ROW(),"-")</f>
        <v>-</v>
      </c>
    </row>
    <row r="47008" customHeight="1" spans="2:2">
      <c r="B47008" s="62" t="str">
        <f>IF(AND('领用录入（明细）'!D:D=$F$4,'领用录入（明细）'!C:C&gt;=$J$4,'领用录入（明细）'!C:C&lt;=$L$4),ROW(),"-")</f>
        <v>-</v>
      </c>
    </row>
    <row r="47009" customHeight="1" spans="2:2">
      <c r="B47009" s="62" t="str">
        <f>IF(AND('领用录入（明细）'!D:D=$F$4,'领用录入（明细）'!C:C&gt;=$J$4,'领用录入（明细）'!C:C&lt;=$L$4),ROW(),"-")</f>
        <v>-</v>
      </c>
    </row>
    <row r="47010" customHeight="1" spans="2:2">
      <c r="B47010" s="62" t="str">
        <f>IF(AND('领用录入（明细）'!D:D=$F$4,'领用录入（明细）'!C:C&gt;=$J$4,'领用录入（明细）'!C:C&lt;=$L$4),ROW(),"-")</f>
        <v>-</v>
      </c>
    </row>
    <row r="47011" customHeight="1" spans="2:2">
      <c r="B47011" s="62" t="str">
        <f>IF(AND('领用录入（明细）'!D:D=$F$4,'领用录入（明细）'!C:C&gt;=$J$4,'领用录入（明细）'!C:C&lt;=$L$4),ROW(),"-")</f>
        <v>-</v>
      </c>
    </row>
    <row r="47012" customHeight="1" spans="2:2">
      <c r="B47012" s="62" t="str">
        <f>IF(AND('领用录入（明细）'!D:D=$F$4,'领用录入（明细）'!C:C&gt;=$J$4,'领用录入（明细）'!C:C&lt;=$L$4),ROW(),"-")</f>
        <v>-</v>
      </c>
    </row>
    <row r="47013" customHeight="1" spans="2:2">
      <c r="B47013" s="62" t="str">
        <f>IF(AND('领用录入（明细）'!D:D=$F$4,'领用录入（明细）'!C:C&gt;=$J$4,'领用录入（明细）'!C:C&lt;=$L$4),ROW(),"-")</f>
        <v>-</v>
      </c>
    </row>
    <row r="47014" customHeight="1" spans="2:2">
      <c r="B47014" s="62" t="str">
        <f>IF(AND('领用录入（明细）'!D:D=$F$4,'领用录入（明细）'!C:C&gt;=$J$4,'领用录入（明细）'!C:C&lt;=$L$4),ROW(),"-")</f>
        <v>-</v>
      </c>
    </row>
    <row r="47015" customHeight="1" spans="2:2">
      <c r="B47015" s="62" t="str">
        <f>IF(AND('领用录入（明细）'!D:D=$F$4,'领用录入（明细）'!C:C&gt;=$J$4,'领用录入（明细）'!C:C&lt;=$L$4),ROW(),"-")</f>
        <v>-</v>
      </c>
    </row>
    <row r="47016" customHeight="1" spans="2:2">
      <c r="B47016" s="62" t="str">
        <f>IF(AND('领用录入（明细）'!D:D=$F$4,'领用录入（明细）'!C:C&gt;=$J$4,'领用录入（明细）'!C:C&lt;=$L$4),ROW(),"-")</f>
        <v>-</v>
      </c>
    </row>
    <row r="47017" customHeight="1" spans="2:2">
      <c r="B47017" s="62" t="str">
        <f>IF(AND('领用录入（明细）'!D:D=$F$4,'领用录入（明细）'!C:C&gt;=$J$4,'领用录入（明细）'!C:C&lt;=$L$4),ROW(),"-")</f>
        <v>-</v>
      </c>
    </row>
    <row r="47018" customHeight="1" spans="2:2">
      <c r="B47018" s="62" t="str">
        <f>IF(AND('领用录入（明细）'!D:D=$F$4,'领用录入（明细）'!C:C&gt;=$J$4,'领用录入（明细）'!C:C&lt;=$L$4),ROW(),"-")</f>
        <v>-</v>
      </c>
    </row>
    <row r="47019" customHeight="1" spans="2:2">
      <c r="B47019" s="62" t="str">
        <f>IF(AND('领用录入（明细）'!D:D=$F$4,'领用录入（明细）'!C:C&gt;=$J$4,'领用录入（明细）'!C:C&lt;=$L$4),ROW(),"-")</f>
        <v>-</v>
      </c>
    </row>
    <row r="47020" customHeight="1" spans="2:2">
      <c r="B47020" s="62" t="str">
        <f>IF(AND('领用录入（明细）'!D:D=$F$4,'领用录入（明细）'!C:C&gt;=$J$4,'领用录入（明细）'!C:C&lt;=$L$4),ROW(),"-")</f>
        <v>-</v>
      </c>
    </row>
    <row r="47021" customHeight="1" spans="2:2">
      <c r="B47021" s="62" t="str">
        <f>IF(AND('领用录入（明细）'!D:D=$F$4,'领用录入（明细）'!C:C&gt;=$J$4,'领用录入（明细）'!C:C&lt;=$L$4),ROW(),"-")</f>
        <v>-</v>
      </c>
    </row>
    <row r="47022" customHeight="1" spans="2:2">
      <c r="B47022" s="62" t="str">
        <f>IF(AND('领用录入（明细）'!D:D=$F$4,'领用录入（明细）'!C:C&gt;=$J$4,'领用录入（明细）'!C:C&lt;=$L$4),ROW(),"-")</f>
        <v>-</v>
      </c>
    </row>
    <row r="47023" customHeight="1" spans="2:2">
      <c r="B47023" s="62" t="str">
        <f>IF(AND('领用录入（明细）'!D:D=$F$4,'领用录入（明细）'!C:C&gt;=$J$4,'领用录入（明细）'!C:C&lt;=$L$4),ROW(),"-")</f>
        <v>-</v>
      </c>
    </row>
    <row r="47024" customHeight="1" spans="2:2">
      <c r="B47024" s="62" t="str">
        <f>IF(AND('领用录入（明细）'!D:D=$F$4,'领用录入（明细）'!C:C&gt;=$J$4,'领用录入（明细）'!C:C&lt;=$L$4),ROW(),"-")</f>
        <v>-</v>
      </c>
    </row>
    <row r="47025" customHeight="1" spans="2:2">
      <c r="B47025" s="62" t="str">
        <f>IF(AND('领用录入（明细）'!D:D=$F$4,'领用录入（明细）'!C:C&gt;=$J$4,'领用录入（明细）'!C:C&lt;=$L$4),ROW(),"-")</f>
        <v>-</v>
      </c>
    </row>
    <row r="47026" customHeight="1" spans="2:2">
      <c r="B47026" s="62" t="str">
        <f>IF(AND('领用录入（明细）'!D:D=$F$4,'领用录入（明细）'!C:C&gt;=$J$4,'领用录入（明细）'!C:C&lt;=$L$4),ROW(),"-")</f>
        <v>-</v>
      </c>
    </row>
    <row r="47027" customHeight="1" spans="2:2">
      <c r="B47027" s="62" t="str">
        <f>IF(AND('领用录入（明细）'!D:D=$F$4,'领用录入（明细）'!C:C&gt;=$J$4,'领用录入（明细）'!C:C&lt;=$L$4),ROW(),"-")</f>
        <v>-</v>
      </c>
    </row>
    <row r="47028" customHeight="1" spans="2:2">
      <c r="B47028" s="62" t="str">
        <f>IF(AND('领用录入（明细）'!D:D=$F$4,'领用录入（明细）'!C:C&gt;=$J$4,'领用录入（明细）'!C:C&lt;=$L$4),ROW(),"-")</f>
        <v>-</v>
      </c>
    </row>
    <row r="47029" customHeight="1" spans="2:2">
      <c r="B47029" s="62" t="str">
        <f>IF(AND('领用录入（明细）'!D:D=$F$4,'领用录入（明细）'!C:C&gt;=$J$4,'领用录入（明细）'!C:C&lt;=$L$4),ROW(),"-")</f>
        <v>-</v>
      </c>
    </row>
    <row r="47030" customHeight="1" spans="2:2">
      <c r="B47030" s="62" t="str">
        <f>IF(AND('领用录入（明细）'!D:D=$F$4,'领用录入（明细）'!C:C&gt;=$J$4,'领用录入（明细）'!C:C&lt;=$L$4),ROW(),"-")</f>
        <v>-</v>
      </c>
    </row>
    <row r="47031" customHeight="1" spans="2:2">
      <c r="B47031" s="62" t="str">
        <f>IF(AND('领用录入（明细）'!D:D=$F$4,'领用录入（明细）'!C:C&gt;=$J$4,'领用录入（明细）'!C:C&lt;=$L$4),ROW(),"-")</f>
        <v>-</v>
      </c>
    </row>
    <row r="47032" customHeight="1" spans="2:2">
      <c r="B47032" s="62" t="str">
        <f>IF(AND('领用录入（明细）'!D:D=$F$4,'领用录入（明细）'!C:C&gt;=$J$4,'领用录入（明细）'!C:C&lt;=$L$4),ROW(),"-")</f>
        <v>-</v>
      </c>
    </row>
    <row r="47033" customHeight="1" spans="2:2">
      <c r="B47033" s="62" t="str">
        <f>IF(AND('领用录入（明细）'!D:D=$F$4,'领用录入（明细）'!C:C&gt;=$J$4,'领用录入（明细）'!C:C&lt;=$L$4),ROW(),"-")</f>
        <v>-</v>
      </c>
    </row>
    <row r="47034" customHeight="1" spans="2:2">
      <c r="B47034" s="62" t="str">
        <f>IF(AND('领用录入（明细）'!D:D=$F$4,'领用录入（明细）'!C:C&gt;=$J$4,'领用录入（明细）'!C:C&lt;=$L$4),ROW(),"-")</f>
        <v>-</v>
      </c>
    </row>
    <row r="47035" customHeight="1" spans="2:2">
      <c r="B47035" s="62" t="str">
        <f>IF(AND('领用录入（明细）'!D:D=$F$4,'领用录入（明细）'!C:C&gt;=$J$4,'领用录入（明细）'!C:C&lt;=$L$4),ROW(),"-")</f>
        <v>-</v>
      </c>
    </row>
    <row r="47036" customHeight="1" spans="2:2">
      <c r="B47036" s="62" t="str">
        <f>IF(AND('领用录入（明细）'!D:D=$F$4,'领用录入（明细）'!C:C&gt;=$J$4,'领用录入（明细）'!C:C&lt;=$L$4),ROW(),"-")</f>
        <v>-</v>
      </c>
    </row>
    <row r="47037" customHeight="1" spans="2:2">
      <c r="B47037" s="62" t="str">
        <f>IF(AND('领用录入（明细）'!D:D=$F$4,'领用录入（明细）'!C:C&gt;=$J$4,'领用录入（明细）'!C:C&lt;=$L$4),ROW(),"-")</f>
        <v>-</v>
      </c>
    </row>
    <row r="47038" customHeight="1" spans="2:2">
      <c r="B47038" s="62" t="str">
        <f>IF(AND('领用录入（明细）'!D:D=$F$4,'领用录入（明细）'!C:C&gt;=$J$4,'领用录入（明细）'!C:C&lt;=$L$4),ROW(),"-")</f>
        <v>-</v>
      </c>
    </row>
    <row r="47039" customHeight="1" spans="2:2">
      <c r="B47039" s="62" t="str">
        <f>IF(AND('领用录入（明细）'!D:D=$F$4,'领用录入（明细）'!C:C&gt;=$J$4,'领用录入（明细）'!C:C&lt;=$L$4),ROW(),"-")</f>
        <v>-</v>
      </c>
    </row>
    <row r="47040" customHeight="1" spans="2:2">
      <c r="B47040" s="62" t="str">
        <f>IF(AND('领用录入（明细）'!D:D=$F$4,'领用录入（明细）'!C:C&gt;=$J$4,'领用录入（明细）'!C:C&lt;=$L$4),ROW(),"-")</f>
        <v>-</v>
      </c>
    </row>
    <row r="47041" customHeight="1" spans="2:2">
      <c r="B47041" s="62" t="str">
        <f>IF(AND('领用录入（明细）'!D:D=$F$4,'领用录入（明细）'!C:C&gt;=$J$4,'领用录入（明细）'!C:C&lt;=$L$4),ROW(),"-")</f>
        <v>-</v>
      </c>
    </row>
    <row r="47042" customHeight="1" spans="2:2">
      <c r="B47042" s="62" t="str">
        <f>IF(AND('领用录入（明细）'!D:D=$F$4,'领用录入（明细）'!C:C&gt;=$J$4,'领用录入（明细）'!C:C&lt;=$L$4),ROW(),"-")</f>
        <v>-</v>
      </c>
    </row>
    <row r="47043" customHeight="1" spans="2:2">
      <c r="B47043" s="62" t="str">
        <f>IF(AND('领用录入（明细）'!D:D=$F$4,'领用录入（明细）'!C:C&gt;=$J$4,'领用录入（明细）'!C:C&lt;=$L$4),ROW(),"-")</f>
        <v>-</v>
      </c>
    </row>
    <row r="47044" customHeight="1" spans="2:2">
      <c r="B47044" s="62" t="str">
        <f>IF(AND('领用录入（明细）'!D:D=$F$4,'领用录入（明细）'!C:C&gt;=$J$4,'领用录入（明细）'!C:C&lt;=$L$4),ROW(),"-")</f>
        <v>-</v>
      </c>
    </row>
    <row r="47045" customHeight="1" spans="2:2">
      <c r="B47045" s="62" t="str">
        <f>IF(AND('领用录入（明细）'!D:D=$F$4,'领用录入（明细）'!C:C&gt;=$J$4,'领用录入（明细）'!C:C&lt;=$L$4),ROW(),"-")</f>
        <v>-</v>
      </c>
    </row>
    <row r="47046" customHeight="1" spans="2:2">
      <c r="B47046" s="62" t="str">
        <f>IF(AND('领用录入（明细）'!D:D=$F$4,'领用录入（明细）'!C:C&gt;=$J$4,'领用录入（明细）'!C:C&lt;=$L$4),ROW(),"-")</f>
        <v>-</v>
      </c>
    </row>
    <row r="47047" customHeight="1" spans="2:2">
      <c r="B47047" s="62" t="str">
        <f>IF(AND('领用录入（明细）'!D:D=$F$4,'领用录入（明细）'!C:C&gt;=$J$4,'领用录入（明细）'!C:C&lt;=$L$4),ROW(),"-")</f>
        <v>-</v>
      </c>
    </row>
    <row r="47048" customHeight="1" spans="2:2">
      <c r="B47048" s="62" t="str">
        <f>IF(AND('领用录入（明细）'!D:D=$F$4,'领用录入（明细）'!C:C&gt;=$J$4,'领用录入（明细）'!C:C&lt;=$L$4),ROW(),"-")</f>
        <v>-</v>
      </c>
    </row>
    <row r="47049" customHeight="1" spans="2:2">
      <c r="B47049" s="62" t="str">
        <f>IF(AND('领用录入（明细）'!D:D=$F$4,'领用录入（明细）'!C:C&gt;=$J$4,'领用录入（明细）'!C:C&lt;=$L$4),ROW(),"-")</f>
        <v>-</v>
      </c>
    </row>
    <row r="47050" customHeight="1" spans="2:2">
      <c r="B47050" s="62" t="str">
        <f>IF(AND('领用录入（明细）'!D:D=$F$4,'领用录入（明细）'!C:C&gt;=$J$4,'领用录入（明细）'!C:C&lt;=$L$4),ROW(),"-")</f>
        <v>-</v>
      </c>
    </row>
    <row r="47051" customHeight="1" spans="2:2">
      <c r="B47051" s="62" t="str">
        <f>IF(AND('领用录入（明细）'!D:D=$F$4,'领用录入（明细）'!C:C&gt;=$J$4,'领用录入（明细）'!C:C&lt;=$L$4),ROW(),"-")</f>
        <v>-</v>
      </c>
    </row>
    <row r="47052" customHeight="1" spans="2:2">
      <c r="B47052" s="62" t="str">
        <f>IF(AND('领用录入（明细）'!D:D=$F$4,'领用录入（明细）'!C:C&gt;=$J$4,'领用录入（明细）'!C:C&lt;=$L$4),ROW(),"-")</f>
        <v>-</v>
      </c>
    </row>
    <row r="47053" customHeight="1" spans="2:2">
      <c r="B47053" s="62" t="str">
        <f>IF(AND('领用录入（明细）'!D:D=$F$4,'领用录入（明细）'!C:C&gt;=$J$4,'领用录入（明细）'!C:C&lt;=$L$4),ROW(),"-")</f>
        <v>-</v>
      </c>
    </row>
    <row r="47054" customHeight="1" spans="2:2">
      <c r="B47054" s="62" t="str">
        <f>IF(AND('领用录入（明细）'!D:D=$F$4,'领用录入（明细）'!C:C&gt;=$J$4,'领用录入（明细）'!C:C&lt;=$L$4),ROW(),"-")</f>
        <v>-</v>
      </c>
    </row>
    <row r="47055" customHeight="1" spans="2:2">
      <c r="B47055" s="62" t="str">
        <f>IF(AND('领用录入（明细）'!D:D=$F$4,'领用录入（明细）'!C:C&gt;=$J$4,'领用录入（明细）'!C:C&lt;=$L$4),ROW(),"-")</f>
        <v>-</v>
      </c>
    </row>
    <row r="47056" customHeight="1" spans="2:2">
      <c r="B47056" s="62" t="str">
        <f>IF(AND('领用录入（明细）'!D:D=$F$4,'领用录入（明细）'!C:C&gt;=$J$4,'领用录入（明细）'!C:C&lt;=$L$4),ROW(),"-")</f>
        <v>-</v>
      </c>
    </row>
    <row r="47057" customHeight="1" spans="2:2">
      <c r="B47057" s="62" t="str">
        <f>IF(AND('领用录入（明细）'!D:D=$F$4,'领用录入（明细）'!C:C&gt;=$J$4,'领用录入（明细）'!C:C&lt;=$L$4),ROW(),"-")</f>
        <v>-</v>
      </c>
    </row>
    <row r="47058" customHeight="1" spans="2:2">
      <c r="B47058" s="62" t="str">
        <f>IF(AND('领用录入（明细）'!D:D=$F$4,'领用录入（明细）'!C:C&gt;=$J$4,'领用录入（明细）'!C:C&lt;=$L$4),ROW(),"-")</f>
        <v>-</v>
      </c>
    </row>
    <row r="47059" customHeight="1" spans="2:2">
      <c r="B47059" s="62" t="str">
        <f>IF(AND('领用录入（明细）'!D:D=$F$4,'领用录入（明细）'!C:C&gt;=$J$4,'领用录入（明细）'!C:C&lt;=$L$4),ROW(),"-")</f>
        <v>-</v>
      </c>
    </row>
    <row r="47060" customHeight="1" spans="2:2">
      <c r="B47060" s="62" t="str">
        <f>IF(AND('领用录入（明细）'!D:D=$F$4,'领用录入（明细）'!C:C&gt;=$J$4,'领用录入（明细）'!C:C&lt;=$L$4),ROW(),"-")</f>
        <v>-</v>
      </c>
    </row>
    <row r="47061" customHeight="1" spans="2:2">
      <c r="B47061" s="62" t="str">
        <f>IF(AND('领用录入（明细）'!D:D=$F$4,'领用录入（明细）'!C:C&gt;=$J$4,'领用录入（明细）'!C:C&lt;=$L$4),ROW(),"-")</f>
        <v>-</v>
      </c>
    </row>
    <row r="47062" customHeight="1" spans="2:2">
      <c r="B47062" s="62" t="str">
        <f>IF(AND('领用录入（明细）'!D:D=$F$4,'领用录入（明细）'!C:C&gt;=$J$4,'领用录入（明细）'!C:C&lt;=$L$4),ROW(),"-")</f>
        <v>-</v>
      </c>
    </row>
    <row r="47063" customHeight="1" spans="2:2">
      <c r="B47063" s="62" t="str">
        <f>IF(AND('领用录入（明细）'!D:D=$F$4,'领用录入（明细）'!C:C&gt;=$J$4,'领用录入（明细）'!C:C&lt;=$L$4),ROW(),"-")</f>
        <v>-</v>
      </c>
    </row>
    <row r="47064" customHeight="1" spans="2:2">
      <c r="B47064" s="62" t="str">
        <f>IF(AND('领用录入（明细）'!D:D=$F$4,'领用录入（明细）'!C:C&gt;=$J$4,'领用录入（明细）'!C:C&lt;=$L$4),ROW(),"-")</f>
        <v>-</v>
      </c>
    </row>
    <row r="47065" customHeight="1" spans="2:2">
      <c r="B47065" s="62" t="str">
        <f>IF(AND('领用录入（明细）'!D:D=$F$4,'领用录入（明细）'!C:C&gt;=$J$4,'领用录入（明细）'!C:C&lt;=$L$4),ROW(),"-")</f>
        <v>-</v>
      </c>
    </row>
    <row r="47066" customHeight="1" spans="2:2">
      <c r="B47066" s="62" t="str">
        <f>IF(AND('领用录入（明细）'!D:D=$F$4,'领用录入（明细）'!C:C&gt;=$J$4,'领用录入（明细）'!C:C&lt;=$L$4),ROW(),"-")</f>
        <v>-</v>
      </c>
    </row>
    <row r="47067" customHeight="1" spans="2:2">
      <c r="B47067" s="62" t="str">
        <f>IF(AND('领用录入（明细）'!D:D=$F$4,'领用录入（明细）'!C:C&gt;=$J$4,'领用录入（明细）'!C:C&lt;=$L$4),ROW(),"-")</f>
        <v>-</v>
      </c>
    </row>
    <row r="47068" customHeight="1" spans="2:2">
      <c r="B47068" s="62" t="str">
        <f>IF(AND('领用录入（明细）'!D:D=$F$4,'领用录入（明细）'!C:C&gt;=$J$4,'领用录入（明细）'!C:C&lt;=$L$4),ROW(),"-")</f>
        <v>-</v>
      </c>
    </row>
    <row r="47069" customHeight="1" spans="2:2">
      <c r="B47069" s="62" t="str">
        <f>IF(AND('领用录入（明细）'!D:D=$F$4,'领用录入（明细）'!C:C&gt;=$J$4,'领用录入（明细）'!C:C&lt;=$L$4),ROW(),"-")</f>
        <v>-</v>
      </c>
    </row>
    <row r="47070" customHeight="1" spans="2:2">
      <c r="B47070" s="62" t="str">
        <f>IF(AND('领用录入（明细）'!D:D=$F$4,'领用录入（明细）'!C:C&gt;=$J$4,'领用录入（明细）'!C:C&lt;=$L$4),ROW(),"-")</f>
        <v>-</v>
      </c>
    </row>
    <row r="47071" customHeight="1" spans="2:2">
      <c r="B47071" s="62" t="str">
        <f>IF(AND('领用录入（明细）'!D:D=$F$4,'领用录入（明细）'!C:C&gt;=$J$4,'领用录入（明细）'!C:C&lt;=$L$4),ROW(),"-")</f>
        <v>-</v>
      </c>
    </row>
    <row r="47072" customHeight="1" spans="2:2">
      <c r="B47072" s="62" t="str">
        <f>IF(AND('领用录入（明细）'!D:D=$F$4,'领用录入（明细）'!C:C&gt;=$J$4,'领用录入（明细）'!C:C&lt;=$L$4),ROW(),"-")</f>
        <v>-</v>
      </c>
    </row>
    <row r="47073" customHeight="1" spans="2:2">
      <c r="B47073" s="62" t="str">
        <f>IF(AND('领用录入（明细）'!D:D=$F$4,'领用录入（明细）'!C:C&gt;=$J$4,'领用录入（明细）'!C:C&lt;=$L$4),ROW(),"-")</f>
        <v>-</v>
      </c>
    </row>
    <row r="47074" customHeight="1" spans="2:2">
      <c r="B47074" s="62" t="str">
        <f>IF(AND('领用录入（明细）'!D:D=$F$4,'领用录入（明细）'!C:C&gt;=$J$4,'领用录入（明细）'!C:C&lt;=$L$4),ROW(),"-")</f>
        <v>-</v>
      </c>
    </row>
    <row r="47075" customHeight="1" spans="2:2">
      <c r="B47075" s="62" t="str">
        <f>IF(AND('领用录入（明细）'!D:D=$F$4,'领用录入（明细）'!C:C&gt;=$J$4,'领用录入（明细）'!C:C&lt;=$L$4),ROW(),"-")</f>
        <v>-</v>
      </c>
    </row>
    <row r="47076" customHeight="1" spans="2:2">
      <c r="B47076" s="62" t="str">
        <f>IF(AND('领用录入（明细）'!D:D=$F$4,'领用录入（明细）'!C:C&gt;=$J$4,'领用录入（明细）'!C:C&lt;=$L$4),ROW(),"-")</f>
        <v>-</v>
      </c>
    </row>
    <row r="47077" customHeight="1" spans="2:2">
      <c r="B47077" s="62" t="str">
        <f>IF(AND('领用录入（明细）'!D:D=$F$4,'领用录入（明细）'!C:C&gt;=$J$4,'领用录入（明细）'!C:C&lt;=$L$4),ROW(),"-")</f>
        <v>-</v>
      </c>
    </row>
    <row r="47078" customHeight="1" spans="2:2">
      <c r="B47078" s="62" t="str">
        <f>IF(AND('领用录入（明细）'!D:D=$F$4,'领用录入（明细）'!C:C&gt;=$J$4,'领用录入（明细）'!C:C&lt;=$L$4),ROW(),"-")</f>
        <v>-</v>
      </c>
    </row>
    <row r="47079" customHeight="1" spans="2:2">
      <c r="B47079" s="62" t="str">
        <f>IF(AND('领用录入（明细）'!D:D=$F$4,'领用录入（明细）'!C:C&gt;=$J$4,'领用录入（明细）'!C:C&lt;=$L$4),ROW(),"-")</f>
        <v>-</v>
      </c>
    </row>
    <row r="47080" customHeight="1" spans="2:2">
      <c r="B47080" s="62" t="str">
        <f>IF(AND('领用录入（明细）'!D:D=$F$4,'领用录入（明细）'!C:C&gt;=$J$4,'领用录入（明细）'!C:C&lt;=$L$4),ROW(),"-")</f>
        <v>-</v>
      </c>
    </row>
    <row r="47081" customHeight="1" spans="2:2">
      <c r="B47081" s="62" t="str">
        <f>IF(AND('领用录入（明细）'!D:D=$F$4,'领用录入（明细）'!C:C&gt;=$J$4,'领用录入（明细）'!C:C&lt;=$L$4),ROW(),"-")</f>
        <v>-</v>
      </c>
    </row>
    <row r="47082" customHeight="1" spans="2:2">
      <c r="B47082" s="62" t="str">
        <f>IF(AND('领用录入（明细）'!D:D=$F$4,'领用录入（明细）'!C:C&gt;=$J$4,'领用录入（明细）'!C:C&lt;=$L$4),ROW(),"-")</f>
        <v>-</v>
      </c>
    </row>
    <row r="47083" customHeight="1" spans="2:2">
      <c r="B47083" s="62" t="str">
        <f>IF(AND('领用录入（明细）'!D:D=$F$4,'领用录入（明细）'!C:C&gt;=$J$4,'领用录入（明细）'!C:C&lt;=$L$4),ROW(),"-")</f>
        <v>-</v>
      </c>
    </row>
    <row r="47084" customHeight="1" spans="2:2">
      <c r="B47084" s="62" t="str">
        <f>IF(AND('领用录入（明细）'!D:D=$F$4,'领用录入（明细）'!C:C&gt;=$J$4,'领用录入（明细）'!C:C&lt;=$L$4),ROW(),"-")</f>
        <v>-</v>
      </c>
    </row>
    <row r="47085" customHeight="1" spans="2:2">
      <c r="B47085" s="62" t="str">
        <f>IF(AND('领用录入（明细）'!D:D=$F$4,'领用录入（明细）'!C:C&gt;=$J$4,'领用录入（明细）'!C:C&lt;=$L$4),ROW(),"-")</f>
        <v>-</v>
      </c>
    </row>
    <row r="47086" customHeight="1" spans="2:2">
      <c r="B47086" s="62" t="str">
        <f>IF(AND('领用录入（明细）'!D:D=$F$4,'领用录入（明细）'!C:C&gt;=$J$4,'领用录入（明细）'!C:C&lt;=$L$4),ROW(),"-")</f>
        <v>-</v>
      </c>
    </row>
    <row r="47087" customHeight="1" spans="2:2">
      <c r="B47087" s="62" t="str">
        <f>IF(AND('领用录入（明细）'!D:D=$F$4,'领用录入（明细）'!C:C&gt;=$J$4,'领用录入（明细）'!C:C&lt;=$L$4),ROW(),"-")</f>
        <v>-</v>
      </c>
    </row>
    <row r="47088" customHeight="1" spans="2:2">
      <c r="B47088" s="62" t="str">
        <f>IF(AND('领用录入（明细）'!D:D=$F$4,'领用录入（明细）'!C:C&gt;=$J$4,'领用录入（明细）'!C:C&lt;=$L$4),ROW(),"-")</f>
        <v>-</v>
      </c>
    </row>
    <row r="47089" customHeight="1" spans="2:2">
      <c r="B47089" s="62" t="str">
        <f>IF(AND('领用录入（明细）'!D:D=$F$4,'领用录入（明细）'!C:C&gt;=$J$4,'领用录入（明细）'!C:C&lt;=$L$4),ROW(),"-")</f>
        <v>-</v>
      </c>
    </row>
    <row r="47090" customHeight="1" spans="2:2">
      <c r="B47090" s="62" t="str">
        <f>IF(AND('领用录入（明细）'!D:D=$F$4,'领用录入（明细）'!C:C&gt;=$J$4,'领用录入（明细）'!C:C&lt;=$L$4),ROW(),"-")</f>
        <v>-</v>
      </c>
    </row>
    <row r="47091" customHeight="1" spans="2:2">
      <c r="B47091" s="62" t="str">
        <f>IF(AND('领用录入（明细）'!D:D=$F$4,'领用录入（明细）'!C:C&gt;=$J$4,'领用录入（明细）'!C:C&lt;=$L$4),ROW(),"-")</f>
        <v>-</v>
      </c>
    </row>
    <row r="47092" customHeight="1" spans="2:2">
      <c r="B47092" s="62" t="str">
        <f>IF(AND('领用录入（明细）'!D:D=$F$4,'领用录入（明细）'!C:C&gt;=$J$4,'领用录入（明细）'!C:C&lt;=$L$4),ROW(),"-")</f>
        <v>-</v>
      </c>
    </row>
    <row r="47093" customHeight="1" spans="2:2">
      <c r="B47093" s="62" t="str">
        <f>IF(AND('领用录入（明细）'!D:D=$F$4,'领用录入（明细）'!C:C&gt;=$J$4,'领用录入（明细）'!C:C&lt;=$L$4),ROW(),"-")</f>
        <v>-</v>
      </c>
    </row>
    <row r="47094" customHeight="1" spans="2:2">
      <c r="B47094" s="62" t="str">
        <f>IF(AND('领用录入（明细）'!D:D=$F$4,'领用录入（明细）'!C:C&gt;=$J$4,'领用录入（明细）'!C:C&lt;=$L$4),ROW(),"-")</f>
        <v>-</v>
      </c>
    </row>
    <row r="47095" customHeight="1" spans="2:2">
      <c r="B47095" s="62" t="str">
        <f>IF(AND('领用录入（明细）'!D:D=$F$4,'领用录入（明细）'!C:C&gt;=$J$4,'领用录入（明细）'!C:C&lt;=$L$4),ROW(),"-")</f>
        <v>-</v>
      </c>
    </row>
    <row r="47096" customHeight="1" spans="2:2">
      <c r="B47096" s="62" t="str">
        <f>IF(AND('领用录入（明细）'!D:D=$F$4,'领用录入（明细）'!C:C&gt;=$J$4,'领用录入（明细）'!C:C&lt;=$L$4),ROW(),"-")</f>
        <v>-</v>
      </c>
    </row>
    <row r="47097" customHeight="1" spans="2:2">
      <c r="B47097" s="62" t="str">
        <f>IF(AND('领用录入（明细）'!D:D=$F$4,'领用录入（明细）'!C:C&gt;=$J$4,'领用录入（明细）'!C:C&lt;=$L$4),ROW(),"-")</f>
        <v>-</v>
      </c>
    </row>
    <row r="47098" customHeight="1" spans="2:2">
      <c r="B47098" s="62" t="str">
        <f>IF(AND('领用录入（明细）'!D:D=$F$4,'领用录入（明细）'!C:C&gt;=$J$4,'领用录入（明细）'!C:C&lt;=$L$4),ROW(),"-")</f>
        <v>-</v>
      </c>
    </row>
    <row r="47099" customHeight="1" spans="2:2">
      <c r="B47099" s="62" t="str">
        <f>IF(AND('领用录入（明细）'!D:D=$F$4,'领用录入（明细）'!C:C&gt;=$J$4,'领用录入（明细）'!C:C&lt;=$L$4),ROW(),"-")</f>
        <v>-</v>
      </c>
    </row>
    <row r="47100" customHeight="1" spans="2:2">
      <c r="B47100" s="62" t="str">
        <f>IF(AND('领用录入（明细）'!D:D=$F$4,'领用录入（明细）'!C:C&gt;=$J$4,'领用录入（明细）'!C:C&lt;=$L$4),ROW(),"-")</f>
        <v>-</v>
      </c>
    </row>
    <row r="47101" customHeight="1" spans="2:2">
      <c r="B47101" s="62" t="str">
        <f>IF(AND('领用录入（明细）'!D:D=$F$4,'领用录入（明细）'!C:C&gt;=$J$4,'领用录入（明细）'!C:C&lt;=$L$4),ROW(),"-")</f>
        <v>-</v>
      </c>
    </row>
    <row r="47102" customHeight="1" spans="2:2">
      <c r="B47102" s="62" t="str">
        <f>IF(AND('领用录入（明细）'!D:D=$F$4,'领用录入（明细）'!C:C&gt;=$J$4,'领用录入（明细）'!C:C&lt;=$L$4),ROW(),"-")</f>
        <v>-</v>
      </c>
    </row>
    <row r="47103" customHeight="1" spans="2:2">
      <c r="B47103" s="62" t="str">
        <f>IF(AND('领用录入（明细）'!D:D=$F$4,'领用录入（明细）'!C:C&gt;=$J$4,'领用录入（明细）'!C:C&lt;=$L$4),ROW(),"-")</f>
        <v>-</v>
      </c>
    </row>
    <row r="47104" customHeight="1" spans="2:2">
      <c r="B47104" s="62" t="str">
        <f>IF(AND('领用录入（明细）'!D:D=$F$4,'领用录入（明细）'!C:C&gt;=$J$4,'领用录入（明细）'!C:C&lt;=$L$4),ROW(),"-")</f>
        <v>-</v>
      </c>
    </row>
    <row r="47105" customHeight="1" spans="2:2">
      <c r="B47105" s="62" t="str">
        <f>IF(AND('领用录入（明细）'!D:D=$F$4,'领用录入（明细）'!C:C&gt;=$J$4,'领用录入（明细）'!C:C&lt;=$L$4),ROW(),"-")</f>
        <v>-</v>
      </c>
    </row>
    <row r="47106" customHeight="1" spans="2:2">
      <c r="B47106" s="62" t="str">
        <f>IF(AND('领用录入（明细）'!D:D=$F$4,'领用录入（明细）'!C:C&gt;=$J$4,'领用录入（明细）'!C:C&lt;=$L$4),ROW(),"-")</f>
        <v>-</v>
      </c>
    </row>
    <row r="47107" customHeight="1" spans="2:2">
      <c r="B47107" s="62" t="str">
        <f>IF(AND('领用录入（明细）'!D:D=$F$4,'领用录入（明细）'!C:C&gt;=$J$4,'领用录入（明细）'!C:C&lt;=$L$4),ROW(),"-")</f>
        <v>-</v>
      </c>
    </row>
    <row r="47108" customHeight="1" spans="2:2">
      <c r="B47108" s="62" t="str">
        <f>IF(AND('领用录入（明细）'!D:D=$F$4,'领用录入（明细）'!C:C&gt;=$J$4,'领用录入（明细）'!C:C&lt;=$L$4),ROW(),"-")</f>
        <v>-</v>
      </c>
    </row>
    <row r="47109" customHeight="1" spans="2:2">
      <c r="B47109" s="62" t="str">
        <f>IF(AND('领用录入（明细）'!D:D=$F$4,'领用录入（明细）'!C:C&gt;=$J$4,'领用录入（明细）'!C:C&lt;=$L$4),ROW(),"-")</f>
        <v>-</v>
      </c>
    </row>
    <row r="47110" customHeight="1" spans="2:2">
      <c r="B47110" s="62" t="str">
        <f>IF(AND('领用录入（明细）'!D:D=$F$4,'领用录入（明细）'!C:C&gt;=$J$4,'领用录入（明细）'!C:C&lt;=$L$4),ROW(),"-")</f>
        <v>-</v>
      </c>
    </row>
    <row r="47111" customHeight="1" spans="2:2">
      <c r="B47111" s="62" t="str">
        <f>IF(AND('领用录入（明细）'!D:D=$F$4,'领用录入（明细）'!C:C&gt;=$J$4,'领用录入（明细）'!C:C&lt;=$L$4),ROW(),"-")</f>
        <v>-</v>
      </c>
    </row>
    <row r="47112" customHeight="1" spans="2:2">
      <c r="B47112" s="62" t="str">
        <f>IF(AND('领用录入（明细）'!D:D=$F$4,'领用录入（明细）'!C:C&gt;=$J$4,'领用录入（明细）'!C:C&lt;=$L$4),ROW(),"-")</f>
        <v>-</v>
      </c>
    </row>
    <row r="47113" customHeight="1" spans="2:2">
      <c r="B47113" s="62" t="str">
        <f>IF(AND('领用录入（明细）'!D:D=$F$4,'领用录入（明细）'!C:C&gt;=$J$4,'领用录入（明细）'!C:C&lt;=$L$4),ROW(),"-")</f>
        <v>-</v>
      </c>
    </row>
    <row r="47114" customHeight="1" spans="2:2">
      <c r="B47114" s="62" t="str">
        <f>IF(AND('领用录入（明细）'!D:D=$F$4,'领用录入（明细）'!C:C&gt;=$J$4,'领用录入（明细）'!C:C&lt;=$L$4),ROW(),"-")</f>
        <v>-</v>
      </c>
    </row>
    <row r="47115" customHeight="1" spans="2:2">
      <c r="B47115" s="62" t="str">
        <f>IF(AND('领用录入（明细）'!D:D=$F$4,'领用录入（明细）'!C:C&gt;=$J$4,'领用录入（明细）'!C:C&lt;=$L$4),ROW(),"-")</f>
        <v>-</v>
      </c>
    </row>
    <row r="47116" customHeight="1" spans="2:2">
      <c r="B47116" s="62" t="str">
        <f>IF(AND('领用录入（明细）'!D:D=$F$4,'领用录入（明细）'!C:C&gt;=$J$4,'领用录入（明细）'!C:C&lt;=$L$4),ROW(),"-")</f>
        <v>-</v>
      </c>
    </row>
    <row r="47117" customHeight="1" spans="2:2">
      <c r="B47117" s="62" t="str">
        <f>IF(AND('领用录入（明细）'!D:D=$F$4,'领用录入（明细）'!C:C&gt;=$J$4,'领用录入（明细）'!C:C&lt;=$L$4),ROW(),"-")</f>
        <v>-</v>
      </c>
    </row>
    <row r="47118" customHeight="1" spans="2:2">
      <c r="B47118" s="62" t="str">
        <f>IF(AND('领用录入（明细）'!D:D=$F$4,'领用录入（明细）'!C:C&gt;=$J$4,'领用录入（明细）'!C:C&lt;=$L$4),ROW(),"-")</f>
        <v>-</v>
      </c>
    </row>
    <row r="47119" customHeight="1" spans="2:2">
      <c r="B47119" s="62" t="str">
        <f>IF(AND('领用录入（明细）'!D:D=$F$4,'领用录入（明细）'!C:C&gt;=$J$4,'领用录入（明细）'!C:C&lt;=$L$4),ROW(),"-")</f>
        <v>-</v>
      </c>
    </row>
    <row r="47120" customHeight="1" spans="2:2">
      <c r="B47120" s="62" t="str">
        <f>IF(AND('领用录入（明细）'!D:D=$F$4,'领用录入（明细）'!C:C&gt;=$J$4,'领用录入（明细）'!C:C&lt;=$L$4),ROW(),"-")</f>
        <v>-</v>
      </c>
    </row>
    <row r="47121" customHeight="1" spans="2:2">
      <c r="B47121" s="62" t="str">
        <f>IF(AND('领用录入（明细）'!D:D=$F$4,'领用录入（明细）'!C:C&gt;=$J$4,'领用录入（明细）'!C:C&lt;=$L$4),ROW(),"-")</f>
        <v>-</v>
      </c>
    </row>
    <row r="47122" customHeight="1" spans="2:2">
      <c r="B47122" s="62" t="str">
        <f>IF(AND('领用录入（明细）'!D:D=$F$4,'领用录入（明细）'!C:C&gt;=$J$4,'领用录入（明细）'!C:C&lt;=$L$4),ROW(),"-")</f>
        <v>-</v>
      </c>
    </row>
    <row r="47123" customHeight="1" spans="2:2">
      <c r="B47123" s="62" t="str">
        <f>IF(AND('领用录入（明细）'!D:D=$F$4,'领用录入（明细）'!C:C&gt;=$J$4,'领用录入（明细）'!C:C&lt;=$L$4),ROW(),"-")</f>
        <v>-</v>
      </c>
    </row>
    <row r="47124" customHeight="1" spans="2:2">
      <c r="B47124" s="62" t="str">
        <f>IF(AND('领用录入（明细）'!D:D=$F$4,'领用录入（明细）'!C:C&gt;=$J$4,'领用录入（明细）'!C:C&lt;=$L$4),ROW(),"-")</f>
        <v>-</v>
      </c>
    </row>
    <row r="47125" customHeight="1" spans="2:2">
      <c r="B47125" s="62" t="str">
        <f>IF(AND('领用录入（明细）'!D:D=$F$4,'领用录入（明细）'!C:C&gt;=$J$4,'领用录入（明细）'!C:C&lt;=$L$4),ROW(),"-")</f>
        <v>-</v>
      </c>
    </row>
    <row r="47126" customHeight="1" spans="2:2">
      <c r="B47126" s="62" t="str">
        <f>IF(AND('领用录入（明细）'!D:D=$F$4,'领用录入（明细）'!C:C&gt;=$J$4,'领用录入（明细）'!C:C&lt;=$L$4),ROW(),"-")</f>
        <v>-</v>
      </c>
    </row>
    <row r="47127" customHeight="1" spans="2:2">
      <c r="B47127" s="62" t="str">
        <f>IF(AND('领用录入（明细）'!D:D=$F$4,'领用录入（明细）'!C:C&gt;=$J$4,'领用录入（明细）'!C:C&lt;=$L$4),ROW(),"-")</f>
        <v>-</v>
      </c>
    </row>
    <row r="47128" customHeight="1" spans="2:2">
      <c r="B47128" s="62" t="str">
        <f>IF(AND('领用录入（明细）'!D:D=$F$4,'领用录入（明细）'!C:C&gt;=$J$4,'领用录入（明细）'!C:C&lt;=$L$4),ROW(),"-")</f>
        <v>-</v>
      </c>
    </row>
    <row r="47129" customHeight="1" spans="2:2">
      <c r="B47129" s="62" t="str">
        <f>IF(AND('领用录入（明细）'!D:D=$F$4,'领用录入（明细）'!C:C&gt;=$J$4,'领用录入（明细）'!C:C&lt;=$L$4),ROW(),"-")</f>
        <v>-</v>
      </c>
    </row>
    <row r="47130" customHeight="1" spans="2:2">
      <c r="B47130" s="62" t="str">
        <f>IF(AND('领用录入（明细）'!D:D=$F$4,'领用录入（明细）'!C:C&gt;=$J$4,'领用录入（明细）'!C:C&lt;=$L$4),ROW(),"-")</f>
        <v>-</v>
      </c>
    </row>
    <row r="47131" customHeight="1" spans="2:2">
      <c r="B47131" s="62" t="str">
        <f>IF(AND('领用录入（明细）'!D:D=$F$4,'领用录入（明细）'!C:C&gt;=$J$4,'领用录入（明细）'!C:C&lt;=$L$4),ROW(),"-")</f>
        <v>-</v>
      </c>
    </row>
    <row r="47132" customHeight="1" spans="2:2">
      <c r="B47132" s="62" t="str">
        <f>IF(AND('领用录入（明细）'!D:D=$F$4,'领用录入（明细）'!C:C&gt;=$J$4,'领用录入（明细）'!C:C&lt;=$L$4),ROW(),"-")</f>
        <v>-</v>
      </c>
    </row>
    <row r="47133" customHeight="1" spans="2:2">
      <c r="B47133" s="62" t="str">
        <f>IF(AND('领用录入（明细）'!D:D=$F$4,'领用录入（明细）'!C:C&gt;=$J$4,'领用录入（明细）'!C:C&lt;=$L$4),ROW(),"-")</f>
        <v>-</v>
      </c>
    </row>
    <row r="47134" customHeight="1" spans="2:2">
      <c r="B47134" s="62" t="str">
        <f>IF(AND('领用录入（明细）'!D:D=$F$4,'领用录入（明细）'!C:C&gt;=$J$4,'领用录入（明细）'!C:C&lt;=$L$4),ROW(),"-")</f>
        <v>-</v>
      </c>
    </row>
    <row r="47135" customHeight="1" spans="2:2">
      <c r="B47135" s="62" t="str">
        <f>IF(AND('领用录入（明细）'!D:D=$F$4,'领用录入（明细）'!C:C&gt;=$J$4,'领用录入（明细）'!C:C&lt;=$L$4),ROW(),"-")</f>
        <v>-</v>
      </c>
    </row>
    <row r="47136" customHeight="1" spans="2:2">
      <c r="B47136" s="62" t="str">
        <f>IF(AND('领用录入（明细）'!D:D=$F$4,'领用录入（明细）'!C:C&gt;=$J$4,'领用录入（明细）'!C:C&lt;=$L$4),ROW(),"-")</f>
        <v>-</v>
      </c>
    </row>
    <row r="47137" customHeight="1" spans="2:2">
      <c r="B47137" s="62" t="str">
        <f>IF(AND('领用录入（明细）'!D:D=$F$4,'领用录入（明细）'!C:C&gt;=$J$4,'领用录入（明细）'!C:C&lt;=$L$4),ROW(),"-")</f>
        <v>-</v>
      </c>
    </row>
    <row r="47138" customHeight="1" spans="2:2">
      <c r="B47138" s="62" t="str">
        <f>IF(AND('领用录入（明细）'!D:D=$F$4,'领用录入（明细）'!C:C&gt;=$J$4,'领用录入（明细）'!C:C&lt;=$L$4),ROW(),"-")</f>
        <v>-</v>
      </c>
    </row>
    <row r="47139" customHeight="1" spans="2:2">
      <c r="B47139" s="62" t="str">
        <f>IF(AND('领用录入（明细）'!D:D=$F$4,'领用录入（明细）'!C:C&gt;=$J$4,'领用录入（明细）'!C:C&lt;=$L$4),ROW(),"-")</f>
        <v>-</v>
      </c>
    </row>
    <row r="47140" customHeight="1" spans="2:2">
      <c r="B47140" s="62" t="str">
        <f>IF(AND('领用录入（明细）'!D:D=$F$4,'领用录入（明细）'!C:C&gt;=$J$4,'领用录入（明细）'!C:C&lt;=$L$4),ROW(),"-")</f>
        <v>-</v>
      </c>
    </row>
    <row r="47141" customHeight="1" spans="2:2">
      <c r="B47141" s="62" t="str">
        <f>IF(AND('领用录入（明细）'!D:D=$F$4,'领用录入（明细）'!C:C&gt;=$J$4,'领用录入（明细）'!C:C&lt;=$L$4),ROW(),"-")</f>
        <v>-</v>
      </c>
    </row>
    <row r="47142" customHeight="1" spans="2:2">
      <c r="B47142" s="62" t="str">
        <f>IF(AND('领用录入（明细）'!D:D=$F$4,'领用录入（明细）'!C:C&gt;=$J$4,'领用录入（明细）'!C:C&lt;=$L$4),ROW(),"-")</f>
        <v>-</v>
      </c>
    </row>
    <row r="47143" customHeight="1" spans="2:2">
      <c r="B47143" s="62" t="str">
        <f>IF(AND('领用录入（明细）'!D:D=$F$4,'领用录入（明细）'!C:C&gt;=$J$4,'领用录入（明细）'!C:C&lt;=$L$4),ROW(),"-")</f>
        <v>-</v>
      </c>
    </row>
    <row r="47144" customHeight="1" spans="2:2">
      <c r="B47144" s="62" t="str">
        <f>IF(AND('领用录入（明细）'!D:D=$F$4,'领用录入（明细）'!C:C&gt;=$J$4,'领用录入（明细）'!C:C&lt;=$L$4),ROW(),"-")</f>
        <v>-</v>
      </c>
    </row>
    <row r="47145" customHeight="1" spans="2:2">
      <c r="B47145" s="62" t="str">
        <f>IF(AND('领用录入（明细）'!D:D=$F$4,'领用录入（明细）'!C:C&gt;=$J$4,'领用录入（明细）'!C:C&lt;=$L$4),ROW(),"-")</f>
        <v>-</v>
      </c>
    </row>
    <row r="47146" customHeight="1" spans="2:2">
      <c r="B47146" s="62" t="str">
        <f>IF(AND('领用录入（明细）'!D:D=$F$4,'领用录入（明细）'!C:C&gt;=$J$4,'领用录入（明细）'!C:C&lt;=$L$4),ROW(),"-")</f>
        <v>-</v>
      </c>
    </row>
    <row r="47147" customHeight="1" spans="2:2">
      <c r="B47147" s="62" t="str">
        <f>IF(AND('领用录入（明细）'!D:D=$F$4,'领用录入（明细）'!C:C&gt;=$J$4,'领用录入（明细）'!C:C&lt;=$L$4),ROW(),"-")</f>
        <v>-</v>
      </c>
    </row>
    <row r="47148" customHeight="1" spans="2:2">
      <c r="B47148" s="62" t="str">
        <f>IF(AND('领用录入（明细）'!D:D=$F$4,'领用录入（明细）'!C:C&gt;=$J$4,'领用录入（明细）'!C:C&lt;=$L$4),ROW(),"-")</f>
        <v>-</v>
      </c>
    </row>
    <row r="47149" customHeight="1" spans="2:2">
      <c r="B47149" s="62" t="str">
        <f>IF(AND('领用录入（明细）'!D:D=$F$4,'领用录入（明细）'!C:C&gt;=$J$4,'领用录入（明细）'!C:C&lt;=$L$4),ROW(),"-")</f>
        <v>-</v>
      </c>
    </row>
    <row r="47150" customHeight="1" spans="2:2">
      <c r="B47150" s="62" t="str">
        <f>IF(AND('领用录入（明细）'!D:D=$F$4,'领用录入（明细）'!C:C&gt;=$J$4,'领用录入（明细）'!C:C&lt;=$L$4),ROW(),"-")</f>
        <v>-</v>
      </c>
    </row>
    <row r="47151" customHeight="1" spans="2:2">
      <c r="B47151" s="62" t="str">
        <f>IF(AND('领用录入（明细）'!D:D=$F$4,'领用录入（明细）'!C:C&gt;=$J$4,'领用录入（明细）'!C:C&lt;=$L$4),ROW(),"-")</f>
        <v>-</v>
      </c>
    </row>
    <row r="47152" customHeight="1" spans="2:2">
      <c r="B47152" s="62" t="str">
        <f>IF(AND('领用录入（明细）'!D:D=$F$4,'领用录入（明细）'!C:C&gt;=$J$4,'领用录入（明细）'!C:C&lt;=$L$4),ROW(),"-")</f>
        <v>-</v>
      </c>
    </row>
    <row r="47153" customHeight="1" spans="2:2">
      <c r="B47153" s="62" t="str">
        <f>IF(AND('领用录入（明细）'!D:D=$F$4,'领用录入（明细）'!C:C&gt;=$J$4,'领用录入（明细）'!C:C&lt;=$L$4),ROW(),"-")</f>
        <v>-</v>
      </c>
    </row>
    <row r="47154" customHeight="1" spans="2:2">
      <c r="B47154" s="62" t="str">
        <f>IF(AND('领用录入（明细）'!D:D=$F$4,'领用录入（明细）'!C:C&gt;=$J$4,'领用录入（明细）'!C:C&lt;=$L$4),ROW(),"-")</f>
        <v>-</v>
      </c>
    </row>
    <row r="47155" customHeight="1" spans="2:2">
      <c r="B47155" s="62" t="str">
        <f>IF(AND('领用录入（明细）'!D:D=$F$4,'领用录入（明细）'!C:C&gt;=$J$4,'领用录入（明细）'!C:C&lt;=$L$4),ROW(),"-")</f>
        <v>-</v>
      </c>
    </row>
    <row r="47156" customHeight="1" spans="2:2">
      <c r="B47156" s="62" t="str">
        <f>IF(AND('领用录入（明细）'!D:D=$F$4,'领用录入（明细）'!C:C&gt;=$J$4,'领用录入（明细）'!C:C&lt;=$L$4),ROW(),"-")</f>
        <v>-</v>
      </c>
    </row>
    <row r="47157" customHeight="1" spans="2:2">
      <c r="B47157" s="62" t="str">
        <f>IF(AND('领用录入（明细）'!D:D=$F$4,'领用录入（明细）'!C:C&gt;=$J$4,'领用录入（明细）'!C:C&lt;=$L$4),ROW(),"-")</f>
        <v>-</v>
      </c>
    </row>
    <row r="47158" customHeight="1" spans="2:2">
      <c r="B47158" s="62" t="str">
        <f>IF(AND('领用录入（明细）'!D:D=$F$4,'领用录入（明细）'!C:C&gt;=$J$4,'领用录入（明细）'!C:C&lt;=$L$4),ROW(),"-")</f>
        <v>-</v>
      </c>
    </row>
    <row r="47159" customHeight="1" spans="2:2">
      <c r="B47159" s="62" t="str">
        <f>IF(AND('领用录入（明细）'!D:D=$F$4,'领用录入（明细）'!C:C&gt;=$J$4,'领用录入（明细）'!C:C&lt;=$L$4),ROW(),"-")</f>
        <v>-</v>
      </c>
    </row>
    <row r="47160" customHeight="1" spans="2:2">
      <c r="B47160" s="62" t="str">
        <f>IF(AND('领用录入（明细）'!D:D=$F$4,'领用录入（明细）'!C:C&gt;=$J$4,'领用录入（明细）'!C:C&lt;=$L$4),ROW(),"-")</f>
        <v>-</v>
      </c>
    </row>
    <row r="47161" customHeight="1" spans="2:2">
      <c r="B47161" s="62" t="str">
        <f>IF(AND('领用录入（明细）'!D:D=$F$4,'领用录入（明细）'!C:C&gt;=$J$4,'领用录入（明细）'!C:C&lt;=$L$4),ROW(),"-")</f>
        <v>-</v>
      </c>
    </row>
    <row r="47162" customHeight="1" spans="2:2">
      <c r="B47162" s="62" t="str">
        <f>IF(AND('领用录入（明细）'!D:D=$F$4,'领用录入（明细）'!C:C&gt;=$J$4,'领用录入（明细）'!C:C&lt;=$L$4),ROW(),"-")</f>
        <v>-</v>
      </c>
    </row>
    <row r="47163" customHeight="1" spans="2:2">
      <c r="B47163" s="62" t="str">
        <f>IF(AND('领用录入（明细）'!D:D=$F$4,'领用录入（明细）'!C:C&gt;=$J$4,'领用录入（明细）'!C:C&lt;=$L$4),ROW(),"-")</f>
        <v>-</v>
      </c>
    </row>
    <row r="47164" customHeight="1" spans="2:2">
      <c r="B47164" s="62" t="str">
        <f>IF(AND('领用录入（明细）'!D:D=$F$4,'领用录入（明细）'!C:C&gt;=$J$4,'领用录入（明细）'!C:C&lt;=$L$4),ROW(),"-")</f>
        <v>-</v>
      </c>
    </row>
    <row r="47165" customHeight="1" spans="2:2">
      <c r="B47165" s="62" t="str">
        <f>IF(AND('领用录入（明细）'!D:D=$F$4,'领用录入（明细）'!C:C&gt;=$J$4,'领用录入（明细）'!C:C&lt;=$L$4),ROW(),"-")</f>
        <v>-</v>
      </c>
    </row>
    <row r="47166" customHeight="1" spans="2:2">
      <c r="B47166" s="62" t="str">
        <f>IF(AND('领用录入（明细）'!D:D=$F$4,'领用录入（明细）'!C:C&gt;=$J$4,'领用录入（明细）'!C:C&lt;=$L$4),ROW(),"-")</f>
        <v>-</v>
      </c>
    </row>
    <row r="47167" customHeight="1" spans="2:2">
      <c r="B47167" s="62" t="str">
        <f>IF(AND('领用录入（明细）'!D:D=$F$4,'领用录入（明细）'!C:C&gt;=$J$4,'领用录入（明细）'!C:C&lt;=$L$4),ROW(),"-")</f>
        <v>-</v>
      </c>
    </row>
    <row r="47168" customHeight="1" spans="2:2">
      <c r="B47168" s="62" t="str">
        <f>IF(AND('领用录入（明细）'!D:D=$F$4,'领用录入（明细）'!C:C&gt;=$J$4,'领用录入（明细）'!C:C&lt;=$L$4),ROW(),"-")</f>
        <v>-</v>
      </c>
    </row>
    <row r="47169" customHeight="1" spans="2:2">
      <c r="B47169" s="62" t="str">
        <f>IF(AND('领用录入（明细）'!D:D=$F$4,'领用录入（明细）'!C:C&gt;=$J$4,'领用录入（明细）'!C:C&lt;=$L$4),ROW(),"-")</f>
        <v>-</v>
      </c>
    </row>
    <row r="47170" customHeight="1" spans="2:2">
      <c r="B47170" s="62" t="str">
        <f>IF(AND('领用录入（明细）'!D:D=$F$4,'领用录入（明细）'!C:C&gt;=$J$4,'领用录入（明细）'!C:C&lt;=$L$4),ROW(),"-")</f>
        <v>-</v>
      </c>
    </row>
    <row r="47171" customHeight="1" spans="2:2">
      <c r="B47171" s="62" t="str">
        <f>IF(AND('领用录入（明细）'!D:D=$F$4,'领用录入（明细）'!C:C&gt;=$J$4,'领用录入（明细）'!C:C&lt;=$L$4),ROW(),"-")</f>
        <v>-</v>
      </c>
    </row>
    <row r="47172" customHeight="1" spans="2:2">
      <c r="B47172" s="62" t="str">
        <f>IF(AND('领用录入（明细）'!D:D=$F$4,'领用录入（明细）'!C:C&gt;=$J$4,'领用录入（明细）'!C:C&lt;=$L$4),ROW(),"-")</f>
        <v>-</v>
      </c>
    </row>
    <row r="47173" customHeight="1" spans="2:2">
      <c r="B47173" s="62" t="str">
        <f>IF(AND('领用录入（明细）'!D:D=$F$4,'领用录入（明细）'!C:C&gt;=$J$4,'领用录入（明细）'!C:C&lt;=$L$4),ROW(),"-")</f>
        <v>-</v>
      </c>
    </row>
    <row r="47174" customHeight="1" spans="2:2">
      <c r="B47174" s="62" t="str">
        <f>IF(AND('领用录入（明细）'!D:D=$F$4,'领用录入（明细）'!C:C&gt;=$J$4,'领用录入（明细）'!C:C&lt;=$L$4),ROW(),"-")</f>
        <v>-</v>
      </c>
    </row>
    <row r="47175" customHeight="1" spans="2:2">
      <c r="B47175" s="62" t="str">
        <f>IF(AND('领用录入（明细）'!D:D=$F$4,'领用录入（明细）'!C:C&gt;=$J$4,'领用录入（明细）'!C:C&lt;=$L$4),ROW(),"-")</f>
        <v>-</v>
      </c>
    </row>
    <row r="47176" customHeight="1" spans="2:2">
      <c r="B47176" s="62" t="str">
        <f>IF(AND('领用录入（明细）'!D:D=$F$4,'领用录入（明细）'!C:C&gt;=$J$4,'领用录入（明细）'!C:C&lt;=$L$4),ROW(),"-")</f>
        <v>-</v>
      </c>
    </row>
    <row r="47177" customHeight="1" spans="2:2">
      <c r="B47177" s="62" t="str">
        <f>IF(AND('领用录入（明细）'!D:D=$F$4,'领用录入（明细）'!C:C&gt;=$J$4,'领用录入（明细）'!C:C&lt;=$L$4),ROW(),"-")</f>
        <v>-</v>
      </c>
    </row>
    <row r="47178" customHeight="1" spans="2:2">
      <c r="B47178" s="62" t="str">
        <f>IF(AND('领用录入（明细）'!D:D=$F$4,'领用录入（明细）'!C:C&gt;=$J$4,'领用录入（明细）'!C:C&lt;=$L$4),ROW(),"-")</f>
        <v>-</v>
      </c>
    </row>
    <row r="47179" customHeight="1" spans="2:2">
      <c r="B47179" s="62" t="str">
        <f>IF(AND('领用录入（明细）'!D:D=$F$4,'领用录入（明细）'!C:C&gt;=$J$4,'领用录入（明细）'!C:C&lt;=$L$4),ROW(),"-")</f>
        <v>-</v>
      </c>
    </row>
    <row r="47180" customHeight="1" spans="2:2">
      <c r="B47180" s="62" t="str">
        <f>IF(AND('领用录入（明细）'!D:D=$F$4,'领用录入（明细）'!C:C&gt;=$J$4,'领用录入（明细）'!C:C&lt;=$L$4),ROW(),"-")</f>
        <v>-</v>
      </c>
    </row>
    <row r="47181" customHeight="1" spans="2:2">
      <c r="B47181" s="62" t="str">
        <f>IF(AND('领用录入（明细）'!D:D=$F$4,'领用录入（明细）'!C:C&gt;=$J$4,'领用录入（明细）'!C:C&lt;=$L$4),ROW(),"-")</f>
        <v>-</v>
      </c>
    </row>
    <row r="47182" customHeight="1" spans="2:2">
      <c r="B47182" s="62" t="str">
        <f>IF(AND('领用录入（明细）'!D:D=$F$4,'领用录入（明细）'!C:C&gt;=$J$4,'领用录入（明细）'!C:C&lt;=$L$4),ROW(),"-")</f>
        <v>-</v>
      </c>
    </row>
    <row r="47183" customHeight="1" spans="2:2">
      <c r="B47183" s="62" t="str">
        <f>IF(AND('领用录入（明细）'!D:D=$F$4,'领用录入（明细）'!C:C&gt;=$J$4,'领用录入（明细）'!C:C&lt;=$L$4),ROW(),"-")</f>
        <v>-</v>
      </c>
    </row>
    <row r="47184" customHeight="1" spans="2:2">
      <c r="B47184" s="62" t="str">
        <f>IF(AND('领用录入（明细）'!D:D=$F$4,'领用录入（明细）'!C:C&gt;=$J$4,'领用录入（明细）'!C:C&lt;=$L$4),ROW(),"-")</f>
        <v>-</v>
      </c>
    </row>
    <row r="47185" customHeight="1" spans="2:2">
      <c r="B47185" s="62" t="str">
        <f>IF(AND('领用录入（明细）'!D:D=$F$4,'领用录入（明细）'!C:C&gt;=$J$4,'领用录入（明细）'!C:C&lt;=$L$4),ROW(),"-")</f>
        <v>-</v>
      </c>
    </row>
    <row r="47186" customHeight="1" spans="2:2">
      <c r="B47186" s="62" t="str">
        <f>IF(AND('领用录入（明细）'!D:D=$F$4,'领用录入（明细）'!C:C&gt;=$J$4,'领用录入（明细）'!C:C&lt;=$L$4),ROW(),"-")</f>
        <v>-</v>
      </c>
    </row>
    <row r="47187" customHeight="1" spans="2:2">
      <c r="B47187" s="62" t="str">
        <f>IF(AND('领用录入（明细）'!D:D=$F$4,'领用录入（明细）'!C:C&gt;=$J$4,'领用录入（明细）'!C:C&lt;=$L$4),ROW(),"-")</f>
        <v>-</v>
      </c>
    </row>
    <row r="47188" customHeight="1" spans="2:2">
      <c r="B47188" s="62" t="str">
        <f>IF(AND('领用录入（明细）'!D:D=$F$4,'领用录入（明细）'!C:C&gt;=$J$4,'领用录入（明细）'!C:C&lt;=$L$4),ROW(),"-")</f>
        <v>-</v>
      </c>
    </row>
    <row r="47189" customHeight="1" spans="2:2">
      <c r="B47189" s="62" t="str">
        <f>IF(AND('领用录入（明细）'!D:D=$F$4,'领用录入（明细）'!C:C&gt;=$J$4,'领用录入（明细）'!C:C&lt;=$L$4),ROW(),"-")</f>
        <v>-</v>
      </c>
    </row>
    <row r="47190" customHeight="1" spans="2:2">
      <c r="B47190" s="62" t="str">
        <f>IF(AND('领用录入（明细）'!D:D=$F$4,'领用录入（明细）'!C:C&gt;=$J$4,'领用录入（明细）'!C:C&lt;=$L$4),ROW(),"-")</f>
        <v>-</v>
      </c>
    </row>
    <row r="47191" customHeight="1" spans="2:2">
      <c r="B47191" s="62" t="str">
        <f>IF(AND('领用录入（明细）'!D:D=$F$4,'领用录入（明细）'!C:C&gt;=$J$4,'领用录入（明细）'!C:C&lt;=$L$4),ROW(),"-")</f>
        <v>-</v>
      </c>
    </row>
    <row r="47192" customHeight="1" spans="2:2">
      <c r="B47192" s="62" t="str">
        <f>IF(AND('领用录入（明细）'!D:D=$F$4,'领用录入（明细）'!C:C&gt;=$J$4,'领用录入（明细）'!C:C&lt;=$L$4),ROW(),"-")</f>
        <v>-</v>
      </c>
    </row>
    <row r="47193" customHeight="1" spans="2:2">
      <c r="B47193" s="62" t="str">
        <f>IF(AND('领用录入（明细）'!D:D=$F$4,'领用录入（明细）'!C:C&gt;=$J$4,'领用录入（明细）'!C:C&lt;=$L$4),ROW(),"-")</f>
        <v>-</v>
      </c>
    </row>
    <row r="47194" customHeight="1" spans="2:2">
      <c r="B47194" s="62" t="str">
        <f>IF(AND('领用录入（明细）'!D:D=$F$4,'领用录入（明细）'!C:C&gt;=$J$4,'领用录入（明细）'!C:C&lt;=$L$4),ROW(),"-")</f>
        <v>-</v>
      </c>
    </row>
    <row r="47195" customHeight="1" spans="2:2">
      <c r="B47195" s="62" t="str">
        <f>IF(AND('领用录入（明细）'!D:D=$F$4,'领用录入（明细）'!C:C&gt;=$J$4,'领用录入（明细）'!C:C&lt;=$L$4),ROW(),"-")</f>
        <v>-</v>
      </c>
    </row>
    <row r="47196" customHeight="1" spans="2:2">
      <c r="B47196" s="62" t="str">
        <f>IF(AND('领用录入（明细）'!D:D=$F$4,'领用录入（明细）'!C:C&gt;=$J$4,'领用录入（明细）'!C:C&lt;=$L$4),ROW(),"-")</f>
        <v>-</v>
      </c>
    </row>
    <row r="47197" customHeight="1" spans="2:2">
      <c r="B47197" s="62" t="str">
        <f>IF(AND('领用录入（明细）'!D:D=$F$4,'领用录入（明细）'!C:C&gt;=$J$4,'领用录入（明细）'!C:C&lt;=$L$4),ROW(),"-")</f>
        <v>-</v>
      </c>
    </row>
    <row r="47198" customHeight="1" spans="2:2">
      <c r="B47198" s="62" t="str">
        <f>IF(AND('领用录入（明细）'!D:D=$F$4,'领用录入（明细）'!C:C&gt;=$J$4,'领用录入（明细）'!C:C&lt;=$L$4),ROW(),"-")</f>
        <v>-</v>
      </c>
    </row>
    <row r="47199" customHeight="1" spans="2:2">
      <c r="B47199" s="62" t="str">
        <f>IF(AND('领用录入（明细）'!D:D=$F$4,'领用录入（明细）'!C:C&gt;=$J$4,'领用录入（明细）'!C:C&lt;=$L$4),ROW(),"-")</f>
        <v>-</v>
      </c>
    </row>
    <row r="47200" customHeight="1" spans="2:2">
      <c r="B47200" s="62" t="str">
        <f>IF(AND('领用录入（明细）'!D:D=$F$4,'领用录入（明细）'!C:C&gt;=$J$4,'领用录入（明细）'!C:C&lt;=$L$4),ROW(),"-")</f>
        <v>-</v>
      </c>
    </row>
    <row r="47201" customHeight="1" spans="2:2">
      <c r="B47201" s="62" t="str">
        <f>IF(AND('领用录入（明细）'!D:D=$F$4,'领用录入（明细）'!C:C&gt;=$J$4,'领用录入（明细）'!C:C&lt;=$L$4),ROW(),"-")</f>
        <v>-</v>
      </c>
    </row>
    <row r="47202" customHeight="1" spans="2:2">
      <c r="B47202" s="62" t="str">
        <f>IF(AND('领用录入（明细）'!D:D=$F$4,'领用录入（明细）'!C:C&gt;=$J$4,'领用录入（明细）'!C:C&lt;=$L$4),ROW(),"-")</f>
        <v>-</v>
      </c>
    </row>
    <row r="47203" customHeight="1" spans="2:2">
      <c r="B47203" s="62" t="str">
        <f>IF(AND('领用录入（明细）'!D:D=$F$4,'领用录入（明细）'!C:C&gt;=$J$4,'领用录入（明细）'!C:C&lt;=$L$4),ROW(),"-")</f>
        <v>-</v>
      </c>
    </row>
    <row r="47204" customHeight="1" spans="2:2">
      <c r="B47204" s="62" t="str">
        <f>IF(AND('领用录入（明细）'!D:D=$F$4,'领用录入（明细）'!C:C&gt;=$J$4,'领用录入（明细）'!C:C&lt;=$L$4),ROW(),"-")</f>
        <v>-</v>
      </c>
    </row>
    <row r="47205" customHeight="1" spans="2:2">
      <c r="B47205" s="62" t="str">
        <f>IF(AND('领用录入（明细）'!D:D=$F$4,'领用录入（明细）'!C:C&gt;=$J$4,'领用录入（明细）'!C:C&lt;=$L$4),ROW(),"-")</f>
        <v>-</v>
      </c>
    </row>
    <row r="47206" customHeight="1" spans="2:2">
      <c r="B47206" s="62" t="str">
        <f>IF(AND('领用录入（明细）'!D:D=$F$4,'领用录入（明细）'!C:C&gt;=$J$4,'领用录入（明细）'!C:C&lt;=$L$4),ROW(),"-")</f>
        <v>-</v>
      </c>
    </row>
    <row r="47207" customHeight="1" spans="2:2">
      <c r="B47207" s="62" t="str">
        <f>IF(AND('领用录入（明细）'!D:D=$F$4,'领用录入（明细）'!C:C&gt;=$J$4,'领用录入（明细）'!C:C&lt;=$L$4),ROW(),"-")</f>
        <v>-</v>
      </c>
    </row>
    <row r="47208" customHeight="1" spans="2:2">
      <c r="B47208" s="62" t="str">
        <f>IF(AND('领用录入（明细）'!D:D=$F$4,'领用录入（明细）'!C:C&gt;=$J$4,'领用录入（明细）'!C:C&lt;=$L$4),ROW(),"-")</f>
        <v>-</v>
      </c>
    </row>
    <row r="47209" customHeight="1" spans="2:2">
      <c r="B47209" s="62" t="str">
        <f>IF(AND('领用录入（明细）'!D:D=$F$4,'领用录入（明细）'!C:C&gt;=$J$4,'领用录入（明细）'!C:C&lt;=$L$4),ROW(),"-")</f>
        <v>-</v>
      </c>
    </row>
    <row r="47210" customHeight="1" spans="2:2">
      <c r="B47210" s="62" t="str">
        <f>IF(AND('领用录入（明细）'!D:D=$F$4,'领用录入（明细）'!C:C&gt;=$J$4,'领用录入（明细）'!C:C&lt;=$L$4),ROW(),"-")</f>
        <v>-</v>
      </c>
    </row>
    <row r="47211" customHeight="1" spans="2:2">
      <c r="B47211" s="62" t="str">
        <f>IF(AND('领用录入（明细）'!D:D=$F$4,'领用录入（明细）'!C:C&gt;=$J$4,'领用录入（明细）'!C:C&lt;=$L$4),ROW(),"-")</f>
        <v>-</v>
      </c>
    </row>
    <row r="47212" customHeight="1" spans="2:2">
      <c r="B47212" s="62" t="str">
        <f>IF(AND('领用录入（明细）'!D:D=$F$4,'领用录入（明细）'!C:C&gt;=$J$4,'领用录入（明细）'!C:C&lt;=$L$4),ROW(),"-")</f>
        <v>-</v>
      </c>
    </row>
    <row r="47213" customHeight="1" spans="2:2">
      <c r="B47213" s="62" t="str">
        <f>IF(AND('领用录入（明细）'!D:D=$F$4,'领用录入（明细）'!C:C&gt;=$J$4,'领用录入（明细）'!C:C&lt;=$L$4),ROW(),"-")</f>
        <v>-</v>
      </c>
    </row>
    <row r="47214" customHeight="1" spans="2:2">
      <c r="B47214" s="62" t="str">
        <f>IF(AND('领用录入（明细）'!D:D=$F$4,'领用录入（明细）'!C:C&gt;=$J$4,'领用录入（明细）'!C:C&lt;=$L$4),ROW(),"-")</f>
        <v>-</v>
      </c>
    </row>
    <row r="47215" customHeight="1" spans="2:2">
      <c r="B47215" s="62" t="str">
        <f>IF(AND('领用录入（明细）'!D:D=$F$4,'领用录入（明细）'!C:C&gt;=$J$4,'领用录入（明细）'!C:C&lt;=$L$4),ROW(),"-")</f>
        <v>-</v>
      </c>
    </row>
    <row r="47216" customHeight="1" spans="2:2">
      <c r="B47216" s="62" t="str">
        <f>IF(AND('领用录入（明细）'!D:D=$F$4,'领用录入（明细）'!C:C&gt;=$J$4,'领用录入（明细）'!C:C&lt;=$L$4),ROW(),"-")</f>
        <v>-</v>
      </c>
    </row>
    <row r="47217" customHeight="1" spans="2:2">
      <c r="B47217" s="62" t="str">
        <f>IF(AND('领用录入（明细）'!D:D=$F$4,'领用录入（明细）'!C:C&gt;=$J$4,'领用录入（明细）'!C:C&lt;=$L$4),ROW(),"-")</f>
        <v>-</v>
      </c>
    </row>
    <row r="47218" customHeight="1" spans="2:2">
      <c r="B47218" s="62" t="str">
        <f>IF(AND('领用录入（明细）'!D:D=$F$4,'领用录入（明细）'!C:C&gt;=$J$4,'领用录入（明细）'!C:C&lt;=$L$4),ROW(),"-")</f>
        <v>-</v>
      </c>
    </row>
    <row r="47219" customHeight="1" spans="2:2">
      <c r="B47219" s="62" t="str">
        <f>IF(AND('领用录入（明细）'!D:D=$F$4,'领用录入（明细）'!C:C&gt;=$J$4,'领用录入（明细）'!C:C&lt;=$L$4),ROW(),"-")</f>
        <v>-</v>
      </c>
    </row>
    <row r="47220" customHeight="1" spans="2:2">
      <c r="B47220" s="62" t="str">
        <f>IF(AND('领用录入（明细）'!D:D=$F$4,'领用录入（明细）'!C:C&gt;=$J$4,'领用录入（明细）'!C:C&lt;=$L$4),ROW(),"-")</f>
        <v>-</v>
      </c>
    </row>
    <row r="47221" customHeight="1" spans="2:2">
      <c r="B47221" s="62" t="str">
        <f>IF(AND('领用录入（明细）'!D:D=$F$4,'领用录入（明细）'!C:C&gt;=$J$4,'领用录入（明细）'!C:C&lt;=$L$4),ROW(),"-")</f>
        <v>-</v>
      </c>
    </row>
    <row r="47222" customHeight="1" spans="2:2">
      <c r="B47222" s="62" t="str">
        <f>IF(AND('领用录入（明细）'!D:D=$F$4,'领用录入（明细）'!C:C&gt;=$J$4,'领用录入（明细）'!C:C&lt;=$L$4),ROW(),"-")</f>
        <v>-</v>
      </c>
    </row>
    <row r="47223" customHeight="1" spans="2:2">
      <c r="B47223" s="62" t="str">
        <f>IF(AND('领用录入（明细）'!D:D=$F$4,'领用录入（明细）'!C:C&gt;=$J$4,'领用录入（明细）'!C:C&lt;=$L$4),ROW(),"-")</f>
        <v>-</v>
      </c>
    </row>
    <row r="47224" customHeight="1" spans="2:2">
      <c r="B47224" s="62" t="str">
        <f>IF(AND('领用录入（明细）'!D:D=$F$4,'领用录入（明细）'!C:C&gt;=$J$4,'领用录入（明细）'!C:C&lt;=$L$4),ROW(),"-")</f>
        <v>-</v>
      </c>
    </row>
    <row r="47225" customHeight="1" spans="2:2">
      <c r="B47225" s="62" t="str">
        <f>IF(AND('领用录入（明细）'!D:D=$F$4,'领用录入（明细）'!C:C&gt;=$J$4,'领用录入（明细）'!C:C&lt;=$L$4),ROW(),"-")</f>
        <v>-</v>
      </c>
    </row>
    <row r="47226" customHeight="1" spans="2:2">
      <c r="B47226" s="62" t="str">
        <f>IF(AND('领用录入（明细）'!D:D=$F$4,'领用录入（明细）'!C:C&gt;=$J$4,'领用录入（明细）'!C:C&lt;=$L$4),ROW(),"-")</f>
        <v>-</v>
      </c>
    </row>
    <row r="47227" customHeight="1" spans="2:2">
      <c r="B47227" s="62" t="str">
        <f>IF(AND('领用录入（明细）'!D:D=$F$4,'领用录入（明细）'!C:C&gt;=$J$4,'领用录入（明细）'!C:C&lt;=$L$4),ROW(),"-")</f>
        <v>-</v>
      </c>
    </row>
    <row r="47228" customHeight="1" spans="2:2">
      <c r="B47228" s="62" t="str">
        <f>IF(AND('领用录入（明细）'!D:D=$F$4,'领用录入（明细）'!C:C&gt;=$J$4,'领用录入（明细）'!C:C&lt;=$L$4),ROW(),"-")</f>
        <v>-</v>
      </c>
    </row>
    <row r="47229" customHeight="1" spans="2:2">
      <c r="B47229" s="62" t="str">
        <f>IF(AND('领用录入（明细）'!D:D=$F$4,'领用录入（明细）'!C:C&gt;=$J$4,'领用录入（明细）'!C:C&lt;=$L$4),ROW(),"-")</f>
        <v>-</v>
      </c>
    </row>
    <row r="47230" customHeight="1" spans="2:2">
      <c r="B47230" s="62" t="str">
        <f>IF(AND('领用录入（明细）'!D:D=$F$4,'领用录入（明细）'!C:C&gt;=$J$4,'领用录入（明细）'!C:C&lt;=$L$4),ROW(),"-")</f>
        <v>-</v>
      </c>
    </row>
    <row r="47231" customHeight="1" spans="2:2">
      <c r="B47231" s="62" t="str">
        <f>IF(AND('领用录入（明细）'!D:D=$F$4,'领用录入（明细）'!C:C&gt;=$J$4,'领用录入（明细）'!C:C&lt;=$L$4),ROW(),"-")</f>
        <v>-</v>
      </c>
    </row>
    <row r="47232" customHeight="1" spans="2:2">
      <c r="B47232" s="62" t="str">
        <f>IF(AND('领用录入（明细）'!D:D=$F$4,'领用录入（明细）'!C:C&gt;=$J$4,'领用录入（明细）'!C:C&lt;=$L$4),ROW(),"-")</f>
        <v>-</v>
      </c>
    </row>
    <row r="47233" customHeight="1" spans="2:2">
      <c r="B47233" s="62" t="str">
        <f>IF(AND('领用录入（明细）'!D:D=$F$4,'领用录入（明细）'!C:C&gt;=$J$4,'领用录入（明细）'!C:C&lt;=$L$4),ROW(),"-")</f>
        <v>-</v>
      </c>
    </row>
    <row r="47234" customHeight="1" spans="2:2">
      <c r="B47234" s="62" t="str">
        <f>IF(AND('领用录入（明细）'!D:D=$F$4,'领用录入（明细）'!C:C&gt;=$J$4,'领用录入（明细）'!C:C&lt;=$L$4),ROW(),"-")</f>
        <v>-</v>
      </c>
    </row>
    <row r="47235" customHeight="1" spans="2:2">
      <c r="B47235" s="62" t="str">
        <f>IF(AND('领用录入（明细）'!D:D=$F$4,'领用录入（明细）'!C:C&gt;=$J$4,'领用录入（明细）'!C:C&lt;=$L$4),ROW(),"-")</f>
        <v>-</v>
      </c>
    </row>
    <row r="47236" customHeight="1" spans="2:2">
      <c r="B47236" s="62" t="str">
        <f>IF(AND('领用录入（明细）'!D:D=$F$4,'领用录入（明细）'!C:C&gt;=$J$4,'领用录入（明细）'!C:C&lt;=$L$4),ROW(),"-")</f>
        <v>-</v>
      </c>
    </row>
    <row r="47237" customHeight="1" spans="2:2">
      <c r="B47237" s="62" t="str">
        <f>IF(AND('领用录入（明细）'!D:D=$F$4,'领用录入（明细）'!C:C&gt;=$J$4,'领用录入（明细）'!C:C&lt;=$L$4),ROW(),"-")</f>
        <v>-</v>
      </c>
    </row>
    <row r="47238" customHeight="1" spans="2:2">
      <c r="B47238" s="62" t="str">
        <f>IF(AND('领用录入（明细）'!D:D=$F$4,'领用录入（明细）'!C:C&gt;=$J$4,'领用录入（明细）'!C:C&lt;=$L$4),ROW(),"-")</f>
        <v>-</v>
      </c>
    </row>
    <row r="47239" customHeight="1" spans="2:2">
      <c r="B47239" s="62" t="str">
        <f>IF(AND('领用录入（明细）'!D:D=$F$4,'领用录入（明细）'!C:C&gt;=$J$4,'领用录入（明细）'!C:C&lt;=$L$4),ROW(),"-")</f>
        <v>-</v>
      </c>
    </row>
    <row r="47240" customHeight="1" spans="2:2">
      <c r="B47240" s="62" t="str">
        <f>IF(AND('领用录入（明细）'!D:D=$F$4,'领用录入（明细）'!C:C&gt;=$J$4,'领用录入（明细）'!C:C&lt;=$L$4),ROW(),"-")</f>
        <v>-</v>
      </c>
    </row>
    <row r="47241" customHeight="1" spans="2:2">
      <c r="B47241" s="62" t="str">
        <f>IF(AND('领用录入（明细）'!D:D=$F$4,'领用录入（明细）'!C:C&gt;=$J$4,'领用录入（明细）'!C:C&lt;=$L$4),ROW(),"-")</f>
        <v>-</v>
      </c>
    </row>
    <row r="47242" customHeight="1" spans="2:2">
      <c r="B47242" s="62" t="str">
        <f>IF(AND('领用录入（明细）'!D:D=$F$4,'领用录入（明细）'!C:C&gt;=$J$4,'领用录入（明细）'!C:C&lt;=$L$4),ROW(),"-")</f>
        <v>-</v>
      </c>
    </row>
    <row r="47243" customHeight="1" spans="2:2">
      <c r="B47243" s="62" t="str">
        <f>IF(AND('领用录入（明细）'!D:D=$F$4,'领用录入（明细）'!C:C&gt;=$J$4,'领用录入（明细）'!C:C&lt;=$L$4),ROW(),"-")</f>
        <v>-</v>
      </c>
    </row>
    <row r="47244" customHeight="1" spans="2:2">
      <c r="B47244" s="62" t="str">
        <f>IF(AND('领用录入（明细）'!D:D=$F$4,'领用录入（明细）'!C:C&gt;=$J$4,'领用录入（明细）'!C:C&lt;=$L$4),ROW(),"-")</f>
        <v>-</v>
      </c>
    </row>
    <row r="47245" customHeight="1" spans="2:2">
      <c r="B47245" s="62" t="str">
        <f>IF(AND('领用录入（明细）'!D:D=$F$4,'领用录入（明细）'!C:C&gt;=$J$4,'领用录入（明细）'!C:C&lt;=$L$4),ROW(),"-")</f>
        <v>-</v>
      </c>
    </row>
    <row r="47246" customHeight="1" spans="2:2">
      <c r="B47246" s="62" t="str">
        <f>IF(AND('领用录入（明细）'!D:D=$F$4,'领用录入（明细）'!C:C&gt;=$J$4,'领用录入（明细）'!C:C&lt;=$L$4),ROW(),"-")</f>
        <v>-</v>
      </c>
    </row>
    <row r="47247" customHeight="1" spans="2:2">
      <c r="B47247" s="62" t="str">
        <f>IF(AND('领用录入（明细）'!D:D=$F$4,'领用录入（明细）'!C:C&gt;=$J$4,'领用录入（明细）'!C:C&lt;=$L$4),ROW(),"-")</f>
        <v>-</v>
      </c>
    </row>
    <row r="47248" customHeight="1" spans="2:2">
      <c r="B47248" s="62" t="str">
        <f>IF(AND('领用录入（明细）'!D:D=$F$4,'领用录入（明细）'!C:C&gt;=$J$4,'领用录入（明细）'!C:C&lt;=$L$4),ROW(),"-")</f>
        <v>-</v>
      </c>
    </row>
    <row r="47249" customHeight="1" spans="2:2">
      <c r="B47249" s="62" t="str">
        <f>IF(AND('领用录入（明细）'!D:D=$F$4,'领用录入（明细）'!C:C&gt;=$J$4,'领用录入（明细）'!C:C&lt;=$L$4),ROW(),"-")</f>
        <v>-</v>
      </c>
    </row>
    <row r="47250" customHeight="1" spans="2:2">
      <c r="B47250" s="62" t="str">
        <f>IF(AND('领用录入（明细）'!D:D=$F$4,'领用录入（明细）'!C:C&gt;=$J$4,'领用录入（明细）'!C:C&lt;=$L$4),ROW(),"-")</f>
        <v>-</v>
      </c>
    </row>
    <row r="47251" customHeight="1" spans="2:2">
      <c r="B47251" s="62" t="str">
        <f>IF(AND('领用录入（明细）'!D:D=$F$4,'领用录入（明细）'!C:C&gt;=$J$4,'领用录入（明细）'!C:C&lt;=$L$4),ROW(),"-")</f>
        <v>-</v>
      </c>
    </row>
    <row r="47252" customHeight="1" spans="2:2">
      <c r="B47252" s="62" t="str">
        <f>IF(AND('领用录入（明细）'!D:D=$F$4,'领用录入（明细）'!C:C&gt;=$J$4,'领用录入（明细）'!C:C&lt;=$L$4),ROW(),"-")</f>
        <v>-</v>
      </c>
    </row>
    <row r="47253" customHeight="1" spans="2:2">
      <c r="B47253" s="62" t="str">
        <f>IF(AND('领用录入（明细）'!D:D=$F$4,'领用录入（明细）'!C:C&gt;=$J$4,'领用录入（明细）'!C:C&lt;=$L$4),ROW(),"-")</f>
        <v>-</v>
      </c>
    </row>
    <row r="47254" customHeight="1" spans="2:2">
      <c r="B47254" s="62" t="str">
        <f>IF(AND('领用录入（明细）'!D:D=$F$4,'领用录入（明细）'!C:C&gt;=$J$4,'领用录入（明细）'!C:C&lt;=$L$4),ROW(),"-")</f>
        <v>-</v>
      </c>
    </row>
    <row r="47255" customHeight="1" spans="2:2">
      <c r="B47255" s="62" t="str">
        <f>IF(AND('领用录入（明细）'!D:D=$F$4,'领用录入（明细）'!C:C&gt;=$J$4,'领用录入（明细）'!C:C&lt;=$L$4),ROW(),"-")</f>
        <v>-</v>
      </c>
    </row>
    <row r="47256" customHeight="1" spans="2:2">
      <c r="B47256" s="62" t="str">
        <f>IF(AND('领用录入（明细）'!D:D=$F$4,'领用录入（明细）'!C:C&gt;=$J$4,'领用录入（明细）'!C:C&lt;=$L$4),ROW(),"-")</f>
        <v>-</v>
      </c>
    </row>
    <row r="47257" customHeight="1" spans="2:2">
      <c r="B47257" s="62" t="str">
        <f>IF(AND('领用录入（明细）'!D:D=$F$4,'领用录入（明细）'!C:C&gt;=$J$4,'领用录入（明细）'!C:C&lt;=$L$4),ROW(),"-")</f>
        <v>-</v>
      </c>
    </row>
    <row r="47258" customHeight="1" spans="2:2">
      <c r="B47258" s="62" t="str">
        <f>IF(AND('领用录入（明细）'!D:D=$F$4,'领用录入（明细）'!C:C&gt;=$J$4,'领用录入（明细）'!C:C&lt;=$L$4),ROW(),"-")</f>
        <v>-</v>
      </c>
    </row>
    <row r="47259" customHeight="1" spans="2:2">
      <c r="B47259" s="62" t="str">
        <f>IF(AND('领用录入（明细）'!D:D=$F$4,'领用录入（明细）'!C:C&gt;=$J$4,'领用录入（明细）'!C:C&lt;=$L$4),ROW(),"-")</f>
        <v>-</v>
      </c>
    </row>
    <row r="47260" customHeight="1" spans="2:2">
      <c r="B47260" s="62" t="str">
        <f>IF(AND('领用录入（明细）'!D:D=$F$4,'领用录入（明细）'!C:C&gt;=$J$4,'领用录入（明细）'!C:C&lt;=$L$4),ROW(),"-")</f>
        <v>-</v>
      </c>
    </row>
    <row r="47261" customHeight="1" spans="2:2">
      <c r="B47261" s="62" t="str">
        <f>IF(AND('领用录入（明细）'!D:D=$F$4,'领用录入（明细）'!C:C&gt;=$J$4,'领用录入（明细）'!C:C&lt;=$L$4),ROW(),"-")</f>
        <v>-</v>
      </c>
    </row>
    <row r="47262" customHeight="1" spans="2:2">
      <c r="B47262" s="62" t="str">
        <f>IF(AND('领用录入（明细）'!D:D=$F$4,'领用录入（明细）'!C:C&gt;=$J$4,'领用录入（明细）'!C:C&lt;=$L$4),ROW(),"-")</f>
        <v>-</v>
      </c>
    </row>
    <row r="47263" customHeight="1" spans="2:2">
      <c r="B47263" s="62" t="str">
        <f>IF(AND('领用录入（明细）'!D:D=$F$4,'领用录入（明细）'!C:C&gt;=$J$4,'领用录入（明细）'!C:C&lt;=$L$4),ROW(),"-")</f>
        <v>-</v>
      </c>
    </row>
    <row r="47264" customHeight="1" spans="2:2">
      <c r="B47264" s="62" t="str">
        <f>IF(AND('领用录入（明细）'!D:D=$F$4,'领用录入（明细）'!C:C&gt;=$J$4,'领用录入（明细）'!C:C&lt;=$L$4),ROW(),"-")</f>
        <v>-</v>
      </c>
    </row>
    <row r="47265" customHeight="1" spans="2:2">
      <c r="B47265" s="62" t="str">
        <f>IF(AND('领用录入（明细）'!D:D=$F$4,'领用录入（明细）'!C:C&gt;=$J$4,'领用录入（明细）'!C:C&lt;=$L$4),ROW(),"-")</f>
        <v>-</v>
      </c>
    </row>
    <row r="47266" customHeight="1" spans="2:2">
      <c r="B47266" s="62" t="str">
        <f>IF(AND('领用录入（明细）'!D:D=$F$4,'领用录入（明细）'!C:C&gt;=$J$4,'领用录入（明细）'!C:C&lt;=$L$4),ROW(),"-")</f>
        <v>-</v>
      </c>
    </row>
    <row r="47267" customHeight="1" spans="2:2">
      <c r="B47267" s="62" t="str">
        <f>IF(AND('领用录入（明细）'!D:D=$F$4,'领用录入（明细）'!C:C&gt;=$J$4,'领用录入（明细）'!C:C&lt;=$L$4),ROW(),"-")</f>
        <v>-</v>
      </c>
    </row>
    <row r="47268" customHeight="1" spans="2:2">
      <c r="B47268" s="62" t="str">
        <f>IF(AND('领用录入（明细）'!D:D=$F$4,'领用录入（明细）'!C:C&gt;=$J$4,'领用录入（明细）'!C:C&lt;=$L$4),ROW(),"-")</f>
        <v>-</v>
      </c>
    </row>
    <row r="47269" customHeight="1" spans="2:2">
      <c r="B47269" s="62" t="str">
        <f>IF(AND('领用录入（明细）'!D:D=$F$4,'领用录入（明细）'!C:C&gt;=$J$4,'领用录入（明细）'!C:C&lt;=$L$4),ROW(),"-")</f>
        <v>-</v>
      </c>
    </row>
    <row r="47270" customHeight="1" spans="2:2">
      <c r="B47270" s="62" t="str">
        <f>IF(AND('领用录入（明细）'!D:D=$F$4,'领用录入（明细）'!C:C&gt;=$J$4,'领用录入（明细）'!C:C&lt;=$L$4),ROW(),"-")</f>
        <v>-</v>
      </c>
    </row>
    <row r="47271" customHeight="1" spans="2:2">
      <c r="B47271" s="62" t="str">
        <f>IF(AND('领用录入（明细）'!D:D=$F$4,'领用录入（明细）'!C:C&gt;=$J$4,'领用录入（明细）'!C:C&lt;=$L$4),ROW(),"-")</f>
        <v>-</v>
      </c>
    </row>
    <row r="47272" customHeight="1" spans="2:2">
      <c r="B47272" s="62" t="str">
        <f>IF(AND('领用录入（明细）'!D:D=$F$4,'领用录入（明细）'!C:C&gt;=$J$4,'领用录入（明细）'!C:C&lt;=$L$4),ROW(),"-")</f>
        <v>-</v>
      </c>
    </row>
    <row r="47273" customHeight="1" spans="2:2">
      <c r="B47273" s="62" t="str">
        <f>IF(AND('领用录入（明细）'!D:D=$F$4,'领用录入（明细）'!C:C&gt;=$J$4,'领用录入（明细）'!C:C&lt;=$L$4),ROW(),"-")</f>
        <v>-</v>
      </c>
    </row>
    <row r="47274" customHeight="1" spans="2:2">
      <c r="B47274" s="62" t="str">
        <f>IF(AND('领用录入（明细）'!D:D=$F$4,'领用录入（明细）'!C:C&gt;=$J$4,'领用录入（明细）'!C:C&lt;=$L$4),ROW(),"-")</f>
        <v>-</v>
      </c>
    </row>
    <row r="47275" customHeight="1" spans="2:2">
      <c r="B47275" s="62" t="str">
        <f>IF(AND('领用录入（明细）'!D:D=$F$4,'领用录入（明细）'!C:C&gt;=$J$4,'领用录入（明细）'!C:C&lt;=$L$4),ROW(),"-")</f>
        <v>-</v>
      </c>
    </row>
    <row r="47276" customHeight="1" spans="2:2">
      <c r="B47276" s="62" t="str">
        <f>IF(AND('领用录入（明细）'!D:D=$F$4,'领用录入（明细）'!C:C&gt;=$J$4,'领用录入（明细）'!C:C&lt;=$L$4),ROW(),"-")</f>
        <v>-</v>
      </c>
    </row>
    <row r="47277" customHeight="1" spans="2:2">
      <c r="B47277" s="62" t="str">
        <f>IF(AND('领用录入（明细）'!D:D=$F$4,'领用录入（明细）'!C:C&gt;=$J$4,'领用录入（明细）'!C:C&lt;=$L$4),ROW(),"-")</f>
        <v>-</v>
      </c>
    </row>
    <row r="47278" customHeight="1" spans="2:2">
      <c r="B47278" s="62" t="str">
        <f>IF(AND('领用录入（明细）'!D:D=$F$4,'领用录入（明细）'!C:C&gt;=$J$4,'领用录入（明细）'!C:C&lt;=$L$4),ROW(),"-")</f>
        <v>-</v>
      </c>
    </row>
    <row r="47279" customHeight="1" spans="2:2">
      <c r="B47279" s="62" t="str">
        <f>IF(AND('领用录入（明细）'!D:D=$F$4,'领用录入（明细）'!C:C&gt;=$J$4,'领用录入（明细）'!C:C&lt;=$L$4),ROW(),"-")</f>
        <v>-</v>
      </c>
    </row>
    <row r="47280" customHeight="1" spans="2:2">
      <c r="B47280" s="62" t="str">
        <f>IF(AND('领用录入（明细）'!D:D=$F$4,'领用录入（明细）'!C:C&gt;=$J$4,'领用录入（明细）'!C:C&lt;=$L$4),ROW(),"-")</f>
        <v>-</v>
      </c>
    </row>
    <row r="47281" customHeight="1" spans="2:2">
      <c r="B47281" s="62" t="str">
        <f>IF(AND('领用录入（明细）'!D:D=$F$4,'领用录入（明细）'!C:C&gt;=$J$4,'领用录入（明细）'!C:C&lt;=$L$4),ROW(),"-")</f>
        <v>-</v>
      </c>
    </row>
    <row r="47282" customHeight="1" spans="2:2">
      <c r="B47282" s="62" t="str">
        <f>IF(AND('领用录入（明细）'!D:D=$F$4,'领用录入（明细）'!C:C&gt;=$J$4,'领用录入（明细）'!C:C&lt;=$L$4),ROW(),"-")</f>
        <v>-</v>
      </c>
    </row>
    <row r="47283" customHeight="1" spans="2:2">
      <c r="B47283" s="62" t="str">
        <f>IF(AND('领用录入（明细）'!D:D=$F$4,'领用录入（明细）'!C:C&gt;=$J$4,'领用录入（明细）'!C:C&lt;=$L$4),ROW(),"-")</f>
        <v>-</v>
      </c>
    </row>
    <row r="47284" customHeight="1" spans="2:2">
      <c r="B47284" s="62" t="str">
        <f>IF(AND('领用录入（明细）'!D:D=$F$4,'领用录入（明细）'!C:C&gt;=$J$4,'领用录入（明细）'!C:C&lt;=$L$4),ROW(),"-")</f>
        <v>-</v>
      </c>
    </row>
    <row r="47285" customHeight="1" spans="2:2">
      <c r="B47285" s="62" t="str">
        <f>IF(AND('领用录入（明细）'!D:D=$F$4,'领用录入（明细）'!C:C&gt;=$J$4,'领用录入（明细）'!C:C&lt;=$L$4),ROW(),"-")</f>
        <v>-</v>
      </c>
    </row>
    <row r="47286" customHeight="1" spans="2:2">
      <c r="B47286" s="62" t="str">
        <f>IF(AND('领用录入（明细）'!D:D=$F$4,'领用录入（明细）'!C:C&gt;=$J$4,'领用录入（明细）'!C:C&lt;=$L$4),ROW(),"-")</f>
        <v>-</v>
      </c>
    </row>
    <row r="47287" customHeight="1" spans="2:2">
      <c r="B47287" s="62" t="str">
        <f>IF(AND('领用录入（明细）'!D:D=$F$4,'领用录入（明细）'!C:C&gt;=$J$4,'领用录入（明细）'!C:C&lt;=$L$4),ROW(),"-")</f>
        <v>-</v>
      </c>
    </row>
    <row r="47288" customHeight="1" spans="2:2">
      <c r="B47288" s="62" t="str">
        <f>IF(AND('领用录入（明细）'!D:D=$F$4,'领用录入（明细）'!C:C&gt;=$J$4,'领用录入（明细）'!C:C&lt;=$L$4),ROW(),"-")</f>
        <v>-</v>
      </c>
    </row>
    <row r="47289" customHeight="1" spans="2:2">
      <c r="B47289" s="62" t="str">
        <f>IF(AND('领用录入（明细）'!D:D=$F$4,'领用录入（明细）'!C:C&gt;=$J$4,'领用录入（明细）'!C:C&lt;=$L$4),ROW(),"-")</f>
        <v>-</v>
      </c>
    </row>
    <row r="47290" customHeight="1" spans="2:2">
      <c r="B47290" s="62" t="str">
        <f>IF(AND('领用录入（明细）'!D:D=$F$4,'领用录入（明细）'!C:C&gt;=$J$4,'领用录入（明细）'!C:C&lt;=$L$4),ROW(),"-")</f>
        <v>-</v>
      </c>
    </row>
    <row r="47291" customHeight="1" spans="2:2">
      <c r="B47291" s="62" t="str">
        <f>IF(AND('领用录入（明细）'!D:D=$F$4,'领用录入（明细）'!C:C&gt;=$J$4,'领用录入（明细）'!C:C&lt;=$L$4),ROW(),"-")</f>
        <v>-</v>
      </c>
    </row>
    <row r="47292" customHeight="1" spans="2:2">
      <c r="B47292" s="62" t="str">
        <f>IF(AND('领用录入（明细）'!D:D=$F$4,'领用录入（明细）'!C:C&gt;=$J$4,'领用录入（明细）'!C:C&lt;=$L$4),ROW(),"-")</f>
        <v>-</v>
      </c>
    </row>
    <row r="47293" customHeight="1" spans="2:2">
      <c r="B47293" s="62" t="str">
        <f>IF(AND('领用录入（明细）'!D:D=$F$4,'领用录入（明细）'!C:C&gt;=$J$4,'领用录入（明细）'!C:C&lt;=$L$4),ROW(),"-")</f>
        <v>-</v>
      </c>
    </row>
    <row r="47294" customHeight="1" spans="2:2">
      <c r="B47294" s="62" t="str">
        <f>IF(AND('领用录入（明细）'!D:D=$F$4,'领用录入（明细）'!C:C&gt;=$J$4,'领用录入（明细）'!C:C&lt;=$L$4),ROW(),"-")</f>
        <v>-</v>
      </c>
    </row>
    <row r="47295" customHeight="1" spans="2:2">
      <c r="B47295" s="62" t="str">
        <f>IF(AND('领用录入（明细）'!D:D=$F$4,'领用录入（明细）'!C:C&gt;=$J$4,'领用录入（明细）'!C:C&lt;=$L$4),ROW(),"-")</f>
        <v>-</v>
      </c>
    </row>
    <row r="47296" customHeight="1" spans="2:2">
      <c r="B47296" s="62" t="str">
        <f>IF(AND('领用录入（明细）'!D:D=$F$4,'领用录入（明细）'!C:C&gt;=$J$4,'领用录入（明细）'!C:C&lt;=$L$4),ROW(),"-")</f>
        <v>-</v>
      </c>
    </row>
    <row r="47297" customHeight="1" spans="2:2">
      <c r="B47297" s="62" t="str">
        <f>IF(AND('领用录入（明细）'!D:D=$F$4,'领用录入（明细）'!C:C&gt;=$J$4,'领用录入（明细）'!C:C&lt;=$L$4),ROW(),"-")</f>
        <v>-</v>
      </c>
    </row>
    <row r="47298" customHeight="1" spans="2:2">
      <c r="B47298" s="62" t="str">
        <f>IF(AND('领用录入（明细）'!D:D=$F$4,'领用录入（明细）'!C:C&gt;=$J$4,'领用录入（明细）'!C:C&lt;=$L$4),ROW(),"-")</f>
        <v>-</v>
      </c>
    </row>
    <row r="47299" customHeight="1" spans="2:2">
      <c r="B47299" s="62" t="str">
        <f>IF(AND('领用录入（明细）'!D:D=$F$4,'领用录入（明细）'!C:C&gt;=$J$4,'领用录入（明细）'!C:C&lt;=$L$4),ROW(),"-")</f>
        <v>-</v>
      </c>
    </row>
    <row r="47300" customHeight="1" spans="2:2">
      <c r="B47300" s="62" t="str">
        <f>IF(AND('领用录入（明细）'!D:D=$F$4,'领用录入（明细）'!C:C&gt;=$J$4,'领用录入（明细）'!C:C&lt;=$L$4),ROW(),"-")</f>
        <v>-</v>
      </c>
    </row>
    <row r="47301" customHeight="1" spans="2:2">
      <c r="B47301" s="62" t="str">
        <f>IF(AND('领用录入（明细）'!D:D=$F$4,'领用录入（明细）'!C:C&gt;=$J$4,'领用录入（明细）'!C:C&lt;=$L$4),ROW(),"-")</f>
        <v>-</v>
      </c>
    </row>
    <row r="47302" customHeight="1" spans="2:2">
      <c r="B47302" s="62" t="str">
        <f>IF(AND('领用录入（明细）'!D:D=$F$4,'领用录入（明细）'!C:C&gt;=$J$4,'领用录入（明细）'!C:C&lt;=$L$4),ROW(),"-")</f>
        <v>-</v>
      </c>
    </row>
    <row r="47303" customHeight="1" spans="2:2">
      <c r="B47303" s="62" t="str">
        <f>IF(AND('领用录入（明细）'!D:D=$F$4,'领用录入（明细）'!C:C&gt;=$J$4,'领用录入（明细）'!C:C&lt;=$L$4),ROW(),"-")</f>
        <v>-</v>
      </c>
    </row>
    <row r="47304" customHeight="1" spans="2:2">
      <c r="B47304" s="62" t="str">
        <f>IF(AND('领用录入（明细）'!D:D=$F$4,'领用录入（明细）'!C:C&gt;=$J$4,'领用录入（明细）'!C:C&lt;=$L$4),ROW(),"-")</f>
        <v>-</v>
      </c>
    </row>
    <row r="47305" customHeight="1" spans="2:2">
      <c r="B47305" s="62" t="str">
        <f>IF(AND('领用录入（明细）'!D:D=$F$4,'领用录入（明细）'!C:C&gt;=$J$4,'领用录入（明细）'!C:C&lt;=$L$4),ROW(),"-")</f>
        <v>-</v>
      </c>
    </row>
    <row r="47306" customHeight="1" spans="2:2">
      <c r="B47306" s="62" t="str">
        <f>IF(AND('领用录入（明细）'!D:D=$F$4,'领用录入（明细）'!C:C&gt;=$J$4,'领用录入（明细）'!C:C&lt;=$L$4),ROW(),"-")</f>
        <v>-</v>
      </c>
    </row>
    <row r="47307" customHeight="1" spans="2:2">
      <c r="B47307" s="62" t="str">
        <f>IF(AND('领用录入（明细）'!D:D=$F$4,'领用录入（明细）'!C:C&gt;=$J$4,'领用录入（明细）'!C:C&lt;=$L$4),ROW(),"-")</f>
        <v>-</v>
      </c>
    </row>
    <row r="47308" customHeight="1" spans="2:2">
      <c r="B47308" s="62" t="str">
        <f>IF(AND('领用录入（明细）'!D:D=$F$4,'领用录入（明细）'!C:C&gt;=$J$4,'领用录入（明细）'!C:C&lt;=$L$4),ROW(),"-")</f>
        <v>-</v>
      </c>
    </row>
    <row r="47309" customHeight="1" spans="2:2">
      <c r="B47309" s="62" t="str">
        <f>IF(AND('领用录入（明细）'!D:D=$F$4,'领用录入（明细）'!C:C&gt;=$J$4,'领用录入（明细）'!C:C&lt;=$L$4),ROW(),"-")</f>
        <v>-</v>
      </c>
    </row>
    <row r="47310" customHeight="1" spans="2:2">
      <c r="B47310" s="62" t="str">
        <f>IF(AND('领用录入（明细）'!D:D=$F$4,'领用录入（明细）'!C:C&gt;=$J$4,'领用录入（明细）'!C:C&lt;=$L$4),ROW(),"-")</f>
        <v>-</v>
      </c>
    </row>
    <row r="47311" customHeight="1" spans="2:2">
      <c r="B47311" s="62" t="str">
        <f>IF(AND('领用录入（明细）'!D:D=$F$4,'领用录入（明细）'!C:C&gt;=$J$4,'领用录入（明细）'!C:C&lt;=$L$4),ROW(),"-")</f>
        <v>-</v>
      </c>
    </row>
    <row r="47312" customHeight="1" spans="2:2">
      <c r="B47312" s="62" t="str">
        <f>IF(AND('领用录入（明细）'!D:D=$F$4,'领用录入（明细）'!C:C&gt;=$J$4,'领用录入（明细）'!C:C&lt;=$L$4),ROW(),"-")</f>
        <v>-</v>
      </c>
    </row>
    <row r="47313" customHeight="1" spans="2:2">
      <c r="B47313" s="62" t="str">
        <f>IF(AND('领用录入（明细）'!D:D=$F$4,'领用录入（明细）'!C:C&gt;=$J$4,'领用录入（明细）'!C:C&lt;=$L$4),ROW(),"-")</f>
        <v>-</v>
      </c>
    </row>
    <row r="47314" customHeight="1" spans="2:2">
      <c r="B47314" s="62" t="str">
        <f>IF(AND('领用录入（明细）'!D:D=$F$4,'领用录入（明细）'!C:C&gt;=$J$4,'领用录入（明细）'!C:C&lt;=$L$4),ROW(),"-")</f>
        <v>-</v>
      </c>
    </row>
    <row r="47315" customHeight="1" spans="2:2">
      <c r="B47315" s="62" t="str">
        <f>IF(AND('领用录入（明细）'!D:D=$F$4,'领用录入（明细）'!C:C&gt;=$J$4,'领用录入（明细）'!C:C&lt;=$L$4),ROW(),"-")</f>
        <v>-</v>
      </c>
    </row>
    <row r="47316" customHeight="1" spans="2:2">
      <c r="B47316" s="62" t="str">
        <f>IF(AND('领用录入（明细）'!D:D=$F$4,'领用录入（明细）'!C:C&gt;=$J$4,'领用录入（明细）'!C:C&lt;=$L$4),ROW(),"-")</f>
        <v>-</v>
      </c>
    </row>
    <row r="47317" customHeight="1" spans="2:2">
      <c r="B47317" s="62" t="str">
        <f>IF(AND('领用录入（明细）'!D:D=$F$4,'领用录入（明细）'!C:C&gt;=$J$4,'领用录入（明细）'!C:C&lt;=$L$4),ROW(),"-")</f>
        <v>-</v>
      </c>
    </row>
    <row r="47318" customHeight="1" spans="2:2">
      <c r="B47318" s="62" t="str">
        <f>IF(AND('领用录入（明细）'!D:D=$F$4,'领用录入（明细）'!C:C&gt;=$J$4,'领用录入（明细）'!C:C&lt;=$L$4),ROW(),"-")</f>
        <v>-</v>
      </c>
    </row>
    <row r="47319" customHeight="1" spans="2:2">
      <c r="B47319" s="62" t="str">
        <f>IF(AND('领用录入（明细）'!D:D=$F$4,'领用录入（明细）'!C:C&gt;=$J$4,'领用录入（明细）'!C:C&lt;=$L$4),ROW(),"-")</f>
        <v>-</v>
      </c>
    </row>
    <row r="47320" customHeight="1" spans="2:2">
      <c r="B47320" s="62" t="str">
        <f>IF(AND('领用录入（明细）'!D:D=$F$4,'领用录入（明细）'!C:C&gt;=$J$4,'领用录入（明细）'!C:C&lt;=$L$4),ROW(),"-")</f>
        <v>-</v>
      </c>
    </row>
    <row r="47321" customHeight="1" spans="2:2">
      <c r="B47321" s="62" t="str">
        <f>IF(AND('领用录入（明细）'!D:D=$F$4,'领用录入（明细）'!C:C&gt;=$J$4,'领用录入（明细）'!C:C&lt;=$L$4),ROW(),"-")</f>
        <v>-</v>
      </c>
    </row>
    <row r="47322" customHeight="1" spans="2:2">
      <c r="B47322" s="62" t="str">
        <f>IF(AND('领用录入（明细）'!D:D=$F$4,'领用录入（明细）'!C:C&gt;=$J$4,'领用录入（明细）'!C:C&lt;=$L$4),ROW(),"-")</f>
        <v>-</v>
      </c>
    </row>
    <row r="47323" customHeight="1" spans="2:2">
      <c r="B47323" s="62" t="str">
        <f>IF(AND('领用录入（明细）'!D:D=$F$4,'领用录入（明细）'!C:C&gt;=$J$4,'领用录入（明细）'!C:C&lt;=$L$4),ROW(),"-")</f>
        <v>-</v>
      </c>
    </row>
    <row r="47324" customHeight="1" spans="2:2">
      <c r="B47324" s="62" t="str">
        <f>IF(AND('领用录入（明细）'!D:D=$F$4,'领用录入（明细）'!C:C&gt;=$J$4,'领用录入（明细）'!C:C&lt;=$L$4),ROW(),"-")</f>
        <v>-</v>
      </c>
    </row>
    <row r="47325" customHeight="1" spans="2:2">
      <c r="B47325" s="62" t="str">
        <f>IF(AND('领用录入（明细）'!D:D=$F$4,'领用录入（明细）'!C:C&gt;=$J$4,'领用录入（明细）'!C:C&lt;=$L$4),ROW(),"-")</f>
        <v>-</v>
      </c>
    </row>
    <row r="47326" customHeight="1" spans="2:2">
      <c r="B47326" s="62" t="str">
        <f>IF(AND('领用录入（明细）'!D:D=$F$4,'领用录入（明细）'!C:C&gt;=$J$4,'领用录入（明细）'!C:C&lt;=$L$4),ROW(),"-")</f>
        <v>-</v>
      </c>
    </row>
    <row r="47327" customHeight="1" spans="2:2">
      <c r="B47327" s="62" t="str">
        <f>IF(AND('领用录入（明细）'!D:D=$F$4,'领用录入（明细）'!C:C&gt;=$J$4,'领用录入（明细）'!C:C&lt;=$L$4),ROW(),"-")</f>
        <v>-</v>
      </c>
    </row>
    <row r="47328" customHeight="1" spans="2:2">
      <c r="B47328" s="62" t="str">
        <f>IF(AND('领用录入（明细）'!D:D=$F$4,'领用录入（明细）'!C:C&gt;=$J$4,'领用录入（明细）'!C:C&lt;=$L$4),ROW(),"-")</f>
        <v>-</v>
      </c>
    </row>
    <row r="47329" customHeight="1" spans="2:2">
      <c r="B47329" s="62" t="str">
        <f>IF(AND('领用录入（明细）'!D:D=$F$4,'领用录入（明细）'!C:C&gt;=$J$4,'领用录入（明细）'!C:C&lt;=$L$4),ROW(),"-")</f>
        <v>-</v>
      </c>
    </row>
    <row r="47330" customHeight="1" spans="2:2">
      <c r="B47330" s="62" t="str">
        <f>IF(AND('领用录入（明细）'!D:D=$F$4,'领用录入（明细）'!C:C&gt;=$J$4,'领用录入（明细）'!C:C&lt;=$L$4),ROW(),"-")</f>
        <v>-</v>
      </c>
    </row>
    <row r="47331" customHeight="1" spans="2:2">
      <c r="B47331" s="62" t="str">
        <f>IF(AND('领用录入（明细）'!D:D=$F$4,'领用录入（明细）'!C:C&gt;=$J$4,'领用录入（明细）'!C:C&lt;=$L$4),ROW(),"-")</f>
        <v>-</v>
      </c>
    </row>
    <row r="47332" customHeight="1" spans="2:2">
      <c r="B47332" s="62" t="str">
        <f>IF(AND('领用录入（明细）'!D:D=$F$4,'领用录入（明细）'!C:C&gt;=$J$4,'领用录入（明细）'!C:C&lt;=$L$4),ROW(),"-")</f>
        <v>-</v>
      </c>
    </row>
    <row r="47333" customHeight="1" spans="2:2">
      <c r="B47333" s="62" t="str">
        <f>IF(AND('领用录入（明细）'!D:D=$F$4,'领用录入（明细）'!C:C&gt;=$J$4,'领用录入（明细）'!C:C&lt;=$L$4),ROW(),"-")</f>
        <v>-</v>
      </c>
    </row>
    <row r="47334" customHeight="1" spans="2:2">
      <c r="B47334" s="62" t="str">
        <f>IF(AND('领用录入（明细）'!D:D=$F$4,'领用录入（明细）'!C:C&gt;=$J$4,'领用录入（明细）'!C:C&lt;=$L$4),ROW(),"-")</f>
        <v>-</v>
      </c>
    </row>
    <row r="47335" customHeight="1" spans="2:2">
      <c r="B47335" s="62" t="str">
        <f>IF(AND('领用录入（明细）'!D:D=$F$4,'领用录入（明细）'!C:C&gt;=$J$4,'领用录入（明细）'!C:C&lt;=$L$4),ROW(),"-")</f>
        <v>-</v>
      </c>
    </row>
    <row r="47336" customHeight="1" spans="2:2">
      <c r="B47336" s="62" t="str">
        <f>IF(AND('领用录入（明细）'!D:D=$F$4,'领用录入（明细）'!C:C&gt;=$J$4,'领用录入（明细）'!C:C&lt;=$L$4),ROW(),"-")</f>
        <v>-</v>
      </c>
    </row>
    <row r="47337" customHeight="1" spans="2:2">
      <c r="B47337" s="62" t="str">
        <f>IF(AND('领用录入（明细）'!D:D=$F$4,'领用录入（明细）'!C:C&gt;=$J$4,'领用录入（明细）'!C:C&lt;=$L$4),ROW(),"-")</f>
        <v>-</v>
      </c>
    </row>
    <row r="47338" customHeight="1" spans="2:2">
      <c r="B47338" s="62" t="str">
        <f>IF(AND('领用录入（明细）'!D:D=$F$4,'领用录入（明细）'!C:C&gt;=$J$4,'领用录入（明细）'!C:C&lt;=$L$4),ROW(),"-")</f>
        <v>-</v>
      </c>
    </row>
    <row r="47339" customHeight="1" spans="2:2">
      <c r="B47339" s="62" t="str">
        <f>IF(AND('领用录入（明细）'!D:D=$F$4,'领用录入（明细）'!C:C&gt;=$J$4,'领用录入（明细）'!C:C&lt;=$L$4),ROW(),"-")</f>
        <v>-</v>
      </c>
    </row>
    <row r="47340" customHeight="1" spans="2:2">
      <c r="B47340" s="62" t="str">
        <f>IF(AND('领用录入（明细）'!D:D=$F$4,'领用录入（明细）'!C:C&gt;=$J$4,'领用录入（明细）'!C:C&lt;=$L$4),ROW(),"-")</f>
        <v>-</v>
      </c>
    </row>
    <row r="47341" customHeight="1" spans="2:2">
      <c r="B47341" s="62" t="str">
        <f>IF(AND('领用录入（明细）'!D:D=$F$4,'领用录入（明细）'!C:C&gt;=$J$4,'领用录入（明细）'!C:C&lt;=$L$4),ROW(),"-")</f>
        <v>-</v>
      </c>
    </row>
    <row r="47342" customHeight="1" spans="2:2">
      <c r="B47342" s="62" t="str">
        <f>IF(AND('领用录入（明细）'!D:D=$F$4,'领用录入（明细）'!C:C&gt;=$J$4,'领用录入（明细）'!C:C&lt;=$L$4),ROW(),"-")</f>
        <v>-</v>
      </c>
    </row>
    <row r="47343" customHeight="1" spans="2:2">
      <c r="B47343" s="62" t="str">
        <f>IF(AND('领用录入（明细）'!D:D=$F$4,'领用录入（明细）'!C:C&gt;=$J$4,'领用录入（明细）'!C:C&lt;=$L$4),ROW(),"-")</f>
        <v>-</v>
      </c>
    </row>
    <row r="47344" customHeight="1" spans="2:2">
      <c r="B47344" s="62" t="str">
        <f>IF(AND('领用录入（明细）'!D:D=$F$4,'领用录入（明细）'!C:C&gt;=$J$4,'领用录入（明细）'!C:C&lt;=$L$4),ROW(),"-")</f>
        <v>-</v>
      </c>
    </row>
    <row r="47345" customHeight="1" spans="2:2">
      <c r="B47345" s="62" t="str">
        <f>IF(AND('领用录入（明细）'!D:D=$F$4,'领用录入（明细）'!C:C&gt;=$J$4,'领用录入（明细）'!C:C&lt;=$L$4),ROW(),"-")</f>
        <v>-</v>
      </c>
    </row>
    <row r="47346" customHeight="1" spans="2:2">
      <c r="B47346" s="62" t="str">
        <f>IF(AND('领用录入（明细）'!D:D=$F$4,'领用录入（明细）'!C:C&gt;=$J$4,'领用录入（明细）'!C:C&lt;=$L$4),ROW(),"-")</f>
        <v>-</v>
      </c>
    </row>
    <row r="47347" customHeight="1" spans="2:2">
      <c r="B47347" s="62" t="str">
        <f>IF(AND('领用录入（明细）'!D:D=$F$4,'领用录入（明细）'!C:C&gt;=$J$4,'领用录入（明细）'!C:C&lt;=$L$4),ROW(),"-")</f>
        <v>-</v>
      </c>
    </row>
    <row r="47348" customHeight="1" spans="2:2">
      <c r="B47348" s="62" t="str">
        <f>IF(AND('领用录入（明细）'!D:D=$F$4,'领用录入（明细）'!C:C&gt;=$J$4,'领用录入（明细）'!C:C&lt;=$L$4),ROW(),"-")</f>
        <v>-</v>
      </c>
    </row>
    <row r="47349" customHeight="1" spans="2:2">
      <c r="B47349" s="62" t="str">
        <f>IF(AND('领用录入（明细）'!D:D=$F$4,'领用录入（明细）'!C:C&gt;=$J$4,'领用录入（明细）'!C:C&lt;=$L$4),ROW(),"-")</f>
        <v>-</v>
      </c>
    </row>
    <row r="47350" customHeight="1" spans="2:2">
      <c r="B47350" s="62" t="str">
        <f>IF(AND('领用录入（明细）'!D:D=$F$4,'领用录入（明细）'!C:C&gt;=$J$4,'领用录入（明细）'!C:C&lt;=$L$4),ROW(),"-")</f>
        <v>-</v>
      </c>
    </row>
    <row r="47351" customHeight="1" spans="2:2">
      <c r="B47351" s="62" t="str">
        <f>IF(AND('领用录入（明细）'!D:D=$F$4,'领用录入（明细）'!C:C&gt;=$J$4,'领用录入（明细）'!C:C&lt;=$L$4),ROW(),"-")</f>
        <v>-</v>
      </c>
    </row>
    <row r="47352" customHeight="1" spans="2:2">
      <c r="B47352" s="62" t="str">
        <f>IF(AND('领用录入（明细）'!D:D=$F$4,'领用录入（明细）'!C:C&gt;=$J$4,'领用录入（明细）'!C:C&lt;=$L$4),ROW(),"-")</f>
        <v>-</v>
      </c>
    </row>
    <row r="47353" customHeight="1" spans="2:2">
      <c r="B47353" s="62" t="str">
        <f>IF(AND('领用录入（明细）'!D:D=$F$4,'领用录入（明细）'!C:C&gt;=$J$4,'领用录入（明细）'!C:C&lt;=$L$4),ROW(),"-")</f>
        <v>-</v>
      </c>
    </row>
    <row r="47354" customHeight="1" spans="2:2">
      <c r="B47354" s="62" t="str">
        <f>IF(AND('领用录入（明细）'!D:D=$F$4,'领用录入（明细）'!C:C&gt;=$J$4,'领用录入（明细）'!C:C&lt;=$L$4),ROW(),"-")</f>
        <v>-</v>
      </c>
    </row>
    <row r="47355" customHeight="1" spans="2:2">
      <c r="B47355" s="62" t="str">
        <f>IF(AND('领用录入（明细）'!D:D=$F$4,'领用录入（明细）'!C:C&gt;=$J$4,'领用录入（明细）'!C:C&lt;=$L$4),ROW(),"-")</f>
        <v>-</v>
      </c>
    </row>
    <row r="47356" customHeight="1" spans="2:2">
      <c r="B47356" s="62" t="str">
        <f>IF(AND('领用录入（明细）'!D:D=$F$4,'领用录入（明细）'!C:C&gt;=$J$4,'领用录入（明细）'!C:C&lt;=$L$4),ROW(),"-")</f>
        <v>-</v>
      </c>
    </row>
    <row r="47357" customHeight="1" spans="2:2">
      <c r="B47357" s="62" t="str">
        <f>IF(AND('领用录入（明细）'!D:D=$F$4,'领用录入（明细）'!C:C&gt;=$J$4,'领用录入（明细）'!C:C&lt;=$L$4),ROW(),"-")</f>
        <v>-</v>
      </c>
    </row>
    <row r="47358" customHeight="1" spans="2:2">
      <c r="B47358" s="62" t="str">
        <f>IF(AND('领用录入（明细）'!D:D=$F$4,'领用录入（明细）'!C:C&gt;=$J$4,'领用录入（明细）'!C:C&lt;=$L$4),ROW(),"-")</f>
        <v>-</v>
      </c>
    </row>
    <row r="47359" customHeight="1" spans="2:2">
      <c r="B47359" s="62" t="str">
        <f>IF(AND('领用录入（明细）'!D:D=$F$4,'领用录入（明细）'!C:C&gt;=$J$4,'领用录入（明细）'!C:C&lt;=$L$4),ROW(),"-")</f>
        <v>-</v>
      </c>
    </row>
    <row r="47360" customHeight="1" spans="2:2">
      <c r="B47360" s="62" t="str">
        <f>IF(AND('领用录入（明细）'!D:D=$F$4,'领用录入（明细）'!C:C&gt;=$J$4,'领用录入（明细）'!C:C&lt;=$L$4),ROW(),"-")</f>
        <v>-</v>
      </c>
    </row>
    <row r="47361" customHeight="1" spans="2:2">
      <c r="B47361" s="62" t="str">
        <f>IF(AND('领用录入（明细）'!D:D=$F$4,'领用录入（明细）'!C:C&gt;=$J$4,'领用录入（明细）'!C:C&lt;=$L$4),ROW(),"-")</f>
        <v>-</v>
      </c>
    </row>
    <row r="47362" customHeight="1" spans="2:2">
      <c r="B47362" s="62" t="str">
        <f>IF(AND('领用录入（明细）'!D:D=$F$4,'领用录入（明细）'!C:C&gt;=$J$4,'领用录入（明细）'!C:C&lt;=$L$4),ROW(),"-")</f>
        <v>-</v>
      </c>
    </row>
    <row r="47363" customHeight="1" spans="2:2">
      <c r="B47363" s="62" t="str">
        <f>IF(AND('领用录入（明细）'!D:D=$F$4,'领用录入（明细）'!C:C&gt;=$J$4,'领用录入（明细）'!C:C&lt;=$L$4),ROW(),"-")</f>
        <v>-</v>
      </c>
    </row>
    <row r="47364" customHeight="1" spans="2:2">
      <c r="B47364" s="62" t="str">
        <f>IF(AND('领用录入（明细）'!D:D=$F$4,'领用录入（明细）'!C:C&gt;=$J$4,'领用录入（明细）'!C:C&lt;=$L$4),ROW(),"-")</f>
        <v>-</v>
      </c>
    </row>
    <row r="47365" customHeight="1" spans="2:2">
      <c r="B47365" s="62" t="str">
        <f>IF(AND('领用录入（明细）'!D:D=$F$4,'领用录入（明细）'!C:C&gt;=$J$4,'领用录入（明细）'!C:C&lt;=$L$4),ROW(),"-")</f>
        <v>-</v>
      </c>
    </row>
    <row r="47366" customHeight="1" spans="2:2">
      <c r="B47366" s="62" t="str">
        <f>IF(AND('领用录入（明细）'!D:D=$F$4,'领用录入（明细）'!C:C&gt;=$J$4,'领用录入（明细）'!C:C&lt;=$L$4),ROW(),"-")</f>
        <v>-</v>
      </c>
    </row>
    <row r="47367" customHeight="1" spans="2:2">
      <c r="B47367" s="62" t="str">
        <f>IF(AND('领用录入（明细）'!D:D=$F$4,'领用录入（明细）'!C:C&gt;=$J$4,'领用录入（明细）'!C:C&lt;=$L$4),ROW(),"-")</f>
        <v>-</v>
      </c>
    </row>
    <row r="47368" customHeight="1" spans="2:2">
      <c r="B47368" s="62" t="str">
        <f>IF(AND('领用录入（明细）'!D:D=$F$4,'领用录入（明细）'!C:C&gt;=$J$4,'领用录入（明细）'!C:C&lt;=$L$4),ROW(),"-")</f>
        <v>-</v>
      </c>
    </row>
    <row r="47369" customHeight="1" spans="2:2">
      <c r="B47369" s="62" t="str">
        <f>IF(AND('领用录入（明细）'!D:D=$F$4,'领用录入（明细）'!C:C&gt;=$J$4,'领用录入（明细）'!C:C&lt;=$L$4),ROW(),"-")</f>
        <v>-</v>
      </c>
    </row>
    <row r="47370" customHeight="1" spans="2:2">
      <c r="B47370" s="62" t="str">
        <f>IF(AND('领用录入（明细）'!D:D=$F$4,'领用录入（明细）'!C:C&gt;=$J$4,'领用录入（明细）'!C:C&lt;=$L$4),ROW(),"-")</f>
        <v>-</v>
      </c>
    </row>
    <row r="47371" customHeight="1" spans="2:2">
      <c r="B47371" s="62" t="str">
        <f>IF(AND('领用录入（明细）'!D:D=$F$4,'领用录入（明细）'!C:C&gt;=$J$4,'领用录入（明细）'!C:C&lt;=$L$4),ROW(),"-")</f>
        <v>-</v>
      </c>
    </row>
    <row r="47372" customHeight="1" spans="2:2">
      <c r="B47372" s="62" t="str">
        <f>IF(AND('领用录入（明细）'!D:D=$F$4,'领用录入（明细）'!C:C&gt;=$J$4,'领用录入（明细）'!C:C&lt;=$L$4),ROW(),"-")</f>
        <v>-</v>
      </c>
    </row>
    <row r="47373" customHeight="1" spans="2:2">
      <c r="B47373" s="62" t="str">
        <f>IF(AND('领用录入（明细）'!D:D=$F$4,'领用录入（明细）'!C:C&gt;=$J$4,'领用录入（明细）'!C:C&lt;=$L$4),ROW(),"-")</f>
        <v>-</v>
      </c>
    </row>
    <row r="47374" customHeight="1" spans="2:2">
      <c r="B47374" s="62" t="str">
        <f>IF(AND('领用录入（明细）'!D:D=$F$4,'领用录入（明细）'!C:C&gt;=$J$4,'领用录入（明细）'!C:C&lt;=$L$4),ROW(),"-")</f>
        <v>-</v>
      </c>
    </row>
    <row r="47375" customHeight="1" spans="2:2">
      <c r="B47375" s="62" t="str">
        <f>IF(AND('领用录入（明细）'!D:D=$F$4,'领用录入（明细）'!C:C&gt;=$J$4,'领用录入（明细）'!C:C&lt;=$L$4),ROW(),"-")</f>
        <v>-</v>
      </c>
    </row>
    <row r="47376" customHeight="1" spans="2:2">
      <c r="B47376" s="62" t="str">
        <f>IF(AND('领用录入（明细）'!D:D=$F$4,'领用录入（明细）'!C:C&gt;=$J$4,'领用录入（明细）'!C:C&lt;=$L$4),ROW(),"-")</f>
        <v>-</v>
      </c>
    </row>
    <row r="47377" customHeight="1" spans="2:2">
      <c r="B47377" s="62" t="str">
        <f>IF(AND('领用录入（明细）'!D:D=$F$4,'领用录入（明细）'!C:C&gt;=$J$4,'领用录入（明细）'!C:C&lt;=$L$4),ROW(),"-")</f>
        <v>-</v>
      </c>
    </row>
    <row r="47378" customHeight="1" spans="2:2">
      <c r="B47378" s="62" t="str">
        <f>IF(AND('领用录入（明细）'!D:D=$F$4,'领用录入（明细）'!C:C&gt;=$J$4,'领用录入（明细）'!C:C&lt;=$L$4),ROW(),"-")</f>
        <v>-</v>
      </c>
    </row>
    <row r="47379" customHeight="1" spans="2:2">
      <c r="B47379" s="62" t="str">
        <f>IF(AND('领用录入（明细）'!D:D=$F$4,'领用录入（明细）'!C:C&gt;=$J$4,'领用录入（明细）'!C:C&lt;=$L$4),ROW(),"-")</f>
        <v>-</v>
      </c>
    </row>
    <row r="47380" customHeight="1" spans="2:2">
      <c r="B47380" s="62" t="str">
        <f>IF(AND('领用录入（明细）'!D:D=$F$4,'领用录入（明细）'!C:C&gt;=$J$4,'领用录入（明细）'!C:C&lt;=$L$4),ROW(),"-")</f>
        <v>-</v>
      </c>
    </row>
    <row r="47381" customHeight="1" spans="2:2">
      <c r="B47381" s="62" t="str">
        <f>IF(AND('领用录入（明细）'!D:D=$F$4,'领用录入（明细）'!C:C&gt;=$J$4,'领用录入（明细）'!C:C&lt;=$L$4),ROW(),"-")</f>
        <v>-</v>
      </c>
    </row>
    <row r="47382" customHeight="1" spans="2:2">
      <c r="B47382" s="62" t="str">
        <f>IF(AND('领用录入（明细）'!D:D=$F$4,'领用录入（明细）'!C:C&gt;=$J$4,'领用录入（明细）'!C:C&lt;=$L$4),ROW(),"-")</f>
        <v>-</v>
      </c>
    </row>
    <row r="47383" customHeight="1" spans="2:2">
      <c r="B47383" s="62" t="str">
        <f>IF(AND('领用录入（明细）'!D:D=$F$4,'领用录入（明细）'!C:C&gt;=$J$4,'领用录入（明细）'!C:C&lt;=$L$4),ROW(),"-")</f>
        <v>-</v>
      </c>
    </row>
    <row r="47384" customHeight="1" spans="2:2">
      <c r="B47384" s="62" t="str">
        <f>IF(AND('领用录入（明细）'!D:D=$F$4,'领用录入（明细）'!C:C&gt;=$J$4,'领用录入（明细）'!C:C&lt;=$L$4),ROW(),"-")</f>
        <v>-</v>
      </c>
    </row>
    <row r="47385" customHeight="1" spans="2:2">
      <c r="B47385" s="62" t="str">
        <f>IF(AND('领用录入（明细）'!D:D=$F$4,'领用录入（明细）'!C:C&gt;=$J$4,'领用录入（明细）'!C:C&lt;=$L$4),ROW(),"-")</f>
        <v>-</v>
      </c>
    </row>
    <row r="47386" customHeight="1" spans="2:2">
      <c r="B47386" s="62" t="str">
        <f>IF(AND('领用录入（明细）'!D:D=$F$4,'领用录入（明细）'!C:C&gt;=$J$4,'领用录入（明细）'!C:C&lt;=$L$4),ROW(),"-")</f>
        <v>-</v>
      </c>
    </row>
    <row r="47387" customHeight="1" spans="2:2">
      <c r="B47387" s="62" t="str">
        <f>IF(AND('领用录入（明细）'!D:D=$F$4,'领用录入（明细）'!C:C&gt;=$J$4,'领用录入（明细）'!C:C&lt;=$L$4),ROW(),"-")</f>
        <v>-</v>
      </c>
    </row>
    <row r="47388" customHeight="1" spans="2:2">
      <c r="B47388" s="62" t="str">
        <f>IF(AND('领用录入（明细）'!D:D=$F$4,'领用录入（明细）'!C:C&gt;=$J$4,'领用录入（明细）'!C:C&lt;=$L$4),ROW(),"-")</f>
        <v>-</v>
      </c>
    </row>
    <row r="47389" customHeight="1" spans="2:2">
      <c r="B47389" s="62" t="str">
        <f>IF(AND('领用录入（明细）'!D:D=$F$4,'领用录入（明细）'!C:C&gt;=$J$4,'领用录入（明细）'!C:C&lt;=$L$4),ROW(),"-")</f>
        <v>-</v>
      </c>
    </row>
    <row r="47390" customHeight="1" spans="2:2">
      <c r="B47390" s="62" t="str">
        <f>IF(AND('领用录入（明细）'!D:D=$F$4,'领用录入（明细）'!C:C&gt;=$J$4,'领用录入（明细）'!C:C&lt;=$L$4),ROW(),"-")</f>
        <v>-</v>
      </c>
    </row>
    <row r="47391" customHeight="1" spans="2:2">
      <c r="B47391" s="62" t="str">
        <f>IF(AND('领用录入（明细）'!D:D=$F$4,'领用录入（明细）'!C:C&gt;=$J$4,'领用录入（明细）'!C:C&lt;=$L$4),ROW(),"-")</f>
        <v>-</v>
      </c>
    </row>
    <row r="47392" customHeight="1" spans="2:2">
      <c r="B47392" s="62" t="str">
        <f>IF(AND('领用录入（明细）'!D:D=$F$4,'领用录入（明细）'!C:C&gt;=$J$4,'领用录入（明细）'!C:C&lt;=$L$4),ROW(),"-")</f>
        <v>-</v>
      </c>
    </row>
    <row r="47393" customHeight="1" spans="2:2">
      <c r="B47393" s="62" t="str">
        <f>IF(AND('领用录入（明细）'!D:D=$F$4,'领用录入（明细）'!C:C&gt;=$J$4,'领用录入（明细）'!C:C&lt;=$L$4),ROW(),"-")</f>
        <v>-</v>
      </c>
    </row>
    <row r="47394" customHeight="1" spans="2:2">
      <c r="B47394" s="62" t="str">
        <f>IF(AND('领用录入（明细）'!D:D=$F$4,'领用录入（明细）'!C:C&gt;=$J$4,'领用录入（明细）'!C:C&lt;=$L$4),ROW(),"-")</f>
        <v>-</v>
      </c>
    </row>
    <row r="47395" customHeight="1" spans="2:2">
      <c r="B47395" s="62" t="str">
        <f>IF(AND('领用录入（明细）'!D:D=$F$4,'领用录入（明细）'!C:C&gt;=$J$4,'领用录入（明细）'!C:C&lt;=$L$4),ROW(),"-")</f>
        <v>-</v>
      </c>
    </row>
    <row r="47396" customHeight="1" spans="2:2">
      <c r="B47396" s="62" t="str">
        <f>IF(AND('领用录入（明细）'!D:D=$F$4,'领用录入（明细）'!C:C&gt;=$J$4,'领用录入（明细）'!C:C&lt;=$L$4),ROW(),"-")</f>
        <v>-</v>
      </c>
    </row>
    <row r="47397" customHeight="1" spans="2:2">
      <c r="B47397" s="62" t="str">
        <f>IF(AND('领用录入（明细）'!D:D=$F$4,'领用录入（明细）'!C:C&gt;=$J$4,'领用录入（明细）'!C:C&lt;=$L$4),ROW(),"-")</f>
        <v>-</v>
      </c>
    </row>
    <row r="47398" customHeight="1" spans="2:2">
      <c r="B47398" s="62" t="str">
        <f>IF(AND('领用录入（明细）'!D:D=$F$4,'领用录入（明细）'!C:C&gt;=$J$4,'领用录入（明细）'!C:C&lt;=$L$4),ROW(),"-")</f>
        <v>-</v>
      </c>
    </row>
    <row r="47399" customHeight="1" spans="2:2">
      <c r="B47399" s="62" t="str">
        <f>IF(AND('领用录入（明细）'!D:D=$F$4,'领用录入（明细）'!C:C&gt;=$J$4,'领用录入（明细）'!C:C&lt;=$L$4),ROW(),"-")</f>
        <v>-</v>
      </c>
    </row>
    <row r="47400" customHeight="1" spans="2:2">
      <c r="B47400" s="62" t="str">
        <f>IF(AND('领用录入（明细）'!D:D=$F$4,'领用录入（明细）'!C:C&gt;=$J$4,'领用录入（明细）'!C:C&lt;=$L$4),ROW(),"-")</f>
        <v>-</v>
      </c>
    </row>
    <row r="47401" customHeight="1" spans="2:2">
      <c r="B47401" s="62" t="str">
        <f>IF(AND('领用录入（明细）'!D:D=$F$4,'领用录入（明细）'!C:C&gt;=$J$4,'领用录入（明细）'!C:C&lt;=$L$4),ROW(),"-")</f>
        <v>-</v>
      </c>
    </row>
    <row r="47402" customHeight="1" spans="2:2">
      <c r="B47402" s="62" t="str">
        <f>IF(AND('领用录入（明细）'!D:D=$F$4,'领用录入（明细）'!C:C&gt;=$J$4,'领用录入（明细）'!C:C&lt;=$L$4),ROW(),"-")</f>
        <v>-</v>
      </c>
    </row>
    <row r="47403" customHeight="1" spans="2:2">
      <c r="B47403" s="62" t="str">
        <f>IF(AND('领用录入（明细）'!D:D=$F$4,'领用录入（明细）'!C:C&gt;=$J$4,'领用录入（明细）'!C:C&lt;=$L$4),ROW(),"-")</f>
        <v>-</v>
      </c>
    </row>
    <row r="47404" customHeight="1" spans="2:2">
      <c r="B47404" s="62" t="str">
        <f>IF(AND('领用录入（明细）'!D:D=$F$4,'领用录入（明细）'!C:C&gt;=$J$4,'领用录入（明细）'!C:C&lt;=$L$4),ROW(),"-")</f>
        <v>-</v>
      </c>
    </row>
    <row r="47405" customHeight="1" spans="2:2">
      <c r="B47405" s="62" t="str">
        <f>IF(AND('领用录入（明细）'!D:D=$F$4,'领用录入（明细）'!C:C&gt;=$J$4,'领用录入（明细）'!C:C&lt;=$L$4),ROW(),"-")</f>
        <v>-</v>
      </c>
    </row>
    <row r="47406" customHeight="1" spans="2:2">
      <c r="B47406" s="62" t="str">
        <f>IF(AND('领用录入（明细）'!D:D=$F$4,'领用录入（明细）'!C:C&gt;=$J$4,'领用录入（明细）'!C:C&lt;=$L$4),ROW(),"-")</f>
        <v>-</v>
      </c>
    </row>
    <row r="47407" customHeight="1" spans="2:2">
      <c r="B47407" s="62" t="str">
        <f>IF(AND('领用录入（明细）'!D:D=$F$4,'领用录入（明细）'!C:C&gt;=$J$4,'领用录入（明细）'!C:C&lt;=$L$4),ROW(),"-")</f>
        <v>-</v>
      </c>
    </row>
    <row r="47408" customHeight="1" spans="2:2">
      <c r="B47408" s="62" t="str">
        <f>IF(AND('领用录入（明细）'!D:D=$F$4,'领用录入（明细）'!C:C&gt;=$J$4,'领用录入（明细）'!C:C&lt;=$L$4),ROW(),"-")</f>
        <v>-</v>
      </c>
    </row>
    <row r="47409" customHeight="1" spans="2:2">
      <c r="B47409" s="62" t="str">
        <f>IF(AND('领用录入（明细）'!D:D=$F$4,'领用录入（明细）'!C:C&gt;=$J$4,'领用录入（明细）'!C:C&lt;=$L$4),ROW(),"-")</f>
        <v>-</v>
      </c>
    </row>
    <row r="47410" customHeight="1" spans="2:2">
      <c r="B47410" s="62" t="str">
        <f>IF(AND('领用录入（明细）'!D:D=$F$4,'领用录入（明细）'!C:C&gt;=$J$4,'领用录入（明细）'!C:C&lt;=$L$4),ROW(),"-")</f>
        <v>-</v>
      </c>
    </row>
    <row r="47411" customHeight="1" spans="2:2">
      <c r="B47411" s="62" t="str">
        <f>IF(AND('领用录入（明细）'!D:D=$F$4,'领用录入（明细）'!C:C&gt;=$J$4,'领用录入（明细）'!C:C&lt;=$L$4),ROW(),"-")</f>
        <v>-</v>
      </c>
    </row>
    <row r="47412" customHeight="1" spans="2:2">
      <c r="B47412" s="62" t="str">
        <f>IF(AND('领用录入（明细）'!D:D=$F$4,'领用录入（明细）'!C:C&gt;=$J$4,'领用录入（明细）'!C:C&lt;=$L$4),ROW(),"-")</f>
        <v>-</v>
      </c>
    </row>
    <row r="47413" customHeight="1" spans="2:2">
      <c r="B47413" s="62" t="str">
        <f>IF(AND('领用录入（明细）'!D:D=$F$4,'领用录入（明细）'!C:C&gt;=$J$4,'领用录入（明细）'!C:C&lt;=$L$4),ROW(),"-")</f>
        <v>-</v>
      </c>
    </row>
    <row r="47414" customHeight="1" spans="2:2">
      <c r="B47414" s="62" t="str">
        <f>IF(AND('领用录入（明细）'!D:D=$F$4,'领用录入（明细）'!C:C&gt;=$J$4,'领用录入（明细）'!C:C&lt;=$L$4),ROW(),"-")</f>
        <v>-</v>
      </c>
    </row>
    <row r="47415" customHeight="1" spans="2:2">
      <c r="B47415" s="62" t="str">
        <f>IF(AND('领用录入（明细）'!D:D=$F$4,'领用录入（明细）'!C:C&gt;=$J$4,'领用录入（明细）'!C:C&lt;=$L$4),ROW(),"-")</f>
        <v>-</v>
      </c>
    </row>
    <row r="47416" customHeight="1" spans="2:2">
      <c r="B47416" s="62" t="str">
        <f>IF(AND('领用录入（明细）'!D:D=$F$4,'领用录入（明细）'!C:C&gt;=$J$4,'领用录入（明细）'!C:C&lt;=$L$4),ROW(),"-")</f>
        <v>-</v>
      </c>
    </row>
    <row r="47417" customHeight="1" spans="2:2">
      <c r="B47417" s="62" t="str">
        <f>IF(AND('领用录入（明细）'!D:D=$F$4,'领用录入（明细）'!C:C&gt;=$J$4,'领用录入（明细）'!C:C&lt;=$L$4),ROW(),"-")</f>
        <v>-</v>
      </c>
    </row>
    <row r="47418" customHeight="1" spans="2:2">
      <c r="B47418" s="62" t="str">
        <f>IF(AND('领用录入（明细）'!D:D=$F$4,'领用录入（明细）'!C:C&gt;=$J$4,'领用录入（明细）'!C:C&lt;=$L$4),ROW(),"-")</f>
        <v>-</v>
      </c>
    </row>
    <row r="47419" customHeight="1" spans="2:2">
      <c r="B47419" s="62" t="str">
        <f>IF(AND('领用录入（明细）'!D:D=$F$4,'领用录入（明细）'!C:C&gt;=$J$4,'领用录入（明细）'!C:C&lt;=$L$4),ROW(),"-")</f>
        <v>-</v>
      </c>
    </row>
    <row r="47420" customHeight="1" spans="2:2">
      <c r="B47420" s="62" t="str">
        <f>IF(AND('领用录入（明细）'!D:D=$F$4,'领用录入（明细）'!C:C&gt;=$J$4,'领用录入（明细）'!C:C&lt;=$L$4),ROW(),"-")</f>
        <v>-</v>
      </c>
    </row>
    <row r="47421" customHeight="1" spans="2:2">
      <c r="B47421" s="62" t="str">
        <f>IF(AND('领用录入（明细）'!D:D=$F$4,'领用录入（明细）'!C:C&gt;=$J$4,'领用录入（明细）'!C:C&lt;=$L$4),ROW(),"-")</f>
        <v>-</v>
      </c>
    </row>
    <row r="47422" customHeight="1" spans="2:2">
      <c r="B47422" s="62" t="str">
        <f>IF(AND('领用录入（明细）'!D:D=$F$4,'领用录入（明细）'!C:C&gt;=$J$4,'领用录入（明细）'!C:C&lt;=$L$4),ROW(),"-")</f>
        <v>-</v>
      </c>
    </row>
    <row r="47423" customHeight="1" spans="2:2">
      <c r="B47423" s="62" t="str">
        <f>IF(AND('领用录入（明细）'!D:D=$F$4,'领用录入（明细）'!C:C&gt;=$J$4,'领用录入（明细）'!C:C&lt;=$L$4),ROW(),"-")</f>
        <v>-</v>
      </c>
    </row>
    <row r="47424" customHeight="1" spans="2:2">
      <c r="B47424" s="62" t="str">
        <f>IF(AND('领用录入（明细）'!D:D=$F$4,'领用录入（明细）'!C:C&gt;=$J$4,'领用录入（明细）'!C:C&lt;=$L$4),ROW(),"-")</f>
        <v>-</v>
      </c>
    </row>
    <row r="47425" customHeight="1" spans="2:2">
      <c r="B47425" s="62" t="str">
        <f>IF(AND('领用录入（明细）'!D:D=$F$4,'领用录入（明细）'!C:C&gt;=$J$4,'领用录入（明细）'!C:C&lt;=$L$4),ROW(),"-")</f>
        <v>-</v>
      </c>
    </row>
    <row r="47426" customHeight="1" spans="2:2">
      <c r="B47426" s="62" t="str">
        <f>IF(AND('领用录入（明细）'!D:D=$F$4,'领用录入（明细）'!C:C&gt;=$J$4,'领用录入（明细）'!C:C&lt;=$L$4),ROW(),"-")</f>
        <v>-</v>
      </c>
    </row>
    <row r="47427" customHeight="1" spans="2:2">
      <c r="B47427" s="62" t="str">
        <f>IF(AND('领用录入（明细）'!D:D=$F$4,'领用录入（明细）'!C:C&gt;=$J$4,'领用录入（明细）'!C:C&lt;=$L$4),ROW(),"-")</f>
        <v>-</v>
      </c>
    </row>
    <row r="47428" customHeight="1" spans="2:2">
      <c r="B47428" s="62" t="str">
        <f>IF(AND('领用录入（明细）'!D:D=$F$4,'领用录入（明细）'!C:C&gt;=$J$4,'领用录入（明细）'!C:C&lt;=$L$4),ROW(),"-")</f>
        <v>-</v>
      </c>
    </row>
    <row r="47429" customHeight="1" spans="2:2">
      <c r="B47429" s="62" t="str">
        <f>IF(AND('领用录入（明细）'!D:D=$F$4,'领用录入（明细）'!C:C&gt;=$J$4,'领用录入（明细）'!C:C&lt;=$L$4),ROW(),"-")</f>
        <v>-</v>
      </c>
    </row>
    <row r="47430" customHeight="1" spans="2:2">
      <c r="B47430" s="62" t="str">
        <f>IF(AND('领用录入（明细）'!D:D=$F$4,'领用录入（明细）'!C:C&gt;=$J$4,'领用录入（明细）'!C:C&lt;=$L$4),ROW(),"-")</f>
        <v>-</v>
      </c>
    </row>
    <row r="47431" customHeight="1" spans="2:2">
      <c r="B47431" s="62" t="str">
        <f>IF(AND('领用录入（明细）'!D:D=$F$4,'领用录入（明细）'!C:C&gt;=$J$4,'领用录入（明细）'!C:C&lt;=$L$4),ROW(),"-")</f>
        <v>-</v>
      </c>
    </row>
    <row r="47432" customHeight="1" spans="2:2">
      <c r="B47432" s="62" t="str">
        <f>IF(AND('领用录入（明细）'!D:D=$F$4,'领用录入（明细）'!C:C&gt;=$J$4,'领用录入（明细）'!C:C&lt;=$L$4),ROW(),"-")</f>
        <v>-</v>
      </c>
    </row>
    <row r="47433" customHeight="1" spans="2:2">
      <c r="B47433" s="62" t="str">
        <f>IF(AND('领用录入（明细）'!D:D=$F$4,'领用录入（明细）'!C:C&gt;=$J$4,'领用录入（明细）'!C:C&lt;=$L$4),ROW(),"-")</f>
        <v>-</v>
      </c>
    </row>
    <row r="47434" customHeight="1" spans="2:2">
      <c r="B47434" s="62" t="str">
        <f>IF(AND('领用录入（明细）'!D:D=$F$4,'领用录入（明细）'!C:C&gt;=$J$4,'领用录入（明细）'!C:C&lt;=$L$4),ROW(),"-")</f>
        <v>-</v>
      </c>
    </row>
    <row r="47435" customHeight="1" spans="2:2">
      <c r="B47435" s="62" t="str">
        <f>IF(AND('领用录入（明细）'!D:D=$F$4,'领用录入（明细）'!C:C&gt;=$J$4,'领用录入（明细）'!C:C&lt;=$L$4),ROW(),"-")</f>
        <v>-</v>
      </c>
    </row>
    <row r="47436" customHeight="1" spans="2:2">
      <c r="B47436" s="62" t="str">
        <f>IF(AND('领用录入（明细）'!D:D=$F$4,'领用录入（明细）'!C:C&gt;=$J$4,'领用录入（明细）'!C:C&lt;=$L$4),ROW(),"-")</f>
        <v>-</v>
      </c>
    </row>
    <row r="47437" customHeight="1" spans="2:2">
      <c r="B47437" s="62" t="str">
        <f>IF(AND('领用录入（明细）'!D:D=$F$4,'领用录入（明细）'!C:C&gt;=$J$4,'领用录入（明细）'!C:C&lt;=$L$4),ROW(),"-")</f>
        <v>-</v>
      </c>
    </row>
    <row r="47438" customHeight="1" spans="2:2">
      <c r="B47438" s="62" t="str">
        <f>IF(AND('领用录入（明细）'!D:D=$F$4,'领用录入（明细）'!C:C&gt;=$J$4,'领用录入（明细）'!C:C&lt;=$L$4),ROW(),"-")</f>
        <v>-</v>
      </c>
    </row>
    <row r="47439" customHeight="1" spans="2:2">
      <c r="B47439" s="62" t="str">
        <f>IF(AND('领用录入（明细）'!D:D=$F$4,'领用录入（明细）'!C:C&gt;=$J$4,'领用录入（明细）'!C:C&lt;=$L$4),ROW(),"-")</f>
        <v>-</v>
      </c>
    </row>
    <row r="47440" customHeight="1" spans="2:2">
      <c r="B47440" s="62" t="str">
        <f>IF(AND('领用录入（明细）'!D:D=$F$4,'领用录入（明细）'!C:C&gt;=$J$4,'领用录入（明细）'!C:C&lt;=$L$4),ROW(),"-")</f>
        <v>-</v>
      </c>
    </row>
    <row r="47441" customHeight="1" spans="2:2">
      <c r="B47441" s="62" t="str">
        <f>IF(AND('领用录入（明细）'!D:D=$F$4,'领用录入（明细）'!C:C&gt;=$J$4,'领用录入（明细）'!C:C&lt;=$L$4),ROW(),"-")</f>
        <v>-</v>
      </c>
    </row>
    <row r="47442" customHeight="1" spans="2:2">
      <c r="B47442" s="62" t="str">
        <f>IF(AND('领用录入（明细）'!D:D=$F$4,'领用录入（明细）'!C:C&gt;=$J$4,'领用录入（明细）'!C:C&lt;=$L$4),ROW(),"-")</f>
        <v>-</v>
      </c>
    </row>
    <row r="47443" customHeight="1" spans="2:2">
      <c r="B47443" s="62" t="str">
        <f>IF(AND('领用录入（明细）'!D:D=$F$4,'领用录入（明细）'!C:C&gt;=$J$4,'领用录入（明细）'!C:C&lt;=$L$4),ROW(),"-")</f>
        <v>-</v>
      </c>
    </row>
    <row r="47444" customHeight="1" spans="2:2">
      <c r="B47444" s="62" t="str">
        <f>IF(AND('领用录入（明细）'!D:D=$F$4,'领用录入（明细）'!C:C&gt;=$J$4,'领用录入（明细）'!C:C&lt;=$L$4),ROW(),"-")</f>
        <v>-</v>
      </c>
    </row>
    <row r="47445" customHeight="1" spans="2:2">
      <c r="B47445" s="62" t="str">
        <f>IF(AND('领用录入（明细）'!D:D=$F$4,'领用录入（明细）'!C:C&gt;=$J$4,'领用录入（明细）'!C:C&lt;=$L$4),ROW(),"-")</f>
        <v>-</v>
      </c>
    </row>
    <row r="47446" customHeight="1" spans="2:2">
      <c r="B47446" s="62" t="str">
        <f>IF(AND('领用录入（明细）'!D:D=$F$4,'领用录入（明细）'!C:C&gt;=$J$4,'领用录入（明细）'!C:C&lt;=$L$4),ROW(),"-")</f>
        <v>-</v>
      </c>
    </row>
    <row r="47447" customHeight="1" spans="2:2">
      <c r="B47447" s="62" t="str">
        <f>IF(AND('领用录入（明细）'!D:D=$F$4,'领用录入（明细）'!C:C&gt;=$J$4,'领用录入（明细）'!C:C&lt;=$L$4),ROW(),"-")</f>
        <v>-</v>
      </c>
    </row>
    <row r="47448" customHeight="1" spans="2:2">
      <c r="B47448" s="62" t="str">
        <f>IF(AND('领用录入（明细）'!D:D=$F$4,'领用录入（明细）'!C:C&gt;=$J$4,'领用录入（明细）'!C:C&lt;=$L$4),ROW(),"-")</f>
        <v>-</v>
      </c>
    </row>
    <row r="47449" customHeight="1" spans="2:2">
      <c r="B47449" s="62" t="str">
        <f>IF(AND('领用录入（明细）'!D:D=$F$4,'领用录入（明细）'!C:C&gt;=$J$4,'领用录入（明细）'!C:C&lt;=$L$4),ROW(),"-")</f>
        <v>-</v>
      </c>
    </row>
    <row r="47450" customHeight="1" spans="2:2">
      <c r="B47450" s="62" t="str">
        <f>IF(AND('领用录入（明细）'!D:D=$F$4,'领用录入（明细）'!C:C&gt;=$J$4,'领用录入（明细）'!C:C&lt;=$L$4),ROW(),"-")</f>
        <v>-</v>
      </c>
    </row>
    <row r="47451" customHeight="1" spans="2:2">
      <c r="B47451" s="62" t="str">
        <f>IF(AND('领用录入（明细）'!D:D=$F$4,'领用录入（明细）'!C:C&gt;=$J$4,'领用录入（明细）'!C:C&lt;=$L$4),ROW(),"-")</f>
        <v>-</v>
      </c>
    </row>
    <row r="47452" customHeight="1" spans="2:2">
      <c r="B47452" s="62" t="str">
        <f>IF(AND('领用录入（明细）'!D:D=$F$4,'领用录入（明细）'!C:C&gt;=$J$4,'领用录入（明细）'!C:C&lt;=$L$4),ROW(),"-")</f>
        <v>-</v>
      </c>
    </row>
    <row r="47453" customHeight="1" spans="2:2">
      <c r="B47453" s="62" t="str">
        <f>IF(AND('领用录入（明细）'!D:D=$F$4,'领用录入（明细）'!C:C&gt;=$J$4,'领用录入（明细）'!C:C&lt;=$L$4),ROW(),"-")</f>
        <v>-</v>
      </c>
    </row>
    <row r="47454" customHeight="1" spans="2:2">
      <c r="B47454" s="62" t="str">
        <f>IF(AND('领用录入（明细）'!D:D=$F$4,'领用录入（明细）'!C:C&gt;=$J$4,'领用录入（明细）'!C:C&lt;=$L$4),ROW(),"-")</f>
        <v>-</v>
      </c>
    </row>
    <row r="47455" customHeight="1" spans="2:2">
      <c r="B47455" s="62" t="str">
        <f>IF(AND('领用录入（明细）'!D:D=$F$4,'领用录入（明细）'!C:C&gt;=$J$4,'领用录入（明细）'!C:C&lt;=$L$4),ROW(),"-")</f>
        <v>-</v>
      </c>
    </row>
    <row r="47456" customHeight="1" spans="2:2">
      <c r="B47456" s="62" t="str">
        <f>IF(AND('领用录入（明细）'!D:D=$F$4,'领用录入（明细）'!C:C&gt;=$J$4,'领用录入（明细）'!C:C&lt;=$L$4),ROW(),"-")</f>
        <v>-</v>
      </c>
    </row>
    <row r="47457" customHeight="1" spans="2:2">
      <c r="B47457" s="62" t="str">
        <f>IF(AND('领用录入（明细）'!D:D=$F$4,'领用录入（明细）'!C:C&gt;=$J$4,'领用录入（明细）'!C:C&lt;=$L$4),ROW(),"-")</f>
        <v>-</v>
      </c>
    </row>
    <row r="47458" customHeight="1" spans="2:2">
      <c r="B47458" s="62" t="str">
        <f>IF(AND('领用录入（明细）'!D:D=$F$4,'领用录入（明细）'!C:C&gt;=$J$4,'领用录入（明细）'!C:C&lt;=$L$4),ROW(),"-")</f>
        <v>-</v>
      </c>
    </row>
    <row r="47459" customHeight="1" spans="2:2">
      <c r="B47459" s="62" t="str">
        <f>IF(AND('领用录入（明细）'!D:D=$F$4,'领用录入（明细）'!C:C&gt;=$J$4,'领用录入（明细）'!C:C&lt;=$L$4),ROW(),"-")</f>
        <v>-</v>
      </c>
    </row>
    <row r="47460" customHeight="1" spans="2:2">
      <c r="B47460" s="62" t="str">
        <f>IF(AND('领用录入（明细）'!D:D=$F$4,'领用录入（明细）'!C:C&gt;=$J$4,'领用录入（明细）'!C:C&lt;=$L$4),ROW(),"-")</f>
        <v>-</v>
      </c>
    </row>
    <row r="47461" customHeight="1" spans="2:2">
      <c r="B47461" s="62" t="str">
        <f>IF(AND('领用录入（明细）'!D:D=$F$4,'领用录入（明细）'!C:C&gt;=$J$4,'领用录入（明细）'!C:C&lt;=$L$4),ROW(),"-")</f>
        <v>-</v>
      </c>
    </row>
    <row r="47462" customHeight="1" spans="2:2">
      <c r="B47462" s="62" t="str">
        <f>IF(AND('领用录入（明细）'!D:D=$F$4,'领用录入（明细）'!C:C&gt;=$J$4,'领用录入（明细）'!C:C&lt;=$L$4),ROW(),"-")</f>
        <v>-</v>
      </c>
    </row>
    <row r="47463" customHeight="1" spans="2:2">
      <c r="B47463" s="62" t="str">
        <f>IF(AND('领用录入（明细）'!D:D=$F$4,'领用录入（明细）'!C:C&gt;=$J$4,'领用录入（明细）'!C:C&lt;=$L$4),ROW(),"-")</f>
        <v>-</v>
      </c>
    </row>
    <row r="47464" customHeight="1" spans="2:2">
      <c r="B47464" s="62" t="str">
        <f>IF(AND('领用录入（明细）'!D:D=$F$4,'领用录入（明细）'!C:C&gt;=$J$4,'领用录入（明细）'!C:C&lt;=$L$4),ROW(),"-")</f>
        <v>-</v>
      </c>
    </row>
    <row r="47465" customHeight="1" spans="2:2">
      <c r="B47465" s="62" t="str">
        <f>IF(AND('领用录入（明细）'!D:D=$F$4,'领用录入（明细）'!C:C&gt;=$J$4,'领用录入（明细）'!C:C&lt;=$L$4),ROW(),"-")</f>
        <v>-</v>
      </c>
    </row>
    <row r="47466" customHeight="1" spans="2:2">
      <c r="B47466" s="62" t="str">
        <f>IF(AND('领用录入（明细）'!D:D=$F$4,'领用录入（明细）'!C:C&gt;=$J$4,'领用录入（明细）'!C:C&lt;=$L$4),ROW(),"-")</f>
        <v>-</v>
      </c>
    </row>
    <row r="47467" customHeight="1" spans="2:2">
      <c r="B47467" s="62" t="str">
        <f>IF(AND('领用录入（明细）'!D:D=$F$4,'领用录入（明细）'!C:C&gt;=$J$4,'领用录入（明细）'!C:C&lt;=$L$4),ROW(),"-")</f>
        <v>-</v>
      </c>
    </row>
    <row r="47468" customHeight="1" spans="2:2">
      <c r="B47468" s="62" t="str">
        <f>IF(AND('领用录入（明细）'!D:D=$F$4,'领用录入（明细）'!C:C&gt;=$J$4,'领用录入（明细）'!C:C&lt;=$L$4),ROW(),"-")</f>
        <v>-</v>
      </c>
    </row>
    <row r="47469" customHeight="1" spans="2:2">
      <c r="B47469" s="62" t="str">
        <f>IF(AND('领用录入（明细）'!D:D=$F$4,'领用录入（明细）'!C:C&gt;=$J$4,'领用录入（明细）'!C:C&lt;=$L$4),ROW(),"-")</f>
        <v>-</v>
      </c>
    </row>
    <row r="47470" customHeight="1" spans="2:2">
      <c r="B47470" s="62" t="str">
        <f>IF(AND('领用录入（明细）'!D:D=$F$4,'领用录入（明细）'!C:C&gt;=$J$4,'领用录入（明细）'!C:C&lt;=$L$4),ROW(),"-")</f>
        <v>-</v>
      </c>
    </row>
    <row r="47471" customHeight="1" spans="2:2">
      <c r="B47471" s="62" t="str">
        <f>IF(AND('领用录入（明细）'!D:D=$F$4,'领用录入（明细）'!C:C&gt;=$J$4,'领用录入（明细）'!C:C&lt;=$L$4),ROW(),"-")</f>
        <v>-</v>
      </c>
    </row>
    <row r="47472" customHeight="1" spans="2:2">
      <c r="B47472" s="62" t="str">
        <f>IF(AND('领用录入（明细）'!D:D=$F$4,'领用录入（明细）'!C:C&gt;=$J$4,'领用录入（明细）'!C:C&lt;=$L$4),ROW(),"-")</f>
        <v>-</v>
      </c>
    </row>
    <row r="47473" customHeight="1" spans="2:2">
      <c r="B47473" s="62" t="str">
        <f>IF(AND('领用录入（明细）'!D:D=$F$4,'领用录入（明细）'!C:C&gt;=$J$4,'领用录入（明细）'!C:C&lt;=$L$4),ROW(),"-")</f>
        <v>-</v>
      </c>
    </row>
    <row r="47474" customHeight="1" spans="2:2">
      <c r="B47474" s="62" t="str">
        <f>IF(AND('领用录入（明细）'!D:D=$F$4,'领用录入（明细）'!C:C&gt;=$J$4,'领用录入（明细）'!C:C&lt;=$L$4),ROW(),"-")</f>
        <v>-</v>
      </c>
    </row>
    <row r="47475" customHeight="1" spans="2:2">
      <c r="B47475" s="62" t="str">
        <f>IF(AND('领用录入（明细）'!D:D=$F$4,'领用录入（明细）'!C:C&gt;=$J$4,'领用录入（明细）'!C:C&lt;=$L$4),ROW(),"-")</f>
        <v>-</v>
      </c>
    </row>
    <row r="47476" customHeight="1" spans="2:2">
      <c r="B47476" s="62" t="str">
        <f>IF(AND('领用录入（明细）'!D:D=$F$4,'领用录入（明细）'!C:C&gt;=$J$4,'领用录入（明细）'!C:C&lt;=$L$4),ROW(),"-")</f>
        <v>-</v>
      </c>
    </row>
    <row r="47477" customHeight="1" spans="2:2">
      <c r="B47477" s="62" t="str">
        <f>IF(AND('领用录入（明细）'!D:D=$F$4,'领用录入（明细）'!C:C&gt;=$J$4,'领用录入（明细）'!C:C&lt;=$L$4),ROW(),"-")</f>
        <v>-</v>
      </c>
    </row>
    <row r="47478" customHeight="1" spans="2:2">
      <c r="B47478" s="62" t="str">
        <f>IF(AND('领用录入（明细）'!D:D=$F$4,'领用录入（明细）'!C:C&gt;=$J$4,'领用录入（明细）'!C:C&lt;=$L$4),ROW(),"-")</f>
        <v>-</v>
      </c>
    </row>
    <row r="47479" customHeight="1" spans="2:2">
      <c r="B47479" s="62" t="str">
        <f>IF(AND('领用录入（明细）'!D:D=$F$4,'领用录入（明细）'!C:C&gt;=$J$4,'领用录入（明细）'!C:C&lt;=$L$4),ROW(),"-")</f>
        <v>-</v>
      </c>
    </row>
    <row r="47480" customHeight="1" spans="2:2">
      <c r="B47480" s="62" t="str">
        <f>IF(AND('领用录入（明细）'!D:D=$F$4,'领用录入（明细）'!C:C&gt;=$J$4,'领用录入（明细）'!C:C&lt;=$L$4),ROW(),"-")</f>
        <v>-</v>
      </c>
    </row>
    <row r="47481" customHeight="1" spans="2:2">
      <c r="B47481" s="62" t="str">
        <f>IF(AND('领用录入（明细）'!D:D=$F$4,'领用录入（明细）'!C:C&gt;=$J$4,'领用录入（明细）'!C:C&lt;=$L$4),ROW(),"-")</f>
        <v>-</v>
      </c>
    </row>
    <row r="47482" customHeight="1" spans="2:2">
      <c r="B47482" s="62" t="str">
        <f>IF(AND('领用录入（明细）'!D:D=$F$4,'领用录入（明细）'!C:C&gt;=$J$4,'领用录入（明细）'!C:C&lt;=$L$4),ROW(),"-")</f>
        <v>-</v>
      </c>
    </row>
    <row r="47483" customHeight="1" spans="2:2">
      <c r="B47483" s="62" t="str">
        <f>IF(AND('领用录入（明细）'!D:D=$F$4,'领用录入（明细）'!C:C&gt;=$J$4,'领用录入（明细）'!C:C&lt;=$L$4),ROW(),"-")</f>
        <v>-</v>
      </c>
    </row>
    <row r="47484" customHeight="1" spans="2:2">
      <c r="B47484" s="62" t="str">
        <f>IF(AND('领用录入（明细）'!D:D=$F$4,'领用录入（明细）'!C:C&gt;=$J$4,'领用录入（明细）'!C:C&lt;=$L$4),ROW(),"-")</f>
        <v>-</v>
      </c>
    </row>
    <row r="47485" customHeight="1" spans="2:2">
      <c r="B47485" s="62" t="str">
        <f>IF(AND('领用录入（明细）'!D:D=$F$4,'领用录入（明细）'!C:C&gt;=$J$4,'领用录入（明细）'!C:C&lt;=$L$4),ROW(),"-")</f>
        <v>-</v>
      </c>
    </row>
    <row r="47486" customHeight="1" spans="2:2">
      <c r="B47486" s="62" t="str">
        <f>IF(AND('领用录入（明细）'!D:D=$F$4,'领用录入（明细）'!C:C&gt;=$J$4,'领用录入（明细）'!C:C&lt;=$L$4),ROW(),"-")</f>
        <v>-</v>
      </c>
    </row>
    <row r="47487" customHeight="1" spans="2:2">
      <c r="B47487" s="62" t="str">
        <f>IF(AND('领用录入（明细）'!D:D=$F$4,'领用录入（明细）'!C:C&gt;=$J$4,'领用录入（明细）'!C:C&lt;=$L$4),ROW(),"-")</f>
        <v>-</v>
      </c>
    </row>
    <row r="47488" customHeight="1" spans="2:2">
      <c r="B47488" s="62" t="str">
        <f>IF(AND('领用录入（明细）'!D:D=$F$4,'领用录入（明细）'!C:C&gt;=$J$4,'领用录入（明细）'!C:C&lt;=$L$4),ROW(),"-")</f>
        <v>-</v>
      </c>
    </row>
    <row r="47489" customHeight="1" spans="2:2">
      <c r="B47489" s="62" t="str">
        <f>IF(AND('领用录入（明细）'!D:D=$F$4,'领用录入（明细）'!C:C&gt;=$J$4,'领用录入（明细）'!C:C&lt;=$L$4),ROW(),"-")</f>
        <v>-</v>
      </c>
    </row>
    <row r="47490" customHeight="1" spans="2:2">
      <c r="B47490" s="62" t="str">
        <f>IF(AND('领用录入（明细）'!D:D=$F$4,'领用录入（明细）'!C:C&gt;=$J$4,'领用录入（明细）'!C:C&lt;=$L$4),ROW(),"-")</f>
        <v>-</v>
      </c>
    </row>
    <row r="47491" customHeight="1" spans="2:2">
      <c r="B47491" s="62" t="str">
        <f>IF(AND('领用录入（明细）'!D:D=$F$4,'领用录入（明细）'!C:C&gt;=$J$4,'领用录入（明细）'!C:C&lt;=$L$4),ROW(),"-")</f>
        <v>-</v>
      </c>
    </row>
    <row r="47492" customHeight="1" spans="2:2">
      <c r="B47492" s="62" t="str">
        <f>IF(AND('领用录入（明细）'!D:D=$F$4,'领用录入（明细）'!C:C&gt;=$J$4,'领用录入（明细）'!C:C&lt;=$L$4),ROW(),"-")</f>
        <v>-</v>
      </c>
    </row>
    <row r="47493" customHeight="1" spans="2:2">
      <c r="B47493" s="62" t="str">
        <f>IF(AND('领用录入（明细）'!D:D=$F$4,'领用录入（明细）'!C:C&gt;=$J$4,'领用录入（明细）'!C:C&lt;=$L$4),ROW(),"-")</f>
        <v>-</v>
      </c>
    </row>
    <row r="47494" customHeight="1" spans="2:2">
      <c r="B47494" s="62" t="str">
        <f>IF(AND('领用录入（明细）'!D:D=$F$4,'领用录入（明细）'!C:C&gt;=$J$4,'领用录入（明细）'!C:C&lt;=$L$4),ROW(),"-")</f>
        <v>-</v>
      </c>
    </row>
    <row r="47495" customHeight="1" spans="2:2">
      <c r="B47495" s="62" t="str">
        <f>IF(AND('领用录入（明细）'!D:D=$F$4,'领用录入（明细）'!C:C&gt;=$J$4,'领用录入（明细）'!C:C&lt;=$L$4),ROW(),"-")</f>
        <v>-</v>
      </c>
    </row>
    <row r="47496" customHeight="1" spans="2:2">
      <c r="B47496" s="62" t="str">
        <f>IF(AND('领用录入（明细）'!D:D=$F$4,'领用录入（明细）'!C:C&gt;=$J$4,'领用录入（明细）'!C:C&lt;=$L$4),ROW(),"-")</f>
        <v>-</v>
      </c>
    </row>
    <row r="47497" customHeight="1" spans="2:2">
      <c r="B47497" s="62" t="str">
        <f>IF(AND('领用录入（明细）'!D:D=$F$4,'领用录入（明细）'!C:C&gt;=$J$4,'领用录入（明细）'!C:C&lt;=$L$4),ROW(),"-")</f>
        <v>-</v>
      </c>
    </row>
    <row r="47498" customHeight="1" spans="2:2">
      <c r="B47498" s="62" t="str">
        <f>IF(AND('领用录入（明细）'!D:D=$F$4,'领用录入（明细）'!C:C&gt;=$J$4,'领用录入（明细）'!C:C&lt;=$L$4),ROW(),"-")</f>
        <v>-</v>
      </c>
    </row>
    <row r="47499" customHeight="1" spans="2:2">
      <c r="B47499" s="62" t="str">
        <f>IF(AND('领用录入（明细）'!D:D=$F$4,'领用录入（明细）'!C:C&gt;=$J$4,'领用录入（明细）'!C:C&lt;=$L$4),ROW(),"-")</f>
        <v>-</v>
      </c>
    </row>
    <row r="47500" customHeight="1" spans="2:2">
      <c r="B47500" s="62" t="str">
        <f>IF(AND('领用录入（明细）'!D:D=$F$4,'领用录入（明细）'!C:C&gt;=$J$4,'领用录入（明细）'!C:C&lt;=$L$4),ROW(),"-")</f>
        <v>-</v>
      </c>
    </row>
    <row r="47501" customHeight="1" spans="2:2">
      <c r="B47501" s="62" t="str">
        <f>IF(AND('领用录入（明细）'!D:D=$F$4,'领用录入（明细）'!C:C&gt;=$J$4,'领用录入（明细）'!C:C&lt;=$L$4),ROW(),"-")</f>
        <v>-</v>
      </c>
    </row>
    <row r="47502" customHeight="1" spans="2:2">
      <c r="B47502" s="62" t="str">
        <f>IF(AND('领用录入（明细）'!D:D=$F$4,'领用录入（明细）'!C:C&gt;=$J$4,'领用录入（明细）'!C:C&lt;=$L$4),ROW(),"-")</f>
        <v>-</v>
      </c>
    </row>
    <row r="47503" customHeight="1" spans="2:2">
      <c r="B47503" s="62" t="str">
        <f>IF(AND('领用录入（明细）'!D:D=$F$4,'领用录入（明细）'!C:C&gt;=$J$4,'领用录入（明细）'!C:C&lt;=$L$4),ROW(),"-")</f>
        <v>-</v>
      </c>
    </row>
    <row r="47504" customHeight="1" spans="2:2">
      <c r="B47504" s="62" t="str">
        <f>IF(AND('领用录入（明细）'!D:D=$F$4,'领用录入（明细）'!C:C&gt;=$J$4,'领用录入（明细）'!C:C&lt;=$L$4),ROW(),"-")</f>
        <v>-</v>
      </c>
    </row>
    <row r="47505" customHeight="1" spans="2:2">
      <c r="B47505" s="62" t="str">
        <f>IF(AND('领用录入（明细）'!D:D=$F$4,'领用录入（明细）'!C:C&gt;=$J$4,'领用录入（明细）'!C:C&lt;=$L$4),ROW(),"-")</f>
        <v>-</v>
      </c>
    </row>
    <row r="47506" customHeight="1" spans="2:2">
      <c r="B47506" s="62" t="str">
        <f>IF(AND('领用录入（明细）'!D:D=$F$4,'领用录入（明细）'!C:C&gt;=$J$4,'领用录入（明细）'!C:C&lt;=$L$4),ROW(),"-")</f>
        <v>-</v>
      </c>
    </row>
    <row r="47507" customHeight="1" spans="2:2">
      <c r="B47507" s="62" t="str">
        <f>IF(AND('领用录入（明细）'!D:D=$F$4,'领用录入（明细）'!C:C&gt;=$J$4,'领用录入（明细）'!C:C&lt;=$L$4),ROW(),"-")</f>
        <v>-</v>
      </c>
    </row>
    <row r="47508" customHeight="1" spans="2:2">
      <c r="B47508" s="62" t="str">
        <f>IF(AND('领用录入（明细）'!D:D=$F$4,'领用录入（明细）'!C:C&gt;=$J$4,'领用录入（明细）'!C:C&lt;=$L$4),ROW(),"-")</f>
        <v>-</v>
      </c>
    </row>
    <row r="47509" customHeight="1" spans="2:2">
      <c r="B47509" s="62" t="str">
        <f>IF(AND('领用录入（明细）'!D:D=$F$4,'领用录入（明细）'!C:C&gt;=$J$4,'领用录入（明细）'!C:C&lt;=$L$4),ROW(),"-")</f>
        <v>-</v>
      </c>
    </row>
    <row r="47510" customHeight="1" spans="2:2">
      <c r="B47510" s="62" t="str">
        <f>IF(AND('领用录入（明细）'!D:D=$F$4,'领用录入（明细）'!C:C&gt;=$J$4,'领用录入（明细）'!C:C&lt;=$L$4),ROW(),"-")</f>
        <v>-</v>
      </c>
    </row>
    <row r="47511" customHeight="1" spans="2:2">
      <c r="B47511" s="62" t="str">
        <f>IF(AND('领用录入（明细）'!D:D=$F$4,'领用录入（明细）'!C:C&gt;=$J$4,'领用录入（明细）'!C:C&lt;=$L$4),ROW(),"-")</f>
        <v>-</v>
      </c>
    </row>
    <row r="47512" customHeight="1" spans="2:2">
      <c r="B47512" s="62" t="str">
        <f>IF(AND('领用录入（明细）'!D:D=$F$4,'领用录入（明细）'!C:C&gt;=$J$4,'领用录入（明细）'!C:C&lt;=$L$4),ROW(),"-")</f>
        <v>-</v>
      </c>
    </row>
    <row r="47513" customHeight="1" spans="2:2">
      <c r="B47513" s="62" t="str">
        <f>IF(AND('领用录入（明细）'!D:D=$F$4,'领用录入（明细）'!C:C&gt;=$J$4,'领用录入（明细）'!C:C&lt;=$L$4),ROW(),"-")</f>
        <v>-</v>
      </c>
    </row>
    <row r="47514" customHeight="1" spans="2:2">
      <c r="B47514" s="62" t="str">
        <f>IF(AND('领用录入（明细）'!D:D=$F$4,'领用录入（明细）'!C:C&gt;=$J$4,'领用录入（明细）'!C:C&lt;=$L$4),ROW(),"-")</f>
        <v>-</v>
      </c>
    </row>
    <row r="47515" customHeight="1" spans="2:2">
      <c r="B47515" s="62" t="str">
        <f>IF(AND('领用录入（明细）'!D:D=$F$4,'领用录入（明细）'!C:C&gt;=$J$4,'领用录入（明细）'!C:C&lt;=$L$4),ROW(),"-")</f>
        <v>-</v>
      </c>
    </row>
    <row r="47516" customHeight="1" spans="2:2">
      <c r="B47516" s="62" t="str">
        <f>IF(AND('领用录入（明细）'!D:D=$F$4,'领用录入（明细）'!C:C&gt;=$J$4,'领用录入（明细）'!C:C&lt;=$L$4),ROW(),"-")</f>
        <v>-</v>
      </c>
    </row>
    <row r="47517" customHeight="1" spans="2:2">
      <c r="B47517" s="62" t="str">
        <f>IF(AND('领用录入（明细）'!D:D=$F$4,'领用录入（明细）'!C:C&gt;=$J$4,'领用录入（明细）'!C:C&lt;=$L$4),ROW(),"-")</f>
        <v>-</v>
      </c>
    </row>
    <row r="47518" customHeight="1" spans="2:2">
      <c r="B47518" s="62" t="str">
        <f>IF(AND('领用录入（明细）'!D:D=$F$4,'领用录入（明细）'!C:C&gt;=$J$4,'领用录入（明细）'!C:C&lt;=$L$4),ROW(),"-")</f>
        <v>-</v>
      </c>
    </row>
    <row r="47519" customHeight="1" spans="2:2">
      <c r="B47519" s="62" t="str">
        <f>IF(AND('领用录入（明细）'!D:D=$F$4,'领用录入（明细）'!C:C&gt;=$J$4,'领用录入（明细）'!C:C&lt;=$L$4),ROW(),"-")</f>
        <v>-</v>
      </c>
    </row>
    <row r="47520" customHeight="1" spans="2:2">
      <c r="B47520" s="62" t="str">
        <f>IF(AND('领用录入（明细）'!D:D=$F$4,'领用录入（明细）'!C:C&gt;=$J$4,'领用录入（明细）'!C:C&lt;=$L$4),ROW(),"-")</f>
        <v>-</v>
      </c>
    </row>
    <row r="47521" customHeight="1" spans="2:2">
      <c r="B47521" s="62" t="str">
        <f>IF(AND('领用录入（明细）'!D:D=$F$4,'领用录入（明细）'!C:C&gt;=$J$4,'领用录入（明细）'!C:C&lt;=$L$4),ROW(),"-")</f>
        <v>-</v>
      </c>
    </row>
    <row r="47522" customHeight="1" spans="2:2">
      <c r="B47522" s="62" t="str">
        <f>IF(AND('领用录入（明细）'!D:D=$F$4,'领用录入（明细）'!C:C&gt;=$J$4,'领用录入（明细）'!C:C&lt;=$L$4),ROW(),"-")</f>
        <v>-</v>
      </c>
    </row>
    <row r="47523" customHeight="1" spans="2:2">
      <c r="B47523" s="62" t="str">
        <f>IF(AND('领用录入（明细）'!D:D=$F$4,'领用录入（明细）'!C:C&gt;=$J$4,'领用录入（明细）'!C:C&lt;=$L$4),ROW(),"-")</f>
        <v>-</v>
      </c>
    </row>
    <row r="47524" customHeight="1" spans="2:2">
      <c r="B47524" s="62" t="str">
        <f>IF(AND('领用录入（明细）'!D:D=$F$4,'领用录入（明细）'!C:C&gt;=$J$4,'领用录入（明细）'!C:C&lt;=$L$4),ROW(),"-")</f>
        <v>-</v>
      </c>
    </row>
    <row r="47525" customHeight="1" spans="2:2">
      <c r="B47525" s="62" t="str">
        <f>IF(AND('领用录入（明细）'!D:D=$F$4,'领用录入（明细）'!C:C&gt;=$J$4,'领用录入（明细）'!C:C&lt;=$L$4),ROW(),"-")</f>
        <v>-</v>
      </c>
    </row>
    <row r="47526" customHeight="1" spans="2:2">
      <c r="B47526" s="62" t="str">
        <f>IF(AND('领用录入（明细）'!D:D=$F$4,'领用录入（明细）'!C:C&gt;=$J$4,'领用录入（明细）'!C:C&lt;=$L$4),ROW(),"-")</f>
        <v>-</v>
      </c>
    </row>
    <row r="47527" customHeight="1" spans="2:2">
      <c r="B47527" s="62" t="str">
        <f>IF(AND('领用录入（明细）'!D:D=$F$4,'领用录入（明细）'!C:C&gt;=$J$4,'领用录入（明细）'!C:C&lt;=$L$4),ROW(),"-")</f>
        <v>-</v>
      </c>
    </row>
    <row r="47528" customHeight="1" spans="2:2">
      <c r="B47528" s="62" t="str">
        <f>IF(AND('领用录入（明细）'!D:D=$F$4,'领用录入（明细）'!C:C&gt;=$J$4,'领用录入（明细）'!C:C&lt;=$L$4),ROW(),"-")</f>
        <v>-</v>
      </c>
    </row>
    <row r="47529" customHeight="1" spans="2:2">
      <c r="B47529" s="62" t="str">
        <f>IF(AND('领用录入（明细）'!D:D=$F$4,'领用录入（明细）'!C:C&gt;=$J$4,'领用录入（明细）'!C:C&lt;=$L$4),ROW(),"-")</f>
        <v>-</v>
      </c>
    </row>
    <row r="47530" customHeight="1" spans="2:2">
      <c r="B47530" s="62" t="str">
        <f>IF(AND('领用录入（明细）'!D:D=$F$4,'领用录入（明细）'!C:C&gt;=$J$4,'领用录入（明细）'!C:C&lt;=$L$4),ROW(),"-")</f>
        <v>-</v>
      </c>
    </row>
    <row r="47531" customHeight="1" spans="2:2">
      <c r="B47531" s="62" t="str">
        <f>IF(AND('领用录入（明细）'!D:D=$F$4,'领用录入（明细）'!C:C&gt;=$J$4,'领用录入（明细）'!C:C&lt;=$L$4),ROW(),"-")</f>
        <v>-</v>
      </c>
    </row>
    <row r="47532" customHeight="1" spans="2:2">
      <c r="B47532" s="62" t="str">
        <f>IF(AND('领用录入（明细）'!D:D=$F$4,'领用录入（明细）'!C:C&gt;=$J$4,'领用录入（明细）'!C:C&lt;=$L$4),ROW(),"-")</f>
        <v>-</v>
      </c>
    </row>
    <row r="47533" customHeight="1" spans="2:2">
      <c r="B47533" s="62" t="str">
        <f>IF(AND('领用录入（明细）'!D:D=$F$4,'领用录入（明细）'!C:C&gt;=$J$4,'领用录入（明细）'!C:C&lt;=$L$4),ROW(),"-")</f>
        <v>-</v>
      </c>
    </row>
    <row r="47534" customHeight="1" spans="2:2">
      <c r="B47534" s="62" t="str">
        <f>IF(AND('领用录入（明细）'!D:D=$F$4,'领用录入（明细）'!C:C&gt;=$J$4,'领用录入（明细）'!C:C&lt;=$L$4),ROW(),"-")</f>
        <v>-</v>
      </c>
    </row>
    <row r="47535" customHeight="1" spans="2:2">
      <c r="B47535" s="62" t="str">
        <f>IF(AND('领用录入（明细）'!D:D=$F$4,'领用录入（明细）'!C:C&gt;=$J$4,'领用录入（明细）'!C:C&lt;=$L$4),ROW(),"-")</f>
        <v>-</v>
      </c>
    </row>
    <row r="47536" customHeight="1" spans="2:2">
      <c r="B47536" s="62" t="str">
        <f>IF(AND('领用录入（明细）'!D:D=$F$4,'领用录入（明细）'!C:C&gt;=$J$4,'领用录入（明细）'!C:C&lt;=$L$4),ROW(),"-")</f>
        <v>-</v>
      </c>
    </row>
    <row r="47537" customHeight="1" spans="2:2">
      <c r="B47537" s="62" t="str">
        <f>IF(AND('领用录入（明细）'!D:D=$F$4,'领用录入（明细）'!C:C&gt;=$J$4,'领用录入（明细）'!C:C&lt;=$L$4),ROW(),"-")</f>
        <v>-</v>
      </c>
    </row>
    <row r="47538" customHeight="1" spans="2:2">
      <c r="B47538" s="62" t="str">
        <f>IF(AND('领用录入（明细）'!D:D=$F$4,'领用录入（明细）'!C:C&gt;=$J$4,'领用录入（明细）'!C:C&lt;=$L$4),ROW(),"-")</f>
        <v>-</v>
      </c>
    </row>
    <row r="47539" customHeight="1" spans="2:2">
      <c r="B47539" s="62" t="str">
        <f>IF(AND('领用录入（明细）'!D:D=$F$4,'领用录入（明细）'!C:C&gt;=$J$4,'领用录入（明细）'!C:C&lt;=$L$4),ROW(),"-")</f>
        <v>-</v>
      </c>
    </row>
    <row r="47540" customHeight="1" spans="2:2">
      <c r="B47540" s="62" t="str">
        <f>IF(AND('领用录入（明细）'!D:D=$F$4,'领用录入（明细）'!C:C&gt;=$J$4,'领用录入（明细）'!C:C&lt;=$L$4),ROW(),"-")</f>
        <v>-</v>
      </c>
    </row>
    <row r="47541" customHeight="1" spans="2:2">
      <c r="B47541" s="62" t="str">
        <f>IF(AND('领用录入（明细）'!D:D=$F$4,'领用录入（明细）'!C:C&gt;=$J$4,'领用录入（明细）'!C:C&lt;=$L$4),ROW(),"-")</f>
        <v>-</v>
      </c>
    </row>
    <row r="47542" customHeight="1" spans="2:2">
      <c r="B47542" s="62" t="str">
        <f>IF(AND('领用录入（明细）'!D:D=$F$4,'领用录入（明细）'!C:C&gt;=$J$4,'领用录入（明细）'!C:C&lt;=$L$4),ROW(),"-")</f>
        <v>-</v>
      </c>
    </row>
    <row r="47543" customHeight="1" spans="2:2">
      <c r="B47543" s="62" t="str">
        <f>IF(AND('领用录入（明细）'!D:D=$F$4,'领用录入（明细）'!C:C&gt;=$J$4,'领用录入（明细）'!C:C&lt;=$L$4),ROW(),"-")</f>
        <v>-</v>
      </c>
    </row>
    <row r="47544" customHeight="1" spans="2:2">
      <c r="B47544" s="62" t="str">
        <f>IF(AND('领用录入（明细）'!D:D=$F$4,'领用录入（明细）'!C:C&gt;=$J$4,'领用录入（明细）'!C:C&lt;=$L$4),ROW(),"-")</f>
        <v>-</v>
      </c>
    </row>
    <row r="47545" customHeight="1" spans="2:2">
      <c r="B47545" s="62" t="str">
        <f>IF(AND('领用录入（明细）'!D:D=$F$4,'领用录入（明细）'!C:C&gt;=$J$4,'领用录入（明细）'!C:C&lt;=$L$4),ROW(),"-")</f>
        <v>-</v>
      </c>
    </row>
    <row r="47546" customHeight="1" spans="2:2">
      <c r="B47546" s="62" t="str">
        <f>IF(AND('领用录入（明细）'!D:D=$F$4,'领用录入（明细）'!C:C&gt;=$J$4,'领用录入（明细）'!C:C&lt;=$L$4),ROW(),"-")</f>
        <v>-</v>
      </c>
    </row>
    <row r="47547" customHeight="1" spans="2:2">
      <c r="B47547" s="62" t="str">
        <f>IF(AND('领用录入（明细）'!D:D=$F$4,'领用录入（明细）'!C:C&gt;=$J$4,'领用录入（明细）'!C:C&lt;=$L$4),ROW(),"-")</f>
        <v>-</v>
      </c>
    </row>
    <row r="47548" customHeight="1" spans="2:2">
      <c r="B47548" s="62" t="str">
        <f>IF(AND('领用录入（明细）'!D:D=$F$4,'领用录入（明细）'!C:C&gt;=$J$4,'领用录入（明细）'!C:C&lt;=$L$4),ROW(),"-")</f>
        <v>-</v>
      </c>
    </row>
    <row r="47549" customHeight="1" spans="2:2">
      <c r="B47549" s="62" t="str">
        <f>IF(AND('领用录入（明细）'!D:D=$F$4,'领用录入（明细）'!C:C&gt;=$J$4,'领用录入（明细）'!C:C&lt;=$L$4),ROW(),"-")</f>
        <v>-</v>
      </c>
    </row>
    <row r="47550" customHeight="1" spans="2:2">
      <c r="B47550" s="62" t="str">
        <f>IF(AND('领用录入（明细）'!D:D=$F$4,'领用录入（明细）'!C:C&gt;=$J$4,'领用录入（明细）'!C:C&lt;=$L$4),ROW(),"-")</f>
        <v>-</v>
      </c>
    </row>
    <row r="47551" customHeight="1" spans="2:2">
      <c r="B47551" s="62" t="str">
        <f>IF(AND('领用录入（明细）'!D:D=$F$4,'领用录入（明细）'!C:C&gt;=$J$4,'领用录入（明细）'!C:C&lt;=$L$4),ROW(),"-")</f>
        <v>-</v>
      </c>
    </row>
    <row r="47552" customHeight="1" spans="2:2">
      <c r="B47552" s="62" t="str">
        <f>IF(AND('领用录入（明细）'!D:D=$F$4,'领用录入（明细）'!C:C&gt;=$J$4,'领用录入（明细）'!C:C&lt;=$L$4),ROW(),"-")</f>
        <v>-</v>
      </c>
    </row>
    <row r="47553" customHeight="1" spans="2:2">
      <c r="B47553" s="62" t="str">
        <f>IF(AND('领用录入（明细）'!D:D=$F$4,'领用录入（明细）'!C:C&gt;=$J$4,'领用录入（明细）'!C:C&lt;=$L$4),ROW(),"-")</f>
        <v>-</v>
      </c>
    </row>
    <row r="47554" customHeight="1" spans="2:2">
      <c r="B47554" s="62" t="str">
        <f>IF(AND('领用录入（明细）'!D:D=$F$4,'领用录入（明细）'!C:C&gt;=$J$4,'领用录入（明细）'!C:C&lt;=$L$4),ROW(),"-")</f>
        <v>-</v>
      </c>
    </row>
    <row r="47555" customHeight="1" spans="2:2">
      <c r="B47555" s="62" t="str">
        <f>IF(AND('领用录入（明细）'!D:D=$F$4,'领用录入（明细）'!C:C&gt;=$J$4,'领用录入（明细）'!C:C&lt;=$L$4),ROW(),"-")</f>
        <v>-</v>
      </c>
    </row>
    <row r="47556" customHeight="1" spans="2:2">
      <c r="B47556" s="62" t="str">
        <f>IF(AND('领用录入（明细）'!D:D=$F$4,'领用录入（明细）'!C:C&gt;=$J$4,'领用录入（明细）'!C:C&lt;=$L$4),ROW(),"-")</f>
        <v>-</v>
      </c>
    </row>
    <row r="47557" customHeight="1" spans="2:2">
      <c r="B47557" s="62" t="str">
        <f>IF(AND('领用录入（明细）'!D:D=$F$4,'领用录入（明细）'!C:C&gt;=$J$4,'领用录入（明细）'!C:C&lt;=$L$4),ROW(),"-")</f>
        <v>-</v>
      </c>
    </row>
    <row r="47558" customHeight="1" spans="2:2">
      <c r="B47558" s="62" t="str">
        <f>IF(AND('领用录入（明细）'!D:D=$F$4,'领用录入（明细）'!C:C&gt;=$J$4,'领用录入（明细）'!C:C&lt;=$L$4),ROW(),"-")</f>
        <v>-</v>
      </c>
    </row>
    <row r="47559" customHeight="1" spans="2:2">
      <c r="B47559" s="62" t="str">
        <f>IF(AND('领用录入（明细）'!D:D=$F$4,'领用录入（明细）'!C:C&gt;=$J$4,'领用录入（明细）'!C:C&lt;=$L$4),ROW(),"-")</f>
        <v>-</v>
      </c>
    </row>
    <row r="47560" customHeight="1" spans="2:2">
      <c r="B47560" s="62" t="str">
        <f>IF(AND('领用录入（明细）'!D:D=$F$4,'领用录入（明细）'!C:C&gt;=$J$4,'领用录入（明细）'!C:C&lt;=$L$4),ROW(),"-")</f>
        <v>-</v>
      </c>
    </row>
    <row r="47561" customHeight="1" spans="2:2">
      <c r="B47561" s="62" t="str">
        <f>IF(AND('领用录入（明细）'!D:D=$F$4,'领用录入（明细）'!C:C&gt;=$J$4,'领用录入（明细）'!C:C&lt;=$L$4),ROW(),"-")</f>
        <v>-</v>
      </c>
    </row>
    <row r="47562" customHeight="1" spans="2:2">
      <c r="B47562" s="62" t="str">
        <f>IF(AND('领用录入（明细）'!D:D=$F$4,'领用录入（明细）'!C:C&gt;=$J$4,'领用录入（明细）'!C:C&lt;=$L$4),ROW(),"-")</f>
        <v>-</v>
      </c>
    </row>
    <row r="47563" customHeight="1" spans="2:2">
      <c r="B47563" s="62" t="str">
        <f>IF(AND('领用录入（明细）'!D:D=$F$4,'领用录入（明细）'!C:C&gt;=$J$4,'领用录入（明细）'!C:C&lt;=$L$4),ROW(),"-")</f>
        <v>-</v>
      </c>
    </row>
    <row r="47564" customHeight="1" spans="2:2">
      <c r="B47564" s="62" t="str">
        <f>IF(AND('领用录入（明细）'!D:D=$F$4,'领用录入（明细）'!C:C&gt;=$J$4,'领用录入（明细）'!C:C&lt;=$L$4),ROW(),"-")</f>
        <v>-</v>
      </c>
    </row>
    <row r="47565" customHeight="1" spans="2:2">
      <c r="B47565" s="62" t="str">
        <f>IF(AND('领用录入（明细）'!D:D=$F$4,'领用录入（明细）'!C:C&gt;=$J$4,'领用录入（明细）'!C:C&lt;=$L$4),ROW(),"-")</f>
        <v>-</v>
      </c>
    </row>
    <row r="47566" customHeight="1" spans="2:2">
      <c r="B47566" s="62" t="str">
        <f>IF(AND('领用录入（明细）'!D:D=$F$4,'领用录入（明细）'!C:C&gt;=$J$4,'领用录入（明细）'!C:C&lt;=$L$4),ROW(),"-")</f>
        <v>-</v>
      </c>
    </row>
    <row r="47567" customHeight="1" spans="2:2">
      <c r="B47567" s="62" t="str">
        <f>IF(AND('领用录入（明细）'!D:D=$F$4,'领用录入（明细）'!C:C&gt;=$J$4,'领用录入（明细）'!C:C&lt;=$L$4),ROW(),"-")</f>
        <v>-</v>
      </c>
    </row>
    <row r="47568" customHeight="1" spans="2:2">
      <c r="B47568" s="62" t="str">
        <f>IF(AND('领用录入（明细）'!D:D=$F$4,'领用录入（明细）'!C:C&gt;=$J$4,'领用录入（明细）'!C:C&lt;=$L$4),ROW(),"-")</f>
        <v>-</v>
      </c>
    </row>
    <row r="47569" customHeight="1" spans="2:2">
      <c r="B47569" s="62" t="str">
        <f>IF(AND('领用录入（明细）'!D:D=$F$4,'领用录入（明细）'!C:C&gt;=$J$4,'领用录入（明细）'!C:C&lt;=$L$4),ROW(),"-")</f>
        <v>-</v>
      </c>
    </row>
    <row r="47570" customHeight="1" spans="2:2">
      <c r="B47570" s="62" t="str">
        <f>IF(AND('领用录入（明细）'!D:D=$F$4,'领用录入（明细）'!C:C&gt;=$J$4,'领用录入（明细）'!C:C&lt;=$L$4),ROW(),"-")</f>
        <v>-</v>
      </c>
    </row>
    <row r="47571" customHeight="1" spans="2:2">
      <c r="B47571" s="62" t="str">
        <f>IF(AND('领用录入（明细）'!D:D=$F$4,'领用录入（明细）'!C:C&gt;=$J$4,'领用录入（明细）'!C:C&lt;=$L$4),ROW(),"-")</f>
        <v>-</v>
      </c>
    </row>
    <row r="47572" customHeight="1" spans="2:2">
      <c r="B47572" s="62" t="str">
        <f>IF(AND('领用录入（明细）'!D:D=$F$4,'领用录入（明细）'!C:C&gt;=$J$4,'领用录入（明细）'!C:C&lt;=$L$4),ROW(),"-")</f>
        <v>-</v>
      </c>
    </row>
    <row r="47573" customHeight="1" spans="2:2">
      <c r="B47573" s="62" t="str">
        <f>IF(AND('领用录入（明细）'!D:D=$F$4,'领用录入（明细）'!C:C&gt;=$J$4,'领用录入（明细）'!C:C&lt;=$L$4),ROW(),"-")</f>
        <v>-</v>
      </c>
    </row>
    <row r="47574" customHeight="1" spans="2:2">
      <c r="B47574" s="62" t="str">
        <f>IF(AND('领用录入（明细）'!D:D=$F$4,'领用录入（明细）'!C:C&gt;=$J$4,'领用录入（明细）'!C:C&lt;=$L$4),ROW(),"-")</f>
        <v>-</v>
      </c>
    </row>
    <row r="47575" customHeight="1" spans="2:2">
      <c r="B47575" s="62" t="str">
        <f>IF(AND('领用录入（明细）'!D:D=$F$4,'领用录入（明细）'!C:C&gt;=$J$4,'领用录入（明细）'!C:C&lt;=$L$4),ROW(),"-")</f>
        <v>-</v>
      </c>
    </row>
    <row r="47576" customHeight="1" spans="2:2">
      <c r="B47576" s="62" t="str">
        <f>IF(AND('领用录入（明细）'!D:D=$F$4,'领用录入（明细）'!C:C&gt;=$J$4,'领用录入（明细）'!C:C&lt;=$L$4),ROW(),"-")</f>
        <v>-</v>
      </c>
    </row>
    <row r="47577" customHeight="1" spans="2:2">
      <c r="B47577" s="62" t="str">
        <f>IF(AND('领用录入（明细）'!D:D=$F$4,'领用录入（明细）'!C:C&gt;=$J$4,'领用录入（明细）'!C:C&lt;=$L$4),ROW(),"-")</f>
        <v>-</v>
      </c>
    </row>
    <row r="47578" customHeight="1" spans="2:2">
      <c r="B47578" s="62" t="str">
        <f>IF(AND('领用录入（明细）'!D:D=$F$4,'领用录入（明细）'!C:C&gt;=$J$4,'领用录入（明细）'!C:C&lt;=$L$4),ROW(),"-")</f>
        <v>-</v>
      </c>
    </row>
    <row r="47579" customHeight="1" spans="2:2">
      <c r="B47579" s="62" t="str">
        <f>IF(AND('领用录入（明细）'!D:D=$F$4,'领用录入（明细）'!C:C&gt;=$J$4,'领用录入（明细）'!C:C&lt;=$L$4),ROW(),"-")</f>
        <v>-</v>
      </c>
    </row>
    <row r="47580" customHeight="1" spans="2:2">
      <c r="B47580" s="62" t="str">
        <f>IF(AND('领用录入（明细）'!D:D=$F$4,'领用录入（明细）'!C:C&gt;=$J$4,'领用录入（明细）'!C:C&lt;=$L$4),ROW(),"-")</f>
        <v>-</v>
      </c>
    </row>
    <row r="47581" customHeight="1" spans="2:2">
      <c r="B47581" s="62" t="str">
        <f>IF(AND('领用录入（明细）'!D:D=$F$4,'领用录入（明细）'!C:C&gt;=$J$4,'领用录入（明细）'!C:C&lt;=$L$4),ROW(),"-")</f>
        <v>-</v>
      </c>
    </row>
    <row r="47582" customHeight="1" spans="2:2">
      <c r="B47582" s="62" t="str">
        <f>IF(AND('领用录入（明细）'!D:D=$F$4,'领用录入（明细）'!C:C&gt;=$J$4,'领用录入（明细）'!C:C&lt;=$L$4),ROW(),"-")</f>
        <v>-</v>
      </c>
    </row>
    <row r="47583" customHeight="1" spans="2:2">
      <c r="B47583" s="62" t="str">
        <f>IF(AND('领用录入（明细）'!D:D=$F$4,'领用录入（明细）'!C:C&gt;=$J$4,'领用录入（明细）'!C:C&lt;=$L$4),ROW(),"-")</f>
        <v>-</v>
      </c>
    </row>
    <row r="47584" customHeight="1" spans="2:2">
      <c r="B47584" s="62" t="str">
        <f>IF(AND('领用录入（明细）'!D:D=$F$4,'领用录入（明细）'!C:C&gt;=$J$4,'领用录入（明细）'!C:C&lt;=$L$4),ROW(),"-")</f>
        <v>-</v>
      </c>
    </row>
    <row r="47585" customHeight="1" spans="2:2">
      <c r="B47585" s="62" t="str">
        <f>IF(AND('领用录入（明细）'!D:D=$F$4,'领用录入（明细）'!C:C&gt;=$J$4,'领用录入（明细）'!C:C&lt;=$L$4),ROW(),"-")</f>
        <v>-</v>
      </c>
    </row>
    <row r="47586" customHeight="1" spans="2:2">
      <c r="B47586" s="62" t="str">
        <f>IF(AND('领用录入（明细）'!D:D=$F$4,'领用录入（明细）'!C:C&gt;=$J$4,'领用录入（明细）'!C:C&lt;=$L$4),ROW(),"-")</f>
        <v>-</v>
      </c>
    </row>
    <row r="47587" customHeight="1" spans="2:2">
      <c r="B47587" s="62" t="str">
        <f>IF(AND('领用录入（明细）'!D:D=$F$4,'领用录入（明细）'!C:C&gt;=$J$4,'领用录入（明细）'!C:C&lt;=$L$4),ROW(),"-")</f>
        <v>-</v>
      </c>
    </row>
    <row r="47588" customHeight="1" spans="2:2">
      <c r="B47588" s="62" t="str">
        <f>IF(AND('领用录入（明细）'!D:D=$F$4,'领用录入（明细）'!C:C&gt;=$J$4,'领用录入（明细）'!C:C&lt;=$L$4),ROW(),"-")</f>
        <v>-</v>
      </c>
    </row>
    <row r="47589" customHeight="1" spans="2:2">
      <c r="B47589" s="62" t="str">
        <f>IF(AND('领用录入（明细）'!D:D=$F$4,'领用录入（明细）'!C:C&gt;=$J$4,'领用录入（明细）'!C:C&lt;=$L$4),ROW(),"-")</f>
        <v>-</v>
      </c>
    </row>
    <row r="47590" customHeight="1" spans="2:2">
      <c r="B47590" s="62" t="str">
        <f>IF(AND('领用录入（明细）'!D:D=$F$4,'领用录入（明细）'!C:C&gt;=$J$4,'领用录入（明细）'!C:C&lt;=$L$4),ROW(),"-")</f>
        <v>-</v>
      </c>
    </row>
    <row r="47591" customHeight="1" spans="2:2">
      <c r="B47591" s="62" t="str">
        <f>IF(AND('领用录入（明细）'!D:D=$F$4,'领用录入（明细）'!C:C&gt;=$J$4,'领用录入（明细）'!C:C&lt;=$L$4),ROW(),"-")</f>
        <v>-</v>
      </c>
    </row>
    <row r="47592" customHeight="1" spans="2:2">
      <c r="B47592" s="62" t="str">
        <f>IF(AND('领用录入（明细）'!D:D=$F$4,'领用录入（明细）'!C:C&gt;=$J$4,'领用录入（明细）'!C:C&lt;=$L$4),ROW(),"-")</f>
        <v>-</v>
      </c>
    </row>
    <row r="47593" customHeight="1" spans="2:2">
      <c r="B47593" s="62" t="str">
        <f>IF(AND('领用录入（明细）'!D:D=$F$4,'领用录入（明细）'!C:C&gt;=$J$4,'领用录入（明细）'!C:C&lt;=$L$4),ROW(),"-")</f>
        <v>-</v>
      </c>
    </row>
    <row r="47594" customHeight="1" spans="2:2">
      <c r="B47594" s="62" t="str">
        <f>IF(AND('领用录入（明细）'!D:D=$F$4,'领用录入（明细）'!C:C&gt;=$J$4,'领用录入（明细）'!C:C&lt;=$L$4),ROW(),"-")</f>
        <v>-</v>
      </c>
    </row>
    <row r="47595" customHeight="1" spans="2:2">
      <c r="B47595" s="62" t="str">
        <f>IF(AND('领用录入（明细）'!D:D=$F$4,'领用录入（明细）'!C:C&gt;=$J$4,'领用录入（明细）'!C:C&lt;=$L$4),ROW(),"-")</f>
        <v>-</v>
      </c>
    </row>
    <row r="47596" customHeight="1" spans="2:2">
      <c r="B47596" s="62" t="str">
        <f>IF(AND('领用录入（明细）'!D:D=$F$4,'领用录入（明细）'!C:C&gt;=$J$4,'领用录入（明细）'!C:C&lt;=$L$4),ROW(),"-")</f>
        <v>-</v>
      </c>
    </row>
    <row r="47597" customHeight="1" spans="2:2">
      <c r="B47597" s="62" t="str">
        <f>IF(AND('领用录入（明细）'!D:D=$F$4,'领用录入（明细）'!C:C&gt;=$J$4,'领用录入（明细）'!C:C&lt;=$L$4),ROW(),"-")</f>
        <v>-</v>
      </c>
    </row>
    <row r="47598" customHeight="1" spans="2:2">
      <c r="B47598" s="62" t="str">
        <f>IF(AND('领用录入（明细）'!D:D=$F$4,'领用录入（明细）'!C:C&gt;=$J$4,'领用录入（明细）'!C:C&lt;=$L$4),ROW(),"-")</f>
        <v>-</v>
      </c>
    </row>
    <row r="47599" customHeight="1" spans="2:2">
      <c r="B47599" s="62" t="str">
        <f>IF(AND('领用录入（明细）'!D:D=$F$4,'领用录入（明细）'!C:C&gt;=$J$4,'领用录入（明细）'!C:C&lt;=$L$4),ROW(),"-")</f>
        <v>-</v>
      </c>
    </row>
    <row r="47600" customHeight="1" spans="2:2">
      <c r="B47600" s="62" t="str">
        <f>IF(AND('领用录入（明细）'!D:D=$F$4,'领用录入（明细）'!C:C&gt;=$J$4,'领用录入（明细）'!C:C&lt;=$L$4),ROW(),"-")</f>
        <v>-</v>
      </c>
    </row>
    <row r="47601" customHeight="1" spans="2:2">
      <c r="B47601" s="62" t="str">
        <f>IF(AND('领用录入（明细）'!D:D=$F$4,'领用录入（明细）'!C:C&gt;=$J$4,'领用录入（明细）'!C:C&lt;=$L$4),ROW(),"-")</f>
        <v>-</v>
      </c>
    </row>
    <row r="47602" customHeight="1" spans="2:2">
      <c r="B47602" s="62" t="str">
        <f>IF(AND('领用录入（明细）'!D:D=$F$4,'领用录入（明细）'!C:C&gt;=$J$4,'领用录入（明细）'!C:C&lt;=$L$4),ROW(),"-")</f>
        <v>-</v>
      </c>
    </row>
    <row r="47603" customHeight="1" spans="2:2">
      <c r="B47603" s="62" t="str">
        <f>IF(AND('领用录入（明细）'!D:D=$F$4,'领用录入（明细）'!C:C&gt;=$J$4,'领用录入（明细）'!C:C&lt;=$L$4),ROW(),"-")</f>
        <v>-</v>
      </c>
    </row>
    <row r="47604" customHeight="1" spans="2:2">
      <c r="B47604" s="62" t="str">
        <f>IF(AND('领用录入（明细）'!D:D=$F$4,'领用录入（明细）'!C:C&gt;=$J$4,'领用录入（明细）'!C:C&lt;=$L$4),ROW(),"-")</f>
        <v>-</v>
      </c>
    </row>
    <row r="47605" customHeight="1" spans="2:2">
      <c r="B47605" s="62" t="str">
        <f>IF(AND('领用录入（明细）'!D:D=$F$4,'领用录入（明细）'!C:C&gt;=$J$4,'领用录入（明细）'!C:C&lt;=$L$4),ROW(),"-")</f>
        <v>-</v>
      </c>
    </row>
    <row r="47606" customHeight="1" spans="2:2">
      <c r="B47606" s="62" t="str">
        <f>IF(AND('领用录入（明细）'!D:D=$F$4,'领用录入（明细）'!C:C&gt;=$J$4,'领用录入（明细）'!C:C&lt;=$L$4),ROW(),"-")</f>
        <v>-</v>
      </c>
    </row>
    <row r="47607" customHeight="1" spans="2:2">
      <c r="B47607" s="62" t="str">
        <f>IF(AND('领用录入（明细）'!D:D=$F$4,'领用录入（明细）'!C:C&gt;=$J$4,'领用录入（明细）'!C:C&lt;=$L$4),ROW(),"-")</f>
        <v>-</v>
      </c>
    </row>
    <row r="47608" customHeight="1" spans="2:2">
      <c r="B47608" s="62" t="str">
        <f>IF(AND('领用录入（明细）'!D:D=$F$4,'领用录入（明细）'!C:C&gt;=$J$4,'领用录入（明细）'!C:C&lt;=$L$4),ROW(),"-")</f>
        <v>-</v>
      </c>
    </row>
    <row r="47609" customHeight="1" spans="2:2">
      <c r="B47609" s="62" t="str">
        <f>IF(AND('领用录入（明细）'!D:D=$F$4,'领用录入（明细）'!C:C&gt;=$J$4,'领用录入（明细）'!C:C&lt;=$L$4),ROW(),"-")</f>
        <v>-</v>
      </c>
    </row>
    <row r="47610" customHeight="1" spans="2:2">
      <c r="B47610" s="62" t="str">
        <f>IF(AND('领用录入（明细）'!D:D=$F$4,'领用录入（明细）'!C:C&gt;=$J$4,'领用录入（明细）'!C:C&lt;=$L$4),ROW(),"-")</f>
        <v>-</v>
      </c>
    </row>
    <row r="47611" customHeight="1" spans="2:2">
      <c r="B47611" s="62" t="str">
        <f>IF(AND('领用录入（明细）'!D:D=$F$4,'领用录入（明细）'!C:C&gt;=$J$4,'领用录入（明细）'!C:C&lt;=$L$4),ROW(),"-")</f>
        <v>-</v>
      </c>
    </row>
    <row r="47612" customHeight="1" spans="2:2">
      <c r="B47612" s="62" t="str">
        <f>IF(AND('领用录入（明细）'!D:D=$F$4,'领用录入（明细）'!C:C&gt;=$J$4,'领用录入（明细）'!C:C&lt;=$L$4),ROW(),"-")</f>
        <v>-</v>
      </c>
    </row>
    <row r="47613" customHeight="1" spans="2:2">
      <c r="B47613" s="62" t="str">
        <f>IF(AND('领用录入（明细）'!D:D=$F$4,'领用录入（明细）'!C:C&gt;=$J$4,'领用录入（明细）'!C:C&lt;=$L$4),ROW(),"-")</f>
        <v>-</v>
      </c>
    </row>
    <row r="47614" customHeight="1" spans="2:2">
      <c r="B47614" s="62" t="str">
        <f>IF(AND('领用录入（明细）'!D:D=$F$4,'领用录入（明细）'!C:C&gt;=$J$4,'领用录入（明细）'!C:C&lt;=$L$4),ROW(),"-")</f>
        <v>-</v>
      </c>
    </row>
    <row r="47615" customHeight="1" spans="2:2">
      <c r="B47615" s="62" t="str">
        <f>IF(AND('领用录入（明细）'!D:D=$F$4,'领用录入（明细）'!C:C&gt;=$J$4,'领用录入（明细）'!C:C&lt;=$L$4),ROW(),"-")</f>
        <v>-</v>
      </c>
    </row>
    <row r="47616" customHeight="1" spans="2:2">
      <c r="B47616" s="62" t="str">
        <f>IF(AND('领用录入（明细）'!D:D=$F$4,'领用录入（明细）'!C:C&gt;=$J$4,'领用录入（明细）'!C:C&lt;=$L$4),ROW(),"-")</f>
        <v>-</v>
      </c>
    </row>
    <row r="47617" customHeight="1" spans="2:2">
      <c r="B47617" s="62" t="str">
        <f>IF(AND('领用录入（明细）'!D:D=$F$4,'领用录入（明细）'!C:C&gt;=$J$4,'领用录入（明细）'!C:C&lt;=$L$4),ROW(),"-")</f>
        <v>-</v>
      </c>
    </row>
    <row r="47618" customHeight="1" spans="2:2">
      <c r="B47618" s="62" t="str">
        <f>IF(AND('领用录入（明细）'!D:D=$F$4,'领用录入（明细）'!C:C&gt;=$J$4,'领用录入（明细）'!C:C&lt;=$L$4),ROW(),"-")</f>
        <v>-</v>
      </c>
    </row>
    <row r="47619" customHeight="1" spans="2:2">
      <c r="B47619" s="62" t="str">
        <f>IF(AND('领用录入（明细）'!D:D=$F$4,'领用录入（明细）'!C:C&gt;=$J$4,'领用录入（明细）'!C:C&lt;=$L$4),ROW(),"-")</f>
        <v>-</v>
      </c>
    </row>
    <row r="47620" customHeight="1" spans="2:2">
      <c r="B47620" s="62" t="str">
        <f>IF(AND('领用录入（明细）'!D:D=$F$4,'领用录入（明细）'!C:C&gt;=$J$4,'领用录入（明细）'!C:C&lt;=$L$4),ROW(),"-")</f>
        <v>-</v>
      </c>
    </row>
    <row r="47621" customHeight="1" spans="2:2">
      <c r="B47621" s="62" t="str">
        <f>IF(AND('领用录入（明细）'!D:D=$F$4,'领用录入（明细）'!C:C&gt;=$J$4,'领用录入（明细）'!C:C&lt;=$L$4),ROW(),"-")</f>
        <v>-</v>
      </c>
    </row>
    <row r="47622" customHeight="1" spans="2:2">
      <c r="B47622" s="62" t="str">
        <f>IF(AND('领用录入（明细）'!D:D=$F$4,'领用录入（明细）'!C:C&gt;=$J$4,'领用录入（明细）'!C:C&lt;=$L$4),ROW(),"-")</f>
        <v>-</v>
      </c>
    </row>
    <row r="47623" customHeight="1" spans="2:2">
      <c r="B47623" s="62" t="str">
        <f>IF(AND('领用录入（明细）'!D:D=$F$4,'领用录入（明细）'!C:C&gt;=$J$4,'领用录入（明细）'!C:C&lt;=$L$4),ROW(),"-")</f>
        <v>-</v>
      </c>
    </row>
    <row r="47624" customHeight="1" spans="2:2">
      <c r="B47624" s="62" t="str">
        <f>IF(AND('领用录入（明细）'!D:D=$F$4,'领用录入（明细）'!C:C&gt;=$J$4,'领用录入（明细）'!C:C&lt;=$L$4),ROW(),"-")</f>
        <v>-</v>
      </c>
    </row>
    <row r="47625" customHeight="1" spans="2:2">
      <c r="B47625" s="62" t="str">
        <f>IF(AND('领用录入（明细）'!D:D=$F$4,'领用录入（明细）'!C:C&gt;=$J$4,'领用录入（明细）'!C:C&lt;=$L$4),ROW(),"-")</f>
        <v>-</v>
      </c>
    </row>
    <row r="47626" customHeight="1" spans="2:2">
      <c r="B47626" s="62" t="str">
        <f>IF(AND('领用录入（明细）'!D:D=$F$4,'领用录入（明细）'!C:C&gt;=$J$4,'领用录入（明细）'!C:C&lt;=$L$4),ROW(),"-")</f>
        <v>-</v>
      </c>
    </row>
    <row r="47627" customHeight="1" spans="2:2">
      <c r="B47627" s="62" t="str">
        <f>IF(AND('领用录入（明细）'!D:D=$F$4,'领用录入（明细）'!C:C&gt;=$J$4,'领用录入（明细）'!C:C&lt;=$L$4),ROW(),"-")</f>
        <v>-</v>
      </c>
    </row>
    <row r="47628" customHeight="1" spans="2:2">
      <c r="B47628" s="62" t="str">
        <f>IF(AND('领用录入（明细）'!D:D=$F$4,'领用录入（明细）'!C:C&gt;=$J$4,'领用录入（明细）'!C:C&lt;=$L$4),ROW(),"-")</f>
        <v>-</v>
      </c>
    </row>
    <row r="47629" customHeight="1" spans="2:2">
      <c r="B47629" s="62" t="str">
        <f>IF(AND('领用录入（明细）'!D:D=$F$4,'领用录入（明细）'!C:C&gt;=$J$4,'领用录入（明细）'!C:C&lt;=$L$4),ROW(),"-")</f>
        <v>-</v>
      </c>
    </row>
    <row r="47630" customHeight="1" spans="2:2">
      <c r="B47630" s="62" t="str">
        <f>IF(AND('领用录入（明细）'!D:D=$F$4,'领用录入（明细）'!C:C&gt;=$J$4,'领用录入（明细）'!C:C&lt;=$L$4),ROW(),"-")</f>
        <v>-</v>
      </c>
    </row>
    <row r="47631" customHeight="1" spans="2:2">
      <c r="B47631" s="62" t="str">
        <f>IF(AND('领用录入（明细）'!D:D=$F$4,'领用录入（明细）'!C:C&gt;=$J$4,'领用录入（明细）'!C:C&lt;=$L$4),ROW(),"-")</f>
        <v>-</v>
      </c>
    </row>
    <row r="47632" customHeight="1" spans="2:2">
      <c r="B47632" s="62" t="str">
        <f>IF(AND('领用录入（明细）'!D:D=$F$4,'领用录入（明细）'!C:C&gt;=$J$4,'领用录入（明细）'!C:C&lt;=$L$4),ROW(),"-")</f>
        <v>-</v>
      </c>
    </row>
    <row r="47633" customHeight="1" spans="2:2">
      <c r="B47633" s="62" t="str">
        <f>IF(AND('领用录入（明细）'!D:D=$F$4,'领用录入（明细）'!C:C&gt;=$J$4,'领用录入（明细）'!C:C&lt;=$L$4),ROW(),"-")</f>
        <v>-</v>
      </c>
    </row>
    <row r="47634" customHeight="1" spans="2:2">
      <c r="B47634" s="62" t="str">
        <f>IF(AND('领用录入（明细）'!D:D=$F$4,'领用录入（明细）'!C:C&gt;=$J$4,'领用录入（明细）'!C:C&lt;=$L$4),ROW(),"-")</f>
        <v>-</v>
      </c>
    </row>
    <row r="47635" customHeight="1" spans="2:2">
      <c r="B47635" s="62" t="str">
        <f>IF(AND('领用录入（明细）'!D:D=$F$4,'领用录入（明细）'!C:C&gt;=$J$4,'领用录入（明细）'!C:C&lt;=$L$4),ROW(),"-")</f>
        <v>-</v>
      </c>
    </row>
    <row r="47636" customHeight="1" spans="2:2">
      <c r="B47636" s="62" t="str">
        <f>IF(AND('领用录入（明细）'!D:D=$F$4,'领用录入（明细）'!C:C&gt;=$J$4,'领用录入（明细）'!C:C&lt;=$L$4),ROW(),"-")</f>
        <v>-</v>
      </c>
    </row>
    <row r="47637" customHeight="1" spans="2:2">
      <c r="B47637" s="62" t="str">
        <f>IF(AND('领用录入（明细）'!D:D=$F$4,'领用录入（明细）'!C:C&gt;=$J$4,'领用录入（明细）'!C:C&lt;=$L$4),ROW(),"-")</f>
        <v>-</v>
      </c>
    </row>
    <row r="47638" customHeight="1" spans="2:2">
      <c r="B47638" s="62" t="str">
        <f>IF(AND('领用录入（明细）'!D:D=$F$4,'领用录入（明细）'!C:C&gt;=$J$4,'领用录入（明细）'!C:C&lt;=$L$4),ROW(),"-")</f>
        <v>-</v>
      </c>
    </row>
    <row r="47639" customHeight="1" spans="2:2">
      <c r="B47639" s="62" t="str">
        <f>IF(AND('领用录入（明细）'!D:D=$F$4,'领用录入（明细）'!C:C&gt;=$J$4,'领用录入（明细）'!C:C&lt;=$L$4),ROW(),"-")</f>
        <v>-</v>
      </c>
    </row>
    <row r="47640" customHeight="1" spans="2:2">
      <c r="B47640" s="62" t="str">
        <f>IF(AND('领用录入（明细）'!D:D=$F$4,'领用录入（明细）'!C:C&gt;=$J$4,'领用录入（明细）'!C:C&lt;=$L$4),ROW(),"-")</f>
        <v>-</v>
      </c>
    </row>
    <row r="47641" customHeight="1" spans="2:2">
      <c r="B47641" s="62" t="str">
        <f>IF(AND('领用录入（明细）'!D:D=$F$4,'领用录入（明细）'!C:C&gt;=$J$4,'领用录入（明细）'!C:C&lt;=$L$4),ROW(),"-")</f>
        <v>-</v>
      </c>
    </row>
    <row r="47642" customHeight="1" spans="2:2">
      <c r="B47642" s="62" t="str">
        <f>IF(AND('领用录入（明细）'!D:D=$F$4,'领用录入（明细）'!C:C&gt;=$J$4,'领用录入（明细）'!C:C&lt;=$L$4),ROW(),"-")</f>
        <v>-</v>
      </c>
    </row>
    <row r="47643" customHeight="1" spans="2:2">
      <c r="B47643" s="62" t="str">
        <f>IF(AND('领用录入（明细）'!D:D=$F$4,'领用录入（明细）'!C:C&gt;=$J$4,'领用录入（明细）'!C:C&lt;=$L$4),ROW(),"-")</f>
        <v>-</v>
      </c>
    </row>
    <row r="47644" customHeight="1" spans="2:2">
      <c r="B47644" s="62" t="str">
        <f>IF(AND('领用录入（明细）'!D:D=$F$4,'领用录入（明细）'!C:C&gt;=$J$4,'领用录入（明细）'!C:C&lt;=$L$4),ROW(),"-")</f>
        <v>-</v>
      </c>
    </row>
    <row r="47645" customHeight="1" spans="2:2">
      <c r="B47645" s="62" t="str">
        <f>IF(AND('领用录入（明细）'!D:D=$F$4,'领用录入（明细）'!C:C&gt;=$J$4,'领用录入（明细）'!C:C&lt;=$L$4),ROW(),"-")</f>
        <v>-</v>
      </c>
    </row>
    <row r="47646" customHeight="1" spans="2:2">
      <c r="B47646" s="62" t="str">
        <f>IF(AND('领用录入（明细）'!D:D=$F$4,'领用录入（明细）'!C:C&gt;=$J$4,'领用录入（明细）'!C:C&lt;=$L$4),ROW(),"-")</f>
        <v>-</v>
      </c>
    </row>
    <row r="47647" customHeight="1" spans="2:2">
      <c r="B47647" s="62" t="str">
        <f>IF(AND('领用录入（明细）'!D:D=$F$4,'领用录入（明细）'!C:C&gt;=$J$4,'领用录入（明细）'!C:C&lt;=$L$4),ROW(),"-")</f>
        <v>-</v>
      </c>
    </row>
    <row r="47648" customHeight="1" spans="2:2">
      <c r="B47648" s="62" t="str">
        <f>IF(AND('领用录入（明细）'!D:D=$F$4,'领用录入（明细）'!C:C&gt;=$J$4,'领用录入（明细）'!C:C&lt;=$L$4),ROW(),"-")</f>
        <v>-</v>
      </c>
    </row>
    <row r="47649" customHeight="1" spans="2:2">
      <c r="B47649" s="62" t="str">
        <f>IF(AND('领用录入（明细）'!D:D=$F$4,'领用录入（明细）'!C:C&gt;=$J$4,'领用录入（明细）'!C:C&lt;=$L$4),ROW(),"-")</f>
        <v>-</v>
      </c>
    </row>
    <row r="47650" customHeight="1" spans="2:2">
      <c r="B47650" s="62" t="str">
        <f>IF(AND('领用录入（明细）'!D:D=$F$4,'领用录入（明细）'!C:C&gt;=$J$4,'领用录入（明细）'!C:C&lt;=$L$4),ROW(),"-")</f>
        <v>-</v>
      </c>
    </row>
    <row r="47651" customHeight="1" spans="2:2">
      <c r="B47651" s="62" t="str">
        <f>IF(AND('领用录入（明细）'!D:D=$F$4,'领用录入（明细）'!C:C&gt;=$J$4,'领用录入（明细）'!C:C&lt;=$L$4),ROW(),"-")</f>
        <v>-</v>
      </c>
    </row>
    <row r="47652" customHeight="1" spans="2:2">
      <c r="B47652" s="62" t="str">
        <f>IF(AND('领用录入（明细）'!D:D=$F$4,'领用录入（明细）'!C:C&gt;=$J$4,'领用录入（明细）'!C:C&lt;=$L$4),ROW(),"-")</f>
        <v>-</v>
      </c>
    </row>
    <row r="47653" customHeight="1" spans="2:2">
      <c r="B47653" s="62" t="str">
        <f>IF(AND('领用录入（明细）'!D:D=$F$4,'领用录入（明细）'!C:C&gt;=$J$4,'领用录入（明细）'!C:C&lt;=$L$4),ROW(),"-")</f>
        <v>-</v>
      </c>
    </row>
    <row r="47654" customHeight="1" spans="2:2">
      <c r="B47654" s="62" t="str">
        <f>IF(AND('领用录入（明细）'!D:D=$F$4,'领用录入（明细）'!C:C&gt;=$J$4,'领用录入（明细）'!C:C&lt;=$L$4),ROW(),"-")</f>
        <v>-</v>
      </c>
    </row>
    <row r="47655" customHeight="1" spans="2:2">
      <c r="B47655" s="62" t="str">
        <f>IF(AND('领用录入（明细）'!D:D=$F$4,'领用录入（明细）'!C:C&gt;=$J$4,'领用录入（明细）'!C:C&lt;=$L$4),ROW(),"-")</f>
        <v>-</v>
      </c>
    </row>
    <row r="47656" customHeight="1" spans="2:2">
      <c r="B47656" s="62" t="str">
        <f>IF(AND('领用录入（明细）'!D:D=$F$4,'领用录入（明细）'!C:C&gt;=$J$4,'领用录入（明细）'!C:C&lt;=$L$4),ROW(),"-")</f>
        <v>-</v>
      </c>
    </row>
    <row r="47657" customHeight="1" spans="2:2">
      <c r="B47657" s="62" t="str">
        <f>IF(AND('领用录入（明细）'!D:D=$F$4,'领用录入（明细）'!C:C&gt;=$J$4,'领用录入（明细）'!C:C&lt;=$L$4),ROW(),"-")</f>
        <v>-</v>
      </c>
    </row>
    <row r="47658" customHeight="1" spans="2:2">
      <c r="B47658" s="62" t="str">
        <f>IF(AND('领用录入（明细）'!D:D=$F$4,'领用录入（明细）'!C:C&gt;=$J$4,'领用录入（明细）'!C:C&lt;=$L$4),ROW(),"-")</f>
        <v>-</v>
      </c>
    </row>
    <row r="47659" customHeight="1" spans="2:2">
      <c r="B47659" s="62" t="str">
        <f>IF(AND('领用录入（明细）'!D:D=$F$4,'领用录入（明细）'!C:C&gt;=$J$4,'领用录入（明细）'!C:C&lt;=$L$4),ROW(),"-")</f>
        <v>-</v>
      </c>
    </row>
    <row r="47660" customHeight="1" spans="2:2">
      <c r="B47660" s="62" t="str">
        <f>IF(AND('领用录入（明细）'!D:D=$F$4,'领用录入（明细）'!C:C&gt;=$J$4,'领用录入（明细）'!C:C&lt;=$L$4),ROW(),"-")</f>
        <v>-</v>
      </c>
    </row>
    <row r="47661" customHeight="1" spans="2:2">
      <c r="B47661" s="62" t="str">
        <f>IF(AND('领用录入（明细）'!D:D=$F$4,'领用录入（明细）'!C:C&gt;=$J$4,'领用录入（明细）'!C:C&lt;=$L$4),ROW(),"-")</f>
        <v>-</v>
      </c>
    </row>
    <row r="47662" customHeight="1" spans="2:2">
      <c r="B47662" s="62" t="str">
        <f>IF(AND('领用录入（明细）'!D:D=$F$4,'领用录入（明细）'!C:C&gt;=$J$4,'领用录入（明细）'!C:C&lt;=$L$4),ROW(),"-")</f>
        <v>-</v>
      </c>
    </row>
    <row r="47663" customHeight="1" spans="2:2">
      <c r="B47663" s="62" t="str">
        <f>IF(AND('领用录入（明细）'!D:D=$F$4,'领用录入（明细）'!C:C&gt;=$J$4,'领用录入（明细）'!C:C&lt;=$L$4),ROW(),"-")</f>
        <v>-</v>
      </c>
    </row>
    <row r="47664" customHeight="1" spans="2:2">
      <c r="B47664" s="62" t="str">
        <f>IF(AND('领用录入（明细）'!D:D=$F$4,'领用录入（明细）'!C:C&gt;=$J$4,'领用录入（明细）'!C:C&lt;=$L$4),ROW(),"-")</f>
        <v>-</v>
      </c>
    </row>
    <row r="47665" customHeight="1" spans="2:2">
      <c r="B47665" s="62" t="str">
        <f>IF(AND('领用录入（明细）'!D:D=$F$4,'领用录入（明细）'!C:C&gt;=$J$4,'领用录入（明细）'!C:C&lt;=$L$4),ROW(),"-")</f>
        <v>-</v>
      </c>
    </row>
    <row r="47666" customHeight="1" spans="2:2">
      <c r="B47666" s="62" t="str">
        <f>IF(AND('领用录入（明细）'!D:D=$F$4,'领用录入（明细）'!C:C&gt;=$J$4,'领用录入（明细）'!C:C&lt;=$L$4),ROW(),"-")</f>
        <v>-</v>
      </c>
    </row>
    <row r="47667" customHeight="1" spans="2:2">
      <c r="B47667" s="62" t="str">
        <f>IF(AND('领用录入（明细）'!D:D=$F$4,'领用录入（明细）'!C:C&gt;=$J$4,'领用录入（明细）'!C:C&lt;=$L$4),ROW(),"-")</f>
        <v>-</v>
      </c>
    </row>
    <row r="47668" customHeight="1" spans="2:2">
      <c r="B47668" s="62" t="str">
        <f>IF(AND('领用录入（明细）'!D:D=$F$4,'领用录入（明细）'!C:C&gt;=$J$4,'领用录入（明细）'!C:C&lt;=$L$4),ROW(),"-")</f>
        <v>-</v>
      </c>
    </row>
    <row r="47669" customHeight="1" spans="2:2">
      <c r="B47669" s="62" t="str">
        <f>IF(AND('领用录入（明细）'!D:D=$F$4,'领用录入（明细）'!C:C&gt;=$J$4,'领用录入（明细）'!C:C&lt;=$L$4),ROW(),"-")</f>
        <v>-</v>
      </c>
    </row>
    <row r="47670" customHeight="1" spans="2:2">
      <c r="B47670" s="62" t="str">
        <f>IF(AND('领用录入（明细）'!D:D=$F$4,'领用录入（明细）'!C:C&gt;=$J$4,'领用录入（明细）'!C:C&lt;=$L$4),ROW(),"-")</f>
        <v>-</v>
      </c>
    </row>
    <row r="47671" customHeight="1" spans="2:2">
      <c r="B47671" s="62" t="str">
        <f>IF(AND('领用录入（明细）'!D:D=$F$4,'领用录入（明细）'!C:C&gt;=$J$4,'领用录入（明细）'!C:C&lt;=$L$4),ROW(),"-")</f>
        <v>-</v>
      </c>
    </row>
    <row r="47672" customHeight="1" spans="2:2">
      <c r="B47672" s="62" t="str">
        <f>IF(AND('领用录入（明细）'!D:D=$F$4,'领用录入（明细）'!C:C&gt;=$J$4,'领用录入（明细）'!C:C&lt;=$L$4),ROW(),"-")</f>
        <v>-</v>
      </c>
    </row>
    <row r="47673" customHeight="1" spans="2:2">
      <c r="B47673" s="62" t="str">
        <f>IF(AND('领用录入（明细）'!D:D=$F$4,'领用录入（明细）'!C:C&gt;=$J$4,'领用录入（明细）'!C:C&lt;=$L$4),ROW(),"-")</f>
        <v>-</v>
      </c>
    </row>
    <row r="47674" customHeight="1" spans="2:2">
      <c r="B47674" s="62" t="str">
        <f>IF(AND('领用录入（明细）'!D:D=$F$4,'领用录入（明细）'!C:C&gt;=$J$4,'领用录入（明细）'!C:C&lt;=$L$4),ROW(),"-")</f>
        <v>-</v>
      </c>
    </row>
    <row r="47675" customHeight="1" spans="2:2">
      <c r="B47675" s="62" t="str">
        <f>IF(AND('领用录入（明细）'!D:D=$F$4,'领用录入（明细）'!C:C&gt;=$J$4,'领用录入（明细）'!C:C&lt;=$L$4),ROW(),"-")</f>
        <v>-</v>
      </c>
    </row>
    <row r="47676" customHeight="1" spans="2:2">
      <c r="B47676" s="62" t="str">
        <f>IF(AND('领用录入（明细）'!D:D=$F$4,'领用录入（明细）'!C:C&gt;=$J$4,'领用录入（明细）'!C:C&lt;=$L$4),ROW(),"-")</f>
        <v>-</v>
      </c>
    </row>
    <row r="47677" customHeight="1" spans="2:2">
      <c r="B47677" s="62" t="str">
        <f>IF(AND('领用录入（明细）'!D:D=$F$4,'领用录入（明细）'!C:C&gt;=$J$4,'领用录入（明细）'!C:C&lt;=$L$4),ROW(),"-")</f>
        <v>-</v>
      </c>
    </row>
    <row r="47678" customHeight="1" spans="2:2">
      <c r="B47678" s="62" t="str">
        <f>IF(AND('领用录入（明细）'!D:D=$F$4,'领用录入（明细）'!C:C&gt;=$J$4,'领用录入（明细）'!C:C&lt;=$L$4),ROW(),"-")</f>
        <v>-</v>
      </c>
    </row>
    <row r="47679" customHeight="1" spans="2:2">
      <c r="B47679" s="62" t="str">
        <f>IF(AND('领用录入（明细）'!D:D=$F$4,'领用录入（明细）'!C:C&gt;=$J$4,'领用录入（明细）'!C:C&lt;=$L$4),ROW(),"-")</f>
        <v>-</v>
      </c>
    </row>
    <row r="47680" customHeight="1" spans="2:2">
      <c r="B47680" s="62" t="str">
        <f>IF(AND('领用录入（明细）'!D:D=$F$4,'领用录入（明细）'!C:C&gt;=$J$4,'领用录入（明细）'!C:C&lt;=$L$4),ROW(),"-")</f>
        <v>-</v>
      </c>
    </row>
    <row r="47681" customHeight="1" spans="2:2">
      <c r="B47681" s="62" t="str">
        <f>IF(AND('领用录入（明细）'!D:D=$F$4,'领用录入（明细）'!C:C&gt;=$J$4,'领用录入（明细）'!C:C&lt;=$L$4),ROW(),"-")</f>
        <v>-</v>
      </c>
    </row>
    <row r="47682" customHeight="1" spans="2:2">
      <c r="B47682" s="62" t="str">
        <f>IF(AND('领用录入（明细）'!D:D=$F$4,'领用录入（明细）'!C:C&gt;=$J$4,'领用录入（明细）'!C:C&lt;=$L$4),ROW(),"-")</f>
        <v>-</v>
      </c>
    </row>
    <row r="47683" customHeight="1" spans="2:2">
      <c r="B47683" s="62" t="str">
        <f>IF(AND('领用录入（明细）'!D:D=$F$4,'领用录入（明细）'!C:C&gt;=$J$4,'领用录入（明细）'!C:C&lt;=$L$4),ROW(),"-")</f>
        <v>-</v>
      </c>
    </row>
    <row r="47684" customHeight="1" spans="2:2">
      <c r="B47684" s="62" t="str">
        <f>IF(AND('领用录入（明细）'!D:D=$F$4,'领用录入（明细）'!C:C&gt;=$J$4,'领用录入（明细）'!C:C&lt;=$L$4),ROW(),"-")</f>
        <v>-</v>
      </c>
    </row>
    <row r="47685" customHeight="1" spans="2:2">
      <c r="B47685" s="62" t="str">
        <f>IF(AND('领用录入（明细）'!D:D=$F$4,'领用录入（明细）'!C:C&gt;=$J$4,'领用录入（明细）'!C:C&lt;=$L$4),ROW(),"-")</f>
        <v>-</v>
      </c>
    </row>
    <row r="47686" customHeight="1" spans="2:2">
      <c r="B47686" s="62" t="str">
        <f>IF(AND('领用录入（明细）'!D:D=$F$4,'领用录入（明细）'!C:C&gt;=$J$4,'领用录入（明细）'!C:C&lt;=$L$4),ROW(),"-")</f>
        <v>-</v>
      </c>
    </row>
    <row r="47687" customHeight="1" spans="2:2">
      <c r="B47687" s="62" t="str">
        <f>IF(AND('领用录入（明细）'!D:D=$F$4,'领用录入（明细）'!C:C&gt;=$J$4,'领用录入（明细）'!C:C&lt;=$L$4),ROW(),"-")</f>
        <v>-</v>
      </c>
    </row>
    <row r="47688" customHeight="1" spans="2:2">
      <c r="B47688" s="62" t="str">
        <f>IF(AND('领用录入（明细）'!D:D=$F$4,'领用录入（明细）'!C:C&gt;=$J$4,'领用录入（明细）'!C:C&lt;=$L$4),ROW(),"-")</f>
        <v>-</v>
      </c>
    </row>
    <row r="47689" customHeight="1" spans="2:2">
      <c r="B47689" s="62" t="str">
        <f>IF(AND('领用录入（明细）'!D:D=$F$4,'领用录入（明细）'!C:C&gt;=$J$4,'领用录入（明细）'!C:C&lt;=$L$4),ROW(),"-")</f>
        <v>-</v>
      </c>
    </row>
    <row r="47690" customHeight="1" spans="2:2">
      <c r="B47690" s="62" t="str">
        <f>IF(AND('领用录入（明细）'!D:D=$F$4,'领用录入（明细）'!C:C&gt;=$J$4,'领用录入（明细）'!C:C&lt;=$L$4),ROW(),"-")</f>
        <v>-</v>
      </c>
    </row>
    <row r="47691" customHeight="1" spans="2:2">
      <c r="B47691" s="62" t="str">
        <f>IF(AND('领用录入（明细）'!D:D=$F$4,'领用录入（明细）'!C:C&gt;=$J$4,'领用录入（明细）'!C:C&lt;=$L$4),ROW(),"-")</f>
        <v>-</v>
      </c>
    </row>
    <row r="47692" customHeight="1" spans="2:2">
      <c r="B47692" s="62" t="str">
        <f>IF(AND('领用录入（明细）'!D:D=$F$4,'领用录入（明细）'!C:C&gt;=$J$4,'领用录入（明细）'!C:C&lt;=$L$4),ROW(),"-")</f>
        <v>-</v>
      </c>
    </row>
    <row r="47693" customHeight="1" spans="2:2">
      <c r="B47693" s="62" t="str">
        <f>IF(AND('领用录入（明细）'!D:D=$F$4,'领用录入（明细）'!C:C&gt;=$J$4,'领用录入（明细）'!C:C&lt;=$L$4),ROW(),"-")</f>
        <v>-</v>
      </c>
    </row>
    <row r="47694" customHeight="1" spans="2:2">
      <c r="B47694" s="62" t="str">
        <f>IF(AND('领用录入（明细）'!D:D=$F$4,'领用录入（明细）'!C:C&gt;=$J$4,'领用录入（明细）'!C:C&lt;=$L$4),ROW(),"-")</f>
        <v>-</v>
      </c>
    </row>
    <row r="47695" customHeight="1" spans="2:2">
      <c r="B47695" s="62" t="str">
        <f>IF(AND('领用录入（明细）'!D:D=$F$4,'领用录入（明细）'!C:C&gt;=$J$4,'领用录入（明细）'!C:C&lt;=$L$4),ROW(),"-")</f>
        <v>-</v>
      </c>
    </row>
    <row r="47696" customHeight="1" spans="2:2">
      <c r="B47696" s="62" t="str">
        <f>IF(AND('领用录入（明细）'!D:D=$F$4,'领用录入（明细）'!C:C&gt;=$J$4,'领用录入（明细）'!C:C&lt;=$L$4),ROW(),"-")</f>
        <v>-</v>
      </c>
    </row>
    <row r="47697" customHeight="1" spans="2:2">
      <c r="B47697" s="62" t="str">
        <f>IF(AND('领用录入（明细）'!D:D=$F$4,'领用录入（明细）'!C:C&gt;=$J$4,'领用录入（明细）'!C:C&lt;=$L$4),ROW(),"-")</f>
        <v>-</v>
      </c>
    </row>
    <row r="47698" customHeight="1" spans="2:2">
      <c r="B47698" s="62" t="str">
        <f>IF(AND('领用录入（明细）'!D:D=$F$4,'领用录入（明细）'!C:C&gt;=$J$4,'领用录入（明细）'!C:C&lt;=$L$4),ROW(),"-")</f>
        <v>-</v>
      </c>
    </row>
    <row r="47699" customHeight="1" spans="2:2">
      <c r="B47699" s="62" t="str">
        <f>IF(AND('领用录入（明细）'!D:D=$F$4,'领用录入（明细）'!C:C&gt;=$J$4,'领用录入（明细）'!C:C&lt;=$L$4),ROW(),"-")</f>
        <v>-</v>
      </c>
    </row>
    <row r="47700" customHeight="1" spans="2:2">
      <c r="B47700" s="62" t="str">
        <f>IF(AND('领用录入（明细）'!D:D=$F$4,'领用录入（明细）'!C:C&gt;=$J$4,'领用录入（明细）'!C:C&lt;=$L$4),ROW(),"-")</f>
        <v>-</v>
      </c>
    </row>
    <row r="47701" customHeight="1" spans="2:2">
      <c r="B47701" s="62" t="str">
        <f>IF(AND('领用录入（明细）'!D:D=$F$4,'领用录入（明细）'!C:C&gt;=$J$4,'领用录入（明细）'!C:C&lt;=$L$4),ROW(),"-")</f>
        <v>-</v>
      </c>
    </row>
    <row r="47702" customHeight="1" spans="2:2">
      <c r="B47702" s="62" t="str">
        <f>IF(AND('领用录入（明细）'!D:D=$F$4,'领用录入（明细）'!C:C&gt;=$J$4,'领用录入（明细）'!C:C&lt;=$L$4),ROW(),"-")</f>
        <v>-</v>
      </c>
    </row>
    <row r="47703" customHeight="1" spans="2:2">
      <c r="B47703" s="62" t="str">
        <f>IF(AND('领用录入（明细）'!D:D=$F$4,'领用录入（明细）'!C:C&gt;=$J$4,'领用录入（明细）'!C:C&lt;=$L$4),ROW(),"-")</f>
        <v>-</v>
      </c>
    </row>
    <row r="47704" customHeight="1" spans="2:2">
      <c r="B47704" s="62" t="str">
        <f>IF(AND('领用录入（明细）'!D:D=$F$4,'领用录入（明细）'!C:C&gt;=$J$4,'领用录入（明细）'!C:C&lt;=$L$4),ROW(),"-")</f>
        <v>-</v>
      </c>
    </row>
    <row r="47705" customHeight="1" spans="2:2">
      <c r="B47705" s="62" t="str">
        <f>IF(AND('领用录入（明细）'!D:D=$F$4,'领用录入（明细）'!C:C&gt;=$J$4,'领用录入（明细）'!C:C&lt;=$L$4),ROW(),"-")</f>
        <v>-</v>
      </c>
    </row>
    <row r="47706" customHeight="1" spans="2:2">
      <c r="B47706" s="62" t="str">
        <f>IF(AND('领用录入（明细）'!D:D=$F$4,'领用录入（明细）'!C:C&gt;=$J$4,'领用录入（明细）'!C:C&lt;=$L$4),ROW(),"-")</f>
        <v>-</v>
      </c>
    </row>
    <row r="47707" customHeight="1" spans="2:2">
      <c r="B47707" s="62" t="str">
        <f>IF(AND('领用录入（明细）'!D:D=$F$4,'领用录入（明细）'!C:C&gt;=$J$4,'领用录入（明细）'!C:C&lt;=$L$4),ROW(),"-")</f>
        <v>-</v>
      </c>
    </row>
    <row r="47708" customHeight="1" spans="2:2">
      <c r="B47708" s="62" t="str">
        <f>IF(AND('领用录入（明细）'!D:D=$F$4,'领用录入（明细）'!C:C&gt;=$J$4,'领用录入（明细）'!C:C&lt;=$L$4),ROW(),"-")</f>
        <v>-</v>
      </c>
    </row>
    <row r="47709" customHeight="1" spans="2:2">
      <c r="B47709" s="62" t="str">
        <f>IF(AND('领用录入（明细）'!D:D=$F$4,'领用录入（明细）'!C:C&gt;=$J$4,'领用录入（明细）'!C:C&lt;=$L$4),ROW(),"-")</f>
        <v>-</v>
      </c>
    </row>
    <row r="47710" customHeight="1" spans="2:2">
      <c r="B47710" s="62" t="str">
        <f>IF(AND('领用录入（明细）'!D:D=$F$4,'领用录入（明细）'!C:C&gt;=$J$4,'领用录入（明细）'!C:C&lt;=$L$4),ROW(),"-")</f>
        <v>-</v>
      </c>
    </row>
    <row r="47711" customHeight="1" spans="2:2">
      <c r="B47711" s="62" t="str">
        <f>IF(AND('领用录入（明细）'!D:D=$F$4,'领用录入（明细）'!C:C&gt;=$J$4,'领用录入（明细）'!C:C&lt;=$L$4),ROW(),"-")</f>
        <v>-</v>
      </c>
    </row>
    <row r="47712" customHeight="1" spans="2:2">
      <c r="B47712" s="62" t="str">
        <f>IF(AND('领用录入（明细）'!D:D=$F$4,'领用录入（明细）'!C:C&gt;=$J$4,'领用录入（明细）'!C:C&lt;=$L$4),ROW(),"-")</f>
        <v>-</v>
      </c>
    </row>
    <row r="47713" customHeight="1" spans="2:2">
      <c r="B47713" s="62" t="str">
        <f>IF(AND('领用录入（明细）'!D:D=$F$4,'领用录入（明细）'!C:C&gt;=$J$4,'领用录入（明细）'!C:C&lt;=$L$4),ROW(),"-")</f>
        <v>-</v>
      </c>
    </row>
    <row r="47714" customHeight="1" spans="2:2">
      <c r="B47714" s="62" t="str">
        <f>IF(AND('领用录入（明细）'!D:D=$F$4,'领用录入（明细）'!C:C&gt;=$J$4,'领用录入（明细）'!C:C&lt;=$L$4),ROW(),"-")</f>
        <v>-</v>
      </c>
    </row>
    <row r="47715" customHeight="1" spans="2:2">
      <c r="B47715" s="62" t="str">
        <f>IF(AND('领用录入（明细）'!D:D=$F$4,'领用录入（明细）'!C:C&gt;=$J$4,'领用录入（明细）'!C:C&lt;=$L$4),ROW(),"-")</f>
        <v>-</v>
      </c>
    </row>
    <row r="47716" customHeight="1" spans="2:2">
      <c r="B47716" s="62" t="str">
        <f>IF(AND('领用录入（明细）'!D:D=$F$4,'领用录入（明细）'!C:C&gt;=$J$4,'领用录入（明细）'!C:C&lt;=$L$4),ROW(),"-")</f>
        <v>-</v>
      </c>
    </row>
    <row r="47717" customHeight="1" spans="2:2">
      <c r="B47717" s="62" t="str">
        <f>IF(AND('领用录入（明细）'!D:D=$F$4,'领用录入（明细）'!C:C&gt;=$J$4,'领用录入（明细）'!C:C&lt;=$L$4),ROW(),"-")</f>
        <v>-</v>
      </c>
    </row>
    <row r="47718" customHeight="1" spans="2:2">
      <c r="B47718" s="62" t="str">
        <f>IF(AND('领用录入（明细）'!D:D=$F$4,'领用录入（明细）'!C:C&gt;=$J$4,'领用录入（明细）'!C:C&lt;=$L$4),ROW(),"-")</f>
        <v>-</v>
      </c>
    </row>
    <row r="47719" customHeight="1" spans="2:2">
      <c r="B47719" s="62" t="str">
        <f>IF(AND('领用录入（明细）'!D:D=$F$4,'领用录入（明细）'!C:C&gt;=$J$4,'领用录入（明细）'!C:C&lt;=$L$4),ROW(),"-")</f>
        <v>-</v>
      </c>
    </row>
    <row r="47720" customHeight="1" spans="2:2">
      <c r="B47720" s="62" t="str">
        <f>IF(AND('领用录入（明细）'!D:D=$F$4,'领用录入（明细）'!C:C&gt;=$J$4,'领用录入（明细）'!C:C&lt;=$L$4),ROW(),"-")</f>
        <v>-</v>
      </c>
    </row>
    <row r="47721" customHeight="1" spans="2:2">
      <c r="B47721" s="62" t="str">
        <f>IF(AND('领用录入（明细）'!D:D=$F$4,'领用录入（明细）'!C:C&gt;=$J$4,'领用录入（明细）'!C:C&lt;=$L$4),ROW(),"-")</f>
        <v>-</v>
      </c>
    </row>
    <row r="47722" customHeight="1" spans="2:2">
      <c r="B47722" s="62" t="str">
        <f>IF(AND('领用录入（明细）'!D:D=$F$4,'领用录入（明细）'!C:C&gt;=$J$4,'领用录入（明细）'!C:C&lt;=$L$4),ROW(),"-")</f>
        <v>-</v>
      </c>
    </row>
    <row r="47723" customHeight="1" spans="2:2">
      <c r="B47723" s="62" t="str">
        <f>IF(AND('领用录入（明细）'!D:D=$F$4,'领用录入（明细）'!C:C&gt;=$J$4,'领用录入（明细）'!C:C&lt;=$L$4),ROW(),"-")</f>
        <v>-</v>
      </c>
    </row>
    <row r="47724" customHeight="1" spans="2:2">
      <c r="B47724" s="62" t="str">
        <f>IF(AND('领用录入（明细）'!D:D=$F$4,'领用录入（明细）'!C:C&gt;=$J$4,'领用录入（明细）'!C:C&lt;=$L$4),ROW(),"-")</f>
        <v>-</v>
      </c>
    </row>
    <row r="47725" customHeight="1" spans="2:2">
      <c r="B47725" s="62" t="str">
        <f>IF(AND('领用录入（明细）'!D:D=$F$4,'领用录入（明细）'!C:C&gt;=$J$4,'领用录入（明细）'!C:C&lt;=$L$4),ROW(),"-")</f>
        <v>-</v>
      </c>
    </row>
    <row r="47726" customHeight="1" spans="2:2">
      <c r="B47726" s="62" t="str">
        <f>IF(AND('领用录入（明细）'!D:D=$F$4,'领用录入（明细）'!C:C&gt;=$J$4,'领用录入（明细）'!C:C&lt;=$L$4),ROW(),"-")</f>
        <v>-</v>
      </c>
    </row>
    <row r="47727" customHeight="1" spans="2:2">
      <c r="B47727" s="62" t="str">
        <f>IF(AND('领用录入（明细）'!D:D=$F$4,'领用录入（明细）'!C:C&gt;=$J$4,'领用录入（明细）'!C:C&lt;=$L$4),ROW(),"-")</f>
        <v>-</v>
      </c>
    </row>
    <row r="47728" customHeight="1" spans="2:2">
      <c r="B47728" s="62" t="str">
        <f>IF(AND('领用录入（明细）'!D:D=$F$4,'领用录入（明细）'!C:C&gt;=$J$4,'领用录入（明细）'!C:C&lt;=$L$4),ROW(),"-")</f>
        <v>-</v>
      </c>
    </row>
    <row r="47729" customHeight="1" spans="2:2">
      <c r="B47729" s="62" t="str">
        <f>IF(AND('领用录入（明细）'!D:D=$F$4,'领用录入（明细）'!C:C&gt;=$J$4,'领用录入（明细）'!C:C&lt;=$L$4),ROW(),"-")</f>
        <v>-</v>
      </c>
    </row>
    <row r="47730" customHeight="1" spans="2:2">
      <c r="B47730" s="62" t="str">
        <f>IF(AND('领用录入（明细）'!D:D=$F$4,'领用录入（明细）'!C:C&gt;=$J$4,'领用录入（明细）'!C:C&lt;=$L$4),ROW(),"-")</f>
        <v>-</v>
      </c>
    </row>
    <row r="47731" customHeight="1" spans="2:2">
      <c r="B47731" s="62" t="str">
        <f>IF(AND('领用录入（明细）'!D:D=$F$4,'领用录入（明细）'!C:C&gt;=$J$4,'领用录入（明细）'!C:C&lt;=$L$4),ROW(),"-")</f>
        <v>-</v>
      </c>
    </row>
    <row r="47732" customHeight="1" spans="2:2">
      <c r="B47732" s="62" t="str">
        <f>IF(AND('领用录入（明细）'!D:D=$F$4,'领用录入（明细）'!C:C&gt;=$J$4,'领用录入（明细）'!C:C&lt;=$L$4),ROW(),"-")</f>
        <v>-</v>
      </c>
    </row>
    <row r="47733" customHeight="1" spans="2:2">
      <c r="B47733" s="62" t="str">
        <f>IF(AND('领用录入（明细）'!D:D=$F$4,'领用录入（明细）'!C:C&gt;=$J$4,'领用录入（明细）'!C:C&lt;=$L$4),ROW(),"-")</f>
        <v>-</v>
      </c>
    </row>
    <row r="47734" customHeight="1" spans="2:2">
      <c r="B47734" s="62" t="str">
        <f>IF(AND('领用录入（明细）'!D:D=$F$4,'领用录入（明细）'!C:C&gt;=$J$4,'领用录入（明细）'!C:C&lt;=$L$4),ROW(),"-")</f>
        <v>-</v>
      </c>
    </row>
    <row r="47735" customHeight="1" spans="2:2">
      <c r="B47735" s="62" t="str">
        <f>IF(AND('领用录入（明细）'!D:D=$F$4,'领用录入（明细）'!C:C&gt;=$J$4,'领用录入（明细）'!C:C&lt;=$L$4),ROW(),"-")</f>
        <v>-</v>
      </c>
    </row>
    <row r="47736" customHeight="1" spans="2:2">
      <c r="B47736" s="62" t="str">
        <f>IF(AND('领用录入（明细）'!D:D=$F$4,'领用录入（明细）'!C:C&gt;=$J$4,'领用录入（明细）'!C:C&lt;=$L$4),ROW(),"-")</f>
        <v>-</v>
      </c>
    </row>
    <row r="47737" customHeight="1" spans="2:2">
      <c r="B47737" s="62" t="str">
        <f>IF(AND('领用录入（明细）'!D:D=$F$4,'领用录入（明细）'!C:C&gt;=$J$4,'领用录入（明细）'!C:C&lt;=$L$4),ROW(),"-")</f>
        <v>-</v>
      </c>
    </row>
    <row r="47738" customHeight="1" spans="2:2">
      <c r="B47738" s="62" t="str">
        <f>IF(AND('领用录入（明细）'!D:D=$F$4,'领用录入（明细）'!C:C&gt;=$J$4,'领用录入（明细）'!C:C&lt;=$L$4),ROW(),"-")</f>
        <v>-</v>
      </c>
    </row>
    <row r="47739" customHeight="1" spans="2:2">
      <c r="B47739" s="62" t="str">
        <f>IF(AND('领用录入（明细）'!D:D=$F$4,'领用录入（明细）'!C:C&gt;=$J$4,'领用录入（明细）'!C:C&lt;=$L$4),ROW(),"-")</f>
        <v>-</v>
      </c>
    </row>
    <row r="47740" customHeight="1" spans="2:2">
      <c r="B47740" s="62" t="str">
        <f>IF(AND('领用录入（明细）'!D:D=$F$4,'领用录入（明细）'!C:C&gt;=$J$4,'领用录入（明细）'!C:C&lt;=$L$4),ROW(),"-")</f>
        <v>-</v>
      </c>
    </row>
    <row r="47741" customHeight="1" spans="2:2">
      <c r="B47741" s="62" t="str">
        <f>IF(AND('领用录入（明细）'!D:D=$F$4,'领用录入（明细）'!C:C&gt;=$J$4,'领用录入（明细）'!C:C&lt;=$L$4),ROW(),"-")</f>
        <v>-</v>
      </c>
    </row>
    <row r="47742" customHeight="1" spans="2:2">
      <c r="B47742" s="62" t="str">
        <f>IF(AND('领用录入（明细）'!D:D=$F$4,'领用录入（明细）'!C:C&gt;=$J$4,'领用录入（明细）'!C:C&lt;=$L$4),ROW(),"-")</f>
        <v>-</v>
      </c>
    </row>
    <row r="47743" customHeight="1" spans="2:2">
      <c r="B47743" s="62" t="str">
        <f>IF(AND('领用录入（明细）'!D:D=$F$4,'领用录入（明细）'!C:C&gt;=$J$4,'领用录入（明细）'!C:C&lt;=$L$4),ROW(),"-")</f>
        <v>-</v>
      </c>
    </row>
    <row r="47744" customHeight="1" spans="2:2">
      <c r="B47744" s="62" t="str">
        <f>IF(AND('领用录入（明细）'!D:D=$F$4,'领用录入（明细）'!C:C&gt;=$J$4,'领用录入（明细）'!C:C&lt;=$L$4),ROW(),"-")</f>
        <v>-</v>
      </c>
    </row>
    <row r="47745" customHeight="1" spans="2:2">
      <c r="B47745" s="62" t="str">
        <f>IF(AND('领用录入（明细）'!D:D=$F$4,'领用录入（明细）'!C:C&gt;=$J$4,'领用录入（明细）'!C:C&lt;=$L$4),ROW(),"-")</f>
        <v>-</v>
      </c>
    </row>
    <row r="47746" customHeight="1" spans="2:2">
      <c r="B47746" s="62" t="str">
        <f>IF(AND('领用录入（明细）'!D:D=$F$4,'领用录入（明细）'!C:C&gt;=$J$4,'领用录入（明细）'!C:C&lt;=$L$4),ROW(),"-")</f>
        <v>-</v>
      </c>
    </row>
    <row r="47747" customHeight="1" spans="2:2">
      <c r="B47747" s="62" t="str">
        <f>IF(AND('领用录入（明细）'!D:D=$F$4,'领用录入（明细）'!C:C&gt;=$J$4,'领用录入（明细）'!C:C&lt;=$L$4),ROW(),"-")</f>
        <v>-</v>
      </c>
    </row>
    <row r="47748" customHeight="1" spans="2:2">
      <c r="B47748" s="62" t="str">
        <f>IF(AND('领用录入（明细）'!D:D=$F$4,'领用录入（明细）'!C:C&gt;=$J$4,'领用录入（明细）'!C:C&lt;=$L$4),ROW(),"-")</f>
        <v>-</v>
      </c>
    </row>
    <row r="47749" customHeight="1" spans="2:2">
      <c r="B47749" s="62" t="str">
        <f>IF(AND('领用录入（明细）'!D:D=$F$4,'领用录入（明细）'!C:C&gt;=$J$4,'领用录入（明细）'!C:C&lt;=$L$4),ROW(),"-")</f>
        <v>-</v>
      </c>
    </row>
    <row r="47750" customHeight="1" spans="2:2">
      <c r="B47750" s="62" t="str">
        <f>IF(AND('领用录入（明细）'!D:D=$F$4,'领用录入（明细）'!C:C&gt;=$J$4,'领用录入（明细）'!C:C&lt;=$L$4),ROW(),"-")</f>
        <v>-</v>
      </c>
    </row>
    <row r="47751" customHeight="1" spans="2:2">
      <c r="B47751" s="62" t="str">
        <f>IF(AND('领用录入（明细）'!D:D=$F$4,'领用录入（明细）'!C:C&gt;=$J$4,'领用录入（明细）'!C:C&lt;=$L$4),ROW(),"-")</f>
        <v>-</v>
      </c>
    </row>
    <row r="47752" customHeight="1" spans="2:2">
      <c r="B47752" s="62" t="str">
        <f>IF(AND('领用录入（明细）'!D:D=$F$4,'领用录入（明细）'!C:C&gt;=$J$4,'领用录入（明细）'!C:C&lt;=$L$4),ROW(),"-")</f>
        <v>-</v>
      </c>
    </row>
    <row r="47753" customHeight="1" spans="2:2">
      <c r="B47753" s="62" t="str">
        <f>IF(AND('领用录入（明细）'!D:D=$F$4,'领用录入（明细）'!C:C&gt;=$J$4,'领用录入（明细）'!C:C&lt;=$L$4),ROW(),"-")</f>
        <v>-</v>
      </c>
    </row>
    <row r="47754" customHeight="1" spans="2:2">
      <c r="B47754" s="62" t="str">
        <f>IF(AND('领用录入（明细）'!D:D=$F$4,'领用录入（明细）'!C:C&gt;=$J$4,'领用录入（明细）'!C:C&lt;=$L$4),ROW(),"-")</f>
        <v>-</v>
      </c>
    </row>
    <row r="47755" customHeight="1" spans="2:2">
      <c r="B47755" s="62" t="str">
        <f>IF(AND('领用录入（明细）'!D:D=$F$4,'领用录入（明细）'!C:C&gt;=$J$4,'领用录入（明细）'!C:C&lt;=$L$4),ROW(),"-")</f>
        <v>-</v>
      </c>
    </row>
    <row r="47756" customHeight="1" spans="2:2">
      <c r="B47756" s="62" t="str">
        <f>IF(AND('领用录入（明细）'!D:D=$F$4,'领用录入（明细）'!C:C&gt;=$J$4,'领用录入（明细）'!C:C&lt;=$L$4),ROW(),"-")</f>
        <v>-</v>
      </c>
    </row>
    <row r="47757" customHeight="1" spans="2:2">
      <c r="B47757" s="62" t="str">
        <f>IF(AND('领用录入（明细）'!D:D=$F$4,'领用录入（明细）'!C:C&gt;=$J$4,'领用录入（明细）'!C:C&lt;=$L$4),ROW(),"-")</f>
        <v>-</v>
      </c>
    </row>
    <row r="47758" customHeight="1" spans="2:2">
      <c r="B47758" s="62" t="str">
        <f>IF(AND('领用录入（明细）'!D:D=$F$4,'领用录入（明细）'!C:C&gt;=$J$4,'领用录入（明细）'!C:C&lt;=$L$4),ROW(),"-")</f>
        <v>-</v>
      </c>
    </row>
    <row r="47759" customHeight="1" spans="2:2">
      <c r="B47759" s="62" t="str">
        <f>IF(AND('领用录入（明细）'!D:D=$F$4,'领用录入（明细）'!C:C&gt;=$J$4,'领用录入（明细）'!C:C&lt;=$L$4),ROW(),"-")</f>
        <v>-</v>
      </c>
    </row>
    <row r="47760" customHeight="1" spans="2:2">
      <c r="B47760" s="62" t="str">
        <f>IF(AND('领用录入（明细）'!D:D=$F$4,'领用录入（明细）'!C:C&gt;=$J$4,'领用录入（明细）'!C:C&lt;=$L$4),ROW(),"-")</f>
        <v>-</v>
      </c>
    </row>
    <row r="47761" customHeight="1" spans="2:2">
      <c r="B47761" s="62" t="str">
        <f>IF(AND('领用录入（明细）'!D:D=$F$4,'领用录入（明细）'!C:C&gt;=$J$4,'领用录入（明细）'!C:C&lt;=$L$4),ROW(),"-")</f>
        <v>-</v>
      </c>
    </row>
    <row r="47762" customHeight="1" spans="2:2">
      <c r="B47762" s="62" t="str">
        <f>IF(AND('领用录入（明细）'!D:D=$F$4,'领用录入（明细）'!C:C&gt;=$J$4,'领用录入（明细）'!C:C&lt;=$L$4),ROW(),"-")</f>
        <v>-</v>
      </c>
    </row>
    <row r="47763" customHeight="1" spans="2:2">
      <c r="B47763" s="62" t="str">
        <f>IF(AND('领用录入（明细）'!D:D=$F$4,'领用录入（明细）'!C:C&gt;=$J$4,'领用录入（明细）'!C:C&lt;=$L$4),ROW(),"-")</f>
        <v>-</v>
      </c>
    </row>
    <row r="47764" customHeight="1" spans="2:2">
      <c r="B47764" s="62" t="str">
        <f>IF(AND('领用录入（明细）'!D:D=$F$4,'领用录入（明细）'!C:C&gt;=$J$4,'领用录入（明细）'!C:C&lt;=$L$4),ROW(),"-")</f>
        <v>-</v>
      </c>
    </row>
    <row r="47765" customHeight="1" spans="2:2">
      <c r="B47765" s="62" t="str">
        <f>IF(AND('领用录入（明细）'!D:D=$F$4,'领用录入（明细）'!C:C&gt;=$J$4,'领用录入（明细）'!C:C&lt;=$L$4),ROW(),"-")</f>
        <v>-</v>
      </c>
    </row>
    <row r="47766" customHeight="1" spans="2:2">
      <c r="B47766" s="62" t="str">
        <f>IF(AND('领用录入（明细）'!D:D=$F$4,'领用录入（明细）'!C:C&gt;=$J$4,'领用录入（明细）'!C:C&lt;=$L$4),ROW(),"-")</f>
        <v>-</v>
      </c>
    </row>
    <row r="47767" customHeight="1" spans="2:2">
      <c r="B47767" s="62" t="str">
        <f>IF(AND('领用录入（明细）'!D:D=$F$4,'领用录入（明细）'!C:C&gt;=$J$4,'领用录入（明细）'!C:C&lt;=$L$4),ROW(),"-")</f>
        <v>-</v>
      </c>
    </row>
    <row r="47768" customHeight="1" spans="2:2">
      <c r="B47768" s="62" t="str">
        <f>IF(AND('领用录入（明细）'!D:D=$F$4,'领用录入（明细）'!C:C&gt;=$J$4,'领用录入（明细）'!C:C&lt;=$L$4),ROW(),"-")</f>
        <v>-</v>
      </c>
    </row>
    <row r="47769" customHeight="1" spans="2:2">
      <c r="B47769" s="62" t="str">
        <f>IF(AND('领用录入（明细）'!D:D=$F$4,'领用录入（明细）'!C:C&gt;=$J$4,'领用录入（明细）'!C:C&lt;=$L$4),ROW(),"-")</f>
        <v>-</v>
      </c>
    </row>
    <row r="47770" customHeight="1" spans="2:2">
      <c r="B47770" s="62" t="str">
        <f>IF(AND('领用录入（明细）'!D:D=$F$4,'领用录入（明细）'!C:C&gt;=$J$4,'领用录入（明细）'!C:C&lt;=$L$4),ROW(),"-")</f>
        <v>-</v>
      </c>
    </row>
    <row r="47771" customHeight="1" spans="2:2">
      <c r="B47771" s="62" t="str">
        <f>IF(AND('领用录入（明细）'!D:D=$F$4,'领用录入（明细）'!C:C&gt;=$J$4,'领用录入（明细）'!C:C&lt;=$L$4),ROW(),"-")</f>
        <v>-</v>
      </c>
    </row>
    <row r="47772" customHeight="1" spans="2:2">
      <c r="B47772" s="62" t="str">
        <f>IF(AND('领用录入（明细）'!D:D=$F$4,'领用录入（明细）'!C:C&gt;=$J$4,'领用录入（明细）'!C:C&lt;=$L$4),ROW(),"-")</f>
        <v>-</v>
      </c>
    </row>
    <row r="47773" customHeight="1" spans="2:2">
      <c r="B47773" s="62" t="str">
        <f>IF(AND('领用录入（明细）'!D:D=$F$4,'领用录入（明细）'!C:C&gt;=$J$4,'领用录入（明细）'!C:C&lt;=$L$4),ROW(),"-")</f>
        <v>-</v>
      </c>
    </row>
    <row r="47774" customHeight="1" spans="2:2">
      <c r="B47774" s="62" t="str">
        <f>IF(AND('领用录入（明细）'!D:D=$F$4,'领用录入（明细）'!C:C&gt;=$J$4,'领用录入（明细）'!C:C&lt;=$L$4),ROW(),"-")</f>
        <v>-</v>
      </c>
    </row>
    <row r="47775" customHeight="1" spans="2:2">
      <c r="B47775" s="62" t="str">
        <f>IF(AND('领用录入（明细）'!D:D=$F$4,'领用录入（明细）'!C:C&gt;=$J$4,'领用录入（明细）'!C:C&lt;=$L$4),ROW(),"-")</f>
        <v>-</v>
      </c>
    </row>
    <row r="47776" customHeight="1" spans="2:2">
      <c r="B47776" s="62" t="str">
        <f>IF(AND('领用录入（明细）'!D:D=$F$4,'领用录入（明细）'!C:C&gt;=$J$4,'领用录入（明细）'!C:C&lt;=$L$4),ROW(),"-")</f>
        <v>-</v>
      </c>
    </row>
    <row r="47777" customHeight="1" spans="2:2">
      <c r="B47777" s="62" t="str">
        <f>IF(AND('领用录入（明细）'!D:D=$F$4,'领用录入（明细）'!C:C&gt;=$J$4,'领用录入（明细）'!C:C&lt;=$L$4),ROW(),"-")</f>
        <v>-</v>
      </c>
    </row>
    <row r="47778" customHeight="1" spans="2:2">
      <c r="B47778" s="62" t="str">
        <f>IF(AND('领用录入（明细）'!D:D=$F$4,'领用录入（明细）'!C:C&gt;=$J$4,'领用录入（明细）'!C:C&lt;=$L$4),ROW(),"-")</f>
        <v>-</v>
      </c>
    </row>
    <row r="47779" customHeight="1" spans="2:2">
      <c r="B47779" s="62" t="str">
        <f>IF(AND('领用录入（明细）'!D:D=$F$4,'领用录入（明细）'!C:C&gt;=$J$4,'领用录入（明细）'!C:C&lt;=$L$4),ROW(),"-")</f>
        <v>-</v>
      </c>
    </row>
    <row r="47780" customHeight="1" spans="2:2">
      <c r="B47780" s="62" t="str">
        <f>IF(AND('领用录入（明细）'!D:D=$F$4,'领用录入（明细）'!C:C&gt;=$J$4,'领用录入（明细）'!C:C&lt;=$L$4),ROW(),"-")</f>
        <v>-</v>
      </c>
    </row>
    <row r="47781" customHeight="1" spans="2:2">
      <c r="B47781" s="62" t="str">
        <f>IF(AND('领用录入（明细）'!D:D=$F$4,'领用录入（明细）'!C:C&gt;=$J$4,'领用录入（明细）'!C:C&lt;=$L$4),ROW(),"-")</f>
        <v>-</v>
      </c>
    </row>
    <row r="47782" customHeight="1" spans="2:2">
      <c r="B47782" s="62" t="str">
        <f>IF(AND('领用录入（明细）'!D:D=$F$4,'领用录入（明细）'!C:C&gt;=$J$4,'领用录入（明细）'!C:C&lt;=$L$4),ROW(),"-")</f>
        <v>-</v>
      </c>
    </row>
    <row r="47783" customHeight="1" spans="2:2">
      <c r="B47783" s="62" t="str">
        <f>IF(AND('领用录入（明细）'!D:D=$F$4,'领用录入（明细）'!C:C&gt;=$J$4,'领用录入（明细）'!C:C&lt;=$L$4),ROW(),"-")</f>
        <v>-</v>
      </c>
    </row>
    <row r="47784" customHeight="1" spans="2:2">
      <c r="B47784" s="62" t="str">
        <f>IF(AND('领用录入（明细）'!D:D=$F$4,'领用录入（明细）'!C:C&gt;=$J$4,'领用录入（明细）'!C:C&lt;=$L$4),ROW(),"-")</f>
        <v>-</v>
      </c>
    </row>
    <row r="47785" customHeight="1" spans="2:2">
      <c r="B47785" s="62" t="str">
        <f>IF(AND('领用录入（明细）'!D:D=$F$4,'领用录入（明细）'!C:C&gt;=$J$4,'领用录入（明细）'!C:C&lt;=$L$4),ROW(),"-")</f>
        <v>-</v>
      </c>
    </row>
    <row r="47786" customHeight="1" spans="2:2">
      <c r="B47786" s="62" t="str">
        <f>IF(AND('领用录入（明细）'!D:D=$F$4,'领用录入（明细）'!C:C&gt;=$J$4,'领用录入（明细）'!C:C&lt;=$L$4),ROW(),"-")</f>
        <v>-</v>
      </c>
    </row>
    <row r="47787" customHeight="1" spans="2:2">
      <c r="B47787" s="62" t="str">
        <f>IF(AND('领用录入（明细）'!D:D=$F$4,'领用录入（明细）'!C:C&gt;=$J$4,'领用录入（明细）'!C:C&lt;=$L$4),ROW(),"-")</f>
        <v>-</v>
      </c>
    </row>
    <row r="47788" customHeight="1" spans="2:2">
      <c r="B47788" s="62" t="str">
        <f>IF(AND('领用录入（明细）'!D:D=$F$4,'领用录入（明细）'!C:C&gt;=$J$4,'领用录入（明细）'!C:C&lt;=$L$4),ROW(),"-")</f>
        <v>-</v>
      </c>
    </row>
    <row r="47789" customHeight="1" spans="2:2">
      <c r="B47789" s="62" t="str">
        <f>IF(AND('领用录入（明细）'!D:D=$F$4,'领用录入（明细）'!C:C&gt;=$J$4,'领用录入（明细）'!C:C&lt;=$L$4),ROW(),"-")</f>
        <v>-</v>
      </c>
    </row>
    <row r="47790" customHeight="1" spans="2:2">
      <c r="B47790" s="62" t="str">
        <f>IF(AND('领用录入（明细）'!D:D=$F$4,'领用录入（明细）'!C:C&gt;=$J$4,'领用录入（明细）'!C:C&lt;=$L$4),ROW(),"-")</f>
        <v>-</v>
      </c>
    </row>
    <row r="47791" customHeight="1" spans="2:2">
      <c r="B47791" s="62" t="str">
        <f>IF(AND('领用录入（明细）'!D:D=$F$4,'领用录入（明细）'!C:C&gt;=$J$4,'领用录入（明细）'!C:C&lt;=$L$4),ROW(),"-")</f>
        <v>-</v>
      </c>
    </row>
    <row r="47792" customHeight="1" spans="2:2">
      <c r="B47792" s="62" t="str">
        <f>IF(AND('领用录入（明细）'!D:D=$F$4,'领用录入（明细）'!C:C&gt;=$J$4,'领用录入（明细）'!C:C&lt;=$L$4),ROW(),"-")</f>
        <v>-</v>
      </c>
    </row>
    <row r="47793" customHeight="1" spans="2:2">
      <c r="B47793" s="62" t="str">
        <f>IF(AND('领用录入（明细）'!D:D=$F$4,'领用录入（明细）'!C:C&gt;=$J$4,'领用录入（明细）'!C:C&lt;=$L$4),ROW(),"-")</f>
        <v>-</v>
      </c>
    </row>
    <row r="47794" customHeight="1" spans="2:2">
      <c r="B47794" s="62" t="str">
        <f>IF(AND('领用录入（明细）'!D:D=$F$4,'领用录入（明细）'!C:C&gt;=$J$4,'领用录入（明细）'!C:C&lt;=$L$4),ROW(),"-")</f>
        <v>-</v>
      </c>
    </row>
    <row r="47795" customHeight="1" spans="2:2">
      <c r="B47795" s="62" t="str">
        <f>IF(AND('领用录入（明细）'!D:D=$F$4,'领用录入（明细）'!C:C&gt;=$J$4,'领用录入（明细）'!C:C&lt;=$L$4),ROW(),"-")</f>
        <v>-</v>
      </c>
    </row>
    <row r="47796" customHeight="1" spans="2:2">
      <c r="B47796" s="62" t="str">
        <f>IF(AND('领用录入（明细）'!D:D=$F$4,'领用录入（明细）'!C:C&gt;=$J$4,'领用录入（明细）'!C:C&lt;=$L$4),ROW(),"-")</f>
        <v>-</v>
      </c>
    </row>
    <row r="47797" customHeight="1" spans="2:2">
      <c r="B47797" s="62" t="str">
        <f>IF(AND('领用录入（明细）'!D:D=$F$4,'领用录入（明细）'!C:C&gt;=$J$4,'领用录入（明细）'!C:C&lt;=$L$4),ROW(),"-")</f>
        <v>-</v>
      </c>
    </row>
    <row r="47798" customHeight="1" spans="2:2">
      <c r="B47798" s="62" t="str">
        <f>IF(AND('领用录入（明细）'!D:D=$F$4,'领用录入（明细）'!C:C&gt;=$J$4,'领用录入（明细）'!C:C&lt;=$L$4),ROW(),"-")</f>
        <v>-</v>
      </c>
    </row>
    <row r="47799" customHeight="1" spans="2:2">
      <c r="B47799" s="62" t="str">
        <f>IF(AND('领用录入（明细）'!D:D=$F$4,'领用录入（明细）'!C:C&gt;=$J$4,'领用录入（明细）'!C:C&lt;=$L$4),ROW(),"-")</f>
        <v>-</v>
      </c>
    </row>
    <row r="47800" customHeight="1" spans="2:2">
      <c r="B47800" s="62" t="str">
        <f>IF(AND('领用录入（明细）'!D:D=$F$4,'领用录入（明细）'!C:C&gt;=$J$4,'领用录入（明细）'!C:C&lt;=$L$4),ROW(),"-")</f>
        <v>-</v>
      </c>
    </row>
    <row r="47801" customHeight="1" spans="2:2">
      <c r="B47801" s="62" t="str">
        <f>IF(AND('领用录入（明细）'!D:D=$F$4,'领用录入（明细）'!C:C&gt;=$J$4,'领用录入（明细）'!C:C&lt;=$L$4),ROW(),"-")</f>
        <v>-</v>
      </c>
    </row>
    <row r="47802" customHeight="1" spans="2:2">
      <c r="B47802" s="62" t="str">
        <f>IF(AND('领用录入（明细）'!D:D=$F$4,'领用录入（明细）'!C:C&gt;=$J$4,'领用录入（明细）'!C:C&lt;=$L$4),ROW(),"-")</f>
        <v>-</v>
      </c>
    </row>
    <row r="47803" customHeight="1" spans="2:2">
      <c r="B47803" s="62" t="str">
        <f>IF(AND('领用录入（明细）'!D:D=$F$4,'领用录入（明细）'!C:C&gt;=$J$4,'领用录入（明细）'!C:C&lt;=$L$4),ROW(),"-")</f>
        <v>-</v>
      </c>
    </row>
    <row r="47804" customHeight="1" spans="2:2">
      <c r="B47804" s="62" t="str">
        <f>IF(AND('领用录入（明细）'!D:D=$F$4,'领用录入（明细）'!C:C&gt;=$J$4,'领用录入（明细）'!C:C&lt;=$L$4),ROW(),"-")</f>
        <v>-</v>
      </c>
    </row>
    <row r="47805" customHeight="1" spans="2:2">
      <c r="B47805" s="62" t="str">
        <f>IF(AND('领用录入（明细）'!D:D=$F$4,'领用录入（明细）'!C:C&gt;=$J$4,'领用录入（明细）'!C:C&lt;=$L$4),ROW(),"-")</f>
        <v>-</v>
      </c>
    </row>
    <row r="47806" customHeight="1" spans="2:2">
      <c r="B47806" s="62" t="str">
        <f>IF(AND('领用录入（明细）'!D:D=$F$4,'领用录入（明细）'!C:C&gt;=$J$4,'领用录入（明细）'!C:C&lt;=$L$4),ROW(),"-")</f>
        <v>-</v>
      </c>
    </row>
    <row r="47807" customHeight="1" spans="2:2">
      <c r="B47807" s="62" t="str">
        <f>IF(AND('领用录入（明细）'!D:D=$F$4,'领用录入（明细）'!C:C&gt;=$J$4,'领用录入（明细）'!C:C&lt;=$L$4),ROW(),"-")</f>
        <v>-</v>
      </c>
    </row>
    <row r="47808" customHeight="1" spans="2:2">
      <c r="B47808" s="62" t="str">
        <f>IF(AND('领用录入（明细）'!D:D=$F$4,'领用录入（明细）'!C:C&gt;=$J$4,'领用录入（明细）'!C:C&lt;=$L$4),ROW(),"-")</f>
        <v>-</v>
      </c>
    </row>
    <row r="47809" customHeight="1" spans="2:2">
      <c r="B47809" s="62" t="str">
        <f>IF(AND('领用录入（明细）'!D:D=$F$4,'领用录入（明细）'!C:C&gt;=$J$4,'领用录入（明细）'!C:C&lt;=$L$4),ROW(),"-")</f>
        <v>-</v>
      </c>
    </row>
    <row r="47810" customHeight="1" spans="2:2">
      <c r="B47810" s="62" t="str">
        <f>IF(AND('领用录入（明细）'!D:D=$F$4,'领用录入（明细）'!C:C&gt;=$J$4,'领用录入（明细）'!C:C&lt;=$L$4),ROW(),"-")</f>
        <v>-</v>
      </c>
    </row>
    <row r="47811" customHeight="1" spans="2:2">
      <c r="B47811" s="62" t="str">
        <f>IF(AND('领用录入（明细）'!D:D=$F$4,'领用录入（明细）'!C:C&gt;=$J$4,'领用录入（明细）'!C:C&lt;=$L$4),ROW(),"-")</f>
        <v>-</v>
      </c>
    </row>
    <row r="47812" customHeight="1" spans="2:2">
      <c r="B47812" s="62" t="str">
        <f>IF(AND('领用录入（明细）'!D:D=$F$4,'领用录入（明细）'!C:C&gt;=$J$4,'领用录入（明细）'!C:C&lt;=$L$4),ROW(),"-")</f>
        <v>-</v>
      </c>
    </row>
    <row r="47813" customHeight="1" spans="2:2">
      <c r="B47813" s="62" t="str">
        <f>IF(AND('领用录入（明细）'!D:D=$F$4,'领用录入（明细）'!C:C&gt;=$J$4,'领用录入（明细）'!C:C&lt;=$L$4),ROW(),"-")</f>
        <v>-</v>
      </c>
    </row>
    <row r="47814" customHeight="1" spans="2:2">
      <c r="B47814" s="62" t="str">
        <f>IF(AND('领用录入（明细）'!D:D=$F$4,'领用录入（明细）'!C:C&gt;=$J$4,'领用录入（明细）'!C:C&lt;=$L$4),ROW(),"-")</f>
        <v>-</v>
      </c>
    </row>
    <row r="47815" customHeight="1" spans="2:2">
      <c r="B47815" s="62" t="str">
        <f>IF(AND('领用录入（明细）'!D:D=$F$4,'领用录入（明细）'!C:C&gt;=$J$4,'领用录入（明细）'!C:C&lt;=$L$4),ROW(),"-")</f>
        <v>-</v>
      </c>
    </row>
    <row r="47816" customHeight="1" spans="2:2">
      <c r="B47816" s="62" t="str">
        <f>IF(AND('领用录入（明细）'!D:D=$F$4,'领用录入（明细）'!C:C&gt;=$J$4,'领用录入（明细）'!C:C&lt;=$L$4),ROW(),"-")</f>
        <v>-</v>
      </c>
    </row>
    <row r="47817" customHeight="1" spans="2:2">
      <c r="B47817" s="62" t="str">
        <f>IF(AND('领用录入（明细）'!D:D=$F$4,'领用录入（明细）'!C:C&gt;=$J$4,'领用录入（明细）'!C:C&lt;=$L$4),ROW(),"-")</f>
        <v>-</v>
      </c>
    </row>
    <row r="47818" customHeight="1" spans="2:2">
      <c r="B47818" s="62" t="str">
        <f>IF(AND('领用录入（明细）'!D:D=$F$4,'领用录入（明细）'!C:C&gt;=$J$4,'领用录入（明细）'!C:C&lt;=$L$4),ROW(),"-")</f>
        <v>-</v>
      </c>
    </row>
    <row r="47819" customHeight="1" spans="2:2">
      <c r="B47819" s="62" t="str">
        <f>IF(AND('领用录入（明细）'!D:D=$F$4,'领用录入（明细）'!C:C&gt;=$J$4,'领用录入（明细）'!C:C&lt;=$L$4),ROW(),"-")</f>
        <v>-</v>
      </c>
    </row>
    <row r="47820" customHeight="1" spans="2:2">
      <c r="B47820" s="62" t="str">
        <f>IF(AND('领用录入（明细）'!D:D=$F$4,'领用录入（明细）'!C:C&gt;=$J$4,'领用录入（明细）'!C:C&lt;=$L$4),ROW(),"-")</f>
        <v>-</v>
      </c>
    </row>
    <row r="47821" customHeight="1" spans="2:2">
      <c r="B47821" s="62" t="str">
        <f>IF(AND('领用录入（明细）'!D:D=$F$4,'领用录入（明细）'!C:C&gt;=$J$4,'领用录入（明细）'!C:C&lt;=$L$4),ROW(),"-")</f>
        <v>-</v>
      </c>
    </row>
    <row r="47822" customHeight="1" spans="2:2">
      <c r="B47822" s="62" t="str">
        <f>IF(AND('领用录入（明细）'!D:D=$F$4,'领用录入（明细）'!C:C&gt;=$J$4,'领用录入（明细）'!C:C&lt;=$L$4),ROW(),"-")</f>
        <v>-</v>
      </c>
    </row>
    <row r="47823" customHeight="1" spans="2:2">
      <c r="B47823" s="62" t="str">
        <f>IF(AND('领用录入（明细）'!D:D=$F$4,'领用录入（明细）'!C:C&gt;=$J$4,'领用录入（明细）'!C:C&lt;=$L$4),ROW(),"-")</f>
        <v>-</v>
      </c>
    </row>
    <row r="47824" customHeight="1" spans="2:2">
      <c r="B47824" s="62" t="str">
        <f>IF(AND('领用录入（明细）'!D:D=$F$4,'领用录入（明细）'!C:C&gt;=$J$4,'领用录入（明细）'!C:C&lt;=$L$4),ROW(),"-")</f>
        <v>-</v>
      </c>
    </row>
    <row r="47825" customHeight="1" spans="2:2">
      <c r="B47825" s="62" t="str">
        <f>IF(AND('领用录入（明细）'!D:D=$F$4,'领用录入（明细）'!C:C&gt;=$J$4,'领用录入（明细）'!C:C&lt;=$L$4),ROW(),"-")</f>
        <v>-</v>
      </c>
    </row>
    <row r="47826" customHeight="1" spans="2:2">
      <c r="B47826" s="62" t="str">
        <f>IF(AND('领用录入（明细）'!D:D=$F$4,'领用录入（明细）'!C:C&gt;=$J$4,'领用录入（明细）'!C:C&lt;=$L$4),ROW(),"-")</f>
        <v>-</v>
      </c>
    </row>
    <row r="47827" customHeight="1" spans="2:2">
      <c r="B47827" s="62" t="str">
        <f>IF(AND('领用录入（明细）'!D:D=$F$4,'领用录入（明细）'!C:C&gt;=$J$4,'领用录入（明细）'!C:C&lt;=$L$4),ROW(),"-")</f>
        <v>-</v>
      </c>
    </row>
    <row r="47828" customHeight="1" spans="2:2">
      <c r="B47828" s="62" t="str">
        <f>IF(AND('领用录入（明细）'!D:D=$F$4,'领用录入（明细）'!C:C&gt;=$J$4,'领用录入（明细）'!C:C&lt;=$L$4),ROW(),"-")</f>
        <v>-</v>
      </c>
    </row>
    <row r="47829" customHeight="1" spans="2:2">
      <c r="B47829" s="62" t="str">
        <f>IF(AND('领用录入（明细）'!D:D=$F$4,'领用录入（明细）'!C:C&gt;=$J$4,'领用录入（明细）'!C:C&lt;=$L$4),ROW(),"-")</f>
        <v>-</v>
      </c>
    </row>
    <row r="47830" customHeight="1" spans="2:2">
      <c r="B47830" s="62" t="str">
        <f>IF(AND('领用录入（明细）'!D:D=$F$4,'领用录入（明细）'!C:C&gt;=$J$4,'领用录入（明细）'!C:C&lt;=$L$4),ROW(),"-")</f>
        <v>-</v>
      </c>
    </row>
    <row r="47831" customHeight="1" spans="2:2">
      <c r="B47831" s="62" t="str">
        <f>IF(AND('领用录入（明细）'!D:D=$F$4,'领用录入（明细）'!C:C&gt;=$J$4,'领用录入（明细）'!C:C&lt;=$L$4),ROW(),"-")</f>
        <v>-</v>
      </c>
    </row>
    <row r="47832" customHeight="1" spans="2:2">
      <c r="B47832" s="62" t="str">
        <f>IF(AND('领用录入（明细）'!D:D=$F$4,'领用录入（明细）'!C:C&gt;=$J$4,'领用录入（明细）'!C:C&lt;=$L$4),ROW(),"-")</f>
        <v>-</v>
      </c>
    </row>
    <row r="47833" customHeight="1" spans="2:2">
      <c r="B47833" s="62" t="str">
        <f>IF(AND('领用录入（明细）'!D:D=$F$4,'领用录入（明细）'!C:C&gt;=$J$4,'领用录入（明细）'!C:C&lt;=$L$4),ROW(),"-")</f>
        <v>-</v>
      </c>
    </row>
    <row r="47834" customHeight="1" spans="2:2">
      <c r="B47834" s="62" t="str">
        <f>IF(AND('领用录入（明细）'!D:D=$F$4,'领用录入（明细）'!C:C&gt;=$J$4,'领用录入（明细）'!C:C&lt;=$L$4),ROW(),"-")</f>
        <v>-</v>
      </c>
    </row>
    <row r="47835" customHeight="1" spans="2:2">
      <c r="B47835" s="62" t="str">
        <f>IF(AND('领用录入（明细）'!D:D=$F$4,'领用录入（明细）'!C:C&gt;=$J$4,'领用录入（明细）'!C:C&lt;=$L$4),ROW(),"-")</f>
        <v>-</v>
      </c>
    </row>
    <row r="47836" customHeight="1" spans="2:2">
      <c r="B47836" s="62" t="str">
        <f>IF(AND('领用录入（明细）'!D:D=$F$4,'领用录入（明细）'!C:C&gt;=$J$4,'领用录入（明细）'!C:C&lt;=$L$4),ROW(),"-")</f>
        <v>-</v>
      </c>
    </row>
    <row r="47837" customHeight="1" spans="2:2">
      <c r="B47837" s="62" t="str">
        <f>IF(AND('领用录入（明细）'!D:D=$F$4,'领用录入（明细）'!C:C&gt;=$J$4,'领用录入（明细）'!C:C&lt;=$L$4),ROW(),"-")</f>
        <v>-</v>
      </c>
    </row>
    <row r="47838" customHeight="1" spans="2:2">
      <c r="B47838" s="62" t="str">
        <f>IF(AND('领用录入（明细）'!D:D=$F$4,'领用录入（明细）'!C:C&gt;=$J$4,'领用录入（明细）'!C:C&lt;=$L$4),ROW(),"-")</f>
        <v>-</v>
      </c>
    </row>
    <row r="47839" customHeight="1" spans="2:2">
      <c r="B47839" s="62" t="str">
        <f>IF(AND('领用录入（明细）'!D:D=$F$4,'领用录入（明细）'!C:C&gt;=$J$4,'领用录入（明细）'!C:C&lt;=$L$4),ROW(),"-")</f>
        <v>-</v>
      </c>
    </row>
    <row r="47840" customHeight="1" spans="2:2">
      <c r="B47840" s="62" t="str">
        <f>IF(AND('领用录入（明细）'!D:D=$F$4,'领用录入（明细）'!C:C&gt;=$J$4,'领用录入（明细）'!C:C&lt;=$L$4),ROW(),"-")</f>
        <v>-</v>
      </c>
    </row>
    <row r="47841" customHeight="1" spans="2:2">
      <c r="B47841" s="62" t="str">
        <f>IF(AND('领用录入（明细）'!D:D=$F$4,'领用录入（明细）'!C:C&gt;=$J$4,'领用录入（明细）'!C:C&lt;=$L$4),ROW(),"-")</f>
        <v>-</v>
      </c>
    </row>
    <row r="47842" customHeight="1" spans="2:2">
      <c r="B47842" s="62" t="str">
        <f>IF(AND('领用录入（明细）'!D:D=$F$4,'领用录入（明细）'!C:C&gt;=$J$4,'领用录入（明细）'!C:C&lt;=$L$4),ROW(),"-")</f>
        <v>-</v>
      </c>
    </row>
    <row r="47843" customHeight="1" spans="2:2">
      <c r="B47843" s="62" t="str">
        <f>IF(AND('领用录入（明细）'!D:D=$F$4,'领用录入（明细）'!C:C&gt;=$J$4,'领用录入（明细）'!C:C&lt;=$L$4),ROW(),"-")</f>
        <v>-</v>
      </c>
    </row>
    <row r="47844" customHeight="1" spans="2:2">
      <c r="B47844" s="62" t="str">
        <f>IF(AND('领用录入（明细）'!D:D=$F$4,'领用录入（明细）'!C:C&gt;=$J$4,'领用录入（明细）'!C:C&lt;=$L$4),ROW(),"-")</f>
        <v>-</v>
      </c>
    </row>
    <row r="47845" customHeight="1" spans="2:2">
      <c r="B47845" s="62" t="str">
        <f>IF(AND('领用录入（明细）'!D:D=$F$4,'领用录入（明细）'!C:C&gt;=$J$4,'领用录入（明细）'!C:C&lt;=$L$4),ROW(),"-")</f>
        <v>-</v>
      </c>
    </row>
    <row r="47846" customHeight="1" spans="2:2">
      <c r="B47846" s="62" t="str">
        <f>IF(AND('领用录入（明细）'!D:D=$F$4,'领用录入（明细）'!C:C&gt;=$J$4,'领用录入（明细）'!C:C&lt;=$L$4),ROW(),"-")</f>
        <v>-</v>
      </c>
    </row>
    <row r="47847" customHeight="1" spans="2:2">
      <c r="B47847" s="62" t="str">
        <f>IF(AND('领用录入（明细）'!D:D=$F$4,'领用录入（明细）'!C:C&gt;=$J$4,'领用录入（明细）'!C:C&lt;=$L$4),ROW(),"-")</f>
        <v>-</v>
      </c>
    </row>
    <row r="47848" customHeight="1" spans="2:2">
      <c r="B47848" s="62" t="str">
        <f>IF(AND('领用录入（明细）'!D:D=$F$4,'领用录入（明细）'!C:C&gt;=$J$4,'领用录入（明细）'!C:C&lt;=$L$4),ROW(),"-")</f>
        <v>-</v>
      </c>
    </row>
    <row r="47849" customHeight="1" spans="2:2">
      <c r="B47849" s="62" t="str">
        <f>IF(AND('领用录入（明细）'!D:D=$F$4,'领用录入（明细）'!C:C&gt;=$J$4,'领用录入（明细）'!C:C&lt;=$L$4),ROW(),"-")</f>
        <v>-</v>
      </c>
    </row>
    <row r="47850" customHeight="1" spans="2:2">
      <c r="B47850" s="62" t="str">
        <f>IF(AND('领用录入（明细）'!D:D=$F$4,'领用录入（明细）'!C:C&gt;=$J$4,'领用录入（明细）'!C:C&lt;=$L$4),ROW(),"-")</f>
        <v>-</v>
      </c>
    </row>
    <row r="47851" customHeight="1" spans="2:2">
      <c r="B47851" s="62" t="str">
        <f>IF(AND('领用录入（明细）'!D:D=$F$4,'领用录入（明细）'!C:C&gt;=$J$4,'领用录入（明细）'!C:C&lt;=$L$4),ROW(),"-")</f>
        <v>-</v>
      </c>
    </row>
    <row r="47852" customHeight="1" spans="2:2">
      <c r="B47852" s="62" t="str">
        <f>IF(AND('领用录入（明细）'!D:D=$F$4,'领用录入（明细）'!C:C&gt;=$J$4,'领用录入（明细）'!C:C&lt;=$L$4),ROW(),"-")</f>
        <v>-</v>
      </c>
    </row>
    <row r="47853" customHeight="1" spans="2:2">
      <c r="B47853" s="62" t="str">
        <f>IF(AND('领用录入（明细）'!D:D=$F$4,'领用录入（明细）'!C:C&gt;=$J$4,'领用录入（明细）'!C:C&lt;=$L$4),ROW(),"-")</f>
        <v>-</v>
      </c>
    </row>
    <row r="47854" customHeight="1" spans="2:2">
      <c r="B47854" s="62" t="str">
        <f>IF(AND('领用录入（明细）'!D:D=$F$4,'领用录入（明细）'!C:C&gt;=$J$4,'领用录入（明细）'!C:C&lt;=$L$4),ROW(),"-")</f>
        <v>-</v>
      </c>
    </row>
    <row r="47855" customHeight="1" spans="2:2">
      <c r="B47855" s="62" t="str">
        <f>IF(AND('领用录入（明细）'!D:D=$F$4,'领用录入（明细）'!C:C&gt;=$J$4,'领用录入（明细）'!C:C&lt;=$L$4),ROW(),"-")</f>
        <v>-</v>
      </c>
    </row>
    <row r="47856" customHeight="1" spans="2:2">
      <c r="B47856" s="62" t="str">
        <f>IF(AND('领用录入（明细）'!D:D=$F$4,'领用录入（明细）'!C:C&gt;=$J$4,'领用录入（明细）'!C:C&lt;=$L$4),ROW(),"-")</f>
        <v>-</v>
      </c>
    </row>
    <row r="47857" customHeight="1" spans="2:2">
      <c r="B47857" s="62" t="str">
        <f>IF(AND('领用录入（明细）'!D:D=$F$4,'领用录入（明细）'!C:C&gt;=$J$4,'领用录入（明细）'!C:C&lt;=$L$4),ROW(),"-")</f>
        <v>-</v>
      </c>
    </row>
    <row r="47858" customHeight="1" spans="2:2">
      <c r="B47858" s="62" t="str">
        <f>IF(AND('领用录入（明细）'!D:D=$F$4,'领用录入（明细）'!C:C&gt;=$J$4,'领用录入（明细）'!C:C&lt;=$L$4),ROW(),"-")</f>
        <v>-</v>
      </c>
    </row>
    <row r="47859" customHeight="1" spans="2:2">
      <c r="B47859" s="62" t="str">
        <f>IF(AND('领用录入（明细）'!D:D=$F$4,'领用录入（明细）'!C:C&gt;=$J$4,'领用录入（明细）'!C:C&lt;=$L$4),ROW(),"-")</f>
        <v>-</v>
      </c>
    </row>
    <row r="47860" customHeight="1" spans="2:2">
      <c r="B47860" s="62" t="str">
        <f>IF(AND('领用录入（明细）'!D:D=$F$4,'领用录入（明细）'!C:C&gt;=$J$4,'领用录入（明细）'!C:C&lt;=$L$4),ROW(),"-")</f>
        <v>-</v>
      </c>
    </row>
    <row r="47861" customHeight="1" spans="2:2">
      <c r="B47861" s="62" t="str">
        <f>IF(AND('领用录入（明细）'!D:D=$F$4,'领用录入（明细）'!C:C&gt;=$J$4,'领用录入（明细）'!C:C&lt;=$L$4),ROW(),"-")</f>
        <v>-</v>
      </c>
    </row>
    <row r="47862" customHeight="1" spans="2:2">
      <c r="B47862" s="62" t="str">
        <f>IF(AND('领用录入（明细）'!D:D=$F$4,'领用录入（明细）'!C:C&gt;=$J$4,'领用录入（明细）'!C:C&lt;=$L$4),ROW(),"-")</f>
        <v>-</v>
      </c>
    </row>
    <row r="47863" customHeight="1" spans="2:2">
      <c r="B47863" s="62" t="str">
        <f>IF(AND('领用录入（明细）'!D:D=$F$4,'领用录入（明细）'!C:C&gt;=$J$4,'领用录入（明细）'!C:C&lt;=$L$4),ROW(),"-")</f>
        <v>-</v>
      </c>
    </row>
    <row r="47864" customHeight="1" spans="2:2">
      <c r="B47864" s="62" t="str">
        <f>IF(AND('领用录入（明细）'!D:D=$F$4,'领用录入（明细）'!C:C&gt;=$J$4,'领用录入（明细）'!C:C&lt;=$L$4),ROW(),"-")</f>
        <v>-</v>
      </c>
    </row>
    <row r="47865" customHeight="1" spans="2:2">
      <c r="B47865" s="62" t="str">
        <f>IF(AND('领用录入（明细）'!D:D=$F$4,'领用录入（明细）'!C:C&gt;=$J$4,'领用录入（明细）'!C:C&lt;=$L$4),ROW(),"-")</f>
        <v>-</v>
      </c>
    </row>
    <row r="47866" customHeight="1" spans="2:2">
      <c r="B47866" s="62" t="str">
        <f>IF(AND('领用录入（明细）'!D:D=$F$4,'领用录入（明细）'!C:C&gt;=$J$4,'领用录入（明细）'!C:C&lt;=$L$4),ROW(),"-")</f>
        <v>-</v>
      </c>
    </row>
    <row r="47867" customHeight="1" spans="2:2">
      <c r="B47867" s="62" t="str">
        <f>IF(AND('领用录入（明细）'!D:D=$F$4,'领用录入（明细）'!C:C&gt;=$J$4,'领用录入（明细）'!C:C&lt;=$L$4),ROW(),"-")</f>
        <v>-</v>
      </c>
    </row>
    <row r="47868" customHeight="1" spans="2:2">
      <c r="B47868" s="62" t="str">
        <f>IF(AND('领用录入（明细）'!D:D=$F$4,'领用录入（明细）'!C:C&gt;=$J$4,'领用录入（明细）'!C:C&lt;=$L$4),ROW(),"-")</f>
        <v>-</v>
      </c>
    </row>
    <row r="47869" customHeight="1" spans="2:2">
      <c r="B47869" s="62" t="str">
        <f>IF(AND('领用录入（明细）'!D:D=$F$4,'领用录入（明细）'!C:C&gt;=$J$4,'领用录入（明细）'!C:C&lt;=$L$4),ROW(),"-")</f>
        <v>-</v>
      </c>
    </row>
    <row r="47870" customHeight="1" spans="2:2">
      <c r="B47870" s="62" t="str">
        <f>IF(AND('领用录入（明细）'!D:D=$F$4,'领用录入（明细）'!C:C&gt;=$J$4,'领用录入（明细）'!C:C&lt;=$L$4),ROW(),"-")</f>
        <v>-</v>
      </c>
    </row>
    <row r="47871" customHeight="1" spans="2:2">
      <c r="B47871" s="62" t="str">
        <f>IF(AND('领用录入（明细）'!D:D=$F$4,'领用录入（明细）'!C:C&gt;=$J$4,'领用录入（明细）'!C:C&lt;=$L$4),ROW(),"-")</f>
        <v>-</v>
      </c>
    </row>
    <row r="47872" customHeight="1" spans="2:2">
      <c r="B47872" s="62" t="str">
        <f>IF(AND('领用录入（明细）'!D:D=$F$4,'领用录入（明细）'!C:C&gt;=$J$4,'领用录入（明细）'!C:C&lt;=$L$4),ROW(),"-")</f>
        <v>-</v>
      </c>
    </row>
    <row r="47873" customHeight="1" spans="2:2">
      <c r="B47873" s="62" t="str">
        <f>IF(AND('领用录入（明细）'!D:D=$F$4,'领用录入（明细）'!C:C&gt;=$J$4,'领用录入（明细）'!C:C&lt;=$L$4),ROW(),"-")</f>
        <v>-</v>
      </c>
    </row>
    <row r="47874" customHeight="1" spans="2:2">
      <c r="B47874" s="62" t="str">
        <f>IF(AND('领用录入（明细）'!D:D=$F$4,'领用录入（明细）'!C:C&gt;=$J$4,'领用录入（明细）'!C:C&lt;=$L$4),ROW(),"-")</f>
        <v>-</v>
      </c>
    </row>
    <row r="47875" customHeight="1" spans="2:2">
      <c r="B47875" s="62" t="str">
        <f>IF(AND('领用录入（明细）'!D:D=$F$4,'领用录入（明细）'!C:C&gt;=$J$4,'领用录入（明细）'!C:C&lt;=$L$4),ROW(),"-")</f>
        <v>-</v>
      </c>
    </row>
    <row r="47876" customHeight="1" spans="2:2">
      <c r="B47876" s="62" t="str">
        <f>IF(AND('领用录入（明细）'!D:D=$F$4,'领用录入（明细）'!C:C&gt;=$J$4,'领用录入（明细）'!C:C&lt;=$L$4),ROW(),"-")</f>
        <v>-</v>
      </c>
    </row>
    <row r="47877" customHeight="1" spans="2:2">
      <c r="B47877" s="62" t="str">
        <f>IF(AND('领用录入（明细）'!D:D=$F$4,'领用录入（明细）'!C:C&gt;=$J$4,'领用录入（明细）'!C:C&lt;=$L$4),ROW(),"-")</f>
        <v>-</v>
      </c>
    </row>
    <row r="47878" customHeight="1" spans="2:2">
      <c r="B47878" s="62" t="str">
        <f>IF(AND('领用录入（明细）'!D:D=$F$4,'领用录入（明细）'!C:C&gt;=$J$4,'领用录入（明细）'!C:C&lt;=$L$4),ROW(),"-")</f>
        <v>-</v>
      </c>
    </row>
    <row r="47879" customHeight="1" spans="2:2">
      <c r="B47879" s="62" t="str">
        <f>IF(AND('领用录入（明细）'!D:D=$F$4,'领用录入（明细）'!C:C&gt;=$J$4,'领用录入（明细）'!C:C&lt;=$L$4),ROW(),"-")</f>
        <v>-</v>
      </c>
    </row>
    <row r="47880" customHeight="1" spans="2:2">
      <c r="B47880" s="62" t="str">
        <f>IF(AND('领用录入（明细）'!D:D=$F$4,'领用录入（明细）'!C:C&gt;=$J$4,'领用录入（明细）'!C:C&lt;=$L$4),ROW(),"-")</f>
        <v>-</v>
      </c>
    </row>
    <row r="47881" customHeight="1" spans="2:2">
      <c r="B47881" s="62" t="str">
        <f>IF(AND('领用录入（明细）'!D:D=$F$4,'领用录入（明细）'!C:C&gt;=$J$4,'领用录入（明细）'!C:C&lt;=$L$4),ROW(),"-")</f>
        <v>-</v>
      </c>
    </row>
    <row r="47882" customHeight="1" spans="2:2">
      <c r="B47882" s="62" t="str">
        <f>IF(AND('领用录入（明细）'!D:D=$F$4,'领用录入（明细）'!C:C&gt;=$J$4,'领用录入（明细）'!C:C&lt;=$L$4),ROW(),"-")</f>
        <v>-</v>
      </c>
    </row>
    <row r="47883" customHeight="1" spans="2:2">
      <c r="B47883" s="62" t="str">
        <f>IF(AND('领用录入（明细）'!D:D=$F$4,'领用录入（明细）'!C:C&gt;=$J$4,'领用录入（明细）'!C:C&lt;=$L$4),ROW(),"-")</f>
        <v>-</v>
      </c>
    </row>
    <row r="47884" customHeight="1" spans="2:2">
      <c r="B47884" s="62" t="str">
        <f>IF(AND('领用录入（明细）'!D:D=$F$4,'领用录入（明细）'!C:C&gt;=$J$4,'领用录入（明细）'!C:C&lt;=$L$4),ROW(),"-")</f>
        <v>-</v>
      </c>
    </row>
    <row r="47885" customHeight="1" spans="2:2">
      <c r="B47885" s="62" t="str">
        <f>IF(AND('领用录入（明细）'!D:D=$F$4,'领用录入（明细）'!C:C&gt;=$J$4,'领用录入（明细）'!C:C&lt;=$L$4),ROW(),"-")</f>
        <v>-</v>
      </c>
    </row>
    <row r="47886" customHeight="1" spans="2:2">
      <c r="B47886" s="62" t="str">
        <f>IF(AND('领用录入（明细）'!D:D=$F$4,'领用录入（明细）'!C:C&gt;=$J$4,'领用录入（明细）'!C:C&lt;=$L$4),ROW(),"-")</f>
        <v>-</v>
      </c>
    </row>
    <row r="47887" customHeight="1" spans="2:2">
      <c r="B47887" s="62" t="str">
        <f>IF(AND('领用录入（明细）'!D:D=$F$4,'领用录入（明细）'!C:C&gt;=$J$4,'领用录入（明细）'!C:C&lt;=$L$4),ROW(),"-")</f>
        <v>-</v>
      </c>
    </row>
    <row r="47888" customHeight="1" spans="2:2">
      <c r="B47888" s="62" t="str">
        <f>IF(AND('领用录入（明细）'!D:D=$F$4,'领用录入（明细）'!C:C&gt;=$J$4,'领用录入（明细）'!C:C&lt;=$L$4),ROW(),"-")</f>
        <v>-</v>
      </c>
    </row>
    <row r="47889" customHeight="1" spans="2:2">
      <c r="B47889" s="62" t="str">
        <f>IF(AND('领用录入（明细）'!D:D=$F$4,'领用录入（明细）'!C:C&gt;=$J$4,'领用录入（明细）'!C:C&lt;=$L$4),ROW(),"-")</f>
        <v>-</v>
      </c>
    </row>
    <row r="47890" customHeight="1" spans="2:2">
      <c r="B47890" s="62" t="str">
        <f>IF(AND('领用录入（明细）'!D:D=$F$4,'领用录入（明细）'!C:C&gt;=$J$4,'领用录入（明细）'!C:C&lt;=$L$4),ROW(),"-")</f>
        <v>-</v>
      </c>
    </row>
    <row r="47891" customHeight="1" spans="2:2">
      <c r="B47891" s="62" t="str">
        <f>IF(AND('领用录入（明细）'!D:D=$F$4,'领用录入（明细）'!C:C&gt;=$J$4,'领用录入（明细）'!C:C&lt;=$L$4),ROW(),"-")</f>
        <v>-</v>
      </c>
    </row>
    <row r="47892" customHeight="1" spans="2:2">
      <c r="B47892" s="62" t="str">
        <f>IF(AND('领用录入（明细）'!D:D=$F$4,'领用录入（明细）'!C:C&gt;=$J$4,'领用录入（明细）'!C:C&lt;=$L$4),ROW(),"-")</f>
        <v>-</v>
      </c>
    </row>
    <row r="47893" customHeight="1" spans="2:2">
      <c r="B47893" s="62" t="str">
        <f>IF(AND('领用录入（明细）'!D:D=$F$4,'领用录入（明细）'!C:C&gt;=$J$4,'领用录入（明细）'!C:C&lt;=$L$4),ROW(),"-")</f>
        <v>-</v>
      </c>
    </row>
    <row r="47894" customHeight="1" spans="2:2">
      <c r="B47894" s="62" t="str">
        <f>IF(AND('领用录入（明细）'!D:D=$F$4,'领用录入（明细）'!C:C&gt;=$J$4,'领用录入（明细）'!C:C&lt;=$L$4),ROW(),"-")</f>
        <v>-</v>
      </c>
    </row>
    <row r="47895" customHeight="1" spans="2:2">
      <c r="B47895" s="62" t="str">
        <f>IF(AND('领用录入（明细）'!D:D=$F$4,'领用录入（明细）'!C:C&gt;=$J$4,'领用录入（明细）'!C:C&lt;=$L$4),ROW(),"-")</f>
        <v>-</v>
      </c>
    </row>
    <row r="47896" customHeight="1" spans="2:2">
      <c r="B47896" s="62" t="str">
        <f>IF(AND('领用录入（明细）'!D:D=$F$4,'领用录入（明细）'!C:C&gt;=$J$4,'领用录入（明细）'!C:C&lt;=$L$4),ROW(),"-")</f>
        <v>-</v>
      </c>
    </row>
    <row r="47897" customHeight="1" spans="2:2">
      <c r="B47897" s="62" t="str">
        <f>IF(AND('领用录入（明细）'!D:D=$F$4,'领用录入（明细）'!C:C&gt;=$J$4,'领用录入（明细）'!C:C&lt;=$L$4),ROW(),"-")</f>
        <v>-</v>
      </c>
    </row>
    <row r="47898" customHeight="1" spans="2:2">
      <c r="B47898" s="62" t="str">
        <f>IF(AND('领用录入（明细）'!D:D=$F$4,'领用录入（明细）'!C:C&gt;=$J$4,'领用录入（明细）'!C:C&lt;=$L$4),ROW(),"-")</f>
        <v>-</v>
      </c>
    </row>
    <row r="47899" customHeight="1" spans="2:2">
      <c r="B47899" s="62" t="str">
        <f>IF(AND('领用录入（明细）'!D:D=$F$4,'领用录入（明细）'!C:C&gt;=$J$4,'领用录入（明细）'!C:C&lt;=$L$4),ROW(),"-")</f>
        <v>-</v>
      </c>
    </row>
    <row r="47900" customHeight="1" spans="2:2">
      <c r="B47900" s="62" t="str">
        <f>IF(AND('领用录入（明细）'!D:D=$F$4,'领用录入（明细）'!C:C&gt;=$J$4,'领用录入（明细）'!C:C&lt;=$L$4),ROW(),"-")</f>
        <v>-</v>
      </c>
    </row>
    <row r="47901" customHeight="1" spans="2:2">
      <c r="B47901" s="62" t="str">
        <f>IF(AND('领用录入（明细）'!D:D=$F$4,'领用录入（明细）'!C:C&gt;=$J$4,'领用录入（明细）'!C:C&lt;=$L$4),ROW(),"-")</f>
        <v>-</v>
      </c>
    </row>
    <row r="47902" customHeight="1" spans="2:2">
      <c r="B47902" s="62" t="str">
        <f>IF(AND('领用录入（明细）'!D:D=$F$4,'领用录入（明细）'!C:C&gt;=$J$4,'领用录入（明细）'!C:C&lt;=$L$4),ROW(),"-")</f>
        <v>-</v>
      </c>
    </row>
    <row r="47903" customHeight="1" spans="2:2">
      <c r="B47903" s="62" t="str">
        <f>IF(AND('领用录入（明细）'!D:D=$F$4,'领用录入（明细）'!C:C&gt;=$J$4,'领用录入（明细）'!C:C&lt;=$L$4),ROW(),"-")</f>
        <v>-</v>
      </c>
    </row>
    <row r="47904" customHeight="1" spans="2:2">
      <c r="B47904" s="62" t="str">
        <f>IF(AND('领用录入（明细）'!D:D=$F$4,'领用录入（明细）'!C:C&gt;=$J$4,'领用录入（明细）'!C:C&lt;=$L$4),ROW(),"-")</f>
        <v>-</v>
      </c>
    </row>
    <row r="47905" customHeight="1" spans="2:2">
      <c r="B47905" s="62" t="str">
        <f>IF(AND('领用录入（明细）'!D:D=$F$4,'领用录入（明细）'!C:C&gt;=$J$4,'领用录入（明细）'!C:C&lt;=$L$4),ROW(),"-")</f>
        <v>-</v>
      </c>
    </row>
    <row r="47906" customHeight="1" spans="2:2">
      <c r="B47906" s="62" t="str">
        <f>IF(AND('领用录入（明细）'!D:D=$F$4,'领用录入（明细）'!C:C&gt;=$J$4,'领用录入（明细）'!C:C&lt;=$L$4),ROW(),"-")</f>
        <v>-</v>
      </c>
    </row>
    <row r="47907" customHeight="1" spans="2:2">
      <c r="B47907" s="62" t="str">
        <f>IF(AND('领用录入（明细）'!D:D=$F$4,'领用录入（明细）'!C:C&gt;=$J$4,'领用录入（明细）'!C:C&lt;=$L$4),ROW(),"-")</f>
        <v>-</v>
      </c>
    </row>
    <row r="47908" customHeight="1" spans="2:2">
      <c r="B47908" s="62" t="str">
        <f>IF(AND('领用录入（明细）'!D:D=$F$4,'领用录入（明细）'!C:C&gt;=$J$4,'领用录入（明细）'!C:C&lt;=$L$4),ROW(),"-")</f>
        <v>-</v>
      </c>
    </row>
    <row r="47909" customHeight="1" spans="2:2">
      <c r="B47909" s="62" t="str">
        <f>IF(AND('领用录入（明细）'!D:D=$F$4,'领用录入（明细）'!C:C&gt;=$J$4,'领用录入（明细）'!C:C&lt;=$L$4),ROW(),"-")</f>
        <v>-</v>
      </c>
    </row>
    <row r="47910" customHeight="1" spans="2:2">
      <c r="B47910" s="62" t="str">
        <f>IF(AND('领用录入（明细）'!D:D=$F$4,'领用录入（明细）'!C:C&gt;=$J$4,'领用录入（明细）'!C:C&lt;=$L$4),ROW(),"-")</f>
        <v>-</v>
      </c>
    </row>
    <row r="47911" customHeight="1" spans="2:2">
      <c r="B47911" s="62" t="str">
        <f>IF(AND('领用录入（明细）'!D:D=$F$4,'领用录入（明细）'!C:C&gt;=$J$4,'领用录入（明细）'!C:C&lt;=$L$4),ROW(),"-")</f>
        <v>-</v>
      </c>
    </row>
    <row r="47912" customHeight="1" spans="2:2">
      <c r="B47912" s="62" t="str">
        <f>IF(AND('领用录入（明细）'!D:D=$F$4,'领用录入（明细）'!C:C&gt;=$J$4,'领用录入（明细）'!C:C&lt;=$L$4),ROW(),"-")</f>
        <v>-</v>
      </c>
    </row>
    <row r="47913" customHeight="1" spans="2:2">
      <c r="B47913" s="62" t="str">
        <f>IF(AND('领用录入（明细）'!D:D=$F$4,'领用录入（明细）'!C:C&gt;=$J$4,'领用录入（明细）'!C:C&lt;=$L$4),ROW(),"-")</f>
        <v>-</v>
      </c>
    </row>
    <row r="47914" customHeight="1" spans="2:2">
      <c r="B47914" s="62" t="str">
        <f>IF(AND('领用录入（明细）'!D:D=$F$4,'领用录入（明细）'!C:C&gt;=$J$4,'领用录入（明细）'!C:C&lt;=$L$4),ROW(),"-")</f>
        <v>-</v>
      </c>
    </row>
    <row r="47915" customHeight="1" spans="2:2">
      <c r="B47915" s="62" t="str">
        <f>IF(AND('领用录入（明细）'!D:D=$F$4,'领用录入（明细）'!C:C&gt;=$J$4,'领用录入（明细）'!C:C&lt;=$L$4),ROW(),"-")</f>
        <v>-</v>
      </c>
    </row>
    <row r="47916" customHeight="1" spans="2:2">
      <c r="B47916" s="62" t="str">
        <f>IF(AND('领用录入（明细）'!D:D=$F$4,'领用录入（明细）'!C:C&gt;=$J$4,'领用录入（明细）'!C:C&lt;=$L$4),ROW(),"-")</f>
        <v>-</v>
      </c>
    </row>
    <row r="47917" customHeight="1" spans="2:2">
      <c r="B47917" s="62" t="str">
        <f>IF(AND('领用录入（明细）'!D:D=$F$4,'领用录入（明细）'!C:C&gt;=$J$4,'领用录入（明细）'!C:C&lt;=$L$4),ROW(),"-")</f>
        <v>-</v>
      </c>
    </row>
    <row r="47918" customHeight="1" spans="2:2">
      <c r="B47918" s="62" t="str">
        <f>IF(AND('领用录入（明细）'!D:D=$F$4,'领用录入（明细）'!C:C&gt;=$J$4,'领用录入（明细）'!C:C&lt;=$L$4),ROW(),"-")</f>
        <v>-</v>
      </c>
    </row>
    <row r="47919" customHeight="1" spans="2:2">
      <c r="B47919" s="62" t="str">
        <f>IF(AND('领用录入（明细）'!D:D=$F$4,'领用录入（明细）'!C:C&gt;=$J$4,'领用录入（明细）'!C:C&lt;=$L$4),ROW(),"-")</f>
        <v>-</v>
      </c>
    </row>
    <row r="47920" customHeight="1" spans="2:2">
      <c r="B47920" s="62" t="str">
        <f>IF(AND('领用录入（明细）'!D:D=$F$4,'领用录入（明细）'!C:C&gt;=$J$4,'领用录入（明细）'!C:C&lt;=$L$4),ROW(),"-")</f>
        <v>-</v>
      </c>
    </row>
    <row r="47921" customHeight="1" spans="2:2">
      <c r="B47921" s="62" t="str">
        <f>IF(AND('领用录入（明细）'!D:D=$F$4,'领用录入（明细）'!C:C&gt;=$J$4,'领用录入（明细）'!C:C&lt;=$L$4),ROW(),"-")</f>
        <v>-</v>
      </c>
    </row>
    <row r="47922" customHeight="1" spans="2:2">
      <c r="B47922" s="62" t="str">
        <f>IF(AND('领用录入（明细）'!D:D=$F$4,'领用录入（明细）'!C:C&gt;=$J$4,'领用录入（明细）'!C:C&lt;=$L$4),ROW(),"-")</f>
        <v>-</v>
      </c>
    </row>
    <row r="47923" customHeight="1" spans="2:2">
      <c r="B47923" s="62" t="str">
        <f>IF(AND('领用录入（明细）'!D:D=$F$4,'领用录入（明细）'!C:C&gt;=$J$4,'领用录入（明细）'!C:C&lt;=$L$4),ROW(),"-")</f>
        <v>-</v>
      </c>
    </row>
    <row r="47924" customHeight="1" spans="2:2">
      <c r="B47924" s="62" t="str">
        <f>IF(AND('领用录入（明细）'!D:D=$F$4,'领用录入（明细）'!C:C&gt;=$J$4,'领用录入（明细）'!C:C&lt;=$L$4),ROW(),"-")</f>
        <v>-</v>
      </c>
    </row>
    <row r="47925" customHeight="1" spans="2:2">
      <c r="B47925" s="62" t="str">
        <f>IF(AND('领用录入（明细）'!D:D=$F$4,'领用录入（明细）'!C:C&gt;=$J$4,'领用录入（明细）'!C:C&lt;=$L$4),ROW(),"-")</f>
        <v>-</v>
      </c>
    </row>
    <row r="47926" customHeight="1" spans="2:2">
      <c r="B47926" s="62" t="str">
        <f>IF(AND('领用录入（明细）'!D:D=$F$4,'领用录入（明细）'!C:C&gt;=$J$4,'领用录入（明细）'!C:C&lt;=$L$4),ROW(),"-")</f>
        <v>-</v>
      </c>
    </row>
    <row r="47927" customHeight="1" spans="2:2">
      <c r="B47927" s="62" t="str">
        <f>IF(AND('领用录入（明细）'!D:D=$F$4,'领用录入（明细）'!C:C&gt;=$J$4,'领用录入（明细）'!C:C&lt;=$L$4),ROW(),"-")</f>
        <v>-</v>
      </c>
    </row>
    <row r="47928" customHeight="1" spans="2:2">
      <c r="B47928" s="62" t="str">
        <f>IF(AND('领用录入（明细）'!D:D=$F$4,'领用录入（明细）'!C:C&gt;=$J$4,'领用录入（明细）'!C:C&lt;=$L$4),ROW(),"-")</f>
        <v>-</v>
      </c>
    </row>
    <row r="47929" customHeight="1" spans="2:2">
      <c r="B47929" s="62" t="str">
        <f>IF(AND('领用录入（明细）'!D:D=$F$4,'领用录入（明细）'!C:C&gt;=$J$4,'领用录入（明细）'!C:C&lt;=$L$4),ROW(),"-")</f>
        <v>-</v>
      </c>
    </row>
    <row r="47930" customHeight="1" spans="2:2">
      <c r="B47930" s="62" t="str">
        <f>IF(AND('领用录入（明细）'!D:D=$F$4,'领用录入（明细）'!C:C&gt;=$J$4,'领用录入（明细）'!C:C&lt;=$L$4),ROW(),"-")</f>
        <v>-</v>
      </c>
    </row>
    <row r="47931" customHeight="1" spans="2:2">
      <c r="B47931" s="62" t="str">
        <f>IF(AND('领用录入（明细）'!D:D=$F$4,'领用录入（明细）'!C:C&gt;=$J$4,'领用录入（明细）'!C:C&lt;=$L$4),ROW(),"-")</f>
        <v>-</v>
      </c>
    </row>
    <row r="47932" customHeight="1" spans="2:2">
      <c r="B47932" s="62" t="str">
        <f>IF(AND('领用录入（明细）'!D:D=$F$4,'领用录入（明细）'!C:C&gt;=$J$4,'领用录入（明细）'!C:C&lt;=$L$4),ROW(),"-")</f>
        <v>-</v>
      </c>
    </row>
    <row r="47933" customHeight="1" spans="2:2">
      <c r="B47933" s="62" t="str">
        <f>IF(AND('领用录入（明细）'!D:D=$F$4,'领用录入（明细）'!C:C&gt;=$J$4,'领用录入（明细）'!C:C&lt;=$L$4),ROW(),"-")</f>
        <v>-</v>
      </c>
    </row>
    <row r="47934" customHeight="1" spans="2:2">
      <c r="B47934" s="62" t="str">
        <f>IF(AND('领用录入（明细）'!D:D=$F$4,'领用录入（明细）'!C:C&gt;=$J$4,'领用录入（明细）'!C:C&lt;=$L$4),ROW(),"-")</f>
        <v>-</v>
      </c>
    </row>
    <row r="47935" customHeight="1" spans="2:2">
      <c r="B47935" s="62" t="str">
        <f>IF(AND('领用录入（明细）'!D:D=$F$4,'领用录入（明细）'!C:C&gt;=$J$4,'领用录入（明细）'!C:C&lt;=$L$4),ROW(),"-")</f>
        <v>-</v>
      </c>
    </row>
    <row r="47936" customHeight="1" spans="2:2">
      <c r="B47936" s="62" t="str">
        <f>IF(AND('领用录入（明细）'!D:D=$F$4,'领用录入（明细）'!C:C&gt;=$J$4,'领用录入（明细）'!C:C&lt;=$L$4),ROW(),"-")</f>
        <v>-</v>
      </c>
    </row>
    <row r="47937" customHeight="1" spans="2:2">
      <c r="B47937" s="62" t="str">
        <f>IF(AND('领用录入（明细）'!D:D=$F$4,'领用录入（明细）'!C:C&gt;=$J$4,'领用录入（明细）'!C:C&lt;=$L$4),ROW(),"-")</f>
        <v>-</v>
      </c>
    </row>
    <row r="47938" customHeight="1" spans="2:2">
      <c r="B47938" s="62" t="str">
        <f>IF(AND('领用录入（明细）'!D:D=$F$4,'领用录入（明细）'!C:C&gt;=$J$4,'领用录入（明细）'!C:C&lt;=$L$4),ROW(),"-")</f>
        <v>-</v>
      </c>
    </row>
    <row r="47939" customHeight="1" spans="2:2">
      <c r="B47939" s="62" t="str">
        <f>IF(AND('领用录入（明细）'!D:D=$F$4,'领用录入（明细）'!C:C&gt;=$J$4,'领用录入（明细）'!C:C&lt;=$L$4),ROW(),"-")</f>
        <v>-</v>
      </c>
    </row>
    <row r="47940" customHeight="1" spans="2:2">
      <c r="B47940" s="62" t="str">
        <f>IF(AND('领用录入（明细）'!D:D=$F$4,'领用录入（明细）'!C:C&gt;=$J$4,'领用录入（明细）'!C:C&lt;=$L$4),ROW(),"-")</f>
        <v>-</v>
      </c>
    </row>
    <row r="47941" customHeight="1" spans="2:2">
      <c r="B47941" s="62" t="str">
        <f>IF(AND('领用录入（明细）'!D:D=$F$4,'领用录入（明细）'!C:C&gt;=$J$4,'领用录入（明细）'!C:C&lt;=$L$4),ROW(),"-")</f>
        <v>-</v>
      </c>
    </row>
    <row r="47942" customHeight="1" spans="2:2">
      <c r="B47942" s="62" t="str">
        <f>IF(AND('领用录入（明细）'!D:D=$F$4,'领用录入（明细）'!C:C&gt;=$J$4,'领用录入（明细）'!C:C&lt;=$L$4),ROW(),"-")</f>
        <v>-</v>
      </c>
    </row>
    <row r="47943" customHeight="1" spans="2:2">
      <c r="B47943" s="62" t="str">
        <f>IF(AND('领用录入（明细）'!D:D=$F$4,'领用录入（明细）'!C:C&gt;=$J$4,'领用录入（明细）'!C:C&lt;=$L$4),ROW(),"-")</f>
        <v>-</v>
      </c>
    </row>
    <row r="47944" customHeight="1" spans="2:2">
      <c r="B47944" s="62" t="str">
        <f>IF(AND('领用录入（明细）'!D:D=$F$4,'领用录入（明细）'!C:C&gt;=$J$4,'领用录入（明细）'!C:C&lt;=$L$4),ROW(),"-")</f>
        <v>-</v>
      </c>
    </row>
    <row r="47945" customHeight="1" spans="2:2">
      <c r="B47945" s="62" t="str">
        <f>IF(AND('领用录入（明细）'!D:D=$F$4,'领用录入（明细）'!C:C&gt;=$J$4,'领用录入（明细）'!C:C&lt;=$L$4),ROW(),"-")</f>
        <v>-</v>
      </c>
    </row>
    <row r="47946" customHeight="1" spans="2:2">
      <c r="B47946" s="62" t="str">
        <f>IF(AND('领用录入（明细）'!D:D=$F$4,'领用录入（明细）'!C:C&gt;=$J$4,'领用录入（明细）'!C:C&lt;=$L$4),ROW(),"-")</f>
        <v>-</v>
      </c>
    </row>
    <row r="47947" customHeight="1" spans="2:2">
      <c r="B47947" s="62" t="str">
        <f>IF(AND('领用录入（明细）'!D:D=$F$4,'领用录入（明细）'!C:C&gt;=$J$4,'领用录入（明细）'!C:C&lt;=$L$4),ROW(),"-")</f>
        <v>-</v>
      </c>
    </row>
    <row r="47948" customHeight="1" spans="2:2">
      <c r="B47948" s="62" t="str">
        <f>IF(AND('领用录入（明细）'!D:D=$F$4,'领用录入（明细）'!C:C&gt;=$J$4,'领用录入（明细）'!C:C&lt;=$L$4),ROW(),"-")</f>
        <v>-</v>
      </c>
    </row>
    <row r="47949" customHeight="1" spans="2:2">
      <c r="B47949" s="62" t="str">
        <f>IF(AND('领用录入（明细）'!D:D=$F$4,'领用录入（明细）'!C:C&gt;=$J$4,'领用录入（明细）'!C:C&lt;=$L$4),ROW(),"-")</f>
        <v>-</v>
      </c>
    </row>
    <row r="47950" customHeight="1" spans="2:2">
      <c r="B47950" s="62" t="str">
        <f>IF(AND('领用录入（明细）'!D:D=$F$4,'领用录入（明细）'!C:C&gt;=$J$4,'领用录入（明细）'!C:C&lt;=$L$4),ROW(),"-")</f>
        <v>-</v>
      </c>
    </row>
    <row r="47951" customHeight="1" spans="2:2">
      <c r="B47951" s="62" t="str">
        <f>IF(AND('领用录入（明细）'!D:D=$F$4,'领用录入（明细）'!C:C&gt;=$J$4,'领用录入（明细）'!C:C&lt;=$L$4),ROW(),"-")</f>
        <v>-</v>
      </c>
    </row>
    <row r="47952" customHeight="1" spans="2:2">
      <c r="B47952" s="62" t="str">
        <f>IF(AND('领用录入（明细）'!D:D=$F$4,'领用录入（明细）'!C:C&gt;=$J$4,'领用录入（明细）'!C:C&lt;=$L$4),ROW(),"-")</f>
        <v>-</v>
      </c>
    </row>
    <row r="47953" customHeight="1" spans="2:2">
      <c r="B47953" s="62" t="str">
        <f>IF(AND('领用录入（明细）'!D:D=$F$4,'领用录入（明细）'!C:C&gt;=$J$4,'领用录入（明细）'!C:C&lt;=$L$4),ROW(),"-")</f>
        <v>-</v>
      </c>
    </row>
    <row r="47954" customHeight="1" spans="2:2">
      <c r="B47954" s="62" t="str">
        <f>IF(AND('领用录入（明细）'!D:D=$F$4,'领用录入（明细）'!C:C&gt;=$J$4,'领用录入（明细）'!C:C&lt;=$L$4),ROW(),"-")</f>
        <v>-</v>
      </c>
    </row>
    <row r="47955" customHeight="1" spans="2:2">
      <c r="B47955" s="62" t="str">
        <f>IF(AND('领用录入（明细）'!D:D=$F$4,'领用录入（明细）'!C:C&gt;=$J$4,'领用录入（明细）'!C:C&lt;=$L$4),ROW(),"-")</f>
        <v>-</v>
      </c>
    </row>
    <row r="47956" customHeight="1" spans="2:2">
      <c r="B47956" s="62" t="str">
        <f>IF(AND('领用录入（明细）'!D:D=$F$4,'领用录入（明细）'!C:C&gt;=$J$4,'领用录入（明细）'!C:C&lt;=$L$4),ROW(),"-")</f>
        <v>-</v>
      </c>
    </row>
    <row r="47957" customHeight="1" spans="2:2">
      <c r="B47957" s="62" t="str">
        <f>IF(AND('领用录入（明细）'!D:D=$F$4,'领用录入（明细）'!C:C&gt;=$J$4,'领用录入（明细）'!C:C&lt;=$L$4),ROW(),"-")</f>
        <v>-</v>
      </c>
    </row>
    <row r="47958" customHeight="1" spans="2:2">
      <c r="B47958" s="62" t="str">
        <f>IF(AND('领用录入（明细）'!D:D=$F$4,'领用录入（明细）'!C:C&gt;=$J$4,'领用录入（明细）'!C:C&lt;=$L$4),ROW(),"-")</f>
        <v>-</v>
      </c>
    </row>
    <row r="47959" customHeight="1" spans="2:2">
      <c r="B47959" s="62" t="str">
        <f>IF(AND('领用录入（明细）'!D:D=$F$4,'领用录入（明细）'!C:C&gt;=$J$4,'领用录入（明细）'!C:C&lt;=$L$4),ROW(),"-")</f>
        <v>-</v>
      </c>
    </row>
    <row r="47960" customHeight="1" spans="2:2">
      <c r="B47960" s="62" t="str">
        <f>IF(AND('领用录入（明细）'!D:D=$F$4,'领用录入（明细）'!C:C&gt;=$J$4,'领用录入（明细）'!C:C&lt;=$L$4),ROW(),"-")</f>
        <v>-</v>
      </c>
    </row>
    <row r="47961" customHeight="1" spans="2:2">
      <c r="B47961" s="62" t="str">
        <f>IF(AND('领用录入（明细）'!D:D=$F$4,'领用录入（明细）'!C:C&gt;=$J$4,'领用录入（明细）'!C:C&lt;=$L$4),ROW(),"-")</f>
        <v>-</v>
      </c>
    </row>
    <row r="47962" customHeight="1" spans="2:2">
      <c r="B47962" s="62" t="str">
        <f>IF(AND('领用录入（明细）'!D:D=$F$4,'领用录入（明细）'!C:C&gt;=$J$4,'领用录入（明细）'!C:C&lt;=$L$4),ROW(),"-")</f>
        <v>-</v>
      </c>
    </row>
    <row r="47963" customHeight="1" spans="2:2">
      <c r="B47963" s="62" t="str">
        <f>IF(AND('领用录入（明细）'!D:D=$F$4,'领用录入（明细）'!C:C&gt;=$J$4,'领用录入（明细）'!C:C&lt;=$L$4),ROW(),"-")</f>
        <v>-</v>
      </c>
    </row>
    <row r="47964" customHeight="1" spans="2:2">
      <c r="B47964" s="62" t="str">
        <f>IF(AND('领用录入（明细）'!D:D=$F$4,'领用录入（明细）'!C:C&gt;=$J$4,'领用录入（明细）'!C:C&lt;=$L$4),ROW(),"-")</f>
        <v>-</v>
      </c>
    </row>
    <row r="47965" customHeight="1" spans="2:2">
      <c r="B47965" s="62" t="str">
        <f>IF(AND('领用录入（明细）'!D:D=$F$4,'领用录入（明细）'!C:C&gt;=$J$4,'领用录入（明细）'!C:C&lt;=$L$4),ROW(),"-")</f>
        <v>-</v>
      </c>
    </row>
    <row r="47966" customHeight="1" spans="2:2">
      <c r="B47966" s="62" t="str">
        <f>IF(AND('领用录入（明细）'!D:D=$F$4,'领用录入（明细）'!C:C&gt;=$J$4,'领用录入（明细）'!C:C&lt;=$L$4),ROW(),"-")</f>
        <v>-</v>
      </c>
    </row>
    <row r="47967" customHeight="1" spans="2:2">
      <c r="B47967" s="62" t="str">
        <f>IF(AND('领用录入（明细）'!D:D=$F$4,'领用录入（明细）'!C:C&gt;=$J$4,'领用录入（明细）'!C:C&lt;=$L$4),ROW(),"-")</f>
        <v>-</v>
      </c>
    </row>
    <row r="47968" customHeight="1" spans="2:2">
      <c r="B47968" s="62" t="str">
        <f>IF(AND('领用录入（明细）'!D:D=$F$4,'领用录入（明细）'!C:C&gt;=$J$4,'领用录入（明细）'!C:C&lt;=$L$4),ROW(),"-")</f>
        <v>-</v>
      </c>
    </row>
    <row r="47969" customHeight="1" spans="2:2">
      <c r="B47969" s="62" t="str">
        <f>IF(AND('领用录入（明细）'!D:D=$F$4,'领用录入（明细）'!C:C&gt;=$J$4,'领用录入（明细）'!C:C&lt;=$L$4),ROW(),"-")</f>
        <v>-</v>
      </c>
    </row>
    <row r="47970" customHeight="1" spans="2:2">
      <c r="B47970" s="62" t="str">
        <f>IF(AND('领用录入（明细）'!D:D=$F$4,'领用录入（明细）'!C:C&gt;=$J$4,'领用录入（明细）'!C:C&lt;=$L$4),ROW(),"-")</f>
        <v>-</v>
      </c>
    </row>
    <row r="47971" customHeight="1" spans="2:2">
      <c r="B47971" s="62" t="str">
        <f>IF(AND('领用录入（明细）'!D:D=$F$4,'领用录入（明细）'!C:C&gt;=$J$4,'领用录入（明细）'!C:C&lt;=$L$4),ROW(),"-")</f>
        <v>-</v>
      </c>
    </row>
    <row r="47972" customHeight="1" spans="2:2">
      <c r="B47972" s="62" t="str">
        <f>IF(AND('领用录入（明细）'!D:D=$F$4,'领用录入（明细）'!C:C&gt;=$J$4,'领用录入（明细）'!C:C&lt;=$L$4),ROW(),"-")</f>
        <v>-</v>
      </c>
    </row>
    <row r="47973" customHeight="1" spans="2:2">
      <c r="B47973" s="62" t="str">
        <f>IF(AND('领用录入（明细）'!D:D=$F$4,'领用录入（明细）'!C:C&gt;=$J$4,'领用录入（明细）'!C:C&lt;=$L$4),ROW(),"-")</f>
        <v>-</v>
      </c>
    </row>
    <row r="47974" customHeight="1" spans="2:2">
      <c r="B47974" s="62" t="str">
        <f>IF(AND('领用录入（明细）'!D:D=$F$4,'领用录入（明细）'!C:C&gt;=$J$4,'领用录入（明细）'!C:C&lt;=$L$4),ROW(),"-")</f>
        <v>-</v>
      </c>
    </row>
    <row r="47975" customHeight="1" spans="2:2">
      <c r="B47975" s="62" t="str">
        <f>IF(AND('领用录入（明细）'!D:D=$F$4,'领用录入（明细）'!C:C&gt;=$J$4,'领用录入（明细）'!C:C&lt;=$L$4),ROW(),"-")</f>
        <v>-</v>
      </c>
    </row>
    <row r="47976" customHeight="1" spans="2:2">
      <c r="B47976" s="62" t="str">
        <f>IF(AND('领用录入（明细）'!D:D=$F$4,'领用录入（明细）'!C:C&gt;=$J$4,'领用录入（明细）'!C:C&lt;=$L$4),ROW(),"-")</f>
        <v>-</v>
      </c>
    </row>
    <row r="47977" customHeight="1" spans="2:2">
      <c r="B47977" s="62" t="str">
        <f>IF(AND('领用录入（明细）'!D:D=$F$4,'领用录入（明细）'!C:C&gt;=$J$4,'领用录入（明细）'!C:C&lt;=$L$4),ROW(),"-")</f>
        <v>-</v>
      </c>
    </row>
    <row r="47978" customHeight="1" spans="2:2">
      <c r="B47978" s="62" t="str">
        <f>IF(AND('领用录入（明细）'!D:D=$F$4,'领用录入（明细）'!C:C&gt;=$J$4,'领用录入（明细）'!C:C&lt;=$L$4),ROW(),"-")</f>
        <v>-</v>
      </c>
    </row>
    <row r="47979" customHeight="1" spans="2:2">
      <c r="B47979" s="62" t="str">
        <f>IF(AND('领用录入（明细）'!D:D=$F$4,'领用录入（明细）'!C:C&gt;=$J$4,'领用录入（明细）'!C:C&lt;=$L$4),ROW(),"-")</f>
        <v>-</v>
      </c>
    </row>
    <row r="47980" customHeight="1" spans="2:2">
      <c r="B47980" s="62" t="str">
        <f>IF(AND('领用录入（明细）'!D:D=$F$4,'领用录入（明细）'!C:C&gt;=$J$4,'领用录入（明细）'!C:C&lt;=$L$4),ROW(),"-")</f>
        <v>-</v>
      </c>
    </row>
    <row r="47981" customHeight="1" spans="2:2">
      <c r="B47981" s="62" t="str">
        <f>IF(AND('领用录入（明细）'!D:D=$F$4,'领用录入（明细）'!C:C&gt;=$J$4,'领用录入（明细）'!C:C&lt;=$L$4),ROW(),"-")</f>
        <v>-</v>
      </c>
    </row>
    <row r="47982" customHeight="1" spans="2:2">
      <c r="B47982" s="62" t="str">
        <f>IF(AND('领用录入（明细）'!D:D=$F$4,'领用录入（明细）'!C:C&gt;=$J$4,'领用录入（明细）'!C:C&lt;=$L$4),ROW(),"-")</f>
        <v>-</v>
      </c>
    </row>
    <row r="47983" customHeight="1" spans="2:2">
      <c r="B47983" s="62" t="str">
        <f>IF(AND('领用录入（明细）'!D:D=$F$4,'领用录入（明细）'!C:C&gt;=$J$4,'领用录入（明细）'!C:C&lt;=$L$4),ROW(),"-")</f>
        <v>-</v>
      </c>
    </row>
    <row r="47984" customHeight="1" spans="2:2">
      <c r="B47984" s="62" t="str">
        <f>IF(AND('领用录入（明细）'!D:D=$F$4,'领用录入（明细）'!C:C&gt;=$J$4,'领用录入（明细）'!C:C&lt;=$L$4),ROW(),"-")</f>
        <v>-</v>
      </c>
    </row>
    <row r="47985" customHeight="1" spans="2:2">
      <c r="B47985" s="62" t="str">
        <f>IF(AND('领用录入（明细）'!D:D=$F$4,'领用录入（明细）'!C:C&gt;=$J$4,'领用录入（明细）'!C:C&lt;=$L$4),ROW(),"-")</f>
        <v>-</v>
      </c>
    </row>
    <row r="47986" customHeight="1" spans="2:2">
      <c r="B47986" s="62" t="str">
        <f>IF(AND('领用录入（明细）'!D:D=$F$4,'领用录入（明细）'!C:C&gt;=$J$4,'领用录入（明细）'!C:C&lt;=$L$4),ROW(),"-")</f>
        <v>-</v>
      </c>
    </row>
    <row r="47987" customHeight="1" spans="2:2">
      <c r="B47987" s="62" t="str">
        <f>IF(AND('领用录入（明细）'!D:D=$F$4,'领用录入（明细）'!C:C&gt;=$J$4,'领用录入（明细）'!C:C&lt;=$L$4),ROW(),"-")</f>
        <v>-</v>
      </c>
    </row>
    <row r="47988" customHeight="1" spans="2:2">
      <c r="B47988" s="62" t="str">
        <f>IF(AND('领用录入（明细）'!D:D=$F$4,'领用录入（明细）'!C:C&gt;=$J$4,'领用录入（明细）'!C:C&lt;=$L$4),ROW(),"-")</f>
        <v>-</v>
      </c>
    </row>
    <row r="47989" customHeight="1" spans="2:2">
      <c r="B47989" s="62" t="str">
        <f>IF(AND('领用录入（明细）'!D:D=$F$4,'领用录入（明细）'!C:C&gt;=$J$4,'领用录入（明细）'!C:C&lt;=$L$4),ROW(),"-")</f>
        <v>-</v>
      </c>
    </row>
    <row r="47990" customHeight="1" spans="2:2">
      <c r="B47990" s="62" t="str">
        <f>IF(AND('领用录入（明细）'!D:D=$F$4,'领用录入（明细）'!C:C&gt;=$J$4,'领用录入（明细）'!C:C&lt;=$L$4),ROW(),"-")</f>
        <v>-</v>
      </c>
    </row>
    <row r="47991" customHeight="1" spans="2:2">
      <c r="B47991" s="62" t="str">
        <f>IF(AND('领用录入（明细）'!D:D=$F$4,'领用录入（明细）'!C:C&gt;=$J$4,'领用录入（明细）'!C:C&lt;=$L$4),ROW(),"-")</f>
        <v>-</v>
      </c>
    </row>
    <row r="47992" customHeight="1" spans="2:2">
      <c r="B47992" s="62" t="str">
        <f>IF(AND('领用录入（明细）'!D:D=$F$4,'领用录入（明细）'!C:C&gt;=$J$4,'领用录入（明细）'!C:C&lt;=$L$4),ROW(),"-")</f>
        <v>-</v>
      </c>
    </row>
    <row r="47993" customHeight="1" spans="2:2">
      <c r="B47993" s="62" t="str">
        <f>IF(AND('领用录入（明细）'!D:D=$F$4,'领用录入（明细）'!C:C&gt;=$J$4,'领用录入（明细）'!C:C&lt;=$L$4),ROW(),"-")</f>
        <v>-</v>
      </c>
    </row>
    <row r="47994" customHeight="1" spans="2:2">
      <c r="B47994" s="62" t="str">
        <f>IF(AND('领用录入（明细）'!D:D=$F$4,'领用录入（明细）'!C:C&gt;=$J$4,'领用录入（明细）'!C:C&lt;=$L$4),ROW(),"-")</f>
        <v>-</v>
      </c>
    </row>
    <row r="47995" customHeight="1" spans="2:2">
      <c r="B47995" s="62" t="str">
        <f>IF(AND('领用录入（明细）'!D:D=$F$4,'领用录入（明细）'!C:C&gt;=$J$4,'领用录入（明细）'!C:C&lt;=$L$4),ROW(),"-")</f>
        <v>-</v>
      </c>
    </row>
    <row r="47996" customHeight="1" spans="2:2">
      <c r="B47996" s="62" t="str">
        <f>IF(AND('领用录入（明细）'!D:D=$F$4,'领用录入（明细）'!C:C&gt;=$J$4,'领用录入（明细）'!C:C&lt;=$L$4),ROW(),"-")</f>
        <v>-</v>
      </c>
    </row>
    <row r="47997" customHeight="1" spans="2:2">
      <c r="B47997" s="62" t="str">
        <f>IF(AND('领用录入（明细）'!D:D=$F$4,'领用录入（明细）'!C:C&gt;=$J$4,'领用录入（明细）'!C:C&lt;=$L$4),ROW(),"-")</f>
        <v>-</v>
      </c>
    </row>
    <row r="47998" customHeight="1" spans="2:2">
      <c r="B47998" s="62" t="str">
        <f>IF(AND('领用录入（明细）'!D:D=$F$4,'领用录入（明细）'!C:C&gt;=$J$4,'领用录入（明细）'!C:C&lt;=$L$4),ROW(),"-")</f>
        <v>-</v>
      </c>
    </row>
    <row r="47999" customHeight="1" spans="2:2">
      <c r="B47999" s="62" t="str">
        <f>IF(AND('领用录入（明细）'!D:D=$F$4,'领用录入（明细）'!C:C&gt;=$J$4,'领用录入（明细）'!C:C&lt;=$L$4),ROW(),"-")</f>
        <v>-</v>
      </c>
    </row>
    <row r="48000" customHeight="1" spans="2:2">
      <c r="B48000" s="62" t="str">
        <f>IF(AND('领用录入（明细）'!D:D=$F$4,'领用录入（明细）'!C:C&gt;=$J$4,'领用录入（明细）'!C:C&lt;=$L$4),ROW(),"-")</f>
        <v>-</v>
      </c>
    </row>
    <row r="48001" customHeight="1" spans="2:2">
      <c r="B48001" s="62" t="str">
        <f>IF(AND('领用录入（明细）'!D:D=$F$4,'领用录入（明细）'!C:C&gt;=$J$4,'领用录入（明细）'!C:C&lt;=$L$4),ROW(),"-")</f>
        <v>-</v>
      </c>
    </row>
    <row r="48002" customHeight="1" spans="2:2">
      <c r="B48002" s="62" t="str">
        <f>IF(AND('领用录入（明细）'!D:D=$F$4,'领用录入（明细）'!C:C&gt;=$J$4,'领用录入（明细）'!C:C&lt;=$L$4),ROW(),"-")</f>
        <v>-</v>
      </c>
    </row>
    <row r="48003" customHeight="1" spans="2:2">
      <c r="B48003" s="62" t="str">
        <f>IF(AND('领用录入（明细）'!D:D=$F$4,'领用录入（明细）'!C:C&gt;=$J$4,'领用录入（明细）'!C:C&lt;=$L$4),ROW(),"-")</f>
        <v>-</v>
      </c>
    </row>
    <row r="48004" customHeight="1" spans="2:2">
      <c r="B48004" s="62" t="str">
        <f>IF(AND('领用录入（明细）'!D:D=$F$4,'领用录入（明细）'!C:C&gt;=$J$4,'领用录入（明细）'!C:C&lt;=$L$4),ROW(),"-")</f>
        <v>-</v>
      </c>
    </row>
    <row r="48005" customHeight="1" spans="2:2">
      <c r="B48005" s="62" t="str">
        <f>IF(AND('领用录入（明细）'!D:D=$F$4,'领用录入（明细）'!C:C&gt;=$J$4,'领用录入（明细）'!C:C&lt;=$L$4),ROW(),"-")</f>
        <v>-</v>
      </c>
    </row>
    <row r="48006" customHeight="1" spans="2:2">
      <c r="B48006" s="62" t="str">
        <f>IF(AND('领用录入（明细）'!D:D=$F$4,'领用录入（明细）'!C:C&gt;=$J$4,'领用录入（明细）'!C:C&lt;=$L$4),ROW(),"-")</f>
        <v>-</v>
      </c>
    </row>
    <row r="48007" customHeight="1" spans="2:2">
      <c r="B48007" s="62" t="str">
        <f>IF(AND('领用录入（明细）'!D:D=$F$4,'领用录入（明细）'!C:C&gt;=$J$4,'领用录入（明细）'!C:C&lt;=$L$4),ROW(),"-")</f>
        <v>-</v>
      </c>
    </row>
    <row r="48008" customHeight="1" spans="2:2">
      <c r="B48008" s="62" t="str">
        <f>IF(AND('领用录入（明细）'!D:D=$F$4,'领用录入（明细）'!C:C&gt;=$J$4,'领用录入（明细）'!C:C&lt;=$L$4),ROW(),"-")</f>
        <v>-</v>
      </c>
    </row>
    <row r="48009" customHeight="1" spans="2:2">
      <c r="B48009" s="62" t="str">
        <f>IF(AND('领用录入（明细）'!D:D=$F$4,'领用录入（明细）'!C:C&gt;=$J$4,'领用录入（明细）'!C:C&lt;=$L$4),ROW(),"-")</f>
        <v>-</v>
      </c>
    </row>
    <row r="48010" customHeight="1" spans="2:2">
      <c r="B48010" s="62" t="str">
        <f>IF(AND('领用录入（明细）'!D:D=$F$4,'领用录入（明细）'!C:C&gt;=$J$4,'领用录入（明细）'!C:C&lt;=$L$4),ROW(),"-")</f>
        <v>-</v>
      </c>
    </row>
    <row r="48011" customHeight="1" spans="2:2">
      <c r="B48011" s="62" t="str">
        <f>IF(AND('领用录入（明细）'!D:D=$F$4,'领用录入（明细）'!C:C&gt;=$J$4,'领用录入（明细）'!C:C&lt;=$L$4),ROW(),"-")</f>
        <v>-</v>
      </c>
    </row>
    <row r="48012" customHeight="1" spans="2:2">
      <c r="B48012" s="62" t="str">
        <f>IF(AND('领用录入（明细）'!D:D=$F$4,'领用录入（明细）'!C:C&gt;=$J$4,'领用录入（明细）'!C:C&lt;=$L$4),ROW(),"-")</f>
        <v>-</v>
      </c>
    </row>
    <row r="48013" customHeight="1" spans="2:2">
      <c r="B48013" s="62" t="str">
        <f>IF(AND('领用录入（明细）'!D:D=$F$4,'领用录入（明细）'!C:C&gt;=$J$4,'领用录入（明细）'!C:C&lt;=$L$4),ROW(),"-")</f>
        <v>-</v>
      </c>
    </row>
    <row r="48014" customHeight="1" spans="2:2">
      <c r="B48014" s="62" t="str">
        <f>IF(AND('领用录入（明细）'!D:D=$F$4,'领用录入（明细）'!C:C&gt;=$J$4,'领用录入（明细）'!C:C&lt;=$L$4),ROW(),"-")</f>
        <v>-</v>
      </c>
    </row>
    <row r="48015" customHeight="1" spans="2:2">
      <c r="B48015" s="62" t="str">
        <f>IF(AND('领用录入（明细）'!D:D=$F$4,'领用录入（明细）'!C:C&gt;=$J$4,'领用录入（明细）'!C:C&lt;=$L$4),ROW(),"-")</f>
        <v>-</v>
      </c>
    </row>
    <row r="48016" customHeight="1" spans="2:2">
      <c r="B48016" s="62" t="str">
        <f>IF(AND('领用录入（明细）'!D:D=$F$4,'领用录入（明细）'!C:C&gt;=$J$4,'领用录入（明细）'!C:C&lt;=$L$4),ROW(),"-")</f>
        <v>-</v>
      </c>
    </row>
    <row r="48017" customHeight="1" spans="2:2">
      <c r="B48017" s="62" t="str">
        <f>IF(AND('领用录入（明细）'!D:D=$F$4,'领用录入（明细）'!C:C&gt;=$J$4,'领用录入（明细）'!C:C&lt;=$L$4),ROW(),"-")</f>
        <v>-</v>
      </c>
    </row>
    <row r="48018" customHeight="1" spans="2:2">
      <c r="B48018" s="62" t="str">
        <f>IF(AND('领用录入（明细）'!D:D=$F$4,'领用录入（明细）'!C:C&gt;=$J$4,'领用录入（明细）'!C:C&lt;=$L$4),ROW(),"-")</f>
        <v>-</v>
      </c>
    </row>
    <row r="48019" customHeight="1" spans="2:2">
      <c r="B48019" s="62" t="str">
        <f>IF(AND('领用录入（明细）'!D:D=$F$4,'领用录入（明细）'!C:C&gt;=$J$4,'领用录入（明细）'!C:C&lt;=$L$4),ROW(),"-")</f>
        <v>-</v>
      </c>
    </row>
    <row r="48020" customHeight="1" spans="2:2">
      <c r="B48020" s="62" t="str">
        <f>IF(AND('领用录入（明细）'!D:D=$F$4,'领用录入（明细）'!C:C&gt;=$J$4,'领用录入（明细）'!C:C&lt;=$L$4),ROW(),"-")</f>
        <v>-</v>
      </c>
    </row>
    <row r="48021" customHeight="1" spans="2:2">
      <c r="B48021" s="62" t="str">
        <f>IF(AND('领用录入（明细）'!D:D=$F$4,'领用录入（明细）'!C:C&gt;=$J$4,'领用录入（明细）'!C:C&lt;=$L$4),ROW(),"-")</f>
        <v>-</v>
      </c>
    </row>
    <row r="48022" customHeight="1" spans="2:2">
      <c r="B48022" s="62" t="str">
        <f>IF(AND('领用录入（明细）'!D:D=$F$4,'领用录入（明细）'!C:C&gt;=$J$4,'领用录入（明细）'!C:C&lt;=$L$4),ROW(),"-")</f>
        <v>-</v>
      </c>
    </row>
    <row r="48023" customHeight="1" spans="2:2">
      <c r="B48023" s="62" t="str">
        <f>IF(AND('领用录入（明细）'!D:D=$F$4,'领用录入（明细）'!C:C&gt;=$J$4,'领用录入（明细）'!C:C&lt;=$L$4),ROW(),"-")</f>
        <v>-</v>
      </c>
    </row>
    <row r="48024" customHeight="1" spans="2:2">
      <c r="B48024" s="62" t="str">
        <f>IF(AND('领用录入（明细）'!D:D=$F$4,'领用录入（明细）'!C:C&gt;=$J$4,'领用录入（明细）'!C:C&lt;=$L$4),ROW(),"-")</f>
        <v>-</v>
      </c>
    </row>
    <row r="48025" customHeight="1" spans="2:2">
      <c r="B48025" s="62" t="str">
        <f>IF(AND('领用录入（明细）'!D:D=$F$4,'领用录入（明细）'!C:C&gt;=$J$4,'领用录入（明细）'!C:C&lt;=$L$4),ROW(),"-")</f>
        <v>-</v>
      </c>
    </row>
    <row r="48026" customHeight="1" spans="2:2">
      <c r="B48026" s="62" t="str">
        <f>IF(AND('领用录入（明细）'!D:D=$F$4,'领用录入（明细）'!C:C&gt;=$J$4,'领用录入（明细）'!C:C&lt;=$L$4),ROW(),"-")</f>
        <v>-</v>
      </c>
    </row>
    <row r="48027" customHeight="1" spans="2:2">
      <c r="B48027" s="62" t="str">
        <f>IF(AND('领用录入（明细）'!D:D=$F$4,'领用录入（明细）'!C:C&gt;=$J$4,'领用录入（明细）'!C:C&lt;=$L$4),ROW(),"-")</f>
        <v>-</v>
      </c>
    </row>
    <row r="48028" customHeight="1" spans="2:2">
      <c r="B48028" s="62" t="str">
        <f>IF(AND('领用录入（明细）'!D:D=$F$4,'领用录入（明细）'!C:C&gt;=$J$4,'领用录入（明细）'!C:C&lt;=$L$4),ROW(),"-")</f>
        <v>-</v>
      </c>
    </row>
    <row r="48029" customHeight="1" spans="2:2">
      <c r="B48029" s="62" t="str">
        <f>IF(AND('领用录入（明细）'!D:D=$F$4,'领用录入（明细）'!C:C&gt;=$J$4,'领用录入（明细）'!C:C&lt;=$L$4),ROW(),"-")</f>
        <v>-</v>
      </c>
    </row>
    <row r="48030" customHeight="1" spans="2:2">
      <c r="B48030" s="62" t="str">
        <f>IF(AND('领用录入（明细）'!D:D=$F$4,'领用录入（明细）'!C:C&gt;=$J$4,'领用录入（明细）'!C:C&lt;=$L$4),ROW(),"-")</f>
        <v>-</v>
      </c>
    </row>
    <row r="48031" customHeight="1" spans="2:2">
      <c r="B48031" s="62" t="str">
        <f>IF(AND('领用录入（明细）'!D:D=$F$4,'领用录入（明细）'!C:C&gt;=$J$4,'领用录入（明细）'!C:C&lt;=$L$4),ROW(),"-")</f>
        <v>-</v>
      </c>
    </row>
    <row r="48032" customHeight="1" spans="2:2">
      <c r="B48032" s="62" t="str">
        <f>IF(AND('领用录入（明细）'!D:D=$F$4,'领用录入（明细）'!C:C&gt;=$J$4,'领用录入（明细）'!C:C&lt;=$L$4),ROW(),"-")</f>
        <v>-</v>
      </c>
    </row>
    <row r="48033" customHeight="1" spans="2:2">
      <c r="B48033" s="62" t="str">
        <f>IF(AND('领用录入（明细）'!D:D=$F$4,'领用录入（明细）'!C:C&gt;=$J$4,'领用录入（明细）'!C:C&lt;=$L$4),ROW(),"-")</f>
        <v>-</v>
      </c>
    </row>
    <row r="48034" customHeight="1" spans="2:2">
      <c r="B48034" s="62" t="str">
        <f>IF(AND('领用录入（明细）'!D:D=$F$4,'领用录入（明细）'!C:C&gt;=$J$4,'领用录入（明细）'!C:C&lt;=$L$4),ROW(),"-")</f>
        <v>-</v>
      </c>
    </row>
    <row r="48035" customHeight="1" spans="2:2">
      <c r="B48035" s="62" t="str">
        <f>IF(AND('领用录入（明细）'!D:D=$F$4,'领用录入（明细）'!C:C&gt;=$J$4,'领用录入（明细）'!C:C&lt;=$L$4),ROW(),"-")</f>
        <v>-</v>
      </c>
    </row>
    <row r="48036" customHeight="1" spans="2:2">
      <c r="B48036" s="62" t="str">
        <f>IF(AND('领用录入（明细）'!D:D=$F$4,'领用录入（明细）'!C:C&gt;=$J$4,'领用录入（明细）'!C:C&lt;=$L$4),ROW(),"-")</f>
        <v>-</v>
      </c>
    </row>
    <row r="48037" customHeight="1" spans="2:2">
      <c r="B48037" s="62" t="str">
        <f>IF(AND('领用录入（明细）'!D:D=$F$4,'领用录入（明细）'!C:C&gt;=$J$4,'领用录入（明细）'!C:C&lt;=$L$4),ROW(),"-")</f>
        <v>-</v>
      </c>
    </row>
    <row r="48038" customHeight="1" spans="2:2">
      <c r="B48038" s="62" t="str">
        <f>IF(AND('领用录入（明细）'!D:D=$F$4,'领用录入（明细）'!C:C&gt;=$J$4,'领用录入（明细）'!C:C&lt;=$L$4),ROW(),"-")</f>
        <v>-</v>
      </c>
    </row>
    <row r="48039" customHeight="1" spans="2:2">
      <c r="B48039" s="62" t="str">
        <f>IF(AND('领用录入（明细）'!D:D=$F$4,'领用录入（明细）'!C:C&gt;=$J$4,'领用录入（明细）'!C:C&lt;=$L$4),ROW(),"-")</f>
        <v>-</v>
      </c>
    </row>
    <row r="48040" customHeight="1" spans="2:2">
      <c r="B48040" s="62" t="str">
        <f>IF(AND('领用录入（明细）'!D:D=$F$4,'领用录入（明细）'!C:C&gt;=$J$4,'领用录入（明细）'!C:C&lt;=$L$4),ROW(),"-")</f>
        <v>-</v>
      </c>
    </row>
    <row r="48041" customHeight="1" spans="2:2">
      <c r="B48041" s="62" t="str">
        <f>IF(AND('领用录入（明细）'!D:D=$F$4,'领用录入（明细）'!C:C&gt;=$J$4,'领用录入（明细）'!C:C&lt;=$L$4),ROW(),"-")</f>
        <v>-</v>
      </c>
    </row>
    <row r="48042" customHeight="1" spans="2:2">
      <c r="B48042" s="62" t="str">
        <f>IF(AND('领用录入（明细）'!D:D=$F$4,'领用录入（明细）'!C:C&gt;=$J$4,'领用录入（明细）'!C:C&lt;=$L$4),ROW(),"-")</f>
        <v>-</v>
      </c>
    </row>
    <row r="48043" customHeight="1" spans="2:2">
      <c r="B48043" s="62" t="str">
        <f>IF(AND('领用录入（明细）'!D:D=$F$4,'领用录入（明细）'!C:C&gt;=$J$4,'领用录入（明细）'!C:C&lt;=$L$4),ROW(),"-")</f>
        <v>-</v>
      </c>
    </row>
    <row r="48044" customHeight="1" spans="2:2">
      <c r="B48044" s="62" t="str">
        <f>IF(AND('领用录入（明细）'!D:D=$F$4,'领用录入（明细）'!C:C&gt;=$J$4,'领用录入（明细）'!C:C&lt;=$L$4),ROW(),"-")</f>
        <v>-</v>
      </c>
    </row>
    <row r="48045" customHeight="1" spans="2:2">
      <c r="B48045" s="62" t="str">
        <f>IF(AND('领用录入（明细）'!D:D=$F$4,'领用录入（明细）'!C:C&gt;=$J$4,'领用录入（明细）'!C:C&lt;=$L$4),ROW(),"-")</f>
        <v>-</v>
      </c>
    </row>
    <row r="48046" customHeight="1" spans="2:2">
      <c r="B48046" s="62" t="str">
        <f>IF(AND('领用录入（明细）'!D:D=$F$4,'领用录入（明细）'!C:C&gt;=$J$4,'领用录入（明细）'!C:C&lt;=$L$4),ROW(),"-")</f>
        <v>-</v>
      </c>
    </row>
    <row r="48047" customHeight="1" spans="2:2">
      <c r="B48047" s="62" t="str">
        <f>IF(AND('领用录入（明细）'!D:D=$F$4,'领用录入（明细）'!C:C&gt;=$J$4,'领用录入（明细）'!C:C&lt;=$L$4),ROW(),"-")</f>
        <v>-</v>
      </c>
    </row>
    <row r="48048" customHeight="1" spans="2:2">
      <c r="B48048" s="62" t="str">
        <f>IF(AND('领用录入（明细）'!D:D=$F$4,'领用录入（明细）'!C:C&gt;=$J$4,'领用录入（明细）'!C:C&lt;=$L$4),ROW(),"-")</f>
        <v>-</v>
      </c>
    </row>
    <row r="48049" customHeight="1" spans="2:2">
      <c r="B48049" s="62" t="str">
        <f>IF(AND('领用录入（明细）'!D:D=$F$4,'领用录入（明细）'!C:C&gt;=$J$4,'领用录入（明细）'!C:C&lt;=$L$4),ROW(),"-")</f>
        <v>-</v>
      </c>
    </row>
    <row r="48050" customHeight="1" spans="2:2">
      <c r="B48050" s="62" t="str">
        <f>IF(AND('领用录入（明细）'!D:D=$F$4,'领用录入（明细）'!C:C&gt;=$J$4,'领用录入（明细）'!C:C&lt;=$L$4),ROW(),"-")</f>
        <v>-</v>
      </c>
    </row>
    <row r="48051" customHeight="1" spans="2:2">
      <c r="B48051" s="62" t="str">
        <f>IF(AND('领用录入（明细）'!D:D=$F$4,'领用录入（明细）'!C:C&gt;=$J$4,'领用录入（明细）'!C:C&lt;=$L$4),ROW(),"-")</f>
        <v>-</v>
      </c>
    </row>
    <row r="48052" customHeight="1" spans="2:2">
      <c r="B48052" s="62" t="str">
        <f>IF(AND('领用录入（明细）'!D:D=$F$4,'领用录入（明细）'!C:C&gt;=$J$4,'领用录入（明细）'!C:C&lt;=$L$4),ROW(),"-")</f>
        <v>-</v>
      </c>
    </row>
    <row r="48053" customHeight="1" spans="2:2">
      <c r="B48053" s="62" t="str">
        <f>IF(AND('领用录入（明细）'!D:D=$F$4,'领用录入（明细）'!C:C&gt;=$J$4,'领用录入（明细）'!C:C&lt;=$L$4),ROW(),"-")</f>
        <v>-</v>
      </c>
    </row>
    <row r="48054" customHeight="1" spans="2:2">
      <c r="B48054" s="62" t="str">
        <f>IF(AND('领用录入（明细）'!D:D=$F$4,'领用录入（明细）'!C:C&gt;=$J$4,'领用录入（明细）'!C:C&lt;=$L$4),ROW(),"-")</f>
        <v>-</v>
      </c>
    </row>
    <row r="48055" customHeight="1" spans="2:2">
      <c r="B48055" s="62" t="str">
        <f>IF(AND('领用录入（明细）'!D:D=$F$4,'领用录入（明细）'!C:C&gt;=$J$4,'领用录入（明细）'!C:C&lt;=$L$4),ROW(),"-")</f>
        <v>-</v>
      </c>
    </row>
    <row r="48056" customHeight="1" spans="2:2">
      <c r="B48056" s="62" t="str">
        <f>IF(AND('领用录入（明细）'!D:D=$F$4,'领用录入（明细）'!C:C&gt;=$J$4,'领用录入（明细）'!C:C&lt;=$L$4),ROW(),"-")</f>
        <v>-</v>
      </c>
    </row>
    <row r="48057" customHeight="1" spans="2:2">
      <c r="B48057" s="62" t="str">
        <f>IF(AND('领用录入（明细）'!D:D=$F$4,'领用录入（明细）'!C:C&gt;=$J$4,'领用录入（明细）'!C:C&lt;=$L$4),ROW(),"-")</f>
        <v>-</v>
      </c>
    </row>
    <row r="48058" customHeight="1" spans="2:2">
      <c r="B48058" s="62" t="str">
        <f>IF(AND('领用录入（明细）'!D:D=$F$4,'领用录入（明细）'!C:C&gt;=$J$4,'领用录入（明细）'!C:C&lt;=$L$4),ROW(),"-")</f>
        <v>-</v>
      </c>
    </row>
    <row r="48059" customHeight="1" spans="2:2">
      <c r="B48059" s="62" t="str">
        <f>IF(AND('领用录入（明细）'!D:D=$F$4,'领用录入（明细）'!C:C&gt;=$J$4,'领用录入（明细）'!C:C&lt;=$L$4),ROW(),"-")</f>
        <v>-</v>
      </c>
    </row>
    <row r="48060" customHeight="1" spans="2:2">
      <c r="B48060" s="62" t="str">
        <f>IF(AND('领用录入（明细）'!D:D=$F$4,'领用录入（明细）'!C:C&gt;=$J$4,'领用录入（明细）'!C:C&lt;=$L$4),ROW(),"-")</f>
        <v>-</v>
      </c>
    </row>
    <row r="48061" customHeight="1" spans="2:2">
      <c r="B48061" s="62" t="str">
        <f>IF(AND('领用录入（明细）'!D:D=$F$4,'领用录入（明细）'!C:C&gt;=$J$4,'领用录入（明细）'!C:C&lt;=$L$4),ROW(),"-")</f>
        <v>-</v>
      </c>
    </row>
    <row r="48062" customHeight="1" spans="2:2">
      <c r="B48062" s="62" t="str">
        <f>IF(AND('领用录入（明细）'!D:D=$F$4,'领用录入（明细）'!C:C&gt;=$J$4,'领用录入（明细）'!C:C&lt;=$L$4),ROW(),"-")</f>
        <v>-</v>
      </c>
    </row>
    <row r="48063" customHeight="1" spans="2:2">
      <c r="B48063" s="62" t="str">
        <f>IF(AND('领用录入（明细）'!D:D=$F$4,'领用录入（明细）'!C:C&gt;=$J$4,'领用录入（明细）'!C:C&lt;=$L$4),ROW(),"-")</f>
        <v>-</v>
      </c>
    </row>
    <row r="48064" customHeight="1" spans="2:2">
      <c r="B48064" s="62" t="str">
        <f>IF(AND('领用录入（明细）'!D:D=$F$4,'领用录入（明细）'!C:C&gt;=$J$4,'领用录入（明细）'!C:C&lt;=$L$4),ROW(),"-")</f>
        <v>-</v>
      </c>
    </row>
    <row r="48065" customHeight="1" spans="2:2">
      <c r="B48065" s="62" t="str">
        <f>IF(AND('领用录入（明细）'!D:D=$F$4,'领用录入（明细）'!C:C&gt;=$J$4,'领用录入（明细）'!C:C&lt;=$L$4),ROW(),"-")</f>
        <v>-</v>
      </c>
    </row>
    <row r="48066" customHeight="1" spans="2:2">
      <c r="B48066" s="62" t="str">
        <f>IF(AND('领用录入（明细）'!D:D=$F$4,'领用录入（明细）'!C:C&gt;=$J$4,'领用录入（明细）'!C:C&lt;=$L$4),ROW(),"-")</f>
        <v>-</v>
      </c>
    </row>
    <row r="48067" customHeight="1" spans="2:2">
      <c r="B48067" s="62" t="str">
        <f>IF(AND('领用录入（明细）'!D:D=$F$4,'领用录入（明细）'!C:C&gt;=$J$4,'领用录入（明细）'!C:C&lt;=$L$4),ROW(),"-")</f>
        <v>-</v>
      </c>
    </row>
    <row r="48068" customHeight="1" spans="2:2">
      <c r="B48068" s="62" t="str">
        <f>IF(AND('领用录入（明细）'!D:D=$F$4,'领用录入（明细）'!C:C&gt;=$J$4,'领用录入（明细）'!C:C&lt;=$L$4),ROW(),"-")</f>
        <v>-</v>
      </c>
    </row>
    <row r="48069" customHeight="1" spans="2:2">
      <c r="B48069" s="62" t="str">
        <f>IF(AND('领用录入（明细）'!D:D=$F$4,'领用录入（明细）'!C:C&gt;=$J$4,'领用录入（明细）'!C:C&lt;=$L$4),ROW(),"-")</f>
        <v>-</v>
      </c>
    </row>
    <row r="48070" customHeight="1" spans="2:2">
      <c r="B48070" s="62" t="str">
        <f>IF(AND('领用录入（明细）'!D:D=$F$4,'领用录入（明细）'!C:C&gt;=$J$4,'领用录入（明细）'!C:C&lt;=$L$4),ROW(),"-")</f>
        <v>-</v>
      </c>
    </row>
    <row r="48071" customHeight="1" spans="2:2">
      <c r="B48071" s="62" t="str">
        <f>IF(AND('领用录入（明细）'!D:D=$F$4,'领用录入（明细）'!C:C&gt;=$J$4,'领用录入（明细）'!C:C&lt;=$L$4),ROW(),"-")</f>
        <v>-</v>
      </c>
    </row>
    <row r="48072" customHeight="1" spans="2:2">
      <c r="B48072" s="62" t="str">
        <f>IF(AND('领用录入（明细）'!D:D=$F$4,'领用录入（明细）'!C:C&gt;=$J$4,'领用录入（明细）'!C:C&lt;=$L$4),ROW(),"-")</f>
        <v>-</v>
      </c>
    </row>
    <row r="48073" customHeight="1" spans="2:2">
      <c r="B48073" s="62" t="str">
        <f>IF(AND('领用录入（明细）'!D:D=$F$4,'领用录入（明细）'!C:C&gt;=$J$4,'领用录入（明细）'!C:C&lt;=$L$4),ROW(),"-")</f>
        <v>-</v>
      </c>
    </row>
    <row r="48074" customHeight="1" spans="2:2">
      <c r="B48074" s="62" t="str">
        <f>IF(AND('领用录入（明细）'!D:D=$F$4,'领用录入（明细）'!C:C&gt;=$J$4,'领用录入（明细）'!C:C&lt;=$L$4),ROW(),"-")</f>
        <v>-</v>
      </c>
    </row>
    <row r="48075" customHeight="1" spans="2:2">
      <c r="B48075" s="62" t="str">
        <f>IF(AND('领用录入（明细）'!D:D=$F$4,'领用录入（明细）'!C:C&gt;=$J$4,'领用录入（明细）'!C:C&lt;=$L$4),ROW(),"-")</f>
        <v>-</v>
      </c>
    </row>
    <row r="48076" customHeight="1" spans="2:2">
      <c r="B48076" s="62" t="str">
        <f>IF(AND('领用录入（明细）'!D:D=$F$4,'领用录入（明细）'!C:C&gt;=$J$4,'领用录入（明细）'!C:C&lt;=$L$4),ROW(),"-")</f>
        <v>-</v>
      </c>
    </row>
    <row r="48077" customHeight="1" spans="2:2">
      <c r="B48077" s="62" t="str">
        <f>IF(AND('领用录入（明细）'!D:D=$F$4,'领用录入（明细）'!C:C&gt;=$J$4,'领用录入（明细）'!C:C&lt;=$L$4),ROW(),"-")</f>
        <v>-</v>
      </c>
    </row>
    <row r="48078" customHeight="1" spans="2:2">
      <c r="B48078" s="62" t="str">
        <f>IF(AND('领用录入（明细）'!D:D=$F$4,'领用录入（明细）'!C:C&gt;=$J$4,'领用录入（明细）'!C:C&lt;=$L$4),ROW(),"-")</f>
        <v>-</v>
      </c>
    </row>
    <row r="48079" customHeight="1" spans="2:2">
      <c r="B48079" s="62" t="str">
        <f>IF(AND('领用录入（明细）'!D:D=$F$4,'领用录入（明细）'!C:C&gt;=$J$4,'领用录入（明细）'!C:C&lt;=$L$4),ROW(),"-")</f>
        <v>-</v>
      </c>
    </row>
    <row r="48080" customHeight="1" spans="2:2">
      <c r="B48080" s="62" t="str">
        <f>IF(AND('领用录入（明细）'!D:D=$F$4,'领用录入（明细）'!C:C&gt;=$J$4,'领用录入（明细）'!C:C&lt;=$L$4),ROW(),"-")</f>
        <v>-</v>
      </c>
    </row>
    <row r="48081" customHeight="1" spans="2:2">
      <c r="B48081" s="62" t="str">
        <f>IF(AND('领用录入（明细）'!D:D=$F$4,'领用录入（明细）'!C:C&gt;=$J$4,'领用录入（明细）'!C:C&lt;=$L$4),ROW(),"-")</f>
        <v>-</v>
      </c>
    </row>
    <row r="48082" customHeight="1" spans="2:2">
      <c r="B48082" s="62" t="str">
        <f>IF(AND('领用录入（明细）'!D:D=$F$4,'领用录入（明细）'!C:C&gt;=$J$4,'领用录入（明细）'!C:C&lt;=$L$4),ROW(),"-")</f>
        <v>-</v>
      </c>
    </row>
    <row r="48083" customHeight="1" spans="2:2">
      <c r="B48083" s="62" t="str">
        <f>IF(AND('领用录入（明细）'!D:D=$F$4,'领用录入（明细）'!C:C&gt;=$J$4,'领用录入（明细）'!C:C&lt;=$L$4),ROW(),"-")</f>
        <v>-</v>
      </c>
    </row>
    <row r="48084" customHeight="1" spans="2:2">
      <c r="B48084" s="62" t="str">
        <f>IF(AND('领用录入（明细）'!D:D=$F$4,'领用录入（明细）'!C:C&gt;=$J$4,'领用录入（明细）'!C:C&lt;=$L$4),ROW(),"-")</f>
        <v>-</v>
      </c>
    </row>
    <row r="48085" customHeight="1" spans="2:2">
      <c r="B48085" s="62" t="str">
        <f>IF(AND('领用录入（明细）'!D:D=$F$4,'领用录入（明细）'!C:C&gt;=$J$4,'领用录入（明细）'!C:C&lt;=$L$4),ROW(),"-")</f>
        <v>-</v>
      </c>
    </row>
    <row r="48086" customHeight="1" spans="2:2">
      <c r="B48086" s="62" t="str">
        <f>IF(AND('领用录入（明细）'!D:D=$F$4,'领用录入（明细）'!C:C&gt;=$J$4,'领用录入（明细）'!C:C&lt;=$L$4),ROW(),"-")</f>
        <v>-</v>
      </c>
    </row>
    <row r="48087" customHeight="1" spans="2:2">
      <c r="B48087" s="62" t="str">
        <f>IF(AND('领用录入（明细）'!D:D=$F$4,'领用录入（明细）'!C:C&gt;=$J$4,'领用录入（明细）'!C:C&lt;=$L$4),ROW(),"-")</f>
        <v>-</v>
      </c>
    </row>
    <row r="48088" customHeight="1" spans="2:2">
      <c r="B48088" s="62" t="str">
        <f>IF(AND('领用录入（明细）'!D:D=$F$4,'领用录入（明细）'!C:C&gt;=$J$4,'领用录入（明细）'!C:C&lt;=$L$4),ROW(),"-")</f>
        <v>-</v>
      </c>
    </row>
    <row r="48089" customHeight="1" spans="2:2">
      <c r="B48089" s="62" t="str">
        <f>IF(AND('领用录入（明细）'!D:D=$F$4,'领用录入（明细）'!C:C&gt;=$J$4,'领用录入（明细）'!C:C&lt;=$L$4),ROW(),"-")</f>
        <v>-</v>
      </c>
    </row>
    <row r="48090" customHeight="1" spans="2:2">
      <c r="B48090" s="62" t="str">
        <f>IF(AND('领用录入（明细）'!D:D=$F$4,'领用录入（明细）'!C:C&gt;=$J$4,'领用录入（明细）'!C:C&lt;=$L$4),ROW(),"-")</f>
        <v>-</v>
      </c>
    </row>
    <row r="48091" customHeight="1" spans="2:2">
      <c r="B48091" s="62" t="str">
        <f>IF(AND('领用录入（明细）'!D:D=$F$4,'领用录入（明细）'!C:C&gt;=$J$4,'领用录入（明细）'!C:C&lt;=$L$4),ROW(),"-")</f>
        <v>-</v>
      </c>
    </row>
    <row r="48092" customHeight="1" spans="2:2">
      <c r="B48092" s="62" t="str">
        <f>IF(AND('领用录入（明细）'!D:D=$F$4,'领用录入（明细）'!C:C&gt;=$J$4,'领用录入（明细）'!C:C&lt;=$L$4),ROW(),"-")</f>
        <v>-</v>
      </c>
    </row>
    <row r="48093" customHeight="1" spans="2:2">
      <c r="B48093" s="62" t="str">
        <f>IF(AND('领用录入（明细）'!D:D=$F$4,'领用录入（明细）'!C:C&gt;=$J$4,'领用录入（明细）'!C:C&lt;=$L$4),ROW(),"-")</f>
        <v>-</v>
      </c>
    </row>
    <row r="48094" customHeight="1" spans="2:2">
      <c r="B48094" s="62" t="str">
        <f>IF(AND('领用录入（明细）'!D:D=$F$4,'领用录入（明细）'!C:C&gt;=$J$4,'领用录入（明细）'!C:C&lt;=$L$4),ROW(),"-")</f>
        <v>-</v>
      </c>
    </row>
    <row r="48095" customHeight="1" spans="2:2">
      <c r="B48095" s="62" t="str">
        <f>IF(AND('领用录入（明细）'!D:D=$F$4,'领用录入（明细）'!C:C&gt;=$J$4,'领用录入（明细）'!C:C&lt;=$L$4),ROW(),"-")</f>
        <v>-</v>
      </c>
    </row>
    <row r="48096" customHeight="1" spans="2:2">
      <c r="B48096" s="62" t="str">
        <f>IF(AND('领用录入（明细）'!D:D=$F$4,'领用录入（明细）'!C:C&gt;=$J$4,'领用录入（明细）'!C:C&lt;=$L$4),ROW(),"-")</f>
        <v>-</v>
      </c>
    </row>
    <row r="48097" customHeight="1" spans="2:2">
      <c r="B48097" s="62" t="str">
        <f>IF(AND('领用录入（明细）'!D:D=$F$4,'领用录入（明细）'!C:C&gt;=$J$4,'领用录入（明细）'!C:C&lt;=$L$4),ROW(),"-")</f>
        <v>-</v>
      </c>
    </row>
    <row r="48098" customHeight="1" spans="2:2">
      <c r="B48098" s="62" t="str">
        <f>IF(AND('领用录入（明细）'!D:D=$F$4,'领用录入（明细）'!C:C&gt;=$J$4,'领用录入（明细）'!C:C&lt;=$L$4),ROW(),"-")</f>
        <v>-</v>
      </c>
    </row>
    <row r="48099" customHeight="1" spans="2:2">
      <c r="B48099" s="62" t="str">
        <f>IF(AND('领用录入（明细）'!D:D=$F$4,'领用录入（明细）'!C:C&gt;=$J$4,'领用录入（明细）'!C:C&lt;=$L$4),ROW(),"-")</f>
        <v>-</v>
      </c>
    </row>
    <row r="48100" customHeight="1" spans="2:2">
      <c r="B48100" s="62" t="str">
        <f>IF(AND('领用录入（明细）'!D:D=$F$4,'领用录入（明细）'!C:C&gt;=$J$4,'领用录入（明细）'!C:C&lt;=$L$4),ROW(),"-")</f>
        <v>-</v>
      </c>
    </row>
    <row r="48101" customHeight="1" spans="2:2">
      <c r="B48101" s="62" t="str">
        <f>IF(AND('领用录入（明细）'!D:D=$F$4,'领用录入（明细）'!C:C&gt;=$J$4,'领用录入（明细）'!C:C&lt;=$L$4),ROW(),"-")</f>
        <v>-</v>
      </c>
    </row>
    <row r="48102" customHeight="1" spans="2:2">
      <c r="B48102" s="62" t="str">
        <f>IF(AND('领用录入（明细）'!D:D=$F$4,'领用录入（明细）'!C:C&gt;=$J$4,'领用录入（明细）'!C:C&lt;=$L$4),ROW(),"-")</f>
        <v>-</v>
      </c>
    </row>
    <row r="48103" customHeight="1" spans="2:2">
      <c r="B48103" s="62" t="str">
        <f>IF(AND('领用录入（明细）'!D:D=$F$4,'领用录入（明细）'!C:C&gt;=$J$4,'领用录入（明细）'!C:C&lt;=$L$4),ROW(),"-")</f>
        <v>-</v>
      </c>
    </row>
    <row r="48104" customHeight="1" spans="2:2">
      <c r="B48104" s="62" t="str">
        <f>IF(AND('领用录入（明细）'!D:D=$F$4,'领用录入（明细）'!C:C&gt;=$J$4,'领用录入（明细）'!C:C&lt;=$L$4),ROW(),"-")</f>
        <v>-</v>
      </c>
    </row>
    <row r="48105" customHeight="1" spans="2:2">
      <c r="B48105" s="62" t="str">
        <f>IF(AND('领用录入（明细）'!D:D=$F$4,'领用录入（明细）'!C:C&gt;=$J$4,'领用录入（明细）'!C:C&lt;=$L$4),ROW(),"-")</f>
        <v>-</v>
      </c>
    </row>
    <row r="48106" customHeight="1" spans="2:2">
      <c r="B48106" s="62" t="str">
        <f>IF(AND('领用录入（明细）'!D:D=$F$4,'领用录入（明细）'!C:C&gt;=$J$4,'领用录入（明细）'!C:C&lt;=$L$4),ROW(),"-")</f>
        <v>-</v>
      </c>
    </row>
    <row r="48107" customHeight="1" spans="2:2">
      <c r="B48107" s="62" t="str">
        <f>IF(AND('领用录入（明细）'!D:D=$F$4,'领用录入（明细）'!C:C&gt;=$J$4,'领用录入（明细）'!C:C&lt;=$L$4),ROW(),"-")</f>
        <v>-</v>
      </c>
    </row>
    <row r="48108" customHeight="1" spans="2:2">
      <c r="B48108" s="62" t="str">
        <f>IF(AND('领用录入（明细）'!D:D=$F$4,'领用录入（明细）'!C:C&gt;=$J$4,'领用录入（明细）'!C:C&lt;=$L$4),ROW(),"-")</f>
        <v>-</v>
      </c>
    </row>
    <row r="48109" customHeight="1" spans="2:2">
      <c r="B48109" s="62" t="str">
        <f>IF(AND('领用录入（明细）'!D:D=$F$4,'领用录入（明细）'!C:C&gt;=$J$4,'领用录入（明细）'!C:C&lt;=$L$4),ROW(),"-")</f>
        <v>-</v>
      </c>
    </row>
    <row r="48110" customHeight="1" spans="2:2">
      <c r="B48110" s="62" t="str">
        <f>IF(AND('领用录入（明细）'!D:D=$F$4,'领用录入（明细）'!C:C&gt;=$J$4,'领用录入（明细）'!C:C&lt;=$L$4),ROW(),"-")</f>
        <v>-</v>
      </c>
    </row>
    <row r="48111" customHeight="1" spans="2:2">
      <c r="B48111" s="62" t="str">
        <f>IF(AND('领用录入（明细）'!D:D=$F$4,'领用录入（明细）'!C:C&gt;=$J$4,'领用录入（明细）'!C:C&lt;=$L$4),ROW(),"-")</f>
        <v>-</v>
      </c>
    </row>
    <row r="48112" customHeight="1" spans="2:2">
      <c r="B48112" s="62" t="str">
        <f>IF(AND('领用录入（明细）'!D:D=$F$4,'领用录入（明细）'!C:C&gt;=$J$4,'领用录入（明细）'!C:C&lt;=$L$4),ROW(),"-")</f>
        <v>-</v>
      </c>
    </row>
    <row r="48113" customHeight="1" spans="2:2">
      <c r="B48113" s="62" t="str">
        <f>IF(AND('领用录入（明细）'!D:D=$F$4,'领用录入（明细）'!C:C&gt;=$J$4,'领用录入（明细）'!C:C&lt;=$L$4),ROW(),"-")</f>
        <v>-</v>
      </c>
    </row>
    <row r="48114" customHeight="1" spans="2:2">
      <c r="B48114" s="62" t="str">
        <f>IF(AND('领用录入（明细）'!D:D=$F$4,'领用录入（明细）'!C:C&gt;=$J$4,'领用录入（明细）'!C:C&lt;=$L$4),ROW(),"-")</f>
        <v>-</v>
      </c>
    </row>
    <row r="48115" customHeight="1" spans="2:2">
      <c r="B48115" s="62" t="str">
        <f>IF(AND('领用录入（明细）'!D:D=$F$4,'领用录入（明细）'!C:C&gt;=$J$4,'领用录入（明细）'!C:C&lt;=$L$4),ROW(),"-")</f>
        <v>-</v>
      </c>
    </row>
    <row r="48116" customHeight="1" spans="2:2">
      <c r="B48116" s="62" t="str">
        <f>IF(AND('领用录入（明细）'!D:D=$F$4,'领用录入（明细）'!C:C&gt;=$J$4,'领用录入（明细）'!C:C&lt;=$L$4),ROW(),"-")</f>
        <v>-</v>
      </c>
    </row>
    <row r="48117" customHeight="1" spans="2:2">
      <c r="B48117" s="62" t="str">
        <f>IF(AND('领用录入（明细）'!D:D=$F$4,'领用录入（明细）'!C:C&gt;=$J$4,'领用录入（明细）'!C:C&lt;=$L$4),ROW(),"-")</f>
        <v>-</v>
      </c>
    </row>
    <row r="48118" customHeight="1" spans="2:2">
      <c r="B48118" s="62" t="str">
        <f>IF(AND('领用录入（明细）'!D:D=$F$4,'领用录入（明细）'!C:C&gt;=$J$4,'领用录入（明细）'!C:C&lt;=$L$4),ROW(),"-")</f>
        <v>-</v>
      </c>
    </row>
    <row r="48119" customHeight="1" spans="2:2">
      <c r="B48119" s="62" t="str">
        <f>IF(AND('领用录入（明细）'!D:D=$F$4,'领用录入（明细）'!C:C&gt;=$J$4,'领用录入（明细）'!C:C&lt;=$L$4),ROW(),"-")</f>
        <v>-</v>
      </c>
    </row>
    <row r="48120" customHeight="1" spans="2:2">
      <c r="B48120" s="62" t="str">
        <f>IF(AND('领用录入（明细）'!D:D=$F$4,'领用录入（明细）'!C:C&gt;=$J$4,'领用录入（明细）'!C:C&lt;=$L$4),ROW(),"-")</f>
        <v>-</v>
      </c>
    </row>
    <row r="48121" customHeight="1" spans="2:2">
      <c r="B48121" s="62" t="str">
        <f>IF(AND('领用录入（明细）'!D:D=$F$4,'领用录入（明细）'!C:C&gt;=$J$4,'领用录入（明细）'!C:C&lt;=$L$4),ROW(),"-")</f>
        <v>-</v>
      </c>
    </row>
    <row r="48122" customHeight="1" spans="2:2">
      <c r="B48122" s="62" t="str">
        <f>IF(AND('领用录入（明细）'!D:D=$F$4,'领用录入（明细）'!C:C&gt;=$J$4,'领用录入（明细）'!C:C&lt;=$L$4),ROW(),"-")</f>
        <v>-</v>
      </c>
    </row>
    <row r="48123" customHeight="1" spans="2:2">
      <c r="B48123" s="62" t="str">
        <f>IF(AND('领用录入（明细）'!D:D=$F$4,'领用录入（明细）'!C:C&gt;=$J$4,'领用录入（明细）'!C:C&lt;=$L$4),ROW(),"-")</f>
        <v>-</v>
      </c>
    </row>
    <row r="48124" customHeight="1" spans="2:2">
      <c r="B48124" s="62" t="str">
        <f>IF(AND('领用录入（明细）'!D:D=$F$4,'领用录入（明细）'!C:C&gt;=$J$4,'领用录入（明细）'!C:C&lt;=$L$4),ROW(),"-")</f>
        <v>-</v>
      </c>
    </row>
    <row r="48125" customHeight="1" spans="2:2">
      <c r="B48125" s="62" t="str">
        <f>IF(AND('领用录入（明细）'!D:D=$F$4,'领用录入（明细）'!C:C&gt;=$J$4,'领用录入（明细）'!C:C&lt;=$L$4),ROW(),"-")</f>
        <v>-</v>
      </c>
    </row>
    <row r="48126" customHeight="1" spans="2:2">
      <c r="B48126" s="62" t="str">
        <f>IF(AND('领用录入（明细）'!D:D=$F$4,'领用录入（明细）'!C:C&gt;=$J$4,'领用录入（明细）'!C:C&lt;=$L$4),ROW(),"-")</f>
        <v>-</v>
      </c>
    </row>
    <row r="48127" customHeight="1" spans="2:2">
      <c r="B48127" s="62" t="str">
        <f>IF(AND('领用录入（明细）'!D:D=$F$4,'领用录入（明细）'!C:C&gt;=$J$4,'领用录入（明细）'!C:C&lt;=$L$4),ROW(),"-")</f>
        <v>-</v>
      </c>
    </row>
    <row r="48128" customHeight="1" spans="2:2">
      <c r="B48128" s="62" t="str">
        <f>IF(AND('领用录入（明细）'!D:D=$F$4,'领用录入（明细）'!C:C&gt;=$J$4,'领用录入（明细）'!C:C&lt;=$L$4),ROW(),"-")</f>
        <v>-</v>
      </c>
    </row>
    <row r="48129" customHeight="1" spans="2:2">
      <c r="B48129" s="62" t="str">
        <f>IF(AND('领用录入（明细）'!D:D=$F$4,'领用录入（明细）'!C:C&gt;=$J$4,'领用录入（明细）'!C:C&lt;=$L$4),ROW(),"-")</f>
        <v>-</v>
      </c>
    </row>
    <row r="48130" customHeight="1" spans="2:2">
      <c r="B48130" s="62" t="str">
        <f>IF(AND('领用录入（明细）'!D:D=$F$4,'领用录入（明细）'!C:C&gt;=$J$4,'领用录入（明细）'!C:C&lt;=$L$4),ROW(),"-")</f>
        <v>-</v>
      </c>
    </row>
    <row r="48131" customHeight="1" spans="2:2">
      <c r="B48131" s="62" t="str">
        <f>IF(AND('领用录入（明细）'!D:D=$F$4,'领用录入（明细）'!C:C&gt;=$J$4,'领用录入（明细）'!C:C&lt;=$L$4),ROW(),"-")</f>
        <v>-</v>
      </c>
    </row>
    <row r="48132" customHeight="1" spans="2:2">
      <c r="B48132" s="62" t="str">
        <f>IF(AND('领用录入（明细）'!D:D=$F$4,'领用录入（明细）'!C:C&gt;=$J$4,'领用录入（明细）'!C:C&lt;=$L$4),ROW(),"-")</f>
        <v>-</v>
      </c>
    </row>
    <row r="48133" customHeight="1" spans="2:2">
      <c r="B48133" s="62" t="str">
        <f>IF(AND('领用录入（明细）'!D:D=$F$4,'领用录入（明细）'!C:C&gt;=$J$4,'领用录入（明细）'!C:C&lt;=$L$4),ROW(),"-")</f>
        <v>-</v>
      </c>
    </row>
    <row r="48134" customHeight="1" spans="2:2">
      <c r="B48134" s="62" t="str">
        <f>IF(AND('领用录入（明细）'!D:D=$F$4,'领用录入（明细）'!C:C&gt;=$J$4,'领用录入（明细）'!C:C&lt;=$L$4),ROW(),"-")</f>
        <v>-</v>
      </c>
    </row>
    <row r="48135" customHeight="1" spans="2:2">
      <c r="B48135" s="62" t="str">
        <f>IF(AND('领用录入（明细）'!D:D=$F$4,'领用录入（明细）'!C:C&gt;=$J$4,'领用录入（明细）'!C:C&lt;=$L$4),ROW(),"-")</f>
        <v>-</v>
      </c>
    </row>
    <row r="48136" customHeight="1" spans="2:2">
      <c r="B48136" s="62" t="str">
        <f>IF(AND('领用录入（明细）'!D:D=$F$4,'领用录入（明细）'!C:C&gt;=$J$4,'领用录入（明细）'!C:C&lt;=$L$4),ROW(),"-")</f>
        <v>-</v>
      </c>
    </row>
    <row r="48137" customHeight="1" spans="2:2">
      <c r="B48137" s="62" t="str">
        <f>IF(AND('领用录入（明细）'!D:D=$F$4,'领用录入（明细）'!C:C&gt;=$J$4,'领用录入（明细）'!C:C&lt;=$L$4),ROW(),"-")</f>
        <v>-</v>
      </c>
    </row>
    <row r="48138" customHeight="1" spans="2:2">
      <c r="B48138" s="62" t="str">
        <f>IF(AND('领用录入（明细）'!D:D=$F$4,'领用录入（明细）'!C:C&gt;=$J$4,'领用录入（明细）'!C:C&lt;=$L$4),ROW(),"-")</f>
        <v>-</v>
      </c>
    </row>
    <row r="48139" customHeight="1" spans="2:2">
      <c r="B48139" s="62" t="str">
        <f>IF(AND('领用录入（明细）'!D:D=$F$4,'领用录入（明细）'!C:C&gt;=$J$4,'领用录入（明细）'!C:C&lt;=$L$4),ROW(),"-")</f>
        <v>-</v>
      </c>
    </row>
    <row r="48140" customHeight="1" spans="2:2">
      <c r="B48140" s="62" t="str">
        <f>IF(AND('领用录入（明细）'!D:D=$F$4,'领用录入（明细）'!C:C&gt;=$J$4,'领用录入（明细）'!C:C&lt;=$L$4),ROW(),"-")</f>
        <v>-</v>
      </c>
    </row>
    <row r="48141" customHeight="1" spans="2:2">
      <c r="B48141" s="62" t="str">
        <f>IF(AND('领用录入（明细）'!D:D=$F$4,'领用录入（明细）'!C:C&gt;=$J$4,'领用录入（明细）'!C:C&lt;=$L$4),ROW(),"-")</f>
        <v>-</v>
      </c>
    </row>
    <row r="48142" customHeight="1" spans="2:2">
      <c r="B48142" s="62" t="str">
        <f>IF(AND('领用录入（明细）'!D:D=$F$4,'领用录入（明细）'!C:C&gt;=$J$4,'领用录入（明细）'!C:C&lt;=$L$4),ROW(),"-")</f>
        <v>-</v>
      </c>
    </row>
    <row r="48143" customHeight="1" spans="2:2">
      <c r="B48143" s="62" t="str">
        <f>IF(AND('领用录入（明细）'!D:D=$F$4,'领用录入（明细）'!C:C&gt;=$J$4,'领用录入（明细）'!C:C&lt;=$L$4),ROW(),"-")</f>
        <v>-</v>
      </c>
    </row>
    <row r="48144" customHeight="1" spans="2:2">
      <c r="B48144" s="62" t="str">
        <f>IF(AND('领用录入（明细）'!D:D=$F$4,'领用录入（明细）'!C:C&gt;=$J$4,'领用录入（明细）'!C:C&lt;=$L$4),ROW(),"-")</f>
        <v>-</v>
      </c>
    </row>
    <row r="48145" customHeight="1" spans="2:2">
      <c r="B48145" s="62" t="str">
        <f>IF(AND('领用录入（明细）'!D:D=$F$4,'领用录入（明细）'!C:C&gt;=$J$4,'领用录入（明细）'!C:C&lt;=$L$4),ROW(),"-")</f>
        <v>-</v>
      </c>
    </row>
    <row r="48146" customHeight="1" spans="2:2">
      <c r="B48146" s="62" t="str">
        <f>IF(AND('领用录入（明细）'!D:D=$F$4,'领用录入（明细）'!C:C&gt;=$J$4,'领用录入（明细）'!C:C&lt;=$L$4),ROW(),"-")</f>
        <v>-</v>
      </c>
    </row>
    <row r="48147" customHeight="1" spans="2:2">
      <c r="B48147" s="62" t="str">
        <f>IF(AND('领用录入（明细）'!D:D=$F$4,'领用录入（明细）'!C:C&gt;=$J$4,'领用录入（明细）'!C:C&lt;=$L$4),ROW(),"-")</f>
        <v>-</v>
      </c>
    </row>
    <row r="48148" customHeight="1" spans="2:2">
      <c r="B48148" s="62" t="str">
        <f>IF(AND('领用录入（明细）'!D:D=$F$4,'领用录入（明细）'!C:C&gt;=$J$4,'领用录入（明细）'!C:C&lt;=$L$4),ROW(),"-")</f>
        <v>-</v>
      </c>
    </row>
    <row r="48149" customHeight="1" spans="2:2">
      <c r="B48149" s="62" t="str">
        <f>IF(AND('领用录入（明细）'!D:D=$F$4,'领用录入（明细）'!C:C&gt;=$J$4,'领用录入（明细）'!C:C&lt;=$L$4),ROW(),"-")</f>
        <v>-</v>
      </c>
    </row>
    <row r="48150" customHeight="1" spans="2:2">
      <c r="B48150" s="62" t="str">
        <f>IF(AND('领用录入（明细）'!D:D=$F$4,'领用录入（明细）'!C:C&gt;=$J$4,'领用录入（明细）'!C:C&lt;=$L$4),ROW(),"-")</f>
        <v>-</v>
      </c>
    </row>
    <row r="48151" customHeight="1" spans="2:2">
      <c r="B48151" s="62" t="str">
        <f>IF(AND('领用录入（明细）'!D:D=$F$4,'领用录入（明细）'!C:C&gt;=$J$4,'领用录入（明细）'!C:C&lt;=$L$4),ROW(),"-")</f>
        <v>-</v>
      </c>
    </row>
    <row r="48152" customHeight="1" spans="2:2">
      <c r="B48152" s="62" t="str">
        <f>IF(AND('领用录入（明细）'!D:D=$F$4,'领用录入（明细）'!C:C&gt;=$J$4,'领用录入（明细）'!C:C&lt;=$L$4),ROW(),"-")</f>
        <v>-</v>
      </c>
    </row>
    <row r="48153" customHeight="1" spans="2:2">
      <c r="B48153" s="62" t="str">
        <f>IF(AND('领用录入（明细）'!D:D=$F$4,'领用录入（明细）'!C:C&gt;=$J$4,'领用录入（明细）'!C:C&lt;=$L$4),ROW(),"-")</f>
        <v>-</v>
      </c>
    </row>
    <row r="48154" customHeight="1" spans="2:2">
      <c r="B48154" s="62" t="str">
        <f>IF(AND('领用录入（明细）'!D:D=$F$4,'领用录入（明细）'!C:C&gt;=$J$4,'领用录入（明细）'!C:C&lt;=$L$4),ROW(),"-")</f>
        <v>-</v>
      </c>
    </row>
    <row r="48155" customHeight="1" spans="2:2">
      <c r="B48155" s="62" t="str">
        <f>IF(AND('领用录入（明细）'!D:D=$F$4,'领用录入（明细）'!C:C&gt;=$J$4,'领用录入（明细）'!C:C&lt;=$L$4),ROW(),"-")</f>
        <v>-</v>
      </c>
    </row>
    <row r="48156" customHeight="1" spans="2:2">
      <c r="B48156" s="62" t="str">
        <f>IF(AND('领用录入（明细）'!D:D=$F$4,'领用录入（明细）'!C:C&gt;=$J$4,'领用录入（明细）'!C:C&lt;=$L$4),ROW(),"-")</f>
        <v>-</v>
      </c>
    </row>
    <row r="48157" customHeight="1" spans="2:2">
      <c r="B48157" s="62" t="str">
        <f>IF(AND('领用录入（明细）'!D:D=$F$4,'领用录入（明细）'!C:C&gt;=$J$4,'领用录入（明细）'!C:C&lt;=$L$4),ROW(),"-")</f>
        <v>-</v>
      </c>
    </row>
    <row r="48158" customHeight="1" spans="2:2">
      <c r="B48158" s="62" t="str">
        <f>IF(AND('领用录入（明细）'!D:D=$F$4,'领用录入（明细）'!C:C&gt;=$J$4,'领用录入（明细）'!C:C&lt;=$L$4),ROW(),"-")</f>
        <v>-</v>
      </c>
    </row>
    <row r="48159" customHeight="1" spans="2:2">
      <c r="B48159" s="62" t="str">
        <f>IF(AND('领用录入（明细）'!D:D=$F$4,'领用录入（明细）'!C:C&gt;=$J$4,'领用录入（明细）'!C:C&lt;=$L$4),ROW(),"-")</f>
        <v>-</v>
      </c>
    </row>
    <row r="48160" customHeight="1" spans="2:2">
      <c r="B48160" s="62" t="str">
        <f>IF(AND('领用录入（明细）'!D:D=$F$4,'领用录入（明细）'!C:C&gt;=$J$4,'领用录入（明细）'!C:C&lt;=$L$4),ROW(),"-")</f>
        <v>-</v>
      </c>
    </row>
    <row r="48161" customHeight="1" spans="2:2">
      <c r="B48161" s="62" t="str">
        <f>IF(AND('领用录入（明细）'!D:D=$F$4,'领用录入（明细）'!C:C&gt;=$J$4,'领用录入（明细）'!C:C&lt;=$L$4),ROW(),"-")</f>
        <v>-</v>
      </c>
    </row>
    <row r="48162" customHeight="1" spans="2:2">
      <c r="B48162" s="62" t="str">
        <f>IF(AND('领用录入（明细）'!D:D=$F$4,'领用录入（明细）'!C:C&gt;=$J$4,'领用录入（明细）'!C:C&lt;=$L$4),ROW(),"-")</f>
        <v>-</v>
      </c>
    </row>
    <row r="48163" customHeight="1" spans="2:2">
      <c r="B48163" s="62" t="str">
        <f>IF(AND('领用录入（明细）'!D:D=$F$4,'领用录入（明细）'!C:C&gt;=$J$4,'领用录入（明细）'!C:C&lt;=$L$4),ROW(),"-")</f>
        <v>-</v>
      </c>
    </row>
    <row r="48164" customHeight="1" spans="2:2">
      <c r="B48164" s="62" t="str">
        <f>IF(AND('领用录入（明细）'!D:D=$F$4,'领用录入（明细）'!C:C&gt;=$J$4,'领用录入（明细）'!C:C&lt;=$L$4),ROW(),"-")</f>
        <v>-</v>
      </c>
    </row>
    <row r="48165" customHeight="1" spans="2:2">
      <c r="B48165" s="62" t="str">
        <f>IF(AND('领用录入（明细）'!D:D=$F$4,'领用录入（明细）'!C:C&gt;=$J$4,'领用录入（明细）'!C:C&lt;=$L$4),ROW(),"-")</f>
        <v>-</v>
      </c>
    </row>
    <row r="48166" customHeight="1" spans="2:2">
      <c r="B48166" s="62" t="str">
        <f>IF(AND('领用录入（明细）'!D:D=$F$4,'领用录入（明细）'!C:C&gt;=$J$4,'领用录入（明细）'!C:C&lt;=$L$4),ROW(),"-")</f>
        <v>-</v>
      </c>
    </row>
    <row r="48167" customHeight="1" spans="2:2">
      <c r="B48167" s="62" t="str">
        <f>IF(AND('领用录入（明细）'!D:D=$F$4,'领用录入（明细）'!C:C&gt;=$J$4,'领用录入（明细）'!C:C&lt;=$L$4),ROW(),"-")</f>
        <v>-</v>
      </c>
    </row>
    <row r="48168" customHeight="1" spans="2:2">
      <c r="B48168" s="62" t="str">
        <f>IF(AND('领用录入（明细）'!D:D=$F$4,'领用录入（明细）'!C:C&gt;=$J$4,'领用录入（明细）'!C:C&lt;=$L$4),ROW(),"-")</f>
        <v>-</v>
      </c>
    </row>
    <row r="48169" customHeight="1" spans="2:2">
      <c r="B48169" s="62" t="str">
        <f>IF(AND('领用录入（明细）'!D:D=$F$4,'领用录入（明细）'!C:C&gt;=$J$4,'领用录入（明细）'!C:C&lt;=$L$4),ROW(),"-")</f>
        <v>-</v>
      </c>
    </row>
    <row r="48170" customHeight="1" spans="2:2">
      <c r="B48170" s="62" t="str">
        <f>IF(AND('领用录入（明细）'!D:D=$F$4,'领用录入（明细）'!C:C&gt;=$J$4,'领用录入（明细）'!C:C&lt;=$L$4),ROW(),"-")</f>
        <v>-</v>
      </c>
    </row>
    <row r="48171" customHeight="1" spans="2:2">
      <c r="B48171" s="62" t="str">
        <f>IF(AND('领用录入（明细）'!D:D=$F$4,'领用录入（明细）'!C:C&gt;=$J$4,'领用录入（明细）'!C:C&lt;=$L$4),ROW(),"-")</f>
        <v>-</v>
      </c>
    </row>
    <row r="48172" customHeight="1" spans="2:2">
      <c r="B48172" s="62" t="str">
        <f>IF(AND('领用录入（明细）'!D:D=$F$4,'领用录入（明细）'!C:C&gt;=$J$4,'领用录入（明细）'!C:C&lt;=$L$4),ROW(),"-")</f>
        <v>-</v>
      </c>
    </row>
    <row r="48173" customHeight="1" spans="2:2">
      <c r="B48173" s="62" t="str">
        <f>IF(AND('领用录入（明细）'!D:D=$F$4,'领用录入（明细）'!C:C&gt;=$J$4,'领用录入（明细）'!C:C&lt;=$L$4),ROW(),"-")</f>
        <v>-</v>
      </c>
    </row>
    <row r="48174" customHeight="1" spans="2:2">
      <c r="B48174" s="62" t="str">
        <f>IF(AND('领用录入（明细）'!D:D=$F$4,'领用录入（明细）'!C:C&gt;=$J$4,'领用录入（明细）'!C:C&lt;=$L$4),ROW(),"-")</f>
        <v>-</v>
      </c>
    </row>
    <row r="48175" customHeight="1" spans="2:2">
      <c r="B48175" s="62" t="str">
        <f>IF(AND('领用录入（明细）'!D:D=$F$4,'领用录入（明细）'!C:C&gt;=$J$4,'领用录入（明细）'!C:C&lt;=$L$4),ROW(),"-")</f>
        <v>-</v>
      </c>
    </row>
    <row r="48176" customHeight="1" spans="2:2">
      <c r="B48176" s="62" t="str">
        <f>IF(AND('领用录入（明细）'!D:D=$F$4,'领用录入（明细）'!C:C&gt;=$J$4,'领用录入（明细）'!C:C&lt;=$L$4),ROW(),"-")</f>
        <v>-</v>
      </c>
    </row>
    <row r="48177" customHeight="1" spans="2:2">
      <c r="B48177" s="62" t="str">
        <f>IF(AND('领用录入（明细）'!D:D=$F$4,'领用录入（明细）'!C:C&gt;=$J$4,'领用录入（明细）'!C:C&lt;=$L$4),ROW(),"-")</f>
        <v>-</v>
      </c>
    </row>
    <row r="48178" customHeight="1" spans="2:2">
      <c r="B48178" s="62" t="str">
        <f>IF(AND('领用录入（明细）'!D:D=$F$4,'领用录入（明细）'!C:C&gt;=$J$4,'领用录入（明细）'!C:C&lt;=$L$4),ROW(),"-")</f>
        <v>-</v>
      </c>
    </row>
    <row r="48179" customHeight="1" spans="2:2">
      <c r="B48179" s="62" t="str">
        <f>IF(AND('领用录入（明细）'!D:D=$F$4,'领用录入（明细）'!C:C&gt;=$J$4,'领用录入（明细）'!C:C&lt;=$L$4),ROW(),"-")</f>
        <v>-</v>
      </c>
    </row>
    <row r="48180" customHeight="1" spans="2:2">
      <c r="B48180" s="62" t="str">
        <f>IF(AND('领用录入（明细）'!D:D=$F$4,'领用录入（明细）'!C:C&gt;=$J$4,'领用录入（明细）'!C:C&lt;=$L$4),ROW(),"-")</f>
        <v>-</v>
      </c>
    </row>
    <row r="48181" customHeight="1" spans="2:2">
      <c r="B48181" s="62" t="str">
        <f>IF(AND('领用录入（明细）'!D:D=$F$4,'领用录入（明细）'!C:C&gt;=$J$4,'领用录入（明细）'!C:C&lt;=$L$4),ROW(),"-")</f>
        <v>-</v>
      </c>
    </row>
    <row r="48182" customHeight="1" spans="2:2">
      <c r="B48182" s="62" t="str">
        <f>IF(AND('领用录入（明细）'!D:D=$F$4,'领用录入（明细）'!C:C&gt;=$J$4,'领用录入（明细）'!C:C&lt;=$L$4),ROW(),"-")</f>
        <v>-</v>
      </c>
    </row>
    <row r="48183" customHeight="1" spans="2:2">
      <c r="B48183" s="62" t="str">
        <f>IF(AND('领用录入（明细）'!D:D=$F$4,'领用录入（明细）'!C:C&gt;=$J$4,'领用录入（明细）'!C:C&lt;=$L$4),ROW(),"-")</f>
        <v>-</v>
      </c>
    </row>
    <row r="48184" customHeight="1" spans="2:2">
      <c r="B48184" s="62" t="str">
        <f>IF(AND('领用录入（明细）'!D:D=$F$4,'领用录入（明细）'!C:C&gt;=$J$4,'领用录入（明细）'!C:C&lt;=$L$4),ROW(),"-")</f>
        <v>-</v>
      </c>
    </row>
    <row r="48185" customHeight="1" spans="2:2">
      <c r="B48185" s="62" t="str">
        <f>IF(AND('领用录入（明细）'!D:D=$F$4,'领用录入（明细）'!C:C&gt;=$J$4,'领用录入（明细）'!C:C&lt;=$L$4),ROW(),"-")</f>
        <v>-</v>
      </c>
    </row>
    <row r="48186" customHeight="1" spans="2:2">
      <c r="B48186" s="62" t="str">
        <f>IF(AND('领用录入（明细）'!D:D=$F$4,'领用录入（明细）'!C:C&gt;=$J$4,'领用录入（明细）'!C:C&lt;=$L$4),ROW(),"-")</f>
        <v>-</v>
      </c>
    </row>
    <row r="48187" customHeight="1" spans="2:2">
      <c r="B48187" s="62" t="str">
        <f>IF(AND('领用录入（明细）'!D:D=$F$4,'领用录入（明细）'!C:C&gt;=$J$4,'领用录入（明细）'!C:C&lt;=$L$4),ROW(),"-")</f>
        <v>-</v>
      </c>
    </row>
    <row r="48188" customHeight="1" spans="2:2">
      <c r="B48188" s="62" t="str">
        <f>IF(AND('领用录入（明细）'!D:D=$F$4,'领用录入（明细）'!C:C&gt;=$J$4,'领用录入（明细）'!C:C&lt;=$L$4),ROW(),"-")</f>
        <v>-</v>
      </c>
    </row>
    <row r="48189" customHeight="1" spans="2:2">
      <c r="B48189" s="62" t="str">
        <f>IF(AND('领用录入（明细）'!D:D=$F$4,'领用录入（明细）'!C:C&gt;=$J$4,'领用录入（明细）'!C:C&lt;=$L$4),ROW(),"-")</f>
        <v>-</v>
      </c>
    </row>
    <row r="48190" customHeight="1" spans="2:2">
      <c r="B48190" s="62" t="str">
        <f>IF(AND('领用录入（明细）'!D:D=$F$4,'领用录入（明细）'!C:C&gt;=$J$4,'领用录入（明细）'!C:C&lt;=$L$4),ROW(),"-")</f>
        <v>-</v>
      </c>
    </row>
    <row r="48191" customHeight="1" spans="2:2">
      <c r="B48191" s="62" t="str">
        <f>IF(AND('领用录入（明细）'!D:D=$F$4,'领用录入（明细）'!C:C&gt;=$J$4,'领用录入（明细）'!C:C&lt;=$L$4),ROW(),"-")</f>
        <v>-</v>
      </c>
    </row>
    <row r="48192" customHeight="1" spans="2:2">
      <c r="B48192" s="62" t="str">
        <f>IF(AND('领用录入（明细）'!D:D=$F$4,'领用录入（明细）'!C:C&gt;=$J$4,'领用录入（明细）'!C:C&lt;=$L$4),ROW(),"-")</f>
        <v>-</v>
      </c>
    </row>
    <row r="48193" customHeight="1" spans="2:2">
      <c r="B48193" s="62" t="str">
        <f>IF(AND('领用录入（明细）'!D:D=$F$4,'领用录入（明细）'!C:C&gt;=$J$4,'领用录入（明细）'!C:C&lt;=$L$4),ROW(),"-")</f>
        <v>-</v>
      </c>
    </row>
    <row r="48194" customHeight="1" spans="2:2">
      <c r="B48194" s="62" t="str">
        <f>IF(AND('领用录入（明细）'!D:D=$F$4,'领用录入（明细）'!C:C&gt;=$J$4,'领用录入（明细）'!C:C&lt;=$L$4),ROW(),"-")</f>
        <v>-</v>
      </c>
    </row>
    <row r="48195" customHeight="1" spans="2:2">
      <c r="B48195" s="62" t="str">
        <f>IF(AND('领用录入（明细）'!D:D=$F$4,'领用录入（明细）'!C:C&gt;=$J$4,'领用录入（明细）'!C:C&lt;=$L$4),ROW(),"-")</f>
        <v>-</v>
      </c>
    </row>
    <row r="48196" customHeight="1" spans="2:2">
      <c r="B48196" s="62" t="str">
        <f>IF(AND('领用录入（明细）'!D:D=$F$4,'领用录入（明细）'!C:C&gt;=$J$4,'领用录入（明细）'!C:C&lt;=$L$4),ROW(),"-")</f>
        <v>-</v>
      </c>
    </row>
    <row r="48197" customHeight="1" spans="2:2">
      <c r="B48197" s="62" t="str">
        <f>IF(AND('领用录入（明细）'!D:D=$F$4,'领用录入（明细）'!C:C&gt;=$J$4,'领用录入（明细）'!C:C&lt;=$L$4),ROW(),"-")</f>
        <v>-</v>
      </c>
    </row>
    <row r="48198" customHeight="1" spans="2:2">
      <c r="B48198" s="62" t="str">
        <f>IF(AND('领用录入（明细）'!D:D=$F$4,'领用录入（明细）'!C:C&gt;=$J$4,'领用录入（明细）'!C:C&lt;=$L$4),ROW(),"-")</f>
        <v>-</v>
      </c>
    </row>
    <row r="48199" customHeight="1" spans="2:2">
      <c r="B48199" s="62" t="str">
        <f>IF(AND('领用录入（明细）'!D:D=$F$4,'领用录入（明细）'!C:C&gt;=$J$4,'领用录入（明细）'!C:C&lt;=$L$4),ROW(),"-")</f>
        <v>-</v>
      </c>
    </row>
    <row r="48200" customHeight="1" spans="2:2">
      <c r="B48200" s="62" t="str">
        <f>IF(AND('领用录入（明细）'!D:D=$F$4,'领用录入（明细）'!C:C&gt;=$J$4,'领用录入（明细）'!C:C&lt;=$L$4),ROW(),"-")</f>
        <v>-</v>
      </c>
    </row>
    <row r="48201" customHeight="1" spans="2:2">
      <c r="B48201" s="62" t="str">
        <f>IF(AND('领用录入（明细）'!D:D=$F$4,'领用录入（明细）'!C:C&gt;=$J$4,'领用录入（明细）'!C:C&lt;=$L$4),ROW(),"-")</f>
        <v>-</v>
      </c>
    </row>
    <row r="48202" customHeight="1" spans="2:2">
      <c r="B48202" s="62" t="str">
        <f>IF(AND('领用录入（明细）'!D:D=$F$4,'领用录入（明细）'!C:C&gt;=$J$4,'领用录入（明细）'!C:C&lt;=$L$4),ROW(),"-")</f>
        <v>-</v>
      </c>
    </row>
    <row r="48203" customHeight="1" spans="2:2">
      <c r="B48203" s="62" t="str">
        <f>IF(AND('领用录入（明细）'!D:D=$F$4,'领用录入（明细）'!C:C&gt;=$J$4,'领用录入（明细）'!C:C&lt;=$L$4),ROW(),"-")</f>
        <v>-</v>
      </c>
    </row>
    <row r="48204" customHeight="1" spans="2:2">
      <c r="B48204" s="62" t="str">
        <f>IF(AND('领用录入（明细）'!D:D=$F$4,'领用录入（明细）'!C:C&gt;=$J$4,'领用录入（明细）'!C:C&lt;=$L$4),ROW(),"-")</f>
        <v>-</v>
      </c>
    </row>
    <row r="48205" customHeight="1" spans="2:2">
      <c r="B48205" s="62" t="str">
        <f>IF(AND('领用录入（明细）'!D:D=$F$4,'领用录入（明细）'!C:C&gt;=$J$4,'领用录入（明细）'!C:C&lt;=$L$4),ROW(),"-")</f>
        <v>-</v>
      </c>
    </row>
    <row r="48206" customHeight="1" spans="2:2">
      <c r="B48206" s="62" t="str">
        <f>IF(AND('领用录入（明细）'!D:D=$F$4,'领用录入（明细）'!C:C&gt;=$J$4,'领用录入（明细）'!C:C&lt;=$L$4),ROW(),"-")</f>
        <v>-</v>
      </c>
    </row>
    <row r="48207" customHeight="1" spans="2:2">
      <c r="B48207" s="62" t="str">
        <f>IF(AND('领用录入（明细）'!D:D=$F$4,'领用录入（明细）'!C:C&gt;=$J$4,'领用录入（明细）'!C:C&lt;=$L$4),ROW(),"-")</f>
        <v>-</v>
      </c>
    </row>
    <row r="48208" customHeight="1" spans="2:2">
      <c r="B48208" s="62" t="str">
        <f>IF(AND('领用录入（明细）'!D:D=$F$4,'领用录入（明细）'!C:C&gt;=$J$4,'领用录入（明细）'!C:C&lt;=$L$4),ROW(),"-")</f>
        <v>-</v>
      </c>
    </row>
    <row r="48209" customHeight="1" spans="2:2">
      <c r="B48209" s="62" t="str">
        <f>IF(AND('领用录入（明细）'!D:D=$F$4,'领用录入（明细）'!C:C&gt;=$J$4,'领用录入（明细）'!C:C&lt;=$L$4),ROW(),"-")</f>
        <v>-</v>
      </c>
    </row>
    <row r="48210" customHeight="1" spans="2:2">
      <c r="B48210" s="62" t="str">
        <f>IF(AND('领用录入（明细）'!D:D=$F$4,'领用录入（明细）'!C:C&gt;=$J$4,'领用录入（明细）'!C:C&lt;=$L$4),ROW(),"-")</f>
        <v>-</v>
      </c>
    </row>
    <row r="48211" customHeight="1" spans="2:2">
      <c r="B48211" s="62" t="str">
        <f>IF(AND('领用录入（明细）'!D:D=$F$4,'领用录入（明细）'!C:C&gt;=$J$4,'领用录入（明细）'!C:C&lt;=$L$4),ROW(),"-")</f>
        <v>-</v>
      </c>
    </row>
    <row r="48212" customHeight="1" spans="2:2">
      <c r="B48212" s="62" t="str">
        <f>IF(AND('领用录入（明细）'!D:D=$F$4,'领用录入（明细）'!C:C&gt;=$J$4,'领用录入（明细）'!C:C&lt;=$L$4),ROW(),"-")</f>
        <v>-</v>
      </c>
    </row>
    <row r="48213" customHeight="1" spans="2:2">
      <c r="B48213" s="62" t="str">
        <f>IF(AND('领用录入（明细）'!D:D=$F$4,'领用录入（明细）'!C:C&gt;=$J$4,'领用录入（明细）'!C:C&lt;=$L$4),ROW(),"-")</f>
        <v>-</v>
      </c>
    </row>
    <row r="48214" customHeight="1" spans="2:2">
      <c r="B48214" s="62" t="str">
        <f>IF(AND('领用录入（明细）'!D:D=$F$4,'领用录入（明细）'!C:C&gt;=$J$4,'领用录入（明细）'!C:C&lt;=$L$4),ROW(),"-")</f>
        <v>-</v>
      </c>
    </row>
    <row r="48215" customHeight="1" spans="2:2">
      <c r="B48215" s="62" t="str">
        <f>IF(AND('领用录入（明细）'!D:D=$F$4,'领用录入（明细）'!C:C&gt;=$J$4,'领用录入（明细）'!C:C&lt;=$L$4),ROW(),"-")</f>
        <v>-</v>
      </c>
    </row>
    <row r="48216" customHeight="1" spans="2:2">
      <c r="B48216" s="62" t="str">
        <f>IF(AND('领用录入（明细）'!D:D=$F$4,'领用录入（明细）'!C:C&gt;=$J$4,'领用录入（明细）'!C:C&lt;=$L$4),ROW(),"-")</f>
        <v>-</v>
      </c>
    </row>
    <row r="48217" customHeight="1" spans="2:2">
      <c r="B48217" s="62" t="str">
        <f>IF(AND('领用录入（明细）'!D:D=$F$4,'领用录入（明细）'!C:C&gt;=$J$4,'领用录入（明细）'!C:C&lt;=$L$4),ROW(),"-")</f>
        <v>-</v>
      </c>
    </row>
    <row r="48218" customHeight="1" spans="2:2">
      <c r="B48218" s="62" t="str">
        <f>IF(AND('领用录入（明细）'!D:D=$F$4,'领用录入（明细）'!C:C&gt;=$J$4,'领用录入（明细）'!C:C&lt;=$L$4),ROW(),"-")</f>
        <v>-</v>
      </c>
    </row>
    <row r="48219" customHeight="1" spans="2:2">
      <c r="B48219" s="62" t="str">
        <f>IF(AND('领用录入（明细）'!D:D=$F$4,'领用录入（明细）'!C:C&gt;=$J$4,'领用录入（明细）'!C:C&lt;=$L$4),ROW(),"-")</f>
        <v>-</v>
      </c>
    </row>
    <row r="48220" customHeight="1" spans="2:2">
      <c r="B48220" s="62" t="str">
        <f>IF(AND('领用录入（明细）'!D:D=$F$4,'领用录入（明细）'!C:C&gt;=$J$4,'领用录入（明细）'!C:C&lt;=$L$4),ROW(),"-")</f>
        <v>-</v>
      </c>
    </row>
    <row r="48221" customHeight="1" spans="2:2">
      <c r="B48221" s="62" t="str">
        <f>IF(AND('领用录入（明细）'!D:D=$F$4,'领用录入（明细）'!C:C&gt;=$J$4,'领用录入（明细）'!C:C&lt;=$L$4),ROW(),"-")</f>
        <v>-</v>
      </c>
    </row>
    <row r="48222" customHeight="1" spans="2:2">
      <c r="B48222" s="62" t="str">
        <f>IF(AND('领用录入（明细）'!D:D=$F$4,'领用录入（明细）'!C:C&gt;=$J$4,'领用录入（明细）'!C:C&lt;=$L$4),ROW(),"-")</f>
        <v>-</v>
      </c>
    </row>
    <row r="48223" customHeight="1" spans="2:2">
      <c r="B48223" s="62" t="str">
        <f>IF(AND('领用录入（明细）'!D:D=$F$4,'领用录入（明细）'!C:C&gt;=$J$4,'领用录入（明细）'!C:C&lt;=$L$4),ROW(),"-")</f>
        <v>-</v>
      </c>
    </row>
    <row r="48224" customHeight="1" spans="2:2">
      <c r="B48224" s="62" t="str">
        <f>IF(AND('领用录入（明细）'!D:D=$F$4,'领用录入（明细）'!C:C&gt;=$J$4,'领用录入（明细）'!C:C&lt;=$L$4),ROW(),"-")</f>
        <v>-</v>
      </c>
    </row>
    <row r="48225" customHeight="1" spans="2:2">
      <c r="B48225" s="62" t="str">
        <f>IF(AND('领用录入（明细）'!D:D=$F$4,'领用录入（明细）'!C:C&gt;=$J$4,'领用录入（明细）'!C:C&lt;=$L$4),ROW(),"-")</f>
        <v>-</v>
      </c>
    </row>
    <row r="48226" customHeight="1" spans="2:2">
      <c r="B48226" s="62" t="str">
        <f>IF(AND('领用录入（明细）'!D:D=$F$4,'领用录入（明细）'!C:C&gt;=$J$4,'领用录入（明细）'!C:C&lt;=$L$4),ROW(),"-")</f>
        <v>-</v>
      </c>
    </row>
    <row r="48227" customHeight="1" spans="2:2">
      <c r="B48227" s="62" t="str">
        <f>IF(AND('领用录入（明细）'!D:D=$F$4,'领用录入（明细）'!C:C&gt;=$J$4,'领用录入（明细）'!C:C&lt;=$L$4),ROW(),"-")</f>
        <v>-</v>
      </c>
    </row>
    <row r="48228" customHeight="1" spans="2:2">
      <c r="B48228" s="62" t="str">
        <f>IF(AND('领用录入（明细）'!D:D=$F$4,'领用录入（明细）'!C:C&gt;=$J$4,'领用录入（明细）'!C:C&lt;=$L$4),ROW(),"-")</f>
        <v>-</v>
      </c>
    </row>
    <row r="48229" customHeight="1" spans="2:2">
      <c r="B48229" s="62" t="str">
        <f>IF(AND('领用录入（明细）'!D:D=$F$4,'领用录入（明细）'!C:C&gt;=$J$4,'领用录入（明细）'!C:C&lt;=$L$4),ROW(),"-")</f>
        <v>-</v>
      </c>
    </row>
    <row r="48230" customHeight="1" spans="2:2">
      <c r="B48230" s="62" t="str">
        <f>IF(AND('领用录入（明细）'!D:D=$F$4,'领用录入（明细）'!C:C&gt;=$J$4,'领用录入（明细）'!C:C&lt;=$L$4),ROW(),"-")</f>
        <v>-</v>
      </c>
    </row>
    <row r="48231" customHeight="1" spans="2:2">
      <c r="B48231" s="62" t="str">
        <f>IF(AND('领用录入（明细）'!D:D=$F$4,'领用录入（明细）'!C:C&gt;=$J$4,'领用录入（明细）'!C:C&lt;=$L$4),ROW(),"-")</f>
        <v>-</v>
      </c>
    </row>
    <row r="48232" customHeight="1" spans="2:2">
      <c r="B48232" s="62" t="str">
        <f>IF(AND('领用录入（明细）'!D:D=$F$4,'领用录入（明细）'!C:C&gt;=$J$4,'领用录入（明细）'!C:C&lt;=$L$4),ROW(),"-")</f>
        <v>-</v>
      </c>
    </row>
    <row r="48233" customHeight="1" spans="2:2">
      <c r="B48233" s="62" t="str">
        <f>IF(AND('领用录入（明细）'!D:D=$F$4,'领用录入（明细）'!C:C&gt;=$J$4,'领用录入（明细）'!C:C&lt;=$L$4),ROW(),"-")</f>
        <v>-</v>
      </c>
    </row>
    <row r="48234" customHeight="1" spans="2:2">
      <c r="B48234" s="62" t="str">
        <f>IF(AND('领用录入（明细）'!D:D=$F$4,'领用录入（明细）'!C:C&gt;=$J$4,'领用录入（明细）'!C:C&lt;=$L$4),ROW(),"-")</f>
        <v>-</v>
      </c>
    </row>
    <row r="48235" customHeight="1" spans="2:2">
      <c r="B48235" s="62" t="str">
        <f>IF(AND('领用录入（明细）'!D:D=$F$4,'领用录入（明细）'!C:C&gt;=$J$4,'领用录入（明细）'!C:C&lt;=$L$4),ROW(),"-")</f>
        <v>-</v>
      </c>
    </row>
    <row r="48236" customHeight="1" spans="2:2">
      <c r="B48236" s="62" t="str">
        <f>IF(AND('领用录入（明细）'!D:D=$F$4,'领用录入（明细）'!C:C&gt;=$J$4,'领用录入（明细）'!C:C&lt;=$L$4),ROW(),"-")</f>
        <v>-</v>
      </c>
    </row>
    <row r="48237" customHeight="1" spans="2:2">
      <c r="B48237" s="62" t="str">
        <f>IF(AND('领用录入（明细）'!D:D=$F$4,'领用录入（明细）'!C:C&gt;=$J$4,'领用录入（明细）'!C:C&lt;=$L$4),ROW(),"-")</f>
        <v>-</v>
      </c>
    </row>
    <row r="48238" customHeight="1" spans="2:2">
      <c r="B48238" s="62" t="str">
        <f>IF(AND('领用录入（明细）'!D:D=$F$4,'领用录入（明细）'!C:C&gt;=$J$4,'领用录入（明细）'!C:C&lt;=$L$4),ROW(),"-")</f>
        <v>-</v>
      </c>
    </row>
    <row r="48239" customHeight="1" spans="2:2">
      <c r="B48239" s="62" t="str">
        <f>IF(AND('领用录入（明细）'!D:D=$F$4,'领用录入（明细）'!C:C&gt;=$J$4,'领用录入（明细）'!C:C&lt;=$L$4),ROW(),"-")</f>
        <v>-</v>
      </c>
    </row>
    <row r="48240" customHeight="1" spans="2:2">
      <c r="B48240" s="62" t="str">
        <f>IF(AND('领用录入（明细）'!D:D=$F$4,'领用录入（明细）'!C:C&gt;=$J$4,'领用录入（明细）'!C:C&lt;=$L$4),ROW(),"-")</f>
        <v>-</v>
      </c>
    </row>
    <row r="48241" customHeight="1" spans="2:2">
      <c r="B48241" s="62" t="str">
        <f>IF(AND('领用录入（明细）'!D:D=$F$4,'领用录入（明细）'!C:C&gt;=$J$4,'领用录入（明细）'!C:C&lt;=$L$4),ROW(),"-")</f>
        <v>-</v>
      </c>
    </row>
    <row r="48242" customHeight="1" spans="2:2">
      <c r="B48242" s="62" t="str">
        <f>IF(AND('领用录入（明细）'!D:D=$F$4,'领用录入（明细）'!C:C&gt;=$J$4,'领用录入（明细）'!C:C&lt;=$L$4),ROW(),"-")</f>
        <v>-</v>
      </c>
    </row>
    <row r="48243" customHeight="1" spans="2:2">
      <c r="B48243" s="62" t="str">
        <f>IF(AND('领用录入（明细）'!D:D=$F$4,'领用录入（明细）'!C:C&gt;=$J$4,'领用录入（明细）'!C:C&lt;=$L$4),ROW(),"-")</f>
        <v>-</v>
      </c>
    </row>
    <row r="48244" customHeight="1" spans="2:2">
      <c r="B48244" s="62" t="str">
        <f>IF(AND('领用录入（明细）'!D:D=$F$4,'领用录入（明细）'!C:C&gt;=$J$4,'领用录入（明细）'!C:C&lt;=$L$4),ROW(),"-")</f>
        <v>-</v>
      </c>
    </row>
    <row r="48245" customHeight="1" spans="2:2">
      <c r="B48245" s="62" t="str">
        <f>IF(AND('领用录入（明细）'!D:D=$F$4,'领用录入（明细）'!C:C&gt;=$J$4,'领用录入（明细）'!C:C&lt;=$L$4),ROW(),"-")</f>
        <v>-</v>
      </c>
    </row>
    <row r="48246" customHeight="1" spans="2:2">
      <c r="B48246" s="62" t="str">
        <f>IF(AND('领用录入（明细）'!D:D=$F$4,'领用录入（明细）'!C:C&gt;=$J$4,'领用录入（明细）'!C:C&lt;=$L$4),ROW(),"-")</f>
        <v>-</v>
      </c>
    </row>
    <row r="48247" customHeight="1" spans="2:2">
      <c r="B48247" s="62" t="str">
        <f>IF(AND('领用录入（明细）'!D:D=$F$4,'领用录入（明细）'!C:C&gt;=$J$4,'领用录入（明细）'!C:C&lt;=$L$4),ROW(),"-")</f>
        <v>-</v>
      </c>
    </row>
    <row r="48248" customHeight="1" spans="2:2">
      <c r="B48248" s="62" t="str">
        <f>IF(AND('领用录入（明细）'!D:D=$F$4,'领用录入（明细）'!C:C&gt;=$J$4,'领用录入（明细）'!C:C&lt;=$L$4),ROW(),"-")</f>
        <v>-</v>
      </c>
    </row>
    <row r="48249" customHeight="1" spans="2:2">
      <c r="B48249" s="62" t="str">
        <f>IF(AND('领用录入（明细）'!D:D=$F$4,'领用录入（明细）'!C:C&gt;=$J$4,'领用录入（明细）'!C:C&lt;=$L$4),ROW(),"-")</f>
        <v>-</v>
      </c>
    </row>
    <row r="48250" customHeight="1" spans="2:2">
      <c r="B48250" s="62" t="str">
        <f>IF(AND('领用录入（明细）'!D:D=$F$4,'领用录入（明细）'!C:C&gt;=$J$4,'领用录入（明细）'!C:C&lt;=$L$4),ROW(),"-")</f>
        <v>-</v>
      </c>
    </row>
    <row r="48251" customHeight="1" spans="2:2">
      <c r="B48251" s="62" t="str">
        <f>IF(AND('领用录入（明细）'!D:D=$F$4,'领用录入（明细）'!C:C&gt;=$J$4,'领用录入（明细）'!C:C&lt;=$L$4),ROW(),"-")</f>
        <v>-</v>
      </c>
    </row>
    <row r="48252" customHeight="1" spans="2:2">
      <c r="B48252" s="62" t="str">
        <f>IF(AND('领用录入（明细）'!D:D=$F$4,'领用录入（明细）'!C:C&gt;=$J$4,'领用录入（明细）'!C:C&lt;=$L$4),ROW(),"-")</f>
        <v>-</v>
      </c>
    </row>
    <row r="48253" customHeight="1" spans="2:2">
      <c r="B48253" s="62" t="str">
        <f>IF(AND('领用录入（明细）'!D:D=$F$4,'领用录入（明细）'!C:C&gt;=$J$4,'领用录入（明细）'!C:C&lt;=$L$4),ROW(),"-")</f>
        <v>-</v>
      </c>
    </row>
    <row r="48254" customHeight="1" spans="2:2">
      <c r="B48254" s="62" t="str">
        <f>IF(AND('领用录入（明细）'!D:D=$F$4,'领用录入（明细）'!C:C&gt;=$J$4,'领用录入（明细）'!C:C&lt;=$L$4),ROW(),"-")</f>
        <v>-</v>
      </c>
    </row>
    <row r="48255" customHeight="1" spans="2:2">
      <c r="B48255" s="62" t="str">
        <f>IF(AND('领用录入（明细）'!D:D=$F$4,'领用录入（明细）'!C:C&gt;=$J$4,'领用录入（明细）'!C:C&lt;=$L$4),ROW(),"-")</f>
        <v>-</v>
      </c>
    </row>
    <row r="48256" customHeight="1" spans="2:2">
      <c r="B48256" s="62" t="str">
        <f>IF(AND('领用录入（明细）'!D:D=$F$4,'领用录入（明细）'!C:C&gt;=$J$4,'领用录入（明细）'!C:C&lt;=$L$4),ROW(),"-")</f>
        <v>-</v>
      </c>
    </row>
    <row r="48257" customHeight="1" spans="2:2">
      <c r="B48257" s="62" t="str">
        <f>IF(AND('领用录入（明细）'!D:D=$F$4,'领用录入（明细）'!C:C&gt;=$J$4,'领用录入（明细）'!C:C&lt;=$L$4),ROW(),"-")</f>
        <v>-</v>
      </c>
    </row>
    <row r="48258" customHeight="1" spans="2:2">
      <c r="B48258" s="62" t="str">
        <f>IF(AND('领用录入（明细）'!D:D=$F$4,'领用录入（明细）'!C:C&gt;=$J$4,'领用录入（明细）'!C:C&lt;=$L$4),ROW(),"-")</f>
        <v>-</v>
      </c>
    </row>
    <row r="48259" customHeight="1" spans="2:2">
      <c r="B48259" s="62" t="str">
        <f>IF(AND('领用录入（明细）'!D:D=$F$4,'领用录入（明细）'!C:C&gt;=$J$4,'领用录入（明细）'!C:C&lt;=$L$4),ROW(),"-")</f>
        <v>-</v>
      </c>
    </row>
    <row r="48260" customHeight="1" spans="2:2">
      <c r="B48260" s="62" t="str">
        <f>IF(AND('领用录入（明细）'!D:D=$F$4,'领用录入（明细）'!C:C&gt;=$J$4,'领用录入（明细）'!C:C&lt;=$L$4),ROW(),"-")</f>
        <v>-</v>
      </c>
    </row>
    <row r="48261" customHeight="1" spans="2:2">
      <c r="B48261" s="62" t="str">
        <f>IF(AND('领用录入（明细）'!D:D=$F$4,'领用录入（明细）'!C:C&gt;=$J$4,'领用录入（明细）'!C:C&lt;=$L$4),ROW(),"-")</f>
        <v>-</v>
      </c>
    </row>
    <row r="48262" customHeight="1" spans="2:2">
      <c r="B48262" s="62" t="str">
        <f>IF(AND('领用录入（明细）'!D:D=$F$4,'领用录入（明细）'!C:C&gt;=$J$4,'领用录入（明细）'!C:C&lt;=$L$4),ROW(),"-")</f>
        <v>-</v>
      </c>
    </row>
    <row r="48263" customHeight="1" spans="2:2">
      <c r="B48263" s="62" t="str">
        <f>IF(AND('领用录入（明细）'!D:D=$F$4,'领用录入（明细）'!C:C&gt;=$J$4,'领用录入（明细）'!C:C&lt;=$L$4),ROW(),"-")</f>
        <v>-</v>
      </c>
    </row>
    <row r="48264" customHeight="1" spans="2:2">
      <c r="B48264" s="62" t="str">
        <f>IF(AND('领用录入（明细）'!D:D=$F$4,'领用录入（明细）'!C:C&gt;=$J$4,'领用录入（明细）'!C:C&lt;=$L$4),ROW(),"-")</f>
        <v>-</v>
      </c>
    </row>
    <row r="48265" customHeight="1" spans="2:2">
      <c r="B48265" s="62" t="str">
        <f>IF(AND('领用录入（明细）'!D:D=$F$4,'领用录入（明细）'!C:C&gt;=$J$4,'领用录入（明细）'!C:C&lt;=$L$4),ROW(),"-")</f>
        <v>-</v>
      </c>
    </row>
    <row r="48266" customHeight="1" spans="2:2">
      <c r="B48266" s="62" t="str">
        <f>IF(AND('领用录入（明细）'!D:D=$F$4,'领用录入（明细）'!C:C&gt;=$J$4,'领用录入（明细）'!C:C&lt;=$L$4),ROW(),"-")</f>
        <v>-</v>
      </c>
    </row>
    <row r="48267" customHeight="1" spans="2:2">
      <c r="B48267" s="62" t="str">
        <f>IF(AND('领用录入（明细）'!D:D=$F$4,'领用录入（明细）'!C:C&gt;=$J$4,'领用录入（明细）'!C:C&lt;=$L$4),ROW(),"-")</f>
        <v>-</v>
      </c>
    </row>
    <row r="48268" customHeight="1" spans="2:2">
      <c r="B48268" s="62" t="str">
        <f>IF(AND('领用录入（明细）'!D:D=$F$4,'领用录入（明细）'!C:C&gt;=$J$4,'领用录入（明细）'!C:C&lt;=$L$4),ROW(),"-")</f>
        <v>-</v>
      </c>
    </row>
    <row r="48269" customHeight="1" spans="2:2">
      <c r="B48269" s="62" t="str">
        <f>IF(AND('领用录入（明细）'!D:D=$F$4,'领用录入（明细）'!C:C&gt;=$J$4,'领用录入（明细）'!C:C&lt;=$L$4),ROW(),"-")</f>
        <v>-</v>
      </c>
    </row>
    <row r="48270" customHeight="1" spans="2:2">
      <c r="B48270" s="62" t="str">
        <f>IF(AND('领用录入（明细）'!D:D=$F$4,'领用录入（明细）'!C:C&gt;=$J$4,'领用录入（明细）'!C:C&lt;=$L$4),ROW(),"-")</f>
        <v>-</v>
      </c>
    </row>
    <row r="48271" customHeight="1" spans="2:2">
      <c r="B48271" s="62" t="str">
        <f>IF(AND('领用录入（明细）'!D:D=$F$4,'领用录入（明细）'!C:C&gt;=$J$4,'领用录入（明细）'!C:C&lt;=$L$4),ROW(),"-")</f>
        <v>-</v>
      </c>
    </row>
    <row r="48272" customHeight="1" spans="2:2">
      <c r="B48272" s="62" t="str">
        <f>IF(AND('领用录入（明细）'!D:D=$F$4,'领用录入（明细）'!C:C&gt;=$J$4,'领用录入（明细）'!C:C&lt;=$L$4),ROW(),"-")</f>
        <v>-</v>
      </c>
    </row>
    <row r="48273" customHeight="1" spans="2:2">
      <c r="B48273" s="62" t="str">
        <f>IF(AND('领用录入（明细）'!D:D=$F$4,'领用录入（明细）'!C:C&gt;=$J$4,'领用录入（明细）'!C:C&lt;=$L$4),ROW(),"-")</f>
        <v>-</v>
      </c>
    </row>
    <row r="48274" customHeight="1" spans="2:2">
      <c r="B48274" s="62" t="str">
        <f>IF(AND('领用录入（明细）'!D:D=$F$4,'领用录入（明细）'!C:C&gt;=$J$4,'领用录入（明细）'!C:C&lt;=$L$4),ROW(),"-")</f>
        <v>-</v>
      </c>
    </row>
    <row r="48275" customHeight="1" spans="2:2">
      <c r="B48275" s="62" t="str">
        <f>IF(AND('领用录入（明细）'!D:D=$F$4,'领用录入（明细）'!C:C&gt;=$J$4,'领用录入（明细）'!C:C&lt;=$L$4),ROW(),"-")</f>
        <v>-</v>
      </c>
    </row>
    <row r="48276" customHeight="1" spans="2:2">
      <c r="B48276" s="62" t="str">
        <f>IF(AND('领用录入（明细）'!D:D=$F$4,'领用录入（明细）'!C:C&gt;=$J$4,'领用录入（明细）'!C:C&lt;=$L$4),ROW(),"-")</f>
        <v>-</v>
      </c>
    </row>
    <row r="48277" customHeight="1" spans="2:2">
      <c r="B48277" s="62" t="str">
        <f>IF(AND('领用录入（明细）'!D:D=$F$4,'领用录入（明细）'!C:C&gt;=$J$4,'领用录入（明细）'!C:C&lt;=$L$4),ROW(),"-")</f>
        <v>-</v>
      </c>
    </row>
    <row r="48278" customHeight="1" spans="2:2">
      <c r="B48278" s="62" t="str">
        <f>IF(AND('领用录入（明细）'!D:D=$F$4,'领用录入（明细）'!C:C&gt;=$J$4,'领用录入（明细）'!C:C&lt;=$L$4),ROW(),"-")</f>
        <v>-</v>
      </c>
    </row>
    <row r="48279" customHeight="1" spans="2:2">
      <c r="B48279" s="62" t="str">
        <f>IF(AND('领用录入（明细）'!D:D=$F$4,'领用录入（明细）'!C:C&gt;=$J$4,'领用录入（明细）'!C:C&lt;=$L$4),ROW(),"-")</f>
        <v>-</v>
      </c>
    </row>
    <row r="48280" customHeight="1" spans="2:2">
      <c r="B48280" s="62" t="str">
        <f>IF(AND('领用录入（明细）'!D:D=$F$4,'领用录入（明细）'!C:C&gt;=$J$4,'领用录入（明细）'!C:C&lt;=$L$4),ROW(),"-")</f>
        <v>-</v>
      </c>
    </row>
    <row r="48281" customHeight="1" spans="2:2">
      <c r="B48281" s="62" t="str">
        <f>IF(AND('领用录入（明细）'!D:D=$F$4,'领用录入（明细）'!C:C&gt;=$J$4,'领用录入（明细）'!C:C&lt;=$L$4),ROW(),"-")</f>
        <v>-</v>
      </c>
    </row>
    <row r="48282" customHeight="1" spans="2:2">
      <c r="B48282" s="62" t="str">
        <f>IF(AND('领用录入（明细）'!D:D=$F$4,'领用录入（明细）'!C:C&gt;=$J$4,'领用录入（明细）'!C:C&lt;=$L$4),ROW(),"-")</f>
        <v>-</v>
      </c>
    </row>
    <row r="48283" customHeight="1" spans="2:2">
      <c r="B48283" s="62" t="str">
        <f>IF(AND('领用录入（明细）'!D:D=$F$4,'领用录入（明细）'!C:C&gt;=$J$4,'领用录入（明细）'!C:C&lt;=$L$4),ROW(),"-")</f>
        <v>-</v>
      </c>
    </row>
    <row r="48284" customHeight="1" spans="2:2">
      <c r="B48284" s="62" t="str">
        <f>IF(AND('领用录入（明细）'!D:D=$F$4,'领用录入（明细）'!C:C&gt;=$J$4,'领用录入（明细）'!C:C&lt;=$L$4),ROW(),"-")</f>
        <v>-</v>
      </c>
    </row>
    <row r="48285" customHeight="1" spans="2:2">
      <c r="B48285" s="62" t="str">
        <f>IF(AND('领用录入（明细）'!D:D=$F$4,'领用录入（明细）'!C:C&gt;=$J$4,'领用录入（明细）'!C:C&lt;=$L$4),ROW(),"-")</f>
        <v>-</v>
      </c>
    </row>
    <row r="48286" customHeight="1" spans="2:2">
      <c r="B48286" s="62" t="str">
        <f>IF(AND('领用录入（明细）'!D:D=$F$4,'领用录入（明细）'!C:C&gt;=$J$4,'领用录入（明细）'!C:C&lt;=$L$4),ROW(),"-")</f>
        <v>-</v>
      </c>
    </row>
    <row r="48287" customHeight="1" spans="2:2">
      <c r="B48287" s="62" t="str">
        <f>IF(AND('领用录入（明细）'!D:D=$F$4,'领用录入（明细）'!C:C&gt;=$J$4,'领用录入（明细）'!C:C&lt;=$L$4),ROW(),"-")</f>
        <v>-</v>
      </c>
    </row>
    <row r="48288" customHeight="1" spans="2:2">
      <c r="B48288" s="62" t="str">
        <f>IF(AND('领用录入（明细）'!D:D=$F$4,'领用录入（明细）'!C:C&gt;=$J$4,'领用录入（明细）'!C:C&lt;=$L$4),ROW(),"-")</f>
        <v>-</v>
      </c>
    </row>
    <row r="48289" customHeight="1" spans="2:2">
      <c r="B48289" s="62" t="str">
        <f>IF(AND('领用录入（明细）'!D:D=$F$4,'领用录入（明细）'!C:C&gt;=$J$4,'领用录入（明细）'!C:C&lt;=$L$4),ROW(),"-")</f>
        <v>-</v>
      </c>
    </row>
    <row r="48290" customHeight="1" spans="2:2">
      <c r="B48290" s="62" t="str">
        <f>IF(AND('领用录入（明细）'!D:D=$F$4,'领用录入（明细）'!C:C&gt;=$J$4,'领用录入（明细）'!C:C&lt;=$L$4),ROW(),"-")</f>
        <v>-</v>
      </c>
    </row>
    <row r="48291" customHeight="1" spans="2:2">
      <c r="B48291" s="62" t="str">
        <f>IF(AND('领用录入（明细）'!D:D=$F$4,'领用录入（明细）'!C:C&gt;=$J$4,'领用录入（明细）'!C:C&lt;=$L$4),ROW(),"-")</f>
        <v>-</v>
      </c>
    </row>
    <row r="48292" customHeight="1" spans="2:2">
      <c r="B48292" s="62" t="str">
        <f>IF(AND('领用录入（明细）'!D:D=$F$4,'领用录入（明细）'!C:C&gt;=$J$4,'领用录入（明细）'!C:C&lt;=$L$4),ROW(),"-")</f>
        <v>-</v>
      </c>
    </row>
    <row r="48293" customHeight="1" spans="2:2">
      <c r="B48293" s="62" t="str">
        <f>IF(AND('领用录入（明细）'!D:D=$F$4,'领用录入（明细）'!C:C&gt;=$J$4,'领用录入（明细）'!C:C&lt;=$L$4),ROW(),"-")</f>
        <v>-</v>
      </c>
    </row>
    <row r="48294" customHeight="1" spans="2:2">
      <c r="B48294" s="62" t="str">
        <f>IF(AND('领用录入（明细）'!D:D=$F$4,'领用录入（明细）'!C:C&gt;=$J$4,'领用录入（明细）'!C:C&lt;=$L$4),ROW(),"-")</f>
        <v>-</v>
      </c>
    </row>
    <row r="48295" customHeight="1" spans="2:2">
      <c r="B48295" s="62" t="str">
        <f>IF(AND('领用录入（明细）'!D:D=$F$4,'领用录入（明细）'!C:C&gt;=$J$4,'领用录入（明细）'!C:C&lt;=$L$4),ROW(),"-")</f>
        <v>-</v>
      </c>
    </row>
    <row r="48296" customHeight="1" spans="2:2">
      <c r="B48296" s="62" t="str">
        <f>IF(AND('领用录入（明细）'!D:D=$F$4,'领用录入（明细）'!C:C&gt;=$J$4,'领用录入（明细）'!C:C&lt;=$L$4),ROW(),"-")</f>
        <v>-</v>
      </c>
    </row>
    <row r="48297" customHeight="1" spans="2:2">
      <c r="B48297" s="62" t="str">
        <f>IF(AND('领用录入（明细）'!D:D=$F$4,'领用录入（明细）'!C:C&gt;=$J$4,'领用录入（明细）'!C:C&lt;=$L$4),ROW(),"-")</f>
        <v>-</v>
      </c>
    </row>
    <row r="48298" customHeight="1" spans="2:2">
      <c r="B48298" s="62" t="str">
        <f>IF(AND('领用录入（明细）'!D:D=$F$4,'领用录入（明细）'!C:C&gt;=$J$4,'领用录入（明细）'!C:C&lt;=$L$4),ROW(),"-")</f>
        <v>-</v>
      </c>
    </row>
    <row r="48299" customHeight="1" spans="2:2">
      <c r="B48299" s="62" t="str">
        <f>IF(AND('领用录入（明细）'!D:D=$F$4,'领用录入（明细）'!C:C&gt;=$J$4,'领用录入（明细）'!C:C&lt;=$L$4),ROW(),"-")</f>
        <v>-</v>
      </c>
    </row>
    <row r="48300" customHeight="1" spans="2:2">
      <c r="B48300" s="62" t="str">
        <f>IF(AND('领用录入（明细）'!D:D=$F$4,'领用录入（明细）'!C:C&gt;=$J$4,'领用录入（明细）'!C:C&lt;=$L$4),ROW(),"-")</f>
        <v>-</v>
      </c>
    </row>
    <row r="48301" customHeight="1" spans="2:2">
      <c r="B48301" s="62" t="str">
        <f>IF(AND('领用录入（明细）'!D:D=$F$4,'领用录入（明细）'!C:C&gt;=$J$4,'领用录入（明细）'!C:C&lt;=$L$4),ROW(),"-")</f>
        <v>-</v>
      </c>
    </row>
    <row r="48302" customHeight="1" spans="2:2">
      <c r="B48302" s="62" t="str">
        <f>IF(AND('领用录入（明细）'!D:D=$F$4,'领用录入（明细）'!C:C&gt;=$J$4,'领用录入（明细）'!C:C&lt;=$L$4),ROW(),"-")</f>
        <v>-</v>
      </c>
    </row>
    <row r="48303" customHeight="1" spans="2:2">
      <c r="B48303" s="62" t="str">
        <f>IF(AND('领用录入（明细）'!D:D=$F$4,'领用录入（明细）'!C:C&gt;=$J$4,'领用录入（明细）'!C:C&lt;=$L$4),ROW(),"-")</f>
        <v>-</v>
      </c>
    </row>
    <row r="48304" customHeight="1" spans="2:2">
      <c r="B48304" s="62" t="str">
        <f>IF(AND('领用录入（明细）'!D:D=$F$4,'领用录入（明细）'!C:C&gt;=$J$4,'领用录入（明细）'!C:C&lt;=$L$4),ROW(),"-")</f>
        <v>-</v>
      </c>
    </row>
    <row r="48305" customHeight="1" spans="2:2">
      <c r="B48305" s="62" t="str">
        <f>IF(AND('领用录入（明细）'!D:D=$F$4,'领用录入（明细）'!C:C&gt;=$J$4,'领用录入（明细）'!C:C&lt;=$L$4),ROW(),"-")</f>
        <v>-</v>
      </c>
    </row>
    <row r="48306" customHeight="1" spans="2:2">
      <c r="B48306" s="62" t="str">
        <f>IF(AND('领用录入（明细）'!D:D=$F$4,'领用录入（明细）'!C:C&gt;=$J$4,'领用录入（明细）'!C:C&lt;=$L$4),ROW(),"-")</f>
        <v>-</v>
      </c>
    </row>
    <row r="48307" customHeight="1" spans="2:2">
      <c r="B48307" s="62" t="str">
        <f>IF(AND('领用录入（明细）'!D:D=$F$4,'领用录入（明细）'!C:C&gt;=$J$4,'领用录入（明细）'!C:C&lt;=$L$4),ROW(),"-")</f>
        <v>-</v>
      </c>
    </row>
    <row r="48308" customHeight="1" spans="2:2">
      <c r="B48308" s="62" t="str">
        <f>IF(AND('领用录入（明细）'!D:D=$F$4,'领用录入（明细）'!C:C&gt;=$J$4,'领用录入（明细）'!C:C&lt;=$L$4),ROW(),"-")</f>
        <v>-</v>
      </c>
    </row>
    <row r="48309" customHeight="1" spans="2:2">
      <c r="B48309" s="62" t="str">
        <f>IF(AND('领用录入（明细）'!D:D=$F$4,'领用录入（明细）'!C:C&gt;=$J$4,'领用录入（明细）'!C:C&lt;=$L$4),ROW(),"-")</f>
        <v>-</v>
      </c>
    </row>
    <row r="48310" customHeight="1" spans="2:2">
      <c r="B48310" s="62" t="str">
        <f>IF(AND('领用录入（明细）'!D:D=$F$4,'领用录入（明细）'!C:C&gt;=$J$4,'领用录入（明细）'!C:C&lt;=$L$4),ROW(),"-")</f>
        <v>-</v>
      </c>
    </row>
    <row r="48311" customHeight="1" spans="2:2">
      <c r="B48311" s="62" t="str">
        <f>IF(AND('领用录入（明细）'!D:D=$F$4,'领用录入（明细）'!C:C&gt;=$J$4,'领用录入（明细）'!C:C&lt;=$L$4),ROW(),"-")</f>
        <v>-</v>
      </c>
    </row>
    <row r="48312" customHeight="1" spans="2:2">
      <c r="B48312" s="62" t="str">
        <f>IF(AND('领用录入（明细）'!D:D=$F$4,'领用录入（明细）'!C:C&gt;=$J$4,'领用录入（明细）'!C:C&lt;=$L$4),ROW(),"-")</f>
        <v>-</v>
      </c>
    </row>
    <row r="48313" customHeight="1" spans="2:2">
      <c r="B48313" s="62" t="str">
        <f>IF(AND('领用录入（明细）'!D:D=$F$4,'领用录入（明细）'!C:C&gt;=$J$4,'领用录入（明细）'!C:C&lt;=$L$4),ROW(),"-")</f>
        <v>-</v>
      </c>
    </row>
    <row r="48314" customHeight="1" spans="2:2">
      <c r="B48314" s="62" t="str">
        <f>IF(AND('领用录入（明细）'!D:D=$F$4,'领用录入（明细）'!C:C&gt;=$J$4,'领用录入（明细）'!C:C&lt;=$L$4),ROW(),"-")</f>
        <v>-</v>
      </c>
    </row>
    <row r="48315" customHeight="1" spans="2:2">
      <c r="B48315" s="62" t="str">
        <f>IF(AND('领用录入（明细）'!D:D=$F$4,'领用录入（明细）'!C:C&gt;=$J$4,'领用录入（明细）'!C:C&lt;=$L$4),ROW(),"-")</f>
        <v>-</v>
      </c>
    </row>
    <row r="48316" customHeight="1" spans="2:2">
      <c r="B48316" s="62" t="str">
        <f>IF(AND('领用录入（明细）'!D:D=$F$4,'领用录入（明细）'!C:C&gt;=$J$4,'领用录入（明细）'!C:C&lt;=$L$4),ROW(),"-")</f>
        <v>-</v>
      </c>
    </row>
    <row r="48317" customHeight="1" spans="2:2">
      <c r="B48317" s="62" t="str">
        <f>IF(AND('领用录入（明细）'!D:D=$F$4,'领用录入（明细）'!C:C&gt;=$J$4,'领用录入（明细）'!C:C&lt;=$L$4),ROW(),"-")</f>
        <v>-</v>
      </c>
    </row>
    <row r="48318" customHeight="1" spans="2:2">
      <c r="B48318" s="62" t="str">
        <f>IF(AND('领用录入（明细）'!D:D=$F$4,'领用录入（明细）'!C:C&gt;=$J$4,'领用录入（明细）'!C:C&lt;=$L$4),ROW(),"-")</f>
        <v>-</v>
      </c>
    </row>
    <row r="48319" customHeight="1" spans="2:2">
      <c r="B48319" s="62" t="str">
        <f>IF(AND('领用录入（明细）'!D:D=$F$4,'领用录入（明细）'!C:C&gt;=$J$4,'领用录入（明细）'!C:C&lt;=$L$4),ROW(),"-")</f>
        <v>-</v>
      </c>
    </row>
    <row r="48320" customHeight="1" spans="2:2">
      <c r="B48320" s="62" t="str">
        <f>IF(AND('领用录入（明细）'!D:D=$F$4,'领用录入（明细）'!C:C&gt;=$J$4,'领用录入（明细）'!C:C&lt;=$L$4),ROW(),"-")</f>
        <v>-</v>
      </c>
    </row>
    <row r="48321" customHeight="1" spans="2:2">
      <c r="B48321" s="62" t="str">
        <f>IF(AND('领用录入（明细）'!D:D=$F$4,'领用录入（明细）'!C:C&gt;=$J$4,'领用录入（明细）'!C:C&lt;=$L$4),ROW(),"-")</f>
        <v>-</v>
      </c>
    </row>
    <row r="48322" customHeight="1" spans="2:2">
      <c r="B48322" s="62" t="str">
        <f>IF(AND('领用录入（明细）'!D:D=$F$4,'领用录入（明细）'!C:C&gt;=$J$4,'领用录入（明细）'!C:C&lt;=$L$4),ROW(),"-")</f>
        <v>-</v>
      </c>
    </row>
    <row r="48323" customHeight="1" spans="2:2">
      <c r="B48323" s="62" t="str">
        <f>IF(AND('领用录入（明细）'!D:D=$F$4,'领用录入（明细）'!C:C&gt;=$J$4,'领用录入（明细）'!C:C&lt;=$L$4),ROW(),"-")</f>
        <v>-</v>
      </c>
    </row>
    <row r="48324" customHeight="1" spans="2:2">
      <c r="B48324" s="62" t="str">
        <f>IF(AND('领用录入（明细）'!D:D=$F$4,'领用录入（明细）'!C:C&gt;=$J$4,'领用录入（明细）'!C:C&lt;=$L$4),ROW(),"-")</f>
        <v>-</v>
      </c>
    </row>
    <row r="48325" customHeight="1" spans="2:2">
      <c r="B48325" s="62" t="str">
        <f>IF(AND('领用录入（明细）'!D:D=$F$4,'领用录入（明细）'!C:C&gt;=$J$4,'领用录入（明细）'!C:C&lt;=$L$4),ROW(),"-")</f>
        <v>-</v>
      </c>
    </row>
    <row r="48326" customHeight="1" spans="2:2">
      <c r="B48326" s="62" t="str">
        <f>IF(AND('领用录入（明细）'!D:D=$F$4,'领用录入（明细）'!C:C&gt;=$J$4,'领用录入（明细）'!C:C&lt;=$L$4),ROW(),"-")</f>
        <v>-</v>
      </c>
    </row>
    <row r="48327" customHeight="1" spans="2:2">
      <c r="B48327" s="62" t="str">
        <f>IF(AND('领用录入（明细）'!D:D=$F$4,'领用录入（明细）'!C:C&gt;=$J$4,'领用录入（明细）'!C:C&lt;=$L$4),ROW(),"-")</f>
        <v>-</v>
      </c>
    </row>
    <row r="48328" customHeight="1" spans="2:2">
      <c r="B48328" s="62" t="str">
        <f>IF(AND('领用录入（明细）'!D:D=$F$4,'领用录入（明细）'!C:C&gt;=$J$4,'领用录入（明细）'!C:C&lt;=$L$4),ROW(),"-")</f>
        <v>-</v>
      </c>
    </row>
    <row r="48329" customHeight="1" spans="2:2">
      <c r="B48329" s="62" t="str">
        <f>IF(AND('领用录入（明细）'!D:D=$F$4,'领用录入（明细）'!C:C&gt;=$J$4,'领用录入（明细）'!C:C&lt;=$L$4),ROW(),"-")</f>
        <v>-</v>
      </c>
    </row>
    <row r="48330" customHeight="1" spans="2:2">
      <c r="B48330" s="62" t="str">
        <f>IF(AND('领用录入（明细）'!D:D=$F$4,'领用录入（明细）'!C:C&gt;=$J$4,'领用录入（明细）'!C:C&lt;=$L$4),ROW(),"-")</f>
        <v>-</v>
      </c>
    </row>
    <row r="48331" customHeight="1" spans="2:2">
      <c r="B48331" s="62" t="str">
        <f>IF(AND('领用录入（明细）'!D:D=$F$4,'领用录入（明细）'!C:C&gt;=$J$4,'领用录入（明细）'!C:C&lt;=$L$4),ROW(),"-")</f>
        <v>-</v>
      </c>
    </row>
    <row r="48332" customHeight="1" spans="2:2">
      <c r="B48332" s="62" t="str">
        <f>IF(AND('领用录入（明细）'!D:D=$F$4,'领用录入（明细）'!C:C&gt;=$J$4,'领用录入（明细）'!C:C&lt;=$L$4),ROW(),"-")</f>
        <v>-</v>
      </c>
    </row>
    <row r="48333" customHeight="1" spans="2:2">
      <c r="B48333" s="62" t="str">
        <f>IF(AND('领用录入（明细）'!D:D=$F$4,'领用录入（明细）'!C:C&gt;=$J$4,'领用录入（明细）'!C:C&lt;=$L$4),ROW(),"-")</f>
        <v>-</v>
      </c>
    </row>
    <row r="48334" customHeight="1" spans="2:2">
      <c r="B48334" s="62" t="str">
        <f>IF(AND('领用录入（明细）'!D:D=$F$4,'领用录入（明细）'!C:C&gt;=$J$4,'领用录入（明细）'!C:C&lt;=$L$4),ROW(),"-")</f>
        <v>-</v>
      </c>
    </row>
    <row r="48335" customHeight="1" spans="2:2">
      <c r="B48335" s="62" t="str">
        <f>IF(AND('领用录入（明细）'!D:D=$F$4,'领用录入（明细）'!C:C&gt;=$J$4,'领用录入（明细）'!C:C&lt;=$L$4),ROW(),"-")</f>
        <v>-</v>
      </c>
    </row>
    <row r="48336" customHeight="1" spans="2:2">
      <c r="B48336" s="62" t="str">
        <f>IF(AND('领用录入（明细）'!D:D=$F$4,'领用录入（明细）'!C:C&gt;=$J$4,'领用录入（明细）'!C:C&lt;=$L$4),ROW(),"-")</f>
        <v>-</v>
      </c>
    </row>
    <row r="48337" customHeight="1" spans="2:2">
      <c r="B48337" s="62" t="str">
        <f>IF(AND('领用录入（明细）'!D:D=$F$4,'领用录入（明细）'!C:C&gt;=$J$4,'领用录入（明细）'!C:C&lt;=$L$4),ROW(),"-")</f>
        <v>-</v>
      </c>
    </row>
    <row r="48338" customHeight="1" spans="2:2">
      <c r="B48338" s="62" t="str">
        <f>IF(AND('领用录入（明细）'!D:D=$F$4,'领用录入（明细）'!C:C&gt;=$J$4,'领用录入（明细）'!C:C&lt;=$L$4),ROW(),"-")</f>
        <v>-</v>
      </c>
    </row>
    <row r="48339" customHeight="1" spans="2:2">
      <c r="B48339" s="62" t="str">
        <f>IF(AND('领用录入（明细）'!D:D=$F$4,'领用录入（明细）'!C:C&gt;=$J$4,'领用录入（明细）'!C:C&lt;=$L$4),ROW(),"-")</f>
        <v>-</v>
      </c>
    </row>
    <row r="48340" customHeight="1" spans="2:2">
      <c r="B48340" s="62" t="str">
        <f>IF(AND('领用录入（明细）'!D:D=$F$4,'领用录入（明细）'!C:C&gt;=$J$4,'领用录入（明细）'!C:C&lt;=$L$4),ROW(),"-")</f>
        <v>-</v>
      </c>
    </row>
    <row r="48341" customHeight="1" spans="2:2">
      <c r="B48341" s="62" t="str">
        <f>IF(AND('领用录入（明细）'!D:D=$F$4,'领用录入（明细）'!C:C&gt;=$J$4,'领用录入（明细）'!C:C&lt;=$L$4),ROW(),"-")</f>
        <v>-</v>
      </c>
    </row>
    <row r="48342" customHeight="1" spans="2:2">
      <c r="B48342" s="62" t="str">
        <f>IF(AND('领用录入（明细）'!D:D=$F$4,'领用录入（明细）'!C:C&gt;=$J$4,'领用录入（明细）'!C:C&lt;=$L$4),ROW(),"-")</f>
        <v>-</v>
      </c>
    </row>
    <row r="48343" customHeight="1" spans="2:2">
      <c r="B48343" s="62" t="str">
        <f>IF(AND('领用录入（明细）'!D:D=$F$4,'领用录入（明细）'!C:C&gt;=$J$4,'领用录入（明细）'!C:C&lt;=$L$4),ROW(),"-")</f>
        <v>-</v>
      </c>
    </row>
    <row r="48344" customHeight="1" spans="2:2">
      <c r="B48344" s="62" t="str">
        <f>IF(AND('领用录入（明细）'!D:D=$F$4,'领用录入（明细）'!C:C&gt;=$J$4,'领用录入（明细）'!C:C&lt;=$L$4),ROW(),"-")</f>
        <v>-</v>
      </c>
    </row>
    <row r="48345" customHeight="1" spans="2:2">
      <c r="B48345" s="62" t="str">
        <f>IF(AND('领用录入（明细）'!D:D=$F$4,'领用录入（明细）'!C:C&gt;=$J$4,'领用录入（明细）'!C:C&lt;=$L$4),ROW(),"-")</f>
        <v>-</v>
      </c>
    </row>
    <row r="48346" customHeight="1" spans="2:2">
      <c r="B48346" s="62" t="str">
        <f>IF(AND('领用录入（明细）'!D:D=$F$4,'领用录入（明细）'!C:C&gt;=$J$4,'领用录入（明细）'!C:C&lt;=$L$4),ROW(),"-")</f>
        <v>-</v>
      </c>
    </row>
    <row r="48347" customHeight="1" spans="2:2">
      <c r="B48347" s="62" t="str">
        <f>IF(AND('领用录入（明细）'!D:D=$F$4,'领用录入（明细）'!C:C&gt;=$J$4,'领用录入（明细）'!C:C&lt;=$L$4),ROW(),"-")</f>
        <v>-</v>
      </c>
    </row>
    <row r="48348" customHeight="1" spans="2:2">
      <c r="B48348" s="62" t="str">
        <f>IF(AND('领用录入（明细）'!D:D=$F$4,'领用录入（明细）'!C:C&gt;=$J$4,'领用录入（明细）'!C:C&lt;=$L$4),ROW(),"-")</f>
        <v>-</v>
      </c>
    </row>
    <row r="48349" customHeight="1" spans="2:2">
      <c r="B48349" s="62" t="str">
        <f>IF(AND('领用录入（明细）'!D:D=$F$4,'领用录入（明细）'!C:C&gt;=$J$4,'领用录入（明细）'!C:C&lt;=$L$4),ROW(),"-")</f>
        <v>-</v>
      </c>
    </row>
    <row r="48350" customHeight="1" spans="2:2">
      <c r="B48350" s="62" t="str">
        <f>IF(AND('领用录入（明细）'!D:D=$F$4,'领用录入（明细）'!C:C&gt;=$J$4,'领用录入（明细）'!C:C&lt;=$L$4),ROW(),"-")</f>
        <v>-</v>
      </c>
    </row>
    <row r="48351" customHeight="1" spans="2:2">
      <c r="B48351" s="62" t="str">
        <f>IF(AND('领用录入（明细）'!D:D=$F$4,'领用录入（明细）'!C:C&gt;=$J$4,'领用录入（明细）'!C:C&lt;=$L$4),ROW(),"-")</f>
        <v>-</v>
      </c>
    </row>
    <row r="48352" customHeight="1" spans="2:2">
      <c r="B48352" s="62" t="str">
        <f>IF(AND('领用录入（明细）'!D:D=$F$4,'领用录入（明细）'!C:C&gt;=$J$4,'领用录入（明细）'!C:C&lt;=$L$4),ROW(),"-")</f>
        <v>-</v>
      </c>
    </row>
    <row r="48353" customHeight="1" spans="2:2">
      <c r="B48353" s="62" t="str">
        <f>IF(AND('领用录入（明细）'!D:D=$F$4,'领用录入（明细）'!C:C&gt;=$J$4,'领用录入（明细）'!C:C&lt;=$L$4),ROW(),"-")</f>
        <v>-</v>
      </c>
    </row>
    <row r="48354" customHeight="1" spans="2:2">
      <c r="B48354" s="62" t="str">
        <f>IF(AND('领用录入（明细）'!D:D=$F$4,'领用录入（明细）'!C:C&gt;=$J$4,'领用录入（明细）'!C:C&lt;=$L$4),ROW(),"-")</f>
        <v>-</v>
      </c>
    </row>
    <row r="48355" customHeight="1" spans="2:2">
      <c r="B48355" s="62" t="str">
        <f>IF(AND('领用录入（明细）'!D:D=$F$4,'领用录入（明细）'!C:C&gt;=$J$4,'领用录入（明细）'!C:C&lt;=$L$4),ROW(),"-")</f>
        <v>-</v>
      </c>
    </row>
    <row r="48356" customHeight="1" spans="2:2">
      <c r="B48356" s="62" t="str">
        <f>IF(AND('领用录入（明细）'!D:D=$F$4,'领用录入（明细）'!C:C&gt;=$J$4,'领用录入（明细）'!C:C&lt;=$L$4),ROW(),"-")</f>
        <v>-</v>
      </c>
    </row>
    <row r="48357" customHeight="1" spans="2:2">
      <c r="B48357" s="62" t="str">
        <f>IF(AND('领用录入（明细）'!D:D=$F$4,'领用录入（明细）'!C:C&gt;=$J$4,'领用录入（明细）'!C:C&lt;=$L$4),ROW(),"-")</f>
        <v>-</v>
      </c>
    </row>
    <row r="48358" customHeight="1" spans="2:2">
      <c r="B48358" s="62" t="str">
        <f>IF(AND('领用录入（明细）'!D:D=$F$4,'领用录入（明细）'!C:C&gt;=$J$4,'领用录入（明细）'!C:C&lt;=$L$4),ROW(),"-")</f>
        <v>-</v>
      </c>
    </row>
    <row r="48359" customHeight="1" spans="2:2">
      <c r="B48359" s="62" t="str">
        <f>IF(AND('领用录入（明细）'!D:D=$F$4,'领用录入（明细）'!C:C&gt;=$J$4,'领用录入（明细）'!C:C&lt;=$L$4),ROW(),"-")</f>
        <v>-</v>
      </c>
    </row>
    <row r="48360" customHeight="1" spans="2:2">
      <c r="B48360" s="62" t="str">
        <f>IF(AND('领用录入（明细）'!D:D=$F$4,'领用录入（明细）'!C:C&gt;=$J$4,'领用录入（明细）'!C:C&lt;=$L$4),ROW(),"-")</f>
        <v>-</v>
      </c>
    </row>
    <row r="48361" customHeight="1" spans="2:2">
      <c r="B48361" s="62" t="str">
        <f>IF(AND('领用录入（明细）'!D:D=$F$4,'领用录入（明细）'!C:C&gt;=$J$4,'领用录入（明细）'!C:C&lt;=$L$4),ROW(),"-")</f>
        <v>-</v>
      </c>
    </row>
    <row r="48362" customHeight="1" spans="2:2">
      <c r="B48362" s="62" t="str">
        <f>IF(AND('领用录入（明细）'!D:D=$F$4,'领用录入（明细）'!C:C&gt;=$J$4,'领用录入（明细）'!C:C&lt;=$L$4),ROW(),"-")</f>
        <v>-</v>
      </c>
    </row>
    <row r="48363" customHeight="1" spans="2:2">
      <c r="B48363" s="62" t="str">
        <f>IF(AND('领用录入（明细）'!D:D=$F$4,'领用录入（明细）'!C:C&gt;=$J$4,'领用录入（明细）'!C:C&lt;=$L$4),ROW(),"-")</f>
        <v>-</v>
      </c>
    </row>
    <row r="48364" customHeight="1" spans="2:2">
      <c r="B48364" s="62" t="str">
        <f>IF(AND('领用录入（明细）'!D:D=$F$4,'领用录入（明细）'!C:C&gt;=$J$4,'领用录入（明细）'!C:C&lt;=$L$4),ROW(),"-")</f>
        <v>-</v>
      </c>
    </row>
    <row r="48365" customHeight="1" spans="2:2">
      <c r="B48365" s="62" t="str">
        <f>IF(AND('领用录入（明细）'!D:D=$F$4,'领用录入（明细）'!C:C&gt;=$J$4,'领用录入（明细）'!C:C&lt;=$L$4),ROW(),"-")</f>
        <v>-</v>
      </c>
    </row>
    <row r="48366" customHeight="1" spans="2:2">
      <c r="B48366" s="62" t="str">
        <f>IF(AND('领用录入（明细）'!D:D=$F$4,'领用录入（明细）'!C:C&gt;=$J$4,'领用录入（明细）'!C:C&lt;=$L$4),ROW(),"-")</f>
        <v>-</v>
      </c>
    </row>
    <row r="48367" customHeight="1" spans="2:2">
      <c r="B48367" s="62" t="str">
        <f>IF(AND('领用录入（明细）'!D:D=$F$4,'领用录入（明细）'!C:C&gt;=$J$4,'领用录入（明细）'!C:C&lt;=$L$4),ROW(),"-")</f>
        <v>-</v>
      </c>
    </row>
    <row r="48368" customHeight="1" spans="2:2">
      <c r="B48368" s="62" t="str">
        <f>IF(AND('领用录入（明细）'!D:D=$F$4,'领用录入（明细）'!C:C&gt;=$J$4,'领用录入（明细）'!C:C&lt;=$L$4),ROW(),"-")</f>
        <v>-</v>
      </c>
    </row>
    <row r="48369" customHeight="1" spans="2:2">
      <c r="B48369" s="62" t="str">
        <f>IF(AND('领用录入（明细）'!D:D=$F$4,'领用录入（明细）'!C:C&gt;=$J$4,'领用录入（明细）'!C:C&lt;=$L$4),ROW(),"-")</f>
        <v>-</v>
      </c>
    </row>
    <row r="48370" customHeight="1" spans="2:2">
      <c r="B48370" s="62" t="str">
        <f>IF(AND('领用录入（明细）'!D:D=$F$4,'领用录入（明细）'!C:C&gt;=$J$4,'领用录入（明细）'!C:C&lt;=$L$4),ROW(),"-")</f>
        <v>-</v>
      </c>
    </row>
    <row r="48371" customHeight="1" spans="2:2">
      <c r="B48371" s="62" t="str">
        <f>IF(AND('领用录入（明细）'!D:D=$F$4,'领用录入（明细）'!C:C&gt;=$J$4,'领用录入（明细）'!C:C&lt;=$L$4),ROW(),"-")</f>
        <v>-</v>
      </c>
    </row>
    <row r="48372" customHeight="1" spans="2:2">
      <c r="B48372" s="62" t="str">
        <f>IF(AND('领用录入（明细）'!D:D=$F$4,'领用录入（明细）'!C:C&gt;=$J$4,'领用录入（明细）'!C:C&lt;=$L$4),ROW(),"-")</f>
        <v>-</v>
      </c>
    </row>
    <row r="48373" customHeight="1" spans="2:2">
      <c r="B48373" s="62" t="str">
        <f>IF(AND('领用录入（明细）'!D:D=$F$4,'领用录入（明细）'!C:C&gt;=$J$4,'领用录入（明细）'!C:C&lt;=$L$4),ROW(),"-")</f>
        <v>-</v>
      </c>
    </row>
    <row r="48374" customHeight="1" spans="2:2">
      <c r="B48374" s="62" t="str">
        <f>IF(AND('领用录入（明细）'!D:D=$F$4,'领用录入（明细）'!C:C&gt;=$J$4,'领用录入（明细）'!C:C&lt;=$L$4),ROW(),"-")</f>
        <v>-</v>
      </c>
    </row>
    <row r="48375" customHeight="1" spans="2:2">
      <c r="B48375" s="62" t="str">
        <f>IF(AND('领用录入（明细）'!D:D=$F$4,'领用录入（明细）'!C:C&gt;=$J$4,'领用录入（明细）'!C:C&lt;=$L$4),ROW(),"-")</f>
        <v>-</v>
      </c>
    </row>
    <row r="48376" customHeight="1" spans="2:2">
      <c r="B48376" s="62" t="str">
        <f>IF(AND('领用录入（明细）'!D:D=$F$4,'领用录入（明细）'!C:C&gt;=$J$4,'领用录入（明细）'!C:C&lt;=$L$4),ROW(),"-")</f>
        <v>-</v>
      </c>
    </row>
    <row r="48377" customHeight="1" spans="2:2">
      <c r="B48377" s="62" t="str">
        <f>IF(AND('领用录入（明细）'!D:D=$F$4,'领用录入（明细）'!C:C&gt;=$J$4,'领用录入（明细）'!C:C&lt;=$L$4),ROW(),"-")</f>
        <v>-</v>
      </c>
    </row>
    <row r="48378" customHeight="1" spans="2:2">
      <c r="B48378" s="62" t="str">
        <f>IF(AND('领用录入（明细）'!D:D=$F$4,'领用录入（明细）'!C:C&gt;=$J$4,'领用录入（明细）'!C:C&lt;=$L$4),ROW(),"-")</f>
        <v>-</v>
      </c>
    </row>
    <row r="48379" customHeight="1" spans="2:2">
      <c r="B48379" s="62" t="str">
        <f>IF(AND('领用录入（明细）'!D:D=$F$4,'领用录入（明细）'!C:C&gt;=$J$4,'领用录入（明细）'!C:C&lt;=$L$4),ROW(),"-")</f>
        <v>-</v>
      </c>
    </row>
    <row r="48380" customHeight="1" spans="2:2">
      <c r="B48380" s="62" t="str">
        <f>IF(AND('领用录入（明细）'!D:D=$F$4,'领用录入（明细）'!C:C&gt;=$J$4,'领用录入（明细）'!C:C&lt;=$L$4),ROW(),"-")</f>
        <v>-</v>
      </c>
    </row>
    <row r="48381" customHeight="1" spans="2:2">
      <c r="B48381" s="62" t="str">
        <f>IF(AND('领用录入（明细）'!D:D=$F$4,'领用录入（明细）'!C:C&gt;=$J$4,'领用录入（明细）'!C:C&lt;=$L$4),ROW(),"-")</f>
        <v>-</v>
      </c>
    </row>
    <row r="48382" customHeight="1" spans="2:2">
      <c r="B48382" s="62" t="str">
        <f>IF(AND('领用录入（明细）'!D:D=$F$4,'领用录入（明细）'!C:C&gt;=$J$4,'领用录入（明细）'!C:C&lt;=$L$4),ROW(),"-")</f>
        <v>-</v>
      </c>
    </row>
    <row r="48383" customHeight="1" spans="2:2">
      <c r="B48383" s="62" t="str">
        <f>IF(AND('领用录入（明细）'!D:D=$F$4,'领用录入（明细）'!C:C&gt;=$J$4,'领用录入（明细）'!C:C&lt;=$L$4),ROW(),"-")</f>
        <v>-</v>
      </c>
    </row>
    <row r="48384" customHeight="1" spans="2:2">
      <c r="B48384" s="62" t="str">
        <f>IF(AND('领用录入（明细）'!D:D=$F$4,'领用录入（明细）'!C:C&gt;=$J$4,'领用录入（明细）'!C:C&lt;=$L$4),ROW(),"-")</f>
        <v>-</v>
      </c>
    </row>
    <row r="48385" customHeight="1" spans="2:2">
      <c r="B48385" s="62" t="str">
        <f>IF(AND('领用录入（明细）'!D:D=$F$4,'领用录入（明细）'!C:C&gt;=$J$4,'领用录入（明细）'!C:C&lt;=$L$4),ROW(),"-")</f>
        <v>-</v>
      </c>
    </row>
    <row r="48386" customHeight="1" spans="2:2">
      <c r="B48386" s="62" t="str">
        <f>IF(AND('领用录入（明细）'!D:D=$F$4,'领用录入（明细）'!C:C&gt;=$J$4,'领用录入（明细）'!C:C&lt;=$L$4),ROW(),"-")</f>
        <v>-</v>
      </c>
    </row>
    <row r="48387" customHeight="1" spans="2:2">
      <c r="B48387" s="62" t="str">
        <f>IF(AND('领用录入（明细）'!D:D=$F$4,'领用录入（明细）'!C:C&gt;=$J$4,'领用录入（明细）'!C:C&lt;=$L$4),ROW(),"-")</f>
        <v>-</v>
      </c>
    </row>
    <row r="48388" customHeight="1" spans="2:2">
      <c r="B48388" s="62" t="str">
        <f>IF(AND('领用录入（明细）'!D:D=$F$4,'领用录入（明细）'!C:C&gt;=$J$4,'领用录入（明细）'!C:C&lt;=$L$4),ROW(),"-")</f>
        <v>-</v>
      </c>
    </row>
    <row r="48389" customHeight="1" spans="2:2">
      <c r="B48389" s="62" t="str">
        <f>IF(AND('领用录入（明细）'!D:D=$F$4,'领用录入（明细）'!C:C&gt;=$J$4,'领用录入（明细）'!C:C&lt;=$L$4),ROW(),"-")</f>
        <v>-</v>
      </c>
    </row>
    <row r="48390" customHeight="1" spans="2:2">
      <c r="B48390" s="62" t="str">
        <f>IF(AND('领用录入（明细）'!D:D=$F$4,'领用录入（明细）'!C:C&gt;=$J$4,'领用录入（明细）'!C:C&lt;=$L$4),ROW(),"-")</f>
        <v>-</v>
      </c>
    </row>
    <row r="48391" customHeight="1" spans="2:2">
      <c r="B48391" s="62" t="str">
        <f>IF(AND('领用录入（明细）'!D:D=$F$4,'领用录入（明细）'!C:C&gt;=$J$4,'领用录入（明细）'!C:C&lt;=$L$4),ROW(),"-")</f>
        <v>-</v>
      </c>
    </row>
    <row r="48392" customHeight="1" spans="2:2">
      <c r="B48392" s="62" t="str">
        <f>IF(AND('领用录入（明细）'!D:D=$F$4,'领用录入（明细）'!C:C&gt;=$J$4,'领用录入（明细）'!C:C&lt;=$L$4),ROW(),"-")</f>
        <v>-</v>
      </c>
    </row>
    <row r="48393" customHeight="1" spans="2:2">
      <c r="B48393" s="62" t="str">
        <f>IF(AND('领用录入（明细）'!D:D=$F$4,'领用录入（明细）'!C:C&gt;=$J$4,'领用录入（明细）'!C:C&lt;=$L$4),ROW(),"-")</f>
        <v>-</v>
      </c>
    </row>
    <row r="48394" customHeight="1" spans="2:2">
      <c r="B48394" s="62" t="str">
        <f>IF(AND('领用录入（明细）'!D:D=$F$4,'领用录入（明细）'!C:C&gt;=$J$4,'领用录入（明细）'!C:C&lt;=$L$4),ROW(),"-")</f>
        <v>-</v>
      </c>
    </row>
    <row r="48395" customHeight="1" spans="2:2">
      <c r="B48395" s="62" t="str">
        <f>IF(AND('领用录入（明细）'!D:D=$F$4,'领用录入（明细）'!C:C&gt;=$J$4,'领用录入（明细）'!C:C&lt;=$L$4),ROW(),"-")</f>
        <v>-</v>
      </c>
    </row>
    <row r="48396" customHeight="1" spans="2:2">
      <c r="B48396" s="62" t="str">
        <f>IF(AND('领用录入（明细）'!D:D=$F$4,'领用录入（明细）'!C:C&gt;=$J$4,'领用录入（明细）'!C:C&lt;=$L$4),ROW(),"-")</f>
        <v>-</v>
      </c>
    </row>
    <row r="48397" customHeight="1" spans="2:2">
      <c r="B48397" s="62" t="str">
        <f>IF(AND('领用录入（明细）'!D:D=$F$4,'领用录入（明细）'!C:C&gt;=$J$4,'领用录入（明细）'!C:C&lt;=$L$4),ROW(),"-")</f>
        <v>-</v>
      </c>
    </row>
    <row r="48398" customHeight="1" spans="2:2">
      <c r="B48398" s="62" t="str">
        <f>IF(AND('领用录入（明细）'!D:D=$F$4,'领用录入（明细）'!C:C&gt;=$J$4,'领用录入（明细）'!C:C&lt;=$L$4),ROW(),"-")</f>
        <v>-</v>
      </c>
    </row>
    <row r="48399" customHeight="1" spans="2:2">
      <c r="B48399" s="62" t="str">
        <f>IF(AND('领用录入（明细）'!D:D=$F$4,'领用录入（明细）'!C:C&gt;=$J$4,'领用录入（明细）'!C:C&lt;=$L$4),ROW(),"-")</f>
        <v>-</v>
      </c>
    </row>
    <row r="48400" customHeight="1" spans="2:2">
      <c r="B48400" s="62" t="str">
        <f>IF(AND('领用录入（明细）'!D:D=$F$4,'领用录入（明细）'!C:C&gt;=$J$4,'领用录入（明细）'!C:C&lt;=$L$4),ROW(),"-")</f>
        <v>-</v>
      </c>
    </row>
    <row r="48401" customHeight="1" spans="2:2">
      <c r="B48401" s="62" t="str">
        <f>IF(AND('领用录入（明细）'!D:D=$F$4,'领用录入（明细）'!C:C&gt;=$J$4,'领用录入（明细）'!C:C&lt;=$L$4),ROW(),"-")</f>
        <v>-</v>
      </c>
    </row>
    <row r="48402" customHeight="1" spans="2:2">
      <c r="B48402" s="62" t="str">
        <f>IF(AND('领用录入（明细）'!D:D=$F$4,'领用录入（明细）'!C:C&gt;=$J$4,'领用录入（明细）'!C:C&lt;=$L$4),ROW(),"-")</f>
        <v>-</v>
      </c>
    </row>
    <row r="48403" customHeight="1" spans="2:2">
      <c r="B48403" s="62" t="str">
        <f>IF(AND('领用录入（明细）'!D:D=$F$4,'领用录入（明细）'!C:C&gt;=$J$4,'领用录入（明细）'!C:C&lt;=$L$4),ROW(),"-")</f>
        <v>-</v>
      </c>
    </row>
    <row r="48404" customHeight="1" spans="2:2">
      <c r="B48404" s="62" t="str">
        <f>IF(AND('领用录入（明细）'!D:D=$F$4,'领用录入（明细）'!C:C&gt;=$J$4,'领用录入（明细）'!C:C&lt;=$L$4),ROW(),"-")</f>
        <v>-</v>
      </c>
    </row>
    <row r="48405" customHeight="1" spans="2:2">
      <c r="B48405" s="62" t="str">
        <f>IF(AND('领用录入（明细）'!D:D=$F$4,'领用录入（明细）'!C:C&gt;=$J$4,'领用录入（明细）'!C:C&lt;=$L$4),ROW(),"-")</f>
        <v>-</v>
      </c>
    </row>
    <row r="48406" customHeight="1" spans="2:2">
      <c r="B48406" s="62" t="str">
        <f>IF(AND('领用录入（明细）'!D:D=$F$4,'领用录入（明细）'!C:C&gt;=$J$4,'领用录入（明细）'!C:C&lt;=$L$4),ROW(),"-")</f>
        <v>-</v>
      </c>
    </row>
    <row r="48407" customHeight="1" spans="2:2">
      <c r="B48407" s="62" t="str">
        <f>IF(AND('领用录入（明细）'!D:D=$F$4,'领用录入（明细）'!C:C&gt;=$J$4,'领用录入（明细）'!C:C&lt;=$L$4),ROW(),"-")</f>
        <v>-</v>
      </c>
    </row>
    <row r="48408" customHeight="1" spans="2:2">
      <c r="B48408" s="62" t="str">
        <f>IF(AND('领用录入（明细）'!D:D=$F$4,'领用录入（明细）'!C:C&gt;=$J$4,'领用录入（明细）'!C:C&lt;=$L$4),ROW(),"-")</f>
        <v>-</v>
      </c>
    </row>
    <row r="48409" customHeight="1" spans="2:2">
      <c r="B48409" s="62" t="str">
        <f>IF(AND('领用录入（明细）'!D:D=$F$4,'领用录入（明细）'!C:C&gt;=$J$4,'领用录入（明细）'!C:C&lt;=$L$4),ROW(),"-")</f>
        <v>-</v>
      </c>
    </row>
    <row r="48410" customHeight="1" spans="2:2">
      <c r="B48410" s="62" t="str">
        <f>IF(AND('领用录入（明细）'!D:D=$F$4,'领用录入（明细）'!C:C&gt;=$J$4,'领用录入（明细）'!C:C&lt;=$L$4),ROW(),"-")</f>
        <v>-</v>
      </c>
    </row>
    <row r="48411" customHeight="1" spans="2:2">
      <c r="B48411" s="62" t="str">
        <f>IF(AND('领用录入（明细）'!D:D=$F$4,'领用录入（明细）'!C:C&gt;=$J$4,'领用录入（明细）'!C:C&lt;=$L$4),ROW(),"-")</f>
        <v>-</v>
      </c>
    </row>
    <row r="48412" customHeight="1" spans="2:2">
      <c r="B48412" s="62" t="str">
        <f>IF(AND('领用录入（明细）'!D:D=$F$4,'领用录入（明细）'!C:C&gt;=$J$4,'领用录入（明细）'!C:C&lt;=$L$4),ROW(),"-")</f>
        <v>-</v>
      </c>
    </row>
    <row r="48413" customHeight="1" spans="2:2">
      <c r="B48413" s="62" t="str">
        <f>IF(AND('领用录入（明细）'!D:D=$F$4,'领用录入（明细）'!C:C&gt;=$J$4,'领用录入（明细）'!C:C&lt;=$L$4),ROW(),"-")</f>
        <v>-</v>
      </c>
    </row>
    <row r="48414" customHeight="1" spans="2:2">
      <c r="B48414" s="62" t="str">
        <f>IF(AND('领用录入（明细）'!D:D=$F$4,'领用录入（明细）'!C:C&gt;=$J$4,'领用录入（明细）'!C:C&lt;=$L$4),ROW(),"-")</f>
        <v>-</v>
      </c>
    </row>
    <row r="48415" customHeight="1" spans="2:2">
      <c r="B48415" s="62" t="str">
        <f>IF(AND('领用录入（明细）'!D:D=$F$4,'领用录入（明细）'!C:C&gt;=$J$4,'领用录入（明细）'!C:C&lt;=$L$4),ROW(),"-")</f>
        <v>-</v>
      </c>
    </row>
    <row r="48416" customHeight="1" spans="2:2">
      <c r="B48416" s="62" t="str">
        <f>IF(AND('领用录入（明细）'!D:D=$F$4,'领用录入（明细）'!C:C&gt;=$J$4,'领用录入（明细）'!C:C&lt;=$L$4),ROW(),"-")</f>
        <v>-</v>
      </c>
    </row>
    <row r="48417" customHeight="1" spans="2:2">
      <c r="B48417" s="62" t="str">
        <f>IF(AND('领用录入（明细）'!D:D=$F$4,'领用录入（明细）'!C:C&gt;=$J$4,'领用录入（明细）'!C:C&lt;=$L$4),ROW(),"-")</f>
        <v>-</v>
      </c>
    </row>
    <row r="48418" customHeight="1" spans="2:2">
      <c r="B48418" s="62" t="str">
        <f>IF(AND('领用录入（明细）'!D:D=$F$4,'领用录入（明细）'!C:C&gt;=$J$4,'领用录入（明细）'!C:C&lt;=$L$4),ROW(),"-")</f>
        <v>-</v>
      </c>
    </row>
    <row r="48419" customHeight="1" spans="2:2">
      <c r="B48419" s="62" t="str">
        <f>IF(AND('领用录入（明细）'!D:D=$F$4,'领用录入（明细）'!C:C&gt;=$J$4,'领用录入（明细）'!C:C&lt;=$L$4),ROW(),"-")</f>
        <v>-</v>
      </c>
    </row>
    <row r="48420" customHeight="1" spans="2:2">
      <c r="B48420" s="62" t="str">
        <f>IF(AND('领用录入（明细）'!D:D=$F$4,'领用录入（明细）'!C:C&gt;=$J$4,'领用录入（明细）'!C:C&lt;=$L$4),ROW(),"-")</f>
        <v>-</v>
      </c>
    </row>
    <row r="48421" customHeight="1" spans="2:2">
      <c r="B48421" s="62" t="str">
        <f>IF(AND('领用录入（明细）'!D:D=$F$4,'领用录入（明细）'!C:C&gt;=$J$4,'领用录入（明细）'!C:C&lt;=$L$4),ROW(),"-")</f>
        <v>-</v>
      </c>
    </row>
    <row r="48422" customHeight="1" spans="2:2">
      <c r="B48422" s="62" t="str">
        <f>IF(AND('领用录入（明细）'!D:D=$F$4,'领用录入（明细）'!C:C&gt;=$J$4,'领用录入（明细）'!C:C&lt;=$L$4),ROW(),"-")</f>
        <v>-</v>
      </c>
    </row>
    <row r="48423" customHeight="1" spans="2:2">
      <c r="B48423" s="62" t="str">
        <f>IF(AND('领用录入（明细）'!D:D=$F$4,'领用录入（明细）'!C:C&gt;=$J$4,'领用录入（明细）'!C:C&lt;=$L$4),ROW(),"-")</f>
        <v>-</v>
      </c>
    </row>
    <row r="48424" customHeight="1" spans="2:2">
      <c r="B48424" s="62" t="str">
        <f>IF(AND('领用录入（明细）'!D:D=$F$4,'领用录入（明细）'!C:C&gt;=$J$4,'领用录入（明细）'!C:C&lt;=$L$4),ROW(),"-")</f>
        <v>-</v>
      </c>
    </row>
    <row r="48425" customHeight="1" spans="2:2">
      <c r="B48425" s="62" t="str">
        <f>IF(AND('领用录入（明细）'!D:D=$F$4,'领用录入（明细）'!C:C&gt;=$J$4,'领用录入（明细）'!C:C&lt;=$L$4),ROW(),"-")</f>
        <v>-</v>
      </c>
    </row>
    <row r="48426" customHeight="1" spans="2:2">
      <c r="B48426" s="62" t="str">
        <f>IF(AND('领用录入（明细）'!D:D=$F$4,'领用录入（明细）'!C:C&gt;=$J$4,'领用录入（明细）'!C:C&lt;=$L$4),ROW(),"-")</f>
        <v>-</v>
      </c>
    </row>
    <row r="48427" customHeight="1" spans="2:2">
      <c r="B48427" s="62" t="str">
        <f>IF(AND('领用录入（明细）'!D:D=$F$4,'领用录入（明细）'!C:C&gt;=$J$4,'领用录入（明细）'!C:C&lt;=$L$4),ROW(),"-")</f>
        <v>-</v>
      </c>
    </row>
    <row r="48428" customHeight="1" spans="2:2">
      <c r="B48428" s="62" t="str">
        <f>IF(AND('领用录入（明细）'!D:D=$F$4,'领用录入（明细）'!C:C&gt;=$J$4,'领用录入（明细）'!C:C&lt;=$L$4),ROW(),"-")</f>
        <v>-</v>
      </c>
    </row>
    <row r="48429" customHeight="1" spans="2:2">
      <c r="B48429" s="62" t="str">
        <f>IF(AND('领用录入（明细）'!D:D=$F$4,'领用录入（明细）'!C:C&gt;=$J$4,'领用录入（明细）'!C:C&lt;=$L$4),ROW(),"-")</f>
        <v>-</v>
      </c>
    </row>
    <row r="48430" customHeight="1" spans="2:2">
      <c r="B48430" s="62" t="str">
        <f>IF(AND('领用录入（明细）'!D:D=$F$4,'领用录入（明细）'!C:C&gt;=$J$4,'领用录入（明细）'!C:C&lt;=$L$4),ROW(),"-")</f>
        <v>-</v>
      </c>
    </row>
    <row r="48431" customHeight="1" spans="2:2">
      <c r="B48431" s="62" t="str">
        <f>IF(AND('领用录入（明细）'!D:D=$F$4,'领用录入（明细）'!C:C&gt;=$J$4,'领用录入（明细）'!C:C&lt;=$L$4),ROW(),"-")</f>
        <v>-</v>
      </c>
    </row>
    <row r="48432" customHeight="1" spans="2:2">
      <c r="B48432" s="62" t="str">
        <f>IF(AND('领用录入（明细）'!D:D=$F$4,'领用录入（明细）'!C:C&gt;=$J$4,'领用录入（明细）'!C:C&lt;=$L$4),ROW(),"-")</f>
        <v>-</v>
      </c>
    </row>
    <row r="48433" customHeight="1" spans="2:2">
      <c r="B48433" s="62" t="str">
        <f>IF(AND('领用录入（明细）'!D:D=$F$4,'领用录入（明细）'!C:C&gt;=$J$4,'领用录入（明细）'!C:C&lt;=$L$4),ROW(),"-")</f>
        <v>-</v>
      </c>
    </row>
    <row r="48434" customHeight="1" spans="2:2">
      <c r="B48434" s="62" t="str">
        <f>IF(AND('领用录入（明细）'!D:D=$F$4,'领用录入（明细）'!C:C&gt;=$J$4,'领用录入（明细）'!C:C&lt;=$L$4),ROW(),"-")</f>
        <v>-</v>
      </c>
    </row>
    <row r="48435" customHeight="1" spans="2:2">
      <c r="B48435" s="62" t="str">
        <f>IF(AND('领用录入（明细）'!D:D=$F$4,'领用录入（明细）'!C:C&gt;=$J$4,'领用录入（明细）'!C:C&lt;=$L$4),ROW(),"-")</f>
        <v>-</v>
      </c>
    </row>
    <row r="48436" customHeight="1" spans="2:2">
      <c r="B48436" s="62" t="str">
        <f>IF(AND('领用录入（明细）'!D:D=$F$4,'领用录入（明细）'!C:C&gt;=$J$4,'领用录入（明细）'!C:C&lt;=$L$4),ROW(),"-")</f>
        <v>-</v>
      </c>
    </row>
    <row r="48437" customHeight="1" spans="2:2">
      <c r="B48437" s="62" t="str">
        <f>IF(AND('领用录入（明细）'!D:D=$F$4,'领用录入（明细）'!C:C&gt;=$J$4,'领用录入（明细）'!C:C&lt;=$L$4),ROW(),"-")</f>
        <v>-</v>
      </c>
    </row>
    <row r="48438" customHeight="1" spans="2:2">
      <c r="B48438" s="62" t="str">
        <f>IF(AND('领用录入（明细）'!D:D=$F$4,'领用录入（明细）'!C:C&gt;=$J$4,'领用录入（明细）'!C:C&lt;=$L$4),ROW(),"-")</f>
        <v>-</v>
      </c>
    </row>
    <row r="48439" customHeight="1" spans="2:2">
      <c r="B48439" s="62" t="str">
        <f>IF(AND('领用录入（明细）'!D:D=$F$4,'领用录入（明细）'!C:C&gt;=$J$4,'领用录入（明细）'!C:C&lt;=$L$4),ROW(),"-")</f>
        <v>-</v>
      </c>
    </row>
    <row r="48440" customHeight="1" spans="2:2">
      <c r="B48440" s="62" t="str">
        <f>IF(AND('领用录入（明细）'!D:D=$F$4,'领用录入（明细）'!C:C&gt;=$J$4,'领用录入（明细）'!C:C&lt;=$L$4),ROW(),"-")</f>
        <v>-</v>
      </c>
    </row>
    <row r="48441" customHeight="1" spans="2:2">
      <c r="B48441" s="62" t="str">
        <f>IF(AND('领用录入（明细）'!D:D=$F$4,'领用录入（明细）'!C:C&gt;=$J$4,'领用录入（明细）'!C:C&lt;=$L$4),ROW(),"-")</f>
        <v>-</v>
      </c>
    </row>
    <row r="48442" customHeight="1" spans="2:2">
      <c r="B48442" s="62" t="str">
        <f>IF(AND('领用录入（明细）'!D:D=$F$4,'领用录入（明细）'!C:C&gt;=$J$4,'领用录入（明细）'!C:C&lt;=$L$4),ROW(),"-")</f>
        <v>-</v>
      </c>
    </row>
    <row r="48443" customHeight="1" spans="2:2">
      <c r="B48443" s="62" t="str">
        <f>IF(AND('领用录入（明细）'!D:D=$F$4,'领用录入（明细）'!C:C&gt;=$J$4,'领用录入（明细）'!C:C&lt;=$L$4),ROW(),"-")</f>
        <v>-</v>
      </c>
    </row>
    <row r="48444" customHeight="1" spans="2:2">
      <c r="B48444" s="62" t="str">
        <f>IF(AND('领用录入（明细）'!D:D=$F$4,'领用录入（明细）'!C:C&gt;=$J$4,'领用录入（明细）'!C:C&lt;=$L$4),ROW(),"-")</f>
        <v>-</v>
      </c>
    </row>
    <row r="48445" customHeight="1" spans="2:2">
      <c r="B48445" s="62" t="str">
        <f>IF(AND('领用录入（明细）'!D:D=$F$4,'领用录入（明细）'!C:C&gt;=$J$4,'领用录入（明细）'!C:C&lt;=$L$4),ROW(),"-")</f>
        <v>-</v>
      </c>
    </row>
    <row r="48446" customHeight="1" spans="2:2">
      <c r="B48446" s="62" t="str">
        <f>IF(AND('领用录入（明细）'!D:D=$F$4,'领用录入（明细）'!C:C&gt;=$J$4,'领用录入（明细）'!C:C&lt;=$L$4),ROW(),"-")</f>
        <v>-</v>
      </c>
    </row>
    <row r="48447" customHeight="1" spans="2:2">
      <c r="B48447" s="62" t="str">
        <f>IF(AND('领用录入（明细）'!D:D=$F$4,'领用录入（明细）'!C:C&gt;=$J$4,'领用录入（明细）'!C:C&lt;=$L$4),ROW(),"-")</f>
        <v>-</v>
      </c>
    </row>
    <row r="48448" customHeight="1" spans="2:2">
      <c r="B48448" s="62" t="str">
        <f>IF(AND('领用录入（明细）'!D:D=$F$4,'领用录入（明细）'!C:C&gt;=$J$4,'领用录入（明细）'!C:C&lt;=$L$4),ROW(),"-")</f>
        <v>-</v>
      </c>
    </row>
    <row r="48449" customHeight="1" spans="2:2">
      <c r="B48449" s="62" t="str">
        <f>IF(AND('领用录入（明细）'!D:D=$F$4,'领用录入（明细）'!C:C&gt;=$J$4,'领用录入（明细）'!C:C&lt;=$L$4),ROW(),"-")</f>
        <v>-</v>
      </c>
    </row>
    <row r="48450" customHeight="1" spans="2:2">
      <c r="B48450" s="62" t="str">
        <f>IF(AND('领用录入（明细）'!D:D=$F$4,'领用录入（明细）'!C:C&gt;=$J$4,'领用录入（明细）'!C:C&lt;=$L$4),ROW(),"-")</f>
        <v>-</v>
      </c>
    </row>
    <row r="48451" customHeight="1" spans="2:2">
      <c r="B48451" s="62" t="str">
        <f>IF(AND('领用录入（明细）'!D:D=$F$4,'领用录入（明细）'!C:C&gt;=$J$4,'领用录入（明细）'!C:C&lt;=$L$4),ROW(),"-")</f>
        <v>-</v>
      </c>
    </row>
    <row r="48452" customHeight="1" spans="2:2">
      <c r="B48452" s="62" t="str">
        <f>IF(AND('领用录入（明细）'!D:D=$F$4,'领用录入（明细）'!C:C&gt;=$J$4,'领用录入（明细）'!C:C&lt;=$L$4),ROW(),"-")</f>
        <v>-</v>
      </c>
    </row>
    <row r="48453" customHeight="1" spans="2:2">
      <c r="B48453" s="62" t="str">
        <f>IF(AND('领用录入（明细）'!D:D=$F$4,'领用录入（明细）'!C:C&gt;=$J$4,'领用录入（明细）'!C:C&lt;=$L$4),ROW(),"-")</f>
        <v>-</v>
      </c>
    </row>
    <row r="48454" customHeight="1" spans="2:2">
      <c r="B48454" s="62" t="str">
        <f>IF(AND('领用录入（明细）'!D:D=$F$4,'领用录入（明细）'!C:C&gt;=$J$4,'领用录入（明细）'!C:C&lt;=$L$4),ROW(),"-")</f>
        <v>-</v>
      </c>
    </row>
    <row r="48455" customHeight="1" spans="2:2">
      <c r="B48455" s="62" t="str">
        <f>IF(AND('领用录入（明细）'!D:D=$F$4,'领用录入（明细）'!C:C&gt;=$J$4,'领用录入（明细）'!C:C&lt;=$L$4),ROW(),"-")</f>
        <v>-</v>
      </c>
    </row>
    <row r="48456" customHeight="1" spans="2:2">
      <c r="B48456" s="62" t="str">
        <f>IF(AND('领用录入（明细）'!D:D=$F$4,'领用录入（明细）'!C:C&gt;=$J$4,'领用录入（明细）'!C:C&lt;=$L$4),ROW(),"-")</f>
        <v>-</v>
      </c>
    </row>
    <row r="48457" customHeight="1" spans="2:2">
      <c r="B48457" s="62" t="str">
        <f>IF(AND('领用录入（明细）'!D:D=$F$4,'领用录入（明细）'!C:C&gt;=$J$4,'领用录入（明细）'!C:C&lt;=$L$4),ROW(),"-")</f>
        <v>-</v>
      </c>
    </row>
    <row r="48458" customHeight="1" spans="2:2">
      <c r="B48458" s="62" t="str">
        <f>IF(AND('领用录入（明细）'!D:D=$F$4,'领用录入（明细）'!C:C&gt;=$J$4,'领用录入（明细）'!C:C&lt;=$L$4),ROW(),"-")</f>
        <v>-</v>
      </c>
    </row>
    <row r="48459" customHeight="1" spans="2:2">
      <c r="B48459" s="62" t="str">
        <f>IF(AND('领用录入（明细）'!D:D=$F$4,'领用录入（明细）'!C:C&gt;=$J$4,'领用录入（明细）'!C:C&lt;=$L$4),ROW(),"-")</f>
        <v>-</v>
      </c>
    </row>
    <row r="48460" customHeight="1" spans="2:2">
      <c r="B48460" s="62" t="str">
        <f>IF(AND('领用录入（明细）'!D:D=$F$4,'领用录入（明细）'!C:C&gt;=$J$4,'领用录入（明细）'!C:C&lt;=$L$4),ROW(),"-")</f>
        <v>-</v>
      </c>
    </row>
    <row r="48461" customHeight="1" spans="2:2">
      <c r="B48461" s="62" t="str">
        <f>IF(AND('领用录入（明细）'!D:D=$F$4,'领用录入（明细）'!C:C&gt;=$J$4,'领用录入（明细）'!C:C&lt;=$L$4),ROW(),"-")</f>
        <v>-</v>
      </c>
    </row>
    <row r="48462" customHeight="1" spans="2:2">
      <c r="B48462" s="62" t="str">
        <f>IF(AND('领用录入（明细）'!D:D=$F$4,'领用录入（明细）'!C:C&gt;=$J$4,'领用录入（明细）'!C:C&lt;=$L$4),ROW(),"-")</f>
        <v>-</v>
      </c>
    </row>
    <row r="48463" customHeight="1" spans="2:2">
      <c r="B48463" s="62" t="str">
        <f>IF(AND('领用录入（明细）'!D:D=$F$4,'领用录入（明细）'!C:C&gt;=$J$4,'领用录入（明细）'!C:C&lt;=$L$4),ROW(),"-")</f>
        <v>-</v>
      </c>
    </row>
    <row r="48464" customHeight="1" spans="2:2">
      <c r="B48464" s="62" t="str">
        <f>IF(AND('领用录入（明细）'!D:D=$F$4,'领用录入（明细）'!C:C&gt;=$J$4,'领用录入（明细）'!C:C&lt;=$L$4),ROW(),"-")</f>
        <v>-</v>
      </c>
    </row>
    <row r="48465" customHeight="1" spans="2:2">
      <c r="B48465" s="62" t="str">
        <f>IF(AND('领用录入（明细）'!D:D=$F$4,'领用录入（明细）'!C:C&gt;=$J$4,'领用录入（明细）'!C:C&lt;=$L$4),ROW(),"-")</f>
        <v>-</v>
      </c>
    </row>
    <row r="48466" customHeight="1" spans="2:2">
      <c r="B48466" s="62" t="str">
        <f>IF(AND('领用录入（明细）'!D:D=$F$4,'领用录入（明细）'!C:C&gt;=$J$4,'领用录入（明细）'!C:C&lt;=$L$4),ROW(),"-")</f>
        <v>-</v>
      </c>
    </row>
    <row r="48467" customHeight="1" spans="2:2">
      <c r="B48467" s="62" t="str">
        <f>IF(AND('领用录入（明细）'!D:D=$F$4,'领用录入（明细）'!C:C&gt;=$J$4,'领用录入（明细）'!C:C&lt;=$L$4),ROW(),"-")</f>
        <v>-</v>
      </c>
    </row>
    <row r="48468" customHeight="1" spans="2:2">
      <c r="B48468" s="62" t="str">
        <f>IF(AND('领用录入（明细）'!D:D=$F$4,'领用录入（明细）'!C:C&gt;=$J$4,'领用录入（明细）'!C:C&lt;=$L$4),ROW(),"-")</f>
        <v>-</v>
      </c>
    </row>
    <row r="48469" customHeight="1" spans="2:2">
      <c r="B48469" s="62" t="str">
        <f>IF(AND('领用录入（明细）'!D:D=$F$4,'领用录入（明细）'!C:C&gt;=$J$4,'领用录入（明细）'!C:C&lt;=$L$4),ROW(),"-")</f>
        <v>-</v>
      </c>
    </row>
    <row r="48470" customHeight="1" spans="2:2">
      <c r="B48470" s="62" t="str">
        <f>IF(AND('领用录入（明细）'!D:D=$F$4,'领用录入（明细）'!C:C&gt;=$J$4,'领用录入（明细）'!C:C&lt;=$L$4),ROW(),"-")</f>
        <v>-</v>
      </c>
    </row>
    <row r="48471" customHeight="1" spans="2:2">
      <c r="B48471" s="62" t="str">
        <f>IF(AND('领用录入（明细）'!D:D=$F$4,'领用录入（明细）'!C:C&gt;=$J$4,'领用录入（明细）'!C:C&lt;=$L$4),ROW(),"-")</f>
        <v>-</v>
      </c>
    </row>
    <row r="48472" customHeight="1" spans="2:2">
      <c r="B48472" s="62" t="str">
        <f>IF(AND('领用录入（明细）'!D:D=$F$4,'领用录入（明细）'!C:C&gt;=$J$4,'领用录入（明细）'!C:C&lt;=$L$4),ROW(),"-")</f>
        <v>-</v>
      </c>
    </row>
    <row r="48473" customHeight="1" spans="2:2">
      <c r="B48473" s="62" t="str">
        <f>IF(AND('领用录入（明细）'!D:D=$F$4,'领用录入（明细）'!C:C&gt;=$J$4,'领用录入（明细）'!C:C&lt;=$L$4),ROW(),"-")</f>
        <v>-</v>
      </c>
    </row>
    <row r="48474" customHeight="1" spans="2:2">
      <c r="B48474" s="62" t="str">
        <f>IF(AND('领用录入（明细）'!D:D=$F$4,'领用录入（明细）'!C:C&gt;=$J$4,'领用录入（明细）'!C:C&lt;=$L$4),ROW(),"-")</f>
        <v>-</v>
      </c>
    </row>
    <row r="48475" customHeight="1" spans="2:2">
      <c r="B48475" s="62" t="str">
        <f>IF(AND('领用录入（明细）'!D:D=$F$4,'领用录入（明细）'!C:C&gt;=$J$4,'领用录入（明细）'!C:C&lt;=$L$4),ROW(),"-")</f>
        <v>-</v>
      </c>
    </row>
    <row r="48476" customHeight="1" spans="2:2">
      <c r="B48476" s="62" t="str">
        <f>IF(AND('领用录入（明细）'!D:D=$F$4,'领用录入（明细）'!C:C&gt;=$J$4,'领用录入（明细）'!C:C&lt;=$L$4),ROW(),"-")</f>
        <v>-</v>
      </c>
    </row>
    <row r="48477" customHeight="1" spans="2:2">
      <c r="B48477" s="62" t="str">
        <f>IF(AND('领用录入（明细）'!D:D=$F$4,'领用录入（明细）'!C:C&gt;=$J$4,'领用录入（明细）'!C:C&lt;=$L$4),ROW(),"-")</f>
        <v>-</v>
      </c>
    </row>
    <row r="48478" customHeight="1" spans="2:2">
      <c r="B48478" s="62" t="str">
        <f>IF(AND('领用录入（明细）'!D:D=$F$4,'领用录入（明细）'!C:C&gt;=$J$4,'领用录入（明细）'!C:C&lt;=$L$4),ROW(),"-")</f>
        <v>-</v>
      </c>
    </row>
    <row r="48479" customHeight="1" spans="2:2">
      <c r="B48479" s="62" t="str">
        <f>IF(AND('领用录入（明细）'!D:D=$F$4,'领用录入（明细）'!C:C&gt;=$J$4,'领用录入（明细）'!C:C&lt;=$L$4),ROW(),"-")</f>
        <v>-</v>
      </c>
    </row>
    <row r="48480" customHeight="1" spans="2:2">
      <c r="B48480" s="62" t="str">
        <f>IF(AND('领用录入（明细）'!D:D=$F$4,'领用录入（明细）'!C:C&gt;=$J$4,'领用录入（明细）'!C:C&lt;=$L$4),ROW(),"-")</f>
        <v>-</v>
      </c>
    </row>
    <row r="48481" customHeight="1" spans="2:2">
      <c r="B48481" s="62" t="str">
        <f>IF(AND('领用录入（明细）'!D:D=$F$4,'领用录入（明细）'!C:C&gt;=$J$4,'领用录入（明细）'!C:C&lt;=$L$4),ROW(),"-")</f>
        <v>-</v>
      </c>
    </row>
    <row r="48482" customHeight="1" spans="2:2">
      <c r="B48482" s="62" t="str">
        <f>IF(AND('领用录入（明细）'!D:D=$F$4,'领用录入（明细）'!C:C&gt;=$J$4,'领用录入（明细）'!C:C&lt;=$L$4),ROW(),"-")</f>
        <v>-</v>
      </c>
    </row>
    <row r="48483" customHeight="1" spans="2:2">
      <c r="B48483" s="62" t="str">
        <f>IF(AND('领用录入（明细）'!D:D=$F$4,'领用录入（明细）'!C:C&gt;=$J$4,'领用录入（明细）'!C:C&lt;=$L$4),ROW(),"-")</f>
        <v>-</v>
      </c>
    </row>
    <row r="48484" customHeight="1" spans="2:2">
      <c r="B48484" s="62" t="str">
        <f>IF(AND('领用录入（明细）'!D:D=$F$4,'领用录入（明细）'!C:C&gt;=$J$4,'领用录入（明细）'!C:C&lt;=$L$4),ROW(),"-")</f>
        <v>-</v>
      </c>
    </row>
    <row r="48485" customHeight="1" spans="2:2">
      <c r="B48485" s="62" t="str">
        <f>IF(AND('领用录入（明细）'!D:D=$F$4,'领用录入（明细）'!C:C&gt;=$J$4,'领用录入（明细）'!C:C&lt;=$L$4),ROW(),"-")</f>
        <v>-</v>
      </c>
    </row>
    <row r="48486" customHeight="1" spans="2:2">
      <c r="B48486" s="62" t="str">
        <f>IF(AND('领用录入（明细）'!D:D=$F$4,'领用录入（明细）'!C:C&gt;=$J$4,'领用录入（明细）'!C:C&lt;=$L$4),ROW(),"-")</f>
        <v>-</v>
      </c>
    </row>
    <row r="48487" customHeight="1" spans="2:2">
      <c r="B48487" s="62" t="str">
        <f>IF(AND('领用录入（明细）'!D:D=$F$4,'领用录入（明细）'!C:C&gt;=$J$4,'领用录入（明细）'!C:C&lt;=$L$4),ROW(),"-")</f>
        <v>-</v>
      </c>
    </row>
    <row r="48488" customHeight="1" spans="2:2">
      <c r="B48488" s="62" t="str">
        <f>IF(AND('领用录入（明细）'!D:D=$F$4,'领用录入（明细）'!C:C&gt;=$J$4,'领用录入（明细）'!C:C&lt;=$L$4),ROW(),"-")</f>
        <v>-</v>
      </c>
    </row>
    <row r="48489" customHeight="1" spans="2:2">
      <c r="B48489" s="62" t="str">
        <f>IF(AND('领用录入（明细）'!D:D=$F$4,'领用录入（明细）'!C:C&gt;=$J$4,'领用录入（明细）'!C:C&lt;=$L$4),ROW(),"-")</f>
        <v>-</v>
      </c>
    </row>
    <row r="48490" customHeight="1" spans="2:2">
      <c r="B48490" s="62" t="str">
        <f>IF(AND('领用录入（明细）'!D:D=$F$4,'领用录入（明细）'!C:C&gt;=$J$4,'领用录入（明细）'!C:C&lt;=$L$4),ROW(),"-")</f>
        <v>-</v>
      </c>
    </row>
    <row r="48491" customHeight="1" spans="2:2">
      <c r="B48491" s="62" t="str">
        <f>IF(AND('领用录入（明细）'!D:D=$F$4,'领用录入（明细）'!C:C&gt;=$J$4,'领用录入（明细）'!C:C&lt;=$L$4),ROW(),"-")</f>
        <v>-</v>
      </c>
    </row>
    <row r="48492" customHeight="1" spans="2:2">
      <c r="B48492" s="62" t="str">
        <f>IF(AND('领用录入（明细）'!D:D=$F$4,'领用录入（明细）'!C:C&gt;=$J$4,'领用录入（明细）'!C:C&lt;=$L$4),ROW(),"-")</f>
        <v>-</v>
      </c>
    </row>
    <row r="48493" customHeight="1" spans="2:2">
      <c r="B48493" s="62" t="str">
        <f>IF(AND('领用录入（明细）'!D:D=$F$4,'领用录入（明细）'!C:C&gt;=$J$4,'领用录入（明细）'!C:C&lt;=$L$4),ROW(),"-")</f>
        <v>-</v>
      </c>
    </row>
    <row r="48494" customHeight="1" spans="2:2">
      <c r="B48494" s="62" t="str">
        <f>IF(AND('领用录入（明细）'!D:D=$F$4,'领用录入（明细）'!C:C&gt;=$J$4,'领用录入（明细）'!C:C&lt;=$L$4),ROW(),"-")</f>
        <v>-</v>
      </c>
    </row>
    <row r="48495" customHeight="1" spans="2:2">
      <c r="B48495" s="62" t="str">
        <f>IF(AND('领用录入（明细）'!D:D=$F$4,'领用录入（明细）'!C:C&gt;=$J$4,'领用录入（明细）'!C:C&lt;=$L$4),ROW(),"-")</f>
        <v>-</v>
      </c>
    </row>
    <row r="48496" customHeight="1" spans="2:2">
      <c r="B48496" s="62" t="str">
        <f>IF(AND('领用录入（明细）'!D:D=$F$4,'领用录入（明细）'!C:C&gt;=$J$4,'领用录入（明细）'!C:C&lt;=$L$4),ROW(),"-")</f>
        <v>-</v>
      </c>
    </row>
    <row r="48497" customHeight="1" spans="2:2">
      <c r="B48497" s="62" t="str">
        <f>IF(AND('领用录入（明细）'!D:D=$F$4,'领用录入（明细）'!C:C&gt;=$J$4,'领用录入（明细）'!C:C&lt;=$L$4),ROW(),"-")</f>
        <v>-</v>
      </c>
    </row>
    <row r="48498" customHeight="1" spans="2:2">
      <c r="B48498" s="62" t="str">
        <f>IF(AND('领用录入（明细）'!D:D=$F$4,'领用录入（明细）'!C:C&gt;=$J$4,'领用录入（明细）'!C:C&lt;=$L$4),ROW(),"-")</f>
        <v>-</v>
      </c>
    </row>
    <row r="48499" customHeight="1" spans="2:2">
      <c r="B48499" s="62" t="str">
        <f>IF(AND('领用录入（明细）'!D:D=$F$4,'领用录入（明细）'!C:C&gt;=$J$4,'领用录入（明细）'!C:C&lt;=$L$4),ROW(),"-")</f>
        <v>-</v>
      </c>
    </row>
    <row r="48500" customHeight="1" spans="2:2">
      <c r="B48500" s="62" t="str">
        <f>IF(AND('领用录入（明细）'!D:D=$F$4,'领用录入（明细）'!C:C&gt;=$J$4,'领用录入（明细）'!C:C&lt;=$L$4),ROW(),"-")</f>
        <v>-</v>
      </c>
    </row>
    <row r="48501" customHeight="1" spans="2:2">
      <c r="B48501" s="62" t="str">
        <f>IF(AND('领用录入（明细）'!D:D=$F$4,'领用录入（明细）'!C:C&gt;=$J$4,'领用录入（明细）'!C:C&lt;=$L$4),ROW(),"-")</f>
        <v>-</v>
      </c>
    </row>
    <row r="48502" customHeight="1" spans="2:2">
      <c r="B48502" s="62" t="str">
        <f>IF(AND('领用录入（明细）'!D:D=$F$4,'领用录入（明细）'!C:C&gt;=$J$4,'领用录入（明细）'!C:C&lt;=$L$4),ROW(),"-")</f>
        <v>-</v>
      </c>
    </row>
    <row r="48503" customHeight="1" spans="2:2">
      <c r="B48503" s="62" t="str">
        <f>IF(AND('领用录入（明细）'!D:D=$F$4,'领用录入（明细）'!C:C&gt;=$J$4,'领用录入（明细）'!C:C&lt;=$L$4),ROW(),"-")</f>
        <v>-</v>
      </c>
    </row>
    <row r="48504" customHeight="1" spans="2:2">
      <c r="B48504" s="62" t="str">
        <f>IF(AND('领用录入（明细）'!D:D=$F$4,'领用录入（明细）'!C:C&gt;=$J$4,'领用录入（明细）'!C:C&lt;=$L$4),ROW(),"-")</f>
        <v>-</v>
      </c>
    </row>
    <row r="48505" customHeight="1" spans="2:2">
      <c r="B48505" s="62" t="str">
        <f>IF(AND('领用录入（明细）'!D:D=$F$4,'领用录入（明细）'!C:C&gt;=$J$4,'领用录入（明细）'!C:C&lt;=$L$4),ROW(),"-")</f>
        <v>-</v>
      </c>
    </row>
    <row r="48506" customHeight="1" spans="2:2">
      <c r="B48506" s="62" t="str">
        <f>IF(AND('领用录入（明细）'!D:D=$F$4,'领用录入（明细）'!C:C&gt;=$J$4,'领用录入（明细）'!C:C&lt;=$L$4),ROW(),"-")</f>
        <v>-</v>
      </c>
    </row>
    <row r="48507" customHeight="1" spans="2:2">
      <c r="B48507" s="62" t="str">
        <f>IF(AND('领用录入（明细）'!D:D=$F$4,'领用录入（明细）'!C:C&gt;=$J$4,'领用录入（明细）'!C:C&lt;=$L$4),ROW(),"-")</f>
        <v>-</v>
      </c>
    </row>
    <row r="48508" customHeight="1" spans="2:2">
      <c r="B48508" s="62" t="str">
        <f>IF(AND('领用录入（明细）'!D:D=$F$4,'领用录入（明细）'!C:C&gt;=$J$4,'领用录入（明细）'!C:C&lt;=$L$4),ROW(),"-")</f>
        <v>-</v>
      </c>
    </row>
    <row r="48509" customHeight="1" spans="2:2">
      <c r="B48509" s="62" t="str">
        <f>IF(AND('领用录入（明细）'!D:D=$F$4,'领用录入（明细）'!C:C&gt;=$J$4,'领用录入（明细）'!C:C&lt;=$L$4),ROW(),"-")</f>
        <v>-</v>
      </c>
    </row>
    <row r="48510" customHeight="1" spans="2:2">
      <c r="B48510" s="62" t="str">
        <f>IF(AND('领用录入（明细）'!D:D=$F$4,'领用录入（明细）'!C:C&gt;=$J$4,'领用录入（明细）'!C:C&lt;=$L$4),ROW(),"-")</f>
        <v>-</v>
      </c>
    </row>
    <row r="48511" customHeight="1" spans="2:2">
      <c r="B48511" s="62" t="str">
        <f>IF(AND('领用录入（明细）'!D:D=$F$4,'领用录入（明细）'!C:C&gt;=$J$4,'领用录入（明细）'!C:C&lt;=$L$4),ROW(),"-")</f>
        <v>-</v>
      </c>
    </row>
    <row r="48512" customHeight="1" spans="2:2">
      <c r="B48512" s="62" t="str">
        <f>IF(AND('领用录入（明细）'!D:D=$F$4,'领用录入（明细）'!C:C&gt;=$J$4,'领用录入（明细）'!C:C&lt;=$L$4),ROW(),"-")</f>
        <v>-</v>
      </c>
    </row>
    <row r="48513" customHeight="1" spans="2:2">
      <c r="B48513" s="62" t="str">
        <f>IF(AND('领用录入（明细）'!D:D=$F$4,'领用录入（明细）'!C:C&gt;=$J$4,'领用录入（明细）'!C:C&lt;=$L$4),ROW(),"-")</f>
        <v>-</v>
      </c>
    </row>
    <row r="48514" customHeight="1" spans="2:2">
      <c r="B48514" s="62" t="str">
        <f>IF(AND('领用录入（明细）'!D:D=$F$4,'领用录入（明细）'!C:C&gt;=$J$4,'领用录入（明细）'!C:C&lt;=$L$4),ROW(),"-")</f>
        <v>-</v>
      </c>
    </row>
    <row r="48515" customHeight="1" spans="2:2">
      <c r="B48515" s="62" t="str">
        <f>IF(AND('领用录入（明细）'!D:D=$F$4,'领用录入（明细）'!C:C&gt;=$J$4,'领用录入（明细）'!C:C&lt;=$L$4),ROW(),"-")</f>
        <v>-</v>
      </c>
    </row>
    <row r="48516" customHeight="1" spans="2:2">
      <c r="B48516" s="62" t="str">
        <f>IF(AND('领用录入（明细）'!D:D=$F$4,'领用录入（明细）'!C:C&gt;=$J$4,'领用录入（明细）'!C:C&lt;=$L$4),ROW(),"-")</f>
        <v>-</v>
      </c>
    </row>
    <row r="48517" customHeight="1" spans="2:2">
      <c r="B48517" s="62" t="str">
        <f>IF(AND('领用录入（明细）'!D:D=$F$4,'领用录入（明细）'!C:C&gt;=$J$4,'领用录入（明细）'!C:C&lt;=$L$4),ROW(),"-")</f>
        <v>-</v>
      </c>
    </row>
    <row r="48518" customHeight="1" spans="2:2">
      <c r="B48518" s="62" t="str">
        <f>IF(AND('领用录入（明细）'!D:D=$F$4,'领用录入（明细）'!C:C&gt;=$J$4,'领用录入（明细）'!C:C&lt;=$L$4),ROW(),"-")</f>
        <v>-</v>
      </c>
    </row>
    <row r="48519" customHeight="1" spans="2:2">
      <c r="B48519" s="62" t="str">
        <f>IF(AND('领用录入（明细）'!D:D=$F$4,'领用录入（明细）'!C:C&gt;=$J$4,'领用录入（明细）'!C:C&lt;=$L$4),ROW(),"-")</f>
        <v>-</v>
      </c>
    </row>
    <row r="48520" customHeight="1" spans="2:2">
      <c r="B48520" s="62" t="str">
        <f>IF(AND('领用录入（明细）'!D:D=$F$4,'领用录入（明细）'!C:C&gt;=$J$4,'领用录入（明细）'!C:C&lt;=$L$4),ROW(),"-")</f>
        <v>-</v>
      </c>
    </row>
    <row r="48521" customHeight="1" spans="2:2">
      <c r="B48521" s="62" t="str">
        <f>IF(AND('领用录入（明细）'!D:D=$F$4,'领用录入（明细）'!C:C&gt;=$J$4,'领用录入（明细）'!C:C&lt;=$L$4),ROW(),"-")</f>
        <v>-</v>
      </c>
    </row>
    <row r="48522" customHeight="1" spans="2:2">
      <c r="B48522" s="62" t="str">
        <f>IF(AND('领用录入（明细）'!D:D=$F$4,'领用录入（明细）'!C:C&gt;=$J$4,'领用录入（明细）'!C:C&lt;=$L$4),ROW(),"-")</f>
        <v>-</v>
      </c>
    </row>
    <row r="48523" customHeight="1" spans="2:2">
      <c r="B48523" s="62" t="str">
        <f>IF(AND('领用录入（明细）'!D:D=$F$4,'领用录入（明细）'!C:C&gt;=$J$4,'领用录入（明细）'!C:C&lt;=$L$4),ROW(),"-")</f>
        <v>-</v>
      </c>
    </row>
    <row r="48524" customHeight="1" spans="2:2">
      <c r="B48524" s="62" t="str">
        <f>IF(AND('领用录入（明细）'!D:D=$F$4,'领用录入（明细）'!C:C&gt;=$J$4,'领用录入（明细）'!C:C&lt;=$L$4),ROW(),"-")</f>
        <v>-</v>
      </c>
    </row>
    <row r="48525" customHeight="1" spans="2:2">
      <c r="B48525" s="62" t="str">
        <f>IF(AND('领用录入（明细）'!D:D=$F$4,'领用录入（明细）'!C:C&gt;=$J$4,'领用录入（明细）'!C:C&lt;=$L$4),ROW(),"-")</f>
        <v>-</v>
      </c>
    </row>
    <row r="48526" customHeight="1" spans="2:2">
      <c r="B48526" s="62" t="str">
        <f>IF(AND('领用录入（明细）'!D:D=$F$4,'领用录入（明细）'!C:C&gt;=$J$4,'领用录入（明细）'!C:C&lt;=$L$4),ROW(),"-")</f>
        <v>-</v>
      </c>
    </row>
    <row r="48527" customHeight="1" spans="2:2">
      <c r="B48527" s="62" t="str">
        <f>IF(AND('领用录入（明细）'!D:D=$F$4,'领用录入（明细）'!C:C&gt;=$J$4,'领用录入（明细）'!C:C&lt;=$L$4),ROW(),"-")</f>
        <v>-</v>
      </c>
    </row>
    <row r="48528" customHeight="1" spans="2:2">
      <c r="B48528" s="62" t="str">
        <f>IF(AND('领用录入（明细）'!D:D=$F$4,'领用录入（明细）'!C:C&gt;=$J$4,'领用录入（明细）'!C:C&lt;=$L$4),ROW(),"-")</f>
        <v>-</v>
      </c>
    </row>
    <row r="48529" customHeight="1" spans="2:2">
      <c r="B48529" s="62" t="str">
        <f>IF(AND('领用录入（明细）'!D:D=$F$4,'领用录入（明细）'!C:C&gt;=$J$4,'领用录入（明细）'!C:C&lt;=$L$4),ROW(),"-")</f>
        <v>-</v>
      </c>
    </row>
    <row r="48530" customHeight="1" spans="2:2">
      <c r="B48530" s="62" t="str">
        <f>IF(AND('领用录入（明细）'!D:D=$F$4,'领用录入（明细）'!C:C&gt;=$J$4,'领用录入（明细）'!C:C&lt;=$L$4),ROW(),"-")</f>
        <v>-</v>
      </c>
    </row>
    <row r="48531" customHeight="1" spans="2:2">
      <c r="B48531" s="62" t="str">
        <f>IF(AND('领用录入（明细）'!D:D=$F$4,'领用录入（明细）'!C:C&gt;=$J$4,'领用录入（明细）'!C:C&lt;=$L$4),ROW(),"-")</f>
        <v>-</v>
      </c>
    </row>
    <row r="48532" customHeight="1" spans="2:2">
      <c r="B48532" s="62" t="str">
        <f>IF(AND('领用录入（明细）'!D:D=$F$4,'领用录入（明细）'!C:C&gt;=$J$4,'领用录入（明细）'!C:C&lt;=$L$4),ROW(),"-")</f>
        <v>-</v>
      </c>
    </row>
    <row r="48533" customHeight="1" spans="2:2">
      <c r="B48533" s="62" t="str">
        <f>IF(AND('领用录入（明细）'!D:D=$F$4,'领用录入（明细）'!C:C&gt;=$J$4,'领用录入（明细）'!C:C&lt;=$L$4),ROW(),"-")</f>
        <v>-</v>
      </c>
    </row>
    <row r="48534" customHeight="1" spans="2:2">
      <c r="B48534" s="62" t="str">
        <f>IF(AND('领用录入（明细）'!D:D=$F$4,'领用录入（明细）'!C:C&gt;=$J$4,'领用录入（明细）'!C:C&lt;=$L$4),ROW(),"-")</f>
        <v>-</v>
      </c>
    </row>
    <row r="48535" customHeight="1" spans="2:2">
      <c r="B48535" s="62" t="str">
        <f>IF(AND('领用录入（明细）'!D:D=$F$4,'领用录入（明细）'!C:C&gt;=$J$4,'领用录入（明细）'!C:C&lt;=$L$4),ROW(),"-")</f>
        <v>-</v>
      </c>
    </row>
    <row r="48536" customHeight="1" spans="2:2">
      <c r="B48536" s="62" t="str">
        <f>IF(AND('领用录入（明细）'!D:D=$F$4,'领用录入（明细）'!C:C&gt;=$J$4,'领用录入（明细）'!C:C&lt;=$L$4),ROW(),"-")</f>
        <v>-</v>
      </c>
    </row>
    <row r="48537" customHeight="1" spans="2:2">
      <c r="B48537" s="62" t="str">
        <f>IF(AND('领用录入（明细）'!D:D=$F$4,'领用录入（明细）'!C:C&gt;=$J$4,'领用录入（明细）'!C:C&lt;=$L$4),ROW(),"-")</f>
        <v>-</v>
      </c>
    </row>
    <row r="48538" customHeight="1" spans="2:2">
      <c r="B48538" s="62" t="str">
        <f>IF(AND('领用录入（明细）'!D:D=$F$4,'领用录入（明细）'!C:C&gt;=$J$4,'领用录入（明细）'!C:C&lt;=$L$4),ROW(),"-")</f>
        <v>-</v>
      </c>
    </row>
    <row r="48539" customHeight="1" spans="2:2">
      <c r="B48539" s="62" t="str">
        <f>IF(AND('领用录入（明细）'!D:D=$F$4,'领用录入（明细）'!C:C&gt;=$J$4,'领用录入（明细）'!C:C&lt;=$L$4),ROW(),"-")</f>
        <v>-</v>
      </c>
    </row>
    <row r="48540" customHeight="1" spans="2:2">
      <c r="B48540" s="62" t="str">
        <f>IF(AND('领用录入（明细）'!D:D=$F$4,'领用录入（明细）'!C:C&gt;=$J$4,'领用录入（明细）'!C:C&lt;=$L$4),ROW(),"-")</f>
        <v>-</v>
      </c>
    </row>
    <row r="48541" customHeight="1" spans="2:2">
      <c r="B48541" s="62" t="str">
        <f>IF(AND('领用录入（明细）'!D:D=$F$4,'领用录入（明细）'!C:C&gt;=$J$4,'领用录入（明细）'!C:C&lt;=$L$4),ROW(),"-")</f>
        <v>-</v>
      </c>
    </row>
    <row r="48542" customHeight="1" spans="2:2">
      <c r="B48542" s="62" t="str">
        <f>IF(AND('领用录入（明细）'!D:D=$F$4,'领用录入（明细）'!C:C&gt;=$J$4,'领用录入（明细）'!C:C&lt;=$L$4),ROW(),"-")</f>
        <v>-</v>
      </c>
    </row>
    <row r="48543" customHeight="1" spans="2:2">
      <c r="B48543" s="62" t="str">
        <f>IF(AND('领用录入（明细）'!D:D=$F$4,'领用录入（明细）'!C:C&gt;=$J$4,'领用录入（明细）'!C:C&lt;=$L$4),ROW(),"-")</f>
        <v>-</v>
      </c>
    </row>
    <row r="48544" customHeight="1" spans="2:2">
      <c r="B48544" s="62" t="str">
        <f>IF(AND('领用录入（明细）'!D:D=$F$4,'领用录入（明细）'!C:C&gt;=$J$4,'领用录入（明细）'!C:C&lt;=$L$4),ROW(),"-")</f>
        <v>-</v>
      </c>
    </row>
    <row r="48545" customHeight="1" spans="2:2">
      <c r="B48545" s="62" t="str">
        <f>IF(AND('领用录入（明细）'!D:D=$F$4,'领用录入（明细）'!C:C&gt;=$J$4,'领用录入（明细）'!C:C&lt;=$L$4),ROW(),"-")</f>
        <v>-</v>
      </c>
    </row>
    <row r="48546" customHeight="1" spans="2:2">
      <c r="B48546" s="62" t="str">
        <f>IF(AND('领用录入（明细）'!D:D=$F$4,'领用录入（明细）'!C:C&gt;=$J$4,'领用录入（明细）'!C:C&lt;=$L$4),ROW(),"-")</f>
        <v>-</v>
      </c>
    </row>
    <row r="48547" customHeight="1" spans="2:2">
      <c r="B48547" s="62" t="str">
        <f>IF(AND('领用录入（明细）'!D:D=$F$4,'领用录入（明细）'!C:C&gt;=$J$4,'领用录入（明细）'!C:C&lt;=$L$4),ROW(),"-")</f>
        <v>-</v>
      </c>
    </row>
    <row r="48548" customHeight="1" spans="2:2">
      <c r="B48548" s="62" t="str">
        <f>IF(AND('领用录入（明细）'!D:D=$F$4,'领用录入（明细）'!C:C&gt;=$J$4,'领用录入（明细）'!C:C&lt;=$L$4),ROW(),"-")</f>
        <v>-</v>
      </c>
    </row>
    <row r="48549" customHeight="1" spans="2:2">
      <c r="B48549" s="62" t="str">
        <f>IF(AND('领用录入（明细）'!D:D=$F$4,'领用录入（明细）'!C:C&gt;=$J$4,'领用录入（明细）'!C:C&lt;=$L$4),ROW(),"-")</f>
        <v>-</v>
      </c>
    </row>
    <row r="48550" customHeight="1" spans="2:2">
      <c r="B48550" s="62" t="str">
        <f>IF(AND('领用录入（明细）'!D:D=$F$4,'领用录入（明细）'!C:C&gt;=$J$4,'领用录入（明细）'!C:C&lt;=$L$4),ROW(),"-")</f>
        <v>-</v>
      </c>
    </row>
    <row r="48551" customHeight="1" spans="2:2">
      <c r="B48551" s="62" t="str">
        <f>IF(AND('领用录入（明细）'!D:D=$F$4,'领用录入（明细）'!C:C&gt;=$J$4,'领用录入（明细）'!C:C&lt;=$L$4),ROW(),"-")</f>
        <v>-</v>
      </c>
    </row>
    <row r="48552" customHeight="1" spans="2:2">
      <c r="B48552" s="62" t="str">
        <f>IF(AND('领用录入（明细）'!D:D=$F$4,'领用录入（明细）'!C:C&gt;=$J$4,'领用录入（明细）'!C:C&lt;=$L$4),ROW(),"-")</f>
        <v>-</v>
      </c>
    </row>
    <row r="48553" customHeight="1" spans="2:2">
      <c r="B48553" s="62" t="str">
        <f>IF(AND('领用录入（明细）'!D:D=$F$4,'领用录入（明细）'!C:C&gt;=$J$4,'领用录入（明细）'!C:C&lt;=$L$4),ROW(),"-")</f>
        <v>-</v>
      </c>
    </row>
    <row r="48554" customHeight="1" spans="2:2">
      <c r="B48554" s="62" t="str">
        <f>IF(AND('领用录入（明细）'!D:D=$F$4,'领用录入（明细）'!C:C&gt;=$J$4,'领用录入（明细）'!C:C&lt;=$L$4),ROW(),"-")</f>
        <v>-</v>
      </c>
    </row>
    <row r="48555" customHeight="1" spans="2:2">
      <c r="B48555" s="62" t="str">
        <f>IF(AND('领用录入（明细）'!D:D=$F$4,'领用录入（明细）'!C:C&gt;=$J$4,'领用录入（明细）'!C:C&lt;=$L$4),ROW(),"-")</f>
        <v>-</v>
      </c>
    </row>
    <row r="48556" customHeight="1" spans="2:2">
      <c r="B48556" s="62" t="str">
        <f>IF(AND('领用录入（明细）'!D:D=$F$4,'领用录入（明细）'!C:C&gt;=$J$4,'领用录入（明细）'!C:C&lt;=$L$4),ROW(),"-")</f>
        <v>-</v>
      </c>
    </row>
    <row r="48557" customHeight="1" spans="2:2">
      <c r="B48557" s="62" t="str">
        <f>IF(AND('领用录入（明细）'!D:D=$F$4,'领用录入（明细）'!C:C&gt;=$J$4,'领用录入（明细）'!C:C&lt;=$L$4),ROW(),"-")</f>
        <v>-</v>
      </c>
    </row>
    <row r="48558" customHeight="1" spans="2:2">
      <c r="B48558" s="62" t="str">
        <f>IF(AND('领用录入（明细）'!D:D=$F$4,'领用录入（明细）'!C:C&gt;=$J$4,'领用录入（明细）'!C:C&lt;=$L$4),ROW(),"-")</f>
        <v>-</v>
      </c>
    </row>
    <row r="48559" customHeight="1" spans="2:2">
      <c r="B48559" s="62" t="str">
        <f>IF(AND('领用录入（明细）'!D:D=$F$4,'领用录入（明细）'!C:C&gt;=$J$4,'领用录入（明细）'!C:C&lt;=$L$4),ROW(),"-")</f>
        <v>-</v>
      </c>
    </row>
    <row r="48560" customHeight="1" spans="2:2">
      <c r="B48560" s="62" t="str">
        <f>IF(AND('领用录入（明细）'!D:D=$F$4,'领用录入（明细）'!C:C&gt;=$J$4,'领用录入（明细）'!C:C&lt;=$L$4),ROW(),"-")</f>
        <v>-</v>
      </c>
    </row>
    <row r="48561" customHeight="1" spans="2:2">
      <c r="B48561" s="62" t="str">
        <f>IF(AND('领用录入（明细）'!D:D=$F$4,'领用录入（明细）'!C:C&gt;=$J$4,'领用录入（明细）'!C:C&lt;=$L$4),ROW(),"-")</f>
        <v>-</v>
      </c>
    </row>
    <row r="48562" customHeight="1" spans="2:2">
      <c r="B48562" s="62" t="str">
        <f>IF(AND('领用录入（明细）'!D:D=$F$4,'领用录入（明细）'!C:C&gt;=$J$4,'领用录入（明细）'!C:C&lt;=$L$4),ROW(),"-")</f>
        <v>-</v>
      </c>
    </row>
    <row r="48563" customHeight="1" spans="2:2">
      <c r="B48563" s="62" t="str">
        <f>IF(AND('领用录入（明细）'!D:D=$F$4,'领用录入（明细）'!C:C&gt;=$J$4,'领用录入（明细）'!C:C&lt;=$L$4),ROW(),"-")</f>
        <v>-</v>
      </c>
    </row>
    <row r="48564" customHeight="1" spans="2:2">
      <c r="B48564" s="62" t="str">
        <f>IF(AND('领用录入（明细）'!D:D=$F$4,'领用录入（明细）'!C:C&gt;=$J$4,'领用录入（明细）'!C:C&lt;=$L$4),ROW(),"-")</f>
        <v>-</v>
      </c>
    </row>
    <row r="48565" customHeight="1" spans="2:2">
      <c r="B48565" s="62" t="str">
        <f>IF(AND('领用录入（明细）'!D:D=$F$4,'领用录入（明细）'!C:C&gt;=$J$4,'领用录入（明细）'!C:C&lt;=$L$4),ROW(),"-")</f>
        <v>-</v>
      </c>
    </row>
    <row r="48566" customHeight="1" spans="2:2">
      <c r="B48566" s="62" t="str">
        <f>IF(AND('领用录入（明细）'!D:D=$F$4,'领用录入（明细）'!C:C&gt;=$J$4,'领用录入（明细）'!C:C&lt;=$L$4),ROW(),"-")</f>
        <v>-</v>
      </c>
    </row>
    <row r="48567" customHeight="1" spans="2:2">
      <c r="B48567" s="62" t="str">
        <f>IF(AND('领用录入（明细）'!D:D=$F$4,'领用录入（明细）'!C:C&gt;=$J$4,'领用录入（明细）'!C:C&lt;=$L$4),ROW(),"-")</f>
        <v>-</v>
      </c>
    </row>
    <row r="48568" customHeight="1" spans="2:2">
      <c r="B48568" s="62" t="str">
        <f>IF(AND('领用录入（明细）'!D:D=$F$4,'领用录入（明细）'!C:C&gt;=$J$4,'领用录入（明细）'!C:C&lt;=$L$4),ROW(),"-")</f>
        <v>-</v>
      </c>
    </row>
    <row r="48569" customHeight="1" spans="2:2">
      <c r="B48569" s="62" t="str">
        <f>IF(AND('领用录入（明细）'!D:D=$F$4,'领用录入（明细）'!C:C&gt;=$J$4,'领用录入（明细）'!C:C&lt;=$L$4),ROW(),"-")</f>
        <v>-</v>
      </c>
    </row>
    <row r="48570" customHeight="1" spans="2:2">
      <c r="B48570" s="62" t="str">
        <f>IF(AND('领用录入（明细）'!D:D=$F$4,'领用录入（明细）'!C:C&gt;=$J$4,'领用录入（明细）'!C:C&lt;=$L$4),ROW(),"-")</f>
        <v>-</v>
      </c>
    </row>
    <row r="48571" customHeight="1" spans="2:2">
      <c r="B48571" s="62" t="str">
        <f>IF(AND('领用录入（明细）'!D:D=$F$4,'领用录入（明细）'!C:C&gt;=$J$4,'领用录入（明细）'!C:C&lt;=$L$4),ROW(),"-")</f>
        <v>-</v>
      </c>
    </row>
    <row r="48572" customHeight="1" spans="2:2">
      <c r="B48572" s="62" t="str">
        <f>IF(AND('领用录入（明细）'!D:D=$F$4,'领用录入（明细）'!C:C&gt;=$J$4,'领用录入（明细）'!C:C&lt;=$L$4),ROW(),"-")</f>
        <v>-</v>
      </c>
    </row>
    <row r="48573" customHeight="1" spans="2:2">
      <c r="B48573" s="62" t="str">
        <f>IF(AND('领用录入（明细）'!D:D=$F$4,'领用录入（明细）'!C:C&gt;=$J$4,'领用录入（明细）'!C:C&lt;=$L$4),ROW(),"-")</f>
        <v>-</v>
      </c>
    </row>
    <row r="48574" customHeight="1" spans="2:2">
      <c r="B48574" s="62" t="str">
        <f>IF(AND('领用录入（明细）'!D:D=$F$4,'领用录入（明细）'!C:C&gt;=$J$4,'领用录入（明细）'!C:C&lt;=$L$4),ROW(),"-")</f>
        <v>-</v>
      </c>
    </row>
    <row r="48575" customHeight="1" spans="2:2">
      <c r="B48575" s="62" t="str">
        <f>IF(AND('领用录入（明细）'!D:D=$F$4,'领用录入（明细）'!C:C&gt;=$J$4,'领用录入（明细）'!C:C&lt;=$L$4),ROW(),"-")</f>
        <v>-</v>
      </c>
    </row>
    <row r="48576" customHeight="1" spans="2:2">
      <c r="B48576" s="62" t="str">
        <f>IF(AND('领用录入（明细）'!D:D=$F$4,'领用录入（明细）'!C:C&gt;=$J$4,'领用录入（明细）'!C:C&lt;=$L$4),ROW(),"-")</f>
        <v>-</v>
      </c>
    </row>
    <row r="48577" customHeight="1" spans="2:2">
      <c r="B48577" s="62" t="str">
        <f>IF(AND('领用录入（明细）'!D:D=$F$4,'领用录入（明细）'!C:C&gt;=$J$4,'领用录入（明细）'!C:C&lt;=$L$4),ROW(),"-")</f>
        <v>-</v>
      </c>
    </row>
    <row r="48578" customHeight="1" spans="2:2">
      <c r="B48578" s="62" t="str">
        <f>IF(AND('领用录入（明细）'!D:D=$F$4,'领用录入（明细）'!C:C&gt;=$J$4,'领用录入（明细）'!C:C&lt;=$L$4),ROW(),"-")</f>
        <v>-</v>
      </c>
    </row>
    <row r="48579" customHeight="1" spans="2:2">
      <c r="B48579" s="62" t="str">
        <f>IF(AND('领用录入（明细）'!D:D=$F$4,'领用录入（明细）'!C:C&gt;=$J$4,'领用录入（明细）'!C:C&lt;=$L$4),ROW(),"-")</f>
        <v>-</v>
      </c>
    </row>
    <row r="48580" customHeight="1" spans="2:2">
      <c r="B48580" s="62" t="str">
        <f>IF(AND('领用录入（明细）'!D:D=$F$4,'领用录入（明细）'!C:C&gt;=$J$4,'领用录入（明细）'!C:C&lt;=$L$4),ROW(),"-")</f>
        <v>-</v>
      </c>
    </row>
    <row r="48581" customHeight="1" spans="2:2">
      <c r="B48581" s="62" t="str">
        <f>IF(AND('领用录入（明细）'!D:D=$F$4,'领用录入（明细）'!C:C&gt;=$J$4,'领用录入（明细）'!C:C&lt;=$L$4),ROW(),"-")</f>
        <v>-</v>
      </c>
    </row>
    <row r="48582" customHeight="1" spans="2:2">
      <c r="B48582" s="62" t="str">
        <f>IF(AND('领用录入（明细）'!D:D=$F$4,'领用录入（明细）'!C:C&gt;=$J$4,'领用录入（明细）'!C:C&lt;=$L$4),ROW(),"-")</f>
        <v>-</v>
      </c>
    </row>
    <row r="48583" customHeight="1" spans="2:2">
      <c r="B48583" s="62" t="str">
        <f>IF(AND('领用录入（明细）'!D:D=$F$4,'领用录入（明细）'!C:C&gt;=$J$4,'领用录入（明细）'!C:C&lt;=$L$4),ROW(),"-")</f>
        <v>-</v>
      </c>
    </row>
    <row r="48584" customHeight="1" spans="2:2">
      <c r="B48584" s="62" t="str">
        <f>IF(AND('领用录入（明细）'!D:D=$F$4,'领用录入（明细）'!C:C&gt;=$J$4,'领用录入（明细）'!C:C&lt;=$L$4),ROW(),"-")</f>
        <v>-</v>
      </c>
    </row>
    <row r="48585" customHeight="1" spans="2:2">
      <c r="B48585" s="62" t="str">
        <f>IF(AND('领用录入（明细）'!D:D=$F$4,'领用录入（明细）'!C:C&gt;=$J$4,'领用录入（明细）'!C:C&lt;=$L$4),ROW(),"-")</f>
        <v>-</v>
      </c>
    </row>
    <row r="48586" customHeight="1" spans="2:2">
      <c r="B48586" s="62" t="str">
        <f>IF(AND('领用录入（明细）'!D:D=$F$4,'领用录入（明细）'!C:C&gt;=$J$4,'领用录入（明细）'!C:C&lt;=$L$4),ROW(),"-")</f>
        <v>-</v>
      </c>
    </row>
    <row r="48587" customHeight="1" spans="2:2">
      <c r="B48587" s="62" t="str">
        <f>IF(AND('领用录入（明细）'!D:D=$F$4,'领用录入（明细）'!C:C&gt;=$J$4,'领用录入（明细）'!C:C&lt;=$L$4),ROW(),"-")</f>
        <v>-</v>
      </c>
    </row>
    <row r="48588" customHeight="1" spans="2:2">
      <c r="B48588" s="62" t="str">
        <f>IF(AND('领用录入（明细）'!D:D=$F$4,'领用录入（明细）'!C:C&gt;=$J$4,'领用录入（明细）'!C:C&lt;=$L$4),ROW(),"-")</f>
        <v>-</v>
      </c>
    </row>
    <row r="48589" customHeight="1" spans="2:2">
      <c r="B48589" s="62" t="str">
        <f>IF(AND('领用录入（明细）'!D:D=$F$4,'领用录入（明细）'!C:C&gt;=$J$4,'领用录入（明细）'!C:C&lt;=$L$4),ROW(),"-")</f>
        <v>-</v>
      </c>
    </row>
    <row r="48590" customHeight="1" spans="2:2">
      <c r="B48590" s="62" t="str">
        <f>IF(AND('领用录入（明细）'!D:D=$F$4,'领用录入（明细）'!C:C&gt;=$J$4,'领用录入（明细）'!C:C&lt;=$L$4),ROW(),"-")</f>
        <v>-</v>
      </c>
    </row>
    <row r="48591" customHeight="1" spans="2:2">
      <c r="B48591" s="62" t="str">
        <f>IF(AND('领用录入（明细）'!D:D=$F$4,'领用录入（明细）'!C:C&gt;=$J$4,'领用录入（明细）'!C:C&lt;=$L$4),ROW(),"-")</f>
        <v>-</v>
      </c>
    </row>
    <row r="48592" customHeight="1" spans="2:2">
      <c r="B48592" s="62" t="str">
        <f>IF(AND('领用录入（明细）'!D:D=$F$4,'领用录入（明细）'!C:C&gt;=$J$4,'领用录入（明细）'!C:C&lt;=$L$4),ROW(),"-")</f>
        <v>-</v>
      </c>
    </row>
    <row r="48593" customHeight="1" spans="2:2">
      <c r="B48593" s="62" t="str">
        <f>IF(AND('领用录入（明细）'!D:D=$F$4,'领用录入（明细）'!C:C&gt;=$J$4,'领用录入（明细）'!C:C&lt;=$L$4),ROW(),"-")</f>
        <v>-</v>
      </c>
    </row>
    <row r="48594" customHeight="1" spans="2:2">
      <c r="B48594" s="62" t="str">
        <f>IF(AND('领用录入（明细）'!D:D=$F$4,'领用录入（明细）'!C:C&gt;=$J$4,'领用录入（明细）'!C:C&lt;=$L$4),ROW(),"-")</f>
        <v>-</v>
      </c>
    </row>
    <row r="48595" customHeight="1" spans="2:2">
      <c r="B48595" s="62" t="str">
        <f>IF(AND('领用录入（明细）'!D:D=$F$4,'领用录入（明细）'!C:C&gt;=$J$4,'领用录入（明细）'!C:C&lt;=$L$4),ROW(),"-")</f>
        <v>-</v>
      </c>
    </row>
    <row r="48596" customHeight="1" spans="2:2">
      <c r="B48596" s="62" t="str">
        <f>IF(AND('领用录入（明细）'!D:D=$F$4,'领用录入（明细）'!C:C&gt;=$J$4,'领用录入（明细）'!C:C&lt;=$L$4),ROW(),"-")</f>
        <v>-</v>
      </c>
    </row>
    <row r="48597" customHeight="1" spans="2:2">
      <c r="B48597" s="62" t="str">
        <f>IF(AND('领用录入（明细）'!D:D=$F$4,'领用录入（明细）'!C:C&gt;=$J$4,'领用录入（明细）'!C:C&lt;=$L$4),ROW(),"-")</f>
        <v>-</v>
      </c>
    </row>
    <row r="48598" customHeight="1" spans="2:2">
      <c r="B48598" s="62" t="str">
        <f>IF(AND('领用录入（明细）'!D:D=$F$4,'领用录入（明细）'!C:C&gt;=$J$4,'领用录入（明细）'!C:C&lt;=$L$4),ROW(),"-")</f>
        <v>-</v>
      </c>
    </row>
    <row r="48599" customHeight="1" spans="2:2">
      <c r="B48599" s="62" t="str">
        <f>IF(AND('领用录入（明细）'!D:D=$F$4,'领用录入（明细）'!C:C&gt;=$J$4,'领用录入（明细）'!C:C&lt;=$L$4),ROW(),"-")</f>
        <v>-</v>
      </c>
    </row>
    <row r="48600" customHeight="1" spans="2:2">
      <c r="B48600" s="62" t="str">
        <f>IF(AND('领用录入（明细）'!D:D=$F$4,'领用录入（明细）'!C:C&gt;=$J$4,'领用录入（明细）'!C:C&lt;=$L$4),ROW(),"-")</f>
        <v>-</v>
      </c>
    </row>
    <row r="48601" customHeight="1" spans="2:2">
      <c r="B48601" s="62" t="str">
        <f>IF(AND('领用录入（明细）'!D:D=$F$4,'领用录入（明细）'!C:C&gt;=$J$4,'领用录入（明细）'!C:C&lt;=$L$4),ROW(),"-")</f>
        <v>-</v>
      </c>
    </row>
    <row r="48602" customHeight="1" spans="2:2">
      <c r="B48602" s="62" t="str">
        <f>IF(AND('领用录入（明细）'!D:D=$F$4,'领用录入（明细）'!C:C&gt;=$J$4,'领用录入（明细）'!C:C&lt;=$L$4),ROW(),"-")</f>
        <v>-</v>
      </c>
    </row>
    <row r="48603" customHeight="1" spans="2:2">
      <c r="B48603" s="62" t="str">
        <f>IF(AND('领用录入（明细）'!D:D=$F$4,'领用录入（明细）'!C:C&gt;=$J$4,'领用录入（明细）'!C:C&lt;=$L$4),ROW(),"-")</f>
        <v>-</v>
      </c>
    </row>
    <row r="48604" customHeight="1" spans="2:2">
      <c r="B48604" s="62" t="str">
        <f>IF(AND('领用录入（明细）'!D:D=$F$4,'领用录入（明细）'!C:C&gt;=$J$4,'领用录入（明细）'!C:C&lt;=$L$4),ROW(),"-")</f>
        <v>-</v>
      </c>
    </row>
    <row r="48605" customHeight="1" spans="2:2">
      <c r="B48605" s="62" t="str">
        <f>IF(AND('领用录入（明细）'!D:D=$F$4,'领用录入（明细）'!C:C&gt;=$J$4,'领用录入（明细）'!C:C&lt;=$L$4),ROW(),"-")</f>
        <v>-</v>
      </c>
    </row>
    <row r="48606" customHeight="1" spans="2:2">
      <c r="B48606" s="62" t="str">
        <f>IF(AND('领用录入（明细）'!D:D=$F$4,'领用录入（明细）'!C:C&gt;=$J$4,'领用录入（明细）'!C:C&lt;=$L$4),ROW(),"-")</f>
        <v>-</v>
      </c>
    </row>
    <row r="48607" customHeight="1" spans="2:2">
      <c r="B48607" s="62" t="str">
        <f>IF(AND('领用录入（明细）'!D:D=$F$4,'领用录入（明细）'!C:C&gt;=$J$4,'领用录入（明细）'!C:C&lt;=$L$4),ROW(),"-")</f>
        <v>-</v>
      </c>
    </row>
    <row r="48608" customHeight="1" spans="2:2">
      <c r="B48608" s="62" t="str">
        <f>IF(AND('领用录入（明细）'!D:D=$F$4,'领用录入（明细）'!C:C&gt;=$J$4,'领用录入（明细）'!C:C&lt;=$L$4),ROW(),"-")</f>
        <v>-</v>
      </c>
    </row>
    <row r="48609" customHeight="1" spans="2:2">
      <c r="B48609" s="62" t="str">
        <f>IF(AND('领用录入（明细）'!D:D=$F$4,'领用录入（明细）'!C:C&gt;=$J$4,'领用录入（明细）'!C:C&lt;=$L$4),ROW(),"-")</f>
        <v>-</v>
      </c>
    </row>
    <row r="48610" customHeight="1" spans="2:2">
      <c r="B48610" s="62" t="str">
        <f>IF(AND('领用录入（明细）'!D:D=$F$4,'领用录入（明细）'!C:C&gt;=$J$4,'领用录入（明细）'!C:C&lt;=$L$4),ROW(),"-")</f>
        <v>-</v>
      </c>
    </row>
    <row r="48611" customHeight="1" spans="2:2">
      <c r="B48611" s="62" t="str">
        <f>IF(AND('领用录入（明细）'!D:D=$F$4,'领用录入（明细）'!C:C&gt;=$J$4,'领用录入（明细）'!C:C&lt;=$L$4),ROW(),"-")</f>
        <v>-</v>
      </c>
    </row>
    <row r="48612" customHeight="1" spans="2:2">
      <c r="B48612" s="62" t="str">
        <f>IF(AND('领用录入（明细）'!D:D=$F$4,'领用录入（明细）'!C:C&gt;=$J$4,'领用录入（明细）'!C:C&lt;=$L$4),ROW(),"-")</f>
        <v>-</v>
      </c>
    </row>
    <row r="48613" customHeight="1" spans="2:2">
      <c r="B48613" s="62" t="str">
        <f>IF(AND('领用录入（明细）'!D:D=$F$4,'领用录入（明细）'!C:C&gt;=$J$4,'领用录入（明细）'!C:C&lt;=$L$4),ROW(),"-")</f>
        <v>-</v>
      </c>
    </row>
    <row r="48614" customHeight="1" spans="2:2">
      <c r="B48614" s="62" t="str">
        <f>IF(AND('领用录入（明细）'!D:D=$F$4,'领用录入（明细）'!C:C&gt;=$J$4,'领用录入（明细）'!C:C&lt;=$L$4),ROW(),"-")</f>
        <v>-</v>
      </c>
    </row>
    <row r="48615" customHeight="1" spans="2:2">
      <c r="B48615" s="62" t="str">
        <f>IF(AND('领用录入（明细）'!D:D=$F$4,'领用录入（明细）'!C:C&gt;=$J$4,'领用录入（明细）'!C:C&lt;=$L$4),ROW(),"-")</f>
        <v>-</v>
      </c>
    </row>
    <row r="48616" customHeight="1" spans="2:2">
      <c r="B48616" s="62" t="str">
        <f>IF(AND('领用录入（明细）'!D:D=$F$4,'领用录入（明细）'!C:C&gt;=$J$4,'领用录入（明细）'!C:C&lt;=$L$4),ROW(),"-")</f>
        <v>-</v>
      </c>
    </row>
    <row r="48617" customHeight="1" spans="2:2">
      <c r="B48617" s="62" t="str">
        <f>IF(AND('领用录入（明细）'!D:D=$F$4,'领用录入（明细）'!C:C&gt;=$J$4,'领用录入（明细）'!C:C&lt;=$L$4),ROW(),"-")</f>
        <v>-</v>
      </c>
    </row>
    <row r="48618" customHeight="1" spans="2:2">
      <c r="B48618" s="62" t="str">
        <f>IF(AND('领用录入（明细）'!D:D=$F$4,'领用录入（明细）'!C:C&gt;=$J$4,'领用录入（明细）'!C:C&lt;=$L$4),ROW(),"-")</f>
        <v>-</v>
      </c>
    </row>
    <row r="48619" customHeight="1" spans="2:2">
      <c r="B48619" s="62" t="str">
        <f>IF(AND('领用录入（明细）'!D:D=$F$4,'领用录入（明细）'!C:C&gt;=$J$4,'领用录入（明细）'!C:C&lt;=$L$4),ROW(),"-")</f>
        <v>-</v>
      </c>
    </row>
    <row r="48620" customHeight="1" spans="2:2">
      <c r="B48620" s="62" t="str">
        <f>IF(AND('领用录入（明细）'!D:D=$F$4,'领用录入（明细）'!C:C&gt;=$J$4,'领用录入（明细）'!C:C&lt;=$L$4),ROW(),"-")</f>
        <v>-</v>
      </c>
    </row>
    <row r="48621" customHeight="1" spans="2:2">
      <c r="B48621" s="62" t="str">
        <f>IF(AND('领用录入（明细）'!D:D=$F$4,'领用录入（明细）'!C:C&gt;=$J$4,'领用录入（明细）'!C:C&lt;=$L$4),ROW(),"-")</f>
        <v>-</v>
      </c>
    </row>
    <row r="48622" customHeight="1" spans="2:2">
      <c r="B48622" s="62" t="str">
        <f>IF(AND('领用录入（明细）'!D:D=$F$4,'领用录入（明细）'!C:C&gt;=$J$4,'领用录入（明细）'!C:C&lt;=$L$4),ROW(),"-")</f>
        <v>-</v>
      </c>
    </row>
    <row r="48623" customHeight="1" spans="2:2">
      <c r="B48623" s="62" t="str">
        <f>IF(AND('领用录入（明细）'!D:D=$F$4,'领用录入（明细）'!C:C&gt;=$J$4,'领用录入（明细）'!C:C&lt;=$L$4),ROW(),"-")</f>
        <v>-</v>
      </c>
    </row>
    <row r="48624" customHeight="1" spans="2:2">
      <c r="B48624" s="62" t="str">
        <f>IF(AND('领用录入（明细）'!D:D=$F$4,'领用录入（明细）'!C:C&gt;=$J$4,'领用录入（明细）'!C:C&lt;=$L$4),ROW(),"-")</f>
        <v>-</v>
      </c>
    </row>
    <row r="48625" customHeight="1" spans="2:2">
      <c r="B48625" s="62" t="str">
        <f>IF(AND('领用录入（明细）'!D:D=$F$4,'领用录入（明细）'!C:C&gt;=$J$4,'领用录入（明细）'!C:C&lt;=$L$4),ROW(),"-")</f>
        <v>-</v>
      </c>
    </row>
    <row r="48626" customHeight="1" spans="2:2">
      <c r="B48626" s="62" t="str">
        <f>IF(AND('领用录入（明细）'!D:D=$F$4,'领用录入（明细）'!C:C&gt;=$J$4,'领用录入（明细）'!C:C&lt;=$L$4),ROW(),"-")</f>
        <v>-</v>
      </c>
    </row>
    <row r="48627" customHeight="1" spans="2:2">
      <c r="B48627" s="62" t="str">
        <f>IF(AND('领用录入（明细）'!D:D=$F$4,'领用录入（明细）'!C:C&gt;=$J$4,'领用录入（明细）'!C:C&lt;=$L$4),ROW(),"-")</f>
        <v>-</v>
      </c>
    </row>
    <row r="48628" customHeight="1" spans="2:2">
      <c r="B48628" s="62" t="str">
        <f>IF(AND('领用录入（明细）'!D:D=$F$4,'领用录入（明细）'!C:C&gt;=$J$4,'领用录入（明细）'!C:C&lt;=$L$4),ROW(),"-")</f>
        <v>-</v>
      </c>
    </row>
    <row r="48629" customHeight="1" spans="2:2">
      <c r="B48629" s="62" t="str">
        <f>IF(AND('领用录入（明细）'!D:D=$F$4,'领用录入（明细）'!C:C&gt;=$J$4,'领用录入（明细）'!C:C&lt;=$L$4),ROW(),"-")</f>
        <v>-</v>
      </c>
    </row>
    <row r="48630" customHeight="1" spans="2:2">
      <c r="B48630" s="62" t="str">
        <f>IF(AND('领用录入（明细）'!D:D=$F$4,'领用录入（明细）'!C:C&gt;=$J$4,'领用录入（明细）'!C:C&lt;=$L$4),ROW(),"-")</f>
        <v>-</v>
      </c>
    </row>
    <row r="48631" customHeight="1" spans="2:2">
      <c r="B48631" s="62" t="str">
        <f>IF(AND('领用录入（明细）'!D:D=$F$4,'领用录入（明细）'!C:C&gt;=$J$4,'领用录入（明细）'!C:C&lt;=$L$4),ROW(),"-")</f>
        <v>-</v>
      </c>
    </row>
    <row r="48632" customHeight="1" spans="2:2">
      <c r="B48632" s="62" t="str">
        <f>IF(AND('领用录入（明细）'!D:D=$F$4,'领用录入（明细）'!C:C&gt;=$J$4,'领用录入（明细）'!C:C&lt;=$L$4),ROW(),"-")</f>
        <v>-</v>
      </c>
    </row>
    <row r="48633" customHeight="1" spans="2:2">
      <c r="B48633" s="62" t="str">
        <f>IF(AND('领用录入（明细）'!D:D=$F$4,'领用录入（明细）'!C:C&gt;=$J$4,'领用录入（明细）'!C:C&lt;=$L$4),ROW(),"-")</f>
        <v>-</v>
      </c>
    </row>
    <row r="48634" customHeight="1" spans="2:2">
      <c r="B48634" s="62" t="str">
        <f>IF(AND('领用录入（明细）'!D:D=$F$4,'领用录入（明细）'!C:C&gt;=$J$4,'领用录入（明细）'!C:C&lt;=$L$4),ROW(),"-")</f>
        <v>-</v>
      </c>
    </row>
    <row r="48635" customHeight="1" spans="2:2">
      <c r="B48635" s="62" t="str">
        <f>IF(AND('领用录入（明细）'!D:D=$F$4,'领用录入（明细）'!C:C&gt;=$J$4,'领用录入（明细）'!C:C&lt;=$L$4),ROW(),"-")</f>
        <v>-</v>
      </c>
    </row>
    <row r="48636" customHeight="1" spans="2:2">
      <c r="B48636" s="62" t="str">
        <f>IF(AND('领用录入（明细）'!D:D=$F$4,'领用录入（明细）'!C:C&gt;=$J$4,'领用录入（明细）'!C:C&lt;=$L$4),ROW(),"-")</f>
        <v>-</v>
      </c>
    </row>
    <row r="48637" customHeight="1" spans="2:2">
      <c r="B48637" s="62" t="str">
        <f>IF(AND('领用录入（明细）'!D:D=$F$4,'领用录入（明细）'!C:C&gt;=$J$4,'领用录入（明细）'!C:C&lt;=$L$4),ROW(),"-")</f>
        <v>-</v>
      </c>
    </row>
    <row r="48638" customHeight="1" spans="2:2">
      <c r="B48638" s="62" t="str">
        <f>IF(AND('领用录入（明细）'!D:D=$F$4,'领用录入（明细）'!C:C&gt;=$J$4,'领用录入（明细）'!C:C&lt;=$L$4),ROW(),"-")</f>
        <v>-</v>
      </c>
    </row>
    <row r="48639" customHeight="1" spans="2:2">
      <c r="B48639" s="62" t="str">
        <f>IF(AND('领用录入（明细）'!D:D=$F$4,'领用录入（明细）'!C:C&gt;=$J$4,'领用录入（明细）'!C:C&lt;=$L$4),ROW(),"-")</f>
        <v>-</v>
      </c>
    </row>
    <row r="48640" customHeight="1" spans="2:2">
      <c r="B48640" s="62" t="str">
        <f>IF(AND('领用录入（明细）'!D:D=$F$4,'领用录入（明细）'!C:C&gt;=$J$4,'领用录入（明细）'!C:C&lt;=$L$4),ROW(),"-")</f>
        <v>-</v>
      </c>
    </row>
    <row r="48641" customHeight="1" spans="2:2">
      <c r="B48641" s="62" t="str">
        <f>IF(AND('领用录入（明细）'!D:D=$F$4,'领用录入（明细）'!C:C&gt;=$J$4,'领用录入（明细）'!C:C&lt;=$L$4),ROW(),"-")</f>
        <v>-</v>
      </c>
    </row>
    <row r="48642" customHeight="1" spans="2:2">
      <c r="B48642" s="62" t="str">
        <f>IF(AND('领用录入（明细）'!D:D=$F$4,'领用录入（明细）'!C:C&gt;=$J$4,'领用录入（明细）'!C:C&lt;=$L$4),ROW(),"-")</f>
        <v>-</v>
      </c>
    </row>
    <row r="48643" customHeight="1" spans="2:2">
      <c r="B48643" s="62" t="str">
        <f>IF(AND('领用录入（明细）'!D:D=$F$4,'领用录入（明细）'!C:C&gt;=$J$4,'领用录入（明细）'!C:C&lt;=$L$4),ROW(),"-")</f>
        <v>-</v>
      </c>
    </row>
    <row r="48644" customHeight="1" spans="2:2">
      <c r="B48644" s="62" t="str">
        <f>IF(AND('领用录入（明细）'!D:D=$F$4,'领用录入（明细）'!C:C&gt;=$J$4,'领用录入（明细）'!C:C&lt;=$L$4),ROW(),"-")</f>
        <v>-</v>
      </c>
    </row>
    <row r="48645" customHeight="1" spans="2:2">
      <c r="B48645" s="62" t="str">
        <f>IF(AND('领用录入（明细）'!D:D=$F$4,'领用录入（明细）'!C:C&gt;=$J$4,'领用录入（明细）'!C:C&lt;=$L$4),ROW(),"-")</f>
        <v>-</v>
      </c>
    </row>
    <row r="48646" customHeight="1" spans="2:2">
      <c r="B48646" s="62" t="str">
        <f>IF(AND('领用录入（明细）'!D:D=$F$4,'领用录入（明细）'!C:C&gt;=$J$4,'领用录入（明细）'!C:C&lt;=$L$4),ROW(),"-")</f>
        <v>-</v>
      </c>
    </row>
    <row r="48647" customHeight="1" spans="2:2">
      <c r="B48647" s="62" t="str">
        <f>IF(AND('领用录入（明细）'!D:D=$F$4,'领用录入（明细）'!C:C&gt;=$J$4,'领用录入（明细）'!C:C&lt;=$L$4),ROW(),"-")</f>
        <v>-</v>
      </c>
    </row>
    <row r="48648" customHeight="1" spans="2:2">
      <c r="B48648" s="62" t="str">
        <f>IF(AND('领用录入（明细）'!D:D=$F$4,'领用录入（明细）'!C:C&gt;=$J$4,'领用录入（明细）'!C:C&lt;=$L$4),ROW(),"-")</f>
        <v>-</v>
      </c>
    </row>
    <row r="48649" customHeight="1" spans="2:2">
      <c r="B48649" s="62" t="str">
        <f>IF(AND('领用录入（明细）'!D:D=$F$4,'领用录入（明细）'!C:C&gt;=$J$4,'领用录入（明细）'!C:C&lt;=$L$4),ROW(),"-")</f>
        <v>-</v>
      </c>
    </row>
    <row r="48650" customHeight="1" spans="2:2">
      <c r="B48650" s="62" t="str">
        <f>IF(AND('领用录入（明细）'!D:D=$F$4,'领用录入（明细）'!C:C&gt;=$J$4,'领用录入（明细）'!C:C&lt;=$L$4),ROW(),"-")</f>
        <v>-</v>
      </c>
    </row>
    <row r="48651" customHeight="1" spans="2:2">
      <c r="B48651" s="62" t="str">
        <f>IF(AND('领用录入（明细）'!D:D=$F$4,'领用录入（明细）'!C:C&gt;=$J$4,'领用录入（明细）'!C:C&lt;=$L$4),ROW(),"-")</f>
        <v>-</v>
      </c>
    </row>
    <row r="48652" customHeight="1" spans="2:2">
      <c r="B48652" s="62" t="str">
        <f>IF(AND('领用录入（明细）'!D:D=$F$4,'领用录入（明细）'!C:C&gt;=$J$4,'领用录入（明细）'!C:C&lt;=$L$4),ROW(),"-")</f>
        <v>-</v>
      </c>
    </row>
    <row r="48653" customHeight="1" spans="2:2">
      <c r="B48653" s="62" t="str">
        <f>IF(AND('领用录入（明细）'!D:D=$F$4,'领用录入（明细）'!C:C&gt;=$J$4,'领用录入（明细）'!C:C&lt;=$L$4),ROW(),"-")</f>
        <v>-</v>
      </c>
    </row>
    <row r="48654" customHeight="1" spans="2:2">
      <c r="B48654" s="62" t="str">
        <f>IF(AND('领用录入（明细）'!D:D=$F$4,'领用录入（明细）'!C:C&gt;=$J$4,'领用录入（明细）'!C:C&lt;=$L$4),ROW(),"-")</f>
        <v>-</v>
      </c>
    </row>
    <row r="48655" customHeight="1" spans="2:2">
      <c r="B48655" s="62" t="str">
        <f>IF(AND('领用录入（明细）'!D:D=$F$4,'领用录入（明细）'!C:C&gt;=$J$4,'领用录入（明细）'!C:C&lt;=$L$4),ROW(),"-")</f>
        <v>-</v>
      </c>
    </row>
    <row r="48656" customHeight="1" spans="2:2">
      <c r="B48656" s="62" t="str">
        <f>IF(AND('领用录入（明细）'!D:D=$F$4,'领用录入（明细）'!C:C&gt;=$J$4,'领用录入（明细）'!C:C&lt;=$L$4),ROW(),"-")</f>
        <v>-</v>
      </c>
    </row>
    <row r="48657" customHeight="1" spans="2:2">
      <c r="B48657" s="62" t="str">
        <f>IF(AND('领用录入（明细）'!D:D=$F$4,'领用录入（明细）'!C:C&gt;=$J$4,'领用录入（明细）'!C:C&lt;=$L$4),ROW(),"-")</f>
        <v>-</v>
      </c>
    </row>
    <row r="48658" customHeight="1" spans="2:2">
      <c r="B48658" s="62" t="str">
        <f>IF(AND('领用录入（明细）'!D:D=$F$4,'领用录入（明细）'!C:C&gt;=$J$4,'领用录入（明细）'!C:C&lt;=$L$4),ROW(),"-")</f>
        <v>-</v>
      </c>
    </row>
    <row r="48659" customHeight="1" spans="2:2">
      <c r="B48659" s="62" t="str">
        <f>IF(AND('领用录入（明细）'!D:D=$F$4,'领用录入（明细）'!C:C&gt;=$J$4,'领用录入（明细）'!C:C&lt;=$L$4),ROW(),"-")</f>
        <v>-</v>
      </c>
    </row>
    <row r="48660" customHeight="1" spans="2:2">
      <c r="B48660" s="62" t="str">
        <f>IF(AND('领用录入（明细）'!D:D=$F$4,'领用录入（明细）'!C:C&gt;=$J$4,'领用录入（明细）'!C:C&lt;=$L$4),ROW(),"-")</f>
        <v>-</v>
      </c>
    </row>
    <row r="48661" customHeight="1" spans="2:2">
      <c r="B48661" s="62" t="str">
        <f>IF(AND('领用录入（明细）'!D:D=$F$4,'领用录入（明细）'!C:C&gt;=$J$4,'领用录入（明细）'!C:C&lt;=$L$4),ROW(),"-")</f>
        <v>-</v>
      </c>
    </row>
    <row r="48662" customHeight="1" spans="2:2">
      <c r="B48662" s="62" t="str">
        <f>IF(AND('领用录入（明细）'!D:D=$F$4,'领用录入（明细）'!C:C&gt;=$J$4,'领用录入（明细）'!C:C&lt;=$L$4),ROW(),"-")</f>
        <v>-</v>
      </c>
    </row>
    <row r="48663" customHeight="1" spans="2:2">
      <c r="B48663" s="62" t="str">
        <f>IF(AND('领用录入（明细）'!D:D=$F$4,'领用录入（明细）'!C:C&gt;=$J$4,'领用录入（明细）'!C:C&lt;=$L$4),ROW(),"-")</f>
        <v>-</v>
      </c>
    </row>
    <row r="48664" customHeight="1" spans="2:2">
      <c r="B48664" s="62" t="str">
        <f>IF(AND('领用录入（明细）'!D:D=$F$4,'领用录入（明细）'!C:C&gt;=$J$4,'领用录入（明细）'!C:C&lt;=$L$4),ROW(),"-")</f>
        <v>-</v>
      </c>
    </row>
    <row r="48665" customHeight="1" spans="2:2">
      <c r="B48665" s="62" t="str">
        <f>IF(AND('领用录入（明细）'!D:D=$F$4,'领用录入（明细）'!C:C&gt;=$J$4,'领用录入（明细）'!C:C&lt;=$L$4),ROW(),"-")</f>
        <v>-</v>
      </c>
    </row>
    <row r="48666" customHeight="1" spans="2:2">
      <c r="B48666" s="62" t="str">
        <f>IF(AND('领用录入（明细）'!D:D=$F$4,'领用录入（明细）'!C:C&gt;=$J$4,'领用录入（明细）'!C:C&lt;=$L$4),ROW(),"-")</f>
        <v>-</v>
      </c>
    </row>
    <row r="48667" customHeight="1" spans="2:2">
      <c r="B48667" s="62" t="str">
        <f>IF(AND('领用录入（明细）'!D:D=$F$4,'领用录入（明细）'!C:C&gt;=$J$4,'领用录入（明细）'!C:C&lt;=$L$4),ROW(),"-")</f>
        <v>-</v>
      </c>
    </row>
    <row r="48668" customHeight="1" spans="2:2">
      <c r="B48668" s="62" t="str">
        <f>IF(AND('领用录入（明细）'!D:D=$F$4,'领用录入（明细）'!C:C&gt;=$J$4,'领用录入（明细）'!C:C&lt;=$L$4),ROW(),"-")</f>
        <v>-</v>
      </c>
    </row>
    <row r="48669" customHeight="1" spans="2:2">
      <c r="B48669" s="62" t="str">
        <f>IF(AND('领用录入（明细）'!D:D=$F$4,'领用录入（明细）'!C:C&gt;=$J$4,'领用录入（明细）'!C:C&lt;=$L$4),ROW(),"-")</f>
        <v>-</v>
      </c>
    </row>
    <row r="48670" customHeight="1" spans="2:2">
      <c r="B48670" s="62" t="str">
        <f>IF(AND('领用录入（明细）'!D:D=$F$4,'领用录入（明细）'!C:C&gt;=$J$4,'领用录入（明细）'!C:C&lt;=$L$4),ROW(),"-")</f>
        <v>-</v>
      </c>
    </row>
    <row r="48671" customHeight="1" spans="2:2">
      <c r="B48671" s="62" t="str">
        <f>IF(AND('领用录入（明细）'!D:D=$F$4,'领用录入（明细）'!C:C&gt;=$J$4,'领用录入（明细）'!C:C&lt;=$L$4),ROW(),"-")</f>
        <v>-</v>
      </c>
    </row>
    <row r="48672" customHeight="1" spans="2:2">
      <c r="B48672" s="62" t="str">
        <f>IF(AND('领用录入（明细）'!D:D=$F$4,'领用录入（明细）'!C:C&gt;=$J$4,'领用录入（明细）'!C:C&lt;=$L$4),ROW(),"-")</f>
        <v>-</v>
      </c>
    </row>
    <row r="48673" customHeight="1" spans="2:2">
      <c r="B48673" s="62" t="str">
        <f>IF(AND('领用录入（明细）'!D:D=$F$4,'领用录入（明细）'!C:C&gt;=$J$4,'领用录入（明细）'!C:C&lt;=$L$4),ROW(),"-")</f>
        <v>-</v>
      </c>
    </row>
    <row r="48674" customHeight="1" spans="2:2">
      <c r="B48674" s="62" t="str">
        <f>IF(AND('领用录入（明细）'!D:D=$F$4,'领用录入（明细）'!C:C&gt;=$J$4,'领用录入（明细）'!C:C&lt;=$L$4),ROW(),"-")</f>
        <v>-</v>
      </c>
    </row>
    <row r="48675" customHeight="1" spans="2:2">
      <c r="B48675" s="62" t="str">
        <f>IF(AND('领用录入（明细）'!D:D=$F$4,'领用录入（明细）'!C:C&gt;=$J$4,'领用录入（明细）'!C:C&lt;=$L$4),ROW(),"-")</f>
        <v>-</v>
      </c>
    </row>
    <row r="48676" customHeight="1" spans="2:2">
      <c r="B48676" s="62" t="str">
        <f>IF(AND('领用录入（明细）'!D:D=$F$4,'领用录入（明细）'!C:C&gt;=$J$4,'领用录入（明细）'!C:C&lt;=$L$4),ROW(),"-")</f>
        <v>-</v>
      </c>
    </row>
    <row r="48677" customHeight="1" spans="2:2">
      <c r="B48677" s="62" t="str">
        <f>IF(AND('领用录入（明细）'!D:D=$F$4,'领用录入（明细）'!C:C&gt;=$J$4,'领用录入（明细）'!C:C&lt;=$L$4),ROW(),"-")</f>
        <v>-</v>
      </c>
    </row>
    <row r="48678" customHeight="1" spans="2:2">
      <c r="B48678" s="62" t="str">
        <f>IF(AND('领用录入（明细）'!D:D=$F$4,'领用录入（明细）'!C:C&gt;=$J$4,'领用录入（明细）'!C:C&lt;=$L$4),ROW(),"-")</f>
        <v>-</v>
      </c>
    </row>
    <row r="48679" customHeight="1" spans="2:2">
      <c r="B48679" s="62" t="str">
        <f>IF(AND('领用录入（明细）'!D:D=$F$4,'领用录入（明细）'!C:C&gt;=$J$4,'领用录入（明细）'!C:C&lt;=$L$4),ROW(),"-")</f>
        <v>-</v>
      </c>
    </row>
    <row r="48680" customHeight="1" spans="2:2">
      <c r="B48680" s="62" t="str">
        <f>IF(AND('领用录入（明细）'!D:D=$F$4,'领用录入（明细）'!C:C&gt;=$J$4,'领用录入（明细）'!C:C&lt;=$L$4),ROW(),"-")</f>
        <v>-</v>
      </c>
    </row>
    <row r="48681" customHeight="1" spans="2:2">
      <c r="B48681" s="62" t="str">
        <f>IF(AND('领用录入（明细）'!D:D=$F$4,'领用录入（明细）'!C:C&gt;=$J$4,'领用录入（明细）'!C:C&lt;=$L$4),ROW(),"-")</f>
        <v>-</v>
      </c>
    </row>
    <row r="48682" customHeight="1" spans="2:2">
      <c r="B48682" s="62" t="str">
        <f>IF(AND('领用录入（明细）'!D:D=$F$4,'领用录入（明细）'!C:C&gt;=$J$4,'领用录入（明细）'!C:C&lt;=$L$4),ROW(),"-")</f>
        <v>-</v>
      </c>
    </row>
    <row r="48683" customHeight="1" spans="2:2">
      <c r="B48683" s="62" t="str">
        <f>IF(AND('领用录入（明细）'!D:D=$F$4,'领用录入（明细）'!C:C&gt;=$J$4,'领用录入（明细）'!C:C&lt;=$L$4),ROW(),"-")</f>
        <v>-</v>
      </c>
    </row>
    <row r="48684" customHeight="1" spans="2:2">
      <c r="B48684" s="62" t="str">
        <f>IF(AND('领用录入（明细）'!D:D=$F$4,'领用录入（明细）'!C:C&gt;=$J$4,'领用录入（明细）'!C:C&lt;=$L$4),ROW(),"-")</f>
        <v>-</v>
      </c>
    </row>
    <row r="48685" customHeight="1" spans="2:2">
      <c r="B48685" s="62" t="str">
        <f>IF(AND('领用录入（明细）'!D:D=$F$4,'领用录入（明细）'!C:C&gt;=$J$4,'领用录入（明细）'!C:C&lt;=$L$4),ROW(),"-")</f>
        <v>-</v>
      </c>
    </row>
    <row r="48686" customHeight="1" spans="2:2">
      <c r="B48686" s="62" t="str">
        <f>IF(AND('领用录入（明细）'!D:D=$F$4,'领用录入（明细）'!C:C&gt;=$J$4,'领用录入（明细）'!C:C&lt;=$L$4),ROW(),"-")</f>
        <v>-</v>
      </c>
    </row>
    <row r="48687" customHeight="1" spans="2:2">
      <c r="B48687" s="62" t="str">
        <f>IF(AND('领用录入（明细）'!D:D=$F$4,'领用录入（明细）'!C:C&gt;=$J$4,'领用录入（明细）'!C:C&lt;=$L$4),ROW(),"-")</f>
        <v>-</v>
      </c>
    </row>
    <row r="48688" customHeight="1" spans="2:2">
      <c r="B48688" s="62" t="str">
        <f>IF(AND('领用录入（明细）'!D:D=$F$4,'领用录入（明细）'!C:C&gt;=$J$4,'领用录入（明细）'!C:C&lt;=$L$4),ROW(),"-")</f>
        <v>-</v>
      </c>
    </row>
    <row r="48689" customHeight="1" spans="2:2">
      <c r="B48689" s="62" t="str">
        <f>IF(AND('领用录入（明细）'!D:D=$F$4,'领用录入（明细）'!C:C&gt;=$J$4,'领用录入（明细）'!C:C&lt;=$L$4),ROW(),"-")</f>
        <v>-</v>
      </c>
    </row>
    <row r="48690" customHeight="1" spans="2:2">
      <c r="B48690" s="62" t="str">
        <f>IF(AND('领用录入（明细）'!D:D=$F$4,'领用录入（明细）'!C:C&gt;=$J$4,'领用录入（明细）'!C:C&lt;=$L$4),ROW(),"-")</f>
        <v>-</v>
      </c>
    </row>
    <row r="48691" customHeight="1" spans="2:2">
      <c r="B48691" s="62" t="str">
        <f>IF(AND('领用录入（明细）'!D:D=$F$4,'领用录入（明细）'!C:C&gt;=$J$4,'领用录入（明细）'!C:C&lt;=$L$4),ROW(),"-")</f>
        <v>-</v>
      </c>
    </row>
    <row r="48692" customHeight="1" spans="2:2">
      <c r="B48692" s="62" t="str">
        <f>IF(AND('领用录入（明细）'!D:D=$F$4,'领用录入（明细）'!C:C&gt;=$J$4,'领用录入（明细）'!C:C&lt;=$L$4),ROW(),"-")</f>
        <v>-</v>
      </c>
    </row>
    <row r="48693" customHeight="1" spans="2:2">
      <c r="B48693" s="62" t="str">
        <f>IF(AND('领用录入（明细）'!D:D=$F$4,'领用录入（明细）'!C:C&gt;=$J$4,'领用录入（明细）'!C:C&lt;=$L$4),ROW(),"-")</f>
        <v>-</v>
      </c>
    </row>
    <row r="48694" customHeight="1" spans="2:2">
      <c r="B48694" s="62" t="str">
        <f>IF(AND('领用录入（明细）'!D:D=$F$4,'领用录入（明细）'!C:C&gt;=$J$4,'领用录入（明细）'!C:C&lt;=$L$4),ROW(),"-")</f>
        <v>-</v>
      </c>
    </row>
    <row r="48695" customHeight="1" spans="2:2">
      <c r="B48695" s="62" t="str">
        <f>IF(AND('领用录入（明细）'!D:D=$F$4,'领用录入（明细）'!C:C&gt;=$J$4,'领用录入（明细）'!C:C&lt;=$L$4),ROW(),"-")</f>
        <v>-</v>
      </c>
    </row>
    <row r="48696" customHeight="1" spans="2:2">
      <c r="B48696" s="62" t="str">
        <f>IF(AND('领用录入（明细）'!D:D=$F$4,'领用录入（明细）'!C:C&gt;=$J$4,'领用录入（明细）'!C:C&lt;=$L$4),ROW(),"-")</f>
        <v>-</v>
      </c>
    </row>
    <row r="48697" customHeight="1" spans="2:2">
      <c r="B48697" s="62" t="str">
        <f>IF(AND('领用录入（明细）'!D:D=$F$4,'领用录入（明细）'!C:C&gt;=$J$4,'领用录入（明细）'!C:C&lt;=$L$4),ROW(),"-")</f>
        <v>-</v>
      </c>
    </row>
    <row r="48698" customHeight="1" spans="2:2">
      <c r="B48698" s="62" t="str">
        <f>IF(AND('领用录入（明细）'!D:D=$F$4,'领用录入（明细）'!C:C&gt;=$J$4,'领用录入（明细）'!C:C&lt;=$L$4),ROW(),"-")</f>
        <v>-</v>
      </c>
    </row>
    <row r="48699" customHeight="1" spans="2:2">
      <c r="B48699" s="62" t="str">
        <f>IF(AND('领用录入（明细）'!D:D=$F$4,'领用录入（明细）'!C:C&gt;=$J$4,'领用录入（明细）'!C:C&lt;=$L$4),ROW(),"-")</f>
        <v>-</v>
      </c>
    </row>
    <row r="48700" customHeight="1" spans="2:2">
      <c r="B48700" s="62" t="str">
        <f>IF(AND('领用录入（明细）'!D:D=$F$4,'领用录入（明细）'!C:C&gt;=$J$4,'领用录入（明细）'!C:C&lt;=$L$4),ROW(),"-")</f>
        <v>-</v>
      </c>
    </row>
    <row r="48701" customHeight="1" spans="2:2">
      <c r="B48701" s="62" t="str">
        <f>IF(AND('领用录入（明细）'!D:D=$F$4,'领用录入（明细）'!C:C&gt;=$J$4,'领用录入（明细）'!C:C&lt;=$L$4),ROW(),"-")</f>
        <v>-</v>
      </c>
    </row>
    <row r="48702" customHeight="1" spans="2:2">
      <c r="B48702" s="62" t="str">
        <f>IF(AND('领用录入（明细）'!D:D=$F$4,'领用录入（明细）'!C:C&gt;=$J$4,'领用录入（明细）'!C:C&lt;=$L$4),ROW(),"-")</f>
        <v>-</v>
      </c>
    </row>
    <row r="48703" customHeight="1" spans="2:2">
      <c r="B48703" s="62" t="str">
        <f>IF(AND('领用录入（明细）'!D:D=$F$4,'领用录入（明细）'!C:C&gt;=$J$4,'领用录入（明细）'!C:C&lt;=$L$4),ROW(),"-")</f>
        <v>-</v>
      </c>
    </row>
    <row r="48704" customHeight="1" spans="2:2">
      <c r="B48704" s="62" t="str">
        <f>IF(AND('领用录入（明细）'!D:D=$F$4,'领用录入（明细）'!C:C&gt;=$J$4,'领用录入（明细）'!C:C&lt;=$L$4),ROW(),"-")</f>
        <v>-</v>
      </c>
    </row>
    <row r="48705" customHeight="1" spans="2:2">
      <c r="B48705" s="62" t="str">
        <f>IF(AND('领用录入（明细）'!D:D=$F$4,'领用录入（明细）'!C:C&gt;=$J$4,'领用录入（明细）'!C:C&lt;=$L$4),ROW(),"-")</f>
        <v>-</v>
      </c>
    </row>
    <row r="48706" customHeight="1" spans="2:2">
      <c r="B48706" s="62" t="str">
        <f>IF(AND('领用录入（明细）'!D:D=$F$4,'领用录入（明细）'!C:C&gt;=$J$4,'领用录入（明细）'!C:C&lt;=$L$4),ROW(),"-")</f>
        <v>-</v>
      </c>
    </row>
    <row r="48707" customHeight="1" spans="2:2">
      <c r="B48707" s="62" t="str">
        <f>IF(AND('领用录入（明细）'!D:D=$F$4,'领用录入（明细）'!C:C&gt;=$J$4,'领用录入（明细）'!C:C&lt;=$L$4),ROW(),"-")</f>
        <v>-</v>
      </c>
    </row>
    <row r="48708" customHeight="1" spans="2:2">
      <c r="B48708" s="62" t="str">
        <f>IF(AND('领用录入（明细）'!D:D=$F$4,'领用录入（明细）'!C:C&gt;=$J$4,'领用录入（明细）'!C:C&lt;=$L$4),ROW(),"-")</f>
        <v>-</v>
      </c>
    </row>
    <row r="48709" customHeight="1" spans="2:2">
      <c r="B48709" s="62" t="str">
        <f>IF(AND('领用录入（明细）'!D:D=$F$4,'领用录入（明细）'!C:C&gt;=$J$4,'领用录入（明细）'!C:C&lt;=$L$4),ROW(),"-")</f>
        <v>-</v>
      </c>
    </row>
    <row r="48710" customHeight="1" spans="2:2">
      <c r="B48710" s="62" t="str">
        <f>IF(AND('领用录入（明细）'!D:D=$F$4,'领用录入（明细）'!C:C&gt;=$J$4,'领用录入（明细）'!C:C&lt;=$L$4),ROW(),"-")</f>
        <v>-</v>
      </c>
    </row>
    <row r="48711" customHeight="1" spans="2:2">
      <c r="B48711" s="62" t="str">
        <f>IF(AND('领用录入（明细）'!D:D=$F$4,'领用录入（明细）'!C:C&gt;=$J$4,'领用录入（明细）'!C:C&lt;=$L$4),ROW(),"-")</f>
        <v>-</v>
      </c>
    </row>
    <row r="48712" customHeight="1" spans="2:2">
      <c r="B48712" s="62" t="str">
        <f>IF(AND('领用录入（明细）'!D:D=$F$4,'领用录入（明细）'!C:C&gt;=$J$4,'领用录入（明细）'!C:C&lt;=$L$4),ROW(),"-")</f>
        <v>-</v>
      </c>
    </row>
    <row r="48713" customHeight="1" spans="2:2">
      <c r="B48713" s="62" t="str">
        <f>IF(AND('领用录入（明细）'!D:D=$F$4,'领用录入（明细）'!C:C&gt;=$J$4,'领用录入（明细）'!C:C&lt;=$L$4),ROW(),"-")</f>
        <v>-</v>
      </c>
    </row>
    <row r="48714" customHeight="1" spans="2:2">
      <c r="B48714" s="62" t="str">
        <f>IF(AND('领用录入（明细）'!D:D=$F$4,'领用录入（明细）'!C:C&gt;=$J$4,'领用录入（明细）'!C:C&lt;=$L$4),ROW(),"-")</f>
        <v>-</v>
      </c>
    </row>
    <row r="48715" customHeight="1" spans="2:2">
      <c r="B48715" s="62" t="str">
        <f>IF(AND('领用录入（明细）'!D:D=$F$4,'领用录入（明细）'!C:C&gt;=$J$4,'领用录入（明细）'!C:C&lt;=$L$4),ROW(),"-")</f>
        <v>-</v>
      </c>
    </row>
    <row r="48716" customHeight="1" spans="2:2">
      <c r="B48716" s="62" t="str">
        <f>IF(AND('领用录入（明细）'!D:D=$F$4,'领用录入（明细）'!C:C&gt;=$J$4,'领用录入（明细）'!C:C&lt;=$L$4),ROW(),"-")</f>
        <v>-</v>
      </c>
    </row>
    <row r="48717" customHeight="1" spans="2:2">
      <c r="B48717" s="62" t="str">
        <f>IF(AND('领用录入（明细）'!D:D=$F$4,'领用录入（明细）'!C:C&gt;=$J$4,'领用录入（明细）'!C:C&lt;=$L$4),ROW(),"-")</f>
        <v>-</v>
      </c>
    </row>
    <row r="48718" customHeight="1" spans="2:2">
      <c r="B48718" s="62" t="str">
        <f>IF(AND('领用录入（明细）'!D:D=$F$4,'领用录入（明细）'!C:C&gt;=$J$4,'领用录入（明细）'!C:C&lt;=$L$4),ROW(),"-")</f>
        <v>-</v>
      </c>
    </row>
    <row r="48719" customHeight="1" spans="2:2">
      <c r="B48719" s="62" t="str">
        <f>IF(AND('领用录入（明细）'!D:D=$F$4,'领用录入（明细）'!C:C&gt;=$J$4,'领用录入（明细）'!C:C&lt;=$L$4),ROW(),"-")</f>
        <v>-</v>
      </c>
    </row>
    <row r="48720" customHeight="1" spans="2:2">
      <c r="B48720" s="62" t="str">
        <f>IF(AND('领用录入（明细）'!D:D=$F$4,'领用录入（明细）'!C:C&gt;=$J$4,'领用录入（明细）'!C:C&lt;=$L$4),ROW(),"-")</f>
        <v>-</v>
      </c>
    </row>
    <row r="48721" customHeight="1" spans="2:2">
      <c r="B48721" s="62" t="str">
        <f>IF(AND('领用录入（明细）'!D:D=$F$4,'领用录入（明细）'!C:C&gt;=$J$4,'领用录入（明细）'!C:C&lt;=$L$4),ROW(),"-")</f>
        <v>-</v>
      </c>
    </row>
    <row r="48722" customHeight="1" spans="2:2">
      <c r="B48722" s="62" t="str">
        <f>IF(AND('领用录入（明细）'!D:D=$F$4,'领用录入（明细）'!C:C&gt;=$J$4,'领用录入（明细）'!C:C&lt;=$L$4),ROW(),"-")</f>
        <v>-</v>
      </c>
    </row>
    <row r="48723" customHeight="1" spans="2:2">
      <c r="B48723" s="62" t="str">
        <f>IF(AND('领用录入（明细）'!D:D=$F$4,'领用录入（明细）'!C:C&gt;=$J$4,'领用录入（明细）'!C:C&lt;=$L$4),ROW(),"-")</f>
        <v>-</v>
      </c>
    </row>
    <row r="48724" customHeight="1" spans="2:2">
      <c r="B48724" s="62" t="str">
        <f>IF(AND('领用录入（明细）'!D:D=$F$4,'领用录入（明细）'!C:C&gt;=$J$4,'领用录入（明细）'!C:C&lt;=$L$4),ROW(),"-")</f>
        <v>-</v>
      </c>
    </row>
    <row r="48725" customHeight="1" spans="2:2">
      <c r="B48725" s="62" t="str">
        <f>IF(AND('领用录入（明细）'!D:D=$F$4,'领用录入（明细）'!C:C&gt;=$J$4,'领用录入（明细）'!C:C&lt;=$L$4),ROW(),"-")</f>
        <v>-</v>
      </c>
    </row>
    <row r="48726" customHeight="1" spans="2:2">
      <c r="B48726" s="62" t="str">
        <f>IF(AND('领用录入（明细）'!D:D=$F$4,'领用录入（明细）'!C:C&gt;=$J$4,'领用录入（明细）'!C:C&lt;=$L$4),ROW(),"-")</f>
        <v>-</v>
      </c>
    </row>
    <row r="48727" customHeight="1" spans="2:2">
      <c r="B48727" s="62" t="str">
        <f>IF(AND('领用录入（明细）'!D:D=$F$4,'领用录入（明细）'!C:C&gt;=$J$4,'领用录入（明细）'!C:C&lt;=$L$4),ROW(),"-")</f>
        <v>-</v>
      </c>
    </row>
    <row r="48728" customHeight="1" spans="2:2">
      <c r="B48728" s="62" t="str">
        <f>IF(AND('领用录入（明细）'!D:D=$F$4,'领用录入（明细）'!C:C&gt;=$J$4,'领用录入（明细）'!C:C&lt;=$L$4),ROW(),"-")</f>
        <v>-</v>
      </c>
    </row>
    <row r="48729" customHeight="1" spans="2:2">
      <c r="B48729" s="62" t="str">
        <f>IF(AND('领用录入（明细）'!D:D=$F$4,'领用录入（明细）'!C:C&gt;=$J$4,'领用录入（明细）'!C:C&lt;=$L$4),ROW(),"-")</f>
        <v>-</v>
      </c>
    </row>
    <row r="48730" customHeight="1" spans="2:2">
      <c r="B48730" s="62" t="str">
        <f>IF(AND('领用录入（明细）'!D:D=$F$4,'领用录入（明细）'!C:C&gt;=$J$4,'领用录入（明细）'!C:C&lt;=$L$4),ROW(),"-")</f>
        <v>-</v>
      </c>
    </row>
    <row r="48731" customHeight="1" spans="2:2">
      <c r="B48731" s="62" t="str">
        <f>IF(AND('领用录入（明细）'!D:D=$F$4,'领用录入（明细）'!C:C&gt;=$J$4,'领用录入（明细）'!C:C&lt;=$L$4),ROW(),"-")</f>
        <v>-</v>
      </c>
    </row>
    <row r="48732" customHeight="1" spans="2:2">
      <c r="B48732" s="62" t="str">
        <f>IF(AND('领用录入（明细）'!D:D=$F$4,'领用录入（明细）'!C:C&gt;=$J$4,'领用录入（明细）'!C:C&lt;=$L$4),ROW(),"-")</f>
        <v>-</v>
      </c>
    </row>
    <row r="48733" customHeight="1" spans="2:2">
      <c r="B48733" s="62" t="str">
        <f>IF(AND('领用录入（明细）'!D:D=$F$4,'领用录入（明细）'!C:C&gt;=$J$4,'领用录入（明细）'!C:C&lt;=$L$4),ROW(),"-")</f>
        <v>-</v>
      </c>
    </row>
    <row r="48734" customHeight="1" spans="2:2">
      <c r="B48734" s="62" t="str">
        <f>IF(AND('领用录入（明细）'!D:D=$F$4,'领用录入（明细）'!C:C&gt;=$J$4,'领用录入（明细）'!C:C&lt;=$L$4),ROW(),"-")</f>
        <v>-</v>
      </c>
    </row>
    <row r="48735" customHeight="1" spans="2:2">
      <c r="B48735" s="62" t="str">
        <f>IF(AND('领用录入（明细）'!D:D=$F$4,'领用录入（明细）'!C:C&gt;=$J$4,'领用录入（明细）'!C:C&lt;=$L$4),ROW(),"-")</f>
        <v>-</v>
      </c>
    </row>
    <row r="48736" customHeight="1" spans="2:2">
      <c r="B48736" s="62" t="str">
        <f>IF(AND('领用录入（明细）'!D:D=$F$4,'领用录入（明细）'!C:C&gt;=$J$4,'领用录入（明细）'!C:C&lt;=$L$4),ROW(),"-")</f>
        <v>-</v>
      </c>
    </row>
    <row r="48737" customHeight="1" spans="2:2">
      <c r="B48737" s="62" t="str">
        <f>IF(AND('领用录入（明细）'!D:D=$F$4,'领用录入（明细）'!C:C&gt;=$J$4,'领用录入（明细）'!C:C&lt;=$L$4),ROW(),"-")</f>
        <v>-</v>
      </c>
    </row>
    <row r="48738" customHeight="1" spans="2:2">
      <c r="B48738" s="62" t="str">
        <f>IF(AND('领用录入（明细）'!D:D=$F$4,'领用录入（明细）'!C:C&gt;=$J$4,'领用录入（明细）'!C:C&lt;=$L$4),ROW(),"-")</f>
        <v>-</v>
      </c>
    </row>
    <row r="48739" customHeight="1" spans="2:2">
      <c r="B48739" s="62" t="str">
        <f>IF(AND('领用录入（明细）'!D:D=$F$4,'领用录入（明细）'!C:C&gt;=$J$4,'领用录入（明细）'!C:C&lt;=$L$4),ROW(),"-")</f>
        <v>-</v>
      </c>
    </row>
    <row r="48740" customHeight="1" spans="2:2">
      <c r="B48740" s="62" t="str">
        <f>IF(AND('领用录入（明细）'!D:D=$F$4,'领用录入（明细）'!C:C&gt;=$J$4,'领用录入（明细）'!C:C&lt;=$L$4),ROW(),"-")</f>
        <v>-</v>
      </c>
    </row>
    <row r="48741" customHeight="1" spans="2:2">
      <c r="B48741" s="62" t="str">
        <f>IF(AND('领用录入（明细）'!D:D=$F$4,'领用录入（明细）'!C:C&gt;=$J$4,'领用录入（明细）'!C:C&lt;=$L$4),ROW(),"-")</f>
        <v>-</v>
      </c>
    </row>
    <row r="48742" customHeight="1" spans="2:2">
      <c r="B48742" s="62" t="str">
        <f>IF(AND('领用录入（明细）'!D:D=$F$4,'领用录入（明细）'!C:C&gt;=$J$4,'领用录入（明细）'!C:C&lt;=$L$4),ROW(),"-")</f>
        <v>-</v>
      </c>
    </row>
    <row r="48743" customHeight="1" spans="2:2">
      <c r="B48743" s="62" t="str">
        <f>IF(AND('领用录入（明细）'!D:D=$F$4,'领用录入（明细）'!C:C&gt;=$J$4,'领用录入（明细）'!C:C&lt;=$L$4),ROW(),"-")</f>
        <v>-</v>
      </c>
    </row>
    <row r="48744" customHeight="1" spans="2:2">
      <c r="B48744" s="62" t="str">
        <f>IF(AND('领用录入（明细）'!D:D=$F$4,'领用录入（明细）'!C:C&gt;=$J$4,'领用录入（明细）'!C:C&lt;=$L$4),ROW(),"-")</f>
        <v>-</v>
      </c>
    </row>
    <row r="48745" customHeight="1" spans="2:2">
      <c r="B48745" s="62" t="str">
        <f>IF(AND('领用录入（明细）'!D:D=$F$4,'领用录入（明细）'!C:C&gt;=$J$4,'领用录入（明细）'!C:C&lt;=$L$4),ROW(),"-")</f>
        <v>-</v>
      </c>
    </row>
    <row r="48746" customHeight="1" spans="2:2">
      <c r="B48746" s="62" t="str">
        <f>IF(AND('领用录入（明细）'!D:D=$F$4,'领用录入（明细）'!C:C&gt;=$J$4,'领用录入（明细）'!C:C&lt;=$L$4),ROW(),"-")</f>
        <v>-</v>
      </c>
    </row>
    <row r="48747" customHeight="1" spans="2:2">
      <c r="B48747" s="62" t="str">
        <f>IF(AND('领用录入（明细）'!D:D=$F$4,'领用录入（明细）'!C:C&gt;=$J$4,'领用录入（明细）'!C:C&lt;=$L$4),ROW(),"-")</f>
        <v>-</v>
      </c>
    </row>
    <row r="48748" customHeight="1" spans="2:2">
      <c r="B48748" s="62" t="str">
        <f>IF(AND('领用录入（明细）'!D:D=$F$4,'领用录入（明细）'!C:C&gt;=$J$4,'领用录入（明细）'!C:C&lt;=$L$4),ROW(),"-")</f>
        <v>-</v>
      </c>
    </row>
    <row r="48749" customHeight="1" spans="2:2">
      <c r="B48749" s="62" t="str">
        <f>IF(AND('领用录入（明细）'!D:D=$F$4,'领用录入（明细）'!C:C&gt;=$J$4,'领用录入（明细）'!C:C&lt;=$L$4),ROW(),"-")</f>
        <v>-</v>
      </c>
    </row>
    <row r="48750" customHeight="1" spans="2:2">
      <c r="B48750" s="62" t="str">
        <f>IF(AND('领用录入（明细）'!D:D=$F$4,'领用录入（明细）'!C:C&gt;=$J$4,'领用录入（明细）'!C:C&lt;=$L$4),ROW(),"-")</f>
        <v>-</v>
      </c>
    </row>
    <row r="48751" customHeight="1" spans="2:2">
      <c r="B48751" s="62" t="str">
        <f>IF(AND('领用录入（明细）'!D:D=$F$4,'领用录入（明细）'!C:C&gt;=$J$4,'领用录入（明细）'!C:C&lt;=$L$4),ROW(),"-")</f>
        <v>-</v>
      </c>
    </row>
    <row r="48752" customHeight="1" spans="2:2">
      <c r="B48752" s="62" t="str">
        <f>IF(AND('领用录入（明细）'!D:D=$F$4,'领用录入（明细）'!C:C&gt;=$J$4,'领用录入（明细）'!C:C&lt;=$L$4),ROW(),"-")</f>
        <v>-</v>
      </c>
    </row>
    <row r="48753" customHeight="1" spans="2:2">
      <c r="B48753" s="62" t="str">
        <f>IF(AND('领用录入（明细）'!D:D=$F$4,'领用录入（明细）'!C:C&gt;=$J$4,'领用录入（明细）'!C:C&lt;=$L$4),ROW(),"-")</f>
        <v>-</v>
      </c>
    </row>
    <row r="48754" customHeight="1" spans="2:2">
      <c r="B48754" s="62" t="str">
        <f>IF(AND('领用录入（明细）'!D:D=$F$4,'领用录入（明细）'!C:C&gt;=$J$4,'领用录入（明细）'!C:C&lt;=$L$4),ROW(),"-")</f>
        <v>-</v>
      </c>
    </row>
    <row r="48755" customHeight="1" spans="2:2">
      <c r="B48755" s="62" t="str">
        <f>IF(AND('领用录入（明细）'!D:D=$F$4,'领用录入（明细）'!C:C&gt;=$J$4,'领用录入（明细）'!C:C&lt;=$L$4),ROW(),"-")</f>
        <v>-</v>
      </c>
    </row>
    <row r="48756" customHeight="1" spans="2:2">
      <c r="B48756" s="62" t="str">
        <f>IF(AND('领用录入（明细）'!D:D=$F$4,'领用录入（明细）'!C:C&gt;=$J$4,'领用录入（明细）'!C:C&lt;=$L$4),ROW(),"-")</f>
        <v>-</v>
      </c>
    </row>
    <row r="48757" customHeight="1" spans="2:2">
      <c r="B48757" s="62" t="str">
        <f>IF(AND('领用录入（明细）'!D:D=$F$4,'领用录入（明细）'!C:C&gt;=$J$4,'领用录入（明细）'!C:C&lt;=$L$4),ROW(),"-")</f>
        <v>-</v>
      </c>
    </row>
    <row r="48758" customHeight="1" spans="2:2">
      <c r="B48758" s="62" t="str">
        <f>IF(AND('领用录入（明细）'!D:D=$F$4,'领用录入（明细）'!C:C&gt;=$J$4,'领用录入（明细）'!C:C&lt;=$L$4),ROW(),"-")</f>
        <v>-</v>
      </c>
    </row>
    <row r="48759" customHeight="1" spans="2:2">
      <c r="B48759" s="62" t="str">
        <f>IF(AND('领用录入（明细）'!D:D=$F$4,'领用录入（明细）'!C:C&gt;=$J$4,'领用录入（明细）'!C:C&lt;=$L$4),ROW(),"-")</f>
        <v>-</v>
      </c>
    </row>
    <row r="48760" customHeight="1" spans="2:2">
      <c r="B48760" s="62" t="str">
        <f>IF(AND('领用录入（明细）'!D:D=$F$4,'领用录入（明细）'!C:C&gt;=$J$4,'领用录入（明细）'!C:C&lt;=$L$4),ROW(),"-")</f>
        <v>-</v>
      </c>
    </row>
    <row r="48761" customHeight="1" spans="2:2">
      <c r="B48761" s="62" t="str">
        <f>IF(AND('领用录入（明细）'!D:D=$F$4,'领用录入（明细）'!C:C&gt;=$J$4,'领用录入（明细）'!C:C&lt;=$L$4),ROW(),"-")</f>
        <v>-</v>
      </c>
    </row>
    <row r="48762" customHeight="1" spans="2:2">
      <c r="B48762" s="62" t="str">
        <f>IF(AND('领用录入（明细）'!D:D=$F$4,'领用录入（明细）'!C:C&gt;=$J$4,'领用录入（明细）'!C:C&lt;=$L$4),ROW(),"-")</f>
        <v>-</v>
      </c>
    </row>
    <row r="48763" customHeight="1" spans="2:2">
      <c r="B48763" s="62" t="str">
        <f>IF(AND('领用录入（明细）'!D:D=$F$4,'领用录入（明细）'!C:C&gt;=$J$4,'领用录入（明细）'!C:C&lt;=$L$4),ROW(),"-")</f>
        <v>-</v>
      </c>
    </row>
    <row r="48764" customHeight="1" spans="2:2">
      <c r="B48764" s="62" t="str">
        <f>IF(AND('领用录入（明细）'!D:D=$F$4,'领用录入（明细）'!C:C&gt;=$J$4,'领用录入（明细）'!C:C&lt;=$L$4),ROW(),"-")</f>
        <v>-</v>
      </c>
    </row>
    <row r="48765" customHeight="1" spans="2:2">
      <c r="B48765" s="62" t="str">
        <f>IF(AND('领用录入（明细）'!D:D=$F$4,'领用录入（明细）'!C:C&gt;=$J$4,'领用录入（明细）'!C:C&lt;=$L$4),ROW(),"-")</f>
        <v>-</v>
      </c>
    </row>
    <row r="48766" customHeight="1" spans="2:2">
      <c r="B48766" s="62" t="str">
        <f>IF(AND('领用录入（明细）'!D:D=$F$4,'领用录入（明细）'!C:C&gt;=$J$4,'领用录入（明细）'!C:C&lt;=$L$4),ROW(),"-")</f>
        <v>-</v>
      </c>
    </row>
    <row r="48767" customHeight="1" spans="2:2">
      <c r="B48767" s="62" t="str">
        <f>IF(AND('领用录入（明细）'!D:D=$F$4,'领用录入（明细）'!C:C&gt;=$J$4,'领用录入（明细）'!C:C&lt;=$L$4),ROW(),"-")</f>
        <v>-</v>
      </c>
    </row>
    <row r="48768" customHeight="1" spans="2:2">
      <c r="B48768" s="62" t="str">
        <f>IF(AND('领用录入（明细）'!D:D=$F$4,'领用录入（明细）'!C:C&gt;=$J$4,'领用录入（明细）'!C:C&lt;=$L$4),ROW(),"-")</f>
        <v>-</v>
      </c>
    </row>
    <row r="48769" customHeight="1" spans="2:2">
      <c r="B48769" s="62" t="str">
        <f>IF(AND('领用录入（明细）'!D:D=$F$4,'领用录入（明细）'!C:C&gt;=$J$4,'领用录入（明细）'!C:C&lt;=$L$4),ROW(),"-")</f>
        <v>-</v>
      </c>
    </row>
    <row r="48770" customHeight="1" spans="2:2">
      <c r="B48770" s="62" t="str">
        <f>IF(AND('领用录入（明细）'!D:D=$F$4,'领用录入（明细）'!C:C&gt;=$J$4,'领用录入（明细）'!C:C&lt;=$L$4),ROW(),"-")</f>
        <v>-</v>
      </c>
    </row>
    <row r="48771" customHeight="1" spans="2:2">
      <c r="B48771" s="62" t="str">
        <f>IF(AND('领用录入（明细）'!D:D=$F$4,'领用录入（明细）'!C:C&gt;=$J$4,'领用录入（明细）'!C:C&lt;=$L$4),ROW(),"-")</f>
        <v>-</v>
      </c>
    </row>
    <row r="48772" customHeight="1" spans="2:2">
      <c r="B48772" s="62" t="str">
        <f>IF(AND('领用录入（明细）'!D:D=$F$4,'领用录入（明细）'!C:C&gt;=$J$4,'领用录入（明细）'!C:C&lt;=$L$4),ROW(),"-")</f>
        <v>-</v>
      </c>
    </row>
    <row r="48773" customHeight="1" spans="2:2">
      <c r="B48773" s="62" t="str">
        <f>IF(AND('领用录入（明细）'!D:D=$F$4,'领用录入（明细）'!C:C&gt;=$J$4,'领用录入（明细）'!C:C&lt;=$L$4),ROW(),"-")</f>
        <v>-</v>
      </c>
    </row>
    <row r="48774" customHeight="1" spans="2:2">
      <c r="B48774" s="62" t="str">
        <f>IF(AND('领用录入（明细）'!D:D=$F$4,'领用录入（明细）'!C:C&gt;=$J$4,'领用录入（明细）'!C:C&lt;=$L$4),ROW(),"-")</f>
        <v>-</v>
      </c>
    </row>
    <row r="48775" customHeight="1" spans="2:2">
      <c r="B48775" s="62" t="str">
        <f>IF(AND('领用录入（明细）'!D:D=$F$4,'领用录入（明细）'!C:C&gt;=$J$4,'领用录入（明细）'!C:C&lt;=$L$4),ROW(),"-")</f>
        <v>-</v>
      </c>
    </row>
    <row r="48776" customHeight="1" spans="2:2">
      <c r="B48776" s="62" t="str">
        <f>IF(AND('领用录入（明细）'!D:D=$F$4,'领用录入（明细）'!C:C&gt;=$J$4,'领用录入（明细）'!C:C&lt;=$L$4),ROW(),"-")</f>
        <v>-</v>
      </c>
    </row>
    <row r="48777" customHeight="1" spans="2:2">
      <c r="B48777" s="62" t="str">
        <f>IF(AND('领用录入（明细）'!D:D=$F$4,'领用录入（明细）'!C:C&gt;=$J$4,'领用录入（明细）'!C:C&lt;=$L$4),ROW(),"-")</f>
        <v>-</v>
      </c>
    </row>
    <row r="48778" customHeight="1" spans="2:2">
      <c r="B48778" s="62" t="str">
        <f>IF(AND('领用录入（明细）'!D:D=$F$4,'领用录入（明细）'!C:C&gt;=$J$4,'领用录入（明细）'!C:C&lt;=$L$4),ROW(),"-")</f>
        <v>-</v>
      </c>
    </row>
    <row r="48779" customHeight="1" spans="2:2">
      <c r="B48779" s="62" t="str">
        <f>IF(AND('领用录入（明细）'!D:D=$F$4,'领用录入（明细）'!C:C&gt;=$J$4,'领用录入（明细）'!C:C&lt;=$L$4),ROW(),"-")</f>
        <v>-</v>
      </c>
    </row>
    <row r="48780" customHeight="1" spans="2:2">
      <c r="B48780" s="62" t="str">
        <f>IF(AND('领用录入（明细）'!D:D=$F$4,'领用录入（明细）'!C:C&gt;=$J$4,'领用录入（明细）'!C:C&lt;=$L$4),ROW(),"-")</f>
        <v>-</v>
      </c>
    </row>
    <row r="48781" customHeight="1" spans="2:2">
      <c r="B48781" s="62" t="str">
        <f>IF(AND('领用录入（明细）'!D:D=$F$4,'领用录入（明细）'!C:C&gt;=$J$4,'领用录入（明细）'!C:C&lt;=$L$4),ROW(),"-")</f>
        <v>-</v>
      </c>
    </row>
    <row r="48782" customHeight="1" spans="2:2">
      <c r="B48782" s="62" t="str">
        <f>IF(AND('领用录入（明细）'!D:D=$F$4,'领用录入（明细）'!C:C&gt;=$J$4,'领用录入（明细）'!C:C&lt;=$L$4),ROW(),"-")</f>
        <v>-</v>
      </c>
    </row>
    <row r="48783" customHeight="1" spans="2:2">
      <c r="B48783" s="62" t="str">
        <f>IF(AND('领用录入（明细）'!D:D=$F$4,'领用录入（明细）'!C:C&gt;=$J$4,'领用录入（明细）'!C:C&lt;=$L$4),ROW(),"-")</f>
        <v>-</v>
      </c>
    </row>
    <row r="48784" customHeight="1" spans="2:2">
      <c r="B48784" s="62" t="str">
        <f>IF(AND('领用录入（明细）'!D:D=$F$4,'领用录入（明细）'!C:C&gt;=$J$4,'领用录入（明细）'!C:C&lt;=$L$4),ROW(),"-")</f>
        <v>-</v>
      </c>
    </row>
    <row r="48785" customHeight="1" spans="2:2">
      <c r="B48785" s="62" t="str">
        <f>IF(AND('领用录入（明细）'!D:D=$F$4,'领用录入（明细）'!C:C&gt;=$J$4,'领用录入（明细）'!C:C&lt;=$L$4),ROW(),"-")</f>
        <v>-</v>
      </c>
    </row>
    <row r="48786" customHeight="1" spans="2:2">
      <c r="B48786" s="62" t="str">
        <f>IF(AND('领用录入（明细）'!D:D=$F$4,'领用录入（明细）'!C:C&gt;=$J$4,'领用录入（明细）'!C:C&lt;=$L$4),ROW(),"-")</f>
        <v>-</v>
      </c>
    </row>
    <row r="48787" customHeight="1" spans="2:2">
      <c r="B48787" s="62" t="str">
        <f>IF(AND('领用录入（明细）'!D:D=$F$4,'领用录入（明细）'!C:C&gt;=$J$4,'领用录入（明细）'!C:C&lt;=$L$4),ROW(),"-")</f>
        <v>-</v>
      </c>
    </row>
    <row r="48788" customHeight="1" spans="2:2">
      <c r="B48788" s="62" t="str">
        <f>IF(AND('领用录入（明细）'!D:D=$F$4,'领用录入（明细）'!C:C&gt;=$J$4,'领用录入（明细）'!C:C&lt;=$L$4),ROW(),"-")</f>
        <v>-</v>
      </c>
    </row>
    <row r="48789" customHeight="1" spans="2:2">
      <c r="B48789" s="62" t="str">
        <f>IF(AND('领用录入（明细）'!D:D=$F$4,'领用录入（明细）'!C:C&gt;=$J$4,'领用录入（明细）'!C:C&lt;=$L$4),ROW(),"-")</f>
        <v>-</v>
      </c>
    </row>
    <row r="48790" customHeight="1" spans="2:2">
      <c r="B48790" s="62" t="str">
        <f>IF(AND('领用录入（明细）'!D:D=$F$4,'领用录入（明细）'!C:C&gt;=$J$4,'领用录入（明细）'!C:C&lt;=$L$4),ROW(),"-")</f>
        <v>-</v>
      </c>
    </row>
    <row r="48791" customHeight="1" spans="2:2">
      <c r="B48791" s="62" t="str">
        <f>IF(AND('领用录入（明细）'!D:D=$F$4,'领用录入（明细）'!C:C&gt;=$J$4,'领用录入（明细）'!C:C&lt;=$L$4),ROW(),"-")</f>
        <v>-</v>
      </c>
    </row>
    <row r="48792" customHeight="1" spans="2:2">
      <c r="B48792" s="62" t="str">
        <f>IF(AND('领用录入（明细）'!D:D=$F$4,'领用录入（明细）'!C:C&gt;=$J$4,'领用录入（明细）'!C:C&lt;=$L$4),ROW(),"-")</f>
        <v>-</v>
      </c>
    </row>
    <row r="48793" customHeight="1" spans="2:2">
      <c r="B48793" s="62" t="str">
        <f>IF(AND('领用录入（明细）'!D:D=$F$4,'领用录入（明细）'!C:C&gt;=$J$4,'领用录入（明细）'!C:C&lt;=$L$4),ROW(),"-")</f>
        <v>-</v>
      </c>
    </row>
    <row r="48794" customHeight="1" spans="2:2">
      <c r="B48794" s="62" t="str">
        <f>IF(AND('领用录入（明细）'!D:D=$F$4,'领用录入（明细）'!C:C&gt;=$J$4,'领用录入（明细）'!C:C&lt;=$L$4),ROW(),"-")</f>
        <v>-</v>
      </c>
    </row>
    <row r="48795" customHeight="1" spans="2:2">
      <c r="B48795" s="62" t="str">
        <f>IF(AND('领用录入（明细）'!D:D=$F$4,'领用录入（明细）'!C:C&gt;=$J$4,'领用录入（明细）'!C:C&lt;=$L$4),ROW(),"-")</f>
        <v>-</v>
      </c>
    </row>
    <row r="48796" customHeight="1" spans="2:2">
      <c r="B48796" s="62" t="str">
        <f>IF(AND('领用录入（明细）'!D:D=$F$4,'领用录入（明细）'!C:C&gt;=$J$4,'领用录入（明细）'!C:C&lt;=$L$4),ROW(),"-")</f>
        <v>-</v>
      </c>
    </row>
    <row r="48797" customHeight="1" spans="2:2">
      <c r="B48797" s="62" t="str">
        <f>IF(AND('领用录入（明细）'!D:D=$F$4,'领用录入（明细）'!C:C&gt;=$J$4,'领用录入（明细）'!C:C&lt;=$L$4),ROW(),"-")</f>
        <v>-</v>
      </c>
    </row>
    <row r="48798" customHeight="1" spans="2:2">
      <c r="B48798" s="62" t="str">
        <f>IF(AND('领用录入（明细）'!D:D=$F$4,'领用录入（明细）'!C:C&gt;=$J$4,'领用录入（明细）'!C:C&lt;=$L$4),ROW(),"-")</f>
        <v>-</v>
      </c>
    </row>
    <row r="48799" customHeight="1" spans="2:2">
      <c r="B48799" s="62" t="str">
        <f>IF(AND('领用录入（明细）'!D:D=$F$4,'领用录入（明细）'!C:C&gt;=$J$4,'领用录入（明细）'!C:C&lt;=$L$4),ROW(),"-")</f>
        <v>-</v>
      </c>
    </row>
    <row r="48800" customHeight="1" spans="2:2">
      <c r="B48800" s="62" t="str">
        <f>IF(AND('领用录入（明细）'!D:D=$F$4,'领用录入（明细）'!C:C&gt;=$J$4,'领用录入（明细）'!C:C&lt;=$L$4),ROW(),"-")</f>
        <v>-</v>
      </c>
    </row>
    <row r="48801" customHeight="1" spans="2:2">
      <c r="B48801" s="62" t="str">
        <f>IF(AND('领用录入（明细）'!D:D=$F$4,'领用录入（明细）'!C:C&gt;=$J$4,'领用录入（明细）'!C:C&lt;=$L$4),ROW(),"-")</f>
        <v>-</v>
      </c>
    </row>
    <row r="48802" customHeight="1" spans="2:2">
      <c r="B48802" s="62" t="str">
        <f>IF(AND('领用录入（明细）'!D:D=$F$4,'领用录入（明细）'!C:C&gt;=$J$4,'领用录入（明细）'!C:C&lt;=$L$4),ROW(),"-")</f>
        <v>-</v>
      </c>
    </row>
    <row r="48803" customHeight="1" spans="2:2">
      <c r="B48803" s="62" t="str">
        <f>IF(AND('领用录入（明细）'!D:D=$F$4,'领用录入（明细）'!C:C&gt;=$J$4,'领用录入（明细）'!C:C&lt;=$L$4),ROW(),"-")</f>
        <v>-</v>
      </c>
    </row>
    <row r="48804" customHeight="1" spans="2:2">
      <c r="B48804" s="62" t="str">
        <f>IF(AND('领用录入（明细）'!D:D=$F$4,'领用录入（明细）'!C:C&gt;=$J$4,'领用录入（明细）'!C:C&lt;=$L$4),ROW(),"-")</f>
        <v>-</v>
      </c>
    </row>
    <row r="48805" customHeight="1" spans="2:2">
      <c r="B48805" s="62" t="str">
        <f>IF(AND('领用录入（明细）'!D:D=$F$4,'领用录入（明细）'!C:C&gt;=$J$4,'领用录入（明细）'!C:C&lt;=$L$4),ROW(),"-")</f>
        <v>-</v>
      </c>
    </row>
    <row r="48806" customHeight="1" spans="2:2">
      <c r="B48806" s="62" t="str">
        <f>IF(AND('领用录入（明细）'!D:D=$F$4,'领用录入（明细）'!C:C&gt;=$J$4,'领用录入（明细）'!C:C&lt;=$L$4),ROW(),"-")</f>
        <v>-</v>
      </c>
    </row>
    <row r="48807" customHeight="1" spans="2:2">
      <c r="B48807" s="62" t="str">
        <f>IF(AND('领用录入（明细）'!D:D=$F$4,'领用录入（明细）'!C:C&gt;=$J$4,'领用录入（明细）'!C:C&lt;=$L$4),ROW(),"-")</f>
        <v>-</v>
      </c>
    </row>
    <row r="48808" customHeight="1" spans="2:2">
      <c r="B48808" s="62" t="str">
        <f>IF(AND('领用录入（明细）'!D:D=$F$4,'领用录入（明细）'!C:C&gt;=$J$4,'领用录入（明细）'!C:C&lt;=$L$4),ROW(),"-")</f>
        <v>-</v>
      </c>
    </row>
    <row r="48809" customHeight="1" spans="2:2">
      <c r="B48809" s="62" t="str">
        <f>IF(AND('领用录入（明细）'!D:D=$F$4,'领用录入（明细）'!C:C&gt;=$J$4,'领用录入（明细）'!C:C&lt;=$L$4),ROW(),"-")</f>
        <v>-</v>
      </c>
    </row>
    <row r="48810" customHeight="1" spans="2:2">
      <c r="B48810" s="62" t="str">
        <f>IF(AND('领用录入（明细）'!D:D=$F$4,'领用录入（明细）'!C:C&gt;=$J$4,'领用录入（明细）'!C:C&lt;=$L$4),ROW(),"-")</f>
        <v>-</v>
      </c>
    </row>
    <row r="48811" customHeight="1" spans="2:2">
      <c r="B48811" s="62" t="str">
        <f>IF(AND('领用录入（明细）'!D:D=$F$4,'领用录入（明细）'!C:C&gt;=$J$4,'领用录入（明细）'!C:C&lt;=$L$4),ROW(),"-")</f>
        <v>-</v>
      </c>
    </row>
    <row r="48812" customHeight="1" spans="2:2">
      <c r="B48812" s="62" t="str">
        <f>IF(AND('领用录入（明细）'!D:D=$F$4,'领用录入（明细）'!C:C&gt;=$J$4,'领用录入（明细）'!C:C&lt;=$L$4),ROW(),"-")</f>
        <v>-</v>
      </c>
    </row>
    <row r="48813" customHeight="1" spans="2:2">
      <c r="B48813" s="62" t="str">
        <f>IF(AND('领用录入（明细）'!D:D=$F$4,'领用录入（明细）'!C:C&gt;=$J$4,'领用录入（明细）'!C:C&lt;=$L$4),ROW(),"-")</f>
        <v>-</v>
      </c>
    </row>
    <row r="48814" customHeight="1" spans="2:2">
      <c r="B48814" s="62" t="str">
        <f>IF(AND('领用录入（明细）'!D:D=$F$4,'领用录入（明细）'!C:C&gt;=$J$4,'领用录入（明细）'!C:C&lt;=$L$4),ROW(),"-")</f>
        <v>-</v>
      </c>
    </row>
    <row r="48815" customHeight="1" spans="2:2">
      <c r="B48815" s="62" t="str">
        <f>IF(AND('领用录入（明细）'!D:D=$F$4,'领用录入（明细）'!C:C&gt;=$J$4,'领用录入（明细）'!C:C&lt;=$L$4),ROW(),"-")</f>
        <v>-</v>
      </c>
    </row>
    <row r="48816" customHeight="1" spans="2:2">
      <c r="B48816" s="62" t="str">
        <f>IF(AND('领用录入（明细）'!D:D=$F$4,'领用录入（明细）'!C:C&gt;=$J$4,'领用录入（明细）'!C:C&lt;=$L$4),ROW(),"-")</f>
        <v>-</v>
      </c>
    </row>
    <row r="48817" customHeight="1" spans="2:2">
      <c r="B48817" s="62" t="str">
        <f>IF(AND('领用录入（明细）'!D:D=$F$4,'领用录入（明细）'!C:C&gt;=$J$4,'领用录入（明细）'!C:C&lt;=$L$4),ROW(),"-")</f>
        <v>-</v>
      </c>
    </row>
    <row r="48818" customHeight="1" spans="2:2">
      <c r="B48818" s="62" t="str">
        <f>IF(AND('领用录入（明细）'!D:D=$F$4,'领用录入（明细）'!C:C&gt;=$J$4,'领用录入（明细）'!C:C&lt;=$L$4),ROW(),"-")</f>
        <v>-</v>
      </c>
    </row>
    <row r="48819" customHeight="1" spans="2:2">
      <c r="B48819" s="62" t="str">
        <f>IF(AND('领用录入（明细）'!D:D=$F$4,'领用录入（明细）'!C:C&gt;=$J$4,'领用录入（明细）'!C:C&lt;=$L$4),ROW(),"-")</f>
        <v>-</v>
      </c>
    </row>
    <row r="48820" customHeight="1" spans="2:2">
      <c r="B48820" s="62" t="str">
        <f>IF(AND('领用录入（明细）'!D:D=$F$4,'领用录入（明细）'!C:C&gt;=$J$4,'领用录入（明细）'!C:C&lt;=$L$4),ROW(),"-")</f>
        <v>-</v>
      </c>
    </row>
    <row r="48821" customHeight="1" spans="2:2">
      <c r="B48821" s="62" t="str">
        <f>IF(AND('领用录入（明细）'!D:D=$F$4,'领用录入（明细）'!C:C&gt;=$J$4,'领用录入（明细）'!C:C&lt;=$L$4),ROW(),"-")</f>
        <v>-</v>
      </c>
    </row>
    <row r="48822" customHeight="1" spans="2:2">
      <c r="B48822" s="62" t="str">
        <f>IF(AND('领用录入（明细）'!D:D=$F$4,'领用录入（明细）'!C:C&gt;=$J$4,'领用录入（明细）'!C:C&lt;=$L$4),ROW(),"-")</f>
        <v>-</v>
      </c>
    </row>
    <row r="48823" customHeight="1" spans="2:2">
      <c r="B48823" s="62" t="str">
        <f>IF(AND('领用录入（明细）'!D:D=$F$4,'领用录入（明细）'!C:C&gt;=$J$4,'领用录入（明细）'!C:C&lt;=$L$4),ROW(),"-")</f>
        <v>-</v>
      </c>
    </row>
    <row r="48824" customHeight="1" spans="2:2">
      <c r="B48824" s="62" t="str">
        <f>IF(AND('领用录入（明细）'!D:D=$F$4,'领用录入（明细）'!C:C&gt;=$J$4,'领用录入（明细）'!C:C&lt;=$L$4),ROW(),"-")</f>
        <v>-</v>
      </c>
    </row>
    <row r="48825" customHeight="1" spans="2:2">
      <c r="B48825" s="62" t="str">
        <f>IF(AND('领用录入（明细）'!D:D=$F$4,'领用录入（明细）'!C:C&gt;=$J$4,'领用录入（明细）'!C:C&lt;=$L$4),ROW(),"-")</f>
        <v>-</v>
      </c>
    </row>
    <row r="48826" customHeight="1" spans="2:2">
      <c r="B48826" s="62" t="str">
        <f>IF(AND('领用录入（明细）'!D:D=$F$4,'领用录入（明细）'!C:C&gt;=$J$4,'领用录入（明细）'!C:C&lt;=$L$4),ROW(),"-")</f>
        <v>-</v>
      </c>
    </row>
    <row r="48827" customHeight="1" spans="2:2">
      <c r="B48827" s="62" t="str">
        <f>IF(AND('领用录入（明细）'!D:D=$F$4,'领用录入（明细）'!C:C&gt;=$J$4,'领用录入（明细）'!C:C&lt;=$L$4),ROW(),"-")</f>
        <v>-</v>
      </c>
    </row>
    <row r="48828" customHeight="1" spans="2:2">
      <c r="B48828" s="62" t="str">
        <f>IF(AND('领用录入（明细）'!D:D=$F$4,'领用录入（明细）'!C:C&gt;=$J$4,'领用录入（明细）'!C:C&lt;=$L$4),ROW(),"-")</f>
        <v>-</v>
      </c>
    </row>
    <row r="48829" customHeight="1" spans="2:2">
      <c r="B48829" s="62" t="str">
        <f>IF(AND('领用录入（明细）'!D:D=$F$4,'领用录入（明细）'!C:C&gt;=$J$4,'领用录入（明细）'!C:C&lt;=$L$4),ROW(),"-")</f>
        <v>-</v>
      </c>
    </row>
    <row r="48830" customHeight="1" spans="2:2">
      <c r="B48830" s="62" t="str">
        <f>IF(AND('领用录入（明细）'!D:D=$F$4,'领用录入（明细）'!C:C&gt;=$J$4,'领用录入（明细）'!C:C&lt;=$L$4),ROW(),"-")</f>
        <v>-</v>
      </c>
    </row>
    <row r="48831" customHeight="1" spans="2:2">
      <c r="B48831" s="62" t="str">
        <f>IF(AND('领用录入（明细）'!D:D=$F$4,'领用录入（明细）'!C:C&gt;=$J$4,'领用录入（明细）'!C:C&lt;=$L$4),ROW(),"-")</f>
        <v>-</v>
      </c>
    </row>
    <row r="48832" customHeight="1" spans="2:2">
      <c r="B48832" s="62" t="str">
        <f>IF(AND('领用录入（明细）'!D:D=$F$4,'领用录入（明细）'!C:C&gt;=$J$4,'领用录入（明细）'!C:C&lt;=$L$4),ROW(),"-")</f>
        <v>-</v>
      </c>
    </row>
    <row r="48833" customHeight="1" spans="2:2">
      <c r="B48833" s="62" t="str">
        <f>IF(AND('领用录入（明细）'!D:D=$F$4,'领用录入（明细）'!C:C&gt;=$J$4,'领用录入（明细）'!C:C&lt;=$L$4),ROW(),"-")</f>
        <v>-</v>
      </c>
    </row>
    <row r="48834" customHeight="1" spans="2:2">
      <c r="B48834" s="62" t="str">
        <f>IF(AND('领用录入（明细）'!D:D=$F$4,'领用录入（明细）'!C:C&gt;=$J$4,'领用录入（明细）'!C:C&lt;=$L$4),ROW(),"-")</f>
        <v>-</v>
      </c>
    </row>
    <row r="48835" customHeight="1" spans="2:2">
      <c r="B48835" s="62" t="str">
        <f>IF(AND('领用录入（明细）'!D:D=$F$4,'领用录入（明细）'!C:C&gt;=$J$4,'领用录入（明细）'!C:C&lt;=$L$4),ROW(),"-")</f>
        <v>-</v>
      </c>
    </row>
    <row r="48836" customHeight="1" spans="2:2">
      <c r="B48836" s="62" t="str">
        <f>IF(AND('领用录入（明细）'!D:D=$F$4,'领用录入（明细）'!C:C&gt;=$J$4,'领用录入（明细）'!C:C&lt;=$L$4),ROW(),"-")</f>
        <v>-</v>
      </c>
    </row>
    <row r="48837" customHeight="1" spans="2:2">
      <c r="B48837" s="62" t="str">
        <f>IF(AND('领用录入（明细）'!D:D=$F$4,'领用录入（明细）'!C:C&gt;=$J$4,'领用录入（明细）'!C:C&lt;=$L$4),ROW(),"-")</f>
        <v>-</v>
      </c>
    </row>
    <row r="48838" customHeight="1" spans="2:2">
      <c r="B48838" s="62" t="str">
        <f>IF(AND('领用录入（明细）'!D:D=$F$4,'领用录入（明细）'!C:C&gt;=$J$4,'领用录入（明细）'!C:C&lt;=$L$4),ROW(),"-")</f>
        <v>-</v>
      </c>
    </row>
    <row r="48839" customHeight="1" spans="2:2">
      <c r="B48839" s="62" t="str">
        <f>IF(AND('领用录入（明细）'!D:D=$F$4,'领用录入（明细）'!C:C&gt;=$J$4,'领用录入（明细）'!C:C&lt;=$L$4),ROW(),"-")</f>
        <v>-</v>
      </c>
    </row>
    <row r="48840" customHeight="1" spans="2:2">
      <c r="B48840" s="62" t="str">
        <f>IF(AND('领用录入（明细）'!D:D=$F$4,'领用录入（明细）'!C:C&gt;=$J$4,'领用录入（明细）'!C:C&lt;=$L$4),ROW(),"-")</f>
        <v>-</v>
      </c>
    </row>
    <row r="48841" customHeight="1" spans="2:2">
      <c r="B48841" s="62" t="str">
        <f>IF(AND('领用录入（明细）'!D:D=$F$4,'领用录入（明细）'!C:C&gt;=$J$4,'领用录入（明细）'!C:C&lt;=$L$4),ROW(),"-")</f>
        <v>-</v>
      </c>
    </row>
    <row r="48842" customHeight="1" spans="2:2">
      <c r="B48842" s="62" t="str">
        <f>IF(AND('领用录入（明细）'!D:D=$F$4,'领用录入（明细）'!C:C&gt;=$J$4,'领用录入（明细）'!C:C&lt;=$L$4),ROW(),"-")</f>
        <v>-</v>
      </c>
    </row>
    <row r="48843" customHeight="1" spans="2:2">
      <c r="B48843" s="62" t="str">
        <f>IF(AND('领用录入（明细）'!D:D=$F$4,'领用录入（明细）'!C:C&gt;=$J$4,'领用录入（明细）'!C:C&lt;=$L$4),ROW(),"-")</f>
        <v>-</v>
      </c>
    </row>
    <row r="48844" customHeight="1" spans="2:2">
      <c r="B48844" s="62" t="str">
        <f>IF(AND('领用录入（明细）'!D:D=$F$4,'领用录入（明细）'!C:C&gt;=$J$4,'领用录入（明细）'!C:C&lt;=$L$4),ROW(),"-")</f>
        <v>-</v>
      </c>
    </row>
    <row r="48845" customHeight="1" spans="2:2">
      <c r="B48845" s="62" t="str">
        <f>IF(AND('领用录入（明细）'!D:D=$F$4,'领用录入（明细）'!C:C&gt;=$J$4,'领用录入（明细）'!C:C&lt;=$L$4),ROW(),"-")</f>
        <v>-</v>
      </c>
    </row>
    <row r="48846" customHeight="1" spans="2:2">
      <c r="B48846" s="62" t="str">
        <f>IF(AND('领用录入（明细）'!D:D=$F$4,'领用录入（明细）'!C:C&gt;=$J$4,'领用录入（明细）'!C:C&lt;=$L$4),ROW(),"-")</f>
        <v>-</v>
      </c>
    </row>
    <row r="48847" customHeight="1" spans="2:2">
      <c r="B48847" s="62" t="str">
        <f>IF(AND('领用录入（明细）'!D:D=$F$4,'领用录入（明细）'!C:C&gt;=$J$4,'领用录入（明细）'!C:C&lt;=$L$4),ROW(),"-")</f>
        <v>-</v>
      </c>
    </row>
    <row r="48848" customHeight="1" spans="2:2">
      <c r="B48848" s="62" t="str">
        <f>IF(AND('领用录入（明细）'!D:D=$F$4,'领用录入（明细）'!C:C&gt;=$J$4,'领用录入（明细）'!C:C&lt;=$L$4),ROW(),"-")</f>
        <v>-</v>
      </c>
    </row>
    <row r="48849" customHeight="1" spans="2:2">
      <c r="B48849" s="62" t="str">
        <f>IF(AND('领用录入（明细）'!D:D=$F$4,'领用录入（明细）'!C:C&gt;=$J$4,'领用录入（明细）'!C:C&lt;=$L$4),ROW(),"-")</f>
        <v>-</v>
      </c>
    </row>
    <row r="48850" customHeight="1" spans="2:2">
      <c r="B48850" s="62" t="str">
        <f>IF(AND('领用录入（明细）'!D:D=$F$4,'领用录入（明细）'!C:C&gt;=$J$4,'领用录入（明细）'!C:C&lt;=$L$4),ROW(),"-")</f>
        <v>-</v>
      </c>
    </row>
    <row r="48851" customHeight="1" spans="2:2">
      <c r="B48851" s="62" t="str">
        <f>IF(AND('领用录入（明细）'!D:D=$F$4,'领用录入（明细）'!C:C&gt;=$J$4,'领用录入（明细）'!C:C&lt;=$L$4),ROW(),"-")</f>
        <v>-</v>
      </c>
    </row>
    <row r="48852" customHeight="1" spans="2:2">
      <c r="B48852" s="62" t="str">
        <f>IF(AND('领用录入（明细）'!D:D=$F$4,'领用录入（明细）'!C:C&gt;=$J$4,'领用录入（明细）'!C:C&lt;=$L$4),ROW(),"-")</f>
        <v>-</v>
      </c>
    </row>
    <row r="48853" customHeight="1" spans="2:2">
      <c r="B48853" s="62" t="str">
        <f>IF(AND('领用录入（明细）'!D:D=$F$4,'领用录入（明细）'!C:C&gt;=$J$4,'领用录入（明细）'!C:C&lt;=$L$4),ROW(),"-")</f>
        <v>-</v>
      </c>
    </row>
    <row r="48854" customHeight="1" spans="2:2">
      <c r="B48854" s="62" t="str">
        <f>IF(AND('领用录入（明细）'!D:D=$F$4,'领用录入（明细）'!C:C&gt;=$J$4,'领用录入（明细）'!C:C&lt;=$L$4),ROW(),"-")</f>
        <v>-</v>
      </c>
    </row>
    <row r="48855" customHeight="1" spans="2:2">
      <c r="B48855" s="62" t="str">
        <f>IF(AND('领用录入（明细）'!D:D=$F$4,'领用录入（明细）'!C:C&gt;=$J$4,'领用录入（明细）'!C:C&lt;=$L$4),ROW(),"-")</f>
        <v>-</v>
      </c>
    </row>
    <row r="48856" customHeight="1" spans="2:2">
      <c r="B48856" s="62" t="str">
        <f>IF(AND('领用录入（明细）'!D:D=$F$4,'领用录入（明细）'!C:C&gt;=$J$4,'领用录入（明细）'!C:C&lt;=$L$4),ROW(),"-")</f>
        <v>-</v>
      </c>
    </row>
    <row r="48857" customHeight="1" spans="2:2">
      <c r="B48857" s="62" t="str">
        <f>IF(AND('领用录入（明细）'!D:D=$F$4,'领用录入（明细）'!C:C&gt;=$J$4,'领用录入（明细）'!C:C&lt;=$L$4),ROW(),"-")</f>
        <v>-</v>
      </c>
    </row>
    <row r="48858" customHeight="1" spans="2:2">
      <c r="B48858" s="62" t="str">
        <f>IF(AND('领用录入（明细）'!D:D=$F$4,'领用录入（明细）'!C:C&gt;=$J$4,'领用录入（明细）'!C:C&lt;=$L$4),ROW(),"-")</f>
        <v>-</v>
      </c>
    </row>
    <row r="48859" customHeight="1" spans="2:2">
      <c r="B48859" s="62" t="str">
        <f>IF(AND('领用录入（明细）'!D:D=$F$4,'领用录入（明细）'!C:C&gt;=$J$4,'领用录入（明细）'!C:C&lt;=$L$4),ROW(),"-")</f>
        <v>-</v>
      </c>
    </row>
    <row r="48860" customHeight="1" spans="2:2">
      <c r="B48860" s="62" t="str">
        <f>IF(AND('领用录入（明细）'!D:D=$F$4,'领用录入（明细）'!C:C&gt;=$J$4,'领用录入（明细）'!C:C&lt;=$L$4),ROW(),"-")</f>
        <v>-</v>
      </c>
    </row>
    <row r="48861" customHeight="1" spans="2:2">
      <c r="B48861" s="62" t="str">
        <f>IF(AND('领用录入（明细）'!D:D=$F$4,'领用录入（明细）'!C:C&gt;=$J$4,'领用录入（明细）'!C:C&lt;=$L$4),ROW(),"-")</f>
        <v>-</v>
      </c>
    </row>
    <row r="48862" customHeight="1" spans="2:2">
      <c r="B48862" s="62" t="str">
        <f>IF(AND('领用录入（明细）'!D:D=$F$4,'领用录入（明细）'!C:C&gt;=$J$4,'领用录入（明细）'!C:C&lt;=$L$4),ROW(),"-")</f>
        <v>-</v>
      </c>
    </row>
    <row r="48863" customHeight="1" spans="2:2">
      <c r="B48863" s="62" t="str">
        <f>IF(AND('领用录入（明细）'!D:D=$F$4,'领用录入（明细）'!C:C&gt;=$J$4,'领用录入（明细）'!C:C&lt;=$L$4),ROW(),"-")</f>
        <v>-</v>
      </c>
    </row>
    <row r="48864" customHeight="1" spans="2:2">
      <c r="B48864" s="62" t="str">
        <f>IF(AND('领用录入（明细）'!D:D=$F$4,'领用录入（明细）'!C:C&gt;=$J$4,'领用录入（明细）'!C:C&lt;=$L$4),ROW(),"-")</f>
        <v>-</v>
      </c>
    </row>
    <row r="48865" customHeight="1" spans="2:2">
      <c r="B48865" s="62" t="str">
        <f>IF(AND('领用录入（明细）'!D:D=$F$4,'领用录入（明细）'!C:C&gt;=$J$4,'领用录入（明细）'!C:C&lt;=$L$4),ROW(),"-")</f>
        <v>-</v>
      </c>
    </row>
    <row r="48866" customHeight="1" spans="2:2">
      <c r="B48866" s="62" t="str">
        <f>IF(AND('领用录入（明细）'!D:D=$F$4,'领用录入（明细）'!C:C&gt;=$J$4,'领用录入（明细）'!C:C&lt;=$L$4),ROW(),"-")</f>
        <v>-</v>
      </c>
    </row>
    <row r="48867" customHeight="1" spans="2:2">
      <c r="B48867" s="62" t="str">
        <f>IF(AND('领用录入（明细）'!D:D=$F$4,'领用录入（明细）'!C:C&gt;=$J$4,'领用录入（明细）'!C:C&lt;=$L$4),ROW(),"-")</f>
        <v>-</v>
      </c>
    </row>
    <row r="48868" customHeight="1" spans="2:2">
      <c r="B48868" s="62" t="str">
        <f>IF(AND('领用录入（明细）'!D:D=$F$4,'领用录入（明细）'!C:C&gt;=$J$4,'领用录入（明细）'!C:C&lt;=$L$4),ROW(),"-")</f>
        <v>-</v>
      </c>
    </row>
    <row r="48869" customHeight="1" spans="2:2">
      <c r="B48869" s="62" t="str">
        <f>IF(AND('领用录入（明细）'!D:D=$F$4,'领用录入（明细）'!C:C&gt;=$J$4,'领用录入（明细）'!C:C&lt;=$L$4),ROW(),"-")</f>
        <v>-</v>
      </c>
    </row>
    <row r="48870" customHeight="1" spans="2:2">
      <c r="B48870" s="62" t="str">
        <f>IF(AND('领用录入（明细）'!D:D=$F$4,'领用录入（明细）'!C:C&gt;=$J$4,'领用录入（明细）'!C:C&lt;=$L$4),ROW(),"-")</f>
        <v>-</v>
      </c>
    </row>
    <row r="48871" customHeight="1" spans="2:2">
      <c r="B48871" s="62" t="str">
        <f>IF(AND('领用录入（明细）'!D:D=$F$4,'领用录入（明细）'!C:C&gt;=$J$4,'领用录入（明细）'!C:C&lt;=$L$4),ROW(),"-")</f>
        <v>-</v>
      </c>
    </row>
    <row r="48872" customHeight="1" spans="2:2">
      <c r="B48872" s="62" t="str">
        <f>IF(AND('领用录入（明细）'!D:D=$F$4,'领用录入（明细）'!C:C&gt;=$J$4,'领用录入（明细）'!C:C&lt;=$L$4),ROW(),"-")</f>
        <v>-</v>
      </c>
    </row>
    <row r="48873" customHeight="1" spans="2:2">
      <c r="B48873" s="62" t="str">
        <f>IF(AND('领用录入（明细）'!D:D=$F$4,'领用录入（明细）'!C:C&gt;=$J$4,'领用录入（明细）'!C:C&lt;=$L$4),ROW(),"-")</f>
        <v>-</v>
      </c>
    </row>
    <row r="48874" customHeight="1" spans="2:2">
      <c r="B48874" s="62" t="str">
        <f>IF(AND('领用录入（明细）'!D:D=$F$4,'领用录入（明细）'!C:C&gt;=$J$4,'领用录入（明细）'!C:C&lt;=$L$4),ROW(),"-")</f>
        <v>-</v>
      </c>
    </row>
    <row r="48875" customHeight="1" spans="2:2">
      <c r="B48875" s="62" t="str">
        <f>IF(AND('领用录入（明细）'!D:D=$F$4,'领用录入（明细）'!C:C&gt;=$J$4,'领用录入（明细）'!C:C&lt;=$L$4),ROW(),"-")</f>
        <v>-</v>
      </c>
    </row>
    <row r="48876" customHeight="1" spans="2:2">
      <c r="B48876" s="62" t="str">
        <f>IF(AND('领用录入（明细）'!D:D=$F$4,'领用录入（明细）'!C:C&gt;=$J$4,'领用录入（明细）'!C:C&lt;=$L$4),ROW(),"-")</f>
        <v>-</v>
      </c>
    </row>
    <row r="48877" customHeight="1" spans="2:2">
      <c r="B48877" s="62" t="str">
        <f>IF(AND('领用录入（明细）'!D:D=$F$4,'领用录入（明细）'!C:C&gt;=$J$4,'领用录入（明细）'!C:C&lt;=$L$4),ROW(),"-")</f>
        <v>-</v>
      </c>
    </row>
    <row r="48878" customHeight="1" spans="2:2">
      <c r="B48878" s="62" t="str">
        <f>IF(AND('领用录入（明细）'!D:D=$F$4,'领用录入（明细）'!C:C&gt;=$J$4,'领用录入（明细）'!C:C&lt;=$L$4),ROW(),"-")</f>
        <v>-</v>
      </c>
    </row>
    <row r="48879" customHeight="1" spans="2:2">
      <c r="B48879" s="62" t="str">
        <f>IF(AND('领用录入（明细）'!D:D=$F$4,'领用录入（明细）'!C:C&gt;=$J$4,'领用录入（明细）'!C:C&lt;=$L$4),ROW(),"-")</f>
        <v>-</v>
      </c>
    </row>
    <row r="48880" customHeight="1" spans="2:2">
      <c r="B48880" s="62" t="str">
        <f>IF(AND('领用录入（明细）'!D:D=$F$4,'领用录入（明细）'!C:C&gt;=$J$4,'领用录入（明细）'!C:C&lt;=$L$4),ROW(),"-")</f>
        <v>-</v>
      </c>
    </row>
    <row r="48881" customHeight="1" spans="2:2">
      <c r="B48881" s="62" t="str">
        <f>IF(AND('领用录入（明细）'!D:D=$F$4,'领用录入（明细）'!C:C&gt;=$J$4,'领用录入（明细）'!C:C&lt;=$L$4),ROW(),"-")</f>
        <v>-</v>
      </c>
    </row>
    <row r="48882" customHeight="1" spans="2:2">
      <c r="B48882" s="62" t="str">
        <f>IF(AND('领用录入（明细）'!D:D=$F$4,'领用录入（明细）'!C:C&gt;=$J$4,'领用录入（明细）'!C:C&lt;=$L$4),ROW(),"-")</f>
        <v>-</v>
      </c>
    </row>
    <row r="48883" customHeight="1" spans="2:2">
      <c r="B48883" s="62" t="str">
        <f>IF(AND('领用录入（明细）'!D:D=$F$4,'领用录入（明细）'!C:C&gt;=$J$4,'领用录入（明细）'!C:C&lt;=$L$4),ROW(),"-")</f>
        <v>-</v>
      </c>
    </row>
    <row r="48884" customHeight="1" spans="2:2">
      <c r="B48884" s="62" t="str">
        <f>IF(AND('领用录入（明细）'!D:D=$F$4,'领用录入（明细）'!C:C&gt;=$J$4,'领用录入（明细）'!C:C&lt;=$L$4),ROW(),"-")</f>
        <v>-</v>
      </c>
    </row>
    <row r="48885" customHeight="1" spans="2:2">
      <c r="B48885" s="62" t="str">
        <f>IF(AND('领用录入（明细）'!D:D=$F$4,'领用录入（明细）'!C:C&gt;=$J$4,'领用录入（明细）'!C:C&lt;=$L$4),ROW(),"-")</f>
        <v>-</v>
      </c>
    </row>
    <row r="48886" customHeight="1" spans="2:2">
      <c r="B48886" s="62" t="str">
        <f>IF(AND('领用录入（明细）'!D:D=$F$4,'领用录入（明细）'!C:C&gt;=$J$4,'领用录入（明细）'!C:C&lt;=$L$4),ROW(),"-")</f>
        <v>-</v>
      </c>
    </row>
    <row r="48887" customHeight="1" spans="2:2">
      <c r="B48887" s="62" t="str">
        <f>IF(AND('领用录入（明细）'!D:D=$F$4,'领用录入（明细）'!C:C&gt;=$J$4,'领用录入（明细）'!C:C&lt;=$L$4),ROW(),"-")</f>
        <v>-</v>
      </c>
    </row>
    <row r="48888" customHeight="1" spans="2:2">
      <c r="B48888" s="62" t="str">
        <f>IF(AND('领用录入（明细）'!D:D=$F$4,'领用录入（明细）'!C:C&gt;=$J$4,'领用录入（明细）'!C:C&lt;=$L$4),ROW(),"-")</f>
        <v>-</v>
      </c>
    </row>
    <row r="48889" customHeight="1" spans="2:2">
      <c r="B48889" s="62" t="str">
        <f>IF(AND('领用录入（明细）'!D:D=$F$4,'领用录入（明细）'!C:C&gt;=$J$4,'领用录入（明细）'!C:C&lt;=$L$4),ROW(),"-")</f>
        <v>-</v>
      </c>
    </row>
    <row r="48890" customHeight="1" spans="2:2">
      <c r="B48890" s="62" t="str">
        <f>IF(AND('领用录入（明细）'!D:D=$F$4,'领用录入（明细）'!C:C&gt;=$J$4,'领用录入（明细）'!C:C&lt;=$L$4),ROW(),"-")</f>
        <v>-</v>
      </c>
    </row>
    <row r="48891" customHeight="1" spans="2:2">
      <c r="B48891" s="62" t="str">
        <f>IF(AND('领用录入（明细）'!D:D=$F$4,'领用录入（明细）'!C:C&gt;=$J$4,'领用录入（明细）'!C:C&lt;=$L$4),ROW(),"-")</f>
        <v>-</v>
      </c>
    </row>
    <row r="48892" customHeight="1" spans="2:2">
      <c r="B48892" s="62" t="str">
        <f>IF(AND('领用录入（明细）'!D:D=$F$4,'领用录入（明细）'!C:C&gt;=$J$4,'领用录入（明细）'!C:C&lt;=$L$4),ROW(),"-")</f>
        <v>-</v>
      </c>
    </row>
    <row r="48893" customHeight="1" spans="2:2">
      <c r="B48893" s="62" t="str">
        <f>IF(AND('领用录入（明细）'!D:D=$F$4,'领用录入（明细）'!C:C&gt;=$J$4,'领用录入（明细）'!C:C&lt;=$L$4),ROW(),"-")</f>
        <v>-</v>
      </c>
    </row>
    <row r="48894" customHeight="1" spans="2:2">
      <c r="B48894" s="62" t="str">
        <f>IF(AND('领用录入（明细）'!D:D=$F$4,'领用录入（明细）'!C:C&gt;=$J$4,'领用录入（明细）'!C:C&lt;=$L$4),ROW(),"-")</f>
        <v>-</v>
      </c>
    </row>
    <row r="48895" customHeight="1" spans="2:2">
      <c r="B48895" s="62" t="str">
        <f>IF(AND('领用录入（明细）'!D:D=$F$4,'领用录入（明细）'!C:C&gt;=$J$4,'领用录入（明细）'!C:C&lt;=$L$4),ROW(),"-")</f>
        <v>-</v>
      </c>
    </row>
    <row r="48896" customHeight="1" spans="2:2">
      <c r="B48896" s="62" t="str">
        <f>IF(AND('领用录入（明细）'!D:D=$F$4,'领用录入（明细）'!C:C&gt;=$J$4,'领用录入（明细）'!C:C&lt;=$L$4),ROW(),"-")</f>
        <v>-</v>
      </c>
    </row>
    <row r="48897" customHeight="1" spans="2:2">
      <c r="B48897" s="62" t="str">
        <f>IF(AND('领用录入（明细）'!D:D=$F$4,'领用录入（明细）'!C:C&gt;=$J$4,'领用录入（明细）'!C:C&lt;=$L$4),ROW(),"-")</f>
        <v>-</v>
      </c>
    </row>
    <row r="48898" customHeight="1" spans="2:2">
      <c r="B48898" s="62" t="str">
        <f>IF(AND('领用录入（明细）'!D:D=$F$4,'领用录入（明细）'!C:C&gt;=$J$4,'领用录入（明细）'!C:C&lt;=$L$4),ROW(),"-")</f>
        <v>-</v>
      </c>
    </row>
    <row r="48899" customHeight="1" spans="2:2">
      <c r="B48899" s="62" t="str">
        <f>IF(AND('领用录入（明细）'!D:D=$F$4,'领用录入（明细）'!C:C&gt;=$J$4,'领用录入（明细）'!C:C&lt;=$L$4),ROW(),"-")</f>
        <v>-</v>
      </c>
    </row>
    <row r="48900" customHeight="1" spans="2:2">
      <c r="B48900" s="62" t="str">
        <f>IF(AND('领用录入（明细）'!D:D=$F$4,'领用录入（明细）'!C:C&gt;=$J$4,'领用录入（明细）'!C:C&lt;=$L$4),ROW(),"-")</f>
        <v>-</v>
      </c>
    </row>
    <row r="48901" customHeight="1" spans="2:2">
      <c r="B48901" s="62" t="str">
        <f>IF(AND('领用录入（明细）'!D:D=$F$4,'领用录入（明细）'!C:C&gt;=$J$4,'领用录入（明细）'!C:C&lt;=$L$4),ROW(),"-")</f>
        <v>-</v>
      </c>
    </row>
    <row r="48902" customHeight="1" spans="2:2">
      <c r="B48902" s="62" t="str">
        <f>IF(AND('领用录入（明细）'!D:D=$F$4,'领用录入（明细）'!C:C&gt;=$J$4,'领用录入（明细）'!C:C&lt;=$L$4),ROW(),"-")</f>
        <v>-</v>
      </c>
    </row>
    <row r="48903" customHeight="1" spans="2:2">
      <c r="B48903" s="62" t="str">
        <f>IF(AND('领用录入（明细）'!D:D=$F$4,'领用录入（明细）'!C:C&gt;=$J$4,'领用录入（明细）'!C:C&lt;=$L$4),ROW(),"-")</f>
        <v>-</v>
      </c>
    </row>
    <row r="48904" customHeight="1" spans="2:2">
      <c r="B48904" s="62" t="str">
        <f>IF(AND('领用录入（明细）'!D:D=$F$4,'领用录入（明细）'!C:C&gt;=$J$4,'领用录入（明细）'!C:C&lt;=$L$4),ROW(),"-")</f>
        <v>-</v>
      </c>
    </row>
    <row r="48905" customHeight="1" spans="2:2">
      <c r="B48905" s="62" t="str">
        <f>IF(AND('领用录入（明细）'!D:D=$F$4,'领用录入（明细）'!C:C&gt;=$J$4,'领用录入（明细）'!C:C&lt;=$L$4),ROW(),"-")</f>
        <v>-</v>
      </c>
    </row>
    <row r="48906" customHeight="1" spans="2:2">
      <c r="B48906" s="62" t="str">
        <f>IF(AND('领用录入（明细）'!D:D=$F$4,'领用录入（明细）'!C:C&gt;=$J$4,'领用录入（明细）'!C:C&lt;=$L$4),ROW(),"-")</f>
        <v>-</v>
      </c>
    </row>
    <row r="48907" customHeight="1" spans="2:2">
      <c r="B48907" s="62" t="str">
        <f>IF(AND('领用录入（明细）'!D:D=$F$4,'领用录入（明细）'!C:C&gt;=$J$4,'领用录入（明细）'!C:C&lt;=$L$4),ROW(),"-")</f>
        <v>-</v>
      </c>
    </row>
    <row r="48908" customHeight="1" spans="2:2">
      <c r="B48908" s="62" t="str">
        <f>IF(AND('领用录入（明细）'!D:D=$F$4,'领用录入（明细）'!C:C&gt;=$J$4,'领用录入（明细）'!C:C&lt;=$L$4),ROW(),"-")</f>
        <v>-</v>
      </c>
    </row>
    <row r="48909" customHeight="1" spans="2:2">
      <c r="B48909" s="62" t="str">
        <f>IF(AND('领用录入（明细）'!D:D=$F$4,'领用录入（明细）'!C:C&gt;=$J$4,'领用录入（明细）'!C:C&lt;=$L$4),ROW(),"-")</f>
        <v>-</v>
      </c>
    </row>
    <row r="48910" customHeight="1" spans="2:2">
      <c r="B48910" s="62" t="str">
        <f>IF(AND('领用录入（明细）'!D:D=$F$4,'领用录入（明细）'!C:C&gt;=$J$4,'领用录入（明细）'!C:C&lt;=$L$4),ROW(),"-")</f>
        <v>-</v>
      </c>
    </row>
    <row r="48911" customHeight="1" spans="2:2">
      <c r="B48911" s="62" t="str">
        <f>IF(AND('领用录入（明细）'!D:D=$F$4,'领用录入（明细）'!C:C&gt;=$J$4,'领用录入（明细）'!C:C&lt;=$L$4),ROW(),"-")</f>
        <v>-</v>
      </c>
    </row>
    <row r="48912" customHeight="1" spans="2:2">
      <c r="B48912" s="62" t="str">
        <f>IF(AND('领用录入（明细）'!D:D=$F$4,'领用录入（明细）'!C:C&gt;=$J$4,'领用录入（明细）'!C:C&lt;=$L$4),ROW(),"-")</f>
        <v>-</v>
      </c>
    </row>
    <row r="48913" customHeight="1" spans="2:2">
      <c r="B48913" s="62" t="str">
        <f>IF(AND('领用录入（明细）'!D:D=$F$4,'领用录入（明细）'!C:C&gt;=$J$4,'领用录入（明细）'!C:C&lt;=$L$4),ROW(),"-")</f>
        <v>-</v>
      </c>
    </row>
    <row r="48914" customHeight="1" spans="2:2">
      <c r="B48914" s="62" t="str">
        <f>IF(AND('领用录入（明细）'!D:D=$F$4,'领用录入（明细）'!C:C&gt;=$J$4,'领用录入（明细）'!C:C&lt;=$L$4),ROW(),"-")</f>
        <v>-</v>
      </c>
    </row>
    <row r="48915" customHeight="1" spans="2:2">
      <c r="B48915" s="62" t="str">
        <f>IF(AND('领用录入（明细）'!D:D=$F$4,'领用录入（明细）'!C:C&gt;=$J$4,'领用录入（明细）'!C:C&lt;=$L$4),ROW(),"-")</f>
        <v>-</v>
      </c>
    </row>
    <row r="48916" customHeight="1" spans="2:2">
      <c r="B48916" s="62" t="str">
        <f>IF(AND('领用录入（明细）'!D:D=$F$4,'领用录入（明细）'!C:C&gt;=$J$4,'领用录入（明细）'!C:C&lt;=$L$4),ROW(),"-")</f>
        <v>-</v>
      </c>
    </row>
    <row r="48917" customHeight="1" spans="2:2">
      <c r="B48917" s="62" t="str">
        <f>IF(AND('领用录入（明细）'!D:D=$F$4,'领用录入（明细）'!C:C&gt;=$J$4,'领用录入（明细）'!C:C&lt;=$L$4),ROW(),"-")</f>
        <v>-</v>
      </c>
    </row>
    <row r="48918" customHeight="1" spans="2:2">
      <c r="B48918" s="62" t="str">
        <f>IF(AND('领用录入（明细）'!D:D=$F$4,'领用录入（明细）'!C:C&gt;=$J$4,'领用录入（明细）'!C:C&lt;=$L$4),ROW(),"-")</f>
        <v>-</v>
      </c>
    </row>
    <row r="48919" customHeight="1" spans="2:2">
      <c r="B48919" s="62" t="str">
        <f>IF(AND('领用录入（明细）'!D:D=$F$4,'领用录入（明细）'!C:C&gt;=$J$4,'领用录入（明细）'!C:C&lt;=$L$4),ROW(),"-")</f>
        <v>-</v>
      </c>
    </row>
    <row r="48920" customHeight="1" spans="2:2">
      <c r="B48920" s="62" t="str">
        <f>IF(AND('领用录入（明细）'!D:D=$F$4,'领用录入（明细）'!C:C&gt;=$J$4,'领用录入（明细）'!C:C&lt;=$L$4),ROW(),"-")</f>
        <v>-</v>
      </c>
    </row>
    <row r="48921" customHeight="1" spans="2:2">
      <c r="B48921" s="62" t="str">
        <f>IF(AND('领用录入（明细）'!D:D=$F$4,'领用录入（明细）'!C:C&gt;=$J$4,'领用录入（明细）'!C:C&lt;=$L$4),ROW(),"-")</f>
        <v>-</v>
      </c>
    </row>
    <row r="48922" customHeight="1" spans="2:2">
      <c r="B48922" s="62" t="str">
        <f>IF(AND('领用录入（明细）'!D:D=$F$4,'领用录入（明细）'!C:C&gt;=$J$4,'领用录入（明细）'!C:C&lt;=$L$4),ROW(),"-")</f>
        <v>-</v>
      </c>
    </row>
    <row r="48923" customHeight="1" spans="2:2">
      <c r="B48923" s="62" t="str">
        <f>IF(AND('领用录入（明细）'!D:D=$F$4,'领用录入（明细）'!C:C&gt;=$J$4,'领用录入（明细）'!C:C&lt;=$L$4),ROW(),"-")</f>
        <v>-</v>
      </c>
    </row>
    <row r="48924" customHeight="1" spans="2:2">
      <c r="B48924" s="62" t="str">
        <f>IF(AND('领用录入（明细）'!D:D=$F$4,'领用录入（明细）'!C:C&gt;=$J$4,'领用录入（明细）'!C:C&lt;=$L$4),ROW(),"-")</f>
        <v>-</v>
      </c>
    </row>
    <row r="48925" customHeight="1" spans="2:2">
      <c r="B48925" s="62" t="str">
        <f>IF(AND('领用录入（明细）'!D:D=$F$4,'领用录入（明细）'!C:C&gt;=$J$4,'领用录入（明细）'!C:C&lt;=$L$4),ROW(),"-")</f>
        <v>-</v>
      </c>
    </row>
    <row r="48926" customHeight="1" spans="2:2">
      <c r="B48926" s="62" t="str">
        <f>IF(AND('领用录入（明细）'!D:D=$F$4,'领用录入（明细）'!C:C&gt;=$J$4,'领用录入（明细）'!C:C&lt;=$L$4),ROW(),"-")</f>
        <v>-</v>
      </c>
    </row>
    <row r="48927" customHeight="1" spans="2:2">
      <c r="B48927" s="62" t="str">
        <f>IF(AND('领用录入（明细）'!D:D=$F$4,'领用录入（明细）'!C:C&gt;=$J$4,'领用录入（明细）'!C:C&lt;=$L$4),ROW(),"-")</f>
        <v>-</v>
      </c>
    </row>
    <row r="48928" customHeight="1" spans="2:2">
      <c r="B48928" s="62" t="str">
        <f>IF(AND('领用录入（明细）'!D:D=$F$4,'领用录入（明细）'!C:C&gt;=$J$4,'领用录入（明细）'!C:C&lt;=$L$4),ROW(),"-")</f>
        <v>-</v>
      </c>
    </row>
    <row r="48929" customHeight="1" spans="2:2">
      <c r="B48929" s="62" t="str">
        <f>IF(AND('领用录入（明细）'!D:D=$F$4,'领用录入（明细）'!C:C&gt;=$J$4,'领用录入（明细）'!C:C&lt;=$L$4),ROW(),"-")</f>
        <v>-</v>
      </c>
    </row>
    <row r="48930" customHeight="1" spans="2:2">
      <c r="B48930" s="62" t="str">
        <f>IF(AND('领用录入（明细）'!D:D=$F$4,'领用录入（明细）'!C:C&gt;=$J$4,'领用录入（明细）'!C:C&lt;=$L$4),ROW(),"-")</f>
        <v>-</v>
      </c>
    </row>
    <row r="48931" customHeight="1" spans="2:2">
      <c r="B48931" s="62" t="str">
        <f>IF(AND('领用录入（明细）'!D:D=$F$4,'领用录入（明细）'!C:C&gt;=$J$4,'领用录入（明细）'!C:C&lt;=$L$4),ROW(),"-")</f>
        <v>-</v>
      </c>
    </row>
    <row r="48932" customHeight="1" spans="2:2">
      <c r="B48932" s="62" t="str">
        <f>IF(AND('领用录入（明细）'!D:D=$F$4,'领用录入（明细）'!C:C&gt;=$J$4,'领用录入（明细）'!C:C&lt;=$L$4),ROW(),"-")</f>
        <v>-</v>
      </c>
    </row>
    <row r="48933" customHeight="1" spans="2:2">
      <c r="B48933" s="62" t="str">
        <f>IF(AND('领用录入（明细）'!D:D=$F$4,'领用录入（明细）'!C:C&gt;=$J$4,'领用录入（明细）'!C:C&lt;=$L$4),ROW(),"-")</f>
        <v>-</v>
      </c>
    </row>
    <row r="48934" customHeight="1" spans="2:2">
      <c r="B48934" s="62" t="str">
        <f>IF(AND('领用录入（明细）'!D:D=$F$4,'领用录入（明细）'!C:C&gt;=$J$4,'领用录入（明细）'!C:C&lt;=$L$4),ROW(),"-")</f>
        <v>-</v>
      </c>
    </row>
    <row r="48935" customHeight="1" spans="2:2">
      <c r="B48935" s="62" t="str">
        <f>IF(AND('领用录入（明细）'!D:D=$F$4,'领用录入（明细）'!C:C&gt;=$J$4,'领用录入（明细）'!C:C&lt;=$L$4),ROW(),"-")</f>
        <v>-</v>
      </c>
    </row>
    <row r="48936" customHeight="1" spans="2:2">
      <c r="B48936" s="62" t="str">
        <f>IF(AND('领用录入（明细）'!D:D=$F$4,'领用录入（明细）'!C:C&gt;=$J$4,'领用录入（明细）'!C:C&lt;=$L$4),ROW(),"-")</f>
        <v>-</v>
      </c>
    </row>
    <row r="48937" customHeight="1" spans="2:2">
      <c r="B48937" s="62" t="str">
        <f>IF(AND('领用录入（明细）'!D:D=$F$4,'领用录入（明细）'!C:C&gt;=$J$4,'领用录入（明细）'!C:C&lt;=$L$4),ROW(),"-")</f>
        <v>-</v>
      </c>
    </row>
    <row r="48938" customHeight="1" spans="2:2">
      <c r="B48938" s="62" t="str">
        <f>IF(AND('领用录入（明细）'!D:D=$F$4,'领用录入（明细）'!C:C&gt;=$J$4,'领用录入（明细）'!C:C&lt;=$L$4),ROW(),"-")</f>
        <v>-</v>
      </c>
    </row>
    <row r="48939" customHeight="1" spans="2:2">
      <c r="B48939" s="62" t="str">
        <f>IF(AND('领用录入（明细）'!D:D=$F$4,'领用录入（明细）'!C:C&gt;=$J$4,'领用录入（明细）'!C:C&lt;=$L$4),ROW(),"-")</f>
        <v>-</v>
      </c>
    </row>
    <row r="48940" customHeight="1" spans="2:2">
      <c r="B48940" s="62" t="str">
        <f>IF(AND('领用录入（明细）'!D:D=$F$4,'领用录入（明细）'!C:C&gt;=$J$4,'领用录入（明细）'!C:C&lt;=$L$4),ROW(),"-")</f>
        <v>-</v>
      </c>
    </row>
    <row r="48941" customHeight="1" spans="2:2">
      <c r="B48941" s="62" t="str">
        <f>IF(AND('领用录入（明细）'!D:D=$F$4,'领用录入（明细）'!C:C&gt;=$J$4,'领用录入（明细）'!C:C&lt;=$L$4),ROW(),"-")</f>
        <v>-</v>
      </c>
    </row>
    <row r="48942" customHeight="1" spans="2:2">
      <c r="B48942" s="62" t="str">
        <f>IF(AND('领用录入（明细）'!D:D=$F$4,'领用录入（明细）'!C:C&gt;=$J$4,'领用录入（明细）'!C:C&lt;=$L$4),ROW(),"-")</f>
        <v>-</v>
      </c>
    </row>
    <row r="48943" customHeight="1" spans="2:2">
      <c r="B48943" s="62" t="str">
        <f>IF(AND('领用录入（明细）'!D:D=$F$4,'领用录入（明细）'!C:C&gt;=$J$4,'领用录入（明细）'!C:C&lt;=$L$4),ROW(),"-")</f>
        <v>-</v>
      </c>
    </row>
    <row r="48944" customHeight="1" spans="2:2">
      <c r="B48944" s="62" t="str">
        <f>IF(AND('领用录入（明细）'!D:D=$F$4,'领用录入（明细）'!C:C&gt;=$J$4,'领用录入（明细）'!C:C&lt;=$L$4),ROW(),"-")</f>
        <v>-</v>
      </c>
    </row>
    <row r="48945" customHeight="1" spans="2:2">
      <c r="B48945" s="62" t="str">
        <f>IF(AND('领用录入（明细）'!D:D=$F$4,'领用录入（明细）'!C:C&gt;=$J$4,'领用录入（明细）'!C:C&lt;=$L$4),ROW(),"-")</f>
        <v>-</v>
      </c>
    </row>
    <row r="48946" customHeight="1" spans="2:2">
      <c r="B48946" s="62" t="str">
        <f>IF(AND('领用录入（明细）'!D:D=$F$4,'领用录入（明细）'!C:C&gt;=$J$4,'领用录入（明细）'!C:C&lt;=$L$4),ROW(),"-")</f>
        <v>-</v>
      </c>
    </row>
    <row r="48947" customHeight="1" spans="2:2">
      <c r="B48947" s="62" t="str">
        <f>IF(AND('领用录入（明细）'!D:D=$F$4,'领用录入（明细）'!C:C&gt;=$J$4,'领用录入（明细）'!C:C&lt;=$L$4),ROW(),"-")</f>
        <v>-</v>
      </c>
    </row>
    <row r="48948" customHeight="1" spans="2:2">
      <c r="B48948" s="62" t="str">
        <f>IF(AND('领用录入（明细）'!D:D=$F$4,'领用录入（明细）'!C:C&gt;=$J$4,'领用录入（明细）'!C:C&lt;=$L$4),ROW(),"-")</f>
        <v>-</v>
      </c>
    </row>
    <row r="48949" customHeight="1" spans="2:2">
      <c r="B48949" s="62" t="str">
        <f>IF(AND('领用录入（明细）'!D:D=$F$4,'领用录入（明细）'!C:C&gt;=$J$4,'领用录入（明细）'!C:C&lt;=$L$4),ROW(),"-")</f>
        <v>-</v>
      </c>
    </row>
    <row r="48950" customHeight="1" spans="2:2">
      <c r="B48950" s="62" t="str">
        <f>IF(AND('领用录入（明细）'!D:D=$F$4,'领用录入（明细）'!C:C&gt;=$J$4,'领用录入（明细）'!C:C&lt;=$L$4),ROW(),"-")</f>
        <v>-</v>
      </c>
    </row>
    <row r="48951" customHeight="1" spans="2:2">
      <c r="B48951" s="62" t="str">
        <f>IF(AND('领用录入（明细）'!D:D=$F$4,'领用录入（明细）'!C:C&gt;=$J$4,'领用录入（明细）'!C:C&lt;=$L$4),ROW(),"-")</f>
        <v>-</v>
      </c>
    </row>
    <row r="48952" customHeight="1" spans="2:2">
      <c r="B48952" s="62" t="str">
        <f>IF(AND('领用录入（明细）'!D:D=$F$4,'领用录入（明细）'!C:C&gt;=$J$4,'领用录入（明细）'!C:C&lt;=$L$4),ROW(),"-")</f>
        <v>-</v>
      </c>
    </row>
    <row r="48953" customHeight="1" spans="2:2">
      <c r="B48953" s="62" t="str">
        <f>IF(AND('领用录入（明细）'!D:D=$F$4,'领用录入（明细）'!C:C&gt;=$J$4,'领用录入（明细）'!C:C&lt;=$L$4),ROW(),"-")</f>
        <v>-</v>
      </c>
    </row>
    <row r="48954" customHeight="1" spans="2:2">
      <c r="B48954" s="62" t="str">
        <f>IF(AND('领用录入（明细）'!D:D=$F$4,'领用录入（明细）'!C:C&gt;=$J$4,'领用录入（明细）'!C:C&lt;=$L$4),ROW(),"-")</f>
        <v>-</v>
      </c>
    </row>
    <row r="48955" customHeight="1" spans="2:2">
      <c r="B48955" s="62" t="str">
        <f>IF(AND('领用录入（明细）'!D:D=$F$4,'领用录入（明细）'!C:C&gt;=$J$4,'领用录入（明细）'!C:C&lt;=$L$4),ROW(),"-")</f>
        <v>-</v>
      </c>
    </row>
    <row r="48956" customHeight="1" spans="2:2">
      <c r="B48956" s="62" t="str">
        <f>IF(AND('领用录入（明细）'!D:D=$F$4,'领用录入（明细）'!C:C&gt;=$J$4,'领用录入（明细）'!C:C&lt;=$L$4),ROW(),"-")</f>
        <v>-</v>
      </c>
    </row>
    <row r="48957" customHeight="1" spans="2:2">
      <c r="B48957" s="62" t="str">
        <f>IF(AND('领用录入（明细）'!D:D=$F$4,'领用录入（明细）'!C:C&gt;=$J$4,'领用录入（明细）'!C:C&lt;=$L$4),ROW(),"-")</f>
        <v>-</v>
      </c>
    </row>
    <row r="48958" customHeight="1" spans="2:2">
      <c r="B48958" s="62" t="str">
        <f>IF(AND('领用录入（明细）'!D:D=$F$4,'领用录入（明细）'!C:C&gt;=$J$4,'领用录入（明细）'!C:C&lt;=$L$4),ROW(),"-")</f>
        <v>-</v>
      </c>
    </row>
    <row r="48959" customHeight="1" spans="2:2">
      <c r="B48959" s="62" t="str">
        <f>IF(AND('领用录入（明细）'!D:D=$F$4,'领用录入（明细）'!C:C&gt;=$J$4,'领用录入（明细）'!C:C&lt;=$L$4),ROW(),"-")</f>
        <v>-</v>
      </c>
    </row>
    <row r="48960" customHeight="1" spans="2:2">
      <c r="B48960" s="62" t="str">
        <f>IF(AND('领用录入（明细）'!D:D=$F$4,'领用录入（明细）'!C:C&gt;=$J$4,'领用录入（明细）'!C:C&lt;=$L$4),ROW(),"-")</f>
        <v>-</v>
      </c>
    </row>
    <row r="48961" customHeight="1" spans="2:2">
      <c r="B48961" s="62" t="str">
        <f>IF(AND('领用录入（明细）'!D:D=$F$4,'领用录入（明细）'!C:C&gt;=$J$4,'领用录入（明细）'!C:C&lt;=$L$4),ROW(),"-")</f>
        <v>-</v>
      </c>
    </row>
    <row r="48962" customHeight="1" spans="2:2">
      <c r="B48962" s="62" t="str">
        <f>IF(AND('领用录入（明细）'!D:D=$F$4,'领用录入（明细）'!C:C&gt;=$J$4,'领用录入（明细）'!C:C&lt;=$L$4),ROW(),"-")</f>
        <v>-</v>
      </c>
    </row>
    <row r="48963" customHeight="1" spans="2:2">
      <c r="B48963" s="62" t="str">
        <f>IF(AND('领用录入（明细）'!D:D=$F$4,'领用录入（明细）'!C:C&gt;=$J$4,'领用录入（明细）'!C:C&lt;=$L$4),ROW(),"-")</f>
        <v>-</v>
      </c>
    </row>
    <row r="48964" customHeight="1" spans="2:2">
      <c r="B48964" s="62" t="str">
        <f>IF(AND('领用录入（明细）'!D:D=$F$4,'领用录入（明细）'!C:C&gt;=$J$4,'领用录入（明细）'!C:C&lt;=$L$4),ROW(),"-")</f>
        <v>-</v>
      </c>
    </row>
    <row r="48965" customHeight="1" spans="2:2">
      <c r="B48965" s="62" t="str">
        <f>IF(AND('领用录入（明细）'!D:D=$F$4,'领用录入（明细）'!C:C&gt;=$J$4,'领用录入（明细）'!C:C&lt;=$L$4),ROW(),"-")</f>
        <v>-</v>
      </c>
    </row>
    <row r="48966" customHeight="1" spans="2:2">
      <c r="B48966" s="62" t="str">
        <f>IF(AND('领用录入（明细）'!D:D=$F$4,'领用录入（明细）'!C:C&gt;=$J$4,'领用录入（明细）'!C:C&lt;=$L$4),ROW(),"-")</f>
        <v>-</v>
      </c>
    </row>
    <row r="48967" customHeight="1" spans="2:2">
      <c r="B48967" s="62" t="str">
        <f>IF(AND('领用录入（明细）'!D:D=$F$4,'领用录入（明细）'!C:C&gt;=$J$4,'领用录入（明细）'!C:C&lt;=$L$4),ROW(),"-")</f>
        <v>-</v>
      </c>
    </row>
    <row r="48968" customHeight="1" spans="2:2">
      <c r="B48968" s="62" t="str">
        <f>IF(AND('领用录入（明细）'!D:D=$F$4,'领用录入（明细）'!C:C&gt;=$J$4,'领用录入（明细）'!C:C&lt;=$L$4),ROW(),"-")</f>
        <v>-</v>
      </c>
    </row>
    <row r="48969" customHeight="1" spans="2:2">
      <c r="B48969" s="62" t="str">
        <f>IF(AND('领用录入（明细）'!D:D=$F$4,'领用录入（明细）'!C:C&gt;=$J$4,'领用录入（明细）'!C:C&lt;=$L$4),ROW(),"-")</f>
        <v>-</v>
      </c>
    </row>
    <row r="48970" customHeight="1" spans="2:2">
      <c r="B48970" s="62" t="str">
        <f>IF(AND('领用录入（明细）'!D:D=$F$4,'领用录入（明细）'!C:C&gt;=$J$4,'领用录入（明细）'!C:C&lt;=$L$4),ROW(),"-")</f>
        <v>-</v>
      </c>
    </row>
    <row r="48971" customHeight="1" spans="2:2">
      <c r="B48971" s="62" t="str">
        <f>IF(AND('领用录入（明细）'!D:D=$F$4,'领用录入（明细）'!C:C&gt;=$J$4,'领用录入（明细）'!C:C&lt;=$L$4),ROW(),"-")</f>
        <v>-</v>
      </c>
    </row>
    <row r="48972" customHeight="1" spans="2:2">
      <c r="B48972" s="62" t="str">
        <f>IF(AND('领用录入（明细）'!D:D=$F$4,'领用录入（明细）'!C:C&gt;=$J$4,'领用录入（明细）'!C:C&lt;=$L$4),ROW(),"-")</f>
        <v>-</v>
      </c>
    </row>
    <row r="48973" customHeight="1" spans="2:2">
      <c r="B48973" s="62" t="str">
        <f>IF(AND('领用录入（明细）'!D:D=$F$4,'领用录入（明细）'!C:C&gt;=$J$4,'领用录入（明细）'!C:C&lt;=$L$4),ROW(),"-")</f>
        <v>-</v>
      </c>
    </row>
    <row r="48974" customHeight="1" spans="2:2">
      <c r="B48974" s="62" t="str">
        <f>IF(AND('领用录入（明细）'!D:D=$F$4,'领用录入（明细）'!C:C&gt;=$J$4,'领用录入（明细）'!C:C&lt;=$L$4),ROW(),"-")</f>
        <v>-</v>
      </c>
    </row>
    <row r="48975" customHeight="1" spans="2:2">
      <c r="B48975" s="62" t="str">
        <f>IF(AND('领用录入（明细）'!D:D=$F$4,'领用录入（明细）'!C:C&gt;=$J$4,'领用录入（明细）'!C:C&lt;=$L$4),ROW(),"-")</f>
        <v>-</v>
      </c>
    </row>
    <row r="48976" customHeight="1" spans="2:2">
      <c r="B48976" s="62" t="str">
        <f>IF(AND('领用录入（明细）'!D:D=$F$4,'领用录入（明细）'!C:C&gt;=$J$4,'领用录入（明细）'!C:C&lt;=$L$4),ROW(),"-")</f>
        <v>-</v>
      </c>
    </row>
    <row r="48977" customHeight="1" spans="2:2">
      <c r="B48977" s="62" t="str">
        <f>IF(AND('领用录入（明细）'!D:D=$F$4,'领用录入（明细）'!C:C&gt;=$J$4,'领用录入（明细）'!C:C&lt;=$L$4),ROW(),"-")</f>
        <v>-</v>
      </c>
    </row>
    <row r="48978" customHeight="1" spans="2:2">
      <c r="B48978" s="62" t="str">
        <f>IF(AND('领用录入（明细）'!D:D=$F$4,'领用录入（明细）'!C:C&gt;=$J$4,'领用录入（明细）'!C:C&lt;=$L$4),ROW(),"-")</f>
        <v>-</v>
      </c>
    </row>
    <row r="48979" customHeight="1" spans="2:2">
      <c r="B48979" s="62" t="str">
        <f>IF(AND('领用录入（明细）'!D:D=$F$4,'领用录入（明细）'!C:C&gt;=$J$4,'领用录入（明细）'!C:C&lt;=$L$4),ROW(),"-")</f>
        <v>-</v>
      </c>
    </row>
    <row r="48980" customHeight="1" spans="2:2">
      <c r="B48980" s="62" t="str">
        <f>IF(AND('领用录入（明细）'!D:D=$F$4,'领用录入（明细）'!C:C&gt;=$J$4,'领用录入（明细）'!C:C&lt;=$L$4),ROW(),"-")</f>
        <v>-</v>
      </c>
    </row>
    <row r="48981" customHeight="1" spans="2:2">
      <c r="B48981" s="62" t="str">
        <f>IF(AND('领用录入（明细）'!D:D=$F$4,'领用录入（明细）'!C:C&gt;=$J$4,'领用录入（明细）'!C:C&lt;=$L$4),ROW(),"-")</f>
        <v>-</v>
      </c>
    </row>
    <row r="48982" customHeight="1" spans="2:2">
      <c r="B48982" s="62" t="str">
        <f>IF(AND('领用录入（明细）'!D:D=$F$4,'领用录入（明细）'!C:C&gt;=$J$4,'领用录入（明细）'!C:C&lt;=$L$4),ROW(),"-")</f>
        <v>-</v>
      </c>
    </row>
    <row r="48983" customHeight="1" spans="2:2">
      <c r="B48983" s="62" t="str">
        <f>IF(AND('领用录入（明细）'!D:D=$F$4,'领用录入（明细）'!C:C&gt;=$J$4,'领用录入（明细）'!C:C&lt;=$L$4),ROW(),"-")</f>
        <v>-</v>
      </c>
    </row>
    <row r="48984" customHeight="1" spans="2:2">
      <c r="B48984" s="62" t="str">
        <f>IF(AND('领用录入（明细）'!D:D=$F$4,'领用录入（明细）'!C:C&gt;=$J$4,'领用录入（明细）'!C:C&lt;=$L$4),ROW(),"-")</f>
        <v>-</v>
      </c>
    </row>
    <row r="48985" customHeight="1" spans="2:2">
      <c r="B48985" s="62" t="str">
        <f>IF(AND('领用录入（明细）'!D:D=$F$4,'领用录入（明细）'!C:C&gt;=$J$4,'领用录入（明细）'!C:C&lt;=$L$4),ROW(),"-")</f>
        <v>-</v>
      </c>
    </row>
    <row r="48986" customHeight="1" spans="2:2">
      <c r="B48986" s="62" t="str">
        <f>IF(AND('领用录入（明细）'!D:D=$F$4,'领用录入（明细）'!C:C&gt;=$J$4,'领用录入（明细）'!C:C&lt;=$L$4),ROW(),"-")</f>
        <v>-</v>
      </c>
    </row>
    <row r="48987" customHeight="1" spans="2:2">
      <c r="B48987" s="62" t="str">
        <f>IF(AND('领用录入（明细）'!D:D=$F$4,'领用录入（明细）'!C:C&gt;=$J$4,'领用录入（明细）'!C:C&lt;=$L$4),ROW(),"-")</f>
        <v>-</v>
      </c>
    </row>
    <row r="48988" customHeight="1" spans="2:2">
      <c r="B48988" s="62" t="str">
        <f>IF(AND('领用录入（明细）'!D:D=$F$4,'领用录入（明细）'!C:C&gt;=$J$4,'领用录入（明细）'!C:C&lt;=$L$4),ROW(),"-")</f>
        <v>-</v>
      </c>
    </row>
    <row r="48989" customHeight="1" spans="2:2">
      <c r="B48989" s="62" t="str">
        <f>IF(AND('领用录入（明细）'!D:D=$F$4,'领用录入（明细）'!C:C&gt;=$J$4,'领用录入（明细）'!C:C&lt;=$L$4),ROW(),"-")</f>
        <v>-</v>
      </c>
    </row>
    <row r="48990" customHeight="1" spans="2:2">
      <c r="B48990" s="62" t="str">
        <f>IF(AND('领用录入（明细）'!D:D=$F$4,'领用录入（明细）'!C:C&gt;=$J$4,'领用录入（明细）'!C:C&lt;=$L$4),ROW(),"-")</f>
        <v>-</v>
      </c>
    </row>
    <row r="48991" customHeight="1" spans="2:2">
      <c r="B48991" s="62" t="str">
        <f>IF(AND('领用录入（明细）'!D:D=$F$4,'领用录入（明细）'!C:C&gt;=$J$4,'领用录入（明细）'!C:C&lt;=$L$4),ROW(),"-")</f>
        <v>-</v>
      </c>
    </row>
    <row r="48992" customHeight="1" spans="2:2">
      <c r="B48992" s="62" t="str">
        <f>IF(AND('领用录入（明细）'!D:D=$F$4,'领用录入（明细）'!C:C&gt;=$J$4,'领用录入（明细）'!C:C&lt;=$L$4),ROW(),"-")</f>
        <v>-</v>
      </c>
    </row>
    <row r="48993" customHeight="1" spans="2:2">
      <c r="B48993" s="62" t="str">
        <f>IF(AND('领用录入（明细）'!D:D=$F$4,'领用录入（明细）'!C:C&gt;=$J$4,'领用录入（明细）'!C:C&lt;=$L$4),ROW(),"-")</f>
        <v>-</v>
      </c>
    </row>
    <row r="48994" customHeight="1" spans="2:2">
      <c r="B48994" s="62" t="str">
        <f>IF(AND('领用录入（明细）'!D:D=$F$4,'领用录入（明细）'!C:C&gt;=$J$4,'领用录入（明细）'!C:C&lt;=$L$4),ROW(),"-")</f>
        <v>-</v>
      </c>
    </row>
    <row r="48995" customHeight="1" spans="2:2">
      <c r="B48995" s="62" t="str">
        <f>IF(AND('领用录入（明细）'!D:D=$F$4,'领用录入（明细）'!C:C&gt;=$J$4,'领用录入（明细）'!C:C&lt;=$L$4),ROW(),"-")</f>
        <v>-</v>
      </c>
    </row>
    <row r="48996" customHeight="1" spans="2:2">
      <c r="B48996" s="62" t="str">
        <f>IF(AND('领用录入（明细）'!D:D=$F$4,'领用录入（明细）'!C:C&gt;=$J$4,'领用录入（明细）'!C:C&lt;=$L$4),ROW(),"-")</f>
        <v>-</v>
      </c>
    </row>
    <row r="48997" customHeight="1" spans="2:2">
      <c r="B48997" s="62" t="str">
        <f>IF(AND('领用录入（明细）'!D:D=$F$4,'领用录入（明细）'!C:C&gt;=$J$4,'领用录入（明细）'!C:C&lt;=$L$4),ROW(),"-")</f>
        <v>-</v>
      </c>
    </row>
    <row r="48998" customHeight="1" spans="2:2">
      <c r="B48998" s="62" t="str">
        <f>IF(AND('领用录入（明细）'!D:D=$F$4,'领用录入（明细）'!C:C&gt;=$J$4,'领用录入（明细）'!C:C&lt;=$L$4),ROW(),"-")</f>
        <v>-</v>
      </c>
    </row>
    <row r="48999" customHeight="1" spans="2:2">
      <c r="B48999" s="62" t="str">
        <f>IF(AND('领用录入（明细）'!D:D=$F$4,'领用录入（明细）'!C:C&gt;=$J$4,'领用录入（明细）'!C:C&lt;=$L$4),ROW(),"-")</f>
        <v>-</v>
      </c>
    </row>
    <row r="49000" customHeight="1" spans="2:2">
      <c r="B49000" s="62" t="str">
        <f>IF(AND('领用录入（明细）'!D:D=$F$4,'领用录入（明细）'!C:C&gt;=$J$4,'领用录入（明细）'!C:C&lt;=$L$4),ROW(),"-")</f>
        <v>-</v>
      </c>
    </row>
    <row r="49001" customHeight="1" spans="2:2">
      <c r="B49001" s="62" t="str">
        <f>IF(AND('领用录入（明细）'!D:D=$F$4,'领用录入（明细）'!C:C&gt;=$J$4,'领用录入（明细）'!C:C&lt;=$L$4),ROW(),"-")</f>
        <v>-</v>
      </c>
    </row>
    <row r="49002" customHeight="1" spans="2:2">
      <c r="B49002" s="62" t="str">
        <f>IF(AND('领用录入（明细）'!D:D=$F$4,'领用录入（明细）'!C:C&gt;=$J$4,'领用录入（明细）'!C:C&lt;=$L$4),ROW(),"-")</f>
        <v>-</v>
      </c>
    </row>
    <row r="49003" customHeight="1" spans="2:2">
      <c r="B49003" s="62" t="str">
        <f>IF(AND('领用录入（明细）'!D:D=$F$4,'领用录入（明细）'!C:C&gt;=$J$4,'领用录入（明细）'!C:C&lt;=$L$4),ROW(),"-")</f>
        <v>-</v>
      </c>
    </row>
    <row r="49004" customHeight="1" spans="2:2">
      <c r="B49004" s="62" t="str">
        <f>IF(AND('领用录入（明细）'!D:D=$F$4,'领用录入（明细）'!C:C&gt;=$J$4,'领用录入（明细）'!C:C&lt;=$L$4),ROW(),"-")</f>
        <v>-</v>
      </c>
    </row>
    <row r="49005" customHeight="1" spans="2:2">
      <c r="B49005" s="62" t="str">
        <f>IF(AND('领用录入（明细）'!D:D=$F$4,'领用录入（明细）'!C:C&gt;=$J$4,'领用录入（明细）'!C:C&lt;=$L$4),ROW(),"-")</f>
        <v>-</v>
      </c>
    </row>
    <row r="49006" customHeight="1" spans="2:2">
      <c r="B49006" s="62" t="str">
        <f>IF(AND('领用录入（明细）'!D:D=$F$4,'领用录入（明细）'!C:C&gt;=$J$4,'领用录入（明细）'!C:C&lt;=$L$4),ROW(),"-")</f>
        <v>-</v>
      </c>
    </row>
    <row r="49007" customHeight="1" spans="2:2">
      <c r="B49007" s="62" t="str">
        <f>IF(AND('领用录入（明细）'!D:D=$F$4,'领用录入（明细）'!C:C&gt;=$J$4,'领用录入（明细）'!C:C&lt;=$L$4),ROW(),"-")</f>
        <v>-</v>
      </c>
    </row>
    <row r="49008" customHeight="1" spans="2:2">
      <c r="B49008" s="62" t="str">
        <f>IF(AND('领用录入（明细）'!D:D=$F$4,'领用录入（明细）'!C:C&gt;=$J$4,'领用录入（明细）'!C:C&lt;=$L$4),ROW(),"-")</f>
        <v>-</v>
      </c>
    </row>
    <row r="49009" customHeight="1" spans="2:2">
      <c r="B49009" s="62" t="str">
        <f>IF(AND('领用录入（明细）'!D:D=$F$4,'领用录入（明细）'!C:C&gt;=$J$4,'领用录入（明细）'!C:C&lt;=$L$4),ROW(),"-")</f>
        <v>-</v>
      </c>
    </row>
    <row r="49010" customHeight="1" spans="2:2">
      <c r="B49010" s="62" t="str">
        <f>IF(AND('领用录入（明细）'!D:D=$F$4,'领用录入（明细）'!C:C&gt;=$J$4,'领用录入（明细）'!C:C&lt;=$L$4),ROW(),"-")</f>
        <v>-</v>
      </c>
    </row>
    <row r="49011" customHeight="1" spans="2:2">
      <c r="B49011" s="62" t="str">
        <f>IF(AND('领用录入（明细）'!D:D=$F$4,'领用录入（明细）'!C:C&gt;=$J$4,'领用录入（明细）'!C:C&lt;=$L$4),ROW(),"-")</f>
        <v>-</v>
      </c>
    </row>
    <row r="49012" customHeight="1" spans="2:2">
      <c r="B49012" s="62" t="str">
        <f>IF(AND('领用录入（明细）'!D:D=$F$4,'领用录入（明细）'!C:C&gt;=$J$4,'领用录入（明细）'!C:C&lt;=$L$4),ROW(),"-")</f>
        <v>-</v>
      </c>
    </row>
    <row r="49013" customHeight="1" spans="2:2">
      <c r="B49013" s="62" t="str">
        <f>IF(AND('领用录入（明细）'!D:D=$F$4,'领用录入（明细）'!C:C&gt;=$J$4,'领用录入（明细）'!C:C&lt;=$L$4),ROW(),"-")</f>
        <v>-</v>
      </c>
    </row>
    <row r="49014" customHeight="1" spans="2:2">
      <c r="B49014" s="62" t="str">
        <f>IF(AND('领用录入（明细）'!D:D=$F$4,'领用录入（明细）'!C:C&gt;=$J$4,'领用录入（明细）'!C:C&lt;=$L$4),ROW(),"-")</f>
        <v>-</v>
      </c>
    </row>
    <row r="49015" customHeight="1" spans="2:2">
      <c r="B49015" s="62" t="str">
        <f>IF(AND('领用录入（明细）'!D:D=$F$4,'领用录入（明细）'!C:C&gt;=$J$4,'领用录入（明细）'!C:C&lt;=$L$4),ROW(),"-")</f>
        <v>-</v>
      </c>
    </row>
    <row r="49016" customHeight="1" spans="2:2">
      <c r="B49016" s="62" t="str">
        <f>IF(AND('领用录入（明细）'!D:D=$F$4,'领用录入（明细）'!C:C&gt;=$J$4,'领用录入（明细）'!C:C&lt;=$L$4),ROW(),"-")</f>
        <v>-</v>
      </c>
    </row>
    <row r="49017" customHeight="1" spans="2:2">
      <c r="B49017" s="62" t="str">
        <f>IF(AND('领用录入（明细）'!D:D=$F$4,'领用录入（明细）'!C:C&gt;=$J$4,'领用录入（明细）'!C:C&lt;=$L$4),ROW(),"-")</f>
        <v>-</v>
      </c>
    </row>
    <row r="49018" customHeight="1" spans="2:2">
      <c r="B49018" s="62" t="str">
        <f>IF(AND('领用录入（明细）'!D:D=$F$4,'领用录入（明细）'!C:C&gt;=$J$4,'领用录入（明细）'!C:C&lt;=$L$4),ROW(),"-")</f>
        <v>-</v>
      </c>
    </row>
    <row r="49019" customHeight="1" spans="2:2">
      <c r="B49019" s="62" t="str">
        <f>IF(AND('领用录入（明细）'!D:D=$F$4,'领用录入（明细）'!C:C&gt;=$J$4,'领用录入（明细）'!C:C&lt;=$L$4),ROW(),"-")</f>
        <v>-</v>
      </c>
    </row>
    <row r="49020" customHeight="1" spans="2:2">
      <c r="B49020" s="62" t="str">
        <f>IF(AND('领用录入（明细）'!D:D=$F$4,'领用录入（明细）'!C:C&gt;=$J$4,'领用录入（明细）'!C:C&lt;=$L$4),ROW(),"-")</f>
        <v>-</v>
      </c>
    </row>
    <row r="49021" customHeight="1" spans="2:2">
      <c r="B49021" s="62" t="str">
        <f>IF(AND('领用录入（明细）'!D:D=$F$4,'领用录入（明细）'!C:C&gt;=$J$4,'领用录入（明细）'!C:C&lt;=$L$4),ROW(),"-")</f>
        <v>-</v>
      </c>
    </row>
    <row r="49022" customHeight="1" spans="2:2">
      <c r="B49022" s="62" t="str">
        <f>IF(AND('领用录入（明细）'!D:D=$F$4,'领用录入（明细）'!C:C&gt;=$J$4,'领用录入（明细）'!C:C&lt;=$L$4),ROW(),"-")</f>
        <v>-</v>
      </c>
    </row>
    <row r="49023" customHeight="1" spans="2:2">
      <c r="B49023" s="62" t="str">
        <f>IF(AND('领用录入（明细）'!D:D=$F$4,'领用录入（明细）'!C:C&gt;=$J$4,'领用录入（明细）'!C:C&lt;=$L$4),ROW(),"-")</f>
        <v>-</v>
      </c>
    </row>
    <row r="49024" customHeight="1" spans="2:2">
      <c r="B49024" s="62" t="str">
        <f>IF(AND('领用录入（明细）'!D:D=$F$4,'领用录入（明细）'!C:C&gt;=$J$4,'领用录入（明细）'!C:C&lt;=$L$4),ROW(),"-")</f>
        <v>-</v>
      </c>
    </row>
    <row r="49025" customHeight="1" spans="2:2">
      <c r="B49025" s="62" t="str">
        <f>IF(AND('领用录入（明细）'!D:D=$F$4,'领用录入（明细）'!C:C&gt;=$J$4,'领用录入（明细）'!C:C&lt;=$L$4),ROW(),"-")</f>
        <v>-</v>
      </c>
    </row>
    <row r="49026" customHeight="1" spans="2:2">
      <c r="B49026" s="62" t="str">
        <f>IF(AND('领用录入（明细）'!D:D=$F$4,'领用录入（明细）'!C:C&gt;=$J$4,'领用录入（明细）'!C:C&lt;=$L$4),ROW(),"-")</f>
        <v>-</v>
      </c>
    </row>
    <row r="49027" customHeight="1" spans="2:2">
      <c r="B49027" s="62" t="str">
        <f>IF(AND('领用录入（明细）'!D:D=$F$4,'领用录入（明细）'!C:C&gt;=$J$4,'领用录入（明细）'!C:C&lt;=$L$4),ROW(),"-")</f>
        <v>-</v>
      </c>
    </row>
    <row r="49028" customHeight="1" spans="2:2">
      <c r="B49028" s="62" t="str">
        <f>IF(AND('领用录入（明细）'!D:D=$F$4,'领用录入（明细）'!C:C&gt;=$J$4,'领用录入（明细）'!C:C&lt;=$L$4),ROW(),"-")</f>
        <v>-</v>
      </c>
    </row>
    <row r="49029" customHeight="1" spans="2:2">
      <c r="B49029" s="62" t="str">
        <f>IF(AND('领用录入（明细）'!D:D=$F$4,'领用录入（明细）'!C:C&gt;=$J$4,'领用录入（明细）'!C:C&lt;=$L$4),ROW(),"-")</f>
        <v>-</v>
      </c>
    </row>
    <row r="49030" customHeight="1" spans="2:2">
      <c r="B49030" s="62" t="str">
        <f>IF(AND('领用录入（明细）'!D:D=$F$4,'领用录入（明细）'!C:C&gt;=$J$4,'领用录入（明细）'!C:C&lt;=$L$4),ROW(),"-")</f>
        <v>-</v>
      </c>
    </row>
    <row r="49031" customHeight="1" spans="2:2">
      <c r="B49031" s="62" t="str">
        <f>IF(AND('领用录入（明细）'!D:D=$F$4,'领用录入（明细）'!C:C&gt;=$J$4,'领用录入（明细）'!C:C&lt;=$L$4),ROW(),"-")</f>
        <v>-</v>
      </c>
    </row>
    <row r="49032" customHeight="1" spans="2:2">
      <c r="B49032" s="62" t="str">
        <f>IF(AND('领用录入（明细）'!D:D=$F$4,'领用录入（明细）'!C:C&gt;=$J$4,'领用录入（明细）'!C:C&lt;=$L$4),ROW(),"-")</f>
        <v>-</v>
      </c>
    </row>
    <row r="49033" customHeight="1" spans="2:2">
      <c r="B49033" s="62" t="str">
        <f>IF(AND('领用录入（明细）'!D:D=$F$4,'领用录入（明细）'!C:C&gt;=$J$4,'领用录入（明细）'!C:C&lt;=$L$4),ROW(),"-")</f>
        <v>-</v>
      </c>
    </row>
    <row r="49034" customHeight="1" spans="2:2">
      <c r="B49034" s="62" t="str">
        <f>IF(AND('领用录入（明细）'!D:D=$F$4,'领用录入（明细）'!C:C&gt;=$J$4,'领用录入（明细）'!C:C&lt;=$L$4),ROW(),"-")</f>
        <v>-</v>
      </c>
    </row>
    <row r="49035" customHeight="1" spans="2:2">
      <c r="B49035" s="62" t="str">
        <f>IF(AND('领用录入（明细）'!D:D=$F$4,'领用录入（明细）'!C:C&gt;=$J$4,'领用录入（明细）'!C:C&lt;=$L$4),ROW(),"-")</f>
        <v>-</v>
      </c>
    </row>
    <row r="49036" customHeight="1" spans="2:2">
      <c r="B49036" s="62" t="str">
        <f>IF(AND('领用录入（明细）'!D:D=$F$4,'领用录入（明细）'!C:C&gt;=$J$4,'领用录入（明细）'!C:C&lt;=$L$4),ROW(),"-")</f>
        <v>-</v>
      </c>
    </row>
    <row r="49037" customHeight="1" spans="2:2">
      <c r="B49037" s="62" t="str">
        <f>IF(AND('领用录入（明细）'!D:D=$F$4,'领用录入（明细）'!C:C&gt;=$J$4,'领用录入（明细）'!C:C&lt;=$L$4),ROW(),"-")</f>
        <v>-</v>
      </c>
    </row>
    <row r="49038" customHeight="1" spans="2:2">
      <c r="B49038" s="62" t="str">
        <f>IF(AND('领用录入（明细）'!D:D=$F$4,'领用录入（明细）'!C:C&gt;=$J$4,'领用录入（明细）'!C:C&lt;=$L$4),ROW(),"-")</f>
        <v>-</v>
      </c>
    </row>
    <row r="49039" customHeight="1" spans="2:2">
      <c r="B49039" s="62" t="str">
        <f>IF(AND('领用录入（明细）'!D:D=$F$4,'领用录入（明细）'!C:C&gt;=$J$4,'领用录入（明细）'!C:C&lt;=$L$4),ROW(),"-")</f>
        <v>-</v>
      </c>
    </row>
    <row r="49040" customHeight="1" spans="2:2">
      <c r="B49040" s="62" t="str">
        <f>IF(AND('领用录入（明细）'!D:D=$F$4,'领用录入（明细）'!C:C&gt;=$J$4,'领用录入（明细）'!C:C&lt;=$L$4),ROW(),"-")</f>
        <v>-</v>
      </c>
    </row>
    <row r="49041" customHeight="1" spans="2:2">
      <c r="B49041" s="62" t="str">
        <f>IF(AND('领用录入（明细）'!D:D=$F$4,'领用录入（明细）'!C:C&gt;=$J$4,'领用录入（明细）'!C:C&lt;=$L$4),ROW(),"-")</f>
        <v>-</v>
      </c>
    </row>
    <row r="49042" customHeight="1" spans="2:2">
      <c r="B49042" s="62" t="str">
        <f>IF(AND('领用录入（明细）'!D:D=$F$4,'领用录入（明细）'!C:C&gt;=$J$4,'领用录入（明细）'!C:C&lt;=$L$4),ROW(),"-")</f>
        <v>-</v>
      </c>
    </row>
    <row r="49043" customHeight="1" spans="2:2">
      <c r="B49043" s="62" t="str">
        <f>IF(AND('领用录入（明细）'!D:D=$F$4,'领用录入（明细）'!C:C&gt;=$J$4,'领用录入（明细）'!C:C&lt;=$L$4),ROW(),"-")</f>
        <v>-</v>
      </c>
    </row>
    <row r="49044" customHeight="1" spans="2:2">
      <c r="B49044" s="62" t="str">
        <f>IF(AND('领用录入（明细）'!D:D=$F$4,'领用录入（明细）'!C:C&gt;=$J$4,'领用录入（明细）'!C:C&lt;=$L$4),ROW(),"-")</f>
        <v>-</v>
      </c>
    </row>
    <row r="49045" customHeight="1" spans="2:2">
      <c r="B49045" s="62" t="str">
        <f>IF(AND('领用录入（明细）'!D:D=$F$4,'领用录入（明细）'!C:C&gt;=$J$4,'领用录入（明细）'!C:C&lt;=$L$4),ROW(),"-")</f>
        <v>-</v>
      </c>
    </row>
    <row r="49046" customHeight="1" spans="2:2">
      <c r="B49046" s="62" t="str">
        <f>IF(AND('领用录入（明细）'!D:D=$F$4,'领用录入（明细）'!C:C&gt;=$J$4,'领用录入（明细）'!C:C&lt;=$L$4),ROW(),"-")</f>
        <v>-</v>
      </c>
    </row>
    <row r="49047" customHeight="1" spans="2:2">
      <c r="B49047" s="62" t="str">
        <f>IF(AND('领用录入（明细）'!D:D=$F$4,'领用录入（明细）'!C:C&gt;=$J$4,'领用录入（明细）'!C:C&lt;=$L$4),ROW(),"-")</f>
        <v>-</v>
      </c>
    </row>
    <row r="49048" customHeight="1" spans="2:2">
      <c r="B49048" s="62" t="str">
        <f>IF(AND('领用录入（明细）'!D:D=$F$4,'领用录入（明细）'!C:C&gt;=$J$4,'领用录入（明细）'!C:C&lt;=$L$4),ROW(),"-")</f>
        <v>-</v>
      </c>
    </row>
    <row r="49049" customHeight="1" spans="2:2">
      <c r="B49049" s="62" t="str">
        <f>IF(AND('领用录入（明细）'!D:D=$F$4,'领用录入（明细）'!C:C&gt;=$J$4,'领用录入（明细）'!C:C&lt;=$L$4),ROW(),"-")</f>
        <v>-</v>
      </c>
    </row>
    <row r="49050" customHeight="1" spans="2:2">
      <c r="B49050" s="62" t="str">
        <f>IF(AND('领用录入（明细）'!D:D=$F$4,'领用录入（明细）'!C:C&gt;=$J$4,'领用录入（明细）'!C:C&lt;=$L$4),ROW(),"-")</f>
        <v>-</v>
      </c>
    </row>
    <row r="49051" customHeight="1" spans="2:2">
      <c r="B49051" s="62" t="str">
        <f>IF(AND('领用录入（明细）'!D:D=$F$4,'领用录入（明细）'!C:C&gt;=$J$4,'领用录入（明细）'!C:C&lt;=$L$4),ROW(),"-")</f>
        <v>-</v>
      </c>
    </row>
    <row r="49052" customHeight="1" spans="2:2">
      <c r="B49052" s="62" t="str">
        <f>IF(AND('领用录入（明细）'!D:D=$F$4,'领用录入（明细）'!C:C&gt;=$J$4,'领用录入（明细）'!C:C&lt;=$L$4),ROW(),"-")</f>
        <v>-</v>
      </c>
    </row>
    <row r="49053" customHeight="1" spans="2:2">
      <c r="B49053" s="62" t="str">
        <f>IF(AND('领用录入（明细）'!D:D=$F$4,'领用录入（明细）'!C:C&gt;=$J$4,'领用录入（明细）'!C:C&lt;=$L$4),ROW(),"-")</f>
        <v>-</v>
      </c>
    </row>
    <row r="49054" customHeight="1" spans="2:2">
      <c r="B49054" s="62" t="str">
        <f>IF(AND('领用录入（明细）'!D:D=$F$4,'领用录入（明细）'!C:C&gt;=$J$4,'领用录入（明细）'!C:C&lt;=$L$4),ROW(),"-")</f>
        <v>-</v>
      </c>
    </row>
    <row r="49055" customHeight="1" spans="2:2">
      <c r="B49055" s="62" t="str">
        <f>IF(AND('领用录入（明细）'!D:D=$F$4,'领用录入（明细）'!C:C&gt;=$J$4,'领用录入（明细）'!C:C&lt;=$L$4),ROW(),"-")</f>
        <v>-</v>
      </c>
    </row>
    <row r="49056" customHeight="1" spans="2:2">
      <c r="B49056" s="62" t="str">
        <f>IF(AND('领用录入（明细）'!D:D=$F$4,'领用录入（明细）'!C:C&gt;=$J$4,'领用录入（明细）'!C:C&lt;=$L$4),ROW(),"-")</f>
        <v>-</v>
      </c>
    </row>
    <row r="49057" customHeight="1" spans="2:2">
      <c r="B49057" s="62" t="str">
        <f>IF(AND('领用录入（明细）'!D:D=$F$4,'领用录入（明细）'!C:C&gt;=$J$4,'领用录入（明细）'!C:C&lt;=$L$4),ROW(),"-")</f>
        <v>-</v>
      </c>
    </row>
    <row r="49058" customHeight="1" spans="2:2">
      <c r="B49058" s="62" t="str">
        <f>IF(AND('领用录入（明细）'!D:D=$F$4,'领用录入（明细）'!C:C&gt;=$J$4,'领用录入（明细）'!C:C&lt;=$L$4),ROW(),"-")</f>
        <v>-</v>
      </c>
    </row>
    <row r="49059" customHeight="1" spans="2:2">
      <c r="B49059" s="62" t="str">
        <f>IF(AND('领用录入（明细）'!D:D=$F$4,'领用录入（明细）'!C:C&gt;=$J$4,'领用录入（明细）'!C:C&lt;=$L$4),ROW(),"-")</f>
        <v>-</v>
      </c>
    </row>
    <row r="49060" customHeight="1" spans="2:2">
      <c r="B49060" s="62" t="str">
        <f>IF(AND('领用录入（明细）'!D:D=$F$4,'领用录入（明细）'!C:C&gt;=$J$4,'领用录入（明细）'!C:C&lt;=$L$4),ROW(),"-")</f>
        <v>-</v>
      </c>
    </row>
    <row r="49061" customHeight="1" spans="2:2">
      <c r="B49061" s="62" t="str">
        <f>IF(AND('领用录入（明细）'!D:D=$F$4,'领用录入（明细）'!C:C&gt;=$J$4,'领用录入（明细）'!C:C&lt;=$L$4),ROW(),"-")</f>
        <v>-</v>
      </c>
    </row>
    <row r="49062" customHeight="1" spans="2:2">
      <c r="B49062" s="62" t="str">
        <f>IF(AND('领用录入（明细）'!D:D=$F$4,'领用录入（明细）'!C:C&gt;=$J$4,'领用录入（明细）'!C:C&lt;=$L$4),ROW(),"-")</f>
        <v>-</v>
      </c>
    </row>
    <row r="49063" customHeight="1" spans="2:2">
      <c r="B49063" s="62" t="str">
        <f>IF(AND('领用录入（明细）'!D:D=$F$4,'领用录入（明细）'!C:C&gt;=$J$4,'领用录入（明细）'!C:C&lt;=$L$4),ROW(),"-")</f>
        <v>-</v>
      </c>
    </row>
    <row r="49064" customHeight="1" spans="2:2">
      <c r="B49064" s="62" t="str">
        <f>IF(AND('领用录入（明细）'!D:D=$F$4,'领用录入（明细）'!C:C&gt;=$J$4,'领用录入（明细）'!C:C&lt;=$L$4),ROW(),"-")</f>
        <v>-</v>
      </c>
    </row>
    <row r="49065" customHeight="1" spans="2:2">
      <c r="B49065" s="62" t="str">
        <f>IF(AND('领用录入（明细）'!D:D=$F$4,'领用录入（明细）'!C:C&gt;=$J$4,'领用录入（明细）'!C:C&lt;=$L$4),ROW(),"-")</f>
        <v>-</v>
      </c>
    </row>
    <row r="49066" customHeight="1" spans="2:2">
      <c r="B49066" s="62" t="str">
        <f>IF(AND('领用录入（明细）'!D:D=$F$4,'领用录入（明细）'!C:C&gt;=$J$4,'领用录入（明细）'!C:C&lt;=$L$4),ROW(),"-")</f>
        <v>-</v>
      </c>
    </row>
    <row r="49067" customHeight="1" spans="2:2">
      <c r="B49067" s="62" t="str">
        <f>IF(AND('领用录入（明细）'!D:D=$F$4,'领用录入（明细）'!C:C&gt;=$J$4,'领用录入（明细）'!C:C&lt;=$L$4),ROW(),"-")</f>
        <v>-</v>
      </c>
    </row>
    <row r="49068" customHeight="1" spans="2:2">
      <c r="B49068" s="62" t="str">
        <f>IF(AND('领用录入（明细）'!D:D=$F$4,'领用录入（明细）'!C:C&gt;=$J$4,'领用录入（明细）'!C:C&lt;=$L$4),ROW(),"-")</f>
        <v>-</v>
      </c>
    </row>
    <row r="49069" customHeight="1" spans="2:2">
      <c r="B49069" s="62" t="str">
        <f>IF(AND('领用录入（明细）'!D:D=$F$4,'领用录入（明细）'!C:C&gt;=$J$4,'领用录入（明细）'!C:C&lt;=$L$4),ROW(),"-")</f>
        <v>-</v>
      </c>
    </row>
    <row r="49070" customHeight="1" spans="2:2">
      <c r="B49070" s="62" t="str">
        <f>IF(AND('领用录入（明细）'!D:D=$F$4,'领用录入（明细）'!C:C&gt;=$J$4,'领用录入（明细）'!C:C&lt;=$L$4),ROW(),"-")</f>
        <v>-</v>
      </c>
    </row>
    <row r="49071" customHeight="1" spans="2:2">
      <c r="B49071" s="62" t="str">
        <f>IF(AND('领用录入（明细）'!D:D=$F$4,'领用录入（明细）'!C:C&gt;=$J$4,'领用录入（明细）'!C:C&lt;=$L$4),ROW(),"-")</f>
        <v>-</v>
      </c>
    </row>
    <row r="49072" customHeight="1" spans="2:2">
      <c r="B49072" s="62" t="str">
        <f>IF(AND('领用录入（明细）'!D:D=$F$4,'领用录入（明细）'!C:C&gt;=$J$4,'领用录入（明细）'!C:C&lt;=$L$4),ROW(),"-")</f>
        <v>-</v>
      </c>
    </row>
    <row r="49073" customHeight="1" spans="2:2">
      <c r="B49073" s="62" t="str">
        <f>IF(AND('领用录入（明细）'!D:D=$F$4,'领用录入（明细）'!C:C&gt;=$J$4,'领用录入（明细）'!C:C&lt;=$L$4),ROW(),"-")</f>
        <v>-</v>
      </c>
    </row>
    <row r="49074" customHeight="1" spans="2:2">
      <c r="B49074" s="62" t="str">
        <f>IF(AND('领用录入（明细）'!D:D=$F$4,'领用录入（明细）'!C:C&gt;=$J$4,'领用录入（明细）'!C:C&lt;=$L$4),ROW(),"-")</f>
        <v>-</v>
      </c>
    </row>
    <row r="49075" customHeight="1" spans="2:2">
      <c r="B49075" s="62" t="str">
        <f>IF(AND('领用录入（明细）'!D:D=$F$4,'领用录入（明细）'!C:C&gt;=$J$4,'领用录入（明细）'!C:C&lt;=$L$4),ROW(),"-")</f>
        <v>-</v>
      </c>
    </row>
    <row r="49076" customHeight="1" spans="2:2">
      <c r="B49076" s="62" t="str">
        <f>IF(AND('领用录入（明细）'!D:D=$F$4,'领用录入（明细）'!C:C&gt;=$J$4,'领用录入（明细）'!C:C&lt;=$L$4),ROW(),"-")</f>
        <v>-</v>
      </c>
    </row>
    <row r="49077" customHeight="1" spans="2:2">
      <c r="B49077" s="62" t="str">
        <f>IF(AND('领用录入（明细）'!D:D=$F$4,'领用录入（明细）'!C:C&gt;=$J$4,'领用录入（明细）'!C:C&lt;=$L$4),ROW(),"-")</f>
        <v>-</v>
      </c>
    </row>
    <row r="49078" customHeight="1" spans="2:2">
      <c r="B49078" s="62" t="str">
        <f>IF(AND('领用录入（明细）'!D:D=$F$4,'领用录入（明细）'!C:C&gt;=$J$4,'领用录入（明细）'!C:C&lt;=$L$4),ROW(),"-")</f>
        <v>-</v>
      </c>
    </row>
    <row r="49079" customHeight="1" spans="2:2">
      <c r="B49079" s="62" t="str">
        <f>IF(AND('领用录入（明细）'!D:D=$F$4,'领用录入（明细）'!C:C&gt;=$J$4,'领用录入（明细）'!C:C&lt;=$L$4),ROW(),"-")</f>
        <v>-</v>
      </c>
    </row>
    <row r="49080" customHeight="1" spans="2:2">
      <c r="B49080" s="62" t="str">
        <f>IF(AND('领用录入（明细）'!D:D=$F$4,'领用录入（明细）'!C:C&gt;=$J$4,'领用录入（明细）'!C:C&lt;=$L$4),ROW(),"-")</f>
        <v>-</v>
      </c>
    </row>
    <row r="49081" customHeight="1" spans="2:2">
      <c r="B49081" s="62" t="str">
        <f>IF(AND('领用录入（明细）'!D:D=$F$4,'领用录入（明细）'!C:C&gt;=$J$4,'领用录入（明细）'!C:C&lt;=$L$4),ROW(),"-")</f>
        <v>-</v>
      </c>
    </row>
    <row r="49082" customHeight="1" spans="2:2">
      <c r="B49082" s="62" t="str">
        <f>IF(AND('领用录入（明细）'!D:D=$F$4,'领用录入（明细）'!C:C&gt;=$J$4,'领用录入（明细）'!C:C&lt;=$L$4),ROW(),"-")</f>
        <v>-</v>
      </c>
    </row>
    <row r="49083" customHeight="1" spans="2:2">
      <c r="B49083" s="62" t="str">
        <f>IF(AND('领用录入（明细）'!D:D=$F$4,'领用录入（明细）'!C:C&gt;=$J$4,'领用录入（明细）'!C:C&lt;=$L$4),ROW(),"-")</f>
        <v>-</v>
      </c>
    </row>
    <row r="49084" customHeight="1" spans="2:2">
      <c r="B49084" s="62" t="str">
        <f>IF(AND('领用录入（明细）'!D:D=$F$4,'领用录入（明细）'!C:C&gt;=$J$4,'领用录入（明细）'!C:C&lt;=$L$4),ROW(),"-")</f>
        <v>-</v>
      </c>
    </row>
    <row r="49085" customHeight="1" spans="2:2">
      <c r="B49085" s="62" t="str">
        <f>IF(AND('领用录入（明细）'!D:D=$F$4,'领用录入（明细）'!C:C&gt;=$J$4,'领用录入（明细）'!C:C&lt;=$L$4),ROW(),"-")</f>
        <v>-</v>
      </c>
    </row>
    <row r="49086" customHeight="1" spans="2:2">
      <c r="B49086" s="62" t="str">
        <f>IF(AND('领用录入（明细）'!D:D=$F$4,'领用录入（明细）'!C:C&gt;=$J$4,'领用录入（明细）'!C:C&lt;=$L$4),ROW(),"-")</f>
        <v>-</v>
      </c>
    </row>
    <row r="49087" customHeight="1" spans="2:2">
      <c r="B49087" s="62" t="str">
        <f>IF(AND('领用录入（明细）'!D:D=$F$4,'领用录入（明细）'!C:C&gt;=$J$4,'领用录入（明细）'!C:C&lt;=$L$4),ROW(),"-")</f>
        <v>-</v>
      </c>
    </row>
    <row r="49088" customHeight="1" spans="2:2">
      <c r="B49088" s="62" t="str">
        <f>IF(AND('领用录入（明细）'!D:D=$F$4,'领用录入（明细）'!C:C&gt;=$J$4,'领用录入（明细）'!C:C&lt;=$L$4),ROW(),"-")</f>
        <v>-</v>
      </c>
    </row>
    <row r="49089" customHeight="1" spans="2:2">
      <c r="B49089" s="62" t="str">
        <f>IF(AND('领用录入（明细）'!D:D=$F$4,'领用录入（明细）'!C:C&gt;=$J$4,'领用录入（明细）'!C:C&lt;=$L$4),ROW(),"-")</f>
        <v>-</v>
      </c>
    </row>
    <row r="49090" customHeight="1" spans="2:2">
      <c r="B49090" s="62" t="str">
        <f>IF(AND('领用录入（明细）'!D:D=$F$4,'领用录入（明细）'!C:C&gt;=$J$4,'领用录入（明细）'!C:C&lt;=$L$4),ROW(),"-")</f>
        <v>-</v>
      </c>
    </row>
    <row r="49091" customHeight="1" spans="2:2">
      <c r="B49091" s="62" t="str">
        <f>IF(AND('领用录入（明细）'!D:D=$F$4,'领用录入（明细）'!C:C&gt;=$J$4,'领用录入（明细）'!C:C&lt;=$L$4),ROW(),"-")</f>
        <v>-</v>
      </c>
    </row>
    <row r="49092" customHeight="1" spans="2:2">
      <c r="B49092" s="62" t="str">
        <f>IF(AND('领用录入（明细）'!D:D=$F$4,'领用录入（明细）'!C:C&gt;=$J$4,'领用录入（明细）'!C:C&lt;=$L$4),ROW(),"-")</f>
        <v>-</v>
      </c>
    </row>
    <row r="49093" customHeight="1" spans="2:2">
      <c r="B49093" s="62" t="str">
        <f>IF(AND('领用录入（明细）'!D:D=$F$4,'领用录入（明细）'!C:C&gt;=$J$4,'领用录入（明细）'!C:C&lt;=$L$4),ROW(),"-")</f>
        <v>-</v>
      </c>
    </row>
    <row r="49094" customHeight="1" spans="2:2">
      <c r="B49094" s="62" t="str">
        <f>IF(AND('领用录入（明细）'!D:D=$F$4,'领用录入（明细）'!C:C&gt;=$J$4,'领用录入（明细）'!C:C&lt;=$L$4),ROW(),"-")</f>
        <v>-</v>
      </c>
    </row>
    <row r="49095" customHeight="1" spans="2:2">
      <c r="B49095" s="62" t="str">
        <f>IF(AND('领用录入（明细）'!D:D=$F$4,'领用录入（明细）'!C:C&gt;=$J$4,'领用录入（明细）'!C:C&lt;=$L$4),ROW(),"-")</f>
        <v>-</v>
      </c>
    </row>
    <row r="49096" customHeight="1" spans="2:2">
      <c r="B49096" s="62" t="str">
        <f>IF(AND('领用录入（明细）'!D:D=$F$4,'领用录入（明细）'!C:C&gt;=$J$4,'领用录入（明细）'!C:C&lt;=$L$4),ROW(),"-")</f>
        <v>-</v>
      </c>
    </row>
    <row r="49097" customHeight="1" spans="2:2">
      <c r="B49097" s="62" t="str">
        <f>IF(AND('领用录入（明细）'!D:D=$F$4,'领用录入（明细）'!C:C&gt;=$J$4,'领用录入（明细）'!C:C&lt;=$L$4),ROW(),"-")</f>
        <v>-</v>
      </c>
    </row>
    <row r="49098" customHeight="1" spans="2:2">
      <c r="B49098" s="62" t="str">
        <f>IF(AND('领用录入（明细）'!D:D=$F$4,'领用录入（明细）'!C:C&gt;=$J$4,'领用录入（明细）'!C:C&lt;=$L$4),ROW(),"-")</f>
        <v>-</v>
      </c>
    </row>
    <row r="49099" customHeight="1" spans="2:2">
      <c r="B49099" s="62" t="str">
        <f>IF(AND('领用录入（明细）'!D:D=$F$4,'领用录入（明细）'!C:C&gt;=$J$4,'领用录入（明细）'!C:C&lt;=$L$4),ROW(),"-")</f>
        <v>-</v>
      </c>
    </row>
    <row r="49100" customHeight="1" spans="2:2">
      <c r="B49100" s="62" t="str">
        <f>IF(AND('领用录入（明细）'!D:D=$F$4,'领用录入（明细）'!C:C&gt;=$J$4,'领用录入（明细）'!C:C&lt;=$L$4),ROW(),"-")</f>
        <v>-</v>
      </c>
    </row>
    <row r="49101" customHeight="1" spans="2:2">
      <c r="B49101" s="62" t="str">
        <f>IF(AND('领用录入（明细）'!D:D=$F$4,'领用录入（明细）'!C:C&gt;=$J$4,'领用录入（明细）'!C:C&lt;=$L$4),ROW(),"-")</f>
        <v>-</v>
      </c>
    </row>
    <row r="49102" customHeight="1" spans="2:2">
      <c r="B49102" s="62" t="str">
        <f>IF(AND('领用录入（明细）'!D:D=$F$4,'领用录入（明细）'!C:C&gt;=$J$4,'领用录入（明细）'!C:C&lt;=$L$4),ROW(),"-")</f>
        <v>-</v>
      </c>
    </row>
    <row r="49103" customHeight="1" spans="2:2">
      <c r="B49103" s="62" t="str">
        <f>IF(AND('领用录入（明细）'!D:D=$F$4,'领用录入（明细）'!C:C&gt;=$J$4,'领用录入（明细）'!C:C&lt;=$L$4),ROW(),"-")</f>
        <v>-</v>
      </c>
    </row>
    <row r="49104" customHeight="1" spans="2:2">
      <c r="B49104" s="62" t="str">
        <f>IF(AND('领用录入（明细）'!D:D=$F$4,'领用录入（明细）'!C:C&gt;=$J$4,'领用录入（明细）'!C:C&lt;=$L$4),ROW(),"-")</f>
        <v>-</v>
      </c>
    </row>
    <row r="49105" customHeight="1" spans="2:2">
      <c r="B49105" s="62" t="str">
        <f>IF(AND('领用录入（明细）'!D:D=$F$4,'领用录入（明细）'!C:C&gt;=$J$4,'领用录入（明细）'!C:C&lt;=$L$4),ROW(),"-")</f>
        <v>-</v>
      </c>
    </row>
    <row r="49106" customHeight="1" spans="2:2">
      <c r="B49106" s="62" t="str">
        <f>IF(AND('领用录入（明细）'!D:D=$F$4,'领用录入（明细）'!C:C&gt;=$J$4,'领用录入（明细）'!C:C&lt;=$L$4),ROW(),"-")</f>
        <v>-</v>
      </c>
    </row>
    <row r="49107" customHeight="1" spans="2:2">
      <c r="B49107" s="62" t="str">
        <f>IF(AND('领用录入（明细）'!D:D=$F$4,'领用录入（明细）'!C:C&gt;=$J$4,'领用录入（明细）'!C:C&lt;=$L$4),ROW(),"-")</f>
        <v>-</v>
      </c>
    </row>
    <row r="49108" customHeight="1" spans="2:2">
      <c r="B49108" s="62" t="str">
        <f>IF(AND('领用录入（明细）'!D:D=$F$4,'领用录入（明细）'!C:C&gt;=$J$4,'领用录入（明细）'!C:C&lt;=$L$4),ROW(),"-")</f>
        <v>-</v>
      </c>
    </row>
    <row r="49109" customHeight="1" spans="2:2">
      <c r="B49109" s="62" t="str">
        <f>IF(AND('领用录入（明细）'!D:D=$F$4,'领用录入（明细）'!C:C&gt;=$J$4,'领用录入（明细）'!C:C&lt;=$L$4),ROW(),"-")</f>
        <v>-</v>
      </c>
    </row>
    <row r="49110" customHeight="1" spans="2:2">
      <c r="B49110" s="62" t="str">
        <f>IF(AND('领用录入（明细）'!D:D=$F$4,'领用录入（明细）'!C:C&gt;=$J$4,'领用录入（明细）'!C:C&lt;=$L$4),ROW(),"-")</f>
        <v>-</v>
      </c>
    </row>
    <row r="49111" customHeight="1" spans="2:2">
      <c r="B49111" s="62" t="str">
        <f>IF(AND('领用录入（明细）'!D:D=$F$4,'领用录入（明细）'!C:C&gt;=$J$4,'领用录入（明细）'!C:C&lt;=$L$4),ROW(),"-")</f>
        <v>-</v>
      </c>
    </row>
    <row r="49112" customHeight="1" spans="2:2">
      <c r="B49112" s="62" t="str">
        <f>IF(AND('领用录入（明细）'!D:D=$F$4,'领用录入（明细）'!C:C&gt;=$J$4,'领用录入（明细）'!C:C&lt;=$L$4),ROW(),"-")</f>
        <v>-</v>
      </c>
    </row>
    <row r="49113" customHeight="1" spans="2:2">
      <c r="B49113" s="62" t="str">
        <f>IF(AND('领用录入（明细）'!D:D=$F$4,'领用录入（明细）'!C:C&gt;=$J$4,'领用录入（明细）'!C:C&lt;=$L$4),ROW(),"-")</f>
        <v>-</v>
      </c>
    </row>
    <row r="49114" customHeight="1" spans="2:2">
      <c r="B49114" s="62" t="str">
        <f>IF(AND('领用录入（明细）'!D:D=$F$4,'领用录入（明细）'!C:C&gt;=$J$4,'领用录入（明细）'!C:C&lt;=$L$4),ROW(),"-")</f>
        <v>-</v>
      </c>
    </row>
    <row r="49115" customHeight="1" spans="2:2">
      <c r="B49115" s="62" t="str">
        <f>IF(AND('领用录入（明细）'!D:D=$F$4,'领用录入（明细）'!C:C&gt;=$J$4,'领用录入（明细）'!C:C&lt;=$L$4),ROW(),"-")</f>
        <v>-</v>
      </c>
    </row>
    <row r="49116" customHeight="1" spans="2:2">
      <c r="B49116" s="62" t="str">
        <f>IF(AND('领用录入（明细）'!D:D=$F$4,'领用录入（明细）'!C:C&gt;=$J$4,'领用录入（明细）'!C:C&lt;=$L$4),ROW(),"-")</f>
        <v>-</v>
      </c>
    </row>
    <row r="49117" customHeight="1" spans="2:2">
      <c r="B49117" s="62" t="str">
        <f>IF(AND('领用录入（明细）'!D:D=$F$4,'领用录入（明细）'!C:C&gt;=$J$4,'领用录入（明细）'!C:C&lt;=$L$4),ROW(),"-")</f>
        <v>-</v>
      </c>
    </row>
    <row r="49118" customHeight="1" spans="2:2">
      <c r="B49118" s="62" t="str">
        <f>IF(AND('领用录入（明细）'!D:D=$F$4,'领用录入（明细）'!C:C&gt;=$J$4,'领用录入（明细）'!C:C&lt;=$L$4),ROW(),"-")</f>
        <v>-</v>
      </c>
    </row>
    <row r="49119" customHeight="1" spans="2:2">
      <c r="B49119" s="62" t="str">
        <f>IF(AND('领用录入（明细）'!D:D=$F$4,'领用录入（明细）'!C:C&gt;=$J$4,'领用录入（明细）'!C:C&lt;=$L$4),ROW(),"-")</f>
        <v>-</v>
      </c>
    </row>
    <row r="49120" customHeight="1" spans="2:2">
      <c r="B49120" s="62" t="str">
        <f>IF(AND('领用录入（明细）'!D:D=$F$4,'领用录入（明细）'!C:C&gt;=$J$4,'领用录入（明细）'!C:C&lt;=$L$4),ROW(),"-")</f>
        <v>-</v>
      </c>
    </row>
    <row r="49121" customHeight="1" spans="2:2">
      <c r="B49121" s="62" t="str">
        <f>IF(AND('领用录入（明细）'!D:D=$F$4,'领用录入（明细）'!C:C&gt;=$J$4,'领用录入（明细）'!C:C&lt;=$L$4),ROW(),"-")</f>
        <v>-</v>
      </c>
    </row>
    <row r="49122" customHeight="1" spans="2:2">
      <c r="B49122" s="62" t="str">
        <f>IF(AND('领用录入（明细）'!D:D=$F$4,'领用录入（明细）'!C:C&gt;=$J$4,'领用录入（明细）'!C:C&lt;=$L$4),ROW(),"-")</f>
        <v>-</v>
      </c>
    </row>
    <row r="49123" customHeight="1" spans="2:2">
      <c r="B49123" s="62" t="str">
        <f>IF(AND('领用录入（明细）'!D:D=$F$4,'领用录入（明细）'!C:C&gt;=$J$4,'领用录入（明细）'!C:C&lt;=$L$4),ROW(),"-")</f>
        <v>-</v>
      </c>
    </row>
    <row r="49124" customHeight="1" spans="2:2">
      <c r="B49124" s="62" t="str">
        <f>IF(AND('领用录入（明细）'!D:D=$F$4,'领用录入（明细）'!C:C&gt;=$J$4,'领用录入（明细）'!C:C&lt;=$L$4),ROW(),"-")</f>
        <v>-</v>
      </c>
    </row>
    <row r="49125" customHeight="1" spans="2:2">
      <c r="B49125" s="62" t="str">
        <f>IF(AND('领用录入（明细）'!D:D=$F$4,'领用录入（明细）'!C:C&gt;=$J$4,'领用录入（明细）'!C:C&lt;=$L$4),ROW(),"-")</f>
        <v>-</v>
      </c>
    </row>
    <row r="49126" customHeight="1" spans="2:2">
      <c r="B49126" s="62" t="str">
        <f>IF(AND('领用录入（明细）'!D:D=$F$4,'领用录入（明细）'!C:C&gt;=$J$4,'领用录入（明细）'!C:C&lt;=$L$4),ROW(),"-")</f>
        <v>-</v>
      </c>
    </row>
    <row r="49127" customHeight="1" spans="2:2">
      <c r="B49127" s="62" t="str">
        <f>IF(AND('领用录入（明细）'!D:D=$F$4,'领用录入（明细）'!C:C&gt;=$J$4,'领用录入（明细）'!C:C&lt;=$L$4),ROW(),"-")</f>
        <v>-</v>
      </c>
    </row>
    <row r="49128" customHeight="1" spans="2:2">
      <c r="B49128" s="62" t="str">
        <f>IF(AND('领用录入（明细）'!D:D=$F$4,'领用录入（明细）'!C:C&gt;=$J$4,'领用录入（明细）'!C:C&lt;=$L$4),ROW(),"-")</f>
        <v>-</v>
      </c>
    </row>
    <row r="49129" customHeight="1" spans="2:2">
      <c r="B49129" s="62" t="str">
        <f>IF(AND('领用录入（明细）'!D:D=$F$4,'领用录入（明细）'!C:C&gt;=$J$4,'领用录入（明细）'!C:C&lt;=$L$4),ROW(),"-")</f>
        <v>-</v>
      </c>
    </row>
    <row r="49130" customHeight="1" spans="2:2">
      <c r="B49130" s="62" t="str">
        <f>IF(AND('领用录入（明细）'!D:D=$F$4,'领用录入（明细）'!C:C&gt;=$J$4,'领用录入（明细）'!C:C&lt;=$L$4),ROW(),"-")</f>
        <v>-</v>
      </c>
    </row>
    <row r="49131" customHeight="1" spans="2:2">
      <c r="B49131" s="62" t="str">
        <f>IF(AND('领用录入（明细）'!D:D=$F$4,'领用录入（明细）'!C:C&gt;=$J$4,'领用录入（明细）'!C:C&lt;=$L$4),ROW(),"-")</f>
        <v>-</v>
      </c>
    </row>
    <row r="49132" customHeight="1" spans="2:2">
      <c r="B49132" s="62" t="str">
        <f>IF(AND('领用录入（明细）'!D:D=$F$4,'领用录入（明细）'!C:C&gt;=$J$4,'领用录入（明细）'!C:C&lt;=$L$4),ROW(),"-")</f>
        <v>-</v>
      </c>
    </row>
    <row r="49133" customHeight="1" spans="2:2">
      <c r="B49133" s="62" t="str">
        <f>IF(AND('领用录入（明细）'!D:D=$F$4,'领用录入（明细）'!C:C&gt;=$J$4,'领用录入（明细）'!C:C&lt;=$L$4),ROW(),"-")</f>
        <v>-</v>
      </c>
    </row>
    <row r="49134" customHeight="1" spans="2:2">
      <c r="B49134" s="62" t="str">
        <f>IF(AND('领用录入（明细）'!D:D=$F$4,'领用录入（明细）'!C:C&gt;=$J$4,'领用录入（明细）'!C:C&lt;=$L$4),ROW(),"-")</f>
        <v>-</v>
      </c>
    </row>
    <row r="49135" customHeight="1" spans="2:2">
      <c r="B49135" s="62" t="str">
        <f>IF(AND('领用录入（明细）'!D:D=$F$4,'领用录入（明细）'!C:C&gt;=$J$4,'领用录入（明细）'!C:C&lt;=$L$4),ROW(),"-")</f>
        <v>-</v>
      </c>
    </row>
    <row r="49136" customHeight="1" spans="2:2">
      <c r="B49136" s="62" t="str">
        <f>IF(AND('领用录入（明细）'!D:D=$F$4,'领用录入（明细）'!C:C&gt;=$J$4,'领用录入（明细）'!C:C&lt;=$L$4),ROW(),"-")</f>
        <v>-</v>
      </c>
    </row>
    <row r="49137" customHeight="1" spans="2:2">
      <c r="B49137" s="62" t="str">
        <f>IF(AND('领用录入（明细）'!D:D=$F$4,'领用录入（明细）'!C:C&gt;=$J$4,'领用录入（明细）'!C:C&lt;=$L$4),ROW(),"-")</f>
        <v>-</v>
      </c>
    </row>
    <row r="49138" customHeight="1" spans="2:2">
      <c r="B49138" s="62" t="str">
        <f>IF(AND('领用录入（明细）'!D:D=$F$4,'领用录入（明细）'!C:C&gt;=$J$4,'领用录入（明细）'!C:C&lt;=$L$4),ROW(),"-")</f>
        <v>-</v>
      </c>
    </row>
    <row r="49139" customHeight="1" spans="2:2">
      <c r="B49139" s="62" t="str">
        <f>IF(AND('领用录入（明细）'!D:D=$F$4,'领用录入（明细）'!C:C&gt;=$J$4,'领用录入（明细）'!C:C&lt;=$L$4),ROW(),"-")</f>
        <v>-</v>
      </c>
    </row>
    <row r="49140" customHeight="1" spans="2:2">
      <c r="B49140" s="62" t="str">
        <f>IF(AND('领用录入（明细）'!D:D=$F$4,'领用录入（明细）'!C:C&gt;=$J$4,'领用录入（明细）'!C:C&lt;=$L$4),ROW(),"-")</f>
        <v>-</v>
      </c>
    </row>
    <row r="49141" customHeight="1" spans="2:2">
      <c r="B49141" s="62" t="str">
        <f>IF(AND('领用录入（明细）'!D:D=$F$4,'领用录入（明细）'!C:C&gt;=$J$4,'领用录入（明细）'!C:C&lt;=$L$4),ROW(),"-")</f>
        <v>-</v>
      </c>
    </row>
    <row r="49142" customHeight="1" spans="2:2">
      <c r="B49142" s="62" t="str">
        <f>IF(AND('领用录入（明细）'!D:D=$F$4,'领用录入（明细）'!C:C&gt;=$J$4,'领用录入（明细）'!C:C&lt;=$L$4),ROW(),"-")</f>
        <v>-</v>
      </c>
    </row>
    <row r="49143" customHeight="1" spans="2:2">
      <c r="B49143" s="62" t="str">
        <f>IF(AND('领用录入（明细）'!D:D=$F$4,'领用录入（明细）'!C:C&gt;=$J$4,'领用录入（明细）'!C:C&lt;=$L$4),ROW(),"-")</f>
        <v>-</v>
      </c>
    </row>
    <row r="49144" customHeight="1" spans="2:2">
      <c r="B49144" s="62" t="str">
        <f>IF(AND('领用录入（明细）'!D:D=$F$4,'领用录入（明细）'!C:C&gt;=$J$4,'领用录入（明细）'!C:C&lt;=$L$4),ROW(),"-")</f>
        <v>-</v>
      </c>
    </row>
    <row r="49145" customHeight="1" spans="2:2">
      <c r="B49145" s="62" t="str">
        <f>IF(AND('领用录入（明细）'!D:D=$F$4,'领用录入（明细）'!C:C&gt;=$J$4,'领用录入（明细）'!C:C&lt;=$L$4),ROW(),"-")</f>
        <v>-</v>
      </c>
    </row>
    <row r="49146" customHeight="1" spans="2:2">
      <c r="B49146" s="62" t="str">
        <f>IF(AND('领用录入（明细）'!D:D=$F$4,'领用录入（明细）'!C:C&gt;=$J$4,'领用录入（明细）'!C:C&lt;=$L$4),ROW(),"-")</f>
        <v>-</v>
      </c>
    </row>
    <row r="49147" customHeight="1" spans="2:2">
      <c r="B49147" s="62" t="str">
        <f>IF(AND('领用录入（明细）'!D:D=$F$4,'领用录入（明细）'!C:C&gt;=$J$4,'领用录入（明细）'!C:C&lt;=$L$4),ROW(),"-")</f>
        <v>-</v>
      </c>
    </row>
    <row r="49148" customHeight="1" spans="2:2">
      <c r="B49148" s="62" t="str">
        <f>IF(AND('领用录入（明细）'!D:D=$F$4,'领用录入（明细）'!C:C&gt;=$J$4,'领用录入（明细）'!C:C&lt;=$L$4),ROW(),"-")</f>
        <v>-</v>
      </c>
    </row>
    <row r="49149" customHeight="1" spans="2:2">
      <c r="B49149" s="62" t="str">
        <f>IF(AND('领用录入（明细）'!D:D=$F$4,'领用录入（明细）'!C:C&gt;=$J$4,'领用录入（明细）'!C:C&lt;=$L$4),ROW(),"-")</f>
        <v>-</v>
      </c>
    </row>
    <row r="49150" customHeight="1" spans="2:2">
      <c r="B49150" s="62" t="str">
        <f>IF(AND('领用录入（明细）'!D:D=$F$4,'领用录入（明细）'!C:C&gt;=$J$4,'领用录入（明细）'!C:C&lt;=$L$4),ROW(),"-")</f>
        <v>-</v>
      </c>
    </row>
    <row r="49151" customHeight="1" spans="2:2">
      <c r="B49151" s="62" t="str">
        <f>IF(AND('领用录入（明细）'!D:D=$F$4,'领用录入（明细）'!C:C&gt;=$J$4,'领用录入（明细）'!C:C&lt;=$L$4),ROW(),"-")</f>
        <v>-</v>
      </c>
    </row>
    <row r="49152" customHeight="1" spans="2:2">
      <c r="B49152" s="62" t="str">
        <f>IF(AND('领用录入（明细）'!D:D=$F$4,'领用录入（明细）'!C:C&gt;=$J$4,'领用录入（明细）'!C:C&lt;=$L$4),ROW(),"-")</f>
        <v>-</v>
      </c>
    </row>
    <row r="49153" customHeight="1" spans="2:2">
      <c r="B49153" s="62" t="str">
        <f>IF(AND('领用录入（明细）'!D:D=$F$4,'领用录入（明细）'!C:C&gt;=$J$4,'领用录入（明细）'!C:C&lt;=$L$4),ROW(),"-")</f>
        <v>-</v>
      </c>
    </row>
    <row r="49154" customHeight="1" spans="2:2">
      <c r="B49154" s="62" t="str">
        <f>IF(AND('领用录入（明细）'!D:D=$F$4,'领用录入（明细）'!C:C&gt;=$J$4,'领用录入（明细）'!C:C&lt;=$L$4),ROW(),"-")</f>
        <v>-</v>
      </c>
    </row>
    <row r="49155" customHeight="1" spans="2:2">
      <c r="B49155" s="62" t="str">
        <f>IF(AND('领用录入（明细）'!D:D=$F$4,'领用录入（明细）'!C:C&gt;=$J$4,'领用录入（明细）'!C:C&lt;=$L$4),ROW(),"-")</f>
        <v>-</v>
      </c>
    </row>
    <row r="49156" customHeight="1" spans="2:2">
      <c r="B49156" s="62" t="str">
        <f>IF(AND('领用录入（明细）'!D:D=$F$4,'领用录入（明细）'!C:C&gt;=$J$4,'领用录入（明细）'!C:C&lt;=$L$4),ROW(),"-")</f>
        <v>-</v>
      </c>
    </row>
    <row r="49157" customHeight="1" spans="2:2">
      <c r="B49157" s="62" t="str">
        <f>IF(AND('领用录入（明细）'!D:D=$F$4,'领用录入（明细）'!C:C&gt;=$J$4,'领用录入（明细）'!C:C&lt;=$L$4),ROW(),"-")</f>
        <v>-</v>
      </c>
    </row>
    <row r="49158" customHeight="1" spans="2:2">
      <c r="B49158" s="62" t="str">
        <f>IF(AND('领用录入（明细）'!D:D=$F$4,'领用录入（明细）'!C:C&gt;=$J$4,'领用录入（明细）'!C:C&lt;=$L$4),ROW(),"-")</f>
        <v>-</v>
      </c>
    </row>
    <row r="49159" customHeight="1" spans="2:2">
      <c r="B49159" s="62" t="str">
        <f>IF(AND('领用录入（明细）'!D:D=$F$4,'领用录入（明细）'!C:C&gt;=$J$4,'领用录入（明细）'!C:C&lt;=$L$4),ROW(),"-")</f>
        <v>-</v>
      </c>
    </row>
    <row r="49160" customHeight="1" spans="2:2">
      <c r="B49160" s="62" t="str">
        <f>IF(AND('领用录入（明细）'!D:D=$F$4,'领用录入（明细）'!C:C&gt;=$J$4,'领用录入（明细）'!C:C&lt;=$L$4),ROW(),"-")</f>
        <v>-</v>
      </c>
    </row>
    <row r="49161" customHeight="1" spans="2:2">
      <c r="B49161" s="62" t="str">
        <f>IF(AND('领用录入（明细）'!D:D=$F$4,'领用录入（明细）'!C:C&gt;=$J$4,'领用录入（明细）'!C:C&lt;=$L$4),ROW(),"-")</f>
        <v>-</v>
      </c>
    </row>
    <row r="49162" customHeight="1" spans="2:2">
      <c r="B49162" s="62" t="str">
        <f>IF(AND('领用录入（明细）'!D:D=$F$4,'领用录入（明细）'!C:C&gt;=$J$4,'领用录入（明细）'!C:C&lt;=$L$4),ROW(),"-")</f>
        <v>-</v>
      </c>
    </row>
    <row r="49163" customHeight="1" spans="2:2">
      <c r="B49163" s="62" t="str">
        <f>IF(AND('领用录入（明细）'!D:D=$F$4,'领用录入（明细）'!C:C&gt;=$J$4,'领用录入（明细）'!C:C&lt;=$L$4),ROW(),"-")</f>
        <v>-</v>
      </c>
    </row>
    <row r="49164" customHeight="1" spans="2:2">
      <c r="B49164" s="62" t="str">
        <f>IF(AND('领用录入（明细）'!D:D=$F$4,'领用录入（明细）'!C:C&gt;=$J$4,'领用录入（明细）'!C:C&lt;=$L$4),ROW(),"-")</f>
        <v>-</v>
      </c>
    </row>
    <row r="49165" customHeight="1" spans="2:2">
      <c r="B49165" s="62" t="str">
        <f>IF(AND('领用录入（明细）'!D:D=$F$4,'领用录入（明细）'!C:C&gt;=$J$4,'领用录入（明细）'!C:C&lt;=$L$4),ROW(),"-")</f>
        <v>-</v>
      </c>
    </row>
    <row r="49166" customHeight="1" spans="2:2">
      <c r="B49166" s="62" t="str">
        <f>IF(AND('领用录入（明细）'!D:D=$F$4,'领用录入（明细）'!C:C&gt;=$J$4,'领用录入（明细）'!C:C&lt;=$L$4),ROW(),"-")</f>
        <v>-</v>
      </c>
    </row>
    <row r="49167" customHeight="1" spans="2:2">
      <c r="B49167" s="62" t="str">
        <f>IF(AND('领用录入（明细）'!D:D=$F$4,'领用录入（明细）'!C:C&gt;=$J$4,'领用录入（明细）'!C:C&lt;=$L$4),ROW(),"-")</f>
        <v>-</v>
      </c>
    </row>
    <row r="49168" customHeight="1" spans="2:2">
      <c r="B49168" s="62" t="str">
        <f>IF(AND('领用录入（明细）'!D:D=$F$4,'领用录入（明细）'!C:C&gt;=$J$4,'领用录入（明细）'!C:C&lt;=$L$4),ROW(),"-")</f>
        <v>-</v>
      </c>
    </row>
    <row r="49169" customHeight="1" spans="2:2">
      <c r="B49169" s="62" t="str">
        <f>IF(AND('领用录入（明细）'!D:D=$F$4,'领用录入（明细）'!C:C&gt;=$J$4,'领用录入（明细）'!C:C&lt;=$L$4),ROW(),"-")</f>
        <v>-</v>
      </c>
    </row>
    <row r="49170" customHeight="1" spans="2:2">
      <c r="B49170" s="62" t="str">
        <f>IF(AND('领用录入（明细）'!D:D=$F$4,'领用录入（明细）'!C:C&gt;=$J$4,'领用录入（明细）'!C:C&lt;=$L$4),ROW(),"-")</f>
        <v>-</v>
      </c>
    </row>
    <row r="49171" customHeight="1" spans="2:2">
      <c r="B49171" s="62" t="str">
        <f>IF(AND('领用录入（明细）'!D:D=$F$4,'领用录入（明细）'!C:C&gt;=$J$4,'领用录入（明细）'!C:C&lt;=$L$4),ROW(),"-")</f>
        <v>-</v>
      </c>
    </row>
    <row r="49172" customHeight="1" spans="2:2">
      <c r="B49172" s="62" t="str">
        <f>IF(AND('领用录入（明细）'!D:D=$F$4,'领用录入（明细）'!C:C&gt;=$J$4,'领用录入（明细）'!C:C&lt;=$L$4),ROW(),"-")</f>
        <v>-</v>
      </c>
    </row>
    <row r="49173" customHeight="1" spans="2:2">
      <c r="B49173" s="62" t="str">
        <f>IF(AND('领用录入（明细）'!D:D=$F$4,'领用录入（明细）'!C:C&gt;=$J$4,'领用录入（明细）'!C:C&lt;=$L$4),ROW(),"-")</f>
        <v>-</v>
      </c>
    </row>
    <row r="49174" customHeight="1" spans="2:2">
      <c r="B49174" s="62" t="str">
        <f>IF(AND('领用录入（明细）'!D:D=$F$4,'领用录入（明细）'!C:C&gt;=$J$4,'领用录入（明细）'!C:C&lt;=$L$4),ROW(),"-")</f>
        <v>-</v>
      </c>
    </row>
    <row r="49175" customHeight="1" spans="2:2">
      <c r="B49175" s="62" t="str">
        <f>IF(AND('领用录入（明细）'!D:D=$F$4,'领用录入（明细）'!C:C&gt;=$J$4,'领用录入（明细）'!C:C&lt;=$L$4),ROW(),"-")</f>
        <v>-</v>
      </c>
    </row>
    <row r="49176" customHeight="1" spans="2:2">
      <c r="B49176" s="62" t="str">
        <f>IF(AND('领用录入（明细）'!D:D=$F$4,'领用录入（明细）'!C:C&gt;=$J$4,'领用录入（明细）'!C:C&lt;=$L$4),ROW(),"-")</f>
        <v>-</v>
      </c>
    </row>
    <row r="49177" customHeight="1" spans="2:2">
      <c r="B49177" s="62" t="str">
        <f>IF(AND('领用录入（明细）'!D:D=$F$4,'领用录入（明细）'!C:C&gt;=$J$4,'领用录入（明细）'!C:C&lt;=$L$4),ROW(),"-")</f>
        <v>-</v>
      </c>
    </row>
    <row r="49178" customHeight="1" spans="2:2">
      <c r="B49178" s="62" t="str">
        <f>IF(AND('领用录入（明细）'!D:D=$F$4,'领用录入（明细）'!C:C&gt;=$J$4,'领用录入（明细）'!C:C&lt;=$L$4),ROW(),"-")</f>
        <v>-</v>
      </c>
    </row>
    <row r="49179" customHeight="1" spans="2:2">
      <c r="B49179" s="62" t="str">
        <f>IF(AND('领用录入（明细）'!D:D=$F$4,'领用录入（明细）'!C:C&gt;=$J$4,'领用录入（明细）'!C:C&lt;=$L$4),ROW(),"-")</f>
        <v>-</v>
      </c>
    </row>
    <row r="49180" customHeight="1" spans="2:2">
      <c r="B49180" s="62" t="str">
        <f>IF(AND('领用录入（明细）'!D:D=$F$4,'领用录入（明细）'!C:C&gt;=$J$4,'领用录入（明细）'!C:C&lt;=$L$4),ROW(),"-")</f>
        <v>-</v>
      </c>
    </row>
    <row r="49181" customHeight="1" spans="2:2">
      <c r="B49181" s="62" t="str">
        <f>IF(AND('领用录入（明细）'!D:D=$F$4,'领用录入（明细）'!C:C&gt;=$J$4,'领用录入（明细）'!C:C&lt;=$L$4),ROW(),"-")</f>
        <v>-</v>
      </c>
    </row>
    <row r="49182" customHeight="1" spans="2:2">
      <c r="B49182" s="62" t="str">
        <f>IF(AND('领用录入（明细）'!D:D=$F$4,'领用录入（明细）'!C:C&gt;=$J$4,'领用录入（明细）'!C:C&lt;=$L$4),ROW(),"-")</f>
        <v>-</v>
      </c>
    </row>
    <row r="49183" customHeight="1" spans="2:2">
      <c r="B49183" s="62" t="str">
        <f>IF(AND('领用录入（明细）'!D:D=$F$4,'领用录入（明细）'!C:C&gt;=$J$4,'领用录入（明细）'!C:C&lt;=$L$4),ROW(),"-")</f>
        <v>-</v>
      </c>
    </row>
    <row r="49184" customHeight="1" spans="2:2">
      <c r="B49184" s="62" t="str">
        <f>IF(AND('领用录入（明细）'!D:D=$F$4,'领用录入（明细）'!C:C&gt;=$J$4,'领用录入（明细）'!C:C&lt;=$L$4),ROW(),"-")</f>
        <v>-</v>
      </c>
    </row>
    <row r="49185" customHeight="1" spans="2:2">
      <c r="B49185" s="62" t="str">
        <f>IF(AND('领用录入（明细）'!D:D=$F$4,'领用录入（明细）'!C:C&gt;=$J$4,'领用录入（明细）'!C:C&lt;=$L$4),ROW(),"-")</f>
        <v>-</v>
      </c>
    </row>
    <row r="49186" customHeight="1" spans="2:2">
      <c r="B49186" s="62" t="str">
        <f>IF(AND('领用录入（明细）'!D:D=$F$4,'领用录入（明细）'!C:C&gt;=$J$4,'领用录入（明细）'!C:C&lt;=$L$4),ROW(),"-")</f>
        <v>-</v>
      </c>
    </row>
    <row r="49187" customHeight="1" spans="2:2">
      <c r="B49187" s="62" t="str">
        <f>IF(AND('领用录入（明细）'!D:D=$F$4,'领用录入（明细）'!C:C&gt;=$J$4,'领用录入（明细）'!C:C&lt;=$L$4),ROW(),"-")</f>
        <v>-</v>
      </c>
    </row>
    <row r="49188" customHeight="1" spans="2:2">
      <c r="B49188" s="62" t="str">
        <f>IF(AND('领用录入（明细）'!D:D=$F$4,'领用录入（明细）'!C:C&gt;=$J$4,'领用录入（明细）'!C:C&lt;=$L$4),ROW(),"-")</f>
        <v>-</v>
      </c>
    </row>
    <row r="49189" customHeight="1" spans="2:2">
      <c r="B49189" s="62" t="str">
        <f>IF(AND('领用录入（明细）'!D:D=$F$4,'领用录入（明细）'!C:C&gt;=$J$4,'领用录入（明细）'!C:C&lt;=$L$4),ROW(),"-")</f>
        <v>-</v>
      </c>
    </row>
    <row r="49190" customHeight="1" spans="2:2">
      <c r="B49190" s="62" t="str">
        <f>IF(AND('领用录入（明细）'!D:D=$F$4,'领用录入（明细）'!C:C&gt;=$J$4,'领用录入（明细）'!C:C&lt;=$L$4),ROW(),"-")</f>
        <v>-</v>
      </c>
    </row>
    <row r="49191" customHeight="1" spans="2:2">
      <c r="B49191" s="62" t="str">
        <f>IF(AND('领用录入（明细）'!D:D=$F$4,'领用录入（明细）'!C:C&gt;=$J$4,'领用录入（明细）'!C:C&lt;=$L$4),ROW(),"-")</f>
        <v>-</v>
      </c>
    </row>
    <row r="49192" customHeight="1" spans="2:2">
      <c r="B49192" s="62" t="str">
        <f>IF(AND('领用录入（明细）'!D:D=$F$4,'领用录入（明细）'!C:C&gt;=$J$4,'领用录入（明细）'!C:C&lt;=$L$4),ROW(),"-")</f>
        <v>-</v>
      </c>
    </row>
    <row r="49193" customHeight="1" spans="2:2">
      <c r="B49193" s="62" t="str">
        <f>IF(AND('领用录入（明细）'!D:D=$F$4,'领用录入（明细）'!C:C&gt;=$J$4,'领用录入（明细）'!C:C&lt;=$L$4),ROW(),"-")</f>
        <v>-</v>
      </c>
    </row>
    <row r="49194" customHeight="1" spans="2:2">
      <c r="B49194" s="62" t="str">
        <f>IF(AND('领用录入（明细）'!D:D=$F$4,'领用录入（明细）'!C:C&gt;=$J$4,'领用录入（明细）'!C:C&lt;=$L$4),ROW(),"-")</f>
        <v>-</v>
      </c>
    </row>
    <row r="49195" customHeight="1" spans="2:2">
      <c r="B49195" s="62" t="str">
        <f>IF(AND('领用录入（明细）'!D:D=$F$4,'领用录入（明细）'!C:C&gt;=$J$4,'领用录入（明细）'!C:C&lt;=$L$4),ROW(),"-")</f>
        <v>-</v>
      </c>
    </row>
    <row r="49196" customHeight="1" spans="2:2">
      <c r="B49196" s="62" t="str">
        <f>IF(AND('领用录入（明细）'!D:D=$F$4,'领用录入（明细）'!C:C&gt;=$J$4,'领用录入（明细）'!C:C&lt;=$L$4),ROW(),"-")</f>
        <v>-</v>
      </c>
    </row>
    <row r="49197" customHeight="1" spans="2:2">
      <c r="B49197" s="62" t="str">
        <f>IF(AND('领用录入（明细）'!D:D=$F$4,'领用录入（明细）'!C:C&gt;=$J$4,'领用录入（明细）'!C:C&lt;=$L$4),ROW(),"-")</f>
        <v>-</v>
      </c>
    </row>
    <row r="49198" customHeight="1" spans="2:2">
      <c r="B49198" s="62" t="str">
        <f>IF(AND('领用录入（明细）'!D:D=$F$4,'领用录入（明细）'!C:C&gt;=$J$4,'领用录入（明细）'!C:C&lt;=$L$4),ROW(),"-")</f>
        <v>-</v>
      </c>
    </row>
    <row r="49199" customHeight="1" spans="2:2">
      <c r="B49199" s="62" t="str">
        <f>IF(AND('领用录入（明细）'!D:D=$F$4,'领用录入（明细）'!C:C&gt;=$J$4,'领用录入（明细）'!C:C&lt;=$L$4),ROW(),"-")</f>
        <v>-</v>
      </c>
    </row>
    <row r="49200" customHeight="1" spans="2:2">
      <c r="B49200" s="62" t="str">
        <f>IF(AND('领用录入（明细）'!D:D=$F$4,'领用录入（明细）'!C:C&gt;=$J$4,'领用录入（明细）'!C:C&lt;=$L$4),ROW(),"-")</f>
        <v>-</v>
      </c>
    </row>
    <row r="49201" customHeight="1" spans="2:2">
      <c r="B49201" s="62" t="str">
        <f>IF(AND('领用录入（明细）'!D:D=$F$4,'领用录入（明细）'!C:C&gt;=$J$4,'领用录入（明细）'!C:C&lt;=$L$4),ROW(),"-")</f>
        <v>-</v>
      </c>
    </row>
    <row r="49202" customHeight="1" spans="2:2">
      <c r="B49202" s="62" t="str">
        <f>IF(AND('领用录入（明细）'!D:D=$F$4,'领用录入（明细）'!C:C&gt;=$J$4,'领用录入（明细）'!C:C&lt;=$L$4),ROW(),"-")</f>
        <v>-</v>
      </c>
    </row>
    <row r="49203" customHeight="1" spans="2:2">
      <c r="B49203" s="62" t="str">
        <f>IF(AND('领用录入（明细）'!D:D=$F$4,'领用录入（明细）'!C:C&gt;=$J$4,'领用录入（明细）'!C:C&lt;=$L$4),ROW(),"-")</f>
        <v>-</v>
      </c>
    </row>
    <row r="49204" customHeight="1" spans="2:2">
      <c r="B49204" s="62" t="str">
        <f>IF(AND('领用录入（明细）'!D:D=$F$4,'领用录入（明细）'!C:C&gt;=$J$4,'领用录入（明细）'!C:C&lt;=$L$4),ROW(),"-")</f>
        <v>-</v>
      </c>
    </row>
    <row r="49205" customHeight="1" spans="2:2">
      <c r="B49205" s="62" t="str">
        <f>IF(AND('领用录入（明细）'!D:D=$F$4,'领用录入（明细）'!C:C&gt;=$J$4,'领用录入（明细）'!C:C&lt;=$L$4),ROW(),"-")</f>
        <v>-</v>
      </c>
    </row>
    <row r="49206" customHeight="1" spans="2:2">
      <c r="B49206" s="62" t="str">
        <f>IF(AND('领用录入（明细）'!D:D=$F$4,'领用录入（明细）'!C:C&gt;=$J$4,'领用录入（明细）'!C:C&lt;=$L$4),ROW(),"-")</f>
        <v>-</v>
      </c>
    </row>
    <row r="49207" customHeight="1" spans="2:2">
      <c r="B49207" s="62" t="str">
        <f>IF(AND('领用录入（明细）'!D:D=$F$4,'领用录入（明细）'!C:C&gt;=$J$4,'领用录入（明细）'!C:C&lt;=$L$4),ROW(),"-")</f>
        <v>-</v>
      </c>
    </row>
    <row r="49208" customHeight="1" spans="2:2">
      <c r="B49208" s="62" t="str">
        <f>IF(AND('领用录入（明细）'!D:D=$F$4,'领用录入（明细）'!C:C&gt;=$J$4,'领用录入（明细）'!C:C&lt;=$L$4),ROW(),"-")</f>
        <v>-</v>
      </c>
    </row>
    <row r="49209" customHeight="1" spans="2:2">
      <c r="B49209" s="62" t="str">
        <f>IF(AND('领用录入（明细）'!D:D=$F$4,'领用录入（明细）'!C:C&gt;=$J$4,'领用录入（明细）'!C:C&lt;=$L$4),ROW(),"-")</f>
        <v>-</v>
      </c>
    </row>
    <row r="49210" customHeight="1" spans="2:2">
      <c r="B49210" s="62" t="str">
        <f>IF(AND('领用录入（明细）'!D:D=$F$4,'领用录入（明细）'!C:C&gt;=$J$4,'领用录入（明细）'!C:C&lt;=$L$4),ROW(),"-")</f>
        <v>-</v>
      </c>
    </row>
    <row r="49211" customHeight="1" spans="2:2">
      <c r="B49211" s="62" t="str">
        <f>IF(AND('领用录入（明细）'!D:D=$F$4,'领用录入（明细）'!C:C&gt;=$J$4,'领用录入（明细）'!C:C&lt;=$L$4),ROW(),"-")</f>
        <v>-</v>
      </c>
    </row>
    <row r="49212" customHeight="1" spans="2:2">
      <c r="B49212" s="62" t="str">
        <f>IF(AND('领用录入（明细）'!D:D=$F$4,'领用录入（明细）'!C:C&gt;=$J$4,'领用录入（明细）'!C:C&lt;=$L$4),ROW(),"-")</f>
        <v>-</v>
      </c>
    </row>
    <row r="49213" customHeight="1" spans="2:2">
      <c r="B49213" s="62" t="str">
        <f>IF(AND('领用录入（明细）'!D:D=$F$4,'领用录入（明细）'!C:C&gt;=$J$4,'领用录入（明细）'!C:C&lt;=$L$4),ROW(),"-")</f>
        <v>-</v>
      </c>
    </row>
    <row r="49214" customHeight="1" spans="2:2">
      <c r="B49214" s="62" t="str">
        <f>IF(AND('领用录入（明细）'!D:D=$F$4,'领用录入（明细）'!C:C&gt;=$J$4,'领用录入（明细）'!C:C&lt;=$L$4),ROW(),"-")</f>
        <v>-</v>
      </c>
    </row>
    <row r="49215" customHeight="1" spans="2:2">
      <c r="B49215" s="62" t="str">
        <f>IF(AND('领用录入（明细）'!D:D=$F$4,'领用录入（明细）'!C:C&gt;=$J$4,'领用录入（明细）'!C:C&lt;=$L$4),ROW(),"-")</f>
        <v>-</v>
      </c>
    </row>
    <row r="49216" customHeight="1" spans="2:2">
      <c r="B49216" s="62" t="str">
        <f>IF(AND('领用录入（明细）'!D:D=$F$4,'领用录入（明细）'!C:C&gt;=$J$4,'领用录入（明细）'!C:C&lt;=$L$4),ROW(),"-")</f>
        <v>-</v>
      </c>
    </row>
    <row r="49217" customHeight="1" spans="2:2">
      <c r="B49217" s="62" t="str">
        <f>IF(AND('领用录入（明细）'!D:D=$F$4,'领用录入（明细）'!C:C&gt;=$J$4,'领用录入（明细）'!C:C&lt;=$L$4),ROW(),"-")</f>
        <v>-</v>
      </c>
    </row>
    <row r="49218" customHeight="1" spans="2:2">
      <c r="B49218" s="62" t="str">
        <f>IF(AND('领用录入（明细）'!D:D=$F$4,'领用录入（明细）'!C:C&gt;=$J$4,'领用录入（明细）'!C:C&lt;=$L$4),ROW(),"-")</f>
        <v>-</v>
      </c>
    </row>
    <row r="49219" customHeight="1" spans="2:2">
      <c r="B49219" s="62" t="str">
        <f>IF(AND('领用录入（明细）'!D:D=$F$4,'领用录入（明细）'!C:C&gt;=$J$4,'领用录入（明细）'!C:C&lt;=$L$4),ROW(),"-")</f>
        <v>-</v>
      </c>
    </row>
    <row r="49220" customHeight="1" spans="2:2">
      <c r="B49220" s="62" t="str">
        <f>IF(AND('领用录入（明细）'!D:D=$F$4,'领用录入（明细）'!C:C&gt;=$J$4,'领用录入（明细）'!C:C&lt;=$L$4),ROW(),"-")</f>
        <v>-</v>
      </c>
    </row>
    <row r="49221" customHeight="1" spans="2:2">
      <c r="B49221" s="62" t="str">
        <f>IF(AND('领用录入（明细）'!D:D=$F$4,'领用录入（明细）'!C:C&gt;=$J$4,'领用录入（明细）'!C:C&lt;=$L$4),ROW(),"-")</f>
        <v>-</v>
      </c>
    </row>
    <row r="49222" customHeight="1" spans="2:2">
      <c r="B49222" s="62" t="str">
        <f>IF(AND('领用录入（明细）'!D:D=$F$4,'领用录入（明细）'!C:C&gt;=$J$4,'领用录入（明细）'!C:C&lt;=$L$4),ROW(),"-")</f>
        <v>-</v>
      </c>
    </row>
    <row r="49223" customHeight="1" spans="2:2">
      <c r="B49223" s="62" t="str">
        <f>IF(AND('领用录入（明细）'!D:D=$F$4,'领用录入（明细）'!C:C&gt;=$J$4,'领用录入（明细）'!C:C&lt;=$L$4),ROW(),"-")</f>
        <v>-</v>
      </c>
    </row>
    <row r="49224" customHeight="1" spans="2:2">
      <c r="B49224" s="62" t="str">
        <f>IF(AND('领用录入（明细）'!D:D=$F$4,'领用录入（明细）'!C:C&gt;=$J$4,'领用录入（明细）'!C:C&lt;=$L$4),ROW(),"-")</f>
        <v>-</v>
      </c>
    </row>
    <row r="49225" customHeight="1" spans="2:2">
      <c r="B49225" s="62" t="str">
        <f>IF(AND('领用录入（明细）'!D:D=$F$4,'领用录入（明细）'!C:C&gt;=$J$4,'领用录入（明细）'!C:C&lt;=$L$4),ROW(),"-")</f>
        <v>-</v>
      </c>
    </row>
    <row r="49226" customHeight="1" spans="2:2">
      <c r="B49226" s="62" t="str">
        <f>IF(AND('领用录入（明细）'!D:D=$F$4,'领用录入（明细）'!C:C&gt;=$J$4,'领用录入（明细）'!C:C&lt;=$L$4),ROW(),"-")</f>
        <v>-</v>
      </c>
    </row>
    <row r="49227" customHeight="1" spans="2:2">
      <c r="B49227" s="62" t="str">
        <f>IF(AND('领用录入（明细）'!D:D=$F$4,'领用录入（明细）'!C:C&gt;=$J$4,'领用录入（明细）'!C:C&lt;=$L$4),ROW(),"-")</f>
        <v>-</v>
      </c>
    </row>
    <row r="49228" customHeight="1" spans="2:2">
      <c r="B49228" s="62" t="str">
        <f>IF(AND('领用录入（明细）'!D:D=$F$4,'领用录入（明细）'!C:C&gt;=$J$4,'领用录入（明细）'!C:C&lt;=$L$4),ROW(),"-")</f>
        <v>-</v>
      </c>
    </row>
    <row r="49229" customHeight="1" spans="2:2">
      <c r="B49229" s="62" t="str">
        <f>IF(AND('领用录入（明细）'!D:D=$F$4,'领用录入（明细）'!C:C&gt;=$J$4,'领用录入（明细）'!C:C&lt;=$L$4),ROW(),"-")</f>
        <v>-</v>
      </c>
    </row>
    <row r="49230" customHeight="1" spans="2:2">
      <c r="B49230" s="62" t="str">
        <f>IF(AND('领用录入（明细）'!D:D=$F$4,'领用录入（明细）'!C:C&gt;=$J$4,'领用录入（明细）'!C:C&lt;=$L$4),ROW(),"-")</f>
        <v>-</v>
      </c>
    </row>
    <row r="49231" customHeight="1" spans="2:2">
      <c r="B49231" s="62" t="str">
        <f>IF(AND('领用录入（明细）'!D:D=$F$4,'领用录入（明细）'!C:C&gt;=$J$4,'领用录入（明细）'!C:C&lt;=$L$4),ROW(),"-")</f>
        <v>-</v>
      </c>
    </row>
    <row r="49232" customHeight="1" spans="2:2">
      <c r="B49232" s="62" t="str">
        <f>IF(AND('领用录入（明细）'!D:D=$F$4,'领用录入（明细）'!C:C&gt;=$J$4,'领用录入（明细）'!C:C&lt;=$L$4),ROW(),"-")</f>
        <v>-</v>
      </c>
    </row>
    <row r="49233" customHeight="1" spans="2:2">
      <c r="B49233" s="62" t="str">
        <f>IF(AND('领用录入（明细）'!D:D=$F$4,'领用录入（明细）'!C:C&gt;=$J$4,'领用录入（明细）'!C:C&lt;=$L$4),ROW(),"-")</f>
        <v>-</v>
      </c>
    </row>
    <row r="49234" customHeight="1" spans="2:2">
      <c r="B49234" s="62" t="str">
        <f>IF(AND('领用录入（明细）'!D:D=$F$4,'领用录入（明细）'!C:C&gt;=$J$4,'领用录入（明细）'!C:C&lt;=$L$4),ROW(),"-")</f>
        <v>-</v>
      </c>
    </row>
    <row r="49235" customHeight="1" spans="2:2">
      <c r="B49235" s="62" t="str">
        <f>IF(AND('领用录入（明细）'!D:D=$F$4,'领用录入（明细）'!C:C&gt;=$J$4,'领用录入（明细）'!C:C&lt;=$L$4),ROW(),"-")</f>
        <v>-</v>
      </c>
    </row>
    <row r="49236" customHeight="1" spans="2:2">
      <c r="B49236" s="62" t="str">
        <f>IF(AND('领用录入（明细）'!D:D=$F$4,'领用录入（明细）'!C:C&gt;=$J$4,'领用录入（明细）'!C:C&lt;=$L$4),ROW(),"-")</f>
        <v>-</v>
      </c>
    </row>
    <row r="49237" customHeight="1" spans="2:2">
      <c r="B49237" s="62" t="str">
        <f>IF(AND('领用录入（明细）'!D:D=$F$4,'领用录入（明细）'!C:C&gt;=$J$4,'领用录入（明细）'!C:C&lt;=$L$4),ROW(),"-")</f>
        <v>-</v>
      </c>
    </row>
    <row r="49238" customHeight="1" spans="2:2">
      <c r="B49238" s="62" t="str">
        <f>IF(AND('领用录入（明细）'!D:D=$F$4,'领用录入（明细）'!C:C&gt;=$J$4,'领用录入（明细）'!C:C&lt;=$L$4),ROW(),"-")</f>
        <v>-</v>
      </c>
    </row>
    <row r="49239" customHeight="1" spans="2:2">
      <c r="B49239" s="62" t="str">
        <f>IF(AND('领用录入（明细）'!D:D=$F$4,'领用录入（明细）'!C:C&gt;=$J$4,'领用录入（明细）'!C:C&lt;=$L$4),ROW(),"-")</f>
        <v>-</v>
      </c>
    </row>
    <row r="49240" customHeight="1" spans="2:2">
      <c r="B49240" s="62" t="str">
        <f>IF(AND('领用录入（明细）'!D:D=$F$4,'领用录入（明细）'!C:C&gt;=$J$4,'领用录入（明细）'!C:C&lt;=$L$4),ROW(),"-")</f>
        <v>-</v>
      </c>
    </row>
    <row r="49241" customHeight="1" spans="2:2">
      <c r="B49241" s="62" t="str">
        <f>IF(AND('领用录入（明细）'!D:D=$F$4,'领用录入（明细）'!C:C&gt;=$J$4,'领用录入（明细）'!C:C&lt;=$L$4),ROW(),"-")</f>
        <v>-</v>
      </c>
    </row>
    <row r="49242" customHeight="1" spans="2:2">
      <c r="B49242" s="62" t="str">
        <f>IF(AND('领用录入（明细）'!D:D=$F$4,'领用录入（明细）'!C:C&gt;=$J$4,'领用录入（明细）'!C:C&lt;=$L$4),ROW(),"-")</f>
        <v>-</v>
      </c>
    </row>
    <row r="49243" customHeight="1" spans="2:2">
      <c r="B49243" s="62" t="str">
        <f>IF(AND('领用录入（明细）'!D:D=$F$4,'领用录入（明细）'!C:C&gt;=$J$4,'领用录入（明细）'!C:C&lt;=$L$4),ROW(),"-")</f>
        <v>-</v>
      </c>
    </row>
    <row r="49244" customHeight="1" spans="2:2">
      <c r="B49244" s="62" t="str">
        <f>IF(AND('领用录入（明细）'!D:D=$F$4,'领用录入（明细）'!C:C&gt;=$J$4,'领用录入（明细）'!C:C&lt;=$L$4),ROW(),"-")</f>
        <v>-</v>
      </c>
    </row>
    <row r="49245" customHeight="1" spans="2:2">
      <c r="B49245" s="62" t="str">
        <f>IF(AND('领用录入（明细）'!D:D=$F$4,'领用录入（明细）'!C:C&gt;=$J$4,'领用录入（明细）'!C:C&lt;=$L$4),ROW(),"-")</f>
        <v>-</v>
      </c>
    </row>
    <row r="49246" customHeight="1" spans="2:2">
      <c r="B49246" s="62" t="str">
        <f>IF(AND('领用录入（明细）'!D:D=$F$4,'领用录入（明细）'!C:C&gt;=$J$4,'领用录入（明细）'!C:C&lt;=$L$4),ROW(),"-")</f>
        <v>-</v>
      </c>
    </row>
    <row r="49247" customHeight="1" spans="2:2">
      <c r="B49247" s="62" t="str">
        <f>IF(AND('领用录入（明细）'!D:D=$F$4,'领用录入（明细）'!C:C&gt;=$J$4,'领用录入（明细）'!C:C&lt;=$L$4),ROW(),"-")</f>
        <v>-</v>
      </c>
    </row>
    <row r="49248" customHeight="1" spans="2:2">
      <c r="B49248" s="62" t="str">
        <f>IF(AND('领用录入（明细）'!D:D=$F$4,'领用录入（明细）'!C:C&gt;=$J$4,'领用录入（明细）'!C:C&lt;=$L$4),ROW(),"-")</f>
        <v>-</v>
      </c>
    </row>
    <row r="49249" customHeight="1" spans="2:2">
      <c r="B49249" s="62" t="str">
        <f>IF(AND('领用录入（明细）'!D:D=$F$4,'领用录入（明细）'!C:C&gt;=$J$4,'领用录入（明细）'!C:C&lt;=$L$4),ROW(),"-")</f>
        <v>-</v>
      </c>
    </row>
    <row r="49250" customHeight="1" spans="2:2">
      <c r="B49250" s="62" t="str">
        <f>IF(AND('领用录入（明细）'!D:D=$F$4,'领用录入（明细）'!C:C&gt;=$J$4,'领用录入（明细）'!C:C&lt;=$L$4),ROW(),"-")</f>
        <v>-</v>
      </c>
    </row>
    <row r="49251" customHeight="1" spans="2:2">
      <c r="B49251" s="62" t="str">
        <f>IF(AND('领用录入（明细）'!D:D=$F$4,'领用录入（明细）'!C:C&gt;=$J$4,'领用录入（明细）'!C:C&lt;=$L$4),ROW(),"-")</f>
        <v>-</v>
      </c>
    </row>
    <row r="49252" customHeight="1" spans="2:2">
      <c r="B49252" s="62" t="str">
        <f>IF(AND('领用录入（明细）'!D:D=$F$4,'领用录入（明细）'!C:C&gt;=$J$4,'领用录入（明细）'!C:C&lt;=$L$4),ROW(),"-")</f>
        <v>-</v>
      </c>
    </row>
    <row r="49253" customHeight="1" spans="2:2">
      <c r="B49253" s="62" t="str">
        <f>IF(AND('领用录入（明细）'!D:D=$F$4,'领用录入（明细）'!C:C&gt;=$J$4,'领用录入（明细）'!C:C&lt;=$L$4),ROW(),"-")</f>
        <v>-</v>
      </c>
    </row>
    <row r="49254" customHeight="1" spans="2:2">
      <c r="B49254" s="62" t="str">
        <f>IF(AND('领用录入（明细）'!D:D=$F$4,'领用录入（明细）'!C:C&gt;=$J$4,'领用录入（明细）'!C:C&lt;=$L$4),ROW(),"-")</f>
        <v>-</v>
      </c>
    </row>
    <row r="49255" customHeight="1" spans="2:2">
      <c r="B49255" s="62" t="str">
        <f>IF(AND('领用录入（明细）'!D:D=$F$4,'领用录入（明细）'!C:C&gt;=$J$4,'领用录入（明细）'!C:C&lt;=$L$4),ROW(),"-")</f>
        <v>-</v>
      </c>
    </row>
    <row r="49256" customHeight="1" spans="2:2">
      <c r="B49256" s="62" t="str">
        <f>IF(AND('领用录入（明细）'!D:D=$F$4,'领用录入（明细）'!C:C&gt;=$J$4,'领用录入（明细）'!C:C&lt;=$L$4),ROW(),"-")</f>
        <v>-</v>
      </c>
    </row>
    <row r="49257" customHeight="1" spans="2:2">
      <c r="B49257" s="62" t="str">
        <f>IF(AND('领用录入（明细）'!D:D=$F$4,'领用录入（明细）'!C:C&gt;=$J$4,'领用录入（明细）'!C:C&lt;=$L$4),ROW(),"-")</f>
        <v>-</v>
      </c>
    </row>
    <row r="49258" customHeight="1" spans="2:2">
      <c r="B49258" s="62" t="str">
        <f>IF(AND('领用录入（明细）'!D:D=$F$4,'领用录入（明细）'!C:C&gt;=$J$4,'领用录入（明细）'!C:C&lt;=$L$4),ROW(),"-")</f>
        <v>-</v>
      </c>
    </row>
    <row r="49259" customHeight="1" spans="2:2">
      <c r="B49259" s="62" t="str">
        <f>IF(AND('领用录入（明细）'!D:D=$F$4,'领用录入（明细）'!C:C&gt;=$J$4,'领用录入（明细）'!C:C&lt;=$L$4),ROW(),"-")</f>
        <v>-</v>
      </c>
    </row>
    <row r="49260" customHeight="1" spans="2:2">
      <c r="B49260" s="62" t="str">
        <f>IF(AND('领用录入（明细）'!D:D=$F$4,'领用录入（明细）'!C:C&gt;=$J$4,'领用录入（明细）'!C:C&lt;=$L$4),ROW(),"-")</f>
        <v>-</v>
      </c>
    </row>
    <row r="49261" customHeight="1" spans="2:2">
      <c r="B49261" s="62" t="str">
        <f>IF(AND('领用录入（明细）'!D:D=$F$4,'领用录入（明细）'!C:C&gt;=$J$4,'领用录入（明细）'!C:C&lt;=$L$4),ROW(),"-")</f>
        <v>-</v>
      </c>
    </row>
    <row r="49262" customHeight="1" spans="2:2">
      <c r="B49262" s="62" t="str">
        <f>IF(AND('领用录入（明细）'!D:D=$F$4,'领用录入（明细）'!C:C&gt;=$J$4,'领用录入（明细）'!C:C&lt;=$L$4),ROW(),"-")</f>
        <v>-</v>
      </c>
    </row>
    <row r="49263" customHeight="1" spans="2:2">
      <c r="B49263" s="62" t="str">
        <f>IF(AND('领用录入（明细）'!D:D=$F$4,'领用录入（明细）'!C:C&gt;=$J$4,'领用录入（明细）'!C:C&lt;=$L$4),ROW(),"-")</f>
        <v>-</v>
      </c>
    </row>
    <row r="49264" customHeight="1" spans="2:2">
      <c r="B49264" s="62" t="str">
        <f>IF(AND('领用录入（明细）'!D:D=$F$4,'领用录入（明细）'!C:C&gt;=$J$4,'领用录入（明细）'!C:C&lt;=$L$4),ROW(),"-")</f>
        <v>-</v>
      </c>
    </row>
    <row r="49265" customHeight="1" spans="2:2">
      <c r="B49265" s="62" t="str">
        <f>IF(AND('领用录入（明细）'!D:D=$F$4,'领用录入（明细）'!C:C&gt;=$J$4,'领用录入（明细）'!C:C&lt;=$L$4),ROW(),"-")</f>
        <v>-</v>
      </c>
    </row>
    <row r="49266" customHeight="1" spans="2:2">
      <c r="B49266" s="62" t="str">
        <f>IF(AND('领用录入（明细）'!D:D=$F$4,'领用录入（明细）'!C:C&gt;=$J$4,'领用录入（明细）'!C:C&lt;=$L$4),ROW(),"-")</f>
        <v>-</v>
      </c>
    </row>
    <row r="49267" customHeight="1" spans="2:2">
      <c r="B49267" s="62" t="str">
        <f>IF(AND('领用录入（明细）'!D:D=$F$4,'领用录入（明细）'!C:C&gt;=$J$4,'领用录入（明细）'!C:C&lt;=$L$4),ROW(),"-")</f>
        <v>-</v>
      </c>
    </row>
    <row r="49268" customHeight="1" spans="2:2">
      <c r="B49268" s="62" t="str">
        <f>IF(AND('领用录入（明细）'!D:D=$F$4,'领用录入（明细）'!C:C&gt;=$J$4,'领用录入（明细）'!C:C&lt;=$L$4),ROW(),"-")</f>
        <v>-</v>
      </c>
    </row>
    <row r="49269" customHeight="1" spans="2:2">
      <c r="B49269" s="62" t="str">
        <f>IF(AND('领用录入（明细）'!D:D=$F$4,'领用录入（明细）'!C:C&gt;=$J$4,'领用录入（明细）'!C:C&lt;=$L$4),ROW(),"-")</f>
        <v>-</v>
      </c>
    </row>
    <row r="49270" customHeight="1" spans="2:2">
      <c r="B49270" s="62" t="str">
        <f>IF(AND('领用录入（明细）'!D:D=$F$4,'领用录入（明细）'!C:C&gt;=$J$4,'领用录入（明细）'!C:C&lt;=$L$4),ROW(),"-")</f>
        <v>-</v>
      </c>
    </row>
    <row r="49271" customHeight="1" spans="2:2">
      <c r="B49271" s="62" t="str">
        <f>IF(AND('领用录入（明细）'!D:D=$F$4,'领用录入（明细）'!C:C&gt;=$J$4,'领用录入（明细）'!C:C&lt;=$L$4),ROW(),"-")</f>
        <v>-</v>
      </c>
    </row>
    <row r="49272" customHeight="1" spans="2:2">
      <c r="B49272" s="62" t="str">
        <f>IF(AND('领用录入（明细）'!D:D=$F$4,'领用录入（明细）'!C:C&gt;=$J$4,'领用录入（明细）'!C:C&lt;=$L$4),ROW(),"-")</f>
        <v>-</v>
      </c>
    </row>
    <row r="49273" customHeight="1" spans="2:2">
      <c r="B49273" s="62" t="str">
        <f>IF(AND('领用录入（明细）'!D:D=$F$4,'领用录入（明细）'!C:C&gt;=$J$4,'领用录入（明细）'!C:C&lt;=$L$4),ROW(),"-")</f>
        <v>-</v>
      </c>
    </row>
    <row r="49274" customHeight="1" spans="2:2">
      <c r="B49274" s="62" t="str">
        <f>IF(AND('领用录入（明细）'!D:D=$F$4,'领用录入（明细）'!C:C&gt;=$J$4,'领用录入（明细）'!C:C&lt;=$L$4),ROW(),"-")</f>
        <v>-</v>
      </c>
    </row>
    <row r="49275" customHeight="1" spans="2:2">
      <c r="B49275" s="62" t="str">
        <f>IF(AND('领用录入（明细）'!D:D=$F$4,'领用录入（明细）'!C:C&gt;=$J$4,'领用录入（明细）'!C:C&lt;=$L$4),ROW(),"-")</f>
        <v>-</v>
      </c>
    </row>
    <row r="49276" customHeight="1" spans="2:2">
      <c r="B49276" s="62" t="str">
        <f>IF(AND('领用录入（明细）'!D:D=$F$4,'领用录入（明细）'!C:C&gt;=$J$4,'领用录入（明细）'!C:C&lt;=$L$4),ROW(),"-")</f>
        <v>-</v>
      </c>
    </row>
    <row r="49277" customHeight="1" spans="2:2">
      <c r="B49277" s="62" t="str">
        <f>IF(AND('领用录入（明细）'!D:D=$F$4,'领用录入（明细）'!C:C&gt;=$J$4,'领用录入（明细）'!C:C&lt;=$L$4),ROW(),"-")</f>
        <v>-</v>
      </c>
    </row>
    <row r="49278" customHeight="1" spans="2:2">
      <c r="B49278" s="62" t="str">
        <f>IF(AND('领用录入（明细）'!D:D=$F$4,'领用录入（明细）'!C:C&gt;=$J$4,'领用录入（明细）'!C:C&lt;=$L$4),ROW(),"-")</f>
        <v>-</v>
      </c>
    </row>
    <row r="49279" customHeight="1" spans="2:2">
      <c r="B49279" s="62" t="str">
        <f>IF(AND('领用录入（明细）'!D:D=$F$4,'领用录入（明细）'!C:C&gt;=$J$4,'领用录入（明细）'!C:C&lt;=$L$4),ROW(),"-")</f>
        <v>-</v>
      </c>
    </row>
    <row r="49280" customHeight="1" spans="2:2">
      <c r="B49280" s="62" t="str">
        <f>IF(AND('领用录入（明细）'!D:D=$F$4,'领用录入（明细）'!C:C&gt;=$J$4,'领用录入（明细）'!C:C&lt;=$L$4),ROW(),"-")</f>
        <v>-</v>
      </c>
    </row>
    <row r="49281" customHeight="1" spans="2:2">
      <c r="B49281" s="62" t="str">
        <f>IF(AND('领用录入（明细）'!D:D=$F$4,'领用录入（明细）'!C:C&gt;=$J$4,'领用录入（明细）'!C:C&lt;=$L$4),ROW(),"-")</f>
        <v>-</v>
      </c>
    </row>
    <row r="49282" customHeight="1" spans="2:2">
      <c r="B49282" s="62" t="str">
        <f>IF(AND('领用录入（明细）'!D:D=$F$4,'领用录入（明细）'!C:C&gt;=$J$4,'领用录入（明细）'!C:C&lt;=$L$4),ROW(),"-")</f>
        <v>-</v>
      </c>
    </row>
    <row r="49283" customHeight="1" spans="2:2">
      <c r="B49283" s="62" t="str">
        <f>IF(AND('领用录入（明细）'!D:D=$F$4,'领用录入（明细）'!C:C&gt;=$J$4,'领用录入（明细）'!C:C&lt;=$L$4),ROW(),"-")</f>
        <v>-</v>
      </c>
    </row>
    <row r="49284" customHeight="1" spans="2:2">
      <c r="B49284" s="62" t="str">
        <f>IF(AND('领用录入（明细）'!D:D=$F$4,'领用录入（明细）'!C:C&gt;=$J$4,'领用录入（明细）'!C:C&lt;=$L$4),ROW(),"-")</f>
        <v>-</v>
      </c>
    </row>
    <row r="49285" customHeight="1" spans="2:2">
      <c r="B49285" s="62" t="str">
        <f>IF(AND('领用录入（明细）'!D:D=$F$4,'领用录入（明细）'!C:C&gt;=$J$4,'领用录入（明细）'!C:C&lt;=$L$4),ROW(),"-")</f>
        <v>-</v>
      </c>
    </row>
    <row r="49286" customHeight="1" spans="2:2">
      <c r="B49286" s="62" t="str">
        <f>IF(AND('领用录入（明细）'!D:D=$F$4,'领用录入（明细）'!C:C&gt;=$J$4,'领用录入（明细）'!C:C&lt;=$L$4),ROW(),"-")</f>
        <v>-</v>
      </c>
    </row>
    <row r="49287" customHeight="1" spans="2:2">
      <c r="B49287" s="62" t="str">
        <f>IF(AND('领用录入（明细）'!D:D=$F$4,'领用录入（明细）'!C:C&gt;=$J$4,'领用录入（明细）'!C:C&lt;=$L$4),ROW(),"-")</f>
        <v>-</v>
      </c>
    </row>
    <row r="49288" customHeight="1" spans="2:2">
      <c r="B49288" s="62" t="str">
        <f>IF(AND('领用录入（明细）'!D:D=$F$4,'领用录入（明细）'!C:C&gt;=$J$4,'领用录入（明细）'!C:C&lt;=$L$4),ROW(),"-")</f>
        <v>-</v>
      </c>
    </row>
    <row r="49289" customHeight="1" spans="2:2">
      <c r="B49289" s="62" t="str">
        <f>IF(AND('领用录入（明细）'!D:D=$F$4,'领用录入（明细）'!C:C&gt;=$J$4,'领用录入（明细）'!C:C&lt;=$L$4),ROW(),"-")</f>
        <v>-</v>
      </c>
    </row>
    <row r="49290" customHeight="1" spans="2:2">
      <c r="B49290" s="62" t="str">
        <f>IF(AND('领用录入（明细）'!D:D=$F$4,'领用录入（明细）'!C:C&gt;=$J$4,'领用录入（明细）'!C:C&lt;=$L$4),ROW(),"-")</f>
        <v>-</v>
      </c>
    </row>
    <row r="49291" customHeight="1" spans="2:2">
      <c r="B49291" s="62" t="str">
        <f>IF(AND('领用录入（明细）'!D:D=$F$4,'领用录入（明细）'!C:C&gt;=$J$4,'领用录入（明细）'!C:C&lt;=$L$4),ROW(),"-")</f>
        <v>-</v>
      </c>
    </row>
    <row r="49292" customHeight="1" spans="2:2">
      <c r="B49292" s="62" t="str">
        <f>IF(AND('领用录入（明细）'!D:D=$F$4,'领用录入（明细）'!C:C&gt;=$J$4,'领用录入（明细）'!C:C&lt;=$L$4),ROW(),"-")</f>
        <v>-</v>
      </c>
    </row>
    <row r="49293" customHeight="1" spans="2:2">
      <c r="B49293" s="62" t="str">
        <f>IF(AND('领用录入（明细）'!D:D=$F$4,'领用录入（明细）'!C:C&gt;=$J$4,'领用录入（明细）'!C:C&lt;=$L$4),ROW(),"-")</f>
        <v>-</v>
      </c>
    </row>
    <row r="49294" customHeight="1" spans="2:2">
      <c r="B49294" s="62" t="str">
        <f>IF(AND('领用录入（明细）'!D:D=$F$4,'领用录入（明细）'!C:C&gt;=$J$4,'领用录入（明细）'!C:C&lt;=$L$4),ROW(),"-")</f>
        <v>-</v>
      </c>
    </row>
    <row r="49295" customHeight="1" spans="2:2">
      <c r="B49295" s="62" t="str">
        <f>IF(AND('领用录入（明细）'!D:D=$F$4,'领用录入（明细）'!C:C&gt;=$J$4,'领用录入（明细）'!C:C&lt;=$L$4),ROW(),"-")</f>
        <v>-</v>
      </c>
    </row>
    <row r="49296" customHeight="1" spans="2:2">
      <c r="B49296" s="62" t="str">
        <f>IF(AND('领用录入（明细）'!D:D=$F$4,'领用录入（明细）'!C:C&gt;=$J$4,'领用录入（明细）'!C:C&lt;=$L$4),ROW(),"-")</f>
        <v>-</v>
      </c>
    </row>
    <row r="49297" customHeight="1" spans="2:2">
      <c r="B49297" s="62" t="str">
        <f>IF(AND('领用录入（明细）'!D:D=$F$4,'领用录入（明细）'!C:C&gt;=$J$4,'领用录入（明细）'!C:C&lt;=$L$4),ROW(),"-")</f>
        <v>-</v>
      </c>
    </row>
    <row r="49298" customHeight="1" spans="2:2">
      <c r="B49298" s="62" t="str">
        <f>IF(AND('领用录入（明细）'!D:D=$F$4,'领用录入（明细）'!C:C&gt;=$J$4,'领用录入（明细）'!C:C&lt;=$L$4),ROW(),"-")</f>
        <v>-</v>
      </c>
    </row>
    <row r="49299" customHeight="1" spans="2:2">
      <c r="B49299" s="62" t="str">
        <f>IF(AND('领用录入（明细）'!D:D=$F$4,'领用录入（明细）'!C:C&gt;=$J$4,'领用录入（明细）'!C:C&lt;=$L$4),ROW(),"-")</f>
        <v>-</v>
      </c>
    </row>
    <row r="49300" customHeight="1" spans="2:2">
      <c r="B49300" s="62" t="str">
        <f>IF(AND('领用录入（明细）'!D:D=$F$4,'领用录入（明细）'!C:C&gt;=$J$4,'领用录入（明细）'!C:C&lt;=$L$4),ROW(),"-")</f>
        <v>-</v>
      </c>
    </row>
    <row r="49301" customHeight="1" spans="2:2">
      <c r="B49301" s="62" t="str">
        <f>IF(AND('领用录入（明细）'!D:D=$F$4,'领用录入（明细）'!C:C&gt;=$J$4,'领用录入（明细）'!C:C&lt;=$L$4),ROW(),"-")</f>
        <v>-</v>
      </c>
    </row>
    <row r="49302" customHeight="1" spans="2:2">
      <c r="B49302" s="62" t="str">
        <f>IF(AND('领用录入（明细）'!D:D=$F$4,'领用录入（明细）'!C:C&gt;=$J$4,'领用录入（明细）'!C:C&lt;=$L$4),ROW(),"-")</f>
        <v>-</v>
      </c>
    </row>
    <row r="49303" customHeight="1" spans="2:2">
      <c r="B49303" s="62" t="str">
        <f>IF(AND('领用录入（明细）'!D:D=$F$4,'领用录入（明细）'!C:C&gt;=$J$4,'领用录入（明细）'!C:C&lt;=$L$4),ROW(),"-")</f>
        <v>-</v>
      </c>
    </row>
    <row r="49304" customHeight="1" spans="2:2">
      <c r="B49304" s="62" t="str">
        <f>IF(AND('领用录入（明细）'!D:D=$F$4,'领用录入（明细）'!C:C&gt;=$J$4,'领用录入（明细）'!C:C&lt;=$L$4),ROW(),"-")</f>
        <v>-</v>
      </c>
    </row>
    <row r="49305" customHeight="1" spans="2:2">
      <c r="B49305" s="62" t="str">
        <f>IF(AND('领用录入（明细）'!D:D=$F$4,'领用录入（明细）'!C:C&gt;=$J$4,'领用录入（明细）'!C:C&lt;=$L$4),ROW(),"-")</f>
        <v>-</v>
      </c>
    </row>
    <row r="49306" customHeight="1" spans="2:2">
      <c r="B49306" s="62" t="str">
        <f>IF(AND('领用录入（明细）'!D:D=$F$4,'领用录入（明细）'!C:C&gt;=$J$4,'领用录入（明细）'!C:C&lt;=$L$4),ROW(),"-")</f>
        <v>-</v>
      </c>
    </row>
    <row r="49307" customHeight="1" spans="2:2">
      <c r="B49307" s="62" t="str">
        <f>IF(AND('领用录入（明细）'!D:D=$F$4,'领用录入（明细）'!C:C&gt;=$J$4,'领用录入（明细）'!C:C&lt;=$L$4),ROW(),"-")</f>
        <v>-</v>
      </c>
    </row>
    <row r="49308" customHeight="1" spans="2:2">
      <c r="B49308" s="62" t="str">
        <f>IF(AND('领用录入（明细）'!D:D=$F$4,'领用录入（明细）'!C:C&gt;=$J$4,'领用录入（明细）'!C:C&lt;=$L$4),ROW(),"-")</f>
        <v>-</v>
      </c>
    </row>
    <row r="49309" customHeight="1" spans="2:2">
      <c r="B49309" s="62" t="str">
        <f>IF(AND('领用录入（明细）'!D:D=$F$4,'领用录入（明细）'!C:C&gt;=$J$4,'领用录入（明细）'!C:C&lt;=$L$4),ROW(),"-")</f>
        <v>-</v>
      </c>
    </row>
    <row r="49310" customHeight="1" spans="2:2">
      <c r="B49310" s="62" t="str">
        <f>IF(AND('领用录入（明细）'!D:D=$F$4,'领用录入（明细）'!C:C&gt;=$J$4,'领用录入（明细）'!C:C&lt;=$L$4),ROW(),"-")</f>
        <v>-</v>
      </c>
    </row>
    <row r="49311" customHeight="1" spans="2:2">
      <c r="B49311" s="62" t="str">
        <f>IF(AND('领用录入（明细）'!D:D=$F$4,'领用录入（明细）'!C:C&gt;=$J$4,'领用录入（明细）'!C:C&lt;=$L$4),ROW(),"-")</f>
        <v>-</v>
      </c>
    </row>
    <row r="49312" customHeight="1" spans="2:2">
      <c r="B49312" s="62" t="str">
        <f>IF(AND('领用录入（明细）'!D:D=$F$4,'领用录入（明细）'!C:C&gt;=$J$4,'领用录入（明细）'!C:C&lt;=$L$4),ROW(),"-")</f>
        <v>-</v>
      </c>
    </row>
    <row r="49313" customHeight="1" spans="2:2">
      <c r="B49313" s="62" t="str">
        <f>IF(AND('领用录入（明细）'!D:D=$F$4,'领用录入（明细）'!C:C&gt;=$J$4,'领用录入（明细）'!C:C&lt;=$L$4),ROW(),"-")</f>
        <v>-</v>
      </c>
    </row>
    <row r="49314" customHeight="1" spans="2:2">
      <c r="B49314" s="62" t="str">
        <f>IF(AND('领用录入（明细）'!D:D=$F$4,'领用录入（明细）'!C:C&gt;=$J$4,'领用录入（明细）'!C:C&lt;=$L$4),ROW(),"-")</f>
        <v>-</v>
      </c>
    </row>
    <row r="49315" customHeight="1" spans="2:2">
      <c r="B49315" s="62" t="str">
        <f>IF(AND('领用录入（明细）'!D:D=$F$4,'领用录入（明细）'!C:C&gt;=$J$4,'领用录入（明细）'!C:C&lt;=$L$4),ROW(),"-")</f>
        <v>-</v>
      </c>
    </row>
    <row r="49316" customHeight="1" spans="2:2">
      <c r="B49316" s="62" t="str">
        <f>IF(AND('领用录入（明细）'!D:D=$F$4,'领用录入（明细）'!C:C&gt;=$J$4,'领用录入（明细）'!C:C&lt;=$L$4),ROW(),"-")</f>
        <v>-</v>
      </c>
    </row>
    <row r="49317" customHeight="1" spans="2:2">
      <c r="B49317" s="62" t="str">
        <f>IF(AND('领用录入（明细）'!D:D=$F$4,'领用录入（明细）'!C:C&gt;=$J$4,'领用录入（明细）'!C:C&lt;=$L$4),ROW(),"-")</f>
        <v>-</v>
      </c>
    </row>
    <row r="49318" customHeight="1" spans="2:2">
      <c r="B49318" s="62" t="str">
        <f>IF(AND('领用录入（明细）'!D:D=$F$4,'领用录入（明细）'!C:C&gt;=$J$4,'领用录入（明细）'!C:C&lt;=$L$4),ROW(),"-")</f>
        <v>-</v>
      </c>
    </row>
    <row r="49319" customHeight="1" spans="2:2">
      <c r="B49319" s="62" t="str">
        <f>IF(AND('领用录入（明细）'!D:D=$F$4,'领用录入（明细）'!C:C&gt;=$J$4,'领用录入（明细）'!C:C&lt;=$L$4),ROW(),"-")</f>
        <v>-</v>
      </c>
    </row>
    <row r="49320" customHeight="1" spans="2:2">
      <c r="B49320" s="62" t="str">
        <f>IF(AND('领用录入（明细）'!D:D=$F$4,'领用录入（明细）'!C:C&gt;=$J$4,'领用录入（明细）'!C:C&lt;=$L$4),ROW(),"-")</f>
        <v>-</v>
      </c>
    </row>
    <row r="49321" customHeight="1" spans="2:2">
      <c r="B49321" s="62" t="str">
        <f>IF(AND('领用录入（明细）'!D:D=$F$4,'领用录入（明细）'!C:C&gt;=$J$4,'领用录入（明细）'!C:C&lt;=$L$4),ROW(),"-")</f>
        <v>-</v>
      </c>
    </row>
    <row r="49322" customHeight="1" spans="2:2">
      <c r="B49322" s="62" t="str">
        <f>IF(AND('领用录入（明细）'!D:D=$F$4,'领用录入（明细）'!C:C&gt;=$J$4,'领用录入（明细）'!C:C&lt;=$L$4),ROW(),"-")</f>
        <v>-</v>
      </c>
    </row>
    <row r="49323" customHeight="1" spans="2:2">
      <c r="B49323" s="62" t="str">
        <f>IF(AND('领用录入（明细）'!D:D=$F$4,'领用录入（明细）'!C:C&gt;=$J$4,'领用录入（明细）'!C:C&lt;=$L$4),ROW(),"-")</f>
        <v>-</v>
      </c>
    </row>
    <row r="49324" customHeight="1" spans="2:2">
      <c r="B49324" s="62" t="str">
        <f>IF(AND('领用录入（明细）'!D:D=$F$4,'领用录入（明细）'!C:C&gt;=$J$4,'领用录入（明细）'!C:C&lt;=$L$4),ROW(),"-")</f>
        <v>-</v>
      </c>
    </row>
    <row r="49325" customHeight="1" spans="2:2">
      <c r="B49325" s="62" t="str">
        <f>IF(AND('领用录入（明细）'!D:D=$F$4,'领用录入（明细）'!C:C&gt;=$J$4,'领用录入（明细）'!C:C&lt;=$L$4),ROW(),"-")</f>
        <v>-</v>
      </c>
    </row>
    <row r="49326" customHeight="1" spans="2:2">
      <c r="B49326" s="62" t="str">
        <f>IF(AND('领用录入（明细）'!D:D=$F$4,'领用录入（明细）'!C:C&gt;=$J$4,'领用录入（明细）'!C:C&lt;=$L$4),ROW(),"-")</f>
        <v>-</v>
      </c>
    </row>
    <row r="49327" customHeight="1" spans="2:2">
      <c r="B49327" s="62" t="str">
        <f>IF(AND('领用录入（明细）'!D:D=$F$4,'领用录入（明细）'!C:C&gt;=$J$4,'领用录入（明细）'!C:C&lt;=$L$4),ROW(),"-")</f>
        <v>-</v>
      </c>
    </row>
    <row r="49328" customHeight="1" spans="2:2">
      <c r="B49328" s="62" t="str">
        <f>IF(AND('领用录入（明细）'!D:D=$F$4,'领用录入（明细）'!C:C&gt;=$J$4,'领用录入（明细）'!C:C&lt;=$L$4),ROW(),"-")</f>
        <v>-</v>
      </c>
    </row>
    <row r="49329" customHeight="1" spans="2:2">
      <c r="B49329" s="62" t="str">
        <f>IF(AND('领用录入（明细）'!D:D=$F$4,'领用录入（明细）'!C:C&gt;=$J$4,'领用录入（明细）'!C:C&lt;=$L$4),ROW(),"-")</f>
        <v>-</v>
      </c>
    </row>
    <row r="49330" customHeight="1" spans="2:2">
      <c r="B49330" s="62" t="str">
        <f>IF(AND('领用录入（明细）'!D:D=$F$4,'领用录入（明细）'!C:C&gt;=$J$4,'领用录入（明细）'!C:C&lt;=$L$4),ROW(),"-")</f>
        <v>-</v>
      </c>
    </row>
    <row r="49331" customHeight="1" spans="2:2">
      <c r="B49331" s="62" t="str">
        <f>IF(AND('领用录入（明细）'!D:D=$F$4,'领用录入（明细）'!C:C&gt;=$J$4,'领用录入（明细）'!C:C&lt;=$L$4),ROW(),"-")</f>
        <v>-</v>
      </c>
    </row>
    <row r="49332" customHeight="1" spans="2:2">
      <c r="B49332" s="62" t="str">
        <f>IF(AND('领用录入（明细）'!D:D=$F$4,'领用录入（明细）'!C:C&gt;=$J$4,'领用录入（明细）'!C:C&lt;=$L$4),ROW(),"-")</f>
        <v>-</v>
      </c>
    </row>
    <row r="49333" customHeight="1" spans="2:2">
      <c r="B49333" s="62" t="str">
        <f>IF(AND('领用录入（明细）'!D:D=$F$4,'领用录入（明细）'!C:C&gt;=$J$4,'领用录入（明细）'!C:C&lt;=$L$4),ROW(),"-")</f>
        <v>-</v>
      </c>
    </row>
    <row r="49334" customHeight="1" spans="2:2">
      <c r="B49334" s="62" t="str">
        <f>IF(AND('领用录入（明细）'!D:D=$F$4,'领用录入（明细）'!C:C&gt;=$J$4,'领用录入（明细）'!C:C&lt;=$L$4),ROW(),"-")</f>
        <v>-</v>
      </c>
    </row>
    <row r="49335" customHeight="1" spans="2:2">
      <c r="B49335" s="62" t="str">
        <f>IF(AND('领用录入（明细）'!D:D=$F$4,'领用录入（明细）'!C:C&gt;=$J$4,'领用录入（明细）'!C:C&lt;=$L$4),ROW(),"-")</f>
        <v>-</v>
      </c>
    </row>
    <row r="49336" customHeight="1" spans="2:2">
      <c r="B49336" s="62" t="str">
        <f>IF(AND('领用录入（明细）'!D:D=$F$4,'领用录入（明细）'!C:C&gt;=$J$4,'领用录入（明细）'!C:C&lt;=$L$4),ROW(),"-")</f>
        <v>-</v>
      </c>
    </row>
    <row r="49337" customHeight="1" spans="2:2">
      <c r="B49337" s="62" t="str">
        <f>IF(AND('领用录入（明细）'!D:D=$F$4,'领用录入（明细）'!C:C&gt;=$J$4,'领用录入（明细）'!C:C&lt;=$L$4),ROW(),"-")</f>
        <v>-</v>
      </c>
    </row>
    <row r="49338" customHeight="1" spans="2:2">
      <c r="B49338" s="62" t="str">
        <f>IF(AND('领用录入（明细）'!D:D=$F$4,'领用录入（明细）'!C:C&gt;=$J$4,'领用录入（明细）'!C:C&lt;=$L$4),ROW(),"-")</f>
        <v>-</v>
      </c>
    </row>
    <row r="49339" customHeight="1" spans="2:2">
      <c r="B49339" s="62" t="str">
        <f>IF(AND('领用录入（明细）'!D:D=$F$4,'领用录入（明细）'!C:C&gt;=$J$4,'领用录入（明细）'!C:C&lt;=$L$4),ROW(),"-")</f>
        <v>-</v>
      </c>
    </row>
    <row r="49340" customHeight="1" spans="2:2">
      <c r="B49340" s="62" t="str">
        <f>IF(AND('领用录入（明细）'!D:D=$F$4,'领用录入（明细）'!C:C&gt;=$J$4,'领用录入（明细）'!C:C&lt;=$L$4),ROW(),"-")</f>
        <v>-</v>
      </c>
    </row>
    <row r="49341" customHeight="1" spans="2:2">
      <c r="B49341" s="62" t="str">
        <f>IF(AND('领用录入（明细）'!D:D=$F$4,'领用录入（明细）'!C:C&gt;=$J$4,'领用录入（明细）'!C:C&lt;=$L$4),ROW(),"-")</f>
        <v>-</v>
      </c>
    </row>
    <row r="49342" customHeight="1" spans="2:2">
      <c r="B49342" s="62" t="str">
        <f>IF(AND('领用录入（明细）'!D:D=$F$4,'领用录入（明细）'!C:C&gt;=$J$4,'领用录入（明细）'!C:C&lt;=$L$4),ROW(),"-")</f>
        <v>-</v>
      </c>
    </row>
    <row r="49343" customHeight="1" spans="2:2">
      <c r="B49343" s="62" t="str">
        <f>IF(AND('领用录入（明细）'!D:D=$F$4,'领用录入（明细）'!C:C&gt;=$J$4,'领用录入（明细）'!C:C&lt;=$L$4),ROW(),"-")</f>
        <v>-</v>
      </c>
    </row>
    <row r="49344" customHeight="1" spans="2:2">
      <c r="B49344" s="62" t="str">
        <f>IF(AND('领用录入（明细）'!D:D=$F$4,'领用录入（明细）'!C:C&gt;=$J$4,'领用录入（明细）'!C:C&lt;=$L$4),ROW(),"-")</f>
        <v>-</v>
      </c>
    </row>
    <row r="49345" customHeight="1" spans="2:2">
      <c r="B49345" s="62" t="str">
        <f>IF(AND('领用录入（明细）'!D:D=$F$4,'领用录入（明细）'!C:C&gt;=$J$4,'领用录入（明细）'!C:C&lt;=$L$4),ROW(),"-")</f>
        <v>-</v>
      </c>
    </row>
    <row r="49346" customHeight="1" spans="2:2">
      <c r="B49346" s="62" t="str">
        <f>IF(AND('领用录入（明细）'!D:D=$F$4,'领用录入（明细）'!C:C&gt;=$J$4,'领用录入（明细）'!C:C&lt;=$L$4),ROW(),"-")</f>
        <v>-</v>
      </c>
    </row>
    <row r="49347" customHeight="1" spans="2:2">
      <c r="B49347" s="62" t="str">
        <f>IF(AND('领用录入（明细）'!D:D=$F$4,'领用录入（明细）'!C:C&gt;=$J$4,'领用录入（明细）'!C:C&lt;=$L$4),ROW(),"-")</f>
        <v>-</v>
      </c>
    </row>
    <row r="49348" customHeight="1" spans="2:2">
      <c r="B49348" s="62" t="str">
        <f>IF(AND('领用录入（明细）'!D:D=$F$4,'领用录入（明细）'!C:C&gt;=$J$4,'领用录入（明细）'!C:C&lt;=$L$4),ROW(),"-")</f>
        <v>-</v>
      </c>
    </row>
    <row r="49349" customHeight="1" spans="2:2">
      <c r="B49349" s="62" t="str">
        <f>IF(AND('领用录入（明细）'!D:D=$F$4,'领用录入（明细）'!C:C&gt;=$J$4,'领用录入（明细）'!C:C&lt;=$L$4),ROW(),"-")</f>
        <v>-</v>
      </c>
    </row>
    <row r="49350" customHeight="1" spans="2:2">
      <c r="B49350" s="62" t="str">
        <f>IF(AND('领用录入（明细）'!D:D=$F$4,'领用录入（明细）'!C:C&gt;=$J$4,'领用录入（明细）'!C:C&lt;=$L$4),ROW(),"-")</f>
        <v>-</v>
      </c>
    </row>
    <row r="49351" customHeight="1" spans="2:2">
      <c r="B49351" s="62" t="str">
        <f>IF(AND('领用录入（明细）'!D:D=$F$4,'领用录入（明细）'!C:C&gt;=$J$4,'领用录入（明细）'!C:C&lt;=$L$4),ROW(),"-")</f>
        <v>-</v>
      </c>
    </row>
    <row r="49352" customHeight="1" spans="2:2">
      <c r="B49352" s="62" t="str">
        <f>IF(AND('领用录入（明细）'!D:D=$F$4,'领用录入（明细）'!C:C&gt;=$J$4,'领用录入（明细）'!C:C&lt;=$L$4),ROW(),"-")</f>
        <v>-</v>
      </c>
    </row>
    <row r="49353" customHeight="1" spans="2:2">
      <c r="B49353" s="62" t="str">
        <f>IF(AND('领用录入（明细）'!D:D=$F$4,'领用录入（明细）'!C:C&gt;=$J$4,'领用录入（明细）'!C:C&lt;=$L$4),ROW(),"-")</f>
        <v>-</v>
      </c>
    </row>
    <row r="49354" customHeight="1" spans="2:2">
      <c r="B49354" s="62" t="str">
        <f>IF(AND('领用录入（明细）'!D:D=$F$4,'领用录入（明细）'!C:C&gt;=$J$4,'领用录入（明细）'!C:C&lt;=$L$4),ROW(),"-")</f>
        <v>-</v>
      </c>
    </row>
    <row r="49355" customHeight="1" spans="2:2">
      <c r="B49355" s="62" t="str">
        <f>IF(AND('领用录入（明细）'!D:D=$F$4,'领用录入（明细）'!C:C&gt;=$J$4,'领用录入（明细）'!C:C&lt;=$L$4),ROW(),"-")</f>
        <v>-</v>
      </c>
    </row>
    <row r="49356" customHeight="1" spans="2:2">
      <c r="B49356" s="62" t="str">
        <f>IF(AND('领用录入（明细）'!D:D=$F$4,'领用录入（明细）'!C:C&gt;=$J$4,'领用录入（明细）'!C:C&lt;=$L$4),ROW(),"-")</f>
        <v>-</v>
      </c>
    </row>
    <row r="49357" customHeight="1" spans="2:2">
      <c r="B49357" s="62" t="str">
        <f>IF(AND('领用录入（明细）'!D:D=$F$4,'领用录入（明细）'!C:C&gt;=$J$4,'领用录入（明细）'!C:C&lt;=$L$4),ROW(),"-")</f>
        <v>-</v>
      </c>
    </row>
    <row r="49358" customHeight="1" spans="2:2">
      <c r="B49358" s="62" t="str">
        <f>IF(AND('领用录入（明细）'!D:D=$F$4,'领用录入（明细）'!C:C&gt;=$J$4,'领用录入（明细）'!C:C&lt;=$L$4),ROW(),"-")</f>
        <v>-</v>
      </c>
    </row>
    <row r="49359" customHeight="1" spans="2:2">
      <c r="B49359" s="62" t="str">
        <f>IF(AND('领用录入（明细）'!D:D=$F$4,'领用录入（明细）'!C:C&gt;=$J$4,'领用录入（明细）'!C:C&lt;=$L$4),ROW(),"-")</f>
        <v>-</v>
      </c>
    </row>
    <row r="49360" customHeight="1" spans="2:2">
      <c r="B49360" s="62" t="str">
        <f>IF(AND('领用录入（明细）'!D:D=$F$4,'领用录入（明细）'!C:C&gt;=$J$4,'领用录入（明细）'!C:C&lt;=$L$4),ROW(),"-")</f>
        <v>-</v>
      </c>
    </row>
    <row r="49361" customHeight="1" spans="2:2">
      <c r="B49361" s="62" t="str">
        <f>IF(AND('领用录入（明细）'!D:D=$F$4,'领用录入（明细）'!C:C&gt;=$J$4,'领用录入（明细）'!C:C&lt;=$L$4),ROW(),"-")</f>
        <v>-</v>
      </c>
    </row>
    <row r="49362" customHeight="1" spans="2:2">
      <c r="B49362" s="62" t="str">
        <f>IF(AND('领用录入（明细）'!D:D=$F$4,'领用录入（明细）'!C:C&gt;=$J$4,'领用录入（明细）'!C:C&lt;=$L$4),ROW(),"-")</f>
        <v>-</v>
      </c>
    </row>
    <row r="49363" customHeight="1" spans="2:2">
      <c r="B49363" s="62" t="str">
        <f>IF(AND('领用录入（明细）'!D:D=$F$4,'领用录入（明细）'!C:C&gt;=$J$4,'领用录入（明细）'!C:C&lt;=$L$4),ROW(),"-")</f>
        <v>-</v>
      </c>
    </row>
    <row r="49364" customHeight="1" spans="2:2">
      <c r="B49364" s="62" t="str">
        <f>IF(AND('领用录入（明细）'!D:D=$F$4,'领用录入（明细）'!C:C&gt;=$J$4,'领用录入（明细）'!C:C&lt;=$L$4),ROW(),"-")</f>
        <v>-</v>
      </c>
    </row>
    <row r="49365" customHeight="1" spans="2:2">
      <c r="B49365" s="62" t="str">
        <f>IF(AND('领用录入（明细）'!D:D=$F$4,'领用录入（明细）'!C:C&gt;=$J$4,'领用录入（明细）'!C:C&lt;=$L$4),ROW(),"-")</f>
        <v>-</v>
      </c>
    </row>
    <row r="49366" customHeight="1" spans="2:2">
      <c r="B49366" s="62" t="str">
        <f>IF(AND('领用录入（明细）'!D:D=$F$4,'领用录入（明细）'!C:C&gt;=$J$4,'领用录入（明细）'!C:C&lt;=$L$4),ROW(),"-")</f>
        <v>-</v>
      </c>
    </row>
    <row r="49367" customHeight="1" spans="2:2">
      <c r="B49367" s="62" t="str">
        <f>IF(AND('领用录入（明细）'!D:D=$F$4,'领用录入（明细）'!C:C&gt;=$J$4,'领用录入（明细）'!C:C&lt;=$L$4),ROW(),"-")</f>
        <v>-</v>
      </c>
    </row>
    <row r="49368" customHeight="1" spans="2:2">
      <c r="B49368" s="62" t="str">
        <f>IF(AND('领用录入（明细）'!D:D=$F$4,'领用录入（明细）'!C:C&gt;=$J$4,'领用录入（明细）'!C:C&lt;=$L$4),ROW(),"-")</f>
        <v>-</v>
      </c>
    </row>
    <row r="49369" customHeight="1" spans="2:2">
      <c r="B49369" s="62" t="str">
        <f>IF(AND('领用录入（明细）'!D:D=$F$4,'领用录入（明细）'!C:C&gt;=$J$4,'领用录入（明细）'!C:C&lt;=$L$4),ROW(),"-")</f>
        <v>-</v>
      </c>
    </row>
    <row r="49370" customHeight="1" spans="2:2">
      <c r="B49370" s="62" t="str">
        <f>IF(AND('领用录入（明细）'!D:D=$F$4,'领用录入（明细）'!C:C&gt;=$J$4,'领用录入（明细）'!C:C&lt;=$L$4),ROW(),"-")</f>
        <v>-</v>
      </c>
    </row>
    <row r="49371" customHeight="1" spans="2:2">
      <c r="B49371" s="62" t="str">
        <f>IF(AND('领用录入（明细）'!D:D=$F$4,'领用录入（明细）'!C:C&gt;=$J$4,'领用录入（明细）'!C:C&lt;=$L$4),ROW(),"-")</f>
        <v>-</v>
      </c>
    </row>
    <row r="49372" customHeight="1" spans="2:2">
      <c r="B49372" s="62" t="str">
        <f>IF(AND('领用录入（明细）'!D:D=$F$4,'领用录入（明细）'!C:C&gt;=$J$4,'领用录入（明细）'!C:C&lt;=$L$4),ROW(),"-")</f>
        <v>-</v>
      </c>
    </row>
    <row r="49373" customHeight="1" spans="2:2">
      <c r="B49373" s="62" t="str">
        <f>IF(AND('领用录入（明细）'!D:D=$F$4,'领用录入（明细）'!C:C&gt;=$J$4,'领用录入（明细）'!C:C&lt;=$L$4),ROW(),"-")</f>
        <v>-</v>
      </c>
    </row>
    <row r="49374" customHeight="1" spans="2:2">
      <c r="B49374" s="62" t="str">
        <f>IF(AND('领用录入（明细）'!D:D=$F$4,'领用录入（明细）'!C:C&gt;=$J$4,'领用录入（明细）'!C:C&lt;=$L$4),ROW(),"-")</f>
        <v>-</v>
      </c>
    </row>
    <row r="49375" customHeight="1" spans="2:2">
      <c r="B49375" s="62" t="str">
        <f>IF(AND('领用录入（明细）'!D:D=$F$4,'领用录入（明细）'!C:C&gt;=$J$4,'领用录入（明细）'!C:C&lt;=$L$4),ROW(),"-")</f>
        <v>-</v>
      </c>
    </row>
    <row r="49376" customHeight="1" spans="2:2">
      <c r="B49376" s="62" t="str">
        <f>IF(AND('领用录入（明细）'!D:D=$F$4,'领用录入（明细）'!C:C&gt;=$J$4,'领用录入（明细）'!C:C&lt;=$L$4),ROW(),"-")</f>
        <v>-</v>
      </c>
    </row>
    <row r="49377" customHeight="1" spans="2:2">
      <c r="B49377" s="62" t="str">
        <f>IF(AND('领用录入（明细）'!D:D=$F$4,'领用录入（明细）'!C:C&gt;=$J$4,'领用录入（明细）'!C:C&lt;=$L$4),ROW(),"-")</f>
        <v>-</v>
      </c>
    </row>
    <row r="49378" customHeight="1" spans="2:2">
      <c r="B49378" s="62" t="str">
        <f>IF(AND('领用录入（明细）'!D:D=$F$4,'领用录入（明细）'!C:C&gt;=$J$4,'领用录入（明细）'!C:C&lt;=$L$4),ROW(),"-")</f>
        <v>-</v>
      </c>
    </row>
    <row r="49379" customHeight="1" spans="2:2">
      <c r="B49379" s="62" t="str">
        <f>IF(AND('领用录入（明细）'!D:D=$F$4,'领用录入（明细）'!C:C&gt;=$J$4,'领用录入（明细）'!C:C&lt;=$L$4),ROW(),"-")</f>
        <v>-</v>
      </c>
    </row>
    <row r="49380" customHeight="1" spans="2:2">
      <c r="B49380" s="62" t="str">
        <f>IF(AND('领用录入（明细）'!D:D=$F$4,'领用录入（明细）'!C:C&gt;=$J$4,'领用录入（明细）'!C:C&lt;=$L$4),ROW(),"-")</f>
        <v>-</v>
      </c>
    </row>
    <row r="49381" customHeight="1" spans="2:2">
      <c r="B49381" s="62" t="str">
        <f>IF(AND('领用录入（明细）'!D:D=$F$4,'领用录入（明细）'!C:C&gt;=$J$4,'领用录入（明细）'!C:C&lt;=$L$4),ROW(),"-")</f>
        <v>-</v>
      </c>
    </row>
    <row r="49382" customHeight="1" spans="2:2">
      <c r="B49382" s="62" t="str">
        <f>IF(AND('领用录入（明细）'!D:D=$F$4,'领用录入（明细）'!C:C&gt;=$J$4,'领用录入（明细）'!C:C&lt;=$L$4),ROW(),"-")</f>
        <v>-</v>
      </c>
    </row>
    <row r="49383" customHeight="1" spans="2:2">
      <c r="B49383" s="62" t="str">
        <f>IF(AND('领用录入（明细）'!D:D=$F$4,'领用录入（明细）'!C:C&gt;=$J$4,'领用录入（明细）'!C:C&lt;=$L$4),ROW(),"-")</f>
        <v>-</v>
      </c>
    </row>
    <row r="49384" customHeight="1" spans="2:2">
      <c r="B49384" s="62" t="str">
        <f>IF(AND('领用录入（明细）'!D:D=$F$4,'领用录入（明细）'!C:C&gt;=$J$4,'领用录入（明细）'!C:C&lt;=$L$4),ROW(),"-")</f>
        <v>-</v>
      </c>
    </row>
    <row r="49385" customHeight="1" spans="2:2">
      <c r="B49385" s="62" t="str">
        <f>IF(AND('领用录入（明细）'!D:D=$F$4,'领用录入（明细）'!C:C&gt;=$J$4,'领用录入（明细）'!C:C&lt;=$L$4),ROW(),"-")</f>
        <v>-</v>
      </c>
    </row>
    <row r="49386" customHeight="1" spans="2:2">
      <c r="B49386" s="62" t="str">
        <f>IF(AND('领用录入（明细）'!D:D=$F$4,'领用录入（明细）'!C:C&gt;=$J$4,'领用录入（明细）'!C:C&lt;=$L$4),ROW(),"-")</f>
        <v>-</v>
      </c>
    </row>
    <row r="49387" customHeight="1" spans="2:2">
      <c r="B49387" s="62" t="str">
        <f>IF(AND('领用录入（明细）'!D:D=$F$4,'领用录入（明细）'!C:C&gt;=$J$4,'领用录入（明细）'!C:C&lt;=$L$4),ROW(),"-")</f>
        <v>-</v>
      </c>
    </row>
    <row r="49388" customHeight="1" spans="2:2">
      <c r="B49388" s="62" t="str">
        <f>IF(AND('领用录入（明细）'!D:D=$F$4,'领用录入（明细）'!C:C&gt;=$J$4,'领用录入（明细）'!C:C&lt;=$L$4),ROW(),"-")</f>
        <v>-</v>
      </c>
    </row>
    <row r="49389" customHeight="1" spans="2:2">
      <c r="B49389" s="62" t="str">
        <f>IF(AND('领用录入（明细）'!D:D=$F$4,'领用录入（明细）'!C:C&gt;=$J$4,'领用录入（明细）'!C:C&lt;=$L$4),ROW(),"-")</f>
        <v>-</v>
      </c>
    </row>
    <row r="49390" customHeight="1" spans="2:2">
      <c r="B49390" s="62" t="str">
        <f>IF(AND('领用录入（明细）'!D:D=$F$4,'领用录入（明细）'!C:C&gt;=$J$4,'领用录入（明细）'!C:C&lt;=$L$4),ROW(),"-")</f>
        <v>-</v>
      </c>
    </row>
    <row r="49391" customHeight="1" spans="2:2">
      <c r="B49391" s="62" t="str">
        <f>IF(AND('领用录入（明细）'!D:D=$F$4,'领用录入（明细）'!C:C&gt;=$J$4,'领用录入（明细）'!C:C&lt;=$L$4),ROW(),"-")</f>
        <v>-</v>
      </c>
    </row>
    <row r="49392" customHeight="1" spans="2:2">
      <c r="B49392" s="62" t="str">
        <f>IF(AND('领用录入（明细）'!D:D=$F$4,'领用录入（明细）'!C:C&gt;=$J$4,'领用录入（明细）'!C:C&lt;=$L$4),ROW(),"-")</f>
        <v>-</v>
      </c>
    </row>
    <row r="49393" customHeight="1" spans="2:2">
      <c r="B49393" s="62" t="str">
        <f>IF(AND('领用录入（明细）'!D:D=$F$4,'领用录入（明细）'!C:C&gt;=$J$4,'领用录入（明细）'!C:C&lt;=$L$4),ROW(),"-")</f>
        <v>-</v>
      </c>
    </row>
    <row r="49394" customHeight="1" spans="2:2">
      <c r="B49394" s="62" t="str">
        <f>IF(AND('领用录入（明细）'!D:D=$F$4,'领用录入（明细）'!C:C&gt;=$J$4,'领用录入（明细）'!C:C&lt;=$L$4),ROW(),"-")</f>
        <v>-</v>
      </c>
    </row>
    <row r="49395" customHeight="1" spans="2:2">
      <c r="B49395" s="62" t="str">
        <f>IF(AND('领用录入（明细）'!D:D=$F$4,'领用录入（明细）'!C:C&gt;=$J$4,'领用录入（明细）'!C:C&lt;=$L$4),ROW(),"-")</f>
        <v>-</v>
      </c>
    </row>
    <row r="49396" customHeight="1" spans="2:2">
      <c r="B49396" s="62" t="str">
        <f>IF(AND('领用录入（明细）'!D:D=$F$4,'领用录入（明细）'!C:C&gt;=$J$4,'领用录入（明细）'!C:C&lt;=$L$4),ROW(),"-")</f>
        <v>-</v>
      </c>
    </row>
    <row r="49397" customHeight="1" spans="2:2">
      <c r="B49397" s="62" t="str">
        <f>IF(AND('领用录入（明细）'!D:D=$F$4,'领用录入（明细）'!C:C&gt;=$J$4,'领用录入（明细）'!C:C&lt;=$L$4),ROW(),"-")</f>
        <v>-</v>
      </c>
    </row>
    <row r="49398" customHeight="1" spans="2:2">
      <c r="B49398" s="62" t="str">
        <f>IF(AND('领用录入（明细）'!D:D=$F$4,'领用录入（明细）'!C:C&gt;=$J$4,'领用录入（明细）'!C:C&lt;=$L$4),ROW(),"-")</f>
        <v>-</v>
      </c>
    </row>
    <row r="49399" customHeight="1" spans="2:2">
      <c r="B49399" s="62" t="str">
        <f>IF(AND('领用录入（明细）'!D:D=$F$4,'领用录入（明细）'!C:C&gt;=$J$4,'领用录入（明细）'!C:C&lt;=$L$4),ROW(),"-")</f>
        <v>-</v>
      </c>
    </row>
    <row r="49400" customHeight="1" spans="2:2">
      <c r="B49400" s="62" t="str">
        <f>IF(AND('领用录入（明细）'!D:D=$F$4,'领用录入（明细）'!C:C&gt;=$J$4,'领用录入（明细）'!C:C&lt;=$L$4),ROW(),"-")</f>
        <v>-</v>
      </c>
    </row>
    <row r="49401" customHeight="1" spans="2:2">
      <c r="B49401" s="62" t="str">
        <f>IF(AND('领用录入（明细）'!D:D=$F$4,'领用录入（明细）'!C:C&gt;=$J$4,'领用录入（明细）'!C:C&lt;=$L$4),ROW(),"-")</f>
        <v>-</v>
      </c>
    </row>
    <row r="49402" customHeight="1" spans="2:2">
      <c r="B49402" s="62" t="str">
        <f>IF(AND('领用录入（明细）'!D:D=$F$4,'领用录入（明细）'!C:C&gt;=$J$4,'领用录入（明细）'!C:C&lt;=$L$4),ROW(),"-")</f>
        <v>-</v>
      </c>
    </row>
    <row r="49403" customHeight="1" spans="2:2">
      <c r="B49403" s="62" t="str">
        <f>IF(AND('领用录入（明细）'!D:D=$F$4,'领用录入（明细）'!C:C&gt;=$J$4,'领用录入（明细）'!C:C&lt;=$L$4),ROW(),"-")</f>
        <v>-</v>
      </c>
    </row>
    <row r="49404" customHeight="1" spans="2:2">
      <c r="B49404" s="62" t="str">
        <f>IF(AND('领用录入（明细）'!D:D=$F$4,'领用录入（明细）'!C:C&gt;=$J$4,'领用录入（明细）'!C:C&lt;=$L$4),ROW(),"-")</f>
        <v>-</v>
      </c>
    </row>
    <row r="49405" customHeight="1" spans="2:2">
      <c r="B49405" s="62" t="str">
        <f>IF(AND('领用录入（明细）'!D:D=$F$4,'领用录入（明细）'!C:C&gt;=$J$4,'领用录入（明细）'!C:C&lt;=$L$4),ROW(),"-")</f>
        <v>-</v>
      </c>
    </row>
    <row r="49406" customHeight="1" spans="2:2">
      <c r="B49406" s="62" t="str">
        <f>IF(AND('领用录入（明细）'!D:D=$F$4,'领用录入（明细）'!C:C&gt;=$J$4,'领用录入（明细）'!C:C&lt;=$L$4),ROW(),"-")</f>
        <v>-</v>
      </c>
    </row>
    <row r="49407" customHeight="1" spans="2:2">
      <c r="B49407" s="62" t="str">
        <f>IF(AND('领用录入（明细）'!D:D=$F$4,'领用录入（明细）'!C:C&gt;=$J$4,'领用录入（明细）'!C:C&lt;=$L$4),ROW(),"-")</f>
        <v>-</v>
      </c>
    </row>
    <row r="49408" customHeight="1" spans="2:2">
      <c r="B49408" s="62" t="str">
        <f>IF(AND('领用录入（明细）'!D:D=$F$4,'领用录入（明细）'!C:C&gt;=$J$4,'领用录入（明细）'!C:C&lt;=$L$4),ROW(),"-")</f>
        <v>-</v>
      </c>
    </row>
    <row r="49409" customHeight="1" spans="2:2">
      <c r="B49409" s="62" t="str">
        <f>IF(AND('领用录入（明细）'!D:D=$F$4,'领用录入（明细）'!C:C&gt;=$J$4,'领用录入（明细）'!C:C&lt;=$L$4),ROW(),"-")</f>
        <v>-</v>
      </c>
    </row>
    <row r="49410" customHeight="1" spans="2:2">
      <c r="B49410" s="62" t="str">
        <f>IF(AND('领用录入（明细）'!D:D=$F$4,'领用录入（明细）'!C:C&gt;=$J$4,'领用录入（明细）'!C:C&lt;=$L$4),ROW(),"-")</f>
        <v>-</v>
      </c>
    </row>
    <row r="49411" customHeight="1" spans="2:2">
      <c r="B49411" s="62" t="str">
        <f>IF(AND('领用录入（明细）'!D:D=$F$4,'领用录入（明细）'!C:C&gt;=$J$4,'领用录入（明细）'!C:C&lt;=$L$4),ROW(),"-")</f>
        <v>-</v>
      </c>
    </row>
    <row r="49412" customHeight="1" spans="2:2">
      <c r="B49412" s="62" t="str">
        <f>IF(AND('领用录入（明细）'!D:D=$F$4,'领用录入（明细）'!C:C&gt;=$J$4,'领用录入（明细）'!C:C&lt;=$L$4),ROW(),"-")</f>
        <v>-</v>
      </c>
    </row>
    <row r="49413" customHeight="1" spans="2:2">
      <c r="B49413" s="62" t="str">
        <f>IF(AND('领用录入（明细）'!D:D=$F$4,'领用录入（明细）'!C:C&gt;=$J$4,'领用录入（明细）'!C:C&lt;=$L$4),ROW(),"-")</f>
        <v>-</v>
      </c>
    </row>
    <row r="49414" customHeight="1" spans="2:2">
      <c r="B49414" s="62" t="str">
        <f>IF(AND('领用录入（明细）'!D:D=$F$4,'领用录入（明细）'!C:C&gt;=$J$4,'领用录入（明细）'!C:C&lt;=$L$4),ROW(),"-")</f>
        <v>-</v>
      </c>
    </row>
    <row r="49415" customHeight="1" spans="2:2">
      <c r="B49415" s="62" t="str">
        <f>IF(AND('领用录入（明细）'!D:D=$F$4,'领用录入（明细）'!C:C&gt;=$J$4,'领用录入（明细）'!C:C&lt;=$L$4),ROW(),"-")</f>
        <v>-</v>
      </c>
    </row>
    <row r="49416" customHeight="1" spans="2:2">
      <c r="B49416" s="62" t="str">
        <f>IF(AND('领用录入（明细）'!D:D=$F$4,'领用录入（明细）'!C:C&gt;=$J$4,'领用录入（明细）'!C:C&lt;=$L$4),ROW(),"-")</f>
        <v>-</v>
      </c>
    </row>
    <row r="49417" customHeight="1" spans="2:2">
      <c r="B49417" s="62" t="str">
        <f>IF(AND('领用录入（明细）'!D:D=$F$4,'领用录入（明细）'!C:C&gt;=$J$4,'领用录入（明细）'!C:C&lt;=$L$4),ROW(),"-")</f>
        <v>-</v>
      </c>
    </row>
    <row r="49418" customHeight="1" spans="2:2">
      <c r="B49418" s="62" t="str">
        <f>IF(AND('领用录入（明细）'!D:D=$F$4,'领用录入（明细）'!C:C&gt;=$J$4,'领用录入（明细）'!C:C&lt;=$L$4),ROW(),"-")</f>
        <v>-</v>
      </c>
    </row>
    <row r="49419" customHeight="1" spans="2:2">
      <c r="B49419" s="62" t="str">
        <f>IF(AND('领用录入（明细）'!D:D=$F$4,'领用录入（明细）'!C:C&gt;=$J$4,'领用录入（明细）'!C:C&lt;=$L$4),ROW(),"-")</f>
        <v>-</v>
      </c>
    </row>
    <row r="49420" customHeight="1" spans="2:2">
      <c r="B49420" s="62" t="str">
        <f>IF(AND('领用录入（明细）'!D:D=$F$4,'领用录入（明细）'!C:C&gt;=$J$4,'领用录入（明细）'!C:C&lt;=$L$4),ROW(),"-")</f>
        <v>-</v>
      </c>
    </row>
    <row r="49421" customHeight="1" spans="2:2">
      <c r="B49421" s="62" t="str">
        <f>IF(AND('领用录入（明细）'!D:D=$F$4,'领用录入（明细）'!C:C&gt;=$J$4,'领用录入（明细）'!C:C&lt;=$L$4),ROW(),"-")</f>
        <v>-</v>
      </c>
    </row>
    <row r="49422" customHeight="1" spans="2:2">
      <c r="B49422" s="62" t="str">
        <f>IF(AND('领用录入（明细）'!D:D=$F$4,'领用录入（明细）'!C:C&gt;=$J$4,'领用录入（明细）'!C:C&lt;=$L$4),ROW(),"-")</f>
        <v>-</v>
      </c>
    </row>
    <row r="49423" customHeight="1" spans="2:2">
      <c r="B49423" s="62" t="str">
        <f>IF(AND('领用录入（明细）'!D:D=$F$4,'领用录入（明细）'!C:C&gt;=$J$4,'领用录入（明细）'!C:C&lt;=$L$4),ROW(),"-")</f>
        <v>-</v>
      </c>
    </row>
    <row r="49424" customHeight="1" spans="2:2">
      <c r="B49424" s="62" t="str">
        <f>IF(AND('领用录入（明细）'!D:D=$F$4,'领用录入（明细）'!C:C&gt;=$J$4,'领用录入（明细）'!C:C&lt;=$L$4),ROW(),"-")</f>
        <v>-</v>
      </c>
    </row>
    <row r="49425" customHeight="1" spans="2:2">
      <c r="B49425" s="62" t="str">
        <f>IF(AND('领用录入（明细）'!D:D=$F$4,'领用录入（明细）'!C:C&gt;=$J$4,'领用录入（明细）'!C:C&lt;=$L$4),ROW(),"-")</f>
        <v>-</v>
      </c>
    </row>
    <row r="49426" customHeight="1" spans="2:2">
      <c r="B49426" s="62" t="str">
        <f>IF(AND('领用录入（明细）'!D:D=$F$4,'领用录入（明细）'!C:C&gt;=$J$4,'领用录入（明细）'!C:C&lt;=$L$4),ROW(),"-")</f>
        <v>-</v>
      </c>
    </row>
    <row r="49427" customHeight="1" spans="2:2">
      <c r="B49427" s="62" t="str">
        <f>IF(AND('领用录入（明细）'!D:D=$F$4,'领用录入（明细）'!C:C&gt;=$J$4,'领用录入（明细）'!C:C&lt;=$L$4),ROW(),"-")</f>
        <v>-</v>
      </c>
    </row>
    <row r="49428" customHeight="1" spans="2:2">
      <c r="B49428" s="62" t="str">
        <f>IF(AND('领用录入（明细）'!D:D=$F$4,'领用录入（明细）'!C:C&gt;=$J$4,'领用录入（明细）'!C:C&lt;=$L$4),ROW(),"-")</f>
        <v>-</v>
      </c>
    </row>
    <row r="49429" customHeight="1" spans="2:2">
      <c r="B49429" s="62" t="str">
        <f>IF(AND('领用录入（明细）'!D:D=$F$4,'领用录入（明细）'!C:C&gt;=$J$4,'领用录入（明细）'!C:C&lt;=$L$4),ROW(),"-")</f>
        <v>-</v>
      </c>
    </row>
    <row r="49430" customHeight="1" spans="2:2">
      <c r="B49430" s="62" t="str">
        <f>IF(AND('领用录入（明细）'!D:D=$F$4,'领用录入（明细）'!C:C&gt;=$J$4,'领用录入（明细）'!C:C&lt;=$L$4),ROW(),"-")</f>
        <v>-</v>
      </c>
    </row>
    <row r="49431" customHeight="1" spans="2:2">
      <c r="B49431" s="62" t="str">
        <f>IF(AND('领用录入（明细）'!D:D=$F$4,'领用录入（明细）'!C:C&gt;=$J$4,'领用录入（明细）'!C:C&lt;=$L$4),ROW(),"-")</f>
        <v>-</v>
      </c>
    </row>
    <row r="49432" customHeight="1" spans="2:2">
      <c r="B49432" s="62" t="str">
        <f>IF(AND('领用录入（明细）'!D:D=$F$4,'领用录入（明细）'!C:C&gt;=$J$4,'领用录入（明细）'!C:C&lt;=$L$4),ROW(),"-")</f>
        <v>-</v>
      </c>
    </row>
    <row r="49433" customHeight="1" spans="2:2">
      <c r="B49433" s="62" t="str">
        <f>IF(AND('领用录入（明细）'!D:D=$F$4,'领用录入（明细）'!C:C&gt;=$J$4,'领用录入（明细）'!C:C&lt;=$L$4),ROW(),"-")</f>
        <v>-</v>
      </c>
    </row>
    <row r="49434" customHeight="1" spans="2:2">
      <c r="B49434" s="62" t="str">
        <f>IF(AND('领用录入（明细）'!D:D=$F$4,'领用录入（明细）'!C:C&gt;=$J$4,'领用录入（明细）'!C:C&lt;=$L$4),ROW(),"-")</f>
        <v>-</v>
      </c>
    </row>
    <row r="49435" customHeight="1" spans="2:2">
      <c r="B49435" s="62" t="str">
        <f>IF(AND('领用录入（明细）'!D:D=$F$4,'领用录入（明细）'!C:C&gt;=$J$4,'领用录入（明细）'!C:C&lt;=$L$4),ROW(),"-")</f>
        <v>-</v>
      </c>
    </row>
    <row r="49436" customHeight="1" spans="2:2">
      <c r="B49436" s="62" t="str">
        <f>IF(AND('领用录入（明细）'!D:D=$F$4,'领用录入（明细）'!C:C&gt;=$J$4,'领用录入（明细）'!C:C&lt;=$L$4),ROW(),"-")</f>
        <v>-</v>
      </c>
    </row>
    <row r="49437" customHeight="1" spans="2:2">
      <c r="B49437" s="62" t="str">
        <f>IF(AND('领用录入（明细）'!D:D=$F$4,'领用录入（明细）'!C:C&gt;=$J$4,'领用录入（明细）'!C:C&lt;=$L$4),ROW(),"-")</f>
        <v>-</v>
      </c>
    </row>
    <row r="49438" customHeight="1" spans="2:2">
      <c r="B49438" s="62" t="str">
        <f>IF(AND('领用录入（明细）'!D:D=$F$4,'领用录入（明细）'!C:C&gt;=$J$4,'领用录入（明细）'!C:C&lt;=$L$4),ROW(),"-")</f>
        <v>-</v>
      </c>
    </row>
    <row r="49439" customHeight="1" spans="2:2">
      <c r="B49439" s="62" t="str">
        <f>IF(AND('领用录入（明细）'!D:D=$F$4,'领用录入（明细）'!C:C&gt;=$J$4,'领用录入（明细）'!C:C&lt;=$L$4),ROW(),"-")</f>
        <v>-</v>
      </c>
    </row>
    <row r="49440" customHeight="1" spans="2:2">
      <c r="B49440" s="62" t="str">
        <f>IF(AND('领用录入（明细）'!D:D=$F$4,'领用录入（明细）'!C:C&gt;=$J$4,'领用录入（明细）'!C:C&lt;=$L$4),ROW(),"-")</f>
        <v>-</v>
      </c>
    </row>
    <row r="49441" customHeight="1" spans="2:2">
      <c r="B49441" s="62" t="str">
        <f>IF(AND('领用录入（明细）'!D:D=$F$4,'领用录入（明细）'!C:C&gt;=$J$4,'领用录入（明细）'!C:C&lt;=$L$4),ROW(),"-")</f>
        <v>-</v>
      </c>
    </row>
    <row r="49442" customHeight="1" spans="2:2">
      <c r="B49442" s="62" t="str">
        <f>IF(AND('领用录入（明细）'!D:D=$F$4,'领用录入（明细）'!C:C&gt;=$J$4,'领用录入（明细）'!C:C&lt;=$L$4),ROW(),"-")</f>
        <v>-</v>
      </c>
    </row>
    <row r="49443" customHeight="1" spans="2:2">
      <c r="B49443" s="62" t="str">
        <f>IF(AND('领用录入（明细）'!D:D=$F$4,'领用录入（明细）'!C:C&gt;=$J$4,'领用录入（明细）'!C:C&lt;=$L$4),ROW(),"-")</f>
        <v>-</v>
      </c>
    </row>
    <row r="49444" customHeight="1" spans="2:2">
      <c r="B49444" s="62" t="str">
        <f>IF(AND('领用录入（明细）'!D:D=$F$4,'领用录入（明细）'!C:C&gt;=$J$4,'领用录入（明细）'!C:C&lt;=$L$4),ROW(),"-")</f>
        <v>-</v>
      </c>
    </row>
    <row r="49445" customHeight="1" spans="2:2">
      <c r="B49445" s="62" t="str">
        <f>IF(AND('领用录入（明细）'!D:D=$F$4,'领用录入（明细）'!C:C&gt;=$J$4,'领用录入（明细）'!C:C&lt;=$L$4),ROW(),"-")</f>
        <v>-</v>
      </c>
    </row>
    <row r="49446" customHeight="1" spans="2:2">
      <c r="B49446" s="62" t="str">
        <f>IF(AND('领用录入（明细）'!D:D=$F$4,'领用录入（明细）'!C:C&gt;=$J$4,'领用录入（明细）'!C:C&lt;=$L$4),ROW(),"-")</f>
        <v>-</v>
      </c>
    </row>
    <row r="49447" customHeight="1" spans="2:2">
      <c r="B49447" s="62" t="str">
        <f>IF(AND('领用录入（明细）'!D:D=$F$4,'领用录入（明细）'!C:C&gt;=$J$4,'领用录入（明细）'!C:C&lt;=$L$4),ROW(),"-")</f>
        <v>-</v>
      </c>
    </row>
    <row r="49448" customHeight="1" spans="2:2">
      <c r="B49448" s="62" t="str">
        <f>IF(AND('领用录入（明细）'!D:D=$F$4,'领用录入（明细）'!C:C&gt;=$J$4,'领用录入（明细）'!C:C&lt;=$L$4),ROW(),"-")</f>
        <v>-</v>
      </c>
    </row>
    <row r="49449" customHeight="1" spans="2:2">
      <c r="B49449" s="62" t="str">
        <f>IF(AND('领用录入（明细）'!D:D=$F$4,'领用录入（明细）'!C:C&gt;=$J$4,'领用录入（明细）'!C:C&lt;=$L$4),ROW(),"-")</f>
        <v>-</v>
      </c>
    </row>
    <row r="49450" customHeight="1" spans="2:2">
      <c r="B49450" s="62" t="str">
        <f>IF(AND('领用录入（明细）'!D:D=$F$4,'领用录入（明细）'!C:C&gt;=$J$4,'领用录入（明细）'!C:C&lt;=$L$4),ROW(),"-")</f>
        <v>-</v>
      </c>
    </row>
    <row r="49451" customHeight="1" spans="2:2">
      <c r="B49451" s="62" t="str">
        <f>IF(AND('领用录入（明细）'!D:D=$F$4,'领用录入（明细）'!C:C&gt;=$J$4,'领用录入（明细）'!C:C&lt;=$L$4),ROW(),"-")</f>
        <v>-</v>
      </c>
    </row>
    <row r="49452" customHeight="1" spans="2:2">
      <c r="B49452" s="62" t="str">
        <f>IF(AND('领用录入（明细）'!D:D=$F$4,'领用录入（明细）'!C:C&gt;=$J$4,'领用录入（明细）'!C:C&lt;=$L$4),ROW(),"-")</f>
        <v>-</v>
      </c>
    </row>
    <row r="49453" customHeight="1" spans="2:2">
      <c r="B49453" s="62" t="str">
        <f>IF(AND('领用录入（明细）'!D:D=$F$4,'领用录入（明细）'!C:C&gt;=$J$4,'领用录入（明细）'!C:C&lt;=$L$4),ROW(),"-")</f>
        <v>-</v>
      </c>
    </row>
    <row r="49454" customHeight="1" spans="2:2">
      <c r="B49454" s="62" t="str">
        <f>IF(AND('领用录入（明细）'!D:D=$F$4,'领用录入（明细）'!C:C&gt;=$J$4,'领用录入（明细）'!C:C&lt;=$L$4),ROW(),"-")</f>
        <v>-</v>
      </c>
    </row>
    <row r="49455" customHeight="1" spans="2:2">
      <c r="B49455" s="62" t="str">
        <f>IF(AND('领用录入（明细）'!D:D=$F$4,'领用录入（明细）'!C:C&gt;=$J$4,'领用录入（明细）'!C:C&lt;=$L$4),ROW(),"-")</f>
        <v>-</v>
      </c>
    </row>
    <row r="49456" customHeight="1" spans="2:2">
      <c r="B49456" s="62" t="str">
        <f>IF(AND('领用录入（明细）'!D:D=$F$4,'领用录入（明细）'!C:C&gt;=$J$4,'领用录入（明细）'!C:C&lt;=$L$4),ROW(),"-")</f>
        <v>-</v>
      </c>
    </row>
    <row r="49457" customHeight="1" spans="2:2">
      <c r="B49457" s="62" t="str">
        <f>IF(AND('领用录入（明细）'!D:D=$F$4,'领用录入（明细）'!C:C&gt;=$J$4,'领用录入（明细）'!C:C&lt;=$L$4),ROW(),"-")</f>
        <v>-</v>
      </c>
    </row>
    <row r="49458" customHeight="1" spans="2:2">
      <c r="B49458" s="62" t="str">
        <f>IF(AND('领用录入（明细）'!D:D=$F$4,'领用录入（明细）'!C:C&gt;=$J$4,'领用录入（明细）'!C:C&lt;=$L$4),ROW(),"-")</f>
        <v>-</v>
      </c>
    </row>
    <row r="49459" customHeight="1" spans="2:2">
      <c r="B49459" s="62" t="str">
        <f>IF(AND('领用录入（明细）'!D:D=$F$4,'领用录入（明细）'!C:C&gt;=$J$4,'领用录入（明细）'!C:C&lt;=$L$4),ROW(),"-")</f>
        <v>-</v>
      </c>
    </row>
    <row r="49460" customHeight="1" spans="2:2">
      <c r="B49460" s="62" t="str">
        <f>IF(AND('领用录入（明细）'!D:D=$F$4,'领用录入（明细）'!C:C&gt;=$J$4,'领用录入（明细）'!C:C&lt;=$L$4),ROW(),"-")</f>
        <v>-</v>
      </c>
    </row>
    <row r="49461" customHeight="1" spans="2:2">
      <c r="B49461" s="62" t="str">
        <f>IF(AND('领用录入（明细）'!D:D=$F$4,'领用录入（明细）'!C:C&gt;=$J$4,'领用录入（明细）'!C:C&lt;=$L$4),ROW(),"-")</f>
        <v>-</v>
      </c>
    </row>
    <row r="49462" customHeight="1" spans="2:2">
      <c r="B49462" s="62" t="str">
        <f>IF(AND('领用录入（明细）'!D:D=$F$4,'领用录入（明细）'!C:C&gt;=$J$4,'领用录入（明细）'!C:C&lt;=$L$4),ROW(),"-")</f>
        <v>-</v>
      </c>
    </row>
    <row r="49463" customHeight="1" spans="2:2">
      <c r="B49463" s="62" t="str">
        <f>IF(AND('领用录入（明细）'!D:D=$F$4,'领用录入（明细）'!C:C&gt;=$J$4,'领用录入（明细）'!C:C&lt;=$L$4),ROW(),"-")</f>
        <v>-</v>
      </c>
    </row>
    <row r="49464" customHeight="1" spans="2:2">
      <c r="B49464" s="62" t="str">
        <f>IF(AND('领用录入（明细）'!D:D=$F$4,'领用录入（明细）'!C:C&gt;=$J$4,'领用录入（明细）'!C:C&lt;=$L$4),ROW(),"-")</f>
        <v>-</v>
      </c>
    </row>
    <row r="49465" customHeight="1" spans="2:2">
      <c r="B49465" s="62" t="str">
        <f>IF(AND('领用录入（明细）'!D:D=$F$4,'领用录入（明细）'!C:C&gt;=$J$4,'领用录入（明细）'!C:C&lt;=$L$4),ROW(),"-")</f>
        <v>-</v>
      </c>
    </row>
    <row r="49466" customHeight="1" spans="2:2">
      <c r="B49466" s="62" t="str">
        <f>IF(AND('领用录入（明细）'!D:D=$F$4,'领用录入（明细）'!C:C&gt;=$J$4,'领用录入（明细）'!C:C&lt;=$L$4),ROW(),"-")</f>
        <v>-</v>
      </c>
    </row>
    <row r="49467" customHeight="1" spans="2:2">
      <c r="B49467" s="62" t="str">
        <f>IF(AND('领用录入（明细）'!D:D=$F$4,'领用录入（明细）'!C:C&gt;=$J$4,'领用录入（明细）'!C:C&lt;=$L$4),ROW(),"-")</f>
        <v>-</v>
      </c>
    </row>
    <row r="49468" customHeight="1" spans="2:2">
      <c r="B49468" s="62" t="str">
        <f>IF(AND('领用录入（明细）'!D:D=$F$4,'领用录入（明细）'!C:C&gt;=$J$4,'领用录入（明细）'!C:C&lt;=$L$4),ROW(),"-")</f>
        <v>-</v>
      </c>
    </row>
    <row r="49469" customHeight="1" spans="2:2">
      <c r="B49469" s="62" t="str">
        <f>IF(AND('领用录入（明细）'!D:D=$F$4,'领用录入（明细）'!C:C&gt;=$J$4,'领用录入（明细）'!C:C&lt;=$L$4),ROW(),"-")</f>
        <v>-</v>
      </c>
    </row>
    <row r="49470" customHeight="1" spans="2:2">
      <c r="B49470" s="62" t="str">
        <f>IF(AND('领用录入（明细）'!D:D=$F$4,'领用录入（明细）'!C:C&gt;=$J$4,'领用录入（明细）'!C:C&lt;=$L$4),ROW(),"-")</f>
        <v>-</v>
      </c>
    </row>
    <row r="49471" customHeight="1" spans="2:2">
      <c r="B49471" s="62" t="str">
        <f>IF(AND('领用录入（明细）'!D:D=$F$4,'领用录入（明细）'!C:C&gt;=$J$4,'领用录入（明细）'!C:C&lt;=$L$4),ROW(),"-")</f>
        <v>-</v>
      </c>
    </row>
    <row r="49472" customHeight="1" spans="2:2">
      <c r="B49472" s="62" t="str">
        <f>IF(AND('领用录入（明细）'!D:D=$F$4,'领用录入（明细）'!C:C&gt;=$J$4,'领用录入（明细）'!C:C&lt;=$L$4),ROW(),"-")</f>
        <v>-</v>
      </c>
    </row>
    <row r="49473" customHeight="1" spans="2:2">
      <c r="B49473" s="62" t="str">
        <f>IF(AND('领用录入（明细）'!D:D=$F$4,'领用录入（明细）'!C:C&gt;=$J$4,'领用录入（明细）'!C:C&lt;=$L$4),ROW(),"-")</f>
        <v>-</v>
      </c>
    </row>
    <row r="49474" customHeight="1" spans="2:2">
      <c r="B49474" s="62" t="str">
        <f>IF(AND('领用录入（明细）'!D:D=$F$4,'领用录入（明细）'!C:C&gt;=$J$4,'领用录入（明细）'!C:C&lt;=$L$4),ROW(),"-")</f>
        <v>-</v>
      </c>
    </row>
    <row r="49475" customHeight="1" spans="2:2">
      <c r="B49475" s="62" t="str">
        <f>IF(AND('领用录入（明细）'!D:D=$F$4,'领用录入（明细）'!C:C&gt;=$J$4,'领用录入（明细）'!C:C&lt;=$L$4),ROW(),"-")</f>
        <v>-</v>
      </c>
    </row>
    <row r="49476" customHeight="1" spans="2:2">
      <c r="B49476" s="62" t="str">
        <f>IF(AND('领用录入（明细）'!D:D=$F$4,'领用录入（明细）'!C:C&gt;=$J$4,'领用录入（明细）'!C:C&lt;=$L$4),ROW(),"-")</f>
        <v>-</v>
      </c>
    </row>
    <row r="49477" customHeight="1" spans="2:2">
      <c r="B49477" s="62" t="str">
        <f>IF(AND('领用录入（明细）'!D:D=$F$4,'领用录入（明细）'!C:C&gt;=$J$4,'领用录入（明细）'!C:C&lt;=$L$4),ROW(),"-")</f>
        <v>-</v>
      </c>
    </row>
    <row r="49478" customHeight="1" spans="2:2">
      <c r="B49478" s="62" t="str">
        <f>IF(AND('领用录入（明细）'!D:D=$F$4,'领用录入（明细）'!C:C&gt;=$J$4,'领用录入（明细）'!C:C&lt;=$L$4),ROW(),"-")</f>
        <v>-</v>
      </c>
    </row>
    <row r="49479" customHeight="1" spans="2:2">
      <c r="B49479" s="62" t="str">
        <f>IF(AND('领用录入（明细）'!D:D=$F$4,'领用录入（明细）'!C:C&gt;=$J$4,'领用录入（明细）'!C:C&lt;=$L$4),ROW(),"-")</f>
        <v>-</v>
      </c>
    </row>
    <row r="49480" customHeight="1" spans="2:2">
      <c r="B49480" s="62" t="str">
        <f>IF(AND('领用录入（明细）'!D:D=$F$4,'领用录入（明细）'!C:C&gt;=$J$4,'领用录入（明细）'!C:C&lt;=$L$4),ROW(),"-")</f>
        <v>-</v>
      </c>
    </row>
    <row r="49481" customHeight="1" spans="2:2">
      <c r="B49481" s="62" t="str">
        <f>IF(AND('领用录入（明细）'!D:D=$F$4,'领用录入（明细）'!C:C&gt;=$J$4,'领用录入（明细）'!C:C&lt;=$L$4),ROW(),"-")</f>
        <v>-</v>
      </c>
    </row>
    <row r="49482" customHeight="1" spans="2:2">
      <c r="B49482" s="62" t="str">
        <f>IF(AND('领用录入（明细）'!D:D=$F$4,'领用录入（明细）'!C:C&gt;=$J$4,'领用录入（明细）'!C:C&lt;=$L$4),ROW(),"-")</f>
        <v>-</v>
      </c>
    </row>
    <row r="49483" customHeight="1" spans="2:2">
      <c r="B49483" s="62" t="str">
        <f>IF(AND('领用录入（明细）'!D:D=$F$4,'领用录入（明细）'!C:C&gt;=$J$4,'领用录入（明细）'!C:C&lt;=$L$4),ROW(),"-")</f>
        <v>-</v>
      </c>
    </row>
    <row r="49484" customHeight="1" spans="2:2">
      <c r="B49484" s="62" t="str">
        <f>IF(AND('领用录入（明细）'!D:D=$F$4,'领用录入（明细）'!C:C&gt;=$J$4,'领用录入（明细）'!C:C&lt;=$L$4),ROW(),"-")</f>
        <v>-</v>
      </c>
    </row>
    <row r="49485" customHeight="1" spans="2:2">
      <c r="B49485" s="62" t="str">
        <f>IF(AND('领用录入（明细）'!D:D=$F$4,'领用录入（明细）'!C:C&gt;=$J$4,'领用录入（明细）'!C:C&lt;=$L$4),ROW(),"-")</f>
        <v>-</v>
      </c>
    </row>
    <row r="49486" customHeight="1" spans="2:2">
      <c r="B49486" s="62" t="str">
        <f>IF(AND('领用录入（明细）'!D:D=$F$4,'领用录入（明细）'!C:C&gt;=$J$4,'领用录入（明细）'!C:C&lt;=$L$4),ROW(),"-")</f>
        <v>-</v>
      </c>
    </row>
    <row r="49487" customHeight="1" spans="2:2">
      <c r="B49487" s="62" t="str">
        <f>IF(AND('领用录入（明细）'!D:D=$F$4,'领用录入（明细）'!C:C&gt;=$J$4,'领用录入（明细）'!C:C&lt;=$L$4),ROW(),"-")</f>
        <v>-</v>
      </c>
    </row>
    <row r="49488" customHeight="1" spans="2:2">
      <c r="B49488" s="62" t="str">
        <f>IF(AND('领用录入（明细）'!D:D=$F$4,'领用录入（明细）'!C:C&gt;=$J$4,'领用录入（明细）'!C:C&lt;=$L$4),ROW(),"-")</f>
        <v>-</v>
      </c>
    </row>
    <row r="49489" customHeight="1" spans="2:2">
      <c r="B49489" s="62" t="str">
        <f>IF(AND('领用录入（明细）'!D:D=$F$4,'领用录入（明细）'!C:C&gt;=$J$4,'领用录入（明细）'!C:C&lt;=$L$4),ROW(),"-")</f>
        <v>-</v>
      </c>
    </row>
    <row r="49490" customHeight="1" spans="2:2">
      <c r="B49490" s="62" t="str">
        <f>IF(AND('领用录入（明细）'!D:D=$F$4,'领用录入（明细）'!C:C&gt;=$J$4,'领用录入（明细）'!C:C&lt;=$L$4),ROW(),"-")</f>
        <v>-</v>
      </c>
    </row>
    <row r="49491" customHeight="1" spans="2:2">
      <c r="B49491" s="62" t="str">
        <f>IF(AND('领用录入（明细）'!D:D=$F$4,'领用录入（明细）'!C:C&gt;=$J$4,'领用录入（明细）'!C:C&lt;=$L$4),ROW(),"-")</f>
        <v>-</v>
      </c>
    </row>
    <row r="49492" customHeight="1" spans="2:2">
      <c r="B49492" s="62" t="str">
        <f>IF(AND('领用录入（明细）'!D:D=$F$4,'领用录入（明细）'!C:C&gt;=$J$4,'领用录入（明细）'!C:C&lt;=$L$4),ROW(),"-")</f>
        <v>-</v>
      </c>
    </row>
    <row r="49493" customHeight="1" spans="2:2">
      <c r="B49493" s="62" t="str">
        <f>IF(AND('领用录入（明细）'!D:D=$F$4,'领用录入（明细）'!C:C&gt;=$J$4,'领用录入（明细）'!C:C&lt;=$L$4),ROW(),"-")</f>
        <v>-</v>
      </c>
    </row>
    <row r="49494" customHeight="1" spans="2:2">
      <c r="B49494" s="62" t="str">
        <f>IF(AND('领用录入（明细）'!D:D=$F$4,'领用录入（明细）'!C:C&gt;=$J$4,'领用录入（明细）'!C:C&lt;=$L$4),ROW(),"-")</f>
        <v>-</v>
      </c>
    </row>
    <row r="49495" customHeight="1" spans="2:2">
      <c r="B49495" s="62" t="str">
        <f>IF(AND('领用录入（明细）'!D:D=$F$4,'领用录入（明细）'!C:C&gt;=$J$4,'领用录入（明细）'!C:C&lt;=$L$4),ROW(),"-")</f>
        <v>-</v>
      </c>
    </row>
    <row r="49496" customHeight="1" spans="2:2">
      <c r="B49496" s="62" t="str">
        <f>IF(AND('领用录入（明细）'!D:D=$F$4,'领用录入（明细）'!C:C&gt;=$J$4,'领用录入（明细）'!C:C&lt;=$L$4),ROW(),"-")</f>
        <v>-</v>
      </c>
    </row>
    <row r="49497" customHeight="1" spans="2:2">
      <c r="B49497" s="62" t="str">
        <f>IF(AND('领用录入（明细）'!D:D=$F$4,'领用录入（明细）'!C:C&gt;=$J$4,'领用录入（明细）'!C:C&lt;=$L$4),ROW(),"-")</f>
        <v>-</v>
      </c>
    </row>
    <row r="49498" customHeight="1" spans="2:2">
      <c r="B49498" s="62" t="str">
        <f>IF(AND('领用录入（明细）'!D:D=$F$4,'领用录入（明细）'!C:C&gt;=$J$4,'领用录入（明细）'!C:C&lt;=$L$4),ROW(),"-")</f>
        <v>-</v>
      </c>
    </row>
    <row r="49499" customHeight="1" spans="2:2">
      <c r="B49499" s="62" t="str">
        <f>IF(AND('领用录入（明细）'!D:D=$F$4,'领用录入（明细）'!C:C&gt;=$J$4,'领用录入（明细）'!C:C&lt;=$L$4),ROW(),"-")</f>
        <v>-</v>
      </c>
    </row>
    <row r="49500" customHeight="1" spans="2:2">
      <c r="B49500" s="62" t="str">
        <f>IF(AND('领用录入（明细）'!D:D=$F$4,'领用录入（明细）'!C:C&gt;=$J$4,'领用录入（明细）'!C:C&lt;=$L$4),ROW(),"-")</f>
        <v>-</v>
      </c>
    </row>
    <row r="49501" customHeight="1" spans="2:2">
      <c r="B49501" s="62" t="str">
        <f>IF(AND('领用录入（明细）'!D:D=$F$4,'领用录入（明细）'!C:C&gt;=$J$4,'领用录入（明细）'!C:C&lt;=$L$4),ROW(),"-")</f>
        <v>-</v>
      </c>
    </row>
    <row r="49502" customHeight="1" spans="2:2">
      <c r="B49502" s="62" t="str">
        <f>IF(AND('领用录入（明细）'!D:D=$F$4,'领用录入（明细）'!C:C&gt;=$J$4,'领用录入（明细）'!C:C&lt;=$L$4),ROW(),"-")</f>
        <v>-</v>
      </c>
    </row>
    <row r="49503" customHeight="1" spans="2:2">
      <c r="B49503" s="62" t="str">
        <f>IF(AND('领用录入（明细）'!D:D=$F$4,'领用录入（明细）'!C:C&gt;=$J$4,'领用录入（明细）'!C:C&lt;=$L$4),ROW(),"-")</f>
        <v>-</v>
      </c>
    </row>
    <row r="49504" customHeight="1" spans="2:2">
      <c r="B49504" s="62" t="str">
        <f>IF(AND('领用录入（明细）'!D:D=$F$4,'领用录入（明细）'!C:C&gt;=$J$4,'领用录入（明细）'!C:C&lt;=$L$4),ROW(),"-")</f>
        <v>-</v>
      </c>
    </row>
    <row r="49505" customHeight="1" spans="2:2">
      <c r="B49505" s="62" t="str">
        <f>IF(AND('领用录入（明细）'!D:D=$F$4,'领用录入（明细）'!C:C&gt;=$J$4,'领用录入（明细）'!C:C&lt;=$L$4),ROW(),"-")</f>
        <v>-</v>
      </c>
    </row>
    <row r="49506" customHeight="1" spans="2:2">
      <c r="B49506" s="62" t="str">
        <f>IF(AND('领用录入（明细）'!D:D=$F$4,'领用录入（明细）'!C:C&gt;=$J$4,'领用录入（明细）'!C:C&lt;=$L$4),ROW(),"-")</f>
        <v>-</v>
      </c>
    </row>
    <row r="49507" customHeight="1" spans="2:2">
      <c r="B49507" s="62" t="str">
        <f>IF(AND('领用录入（明细）'!D:D=$F$4,'领用录入（明细）'!C:C&gt;=$J$4,'领用录入（明细）'!C:C&lt;=$L$4),ROW(),"-")</f>
        <v>-</v>
      </c>
    </row>
    <row r="49508" customHeight="1" spans="2:2">
      <c r="B49508" s="62" t="str">
        <f>IF(AND('领用录入（明细）'!D:D=$F$4,'领用录入（明细）'!C:C&gt;=$J$4,'领用录入（明细）'!C:C&lt;=$L$4),ROW(),"-")</f>
        <v>-</v>
      </c>
    </row>
    <row r="49509" customHeight="1" spans="2:2">
      <c r="B49509" s="62" t="str">
        <f>IF(AND('领用录入（明细）'!D:D=$F$4,'领用录入（明细）'!C:C&gt;=$J$4,'领用录入（明细）'!C:C&lt;=$L$4),ROW(),"-")</f>
        <v>-</v>
      </c>
    </row>
    <row r="49510" customHeight="1" spans="2:2">
      <c r="B49510" s="62" t="str">
        <f>IF(AND('领用录入（明细）'!D:D=$F$4,'领用录入（明细）'!C:C&gt;=$J$4,'领用录入（明细）'!C:C&lt;=$L$4),ROW(),"-")</f>
        <v>-</v>
      </c>
    </row>
    <row r="49511" customHeight="1" spans="2:2">
      <c r="B49511" s="62" t="str">
        <f>IF(AND('领用录入（明细）'!D:D=$F$4,'领用录入（明细）'!C:C&gt;=$J$4,'领用录入（明细）'!C:C&lt;=$L$4),ROW(),"-")</f>
        <v>-</v>
      </c>
    </row>
    <row r="49512" customHeight="1" spans="2:2">
      <c r="B49512" s="62" t="str">
        <f>IF(AND('领用录入（明细）'!D:D=$F$4,'领用录入（明细）'!C:C&gt;=$J$4,'领用录入（明细）'!C:C&lt;=$L$4),ROW(),"-")</f>
        <v>-</v>
      </c>
    </row>
    <row r="49513" customHeight="1" spans="2:2">
      <c r="B49513" s="62" t="str">
        <f>IF(AND('领用录入（明细）'!D:D=$F$4,'领用录入（明细）'!C:C&gt;=$J$4,'领用录入（明细）'!C:C&lt;=$L$4),ROW(),"-")</f>
        <v>-</v>
      </c>
    </row>
    <row r="49514" customHeight="1" spans="2:2">
      <c r="B49514" s="62" t="str">
        <f>IF(AND('领用录入（明细）'!D:D=$F$4,'领用录入（明细）'!C:C&gt;=$J$4,'领用录入（明细）'!C:C&lt;=$L$4),ROW(),"-")</f>
        <v>-</v>
      </c>
    </row>
    <row r="49515" customHeight="1" spans="2:2">
      <c r="B49515" s="62" t="str">
        <f>IF(AND('领用录入（明细）'!D:D=$F$4,'领用录入（明细）'!C:C&gt;=$J$4,'领用录入（明细）'!C:C&lt;=$L$4),ROW(),"-")</f>
        <v>-</v>
      </c>
    </row>
    <row r="49516" customHeight="1" spans="2:2">
      <c r="B49516" s="62" t="str">
        <f>IF(AND('领用录入（明细）'!D:D=$F$4,'领用录入（明细）'!C:C&gt;=$J$4,'领用录入（明细）'!C:C&lt;=$L$4),ROW(),"-")</f>
        <v>-</v>
      </c>
    </row>
    <row r="49517" customHeight="1" spans="2:2">
      <c r="B49517" s="62" t="str">
        <f>IF(AND('领用录入（明细）'!D:D=$F$4,'领用录入（明细）'!C:C&gt;=$J$4,'领用录入（明细）'!C:C&lt;=$L$4),ROW(),"-")</f>
        <v>-</v>
      </c>
    </row>
    <row r="49518" customHeight="1" spans="2:2">
      <c r="B49518" s="62" t="str">
        <f>IF(AND('领用录入（明细）'!D:D=$F$4,'领用录入（明细）'!C:C&gt;=$J$4,'领用录入（明细）'!C:C&lt;=$L$4),ROW(),"-")</f>
        <v>-</v>
      </c>
    </row>
    <row r="49519" customHeight="1" spans="2:2">
      <c r="B49519" s="62" t="str">
        <f>IF(AND('领用录入（明细）'!D:D=$F$4,'领用录入（明细）'!C:C&gt;=$J$4,'领用录入（明细）'!C:C&lt;=$L$4),ROW(),"-")</f>
        <v>-</v>
      </c>
    </row>
    <row r="49520" customHeight="1" spans="2:2">
      <c r="B49520" s="62" t="str">
        <f>IF(AND('领用录入（明细）'!D:D=$F$4,'领用录入（明细）'!C:C&gt;=$J$4,'领用录入（明细）'!C:C&lt;=$L$4),ROW(),"-")</f>
        <v>-</v>
      </c>
    </row>
    <row r="49521" customHeight="1" spans="2:2">
      <c r="B49521" s="62" t="str">
        <f>IF(AND('领用录入（明细）'!D:D=$F$4,'领用录入（明细）'!C:C&gt;=$J$4,'领用录入（明细）'!C:C&lt;=$L$4),ROW(),"-")</f>
        <v>-</v>
      </c>
    </row>
    <row r="49522" customHeight="1" spans="2:2">
      <c r="B49522" s="62" t="str">
        <f>IF(AND('领用录入（明细）'!D:D=$F$4,'领用录入（明细）'!C:C&gt;=$J$4,'领用录入（明细）'!C:C&lt;=$L$4),ROW(),"-")</f>
        <v>-</v>
      </c>
    </row>
    <row r="49523" customHeight="1" spans="2:2">
      <c r="B49523" s="62" t="str">
        <f>IF(AND('领用录入（明细）'!D:D=$F$4,'领用录入（明细）'!C:C&gt;=$J$4,'领用录入（明细）'!C:C&lt;=$L$4),ROW(),"-")</f>
        <v>-</v>
      </c>
    </row>
    <row r="49524" customHeight="1" spans="2:2">
      <c r="B49524" s="62" t="str">
        <f>IF(AND('领用录入（明细）'!D:D=$F$4,'领用录入（明细）'!C:C&gt;=$J$4,'领用录入（明细）'!C:C&lt;=$L$4),ROW(),"-")</f>
        <v>-</v>
      </c>
    </row>
    <row r="49525" customHeight="1" spans="2:2">
      <c r="B49525" s="62" t="str">
        <f>IF(AND('领用录入（明细）'!D:D=$F$4,'领用录入（明细）'!C:C&gt;=$J$4,'领用录入（明细）'!C:C&lt;=$L$4),ROW(),"-")</f>
        <v>-</v>
      </c>
    </row>
    <row r="49526" customHeight="1" spans="2:2">
      <c r="B49526" s="62" t="str">
        <f>IF(AND('领用录入（明细）'!D:D=$F$4,'领用录入（明细）'!C:C&gt;=$J$4,'领用录入（明细）'!C:C&lt;=$L$4),ROW(),"-")</f>
        <v>-</v>
      </c>
    </row>
    <row r="49527" customHeight="1" spans="2:2">
      <c r="B49527" s="62" t="str">
        <f>IF(AND('领用录入（明细）'!D:D=$F$4,'领用录入（明细）'!C:C&gt;=$J$4,'领用录入（明细）'!C:C&lt;=$L$4),ROW(),"-")</f>
        <v>-</v>
      </c>
    </row>
    <row r="49528" customHeight="1" spans="2:2">
      <c r="B49528" s="62" t="str">
        <f>IF(AND('领用录入（明细）'!D:D=$F$4,'领用录入（明细）'!C:C&gt;=$J$4,'领用录入（明细）'!C:C&lt;=$L$4),ROW(),"-")</f>
        <v>-</v>
      </c>
    </row>
    <row r="49529" customHeight="1" spans="2:2">
      <c r="B49529" s="62" t="str">
        <f>IF(AND('领用录入（明细）'!D:D=$F$4,'领用录入（明细）'!C:C&gt;=$J$4,'领用录入（明细）'!C:C&lt;=$L$4),ROW(),"-")</f>
        <v>-</v>
      </c>
    </row>
    <row r="49530" customHeight="1" spans="2:2">
      <c r="B49530" s="62" t="str">
        <f>IF(AND('领用录入（明细）'!D:D=$F$4,'领用录入（明细）'!C:C&gt;=$J$4,'领用录入（明细）'!C:C&lt;=$L$4),ROW(),"-")</f>
        <v>-</v>
      </c>
    </row>
    <row r="49531" customHeight="1" spans="2:2">
      <c r="B49531" s="62" t="str">
        <f>IF(AND('领用录入（明细）'!D:D=$F$4,'领用录入（明细）'!C:C&gt;=$J$4,'领用录入（明细）'!C:C&lt;=$L$4),ROW(),"-")</f>
        <v>-</v>
      </c>
    </row>
    <row r="49532" customHeight="1" spans="2:2">
      <c r="B49532" s="62" t="str">
        <f>IF(AND('领用录入（明细）'!D:D=$F$4,'领用录入（明细）'!C:C&gt;=$J$4,'领用录入（明细）'!C:C&lt;=$L$4),ROW(),"-")</f>
        <v>-</v>
      </c>
    </row>
    <row r="49533" customHeight="1" spans="2:2">
      <c r="B49533" s="62" t="str">
        <f>IF(AND('领用录入（明细）'!D:D=$F$4,'领用录入（明细）'!C:C&gt;=$J$4,'领用录入（明细）'!C:C&lt;=$L$4),ROW(),"-")</f>
        <v>-</v>
      </c>
    </row>
    <row r="49534" customHeight="1" spans="2:2">
      <c r="B49534" s="62" t="str">
        <f>IF(AND('领用录入（明细）'!D:D=$F$4,'领用录入（明细）'!C:C&gt;=$J$4,'领用录入（明细）'!C:C&lt;=$L$4),ROW(),"-")</f>
        <v>-</v>
      </c>
    </row>
    <row r="49535" customHeight="1" spans="2:2">
      <c r="B49535" s="62" t="str">
        <f>IF(AND('领用录入（明细）'!D:D=$F$4,'领用录入（明细）'!C:C&gt;=$J$4,'领用录入（明细）'!C:C&lt;=$L$4),ROW(),"-")</f>
        <v>-</v>
      </c>
    </row>
    <row r="49536" customHeight="1" spans="2:2">
      <c r="B49536" s="62" t="str">
        <f>IF(AND('领用录入（明细）'!D:D=$F$4,'领用录入（明细）'!C:C&gt;=$J$4,'领用录入（明细）'!C:C&lt;=$L$4),ROW(),"-")</f>
        <v>-</v>
      </c>
    </row>
    <row r="49537" customHeight="1" spans="2:2">
      <c r="B49537" s="62" t="str">
        <f>IF(AND('领用录入（明细）'!D:D=$F$4,'领用录入（明细）'!C:C&gt;=$J$4,'领用录入（明细）'!C:C&lt;=$L$4),ROW(),"-")</f>
        <v>-</v>
      </c>
    </row>
    <row r="49538" customHeight="1" spans="2:2">
      <c r="B49538" s="62" t="str">
        <f>IF(AND('领用录入（明细）'!D:D=$F$4,'领用录入（明细）'!C:C&gt;=$J$4,'领用录入（明细）'!C:C&lt;=$L$4),ROW(),"-")</f>
        <v>-</v>
      </c>
    </row>
    <row r="49539" customHeight="1" spans="2:2">
      <c r="B49539" s="62" t="str">
        <f>IF(AND('领用录入（明细）'!D:D=$F$4,'领用录入（明细）'!C:C&gt;=$J$4,'领用录入（明细）'!C:C&lt;=$L$4),ROW(),"-")</f>
        <v>-</v>
      </c>
    </row>
    <row r="49540" customHeight="1" spans="2:2">
      <c r="B49540" s="62" t="str">
        <f>IF(AND('领用录入（明细）'!D:D=$F$4,'领用录入（明细）'!C:C&gt;=$J$4,'领用录入（明细）'!C:C&lt;=$L$4),ROW(),"-")</f>
        <v>-</v>
      </c>
    </row>
    <row r="49541" customHeight="1" spans="2:2">
      <c r="B49541" s="62" t="str">
        <f>IF(AND('领用录入（明细）'!D:D=$F$4,'领用录入（明细）'!C:C&gt;=$J$4,'领用录入（明细）'!C:C&lt;=$L$4),ROW(),"-")</f>
        <v>-</v>
      </c>
    </row>
    <row r="49542" customHeight="1" spans="2:2">
      <c r="B49542" s="62" t="str">
        <f>IF(AND('领用录入（明细）'!D:D=$F$4,'领用录入（明细）'!C:C&gt;=$J$4,'领用录入（明细）'!C:C&lt;=$L$4),ROW(),"-")</f>
        <v>-</v>
      </c>
    </row>
    <row r="49543" customHeight="1" spans="2:2">
      <c r="B49543" s="62" t="str">
        <f>IF(AND('领用录入（明细）'!D:D=$F$4,'领用录入（明细）'!C:C&gt;=$J$4,'领用录入（明细）'!C:C&lt;=$L$4),ROW(),"-")</f>
        <v>-</v>
      </c>
    </row>
    <row r="49544" customHeight="1" spans="2:2">
      <c r="B49544" s="62" t="str">
        <f>IF(AND('领用录入（明细）'!D:D=$F$4,'领用录入（明细）'!C:C&gt;=$J$4,'领用录入（明细）'!C:C&lt;=$L$4),ROW(),"-")</f>
        <v>-</v>
      </c>
    </row>
    <row r="49545" customHeight="1" spans="2:2">
      <c r="B49545" s="62" t="str">
        <f>IF(AND('领用录入（明细）'!D:D=$F$4,'领用录入（明细）'!C:C&gt;=$J$4,'领用录入（明细）'!C:C&lt;=$L$4),ROW(),"-")</f>
        <v>-</v>
      </c>
    </row>
    <row r="49546" customHeight="1" spans="2:2">
      <c r="B49546" s="62" t="str">
        <f>IF(AND('领用录入（明细）'!D:D=$F$4,'领用录入（明细）'!C:C&gt;=$J$4,'领用录入（明细）'!C:C&lt;=$L$4),ROW(),"-")</f>
        <v>-</v>
      </c>
    </row>
    <row r="49547" customHeight="1" spans="2:2">
      <c r="B49547" s="62" t="str">
        <f>IF(AND('领用录入（明细）'!D:D=$F$4,'领用录入（明细）'!C:C&gt;=$J$4,'领用录入（明细）'!C:C&lt;=$L$4),ROW(),"-")</f>
        <v>-</v>
      </c>
    </row>
    <row r="49548" customHeight="1" spans="2:2">
      <c r="B49548" s="62" t="str">
        <f>IF(AND('领用录入（明细）'!D:D=$F$4,'领用录入（明细）'!C:C&gt;=$J$4,'领用录入（明细）'!C:C&lt;=$L$4),ROW(),"-")</f>
        <v>-</v>
      </c>
    </row>
    <row r="49549" customHeight="1" spans="2:2">
      <c r="B49549" s="62" t="str">
        <f>IF(AND('领用录入（明细）'!D:D=$F$4,'领用录入（明细）'!C:C&gt;=$J$4,'领用录入（明细）'!C:C&lt;=$L$4),ROW(),"-")</f>
        <v>-</v>
      </c>
    </row>
    <row r="49550" customHeight="1" spans="2:2">
      <c r="B49550" s="62" t="str">
        <f>IF(AND('领用录入（明细）'!D:D=$F$4,'领用录入（明细）'!C:C&gt;=$J$4,'领用录入（明细）'!C:C&lt;=$L$4),ROW(),"-")</f>
        <v>-</v>
      </c>
    </row>
    <row r="49551" customHeight="1" spans="2:2">
      <c r="B49551" s="62" t="str">
        <f>IF(AND('领用录入（明细）'!D:D=$F$4,'领用录入（明细）'!C:C&gt;=$J$4,'领用录入（明细）'!C:C&lt;=$L$4),ROW(),"-")</f>
        <v>-</v>
      </c>
    </row>
    <row r="49552" customHeight="1" spans="2:2">
      <c r="B49552" s="62" t="str">
        <f>IF(AND('领用录入（明细）'!D:D=$F$4,'领用录入（明细）'!C:C&gt;=$J$4,'领用录入（明细）'!C:C&lt;=$L$4),ROW(),"-")</f>
        <v>-</v>
      </c>
    </row>
    <row r="49553" customHeight="1" spans="2:2">
      <c r="B49553" s="62" t="str">
        <f>IF(AND('领用录入（明细）'!D:D=$F$4,'领用录入（明细）'!C:C&gt;=$J$4,'领用录入（明细）'!C:C&lt;=$L$4),ROW(),"-")</f>
        <v>-</v>
      </c>
    </row>
    <row r="49554" customHeight="1" spans="2:2">
      <c r="B49554" s="62" t="str">
        <f>IF(AND('领用录入（明细）'!D:D=$F$4,'领用录入（明细）'!C:C&gt;=$J$4,'领用录入（明细）'!C:C&lt;=$L$4),ROW(),"-")</f>
        <v>-</v>
      </c>
    </row>
    <row r="49555" customHeight="1" spans="2:2">
      <c r="B49555" s="62" t="str">
        <f>IF(AND('领用录入（明细）'!D:D=$F$4,'领用录入（明细）'!C:C&gt;=$J$4,'领用录入（明细）'!C:C&lt;=$L$4),ROW(),"-")</f>
        <v>-</v>
      </c>
    </row>
    <row r="49556" customHeight="1" spans="2:2">
      <c r="B49556" s="62" t="str">
        <f>IF(AND('领用录入（明细）'!D:D=$F$4,'领用录入（明细）'!C:C&gt;=$J$4,'领用录入（明细）'!C:C&lt;=$L$4),ROW(),"-")</f>
        <v>-</v>
      </c>
    </row>
    <row r="49557" customHeight="1" spans="2:2">
      <c r="B49557" s="62" t="str">
        <f>IF(AND('领用录入（明细）'!D:D=$F$4,'领用录入（明细）'!C:C&gt;=$J$4,'领用录入（明细）'!C:C&lt;=$L$4),ROW(),"-")</f>
        <v>-</v>
      </c>
    </row>
    <row r="49558" customHeight="1" spans="2:2">
      <c r="B49558" s="62" t="str">
        <f>IF(AND('领用录入（明细）'!D:D=$F$4,'领用录入（明细）'!C:C&gt;=$J$4,'领用录入（明细）'!C:C&lt;=$L$4),ROW(),"-")</f>
        <v>-</v>
      </c>
    </row>
    <row r="49559" customHeight="1" spans="2:2">
      <c r="B49559" s="62" t="str">
        <f>IF(AND('领用录入（明细）'!D:D=$F$4,'领用录入（明细）'!C:C&gt;=$J$4,'领用录入（明细）'!C:C&lt;=$L$4),ROW(),"-")</f>
        <v>-</v>
      </c>
    </row>
    <row r="49560" customHeight="1" spans="2:2">
      <c r="B49560" s="62" t="str">
        <f>IF(AND('领用录入（明细）'!D:D=$F$4,'领用录入（明细）'!C:C&gt;=$J$4,'领用录入（明细）'!C:C&lt;=$L$4),ROW(),"-")</f>
        <v>-</v>
      </c>
    </row>
    <row r="49561" customHeight="1" spans="2:2">
      <c r="B49561" s="62" t="str">
        <f>IF(AND('领用录入（明细）'!D:D=$F$4,'领用录入（明细）'!C:C&gt;=$J$4,'领用录入（明细）'!C:C&lt;=$L$4),ROW(),"-")</f>
        <v>-</v>
      </c>
    </row>
    <row r="49562" customHeight="1" spans="2:2">
      <c r="B49562" s="62" t="str">
        <f>IF(AND('领用录入（明细）'!D:D=$F$4,'领用录入（明细）'!C:C&gt;=$J$4,'领用录入（明细）'!C:C&lt;=$L$4),ROW(),"-")</f>
        <v>-</v>
      </c>
    </row>
    <row r="49563" customHeight="1" spans="2:2">
      <c r="B49563" s="62" t="str">
        <f>IF(AND('领用录入（明细）'!D:D=$F$4,'领用录入（明细）'!C:C&gt;=$J$4,'领用录入（明细）'!C:C&lt;=$L$4),ROW(),"-")</f>
        <v>-</v>
      </c>
    </row>
    <row r="49564" customHeight="1" spans="2:2">
      <c r="B49564" s="62" t="str">
        <f>IF(AND('领用录入（明细）'!D:D=$F$4,'领用录入（明细）'!C:C&gt;=$J$4,'领用录入（明细）'!C:C&lt;=$L$4),ROW(),"-")</f>
        <v>-</v>
      </c>
    </row>
    <row r="49565" customHeight="1" spans="2:2">
      <c r="B49565" s="62" t="str">
        <f>IF(AND('领用录入（明细）'!D:D=$F$4,'领用录入（明细）'!C:C&gt;=$J$4,'领用录入（明细）'!C:C&lt;=$L$4),ROW(),"-")</f>
        <v>-</v>
      </c>
    </row>
    <row r="49566" customHeight="1" spans="2:2">
      <c r="B49566" s="62" t="str">
        <f>IF(AND('领用录入（明细）'!D:D=$F$4,'领用录入（明细）'!C:C&gt;=$J$4,'领用录入（明细）'!C:C&lt;=$L$4),ROW(),"-")</f>
        <v>-</v>
      </c>
    </row>
    <row r="49567" customHeight="1" spans="2:2">
      <c r="B49567" s="62" t="str">
        <f>IF(AND('领用录入（明细）'!D:D=$F$4,'领用录入（明细）'!C:C&gt;=$J$4,'领用录入（明细）'!C:C&lt;=$L$4),ROW(),"-")</f>
        <v>-</v>
      </c>
    </row>
    <row r="49568" customHeight="1" spans="2:2">
      <c r="B49568" s="62" t="str">
        <f>IF(AND('领用录入（明细）'!D:D=$F$4,'领用录入（明细）'!C:C&gt;=$J$4,'领用录入（明细）'!C:C&lt;=$L$4),ROW(),"-")</f>
        <v>-</v>
      </c>
    </row>
    <row r="49569" customHeight="1" spans="2:2">
      <c r="B49569" s="62" t="str">
        <f>IF(AND('领用录入（明细）'!D:D=$F$4,'领用录入（明细）'!C:C&gt;=$J$4,'领用录入（明细）'!C:C&lt;=$L$4),ROW(),"-")</f>
        <v>-</v>
      </c>
    </row>
    <row r="49570" customHeight="1" spans="2:2">
      <c r="B49570" s="62" t="str">
        <f>IF(AND('领用录入（明细）'!D:D=$F$4,'领用录入（明细）'!C:C&gt;=$J$4,'领用录入（明细）'!C:C&lt;=$L$4),ROW(),"-")</f>
        <v>-</v>
      </c>
    </row>
    <row r="49571" customHeight="1" spans="2:2">
      <c r="B49571" s="62" t="str">
        <f>IF(AND('领用录入（明细）'!D:D=$F$4,'领用录入（明细）'!C:C&gt;=$J$4,'领用录入（明细）'!C:C&lt;=$L$4),ROW(),"-")</f>
        <v>-</v>
      </c>
    </row>
    <row r="49572" customHeight="1" spans="2:2">
      <c r="B49572" s="62" t="str">
        <f>IF(AND('领用录入（明细）'!D:D=$F$4,'领用录入（明细）'!C:C&gt;=$J$4,'领用录入（明细）'!C:C&lt;=$L$4),ROW(),"-")</f>
        <v>-</v>
      </c>
    </row>
    <row r="49573" customHeight="1" spans="2:2">
      <c r="B49573" s="62" t="str">
        <f>IF(AND('领用录入（明细）'!D:D=$F$4,'领用录入（明细）'!C:C&gt;=$J$4,'领用录入（明细）'!C:C&lt;=$L$4),ROW(),"-")</f>
        <v>-</v>
      </c>
    </row>
    <row r="49574" customHeight="1" spans="2:2">
      <c r="B49574" s="62" t="str">
        <f>IF(AND('领用录入（明细）'!D:D=$F$4,'领用录入（明细）'!C:C&gt;=$J$4,'领用录入（明细）'!C:C&lt;=$L$4),ROW(),"-")</f>
        <v>-</v>
      </c>
    </row>
    <row r="49575" customHeight="1" spans="2:2">
      <c r="B49575" s="62" t="str">
        <f>IF(AND('领用录入（明细）'!D:D=$F$4,'领用录入（明细）'!C:C&gt;=$J$4,'领用录入（明细）'!C:C&lt;=$L$4),ROW(),"-")</f>
        <v>-</v>
      </c>
    </row>
    <row r="49576" customHeight="1" spans="2:2">
      <c r="B49576" s="62" t="str">
        <f>IF(AND('领用录入（明细）'!D:D=$F$4,'领用录入（明细）'!C:C&gt;=$J$4,'领用录入（明细）'!C:C&lt;=$L$4),ROW(),"-")</f>
        <v>-</v>
      </c>
    </row>
    <row r="49577" customHeight="1" spans="2:2">
      <c r="B49577" s="62" t="str">
        <f>IF(AND('领用录入（明细）'!D:D=$F$4,'领用录入（明细）'!C:C&gt;=$J$4,'领用录入（明细）'!C:C&lt;=$L$4),ROW(),"-")</f>
        <v>-</v>
      </c>
    </row>
    <row r="49578" customHeight="1" spans="2:2">
      <c r="B49578" s="62" t="str">
        <f>IF(AND('领用录入（明细）'!D:D=$F$4,'领用录入（明细）'!C:C&gt;=$J$4,'领用录入（明细）'!C:C&lt;=$L$4),ROW(),"-")</f>
        <v>-</v>
      </c>
    </row>
    <row r="49579" customHeight="1" spans="2:2">
      <c r="B49579" s="62" t="str">
        <f>IF(AND('领用录入（明细）'!D:D=$F$4,'领用录入（明细）'!C:C&gt;=$J$4,'领用录入（明细）'!C:C&lt;=$L$4),ROW(),"-")</f>
        <v>-</v>
      </c>
    </row>
    <row r="49580" customHeight="1" spans="2:2">
      <c r="B49580" s="62" t="str">
        <f>IF(AND('领用录入（明细）'!D:D=$F$4,'领用录入（明细）'!C:C&gt;=$J$4,'领用录入（明细）'!C:C&lt;=$L$4),ROW(),"-")</f>
        <v>-</v>
      </c>
    </row>
    <row r="49581" customHeight="1" spans="2:2">
      <c r="B49581" s="62" t="str">
        <f>IF(AND('领用录入（明细）'!D:D=$F$4,'领用录入（明细）'!C:C&gt;=$J$4,'领用录入（明细）'!C:C&lt;=$L$4),ROW(),"-")</f>
        <v>-</v>
      </c>
    </row>
    <row r="49582" customHeight="1" spans="2:2">
      <c r="B49582" s="62" t="str">
        <f>IF(AND('领用录入（明细）'!D:D=$F$4,'领用录入（明细）'!C:C&gt;=$J$4,'领用录入（明细）'!C:C&lt;=$L$4),ROW(),"-")</f>
        <v>-</v>
      </c>
    </row>
    <row r="49583" customHeight="1" spans="2:2">
      <c r="B49583" s="62" t="str">
        <f>IF(AND('领用录入（明细）'!D:D=$F$4,'领用录入（明细）'!C:C&gt;=$J$4,'领用录入（明细）'!C:C&lt;=$L$4),ROW(),"-")</f>
        <v>-</v>
      </c>
    </row>
    <row r="49584" customHeight="1" spans="2:2">
      <c r="B49584" s="62" t="str">
        <f>IF(AND('领用录入（明细）'!D:D=$F$4,'领用录入（明细）'!C:C&gt;=$J$4,'领用录入（明细）'!C:C&lt;=$L$4),ROW(),"-")</f>
        <v>-</v>
      </c>
    </row>
    <row r="49585" customHeight="1" spans="2:2">
      <c r="B49585" s="62" t="str">
        <f>IF(AND('领用录入（明细）'!D:D=$F$4,'领用录入（明细）'!C:C&gt;=$J$4,'领用录入（明细）'!C:C&lt;=$L$4),ROW(),"-")</f>
        <v>-</v>
      </c>
    </row>
    <row r="49586" customHeight="1" spans="2:2">
      <c r="B49586" s="62" t="str">
        <f>IF(AND('领用录入（明细）'!D:D=$F$4,'领用录入（明细）'!C:C&gt;=$J$4,'领用录入（明细）'!C:C&lt;=$L$4),ROW(),"-")</f>
        <v>-</v>
      </c>
    </row>
    <row r="49587" customHeight="1" spans="2:2">
      <c r="B49587" s="62" t="str">
        <f>IF(AND('领用录入（明细）'!D:D=$F$4,'领用录入（明细）'!C:C&gt;=$J$4,'领用录入（明细）'!C:C&lt;=$L$4),ROW(),"-")</f>
        <v>-</v>
      </c>
    </row>
    <row r="49588" customHeight="1" spans="2:2">
      <c r="B49588" s="62" t="str">
        <f>IF(AND('领用录入（明细）'!D:D=$F$4,'领用录入（明细）'!C:C&gt;=$J$4,'领用录入（明细）'!C:C&lt;=$L$4),ROW(),"-")</f>
        <v>-</v>
      </c>
    </row>
    <row r="49589" customHeight="1" spans="2:2">
      <c r="B49589" s="62" t="str">
        <f>IF(AND('领用录入（明细）'!D:D=$F$4,'领用录入（明细）'!C:C&gt;=$J$4,'领用录入（明细）'!C:C&lt;=$L$4),ROW(),"-")</f>
        <v>-</v>
      </c>
    </row>
    <row r="49590" customHeight="1" spans="2:2">
      <c r="B49590" s="62" t="str">
        <f>IF(AND('领用录入（明细）'!D:D=$F$4,'领用录入（明细）'!C:C&gt;=$J$4,'领用录入（明细）'!C:C&lt;=$L$4),ROW(),"-")</f>
        <v>-</v>
      </c>
    </row>
    <row r="49591" customHeight="1" spans="2:2">
      <c r="B49591" s="62" t="str">
        <f>IF(AND('领用录入（明细）'!D:D=$F$4,'领用录入（明细）'!C:C&gt;=$J$4,'领用录入（明细）'!C:C&lt;=$L$4),ROW(),"-")</f>
        <v>-</v>
      </c>
    </row>
    <row r="49592" customHeight="1" spans="2:2">
      <c r="B49592" s="62" t="str">
        <f>IF(AND('领用录入（明细）'!D:D=$F$4,'领用录入（明细）'!C:C&gt;=$J$4,'领用录入（明细）'!C:C&lt;=$L$4),ROW(),"-")</f>
        <v>-</v>
      </c>
    </row>
    <row r="49593" customHeight="1" spans="2:2">
      <c r="B49593" s="62" t="str">
        <f>IF(AND('领用录入（明细）'!D:D=$F$4,'领用录入（明细）'!C:C&gt;=$J$4,'领用录入（明细）'!C:C&lt;=$L$4),ROW(),"-")</f>
        <v>-</v>
      </c>
    </row>
    <row r="49594" customHeight="1" spans="2:2">
      <c r="B49594" s="62" t="str">
        <f>IF(AND('领用录入（明细）'!D:D=$F$4,'领用录入（明细）'!C:C&gt;=$J$4,'领用录入（明细）'!C:C&lt;=$L$4),ROW(),"-")</f>
        <v>-</v>
      </c>
    </row>
    <row r="49595" customHeight="1" spans="2:2">
      <c r="B49595" s="62" t="str">
        <f>IF(AND('领用录入（明细）'!D:D=$F$4,'领用录入（明细）'!C:C&gt;=$J$4,'领用录入（明细）'!C:C&lt;=$L$4),ROW(),"-")</f>
        <v>-</v>
      </c>
    </row>
    <row r="49596" customHeight="1" spans="2:2">
      <c r="B49596" s="62" t="str">
        <f>IF(AND('领用录入（明细）'!D:D=$F$4,'领用录入（明细）'!C:C&gt;=$J$4,'领用录入（明细）'!C:C&lt;=$L$4),ROW(),"-")</f>
        <v>-</v>
      </c>
    </row>
    <row r="49597" customHeight="1" spans="2:2">
      <c r="B49597" s="62" t="str">
        <f>IF(AND('领用录入（明细）'!D:D=$F$4,'领用录入（明细）'!C:C&gt;=$J$4,'领用录入（明细）'!C:C&lt;=$L$4),ROW(),"-")</f>
        <v>-</v>
      </c>
    </row>
    <row r="49598" customHeight="1" spans="2:2">
      <c r="B49598" s="62" t="str">
        <f>IF(AND('领用录入（明细）'!D:D=$F$4,'领用录入（明细）'!C:C&gt;=$J$4,'领用录入（明细）'!C:C&lt;=$L$4),ROW(),"-")</f>
        <v>-</v>
      </c>
    </row>
    <row r="49599" customHeight="1" spans="2:2">
      <c r="B49599" s="62" t="str">
        <f>IF(AND('领用录入（明细）'!D:D=$F$4,'领用录入（明细）'!C:C&gt;=$J$4,'领用录入（明细）'!C:C&lt;=$L$4),ROW(),"-")</f>
        <v>-</v>
      </c>
    </row>
    <row r="49600" customHeight="1" spans="2:2">
      <c r="B49600" s="62" t="str">
        <f>IF(AND('领用录入（明细）'!D:D=$F$4,'领用录入（明细）'!C:C&gt;=$J$4,'领用录入（明细）'!C:C&lt;=$L$4),ROW(),"-")</f>
        <v>-</v>
      </c>
    </row>
    <row r="49601" customHeight="1" spans="2:2">
      <c r="B49601" s="62" t="str">
        <f>IF(AND('领用录入（明细）'!D:D=$F$4,'领用录入（明细）'!C:C&gt;=$J$4,'领用录入（明细）'!C:C&lt;=$L$4),ROW(),"-")</f>
        <v>-</v>
      </c>
    </row>
    <row r="49602" customHeight="1" spans="2:2">
      <c r="B49602" s="62" t="str">
        <f>IF(AND('领用录入（明细）'!D:D=$F$4,'领用录入（明细）'!C:C&gt;=$J$4,'领用录入（明细）'!C:C&lt;=$L$4),ROW(),"-")</f>
        <v>-</v>
      </c>
    </row>
    <row r="49603" customHeight="1" spans="2:2">
      <c r="B49603" s="62" t="str">
        <f>IF(AND('领用录入（明细）'!D:D=$F$4,'领用录入（明细）'!C:C&gt;=$J$4,'领用录入（明细）'!C:C&lt;=$L$4),ROW(),"-")</f>
        <v>-</v>
      </c>
    </row>
    <row r="49604" customHeight="1" spans="2:2">
      <c r="B49604" s="62" t="str">
        <f>IF(AND('领用录入（明细）'!D:D=$F$4,'领用录入（明细）'!C:C&gt;=$J$4,'领用录入（明细）'!C:C&lt;=$L$4),ROW(),"-")</f>
        <v>-</v>
      </c>
    </row>
    <row r="49605" customHeight="1" spans="2:2">
      <c r="B49605" s="62" t="str">
        <f>IF(AND('领用录入（明细）'!D:D=$F$4,'领用录入（明细）'!C:C&gt;=$J$4,'领用录入（明细）'!C:C&lt;=$L$4),ROW(),"-")</f>
        <v>-</v>
      </c>
    </row>
    <row r="49606" customHeight="1" spans="2:2">
      <c r="B49606" s="62" t="str">
        <f>IF(AND('领用录入（明细）'!D:D=$F$4,'领用录入（明细）'!C:C&gt;=$J$4,'领用录入（明细）'!C:C&lt;=$L$4),ROW(),"-")</f>
        <v>-</v>
      </c>
    </row>
    <row r="49607" customHeight="1" spans="2:2">
      <c r="B49607" s="62" t="str">
        <f>IF(AND('领用录入（明细）'!D:D=$F$4,'领用录入（明细）'!C:C&gt;=$J$4,'领用录入（明细）'!C:C&lt;=$L$4),ROW(),"-")</f>
        <v>-</v>
      </c>
    </row>
    <row r="49608" customHeight="1" spans="2:2">
      <c r="B49608" s="62" t="str">
        <f>IF(AND('领用录入（明细）'!D:D=$F$4,'领用录入（明细）'!C:C&gt;=$J$4,'领用录入（明细）'!C:C&lt;=$L$4),ROW(),"-")</f>
        <v>-</v>
      </c>
    </row>
    <row r="49609" customHeight="1" spans="2:2">
      <c r="B49609" s="62" t="str">
        <f>IF(AND('领用录入（明细）'!D:D=$F$4,'领用录入（明细）'!C:C&gt;=$J$4,'领用录入（明细）'!C:C&lt;=$L$4),ROW(),"-")</f>
        <v>-</v>
      </c>
    </row>
    <row r="49610" customHeight="1" spans="2:2">
      <c r="B49610" s="62" t="str">
        <f>IF(AND('领用录入（明细）'!D:D=$F$4,'领用录入（明细）'!C:C&gt;=$J$4,'领用录入（明细）'!C:C&lt;=$L$4),ROW(),"-")</f>
        <v>-</v>
      </c>
    </row>
    <row r="49611" customHeight="1" spans="2:2">
      <c r="B49611" s="62" t="str">
        <f>IF(AND('领用录入（明细）'!D:D=$F$4,'领用录入（明细）'!C:C&gt;=$J$4,'领用录入（明细）'!C:C&lt;=$L$4),ROW(),"-")</f>
        <v>-</v>
      </c>
    </row>
    <row r="49612" customHeight="1" spans="2:2">
      <c r="B49612" s="62" t="str">
        <f>IF(AND('领用录入（明细）'!D:D=$F$4,'领用录入（明细）'!C:C&gt;=$J$4,'领用录入（明细）'!C:C&lt;=$L$4),ROW(),"-")</f>
        <v>-</v>
      </c>
    </row>
    <row r="49613" customHeight="1" spans="2:2">
      <c r="B49613" s="62" t="str">
        <f>IF(AND('领用录入（明细）'!D:D=$F$4,'领用录入（明细）'!C:C&gt;=$J$4,'领用录入（明细）'!C:C&lt;=$L$4),ROW(),"-")</f>
        <v>-</v>
      </c>
    </row>
    <row r="49614" customHeight="1" spans="2:2">
      <c r="B49614" s="62" t="str">
        <f>IF(AND('领用录入（明细）'!D:D=$F$4,'领用录入（明细）'!C:C&gt;=$J$4,'领用录入（明细）'!C:C&lt;=$L$4),ROW(),"-")</f>
        <v>-</v>
      </c>
    </row>
    <row r="49615" customHeight="1" spans="2:2">
      <c r="B49615" s="62" t="str">
        <f>IF(AND('领用录入（明细）'!D:D=$F$4,'领用录入（明细）'!C:C&gt;=$J$4,'领用录入（明细）'!C:C&lt;=$L$4),ROW(),"-")</f>
        <v>-</v>
      </c>
    </row>
    <row r="49616" customHeight="1" spans="2:2">
      <c r="B49616" s="62" t="str">
        <f>IF(AND('领用录入（明细）'!D:D=$F$4,'领用录入（明细）'!C:C&gt;=$J$4,'领用录入（明细）'!C:C&lt;=$L$4),ROW(),"-")</f>
        <v>-</v>
      </c>
    </row>
    <row r="49617" customHeight="1" spans="2:2">
      <c r="B49617" s="62" t="str">
        <f>IF(AND('领用录入（明细）'!D:D=$F$4,'领用录入（明细）'!C:C&gt;=$J$4,'领用录入（明细）'!C:C&lt;=$L$4),ROW(),"-")</f>
        <v>-</v>
      </c>
    </row>
    <row r="49618" customHeight="1" spans="2:2">
      <c r="B49618" s="62" t="str">
        <f>IF(AND('领用录入（明细）'!D:D=$F$4,'领用录入（明细）'!C:C&gt;=$J$4,'领用录入（明细）'!C:C&lt;=$L$4),ROW(),"-")</f>
        <v>-</v>
      </c>
    </row>
    <row r="49619" customHeight="1" spans="2:2">
      <c r="B49619" s="62" t="str">
        <f>IF(AND('领用录入（明细）'!D:D=$F$4,'领用录入（明细）'!C:C&gt;=$J$4,'领用录入（明细）'!C:C&lt;=$L$4),ROW(),"-")</f>
        <v>-</v>
      </c>
    </row>
    <row r="49620" customHeight="1" spans="2:2">
      <c r="B49620" s="62" t="str">
        <f>IF(AND('领用录入（明细）'!D:D=$F$4,'领用录入（明细）'!C:C&gt;=$J$4,'领用录入（明细）'!C:C&lt;=$L$4),ROW(),"-")</f>
        <v>-</v>
      </c>
    </row>
    <row r="49621" customHeight="1" spans="2:2">
      <c r="B49621" s="62" t="str">
        <f>IF(AND('领用录入（明细）'!D:D=$F$4,'领用录入（明细）'!C:C&gt;=$J$4,'领用录入（明细）'!C:C&lt;=$L$4),ROW(),"-")</f>
        <v>-</v>
      </c>
    </row>
    <row r="49622" customHeight="1" spans="2:2">
      <c r="B49622" s="62" t="str">
        <f>IF(AND('领用录入（明细）'!D:D=$F$4,'领用录入（明细）'!C:C&gt;=$J$4,'领用录入（明细）'!C:C&lt;=$L$4),ROW(),"-")</f>
        <v>-</v>
      </c>
    </row>
    <row r="49623" customHeight="1" spans="2:2">
      <c r="B49623" s="62" t="str">
        <f>IF(AND('领用录入（明细）'!D:D=$F$4,'领用录入（明细）'!C:C&gt;=$J$4,'领用录入（明细）'!C:C&lt;=$L$4),ROW(),"-")</f>
        <v>-</v>
      </c>
    </row>
    <row r="49624" customHeight="1" spans="2:2">
      <c r="B49624" s="62" t="str">
        <f>IF(AND('领用录入（明细）'!D:D=$F$4,'领用录入（明细）'!C:C&gt;=$J$4,'领用录入（明细）'!C:C&lt;=$L$4),ROW(),"-")</f>
        <v>-</v>
      </c>
    </row>
    <row r="49625" customHeight="1" spans="2:2">
      <c r="B49625" s="62" t="str">
        <f>IF(AND('领用录入（明细）'!D:D=$F$4,'领用录入（明细）'!C:C&gt;=$J$4,'领用录入（明细）'!C:C&lt;=$L$4),ROW(),"-")</f>
        <v>-</v>
      </c>
    </row>
    <row r="49626" customHeight="1" spans="2:2">
      <c r="B49626" s="62" t="str">
        <f>IF(AND('领用录入（明细）'!D:D=$F$4,'领用录入（明细）'!C:C&gt;=$J$4,'领用录入（明细）'!C:C&lt;=$L$4),ROW(),"-")</f>
        <v>-</v>
      </c>
    </row>
    <row r="49627" customHeight="1" spans="2:2">
      <c r="B49627" s="62" t="str">
        <f>IF(AND('领用录入（明细）'!D:D=$F$4,'领用录入（明细）'!C:C&gt;=$J$4,'领用录入（明细）'!C:C&lt;=$L$4),ROW(),"-")</f>
        <v>-</v>
      </c>
    </row>
    <row r="49628" customHeight="1" spans="2:2">
      <c r="B49628" s="62" t="str">
        <f>IF(AND('领用录入（明细）'!D:D=$F$4,'领用录入（明细）'!C:C&gt;=$J$4,'领用录入（明细）'!C:C&lt;=$L$4),ROW(),"-")</f>
        <v>-</v>
      </c>
    </row>
    <row r="49629" customHeight="1" spans="2:2">
      <c r="B49629" s="62" t="str">
        <f>IF(AND('领用录入（明细）'!D:D=$F$4,'领用录入（明细）'!C:C&gt;=$J$4,'领用录入（明细）'!C:C&lt;=$L$4),ROW(),"-")</f>
        <v>-</v>
      </c>
    </row>
    <row r="49630" customHeight="1" spans="2:2">
      <c r="B49630" s="62" t="str">
        <f>IF(AND('领用录入（明细）'!D:D=$F$4,'领用录入（明细）'!C:C&gt;=$J$4,'领用录入（明细）'!C:C&lt;=$L$4),ROW(),"-")</f>
        <v>-</v>
      </c>
    </row>
    <row r="49631" customHeight="1" spans="2:2">
      <c r="B49631" s="62" t="str">
        <f>IF(AND('领用录入（明细）'!D:D=$F$4,'领用录入（明细）'!C:C&gt;=$J$4,'领用录入（明细）'!C:C&lt;=$L$4),ROW(),"-")</f>
        <v>-</v>
      </c>
    </row>
    <row r="49632" customHeight="1" spans="2:2">
      <c r="B49632" s="62" t="str">
        <f>IF(AND('领用录入（明细）'!D:D=$F$4,'领用录入（明细）'!C:C&gt;=$J$4,'领用录入（明细）'!C:C&lt;=$L$4),ROW(),"-")</f>
        <v>-</v>
      </c>
    </row>
    <row r="49633" customHeight="1" spans="2:2">
      <c r="B49633" s="62" t="str">
        <f>IF(AND('领用录入（明细）'!D:D=$F$4,'领用录入（明细）'!C:C&gt;=$J$4,'领用录入（明细）'!C:C&lt;=$L$4),ROW(),"-")</f>
        <v>-</v>
      </c>
    </row>
    <row r="49634" customHeight="1" spans="2:2">
      <c r="B49634" s="62" t="str">
        <f>IF(AND('领用录入（明细）'!D:D=$F$4,'领用录入（明细）'!C:C&gt;=$J$4,'领用录入（明细）'!C:C&lt;=$L$4),ROW(),"-")</f>
        <v>-</v>
      </c>
    </row>
    <row r="49635" customHeight="1" spans="2:2">
      <c r="B49635" s="62" t="str">
        <f>IF(AND('领用录入（明细）'!D:D=$F$4,'领用录入（明细）'!C:C&gt;=$J$4,'领用录入（明细）'!C:C&lt;=$L$4),ROW(),"-")</f>
        <v>-</v>
      </c>
    </row>
    <row r="49636" customHeight="1" spans="2:2">
      <c r="B49636" s="62" t="str">
        <f>IF(AND('领用录入（明细）'!D:D=$F$4,'领用录入（明细）'!C:C&gt;=$J$4,'领用录入（明细）'!C:C&lt;=$L$4),ROW(),"-")</f>
        <v>-</v>
      </c>
    </row>
    <row r="49637" customHeight="1" spans="2:2">
      <c r="B49637" s="62" t="str">
        <f>IF(AND('领用录入（明细）'!D:D=$F$4,'领用录入（明细）'!C:C&gt;=$J$4,'领用录入（明细）'!C:C&lt;=$L$4),ROW(),"-")</f>
        <v>-</v>
      </c>
    </row>
    <row r="49638" customHeight="1" spans="2:2">
      <c r="B49638" s="62" t="str">
        <f>IF(AND('领用录入（明细）'!D:D=$F$4,'领用录入（明细）'!C:C&gt;=$J$4,'领用录入（明细）'!C:C&lt;=$L$4),ROW(),"-")</f>
        <v>-</v>
      </c>
    </row>
    <row r="49639" customHeight="1" spans="2:2">
      <c r="B49639" s="62" t="str">
        <f>IF(AND('领用录入（明细）'!D:D=$F$4,'领用录入（明细）'!C:C&gt;=$J$4,'领用录入（明细）'!C:C&lt;=$L$4),ROW(),"-")</f>
        <v>-</v>
      </c>
    </row>
    <row r="49640" customHeight="1" spans="2:2">
      <c r="B49640" s="62" t="str">
        <f>IF(AND('领用录入（明细）'!D:D=$F$4,'领用录入（明细）'!C:C&gt;=$J$4,'领用录入（明细）'!C:C&lt;=$L$4),ROW(),"-")</f>
        <v>-</v>
      </c>
    </row>
    <row r="49641" customHeight="1" spans="2:2">
      <c r="B49641" s="62" t="str">
        <f>IF(AND('领用录入（明细）'!D:D=$F$4,'领用录入（明细）'!C:C&gt;=$J$4,'领用录入（明细）'!C:C&lt;=$L$4),ROW(),"-")</f>
        <v>-</v>
      </c>
    </row>
    <row r="49642" customHeight="1" spans="2:2">
      <c r="B49642" s="62" t="str">
        <f>IF(AND('领用录入（明细）'!D:D=$F$4,'领用录入（明细）'!C:C&gt;=$J$4,'领用录入（明细）'!C:C&lt;=$L$4),ROW(),"-")</f>
        <v>-</v>
      </c>
    </row>
    <row r="49643" customHeight="1" spans="2:2">
      <c r="B49643" s="62" t="str">
        <f>IF(AND('领用录入（明细）'!D:D=$F$4,'领用录入（明细）'!C:C&gt;=$J$4,'领用录入（明细）'!C:C&lt;=$L$4),ROW(),"-")</f>
        <v>-</v>
      </c>
    </row>
    <row r="49644" customHeight="1" spans="2:2">
      <c r="B49644" s="62" t="str">
        <f>IF(AND('领用录入（明细）'!D:D=$F$4,'领用录入（明细）'!C:C&gt;=$J$4,'领用录入（明细）'!C:C&lt;=$L$4),ROW(),"-")</f>
        <v>-</v>
      </c>
    </row>
    <row r="49645" customHeight="1" spans="2:2">
      <c r="B49645" s="62" t="str">
        <f>IF(AND('领用录入（明细）'!D:D=$F$4,'领用录入（明细）'!C:C&gt;=$J$4,'领用录入（明细）'!C:C&lt;=$L$4),ROW(),"-")</f>
        <v>-</v>
      </c>
    </row>
    <row r="49646" customHeight="1" spans="2:2">
      <c r="B49646" s="62" t="str">
        <f>IF(AND('领用录入（明细）'!D:D=$F$4,'领用录入（明细）'!C:C&gt;=$J$4,'领用录入（明细）'!C:C&lt;=$L$4),ROW(),"-")</f>
        <v>-</v>
      </c>
    </row>
    <row r="49647" customHeight="1" spans="2:2">
      <c r="B49647" s="62" t="str">
        <f>IF(AND('领用录入（明细）'!D:D=$F$4,'领用录入（明细）'!C:C&gt;=$J$4,'领用录入（明细）'!C:C&lt;=$L$4),ROW(),"-")</f>
        <v>-</v>
      </c>
    </row>
    <row r="49648" customHeight="1" spans="2:2">
      <c r="B49648" s="62" t="str">
        <f>IF(AND('领用录入（明细）'!D:D=$F$4,'领用录入（明细）'!C:C&gt;=$J$4,'领用录入（明细）'!C:C&lt;=$L$4),ROW(),"-")</f>
        <v>-</v>
      </c>
    </row>
    <row r="49649" customHeight="1" spans="2:2">
      <c r="B49649" s="62" t="str">
        <f>IF(AND('领用录入（明细）'!D:D=$F$4,'领用录入（明细）'!C:C&gt;=$J$4,'领用录入（明细）'!C:C&lt;=$L$4),ROW(),"-")</f>
        <v>-</v>
      </c>
    </row>
    <row r="49650" customHeight="1" spans="2:2">
      <c r="B49650" s="62" t="str">
        <f>IF(AND('领用录入（明细）'!D:D=$F$4,'领用录入（明细）'!C:C&gt;=$J$4,'领用录入（明细）'!C:C&lt;=$L$4),ROW(),"-")</f>
        <v>-</v>
      </c>
    </row>
    <row r="49651" customHeight="1" spans="2:2">
      <c r="B49651" s="62" t="str">
        <f>IF(AND('领用录入（明细）'!D:D=$F$4,'领用录入（明细）'!C:C&gt;=$J$4,'领用录入（明细）'!C:C&lt;=$L$4),ROW(),"-")</f>
        <v>-</v>
      </c>
    </row>
    <row r="49652" customHeight="1" spans="2:2">
      <c r="B49652" s="62" t="str">
        <f>IF(AND('领用录入（明细）'!D:D=$F$4,'领用录入（明细）'!C:C&gt;=$J$4,'领用录入（明细）'!C:C&lt;=$L$4),ROW(),"-")</f>
        <v>-</v>
      </c>
    </row>
    <row r="49653" customHeight="1" spans="2:2">
      <c r="B49653" s="62" t="str">
        <f>IF(AND('领用录入（明细）'!D:D=$F$4,'领用录入（明细）'!C:C&gt;=$J$4,'领用录入（明细）'!C:C&lt;=$L$4),ROW(),"-")</f>
        <v>-</v>
      </c>
    </row>
    <row r="49654" customHeight="1" spans="2:2">
      <c r="B49654" s="62" t="str">
        <f>IF(AND('领用录入（明细）'!D:D=$F$4,'领用录入（明细）'!C:C&gt;=$J$4,'领用录入（明细）'!C:C&lt;=$L$4),ROW(),"-")</f>
        <v>-</v>
      </c>
    </row>
    <row r="49655" customHeight="1" spans="2:2">
      <c r="B49655" s="62" t="str">
        <f>IF(AND('领用录入（明细）'!D:D=$F$4,'领用录入（明细）'!C:C&gt;=$J$4,'领用录入（明细）'!C:C&lt;=$L$4),ROW(),"-")</f>
        <v>-</v>
      </c>
    </row>
    <row r="49656" customHeight="1" spans="2:2">
      <c r="B49656" s="62" t="str">
        <f>IF(AND('领用录入（明细）'!D:D=$F$4,'领用录入（明细）'!C:C&gt;=$J$4,'领用录入（明细）'!C:C&lt;=$L$4),ROW(),"-")</f>
        <v>-</v>
      </c>
    </row>
    <row r="49657" customHeight="1" spans="2:2">
      <c r="B49657" s="62" t="str">
        <f>IF(AND('领用录入（明细）'!D:D=$F$4,'领用录入（明细）'!C:C&gt;=$J$4,'领用录入（明细）'!C:C&lt;=$L$4),ROW(),"-")</f>
        <v>-</v>
      </c>
    </row>
    <row r="49658" customHeight="1" spans="2:2">
      <c r="B49658" s="62" t="str">
        <f>IF(AND('领用录入（明细）'!D:D=$F$4,'领用录入（明细）'!C:C&gt;=$J$4,'领用录入（明细）'!C:C&lt;=$L$4),ROW(),"-")</f>
        <v>-</v>
      </c>
    </row>
    <row r="49659" customHeight="1" spans="2:2">
      <c r="B49659" s="62" t="str">
        <f>IF(AND('领用录入（明细）'!D:D=$F$4,'领用录入（明细）'!C:C&gt;=$J$4,'领用录入（明细）'!C:C&lt;=$L$4),ROW(),"-")</f>
        <v>-</v>
      </c>
    </row>
    <row r="49660" customHeight="1" spans="2:2">
      <c r="B49660" s="62" t="str">
        <f>IF(AND('领用录入（明细）'!D:D=$F$4,'领用录入（明细）'!C:C&gt;=$J$4,'领用录入（明细）'!C:C&lt;=$L$4),ROW(),"-")</f>
        <v>-</v>
      </c>
    </row>
    <row r="49661" customHeight="1" spans="2:2">
      <c r="B49661" s="62" t="str">
        <f>IF(AND('领用录入（明细）'!D:D=$F$4,'领用录入（明细）'!C:C&gt;=$J$4,'领用录入（明细）'!C:C&lt;=$L$4),ROW(),"-")</f>
        <v>-</v>
      </c>
    </row>
    <row r="49662" customHeight="1" spans="2:2">
      <c r="B49662" s="62" t="str">
        <f>IF(AND('领用录入（明细）'!D:D=$F$4,'领用录入（明细）'!C:C&gt;=$J$4,'领用录入（明细）'!C:C&lt;=$L$4),ROW(),"-")</f>
        <v>-</v>
      </c>
    </row>
    <row r="49663" customHeight="1" spans="2:2">
      <c r="B49663" s="62" t="str">
        <f>IF(AND('领用录入（明细）'!D:D=$F$4,'领用录入（明细）'!C:C&gt;=$J$4,'领用录入（明细）'!C:C&lt;=$L$4),ROW(),"-")</f>
        <v>-</v>
      </c>
    </row>
    <row r="49664" customHeight="1" spans="2:2">
      <c r="B49664" s="62" t="str">
        <f>IF(AND('领用录入（明细）'!D:D=$F$4,'领用录入（明细）'!C:C&gt;=$J$4,'领用录入（明细）'!C:C&lt;=$L$4),ROW(),"-")</f>
        <v>-</v>
      </c>
    </row>
    <row r="49665" customHeight="1" spans="2:2">
      <c r="B49665" s="62" t="str">
        <f>IF(AND('领用录入（明细）'!D:D=$F$4,'领用录入（明细）'!C:C&gt;=$J$4,'领用录入（明细）'!C:C&lt;=$L$4),ROW(),"-")</f>
        <v>-</v>
      </c>
    </row>
    <row r="49666" customHeight="1" spans="2:2">
      <c r="B49666" s="62" t="str">
        <f>IF(AND('领用录入（明细）'!D:D=$F$4,'领用录入（明细）'!C:C&gt;=$J$4,'领用录入（明细）'!C:C&lt;=$L$4),ROW(),"-")</f>
        <v>-</v>
      </c>
    </row>
    <row r="49667" customHeight="1" spans="2:2">
      <c r="B49667" s="62" t="str">
        <f>IF(AND('领用录入（明细）'!D:D=$F$4,'领用录入（明细）'!C:C&gt;=$J$4,'领用录入（明细）'!C:C&lt;=$L$4),ROW(),"-")</f>
        <v>-</v>
      </c>
    </row>
    <row r="49668" customHeight="1" spans="2:2">
      <c r="B49668" s="62" t="str">
        <f>IF(AND('领用录入（明细）'!D:D=$F$4,'领用录入（明细）'!C:C&gt;=$J$4,'领用录入（明细）'!C:C&lt;=$L$4),ROW(),"-")</f>
        <v>-</v>
      </c>
    </row>
    <row r="49669" customHeight="1" spans="2:2">
      <c r="B49669" s="62" t="str">
        <f>IF(AND('领用录入（明细）'!D:D=$F$4,'领用录入（明细）'!C:C&gt;=$J$4,'领用录入（明细）'!C:C&lt;=$L$4),ROW(),"-")</f>
        <v>-</v>
      </c>
    </row>
    <row r="49670" customHeight="1" spans="2:2">
      <c r="B49670" s="62" t="str">
        <f>IF(AND('领用录入（明细）'!D:D=$F$4,'领用录入（明细）'!C:C&gt;=$J$4,'领用录入（明细）'!C:C&lt;=$L$4),ROW(),"-")</f>
        <v>-</v>
      </c>
    </row>
    <row r="49671" customHeight="1" spans="2:2">
      <c r="B49671" s="62" t="str">
        <f>IF(AND('领用录入（明细）'!D:D=$F$4,'领用录入（明细）'!C:C&gt;=$J$4,'领用录入（明细）'!C:C&lt;=$L$4),ROW(),"-")</f>
        <v>-</v>
      </c>
    </row>
    <row r="49672" customHeight="1" spans="2:2">
      <c r="B49672" s="62" t="str">
        <f>IF(AND('领用录入（明细）'!D:D=$F$4,'领用录入（明细）'!C:C&gt;=$J$4,'领用录入（明细）'!C:C&lt;=$L$4),ROW(),"-")</f>
        <v>-</v>
      </c>
    </row>
    <row r="49673" customHeight="1" spans="2:2">
      <c r="B49673" s="62" t="str">
        <f>IF(AND('领用录入（明细）'!D:D=$F$4,'领用录入（明细）'!C:C&gt;=$J$4,'领用录入（明细）'!C:C&lt;=$L$4),ROW(),"-")</f>
        <v>-</v>
      </c>
    </row>
    <row r="49674" customHeight="1" spans="2:2">
      <c r="B49674" s="62" t="str">
        <f>IF(AND('领用录入（明细）'!D:D=$F$4,'领用录入（明细）'!C:C&gt;=$J$4,'领用录入（明细）'!C:C&lt;=$L$4),ROW(),"-")</f>
        <v>-</v>
      </c>
    </row>
    <row r="49675" customHeight="1" spans="2:2">
      <c r="B49675" s="62" t="str">
        <f>IF(AND('领用录入（明细）'!D:D=$F$4,'领用录入（明细）'!C:C&gt;=$J$4,'领用录入（明细）'!C:C&lt;=$L$4),ROW(),"-")</f>
        <v>-</v>
      </c>
    </row>
    <row r="49676" customHeight="1" spans="2:2">
      <c r="B49676" s="62" t="str">
        <f>IF(AND('领用录入（明细）'!D:D=$F$4,'领用录入（明细）'!C:C&gt;=$J$4,'领用录入（明细）'!C:C&lt;=$L$4),ROW(),"-")</f>
        <v>-</v>
      </c>
    </row>
    <row r="49677" customHeight="1" spans="2:2">
      <c r="B49677" s="62" t="str">
        <f>IF(AND('领用录入（明细）'!D:D=$F$4,'领用录入（明细）'!C:C&gt;=$J$4,'领用录入（明细）'!C:C&lt;=$L$4),ROW(),"-")</f>
        <v>-</v>
      </c>
    </row>
    <row r="49678" customHeight="1" spans="2:2">
      <c r="B49678" s="62" t="str">
        <f>IF(AND('领用录入（明细）'!D:D=$F$4,'领用录入（明细）'!C:C&gt;=$J$4,'领用录入（明细）'!C:C&lt;=$L$4),ROW(),"-")</f>
        <v>-</v>
      </c>
    </row>
    <row r="49679" customHeight="1" spans="2:2">
      <c r="B49679" s="62" t="str">
        <f>IF(AND('领用录入（明细）'!D:D=$F$4,'领用录入（明细）'!C:C&gt;=$J$4,'领用录入（明细）'!C:C&lt;=$L$4),ROW(),"-")</f>
        <v>-</v>
      </c>
    </row>
    <row r="49680" customHeight="1" spans="2:2">
      <c r="B49680" s="62" t="str">
        <f>IF(AND('领用录入（明细）'!D:D=$F$4,'领用录入（明细）'!C:C&gt;=$J$4,'领用录入（明细）'!C:C&lt;=$L$4),ROW(),"-")</f>
        <v>-</v>
      </c>
    </row>
    <row r="49681" customHeight="1" spans="2:2">
      <c r="B49681" s="62" t="str">
        <f>IF(AND('领用录入（明细）'!D:D=$F$4,'领用录入（明细）'!C:C&gt;=$J$4,'领用录入（明细）'!C:C&lt;=$L$4),ROW(),"-")</f>
        <v>-</v>
      </c>
    </row>
    <row r="49682" customHeight="1" spans="2:2">
      <c r="B49682" s="62" t="str">
        <f>IF(AND('领用录入（明细）'!D:D=$F$4,'领用录入（明细）'!C:C&gt;=$J$4,'领用录入（明细）'!C:C&lt;=$L$4),ROW(),"-")</f>
        <v>-</v>
      </c>
    </row>
    <row r="49683" customHeight="1" spans="2:2">
      <c r="B49683" s="62" t="str">
        <f>IF(AND('领用录入（明细）'!D:D=$F$4,'领用录入（明细）'!C:C&gt;=$J$4,'领用录入（明细）'!C:C&lt;=$L$4),ROW(),"-")</f>
        <v>-</v>
      </c>
    </row>
    <row r="49684" customHeight="1" spans="2:2">
      <c r="B49684" s="62" t="str">
        <f>IF(AND('领用录入（明细）'!D:D=$F$4,'领用录入（明细）'!C:C&gt;=$J$4,'领用录入（明细）'!C:C&lt;=$L$4),ROW(),"-")</f>
        <v>-</v>
      </c>
    </row>
    <row r="49685" customHeight="1" spans="2:2">
      <c r="B49685" s="62" t="str">
        <f>IF(AND('领用录入（明细）'!D:D=$F$4,'领用录入（明细）'!C:C&gt;=$J$4,'领用录入（明细）'!C:C&lt;=$L$4),ROW(),"-")</f>
        <v>-</v>
      </c>
    </row>
    <row r="49686" customHeight="1" spans="2:2">
      <c r="B49686" s="62" t="str">
        <f>IF(AND('领用录入（明细）'!D:D=$F$4,'领用录入（明细）'!C:C&gt;=$J$4,'领用录入（明细）'!C:C&lt;=$L$4),ROW(),"-")</f>
        <v>-</v>
      </c>
    </row>
    <row r="49687" customHeight="1" spans="2:2">
      <c r="B49687" s="62" t="str">
        <f>IF(AND('领用录入（明细）'!D:D=$F$4,'领用录入（明细）'!C:C&gt;=$J$4,'领用录入（明细）'!C:C&lt;=$L$4),ROW(),"-")</f>
        <v>-</v>
      </c>
    </row>
    <row r="49688" customHeight="1" spans="2:2">
      <c r="B49688" s="62" t="str">
        <f>IF(AND('领用录入（明细）'!D:D=$F$4,'领用录入（明细）'!C:C&gt;=$J$4,'领用录入（明细）'!C:C&lt;=$L$4),ROW(),"-")</f>
        <v>-</v>
      </c>
    </row>
    <row r="49689" customHeight="1" spans="2:2">
      <c r="B49689" s="62" t="str">
        <f>IF(AND('领用录入（明细）'!D:D=$F$4,'领用录入（明细）'!C:C&gt;=$J$4,'领用录入（明细）'!C:C&lt;=$L$4),ROW(),"-")</f>
        <v>-</v>
      </c>
    </row>
    <row r="49690" customHeight="1" spans="2:2">
      <c r="B49690" s="62" t="str">
        <f>IF(AND('领用录入（明细）'!D:D=$F$4,'领用录入（明细）'!C:C&gt;=$J$4,'领用录入（明细）'!C:C&lt;=$L$4),ROW(),"-")</f>
        <v>-</v>
      </c>
    </row>
    <row r="49691" customHeight="1" spans="2:2">
      <c r="B49691" s="62" t="str">
        <f>IF(AND('领用录入（明细）'!D:D=$F$4,'领用录入（明细）'!C:C&gt;=$J$4,'领用录入（明细）'!C:C&lt;=$L$4),ROW(),"-")</f>
        <v>-</v>
      </c>
    </row>
    <row r="49692" customHeight="1" spans="2:2">
      <c r="B49692" s="62" t="str">
        <f>IF(AND('领用录入（明细）'!D:D=$F$4,'领用录入（明细）'!C:C&gt;=$J$4,'领用录入（明细）'!C:C&lt;=$L$4),ROW(),"-")</f>
        <v>-</v>
      </c>
    </row>
    <row r="49693" customHeight="1" spans="2:2">
      <c r="B49693" s="62" t="str">
        <f>IF(AND('领用录入（明细）'!D:D=$F$4,'领用录入（明细）'!C:C&gt;=$J$4,'领用录入（明细）'!C:C&lt;=$L$4),ROW(),"-")</f>
        <v>-</v>
      </c>
    </row>
    <row r="49694" customHeight="1" spans="2:2">
      <c r="B49694" s="62" t="str">
        <f>IF(AND('领用录入（明细）'!D:D=$F$4,'领用录入（明细）'!C:C&gt;=$J$4,'领用录入（明细）'!C:C&lt;=$L$4),ROW(),"-")</f>
        <v>-</v>
      </c>
    </row>
    <row r="49695" customHeight="1" spans="2:2">
      <c r="B49695" s="62" t="str">
        <f>IF(AND('领用录入（明细）'!D:D=$F$4,'领用录入（明细）'!C:C&gt;=$J$4,'领用录入（明细）'!C:C&lt;=$L$4),ROW(),"-")</f>
        <v>-</v>
      </c>
    </row>
    <row r="49696" customHeight="1" spans="2:2">
      <c r="B49696" s="62" t="str">
        <f>IF(AND('领用录入（明细）'!D:D=$F$4,'领用录入（明细）'!C:C&gt;=$J$4,'领用录入（明细）'!C:C&lt;=$L$4),ROW(),"-")</f>
        <v>-</v>
      </c>
    </row>
    <row r="49697" customHeight="1" spans="2:2">
      <c r="B49697" s="62" t="str">
        <f>IF(AND('领用录入（明细）'!D:D=$F$4,'领用录入（明细）'!C:C&gt;=$J$4,'领用录入（明细）'!C:C&lt;=$L$4),ROW(),"-")</f>
        <v>-</v>
      </c>
    </row>
    <row r="49698" customHeight="1" spans="2:2">
      <c r="B49698" s="62" t="str">
        <f>IF(AND('领用录入（明细）'!D:D=$F$4,'领用录入（明细）'!C:C&gt;=$J$4,'领用录入（明细）'!C:C&lt;=$L$4),ROW(),"-")</f>
        <v>-</v>
      </c>
    </row>
    <row r="49699" customHeight="1" spans="2:2">
      <c r="B49699" s="62" t="str">
        <f>IF(AND('领用录入（明细）'!D:D=$F$4,'领用录入（明细）'!C:C&gt;=$J$4,'领用录入（明细）'!C:C&lt;=$L$4),ROW(),"-")</f>
        <v>-</v>
      </c>
    </row>
    <row r="49700" customHeight="1" spans="2:2">
      <c r="B49700" s="62" t="str">
        <f>IF(AND('领用录入（明细）'!D:D=$F$4,'领用录入（明细）'!C:C&gt;=$J$4,'领用录入（明细）'!C:C&lt;=$L$4),ROW(),"-")</f>
        <v>-</v>
      </c>
    </row>
    <row r="49701" customHeight="1" spans="2:2">
      <c r="B49701" s="62" t="str">
        <f>IF(AND('领用录入（明细）'!D:D=$F$4,'领用录入（明细）'!C:C&gt;=$J$4,'领用录入（明细）'!C:C&lt;=$L$4),ROW(),"-")</f>
        <v>-</v>
      </c>
    </row>
    <row r="49702" customHeight="1" spans="2:2">
      <c r="B49702" s="62" t="str">
        <f>IF(AND('领用录入（明细）'!D:D=$F$4,'领用录入（明细）'!C:C&gt;=$J$4,'领用录入（明细）'!C:C&lt;=$L$4),ROW(),"-")</f>
        <v>-</v>
      </c>
    </row>
    <row r="49703" customHeight="1" spans="2:2">
      <c r="B49703" s="62" t="str">
        <f>IF(AND('领用录入（明细）'!D:D=$F$4,'领用录入（明细）'!C:C&gt;=$J$4,'领用录入（明细）'!C:C&lt;=$L$4),ROW(),"-")</f>
        <v>-</v>
      </c>
    </row>
    <row r="49704" customHeight="1" spans="2:2">
      <c r="B49704" s="62" t="str">
        <f>IF(AND('领用录入（明细）'!D:D=$F$4,'领用录入（明细）'!C:C&gt;=$J$4,'领用录入（明细）'!C:C&lt;=$L$4),ROW(),"-")</f>
        <v>-</v>
      </c>
    </row>
    <row r="49705" customHeight="1" spans="2:2">
      <c r="B49705" s="62" t="str">
        <f>IF(AND('领用录入（明细）'!D:D=$F$4,'领用录入（明细）'!C:C&gt;=$J$4,'领用录入（明细）'!C:C&lt;=$L$4),ROW(),"-")</f>
        <v>-</v>
      </c>
    </row>
    <row r="49706" customHeight="1" spans="2:2">
      <c r="B49706" s="62" t="str">
        <f>IF(AND('领用录入（明细）'!D:D=$F$4,'领用录入（明细）'!C:C&gt;=$J$4,'领用录入（明细）'!C:C&lt;=$L$4),ROW(),"-")</f>
        <v>-</v>
      </c>
    </row>
    <row r="49707" customHeight="1" spans="2:2">
      <c r="B49707" s="62" t="str">
        <f>IF(AND('领用录入（明细）'!D:D=$F$4,'领用录入（明细）'!C:C&gt;=$J$4,'领用录入（明细）'!C:C&lt;=$L$4),ROW(),"-")</f>
        <v>-</v>
      </c>
    </row>
    <row r="49708" customHeight="1" spans="2:2">
      <c r="B49708" s="62" t="str">
        <f>IF(AND('领用录入（明细）'!D:D=$F$4,'领用录入（明细）'!C:C&gt;=$J$4,'领用录入（明细）'!C:C&lt;=$L$4),ROW(),"-")</f>
        <v>-</v>
      </c>
    </row>
    <row r="49709" customHeight="1" spans="2:2">
      <c r="B49709" s="62" t="str">
        <f>IF(AND('领用录入（明细）'!D:D=$F$4,'领用录入（明细）'!C:C&gt;=$J$4,'领用录入（明细）'!C:C&lt;=$L$4),ROW(),"-")</f>
        <v>-</v>
      </c>
    </row>
    <row r="49710" customHeight="1" spans="2:2">
      <c r="B49710" s="62" t="str">
        <f>IF(AND('领用录入（明细）'!D:D=$F$4,'领用录入（明细）'!C:C&gt;=$J$4,'领用录入（明细）'!C:C&lt;=$L$4),ROW(),"-")</f>
        <v>-</v>
      </c>
    </row>
    <row r="49711" customHeight="1" spans="2:2">
      <c r="B49711" s="62" t="str">
        <f>IF(AND('领用录入（明细）'!D:D=$F$4,'领用录入（明细）'!C:C&gt;=$J$4,'领用录入（明细）'!C:C&lt;=$L$4),ROW(),"-")</f>
        <v>-</v>
      </c>
    </row>
    <row r="49712" customHeight="1" spans="2:2">
      <c r="B49712" s="62" t="str">
        <f>IF(AND('领用录入（明细）'!D:D=$F$4,'领用录入（明细）'!C:C&gt;=$J$4,'领用录入（明细）'!C:C&lt;=$L$4),ROW(),"-")</f>
        <v>-</v>
      </c>
    </row>
    <row r="49713" customHeight="1" spans="2:2">
      <c r="B49713" s="62" t="str">
        <f>IF(AND('领用录入（明细）'!D:D=$F$4,'领用录入（明细）'!C:C&gt;=$J$4,'领用录入（明细）'!C:C&lt;=$L$4),ROW(),"-")</f>
        <v>-</v>
      </c>
    </row>
    <row r="49714" customHeight="1" spans="2:2">
      <c r="B49714" s="62" t="str">
        <f>IF(AND('领用录入（明细）'!D:D=$F$4,'领用录入（明细）'!C:C&gt;=$J$4,'领用录入（明细）'!C:C&lt;=$L$4),ROW(),"-")</f>
        <v>-</v>
      </c>
    </row>
    <row r="49715" customHeight="1" spans="2:2">
      <c r="B49715" s="62" t="str">
        <f>IF(AND('领用录入（明细）'!D:D=$F$4,'领用录入（明细）'!C:C&gt;=$J$4,'领用录入（明细）'!C:C&lt;=$L$4),ROW(),"-")</f>
        <v>-</v>
      </c>
    </row>
    <row r="49716" customHeight="1" spans="2:2">
      <c r="B49716" s="62" t="str">
        <f>IF(AND('领用录入（明细）'!D:D=$F$4,'领用录入（明细）'!C:C&gt;=$J$4,'领用录入（明细）'!C:C&lt;=$L$4),ROW(),"-")</f>
        <v>-</v>
      </c>
    </row>
    <row r="49717" customHeight="1" spans="2:2">
      <c r="B49717" s="62" t="str">
        <f>IF(AND('领用录入（明细）'!D:D=$F$4,'领用录入（明细）'!C:C&gt;=$J$4,'领用录入（明细）'!C:C&lt;=$L$4),ROW(),"-")</f>
        <v>-</v>
      </c>
    </row>
    <row r="49718" customHeight="1" spans="2:2">
      <c r="B49718" s="62" t="str">
        <f>IF(AND('领用录入（明细）'!D:D=$F$4,'领用录入（明细）'!C:C&gt;=$J$4,'领用录入（明细）'!C:C&lt;=$L$4),ROW(),"-")</f>
        <v>-</v>
      </c>
    </row>
    <row r="49719" customHeight="1" spans="2:2">
      <c r="B49719" s="62" t="str">
        <f>IF(AND('领用录入（明细）'!D:D=$F$4,'领用录入（明细）'!C:C&gt;=$J$4,'领用录入（明细）'!C:C&lt;=$L$4),ROW(),"-")</f>
        <v>-</v>
      </c>
    </row>
    <row r="49720" customHeight="1" spans="2:2">
      <c r="B49720" s="62" t="str">
        <f>IF(AND('领用录入（明细）'!D:D=$F$4,'领用录入（明细）'!C:C&gt;=$J$4,'领用录入（明细）'!C:C&lt;=$L$4),ROW(),"-")</f>
        <v>-</v>
      </c>
    </row>
    <row r="49721" customHeight="1" spans="2:2">
      <c r="B49721" s="62" t="str">
        <f>IF(AND('领用录入（明细）'!D:D=$F$4,'领用录入（明细）'!C:C&gt;=$J$4,'领用录入（明细）'!C:C&lt;=$L$4),ROW(),"-")</f>
        <v>-</v>
      </c>
    </row>
    <row r="49722" customHeight="1" spans="2:2">
      <c r="B49722" s="62" t="str">
        <f>IF(AND('领用录入（明细）'!D:D=$F$4,'领用录入（明细）'!C:C&gt;=$J$4,'领用录入（明细）'!C:C&lt;=$L$4),ROW(),"-")</f>
        <v>-</v>
      </c>
    </row>
    <row r="49723" customHeight="1" spans="2:2">
      <c r="B49723" s="62" t="str">
        <f>IF(AND('领用录入（明细）'!D:D=$F$4,'领用录入（明细）'!C:C&gt;=$J$4,'领用录入（明细）'!C:C&lt;=$L$4),ROW(),"-")</f>
        <v>-</v>
      </c>
    </row>
    <row r="49724" customHeight="1" spans="2:2">
      <c r="B49724" s="62" t="str">
        <f>IF(AND('领用录入（明细）'!D:D=$F$4,'领用录入（明细）'!C:C&gt;=$J$4,'领用录入（明细）'!C:C&lt;=$L$4),ROW(),"-")</f>
        <v>-</v>
      </c>
    </row>
    <row r="49725" customHeight="1" spans="2:2">
      <c r="B49725" s="62" t="str">
        <f>IF(AND('领用录入（明细）'!D:D=$F$4,'领用录入（明细）'!C:C&gt;=$J$4,'领用录入（明细）'!C:C&lt;=$L$4),ROW(),"-")</f>
        <v>-</v>
      </c>
    </row>
    <row r="49726" customHeight="1" spans="2:2">
      <c r="B49726" s="62" t="str">
        <f>IF(AND('领用录入（明细）'!D:D=$F$4,'领用录入（明细）'!C:C&gt;=$J$4,'领用录入（明细）'!C:C&lt;=$L$4),ROW(),"-")</f>
        <v>-</v>
      </c>
    </row>
    <row r="49727" customHeight="1" spans="2:2">
      <c r="B49727" s="62" t="str">
        <f>IF(AND('领用录入（明细）'!D:D=$F$4,'领用录入（明细）'!C:C&gt;=$J$4,'领用录入（明细）'!C:C&lt;=$L$4),ROW(),"-")</f>
        <v>-</v>
      </c>
    </row>
    <row r="49728" customHeight="1" spans="2:2">
      <c r="B49728" s="62" t="str">
        <f>IF(AND('领用录入（明细）'!D:D=$F$4,'领用录入（明细）'!C:C&gt;=$J$4,'领用录入（明细）'!C:C&lt;=$L$4),ROW(),"-")</f>
        <v>-</v>
      </c>
    </row>
    <row r="49729" customHeight="1" spans="2:2">
      <c r="B49729" s="62" t="str">
        <f>IF(AND('领用录入（明细）'!D:D=$F$4,'领用录入（明细）'!C:C&gt;=$J$4,'领用录入（明细）'!C:C&lt;=$L$4),ROW(),"-")</f>
        <v>-</v>
      </c>
    </row>
    <row r="49730" customHeight="1" spans="2:2">
      <c r="B49730" s="62" t="str">
        <f>IF(AND('领用录入（明细）'!D:D=$F$4,'领用录入（明细）'!C:C&gt;=$J$4,'领用录入（明细）'!C:C&lt;=$L$4),ROW(),"-")</f>
        <v>-</v>
      </c>
    </row>
    <row r="49731" customHeight="1" spans="2:2">
      <c r="B49731" s="62" t="str">
        <f>IF(AND('领用录入（明细）'!D:D=$F$4,'领用录入（明细）'!C:C&gt;=$J$4,'领用录入（明细）'!C:C&lt;=$L$4),ROW(),"-")</f>
        <v>-</v>
      </c>
    </row>
    <row r="49732" customHeight="1" spans="2:2">
      <c r="B49732" s="62" t="str">
        <f>IF(AND('领用录入（明细）'!D:D=$F$4,'领用录入（明细）'!C:C&gt;=$J$4,'领用录入（明细）'!C:C&lt;=$L$4),ROW(),"-")</f>
        <v>-</v>
      </c>
    </row>
    <row r="49733" customHeight="1" spans="2:2">
      <c r="B49733" s="62" t="str">
        <f>IF(AND('领用录入（明细）'!D:D=$F$4,'领用录入（明细）'!C:C&gt;=$J$4,'领用录入（明细）'!C:C&lt;=$L$4),ROW(),"-")</f>
        <v>-</v>
      </c>
    </row>
    <row r="49734" customHeight="1" spans="2:2">
      <c r="B49734" s="62" t="str">
        <f>IF(AND('领用录入（明细）'!D:D=$F$4,'领用录入（明细）'!C:C&gt;=$J$4,'领用录入（明细）'!C:C&lt;=$L$4),ROW(),"-")</f>
        <v>-</v>
      </c>
    </row>
    <row r="49735" customHeight="1" spans="2:2">
      <c r="B49735" s="62" t="str">
        <f>IF(AND('领用录入（明细）'!D:D=$F$4,'领用录入（明细）'!C:C&gt;=$J$4,'领用录入（明细）'!C:C&lt;=$L$4),ROW(),"-")</f>
        <v>-</v>
      </c>
    </row>
    <row r="49736" customHeight="1" spans="2:2">
      <c r="B49736" s="62" t="str">
        <f>IF(AND('领用录入（明细）'!D:D=$F$4,'领用录入（明细）'!C:C&gt;=$J$4,'领用录入（明细）'!C:C&lt;=$L$4),ROW(),"-")</f>
        <v>-</v>
      </c>
    </row>
    <row r="49737" customHeight="1" spans="2:2">
      <c r="B49737" s="62" t="str">
        <f>IF(AND('领用录入（明细）'!D:D=$F$4,'领用录入（明细）'!C:C&gt;=$J$4,'领用录入（明细）'!C:C&lt;=$L$4),ROW(),"-")</f>
        <v>-</v>
      </c>
    </row>
    <row r="49738" customHeight="1" spans="2:2">
      <c r="B49738" s="62" t="str">
        <f>IF(AND('领用录入（明细）'!D:D=$F$4,'领用录入（明细）'!C:C&gt;=$J$4,'领用录入（明细）'!C:C&lt;=$L$4),ROW(),"-")</f>
        <v>-</v>
      </c>
    </row>
    <row r="49739" customHeight="1" spans="2:2">
      <c r="B49739" s="62" t="str">
        <f>IF(AND('领用录入（明细）'!D:D=$F$4,'领用录入（明细）'!C:C&gt;=$J$4,'领用录入（明细）'!C:C&lt;=$L$4),ROW(),"-")</f>
        <v>-</v>
      </c>
    </row>
    <row r="49740" customHeight="1" spans="2:2">
      <c r="B49740" s="62" t="str">
        <f>IF(AND('领用录入（明细）'!D:D=$F$4,'领用录入（明细）'!C:C&gt;=$J$4,'领用录入（明细）'!C:C&lt;=$L$4),ROW(),"-")</f>
        <v>-</v>
      </c>
    </row>
    <row r="49741" customHeight="1" spans="2:2">
      <c r="B49741" s="62" t="str">
        <f>IF(AND('领用录入（明细）'!D:D=$F$4,'领用录入（明细）'!C:C&gt;=$J$4,'领用录入（明细）'!C:C&lt;=$L$4),ROW(),"-")</f>
        <v>-</v>
      </c>
    </row>
    <row r="49742" customHeight="1" spans="2:2">
      <c r="B49742" s="62" t="str">
        <f>IF(AND('领用录入（明细）'!D:D=$F$4,'领用录入（明细）'!C:C&gt;=$J$4,'领用录入（明细）'!C:C&lt;=$L$4),ROW(),"-")</f>
        <v>-</v>
      </c>
    </row>
    <row r="49743" customHeight="1" spans="2:2">
      <c r="B49743" s="62" t="str">
        <f>IF(AND('领用录入（明细）'!D:D=$F$4,'领用录入（明细）'!C:C&gt;=$J$4,'领用录入（明细）'!C:C&lt;=$L$4),ROW(),"-")</f>
        <v>-</v>
      </c>
    </row>
    <row r="49744" customHeight="1" spans="2:2">
      <c r="B49744" s="62" t="str">
        <f>IF(AND('领用录入（明细）'!D:D=$F$4,'领用录入（明细）'!C:C&gt;=$J$4,'领用录入（明细）'!C:C&lt;=$L$4),ROW(),"-")</f>
        <v>-</v>
      </c>
    </row>
    <row r="49745" customHeight="1" spans="2:2">
      <c r="B49745" s="62" t="str">
        <f>IF(AND('领用录入（明细）'!D:D=$F$4,'领用录入（明细）'!C:C&gt;=$J$4,'领用录入（明细）'!C:C&lt;=$L$4),ROW(),"-")</f>
        <v>-</v>
      </c>
    </row>
    <row r="49746" customHeight="1" spans="2:2">
      <c r="B49746" s="62" t="str">
        <f>IF(AND('领用录入（明细）'!D:D=$F$4,'领用录入（明细）'!C:C&gt;=$J$4,'领用录入（明细）'!C:C&lt;=$L$4),ROW(),"-")</f>
        <v>-</v>
      </c>
    </row>
    <row r="49747" customHeight="1" spans="2:2">
      <c r="B49747" s="62" t="str">
        <f>IF(AND('领用录入（明细）'!D:D=$F$4,'领用录入（明细）'!C:C&gt;=$J$4,'领用录入（明细）'!C:C&lt;=$L$4),ROW(),"-")</f>
        <v>-</v>
      </c>
    </row>
    <row r="49748" customHeight="1" spans="2:2">
      <c r="B49748" s="62" t="str">
        <f>IF(AND('领用录入（明细）'!D:D=$F$4,'领用录入（明细）'!C:C&gt;=$J$4,'领用录入（明细）'!C:C&lt;=$L$4),ROW(),"-")</f>
        <v>-</v>
      </c>
    </row>
    <row r="49749" customHeight="1" spans="2:2">
      <c r="B49749" s="62" t="str">
        <f>IF(AND('领用录入（明细）'!D:D=$F$4,'领用录入（明细）'!C:C&gt;=$J$4,'领用录入（明细）'!C:C&lt;=$L$4),ROW(),"-")</f>
        <v>-</v>
      </c>
    </row>
    <row r="49750" customHeight="1" spans="2:2">
      <c r="B49750" s="62" t="str">
        <f>IF(AND('领用录入（明细）'!D:D=$F$4,'领用录入（明细）'!C:C&gt;=$J$4,'领用录入（明细）'!C:C&lt;=$L$4),ROW(),"-")</f>
        <v>-</v>
      </c>
    </row>
    <row r="49751" customHeight="1" spans="2:2">
      <c r="B49751" s="62" t="str">
        <f>IF(AND('领用录入（明细）'!D:D=$F$4,'领用录入（明细）'!C:C&gt;=$J$4,'领用录入（明细）'!C:C&lt;=$L$4),ROW(),"-")</f>
        <v>-</v>
      </c>
    </row>
    <row r="49752" customHeight="1" spans="2:2">
      <c r="B49752" s="62" t="str">
        <f>IF(AND('领用录入（明细）'!D:D=$F$4,'领用录入（明细）'!C:C&gt;=$J$4,'领用录入（明细）'!C:C&lt;=$L$4),ROW(),"-")</f>
        <v>-</v>
      </c>
    </row>
    <row r="49753" customHeight="1" spans="2:2">
      <c r="B49753" s="62" t="str">
        <f>IF(AND('领用录入（明细）'!D:D=$F$4,'领用录入（明细）'!C:C&gt;=$J$4,'领用录入（明细）'!C:C&lt;=$L$4),ROW(),"-")</f>
        <v>-</v>
      </c>
    </row>
    <row r="49754" customHeight="1" spans="2:2">
      <c r="B49754" s="62" t="str">
        <f>IF(AND('领用录入（明细）'!D:D=$F$4,'领用录入（明细）'!C:C&gt;=$J$4,'领用录入（明细）'!C:C&lt;=$L$4),ROW(),"-")</f>
        <v>-</v>
      </c>
    </row>
    <row r="49755" customHeight="1" spans="2:2">
      <c r="B49755" s="62" t="str">
        <f>IF(AND('领用录入（明细）'!D:D=$F$4,'领用录入（明细）'!C:C&gt;=$J$4,'领用录入（明细）'!C:C&lt;=$L$4),ROW(),"-")</f>
        <v>-</v>
      </c>
    </row>
    <row r="49756" customHeight="1" spans="2:2">
      <c r="B49756" s="62" t="str">
        <f>IF(AND('领用录入（明细）'!D:D=$F$4,'领用录入（明细）'!C:C&gt;=$J$4,'领用录入（明细）'!C:C&lt;=$L$4),ROW(),"-")</f>
        <v>-</v>
      </c>
    </row>
    <row r="49757" customHeight="1" spans="2:2">
      <c r="B49757" s="62" t="str">
        <f>IF(AND('领用录入（明细）'!D:D=$F$4,'领用录入（明细）'!C:C&gt;=$J$4,'领用录入（明细）'!C:C&lt;=$L$4),ROW(),"-")</f>
        <v>-</v>
      </c>
    </row>
    <row r="49758" customHeight="1" spans="2:2">
      <c r="B49758" s="62" t="str">
        <f>IF(AND('领用录入（明细）'!D:D=$F$4,'领用录入（明细）'!C:C&gt;=$J$4,'领用录入（明细）'!C:C&lt;=$L$4),ROW(),"-")</f>
        <v>-</v>
      </c>
    </row>
    <row r="49759" customHeight="1" spans="2:2">
      <c r="B49759" s="62" t="str">
        <f>IF(AND('领用录入（明细）'!D:D=$F$4,'领用录入（明细）'!C:C&gt;=$J$4,'领用录入（明细）'!C:C&lt;=$L$4),ROW(),"-")</f>
        <v>-</v>
      </c>
    </row>
    <row r="49760" customHeight="1" spans="2:2">
      <c r="B49760" s="62" t="str">
        <f>IF(AND('领用录入（明细）'!D:D=$F$4,'领用录入（明细）'!C:C&gt;=$J$4,'领用录入（明细）'!C:C&lt;=$L$4),ROW(),"-")</f>
        <v>-</v>
      </c>
    </row>
    <row r="49761" customHeight="1" spans="2:2">
      <c r="B49761" s="62" t="str">
        <f>IF(AND('领用录入（明细）'!D:D=$F$4,'领用录入（明细）'!C:C&gt;=$J$4,'领用录入（明细）'!C:C&lt;=$L$4),ROW(),"-")</f>
        <v>-</v>
      </c>
    </row>
    <row r="49762" customHeight="1" spans="2:2">
      <c r="B49762" s="62" t="str">
        <f>IF(AND('领用录入（明细）'!D:D=$F$4,'领用录入（明细）'!C:C&gt;=$J$4,'领用录入（明细）'!C:C&lt;=$L$4),ROW(),"-")</f>
        <v>-</v>
      </c>
    </row>
    <row r="49763" customHeight="1" spans="2:2">
      <c r="B49763" s="62" t="str">
        <f>IF(AND('领用录入（明细）'!D:D=$F$4,'领用录入（明细）'!C:C&gt;=$J$4,'领用录入（明细）'!C:C&lt;=$L$4),ROW(),"-")</f>
        <v>-</v>
      </c>
    </row>
    <row r="49764" customHeight="1" spans="2:2">
      <c r="B49764" s="62" t="str">
        <f>IF(AND('领用录入（明细）'!D:D=$F$4,'领用录入（明细）'!C:C&gt;=$J$4,'领用录入（明细）'!C:C&lt;=$L$4),ROW(),"-")</f>
        <v>-</v>
      </c>
    </row>
    <row r="49765" customHeight="1" spans="2:2">
      <c r="B49765" s="62" t="str">
        <f>IF(AND('领用录入（明细）'!D:D=$F$4,'领用录入（明细）'!C:C&gt;=$J$4,'领用录入（明细）'!C:C&lt;=$L$4),ROW(),"-")</f>
        <v>-</v>
      </c>
    </row>
    <row r="49766" customHeight="1" spans="2:2">
      <c r="B49766" s="62" t="str">
        <f>IF(AND('领用录入（明细）'!D:D=$F$4,'领用录入（明细）'!C:C&gt;=$J$4,'领用录入（明细）'!C:C&lt;=$L$4),ROW(),"-")</f>
        <v>-</v>
      </c>
    </row>
    <row r="49767" customHeight="1" spans="2:2">
      <c r="B49767" s="62" t="str">
        <f>IF(AND('领用录入（明细）'!D:D=$F$4,'领用录入（明细）'!C:C&gt;=$J$4,'领用录入（明细）'!C:C&lt;=$L$4),ROW(),"-")</f>
        <v>-</v>
      </c>
    </row>
    <row r="49768" customHeight="1" spans="2:2">
      <c r="B49768" s="62" t="str">
        <f>IF(AND('领用录入（明细）'!D:D=$F$4,'领用录入（明细）'!C:C&gt;=$J$4,'领用录入（明细）'!C:C&lt;=$L$4),ROW(),"-")</f>
        <v>-</v>
      </c>
    </row>
    <row r="49769" customHeight="1" spans="2:2">
      <c r="B49769" s="62" t="str">
        <f>IF(AND('领用录入（明细）'!D:D=$F$4,'领用录入（明细）'!C:C&gt;=$J$4,'领用录入（明细）'!C:C&lt;=$L$4),ROW(),"-")</f>
        <v>-</v>
      </c>
    </row>
    <row r="49770" customHeight="1" spans="2:2">
      <c r="B49770" s="62" t="str">
        <f>IF(AND('领用录入（明细）'!D:D=$F$4,'领用录入（明细）'!C:C&gt;=$J$4,'领用录入（明细）'!C:C&lt;=$L$4),ROW(),"-")</f>
        <v>-</v>
      </c>
    </row>
    <row r="49771" customHeight="1" spans="2:2">
      <c r="B49771" s="62" t="str">
        <f>IF(AND('领用录入（明细）'!D:D=$F$4,'领用录入（明细）'!C:C&gt;=$J$4,'领用录入（明细）'!C:C&lt;=$L$4),ROW(),"-")</f>
        <v>-</v>
      </c>
    </row>
    <row r="49772" customHeight="1" spans="2:2">
      <c r="B49772" s="62" t="str">
        <f>IF(AND('领用录入（明细）'!D:D=$F$4,'领用录入（明细）'!C:C&gt;=$J$4,'领用录入（明细）'!C:C&lt;=$L$4),ROW(),"-")</f>
        <v>-</v>
      </c>
    </row>
    <row r="49773" customHeight="1" spans="2:2">
      <c r="B49773" s="62" t="str">
        <f>IF(AND('领用录入（明细）'!D:D=$F$4,'领用录入（明细）'!C:C&gt;=$J$4,'领用录入（明细）'!C:C&lt;=$L$4),ROW(),"-")</f>
        <v>-</v>
      </c>
    </row>
    <row r="49774" customHeight="1" spans="2:2">
      <c r="B49774" s="62" t="str">
        <f>IF(AND('领用录入（明细）'!D:D=$F$4,'领用录入（明细）'!C:C&gt;=$J$4,'领用录入（明细）'!C:C&lt;=$L$4),ROW(),"-")</f>
        <v>-</v>
      </c>
    </row>
    <row r="49775" customHeight="1" spans="2:2">
      <c r="B49775" s="62" t="str">
        <f>IF(AND('领用录入（明细）'!D:D=$F$4,'领用录入（明细）'!C:C&gt;=$J$4,'领用录入（明细）'!C:C&lt;=$L$4),ROW(),"-")</f>
        <v>-</v>
      </c>
    </row>
    <row r="49776" customHeight="1" spans="2:2">
      <c r="B49776" s="62" t="str">
        <f>IF(AND('领用录入（明细）'!D:D=$F$4,'领用录入（明细）'!C:C&gt;=$J$4,'领用录入（明细）'!C:C&lt;=$L$4),ROW(),"-")</f>
        <v>-</v>
      </c>
    </row>
    <row r="49777" customHeight="1" spans="2:2">
      <c r="B49777" s="62" t="str">
        <f>IF(AND('领用录入（明细）'!D:D=$F$4,'领用录入（明细）'!C:C&gt;=$J$4,'领用录入（明细）'!C:C&lt;=$L$4),ROW(),"-")</f>
        <v>-</v>
      </c>
    </row>
    <row r="49778" customHeight="1" spans="2:2">
      <c r="B49778" s="62" t="str">
        <f>IF(AND('领用录入（明细）'!D:D=$F$4,'领用录入（明细）'!C:C&gt;=$J$4,'领用录入（明细）'!C:C&lt;=$L$4),ROW(),"-")</f>
        <v>-</v>
      </c>
    </row>
    <row r="49779" customHeight="1" spans="2:2">
      <c r="B49779" s="62" t="str">
        <f>IF(AND('领用录入（明细）'!D:D=$F$4,'领用录入（明细）'!C:C&gt;=$J$4,'领用录入（明细）'!C:C&lt;=$L$4),ROW(),"-")</f>
        <v>-</v>
      </c>
    </row>
    <row r="49780" customHeight="1" spans="2:2">
      <c r="B49780" s="62" t="str">
        <f>IF(AND('领用录入（明细）'!D:D=$F$4,'领用录入（明细）'!C:C&gt;=$J$4,'领用录入（明细）'!C:C&lt;=$L$4),ROW(),"-")</f>
        <v>-</v>
      </c>
    </row>
    <row r="49781" customHeight="1" spans="2:2">
      <c r="B49781" s="62" t="str">
        <f>IF(AND('领用录入（明细）'!D:D=$F$4,'领用录入（明细）'!C:C&gt;=$J$4,'领用录入（明细）'!C:C&lt;=$L$4),ROW(),"-")</f>
        <v>-</v>
      </c>
    </row>
    <row r="49782" customHeight="1" spans="2:2">
      <c r="B49782" s="62" t="str">
        <f>IF(AND('领用录入（明细）'!D:D=$F$4,'领用录入（明细）'!C:C&gt;=$J$4,'领用录入（明细）'!C:C&lt;=$L$4),ROW(),"-")</f>
        <v>-</v>
      </c>
    </row>
    <row r="49783" customHeight="1" spans="2:2">
      <c r="B49783" s="62" t="str">
        <f>IF(AND('领用录入（明细）'!D:D=$F$4,'领用录入（明细）'!C:C&gt;=$J$4,'领用录入（明细）'!C:C&lt;=$L$4),ROW(),"-")</f>
        <v>-</v>
      </c>
    </row>
    <row r="49784" customHeight="1" spans="2:2">
      <c r="B49784" s="62" t="str">
        <f>IF(AND('领用录入（明细）'!D:D=$F$4,'领用录入（明细）'!C:C&gt;=$J$4,'领用录入（明细）'!C:C&lt;=$L$4),ROW(),"-")</f>
        <v>-</v>
      </c>
    </row>
    <row r="49785" customHeight="1" spans="2:2">
      <c r="B49785" s="62" t="str">
        <f>IF(AND('领用录入（明细）'!D:D=$F$4,'领用录入（明细）'!C:C&gt;=$J$4,'领用录入（明细）'!C:C&lt;=$L$4),ROW(),"-")</f>
        <v>-</v>
      </c>
    </row>
    <row r="49786" customHeight="1" spans="2:2">
      <c r="B49786" s="62" t="str">
        <f>IF(AND('领用录入（明细）'!D:D=$F$4,'领用录入（明细）'!C:C&gt;=$J$4,'领用录入（明细）'!C:C&lt;=$L$4),ROW(),"-")</f>
        <v>-</v>
      </c>
    </row>
    <row r="49787" customHeight="1" spans="2:2">
      <c r="B49787" s="62" t="str">
        <f>IF(AND('领用录入（明细）'!D:D=$F$4,'领用录入（明细）'!C:C&gt;=$J$4,'领用录入（明细）'!C:C&lt;=$L$4),ROW(),"-")</f>
        <v>-</v>
      </c>
    </row>
    <row r="49788" customHeight="1" spans="2:2">
      <c r="B49788" s="62" t="str">
        <f>IF(AND('领用录入（明细）'!D:D=$F$4,'领用录入（明细）'!C:C&gt;=$J$4,'领用录入（明细）'!C:C&lt;=$L$4),ROW(),"-")</f>
        <v>-</v>
      </c>
    </row>
    <row r="49789" customHeight="1" spans="2:2">
      <c r="B49789" s="62" t="str">
        <f>IF(AND('领用录入（明细）'!D:D=$F$4,'领用录入（明细）'!C:C&gt;=$J$4,'领用录入（明细）'!C:C&lt;=$L$4),ROW(),"-")</f>
        <v>-</v>
      </c>
    </row>
    <row r="49790" customHeight="1" spans="2:2">
      <c r="B49790" s="62" t="str">
        <f>IF(AND('领用录入（明细）'!D:D=$F$4,'领用录入（明细）'!C:C&gt;=$J$4,'领用录入（明细）'!C:C&lt;=$L$4),ROW(),"-")</f>
        <v>-</v>
      </c>
    </row>
    <row r="49791" customHeight="1" spans="2:2">
      <c r="B49791" s="62" t="str">
        <f>IF(AND('领用录入（明细）'!D:D=$F$4,'领用录入（明细）'!C:C&gt;=$J$4,'领用录入（明细）'!C:C&lt;=$L$4),ROW(),"-")</f>
        <v>-</v>
      </c>
    </row>
    <row r="49792" customHeight="1" spans="2:2">
      <c r="B49792" s="62" t="str">
        <f>IF(AND('领用录入（明细）'!D:D=$F$4,'领用录入（明细）'!C:C&gt;=$J$4,'领用录入（明细）'!C:C&lt;=$L$4),ROW(),"-")</f>
        <v>-</v>
      </c>
    </row>
    <row r="49793" customHeight="1" spans="2:2">
      <c r="B49793" s="62" t="str">
        <f>IF(AND('领用录入（明细）'!D:D=$F$4,'领用录入（明细）'!C:C&gt;=$J$4,'领用录入（明细）'!C:C&lt;=$L$4),ROW(),"-")</f>
        <v>-</v>
      </c>
    </row>
    <row r="49794" customHeight="1" spans="2:2">
      <c r="B49794" s="62" t="str">
        <f>IF(AND('领用录入（明细）'!D:D=$F$4,'领用录入（明细）'!C:C&gt;=$J$4,'领用录入（明细）'!C:C&lt;=$L$4),ROW(),"-")</f>
        <v>-</v>
      </c>
    </row>
    <row r="49795" customHeight="1" spans="2:2">
      <c r="B49795" s="62" t="str">
        <f>IF(AND('领用录入（明细）'!D:D=$F$4,'领用录入（明细）'!C:C&gt;=$J$4,'领用录入（明细）'!C:C&lt;=$L$4),ROW(),"-")</f>
        <v>-</v>
      </c>
    </row>
    <row r="49796" customHeight="1" spans="2:2">
      <c r="B49796" s="62" t="str">
        <f>IF(AND('领用录入（明细）'!D:D=$F$4,'领用录入（明细）'!C:C&gt;=$J$4,'领用录入（明细）'!C:C&lt;=$L$4),ROW(),"-")</f>
        <v>-</v>
      </c>
    </row>
    <row r="49797" customHeight="1" spans="2:2">
      <c r="B49797" s="62" t="str">
        <f>IF(AND('领用录入（明细）'!D:D=$F$4,'领用录入（明细）'!C:C&gt;=$J$4,'领用录入（明细）'!C:C&lt;=$L$4),ROW(),"-")</f>
        <v>-</v>
      </c>
    </row>
    <row r="49798" customHeight="1" spans="2:2">
      <c r="B49798" s="62" t="str">
        <f>IF(AND('领用录入（明细）'!D:D=$F$4,'领用录入（明细）'!C:C&gt;=$J$4,'领用录入（明细）'!C:C&lt;=$L$4),ROW(),"-")</f>
        <v>-</v>
      </c>
    </row>
    <row r="49799" customHeight="1" spans="2:2">
      <c r="B49799" s="62" t="str">
        <f>IF(AND('领用录入（明细）'!D:D=$F$4,'领用录入（明细）'!C:C&gt;=$J$4,'领用录入（明细）'!C:C&lt;=$L$4),ROW(),"-")</f>
        <v>-</v>
      </c>
    </row>
    <row r="49800" customHeight="1" spans="2:2">
      <c r="B49800" s="62" t="str">
        <f>IF(AND('领用录入（明细）'!D:D=$F$4,'领用录入（明细）'!C:C&gt;=$J$4,'领用录入（明细）'!C:C&lt;=$L$4),ROW(),"-")</f>
        <v>-</v>
      </c>
    </row>
    <row r="49801" customHeight="1" spans="2:2">
      <c r="B49801" s="62" t="str">
        <f>IF(AND('领用录入（明细）'!D:D=$F$4,'领用录入（明细）'!C:C&gt;=$J$4,'领用录入（明细）'!C:C&lt;=$L$4),ROW(),"-")</f>
        <v>-</v>
      </c>
    </row>
    <row r="49802" customHeight="1" spans="2:2">
      <c r="B49802" s="62" t="str">
        <f>IF(AND('领用录入（明细）'!D:D=$F$4,'领用录入（明细）'!C:C&gt;=$J$4,'领用录入（明细）'!C:C&lt;=$L$4),ROW(),"-")</f>
        <v>-</v>
      </c>
    </row>
    <row r="49803" customHeight="1" spans="2:2">
      <c r="B49803" s="62" t="str">
        <f>IF(AND('领用录入（明细）'!D:D=$F$4,'领用录入（明细）'!C:C&gt;=$J$4,'领用录入（明细）'!C:C&lt;=$L$4),ROW(),"-")</f>
        <v>-</v>
      </c>
    </row>
    <row r="49804" customHeight="1" spans="2:2">
      <c r="B49804" s="62" t="str">
        <f>IF(AND('领用录入（明细）'!D:D=$F$4,'领用录入（明细）'!C:C&gt;=$J$4,'领用录入（明细）'!C:C&lt;=$L$4),ROW(),"-")</f>
        <v>-</v>
      </c>
    </row>
    <row r="49805" customHeight="1" spans="2:2">
      <c r="B49805" s="62" t="str">
        <f>IF(AND('领用录入（明细）'!D:D=$F$4,'领用录入（明细）'!C:C&gt;=$J$4,'领用录入（明细）'!C:C&lt;=$L$4),ROW(),"-")</f>
        <v>-</v>
      </c>
    </row>
    <row r="49806" customHeight="1" spans="2:2">
      <c r="B49806" s="62" t="str">
        <f>IF(AND('领用录入（明细）'!D:D=$F$4,'领用录入（明细）'!C:C&gt;=$J$4,'领用录入（明细）'!C:C&lt;=$L$4),ROW(),"-")</f>
        <v>-</v>
      </c>
    </row>
    <row r="49807" customHeight="1" spans="2:2">
      <c r="B49807" s="62" t="str">
        <f>IF(AND('领用录入（明细）'!D:D=$F$4,'领用录入（明细）'!C:C&gt;=$J$4,'领用录入（明细）'!C:C&lt;=$L$4),ROW(),"-")</f>
        <v>-</v>
      </c>
    </row>
    <row r="49808" customHeight="1" spans="2:2">
      <c r="B49808" s="62" t="str">
        <f>IF(AND('领用录入（明细）'!D:D=$F$4,'领用录入（明细）'!C:C&gt;=$J$4,'领用录入（明细）'!C:C&lt;=$L$4),ROW(),"-")</f>
        <v>-</v>
      </c>
    </row>
    <row r="49809" customHeight="1" spans="2:2">
      <c r="B49809" s="62" t="str">
        <f>IF(AND('领用录入（明细）'!D:D=$F$4,'领用录入（明细）'!C:C&gt;=$J$4,'领用录入（明细）'!C:C&lt;=$L$4),ROW(),"-")</f>
        <v>-</v>
      </c>
    </row>
    <row r="49810" customHeight="1" spans="2:2">
      <c r="B49810" s="62" t="str">
        <f>IF(AND('领用录入（明细）'!D:D=$F$4,'领用录入（明细）'!C:C&gt;=$J$4,'领用录入（明细）'!C:C&lt;=$L$4),ROW(),"-")</f>
        <v>-</v>
      </c>
    </row>
    <row r="49811" customHeight="1" spans="2:2">
      <c r="B49811" s="62" t="str">
        <f>IF(AND('领用录入（明细）'!D:D=$F$4,'领用录入（明细）'!C:C&gt;=$J$4,'领用录入（明细）'!C:C&lt;=$L$4),ROW(),"-")</f>
        <v>-</v>
      </c>
    </row>
    <row r="49812" customHeight="1" spans="2:2">
      <c r="B49812" s="62" t="str">
        <f>IF(AND('领用录入（明细）'!D:D=$F$4,'领用录入（明细）'!C:C&gt;=$J$4,'领用录入（明细）'!C:C&lt;=$L$4),ROW(),"-")</f>
        <v>-</v>
      </c>
    </row>
    <row r="49813" customHeight="1" spans="2:2">
      <c r="B49813" s="62" t="str">
        <f>IF(AND('领用录入（明细）'!D:D=$F$4,'领用录入（明细）'!C:C&gt;=$J$4,'领用录入（明细）'!C:C&lt;=$L$4),ROW(),"-")</f>
        <v>-</v>
      </c>
    </row>
    <row r="49814" customHeight="1" spans="2:2">
      <c r="B49814" s="62" t="str">
        <f>IF(AND('领用录入（明细）'!D:D=$F$4,'领用录入（明细）'!C:C&gt;=$J$4,'领用录入（明细）'!C:C&lt;=$L$4),ROW(),"-")</f>
        <v>-</v>
      </c>
    </row>
    <row r="49815" customHeight="1" spans="2:2">
      <c r="B49815" s="62" t="str">
        <f>IF(AND('领用录入（明细）'!D:D=$F$4,'领用录入（明细）'!C:C&gt;=$J$4,'领用录入（明细）'!C:C&lt;=$L$4),ROW(),"-")</f>
        <v>-</v>
      </c>
    </row>
    <row r="49816" customHeight="1" spans="2:2">
      <c r="B49816" s="62" t="str">
        <f>IF(AND('领用录入（明细）'!D:D=$F$4,'领用录入（明细）'!C:C&gt;=$J$4,'领用录入（明细）'!C:C&lt;=$L$4),ROW(),"-")</f>
        <v>-</v>
      </c>
    </row>
    <row r="49817" customHeight="1" spans="2:2">
      <c r="B49817" s="62" t="str">
        <f>IF(AND('领用录入（明细）'!D:D=$F$4,'领用录入（明细）'!C:C&gt;=$J$4,'领用录入（明细）'!C:C&lt;=$L$4),ROW(),"-")</f>
        <v>-</v>
      </c>
    </row>
    <row r="49818" customHeight="1" spans="2:2">
      <c r="B49818" s="62" t="str">
        <f>IF(AND('领用录入（明细）'!D:D=$F$4,'领用录入（明细）'!C:C&gt;=$J$4,'领用录入（明细）'!C:C&lt;=$L$4),ROW(),"-")</f>
        <v>-</v>
      </c>
    </row>
    <row r="49819" customHeight="1" spans="2:2">
      <c r="B49819" s="62" t="str">
        <f>IF(AND('领用录入（明细）'!D:D=$F$4,'领用录入（明细）'!C:C&gt;=$J$4,'领用录入（明细）'!C:C&lt;=$L$4),ROW(),"-")</f>
        <v>-</v>
      </c>
    </row>
    <row r="49820" customHeight="1" spans="2:2">
      <c r="B49820" s="62" t="str">
        <f>IF(AND('领用录入（明细）'!D:D=$F$4,'领用录入（明细）'!C:C&gt;=$J$4,'领用录入（明细）'!C:C&lt;=$L$4),ROW(),"-")</f>
        <v>-</v>
      </c>
    </row>
    <row r="49821" customHeight="1" spans="2:2">
      <c r="B49821" s="62" t="str">
        <f>IF(AND('领用录入（明细）'!D:D=$F$4,'领用录入（明细）'!C:C&gt;=$J$4,'领用录入（明细）'!C:C&lt;=$L$4),ROW(),"-")</f>
        <v>-</v>
      </c>
    </row>
    <row r="49822" customHeight="1" spans="2:2">
      <c r="B49822" s="62" t="str">
        <f>IF(AND('领用录入（明细）'!D:D=$F$4,'领用录入（明细）'!C:C&gt;=$J$4,'领用录入（明细）'!C:C&lt;=$L$4),ROW(),"-")</f>
        <v>-</v>
      </c>
    </row>
    <row r="49823" customHeight="1" spans="2:2">
      <c r="B49823" s="62" t="str">
        <f>IF(AND('领用录入（明细）'!D:D=$F$4,'领用录入（明细）'!C:C&gt;=$J$4,'领用录入（明细）'!C:C&lt;=$L$4),ROW(),"-")</f>
        <v>-</v>
      </c>
    </row>
    <row r="49824" customHeight="1" spans="2:2">
      <c r="B49824" s="62" t="str">
        <f>IF(AND('领用录入（明细）'!D:D=$F$4,'领用录入（明细）'!C:C&gt;=$J$4,'领用录入（明细）'!C:C&lt;=$L$4),ROW(),"-")</f>
        <v>-</v>
      </c>
    </row>
    <row r="49825" customHeight="1" spans="2:2">
      <c r="B49825" s="62" t="str">
        <f>IF(AND('领用录入（明细）'!D:D=$F$4,'领用录入（明细）'!C:C&gt;=$J$4,'领用录入（明细）'!C:C&lt;=$L$4),ROW(),"-")</f>
        <v>-</v>
      </c>
    </row>
    <row r="49826" customHeight="1" spans="2:2">
      <c r="B49826" s="62" t="str">
        <f>IF(AND('领用录入（明细）'!D:D=$F$4,'领用录入（明细）'!C:C&gt;=$J$4,'领用录入（明细）'!C:C&lt;=$L$4),ROW(),"-")</f>
        <v>-</v>
      </c>
    </row>
    <row r="49827" customHeight="1" spans="2:2">
      <c r="B49827" s="62" t="str">
        <f>IF(AND('领用录入（明细）'!D:D=$F$4,'领用录入（明细）'!C:C&gt;=$J$4,'领用录入（明细）'!C:C&lt;=$L$4),ROW(),"-")</f>
        <v>-</v>
      </c>
    </row>
    <row r="49828" customHeight="1" spans="2:2">
      <c r="B49828" s="62" t="str">
        <f>IF(AND('领用录入（明细）'!D:D=$F$4,'领用录入（明细）'!C:C&gt;=$J$4,'领用录入（明细）'!C:C&lt;=$L$4),ROW(),"-")</f>
        <v>-</v>
      </c>
    </row>
    <row r="49829" customHeight="1" spans="2:2">
      <c r="B49829" s="62" t="str">
        <f>IF(AND('领用录入（明细）'!D:D=$F$4,'领用录入（明细）'!C:C&gt;=$J$4,'领用录入（明细）'!C:C&lt;=$L$4),ROW(),"-")</f>
        <v>-</v>
      </c>
    </row>
    <row r="49830" customHeight="1" spans="2:2">
      <c r="B49830" s="62" t="str">
        <f>IF(AND('领用录入（明细）'!D:D=$F$4,'领用录入（明细）'!C:C&gt;=$J$4,'领用录入（明细）'!C:C&lt;=$L$4),ROW(),"-")</f>
        <v>-</v>
      </c>
    </row>
    <row r="49831" customHeight="1" spans="2:2">
      <c r="B49831" s="62" t="str">
        <f>IF(AND('领用录入（明细）'!D:D=$F$4,'领用录入（明细）'!C:C&gt;=$J$4,'领用录入（明细）'!C:C&lt;=$L$4),ROW(),"-")</f>
        <v>-</v>
      </c>
    </row>
    <row r="49832" customHeight="1" spans="2:2">
      <c r="B49832" s="62" t="str">
        <f>IF(AND('领用录入（明细）'!D:D=$F$4,'领用录入（明细）'!C:C&gt;=$J$4,'领用录入（明细）'!C:C&lt;=$L$4),ROW(),"-")</f>
        <v>-</v>
      </c>
    </row>
    <row r="49833" customHeight="1" spans="2:2">
      <c r="B49833" s="62" t="str">
        <f>IF(AND('领用录入（明细）'!D:D=$F$4,'领用录入（明细）'!C:C&gt;=$J$4,'领用录入（明细）'!C:C&lt;=$L$4),ROW(),"-")</f>
        <v>-</v>
      </c>
    </row>
    <row r="49834" customHeight="1" spans="2:2">
      <c r="B49834" s="62" t="str">
        <f>IF(AND('领用录入（明细）'!D:D=$F$4,'领用录入（明细）'!C:C&gt;=$J$4,'领用录入（明细）'!C:C&lt;=$L$4),ROW(),"-")</f>
        <v>-</v>
      </c>
    </row>
    <row r="49835" customHeight="1" spans="2:2">
      <c r="B49835" s="62" t="str">
        <f>IF(AND('领用录入（明细）'!D:D=$F$4,'领用录入（明细）'!C:C&gt;=$J$4,'领用录入（明细）'!C:C&lt;=$L$4),ROW(),"-")</f>
        <v>-</v>
      </c>
    </row>
    <row r="49836" customHeight="1" spans="2:2">
      <c r="B49836" s="62" t="str">
        <f>IF(AND('领用录入（明细）'!D:D=$F$4,'领用录入（明细）'!C:C&gt;=$J$4,'领用录入（明细）'!C:C&lt;=$L$4),ROW(),"-")</f>
        <v>-</v>
      </c>
    </row>
    <row r="49837" customHeight="1" spans="2:2">
      <c r="B49837" s="62" t="str">
        <f>IF(AND('领用录入（明细）'!D:D=$F$4,'领用录入（明细）'!C:C&gt;=$J$4,'领用录入（明细）'!C:C&lt;=$L$4),ROW(),"-")</f>
        <v>-</v>
      </c>
    </row>
    <row r="49838" customHeight="1" spans="2:2">
      <c r="B49838" s="62" t="str">
        <f>IF(AND('领用录入（明细）'!D:D=$F$4,'领用录入（明细）'!C:C&gt;=$J$4,'领用录入（明细）'!C:C&lt;=$L$4),ROW(),"-")</f>
        <v>-</v>
      </c>
    </row>
    <row r="49839" customHeight="1" spans="2:2">
      <c r="B49839" s="62" t="str">
        <f>IF(AND('领用录入（明细）'!D:D=$F$4,'领用录入（明细）'!C:C&gt;=$J$4,'领用录入（明细）'!C:C&lt;=$L$4),ROW(),"-")</f>
        <v>-</v>
      </c>
    </row>
    <row r="49840" customHeight="1" spans="2:2">
      <c r="B49840" s="62" t="str">
        <f>IF(AND('领用录入（明细）'!D:D=$F$4,'领用录入（明细）'!C:C&gt;=$J$4,'领用录入（明细）'!C:C&lt;=$L$4),ROW(),"-")</f>
        <v>-</v>
      </c>
    </row>
    <row r="49841" customHeight="1" spans="2:2">
      <c r="B49841" s="62" t="str">
        <f>IF(AND('领用录入（明细）'!D:D=$F$4,'领用录入（明细）'!C:C&gt;=$J$4,'领用录入（明细）'!C:C&lt;=$L$4),ROW(),"-")</f>
        <v>-</v>
      </c>
    </row>
    <row r="49842" customHeight="1" spans="2:2">
      <c r="B49842" s="62" t="str">
        <f>IF(AND('领用录入（明细）'!D:D=$F$4,'领用录入（明细）'!C:C&gt;=$J$4,'领用录入（明细）'!C:C&lt;=$L$4),ROW(),"-")</f>
        <v>-</v>
      </c>
    </row>
    <row r="49843" customHeight="1" spans="2:2">
      <c r="B49843" s="62" t="str">
        <f>IF(AND('领用录入（明细）'!D:D=$F$4,'领用录入（明细）'!C:C&gt;=$J$4,'领用录入（明细）'!C:C&lt;=$L$4),ROW(),"-")</f>
        <v>-</v>
      </c>
    </row>
    <row r="49844" customHeight="1" spans="2:2">
      <c r="B49844" s="62" t="str">
        <f>IF(AND('领用录入（明细）'!D:D=$F$4,'领用录入（明细）'!C:C&gt;=$J$4,'领用录入（明细）'!C:C&lt;=$L$4),ROW(),"-")</f>
        <v>-</v>
      </c>
    </row>
    <row r="49845" customHeight="1" spans="2:2">
      <c r="B49845" s="62" t="str">
        <f>IF(AND('领用录入（明细）'!D:D=$F$4,'领用录入（明细）'!C:C&gt;=$J$4,'领用录入（明细）'!C:C&lt;=$L$4),ROW(),"-")</f>
        <v>-</v>
      </c>
    </row>
    <row r="49846" customHeight="1" spans="2:2">
      <c r="B49846" s="62" t="str">
        <f>IF(AND('领用录入（明细）'!D:D=$F$4,'领用录入（明细）'!C:C&gt;=$J$4,'领用录入（明细）'!C:C&lt;=$L$4),ROW(),"-")</f>
        <v>-</v>
      </c>
    </row>
    <row r="49847" customHeight="1" spans="2:2">
      <c r="B49847" s="62" t="str">
        <f>IF(AND('领用录入（明细）'!D:D=$F$4,'领用录入（明细）'!C:C&gt;=$J$4,'领用录入（明细）'!C:C&lt;=$L$4),ROW(),"-")</f>
        <v>-</v>
      </c>
    </row>
    <row r="49848" customHeight="1" spans="2:2">
      <c r="B49848" s="62" t="str">
        <f>IF(AND('领用录入（明细）'!D:D=$F$4,'领用录入（明细）'!C:C&gt;=$J$4,'领用录入（明细）'!C:C&lt;=$L$4),ROW(),"-")</f>
        <v>-</v>
      </c>
    </row>
    <row r="49849" customHeight="1" spans="2:2">
      <c r="B49849" s="62" t="str">
        <f>IF(AND('领用录入（明细）'!D:D=$F$4,'领用录入（明细）'!C:C&gt;=$J$4,'领用录入（明细）'!C:C&lt;=$L$4),ROW(),"-")</f>
        <v>-</v>
      </c>
    </row>
    <row r="49850" customHeight="1" spans="2:2">
      <c r="B49850" s="62" t="str">
        <f>IF(AND('领用录入（明细）'!D:D=$F$4,'领用录入（明细）'!C:C&gt;=$J$4,'领用录入（明细）'!C:C&lt;=$L$4),ROW(),"-")</f>
        <v>-</v>
      </c>
    </row>
    <row r="49851" customHeight="1" spans="2:2">
      <c r="B49851" s="62" t="str">
        <f>IF(AND('领用录入（明细）'!D:D=$F$4,'领用录入（明细）'!C:C&gt;=$J$4,'领用录入（明细）'!C:C&lt;=$L$4),ROW(),"-")</f>
        <v>-</v>
      </c>
    </row>
    <row r="49852" customHeight="1" spans="2:2">
      <c r="B49852" s="62" t="str">
        <f>IF(AND('领用录入（明细）'!D:D=$F$4,'领用录入（明细）'!C:C&gt;=$J$4,'领用录入（明细）'!C:C&lt;=$L$4),ROW(),"-")</f>
        <v>-</v>
      </c>
    </row>
    <row r="49853" customHeight="1" spans="2:2">
      <c r="B49853" s="62" t="str">
        <f>IF(AND('领用录入（明细）'!D:D=$F$4,'领用录入（明细）'!C:C&gt;=$J$4,'领用录入（明细）'!C:C&lt;=$L$4),ROW(),"-")</f>
        <v>-</v>
      </c>
    </row>
    <row r="49854" customHeight="1" spans="2:2">
      <c r="B49854" s="62" t="str">
        <f>IF(AND('领用录入（明细）'!D:D=$F$4,'领用录入（明细）'!C:C&gt;=$J$4,'领用录入（明细）'!C:C&lt;=$L$4),ROW(),"-")</f>
        <v>-</v>
      </c>
    </row>
    <row r="49855" customHeight="1" spans="2:2">
      <c r="B49855" s="62" t="str">
        <f>IF(AND('领用录入（明细）'!D:D=$F$4,'领用录入（明细）'!C:C&gt;=$J$4,'领用录入（明细）'!C:C&lt;=$L$4),ROW(),"-")</f>
        <v>-</v>
      </c>
    </row>
    <row r="49856" customHeight="1" spans="2:2">
      <c r="B49856" s="62" t="str">
        <f>IF(AND('领用录入（明细）'!D:D=$F$4,'领用录入（明细）'!C:C&gt;=$J$4,'领用录入（明细）'!C:C&lt;=$L$4),ROW(),"-")</f>
        <v>-</v>
      </c>
    </row>
    <row r="49857" customHeight="1" spans="2:2">
      <c r="B49857" s="62" t="str">
        <f>IF(AND('领用录入（明细）'!D:D=$F$4,'领用录入（明细）'!C:C&gt;=$J$4,'领用录入（明细）'!C:C&lt;=$L$4),ROW(),"-")</f>
        <v>-</v>
      </c>
    </row>
    <row r="49858" customHeight="1" spans="2:2">
      <c r="B49858" s="62" t="str">
        <f>IF(AND('领用录入（明细）'!D:D=$F$4,'领用录入（明细）'!C:C&gt;=$J$4,'领用录入（明细）'!C:C&lt;=$L$4),ROW(),"-")</f>
        <v>-</v>
      </c>
    </row>
    <row r="49859" customHeight="1" spans="2:2">
      <c r="B49859" s="62" t="str">
        <f>IF(AND('领用录入（明细）'!D:D=$F$4,'领用录入（明细）'!C:C&gt;=$J$4,'领用录入（明细）'!C:C&lt;=$L$4),ROW(),"-")</f>
        <v>-</v>
      </c>
    </row>
    <row r="49860" customHeight="1" spans="2:2">
      <c r="B49860" s="62" t="str">
        <f>IF(AND('领用录入（明细）'!D:D=$F$4,'领用录入（明细）'!C:C&gt;=$J$4,'领用录入（明细）'!C:C&lt;=$L$4),ROW(),"-")</f>
        <v>-</v>
      </c>
    </row>
    <row r="49861" customHeight="1" spans="2:2">
      <c r="B49861" s="62" t="str">
        <f>IF(AND('领用录入（明细）'!D:D=$F$4,'领用录入（明细）'!C:C&gt;=$J$4,'领用录入（明细）'!C:C&lt;=$L$4),ROW(),"-")</f>
        <v>-</v>
      </c>
    </row>
    <row r="49862" customHeight="1" spans="2:2">
      <c r="B49862" s="62" t="str">
        <f>IF(AND('领用录入（明细）'!D:D=$F$4,'领用录入（明细）'!C:C&gt;=$J$4,'领用录入（明细）'!C:C&lt;=$L$4),ROW(),"-")</f>
        <v>-</v>
      </c>
    </row>
    <row r="49863" customHeight="1" spans="2:2">
      <c r="B49863" s="62" t="str">
        <f>IF(AND('领用录入（明细）'!D:D=$F$4,'领用录入（明细）'!C:C&gt;=$J$4,'领用录入（明细）'!C:C&lt;=$L$4),ROW(),"-")</f>
        <v>-</v>
      </c>
    </row>
    <row r="49864" customHeight="1" spans="2:2">
      <c r="B49864" s="62" t="str">
        <f>IF(AND('领用录入（明细）'!D:D=$F$4,'领用录入（明细）'!C:C&gt;=$J$4,'领用录入（明细）'!C:C&lt;=$L$4),ROW(),"-")</f>
        <v>-</v>
      </c>
    </row>
    <row r="49865" customHeight="1" spans="2:2">
      <c r="B49865" s="62" t="str">
        <f>IF(AND('领用录入（明细）'!D:D=$F$4,'领用录入（明细）'!C:C&gt;=$J$4,'领用录入（明细）'!C:C&lt;=$L$4),ROW(),"-")</f>
        <v>-</v>
      </c>
    </row>
    <row r="49866" customHeight="1" spans="2:2">
      <c r="B49866" s="62" t="str">
        <f>IF(AND('领用录入（明细）'!D:D=$F$4,'领用录入（明细）'!C:C&gt;=$J$4,'领用录入（明细）'!C:C&lt;=$L$4),ROW(),"-")</f>
        <v>-</v>
      </c>
    </row>
    <row r="49867" customHeight="1" spans="2:2">
      <c r="B49867" s="62" t="str">
        <f>IF(AND('领用录入（明细）'!D:D=$F$4,'领用录入（明细）'!C:C&gt;=$J$4,'领用录入（明细）'!C:C&lt;=$L$4),ROW(),"-")</f>
        <v>-</v>
      </c>
    </row>
    <row r="49868" customHeight="1" spans="2:2">
      <c r="B49868" s="62" t="str">
        <f>IF(AND('领用录入（明细）'!D:D=$F$4,'领用录入（明细）'!C:C&gt;=$J$4,'领用录入（明细）'!C:C&lt;=$L$4),ROW(),"-")</f>
        <v>-</v>
      </c>
    </row>
    <row r="49869" customHeight="1" spans="2:2">
      <c r="B49869" s="62" t="str">
        <f>IF(AND('领用录入（明细）'!D:D=$F$4,'领用录入（明细）'!C:C&gt;=$J$4,'领用录入（明细）'!C:C&lt;=$L$4),ROW(),"-")</f>
        <v>-</v>
      </c>
    </row>
    <row r="49870" customHeight="1" spans="2:2">
      <c r="B49870" s="62" t="str">
        <f>IF(AND('领用录入（明细）'!D:D=$F$4,'领用录入（明细）'!C:C&gt;=$J$4,'领用录入（明细）'!C:C&lt;=$L$4),ROW(),"-")</f>
        <v>-</v>
      </c>
    </row>
    <row r="49871" customHeight="1" spans="2:2">
      <c r="B49871" s="62" t="str">
        <f>IF(AND('领用录入（明细）'!D:D=$F$4,'领用录入（明细）'!C:C&gt;=$J$4,'领用录入（明细）'!C:C&lt;=$L$4),ROW(),"-")</f>
        <v>-</v>
      </c>
    </row>
    <row r="49872" customHeight="1" spans="2:2">
      <c r="B49872" s="62" t="str">
        <f>IF(AND('领用录入（明细）'!D:D=$F$4,'领用录入（明细）'!C:C&gt;=$J$4,'领用录入（明细）'!C:C&lt;=$L$4),ROW(),"-")</f>
        <v>-</v>
      </c>
    </row>
    <row r="49873" customHeight="1" spans="2:2">
      <c r="B49873" s="62" t="str">
        <f>IF(AND('领用录入（明细）'!D:D=$F$4,'领用录入（明细）'!C:C&gt;=$J$4,'领用录入（明细）'!C:C&lt;=$L$4),ROW(),"-")</f>
        <v>-</v>
      </c>
    </row>
    <row r="49874" customHeight="1" spans="2:2">
      <c r="B49874" s="62" t="str">
        <f>IF(AND('领用录入（明细）'!D:D=$F$4,'领用录入（明细）'!C:C&gt;=$J$4,'领用录入（明细）'!C:C&lt;=$L$4),ROW(),"-")</f>
        <v>-</v>
      </c>
    </row>
    <row r="49875" customHeight="1" spans="2:2">
      <c r="B49875" s="62" t="str">
        <f>IF(AND('领用录入（明细）'!D:D=$F$4,'领用录入（明细）'!C:C&gt;=$J$4,'领用录入（明细）'!C:C&lt;=$L$4),ROW(),"-")</f>
        <v>-</v>
      </c>
    </row>
    <row r="49876" customHeight="1" spans="2:2">
      <c r="B49876" s="62" t="str">
        <f>IF(AND('领用录入（明细）'!D:D=$F$4,'领用录入（明细）'!C:C&gt;=$J$4,'领用录入（明细）'!C:C&lt;=$L$4),ROW(),"-")</f>
        <v>-</v>
      </c>
    </row>
    <row r="49877" customHeight="1" spans="2:2">
      <c r="B49877" s="62" t="str">
        <f>IF(AND('领用录入（明细）'!D:D=$F$4,'领用录入（明细）'!C:C&gt;=$J$4,'领用录入（明细）'!C:C&lt;=$L$4),ROW(),"-")</f>
        <v>-</v>
      </c>
    </row>
    <row r="49878" customHeight="1" spans="2:2">
      <c r="B49878" s="62" t="str">
        <f>IF(AND('领用录入（明细）'!D:D=$F$4,'领用录入（明细）'!C:C&gt;=$J$4,'领用录入（明细）'!C:C&lt;=$L$4),ROW(),"-")</f>
        <v>-</v>
      </c>
    </row>
    <row r="49879" customHeight="1" spans="2:2">
      <c r="B49879" s="62" t="str">
        <f>IF(AND('领用录入（明细）'!D:D=$F$4,'领用录入（明细）'!C:C&gt;=$J$4,'领用录入（明细）'!C:C&lt;=$L$4),ROW(),"-")</f>
        <v>-</v>
      </c>
    </row>
    <row r="49880" customHeight="1" spans="2:2">
      <c r="B49880" s="62" t="str">
        <f>IF(AND('领用录入（明细）'!D:D=$F$4,'领用录入（明细）'!C:C&gt;=$J$4,'领用录入（明细）'!C:C&lt;=$L$4),ROW(),"-")</f>
        <v>-</v>
      </c>
    </row>
    <row r="49881" customHeight="1" spans="2:2">
      <c r="B49881" s="62" t="str">
        <f>IF(AND('领用录入（明细）'!D:D=$F$4,'领用录入（明细）'!C:C&gt;=$J$4,'领用录入（明细）'!C:C&lt;=$L$4),ROW(),"-")</f>
        <v>-</v>
      </c>
    </row>
    <row r="49882" customHeight="1" spans="2:2">
      <c r="B49882" s="62" t="str">
        <f>IF(AND('领用录入（明细）'!D:D=$F$4,'领用录入（明细）'!C:C&gt;=$J$4,'领用录入（明细）'!C:C&lt;=$L$4),ROW(),"-")</f>
        <v>-</v>
      </c>
    </row>
    <row r="49883" customHeight="1" spans="2:2">
      <c r="B49883" s="62" t="str">
        <f>IF(AND('领用录入（明细）'!D:D=$F$4,'领用录入（明细）'!C:C&gt;=$J$4,'领用录入（明细）'!C:C&lt;=$L$4),ROW(),"-")</f>
        <v>-</v>
      </c>
    </row>
    <row r="49884" customHeight="1" spans="2:2">
      <c r="B49884" s="62" t="str">
        <f>IF(AND('领用录入（明细）'!D:D=$F$4,'领用录入（明细）'!C:C&gt;=$J$4,'领用录入（明细）'!C:C&lt;=$L$4),ROW(),"-")</f>
        <v>-</v>
      </c>
    </row>
    <row r="49885" customHeight="1" spans="2:2">
      <c r="B49885" s="62" t="str">
        <f>IF(AND('领用录入（明细）'!D:D=$F$4,'领用录入（明细）'!C:C&gt;=$J$4,'领用录入（明细）'!C:C&lt;=$L$4),ROW(),"-")</f>
        <v>-</v>
      </c>
    </row>
    <row r="49886" customHeight="1" spans="2:2">
      <c r="B49886" s="62" t="str">
        <f>IF(AND('领用录入（明细）'!D:D=$F$4,'领用录入（明细）'!C:C&gt;=$J$4,'领用录入（明细）'!C:C&lt;=$L$4),ROW(),"-")</f>
        <v>-</v>
      </c>
    </row>
    <row r="49887" customHeight="1" spans="2:2">
      <c r="B49887" s="62" t="str">
        <f>IF(AND('领用录入（明细）'!D:D=$F$4,'领用录入（明细）'!C:C&gt;=$J$4,'领用录入（明细）'!C:C&lt;=$L$4),ROW(),"-")</f>
        <v>-</v>
      </c>
    </row>
    <row r="49888" customHeight="1" spans="2:2">
      <c r="B49888" s="62" t="str">
        <f>IF(AND('领用录入（明细）'!D:D=$F$4,'领用录入（明细）'!C:C&gt;=$J$4,'领用录入（明细）'!C:C&lt;=$L$4),ROW(),"-")</f>
        <v>-</v>
      </c>
    </row>
    <row r="49889" customHeight="1" spans="2:2">
      <c r="B49889" s="62" t="str">
        <f>IF(AND('领用录入（明细）'!D:D=$F$4,'领用录入（明细）'!C:C&gt;=$J$4,'领用录入（明细）'!C:C&lt;=$L$4),ROW(),"-")</f>
        <v>-</v>
      </c>
    </row>
    <row r="49890" customHeight="1" spans="2:2">
      <c r="B49890" s="62" t="str">
        <f>IF(AND('领用录入（明细）'!D:D=$F$4,'领用录入（明细）'!C:C&gt;=$J$4,'领用录入（明细）'!C:C&lt;=$L$4),ROW(),"-")</f>
        <v>-</v>
      </c>
    </row>
    <row r="49891" customHeight="1" spans="2:2">
      <c r="B49891" s="62" t="str">
        <f>IF(AND('领用录入（明细）'!D:D=$F$4,'领用录入（明细）'!C:C&gt;=$J$4,'领用录入（明细）'!C:C&lt;=$L$4),ROW(),"-")</f>
        <v>-</v>
      </c>
    </row>
    <row r="49892" customHeight="1" spans="2:2">
      <c r="B49892" s="62" t="str">
        <f>IF(AND('领用录入（明细）'!D:D=$F$4,'领用录入（明细）'!C:C&gt;=$J$4,'领用录入（明细）'!C:C&lt;=$L$4),ROW(),"-")</f>
        <v>-</v>
      </c>
    </row>
    <row r="49893" customHeight="1" spans="2:2">
      <c r="B49893" s="62" t="str">
        <f>IF(AND('领用录入（明细）'!D:D=$F$4,'领用录入（明细）'!C:C&gt;=$J$4,'领用录入（明细）'!C:C&lt;=$L$4),ROW(),"-")</f>
        <v>-</v>
      </c>
    </row>
    <row r="49894" customHeight="1" spans="2:2">
      <c r="B49894" s="62" t="str">
        <f>IF(AND('领用录入（明细）'!D:D=$F$4,'领用录入（明细）'!C:C&gt;=$J$4,'领用录入（明细）'!C:C&lt;=$L$4),ROW(),"-")</f>
        <v>-</v>
      </c>
    </row>
    <row r="49895" customHeight="1" spans="2:2">
      <c r="B49895" s="62" t="str">
        <f>IF(AND('领用录入（明细）'!D:D=$F$4,'领用录入（明细）'!C:C&gt;=$J$4,'领用录入（明细）'!C:C&lt;=$L$4),ROW(),"-")</f>
        <v>-</v>
      </c>
    </row>
    <row r="49896" customHeight="1" spans="2:2">
      <c r="B49896" s="62" t="str">
        <f>IF(AND('领用录入（明细）'!D:D=$F$4,'领用录入（明细）'!C:C&gt;=$J$4,'领用录入（明细）'!C:C&lt;=$L$4),ROW(),"-")</f>
        <v>-</v>
      </c>
    </row>
    <row r="49897" customHeight="1" spans="2:2">
      <c r="B49897" s="62" t="str">
        <f>IF(AND('领用录入（明细）'!D:D=$F$4,'领用录入（明细）'!C:C&gt;=$J$4,'领用录入（明细）'!C:C&lt;=$L$4),ROW(),"-")</f>
        <v>-</v>
      </c>
    </row>
    <row r="49898" customHeight="1" spans="2:2">
      <c r="B49898" s="62" t="str">
        <f>IF(AND('领用录入（明细）'!D:D=$F$4,'领用录入（明细）'!C:C&gt;=$J$4,'领用录入（明细）'!C:C&lt;=$L$4),ROW(),"-")</f>
        <v>-</v>
      </c>
    </row>
    <row r="49899" customHeight="1" spans="2:2">
      <c r="B49899" s="62" t="str">
        <f>IF(AND('领用录入（明细）'!D:D=$F$4,'领用录入（明细）'!C:C&gt;=$J$4,'领用录入（明细）'!C:C&lt;=$L$4),ROW(),"-")</f>
        <v>-</v>
      </c>
    </row>
    <row r="49900" customHeight="1" spans="2:2">
      <c r="B49900" s="62" t="str">
        <f>IF(AND('领用录入（明细）'!D:D=$F$4,'领用录入（明细）'!C:C&gt;=$J$4,'领用录入（明细）'!C:C&lt;=$L$4),ROW(),"-")</f>
        <v>-</v>
      </c>
    </row>
    <row r="49901" customHeight="1" spans="2:2">
      <c r="B49901" s="62" t="str">
        <f>IF(AND('领用录入（明细）'!D:D=$F$4,'领用录入（明细）'!C:C&gt;=$J$4,'领用录入（明细）'!C:C&lt;=$L$4),ROW(),"-")</f>
        <v>-</v>
      </c>
    </row>
    <row r="49902" customHeight="1" spans="2:2">
      <c r="B49902" s="62" t="str">
        <f>IF(AND('领用录入（明细）'!D:D=$F$4,'领用录入（明细）'!C:C&gt;=$J$4,'领用录入（明细）'!C:C&lt;=$L$4),ROW(),"-")</f>
        <v>-</v>
      </c>
    </row>
    <row r="49903" customHeight="1" spans="2:2">
      <c r="B49903" s="62" t="str">
        <f>IF(AND('领用录入（明细）'!D:D=$F$4,'领用录入（明细）'!C:C&gt;=$J$4,'领用录入（明细）'!C:C&lt;=$L$4),ROW(),"-")</f>
        <v>-</v>
      </c>
    </row>
    <row r="49904" customHeight="1" spans="2:2">
      <c r="B49904" s="62" t="str">
        <f>IF(AND('领用录入（明细）'!D:D=$F$4,'领用录入（明细）'!C:C&gt;=$J$4,'领用录入（明细）'!C:C&lt;=$L$4),ROW(),"-")</f>
        <v>-</v>
      </c>
    </row>
    <row r="49905" customHeight="1" spans="2:2">
      <c r="B49905" s="62" t="str">
        <f>IF(AND('领用录入（明细）'!D:D=$F$4,'领用录入（明细）'!C:C&gt;=$J$4,'领用录入（明细）'!C:C&lt;=$L$4),ROW(),"-")</f>
        <v>-</v>
      </c>
    </row>
    <row r="49906" customHeight="1" spans="2:2">
      <c r="B49906" s="62" t="str">
        <f>IF(AND('领用录入（明细）'!D:D=$F$4,'领用录入（明细）'!C:C&gt;=$J$4,'领用录入（明细）'!C:C&lt;=$L$4),ROW(),"-")</f>
        <v>-</v>
      </c>
    </row>
    <row r="49907" customHeight="1" spans="2:2">
      <c r="B49907" s="62" t="str">
        <f>IF(AND('领用录入（明细）'!D:D=$F$4,'领用录入（明细）'!C:C&gt;=$J$4,'领用录入（明细）'!C:C&lt;=$L$4),ROW(),"-")</f>
        <v>-</v>
      </c>
    </row>
    <row r="49908" customHeight="1" spans="2:2">
      <c r="B49908" s="62" t="str">
        <f>IF(AND('领用录入（明细）'!D:D=$F$4,'领用录入（明细）'!C:C&gt;=$J$4,'领用录入（明细）'!C:C&lt;=$L$4),ROW(),"-")</f>
        <v>-</v>
      </c>
    </row>
    <row r="49909" customHeight="1" spans="2:2">
      <c r="B49909" s="62" t="str">
        <f>IF(AND('领用录入（明细）'!D:D=$F$4,'领用录入（明细）'!C:C&gt;=$J$4,'领用录入（明细）'!C:C&lt;=$L$4),ROW(),"-")</f>
        <v>-</v>
      </c>
    </row>
    <row r="49910" customHeight="1" spans="2:2">
      <c r="B49910" s="62" t="str">
        <f>IF(AND('领用录入（明细）'!D:D=$F$4,'领用录入（明细）'!C:C&gt;=$J$4,'领用录入（明细）'!C:C&lt;=$L$4),ROW(),"-")</f>
        <v>-</v>
      </c>
    </row>
    <row r="49911" customHeight="1" spans="2:2">
      <c r="B49911" s="62" t="str">
        <f>IF(AND('领用录入（明细）'!D:D=$F$4,'领用录入（明细）'!C:C&gt;=$J$4,'领用录入（明细）'!C:C&lt;=$L$4),ROW(),"-")</f>
        <v>-</v>
      </c>
    </row>
    <row r="49912" customHeight="1" spans="2:2">
      <c r="B49912" s="62" t="str">
        <f>IF(AND('领用录入（明细）'!D:D=$F$4,'领用录入（明细）'!C:C&gt;=$J$4,'领用录入（明细）'!C:C&lt;=$L$4),ROW(),"-")</f>
        <v>-</v>
      </c>
    </row>
    <row r="49913" customHeight="1" spans="2:2">
      <c r="B49913" s="62" t="str">
        <f>IF(AND('领用录入（明细）'!D:D=$F$4,'领用录入（明细）'!C:C&gt;=$J$4,'领用录入（明细）'!C:C&lt;=$L$4),ROW(),"-")</f>
        <v>-</v>
      </c>
    </row>
    <row r="49914" customHeight="1" spans="2:2">
      <c r="B49914" s="62" t="str">
        <f>IF(AND('领用录入（明细）'!D:D=$F$4,'领用录入（明细）'!C:C&gt;=$J$4,'领用录入（明细）'!C:C&lt;=$L$4),ROW(),"-")</f>
        <v>-</v>
      </c>
    </row>
    <row r="49915" customHeight="1" spans="2:2">
      <c r="B49915" s="62" t="str">
        <f>IF(AND('领用录入（明细）'!D:D=$F$4,'领用录入（明细）'!C:C&gt;=$J$4,'领用录入（明细）'!C:C&lt;=$L$4),ROW(),"-")</f>
        <v>-</v>
      </c>
    </row>
    <row r="49916" customHeight="1" spans="2:2">
      <c r="B49916" s="62" t="str">
        <f>IF(AND('领用录入（明细）'!D:D=$F$4,'领用录入（明细）'!C:C&gt;=$J$4,'领用录入（明细）'!C:C&lt;=$L$4),ROW(),"-")</f>
        <v>-</v>
      </c>
    </row>
    <row r="49917" customHeight="1" spans="2:2">
      <c r="B49917" s="62" t="str">
        <f>IF(AND('领用录入（明细）'!D:D=$F$4,'领用录入（明细）'!C:C&gt;=$J$4,'领用录入（明细）'!C:C&lt;=$L$4),ROW(),"-")</f>
        <v>-</v>
      </c>
    </row>
    <row r="49918" customHeight="1" spans="2:2">
      <c r="B49918" s="62" t="str">
        <f>IF(AND('领用录入（明细）'!D:D=$F$4,'领用录入（明细）'!C:C&gt;=$J$4,'领用录入（明细）'!C:C&lt;=$L$4),ROW(),"-")</f>
        <v>-</v>
      </c>
    </row>
    <row r="49919" customHeight="1" spans="2:2">
      <c r="B49919" s="62" t="str">
        <f>IF(AND('领用录入（明细）'!D:D=$F$4,'领用录入（明细）'!C:C&gt;=$J$4,'领用录入（明细）'!C:C&lt;=$L$4),ROW(),"-")</f>
        <v>-</v>
      </c>
    </row>
    <row r="49920" customHeight="1" spans="2:2">
      <c r="B49920" s="62" t="str">
        <f>IF(AND('领用录入（明细）'!D:D=$F$4,'领用录入（明细）'!C:C&gt;=$J$4,'领用录入（明细）'!C:C&lt;=$L$4),ROW(),"-")</f>
        <v>-</v>
      </c>
    </row>
    <row r="49921" customHeight="1" spans="2:2">
      <c r="B49921" s="62" t="str">
        <f>IF(AND('领用录入（明细）'!D:D=$F$4,'领用录入（明细）'!C:C&gt;=$J$4,'领用录入（明细）'!C:C&lt;=$L$4),ROW(),"-")</f>
        <v>-</v>
      </c>
    </row>
    <row r="49922" customHeight="1" spans="2:2">
      <c r="B49922" s="62" t="str">
        <f>IF(AND('领用录入（明细）'!D:D=$F$4,'领用录入（明细）'!C:C&gt;=$J$4,'领用录入（明细）'!C:C&lt;=$L$4),ROW(),"-")</f>
        <v>-</v>
      </c>
    </row>
    <row r="49923" customHeight="1" spans="2:2">
      <c r="B49923" s="62" t="str">
        <f>IF(AND('领用录入（明细）'!D:D=$F$4,'领用录入（明细）'!C:C&gt;=$J$4,'领用录入（明细）'!C:C&lt;=$L$4),ROW(),"-")</f>
        <v>-</v>
      </c>
    </row>
    <row r="49924" customHeight="1" spans="2:2">
      <c r="B49924" s="62" t="str">
        <f>IF(AND('领用录入（明细）'!D:D=$F$4,'领用录入（明细）'!C:C&gt;=$J$4,'领用录入（明细）'!C:C&lt;=$L$4),ROW(),"-")</f>
        <v>-</v>
      </c>
    </row>
    <row r="49925" customHeight="1" spans="2:2">
      <c r="B49925" s="62" t="str">
        <f>IF(AND('领用录入（明细）'!D:D=$F$4,'领用录入（明细）'!C:C&gt;=$J$4,'领用录入（明细）'!C:C&lt;=$L$4),ROW(),"-")</f>
        <v>-</v>
      </c>
    </row>
    <row r="49926" customHeight="1" spans="2:2">
      <c r="B49926" s="62" t="str">
        <f>IF(AND('领用录入（明细）'!D:D=$F$4,'领用录入（明细）'!C:C&gt;=$J$4,'领用录入（明细）'!C:C&lt;=$L$4),ROW(),"-")</f>
        <v>-</v>
      </c>
    </row>
    <row r="49927" customHeight="1" spans="2:2">
      <c r="B49927" s="62" t="str">
        <f>IF(AND('领用录入（明细）'!D:D=$F$4,'领用录入（明细）'!C:C&gt;=$J$4,'领用录入（明细）'!C:C&lt;=$L$4),ROW(),"-")</f>
        <v>-</v>
      </c>
    </row>
    <row r="49928" customHeight="1" spans="2:2">
      <c r="B49928" s="62" t="str">
        <f>IF(AND('领用录入（明细）'!D:D=$F$4,'领用录入（明细）'!C:C&gt;=$J$4,'领用录入（明细）'!C:C&lt;=$L$4),ROW(),"-")</f>
        <v>-</v>
      </c>
    </row>
    <row r="49929" customHeight="1" spans="2:2">
      <c r="B49929" s="62" t="str">
        <f>IF(AND('领用录入（明细）'!D:D=$F$4,'领用录入（明细）'!C:C&gt;=$J$4,'领用录入（明细）'!C:C&lt;=$L$4),ROW(),"-")</f>
        <v>-</v>
      </c>
    </row>
    <row r="49930" customHeight="1" spans="2:2">
      <c r="B49930" s="62" t="str">
        <f>IF(AND('领用录入（明细）'!D:D=$F$4,'领用录入（明细）'!C:C&gt;=$J$4,'领用录入（明细）'!C:C&lt;=$L$4),ROW(),"-")</f>
        <v>-</v>
      </c>
    </row>
    <row r="49931" customHeight="1" spans="2:2">
      <c r="B49931" s="62" t="str">
        <f>IF(AND('领用录入（明细）'!D:D=$F$4,'领用录入（明细）'!C:C&gt;=$J$4,'领用录入（明细）'!C:C&lt;=$L$4),ROW(),"-")</f>
        <v>-</v>
      </c>
    </row>
    <row r="49932" customHeight="1" spans="2:2">
      <c r="B49932" s="62" t="str">
        <f>IF(AND('领用录入（明细）'!D:D=$F$4,'领用录入（明细）'!C:C&gt;=$J$4,'领用录入（明细）'!C:C&lt;=$L$4),ROW(),"-")</f>
        <v>-</v>
      </c>
    </row>
    <row r="49933" customHeight="1" spans="2:2">
      <c r="B49933" s="62" t="str">
        <f>IF(AND('领用录入（明细）'!D:D=$F$4,'领用录入（明细）'!C:C&gt;=$J$4,'领用录入（明细）'!C:C&lt;=$L$4),ROW(),"-")</f>
        <v>-</v>
      </c>
    </row>
    <row r="49934" customHeight="1" spans="2:2">
      <c r="B49934" s="62" t="str">
        <f>IF(AND('领用录入（明细）'!D:D=$F$4,'领用录入（明细）'!C:C&gt;=$J$4,'领用录入（明细）'!C:C&lt;=$L$4),ROW(),"-")</f>
        <v>-</v>
      </c>
    </row>
    <row r="49935" customHeight="1" spans="2:2">
      <c r="B49935" s="62" t="str">
        <f>IF(AND('领用录入（明细）'!D:D=$F$4,'领用录入（明细）'!C:C&gt;=$J$4,'领用录入（明细）'!C:C&lt;=$L$4),ROW(),"-")</f>
        <v>-</v>
      </c>
    </row>
    <row r="49936" customHeight="1" spans="2:2">
      <c r="B49936" s="62" t="str">
        <f>IF(AND('领用录入（明细）'!D:D=$F$4,'领用录入（明细）'!C:C&gt;=$J$4,'领用录入（明细）'!C:C&lt;=$L$4),ROW(),"-")</f>
        <v>-</v>
      </c>
    </row>
    <row r="49937" customHeight="1" spans="2:2">
      <c r="B49937" s="62" t="str">
        <f>IF(AND('领用录入（明细）'!D:D=$F$4,'领用录入（明细）'!C:C&gt;=$J$4,'领用录入（明细）'!C:C&lt;=$L$4),ROW(),"-")</f>
        <v>-</v>
      </c>
    </row>
    <row r="49938" customHeight="1" spans="2:2">
      <c r="B49938" s="62" t="str">
        <f>IF(AND('领用录入（明细）'!D:D=$F$4,'领用录入（明细）'!C:C&gt;=$J$4,'领用录入（明细）'!C:C&lt;=$L$4),ROW(),"-")</f>
        <v>-</v>
      </c>
    </row>
    <row r="49939" customHeight="1" spans="2:2">
      <c r="B49939" s="62" t="str">
        <f>IF(AND('领用录入（明细）'!D:D=$F$4,'领用录入（明细）'!C:C&gt;=$J$4,'领用录入（明细）'!C:C&lt;=$L$4),ROW(),"-")</f>
        <v>-</v>
      </c>
    </row>
    <row r="49940" customHeight="1" spans="2:2">
      <c r="B49940" s="62" t="str">
        <f>IF(AND('领用录入（明细）'!D:D=$F$4,'领用录入（明细）'!C:C&gt;=$J$4,'领用录入（明细）'!C:C&lt;=$L$4),ROW(),"-")</f>
        <v>-</v>
      </c>
    </row>
    <row r="49941" customHeight="1" spans="2:2">
      <c r="B49941" s="62" t="str">
        <f>IF(AND('领用录入（明细）'!D:D=$F$4,'领用录入（明细）'!C:C&gt;=$J$4,'领用录入（明细）'!C:C&lt;=$L$4),ROW(),"-")</f>
        <v>-</v>
      </c>
    </row>
    <row r="49942" customHeight="1" spans="2:2">
      <c r="B49942" s="62" t="str">
        <f>IF(AND('领用录入（明细）'!D:D=$F$4,'领用录入（明细）'!C:C&gt;=$J$4,'领用录入（明细）'!C:C&lt;=$L$4),ROW(),"-")</f>
        <v>-</v>
      </c>
    </row>
    <row r="49943" customHeight="1" spans="2:2">
      <c r="B49943" s="62" t="str">
        <f>IF(AND('领用录入（明细）'!D:D=$F$4,'领用录入（明细）'!C:C&gt;=$J$4,'领用录入（明细）'!C:C&lt;=$L$4),ROW(),"-")</f>
        <v>-</v>
      </c>
    </row>
    <row r="49944" customHeight="1" spans="2:2">
      <c r="B49944" s="62" t="str">
        <f>IF(AND('领用录入（明细）'!D:D=$F$4,'领用录入（明细）'!C:C&gt;=$J$4,'领用录入（明细）'!C:C&lt;=$L$4),ROW(),"-")</f>
        <v>-</v>
      </c>
    </row>
    <row r="49945" customHeight="1" spans="2:2">
      <c r="B49945" s="62" t="str">
        <f>IF(AND('领用录入（明细）'!D:D=$F$4,'领用录入（明细）'!C:C&gt;=$J$4,'领用录入（明细）'!C:C&lt;=$L$4),ROW(),"-")</f>
        <v>-</v>
      </c>
    </row>
    <row r="49946" customHeight="1" spans="2:2">
      <c r="B49946" s="62" t="str">
        <f>IF(AND('领用录入（明细）'!D:D=$F$4,'领用录入（明细）'!C:C&gt;=$J$4,'领用录入（明细）'!C:C&lt;=$L$4),ROW(),"-")</f>
        <v>-</v>
      </c>
    </row>
    <row r="49947" customHeight="1" spans="2:2">
      <c r="B49947" s="62" t="str">
        <f>IF(AND('领用录入（明细）'!D:D=$F$4,'领用录入（明细）'!C:C&gt;=$J$4,'领用录入（明细）'!C:C&lt;=$L$4),ROW(),"-")</f>
        <v>-</v>
      </c>
    </row>
    <row r="49948" customHeight="1" spans="2:2">
      <c r="B49948" s="62" t="str">
        <f>IF(AND('领用录入（明细）'!D:D=$F$4,'领用录入（明细）'!C:C&gt;=$J$4,'领用录入（明细）'!C:C&lt;=$L$4),ROW(),"-")</f>
        <v>-</v>
      </c>
    </row>
    <row r="49949" customHeight="1" spans="2:2">
      <c r="B49949" s="62" t="str">
        <f>IF(AND('领用录入（明细）'!D:D=$F$4,'领用录入（明细）'!C:C&gt;=$J$4,'领用录入（明细）'!C:C&lt;=$L$4),ROW(),"-")</f>
        <v>-</v>
      </c>
    </row>
    <row r="49950" customHeight="1" spans="2:2">
      <c r="B49950" s="62" t="str">
        <f>IF(AND('领用录入（明细）'!D:D=$F$4,'领用录入（明细）'!C:C&gt;=$J$4,'领用录入（明细）'!C:C&lt;=$L$4),ROW(),"-")</f>
        <v>-</v>
      </c>
    </row>
    <row r="49951" customHeight="1" spans="2:2">
      <c r="B49951" s="62" t="str">
        <f>IF(AND('领用录入（明细）'!D:D=$F$4,'领用录入（明细）'!C:C&gt;=$J$4,'领用录入（明细）'!C:C&lt;=$L$4),ROW(),"-")</f>
        <v>-</v>
      </c>
    </row>
    <row r="49952" customHeight="1" spans="2:2">
      <c r="B49952" s="62" t="str">
        <f>IF(AND('领用录入（明细）'!D:D=$F$4,'领用录入（明细）'!C:C&gt;=$J$4,'领用录入（明细）'!C:C&lt;=$L$4),ROW(),"-")</f>
        <v>-</v>
      </c>
    </row>
    <row r="49953" customHeight="1" spans="2:2">
      <c r="B49953" s="62" t="str">
        <f>IF(AND('领用录入（明细）'!D:D=$F$4,'领用录入（明细）'!C:C&gt;=$J$4,'领用录入（明细）'!C:C&lt;=$L$4),ROW(),"-")</f>
        <v>-</v>
      </c>
    </row>
    <row r="49954" customHeight="1" spans="2:2">
      <c r="B49954" s="62" t="str">
        <f>IF(AND('领用录入（明细）'!D:D=$F$4,'领用录入（明细）'!C:C&gt;=$J$4,'领用录入（明细）'!C:C&lt;=$L$4),ROW(),"-")</f>
        <v>-</v>
      </c>
    </row>
    <row r="49955" customHeight="1" spans="2:2">
      <c r="B49955" s="62" t="str">
        <f>IF(AND('领用录入（明细）'!D:D=$F$4,'领用录入（明细）'!C:C&gt;=$J$4,'领用录入（明细）'!C:C&lt;=$L$4),ROW(),"-")</f>
        <v>-</v>
      </c>
    </row>
    <row r="49956" customHeight="1" spans="2:2">
      <c r="B49956" s="62" t="str">
        <f>IF(AND('领用录入（明细）'!D:D=$F$4,'领用录入（明细）'!C:C&gt;=$J$4,'领用录入（明细）'!C:C&lt;=$L$4),ROW(),"-")</f>
        <v>-</v>
      </c>
    </row>
    <row r="49957" customHeight="1" spans="2:2">
      <c r="B49957" s="62" t="str">
        <f>IF(AND('领用录入（明细）'!D:D=$F$4,'领用录入（明细）'!C:C&gt;=$J$4,'领用录入（明细）'!C:C&lt;=$L$4),ROW(),"-")</f>
        <v>-</v>
      </c>
    </row>
    <row r="49958" customHeight="1" spans="2:2">
      <c r="B49958" s="62" t="str">
        <f>IF(AND('领用录入（明细）'!D:D=$F$4,'领用录入（明细）'!C:C&gt;=$J$4,'领用录入（明细）'!C:C&lt;=$L$4),ROW(),"-")</f>
        <v>-</v>
      </c>
    </row>
    <row r="49959" customHeight="1" spans="2:2">
      <c r="B49959" s="62" t="str">
        <f>IF(AND('领用录入（明细）'!D:D=$F$4,'领用录入（明细）'!C:C&gt;=$J$4,'领用录入（明细）'!C:C&lt;=$L$4),ROW(),"-")</f>
        <v>-</v>
      </c>
    </row>
    <row r="49960" customHeight="1" spans="2:2">
      <c r="B49960" s="62" t="str">
        <f>IF(AND('领用录入（明细）'!D:D=$F$4,'领用录入（明细）'!C:C&gt;=$J$4,'领用录入（明细）'!C:C&lt;=$L$4),ROW(),"-")</f>
        <v>-</v>
      </c>
    </row>
    <row r="49961" customHeight="1" spans="2:2">
      <c r="B49961" s="62" t="str">
        <f>IF(AND('领用录入（明细）'!D:D=$F$4,'领用录入（明细）'!C:C&gt;=$J$4,'领用录入（明细）'!C:C&lt;=$L$4),ROW(),"-")</f>
        <v>-</v>
      </c>
    </row>
    <row r="49962" customHeight="1" spans="2:2">
      <c r="B49962" s="62" t="str">
        <f>IF(AND('领用录入（明细）'!D:D=$F$4,'领用录入（明细）'!C:C&gt;=$J$4,'领用录入（明细）'!C:C&lt;=$L$4),ROW(),"-")</f>
        <v>-</v>
      </c>
    </row>
    <row r="49963" customHeight="1" spans="2:2">
      <c r="B49963" s="62" t="str">
        <f>IF(AND('领用录入（明细）'!D:D=$F$4,'领用录入（明细）'!C:C&gt;=$J$4,'领用录入（明细）'!C:C&lt;=$L$4),ROW(),"-")</f>
        <v>-</v>
      </c>
    </row>
    <row r="49964" customHeight="1" spans="2:2">
      <c r="B49964" s="62" t="str">
        <f>IF(AND('领用录入（明细）'!D:D=$F$4,'领用录入（明细）'!C:C&gt;=$J$4,'领用录入（明细）'!C:C&lt;=$L$4),ROW(),"-")</f>
        <v>-</v>
      </c>
    </row>
    <row r="49965" customHeight="1" spans="2:2">
      <c r="B49965" s="62" t="str">
        <f>IF(AND('领用录入（明细）'!D:D=$F$4,'领用录入（明细）'!C:C&gt;=$J$4,'领用录入（明细）'!C:C&lt;=$L$4),ROW(),"-")</f>
        <v>-</v>
      </c>
    </row>
    <row r="49966" customHeight="1" spans="2:2">
      <c r="B49966" s="62" t="str">
        <f>IF(AND('领用录入（明细）'!D:D=$F$4,'领用录入（明细）'!C:C&gt;=$J$4,'领用录入（明细）'!C:C&lt;=$L$4),ROW(),"-")</f>
        <v>-</v>
      </c>
    </row>
    <row r="49967" customHeight="1" spans="2:2">
      <c r="B49967" s="62" t="str">
        <f>IF(AND('领用录入（明细）'!D:D=$F$4,'领用录入（明细）'!C:C&gt;=$J$4,'领用录入（明细）'!C:C&lt;=$L$4),ROW(),"-")</f>
        <v>-</v>
      </c>
    </row>
    <row r="49968" customHeight="1" spans="2:2">
      <c r="B49968" s="62" t="str">
        <f>IF(AND('领用录入（明细）'!D:D=$F$4,'领用录入（明细）'!C:C&gt;=$J$4,'领用录入（明细）'!C:C&lt;=$L$4),ROW(),"-")</f>
        <v>-</v>
      </c>
    </row>
    <row r="49969" customHeight="1" spans="2:2">
      <c r="B49969" s="62" t="str">
        <f>IF(AND('领用录入（明细）'!D:D=$F$4,'领用录入（明细）'!C:C&gt;=$J$4,'领用录入（明细）'!C:C&lt;=$L$4),ROW(),"-")</f>
        <v>-</v>
      </c>
    </row>
    <row r="49970" customHeight="1" spans="2:2">
      <c r="B49970" s="62" t="str">
        <f>IF(AND('领用录入（明细）'!D:D=$F$4,'领用录入（明细）'!C:C&gt;=$J$4,'领用录入（明细）'!C:C&lt;=$L$4),ROW(),"-")</f>
        <v>-</v>
      </c>
    </row>
    <row r="49971" customHeight="1" spans="2:2">
      <c r="B49971" s="62" t="str">
        <f>IF(AND('领用录入（明细）'!D:D=$F$4,'领用录入（明细）'!C:C&gt;=$J$4,'领用录入（明细）'!C:C&lt;=$L$4),ROW(),"-")</f>
        <v>-</v>
      </c>
    </row>
    <row r="49972" customHeight="1" spans="2:2">
      <c r="B49972" s="62" t="str">
        <f>IF(AND('领用录入（明细）'!D:D=$F$4,'领用录入（明细）'!C:C&gt;=$J$4,'领用录入（明细）'!C:C&lt;=$L$4),ROW(),"-")</f>
        <v>-</v>
      </c>
    </row>
    <row r="49973" customHeight="1" spans="2:2">
      <c r="B49973" s="62" t="str">
        <f>IF(AND('领用录入（明细）'!D:D=$F$4,'领用录入（明细）'!C:C&gt;=$J$4,'领用录入（明细）'!C:C&lt;=$L$4),ROW(),"-")</f>
        <v>-</v>
      </c>
    </row>
    <row r="49974" customHeight="1" spans="2:2">
      <c r="B49974" s="62" t="str">
        <f>IF(AND('领用录入（明细）'!D:D=$F$4,'领用录入（明细）'!C:C&gt;=$J$4,'领用录入（明细）'!C:C&lt;=$L$4),ROW(),"-")</f>
        <v>-</v>
      </c>
    </row>
    <row r="49975" customHeight="1" spans="2:2">
      <c r="B49975" s="62" t="str">
        <f>IF(AND('领用录入（明细）'!D:D=$F$4,'领用录入（明细）'!C:C&gt;=$J$4,'领用录入（明细）'!C:C&lt;=$L$4),ROW(),"-")</f>
        <v>-</v>
      </c>
    </row>
    <row r="49976" customHeight="1" spans="2:2">
      <c r="B49976" s="62" t="str">
        <f>IF(AND('领用录入（明细）'!D:D=$F$4,'领用录入（明细）'!C:C&gt;=$J$4,'领用录入（明细）'!C:C&lt;=$L$4),ROW(),"-")</f>
        <v>-</v>
      </c>
    </row>
    <row r="49977" customHeight="1" spans="2:2">
      <c r="B49977" s="62" t="str">
        <f>IF(AND('领用录入（明细）'!D:D=$F$4,'领用录入（明细）'!C:C&gt;=$J$4,'领用录入（明细）'!C:C&lt;=$L$4),ROW(),"-")</f>
        <v>-</v>
      </c>
    </row>
    <row r="49978" customHeight="1" spans="2:2">
      <c r="B49978" s="62" t="str">
        <f>IF(AND('领用录入（明细）'!D:D=$F$4,'领用录入（明细）'!C:C&gt;=$J$4,'领用录入（明细）'!C:C&lt;=$L$4),ROW(),"-")</f>
        <v>-</v>
      </c>
    </row>
    <row r="49979" customHeight="1" spans="2:2">
      <c r="B49979" s="62" t="str">
        <f>IF(AND('领用录入（明细）'!D:D=$F$4,'领用录入（明细）'!C:C&gt;=$J$4,'领用录入（明细）'!C:C&lt;=$L$4),ROW(),"-")</f>
        <v>-</v>
      </c>
    </row>
    <row r="49980" customHeight="1" spans="2:2">
      <c r="B49980" s="62" t="str">
        <f>IF(AND('领用录入（明细）'!D:D=$F$4,'领用录入（明细）'!C:C&gt;=$J$4,'领用录入（明细）'!C:C&lt;=$L$4),ROW(),"-")</f>
        <v>-</v>
      </c>
    </row>
    <row r="49981" customHeight="1" spans="2:2">
      <c r="B49981" s="62" t="str">
        <f>IF(AND('领用录入（明细）'!D:D=$F$4,'领用录入（明细）'!C:C&gt;=$J$4,'领用录入（明细）'!C:C&lt;=$L$4),ROW(),"-")</f>
        <v>-</v>
      </c>
    </row>
    <row r="49982" customHeight="1" spans="2:2">
      <c r="B49982" s="62" t="str">
        <f>IF(AND('领用录入（明细）'!D:D=$F$4,'领用录入（明细）'!C:C&gt;=$J$4,'领用录入（明细）'!C:C&lt;=$L$4),ROW(),"-")</f>
        <v>-</v>
      </c>
    </row>
    <row r="49983" customHeight="1" spans="2:2">
      <c r="B49983" s="62" t="str">
        <f>IF(AND('领用录入（明细）'!D:D=$F$4,'领用录入（明细）'!C:C&gt;=$J$4,'领用录入（明细）'!C:C&lt;=$L$4),ROW(),"-")</f>
        <v>-</v>
      </c>
    </row>
    <row r="49984" customHeight="1" spans="2:2">
      <c r="B49984" s="62" t="str">
        <f>IF(AND('领用录入（明细）'!D:D=$F$4,'领用录入（明细）'!C:C&gt;=$J$4,'领用录入（明细）'!C:C&lt;=$L$4),ROW(),"-")</f>
        <v>-</v>
      </c>
    </row>
    <row r="49985" customHeight="1" spans="2:2">
      <c r="B49985" s="62" t="str">
        <f>IF(AND('领用录入（明细）'!D:D=$F$4,'领用录入（明细）'!C:C&gt;=$J$4,'领用录入（明细）'!C:C&lt;=$L$4),ROW(),"-")</f>
        <v>-</v>
      </c>
    </row>
    <row r="49986" customHeight="1" spans="2:2">
      <c r="B49986" s="62" t="str">
        <f>IF(AND('领用录入（明细）'!D:D=$F$4,'领用录入（明细）'!C:C&gt;=$J$4,'领用录入（明细）'!C:C&lt;=$L$4),ROW(),"-")</f>
        <v>-</v>
      </c>
    </row>
    <row r="49987" customHeight="1" spans="2:2">
      <c r="B49987" s="62" t="str">
        <f>IF(AND('领用录入（明细）'!D:D=$F$4,'领用录入（明细）'!C:C&gt;=$J$4,'领用录入（明细）'!C:C&lt;=$L$4),ROW(),"-")</f>
        <v>-</v>
      </c>
    </row>
    <row r="49988" customHeight="1" spans="2:2">
      <c r="B49988" s="62" t="str">
        <f>IF(AND('领用录入（明细）'!D:D=$F$4,'领用录入（明细）'!C:C&gt;=$J$4,'领用录入（明细）'!C:C&lt;=$L$4),ROW(),"-")</f>
        <v>-</v>
      </c>
    </row>
    <row r="49989" customHeight="1" spans="2:2">
      <c r="B49989" s="62" t="str">
        <f>IF(AND('领用录入（明细）'!D:D=$F$4,'领用录入（明细）'!C:C&gt;=$J$4,'领用录入（明细）'!C:C&lt;=$L$4),ROW(),"-")</f>
        <v>-</v>
      </c>
    </row>
    <row r="49990" customHeight="1" spans="2:2">
      <c r="B49990" s="62" t="str">
        <f>IF(AND('领用录入（明细）'!D:D=$F$4,'领用录入（明细）'!C:C&gt;=$J$4,'领用录入（明细）'!C:C&lt;=$L$4),ROW(),"-")</f>
        <v>-</v>
      </c>
    </row>
    <row r="49991" customHeight="1" spans="2:2">
      <c r="B49991" s="62" t="str">
        <f>IF(AND('领用录入（明细）'!D:D=$F$4,'领用录入（明细）'!C:C&gt;=$J$4,'领用录入（明细）'!C:C&lt;=$L$4),ROW(),"-")</f>
        <v>-</v>
      </c>
    </row>
    <row r="49992" customHeight="1" spans="2:2">
      <c r="B49992" s="62" t="str">
        <f>IF(AND('领用录入（明细）'!D:D=$F$4,'领用录入（明细）'!C:C&gt;=$J$4,'领用录入（明细）'!C:C&lt;=$L$4),ROW(),"-")</f>
        <v>-</v>
      </c>
    </row>
    <row r="49993" customHeight="1" spans="2:2">
      <c r="B49993" s="62" t="str">
        <f>IF(AND('领用录入（明细）'!D:D=$F$4,'领用录入（明细）'!C:C&gt;=$J$4,'领用录入（明细）'!C:C&lt;=$L$4),ROW(),"-")</f>
        <v>-</v>
      </c>
    </row>
    <row r="49994" customHeight="1" spans="2:2">
      <c r="B49994" s="62" t="str">
        <f>IF(AND('领用录入（明细）'!D:D=$F$4,'领用录入（明细）'!C:C&gt;=$J$4,'领用录入（明细）'!C:C&lt;=$L$4),ROW(),"-")</f>
        <v>-</v>
      </c>
    </row>
    <row r="49995" customHeight="1" spans="2:2">
      <c r="B49995" s="62" t="str">
        <f>IF(AND('领用录入（明细）'!D:D=$F$4,'领用录入（明细）'!C:C&gt;=$J$4,'领用录入（明细）'!C:C&lt;=$L$4),ROW(),"-")</f>
        <v>-</v>
      </c>
    </row>
    <row r="49996" customHeight="1" spans="2:2">
      <c r="B49996" s="62" t="str">
        <f>IF(AND('领用录入（明细）'!D:D=$F$4,'领用录入（明细）'!C:C&gt;=$J$4,'领用录入（明细）'!C:C&lt;=$L$4),ROW(),"-")</f>
        <v>-</v>
      </c>
    </row>
    <row r="49997" customHeight="1" spans="2:2">
      <c r="B49997" s="62" t="str">
        <f>IF(AND('领用录入（明细）'!D:D=$F$4,'领用录入（明细）'!C:C&gt;=$J$4,'领用录入（明细）'!C:C&lt;=$L$4),ROW(),"-")</f>
        <v>-</v>
      </c>
    </row>
    <row r="49998" customHeight="1" spans="2:2">
      <c r="B49998" s="62" t="str">
        <f>IF(AND('领用录入（明细）'!D:D=$F$4,'领用录入（明细）'!C:C&gt;=$J$4,'领用录入（明细）'!C:C&lt;=$L$4),ROW(),"-")</f>
        <v>-</v>
      </c>
    </row>
    <row r="49999" customHeight="1" spans="2:2">
      <c r="B49999" s="62" t="str">
        <f>IF(AND('领用录入（明细）'!D:D=$F$4,'领用录入（明细）'!C:C&gt;=$J$4,'领用录入（明细）'!C:C&lt;=$L$4),ROW(),"-")</f>
        <v>-</v>
      </c>
    </row>
    <row r="50000" customHeight="1" spans="2:2">
      <c r="B50000" s="62" t="str">
        <f>IF(AND('领用录入（明细）'!D:D=$F$4,'领用录入（明细）'!C:C&gt;=$J$4,'领用录入（明细）'!C:C&lt;=$L$4),ROW(),"-")</f>
        <v>-</v>
      </c>
    </row>
    <row r="50001" customHeight="1" spans="2:2">
      <c r="B50001" s="62" t="str">
        <f>IF(AND('领用录入（明细）'!D:D=$F$4,'领用录入（明细）'!C:C&gt;=$J$4,'领用录入（明细）'!C:C&lt;=$L$4),ROW(),"-")</f>
        <v>-</v>
      </c>
    </row>
    <row r="50002" customHeight="1" spans="2:2">
      <c r="B50002" s="62" t="str">
        <f>IF(AND('领用录入（明细）'!D:D=$F$4,'领用录入（明细）'!C:C&gt;=$J$4,'领用录入（明细）'!C:C&lt;=$L$4),ROW(),"-")</f>
        <v>-</v>
      </c>
    </row>
    <row r="50003" customHeight="1" spans="2:2">
      <c r="B50003" s="62" t="str">
        <f>IF(AND('领用录入（明细）'!D:D=$F$4,'领用录入（明细）'!C:C&gt;=$J$4,'领用录入（明细）'!C:C&lt;=$L$4),ROW(),"-")</f>
        <v>-</v>
      </c>
    </row>
    <row r="50004" customHeight="1" spans="2:2">
      <c r="B50004" s="62" t="str">
        <f>IF(AND('领用录入（明细）'!D:D=$F$4,'领用录入（明细）'!C:C&gt;=$J$4,'领用录入（明细）'!C:C&lt;=$L$4),ROW(),"-")</f>
        <v>-</v>
      </c>
    </row>
    <row r="50005" customHeight="1" spans="2:2">
      <c r="B50005" s="62" t="str">
        <f>IF(AND('领用录入（明细）'!D:D=$F$4,'领用录入（明细）'!C:C&gt;=$J$4,'领用录入（明细）'!C:C&lt;=$L$4),ROW(),"-")</f>
        <v>-</v>
      </c>
    </row>
  </sheetData>
  <sheetProtection sheet="1" objects="1"/>
  <mergeCells count="4">
    <mergeCell ref="D2:L2"/>
    <mergeCell ref="D4:E4"/>
    <mergeCell ref="H4:I4"/>
    <mergeCell ref="D6:M6"/>
  </mergeCells>
  <conditionalFormatting sqref="F11:J11">
    <cfRule type="notContainsBlanks" dxfId="1" priority="1499">
      <formula>LEN(TRIM(F11))&gt;0</formula>
    </cfRule>
  </conditionalFormatting>
  <conditionalFormatting sqref="K11">
    <cfRule type="notContainsBlanks" dxfId="1" priority="1002">
      <formula>LEN(TRIM(K11))&gt;0</formula>
    </cfRule>
  </conditionalFormatting>
  <conditionalFormatting sqref="F12:J12">
    <cfRule type="notContainsBlanks" dxfId="1" priority="1498">
      <formula>LEN(TRIM(F12))&gt;0</formula>
    </cfRule>
  </conditionalFormatting>
  <conditionalFormatting sqref="K12">
    <cfRule type="notContainsBlanks" dxfId="1" priority="1001">
      <formula>LEN(TRIM(K12))&gt;0</formula>
    </cfRule>
  </conditionalFormatting>
  <conditionalFormatting sqref="F13:J13">
    <cfRule type="notContainsBlanks" dxfId="1" priority="1497">
      <formula>LEN(TRIM(F13))&gt;0</formula>
    </cfRule>
  </conditionalFormatting>
  <conditionalFormatting sqref="K13">
    <cfRule type="notContainsBlanks" dxfId="1" priority="1000">
      <formula>LEN(TRIM(K13))&gt;0</formula>
    </cfRule>
  </conditionalFormatting>
  <conditionalFormatting sqref="F14:J14">
    <cfRule type="notContainsBlanks" dxfId="1" priority="1496">
      <formula>LEN(TRIM(F14))&gt;0</formula>
    </cfRule>
  </conditionalFormatting>
  <conditionalFormatting sqref="K14">
    <cfRule type="notContainsBlanks" dxfId="1" priority="999">
      <formula>LEN(TRIM(K14))&gt;0</formula>
    </cfRule>
  </conditionalFormatting>
  <conditionalFormatting sqref="F15:J15">
    <cfRule type="notContainsBlanks" dxfId="1" priority="1495">
      <formula>LEN(TRIM(F15))&gt;0</formula>
    </cfRule>
  </conditionalFormatting>
  <conditionalFormatting sqref="K15">
    <cfRule type="notContainsBlanks" dxfId="1" priority="998">
      <formula>LEN(TRIM(K15))&gt;0</formula>
    </cfRule>
  </conditionalFormatting>
  <conditionalFormatting sqref="F16:J16">
    <cfRule type="notContainsBlanks" dxfId="1" priority="1494">
      <formula>LEN(TRIM(F16))&gt;0</formula>
    </cfRule>
  </conditionalFormatting>
  <conditionalFormatting sqref="K16">
    <cfRule type="notContainsBlanks" dxfId="1" priority="997">
      <formula>LEN(TRIM(K16))&gt;0</formula>
    </cfRule>
  </conditionalFormatting>
  <conditionalFormatting sqref="F17:J17">
    <cfRule type="notContainsBlanks" dxfId="1" priority="1493">
      <formula>LEN(TRIM(F17))&gt;0</formula>
    </cfRule>
  </conditionalFormatting>
  <conditionalFormatting sqref="K17">
    <cfRule type="notContainsBlanks" dxfId="1" priority="996">
      <formula>LEN(TRIM(K17))&gt;0</formula>
    </cfRule>
  </conditionalFormatting>
  <conditionalFormatting sqref="F18:J18">
    <cfRule type="notContainsBlanks" dxfId="1" priority="1492">
      <formula>LEN(TRIM(F18))&gt;0</formula>
    </cfRule>
  </conditionalFormatting>
  <conditionalFormatting sqref="K18">
    <cfRule type="notContainsBlanks" dxfId="1" priority="995">
      <formula>LEN(TRIM(K18))&gt;0</formula>
    </cfRule>
  </conditionalFormatting>
  <conditionalFormatting sqref="F19:J19">
    <cfRule type="notContainsBlanks" dxfId="1" priority="1491">
      <formula>LEN(TRIM(F19))&gt;0</formula>
    </cfRule>
  </conditionalFormatting>
  <conditionalFormatting sqref="K19">
    <cfRule type="notContainsBlanks" dxfId="1" priority="994">
      <formula>LEN(TRIM(K19))&gt;0</formula>
    </cfRule>
  </conditionalFormatting>
  <conditionalFormatting sqref="F20:J20">
    <cfRule type="notContainsBlanks" dxfId="1" priority="1490">
      <formula>LEN(TRIM(F20))&gt;0</formula>
    </cfRule>
  </conditionalFormatting>
  <conditionalFormatting sqref="K20">
    <cfRule type="notContainsBlanks" dxfId="1" priority="993">
      <formula>LEN(TRIM(K20))&gt;0</formula>
    </cfRule>
  </conditionalFormatting>
  <conditionalFormatting sqref="F21:J21">
    <cfRule type="notContainsBlanks" dxfId="1" priority="1489">
      <formula>LEN(TRIM(F21))&gt;0</formula>
    </cfRule>
  </conditionalFormatting>
  <conditionalFormatting sqref="K21">
    <cfRule type="notContainsBlanks" dxfId="1" priority="992">
      <formula>LEN(TRIM(K21))&gt;0</formula>
    </cfRule>
  </conditionalFormatting>
  <conditionalFormatting sqref="F22:J22">
    <cfRule type="notContainsBlanks" dxfId="1" priority="1488">
      <formula>LEN(TRIM(F22))&gt;0</formula>
    </cfRule>
  </conditionalFormatting>
  <conditionalFormatting sqref="K22">
    <cfRule type="notContainsBlanks" dxfId="1" priority="991">
      <formula>LEN(TRIM(K22))&gt;0</formula>
    </cfRule>
  </conditionalFormatting>
  <conditionalFormatting sqref="F23:J23">
    <cfRule type="notContainsBlanks" dxfId="1" priority="1487">
      <formula>LEN(TRIM(F23))&gt;0</formula>
    </cfRule>
  </conditionalFormatting>
  <conditionalFormatting sqref="K23">
    <cfRule type="notContainsBlanks" dxfId="1" priority="990">
      <formula>LEN(TRIM(K23))&gt;0</formula>
    </cfRule>
  </conditionalFormatting>
  <conditionalFormatting sqref="F24:J24">
    <cfRule type="notContainsBlanks" dxfId="1" priority="1486">
      <formula>LEN(TRIM(F24))&gt;0</formula>
    </cfRule>
  </conditionalFormatting>
  <conditionalFormatting sqref="K24">
    <cfRule type="notContainsBlanks" dxfId="1" priority="989">
      <formula>LEN(TRIM(K24))&gt;0</formula>
    </cfRule>
  </conditionalFormatting>
  <conditionalFormatting sqref="F25:J25">
    <cfRule type="notContainsBlanks" dxfId="1" priority="1485">
      <formula>LEN(TRIM(F25))&gt;0</formula>
    </cfRule>
  </conditionalFormatting>
  <conditionalFormatting sqref="K25">
    <cfRule type="notContainsBlanks" dxfId="1" priority="988">
      <formula>LEN(TRIM(K25))&gt;0</formula>
    </cfRule>
  </conditionalFormatting>
  <conditionalFormatting sqref="F26:J26">
    <cfRule type="notContainsBlanks" dxfId="1" priority="1484">
      <formula>LEN(TRIM(F26))&gt;0</formula>
    </cfRule>
  </conditionalFormatting>
  <conditionalFormatting sqref="K26">
    <cfRule type="notContainsBlanks" dxfId="1" priority="987">
      <formula>LEN(TRIM(K26))&gt;0</formula>
    </cfRule>
  </conditionalFormatting>
  <conditionalFormatting sqref="F27:J27">
    <cfRule type="notContainsBlanks" dxfId="1" priority="1483">
      <formula>LEN(TRIM(F27))&gt;0</formula>
    </cfRule>
  </conditionalFormatting>
  <conditionalFormatting sqref="K27">
    <cfRule type="notContainsBlanks" dxfId="1" priority="986">
      <formula>LEN(TRIM(K27))&gt;0</formula>
    </cfRule>
  </conditionalFormatting>
  <conditionalFormatting sqref="F28:J28">
    <cfRule type="notContainsBlanks" dxfId="1" priority="1482">
      <formula>LEN(TRIM(F28))&gt;0</formula>
    </cfRule>
  </conditionalFormatting>
  <conditionalFormatting sqref="K28">
    <cfRule type="notContainsBlanks" dxfId="1" priority="985">
      <formula>LEN(TRIM(K28))&gt;0</formula>
    </cfRule>
  </conditionalFormatting>
  <conditionalFormatting sqref="F29:J29">
    <cfRule type="notContainsBlanks" dxfId="1" priority="1481">
      <formula>LEN(TRIM(F29))&gt;0</formula>
    </cfRule>
  </conditionalFormatting>
  <conditionalFormatting sqref="K29">
    <cfRule type="notContainsBlanks" dxfId="1" priority="984">
      <formula>LEN(TRIM(K29))&gt;0</formula>
    </cfRule>
  </conditionalFormatting>
  <conditionalFormatting sqref="F30:J30">
    <cfRule type="notContainsBlanks" dxfId="1" priority="1480">
      <formula>LEN(TRIM(F30))&gt;0</formula>
    </cfRule>
  </conditionalFormatting>
  <conditionalFormatting sqref="K30">
    <cfRule type="notContainsBlanks" dxfId="1" priority="983">
      <formula>LEN(TRIM(K30))&gt;0</formula>
    </cfRule>
  </conditionalFormatting>
  <conditionalFormatting sqref="F31:J31">
    <cfRule type="notContainsBlanks" dxfId="1" priority="1479">
      <formula>LEN(TRIM(F31))&gt;0</formula>
    </cfRule>
  </conditionalFormatting>
  <conditionalFormatting sqref="K31">
    <cfRule type="notContainsBlanks" dxfId="1" priority="982">
      <formula>LEN(TRIM(K31))&gt;0</formula>
    </cfRule>
  </conditionalFormatting>
  <conditionalFormatting sqref="F32:J32">
    <cfRule type="notContainsBlanks" dxfId="1" priority="1478">
      <formula>LEN(TRIM(F32))&gt;0</formula>
    </cfRule>
  </conditionalFormatting>
  <conditionalFormatting sqref="K32">
    <cfRule type="notContainsBlanks" dxfId="1" priority="981">
      <formula>LEN(TRIM(K32))&gt;0</formula>
    </cfRule>
  </conditionalFormatting>
  <conditionalFormatting sqref="F33:J33">
    <cfRule type="notContainsBlanks" dxfId="1" priority="1477">
      <formula>LEN(TRIM(F33))&gt;0</formula>
    </cfRule>
  </conditionalFormatting>
  <conditionalFormatting sqref="K33">
    <cfRule type="notContainsBlanks" dxfId="1" priority="980">
      <formula>LEN(TRIM(K33))&gt;0</formula>
    </cfRule>
  </conditionalFormatting>
  <conditionalFormatting sqref="F34:J34">
    <cfRule type="notContainsBlanks" dxfId="1" priority="1476">
      <formula>LEN(TRIM(F34))&gt;0</formula>
    </cfRule>
  </conditionalFormatting>
  <conditionalFormatting sqref="K34">
    <cfRule type="notContainsBlanks" dxfId="1" priority="979">
      <formula>LEN(TRIM(K34))&gt;0</formula>
    </cfRule>
  </conditionalFormatting>
  <conditionalFormatting sqref="F35:J35">
    <cfRule type="notContainsBlanks" dxfId="1" priority="1475">
      <formula>LEN(TRIM(F35))&gt;0</formula>
    </cfRule>
  </conditionalFormatting>
  <conditionalFormatting sqref="K35">
    <cfRule type="notContainsBlanks" dxfId="1" priority="978">
      <formula>LEN(TRIM(K35))&gt;0</formula>
    </cfRule>
  </conditionalFormatting>
  <conditionalFormatting sqref="F36:J36">
    <cfRule type="notContainsBlanks" dxfId="1" priority="1474">
      <formula>LEN(TRIM(F36))&gt;0</formula>
    </cfRule>
  </conditionalFormatting>
  <conditionalFormatting sqref="K36">
    <cfRule type="notContainsBlanks" dxfId="1" priority="977">
      <formula>LEN(TRIM(K36))&gt;0</formula>
    </cfRule>
  </conditionalFormatting>
  <conditionalFormatting sqref="F37:J37">
    <cfRule type="notContainsBlanks" dxfId="1" priority="1473">
      <formula>LEN(TRIM(F37))&gt;0</formula>
    </cfRule>
  </conditionalFormatting>
  <conditionalFormatting sqref="K37">
    <cfRule type="notContainsBlanks" dxfId="1" priority="976">
      <formula>LEN(TRIM(K37))&gt;0</formula>
    </cfRule>
  </conditionalFormatting>
  <conditionalFormatting sqref="F38:J38">
    <cfRule type="notContainsBlanks" dxfId="1" priority="1472">
      <formula>LEN(TRIM(F38))&gt;0</formula>
    </cfRule>
  </conditionalFormatting>
  <conditionalFormatting sqref="K38">
    <cfRule type="notContainsBlanks" dxfId="1" priority="975">
      <formula>LEN(TRIM(K38))&gt;0</formula>
    </cfRule>
  </conditionalFormatting>
  <conditionalFormatting sqref="F39:J39">
    <cfRule type="notContainsBlanks" dxfId="1" priority="1471">
      <formula>LEN(TRIM(F39))&gt;0</formula>
    </cfRule>
  </conditionalFormatting>
  <conditionalFormatting sqref="K39">
    <cfRule type="notContainsBlanks" dxfId="1" priority="974">
      <formula>LEN(TRIM(K39))&gt;0</formula>
    </cfRule>
  </conditionalFormatting>
  <conditionalFormatting sqref="F40:J40">
    <cfRule type="notContainsBlanks" dxfId="1" priority="1470">
      <formula>LEN(TRIM(F40))&gt;0</formula>
    </cfRule>
  </conditionalFormatting>
  <conditionalFormatting sqref="K40">
    <cfRule type="notContainsBlanks" dxfId="1" priority="973">
      <formula>LEN(TRIM(K40))&gt;0</formula>
    </cfRule>
  </conditionalFormatting>
  <conditionalFormatting sqref="F41:J41">
    <cfRule type="notContainsBlanks" dxfId="1" priority="1469">
      <formula>LEN(TRIM(F41))&gt;0</formula>
    </cfRule>
  </conditionalFormatting>
  <conditionalFormatting sqref="K41">
    <cfRule type="notContainsBlanks" dxfId="1" priority="972">
      <formula>LEN(TRIM(K41))&gt;0</formula>
    </cfRule>
  </conditionalFormatting>
  <conditionalFormatting sqref="F42:J42">
    <cfRule type="notContainsBlanks" dxfId="1" priority="1468">
      <formula>LEN(TRIM(F42))&gt;0</formula>
    </cfRule>
  </conditionalFormatting>
  <conditionalFormatting sqref="K42">
    <cfRule type="notContainsBlanks" dxfId="1" priority="971">
      <formula>LEN(TRIM(K42))&gt;0</formula>
    </cfRule>
  </conditionalFormatting>
  <conditionalFormatting sqref="F43:J43">
    <cfRule type="notContainsBlanks" dxfId="1" priority="1467">
      <formula>LEN(TRIM(F43))&gt;0</formula>
    </cfRule>
  </conditionalFormatting>
  <conditionalFormatting sqref="K43">
    <cfRule type="notContainsBlanks" dxfId="1" priority="970">
      <formula>LEN(TRIM(K43))&gt;0</formula>
    </cfRule>
  </conditionalFormatting>
  <conditionalFormatting sqref="F44:J44">
    <cfRule type="notContainsBlanks" dxfId="1" priority="1466">
      <formula>LEN(TRIM(F44))&gt;0</formula>
    </cfRule>
  </conditionalFormatting>
  <conditionalFormatting sqref="K44">
    <cfRule type="notContainsBlanks" dxfId="1" priority="969">
      <formula>LEN(TRIM(K44))&gt;0</formula>
    </cfRule>
  </conditionalFormatting>
  <conditionalFormatting sqref="F45:J45">
    <cfRule type="notContainsBlanks" dxfId="1" priority="1465">
      <formula>LEN(TRIM(F45))&gt;0</formula>
    </cfRule>
  </conditionalFormatting>
  <conditionalFormatting sqref="K45">
    <cfRule type="notContainsBlanks" dxfId="1" priority="968">
      <formula>LEN(TRIM(K45))&gt;0</formula>
    </cfRule>
  </conditionalFormatting>
  <conditionalFormatting sqref="F46:J46">
    <cfRule type="notContainsBlanks" dxfId="1" priority="1464">
      <formula>LEN(TRIM(F46))&gt;0</formula>
    </cfRule>
  </conditionalFormatting>
  <conditionalFormatting sqref="K46">
    <cfRule type="notContainsBlanks" dxfId="1" priority="967">
      <formula>LEN(TRIM(K46))&gt;0</formula>
    </cfRule>
  </conditionalFormatting>
  <conditionalFormatting sqref="F47:J47">
    <cfRule type="notContainsBlanks" dxfId="1" priority="1463">
      <formula>LEN(TRIM(F47))&gt;0</formula>
    </cfRule>
  </conditionalFormatting>
  <conditionalFormatting sqref="K47">
    <cfRule type="notContainsBlanks" dxfId="1" priority="966">
      <formula>LEN(TRIM(K47))&gt;0</formula>
    </cfRule>
  </conditionalFormatting>
  <conditionalFormatting sqref="F48:J48">
    <cfRule type="notContainsBlanks" dxfId="1" priority="1462">
      <formula>LEN(TRIM(F48))&gt;0</formula>
    </cfRule>
  </conditionalFormatting>
  <conditionalFormatting sqref="K48">
    <cfRule type="notContainsBlanks" dxfId="1" priority="965">
      <formula>LEN(TRIM(K48))&gt;0</formula>
    </cfRule>
  </conditionalFormatting>
  <conditionalFormatting sqref="F49:J49">
    <cfRule type="notContainsBlanks" dxfId="1" priority="1461">
      <formula>LEN(TRIM(F49))&gt;0</formula>
    </cfRule>
  </conditionalFormatting>
  <conditionalFormatting sqref="K49">
    <cfRule type="notContainsBlanks" dxfId="1" priority="964">
      <formula>LEN(TRIM(K49))&gt;0</formula>
    </cfRule>
  </conditionalFormatting>
  <conditionalFormatting sqref="F50:J50">
    <cfRule type="notContainsBlanks" dxfId="1" priority="1460">
      <formula>LEN(TRIM(F50))&gt;0</formula>
    </cfRule>
  </conditionalFormatting>
  <conditionalFormatting sqref="K50">
    <cfRule type="notContainsBlanks" dxfId="1" priority="963">
      <formula>LEN(TRIM(K50))&gt;0</formula>
    </cfRule>
  </conditionalFormatting>
  <conditionalFormatting sqref="F51:J51">
    <cfRule type="notContainsBlanks" dxfId="1" priority="1459">
      <formula>LEN(TRIM(F51))&gt;0</formula>
    </cfRule>
  </conditionalFormatting>
  <conditionalFormatting sqref="K51">
    <cfRule type="notContainsBlanks" dxfId="1" priority="962">
      <formula>LEN(TRIM(K51))&gt;0</formula>
    </cfRule>
  </conditionalFormatting>
  <conditionalFormatting sqref="F52:J52">
    <cfRule type="notContainsBlanks" dxfId="1" priority="1458">
      <formula>LEN(TRIM(F52))&gt;0</formula>
    </cfRule>
  </conditionalFormatting>
  <conditionalFormatting sqref="K52">
    <cfRule type="notContainsBlanks" dxfId="1" priority="961">
      <formula>LEN(TRIM(K52))&gt;0</formula>
    </cfRule>
  </conditionalFormatting>
  <conditionalFormatting sqref="F53:J53">
    <cfRule type="notContainsBlanks" dxfId="1" priority="1457">
      <formula>LEN(TRIM(F53))&gt;0</formula>
    </cfRule>
  </conditionalFormatting>
  <conditionalFormatting sqref="K53">
    <cfRule type="notContainsBlanks" dxfId="1" priority="960">
      <formula>LEN(TRIM(K53))&gt;0</formula>
    </cfRule>
  </conditionalFormatting>
  <conditionalFormatting sqref="F54:J54">
    <cfRule type="notContainsBlanks" dxfId="1" priority="1456">
      <formula>LEN(TRIM(F54))&gt;0</formula>
    </cfRule>
  </conditionalFormatting>
  <conditionalFormatting sqref="K54">
    <cfRule type="notContainsBlanks" dxfId="1" priority="959">
      <formula>LEN(TRIM(K54))&gt;0</formula>
    </cfRule>
  </conditionalFormatting>
  <conditionalFormatting sqref="F55:J55">
    <cfRule type="notContainsBlanks" dxfId="1" priority="1455">
      <formula>LEN(TRIM(F55))&gt;0</formula>
    </cfRule>
  </conditionalFormatting>
  <conditionalFormatting sqref="K55">
    <cfRule type="notContainsBlanks" dxfId="1" priority="958">
      <formula>LEN(TRIM(K55))&gt;0</formula>
    </cfRule>
  </conditionalFormatting>
  <conditionalFormatting sqref="F56:J56">
    <cfRule type="notContainsBlanks" dxfId="1" priority="1454">
      <formula>LEN(TRIM(F56))&gt;0</formula>
    </cfRule>
  </conditionalFormatting>
  <conditionalFormatting sqref="K56">
    <cfRule type="notContainsBlanks" dxfId="1" priority="957">
      <formula>LEN(TRIM(K56))&gt;0</formula>
    </cfRule>
  </conditionalFormatting>
  <conditionalFormatting sqref="F57:J57">
    <cfRule type="notContainsBlanks" dxfId="1" priority="1453">
      <formula>LEN(TRIM(F57))&gt;0</formula>
    </cfRule>
  </conditionalFormatting>
  <conditionalFormatting sqref="K57">
    <cfRule type="notContainsBlanks" dxfId="1" priority="956">
      <formula>LEN(TRIM(K57))&gt;0</formula>
    </cfRule>
  </conditionalFormatting>
  <conditionalFormatting sqref="F58:J58">
    <cfRule type="notContainsBlanks" dxfId="1" priority="1452">
      <formula>LEN(TRIM(F58))&gt;0</formula>
    </cfRule>
  </conditionalFormatting>
  <conditionalFormatting sqref="K58">
    <cfRule type="notContainsBlanks" dxfId="1" priority="955">
      <formula>LEN(TRIM(K58))&gt;0</formula>
    </cfRule>
  </conditionalFormatting>
  <conditionalFormatting sqref="F59:J59">
    <cfRule type="notContainsBlanks" dxfId="1" priority="1451">
      <formula>LEN(TRIM(F59))&gt;0</formula>
    </cfRule>
  </conditionalFormatting>
  <conditionalFormatting sqref="K59">
    <cfRule type="notContainsBlanks" dxfId="1" priority="954">
      <formula>LEN(TRIM(K59))&gt;0</formula>
    </cfRule>
  </conditionalFormatting>
  <conditionalFormatting sqref="F60:J60">
    <cfRule type="notContainsBlanks" dxfId="1" priority="1450">
      <formula>LEN(TRIM(F60))&gt;0</formula>
    </cfRule>
  </conditionalFormatting>
  <conditionalFormatting sqref="K60">
    <cfRule type="notContainsBlanks" dxfId="1" priority="953">
      <formula>LEN(TRIM(K60))&gt;0</formula>
    </cfRule>
  </conditionalFormatting>
  <conditionalFormatting sqref="F61:J61">
    <cfRule type="notContainsBlanks" dxfId="1" priority="1449">
      <formula>LEN(TRIM(F61))&gt;0</formula>
    </cfRule>
  </conditionalFormatting>
  <conditionalFormatting sqref="K61">
    <cfRule type="notContainsBlanks" dxfId="1" priority="952">
      <formula>LEN(TRIM(K61))&gt;0</formula>
    </cfRule>
  </conditionalFormatting>
  <conditionalFormatting sqref="F62:J62">
    <cfRule type="notContainsBlanks" dxfId="1" priority="1448">
      <formula>LEN(TRIM(F62))&gt;0</formula>
    </cfRule>
  </conditionalFormatting>
  <conditionalFormatting sqref="K62">
    <cfRule type="notContainsBlanks" dxfId="1" priority="951">
      <formula>LEN(TRIM(K62))&gt;0</formula>
    </cfRule>
  </conditionalFormatting>
  <conditionalFormatting sqref="F63:J63">
    <cfRule type="notContainsBlanks" dxfId="1" priority="1447">
      <formula>LEN(TRIM(F63))&gt;0</formula>
    </cfRule>
  </conditionalFormatting>
  <conditionalFormatting sqref="K63">
    <cfRule type="notContainsBlanks" dxfId="1" priority="950">
      <formula>LEN(TRIM(K63))&gt;0</formula>
    </cfRule>
  </conditionalFormatting>
  <conditionalFormatting sqref="F64:J64">
    <cfRule type="notContainsBlanks" dxfId="1" priority="1446">
      <formula>LEN(TRIM(F64))&gt;0</formula>
    </cfRule>
  </conditionalFormatting>
  <conditionalFormatting sqref="K64">
    <cfRule type="notContainsBlanks" dxfId="1" priority="949">
      <formula>LEN(TRIM(K64))&gt;0</formula>
    </cfRule>
  </conditionalFormatting>
  <conditionalFormatting sqref="F65:J65">
    <cfRule type="notContainsBlanks" dxfId="1" priority="1445">
      <formula>LEN(TRIM(F65))&gt;0</formula>
    </cfRule>
  </conditionalFormatting>
  <conditionalFormatting sqref="K65">
    <cfRule type="notContainsBlanks" dxfId="1" priority="948">
      <formula>LEN(TRIM(K65))&gt;0</formula>
    </cfRule>
  </conditionalFormatting>
  <conditionalFormatting sqref="F66:J66">
    <cfRule type="notContainsBlanks" dxfId="1" priority="1444">
      <formula>LEN(TRIM(F66))&gt;0</formula>
    </cfRule>
  </conditionalFormatting>
  <conditionalFormatting sqref="K66">
    <cfRule type="notContainsBlanks" dxfId="1" priority="947">
      <formula>LEN(TRIM(K66))&gt;0</formula>
    </cfRule>
  </conditionalFormatting>
  <conditionalFormatting sqref="F67:J67">
    <cfRule type="notContainsBlanks" dxfId="1" priority="1443">
      <formula>LEN(TRIM(F67))&gt;0</formula>
    </cfRule>
  </conditionalFormatting>
  <conditionalFormatting sqref="K67">
    <cfRule type="notContainsBlanks" dxfId="1" priority="946">
      <formula>LEN(TRIM(K67))&gt;0</formula>
    </cfRule>
  </conditionalFormatting>
  <conditionalFormatting sqref="F68:J68">
    <cfRule type="notContainsBlanks" dxfId="1" priority="1442">
      <formula>LEN(TRIM(F68))&gt;0</formula>
    </cfRule>
  </conditionalFormatting>
  <conditionalFormatting sqref="K68">
    <cfRule type="notContainsBlanks" dxfId="1" priority="945">
      <formula>LEN(TRIM(K68))&gt;0</formula>
    </cfRule>
  </conditionalFormatting>
  <conditionalFormatting sqref="F69:J69">
    <cfRule type="notContainsBlanks" dxfId="1" priority="1441">
      <formula>LEN(TRIM(F69))&gt;0</formula>
    </cfRule>
  </conditionalFormatting>
  <conditionalFormatting sqref="K69">
    <cfRule type="notContainsBlanks" dxfId="1" priority="944">
      <formula>LEN(TRIM(K69))&gt;0</formula>
    </cfRule>
  </conditionalFormatting>
  <conditionalFormatting sqref="F70:J70">
    <cfRule type="notContainsBlanks" dxfId="1" priority="1440">
      <formula>LEN(TRIM(F70))&gt;0</formula>
    </cfRule>
  </conditionalFormatting>
  <conditionalFormatting sqref="K70">
    <cfRule type="notContainsBlanks" dxfId="1" priority="943">
      <formula>LEN(TRIM(K70))&gt;0</formula>
    </cfRule>
  </conditionalFormatting>
  <conditionalFormatting sqref="F71:J71">
    <cfRule type="notContainsBlanks" dxfId="1" priority="1439">
      <formula>LEN(TRIM(F71))&gt;0</formula>
    </cfRule>
  </conditionalFormatting>
  <conditionalFormatting sqref="K71">
    <cfRule type="notContainsBlanks" dxfId="1" priority="942">
      <formula>LEN(TRIM(K71))&gt;0</formula>
    </cfRule>
  </conditionalFormatting>
  <conditionalFormatting sqref="F72:J72">
    <cfRule type="notContainsBlanks" dxfId="1" priority="1438">
      <formula>LEN(TRIM(F72))&gt;0</formula>
    </cfRule>
  </conditionalFormatting>
  <conditionalFormatting sqref="K72">
    <cfRule type="notContainsBlanks" dxfId="1" priority="941">
      <formula>LEN(TRIM(K72))&gt;0</formula>
    </cfRule>
  </conditionalFormatting>
  <conditionalFormatting sqref="F73:J73">
    <cfRule type="notContainsBlanks" dxfId="1" priority="1437">
      <formula>LEN(TRIM(F73))&gt;0</formula>
    </cfRule>
  </conditionalFormatting>
  <conditionalFormatting sqref="K73">
    <cfRule type="notContainsBlanks" dxfId="1" priority="940">
      <formula>LEN(TRIM(K73))&gt;0</formula>
    </cfRule>
  </conditionalFormatting>
  <conditionalFormatting sqref="F74:J74">
    <cfRule type="notContainsBlanks" dxfId="1" priority="1436">
      <formula>LEN(TRIM(F74))&gt;0</formula>
    </cfRule>
  </conditionalFormatting>
  <conditionalFormatting sqref="K74">
    <cfRule type="notContainsBlanks" dxfId="1" priority="939">
      <formula>LEN(TRIM(K74))&gt;0</formula>
    </cfRule>
  </conditionalFormatting>
  <conditionalFormatting sqref="F75:J75">
    <cfRule type="notContainsBlanks" dxfId="1" priority="1435">
      <formula>LEN(TRIM(F75))&gt;0</formula>
    </cfRule>
  </conditionalFormatting>
  <conditionalFormatting sqref="K75">
    <cfRule type="notContainsBlanks" dxfId="1" priority="938">
      <formula>LEN(TRIM(K75))&gt;0</formula>
    </cfRule>
  </conditionalFormatting>
  <conditionalFormatting sqref="F76:J76">
    <cfRule type="notContainsBlanks" dxfId="1" priority="1434">
      <formula>LEN(TRIM(F76))&gt;0</formula>
    </cfRule>
  </conditionalFormatting>
  <conditionalFormatting sqref="K76">
    <cfRule type="notContainsBlanks" dxfId="1" priority="937">
      <formula>LEN(TRIM(K76))&gt;0</formula>
    </cfRule>
  </conditionalFormatting>
  <conditionalFormatting sqref="F77:J77">
    <cfRule type="notContainsBlanks" dxfId="1" priority="1433">
      <formula>LEN(TRIM(F77))&gt;0</formula>
    </cfRule>
  </conditionalFormatting>
  <conditionalFormatting sqref="K77">
    <cfRule type="notContainsBlanks" dxfId="1" priority="936">
      <formula>LEN(TRIM(K77))&gt;0</formula>
    </cfRule>
  </conditionalFormatting>
  <conditionalFormatting sqref="F78:J78">
    <cfRule type="notContainsBlanks" dxfId="1" priority="1432">
      <formula>LEN(TRIM(F78))&gt;0</formula>
    </cfRule>
  </conditionalFormatting>
  <conditionalFormatting sqref="K78">
    <cfRule type="notContainsBlanks" dxfId="1" priority="935">
      <formula>LEN(TRIM(K78))&gt;0</formula>
    </cfRule>
  </conditionalFormatting>
  <conditionalFormatting sqref="F79:J79">
    <cfRule type="notContainsBlanks" dxfId="1" priority="1431">
      <formula>LEN(TRIM(F79))&gt;0</formula>
    </cfRule>
  </conditionalFormatting>
  <conditionalFormatting sqref="K79">
    <cfRule type="notContainsBlanks" dxfId="1" priority="934">
      <formula>LEN(TRIM(K79))&gt;0</formula>
    </cfRule>
  </conditionalFormatting>
  <conditionalFormatting sqref="F80:J80">
    <cfRule type="notContainsBlanks" dxfId="1" priority="1430">
      <formula>LEN(TRIM(F80))&gt;0</formula>
    </cfRule>
  </conditionalFormatting>
  <conditionalFormatting sqref="K80">
    <cfRule type="notContainsBlanks" dxfId="1" priority="933">
      <formula>LEN(TRIM(K80))&gt;0</formula>
    </cfRule>
  </conditionalFormatting>
  <conditionalFormatting sqref="F81:J81">
    <cfRule type="notContainsBlanks" dxfId="1" priority="1429">
      <formula>LEN(TRIM(F81))&gt;0</formula>
    </cfRule>
  </conditionalFormatting>
  <conditionalFormatting sqref="K81">
    <cfRule type="notContainsBlanks" dxfId="1" priority="932">
      <formula>LEN(TRIM(K81))&gt;0</formula>
    </cfRule>
  </conditionalFormatting>
  <conditionalFormatting sqref="F82:J82">
    <cfRule type="notContainsBlanks" dxfId="1" priority="1428">
      <formula>LEN(TRIM(F82))&gt;0</formula>
    </cfRule>
  </conditionalFormatting>
  <conditionalFormatting sqref="K82">
    <cfRule type="notContainsBlanks" dxfId="1" priority="931">
      <formula>LEN(TRIM(K82))&gt;0</formula>
    </cfRule>
  </conditionalFormatting>
  <conditionalFormatting sqref="F83:J83">
    <cfRule type="notContainsBlanks" dxfId="1" priority="1427">
      <formula>LEN(TRIM(F83))&gt;0</formula>
    </cfRule>
  </conditionalFormatting>
  <conditionalFormatting sqref="K83">
    <cfRule type="notContainsBlanks" dxfId="1" priority="930">
      <formula>LEN(TRIM(K83))&gt;0</formula>
    </cfRule>
  </conditionalFormatting>
  <conditionalFormatting sqref="F84:J84">
    <cfRule type="notContainsBlanks" dxfId="1" priority="1426">
      <formula>LEN(TRIM(F84))&gt;0</formula>
    </cfRule>
  </conditionalFormatting>
  <conditionalFormatting sqref="K84">
    <cfRule type="notContainsBlanks" dxfId="1" priority="929">
      <formula>LEN(TRIM(K84))&gt;0</formula>
    </cfRule>
  </conditionalFormatting>
  <conditionalFormatting sqref="F85:J85">
    <cfRule type="notContainsBlanks" dxfId="1" priority="1425">
      <formula>LEN(TRIM(F85))&gt;0</formula>
    </cfRule>
  </conditionalFormatting>
  <conditionalFormatting sqref="K85">
    <cfRule type="notContainsBlanks" dxfId="1" priority="928">
      <formula>LEN(TRIM(K85))&gt;0</formula>
    </cfRule>
  </conditionalFormatting>
  <conditionalFormatting sqref="F86:J86">
    <cfRule type="notContainsBlanks" dxfId="1" priority="1424">
      <formula>LEN(TRIM(F86))&gt;0</formula>
    </cfRule>
  </conditionalFormatting>
  <conditionalFormatting sqref="K86">
    <cfRule type="notContainsBlanks" dxfId="1" priority="927">
      <formula>LEN(TRIM(K86))&gt;0</formula>
    </cfRule>
  </conditionalFormatting>
  <conditionalFormatting sqref="F87:J87">
    <cfRule type="notContainsBlanks" dxfId="1" priority="1423">
      <formula>LEN(TRIM(F87))&gt;0</formula>
    </cfRule>
  </conditionalFormatting>
  <conditionalFormatting sqref="K87">
    <cfRule type="notContainsBlanks" dxfId="1" priority="926">
      <formula>LEN(TRIM(K87))&gt;0</formula>
    </cfRule>
  </conditionalFormatting>
  <conditionalFormatting sqref="F88:J88">
    <cfRule type="notContainsBlanks" dxfId="1" priority="1422">
      <formula>LEN(TRIM(F88))&gt;0</formula>
    </cfRule>
  </conditionalFormatting>
  <conditionalFormatting sqref="K88">
    <cfRule type="notContainsBlanks" dxfId="1" priority="925">
      <formula>LEN(TRIM(K88))&gt;0</formula>
    </cfRule>
  </conditionalFormatting>
  <conditionalFormatting sqref="F89:J89">
    <cfRule type="notContainsBlanks" dxfId="1" priority="1421">
      <formula>LEN(TRIM(F89))&gt;0</formula>
    </cfRule>
  </conditionalFormatting>
  <conditionalFormatting sqref="K89">
    <cfRule type="notContainsBlanks" dxfId="1" priority="924">
      <formula>LEN(TRIM(K89))&gt;0</formula>
    </cfRule>
  </conditionalFormatting>
  <conditionalFormatting sqref="F90:J90">
    <cfRule type="notContainsBlanks" dxfId="1" priority="1420">
      <formula>LEN(TRIM(F90))&gt;0</formula>
    </cfRule>
  </conditionalFormatting>
  <conditionalFormatting sqref="K90">
    <cfRule type="notContainsBlanks" dxfId="1" priority="923">
      <formula>LEN(TRIM(K90))&gt;0</formula>
    </cfRule>
  </conditionalFormatting>
  <conditionalFormatting sqref="F91:J91">
    <cfRule type="notContainsBlanks" dxfId="1" priority="1419">
      <formula>LEN(TRIM(F91))&gt;0</formula>
    </cfRule>
  </conditionalFormatting>
  <conditionalFormatting sqref="K91">
    <cfRule type="notContainsBlanks" dxfId="1" priority="922">
      <formula>LEN(TRIM(K91))&gt;0</formula>
    </cfRule>
  </conditionalFormatting>
  <conditionalFormatting sqref="F92:J92">
    <cfRule type="notContainsBlanks" dxfId="1" priority="1418">
      <formula>LEN(TRIM(F92))&gt;0</formula>
    </cfRule>
  </conditionalFormatting>
  <conditionalFormatting sqref="K92">
    <cfRule type="notContainsBlanks" dxfId="1" priority="921">
      <formula>LEN(TRIM(K92))&gt;0</formula>
    </cfRule>
  </conditionalFormatting>
  <conditionalFormatting sqref="F93:J93">
    <cfRule type="notContainsBlanks" dxfId="1" priority="1417">
      <formula>LEN(TRIM(F93))&gt;0</formula>
    </cfRule>
  </conditionalFormatting>
  <conditionalFormatting sqref="K93">
    <cfRule type="notContainsBlanks" dxfId="1" priority="920">
      <formula>LEN(TRIM(K93))&gt;0</formula>
    </cfRule>
  </conditionalFormatting>
  <conditionalFormatting sqref="F94:J94">
    <cfRule type="notContainsBlanks" dxfId="1" priority="1416">
      <formula>LEN(TRIM(F94))&gt;0</formula>
    </cfRule>
  </conditionalFormatting>
  <conditionalFormatting sqref="K94">
    <cfRule type="notContainsBlanks" dxfId="1" priority="919">
      <formula>LEN(TRIM(K94))&gt;0</formula>
    </cfRule>
  </conditionalFormatting>
  <conditionalFormatting sqref="F95:J95">
    <cfRule type="notContainsBlanks" dxfId="1" priority="1415">
      <formula>LEN(TRIM(F95))&gt;0</formula>
    </cfRule>
  </conditionalFormatting>
  <conditionalFormatting sqref="K95">
    <cfRule type="notContainsBlanks" dxfId="1" priority="918">
      <formula>LEN(TRIM(K95))&gt;0</formula>
    </cfRule>
  </conditionalFormatting>
  <conditionalFormatting sqref="F96:J96">
    <cfRule type="notContainsBlanks" dxfId="1" priority="1414">
      <formula>LEN(TRIM(F96))&gt;0</formula>
    </cfRule>
  </conditionalFormatting>
  <conditionalFormatting sqref="K96">
    <cfRule type="notContainsBlanks" dxfId="1" priority="917">
      <formula>LEN(TRIM(K96))&gt;0</formula>
    </cfRule>
  </conditionalFormatting>
  <conditionalFormatting sqref="F97:J97">
    <cfRule type="notContainsBlanks" dxfId="1" priority="1413">
      <formula>LEN(TRIM(F97))&gt;0</formula>
    </cfRule>
  </conditionalFormatting>
  <conditionalFormatting sqref="K97">
    <cfRule type="notContainsBlanks" dxfId="1" priority="916">
      <formula>LEN(TRIM(K97))&gt;0</formula>
    </cfRule>
  </conditionalFormatting>
  <conditionalFormatting sqref="F98:J98">
    <cfRule type="notContainsBlanks" dxfId="1" priority="1412">
      <formula>LEN(TRIM(F98))&gt;0</formula>
    </cfRule>
  </conditionalFormatting>
  <conditionalFormatting sqref="K98">
    <cfRule type="notContainsBlanks" dxfId="1" priority="915">
      <formula>LEN(TRIM(K98))&gt;0</formula>
    </cfRule>
  </conditionalFormatting>
  <conditionalFormatting sqref="F99:J99">
    <cfRule type="notContainsBlanks" dxfId="1" priority="1411">
      <formula>LEN(TRIM(F99))&gt;0</formula>
    </cfRule>
  </conditionalFormatting>
  <conditionalFormatting sqref="K99">
    <cfRule type="notContainsBlanks" dxfId="1" priority="914">
      <formula>LEN(TRIM(K99))&gt;0</formula>
    </cfRule>
  </conditionalFormatting>
  <conditionalFormatting sqref="F100:J100">
    <cfRule type="notContainsBlanks" dxfId="1" priority="1410">
      <formula>LEN(TRIM(F100))&gt;0</formula>
    </cfRule>
  </conditionalFormatting>
  <conditionalFormatting sqref="K100">
    <cfRule type="notContainsBlanks" dxfId="1" priority="913">
      <formula>LEN(TRIM(K100))&gt;0</formula>
    </cfRule>
  </conditionalFormatting>
  <conditionalFormatting sqref="F101:J101">
    <cfRule type="notContainsBlanks" dxfId="1" priority="1409">
      <formula>LEN(TRIM(F101))&gt;0</formula>
    </cfRule>
  </conditionalFormatting>
  <conditionalFormatting sqref="K101">
    <cfRule type="notContainsBlanks" dxfId="1" priority="912">
      <formula>LEN(TRIM(K101))&gt;0</formula>
    </cfRule>
  </conditionalFormatting>
  <conditionalFormatting sqref="F102:J102">
    <cfRule type="notContainsBlanks" dxfId="1" priority="1408">
      <formula>LEN(TRIM(F102))&gt;0</formula>
    </cfRule>
  </conditionalFormatting>
  <conditionalFormatting sqref="K102">
    <cfRule type="notContainsBlanks" dxfId="1" priority="911">
      <formula>LEN(TRIM(K102))&gt;0</formula>
    </cfRule>
  </conditionalFormatting>
  <conditionalFormatting sqref="F103:J103">
    <cfRule type="notContainsBlanks" dxfId="1" priority="1407">
      <formula>LEN(TRIM(F103))&gt;0</formula>
    </cfRule>
  </conditionalFormatting>
  <conditionalFormatting sqref="K103">
    <cfRule type="notContainsBlanks" dxfId="1" priority="910">
      <formula>LEN(TRIM(K103))&gt;0</formula>
    </cfRule>
  </conditionalFormatting>
  <conditionalFormatting sqref="F104:J104">
    <cfRule type="notContainsBlanks" dxfId="1" priority="1406">
      <formula>LEN(TRIM(F104))&gt;0</formula>
    </cfRule>
  </conditionalFormatting>
  <conditionalFormatting sqref="K104">
    <cfRule type="notContainsBlanks" dxfId="1" priority="909">
      <formula>LEN(TRIM(K104))&gt;0</formula>
    </cfRule>
  </conditionalFormatting>
  <conditionalFormatting sqref="F105:J105">
    <cfRule type="notContainsBlanks" dxfId="1" priority="1405">
      <formula>LEN(TRIM(F105))&gt;0</formula>
    </cfRule>
  </conditionalFormatting>
  <conditionalFormatting sqref="K105">
    <cfRule type="notContainsBlanks" dxfId="1" priority="908">
      <formula>LEN(TRIM(K105))&gt;0</formula>
    </cfRule>
  </conditionalFormatting>
  <conditionalFormatting sqref="F106:J106">
    <cfRule type="notContainsBlanks" dxfId="1" priority="1404">
      <formula>LEN(TRIM(F106))&gt;0</formula>
    </cfRule>
  </conditionalFormatting>
  <conditionalFormatting sqref="K106">
    <cfRule type="notContainsBlanks" dxfId="1" priority="907">
      <formula>LEN(TRIM(K106))&gt;0</formula>
    </cfRule>
  </conditionalFormatting>
  <conditionalFormatting sqref="F107:J107">
    <cfRule type="notContainsBlanks" dxfId="1" priority="1403">
      <formula>LEN(TRIM(F107))&gt;0</formula>
    </cfRule>
  </conditionalFormatting>
  <conditionalFormatting sqref="K107">
    <cfRule type="notContainsBlanks" dxfId="1" priority="906">
      <formula>LEN(TRIM(K107))&gt;0</formula>
    </cfRule>
  </conditionalFormatting>
  <conditionalFormatting sqref="F108:J108">
    <cfRule type="notContainsBlanks" dxfId="1" priority="1402">
      <formula>LEN(TRIM(F108))&gt;0</formula>
    </cfRule>
  </conditionalFormatting>
  <conditionalFormatting sqref="K108">
    <cfRule type="notContainsBlanks" dxfId="1" priority="905">
      <formula>LEN(TRIM(K108))&gt;0</formula>
    </cfRule>
  </conditionalFormatting>
  <conditionalFormatting sqref="F109:J109">
    <cfRule type="notContainsBlanks" dxfId="1" priority="1401">
      <formula>LEN(TRIM(F109))&gt;0</formula>
    </cfRule>
  </conditionalFormatting>
  <conditionalFormatting sqref="K109">
    <cfRule type="notContainsBlanks" dxfId="1" priority="904">
      <formula>LEN(TRIM(K109))&gt;0</formula>
    </cfRule>
  </conditionalFormatting>
  <conditionalFormatting sqref="F110:J110">
    <cfRule type="notContainsBlanks" dxfId="1" priority="1400">
      <formula>LEN(TRIM(F110))&gt;0</formula>
    </cfRule>
  </conditionalFormatting>
  <conditionalFormatting sqref="K110">
    <cfRule type="notContainsBlanks" dxfId="1" priority="903">
      <formula>LEN(TRIM(K110))&gt;0</formula>
    </cfRule>
  </conditionalFormatting>
  <conditionalFormatting sqref="F111:J111">
    <cfRule type="notContainsBlanks" dxfId="1" priority="1399">
      <formula>LEN(TRIM(F111))&gt;0</formula>
    </cfRule>
  </conditionalFormatting>
  <conditionalFormatting sqref="K111">
    <cfRule type="notContainsBlanks" dxfId="1" priority="902">
      <formula>LEN(TRIM(K111))&gt;0</formula>
    </cfRule>
  </conditionalFormatting>
  <conditionalFormatting sqref="F112:J112">
    <cfRule type="notContainsBlanks" dxfId="1" priority="1398">
      <formula>LEN(TRIM(F112))&gt;0</formula>
    </cfRule>
  </conditionalFormatting>
  <conditionalFormatting sqref="K112">
    <cfRule type="notContainsBlanks" dxfId="1" priority="901">
      <formula>LEN(TRIM(K112))&gt;0</formula>
    </cfRule>
  </conditionalFormatting>
  <conditionalFormatting sqref="F113:J113">
    <cfRule type="notContainsBlanks" dxfId="1" priority="1397">
      <formula>LEN(TRIM(F113))&gt;0</formula>
    </cfRule>
  </conditionalFormatting>
  <conditionalFormatting sqref="K113">
    <cfRule type="notContainsBlanks" dxfId="1" priority="900">
      <formula>LEN(TRIM(K113))&gt;0</formula>
    </cfRule>
  </conditionalFormatting>
  <conditionalFormatting sqref="F114:J114">
    <cfRule type="notContainsBlanks" dxfId="1" priority="1396">
      <formula>LEN(TRIM(F114))&gt;0</formula>
    </cfRule>
  </conditionalFormatting>
  <conditionalFormatting sqref="K114">
    <cfRule type="notContainsBlanks" dxfId="1" priority="899">
      <formula>LEN(TRIM(K114))&gt;0</formula>
    </cfRule>
  </conditionalFormatting>
  <conditionalFormatting sqref="F115:J115">
    <cfRule type="notContainsBlanks" dxfId="1" priority="1395">
      <formula>LEN(TRIM(F115))&gt;0</formula>
    </cfRule>
  </conditionalFormatting>
  <conditionalFormatting sqref="K115">
    <cfRule type="notContainsBlanks" dxfId="1" priority="898">
      <formula>LEN(TRIM(K115))&gt;0</formula>
    </cfRule>
  </conditionalFormatting>
  <conditionalFormatting sqref="F116:J116">
    <cfRule type="notContainsBlanks" dxfId="1" priority="1394">
      <formula>LEN(TRIM(F116))&gt;0</formula>
    </cfRule>
  </conditionalFormatting>
  <conditionalFormatting sqref="K116">
    <cfRule type="notContainsBlanks" dxfId="1" priority="897">
      <formula>LEN(TRIM(K116))&gt;0</formula>
    </cfRule>
  </conditionalFormatting>
  <conditionalFormatting sqref="F117:J117">
    <cfRule type="notContainsBlanks" dxfId="1" priority="1393">
      <formula>LEN(TRIM(F117))&gt;0</formula>
    </cfRule>
  </conditionalFormatting>
  <conditionalFormatting sqref="K117">
    <cfRule type="notContainsBlanks" dxfId="1" priority="896">
      <formula>LEN(TRIM(K117))&gt;0</formula>
    </cfRule>
  </conditionalFormatting>
  <conditionalFormatting sqref="F118:J118">
    <cfRule type="notContainsBlanks" dxfId="1" priority="1392">
      <formula>LEN(TRIM(F118))&gt;0</formula>
    </cfRule>
  </conditionalFormatting>
  <conditionalFormatting sqref="K118">
    <cfRule type="notContainsBlanks" dxfId="1" priority="895">
      <formula>LEN(TRIM(K118))&gt;0</formula>
    </cfRule>
  </conditionalFormatting>
  <conditionalFormatting sqref="F119:J119">
    <cfRule type="notContainsBlanks" dxfId="1" priority="1391">
      <formula>LEN(TRIM(F119))&gt;0</formula>
    </cfRule>
  </conditionalFormatting>
  <conditionalFormatting sqref="K119">
    <cfRule type="notContainsBlanks" dxfId="1" priority="894">
      <formula>LEN(TRIM(K119))&gt;0</formula>
    </cfRule>
  </conditionalFormatting>
  <conditionalFormatting sqref="F120:J120">
    <cfRule type="notContainsBlanks" dxfId="1" priority="1390">
      <formula>LEN(TRIM(F120))&gt;0</formula>
    </cfRule>
  </conditionalFormatting>
  <conditionalFormatting sqref="K120">
    <cfRule type="notContainsBlanks" dxfId="1" priority="893">
      <formula>LEN(TRIM(K120))&gt;0</formula>
    </cfRule>
  </conditionalFormatting>
  <conditionalFormatting sqref="F121:J121">
    <cfRule type="notContainsBlanks" dxfId="1" priority="1389">
      <formula>LEN(TRIM(F121))&gt;0</formula>
    </cfRule>
  </conditionalFormatting>
  <conditionalFormatting sqref="K121">
    <cfRule type="notContainsBlanks" dxfId="1" priority="892">
      <formula>LEN(TRIM(K121))&gt;0</formula>
    </cfRule>
  </conditionalFormatting>
  <conditionalFormatting sqref="F122:J122">
    <cfRule type="notContainsBlanks" dxfId="1" priority="1388">
      <formula>LEN(TRIM(F122))&gt;0</formula>
    </cfRule>
  </conditionalFormatting>
  <conditionalFormatting sqref="K122">
    <cfRule type="notContainsBlanks" dxfId="1" priority="891">
      <formula>LEN(TRIM(K122))&gt;0</formula>
    </cfRule>
  </conditionalFormatting>
  <conditionalFormatting sqref="F123:J123">
    <cfRule type="notContainsBlanks" dxfId="1" priority="1387">
      <formula>LEN(TRIM(F123))&gt;0</formula>
    </cfRule>
  </conditionalFormatting>
  <conditionalFormatting sqref="K123">
    <cfRule type="notContainsBlanks" dxfId="1" priority="890">
      <formula>LEN(TRIM(K123))&gt;0</formula>
    </cfRule>
  </conditionalFormatting>
  <conditionalFormatting sqref="F124:J124">
    <cfRule type="notContainsBlanks" dxfId="1" priority="1386">
      <formula>LEN(TRIM(F124))&gt;0</formula>
    </cfRule>
  </conditionalFormatting>
  <conditionalFormatting sqref="K124">
    <cfRule type="notContainsBlanks" dxfId="1" priority="889">
      <formula>LEN(TRIM(K124))&gt;0</formula>
    </cfRule>
  </conditionalFormatting>
  <conditionalFormatting sqref="F125:J125">
    <cfRule type="notContainsBlanks" dxfId="1" priority="1385">
      <formula>LEN(TRIM(F125))&gt;0</formula>
    </cfRule>
  </conditionalFormatting>
  <conditionalFormatting sqref="K125">
    <cfRule type="notContainsBlanks" dxfId="1" priority="888">
      <formula>LEN(TRIM(K125))&gt;0</formula>
    </cfRule>
  </conditionalFormatting>
  <conditionalFormatting sqref="F126:J126">
    <cfRule type="notContainsBlanks" dxfId="1" priority="1384">
      <formula>LEN(TRIM(F126))&gt;0</formula>
    </cfRule>
  </conditionalFormatting>
  <conditionalFormatting sqref="K126">
    <cfRule type="notContainsBlanks" dxfId="1" priority="887">
      <formula>LEN(TRIM(K126))&gt;0</formula>
    </cfRule>
  </conditionalFormatting>
  <conditionalFormatting sqref="F127:J127">
    <cfRule type="notContainsBlanks" dxfId="1" priority="1383">
      <formula>LEN(TRIM(F127))&gt;0</formula>
    </cfRule>
  </conditionalFormatting>
  <conditionalFormatting sqref="K127">
    <cfRule type="notContainsBlanks" dxfId="1" priority="886">
      <formula>LEN(TRIM(K127))&gt;0</formula>
    </cfRule>
  </conditionalFormatting>
  <conditionalFormatting sqref="F128:J128">
    <cfRule type="notContainsBlanks" dxfId="1" priority="1382">
      <formula>LEN(TRIM(F128))&gt;0</formula>
    </cfRule>
  </conditionalFormatting>
  <conditionalFormatting sqref="K128">
    <cfRule type="notContainsBlanks" dxfId="1" priority="885">
      <formula>LEN(TRIM(K128))&gt;0</formula>
    </cfRule>
  </conditionalFormatting>
  <conditionalFormatting sqref="F129:J129">
    <cfRule type="notContainsBlanks" dxfId="1" priority="1381">
      <formula>LEN(TRIM(F129))&gt;0</formula>
    </cfRule>
  </conditionalFormatting>
  <conditionalFormatting sqref="K129">
    <cfRule type="notContainsBlanks" dxfId="1" priority="884">
      <formula>LEN(TRIM(K129))&gt;0</formula>
    </cfRule>
  </conditionalFormatting>
  <conditionalFormatting sqref="F130:J130">
    <cfRule type="notContainsBlanks" dxfId="1" priority="1380">
      <formula>LEN(TRIM(F130))&gt;0</formula>
    </cfRule>
  </conditionalFormatting>
  <conditionalFormatting sqref="K130">
    <cfRule type="notContainsBlanks" dxfId="1" priority="883">
      <formula>LEN(TRIM(K130))&gt;0</formula>
    </cfRule>
  </conditionalFormatting>
  <conditionalFormatting sqref="F131:J131">
    <cfRule type="notContainsBlanks" dxfId="1" priority="1379">
      <formula>LEN(TRIM(F131))&gt;0</formula>
    </cfRule>
  </conditionalFormatting>
  <conditionalFormatting sqref="K131">
    <cfRule type="notContainsBlanks" dxfId="1" priority="882">
      <formula>LEN(TRIM(K131))&gt;0</formula>
    </cfRule>
  </conditionalFormatting>
  <conditionalFormatting sqref="F132:J132">
    <cfRule type="notContainsBlanks" dxfId="1" priority="1378">
      <formula>LEN(TRIM(F132))&gt;0</formula>
    </cfRule>
  </conditionalFormatting>
  <conditionalFormatting sqref="K132">
    <cfRule type="notContainsBlanks" dxfId="1" priority="881">
      <formula>LEN(TRIM(K132))&gt;0</formula>
    </cfRule>
  </conditionalFormatting>
  <conditionalFormatting sqref="F133:J133">
    <cfRule type="notContainsBlanks" dxfId="1" priority="1377">
      <formula>LEN(TRIM(F133))&gt;0</formula>
    </cfRule>
  </conditionalFormatting>
  <conditionalFormatting sqref="K133">
    <cfRule type="notContainsBlanks" dxfId="1" priority="880">
      <formula>LEN(TRIM(K133))&gt;0</formula>
    </cfRule>
  </conditionalFormatting>
  <conditionalFormatting sqref="F134:J134">
    <cfRule type="notContainsBlanks" dxfId="1" priority="1376">
      <formula>LEN(TRIM(F134))&gt;0</formula>
    </cfRule>
  </conditionalFormatting>
  <conditionalFormatting sqref="K134">
    <cfRule type="notContainsBlanks" dxfId="1" priority="879">
      <formula>LEN(TRIM(K134))&gt;0</formula>
    </cfRule>
  </conditionalFormatting>
  <conditionalFormatting sqref="F135:J135">
    <cfRule type="notContainsBlanks" dxfId="1" priority="1375">
      <formula>LEN(TRIM(F135))&gt;0</formula>
    </cfRule>
  </conditionalFormatting>
  <conditionalFormatting sqref="K135">
    <cfRule type="notContainsBlanks" dxfId="1" priority="878">
      <formula>LEN(TRIM(K135))&gt;0</formula>
    </cfRule>
  </conditionalFormatting>
  <conditionalFormatting sqref="F136:J136">
    <cfRule type="notContainsBlanks" dxfId="1" priority="1374">
      <formula>LEN(TRIM(F136))&gt;0</formula>
    </cfRule>
  </conditionalFormatting>
  <conditionalFormatting sqref="K136">
    <cfRule type="notContainsBlanks" dxfId="1" priority="877">
      <formula>LEN(TRIM(K136))&gt;0</formula>
    </cfRule>
  </conditionalFormatting>
  <conditionalFormatting sqref="F137:J137">
    <cfRule type="notContainsBlanks" dxfId="1" priority="1373">
      <formula>LEN(TRIM(F137))&gt;0</formula>
    </cfRule>
  </conditionalFormatting>
  <conditionalFormatting sqref="K137">
    <cfRule type="notContainsBlanks" dxfId="1" priority="876">
      <formula>LEN(TRIM(K137))&gt;0</formula>
    </cfRule>
  </conditionalFormatting>
  <conditionalFormatting sqref="F138:J138">
    <cfRule type="notContainsBlanks" dxfId="1" priority="1372">
      <formula>LEN(TRIM(F138))&gt;0</formula>
    </cfRule>
  </conditionalFormatting>
  <conditionalFormatting sqref="K138">
    <cfRule type="notContainsBlanks" dxfId="1" priority="875">
      <formula>LEN(TRIM(K138))&gt;0</formula>
    </cfRule>
  </conditionalFormatting>
  <conditionalFormatting sqref="F139:J139">
    <cfRule type="notContainsBlanks" dxfId="1" priority="1371">
      <formula>LEN(TRIM(F139))&gt;0</formula>
    </cfRule>
  </conditionalFormatting>
  <conditionalFormatting sqref="K139">
    <cfRule type="notContainsBlanks" dxfId="1" priority="874">
      <formula>LEN(TRIM(K139))&gt;0</formula>
    </cfRule>
  </conditionalFormatting>
  <conditionalFormatting sqref="F140:J140">
    <cfRule type="notContainsBlanks" dxfId="1" priority="1370">
      <formula>LEN(TRIM(F140))&gt;0</formula>
    </cfRule>
  </conditionalFormatting>
  <conditionalFormatting sqref="K140">
    <cfRule type="notContainsBlanks" dxfId="1" priority="873">
      <formula>LEN(TRIM(K140))&gt;0</formula>
    </cfRule>
  </conditionalFormatting>
  <conditionalFormatting sqref="F141:J141">
    <cfRule type="notContainsBlanks" dxfId="1" priority="1369">
      <formula>LEN(TRIM(F141))&gt;0</formula>
    </cfRule>
  </conditionalFormatting>
  <conditionalFormatting sqref="K141">
    <cfRule type="notContainsBlanks" dxfId="1" priority="872">
      <formula>LEN(TRIM(K141))&gt;0</formula>
    </cfRule>
  </conditionalFormatting>
  <conditionalFormatting sqref="F142:J142">
    <cfRule type="notContainsBlanks" dxfId="1" priority="1368">
      <formula>LEN(TRIM(F142))&gt;0</formula>
    </cfRule>
  </conditionalFormatting>
  <conditionalFormatting sqref="K142">
    <cfRule type="notContainsBlanks" dxfId="1" priority="871">
      <formula>LEN(TRIM(K142))&gt;0</formula>
    </cfRule>
  </conditionalFormatting>
  <conditionalFormatting sqref="F143:J143">
    <cfRule type="notContainsBlanks" dxfId="1" priority="1367">
      <formula>LEN(TRIM(F143))&gt;0</formula>
    </cfRule>
  </conditionalFormatting>
  <conditionalFormatting sqref="K143">
    <cfRule type="notContainsBlanks" dxfId="1" priority="870">
      <formula>LEN(TRIM(K143))&gt;0</formula>
    </cfRule>
  </conditionalFormatting>
  <conditionalFormatting sqref="F144:J144">
    <cfRule type="notContainsBlanks" dxfId="1" priority="1366">
      <formula>LEN(TRIM(F144))&gt;0</formula>
    </cfRule>
  </conditionalFormatting>
  <conditionalFormatting sqref="K144">
    <cfRule type="notContainsBlanks" dxfId="1" priority="869">
      <formula>LEN(TRIM(K144))&gt;0</formula>
    </cfRule>
  </conditionalFormatting>
  <conditionalFormatting sqref="F145:J145">
    <cfRule type="notContainsBlanks" dxfId="1" priority="1365">
      <formula>LEN(TRIM(F145))&gt;0</formula>
    </cfRule>
  </conditionalFormatting>
  <conditionalFormatting sqref="K145">
    <cfRule type="notContainsBlanks" dxfId="1" priority="868">
      <formula>LEN(TRIM(K145))&gt;0</formula>
    </cfRule>
  </conditionalFormatting>
  <conditionalFormatting sqref="F146:J146">
    <cfRule type="notContainsBlanks" dxfId="1" priority="1364">
      <formula>LEN(TRIM(F146))&gt;0</formula>
    </cfRule>
  </conditionalFormatting>
  <conditionalFormatting sqref="K146">
    <cfRule type="notContainsBlanks" dxfId="1" priority="867">
      <formula>LEN(TRIM(K146))&gt;0</formula>
    </cfRule>
  </conditionalFormatting>
  <conditionalFormatting sqref="F147:J147">
    <cfRule type="notContainsBlanks" dxfId="1" priority="1363">
      <formula>LEN(TRIM(F147))&gt;0</formula>
    </cfRule>
  </conditionalFormatting>
  <conditionalFormatting sqref="K147">
    <cfRule type="notContainsBlanks" dxfId="1" priority="866">
      <formula>LEN(TRIM(K147))&gt;0</formula>
    </cfRule>
  </conditionalFormatting>
  <conditionalFormatting sqref="F148:J148">
    <cfRule type="notContainsBlanks" dxfId="1" priority="1362">
      <formula>LEN(TRIM(F148))&gt;0</formula>
    </cfRule>
  </conditionalFormatting>
  <conditionalFormatting sqref="K148">
    <cfRule type="notContainsBlanks" dxfId="1" priority="865">
      <formula>LEN(TRIM(K148))&gt;0</formula>
    </cfRule>
  </conditionalFormatting>
  <conditionalFormatting sqref="F149:J149">
    <cfRule type="notContainsBlanks" dxfId="1" priority="1361">
      <formula>LEN(TRIM(F149))&gt;0</formula>
    </cfRule>
  </conditionalFormatting>
  <conditionalFormatting sqref="K149">
    <cfRule type="notContainsBlanks" dxfId="1" priority="864">
      <formula>LEN(TRIM(K149))&gt;0</formula>
    </cfRule>
  </conditionalFormatting>
  <conditionalFormatting sqref="F150:J150">
    <cfRule type="notContainsBlanks" dxfId="1" priority="1360">
      <formula>LEN(TRIM(F150))&gt;0</formula>
    </cfRule>
  </conditionalFormatting>
  <conditionalFormatting sqref="K150">
    <cfRule type="notContainsBlanks" dxfId="1" priority="863">
      <formula>LEN(TRIM(K150))&gt;0</formula>
    </cfRule>
  </conditionalFormatting>
  <conditionalFormatting sqref="F151:J151">
    <cfRule type="notContainsBlanks" dxfId="1" priority="1359">
      <formula>LEN(TRIM(F151))&gt;0</formula>
    </cfRule>
  </conditionalFormatting>
  <conditionalFormatting sqref="K151">
    <cfRule type="notContainsBlanks" dxfId="1" priority="862">
      <formula>LEN(TRIM(K151))&gt;0</formula>
    </cfRule>
  </conditionalFormatting>
  <conditionalFormatting sqref="F152:J152">
    <cfRule type="notContainsBlanks" dxfId="1" priority="1358">
      <formula>LEN(TRIM(F152))&gt;0</formula>
    </cfRule>
  </conditionalFormatting>
  <conditionalFormatting sqref="K152">
    <cfRule type="notContainsBlanks" dxfId="1" priority="861">
      <formula>LEN(TRIM(K152))&gt;0</formula>
    </cfRule>
  </conditionalFormatting>
  <conditionalFormatting sqref="F153:J153">
    <cfRule type="notContainsBlanks" dxfId="1" priority="1357">
      <formula>LEN(TRIM(F153))&gt;0</formula>
    </cfRule>
  </conditionalFormatting>
  <conditionalFormatting sqref="K153">
    <cfRule type="notContainsBlanks" dxfId="1" priority="860">
      <formula>LEN(TRIM(K153))&gt;0</formula>
    </cfRule>
  </conditionalFormatting>
  <conditionalFormatting sqref="F154:J154">
    <cfRule type="notContainsBlanks" dxfId="1" priority="1356">
      <formula>LEN(TRIM(F154))&gt;0</formula>
    </cfRule>
  </conditionalFormatting>
  <conditionalFormatting sqref="K154">
    <cfRule type="notContainsBlanks" dxfId="1" priority="859">
      <formula>LEN(TRIM(K154))&gt;0</formula>
    </cfRule>
  </conditionalFormatting>
  <conditionalFormatting sqref="F155:J155">
    <cfRule type="notContainsBlanks" dxfId="1" priority="1355">
      <formula>LEN(TRIM(F155))&gt;0</formula>
    </cfRule>
  </conditionalFormatting>
  <conditionalFormatting sqref="K155">
    <cfRule type="notContainsBlanks" dxfId="1" priority="858">
      <formula>LEN(TRIM(K155))&gt;0</formula>
    </cfRule>
  </conditionalFormatting>
  <conditionalFormatting sqref="F156:J156">
    <cfRule type="notContainsBlanks" dxfId="1" priority="1354">
      <formula>LEN(TRIM(F156))&gt;0</formula>
    </cfRule>
  </conditionalFormatting>
  <conditionalFormatting sqref="K156">
    <cfRule type="notContainsBlanks" dxfId="1" priority="857">
      <formula>LEN(TRIM(K156))&gt;0</formula>
    </cfRule>
  </conditionalFormatting>
  <conditionalFormatting sqref="F157:J157">
    <cfRule type="notContainsBlanks" dxfId="1" priority="1353">
      <formula>LEN(TRIM(F157))&gt;0</formula>
    </cfRule>
  </conditionalFormatting>
  <conditionalFormatting sqref="K157">
    <cfRule type="notContainsBlanks" dxfId="1" priority="856">
      <formula>LEN(TRIM(K157))&gt;0</formula>
    </cfRule>
  </conditionalFormatting>
  <conditionalFormatting sqref="F158:J158">
    <cfRule type="notContainsBlanks" dxfId="1" priority="1352">
      <formula>LEN(TRIM(F158))&gt;0</formula>
    </cfRule>
  </conditionalFormatting>
  <conditionalFormatting sqref="K158">
    <cfRule type="notContainsBlanks" dxfId="1" priority="855">
      <formula>LEN(TRIM(K158))&gt;0</formula>
    </cfRule>
  </conditionalFormatting>
  <conditionalFormatting sqref="F159:J159">
    <cfRule type="notContainsBlanks" dxfId="1" priority="1351">
      <formula>LEN(TRIM(F159))&gt;0</formula>
    </cfRule>
  </conditionalFormatting>
  <conditionalFormatting sqref="K159">
    <cfRule type="notContainsBlanks" dxfId="1" priority="854">
      <formula>LEN(TRIM(K159))&gt;0</formula>
    </cfRule>
  </conditionalFormatting>
  <conditionalFormatting sqref="F160:J160">
    <cfRule type="notContainsBlanks" dxfId="1" priority="1350">
      <formula>LEN(TRIM(F160))&gt;0</formula>
    </cfRule>
  </conditionalFormatting>
  <conditionalFormatting sqref="K160">
    <cfRule type="notContainsBlanks" dxfId="1" priority="853">
      <formula>LEN(TRIM(K160))&gt;0</formula>
    </cfRule>
  </conditionalFormatting>
  <conditionalFormatting sqref="F161:J161">
    <cfRule type="notContainsBlanks" dxfId="1" priority="1349">
      <formula>LEN(TRIM(F161))&gt;0</formula>
    </cfRule>
  </conditionalFormatting>
  <conditionalFormatting sqref="K161">
    <cfRule type="notContainsBlanks" dxfId="1" priority="852">
      <formula>LEN(TRIM(K161))&gt;0</formula>
    </cfRule>
  </conditionalFormatting>
  <conditionalFormatting sqref="F162:J162">
    <cfRule type="notContainsBlanks" dxfId="1" priority="1348">
      <formula>LEN(TRIM(F162))&gt;0</formula>
    </cfRule>
  </conditionalFormatting>
  <conditionalFormatting sqref="K162">
    <cfRule type="notContainsBlanks" dxfId="1" priority="851">
      <formula>LEN(TRIM(K162))&gt;0</formula>
    </cfRule>
  </conditionalFormatting>
  <conditionalFormatting sqref="F163:J163">
    <cfRule type="notContainsBlanks" dxfId="1" priority="1347">
      <formula>LEN(TRIM(F163))&gt;0</formula>
    </cfRule>
  </conditionalFormatting>
  <conditionalFormatting sqref="K163">
    <cfRule type="notContainsBlanks" dxfId="1" priority="850">
      <formula>LEN(TRIM(K163))&gt;0</formula>
    </cfRule>
  </conditionalFormatting>
  <conditionalFormatting sqref="F164:J164">
    <cfRule type="notContainsBlanks" dxfId="1" priority="1346">
      <formula>LEN(TRIM(F164))&gt;0</formula>
    </cfRule>
  </conditionalFormatting>
  <conditionalFormatting sqref="K164">
    <cfRule type="notContainsBlanks" dxfId="1" priority="849">
      <formula>LEN(TRIM(K164))&gt;0</formula>
    </cfRule>
  </conditionalFormatting>
  <conditionalFormatting sqref="F165:J165">
    <cfRule type="notContainsBlanks" dxfId="1" priority="1345">
      <formula>LEN(TRIM(F165))&gt;0</formula>
    </cfRule>
  </conditionalFormatting>
  <conditionalFormatting sqref="K165">
    <cfRule type="notContainsBlanks" dxfId="1" priority="848">
      <formula>LEN(TRIM(K165))&gt;0</formula>
    </cfRule>
  </conditionalFormatting>
  <conditionalFormatting sqref="F166:J166">
    <cfRule type="notContainsBlanks" dxfId="1" priority="1344">
      <formula>LEN(TRIM(F166))&gt;0</formula>
    </cfRule>
  </conditionalFormatting>
  <conditionalFormatting sqref="K166">
    <cfRule type="notContainsBlanks" dxfId="1" priority="847">
      <formula>LEN(TRIM(K166))&gt;0</formula>
    </cfRule>
  </conditionalFormatting>
  <conditionalFormatting sqref="F167:J167">
    <cfRule type="notContainsBlanks" dxfId="1" priority="1343">
      <formula>LEN(TRIM(F167))&gt;0</formula>
    </cfRule>
  </conditionalFormatting>
  <conditionalFormatting sqref="K167">
    <cfRule type="notContainsBlanks" dxfId="1" priority="846">
      <formula>LEN(TRIM(K167))&gt;0</formula>
    </cfRule>
  </conditionalFormatting>
  <conditionalFormatting sqref="F168:J168">
    <cfRule type="notContainsBlanks" dxfId="1" priority="1342">
      <formula>LEN(TRIM(F168))&gt;0</formula>
    </cfRule>
  </conditionalFormatting>
  <conditionalFormatting sqref="K168">
    <cfRule type="notContainsBlanks" dxfId="1" priority="845">
      <formula>LEN(TRIM(K168))&gt;0</formula>
    </cfRule>
  </conditionalFormatting>
  <conditionalFormatting sqref="F169:J169">
    <cfRule type="notContainsBlanks" dxfId="1" priority="1341">
      <formula>LEN(TRIM(F169))&gt;0</formula>
    </cfRule>
  </conditionalFormatting>
  <conditionalFormatting sqref="K169">
    <cfRule type="notContainsBlanks" dxfId="1" priority="844">
      <formula>LEN(TRIM(K169))&gt;0</formula>
    </cfRule>
  </conditionalFormatting>
  <conditionalFormatting sqref="F170:J170">
    <cfRule type="notContainsBlanks" dxfId="1" priority="1340">
      <formula>LEN(TRIM(F170))&gt;0</formula>
    </cfRule>
  </conditionalFormatting>
  <conditionalFormatting sqref="K170">
    <cfRule type="notContainsBlanks" dxfId="1" priority="843">
      <formula>LEN(TRIM(K170))&gt;0</formula>
    </cfRule>
  </conditionalFormatting>
  <conditionalFormatting sqref="F171:J171">
    <cfRule type="notContainsBlanks" dxfId="1" priority="1339">
      <formula>LEN(TRIM(F171))&gt;0</formula>
    </cfRule>
  </conditionalFormatting>
  <conditionalFormatting sqref="K171">
    <cfRule type="notContainsBlanks" dxfId="1" priority="842">
      <formula>LEN(TRIM(K171))&gt;0</formula>
    </cfRule>
  </conditionalFormatting>
  <conditionalFormatting sqref="F172:J172">
    <cfRule type="notContainsBlanks" dxfId="1" priority="1338">
      <formula>LEN(TRIM(F172))&gt;0</formula>
    </cfRule>
  </conditionalFormatting>
  <conditionalFormatting sqref="K172">
    <cfRule type="notContainsBlanks" dxfId="1" priority="841">
      <formula>LEN(TRIM(K172))&gt;0</formula>
    </cfRule>
  </conditionalFormatting>
  <conditionalFormatting sqref="F173:J173">
    <cfRule type="notContainsBlanks" dxfId="1" priority="1337">
      <formula>LEN(TRIM(F173))&gt;0</formula>
    </cfRule>
  </conditionalFormatting>
  <conditionalFormatting sqref="K173">
    <cfRule type="notContainsBlanks" dxfId="1" priority="840">
      <formula>LEN(TRIM(K173))&gt;0</formula>
    </cfRule>
  </conditionalFormatting>
  <conditionalFormatting sqref="F174:J174">
    <cfRule type="notContainsBlanks" dxfId="1" priority="1336">
      <formula>LEN(TRIM(F174))&gt;0</formula>
    </cfRule>
  </conditionalFormatting>
  <conditionalFormatting sqref="K174">
    <cfRule type="notContainsBlanks" dxfId="1" priority="839">
      <formula>LEN(TRIM(K174))&gt;0</formula>
    </cfRule>
  </conditionalFormatting>
  <conditionalFormatting sqref="F175:J175">
    <cfRule type="notContainsBlanks" dxfId="1" priority="1335">
      <formula>LEN(TRIM(F175))&gt;0</formula>
    </cfRule>
  </conditionalFormatting>
  <conditionalFormatting sqref="K175">
    <cfRule type="notContainsBlanks" dxfId="1" priority="838">
      <formula>LEN(TRIM(K175))&gt;0</formula>
    </cfRule>
  </conditionalFormatting>
  <conditionalFormatting sqref="F176:J176">
    <cfRule type="notContainsBlanks" dxfId="1" priority="1334">
      <formula>LEN(TRIM(F176))&gt;0</formula>
    </cfRule>
  </conditionalFormatting>
  <conditionalFormatting sqref="K176">
    <cfRule type="notContainsBlanks" dxfId="1" priority="837">
      <formula>LEN(TRIM(K176))&gt;0</formula>
    </cfRule>
  </conditionalFormatting>
  <conditionalFormatting sqref="F177:J177">
    <cfRule type="notContainsBlanks" dxfId="1" priority="1333">
      <formula>LEN(TRIM(F177))&gt;0</formula>
    </cfRule>
  </conditionalFormatting>
  <conditionalFormatting sqref="K177">
    <cfRule type="notContainsBlanks" dxfId="1" priority="836">
      <formula>LEN(TRIM(K177))&gt;0</formula>
    </cfRule>
  </conditionalFormatting>
  <conditionalFormatting sqref="F178:J178">
    <cfRule type="notContainsBlanks" dxfId="1" priority="1332">
      <formula>LEN(TRIM(F178))&gt;0</formula>
    </cfRule>
  </conditionalFormatting>
  <conditionalFormatting sqref="K178">
    <cfRule type="notContainsBlanks" dxfId="1" priority="835">
      <formula>LEN(TRIM(K178))&gt;0</formula>
    </cfRule>
  </conditionalFormatting>
  <conditionalFormatting sqref="F179:J179">
    <cfRule type="notContainsBlanks" dxfId="1" priority="1331">
      <formula>LEN(TRIM(F179))&gt;0</formula>
    </cfRule>
  </conditionalFormatting>
  <conditionalFormatting sqref="K179">
    <cfRule type="notContainsBlanks" dxfId="1" priority="834">
      <formula>LEN(TRIM(K179))&gt;0</formula>
    </cfRule>
  </conditionalFormatting>
  <conditionalFormatting sqref="F180:J180">
    <cfRule type="notContainsBlanks" dxfId="1" priority="1330">
      <formula>LEN(TRIM(F180))&gt;0</formula>
    </cfRule>
  </conditionalFormatting>
  <conditionalFormatting sqref="K180">
    <cfRule type="notContainsBlanks" dxfId="1" priority="833">
      <formula>LEN(TRIM(K180))&gt;0</formula>
    </cfRule>
  </conditionalFormatting>
  <conditionalFormatting sqref="F181:J181">
    <cfRule type="notContainsBlanks" dxfId="1" priority="1329">
      <formula>LEN(TRIM(F181))&gt;0</formula>
    </cfRule>
  </conditionalFormatting>
  <conditionalFormatting sqref="K181">
    <cfRule type="notContainsBlanks" dxfId="1" priority="832">
      <formula>LEN(TRIM(K181))&gt;0</formula>
    </cfRule>
  </conditionalFormatting>
  <conditionalFormatting sqref="F182:J182">
    <cfRule type="notContainsBlanks" dxfId="1" priority="1328">
      <formula>LEN(TRIM(F182))&gt;0</formula>
    </cfRule>
  </conditionalFormatting>
  <conditionalFormatting sqref="K182">
    <cfRule type="notContainsBlanks" dxfId="1" priority="831">
      <formula>LEN(TRIM(K182))&gt;0</formula>
    </cfRule>
  </conditionalFormatting>
  <conditionalFormatting sqref="F183:J183">
    <cfRule type="notContainsBlanks" dxfId="1" priority="1327">
      <formula>LEN(TRIM(F183))&gt;0</formula>
    </cfRule>
  </conditionalFormatting>
  <conditionalFormatting sqref="K183">
    <cfRule type="notContainsBlanks" dxfId="1" priority="830">
      <formula>LEN(TRIM(K183))&gt;0</formula>
    </cfRule>
  </conditionalFormatting>
  <conditionalFormatting sqref="F184:J184">
    <cfRule type="notContainsBlanks" dxfId="1" priority="1326">
      <formula>LEN(TRIM(F184))&gt;0</formula>
    </cfRule>
  </conditionalFormatting>
  <conditionalFormatting sqref="K184">
    <cfRule type="notContainsBlanks" dxfId="1" priority="829">
      <formula>LEN(TRIM(K184))&gt;0</formula>
    </cfRule>
  </conditionalFormatting>
  <conditionalFormatting sqref="F185:J185">
    <cfRule type="notContainsBlanks" dxfId="1" priority="1325">
      <formula>LEN(TRIM(F185))&gt;0</formula>
    </cfRule>
  </conditionalFormatting>
  <conditionalFormatting sqref="K185">
    <cfRule type="notContainsBlanks" dxfId="1" priority="828">
      <formula>LEN(TRIM(K185))&gt;0</formula>
    </cfRule>
  </conditionalFormatting>
  <conditionalFormatting sqref="F186:J186">
    <cfRule type="notContainsBlanks" dxfId="1" priority="1324">
      <formula>LEN(TRIM(F186))&gt;0</formula>
    </cfRule>
  </conditionalFormatting>
  <conditionalFormatting sqref="K186">
    <cfRule type="notContainsBlanks" dxfId="1" priority="827">
      <formula>LEN(TRIM(K186))&gt;0</formula>
    </cfRule>
  </conditionalFormatting>
  <conditionalFormatting sqref="F187:J187">
    <cfRule type="notContainsBlanks" dxfId="1" priority="1323">
      <formula>LEN(TRIM(F187))&gt;0</formula>
    </cfRule>
  </conditionalFormatting>
  <conditionalFormatting sqref="K187">
    <cfRule type="notContainsBlanks" dxfId="1" priority="826">
      <formula>LEN(TRIM(K187))&gt;0</formula>
    </cfRule>
  </conditionalFormatting>
  <conditionalFormatting sqref="F188:J188">
    <cfRule type="notContainsBlanks" dxfId="1" priority="1322">
      <formula>LEN(TRIM(F188))&gt;0</formula>
    </cfRule>
  </conditionalFormatting>
  <conditionalFormatting sqref="K188">
    <cfRule type="notContainsBlanks" dxfId="1" priority="825">
      <formula>LEN(TRIM(K188))&gt;0</formula>
    </cfRule>
  </conditionalFormatting>
  <conditionalFormatting sqref="F189:J189">
    <cfRule type="notContainsBlanks" dxfId="1" priority="1321">
      <formula>LEN(TRIM(F189))&gt;0</formula>
    </cfRule>
  </conditionalFormatting>
  <conditionalFormatting sqref="K189">
    <cfRule type="notContainsBlanks" dxfId="1" priority="824">
      <formula>LEN(TRIM(K189))&gt;0</formula>
    </cfRule>
  </conditionalFormatting>
  <conditionalFormatting sqref="F190:J190">
    <cfRule type="notContainsBlanks" dxfId="1" priority="1320">
      <formula>LEN(TRIM(F190))&gt;0</formula>
    </cfRule>
  </conditionalFormatting>
  <conditionalFormatting sqref="K190">
    <cfRule type="notContainsBlanks" dxfId="1" priority="823">
      <formula>LEN(TRIM(K190))&gt;0</formula>
    </cfRule>
  </conditionalFormatting>
  <conditionalFormatting sqref="F191:J191">
    <cfRule type="notContainsBlanks" dxfId="1" priority="1319">
      <formula>LEN(TRIM(F191))&gt;0</formula>
    </cfRule>
  </conditionalFormatting>
  <conditionalFormatting sqref="K191">
    <cfRule type="notContainsBlanks" dxfId="1" priority="822">
      <formula>LEN(TRIM(K191))&gt;0</formula>
    </cfRule>
  </conditionalFormatting>
  <conditionalFormatting sqref="F192:J192">
    <cfRule type="notContainsBlanks" dxfId="1" priority="1318">
      <formula>LEN(TRIM(F192))&gt;0</formula>
    </cfRule>
  </conditionalFormatting>
  <conditionalFormatting sqref="K192">
    <cfRule type="notContainsBlanks" dxfId="1" priority="821">
      <formula>LEN(TRIM(K192))&gt;0</formula>
    </cfRule>
  </conditionalFormatting>
  <conditionalFormatting sqref="F193:J193">
    <cfRule type="notContainsBlanks" dxfId="1" priority="1317">
      <formula>LEN(TRIM(F193))&gt;0</formula>
    </cfRule>
  </conditionalFormatting>
  <conditionalFormatting sqref="K193">
    <cfRule type="notContainsBlanks" dxfId="1" priority="820">
      <formula>LEN(TRIM(K193))&gt;0</formula>
    </cfRule>
  </conditionalFormatting>
  <conditionalFormatting sqref="F194:J194">
    <cfRule type="notContainsBlanks" dxfId="1" priority="1316">
      <formula>LEN(TRIM(F194))&gt;0</formula>
    </cfRule>
  </conditionalFormatting>
  <conditionalFormatting sqref="K194">
    <cfRule type="notContainsBlanks" dxfId="1" priority="819">
      <formula>LEN(TRIM(K194))&gt;0</formula>
    </cfRule>
  </conditionalFormatting>
  <conditionalFormatting sqref="F195:J195">
    <cfRule type="notContainsBlanks" dxfId="1" priority="1315">
      <formula>LEN(TRIM(F195))&gt;0</formula>
    </cfRule>
  </conditionalFormatting>
  <conditionalFormatting sqref="K195">
    <cfRule type="notContainsBlanks" dxfId="1" priority="818">
      <formula>LEN(TRIM(K195))&gt;0</formula>
    </cfRule>
  </conditionalFormatting>
  <conditionalFormatting sqref="F196:J196">
    <cfRule type="notContainsBlanks" dxfId="1" priority="1314">
      <formula>LEN(TRIM(F196))&gt;0</formula>
    </cfRule>
  </conditionalFormatting>
  <conditionalFormatting sqref="K196">
    <cfRule type="notContainsBlanks" dxfId="1" priority="817">
      <formula>LEN(TRIM(K196))&gt;0</formula>
    </cfRule>
  </conditionalFormatting>
  <conditionalFormatting sqref="F197:J197">
    <cfRule type="notContainsBlanks" dxfId="1" priority="1313">
      <formula>LEN(TRIM(F197))&gt;0</formula>
    </cfRule>
  </conditionalFormatting>
  <conditionalFormatting sqref="K197">
    <cfRule type="notContainsBlanks" dxfId="1" priority="816">
      <formula>LEN(TRIM(K197))&gt;0</formula>
    </cfRule>
  </conditionalFormatting>
  <conditionalFormatting sqref="F198:J198">
    <cfRule type="notContainsBlanks" dxfId="1" priority="1312">
      <formula>LEN(TRIM(F198))&gt;0</formula>
    </cfRule>
  </conditionalFormatting>
  <conditionalFormatting sqref="K198">
    <cfRule type="notContainsBlanks" dxfId="1" priority="815">
      <formula>LEN(TRIM(K198))&gt;0</formula>
    </cfRule>
  </conditionalFormatting>
  <conditionalFormatting sqref="F199:J199">
    <cfRule type="notContainsBlanks" dxfId="1" priority="1311">
      <formula>LEN(TRIM(F199))&gt;0</formula>
    </cfRule>
  </conditionalFormatting>
  <conditionalFormatting sqref="K199">
    <cfRule type="notContainsBlanks" dxfId="1" priority="814">
      <formula>LEN(TRIM(K199))&gt;0</formula>
    </cfRule>
  </conditionalFormatting>
  <conditionalFormatting sqref="F200:J200">
    <cfRule type="notContainsBlanks" dxfId="1" priority="1310">
      <formula>LEN(TRIM(F200))&gt;0</formula>
    </cfRule>
  </conditionalFormatting>
  <conditionalFormatting sqref="K200">
    <cfRule type="notContainsBlanks" dxfId="1" priority="813">
      <formula>LEN(TRIM(K200))&gt;0</formula>
    </cfRule>
  </conditionalFormatting>
  <conditionalFormatting sqref="F201:J201">
    <cfRule type="notContainsBlanks" dxfId="1" priority="1309">
      <formula>LEN(TRIM(F201))&gt;0</formula>
    </cfRule>
  </conditionalFormatting>
  <conditionalFormatting sqref="K201">
    <cfRule type="notContainsBlanks" dxfId="1" priority="812">
      <formula>LEN(TRIM(K201))&gt;0</formula>
    </cfRule>
  </conditionalFormatting>
  <conditionalFormatting sqref="F202:J202">
    <cfRule type="notContainsBlanks" dxfId="1" priority="1308">
      <formula>LEN(TRIM(F202))&gt;0</formula>
    </cfRule>
  </conditionalFormatting>
  <conditionalFormatting sqref="K202">
    <cfRule type="notContainsBlanks" dxfId="1" priority="811">
      <formula>LEN(TRIM(K202))&gt;0</formula>
    </cfRule>
  </conditionalFormatting>
  <conditionalFormatting sqref="F203:J203">
    <cfRule type="notContainsBlanks" dxfId="1" priority="1307">
      <formula>LEN(TRIM(F203))&gt;0</formula>
    </cfRule>
  </conditionalFormatting>
  <conditionalFormatting sqref="K203">
    <cfRule type="notContainsBlanks" dxfId="1" priority="810">
      <formula>LEN(TRIM(K203))&gt;0</formula>
    </cfRule>
  </conditionalFormatting>
  <conditionalFormatting sqref="F204:J204">
    <cfRule type="notContainsBlanks" dxfId="1" priority="1306">
      <formula>LEN(TRIM(F204))&gt;0</formula>
    </cfRule>
  </conditionalFormatting>
  <conditionalFormatting sqref="K204">
    <cfRule type="notContainsBlanks" dxfId="1" priority="809">
      <formula>LEN(TRIM(K204))&gt;0</formula>
    </cfRule>
  </conditionalFormatting>
  <conditionalFormatting sqref="F205:J205">
    <cfRule type="notContainsBlanks" dxfId="1" priority="1305">
      <formula>LEN(TRIM(F205))&gt;0</formula>
    </cfRule>
  </conditionalFormatting>
  <conditionalFormatting sqref="K205">
    <cfRule type="notContainsBlanks" dxfId="1" priority="808">
      <formula>LEN(TRIM(K205))&gt;0</formula>
    </cfRule>
  </conditionalFormatting>
  <conditionalFormatting sqref="F206:J206">
    <cfRule type="notContainsBlanks" dxfId="1" priority="1304">
      <formula>LEN(TRIM(F206))&gt;0</formula>
    </cfRule>
  </conditionalFormatting>
  <conditionalFormatting sqref="K206">
    <cfRule type="notContainsBlanks" dxfId="1" priority="807">
      <formula>LEN(TRIM(K206))&gt;0</formula>
    </cfRule>
  </conditionalFormatting>
  <conditionalFormatting sqref="F207:J207">
    <cfRule type="notContainsBlanks" dxfId="1" priority="1303">
      <formula>LEN(TRIM(F207))&gt;0</formula>
    </cfRule>
  </conditionalFormatting>
  <conditionalFormatting sqref="K207">
    <cfRule type="notContainsBlanks" dxfId="1" priority="806">
      <formula>LEN(TRIM(K207))&gt;0</formula>
    </cfRule>
  </conditionalFormatting>
  <conditionalFormatting sqref="F208:J208">
    <cfRule type="notContainsBlanks" dxfId="1" priority="1302">
      <formula>LEN(TRIM(F208))&gt;0</formula>
    </cfRule>
  </conditionalFormatting>
  <conditionalFormatting sqref="K208">
    <cfRule type="notContainsBlanks" dxfId="1" priority="805">
      <formula>LEN(TRIM(K208))&gt;0</formula>
    </cfRule>
  </conditionalFormatting>
  <conditionalFormatting sqref="F209:J209">
    <cfRule type="notContainsBlanks" dxfId="1" priority="1301">
      <formula>LEN(TRIM(F209))&gt;0</formula>
    </cfRule>
  </conditionalFormatting>
  <conditionalFormatting sqref="K209">
    <cfRule type="notContainsBlanks" dxfId="1" priority="804">
      <formula>LEN(TRIM(K209))&gt;0</formula>
    </cfRule>
  </conditionalFormatting>
  <conditionalFormatting sqref="F210:J210">
    <cfRule type="notContainsBlanks" dxfId="1" priority="1300">
      <formula>LEN(TRIM(F210))&gt;0</formula>
    </cfRule>
  </conditionalFormatting>
  <conditionalFormatting sqref="K210">
    <cfRule type="notContainsBlanks" dxfId="1" priority="803">
      <formula>LEN(TRIM(K210))&gt;0</formula>
    </cfRule>
  </conditionalFormatting>
  <conditionalFormatting sqref="F211:J211">
    <cfRule type="notContainsBlanks" dxfId="1" priority="1299">
      <formula>LEN(TRIM(F211))&gt;0</formula>
    </cfRule>
  </conditionalFormatting>
  <conditionalFormatting sqref="K211">
    <cfRule type="notContainsBlanks" dxfId="1" priority="802">
      <formula>LEN(TRIM(K211))&gt;0</formula>
    </cfRule>
  </conditionalFormatting>
  <conditionalFormatting sqref="F212:J212">
    <cfRule type="notContainsBlanks" dxfId="1" priority="1298">
      <formula>LEN(TRIM(F212))&gt;0</formula>
    </cfRule>
  </conditionalFormatting>
  <conditionalFormatting sqref="K212">
    <cfRule type="notContainsBlanks" dxfId="1" priority="801">
      <formula>LEN(TRIM(K212))&gt;0</formula>
    </cfRule>
  </conditionalFormatting>
  <conditionalFormatting sqref="F213:J213">
    <cfRule type="notContainsBlanks" dxfId="1" priority="1297">
      <formula>LEN(TRIM(F213))&gt;0</formula>
    </cfRule>
  </conditionalFormatting>
  <conditionalFormatting sqref="K213">
    <cfRule type="notContainsBlanks" dxfId="1" priority="800">
      <formula>LEN(TRIM(K213))&gt;0</formula>
    </cfRule>
  </conditionalFormatting>
  <conditionalFormatting sqref="F214:J214">
    <cfRule type="notContainsBlanks" dxfId="1" priority="1296">
      <formula>LEN(TRIM(F214))&gt;0</formula>
    </cfRule>
  </conditionalFormatting>
  <conditionalFormatting sqref="K214">
    <cfRule type="notContainsBlanks" dxfId="1" priority="799">
      <formula>LEN(TRIM(K214))&gt;0</formula>
    </cfRule>
  </conditionalFormatting>
  <conditionalFormatting sqref="F215:J215">
    <cfRule type="notContainsBlanks" dxfId="1" priority="1295">
      <formula>LEN(TRIM(F215))&gt;0</formula>
    </cfRule>
  </conditionalFormatting>
  <conditionalFormatting sqref="K215">
    <cfRule type="notContainsBlanks" dxfId="1" priority="798">
      <formula>LEN(TRIM(K215))&gt;0</formula>
    </cfRule>
  </conditionalFormatting>
  <conditionalFormatting sqref="F216:J216">
    <cfRule type="notContainsBlanks" dxfId="1" priority="1294">
      <formula>LEN(TRIM(F216))&gt;0</formula>
    </cfRule>
  </conditionalFormatting>
  <conditionalFormatting sqref="K216">
    <cfRule type="notContainsBlanks" dxfId="1" priority="797">
      <formula>LEN(TRIM(K216))&gt;0</formula>
    </cfRule>
  </conditionalFormatting>
  <conditionalFormatting sqref="F217:J217">
    <cfRule type="notContainsBlanks" dxfId="1" priority="1293">
      <formula>LEN(TRIM(F217))&gt;0</formula>
    </cfRule>
  </conditionalFormatting>
  <conditionalFormatting sqref="K217">
    <cfRule type="notContainsBlanks" dxfId="1" priority="796">
      <formula>LEN(TRIM(K217))&gt;0</formula>
    </cfRule>
  </conditionalFormatting>
  <conditionalFormatting sqref="F218:J218">
    <cfRule type="notContainsBlanks" dxfId="1" priority="1292">
      <formula>LEN(TRIM(F218))&gt;0</formula>
    </cfRule>
  </conditionalFormatting>
  <conditionalFormatting sqref="K218">
    <cfRule type="notContainsBlanks" dxfId="1" priority="795">
      <formula>LEN(TRIM(K218))&gt;0</formula>
    </cfRule>
  </conditionalFormatting>
  <conditionalFormatting sqref="F219:J219">
    <cfRule type="notContainsBlanks" dxfId="1" priority="1291">
      <formula>LEN(TRIM(F219))&gt;0</formula>
    </cfRule>
  </conditionalFormatting>
  <conditionalFormatting sqref="K219">
    <cfRule type="notContainsBlanks" dxfId="1" priority="794">
      <formula>LEN(TRIM(K219))&gt;0</formula>
    </cfRule>
  </conditionalFormatting>
  <conditionalFormatting sqref="F220:J220">
    <cfRule type="notContainsBlanks" dxfId="1" priority="1290">
      <formula>LEN(TRIM(F220))&gt;0</formula>
    </cfRule>
  </conditionalFormatting>
  <conditionalFormatting sqref="K220">
    <cfRule type="notContainsBlanks" dxfId="1" priority="793">
      <formula>LEN(TRIM(K220))&gt;0</formula>
    </cfRule>
  </conditionalFormatting>
  <conditionalFormatting sqref="F221:J221">
    <cfRule type="notContainsBlanks" dxfId="1" priority="1289">
      <formula>LEN(TRIM(F221))&gt;0</formula>
    </cfRule>
  </conditionalFormatting>
  <conditionalFormatting sqref="K221">
    <cfRule type="notContainsBlanks" dxfId="1" priority="792">
      <formula>LEN(TRIM(K221))&gt;0</formula>
    </cfRule>
  </conditionalFormatting>
  <conditionalFormatting sqref="F222:J222">
    <cfRule type="notContainsBlanks" dxfId="1" priority="1288">
      <formula>LEN(TRIM(F222))&gt;0</formula>
    </cfRule>
  </conditionalFormatting>
  <conditionalFormatting sqref="K222">
    <cfRule type="notContainsBlanks" dxfId="1" priority="791">
      <formula>LEN(TRIM(K222))&gt;0</formula>
    </cfRule>
  </conditionalFormatting>
  <conditionalFormatting sqref="F223:J223">
    <cfRule type="notContainsBlanks" dxfId="1" priority="1287">
      <formula>LEN(TRIM(F223))&gt;0</formula>
    </cfRule>
  </conditionalFormatting>
  <conditionalFormatting sqref="K223">
    <cfRule type="notContainsBlanks" dxfId="1" priority="790">
      <formula>LEN(TRIM(K223))&gt;0</formula>
    </cfRule>
  </conditionalFormatting>
  <conditionalFormatting sqref="F224:J224">
    <cfRule type="notContainsBlanks" dxfId="1" priority="1286">
      <formula>LEN(TRIM(F224))&gt;0</formula>
    </cfRule>
  </conditionalFormatting>
  <conditionalFormatting sqref="K224">
    <cfRule type="notContainsBlanks" dxfId="1" priority="789">
      <formula>LEN(TRIM(K224))&gt;0</formula>
    </cfRule>
  </conditionalFormatting>
  <conditionalFormatting sqref="F225:J225">
    <cfRule type="notContainsBlanks" dxfId="1" priority="1285">
      <formula>LEN(TRIM(F225))&gt;0</formula>
    </cfRule>
  </conditionalFormatting>
  <conditionalFormatting sqref="K225">
    <cfRule type="notContainsBlanks" dxfId="1" priority="788">
      <formula>LEN(TRIM(K225))&gt;0</formula>
    </cfRule>
  </conditionalFormatting>
  <conditionalFormatting sqref="F226:J226">
    <cfRule type="notContainsBlanks" dxfId="1" priority="1284">
      <formula>LEN(TRIM(F226))&gt;0</formula>
    </cfRule>
  </conditionalFormatting>
  <conditionalFormatting sqref="K226">
    <cfRule type="notContainsBlanks" dxfId="1" priority="787">
      <formula>LEN(TRIM(K226))&gt;0</formula>
    </cfRule>
  </conditionalFormatting>
  <conditionalFormatting sqref="F227:J227">
    <cfRule type="notContainsBlanks" dxfId="1" priority="1283">
      <formula>LEN(TRIM(F227))&gt;0</formula>
    </cfRule>
  </conditionalFormatting>
  <conditionalFormatting sqref="K227">
    <cfRule type="notContainsBlanks" dxfId="1" priority="786">
      <formula>LEN(TRIM(K227))&gt;0</formula>
    </cfRule>
  </conditionalFormatting>
  <conditionalFormatting sqref="F228:J228">
    <cfRule type="notContainsBlanks" dxfId="1" priority="1282">
      <formula>LEN(TRIM(F228))&gt;0</formula>
    </cfRule>
  </conditionalFormatting>
  <conditionalFormatting sqref="K228">
    <cfRule type="notContainsBlanks" dxfId="1" priority="785">
      <formula>LEN(TRIM(K228))&gt;0</formula>
    </cfRule>
  </conditionalFormatting>
  <conditionalFormatting sqref="F229:J229">
    <cfRule type="notContainsBlanks" dxfId="1" priority="1281">
      <formula>LEN(TRIM(F229))&gt;0</formula>
    </cfRule>
  </conditionalFormatting>
  <conditionalFormatting sqref="K229">
    <cfRule type="notContainsBlanks" dxfId="1" priority="784">
      <formula>LEN(TRIM(K229))&gt;0</formula>
    </cfRule>
  </conditionalFormatting>
  <conditionalFormatting sqref="F230:J230">
    <cfRule type="notContainsBlanks" dxfId="1" priority="1280">
      <formula>LEN(TRIM(F230))&gt;0</formula>
    </cfRule>
  </conditionalFormatting>
  <conditionalFormatting sqref="K230">
    <cfRule type="notContainsBlanks" dxfId="1" priority="783">
      <formula>LEN(TRIM(K230))&gt;0</formula>
    </cfRule>
  </conditionalFormatting>
  <conditionalFormatting sqref="F231:J231">
    <cfRule type="notContainsBlanks" dxfId="1" priority="1279">
      <formula>LEN(TRIM(F231))&gt;0</formula>
    </cfRule>
  </conditionalFormatting>
  <conditionalFormatting sqref="K231">
    <cfRule type="notContainsBlanks" dxfId="1" priority="782">
      <formula>LEN(TRIM(K231))&gt;0</formula>
    </cfRule>
  </conditionalFormatting>
  <conditionalFormatting sqref="F232:J232">
    <cfRule type="notContainsBlanks" dxfId="1" priority="1278">
      <formula>LEN(TRIM(F232))&gt;0</formula>
    </cfRule>
  </conditionalFormatting>
  <conditionalFormatting sqref="K232">
    <cfRule type="notContainsBlanks" dxfId="1" priority="781">
      <formula>LEN(TRIM(K232))&gt;0</formula>
    </cfRule>
  </conditionalFormatting>
  <conditionalFormatting sqref="F233:J233">
    <cfRule type="notContainsBlanks" dxfId="1" priority="1277">
      <formula>LEN(TRIM(F233))&gt;0</formula>
    </cfRule>
  </conditionalFormatting>
  <conditionalFormatting sqref="K233">
    <cfRule type="notContainsBlanks" dxfId="1" priority="780">
      <formula>LEN(TRIM(K233))&gt;0</formula>
    </cfRule>
  </conditionalFormatting>
  <conditionalFormatting sqref="F234:J234">
    <cfRule type="notContainsBlanks" dxfId="1" priority="1276">
      <formula>LEN(TRIM(F234))&gt;0</formula>
    </cfRule>
  </conditionalFormatting>
  <conditionalFormatting sqref="K234">
    <cfRule type="notContainsBlanks" dxfId="1" priority="779">
      <formula>LEN(TRIM(K234))&gt;0</formula>
    </cfRule>
  </conditionalFormatting>
  <conditionalFormatting sqref="F235:J235">
    <cfRule type="notContainsBlanks" dxfId="1" priority="1275">
      <formula>LEN(TRIM(F235))&gt;0</formula>
    </cfRule>
  </conditionalFormatting>
  <conditionalFormatting sqref="K235">
    <cfRule type="notContainsBlanks" dxfId="1" priority="778">
      <formula>LEN(TRIM(K235))&gt;0</formula>
    </cfRule>
  </conditionalFormatting>
  <conditionalFormatting sqref="F236:J236">
    <cfRule type="notContainsBlanks" dxfId="1" priority="1274">
      <formula>LEN(TRIM(F236))&gt;0</formula>
    </cfRule>
  </conditionalFormatting>
  <conditionalFormatting sqref="K236">
    <cfRule type="notContainsBlanks" dxfId="1" priority="777">
      <formula>LEN(TRIM(K236))&gt;0</formula>
    </cfRule>
  </conditionalFormatting>
  <conditionalFormatting sqref="F237:J237">
    <cfRule type="notContainsBlanks" dxfId="1" priority="1273">
      <formula>LEN(TRIM(F237))&gt;0</formula>
    </cfRule>
  </conditionalFormatting>
  <conditionalFormatting sqref="K237">
    <cfRule type="notContainsBlanks" dxfId="1" priority="776">
      <formula>LEN(TRIM(K237))&gt;0</formula>
    </cfRule>
  </conditionalFormatting>
  <conditionalFormatting sqref="F238:J238">
    <cfRule type="notContainsBlanks" dxfId="1" priority="1272">
      <formula>LEN(TRIM(F238))&gt;0</formula>
    </cfRule>
  </conditionalFormatting>
  <conditionalFormatting sqref="K238">
    <cfRule type="notContainsBlanks" dxfId="1" priority="775">
      <formula>LEN(TRIM(K238))&gt;0</formula>
    </cfRule>
  </conditionalFormatting>
  <conditionalFormatting sqref="F239:J239">
    <cfRule type="notContainsBlanks" dxfId="1" priority="1271">
      <formula>LEN(TRIM(F239))&gt;0</formula>
    </cfRule>
  </conditionalFormatting>
  <conditionalFormatting sqref="K239">
    <cfRule type="notContainsBlanks" dxfId="1" priority="774">
      <formula>LEN(TRIM(K239))&gt;0</formula>
    </cfRule>
  </conditionalFormatting>
  <conditionalFormatting sqref="F240:J240">
    <cfRule type="notContainsBlanks" dxfId="1" priority="1270">
      <formula>LEN(TRIM(F240))&gt;0</formula>
    </cfRule>
  </conditionalFormatting>
  <conditionalFormatting sqref="K240">
    <cfRule type="notContainsBlanks" dxfId="1" priority="773">
      <formula>LEN(TRIM(K240))&gt;0</formula>
    </cfRule>
  </conditionalFormatting>
  <conditionalFormatting sqref="F241:J241">
    <cfRule type="notContainsBlanks" dxfId="1" priority="1269">
      <formula>LEN(TRIM(F241))&gt;0</formula>
    </cfRule>
  </conditionalFormatting>
  <conditionalFormatting sqref="K241">
    <cfRule type="notContainsBlanks" dxfId="1" priority="772">
      <formula>LEN(TRIM(K241))&gt;0</formula>
    </cfRule>
  </conditionalFormatting>
  <conditionalFormatting sqref="F242:J242">
    <cfRule type="notContainsBlanks" dxfId="1" priority="1268">
      <formula>LEN(TRIM(F242))&gt;0</formula>
    </cfRule>
  </conditionalFormatting>
  <conditionalFormatting sqref="K242">
    <cfRule type="notContainsBlanks" dxfId="1" priority="771">
      <formula>LEN(TRIM(K242))&gt;0</formula>
    </cfRule>
  </conditionalFormatting>
  <conditionalFormatting sqref="F243:J243">
    <cfRule type="notContainsBlanks" dxfId="1" priority="1267">
      <formula>LEN(TRIM(F243))&gt;0</formula>
    </cfRule>
  </conditionalFormatting>
  <conditionalFormatting sqref="K243">
    <cfRule type="notContainsBlanks" dxfId="1" priority="770">
      <formula>LEN(TRIM(K243))&gt;0</formula>
    </cfRule>
  </conditionalFormatting>
  <conditionalFormatting sqref="F244:J244">
    <cfRule type="notContainsBlanks" dxfId="1" priority="1266">
      <formula>LEN(TRIM(F244))&gt;0</formula>
    </cfRule>
  </conditionalFormatting>
  <conditionalFormatting sqref="K244">
    <cfRule type="notContainsBlanks" dxfId="1" priority="769">
      <formula>LEN(TRIM(K244))&gt;0</formula>
    </cfRule>
  </conditionalFormatting>
  <conditionalFormatting sqref="F245:J245">
    <cfRule type="notContainsBlanks" dxfId="1" priority="1265">
      <formula>LEN(TRIM(F245))&gt;0</formula>
    </cfRule>
  </conditionalFormatting>
  <conditionalFormatting sqref="K245">
    <cfRule type="notContainsBlanks" dxfId="1" priority="768">
      <formula>LEN(TRIM(K245))&gt;0</formula>
    </cfRule>
  </conditionalFormatting>
  <conditionalFormatting sqref="F246:J246">
    <cfRule type="notContainsBlanks" dxfId="1" priority="1264">
      <formula>LEN(TRIM(F246))&gt;0</formula>
    </cfRule>
  </conditionalFormatting>
  <conditionalFormatting sqref="K246">
    <cfRule type="notContainsBlanks" dxfId="1" priority="767">
      <formula>LEN(TRIM(K246))&gt;0</formula>
    </cfRule>
  </conditionalFormatting>
  <conditionalFormatting sqref="F247:J247">
    <cfRule type="notContainsBlanks" dxfId="1" priority="1263">
      <formula>LEN(TRIM(F247))&gt;0</formula>
    </cfRule>
  </conditionalFormatting>
  <conditionalFormatting sqref="K247">
    <cfRule type="notContainsBlanks" dxfId="1" priority="766">
      <formula>LEN(TRIM(K247))&gt;0</formula>
    </cfRule>
  </conditionalFormatting>
  <conditionalFormatting sqref="F248:J248">
    <cfRule type="notContainsBlanks" dxfId="1" priority="1262">
      <formula>LEN(TRIM(F248))&gt;0</formula>
    </cfRule>
  </conditionalFormatting>
  <conditionalFormatting sqref="K248">
    <cfRule type="notContainsBlanks" dxfId="1" priority="765">
      <formula>LEN(TRIM(K248))&gt;0</formula>
    </cfRule>
  </conditionalFormatting>
  <conditionalFormatting sqref="F249:J249">
    <cfRule type="notContainsBlanks" dxfId="1" priority="1261">
      <formula>LEN(TRIM(F249))&gt;0</formula>
    </cfRule>
  </conditionalFormatting>
  <conditionalFormatting sqref="K249">
    <cfRule type="notContainsBlanks" dxfId="1" priority="764">
      <formula>LEN(TRIM(K249))&gt;0</formula>
    </cfRule>
  </conditionalFormatting>
  <conditionalFormatting sqref="F250:J250">
    <cfRule type="notContainsBlanks" dxfId="1" priority="1260">
      <formula>LEN(TRIM(F250))&gt;0</formula>
    </cfRule>
  </conditionalFormatting>
  <conditionalFormatting sqref="K250">
    <cfRule type="notContainsBlanks" dxfId="1" priority="763">
      <formula>LEN(TRIM(K250))&gt;0</formula>
    </cfRule>
  </conditionalFormatting>
  <conditionalFormatting sqref="F251:J251">
    <cfRule type="notContainsBlanks" dxfId="1" priority="1259">
      <formula>LEN(TRIM(F251))&gt;0</formula>
    </cfRule>
  </conditionalFormatting>
  <conditionalFormatting sqref="K251">
    <cfRule type="notContainsBlanks" dxfId="1" priority="762">
      <formula>LEN(TRIM(K251))&gt;0</formula>
    </cfRule>
  </conditionalFormatting>
  <conditionalFormatting sqref="F252:J252">
    <cfRule type="notContainsBlanks" dxfId="1" priority="1258">
      <formula>LEN(TRIM(F252))&gt;0</formula>
    </cfRule>
  </conditionalFormatting>
  <conditionalFormatting sqref="K252">
    <cfRule type="notContainsBlanks" dxfId="1" priority="761">
      <formula>LEN(TRIM(K252))&gt;0</formula>
    </cfRule>
  </conditionalFormatting>
  <conditionalFormatting sqref="F253:J253">
    <cfRule type="notContainsBlanks" dxfId="1" priority="1257">
      <formula>LEN(TRIM(F253))&gt;0</formula>
    </cfRule>
  </conditionalFormatting>
  <conditionalFormatting sqref="K253">
    <cfRule type="notContainsBlanks" dxfId="1" priority="760">
      <formula>LEN(TRIM(K253))&gt;0</formula>
    </cfRule>
  </conditionalFormatting>
  <conditionalFormatting sqref="F254:J254">
    <cfRule type="notContainsBlanks" dxfId="1" priority="1256">
      <formula>LEN(TRIM(F254))&gt;0</formula>
    </cfRule>
  </conditionalFormatting>
  <conditionalFormatting sqref="K254">
    <cfRule type="notContainsBlanks" dxfId="1" priority="759">
      <formula>LEN(TRIM(K254))&gt;0</formula>
    </cfRule>
  </conditionalFormatting>
  <conditionalFormatting sqref="F255:J255">
    <cfRule type="notContainsBlanks" dxfId="1" priority="1255">
      <formula>LEN(TRIM(F255))&gt;0</formula>
    </cfRule>
  </conditionalFormatting>
  <conditionalFormatting sqref="K255">
    <cfRule type="notContainsBlanks" dxfId="1" priority="758">
      <formula>LEN(TRIM(K255))&gt;0</formula>
    </cfRule>
  </conditionalFormatting>
  <conditionalFormatting sqref="F256:J256">
    <cfRule type="notContainsBlanks" dxfId="1" priority="1254">
      <formula>LEN(TRIM(F256))&gt;0</formula>
    </cfRule>
  </conditionalFormatting>
  <conditionalFormatting sqref="K256">
    <cfRule type="notContainsBlanks" dxfId="1" priority="757">
      <formula>LEN(TRIM(K256))&gt;0</formula>
    </cfRule>
  </conditionalFormatting>
  <conditionalFormatting sqref="F257:J257">
    <cfRule type="notContainsBlanks" dxfId="1" priority="1253">
      <formula>LEN(TRIM(F257))&gt;0</formula>
    </cfRule>
  </conditionalFormatting>
  <conditionalFormatting sqref="K257">
    <cfRule type="notContainsBlanks" dxfId="1" priority="756">
      <formula>LEN(TRIM(K257))&gt;0</formula>
    </cfRule>
  </conditionalFormatting>
  <conditionalFormatting sqref="F258:J258">
    <cfRule type="notContainsBlanks" dxfId="1" priority="1252">
      <formula>LEN(TRIM(F258))&gt;0</formula>
    </cfRule>
  </conditionalFormatting>
  <conditionalFormatting sqref="K258">
    <cfRule type="notContainsBlanks" dxfId="1" priority="755">
      <formula>LEN(TRIM(K258))&gt;0</formula>
    </cfRule>
  </conditionalFormatting>
  <conditionalFormatting sqref="F259:J259">
    <cfRule type="notContainsBlanks" dxfId="1" priority="1251">
      <formula>LEN(TRIM(F259))&gt;0</formula>
    </cfRule>
  </conditionalFormatting>
  <conditionalFormatting sqref="K259">
    <cfRule type="notContainsBlanks" dxfId="1" priority="754">
      <formula>LEN(TRIM(K259))&gt;0</formula>
    </cfRule>
  </conditionalFormatting>
  <conditionalFormatting sqref="F260:J260">
    <cfRule type="notContainsBlanks" dxfId="1" priority="1250">
      <formula>LEN(TRIM(F260))&gt;0</formula>
    </cfRule>
  </conditionalFormatting>
  <conditionalFormatting sqref="K260">
    <cfRule type="notContainsBlanks" dxfId="1" priority="753">
      <formula>LEN(TRIM(K260))&gt;0</formula>
    </cfRule>
  </conditionalFormatting>
  <conditionalFormatting sqref="F261:J261">
    <cfRule type="notContainsBlanks" dxfId="1" priority="1249">
      <formula>LEN(TRIM(F261))&gt;0</formula>
    </cfRule>
  </conditionalFormatting>
  <conditionalFormatting sqref="K261">
    <cfRule type="notContainsBlanks" dxfId="1" priority="752">
      <formula>LEN(TRIM(K261))&gt;0</formula>
    </cfRule>
  </conditionalFormatting>
  <conditionalFormatting sqref="F262:J262">
    <cfRule type="notContainsBlanks" dxfId="1" priority="1248">
      <formula>LEN(TRIM(F262))&gt;0</formula>
    </cfRule>
  </conditionalFormatting>
  <conditionalFormatting sqref="K262">
    <cfRule type="notContainsBlanks" dxfId="1" priority="751">
      <formula>LEN(TRIM(K262))&gt;0</formula>
    </cfRule>
  </conditionalFormatting>
  <conditionalFormatting sqref="F263:J263">
    <cfRule type="notContainsBlanks" dxfId="1" priority="1247">
      <formula>LEN(TRIM(F263))&gt;0</formula>
    </cfRule>
  </conditionalFormatting>
  <conditionalFormatting sqref="K263">
    <cfRule type="notContainsBlanks" dxfId="1" priority="750">
      <formula>LEN(TRIM(K263))&gt;0</formula>
    </cfRule>
  </conditionalFormatting>
  <conditionalFormatting sqref="F264:J264">
    <cfRule type="notContainsBlanks" dxfId="1" priority="1246">
      <formula>LEN(TRIM(F264))&gt;0</formula>
    </cfRule>
  </conditionalFormatting>
  <conditionalFormatting sqref="K264">
    <cfRule type="notContainsBlanks" dxfId="1" priority="749">
      <formula>LEN(TRIM(K264))&gt;0</formula>
    </cfRule>
  </conditionalFormatting>
  <conditionalFormatting sqref="F265:J265">
    <cfRule type="notContainsBlanks" dxfId="1" priority="1245">
      <formula>LEN(TRIM(F265))&gt;0</formula>
    </cfRule>
  </conditionalFormatting>
  <conditionalFormatting sqref="K265">
    <cfRule type="notContainsBlanks" dxfId="1" priority="748">
      <formula>LEN(TRIM(K265))&gt;0</formula>
    </cfRule>
  </conditionalFormatting>
  <conditionalFormatting sqref="F266:J266">
    <cfRule type="notContainsBlanks" dxfId="1" priority="1244">
      <formula>LEN(TRIM(F266))&gt;0</formula>
    </cfRule>
  </conditionalFormatting>
  <conditionalFormatting sqref="K266">
    <cfRule type="notContainsBlanks" dxfId="1" priority="747">
      <formula>LEN(TRIM(K266))&gt;0</formula>
    </cfRule>
  </conditionalFormatting>
  <conditionalFormatting sqref="F267:J267">
    <cfRule type="notContainsBlanks" dxfId="1" priority="1243">
      <formula>LEN(TRIM(F267))&gt;0</formula>
    </cfRule>
  </conditionalFormatting>
  <conditionalFormatting sqref="K267">
    <cfRule type="notContainsBlanks" dxfId="1" priority="746">
      <formula>LEN(TRIM(K267))&gt;0</formula>
    </cfRule>
  </conditionalFormatting>
  <conditionalFormatting sqref="F268:J268">
    <cfRule type="notContainsBlanks" dxfId="1" priority="1242">
      <formula>LEN(TRIM(F268))&gt;0</formula>
    </cfRule>
  </conditionalFormatting>
  <conditionalFormatting sqref="K268">
    <cfRule type="notContainsBlanks" dxfId="1" priority="745">
      <formula>LEN(TRIM(K268))&gt;0</formula>
    </cfRule>
  </conditionalFormatting>
  <conditionalFormatting sqref="F269:J269">
    <cfRule type="notContainsBlanks" dxfId="1" priority="1241">
      <formula>LEN(TRIM(F269))&gt;0</formula>
    </cfRule>
  </conditionalFormatting>
  <conditionalFormatting sqref="K269">
    <cfRule type="notContainsBlanks" dxfId="1" priority="744">
      <formula>LEN(TRIM(K269))&gt;0</formula>
    </cfRule>
  </conditionalFormatting>
  <conditionalFormatting sqref="F270:J270">
    <cfRule type="notContainsBlanks" dxfId="1" priority="1240">
      <formula>LEN(TRIM(F270))&gt;0</formula>
    </cfRule>
  </conditionalFormatting>
  <conditionalFormatting sqref="K270">
    <cfRule type="notContainsBlanks" dxfId="1" priority="743">
      <formula>LEN(TRIM(K270))&gt;0</formula>
    </cfRule>
  </conditionalFormatting>
  <conditionalFormatting sqref="F271:J271">
    <cfRule type="notContainsBlanks" dxfId="1" priority="1239">
      <formula>LEN(TRIM(F271))&gt;0</formula>
    </cfRule>
  </conditionalFormatting>
  <conditionalFormatting sqref="K271">
    <cfRule type="notContainsBlanks" dxfId="1" priority="742">
      <formula>LEN(TRIM(K271))&gt;0</formula>
    </cfRule>
  </conditionalFormatting>
  <conditionalFormatting sqref="F272:J272">
    <cfRule type="notContainsBlanks" dxfId="1" priority="1238">
      <formula>LEN(TRIM(F272))&gt;0</formula>
    </cfRule>
  </conditionalFormatting>
  <conditionalFormatting sqref="K272">
    <cfRule type="notContainsBlanks" dxfId="1" priority="741">
      <formula>LEN(TRIM(K272))&gt;0</formula>
    </cfRule>
  </conditionalFormatting>
  <conditionalFormatting sqref="F273:J273">
    <cfRule type="notContainsBlanks" dxfId="1" priority="1237">
      <formula>LEN(TRIM(F273))&gt;0</formula>
    </cfRule>
  </conditionalFormatting>
  <conditionalFormatting sqref="K273">
    <cfRule type="notContainsBlanks" dxfId="1" priority="740">
      <formula>LEN(TRIM(K273))&gt;0</formula>
    </cfRule>
  </conditionalFormatting>
  <conditionalFormatting sqref="F274:J274">
    <cfRule type="notContainsBlanks" dxfId="1" priority="1236">
      <formula>LEN(TRIM(F274))&gt;0</formula>
    </cfRule>
  </conditionalFormatting>
  <conditionalFormatting sqref="K274">
    <cfRule type="notContainsBlanks" dxfId="1" priority="739">
      <formula>LEN(TRIM(K274))&gt;0</formula>
    </cfRule>
  </conditionalFormatting>
  <conditionalFormatting sqref="F275:J275">
    <cfRule type="notContainsBlanks" dxfId="1" priority="1235">
      <formula>LEN(TRIM(F275))&gt;0</formula>
    </cfRule>
  </conditionalFormatting>
  <conditionalFormatting sqref="K275">
    <cfRule type="notContainsBlanks" dxfId="1" priority="738">
      <formula>LEN(TRIM(K275))&gt;0</formula>
    </cfRule>
  </conditionalFormatting>
  <conditionalFormatting sqref="F276:J276">
    <cfRule type="notContainsBlanks" dxfId="1" priority="1234">
      <formula>LEN(TRIM(F276))&gt;0</formula>
    </cfRule>
  </conditionalFormatting>
  <conditionalFormatting sqref="K276">
    <cfRule type="notContainsBlanks" dxfId="1" priority="737">
      <formula>LEN(TRIM(K276))&gt;0</formula>
    </cfRule>
  </conditionalFormatting>
  <conditionalFormatting sqref="F277:J277">
    <cfRule type="notContainsBlanks" dxfId="1" priority="1233">
      <formula>LEN(TRIM(F277))&gt;0</formula>
    </cfRule>
  </conditionalFormatting>
  <conditionalFormatting sqref="K277">
    <cfRule type="notContainsBlanks" dxfId="1" priority="736">
      <formula>LEN(TRIM(K277))&gt;0</formula>
    </cfRule>
  </conditionalFormatting>
  <conditionalFormatting sqref="F278:J278">
    <cfRule type="notContainsBlanks" dxfId="1" priority="1232">
      <formula>LEN(TRIM(F278))&gt;0</formula>
    </cfRule>
  </conditionalFormatting>
  <conditionalFormatting sqref="K278">
    <cfRule type="notContainsBlanks" dxfId="1" priority="735">
      <formula>LEN(TRIM(K278))&gt;0</formula>
    </cfRule>
  </conditionalFormatting>
  <conditionalFormatting sqref="F279:J279">
    <cfRule type="notContainsBlanks" dxfId="1" priority="1231">
      <formula>LEN(TRIM(F279))&gt;0</formula>
    </cfRule>
  </conditionalFormatting>
  <conditionalFormatting sqref="K279">
    <cfRule type="notContainsBlanks" dxfId="1" priority="734">
      <formula>LEN(TRIM(K279))&gt;0</formula>
    </cfRule>
  </conditionalFormatting>
  <conditionalFormatting sqref="F280:J280">
    <cfRule type="notContainsBlanks" dxfId="1" priority="1230">
      <formula>LEN(TRIM(F280))&gt;0</formula>
    </cfRule>
  </conditionalFormatting>
  <conditionalFormatting sqref="K280">
    <cfRule type="notContainsBlanks" dxfId="1" priority="733">
      <formula>LEN(TRIM(K280))&gt;0</formula>
    </cfRule>
  </conditionalFormatting>
  <conditionalFormatting sqref="F281:J281">
    <cfRule type="notContainsBlanks" dxfId="1" priority="1229">
      <formula>LEN(TRIM(F281))&gt;0</formula>
    </cfRule>
  </conditionalFormatting>
  <conditionalFormatting sqref="K281">
    <cfRule type="notContainsBlanks" dxfId="1" priority="732">
      <formula>LEN(TRIM(K281))&gt;0</formula>
    </cfRule>
  </conditionalFormatting>
  <conditionalFormatting sqref="F282:J282">
    <cfRule type="notContainsBlanks" dxfId="1" priority="1228">
      <formula>LEN(TRIM(F282))&gt;0</formula>
    </cfRule>
  </conditionalFormatting>
  <conditionalFormatting sqref="K282">
    <cfRule type="notContainsBlanks" dxfId="1" priority="731">
      <formula>LEN(TRIM(K282))&gt;0</formula>
    </cfRule>
  </conditionalFormatting>
  <conditionalFormatting sqref="F283:J283">
    <cfRule type="notContainsBlanks" dxfId="1" priority="1227">
      <formula>LEN(TRIM(F283))&gt;0</formula>
    </cfRule>
  </conditionalFormatting>
  <conditionalFormatting sqref="K283">
    <cfRule type="notContainsBlanks" dxfId="1" priority="730">
      <formula>LEN(TRIM(K283))&gt;0</formula>
    </cfRule>
  </conditionalFormatting>
  <conditionalFormatting sqref="F284:J284">
    <cfRule type="notContainsBlanks" dxfId="1" priority="1226">
      <formula>LEN(TRIM(F284))&gt;0</formula>
    </cfRule>
  </conditionalFormatting>
  <conditionalFormatting sqref="K284">
    <cfRule type="notContainsBlanks" dxfId="1" priority="729">
      <formula>LEN(TRIM(K284))&gt;0</formula>
    </cfRule>
  </conditionalFormatting>
  <conditionalFormatting sqref="F285:J285">
    <cfRule type="notContainsBlanks" dxfId="1" priority="1225">
      <formula>LEN(TRIM(F285))&gt;0</formula>
    </cfRule>
  </conditionalFormatting>
  <conditionalFormatting sqref="K285">
    <cfRule type="notContainsBlanks" dxfId="1" priority="728">
      <formula>LEN(TRIM(K285))&gt;0</formula>
    </cfRule>
  </conditionalFormatting>
  <conditionalFormatting sqref="F286:J286">
    <cfRule type="notContainsBlanks" dxfId="1" priority="1224">
      <formula>LEN(TRIM(F286))&gt;0</formula>
    </cfRule>
  </conditionalFormatting>
  <conditionalFormatting sqref="K286">
    <cfRule type="notContainsBlanks" dxfId="1" priority="727">
      <formula>LEN(TRIM(K286))&gt;0</formula>
    </cfRule>
  </conditionalFormatting>
  <conditionalFormatting sqref="F287:J287">
    <cfRule type="notContainsBlanks" dxfId="1" priority="1223">
      <formula>LEN(TRIM(F287))&gt;0</formula>
    </cfRule>
  </conditionalFormatting>
  <conditionalFormatting sqref="K287">
    <cfRule type="notContainsBlanks" dxfId="1" priority="726">
      <formula>LEN(TRIM(K287))&gt;0</formula>
    </cfRule>
  </conditionalFormatting>
  <conditionalFormatting sqref="F288:J288">
    <cfRule type="notContainsBlanks" dxfId="1" priority="1222">
      <formula>LEN(TRIM(F288))&gt;0</formula>
    </cfRule>
  </conditionalFormatting>
  <conditionalFormatting sqref="K288">
    <cfRule type="notContainsBlanks" dxfId="1" priority="725">
      <formula>LEN(TRIM(K288))&gt;0</formula>
    </cfRule>
  </conditionalFormatting>
  <conditionalFormatting sqref="F289:J289">
    <cfRule type="notContainsBlanks" dxfId="1" priority="1221">
      <formula>LEN(TRIM(F289))&gt;0</formula>
    </cfRule>
  </conditionalFormatting>
  <conditionalFormatting sqref="K289">
    <cfRule type="notContainsBlanks" dxfId="1" priority="724">
      <formula>LEN(TRIM(K289))&gt;0</formula>
    </cfRule>
  </conditionalFormatting>
  <conditionalFormatting sqref="F290:J290">
    <cfRule type="notContainsBlanks" dxfId="1" priority="1220">
      <formula>LEN(TRIM(F290))&gt;0</formula>
    </cfRule>
  </conditionalFormatting>
  <conditionalFormatting sqref="K290">
    <cfRule type="notContainsBlanks" dxfId="1" priority="723">
      <formula>LEN(TRIM(K290))&gt;0</formula>
    </cfRule>
  </conditionalFormatting>
  <conditionalFormatting sqref="F291:J291">
    <cfRule type="notContainsBlanks" dxfId="1" priority="1219">
      <formula>LEN(TRIM(F291))&gt;0</formula>
    </cfRule>
  </conditionalFormatting>
  <conditionalFormatting sqref="K291">
    <cfRule type="notContainsBlanks" dxfId="1" priority="722">
      <formula>LEN(TRIM(K291))&gt;0</formula>
    </cfRule>
  </conditionalFormatting>
  <conditionalFormatting sqref="F292:J292">
    <cfRule type="notContainsBlanks" dxfId="1" priority="1218">
      <formula>LEN(TRIM(F292))&gt;0</formula>
    </cfRule>
  </conditionalFormatting>
  <conditionalFormatting sqref="K292">
    <cfRule type="notContainsBlanks" dxfId="1" priority="721">
      <formula>LEN(TRIM(K292))&gt;0</formula>
    </cfRule>
  </conditionalFormatting>
  <conditionalFormatting sqref="F293:J293">
    <cfRule type="notContainsBlanks" dxfId="1" priority="1217">
      <formula>LEN(TRIM(F293))&gt;0</formula>
    </cfRule>
  </conditionalFormatting>
  <conditionalFormatting sqref="K293">
    <cfRule type="notContainsBlanks" dxfId="1" priority="720">
      <formula>LEN(TRIM(K293))&gt;0</formula>
    </cfRule>
  </conditionalFormatting>
  <conditionalFormatting sqref="F294:J294">
    <cfRule type="notContainsBlanks" dxfId="1" priority="1216">
      <formula>LEN(TRIM(F294))&gt;0</formula>
    </cfRule>
  </conditionalFormatting>
  <conditionalFormatting sqref="K294">
    <cfRule type="notContainsBlanks" dxfId="1" priority="719">
      <formula>LEN(TRIM(K294))&gt;0</formula>
    </cfRule>
  </conditionalFormatting>
  <conditionalFormatting sqref="F295:J295">
    <cfRule type="notContainsBlanks" dxfId="1" priority="1215">
      <formula>LEN(TRIM(F295))&gt;0</formula>
    </cfRule>
  </conditionalFormatting>
  <conditionalFormatting sqref="K295">
    <cfRule type="notContainsBlanks" dxfId="1" priority="718">
      <formula>LEN(TRIM(K295))&gt;0</formula>
    </cfRule>
  </conditionalFormatting>
  <conditionalFormatting sqref="F296:J296">
    <cfRule type="notContainsBlanks" dxfId="1" priority="1214">
      <formula>LEN(TRIM(F296))&gt;0</formula>
    </cfRule>
  </conditionalFormatting>
  <conditionalFormatting sqref="K296">
    <cfRule type="notContainsBlanks" dxfId="1" priority="717">
      <formula>LEN(TRIM(K296))&gt;0</formula>
    </cfRule>
  </conditionalFormatting>
  <conditionalFormatting sqref="F297:J297">
    <cfRule type="notContainsBlanks" dxfId="1" priority="1213">
      <formula>LEN(TRIM(F297))&gt;0</formula>
    </cfRule>
  </conditionalFormatting>
  <conditionalFormatting sqref="K297">
    <cfRule type="notContainsBlanks" dxfId="1" priority="716">
      <formula>LEN(TRIM(K297))&gt;0</formula>
    </cfRule>
  </conditionalFormatting>
  <conditionalFormatting sqref="F298:J298">
    <cfRule type="notContainsBlanks" dxfId="1" priority="1212">
      <formula>LEN(TRIM(F298))&gt;0</formula>
    </cfRule>
  </conditionalFormatting>
  <conditionalFormatting sqref="K298">
    <cfRule type="notContainsBlanks" dxfId="1" priority="715">
      <formula>LEN(TRIM(K298))&gt;0</formula>
    </cfRule>
  </conditionalFormatting>
  <conditionalFormatting sqref="F299:J299">
    <cfRule type="notContainsBlanks" dxfId="1" priority="1211">
      <formula>LEN(TRIM(F299))&gt;0</formula>
    </cfRule>
  </conditionalFormatting>
  <conditionalFormatting sqref="K299">
    <cfRule type="notContainsBlanks" dxfId="1" priority="714">
      <formula>LEN(TRIM(K299))&gt;0</formula>
    </cfRule>
  </conditionalFormatting>
  <conditionalFormatting sqref="F300:J300">
    <cfRule type="notContainsBlanks" dxfId="1" priority="1210">
      <formula>LEN(TRIM(F300))&gt;0</formula>
    </cfRule>
  </conditionalFormatting>
  <conditionalFormatting sqref="K300">
    <cfRule type="notContainsBlanks" dxfId="1" priority="713">
      <formula>LEN(TRIM(K300))&gt;0</formula>
    </cfRule>
  </conditionalFormatting>
  <conditionalFormatting sqref="F301:J301">
    <cfRule type="notContainsBlanks" dxfId="1" priority="1209">
      <formula>LEN(TRIM(F301))&gt;0</formula>
    </cfRule>
  </conditionalFormatting>
  <conditionalFormatting sqref="K301">
    <cfRule type="notContainsBlanks" dxfId="1" priority="712">
      <formula>LEN(TRIM(K301))&gt;0</formula>
    </cfRule>
  </conditionalFormatting>
  <conditionalFormatting sqref="F302:J302">
    <cfRule type="notContainsBlanks" dxfId="1" priority="1208">
      <formula>LEN(TRIM(F302))&gt;0</formula>
    </cfRule>
  </conditionalFormatting>
  <conditionalFormatting sqref="K302">
    <cfRule type="notContainsBlanks" dxfId="1" priority="711">
      <formula>LEN(TRIM(K302))&gt;0</formula>
    </cfRule>
  </conditionalFormatting>
  <conditionalFormatting sqref="F303:J303">
    <cfRule type="notContainsBlanks" dxfId="1" priority="1207">
      <formula>LEN(TRIM(F303))&gt;0</formula>
    </cfRule>
  </conditionalFormatting>
  <conditionalFormatting sqref="K303">
    <cfRule type="notContainsBlanks" dxfId="1" priority="710">
      <formula>LEN(TRIM(K303))&gt;0</formula>
    </cfRule>
  </conditionalFormatting>
  <conditionalFormatting sqref="F304:J304">
    <cfRule type="notContainsBlanks" dxfId="1" priority="1206">
      <formula>LEN(TRIM(F304))&gt;0</formula>
    </cfRule>
  </conditionalFormatting>
  <conditionalFormatting sqref="K304">
    <cfRule type="notContainsBlanks" dxfId="1" priority="709">
      <formula>LEN(TRIM(K304))&gt;0</formula>
    </cfRule>
  </conditionalFormatting>
  <conditionalFormatting sqref="F305:J305">
    <cfRule type="notContainsBlanks" dxfId="1" priority="1205">
      <formula>LEN(TRIM(F305))&gt;0</formula>
    </cfRule>
  </conditionalFormatting>
  <conditionalFormatting sqref="K305">
    <cfRule type="notContainsBlanks" dxfId="1" priority="708">
      <formula>LEN(TRIM(K305))&gt;0</formula>
    </cfRule>
  </conditionalFormatting>
  <conditionalFormatting sqref="F306:J306">
    <cfRule type="notContainsBlanks" dxfId="1" priority="1204">
      <formula>LEN(TRIM(F306))&gt;0</formula>
    </cfRule>
  </conditionalFormatting>
  <conditionalFormatting sqref="K306">
    <cfRule type="notContainsBlanks" dxfId="1" priority="707">
      <formula>LEN(TRIM(K306))&gt;0</formula>
    </cfRule>
  </conditionalFormatting>
  <conditionalFormatting sqref="F307:J307">
    <cfRule type="notContainsBlanks" dxfId="1" priority="1203">
      <formula>LEN(TRIM(F307))&gt;0</formula>
    </cfRule>
  </conditionalFormatting>
  <conditionalFormatting sqref="K307">
    <cfRule type="notContainsBlanks" dxfId="1" priority="706">
      <formula>LEN(TRIM(K307))&gt;0</formula>
    </cfRule>
  </conditionalFormatting>
  <conditionalFormatting sqref="F308:J308">
    <cfRule type="notContainsBlanks" dxfId="1" priority="1202">
      <formula>LEN(TRIM(F308))&gt;0</formula>
    </cfRule>
  </conditionalFormatting>
  <conditionalFormatting sqref="K308">
    <cfRule type="notContainsBlanks" dxfId="1" priority="705">
      <formula>LEN(TRIM(K308))&gt;0</formula>
    </cfRule>
  </conditionalFormatting>
  <conditionalFormatting sqref="F309:J309">
    <cfRule type="notContainsBlanks" dxfId="1" priority="1201">
      <formula>LEN(TRIM(F309))&gt;0</formula>
    </cfRule>
  </conditionalFormatting>
  <conditionalFormatting sqref="K309">
    <cfRule type="notContainsBlanks" dxfId="1" priority="704">
      <formula>LEN(TRIM(K309))&gt;0</formula>
    </cfRule>
  </conditionalFormatting>
  <conditionalFormatting sqref="F310:J310">
    <cfRule type="notContainsBlanks" dxfId="1" priority="1200">
      <formula>LEN(TRIM(F310))&gt;0</formula>
    </cfRule>
  </conditionalFormatting>
  <conditionalFormatting sqref="K310">
    <cfRule type="notContainsBlanks" dxfId="1" priority="703">
      <formula>LEN(TRIM(K310))&gt;0</formula>
    </cfRule>
  </conditionalFormatting>
  <conditionalFormatting sqref="F311:J311">
    <cfRule type="notContainsBlanks" dxfId="1" priority="1199">
      <formula>LEN(TRIM(F311))&gt;0</formula>
    </cfRule>
  </conditionalFormatting>
  <conditionalFormatting sqref="K311">
    <cfRule type="notContainsBlanks" dxfId="1" priority="702">
      <formula>LEN(TRIM(K311))&gt;0</formula>
    </cfRule>
  </conditionalFormatting>
  <conditionalFormatting sqref="F312:J312">
    <cfRule type="notContainsBlanks" dxfId="1" priority="1198">
      <formula>LEN(TRIM(F312))&gt;0</formula>
    </cfRule>
  </conditionalFormatting>
  <conditionalFormatting sqref="K312">
    <cfRule type="notContainsBlanks" dxfId="1" priority="701">
      <formula>LEN(TRIM(K312))&gt;0</formula>
    </cfRule>
  </conditionalFormatting>
  <conditionalFormatting sqref="F313:J313">
    <cfRule type="notContainsBlanks" dxfId="1" priority="1197">
      <formula>LEN(TRIM(F313))&gt;0</formula>
    </cfRule>
  </conditionalFormatting>
  <conditionalFormatting sqref="K313">
    <cfRule type="notContainsBlanks" dxfId="1" priority="700">
      <formula>LEN(TRIM(K313))&gt;0</formula>
    </cfRule>
  </conditionalFormatting>
  <conditionalFormatting sqref="F314:J314">
    <cfRule type="notContainsBlanks" dxfId="1" priority="1196">
      <formula>LEN(TRIM(F314))&gt;0</formula>
    </cfRule>
  </conditionalFormatting>
  <conditionalFormatting sqref="K314">
    <cfRule type="notContainsBlanks" dxfId="1" priority="699">
      <formula>LEN(TRIM(K314))&gt;0</formula>
    </cfRule>
  </conditionalFormatting>
  <conditionalFormatting sqref="F315:J315">
    <cfRule type="notContainsBlanks" dxfId="1" priority="1195">
      <formula>LEN(TRIM(F315))&gt;0</formula>
    </cfRule>
  </conditionalFormatting>
  <conditionalFormatting sqref="K315">
    <cfRule type="notContainsBlanks" dxfId="1" priority="698">
      <formula>LEN(TRIM(K315))&gt;0</formula>
    </cfRule>
  </conditionalFormatting>
  <conditionalFormatting sqref="F316:J316">
    <cfRule type="notContainsBlanks" dxfId="1" priority="1194">
      <formula>LEN(TRIM(F316))&gt;0</formula>
    </cfRule>
  </conditionalFormatting>
  <conditionalFormatting sqref="K316">
    <cfRule type="notContainsBlanks" dxfId="1" priority="697">
      <formula>LEN(TRIM(K316))&gt;0</formula>
    </cfRule>
  </conditionalFormatting>
  <conditionalFormatting sqref="F317:J317">
    <cfRule type="notContainsBlanks" dxfId="1" priority="1193">
      <formula>LEN(TRIM(F317))&gt;0</formula>
    </cfRule>
  </conditionalFormatting>
  <conditionalFormatting sqref="K317">
    <cfRule type="notContainsBlanks" dxfId="1" priority="696">
      <formula>LEN(TRIM(K317))&gt;0</formula>
    </cfRule>
  </conditionalFormatting>
  <conditionalFormatting sqref="F318:J318">
    <cfRule type="notContainsBlanks" dxfId="1" priority="1192">
      <formula>LEN(TRIM(F318))&gt;0</formula>
    </cfRule>
  </conditionalFormatting>
  <conditionalFormatting sqref="K318">
    <cfRule type="notContainsBlanks" dxfId="1" priority="695">
      <formula>LEN(TRIM(K318))&gt;0</formula>
    </cfRule>
  </conditionalFormatting>
  <conditionalFormatting sqref="F319:J319">
    <cfRule type="notContainsBlanks" dxfId="1" priority="1191">
      <formula>LEN(TRIM(F319))&gt;0</formula>
    </cfRule>
  </conditionalFormatting>
  <conditionalFormatting sqref="K319">
    <cfRule type="notContainsBlanks" dxfId="1" priority="694">
      <formula>LEN(TRIM(K319))&gt;0</formula>
    </cfRule>
  </conditionalFormatting>
  <conditionalFormatting sqref="F320:J320">
    <cfRule type="notContainsBlanks" dxfId="1" priority="1190">
      <formula>LEN(TRIM(F320))&gt;0</formula>
    </cfRule>
  </conditionalFormatting>
  <conditionalFormatting sqref="K320">
    <cfRule type="notContainsBlanks" dxfId="1" priority="693">
      <formula>LEN(TRIM(K320))&gt;0</formula>
    </cfRule>
  </conditionalFormatting>
  <conditionalFormatting sqref="F321:J321">
    <cfRule type="notContainsBlanks" dxfId="1" priority="1189">
      <formula>LEN(TRIM(F321))&gt;0</formula>
    </cfRule>
  </conditionalFormatting>
  <conditionalFormatting sqref="K321">
    <cfRule type="notContainsBlanks" dxfId="1" priority="692">
      <formula>LEN(TRIM(K321))&gt;0</formula>
    </cfRule>
  </conditionalFormatting>
  <conditionalFormatting sqref="F322:J322">
    <cfRule type="notContainsBlanks" dxfId="1" priority="1188">
      <formula>LEN(TRIM(F322))&gt;0</formula>
    </cfRule>
  </conditionalFormatting>
  <conditionalFormatting sqref="K322">
    <cfRule type="notContainsBlanks" dxfId="1" priority="691">
      <formula>LEN(TRIM(K322))&gt;0</formula>
    </cfRule>
  </conditionalFormatting>
  <conditionalFormatting sqref="F323:J323">
    <cfRule type="notContainsBlanks" dxfId="1" priority="1187">
      <formula>LEN(TRIM(F323))&gt;0</formula>
    </cfRule>
  </conditionalFormatting>
  <conditionalFormatting sqref="K323">
    <cfRule type="notContainsBlanks" dxfId="1" priority="690">
      <formula>LEN(TRIM(K323))&gt;0</formula>
    </cfRule>
  </conditionalFormatting>
  <conditionalFormatting sqref="F324:J324">
    <cfRule type="notContainsBlanks" dxfId="1" priority="1186">
      <formula>LEN(TRIM(F324))&gt;0</formula>
    </cfRule>
  </conditionalFormatting>
  <conditionalFormatting sqref="K324">
    <cfRule type="notContainsBlanks" dxfId="1" priority="689">
      <formula>LEN(TRIM(K324))&gt;0</formula>
    </cfRule>
  </conditionalFormatting>
  <conditionalFormatting sqref="F325:J325">
    <cfRule type="notContainsBlanks" dxfId="1" priority="1185">
      <formula>LEN(TRIM(F325))&gt;0</formula>
    </cfRule>
  </conditionalFormatting>
  <conditionalFormatting sqref="K325">
    <cfRule type="notContainsBlanks" dxfId="1" priority="688">
      <formula>LEN(TRIM(K325))&gt;0</formula>
    </cfRule>
  </conditionalFormatting>
  <conditionalFormatting sqref="F326:J326">
    <cfRule type="notContainsBlanks" dxfId="1" priority="1184">
      <formula>LEN(TRIM(F326))&gt;0</formula>
    </cfRule>
  </conditionalFormatting>
  <conditionalFormatting sqref="K326">
    <cfRule type="notContainsBlanks" dxfId="1" priority="687">
      <formula>LEN(TRIM(K326))&gt;0</formula>
    </cfRule>
  </conditionalFormatting>
  <conditionalFormatting sqref="F327:J327">
    <cfRule type="notContainsBlanks" dxfId="1" priority="1183">
      <formula>LEN(TRIM(F327))&gt;0</formula>
    </cfRule>
  </conditionalFormatting>
  <conditionalFormatting sqref="K327">
    <cfRule type="notContainsBlanks" dxfId="1" priority="686">
      <formula>LEN(TRIM(K327))&gt;0</formula>
    </cfRule>
  </conditionalFormatting>
  <conditionalFormatting sqref="F328:J328">
    <cfRule type="notContainsBlanks" dxfId="1" priority="1182">
      <formula>LEN(TRIM(F328))&gt;0</formula>
    </cfRule>
  </conditionalFormatting>
  <conditionalFormatting sqref="K328">
    <cfRule type="notContainsBlanks" dxfId="1" priority="685">
      <formula>LEN(TRIM(K328))&gt;0</formula>
    </cfRule>
  </conditionalFormatting>
  <conditionalFormatting sqref="F329:J329">
    <cfRule type="notContainsBlanks" dxfId="1" priority="1181">
      <formula>LEN(TRIM(F329))&gt;0</formula>
    </cfRule>
  </conditionalFormatting>
  <conditionalFormatting sqref="K329">
    <cfRule type="notContainsBlanks" dxfId="1" priority="684">
      <formula>LEN(TRIM(K329))&gt;0</formula>
    </cfRule>
  </conditionalFormatting>
  <conditionalFormatting sqref="F330:J330">
    <cfRule type="notContainsBlanks" dxfId="1" priority="1180">
      <formula>LEN(TRIM(F330))&gt;0</formula>
    </cfRule>
  </conditionalFormatting>
  <conditionalFormatting sqref="K330">
    <cfRule type="notContainsBlanks" dxfId="1" priority="683">
      <formula>LEN(TRIM(K330))&gt;0</formula>
    </cfRule>
  </conditionalFormatting>
  <conditionalFormatting sqref="F331:J331">
    <cfRule type="notContainsBlanks" dxfId="1" priority="1179">
      <formula>LEN(TRIM(F331))&gt;0</formula>
    </cfRule>
  </conditionalFormatting>
  <conditionalFormatting sqref="K331">
    <cfRule type="notContainsBlanks" dxfId="1" priority="682">
      <formula>LEN(TRIM(K331))&gt;0</formula>
    </cfRule>
  </conditionalFormatting>
  <conditionalFormatting sqref="F332:J332">
    <cfRule type="notContainsBlanks" dxfId="1" priority="1178">
      <formula>LEN(TRIM(F332))&gt;0</formula>
    </cfRule>
  </conditionalFormatting>
  <conditionalFormatting sqref="K332">
    <cfRule type="notContainsBlanks" dxfId="1" priority="681">
      <formula>LEN(TRIM(K332))&gt;0</formula>
    </cfRule>
  </conditionalFormatting>
  <conditionalFormatting sqref="F333:J333">
    <cfRule type="notContainsBlanks" dxfId="1" priority="1177">
      <formula>LEN(TRIM(F333))&gt;0</formula>
    </cfRule>
  </conditionalFormatting>
  <conditionalFormatting sqref="K333">
    <cfRule type="notContainsBlanks" dxfId="1" priority="680">
      <formula>LEN(TRIM(K333))&gt;0</formula>
    </cfRule>
  </conditionalFormatting>
  <conditionalFormatting sqref="F334:J334">
    <cfRule type="notContainsBlanks" dxfId="1" priority="1176">
      <formula>LEN(TRIM(F334))&gt;0</formula>
    </cfRule>
  </conditionalFormatting>
  <conditionalFormatting sqref="K334">
    <cfRule type="notContainsBlanks" dxfId="1" priority="679">
      <formula>LEN(TRIM(K334))&gt;0</formula>
    </cfRule>
  </conditionalFormatting>
  <conditionalFormatting sqref="F335:J335">
    <cfRule type="notContainsBlanks" dxfId="1" priority="1175">
      <formula>LEN(TRIM(F335))&gt;0</formula>
    </cfRule>
  </conditionalFormatting>
  <conditionalFormatting sqref="K335">
    <cfRule type="notContainsBlanks" dxfId="1" priority="678">
      <formula>LEN(TRIM(K335))&gt;0</formula>
    </cfRule>
  </conditionalFormatting>
  <conditionalFormatting sqref="F336:J336">
    <cfRule type="notContainsBlanks" dxfId="1" priority="1174">
      <formula>LEN(TRIM(F336))&gt;0</formula>
    </cfRule>
  </conditionalFormatting>
  <conditionalFormatting sqref="K336">
    <cfRule type="notContainsBlanks" dxfId="1" priority="677">
      <formula>LEN(TRIM(K336))&gt;0</formula>
    </cfRule>
  </conditionalFormatting>
  <conditionalFormatting sqref="F337:J337">
    <cfRule type="notContainsBlanks" dxfId="1" priority="1173">
      <formula>LEN(TRIM(F337))&gt;0</formula>
    </cfRule>
  </conditionalFormatting>
  <conditionalFormatting sqref="K337">
    <cfRule type="notContainsBlanks" dxfId="1" priority="676">
      <formula>LEN(TRIM(K337))&gt;0</formula>
    </cfRule>
  </conditionalFormatting>
  <conditionalFormatting sqref="F338:J338">
    <cfRule type="notContainsBlanks" dxfId="1" priority="1172">
      <formula>LEN(TRIM(F338))&gt;0</formula>
    </cfRule>
  </conditionalFormatting>
  <conditionalFormatting sqref="K338">
    <cfRule type="notContainsBlanks" dxfId="1" priority="675">
      <formula>LEN(TRIM(K338))&gt;0</formula>
    </cfRule>
  </conditionalFormatting>
  <conditionalFormatting sqref="F339:J339">
    <cfRule type="notContainsBlanks" dxfId="1" priority="1171">
      <formula>LEN(TRIM(F339))&gt;0</formula>
    </cfRule>
  </conditionalFormatting>
  <conditionalFormatting sqref="K339">
    <cfRule type="notContainsBlanks" dxfId="1" priority="674">
      <formula>LEN(TRIM(K339))&gt;0</formula>
    </cfRule>
  </conditionalFormatting>
  <conditionalFormatting sqref="F340:J340">
    <cfRule type="notContainsBlanks" dxfId="1" priority="1170">
      <formula>LEN(TRIM(F340))&gt;0</formula>
    </cfRule>
  </conditionalFormatting>
  <conditionalFormatting sqref="K340">
    <cfRule type="notContainsBlanks" dxfId="1" priority="673">
      <formula>LEN(TRIM(K340))&gt;0</formula>
    </cfRule>
  </conditionalFormatting>
  <conditionalFormatting sqref="F341:J341">
    <cfRule type="notContainsBlanks" dxfId="1" priority="1169">
      <formula>LEN(TRIM(F341))&gt;0</formula>
    </cfRule>
  </conditionalFormatting>
  <conditionalFormatting sqref="K341">
    <cfRule type="notContainsBlanks" dxfId="1" priority="672">
      <formula>LEN(TRIM(K341))&gt;0</formula>
    </cfRule>
  </conditionalFormatting>
  <conditionalFormatting sqref="F342:J342">
    <cfRule type="notContainsBlanks" dxfId="1" priority="1168">
      <formula>LEN(TRIM(F342))&gt;0</formula>
    </cfRule>
  </conditionalFormatting>
  <conditionalFormatting sqref="K342">
    <cfRule type="notContainsBlanks" dxfId="1" priority="671">
      <formula>LEN(TRIM(K342))&gt;0</formula>
    </cfRule>
  </conditionalFormatting>
  <conditionalFormatting sqref="F343:J343">
    <cfRule type="notContainsBlanks" dxfId="1" priority="1167">
      <formula>LEN(TRIM(F343))&gt;0</formula>
    </cfRule>
  </conditionalFormatting>
  <conditionalFormatting sqref="K343">
    <cfRule type="notContainsBlanks" dxfId="1" priority="670">
      <formula>LEN(TRIM(K343))&gt;0</formula>
    </cfRule>
  </conditionalFormatting>
  <conditionalFormatting sqref="F344:J344">
    <cfRule type="notContainsBlanks" dxfId="1" priority="1166">
      <formula>LEN(TRIM(F344))&gt;0</formula>
    </cfRule>
  </conditionalFormatting>
  <conditionalFormatting sqref="K344">
    <cfRule type="notContainsBlanks" dxfId="1" priority="669">
      <formula>LEN(TRIM(K344))&gt;0</formula>
    </cfRule>
  </conditionalFormatting>
  <conditionalFormatting sqref="F345:J345">
    <cfRule type="notContainsBlanks" dxfId="1" priority="1165">
      <formula>LEN(TRIM(F345))&gt;0</formula>
    </cfRule>
  </conditionalFormatting>
  <conditionalFormatting sqref="K345">
    <cfRule type="notContainsBlanks" dxfId="1" priority="668">
      <formula>LEN(TRIM(K345))&gt;0</formula>
    </cfRule>
  </conditionalFormatting>
  <conditionalFormatting sqref="F346:J346">
    <cfRule type="notContainsBlanks" dxfId="1" priority="1164">
      <formula>LEN(TRIM(F346))&gt;0</formula>
    </cfRule>
  </conditionalFormatting>
  <conditionalFormatting sqref="K346">
    <cfRule type="notContainsBlanks" dxfId="1" priority="667">
      <formula>LEN(TRIM(K346))&gt;0</formula>
    </cfRule>
  </conditionalFormatting>
  <conditionalFormatting sqref="F347:J347">
    <cfRule type="notContainsBlanks" dxfId="1" priority="1163">
      <formula>LEN(TRIM(F347))&gt;0</formula>
    </cfRule>
  </conditionalFormatting>
  <conditionalFormatting sqref="K347">
    <cfRule type="notContainsBlanks" dxfId="1" priority="666">
      <formula>LEN(TRIM(K347))&gt;0</formula>
    </cfRule>
  </conditionalFormatting>
  <conditionalFormatting sqref="F348:J348">
    <cfRule type="notContainsBlanks" dxfId="1" priority="1162">
      <formula>LEN(TRIM(F348))&gt;0</formula>
    </cfRule>
  </conditionalFormatting>
  <conditionalFormatting sqref="K348">
    <cfRule type="notContainsBlanks" dxfId="1" priority="665">
      <formula>LEN(TRIM(K348))&gt;0</formula>
    </cfRule>
  </conditionalFormatting>
  <conditionalFormatting sqref="F349:J349">
    <cfRule type="notContainsBlanks" dxfId="1" priority="1161">
      <formula>LEN(TRIM(F349))&gt;0</formula>
    </cfRule>
  </conditionalFormatting>
  <conditionalFormatting sqref="K349">
    <cfRule type="notContainsBlanks" dxfId="1" priority="664">
      <formula>LEN(TRIM(K349))&gt;0</formula>
    </cfRule>
  </conditionalFormatting>
  <conditionalFormatting sqref="F350:J350">
    <cfRule type="notContainsBlanks" dxfId="1" priority="1160">
      <formula>LEN(TRIM(F350))&gt;0</formula>
    </cfRule>
  </conditionalFormatting>
  <conditionalFormatting sqref="K350">
    <cfRule type="notContainsBlanks" dxfId="1" priority="663">
      <formula>LEN(TRIM(K350))&gt;0</formula>
    </cfRule>
  </conditionalFormatting>
  <conditionalFormatting sqref="F351:J351">
    <cfRule type="notContainsBlanks" dxfId="1" priority="1159">
      <formula>LEN(TRIM(F351))&gt;0</formula>
    </cfRule>
  </conditionalFormatting>
  <conditionalFormatting sqref="K351">
    <cfRule type="notContainsBlanks" dxfId="1" priority="662">
      <formula>LEN(TRIM(K351))&gt;0</formula>
    </cfRule>
  </conditionalFormatting>
  <conditionalFormatting sqref="F352:J352">
    <cfRule type="notContainsBlanks" dxfId="1" priority="1158">
      <formula>LEN(TRIM(F352))&gt;0</formula>
    </cfRule>
  </conditionalFormatting>
  <conditionalFormatting sqref="K352">
    <cfRule type="notContainsBlanks" dxfId="1" priority="661">
      <formula>LEN(TRIM(K352))&gt;0</formula>
    </cfRule>
  </conditionalFormatting>
  <conditionalFormatting sqref="F353:J353">
    <cfRule type="notContainsBlanks" dxfId="1" priority="1157">
      <formula>LEN(TRIM(F353))&gt;0</formula>
    </cfRule>
  </conditionalFormatting>
  <conditionalFormatting sqref="K353">
    <cfRule type="notContainsBlanks" dxfId="1" priority="660">
      <formula>LEN(TRIM(K353))&gt;0</formula>
    </cfRule>
  </conditionalFormatting>
  <conditionalFormatting sqref="F354:J354">
    <cfRule type="notContainsBlanks" dxfId="1" priority="1156">
      <formula>LEN(TRIM(F354))&gt;0</formula>
    </cfRule>
  </conditionalFormatting>
  <conditionalFormatting sqref="K354">
    <cfRule type="notContainsBlanks" dxfId="1" priority="659">
      <formula>LEN(TRIM(K354))&gt;0</formula>
    </cfRule>
  </conditionalFormatting>
  <conditionalFormatting sqref="F355:J355">
    <cfRule type="notContainsBlanks" dxfId="1" priority="1155">
      <formula>LEN(TRIM(F355))&gt;0</formula>
    </cfRule>
  </conditionalFormatting>
  <conditionalFormatting sqref="K355">
    <cfRule type="notContainsBlanks" dxfId="1" priority="658">
      <formula>LEN(TRIM(K355))&gt;0</formula>
    </cfRule>
  </conditionalFormatting>
  <conditionalFormatting sqref="F356:J356">
    <cfRule type="notContainsBlanks" dxfId="1" priority="1154">
      <formula>LEN(TRIM(F356))&gt;0</formula>
    </cfRule>
  </conditionalFormatting>
  <conditionalFormatting sqref="K356">
    <cfRule type="notContainsBlanks" dxfId="1" priority="657">
      <formula>LEN(TRIM(K356))&gt;0</formula>
    </cfRule>
  </conditionalFormatting>
  <conditionalFormatting sqref="F357:J357">
    <cfRule type="notContainsBlanks" dxfId="1" priority="1153">
      <formula>LEN(TRIM(F357))&gt;0</formula>
    </cfRule>
  </conditionalFormatting>
  <conditionalFormatting sqref="K357">
    <cfRule type="notContainsBlanks" dxfId="1" priority="656">
      <formula>LEN(TRIM(K357))&gt;0</formula>
    </cfRule>
  </conditionalFormatting>
  <conditionalFormatting sqref="F358:J358">
    <cfRule type="notContainsBlanks" dxfId="1" priority="1152">
      <formula>LEN(TRIM(F358))&gt;0</formula>
    </cfRule>
  </conditionalFormatting>
  <conditionalFormatting sqref="K358">
    <cfRule type="notContainsBlanks" dxfId="1" priority="655">
      <formula>LEN(TRIM(K358))&gt;0</formula>
    </cfRule>
  </conditionalFormatting>
  <conditionalFormatting sqref="F359:J359">
    <cfRule type="notContainsBlanks" dxfId="1" priority="1151">
      <formula>LEN(TRIM(F359))&gt;0</formula>
    </cfRule>
  </conditionalFormatting>
  <conditionalFormatting sqref="K359">
    <cfRule type="notContainsBlanks" dxfId="1" priority="654">
      <formula>LEN(TRIM(K359))&gt;0</formula>
    </cfRule>
  </conditionalFormatting>
  <conditionalFormatting sqref="F360:J360">
    <cfRule type="notContainsBlanks" dxfId="1" priority="1150">
      <formula>LEN(TRIM(F360))&gt;0</formula>
    </cfRule>
  </conditionalFormatting>
  <conditionalFormatting sqref="K360">
    <cfRule type="notContainsBlanks" dxfId="1" priority="653">
      <formula>LEN(TRIM(K360))&gt;0</formula>
    </cfRule>
  </conditionalFormatting>
  <conditionalFormatting sqref="F361:J361">
    <cfRule type="notContainsBlanks" dxfId="1" priority="1149">
      <formula>LEN(TRIM(F361))&gt;0</formula>
    </cfRule>
  </conditionalFormatting>
  <conditionalFormatting sqref="K361">
    <cfRule type="notContainsBlanks" dxfId="1" priority="652">
      <formula>LEN(TRIM(K361))&gt;0</formula>
    </cfRule>
  </conditionalFormatting>
  <conditionalFormatting sqref="F362:J362">
    <cfRule type="notContainsBlanks" dxfId="1" priority="1148">
      <formula>LEN(TRIM(F362))&gt;0</formula>
    </cfRule>
  </conditionalFormatting>
  <conditionalFormatting sqref="K362">
    <cfRule type="notContainsBlanks" dxfId="1" priority="651">
      <formula>LEN(TRIM(K362))&gt;0</formula>
    </cfRule>
  </conditionalFormatting>
  <conditionalFormatting sqref="F363:J363">
    <cfRule type="notContainsBlanks" dxfId="1" priority="1147">
      <formula>LEN(TRIM(F363))&gt;0</formula>
    </cfRule>
  </conditionalFormatting>
  <conditionalFormatting sqref="K363">
    <cfRule type="notContainsBlanks" dxfId="1" priority="650">
      <formula>LEN(TRIM(K363))&gt;0</formula>
    </cfRule>
  </conditionalFormatting>
  <conditionalFormatting sqref="F364:J364">
    <cfRule type="notContainsBlanks" dxfId="1" priority="1146">
      <formula>LEN(TRIM(F364))&gt;0</formula>
    </cfRule>
  </conditionalFormatting>
  <conditionalFormatting sqref="K364">
    <cfRule type="notContainsBlanks" dxfId="1" priority="649">
      <formula>LEN(TRIM(K364))&gt;0</formula>
    </cfRule>
  </conditionalFormatting>
  <conditionalFormatting sqref="F365:J365">
    <cfRule type="notContainsBlanks" dxfId="1" priority="1145">
      <formula>LEN(TRIM(F365))&gt;0</formula>
    </cfRule>
  </conditionalFormatting>
  <conditionalFormatting sqref="K365">
    <cfRule type="notContainsBlanks" dxfId="1" priority="648">
      <formula>LEN(TRIM(K365))&gt;0</formula>
    </cfRule>
  </conditionalFormatting>
  <conditionalFormatting sqref="F366:J366">
    <cfRule type="notContainsBlanks" dxfId="1" priority="1144">
      <formula>LEN(TRIM(F366))&gt;0</formula>
    </cfRule>
  </conditionalFormatting>
  <conditionalFormatting sqref="K366">
    <cfRule type="notContainsBlanks" dxfId="1" priority="647">
      <formula>LEN(TRIM(K366))&gt;0</formula>
    </cfRule>
  </conditionalFormatting>
  <conditionalFormatting sqref="F367:J367">
    <cfRule type="notContainsBlanks" dxfId="1" priority="1143">
      <formula>LEN(TRIM(F367))&gt;0</formula>
    </cfRule>
  </conditionalFormatting>
  <conditionalFormatting sqref="K367">
    <cfRule type="notContainsBlanks" dxfId="1" priority="646">
      <formula>LEN(TRIM(K367))&gt;0</formula>
    </cfRule>
  </conditionalFormatting>
  <conditionalFormatting sqref="F368:J368">
    <cfRule type="notContainsBlanks" dxfId="1" priority="1142">
      <formula>LEN(TRIM(F368))&gt;0</formula>
    </cfRule>
  </conditionalFormatting>
  <conditionalFormatting sqref="K368">
    <cfRule type="notContainsBlanks" dxfId="1" priority="645">
      <formula>LEN(TRIM(K368))&gt;0</formula>
    </cfRule>
  </conditionalFormatting>
  <conditionalFormatting sqref="F369:J369">
    <cfRule type="notContainsBlanks" dxfId="1" priority="1141">
      <formula>LEN(TRIM(F369))&gt;0</formula>
    </cfRule>
  </conditionalFormatting>
  <conditionalFormatting sqref="K369">
    <cfRule type="notContainsBlanks" dxfId="1" priority="644">
      <formula>LEN(TRIM(K369))&gt;0</formula>
    </cfRule>
  </conditionalFormatting>
  <conditionalFormatting sqref="F370:J370">
    <cfRule type="notContainsBlanks" dxfId="1" priority="1140">
      <formula>LEN(TRIM(F370))&gt;0</formula>
    </cfRule>
  </conditionalFormatting>
  <conditionalFormatting sqref="K370">
    <cfRule type="notContainsBlanks" dxfId="1" priority="643">
      <formula>LEN(TRIM(K370))&gt;0</formula>
    </cfRule>
  </conditionalFormatting>
  <conditionalFormatting sqref="F371:J371">
    <cfRule type="notContainsBlanks" dxfId="1" priority="1139">
      <formula>LEN(TRIM(F371))&gt;0</formula>
    </cfRule>
  </conditionalFormatting>
  <conditionalFormatting sqref="K371">
    <cfRule type="notContainsBlanks" dxfId="1" priority="642">
      <formula>LEN(TRIM(K371))&gt;0</formula>
    </cfRule>
  </conditionalFormatting>
  <conditionalFormatting sqref="F372:J372">
    <cfRule type="notContainsBlanks" dxfId="1" priority="1138">
      <formula>LEN(TRIM(F372))&gt;0</formula>
    </cfRule>
  </conditionalFormatting>
  <conditionalFormatting sqref="K372">
    <cfRule type="notContainsBlanks" dxfId="1" priority="641">
      <formula>LEN(TRIM(K372))&gt;0</formula>
    </cfRule>
  </conditionalFormatting>
  <conditionalFormatting sqref="F373:J373">
    <cfRule type="notContainsBlanks" dxfId="1" priority="1137">
      <formula>LEN(TRIM(F373))&gt;0</formula>
    </cfRule>
  </conditionalFormatting>
  <conditionalFormatting sqref="K373">
    <cfRule type="notContainsBlanks" dxfId="1" priority="640">
      <formula>LEN(TRIM(K373))&gt;0</formula>
    </cfRule>
  </conditionalFormatting>
  <conditionalFormatting sqref="F374:J374">
    <cfRule type="notContainsBlanks" dxfId="1" priority="1136">
      <formula>LEN(TRIM(F374))&gt;0</formula>
    </cfRule>
  </conditionalFormatting>
  <conditionalFormatting sqref="K374">
    <cfRule type="notContainsBlanks" dxfId="1" priority="639">
      <formula>LEN(TRIM(K374))&gt;0</formula>
    </cfRule>
  </conditionalFormatting>
  <conditionalFormatting sqref="F375:J375">
    <cfRule type="notContainsBlanks" dxfId="1" priority="1135">
      <formula>LEN(TRIM(F375))&gt;0</formula>
    </cfRule>
  </conditionalFormatting>
  <conditionalFormatting sqref="K375">
    <cfRule type="notContainsBlanks" dxfId="1" priority="638">
      <formula>LEN(TRIM(K375))&gt;0</formula>
    </cfRule>
  </conditionalFormatting>
  <conditionalFormatting sqref="F376:J376">
    <cfRule type="notContainsBlanks" dxfId="1" priority="1134">
      <formula>LEN(TRIM(F376))&gt;0</formula>
    </cfRule>
  </conditionalFormatting>
  <conditionalFormatting sqref="K376">
    <cfRule type="notContainsBlanks" dxfId="1" priority="637">
      <formula>LEN(TRIM(K376))&gt;0</formula>
    </cfRule>
  </conditionalFormatting>
  <conditionalFormatting sqref="F377:J377">
    <cfRule type="notContainsBlanks" dxfId="1" priority="1133">
      <formula>LEN(TRIM(F377))&gt;0</formula>
    </cfRule>
  </conditionalFormatting>
  <conditionalFormatting sqref="K377">
    <cfRule type="notContainsBlanks" dxfId="1" priority="636">
      <formula>LEN(TRIM(K377))&gt;0</formula>
    </cfRule>
  </conditionalFormatting>
  <conditionalFormatting sqref="F378:J378">
    <cfRule type="notContainsBlanks" dxfId="1" priority="1132">
      <formula>LEN(TRIM(F378))&gt;0</formula>
    </cfRule>
  </conditionalFormatting>
  <conditionalFormatting sqref="K378">
    <cfRule type="notContainsBlanks" dxfId="1" priority="635">
      <formula>LEN(TRIM(K378))&gt;0</formula>
    </cfRule>
  </conditionalFormatting>
  <conditionalFormatting sqref="F379:J379">
    <cfRule type="notContainsBlanks" dxfId="1" priority="1131">
      <formula>LEN(TRIM(F379))&gt;0</formula>
    </cfRule>
  </conditionalFormatting>
  <conditionalFormatting sqref="K379">
    <cfRule type="notContainsBlanks" dxfId="1" priority="634">
      <formula>LEN(TRIM(K379))&gt;0</formula>
    </cfRule>
  </conditionalFormatting>
  <conditionalFormatting sqref="F380:J380">
    <cfRule type="notContainsBlanks" dxfId="1" priority="1130">
      <formula>LEN(TRIM(F380))&gt;0</formula>
    </cfRule>
  </conditionalFormatting>
  <conditionalFormatting sqref="K380">
    <cfRule type="notContainsBlanks" dxfId="1" priority="633">
      <formula>LEN(TRIM(K380))&gt;0</formula>
    </cfRule>
  </conditionalFormatting>
  <conditionalFormatting sqref="F381:J381">
    <cfRule type="notContainsBlanks" dxfId="1" priority="1129">
      <formula>LEN(TRIM(F381))&gt;0</formula>
    </cfRule>
  </conditionalFormatting>
  <conditionalFormatting sqref="K381">
    <cfRule type="notContainsBlanks" dxfId="1" priority="632">
      <formula>LEN(TRIM(K381))&gt;0</formula>
    </cfRule>
  </conditionalFormatting>
  <conditionalFormatting sqref="F382:J382">
    <cfRule type="notContainsBlanks" dxfId="1" priority="1128">
      <formula>LEN(TRIM(F382))&gt;0</formula>
    </cfRule>
  </conditionalFormatting>
  <conditionalFormatting sqref="K382">
    <cfRule type="notContainsBlanks" dxfId="1" priority="631">
      <formula>LEN(TRIM(K382))&gt;0</formula>
    </cfRule>
  </conditionalFormatting>
  <conditionalFormatting sqref="F383:J383">
    <cfRule type="notContainsBlanks" dxfId="1" priority="1127">
      <formula>LEN(TRIM(F383))&gt;0</formula>
    </cfRule>
  </conditionalFormatting>
  <conditionalFormatting sqref="K383">
    <cfRule type="notContainsBlanks" dxfId="1" priority="630">
      <formula>LEN(TRIM(K383))&gt;0</formula>
    </cfRule>
  </conditionalFormatting>
  <conditionalFormatting sqref="F384:J384">
    <cfRule type="notContainsBlanks" dxfId="1" priority="1126">
      <formula>LEN(TRIM(F384))&gt;0</formula>
    </cfRule>
  </conditionalFormatting>
  <conditionalFormatting sqref="K384">
    <cfRule type="notContainsBlanks" dxfId="1" priority="629">
      <formula>LEN(TRIM(K384))&gt;0</formula>
    </cfRule>
  </conditionalFormatting>
  <conditionalFormatting sqref="F385:J385">
    <cfRule type="notContainsBlanks" dxfId="1" priority="1125">
      <formula>LEN(TRIM(F385))&gt;0</formula>
    </cfRule>
  </conditionalFormatting>
  <conditionalFormatting sqref="K385">
    <cfRule type="notContainsBlanks" dxfId="1" priority="628">
      <formula>LEN(TRIM(K385))&gt;0</formula>
    </cfRule>
  </conditionalFormatting>
  <conditionalFormatting sqref="F386:J386">
    <cfRule type="notContainsBlanks" dxfId="1" priority="1124">
      <formula>LEN(TRIM(F386))&gt;0</formula>
    </cfRule>
  </conditionalFormatting>
  <conditionalFormatting sqref="K386">
    <cfRule type="notContainsBlanks" dxfId="1" priority="627">
      <formula>LEN(TRIM(K386))&gt;0</formula>
    </cfRule>
  </conditionalFormatting>
  <conditionalFormatting sqref="F387:J387">
    <cfRule type="notContainsBlanks" dxfId="1" priority="1123">
      <formula>LEN(TRIM(F387))&gt;0</formula>
    </cfRule>
  </conditionalFormatting>
  <conditionalFormatting sqref="K387">
    <cfRule type="notContainsBlanks" dxfId="1" priority="626">
      <formula>LEN(TRIM(K387))&gt;0</formula>
    </cfRule>
  </conditionalFormatting>
  <conditionalFormatting sqref="F388:J388">
    <cfRule type="notContainsBlanks" dxfId="1" priority="1122">
      <formula>LEN(TRIM(F388))&gt;0</formula>
    </cfRule>
  </conditionalFormatting>
  <conditionalFormatting sqref="K388">
    <cfRule type="notContainsBlanks" dxfId="1" priority="625">
      <formula>LEN(TRIM(K388))&gt;0</formula>
    </cfRule>
  </conditionalFormatting>
  <conditionalFormatting sqref="F389:J389">
    <cfRule type="notContainsBlanks" dxfId="1" priority="1121">
      <formula>LEN(TRIM(F389))&gt;0</formula>
    </cfRule>
  </conditionalFormatting>
  <conditionalFormatting sqref="K389">
    <cfRule type="notContainsBlanks" dxfId="1" priority="624">
      <formula>LEN(TRIM(K389))&gt;0</formula>
    </cfRule>
  </conditionalFormatting>
  <conditionalFormatting sqref="F390:J390">
    <cfRule type="notContainsBlanks" dxfId="1" priority="1120">
      <formula>LEN(TRIM(F390))&gt;0</formula>
    </cfRule>
  </conditionalFormatting>
  <conditionalFormatting sqref="K390">
    <cfRule type="notContainsBlanks" dxfId="1" priority="623">
      <formula>LEN(TRIM(K390))&gt;0</formula>
    </cfRule>
  </conditionalFormatting>
  <conditionalFormatting sqref="F391:J391">
    <cfRule type="notContainsBlanks" dxfId="1" priority="1119">
      <formula>LEN(TRIM(F391))&gt;0</formula>
    </cfRule>
  </conditionalFormatting>
  <conditionalFormatting sqref="K391">
    <cfRule type="notContainsBlanks" dxfId="1" priority="622">
      <formula>LEN(TRIM(K391))&gt;0</formula>
    </cfRule>
  </conditionalFormatting>
  <conditionalFormatting sqref="F392:J392">
    <cfRule type="notContainsBlanks" dxfId="1" priority="1118">
      <formula>LEN(TRIM(F392))&gt;0</formula>
    </cfRule>
  </conditionalFormatting>
  <conditionalFormatting sqref="K392">
    <cfRule type="notContainsBlanks" dxfId="1" priority="621">
      <formula>LEN(TRIM(K392))&gt;0</formula>
    </cfRule>
  </conditionalFormatting>
  <conditionalFormatting sqref="F393:J393">
    <cfRule type="notContainsBlanks" dxfId="1" priority="1117">
      <formula>LEN(TRIM(F393))&gt;0</formula>
    </cfRule>
  </conditionalFormatting>
  <conditionalFormatting sqref="K393">
    <cfRule type="notContainsBlanks" dxfId="1" priority="620">
      <formula>LEN(TRIM(K393))&gt;0</formula>
    </cfRule>
  </conditionalFormatting>
  <conditionalFormatting sqref="F394:J394">
    <cfRule type="notContainsBlanks" dxfId="1" priority="1116">
      <formula>LEN(TRIM(F394))&gt;0</formula>
    </cfRule>
  </conditionalFormatting>
  <conditionalFormatting sqref="K394">
    <cfRule type="notContainsBlanks" dxfId="1" priority="619">
      <formula>LEN(TRIM(K394))&gt;0</formula>
    </cfRule>
  </conditionalFormatting>
  <conditionalFormatting sqref="F395:J395">
    <cfRule type="notContainsBlanks" dxfId="1" priority="1115">
      <formula>LEN(TRIM(F395))&gt;0</formula>
    </cfRule>
  </conditionalFormatting>
  <conditionalFormatting sqref="K395">
    <cfRule type="notContainsBlanks" dxfId="1" priority="618">
      <formula>LEN(TRIM(K395))&gt;0</formula>
    </cfRule>
  </conditionalFormatting>
  <conditionalFormatting sqref="F396:J396">
    <cfRule type="notContainsBlanks" dxfId="1" priority="1114">
      <formula>LEN(TRIM(F396))&gt;0</formula>
    </cfRule>
  </conditionalFormatting>
  <conditionalFormatting sqref="K396">
    <cfRule type="notContainsBlanks" dxfId="1" priority="617">
      <formula>LEN(TRIM(K396))&gt;0</formula>
    </cfRule>
  </conditionalFormatting>
  <conditionalFormatting sqref="F397:J397">
    <cfRule type="notContainsBlanks" dxfId="1" priority="1113">
      <formula>LEN(TRIM(F397))&gt;0</formula>
    </cfRule>
  </conditionalFormatting>
  <conditionalFormatting sqref="K397">
    <cfRule type="notContainsBlanks" dxfId="1" priority="616">
      <formula>LEN(TRIM(K397))&gt;0</formula>
    </cfRule>
  </conditionalFormatting>
  <conditionalFormatting sqref="F398:J398">
    <cfRule type="notContainsBlanks" dxfId="1" priority="1112">
      <formula>LEN(TRIM(F398))&gt;0</formula>
    </cfRule>
  </conditionalFormatting>
  <conditionalFormatting sqref="K398">
    <cfRule type="notContainsBlanks" dxfId="1" priority="615">
      <formula>LEN(TRIM(K398))&gt;0</formula>
    </cfRule>
  </conditionalFormatting>
  <conditionalFormatting sqref="F399:J399">
    <cfRule type="notContainsBlanks" dxfId="1" priority="1111">
      <formula>LEN(TRIM(F399))&gt;0</formula>
    </cfRule>
  </conditionalFormatting>
  <conditionalFormatting sqref="K399">
    <cfRule type="notContainsBlanks" dxfId="1" priority="614">
      <formula>LEN(TRIM(K399))&gt;0</formula>
    </cfRule>
  </conditionalFormatting>
  <conditionalFormatting sqref="F400:J400">
    <cfRule type="notContainsBlanks" dxfId="1" priority="1110">
      <formula>LEN(TRIM(F400))&gt;0</formula>
    </cfRule>
  </conditionalFormatting>
  <conditionalFormatting sqref="K400">
    <cfRule type="notContainsBlanks" dxfId="1" priority="613">
      <formula>LEN(TRIM(K400))&gt;0</formula>
    </cfRule>
  </conditionalFormatting>
  <conditionalFormatting sqref="F401:J401">
    <cfRule type="notContainsBlanks" dxfId="1" priority="1109">
      <formula>LEN(TRIM(F401))&gt;0</formula>
    </cfRule>
  </conditionalFormatting>
  <conditionalFormatting sqref="K401">
    <cfRule type="notContainsBlanks" dxfId="1" priority="612">
      <formula>LEN(TRIM(K401))&gt;0</formula>
    </cfRule>
  </conditionalFormatting>
  <conditionalFormatting sqref="F402:J402">
    <cfRule type="notContainsBlanks" dxfId="1" priority="1108">
      <formula>LEN(TRIM(F402))&gt;0</formula>
    </cfRule>
  </conditionalFormatting>
  <conditionalFormatting sqref="K402">
    <cfRule type="notContainsBlanks" dxfId="1" priority="611">
      <formula>LEN(TRIM(K402))&gt;0</formula>
    </cfRule>
  </conditionalFormatting>
  <conditionalFormatting sqref="F403:J403">
    <cfRule type="notContainsBlanks" dxfId="1" priority="1107">
      <formula>LEN(TRIM(F403))&gt;0</formula>
    </cfRule>
  </conditionalFormatting>
  <conditionalFormatting sqref="K403">
    <cfRule type="notContainsBlanks" dxfId="1" priority="610">
      <formula>LEN(TRIM(K403))&gt;0</formula>
    </cfRule>
  </conditionalFormatting>
  <conditionalFormatting sqref="F404:J404">
    <cfRule type="notContainsBlanks" dxfId="1" priority="1106">
      <formula>LEN(TRIM(F404))&gt;0</formula>
    </cfRule>
  </conditionalFormatting>
  <conditionalFormatting sqref="K404">
    <cfRule type="notContainsBlanks" dxfId="1" priority="609">
      <formula>LEN(TRIM(K404))&gt;0</formula>
    </cfRule>
  </conditionalFormatting>
  <conditionalFormatting sqref="F405:J405">
    <cfRule type="notContainsBlanks" dxfId="1" priority="1105">
      <formula>LEN(TRIM(F405))&gt;0</formula>
    </cfRule>
  </conditionalFormatting>
  <conditionalFormatting sqref="K405">
    <cfRule type="notContainsBlanks" dxfId="1" priority="608">
      <formula>LEN(TRIM(K405))&gt;0</formula>
    </cfRule>
  </conditionalFormatting>
  <conditionalFormatting sqref="F406:J406">
    <cfRule type="notContainsBlanks" dxfId="1" priority="1104">
      <formula>LEN(TRIM(F406))&gt;0</formula>
    </cfRule>
  </conditionalFormatting>
  <conditionalFormatting sqref="K406">
    <cfRule type="notContainsBlanks" dxfId="1" priority="607">
      <formula>LEN(TRIM(K406))&gt;0</formula>
    </cfRule>
  </conditionalFormatting>
  <conditionalFormatting sqref="F407:J407">
    <cfRule type="notContainsBlanks" dxfId="1" priority="1103">
      <formula>LEN(TRIM(F407))&gt;0</formula>
    </cfRule>
  </conditionalFormatting>
  <conditionalFormatting sqref="K407">
    <cfRule type="notContainsBlanks" dxfId="1" priority="606">
      <formula>LEN(TRIM(K407))&gt;0</formula>
    </cfRule>
  </conditionalFormatting>
  <conditionalFormatting sqref="F408:J408">
    <cfRule type="notContainsBlanks" dxfId="1" priority="1102">
      <formula>LEN(TRIM(F408))&gt;0</formula>
    </cfRule>
  </conditionalFormatting>
  <conditionalFormatting sqref="K408">
    <cfRule type="notContainsBlanks" dxfId="1" priority="605">
      <formula>LEN(TRIM(K408))&gt;0</formula>
    </cfRule>
  </conditionalFormatting>
  <conditionalFormatting sqref="F409:J409">
    <cfRule type="notContainsBlanks" dxfId="1" priority="1101">
      <formula>LEN(TRIM(F409))&gt;0</formula>
    </cfRule>
  </conditionalFormatting>
  <conditionalFormatting sqref="K409">
    <cfRule type="notContainsBlanks" dxfId="1" priority="604">
      <formula>LEN(TRIM(K409))&gt;0</formula>
    </cfRule>
  </conditionalFormatting>
  <conditionalFormatting sqref="F410:J410">
    <cfRule type="notContainsBlanks" dxfId="1" priority="1100">
      <formula>LEN(TRIM(F410))&gt;0</formula>
    </cfRule>
  </conditionalFormatting>
  <conditionalFormatting sqref="K410">
    <cfRule type="notContainsBlanks" dxfId="1" priority="603">
      <formula>LEN(TRIM(K410))&gt;0</formula>
    </cfRule>
  </conditionalFormatting>
  <conditionalFormatting sqref="F411:J411">
    <cfRule type="notContainsBlanks" dxfId="1" priority="1099">
      <formula>LEN(TRIM(F411))&gt;0</formula>
    </cfRule>
  </conditionalFormatting>
  <conditionalFormatting sqref="K411">
    <cfRule type="notContainsBlanks" dxfId="1" priority="602">
      <formula>LEN(TRIM(K411))&gt;0</formula>
    </cfRule>
  </conditionalFormatting>
  <conditionalFormatting sqref="F412:J412">
    <cfRule type="notContainsBlanks" dxfId="1" priority="1098">
      <formula>LEN(TRIM(F412))&gt;0</formula>
    </cfRule>
  </conditionalFormatting>
  <conditionalFormatting sqref="K412">
    <cfRule type="notContainsBlanks" dxfId="1" priority="601">
      <formula>LEN(TRIM(K412))&gt;0</formula>
    </cfRule>
  </conditionalFormatting>
  <conditionalFormatting sqref="F413:J413">
    <cfRule type="notContainsBlanks" dxfId="1" priority="1097">
      <formula>LEN(TRIM(F413))&gt;0</formula>
    </cfRule>
  </conditionalFormatting>
  <conditionalFormatting sqref="K413">
    <cfRule type="notContainsBlanks" dxfId="1" priority="600">
      <formula>LEN(TRIM(K413))&gt;0</formula>
    </cfRule>
  </conditionalFormatting>
  <conditionalFormatting sqref="F414:J414">
    <cfRule type="notContainsBlanks" dxfId="1" priority="1096">
      <formula>LEN(TRIM(F414))&gt;0</formula>
    </cfRule>
  </conditionalFormatting>
  <conditionalFormatting sqref="K414">
    <cfRule type="notContainsBlanks" dxfId="1" priority="599">
      <formula>LEN(TRIM(K414))&gt;0</formula>
    </cfRule>
  </conditionalFormatting>
  <conditionalFormatting sqref="F415:J415">
    <cfRule type="notContainsBlanks" dxfId="1" priority="1095">
      <formula>LEN(TRIM(F415))&gt;0</formula>
    </cfRule>
  </conditionalFormatting>
  <conditionalFormatting sqref="K415">
    <cfRule type="notContainsBlanks" dxfId="1" priority="598">
      <formula>LEN(TRIM(K415))&gt;0</formula>
    </cfRule>
  </conditionalFormatting>
  <conditionalFormatting sqref="F416:J416">
    <cfRule type="notContainsBlanks" dxfId="1" priority="1094">
      <formula>LEN(TRIM(F416))&gt;0</formula>
    </cfRule>
  </conditionalFormatting>
  <conditionalFormatting sqref="K416">
    <cfRule type="notContainsBlanks" dxfId="1" priority="597">
      <formula>LEN(TRIM(K416))&gt;0</formula>
    </cfRule>
  </conditionalFormatting>
  <conditionalFormatting sqref="F417:J417">
    <cfRule type="notContainsBlanks" dxfId="1" priority="1093">
      <formula>LEN(TRIM(F417))&gt;0</formula>
    </cfRule>
  </conditionalFormatting>
  <conditionalFormatting sqref="K417">
    <cfRule type="notContainsBlanks" dxfId="1" priority="596">
      <formula>LEN(TRIM(K417))&gt;0</formula>
    </cfRule>
  </conditionalFormatting>
  <conditionalFormatting sqref="F418:J418">
    <cfRule type="notContainsBlanks" dxfId="1" priority="1092">
      <formula>LEN(TRIM(F418))&gt;0</formula>
    </cfRule>
  </conditionalFormatting>
  <conditionalFormatting sqref="K418">
    <cfRule type="notContainsBlanks" dxfId="1" priority="595">
      <formula>LEN(TRIM(K418))&gt;0</formula>
    </cfRule>
  </conditionalFormatting>
  <conditionalFormatting sqref="F419:J419">
    <cfRule type="notContainsBlanks" dxfId="1" priority="1091">
      <formula>LEN(TRIM(F419))&gt;0</formula>
    </cfRule>
  </conditionalFormatting>
  <conditionalFormatting sqref="K419">
    <cfRule type="notContainsBlanks" dxfId="1" priority="594">
      <formula>LEN(TRIM(K419))&gt;0</formula>
    </cfRule>
  </conditionalFormatting>
  <conditionalFormatting sqref="F420:J420">
    <cfRule type="notContainsBlanks" dxfId="1" priority="1090">
      <formula>LEN(TRIM(F420))&gt;0</formula>
    </cfRule>
  </conditionalFormatting>
  <conditionalFormatting sqref="K420">
    <cfRule type="notContainsBlanks" dxfId="1" priority="593">
      <formula>LEN(TRIM(K420))&gt;0</formula>
    </cfRule>
  </conditionalFormatting>
  <conditionalFormatting sqref="F421:J421">
    <cfRule type="notContainsBlanks" dxfId="1" priority="1089">
      <formula>LEN(TRIM(F421))&gt;0</formula>
    </cfRule>
  </conditionalFormatting>
  <conditionalFormatting sqref="K421">
    <cfRule type="notContainsBlanks" dxfId="1" priority="592">
      <formula>LEN(TRIM(K421))&gt;0</formula>
    </cfRule>
  </conditionalFormatting>
  <conditionalFormatting sqref="F422:J422">
    <cfRule type="notContainsBlanks" dxfId="1" priority="1088">
      <formula>LEN(TRIM(F422))&gt;0</formula>
    </cfRule>
  </conditionalFormatting>
  <conditionalFormatting sqref="K422">
    <cfRule type="notContainsBlanks" dxfId="1" priority="591">
      <formula>LEN(TRIM(K422))&gt;0</formula>
    </cfRule>
  </conditionalFormatting>
  <conditionalFormatting sqref="F423:J423">
    <cfRule type="notContainsBlanks" dxfId="1" priority="1087">
      <formula>LEN(TRIM(F423))&gt;0</formula>
    </cfRule>
  </conditionalFormatting>
  <conditionalFormatting sqref="K423">
    <cfRule type="notContainsBlanks" dxfId="1" priority="590">
      <formula>LEN(TRIM(K423))&gt;0</formula>
    </cfRule>
  </conditionalFormatting>
  <conditionalFormatting sqref="F424:J424">
    <cfRule type="notContainsBlanks" dxfId="1" priority="1086">
      <formula>LEN(TRIM(F424))&gt;0</formula>
    </cfRule>
  </conditionalFormatting>
  <conditionalFormatting sqref="K424">
    <cfRule type="notContainsBlanks" dxfId="1" priority="589">
      <formula>LEN(TRIM(K424))&gt;0</formula>
    </cfRule>
  </conditionalFormatting>
  <conditionalFormatting sqref="F425:J425">
    <cfRule type="notContainsBlanks" dxfId="1" priority="1085">
      <formula>LEN(TRIM(F425))&gt;0</formula>
    </cfRule>
  </conditionalFormatting>
  <conditionalFormatting sqref="K425">
    <cfRule type="notContainsBlanks" dxfId="1" priority="588">
      <formula>LEN(TRIM(K425))&gt;0</formula>
    </cfRule>
  </conditionalFormatting>
  <conditionalFormatting sqref="F426:J426">
    <cfRule type="notContainsBlanks" dxfId="1" priority="1084">
      <formula>LEN(TRIM(F426))&gt;0</formula>
    </cfRule>
  </conditionalFormatting>
  <conditionalFormatting sqref="K426">
    <cfRule type="notContainsBlanks" dxfId="1" priority="587">
      <formula>LEN(TRIM(K426))&gt;0</formula>
    </cfRule>
  </conditionalFormatting>
  <conditionalFormatting sqref="F427:J427">
    <cfRule type="notContainsBlanks" dxfId="1" priority="1083">
      <formula>LEN(TRIM(F427))&gt;0</formula>
    </cfRule>
  </conditionalFormatting>
  <conditionalFormatting sqref="K427">
    <cfRule type="notContainsBlanks" dxfId="1" priority="586">
      <formula>LEN(TRIM(K427))&gt;0</formula>
    </cfRule>
  </conditionalFormatting>
  <conditionalFormatting sqref="F428:J428">
    <cfRule type="notContainsBlanks" dxfId="1" priority="1082">
      <formula>LEN(TRIM(F428))&gt;0</formula>
    </cfRule>
  </conditionalFormatting>
  <conditionalFormatting sqref="K428">
    <cfRule type="notContainsBlanks" dxfId="1" priority="585">
      <formula>LEN(TRIM(K428))&gt;0</formula>
    </cfRule>
  </conditionalFormatting>
  <conditionalFormatting sqref="F429:J429">
    <cfRule type="notContainsBlanks" dxfId="1" priority="1081">
      <formula>LEN(TRIM(F429))&gt;0</formula>
    </cfRule>
  </conditionalFormatting>
  <conditionalFormatting sqref="K429">
    <cfRule type="notContainsBlanks" dxfId="1" priority="584">
      <formula>LEN(TRIM(K429))&gt;0</formula>
    </cfRule>
  </conditionalFormatting>
  <conditionalFormatting sqref="F430:J430">
    <cfRule type="notContainsBlanks" dxfId="1" priority="1080">
      <formula>LEN(TRIM(F430))&gt;0</formula>
    </cfRule>
  </conditionalFormatting>
  <conditionalFormatting sqref="K430">
    <cfRule type="notContainsBlanks" dxfId="1" priority="583">
      <formula>LEN(TRIM(K430))&gt;0</formula>
    </cfRule>
  </conditionalFormatting>
  <conditionalFormatting sqref="F431:J431">
    <cfRule type="notContainsBlanks" dxfId="1" priority="1079">
      <formula>LEN(TRIM(F431))&gt;0</formula>
    </cfRule>
  </conditionalFormatting>
  <conditionalFormatting sqref="K431">
    <cfRule type="notContainsBlanks" dxfId="1" priority="582">
      <formula>LEN(TRIM(K431))&gt;0</formula>
    </cfRule>
  </conditionalFormatting>
  <conditionalFormatting sqref="F432:J432">
    <cfRule type="notContainsBlanks" dxfId="1" priority="1078">
      <formula>LEN(TRIM(F432))&gt;0</formula>
    </cfRule>
  </conditionalFormatting>
  <conditionalFormatting sqref="K432">
    <cfRule type="notContainsBlanks" dxfId="1" priority="581">
      <formula>LEN(TRIM(K432))&gt;0</formula>
    </cfRule>
  </conditionalFormatting>
  <conditionalFormatting sqref="F433:J433">
    <cfRule type="notContainsBlanks" dxfId="1" priority="1077">
      <formula>LEN(TRIM(F433))&gt;0</formula>
    </cfRule>
  </conditionalFormatting>
  <conditionalFormatting sqref="K433">
    <cfRule type="notContainsBlanks" dxfId="1" priority="580">
      <formula>LEN(TRIM(K433))&gt;0</formula>
    </cfRule>
  </conditionalFormatting>
  <conditionalFormatting sqref="F434:J434">
    <cfRule type="notContainsBlanks" dxfId="1" priority="1076">
      <formula>LEN(TRIM(F434))&gt;0</formula>
    </cfRule>
  </conditionalFormatting>
  <conditionalFormatting sqref="K434">
    <cfRule type="notContainsBlanks" dxfId="1" priority="579">
      <formula>LEN(TRIM(K434))&gt;0</formula>
    </cfRule>
  </conditionalFormatting>
  <conditionalFormatting sqref="F435:J435">
    <cfRule type="notContainsBlanks" dxfId="1" priority="1075">
      <formula>LEN(TRIM(F435))&gt;0</formula>
    </cfRule>
  </conditionalFormatting>
  <conditionalFormatting sqref="K435">
    <cfRule type="notContainsBlanks" dxfId="1" priority="578">
      <formula>LEN(TRIM(K435))&gt;0</formula>
    </cfRule>
  </conditionalFormatting>
  <conditionalFormatting sqref="F436:J436">
    <cfRule type="notContainsBlanks" dxfId="1" priority="1074">
      <formula>LEN(TRIM(F436))&gt;0</formula>
    </cfRule>
  </conditionalFormatting>
  <conditionalFormatting sqref="K436">
    <cfRule type="notContainsBlanks" dxfId="1" priority="577">
      <formula>LEN(TRIM(K436))&gt;0</formula>
    </cfRule>
  </conditionalFormatting>
  <conditionalFormatting sqref="F437:J437">
    <cfRule type="notContainsBlanks" dxfId="1" priority="1073">
      <formula>LEN(TRIM(F437))&gt;0</formula>
    </cfRule>
  </conditionalFormatting>
  <conditionalFormatting sqref="K437">
    <cfRule type="notContainsBlanks" dxfId="1" priority="576">
      <formula>LEN(TRIM(K437))&gt;0</formula>
    </cfRule>
  </conditionalFormatting>
  <conditionalFormatting sqref="F438:J438">
    <cfRule type="notContainsBlanks" dxfId="1" priority="1072">
      <formula>LEN(TRIM(F438))&gt;0</formula>
    </cfRule>
  </conditionalFormatting>
  <conditionalFormatting sqref="K438">
    <cfRule type="notContainsBlanks" dxfId="1" priority="575">
      <formula>LEN(TRIM(K438))&gt;0</formula>
    </cfRule>
  </conditionalFormatting>
  <conditionalFormatting sqref="F439:J439">
    <cfRule type="notContainsBlanks" dxfId="1" priority="1071">
      <formula>LEN(TRIM(F439))&gt;0</formula>
    </cfRule>
  </conditionalFormatting>
  <conditionalFormatting sqref="K439">
    <cfRule type="notContainsBlanks" dxfId="1" priority="574">
      <formula>LEN(TRIM(K439))&gt;0</formula>
    </cfRule>
  </conditionalFormatting>
  <conditionalFormatting sqref="F440:J440">
    <cfRule type="notContainsBlanks" dxfId="1" priority="1070">
      <formula>LEN(TRIM(F440))&gt;0</formula>
    </cfRule>
  </conditionalFormatting>
  <conditionalFormatting sqref="K440">
    <cfRule type="notContainsBlanks" dxfId="1" priority="573">
      <formula>LEN(TRIM(K440))&gt;0</formula>
    </cfRule>
  </conditionalFormatting>
  <conditionalFormatting sqref="F441:J441">
    <cfRule type="notContainsBlanks" dxfId="1" priority="1069">
      <formula>LEN(TRIM(F441))&gt;0</formula>
    </cfRule>
  </conditionalFormatting>
  <conditionalFormatting sqref="K441">
    <cfRule type="notContainsBlanks" dxfId="1" priority="572">
      <formula>LEN(TRIM(K441))&gt;0</formula>
    </cfRule>
  </conditionalFormatting>
  <conditionalFormatting sqref="F442:J442">
    <cfRule type="notContainsBlanks" dxfId="1" priority="1068">
      <formula>LEN(TRIM(F442))&gt;0</formula>
    </cfRule>
  </conditionalFormatting>
  <conditionalFormatting sqref="K442">
    <cfRule type="notContainsBlanks" dxfId="1" priority="571">
      <formula>LEN(TRIM(K442))&gt;0</formula>
    </cfRule>
  </conditionalFormatting>
  <conditionalFormatting sqref="F443:J443">
    <cfRule type="notContainsBlanks" dxfId="1" priority="1067">
      <formula>LEN(TRIM(F443))&gt;0</formula>
    </cfRule>
  </conditionalFormatting>
  <conditionalFormatting sqref="K443">
    <cfRule type="notContainsBlanks" dxfId="1" priority="570">
      <formula>LEN(TRIM(K443))&gt;0</formula>
    </cfRule>
  </conditionalFormatting>
  <conditionalFormatting sqref="F444:J444">
    <cfRule type="notContainsBlanks" dxfId="1" priority="1066">
      <formula>LEN(TRIM(F444))&gt;0</formula>
    </cfRule>
  </conditionalFormatting>
  <conditionalFormatting sqref="K444">
    <cfRule type="notContainsBlanks" dxfId="1" priority="569">
      <formula>LEN(TRIM(K444))&gt;0</formula>
    </cfRule>
  </conditionalFormatting>
  <conditionalFormatting sqref="F445:J445">
    <cfRule type="notContainsBlanks" dxfId="1" priority="1065">
      <formula>LEN(TRIM(F445))&gt;0</formula>
    </cfRule>
  </conditionalFormatting>
  <conditionalFormatting sqref="K445">
    <cfRule type="notContainsBlanks" dxfId="1" priority="568">
      <formula>LEN(TRIM(K445))&gt;0</formula>
    </cfRule>
  </conditionalFormatting>
  <conditionalFormatting sqref="F446:J446">
    <cfRule type="notContainsBlanks" dxfId="1" priority="1064">
      <formula>LEN(TRIM(F446))&gt;0</formula>
    </cfRule>
  </conditionalFormatting>
  <conditionalFormatting sqref="K446">
    <cfRule type="notContainsBlanks" dxfId="1" priority="567">
      <formula>LEN(TRIM(K446))&gt;0</formula>
    </cfRule>
  </conditionalFormatting>
  <conditionalFormatting sqref="F447:J447">
    <cfRule type="notContainsBlanks" dxfId="1" priority="1063">
      <formula>LEN(TRIM(F447))&gt;0</formula>
    </cfRule>
  </conditionalFormatting>
  <conditionalFormatting sqref="K447">
    <cfRule type="notContainsBlanks" dxfId="1" priority="566">
      <formula>LEN(TRIM(K447))&gt;0</formula>
    </cfRule>
  </conditionalFormatting>
  <conditionalFormatting sqref="F448:J448">
    <cfRule type="notContainsBlanks" dxfId="1" priority="1062">
      <formula>LEN(TRIM(F448))&gt;0</formula>
    </cfRule>
  </conditionalFormatting>
  <conditionalFormatting sqref="K448">
    <cfRule type="notContainsBlanks" dxfId="1" priority="565">
      <formula>LEN(TRIM(K448))&gt;0</formula>
    </cfRule>
  </conditionalFormatting>
  <conditionalFormatting sqref="F449:J449">
    <cfRule type="notContainsBlanks" dxfId="1" priority="1061">
      <formula>LEN(TRIM(F449))&gt;0</formula>
    </cfRule>
  </conditionalFormatting>
  <conditionalFormatting sqref="K449">
    <cfRule type="notContainsBlanks" dxfId="1" priority="564">
      <formula>LEN(TRIM(K449))&gt;0</formula>
    </cfRule>
  </conditionalFormatting>
  <conditionalFormatting sqref="F450:J450">
    <cfRule type="notContainsBlanks" dxfId="1" priority="1060">
      <formula>LEN(TRIM(F450))&gt;0</formula>
    </cfRule>
  </conditionalFormatting>
  <conditionalFormatting sqref="K450">
    <cfRule type="notContainsBlanks" dxfId="1" priority="563">
      <formula>LEN(TRIM(K450))&gt;0</formula>
    </cfRule>
  </conditionalFormatting>
  <conditionalFormatting sqref="F451:J451">
    <cfRule type="notContainsBlanks" dxfId="1" priority="1059">
      <formula>LEN(TRIM(F451))&gt;0</formula>
    </cfRule>
  </conditionalFormatting>
  <conditionalFormatting sqref="K451">
    <cfRule type="notContainsBlanks" dxfId="1" priority="562">
      <formula>LEN(TRIM(K451))&gt;0</formula>
    </cfRule>
  </conditionalFormatting>
  <conditionalFormatting sqref="F452:J452">
    <cfRule type="notContainsBlanks" dxfId="1" priority="1058">
      <formula>LEN(TRIM(F452))&gt;0</formula>
    </cfRule>
  </conditionalFormatting>
  <conditionalFormatting sqref="K452">
    <cfRule type="notContainsBlanks" dxfId="1" priority="561">
      <formula>LEN(TRIM(K452))&gt;0</formula>
    </cfRule>
  </conditionalFormatting>
  <conditionalFormatting sqref="F453:J453">
    <cfRule type="notContainsBlanks" dxfId="1" priority="1057">
      <formula>LEN(TRIM(F453))&gt;0</formula>
    </cfRule>
  </conditionalFormatting>
  <conditionalFormatting sqref="K453">
    <cfRule type="notContainsBlanks" dxfId="1" priority="560">
      <formula>LEN(TRIM(K453))&gt;0</formula>
    </cfRule>
  </conditionalFormatting>
  <conditionalFormatting sqref="F454:J454">
    <cfRule type="notContainsBlanks" dxfId="1" priority="1056">
      <formula>LEN(TRIM(F454))&gt;0</formula>
    </cfRule>
  </conditionalFormatting>
  <conditionalFormatting sqref="K454">
    <cfRule type="notContainsBlanks" dxfId="1" priority="559">
      <formula>LEN(TRIM(K454))&gt;0</formula>
    </cfRule>
  </conditionalFormatting>
  <conditionalFormatting sqref="F455:J455">
    <cfRule type="notContainsBlanks" dxfId="1" priority="1055">
      <formula>LEN(TRIM(F455))&gt;0</formula>
    </cfRule>
  </conditionalFormatting>
  <conditionalFormatting sqref="K455">
    <cfRule type="notContainsBlanks" dxfId="1" priority="558">
      <formula>LEN(TRIM(K455))&gt;0</formula>
    </cfRule>
  </conditionalFormatting>
  <conditionalFormatting sqref="F456:J456">
    <cfRule type="notContainsBlanks" dxfId="1" priority="1054">
      <formula>LEN(TRIM(F456))&gt;0</formula>
    </cfRule>
  </conditionalFormatting>
  <conditionalFormatting sqref="K456">
    <cfRule type="notContainsBlanks" dxfId="1" priority="557">
      <formula>LEN(TRIM(K456))&gt;0</formula>
    </cfRule>
  </conditionalFormatting>
  <conditionalFormatting sqref="F457:J457">
    <cfRule type="notContainsBlanks" dxfId="1" priority="1053">
      <formula>LEN(TRIM(F457))&gt;0</formula>
    </cfRule>
  </conditionalFormatting>
  <conditionalFormatting sqref="K457">
    <cfRule type="notContainsBlanks" dxfId="1" priority="556">
      <formula>LEN(TRIM(K457))&gt;0</formula>
    </cfRule>
  </conditionalFormatting>
  <conditionalFormatting sqref="F458:J458">
    <cfRule type="notContainsBlanks" dxfId="1" priority="1052">
      <formula>LEN(TRIM(F458))&gt;0</formula>
    </cfRule>
  </conditionalFormatting>
  <conditionalFormatting sqref="K458">
    <cfRule type="notContainsBlanks" dxfId="1" priority="555">
      <formula>LEN(TRIM(K458))&gt;0</formula>
    </cfRule>
  </conditionalFormatting>
  <conditionalFormatting sqref="F459:J459">
    <cfRule type="notContainsBlanks" dxfId="1" priority="1051">
      <formula>LEN(TRIM(F459))&gt;0</formula>
    </cfRule>
  </conditionalFormatting>
  <conditionalFormatting sqref="K459">
    <cfRule type="notContainsBlanks" dxfId="1" priority="554">
      <formula>LEN(TRIM(K459))&gt;0</formula>
    </cfRule>
  </conditionalFormatting>
  <conditionalFormatting sqref="F460:J460">
    <cfRule type="notContainsBlanks" dxfId="1" priority="1050">
      <formula>LEN(TRIM(F460))&gt;0</formula>
    </cfRule>
  </conditionalFormatting>
  <conditionalFormatting sqref="K460">
    <cfRule type="notContainsBlanks" dxfId="1" priority="553">
      <formula>LEN(TRIM(K460))&gt;0</formula>
    </cfRule>
  </conditionalFormatting>
  <conditionalFormatting sqref="F461:J461">
    <cfRule type="notContainsBlanks" dxfId="1" priority="1049">
      <formula>LEN(TRIM(F461))&gt;0</formula>
    </cfRule>
  </conditionalFormatting>
  <conditionalFormatting sqref="K461">
    <cfRule type="notContainsBlanks" dxfId="1" priority="552">
      <formula>LEN(TRIM(K461))&gt;0</formula>
    </cfRule>
  </conditionalFormatting>
  <conditionalFormatting sqref="F462:J462">
    <cfRule type="notContainsBlanks" dxfId="1" priority="1048">
      <formula>LEN(TRIM(F462))&gt;0</formula>
    </cfRule>
  </conditionalFormatting>
  <conditionalFormatting sqref="K462">
    <cfRule type="notContainsBlanks" dxfId="1" priority="551">
      <formula>LEN(TRIM(K462))&gt;0</formula>
    </cfRule>
  </conditionalFormatting>
  <conditionalFormatting sqref="F463:J463">
    <cfRule type="notContainsBlanks" dxfId="1" priority="1047">
      <formula>LEN(TRIM(F463))&gt;0</formula>
    </cfRule>
  </conditionalFormatting>
  <conditionalFormatting sqref="K463">
    <cfRule type="notContainsBlanks" dxfId="1" priority="550">
      <formula>LEN(TRIM(K463))&gt;0</formula>
    </cfRule>
  </conditionalFormatting>
  <conditionalFormatting sqref="F464:J464">
    <cfRule type="notContainsBlanks" dxfId="1" priority="1046">
      <formula>LEN(TRIM(F464))&gt;0</formula>
    </cfRule>
  </conditionalFormatting>
  <conditionalFormatting sqref="K464">
    <cfRule type="notContainsBlanks" dxfId="1" priority="549">
      <formula>LEN(TRIM(K464))&gt;0</formula>
    </cfRule>
  </conditionalFormatting>
  <conditionalFormatting sqref="F465:J465">
    <cfRule type="notContainsBlanks" dxfId="1" priority="1045">
      <formula>LEN(TRIM(F465))&gt;0</formula>
    </cfRule>
  </conditionalFormatting>
  <conditionalFormatting sqref="K465">
    <cfRule type="notContainsBlanks" dxfId="1" priority="548">
      <formula>LEN(TRIM(K465))&gt;0</formula>
    </cfRule>
  </conditionalFormatting>
  <conditionalFormatting sqref="F466:J466">
    <cfRule type="notContainsBlanks" dxfId="1" priority="1044">
      <formula>LEN(TRIM(F466))&gt;0</formula>
    </cfRule>
  </conditionalFormatting>
  <conditionalFormatting sqref="K466">
    <cfRule type="notContainsBlanks" dxfId="1" priority="547">
      <formula>LEN(TRIM(K466))&gt;0</formula>
    </cfRule>
  </conditionalFormatting>
  <conditionalFormatting sqref="F467:J467">
    <cfRule type="notContainsBlanks" dxfId="1" priority="1043">
      <formula>LEN(TRIM(F467))&gt;0</formula>
    </cfRule>
  </conditionalFormatting>
  <conditionalFormatting sqref="K467">
    <cfRule type="notContainsBlanks" dxfId="1" priority="546">
      <formula>LEN(TRIM(K467))&gt;0</formula>
    </cfRule>
  </conditionalFormatting>
  <conditionalFormatting sqref="F468:J468">
    <cfRule type="notContainsBlanks" dxfId="1" priority="1042">
      <formula>LEN(TRIM(F468))&gt;0</formula>
    </cfRule>
  </conditionalFormatting>
  <conditionalFormatting sqref="K468">
    <cfRule type="notContainsBlanks" dxfId="1" priority="545">
      <formula>LEN(TRIM(K468))&gt;0</formula>
    </cfRule>
  </conditionalFormatting>
  <conditionalFormatting sqref="F469:J469">
    <cfRule type="notContainsBlanks" dxfId="1" priority="1041">
      <formula>LEN(TRIM(F469))&gt;0</formula>
    </cfRule>
  </conditionalFormatting>
  <conditionalFormatting sqref="K469">
    <cfRule type="notContainsBlanks" dxfId="1" priority="544">
      <formula>LEN(TRIM(K469))&gt;0</formula>
    </cfRule>
  </conditionalFormatting>
  <conditionalFormatting sqref="F470:J470">
    <cfRule type="notContainsBlanks" dxfId="1" priority="1040">
      <formula>LEN(TRIM(F470))&gt;0</formula>
    </cfRule>
  </conditionalFormatting>
  <conditionalFormatting sqref="K470">
    <cfRule type="notContainsBlanks" dxfId="1" priority="543">
      <formula>LEN(TRIM(K470))&gt;0</formula>
    </cfRule>
  </conditionalFormatting>
  <conditionalFormatting sqref="F471:J471">
    <cfRule type="notContainsBlanks" dxfId="1" priority="1039">
      <formula>LEN(TRIM(F471))&gt;0</formula>
    </cfRule>
  </conditionalFormatting>
  <conditionalFormatting sqref="K471">
    <cfRule type="notContainsBlanks" dxfId="1" priority="542">
      <formula>LEN(TRIM(K471))&gt;0</formula>
    </cfRule>
  </conditionalFormatting>
  <conditionalFormatting sqref="F472:J472">
    <cfRule type="notContainsBlanks" dxfId="1" priority="1038">
      <formula>LEN(TRIM(F472))&gt;0</formula>
    </cfRule>
  </conditionalFormatting>
  <conditionalFormatting sqref="K472">
    <cfRule type="notContainsBlanks" dxfId="1" priority="541">
      <formula>LEN(TRIM(K472))&gt;0</formula>
    </cfRule>
  </conditionalFormatting>
  <conditionalFormatting sqref="F473:J473">
    <cfRule type="notContainsBlanks" dxfId="1" priority="1037">
      <formula>LEN(TRIM(F473))&gt;0</formula>
    </cfRule>
  </conditionalFormatting>
  <conditionalFormatting sqref="K473">
    <cfRule type="notContainsBlanks" dxfId="1" priority="540">
      <formula>LEN(TRIM(K473))&gt;0</formula>
    </cfRule>
  </conditionalFormatting>
  <conditionalFormatting sqref="F474:J474">
    <cfRule type="notContainsBlanks" dxfId="1" priority="1036">
      <formula>LEN(TRIM(F474))&gt;0</formula>
    </cfRule>
  </conditionalFormatting>
  <conditionalFormatting sqref="K474">
    <cfRule type="notContainsBlanks" dxfId="1" priority="539">
      <formula>LEN(TRIM(K474))&gt;0</formula>
    </cfRule>
  </conditionalFormatting>
  <conditionalFormatting sqref="F475:J475">
    <cfRule type="notContainsBlanks" dxfId="1" priority="1035">
      <formula>LEN(TRIM(F475))&gt;0</formula>
    </cfRule>
  </conditionalFormatting>
  <conditionalFormatting sqref="K475">
    <cfRule type="notContainsBlanks" dxfId="1" priority="538">
      <formula>LEN(TRIM(K475))&gt;0</formula>
    </cfRule>
  </conditionalFormatting>
  <conditionalFormatting sqref="F476:J476">
    <cfRule type="notContainsBlanks" dxfId="1" priority="1034">
      <formula>LEN(TRIM(F476))&gt;0</formula>
    </cfRule>
  </conditionalFormatting>
  <conditionalFormatting sqref="K476">
    <cfRule type="notContainsBlanks" dxfId="1" priority="537">
      <formula>LEN(TRIM(K476))&gt;0</formula>
    </cfRule>
  </conditionalFormatting>
  <conditionalFormatting sqref="F477:J477">
    <cfRule type="notContainsBlanks" dxfId="1" priority="1033">
      <formula>LEN(TRIM(F477))&gt;0</formula>
    </cfRule>
  </conditionalFormatting>
  <conditionalFormatting sqref="K477">
    <cfRule type="notContainsBlanks" dxfId="1" priority="536">
      <formula>LEN(TRIM(K477))&gt;0</formula>
    </cfRule>
  </conditionalFormatting>
  <conditionalFormatting sqref="F478:J478">
    <cfRule type="notContainsBlanks" dxfId="1" priority="1032">
      <formula>LEN(TRIM(F478))&gt;0</formula>
    </cfRule>
  </conditionalFormatting>
  <conditionalFormatting sqref="K478">
    <cfRule type="notContainsBlanks" dxfId="1" priority="535">
      <formula>LEN(TRIM(K478))&gt;0</formula>
    </cfRule>
  </conditionalFormatting>
  <conditionalFormatting sqref="F479:J479">
    <cfRule type="notContainsBlanks" dxfId="1" priority="1031">
      <formula>LEN(TRIM(F479))&gt;0</formula>
    </cfRule>
  </conditionalFormatting>
  <conditionalFormatting sqref="K479">
    <cfRule type="notContainsBlanks" dxfId="1" priority="534">
      <formula>LEN(TRIM(K479))&gt;0</formula>
    </cfRule>
  </conditionalFormatting>
  <conditionalFormatting sqref="F480:J480">
    <cfRule type="notContainsBlanks" dxfId="1" priority="1030">
      <formula>LEN(TRIM(F480))&gt;0</formula>
    </cfRule>
  </conditionalFormatting>
  <conditionalFormatting sqref="K480">
    <cfRule type="notContainsBlanks" dxfId="1" priority="533">
      <formula>LEN(TRIM(K480))&gt;0</formula>
    </cfRule>
  </conditionalFormatting>
  <conditionalFormatting sqref="F481:J481">
    <cfRule type="notContainsBlanks" dxfId="1" priority="1029">
      <formula>LEN(TRIM(F481))&gt;0</formula>
    </cfRule>
  </conditionalFormatting>
  <conditionalFormatting sqref="K481">
    <cfRule type="notContainsBlanks" dxfId="1" priority="532">
      <formula>LEN(TRIM(K481))&gt;0</formula>
    </cfRule>
  </conditionalFormatting>
  <conditionalFormatting sqref="F482:J482">
    <cfRule type="notContainsBlanks" dxfId="1" priority="1028">
      <formula>LEN(TRIM(F482))&gt;0</formula>
    </cfRule>
  </conditionalFormatting>
  <conditionalFormatting sqref="K482">
    <cfRule type="notContainsBlanks" dxfId="1" priority="531">
      <formula>LEN(TRIM(K482))&gt;0</formula>
    </cfRule>
  </conditionalFormatting>
  <conditionalFormatting sqref="F483:J483">
    <cfRule type="notContainsBlanks" dxfId="1" priority="1027">
      <formula>LEN(TRIM(F483))&gt;0</formula>
    </cfRule>
  </conditionalFormatting>
  <conditionalFormatting sqref="K483">
    <cfRule type="notContainsBlanks" dxfId="1" priority="530">
      <formula>LEN(TRIM(K483))&gt;0</formula>
    </cfRule>
  </conditionalFormatting>
  <conditionalFormatting sqref="F484:J484">
    <cfRule type="notContainsBlanks" dxfId="1" priority="1026">
      <formula>LEN(TRIM(F484))&gt;0</formula>
    </cfRule>
  </conditionalFormatting>
  <conditionalFormatting sqref="K484">
    <cfRule type="notContainsBlanks" dxfId="1" priority="529">
      <formula>LEN(TRIM(K484))&gt;0</formula>
    </cfRule>
  </conditionalFormatting>
  <conditionalFormatting sqref="F485:J485">
    <cfRule type="notContainsBlanks" dxfId="1" priority="1025">
      <formula>LEN(TRIM(F485))&gt;0</formula>
    </cfRule>
  </conditionalFormatting>
  <conditionalFormatting sqref="K485">
    <cfRule type="notContainsBlanks" dxfId="1" priority="528">
      <formula>LEN(TRIM(K485))&gt;0</formula>
    </cfRule>
  </conditionalFormatting>
  <conditionalFormatting sqref="F486:J486">
    <cfRule type="notContainsBlanks" dxfId="1" priority="1024">
      <formula>LEN(TRIM(F486))&gt;0</formula>
    </cfRule>
  </conditionalFormatting>
  <conditionalFormatting sqref="K486">
    <cfRule type="notContainsBlanks" dxfId="1" priority="527">
      <formula>LEN(TRIM(K486))&gt;0</formula>
    </cfRule>
  </conditionalFormatting>
  <conditionalFormatting sqref="F487:J487">
    <cfRule type="notContainsBlanks" dxfId="1" priority="1023">
      <formula>LEN(TRIM(F487))&gt;0</formula>
    </cfRule>
  </conditionalFormatting>
  <conditionalFormatting sqref="K487">
    <cfRule type="notContainsBlanks" dxfId="1" priority="526">
      <formula>LEN(TRIM(K487))&gt;0</formula>
    </cfRule>
  </conditionalFormatting>
  <conditionalFormatting sqref="F488:J488">
    <cfRule type="notContainsBlanks" dxfId="1" priority="1022">
      <formula>LEN(TRIM(F488))&gt;0</formula>
    </cfRule>
  </conditionalFormatting>
  <conditionalFormatting sqref="K488">
    <cfRule type="notContainsBlanks" dxfId="1" priority="525">
      <formula>LEN(TRIM(K488))&gt;0</formula>
    </cfRule>
  </conditionalFormatting>
  <conditionalFormatting sqref="F489:J489">
    <cfRule type="notContainsBlanks" dxfId="1" priority="1021">
      <formula>LEN(TRIM(F489))&gt;0</formula>
    </cfRule>
  </conditionalFormatting>
  <conditionalFormatting sqref="K489">
    <cfRule type="notContainsBlanks" dxfId="1" priority="524">
      <formula>LEN(TRIM(K489))&gt;0</formula>
    </cfRule>
  </conditionalFormatting>
  <conditionalFormatting sqref="F490:J490">
    <cfRule type="notContainsBlanks" dxfId="1" priority="1020">
      <formula>LEN(TRIM(F490))&gt;0</formula>
    </cfRule>
  </conditionalFormatting>
  <conditionalFormatting sqref="K490">
    <cfRule type="notContainsBlanks" dxfId="1" priority="523">
      <formula>LEN(TRIM(K490))&gt;0</formula>
    </cfRule>
  </conditionalFormatting>
  <conditionalFormatting sqref="F491:J491">
    <cfRule type="notContainsBlanks" dxfId="1" priority="1019">
      <formula>LEN(TRIM(F491))&gt;0</formula>
    </cfRule>
  </conditionalFormatting>
  <conditionalFormatting sqref="K491">
    <cfRule type="notContainsBlanks" dxfId="1" priority="522">
      <formula>LEN(TRIM(K491))&gt;0</formula>
    </cfRule>
  </conditionalFormatting>
  <conditionalFormatting sqref="F492:J492">
    <cfRule type="notContainsBlanks" dxfId="1" priority="1018">
      <formula>LEN(TRIM(F492))&gt;0</formula>
    </cfRule>
  </conditionalFormatting>
  <conditionalFormatting sqref="K492">
    <cfRule type="notContainsBlanks" dxfId="1" priority="521">
      <formula>LEN(TRIM(K492))&gt;0</formula>
    </cfRule>
  </conditionalFormatting>
  <conditionalFormatting sqref="F493:J493">
    <cfRule type="notContainsBlanks" dxfId="1" priority="1017">
      <formula>LEN(TRIM(F493))&gt;0</formula>
    </cfRule>
  </conditionalFormatting>
  <conditionalFormatting sqref="K493">
    <cfRule type="notContainsBlanks" dxfId="1" priority="520">
      <formula>LEN(TRIM(K493))&gt;0</formula>
    </cfRule>
  </conditionalFormatting>
  <conditionalFormatting sqref="F494:J494">
    <cfRule type="notContainsBlanks" dxfId="1" priority="1016">
      <formula>LEN(TRIM(F494))&gt;0</formula>
    </cfRule>
  </conditionalFormatting>
  <conditionalFormatting sqref="K494">
    <cfRule type="notContainsBlanks" dxfId="1" priority="519">
      <formula>LEN(TRIM(K494))&gt;0</formula>
    </cfRule>
  </conditionalFormatting>
  <conditionalFormatting sqref="F495:J495">
    <cfRule type="notContainsBlanks" dxfId="1" priority="1015">
      <formula>LEN(TRIM(F495))&gt;0</formula>
    </cfRule>
  </conditionalFormatting>
  <conditionalFormatting sqref="K495">
    <cfRule type="notContainsBlanks" dxfId="1" priority="518">
      <formula>LEN(TRIM(K495))&gt;0</formula>
    </cfRule>
  </conditionalFormatting>
  <conditionalFormatting sqref="F496:J496">
    <cfRule type="notContainsBlanks" dxfId="1" priority="1014">
      <formula>LEN(TRIM(F496))&gt;0</formula>
    </cfRule>
  </conditionalFormatting>
  <conditionalFormatting sqref="K496">
    <cfRule type="notContainsBlanks" dxfId="1" priority="517">
      <formula>LEN(TRIM(K496))&gt;0</formula>
    </cfRule>
  </conditionalFormatting>
  <conditionalFormatting sqref="F497:J497">
    <cfRule type="notContainsBlanks" dxfId="1" priority="1013">
      <formula>LEN(TRIM(F497))&gt;0</formula>
    </cfRule>
  </conditionalFormatting>
  <conditionalFormatting sqref="K497">
    <cfRule type="notContainsBlanks" dxfId="1" priority="516">
      <formula>LEN(TRIM(K497))&gt;0</formula>
    </cfRule>
  </conditionalFormatting>
  <conditionalFormatting sqref="F498:J498">
    <cfRule type="notContainsBlanks" dxfId="1" priority="1012">
      <formula>LEN(TRIM(F498))&gt;0</formula>
    </cfRule>
  </conditionalFormatting>
  <conditionalFormatting sqref="K498">
    <cfRule type="notContainsBlanks" dxfId="1" priority="515">
      <formula>LEN(TRIM(K498))&gt;0</formula>
    </cfRule>
  </conditionalFormatting>
  <conditionalFormatting sqref="F499:J499">
    <cfRule type="notContainsBlanks" dxfId="1" priority="1011">
      <formula>LEN(TRIM(F499))&gt;0</formula>
    </cfRule>
  </conditionalFormatting>
  <conditionalFormatting sqref="K499">
    <cfRule type="notContainsBlanks" dxfId="1" priority="514">
      <formula>LEN(TRIM(K499))&gt;0</formula>
    </cfRule>
  </conditionalFormatting>
  <conditionalFormatting sqref="F500:J500">
    <cfRule type="notContainsBlanks" dxfId="1" priority="1010">
      <formula>LEN(TRIM(F500))&gt;0</formula>
    </cfRule>
  </conditionalFormatting>
  <conditionalFormatting sqref="K500">
    <cfRule type="notContainsBlanks" dxfId="1" priority="513">
      <formula>LEN(TRIM(K500))&gt;0</formula>
    </cfRule>
  </conditionalFormatting>
  <conditionalFormatting sqref="F501:J501">
    <cfRule type="notContainsBlanks" dxfId="1" priority="1009">
      <formula>LEN(TRIM(F501))&gt;0</formula>
    </cfRule>
  </conditionalFormatting>
  <conditionalFormatting sqref="K501">
    <cfRule type="notContainsBlanks" dxfId="1" priority="512">
      <formula>LEN(TRIM(K501))&gt;0</formula>
    </cfRule>
  </conditionalFormatting>
  <conditionalFormatting sqref="F502:J502">
    <cfRule type="notContainsBlanks" dxfId="1" priority="1008">
      <formula>LEN(TRIM(F502))&gt;0</formula>
    </cfRule>
  </conditionalFormatting>
  <conditionalFormatting sqref="K502">
    <cfRule type="notContainsBlanks" dxfId="1" priority="511">
      <formula>LEN(TRIM(K502))&gt;0</formula>
    </cfRule>
  </conditionalFormatting>
  <conditionalFormatting sqref="F503:J503">
    <cfRule type="notContainsBlanks" dxfId="1" priority="1007">
      <formula>LEN(TRIM(F503))&gt;0</formula>
    </cfRule>
  </conditionalFormatting>
  <conditionalFormatting sqref="K503">
    <cfRule type="notContainsBlanks" dxfId="1" priority="510">
      <formula>LEN(TRIM(K503))&gt;0</formula>
    </cfRule>
  </conditionalFormatting>
  <conditionalFormatting sqref="F504:J504">
    <cfRule type="notContainsBlanks" dxfId="1" priority="1006">
      <formula>LEN(TRIM(F504))&gt;0</formula>
    </cfRule>
  </conditionalFormatting>
  <conditionalFormatting sqref="K504">
    <cfRule type="notContainsBlanks" dxfId="1" priority="509">
      <formula>LEN(TRIM(K504))&gt;0</formula>
    </cfRule>
  </conditionalFormatting>
  <conditionalFormatting sqref="F505:J505">
    <cfRule type="notContainsBlanks" dxfId="1" priority="1005">
      <formula>LEN(TRIM(F505))&gt;0</formula>
    </cfRule>
  </conditionalFormatting>
  <conditionalFormatting sqref="K505">
    <cfRule type="notContainsBlanks" dxfId="1" priority="508">
      <formula>LEN(TRIM(K505))&gt;0</formula>
    </cfRule>
  </conditionalFormatting>
  <conditionalFormatting sqref="F506:J506">
    <cfRule type="notContainsBlanks" dxfId="1" priority="1004">
      <formula>LEN(TRIM(F506))&gt;0</formula>
    </cfRule>
  </conditionalFormatting>
  <conditionalFormatting sqref="K506">
    <cfRule type="notContainsBlanks" dxfId="1" priority="507">
      <formula>LEN(TRIM(K506))&gt;0</formula>
    </cfRule>
  </conditionalFormatting>
  <conditionalFormatting sqref="F507:J507">
    <cfRule type="notContainsBlanks" dxfId="1" priority="1003">
      <formula>LEN(TRIM(F507))&gt;0</formula>
    </cfRule>
  </conditionalFormatting>
  <conditionalFormatting sqref="K507">
    <cfRule type="notContainsBlanks" dxfId="1" priority="506">
      <formula>LEN(TRIM(K507))&gt;0</formula>
    </cfRule>
  </conditionalFormatting>
  <conditionalFormatting sqref="D8:D17">
    <cfRule type="notContainsBlanks" dxfId="2" priority="1507">
      <formula>LEN(TRIM(D8))&gt;0</formula>
    </cfRule>
    <cfRule type="notContainsBlanks" dxfId="3" priority="1508">
      <formula>LEN(TRIM(D8))&gt;0</formula>
    </cfRule>
  </conditionalFormatting>
  <conditionalFormatting sqref="D18:D507">
    <cfRule type="notContainsBlanks" dxfId="2" priority="1505">
      <formula>LEN(TRIM(D18))&gt;0</formula>
    </cfRule>
    <cfRule type="notContainsBlanks" dxfId="3" priority="1506">
      <formula>LEN(TRIM(D18))&gt;0</formula>
    </cfRule>
  </conditionalFormatting>
  <conditionalFormatting sqref="E8:E9">
    <cfRule type="notContainsBlanks" dxfId="1" priority="1504">
      <formula>LEN(TRIM(E8))&gt;0</formula>
    </cfRule>
  </conditionalFormatting>
  <conditionalFormatting sqref="E10:E507">
    <cfRule type="notContainsBlanks" dxfId="1" priority="1503">
      <formula>LEN(TRIM(E10))&gt;0</formula>
    </cfRule>
  </conditionalFormatting>
  <conditionalFormatting sqref="K9:K10">
    <cfRule type="notContainsBlanks" dxfId="1" priority="1501">
      <formula>LEN(TRIM(K9))&gt;0</formula>
    </cfRule>
  </conditionalFormatting>
  <conditionalFormatting sqref="L9:L507">
    <cfRule type="cellIs" dxfId="4" priority="7" operator="equal">
      <formula>0</formula>
    </cfRule>
    <cfRule type="cellIs" dxfId="5" priority="8" operator="equal">
      <formula>0</formula>
    </cfRule>
    <cfRule type="notContainsBlanks" dxfId="1" priority="1500">
      <formula>LEN(TRIM(L9))&gt;0</formula>
    </cfRule>
  </conditionalFormatting>
  <conditionalFormatting sqref="F8:M8 F9:J10 M9:M507">
    <cfRule type="notContainsBlanks" dxfId="1" priority="1502">
      <formula>LEN(TRIM(F8))&gt;0</formula>
    </cfRule>
  </conditionalFormatting>
  <dataValidations count="3">
    <dataValidation type="list" allowBlank="1" showInputMessage="1" showErrorMessage="1" sqref="F4">
      <formula1>'基础-领用人及部门'!$C$4:$C$303</formula1>
    </dataValidation>
    <dataValidation type="date" operator="greaterThan" allowBlank="1" showInputMessage="1" showErrorMessage="1" sqref="J4">
      <formula1>5397</formula1>
    </dataValidation>
    <dataValidation type="whole" operator="greaterThan" allowBlank="1" showInputMessage="1" showErrorMessage="1" sqref="L4:M4">
      <formula1>J4</formula1>
    </dataValidation>
  </dataValidations>
  <pageMargins left="0.699305555555556" right="0.699305555555556" top="0.75" bottom="0.75" header="0.3" footer="0.3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6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" defaultRowHeight="18.95" customHeight="1"/>
  <cols>
    <col min="1" max="1" width="1.56363636363636" style="43" customWidth="1"/>
    <col min="2" max="2" width="9.14545454545454" style="44" customWidth="1"/>
    <col min="3" max="3" width="23.5636363636364" style="44" customWidth="1"/>
    <col min="4" max="4" width="14.4272727272727" style="44" customWidth="1"/>
    <col min="5" max="5" width="18.2818181818182" style="45" customWidth="1"/>
    <col min="6" max="6" width="8.14545454545454" style="45" customWidth="1"/>
    <col min="7" max="8" width="16.7090909090909" style="45" customWidth="1"/>
    <col min="9" max="9" width="14" style="44" customWidth="1"/>
    <col min="10" max="10" width="11.8545454545455" style="43" customWidth="1"/>
    <col min="11" max="11" width="9" style="43"/>
    <col min="12" max="16384" width="9" style="46"/>
  </cols>
  <sheetData>
    <row r="1" ht="9" customHeight="1" spans="1:12">
      <c r="I1" s="47"/>
    </row>
    <row r="2" ht="24" customHeight="1" spans="1:12">
      <c r="B2" s="48" t="s">
        <v>384</v>
      </c>
      <c r="C2" s="48"/>
      <c r="D2" s="48"/>
      <c r="E2" s="48"/>
      <c r="F2" s="48"/>
      <c r="G2" s="48"/>
      <c r="H2" s="47"/>
      <c r="I2" s="88" t="s">
        <v>376</v>
      </c>
      <c r="J2" s="88" t="s">
        <v>377</v>
      </c>
    </row>
    <row r="3" s="42" customFormat="1" ht="9" customHeight="1" spans="1:12">
      <c r="A3" s="43"/>
      <c r="B3" s="47"/>
      <c r="C3" s="47"/>
      <c r="D3" s="47"/>
      <c r="E3" s="50"/>
      <c r="F3" s="50"/>
      <c r="G3" s="50"/>
      <c r="H3" s="50"/>
      <c r="I3" s="89"/>
      <c r="J3" s="90"/>
      <c r="K3" s="43"/>
    </row>
    <row r="4" s="42" customFormat="1" ht="24" customHeight="1" spans="1:12">
      <c r="A4" s="43"/>
      <c r="B4" s="91" t="s">
        <v>385</v>
      </c>
      <c r="C4" s="92"/>
      <c r="D4" s="93"/>
      <c r="E4" s="94">
        <v>43466</v>
      </c>
      <c r="F4" s="95" t="s">
        <v>380</v>
      </c>
      <c r="G4" s="94">
        <v>43751</v>
      </c>
      <c r="H4" s="96"/>
      <c r="I4" s="97">
        <f>SUM(F7:G1000)</f>
        <v>1780.32</v>
      </c>
      <c r="J4" s="97">
        <f>SUM(H7:H1000)</f>
        <v>0</v>
      </c>
      <c r="K4" s="43"/>
      <c r="L4" s="43"/>
    </row>
    <row r="5" s="42" customFormat="1" ht="9" customHeight="1" spans="1:12">
      <c r="A5" s="43"/>
      <c r="B5" s="47"/>
      <c r="C5" s="47"/>
      <c r="D5" s="47"/>
      <c r="E5" s="50"/>
      <c r="F5" s="50"/>
      <c r="G5" s="50"/>
      <c r="H5" s="50"/>
      <c r="I5" s="47"/>
      <c r="J5" s="43"/>
      <c r="K5" s="43"/>
    </row>
    <row r="6" customHeight="1" spans="1:12">
      <c r="B6" s="59" t="s">
        <v>3</v>
      </c>
      <c r="C6" s="59" t="s">
        <v>4</v>
      </c>
      <c r="D6" s="59" t="s">
        <v>5</v>
      </c>
      <c r="E6" s="59" t="s">
        <v>6</v>
      </c>
      <c r="F6" s="98" t="s">
        <v>360</v>
      </c>
      <c r="G6" s="59" t="s">
        <v>386</v>
      </c>
      <c r="H6" s="59" t="s">
        <v>361</v>
      </c>
      <c r="I6" s="46"/>
    </row>
    <row r="7" customHeight="1" spans="1:12">
      <c r="B7" s="59">
        <v>1</v>
      </c>
      <c r="C7" s="60" t="str">
        <f>IF('基础-办公用品信息'!C4="","-",'基础-办公用品信息'!C4)</f>
        <v>A3打印纸</v>
      </c>
      <c r="D7" s="60" t="str">
        <f>IF('基础-办公用品信息'!D4="","-",'基础-办公用品信息'!D4)</f>
        <v>包</v>
      </c>
      <c r="E7" s="60" t="e">
        <f>IF('基础-办公用品信息'!#REF!="","-",'基础-办公用品信息'!#REF!)</f>
        <v>#REF!</v>
      </c>
      <c r="F7" s="99">
        <f>SUMIFS('领用录入（明细）'!$I:$I,'领用录入（明细）'!$F:$F,C7,'领用录入（明细）'!$C:$C,"&gt;="&amp;$E$4,'领用录入（明细）'!$C:$C,"&lt;="&amp;$G$4)</f>
        <v>0</v>
      </c>
      <c r="G7" s="60">
        <f>IFERROR(VLOOKUP(C7,'基础-办公用品信息'!$C:$G,4,0),"-")</f>
        <v>175</v>
      </c>
      <c r="H7" s="60">
        <f>SUMIFS('领用录入（明细）'!K:K,'领用录入（明细）'!$F:$F,C7,'领用录入（明细）'!$C:$C,"&gt;="&amp;$E$4,'领用录入（明细）'!$C:$C,"&lt;="&amp;$G$4)</f>
        <v>0</v>
      </c>
      <c r="I7" s="46"/>
    </row>
    <row r="8" customHeight="1" spans="1:12">
      <c r="B8" s="59">
        <v>2</v>
      </c>
      <c r="C8" s="60" t="str">
        <f>IF('基础-办公用品信息'!C5="","-",'基础-办公用品信息'!C5)</f>
        <v>A4打印纸</v>
      </c>
      <c r="D8" s="60" t="str">
        <f>IF('基础-办公用品信息'!D5="","-",'基础-办公用品信息'!D5)</f>
        <v>包</v>
      </c>
      <c r="E8" s="60" t="str">
        <f>IF('基础-办公用品信息'!E5="","-",'基础-办公用品信息'!E5)</f>
        <v>-</v>
      </c>
      <c r="F8" s="99">
        <f>SUMIFS('领用录入（明细）'!$I:$I,'领用录入（明细）'!$F:$F,C8,'领用录入（明细）'!$C:$C,"&gt;="&amp;$E$4,'领用录入（明细）'!$C:$C,"&lt;="&amp;$G$4)</f>
        <v>0</v>
      </c>
      <c r="G8" s="60">
        <f>IFERROR(VLOOKUP(C8,'基础-办公用品信息'!$C:$G,4,0),"-")</f>
        <v>175</v>
      </c>
      <c r="H8" s="60">
        <f>SUMIFS('领用录入（明细）'!K:K,'领用录入（明细）'!$F:$F,C8,'领用录入（明细）'!$C:$C,"&gt;="&amp;$E$4,'领用录入（明细）'!$C:$C,"&lt;="&amp;$G$4)</f>
        <v>0</v>
      </c>
      <c r="I8" s="46"/>
    </row>
    <row r="9" customHeight="1" spans="1:12">
      <c r="B9" s="59">
        <v>3</v>
      </c>
      <c r="C9" s="60" t="str">
        <f>IF('基础-办公用品信息'!C6="","-",'基础-办公用品信息'!C6)</f>
        <v>A4装订封面纸</v>
      </c>
      <c r="D9" s="60" t="str">
        <f>IF('基础-办公用品信息'!D6="","-",'基础-办公用品信息'!D6)</f>
        <v>包</v>
      </c>
      <c r="E9" s="60" t="str">
        <f>IF('基础-办公用品信息'!E6="","-",'基础-办公用品信息'!E6)</f>
        <v>-</v>
      </c>
      <c r="F9" s="99">
        <f>SUMIFS('领用录入（明细）'!$I:$I,'领用录入（明细）'!$F:$F,C9,'领用录入（明细）'!$C:$C,"&gt;="&amp;$E$4,'领用录入（明细）'!$C:$C,"&lt;="&amp;$G$4)</f>
        <v>0</v>
      </c>
      <c r="G9" s="60">
        <f>IFERROR(VLOOKUP(C9,'基础-办公用品信息'!$C:$G,4,0),"-")</f>
        <v>18</v>
      </c>
      <c r="H9" s="60">
        <f>SUMIFS('领用录入（明细）'!K:K,'领用录入（明细）'!$F:$F,C9,'领用录入（明细）'!$C:$C,"&gt;="&amp;$E$4,'领用录入（明细）'!$C:$C,"&lt;="&amp;$G$4)</f>
        <v>0</v>
      </c>
      <c r="I9" s="46"/>
    </row>
    <row r="10" customHeight="1" spans="1:12">
      <c r="B10" s="59">
        <v>4</v>
      </c>
      <c r="C10" s="60" t="str">
        <f>IF('基础-办公用品信息'!C7="","-",'基础-办公用品信息'!C7)</f>
        <v>A4复印纸蓝色</v>
      </c>
      <c r="D10" s="60" t="str">
        <f>IF('基础-办公用品信息'!D7="","-",'基础-办公用品信息'!D7)</f>
        <v>包</v>
      </c>
      <c r="E10" s="60" t="str">
        <f>IF('基础-办公用品信息'!E7="","-",'基础-办公用品信息'!E7)</f>
        <v>-</v>
      </c>
      <c r="F10" s="99">
        <f>SUMIFS('领用录入（明细）'!$I:$I,'领用录入（明细）'!$F:$F,C10,'领用录入（明细）'!$C:$C,"&gt;="&amp;$E$4,'领用录入（明细）'!$C:$C,"&lt;="&amp;$G$4)</f>
        <v>0</v>
      </c>
      <c r="G10" s="60">
        <f>IFERROR(VLOOKUP(C10,'基础-办公用品信息'!$C:$G,4,0),"-")</f>
        <v>0</v>
      </c>
      <c r="H10" s="60">
        <f>SUMIFS('领用录入（明细）'!K:K,'领用录入（明细）'!$F:$F,C10,'领用录入（明细）'!$C:$C,"&gt;="&amp;$E$4,'领用录入（明细）'!$C:$C,"&lt;="&amp;$G$4)</f>
        <v>0</v>
      </c>
      <c r="I10" s="46"/>
    </row>
    <row r="11" customHeight="1" spans="1:12">
      <c r="B11" s="59">
        <v>5</v>
      </c>
      <c r="C11" s="60" t="str">
        <f>IF('基础-办公用品信息'!C8="","-",'基础-办公用品信息'!C8)</f>
        <v>A4复印纸红色</v>
      </c>
      <c r="D11" s="60" t="str">
        <f>IF('基础-办公用品信息'!D8="","-",'基础-办公用品信息'!D8)</f>
        <v>包</v>
      </c>
      <c r="E11" s="60" t="str">
        <f>IF('基础-办公用品信息'!E8="","-",'基础-办公用品信息'!E8)</f>
        <v>-</v>
      </c>
      <c r="F11" s="99">
        <f>SUMIFS('领用录入（明细）'!$I:$I,'领用录入（明细）'!$F:$F,C11,'领用录入（明细）'!$C:$C,"&gt;="&amp;$E$4,'领用录入（明细）'!$C:$C,"&lt;="&amp;$G$4)</f>
        <v>0</v>
      </c>
      <c r="G11" s="60">
        <f>IFERROR(VLOOKUP(C11,'基础-办公用品信息'!$C:$G,4,0),"-")</f>
        <v>0</v>
      </c>
      <c r="H11" s="60">
        <f>SUMIFS('领用录入（明细）'!K:K,'领用录入（明细）'!$F:$F,C11,'领用录入（明细）'!$C:$C,"&gt;="&amp;$E$4,'领用录入（明细）'!$C:$C,"&lt;="&amp;$G$4)</f>
        <v>0</v>
      </c>
      <c r="I11" s="46"/>
    </row>
    <row r="12" customHeight="1" spans="1:12">
      <c r="B12" s="59">
        <v>6</v>
      </c>
      <c r="C12" s="60" t="str">
        <f>IF('基础-办公用品信息'!C9="","-",'基础-办公用品信息'!C9)</f>
        <v>A4白卡纸180克荷兰白卡</v>
      </c>
      <c r="D12" s="60" t="str">
        <f>IF('基础-办公用品信息'!D9="","-",'基础-办公用品信息'!D9)</f>
        <v>包</v>
      </c>
      <c r="E12" s="60" t="str">
        <f>IF('基础-办公用品信息'!E9="","-",'基础-办公用品信息'!E9)</f>
        <v>-</v>
      </c>
      <c r="F12" s="99">
        <f>SUMIFS('领用录入（明细）'!$I:$I,'领用录入（明细）'!$F:$F,C12,'领用录入（明细）'!$C:$C,"&gt;="&amp;$E$4,'领用录入（明细）'!$C:$C,"&lt;="&amp;$G$4)</f>
        <v>0</v>
      </c>
      <c r="G12" s="60">
        <f>IFERROR(VLOOKUP(C12,'基础-办公用品信息'!$C:$G,4,0),"-")</f>
        <v>0</v>
      </c>
      <c r="H12" s="60">
        <f>SUMIFS('领用录入（明细）'!K:K,'领用录入（明细）'!$F:$F,C12,'领用录入（明细）'!$C:$C,"&gt;="&amp;$E$4,'领用录入（明细）'!$C:$C,"&lt;="&amp;$G$4)</f>
        <v>0</v>
      </c>
      <c r="I12" s="46"/>
    </row>
    <row r="13" customHeight="1" spans="1:12">
      <c r="B13" s="59">
        <v>7</v>
      </c>
      <c r="C13" s="60" t="str">
        <f>IF('基础-办公用品信息'!C10="","-",'基础-办公用品信息'!C10)</f>
        <v>定制会议本牛皮A4</v>
      </c>
      <c r="D13" s="60" t="str">
        <f>IF('基础-办公用品信息'!D10="","-",'基础-办公用品信息'!D10)</f>
        <v>本</v>
      </c>
      <c r="E13" s="60" t="str">
        <f>IF('基础-办公用品信息'!E10="","-",'基础-办公用品信息'!E10)</f>
        <v>-</v>
      </c>
      <c r="F13" s="99">
        <f>SUMIFS('领用录入（明细）'!$I:$I,'领用录入（明细）'!$F:$F,C13,'领用录入（明细）'!$C:$C,"&gt;="&amp;$E$4,'领用录入（明细）'!$C:$C,"&lt;="&amp;$G$4)</f>
        <v>0</v>
      </c>
      <c r="G13" s="60">
        <f>IFERROR(VLOOKUP(C13,'基础-办公用品信息'!$C:$G,4,0),"-")</f>
        <v>0</v>
      </c>
      <c r="H13" s="60">
        <f>SUMIFS('领用录入（明细）'!K:K,'领用录入（明细）'!$F:$F,C13,'领用录入（明细）'!$C:$C,"&gt;="&amp;$E$4,'领用录入（明细）'!$C:$C,"&lt;="&amp;$G$4)</f>
        <v>0</v>
      </c>
      <c r="I13" s="46"/>
    </row>
    <row r="14" customHeight="1" spans="1:12">
      <c r="B14" s="59">
        <v>8</v>
      </c>
      <c r="C14" s="60" t="str">
        <f>IF('基础-办公用品信息'!C11="","-",'基础-办公用品信息'!C11)</f>
        <v>定制会议本活页B5</v>
      </c>
      <c r="D14" s="60" t="str">
        <f>IF('基础-办公用品信息'!D11="","-",'基础-办公用品信息'!D11)</f>
        <v>本</v>
      </c>
      <c r="E14" s="60" t="str">
        <f>IF('基础-办公用品信息'!E11="","-",'基础-办公用品信息'!E11)</f>
        <v>-</v>
      </c>
      <c r="F14" s="99">
        <f>SUMIFS('领用录入（明细）'!$I:$I,'领用录入（明细）'!$F:$F,C14,'领用录入（明细）'!$C:$C,"&gt;="&amp;$E$4,'领用录入（明细）'!$C:$C,"&lt;="&amp;$G$4)</f>
        <v>0</v>
      </c>
      <c r="G14" s="60">
        <f>IFERROR(VLOOKUP(C14,'基础-办公用品信息'!$C:$G,4,0),"-")</f>
        <v>0</v>
      </c>
      <c r="H14" s="60">
        <f>SUMIFS('领用录入（明细）'!K:K,'领用录入（明细）'!$F:$F,C14,'领用录入（明细）'!$C:$C,"&gt;="&amp;$E$4,'领用录入（明细）'!$C:$C,"&lt;="&amp;$G$4)</f>
        <v>0</v>
      </c>
      <c r="I14" s="46"/>
    </row>
    <row r="15" customHeight="1" spans="1:12">
      <c r="B15" s="59">
        <v>9</v>
      </c>
      <c r="C15" s="60" t="str">
        <f>IF('基础-办公用品信息'!C12="","-",'基础-办公用品信息'!C12)</f>
        <v>定制会议便签本牛皮书写夹板A4</v>
      </c>
      <c r="D15" s="60" t="str">
        <f>IF('基础-办公用品信息'!D12="","-",'基础-办公用品信息'!D12)</f>
        <v>本</v>
      </c>
      <c r="E15" s="60" t="str">
        <f>IF('基础-办公用品信息'!E12="","-",'基础-办公用品信息'!E12)</f>
        <v>-</v>
      </c>
      <c r="F15" s="99">
        <f>SUMIFS('领用录入（明细）'!$I:$I,'领用录入（明细）'!$F:$F,C15,'领用录入（明细）'!$C:$C,"&gt;="&amp;$E$4,'领用录入（明细）'!$C:$C,"&lt;="&amp;$G$4)</f>
        <v>0</v>
      </c>
      <c r="G15" s="60">
        <f>IFERROR(VLOOKUP(C15,'基础-办公用品信息'!$C:$G,4,0),"-")</f>
        <v>0</v>
      </c>
      <c r="H15" s="60">
        <f>SUMIFS('领用录入（明细）'!K:K,'领用录入（明细）'!$F:$F,C15,'领用录入（明细）'!$C:$C,"&gt;="&amp;$E$4,'领用录入（明细）'!$C:$C,"&lt;="&amp;$G$4)</f>
        <v>0</v>
      </c>
      <c r="I15" s="46"/>
    </row>
    <row r="16" customHeight="1" spans="1:12">
      <c r="B16" s="59">
        <v>10</v>
      </c>
      <c r="C16" s="60" t="str">
        <f>IF('基础-办公用品信息'!C13="","-",'基础-办公用品信息'!C13)</f>
        <v>会议记录本皮面黑色</v>
      </c>
      <c r="D16" s="60" t="str">
        <f>IF('基础-办公用品信息'!D13="","-",'基础-办公用品信息'!D13)</f>
        <v>本</v>
      </c>
      <c r="E16" s="60" t="str">
        <f>IF('基础-办公用品信息'!E13="","-",'基础-办公用品信息'!E13)</f>
        <v>-</v>
      </c>
      <c r="F16" s="99">
        <f>SUMIFS('领用录入（明细）'!$I:$I,'领用录入（明细）'!$F:$F,C16,'领用录入（明细）'!$C:$C,"&gt;="&amp;$E$4,'领用录入（明细）'!$C:$C,"&lt;="&amp;$G$4)</f>
        <v>0</v>
      </c>
      <c r="G16" s="60">
        <f>IFERROR(VLOOKUP(C16,'基础-办公用品信息'!$C:$G,4,0),"-")</f>
        <v>7.5</v>
      </c>
      <c r="H16" s="60">
        <f>SUMIFS('领用录入（明细）'!K:K,'领用录入（明细）'!$F:$F,C16,'领用录入（明细）'!$C:$C,"&gt;="&amp;$E$4,'领用录入（明细）'!$C:$C,"&lt;="&amp;$G$4)</f>
        <v>0</v>
      </c>
      <c r="I16" s="46"/>
    </row>
    <row r="17" customHeight="1" spans="2:9">
      <c r="B17" s="59">
        <v>11</v>
      </c>
      <c r="C17" s="60" t="str">
        <f>IF('基础-办公用品信息'!C14="","-",'基础-办公用品信息'!C14)</f>
        <v>office本32k</v>
      </c>
      <c r="D17" s="60" t="str">
        <f>IF('基础-办公用品信息'!D14="","-",'基础-办公用品信息'!D14)</f>
        <v>本</v>
      </c>
      <c r="E17" s="60" t="str">
        <f>IF('基础-办公用品信息'!E14="","-",'基础-办公用品信息'!E14)</f>
        <v>-</v>
      </c>
      <c r="F17" s="99">
        <f>SUMIFS('领用录入（明细）'!$I:$I,'领用录入（明细）'!$F:$F,C17,'领用录入（明细）'!$C:$C,"&gt;="&amp;$E$4,'领用录入（明细）'!$C:$C,"&lt;="&amp;$G$4)</f>
        <v>0</v>
      </c>
      <c r="G17" s="60">
        <f>IFERROR(VLOOKUP(C17,'基础-办公用品信息'!$C:$G,4,0),"-")</f>
        <v>0</v>
      </c>
      <c r="H17" s="60">
        <f>SUMIFS('领用录入（明细）'!K:K,'领用录入（明细）'!$F:$F,C17,'领用录入（明细）'!$C:$C,"&gt;="&amp;$E$4,'领用录入（明细）'!$C:$C,"&lt;="&amp;$G$4)</f>
        <v>0</v>
      </c>
      <c r="I17" s="46"/>
    </row>
    <row r="18" customHeight="1" spans="2:9">
      <c r="B18" s="59">
        <v>12</v>
      </c>
      <c r="C18" s="60" t="str">
        <f>IF('基础-办公用品信息'!C15="","-",'基础-办公用品信息'!C15)</f>
        <v>软面抄100</v>
      </c>
      <c r="D18" s="60" t="str">
        <f>IF('基础-办公用品信息'!D15="","-",'基础-办公用品信息'!D15)</f>
        <v>本</v>
      </c>
      <c r="E18" s="60" t="str">
        <f>IF('基础-办公用品信息'!E15="","-",'基础-办公用品信息'!E15)</f>
        <v>-</v>
      </c>
      <c r="F18" s="99">
        <f>SUMIFS('领用录入（明细）'!$I:$I,'领用录入（明细）'!$F:$F,C18,'领用录入（明细）'!$C:$C,"&gt;="&amp;$E$4,'领用录入（明细）'!$C:$C,"&lt;="&amp;$G$4)</f>
        <v>0</v>
      </c>
      <c r="G18" s="60">
        <f>IFERROR(VLOOKUP(C18,'基础-办公用品信息'!$C:$G,4,0),"-")</f>
        <v>1.5</v>
      </c>
      <c r="H18" s="60">
        <f>SUMIFS('领用录入（明细）'!K:K,'领用录入（明细）'!$F:$F,C18,'领用录入（明细）'!$C:$C,"&gt;="&amp;$E$4,'领用录入（明细）'!$C:$C,"&lt;="&amp;$G$4)</f>
        <v>0</v>
      </c>
      <c r="I18" s="46"/>
    </row>
    <row r="19" customHeight="1" spans="2:9">
      <c r="B19" s="59">
        <v>13</v>
      </c>
      <c r="C19" s="60" t="str">
        <f>IF('基础-办公用品信息'!C16="","-",'基础-办公用品信息'!C16)</f>
        <v>透明暗扣袋</v>
      </c>
      <c r="D19" s="60" t="str">
        <f>IF('基础-办公用品信息'!D16="","-",'基础-办公用品信息'!D16)</f>
        <v>个</v>
      </c>
      <c r="E19" s="60" t="str">
        <f>IF('基础-办公用品信息'!E16="","-",'基础-办公用品信息'!E16)</f>
        <v>-</v>
      </c>
      <c r="F19" s="99">
        <f>SUMIFS('领用录入（明细）'!$I:$I,'领用录入（明细）'!$F:$F,C19,'领用录入（明细）'!$C:$C,"&gt;="&amp;$E$4,'领用录入（明细）'!$C:$C,"&lt;="&amp;$G$4)</f>
        <v>0</v>
      </c>
      <c r="G19" s="60">
        <f>IFERROR(VLOOKUP(C19,'基础-办公用品信息'!$C:$G,4,0),"-")</f>
        <v>0</v>
      </c>
      <c r="H19" s="60">
        <f>SUMIFS('领用录入（明细）'!K:K,'领用录入（明细）'!$F:$F,C19,'领用录入（明细）'!$C:$C,"&gt;="&amp;$E$4,'领用录入（明细）'!$C:$C,"&lt;="&amp;$G$4)</f>
        <v>0</v>
      </c>
      <c r="I19" s="46"/>
    </row>
    <row r="20" customHeight="1" spans="2:9">
      <c r="B20" s="59">
        <v>14</v>
      </c>
      <c r="C20" s="60" t="str">
        <f>IF('基础-办公用品信息'!C17="","-",'基础-办公用品信息'!C17)</f>
        <v>挂快牢得力A4</v>
      </c>
      <c r="D20" s="60" t="str">
        <f>IF('基础-办公用品信息'!D17="","-",'基础-办公用品信息'!D17)</f>
        <v>张</v>
      </c>
      <c r="E20" s="60" t="str">
        <f>IF('基础-办公用品信息'!E17="","-",'基础-办公用品信息'!E17)</f>
        <v>-</v>
      </c>
      <c r="F20" s="99">
        <f>SUMIFS('领用录入（明细）'!$I:$I,'领用录入（明细）'!$F:$F,C20,'领用录入（明细）'!$C:$C,"&gt;="&amp;$E$4,'领用录入（明细）'!$C:$C,"&lt;="&amp;$G$4)</f>
        <v>0</v>
      </c>
      <c r="G20" s="60">
        <f>IFERROR(VLOOKUP(C20,'基础-办公用品信息'!$C:$G,4,0),"-")</f>
        <v>0</v>
      </c>
      <c r="H20" s="60">
        <f>SUMIFS('领用录入（明细）'!K:K,'领用录入（明细）'!$F:$F,C20,'领用录入（明细）'!$C:$C,"&gt;="&amp;$E$4,'领用录入（明细）'!$C:$C,"&lt;="&amp;$G$4)</f>
        <v>0</v>
      </c>
      <c r="I20" s="46"/>
    </row>
    <row r="21" customHeight="1" spans="2:9">
      <c r="B21" s="59">
        <v>15</v>
      </c>
      <c r="C21" s="60" t="str">
        <f>IF('基础-办公用品信息'!C18="","-",'基础-办公用品信息'!C18)</f>
        <v>资料册40页</v>
      </c>
      <c r="D21" s="60" t="str">
        <f>IF('基础-办公用品信息'!D18="","-",'基础-办公用品信息'!D18)</f>
        <v>本</v>
      </c>
      <c r="E21" s="60" t="str">
        <f>IF('基础-办公用品信息'!E18="","-",'基础-办公用品信息'!E18)</f>
        <v>-</v>
      </c>
      <c r="F21" s="99">
        <f>SUMIFS('领用录入（明细）'!$I:$I,'领用录入（明细）'!$F:$F,C21,'领用录入（明细）'!$C:$C,"&gt;="&amp;$E$4,'领用录入（明细）'!$C:$C,"&lt;="&amp;$G$4)</f>
        <v>0</v>
      </c>
      <c r="G21" s="60">
        <f>IFERROR(VLOOKUP(C21,'基础-办公用品信息'!$C:$G,4,0),"-")</f>
        <v>6.5</v>
      </c>
      <c r="H21" s="60">
        <f>SUMIFS('领用录入（明细）'!K:K,'领用录入（明细）'!$F:$F,C21,'领用录入（明细）'!$C:$C,"&gt;="&amp;$E$4,'领用录入（明细）'!$C:$C,"&lt;="&amp;$G$4)</f>
        <v>0</v>
      </c>
      <c r="I21" s="46"/>
    </row>
    <row r="22" customHeight="1" spans="2:9">
      <c r="B22" s="59">
        <v>16</v>
      </c>
      <c r="C22" s="60" t="str">
        <f>IF('基础-办公用品信息'!C19="","-",'基础-办公用品信息'!C19)</f>
        <v>档案袋牛皮纸（小）</v>
      </c>
      <c r="D22" s="60" t="str">
        <f>IF('基础-办公用品信息'!D19="","-",'基础-办公用品信息'!D19)</f>
        <v>只</v>
      </c>
      <c r="E22" s="60" t="e">
        <f>IF('基础-办公用品信息'!#REF!="","-",'基础-办公用品信息'!#REF!)</f>
        <v>#REF!</v>
      </c>
      <c r="F22" s="99">
        <f>SUMIFS('领用录入（明细）'!$I:$I,'领用录入（明细）'!$F:$F,C22,'领用录入（明细）'!$C:$C,"&gt;="&amp;$E$4,'领用录入（明细）'!$C:$C,"&lt;="&amp;$G$4)</f>
        <v>0</v>
      </c>
      <c r="G22" s="60">
        <f>IFERROR(VLOOKUP(C22,'基础-办公用品信息'!$C:$G,4,0),"-")</f>
        <v>0</v>
      </c>
      <c r="H22" s="60">
        <f>SUMIFS('领用录入（明细）'!K:K,'领用录入（明细）'!$F:$F,C22,'领用录入（明细）'!$C:$C,"&gt;="&amp;$E$4,'领用录入（明细）'!$C:$C,"&lt;="&amp;$G$4)</f>
        <v>0</v>
      </c>
      <c r="I22" s="46"/>
    </row>
    <row r="23" customHeight="1" spans="2:9">
      <c r="B23" s="59">
        <v>17</v>
      </c>
      <c r="C23" s="60" t="str">
        <f>IF('基础-办公用品信息'!C20="","-",'基础-办公用品信息'!C20)</f>
        <v>档案盒牛皮纸</v>
      </c>
      <c r="D23" s="60" t="str">
        <f>IF('基础-办公用品信息'!D20="","-",'基础-办公用品信息'!D20)</f>
        <v>只</v>
      </c>
      <c r="E23" s="60" t="str">
        <f>IF('基础-办公用品信息'!E19="","-",'基础-办公用品信息'!E19)</f>
        <v>-</v>
      </c>
      <c r="F23" s="99">
        <f>SUMIFS('领用录入（明细）'!$I:$I,'领用录入（明细）'!$F:$F,C23,'领用录入（明细）'!$C:$C,"&gt;="&amp;$E$4,'领用录入（明细）'!$C:$C,"&lt;="&amp;$G$4)</f>
        <v>0</v>
      </c>
      <c r="G23" s="60">
        <f>IFERROR(VLOOKUP(C23,'基础-办公用品信息'!$C:$G,4,0),"-")</f>
        <v>0</v>
      </c>
      <c r="H23" s="60">
        <f>SUMIFS('领用录入（明细）'!K:K,'领用录入（明细）'!$F:$F,C23,'领用录入（明细）'!$C:$C,"&gt;="&amp;$E$4,'领用录入（明细）'!$C:$C,"&lt;="&amp;$G$4)</f>
        <v>0</v>
      </c>
      <c r="I23" s="46"/>
    </row>
    <row r="24" customHeight="1" spans="2:9">
      <c r="B24" s="59">
        <v>18</v>
      </c>
      <c r="C24" s="60" t="str">
        <f>IF('基础-办公用品信息'!C21="","-",'基础-办公用品信息'!C21)</f>
        <v>档案盒大塑料</v>
      </c>
      <c r="D24" s="60" t="str">
        <f>IF('基础-办公用品信息'!D21="","-",'基础-办公用品信息'!D21)</f>
        <v>只</v>
      </c>
      <c r="E24" s="60" t="e">
        <f>IF('基础-办公用品信息'!#REF!="","-",'基础-办公用品信息'!#REF!)</f>
        <v>#REF!</v>
      </c>
      <c r="F24" s="99">
        <f>SUMIFS('领用录入（明细）'!$I:$I,'领用录入（明细）'!$F:$F,C24,'领用录入（明细）'!$C:$C,"&gt;="&amp;$E$4,'领用录入（明细）'!$C:$C,"&lt;="&amp;$G$4)</f>
        <v>0</v>
      </c>
      <c r="G24" s="60">
        <f>IFERROR(VLOOKUP(C24,'基础-办公用品信息'!$C:$G,4,0),"-")</f>
        <v>0</v>
      </c>
      <c r="H24" s="60">
        <f>SUMIFS('领用录入（明细）'!K:K,'领用录入（明细）'!$F:$F,C24,'领用录入（明细）'!$C:$C,"&gt;="&amp;$E$4,'领用录入（明细）'!$C:$C,"&lt;="&amp;$G$4)</f>
        <v>0</v>
      </c>
      <c r="I24" s="46"/>
    </row>
    <row r="25" customHeight="1" spans="2:9">
      <c r="B25" s="59">
        <v>19</v>
      </c>
      <c r="C25" s="60" t="str">
        <f>IF('基础-办公用品信息'!C22="","-",'基础-办公用品信息'!C22)</f>
        <v>档案盒小塑料</v>
      </c>
      <c r="D25" s="60" t="str">
        <f>IF('基础-办公用品信息'!D22="","-",'基础-办公用品信息'!D22)</f>
        <v>只</v>
      </c>
      <c r="E25" s="60" t="str">
        <f>IF('基础-办公用品信息'!E20="","-",'基础-办公用品信息'!E20)</f>
        <v>-</v>
      </c>
      <c r="F25" s="99">
        <f>SUMIFS('领用录入（明细）'!$I:$I,'领用录入（明细）'!$F:$F,C25,'领用录入（明细）'!$C:$C,"&gt;="&amp;$E$4,'领用录入（明细）'!$C:$C,"&lt;="&amp;$G$4)</f>
        <v>0</v>
      </c>
      <c r="G25" s="60">
        <f>IFERROR(VLOOKUP(C25,'基础-办公用品信息'!$C:$G,4,0),"-")</f>
        <v>0</v>
      </c>
      <c r="H25" s="60">
        <f>SUMIFS('领用录入（明细）'!K:K,'领用录入（明细）'!$F:$F,C25,'领用录入（明细）'!$C:$C,"&gt;="&amp;$E$4,'领用录入（明细）'!$C:$C,"&lt;="&amp;$G$4)</f>
        <v>0</v>
      </c>
      <c r="I25" s="46"/>
    </row>
    <row r="26" customHeight="1" spans="2:9">
      <c r="B26" s="59">
        <v>20</v>
      </c>
      <c r="C26" s="60" t="str">
        <f>IF('基础-办公用品信息'!C23="","-",'基础-办公用品信息'!C23)</f>
        <v>三角抽杆文件夹 </v>
      </c>
      <c r="D26" s="60" t="str">
        <f>IF('基础-办公用品信息'!D23="","-",'基础-办公用品信息'!D23)</f>
        <v>本</v>
      </c>
      <c r="E26" s="60" t="e">
        <f>IF('基础-办公用品信息'!#REF!="","-",'基础-办公用品信息'!#REF!)</f>
        <v>#REF!</v>
      </c>
      <c r="F26" s="99">
        <f>SUMIFS('领用录入（明细）'!$I:$I,'领用录入（明细）'!$F:$F,C26,'领用录入（明细）'!$C:$C,"&gt;="&amp;$E$4,'领用录入（明细）'!$C:$C,"&lt;="&amp;$G$4)</f>
        <v>0</v>
      </c>
      <c r="G26" s="60">
        <f>IFERROR(VLOOKUP(C26,'基础-办公用品信息'!$C:$G,4,0),"-")</f>
        <v>0.55</v>
      </c>
      <c r="H26" s="60">
        <f>SUMIFS('领用录入（明细）'!K:K,'领用录入（明细）'!$F:$F,C26,'领用录入（明细）'!$C:$C,"&gt;="&amp;$E$4,'领用录入（明细）'!$C:$C,"&lt;="&amp;$G$4)</f>
        <v>0</v>
      </c>
      <c r="I26" s="46"/>
    </row>
    <row r="27" customHeight="1" spans="2:9">
      <c r="B27" s="59">
        <v>21</v>
      </c>
      <c r="C27" s="60" t="str">
        <f>IF('基础-办公用品信息'!C24="","-",'基础-办公用品信息'!C24)</f>
        <v>塑料文件架</v>
      </c>
      <c r="D27" s="60" t="str">
        <f>IF('基础-办公用品信息'!D24="","-",'基础-办公用品信息'!D24)</f>
        <v>只</v>
      </c>
      <c r="E27" s="60" t="str">
        <f>IF('基础-办公用品信息'!E21="","-",'基础-办公用品信息'!E21)</f>
        <v>-</v>
      </c>
      <c r="F27" s="99">
        <f>SUMIFS('领用录入（明细）'!$I:$I,'领用录入（明细）'!$F:$F,C27,'领用录入（明细）'!$C:$C,"&gt;="&amp;$E$4,'领用录入（明细）'!$C:$C,"&lt;="&amp;$G$4)</f>
        <v>0</v>
      </c>
      <c r="G27" s="60">
        <f>IFERROR(VLOOKUP(C27,'基础-办公用品信息'!$C:$G,4,0),"-")</f>
        <v>18</v>
      </c>
      <c r="H27" s="60">
        <f>SUMIFS('领用录入（明细）'!K:K,'领用录入（明细）'!$F:$F,C27,'领用录入（明细）'!$C:$C,"&gt;="&amp;$E$4,'领用录入（明细）'!$C:$C,"&lt;="&amp;$G$4)</f>
        <v>0</v>
      </c>
      <c r="I27" s="46"/>
    </row>
    <row r="28" customHeight="1" spans="2:9">
      <c r="B28" s="59">
        <v>22</v>
      </c>
      <c r="C28" s="60" t="str">
        <f>IF('基础-办公用品信息'!C25="","-",'基础-办公用品信息'!C25)</f>
        <v>文件夹，纸板夹</v>
      </c>
      <c r="D28" s="60" t="str">
        <f>IF('基础-办公用品信息'!D25="","-",'基础-办公用品信息'!D25)</f>
        <v>本</v>
      </c>
      <c r="E28" s="60" t="str">
        <f>IF('基础-办公用品信息'!E22="","-",'基础-办公用品信息'!E22)</f>
        <v>-</v>
      </c>
      <c r="F28" s="99">
        <f>SUMIFS('领用录入（明细）'!$I:$I,'领用录入（明细）'!$F:$F,C28,'领用录入（明细）'!$C:$C,"&gt;="&amp;$E$4,'领用录入（明细）'!$C:$C,"&lt;="&amp;$G$4)</f>
        <v>0</v>
      </c>
      <c r="G28" s="60">
        <f>IFERROR(VLOOKUP(C28,'基础-办公用品信息'!$C:$G,4,0),"-")</f>
        <v>5</v>
      </c>
      <c r="H28" s="60">
        <f>SUMIFS('领用录入（明细）'!K:K,'领用录入（明细）'!$F:$F,C28,'领用录入（明细）'!$C:$C,"&gt;="&amp;$E$4,'领用录入（明细）'!$C:$C,"&lt;="&amp;$G$4)</f>
        <v>0</v>
      </c>
      <c r="I28" s="46"/>
    </row>
    <row r="29" customHeight="1" spans="2:9">
      <c r="B29" s="59">
        <v>23</v>
      </c>
      <c r="C29" s="60" t="str">
        <f>IF('基础-办公用品信息'!C26="","-",'基础-办公用品信息'!C26)</f>
        <v>文件夹，塑料皮</v>
      </c>
      <c r="D29" s="60" t="str">
        <f>IF('基础-办公用品信息'!D26="","-",'基础-办公用品信息'!D26)</f>
        <v>本</v>
      </c>
      <c r="E29" s="60" t="e">
        <f>IF('基础-办公用品信息'!#REF!="","-",'基础-办公用品信息'!#REF!)</f>
        <v>#REF!</v>
      </c>
      <c r="F29" s="99">
        <f>SUMIFS('领用录入（明细）'!$I:$I,'领用录入（明细）'!$F:$F,C29,'领用录入（明细）'!$C:$C,"&gt;="&amp;$E$4,'领用录入（明细）'!$C:$C,"&lt;="&amp;$G$4)</f>
        <v>0</v>
      </c>
      <c r="G29" s="60">
        <f>IFERROR(VLOOKUP(C29,'基础-办公用品信息'!$C:$G,4,0),"-")</f>
        <v>6.5</v>
      </c>
      <c r="H29" s="60">
        <f>SUMIFS('领用录入（明细）'!K:K,'领用录入（明细）'!$F:$F,C29,'领用录入（明细）'!$C:$C,"&gt;="&amp;$E$4,'领用录入（明细）'!$C:$C,"&lt;="&amp;$G$4)</f>
        <v>0</v>
      </c>
      <c r="I29" s="46"/>
    </row>
    <row r="30" customHeight="1" spans="2:9">
      <c r="B30" s="59">
        <v>24</v>
      </c>
      <c r="C30" s="60" t="str">
        <f>IF('基础-办公用品信息'!C27="","-",'基础-办公用品信息'!C27)</f>
        <v>网格拉链袋</v>
      </c>
      <c r="D30" s="60" t="str">
        <f>IF('基础-办公用品信息'!D27="","-",'基础-办公用品信息'!D27)</f>
        <v>只</v>
      </c>
      <c r="E30" s="60" t="str">
        <f>IF('基础-办公用品信息'!E23="","-",'基础-办公用品信息'!E23)</f>
        <v>-</v>
      </c>
      <c r="F30" s="99">
        <f>SUMIFS('领用录入（明细）'!$I:$I,'领用录入（明细）'!$F:$F,C30,'领用录入（明细）'!$C:$C,"&gt;="&amp;$E$4,'领用录入（明细）'!$C:$C,"&lt;="&amp;$G$4)</f>
        <v>0</v>
      </c>
      <c r="G30" s="60">
        <f>IFERROR(VLOOKUP(C30,'基础-办公用品信息'!$C:$G,4,0),"-")</f>
        <v>0</v>
      </c>
      <c r="H30" s="60">
        <f>SUMIFS('领用录入（明细）'!K:K,'领用录入（明细）'!$F:$F,C30,'领用录入（明细）'!$C:$C,"&gt;="&amp;$E$4,'领用录入（明细）'!$C:$C,"&lt;="&amp;$G$4)</f>
        <v>0</v>
      </c>
      <c r="I30" s="46"/>
    </row>
    <row r="31" customHeight="1" spans="2:9">
      <c r="B31" s="59">
        <v>25</v>
      </c>
      <c r="C31" s="60" t="str">
        <f>IF('基础-办公用品信息'!C28="","-",'基础-办公用品信息'!C28)</f>
        <v>书写夹板A5</v>
      </c>
      <c r="D31" s="60" t="str">
        <f>IF('基础-办公用品信息'!D28="","-",'基础-办公用品信息'!D28)</f>
        <v>只</v>
      </c>
      <c r="E31" s="60" t="str">
        <f>IF('基础-办公用品信息'!E24="","-",'基础-办公用品信息'!E24)</f>
        <v>-</v>
      </c>
      <c r="F31" s="99">
        <f>SUMIFS('领用录入（明细）'!$I:$I,'领用录入（明细）'!$F:$F,C31,'领用录入（明细）'!$C:$C,"&gt;="&amp;$E$4,'领用录入（明细）'!$C:$C,"&lt;="&amp;$G$4)</f>
        <v>0</v>
      </c>
      <c r="G31" s="60">
        <f>IFERROR(VLOOKUP(C31,'基础-办公用品信息'!$C:$G,4,0),"-")</f>
        <v>0</v>
      </c>
      <c r="H31" s="60">
        <f>SUMIFS('领用录入（明细）'!K:K,'领用录入（明细）'!$F:$F,C31,'领用录入（明细）'!$C:$C,"&gt;="&amp;$E$4,'领用录入（明细）'!$C:$C,"&lt;="&amp;$G$4)</f>
        <v>0</v>
      </c>
      <c r="I31" s="46"/>
    </row>
    <row r="32" customHeight="1" spans="2:9">
      <c r="B32" s="59">
        <v>26</v>
      </c>
      <c r="C32" s="60" t="str">
        <f>IF('基础-办公用品信息'!C29="","-",'基础-办公用品信息'!C29)</f>
        <v>铁书挡（小）</v>
      </c>
      <c r="D32" s="60" t="str">
        <f>IF('基础-办公用品信息'!D29="","-",'基础-办公用品信息'!D29)</f>
        <v>只</v>
      </c>
      <c r="E32" s="60" t="str">
        <f>IF('基础-办公用品信息'!E25="","-",'基础-办公用品信息'!E25)</f>
        <v>-</v>
      </c>
      <c r="F32" s="99">
        <f>SUMIFS('领用录入（明细）'!$I:$I,'领用录入（明细）'!$F:$F,C32,'领用录入（明细）'!$C:$C,"&gt;="&amp;$E$4,'领用录入（明细）'!$C:$C,"&lt;="&amp;$G$4)</f>
        <v>0</v>
      </c>
      <c r="G32" s="60">
        <f>IFERROR(VLOOKUP(C32,'基础-办公用品信息'!$C:$G,4,0),"-")</f>
        <v>0</v>
      </c>
      <c r="H32" s="60">
        <f>SUMIFS('领用录入（明细）'!K:K,'领用录入（明细）'!$F:$F,C32,'领用录入（明细）'!$C:$C,"&gt;="&amp;$E$4,'领用录入（明细）'!$C:$C,"&lt;="&amp;$G$4)</f>
        <v>0</v>
      </c>
      <c r="I32" s="46"/>
    </row>
    <row r="33" customHeight="1" spans="2:9">
      <c r="B33" s="59">
        <v>27</v>
      </c>
      <c r="C33" s="60" t="str">
        <f>IF('基础-办公用品信息'!C30="","-",'基础-办公用品信息'!C30)</f>
        <v>铁书挡（大）</v>
      </c>
      <c r="D33" s="60" t="str">
        <f>IF('基础-办公用品信息'!D30="","-",'基础-办公用品信息'!D30)</f>
        <v>只</v>
      </c>
      <c r="E33" s="60" t="str">
        <f>IF('基础-办公用品信息'!E26="","-",'基础-办公用品信息'!E26)</f>
        <v>-</v>
      </c>
      <c r="F33" s="99">
        <f>SUMIFS('领用录入（明细）'!$I:$I,'领用录入（明细）'!$F:$F,C33,'领用录入（明细）'!$C:$C,"&gt;="&amp;$E$4,'领用录入（明细）'!$C:$C,"&lt;="&amp;$G$4)</f>
        <v>0</v>
      </c>
      <c r="G33" s="60">
        <f>IFERROR(VLOOKUP(C33,'基础-办公用品信息'!$C:$G,4,0),"-")</f>
        <v>0</v>
      </c>
      <c r="H33" s="60">
        <f>SUMIFS('领用录入（明细）'!K:K,'领用录入（明细）'!$F:$F,C33,'领用录入（明细）'!$C:$C,"&gt;="&amp;$E$4,'领用录入（明细）'!$C:$C,"&lt;="&amp;$G$4)</f>
        <v>0</v>
      </c>
      <c r="I33" s="46"/>
    </row>
    <row r="34" customHeight="1" spans="2:9">
      <c r="B34" s="59">
        <v>28</v>
      </c>
      <c r="C34" s="60" t="str">
        <f>IF('基础-办公用品信息'!C31="","-",'基础-办公用品信息'!C31)</f>
        <v>水笔黑色</v>
      </c>
      <c r="D34" s="60" t="str">
        <f>IF('基础-办公用品信息'!D31="","-",'基础-办公用品信息'!D31)</f>
        <v>支</v>
      </c>
      <c r="E34" s="60" t="str">
        <f>IF('基础-办公用品信息'!E27="","-",'基础-办公用品信息'!E27)</f>
        <v>-</v>
      </c>
      <c r="F34" s="99">
        <f>SUMIFS('领用录入（明细）'!$I:$I,'领用录入（明细）'!$F:$F,C34,'领用录入（明细）'!$C:$C,"&gt;="&amp;$E$4,'领用录入（明细）'!$C:$C,"&lt;="&amp;$G$4)</f>
        <v>0</v>
      </c>
      <c r="G34" s="60">
        <f>IFERROR(VLOOKUP(C34,'基础-办公用品信息'!$C:$G,4,0),"-")</f>
        <v>1.3</v>
      </c>
      <c r="H34" s="60">
        <f>SUMIFS('领用录入（明细）'!K:K,'领用录入（明细）'!$F:$F,C34,'领用录入（明细）'!$C:$C,"&gt;="&amp;$E$4,'领用录入（明细）'!$C:$C,"&lt;="&amp;$G$4)</f>
        <v>0</v>
      </c>
      <c r="I34" s="46"/>
    </row>
    <row r="35" customHeight="1" spans="2:9">
      <c r="B35" s="59">
        <v>29</v>
      </c>
      <c r="C35" s="60" t="str">
        <f>IF('基础-办公用品信息'!C32="","-",'基础-办公用品信息'!C32)</f>
        <v>水笔红色</v>
      </c>
      <c r="D35" s="60" t="str">
        <f>IF('基础-办公用品信息'!D32="","-",'基础-办公用品信息'!D32)</f>
        <v>支</v>
      </c>
      <c r="E35" s="60" t="str">
        <f>IF('基础-办公用品信息'!E28="","-",'基础-办公用品信息'!E28)</f>
        <v>-</v>
      </c>
      <c r="F35" s="99">
        <f>SUMIFS('领用录入（明细）'!$I:$I,'领用录入（明细）'!$F:$F,C35,'领用录入（明细）'!$C:$C,"&gt;="&amp;$E$4,'领用录入（明细）'!$C:$C,"&lt;="&amp;$G$4)</f>
        <v>0</v>
      </c>
      <c r="G35" s="60">
        <f>IFERROR(VLOOKUP(C35,'基础-办公用品信息'!$C:$G,4,0),"-")</f>
        <v>1.3</v>
      </c>
      <c r="H35" s="60">
        <f>SUMIFS('领用录入（明细）'!K:K,'领用录入（明细）'!$F:$F,C35,'领用录入（明细）'!$C:$C,"&gt;="&amp;$E$4,'领用录入（明细）'!$C:$C,"&lt;="&amp;$G$4)</f>
        <v>0</v>
      </c>
      <c r="I35" s="46"/>
    </row>
    <row r="36" customHeight="1" spans="2:9">
      <c r="B36" s="59">
        <v>30</v>
      </c>
      <c r="C36" s="60" t="str">
        <f>IF('基础-办公用品信息'!C33="","-",'基础-办公用品信息'!C33)</f>
        <v>按压水笔黑色</v>
      </c>
      <c r="D36" s="60" t="str">
        <f>IF('基础-办公用品信息'!D33="","-",'基础-办公用品信息'!D33)</f>
        <v>支</v>
      </c>
      <c r="E36" s="60" t="str">
        <f>IF('基础-办公用品信息'!E29="","-",'基础-办公用品信息'!E29)</f>
        <v>-</v>
      </c>
      <c r="F36" s="99">
        <f>SUMIFS('领用录入（明细）'!$I:$I,'领用录入（明细）'!$F:$F,C36,'领用录入（明细）'!$C:$C,"&gt;="&amp;$E$4,'领用录入（明细）'!$C:$C,"&lt;="&amp;$G$4)</f>
        <v>0</v>
      </c>
      <c r="G36" s="60">
        <f>IFERROR(VLOOKUP(C36,'基础-办公用品信息'!$C:$G,4,0),"-")</f>
        <v>2</v>
      </c>
      <c r="H36" s="60">
        <f>SUMIFS('领用录入（明细）'!K:K,'领用录入（明细）'!$F:$F,C36,'领用录入（明细）'!$C:$C,"&gt;="&amp;$E$4,'领用录入（明细）'!$C:$C,"&lt;="&amp;$G$4)</f>
        <v>0</v>
      </c>
      <c r="I36" s="46"/>
    </row>
    <row r="37" customHeight="1" spans="2:9">
      <c r="B37" s="59">
        <v>31</v>
      </c>
      <c r="C37" s="60" t="str">
        <f>IF('基础-办公用品信息'!C34="","-",'基础-办公用品信息'!C34)</f>
        <v>笔芯</v>
      </c>
      <c r="D37" s="60" t="str">
        <f>IF('基础-办公用品信息'!D34="","-",'基础-办公用品信息'!D34)</f>
        <v>支</v>
      </c>
      <c r="E37" s="60" t="str">
        <f>IF('基础-办公用品信息'!E30="","-",'基础-办公用品信息'!E30)</f>
        <v>-</v>
      </c>
      <c r="F37" s="99">
        <f>SUMIFS('领用录入（明细）'!$I:$I,'领用录入（明细）'!$F:$F,C37,'领用录入（明细）'!$C:$C,"&gt;="&amp;$E$4,'领用录入（明细）'!$C:$C,"&lt;="&amp;$G$4)</f>
        <v>0</v>
      </c>
      <c r="G37" s="60">
        <f>IFERROR(VLOOKUP(C37,'基础-办公用品信息'!$C:$G,4,0),"-")</f>
        <v>0</v>
      </c>
      <c r="H37" s="60">
        <f>SUMIFS('领用录入（明细）'!K:K,'领用录入（明细）'!$F:$F,C37,'领用录入（明细）'!$C:$C,"&gt;="&amp;$E$4,'领用录入（明细）'!$C:$C,"&lt;="&amp;$G$4)</f>
        <v>0</v>
      </c>
      <c r="I37" s="46"/>
    </row>
    <row r="38" customHeight="1" spans="2:9">
      <c r="B38" s="59">
        <v>32</v>
      </c>
      <c r="C38" s="60" t="str">
        <f>IF('基础-办公用品信息'!C35="","-",'基础-办公用品信息'!C35)</f>
        <v>台笔</v>
      </c>
      <c r="D38" s="60" t="str">
        <f>IF('基础-办公用品信息'!D35="","-",'基础-办公用品信息'!D35)</f>
        <v>支</v>
      </c>
      <c r="E38" s="60" t="str">
        <f>IF('基础-办公用品信息'!E31="","-",'基础-办公用品信息'!E31)</f>
        <v>-</v>
      </c>
      <c r="F38" s="99">
        <f>SUMIFS('领用录入（明细）'!$I:$I,'领用录入（明细）'!$F:$F,C38,'领用录入（明细）'!$C:$C,"&gt;="&amp;$E$4,'领用录入（明细）'!$C:$C,"&lt;="&amp;$G$4)</f>
        <v>0</v>
      </c>
      <c r="G38" s="60">
        <f>IFERROR(VLOOKUP(C38,'基础-办公用品信息'!$C:$G,4,0),"-")</f>
        <v>0</v>
      </c>
      <c r="H38" s="60">
        <f>SUMIFS('领用录入（明细）'!K:K,'领用录入（明细）'!$F:$F,C38,'领用录入（明细）'!$C:$C,"&gt;="&amp;$E$4,'领用录入（明细）'!$C:$C,"&lt;="&amp;$G$4)</f>
        <v>0</v>
      </c>
      <c r="I38" s="46"/>
    </row>
    <row r="39" customHeight="1" spans="2:9">
      <c r="B39" s="59">
        <v>33</v>
      </c>
      <c r="C39" s="60" t="str">
        <f>IF('基础-办公用品信息'!C36="","-",'基础-办公用品信息'!C36)</f>
        <v>记号笔黑色</v>
      </c>
      <c r="D39" s="60" t="str">
        <f>IF('基础-办公用品信息'!D36="","-",'基础-办公用品信息'!D36)</f>
        <v>支</v>
      </c>
      <c r="E39" s="60" t="str">
        <f>IF('基础-办公用品信息'!E32="","-",'基础-办公用品信息'!E32)</f>
        <v>-</v>
      </c>
      <c r="F39" s="99">
        <f>SUMIFS('领用录入（明细）'!$I:$I,'领用录入（明细）'!$F:$F,C39,'领用录入（明细）'!$C:$C,"&gt;="&amp;$E$4,'领用录入（明细）'!$C:$C,"&lt;="&amp;$G$4)</f>
        <v>0</v>
      </c>
      <c r="G39" s="60">
        <f>IFERROR(VLOOKUP(C39,'基础-办公用品信息'!$C:$G,4,0),"-")</f>
        <v>0.5</v>
      </c>
      <c r="H39" s="60">
        <f>SUMIFS('领用录入（明细）'!K:K,'领用录入（明细）'!$F:$F,C39,'领用录入（明细）'!$C:$C,"&gt;="&amp;$E$4,'领用录入（明细）'!$C:$C,"&lt;="&amp;$G$4)</f>
        <v>0</v>
      </c>
      <c r="I39" s="46"/>
    </row>
    <row r="40" customHeight="1" spans="2:9">
      <c r="B40" s="59">
        <v>34</v>
      </c>
      <c r="C40" s="60" t="str">
        <f>IF('基础-办公用品信息'!C37="","-",'基础-办公用品信息'!C37)</f>
        <v>记号笔红色</v>
      </c>
      <c r="D40" s="60" t="str">
        <f>IF('基础-办公用品信息'!D37="","-",'基础-办公用品信息'!D37)</f>
        <v>支</v>
      </c>
      <c r="E40" s="60" t="str">
        <f>IF('基础-办公用品信息'!E33="","-",'基础-办公用品信息'!E33)</f>
        <v>-</v>
      </c>
      <c r="F40" s="99">
        <f>SUMIFS('领用录入（明细）'!$I:$I,'领用录入（明细）'!$F:$F,C40,'领用录入（明细）'!$C:$C,"&gt;="&amp;$E$4,'领用录入（明细）'!$C:$C,"&lt;="&amp;$G$4)</f>
        <v>0</v>
      </c>
      <c r="G40" s="60">
        <f>IFERROR(VLOOKUP(C40,'基础-办公用品信息'!$C:$G,4,0),"-")</f>
        <v>0.5</v>
      </c>
      <c r="H40" s="60">
        <f>SUMIFS('领用录入（明细）'!K:K,'领用录入（明细）'!$F:$F,C40,'领用录入（明细）'!$C:$C,"&gt;="&amp;$E$4,'领用录入（明细）'!$C:$C,"&lt;="&amp;$G$4)</f>
        <v>0</v>
      </c>
      <c r="I40" s="46"/>
    </row>
    <row r="41" customHeight="1" spans="2:9">
      <c r="B41" s="59">
        <v>35</v>
      </c>
      <c r="C41" s="60" t="str">
        <f>IF('基础-办公用品信息'!C38="","-",'基础-办公用品信息'!C38)</f>
        <v>扑克</v>
      </c>
      <c r="D41" s="60" t="str">
        <f>IF('基础-办公用品信息'!D38="","-",'基础-办公用品信息'!D38)</f>
        <v>盒</v>
      </c>
      <c r="E41" s="60" t="str">
        <f>IF('基础-办公用品信息'!E34="","-",'基础-办公用品信息'!E34)</f>
        <v>-</v>
      </c>
      <c r="F41" s="99">
        <f>SUMIFS('领用录入（明细）'!$I:$I,'领用录入（明细）'!$F:$F,C41,'领用录入（明细）'!$C:$C,"&gt;="&amp;$E$4,'领用录入（明细）'!$C:$C,"&lt;="&amp;$G$4)</f>
        <v>0</v>
      </c>
      <c r="G41" s="60">
        <f>IFERROR(VLOOKUP(C41,'基础-办公用品信息'!$C:$G,4,0),"-")</f>
        <v>1.4</v>
      </c>
      <c r="H41" s="60">
        <f>SUMIFS('领用录入（明细）'!K:K,'领用录入（明细）'!$F:$F,C41,'领用录入（明细）'!$C:$C,"&gt;="&amp;$E$4,'领用录入（明细）'!$C:$C,"&lt;="&amp;$G$4)</f>
        <v>0</v>
      </c>
      <c r="I41" s="46"/>
    </row>
    <row r="42" customHeight="1" spans="2:9">
      <c r="B42" s="59">
        <v>36</v>
      </c>
      <c r="C42" s="60" t="str">
        <f>IF('基础-办公用品信息'!C39="","-",'基础-办公用品信息'!C39)</f>
        <v>圆珠笔蓝色</v>
      </c>
      <c r="D42" s="60" t="str">
        <f>IF('基础-办公用品信息'!D39="","-",'基础-办公用品信息'!D39)</f>
        <v>支</v>
      </c>
      <c r="E42" s="60" t="e">
        <f>IF('基础-办公用品信息'!#REF!="","-",'基础-办公用品信息'!#REF!)</f>
        <v>#REF!</v>
      </c>
      <c r="F42" s="99">
        <f>SUMIFS('领用录入（明细）'!$I:$I,'领用录入（明细）'!$F:$F,C42,'领用录入（明细）'!$C:$C,"&gt;="&amp;$E$4,'领用录入（明细）'!$C:$C,"&lt;="&amp;$G$4)</f>
        <v>0</v>
      </c>
      <c r="G42" s="60">
        <f>IFERROR(VLOOKUP(C42,'基础-办公用品信息'!$C:$G,4,0),"-")</f>
        <v>0</v>
      </c>
      <c r="H42" s="60">
        <f>SUMIFS('领用录入（明细）'!K:K,'领用录入（明细）'!$F:$F,C42,'领用录入（明细）'!$C:$C,"&gt;="&amp;$E$4,'领用录入（明细）'!$C:$C,"&lt;="&amp;$G$4)</f>
        <v>0</v>
      </c>
      <c r="I42" s="46"/>
    </row>
    <row r="43" customHeight="1" spans="2:9">
      <c r="B43" s="59">
        <v>37</v>
      </c>
      <c r="C43" s="60" t="str">
        <f>IF('基础-办公用品信息'!C40="","-",'基础-办公用品信息'!C40)</f>
        <v>铅笔</v>
      </c>
      <c r="D43" s="60" t="str">
        <f>IF('基础-办公用品信息'!D40="","-",'基础-办公用品信息'!D40)</f>
        <v>支</v>
      </c>
      <c r="E43" s="60" t="e">
        <f>IF('基础-办公用品信息'!#REF!="","-",'基础-办公用品信息'!#REF!)</f>
        <v>#REF!</v>
      </c>
      <c r="F43" s="99">
        <f>SUMIFS('领用录入（明细）'!$I:$I,'领用录入（明细）'!$F:$F,C43,'领用录入（明细）'!$C:$C,"&gt;="&amp;$E$4,'领用录入（明细）'!$C:$C,"&lt;="&amp;$G$4)</f>
        <v>0</v>
      </c>
      <c r="G43" s="60" t="str">
        <f>IFERROR(VLOOKUP(C43,'基础-办公用品信息'!$C:$G,4,0),"-")</f>
        <v>7元/盒</v>
      </c>
      <c r="H43" s="60">
        <f>SUMIFS('领用录入（明细）'!K:K,'领用录入（明细）'!$F:$F,C43,'领用录入（明细）'!$C:$C,"&gt;="&amp;$E$4,'领用录入（明细）'!$C:$C,"&lt;="&amp;$G$4)</f>
        <v>0</v>
      </c>
      <c r="I43" s="46"/>
    </row>
    <row r="44" customHeight="1" spans="2:9">
      <c r="B44" s="59">
        <v>38</v>
      </c>
      <c r="C44" s="60" t="str">
        <f>IF('基础-办公用品信息'!C41="","-",'基础-办公用品信息'!C41)</f>
        <v>卷笔机</v>
      </c>
      <c r="D44" s="60" t="str">
        <f>IF('基础-办公用品信息'!D41="","-",'基础-办公用品信息'!D41)</f>
        <v>个</v>
      </c>
      <c r="E44" s="60" t="e">
        <f>IF('基础-办公用品信息'!#REF!="","-",'基础-办公用品信息'!#REF!)</f>
        <v>#REF!</v>
      </c>
      <c r="F44" s="99">
        <f>SUMIFS('领用录入（明细）'!$I:$I,'领用录入（明细）'!$F:$F,C44,'领用录入（明细）'!$C:$C,"&gt;="&amp;$E$4,'领用录入（明细）'!$C:$C,"&lt;="&amp;$G$4)</f>
        <v>0</v>
      </c>
      <c r="G44" s="60">
        <f>IFERROR(VLOOKUP(C44,'基础-办公用品信息'!$C:$G,4,0),"-")</f>
        <v>16</v>
      </c>
      <c r="H44" s="60">
        <f>SUMIFS('领用录入（明细）'!K:K,'领用录入（明细）'!$F:$F,C44,'领用录入（明细）'!$C:$C,"&gt;="&amp;$E$4,'领用录入（明细）'!$C:$C,"&lt;="&amp;$G$4)</f>
        <v>0</v>
      </c>
      <c r="I44" s="46"/>
    </row>
    <row r="45" customHeight="1" spans="2:9">
      <c r="B45" s="59">
        <v>39</v>
      </c>
      <c r="C45" s="60" t="str">
        <f>IF('基础-办公用品信息'!C42="","-",'基础-办公用品信息'!C42)</f>
        <v>卷笔刀</v>
      </c>
      <c r="D45" s="60" t="str">
        <f>IF('基础-办公用品信息'!D42="","-",'基础-办公用品信息'!D42)</f>
        <v>个</v>
      </c>
      <c r="E45" s="60" t="str">
        <f>IF('基础-办公用品信息'!E35="","-",'基础-办公用品信息'!E35)</f>
        <v>-</v>
      </c>
      <c r="F45" s="99">
        <f>SUMIFS('领用录入（明细）'!$I:$I,'领用录入（明细）'!$F:$F,C45,'领用录入（明细）'!$C:$C,"&gt;="&amp;$E$4,'领用录入（明细）'!$C:$C,"&lt;="&amp;$G$4)</f>
        <v>0</v>
      </c>
      <c r="G45" s="60">
        <f>IFERROR(VLOOKUP(C45,'基础-办公用品信息'!$C:$G,4,0),"-")</f>
        <v>0.8</v>
      </c>
      <c r="H45" s="60">
        <f>SUMIFS('领用录入（明细）'!K:K,'领用录入（明细）'!$F:$F,C45,'领用录入（明细）'!$C:$C,"&gt;="&amp;$E$4,'领用录入（明细）'!$C:$C,"&lt;="&amp;$G$4)</f>
        <v>0</v>
      </c>
      <c r="I45" s="46"/>
    </row>
    <row r="46" customHeight="1" spans="2:9">
      <c r="B46" s="59">
        <v>40</v>
      </c>
      <c r="C46" s="60" t="str">
        <f>IF('基础-办公用品信息'!C43="","-",'基础-办公用品信息'!C43)</f>
        <v>橡皮</v>
      </c>
      <c r="D46" s="60" t="str">
        <f>IF('基础-办公用品信息'!D43="","-",'基础-办公用品信息'!D43)</f>
        <v>个</v>
      </c>
      <c r="E46" s="60" t="str">
        <f>IF('基础-办公用品信息'!E36="","-",'基础-办公用品信息'!E36)</f>
        <v>-</v>
      </c>
      <c r="F46" s="99">
        <f>SUMIFS('领用录入（明细）'!$I:$I,'领用录入（明细）'!$F:$F,C46,'领用录入（明细）'!$C:$C,"&gt;="&amp;$E$4,'领用录入（明细）'!$C:$C,"&lt;="&amp;$G$4)</f>
        <v>0</v>
      </c>
      <c r="G46" s="60">
        <f>IFERROR(VLOOKUP(C46,'基础-办公用品信息'!$C:$G,4,0),"-")</f>
        <v>0</v>
      </c>
      <c r="H46" s="60">
        <f>SUMIFS('领用录入（明细）'!K:K,'领用录入（明细）'!$F:$F,C46,'领用录入（明细）'!$C:$C,"&gt;="&amp;$E$4,'领用录入（明细）'!$C:$C,"&lt;="&amp;$G$4)</f>
        <v>0</v>
      </c>
      <c r="I46" s="46"/>
    </row>
    <row r="47" customHeight="1" spans="2:9">
      <c r="B47" s="59">
        <v>41</v>
      </c>
      <c r="C47" s="60" t="str">
        <f>IF('基础-办公用品信息'!C44="","-",'基础-办公用品信息'!C44)</f>
        <v>美工刀</v>
      </c>
      <c r="D47" s="60" t="str">
        <f>IF('基础-办公用品信息'!D44="","-",'基础-办公用品信息'!D44)</f>
        <v>把</v>
      </c>
      <c r="E47" s="60" t="str">
        <f>IF('基础-办公用品信息'!E37="","-",'基础-办公用品信息'!E37)</f>
        <v>-</v>
      </c>
      <c r="F47" s="99">
        <f>SUMIFS('领用录入（明细）'!$I:$I,'领用录入（明细）'!$F:$F,C47,'领用录入（明细）'!$C:$C,"&gt;="&amp;$E$4,'领用录入（明细）'!$C:$C,"&lt;="&amp;$G$4)</f>
        <v>0</v>
      </c>
      <c r="G47" s="60">
        <f>IFERROR(VLOOKUP(C47,'基础-办公用品信息'!$C:$G,4,0),"-")</f>
        <v>0</v>
      </c>
      <c r="H47" s="60">
        <f>SUMIFS('领用录入（明细）'!K:K,'领用录入（明细）'!$F:$F,C47,'领用录入（明细）'!$C:$C,"&gt;="&amp;$E$4,'领用录入（明细）'!$C:$C,"&lt;="&amp;$G$4)</f>
        <v>0</v>
      </c>
      <c r="I47" s="46"/>
    </row>
    <row r="48" customHeight="1" spans="2:9">
      <c r="B48" s="59">
        <v>42</v>
      </c>
      <c r="C48" s="60" t="str">
        <f>IF('基础-办公用品信息'!C45="","-",'基础-办公用品信息'!C45)</f>
        <v>剪刀</v>
      </c>
      <c r="D48" s="60" t="str">
        <f>IF('基础-办公用品信息'!D45="","-",'基础-办公用品信息'!D45)</f>
        <v>把</v>
      </c>
      <c r="E48" s="60" t="str">
        <f>IF('基础-办公用品信息'!E38="","-",'基础-办公用品信息'!E38)</f>
        <v>-</v>
      </c>
      <c r="F48" s="99">
        <f>SUMIFS('领用录入（明细）'!$I:$I,'领用录入（明细）'!$F:$F,C48,'领用录入（明细）'!$C:$C,"&gt;="&amp;$E$4,'领用录入（明细）'!$C:$C,"&lt;="&amp;$G$4)</f>
        <v>0</v>
      </c>
      <c r="G48" s="60">
        <f>IFERROR(VLOOKUP(C48,'基础-办公用品信息'!$C:$G,4,0),"-")</f>
        <v>3.5</v>
      </c>
      <c r="H48" s="60">
        <f>SUMIFS('领用录入（明细）'!K:K,'领用录入（明细）'!$F:$F,C48,'领用录入（明细）'!$C:$C,"&gt;="&amp;$E$4,'领用录入（明细）'!$C:$C,"&lt;="&amp;$G$4)</f>
        <v>0</v>
      </c>
      <c r="I48" s="46"/>
    </row>
    <row r="49" customHeight="1" spans="2:9">
      <c r="B49" s="59">
        <v>43</v>
      </c>
      <c r="C49" s="60" t="str">
        <f>IF('基础-办公用品信息'!C46="","-",'基础-办公用品信息'!C46)</f>
        <v>起钉器</v>
      </c>
      <c r="D49" s="60" t="str">
        <f>IF('基础-办公用品信息'!D46="","-",'基础-办公用品信息'!D46)</f>
        <v>个</v>
      </c>
      <c r="E49" s="60" t="str">
        <f>IF('基础-办公用品信息'!E39="","-",'基础-办公用品信息'!E39)</f>
        <v>-</v>
      </c>
      <c r="F49" s="99">
        <f>SUMIFS('领用录入（明细）'!$I:$I,'领用录入（明细）'!$F:$F,C49,'领用录入（明细）'!$C:$C,"&gt;="&amp;$E$4,'领用录入（明细）'!$C:$C,"&lt;="&amp;$G$4)</f>
        <v>0</v>
      </c>
      <c r="G49" s="60">
        <f>IFERROR(VLOOKUP(C49,'基础-办公用品信息'!$C:$G,4,0),"-")</f>
        <v>2</v>
      </c>
      <c r="H49" s="60">
        <f>SUMIFS('领用录入（明细）'!K:K,'领用录入（明细）'!$F:$F,C49,'领用录入（明细）'!$C:$C,"&gt;="&amp;$E$4,'领用录入（明细）'!$C:$C,"&lt;="&amp;$G$4)</f>
        <v>0</v>
      </c>
      <c r="I49" s="46"/>
    </row>
    <row r="50" customHeight="1" spans="2:9">
      <c r="B50" s="59">
        <v>44</v>
      </c>
      <c r="C50" s="60" t="str">
        <f>IF('基础-办公用品信息'!C47="","-",'基础-办公用品信息'!C47)</f>
        <v>订书机</v>
      </c>
      <c r="D50" s="60" t="str">
        <f>IF('基础-办公用品信息'!D47="","-",'基础-办公用品信息'!D47)</f>
        <v>个</v>
      </c>
      <c r="E50" s="60" t="str">
        <f>IF('基础-办公用品信息'!E40="","-",'基础-办公用品信息'!E40)</f>
        <v>-</v>
      </c>
      <c r="F50" s="99">
        <f>SUMIFS('领用录入（明细）'!$I:$I,'领用录入（明细）'!$F:$F,C50,'领用录入（明细）'!$C:$C,"&gt;="&amp;$E$4,'领用录入（明细）'!$C:$C,"&lt;="&amp;$G$4)</f>
        <v>0</v>
      </c>
      <c r="G50" s="60">
        <f>IFERROR(VLOOKUP(C50,'基础-办公用品信息'!$C:$G,4,0),"-")</f>
        <v>7</v>
      </c>
      <c r="H50" s="60">
        <f>SUMIFS('领用录入（明细）'!K:K,'领用录入（明细）'!$F:$F,C50,'领用录入（明细）'!$C:$C,"&gt;="&amp;$E$4,'领用录入（明细）'!$C:$C,"&lt;="&amp;$G$4)</f>
        <v>0</v>
      </c>
      <c r="I50" s="46"/>
    </row>
    <row r="51" customHeight="1" spans="2:9">
      <c r="B51" s="59">
        <v>45</v>
      </c>
      <c r="C51" s="60" t="str">
        <f>IF('基础-办公用品信息'!C48="","-",'基础-办公用品信息'!C48)</f>
        <v>订书钉</v>
      </c>
      <c r="D51" s="60" t="str">
        <f>IF('基础-办公用品信息'!D48="","-",'基础-办公用品信息'!D48)</f>
        <v>盒</v>
      </c>
      <c r="E51" s="60" t="str">
        <f>IF('基础-办公用品信息'!E41="","-",'基础-办公用品信息'!E41)</f>
        <v>-</v>
      </c>
      <c r="F51" s="99">
        <f>SUMIFS('领用录入（明细）'!$I:$I,'领用录入（明细）'!$F:$F,C51,'领用录入（明细）'!$C:$C,"&gt;="&amp;$E$4,'领用录入（明细）'!$C:$C,"&lt;="&amp;$G$4)</f>
        <v>0</v>
      </c>
      <c r="G51" s="60">
        <f>IFERROR(VLOOKUP(C51,'基础-办公用品信息'!$C:$G,4,0),"-")</f>
        <v>0.7</v>
      </c>
      <c r="H51" s="60">
        <f>SUMIFS('领用录入（明细）'!K:K,'领用录入（明细）'!$F:$F,C51,'领用录入（明细）'!$C:$C,"&gt;="&amp;$E$4,'领用录入（明细）'!$C:$C,"&lt;="&amp;$G$4)</f>
        <v>0</v>
      </c>
      <c r="I51" s="46"/>
    </row>
    <row r="52" customHeight="1" spans="2:9">
      <c r="B52" s="59">
        <v>46</v>
      </c>
      <c r="C52" s="60" t="str">
        <f>IF('基础-办公用品信息'!C49="","-",'基础-办公用品信息'!C49)</f>
        <v>回形针</v>
      </c>
      <c r="D52" s="60" t="str">
        <f>IF('基础-办公用品信息'!D49="","-",'基础-办公用品信息'!D49)</f>
        <v>盒</v>
      </c>
      <c r="E52" s="60" t="str">
        <f>IF('基础-办公用品信息'!E42="","-",'基础-办公用品信息'!E42)</f>
        <v>-</v>
      </c>
      <c r="F52" s="99">
        <f>SUMIFS('领用录入（明细）'!$I:$I,'领用录入（明细）'!$F:$F,C52,'领用录入（明细）'!$C:$C,"&gt;="&amp;$E$4,'领用录入（明细）'!$C:$C,"&lt;="&amp;$G$4)</f>
        <v>0</v>
      </c>
      <c r="G52" s="60">
        <f>IFERROR(VLOOKUP(C52,'基础-办公用品信息'!$C:$G,4,0),"-")</f>
        <v>0.7</v>
      </c>
      <c r="H52" s="60">
        <f>SUMIFS('领用录入（明细）'!K:K,'领用录入（明细）'!$F:$F,C52,'领用录入（明细）'!$C:$C,"&gt;="&amp;$E$4,'领用录入（明细）'!$C:$C,"&lt;="&amp;$G$4)</f>
        <v>0</v>
      </c>
      <c r="I52" s="46"/>
    </row>
    <row r="53" customHeight="1" spans="2:9">
      <c r="B53" s="59">
        <v>47</v>
      </c>
      <c r="C53" s="60" t="str">
        <f>IF('基础-办公用品信息'!C50="","-",'基础-办公用品信息'!C50)</f>
        <v>计算器</v>
      </c>
      <c r="D53" s="60" t="str">
        <f>IF('基础-办公用品信息'!D50="","-",'基础-办公用品信息'!D50)</f>
        <v>个</v>
      </c>
      <c r="E53" s="60" t="str">
        <f>IF('基础-办公用品信息'!E43="","-",'基础-办公用品信息'!E43)</f>
        <v>-</v>
      </c>
      <c r="F53" s="99">
        <f>SUMIFS('领用录入（明细）'!$I:$I,'领用录入（明细）'!$F:$F,C53,'领用录入（明细）'!$C:$C,"&gt;="&amp;$E$4,'领用录入（明细）'!$C:$C,"&lt;="&amp;$G$4)</f>
        <v>0</v>
      </c>
      <c r="G53" s="60">
        <f>IFERROR(VLOOKUP(C53,'基础-办公用品信息'!$C:$G,4,0),"-")</f>
        <v>13</v>
      </c>
      <c r="H53" s="60">
        <f>SUMIFS('领用录入（明细）'!K:K,'领用录入（明细）'!$F:$F,C53,'领用录入（明细）'!$C:$C,"&gt;="&amp;$E$4,'领用录入（明细）'!$C:$C,"&lt;="&amp;$G$4)</f>
        <v>0</v>
      </c>
      <c r="I53" s="46"/>
    </row>
    <row r="54" customHeight="1" spans="2:9">
      <c r="B54" s="59">
        <v>48</v>
      </c>
      <c r="C54" s="60" t="str">
        <f>IF('基础-办公用品信息'!C51="","-",'基础-办公用品信息'!C51)</f>
        <v>笔筒圆形</v>
      </c>
      <c r="D54" s="60" t="str">
        <f>IF('基础-办公用品信息'!D51="","-",'基础-办公用品信息'!D51)</f>
        <v>个</v>
      </c>
      <c r="E54" s="60" t="str">
        <f>IF('基础-办公用品信息'!E44="","-",'基础-办公用品信息'!E44)</f>
        <v>-</v>
      </c>
      <c r="F54" s="99">
        <f>SUMIFS('领用录入（明细）'!$I:$I,'领用录入（明细）'!$F:$F,C54,'领用录入（明细）'!$C:$C,"&gt;="&amp;$E$4,'领用录入（明细）'!$C:$C,"&lt;="&amp;$G$4)</f>
        <v>0</v>
      </c>
      <c r="G54" s="60">
        <f>IFERROR(VLOOKUP(C54,'基础-办公用品信息'!$C:$G,4,0),"-")</f>
        <v>4</v>
      </c>
      <c r="H54" s="60">
        <f>SUMIFS('领用录入（明细）'!K:K,'领用录入（明细）'!$F:$F,C54,'领用录入（明细）'!$C:$C,"&gt;="&amp;$E$4,'领用录入（明细）'!$C:$C,"&lt;="&amp;$G$4)</f>
        <v>0</v>
      </c>
      <c r="I54" s="46"/>
    </row>
    <row r="55" customHeight="1" spans="2:9">
      <c r="B55" s="59">
        <v>49</v>
      </c>
      <c r="C55" s="60" t="str">
        <f>IF('基础-办公用品信息'!C52="","-",'基础-办公用品信息'!C52)</f>
        <v>笔筒方形</v>
      </c>
      <c r="D55" s="60" t="str">
        <f>IF('基础-办公用品信息'!D52="","-",'基础-办公用品信息'!D52)</f>
        <v>个</v>
      </c>
      <c r="E55" s="60" t="str">
        <f>IF('基础-办公用品信息'!E45="","-",'基础-办公用品信息'!E45)</f>
        <v>-</v>
      </c>
      <c r="F55" s="99">
        <f>SUMIFS('领用录入（明细）'!$I:$I,'领用录入（明细）'!$F:$F,C55,'领用录入（明细）'!$C:$C,"&gt;="&amp;$E$4,'领用录入（明细）'!$C:$C,"&lt;="&amp;$G$4)</f>
        <v>0</v>
      </c>
      <c r="G55" s="60">
        <f>IFERROR(VLOOKUP(C55,'基础-办公用品信息'!$C:$G,4,0),"-")</f>
        <v>4</v>
      </c>
      <c r="H55" s="60">
        <f>SUMIFS('领用录入（明细）'!K:K,'领用录入（明细）'!$F:$F,C55,'领用录入（明细）'!$C:$C,"&gt;="&amp;$E$4,'领用录入（明细）'!$C:$C,"&lt;="&amp;$G$4)</f>
        <v>0</v>
      </c>
      <c r="I55" s="46"/>
    </row>
    <row r="56" customHeight="1" spans="2:9">
      <c r="B56" s="59">
        <v>50</v>
      </c>
      <c r="C56" s="60" t="str">
        <f>IF('基础-办公用品信息'!C53="","-",'基础-办公用品信息'!C53)</f>
        <v>液体胶水</v>
      </c>
      <c r="D56" s="60" t="str">
        <f>IF('基础-办公用品信息'!D53="","-",'基础-办公用品信息'!D53)</f>
        <v>支</v>
      </c>
      <c r="E56" s="60" t="str">
        <f>IF('基础-办公用品信息'!E46="","-",'基础-办公用品信息'!E46)</f>
        <v>-</v>
      </c>
      <c r="F56" s="99">
        <f>SUMIFS('领用录入（明细）'!$I:$I,'领用录入（明细）'!$F:$F,C56,'领用录入（明细）'!$C:$C,"&gt;="&amp;$E$4,'领用录入（明细）'!$C:$C,"&lt;="&amp;$G$4)</f>
        <v>0</v>
      </c>
      <c r="G56" s="60">
        <f>IFERROR(VLOOKUP(C56,'基础-办公用品信息'!$C:$G,4,0),"-")</f>
        <v>1</v>
      </c>
      <c r="H56" s="60">
        <f>SUMIFS('领用录入（明细）'!K:K,'领用录入（明细）'!$F:$F,C56,'领用录入（明细）'!$C:$C,"&gt;="&amp;$E$4,'领用录入（明细）'!$C:$C,"&lt;="&amp;$G$4)</f>
        <v>0</v>
      </c>
      <c r="I56" s="46"/>
    </row>
    <row r="57" customHeight="1" spans="2:9">
      <c r="B57" s="59">
        <v>51</v>
      </c>
      <c r="C57" s="60" t="str">
        <f>IF('基础-办公用品信息'!C54="","-",'基础-办公用品信息'!C54)</f>
        <v>固体胶水</v>
      </c>
      <c r="D57" s="60" t="str">
        <f>IF('基础-办公用品信息'!D54="","-",'基础-办公用品信息'!D54)</f>
        <v>支</v>
      </c>
      <c r="E57" s="60" t="str">
        <f>IF('基础-办公用品信息'!E47="","-",'基础-办公用品信息'!E47)</f>
        <v>-</v>
      </c>
      <c r="F57" s="99">
        <f>SUMIFS('领用录入（明细）'!$I:$I,'领用录入（明细）'!$F:$F,C57,'领用录入（明细）'!$C:$C,"&gt;="&amp;$E$4,'领用录入（明细）'!$C:$C,"&lt;="&amp;$G$4)</f>
        <v>0</v>
      </c>
      <c r="G57" s="60">
        <f>IFERROR(VLOOKUP(C57,'基础-办公用品信息'!$C:$G,4,0),"-")</f>
        <v>1</v>
      </c>
      <c r="H57" s="60">
        <f>SUMIFS('领用录入（明细）'!K:K,'领用录入（明细）'!$F:$F,C57,'领用录入（明细）'!$C:$C,"&gt;="&amp;$E$4,'领用录入（明细）'!$C:$C,"&lt;="&amp;$G$4)</f>
        <v>0</v>
      </c>
      <c r="I57" s="46"/>
    </row>
    <row r="58" customHeight="1" spans="2:9">
      <c r="B58" s="59">
        <v>52</v>
      </c>
      <c r="C58" s="60" t="str">
        <f>IF('基础-办公用品信息'!C55="","-",'基础-办公用品信息'!C55)</f>
        <v>三棱尺</v>
      </c>
      <c r="D58" s="60" t="str">
        <f>IF('基础-办公用品信息'!D55="","-",'基础-办公用品信息'!D55)</f>
        <v>把</v>
      </c>
      <c r="E58" s="60" t="str">
        <f>IF('基础-办公用品信息'!E48="","-",'基础-办公用品信息'!E48)</f>
        <v>-</v>
      </c>
      <c r="F58" s="99">
        <f>SUMIFS('领用录入（明细）'!$I:$I,'领用录入（明细）'!$F:$F,C58,'领用录入（明细）'!$C:$C,"&gt;="&amp;$E$4,'领用录入（明细）'!$C:$C,"&lt;="&amp;$G$4)</f>
        <v>0</v>
      </c>
      <c r="G58" s="60">
        <f>IFERROR(VLOOKUP(C58,'基础-办公用品信息'!$C:$G,4,0),"-")</f>
        <v>0</v>
      </c>
      <c r="H58" s="60">
        <f>SUMIFS('领用录入（明细）'!K:K,'领用录入（明细）'!$F:$F,C58,'领用录入（明细）'!$C:$C,"&gt;="&amp;$E$4,'领用录入（明细）'!$C:$C,"&lt;="&amp;$G$4)</f>
        <v>0</v>
      </c>
      <c r="I58" s="46"/>
    </row>
    <row r="59" customHeight="1" spans="2:9">
      <c r="B59" s="59">
        <v>53</v>
      </c>
      <c r="C59" s="60" t="str">
        <f>IF('基础-办公用品信息'!C56="","-",'基础-办公用品信息'!C56)</f>
        <v>透明直尺40cm</v>
      </c>
      <c r="D59" s="60" t="str">
        <f>IF('基础-办公用品信息'!D56="","-",'基础-办公用品信息'!D56)</f>
        <v>把</v>
      </c>
      <c r="E59" s="60" t="e">
        <f>IF('基础-办公用品信息'!#REF!="","-",'基础-办公用品信息'!#REF!)</f>
        <v>#REF!</v>
      </c>
      <c r="F59" s="99">
        <f>SUMIFS('领用录入（明细）'!$I:$I,'领用录入（明细）'!$F:$F,C59,'领用录入（明细）'!$C:$C,"&gt;="&amp;$E$4,'领用录入（明细）'!$C:$C,"&lt;="&amp;$G$4)</f>
        <v>0</v>
      </c>
      <c r="G59" s="60">
        <f>IFERROR(VLOOKUP(C59,'基础-办公用品信息'!$C:$G,4,0),"-")</f>
        <v>0</v>
      </c>
      <c r="H59" s="60">
        <f>SUMIFS('领用录入（明细）'!K:K,'领用录入（明细）'!$F:$F,C59,'领用录入（明细）'!$C:$C,"&gt;="&amp;$E$4,'领用录入（明细）'!$C:$C,"&lt;="&amp;$G$4)</f>
        <v>0</v>
      </c>
      <c r="I59" s="46"/>
    </row>
    <row r="60" customHeight="1" spans="2:9">
      <c r="B60" s="59">
        <v>54</v>
      </c>
      <c r="C60" s="60" t="str">
        <f>IF('基础-办公用品信息'!C57="","-",'基础-办公用品信息'!C57)</f>
        <v>卷尺10m</v>
      </c>
      <c r="D60" s="60" t="str">
        <f>IF('基础-办公用品信息'!D57="","-",'基础-办公用品信息'!D57)</f>
        <v>个</v>
      </c>
      <c r="E60" s="60" t="e">
        <f>IF('基础-办公用品信息'!#REF!="","-",'基础-办公用品信息'!#REF!)</f>
        <v>#REF!</v>
      </c>
      <c r="F60" s="99">
        <f>SUMIFS('领用录入（明细）'!$I:$I,'领用录入（明细）'!$F:$F,C60,'领用录入（明细）'!$C:$C,"&gt;="&amp;$E$4,'领用录入（明细）'!$C:$C,"&lt;="&amp;$G$4)</f>
        <v>0</v>
      </c>
      <c r="G60" s="60">
        <f>IFERROR(VLOOKUP(C60,'基础-办公用品信息'!$C:$G,4,0),"-")</f>
        <v>0</v>
      </c>
      <c r="H60" s="60">
        <f>SUMIFS('领用录入（明细）'!K:K,'领用录入（明细）'!$F:$F,C60,'领用录入（明细）'!$C:$C,"&gt;="&amp;$E$4,'领用录入（明细）'!$C:$C,"&lt;="&amp;$G$4)</f>
        <v>0</v>
      </c>
      <c r="I60" s="46"/>
    </row>
    <row r="61" customHeight="1" spans="2:9">
      <c r="B61" s="59">
        <v>55</v>
      </c>
      <c r="C61" s="60" t="str">
        <f>IF('基础-办公用品信息'!C58="","-",'基础-办公用品信息'!C58)</f>
        <v>卷尺5m</v>
      </c>
      <c r="D61" s="60" t="str">
        <f>IF('基础-办公用品信息'!D58="","-",'基础-办公用品信息'!D58)</f>
        <v>个</v>
      </c>
      <c r="E61" s="60" t="str">
        <f>IF('基础-办公用品信息'!E49="","-",'基础-办公用品信息'!E49)</f>
        <v>-</v>
      </c>
      <c r="F61" s="99">
        <f>SUMIFS('领用录入（明细）'!$I:$I,'领用录入（明细）'!$F:$F,C61,'领用录入（明细）'!$C:$C,"&gt;="&amp;$E$4,'领用录入（明细）'!$C:$C,"&lt;="&amp;$G$4)</f>
        <v>0</v>
      </c>
      <c r="G61" s="60">
        <f>IFERROR(VLOOKUP(C61,'基础-办公用品信息'!$C:$G,4,0),"-")</f>
        <v>9</v>
      </c>
      <c r="H61" s="60">
        <f>SUMIFS('领用录入（明细）'!K:K,'领用录入（明细）'!$F:$F,C61,'领用录入（明细）'!$C:$C,"&gt;="&amp;$E$4,'领用录入（明细）'!$C:$C,"&lt;="&amp;$G$4)</f>
        <v>0</v>
      </c>
      <c r="I61" s="46"/>
    </row>
    <row r="62" customHeight="1" spans="2:9">
      <c r="B62" s="59">
        <v>56</v>
      </c>
      <c r="C62" s="60" t="str">
        <f>IF('基础-办公用品信息'!C59="","-",'基础-办公用品信息'!C59)</f>
        <v>卷尺2m</v>
      </c>
      <c r="D62" s="60" t="str">
        <f>IF('基础-办公用品信息'!D59="","-",'基础-办公用品信息'!D59)</f>
        <v>个</v>
      </c>
      <c r="E62" s="60" t="str">
        <f>IF('基础-办公用品信息'!E50="","-",'基础-办公用品信息'!E50)</f>
        <v>-</v>
      </c>
      <c r="F62" s="99">
        <f>SUMIFS('领用录入（明细）'!$I:$I,'领用录入（明细）'!$F:$F,C62,'领用录入（明细）'!$C:$C,"&gt;="&amp;$E$4,'领用录入（明细）'!$C:$C,"&lt;="&amp;$G$4)</f>
        <v>0</v>
      </c>
      <c r="G62" s="60">
        <f>IFERROR(VLOOKUP(C62,'基础-办公用品信息'!$C:$G,4,0),"-")</f>
        <v>0</v>
      </c>
      <c r="H62" s="60">
        <f>SUMIFS('领用录入（明细）'!K:K,'领用录入（明细）'!$F:$F,C62,'领用录入（明细）'!$C:$C,"&gt;="&amp;$E$4,'领用录入（明细）'!$C:$C,"&lt;="&amp;$G$4)</f>
        <v>0</v>
      </c>
      <c r="I62" s="46"/>
    </row>
    <row r="63" customHeight="1" spans="2:9">
      <c r="B63" s="59">
        <v>57</v>
      </c>
      <c r="C63" s="60" t="str">
        <f>IF('基础-办公用品信息'!C60="","-",'基础-办公用品信息'!C60)</f>
        <v>电池南孚5号</v>
      </c>
      <c r="D63" s="60" t="str">
        <f>IF('基础-办公用品信息'!D60="","-",'基础-办公用品信息'!D60)</f>
        <v>节</v>
      </c>
      <c r="E63" s="60" t="str">
        <f>IF('基础-办公用品信息'!E51="","-",'基础-办公用品信息'!E51)</f>
        <v>-</v>
      </c>
      <c r="F63" s="99">
        <f>SUMIFS('领用录入（明细）'!$I:$I,'领用录入（明细）'!$F:$F,C63,'领用录入（明细）'!$C:$C,"&gt;="&amp;$E$4,'领用录入（明细）'!$C:$C,"&lt;="&amp;$G$4)</f>
        <v>0</v>
      </c>
      <c r="G63" s="60">
        <f>IFERROR(VLOOKUP(C63,'基础-办公用品信息'!$C:$G,4,0),"-")</f>
        <v>2.1</v>
      </c>
      <c r="H63" s="60">
        <f>SUMIFS('领用录入（明细）'!K:K,'领用录入（明细）'!$F:$F,C63,'领用录入（明细）'!$C:$C,"&gt;="&amp;$E$4,'领用录入（明细）'!$C:$C,"&lt;="&amp;$G$4)</f>
        <v>0</v>
      </c>
      <c r="I63" s="46"/>
    </row>
    <row r="64" customHeight="1" spans="2:9">
      <c r="B64" s="59">
        <v>58</v>
      </c>
      <c r="C64" s="60" t="str">
        <f>IF('基础-办公用品信息'!C61="","-",'基础-办公用品信息'!C61)</f>
        <v>电池双鹿7号</v>
      </c>
      <c r="D64" s="60" t="str">
        <f>IF('基础-办公用品信息'!D61="","-",'基础-办公用品信息'!D61)</f>
        <v>节</v>
      </c>
      <c r="E64" s="60" t="str">
        <f>IF('基础-办公用品信息'!E52="","-",'基础-办公用品信息'!E52)</f>
        <v>-</v>
      </c>
      <c r="F64" s="99">
        <f>SUMIFS('领用录入（明细）'!$I:$I,'领用录入（明细）'!$F:$F,C64,'领用录入（明细）'!$C:$C,"&gt;="&amp;$E$4,'领用录入（明细）'!$C:$C,"&lt;="&amp;$G$4)</f>
        <v>0</v>
      </c>
      <c r="G64" s="60">
        <f>IFERROR(VLOOKUP(C64,'基础-办公用品信息'!$C:$G,4,0),"-")</f>
        <v>0</v>
      </c>
      <c r="H64" s="60">
        <f>SUMIFS('领用录入（明细）'!K:K,'领用录入（明细）'!$F:$F,C64,'领用录入（明细）'!$C:$C,"&gt;="&amp;$E$4,'领用录入（明细）'!$C:$C,"&lt;="&amp;$G$4)</f>
        <v>0</v>
      </c>
      <c r="I64" s="46"/>
    </row>
    <row r="65" customHeight="1" spans="2:9">
      <c r="B65" s="59">
        <v>59</v>
      </c>
      <c r="C65" s="60" t="str">
        <f>IF('基础-办公用品信息'!C62="","-",'基础-办公用品信息'!C62)</f>
        <v>电池南孚23A</v>
      </c>
      <c r="D65" s="60" t="str">
        <f>IF('基础-办公用品信息'!D62="","-",'基础-办公用品信息'!D62)</f>
        <v>节</v>
      </c>
      <c r="E65" s="60" t="str">
        <f>IF('基础-办公用品信息'!E53="","-",'基础-办公用品信息'!E53)</f>
        <v>-</v>
      </c>
      <c r="F65" s="99">
        <f>SUMIFS('领用录入（明细）'!$I:$I,'领用录入（明细）'!$F:$F,C65,'领用录入（明细）'!$C:$C,"&gt;="&amp;$E$4,'领用录入（明细）'!$C:$C,"&lt;="&amp;$G$4)</f>
        <v>0</v>
      </c>
      <c r="G65" s="60">
        <f>IFERROR(VLOOKUP(C65,'基础-办公用品信息'!$C:$G,4,0),"-")</f>
        <v>0</v>
      </c>
      <c r="H65" s="60">
        <f>SUMIFS('领用录入（明细）'!K:K,'领用录入（明细）'!$F:$F,C65,'领用录入（明细）'!$C:$C,"&gt;="&amp;$E$4,'领用录入（明细）'!$C:$C,"&lt;="&amp;$G$4)</f>
        <v>0</v>
      </c>
      <c r="I65" s="46"/>
    </row>
    <row r="66" customHeight="1" spans="2:9">
      <c r="B66" s="59">
        <v>60</v>
      </c>
      <c r="C66" s="60" t="str">
        <f>IF('基础-办公用品信息'!C63="","-",'基础-办公用品信息'!C63)</f>
        <v>电池南孚27A</v>
      </c>
      <c r="D66" s="60" t="str">
        <f>IF('基础-办公用品信息'!D63="","-",'基础-办公用品信息'!D63)</f>
        <v>节</v>
      </c>
      <c r="E66" s="60" t="str">
        <f>IF('基础-办公用品信息'!E54="","-",'基础-办公用品信息'!E54)</f>
        <v>-</v>
      </c>
      <c r="F66" s="99">
        <f>SUMIFS('领用录入（明细）'!$I:$I,'领用录入（明细）'!$F:$F,C66,'领用录入（明细）'!$C:$C,"&gt;="&amp;$E$4,'领用录入（明细）'!$C:$C,"&lt;="&amp;$G$4)</f>
        <v>0</v>
      </c>
      <c r="G66" s="60">
        <f>IFERROR(VLOOKUP(C66,'基础-办公用品信息'!$C:$G,4,0),"-")</f>
        <v>0</v>
      </c>
      <c r="H66" s="60">
        <f>SUMIFS('领用录入（明细）'!K:K,'领用录入（明细）'!$F:$F,C66,'领用录入（明细）'!$C:$C,"&gt;="&amp;$E$4,'领用录入（明细）'!$C:$C,"&lt;="&amp;$G$4)</f>
        <v>0</v>
      </c>
      <c r="I66" s="46"/>
    </row>
    <row r="67" customHeight="1" spans="2:9">
      <c r="B67" s="59">
        <v>61</v>
      </c>
      <c r="C67" s="60" t="str">
        <f>IF('基础-办公用品信息'!C64="","-",'基础-办公用品信息'!C64)</f>
        <v>彩色长尾票夹5851</v>
      </c>
      <c r="D67" s="60" t="str">
        <f>IF('基础-办公用品信息'!D64="","-",'基础-办公用品信息'!D64)</f>
        <v>盒</v>
      </c>
      <c r="E67" s="60" t="str">
        <f>IF('基础-办公用品信息'!E55="","-",'基础-办公用品信息'!E55)</f>
        <v>-</v>
      </c>
      <c r="F67" s="99">
        <f>SUMIFS('领用录入（明细）'!$I:$I,'领用录入（明细）'!$F:$F,C67,'领用录入（明细）'!$C:$C,"&gt;="&amp;$E$4,'领用录入（明细）'!$C:$C,"&lt;="&amp;$G$4)</f>
        <v>0</v>
      </c>
      <c r="G67" s="60">
        <f>IFERROR(VLOOKUP(C67,'基础-办公用品信息'!$C:$G,4,0),"-")</f>
        <v>11</v>
      </c>
      <c r="H67" s="60">
        <f>SUMIFS('领用录入（明细）'!K:K,'领用录入（明细）'!$F:$F,C67,'领用录入（明细）'!$C:$C,"&gt;="&amp;$E$4,'领用录入（明细）'!$C:$C,"&lt;="&amp;$G$4)</f>
        <v>0</v>
      </c>
      <c r="I67" s="46"/>
    </row>
    <row r="68" customHeight="1" spans="2:9">
      <c r="B68" s="59">
        <v>62</v>
      </c>
      <c r="C68" s="60" t="str">
        <f>IF('基础-办公用品信息'!C65="","-",'基础-办公用品信息'!C65)</f>
        <v>彩色长尾票5852</v>
      </c>
      <c r="D68" s="60" t="str">
        <f>IF('基础-办公用品信息'!D65="","-",'基础-办公用品信息'!D65)</f>
        <v>盒</v>
      </c>
      <c r="E68" s="60" t="str">
        <f>IF('基础-办公用品信息'!E56="","-",'基础-办公用品信息'!E56)</f>
        <v>-</v>
      </c>
      <c r="F68" s="99">
        <f>SUMIFS('领用录入（明细）'!$I:$I,'领用录入（明细）'!$F:$F,C68,'领用录入（明细）'!$C:$C,"&gt;="&amp;$E$4,'领用录入（明细）'!$C:$C,"&lt;="&amp;$G$4)</f>
        <v>0</v>
      </c>
      <c r="G68" s="60">
        <f>IFERROR(VLOOKUP(C68,'基础-办公用品信息'!$C:$G,4,0),"-")</f>
        <v>15</v>
      </c>
      <c r="H68" s="60">
        <f>SUMIFS('领用录入（明细）'!K:K,'领用录入（明细）'!$F:$F,C68,'领用录入（明细）'!$C:$C,"&gt;="&amp;$E$4,'领用录入（明细）'!$C:$C,"&lt;="&amp;$G$4)</f>
        <v>0</v>
      </c>
      <c r="I68" s="46"/>
    </row>
    <row r="69" customHeight="1" spans="2:9">
      <c r="B69" s="59">
        <v>63</v>
      </c>
      <c r="C69" s="60" t="str">
        <f>IF('基础-办公用品信息'!C66="","-",'基础-办公用品信息'!C66)</f>
        <v>彩色长尾票夹5854</v>
      </c>
      <c r="D69" s="60" t="str">
        <f>IF('基础-办公用品信息'!D66="","-",'基础-办公用品信息'!D66)</f>
        <v>盒</v>
      </c>
      <c r="E69" s="60" t="str">
        <f>IF('基础-办公用品信息'!E57="","-",'基础-办公用品信息'!E57)</f>
        <v>-</v>
      </c>
      <c r="F69" s="99">
        <f>SUMIFS('领用录入（明细）'!$I:$I,'领用录入（明细）'!$F:$F,C69,'领用录入（明细）'!$C:$C,"&gt;="&amp;$E$4,'领用录入（明细）'!$C:$C,"&lt;="&amp;$G$4)</f>
        <v>0</v>
      </c>
      <c r="G69" s="60">
        <f>IFERROR(VLOOKUP(C69,'基础-办公用品信息'!$C:$G,4,0),"-")</f>
        <v>13</v>
      </c>
      <c r="H69" s="60">
        <f>SUMIFS('领用录入（明细）'!K:K,'领用录入（明细）'!$F:$F,C69,'领用录入（明细）'!$C:$C,"&gt;="&amp;$E$4,'领用录入（明细）'!$C:$C,"&lt;="&amp;$G$4)</f>
        <v>0</v>
      </c>
      <c r="I69" s="46"/>
    </row>
    <row r="70" customHeight="1" spans="2:9">
      <c r="B70" s="59">
        <v>64</v>
      </c>
      <c r="C70" s="60" t="str">
        <f>IF('基础-办公用品信息'!C67="","-",'基础-办公用品信息'!C67)</f>
        <v>彩色长尾票夹5855</v>
      </c>
      <c r="D70" s="60" t="str">
        <f>IF('基础-办公用品信息'!D67="","-",'基础-办公用品信息'!D67)</f>
        <v>盒</v>
      </c>
      <c r="E70" s="60" t="str">
        <f>IF('基础-办公用品信息'!E58="","-",'基础-办公用品信息'!E58)</f>
        <v>-</v>
      </c>
      <c r="F70" s="99">
        <f>SUMIFS('领用录入（明细）'!$I:$I,'领用录入（明细）'!$F:$F,C70,'领用录入（明细）'!$C:$C,"&gt;="&amp;$E$4,'领用录入（明细）'!$C:$C,"&lt;="&amp;$G$4)</f>
        <v>0</v>
      </c>
      <c r="G70" s="60">
        <f>IFERROR(VLOOKUP(C70,'基础-办公用品信息'!$C:$G,4,0),"-")</f>
        <v>7</v>
      </c>
      <c r="H70" s="60">
        <f>SUMIFS('领用录入（明细）'!K:K,'领用录入（明细）'!$F:$F,C70,'领用录入（明细）'!$C:$C,"&gt;="&amp;$E$4,'领用录入（明细）'!$C:$C,"&lt;="&amp;$G$4)</f>
        <v>0</v>
      </c>
      <c r="I70" s="46"/>
    </row>
    <row r="71" customHeight="1" spans="2:9">
      <c r="B71" s="59">
        <v>65</v>
      </c>
      <c r="C71" s="60" t="str">
        <f>IF('基础-办公用品信息'!C68="","-",'基础-办公用品信息'!C68)</f>
        <v>彩色长尾票夹5856</v>
      </c>
      <c r="D71" s="60" t="str">
        <f>IF('基础-办公用品信息'!D68="","-",'基础-办公用品信息'!D68)</f>
        <v>盒</v>
      </c>
      <c r="E71" s="60" t="str">
        <f>IF('基础-办公用品信息'!E59="","-",'基础-办公用品信息'!E59)</f>
        <v>-</v>
      </c>
      <c r="F71" s="99">
        <f>SUMIFS('领用录入（明细）'!$I:$I,'领用录入（明细）'!$F:$F,C71,'领用录入（明细）'!$C:$C,"&gt;="&amp;$E$4,'领用录入（明细）'!$C:$C,"&lt;="&amp;$G$4)</f>
        <v>0</v>
      </c>
      <c r="G71" s="60">
        <f>IFERROR(VLOOKUP(C71,'基础-办公用品信息'!$C:$G,4,0),"-")</f>
        <v>8</v>
      </c>
      <c r="H71" s="60">
        <f>SUMIFS('领用录入（明细）'!K:K,'领用录入（明细）'!$F:$F,C71,'领用录入（明细）'!$C:$C,"&gt;="&amp;$E$4,'领用录入（明细）'!$C:$C,"&lt;="&amp;$G$4)</f>
        <v>0</v>
      </c>
      <c r="I71" s="46"/>
    </row>
    <row r="72" customHeight="1" spans="2:9">
      <c r="B72" s="59">
        <v>66</v>
      </c>
      <c r="C72" s="60" t="str">
        <f>IF('基础-办公用品信息'!C69="","-",'基础-办公用品信息'!C69)</f>
        <v>插座1.8m</v>
      </c>
      <c r="D72" s="60" t="str">
        <f>IF('基础-办公用品信息'!D69="","-",'基础-办公用品信息'!D69)</f>
        <v>个</v>
      </c>
      <c r="E72" s="60" t="e">
        <f>IF('基础-办公用品信息'!#REF!="","-",'基础-办公用品信息'!#REF!)</f>
        <v>#REF!</v>
      </c>
      <c r="F72" s="99">
        <f>SUMIFS('领用录入（明细）'!$I:$I,'领用录入（明细）'!$F:$F,C72,'领用录入（明细）'!$C:$C,"&gt;="&amp;$E$4,'领用录入（明细）'!$C:$C,"&lt;="&amp;$G$4)</f>
        <v>0</v>
      </c>
      <c r="G72" s="60">
        <f>IFERROR(VLOOKUP(C72,'基础-办公用品信息'!$C:$G,4,0),"-")</f>
        <v>26</v>
      </c>
      <c r="H72" s="60">
        <f>SUMIFS('领用录入（明细）'!K:K,'领用录入（明细）'!$F:$F,C72,'领用录入（明细）'!$C:$C,"&gt;="&amp;$E$4,'领用录入（明细）'!$C:$C,"&lt;="&amp;$G$4)</f>
        <v>0</v>
      </c>
      <c r="I72" s="46"/>
    </row>
    <row r="73" customHeight="1" spans="2:9">
      <c r="B73" s="59">
        <v>67</v>
      </c>
      <c r="C73" s="60" t="str">
        <f>IF('基础-办公用品信息'!C70="","-",'基础-办公用品信息'!C70)</f>
        <v>插座3m</v>
      </c>
      <c r="D73" s="60" t="str">
        <f>IF('基础-办公用品信息'!D70="","-",'基础-办公用品信息'!D70)</f>
        <v>个</v>
      </c>
      <c r="E73" s="60" t="e">
        <f>IF('基础-办公用品信息'!#REF!="","-",'基础-办公用品信息'!#REF!)</f>
        <v>#REF!</v>
      </c>
      <c r="F73" s="99">
        <f>SUMIFS('领用录入（明细）'!$I:$I,'领用录入（明细）'!$F:$F,C73,'领用录入（明细）'!$C:$C,"&gt;="&amp;$E$4,'领用录入（明细）'!$C:$C,"&lt;="&amp;$G$4)</f>
        <v>0</v>
      </c>
      <c r="G73" s="60">
        <f>IFERROR(VLOOKUP(C73,'基础-办公用品信息'!$C:$G,4,0),"-")</f>
        <v>59</v>
      </c>
      <c r="H73" s="60">
        <f>SUMIFS('领用录入（明细）'!K:K,'领用录入（明细）'!$F:$F,C73,'领用录入（明细）'!$C:$C,"&gt;="&amp;$E$4,'领用录入（明细）'!$C:$C,"&lt;="&amp;$G$4)</f>
        <v>0</v>
      </c>
      <c r="I73" s="46"/>
    </row>
    <row r="74" customHeight="1" spans="2:9">
      <c r="B74" s="59">
        <v>68</v>
      </c>
      <c r="C74" s="60" t="str">
        <f>IF('基础-办公用品信息'!C71="","-",'基础-办公用品信息'!C71)</f>
        <v>无线插头</v>
      </c>
      <c r="D74" s="60" t="str">
        <f>IF('基础-办公用品信息'!D71="","-",'基础-办公用品信息'!D71)</f>
        <v>个</v>
      </c>
      <c r="E74" s="60" t="str">
        <f>IF('基础-办公用品信息'!E60="","-",'基础-办公用品信息'!E60)</f>
        <v>-</v>
      </c>
      <c r="F74" s="99">
        <f>SUMIFS('领用录入（明细）'!$I:$I,'领用录入（明细）'!$F:$F,C74,'领用录入（明细）'!$C:$C,"&gt;="&amp;$E$4,'领用录入（明细）'!$C:$C,"&lt;="&amp;$G$4)</f>
        <v>0</v>
      </c>
      <c r="G74" s="60">
        <f>IFERROR(VLOOKUP(C74,'基础-办公用品信息'!$C:$G,4,0),"-")</f>
        <v>0</v>
      </c>
      <c r="H74" s="60">
        <f>SUMIFS('领用录入（明细）'!K:K,'领用录入（明细）'!$F:$F,C74,'领用录入（明细）'!$C:$C,"&gt;="&amp;$E$4,'领用录入（明细）'!$C:$C,"&lt;="&amp;$G$4)</f>
        <v>0</v>
      </c>
      <c r="I74" s="46"/>
    </row>
    <row r="75" customHeight="1" spans="2:9">
      <c r="B75" s="59">
        <v>69</v>
      </c>
      <c r="C75" s="60" t="str">
        <f>IF('基础-办公用品信息'!C72="","-",'基础-办公用品信息'!C72)</f>
        <v>印台红色</v>
      </c>
      <c r="D75" s="60" t="str">
        <f>IF('基础-办公用品信息'!D72="","-",'基础-办公用品信息'!D72)</f>
        <v>只</v>
      </c>
      <c r="E75" s="60" t="str">
        <f>IF('基础-办公用品信息'!E61="","-",'基础-办公用品信息'!E61)</f>
        <v>-</v>
      </c>
      <c r="F75" s="99">
        <f>SUMIFS('领用录入（明细）'!$I:$I,'领用录入（明细）'!$F:$F,C75,'领用录入（明细）'!$C:$C,"&gt;="&amp;$E$4,'领用录入（明细）'!$C:$C,"&lt;="&amp;$G$4)</f>
        <v>0</v>
      </c>
      <c r="G75" s="60">
        <f>IFERROR(VLOOKUP(C75,'基础-办公用品信息'!$C:$G,4,0),"-")</f>
        <v>0</v>
      </c>
      <c r="H75" s="60">
        <f>SUMIFS('领用录入（明细）'!K:K,'领用录入（明细）'!$F:$F,C75,'领用录入（明细）'!$C:$C,"&gt;="&amp;$E$4,'领用录入（明细）'!$C:$C,"&lt;="&amp;$G$4)</f>
        <v>0</v>
      </c>
      <c r="I75" s="46"/>
    </row>
    <row r="76" customHeight="1" spans="2:9">
      <c r="B76" s="59">
        <v>70</v>
      </c>
      <c r="C76" s="60" t="str">
        <f>IF('基础-办公用品信息'!C73="","-",'基础-办公用品信息'!C73)</f>
        <v>印台蓝色</v>
      </c>
      <c r="D76" s="60" t="str">
        <f>IF('基础-办公用品信息'!D73="","-",'基础-办公用品信息'!D73)</f>
        <v>只</v>
      </c>
      <c r="E76" s="60" t="str">
        <f>IF('基础-办公用品信息'!E62="","-",'基础-办公用品信息'!E62)</f>
        <v>-</v>
      </c>
      <c r="F76" s="99">
        <f>SUMIFS('领用录入（明细）'!$I:$I,'领用录入（明细）'!$F:$F,C76,'领用录入（明细）'!$C:$C,"&gt;="&amp;$E$4,'领用录入（明细）'!$C:$C,"&lt;="&amp;$G$4)</f>
        <v>0</v>
      </c>
      <c r="G76" s="60">
        <f>IFERROR(VLOOKUP(C76,'基础-办公用品信息'!$C:$G,4,0),"-")</f>
        <v>0</v>
      </c>
      <c r="H76" s="60">
        <f>SUMIFS('领用录入（明细）'!K:K,'领用录入（明细）'!$F:$F,C76,'领用录入（明细）'!$C:$C,"&gt;="&amp;$E$4,'领用录入（明细）'!$C:$C,"&lt;="&amp;$G$4)</f>
        <v>0</v>
      </c>
      <c r="I76" s="46"/>
    </row>
    <row r="77" customHeight="1" spans="2:9">
      <c r="B77" s="59">
        <v>71</v>
      </c>
      <c r="C77" s="60" t="str">
        <f>IF('基础-办公用品信息'!C74="","-",'基础-办公用品信息'!C74)</f>
        <v>透明胶带小卷</v>
      </c>
      <c r="D77" s="60" t="str">
        <f>IF('基础-办公用品信息'!D74="","-",'基础-办公用品信息'!D74)</f>
        <v>卷</v>
      </c>
      <c r="E77" s="60" t="str">
        <f>IF('基础-办公用品信息'!E63="","-",'基础-办公用品信息'!E63)</f>
        <v>-</v>
      </c>
      <c r="F77" s="99">
        <f>SUMIFS('领用录入（明细）'!$I:$I,'领用录入（明细）'!$F:$F,C77,'领用录入（明细）'!$C:$C,"&gt;="&amp;$E$4,'领用录入（明细）'!$C:$C,"&lt;="&amp;$G$4)</f>
        <v>0</v>
      </c>
      <c r="G77" s="60">
        <f>IFERROR(VLOOKUP(C77,'基础-办公用品信息'!$C:$G,4,0),"-")</f>
        <v>5</v>
      </c>
      <c r="H77" s="60">
        <f>SUMIFS('领用录入（明细）'!K:K,'领用录入（明细）'!$F:$F,C77,'领用录入（明细）'!$C:$C,"&gt;="&amp;$E$4,'领用录入（明细）'!$C:$C,"&lt;="&amp;$G$4)</f>
        <v>0</v>
      </c>
      <c r="I77" s="46"/>
    </row>
    <row r="78" customHeight="1" spans="2:9">
      <c r="B78" s="59">
        <v>72</v>
      </c>
      <c r="C78" s="60" t="str">
        <f>IF('基础-办公用品信息'!C75="","-",'基础-办公用品信息'!C75)</f>
        <v>封箱胶带</v>
      </c>
      <c r="D78" s="60" t="str">
        <f>IF('基础-办公用品信息'!D75="","-",'基础-办公用品信息'!D75)</f>
        <v>筒</v>
      </c>
      <c r="E78" s="60" t="str">
        <f>IF('基础-办公用品信息'!E64="","-",'基础-办公用品信息'!E64)</f>
        <v>-</v>
      </c>
      <c r="F78" s="99">
        <f>SUMIFS('领用录入（明细）'!$I:$I,'领用录入（明细）'!$F:$F,C78,'领用录入（明细）'!$C:$C,"&gt;="&amp;$E$4,'领用录入（明细）'!$C:$C,"&lt;="&amp;$G$4)</f>
        <v>0</v>
      </c>
      <c r="G78" s="60">
        <f>IFERROR(VLOOKUP(C78,'基础-办公用品信息'!$C:$G,4,0),"-")</f>
        <v>7</v>
      </c>
      <c r="H78" s="60">
        <f>SUMIFS('领用录入（明细）'!K:K,'领用录入（明细）'!$F:$F,C78,'领用录入（明细）'!$C:$C,"&gt;="&amp;$E$4,'领用录入（明细）'!$C:$C,"&lt;="&amp;$G$4)</f>
        <v>0</v>
      </c>
      <c r="I78" s="46"/>
    </row>
    <row r="79" customHeight="1" spans="2:9">
      <c r="B79" s="59">
        <v>73</v>
      </c>
      <c r="C79" s="60" t="str">
        <f>IF('基础-办公用品信息'!C76="","-",'基础-办公用品信息'!C76)</f>
        <v>双面胶带宽</v>
      </c>
      <c r="D79" s="60" t="str">
        <f>IF('基础-办公用品信息'!D76="","-",'基础-办公用品信息'!D76)</f>
        <v>卷</v>
      </c>
      <c r="E79" s="60" t="str">
        <f>IF('基础-办公用品信息'!E65="","-",'基础-办公用品信息'!E65)</f>
        <v>-</v>
      </c>
      <c r="F79" s="99">
        <f>SUMIFS('领用录入（明细）'!$I:$I,'领用录入（明细）'!$F:$F,C79,'领用录入（明细）'!$C:$C,"&gt;="&amp;$E$4,'领用录入（明细）'!$C:$C,"&lt;="&amp;$G$4)</f>
        <v>0</v>
      </c>
      <c r="G79" s="60">
        <f>IFERROR(VLOOKUP(C79,'基础-办公用品信息'!$C:$G,4,0),"-")</f>
        <v>20</v>
      </c>
      <c r="H79" s="60">
        <f>SUMIFS('领用录入（明细）'!K:K,'领用录入（明细）'!$F:$F,C79,'领用录入（明细）'!$C:$C,"&gt;="&amp;$E$4,'领用录入（明细）'!$C:$C,"&lt;="&amp;$G$4)</f>
        <v>0</v>
      </c>
      <c r="I79" s="46"/>
    </row>
    <row r="80" customHeight="1" spans="2:9">
      <c r="B80" s="59">
        <v>74</v>
      </c>
      <c r="C80" s="60" t="str">
        <f>IF('基础-办公用品信息'!C77="","-",'基础-办公用品信息'!C77)</f>
        <v>泡沫胶带</v>
      </c>
      <c r="D80" s="60" t="str">
        <f>IF('基础-办公用品信息'!D77="","-",'基础-办公用品信息'!D77)</f>
        <v>卷</v>
      </c>
      <c r="E80" s="60" t="str">
        <f>IF('基础-办公用品信息'!E66="","-",'基础-办公用品信息'!E66)</f>
        <v>-</v>
      </c>
      <c r="F80" s="99">
        <f>SUMIFS('领用录入（明细）'!$I:$I,'领用录入（明细）'!$F:$F,C80,'领用录入（明细）'!$C:$C,"&gt;="&amp;$E$4,'领用录入（明细）'!$C:$C,"&lt;="&amp;$G$4)</f>
        <v>0</v>
      </c>
      <c r="G80" s="60">
        <f>IFERROR(VLOOKUP(C80,'基础-办公用品信息'!$C:$G,4,0),"-")</f>
        <v>0</v>
      </c>
      <c r="H80" s="60">
        <f>SUMIFS('领用录入（明细）'!K:K,'领用录入（明细）'!$F:$F,C80,'领用录入（明细）'!$C:$C,"&gt;="&amp;$E$4,'领用录入（明细）'!$C:$C,"&lt;="&amp;$G$4)</f>
        <v>0</v>
      </c>
      <c r="I80" s="46"/>
    </row>
    <row r="81" customHeight="1" spans="2:9">
      <c r="B81" s="59">
        <v>75</v>
      </c>
      <c r="C81" s="60" t="str">
        <f>IF('基础-办公用品信息'!C78="","-",'基础-办公用品信息'!C78)</f>
        <v>便利贴76*76mm</v>
      </c>
      <c r="D81" s="60" t="str">
        <f>IF('基础-办公用品信息'!D78="","-",'基础-办公用品信息'!D78)</f>
        <v>包</v>
      </c>
      <c r="E81" s="60" t="str">
        <f>IF('基础-办公用品信息'!E67="","-",'基础-办公用品信息'!E67)</f>
        <v>-</v>
      </c>
      <c r="F81" s="99">
        <f>SUMIFS('领用录入（明细）'!$I:$I,'领用录入（明细）'!$F:$F,C81,'领用录入（明细）'!$C:$C,"&gt;="&amp;$E$4,'领用录入（明细）'!$C:$C,"&lt;="&amp;$G$4)</f>
        <v>0</v>
      </c>
      <c r="G81" s="60">
        <f>IFERROR(VLOOKUP(C81,'基础-办公用品信息'!$C:$G,4,0),"-")</f>
        <v>2</v>
      </c>
      <c r="H81" s="60">
        <f>SUMIFS('领用录入（明细）'!K:K,'领用录入（明细）'!$F:$F,C81,'领用录入（明细）'!$C:$C,"&gt;="&amp;$E$4,'领用录入（明细）'!$C:$C,"&lt;="&amp;$G$4)</f>
        <v>0</v>
      </c>
      <c r="I81" s="46"/>
    </row>
    <row r="82" customHeight="1" spans="2:9">
      <c r="B82" s="59">
        <v>76</v>
      </c>
      <c r="C82" s="60" t="str">
        <f>IF('基础-办公用品信息'!C79="","-",'基础-办公用品信息'!C79)</f>
        <v>自粘性标签（大）</v>
      </c>
      <c r="D82" s="60" t="str">
        <f>IF('基础-办公用品信息'!D79="","-",'基础-办公用品信息'!D79)</f>
        <v>本</v>
      </c>
      <c r="E82" s="60" t="str">
        <f>IF('基础-办公用品信息'!E68="","-",'基础-办公用品信息'!E68)</f>
        <v>-</v>
      </c>
      <c r="F82" s="99">
        <f>SUMIFS('领用录入（明细）'!$I:$I,'领用录入（明细）'!$F:$F,C82,'领用录入（明细）'!$C:$C,"&gt;="&amp;$E$4,'领用录入（明细）'!$C:$C,"&lt;="&amp;$G$4)</f>
        <v>0</v>
      </c>
      <c r="G82" s="60">
        <f>IFERROR(VLOOKUP(C82,'基础-办公用品信息'!$C:$G,4,0),"-")</f>
        <v>0</v>
      </c>
      <c r="H82" s="60">
        <f>SUMIFS('领用录入（明细）'!K:K,'领用录入（明细）'!$F:$F,C82,'领用录入（明细）'!$C:$C,"&gt;="&amp;$E$4,'领用录入（明细）'!$C:$C,"&lt;="&amp;$G$4)</f>
        <v>0</v>
      </c>
      <c r="I82" s="46"/>
    </row>
    <row r="83" customHeight="1" spans="2:9">
      <c r="B83" s="59">
        <v>77</v>
      </c>
      <c r="C83" s="60" t="str">
        <f>IF('基础-办公用品信息'!C80="","-",'基础-办公用品信息'!C80)</f>
        <v>便利贴四色76*19mm</v>
      </c>
      <c r="D83" s="60" t="str">
        <f>IF('基础-办公用品信息'!D80="","-",'基础-办公用品信息'!D80)</f>
        <v>包</v>
      </c>
      <c r="E83" s="60" t="str">
        <f>IF('基础-办公用品信息'!E69="","-",'基础-办公用品信息'!E69)</f>
        <v>-</v>
      </c>
      <c r="F83" s="99">
        <f>SUMIFS('领用录入（明细）'!$I:$I,'领用录入（明细）'!$F:$F,C83,'领用录入（明细）'!$C:$C,"&gt;="&amp;$E$4,'领用录入（明细）'!$C:$C,"&lt;="&amp;$G$4)</f>
        <v>0</v>
      </c>
      <c r="G83" s="60">
        <f>IFERROR(VLOOKUP(C83,'基础-办公用品信息'!$C:$G,4,0),"-")</f>
        <v>0</v>
      </c>
      <c r="H83" s="60">
        <f>SUMIFS('领用录入（明细）'!K:K,'领用录入（明细）'!$F:$F,C83,'领用录入（明细）'!$C:$C,"&gt;="&amp;$E$4,'领用录入（明细）'!$C:$C,"&lt;="&amp;$G$4)</f>
        <v>0</v>
      </c>
      <c r="I83" s="46"/>
    </row>
    <row r="84" customHeight="1" spans="2:9">
      <c r="B84" s="59">
        <v>78</v>
      </c>
      <c r="C84" s="60" t="str">
        <f>IF('基础-办公用品信息'!C81="","-",'基础-办公用品信息'!C81)</f>
        <v>便利贴76*51mm</v>
      </c>
      <c r="D84" s="60" t="str">
        <f>IF('基础-办公用品信息'!D81="","-",'基础-办公用品信息'!D81)</f>
        <v>包</v>
      </c>
      <c r="E84" s="60" t="str">
        <f>IF('基础-办公用品信息'!E70="","-",'基础-办公用品信息'!E70)</f>
        <v>-</v>
      </c>
      <c r="F84" s="99">
        <f>SUMIFS('领用录入（明细）'!$I:$I,'领用录入（明细）'!$F:$F,C84,'领用录入（明细）'!$C:$C,"&gt;="&amp;$E$4,'领用录入（明细）'!$C:$C,"&lt;="&amp;$G$4)</f>
        <v>0</v>
      </c>
      <c r="G84" s="60">
        <f>IFERROR(VLOOKUP(C84,'基础-办公用品信息'!$C:$G,4,0),"-")</f>
        <v>0</v>
      </c>
      <c r="H84" s="60">
        <f>SUMIFS('领用录入（明细）'!K:K,'领用录入（明细）'!$F:$F,C84,'领用录入（明细）'!$C:$C,"&gt;="&amp;$E$4,'领用录入（明细）'!$C:$C,"&lt;="&amp;$G$4)</f>
        <v>0</v>
      </c>
      <c r="I84" s="46"/>
    </row>
    <row r="85" customHeight="1" spans="2:9">
      <c r="B85" s="59">
        <v>79</v>
      </c>
      <c r="C85" s="60" t="str">
        <f>IF('基础-办公用品信息'!C82="","-",'基础-办公用品信息'!C82)</f>
        <v>自粘性标签（小）</v>
      </c>
      <c r="D85" s="60" t="str">
        <f>IF('基础-办公用品信息'!D82="","-",'基础-办公用品信息'!D82)</f>
        <v>包</v>
      </c>
      <c r="E85" s="60" t="e">
        <f>IF('基础-办公用品信息'!#REF!="","-",'基础-办公用品信息'!#REF!)</f>
        <v>#REF!</v>
      </c>
      <c r="F85" s="99">
        <f>SUMIFS('领用录入（明细）'!$I:$I,'领用录入（明细）'!$F:$F,C85,'领用录入（明细）'!$C:$C,"&gt;="&amp;$E$4,'领用录入（明细）'!$C:$C,"&lt;="&amp;$G$4)</f>
        <v>0</v>
      </c>
      <c r="G85" s="60">
        <f>IFERROR(VLOOKUP(C85,'基础-办公用品信息'!$C:$G,4,0),"-")</f>
        <v>0</v>
      </c>
      <c r="H85" s="60">
        <f>SUMIFS('领用录入（明细）'!K:K,'领用录入（明细）'!$F:$F,C85,'领用录入（明细）'!$C:$C,"&gt;="&amp;$E$4,'领用录入（明细）'!$C:$C,"&lt;="&amp;$G$4)</f>
        <v>0</v>
      </c>
      <c r="I85" s="46"/>
    </row>
    <row r="86" customHeight="1" spans="2:9">
      <c r="B86" s="59">
        <v>80</v>
      </c>
      <c r="C86" s="60" t="str">
        <f>IF('基础-办公用品信息'!C83="","-",'基础-办公用品信息'!C83)</f>
        <v>用款申请单</v>
      </c>
      <c r="D86" s="60" t="str">
        <f>IF('基础-办公用品信息'!D83="","-",'基础-办公用品信息'!D83)</f>
        <v>本</v>
      </c>
      <c r="E86" s="60" t="str">
        <f>IF('基础-办公用品信息'!E71="","-",'基础-办公用品信息'!E71)</f>
        <v>-</v>
      </c>
      <c r="F86" s="99">
        <f>SUMIFS('领用录入（明细）'!$I:$I,'领用录入（明细）'!$F:$F,C86,'领用录入（明细）'!$C:$C,"&gt;="&amp;$E$4,'领用录入（明细）'!$C:$C,"&lt;="&amp;$G$4)</f>
        <v>0</v>
      </c>
      <c r="G86" s="60">
        <f>IFERROR(VLOOKUP(C86,'基础-办公用品信息'!$C:$G,4,0),"-")</f>
        <v>0</v>
      </c>
      <c r="H86" s="60">
        <f>SUMIFS('领用录入（明细）'!K:K,'领用录入（明细）'!$F:$F,C86,'领用录入（明细）'!$C:$C,"&gt;="&amp;$E$4,'领用录入（明细）'!$C:$C,"&lt;="&amp;$G$4)</f>
        <v>0</v>
      </c>
      <c r="I86" s="46"/>
    </row>
    <row r="87" customHeight="1" spans="2:9">
      <c r="B87" s="59">
        <v>81</v>
      </c>
      <c r="C87" s="60" t="str">
        <f>IF('基础-办公用品信息'!C84="","-",'基础-办公用品信息'!C84)</f>
        <v>收据三联</v>
      </c>
      <c r="D87" s="60" t="str">
        <f>IF('基础-办公用品信息'!D84="","-",'基础-办公用品信息'!D84)</f>
        <v>本</v>
      </c>
      <c r="E87" s="60" t="str">
        <f>IF('基础-办公用品信息'!E72="","-",'基础-办公用品信息'!E72)</f>
        <v>-</v>
      </c>
      <c r="F87" s="99">
        <f>SUMIFS('领用录入（明细）'!$I:$I,'领用录入（明细）'!$F:$F,C87,'领用录入（明细）'!$C:$C,"&gt;="&amp;$E$4,'领用录入（明细）'!$C:$C,"&lt;="&amp;$G$4)</f>
        <v>0</v>
      </c>
      <c r="G87" s="60">
        <f>IFERROR(VLOOKUP(C87,'基础-办公用品信息'!$C:$G,4,0),"-")</f>
        <v>1.5</v>
      </c>
      <c r="H87" s="60">
        <f>SUMIFS('领用录入（明细）'!K:K,'领用录入（明细）'!$F:$F,C87,'领用录入（明细）'!$C:$C,"&gt;="&amp;$E$4,'领用录入（明细）'!$C:$C,"&lt;="&amp;$G$4)</f>
        <v>0</v>
      </c>
      <c r="I87" s="46"/>
    </row>
    <row r="88" customHeight="1" spans="2:9">
      <c r="B88" s="59">
        <v>82</v>
      </c>
      <c r="C88" s="60" t="str">
        <f>IF('基础-办公用品信息'!C85="","-",'基础-办公用品信息'!C85)</f>
        <v>入库单两联</v>
      </c>
      <c r="D88" s="60" t="str">
        <f>IF('基础-办公用品信息'!D85="","-",'基础-办公用品信息'!D85)</f>
        <v>本</v>
      </c>
      <c r="E88" s="60" t="str">
        <f>IF('基础-办公用品信息'!E73="","-",'基础-办公用品信息'!E73)</f>
        <v>-</v>
      </c>
      <c r="F88" s="99">
        <f>SUMIFS('领用录入（明细）'!$I:$I,'领用录入（明细）'!$F:$F,C88,'领用录入（明细）'!$C:$C,"&gt;="&amp;$E$4,'领用录入（明细）'!$C:$C,"&lt;="&amp;$G$4)</f>
        <v>0</v>
      </c>
      <c r="G88" s="60">
        <f>IFERROR(VLOOKUP(C88,'基础-办公用品信息'!$C:$G,4,0),"-")</f>
        <v>0</v>
      </c>
      <c r="H88" s="60">
        <f>SUMIFS('领用录入（明细）'!K:K,'领用录入（明细）'!$F:$F,C88,'领用录入（明细）'!$C:$C,"&gt;="&amp;$E$4,'领用录入（明细）'!$C:$C,"&lt;="&amp;$G$4)</f>
        <v>0</v>
      </c>
      <c r="I88" s="46"/>
    </row>
    <row r="89" customHeight="1" spans="2:9">
      <c r="B89" s="59">
        <v>83</v>
      </c>
      <c r="C89" s="60" t="str">
        <f>IF('基础-办公用品信息'!C86="","-",'基础-办公用品信息'!C86)</f>
        <v>出库单三联</v>
      </c>
      <c r="D89" s="60" t="str">
        <f>IF('基础-办公用品信息'!D86="","-",'基础-办公用品信息'!D86)</f>
        <v>本</v>
      </c>
      <c r="E89" s="60" t="str">
        <f>IF('基础-办公用品信息'!E74="","-",'基础-办公用品信息'!E74)</f>
        <v>-</v>
      </c>
      <c r="F89" s="99">
        <f>SUMIFS('领用录入（明细）'!$I:$I,'领用录入（明细）'!$F:$F,C89,'领用录入（明细）'!$C:$C,"&gt;="&amp;$E$4,'领用录入（明细）'!$C:$C,"&lt;="&amp;$G$4)</f>
        <v>0</v>
      </c>
      <c r="G89" s="60">
        <f>IFERROR(VLOOKUP(C89,'基础-办公用品信息'!$C:$G,4,0),"-")</f>
        <v>0</v>
      </c>
      <c r="H89" s="60">
        <f>SUMIFS('领用录入（明细）'!K:K,'领用录入（明细）'!$F:$F,C89,'领用录入（明细）'!$C:$C,"&gt;="&amp;$E$4,'领用录入（明细）'!$C:$C,"&lt;="&amp;$G$4)</f>
        <v>0</v>
      </c>
      <c r="I89" s="46"/>
    </row>
    <row r="90" customHeight="1" spans="2:9">
      <c r="B90" s="59">
        <v>84</v>
      </c>
      <c r="C90" s="60" t="str">
        <f>IF('基础-办公用品信息'!C87="","-",'基础-办公用品信息'!C87)</f>
        <v>单据凭证</v>
      </c>
      <c r="D90" s="60" t="str">
        <f>IF('基础-办公用品信息'!D87="","-",'基础-办公用品信息'!D87)</f>
        <v>本</v>
      </c>
      <c r="E90" s="60" t="str">
        <f>IF('基础-办公用品信息'!E75="","-",'基础-办公用品信息'!E75)</f>
        <v>-</v>
      </c>
      <c r="F90" s="99">
        <f>SUMIFS('领用录入（明细）'!$I:$I,'领用录入（明细）'!$F:$F,C90,'领用录入（明细）'!$C:$C,"&gt;="&amp;$E$4,'领用录入（明细）'!$C:$C,"&lt;="&amp;$G$4)</f>
        <v>0</v>
      </c>
      <c r="G90" s="60">
        <f>IFERROR(VLOOKUP(C90,'基础-办公用品信息'!$C:$G,4,0),"-")</f>
        <v>0</v>
      </c>
      <c r="H90" s="60">
        <f>SUMIFS('领用录入（明细）'!K:K,'领用录入（明细）'!$F:$F,C90,'领用录入（明细）'!$C:$C,"&gt;="&amp;$E$4,'领用录入（明细）'!$C:$C,"&lt;="&amp;$G$4)</f>
        <v>0</v>
      </c>
      <c r="I90" s="46"/>
    </row>
    <row r="91" customHeight="1" spans="2:9">
      <c r="B91" s="59">
        <v>85</v>
      </c>
      <c r="C91" s="60" t="str">
        <f>IF('基础-办公用品信息'!C88="","-",'基础-办公用品信息'!C88)</f>
        <v>罚款单</v>
      </c>
      <c r="D91" s="60" t="str">
        <f>IF('基础-办公用品信息'!D88="","-",'基础-办公用品信息'!D88)</f>
        <v>本</v>
      </c>
      <c r="E91" s="60" t="str">
        <f>IF('基础-办公用品信息'!E76="","-",'基础-办公用品信息'!E76)</f>
        <v>-</v>
      </c>
      <c r="F91" s="99">
        <f>SUMIFS('领用录入（明细）'!$I:$I,'领用录入（明细）'!$F:$F,C91,'领用录入（明细）'!$C:$C,"&gt;="&amp;$E$4,'领用录入（明细）'!$C:$C,"&lt;="&amp;$G$4)</f>
        <v>0</v>
      </c>
      <c r="G91" s="60">
        <f>IFERROR(VLOOKUP(C91,'基础-办公用品信息'!$C:$G,4,0),"-")</f>
        <v>0</v>
      </c>
      <c r="H91" s="60">
        <f>SUMIFS('领用录入（明细）'!K:K,'领用录入（明细）'!$F:$F,C91,'领用录入（明细）'!$C:$C,"&gt;="&amp;$E$4,'领用录入（明细）'!$C:$C,"&lt;="&amp;$G$4)</f>
        <v>0</v>
      </c>
      <c r="I91" s="46"/>
    </row>
    <row r="92" customHeight="1" spans="2:9">
      <c r="B92" s="59">
        <v>86</v>
      </c>
      <c r="C92" s="60" t="str">
        <f>IF('基础-办公用品信息'!C89="","-",'基础-办公用品信息'!C89)</f>
        <v>定制信笺本A5</v>
      </c>
      <c r="D92" s="60" t="str">
        <f>IF('基础-办公用品信息'!D89="","-",'基础-办公用品信息'!D89)</f>
        <v>本</v>
      </c>
      <c r="E92" s="60" t="e">
        <f>IF('基础-办公用品信息'!#REF!="","-",'基础-办公用品信息'!#REF!)</f>
        <v>#REF!</v>
      </c>
      <c r="F92" s="99">
        <f>SUMIFS('领用录入（明细）'!$I:$I,'领用录入（明细）'!$F:$F,C92,'领用录入（明细）'!$C:$C,"&gt;="&amp;$E$4,'领用录入（明细）'!$C:$C,"&lt;="&amp;$G$4)</f>
        <v>0</v>
      </c>
      <c r="G92" s="60">
        <f>IFERROR(VLOOKUP(C92,'基础-办公用品信息'!$C:$G,4,0),"-")</f>
        <v>0</v>
      </c>
      <c r="H92" s="60">
        <f>SUMIFS('领用录入（明细）'!K:K,'领用录入（明细）'!$F:$F,C92,'领用录入（明细）'!$C:$C,"&gt;="&amp;$E$4,'领用录入（明细）'!$C:$C,"&lt;="&amp;$G$4)</f>
        <v>0</v>
      </c>
      <c r="I92" s="46"/>
    </row>
    <row r="93" customHeight="1" spans="2:9">
      <c r="B93" s="59">
        <v>87</v>
      </c>
      <c r="C93" s="60" t="str">
        <f>IF('基础-办公用品信息'!C90="","-",'基础-办公用品信息'!C90)</f>
        <v>定制信笺本A4</v>
      </c>
      <c r="D93" s="60" t="str">
        <f>IF('基础-办公用品信息'!D90="","-",'基础-办公用品信息'!D90)</f>
        <v>本</v>
      </c>
      <c r="E93" s="60" t="str">
        <f>IF('基础-办公用品信息'!E77="","-",'基础-办公用品信息'!E77)</f>
        <v>-</v>
      </c>
      <c r="F93" s="99">
        <f>SUMIFS('领用录入（明细）'!$I:$I,'领用录入（明细）'!$F:$F,C93,'领用录入（明细）'!$C:$C,"&gt;="&amp;$E$4,'领用录入（明细）'!$C:$C,"&lt;="&amp;$G$4)</f>
        <v>0</v>
      </c>
      <c r="G93" s="60">
        <f>IFERROR(VLOOKUP(C93,'基础-办公用品信息'!$C:$G,4,0),"-")</f>
        <v>0</v>
      </c>
      <c r="H93" s="60">
        <f>SUMIFS('领用录入（明细）'!K:K,'领用录入（明细）'!$F:$F,C93,'领用录入（明细）'!$C:$C,"&gt;="&amp;$E$4,'领用录入（明细）'!$C:$C,"&lt;="&amp;$G$4)</f>
        <v>0</v>
      </c>
      <c r="I93" s="46"/>
    </row>
    <row r="94" customHeight="1" spans="2:9">
      <c r="B94" s="59">
        <v>88</v>
      </c>
      <c r="C94" s="60" t="str">
        <f>IF('基础-办公用品信息'!C91="","-",'基础-办公用品信息'!C91)</f>
        <v>工作牌</v>
      </c>
      <c r="D94" s="60" t="str">
        <f>IF('基础-办公用品信息'!D91="","-",'基础-办公用品信息'!D91)</f>
        <v>个</v>
      </c>
      <c r="E94" s="60" t="str">
        <f>IF('基础-办公用品信息'!E78="","-",'基础-办公用品信息'!E78)</f>
        <v>-</v>
      </c>
      <c r="F94" s="99">
        <f>SUMIFS('领用录入（明细）'!$I:$I,'领用录入（明细）'!$F:$F,C94,'领用录入（明细）'!$C:$C,"&gt;="&amp;$E$4,'领用录入（明细）'!$C:$C,"&lt;="&amp;$G$4)</f>
        <v>0</v>
      </c>
      <c r="G94" s="60">
        <f>IFERROR(VLOOKUP(C94,'基础-办公用品信息'!$C:$G,4,0),"-")</f>
        <v>0</v>
      </c>
      <c r="H94" s="60">
        <f>SUMIFS('领用录入（明细）'!K:K,'领用录入（明细）'!$F:$F,C94,'领用录入（明细）'!$C:$C,"&gt;="&amp;$E$4,'领用录入（明细）'!$C:$C,"&lt;="&amp;$G$4)</f>
        <v>0</v>
      </c>
      <c r="I94" s="46"/>
    </row>
    <row r="95" customHeight="1" spans="2:9">
      <c r="B95" s="59">
        <v>89</v>
      </c>
      <c r="C95" s="60" t="str">
        <f>IF('基础-办公用品信息'!C92="","-",'基础-办公用品信息'!C92)</f>
        <v>透明口罩</v>
      </c>
      <c r="D95" s="60" t="str">
        <f>IF('基础-办公用品信息'!D92="","-",'基础-办公用品信息'!D92)</f>
        <v>个</v>
      </c>
      <c r="E95" s="60" t="str">
        <f>IF('基础-办公用品信息'!E79="","-",'基础-办公用品信息'!E79)</f>
        <v>-</v>
      </c>
      <c r="F95" s="99">
        <f>SUMIFS('领用录入（明细）'!$I:$I,'领用录入（明细）'!$F:$F,C95,'领用录入（明细）'!$C:$C,"&gt;="&amp;$E$4,'领用录入（明细）'!$C:$C,"&lt;="&amp;$G$4)</f>
        <v>0</v>
      </c>
      <c r="G95" s="60">
        <f>IFERROR(VLOOKUP(C95,'基础-办公用品信息'!$C:$G,4,0),"-")</f>
        <v>0</v>
      </c>
      <c r="H95" s="60">
        <f>SUMIFS('领用录入（明细）'!K:K,'领用录入（明细）'!$F:$F,C95,'领用录入（明细）'!$C:$C,"&gt;="&amp;$E$4,'领用录入（明细）'!$C:$C,"&lt;="&amp;$G$4)</f>
        <v>0</v>
      </c>
      <c r="I95" s="46"/>
    </row>
    <row r="96" customHeight="1" spans="2:9">
      <c r="B96" s="59">
        <v>90</v>
      </c>
      <c r="C96" s="60" t="str">
        <f>IF('基础-办公用品信息'!C93="","-",'基础-办公用品信息'!C93)</f>
        <v>蓝色口罩</v>
      </c>
      <c r="D96" s="60" t="str">
        <f>IF('基础-办公用品信息'!D93="","-",'基础-办公用品信息'!D93)</f>
        <v>包</v>
      </c>
      <c r="E96" s="60" t="str">
        <f>IF('基础-办公用品信息'!E80="","-",'基础-办公用品信息'!E80)</f>
        <v>-</v>
      </c>
      <c r="F96" s="99">
        <f>SUMIFS('领用录入（明细）'!$I:$I,'领用录入（明细）'!$F:$F,C96,'领用录入（明细）'!$C:$C,"&gt;="&amp;$E$4,'领用录入（明细）'!$C:$C,"&lt;="&amp;$G$4)</f>
        <v>0</v>
      </c>
      <c r="G96" s="60">
        <f>IFERROR(VLOOKUP(C96,'基础-办公用品信息'!$C:$G,4,0),"-")</f>
        <v>0.3</v>
      </c>
      <c r="H96" s="60">
        <f>SUMIFS('领用录入（明细）'!K:K,'领用录入（明细）'!$F:$F,C96,'领用录入（明细）'!$C:$C,"&gt;="&amp;$E$4,'领用录入（明细）'!$C:$C,"&lt;="&amp;$G$4)</f>
        <v>0</v>
      </c>
      <c r="I96" s="46"/>
    </row>
    <row r="97" customHeight="1" spans="2:9">
      <c r="B97" s="59">
        <v>91</v>
      </c>
      <c r="C97" s="60" t="str">
        <f>IF('基础-办公用品信息'!C94="","-",'基础-办公用品信息'!C94)</f>
        <v>一次性纸杯50个/筒</v>
      </c>
      <c r="D97" s="60" t="str">
        <f>IF('基础-办公用品信息'!D94="","-",'基础-办公用品信息'!D94)</f>
        <v>筒</v>
      </c>
      <c r="E97" s="60" t="str">
        <f>IF('基础-办公用品信息'!E81="","-",'基础-办公用品信息'!E81)</f>
        <v>-</v>
      </c>
      <c r="F97" s="99">
        <f>SUMIFS('领用录入（明细）'!$I:$I,'领用录入（明细）'!$F:$F,C97,'领用录入（明细）'!$C:$C,"&gt;="&amp;$E$4,'领用录入（明细）'!$C:$C,"&lt;="&amp;$G$4)</f>
        <v>0</v>
      </c>
      <c r="G97" s="60">
        <f>IFERROR(VLOOKUP(C97,'基础-办公用品信息'!$C:$G,4,0),"-")</f>
        <v>0.2</v>
      </c>
      <c r="H97" s="60">
        <f>SUMIFS('领用录入（明细）'!K:K,'领用录入（明细）'!$F:$F,C97,'领用录入（明细）'!$C:$C,"&gt;="&amp;$E$4,'领用录入（明细）'!$C:$C,"&lt;="&amp;$G$4)</f>
        <v>0</v>
      </c>
      <c r="I97" s="46"/>
    </row>
    <row r="98" customHeight="1" spans="2:9">
      <c r="B98" s="59">
        <v>92</v>
      </c>
      <c r="C98" s="60" t="str">
        <f>IF('基础-办公用品信息'!C95="","-",'基础-办公用品信息'!C95)</f>
        <v>黑色口罩</v>
      </c>
      <c r="D98" s="60" t="str">
        <f>IF('基础-办公用品信息'!D95="","-",'基础-办公用品信息'!D95)</f>
        <v>盒</v>
      </c>
      <c r="E98" s="60" t="str">
        <f>IF('基础-办公用品信息'!E82="","-",'基础-办公用品信息'!E82)</f>
        <v>-</v>
      </c>
      <c r="F98" s="99">
        <f>SUMIFS('领用录入（明细）'!$I:$I,'领用录入（明细）'!$F:$F,C98,'领用录入（明细）'!$C:$C,"&gt;="&amp;$E$4,'领用录入（明细）'!$C:$C,"&lt;="&amp;$G$4)</f>
        <v>0</v>
      </c>
      <c r="G98" s="60">
        <f>IFERROR(VLOOKUP(C98,'基础-办公用品信息'!$C:$G,4,0),"-")</f>
        <v>0</v>
      </c>
      <c r="H98" s="60">
        <f>SUMIFS('领用录入（明细）'!K:K,'领用录入（明细）'!$F:$F,C98,'领用录入（明细）'!$C:$C,"&gt;="&amp;$E$4,'领用录入（明细）'!$C:$C,"&lt;="&amp;$G$4)</f>
        <v>0</v>
      </c>
      <c r="I98" s="46"/>
    </row>
    <row r="99" customHeight="1" spans="2:9">
      <c r="B99" s="59">
        <v>93</v>
      </c>
      <c r="C99" s="60" t="str">
        <f>IF('基础-办公用品信息'!C96="","-",'基础-办公用品信息'!C96)</f>
        <v>有线鼠标</v>
      </c>
      <c r="D99" s="60" t="str">
        <f>IF('基础-办公用品信息'!D96="","-",'基础-办公用品信息'!D96)</f>
        <v>个</v>
      </c>
      <c r="E99" s="60" t="str">
        <f>IF('基础-办公用品信息'!E83="","-",'基础-办公用品信息'!E83)</f>
        <v>-</v>
      </c>
      <c r="F99" s="99">
        <f>SUMIFS('领用录入（明细）'!$I:$I,'领用录入（明细）'!$F:$F,C99,'领用录入（明细）'!$C:$C,"&gt;="&amp;$E$4,'领用录入（明细）'!$C:$C,"&lt;="&amp;$G$4)</f>
        <v>0</v>
      </c>
      <c r="G99" s="60">
        <f>IFERROR(VLOOKUP(C99,'基础-办公用品信息'!$C:$G,4,0),"-")</f>
        <v>30</v>
      </c>
      <c r="H99" s="60">
        <f>SUMIFS('领用录入（明细）'!K:K,'领用录入（明细）'!$F:$F,C99,'领用录入（明细）'!$C:$C,"&gt;="&amp;$E$4,'领用录入（明细）'!$C:$C,"&lt;="&amp;$G$4)</f>
        <v>0</v>
      </c>
      <c r="I99" s="46"/>
    </row>
    <row r="100" customHeight="1" spans="2:9">
      <c r="B100" s="59">
        <v>94</v>
      </c>
      <c r="C100" s="60" t="str">
        <f>IF('基础-办公用品信息'!C97="","-",'基础-办公用品信息'!C97)</f>
        <v>键盘</v>
      </c>
      <c r="D100" s="60" t="str">
        <f>IF('基础-办公用品信息'!D97="","-",'基础-办公用品信息'!D97)</f>
        <v>个</v>
      </c>
      <c r="E100" s="60" t="str">
        <f>IF('基础-办公用品信息'!E84="","-",'基础-办公用品信息'!E84)</f>
        <v>-</v>
      </c>
      <c r="F100" s="99">
        <f>SUMIFS('领用录入（明细）'!$I:$I,'领用录入（明细）'!$F:$F,C100,'领用录入（明细）'!$C:$C,"&gt;="&amp;$E$4,'领用录入（明细）'!$C:$C,"&lt;="&amp;$G$4)</f>
        <v>0</v>
      </c>
      <c r="G100" s="60">
        <f>IFERROR(VLOOKUP(C100,'基础-办公用品信息'!$C:$G,4,0),"-")</f>
        <v>0</v>
      </c>
      <c r="H100" s="60">
        <f>SUMIFS('领用录入（明细）'!K:K,'领用录入（明细）'!$F:$F,C100,'领用录入（明细）'!$C:$C,"&gt;="&amp;$E$4,'领用录入（明细）'!$C:$C,"&lt;="&amp;$G$4)</f>
        <v>0</v>
      </c>
      <c r="I100" s="46"/>
    </row>
    <row r="101" customHeight="1" spans="2:9">
      <c r="B101" s="59">
        <v>95</v>
      </c>
      <c r="C101" s="60" t="str">
        <f>IF('基础-办公用品信息'!C98="","-",'基础-办公用品信息'!C98)</f>
        <v>无线接收器水星</v>
      </c>
      <c r="D101" s="60" t="str">
        <f>IF('基础-办公用品信息'!D98="","-",'基础-办公用品信息'!D98)</f>
        <v>个</v>
      </c>
      <c r="E101" s="60" t="e">
        <f>IF('基础-办公用品信息'!#REF!="","-",'基础-办公用品信息'!#REF!)</f>
        <v>#REF!</v>
      </c>
      <c r="F101" s="99">
        <f>SUMIFS('领用录入（明细）'!$I:$I,'领用录入（明细）'!$F:$F,C101,'领用录入（明细）'!$C:$C,"&gt;="&amp;$E$4,'领用录入（明细）'!$C:$C,"&lt;="&amp;$G$4)</f>
        <v>0</v>
      </c>
      <c r="G101" s="60">
        <f>IFERROR(VLOOKUP(C101,'基础-办公用品信息'!$C:$G,4,0),"-")</f>
        <v>0</v>
      </c>
      <c r="H101" s="60">
        <f>SUMIFS('领用录入（明细）'!K:K,'领用录入（明细）'!$F:$F,C101,'领用录入（明细）'!$C:$C,"&gt;="&amp;$E$4,'领用录入（明细）'!$C:$C,"&lt;="&amp;$G$4)</f>
        <v>0</v>
      </c>
      <c r="I101" s="46"/>
    </row>
    <row r="102" customHeight="1" spans="2:9">
      <c r="B102" s="59">
        <v>96</v>
      </c>
      <c r="C102" s="60" t="str">
        <f>IF('基础-办公用品信息'!C99="","-",'基础-办公用品信息'!C99)</f>
        <v>无线接收器TP-Link</v>
      </c>
      <c r="D102" s="60" t="str">
        <f>IF('基础-办公用品信息'!D99="","-",'基础-办公用品信息'!D99)</f>
        <v>个</v>
      </c>
      <c r="E102" s="60" t="str">
        <f>IF('基础-办公用品信息'!E85="","-",'基础-办公用品信息'!E85)</f>
        <v>-</v>
      </c>
      <c r="F102" s="99">
        <f>SUMIFS('领用录入（明细）'!$I:$I,'领用录入（明细）'!$F:$F,C102,'领用录入（明细）'!$C:$C,"&gt;="&amp;$E$4,'领用录入（明细）'!$C:$C,"&lt;="&amp;$G$4)</f>
        <v>0</v>
      </c>
      <c r="G102" s="60">
        <f>IFERROR(VLOOKUP(C102,'基础-办公用品信息'!$C:$G,4,0),"-")</f>
        <v>0</v>
      </c>
      <c r="H102" s="60">
        <f>SUMIFS('领用录入（明细）'!K:K,'领用录入（明细）'!$F:$F,C102,'领用录入（明细）'!$C:$C,"&gt;="&amp;$E$4,'领用录入（明细）'!$C:$C,"&lt;="&amp;$G$4)</f>
        <v>0</v>
      </c>
      <c r="I102" s="46"/>
    </row>
    <row r="103" customHeight="1" spans="2:9">
      <c r="B103" s="59">
        <v>97</v>
      </c>
      <c r="C103" s="60" t="str">
        <f>IF('基础-办公用品信息'!C100="","-",'基础-办公用品信息'!C100)</f>
        <v>红外体温计倍尔康</v>
      </c>
      <c r="D103" s="60" t="str">
        <f>IF('基础-办公用品信息'!D100="","-",'基础-办公用品信息'!D100)</f>
        <v>个</v>
      </c>
      <c r="E103" s="60" t="e">
        <f>IF('基础-办公用品信息'!#REF!="","-",'基础-办公用品信息'!#REF!)</f>
        <v>#REF!</v>
      </c>
      <c r="F103" s="99">
        <f>SUMIFS('领用录入（明细）'!$I:$I,'领用录入（明细）'!$F:$F,C103,'领用录入（明细）'!$C:$C,"&gt;="&amp;$E$4,'领用录入（明细）'!$C:$C,"&lt;="&amp;$G$4)</f>
        <v>0</v>
      </c>
      <c r="G103" s="60">
        <f>IFERROR(VLOOKUP(C103,'基础-办公用品信息'!$C:$G,4,0),"-")</f>
        <v>0</v>
      </c>
      <c r="H103" s="60">
        <f>SUMIFS('领用录入（明细）'!K:K,'领用录入（明细）'!$F:$F,C103,'领用录入（明细）'!$C:$C,"&gt;="&amp;$E$4,'领用录入（明细）'!$C:$C,"&lt;="&amp;$G$4)</f>
        <v>0</v>
      </c>
      <c r="I103" s="46"/>
    </row>
    <row r="104" customHeight="1" spans="2:9">
      <c r="B104" s="59">
        <v>98</v>
      </c>
      <c r="C104" s="60" t="str">
        <f>IF('基础-办公用品信息'!C101="","-",'基础-办公用品信息'!C101)</f>
        <v>硬盘绿联2.5英寸</v>
      </c>
      <c r="D104" s="60" t="str">
        <f>IF('基础-办公用品信息'!D101="","-",'基础-办公用品信息'!D101)</f>
        <v>个</v>
      </c>
      <c r="E104" s="60" t="e">
        <f>IF('基础-办公用品信息'!#REF!="","-",'基础-办公用品信息'!#REF!)</f>
        <v>#REF!</v>
      </c>
      <c r="F104" s="99">
        <f>SUMIFS('领用录入（明细）'!$I:$I,'领用录入（明细）'!$F:$F,C104,'领用录入（明细）'!$C:$C,"&gt;="&amp;$E$4,'领用录入（明细）'!$C:$C,"&lt;="&amp;$G$4)</f>
        <v>0</v>
      </c>
      <c r="G104" s="60">
        <f>IFERROR(VLOOKUP(C104,'基础-办公用品信息'!$C:$G,4,0),"-")</f>
        <v>0</v>
      </c>
      <c r="H104" s="60">
        <f>SUMIFS('领用录入（明细）'!K:K,'领用录入（明细）'!$F:$F,C104,'领用录入（明细）'!$C:$C,"&gt;="&amp;$E$4,'领用录入（明细）'!$C:$C,"&lt;="&amp;$G$4)</f>
        <v>0</v>
      </c>
      <c r="I104" s="46"/>
    </row>
    <row r="105" customHeight="1" spans="2:9">
      <c r="B105" s="59">
        <v>99</v>
      </c>
      <c r="C105" s="60" t="str">
        <f>IF('基础-办公用品信息'!C102="","-",'基础-办公用品信息'!C102)</f>
        <v>PPT翻页笔诺为</v>
      </c>
      <c r="D105" s="60" t="str">
        <f>IF('基础-办公用品信息'!D102="","-",'基础-办公用品信息'!D102)</f>
        <v>支</v>
      </c>
      <c r="E105" s="60" t="e">
        <f>IF('基础-办公用品信息'!#REF!="","-",'基础-办公用品信息'!#REF!)</f>
        <v>#REF!</v>
      </c>
      <c r="F105" s="99">
        <f>SUMIFS('领用录入（明细）'!$I:$I,'领用录入（明细）'!$F:$F,C105,'领用录入（明细）'!$C:$C,"&gt;="&amp;$E$4,'领用录入（明细）'!$C:$C,"&lt;="&amp;$G$4)</f>
        <v>0</v>
      </c>
      <c r="G105" s="60">
        <f>IFERROR(VLOOKUP(C105,'基础-办公用品信息'!$C:$G,4,0),"-")</f>
        <v>0</v>
      </c>
      <c r="H105" s="60">
        <f>SUMIFS('领用录入（明细）'!K:K,'领用录入（明细）'!$F:$F,C105,'领用录入（明细）'!$C:$C,"&gt;="&amp;$E$4,'领用录入（明细）'!$C:$C,"&lt;="&amp;$G$4)</f>
        <v>0</v>
      </c>
      <c r="I105" s="46"/>
    </row>
    <row r="106" customHeight="1" spans="2:9">
      <c r="B106" s="59">
        <v>100</v>
      </c>
      <c r="C106" s="60" t="str">
        <f>IF('基础-办公用品信息'!C103="","-",'基础-办公用品信息'!C103)</f>
        <v>光盘700MB，CD-R 52X</v>
      </c>
      <c r="D106" s="60" t="str">
        <f>IF('基础-办公用品信息'!D103="","-",'基础-办公用品信息'!D103)</f>
        <v>个</v>
      </c>
      <c r="E106" s="60" t="e">
        <f>IF('基础-办公用品信息'!#REF!="","-",'基础-办公用品信息'!#REF!)</f>
        <v>#REF!</v>
      </c>
      <c r="F106" s="99">
        <f>SUMIFS('领用录入（明细）'!$I:$I,'领用录入（明细）'!$F:$F,C106,'领用录入（明细）'!$C:$C,"&gt;="&amp;$E$4,'领用录入（明细）'!$C:$C,"&lt;="&amp;$G$4)</f>
        <v>0</v>
      </c>
      <c r="G106" s="60">
        <f>IFERROR(VLOOKUP(C106,'基础-办公用品信息'!$C:$G,4,0),"-")</f>
        <v>0</v>
      </c>
      <c r="H106" s="60">
        <f>SUMIFS('领用录入（明细）'!K:K,'领用录入（明细）'!$F:$F,C106,'领用录入（明细）'!$C:$C,"&gt;="&amp;$E$4,'领用录入（明细）'!$C:$C,"&lt;="&amp;$G$4)</f>
        <v>0</v>
      </c>
      <c r="I106" s="46"/>
    </row>
    <row r="107" customHeight="1" spans="2:9">
      <c r="B107" s="59">
        <v>101</v>
      </c>
      <c r="C107" s="60" t="str">
        <f>IF('基础-办公用品信息'!C104="","-",'基础-办公用品信息'!C104)</f>
        <v>光盘4.7GB 120mm</v>
      </c>
      <c r="D107" s="60" t="str">
        <f>IF('基础-办公用品信息'!D104="","-",'基础-办公用品信息'!D104)</f>
        <v>个</v>
      </c>
      <c r="E107" s="60" t="e">
        <f>IF('基础-办公用品信息'!#REF!="","-",'基础-办公用品信息'!#REF!)</f>
        <v>#REF!</v>
      </c>
      <c r="F107" s="99">
        <f>SUMIFS('领用录入（明细）'!$I:$I,'领用录入（明细）'!$F:$F,C107,'领用录入（明细）'!$C:$C,"&gt;="&amp;$E$4,'领用录入（明细）'!$C:$C,"&lt;="&amp;$G$4)</f>
        <v>0</v>
      </c>
      <c r="G107" s="60">
        <f>IFERROR(VLOOKUP(C107,'基础-办公用品信息'!$C:$G,4,0),"-")</f>
        <v>0</v>
      </c>
      <c r="H107" s="60">
        <f>SUMIFS('领用录入（明细）'!K:K,'领用录入（明细）'!$F:$F,C107,'领用录入（明细）'!$C:$C,"&gt;="&amp;$E$4,'领用录入（明细）'!$C:$C,"&lt;="&amp;$G$4)</f>
        <v>0</v>
      </c>
      <c r="I107" s="46"/>
    </row>
    <row r="108" customHeight="1" spans="2:9">
      <c r="B108" s="59">
        <v>102</v>
      </c>
      <c r="C108" s="60" t="str">
        <f>IF('基础-办公用品信息'!C105="","-",'基础-办公用品信息'!C105)</f>
        <v>光盘壳</v>
      </c>
      <c r="D108" s="60" t="str">
        <f>IF('基础-办公用品信息'!D105="","-",'基础-办公用品信息'!D105)</f>
        <v>个</v>
      </c>
      <c r="E108" s="60" t="e">
        <f>IF('基础-办公用品信息'!#REF!="","-",'基础-办公用品信息'!#REF!)</f>
        <v>#REF!</v>
      </c>
      <c r="F108" s="99">
        <f>SUMIFS('领用录入（明细）'!$I:$I,'领用录入（明细）'!$F:$F,C108,'领用录入（明细）'!$C:$C,"&gt;="&amp;$E$4,'领用录入（明细）'!$C:$C,"&lt;="&amp;$G$4)</f>
        <v>0</v>
      </c>
      <c r="G108" s="60">
        <f>IFERROR(VLOOKUP(C108,'基础-办公用品信息'!$C:$G,4,0),"-")</f>
        <v>0</v>
      </c>
      <c r="H108" s="60">
        <f>SUMIFS('领用录入（明细）'!K:K,'领用录入（明细）'!$F:$F,C108,'领用录入（明细）'!$C:$C,"&gt;="&amp;$E$4,'领用录入（明细）'!$C:$C,"&lt;="&amp;$G$4)</f>
        <v>0</v>
      </c>
      <c r="I108" s="46"/>
    </row>
    <row r="109" customHeight="1" spans="2:9">
      <c r="B109" s="59">
        <v>103</v>
      </c>
      <c r="C109" s="60" t="str">
        <f>IF('基础-办公用品信息'!C106="","-",'基础-办公用品信息'!C106)</f>
        <v>台裙夹</v>
      </c>
      <c r="D109" s="60" t="str">
        <f>IF('基础-办公用品信息'!D106="","-",'基础-办公用品信息'!D106)</f>
        <v>个</v>
      </c>
      <c r="E109" s="60" t="e">
        <f>IF('基础-办公用品信息'!#REF!="","-",'基础-办公用品信息'!#REF!)</f>
        <v>#REF!</v>
      </c>
      <c r="F109" s="99">
        <f>SUMIFS('领用录入（明细）'!$I:$I,'领用录入（明细）'!$F:$F,C109,'领用录入（明细）'!$C:$C,"&gt;="&amp;$E$4,'领用录入（明细）'!$C:$C,"&lt;="&amp;$G$4)</f>
        <v>0</v>
      </c>
      <c r="G109" s="60">
        <f>IFERROR(VLOOKUP(C109,'基础-办公用品信息'!$C:$G,4,0),"-")</f>
        <v>0.85</v>
      </c>
      <c r="H109" s="60">
        <f>SUMIFS('领用录入（明细）'!K:K,'领用录入（明细）'!$F:$F,C109,'领用录入（明细）'!$C:$C,"&gt;="&amp;$E$4,'领用录入（明细）'!$C:$C,"&lt;="&amp;$G$4)</f>
        <v>0</v>
      </c>
      <c r="I109" s="46"/>
    </row>
    <row r="110" customHeight="1" spans="2:9">
      <c r="B110" s="59">
        <v>104</v>
      </c>
      <c r="C110" s="60" t="str">
        <f>IF('基础-办公用品信息'!C107="","-",'基础-办公用品信息'!C107)</f>
        <v>果盘</v>
      </c>
      <c r="D110" s="60" t="str">
        <f>IF('基础-办公用品信息'!D107="","-",'基础-办公用品信息'!D107)</f>
        <v>个</v>
      </c>
      <c r="E110" s="60" t="e">
        <f>IF('基础-办公用品信息'!#REF!="","-",'基础-办公用品信息'!#REF!)</f>
        <v>#REF!</v>
      </c>
      <c r="F110" s="99">
        <f>SUMIFS('领用录入（明细）'!$I:$I,'领用录入（明细）'!$F:$F,C110,'领用录入（明细）'!$C:$C,"&gt;="&amp;$E$4,'领用录入（明细）'!$C:$C,"&lt;="&amp;$G$4)</f>
        <v>0</v>
      </c>
      <c r="G110" s="60">
        <f>IFERROR(VLOOKUP(C110,'基础-办公用品信息'!$C:$G,4,0),"-")</f>
        <v>0</v>
      </c>
      <c r="H110" s="60">
        <f>SUMIFS('领用录入（明细）'!K:K,'领用录入（明细）'!$F:$F,C110,'领用录入（明细）'!$C:$C,"&gt;="&amp;$E$4,'领用录入（明细）'!$C:$C,"&lt;="&amp;$G$4)</f>
        <v>0</v>
      </c>
      <c r="I110" s="46"/>
    </row>
    <row r="111" customHeight="1" spans="2:9">
      <c r="B111" s="59">
        <v>105</v>
      </c>
      <c r="C111" s="60" t="str">
        <f>IF('基础-办公用品信息'!C108="","-",'基础-办公用品信息'!C108)</f>
        <v>电蚊器</v>
      </c>
      <c r="D111" s="60" t="str">
        <f>IF('基础-办公用品信息'!D108="","-",'基础-办公用品信息'!D108)</f>
        <v>个</v>
      </c>
      <c r="E111" s="60" t="e">
        <f>IF('基础-办公用品信息'!#REF!="","-",'基础-办公用品信息'!#REF!)</f>
        <v>#REF!</v>
      </c>
      <c r="F111" s="99">
        <f>SUMIFS('领用录入（明细）'!$I:$I,'领用录入（明细）'!$F:$F,C111,'领用录入（明细）'!$C:$C,"&gt;="&amp;$E$4,'领用录入（明细）'!$C:$C,"&lt;="&amp;$G$4)</f>
        <v>0</v>
      </c>
      <c r="G111" s="60">
        <f>IFERROR(VLOOKUP(C111,'基础-办公用品信息'!$C:$G,4,0),"-")</f>
        <v>0</v>
      </c>
      <c r="H111" s="60">
        <f>SUMIFS('领用录入（明细）'!K:K,'领用录入（明细）'!$F:$F,C111,'领用录入（明细）'!$C:$C,"&gt;="&amp;$E$4,'领用录入（明细）'!$C:$C,"&lt;="&amp;$G$4)</f>
        <v>0</v>
      </c>
      <c r="I111" s="46"/>
    </row>
    <row r="112" customHeight="1" spans="2:9">
      <c r="B112" s="59">
        <v>106</v>
      </c>
      <c r="C112" s="60" t="str">
        <f>IF('基础-办公用品信息'!C109="","-",'基础-办公用品信息'!C109)</f>
        <v>电蚊液</v>
      </c>
      <c r="D112" s="60" t="str">
        <f>IF('基础-办公用品信息'!D109="","-",'基础-办公用品信息'!D109)</f>
        <v>瓶</v>
      </c>
      <c r="E112" s="60" t="e">
        <f>IF('基础-办公用品信息'!#REF!="","-",'基础-办公用品信息'!#REF!)</f>
        <v>#REF!</v>
      </c>
      <c r="F112" s="99">
        <f>SUMIFS('领用录入（明细）'!$I:$I,'领用录入（明细）'!$F:$F,C112,'领用录入（明细）'!$C:$C,"&gt;="&amp;$E$4,'领用录入（明细）'!$C:$C,"&lt;="&amp;$G$4)</f>
        <v>0</v>
      </c>
      <c r="G112" s="60">
        <f>IFERROR(VLOOKUP(C112,'基础-办公用品信息'!$C:$G,4,0),"-")</f>
        <v>0</v>
      </c>
      <c r="H112" s="60">
        <f>SUMIFS('领用录入（明细）'!K:K,'领用录入（明细）'!$F:$F,C112,'领用录入（明细）'!$C:$C,"&gt;="&amp;$E$4,'领用录入（明细）'!$C:$C,"&lt;="&amp;$G$4)</f>
        <v>0</v>
      </c>
      <c r="I112" s="46"/>
    </row>
    <row r="113" customHeight="1" spans="2:9">
      <c r="B113" s="59">
        <v>107</v>
      </c>
      <c r="C113" s="60" t="str">
        <f>IF('基础-办公用品信息'!C110="","-",'基础-办公用品信息'!C110)</f>
        <v>会议杯有盖</v>
      </c>
      <c r="D113" s="60" t="str">
        <f>IF('基础-办公用品信息'!D110="","-",'基础-办公用品信息'!D110)</f>
        <v>个</v>
      </c>
      <c r="E113" s="60" t="e">
        <f>IF('基础-办公用品信息'!#REF!="","-",'基础-办公用品信息'!#REF!)</f>
        <v>#REF!</v>
      </c>
      <c r="F113" s="99">
        <f>SUMIFS('领用录入（明细）'!$I:$I,'领用录入（明细）'!$F:$F,C113,'领用录入（明细）'!$C:$C,"&gt;="&amp;$E$4,'领用录入（明细）'!$C:$C,"&lt;="&amp;$G$4)</f>
        <v>0</v>
      </c>
      <c r="G113" s="60">
        <f>IFERROR(VLOOKUP(C113,'基础-办公用品信息'!$C:$G,4,0),"-")</f>
        <v>0</v>
      </c>
      <c r="H113" s="60">
        <f>SUMIFS('领用录入（明细）'!K:K,'领用录入（明细）'!$F:$F,C113,'领用录入（明细）'!$C:$C,"&gt;="&amp;$E$4,'领用录入（明细）'!$C:$C,"&lt;="&amp;$G$4)</f>
        <v>0</v>
      </c>
      <c r="I113" s="46"/>
    </row>
    <row r="114" customHeight="1" spans="2:9">
      <c r="B114" s="59">
        <v>108</v>
      </c>
      <c r="C114" s="60" t="str">
        <f>IF('基础-办公用品信息'!C111="","-",'基础-办公用品信息'!C111)</f>
        <v>卷纸</v>
      </c>
      <c r="D114" s="60" t="str">
        <f>IF('基础-办公用品信息'!D111="","-",'基础-办公用品信息'!D111)</f>
        <v>提</v>
      </c>
      <c r="E114" s="60" t="e">
        <f>IF('基础-办公用品信息'!#REF!="","-",'基础-办公用品信息'!#REF!)</f>
        <v>#REF!</v>
      </c>
      <c r="F114" s="99">
        <f>SUMIFS('领用录入（明细）'!$I:$I,'领用录入（明细）'!$F:$F,C114,'领用录入（明细）'!$C:$C,"&gt;="&amp;$E$4,'领用录入（明细）'!$C:$C,"&lt;="&amp;$G$4)</f>
        <v>0</v>
      </c>
      <c r="G114" s="60">
        <f>IFERROR(VLOOKUP(C114,'基础-办公用品信息'!$C:$G,4,0),"-")</f>
        <v>11.5</v>
      </c>
      <c r="H114" s="60">
        <f>SUMIFS('领用录入（明细）'!K:K,'领用录入（明细）'!$F:$F,C114,'领用录入（明细）'!$C:$C,"&gt;="&amp;$E$4,'领用录入（明细）'!$C:$C,"&lt;="&amp;$G$4)</f>
        <v>0</v>
      </c>
      <c r="I114" s="46"/>
    </row>
    <row r="115" customHeight="1" spans="2:9">
      <c r="B115" s="59">
        <v>109</v>
      </c>
      <c r="C115" s="60" t="str">
        <f>IF('基础-办公用品信息'!C112="","-",'基础-办公用品信息'!C112)</f>
        <v>抽纸盒</v>
      </c>
      <c r="D115" s="60" t="str">
        <f>IF('基础-办公用品信息'!D112="","-",'基础-办公用品信息'!D112)</f>
        <v>盒</v>
      </c>
      <c r="E115" s="60" t="e">
        <f>IF('基础-办公用品信息'!#REF!="","-",'基础-办公用品信息'!#REF!)</f>
        <v>#REF!</v>
      </c>
      <c r="F115" s="99">
        <f>SUMIFS('领用录入（明细）'!$I:$I,'领用录入（明细）'!$F:$F,C115,'领用录入（明细）'!$C:$C,"&gt;="&amp;$E$4,'领用录入（明细）'!$C:$C,"&lt;="&amp;$G$4)</f>
        <v>0</v>
      </c>
      <c r="G115" s="60">
        <f>IFERROR(VLOOKUP(C115,'基础-办公用品信息'!$C:$G,4,0),"-")</f>
        <v>5.3</v>
      </c>
      <c r="H115" s="60">
        <f>SUMIFS('领用录入（明细）'!K:K,'领用录入（明细）'!$F:$F,C115,'领用录入（明细）'!$C:$C,"&gt;="&amp;$E$4,'领用录入（明细）'!$C:$C,"&lt;="&amp;$G$4)</f>
        <v>0</v>
      </c>
      <c r="I115" s="46"/>
    </row>
    <row r="116" customHeight="1" spans="2:9">
      <c r="B116" s="59">
        <v>110</v>
      </c>
      <c r="C116" s="60" t="str">
        <f>IF('基础-办公用品信息'!C113="","-",'基础-办公用品信息'!C113)</f>
        <v>抽纸巾</v>
      </c>
      <c r="D116" s="60" t="str">
        <f>IF('基础-办公用品信息'!D113="","-",'基础-办公用品信息'!D113)</f>
        <v>包</v>
      </c>
      <c r="E116" s="60" t="e">
        <f>IF('基础-办公用品信息'!#REF!="","-",'基础-办公用品信息'!#REF!)</f>
        <v>#REF!</v>
      </c>
      <c r="F116" s="99">
        <f>SUMIFS('领用录入（明细）'!$I:$I,'领用录入（明细）'!$F:$F,C116,'领用录入（明细）'!$C:$C,"&gt;="&amp;$E$4,'领用录入（明细）'!$C:$C,"&lt;="&amp;$G$4)</f>
        <v>0</v>
      </c>
      <c r="G116" s="60">
        <f>IFERROR(VLOOKUP(C116,'基础-办公用品信息'!$C:$G,4,0),"-")</f>
        <v>2.5</v>
      </c>
      <c r="H116" s="60">
        <f>SUMIFS('领用录入（明细）'!K:K,'领用录入（明细）'!$F:$F,C116,'领用录入（明细）'!$C:$C,"&gt;="&amp;$E$4,'领用录入（明细）'!$C:$C,"&lt;="&amp;$G$4)</f>
        <v>0</v>
      </c>
      <c r="I116" s="46"/>
    </row>
    <row r="117" customHeight="1" spans="2:9">
      <c r="B117" s="59">
        <v>111</v>
      </c>
      <c r="C117" s="60" t="str">
        <f>IF('基础-办公用品信息'!C114="","-",'基础-办公用品信息'!C114)</f>
        <v>网线3米</v>
      </c>
      <c r="D117" s="60" t="str">
        <f>IF('基础-办公用品信息'!D114="","-",'基础-办公用品信息'!D114)</f>
        <v>条</v>
      </c>
      <c r="E117" s="60" t="e">
        <f>IF('基础-办公用品信息'!#REF!="","-",'基础-办公用品信息'!#REF!)</f>
        <v>#REF!</v>
      </c>
      <c r="F117" s="99">
        <f>SUMIFS('领用录入（明细）'!$I:$I,'领用录入（明细）'!$F:$F,C117,'领用录入（明细）'!$C:$C,"&gt;="&amp;$E$4,'领用录入（明细）'!$C:$C,"&lt;="&amp;$G$4)</f>
        <v>0</v>
      </c>
      <c r="G117" s="60">
        <f>IFERROR(VLOOKUP(C117,'基础-办公用品信息'!$C:$G,4,0),"-")</f>
        <v>0</v>
      </c>
      <c r="H117" s="60">
        <f>SUMIFS('领用录入（明细）'!K:K,'领用录入（明细）'!$F:$F,C117,'领用录入（明细）'!$C:$C,"&gt;="&amp;$E$4,'领用录入（明细）'!$C:$C,"&lt;="&amp;$G$4)</f>
        <v>0</v>
      </c>
      <c r="I117" s="46"/>
    </row>
    <row r="118" customHeight="1" spans="2:9">
      <c r="B118" s="59">
        <v>112</v>
      </c>
      <c r="C118" s="60" t="str">
        <f>IF('基础-办公用品信息'!C115="","-",'基础-办公用品信息'!C115)</f>
        <v>网线2米</v>
      </c>
      <c r="D118" s="60" t="str">
        <f>IF('基础-办公用品信息'!D115="","-",'基础-办公用品信息'!D115)</f>
        <v>条</v>
      </c>
      <c r="E118" s="60" t="e">
        <f>IF('基础-办公用品信息'!#REF!="","-",'基础-办公用品信息'!#REF!)</f>
        <v>#REF!</v>
      </c>
      <c r="F118" s="99">
        <f>SUMIFS('领用录入（明细）'!$I:$I,'领用录入（明细）'!$F:$F,C118,'领用录入（明细）'!$C:$C,"&gt;="&amp;$E$4,'领用录入（明细）'!$C:$C,"&lt;="&amp;$G$4)</f>
        <v>0</v>
      </c>
      <c r="G118" s="60">
        <f>IFERROR(VLOOKUP(C118,'基础-办公用品信息'!$C:$G,4,0),"-")</f>
        <v>0</v>
      </c>
      <c r="H118" s="60">
        <f>SUMIFS('领用录入（明细）'!K:K,'领用录入（明细）'!$F:$F,C118,'领用录入（明细）'!$C:$C,"&gt;="&amp;$E$4,'领用录入（明细）'!$C:$C,"&lt;="&amp;$G$4)</f>
        <v>0</v>
      </c>
      <c r="I118" s="46"/>
    </row>
    <row r="119" customHeight="1" spans="2:9">
      <c r="B119" s="59">
        <v>113</v>
      </c>
      <c r="C119" s="60" t="str">
        <f>IF('基础-办公用品信息'!C116="","-",'基础-办公用品信息'!C116)</f>
        <v>网线1.5米</v>
      </c>
      <c r="D119" s="60" t="str">
        <f>IF('基础-办公用品信息'!D116="","-",'基础-办公用品信息'!D116)</f>
        <v>条</v>
      </c>
      <c r="E119" s="60" t="e">
        <f>IF('基础-办公用品信息'!#REF!="","-",'基础-办公用品信息'!#REF!)</f>
        <v>#REF!</v>
      </c>
      <c r="F119" s="99">
        <f>SUMIFS('领用录入（明细）'!$I:$I,'领用录入（明细）'!$F:$F,C119,'领用录入（明细）'!$C:$C,"&gt;="&amp;$E$4,'领用录入（明细）'!$C:$C,"&lt;="&amp;$G$4)</f>
        <v>0</v>
      </c>
      <c r="G119" s="60">
        <f>IFERROR(VLOOKUP(C119,'基础-办公用品信息'!$C:$G,4,0),"-")</f>
        <v>0</v>
      </c>
      <c r="H119" s="60">
        <f>SUMIFS('领用录入（明细）'!K:K,'领用录入（明细）'!$F:$F,C119,'领用录入（明细）'!$C:$C,"&gt;="&amp;$E$4,'领用录入（明细）'!$C:$C,"&lt;="&amp;$G$4)</f>
        <v>0</v>
      </c>
      <c r="I119" s="46"/>
    </row>
    <row r="120" customHeight="1" spans="2:9">
      <c r="B120" s="59">
        <v>114</v>
      </c>
      <c r="C120" s="60" t="str">
        <f>IF('基础-办公用品信息'!C117="","-",'基础-办公用品信息'!C117)</f>
        <v>老鼠板</v>
      </c>
      <c r="D120" s="60" t="str">
        <f>IF('基础-办公用品信息'!D117="","-",'基础-办公用品信息'!D117)</f>
        <v>个</v>
      </c>
      <c r="E120" s="60" t="e">
        <f>IF('基础-办公用品信息'!#REF!="","-",'基础-办公用品信息'!#REF!)</f>
        <v>#REF!</v>
      </c>
      <c r="F120" s="99">
        <f>SUMIFS('领用录入（明细）'!$I:$I,'领用录入（明细）'!$F:$F,C120,'领用录入（明细）'!$C:$C,"&gt;="&amp;$E$4,'领用录入（明细）'!$C:$C,"&lt;="&amp;$G$4)</f>
        <v>0</v>
      </c>
      <c r="G120" s="60">
        <f>IFERROR(VLOOKUP(C120,'基础-办公用品信息'!$C:$G,4,0),"-")</f>
        <v>2.5</v>
      </c>
      <c r="H120" s="60">
        <f>SUMIFS('领用录入（明细）'!K:K,'领用录入（明细）'!$F:$F,C120,'领用录入（明细）'!$C:$C,"&gt;="&amp;$E$4,'领用录入（明细）'!$C:$C,"&lt;="&amp;$G$4)</f>
        <v>0</v>
      </c>
      <c r="I120" s="46"/>
    </row>
    <row r="121" customHeight="1" spans="2:9">
      <c r="B121" s="59">
        <v>115</v>
      </c>
      <c r="C121" s="60" t="str">
        <f>IF('基础-办公用品信息'!C118="","-",'基础-办公用品信息'!C118)</f>
        <v>板刷</v>
      </c>
      <c r="D121" s="60" t="str">
        <f>IF('基础-办公用品信息'!D118="","-",'基础-办公用品信息'!D118)</f>
        <v>个</v>
      </c>
      <c r="E121" s="60" t="e">
        <f>IF('基础-办公用品信息'!#REF!="","-",'基础-办公用品信息'!#REF!)</f>
        <v>#REF!</v>
      </c>
      <c r="F121" s="99">
        <f>SUMIFS('领用录入（明细）'!$I:$I,'领用录入（明细）'!$F:$F,C121,'领用录入（明细）'!$C:$C,"&gt;="&amp;$E$4,'领用录入（明细）'!$C:$C,"&lt;="&amp;$G$4)</f>
        <v>0</v>
      </c>
      <c r="G121" s="60">
        <f>IFERROR(VLOOKUP(C121,'基础-办公用品信息'!$C:$G,4,0),"-")</f>
        <v>2</v>
      </c>
      <c r="H121" s="60">
        <f>SUMIFS('领用录入（明细）'!K:K,'领用录入（明细）'!$F:$F,C121,'领用录入（明细）'!$C:$C,"&gt;="&amp;$E$4,'领用录入（明细）'!$C:$C,"&lt;="&amp;$G$4)</f>
        <v>0</v>
      </c>
      <c r="I121" s="46"/>
    </row>
    <row r="122" customHeight="1" spans="2:9">
      <c r="B122" s="59">
        <v>116</v>
      </c>
      <c r="C122" s="60" t="str">
        <f>IF('基础-办公用品信息'!C119="","-",'基础-办公用品信息'!C119)</f>
        <v>话梅糖</v>
      </c>
      <c r="D122" s="60" t="str">
        <f>IF('基础-办公用品信息'!D119="","-",'基础-办公用品信息'!D119)</f>
        <v>包</v>
      </c>
      <c r="E122" s="60" t="e">
        <f>IF('基础-办公用品信息'!#REF!="","-",'基础-办公用品信息'!#REF!)</f>
        <v>#REF!</v>
      </c>
      <c r="F122" s="99">
        <f>SUMIFS('领用录入（明细）'!$I:$I,'领用录入（明细）'!$F:$F,C122,'领用录入（明细）'!$C:$C,"&gt;="&amp;$E$4,'领用录入（明细）'!$C:$C,"&lt;="&amp;$G$4)</f>
        <v>0</v>
      </c>
      <c r="G122" s="60">
        <f>IFERROR(VLOOKUP(C122,'基础-办公用品信息'!$C:$G,4,0),"-")</f>
        <v>5.9</v>
      </c>
      <c r="H122" s="60">
        <f>SUMIFS('领用录入（明细）'!K:K,'领用录入（明细）'!$F:$F,C122,'领用录入（明细）'!$C:$C,"&gt;="&amp;$E$4,'领用录入（明细）'!$C:$C,"&lt;="&amp;$G$4)</f>
        <v>0</v>
      </c>
      <c r="I122" s="46"/>
    </row>
    <row r="123" customHeight="1" spans="2:9">
      <c r="B123" s="59">
        <v>117</v>
      </c>
      <c r="C123" s="60" t="str">
        <f>IF('基础-办公用品信息'!C120="","-",'基础-办公用品信息'!C120)</f>
        <v>打包扣</v>
      </c>
      <c r="D123" s="60" t="str">
        <f>IF('基础-办公用品信息'!D120="","-",'基础-办公用品信息'!D120)</f>
        <v>斤</v>
      </c>
      <c r="E123" s="60" t="e">
        <f>IF('基础-办公用品信息'!#REF!="","-",'基础-办公用品信息'!#REF!)</f>
        <v>#REF!</v>
      </c>
      <c r="F123" s="99">
        <f>SUMIFS('领用录入（明细）'!$I:$I,'领用录入（明细）'!$F:$F,C123,'领用录入（明细）'!$C:$C,"&gt;="&amp;$E$4,'领用录入（明细）'!$C:$C,"&lt;="&amp;$G$4)</f>
        <v>0</v>
      </c>
      <c r="G123" s="60">
        <f>IFERROR(VLOOKUP(C123,'基础-办公用品信息'!$C:$G,4,0),"-")</f>
        <v>3.3</v>
      </c>
      <c r="H123" s="60">
        <f>SUMIFS('领用录入（明细）'!K:K,'领用录入（明细）'!$F:$F,C123,'领用录入（明细）'!$C:$C,"&gt;="&amp;$E$4,'领用录入（明细）'!$C:$C,"&lt;="&amp;$G$4)</f>
        <v>0</v>
      </c>
      <c r="I123" s="46"/>
    </row>
    <row r="124" customHeight="1" spans="2:9">
      <c r="B124" s="59">
        <v>118</v>
      </c>
      <c r="C124" s="60" t="str">
        <f>IF('基础-办公用品信息'!C121="","-",'基础-办公用品信息'!C121)</f>
        <v>手推车</v>
      </c>
      <c r="D124" s="60" t="str">
        <f>IF('基础-办公用品信息'!D121="","-",'基础-办公用品信息'!D121)</f>
        <v>辆</v>
      </c>
      <c r="E124" s="60" t="e">
        <f>IF('基础-办公用品信息'!#REF!="","-",'基础-办公用品信息'!#REF!)</f>
        <v>#REF!</v>
      </c>
      <c r="F124" s="99">
        <f>SUMIFS('领用录入（明细）'!$I:$I,'领用录入（明细）'!$F:$F,C124,'领用录入（明细）'!$C:$C,"&gt;="&amp;$E$4,'领用录入（明细）'!$C:$C,"&lt;="&amp;$G$4)</f>
        <v>0</v>
      </c>
      <c r="G124" s="60">
        <f>IFERROR(VLOOKUP(C124,'基础-办公用品信息'!$C:$G,4,0),"-")</f>
        <v>280</v>
      </c>
      <c r="H124" s="60">
        <f>SUMIFS('领用录入（明细）'!K:K,'领用录入（明细）'!$F:$F,C124,'领用录入（明细）'!$C:$C,"&gt;="&amp;$E$4,'领用录入（明细）'!$C:$C,"&lt;="&amp;$G$4)</f>
        <v>0</v>
      </c>
      <c r="I124" s="46"/>
    </row>
    <row r="125" customHeight="1" spans="2:9">
      <c r="B125" s="59">
        <v>119</v>
      </c>
      <c r="C125" s="60" t="str">
        <f>IF('基础-办公用品信息'!C122="","-",'基础-办公用品信息'!C122)</f>
        <v>修改液</v>
      </c>
      <c r="D125" s="60" t="str">
        <f>IF('基础-办公用品信息'!D122="","-",'基础-办公用品信息'!D122)</f>
        <v>个</v>
      </c>
      <c r="E125" s="60" t="e">
        <f>IF('基础-办公用品信息'!#REF!="","-",'基础-办公用品信息'!#REF!)</f>
        <v>#REF!</v>
      </c>
      <c r="F125" s="99">
        <f>SUMIFS('领用录入（明细）'!$I:$I,'领用录入（明细）'!$F:$F,C125,'领用录入（明细）'!$C:$C,"&gt;="&amp;$E$4,'领用录入（明细）'!$C:$C,"&lt;="&amp;$G$4)</f>
        <v>0</v>
      </c>
      <c r="G125" s="60">
        <f>IFERROR(VLOOKUP(C125,'基础-办公用品信息'!$C:$G,4,0),"-")</f>
        <v>3.5</v>
      </c>
      <c r="H125" s="60">
        <f>SUMIFS('领用录入（明细）'!K:K,'领用录入（明细）'!$F:$F,C125,'领用录入（明细）'!$C:$C,"&gt;="&amp;$E$4,'领用录入（明细）'!$C:$C,"&lt;="&amp;$G$4)</f>
        <v>0</v>
      </c>
      <c r="I125" s="46"/>
    </row>
    <row r="126" customHeight="1" spans="2:9">
      <c r="B126" s="59">
        <v>120</v>
      </c>
      <c r="C126" s="60" t="str">
        <f>IF('基础-办公用品信息'!C123="","-",'基础-办公用品信息'!C123)</f>
        <v>龙虎人丹</v>
      </c>
      <c r="D126" s="60" t="str">
        <f>IF('基础-办公用品信息'!D123="","-",'基础-办公用品信息'!D123)</f>
        <v>瓶</v>
      </c>
      <c r="E126" s="60" t="e">
        <f>IF('基础-办公用品信息'!#REF!="","-",'基础-办公用品信息'!#REF!)</f>
        <v>#REF!</v>
      </c>
      <c r="F126" s="99">
        <f>SUMIFS('领用录入（明细）'!$I:$I,'领用录入（明细）'!$F:$F,C126,'领用录入（明细）'!$C:$C,"&gt;="&amp;$E$4,'领用录入（明细）'!$C:$C,"&lt;="&amp;$G$4)</f>
        <v>0</v>
      </c>
      <c r="G126" s="60">
        <f>IFERROR(VLOOKUP(C126,'基础-办公用品信息'!$C:$G,4,0),"-")</f>
        <v>10</v>
      </c>
      <c r="H126" s="60">
        <f>SUMIFS('领用录入（明细）'!K:K,'领用录入（明细）'!$F:$F,C126,'领用录入（明细）'!$C:$C,"&gt;="&amp;$E$4,'领用录入（明细）'!$C:$C,"&lt;="&amp;$G$4)</f>
        <v>0</v>
      </c>
      <c r="I126" s="46"/>
    </row>
    <row r="127" customHeight="1" spans="2:9">
      <c r="B127" s="59">
        <v>121</v>
      </c>
      <c r="C127" s="60" t="str">
        <f>IF('基础-办公用品信息'!C124="","-",'基础-办公用品信息'!C124)</f>
        <v>无线鼠标 </v>
      </c>
      <c r="D127" s="60" t="str">
        <f>IF('基础-办公用品信息'!D124="","-",'基础-办公用品信息'!D124)</f>
        <v>个</v>
      </c>
      <c r="E127" s="60" t="e">
        <f>IF('基础-办公用品信息'!#REF!="","-",'基础-办公用品信息'!#REF!)</f>
        <v>#REF!</v>
      </c>
      <c r="F127" s="99">
        <f>SUMIFS('领用录入（明细）'!$I:$I,'领用录入（明细）'!$F:$F,C127,'领用录入（明细）'!$C:$C,"&gt;="&amp;$E$4,'领用录入（明细）'!$C:$C,"&lt;="&amp;$G$4)</f>
        <v>0</v>
      </c>
      <c r="G127" s="60">
        <f>IFERROR(VLOOKUP(C127,'基础-办公用品信息'!$C:$G,4,0),"-")</f>
        <v>75</v>
      </c>
      <c r="H127" s="60">
        <f>SUMIFS('领用录入（明细）'!K:K,'领用录入（明细）'!$F:$F,C127,'领用录入（明细）'!$C:$C,"&gt;="&amp;$E$4,'领用录入（明细）'!$C:$C,"&lt;="&amp;$G$4)</f>
        <v>0</v>
      </c>
      <c r="I127" s="46"/>
    </row>
    <row r="128" customHeight="1" spans="2:9">
      <c r="B128" s="59">
        <v>122</v>
      </c>
      <c r="C128" s="60" t="str">
        <f>IF('基础-办公用品信息'!C125="","-",'基础-办公用品信息'!C125)</f>
        <v>插座5m</v>
      </c>
      <c r="D128" s="60" t="str">
        <f>IF('基础-办公用品信息'!D125="","-",'基础-办公用品信息'!D125)</f>
        <v>个</v>
      </c>
      <c r="E128" s="60" t="e">
        <f>IF('基础-办公用品信息'!#REF!="","-",'基础-办公用品信息'!#REF!)</f>
        <v>#REF!</v>
      </c>
      <c r="F128" s="99">
        <f>SUMIFS('领用录入（明细）'!$I:$I,'领用录入（明细）'!$F:$F,C128,'领用录入（明细）'!$C:$C,"&gt;="&amp;$E$4,'领用录入（明细）'!$C:$C,"&lt;="&amp;$G$4)</f>
        <v>0</v>
      </c>
      <c r="G128" s="60">
        <f>IFERROR(VLOOKUP(C128,'基础-办公用品信息'!$C:$G,4,0),"-")</f>
        <v>56</v>
      </c>
      <c r="H128" s="60">
        <f>SUMIFS('领用录入（明细）'!K:K,'领用录入（明细）'!$F:$F,C128,'领用录入（明细）'!$C:$C,"&gt;="&amp;$E$4,'领用录入（明细）'!$C:$C,"&lt;="&amp;$G$4)</f>
        <v>0</v>
      </c>
      <c r="I128" s="46"/>
    </row>
    <row r="129" customHeight="1" spans="2:9">
      <c r="B129" s="59">
        <v>123</v>
      </c>
      <c r="C129" s="60" t="str">
        <f>IF('基础-办公用品信息'!C126="","-",'基础-办公用品信息'!C126)</f>
        <v>南孚4粒装简卡5号4粒/个</v>
      </c>
      <c r="D129" s="60" t="str">
        <f>IF('基础-办公用品信息'!D126="","-",'基础-办公用品信息'!D126)</f>
        <v>个</v>
      </c>
      <c r="E129" s="60" t="e">
        <f>IF('基础-办公用品信息'!#REF!="","-",'基础-办公用品信息'!#REF!)</f>
        <v>#REF!</v>
      </c>
      <c r="F129" s="99">
        <f>SUMIFS('领用录入（明细）'!$I:$I,'领用录入（明细）'!$F:$F,C129,'领用录入（明细）'!$C:$C,"&gt;="&amp;$E$4,'领用录入（明细）'!$C:$C,"&lt;="&amp;$G$4)</f>
        <v>0</v>
      </c>
      <c r="G129" s="60">
        <f>IFERROR(VLOOKUP(C129,'基础-办公用品信息'!$C:$G,4,0),"-")</f>
        <v>11.8</v>
      </c>
      <c r="H129" s="60">
        <f>SUMIFS('领用录入（明细）'!K:K,'领用录入（明细）'!$F:$F,C129,'领用录入（明细）'!$C:$C,"&gt;="&amp;$E$4,'领用录入（明细）'!$C:$C,"&lt;="&amp;$G$4)</f>
        <v>0</v>
      </c>
      <c r="I129" s="46"/>
    </row>
    <row r="130" customHeight="1" spans="2:9">
      <c r="B130" s="59">
        <v>124</v>
      </c>
      <c r="C130" s="60" t="str">
        <f>IF('基础-办公用品信息'!C127="","-",'基础-办公用品信息'!C127)</f>
        <v>南孚4粒装挂卡5号4粒/个</v>
      </c>
      <c r="D130" s="60" t="str">
        <f>IF('基础-办公用品信息'!D127="","-",'基础-办公用品信息'!D127)</f>
        <v>个</v>
      </c>
      <c r="E130" s="60" t="e">
        <f>IF('基础-办公用品信息'!#REF!="","-",'基础-办公用品信息'!#REF!)</f>
        <v>#REF!</v>
      </c>
      <c r="F130" s="99">
        <f>SUMIFS('领用录入（明细）'!$I:$I,'领用录入（明细）'!$F:$F,C130,'领用录入（明细）'!$C:$C,"&gt;="&amp;$E$4,'领用录入（明细）'!$C:$C,"&lt;="&amp;$G$4)</f>
        <v>0</v>
      </c>
      <c r="G130" s="60">
        <f>IFERROR(VLOOKUP(C130,'基础-办公用品信息'!$C:$G,4,0),"-")</f>
        <v>9.9</v>
      </c>
      <c r="H130" s="60">
        <f>SUMIFS('领用录入（明细）'!K:K,'领用录入（明细）'!$F:$F,C130,'领用录入（明细）'!$C:$C,"&gt;="&amp;$E$4,'领用录入（明细）'!$C:$C,"&lt;="&amp;$G$4)</f>
        <v>0</v>
      </c>
      <c r="I130" s="46"/>
    </row>
    <row r="131" customHeight="1" spans="2:9">
      <c r="B131" s="59">
        <v>125</v>
      </c>
      <c r="C131" s="60" t="str">
        <f>IF('基础-办公用品信息'!C128="","-",'基础-办公用品信息'!C128)</f>
        <v>南孚2粒装5号2粒/个</v>
      </c>
      <c r="D131" s="60" t="str">
        <f>IF('基础-办公用品信息'!D128="","-",'基础-办公用品信息'!D128)</f>
        <v>个</v>
      </c>
      <c r="E131" s="60" t="e">
        <f>IF('基础-办公用品信息'!#REF!="","-",'基础-办公用品信息'!#REF!)</f>
        <v>#REF!</v>
      </c>
      <c r="F131" s="99">
        <f>SUMIFS('领用录入（明细）'!$I:$I,'领用录入（明细）'!$F:$F,C131,'领用录入（明细）'!$C:$C,"&gt;="&amp;$E$4,'领用录入（明细）'!$C:$C,"&lt;="&amp;$G$4)</f>
        <v>0</v>
      </c>
      <c r="G131" s="60">
        <f>IFERROR(VLOOKUP(C131,'基础-办公用品信息'!$C:$G,4,0),"-")</f>
        <v>5.7</v>
      </c>
      <c r="H131" s="60">
        <f>SUMIFS('领用录入（明细）'!K:K,'领用录入（明细）'!$F:$F,C131,'领用录入（明细）'!$C:$C,"&gt;="&amp;$E$4,'领用录入（明细）'!$C:$C,"&lt;="&amp;$G$4)</f>
        <v>0</v>
      </c>
      <c r="I131" s="46"/>
    </row>
    <row r="132" customHeight="1" spans="2:9">
      <c r="B132" s="59">
        <v>126</v>
      </c>
      <c r="C132" s="60" t="str">
        <f>IF('基础-办公用品信息'!C129="","-",'基础-办公用品信息'!C129)</f>
        <v>激光笔技术部</v>
      </c>
      <c r="D132" s="60" t="str">
        <f>IF('基础-办公用品信息'!D129="","-",'基础-办公用品信息'!D129)</f>
        <v>支</v>
      </c>
      <c r="E132" s="60" t="e">
        <f>IF('基础-办公用品信息'!#REF!="","-",'基础-办公用品信息'!#REF!)</f>
        <v>#REF!</v>
      </c>
      <c r="F132" s="99">
        <f>SUMIFS('领用录入（明细）'!$I:$I,'领用录入（明细）'!$F:$F,C132,'领用录入（明细）'!$C:$C,"&gt;="&amp;$E$4,'领用录入（明细）'!$C:$C,"&lt;="&amp;$G$4)</f>
        <v>0</v>
      </c>
      <c r="G132" s="60">
        <f>IFERROR(VLOOKUP(C132,'基础-办公用品信息'!$C:$G,4,0),"-")</f>
        <v>23.5</v>
      </c>
      <c r="H132" s="60">
        <f>SUMIFS('领用录入（明细）'!K:K,'领用录入（明细）'!$F:$F,C132,'领用录入（明细）'!$C:$C,"&gt;="&amp;$E$4,'领用录入（明细）'!$C:$C,"&lt;="&amp;$G$4)</f>
        <v>0</v>
      </c>
      <c r="I132" s="46"/>
    </row>
    <row r="133" customHeight="1" spans="2:9">
      <c r="B133" s="59">
        <v>127</v>
      </c>
      <c r="C133" s="60" t="str">
        <f>IF('基础-办公用品信息'!C130="","-",'基础-办公用品信息'!C130)</f>
        <v>奥克斯除湿机铂悦府</v>
      </c>
      <c r="D133" s="60" t="str">
        <f>IF('基础-办公用品信息'!D130="","-",'基础-办公用品信息'!D130)</f>
        <v>台</v>
      </c>
      <c r="E133" s="60" t="e">
        <f>IF('基础-办公用品信息'!#REF!="","-",'基础-办公用品信息'!#REF!)</f>
        <v>#REF!</v>
      </c>
      <c r="F133" s="99">
        <f>SUMIFS('领用录入（明细）'!$I:$I,'领用录入（明细）'!$F:$F,C133,'领用录入（明细）'!$C:$C,"&gt;="&amp;$E$4,'领用录入（明细）'!$C:$C,"&lt;="&amp;$G$4)</f>
        <v>0</v>
      </c>
      <c r="G133" s="60">
        <f>IFERROR(VLOOKUP(C133,'基础-办公用品信息'!$C:$G,4,0),"-")</f>
        <v>549</v>
      </c>
      <c r="H133" s="60">
        <f>SUMIFS('领用录入（明细）'!K:K,'领用录入（明细）'!$F:$F,C133,'领用录入（明细）'!$C:$C,"&gt;="&amp;$E$4,'领用录入（明细）'!$C:$C,"&lt;="&amp;$G$4)</f>
        <v>0</v>
      </c>
      <c r="I133" s="46"/>
    </row>
    <row r="134" customHeight="1" spans="2:9">
      <c r="B134" s="59">
        <v>128</v>
      </c>
      <c r="C134" s="60" t="str">
        <f>IF('基础-办公用品信息'!C131="","-",'基础-办公用品信息'!C131)</f>
        <v>地毯胶</v>
      </c>
      <c r="D134" s="60" t="str">
        <f>IF('基础-办公用品信息'!D131="","-",'基础-办公用品信息'!D131)</f>
        <v>个</v>
      </c>
      <c r="E134" s="60" t="e">
        <f>IF('基础-办公用品信息'!#REF!="","-",'基础-办公用品信息'!#REF!)</f>
        <v>#REF!</v>
      </c>
      <c r="F134" s="99">
        <f>SUMIFS('领用录入（明细）'!$I:$I,'领用录入（明细）'!$F:$F,C134,'领用录入（明细）'!$C:$C,"&gt;="&amp;$E$4,'领用录入（明细）'!$C:$C,"&lt;="&amp;$G$4)</f>
        <v>0</v>
      </c>
      <c r="G134" s="60">
        <f>IFERROR(VLOOKUP(C134,'基础-办公用品信息'!$C:$G,4,0),"-")</f>
        <v>0</v>
      </c>
      <c r="H134" s="60">
        <f>SUMIFS('领用录入（明细）'!K:K,'领用录入（明细）'!$F:$F,C134,'领用录入（明细）'!$C:$C,"&gt;="&amp;$E$4,'领用录入（明细）'!$C:$C,"&lt;="&amp;$G$4)</f>
        <v>0</v>
      </c>
      <c r="I134" s="46"/>
    </row>
    <row r="135" customHeight="1" spans="2:9">
      <c r="B135" s="59">
        <v>129</v>
      </c>
      <c r="C135" s="60" t="str">
        <f>IF('基础-办公用品信息'!C132="","-",'基础-办公用品信息'!C132)</f>
        <v>报销单</v>
      </c>
      <c r="D135" s="60" t="str">
        <f>IF('基础-办公用品信息'!D132="","-",'基础-办公用品信息'!D132)</f>
        <v>本</v>
      </c>
      <c r="E135" s="60" t="e">
        <f>IF('基础-办公用品信息'!#REF!="","-",'基础-办公用品信息'!#REF!)</f>
        <v>#REF!</v>
      </c>
      <c r="F135" s="99">
        <f>SUMIFS('领用录入（明细）'!$I:$I,'领用录入（明细）'!$F:$F,C135,'领用录入（明细）'!$C:$C,"&gt;="&amp;$E$4,'领用录入（明细）'!$C:$C,"&lt;="&amp;$G$4)</f>
        <v>0</v>
      </c>
      <c r="G135" s="60">
        <f>IFERROR(VLOOKUP(C135,'基础-办公用品信息'!$C:$G,4,0),"-")</f>
        <v>1.2</v>
      </c>
      <c r="H135" s="60">
        <f>SUMIFS('领用录入（明细）'!K:K,'领用录入（明细）'!$F:$F,C135,'领用录入（明细）'!$C:$C,"&gt;="&amp;$E$4,'领用录入（明细）'!$C:$C,"&lt;="&amp;$G$4)</f>
        <v>0</v>
      </c>
      <c r="I135" s="46"/>
    </row>
    <row r="136" customHeight="1" spans="2:9">
      <c r="B136" s="59">
        <v>130</v>
      </c>
      <c r="C136" s="60" t="str">
        <f>IF('基础-办公用品信息'!C133="","-",'基础-办公用品信息'!C133)</f>
        <v>差旅报销单</v>
      </c>
      <c r="D136" s="60" t="str">
        <f>IF('基础-办公用品信息'!D133="","-",'基础-办公用品信息'!D133)</f>
        <v>本</v>
      </c>
      <c r="E136" s="60" t="e">
        <f>IF('基础-办公用品信息'!#REF!="","-",'基础-办公用品信息'!#REF!)</f>
        <v>#REF!</v>
      </c>
      <c r="F136" s="99">
        <f>SUMIFS('领用录入（明细）'!$I:$I,'领用录入（明细）'!$F:$F,C136,'领用录入（明细）'!$C:$C,"&gt;="&amp;$E$4,'领用录入（明细）'!$C:$C,"&lt;="&amp;$G$4)</f>
        <v>0</v>
      </c>
      <c r="G136" s="60">
        <f>IFERROR(VLOOKUP(C136,'基础-办公用品信息'!$C:$G,4,0),"-")</f>
        <v>1.5</v>
      </c>
      <c r="H136" s="60">
        <f>SUMIFS('领用录入（明细）'!K:K,'领用录入（明细）'!$F:$F,C136,'领用录入（明细）'!$C:$C,"&gt;="&amp;$E$4,'领用录入（明细）'!$C:$C,"&lt;="&amp;$G$4)</f>
        <v>0</v>
      </c>
      <c r="I136" s="46"/>
    </row>
    <row r="137" customHeight="1" spans="2:9">
      <c r="B137" s="59">
        <v>131</v>
      </c>
      <c r="C137" s="60" t="str">
        <f>IF('基础-办公用品信息'!C134="","-",'基础-办公用品信息'!C134)</f>
        <v>刀笔</v>
      </c>
      <c r="D137" s="60" t="str">
        <f>IF('基础-办公用品信息'!D134="","-",'基础-办公用品信息'!D134)</f>
        <v>支</v>
      </c>
      <c r="E137" s="60" t="e">
        <f>IF('基础-办公用品信息'!#REF!="","-",'基础-办公用品信息'!#REF!)</f>
        <v>#REF!</v>
      </c>
      <c r="F137" s="99">
        <f>SUMIFS('领用录入（明细）'!$I:$I,'领用录入（明细）'!$F:$F,C137,'领用录入（明细）'!$C:$C,"&gt;="&amp;$E$4,'领用录入（明细）'!$C:$C,"&lt;="&amp;$G$4)</f>
        <v>0</v>
      </c>
      <c r="G137" s="60">
        <f>IFERROR(VLOOKUP(C137,'基础-办公用品信息'!$C:$G,4,0),"-")</f>
        <v>0.32</v>
      </c>
      <c r="H137" s="60">
        <f>SUMIFS('领用录入（明细）'!K:K,'领用录入（明细）'!$F:$F,C137,'领用录入（明细）'!$C:$C,"&gt;="&amp;$E$4,'领用录入（明细）'!$C:$C,"&lt;="&amp;$G$4)</f>
        <v>0</v>
      </c>
      <c r="I137" s="46"/>
    </row>
    <row r="138" customHeight="1" spans="2:9">
      <c r="B138" s="59">
        <v>132</v>
      </c>
      <c r="C138" s="60" t="str">
        <f>IF('基础-办公用品信息'!C135="","-",'基础-办公用品信息'!C135)</f>
        <v>方形单色印台得力红色</v>
      </c>
      <c r="D138" s="60" t="str">
        <f>IF('基础-办公用品信息'!D135="","-",'基础-办公用品信息'!D135)</f>
        <v>个</v>
      </c>
      <c r="E138" s="60" t="e">
        <f>IF('基础-办公用品信息'!#REF!="","-",'基础-办公用品信息'!#REF!)</f>
        <v>#REF!</v>
      </c>
      <c r="F138" s="99">
        <f>SUMIFS('领用录入（明细）'!$I:$I,'领用录入（明细）'!$F:$F,C138,'领用录入（明细）'!$C:$C,"&gt;="&amp;$E$4,'领用录入（明细）'!$C:$C,"&lt;="&amp;$G$4)</f>
        <v>0</v>
      </c>
      <c r="G138" s="60">
        <f>IFERROR(VLOOKUP(C138,'基础-办公用品信息'!$C:$G,4,0),"-")</f>
        <v>9</v>
      </c>
      <c r="H138" s="60">
        <f>SUMIFS('领用录入（明细）'!K:K,'领用录入（明细）'!$F:$F,C138,'领用录入（明细）'!$C:$C,"&gt;="&amp;$E$4,'领用录入（明细）'!$C:$C,"&lt;="&amp;$G$4)</f>
        <v>0</v>
      </c>
      <c r="I138" s="46"/>
    </row>
    <row r="139" customHeight="1" spans="2:9">
      <c r="B139" s="59">
        <v>133</v>
      </c>
      <c r="C139" s="60" t="str">
        <f>IF('基础-办公用品信息'!C136="","-",'基础-办公用品信息'!C136)</f>
        <v>台笔</v>
      </c>
      <c r="D139" s="60" t="str">
        <f>IF('基础-办公用品信息'!D136="","-",'基础-办公用品信息'!D136)</f>
        <v>个</v>
      </c>
      <c r="E139" s="60" t="e">
        <f>IF('基础-办公用品信息'!#REF!="","-",'基础-办公用品信息'!#REF!)</f>
        <v>#REF!</v>
      </c>
      <c r="F139" s="99">
        <f>SUMIFS('领用录入（明细）'!$I:$I,'领用录入（明细）'!$F:$F,C139,'领用录入（明细）'!$C:$C,"&gt;="&amp;$E$4,'领用录入（明细）'!$C:$C,"&lt;="&amp;$G$4)</f>
        <v>0</v>
      </c>
      <c r="G139" s="60">
        <f>IFERROR(VLOOKUP(C139,'基础-办公用品信息'!$C:$G,4,0),"-")</f>
        <v>0</v>
      </c>
      <c r="H139" s="60">
        <f>SUMIFS('领用录入（明细）'!K:K,'领用录入（明细）'!$F:$F,C139,'领用录入（明细）'!$C:$C,"&gt;="&amp;$E$4,'领用录入（明细）'!$C:$C,"&lt;="&amp;$G$4)</f>
        <v>0</v>
      </c>
      <c r="I139" s="46"/>
    </row>
    <row r="140" customHeight="1" spans="2:9">
      <c r="B140" s="59">
        <v>134</v>
      </c>
      <c r="C140" s="60" t="str">
        <f>IF('基础-办公用品信息'!C137="","-",'基础-办公用品信息'!C137)</f>
        <v>用款申请单</v>
      </c>
      <c r="D140" s="60" t="str">
        <f>IF('基础-办公用品信息'!D137="","-",'基础-办公用品信息'!D137)</f>
        <v>个</v>
      </c>
      <c r="E140" s="60" t="e">
        <f>IF('基础-办公用品信息'!#REF!="","-",'基础-办公用品信息'!#REF!)</f>
        <v>#REF!</v>
      </c>
      <c r="F140" s="99">
        <f>SUMIFS('领用录入（明细）'!$I:$I,'领用录入（明细）'!$F:$F,C140,'领用录入（明细）'!$C:$C,"&gt;="&amp;$E$4,'领用录入（明细）'!$C:$C,"&lt;="&amp;$G$4)</f>
        <v>0</v>
      </c>
      <c r="G140" s="60">
        <f>IFERROR(VLOOKUP(C140,'基础-办公用品信息'!$C:$G,4,0),"-")</f>
        <v>0</v>
      </c>
      <c r="H140" s="60">
        <f>SUMIFS('领用录入（明细）'!K:K,'领用录入（明细）'!$F:$F,C140,'领用录入（明细）'!$C:$C,"&gt;="&amp;$E$4,'领用录入（明细）'!$C:$C,"&lt;="&amp;$G$4)</f>
        <v>0</v>
      </c>
      <c r="I140" s="46"/>
    </row>
    <row r="141" customHeight="1" spans="2:9">
      <c r="B141" s="59">
        <v>135</v>
      </c>
      <c r="C141" s="60" t="str">
        <f>IF('基础-办公用品信息'!C138="","-",'基础-办公用品信息'!C138)</f>
        <v>笔记本</v>
      </c>
      <c r="D141" s="60" t="str">
        <f>IF('基础-办公用品信息'!D138="","-",'基础-办公用品信息'!D138)</f>
        <v>个</v>
      </c>
      <c r="E141" s="60" t="e">
        <f>IF('基础-办公用品信息'!#REF!="","-",'基础-办公用品信息'!#REF!)</f>
        <v>#REF!</v>
      </c>
      <c r="F141" s="99">
        <f>SUMIFS('领用录入（明细）'!$I:$I,'领用录入（明细）'!$F:$F,C141,'领用录入（明细）'!$C:$C,"&gt;="&amp;$E$4,'领用录入（明细）'!$C:$C,"&lt;="&amp;$G$4)</f>
        <v>0</v>
      </c>
      <c r="G141" s="60">
        <f>IFERROR(VLOOKUP(C141,'基础-办公用品信息'!$C:$G,4,0),"-")</f>
        <v>0</v>
      </c>
      <c r="H141" s="60">
        <f>SUMIFS('领用录入（明细）'!K:K,'领用录入（明细）'!$F:$F,C141,'领用录入（明细）'!$C:$C,"&gt;="&amp;$E$4,'领用录入（明细）'!$C:$C,"&lt;="&amp;$G$4)</f>
        <v>0</v>
      </c>
      <c r="I141" s="46"/>
    </row>
    <row r="142" customHeight="1" spans="2:9">
      <c r="B142" s="59">
        <v>136</v>
      </c>
      <c r="C142" s="60" t="str">
        <f>IF('基础-办公用品信息'!C139="","-",'基础-办公用品信息'!C139)</f>
        <v>键盘</v>
      </c>
      <c r="D142" s="60" t="str">
        <f>IF('基础-办公用品信息'!D139="","-",'基础-办公用品信息'!D139)</f>
        <v>个</v>
      </c>
      <c r="E142" s="60" t="e">
        <f>IF('基础-办公用品信息'!#REF!="","-",'基础-办公用品信息'!#REF!)</f>
        <v>#REF!</v>
      </c>
      <c r="F142" s="99">
        <f>SUMIFS('领用录入（明细）'!$I:$I,'领用录入（明细）'!$F:$F,C142,'领用录入（明细）'!$C:$C,"&gt;="&amp;$E$4,'领用录入（明细）'!$C:$C,"&lt;="&amp;$G$4)</f>
        <v>0</v>
      </c>
      <c r="G142" s="60">
        <f>IFERROR(VLOOKUP(C142,'基础-办公用品信息'!$C:$G,4,0),"-")</f>
        <v>0</v>
      </c>
      <c r="H142" s="60">
        <f>SUMIFS('领用录入（明细）'!K:K,'领用录入（明细）'!$F:$F,C142,'领用录入（明细）'!$C:$C,"&gt;="&amp;$E$4,'领用录入（明细）'!$C:$C,"&lt;="&amp;$G$4)</f>
        <v>0</v>
      </c>
      <c r="I142" s="46"/>
    </row>
    <row r="143" customHeight="1" spans="2:9">
      <c r="B143" s="59">
        <v>137</v>
      </c>
      <c r="C143" s="60" t="str">
        <f>IF('基础-办公用品信息'!C140="","-",'基础-办公用品信息'!C140)</f>
        <v>84消毒液</v>
      </c>
      <c r="D143" s="60" t="str">
        <f>IF('基础-办公用品信息'!D140="","-",'基础-办公用品信息'!D140)</f>
        <v>桶</v>
      </c>
      <c r="E143" s="60" t="e">
        <f>IF('基础-办公用品信息'!#REF!="","-",'基础-办公用品信息'!#REF!)</f>
        <v>#REF!</v>
      </c>
      <c r="F143" s="99">
        <f>SUMIFS('领用录入（明细）'!$I:$I,'领用录入（明细）'!$F:$F,C143,'领用录入（明细）'!$C:$C,"&gt;="&amp;$E$4,'领用录入（明细）'!$C:$C,"&lt;="&amp;$G$4)</f>
        <v>0</v>
      </c>
      <c r="G143" s="60">
        <f>IFERROR(VLOOKUP(C143,'基础-办公用品信息'!$C:$G,4,0),"-")</f>
        <v>0</v>
      </c>
      <c r="H143" s="60">
        <f>SUMIFS('领用录入（明细）'!K:K,'领用录入（明细）'!$F:$F,C143,'领用录入（明细）'!$C:$C,"&gt;="&amp;$E$4,'领用录入（明细）'!$C:$C,"&lt;="&amp;$G$4)</f>
        <v>0</v>
      </c>
      <c r="I143" s="46"/>
    </row>
    <row r="144" customHeight="1" spans="2:9">
      <c r="B144" s="59">
        <v>138</v>
      </c>
      <c r="C144" s="60" t="str">
        <f>IF('基础-办公用品信息'!C141="","-",'基础-办公用品信息'!C141)</f>
        <v>洗洁精</v>
      </c>
      <c r="D144" s="60" t="str">
        <f>IF('基础-办公用品信息'!D141="","-",'基础-办公用品信息'!D141)</f>
        <v>桶</v>
      </c>
      <c r="E144" s="60" t="e">
        <f>IF('基础-办公用品信息'!#REF!="","-",'基础-办公用品信息'!#REF!)</f>
        <v>#REF!</v>
      </c>
      <c r="F144" s="99">
        <f>SUMIFS('领用录入（明细）'!$I:$I,'领用录入（明细）'!$F:$F,C144,'领用录入（明细）'!$C:$C,"&gt;="&amp;$E$4,'领用录入（明细）'!$C:$C,"&lt;="&amp;$G$4)</f>
        <v>0</v>
      </c>
      <c r="G144" s="60">
        <f>IFERROR(VLOOKUP(C144,'基础-办公用品信息'!$C:$G,4,0),"-")</f>
        <v>0</v>
      </c>
      <c r="H144" s="60">
        <f>SUMIFS('领用录入（明细）'!K:K,'领用录入（明细）'!$F:$F,C144,'领用录入（明细）'!$C:$C,"&gt;="&amp;$E$4,'领用录入（明细）'!$C:$C,"&lt;="&amp;$G$4)</f>
        <v>0</v>
      </c>
      <c r="I144" s="46"/>
    </row>
    <row r="145" customHeight="1" spans="2:9">
      <c r="B145" s="59">
        <v>139</v>
      </c>
      <c r="C145" s="60" t="str">
        <f>IF('基础-办公用品信息'!C142="","-",'基础-办公用品信息'!C142)</f>
        <v>垃圾袋</v>
      </c>
      <c r="D145" s="60" t="str">
        <f>IF('基础-办公用品信息'!D142="","-",'基础-办公用品信息'!D142)</f>
        <v>卷</v>
      </c>
      <c r="E145" s="60" t="e">
        <f>IF('基础-办公用品信息'!#REF!="","-",'基础-办公用品信息'!#REF!)</f>
        <v>#REF!</v>
      </c>
      <c r="F145" s="99">
        <f>SUMIFS('领用录入（明细）'!$I:$I,'领用录入（明细）'!$F:$F,C145,'领用录入（明细）'!$C:$C,"&gt;="&amp;$E$4,'领用录入（明细）'!$C:$C,"&lt;="&amp;$G$4)</f>
        <v>0</v>
      </c>
      <c r="G145" s="60">
        <f>IFERROR(VLOOKUP(C145,'基础-办公用品信息'!$C:$G,4,0),"-")</f>
        <v>0</v>
      </c>
      <c r="H145" s="60">
        <f>SUMIFS('领用录入（明细）'!K:K,'领用录入（明细）'!$F:$F,C145,'领用录入（明细）'!$C:$C,"&gt;="&amp;$E$4,'领用录入（明细）'!$C:$C,"&lt;="&amp;$G$4)</f>
        <v>0</v>
      </c>
      <c r="I145" s="46"/>
    </row>
    <row r="146" customHeight="1" spans="2:9">
      <c r="B146" s="59">
        <v>140</v>
      </c>
      <c r="C146" s="60" t="str">
        <f>IF('基础-办公用品信息'!C143="","-",'基础-办公用品信息'!C143)</f>
        <v>白手套</v>
      </c>
      <c r="D146" s="60" t="str">
        <f>IF('基础-办公用品信息'!D143="","-",'基础-办公用品信息'!D143)</f>
        <v>打</v>
      </c>
      <c r="E146" s="60" t="e">
        <f>IF('基础-办公用品信息'!#REF!="","-",'基础-办公用品信息'!#REF!)</f>
        <v>#REF!</v>
      </c>
      <c r="F146" s="99">
        <f>SUMIFS('领用录入（明细）'!$I:$I,'领用录入（明细）'!$F:$F,C146,'领用录入（明细）'!$C:$C,"&gt;="&amp;$E$4,'领用录入（明细）'!$C:$C,"&lt;="&amp;$G$4)</f>
        <v>0</v>
      </c>
      <c r="G146" s="60">
        <f>IFERROR(VLOOKUP(C146,'基础-办公用品信息'!$C:$G,4,0),"-")</f>
        <v>0</v>
      </c>
      <c r="H146" s="60">
        <f>SUMIFS('领用录入（明细）'!K:K,'领用录入（明细）'!$F:$F,C146,'领用录入（明细）'!$C:$C,"&gt;="&amp;$E$4,'领用录入（明细）'!$C:$C,"&lt;="&amp;$G$4)</f>
        <v>0</v>
      </c>
      <c r="I146" s="46"/>
    </row>
    <row r="147" customHeight="1" spans="2:9">
      <c r="B147" s="59">
        <v>141</v>
      </c>
      <c r="C147" s="60" t="str">
        <f>IF('基础-办公用品信息'!C144="","-",'基础-办公用品信息'!C144)</f>
        <v>喷洒消毒液</v>
      </c>
      <c r="D147" s="60" t="str">
        <f>IF('基础-办公用品信息'!D144="","-",'基础-办公用品信息'!D144)</f>
        <v>瓶</v>
      </c>
      <c r="E147" s="60" t="e">
        <f>IF('基础-办公用品信息'!#REF!="","-",'基础-办公用品信息'!#REF!)</f>
        <v>#REF!</v>
      </c>
      <c r="F147" s="99">
        <f>SUMIFS('领用录入（明细）'!$I:$I,'领用录入（明细）'!$F:$F,C147,'领用录入（明细）'!$C:$C,"&gt;="&amp;$E$4,'领用录入（明细）'!$C:$C,"&lt;="&amp;$G$4)</f>
        <v>0</v>
      </c>
      <c r="G147" s="60">
        <f>IFERROR(VLOOKUP(C147,'基础-办公用品信息'!$C:$G,4,0),"-")</f>
        <v>0</v>
      </c>
      <c r="H147" s="60">
        <f>SUMIFS('领用录入（明细）'!K:K,'领用录入（明细）'!$F:$F,C147,'领用录入（明细）'!$C:$C,"&gt;="&amp;$E$4,'领用录入（明细）'!$C:$C,"&lt;="&amp;$G$4)</f>
        <v>0</v>
      </c>
      <c r="I147" s="46"/>
    </row>
    <row r="148" customHeight="1" spans="2:9">
      <c r="B148" s="59">
        <v>142</v>
      </c>
      <c r="C148" s="60" t="str">
        <f>IF('基础-办公用品信息'!C145="","-",'基础-办公用品信息'!C145)</f>
        <v>消毒液L3</v>
      </c>
      <c r="D148" s="60" t="str">
        <f>IF('基础-办公用品信息'!D145="","-",'基础-办公用品信息'!D145)</f>
        <v>瓶</v>
      </c>
      <c r="E148" s="60" t="e">
        <f>IF('基础-办公用品信息'!#REF!="","-",'基础-办公用品信息'!#REF!)</f>
        <v>#REF!</v>
      </c>
      <c r="F148" s="99">
        <f>SUMIFS('领用录入（明细）'!$I:$I,'领用录入（明细）'!$F:$F,C148,'领用录入（明细）'!$C:$C,"&gt;="&amp;$E$4,'领用录入（明细）'!$C:$C,"&lt;="&amp;$G$4)</f>
        <v>0</v>
      </c>
      <c r="G148" s="60">
        <f>IFERROR(VLOOKUP(C148,'基础-办公用品信息'!$C:$G,4,0),"-")</f>
        <v>0</v>
      </c>
      <c r="H148" s="60">
        <f>SUMIFS('领用录入（明细）'!K:K,'领用录入（明细）'!$F:$F,C148,'领用录入（明细）'!$C:$C,"&gt;="&amp;$E$4,'领用录入（明细）'!$C:$C,"&lt;="&amp;$G$4)</f>
        <v>0</v>
      </c>
      <c r="I148" s="46"/>
    </row>
    <row r="149" customHeight="1" spans="2:9">
      <c r="B149" s="59">
        <v>143</v>
      </c>
      <c r="C149" s="60" t="str">
        <f>IF('基础-办公用品信息'!C146="","-",'基础-办公用品信息'!C146)</f>
        <v>500消毒液</v>
      </c>
      <c r="D149" s="60" t="str">
        <f>IF('基础-办公用品信息'!D146="","-",'基础-办公用品信息'!D146)</f>
        <v>瓶</v>
      </c>
      <c r="E149" s="60" t="e">
        <f>IF('基础-办公用品信息'!#REF!="","-",'基础-办公用品信息'!#REF!)</f>
        <v>#REF!</v>
      </c>
      <c r="F149" s="99">
        <f>SUMIFS('领用录入（明细）'!$I:$I,'领用录入（明细）'!$F:$F,C149,'领用录入（明细）'!$C:$C,"&gt;="&amp;$E$4,'领用录入（明细）'!$C:$C,"&lt;="&amp;$G$4)</f>
        <v>0</v>
      </c>
      <c r="G149" s="60">
        <f>IFERROR(VLOOKUP(C149,'基础-办公用品信息'!$C:$G,4,0),"-")</f>
        <v>0</v>
      </c>
      <c r="H149" s="60">
        <f>SUMIFS('领用录入（明细）'!K:K,'领用录入（明细）'!$F:$F,C149,'领用录入（明细）'!$C:$C,"&gt;="&amp;$E$4,'领用录入（明细）'!$C:$C,"&lt;="&amp;$G$4)</f>
        <v>0</v>
      </c>
      <c r="I149" s="46"/>
    </row>
    <row r="150" customHeight="1" spans="2:9">
      <c r="B150" s="59">
        <v>144</v>
      </c>
      <c r="C150" s="60" t="e">
        <f>IF('基础-办公用品信息'!#REF!="","-",'基础-办公用品信息'!#REF!)</f>
        <v>#REF!</v>
      </c>
      <c r="D150" s="60" t="e">
        <f>IF('基础-办公用品信息'!#REF!="","-",'基础-办公用品信息'!#REF!)</f>
        <v>#REF!</v>
      </c>
      <c r="E150" s="60" t="e">
        <f>IF('基础-办公用品信息'!#REF!="","-",'基础-办公用品信息'!#REF!)</f>
        <v>#REF!</v>
      </c>
      <c r="F150" s="99">
        <f>SUMIFS('领用录入（明细）'!$I:$I,'领用录入（明细）'!$F:$F,C150,'领用录入（明细）'!$C:$C,"&gt;="&amp;$E$4,'领用录入（明细）'!$C:$C,"&lt;="&amp;$G$4)</f>
        <v>0</v>
      </c>
      <c r="G150" s="60" t="str">
        <f>IFERROR(VLOOKUP(C150,'基础-办公用品信息'!$C:$G,4,0),"-")</f>
        <v>-</v>
      </c>
      <c r="H150" s="60">
        <f>SUMIFS('领用录入（明细）'!K:K,'领用录入（明细）'!$F:$F,C150,'领用录入（明细）'!$C:$C,"&gt;="&amp;$E$4,'领用录入（明细）'!$C:$C,"&lt;="&amp;$G$4)</f>
        <v>0</v>
      </c>
      <c r="I150" s="46"/>
    </row>
    <row r="151" customHeight="1" spans="2:9">
      <c r="B151" s="59">
        <v>145</v>
      </c>
      <c r="C151" s="60" t="str">
        <f>IF('基础-办公用品信息'!C147="","-",'基础-办公用品信息'!C147)</f>
        <v>拖把</v>
      </c>
      <c r="D151" s="60" t="str">
        <f>IF('基础-办公用品信息'!D147="","-",'基础-办公用品信息'!D147)</f>
        <v>个</v>
      </c>
      <c r="E151" s="60" t="e">
        <f>IF('基础-办公用品信息'!#REF!="","-",'基础-办公用品信息'!#REF!)</f>
        <v>#REF!</v>
      </c>
      <c r="F151" s="99">
        <f>SUMIFS('领用录入（明细）'!$I:$I,'领用录入（明细）'!$F:$F,C151,'领用录入（明细）'!$C:$C,"&gt;="&amp;$E$4,'领用录入（明细）'!$C:$C,"&lt;="&amp;$G$4)</f>
        <v>0</v>
      </c>
      <c r="G151" s="60">
        <f>IFERROR(VLOOKUP(C151,'基础-办公用品信息'!$C:$G,4,0),"-")</f>
        <v>0</v>
      </c>
      <c r="H151" s="60">
        <f>SUMIFS('领用录入（明细）'!K:K,'领用录入（明细）'!$F:$F,C151,'领用录入（明细）'!$C:$C,"&gt;="&amp;$E$4,'领用录入（明细）'!$C:$C,"&lt;="&amp;$G$4)</f>
        <v>0</v>
      </c>
      <c r="I151" s="46"/>
    </row>
    <row r="152" customHeight="1" spans="2:9">
      <c r="B152" s="59">
        <v>146</v>
      </c>
      <c r="C152" s="60" t="str">
        <f>IF('基础-办公用品信息'!C148="","-",'基础-办公用品信息'!C148)</f>
        <v>玻璃刮刀</v>
      </c>
      <c r="D152" s="60" t="str">
        <f>IF('基础-办公用品信息'!D148="","-",'基础-办公用品信息'!D148)</f>
        <v>个</v>
      </c>
      <c r="E152" s="60" t="e">
        <f>IF('基础-办公用品信息'!#REF!="","-",'基础-办公用品信息'!#REF!)</f>
        <v>#REF!</v>
      </c>
      <c r="F152" s="99">
        <f>SUMIFS('领用录入（明细）'!$I:$I,'领用录入（明细）'!$F:$F,C152,'领用录入（明细）'!$C:$C,"&gt;="&amp;$E$4,'领用录入（明细）'!$C:$C,"&lt;="&amp;$G$4)</f>
        <v>0</v>
      </c>
      <c r="G152" s="60">
        <f>IFERROR(VLOOKUP(C152,'基础-办公用品信息'!$C:$G,4,0),"-")</f>
        <v>0</v>
      </c>
      <c r="H152" s="60">
        <f>SUMIFS('领用录入（明细）'!K:K,'领用录入（明细）'!$F:$F,C152,'领用录入（明细）'!$C:$C,"&gt;="&amp;$E$4,'领用录入（明细）'!$C:$C,"&lt;="&amp;$G$4)</f>
        <v>0</v>
      </c>
      <c r="I152" s="46"/>
    </row>
    <row r="153" customHeight="1" spans="2:9">
      <c r="B153" s="59">
        <v>147</v>
      </c>
      <c r="C153" s="60" t="str">
        <f>IF('基础-办公用品信息'!C149="","-",'基础-办公用品信息'!C149)</f>
        <v>玻璃水</v>
      </c>
      <c r="D153" s="60" t="str">
        <f>IF('基础-办公用品信息'!D149="","-",'基础-办公用品信息'!D149)</f>
        <v>瓶</v>
      </c>
      <c r="E153" s="60" t="e">
        <f>IF('基础-办公用品信息'!#REF!="","-",'基础-办公用品信息'!#REF!)</f>
        <v>#REF!</v>
      </c>
      <c r="F153" s="99">
        <f>SUMIFS('领用录入（明细）'!$I:$I,'领用录入（明细）'!$F:$F,C153,'领用录入（明细）'!$C:$C,"&gt;="&amp;$E$4,'领用录入（明细）'!$C:$C,"&lt;="&amp;$G$4)</f>
        <v>0</v>
      </c>
      <c r="G153" s="60">
        <f>IFERROR(VLOOKUP(C153,'基础-办公用品信息'!$C:$G,4,0),"-")</f>
        <v>0</v>
      </c>
      <c r="H153" s="60">
        <f>SUMIFS('领用录入（明细）'!K:K,'领用录入（明细）'!$F:$F,C153,'领用录入（明细）'!$C:$C,"&gt;="&amp;$E$4,'领用录入（明细）'!$C:$C,"&lt;="&amp;$G$4)</f>
        <v>0</v>
      </c>
      <c r="I153" s="46"/>
    </row>
    <row r="154" customHeight="1" spans="2:9">
      <c r="B154" s="59">
        <v>148</v>
      </c>
      <c r="C154" s="60" t="str">
        <f>IF('基础-办公用品信息'!C150="","-",'基础-办公用品信息'!C150)</f>
        <v>毛巾</v>
      </c>
      <c r="D154" s="60" t="str">
        <f>IF('基础-办公用品信息'!D150="","-",'基础-办公用品信息'!D150)</f>
        <v>条</v>
      </c>
      <c r="E154" s="60" t="e">
        <f>IF('基础-办公用品信息'!#REF!="","-",'基础-办公用品信息'!#REF!)</f>
        <v>#REF!</v>
      </c>
      <c r="F154" s="99">
        <f>SUMIFS('领用录入（明细）'!$I:$I,'领用录入（明细）'!$F:$F,C154,'领用录入（明细）'!$C:$C,"&gt;="&amp;$E$4,'领用录入（明细）'!$C:$C,"&lt;="&amp;$G$4)</f>
        <v>0</v>
      </c>
      <c r="G154" s="60">
        <f>IFERROR(VLOOKUP(C154,'基础-办公用品信息'!$C:$G,4,0),"-")</f>
        <v>0</v>
      </c>
      <c r="H154" s="60">
        <f>SUMIFS('领用录入（明细）'!K:K,'领用录入（明细）'!$F:$F,C154,'领用录入（明细）'!$C:$C,"&gt;="&amp;$E$4,'领用录入（明细）'!$C:$C,"&lt;="&amp;$G$4)</f>
        <v>0</v>
      </c>
      <c r="I154" s="46"/>
    </row>
    <row r="155" customHeight="1" spans="2:9">
      <c r="B155" s="59">
        <v>149</v>
      </c>
      <c r="C155" s="60" t="str">
        <f>IF('基础-办公用品信息'!C151="","-",'基础-办公用品信息'!C151)</f>
        <v>钉钉打卡机</v>
      </c>
      <c r="D155" s="60" t="str">
        <f>IF('基础-办公用品信息'!D151="","-",'基础-办公用品信息'!D151)</f>
        <v>个</v>
      </c>
      <c r="E155" s="60" t="e">
        <f>IF('基础-办公用品信息'!#REF!="","-",'基础-办公用品信息'!#REF!)</f>
        <v>#REF!</v>
      </c>
      <c r="F155" s="99">
        <f>SUMIFS('领用录入（明细）'!$I:$I,'领用录入（明细）'!$F:$F,C155,'领用录入（明细）'!$C:$C,"&gt;="&amp;$E$4,'领用录入（明细）'!$C:$C,"&lt;="&amp;$G$4)</f>
        <v>0</v>
      </c>
      <c r="G155" s="60">
        <f>IFERROR(VLOOKUP(C155,'基础-办公用品信息'!$C:$G,4,0),"-")</f>
        <v>0</v>
      </c>
      <c r="H155" s="60">
        <f>SUMIFS('领用录入（明细）'!K:K,'领用录入（明细）'!$F:$F,C155,'领用录入（明细）'!$C:$C,"&gt;="&amp;$E$4,'领用录入（明细）'!$C:$C,"&lt;="&amp;$G$4)</f>
        <v>0</v>
      </c>
      <c r="I155" s="46"/>
    </row>
    <row r="156" customHeight="1" spans="2:9">
      <c r="B156" s="59">
        <v>150</v>
      </c>
      <c r="C156" s="60" t="str">
        <f>IF('基础-办公用品信息'!C152="","-",'基础-办公用品信息'!C152)</f>
        <v>酒精消毒水</v>
      </c>
      <c r="D156" s="60" t="str">
        <f>IF('基础-办公用品信息'!D152="","-",'基础-办公用品信息'!D152)</f>
        <v>瓶</v>
      </c>
      <c r="E156" s="60" t="e">
        <f>IF('基础-办公用品信息'!#REF!="","-",'基础-办公用品信息'!#REF!)</f>
        <v>#REF!</v>
      </c>
      <c r="F156" s="99">
        <f>SUMIFS('领用录入（明细）'!$I:$I,'领用录入（明细）'!$F:$F,C156,'领用录入（明细）'!$C:$C,"&gt;="&amp;$E$4,'领用录入（明细）'!$C:$C,"&lt;="&amp;$G$4)</f>
        <v>0</v>
      </c>
      <c r="G156" s="60">
        <f>IFERROR(VLOOKUP(C156,'基础-办公用品信息'!$C:$G,4,0),"-")</f>
        <v>0</v>
      </c>
      <c r="H156" s="60">
        <f>SUMIFS('领用录入（明细）'!K:K,'领用录入（明细）'!$F:$F,C156,'领用录入（明细）'!$C:$C,"&gt;="&amp;$E$4,'领用录入（明细）'!$C:$C,"&lt;="&amp;$G$4)</f>
        <v>0</v>
      </c>
      <c r="I156" s="46"/>
    </row>
    <row r="157" customHeight="1" spans="2:9">
      <c r="B157" s="59">
        <v>151</v>
      </c>
      <c r="C157" s="60" t="str">
        <f>IF('基础-办公用品信息'!C153="","-",'基础-办公用品信息'!C153)</f>
        <v>马桶刷</v>
      </c>
      <c r="D157" s="60" t="str">
        <f>IF('基础-办公用品信息'!D153="","-",'基础-办公用品信息'!D153)</f>
        <v>个</v>
      </c>
      <c r="E157" s="60" t="e">
        <f>IF('基础-办公用品信息'!#REF!="","-",'基础-办公用品信息'!#REF!)</f>
        <v>#REF!</v>
      </c>
      <c r="F157" s="99">
        <f>SUMIFS('领用录入（明细）'!$I:$I,'领用录入（明细）'!$F:$F,C157,'领用录入（明细）'!$C:$C,"&gt;="&amp;$E$4,'领用录入（明细）'!$C:$C,"&lt;="&amp;$G$4)</f>
        <v>0</v>
      </c>
      <c r="G157" s="60">
        <f>IFERROR(VLOOKUP(C157,'基础-办公用品信息'!$C:$G,4,0),"-")</f>
        <v>0</v>
      </c>
      <c r="H157" s="60">
        <f>SUMIFS('领用录入（明细）'!K:K,'领用录入（明细）'!$F:$F,C157,'领用录入（明细）'!$C:$C,"&gt;="&amp;$E$4,'领用录入（明细）'!$C:$C,"&lt;="&amp;$G$4)</f>
        <v>0</v>
      </c>
      <c r="I157" s="46"/>
    </row>
    <row r="158" customHeight="1" spans="2:9">
      <c r="B158" s="59">
        <v>152</v>
      </c>
      <c r="C158" s="60" t="str">
        <f>IF('基础-办公用品信息'!C154="","-",'基础-办公用品信息'!C154)</f>
        <v>洗手液</v>
      </c>
      <c r="D158" s="60" t="str">
        <f>IF('基础-办公用品信息'!D154="","-",'基础-办公用品信息'!D154)</f>
        <v>瓶</v>
      </c>
      <c r="E158" s="60" t="e">
        <f>IF('基础-办公用品信息'!#REF!="","-",'基础-办公用品信息'!#REF!)</f>
        <v>#REF!</v>
      </c>
      <c r="F158" s="99">
        <f>SUMIFS('领用录入（明细）'!$I:$I,'领用录入（明细）'!$F:$F,C158,'领用录入（明细）'!$C:$C,"&gt;="&amp;$E$4,'领用录入（明细）'!$C:$C,"&lt;="&amp;$G$4)</f>
        <v>0</v>
      </c>
      <c r="G158" s="60">
        <f>IFERROR(VLOOKUP(C158,'基础-办公用品信息'!$C:$G,4,0),"-")</f>
        <v>0</v>
      </c>
      <c r="H158" s="60">
        <f>SUMIFS('领用录入（明细）'!K:K,'领用录入（明细）'!$F:$F,C158,'领用录入（明细）'!$C:$C,"&gt;="&amp;$E$4,'领用录入（明细）'!$C:$C,"&lt;="&amp;$G$4)</f>
        <v>0</v>
      </c>
      <c r="I158" s="46"/>
    </row>
    <row r="159" customHeight="1" spans="2:9">
      <c r="B159" s="59">
        <v>153</v>
      </c>
      <c r="C159" s="60" t="str">
        <f>IF('基础-办公用品信息'!C155="","-",'基础-办公用品信息'!C155)</f>
        <v>报销单</v>
      </c>
      <c r="D159" s="60" t="str">
        <f>IF('基础-办公用品信息'!D155="","-",'基础-办公用品信息'!D155)</f>
        <v>本</v>
      </c>
      <c r="E159" s="60" t="e">
        <f>IF('基础-办公用品信息'!#REF!="","-",'基础-办公用品信息'!#REF!)</f>
        <v>#REF!</v>
      </c>
      <c r="F159" s="99">
        <f>SUMIFS('领用录入（明细）'!$I:$I,'领用录入（明细）'!$F:$F,C159,'领用录入（明细）'!$C:$C,"&gt;="&amp;$E$4,'领用录入（明细）'!$C:$C,"&lt;="&amp;$G$4)</f>
        <v>0</v>
      </c>
      <c r="G159" s="60">
        <f>IFERROR(VLOOKUP(C159,'基础-办公用品信息'!$C:$G,4,0),"-")</f>
        <v>1.2</v>
      </c>
      <c r="H159" s="60">
        <f>SUMIFS('领用录入（明细）'!K:K,'领用录入（明细）'!$F:$F,C159,'领用录入（明细）'!$C:$C,"&gt;="&amp;$E$4,'领用录入（明细）'!$C:$C,"&lt;="&amp;$G$4)</f>
        <v>0</v>
      </c>
      <c r="I159" s="46"/>
    </row>
    <row r="160" customHeight="1" spans="2:9">
      <c r="B160" s="59">
        <v>154</v>
      </c>
      <c r="C160" s="60" t="str">
        <f>IF('基础-办公用品信息'!C156="","-",'基础-办公用品信息'!C156)</f>
        <v>手套</v>
      </c>
      <c r="D160" s="60" t="str">
        <f>IF('基础-办公用品信息'!D156="","-",'基础-办公用品信息'!D156)</f>
        <v>双</v>
      </c>
      <c r="E160" s="60" t="e">
        <f>IF('基础-办公用品信息'!#REF!="","-",'基础-办公用品信息'!#REF!)</f>
        <v>#REF!</v>
      </c>
      <c r="F160" s="99">
        <f>SUMIFS('领用录入（明细）'!$I:$I,'领用录入（明细）'!$F:$F,C160,'领用录入（明细）'!$C:$C,"&gt;="&amp;$E$4,'领用录入（明细）'!$C:$C,"&lt;="&amp;$G$4)</f>
        <v>0</v>
      </c>
      <c r="G160" s="60">
        <f>IFERROR(VLOOKUP(C160,'基础-办公用品信息'!$C:$G,4,0),"-")</f>
        <v>0</v>
      </c>
      <c r="H160" s="60">
        <f>SUMIFS('领用录入（明细）'!K:K,'领用录入（明细）'!$F:$F,C160,'领用录入（明细）'!$C:$C,"&gt;="&amp;$E$4,'领用录入（明细）'!$C:$C,"&lt;="&amp;$G$4)</f>
        <v>0</v>
      </c>
      <c r="I160" s="46"/>
    </row>
    <row r="161" customHeight="1" spans="2:9">
      <c r="B161" s="59">
        <v>155</v>
      </c>
      <c r="C161" s="60" t="str">
        <f>IF('基础-办公用品信息'!C157="","-",'基础-办公用品信息'!C157)</f>
        <v>安全帽</v>
      </c>
      <c r="D161" s="60" t="str">
        <f>IF('基础-办公用品信息'!D157="","-",'基础-办公用品信息'!D157)</f>
        <v>顶</v>
      </c>
      <c r="E161" s="60" t="e">
        <f>IF('基础-办公用品信息'!#REF!="","-",'基础-办公用品信息'!#REF!)</f>
        <v>#REF!</v>
      </c>
      <c r="F161" s="99">
        <f>SUMIFS('领用录入（明细）'!$I:$I,'领用录入（明细）'!$F:$F,C161,'领用录入（明细）'!$C:$C,"&gt;="&amp;$E$4,'领用录入（明细）'!$C:$C,"&lt;="&amp;$G$4)</f>
        <v>0</v>
      </c>
      <c r="G161" s="60">
        <f>IFERROR(VLOOKUP(C161,'基础-办公用品信息'!$C:$G,4,0),"-")</f>
        <v>0</v>
      </c>
      <c r="H161" s="60">
        <f>SUMIFS('领用录入（明细）'!K:K,'领用录入（明细）'!$F:$F,C161,'领用录入（明细）'!$C:$C,"&gt;="&amp;$E$4,'领用录入（明细）'!$C:$C,"&lt;="&amp;$G$4)</f>
        <v>0</v>
      </c>
      <c r="I161" s="46"/>
    </row>
    <row r="162" customHeight="1" spans="2:9">
      <c r="B162" s="59">
        <v>156</v>
      </c>
      <c r="C162" s="60" t="str">
        <f>IF('基础-办公用品信息'!C158="","-",'基础-办公用品信息'!C158)</f>
        <v>扫把</v>
      </c>
      <c r="D162" s="60" t="str">
        <f>IF('基础-办公用品信息'!D158="","-",'基础-办公用品信息'!D158)</f>
        <v>把</v>
      </c>
      <c r="E162" s="60" t="e">
        <f>IF('基础-办公用品信息'!#REF!="","-",'基础-办公用品信息'!#REF!)</f>
        <v>#REF!</v>
      </c>
      <c r="F162" s="99">
        <f>SUMIFS('领用录入（明细）'!$I:$I,'领用录入（明细）'!$F:$F,C162,'领用录入（明细）'!$C:$C,"&gt;="&amp;$E$4,'领用录入（明细）'!$C:$C,"&lt;="&amp;$G$4)</f>
        <v>0</v>
      </c>
      <c r="G162" s="60">
        <f>IFERROR(VLOOKUP(C162,'基础-办公用品信息'!$C:$G,4,0),"-")</f>
        <v>0</v>
      </c>
      <c r="H162" s="60">
        <f>SUMIFS('领用录入（明细）'!K:K,'领用录入（明细）'!$F:$F,C162,'领用录入（明细）'!$C:$C,"&gt;="&amp;$E$4,'领用录入（明细）'!$C:$C,"&lt;="&amp;$G$4)</f>
        <v>0</v>
      </c>
      <c r="I162" s="46"/>
    </row>
    <row r="163" customHeight="1" spans="2:9">
      <c r="B163" s="59">
        <v>157</v>
      </c>
      <c r="C163" s="60" t="str">
        <f>IF('基础-办公用品信息'!C159="","-",'基础-办公用品信息'!C159)</f>
        <v>交换机</v>
      </c>
      <c r="D163" s="60" t="str">
        <f>IF('基础-办公用品信息'!D159="","-",'基础-办公用品信息'!D159)</f>
        <v>个</v>
      </c>
      <c r="E163" s="60" t="e">
        <f>IF('基础-办公用品信息'!#REF!="","-",'基础-办公用品信息'!#REF!)</f>
        <v>#REF!</v>
      </c>
      <c r="F163" s="99">
        <f>SUMIFS('领用录入（明细）'!$I:$I,'领用录入（明细）'!$F:$F,C163,'领用录入（明细）'!$C:$C,"&gt;="&amp;$E$4,'领用录入（明细）'!$C:$C,"&lt;="&amp;$G$4)</f>
        <v>0</v>
      </c>
      <c r="G163" s="60">
        <f>IFERROR(VLOOKUP(C163,'基础-办公用品信息'!$C:$G,4,0),"-")</f>
        <v>0</v>
      </c>
      <c r="H163" s="60">
        <f>SUMIFS('领用录入（明细）'!K:K,'领用录入（明细）'!$F:$F,C163,'领用录入（明细）'!$C:$C,"&gt;="&amp;$E$4,'领用录入（明细）'!$C:$C,"&lt;="&amp;$G$4)</f>
        <v>0</v>
      </c>
      <c r="I163" s="46"/>
    </row>
    <row r="164" customHeight="1" spans="2:9">
      <c r="B164" s="59">
        <v>158</v>
      </c>
      <c r="C164" s="60" t="str">
        <f>IF('基础-办公用品信息'!C160="","-",'基础-办公用品信息'!C160)</f>
        <v>狗粮</v>
      </c>
      <c r="D164" s="60" t="str">
        <f>IF('基础-办公用品信息'!D160="","-",'基础-办公用品信息'!D160)</f>
        <v>包</v>
      </c>
      <c r="E164" s="60" t="e">
        <f>IF('基础-办公用品信息'!#REF!="","-",'基础-办公用品信息'!#REF!)</f>
        <v>#REF!</v>
      </c>
      <c r="F164" s="99">
        <f>SUMIFS('领用录入（明细）'!$I:$I,'领用录入（明细）'!$F:$F,C164,'领用录入（明细）'!$C:$C,"&gt;="&amp;$E$4,'领用录入（明细）'!$C:$C,"&lt;="&amp;$G$4)</f>
        <v>0</v>
      </c>
      <c r="G164" s="60">
        <f>IFERROR(VLOOKUP(C164,'基础-办公用品信息'!$C:$G,4,0),"-")</f>
        <v>0</v>
      </c>
      <c r="H164" s="60">
        <f>SUMIFS('领用录入（明细）'!K:K,'领用录入（明细）'!$F:$F,C164,'领用录入（明细）'!$C:$C,"&gt;="&amp;$E$4,'领用录入（明细）'!$C:$C,"&lt;="&amp;$G$4)</f>
        <v>0</v>
      </c>
      <c r="I164" s="46"/>
    </row>
    <row r="165" customHeight="1" spans="2:9">
      <c r="B165" s="59">
        <v>159</v>
      </c>
      <c r="C165" s="60" t="str">
        <f>IF('基础-办公用品信息'!C161="","-",'基础-办公用品信息'!C161)</f>
        <v>尘推杆</v>
      </c>
      <c r="D165" s="60" t="str">
        <f>IF('基础-办公用品信息'!D161="","-",'基础-办公用品信息'!D161)</f>
        <v>根</v>
      </c>
      <c r="E165" s="60" t="e">
        <f>IF('基础-办公用品信息'!#REF!="","-",'基础-办公用品信息'!#REF!)</f>
        <v>#REF!</v>
      </c>
      <c r="F165" s="99">
        <f>SUMIFS('领用录入（明细）'!$I:$I,'领用录入（明细）'!$F:$F,C165,'领用录入（明细）'!$C:$C,"&gt;="&amp;$E$4,'领用录入（明细）'!$C:$C,"&lt;="&amp;$G$4)</f>
        <v>0</v>
      </c>
      <c r="G165" s="60">
        <f>IFERROR(VLOOKUP(C165,'基础-办公用品信息'!$C:$G,4,0),"-")</f>
        <v>0</v>
      </c>
      <c r="H165" s="60">
        <f>SUMIFS('领用录入（明细）'!K:K,'领用录入（明细）'!$F:$F,C165,'领用录入（明细）'!$C:$C,"&gt;="&amp;$E$4,'领用录入（明细）'!$C:$C,"&lt;="&amp;$G$4)</f>
        <v>0</v>
      </c>
      <c r="I165" s="46"/>
    </row>
    <row r="166" customHeight="1" spans="2:9">
      <c r="B166" s="59">
        <v>160</v>
      </c>
      <c r="C166" s="60" t="str">
        <f>IF('基础-办公用品信息'!C162="","-",'基础-办公用品信息'!C162)</f>
        <v>橡胶手套</v>
      </c>
      <c r="D166" s="60" t="str">
        <f>IF('基础-办公用品信息'!D162="","-",'基础-办公用品信息'!D162)</f>
        <v>双</v>
      </c>
      <c r="E166" s="60" t="e">
        <f>IF('基础-办公用品信息'!#REF!="","-",'基础-办公用品信息'!#REF!)</f>
        <v>#REF!</v>
      </c>
      <c r="F166" s="99">
        <f>SUMIFS('领用录入（明细）'!$I:$I,'领用录入（明细）'!$F:$F,C166,'领用录入（明细）'!$C:$C,"&gt;="&amp;$E$4,'领用录入（明细）'!$C:$C,"&lt;="&amp;$G$4)</f>
        <v>0</v>
      </c>
      <c r="G166" s="60">
        <f>IFERROR(VLOOKUP(C166,'基础-办公用品信息'!$C:$G,4,0),"-")</f>
        <v>0</v>
      </c>
      <c r="H166" s="60">
        <f>SUMIFS('领用录入（明细）'!K:K,'领用录入（明细）'!$F:$F,C166,'领用录入（明细）'!$C:$C,"&gt;="&amp;$E$4,'领用录入（明细）'!$C:$C,"&lt;="&amp;$G$4)</f>
        <v>0</v>
      </c>
      <c r="I166" s="46"/>
    </row>
    <row r="167" customHeight="1" spans="2:9">
      <c r="B167" s="59">
        <v>161</v>
      </c>
      <c r="C167" s="60" t="str">
        <f>IF('基础-办公用品信息'!C163="","-",'基础-办公用品信息'!C163)</f>
        <v>透明胶带大卷</v>
      </c>
      <c r="D167" s="60" t="str">
        <f>IF('基础-办公用品信息'!D163="","-",'基础-办公用品信息'!D163)</f>
        <v>卷</v>
      </c>
      <c r="E167" s="60" t="e">
        <f>IF('基础-办公用品信息'!#REF!="","-",'基础-办公用品信息'!#REF!)</f>
        <v>#REF!</v>
      </c>
      <c r="F167" s="99">
        <f>SUMIFS('领用录入（明细）'!$I:$I,'领用录入（明细）'!$F:$F,C167,'领用录入（明细）'!$C:$C,"&gt;="&amp;$E$4,'领用录入（明细）'!$C:$C,"&lt;="&amp;$G$4)</f>
        <v>0</v>
      </c>
      <c r="G167" s="60">
        <f>IFERROR(VLOOKUP(C167,'基础-办公用品信息'!$C:$G,4,0),"-")</f>
        <v>0</v>
      </c>
      <c r="H167" s="60">
        <f>SUMIFS('领用录入（明细）'!K:K,'领用录入（明细）'!$F:$F,C167,'领用录入（明细）'!$C:$C,"&gt;="&amp;$E$4,'领用录入（明细）'!$C:$C,"&lt;="&amp;$G$4)</f>
        <v>0</v>
      </c>
      <c r="I167" s="46"/>
    </row>
    <row r="168" customHeight="1" spans="2:9">
      <c r="B168" s="59">
        <v>162</v>
      </c>
      <c r="C168" s="60" t="str">
        <f>IF('基础-办公用品信息'!C164="","-",'基础-办公用品信息'!C164)</f>
        <v>垃圾袋大</v>
      </c>
      <c r="D168" s="60" t="str">
        <f>IF('基础-办公用品信息'!D164="","-",'基础-办公用品信息'!D164)</f>
        <v>卷</v>
      </c>
      <c r="E168" s="60" t="e">
        <f>IF('基础-办公用品信息'!#REF!="","-",'基础-办公用品信息'!#REF!)</f>
        <v>#REF!</v>
      </c>
      <c r="F168" s="99">
        <f>SUMIFS('领用录入（明细）'!$I:$I,'领用录入（明细）'!$F:$F,C168,'领用录入（明细）'!$C:$C,"&gt;="&amp;$E$4,'领用录入（明细）'!$C:$C,"&lt;="&amp;$G$4)</f>
        <v>0</v>
      </c>
      <c r="G168" s="60">
        <f>IFERROR(VLOOKUP(C168,'基础-办公用品信息'!$C:$G,4,0),"-")</f>
        <v>0</v>
      </c>
      <c r="H168" s="60">
        <f>SUMIFS('领用录入（明细）'!K:K,'领用录入（明细）'!$F:$F,C168,'领用录入（明细）'!$C:$C,"&gt;="&amp;$E$4,'领用录入（明细）'!$C:$C,"&lt;="&amp;$G$4)</f>
        <v>0</v>
      </c>
      <c r="I168" s="46"/>
    </row>
    <row r="169" customHeight="1" spans="2:9">
      <c r="B169" s="59">
        <v>163</v>
      </c>
      <c r="C169" s="60" t="str">
        <f>IF('基础-办公用品信息'!C165="","-",'基础-办公用品信息'!C165)</f>
        <v>垃圾袋小</v>
      </c>
      <c r="D169" s="60" t="str">
        <f>IF('基础-办公用品信息'!D165="","-",'基础-办公用品信息'!D165)</f>
        <v>卷</v>
      </c>
      <c r="E169" s="60" t="e">
        <f>IF('基础-办公用品信息'!#REF!="","-",'基础-办公用品信息'!#REF!)</f>
        <v>#REF!</v>
      </c>
      <c r="F169" s="99">
        <f>SUMIFS('领用录入（明细）'!$I:$I,'领用录入（明细）'!$F:$F,C169,'领用录入（明细）'!$C:$C,"&gt;="&amp;$E$4,'领用录入（明细）'!$C:$C,"&lt;="&amp;$G$4)</f>
        <v>0</v>
      </c>
      <c r="G169" s="60">
        <f>IFERROR(VLOOKUP(C169,'基础-办公用品信息'!$C:$G,4,0),"-")</f>
        <v>0</v>
      </c>
      <c r="H169" s="60">
        <f>SUMIFS('领用录入（明细）'!K:K,'领用录入（明细）'!$F:$F,C169,'领用录入（明细）'!$C:$C,"&gt;="&amp;$E$4,'领用录入（明细）'!$C:$C,"&lt;="&amp;$G$4)</f>
        <v>0</v>
      </c>
      <c r="I169" s="46"/>
    </row>
    <row r="170" customHeight="1" spans="2:9">
      <c r="B170" s="59">
        <v>164</v>
      </c>
      <c r="C170" s="60" t="str">
        <f>IF('基础-办公用品信息'!C166="","-",'基础-办公用品信息'!C166)</f>
        <v>次氯酸消毒液</v>
      </c>
      <c r="D170" s="60" t="str">
        <f>IF('基础-办公用品信息'!D166="","-",'基础-办公用品信息'!D166)</f>
        <v>瓶</v>
      </c>
      <c r="E170" s="60" t="e">
        <f>IF('基础-办公用品信息'!#REF!="","-",'基础-办公用品信息'!#REF!)</f>
        <v>#REF!</v>
      </c>
      <c r="F170" s="99">
        <f>SUMIFS('领用录入（明细）'!$I:$I,'领用录入（明细）'!$F:$F,C170,'领用录入（明细）'!$C:$C,"&gt;="&amp;$E$4,'领用录入（明细）'!$C:$C,"&lt;="&amp;$G$4)</f>
        <v>0</v>
      </c>
      <c r="G170" s="60">
        <f>IFERROR(VLOOKUP(C170,'基础-办公用品信息'!$C:$G,4,0),"-")</f>
        <v>0</v>
      </c>
      <c r="H170" s="60">
        <f>SUMIFS('领用录入（明细）'!K:K,'领用录入（明细）'!$F:$F,C170,'领用录入（明细）'!$C:$C,"&gt;="&amp;$E$4,'领用录入（明细）'!$C:$C,"&lt;="&amp;$G$4)</f>
        <v>0</v>
      </c>
      <c r="I170" s="46"/>
    </row>
    <row r="171" customHeight="1" spans="2:9">
      <c r="B171" s="59">
        <v>165</v>
      </c>
      <c r="C171" s="60" t="str">
        <f>IF('基础-办公用品信息'!C167="","-",'基础-办公用品信息'!C167)</f>
        <v>喷壶</v>
      </c>
      <c r="D171" s="60" t="str">
        <f>IF('基础-办公用品信息'!D167="","-",'基础-办公用品信息'!D167)</f>
        <v>个</v>
      </c>
      <c r="E171" s="60" t="e">
        <f>IF('基础-办公用品信息'!#REF!="","-",'基础-办公用品信息'!#REF!)</f>
        <v>#REF!</v>
      </c>
      <c r="F171" s="99">
        <f>SUMIFS('领用录入（明细）'!$I:$I,'领用录入（明细）'!$F:$F,C171,'领用录入（明细）'!$C:$C,"&gt;="&amp;$E$4,'领用录入（明细）'!$C:$C,"&lt;="&amp;$G$4)</f>
        <v>0</v>
      </c>
      <c r="G171" s="60">
        <f>IFERROR(VLOOKUP(C171,'基础-办公用品信息'!$C:$G,4,0),"-")</f>
        <v>0</v>
      </c>
      <c r="H171" s="60">
        <f>SUMIFS('领用录入（明细）'!K:K,'领用录入（明细）'!$F:$F,C171,'领用录入（明细）'!$C:$C,"&gt;="&amp;$E$4,'领用录入（明细）'!$C:$C,"&lt;="&amp;$G$4)</f>
        <v>0</v>
      </c>
      <c r="I171" s="46"/>
    </row>
    <row r="172" customHeight="1" spans="2:9">
      <c r="B172" s="59">
        <v>166</v>
      </c>
      <c r="C172" s="60" t="str">
        <f>IF('基础-办公用品信息'!C168="","-",'基础-办公用品信息'!C168)</f>
        <v>马桶刷</v>
      </c>
      <c r="D172" s="60" t="str">
        <f>IF('基础-办公用品信息'!D168="","-",'基础-办公用品信息'!D168)</f>
        <v>个</v>
      </c>
      <c r="E172" s="60" t="e">
        <f>IF('基础-办公用品信息'!#REF!="","-",'基础-办公用品信息'!#REF!)</f>
        <v>#REF!</v>
      </c>
      <c r="F172" s="99">
        <f>SUMIFS('领用录入（明细）'!$I:$I,'领用录入（明细）'!$F:$F,C172,'领用录入（明细）'!$C:$C,"&gt;="&amp;$E$4,'领用录入（明细）'!$C:$C,"&lt;="&amp;$G$4)</f>
        <v>0</v>
      </c>
      <c r="G172" s="60">
        <f>IFERROR(VLOOKUP(C172,'基础-办公用品信息'!$C:$G,4,0),"-")</f>
        <v>0</v>
      </c>
      <c r="H172" s="60">
        <f>SUMIFS('领用录入（明细）'!K:K,'领用录入（明细）'!$F:$F,C172,'领用录入（明细）'!$C:$C,"&gt;="&amp;$E$4,'领用录入（明细）'!$C:$C,"&lt;="&amp;$G$4)</f>
        <v>0</v>
      </c>
      <c r="I172" s="46"/>
    </row>
    <row r="173" customHeight="1" spans="2:9">
      <c r="B173" s="59">
        <v>167</v>
      </c>
      <c r="C173" s="60" t="str">
        <f>IF('基础-办公用品信息'!C169="","-",'基础-办公用品信息'!C169)</f>
        <v>无线网卡</v>
      </c>
      <c r="D173" s="60" t="str">
        <f>IF('基础-办公用品信息'!D169="","-",'基础-办公用品信息'!D169)</f>
        <v>个</v>
      </c>
      <c r="E173" s="60" t="e">
        <f>IF('基础-办公用品信息'!#REF!="","-",'基础-办公用品信息'!#REF!)</f>
        <v>#REF!</v>
      </c>
      <c r="F173" s="99">
        <f>SUMIFS('领用录入（明细）'!$I:$I,'领用录入（明细）'!$F:$F,C173,'领用录入（明细）'!$C:$C,"&gt;="&amp;$E$4,'领用录入（明细）'!$C:$C,"&lt;="&amp;$G$4)</f>
        <v>0</v>
      </c>
      <c r="G173" s="60">
        <f>IFERROR(VLOOKUP(C173,'基础-办公用品信息'!$C:$G,4,0),"-")</f>
        <v>0</v>
      </c>
      <c r="H173" s="60">
        <f>SUMIFS('领用录入（明细）'!K:K,'领用录入（明细）'!$F:$F,C173,'领用录入（明细）'!$C:$C,"&gt;="&amp;$E$4,'领用录入（明细）'!$C:$C,"&lt;="&amp;$G$4)</f>
        <v>0</v>
      </c>
      <c r="I173" s="46"/>
    </row>
    <row r="174" customHeight="1" spans="2:9">
      <c r="B174" s="59">
        <v>168</v>
      </c>
      <c r="C174" s="60" t="str">
        <f>IF('基础-办公用品信息'!C170="","-",'基础-办公用品信息'!C170)</f>
        <v>院子灯泡</v>
      </c>
      <c r="D174" s="60" t="str">
        <f>IF('基础-办公用品信息'!D170="","-",'基础-办公用品信息'!D170)</f>
        <v>个</v>
      </c>
      <c r="E174" s="60" t="e">
        <f>IF('基础-办公用品信息'!#REF!="","-",'基础-办公用品信息'!#REF!)</f>
        <v>#REF!</v>
      </c>
      <c r="F174" s="99">
        <f>SUMIFS('领用录入（明细）'!$I:$I,'领用录入（明细）'!$F:$F,C174,'领用录入（明细）'!$C:$C,"&gt;="&amp;$E$4,'领用录入（明细）'!$C:$C,"&lt;="&amp;$G$4)</f>
        <v>0</v>
      </c>
      <c r="G174" s="60">
        <f>IFERROR(VLOOKUP(C174,'基础-办公用品信息'!$C:$G,4,0),"-")</f>
        <v>15</v>
      </c>
      <c r="H174" s="60">
        <f>SUMIFS('领用录入（明细）'!K:K,'领用录入（明细）'!$F:$F,C174,'领用录入（明细）'!$C:$C,"&gt;="&amp;$E$4,'领用录入（明细）'!$C:$C,"&lt;="&amp;$G$4)</f>
        <v>0</v>
      </c>
      <c r="I174" s="46"/>
    </row>
    <row r="175" customHeight="1" spans="2:9">
      <c r="B175" s="59">
        <v>169</v>
      </c>
      <c r="C175" s="60" t="str">
        <f>IF('基础-办公用品信息'!C171="","-",'基础-办公用品信息'!C171)</f>
        <v>洗衣粉</v>
      </c>
      <c r="D175" s="60" t="str">
        <f>IF('基础-办公用品信息'!D171="","-",'基础-办公用品信息'!D171)</f>
        <v>包</v>
      </c>
      <c r="E175" s="60" t="e">
        <f>IF('基础-办公用品信息'!#REF!="","-",'基础-办公用品信息'!#REF!)</f>
        <v>#REF!</v>
      </c>
      <c r="F175" s="99">
        <f>SUMIFS('领用录入（明细）'!$I:$I,'领用录入（明细）'!$F:$F,C175,'领用录入（明细）'!$C:$C,"&gt;="&amp;$E$4,'领用录入（明细）'!$C:$C,"&lt;="&amp;$G$4)</f>
        <v>0</v>
      </c>
      <c r="G175" s="60">
        <f>IFERROR(VLOOKUP(C175,'基础-办公用品信息'!$C:$G,4,0),"-")</f>
        <v>0</v>
      </c>
      <c r="H175" s="60">
        <f>SUMIFS('领用录入（明细）'!K:K,'领用录入（明细）'!$F:$F,C175,'领用录入（明细）'!$C:$C,"&gt;="&amp;$E$4,'领用录入（明细）'!$C:$C,"&lt;="&amp;$G$4)</f>
        <v>0</v>
      </c>
      <c r="I175" s="46"/>
    </row>
    <row r="176" customHeight="1" spans="2:9">
      <c r="B176" s="59">
        <v>170</v>
      </c>
      <c r="C176" s="60" t="str">
        <f>IF('基础-办公用品信息'!C172="","-",'基础-办公用品信息'!C172)</f>
        <v>海绵</v>
      </c>
      <c r="D176" s="60" t="str">
        <f>IF('基础-办公用品信息'!D172="","-",'基础-办公用品信息'!D172)</f>
        <v>个</v>
      </c>
      <c r="E176" s="60" t="e">
        <f>IF('基础-办公用品信息'!#REF!="","-",'基础-办公用品信息'!#REF!)</f>
        <v>#REF!</v>
      </c>
      <c r="F176" s="99">
        <f>SUMIFS('领用录入（明细）'!$I:$I,'领用录入（明细）'!$F:$F,C176,'领用录入（明细）'!$C:$C,"&gt;="&amp;$E$4,'领用录入（明细）'!$C:$C,"&lt;="&amp;$G$4)</f>
        <v>0</v>
      </c>
      <c r="G176" s="60">
        <f>IFERROR(VLOOKUP(C176,'基础-办公用品信息'!$C:$G,4,0),"-")</f>
        <v>0</v>
      </c>
      <c r="H176" s="60">
        <f>SUMIFS('领用录入（明细）'!K:K,'领用录入（明细）'!$F:$F,C176,'领用录入（明细）'!$C:$C,"&gt;="&amp;$E$4,'领用录入（明细）'!$C:$C,"&lt;="&amp;$G$4)</f>
        <v>0</v>
      </c>
      <c r="I176" s="46"/>
    </row>
    <row r="177" customHeight="1" spans="2:9">
      <c r="B177" s="59">
        <v>171</v>
      </c>
      <c r="C177" s="60" t="str">
        <f>IF('基础-办公用品信息'!C173="","-",'基础-办公用品信息'!C173)</f>
        <v>304不锈钢餐盘（带盖）</v>
      </c>
      <c r="D177" s="60" t="str">
        <f>IF('基础-办公用品信息'!D173="","-",'基础-办公用品信息'!D173)</f>
        <v>个</v>
      </c>
      <c r="E177" s="60" t="e">
        <f>IF('基础-办公用品信息'!#REF!="","-",'基础-办公用品信息'!#REF!)</f>
        <v>#REF!</v>
      </c>
      <c r="F177" s="99">
        <f>SUMIFS('领用录入（明细）'!$I:$I,'领用录入（明细）'!$F:$F,C177,'领用录入（明细）'!$C:$C,"&gt;="&amp;$E$4,'领用录入（明细）'!$C:$C,"&lt;="&amp;$G$4)</f>
        <v>0</v>
      </c>
      <c r="G177" s="60">
        <f>IFERROR(VLOOKUP(C177,'基础-办公用品信息'!$C:$G,4,0),"-")</f>
        <v>0</v>
      </c>
      <c r="H177" s="60">
        <f>SUMIFS('领用录入（明细）'!K:K,'领用录入（明细）'!$F:$F,C177,'领用录入（明细）'!$C:$C,"&gt;="&amp;$E$4,'领用录入（明细）'!$C:$C,"&lt;="&amp;$G$4)</f>
        <v>0</v>
      </c>
      <c r="I177" s="46"/>
    </row>
    <row r="178" customHeight="1" spans="2:9">
      <c r="B178" s="59">
        <v>172</v>
      </c>
      <c r="C178" s="60" t="str">
        <f>IF('基础-办公用品信息'!C174="","-",'基础-办公用品信息'!C174)</f>
        <v>304不锈钢餐盘）</v>
      </c>
      <c r="D178" s="60" t="str">
        <f>IF('基础-办公用品信息'!D174="","-",'基础-办公用品信息'!D174)</f>
        <v>个</v>
      </c>
      <c r="E178" s="60" t="e">
        <f>IF('基础-办公用品信息'!#REF!="","-",'基础-办公用品信息'!#REF!)</f>
        <v>#REF!</v>
      </c>
      <c r="F178" s="99">
        <f>SUMIFS('领用录入（明细）'!$I:$I,'领用录入（明细）'!$F:$F,C178,'领用录入（明细）'!$C:$C,"&gt;="&amp;$E$4,'领用录入（明细）'!$C:$C,"&lt;="&amp;$G$4)</f>
        <v>0</v>
      </c>
      <c r="G178" s="60">
        <f>IFERROR(VLOOKUP(C178,'基础-办公用品信息'!$C:$G,4,0),"-")</f>
        <v>0</v>
      </c>
      <c r="H178" s="60">
        <f>SUMIFS('领用录入（明细）'!K:K,'领用录入（明细）'!$F:$F,C178,'领用录入（明细）'!$C:$C,"&gt;="&amp;$E$4,'领用录入（明细）'!$C:$C,"&lt;="&amp;$G$4)</f>
        <v>0</v>
      </c>
      <c r="I178" s="46"/>
    </row>
    <row r="179" customHeight="1" spans="2:9">
      <c r="B179" s="59">
        <v>173</v>
      </c>
      <c r="C179" s="60" t="str">
        <f>IF('基础-办公用品信息'!C175="","-",'基础-办公用品信息'!C175)</f>
        <v>调料罐</v>
      </c>
      <c r="D179" s="60" t="str">
        <f>IF('基础-办公用品信息'!D175="","-",'基础-办公用品信息'!D175)</f>
        <v>个</v>
      </c>
      <c r="E179" s="60" t="e">
        <f>IF('基础-办公用品信息'!#REF!="","-",'基础-办公用品信息'!#REF!)</f>
        <v>#REF!</v>
      </c>
      <c r="F179" s="99">
        <f>SUMIFS('领用录入（明细）'!$I:$I,'领用录入（明细）'!$F:$F,C179,'领用录入（明细）'!$C:$C,"&gt;="&amp;$E$4,'领用录入（明细）'!$C:$C,"&lt;="&amp;$G$4)</f>
        <v>0</v>
      </c>
      <c r="G179" s="60">
        <f>IFERROR(VLOOKUP(C179,'基础-办公用品信息'!$C:$G,4,0),"-")</f>
        <v>0</v>
      </c>
      <c r="H179" s="60">
        <f>SUMIFS('领用录入（明细）'!K:K,'领用录入（明细）'!$F:$F,C179,'领用录入（明细）'!$C:$C,"&gt;="&amp;$E$4,'领用录入（明细）'!$C:$C,"&lt;="&amp;$G$4)</f>
        <v>0</v>
      </c>
      <c r="I179" s="46"/>
    </row>
    <row r="180" customHeight="1" spans="2:9">
      <c r="B180" s="59">
        <v>174</v>
      </c>
      <c r="C180" s="60" t="str">
        <f>IF('基础-办公用品信息'!C176="","-",'基础-办公用品信息'!C176)</f>
        <v>调料罐盖</v>
      </c>
      <c r="D180" s="60" t="str">
        <f>IF('基础-办公用品信息'!D176="","-",'基础-办公用品信息'!D176)</f>
        <v>个</v>
      </c>
      <c r="E180" s="60" t="e">
        <f>IF('基础-办公用品信息'!#REF!="","-",'基础-办公用品信息'!#REF!)</f>
        <v>#REF!</v>
      </c>
      <c r="F180" s="99">
        <f>SUMIFS('领用录入（明细）'!$I:$I,'领用录入（明细）'!$F:$F,C180,'领用录入（明细）'!$C:$C,"&gt;="&amp;$E$4,'领用录入（明细）'!$C:$C,"&lt;="&amp;$G$4)</f>
        <v>0</v>
      </c>
      <c r="G180" s="60">
        <f>IFERROR(VLOOKUP(C180,'基础-办公用品信息'!$C:$G,4,0),"-")</f>
        <v>0</v>
      </c>
      <c r="H180" s="60">
        <f>SUMIFS('领用录入（明细）'!K:K,'领用录入（明细）'!$F:$F,C180,'领用录入（明细）'!$C:$C,"&gt;="&amp;$E$4,'领用录入（明细）'!$C:$C,"&lt;="&amp;$G$4)</f>
        <v>0</v>
      </c>
      <c r="I180" s="46"/>
    </row>
    <row r="181" customHeight="1" spans="2:9">
      <c r="B181" s="59">
        <v>175</v>
      </c>
      <c r="C181" s="60" t="str">
        <f>IF('基础-办公用品信息'!C177="","-",'基础-办公用品信息'!C177)</f>
        <v>304不锈钢油缸</v>
      </c>
      <c r="D181" s="60" t="str">
        <f>IF('基础-办公用品信息'!D177="","-",'基础-办公用品信息'!D177)</f>
        <v>个</v>
      </c>
      <c r="E181" s="60" t="e">
        <f>IF('基础-办公用品信息'!#REF!="","-",'基础-办公用品信息'!#REF!)</f>
        <v>#REF!</v>
      </c>
      <c r="F181" s="99">
        <f>SUMIFS('领用录入（明细）'!$I:$I,'领用录入（明细）'!$F:$F,C181,'领用录入（明细）'!$C:$C,"&gt;="&amp;$E$4,'领用录入（明细）'!$C:$C,"&lt;="&amp;$G$4)</f>
        <v>0</v>
      </c>
      <c r="G181" s="60">
        <f>IFERROR(VLOOKUP(C181,'基础-办公用品信息'!$C:$G,4,0),"-")</f>
        <v>0</v>
      </c>
      <c r="H181" s="60">
        <f>SUMIFS('领用录入（明细）'!K:K,'领用录入（明细）'!$F:$F,C181,'领用录入（明细）'!$C:$C,"&gt;="&amp;$E$4,'领用录入（明细）'!$C:$C,"&lt;="&amp;$G$4)</f>
        <v>0</v>
      </c>
      <c r="I181" s="46"/>
    </row>
    <row r="182" customHeight="1" spans="2:9">
      <c r="B182" s="59">
        <v>176</v>
      </c>
      <c r="C182" s="60" t="str">
        <f>IF('基础-办公用品信息'!C178="","-",'基础-办公用品信息'!C178)</f>
        <v>304不锈钢大漏勺</v>
      </c>
      <c r="D182" s="60" t="str">
        <f>IF('基础-办公用品信息'!D178="","-",'基础-办公用品信息'!D178)</f>
        <v>个</v>
      </c>
      <c r="E182" s="60" t="e">
        <f>IF('基础-办公用品信息'!#REF!="","-",'基础-办公用品信息'!#REF!)</f>
        <v>#REF!</v>
      </c>
      <c r="F182" s="99">
        <f>SUMIFS('领用录入（明细）'!$I:$I,'领用录入（明细）'!$F:$F,C182,'领用录入（明细）'!$C:$C,"&gt;="&amp;$E$4,'领用录入（明细）'!$C:$C,"&lt;="&amp;$G$4)</f>
        <v>0</v>
      </c>
      <c r="G182" s="60">
        <f>IFERROR(VLOOKUP(C182,'基础-办公用品信息'!$C:$G,4,0),"-")</f>
        <v>0</v>
      </c>
      <c r="H182" s="60">
        <f>SUMIFS('领用录入（明细）'!K:K,'领用录入（明细）'!$F:$F,C182,'领用录入（明细）'!$C:$C,"&gt;="&amp;$E$4,'领用录入（明细）'!$C:$C,"&lt;="&amp;$G$4)</f>
        <v>0</v>
      </c>
      <c r="I182" s="46"/>
    </row>
    <row r="183" customHeight="1" spans="2:9">
      <c r="B183" s="59">
        <v>177</v>
      </c>
      <c r="C183" s="60" t="str">
        <f>IF('基础-办公用品信息'!C179="","-",'基础-办公用品信息'!C179)</f>
        <v>304不锈钢沥油格</v>
      </c>
      <c r="D183" s="60" t="str">
        <f>IF('基础-办公用品信息'!D179="","-",'基础-办公用品信息'!D179)</f>
        <v>个</v>
      </c>
      <c r="E183" s="60" t="e">
        <f>IF('基础-办公用品信息'!#REF!="","-",'基础-办公用品信息'!#REF!)</f>
        <v>#REF!</v>
      </c>
      <c r="F183" s="99">
        <f>SUMIFS('领用录入（明细）'!$I:$I,'领用录入（明细）'!$F:$F,C183,'领用录入（明细）'!$C:$C,"&gt;="&amp;$E$4,'领用录入（明细）'!$C:$C,"&lt;="&amp;$G$4)</f>
        <v>0</v>
      </c>
      <c r="G183" s="60">
        <f>IFERROR(VLOOKUP(C183,'基础-办公用品信息'!$C:$G,4,0),"-")</f>
        <v>0</v>
      </c>
      <c r="H183" s="60">
        <f>SUMIFS('领用录入（明细）'!K:K,'领用录入（明细）'!$F:$F,C183,'领用录入（明细）'!$C:$C,"&gt;="&amp;$E$4,'领用录入（明细）'!$C:$C,"&lt;="&amp;$G$4)</f>
        <v>0</v>
      </c>
      <c r="I183" s="46"/>
    </row>
    <row r="184" customHeight="1" spans="2:9">
      <c r="B184" s="59">
        <v>178</v>
      </c>
      <c r="C184" s="60" t="str">
        <f>IF('基础-办公用品信息'!C180="","-",'基础-办公用品信息'!C180)</f>
        <v>6两钢板汤勺</v>
      </c>
      <c r="D184" s="60" t="str">
        <f>IF('基础-办公用品信息'!D180="","-",'基础-办公用品信息'!D180)</f>
        <v>个</v>
      </c>
      <c r="E184" s="60" t="e">
        <f>IF('基础-办公用品信息'!#REF!="","-",'基础-办公用品信息'!#REF!)</f>
        <v>#REF!</v>
      </c>
      <c r="F184" s="99">
        <f>SUMIFS('领用录入（明细）'!$I:$I,'领用录入（明细）'!$F:$F,C184,'领用录入（明细）'!$C:$C,"&gt;="&amp;$E$4,'领用录入（明细）'!$C:$C,"&lt;="&amp;$G$4)</f>
        <v>0</v>
      </c>
      <c r="G184" s="60">
        <f>IFERROR(VLOOKUP(C184,'基础-办公用品信息'!$C:$G,4,0),"-")</f>
        <v>0</v>
      </c>
      <c r="H184" s="60">
        <f>SUMIFS('领用录入（明细）'!K:K,'领用录入（明细）'!$F:$F,C184,'领用录入（明细）'!$C:$C,"&gt;="&amp;$E$4,'领用录入（明细）'!$C:$C,"&lt;="&amp;$G$4)</f>
        <v>0</v>
      </c>
      <c r="I184" s="46"/>
    </row>
    <row r="185" customHeight="1" spans="2:9">
      <c r="B185" s="59">
        <v>179</v>
      </c>
      <c r="C185" s="60" t="str">
        <f>IF('基础-办公用品信息'!C181="","-",'基础-办公用品信息'!C181)</f>
        <v>锅盖</v>
      </c>
      <c r="D185" s="60" t="str">
        <f>IF('基础-办公用品信息'!D181="","-",'基础-办公用品信息'!D181)</f>
        <v>个</v>
      </c>
      <c r="E185" s="60" t="e">
        <f>IF('基础-办公用品信息'!#REF!="","-",'基础-办公用品信息'!#REF!)</f>
        <v>#REF!</v>
      </c>
      <c r="F185" s="99">
        <f>SUMIFS('领用录入（明细）'!$I:$I,'领用录入（明细）'!$F:$F,C185,'领用录入（明细）'!$C:$C,"&gt;="&amp;$E$4,'领用录入（明细）'!$C:$C,"&lt;="&amp;$G$4)</f>
        <v>0</v>
      </c>
      <c r="G185" s="60">
        <f>IFERROR(VLOOKUP(C185,'基础-办公用品信息'!$C:$G,4,0),"-")</f>
        <v>0</v>
      </c>
      <c r="H185" s="60">
        <f>SUMIFS('领用录入（明细）'!K:K,'领用录入（明细）'!$F:$F,C185,'领用录入（明细）'!$C:$C,"&gt;="&amp;$E$4,'领用录入（明细）'!$C:$C,"&lt;="&amp;$G$4)</f>
        <v>0</v>
      </c>
      <c r="I185" s="46"/>
    </row>
    <row r="186" customHeight="1" spans="2:9">
      <c r="B186" s="59">
        <v>180</v>
      </c>
      <c r="C186" s="60" t="str">
        <f>IF('基础-办公用品信息'!C182="","-",'基础-办公用品信息'!C182)</f>
        <v>锅盖</v>
      </c>
      <c r="D186" s="60" t="str">
        <f>IF('基础-办公用品信息'!D182="","-",'基础-办公用品信息'!D182)</f>
        <v>个</v>
      </c>
      <c r="E186" s="60" t="e">
        <f>IF('基础-办公用品信息'!#REF!="","-",'基础-办公用品信息'!#REF!)</f>
        <v>#REF!</v>
      </c>
      <c r="F186" s="99">
        <f>SUMIFS('领用录入（明细）'!$I:$I,'领用录入（明细）'!$F:$F,C186,'领用录入（明细）'!$C:$C,"&gt;="&amp;$E$4,'领用录入（明细）'!$C:$C,"&lt;="&amp;$G$4)</f>
        <v>0</v>
      </c>
      <c r="G186" s="60">
        <f>IFERROR(VLOOKUP(C186,'基础-办公用品信息'!$C:$G,4,0),"-")</f>
        <v>0</v>
      </c>
      <c r="H186" s="60">
        <f>SUMIFS('领用录入（明细）'!K:K,'领用录入（明细）'!$F:$F,C186,'领用录入（明细）'!$C:$C,"&gt;="&amp;$E$4,'领用录入（明细）'!$C:$C,"&lt;="&amp;$G$4)</f>
        <v>0</v>
      </c>
      <c r="I186" s="46"/>
    </row>
    <row r="187" customHeight="1" spans="2:9">
      <c r="B187" s="59">
        <v>181</v>
      </c>
      <c r="C187" s="60" t="str">
        <f>IF('基础-办公用品信息'!C183="","-",'基础-办公用品信息'!C183)</f>
        <v>剪刀</v>
      </c>
      <c r="D187" s="60" t="str">
        <f>IF('基础-办公用品信息'!D183="","-",'基础-办公用品信息'!D183)</f>
        <v>个</v>
      </c>
      <c r="E187" s="60" t="e">
        <f>IF('基础-办公用品信息'!#REF!="","-",'基础-办公用品信息'!#REF!)</f>
        <v>#REF!</v>
      </c>
      <c r="F187" s="99">
        <f>SUMIFS('领用录入（明细）'!$I:$I,'领用录入（明细）'!$F:$F,C187,'领用录入（明细）'!$C:$C,"&gt;="&amp;$E$4,'领用录入（明细）'!$C:$C,"&lt;="&amp;$G$4)</f>
        <v>0</v>
      </c>
      <c r="G187" s="60">
        <f>IFERROR(VLOOKUP(C187,'基础-办公用品信息'!$C:$G,4,0),"-")</f>
        <v>3.5</v>
      </c>
      <c r="H187" s="60">
        <f>SUMIFS('领用录入（明细）'!K:K,'领用录入（明细）'!$F:$F,C187,'领用录入（明细）'!$C:$C,"&gt;="&amp;$E$4,'领用录入（明细）'!$C:$C,"&lt;="&amp;$G$4)</f>
        <v>0</v>
      </c>
      <c r="I187" s="46"/>
    </row>
    <row r="188" customHeight="1" spans="2:9">
      <c r="B188" s="59">
        <v>182</v>
      </c>
      <c r="C188" s="60" t="str">
        <f>IF('基础-办公用品信息'!C184="","-",'基础-办公用品信息'!C184)</f>
        <v>菜刀</v>
      </c>
      <c r="D188" s="60" t="str">
        <f>IF('基础-办公用品信息'!D184="","-",'基础-办公用品信息'!D184)</f>
        <v>个</v>
      </c>
      <c r="E188" s="60" t="e">
        <f>IF('基础-办公用品信息'!#REF!="","-",'基础-办公用品信息'!#REF!)</f>
        <v>#REF!</v>
      </c>
      <c r="F188" s="99">
        <f>SUMIFS('领用录入（明细）'!$I:$I,'领用录入（明细）'!$F:$F,C188,'领用录入（明细）'!$C:$C,"&gt;="&amp;$E$4,'领用录入（明细）'!$C:$C,"&lt;="&amp;$G$4)</f>
        <v>0</v>
      </c>
      <c r="G188" s="60">
        <f>IFERROR(VLOOKUP(C188,'基础-办公用品信息'!$C:$G,4,0),"-")</f>
        <v>0</v>
      </c>
      <c r="H188" s="60">
        <f>SUMIFS('领用录入（明细）'!K:K,'领用录入（明细）'!$F:$F,C188,'领用录入（明细）'!$C:$C,"&gt;="&amp;$E$4,'领用录入（明细）'!$C:$C,"&lt;="&amp;$G$4)</f>
        <v>0</v>
      </c>
      <c r="I188" s="46"/>
    </row>
    <row r="189" customHeight="1" spans="2:9">
      <c r="B189" s="59">
        <v>183</v>
      </c>
      <c r="C189" s="60" t="str">
        <f>IF('基础-办公用品信息'!C185="","-",'基础-办公用品信息'!C185)</f>
        <v>高压锅排气阀</v>
      </c>
      <c r="D189" s="60" t="str">
        <f>IF('基础-办公用品信息'!D185="","-",'基础-办公用品信息'!D185)</f>
        <v>个</v>
      </c>
      <c r="E189" s="60" t="e">
        <f>IF('基础-办公用品信息'!#REF!="","-",'基础-办公用品信息'!#REF!)</f>
        <v>#REF!</v>
      </c>
      <c r="F189" s="99">
        <f>SUMIFS('领用录入（明细）'!$I:$I,'领用录入（明细）'!$F:$F,C189,'领用录入（明细）'!$C:$C,"&gt;="&amp;$E$4,'领用录入（明细）'!$C:$C,"&lt;="&amp;$G$4)</f>
        <v>0</v>
      </c>
      <c r="G189" s="60">
        <f>IFERROR(VLOOKUP(C189,'基础-办公用品信息'!$C:$G,4,0),"-")</f>
        <v>0</v>
      </c>
      <c r="H189" s="60">
        <f>SUMIFS('领用录入（明细）'!K:K,'领用录入（明细）'!$F:$F,C189,'领用录入（明细）'!$C:$C,"&gt;="&amp;$E$4,'领用录入（明细）'!$C:$C,"&lt;="&amp;$G$4)</f>
        <v>0</v>
      </c>
      <c r="I189" s="46"/>
    </row>
    <row r="190" customHeight="1" spans="2:9">
      <c r="B190" s="59">
        <v>184</v>
      </c>
      <c r="C190" s="60" t="str">
        <f>IF('基础-办公用品信息'!C186="","-",'基础-办公用品信息'!C186)</f>
        <v>砍骨刀</v>
      </c>
      <c r="D190" s="60" t="str">
        <f>IF('基础-办公用品信息'!D186="","-",'基础-办公用品信息'!D186)</f>
        <v>个</v>
      </c>
      <c r="E190" s="60" t="e">
        <f>IF('基础-办公用品信息'!#REF!="","-",'基础-办公用品信息'!#REF!)</f>
        <v>#REF!</v>
      </c>
      <c r="F190" s="99">
        <f>SUMIFS('领用录入（明细）'!$I:$I,'领用录入（明细）'!$F:$F,C190,'领用录入（明细）'!$C:$C,"&gt;="&amp;$E$4,'领用录入（明细）'!$C:$C,"&lt;="&amp;$G$4)</f>
        <v>0</v>
      </c>
      <c r="G190" s="60">
        <f>IFERROR(VLOOKUP(C190,'基础-办公用品信息'!$C:$G,4,0),"-")</f>
        <v>0</v>
      </c>
      <c r="H190" s="60">
        <f>SUMIFS('领用录入（明细）'!K:K,'领用录入（明细）'!$F:$F,C190,'领用录入（明细）'!$C:$C,"&gt;="&amp;$E$4,'领用录入（明细）'!$C:$C,"&lt;="&amp;$G$4)</f>
        <v>0</v>
      </c>
      <c r="I190" s="46"/>
    </row>
    <row r="191" customHeight="1" spans="2:9">
      <c r="B191" s="59">
        <v>185</v>
      </c>
      <c r="C191" s="60" t="str">
        <f>IF('基础-办公用品信息'!C187="","-",'基础-办公用品信息'!C187)</f>
        <v>高档汤勺</v>
      </c>
      <c r="D191" s="60" t="str">
        <f>IF('基础-办公用品信息'!D187="","-",'基础-办公用品信息'!D187)</f>
        <v>个</v>
      </c>
      <c r="E191" s="60" t="e">
        <f>IF('基础-办公用品信息'!#REF!="","-",'基础-办公用品信息'!#REF!)</f>
        <v>#REF!</v>
      </c>
      <c r="F191" s="99">
        <f>SUMIFS('领用录入（明细）'!$I:$I,'领用录入（明细）'!$F:$F,C191,'领用录入（明细）'!$C:$C,"&gt;="&amp;$E$4,'领用录入（明细）'!$C:$C,"&lt;="&amp;$G$4)</f>
        <v>0</v>
      </c>
      <c r="G191" s="60">
        <f>IFERROR(VLOOKUP(C191,'基础-办公用品信息'!$C:$G,4,0),"-")</f>
        <v>0</v>
      </c>
      <c r="H191" s="60">
        <f>SUMIFS('领用录入（明细）'!K:K,'领用录入（明细）'!$F:$F,C191,'领用录入（明细）'!$C:$C,"&gt;="&amp;$E$4,'领用录入（明细）'!$C:$C,"&lt;="&amp;$G$4)</f>
        <v>0</v>
      </c>
      <c r="I191" s="46"/>
    </row>
    <row r="192" customHeight="1" spans="2:9">
      <c r="B192" s="59">
        <v>186</v>
      </c>
      <c r="C192" s="60" t="str">
        <f>IF('基础-办公用品信息'!C188="","-",'基础-办公用品信息'!C188)</f>
        <v>擀面杖</v>
      </c>
      <c r="D192" s="60" t="str">
        <f>IF('基础-办公用品信息'!D188="","-",'基础-办公用品信息'!D188)</f>
        <v>个</v>
      </c>
      <c r="E192" s="60" t="e">
        <f>IF('基础-办公用品信息'!#REF!="","-",'基础-办公用品信息'!#REF!)</f>
        <v>#REF!</v>
      </c>
      <c r="F192" s="99">
        <f>SUMIFS('领用录入（明细）'!$I:$I,'领用录入（明细）'!$F:$F,C192,'领用录入（明细）'!$C:$C,"&gt;="&amp;$E$4,'领用录入（明细）'!$C:$C,"&lt;="&amp;$G$4)</f>
        <v>0</v>
      </c>
      <c r="G192" s="60">
        <f>IFERROR(VLOOKUP(C192,'基础-办公用品信息'!$C:$G,4,0),"-")</f>
        <v>0</v>
      </c>
      <c r="H192" s="60">
        <f>SUMIFS('领用录入（明细）'!K:K,'领用录入（明细）'!$F:$F,C192,'领用录入（明细）'!$C:$C,"&gt;="&amp;$E$4,'领用录入（明细）'!$C:$C,"&lt;="&amp;$G$4)</f>
        <v>0</v>
      </c>
      <c r="I192" s="46"/>
    </row>
    <row r="193" customHeight="1" spans="2:9">
      <c r="B193" s="59">
        <v>187</v>
      </c>
      <c r="C193" s="60" t="str">
        <f>IF('基础-办公用品信息'!C189="","-",'基础-办公用品信息'!C189)</f>
        <v>大号不锈钢网格篮</v>
      </c>
      <c r="D193" s="60" t="str">
        <f>IF('基础-办公用品信息'!D189="","-",'基础-办公用品信息'!D189)</f>
        <v>个</v>
      </c>
      <c r="E193" s="60" t="e">
        <f>IF('基础-办公用品信息'!#REF!="","-",'基础-办公用品信息'!#REF!)</f>
        <v>#REF!</v>
      </c>
      <c r="F193" s="99">
        <f>SUMIFS('领用录入（明细）'!$I:$I,'领用录入（明细）'!$F:$F,C193,'领用录入（明细）'!$C:$C,"&gt;="&amp;$E$4,'领用录入（明细）'!$C:$C,"&lt;="&amp;$G$4)</f>
        <v>0</v>
      </c>
      <c r="G193" s="60">
        <f>IFERROR(VLOOKUP(C193,'基础-办公用品信息'!$C:$G,4,0),"-")</f>
        <v>0</v>
      </c>
      <c r="H193" s="60">
        <f>SUMIFS('领用录入（明细）'!K:K,'领用录入（明细）'!$F:$F,C193,'领用录入（明细）'!$C:$C,"&gt;="&amp;$E$4,'领用录入（明细）'!$C:$C,"&lt;="&amp;$G$4)</f>
        <v>0</v>
      </c>
      <c r="I193" s="46"/>
    </row>
    <row r="194" customHeight="1" spans="2:9">
      <c r="B194" s="59">
        <v>188</v>
      </c>
      <c r="C194" s="60" t="str">
        <f>IF('基础-办公用品信息'!C190="","-",'基础-办公用品信息'!C190)</f>
        <v>中号不锈钢网格篮</v>
      </c>
      <c r="D194" s="60" t="str">
        <f>IF('基础-办公用品信息'!D190="","-",'基础-办公用品信息'!D190)</f>
        <v>个</v>
      </c>
      <c r="E194" s="60" t="e">
        <f>IF('基础-办公用品信息'!#REF!="","-",'基础-办公用品信息'!#REF!)</f>
        <v>#REF!</v>
      </c>
      <c r="F194" s="99">
        <f>SUMIFS('领用录入（明细）'!$I:$I,'领用录入（明细）'!$F:$F,C194,'领用录入（明细）'!$C:$C,"&gt;="&amp;$E$4,'领用录入（明细）'!$C:$C,"&lt;="&amp;$G$4)</f>
        <v>0</v>
      </c>
      <c r="G194" s="60">
        <f>IFERROR(VLOOKUP(C194,'基础-办公用品信息'!$C:$G,4,0),"-")</f>
        <v>0</v>
      </c>
      <c r="H194" s="60">
        <f>SUMIFS('领用录入（明细）'!K:K,'领用录入（明细）'!$F:$F,C194,'领用录入（明细）'!$C:$C,"&gt;="&amp;$E$4,'领用录入（明细）'!$C:$C,"&lt;="&amp;$G$4)</f>
        <v>0</v>
      </c>
      <c r="I194" s="46"/>
    </row>
    <row r="195" customHeight="1" spans="2:9">
      <c r="B195" s="59">
        <v>189</v>
      </c>
      <c r="C195" s="60" t="str">
        <f>IF('基础-办公用品信息'!C191="","-",'基础-办公用品信息'!C191)</f>
        <v>304不锈钢份数盒</v>
      </c>
      <c r="D195" s="60" t="str">
        <f>IF('基础-办公用品信息'!D191="","-",'基础-办公用品信息'!D191)</f>
        <v>个</v>
      </c>
      <c r="E195" s="60" t="e">
        <f>IF('基础-办公用品信息'!#REF!="","-",'基础-办公用品信息'!#REF!)</f>
        <v>#REF!</v>
      </c>
      <c r="F195" s="99">
        <f>SUMIFS('领用录入（明细）'!$I:$I,'领用录入（明细）'!$F:$F,C195,'领用录入（明细）'!$C:$C,"&gt;="&amp;$E$4,'领用录入（明细）'!$C:$C,"&lt;="&amp;$G$4)</f>
        <v>0</v>
      </c>
      <c r="G195" s="60">
        <f>IFERROR(VLOOKUP(C195,'基础-办公用品信息'!$C:$G,4,0),"-")</f>
        <v>0</v>
      </c>
      <c r="H195" s="60">
        <f>SUMIFS('领用录入（明细）'!K:K,'领用录入（明细）'!$F:$F,C195,'领用录入（明细）'!$C:$C,"&gt;="&amp;$E$4,'领用录入（明细）'!$C:$C,"&lt;="&amp;$G$4)</f>
        <v>0</v>
      </c>
      <c r="I195" s="46"/>
    </row>
    <row r="196" customHeight="1" spans="2:9">
      <c r="B196" s="59">
        <v>190</v>
      </c>
      <c r="C196" s="60" t="str">
        <f>IF('基础-办公用品信息'!C192="","-",'基础-办公用品信息'!C192)</f>
        <v>304不锈钢份数盒盖</v>
      </c>
      <c r="D196" s="60" t="str">
        <f>IF('基础-办公用品信息'!D192="","-",'基础-办公用品信息'!D192)</f>
        <v>个</v>
      </c>
      <c r="E196" s="60" t="e">
        <f>IF('基础-办公用品信息'!#REF!="","-",'基础-办公用品信息'!#REF!)</f>
        <v>#REF!</v>
      </c>
      <c r="F196" s="99">
        <f>SUMIFS('领用录入（明细）'!$I:$I,'领用录入（明细）'!$F:$F,C196,'领用录入（明细）'!$C:$C,"&gt;="&amp;$E$4,'领用录入（明细）'!$C:$C,"&lt;="&amp;$G$4)</f>
        <v>0</v>
      </c>
      <c r="G196" s="60">
        <f>IFERROR(VLOOKUP(C196,'基础-办公用品信息'!$C:$G,4,0),"-")</f>
        <v>0</v>
      </c>
      <c r="H196" s="60">
        <f>SUMIFS('领用录入（明细）'!K:K,'领用录入（明细）'!$F:$F,C196,'领用录入（明细）'!$C:$C,"&gt;="&amp;$E$4,'领用录入（明细）'!$C:$C,"&lt;="&amp;$G$4)</f>
        <v>0</v>
      </c>
      <c r="I196" s="46"/>
    </row>
    <row r="197" customHeight="1" spans="2:9">
      <c r="B197" s="59">
        <v>191</v>
      </c>
      <c r="C197" s="60" t="str">
        <f>IF('基础-办公用品信息'!C193="","-",'基础-办公用品信息'!C193)</f>
        <v>格来德烧水壶</v>
      </c>
      <c r="D197" s="60" t="str">
        <f>IF('基础-办公用品信息'!D193="","-",'基础-办公用品信息'!D193)</f>
        <v>个</v>
      </c>
      <c r="E197" s="60" t="e">
        <f>IF('基础-办公用品信息'!#REF!="","-",'基础-办公用品信息'!#REF!)</f>
        <v>#REF!</v>
      </c>
      <c r="F197" s="99">
        <f>SUMIFS('领用录入（明细）'!$I:$I,'领用录入（明细）'!$F:$F,C197,'领用录入（明细）'!$C:$C,"&gt;="&amp;$E$4,'领用录入（明细）'!$C:$C,"&lt;="&amp;$G$4)</f>
        <v>0</v>
      </c>
      <c r="G197" s="60">
        <f>IFERROR(VLOOKUP(C197,'基础-办公用品信息'!$C:$G,4,0),"-")</f>
        <v>0</v>
      </c>
      <c r="H197" s="60">
        <f>SUMIFS('领用录入（明细）'!K:K,'领用录入（明细）'!$F:$F,C197,'领用录入（明细）'!$C:$C,"&gt;="&amp;$E$4,'领用录入（明细）'!$C:$C,"&lt;="&amp;$G$4)</f>
        <v>0</v>
      </c>
      <c r="I197" s="46"/>
    </row>
    <row r="198" customHeight="1" spans="2:9">
      <c r="B198" s="59">
        <v>192</v>
      </c>
      <c r="C198" s="60" t="str">
        <f>IF('基础-办公用品信息'!C194="","-",'基础-办公用品信息'!C194)</f>
        <v>304欧式保温壶</v>
      </c>
      <c r="D198" s="60" t="str">
        <f>IF('基础-办公用品信息'!D194="","-",'基础-办公用品信息'!D194)</f>
        <v>个</v>
      </c>
      <c r="E198" s="60" t="e">
        <f>IF('基础-办公用品信息'!#REF!="","-",'基础-办公用品信息'!#REF!)</f>
        <v>#REF!</v>
      </c>
      <c r="F198" s="99">
        <f>SUMIFS('领用录入（明细）'!$I:$I,'领用录入（明细）'!$F:$F,C198,'领用录入（明细）'!$C:$C,"&gt;="&amp;$E$4,'领用录入（明细）'!$C:$C,"&lt;="&amp;$G$4)</f>
        <v>0</v>
      </c>
      <c r="G198" s="60">
        <f>IFERROR(VLOOKUP(C198,'基础-办公用品信息'!$C:$G,4,0),"-")</f>
        <v>0</v>
      </c>
      <c r="H198" s="60">
        <f>SUMIFS('领用录入（明细）'!K:K,'领用录入（明细）'!$F:$F,C198,'领用录入（明细）'!$C:$C,"&gt;="&amp;$E$4,'领用录入（明细）'!$C:$C,"&lt;="&amp;$G$4)</f>
        <v>0</v>
      </c>
      <c r="I198" s="46"/>
    </row>
    <row r="199" customHeight="1" spans="2:9">
      <c r="B199" s="59">
        <v>193</v>
      </c>
      <c r="C199" s="60" t="str">
        <f>IF('基础-办公用品信息'!C195="","-",'基础-办公用品信息'!C195)</f>
        <v>高压锅橡皮圈</v>
      </c>
      <c r="D199" s="60" t="str">
        <f>IF('基础-办公用品信息'!D195="","-",'基础-办公用品信息'!D195)</f>
        <v>个</v>
      </c>
      <c r="E199" s="60" t="e">
        <f>IF('基础-办公用品信息'!#REF!="","-",'基础-办公用品信息'!#REF!)</f>
        <v>#REF!</v>
      </c>
      <c r="F199" s="99">
        <f>SUMIFS('领用录入（明细）'!$I:$I,'领用录入（明细）'!$F:$F,C199,'领用录入（明细）'!$C:$C,"&gt;="&amp;$E$4,'领用录入（明细）'!$C:$C,"&lt;="&amp;$G$4)</f>
        <v>0</v>
      </c>
      <c r="G199" s="60">
        <f>IFERROR(VLOOKUP(C199,'基础-办公用品信息'!$C:$G,4,0),"-")</f>
        <v>0</v>
      </c>
      <c r="H199" s="60">
        <f>SUMIFS('领用录入（明细）'!K:K,'领用录入（明细）'!$F:$F,C199,'领用录入（明细）'!$C:$C,"&gt;="&amp;$E$4,'领用录入（明细）'!$C:$C,"&lt;="&amp;$G$4)</f>
        <v>0</v>
      </c>
      <c r="I199" s="46"/>
    </row>
    <row r="200" customHeight="1" spans="2:9">
      <c r="B200" s="59">
        <v>194</v>
      </c>
      <c r="C200" s="60" t="str">
        <f>IF('基础-办公用品信息'!C196="","-",'基础-办公用品信息'!C196)</f>
        <v>高压锅橡皮圈</v>
      </c>
      <c r="D200" s="60" t="str">
        <f>IF('基础-办公用品信息'!D196="","-",'基础-办公用品信息'!D196)</f>
        <v>个</v>
      </c>
      <c r="E200" s="60" t="e">
        <f>IF('基础-办公用品信息'!#REF!="","-",'基础-办公用品信息'!#REF!)</f>
        <v>#REF!</v>
      </c>
      <c r="F200" s="99">
        <f>SUMIFS('领用录入（明细）'!$I:$I,'领用录入（明细）'!$F:$F,C200,'领用录入（明细）'!$C:$C,"&gt;="&amp;$E$4,'领用录入（明细）'!$C:$C,"&lt;="&amp;$G$4)</f>
        <v>0</v>
      </c>
      <c r="G200" s="60">
        <f>IFERROR(VLOOKUP(C200,'基础-办公用品信息'!$C:$G,4,0),"-")</f>
        <v>0</v>
      </c>
      <c r="H200" s="60">
        <f>SUMIFS('领用录入（明细）'!K:K,'领用录入（明细）'!$F:$F,C200,'领用录入（明细）'!$C:$C,"&gt;="&amp;$E$4,'领用录入（明细）'!$C:$C,"&lt;="&amp;$G$4)</f>
        <v>0</v>
      </c>
      <c r="I200" s="46"/>
    </row>
    <row r="201" customHeight="1" spans="2:9">
      <c r="B201" s="59">
        <v>195</v>
      </c>
      <c r="C201" s="60" t="str">
        <f>IF('基础-办公用品信息'!C197="","-",'基础-办公用品信息'!C197)</f>
        <v>高压锅排气阀</v>
      </c>
      <c r="D201" s="60" t="str">
        <f>IF('基础-办公用品信息'!D197="","-",'基础-办公用品信息'!D197)</f>
        <v>个</v>
      </c>
      <c r="E201" s="60" t="e">
        <f>IF('基础-办公用品信息'!#REF!="","-",'基础-办公用品信息'!#REF!)</f>
        <v>#REF!</v>
      </c>
      <c r="F201" s="99">
        <f>SUMIFS('领用录入（明细）'!$I:$I,'领用录入（明细）'!$F:$F,C201,'领用录入（明细）'!$C:$C,"&gt;="&amp;$E$4,'领用录入（明细）'!$C:$C,"&lt;="&amp;$G$4)</f>
        <v>0</v>
      </c>
      <c r="G201" s="60">
        <f>IFERROR(VLOOKUP(C201,'基础-办公用品信息'!$C:$G,4,0),"-")</f>
        <v>0</v>
      </c>
      <c r="H201" s="60">
        <f>SUMIFS('领用录入（明细）'!K:K,'领用录入（明细）'!$F:$F,C201,'领用录入（明细）'!$C:$C,"&gt;="&amp;$E$4,'领用录入（明细）'!$C:$C,"&lt;="&amp;$G$4)</f>
        <v>0</v>
      </c>
      <c r="I201" s="46"/>
    </row>
    <row r="202" customHeight="1" spans="2:9">
      <c r="B202" s="59">
        <v>196</v>
      </c>
      <c r="C202" s="60" t="str">
        <f>IF('基础-办公用品信息'!C198="","-",'基础-办公用品信息'!C198)</f>
        <v>不锈钢方形冲孔盘</v>
      </c>
      <c r="D202" s="60" t="str">
        <f>IF('基础-办公用品信息'!D198="","-",'基础-办公用品信息'!D198)</f>
        <v>个</v>
      </c>
      <c r="E202" s="60" t="e">
        <f>IF('基础-办公用品信息'!#REF!="","-",'基础-办公用品信息'!#REF!)</f>
        <v>#REF!</v>
      </c>
      <c r="F202" s="99">
        <f>SUMIFS('领用录入（明细）'!$I:$I,'领用录入（明细）'!$F:$F,C202,'领用录入（明细）'!$C:$C,"&gt;="&amp;$E$4,'领用录入（明细）'!$C:$C,"&lt;="&amp;$G$4)</f>
        <v>0</v>
      </c>
      <c r="G202" s="60">
        <f>IFERROR(VLOOKUP(C202,'基础-办公用品信息'!$C:$G,4,0),"-")</f>
        <v>0</v>
      </c>
      <c r="H202" s="60">
        <f>SUMIFS('领用录入（明细）'!K:K,'领用录入（明细）'!$F:$F,C202,'领用录入（明细）'!$C:$C,"&gt;="&amp;$E$4,'领用录入（明细）'!$C:$C,"&lt;="&amp;$G$4)</f>
        <v>0</v>
      </c>
      <c r="I202" s="46"/>
    </row>
    <row r="203" customHeight="1" spans="2:9">
      <c r="B203" s="59">
        <v>197</v>
      </c>
      <c r="C203" s="60" t="str">
        <f>IF('基础-办公用品信息'!C199="","-",'基础-办公用品信息'!C199)</f>
        <v>白色塑料切菜板</v>
      </c>
      <c r="D203" s="60" t="str">
        <f>IF('基础-办公用品信息'!D199="","-",'基础-办公用品信息'!D199)</f>
        <v>个</v>
      </c>
      <c r="E203" s="60" t="e">
        <f>IF('基础-办公用品信息'!#REF!="","-",'基础-办公用品信息'!#REF!)</f>
        <v>#REF!</v>
      </c>
      <c r="F203" s="99">
        <f>SUMIFS('领用录入（明细）'!$I:$I,'领用录入（明细）'!$F:$F,C203,'领用录入（明细）'!$C:$C,"&gt;="&amp;$E$4,'领用录入（明细）'!$C:$C,"&lt;="&amp;$G$4)</f>
        <v>0</v>
      </c>
      <c r="G203" s="60">
        <f>IFERROR(VLOOKUP(C203,'基础-办公用品信息'!$C:$G,4,0),"-")</f>
        <v>0</v>
      </c>
      <c r="H203" s="60">
        <f>SUMIFS('领用录入（明细）'!K:K,'领用录入（明细）'!$F:$F,C203,'领用录入（明细）'!$C:$C,"&gt;="&amp;$E$4,'领用录入（明细）'!$C:$C,"&lt;="&amp;$G$4)</f>
        <v>0</v>
      </c>
      <c r="I203" s="46"/>
    </row>
    <row r="204" customHeight="1" spans="2:9">
      <c r="B204" s="59">
        <v>198</v>
      </c>
      <c r="C204" s="60" t="str">
        <f>IF('基础-办公用品信息'!C200="","-",'基础-办公用品信息'!C200)</f>
        <v>不锈钢打水桶</v>
      </c>
      <c r="D204" s="60" t="str">
        <f>IF('基础-办公用品信息'!D200="","-",'基础-办公用品信息'!D200)</f>
        <v>个</v>
      </c>
      <c r="E204" s="60" t="e">
        <f>IF('基础-办公用品信息'!#REF!="","-",'基础-办公用品信息'!#REF!)</f>
        <v>#REF!</v>
      </c>
      <c r="F204" s="99">
        <f>SUMIFS('领用录入（明细）'!$I:$I,'领用录入（明细）'!$F:$F,C204,'领用录入（明细）'!$C:$C,"&gt;="&amp;$E$4,'领用录入（明细）'!$C:$C,"&lt;="&amp;$G$4)</f>
        <v>0</v>
      </c>
      <c r="G204" s="60">
        <f>IFERROR(VLOOKUP(C204,'基础-办公用品信息'!$C:$G,4,0),"-")</f>
        <v>0</v>
      </c>
      <c r="H204" s="60">
        <f>SUMIFS('领用录入（明细）'!K:K,'领用录入（明细）'!$F:$F,C204,'领用录入（明细）'!$C:$C,"&gt;="&amp;$E$4,'领用录入（明细）'!$C:$C,"&lt;="&amp;$G$4)</f>
        <v>0</v>
      </c>
      <c r="I204" s="46"/>
    </row>
    <row r="205" customHeight="1" spans="2:9">
      <c r="B205" s="59">
        <v>199</v>
      </c>
      <c r="C205" s="60" t="str">
        <f>IF('基础-办公用品信息'!C201="","-",'基础-办公用品信息'!C201)</f>
        <v>白色圆桶</v>
      </c>
      <c r="D205" s="60" t="str">
        <f>IF('基础-办公用品信息'!D201="","-",'基础-办公用品信息'!D201)</f>
        <v>个</v>
      </c>
      <c r="E205" s="60" t="e">
        <f>IF('基础-办公用品信息'!#REF!="","-",'基础-办公用品信息'!#REF!)</f>
        <v>#REF!</v>
      </c>
      <c r="F205" s="99">
        <f>SUMIFS('领用录入（明细）'!$I:$I,'领用录入（明细）'!$F:$F,C205,'领用录入（明细）'!$C:$C,"&gt;="&amp;$E$4,'领用录入（明细）'!$C:$C,"&lt;="&amp;$G$4)</f>
        <v>0</v>
      </c>
      <c r="G205" s="60">
        <f>IFERROR(VLOOKUP(C205,'基础-办公用品信息'!$C:$G,4,0),"-")</f>
        <v>0</v>
      </c>
      <c r="H205" s="60">
        <f>SUMIFS('领用录入（明细）'!K:K,'领用录入（明细）'!$F:$F,C205,'领用录入（明细）'!$C:$C,"&gt;="&amp;$E$4,'领用录入（明细）'!$C:$C,"&lt;="&amp;$G$4)</f>
        <v>0</v>
      </c>
      <c r="I205" s="46"/>
    </row>
    <row r="206" customHeight="1" spans="2:9">
      <c r="B206" s="59">
        <v>200</v>
      </c>
      <c r="C206" s="60" t="str">
        <f>IF('基础-办公用品信息'!C202="","-",'基础-办公用品信息'!C202)</f>
        <v>白色圆桶</v>
      </c>
      <c r="D206" s="60" t="str">
        <f>IF('基础-办公用品信息'!D202="","-",'基础-办公用品信息'!D202)</f>
        <v>个</v>
      </c>
      <c r="E206" s="60" t="e">
        <f>IF('基础-办公用品信息'!#REF!="","-",'基础-办公用品信息'!#REF!)</f>
        <v>#REF!</v>
      </c>
      <c r="F206" s="99">
        <f>SUMIFS('领用录入（明细）'!$I:$I,'领用录入（明细）'!$F:$F,C206,'领用录入（明细）'!$C:$C,"&gt;="&amp;$E$4,'领用录入（明细）'!$C:$C,"&lt;="&amp;$G$4)</f>
        <v>0</v>
      </c>
      <c r="G206" s="60">
        <f>IFERROR(VLOOKUP(C206,'基础-办公用品信息'!$C:$G,4,0),"-")</f>
        <v>0</v>
      </c>
      <c r="H206" s="60">
        <f>SUMIFS('领用录入（明细）'!K:K,'领用录入（明细）'!$F:$F,C206,'领用录入（明细）'!$C:$C,"&gt;="&amp;$E$4,'领用录入（明细）'!$C:$C,"&lt;="&amp;$G$4)</f>
        <v>0</v>
      </c>
      <c r="I206" s="46"/>
    </row>
    <row r="207" customHeight="1" spans="2:9">
      <c r="C207" s="60" t="str">
        <f>IF('基础-办公用品信息'!C203="","-",'基础-办公用品信息'!C203)</f>
        <v>地面刮水器</v>
      </c>
      <c r="D207" s="60" t="str">
        <f>IF('基础-办公用品信息'!D203="","-",'基础-办公用品信息'!D203)</f>
        <v>个</v>
      </c>
    </row>
    <row r="208" customHeight="1" spans="2:9">
      <c r="C208" s="60" t="str">
        <f>IF('基础-办公用品信息'!C204="","-",'基础-办公用品信息'!C204)</f>
        <v>洗地刷</v>
      </c>
      <c r="D208" s="60" t="str">
        <f>IF('基础-办公用品信息'!D204="","-",'基础-办公用品信息'!D204)</f>
        <v>个</v>
      </c>
    </row>
    <row r="209" customHeight="1" spans="3:4">
      <c r="C209" s="60" t="str">
        <f>IF('基础-办公用品信息'!C205="","-",'基础-办公用品信息'!C205)</f>
        <v>吸水拖把</v>
      </c>
      <c r="D209" s="60" t="str">
        <f>IF('基础-办公用品信息'!D205="","-",'基础-办公用品信息'!D205)</f>
        <v>个</v>
      </c>
    </row>
    <row r="210" customHeight="1" spans="3:4">
      <c r="C210" s="60" t="str">
        <f>IF('基础-办公用品信息'!C206="","-",'基础-办公用品信息'!C206)</f>
        <v>40平拖把</v>
      </c>
      <c r="D210" s="60" t="str">
        <f>IF('基础-办公用品信息'!D206="","-",'基础-办公用品信息'!D206)</f>
        <v>个</v>
      </c>
    </row>
    <row r="211" customHeight="1" spans="3:4">
      <c r="C211" s="60" t="str">
        <f>IF('基础-办公用品信息'!C207="","-",'基础-办公用品信息'!C207)</f>
        <v>15拖把</v>
      </c>
    </row>
    <row r="212" customHeight="1" spans="3:4">
      <c r="C212" s="60" t="str">
        <f>IF('基础-办公用品信息'!C208="","-",'基础-办公用品信息'!C208)</f>
        <v>整理箱</v>
      </c>
    </row>
    <row r="213" customHeight="1" spans="3:4">
      <c r="C213" s="60" t="str">
        <f>IF('基础-办公用品信息'!C209="","-",'基础-办公用品信息'!C209)</f>
        <v>整理箱</v>
      </c>
    </row>
    <row r="214" customHeight="1" spans="3:4">
      <c r="C214" s="60" t="str">
        <f>IF('基础-办公用品信息'!C210="","-",'基础-办公用品信息'!C210)</f>
        <v>沥水圆箩</v>
      </c>
    </row>
    <row r="215" customHeight="1" spans="3:4">
      <c r="C215" s="60" t="str">
        <f>IF('基础-办公用品信息'!C211="","-",'基础-办公用品信息'!C211)</f>
        <v>去油王</v>
      </c>
    </row>
    <row r="216" customHeight="1" spans="3:4">
      <c r="C216" s="60" t="str">
        <f>IF('基础-办公用品信息'!C212="","-",'基础-办公用品信息'!C212)</f>
        <v>84消毒液</v>
      </c>
    </row>
  </sheetData>
  <mergeCells count="2">
    <mergeCell ref="B2:G2"/>
    <mergeCell ref="B4:C4"/>
  </mergeCells>
  <dataValidations count="2">
    <dataValidation type="date" operator="greaterThan" allowBlank="1" showInputMessage="1" showErrorMessage="1" sqref="E4">
      <formula1>5397</formula1>
    </dataValidation>
    <dataValidation type="whole" operator="greaterThan" allowBlank="1" showInputMessage="1" showErrorMessage="1" sqref="G4:H4">
      <formula1>E4</formula1>
    </dataValidation>
  </dataValidations>
  <pageMargins left="0.699305555555556" right="0.699305555555556" top="0.75" bottom="0.75" header="0.3" footer="0.3"/>
  <pageSetup paperSize="9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86"/>
  <sheetViews>
    <sheetView showGridLines="0" workbookViewId="0">
      <pane ySplit="3" topLeftCell="A165" activePane="bottomLeft" state="frozen"/>
      <selection/>
      <selection pane="bottomLeft" activeCell="A1" sqref="A1"/>
    </sheetView>
  </sheetViews>
  <sheetFormatPr defaultColWidth="9" defaultRowHeight="18.95" customHeight="1"/>
  <cols>
    <col min="1" max="1" width="1.56363636363636" style="43" customWidth="1"/>
    <col min="2" max="2" width="9.14545454545454" style="80" customWidth="1"/>
    <col min="3" max="3" width="36.0909090909091" style="44" customWidth="1"/>
    <col min="4" max="4" width="14.4272727272727" style="44" customWidth="1"/>
    <col min="5" max="6" width="16.2818181818182" style="45" customWidth="1"/>
    <col min="7" max="7" width="16.2818181818182" style="69" customWidth="1"/>
    <col min="8" max="8" width="16.2818181818182" style="45" customWidth="1"/>
    <col min="9" max="11" width="9" style="43"/>
    <col min="12" max="16382" width="9" style="46"/>
  </cols>
  <sheetData>
    <row r="1" ht="9" customHeight="1"/>
    <row r="2" ht="24" customHeight="1" spans="2:12">
      <c r="B2" s="81" t="s">
        <v>387</v>
      </c>
      <c r="C2" s="82"/>
      <c r="D2" s="82"/>
      <c r="E2" s="82"/>
      <c r="F2" s="82"/>
      <c r="G2" s="83"/>
      <c r="H2" s="84"/>
      <c r="K2" s="85" t="s">
        <v>353</v>
      </c>
      <c r="L2" s="85" t="s">
        <v>354</v>
      </c>
    </row>
    <row r="3" customHeight="1" spans="2:12">
      <c r="B3" s="86" t="s">
        <v>3</v>
      </c>
      <c r="C3" s="59" t="s">
        <v>4</v>
      </c>
      <c r="D3" s="59" t="s">
        <v>5</v>
      </c>
      <c r="E3" s="59" t="s">
        <v>6</v>
      </c>
      <c r="F3" s="59" t="s">
        <v>7</v>
      </c>
      <c r="G3" s="86" t="s">
        <v>388</v>
      </c>
      <c r="H3" s="59" t="s">
        <v>354</v>
      </c>
      <c r="K3" s="44">
        <f>SUM(G4:G275)</f>
        <v>5908</v>
      </c>
      <c r="L3" s="44">
        <f>SUM(H4:H275)</f>
        <v>14754.75</v>
      </c>
    </row>
    <row r="4" customHeight="1" spans="2:12">
      <c r="B4" s="86">
        <v>1</v>
      </c>
      <c r="C4" s="60" t="str">
        <f>IF('基础-办公用品信息'!C4="","-",'基础-办公用品信息'!C4)</f>
        <v>A3打印纸</v>
      </c>
      <c r="D4" s="60" t="str">
        <f>IF('基础-办公用品信息'!D4="","-",'基础-办公用品信息'!D4)</f>
        <v>包</v>
      </c>
      <c r="E4" s="60" t="str">
        <f>IF('基础-办公用品信息'!E4="","-",'基础-办公用品信息'!E4)</f>
        <v>-</v>
      </c>
      <c r="F4" s="60">
        <f>IFERROR(VLOOKUP(C4,'基础-办公用品信息'!$C:$G,4,0),"-")</f>
        <v>175</v>
      </c>
      <c r="G4" s="87">
        <v>19</v>
      </c>
      <c r="H4" s="60">
        <f t="shared" ref="H4:H23" si="0">IFERROR(F4*G4,"")</f>
        <v>3325</v>
      </c>
    </row>
    <row r="5" customHeight="1" spans="2:12">
      <c r="B5" s="86">
        <v>2</v>
      </c>
      <c r="C5" s="60" t="str">
        <f>IF('基础-办公用品信息'!C5="","-",'基础-办公用品信息'!C5)</f>
        <v>A4打印纸</v>
      </c>
      <c r="D5" s="60" t="str">
        <f>IF('基础-办公用品信息'!D5="","-",'基础-办公用品信息'!D5)</f>
        <v>包</v>
      </c>
      <c r="E5" s="60" t="str">
        <f>IF('基础-办公用品信息'!E5="","-",'基础-办公用品信息'!E5)</f>
        <v>-</v>
      </c>
      <c r="F5" s="60">
        <f>IFERROR(VLOOKUP(C5,'基础-办公用品信息'!$C:$G,4,0),"-")</f>
        <v>175</v>
      </c>
      <c r="G5" s="87">
        <v>40</v>
      </c>
      <c r="H5" s="60">
        <f t="shared" si="0"/>
        <v>7000</v>
      </c>
    </row>
    <row r="6" customHeight="1" spans="2:12">
      <c r="B6" s="86">
        <v>3</v>
      </c>
      <c r="C6" s="60" t="str">
        <f>IF('基础-办公用品信息'!C6="","-",'基础-办公用品信息'!C6)</f>
        <v>A4装订封面纸</v>
      </c>
      <c r="D6" s="60" t="str">
        <f>IF('基础-办公用品信息'!D6="","-",'基础-办公用品信息'!D6)</f>
        <v>包</v>
      </c>
      <c r="E6" s="60" t="str">
        <f>IF('基础-办公用品信息'!E6="","-",'基础-办公用品信息'!E6)</f>
        <v>-</v>
      </c>
      <c r="F6" s="60">
        <f>IFERROR(VLOOKUP(C6,'基础-办公用品信息'!$C:$G,4,0),"-")</f>
        <v>18</v>
      </c>
      <c r="G6" s="87">
        <v>1</v>
      </c>
      <c r="H6" s="60">
        <f t="shared" si="0"/>
        <v>18</v>
      </c>
    </row>
    <row r="7" customHeight="1" spans="2:12">
      <c r="B7" s="86">
        <v>4</v>
      </c>
      <c r="C7" s="60" t="str">
        <f>IF('基础-办公用品信息'!C7="","-",'基础-办公用品信息'!C7)</f>
        <v>A4复印纸蓝色</v>
      </c>
      <c r="D7" s="60" t="str">
        <f>IF('基础-办公用品信息'!D7="","-",'基础-办公用品信息'!D7)</f>
        <v>包</v>
      </c>
      <c r="E7" s="60" t="str">
        <f>IF('基础-办公用品信息'!E7="","-",'基础-办公用品信息'!E7)</f>
        <v>-</v>
      </c>
      <c r="F7" s="60">
        <f>IFERROR(VLOOKUP(C7,'基础-办公用品信息'!$C:$G,4,0),"-")</f>
        <v>0</v>
      </c>
      <c r="G7" s="87">
        <v>1</v>
      </c>
      <c r="H7" s="60">
        <f t="shared" si="0"/>
        <v>0</v>
      </c>
    </row>
    <row r="8" customHeight="1" spans="2:12">
      <c r="B8" s="86">
        <v>5</v>
      </c>
      <c r="C8" s="60" t="str">
        <f>IF('基础-办公用品信息'!C8="","-",'基础-办公用品信息'!C8)</f>
        <v>A4复印纸红色</v>
      </c>
      <c r="D8" s="60" t="str">
        <f>IF('基础-办公用品信息'!D8="","-",'基础-办公用品信息'!D8)</f>
        <v>包</v>
      </c>
      <c r="E8" s="60" t="str">
        <f>IF('基础-办公用品信息'!E8="","-",'基础-办公用品信息'!E8)</f>
        <v>-</v>
      </c>
      <c r="F8" s="60">
        <f>IFERROR(VLOOKUP(C8,'基础-办公用品信息'!$C:$G,4,0),"-")</f>
        <v>0</v>
      </c>
      <c r="G8" s="87">
        <v>5</v>
      </c>
      <c r="H8" s="60">
        <f t="shared" si="0"/>
        <v>0</v>
      </c>
    </row>
    <row r="9" customHeight="1" spans="2:12">
      <c r="B9" s="86">
        <v>6</v>
      </c>
      <c r="C9" s="60" t="str">
        <f>IF('基础-办公用品信息'!C9="","-",'基础-办公用品信息'!C9)</f>
        <v>A4白卡纸180克荷兰白卡</v>
      </c>
      <c r="D9" s="60" t="str">
        <f>IF('基础-办公用品信息'!D9="","-",'基础-办公用品信息'!D9)</f>
        <v>包</v>
      </c>
      <c r="E9" s="60" t="str">
        <f>IF('基础-办公用品信息'!E9="","-",'基础-办公用品信息'!E9)</f>
        <v>-</v>
      </c>
      <c r="F9" s="60">
        <f>IFERROR(VLOOKUP(C9,'基础-办公用品信息'!$C:$G,4,0),"-")</f>
        <v>0</v>
      </c>
      <c r="G9" s="87">
        <v>0</v>
      </c>
      <c r="H9" s="60">
        <f t="shared" si="0"/>
        <v>0</v>
      </c>
    </row>
    <row r="10" customHeight="1" spans="2:12">
      <c r="B10" s="86">
        <v>7</v>
      </c>
      <c r="C10" s="60" t="str">
        <f>IF('基础-办公用品信息'!C10="","-",'基础-办公用品信息'!C10)</f>
        <v>定制会议本牛皮A4</v>
      </c>
      <c r="D10" s="60" t="str">
        <f>IF('基础-办公用品信息'!D10="","-",'基础-办公用品信息'!D10)</f>
        <v>本</v>
      </c>
      <c r="E10" s="60" t="str">
        <f>IF('基础-办公用品信息'!E10="","-",'基础-办公用品信息'!E10)</f>
        <v>-</v>
      </c>
      <c r="F10" s="60">
        <f>IFERROR(VLOOKUP(C10,'基础-办公用品信息'!$C:$G,4,0),"-")</f>
        <v>0</v>
      </c>
      <c r="G10" s="87">
        <v>15</v>
      </c>
      <c r="H10" s="60">
        <f t="shared" si="0"/>
        <v>0</v>
      </c>
    </row>
    <row r="11" customHeight="1" spans="2:12">
      <c r="B11" s="86">
        <v>8</v>
      </c>
      <c r="C11" s="60" t="str">
        <f>IF('基础-办公用品信息'!C11="","-",'基础-办公用品信息'!C11)</f>
        <v>定制会议本活页B5</v>
      </c>
      <c r="D11" s="60" t="str">
        <f>IF('基础-办公用品信息'!D11="","-",'基础-办公用品信息'!D11)</f>
        <v>本</v>
      </c>
      <c r="E11" s="60" t="str">
        <f>IF('基础-办公用品信息'!E11="","-",'基础-办公用品信息'!E11)</f>
        <v>-</v>
      </c>
      <c r="F11" s="60">
        <f>IFERROR(VLOOKUP(C11,'基础-办公用品信息'!$C:$G,4,0),"-")</f>
        <v>0</v>
      </c>
      <c r="G11" s="87">
        <v>0</v>
      </c>
      <c r="H11" s="60">
        <f t="shared" si="0"/>
        <v>0</v>
      </c>
    </row>
    <row r="12" customHeight="1" spans="2:12">
      <c r="B12" s="86">
        <v>9</v>
      </c>
      <c r="C12" s="60" t="str">
        <f>IF('基础-办公用品信息'!C12="","-",'基础-办公用品信息'!C12)</f>
        <v>定制会议便签本牛皮书写夹板A4</v>
      </c>
      <c r="D12" s="60" t="str">
        <f>IF('基础-办公用品信息'!D12="","-",'基础-办公用品信息'!D12)</f>
        <v>本</v>
      </c>
      <c r="E12" s="60" t="str">
        <f>IF('基础-办公用品信息'!E12="","-",'基础-办公用品信息'!E12)</f>
        <v>-</v>
      </c>
      <c r="F12" s="60">
        <f>IFERROR(VLOOKUP(C12,'基础-办公用品信息'!$C:$G,4,0),"-")</f>
        <v>0</v>
      </c>
      <c r="G12" s="87">
        <v>14</v>
      </c>
      <c r="H12" s="60">
        <f t="shared" si="0"/>
        <v>0</v>
      </c>
    </row>
    <row r="13" customHeight="1" spans="2:12">
      <c r="B13" s="86">
        <v>10</v>
      </c>
      <c r="C13" s="60" t="str">
        <f>IF('基础-办公用品信息'!C13="","-",'基础-办公用品信息'!C13)</f>
        <v>会议记录本皮面黑色</v>
      </c>
      <c r="D13" s="60" t="str">
        <f>IF('基础-办公用品信息'!D13="","-",'基础-办公用品信息'!D13)</f>
        <v>本</v>
      </c>
      <c r="E13" s="60" t="str">
        <f>IF('基础-办公用品信息'!E13="","-",'基础-办公用品信息'!E13)</f>
        <v>-</v>
      </c>
      <c r="F13" s="60">
        <f>IFERROR(VLOOKUP(C13,'基础-办公用品信息'!$C:$G,4,0),"-")</f>
        <v>7.5</v>
      </c>
      <c r="G13" s="87">
        <v>4</v>
      </c>
      <c r="H13" s="60">
        <f t="shared" si="0"/>
        <v>30</v>
      </c>
    </row>
    <row r="14" customHeight="1" spans="2:12">
      <c r="B14" s="86">
        <v>11</v>
      </c>
      <c r="C14" s="60" t="str">
        <f>IF('基础-办公用品信息'!C14="","-",'基础-办公用品信息'!C14)</f>
        <v>office本32k</v>
      </c>
      <c r="D14" s="60" t="str">
        <f>IF('基础-办公用品信息'!D14="","-",'基础-办公用品信息'!D14)</f>
        <v>本</v>
      </c>
      <c r="E14" s="60" t="str">
        <f>IF('基础-办公用品信息'!E14="","-",'基础-办公用品信息'!E14)</f>
        <v>-</v>
      </c>
      <c r="F14" s="60">
        <f>IFERROR(VLOOKUP(C14,'基础-办公用品信息'!$C:$G,4,0),"-")</f>
        <v>0</v>
      </c>
      <c r="G14" s="87">
        <v>21</v>
      </c>
      <c r="H14" s="60">
        <f t="shared" si="0"/>
        <v>0</v>
      </c>
    </row>
    <row r="15" customHeight="1" spans="2:12">
      <c r="B15" s="86">
        <v>12</v>
      </c>
      <c r="C15" s="60" t="str">
        <f>IF('基础-办公用品信息'!C15="","-",'基础-办公用品信息'!C15)</f>
        <v>软面抄100</v>
      </c>
      <c r="D15" s="60" t="str">
        <f>IF('基础-办公用品信息'!D15="","-",'基础-办公用品信息'!D15)</f>
        <v>本</v>
      </c>
      <c r="E15" s="60" t="str">
        <f>IF('基础-办公用品信息'!E15="","-",'基础-办公用品信息'!E15)</f>
        <v>-</v>
      </c>
      <c r="F15" s="60">
        <f>IFERROR(VLOOKUP(C15,'基础-办公用品信息'!$C:$G,4,0),"-")</f>
        <v>1.5</v>
      </c>
      <c r="G15" s="87">
        <v>37</v>
      </c>
      <c r="H15" s="60">
        <f t="shared" si="0"/>
        <v>55.5</v>
      </c>
    </row>
    <row r="16" customHeight="1" spans="2:12">
      <c r="B16" s="86">
        <v>13</v>
      </c>
      <c r="C16" s="60" t="str">
        <f>IF('基础-办公用品信息'!C16="","-",'基础-办公用品信息'!C16)</f>
        <v>透明暗扣袋</v>
      </c>
      <c r="D16" s="60" t="str">
        <f>IF('基础-办公用品信息'!D16="","-",'基础-办公用品信息'!D16)</f>
        <v>个</v>
      </c>
      <c r="E16" s="60" t="str">
        <f>IF('基础-办公用品信息'!E16="","-",'基础-办公用品信息'!E16)</f>
        <v>-</v>
      </c>
      <c r="F16" s="60">
        <f>IFERROR(VLOOKUP(C16,'基础-办公用品信息'!$C:$G,4,0),"-")</f>
        <v>0</v>
      </c>
      <c r="G16" s="87">
        <v>22</v>
      </c>
      <c r="H16" s="60">
        <f t="shared" si="0"/>
        <v>0</v>
      </c>
    </row>
    <row r="17" customHeight="1" spans="2:8">
      <c r="B17" s="86">
        <v>14</v>
      </c>
      <c r="C17" s="60" t="str">
        <f>IF('基础-办公用品信息'!C17="","-",'基础-办公用品信息'!C17)</f>
        <v>挂快牢得力A4</v>
      </c>
      <c r="D17" s="60" t="str">
        <f>IF('基础-办公用品信息'!D17="","-",'基础-办公用品信息'!D17)</f>
        <v>张</v>
      </c>
      <c r="E17" s="60" t="str">
        <f>IF('基础-办公用品信息'!E17="","-",'基础-办公用品信息'!E17)</f>
        <v>-</v>
      </c>
      <c r="F17" s="60">
        <f>IFERROR(VLOOKUP(C17,'基础-办公用品信息'!$C:$G,4,0),"-")</f>
        <v>0</v>
      </c>
      <c r="G17" s="87">
        <v>34</v>
      </c>
      <c r="H17" s="60">
        <f t="shared" si="0"/>
        <v>0</v>
      </c>
    </row>
    <row r="18" customHeight="1" spans="2:8">
      <c r="B18" s="86">
        <v>15</v>
      </c>
      <c r="C18" s="60" t="str">
        <f>IF('基础-办公用品信息'!C18="","-",'基础-办公用品信息'!C18)</f>
        <v>资料册40页</v>
      </c>
      <c r="D18" s="60" t="str">
        <f>IF('基础-办公用品信息'!D18="","-",'基础-办公用品信息'!D18)</f>
        <v>本</v>
      </c>
      <c r="E18" s="60" t="str">
        <f>IF('基础-办公用品信息'!E18="","-",'基础-办公用品信息'!E18)</f>
        <v>-</v>
      </c>
      <c r="F18" s="60">
        <f>IFERROR(VLOOKUP(C18,'基础-办公用品信息'!$C:$G,4,0),"-")</f>
        <v>6.5</v>
      </c>
      <c r="G18" s="87">
        <v>7</v>
      </c>
      <c r="H18" s="60">
        <f t="shared" si="0"/>
        <v>45.5</v>
      </c>
    </row>
    <row r="19" customHeight="1" spans="2:8">
      <c r="B19" s="86">
        <v>17</v>
      </c>
      <c r="C19" s="60" t="str">
        <f>IF('基础-办公用品信息'!C19="","-",'基础-办公用品信息'!C19)</f>
        <v>档案袋牛皮纸（小）</v>
      </c>
      <c r="D19" s="60" t="str">
        <f>IF('基础-办公用品信息'!D19="","-",'基础-办公用品信息'!D19)</f>
        <v>只</v>
      </c>
      <c r="E19" s="60" t="str">
        <f>IF('基础-办公用品信息'!E19="","-",'基础-办公用品信息'!E19)</f>
        <v>-</v>
      </c>
      <c r="F19" s="60">
        <f>IFERROR(VLOOKUP(C19,'基础-办公用品信息'!$C:$G,4,0),"-")</f>
        <v>0</v>
      </c>
      <c r="G19" s="87">
        <v>70</v>
      </c>
      <c r="H19" s="60">
        <f t="shared" si="0"/>
        <v>0</v>
      </c>
    </row>
    <row r="20" customHeight="1" spans="2:8">
      <c r="B20" s="86">
        <v>19</v>
      </c>
      <c r="C20" s="60" t="str">
        <f>IF('基础-办公用品信息'!C20="","-",'基础-办公用品信息'!C20)</f>
        <v>档案盒牛皮纸</v>
      </c>
      <c r="D20" s="60" t="str">
        <f>IF('基础-办公用品信息'!D20="","-",'基础-办公用品信息'!D20)</f>
        <v>只</v>
      </c>
      <c r="E20" s="60" t="str">
        <f>IF('基础-办公用品信息'!E20="","-",'基础-办公用品信息'!E20)</f>
        <v>-</v>
      </c>
      <c r="F20" s="60">
        <f>IFERROR(VLOOKUP(C20,'基础-办公用品信息'!$C:$G,4,0),"-")</f>
        <v>0</v>
      </c>
      <c r="G20" s="87">
        <v>150</v>
      </c>
      <c r="H20" s="60">
        <f t="shared" si="0"/>
        <v>0</v>
      </c>
    </row>
    <row r="21" customHeight="1" spans="2:8">
      <c r="B21" s="86">
        <v>21</v>
      </c>
      <c r="C21" s="60" t="str">
        <f>IF('基础-办公用品信息'!C21="","-",'基础-办公用品信息'!C21)</f>
        <v>档案盒大塑料</v>
      </c>
      <c r="D21" s="60" t="str">
        <f>IF('基础-办公用品信息'!D21="","-",'基础-办公用品信息'!D21)</f>
        <v>只</v>
      </c>
      <c r="E21" s="60" t="str">
        <f>IF('基础-办公用品信息'!E21="","-",'基础-办公用品信息'!E21)</f>
        <v>-</v>
      </c>
      <c r="F21" s="60">
        <f>IFERROR(VLOOKUP(C21,'基础-办公用品信息'!$C:$G,4,0),"-")</f>
        <v>0</v>
      </c>
      <c r="G21" s="87">
        <v>11</v>
      </c>
      <c r="H21" s="60">
        <f t="shared" si="0"/>
        <v>0</v>
      </c>
    </row>
    <row r="22" customHeight="1" spans="2:8">
      <c r="B22" s="86">
        <v>22</v>
      </c>
      <c r="C22" s="60" t="str">
        <f>IF('基础-办公用品信息'!C22="","-",'基础-办公用品信息'!C22)</f>
        <v>档案盒小塑料</v>
      </c>
      <c r="D22" s="60" t="str">
        <f>IF('基础-办公用品信息'!D22="","-",'基础-办公用品信息'!D22)</f>
        <v>只</v>
      </c>
      <c r="E22" s="60" t="str">
        <f>IF('基础-办公用品信息'!E22="","-",'基础-办公用品信息'!E22)</f>
        <v>-</v>
      </c>
      <c r="F22" s="60">
        <f>IFERROR(VLOOKUP(C22,'基础-办公用品信息'!$C:$G,4,0),"-")</f>
        <v>0</v>
      </c>
      <c r="G22" s="87">
        <v>3</v>
      </c>
      <c r="H22" s="60">
        <f t="shared" si="0"/>
        <v>0</v>
      </c>
    </row>
    <row r="23" customHeight="1" spans="2:8">
      <c r="B23" s="86">
        <v>23</v>
      </c>
      <c r="C23" s="60" t="str">
        <f>IF('基础-办公用品信息'!C23="","-",'基础-办公用品信息'!C23)</f>
        <v>三角抽杆文件夹 </v>
      </c>
      <c r="D23" s="60" t="str">
        <f>IF('基础-办公用品信息'!D23="","-",'基础-办公用品信息'!D23)</f>
        <v>本</v>
      </c>
      <c r="E23" s="60" t="str">
        <f>IF('基础-办公用品信息'!E23="","-",'基础-办公用品信息'!E23)</f>
        <v>-</v>
      </c>
      <c r="F23" s="60">
        <f>IFERROR(VLOOKUP(C23,'基础-办公用品信息'!$C:$G,4,0),"-")</f>
        <v>0.55</v>
      </c>
      <c r="G23" s="87">
        <v>63</v>
      </c>
      <c r="H23" s="60">
        <f t="shared" si="0"/>
        <v>34.65</v>
      </c>
    </row>
    <row r="24" customHeight="1" spans="2:8">
      <c r="B24" s="86">
        <v>25</v>
      </c>
      <c r="C24" s="60" t="str">
        <f>IF('基础-办公用品信息'!C24="","-",'基础-办公用品信息'!C24)</f>
        <v>塑料文件架</v>
      </c>
      <c r="D24" s="60" t="str">
        <f>IF('基础-办公用品信息'!D24="","-",'基础-办公用品信息'!D24)</f>
        <v>只</v>
      </c>
      <c r="E24" s="60" t="str">
        <f>IF('基础-办公用品信息'!E25="","-",'基础-办公用品信息'!E25)</f>
        <v>-</v>
      </c>
      <c r="F24" s="60">
        <f>IFERROR(VLOOKUP(C24,'基础-办公用品信息'!$C:$G,4,0),"-")</f>
        <v>18</v>
      </c>
      <c r="G24" s="87">
        <v>0</v>
      </c>
      <c r="H24" s="60">
        <f t="shared" ref="H24:H34" si="1">IFERROR(F24*G24,"")</f>
        <v>0</v>
      </c>
    </row>
    <row r="25" customHeight="1" spans="2:8">
      <c r="B25" s="86">
        <v>26</v>
      </c>
      <c r="C25" s="60" t="str">
        <f>IF('基础-办公用品信息'!C25="","-",'基础-办公用品信息'!C25)</f>
        <v>文件夹，纸板夹</v>
      </c>
      <c r="D25" s="60" t="str">
        <f>IF('基础-办公用品信息'!D25="","-",'基础-办公用品信息'!D25)</f>
        <v>本</v>
      </c>
      <c r="E25" s="60" t="str">
        <f>IF('基础-办公用品信息'!E26="","-",'基础-办公用品信息'!E26)</f>
        <v>-</v>
      </c>
      <c r="F25" s="60">
        <f>IFERROR(VLOOKUP(C25,'基础-办公用品信息'!$C:$G,4,0),"-")</f>
        <v>5</v>
      </c>
      <c r="G25" s="87">
        <v>15</v>
      </c>
      <c r="H25" s="60">
        <f t="shared" si="1"/>
        <v>75</v>
      </c>
    </row>
    <row r="26" customHeight="1" spans="2:8">
      <c r="B26" s="86">
        <v>27</v>
      </c>
      <c r="C26" s="60" t="str">
        <f>IF('基础-办公用品信息'!C26="","-",'基础-办公用品信息'!C26)</f>
        <v>文件夹，塑料皮</v>
      </c>
      <c r="D26" s="60" t="str">
        <f>IF('基础-办公用品信息'!D26="","-",'基础-办公用品信息'!D26)</f>
        <v>本</v>
      </c>
      <c r="E26" s="60" t="str">
        <f>IF('基础-办公用品信息'!E27="","-",'基础-办公用品信息'!E27)</f>
        <v>-</v>
      </c>
      <c r="F26" s="60">
        <f>IFERROR(VLOOKUP(C26,'基础-办公用品信息'!$C:$G,4,0),"-")</f>
        <v>6.5</v>
      </c>
      <c r="G26" s="87">
        <v>0</v>
      </c>
      <c r="H26" s="60">
        <f t="shared" si="1"/>
        <v>0</v>
      </c>
    </row>
    <row r="27" customHeight="1" spans="2:8">
      <c r="B27" s="86">
        <v>28</v>
      </c>
      <c r="C27" s="60" t="str">
        <f>IF('基础-办公用品信息'!C27="","-",'基础-办公用品信息'!C27)</f>
        <v>网格拉链袋</v>
      </c>
      <c r="D27" s="60" t="str">
        <f>IF('基础-办公用品信息'!D27="","-",'基础-办公用品信息'!D27)</f>
        <v>只</v>
      </c>
      <c r="E27" s="60" t="str">
        <f>IF('基础-办公用品信息'!E27="","-",'基础-办公用品信息'!E27)</f>
        <v>-</v>
      </c>
      <c r="F27" s="60">
        <f>IFERROR(VLOOKUP(C27,'基础-办公用品信息'!$C:$G,4,0),"-")</f>
        <v>0</v>
      </c>
      <c r="G27" s="87">
        <v>9</v>
      </c>
      <c r="H27" s="60">
        <f t="shared" si="1"/>
        <v>0</v>
      </c>
    </row>
    <row r="28" customHeight="1" spans="2:8">
      <c r="B28" s="86">
        <v>29</v>
      </c>
      <c r="C28" s="60" t="str">
        <f>IF('基础-办公用品信息'!C28="","-",'基础-办公用品信息'!C28)</f>
        <v>书写夹板A5</v>
      </c>
      <c r="D28" s="60" t="str">
        <f>IF('基础-办公用品信息'!D28="","-",'基础-办公用品信息'!D28)</f>
        <v>只</v>
      </c>
      <c r="E28" s="60" t="str">
        <f>IF('基础-办公用品信息'!E28="","-",'基础-办公用品信息'!E28)</f>
        <v>-</v>
      </c>
      <c r="F28" s="60">
        <f>IFERROR(VLOOKUP(C28,'基础-办公用品信息'!$C:$G,4,0),"-")</f>
        <v>0</v>
      </c>
      <c r="G28" s="87">
        <v>0</v>
      </c>
      <c r="H28" s="60">
        <f t="shared" si="1"/>
        <v>0</v>
      </c>
    </row>
    <row r="29" customHeight="1" spans="2:8">
      <c r="B29" s="86">
        <v>30</v>
      </c>
      <c r="C29" s="60" t="str">
        <f>IF('基础-办公用品信息'!C29="","-",'基础-办公用品信息'!C29)</f>
        <v>铁书挡（小）</v>
      </c>
      <c r="D29" s="60" t="str">
        <f>IF('基础-办公用品信息'!D29="","-",'基础-办公用品信息'!D29)</f>
        <v>只</v>
      </c>
      <c r="E29" s="60" t="str">
        <f>IF('基础-办公用品信息'!E29="","-",'基础-办公用品信息'!E29)</f>
        <v>-</v>
      </c>
      <c r="F29" s="60">
        <f>IFERROR(VLOOKUP(C29,'基础-办公用品信息'!$C:$G,4,0),"-")</f>
        <v>0</v>
      </c>
      <c r="G29" s="87">
        <v>6</v>
      </c>
      <c r="H29" s="60">
        <f t="shared" si="1"/>
        <v>0</v>
      </c>
    </row>
    <row r="30" customHeight="1" spans="2:8">
      <c r="B30" s="86">
        <v>31</v>
      </c>
      <c r="C30" s="60" t="str">
        <f>IF('基础-办公用品信息'!C30="","-",'基础-办公用品信息'!C30)</f>
        <v>铁书挡（大）</v>
      </c>
      <c r="D30" s="60" t="str">
        <f>IF('基础-办公用品信息'!D30="","-",'基础-办公用品信息'!D30)</f>
        <v>只</v>
      </c>
      <c r="E30" s="60" t="str">
        <f>IF('基础-办公用品信息'!E30="","-",'基础-办公用品信息'!E30)</f>
        <v>-</v>
      </c>
      <c r="F30" s="60">
        <f>IFERROR(VLOOKUP(C30,'基础-办公用品信息'!$C:$G,4,0),"-")</f>
        <v>0</v>
      </c>
      <c r="G30" s="87">
        <v>6</v>
      </c>
      <c r="H30" s="60">
        <f t="shared" si="1"/>
        <v>0</v>
      </c>
    </row>
    <row r="31" customHeight="1" spans="2:8">
      <c r="B31" s="86">
        <v>32</v>
      </c>
      <c r="C31" s="60" t="str">
        <f>IF('基础-办公用品信息'!C31="","-",'基础-办公用品信息'!C31)</f>
        <v>水笔黑色</v>
      </c>
      <c r="D31" s="60" t="str">
        <f>IF('基础-办公用品信息'!D31="","-",'基础-办公用品信息'!D31)</f>
        <v>支</v>
      </c>
      <c r="E31" s="60" t="str">
        <f>IF('基础-办公用品信息'!E31="","-",'基础-办公用品信息'!E31)</f>
        <v>-</v>
      </c>
      <c r="F31" s="60">
        <f>IFERROR(VLOOKUP(C31,'基础-办公用品信息'!$C:$G,4,0),"-")</f>
        <v>1.3</v>
      </c>
      <c r="G31" s="87">
        <v>156</v>
      </c>
      <c r="H31" s="60">
        <f t="shared" si="1"/>
        <v>202.8</v>
      </c>
    </row>
    <row r="32" customHeight="1" spans="2:8">
      <c r="B32" s="86">
        <v>33</v>
      </c>
      <c r="C32" s="60" t="str">
        <f>IF('基础-办公用品信息'!C32="","-",'基础-办公用品信息'!C32)</f>
        <v>水笔红色</v>
      </c>
      <c r="D32" s="60" t="str">
        <f>IF('基础-办公用品信息'!D32="","-",'基础-办公用品信息'!D32)</f>
        <v>支</v>
      </c>
      <c r="E32" s="60" t="str">
        <f>IF('基础-办公用品信息'!E32="","-",'基础-办公用品信息'!E32)</f>
        <v>-</v>
      </c>
      <c r="F32" s="60">
        <f>IFERROR(VLOOKUP(C32,'基础-办公用品信息'!$C:$G,4,0),"-")</f>
        <v>1.3</v>
      </c>
      <c r="G32" s="87">
        <v>15</v>
      </c>
      <c r="H32" s="60">
        <f t="shared" si="1"/>
        <v>19.5</v>
      </c>
    </row>
    <row r="33" customHeight="1" spans="2:8">
      <c r="B33" s="86">
        <v>34</v>
      </c>
      <c r="C33" s="60" t="str">
        <f>IF('基础-办公用品信息'!C33="","-",'基础-办公用品信息'!C33)</f>
        <v>按压水笔黑色</v>
      </c>
      <c r="D33" s="60" t="str">
        <f>IF('基础-办公用品信息'!D33="","-",'基础-办公用品信息'!D33)</f>
        <v>支</v>
      </c>
      <c r="E33" s="60" t="str">
        <f>IF('基础-办公用品信息'!E33="","-",'基础-办公用品信息'!E33)</f>
        <v>-</v>
      </c>
      <c r="F33" s="60">
        <f>IFERROR(VLOOKUP(C33,'基础-办公用品信息'!$C:$G,4,0),"-")</f>
        <v>2</v>
      </c>
      <c r="G33" s="87">
        <v>22</v>
      </c>
      <c r="H33" s="60">
        <f t="shared" si="1"/>
        <v>44</v>
      </c>
    </row>
    <row r="34" customHeight="1" spans="2:8">
      <c r="B34" s="86">
        <v>35</v>
      </c>
      <c r="C34" s="60" t="str">
        <f>IF('基础-办公用品信息'!C34="","-",'基础-办公用品信息'!C34)</f>
        <v>笔芯</v>
      </c>
      <c r="D34" s="60" t="str">
        <f>IF('基础-办公用品信息'!D34="","-",'基础-办公用品信息'!D34)</f>
        <v>支</v>
      </c>
      <c r="E34" s="60" t="str">
        <f>IF('基础-办公用品信息'!E34="","-",'基础-办公用品信息'!E34)</f>
        <v>-</v>
      </c>
      <c r="F34" s="60">
        <f>IFERROR(VLOOKUP(C34,'基础-办公用品信息'!$C:$G,4,0),"-")</f>
        <v>0</v>
      </c>
      <c r="G34" s="87">
        <v>66</v>
      </c>
      <c r="H34" s="60">
        <f t="shared" si="1"/>
        <v>0</v>
      </c>
    </row>
    <row r="35" customHeight="1" spans="2:8">
      <c r="B35" s="86">
        <v>39</v>
      </c>
      <c r="C35" s="60" t="str">
        <f>IF('基础-办公用品信息'!C35="","-",'基础-办公用品信息'!C35)</f>
        <v>台笔</v>
      </c>
      <c r="D35" s="60" t="str">
        <f>IF('基础-办公用品信息'!D35="","-",'基础-办公用品信息'!D35)</f>
        <v>支</v>
      </c>
      <c r="E35" s="60" t="str">
        <f>IF('基础-办公用品信息'!E35="","-",'基础-办公用品信息'!E35)</f>
        <v>-</v>
      </c>
      <c r="F35" s="60">
        <f>IFERROR(VLOOKUP(C35,'基础-办公用品信息'!$C:$G,4,0),"-")</f>
        <v>0</v>
      </c>
      <c r="G35" s="87">
        <v>2</v>
      </c>
      <c r="H35" s="60">
        <f t="shared" ref="H35:H85" si="2">IFERROR(F35*G35,"")</f>
        <v>0</v>
      </c>
    </row>
    <row r="36" customHeight="1" spans="2:8">
      <c r="B36" s="86">
        <v>40</v>
      </c>
      <c r="C36" s="60" t="str">
        <f>IF('基础-办公用品信息'!C36="","-",'基础-办公用品信息'!C36)</f>
        <v>记号笔黑色</v>
      </c>
      <c r="D36" s="60" t="str">
        <f>IF('基础-办公用品信息'!D36="","-",'基础-办公用品信息'!D36)</f>
        <v>支</v>
      </c>
      <c r="E36" s="60" t="str">
        <f>IF('基础-办公用品信息'!E36="","-",'基础-办公用品信息'!E36)</f>
        <v>-</v>
      </c>
      <c r="F36" s="60">
        <f>IFERROR(VLOOKUP(C36,'基础-办公用品信息'!$C:$G,4,0),"-")</f>
        <v>0.5</v>
      </c>
      <c r="G36" s="87">
        <v>84</v>
      </c>
      <c r="H36" s="60">
        <f t="shared" si="2"/>
        <v>42</v>
      </c>
    </row>
    <row r="37" customHeight="1" spans="2:8">
      <c r="B37" s="86">
        <v>41</v>
      </c>
      <c r="C37" s="60" t="str">
        <f>IF('基础-办公用品信息'!C37="","-",'基础-办公用品信息'!C37)</f>
        <v>记号笔红色</v>
      </c>
      <c r="D37" s="60" t="str">
        <f>IF('基础-办公用品信息'!D37="","-",'基础-办公用品信息'!D37)</f>
        <v>支</v>
      </c>
      <c r="E37" s="60" t="str">
        <f>IF('基础-办公用品信息'!E37="","-",'基础-办公用品信息'!E37)</f>
        <v>-</v>
      </c>
      <c r="F37" s="60">
        <f>IFERROR(VLOOKUP(C37,'基础-办公用品信息'!$C:$G,4,0),"-")</f>
        <v>0.5</v>
      </c>
      <c r="G37" s="87">
        <v>98</v>
      </c>
      <c r="H37" s="60">
        <f t="shared" si="2"/>
        <v>49</v>
      </c>
    </row>
    <row r="38" customHeight="1" spans="2:8">
      <c r="B38" s="86">
        <v>42</v>
      </c>
      <c r="C38" s="60" t="str">
        <f>IF('基础-办公用品信息'!C38="","-",'基础-办公用品信息'!C38)</f>
        <v>扑克</v>
      </c>
      <c r="D38" s="60" t="str">
        <f>IF('基础-办公用品信息'!D38="","-",'基础-办公用品信息'!D38)</f>
        <v>盒</v>
      </c>
      <c r="E38" s="60" t="str">
        <f>IF('基础-办公用品信息'!E38="","-",'基础-办公用品信息'!E38)</f>
        <v>-</v>
      </c>
      <c r="F38" s="60">
        <f>IFERROR(VLOOKUP(C38,'基础-办公用品信息'!$C:$G,4,0),"-")</f>
        <v>1.4</v>
      </c>
      <c r="G38" s="87">
        <v>46</v>
      </c>
      <c r="H38" s="60">
        <f t="shared" si="2"/>
        <v>64.4</v>
      </c>
    </row>
    <row r="39" customHeight="1" spans="2:8">
      <c r="B39" s="86">
        <v>43</v>
      </c>
      <c r="C39" s="60" t="str">
        <f>IF('基础-办公用品信息'!C39="","-",'基础-办公用品信息'!C39)</f>
        <v>圆珠笔蓝色</v>
      </c>
      <c r="D39" s="60" t="str">
        <f>IF('基础-办公用品信息'!D39="","-",'基础-办公用品信息'!D39)</f>
        <v>支</v>
      </c>
      <c r="E39" s="60" t="str">
        <f>IF('基础-办公用品信息'!E39="","-",'基础-办公用品信息'!E39)</f>
        <v>-</v>
      </c>
      <c r="F39" s="60">
        <f>IFERROR(VLOOKUP(C39,'基础-办公用品信息'!$C:$G,4,0),"-")</f>
        <v>0</v>
      </c>
      <c r="G39" s="87">
        <v>5</v>
      </c>
      <c r="H39" s="60">
        <f t="shared" si="2"/>
        <v>0</v>
      </c>
    </row>
    <row r="40" customHeight="1" spans="2:8">
      <c r="B40" s="86">
        <v>44</v>
      </c>
      <c r="C40" s="60" t="str">
        <f>IF('基础-办公用品信息'!C40="","-",'基础-办公用品信息'!C40)</f>
        <v>铅笔</v>
      </c>
      <c r="D40" s="60" t="str">
        <f>IF('基础-办公用品信息'!D40="","-",'基础-办公用品信息'!D40)</f>
        <v>支</v>
      </c>
      <c r="E40" s="60" t="str">
        <f>IF('基础-办公用品信息'!E40="","-",'基础-办公用品信息'!E40)</f>
        <v>-</v>
      </c>
      <c r="F40" s="60" t="str">
        <f>IFERROR(VLOOKUP(C40,'基础-办公用品信息'!$C:$G,4,0),"-")</f>
        <v>7元/盒</v>
      </c>
      <c r="G40" s="87">
        <v>81</v>
      </c>
      <c r="H40" s="60" t="str">
        <f t="shared" si="2"/>
        <v/>
      </c>
    </row>
    <row r="41" customHeight="1" spans="2:8">
      <c r="B41" s="86">
        <v>45</v>
      </c>
      <c r="C41" s="60" t="str">
        <f>IF('基础-办公用品信息'!C41="","-",'基础-办公用品信息'!C41)</f>
        <v>卷笔机</v>
      </c>
      <c r="D41" s="60" t="str">
        <f>IF('基础-办公用品信息'!D41="","-",'基础-办公用品信息'!D41)</f>
        <v>个</v>
      </c>
      <c r="E41" s="60" t="str">
        <f>IF('基础-办公用品信息'!E41="","-",'基础-办公用品信息'!E41)</f>
        <v>-</v>
      </c>
      <c r="F41" s="60">
        <f>IFERROR(VLOOKUP(C41,'基础-办公用品信息'!$C:$G,4,0),"-")</f>
        <v>16</v>
      </c>
      <c r="G41" s="87">
        <v>1</v>
      </c>
      <c r="H41" s="60">
        <f t="shared" si="2"/>
        <v>16</v>
      </c>
    </row>
    <row r="42" customHeight="1" spans="2:8">
      <c r="B42" s="86">
        <v>46</v>
      </c>
      <c r="C42" s="60" t="str">
        <f>IF('基础-办公用品信息'!C42="","-",'基础-办公用品信息'!C42)</f>
        <v>卷笔刀</v>
      </c>
      <c r="D42" s="60" t="str">
        <f>IF('基础-办公用品信息'!D42="","-",'基础-办公用品信息'!D42)</f>
        <v>个</v>
      </c>
      <c r="E42" s="60" t="str">
        <f>IF('基础-办公用品信息'!E42="","-",'基础-办公用品信息'!E42)</f>
        <v>-</v>
      </c>
      <c r="F42" s="60">
        <f>IFERROR(VLOOKUP(C42,'基础-办公用品信息'!$C:$G,4,0),"-")</f>
        <v>0.8</v>
      </c>
      <c r="G42" s="87">
        <v>13</v>
      </c>
      <c r="H42" s="60">
        <f t="shared" si="2"/>
        <v>10.4</v>
      </c>
    </row>
    <row r="43" customHeight="1" spans="2:8">
      <c r="B43" s="86">
        <v>47</v>
      </c>
      <c r="C43" s="60" t="str">
        <f>IF('基础-办公用品信息'!C43="","-",'基础-办公用品信息'!C43)</f>
        <v>橡皮</v>
      </c>
      <c r="D43" s="60" t="str">
        <f>IF('基础-办公用品信息'!D43="","-",'基础-办公用品信息'!D43)</f>
        <v>个</v>
      </c>
      <c r="E43" s="60" t="str">
        <f>IF('基础-办公用品信息'!E43="","-",'基础-办公用品信息'!E43)</f>
        <v>-</v>
      </c>
      <c r="F43" s="60">
        <f>IFERROR(VLOOKUP(C43,'基础-办公用品信息'!$C:$G,4,0),"-")</f>
        <v>0</v>
      </c>
      <c r="G43" s="87">
        <v>13</v>
      </c>
      <c r="H43" s="60">
        <f t="shared" si="2"/>
        <v>0</v>
      </c>
    </row>
    <row r="44" customHeight="1" spans="2:8">
      <c r="B44" s="86">
        <v>48</v>
      </c>
      <c r="C44" s="60" t="str">
        <f>IF('基础-办公用品信息'!C44="","-",'基础-办公用品信息'!C44)</f>
        <v>美工刀</v>
      </c>
      <c r="D44" s="60" t="str">
        <f>IF('基础-办公用品信息'!D44="","-",'基础-办公用品信息'!D44)</f>
        <v>把</v>
      </c>
      <c r="E44" s="60" t="str">
        <f>IF('基础-办公用品信息'!E44="","-",'基础-办公用品信息'!E44)</f>
        <v>-</v>
      </c>
      <c r="F44" s="60">
        <f>IFERROR(VLOOKUP(C44,'基础-办公用品信息'!$C:$G,4,0),"-")</f>
        <v>0</v>
      </c>
      <c r="G44" s="87">
        <v>6</v>
      </c>
      <c r="H44" s="60">
        <f t="shared" si="2"/>
        <v>0</v>
      </c>
    </row>
    <row r="45" customHeight="1" spans="2:8">
      <c r="B45" s="86">
        <v>49</v>
      </c>
      <c r="C45" s="60" t="str">
        <f>IF('基础-办公用品信息'!C45="","-",'基础-办公用品信息'!C45)</f>
        <v>剪刀</v>
      </c>
      <c r="D45" s="60" t="str">
        <f>IF('基础-办公用品信息'!D45="","-",'基础-办公用品信息'!D45)</f>
        <v>把</v>
      </c>
      <c r="E45" s="60" t="str">
        <f>IF('基础-办公用品信息'!E45="","-",'基础-办公用品信息'!E45)</f>
        <v>-</v>
      </c>
      <c r="F45" s="60">
        <f>IFERROR(VLOOKUP(C45,'基础-办公用品信息'!$C:$G,4,0),"-")</f>
        <v>3.5</v>
      </c>
      <c r="G45" s="87">
        <v>7</v>
      </c>
      <c r="H45" s="60">
        <f t="shared" si="2"/>
        <v>24.5</v>
      </c>
    </row>
    <row r="46" customHeight="1" spans="2:8">
      <c r="B46" s="86">
        <v>50</v>
      </c>
      <c r="C46" s="60" t="str">
        <f>IF('基础-办公用品信息'!C46="","-",'基础-办公用品信息'!C46)</f>
        <v>起钉器</v>
      </c>
      <c r="D46" s="60" t="str">
        <f>IF('基础-办公用品信息'!D46="","-",'基础-办公用品信息'!D46)</f>
        <v>个</v>
      </c>
      <c r="E46" s="60" t="str">
        <f>IF('基础-办公用品信息'!E46="","-",'基础-办公用品信息'!E46)</f>
        <v>-</v>
      </c>
      <c r="F46" s="60">
        <f>IFERROR(VLOOKUP(C46,'基础-办公用品信息'!$C:$G,4,0),"-")</f>
        <v>2</v>
      </c>
      <c r="G46" s="87">
        <v>10</v>
      </c>
      <c r="H46" s="60">
        <f t="shared" si="2"/>
        <v>20</v>
      </c>
    </row>
    <row r="47" customHeight="1" spans="2:8">
      <c r="B47" s="86">
        <v>51</v>
      </c>
      <c r="C47" s="60" t="str">
        <f>IF('基础-办公用品信息'!C47="","-",'基础-办公用品信息'!C47)</f>
        <v>订书机</v>
      </c>
      <c r="D47" s="60" t="str">
        <f>IF('基础-办公用品信息'!D47="","-",'基础-办公用品信息'!D47)</f>
        <v>个</v>
      </c>
      <c r="E47" s="60" t="str">
        <f>IF('基础-办公用品信息'!E47="","-",'基础-办公用品信息'!E47)</f>
        <v>-</v>
      </c>
      <c r="F47" s="60">
        <f>IFERROR(VLOOKUP(C47,'基础-办公用品信息'!$C:$G,4,0),"-")</f>
        <v>7</v>
      </c>
      <c r="G47" s="87">
        <v>9</v>
      </c>
      <c r="H47" s="60">
        <f t="shared" si="2"/>
        <v>63</v>
      </c>
    </row>
    <row r="48" customHeight="1" spans="2:8">
      <c r="B48" s="86">
        <v>52</v>
      </c>
      <c r="C48" s="60" t="str">
        <f>IF('基础-办公用品信息'!C48="","-",'基础-办公用品信息'!C48)</f>
        <v>订书钉</v>
      </c>
      <c r="D48" s="60" t="str">
        <f>IF('基础-办公用品信息'!D48="","-",'基础-办公用品信息'!D48)</f>
        <v>盒</v>
      </c>
      <c r="E48" s="60" t="str">
        <f>IF('基础-办公用品信息'!E48="","-",'基础-办公用品信息'!E48)</f>
        <v>-</v>
      </c>
      <c r="F48" s="60">
        <f>IFERROR(VLOOKUP(C48,'基础-办公用品信息'!$C:$G,4,0),"-")</f>
        <v>0.7</v>
      </c>
      <c r="G48" s="87">
        <v>81</v>
      </c>
      <c r="H48" s="60">
        <f t="shared" si="2"/>
        <v>56.7</v>
      </c>
    </row>
    <row r="49" customHeight="1" spans="2:8">
      <c r="B49" s="86">
        <v>55</v>
      </c>
      <c r="C49" s="60" t="str">
        <f>IF('基础-办公用品信息'!C49="","-",'基础-办公用品信息'!C49)</f>
        <v>回形针</v>
      </c>
      <c r="D49" s="60" t="str">
        <f>IF('基础-办公用品信息'!D49="","-",'基础-办公用品信息'!D49)</f>
        <v>盒</v>
      </c>
      <c r="E49" s="60" t="str">
        <f>IF('基础-办公用品信息'!E49="","-",'基础-办公用品信息'!E49)</f>
        <v>-</v>
      </c>
      <c r="F49" s="60">
        <f>IFERROR(VLOOKUP(C49,'基础-办公用品信息'!$C:$G,4,0),"-")</f>
        <v>0.7</v>
      </c>
      <c r="G49" s="87">
        <v>18</v>
      </c>
      <c r="H49" s="60">
        <f t="shared" si="2"/>
        <v>12.6</v>
      </c>
    </row>
    <row r="50" customHeight="1" spans="2:8">
      <c r="B50" s="86">
        <v>56</v>
      </c>
      <c r="C50" s="60" t="str">
        <f>IF('基础-办公用品信息'!C50="","-",'基础-办公用品信息'!C50)</f>
        <v>计算器</v>
      </c>
      <c r="D50" s="60" t="str">
        <f>IF('基础-办公用品信息'!D50="","-",'基础-办公用品信息'!D50)</f>
        <v>个</v>
      </c>
      <c r="E50" s="60" t="str">
        <f>IF('基础-办公用品信息'!E50="","-",'基础-办公用品信息'!E50)</f>
        <v>-</v>
      </c>
      <c r="F50" s="60">
        <f>IFERROR(VLOOKUP(C50,'基础-办公用品信息'!$C:$G,4,0),"-")</f>
        <v>13</v>
      </c>
      <c r="G50" s="87">
        <v>9</v>
      </c>
      <c r="H50" s="60">
        <f t="shared" si="2"/>
        <v>117</v>
      </c>
    </row>
    <row r="51" customHeight="1" spans="2:8">
      <c r="B51" s="86">
        <v>57</v>
      </c>
      <c r="C51" s="60" t="str">
        <f>IF('基础-办公用品信息'!C51="","-",'基础-办公用品信息'!C51)</f>
        <v>笔筒圆形</v>
      </c>
      <c r="D51" s="60" t="str">
        <f>IF('基础-办公用品信息'!D51="","-",'基础-办公用品信息'!D51)</f>
        <v>个</v>
      </c>
      <c r="E51" s="60" t="str">
        <f>IF('基础-办公用品信息'!E51="","-",'基础-办公用品信息'!E51)</f>
        <v>-</v>
      </c>
      <c r="F51" s="60">
        <f>IFERROR(VLOOKUP(C51,'基础-办公用品信息'!$C:$G,4,0),"-")</f>
        <v>4</v>
      </c>
      <c r="G51" s="87">
        <v>21</v>
      </c>
      <c r="H51" s="60">
        <f t="shared" si="2"/>
        <v>84</v>
      </c>
    </row>
    <row r="52" customHeight="1" spans="2:8">
      <c r="B52" s="86">
        <v>58</v>
      </c>
      <c r="C52" s="60" t="str">
        <f>IF('基础-办公用品信息'!C52="","-",'基础-办公用品信息'!C52)</f>
        <v>笔筒方形</v>
      </c>
      <c r="D52" s="60" t="str">
        <f>IF('基础-办公用品信息'!D52="","-",'基础-办公用品信息'!D52)</f>
        <v>个</v>
      </c>
      <c r="E52" s="60" t="str">
        <f>IF('基础-办公用品信息'!E52="","-",'基础-办公用品信息'!E52)</f>
        <v>-</v>
      </c>
      <c r="F52" s="60">
        <f>IFERROR(VLOOKUP(C52,'基础-办公用品信息'!$C:$G,4,0),"-")</f>
        <v>4</v>
      </c>
      <c r="G52" s="87">
        <v>3</v>
      </c>
      <c r="H52" s="60">
        <f t="shared" si="2"/>
        <v>12</v>
      </c>
    </row>
    <row r="53" customHeight="1" spans="2:8">
      <c r="B53" s="86">
        <v>59</v>
      </c>
      <c r="C53" s="60" t="str">
        <f>IF('基础-办公用品信息'!C53="","-",'基础-办公用品信息'!C53)</f>
        <v>液体胶水</v>
      </c>
      <c r="D53" s="60" t="str">
        <f>IF('基础-办公用品信息'!D53="","-",'基础-办公用品信息'!D53)</f>
        <v>支</v>
      </c>
      <c r="E53" s="60" t="str">
        <f>IF('基础-办公用品信息'!E53="","-",'基础-办公用品信息'!E53)</f>
        <v>-</v>
      </c>
      <c r="F53" s="60">
        <f>IFERROR(VLOOKUP(C53,'基础-办公用品信息'!$C:$G,4,0),"-")</f>
        <v>1</v>
      </c>
      <c r="G53" s="87">
        <v>13</v>
      </c>
      <c r="H53" s="60">
        <f t="shared" si="2"/>
        <v>13</v>
      </c>
    </row>
    <row r="54" customHeight="1" spans="2:8">
      <c r="B54" s="86">
        <v>60</v>
      </c>
      <c r="C54" s="60" t="str">
        <f>IF('基础-办公用品信息'!C54="","-",'基础-办公用品信息'!C54)</f>
        <v>固体胶水</v>
      </c>
      <c r="D54" s="60" t="str">
        <f>IF('基础-办公用品信息'!D54="","-",'基础-办公用品信息'!D54)</f>
        <v>支</v>
      </c>
      <c r="E54" s="60" t="str">
        <f>IF('基础-办公用品信息'!E54="","-",'基础-办公用品信息'!E54)</f>
        <v>-</v>
      </c>
      <c r="F54" s="60">
        <f>IFERROR(VLOOKUP(C54,'基础-办公用品信息'!$C:$G,4,0),"-")</f>
        <v>1</v>
      </c>
      <c r="G54" s="87">
        <v>27</v>
      </c>
      <c r="H54" s="60">
        <f t="shared" si="2"/>
        <v>27</v>
      </c>
    </row>
    <row r="55" customHeight="1" spans="2:8">
      <c r="B55" s="86">
        <v>61</v>
      </c>
      <c r="C55" s="60" t="str">
        <f>IF('基础-办公用品信息'!C55="","-",'基础-办公用品信息'!C55)</f>
        <v>三棱尺</v>
      </c>
      <c r="D55" s="60" t="str">
        <f>IF('基础-办公用品信息'!D55="","-",'基础-办公用品信息'!D55)</f>
        <v>把</v>
      </c>
      <c r="E55" s="60" t="str">
        <f>IF('基础-办公用品信息'!E55="","-",'基础-办公用品信息'!E55)</f>
        <v>-</v>
      </c>
      <c r="F55" s="60">
        <f>IFERROR(VLOOKUP(C55,'基础-办公用品信息'!$C:$G,4,0),"-")</f>
        <v>0</v>
      </c>
      <c r="G55" s="87">
        <v>1</v>
      </c>
      <c r="H55" s="60">
        <f t="shared" si="2"/>
        <v>0</v>
      </c>
    </row>
    <row r="56" customHeight="1" spans="2:8">
      <c r="B56" s="86">
        <v>62</v>
      </c>
      <c r="C56" s="60" t="str">
        <f>IF('基础-办公用品信息'!C56="","-",'基础-办公用品信息'!C56)</f>
        <v>透明直尺40cm</v>
      </c>
      <c r="D56" s="60" t="str">
        <f>IF('基础-办公用品信息'!D56="","-",'基础-办公用品信息'!D56)</f>
        <v>把</v>
      </c>
      <c r="E56" s="60" t="str">
        <f>IF('基础-办公用品信息'!E56="","-",'基础-办公用品信息'!E56)</f>
        <v>-</v>
      </c>
      <c r="F56" s="60">
        <f>IFERROR(VLOOKUP(C56,'基础-办公用品信息'!$C:$G,4,0),"-")</f>
        <v>0</v>
      </c>
      <c r="G56" s="87">
        <v>0</v>
      </c>
      <c r="H56" s="60">
        <f t="shared" si="2"/>
        <v>0</v>
      </c>
    </row>
    <row r="57" customHeight="1" spans="2:8">
      <c r="B57" s="86">
        <v>63</v>
      </c>
      <c r="C57" s="60" t="str">
        <f>IF('基础-办公用品信息'!C57="","-",'基础-办公用品信息'!C57)</f>
        <v>卷尺10m</v>
      </c>
      <c r="D57" s="60" t="str">
        <f>IF('基础-办公用品信息'!D57="","-",'基础-办公用品信息'!D57)</f>
        <v>个</v>
      </c>
      <c r="E57" s="60" t="str">
        <f>IF('基础-办公用品信息'!E57="","-",'基础-办公用品信息'!E57)</f>
        <v>-</v>
      </c>
      <c r="F57" s="60">
        <f>IFERROR(VLOOKUP(C57,'基础-办公用品信息'!$C:$G,4,0),"-")</f>
        <v>0</v>
      </c>
      <c r="G57" s="87">
        <v>0</v>
      </c>
      <c r="H57" s="60">
        <f t="shared" si="2"/>
        <v>0</v>
      </c>
    </row>
    <row r="58" customHeight="1" spans="2:8">
      <c r="B58" s="86">
        <v>64</v>
      </c>
      <c r="C58" s="60" t="str">
        <f>IF('基础-办公用品信息'!C58="","-",'基础-办公用品信息'!C58)</f>
        <v>卷尺5m</v>
      </c>
      <c r="D58" s="60" t="str">
        <f>IF('基础-办公用品信息'!D58="","-",'基础-办公用品信息'!D58)</f>
        <v>个</v>
      </c>
      <c r="E58" s="60" t="str">
        <f>IF('基础-办公用品信息'!E58="","-",'基础-办公用品信息'!E58)</f>
        <v>-</v>
      </c>
      <c r="F58" s="60">
        <f>IFERROR(VLOOKUP(C58,'基础-办公用品信息'!$C:$G,4,0),"-")</f>
        <v>9</v>
      </c>
      <c r="G58" s="87">
        <v>23</v>
      </c>
      <c r="H58" s="60">
        <f t="shared" si="2"/>
        <v>207</v>
      </c>
    </row>
    <row r="59" customHeight="1" spans="2:8">
      <c r="B59" s="86">
        <v>65</v>
      </c>
      <c r="C59" s="60" t="str">
        <f>IF('基础-办公用品信息'!C59="","-",'基础-办公用品信息'!C59)</f>
        <v>卷尺2m</v>
      </c>
      <c r="D59" s="60" t="str">
        <f>IF('基础-办公用品信息'!D59="","-",'基础-办公用品信息'!D59)</f>
        <v>个</v>
      </c>
      <c r="E59" s="60" t="str">
        <f>IF('基础-办公用品信息'!E59="","-",'基础-办公用品信息'!E59)</f>
        <v>-</v>
      </c>
      <c r="F59" s="60">
        <f>IFERROR(VLOOKUP(C59,'基础-办公用品信息'!$C:$G,4,0),"-")</f>
        <v>0</v>
      </c>
      <c r="G59" s="87">
        <v>2</v>
      </c>
      <c r="H59" s="60">
        <f t="shared" si="2"/>
        <v>0</v>
      </c>
    </row>
    <row r="60" customHeight="1" spans="2:8">
      <c r="B60" s="86">
        <v>68</v>
      </c>
      <c r="C60" s="60" t="str">
        <f>IF('基础-办公用品信息'!C60="","-",'基础-办公用品信息'!C60)</f>
        <v>电池南孚5号</v>
      </c>
      <c r="D60" s="60" t="str">
        <f>IF('基础-办公用品信息'!D60="","-",'基础-办公用品信息'!D60)</f>
        <v>节</v>
      </c>
      <c r="E60" s="60" t="str">
        <f>IF('基础-办公用品信息'!E60="","-",'基础-办公用品信息'!E60)</f>
        <v>-</v>
      </c>
      <c r="F60" s="60">
        <f>IFERROR(VLOOKUP(C60,'基础-办公用品信息'!$C:$G,4,0),"-")</f>
        <v>2.1</v>
      </c>
      <c r="G60" s="87">
        <v>0</v>
      </c>
      <c r="H60" s="60">
        <f t="shared" si="2"/>
        <v>0</v>
      </c>
    </row>
    <row r="61" customHeight="1" spans="2:8">
      <c r="B61" s="86">
        <v>69</v>
      </c>
      <c r="C61" s="60" t="str">
        <f>IF('基础-办公用品信息'!C61="","-",'基础-办公用品信息'!C61)</f>
        <v>电池双鹿7号</v>
      </c>
      <c r="D61" s="60" t="str">
        <f>IF('基础-办公用品信息'!D61="","-",'基础-办公用品信息'!D61)</f>
        <v>节</v>
      </c>
      <c r="E61" s="60" t="str">
        <f>IF('基础-办公用品信息'!E61="","-",'基础-办公用品信息'!E61)</f>
        <v>-</v>
      </c>
      <c r="F61" s="60">
        <f>IFERROR(VLOOKUP(C61,'基础-办公用品信息'!$C:$G,4,0),"-")</f>
        <v>0</v>
      </c>
      <c r="G61" s="87">
        <v>14</v>
      </c>
      <c r="H61" s="60">
        <f t="shared" si="2"/>
        <v>0</v>
      </c>
    </row>
    <row r="62" customHeight="1" spans="2:8">
      <c r="B62" s="86">
        <v>70</v>
      </c>
      <c r="C62" s="60" t="str">
        <f>IF('基础-办公用品信息'!C62="","-",'基础-办公用品信息'!C62)</f>
        <v>电池南孚23A</v>
      </c>
      <c r="D62" s="60" t="str">
        <f>IF('基础-办公用品信息'!D62="","-",'基础-办公用品信息'!D62)</f>
        <v>节</v>
      </c>
      <c r="E62" s="60" t="str">
        <f>IF('基础-办公用品信息'!E62="","-",'基础-办公用品信息'!E62)</f>
        <v>-</v>
      </c>
      <c r="F62" s="60">
        <f>IFERROR(VLOOKUP(C62,'基础-办公用品信息'!$C:$G,4,0),"-")</f>
        <v>0</v>
      </c>
      <c r="G62" s="87">
        <v>8</v>
      </c>
      <c r="H62" s="60">
        <f t="shared" si="2"/>
        <v>0</v>
      </c>
    </row>
    <row r="63" customHeight="1" spans="2:8">
      <c r="B63" s="86">
        <v>71</v>
      </c>
      <c r="C63" s="60" t="str">
        <f>IF('基础-办公用品信息'!C63="","-",'基础-办公用品信息'!C63)</f>
        <v>电池南孚27A</v>
      </c>
      <c r="D63" s="60" t="str">
        <f>IF('基础-办公用品信息'!D63="","-",'基础-办公用品信息'!D63)</f>
        <v>节</v>
      </c>
      <c r="E63" s="60" t="str">
        <f>IF('基础-办公用品信息'!E63="","-",'基础-办公用品信息'!E63)</f>
        <v>-</v>
      </c>
      <c r="F63" s="60">
        <f>IFERROR(VLOOKUP(C63,'基础-办公用品信息'!$C:$G,4,0),"-")</f>
        <v>0</v>
      </c>
      <c r="G63" s="87">
        <v>4</v>
      </c>
      <c r="H63" s="60">
        <f t="shared" si="2"/>
        <v>0</v>
      </c>
    </row>
    <row r="64" customHeight="1" spans="2:8">
      <c r="B64" s="86">
        <v>72</v>
      </c>
      <c r="C64" s="60" t="str">
        <f>IF('基础-办公用品信息'!C64="","-",'基础-办公用品信息'!C64)</f>
        <v>彩色长尾票夹5851</v>
      </c>
      <c r="D64" s="60" t="str">
        <f>IF('基础-办公用品信息'!D64="","-",'基础-办公用品信息'!D64)</f>
        <v>盒</v>
      </c>
      <c r="E64" s="60" t="str">
        <f>IF('基础-办公用品信息'!E64="","-",'基础-办公用品信息'!E64)</f>
        <v>-</v>
      </c>
      <c r="F64" s="60">
        <f>IFERROR(VLOOKUP(C64,'基础-办公用品信息'!$C:$G,4,0),"-")</f>
        <v>11</v>
      </c>
      <c r="G64" s="87">
        <v>0</v>
      </c>
      <c r="H64" s="60">
        <f t="shared" si="2"/>
        <v>0</v>
      </c>
    </row>
    <row r="65" customHeight="1" spans="2:8">
      <c r="B65" s="86">
        <v>73</v>
      </c>
      <c r="C65" s="60" t="str">
        <f>IF('基础-办公用品信息'!C65="","-",'基础-办公用品信息'!C65)</f>
        <v>彩色长尾票5852</v>
      </c>
      <c r="D65" s="60" t="str">
        <f>IF('基础-办公用品信息'!D65="","-",'基础-办公用品信息'!D65)</f>
        <v>盒</v>
      </c>
      <c r="E65" s="60" t="str">
        <f>IF('基础-办公用品信息'!E65="","-",'基础-办公用品信息'!E65)</f>
        <v>-</v>
      </c>
      <c r="F65" s="60">
        <f>IFERROR(VLOOKUP(C65,'基础-办公用品信息'!$C:$G,4,0),"-")</f>
        <v>15</v>
      </c>
      <c r="G65" s="87">
        <v>5</v>
      </c>
      <c r="H65" s="60">
        <f t="shared" si="2"/>
        <v>75</v>
      </c>
    </row>
    <row r="66" customHeight="1" spans="2:8">
      <c r="B66" s="86">
        <v>74</v>
      </c>
      <c r="C66" s="60" t="str">
        <f>IF('基础-办公用品信息'!C66="","-",'基础-办公用品信息'!C66)</f>
        <v>彩色长尾票夹5854</v>
      </c>
      <c r="D66" s="60" t="str">
        <f>IF('基础-办公用品信息'!D66="","-",'基础-办公用品信息'!D66)</f>
        <v>盒</v>
      </c>
      <c r="E66" s="60" t="str">
        <f>IF('基础-办公用品信息'!E66="","-",'基础-办公用品信息'!E66)</f>
        <v>-</v>
      </c>
      <c r="F66" s="60">
        <f>IFERROR(VLOOKUP(C66,'基础-办公用品信息'!$C:$G,4,0),"-")</f>
        <v>13</v>
      </c>
      <c r="G66" s="87">
        <v>2</v>
      </c>
      <c r="H66" s="60">
        <f t="shared" si="2"/>
        <v>26</v>
      </c>
    </row>
    <row r="67" customHeight="1" spans="2:8">
      <c r="B67" s="86">
        <v>75</v>
      </c>
      <c r="C67" s="60" t="str">
        <f>IF('基础-办公用品信息'!C67="","-",'基础-办公用品信息'!C67)</f>
        <v>彩色长尾票夹5855</v>
      </c>
      <c r="D67" s="60" t="str">
        <f>IF('基础-办公用品信息'!D67="","-",'基础-办公用品信息'!D67)</f>
        <v>盒</v>
      </c>
      <c r="E67" s="60" t="str">
        <f>IF('基础-办公用品信息'!E67="","-",'基础-办公用品信息'!E67)</f>
        <v>-</v>
      </c>
      <c r="F67" s="60">
        <f>IFERROR(VLOOKUP(C67,'基础-办公用品信息'!$C:$G,4,0),"-")</f>
        <v>7</v>
      </c>
      <c r="G67" s="87">
        <v>2</v>
      </c>
      <c r="H67" s="60">
        <f t="shared" si="2"/>
        <v>14</v>
      </c>
    </row>
    <row r="68" customHeight="1" spans="2:8">
      <c r="B68" s="86">
        <v>76</v>
      </c>
      <c r="C68" s="60" t="str">
        <f>IF('基础-办公用品信息'!C68="","-",'基础-办公用品信息'!C68)</f>
        <v>彩色长尾票夹5856</v>
      </c>
      <c r="D68" s="60" t="str">
        <f>IF('基础-办公用品信息'!D68="","-",'基础-办公用品信息'!D68)</f>
        <v>盒</v>
      </c>
      <c r="E68" s="60" t="str">
        <f>IF('基础-办公用品信息'!E68="","-",'基础-办公用品信息'!E68)</f>
        <v>-</v>
      </c>
      <c r="F68" s="60">
        <f>IFERROR(VLOOKUP(C68,'基础-办公用品信息'!$C:$G,4,0),"-")</f>
        <v>8</v>
      </c>
      <c r="G68" s="87">
        <v>6</v>
      </c>
      <c r="H68" s="60">
        <f t="shared" si="2"/>
        <v>48</v>
      </c>
    </row>
    <row r="69" customHeight="1" spans="2:8">
      <c r="B69" s="86">
        <v>77</v>
      </c>
      <c r="C69" s="60" t="str">
        <f>IF('基础-办公用品信息'!C69="","-",'基础-办公用品信息'!C69)</f>
        <v>插座1.8m</v>
      </c>
      <c r="D69" s="60" t="str">
        <f>IF('基础-办公用品信息'!D69="","-",'基础-办公用品信息'!D69)</f>
        <v>个</v>
      </c>
      <c r="E69" s="60" t="str">
        <f>IF('基础-办公用品信息'!E69="","-",'基础-办公用品信息'!E69)</f>
        <v>-</v>
      </c>
      <c r="F69" s="60">
        <f>IFERROR(VLOOKUP(C69,'基础-办公用品信息'!$C:$G,4,0),"-")</f>
        <v>26</v>
      </c>
      <c r="G69" s="87">
        <v>6</v>
      </c>
      <c r="H69" s="60">
        <f t="shared" si="2"/>
        <v>156</v>
      </c>
    </row>
    <row r="70" customHeight="1" spans="2:8">
      <c r="B70" s="86">
        <v>78</v>
      </c>
      <c r="C70" s="60" t="str">
        <f>IF('基础-办公用品信息'!C70="","-",'基础-办公用品信息'!C70)</f>
        <v>插座3m</v>
      </c>
      <c r="D70" s="60" t="str">
        <f>IF('基础-办公用品信息'!D70="","-",'基础-办公用品信息'!D70)</f>
        <v>个</v>
      </c>
      <c r="E70" s="60" t="str">
        <f>IF('基础-办公用品信息'!E70="","-",'基础-办公用品信息'!E70)</f>
        <v>-</v>
      </c>
      <c r="F70" s="60">
        <f>IFERROR(VLOOKUP(C70,'基础-办公用品信息'!$C:$G,4,0),"-")</f>
        <v>59</v>
      </c>
      <c r="G70" s="87">
        <v>1</v>
      </c>
      <c r="H70" s="60">
        <f t="shared" si="2"/>
        <v>59</v>
      </c>
    </row>
    <row r="71" customHeight="1" spans="2:8">
      <c r="B71" s="86">
        <v>80</v>
      </c>
      <c r="C71" s="60" t="str">
        <f>IF('基础-办公用品信息'!C71="","-",'基础-办公用品信息'!C71)</f>
        <v>无线插头</v>
      </c>
      <c r="D71" s="60" t="str">
        <f>IF('基础-办公用品信息'!D71="","-",'基础-办公用品信息'!D71)</f>
        <v>个</v>
      </c>
      <c r="E71" s="60" t="str">
        <f>IF('基础-办公用品信息'!E71="","-",'基础-办公用品信息'!E71)</f>
        <v>-</v>
      </c>
      <c r="F71" s="60">
        <f>IFERROR(VLOOKUP(C71,'基础-办公用品信息'!$C:$G,4,0),"-")</f>
        <v>0</v>
      </c>
      <c r="G71" s="87">
        <v>0</v>
      </c>
      <c r="H71" s="60">
        <f t="shared" si="2"/>
        <v>0</v>
      </c>
    </row>
    <row r="72" customHeight="1" spans="2:8">
      <c r="B72" s="86">
        <v>81</v>
      </c>
      <c r="C72" s="60" t="str">
        <f>IF('基础-办公用品信息'!C72="","-",'基础-办公用品信息'!C72)</f>
        <v>印台红色</v>
      </c>
      <c r="D72" s="60" t="str">
        <f>IF('基础-办公用品信息'!D72="","-",'基础-办公用品信息'!D72)</f>
        <v>只</v>
      </c>
      <c r="E72" s="60" t="str">
        <f>IF('基础-办公用品信息'!E72="","-",'基础-办公用品信息'!E72)</f>
        <v>-</v>
      </c>
      <c r="F72" s="60">
        <f>IFERROR(VLOOKUP(C72,'基础-办公用品信息'!$C:$G,4,0),"-")</f>
        <v>0</v>
      </c>
      <c r="G72" s="87">
        <v>5</v>
      </c>
      <c r="H72" s="60">
        <f t="shared" si="2"/>
        <v>0</v>
      </c>
    </row>
    <row r="73" customHeight="1" spans="2:8">
      <c r="B73" s="86">
        <v>82</v>
      </c>
      <c r="C73" s="60" t="str">
        <f>IF('基础-办公用品信息'!C73="","-",'基础-办公用品信息'!C73)</f>
        <v>印台蓝色</v>
      </c>
      <c r="D73" s="60" t="str">
        <f>IF('基础-办公用品信息'!D73="","-",'基础-办公用品信息'!D73)</f>
        <v>只</v>
      </c>
      <c r="E73" s="60" t="str">
        <f>IF('基础-办公用品信息'!E73="","-",'基础-办公用品信息'!E73)</f>
        <v>-</v>
      </c>
      <c r="F73" s="60">
        <f>IFERROR(VLOOKUP(C73,'基础-办公用品信息'!$C:$G,4,0),"-")</f>
        <v>0</v>
      </c>
      <c r="G73" s="87">
        <v>13</v>
      </c>
      <c r="H73" s="60">
        <f t="shared" si="2"/>
        <v>0</v>
      </c>
    </row>
    <row r="74" customHeight="1" spans="2:8">
      <c r="B74" s="86">
        <v>83</v>
      </c>
      <c r="C74" s="60" t="str">
        <f>IF('基础-办公用品信息'!C74="","-",'基础-办公用品信息'!C74)</f>
        <v>透明胶带小卷</v>
      </c>
      <c r="D74" s="60" t="str">
        <f>IF('基础-办公用品信息'!D74="","-",'基础-办公用品信息'!D74)</f>
        <v>卷</v>
      </c>
      <c r="E74" s="60" t="str">
        <f>IF('基础-办公用品信息'!E74="","-",'基础-办公用品信息'!E74)</f>
        <v>-</v>
      </c>
      <c r="F74" s="60">
        <f>IFERROR(VLOOKUP(C74,'基础-办公用品信息'!$C:$G,4,0),"-")</f>
        <v>5</v>
      </c>
      <c r="G74" s="87">
        <v>22</v>
      </c>
      <c r="H74" s="60">
        <f t="shared" si="2"/>
        <v>110</v>
      </c>
    </row>
    <row r="75" customHeight="1" spans="2:8">
      <c r="B75" s="86">
        <v>84</v>
      </c>
      <c r="C75" s="60" t="str">
        <f>IF('基础-办公用品信息'!C75="","-",'基础-办公用品信息'!C75)</f>
        <v>封箱胶带</v>
      </c>
      <c r="D75" s="60" t="str">
        <f>IF('基础-办公用品信息'!D75="","-",'基础-办公用品信息'!D75)</f>
        <v>筒</v>
      </c>
      <c r="E75" s="60" t="str">
        <f>IF('基础-办公用品信息'!E75="","-",'基础-办公用品信息'!E75)</f>
        <v>-</v>
      </c>
      <c r="F75" s="60">
        <f>IFERROR(VLOOKUP(C75,'基础-办公用品信息'!$C:$G,4,0),"-")</f>
        <v>7</v>
      </c>
      <c r="G75" s="87">
        <v>5</v>
      </c>
      <c r="H75" s="60">
        <f t="shared" si="2"/>
        <v>35</v>
      </c>
    </row>
    <row r="76" customHeight="1" spans="2:8">
      <c r="B76" s="86">
        <v>85</v>
      </c>
      <c r="C76" s="60" t="str">
        <f>IF('基础-办公用品信息'!C76="","-",'基础-办公用品信息'!C76)</f>
        <v>双面胶带宽</v>
      </c>
      <c r="D76" s="60" t="str">
        <f>IF('基础-办公用品信息'!D76="","-",'基础-办公用品信息'!D76)</f>
        <v>卷</v>
      </c>
      <c r="E76" s="60" t="str">
        <f>IF('基础-办公用品信息'!E76="","-",'基础-办公用品信息'!E76)</f>
        <v>-</v>
      </c>
      <c r="F76" s="60">
        <f>IFERROR(VLOOKUP(C76,'基础-办公用品信息'!$C:$G,4,0),"-")</f>
        <v>20</v>
      </c>
      <c r="G76" s="87">
        <v>13</v>
      </c>
      <c r="H76" s="60">
        <f t="shared" si="2"/>
        <v>260</v>
      </c>
    </row>
    <row r="77" customHeight="1" spans="2:8">
      <c r="B77" s="86">
        <v>87</v>
      </c>
      <c r="C77" s="60" t="str">
        <f>IF('基础-办公用品信息'!C77="","-",'基础-办公用品信息'!C77)</f>
        <v>泡沫胶带</v>
      </c>
      <c r="D77" s="60" t="str">
        <f>IF('基础-办公用品信息'!D77="","-",'基础-办公用品信息'!D77)</f>
        <v>卷</v>
      </c>
      <c r="E77" s="60" t="str">
        <f>IF('基础-办公用品信息'!E77="","-",'基础-办公用品信息'!E77)</f>
        <v>-</v>
      </c>
      <c r="F77" s="60">
        <f>IFERROR(VLOOKUP(C77,'基础-办公用品信息'!$C:$G,4,0),"-")</f>
        <v>0</v>
      </c>
      <c r="G77" s="87">
        <v>0</v>
      </c>
      <c r="H77" s="60">
        <f t="shared" si="2"/>
        <v>0</v>
      </c>
    </row>
    <row r="78" customHeight="1" spans="2:8">
      <c r="B78" s="86">
        <v>88</v>
      </c>
      <c r="C78" s="60" t="str">
        <f>IF('基础-办公用品信息'!C78="","-",'基础-办公用品信息'!C78)</f>
        <v>便利贴76*76mm</v>
      </c>
      <c r="D78" s="60" t="str">
        <f>IF('基础-办公用品信息'!D78="","-",'基础-办公用品信息'!D78)</f>
        <v>包</v>
      </c>
      <c r="E78" s="60" t="str">
        <f>IF('基础-办公用品信息'!E78="","-",'基础-办公用品信息'!E78)</f>
        <v>-</v>
      </c>
      <c r="F78" s="60">
        <f>IFERROR(VLOOKUP(C78,'基础-办公用品信息'!$C:$G,4,0),"-")</f>
        <v>2</v>
      </c>
      <c r="G78" s="87">
        <v>18</v>
      </c>
      <c r="H78" s="60">
        <f t="shared" si="2"/>
        <v>36</v>
      </c>
    </row>
    <row r="79" customHeight="1" spans="2:8">
      <c r="B79" s="86">
        <v>89</v>
      </c>
      <c r="C79" s="60" t="str">
        <f>IF('基础-办公用品信息'!C79="","-",'基础-办公用品信息'!C79)</f>
        <v>自粘性标签（大）</v>
      </c>
      <c r="D79" s="60" t="str">
        <f>IF('基础-办公用品信息'!D79="","-",'基础-办公用品信息'!D79)</f>
        <v>本</v>
      </c>
      <c r="E79" s="60" t="str">
        <f>IF('基础-办公用品信息'!E79="","-",'基础-办公用品信息'!E79)</f>
        <v>-</v>
      </c>
      <c r="F79" s="60">
        <f>IFERROR(VLOOKUP(C79,'基础-办公用品信息'!$C:$G,4,0),"-")</f>
        <v>0</v>
      </c>
      <c r="G79" s="87">
        <v>1</v>
      </c>
      <c r="H79" s="60">
        <f t="shared" si="2"/>
        <v>0</v>
      </c>
    </row>
    <row r="80" customHeight="1" spans="2:8">
      <c r="B80" s="86">
        <v>90</v>
      </c>
      <c r="C80" s="60" t="str">
        <f>IF('基础-办公用品信息'!C80="","-",'基础-办公用品信息'!C80)</f>
        <v>便利贴四色76*19mm</v>
      </c>
      <c r="D80" s="60" t="str">
        <f>IF('基础-办公用品信息'!D80="","-",'基础-办公用品信息'!D80)</f>
        <v>包</v>
      </c>
      <c r="E80" s="60" t="str">
        <f>IF('基础-办公用品信息'!E80="","-",'基础-办公用品信息'!E80)</f>
        <v>-</v>
      </c>
      <c r="F80" s="60">
        <f>IFERROR(VLOOKUP(C80,'基础-办公用品信息'!$C:$G,4,0),"-")</f>
        <v>0</v>
      </c>
      <c r="G80" s="87">
        <v>5</v>
      </c>
      <c r="H80" s="60">
        <f t="shared" si="2"/>
        <v>0</v>
      </c>
    </row>
    <row r="81" customHeight="1" spans="2:8">
      <c r="B81" s="86">
        <v>92</v>
      </c>
      <c r="C81" s="60" t="str">
        <f>IF('基础-办公用品信息'!C82="","-",'基础-办公用品信息'!C82)</f>
        <v>自粘性标签（小）</v>
      </c>
      <c r="D81" s="60" t="str">
        <f>IF('基础-办公用品信息'!D82="","-",'基础-办公用品信息'!D82)</f>
        <v>包</v>
      </c>
      <c r="E81" s="60" t="str">
        <f>IF('基础-办公用品信息'!E82="","-",'基础-办公用品信息'!E82)</f>
        <v>-</v>
      </c>
      <c r="F81" s="60">
        <f>IFERROR(VLOOKUP(C81,'基础-办公用品信息'!$C:$G,4,0),"-")</f>
        <v>0</v>
      </c>
      <c r="G81" s="87">
        <v>21</v>
      </c>
      <c r="H81" s="60">
        <f t="shared" si="2"/>
        <v>0</v>
      </c>
    </row>
    <row r="82" customHeight="1" spans="2:8">
      <c r="B82" s="86">
        <v>93</v>
      </c>
      <c r="C82" s="60" t="str">
        <f>IF('基础-办公用品信息'!C83="","-",'基础-办公用品信息'!C83)</f>
        <v>用款申请单</v>
      </c>
      <c r="D82" s="60" t="str">
        <f>IF('基础-办公用品信息'!D83="","-",'基础-办公用品信息'!D83)</f>
        <v>本</v>
      </c>
      <c r="E82" s="60" t="str">
        <f>IF('基础-办公用品信息'!E83="","-",'基础-办公用品信息'!E83)</f>
        <v>-</v>
      </c>
      <c r="F82" s="60">
        <f>IFERROR(VLOOKUP(C82,'基础-办公用品信息'!$C:$G,4,0),"-")</f>
        <v>0</v>
      </c>
      <c r="G82" s="87">
        <v>1000</v>
      </c>
      <c r="H82" s="60">
        <f t="shared" si="2"/>
        <v>0</v>
      </c>
    </row>
    <row r="83" customHeight="1" spans="2:8">
      <c r="B83" s="86">
        <v>94</v>
      </c>
      <c r="C83" s="60" t="str">
        <f>IF('基础-办公用品信息'!C84="","-",'基础-办公用品信息'!C84)</f>
        <v>收据三联</v>
      </c>
      <c r="D83" s="60" t="str">
        <f>IF('基础-办公用品信息'!D84="","-",'基础-办公用品信息'!D84)</f>
        <v>本</v>
      </c>
      <c r="E83" s="60" t="str">
        <f>IF('基础-办公用品信息'!E84="","-",'基础-办公用品信息'!E84)</f>
        <v>-</v>
      </c>
      <c r="F83" s="60">
        <f>IFERROR(VLOOKUP(C83,'基础-办公用品信息'!$C:$G,4,0),"-")</f>
        <v>1.5</v>
      </c>
      <c r="G83" s="87">
        <v>1000</v>
      </c>
      <c r="H83" s="60">
        <f t="shared" si="2"/>
        <v>1500</v>
      </c>
    </row>
    <row r="84" customHeight="1" spans="2:8">
      <c r="B84" s="86">
        <v>96</v>
      </c>
      <c r="C84" s="60" t="str">
        <f>IF('基础-办公用品信息'!C85="","-",'基础-办公用品信息'!C85)</f>
        <v>入库单两联</v>
      </c>
      <c r="D84" s="60" t="str">
        <f>IF('基础-办公用品信息'!D85="","-",'基础-办公用品信息'!D85)</f>
        <v>本</v>
      </c>
      <c r="E84" s="60" t="str">
        <f>IF('基础-办公用品信息'!E85="","-",'基础-办公用品信息'!E85)</f>
        <v>-</v>
      </c>
      <c r="F84" s="60">
        <f>IFERROR(VLOOKUP(C84,'基础-办公用品信息'!$C:$G,4,0),"-")</f>
        <v>0</v>
      </c>
      <c r="G84" s="87">
        <v>28</v>
      </c>
      <c r="H84" s="60">
        <f t="shared" si="2"/>
        <v>0</v>
      </c>
    </row>
    <row r="85" customHeight="1" spans="2:8">
      <c r="B85" s="86">
        <v>97</v>
      </c>
      <c r="C85" s="60" t="str">
        <f>IF('基础-办公用品信息'!C86="","-",'基础-办公用品信息'!C86)</f>
        <v>出库单三联</v>
      </c>
      <c r="D85" s="60" t="str">
        <f>IF('基础-办公用品信息'!D86="","-",'基础-办公用品信息'!D86)</f>
        <v>本</v>
      </c>
      <c r="E85" s="60" t="str">
        <f>IF('基础-办公用品信息'!E86="","-",'基础-办公用品信息'!E86)</f>
        <v>-</v>
      </c>
      <c r="F85" s="60">
        <f>IFERROR(VLOOKUP(C85,'基础-办公用品信息'!$C:$G,4,0),"-")</f>
        <v>0</v>
      </c>
      <c r="G85" s="87">
        <v>47</v>
      </c>
      <c r="H85" s="60">
        <f t="shared" si="2"/>
        <v>0</v>
      </c>
    </row>
    <row r="86" customHeight="1" spans="2:8">
      <c r="B86" s="86">
        <v>99</v>
      </c>
      <c r="C86" s="60" t="str">
        <f>IF('基础-办公用品信息'!C87="","-",'基础-办公用品信息'!C87)</f>
        <v>单据凭证</v>
      </c>
      <c r="D86" s="60" t="str">
        <f>IF('基础-办公用品信息'!D87="","-",'基础-办公用品信息'!D87)</f>
        <v>本</v>
      </c>
      <c r="E86" s="60" t="str">
        <f>IF('基础-办公用品信息'!E87="","-",'基础-办公用品信息'!E87)</f>
        <v>-</v>
      </c>
      <c r="F86" s="60">
        <f>IFERROR(VLOOKUP(C86,'基础-办公用品信息'!$C:$G,4,0),"-")</f>
        <v>0</v>
      </c>
      <c r="G86" s="87">
        <v>30</v>
      </c>
      <c r="H86" s="60">
        <f t="shared" ref="H86:H130" si="3">IFERROR(F86*G86,"")</f>
        <v>0</v>
      </c>
    </row>
    <row r="87" customHeight="1" spans="2:8">
      <c r="B87" s="86">
        <v>100</v>
      </c>
      <c r="C87" s="60" t="str">
        <f>IF('基础-办公用品信息'!C88="","-",'基础-办公用品信息'!C88)</f>
        <v>罚款单</v>
      </c>
      <c r="D87" s="60" t="str">
        <f>IF('基础-办公用品信息'!D88="","-",'基础-办公用品信息'!D88)</f>
        <v>本</v>
      </c>
      <c r="E87" s="60" t="str">
        <f>IF('基础-办公用品信息'!E88="","-",'基础-办公用品信息'!E88)</f>
        <v>-</v>
      </c>
      <c r="F87" s="60">
        <f>IFERROR(VLOOKUP(C87,'基础-办公用品信息'!$C:$G,4,0),"-")</f>
        <v>0</v>
      </c>
      <c r="G87" s="87">
        <v>25</v>
      </c>
      <c r="H87" s="60">
        <f t="shared" si="3"/>
        <v>0</v>
      </c>
    </row>
    <row r="88" customHeight="1" spans="2:8">
      <c r="B88" s="86">
        <v>101</v>
      </c>
      <c r="C88" s="60" t="str">
        <f>IF('基础-办公用品信息'!C89="","-",'基础-办公用品信息'!C89)</f>
        <v>定制信笺本A5</v>
      </c>
      <c r="D88" s="60" t="str">
        <f>IF('基础-办公用品信息'!D89="","-",'基础-办公用品信息'!D89)</f>
        <v>本</v>
      </c>
      <c r="E88" s="60" t="str">
        <f>IF('基础-办公用品信息'!E89="","-",'基础-办公用品信息'!E89)</f>
        <v>-</v>
      </c>
      <c r="F88" s="60">
        <f>IFERROR(VLOOKUP(C88,'基础-办公用品信息'!$C:$G,4,0),"-")</f>
        <v>0</v>
      </c>
      <c r="G88" s="87">
        <v>300</v>
      </c>
      <c r="H88" s="60">
        <f t="shared" si="3"/>
        <v>0</v>
      </c>
    </row>
    <row r="89" customHeight="1" spans="2:8">
      <c r="B89" s="86">
        <v>102</v>
      </c>
      <c r="C89" s="60" t="str">
        <f>IF('基础-办公用品信息'!C90="","-",'基础-办公用品信息'!C90)</f>
        <v>定制信笺本A4</v>
      </c>
      <c r="D89" s="60" t="str">
        <f>IF('基础-办公用品信息'!D90="","-",'基础-办公用品信息'!D90)</f>
        <v>本</v>
      </c>
      <c r="E89" s="60" t="str">
        <f>IF('基础-办公用品信息'!E90="","-",'基础-办公用品信息'!E90)</f>
        <v>-</v>
      </c>
      <c r="F89" s="60">
        <f>IFERROR(VLOOKUP(C89,'基础-办公用品信息'!$C:$G,4,0),"-")</f>
        <v>0</v>
      </c>
      <c r="G89" s="87">
        <v>300</v>
      </c>
      <c r="H89" s="60">
        <f t="shared" si="3"/>
        <v>0</v>
      </c>
    </row>
    <row r="90" customHeight="1" spans="2:8">
      <c r="B90" s="86">
        <v>103</v>
      </c>
      <c r="C90" s="60" t="str">
        <f>IF('基础-办公用品信息'!C91="","-",'基础-办公用品信息'!C91)</f>
        <v>工作牌</v>
      </c>
      <c r="D90" s="60" t="str">
        <f>IF('基础-办公用品信息'!D91="","-",'基础-办公用品信息'!D91)</f>
        <v>个</v>
      </c>
      <c r="E90" s="60" t="str">
        <f>IF('基础-办公用品信息'!E91="","-",'基础-办公用品信息'!E91)</f>
        <v>-</v>
      </c>
      <c r="F90" s="60">
        <f>IFERROR(VLOOKUP(C90,'基础-办公用品信息'!$C:$G,4,0),"-")</f>
        <v>0</v>
      </c>
      <c r="G90" s="87">
        <v>0</v>
      </c>
      <c r="H90" s="60">
        <f t="shared" si="3"/>
        <v>0</v>
      </c>
    </row>
    <row r="91" customHeight="1" spans="2:8">
      <c r="B91" s="86">
        <v>104</v>
      </c>
      <c r="C91" s="60" t="str">
        <f>IF('基础-办公用品信息'!C92="","-",'基础-办公用品信息'!C92)</f>
        <v>透明口罩</v>
      </c>
      <c r="D91" s="60" t="str">
        <f>IF('基础-办公用品信息'!D92="","-",'基础-办公用品信息'!D92)</f>
        <v>个</v>
      </c>
      <c r="E91" s="60" t="str">
        <f>IF('基础-办公用品信息'!E92="","-",'基础-办公用品信息'!E92)</f>
        <v>-</v>
      </c>
      <c r="F91" s="60">
        <f>IFERROR(VLOOKUP(C91,'基础-办公用品信息'!$C:$G,4,0),"-")</f>
        <v>0</v>
      </c>
      <c r="G91" s="87">
        <v>8</v>
      </c>
      <c r="H91" s="60">
        <f t="shared" si="3"/>
        <v>0</v>
      </c>
    </row>
    <row r="92" customHeight="1" spans="2:8">
      <c r="B92" s="86">
        <v>105</v>
      </c>
      <c r="C92" s="60" t="str">
        <f>IF('基础-办公用品信息'!C93="","-",'基础-办公用品信息'!C93)</f>
        <v>蓝色口罩</v>
      </c>
      <c r="D92" s="60" t="str">
        <f>IF('基础-办公用品信息'!D93="","-",'基础-办公用品信息'!D93)</f>
        <v>包</v>
      </c>
      <c r="E92" s="60" t="str">
        <f>IF('基础-办公用品信息'!E93="","-",'基础-办公用品信息'!E93)</f>
        <v>-</v>
      </c>
      <c r="F92" s="60">
        <f>IFERROR(VLOOKUP(C92,'基础-办公用品信息'!$C:$G,4,0),"-")</f>
        <v>0.3</v>
      </c>
      <c r="G92" s="87">
        <v>440</v>
      </c>
      <c r="H92" s="60">
        <f t="shared" si="3"/>
        <v>132</v>
      </c>
    </row>
    <row r="93" customHeight="1" spans="2:8">
      <c r="B93" s="86">
        <v>106</v>
      </c>
      <c r="C93" s="60" t="str">
        <f>IF('基础-办公用品信息'!C94="","-",'基础-办公用品信息'!C94)</f>
        <v>一次性纸杯50个/筒</v>
      </c>
      <c r="D93" s="60" t="str">
        <f>IF('基础-办公用品信息'!D94="","-",'基础-办公用品信息'!D94)</f>
        <v>筒</v>
      </c>
      <c r="E93" s="60" t="str">
        <f>IF('基础-办公用品信息'!E94="","-",'基础-办公用品信息'!E94)</f>
        <v>-</v>
      </c>
      <c r="F93" s="60">
        <f>IFERROR(VLOOKUP(C93,'基础-办公用品信息'!$C:$G,4,0),"-")</f>
        <v>0.2</v>
      </c>
      <c r="G93" s="87">
        <v>270</v>
      </c>
      <c r="H93" s="60">
        <f t="shared" si="3"/>
        <v>54</v>
      </c>
    </row>
    <row r="94" customHeight="1" spans="2:8">
      <c r="B94" s="86">
        <v>107</v>
      </c>
      <c r="C94" s="60" t="str">
        <f>IF('基础-办公用品信息'!C95="","-",'基础-办公用品信息'!C95)</f>
        <v>黑色口罩</v>
      </c>
      <c r="D94" s="60" t="str">
        <f>IF('基础-办公用品信息'!D95="","-",'基础-办公用品信息'!D95)</f>
        <v>盒</v>
      </c>
      <c r="E94" s="60" t="str">
        <f>IF('基础-办公用品信息'!E95="","-",'基础-办公用品信息'!E95)</f>
        <v>-</v>
      </c>
      <c r="F94" s="60">
        <f>IFERROR(VLOOKUP(C94,'基础-办公用品信息'!$C:$G,4,0),"-")</f>
        <v>0</v>
      </c>
      <c r="G94" s="87">
        <v>2</v>
      </c>
      <c r="H94" s="60">
        <f t="shared" si="3"/>
        <v>0</v>
      </c>
    </row>
    <row r="95" customHeight="1" spans="2:8">
      <c r="B95" s="86">
        <v>108</v>
      </c>
      <c r="C95" s="60" t="str">
        <f>IF('基础-办公用品信息'!C96="","-",'基础-办公用品信息'!C96)</f>
        <v>有线鼠标</v>
      </c>
      <c r="D95" s="60" t="str">
        <f>IF('基础-办公用品信息'!D96="","-",'基础-办公用品信息'!D96)</f>
        <v>个</v>
      </c>
      <c r="E95" s="60" t="str">
        <f>IF('基础-办公用品信息'!E96="","-",'基础-办公用品信息'!E96)</f>
        <v>-</v>
      </c>
      <c r="F95" s="60">
        <f>IFERROR(VLOOKUP(C95,'基础-办公用品信息'!$C:$G,4,0),"-")</f>
        <v>30</v>
      </c>
      <c r="G95" s="87">
        <v>2</v>
      </c>
      <c r="H95" s="60">
        <f t="shared" si="3"/>
        <v>60</v>
      </c>
    </row>
    <row r="96" customHeight="1" spans="2:8">
      <c r="B96" s="86">
        <v>109</v>
      </c>
      <c r="C96" s="60" t="str">
        <f>IF('基础-办公用品信息'!C97="","-",'基础-办公用品信息'!C97)</f>
        <v>键盘</v>
      </c>
      <c r="D96" s="60" t="str">
        <f>IF('基础-办公用品信息'!D97="","-",'基础-办公用品信息'!D97)</f>
        <v>个</v>
      </c>
      <c r="E96" s="60" t="str">
        <f>IF('基础-办公用品信息'!E97="","-",'基础-办公用品信息'!E97)</f>
        <v>-</v>
      </c>
      <c r="F96" s="60">
        <f>IFERROR(VLOOKUP(C96,'基础-办公用品信息'!$C:$G,4,0),"-")</f>
        <v>0</v>
      </c>
      <c r="G96" s="87">
        <v>0</v>
      </c>
      <c r="H96" s="60">
        <f t="shared" si="3"/>
        <v>0</v>
      </c>
    </row>
    <row r="97" customHeight="1" spans="2:8">
      <c r="B97" s="86">
        <v>110</v>
      </c>
      <c r="C97" s="60" t="str">
        <f>IF('基础-办公用品信息'!C98="","-",'基础-办公用品信息'!C98)</f>
        <v>无线接收器水星</v>
      </c>
      <c r="D97" s="60" t="str">
        <f>IF('基础-办公用品信息'!D98="","-",'基础-办公用品信息'!D98)</f>
        <v>个</v>
      </c>
      <c r="E97" s="60" t="str">
        <f>IF('基础-办公用品信息'!E98="","-",'基础-办公用品信息'!E98)</f>
        <v>-</v>
      </c>
      <c r="F97" s="60">
        <f>IFERROR(VLOOKUP(C97,'基础-办公用品信息'!$C:$G,4,0),"-")</f>
        <v>0</v>
      </c>
      <c r="G97" s="87">
        <v>0</v>
      </c>
      <c r="H97" s="60">
        <f t="shared" si="3"/>
        <v>0</v>
      </c>
    </row>
    <row r="98" customHeight="1" spans="2:8">
      <c r="B98" s="86">
        <v>111</v>
      </c>
      <c r="C98" s="60" t="str">
        <f>IF('基础-办公用品信息'!C99="","-",'基础-办公用品信息'!C99)</f>
        <v>无线接收器TP-Link</v>
      </c>
      <c r="D98" s="60" t="str">
        <f>IF('基础-办公用品信息'!D99="","-",'基础-办公用品信息'!D99)</f>
        <v>个</v>
      </c>
      <c r="E98" s="60" t="str">
        <f>IF('基础-办公用品信息'!E99="","-",'基础-办公用品信息'!E99)</f>
        <v>-</v>
      </c>
      <c r="F98" s="60">
        <f>IFERROR(VLOOKUP(C98,'基础-办公用品信息'!$C:$G,4,0),"-")</f>
        <v>0</v>
      </c>
      <c r="G98" s="87">
        <v>0</v>
      </c>
      <c r="H98" s="60">
        <f t="shared" si="3"/>
        <v>0</v>
      </c>
    </row>
    <row r="99" customHeight="1" spans="2:8">
      <c r="B99" s="86">
        <v>112</v>
      </c>
      <c r="C99" s="60" t="str">
        <f>IF('基础-办公用品信息'!C100="","-",'基础-办公用品信息'!C100)</f>
        <v>红外体温计倍尔康</v>
      </c>
      <c r="D99" s="60" t="str">
        <f>IF('基础-办公用品信息'!D100="","-",'基础-办公用品信息'!D100)</f>
        <v>个</v>
      </c>
      <c r="E99" s="60" t="str">
        <f>IF('基础-办公用品信息'!E100="","-",'基础-办公用品信息'!E100)</f>
        <v>-</v>
      </c>
      <c r="F99" s="60">
        <f>IFERROR(VLOOKUP(C99,'基础-办公用品信息'!$C:$G,4,0),"-")</f>
        <v>0</v>
      </c>
      <c r="G99" s="87">
        <v>0</v>
      </c>
      <c r="H99" s="60">
        <f t="shared" si="3"/>
        <v>0</v>
      </c>
    </row>
    <row r="100" customHeight="1" spans="2:8">
      <c r="B100" s="86">
        <v>113</v>
      </c>
      <c r="C100" s="60" t="str">
        <f>IF('基础-办公用品信息'!C101="","-",'基础-办公用品信息'!C101)</f>
        <v>硬盘绿联2.5英寸</v>
      </c>
      <c r="D100" s="60" t="str">
        <f>IF('基础-办公用品信息'!D101="","-",'基础-办公用品信息'!D101)</f>
        <v>个</v>
      </c>
      <c r="E100" s="60" t="str">
        <f>IF('基础-办公用品信息'!E101="","-",'基础-办公用品信息'!E101)</f>
        <v>-</v>
      </c>
      <c r="F100" s="60">
        <f>IFERROR(VLOOKUP(C100,'基础-办公用品信息'!$C:$G,4,0),"-")</f>
        <v>0</v>
      </c>
      <c r="G100" s="87">
        <v>0</v>
      </c>
      <c r="H100" s="60">
        <f t="shared" si="3"/>
        <v>0</v>
      </c>
    </row>
    <row r="101" customHeight="1" spans="2:8">
      <c r="B101" s="86">
        <v>114</v>
      </c>
      <c r="C101" s="60" t="str">
        <f>IF('基础-办公用品信息'!C102="","-",'基础-办公用品信息'!C102)</f>
        <v>PPT翻页笔诺为</v>
      </c>
      <c r="D101" s="60" t="str">
        <f>IF('基础-办公用品信息'!D102="","-",'基础-办公用品信息'!D102)</f>
        <v>支</v>
      </c>
      <c r="E101" s="60" t="str">
        <f>IF('基础-办公用品信息'!E102="","-",'基础-办公用品信息'!E102)</f>
        <v>-</v>
      </c>
      <c r="F101" s="60">
        <f>IFERROR(VLOOKUP(C101,'基础-办公用品信息'!$C:$G,4,0),"-")</f>
        <v>0</v>
      </c>
      <c r="G101" s="87">
        <v>2</v>
      </c>
      <c r="H101" s="60">
        <f t="shared" si="3"/>
        <v>0</v>
      </c>
    </row>
    <row r="102" customHeight="1" spans="2:8">
      <c r="B102" s="86">
        <v>115</v>
      </c>
      <c r="C102" s="60" t="str">
        <f>IF('基础-办公用品信息'!C103="","-",'基础-办公用品信息'!C103)</f>
        <v>光盘700MB，CD-R 52X</v>
      </c>
      <c r="D102" s="60" t="str">
        <f>IF('基础-办公用品信息'!D103="","-",'基础-办公用品信息'!D103)</f>
        <v>个</v>
      </c>
      <c r="E102" s="60" t="str">
        <f>IF('基础-办公用品信息'!E103="","-",'基础-办公用品信息'!E103)</f>
        <v>-</v>
      </c>
      <c r="F102" s="60">
        <f>IFERROR(VLOOKUP(C102,'基础-办公用品信息'!$C:$G,4,0),"-")</f>
        <v>0</v>
      </c>
      <c r="G102" s="87">
        <v>30</v>
      </c>
      <c r="H102" s="60">
        <f t="shared" si="3"/>
        <v>0</v>
      </c>
    </row>
    <row r="103" customHeight="1" spans="2:8">
      <c r="B103" s="86">
        <v>116</v>
      </c>
      <c r="C103" s="60" t="str">
        <f>IF('基础-办公用品信息'!C104="","-",'基础-办公用品信息'!C104)</f>
        <v>光盘4.7GB 120mm</v>
      </c>
      <c r="D103" s="60" t="str">
        <f>IF('基础-办公用品信息'!D104="","-",'基础-办公用品信息'!D104)</f>
        <v>个</v>
      </c>
      <c r="E103" s="60" t="str">
        <f>IF('基础-办公用品信息'!E104="","-",'基础-办公用品信息'!E104)</f>
        <v>-</v>
      </c>
      <c r="F103" s="60">
        <f>IFERROR(VLOOKUP(C103,'基础-办公用品信息'!$C:$G,4,0),"-")</f>
        <v>0</v>
      </c>
      <c r="G103" s="87">
        <v>30</v>
      </c>
      <c r="H103" s="60">
        <f t="shared" si="3"/>
        <v>0</v>
      </c>
    </row>
    <row r="104" customHeight="1" spans="2:8">
      <c r="B104" s="86">
        <v>117</v>
      </c>
      <c r="C104" s="60" t="str">
        <f>IF('基础-办公用品信息'!C105="","-",'基础-办公用品信息'!C105)</f>
        <v>光盘壳</v>
      </c>
      <c r="D104" s="60" t="str">
        <f>IF('基础-办公用品信息'!D105="","-",'基础-办公用品信息'!D105)</f>
        <v>个</v>
      </c>
      <c r="E104" s="60" t="str">
        <f>IF('基础-办公用品信息'!E105="","-",'基础-办公用品信息'!E105)</f>
        <v>-</v>
      </c>
      <c r="F104" s="60">
        <f>IFERROR(VLOOKUP(C104,'基础-办公用品信息'!$C:$G,4,0),"-")</f>
        <v>0</v>
      </c>
      <c r="G104" s="87">
        <v>30</v>
      </c>
      <c r="H104" s="60">
        <f t="shared" si="3"/>
        <v>0</v>
      </c>
    </row>
    <row r="105" customHeight="1" spans="2:8">
      <c r="B105" s="86">
        <v>118</v>
      </c>
      <c r="C105" s="60" t="str">
        <f>IF('基础-办公用品信息'!C106="","-",'基础-办公用品信息'!C106)</f>
        <v>台裙夹</v>
      </c>
      <c r="D105" s="60" t="str">
        <f>IF('基础-办公用品信息'!D106="","-",'基础-办公用品信息'!D106)</f>
        <v>个</v>
      </c>
      <c r="E105" s="60" t="str">
        <f>IF('基础-办公用品信息'!E106="","-",'基础-办公用品信息'!E106)</f>
        <v>-</v>
      </c>
      <c r="F105" s="60">
        <f>IFERROR(VLOOKUP(C105,'基础-办公用品信息'!$C:$G,4,0),"-")</f>
        <v>0.85</v>
      </c>
      <c r="G105" s="87">
        <v>30</v>
      </c>
      <c r="H105" s="60">
        <f t="shared" si="3"/>
        <v>25.5</v>
      </c>
    </row>
    <row r="106" customHeight="1" spans="2:8">
      <c r="B106" s="86">
        <v>119</v>
      </c>
      <c r="C106" s="60" t="str">
        <f>IF('基础-办公用品信息'!C107="","-",'基础-办公用品信息'!C107)</f>
        <v>果盘</v>
      </c>
      <c r="D106" s="60" t="str">
        <f>IF('基础-办公用品信息'!D107="","-",'基础-办公用品信息'!D107)</f>
        <v>个</v>
      </c>
      <c r="E106" s="60" t="str">
        <f>IF('基础-办公用品信息'!E107="","-",'基础-办公用品信息'!E107)</f>
        <v>-</v>
      </c>
      <c r="F106" s="60">
        <f>IFERROR(VLOOKUP(C106,'基础-办公用品信息'!$C:$G,4,0),"-")</f>
        <v>0</v>
      </c>
      <c r="G106" s="87">
        <v>0</v>
      </c>
      <c r="H106" s="60">
        <f t="shared" si="3"/>
        <v>0</v>
      </c>
    </row>
    <row r="107" customHeight="1" spans="2:8">
      <c r="B107" s="86">
        <v>120</v>
      </c>
      <c r="C107" s="60" t="str">
        <f>IF('基础-办公用品信息'!C108="","-",'基础-办公用品信息'!C108)</f>
        <v>电蚊器</v>
      </c>
      <c r="D107" s="60" t="str">
        <f>IF('基础-办公用品信息'!D108="","-",'基础-办公用品信息'!D108)</f>
        <v>个</v>
      </c>
      <c r="E107" s="60" t="str">
        <f>IF('基础-办公用品信息'!E108="","-",'基础-办公用品信息'!E108)</f>
        <v>-</v>
      </c>
      <c r="F107" s="60">
        <f>IFERROR(VLOOKUP(C107,'基础-办公用品信息'!$C:$G,4,0),"-")</f>
        <v>0</v>
      </c>
      <c r="G107" s="87">
        <v>0</v>
      </c>
      <c r="H107" s="60">
        <f t="shared" si="3"/>
        <v>0</v>
      </c>
    </row>
    <row r="108" customHeight="1" spans="2:8">
      <c r="B108" s="86">
        <v>121</v>
      </c>
      <c r="C108" s="60" t="str">
        <f>IF('基础-办公用品信息'!C109="","-",'基础-办公用品信息'!C109)</f>
        <v>电蚊液</v>
      </c>
      <c r="D108" s="60" t="str">
        <f>IF('基础-办公用品信息'!D109="","-",'基础-办公用品信息'!D109)</f>
        <v>瓶</v>
      </c>
      <c r="E108" s="60" t="str">
        <f>IF('基础-办公用品信息'!E109="","-",'基础-办公用品信息'!E109)</f>
        <v>-</v>
      </c>
      <c r="F108" s="60">
        <f>IFERROR(VLOOKUP(C108,'基础-办公用品信息'!$C:$G,4,0),"-")</f>
        <v>0</v>
      </c>
      <c r="G108" s="87">
        <v>5</v>
      </c>
      <c r="H108" s="60">
        <f t="shared" si="3"/>
        <v>0</v>
      </c>
    </row>
    <row r="109" customHeight="1" spans="2:8">
      <c r="B109" s="86">
        <v>122</v>
      </c>
      <c r="C109" s="60" t="str">
        <f>IF('基础-办公用品信息'!C110="","-",'基础-办公用品信息'!C110)</f>
        <v>会议杯有盖</v>
      </c>
      <c r="D109" s="60" t="str">
        <f>IF('基础-办公用品信息'!D110="","-",'基础-办公用品信息'!D110)</f>
        <v>个</v>
      </c>
      <c r="E109" s="60" t="str">
        <f>IF('基础-办公用品信息'!E110="","-",'基础-办公用品信息'!E110)</f>
        <v>-</v>
      </c>
      <c r="F109" s="60">
        <f>IFERROR(VLOOKUP(C109,'基础-办公用品信息'!$C:$G,4,0),"-")</f>
        <v>0</v>
      </c>
      <c r="G109" s="87">
        <v>12</v>
      </c>
      <c r="H109" s="60">
        <f t="shared" si="3"/>
        <v>0</v>
      </c>
    </row>
    <row r="110" customHeight="1" spans="2:8">
      <c r="B110" s="86">
        <v>123</v>
      </c>
      <c r="C110" s="60" t="str">
        <f>IF('基础-办公用品信息'!C111="","-",'基础-办公用品信息'!C111)</f>
        <v>卷纸</v>
      </c>
      <c r="D110" s="60" t="str">
        <f>IF('基础-办公用品信息'!D111="","-",'基础-办公用品信息'!D111)</f>
        <v>提</v>
      </c>
      <c r="E110" s="60" t="str">
        <f>IF('基础-办公用品信息'!E111="","-",'基础-办公用品信息'!E111)</f>
        <v>-</v>
      </c>
      <c r="F110" s="60">
        <f>IFERROR(VLOOKUP(C110,'基础-办公用品信息'!$C:$G,4,0),"-")</f>
        <v>11.5</v>
      </c>
      <c r="G110" s="87">
        <v>5</v>
      </c>
      <c r="H110" s="60">
        <f t="shared" si="3"/>
        <v>57.5</v>
      </c>
    </row>
    <row r="111" customHeight="1" spans="2:8">
      <c r="B111" s="86">
        <v>124</v>
      </c>
      <c r="C111" s="60" t="str">
        <f>IF('基础-办公用品信息'!C112="","-",'基础-办公用品信息'!C112)</f>
        <v>抽纸盒</v>
      </c>
      <c r="D111" s="60" t="str">
        <f>IF('基础-办公用品信息'!D112="","-",'基础-办公用品信息'!D112)</f>
        <v>盒</v>
      </c>
      <c r="E111" s="60" t="str">
        <f>IF('基础-办公用品信息'!E112="","-",'基础-办公用品信息'!E112)</f>
        <v>-</v>
      </c>
      <c r="F111" s="60">
        <f>IFERROR(VLOOKUP(C111,'基础-办公用品信息'!$C:$G,4,0),"-")</f>
        <v>5.3</v>
      </c>
      <c r="G111" s="87">
        <v>0</v>
      </c>
      <c r="H111" s="60">
        <f t="shared" si="3"/>
        <v>0</v>
      </c>
    </row>
    <row r="112" customHeight="1" spans="2:8">
      <c r="B112" s="86">
        <v>126</v>
      </c>
      <c r="C112" s="60" t="str">
        <f>IF('基础-办公用品信息'!C113="","-",'基础-办公用品信息'!C113)</f>
        <v>抽纸巾</v>
      </c>
      <c r="D112" s="60" t="str">
        <f>IF('基础-办公用品信息'!D113="","-",'基础-办公用品信息'!D113)</f>
        <v>包</v>
      </c>
      <c r="E112" s="60" t="str">
        <f>IF('基础-办公用品信息'!E113="","-",'基础-办公用品信息'!E113)</f>
        <v>-</v>
      </c>
      <c r="F112" s="60">
        <f>IFERROR(VLOOKUP(C112,'基础-办公用品信息'!$C:$G,4,0),"-")</f>
        <v>2.5</v>
      </c>
      <c r="G112" s="87">
        <v>58</v>
      </c>
      <c r="H112" s="60">
        <f t="shared" si="3"/>
        <v>145</v>
      </c>
    </row>
    <row r="113" customHeight="1" spans="2:8">
      <c r="B113" s="86">
        <v>130</v>
      </c>
      <c r="C113" s="60" t="str">
        <f>IF('基础-办公用品信息'!C114="","-",'基础-办公用品信息'!C114)</f>
        <v>网线3米</v>
      </c>
      <c r="D113" s="60" t="str">
        <f>IF('基础-办公用品信息'!D114="","-",'基础-办公用品信息'!D114)</f>
        <v>条</v>
      </c>
      <c r="E113" s="60" t="str">
        <f>IF('基础-办公用品信息'!E114="","-",'基础-办公用品信息'!E114)</f>
        <v>-</v>
      </c>
      <c r="F113" s="60">
        <f>IFERROR(VLOOKUP(C113,'基础-办公用品信息'!$C:$G,4,0),"-")</f>
        <v>0</v>
      </c>
      <c r="G113" s="87">
        <v>3</v>
      </c>
      <c r="H113" s="60">
        <f t="shared" si="3"/>
        <v>0</v>
      </c>
    </row>
    <row r="114" customHeight="1" spans="2:8">
      <c r="B114" s="86">
        <v>131</v>
      </c>
      <c r="C114" s="60" t="str">
        <f>IF('基础-办公用品信息'!C115="","-",'基础-办公用品信息'!C115)</f>
        <v>网线2米</v>
      </c>
      <c r="D114" s="60" t="str">
        <f>IF('基础-办公用品信息'!D115="","-",'基础-办公用品信息'!D115)</f>
        <v>条</v>
      </c>
      <c r="E114" s="60" t="str">
        <f>IF('基础-办公用品信息'!E115="","-",'基础-办公用品信息'!E115)</f>
        <v>-</v>
      </c>
      <c r="F114" s="60">
        <f>IFERROR(VLOOKUP(C114,'基础-办公用品信息'!$C:$G,4,0),"-")</f>
        <v>0</v>
      </c>
      <c r="G114" s="87">
        <v>3</v>
      </c>
      <c r="H114" s="60">
        <f t="shared" si="3"/>
        <v>0</v>
      </c>
    </row>
    <row r="115" customHeight="1" spans="2:8">
      <c r="B115" s="86">
        <v>132</v>
      </c>
      <c r="C115" s="60" t="str">
        <f>IF('基础-办公用品信息'!C116="","-",'基础-办公用品信息'!C116)</f>
        <v>网线1.5米</v>
      </c>
      <c r="D115" s="60" t="str">
        <f>IF('基础-办公用品信息'!D116="","-",'基础-办公用品信息'!D116)</f>
        <v>条</v>
      </c>
      <c r="E115" s="60" t="str">
        <f>IF('基础-办公用品信息'!E116="","-",'基础-办公用品信息'!E116)</f>
        <v>-</v>
      </c>
      <c r="F115" s="60">
        <f>IFERROR(VLOOKUP(C115,'基础-办公用品信息'!$C:$G,4,0),"-")</f>
        <v>0</v>
      </c>
      <c r="G115" s="87">
        <v>3</v>
      </c>
      <c r="H115" s="60">
        <f t="shared" si="3"/>
        <v>0</v>
      </c>
    </row>
    <row r="116" customHeight="1" spans="2:8">
      <c r="B116" s="86">
        <v>134</v>
      </c>
      <c r="C116" s="60" t="str">
        <f>IF('基础-办公用品信息'!C117="","-",'基础-办公用品信息'!C117)</f>
        <v>老鼠板</v>
      </c>
      <c r="D116" s="60" t="str">
        <f>IF('基础-办公用品信息'!D117="","-",'基础-办公用品信息'!D117)</f>
        <v>个</v>
      </c>
      <c r="E116" s="60" t="str">
        <f>IF('基础-办公用品信息'!E117="","-",'基础-办公用品信息'!E117)</f>
        <v>-</v>
      </c>
      <c r="F116" s="60">
        <f>IFERROR(VLOOKUP(C116,'基础-办公用品信息'!$C:$G,4,0),"-")</f>
        <v>2.5</v>
      </c>
      <c r="G116" s="87">
        <v>4</v>
      </c>
      <c r="H116" s="60">
        <f t="shared" si="3"/>
        <v>10</v>
      </c>
    </row>
    <row r="117" customHeight="1" spans="2:8">
      <c r="B117" s="86">
        <v>135</v>
      </c>
      <c r="C117" s="60" t="str">
        <f>IF('基础-办公用品信息'!C118="","-",'基础-办公用品信息'!C118)</f>
        <v>板刷</v>
      </c>
      <c r="D117" s="60" t="str">
        <f>IF('基础-办公用品信息'!D118="","-",'基础-办公用品信息'!D118)</f>
        <v>个</v>
      </c>
      <c r="E117" s="60" t="str">
        <f>IF('基础-办公用品信息'!E118="","-",'基础-办公用品信息'!E118)</f>
        <v>-</v>
      </c>
      <c r="F117" s="60">
        <f>IFERROR(VLOOKUP(C117,'基础-办公用品信息'!$C:$G,4,0),"-")</f>
        <v>2</v>
      </c>
      <c r="G117" s="87">
        <v>1</v>
      </c>
      <c r="H117" s="60">
        <f t="shared" si="3"/>
        <v>2</v>
      </c>
    </row>
    <row r="118" customHeight="1" spans="2:8">
      <c r="B118" s="86">
        <v>136</v>
      </c>
      <c r="C118" s="60" t="str">
        <f>IF('基础-办公用品信息'!C119="","-",'基础-办公用品信息'!C119)</f>
        <v>话梅糖</v>
      </c>
      <c r="D118" s="60" t="str">
        <f>IF('基础-办公用品信息'!D119="","-",'基础-办公用品信息'!D119)</f>
        <v>包</v>
      </c>
      <c r="E118" s="60" t="str">
        <f>IF('基础-办公用品信息'!E119="","-",'基础-办公用品信息'!E119)</f>
        <v>-</v>
      </c>
      <c r="F118" s="60">
        <f>IFERROR(VLOOKUP(C118,'基础-办公用品信息'!$C:$G,4,0),"-")</f>
        <v>5.9</v>
      </c>
      <c r="G118" s="87">
        <v>0</v>
      </c>
      <c r="H118" s="60">
        <f t="shared" si="3"/>
        <v>0</v>
      </c>
    </row>
    <row r="119" customHeight="1" spans="2:8">
      <c r="B119" s="86">
        <v>137</v>
      </c>
      <c r="C119" s="60" t="str">
        <f>IF('基础-办公用品信息'!C120="","-",'基础-办公用品信息'!C120)</f>
        <v>打包扣</v>
      </c>
      <c r="D119" s="60" t="str">
        <f>IF('基础-办公用品信息'!D120="","-",'基础-办公用品信息'!D120)</f>
        <v>斤</v>
      </c>
      <c r="E119" s="60" t="str">
        <f>IF('基础-办公用品信息'!E120="","-",'基础-办公用品信息'!E120)</f>
        <v>-</v>
      </c>
      <c r="F119" s="60">
        <f>IFERROR(VLOOKUP(C119,'基础-办公用品信息'!$C:$G,4,0),"-")</f>
        <v>3.3</v>
      </c>
      <c r="G119" s="87">
        <v>0</v>
      </c>
      <c r="H119" s="60">
        <f t="shared" si="3"/>
        <v>0</v>
      </c>
    </row>
    <row r="120" customHeight="1" spans="2:8">
      <c r="B120" s="86">
        <v>138</v>
      </c>
      <c r="C120" s="60" t="str">
        <f>IF('基础-办公用品信息'!C121="","-",'基础-办公用品信息'!C121)</f>
        <v>手推车</v>
      </c>
      <c r="D120" s="60" t="str">
        <f>IF('基础-办公用品信息'!D121="","-",'基础-办公用品信息'!D121)</f>
        <v>辆</v>
      </c>
      <c r="E120" s="60" t="str">
        <f>IF('基础-办公用品信息'!E121="","-",'基础-办公用品信息'!E121)</f>
        <v>-</v>
      </c>
      <c r="F120" s="60">
        <f>IFERROR(VLOOKUP(C120,'基础-办公用品信息'!$C:$G,4,0),"-")</f>
        <v>280</v>
      </c>
      <c r="G120" s="87">
        <v>0</v>
      </c>
      <c r="H120" s="60">
        <f t="shared" si="3"/>
        <v>0</v>
      </c>
    </row>
    <row r="121" customHeight="1" spans="2:8">
      <c r="B121" s="86">
        <v>139</v>
      </c>
      <c r="C121" s="60" t="str">
        <f>IF('基础-办公用品信息'!C122="","-",'基础-办公用品信息'!C122)</f>
        <v>修改液</v>
      </c>
      <c r="D121" s="60" t="str">
        <f>IF('基础-办公用品信息'!D122="","-",'基础-办公用品信息'!D122)</f>
        <v>个</v>
      </c>
      <c r="E121" s="60" t="str">
        <f>IF('基础-办公用品信息'!E122="","-",'基础-办公用品信息'!E122)</f>
        <v>-</v>
      </c>
      <c r="F121" s="60">
        <f>IFERROR(VLOOKUP(C121,'基础-办公用品信息'!$C:$G,4,0),"-")</f>
        <v>3.5</v>
      </c>
      <c r="G121" s="87">
        <v>7</v>
      </c>
      <c r="H121" s="60">
        <f t="shared" si="3"/>
        <v>24.5</v>
      </c>
    </row>
    <row r="122" customHeight="1" spans="2:8">
      <c r="B122" s="86">
        <v>140</v>
      </c>
      <c r="C122" s="60" t="str">
        <f>IF('基础-办公用品信息'!C123="","-",'基础-办公用品信息'!C123)</f>
        <v>龙虎人丹</v>
      </c>
      <c r="D122" s="60" t="str">
        <f>IF('基础-办公用品信息'!D123="","-",'基础-办公用品信息'!D123)</f>
        <v>瓶</v>
      </c>
      <c r="E122" s="60" t="str">
        <f>IF('基础-办公用品信息'!E123="","-",'基础-办公用品信息'!E123)</f>
        <v>-</v>
      </c>
      <c r="F122" s="60">
        <f>IFERROR(VLOOKUP(C122,'基础-办公用品信息'!$C:$G,4,0),"-")</f>
        <v>10</v>
      </c>
      <c r="G122" s="87">
        <v>0</v>
      </c>
      <c r="H122" s="60">
        <f t="shared" si="3"/>
        <v>0</v>
      </c>
    </row>
    <row r="123" customHeight="1" spans="2:8">
      <c r="B123" s="86">
        <v>141</v>
      </c>
      <c r="C123" s="60" t="str">
        <f>IF('基础-办公用品信息'!C124="","-",'基础-办公用品信息'!C124)</f>
        <v>无线鼠标 </v>
      </c>
      <c r="D123" s="60" t="str">
        <f>IF('基础-办公用品信息'!D124="","-",'基础-办公用品信息'!D124)</f>
        <v>个</v>
      </c>
      <c r="E123" s="60" t="str">
        <f>IF('基础-办公用品信息'!E124="","-",'基础-办公用品信息'!E124)</f>
        <v>-</v>
      </c>
      <c r="F123" s="60">
        <f>IFERROR(VLOOKUP(C123,'基础-办公用品信息'!$C:$G,4,0),"-")</f>
        <v>75</v>
      </c>
      <c r="G123" s="87">
        <v>0</v>
      </c>
      <c r="H123" s="60">
        <f t="shared" si="3"/>
        <v>0</v>
      </c>
    </row>
    <row r="124" customHeight="1" spans="2:8">
      <c r="B124" s="86">
        <v>143</v>
      </c>
      <c r="C124" s="60" t="str">
        <f>IF('基础-办公用品信息'!C125="","-",'基础-办公用品信息'!C125)</f>
        <v>插座5m</v>
      </c>
      <c r="D124" s="60" t="str">
        <f>IF('基础-办公用品信息'!D125="","-",'基础-办公用品信息'!D125)</f>
        <v>个</v>
      </c>
      <c r="E124" s="60" t="str">
        <f>IF('基础-办公用品信息'!E125="","-",'基础-办公用品信息'!E125)</f>
        <v>-</v>
      </c>
      <c r="F124" s="60">
        <f>IFERROR(VLOOKUP(C124,'基础-办公用品信息'!$C:$G,4,0),"-")</f>
        <v>56</v>
      </c>
      <c r="G124" s="87">
        <v>1</v>
      </c>
      <c r="H124" s="60">
        <f t="shared" si="3"/>
        <v>56</v>
      </c>
    </row>
    <row r="125" customHeight="1" spans="2:8">
      <c r="B125" s="86">
        <v>144</v>
      </c>
      <c r="C125" s="60" t="str">
        <f>IF('基础-办公用品信息'!C126="","-",'基础-办公用品信息'!C126)</f>
        <v>南孚4粒装简卡5号4粒/个</v>
      </c>
      <c r="D125" s="60" t="str">
        <f>IF('基础-办公用品信息'!D126="","-",'基础-办公用品信息'!D126)</f>
        <v>个</v>
      </c>
      <c r="E125" s="60" t="str">
        <f>IF('基础-办公用品信息'!E126="","-",'基础-办公用品信息'!E126)</f>
        <v>-</v>
      </c>
      <c r="F125" s="60">
        <f>IFERROR(VLOOKUP(C125,'基础-办公用品信息'!$C:$G,4,0),"-")</f>
        <v>11.8</v>
      </c>
      <c r="G125" s="87">
        <v>0</v>
      </c>
      <c r="H125" s="60">
        <f t="shared" si="3"/>
        <v>0</v>
      </c>
    </row>
    <row r="126" customHeight="1" spans="2:8">
      <c r="B126" s="86">
        <v>145</v>
      </c>
      <c r="C126" s="60" t="str">
        <f>IF('基础-办公用品信息'!C127="","-",'基础-办公用品信息'!C127)</f>
        <v>南孚4粒装挂卡5号4粒/个</v>
      </c>
      <c r="D126" s="60" t="str">
        <f>IF('基础-办公用品信息'!D127="","-",'基础-办公用品信息'!D127)</f>
        <v>个</v>
      </c>
      <c r="E126" s="60" t="str">
        <f>IF('基础-办公用品信息'!E127="","-",'基础-办公用品信息'!E127)</f>
        <v>-</v>
      </c>
      <c r="F126" s="60">
        <f>IFERROR(VLOOKUP(C126,'基础-办公用品信息'!$C:$G,4,0),"-")</f>
        <v>9.9</v>
      </c>
      <c r="G126" s="87">
        <v>0</v>
      </c>
      <c r="H126" s="60">
        <f t="shared" si="3"/>
        <v>0</v>
      </c>
    </row>
    <row r="127" customHeight="1" spans="2:8">
      <c r="B127" s="86">
        <v>146</v>
      </c>
      <c r="C127" s="60" t="str">
        <f>IF('基础-办公用品信息'!C128="","-",'基础-办公用品信息'!C128)</f>
        <v>南孚2粒装5号2粒/个</v>
      </c>
      <c r="D127" s="60" t="str">
        <f>IF('基础-办公用品信息'!D128="","-",'基础-办公用品信息'!D128)</f>
        <v>个</v>
      </c>
      <c r="E127" s="60" t="str">
        <f>IF('基础-办公用品信息'!E128="","-",'基础-办公用品信息'!E128)</f>
        <v>-</v>
      </c>
      <c r="F127" s="60">
        <f>IFERROR(VLOOKUP(C127,'基础-办公用品信息'!$C:$G,4,0),"-")</f>
        <v>5.7</v>
      </c>
      <c r="G127" s="87">
        <v>0</v>
      </c>
      <c r="H127" s="60">
        <f t="shared" si="3"/>
        <v>0</v>
      </c>
    </row>
    <row r="128" customHeight="1" spans="2:8">
      <c r="B128" s="86">
        <v>147</v>
      </c>
      <c r="C128" s="60" t="str">
        <f>IF('基础-办公用品信息'!C129="","-",'基础-办公用品信息'!C129)</f>
        <v>激光笔技术部</v>
      </c>
      <c r="D128" s="60" t="str">
        <f>IF('基础-办公用品信息'!D129="","-",'基础-办公用品信息'!D129)</f>
        <v>支</v>
      </c>
      <c r="E128" s="60" t="str">
        <f>IF('基础-办公用品信息'!E129="","-",'基础-办公用品信息'!E129)</f>
        <v>-</v>
      </c>
      <c r="F128" s="60">
        <f>IFERROR(VLOOKUP(C128,'基础-办公用品信息'!$C:$G,4,0),"-")</f>
        <v>23.5</v>
      </c>
      <c r="G128" s="87">
        <v>0</v>
      </c>
      <c r="H128" s="60">
        <f t="shared" si="3"/>
        <v>0</v>
      </c>
    </row>
    <row r="129" customHeight="1" spans="2:8">
      <c r="B129" s="86">
        <v>148</v>
      </c>
      <c r="C129" s="60" t="str">
        <f>IF('基础-办公用品信息'!C130="","-",'基础-办公用品信息'!C130)</f>
        <v>奥克斯除湿机铂悦府</v>
      </c>
      <c r="D129" s="60" t="str">
        <f>IF('基础-办公用品信息'!D130="","-",'基础-办公用品信息'!D130)</f>
        <v>台</v>
      </c>
      <c r="E129" s="60" t="str">
        <f>IF('基础-办公用品信息'!E130="","-",'基础-办公用品信息'!E130)</f>
        <v>-</v>
      </c>
      <c r="F129" s="60">
        <f>IFERROR(VLOOKUP(C129,'基础-办公用品信息'!$C:$G,4,0),"-")</f>
        <v>549</v>
      </c>
      <c r="G129" s="87">
        <v>0</v>
      </c>
      <c r="H129" s="60">
        <f t="shared" si="3"/>
        <v>0</v>
      </c>
    </row>
    <row r="130" customHeight="1" spans="2:8">
      <c r="B130" s="86">
        <v>149</v>
      </c>
      <c r="C130" s="60" t="str">
        <f>IF('基础-办公用品信息'!C131="","-",'基础-办公用品信息'!C131)</f>
        <v>地毯胶</v>
      </c>
      <c r="D130" s="60" t="str">
        <f>IF('基础-办公用品信息'!D131="","-",'基础-办公用品信息'!D131)</f>
        <v>个</v>
      </c>
      <c r="E130" s="60" t="str">
        <f>IF('基础-办公用品信息'!E131="","-",'基础-办公用品信息'!E131)</f>
        <v>-</v>
      </c>
      <c r="F130" s="60">
        <f>IFERROR(VLOOKUP(C130,'基础-办公用品信息'!$C:$G,4,0),"-")</f>
        <v>0</v>
      </c>
      <c r="G130" s="87">
        <v>3</v>
      </c>
      <c r="H130" s="60">
        <f t="shared" si="3"/>
        <v>0</v>
      </c>
    </row>
    <row r="131" customHeight="1" spans="2:8">
      <c r="B131" s="86">
        <v>152</v>
      </c>
      <c r="C131" s="60" t="str">
        <f>IF('基础-办公用品信息'!C132="","-",'基础-办公用品信息'!C132)</f>
        <v>报销单</v>
      </c>
      <c r="D131" s="60" t="str">
        <f>IF('基础-办公用品信息'!D132="","-",'基础-办公用品信息'!D132)</f>
        <v>本</v>
      </c>
      <c r="E131" s="60" t="str">
        <f>IF('基础-办公用品信息'!E132="","-",'基础-办公用品信息'!E132)</f>
        <v>-</v>
      </c>
      <c r="F131" s="60">
        <f>IFERROR(VLOOKUP(C131,'基础-办公用品信息'!$C:$G,4,0),"-")</f>
        <v>1.2</v>
      </c>
      <c r="G131" s="87">
        <v>6</v>
      </c>
      <c r="H131" s="60">
        <f t="shared" ref="H131:H140" si="4">IFERROR(F131*G131,"")</f>
        <v>7.2</v>
      </c>
    </row>
    <row r="132" customHeight="1" spans="2:8">
      <c r="B132" s="86">
        <v>153</v>
      </c>
      <c r="C132" s="60" t="str">
        <f>IF('基础-办公用品信息'!C133="","-",'基础-办公用品信息'!C133)</f>
        <v>差旅报销单</v>
      </c>
      <c r="D132" s="60" t="str">
        <f>IF('基础-办公用品信息'!D133="","-",'基础-办公用品信息'!D133)</f>
        <v>本</v>
      </c>
      <c r="E132" s="60" t="str">
        <f>IF('基础-办公用品信息'!E133="","-",'基础-办公用品信息'!E133)</f>
        <v>-</v>
      </c>
      <c r="F132" s="60">
        <f>IFERROR(VLOOKUP(C132,'基础-办公用品信息'!$C:$G,4,0),"-")</f>
        <v>1.5</v>
      </c>
      <c r="G132" s="87">
        <v>49</v>
      </c>
      <c r="H132" s="60">
        <f t="shared" si="4"/>
        <v>73.5</v>
      </c>
    </row>
    <row r="133" customHeight="1" spans="2:8">
      <c r="B133" s="86">
        <v>154</v>
      </c>
      <c r="C133" s="60" t="str">
        <f>IF('基础-办公用品信息'!C134="","-",'基础-办公用品信息'!C134)</f>
        <v>刀笔</v>
      </c>
      <c r="D133" s="60" t="str">
        <f>IF('基础-办公用品信息'!D134="","-",'基础-办公用品信息'!D134)</f>
        <v>支</v>
      </c>
      <c r="E133" s="60" t="str">
        <f>IF('基础-办公用品信息'!E134="","-",'基础-办公用品信息'!E134)</f>
        <v>-</v>
      </c>
      <c r="F133" s="60">
        <f>IFERROR(VLOOKUP(C133,'基础-办公用品信息'!$C:$G,4,0),"-")</f>
        <v>0.32</v>
      </c>
      <c r="G133" s="87">
        <v>43</v>
      </c>
      <c r="H133" s="60" t="str">
        <f>IFERROR(F133*#REF!,"")</f>
        <v/>
      </c>
    </row>
    <row r="134" customHeight="1" spans="2:8">
      <c r="B134" s="86">
        <v>156</v>
      </c>
      <c r="C134" s="60" t="str">
        <f>IF('基础-办公用品信息'!C135="","-",'基础-办公用品信息'!C135)</f>
        <v>方形单色印台得力红色</v>
      </c>
      <c r="D134" s="60" t="str">
        <f>IF('基础-办公用品信息'!D136="","-",'基础-办公用品信息'!D136)</f>
        <v>个</v>
      </c>
      <c r="E134" s="60" t="str">
        <f>IF('基础-办公用品信息'!E136="","-",'基础-办公用品信息'!E136)</f>
        <v>-</v>
      </c>
      <c r="F134" s="60">
        <f>IFERROR(VLOOKUP(C134,'基础-办公用品信息'!$C:$G,4,0),"-")</f>
        <v>9</v>
      </c>
      <c r="G134" s="87">
        <v>0</v>
      </c>
      <c r="H134" s="60">
        <f t="shared" ref="H134:H139" si="5">IFERROR(F134*G134,"")</f>
        <v>0</v>
      </c>
    </row>
    <row r="135" customHeight="1" spans="2:8">
      <c r="B135" s="86">
        <v>157</v>
      </c>
      <c r="C135" s="60" t="str">
        <f>IF('基础-办公用品信息'!C135="","-",'基础-办公用品信息'!C135)</f>
        <v>方形单色印台得力红色</v>
      </c>
      <c r="D135" s="60" t="str">
        <f>IF('基础-办公用品信息'!D135="","-",'基础-办公用品信息'!D135)</f>
        <v>个</v>
      </c>
      <c r="E135" s="60" t="str">
        <f>IF('基础-办公用品信息'!E137="","-",'基础-办公用品信息'!E137)</f>
        <v>-</v>
      </c>
      <c r="F135" s="60">
        <f>IFERROR(VLOOKUP(C135,'基础-办公用品信息'!$C:$G,4,0),"-")</f>
        <v>9</v>
      </c>
      <c r="G135" s="87">
        <v>0</v>
      </c>
      <c r="H135" s="60">
        <f t="shared" si="5"/>
        <v>0</v>
      </c>
    </row>
    <row r="136" customHeight="1" spans="2:8">
      <c r="B136" s="86">
        <v>158</v>
      </c>
      <c r="C136" s="60" t="str">
        <f>IF('基础-办公用品信息'!C136="","-",'基础-办公用品信息'!C136)</f>
        <v>台笔</v>
      </c>
      <c r="D136" s="60" t="str">
        <f>IF('基础-办公用品信息'!D136="","-",'基础-办公用品信息'!D136)</f>
        <v>个</v>
      </c>
      <c r="E136" s="60" t="str">
        <f>IF('基础-办公用品信息'!E136="","-",'基础-办公用品信息'!E136)</f>
        <v>-</v>
      </c>
      <c r="F136" s="60">
        <f>IFERROR(VLOOKUP(C136,'基础-办公用品信息'!$C:$G,4,0),"-")</f>
        <v>0</v>
      </c>
      <c r="G136" s="87">
        <v>2</v>
      </c>
      <c r="H136" s="60">
        <f t="shared" si="5"/>
        <v>0</v>
      </c>
    </row>
    <row r="137" customHeight="1" spans="2:8">
      <c r="B137" s="86">
        <v>159</v>
      </c>
      <c r="C137" s="60" t="str">
        <f>IF('基础-办公用品信息'!C137="","-",'基础-办公用品信息'!C137)</f>
        <v>用款申请单</v>
      </c>
      <c r="D137" s="60" t="str">
        <f>IF('基础-办公用品信息'!D137="","-",'基础-办公用品信息'!D137)</f>
        <v>个</v>
      </c>
      <c r="E137" s="60" t="str">
        <f>IF('基础-办公用品信息'!E137="","-",'基础-办公用品信息'!E137)</f>
        <v>-</v>
      </c>
      <c r="F137" s="60">
        <f>IFERROR(VLOOKUP(C137,'基础-办公用品信息'!$C:$G,4,0),"-")</f>
        <v>0</v>
      </c>
      <c r="G137" s="87">
        <v>300</v>
      </c>
      <c r="H137" s="60">
        <f t="shared" si="5"/>
        <v>0</v>
      </c>
    </row>
    <row r="138" customHeight="1" spans="2:8">
      <c r="B138" s="86">
        <v>160</v>
      </c>
      <c r="C138" s="60" t="str">
        <f>IF('基础-办公用品信息'!C138="","-",'基础-办公用品信息'!C138)</f>
        <v>笔记本</v>
      </c>
      <c r="D138" s="60" t="str">
        <f>IF('基础-办公用品信息'!D138="","-",'基础-办公用品信息'!D138)</f>
        <v>个</v>
      </c>
      <c r="E138" s="60" t="str">
        <f>IF('基础-办公用品信息'!E138="","-",'基础-办公用品信息'!E138)</f>
        <v>-</v>
      </c>
      <c r="F138" s="60">
        <f>IFERROR(VLOOKUP(C138,'基础-办公用品信息'!$C:$G,4,0),"-")</f>
        <v>0</v>
      </c>
      <c r="G138" s="87">
        <v>3</v>
      </c>
      <c r="H138" s="60">
        <f t="shared" si="5"/>
        <v>0</v>
      </c>
    </row>
    <row r="139" customHeight="1" spans="2:8">
      <c r="B139" s="86">
        <v>161</v>
      </c>
      <c r="C139" s="60" t="str">
        <f>IF('基础-办公用品信息'!C139="","-",'基础-办公用品信息'!C139)</f>
        <v>键盘</v>
      </c>
      <c r="D139" s="60" t="str">
        <f>IF('基础-办公用品信息'!D139="","-",'基础-办公用品信息'!D139)</f>
        <v>个</v>
      </c>
      <c r="E139" s="60" t="str">
        <f>IF('基础-办公用品信息'!E139="","-",'基础-办公用品信息'!E139)</f>
        <v>-</v>
      </c>
      <c r="F139" s="60">
        <f>IFERROR(VLOOKUP(C139,'基础-办公用品信息'!$C:$G,4,0),"-")</f>
        <v>0</v>
      </c>
      <c r="G139" s="87">
        <v>2</v>
      </c>
      <c r="H139" s="60">
        <f t="shared" si="5"/>
        <v>0</v>
      </c>
    </row>
    <row r="140" customHeight="1" spans="2:8">
      <c r="B140" s="86">
        <v>162</v>
      </c>
      <c r="C140" s="60" t="str">
        <f>IF('基础-办公用品信息'!C140="","-",'基础-办公用品信息'!C140)</f>
        <v>84消毒液</v>
      </c>
      <c r="D140" s="60" t="str">
        <f>IF('基础-办公用品信息'!D140="","-",'基础-办公用品信息'!D140)</f>
        <v>桶</v>
      </c>
      <c r="E140" s="60" t="str">
        <f>IF('基础-办公用品信息'!E140="","-",'基础-办公用品信息'!E140)</f>
        <v>-</v>
      </c>
      <c r="F140" s="60">
        <f>IFERROR(VLOOKUP(C140,'基础-办公用品信息'!$C:$G,4,0),"-")</f>
        <v>0</v>
      </c>
      <c r="G140" s="87">
        <v>2</v>
      </c>
      <c r="H140" s="60">
        <f t="shared" ref="H140:H178" si="6">IFERROR(F140*G140,"")</f>
        <v>0</v>
      </c>
    </row>
    <row r="141" customHeight="1" spans="2:8">
      <c r="B141" s="86">
        <v>163</v>
      </c>
      <c r="C141" s="60" t="str">
        <f>IF('基础-办公用品信息'!C141="","-",'基础-办公用品信息'!C141)</f>
        <v>洗洁精</v>
      </c>
      <c r="D141" s="60" t="str">
        <f>IF('基础-办公用品信息'!D141="","-",'基础-办公用品信息'!D141)</f>
        <v>桶</v>
      </c>
      <c r="E141" s="60" t="str">
        <f>IF('基础-办公用品信息'!E141="","-",'基础-办公用品信息'!E141)</f>
        <v>-</v>
      </c>
      <c r="F141" s="60">
        <f>IFERROR(VLOOKUP(C141,'基础-办公用品信息'!$C:$G,4,0),"-")</f>
        <v>0</v>
      </c>
      <c r="G141" s="87">
        <v>0</v>
      </c>
      <c r="H141" s="60">
        <f t="shared" si="6"/>
        <v>0</v>
      </c>
    </row>
    <row r="142" customHeight="1" spans="2:8">
      <c r="B142" s="86">
        <v>164</v>
      </c>
      <c r="C142" s="60" t="str">
        <f>IF('基础-办公用品信息'!C142="","-",'基础-办公用品信息'!C142)</f>
        <v>垃圾袋</v>
      </c>
      <c r="D142" s="60" t="str">
        <f>IF('基础-办公用品信息'!D142="","-",'基础-办公用品信息'!D142)</f>
        <v>卷</v>
      </c>
      <c r="E142" s="60" t="str">
        <f>IF('基础-办公用品信息'!E142="","-",'基础-办公用品信息'!E142)</f>
        <v>-</v>
      </c>
      <c r="F142" s="60">
        <f>IFERROR(VLOOKUP(C142,'基础-办公用品信息'!$C:$G,4,0),"-")</f>
        <v>0</v>
      </c>
      <c r="G142" s="87">
        <v>50</v>
      </c>
      <c r="H142" s="60">
        <f t="shared" si="6"/>
        <v>0</v>
      </c>
    </row>
    <row r="143" customHeight="1" spans="2:8">
      <c r="B143" s="86">
        <v>165</v>
      </c>
      <c r="C143" s="60" t="str">
        <f>IF('基础-办公用品信息'!C143="","-",'基础-办公用品信息'!C143)</f>
        <v>白手套</v>
      </c>
      <c r="D143" s="60" t="str">
        <f>IF('基础-办公用品信息'!D143="","-",'基础-办公用品信息'!D143)</f>
        <v>打</v>
      </c>
      <c r="E143" s="60" t="str">
        <f>IF('基础-办公用品信息'!E143="","-",'基础-办公用品信息'!E143)</f>
        <v>-</v>
      </c>
      <c r="F143" s="60">
        <f>IFERROR(VLOOKUP(C143,'基础-办公用品信息'!$C:$G,4,0),"-")</f>
        <v>0</v>
      </c>
      <c r="G143" s="87">
        <v>0</v>
      </c>
      <c r="H143" s="60">
        <f t="shared" si="6"/>
        <v>0</v>
      </c>
    </row>
    <row r="144" customHeight="1" spans="2:8">
      <c r="B144" s="86">
        <v>166</v>
      </c>
      <c r="C144" s="60" t="str">
        <f>IF('基础-办公用品信息'!C144="","-",'基础-办公用品信息'!C144)</f>
        <v>喷洒消毒液</v>
      </c>
      <c r="D144" s="60" t="str">
        <f>IF('基础-办公用品信息'!D144="","-",'基础-办公用品信息'!D144)</f>
        <v>瓶</v>
      </c>
      <c r="E144" s="60" t="str">
        <f>IF('基础-办公用品信息'!E144="","-",'基础-办公用品信息'!E144)</f>
        <v>-</v>
      </c>
      <c r="F144" s="60">
        <f>IFERROR(VLOOKUP(C144,'基础-办公用品信息'!$C:$G,4,0),"-")</f>
        <v>0</v>
      </c>
      <c r="G144" s="87">
        <v>0</v>
      </c>
      <c r="H144" s="60">
        <f t="shared" si="6"/>
        <v>0</v>
      </c>
    </row>
    <row r="145" customHeight="1" spans="2:8">
      <c r="B145" s="86">
        <v>167</v>
      </c>
      <c r="C145" s="60" t="str">
        <f>IF('基础-办公用品信息'!C145="","-",'基础-办公用品信息'!C145)</f>
        <v>消毒液L3</v>
      </c>
      <c r="D145" s="60" t="str">
        <f>IF('基础-办公用品信息'!D145="","-",'基础-办公用品信息'!D145)</f>
        <v>瓶</v>
      </c>
      <c r="E145" s="60" t="str">
        <f>IF('基础-办公用品信息'!E145="","-",'基础-办公用品信息'!E145)</f>
        <v>-</v>
      </c>
      <c r="F145" s="60">
        <f>IFERROR(VLOOKUP(C145,'基础-办公用品信息'!$C:$G,4,0),"-")</f>
        <v>0</v>
      </c>
      <c r="G145" s="87">
        <v>0</v>
      </c>
      <c r="H145" s="60">
        <f t="shared" si="6"/>
        <v>0</v>
      </c>
    </row>
    <row r="146" customHeight="1" spans="2:8">
      <c r="B146" s="86">
        <v>168</v>
      </c>
      <c r="C146" s="60" t="str">
        <f>IF('基础-办公用品信息'!C146="","-",'基础-办公用品信息'!C146)</f>
        <v>500消毒液</v>
      </c>
      <c r="D146" s="60" t="str">
        <f>IF('基础-办公用品信息'!D146="","-",'基础-办公用品信息'!D146)</f>
        <v>瓶</v>
      </c>
      <c r="E146" s="60" t="str">
        <f>IF('基础-办公用品信息'!E146="","-",'基础-办公用品信息'!E146)</f>
        <v>-</v>
      </c>
      <c r="F146" s="60">
        <f>IFERROR(VLOOKUP(C146,'基础-办公用品信息'!$C:$G,4,0),"-")</f>
        <v>0</v>
      </c>
      <c r="G146" s="87">
        <v>0</v>
      </c>
      <c r="H146" s="60">
        <f t="shared" si="6"/>
        <v>0</v>
      </c>
    </row>
    <row r="147" customHeight="1" spans="2:8">
      <c r="B147" s="86">
        <v>169</v>
      </c>
      <c r="C147" s="60" t="e">
        <f>IF('基础-办公用品信息'!#REF!="","-",'基础-办公用品信息'!#REF!)</f>
        <v>#REF!</v>
      </c>
      <c r="D147" s="60" t="e">
        <f>IF('基础-办公用品信息'!#REF!="","-",'基础-办公用品信息'!#REF!)</f>
        <v>#REF!</v>
      </c>
      <c r="E147" s="60" t="e">
        <f>IF('基础-办公用品信息'!#REF!="","-",'基础-办公用品信息'!#REF!)</f>
        <v>#REF!</v>
      </c>
      <c r="F147" s="60" t="str">
        <f>IFERROR(VLOOKUP(C147,'基础-办公用品信息'!$C:$G,4,0),"-")</f>
        <v>-</v>
      </c>
      <c r="G147" s="87">
        <v>24</v>
      </c>
      <c r="H147" s="60" t="str">
        <f t="shared" si="6"/>
        <v/>
      </c>
    </row>
    <row r="148" customHeight="1" spans="2:8">
      <c r="B148" s="86">
        <v>170</v>
      </c>
      <c r="C148" s="60" t="str">
        <f>IF('基础-办公用品信息'!C147="","-",'基础-办公用品信息'!C147)</f>
        <v>拖把</v>
      </c>
      <c r="D148" s="60" t="str">
        <f>IF('基础-办公用品信息'!D147="","-",'基础-办公用品信息'!D147)</f>
        <v>个</v>
      </c>
      <c r="E148" s="60" t="str">
        <f>IF('基础-办公用品信息'!E147="","-",'基础-办公用品信息'!E147)</f>
        <v>-</v>
      </c>
      <c r="F148" s="60">
        <f>IFERROR(VLOOKUP(C148,'基础-办公用品信息'!$C:$G,4,0),"-")</f>
        <v>0</v>
      </c>
      <c r="G148" s="87">
        <v>5</v>
      </c>
      <c r="H148" s="60">
        <f t="shared" si="6"/>
        <v>0</v>
      </c>
    </row>
    <row r="149" customHeight="1" spans="2:8">
      <c r="B149" s="86">
        <v>171</v>
      </c>
      <c r="C149" s="60" t="str">
        <f>IF('基础-办公用品信息'!C148="","-",'基础-办公用品信息'!C148)</f>
        <v>玻璃刮刀</v>
      </c>
      <c r="D149" s="60" t="str">
        <f>IF('基础-办公用品信息'!D148="","-",'基础-办公用品信息'!D148)</f>
        <v>个</v>
      </c>
      <c r="E149" s="60" t="str">
        <f>IF('基础-办公用品信息'!E148="","-",'基础-办公用品信息'!E148)</f>
        <v>-</v>
      </c>
      <c r="F149" s="60">
        <f>IFERROR(VLOOKUP(C149,'基础-办公用品信息'!$C:$G,4,0),"-")</f>
        <v>0</v>
      </c>
      <c r="G149" s="87">
        <v>5</v>
      </c>
      <c r="H149" s="60">
        <f t="shared" si="6"/>
        <v>0</v>
      </c>
    </row>
    <row r="150" customHeight="1" spans="2:8">
      <c r="B150" s="86">
        <v>172</v>
      </c>
      <c r="C150" s="60" t="str">
        <f>IF('基础-办公用品信息'!C149="","-",'基础-办公用品信息'!C149)</f>
        <v>玻璃水</v>
      </c>
      <c r="D150" s="60" t="str">
        <f>IF('基础-办公用品信息'!D149="","-",'基础-办公用品信息'!D149)</f>
        <v>瓶</v>
      </c>
      <c r="E150" s="60" t="str">
        <f>IF('基础-办公用品信息'!E149="","-",'基础-办公用品信息'!E149)</f>
        <v>-</v>
      </c>
      <c r="F150" s="60">
        <f>IFERROR(VLOOKUP(C150,'基础-办公用品信息'!$C:$G,4,0),"-")</f>
        <v>0</v>
      </c>
      <c r="G150" s="87">
        <v>5</v>
      </c>
      <c r="H150" s="60">
        <f t="shared" si="6"/>
        <v>0</v>
      </c>
    </row>
    <row r="151" customHeight="1" spans="2:8">
      <c r="B151" s="86">
        <v>173</v>
      </c>
      <c r="C151" s="60" t="str">
        <f>IF('基础-办公用品信息'!C150="","-",'基础-办公用品信息'!C150)</f>
        <v>毛巾</v>
      </c>
      <c r="D151" s="60" t="str">
        <f>IF('基础-办公用品信息'!D150="","-",'基础-办公用品信息'!D150)</f>
        <v>条</v>
      </c>
      <c r="E151" s="60" t="str">
        <f>IF('基础-办公用品信息'!E150="","-",'基础-办公用品信息'!E150)</f>
        <v>-</v>
      </c>
      <c r="F151" s="60">
        <f>IFERROR(VLOOKUP(C151,'基础-办公用品信息'!$C:$G,4,0),"-")</f>
        <v>0</v>
      </c>
      <c r="G151" s="87">
        <v>18</v>
      </c>
      <c r="H151" s="60">
        <f t="shared" si="6"/>
        <v>0</v>
      </c>
    </row>
    <row r="152" customHeight="1" spans="2:8">
      <c r="B152" s="86">
        <v>174</v>
      </c>
      <c r="C152" s="60" t="str">
        <f>IF('基础-办公用品信息'!C151="","-",'基础-办公用品信息'!C151)</f>
        <v>钉钉打卡机</v>
      </c>
      <c r="D152" s="60" t="str">
        <f>IF('基础-办公用品信息'!D151="","-",'基础-办公用品信息'!D151)</f>
        <v>个</v>
      </c>
      <c r="E152" s="60" t="str">
        <f>IF('基础-办公用品信息'!E151="","-",'基础-办公用品信息'!E151)</f>
        <v>-</v>
      </c>
      <c r="F152" s="60">
        <f>IFERROR(VLOOKUP(C152,'基础-办公用品信息'!$C:$G,4,0),"-")</f>
        <v>0</v>
      </c>
      <c r="G152" s="87">
        <v>5</v>
      </c>
      <c r="H152" s="60">
        <f t="shared" si="6"/>
        <v>0</v>
      </c>
    </row>
    <row r="153" customHeight="1" spans="2:8">
      <c r="B153" s="86">
        <v>175</v>
      </c>
      <c r="C153" s="60" t="str">
        <f>IF('基础-办公用品信息'!C152="","-",'基础-办公用品信息'!C152)</f>
        <v>酒精消毒水</v>
      </c>
      <c r="D153" s="60" t="str">
        <f>IF('基础-办公用品信息'!D152="","-",'基础-办公用品信息'!D152)</f>
        <v>瓶</v>
      </c>
      <c r="E153" s="60" t="str">
        <f>IF('基础-办公用品信息'!E152="","-",'基础-办公用品信息'!E152)</f>
        <v>-</v>
      </c>
      <c r="F153" s="60">
        <f>IFERROR(VLOOKUP(C153,'基础-办公用品信息'!$C:$G,4,0),"-")</f>
        <v>0</v>
      </c>
      <c r="G153" s="87">
        <v>5</v>
      </c>
      <c r="H153" s="60">
        <f t="shared" si="6"/>
        <v>0</v>
      </c>
    </row>
    <row r="154" customHeight="1" spans="2:8">
      <c r="B154" s="86">
        <v>176</v>
      </c>
      <c r="C154" s="60" t="str">
        <f>IF('基础-办公用品信息'!C153="","-",'基础-办公用品信息'!C153)</f>
        <v>马桶刷</v>
      </c>
      <c r="D154" s="60" t="str">
        <f>IF('基础-办公用品信息'!D153="","-",'基础-办公用品信息'!D153)</f>
        <v>个</v>
      </c>
      <c r="E154" s="60" t="str">
        <f>IF('基础-办公用品信息'!E153="","-",'基础-办公用品信息'!E153)</f>
        <v>-</v>
      </c>
      <c r="F154" s="60">
        <f>IFERROR(VLOOKUP(C154,'基础-办公用品信息'!$C:$G,4,0),"-")</f>
        <v>0</v>
      </c>
      <c r="G154" s="87">
        <v>2</v>
      </c>
      <c r="H154" s="60">
        <f t="shared" si="6"/>
        <v>0</v>
      </c>
    </row>
    <row r="155" customHeight="1" spans="2:8">
      <c r="B155" s="86">
        <v>177</v>
      </c>
      <c r="C155" s="60" t="str">
        <f>IF('基础-办公用品信息'!C154="","-",'基础-办公用品信息'!C154)</f>
        <v>洗手液</v>
      </c>
      <c r="D155" s="60" t="str">
        <f>IF('基础-办公用品信息'!D154="","-",'基础-办公用品信息'!D154)</f>
        <v>瓶</v>
      </c>
      <c r="E155" s="60" t="str">
        <f>IF('基础-办公用品信息'!E154="","-",'基础-办公用品信息'!E154)</f>
        <v>-</v>
      </c>
      <c r="F155" s="60">
        <f>IFERROR(VLOOKUP(C155,'基础-办公用品信息'!$C:$G,4,0),"-")</f>
        <v>0</v>
      </c>
      <c r="G155" s="87">
        <v>4</v>
      </c>
      <c r="H155" s="60">
        <f t="shared" si="6"/>
        <v>0</v>
      </c>
    </row>
    <row r="156" customHeight="1" spans="2:8">
      <c r="B156" s="86">
        <v>178</v>
      </c>
      <c r="C156" s="60" t="str">
        <f>IF('基础-办公用品信息'!C155="","-",'基础-办公用品信息'!C155)</f>
        <v>报销单</v>
      </c>
      <c r="D156" s="60" t="str">
        <f>IF('基础-办公用品信息'!D155="","-",'基础-办公用品信息'!D155)</f>
        <v>本</v>
      </c>
      <c r="E156" s="60" t="str">
        <f>IF('基础-办公用品信息'!E155="","-",'基础-办公用品信息'!E155)</f>
        <v>-</v>
      </c>
      <c r="F156" s="60">
        <f>IFERROR(VLOOKUP(C156,'基础-办公用品信息'!$C:$G,4,0),"-")</f>
        <v>1.2</v>
      </c>
      <c r="G156" s="87">
        <v>100</v>
      </c>
      <c r="H156" s="60">
        <f t="shared" si="6"/>
        <v>120</v>
      </c>
    </row>
    <row r="157" customHeight="1" spans="2:8">
      <c r="B157" s="86">
        <v>179</v>
      </c>
      <c r="C157" s="60" t="str">
        <f>IF('基础-办公用品信息'!C156="","-",'基础-办公用品信息'!C156)</f>
        <v>手套</v>
      </c>
      <c r="D157" s="60" t="str">
        <f>IF('基础-办公用品信息'!D156="","-",'基础-办公用品信息'!D156)</f>
        <v>双</v>
      </c>
      <c r="E157" s="60" t="str">
        <f>IF('基础-办公用品信息'!E156="","-",'基础-办公用品信息'!E156)</f>
        <v>-</v>
      </c>
      <c r="F157" s="60">
        <f>IFERROR(VLOOKUP(C157,'基础-办公用品信息'!$C:$G,4,0),"-")</f>
        <v>0</v>
      </c>
      <c r="G157" s="87">
        <v>4</v>
      </c>
      <c r="H157" s="60">
        <f t="shared" si="6"/>
        <v>0</v>
      </c>
    </row>
    <row r="158" customHeight="1" spans="2:8">
      <c r="B158" s="86">
        <v>180</v>
      </c>
      <c r="C158" s="60" t="str">
        <f>IF('基础-办公用品信息'!C157="","-",'基础-办公用品信息'!C157)</f>
        <v>安全帽</v>
      </c>
      <c r="D158" s="60" t="str">
        <f>IF('基础-办公用品信息'!D157="","-",'基础-办公用品信息'!D157)</f>
        <v>顶</v>
      </c>
      <c r="E158" s="60" t="str">
        <f>IF('基础-办公用品信息'!E157="","-",'基础-办公用品信息'!E157)</f>
        <v>-</v>
      </c>
      <c r="F158" s="60">
        <f>IFERROR(VLOOKUP(C158,'基础-办公用品信息'!$C:$G,4,0),"-")</f>
        <v>0</v>
      </c>
      <c r="G158" s="87">
        <v>50</v>
      </c>
      <c r="H158" s="60">
        <f t="shared" si="6"/>
        <v>0</v>
      </c>
    </row>
    <row r="159" customHeight="1" spans="2:8">
      <c r="B159" s="86">
        <v>181</v>
      </c>
      <c r="C159" s="60" t="str">
        <f>IF('基础-办公用品信息'!C158="","-",'基础-办公用品信息'!C158)</f>
        <v>扫把</v>
      </c>
      <c r="D159" s="60" t="str">
        <f>IF('基础-办公用品信息'!D158="","-",'基础-办公用品信息'!D158)</f>
        <v>把</v>
      </c>
      <c r="E159" s="60" t="str">
        <f>IF('基础-办公用品信息'!E158="","-",'基础-办公用品信息'!E158)</f>
        <v>-</v>
      </c>
      <c r="F159" s="60">
        <f>IFERROR(VLOOKUP(C159,'基础-办公用品信息'!$C:$G,4,0),"-")</f>
        <v>0</v>
      </c>
      <c r="G159" s="87">
        <v>2</v>
      </c>
      <c r="H159" s="60">
        <f t="shared" si="6"/>
        <v>0</v>
      </c>
    </row>
    <row r="160" customHeight="1" spans="2:8">
      <c r="B160" s="86">
        <v>182</v>
      </c>
      <c r="C160" s="60" t="str">
        <f>IF('基础-办公用品信息'!C159="","-",'基础-办公用品信息'!C159)</f>
        <v>交换机</v>
      </c>
      <c r="D160" s="60" t="str">
        <f>IF('基础-办公用品信息'!D159="","-",'基础-办公用品信息'!D159)</f>
        <v>个</v>
      </c>
      <c r="E160" s="60" t="str">
        <f>IF('基础-办公用品信息'!E159="","-",'基础-办公用品信息'!E159)</f>
        <v>-</v>
      </c>
      <c r="F160" s="60">
        <f>IFERROR(VLOOKUP(C160,'基础-办公用品信息'!$C:$G,4,0),"-")</f>
        <v>0</v>
      </c>
      <c r="G160" s="87">
        <v>0</v>
      </c>
      <c r="H160" s="60">
        <f t="shared" si="6"/>
        <v>0</v>
      </c>
    </row>
    <row r="161" customHeight="1" spans="2:8">
      <c r="B161" s="86">
        <v>183</v>
      </c>
      <c r="C161" s="60" t="str">
        <f>IF('基础-办公用品信息'!C160="","-",'基础-办公用品信息'!C160)</f>
        <v>狗粮</v>
      </c>
      <c r="D161" s="60" t="str">
        <f>IF('基础-办公用品信息'!D160="","-",'基础-办公用品信息'!D160)</f>
        <v>包</v>
      </c>
      <c r="E161" s="60" t="str">
        <f>IF('基础-办公用品信息'!E160="","-",'基础-办公用品信息'!E160)</f>
        <v>-</v>
      </c>
      <c r="F161" s="60">
        <f>IFERROR(VLOOKUP(C161,'基础-办公用品信息'!$C:$G,4,0),"-")</f>
        <v>0</v>
      </c>
      <c r="G161" s="87">
        <v>0</v>
      </c>
      <c r="H161" s="60">
        <f t="shared" si="6"/>
        <v>0</v>
      </c>
    </row>
    <row r="162" customHeight="1" spans="2:8">
      <c r="B162" s="86">
        <v>184</v>
      </c>
      <c r="C162" s="60" t="str">
        <f>IF('基础-办公用品信息'!C161="","-",'基础-办公用品信息'!C161)</f>
        <v>尘推杆</v>
      </c>
      <c r="D162" s="60" t="str">
        <f>IF('基础-办公用品信息'!D161="","-",'基础-办公用品信息'!D161)</f>
        <v>根</v>
      </c>
      <c r="E162" s="60" t="str">
        <f>IF('基础-办公用品信息'!E161="","-",'基础-办公用品信息'!E161)</f>
        <v>-</v>
      </c>
      <c r="F162" s="60">
        <f>IFERROR(VLOOKUP(C162,'基础-办公用品信息'!$C:$G,4,0),"-")</f>
        <v>0</v>
      </c>
      <c r="G162" s="87">
        <v>0</v>
      </c>
      <c r="H162" s="60">
        <f t="shared" si="6"/>
        <v>0</v>
      </c>
    </row>
    <row r="163" customHeight="1" spans="2:8">
      <c r="B163" s="86">
        <v>185</v>
      </c>
      <c r="C163" s="60" t="str">
        <f>IF('基础-办公用品信息'!C162="","-",'基础-办公用品信息'!C162)</f>
        <v>橡胶手套</v>
      </c>
      <c r="D163" s="60" t="str">
        <f>IF('基础-办公用品信息'!D162="","-",'基础-办公用品信息'!D162)</f>
        <v>双</v>
      </c>
      <c r="E163" s="60" t="str">
        <f>IF('基础-办公用品信息'!E162="","-",'基础-办公用品信息'!E162)</f>
        <v>-</v>
      </c>
      <c r="F163" s="60">
        <f>IFERROR(VLOOKUP(C163,'基础-办公用品信息'!$C:$G,4,0),"-")</f>
        <v>0</v>
      </c>
      <c r="G163" s="87">
        <v>2</v>
      </c>
      <c r="H163" s="60">
        <f t="shared" si="6"/>
        <v>0</v>
      </c>
    </row>
    <row r="164" customHeight="1" spans="2:8">
      <c r="B164" s="86">
        <v>186</v>
      </c>
      <c r="C164" s="60" t="str">
        <f>IF('基础-办公用品信息'!C163="","-",'基础-办公用品信息'!C163)</f>
        <v>透明胶带大卷</v>
      </c>
      <c r="D164" s="60" t="str">
        <f>IF('基础-办公用品信息'!D163="","-",'基础-办公用品信息'!D163)</f>
        <v>卷</v>
      </c>
      <c r="E164" s="60" t="str">
        <f>IF('基础-办公用品信息'!E163="","-",'基础-办公用品信息'!E163)</f>
        <v>-</v>
      </c>
      <c r="F164" s="60">
        <f>IFERROR(VLOOKUP(C164,'基础-办公用品信息'!$C:$G,4,0),"-")</f>
        <v>0</v>
      </c>
      <c r="G164" s="87">
        <v>5</v>
      </c>
      <c r="H164" s="60">
        <f t="shared" si="6"/>
        <v>0</v>
      </c>
    </row>
    <row r="165" customHeight="1" spans="2:8">
      <c r="B165" s="86">
        <v>187</v>
      </c>
      <c r="C165" s="60" t="str">
        <f>IF('基础-办公用品信息'!C164="","-",'基础-办公用品信息'!C164)</f>
        <v>垃圾袋大</v>
      </c>
      <c r="D165" s="60" t="str">
        <f>IF('基础-办公用品信息'!D164="","-",'基础-办公用品信息'!D164)</f>
        <v>卷</v>
      </c>
      <c r="E165" s="60" t="str">
        <f>IF('基础-办公用品信息'!E164="","-",'基础-办公用品信息'!E164)</f>
        <v>-</v>
      </c>
      <c r="F165" s="60">
        <f>IFERROR(VLOOKUP(C165,'基础-办公用品信息'!$C:$G,4,0),"-")</f>
        <v>0</v>
      </c>
      <c r="G165" s="87"/>
      <c r="H165" s="60">
        <f t="shared" si="6"/>
        <v>0</v>
      </c>
    </row>
    <row r="166" customHeight="1" spans="2:8">
      <c r="B166" s="86">
        <v>188</v>
      </c>
      <c r="C166" s="60" t="str">
        <f>IF('基础-办公用品信息'!C165="","-",'基础-办公用品信息'!C165)</f>
        <v>垃圾袋小</v>
      </c>
      <c r="D166" s="60" t="str">
        <f>IF('基础-办公用品信息'!D165="","-",'基础-办公用品信息'!D165)</f>
        <v>卷</v>
      </c>
      <c r="E166" s="60" t="str">
        <f>IF('基础-办公用品信息'!E165="","-",'基础-办公用品信息'!E165)</f>
        <v>-</v>
      </c>
      <c r="F166" s="60">
        <f>IFERROR(VLOOKUP(C166,'基础-办公用品信息'!$C:$G,4,0),"-")</f>
        <v>0</v>
      </c>
      <c r="G166" s="87"/>
      <c r="H166" s="60">
        <f t="shared" si="6"/>
        <v>0</v>
      </c>
    </row>
    <row r="167" customHeight="1" spans="2:8">
      <c r="B167" s="86">
        <v>189</v>
      </c>
      <c r="C167" s="60" t="str">
        <f>IF('基础-办公用品信息'!C166="","-",'基础-办公用品信息'!C166)</f>
        <v>次氯酸消毒液</v>
      </c>
      <c r="D167" s="60" t="str">
        <f>IF('基础-办公用品信息'!D166="","-",'基础-办公用品信息'!D166)</f>
        <v>瓶</v>
      </c>
      <c r="E167" s="60" t="str">
        <f>IF('基础-办公用品信息'!E166="","-",'基础-办公用品信息'!E166)</f>
        <v>-</v>
      </c>
      <c r="F167" s="60">
        <f>IFERROR(VLOOKUP(C167,'基础-办公用品信息'!$C:$G,4,0),"-")</f>
        <v>0</v>
      </c>
      <c r="G167" s="87"/>
      <c r="H167" s="60">
        <f t="shared" si="6"/>
        <v>0</v>
      </c>
    </row>
    <row r="168" customHeight="1" spans="2:8">
      <c r="B168" s="86">
        <v>190</v>
      </c>
      <c r="C168" s="60" t="str">
        <f>IF('基础-办公用品信息'!C167="","-",'基础-办公用品信息'!C167)</f>
        <v>喷壶</v>
      </c>
      <c r="D168" s="60" t="str">
        <f>IF('基础-办公用品信息'!D167="","-",'基础-办公用品信息'!D167)</f>
        <v>个</v>
      </c>
      <c r="E168" s="60" t="str">
        <f>IF('基础-办公用品信息'!E167="","-",'基础-办公用品信息'!E167)</f>
        <v>-</v>
      </c>
      <c r="F168" s="60">
        <f>IFERROR(VLOOKUP(C168,'基础-办公用品信息'!$C:$G,4,0),"-")</f>
        <v>0</v>
      </c>
      <c r="G168" s="87"/>
      <c r="H168" s="60">
        <f t="shared" si="6"/>
        <v>0</v>
      </c>
    </row>
    <row r="169" customHeight="1" spans="2:8">
      <c r="B169" s="86">
        <v>191</v>
      </c>
      <c r="C169" s="60" t="str">
        <f>IF('基础-办公用品信息'!C168="","-",'基础-办公用品信息'!C168)</f>
        <v>马桶刷</v>
      </c>
      <c r="D169" s="60" t="str">
        <f>IF('基础-办公用品信息'!D168="","-",'基础-办公用品信息'!D168)</f>
        <v>个</v>
      </c>
      <c r="E169" s="60" t="str">
        <f>IF('基础-办公用品信息'!E168="","-",'基础-办公用品信息'!E168)</f>
        <v>-</v>
      </c>
      <c r="F169" s="60">
        <f>IFERROR(VLOOKUP(C169,'基础-办公用品信息'!$C:$G,4,0),"-")</f>
        <v>0</v>
      </c>
      <c r="G169" s="87"/>
      <c r="H169" s="60">
        <f t="shared" si="6"/>
        <v>0</v>
      </c>
    </row>
    <row r="170" customHeight="1" spans="2:8">
      <c r="B170" s="86">
        <v>192</v>
      </c>
      <c r="C170" s="60" t="str">
        <f>IF('基础-办公用品信息'!C169="","-",'基础-办公用品信息'!C169)</f>
        <v>无线网卡</v>
      </c>
      <c r="D170" s="60" t="str">
        <f>IF('基础-办公用品信息'!D169="","-",'基础-办公用品信息'!D169)</f>
        <v>个</v>
      </c>
      <c r="E170" s="60" t="str">
        <f>IF('基础-办公用品信息'!E169="","-",'基础-办公用品信息'!E169)</f>
        <v>-</v>
      </c>
      <c r="F170" s="60">
        <f>IFERROR(VLOOKUP(C170,'基础-办公用品信息'!$C:$G,4,0),"-")</f>
        <v>0</v>
      </c>
      <c r="G170" s="87"/>
      <c r="H170" s="60">
        <f t="shared" si="6"/>
        <v>0</v>
      </c>
    </row>
    <row r="171" customHeight="1" spans="2:8">
      <c r="B171" s="86">
        <v>193</v>
      </c>
      <c r="C171" s="60" t="str">
        <f>IF('基础-办公用品信息'!C170="","-",'基础-办公用品信息'!C170)</f>
        <v>院子灯泡</v>
      </c>
      <c r="D171" s="60" t="str">
        <f>IF('基础-办公用品信息'!D170="","-",'基础-办公用品信息'!D170)</f>
        <v>个</v>
      </c>
      <c r="E171" s="60" t="str">
        <f>IF('基础-办公用品信息'!E170="","-",'基础-办公用品信息'!E170)</f>
        <v>-</v>
      </c>
      <c r="F171" s="60">
        <f>IFERROR(VLOOKUP(C171,'基础-办公用品信息'!$C:$G,4,0),"-")</f>
        <v>15</v>
      </c>
      <c r="G171" s="87"/>
      <c r="H171" s="60">
        <f t="shared" si="6"/>
        <v>0</v>
      </c>
    </row>
    <row r="172" customHeight="1" spans="2:8">
      <c r="B172" s="86">
        <v>194</v>
      </c>
      <c r="C172" s="60" t="str">
        <f>IF('基础-办公用品信息'!C171="","-",'基础-办公用品信息'!C171)</f>
        <v>洗衣粉</v>
      </c>
      <c r="D172" s="60" t="str">
        <f>IF('基础-办公用品信息'!D171="","-",'基础-办公用品信息'!D171)</f>
        <v>包</v>
      </c>
      <c r="E172" s="60" t="str">
        <f>IF('基础-办公用品信息'!E171="","-",'基础-办公用品信息'!E171)</f>
        <v>-</v>
      </c>
      <c r="F172" s="60">
        <f>IFERROR(VLOOKUP(C172,'基础-办公用品信息'!$C:$G,4,0),"-")</f>
        <v>0</v>
      </c>
      <c r="G172" s="87"/>
      <c r="H172" s="60">
        <f t="shared" si="6"/>
        <v>0</v>
      </c>
    </row>
    <row r="173" customHeight="1" spans="2:8">
      <c r="B173" s="86">
        <v>195</v>
      </c>
      <c r="C173" s="60" t="str">
        <f>IF('基础-办公用品信息'!C172="","-",'基础-办公用品信息'!C172)</f>
        <v>海绵</v>
      </c>
      <c r="D173" s="60" t="str">
        <f>IF('基础-办公用品信息'!D172="","-",'基础-办公用品信息'!D172)</f>
        <v>个</v>
      </c>
      <c r="E173" s="60" t="str">
        <f>IF('基础-办公用品信息'!E172="","-",'基础-办公用品信息'!E172)</f>
        <v>-</v>
      </c>
      <c r="F173" s="60">
        <f>IFERROR(VLOOKUP(C173,'基础-办公用品信息'!$C:$G,4,0),"-")</f>
        <v>0</v>
      </c>
      <c r="G173" s="87"/>
      <c r="H173" s="60">
        <f t="shared" si="6"/>
        <v>0</v>
      </c>
    </row>
    <row r="174" customHeight="1" spans="2:8">
      <c r="B174" s="86">
        <v>196</v>
      </c>
      <c r="C174" s="60" t="str">
        <f>IF('基础-办公用品信息'!C173="","-",'基础-办公用品信息'!C173)</f>
        <v>304不锈钢餐盘（带盖）</v>
      </c>
      <c r="D174" s="60" t="str">
        <f>IF('基础-办公用品信息'!D173="","-",'基础-办公用品信息'!D173)</f>
        <v>个</v>
      </c>
      <c r="E174" s="60" t="str">
        <f>IF('基础-办公用品信息'!E173="","-",'基础-办公用品信息'!E173)</f>
        <v>-</v>
      </c>
      <c r="F174" s="60">
        <f>IFERROR(VLOOKUP(C174,'基础-办公用品信息'!$C:$G,4,0),"-")</f>
        <v>0</v>
      </c>
      <c r="G174" s="87"/>
      <c r="H174" s="60">
        <f t="shared" si="6"/>
        <v>0</v>
      </c>
    </row>
    <row r="175" customHeight="1" spans="2:8">
      <c r="B175" s="86">
        <v>197</v>
      </c>
      <c r="C175" s="60" t="str">
        <f>IF('基础-办公用品信息'!C174="","-",'基础-办公用品信息'!C174)</f>
        <v>304不锈钢餐盘）</v>
      </c>
      <c r="D175" s="60" t="str">
        <f>IF('基础-办公用品信息'!D174="","-",'基础-办公用品信息'!D174)</f>
        <v>个</v>
      </c>
      <c r="E175" s="60" t="str">
        <f>IF('基础-办公用品信息'!E174="","-",'基础-办公用品信息'!E174)</f>
        <v>-</v>
      </c>
      <c r="F175" s="60">
        <f>IFERROR(VLOOKUP(C175,'基础-办公用品信息'!$C:$G,4,0),"-")</f>
        <v>0</v>
      </c>
      <c r="G175" s="87"/>
      <c r="H175" s="60">
        <f t="shared" si="6"/>
        <v>0</v>
      </c>
    </row>
    <row r="176" customHeight="1" spans="2:8">
      <c r="B176" s="86">
        <v>198</v>
      </c>
      <c r="C176" s="60" t="str">
        <f>IF('基础-办公用品信息'!C175="","-",'基础-办公用品信息'!C175)</f>
        <v>调料罐</v>
      </c>
      <c r="D176" s="60" t="str">
        <f>IF('基础-办公用品信息'!D175="","-",'基础-办公用品信息'!D175)</f>
        <v>个</v>
      </c>
      <c r="E176" s="60" t="str">
        <f>IF('基础-办公用品信息'!E175="","-",'基础-办公用品信息'!E175)</f>
        <v>-</v>
      </c>
      <c r="F176" s="60">
        <f>IFERROR(VLOOKUP(C176,'基础-办公用品信息'!$C:$G,4,0),"-")</f>
        <v>0</v>
      </c>
      <c r="G176" s="87"/>
      <c r="H176" s="60">
        <f t="shared" si="6"/>
        <v>0</v>
      </c>
    </row>
    <row r="177" customHeight="1" spans="2:8">
      <c r="B177" s="86">
        <v>199</v>
      </c>
      <c r="C177" s="60" t="str">
        <f>IF('基础-办公用品信息'!C176="","-",'基础-办公用品信息'!C176)</f>
        <v>调料罐盖</v>
      </c>
      <c r="D177" s="60" t="str">
        <f>IF('基础-办公用品信息'!D176="","-",'基础-办公用品信息'!D176)</f>
        <v>个</v>
      </c>
      <c r="E177" s="60" t="str">
        <f>IF('基础-办公用品信息'!E176="","-",'基础-办公用品信息'!E176)</f>
        <v>-</v>
      </c>
      <c r="F177" s="60">
        <f>IFERROR(VLOOKUP(C177,'基础-办公用品信息'!$C:$G,4,0),"-")</f>
        <v>0</v>
      </c>
      <c r="G177" s="87"/>
      <c r="H177" s="60">
        <f t="shared" si="6"/>
        <v>0</v>
      </c>
    </row>
    <row r="178" customHeight="1" spans="2:8">
      <c r="B178" s="86">
        <v>200</v>
      </c>
      <c r="C178" s="60" t="str">
        <f>IF('基础-办公用品信息'!C177="","-",'基础-办公用品信息'!C177)</f>
        <v>304不锈钢油缸</v>
      </c>
      <c r="D178" s="60" t="str">
        <f>IF('基础-办公用品信息'!D177="","-",'基础-办公用品信息'!D177)</f>
        <v>个</v>
      </c>
      <c r="E178" s="60" t="str">
        <f>IF('基础-办公用品信息'!E177="","-",'基础-办公用品信息'!E177)</f>
        <v>-</v>
      </c>
      <c r="F178" s="60">
        <f>IFERROR(VLOOKUP(C178,'基础-办公用品信息'!$C:$G,4,0),"-")</f>
        <v>0</v>
      </c>
      <c r="G178" s="87"/>
      <c r="H178" s="60">
        <f t="shared" si="6"/>
        <v>0</v>
      </c>
    </row>
    <row r="179" customHeight="1" spans="2:8">
      <c r="E179" s="60" t="str">
        <f>IF('基础-办公用品信息'!E178="","-",'基础-办公用品信息'!E178)</f>
        <v>-</v>
      </c>
    </row>
    <row r="180" customHeight="1" spans="2:8">
      <c r="E180" s="60" t="str">
        <f>IF('基础-办公用品信息'!E179="","-",'基础-办公用品信息'!E179)</f>
        <v>-</v>
      </c>
    </row>
    <row r="181" customHeight="1" spans="2:8">
      <c r="E181" s="60" t="str">
        <f>IF('基础-办公用品信息'!E180="","-",'基础-办公用品信息'!E180)</f>
        <v>-</v>
      </c>
    </row>
    <row r="182" customHeight="1" spans="2:8">
      <c r="E182" s="60" t="str">
        <f>IF('基础-办公用品信息'!E181="","-",'基础-办公用品信息'!E181)</f>
        <v>-</v>
      </c>
    </row>
    <row r="183" customHeight="1" spans="2:8">
      <c r="E183" s="60" t="str">
        <f>IF('基础-办公用品信息'!E182="","-",'基础-办公用品信息'!E182)</f>
        <v>-</v>
      </c>
    </row>
    <row r="184" customHeight="1" spans="2:8">
      <c r="E184" s="60" t="str">
        <f>IF('基础-办公用品信息'!E183="","-",'基础-办公用品信息'!E183)</f>
        <v>-</v>
      </c>
    </row>
    <row r="185" customHeight="1" spans="2:8">
      <c r="E185" s="60" t="str">
        <f>IF('基础-办公用品信息'!E184="","-",'基础-办公用品信息'!E184)</f>
        <v>-</v>
      </c>
    </row>
    <row r="186" customHeight="1" spans="2:8">
      <c r="E186" s="60" t="str">
        <f>IF('基础-办公用品信息'!E185="","-",'基础-办公用品信息'!E185)</f>
        <v>-</v>
      </c>
    </row>
  </sheetData>
  <autoFilter xmlns:etc="http://www.wps.cn/officeDocument/2017/etCustomData" ref="B1:H186" etc:filterBottomFollowUsedRange="0">
    <extLst/>
  </autoFilter>
  <mergeCells count="1">
    <mergeCell ref="B2:H2"/>
  </mergeCells>
  <pageMargins left="0.699305555555556" right="0.699305555555556" top="0.75" bottom="0.75" header="0.3" footer="0.3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438"/>
  <sheetViews>
    <sheetView showGridLines="0" zoomScale="115" zoomScaleNormal="115" workbookViewId="0">
      <pane ySplit="3" topLeftCell="A66" activePane="bottomLeft" state="frozen"/>
      <selection/>
      <selection pane="bottomLeft" activeCell="A1" sqref="A1"/>
    </sheetView>
  </sheetViews>
  <sheetFormatPr defaultColWidth="9" defaultRowHeight="18.95" customHeight="1"/>
  <cols>
    <col min="1" max="1" width="1.56363636363636" style="43" customWidth="1"/>
    <col min="2" max="2" width="5.14545454545455" style="44" customWidth="1"/>
    <col min="3" max="3" width="29.8181818181818" style="44" customWidth="1"/>
    <col min="4" max="4" width="7.14545454545455" style="44" customWidth="1"/>
    <col min="5" max="7" width="8.70909090909091" style="45" customWidth="1"/>
    <col min="8" max="8" width="9.70909090909091" style="45" customWidth="1"/>
    <col min="9" max="9" width="18.5636363636364" style="69" customWidth="1"/>
    <col min="10" max="10" width="9.70909090909091" style="44" customWidth="1"/>
    <col min="11" max="12" width="9" style="43"/>
    <col min="13" max="13" width="17.5636363636364" style="46" customWidth="1"/>
    <col min="14" max="14" width="17.4272727272727" style="46" customWidth="1"/>
    <col min="15" max="16384" width="9" style="46"/>
  </cols>
  <sheetData>
    <row r="1" ht="9" customHeight="1"/>
    <row r="2" ht="24" customHeight="1" spans="2:14">
      <c r="B2" s="70" t="str">
        <f ca="1">"当前库存  "&amp;TEXT(NOW(),"e/m/d 上午/下午 hh:mm")</f>
        <v>当前库存  2026/5/9 下午 02:02</v>
      </c>
      <c r="C2" s="70"/>
      <c r="D2" s="70"/>
      <c r="E2" s="71"/>
      <c r="F2" s="71"/>
      <c r="G2" s="71"/>
      <c r="H2" s="71"/>
      <c r="I2" s="72"/>
      <c r="J2" s="70"/>
      <c r="M2" s="73" t="s">
        <v>389</v>
      </c>
      <c r="N2" s="73" t="s">
        <v>390</v>
      </c>
    </row>
    <row r="3" customHeight="1" spans="2:14">
      <c r="B3" s="74" t="s">
        <v>3</v>
      </c>
      <c r="C3" s="74" t="s">
        <v>4</v>
      </c>
      <c r="D3" s="74" t="s">
        <v>5</v>
      </c>
      <c r="E3" s="74" t="s">
        <v>6</v>
      </c>
      <c r="F3" s="74" t="s">
        <v>7</v>
      </c>
      <c r="G3" s="74" t="s">
        <v>354</v>
      </c>
      <c r="H3" s="74" t="s">
        <v>391</v>
      </c>
      <c r="I3" s="75" t="s">
        <v>392</v>
      </c>
      <c r="J3" s="74" t="s">
        <v>393</v>
      </c>
      <c r="M3" s="76">
        <f>SUM(H4:H86)</f>
        <v>4345</v>
      </c>
      <c r="N3" s="76">
        <f>SUM(G4:G86)</f>
        <v>18967.9</v>
      </c>
    </row>
    <row r="4" customHeight="1" spans="2:14">
      <c r="B4" s="74">
        <v>1</v>
      </c>
      <c r="C4" s="77" t="str">
        <f>IF('基础-办公用品信息'!C4="","-",'基础-办公用品信息'!C4)</f>
        <v>A3打印纸</v>
      </c>
      <c r="D4" s="77" t="str">
        <f>IF('基础-办公用品信息'!D4="","-",'基础-办公用品信息'!D4)</f>
        <v>包</v>
      </c>
      <c r="E4" s="77" t="str">
        <f>IF('基础-办公用品信息'!E4="","-",'基础-办公用品信息'!E4)</f>
        <v>-</v>
      </c>
      <c r="F4" s="77">
        <f>IF('基础-办公用品信息'!F4="","-",'基础-办公用品信息'!F4)</f>
        <v>175</v>
      </c>
      <c r="G4" s="77">
        <f t="shared" ref="G4:G20" si="0">IFERROR(F4*H4,"-")</f>
        <v>5250</v>
      </c>
      <c r="H4" s="77">
        <f>SUMIFS(期初库存!G:G,期初库存!C:C,C4)+SUMIFS('采购录入（明细）'!I:I,'采购录入（明细）'!E:E,C4)-SUMIFS('领用录入（明细）'!I:I,'领用录入（明细）'!F:F,C4)</f>
        <v>30</v>
      </c>
      <c r="I4" s="78">
        <v>5</v>
      </c>
      <c r="J4" s="79" t="str">
        <f t="shared" ref="J4:J20" si="1">IF(I4&gt;H4,"采购","否")</f>
        <v>否</v>
      </c>
    </row>
    <row r="5" customHeight="1" spans="2:14">
      <c r="B5" s="74">
        <v>2</v>
      </c>
      <c r="C5" s="77" t="str">
        <f>IF('基础-办公用品信息'!C5="","-",'基础-办公用品信息'!C5)</f>
        <v>A4打印纸</v>
      </c>
      <c r="D5" s="77" t="str">
        <f>IF('基础-办公用品信息'!D5="","-",'基础-办公用品信息'!D5)</f>
        <v>包</v>
      </c>
      <c r="E5" s="77" t="str">
        <f>IF('基础-办公用品信息'!E5="","-",'基础-办公用品信息'!E5)</f>
        <v>-</v>
      </c>
      <c r="F5" s="77">
        <f>IF('基础-办公用品信息'!F5="","-",'基础-办公用品信息'!F5)</f>
        <v>175</v>
      </c>
      <c r="G5" s="77">
        <f t="shared" si="0"/>
        <v>8925</v>
      </c>
      <c r="H5" s="77">
        <f>SUMIFS(期初库存!G:G,期初库存!C:C,C5)+SUMIFS('采购录入（明细）'!I:I,'采购录入（明细）'!E:E,C5)-SUMIFS('领用录入（明细）'!I:I,'领用录入（明细）'!F:F,C5)</f>
        <v>51</v>
      </c>
      <c r="I5" s="78">
        <v>5</v>
      </c>
      <c r="J5" s="79" t="str">
        <f t="shared" si="1"/>
        <v>否</v>
      </c>
    </row>
    <row r="6" customHeight="1" spans="2:14">
      <c r="B6" s="74">
        <v>3</v>
      </c>
      <c r="C6" s="77" t="str">
        <f>IF('基础-办公用品信息'!C6="","-",'基础-办公用品信息'!C6)</f>
        <v>A4装订封面纸</v>
      </c>
      <c r="D6" s="77" t="str">
        <f>IF('基础-办公用品信息'!D6="","-",'基础-办公用品信息'!D6)</f>
        <v>包</v>
      </c>
      <c r="E6" s="77" t="str">
        <f>IF('基础-办公用品信息'!E6="","-",'基础-办公用品信息'!E6)</f>
        <v>-</v>
      </c>
      <c r="F6" s="77">
        <f>IF('基础-办公用品信息'!F6="","-",'基础-办公用品信息'!F6)</f>
        <v>18</v>
      </c>
      <c r="G6" s="77">
        <f t="shared" si="0"/>
        <v>18</v>
      </c>
      <c r="H6" s="77">
        <f>SUMIFS(期初库存!G:G,期初库存!C:C,C6)+SUMIFS('采购录入（明细）'!I:I,'采购录入（明细）'!E:E,C6)-SUMIFS('领用录入（明细）'!I:I,'领用录入（明细）'!F:F,C6)</f>
        <v>1</v>
      </c>
      <c r="I6" s="78">
        <v>1</v>
      </c>
      <c r="J6" s="79" t="str">
        <f t="shared" si="1"/>
        <v>否</v>
      </c>
    </row>
    <row r="7" customHeight="1" spans="2:14">
      <c r="B7" s="74">
        <v>4</v>
      </c>
      <c r="C7" s="77" t="str">
        <f>IF('基础-办公用品信息'!C7="","-",'基础-办公用品信息'!C7)</f>
        <v>A4复印纸蓝色</v>
      </c>
      <c r="D7" s="77" t="str">
        <f>IF('基础-办公用品信息'!D7="","-",'基础-办公用品信息'!D7)</f>
        <v>包</v>
      </c>
      <c r="E7" s="77" t="str">
        <f>IF('基础-办公用品信息'!E7="","-",'基础-办公用品信息'!E7)</f>
        <v>-</v>
      </c>
      <c r="F7" s="77" t="str">
        <f>IF('基础-办公用品信息'!F7="","-",'基础-办公用品信息'!F7)</f>
        <v>-</v>
      </c>
      <c r="G7" s="77" t="str">
        <f t="shared" si="0"/>
        <v>-</v>
      </c>
      <c r="H7" s="77">
        <f>SUMIFS(期初库存!G:G,期初库存!C:C,C7)+SUMIFS('采购录入（明细）'!I:I,'采购录入（明细）'!E:E,C7)-SUMIFS('领用录入（明细）'!I:I,'领用录入（明细）'!F:F,C7)</f>
        <v>1</v>
      </c>
      <c r="I7" s="78">
        <v>1</v>
      </c>
      <c r="J7" s="79" t="str">
        <f t="shared" si="1"/>
        <v>否</v>
      </c>
    </row>
    <row r="8" customHeight="1" spans="2:14">
      <c r="B8" s="74">
        <v>5</v>
      </c>
      <c r="C8" s="77" t="str">
        <f>IF('基础-办公用品信息'!C8="","-",'基础-办公用品信息'!C8)</f>
        <v>A4复印纸红色</v>
      </c>
      <c r="D8" s="77" t="str">
        <f>IF('基础-办公用品信息'!D8="","-",'基础-办公用品信息'!D8)</f>
        <v>包</v>
      </c>
      <c r="E8" s="77" t="str">
        <f>IF('基础-办公用品信息'!E8="","-",'基础-办公用品信息'!E8)</f>
        <v>-</v>
      </c>
      <c r="F8" s="77" t="str">
        <f>IF('基础-办公用品信息'!F8="","-",'基础-办公用品信息'!F8)</f>
        <v>-</v>
      </c>
      <c r="G8" s="77" t="str">
        <f t="shared" si="0"/>
        <v>-</v>
      </c>
      <c r="H8" s="77">
        <f>SUMIFS(期初库存!G:G,期初库存!C:C,C8)+SUMIFS('采购录入（明细）'!I:I,'采购录入（明细）'!E:E,C8)-SUMIFS('领用录入（明细）'!I:I,'领用录入（明细）'!F:F,C8)</f>
        <v>5</v>
      </c>
      <c r="I8" s="78">
        <v>5</v>
      </c>
      <c r="J8" s="79" t="str">
        <f t="shared" si="1"/>
        <v>否</v>
      </c>
    </row>
    <row r="9" customHeight="1" spans="2:14">
      <c r="B9" s="74">
        <v>6</v>
      </c>
      <c r="C9" s="77" t="str">
        <f>IF('基础-办公用品信息'!C9="","-",'基础-办公用品信息'!C9)</f>
        <v>A4白卡纸180克荷兰白卡</v>
      </c>
      <c r="D9" s="77" t="str">
        <f>IF('基础-办公用品信息'!D9="","-",'基础-办公用品信息'!D9)</f>
        <v>包</v>
      </c>
      <c r="E9" s="77" t="str">
        <f>IF('基础-办公用品信息'!E9="","-",'基础-办公用品信息'!E9)</f>
        <v>-</v>
      </c>
      <c r="F9" s="77" t="str">
        <f>IF('基础-办公用品信息'!F9="","-",'基础-办公用品信息'!F9)</f>
        <v>-</v>
      </c>
      <c r="G9" s="77" t="str">
        <f t="shared" si="0"/>
        <v>-</v>
      </c>
      <c r="H9" s="77">
        <f>SUMIFS(期初库存!G:G,期初库存!C:C,C9)+SUMIFS('采购录入（明细）'!I:I,'采购录入（明细）'!E:E,C9)-SUMIFS('领用录入（明细）'!I:I,'领用录入（明细）'!F:F,C9)</f>
        <v>0</v>
      </c>
      <c r="I9" s="78">
        <v>0</v>
      </c>
      <c r="J9" s="79" t="str">
        <f t="shared" si="1"/>
        <v>否</v>
      </c>
    </row>
    <row r="10" customHeight="1" spans="2:14">
      <c r="B10" s="74">
        <v>7</v>
      </c>
      <c r="C10" s="77" t="str">
        <f>IF('基础-办公用品信息'!C10="","-",'基础-办公用品信息'!C10)</f>
        <v>定制会议本牛皮A4</v>
      </c>
      <c r="D10" s="77" t="str">
        <f>IF('基础-办公用品信息'!D10="","-",'基础-办公用品信息'!D10)</f>
        <v>本</v>
      </c>
      <c r="E10" s="77" t="str">
        <f>IF('基础-办公用品信息'!E10="","-",'基础-办公用品信息'!E10)</f>
        <v>-</v>
      </c>
      <c r="F10" s="77" t="str">
        <f>IF('基础-办公用品信息'!F10="","-",'基础-办公用品信息'!F10)</f>
        <v>-</v>
      </c>
      <c r="G10" s="77" t="str">
        <f t="shared" si="0"/>
        <v>-</v>
      </c>
      <c r="H10" s="77">
        <f>SUMIFS(期初库存!G:G,期初库存!C:C,C10)+SUMIFS('采购录入（明细）'!I:I,'采购录入（明细）'!E:E,C10)-SUMIFS('领用录入（明细）'!I:I,'领用录入（明细）'!F:F,C10)</f>
        <v>14</v>
      </c>
      <c r="I10" s="78">
        <v>5</v>
      </c>
      <c r="J10" s="79" t="str">
        <f t="shared" si="1"/>
        <v>否</v>
      </c>
    </row>
    <row r="11" customHeight="1" spans="2:14">
      <c r="B11" s="74">
        <v>8</v>
      </c>
      <c r="C11" s="77" t="str">
        <f>IF('基础-办公用品信息'!C11="","-",'基础-办公用品信息'!C11)</f>
        <v>定制会议本活页B5</v>
      </c>
      <c r="D11" s="77" t="str">
        <f>IF('基础-办公用品信息'!D11="","-",'基础-办公用品信息'!D11)</f>
        <v>本</v>
      </c>
      <c r="E11" s="77" t="str">
        <f>IF('基础-办公用品信息'!E11="","-",'基础-办公用品信息'!E11)</f>
        <v>-</v>
      </c>
      <c r="F11" s="77" t="str">
        <f>IF('基础-办公用品信息'!F11="","-",'基础-办公用品信息'!F11)</f>
        <v>-</v>
      </c>
      <c r="G11" s="77" t="str">
        <f t="shared" si="0"/>
        <v>-</v>
      </c>
      <c r="H11" s="77">
        <f>SUMIFS(期初库存!G:G,期初库存!C:C,C11)+SUMIFS('采购录入（明细）'!I:I,'采购录入（明细）'!E:E,C11)-SUMIFS('领用录入（明细）'!I:I,'领用录入（明细）'!F:F,C11)</f>
        <v>0</v>
      </c>
      <c r="I11" s="78">
        <v>0</v>
      </c>
      <c r="J11" s="79" t="str">
        <f t="shared" si="1"/>
        <v>否</v>
      </c>
    </row>
    <row r="12" customHeight="1" spans="2:14">
      <c r="B12" s="74">
        <v>9</v>
      </c>
      <c r="C12" s="77" t="str">
        <f>IF('基础-办公用品信息'!C12="","-",'基础-办公用品信息'!C12)</f>
        <v>定制会议便签本牛皮书写夹板A4</v>
      </c>
      <c r="D12" s="77" t="str">
        <f>IF('基础-办公用品信息'!D12="","-",'基础-办公用品信息'!D12)</f>
        <v>本</v>
      </c>
      <c r="E12" s="77" t="str">
        <f>IF('基础-办公用品信息'!E12="","-",'基础-办公用品信息'!E12)</f>
        <v>-</v>
      </c>
      <c r="F12" s="77" t="str">
        <f>IF('基础-办公用品信息'!F12="","-",'基础-办公用品信息'!F12)</f>
        <v>-</v>
      </c>
      <c r="G12" s="77" t="str">
        <f t="shared" si="0"/>
        <v>-</v>
      </c>
      <c r="H12" s="77">
        <f>SUMIFS(期初库存!G:G,期初库存!C:C,C12)+SUMIFS('采购录入（明细）'!I:I,'采购录入（明细）'!E:E,C12)-SUMIFS('领用录入（明细）'!I:I,'领用录入（明细）'!F:F,C12)</f>
        <v>8</v>
      </c>
      <c r="I12" s="78">
        <v>5</v>
      </c>
      <c r="J12" s="79" t="str">
        <f t="shared" si="1"/>
        <v>否</v>
      </c>
    </row>
    <row r="13" customHeight="1" spans="2:14">
      <c r="B13" s="74">
        <v>10</v>
      </c>
      <c r="C13" s="77" t="str">
        <f>IF('基础-办公用品信息'!C13="","-",'基础-办公用品信息'!C13)</f>
        <v>会议记录本皮面黑色</v>
      </c>
      <c r="D13" s="77" t="str">
        <f>IF('基础-办公用品信息'!D13="","-",'基础-办公用品信息'!D13)</f>
        <v>本</v>
      </c>
      <c r="E13" s="77" t="str">
        <f>IF('基础-办公用品信息'!E13="","-",'基础-办公用品信息'!E13)</f>
        <v>-</v>
      </c>
      <c r="F13" s="77">
        <f>IF('基础-办公用品信息'!F13="","-",'基础-办公用品信息'!F13)</f>
        <v>7.5</v>
      </c>
      <c r="G13" s="77">
        <f t="shared" si="0"/>
        <v>255</v>
      </c>
      <c r="H13" s="77">
        <f>SUMIFS(期初库存!G:G,期初库存!C:C,C13)+SUMIFS('采购录入（明细）'!I:I,'采购录入（明细）'!E:E,C13)-SUMIFS('领用录入（明细）'!I:I,'领用录入（明细）'!F:F,C13)</f>
        <v>34</v>
      </c>
      <c r="I13" s="78">
        <v>5</v>
      </c>
      <c r="J13" s="79" t="str">
        <f t="shared" si="1"/>
        <v>否</v>
      </c>
    </row>
    <row r="14" customHeight="1" spans="2:14">
      <c r="B14" s="74">
        <v>11</v>
      </c>
      <c r="C14" s="77" t="str">
        <f>IF('基础-办公用品信息'!C14="","-",'基础-办公用品信息'!C14)</f>
        <v>office本32k</v>
      </c>
      <c r="D14" s="77" t="str">
        <f>IF('基础-办公用品信息'!D14="","-",'基础-办公用品信息'!D14)</f>
        <v>本</v>
      </c>
      <c r="E14" s="77" t="str">
        <f>IF('基础-办公用品信息'!E14="","-",'基础-办公用品信息'!E14)</f>
        <v>-</v>
      </c>
      <c r="F14" s="77" t="str">
        <f>IF('基础-办公用品信息'!F14="","-",'基础-办公用品信息'!F14)</f>
        <v>-</v>
      </c>
      <c r="G14" s="77" t="str">
        <f t="shared" si="0"/>
        <v>-</v>
      </c>
      <c r="H14" s="77">
        <f>SUMIFS(期初库存!G:G,期初库存!C:C,C14)+SUMIFS('采购录入（明细）'!I:I,'采购录入（明细）'!E:E,C14)-SUMIFS('领用录入（明细）'!I:I,'领用录入（明细）'!F:F,C14)</f>
        <v>16</v>
      </c>
      <c r="I14" s="78">
        <v>5</v>
      </c>
      <c r="J14" s="79" t="str">
        <f t="shared" si="1"/>
        <v>否</v>
      </c>
    </row>
    <row r="15" customHeight="1" spans="2:14">
      <c r="B15" s="74">
        <v>12</v>
      </c>
      <c r="C15" s="77" t="str">
        <f>IF('基础-办公用品信息'!C15="","-",'基础-办公用品信息'!C15)</f>
        <v>软面抄100</v>
      </c>
      <c r="D15" s="77" t="str">
        <f>IF('基础-办公用品信息'!D15="","-",'基础-办公用品信息'!D15)</f>
        <v>本</v>
      </c>
      <c r="E15" s="77" t="str">
        <f>IF('基础-办公用品信息'!E15="","-",'基础-办公用品信息'!E15)</f>
        <v>-</v>
      </c>
      <c r="F15" s="77">
        <f>IF('基础-办公用品信息'!F15="","-",'基础-办公用品信息'!F15)</f>
        <v>1.5</v>
      </c>
      <c r="G15" s="77">
        <f t="shared" si="0"/>
        <v>55.5</v>
      </c>
      <c r="H15" s="77">
        <f>SUMIFS(期初库存!G:G,期初库存!C:C,C15)+SUMIFS('采购录入（明细）'!I:I,'采购录入（明细）'!E:E,C15)-SUMIFS('领用录入（明细）'!I:I,'领用录入（明细）'!F:F,C15)</f>
        <v>37</v>
      </c>
      <c r="I15" s="78">
        <v>5</v>
      </c>
      <c r="J15" s="79" t="str">
        <f t="shared" si="1"/>
        <v>否</v>
      </c>
    </row>
    <row r="16" customHeight="1" spans="2:14">
      <c r="B16" s="74">
        <v>13</v>
      </c>
      <c r="C16" s="77" t="str">
        <f>IF('基础-办公用品信息'!C16="","-",'基础-办公用品信息'!C16)</f>
        <v>透明暗扣袋</v>
      </c>
      <c r="D16" s="77" t="str">
        <f>IF('基础-办公用品信息'!D16="","-",'基础-办公用品信息'!D16)</f>
        <v>个</v>
      </c>
      <c r="E16" s="77" t="str">
        <f>IF('基础-办公用品信息'!E16="","-",'基础-办公用品信息'!E16)</f>
        <v>-</v>
      </c>
      <c r="F16" s="77" t="str">
        <f>IF('基础-办公用品信息'!F16="","-",'基础-办公用品信息'!F16)</f>
        <v>-</v>
      </c>
      <c r="G16" s="77" t="str">
        <f t="shared" si="0"/>
        <v>-</v>
      </c>
      <c r="H16" s="77">
        <f>SUMIFS(期初库存!G:G,期初库存!C:C,C16)+SUMIFS('采购录入（明细）'!I:I,'采购录入（明细）'!E:E,C16)-SUMIFS('领用录入（明细）'!I:I,'领用录入（明细）'!F:F,C16)</f>
        <v>12</v>
      </c>
      <c r="I16" s="78">
        <v>5</v>
      </c>
      <c r="J16" s="79" t="str">
        <f t="shared" si="1"/>
        <v>否</v>
      </c>
    </row>
    <row r="17" customHeight="1" spans="2:10">
      <c r="B17" s="74">
        <v>14</v>
      </c>
      <c r="C17" s="77" t="str">
        <f>IF('基础-办公用品信息'!C17="","-",'基础-办公用品信息'!C17)</f>
        <v>挂快牢得力A4</v>
      </c>
      <c r="D17" s="77" t="str">
        <f>IF('基础-办公用品信息'!D17="","-",'基础-办公用品信息'!D17)</f>
        <v>张</v>
      </c>
      <c r="E17" s="77" t="str">
        <f>IF('基础-办公用品信息'!E17="","-",'基础-办公用品信息'!E17)</f>
        <v>-</v>
      </c>
      <c r="F17" s="77" t="str">
        <f>IF('基础-办公用品信息'!F17="","-",'基础-办公用品信息'!F17)</f>
        <v>-</v>
      </c>
      <c r="G17" s="77" t="str">
        <f t="shared" si="0"/>
        <v>-</v>
      </c>
      <c r="H17" s="77">
        <f>SUMIFS(期初库存!G:G,期初库存!C:C,C17)+SUMIFS('采购录入（明细）'!I:I,'采购录入（明细）'!E:E,C17)-SUMIFS('领用录入（明细）'!I:I,'领用录入（明细）'!F:F,C17)</f>
        <v>0</v>
      </c>
      <c r="I17" s="78">
        <v>0</v>
      </c>
      <c r="J17" s="79" t="str">
        <f t="shared" si="1"/>
        <v>否</v>
      </c>
    </row>
    <row r="18" customHeight="1" spans="2:10">
      <c r="B18" s="74">
        <v>15</v>
      </c>
      <c r="C18" s="77" t="str">
        <f>IF('基础-办公用品信息'!C18="","-",'基础-办公用品信息'!C18)</f>
        <v>资料册40页</v>
      </c>
      <c r="D18" s="77" t="str">
        <f>IF('基础-办公用品信息'!D18="","-",'基础-办公用品信息'!D18)</f>
        <v>本</v>
      </c>
      <c r="E18" s="77" t="str">
        <f>IF('基础-办公用品信息'!E18="","-",'基础-办公用品信息'!E18)</f>
        <v>-</v>
      </c>
      <c r="F18" s="77">
        <f>IF('基础-办公用品信息'!F18="","-",'基础-办公用品信息'!F18)</f>
        <v>6.5</v>
      </c>
      <c r="G18" s="77">
        <f t="shared" si="0"/>
        <v>32.5</v>
      </c>
      <c r="H18" s="77">
        <f>SUMIFS(期初库存!G:G,期初库存!C:C,C18)+SUMIFS('采购录入（明细）'!I:I,'采购录入（明细）'!E:E,C18)-SUMIFS('领用录入（明细）'!I:I,'领用录入（明细）'!F:F,C18)</f>
        <v>5</v>
      </c>
      <c r="I18" s="78">
        <v>5</v>
      </c>
      <c r="J18" s="79" t="str">
        <f t="shared" si="1"/>
        <v>否</v>
      </c>
    </row>
    <row r="19" customHeight="1" spans="2:10">
      <c r="B19" s="74">
        <v>17</v>
      </c>
      <c r="C19" s="77" t="str">
        <f>IF('基础-办公用品信息'!C19="","-",'基础-办公用品信息'!C19)</f>
        <v>档案袋牛皮纸（小）</v>
      </c>
      <c r="D19" s="77" t="str">
        <f>IF('基础-办公用品信息'!D19="","-",'基础-办公用品信息'!D19)</f>
        <v>只</v>
      </c>
      <c r="E19" s="77" t="str">
        <f>IF('基础-办公用品信息'!E19="","-",'基础-办公用品信息'!E19)</f>
        <v>-</v>
      </c>
      <c r="F19" s="77" t="str">
        <f>IF('基础-办公用品信息'!F19="","-",'基础-办公用品信息'!F19)</f>
        <v>-</v>
      </c>
      <c r="G19" s="77" t="str">
        <f t="shared" si="0"/>
        <v>-</v>
      </c>
      <c r="H19" s="77">
        <f>SUMIFS(期初库存!G:G,期初库存!C:C,C19)+SUMIFS('采购录入（明细）'!I:I,'采购录入（明细）'!E:E,C19)-SUMIFS('领用录入（明细）'!I:I,'领用录入（明细）'!F:F,C19)</f>
        <v>70</v>
      </c>
      <c r="I19" s="78">
        <v>5</v>
      </c>
      <c r="J19" s="79" t="str">
        <f t="shared" si="1"/>
        <v>否</v>
      </c>
    </row>
    <row r="20" customHeight="1" spans="2:10">
      <c r="B20" s="74">
        <v>19</v>
      </c>
      <c r="C20" s="77" t="str">
        <f>IF('基础-办公用品信息'!C20="","-",'基础-办公用品信息'!C20)</f>
        <v>档案盒牛皮纸</v>
      </c>
      <c r="D20" s="77" t="str">
        <f>IF('基础-办公用品信息'!D20="","-",'基础-办公用品信息'!D20)</f>
        <v>只</v>
      </c>
      <c r="E20" s="77" t="str">
        <f>IF('基础-办公用品信息'!E20="","-",'基础-办公用品信息'!E20)</f>
        <v>-</v>
      </c>
      <c r="F20" s="77" t="str">
        <f>IF('基础-办公用品信息'!F20="","-",'基础-办公用品信息'!F20)</f>
        <v>-</v>
      </c>
      <c r="G20" s="77" t="str">
        <f t="shared" si="0"/>
        <v>-</v>
      </c>
      <c r="H20" s="77">
        <f>SUMIFS(期初库存!G:G,期初库存!C:C,C20)+SUMIFS('采购录入（明细）'!I:I,'采购录入（明细）'!E:E,C20)-SUMIFS('领用录入（明细）'!I:I,'领用录入（明细）'!F:F,C20)</f>
        <v>110</v>
      </c>
      <c r="I20" s="78">
        <v>5</v>
      </c>
      <c r="J20" s="79" t="str">
        <f t="shared" si="1"/>
        <v>否</v>
      </c>
    </row>
    <row r="21" customHeight="1" spans="2:10">
      <c r="B21" s="74">
        <v>21</v>
      </c>
      <c r="C21" s="77" t="str">
        <f>IF('基础-办公用品信息'!C21="","-",'基础-办公用品信息'!C21)</f>
        <v>档案盒大塑料</v>
      </c>
      <c r="D21" s="77" t="str">
        <f>IF('基础-办公用品信息'!D21="","-",'基础-办公用品信息'!D21)</f>
        <v>只</v>
      </c>
      <c r="E21" s="77" t="str">
        <f>IF('基础-办公用品信息'!E21="","-",'基础-办公用品信息'!E21)</f>
        <v>-</v>
      </c>
      <c r="F21" s="77" t="str">
        <f>IF('基础-办公用品信息'!F21="","-",'基础-办公用品信息'!F21)</f>
        <v>-</v>
      </c>
      <c r="G21" s="77" t="str">
        <f t="shared" ref="G21:G34" si="2">IFERROR(F21*H21,"-")</f>
        <v>-</v>
      </c>
      <c r="H21" s="77">
        <f>SUMIFS(期初库存!G:G,期初库存!C:C,C21)+SUMIFS('采购录入（明细）'!I:I,'采购录入（明细）'!E:E,C21)-SUMIFS('领用录入（明细）'!I:I,'领用录入（明细）'!F:F,C21)</f>
        <v>9</v>
      </c>
      <c r="I21" s="78">
        <v>5</v>
      </c>
      <c r="J21" s="79" t="str">
        <f t="shared" ref="J21:J34" si="3">IF(I21&gt;H21,"采购","否")</f>
        <v>否</v>
      </c>
    </row>
    <row r="22" customHeight="1" spans="2:10">
      <c r="B22" s="74">
        <v>22</v>
      </c>
      <c r="C22" s="77" t="str">
        <f>IF('基础-办公用品信息'!C22="","-",'基础-办公用品信息'!C22)</f>
        <v>档案盒小塑料</v>
      </c>
      <c r="D22" s="77" t="str">
        <f>IF('基础-办公用品信息'!D22="","-",'基础-办公用品信息'!D22)</f>
        <v>只</v>
      </c>
      <c r="E22" s="77" t="str">
        <f>IF('基础-办公用品信息'!E22="","-",'基础-办公用品信息'!E22)</f>
        <v>-</v>
      </c>
      <c r="F22" s="77" t="str">
        <f>IF('基础-办公用品信息'!F22="","-",'基础-办公用品信息'!F22)</f>
        <v>-</v>
      </c>
      <c r="G22" s="77" t="str">
        <f t="shared" si="2"/>
        <v>-</v>
      </c>
      <c r="H22" s="77">
        <f>SUMIFS(期初库存!G:G,期初库存!C:C,C22)+SUMIFS('采购录入（明细）'!I:I,'采购录入（明细）'!E:E,C22)-SUMIFS('领用录入（明细）'!I:I,'领用录入（明细）'!F:F,C22)</f>
        <v>3</v>
      </c>
      <c r="I22" s="78">
        <v>1</v>
      </c>
      <c r="J22" s="79" t="str">
        <f t="shared" si="3"/>
        <v>否</v>
      </c>
    </row>
    <row r="23" customHeight="1" spans="2:10">
      <c r="B23" s="74">
        <v>23</v>
      </c>
      <c r="C23" s="77" t="str">
        <f>IF('基础-办公用品信息'!C23="","-",'基础-办公用品信息'!C23)</f>
        <v>三角抽杆文件夹 </v>
      </c>
      <c r="D23" s="77" t="str">
        <f>IF('基础-办公用品信息'!D23="","-",'基础-办公用品信息'!D23)</f>
        <v>本</v>
      </c>
      <c r="E23" s="77" t="str">
        <f>IF('基础-办公用品信息'!E23="","-",'基础-办公用品信息'!E23)</f>
        <v>-</v>
      </c>
      <c r="F23" s="77">
        <f>IF('基础-办公用品信息'!F23="","-",'基础-办公用品信息'!F23)</f>
        <v>0.55</v>
      </c>
      <c r="G23" s="77">
        <f t="shared" si="2"/>
        <v>60.5</v>
      </c>
      <c r="H23" s="77">
        <f>SUMIFS(期初库存!G:G,期初库存!C:C,C23)+SUMIFS('采购录入（明细）'!I:I,'采购录入（明细）'!E:E,C23)-SUMIFS('领用录入（明细）'!I:I,'领用录入（明细）'!F:F,C23)</f>
        <v>110</v>
      </c>
      <c r="I23" s="78">
        <v>5</v>
      </c>
      <c r="J23" s="79" t="str">
        <f t="shared" si="3"/>
        <v>否</v>
      </c>
    </row>
    <row r="24" customHeight="1" spans="2:10">
      <c r="B24" s="74">
        <v>24</v>
      </c>
      <c r="C24" s="77" t="str">
        <f>IF('基础-办公用品信息'!C24="","-",'基础-办公用品信息'!C24)</f>
        <v>塑料文件架</v>
      </c>
      <c r="D24" s="77" t="str">
        <f>IF('基础-办公用品信息'!D23="","-",'基础-办公用品信息'!D23)</f>
        <v>本</v>
      </c>
      <c r="E24" s="77" t="str">
        <f>IF('基础-办公用品信息'!E24="","-",'基础-办公用品信息'!E24)</f>
        <v>-</v>
      </c>
      <c r="F24" s="77">
        <f>IF('基础-办公用品信息'!F24="","-",'基础-办公用品信息'!F24)</f>
        <v>18</v>
      </c>
      <c r="G24" s="77">
        <f t="shared" si="2"/>
        <v>0</v>
      </c>
      <c r="H24" s="77">
        <f>SUMIFS(期初库存!G:G,期初库存!C:C,C24)+SUMIFS('采购录入（明细）'!I:I,'采购录入（明细）'!E:E,C24)-SUMIFS('领用录入（明细）'!I:I,'领用录入（明细）'!F:F,C24)</f>
        <v>0</v>
      </c>
      <c r="I24" s="78">
        <v>0</v>
      </c>
      <c r="J24" s="79" t="str">
        <f t="shared" si="3"/>
        <v>否</v>
      </c>
    </row>
    <row r="25" customHeight="1" spans="2:10">
      <c r="B25" s="74">
        <v>25</v>
      </c>
      <c r="C25" s="77" t="str">
        <f>IF('基础-办公用品信息'!C25="","-",'基础-办公用品信息'!C25)</f>
        <v>文件夹，纸板夹</v>
      </c>
      <c r="D25" s="77" t="str">
        <f>IF('基础-办公用品信息'!D24="","-",'基础-办公用品信息'!D24)</f>
        <v>只</v>
      </c>
      <c r="E25" s="77" t="str">
        <f>IF('基础-办公用品信息'!E25="","-",'基础-办公用品信息'!E25)</f>
        <v>-</v>
      </c>
      <c r="F25" s="77">
        <f>IF('基础-办公用品信息'!F25="","-",'基础-办公用品信息'!F25)</f>
        <v>5</v>
      </c>
      <c r="G25" s="77">
        <f t="shared" si="2"/>
        <v>155</v>
      </c>
      <c r="H25" s="77">
        <f>SUMIFS(期初库存!G:G,期初库存!C:C,C25)+SUMIFS('采购录入（明细）'!I:I,'采购录入（明细）'!E:E,C25)-SUMIFS('领用录入（明细）'!I:I,'领用录入（明细）'!F:F,C25)</f>
        <v>31</v>
      </c>
      <c r="I25" s="78">
        <v>5</v>
      </c>
      <c r="J25" s="79" t="str">
        <f t="shared" si="3"/>
        <v>否</v>
      </c>
    </row>
    <row r="26" customHeight="1" spans="2:10">
      <c r="B26" s="74">
        <v>26</v>
      </c>
      <c r="C26" s="77" t="str">
        <f>IF('基础-办公用品信息'!C26="","-",'基础-办公用品信息'!C26)</f>
        <v>文件夹，塑料皮</v>
      </c>
      <c r="D26" s="77" t="str">
        <f>IF('基础-办公用品信息'!D25="","-",'基础-办公用品信息'!D25)</f>
        <v>本</v>
      </c>
      <c r="E26" s="77" t="str">
        <f>IF('基础-办公用品信息'!E26="","-",'基础-办公用品信息'!E26)</f>
        <v>-</v>
      </c>
      <c r="F26" s="77">
        <f>IF('基础-办公用品信息'!F26="","-",'基础-办公用品信息'!F26)</f>
        <v>6.5</v>
      </c>
      <c r="G26" s="77">
        <f t="shared" si="2"/>
        <v>0</v>
      </c>
      <c r="H26" s="77">
        <f>SUMIFS(期初库存!G:G,期初库存!C:C,C26)+SUMIFS('采购录入（明细）'!I:I,'采购录入（明细）'!E:E,C26)-SUMIFS('领用录入（明细）'!I:I,'领用录入（明细）'!F:F,C26)</f>
        <v>0</v>
      </c>
      <c r="I26" s="78">
        <v>0</v>
      </c>
      <c r="J26" s="79" t="str">
        <f t="shared" si="3"/>
        <v>否</v>
      </c>
    </row>
    <row r="27" customHeight="1" spans="2:10">
      <c r="B27" s="74">
        <v>27</v>
      </c>
      <c r="C27" s="77" t="str">
        <f>IF('基础-办公用品信息'!C27="","-",'基础-办公用品信息'!C27)</f>
        <v>网格拉链袋</v>
      </c>
      <c r="D27" s="77" t="str">
        <f>IF('基础-办公用品信息'!D26="","-",'基础-办公用品信息'!D26)</f>
        <v>本</v>
      </c>
      <c r="E27" s="77" t="str">
        <f>IF('基础-办公用品信息'!E27="","-",'基础-办公用品信息'!E27)</f>
        <v>-</v>
      </c>
      <c r="F27" s="77" t="str">
        <f>IF('基础-办公用品信息'!F27="","-",'基础-办公用品信息'!F27)</f>
        <v>-</v>
      </c>
      <c r="G27" s="77" t="str">
        <f t="shared" si="2"/>
        <v>-</v>
      </c>
      <c r="H27" s="77">
        <f>SUMIFS(期初库存!G:G,期初库存!C:C,C27)+SUMIFS('采购录入（明细）'!I:I,'采购录入（明细）'!E:E,C27)-SUMIFS('领用录入（明细）'!I:I,'领用录入（明细）'!F:F,C27)</f>
        <v>27</v>
      </c>
      <c r="I27" s="78">
        <v>5</v>
      </c>
      <c r="J27" s="79" t="str">
        <f t="shared" si="3"/>
        <v>否</v>
      </c>
    </row>
    <row r="28" customHeight="1" spans="2:10">
      <c r="B28" s="74">
        <v>28</v>
      </c>
      <c r="C28" s="77" t="str">
        <f>IF('基础-办公用品信息'!C28="","-",'基础-办公用品信息'!C28)</f>
        <v>书写夹板A5</v>
      </c>
      <c r="D28" s="77" t="str">
        <f>IF('基础-办公用品信息'!D27="","-",'基础-办公用品信息'!D27)</f>
        <v>只</v>
      </c>
      <c r="E28" s="77" t="str">
        <f>IF('基础-办公用品信息'!E28="","-",'基础-办公用品信息'!E28)</f>
        <v>-</v>
      </c>
      <c r="F28" s="77" t="str">
        <f>IF('基础-办公用品信息'!F28="","-",'基础-办公用品信息'!F28)</f>
        <v>-</v>
      </c>
      <c r="G28" s="77" t="str">
        <f t="shared" si="2"/>
        <v>-</v>
      </c>
      <c r="H28" s="77">
        <f>SUMIFS(期初库存!G:G,期初库存!C:C,C28)+SUMIFS('采购录入（明细）'!I:I,'采购录入（明细）'!E:E,C28)-SUMIFS('领用录入（明细）'!I:I,'领用录入（明细）'!F:F,C28)</f>
        <v>0</v>
      </c>
      <c r="I28" s="78">
        <v>0</v>
      </c>
      <c r="J28" s="79" t="str">
        <f t="shared" si="3"/>
        <v>否</v>
      </c>
    </row>
    <row r="29" customHeight="1" spans="2:10">
      <c r="B29" s="74">
        <v>29</v>
      </c>
      <c r="C29" s="77" t="str">
        <f>IF('基础-办公用品信息'!C29="","-",'基础-办公用品信息'!C29)</f>
        <v>铁书挡（小）</v>
      </c>
      <c r="D29" s="77" t="str">
        <f>IF('基础-办公用品信息'!D28="","-",'基础-办公用品信息'!D28)</f>
        <v>只</v>
      </c>
      <c r="E29" s="77" t="str">
        <f>IF('基础-办公用品信息'!E29="","-",'基础-办公用品信息'!E29)</f>
        <v>-</v>
      </c>
      <c r="F29" s="77" t="str">
        <f>IF('基础-办公用品信息'!F29="","-",'基础-办公用品信息'!F29)</f>
        <v>-</v>
      </c>
      <c r="G29" s="77" t="str">
        <f t="shared" si="2"/>
        <v>-</v>
      </c>
      <c r="H29" s="77">
        <f>SUMIFS(期初库存!G:G,期初库存!C:C,C29)+SUMIFS('采购录入（明细）'!I:I,'采购录入（明细）'!E:E,C29)-SUMIFS('领用录入（明细）'!I:I,'领用录入（明细）'!F:F,C29)</f>
        <v>6</v>
      </c>
      <c r="I29" s="78">
        <v>5</v>
      </c>
      <c r="J29" s="79" t="str">
        <f t="shared" si="3"/>
        <v>否</v>
      </c>
    </row>
    <row r="30" customHeight="1" spans="2:10">
      <c r="B30" s="74">
        <v>30</v>
      </c>
      <c r="C30" s="77" t="str">
        <f>IF('基础-办公用品信息'!C30="","-",'基础-办公用品信息'!C30)</f>
        <v>铁书挡（大）</v>
      </c>
      <c r="D30" s="77" t="str">
        <f>IF('基础-办公用品信息'!D29="","-",'基础-办公用品信息'!D29)</f>
        <v>只</v>
      </c>
      <c r="E30" s="77" t="str">
        <f>IF('基础-办公用品信息'!E30="","-",'基础-办公用品信息'!E30)</f>
        <v>-</v>
      </c>
      <c r="F30" s="77" t="str">
        <f>IF('基础-办公用品信息'!F30="","-",'基础-办公用品信息'!F30)</f>
        <v>-</v>
      </c>
      <c r="G30" s="77" t="str">
        <f t="shared" si="2"/>
        <v>-</v>
      </c>
      <c r="H30" s="77">
        <f>SUMIFS(期初库存!G:G,期初库存!C:C,C30)+SUMIFS('采购录入（明细）'!I:I,'采购录入（明细）'!E:E,C30)-SUMIFS('领用录入（明细）'!I:I,'领用录入（明细）'!F:F,C30)</f>
        <v>6</v>
      </c>
      <c r="I30" s="78">
        <v>5</v>
      </c>
      <c r="J30" s="79" t="str">
        <f t="shared" si="3"/>
        <v>否</v>
      </c>
    </row>
    <row r="31" customHeight="1" spans="2:10">
      <c r="B31" s="74">
        <v>31</v>
      </c>
      <c r="C31" s="77" t="str">
        <f>IF('基础-办公用品信息'!C31="","-",'基础-办公用品信息'!C31)</f>
        <v>水笔黑色</v>
      </c>
      <c r="D31" s="77" t="str">
        <f>IF('基础-办公用品信息'!D30="","-",'基础-办公用品信息'!D30)</f>
        <v>只</v>
      </c>
      <c r="E31" s="77" t="str">
        <f>IF('基础-办公用品信息'!E31="","-",'基础-办公用品信息'!E31)</f>
        <v>-</v>
      </c>
      <c r="F31" s="77">
        <f>IF('基础-办公用品信息'!F31="","-",'基础-办公用品信息'!F31)</f>
        <v>1.3</v>
      </c>
      <c r="G31" s="77">
        <f t="shared" si="2"/>
        <v>252.2</v>
      </c>
      <c r="H31" s="77">
        <f>SUMIFS(期初库存!G:G,期初库存!C:C,C31)+SUMIFS('采购录入（明细）'!I:I,'采购录入（明细）'!E:E,C31)-SUMIFS('领用录入（明细）'!I:I,'领用录入（明细）'!F:F,C31)</f>
        <v>194</v>
      </c>
      <c r="I31" s="78">
        <v>5</v>
      </c>
      <c r="J31" s="79" t="str">
        <f t="shared" si="3"/>
        <v>否</v>
      </c>
    </row>
    <row r="32" customHeight="1" spans="2:10">
      <c r="B32" s="74">
        <v>32</v>
      </c>
      <c r="C32" s="77" t="str">
        <f>IF('基础-办公用品信息'!C32="","-",'基础-办公用品信息'!C32)</f>
        <v>水笔红色</v>
      </c>
      <c r="D32" s="77" t="str">
        <f>IF('基础-办公用品信息'!D31="","-",'基础-办公用品信息'!D31)</f>
        <v>支</v>
      </c>
      <c r="E32" s="77" t="str">
        <f>IF('基础-办公用品信息'!E32="","-",'基础-办公用品信息'!E32)</f>
        <v>-</v>
      </c>
      <c r="F32" s="77">
        <f>IF('基础-办公用品信息'!F32="","-",'基础-办公用品信息'!F32)</f>
        <v>1.3</v>
      </c>
      <c r="G32" s="77">
        <f t="shared" si="2"/>
        <v>15.6</v>
      </c>
      <c r="H32" s="77">
        <f>SUMIFS(期初库存!G:G,期初库存!C:C,C32)+SUMIFS('采购录入（明细）'!I:I,'采购录入（明细）'!E:E,C32)-SUMIFS('领用录入（明细）'!I:I,'领用录入（明细）'!F:F,C32)</f>
        <v>12</v>
      </c>
      <c r="I32" s="78">
        <v>5</v>
      </c>
      <c r="J32" s="79" t="str">
        <f t="shared" si="3"/>
        <v>否</v>
      </c>
    </row>
    <row r="33" customHeight="1" spans="2:10">
      <c r="B33" s="74">
        <v>33</v>
      </c>
      <c r="C33" s="77" t="str">
        <f>IF('基础-办公用品信息'!C33="","-",'基础-办公用品信息'!C33)</f>
        <v>按压水笔黑色</v>
      </c>
      <c r="D33" s="77" t="str">
        <f>IF('基础-办公用品信息'!D32="","-",'基础-办公用品信息'!D32)</f>
        <v>支</v>
      </c>
      <c r="E33" s="77" t="str">
        <f>IF('基础-办公用品信息'!E33="","-",'基础-办公用品信息'!E33)</f>
        <v>-</v>
      </c>
      <c r="F33" s="77">
        <f>IF('基础-办公用品信息'!F33="","-",'基础-办公用品信息'!F33)</f>
        <v>2</v>
      </c>
      <c r="G33" s="77">
        <f t="shared" si="2"/>
        <v>36</v>
      </c>
      <c r="H33" s="77">
        <f>SUMIFS(期初库存!G:G,期初库存!C:C,C33)+SUMIFS('采购录入（明细）'!I:I,'采购录入（明细）'!E:E,C33)-SUMIFS('领用录入（明细）'!I:I,'领用录入（明细）'!F:F,C33)</f>
        <v>18</v>
      </c>
      <c r="I33" s="78">
        <v>5</v>
      </c>
      <c r="J33" s="79" t="str">
        <f t="shared" si="3"/>
        <v>否</v>
      </c>
    </row>
    <row r="34" customHeight="1" spans="2:10">
      <c r="B34" s="74">
        <v>34</v>
      </c>
      <c r="C34" s="77" t="str">
        <f>IF('基础-办公用品信息'!C34="","-",'基础-办公用品信息'!C34)</f>
        <v>笔芯</v>
      </c>
      <c r="D34" s="77" t="str">
        <f>IF('基础-办公用品信息'!D33="","-",'基础-办公用品信息'!D33)</f>
        <v>支</v>
      </c>
      <c r="E34" s="77" t="str">
        <f>IF('基础-办公用品信息'!E34="","-",'基础-办公用品信息'!E34)</f>
        <v>-</v>
      </c>
      <c r="F34" s="77" t="str">
        <f>IF('基础-办公用品信息'!F34="","-",'基础-办公用品信息'!F34)</f>
        <v>-</v>
      </c>
      <c r="G34" s="77" t="str">
        <f t="shared" si="2"/>
        <v>-</v>
      </c>
      <c r="H34" s="77">
        <f>SUMIFS(期初库存!G:G,期初库存!C:C,C34)+SUMIFS('采购录入（明细）'!I:I,'采购录入（明细）'!E:E,C34)-SUMIFS('领用录入（明细）'!I:I,'领用录入（明细）'!F:F,C34)</f>
        <v>54</v>
      </c>
      <c r="I34" s="78">
        <v>5</v>
      </c>
      <c r="J34" s="79" t="str">
        <f t="shared" si="3"/>
        <v>否</v>
      </c>
    </row>
    <row r="35" customHeight="1" spans="2:10">
      <c r="B35" s="74">
        <v>38</v>
      </c>
      <c r="C35" s="77" t="str">
        <f>IF('基础-办公用品信息'!C35="","-",'基础-办公用品信息'!C35)</f>
        <v>台笔</v>
      </c>
      <c r="D35" s="77" t="str">
        <f>IF('基础-办公用品信息'!D34="","-",'基础-办公用品信息'!D34)</f>
        <v>支</v>
      </c>
      <c r="E35" s="77" t="str">
        <f>IF('基础-办公用品信息'!E35="","-",'基础-办公用品信息'!E35)</f>
        <v>-</v>
      </c>
      <c r="F35" s="77" t="str">
        <f>IF('基础-办公用品信息'!F35="","-",'基础-办公用品信息'!F35)</f>
        <v>-</v>
      </c>
      <c r="G35" s="77" t="str">
        <f t="shared" ref="G35:G76" si="4">IFERROR(F35*H35,"-")</f>
        <v>-</v>
      </c>
      <c r="H35" s="77">
        <f>SUMIFS(期初库存!G:G,期初库存!C:C,C35)+SUMIFS('采购录入（明细）'!I:I,'采购录入（明细）'!E:E,C35)-SUMIFS('领用录入（明细）'!I:I,'领用录入（明细）'!F:F,C35)</f>
        <v>3</v>
      </c>
      <c r="I35" s="78">
        <v>0</v>
      </c>
      <c r="J35" s="79" t="str">
        <f t="shared" ref="J35:J76" si="5">IF(I35&gt;H35,"采购","否")</f>
        <v>否</v>
      </c>
    </row>
    <row r="36" customHeight="1" spans="2:10">
      <c r="B36" s="74">
        <v>39</v>
      </c>
      <c r="C36" s="77" t="str">
        <f>IF('基础-办公用品信息'!C36="","-",'基础-办公用品信息'!C36)</f>
        <v>记号笔黑色</v>
      </c>
      <c r="D36" s="77" t="str">
        <f>IF('基础-办公用品信息'!D35="","-",'基础-办公用品信息'!D35)</f>
        <v>支</v>
      </c>
      <c r="E36" s="77" t="str">
        <f>IF('基础-办公用品信息'!E36="","-",'基础-办公用品信息'!E36)</f>
        <v>-</v>
      </c>
      <c r="F36" s="77">
        <f>IF('基础-办公用品信息'!F36="","-",'基础-办公用品信息'!F36)</f>
        <v>0.5</v>
      </c>
      <c r="G36" s="77">
        <f t="shared" si="4"/>
        <v>41</v>
      </c>
      <c r="H36" s="77">
        <f>SUMIFS(期初库存!G:G,期初库存!C:C,C36)+SUMIFS('采购录入（明细）'!I:I,'采购录入（明细）'!E:E,C36)-SUMIFS('领用录入（明细）'!I:I,'领用录入（明细）'!F:F,C36)</f>
        <v>82</v>
      </c>
      <c r="I36" s="78">
        <v>5</v>
      </c>
      <c r="J36" s="79" t="str">
        <f t="shared" si="5"/>
        <v>否</v>
      </c>
    </row>
    <row r="37" customHeight="1" spans="2:10">
      <c r="B37" s="74">
        <v>40</v>
      </c>
      <c r="C37" s="77" t="str">
        <f>IF('基础-办公用品信息'!C37="","-",'基础-办公用品信息'!C37)</f>
        <v>记号笔红色</v>
      </c>
      <c r="D37" s="77" t="str">
        <f>IF('基础-办公用品信息'!D36="","-",'基础-办公用品信息'!D36)</f>
        <v>支</v>
      </c>
      <c r="E37" s="77" t="str">
        <f>IF('基础-办公用品信息'!E37="","-",'基础-办公用品信息'!E37)</f>
        <v>-</v>
      </c>
      <c r="F37" s="77">
        <f>IF('基础-办公用品信息'!F37="","-",'基础-办公用品信息'!F37)</f>
        <v>0.5</v>
      </c>
      <c r="G37" s="77">
        <f t="shared" si="4"/>
        <v>49</v>
      </c>
      <c r="H37" s="77">
        <f>SUMIFS(期初库存!G:G,期初库存!C:C,C37)+SUMIFS('采购录入（明细）'!I:I,'采购录入（明细）'!E:E,C37)-SUMIFS('领用录入（明细）'!I:I,'领用录入（明细）'!F:F,C37)</f>
        <v>98</v>
      </c>
      <c r="I37" s="78">
        <v>5</v>
      </c>
      <c r="J37" s="79" t="str">
        <f t="shared" si="5"/>
        <v>否</v>
      </c>
    </row>
    <row r="38" customHeight="1" spans="2:10">
      <c r="B38" s="74">
        <v>41</v>
      </c>
      <c r="C38" s="77" t="str">
        <f>IF('基础-办公用品信息'!C38="","-",'基础-办公用品信息'!C38)</f>
        <v>扑克</v>
      </c>
      <c r="D38" s="77" t="str">
        <f>IF('基础-办公用品信息'!D37="","-",'基础-办公用品信息'!D37)</f>
        <v>支</v>
      </c>
      <c r="E38" s="77" t="str">
        <f>IF('基础-办公用品信息'!E38="","-",'基础-办公用品信息'!E38)</f>
        <v>-</v>
      </c>
      <c r="F38" s="77">
        <f>IF('基础-办公用品信息'!F38="","-",'基础-办公用品信息'!F38)</f>
        <v>1.4</v>
      </c>
      <c r="G38" s="77">
        <f t="shared" si="4"/>
        <v>64.4</v>
      </c>
      <c r="H38" s="77">
        <f>SUMIFS(期初库存!G:G,期初库存!C:C,C38)+SUMIFS('采购录入（明细）'!I:I,'采购录入（明细）'!E:E,C38)-SUMIFS('领用录入（明细）'!I:I,'领用录入（明细）'!F:F,C38)</f>
        <v>46</v>
      </c>
      <c r="I38" s="78">
        <v>5</v>
      </c>
      <c r="J38" s="79" t="str">
        <f t="shared" si="5"/>
        <v>否</v>
      </c>
    </row>
    <row r="39" customHeight="1" spans="2:10">
      <c r="B39" s="74">
        <v>42</v>
      </c>
      <c r="C39" s="77" t="str">
        <f>IF('基础-办公用品信息'!C39="","-",'基础-办公用品信息'!C39)</f>
        <v>圆珠笔蓝色</v>
      </c>
      <c r="D39" s="77" t="str">
        <f>IF('基础-办公用品信息'!D38="","-",'基础-办公用品信息'!D38)</f>
        <v>盒</v>
      </c>
      <c r="E39" s="77" t="str">
        <f>IF('基础-办公用品信息'!E39="","-",'基础-办公用品信息'!E39)</f>
        <v>-</v>
      </c>
      <c r="F39" s="77" t="str">
        <f>IF('基础-办公用品信息'!F39="","-",'基础-办公用品信息'!F39)</f>
        <v>-</v>
      </c>
      <c r="G39" s="77" t="str">
        <f t="shared" si="4"/>
        <v>-</v>
      </c>
      <c r="H39" s="77">
        <f>SUMIFS(期初库存!G:G,期初库存!C:C,C39)+SUMIFS('采购录入（明细）'!I:I,'采购录入（明细）'!E:E,C39)-SUMIFS('领用录入（明细）'!I:I,'领用录入（明细）'!F:F,C39)</f>
        <v>5</v>
      </c>
      <c r="I39" s="78">
        <v>1</v>
      </c>
      <c r="J39" s="79" t="str">
        <f t="shared" si="5"/>
        <v>否</v>
      </c>
    </row>
    <row r="40" customHeight="1" spans="2:10">
      <c r="B40" s="74">
        <v>43</v>
      </c>
      <c r="C40" s="77" t="str">
        <f>IF('基础-办公用品信息'!C40="","-",'基础-办公用品信息'!C40)</f>
        <v>铅笔</v>
      </c>
      <c r="D40" s="77" t="str">
        <f>IF('基础-办公用品信息'!D39="","-",'基础-办公用品信息'!D39)</f>
        <v>支</v>
      </c>
      <c r="E40" s="77" t="str">
        <f>IF('基础-办公用品信息'!E40="","-",'基础-办公用品信息'!E40)</f>
        <v>-</v>
      </c>
      <c r="F40" s="77" t="str">
        <f>IF('基础-办公用品信息'!F40="","-",'基础-办公用品信息'!F40)</f>
        <v>7元/盒</v>
      </c>
      <c r="G40" s="77" t="str">
        <f t="shared" si="4"/>
        <v>-</v>
      </c>
      <c r="H40" s="77">
        <f>SUMIFS(期初库存!G:G,期初库存!C:C,C40)+SUMIFS('采购录入（明细）'!I:I,'采购录入（明细）'!E:E,C40)-SUMIFS('领用录入（明细）'!I:I,'领用录入（明细）'!F:F,C40)</f>
        <v>77</v>
      </c>
      <c r="I40" s="78">
        <v>5</v>
      </c>
      <c r="J40" s="79" t="str">
        <f t="shared" si="5"/>
        <v>否</v>
      </c>
    </row>
    <row r="41" customHeight="1" spans="2:10">
      <c r="B41" s="74">
        <v>44</v>
      </c>
      <c r="C41" s="77" t="str">
        <f>IF('基础-办公用品信息'!C41="","-",'基础-办公用品信息'!C41)</f>
        <v>卷笔机</v>
      </c>
      <c r="D41" s="77" t="str">
        <f>IF('基础-办公用品信息'!D40="","-",'基础-办公用品信息'!D40)</f>
        <v>支</v>
      </c>
      <c r="E41" s="77" t="str">
        <f>IF('基础-办公用品信息'!E41="","-",'基础-办公用品信息'!E41)</f>
        <v>-</v>
      </c>
      <c r="F41" s="77">
        <f>IF('基础-办公用品信息'!F41="","-",'基础-办公用品信息'!F41)</f>
        <v>16</v>
      </c>
      <c r="G41" s="77">
        <f t="shared" si="4"/>
        <v>96</v>
      </c>
      <c r="H41" s="77">
        <f>SUMIFS(期初库存!G:G,期初库存!C:C,C41)+SUMIFS('采购录入（明细）'!I:I,'采购录入（明细）'!E:E,C41)-SUMIFS('领用录入（明细）'!I:I,'领用录入（明细）'!F:F,C41)</f>
        <v>6</v>
      </c>
      <c r="I41" s="78">
        <v>5</v>
      </c>
      <c r="J41" s="79" t="str">
        <f t="shared" si="5"/>
        <v>否</v>
      </c>
    </row>
    <row r="42" customHeight="1" spans="2:10">
      <c r="B42" s="74">
        <v>45</v>
      </c>
      <c r="C42" s="77" t="str">
        <f>IF('基础-办公用品信息'!C42="","-",'基础-办公用品信息'!C42)</f>
        <v>卷笔刀</v>
      </c>
      <c r="D42" s="77" t="str">
        <f>IF('基础-办公用品信息'!D41="","-",'基础-办公用品信息'!D41)</f>
        <v>个</v>
      </c>
      <c r="E42" s="77" t="str">
        <f>IF('基础-办公用品信息'!E42="","-",'基础-办公用品信息'!E42)</f>
        <v>-</v>
      </c>
      <c r="F42" s="77">
        <f>IF('基础-办公用品信息'!F42="","-",'基础-办公用品信息'!F42)</f>
        <v>0.8</v>
      </c>
      <c r="G42" s="77">
        <f t="shared" si="4"/>
        <v>10.4</v>
      </c>
      <c r="H42" s="77">
        <f>SUMIFS(期初库存!G:G,期初库存!C:C,C42)+SUMIFS('采购录入（明细）'!I:I,'采购录入（明细）'!E:E,C42)-SUMIFS('领用录入（明细）'!I:I,'领用录入（明细）'!F:F,C42)</f>
        <v>13</v>
      </c>
      <c r="I42" s="78">
        <v>5</v>
      </c>
      <c r="J42" s="79" t="str">
        <f t="shared" si="5"/>
        <v>否</v>
      </c>
    </row>
    <row r="43" customHeight="1" spans="2:10">
      <c r="B43" s="74">
        <v>46</v>
      </c>
      <c r="C43" s="77" t="str">
        <f>IF('基础-办公用品信息'!C43="","-",'基础-办公用品信息'!C43)</f>
        <v>橡皮</v>
      </c>
      <c r="D43" s="77" t="str">
        <f>IF('基础-办公用品信息'!D42="","-",'基础-办公用品信息'!D42)</f>
        <v>个</v>
      </c>
      <c r="E43" s="77" t="str">
        <f>IF('基础-办公用品信息'!E43="","-",'基础-办公用品信息'!E43)</f>
        <v>-</v>
      </c>
      <c r="F43" s="77" t="str">
        <f>IF('基础-办公用品信息'!F43="","-",'基础-办公用品信息'!F43)</f>
        <v>-</v>
      </c>
      <c r="G43" s="77" t="str">
        <f t="shared" si="4"/>
        <v>-</v>
      </c>
      <c r="H43" s="77">
        <f>SUMIFS(期初库存!G:G,期初库存!C:C,C43)+SUMIFS('采购录入（明细）'!I:I,'采购录入（明细）'!E:E,C43)-SUMIFS('领用录入（明细）'!I:I,'领用录入（明细）'!F:F,C43)</f>
        <v>12</v>
      </c>
      <c r="I43" s="78">
        <v>5</v>
      </c>
      <c r="J43" s="79" t="str">
        <f t="shared" si="5"/>
        <v>否</v>
      </c>
    </row>
    <row r="44" customHeight="1" spans="2:10">
      <c r="B44" s="74">
        <v>47</v>
      </c>
      <c r="C44" s="77" t="str">
        <f>IF('基础-办公用品信息'!C44="","-",'基础-办公用品信息'!C44)</f>
        <v>美工刀</v>
      </c>
      <c r="D44" s="77" t="str">
        <f>IF('基础-办公用品信息'!D43="","-",'基础-办公用品信息'!D43)</f>
        <v>个</v>
      </c>
      <c r="E44" s="77" t="str">
        <f>IF('基础-办公用品信息'!E44="","-",'基础-办公用品信息'!E44)</f>
        <v>-</v>
      </c>
      <c r="F44" s="77" t="str">
        <f>IF('基础-办公用品信息'!F44="","-",'基础-办公用品信息'!F44)</f>
        <v>-</v>
      </c>
      <c r="G44" s="77" t="str">
        <f t="shared" si="4"/>
        <v>-</v>
      </c>
      <c r="H44" s="77">
        <f>SUMIFS(期初库存!G:G,期初库存!C:C,C44)+SUMIFS('采购录入（明细）'!I:I,'采购录入（明细）'!E:E,C44)-SUMIFS('领用录入（明细）'!I:I,'领用录入（明细）'!F:F,C44)</f>
        <v>10</v>
      </c>
      <c r="I44" s="78">
        <v>5</v>
      </c>
      <c r="J44" s="79" t="str">
        <f t="shared" si="5"/>
        <v>否</v>
      </c>
    </row>
    <row r="45" customHeight="1" spans="2:10">
      <c r="B45" s="74">
        <v>48</v>
      </c>
      <c r="C45" s="77" t="str">
        <f>IF('基础-办公用品信息'!C45="","-",'基础-办公用品信息'!C45)</f>
        <v>剪刀</v>
      </c>
      <c r="D45" s="77" t="str">
        <f>IF('基础-办公用品信息'!D44="","-",'基础-办公用品信息'!D44)</f>
        <v>把</v>
      </c>
      <c r="E45" s="77" t="str">
        <f>IF('基础-办公用品信息'!E45="","-",'基础-办公用品信息'!E45)</f>
        <v>-</v>
      </c>
      <c r="F45" s="77">
        <f>IF('基础-办公用品信息'!F45="","-",'基础-办公用品信息'!F45)</f>
        <v>3.5</v>
      </c>
      <c r="G45" s="77">
        <f t="shared" si="4"/>
        <v>80.5</v>
      </c>
      <c r="H45" s="77">
        <f>SUMIFS(期初库存!G:G,期初库存!C:C,C45)+SUMIFS('采购录入（明细）'!I:I,'采购录入（明细）'!E:E,C45)-SUMIFS('领用录入（明细）'!I:I,'领用录入（明细）'!F:F,C45)</f>
        <v>23</v>
      </c>
      <c r="I45" s="78">
        <v>5</v>
      </c>
      <c r="J45" s="79" t="str">
        <f t="shared" si="5"/>
        <v>否</v>
      </c>
    </row>
    <row r="46" customHeight="1" spans="2:10">
      <c r="B46" s="74">
        <v>49</v>
      </c>
      <c r="C46" s="77" t="str">
        <f>IF('基础-办公用品信息'!C46="","-",'基础-办公用品信息'!C46)</f>
        <v>起钉器</v>
      </c>
      <c r="D46" s="77" t="str">
        <f>IF('基础-办公用品信息'!D45="","-",'基础-办公用品信息'!D45)</f>
        <v>把</v>
      </c>
      <c r="E46" s="77" t="str">
        <f>IF('基础-办公用品信息'!E46="","-",'基础-办公用品信息'!E46)</f>
        <v>-</v>
      </c>
      <c r="F46" s="77">
        <f>IF('基础-办公用品信息'!F46="","-",'基础-办公用品信息'!F46)</f>
        <v>2</v>
      </c>
      <c r="G46" s="77">
        <f t="shared" si="4"/>
        <v>20</v>
      </c>
      <c r="H46" s="77">
        <f>SUMIFS(期初库存!G:G,期初库存!C:C,C46)+SUMIFS('采购录入（明细）'!I:I,'采购录入（明细）'!E:E,C46)-SUMIFS('领用录入（明细）'!I:I,'领用录入（明细）'!F:F,C46)</f>
        <v>10</v>
      </c>
      <c r="I46" s="78">
        <v>5</v>
      </c>
      <c r="J46" s="79" t="str">
        <f t="shared" si="5"/>
        <v>否</v>
      </c>
    </row>
    <row r="47" customHeight="1" spans="2:10">
      <c r="B47" s="74">
        <v>50</v>
      </c>
      <c r="C47" s="77" t="str">
        <f>IF('基础-办公用品信息'!C47="","-",'基础-办公用品信息'!C47)</f>
        <v>订书机</v>
      </c>
      <c r="D47" s="77" t="str">
        <f>IF('基础-办公用品信息'!D46="","-",'基础-办公用品信息'!D46)</f>
        <v>个</v>
      </c>
      <c r="E47" s="77" t="str">
        <f>IF('基础-办公用品信息'!E47="","-",'基础-办公用品信息'!E47)</f>
        <v>-</v>
      </c>
      <c r="F47" s="77">
        <f>IF('基础-办公用品信息'!F47="","-",'基础-办公用品信息'!F47)</f>
        <v>7</v>
      </c>
      <c r="G47" s="77">
        <f t="shared" si="4"/>
        <v>63</v>
      </c>
      <c r="H47" s="77">
        <f>SUMIFS(期初库存!G:G,期初库存!C:C,C47)+SUMIFS('采购录入（明细）'!I:I,'采购录入（明细）'!E:E,C47)-SUMIFS('领用录入（明细）'!I:I,'领用录入（明细）'!F:F,C47)</f>
        <v>9</v>
      </c>
      <c r="I47" s="78">
        <v>5</v>
      </c>
      <c r="J47" s="79" t="str">
        <f t="shared" si="5"/>
        <v>否</v>
      </c>
    </row>
    <row r="48" customHeight="1" spans="2:10">
      <c r="B48" s="74">
        <v>51</v>
      </c>
      <c r="C48" s="77" t="str">
        <f>IF('基础-办公用品信息'!C48="","-",'基础-办公用品信息'!C48)</f>
        <v>订书钉</v>
      </c>
      <c r="D48" s="77" t="str">
        <f>IF('基础-办公用品信息'!D47="","-",'基础-办公用品信息'!D47)</f>
        <v>个</v>
      </c>
      <c r="E48" s="77" t="str">
        <f>IF('基础-办公用品信息'!E48="","-",'基础-办公用品信息'!E48)</f>
        <v>-</v>
      </c>
      <c r="F48" s="77">
        <f>IF('基础-办公用品信息'!F48="","-",'基础-办公用品信息'!F48)</f>
        <v>0.7</v>
      </c>
      <c r="G48" s="77">
        <f t="shared" si="4"/>
        <v>54.6</v>
      </c>
      <c r="H48" s="77">
        <f>SUMIFS(期初库存!G:G,期初库存!C:C,C48)+SUMIFS('采购录入（明细）'!I:I,'采购录入（明细）'!E:E,C48)-SUMIFS('领用录入（明细）'!I:I,'领用录入（明细）'!F:F,C48)</f>
        <v>78</v>
      </c>
      <c r="I48" s="78">
        <v>5</v>
      </c>
      <c r="J48" s="79" t="str">
        <f t="shared" si="5"/>
        <v>否</v>
      </c>
    </row>
    <row r="49" customHeight="1" spans="2:10">
      <c r="B49" s="74">
        <v>54</v>
      </c>
      <c r="C49" s="77" t="str">
        <f>IF('基础-办公用品信息'!C49="","-",'基础-办公用品信息'!C49)</f>
        <v>回形针</v>
      </c>
      <c r="D49" s="77" t="str">
        <f>IF('基础-办公用品信息'!D48="","-",'基础-办公用品信息'!D48)</f>
        <v>盒</v>
      </c>
      <c r="E49" s="77" t="str">
        <f>IF('基础-办公用品信息'!E49="","-",'基础-办公用品信息'!E49)</f>
        <v>-</v>
      </c>
      <c r="F49" s="77">
        <f>IF('基础-办公用品信息'!F49="","-",'基础-办公用品信息'!F49)</f>
        <v>0.7</v>
      </c>
      <c r="G49" s="77">
        <f t="shared" si="4"/>
        <v>5.6</v>
      </c>
      <c r="H49" s="77">
        <f>SUMIFS(期初库存!G:G,期初库存!C:C,C49)+SUMIFS('采购录入（明细）'!I:I,'采购录入（明细）'!E:E,C49)-SUMIFS('领用录入（明细）'!I:I,'领用录入（明细）'!F:F,C49)</f>
        <v>8</v>
      </c>
      <c r="I49" s="78">
        <v>5</v>
      </c>
      <c r="J49" s="79" t="str">
        <f t="shared" si="5"/>
        <v>否</v>
      </c>
    </row>
    <row r="50" customHeight="1" spans="2:10">
      <c r="B50" s="74">
        <v>55</v>
      </c>
      <c r="C50" s="77" t="str">
        <f>IF('基础-办公用品信息'!C50="","-",'基础-办公用品信息'!C50)</f>
        <v>计算器</v>
      </c>
      <c r="D50" s="77" t="str">
        <f>IF('基础-办公用品信息'!D49="","-",'基础-办公用品信息'!D49)</f>
        <v>盒</v>
      </c>
      <c r="E50" s="77" t="str">
        <f>IF('基础-办公用品信息'!E50="","-",'基础-办公用品信息'!E50)</f>
        <v>-</v>
      </c>
      <c r="F50" s="77">
        <f>IF('基础-办公用品信息'!F50="","-",'基础-办公用品信息'!F50)</f>
        <v>13</v>
      </c>
      <c r="G50" s="77">
        <f t="shared" si="4"/>
        <v>117</v>
      </c>
      <c r="H50" s="77">
        <f>SUMIFS(期初库存!G:G,期初库存!C:C,C50)+SUMIFS('采购录入（明细）'!I:I,'采购录入（明细）'!E:E,C50)-SUMIFS('领用录入（明细）'!I:I,'领用录入（明细）'!F:F,C50)</f>
        <v>9</v>
      </c>
      <c r="I50" s="78">
        <v>5</v>
      </c>
      <c r="J50" s="79" t="str">
        <f t="shared" si="5"/>
        <v>否</v>
      </c>
    </row>
    <row r="51" customHeight="1" spans="2:10">
      <c r="B51" s="74">
        <v>56</v>
      </c>
      <c r="C51" s="77" t="str">
        <f>IF('基础-办公用品信息'!C51="","-",'基础-办公用品信息'!C51)</f>
        <v>笔筒圆形</v>
      </c>
      <c r="D51" s="77" t="str">
        <f>IF('基础-办公用品信息'!D50="","-",'基础-办公用品信息'!D50)</f>
        <v>个</v>
      </c>
      <c r="E51" s="77" t="str">
        <f>IF('基础-办公用品信息'!E51="","-",'基础-办公用品信息'!E51)</f>
        <v>-</v>
      </c>
      <c r="F51" s="77">
        <f>IF('基础-办公用品信息'!F51="","-",'基础-办公用品信息'!F51)</f>
        <v>4</v>
      </c>
      <c r="G51" s="77">
        <f t="shared" si="4"/>
        <v>80</v>
      </c>
      <c r="H51" s="77">
        <f>SUMIFS(期初库存!G:G,期初库存!C:C,C51)+SUMIFS('采购录入（明细）'!I:I,'采购录入（明细）'!E:E,C51)-SUMIFS('领用录入（明细）'!I:I,'领用录入（明细）'!F:F,C51)</f>
        <v>20</v>
      </c>
      <c r="I51" s="78">
        <v>5</v>
      </c>
      <c r="J51" s="79" t="str">
        <f t="shared" si="5"/>
        <v>否</v>
      </c>
    </row>
    <row r="52" customHeight="1" spans="2:10">
      <c r="B52" s="74">
        <v>57</v>
      </c>
      <c r="C52" s="77" t="str">
        <f>IF('基础-办公用品信息'!C52="","-",'基础-办公用品信息'!C52)</f>
        <v>笔筒方形</v>
      </c>
      <c r="D52" s="77" t="str">
        <f>IF('基础-办公用品信息'!D51="","-",'基础-办公用品信息'!D51)</f>
        <v>个</v>
      </c>
      <c r="E52" s="77" t="str">
        <f>IF('基础-办公用品信息'!E52="","-",'基础-办公用品信息'!E52)</f>
        <v>-</v>
      </c>
      <c r="F52" s="77">
        <f>IF('基础-办公用品信息'!F52="","-",'基础-办公用品信息'!F52)</f>
        <v>4</v>
      </c>
      <c r="G52" s="77">
        <f t="shared" si="4"/>
        <v>8</v>
      </c>
      <c r="H52" s="77">
        <f>SUMIFS(期初库存!G:G,期初库存!C:C,C52)+SUMIFS('采购录入（明细）'!I:I,'采购录入（明细）'!E:E,C52)-SUMIFS('领用录入（明细）'!I:I,'领用录入（明细）'!F:F,C52)</f>
        <v>2</v>
      </c>
      <c r="I52" s="78">
        <v>1</v>
      </c>
      <c r="J52" s="79" t="str">
        <f t="shared" si="5"/>
        <v>否</v>
      </c>
    </row>
    <row r="53" customHeight="1" spans="2:10">
      <c r="B53" s="74">
        <v>58</v>
      </c>
      <c r="C53" s="77" t="str">
        <f>IF('基础-办公用品信息'!C53="","-",'基础-办公用品信息'!C53)</f>
        <v>液体胶水</v>
      </c>
      <c r="D53" s="77" t="str">
        <f>IF('基础-办公用品信息'!D52="","-",'基础-办公用品信息'!D52)</f>
        <v>个</v>
      </c>
      <c r="E53" s="77" t="str">
        <f>IF('基础-办公用品信息'!E53="","-",'基础-办公用品信息'!E53)</f>
        <v>-</v>
      </c>
      <c r="F53" s="77">
        <f>IF('基础-办公用品信息'!F53="","-",'基础-办公用品信息'!F53)</f>
        <v>1</v>
      </c>
      <c r="G53" s="77">
        <f t="shared" si="4"/>
        <v>12</v>
      </c>
      <c r="H53" s="77">
        <f>SUMIFS(期初库存!G:G,期初库存!C:C,C53)+SUMIFS('采购录入（明细）'!I:I,'采购录入（明细）'!E:E,C53)-SUMIFS('领用录入（明细）'!I:I,'领用录入（明细）'!F:F,C53)</f>
        <v>12</v>
      </c>
      <c r="I53" s="78">
        <v>5</v>
      </c>
      <c r="J53" s="79" t="str">
        <f t="shared" si="5"/>
        <v>否</v>
      </c>
    </row>
    <row r="54" customHeight="1" spans="2:10">
      <c r="B54" s="74">
        <v>59</v>
      </c>
      <c r="C54" s="77" t="str">
        <f>IF('基础-办公用品信息'!C54="","-",'基础-办公用品信息'!C54)</f>
        <v>固体胶水</v>
      </c>
      <c r="D54" s="77" t="str">
        <f>IF('基础-办公用品信息'!D53="","-",'基础-办公用品信息'!D53)</f>
        <v>支</v>
      </c>
      <c r="E54" s="77" t="str">
        <f>IF('基础-办公用品信息'!E54="","-",'基础-办公用品信息'!E54)</f>
        <v>-</v>
      </c>
      <c r="F54" s="77">
        <f>IF('基础-办公用品信息'!F54="","-",'基础-办公用品信息'!F54)</f>
        <v>1</v>
      </c>
      <c r="G54" s="77">
        <f t="shared" si="4"/>
        <v>19</v>
      </c>
      <c r="H54" s="77">
        <f>SUMIFS(期初库存!G:G,期初库存!C:C,C54)+SUMIFS('采购录入（明细）'!I:I,'采购录入（明细）'!E:E,C54)-SUMIFS('领用录入（明细）'!I:I,'领用录入（明细）'!F:F,C54)</f>
        <v>19</v>
      </c>
      <c r="I54" s="78">
        <v>5</v>
      </c>
      <c r="J54" s="79" t="str">
        <f t="shared" si="5"/>
        <v>否</v>
      </c>
    </row>
    <row r="55" customHeight="1" spans="2:10">
      <c r="B55" s="74">
        <v>60</v>
      </c>
      <c r="C55" s="77" t="str">
        <f>IF('基础-办公用品信息'!C55="","-",'基础-办公用品信息'!C55)</f>
        <v>三棱尺</v>
      </c>
      <c r="D55" s="77" t="str">
        <f>IF('基础-办公用品信息'!D54="","-",'基础-办公用品信息'!D54)</f>
        <v>支</v>
      </c>
      <c r="E55" s="77" t="str">
        <f>IF('基础-办公用品信息'!E55="","-",'基础-办公用品信息'!E55)</f>
        <v>-</v>
      </c>
      <c r="F55" s="77" t="str">
        <f>IF('基础-办公用品信息'!F55="","-",'基础-办公用品信息'!F55)</f>
        <v>-</v>
      </c>
      <c r="G55" s="77" t="str">
        <f t="shared" si="4"/>
        <v>-</v>
      </c>
      <c r="H55" s="77">
        <f>SUMIFS(期初库存!G:G,期初库存!C:C,C55)+SUMIFS('采购录入（明细）'!I:I,'采购录入（明细）'!E:E,C55)-SUMIFS('领用录入（明细）'!I:I,'领用录入（明细）'!F:F,C55)</f>
        <v>1</v>
      </c>
      <c r="I55" s="78">
        <v>1</v>
      </c>
      <c r="J55" s="79" t="str">
        <f t="shared" si="5"/>
        <v>否</v>
      </c>
    </row>
    <row r="56" customHeight="1" spans="2:10">
      <c r="B56" s="74">
        <v>61</v>
      </c>
      <c r="C56" s="77" t="str">
        <f>IF('基础-办公用品信息'!C56="","-",'基础-办公用品信息'!C56)</f>
        <v>透明直尺40cm</v>
      </c>
      <c r="D56" s="77" t="str">
        <f>IF('基础-办公用品信息'!D55="","-",'基础-办公用品信息'!D55)</f>
        <v>把</v>
      </c>
      <c r="E56" s="77" t="str">
        <f>IF('基础-办公用品信息'!E56="","-",'基础-办公用品信息'!E56)</f>
        <v>-</v>
      </c>
      <c r="F56" s="77" t="str">
        <f>IF('基础-办公用品信息'!F56="","-",'基础-办公用品信息'!F56)</f>
        <v>-</v>
      </c>
      <c r="G56" s="77" t="str">
        <f t="shared" si="4"/>
        <v>-</v>
      </c>
      <c r="H56" s="77">
        <f>SUMIFS(期初库存!G:G,期初库存!C:C,C56)+SUMIFS('采购录入（明细）'!I:I,'采购录入（明细）'!E:E,C56)-SUMIFS('领用录入（明细）'!I:I,'领用录入（明细）'!F:F,C56)</f>
        <v>10</v>
      </c>
      <c r="I56" s="78">
        <v>2</v>
      </c>
      <c r="J56" s="79" t="str">
        <f t="shared" si="5"/>
        <v>否</v>
      </c>
    </row>
    <row r="57" customHeight="1" spans="2:10">
      <c r="B57" s="74">
        <v>62</v>
      </c>
      <c r="C57" s="77" t="str">
        <f>IF('基础-办公用品信息'!C57="","-",'基础-办公用品信息'!C57)</f>
        <v>卷尺10m</v>
      </c>
      <c r="D57" s="77" t="str">
        <f>IF('基础-办公用品信息'!D56="","-",'基础-办公用品信息'!D56)</f>
        <v>把</v>
      </c>
      <c r="E57" s="77" t="str">
        <f>IF('基础-办公用品信息'!E57="","-",'基础-办公用品信息'!E57)</f>
        <v>-</v>
      </c>
      <c r="F57" s="77" t="str">
        <f>IF('基础-办公用品信息'!F57="","-",'基础-办公用品信息'!F57)</f>
        <v>-</v>
      </c>
      <c r="G57" s="77" t="str">
        <f t="shared" si="4"/>
        <v>-</v>
      </c>
      <c r="H57" s="77">
        <f>SUMIFS(期初库存!G:G,期初库存!C:C,C57)+SUMIFS('采购录入（明细）'!I:I,'采购录入（明细）'!E:E,C57)-SUMIFS('领用录入（明细）'!I:I,'领用录入（明细）'!F:F,C57)</f>
        <v>0</v>
      </c>
      <c r="I57" s="78">
        <v>0</v>
      </c>
      <c r="J57" s="79" t="str">
        <f t="shared" si="5"/>
        <v>否</v>
      </c>
    </row>
    <row r="58" customHeight="1" spans="2:10">
      <c r="B58" s="74">
        <v>63</v>
      </c>
      <c r="C58" s="77" t="str">
        <f>IF('基础-办公用品信息'!C58="","-",'基础-办公用品信息'!C58)</f>
        <v>卷尺5m</v>
      </c>
      <c r="D58" s="77" t="str">
        <f>IF('基础-办公用品信息'!D57="","-",'基础-办公用品信息'!D57)</f>
        <v>个</v>
      </c>
      <c r="E58" s="77" t="str">
        <f>IF('基础-办公用品信息'!E58="","-",'基础-办公用品信息'!E58)</f>
        <v>-</v>
      </c>
      <c r="F58" s="77">
        <f>IF('基础-办公用品信息'!F58="","-",'基础-办公用品信息'!F58)</f>
        <v>9</v>
      </c>
      <c r="G58" s="77">
        <f t="shared" si="4"/>
        <v>198</v>
      </c>
      <c r="H58" s="77">
        <f>SUMIFS(期初库存!G:G,期初库存!C:C,C58)+SUMIFS('采购录入（明细）'!I:I,'采购录入（明细）'!E:E,C58)-SUMIFS('领用录入（明细）'!I:I,'领用录入（明细）'!F:F,C58)</f>
        <v>22</v>
      </c>
      <c r="I58" s="78">
        <v>5</v>
      </c>
      <c r="J58" s="79" t="str">
        <f t="shared" si="5"/>
        <v>否</v>
      </c>
    </row>
    <row r="59" customHeight="1" spans="2:10">
      <c r="B59" s="74">
        <v>64</v>
      </c>
      <c r="C59" s="77" t="str">
        <f>IF('基础-办公用品信息'!C59="","-",'基础-办公用品信息'!C59)</f>
        <v>卷尺2m</v>
      </c>
      <c r="D59" s="77" t="str">
        <f>IF('基础-办公用品信息'!D58="","-",'基础-办公用品信息'!D58)</f>
        <v>个</v>
      </c>
      <c r="E59" s="77" t="str">
        <f>IF('基础-办公用品信息'!E59="","-",'基础-办公用品信息'!E59)</f>
        <v>-</v>
      </c>
      <c r="F59" s="77" t="str">
        <f>IF('基础-办公用品信息'!F59="","-",'基础-办公用品信息'!F59)</f>
        <v>-</v>
      </c>
      <c r="G59" s="77" t="str">
        <f t="shared" ref="G59:G90" si="6">IFERROR(F59*H59,"-")</f>
        <v>-</v>
      </c>
      <c r="H59" s="77">
        <f>SUMIFS(期初库存!G:G,期初库存!C:C,C59)+SUMIFS('采购录入（明细）'!I:I,'采购录入（明细）'!E:E,C59)-SUMIFS('领用录入（明细）'!I:I,'领用录入（明细）'!F:F,C59)</f>
        <v>1</v>
      </c>
      <c r="I59" s="78">
        <v>1</v>
      </c>
      <c r="J59" s="79" t="str">
        <f t="shared" si="5"/>
        <v>否</v>
      </c>
    </row>
    <row r="60" customHeight="1" spans="2:10">
      <c r="B60" s="74">
        <v>67</v>
      </c>
      <c r="C60" s="77" t="str">
        <f>IF('基础-办公用品信息'!C60="","-",'基础-办公用品信息'!C60)</f>
        <v>电池南孚5号</v>
      </c>
      <c r="D60" s="77" t="str">
        <f>IF('基础-办公用品信息'!D61="","-",'基础-办公用品信息'!D61)</f>
        <v>节</v>
      </c>
      <c r="E60" s="77" t="str">
        <f>IF('基础-办公用品信息'!E60="","-",'基础-办公用品信息'!E60)</f>
        <v>-</v>
      </c>
      <c r="F60" s="77">
        <f>IF('基础-办公用品信息'!F60="","-",'基础-办公用品信息'!F60)</f>
        <v>2.1</v>
      </c>
      <c r="G60" s="77">
        <f t="shared" si="6"/>
        <v>285.6</v>
      </c>
      <c r="H60" s="77">
        <f>SUMIFS(期初库存!G:G,期初库存!C:C,C60)+SUMIFS('采购录入（明细）'!I:I,'采购录入（明细）'!E:E,C60)-SUMIFS('领用录入（明细）'!I:I,'领用录入（明细）'!F:F,C60)</f>
        <v>136</v>
      </c>
      <c r="I60" s="78">
        <v>5</v>
      </c>
      <c r="J60" s="79" t="str">
        <f t="shared" si="5"/>
        <v>否</v>
      </c>
    </row>
    <row r="61" customHeight="1" spans="2:10">
      <c r="B61" s="74">
        <v>68</v>
      </c>
      <c r="C61" s="77" t="str">
        <f>IF('基础-办公用品信息'!C61="","-",'基础-办公用品信息'!C61)</f>
        <v>电池双鹿7号</v>
      </c>
      <c r="D61" s="77" t="str">
        <f>IF('基础-办公用品信息'!D62="","-",'基础-办公用品信息'!D62)</f>
        <v>节</v>
      </c>
      <c r="E61" s="77" t="str">
        <f>IF('基础-办公用品信息'!E61="","-",'基础-办公用品信息'!E61)</f>
        <v>-</v>
      </c>
      <c r="F61" s="77" t="str">
        <f>IF('基础-办公用品信息'!F61="","-",'基础-办公用品信息'!F61)</f>
        <v>-</v>
      </c>
      <c r="G61" s="77" t="str">
        <f t="shared" si="6"/>
        <v>-</v>
      </c>
      <c r="H61" s="77">
        <f>SUMIFS(期初库存!G:G,期初库存!C:C,C61)+SUMIFS('采购录入（明细）'!I:I,'采购录入（明细）'!E:E,C61)-SUMIFS('领用录入（明细）'!I:I,'领用录入（明细）'!F:F,C61)</f>
        <v>111</v>
      </c>
      <c r="I61" s="78">
        <v>10</v>
      </c>
      <c r="J61" s="79" t="str">
        <f t="shared" si="5"/>
        <v>否</v>
      </c>
    </row>
    <row r="62" customHeight="1" spans="2:10">
      <c r="B62" s="74">
        <v>69</v>
      </c>
      <c r="C62" s="77" t="str">
        <f>IF('基础-办公用品信息'!C62="","-",'基础-办公用品信息'!C62)</f>
        <v>电池南孚23A</v>
      </c>
      <c r="D62" s="77" t="str">
        <f>IF('基础-办公用品信息'!D63="","-",'基础-办公用品信息'!D63)</f>
        <v>节</v>
      </c>
      <c r="E62" s="77" t="str">
        <f>IF('基础-办公用品信息'!E62="","-",'基础-办公用品信息'!E62)</f>
        <v>-</v>
      </c>
      <c r="F62" s="77" t="str">
        <f>IF('基础-办公用品信息'!F62="","-",'基础-办公用品信息'!F62)</f>
        <v>-</v>
      </c>
      <c r="G62" s="77" t="str">
        <f t="shared" si="6"/>
        <v>-</v>
      </c>
      <c r="H62" s="77">
        <f>SUMIFS(期初库存!G:G,期初库存!C:C,C62)+SUMIFS('采购录入（明细）'!I:I,'采购录入（明细）'!E:E,C62)-SUMIFS('领用录入（明细）'!I:I,'领用录入（明细）'!F:F,C62)</f>
        <v>8</v>
      </c>
      <c r="I62" s="78">
        <v>5</v>
      </c>
      <c r="J62" s="79" t="str">
        <f t="shared" si="5"/>
        <v>否</v>
      </c>
    </row>
    <row r="63" customHeight="1" spans="2:10">
      <c r="B63" s="74">
        <v>70</v>
      </c>
      <c r="C63" s="77" t="str">
        <f>IF('基础-办公用品信息'!C63="","-",'基础-办公用品信息'!C63)</f>
        <v>电池南孚27A</v>
      </c>
      <c r="D63" s="77" t="str">
        <f>IF('基础-办公用品信息'!D64="","-",'基础-办公用品信息'!D64)</f>
        <v>盒</v>
      </c>
      <c r="E63" s="77" t="str">
        <f>IF('基础-办公用品信息'!E63="","-",'基础-办公用品信息'!E63)</f>
        <v>-</v>
      </c>
      <c r="F63" s="77" t="str">
        <f>IF('基础-办公用品信息'!F63="","-",'基础-办公用品信息'!F63)</f>
        <v>-</v>
      </c>
      <c r="G63" s="77" t="str">
        <f t="shared" si="6"/>
        <v>-</v>
      </c>
      <c r="H63" s="77">
        <f>SUMIFS(期初库存!G:G,期初库存!C:C,C63)+SUMIFS('采购录入（明细）'!I:I,'采购录入（明细）'!E:E,C63)-SUMIFS('领用录入（明细）'!I:I,'领用录入（明细）'!F:F,C63)</f>
        <v>53</v>
      </c>
      <c r="I63" s="78">
        <v>5</v>
      </c>
      <c r="J63" s="79" t="str">
        <f t="shared" si="5"/>
        <v>否</v>
      </c>
    </row>
    <row r="64" customHeight="1" spans="2:10">
      <c r="B64" s="74">
        <v>71</v>
      </c>
      <c r="C64" s="77" t="str">
        <f>IF('基础-办公用品信息'!C64="","-",'基础-办公用品信息'!C64)</f>
        <v>彩色长尾票夹5851</v>
      </c>
      <c r="D64" s="77" t="str">
        <f>IF('基础-办公用品信息'!D65="","-",'基础-办公用品信息'!D65)</f>
        <v>盒</v>
      </c>
      <c r="E64" s="77" t="str">
        <f>IF('基础-办公用品信息'!E64="","-",'基础-办公用品信息'!E64)</f>
        <v>-</v>
      </c>
      <c r="F64" s="77">
        <f>IF('基础-办公用品信息'!F64="","-",'基础-办公用品信息'!F64)</f>
        <v>11</v>
      </c>
      <c r="G64" s="77">
        <f t="shared" si="6"/>
        <v>110</v>
      </c>
      <c r="H64" s="77">
        <f>SUMIFS(期初库存!G:G,期初库存!C:C,C64)+SUMIFS('采购录入（明细）'!I:I,'采购录入（明细）'!E:E,C64)-SUMIFS('领用录入（明细）'!I:I,'领用录入（明细）'!F:F,C64)</f>
        <v>10</v>
      </c>
      <c r="I64" s="78">
        <v>1</v>
      </c>
      <c r="J64" s="79" t="str">
        <f t="shared" si="5"/>
        <v>否</v>
      </c>
    </row>
    <row r="65" customHeight="1" spans="2:10">
      <c r="B65" s="74">
        <v>72</v>
      </c>
      <c r="C65" s="77" t="str">
        <f>IF('基础-办公用品信息'!C65="","-",'基础-办公用品信息'!C65)</f>
        <v>彩色长尾票5852</v>
      </c>
      <c r="D65" s="77" t="str">
        <f>IF('基础-办公用品信息'!D66="","-",'基础-办公用品信息'!D66)</f>
        <v>盒</v>
      </c>
      <c r="E65" s="77" t="str">
        <f>IF('基础-办公用品信息'!E65="","-",'基础-办公用品信息'!E65)</f>
        <v>-</v>
      </c>
      <c r="F65" s="77">
        <f>IF('基础-办公用品信息'!F65="","-",'基础-办公用品信息'!F65)</f>
        <v>15</v>
      </c>
      <c r="G65" s="77">
        <f t="shared" si="6"/>
        <v>240</v>
      </c>
      <c r="H65" s="77">
        <f>SUMIFS(期初库存!G:G,期初库存!C:C,C65)+SUMIFS('采购录入（明细）'!I:I,'采购录入（明细）'!E:E,C65)-SUMIFS('领用录入（明细）'!I:I,'领用录入（明细）'!F:F,C65)</f>
        <v>16</v>
      </c>
      <c r="I65" s="78">
        <v>5</v>
      </c>
      <c r="J65" s="79" t="str">
        <f t="shared" si="5"/>
        <v>否</v>
      </c>
    </row>
    <row r="66" customHeight="1" spans="2:10">
      <c r="B66" s="74">
        <v>73</v>
      </c>
      <c r="C66" s="77" t="str">
        <f>IF('基础-办公用品信息'!C66="","-",'基础-办公用品信息'!C66)</f>
        <v>彩色长尾票夹5854</v>
      </c>
      <c r="D66" s="77" t="str">
        <f>IF('基础-办公用品信息'!D67="","-",'基础-办公用品信息'!D67)</f>
        <v>盒</v>
      </c>
      <c r="E66" s="77" t="str">
        <f>IF('基础-办公用品信息'!E66="","-",'基础-办公用品信息'!E66)</f>
        <v>-</v>
      </c>
      <c r="F66" s="77">
        <f>IF('基础-办公用品信息'!F66="","-",'基础-办公用品信息'!F66)</f>
        <v>13</v>
      </c>
      <c r="G66" s="77">
        <f t="shared" si="6"/>
        <v>130</v>
      </c>
      <c r="H66" s="77">
        <f>SUMIFS(期初库存!G:G,期初库存!C:C,C66)+SUMIFS('采购录入（明细）'!I:I,'采购录入（明细）'!E:E,C66)-SUMIFS('领用录入（明细）'!I:I,'领用录入（明细）'!F:F,C66)</f>
        <v>10</v>
      </c>
      <c r="I66" s="78">
        <v>5</v>
      </c>
      <c r="J66" s="79" t="str">
        <f t="shared" si="5"/>
        <v>否</v>
      </c>
    </row>
    <row r="67" customHeight="1" spans="2:10">
      <c r="B67" s="74">
        <v>74</v>
      </c>
      <c r="C67" s="77" t="str">
        <f>IF('基础-办公用品信息'!C67="","-",'基础-办公用品信息'!C67)</f>
        <v>彩色长尾票夹5855</v>
      </c>
      <c r="D67" s="77" t="str">
        <f>IF('基础-办公用品信息'!D68="","-",'基础-办公用品信息'!D68)</f>
        <v>盒</v>
      </c>
      <c r="E67" s="77" t="str">
        <f>IF('基础-办公用品信息'!E67="","-",'基础-办公用品信息'!E67)</f>
        <v>-</v>
      </c>
      <c r="F67" s="77">
        <f>IF('基础-办公用品信息'!F67="","-",'基础-办公用品信息'!F67)</f>
        <v>7</v>
      </c>
      <c r="G67" s="77">
        <f t="shared" si="6"/>
        <v>98</v>
      </c>
      <c r="H67" s="77">
        <f>SUMIFS(期初库存!G:G,期初库存!C:C,C67)+SUMIFS('采购录入（明细）'!I:I,'采购录入（明细）'!E:E,C67)-SUMIFS('领用录入（明细）'!I:I,'领用录入（明细）'!F:F,C67)</f>
        <v>14</v>
      </c>
      <c r="I67" s="78">
        <v>5</v>
      </c>
      <c r="J67" s="79" t="str">
        <f t="shared" si="5"/>
        <v>否</v>
      </c>
    </row>
    <row r="68" customHeight="1" spans="2:10">
      <c r="B68" s="74">
        <v>75</v>
      </c>
      <c r="C68" s="77" t="str">
        <f>IF('基础-办公用品信息'!C68="","-",'基础-办公用品信息'!C68)</f>
        <v>彩色长尾票夹5856</v>
      </c>
      <c r="D68" s="77" t="str">
        <f>IF('基础-办公用品信息'!D69="","-",'基础-办公用品信息'!D69)</f>
        <v>个</v>
      </c>
      <c r="E68" s="77" t="str">
        <f>IF('基础-办公用品信息'!E68="","-",'基础-办公用品信息'!E68)</f>
        <v>-</v>
      </c>
      <c r="F68" s="77">
        <f>IF('基础-办公用品信息'!F68="","-",'基础-办公用品信息'!F68)</f>
        <v>8</v>
      </c>
      <c r="G68" s="77">
        <f t="shared" si="6"/>
        <v>96</v>
      </c>
      <c r="H68" s="77">
        <f>SUMIFS(期初库存!G:G,期初库存!C:C,C68)+SUMIFS('采购录入（明细）'!I:I,'采购录入（明细）'!E:E,C68)-SUMIFS('领用录入（明细）'!I:I,'领用录入（明细）'!F:F,C68)</f>
        <v>12</v>
      </c>
      <c r="I68" s="78">
        <v>5</v>
      </c>
      <c r="J68" s="79" t="str">
        <f t="shared" si="5"/>
        <v>否</v>
      </c>
    </row>
    <row r="69" customHeight="1" spans="2:10">
      <c r="B69" s="74">
        <v>76</v>
      </c>
      <c r="C69" s="77" t="str">
        <f>IF('基础-办公用品信息'!C69="","-",'基础-办公用品信息'!C69)</f>
        <v>插座1.8m</v>
      </c>
      <c r="D69" s="77" t="str">
        <f>IF('基础-办公用品信息'!D70="","-",'基础-办公用品信息'!D70)</f>
        <v>个</v>
      </c>
      <c r="E69" s="77" t="str">
        <f>IF('基础-办公用品信息'!E69="","-",'基础-办公用品信息'!E69)</f>
        <v>-</v>
      </c>
      <c r="F69" s="77">
        <f>IF('基础-办公用品信息'!F69="","-",'基础-办公用品信息'!F69)</f>
        <v>26</v>
      </c>
      <c r="G69" s="77">
        <f t="shared" si="6"/>
        <v>26</v>
      </c>
      <c r="H69" s="77">
        <f>SUMIFS(期初库存!G:G,期初库存!C:C,C69)+SUMIFS('采购录入（明细）'!I:I,'采购录入（明细）'!E:E,C69)-SUMIFS('领用录入（明细）'!I:I,'领用录入（明细）'!F:F,C69)</f>
        <v>1</v>
      </c>
      <c r="I69" s="78">
        <v>1</v>
      </c>
      <c r="J69" s="79" t="str">
        <f t="shared" si="5"/>
        <v>否</v>
      </c>
    </row>
    <row r="70" customHeight="1" spans="2:10">
      <c r="B70" s="74">
        <v>77</v>
      </c>
      <c r="C70" s="77" t="str">
        <f>IF('基础-办公用品信息'!C70="","-",'基础-办公用品信息'!C70)</f>
        <v>插座3m</v>
      </c>
      <c r="D70" s="77" t="str">
        <f>IF('基础-办公用品信息'!D71="","-",'基础-办公用品信息'!D71)</f>
        <v>个</v>
      </c>
      <c r="E70" s="77" t="str">
        <f>IF('基础-办公用品信息'!E70="","-",'基础-办公用品信息'!E70)</f>
        <v>-</v>
      </c>
      <c r="F70" s="77">
        <f>IF('基础-办公用品信息'!F70="","-",'基础-办公用品信息'!F70)</f>
        <v>59</v>
      </c>
      <c r="G70" s="77">
        <f t="shared" si="6"/>
        <v>177</v>
      </c>
      <c r="H70" s="77">
        <f>SUMIFS(期初库存!G:G,期初库存!C:C,C70)+SUMIFS('采购录入（明细）'!I:I,'采购录入（明细）'!E:E,C70)-SUMIFS('领用录入（明细）'!I:I,'领用录入（明细）'!F:F,C70)</f>
        <v>3</v>
      </c>
      <c r="I70" s="78">
        <v>1</v>
      </c>
      <c r="J70" s="79" t="str">
        <f t="shared" si="5"/>
        <v>否</v>
      </c>
    </row>
    <row r="71" customHeight="1" spans="2:10">
      <c r="B71" s="74">
        <v>79</v>
      </c>
      <c r="C71" s="77" t="str">
        <f>IF('基础-办公用品信息'!C71="","-",'基础-办公用品信息'!C71)</f>
        <v>无线插头</v>
      </c>
      <c r="D71" s="77" t="str">
        <f>IF('基础-办公用品信息'!D73="","-",'基础-办公用品信息'!D73)</f>
        <v>只</v>
      </c>
      <c r="E71" s="77" t="str">
        <f>IF('基础-办公用品信息'!E71="","-",'基础-办公用品信息'!E71)</f>
        <v>-</v>
      </c>
      <c r="F71" s="77" t="str">
        <f>IF('基础-办公用品信息'!F71="","-",'基础-办公用品信息'!F71)</f>
        <v>-</v>
      </c>
      <c r="G71" s="77" t="str">
        <f t="shared" si="6"/>
        <v>-</v>
      </c>
      <c r="H71" s="77">
        <f>SUMIFS(期初库存!G:G,期初库存!C:C,C71)+SUMIFS('采购录入（明细）'!I:I,'采购录入（明细）'!E:E,C71)-SUMIFS('领用录入（明细）'!I:I,'领用录入（明细）'!F:F,C71)</f>
        <v>0</v>
      </c>
      <c r="I71" s="78">
        <v>0</v>
      </c>
      <c r="J71" s="79" t="str">
        <f t="shared" si="5"/>
        <v>否</v>
      </c>
    </row>
    <row r="72" customHeight="1" spans="2:10">
      <c r="B72" s="74">
        <v>80</v>
      </c>
      <c r="C72" s="77" t="str">
        <f>IF('基础-办公用品信息'!C72="","-",'基础-办公用品信息'!C72)</f>
        <v>印台红色</v>
      </c>
      <c r="D72" s="77" t="str">
        <f>IF('基础-办公用品信息'!D74="","-",'基础-办公用品信息'!D74)</f>
        <v>卷</v>
      </c>
      <c r="E72" s="77" t="str">
        <f>IF('基础-办公用品信息'!E72="","-",'基础-办公用品信息'!E72)</f>
        <v>-</v>
      </c>
      <c r="F72" s="77" t="str">
        <f>IF('基础-办公用品信息'!F72="","-",'基础-办公用品信息'!F72)</f>
        <v>-</v>
      </c>
      <c r="G72" s="77" t="str">
        <f t="shared" si="6"/>
        <v>-</v>
      </c>
      <c r="H72" s="77">
        <f>SUMIFS(期初库存!G:G,期初库存!C:C,C72)+SUMIFS('采购录入（明细）'!I:I,'采购录入（明细）'!E:E,C72)-SUMIFS('领用录入（明细）'!I:I,'领用录入（明细）'!F:F,C72)</f>
        <v>10</v>
      </c>
      <c r="I72" s="78">
        <v>5</v>
      </c>
      <c r="J72" s="79" t="str">
        <f t="shared" si="5"/>
        <v>否</v>
      </c>
    </row>
    <row r="73" customHeight="1" spans="2:10">
      <c r="B73" s="74">
        <v>81</v>
      </c>
      <c r="C73" s="77" t="str">
        <f>IF('基础-办公用品信息'!C73="","-",'基础-办公用品信息'!C73)</f>
        <v>印台蓝色</v>
      </c>
      <c r="D73" s="77" t="str">
        <f>IF('基础-办公用品信息'!D75="","-",'基础-办公用品信息'!D75)</f>
        <v>筒</v>
      </c>
      <c r="E73" s="77" t="str">
        <f>IF('基础-办公用品信息'!E73="","-",'基础-办公用品信息'!E73)</f>
        <v>-</v>
      </c>
      <c r="F73" s="77" t="str">
        <f>IF('基础-办公用品信息'!F73="","-",'基础-办公用品信息'!F73)</f>
        <v>-</v>
      </c>
      <c r="G73" s="77" t="str">
        <f t="shared" si="6"/>
        <v>-</v>
      </c>
      <c r="H73" s="77">
        <f>SUMIFS(期初库存!G:G,期初库存!C:C,C73)+SUMIFS('采购录入（明细）'!I:I,'采购录入（明细）'!E:E,C73)-SUMIFS('领用录入（明细）'!I:I,'领用录入（明细）'!F:F,C73)</f>
        <v>13</v>
      </c>
      <c r="I73" s="78">
        <v>5</v>
      </c>
      <c r="J73" s="79" t="str">
        <f t="shared" si="5"/>
        <v>否</v>
      </c>
    </row>
    <row r="74" customHeight="1" spans="2:10">
      <c r="B74" s="74">
        <v>82</v>
      </c>
      <c r="C74" s="77" t="str">
        <f>IF('基础-办公用品信息'!C74="","-",'基础-办公用品信息'!C74)</f>
        <v>透明胶带小卷</v>
      </c>
      <c r="D74" s="77" t="str">
        <f>IF('基础-办公用品信息'!D76="","-",'基础-办公用品信息'!D76)</f>
        <v>卷</v>
      </c>
      <c r="E74" s="77" t="str">
        <f>IF('基础-办公用品信息'!E74="","-",'基础-办公用品信息'!E74)</f>
        <v>-</v>
      </c>
      <c r="F74" s="77">
        <f>IF('基础-办公用品信息'!F74="","-",'基础-办公用品信息'!F74)</f>
        <v>5</v>
      </c>
      <c r="G74" s="77">
        <f t="shared" si="6"/>
        <v>110</v>
      </c>
      <c r="H74" s="77">
        <f>SUMIFS(期初库存!G:G,期初库存!C:C,C74)+SUMIFS('采购录入（明细）'!I:I,'采购录入（明细）'!E:E,C74)-SUMIFS('领用录入（明细）'!I:I,'领用录入（明细）'!F:F,C74)</f>
        <v>22</v>
      </c>
      <c r="I74" s="78">
        <v>5</v>
      </c>
      <c r="J74" s="79" t="str">
        <f t="shared" si="5"/>
        <v>否</v>
      </c>
    </row>
    <row r="75" customHeight="1" spans="2:10">
      <c r="B75" s="74">
        <v>83</v>
      </c>
      <c r="C75" s="77" t="str">
        <f>IF('基础-办公用品信息'!C75="","-",'基础-办公用品信息'!C75)</f>
        <v>封箱胶带</v>
      </c>
      <c r="D75" s="77" t="str">
        <f>IF('基础-办公用品信息'!D77="","-",'基础-办公用品信息'!D77)</f>
        <v>卷</v>
      </c>
      <c r="E75" s="77" t="str">
        <f>IF('基础-办公用品信息'!E75="","-",'基础-办公用品信息'!E75)</f>
        <v>-</v>
      </c>
      <c r="F75" s="77">
        <f>IF('基础-办公用品信息'!F75="","-",'基础-办公用品信息'!F75)</f>
        <v>7</v>
      </c>
      <c r="G75" s="77">
        <f t="shared" si="6"/>
        <v>28</v>
      </c>
      <c r="H75" s="77">
        <f>SUMIFS(期初库存!G:G,期初库存!C:C,C75)+SUMIFS('采购录入（明细）'!I:I,'采购录入（明细）'!E:E,C75)-SUMIFS('领用录入（明细）'!I:I,'领用录入（明细）'!F:F,C75)</f>
        <v>4</v>
      </c>
      <c r="I75" s="78">
        <v>1</v>
      </c>
      <c r="J75" s="79" t="str">
        <f t="shared" si="5"/>
        <v>否</v>
      </c>
    </row>
    <row r="76" customHeight="1" spans="2:10">
      <c r="B76" s="74">
        <v>84</v>
      </c>
      <c r="C76" s="77" t="str">
        <f>IF('基础-办公用品信息'!C76="","-",'基础-办公用品信息'!C76)</f>
        <v>双面胶带宽</v>
      </c>
      <c r="D76" s="77" t="str">
        <f>IF('基础-办公用品信息'!D78="","-",'基础-办公用品信息'!D78)</f>
        <v>包</v>
      </c>
      <c r="E76" s="77" t="str">
        <f>IF('基础-办公用品信息'!E76="","-",'基础-办公用品信息'!E76)</f>
        <v>-</v>
      </c>
      <c r="F76" s="77">
        <f>IF('基础-办公用品信息'!F76="","-",'基础-办公用品信息'!F76)</f>
        <v>20</v>
      </c>
      <c r="G76" s="77">
        <f t="shared" si="6"/>
        <v>220</v>
      </c>
      <c r="H76" s="77">
        <f>SUMIFS(期初库存!G:G,期初库存!C:C,C76)+SUMIFS('采购录入（明细）'!I:I,'采购录入（明细）'!E:E,C76)-SUMIFS('领用录入（明细）'!I:I,'领用录入（明细）'!F:F,C76)</f>
        <v>11</v>
      </c>
      <c r="I76" s="78">
        <v>5</v>
      </c>
      <c r="J76" s="79" t="str">
        <f t="shared" si="5"/>
        <v>否</v>
      </c>
    </row>
    <row r="77" customHeight="1" spans="2:10">
      <c r="B77" s="74">
        <v>86</v>
      </c>
      <c r="C77" s="77" t="str">
        <f>IF('基础-办公用品信息'!C77="","-",'基础-办公用品信息'!C77)</f>
        <v>泡沫胶带</v>
      </c>
      <c r="D77" s="77" t="str">
        <f>IF('基础-办公用品信息'!D80="","-",'基础-办公用品信息'!D80)</f>
        <v>包</v>
      </c>
      <c r="E77" s="77" t="str">
        <f>IF('基础-办公用品信息'!E77="","-",'基础-办公用品信息'!E77)</f>
        <v>-</v>
      </c>
      <c r="F77" s="77" t="str">
        <f>IF('基础-办公用品信息'!F77="","-",'基础-办公用品信息'!F77)</f>
        <v>-</v>
      </c>
      <c r="G77" s="77" t="str">
        <f t="shared" si="6"/>
        <v>-</v>
      </c>
      <c r="H77" s="77">
        <f>SUMIFS(期初库存!G:G,期初库存!C:C,C77)+SUMIFS('采购录入（明细）'!I:I,'采购录入（明细）'!E:E,C77)-SUMIFS('领用录入（明细）'!I:I,'领用录入（明细）'!F:F,C77)</f>
        <v>0</v>
      </c>
      <c r="I77" s="78">
        <v>0</v>
      </c>
      <c r="J77" s="79" t="str">
        <f t="shared" ref="J77:J88" si="7">IF(I77&gt;H77,"采购","否")</f>
        <v>否</v>
      </c>
    </row>
    <row r="78" customHeight="1" spans="2:10">
      <c r="B78" s="74">
        <v>87</v>
      </c>
      <c r="C78" s="77" t="str">
        <f>IF('基础-办公用品信息'!C78="","-",'基础-办公用品信息'!C78)</f>
        <v>便利贴76*76mm</v>
      </c>
      <c r="D78" s="77" t="str">
        <f>IF('基础-办公用品信息'!D81="","-",'基础-办公用品信息'!D81)</f>
        <v>包</v>
      </c>
      <c r="E78" s="77" t="str">
        <f>IF('基础-办公用品信息'!E78="","-",'基础-办公用品信息'!E78)</f>
        <v>-</v>
      </c>
      <c r="F78" s="77">
        <f>IF('基础-办公用品信息'!F78="","-",'基础-办公用品信息'!F78)</f>
        <v>2</v>
      </c>
      <c r="G78" s="77">
        <f t="shared" si="6"/>
        <v>26</v>
      </c>
      <c r="H78" s="77">
        <f>SUMIFS(期初库存!G:G,期初库存!C:C,C78)+SUMIFS('采购录入（明细）'!I:I,'采购录入（明细）'!E:E,C78)-SUMIFS('领用录入（明细）'!I:I,'领用录入（明细）'!F:F,C78)</f>
        <v>13</v>
      </c>
      <c r="I78" s="78">
        <v>5</v>
      </c>
      <c r="J78" s="79" t="str">
        <f t="shared" si="7"/>
        <v>否</v>
      </c>
    </row>
    <row r="79" customHeight="1" spans="2:10">
      <c r="B79" s="74">
        <v>88</v>
      </c>
      <c r="C79" s="77" t="str">
        <f>IF('基础-办公用品信息'!C79="","-",'基础-办公用品信息'!C79)</f>
        <v>自粘性标签（大）</v>
      </c>
      <c r="D79" s="77" t="str">
        <f>IF('基础-办公用品信息'!D82="","-",'基础-办公用品信息'!D82)</f>
        <v>包</v>
      </c>
      <c r="E79" s="77" t="str">
        <f>IF('基础-办公用品信息'!E79="","-",'基础-办公用品信息'!E79)</f>
        <v>-</v>
      </c>
      <c r="F79" s="77" t="str">
        <f>IF('基础-办公用品信息'!F79="","-",'基础-办公用品信息'!F79)</f>
        <v>-</v>
      </c>
      <c r="G79" s="77" t="str">
        <f t="shared" si="6"/>
        <v>-</v>
      </c>
      <c r="H79" s="77">
        <f>SUMIFS(期初库存!G:G,期初库存!C:C,C79)+SUMIFS('采购录入（明细）'!I:I,'采购录入（明细）'!E:E,C79)-SUMIFS('领用录入（明细）'!I:I,'领用录入（明细）'!F:F,C79)</f>
        <v>1</v>
      </c>
      <c r="I79" s="78">
        <v>1</v>
      </c>
      <c r="J79" s="79" t="str">
        <f t="shared" si="7"/>
        <v>否</v>
      </c>
    </row>
    <row r="80" customHeight="1" spans="2:10">
      <c r="B80" s="74">
        <v>89</v>
      </c>
      <c r="C80" s="77" t="str">
        <f>IF('基础-办公用品信息'!C80="","-",'基础-办公用品信息'!C80)</f>
        <v>便利贴四色76*19mm</v>
      </c>
      <c r="D80" s="77" t="str">
        <f>IF('基础-办公用品信息'!D83="","-",'基础-办公用品信息'!D83)</f>
        <v>本</v>
      </c>
      <c r="E80" s="77" t="str">
        <f>IF('基础-办公用品信息'!E80="","-",'基础-办公用品信息'!E80)</f>
        <v>-</v>
      </c>
      <c r="F80" s="77" t="str">
        <f>IF('基础-办公用品信息'!F80="","-",'基础-办公用品信息'!F80)</f>
        <v>-</v>
      </c>
      <c r="G80" s="77" t="str">
        <f t="shared" si="6"/>
        <v>-</v>
      </c>
      <c r="H80" s="77">
        <f>SUMIFS(期初库存!G:G,期初库存!C:C,C80)+SUMIFS('采购录入（明细）'!I:I,'采购录入（明细）'!E:E,C80)-SUMIFS('领用录入（明细）'!I:I,'领用录入（明细）'!F:F,C80)</f>
        <v>23</v>
      </c>
      <c r="I80" s="78">
        <v>1</v>
      </c>
      <c r="J80" s="79" t="str">
        <f t="shared" si="7"/>
        <v>否</v>
      </c>
    </row>
    <row r="81" customHeight="1" spans="2:10">
      <c r="B81" s="74">
        <v>90</v>
      </c>
      <c r="C81" s="77" t="str">
        <f>IF('基础-办公用品信息'!C81="","-",'基础-办公用品信息'!C81)</f>
        <v>便利贴76*51mm</v>
      </c>
      <c r="D81" s="77" t="str">
        <f>IF('基础-办公用品信息'!D84="","-",'基础-办公用品信息'!D84)</f>
        <v>本</v>
      </c>
      <c r="E81" s="77" t="str">
        <f>IF('基础-办公用品信息'!E81="","-",'基础-办公用品信息'!E81)</f>
        <v>-</v>
      </c>
      <c r="F81" s="77" t="str">
        <f>IF('基础-办公用品信息'!F81="","-",'基础-办公用品信息'!F81)</f>
        <v>-</v>
      </c>
      <c r="G81" s="77" t="str">
        <f t="shared" si="6"/>
        <v>-</v>
      </c>
      <c r="H81" s="77">
        <f>SUMIFS(期初库存!G:G,期初库存!C:C,C81)+SUMIFS('采购录入（明细）'!I:I,'采购录入（明细）'!E:E,C81)-SUMIFS('领用录入（明细）'!I:I,'领用录入（明细）'!F:F,C81)</f>
        <v>0</v>
      </c>
      <c r="I81" s="78">
        <v>0</v>
      </c>
      <c r="J81" s="79" t="str">
        <f t="shared" si="7"/>
        <v>否</v>
      </c>
    </row>
    <row r="82" customHeight="1" spans="2:10">
      <c r="B82" s="74">
        <v>91</v>
      </c>
      <c r="C82" s="77" t="str">
        <f>IF('基础-办公用品信息'!C82="","-",'基础-办公用品信息'!C82)</f>
        <v>自粘性标签（小）</v>
      </c>
      <c r="D82" s="77" t="str">
        <f>IF('基础-办公用品信息'!D85="","-",'基础-办公用品信息'!D85)</f>
        <v>本</v>
      </c>
      <c r="E82" s="77" t="str">
        <f>IF('基础-办公用品信息'!E82="","-",'基础-办公用品信息'!E82)</f>
        <v>-</v>
      </c>
      <c r="F82" s="77" t="str">
        <f>IF('基础-办公用品信息'!F82="","-",'基础-办公用品信息'!F82)</f>
        <v>-</v>
      </c>
      <c r="G82" s="77" t="str">
        <f t="shared" si="6"/>
        <v>-</v>
      </c>
      <c r="H82" s="77">
        <f>SUMIFS(期初库存!G:G,期初库存!C:C,C82)+SUMIFS('采购录入（明细）'!I:I,'采购录入（明细）'!E:E,C82)-SUMIFS('领用录入（明细）'!I:I,'领用录入（明细）'!F:F,C82)</f>
        <v>20</v>
      </c>
      <c r="I82" s="78">
        <v>5</v>
      </c>
      <c r="J82" s="79" t="str">
        <f t="shared" si="7"/>
        <v>否</v>
      </c>
    </row>
    <row r="83" customHeight="1" spans="2:10">
      <c r="B83" s="74">
        <v>92</v>
      </c>
      <c r="C83" s="77" t="str">
        <f>IF('基础-办公用品信息'!C83="","-",'基础-办公用品信息'!C83)</f>
        <v>用款申请单</v>
      </c>
      <c r="D83" s="77" t="str">
        <f>IF('基础-办公用品信息'!D86="","-",'基础-办公用品信息'!D86)</f>
        <v>本</v>
      </c>
      <c r="E83" s="77" t="str">
        <f>IF('基础-办公用品信息'!E83="","-",'基础-办公用品信息'!E83)</f>
        <v>-</v>
      </c>
      <c r="F83" s="77" t="str">
        <f>IF('基础-办公用品信息'!F83="","-",'基础-办公用品信息'!F83)</f>
        <v>-</v>
      </c>
      <c r="G83" s="77" t="str">
        <f t="shared" si="6"/>
        <v>-</v>
      </c>
      <c r="H83" s="77">
        <f>SUMIFS(期初库存!G:G,期初库存!C:C,C83)+SUMIFS('采购录入（明细）'!I:I,'采购录入（明细）'!E:E,C83)-SUMIFS('领用录入（明细）'!I:I,'领用录入（明细）'!F:F,C83)</f>
        <v>1293</v>
      </c>
      <c r="I83" s="78">
        <v>5</v>
      </c>
      <c r="J83" s="79" t="str">
        <f t="shared" si="7"/>
        <v>否</v>
      </c>
    </row>
    <row r="84" customHeight="1" spans="2:10">
      <c r="B84" s="74">
        <v>93</v>
      </c>
      <c r="C84" s="77" t="str">
        <f>IF('基础-办公用品信息'!C84="","-",'基础-办公用品信息'!C84)</f>
        <v>收据三联</v>
      </c>
      <c r="D84" s="77" t="str">
        <f>IF('基础-办公用品信息'!D87="","-",'基础-办公用品信息'!D87)</f>
        <v>本</v>
      </c>
      <c r="E84" s="77" t="str">
        <f>IF('基础-办公用品信息'!E84="","-",'基础-办公用品信息'!E84)</f>
        <v>-</v>
      </c>
      <c r="F84" s="77">
        <f>IF('基础-办公用品信息'!F84="","-",'基础-办公用品信息'!F84)</f>
        <v>1.5</v>
      </c>
      <c r="G84" s="77">
        <f t="shared" si="6"/>
        <v>1447.5</v>
      </c>
      <c r="H84" s="77">
        <f>SUMIFS(期初库存!G:G,期初库存!C:C,C84)+SUMIFS('采购录入（明细）'!I:I,'采购录入（明细）'!E:E,C84)-SUMIFS('领用录入（明细）'!I:I,'领用录入（明细）'!F:F,C84)</f>
        <v>965</v>
      </c>
      <c r="I84" s="78">
        <v>5</v>
      </c>
      <c r="J84" s="79" t="str">
        <f t="shared" si="7"/>
        <v>否</v>
      </c>
    </row>
    <row r="85" customHeight="1" spans="2:10">
      <c r="B85" s="74">
        <v>95</v>
      </c>
      <c r="C85" s="77" t="str">
        <f>IF('基础-办公用品信息'!C85="","-",'基础-办公用品信息'!C85)</f>
        <v>入库单两联</v>
      </c>
      <c r="D85" s="77" t="str">
        <f>IF('基础-办公用品信息'!D89="","-",'基础-办公用品信息'!D89)</f>
        <v>本</v>
      </c>
      <c r="E85" s="77" t="str">
        <f>IF('基础-办公用品信息'!E85="","-",'基础-办公用品信息'!E85)</f>
        <v>-</v>
      </c>
      <c r="F85" s="77" t="str">
        <f>IF('基础-办公用品信息'!F85="","-",'基础-办公用品信息'!F85)</f>
        <v>-</v>
      </c>
      <c r="G85" s="77" t="str">
        <f t="shared" si="6"/>
        <v>-</v>
      </c>
      <c r="H85" s="77">
        <f>SUMIFS(期初库存!G:G,期初库存!C:C,C85)+SUMIFS('采购录入（明细）'!I:I,'采购录入（明细）'!E:E,C85)-SUMIFS('领用录入（明细）'!I:I,'领用录入（明细）'!F:F,C85)</f>
        <v>112</v>
      </c>
      <c r="I85" s="78">
        <v>5</v>
      </c>
      <c r="J85" s="79" t="str">
        <f t="shared" si="7"/>
        <v>否</v>
      </c>
    </row>
    <row r="86" customHeight="1" spans="2:10">
      <c r="B86" s="74">
        <v>96</v>
      </c>
      <c r="C86" s="77" t="str">
        <f>IF('基础-办公用品信息'!C86="","-",'基础-办公用品信息'!C86)</f>
        <v>出库单三联</v>
      </c>
      <c r="D86" s="77" t="str">
        <f>IF('基础-办公用品信息'!D90="","-",'基础-办公用品信息'!D90)</f>
        <v>本</v>
      </c>
      <c r="E86" s="77" t="str">
        <f>IF('基础-办公用品信息'!E86="","-",'基础-办公用品信息'!E86)</f>
        <v>-</v>
      </c>
      <c r="F86" s="77" t="str">
        <f>IF('基础-办公用品信息'!F86="","-",'基础-办公用品信息'!F86)</f>
        <v>-</v>
      </c>
      <c r="G86" s="77" t="str">
        <f t="shared" si="6"/>
        <v>-</v>
      </c>
      <c r="H86" s="77">
        <f>SUMIFS(期初库存!G:G,期初库存!C:C,C86)+SUMIFS('采购录入（明细）'!I:I,'采购录入（明细）'!E:E,C86)-SUMIFS('领用录入（明细）'!I:I,'领用录入（明细）'!F:F,C86)</f>
        <v>44</v>
      </c>
      <c r="I86" s="78">
        <v>5</v>
      </c>
      <c r="J86" s="79" t="str">
        <f t="shared" si="7"/>
        <v>否</v>
      </c>
    </row>
    <row r="87" customHeight="1" spans="2:10">
      <c r="B87" s="74">
        <v>98</v>
      </c>
      <c r="C87" s="77" t="str">
        <f>IF('基础-办公用品信息'!C87="","-",'基础-办公用品信息'!C87)</f>
        <v>单据凭证</v>
      </c>
      <c r="D87" s="77" t="str">
        <f>IF('基础-办公用品信息'!D92="","-",'基础-办公用品信息'!D92)</f>
        <v>个</v>
      </c>
      <c r="E87" s="77" t="str">
        <f>IF('基础-办公用品信息'!E87="","-",'基础-办公用品信息'!E87)</f>
        <v>-</v>
      </c>
      <c r="F87" s="77" t="str">
        <f>IF('基础-办公用品信息'!F87="","-",'基础-办公用品信息'!F87)</f>
        <v>-</v>
      </c>
      <c r="G87" s="77" t="str">
        <f t="shared" si="6"/>
        <v>-</v>
      </c>
      <c r="H87" s="77">
        <f>SUMIFS(期初库存!G:G,期初库存!C:C,C87)+SUMIFS('采购录入（明细）'!I:I,'采购录入（明细）'!E:E,C87)-SUMIFS('领用录入（明细）'!I:I,'领用录入（明细）'!F:F,C87)</f>
        <v>30</v>
      </c>
      <c r="I87" s="78">
        <v>5</v>
      </c>
      <c r="J87" s="79" t="str">
        <f t="shared" ref="J87:J134" si="8">IF(I87&gt;H87,"采购","否")</f>
        <v>否</v>
      </c>
    </row>
    <row r="88" customHeight="1" spans="2:10">
      <c r="B88" s="74">
        <v>99</v>
      </c>
      <c r="C88" s="77" t="str">
        <f>IF('基础-办公用品信息'!C88="","-",'基础-办公用品信息'!C88)</f>
        <v>罚款单</v>
      </c>
      <c r="D88" s="77" t="str">
        <f>IF('基础-办公用品信息'!D93="","-",'基础-办公用品信息'!D93)</f>
        <v>包</v>
      </c>
      <c r="E88" s="77" t="str">
        <f>IF('基础-办公用品信息'!E88="","-",'基础-办公用品信息'!E88)</f>
        <v>-</v>
      </c>
      <c r="F88" s="77" t="str">
        <f>IF('基础-办公用品信息'!F88="","-",'基础-办公用品信息'!F88)</f>
        <v>-</v>
      </c>
      <c r="G88" s="77" t="str">
        <f t="shared" si="6"/>
        <v>-</v>
      </c>
      <c r="H88" s="77">
        <f>SUMIFS(期初库存!G:G,期初库存!C:C,C88)+SUMIFS('采购录入（明细）'!I:I,'采购录入（明细）'!E:E,C88)-SUMIFS('领用录入（明细）'!I:I,'领用录入（明细）'!F:F,C88)</f>
        <v>25</v>
      </c>
      <c r="I88" s="78">
        <v>5</v>
      </c>
      <c r="J88" s="79" t="str">
        <f t="shared" si="8"/>
        <v>否</v>
      </c>
    </row>
    <row r="89" customHeight="1" spans="2:10">
      <c r="B89" s="74">
        <v>100</v>
      </c>
      <c r="C89" s="77" t="str">
        <f>IF('基础-办公用品信息'!C89="","-",'基础-办公用品信息'!C89)</f>
        <v>定制信笺本A5</v>
      </c>
      <c r="D89" s="77" t="str">
        <f>IF('基础-办公用品信息'!D94="","-",'基础-办公用品信息'!D94)</f>
        <v>筒</v>
      </c>
      <c r="E89" s="77" t="str">
        <f>IF('基础-办公用品信息'!E89="","-",'基础-办公用品信息'!E89)</f>
        <v>-</v>
      </c>
      <c r="F89" s="77" t="str">
        <f>IF('基础-办公用品信息'!F89="","-",'基础-办公用品信息'!F89)</f>
        <v>-</v>
      </c>
      <c r="G89" s="77" t="str">
        <f t="shared" si="6"/>
        <v>-</v>
      </c>
      <c r="H89" s="77">
        <f>SUMIFS(期初库存!G:G,期初库存!C:C,C89)+SUMIFS('采购录入（明细）'!I:I,'采购录入（明细）'!E:E,C89)-SUMIFS('领用录入（明细）'!I:I,'领用录入（明细）'!F:F,C89)</f>
        <v>300</v>
      </c>
      <c r="I89" s="78">
        <v>5</v>
      </c>
      <c r="J89" s="79" t="str">
        <f t="shared" si="8"/>
        <v>否</v>
      </c>
    </row>
    <row r="90" customHeight="1" spans="2:10">
      <c r="B90" s="74">
        <v>101</v>
      </c>
      <c r="C90" s="77" t="str">
        <f>IF('基础-办公用品信息'!C90="","-",'基础-办公用品信息'!C90)</f>
        <v>定制信笺本A4</v>
      </c>
      <c r="D90" s="77" t="str">
        <f>IF('基础-办公用品信息'!D95="","-",'基础-办公用品信息'!D95)</f>
        <v>盒</v>
      </c>
      <c r="E90" s="77" t="str">
        <f>IF('基础-办公用品信息'!E90="","-",'基础-办公用品信息'!E90)</f>
        <v>-</v>
      </c>
      <c r="F90" s="77" t="str">
        <f>IF('基础-办公用品信息'!F90="","-",'基础-办公用品信息'!F90)</f>
        <v>-</v>
      </c>
      <c r="G90" s="77" t="str">
        <f t="shared" si="6"/>
        <v>-</v>
      </c>
      <c r="H90" s="77">
        <f>SUMIFS(期初库存!G:G,期初库存!C:C,C90)+SUMIFS('采购录入（明细）'!I:I,'采购录入（明细）'!E:E,C90)-SUMIFS('领用录入（明细）'!I:I,'领用录入（明细）'!F:F,C90)</f>
        <v>300</v>
      </c>
      <c r="I90" s="78">
        <v>5</v>
      </c>
      <c r="J90" s="79" t="str">
        <f t="shared" si="8"/>
        <v>否</v>
      </c>
    </row>
    <row r="91" customHeight="1" spans="2:10">
      <c r="B91" s="74">
        <v>102</v>
      </c>
      <c r="C91" s="77" t="str">
        <f>IF('基础-办公用品信息'!C91="","-",'基础-办公用品信息'!C91)</f>
        <v>工作牌</v>
      </c>
      <c r="D91" s="77" t="str">
        <f>IF('基础-办公用品信息'!D96="","-",'基础-办公用品信息'!D96)</f>
        <v>个</v>
      </c>
      <c r="E91" s="77" t="str">
        <f>IF('基础-办公用品信息'!E91="","-",'基础-办公用品信息'!E91)</f>
        <v>-</v>
      </c>
      <c r="F91" s="77" t="str">
        <f>IF('基础-办公用品信息'!F91="","-",'基础-办公用品信息'!F91)</f>
        <v>-</v>
      </c>
      <c r="G91" s="77" t="str">
        <f t="shared" ref="G91:G122" si="9">IFERROR(F91*H91,"-")</f>
        <v>-</v>
      </c>
      <c r="H91" s="77">
        <f>SUMIFS(期初库存!G:G,期初库存!C:C,C91)+SUMIFS('采购录入（明细）'!I:I,'采购录入（明细）'!E:E,C91)-SUMIFS('领用录入（明细）'!I:I,'领用录入（明细）'!F:F,C91)</f>
        <v>0</v>
      </c>
      <c r="I91" s="78">
        <v>0</v>
      </c>
      <c r="J91" s="79" t="str">
        <f t="shared" si="8"/>
        <v>否</v>
      </c>
    </row>
    <row r="92" customHeight="1" spans="2:10">
      <c r="B92" s="74">
        <v>103</v>
      </c>
      <c r="C92" s="77" t="str">
        <f>IF('基础-办公用品信息'!C92="","-",'基础-办公用品信息'!C92)</f>
        <v>透明口罩</v>
      </c>
      <c r="D92" s="77" t="str">
        <f>IF('基础-办公用品信息'!D97="","-",'基础-办公用品信息'!D97)</f>
        <v>个</v>
      </c>
      <c r="E92" s="77" t="str">
        <f>IF('基础-办公用品信息'!E92="","-",'基础-办公用品信息'!E92)</f>
        <v>-</v>
      </c>
      <c r="F92" s="77" t="str">
        <f>IF('基础-办公用品信息'!F92="","-",'基础-办公用品信息'!F92)</f>
        <v>-</v>
      </c>
      <c r="G92" s="77" t="str">
        <f t="shared" si="9"/>
        <v>-</v>
      </c>
      <c r="H92" s="77">
        <f>SUMIFS(期初库存!G:G,期初库存!C:C,C92)+SUMIFS('采购录入（明细）'!I:I,'采购录入（明细）'!E:E,C92)-SUMIFS('领用录入（明细）'!I:I,'领用录入（明细）'!F:F,C92)</f>
        <v>8</v>
      </c>
      <c r="I92" s="78">
        <v>5</v>
      </c>
      <c r="J92" s="79" t="str">
        <f t="shared" si="8"/>
        <v>否</v>
      </c>
    </row>
    <row r="93" customHeight="1" spans="2:10">
      <c r="B93" s="74">
        <v>104</v>
      </c>
      <c r="C93" s="77" t="str">
        <f>IF('基础-办公用品信息'!C93="","-",'基础-办公用品信息'!C93)</f>
        <v>蓝色口罩</v>
      </c>
      <c r="D93" s="77" t="str">
        <f>IF('基础-办公用品信息'!D98="","-",'基础-办公用品信息'!D98)</f>
        <v>个</v>
      </c>
      <c r="E93" s="77" t="str">
        <f>IF('基础-办公用品信息'!E93="","-",'基础-办公用品信息'!E93)</f>
        <v>-</v>
      </c>
      <c r="F93" s="77">
        <f>IF('基础-办公用品信息'!F93="","-",'基础-办公用品信息'!F93)</f>
        <v>0.3</v>
      </c>
      <c r="G93" s="77">
        <f t="shared" si="9"/>
        <v>87</v>
      </c>
      <c r="H93" s="77">
        <f>SUMIFS(期初库存!G:G,期初库存!C:C,C93)+SUMIFS('采购录入（明细）'!I:I,'采购录入（明细）'!E:E,C93)-SUMIFS('领用录入（明细）'!I:I,'领用录入（明细）'!F:F,C93)</f>
        <v>290</v>
      </c>
      <c r="I93" s="78">
        <v>5</v>
      </c>
      <c r="J93" s="79" t="str">
        <f t="shared" si="8"/>
        <v>否</v>
      </c>
    </row>
    <row r="94" customHeight="1" spans="2:10">
      <c r="B94" s="74">
        <v>105</v>
      </c>
      <c r="C94" s="77" t="str">
        <f>IF('基础-办公用品信息'!C94="","-",'基础-办公用品信息'!C94)</f>
        <v>一次性纸杯50个/筒</v>
      </c>
      <c r="D94" s="77" t="str">
        <f>IF('基础-办公用品信息'!D99="","-",'基础-办公用品信息'!D99)</f>
        <v>个</v>
      </c>
      <c r="E94" s="77" t="str">
        <f>IF('基础-办公用品信息'!E94="","-",'基础-办公用品信息'!E94)</f>
        <v>-</v>
      </c>
      <c r="F94" s="77">
        <f>IF('基础-办公用品信息'!F94="","-",'基础-办公用品信息'!F94)</f>
        <v>0.2</v>
      </c>
      <c r="G94" s="77">
        <f t="shared" si="9"/>
        <v>51.4</v>
      </c>
      <c r="H94" s="77">
        <f>SUMIFS(期初库存!G:G,期初库存!C:C,C94)+SUMIFS('采购录入（明细）'!I:I,'采购录入（明细）'!E:E,C94)-SUMIFS('领用录入（明细）'!I:I,'领用录入（明细）'!F:F,C94)</f>
        <v>257</v>
      </c>
      <c r="I94" s="78">
        <v>5</v>
      </c>
      <c r="J94" s="79" t="str">
        <f t="shared" si="8"/>
        <v>否</v>
      </c>
    </row>
    <row r="95" customHeight="1" spans="2:10">
      <c r="B95" s="74">
        <v>106</v>
      </c>
      <c r="C95" s="77" t="str">
        <f>IF('基础-办公用品信息'!C95="","-",'基础-办公用品信息'!C95)</f>
        <v>黑色口罩</v>
      </c>
      <c r="D95" s="77" t="str">
        <f>IF('基础-办公用品信息'!D100="","-",'基础-办公用品信息'!D100)</f>
        <v>个</v>
      </c>
      <c r="E95" s="77" t="str">
        <f>IF('基础-办公用品信息'!E95="","-",'基础-办公用品信息'!E95)</f>
        <v>-</v>
      </c>
      <c r="F95" s="77" t="str">
        <f>IF('基础-办公用品信息'!F95="","-",'基础-办公用品信息'!F95)</f>
        <v>-</v>
      </c>
      <c r="G95" s="77" t="str">
        <f t="shared" si="9"/>
        <v>-</v>
      </c>
      <c r="H95" s="77">
        <f>SUMIFS(期初库存!G:G,期初库存!C:C,C95)+SUMIFS('采购录入（明细）'!I:I,'采购录入（明细）'!E:E,C95)-SUMIFS('领用录入（明细）'!I:I,'领用录入（明细）'!F:F,C95)</f>
        <v>51</v>
      </c>
      <c r="I95" s="78">
        <v>5</v>
      </c>
      <c r="J95" s="79" t="str">
        <f t="shared" si="8"/>
        <v>否</v>
      </c>
    </row>
    <row r="96" customHeight="1" spans="2:10">
      <c r="B96" s="74">
        <v>107</v>
      </c>
      <c r="C96" s="77" t="str">
        <f>IF('基础-办公用品信息'!C96="","-",'基础-办公用品信息'!C96)</f>
        <v>有线鼠标</v>
      </c>
      <c r="D96" s="77" t="str">
        <f>IF('基础-办公用品信息'!D101="","-",'基础-办公用品信息'!D101)</f>
        <v>个</v>
      </c>
      <c r="E96" s="77" t="str">
        <f>IF('基础-办公用品信息'!E96="","-",'基础-办公用品信息'!E96)</f>
        <v>-</v>
      </c>
      <c r="F96" s="77">
        <f>IF('基础-办公用品信息'!F96="","-",'基础-办公用品信息'!F96)</f>
        <v>30</v>
      </c>
      <c r="G96" s="77">
        <f t="shared" si="9"/>
        <v>180</v>
      </c>
      <c r="H96" s="77">
        <f>SUMIFS(期初库存!G:G,期初库存!C:C,C96)+SUMIFS('采购录入（明细）'!I:I,'采购录入（明细）'!E:E,C96)-SUMIFS('领用录入（明细）'!I:I,'领用录入（明细）'!F:F,C96)</f>
        <v>6</v>
      </c>
      <c r="I96" s="78">
        <v>3</v>
      </c>
      <c r="J96" s="79" t="str">
        <f t="shared" si="8"/>
        <v>否</v>
      </c>
    </row>
    <row r="97" customHeight="1" spans="2:10">
      <c r="B97" s="74">
        <v>108</v>
      </c>
      <c r="C97" s="77" t="str">
        <f>IF('基础-办公用品信息'!C97="","-",'基础-办公用品信息'!C97)</f>
        <v>键盘</v>
      </c>
      <c r="D97" s="77" t="str">
        <f>IF('基础-办公用品信息'!D102="","-",'基础-办公用品信息'!D102)</f>
        <v>支</v>
      </c>
      <c r="E97" s="77" t="str">
        <f>IF('基础-办公用品信息'!E97="","-",'基础-办公用品信息'!E97)</f>
        <v>-</v>
      </c>
      <c r="F97" s="77" t="str">
        <f>IF('基础-办公用品信息'!F97="","-",'基础-办公用品信息'!F97)</f>
        <v>-</v>
      </c>
      <c r="G97" s="77" t="str">
        <f t="shared" si="9"/>
        <v>-</v>
      </c>
      <c r="H97" s="77">
        <f>SUMIFS(期初库存!G:G,期初库存!C:C,C97)+SUMIFS('采购录入（明细）'!I:I,'采购录入（明细）'!E:E,C97)-SUMIFS('领用录入（明细）'!I:I,'领用录入（明细）'!F:F,C97)</f>
        <v>2</v>
      </c>
      <c r="I97" s="78">
        <v>0</v>
      </c>
      <c r="J97" s="79" t="str">
        <f t="shared" si="8"/>
        <v>否</v>
      </c>
    </row>
    <row r="98" customHeight="1" spans="2:10">
      <c r="B98" s="74">
        <v>109</v>
      </c>
      <c r="C98" s="77" t="str">
        <f>IF('基础-办公用品信息'!C98="","-",'基础-办公用品信息'!C98)</f>
        <v>无线接收器水星</v>
      </c>
      <c r="D98" s="77" t="str">
        <f>IF('基础-办公用品信息'!D103="","-",'基础-办公用品信息'!D103)</f>
        <v>个</v>
      </c>
      <c r="E98" s="77" t="str">
        <f>IF('基础-办公用品信息'!E98="","-",'基础-办公用品信息'!E98)</f>
        <v>-</v>
      </c>
      <c r="F98" s="77" t="str">
        <f>IF('基础-办公用品信息'!F98="","-",'基础-办公用品信息'!F98)</f>
        <v>-</v>
      </c>
      <c r="G98" s="77" t="str">
        <f t="shared" si="9"/>
        <v>-</v>
      </c>
      <c r="H98" s="77">
        <f>SUMIFS(期初库存!G:G,期初库存!C:C,C98)+SUMIFS('采购录入（明细）'!I:I,'采购录入（明细）'!E:E,C98)-SUMIFS('领用录入（明细）'!I:I,'领用录入（明细）'!F:F,C98)</f>
        <v>0</v>
      </c>
      <c r="I98" s="78">
        <v>0</v>
      </c>
      <c r="J98" s="79" t="str">
        <f t="shared" si="8"/>
        <v>否</v>
      </c>
    </row>
    <row r="99" customHeight="1" spans="2:10">
      <c r="B99" s="74">
        <v>110</v>
      </c>
      <c r="C99" s="77" t="str">
        <f>IF('基础-办公用品信息'!C99="","-",'基础-办公用品信息'!C99)</f>
        <v>无线接收器TP-Link</v>
      </c>
      <c r="D99" s="77" t="str">
        <f>IF('基础-办公用品信息'!D104="","-",'基础-办公用品信息'!D104)</f>
        <v>个</v>
      </c>
      <c r="E99" s="77" t="str">
        <f>IF('基础-办公用品信息'!E99="","-",'基础-办公用品信息'!E99)</f>
        <v>-</v>
      </c>
      <c r="F99" s="77" t="str">
        <f>IF('基础-办公用品信息'!F99="","-",'基础-办公用品信息'!F99)</f>
        <v>-</v>
      </c>
      <c r="G99" s="77" t="str">
        <f t="shared" si="9"/>
        <v>-</v>
      </c>
      <c r="H99" s="77">
        <f>SUMIFS(期初库存!G:G,期初库存!C:C,C99)+SUMIFS('采购录入（明细）'!I:I,'采购录入（明细）'!E:E,C99)-SUMIFS('领用录入（明细）'!I:I,'领用录入（明细）'!F:F,C99)</f>
        <v>0</v>
      </c>
      <c r="I99" s="78">
        <v>0</v>
      </c>
      <c r="J99" s="79" t="str">
        <f t="shared" si="8"/>
        <v>否</v>
      </c>
    </row>
    <row r="100" customHeight="1" spans="2:10">
      <c r="B100" s="74">
        <v>111</v>
      </c>
      <c r="C100" s="77" t="str">
        <f>IF('基础-办公用品信息'!C100="","-",'基础-办公用品信息'!C100)</f>
        <v>红外体温计倍尔康</v>
      </c>
      <c r="D100" s="77" t="str">
        <f>IF('基础-办公用品信息'!D105="","-",'基础-办公用品信息'!D105)</f>
        <v>个</v>
      </c>
      <c r="E100" s="77" t="str">
        <f>IF('基础-办公用品信息'!E100="","-",'基础-办公用品信息'!E100)</f>
        <v>-</v>
      </c>
      <c r="F100" s="77" t="str">
        <f>IF('基础-办公用品信息'!F100="","-",'基础-办公用品信息'!F100)</f>
        <v>-</v>
      </c>
      <c r="G100" s="77" t="str">
        <f t="shared" si="9"/>
        <v>-</v>
      </c>
      <c r="H100" s="77">
        <f>SUMIFS(期初库存!G:G,期初库存!C:C,C100)+SUMIFS('采购录入（明细）'!I:I,'采购录入（明细）'!E:E,C100)-SUMIFS('领用录入（明细）'!I:I,'领用录入（明细）'!F:F,C100)</f>
        <v>0</v>
      </c>
      <c r="I100" s="78">
        <v>0</v>
      </c>
      <c r="J100" s="79" t="str">
        <f t="shared" si="8"/>
        <v>否</v>
      </c>
    </row>
    <row r="101" customHeight="1" spans="2:10">
      <c r="B101" s="74">
        <v>112</v>
      </c>
      <c r="C101" s="77" t="str">
        <f>IF('基础-办公用品信息'!C101="","-",'基础-办公用品信息'!C101)</f>
        <v>硬盘绿联2.5英寸</v>
      </c>
      <c r="D101" s="77" t="str">
        <f>IF('基础-办公用品信息'!D106="","-",'基础-办公用品信息'!D106)</f>
        <v>个</v>
      </c>
      <c r="E101" s="77" t="str">
        <f>IF('基础-办公用品信息'!E101="","-",'基础-办公用品信息'!E101)</f>
        <v>-</v>
      </c>
      <c r="F101" s="77" t="str">
        <f>IF('基础-办公用品信息'!F101="","-",'基础-办公用品信息'!F101)</f>
        <v>-</v>
      </c>
      <c r="G101" s="77" t="str">
        <f t="shared" si="9"/>
        <v>-</v>
      </c>
      <c r="H101" s="77">
        <f>SUMIFS(期初库存!G:G,期初库存!C:C,C101)+SUMIFS('采购录入（明细）'!I:I,'采购录入（明细）'!E:E,C101)-SUMIFS('领用录入（明细）'!I:I,'领用录入（明细）'!F:F,C101)</f>
        <v>0</v>
      </c>
      <c r="I101" s="78">
        <v>0</v>
      </c>
      <c r="J101" s="79" t="str">
        <f t="shared" si="8"/>
        <v>否</v>
      </c>
    </row>
    <row r="102" customHeight="1" spans="2:10">
      <c r="B102" s="74">
        <v>113</v>
      </c>
      <c r="C102" s="77" t="str">
        <f>IF('基础-办公用品信息'!C102="","-",'基础-办公用品信息'!C102)</f>
        <v>PPT翻页笔诺为</v>
      </c>
      <c r="D102" s="77" t="str">
        <f>IF('基础-办公用品信息'!D107="","-",'基础-办公用品信息'!D107)</f>
        <v>个</v>
      </c>
      <c r="E102" s="77" t="str">
        <f>IF('基础-办公用品信息'!E102="","-",'基础-办公用品信息'!E102)</f>
        <v>-</v>
      </c>
      <c r="F102" s="77" t="str">
        <f>IF('基础-办公用品信息'!F102="","-",'基础-办公用品信息'!F102)</f>
        <v>-</v>
      </c>
      <c r="G102" s="77" t="str">
        <f t="shared" si="9"/>
        <v>-</v>
      </c>
      <c r="H102" s="77">
        <f>SUMIFS(期初库存!G:G,期初库存!C:C,C102)+SUMIFS('采购录入（明细）'!I:I,'采购录入（明细）'!E:E,C102)-SUMIFS('领用录入（明细）'!I:I,'领用录入（明细）'!F:F,C102)</f>
        <v>2</v>
      </c>
      <c r="I102" s="78">
        <v>2</v>
      </c>
      <c r="J102" s="79" t="str">
        <f t="shared" si="8"/>
        <v>否</v>
      </c>
    </row>
    <row r="103" customHeight="1" spans="2:10">
      <c r="B103" s="74">
        <v>114</v>
      </c>
      <c r="C103" s="77" t="str">
        <f>IF('基础-办公用品信息'!C103="","-",'基础-办公用品信息'!C103)</f>
        <v>光盘700MB，CD-R 52X</v>
      </c>
      <c r="D103" s="77" t="str">
        <f>IF('基础-办公用品信息'!D108="","-",'基础-办公用品信息'!D108)</f>
        <v>个</v>
      </c>
      <c r="E103" s="77" t="str">
        <f>IF('基础-办公用品信息'!E103="","-",'基础-办公用品信息'!E103)</f>
        <v>-</v>
      </c>
      <c r="F103" s="77" t="str">
        <f>IF('基础-办公用品信息'!F103="","-",'基础-办公用品信息'!F103)</f>
        <v>-</v>
      </c>
      <c r="G103" s="77" t="str">
        <f t="shared" si="9"/>
        <v>-</v>
      </c>
      <c r="H103" s="77">
        <f>SUMIFS(期初库存!G:G,期初库存!C:C,C103)+SUMIFS('采购录入（明细）'!I:I,'采购录入（明细）'!E:E,C103)-SUMIFS('领用录入（明细）'!I:I,'领用录入（明细）'!F:F,C103)</f>
        <v>30</v>
      </c>
      <c r="I103" s="78">
        <v>5</v>
      </c>
      <c r="J103" s="79" t="str">
        <f t="shared" si="8"/>
        <v>否</v>
      </c>
    </row>
    <row r="104" customHeight="1" spans="2:10">
      <c r="B104" s="74">
        <v>115</v>
      </c>
      <c r="C104" s="77" t="str">
        <f>IF('基础-办公用品信息'!C104="","-",'基础-办公用品信息'!C104)</f>
        <v>光盘4.7GB 120mm</v>
      </c>
      <c r="D104" s="77" t="str">
        <f>IF('基础-办公用品信息'!D109="","-",'基础-办公用品信息'!D109)</f>
        <v>瓶</v>
      </c>
      <c r="E104" s="77" t="str">
        <f>IF('基础-办公用品信息'!E104="","-",'基础-办公用品信息'!E104)</f>
        <v>-</v>
      </c>
      <c r="F104" s="77" t="str">
        <f>IF('基础-办公用品信息'!F104="","-",'基础-办公用品信息'!F104)</f>
        <v>-</v>
      </c>
      <c r="G104" s="77" t="str">
        <f t="shared" si="9"/>
        <v>-</v>
      </c>
      <c r="H104" s="77">
        <f>SUMIFS(期初库存!G:G,期初库存!C:C,C104)+SUMIFS('采购录入（明细）'!I:I,'采购录入（明细）'!E:E,C104)-SUMIFS('领用录入（明细）'!I:I,'领用录入（明细）'!F:F,C104)</f>
        <v>30</v>
      </c>
      <c r="I104" s="78">
        <v>5</v>
      </c>
      <c r="J104" s="79" t="str">
        <f t="shared" si="8"/>
        <v>否</v>
      </c>
    </row>
    <row r="105" customHeight="1" spans="2:10">
      <c r="B105" s="74">
        <v>116</v>
      </c>
      <c r="C105" s="77" t="str">
        <f>IF('基础-办公用品信息'!C105="","-",'基础-办公用品信息'!C105)</f>
        <v>光盘壳</v>
      </c>
      <c r="D105" s="77" t="str">
        <f>IF('基础-办公用品信息'!D110="","-",'基础-办公用品信息'!D110)</f>
        <v>个</v>
      </c>
      <c r="E105" s="77" t="str">
        <f>IF('基础-办公用品信息'!E105="","-",'基础-办公用品信息'!E105)</f>
        <v>-</v>
      </c>
      <c r="F105" s="77" t="str">
        <f>IF('基础-办公用品信息'!F105="","-",'基础-办公用品信息'!F105)</f>
        <v>-</v>
      </c>
      <c r="G105" s="77" t="str">
        <f t="shared" si="9"/>
        <v>-</v>
      </c>
      <c r="H105" s="77">
        <f>SUMIFS(期初库存!G:G,期初库存!C:C,C105)+SUMIFS('采购录入（明细）'!I:I,'采购录入（明细）'!E:E,C105)-SUMIFS('领用录入（明细）'!I:I,'领用录入（明细）'!F:F,C105)</f>
        <v>18</v>
      </c>
      <c r="I105" s="78">
        <v>5</v>
      </c>
      <c r="J105" s="79" t="str">
        <f t="shared" si="8"/>
        <v>否</v>
      </c>
    </row>
    <row r="106" customHeight="1" spans="2:10">
      <c r="B106" s="74">
        <v>117</v>
      </c>
      <c r="C106" s="77" t="str">
        <f>IF('基础-办公用品信息'!C106="","-",'基础-办公用品信息'!C106)</f>
        <v>台裙夹</v>
      </c>
      <c r="D106" s="77" t="str">
        <f>IF('基础-办公用品信息'!D111="","-",'基础-办公用品信息'!D111)</f>
        <v>提</v>
      </c>
      <c r="E106" s="77" t="str">
        <f>IF('基础-办公用品信息'!E106="","-",'基础-办公用品信息'!E106)</f>
        <v>-</v>
      </c>
      <c r="F106" s="77">
        <f>IF('基础-办公用品信息'!F106="","-",'基础-办公用品信息'!F106)</f>
        <v>0.85</v>
      </c>
      <c r="G106" s="77">
        <f t="shared" si="9"/>
        <v>25.5</v>
      </c>
      <c r="H106" s="77">
        <f>SUMIFS(期初库存!G:G,期初库存!C:C,C106)+SUMIFS('采购录入（明细）'!I:I,'采购录入（明细）'!E:E,C106)-SUMIFS('领用录入（明细）'!I:I,'领用录入（明细）'!F:F,C106)</f>
        <v>30</v>
      </c>
      <c r="I106" s="78">
        <v>5</v>
      </c>
      <c r="J106" s="79" t="str">
        <f t="shared" si="8"/>
        <v>否</v>
      </c>
    </row>
    <row r="107" customHeight="1" spans="2:10">
      <c r="B107" s="74">
        <v>118</v>
      </c>
      <c r="C107" s="77" t="str">
        <f>IF('基础-办公用品信息'!C107="","-",'基础-办公用品信息'!C107)</f>
        <v>果盘</v>
      </c>
      <c r="D107" s="77" t="str">
        <f>IF('基础-办公用品信息'!D112="","-",'基础-办公用品信息'!D112)</f>
        <v>盒</v>
      </c>
      <c r="E107" s="77" t="str">
        <f>IF('基础-办公用品信息'!E107="","-",'基础-办公用品信息'!E107)</f>
        <v>-</v>
      </c>
      <c r="F107" s="77" t="str">
        <f>IF('基础-办公用品信息'!F107="","-",'基础-办公用品信息'!F107)</f>
        <v>-</v>
      </c>
      <c r="G107" s="77" t="str">
        <f t="shared" si="9"/>
        <v>-</v>
      </c>
      <c r="H107" s="77">
        <f>SUMIFS(期初库存!G:G,期初库存!C:C,C107)+SUMIFS('采购录入（明细）'!I:I,'采购录入（明细）'!E:E,C107)-SUMIFS('领用录入（明细）'!I:I,'领用录入（明细）'!F:F,C107)</f>
        <v>0</v>
      </c>
      <c r="I107" s="78">
        <v>0</v>
      </c>
      <c r="J107" s="79" t="str">
        <f t="shared" si="8"/>
        <v>否</v>
      </c>
    </row>
    <row r="108" customHeight="1" spans="2:10">
      <c r="B108" s="74">
        <v>119</v>
      </c>
      <c r="C108" s="77" t="str">
        <f>IF('基础-办公用品信息'!C108="","-",'基础-办公用品信息'!C108)</f>
        <v>电蚊器</v>
      </c>
      <c r="D108" s="77" t="str">
        <f>IF('基础-办公用品信息'!D113="","-",'基础-办公用品信息'!D113)</f>
        <v>包</v>
      </c>
      <c r="E108" s="77" t="str">
        <f>IF('基础-办公用品信息'!E108="","-",'基础-办公用品信息'!E108)</f>
        <v>-</v>
      </c>
      <c r="F108" s="77" t="str">
        <f>IF('基础-办公用品信息'!F108="","-",'基础-办公用品信息'!F108)</f>
        <v>-</v>
      </c>
      <c r="G108" s="77" t="str">
        <f t="shared" si="9"/>
        <v>-</v>
      </c>
      <c r="H108" s="77">
        <f>SUMIFS(期初库存!G:G,期初库存!C:C,C108)+SUMIFS('采购录入（明细）'!I:I,'采购录入（明细）'!E:E,C108)-SUMIFS('领用录入（明细）'!I:I,'领用录入（明细）'!F:F,C108)</f>
        <v>0</v>
      </c>
      <c r="I108" s="78">
        <v>0</v>
      </c>
      <c r="J108" s="79" t="str">
        <f t="shared" si="8"/>
        <v>否</v>
      </c>
    </row>
    <row r="109" customHeight="1" spans="2:10">
      <c r="B109" s="74">
        <v>120</v>
      </c>
      <c r="C109" s="77" t="str">
        <f>IF('基础-办公用品信息'!C109="","-",'基础-办公用品信息'!C109)</f>
        <v>电蚊液</v>
      </c>
      <c r="D109" s="77" t="str">
        <f>IF('基础-办公用品信息'!D114="","-",'基础-办公用品信息'!D114)</f>
        <v>条</v>
      </c>
      <c r="E109" s="77" t="str">
        <f>IF('基础-办公用品信息'!E109="","-",'基础-办公用品信息'!E109)</f>
        <v>-</v>
      </c>
      <c r="F109" s="77" t="str">
        <f>IF('基础-办公用品信息'!F109="","-",'基础-办公用品信息'!F109)</f>
        <v>-</v>
      </c>
      <c r="G109" s="77" t="str">
        <f t="shared" si="9"/>
        <v>-</v>
      </c>
      <c r="H109" s="77">
        <f>SUMIFS(期初库存!G:G,期初库存!C:C,C109)+SUMIFS('采购录入（明细）'!I:I,'采购录入（明细）'!E:E,C109)-SUMIFS('领用录入（明细）'!I:I,'领用录入（明细）'!F:F,C109)</f>
        <v>3</v>
      </c>
      <c r="I109" s="78">
        <v>1</v>
      </c>
      <c r="J109" s="79" t="str">
        <f t="shared" si="8"/>
        <v>否</v>
      </c>
    </row>
    <row r="110" customHeight="1" spans="2:10">
      <c r="B110" s="74">
        <v>121</v>
      </c>
      <c r="C110" s="77" t="str">
        <f>IF('基础-办公用品信息'!C110="","-",'基础-办公用品信息'!C110)</f>
        <v>会议杯有盖</v>
      </c>
      <c r="D110" s="77" t="str">
        <f>IF('基础-办公用品信息'!D115="","-",'基础-办公用品信息'!D115)</f>
        <v>条</v>
      </c>
      <c r="E110" s="77" t="str">
        <f>IF('基础-办公用品信息'!E110="","-",'基础-办公用品信息'!E110)</f>
        <v>-</v>
      </c>
      <c r="F110" s="77" t="str">
        <f>IF('基础-办公用品信息'!F110="","-",'基础-办公用品信息'!F110)</f>
        <v>-</v>
      </c>
      <c r="G110" s="77" t="str">
        <f t="shared" si="9"/>
        <v>-</v>
      </c>
      <c r="H110" s="77">
        <f>SUMIFS(期初库存!G:G,期初库存!C:C,C110)+SUMIFS('采购录入（明细）'!I:I,'采购录入（明细）'!E:E,C110)-SUMIFS('领用录入（明细）'!I:I,'领用录入（明细）'!F:F,C110)</f>
        <v>12</v>
      </c>
      <c r="I110" s="78">
        <v>5</v>
      </c>
      <c r="J110" s="79" t="str">
        <f t="shared" si="8"/>
        <v>否</v>
      </c>
    </row>
    <row r="111" customHeight="1" spans="2:10">
      <c r="B111" s="74">
        <v>122</v>
      </c>
      <c r="C111" s="77" t="str">
        <f>IF('基础-办公用品信息'!C111="","-",'基础-办公用品信息'!C111)</f>
        <v>卷纸</v>
      </c>
      <c r="D111" s="77" t="str">
        <f>IF('基础-办公用品信息'!D116="","-",'基础-办公用品信息'!D116)</f>
        <v>条</v>
      </c>
      <c r="E111" s="77" t="str">
        <f>IF('基础-办公用品信息'!E111="","-",'基础-办公用品信息'!E111)</f>
        <v>-</v>
      </c>
      <c r="F111" s="77">
        <f>IF('基础-办公用品信息'!F111="","-",'基础-办公用品信息'!F111)</f>
        <v>11.5</v>
      </c>
      <c r="G111" s="77">
        <f t="shared" si="9"/>
        <v>276</v>
      </c>
      <c r="H111" s="77">
        <f>SUMIFS(期初库存!G:G,期初库存!C:C,C111)+SUMIFS('采购录入（明细）'!I:I,'采购录入（明细）'!E:E,C111)-SUMIFS('领用录入（明细）'!I:I,'领用录入（明细）'!F:F,C111)</f>
        <v>24</v>
      </c>
      <c r="I111" s="78">
        <v>5</v>
      </c>
      <c r="J111" s="79" t="str">
        <f t="shared" si="8"/>
        <v>否</v>
      </c>
    </row>
    <row r="112" customHeight="1" spans="2:10">
      <c r="B112" s="74">
        <v>123</v>
      </c>
      <c r="C112" s="77" t="str">
        <f>IF('基础-办公用品信息'!C112="","-",'基础-办公用品信息'!C112)</f>
        <v>抽纸盒</v>
      </c>
      <c r="D112" s="77" t="str">
        <f>IF('基础-办公用品信息'!D117="","-",'基础-办公用品信息'!D117)</f>
        <v>个</v>
      </c>
      <c r="E112" s="77" t="str">
        <f>IF('基础-办公用品信息'!E112="","-",'基础-办公用品信息'!E112)</f>
        <v>-</v>
      </c>
      <c r="F112" s="77">
        <f>IF('基础-办公用品信息'!F112="","-",'基础-办公用品信息'!F112)</f>
        <v>5.3</v>
      </c>
      <c r="G112" s="77">
        <f t="shared" si="9"/>
        <v>461.1</v>
      </c>
      <c r="H112" s="77">
        <f>SUMIFS(期初库存!G:G,期初库存!C:C,C112)+SUMIFS('采购录入（明细）'!I:I,'采购录入（明细）'!E:E,C112)-SUMIFS('领用录入（明细）'!I:I,'领用录入（明细）'!F:F,C112)</f>
        <v>87</v>
      </c>
      <c r="I112" s="78">
        <v>5</v>
      </c>
      <c r="J112" s="79" t="str">
        <f t="shared" si="8"/>
        <v>否</v>
      </c>
    </row>
    <row r="113" customHeight="1" spans="2:10">
      <c r="B113" s="74">
        <v>125</v>
      </c>
      <c r="C113" s="77" t="str">
        <f>IF('基础-办公用品信息'!C113="","-",'基础-办公用品信息'!C113)</f>
        <v>抽纸巾</v>
      </c>
      <c r="D113" s="77" t="str">
        <f>IF('基础-办公用品信息'!D119="","-",'基础-办公用品信息'!D119)</f>
        <v>包</v>
      </c>
      <c r="E113" s="77" t="str">
        <f>IF('基础-办公用品信息'!E113="","-",'基础-办公用品信息'!E113)</f>
        <v>-</v>
      </c>
      <c r="F113" s="77">
        <f>IF('基础-办公用品信息'!F113="","-",'基础-办公用品信息'!F113)</f>
        <v>2.5</v>
      </c>
      <c r="G113" s="77">
        <f t="shared" si="9"/>
        <v>472.5</v>
      </c>
      <c r="H113" s="77">
        <f>SUMIFS(期初库存!G:G,期初库存!C:C,C113)+SUMIFS('采购录入（明细）'!I:I,'采购录入（明细）'!E:E,C113)-SUMIFS('领用录入（明细）'!I:I,'领用录入（明细）'!F:F,C113)</f>
        <v>189</v>
      </c>
      <c r="I113" s="78">
        <v>5</v>
      </c>
      <c r="J113" s="79" t="str">
        <f t="shared" si="8"/>
        <v>否</v>
      </c>
    </row>
    <row r="114" customHeight="1" spans="2:10">
      <c r="B114" s="74">
        <v>129</v>
      </c>
      <c r="C114" s="77" t="str">
        <f>IF('基础-办公用品信息'!C114="","-",'基础-办公用品信息'!C114)</f>
        <v>网线3米</v>
      </c>
      <c r="D114" s="77" t="str">
        <f>IF('基础-办公用品信息'!D123="","-",'基础-办公用品信息'!D123)</f>
        <v>瓶</v>
      </c>
      <c r="E114" s="77" t="str">
        <f>IF('基础-办公用品信息'!E114="","-",'基础-办公用品信息'!E114)</f>
        <v>-</v>
      </c>
      <c r="F114" s="77" t="str">
        <f>IF('基础-办公用品信息'!F114="","-",'基础-办公用品信息'!F114)</f>
        <v>-</v>
      </c>
      <c r="G114" s="77" t="str">
        <f t="shared" si="9"/>
        <v>-</v>
      </c>
      <c r="H114" s="77">
        <f>SUMIFS(期初库存!G:G,期初库存!C:C,C114)+SUMIFS('采购录入（明细）'!I:I,'采购录入（明细）'!E:E,C114)-SUMIFS('领用录入（明细）'!I:I,'领用录入（明细）'!F:F,C114)</f>
        <v>3</v>
      </c>
      <c r="I114" s="78">
        <v>3</v>
      </c>
      <c r="J114" s="79" t="str">
        <f t="shared" si="8"/>
        <v>否</v>
      </c>
    </row>
    <row r="115" customHeight="1" spans="2:10">
      <c r="B115" s="74">
        <v>130</v>
      </c>
      <c r="C115" s="77" t="str">
        <f>IF('基础-办公用品信息'!C115="","-",'基础-办公用品信息'!C115)</f>
        <v>网线2米</v>
      </c>
      <c r="D115" s="77" t="str">
        <f>IF('基础-办公用品信息'!D124="","-",'基础-办公用品信息'!D124)</f>
        <v>个</v>
      </c>
      <c r="E115" s="77" t="str">
        <f>IF('基础-办公用品信息'!E115="","-",'基础-办公用品信息'!E115)</f>
        <v>-</v>
      </c>
      <c r="F115" s="77" t="str">
        <f>IF('基础-办公用品信息'!F115="","-",'基础-办公用品信息'!F115)</f>
        <v>-</v>
      </c>
      <c r="G115" s="77" t="str">
        <f t="shared" si="9"/>
        <v>-</v>
      </c>
      <c r="H115" s="77">
        <f>SUMIFS(期初库存!G:G,期初库存!C:C,C115)+SUMIFS('采购录入（明细）'!I:I,'采购录入（明细）'!E:E,C115)-SUMIFS('领用录入（明细）'!I:I,'领用录入（明细）'!F:F,C115)</f>
        <v>3</v>
      </c>
      <c r="I115" s="78">
        <v>3</v>
      </c>
      <c r="J115" s="79" t="str">
        <f t="shared" si="8"/>
        <v>否</v>
      </c>
    </row>
    <row r="116" customHeight="1" spans="2:10">
      <c r="B116" s="74">
        <v>131</v>
      </c>
      <c r="C116" s="77" t="str">
        <f>IF('基础-办公用品信息'!C116="","-",'基础-办公用品信息'!C116)</f>
        <v>网线1.5米</v>
      </c>
      <c r="D116" s="77" t="str">
        <f>IF('基础-办公用品信息'!D125="","-",'基础-办公用品信息'!D125)</f>
        <v>个</v>
      </c>
      <c r="E116" s="77" t="str">
        <f>IF('基础-办公用品信息'!E116="","-",'基础-办公用品信息'!E116)</f>
        <v>-</v>
      </c>
      <c r="F116" s="77" t="str">
        <f>IF('基础-办公用品信息'!F116="","-",'基础-办公用品信息'!F116)</f>
        <v>-</v>
      </c>
      <c r="G116" s="77" t="str">
        <f t="shared" si="9"/>
        <v>-</v>
      </c>
      <c r="H116" s="77">
        <f>SUMIFS(期初库存!G:G,期初库存!C:C,C116)+SUMIFS('采购录入（明细）'!I:I,'采购录入（明细）'!E:E,C116)-SUMIFS('领用录入（明细）'!I:I,'领用录入（明细）'!F:F,C116)</f>
        <v>3</v>
      </c>
      <c r="I116" s="78">
        <v>3</v>
      </c>
      <c r="J116" s="79" t="str">
        <f t="shared" si="8"/>
        <v>否</v>
      </c>
    </row>
    <row r="117" customHeight="1" spans="2:10">
      <c r="B117" s="74">
        <v>133</v>
      </c>
      <c r="C117" s="77" t="str">
        <f>IF('基础-办公用品信息'!C117="","-",'基础-办公用品信息'!C117)</f>
        <v>老鼠板</v>
      </c>
      <c r="D117" s="77" t="str">
        <f>IF('基础-办公用品信息'!D127="","-",'基础-办公用品信息'!D127)</f>
        <v>个</v>
      </c>
      <c r="E117" s="77" t="str">
        <f>IF('基础-办公用品信息'!E117="","-",'基础-办公用品信息'!E117)</f>
        <v>-</v>
      </c>
      <c r="F117" s="77">
        <f>IF('基础-办公用品信息'!F117="","-",'基础-办公用品信息'!F117)</f>
        <v>2.5</v>
      </c>
      <c r="G117" s="77">
        <f t="shared" si="9"/>
        <v>10</v>
      </c>
      <c r="H117" s="77">
        <f>SUMIFS(期初库存!G:G,期初库存!C:C,C117)+SUMIFS('采购录入（明细）'!I:I,'采购录入（明细）'!E:E,C117)-SUMIFS('领用录入（明细）'!I:I,'领用录入（明细）'!F:F,C117)</f>
        <v>4</v>
      </c>
      <c r="I117" s="78">
        <v>4</v>
      </c>
      <c r="J117" s="79" t="str">
        <f t="shared" si="8"/>
        <v>否</v>
      </c>
    </row>
    <row r="118" customHeight="1" spans="2:10">
      <c r="B118" s="74">
        <v>134</v>
      </c>
      <c r="C118" s="77" t="str">
        <f>IF('基础-办公用品信息'!C118="","-",'基础-办公用品信息'!C118)</f>
        <v>板刷</v>
      </c>
      <c r="D118" s="77" t="str">
        <f>IF('基础-办公用品信息'!D128="","-",'基础-办公用品信息'!D128)</f>
        <v>个</v>
      </c>
      <c r="E118" s="77" t="str">
        <f>IF('基础-办公用品信息'!E118="","-",'基础-办公用品信息'!E118)</f>
        <v>-</v>
      </c>
      <c r="F118" s="77">
        <f>IF('基础-办公用品信息'!F118="","-",'基础-办公用品信息'!F118)</f>
        <v>2</v>
      </c>
      <c r="G118" s="77">
        <f t="shared" si="9"/>
        <v>2</v>
      </c>
      <c r="H118" s="77">
        <f>SUMIFS(期初库存!G:G,期初库存!C:C,C118)+SUMIFS('采购录入（明细）'!I:I,'采购录入（明细）'!E:E,C118)-SUMIFS('领用录入（明细）'!I:I,'领用录入（明细）'!F:F,C118)</f>
        <v>1</v>
      </c>
      <c r="I118" s="78">
        <v>1</v>
      </c>
      <c r="J118" s="79" t="str">
        <f t="shared" si="8"/>
        <v>否</v>
      </c>
    </row>
    <row r="119" customHeight="1" spans="2:10">
      <c r="B119" s="74">
        <v>135</v>
      </c>
      <c r="C119" s="77" t="str">
        <f>IF('基础-办公用品信息'!C119="","-",'基础-办公用品信息'!C119)</f>
        <v>话梅糖</v>
      </c>
      <c r="D119" s="77" t="str">
        <f>IF('基础-办公用品信息'!D129="","-",'基础-办公用品信息'!D129)</f>
        <v>支</v>
      </c>
      <c r="E119" s="77" t="str">
        <f>IF('基础-办公用品信息'!E119="","-",'基础-办公用品信息'!E119)</f>
        <v>-</v>
      </c>
      <c r="F119" s="77">
        <f>IF('基础-办公用品信息'!F119="","-",'基础-办公用品信息'!F119)</f>
        <v>5.9</v>
      </c>
      <c r="G119" s="77">
        <f t="shared" si="9"/>
        <v>0</v>
      </c>
      <c r="H119" s="77">
        <f>SUMIFS(期初库存!G:G,期初库存!C:C,C119)+SUMIFS('采购录入（明细）'!I:I,'采购录入（明细）'!E:E,C119)-SUMIFS('领用录入（明细）'!I:I,'领用录入（明细）'!F:F,C119)</f>
        <v>0</v>
      </c>
      <c r="I119" s="78">
        <v>0</v>
      </c>
      <c r="J119" s="79" t="str">
        <f t="shared" si="8"/>
        <v>否</v>
      </c>
    </row>
    <row r="120" customHeight="1" spans="2:10">
      <c r="B120" s="74">
        <v>136</v>
      </c>
      <c r="C120" s="77" t="str">
        <f>IF('基础-办公用品信息'!C120="","-",'基础-办公用品信息'!C120)</f>
        <v>打包扣</v>
      </c>
      <c r="D120" s="77" t="str">
        <f>IF('基础-办公用品信息'!D130="","-",'基础-办公用品信息'!D130)</f>
        <v>台</v>
      </c>
      <c r="E120" s="77" t="str">
        <f>IF('基础-办公用品信息'!E120="","-",'基础-办公用品信息'!E120)</f>
        <v>-</v>
      </c>
      <c r="F120" s="77">
        <f>IF('基础-办公用品信息'!F120="","-",'基础-办公用品信息'!F120)</f>
        <v>3.3</v>
      </c>
      <c r="G120" s="77">
        <f t="shared" si="9"/>
        <v>0</v>
      </c>
      <c r="H120" s="77">
        <f>SUMIFS(期初库存!G:G,期初库存!C:C,C120)+SUMIFS('采购录入（明细）'!I:I,'采购录入（明细）'!E:E,C120)-SUMIFS('领用录入（明细）'!I:I,'领用录入（明细）'!F:F,C120)</f>
        <v>0</v>
      </c>
      <c r="I120" s="78">
        <v>0</v>
      </c>
      <c r="J120" s="79" t="str">
        <f t="shared" si="8"/>
        <v>否</v>
      </c>
    </row>
    <row r="121" customHeight="1" spans="2:10">
      <c r="B121" s="74">
        <v>137</v>
      </c>
      <c r="C121" s="77" t="str">
        <f>IF('基础-办公用品信息'!C121="","-",'基础-办公用品信息'!C121)</f>
        <v>手推车</v>
      </c>
      <c r="D121" s="77" t="str">
        <f>IF('基础-办公用品信息'!D131="","-",'基础-办公用品信息'!D131)</f>
        <v>个</v>
      </c>
      <c r="E121" s="77" t="str">
        <f>IF('基础-办公用品信息'!E121="","-",'基础-办公用品信息'!E121)</f>
        <v>-</v>
      </c>
      <c r="F121" s="77">
        <f>IF('基础-办公用品信息'!F121="","-",'基础-办公用品信息'!F121)</f>
        <v>280</v>
      </c>
      <c r="G121" s="77">
        <f t="shared" si="9"/>
        <v>0</v>
      </c>
      <c r="H121" s="77">
        <f>SUMIFS(期初库存!G:G,期初库存!C:C,C121)+SUMIFS('采购录入（明细）'!I:I,'采购录入（明细）'!E:E,C121)-SUMIFS('领用录入（明细）'!I:I,'领用录入（明细）'!F:F,C121)</f>
        <v>0</v>
      </c>
      <c r="I121" s="78">
        <v>0</v>
      </c>
      <c r="J121" s="79" t="str">
        <f t="shared" si="8"/>
        <v>否</v>
      </c>
    </row>
    <row r="122" customHeight="1" spans="2:10">
      <c r="B122" s="74">
        <v>138</v>
      </c>
      <c r="C122" s="77" t="str">
        <f>IF('基础-办公用品信息'!C122="","-",'基础-办公用品信息'!C122)</f>
        <v>修改液</v>
      </c>
      <c r="D122" s="77" t="str">
        <f>IF('基础-办公用品信息'!D132="","-",'基础-办公用品信息'!D132)</f>
        <v>本</v>
      </c>
      <c r="E122" s="77" t="str">
        <f>IF('基础-办公用品信息'!E122="","-",'基础-办公用品信息'!E122)</f>
        <v>-</v>
      </c>
      <c r="F122" s="77">
        <f>IF('基础-办公用品信息'!F122="","-",'基础-办公用品信息'!F122)</f>
        <v>3.5</v>
      </c>
      <c r="G122" s="77">
        <f t="shared" si="9"/>
        <v>24.5</v>
      </c>
      <c r="H122" s="77">
        <f>SUMIFS(期初库存!G:G,期初库存!C:C,C122)+SUMIFS('采购录入（明细）'!I:I,'采购录入（明细）'!E:E,C122)-SUMIFS('领用录入（明细）'!I:I,'领用录入（明细）'!F:F,C122)</f>
        <v>7</v>
      </c>
      <c r="I122" s="78">
        <v>5</v>
      </c>
      <c r="J122" s="79" t="str">
        <f t="shared" si="8"/>
        <v>否</v>
      </c>
    </row>
    <row r="123" customHeight="1" spans="2:10">
      <c r="B123" s="74">
        <v>139</v>
      </c>
      <c r="C123" s="77" t="str">
        <f>IF('基础-办公用品信息'!C123="","-",'基础-办公用品信息'!C123)</f>
        <v>龙虎人丹</v>
      </c>
      <c r="D123" s="77" t="str">
        <f>IF('基础-办公用品信息'!D133="","-",'基础-办公用品信息'!D133)</f>
        <v>本</v>
      </c>
      <c r="E123" s="77" t="str">
        <f>IF('基础-办公用品信息'!E123="","-",'基础-办公用品信息'!E123)</f>
        <v>-</v>
      </c>
      <c r="F123" s="77">
        <f>IF('基础-办公用品信息'!F123="","-",'基础-办公用品信息'!F123)</f>
        <v>10</v>
      </c>
      <c r="G123" s="77">
        <f t="shared" ref="G123:G154" si="10">IFERROR(F123*H123,"-")</f>
        <v>0</v>
      </c>
      <c r="H123" s="77">
        <f>SUMIFS(期初库存!G:G,期初库存!C:C,C123)+SUMIFS('采购录入（明细）'!I:I,'采购录入（明细）'!E:E,C123)-SUMIFS('领用录入（明细）'!I:I,'领用录入（明细）'!F:F,C123)</f>
        <v>0</v>
      </c>
      <c r="I123" s="78">
        <v>0</v>
      </c>
      <c r="J123" s="79" t="str">
        <f t="shared" si="8"/>
        <v>否</v>
      </c>
    </row>
    <row r="124" customHeight="1" spans="2:10">
      <c r="B124" s="74">
        <v>140</v>
      </c>
      <c r="C124" s="77" t="str">
        <f>IF('基础-办公用品信息'!C124="","-",'基础-办公用品信息'!C124)</f>
        <v>无线鼠标 </v>
      </c>
      <c r="D124" s="77" t="str">
        <f>IF('基础-办公用品信息'!D134="","-",'基础-办公用品信息'!D134)</f>
        <v>支</v>
      </c>
      <c r="E124" s="77" t="str">
        <f>IF('基础-办公用品信息'!E124="","-",'基础-办公用品信息'!E124)</f>
        <v>-</v>
      </c>
      <c r="F124" s="77">
        <f>IF('基础-办公用品信息'!F124="","-",'基础-办公用品信息'!F124)</f>
        <v>75</v>
      </c>
      <c r="G124" s="77">
        <f t="shared" si="10"/>
        <v>375</v>
      </c>
      <c r="H124" s="77">
        <f>SUMIFS(期初库存!G:G,期初库存!C:C,C124)+SUMIFS('采购录入（明细）'!I:I,'采购录入（明细）'!E:E,C124)-SUMIFS('领用录入（明细）'!I:I,'领用录入（明细）'!F:F,C124)</f>
        <v>5</v>
      </c>
      <c r="I124" s="78">
        <v>0</v>
      </c>
      <c r="J124" s="79" t="str">
        <f t="shared" si="8"/>
        <v>否</v>
      </c>
    </row>
    <row r="125" customHeight="1" spans="2:10">
      <c r="B125" s="74">
        <v>142</v>
      </c>
      <c r="C125" s="77" t="str">
        <f>IF('基础-办公用品信息'!C125="","-",'基础-办公用品信息'!C125)</f>
        <v>插座5m</v>
      </c>
      <c r="D125" s="77" t="str">
        <f>IF('基础-办公用品信息'!D136="","-",'基础-办公用品信息'!D136)</f>
        <v>个</v>
      </c>
      <c r="E125" s="77" t="str">
        <f>IF('基础-办公用品信息'!E125="","-",'基础-办公用品信息'!E125)</f>
        <v>-</v>
      </c>
      <c r="F125" s="77">
        <f>IF('基础-办公用品信息'!F125="","-",'基础-办公用品信息'!F125)</f>
        <v>56</v>
      </c>
      <c r="G125" s="77">
        <f t="shared" si="10"/>
        <v>168</v>
      </c>
      <c r="H125" s="77">
        <f>SUMIFS(期初库存!G:G,期初库存!C:C,C125)+SUMIFS('采购录入（明细）'!I:I,'采购录入（明细）'!E:E,C125)-SUMIFS('领用录入（明细）'!I:I,'领用录入（明细）'!F:F,C125)</f>
        <v>3</v>
      </c>
      <c r="I125" s="78">
        <v>2</v>
      </c>
      <c r="J125" s="79" t="str">
        <f t="shared" si="8"/>
        <v>否</v>
      </c>
    </row>
    <row r="126" customHeight="1" spans="2:10">
      <c r="B126" s="74">
        <v>143</v>
      </c>
      <c r="C126" s="77" t="str">
        <f>IF('基础-办公用品信息'!C126="","-",'基础-办公用品信息'!C126)</f>
        <v>南孚4粒装简卡5号4粒/个</v>
      </c>
      <c r="D126" s="77" t="str">
        <f>IF('基础-办公用品信息'!D137="","-",'基础-办公用品信息'!D137)</f>
        <v>个</v>
      </c>
      <c r="E126" s="77" t="str">
        <f>IF('基础-办公用品信息'!E126="","-",'基础-办公用品信息'!E126)</f>
        <v>-</v>
      </c>
      <c r="F126" s="77">
        <f>IF('基础-办公用品信息'!F126="","-",'基础-办公用品信息'!F126)</f>
        <v>11.8</v>
      </c>
      <c r="G126" s="77">
        <f t="shared" si="10"/>
        <v>0</v>
      </c>
      <c r="H126" s="77">
        <f>SUMIFS(期初库存!G:G,期初库存!C:C,C126)+SUMIFS('采购录入（明细）'!I:I,'采购录入（明细）'!E:E,C126)-SUMIFS('领用录入（明细）'!I:I,'领用录入（明细）'!F:F,C126)</f>
        <v>0</v>
      </c>
      <c r="I126" s="78">
        <v>0</v>
      </c>
      <c r="J126" s="79" t="str">
        <f t="shared" si="8"/>
        <v>否</v>
      </c>
    </row>
    <row r="127" customHeight="1" spans="2:10">
      <c r="B127" s="74">
        <v>144</v>
      </c>
      <c r="C127" s="77" t="str">
        <f>IF('基础-办公用品信息'!C127="","-",'基础-办公用品信息'!C127)</f>
        <v>南孚4粒装挂卡5号4粒/个</v>
      </c>
      <c r="D127" s="77" t="str">
        <f>IF('基础-办公用品信息'!D138="","-",'基础-办公用品信息'!D138)</f>
        <v>个</v>
      </c>
      <c r="E127" s="77" t="str">
        <f>IF('基础-办公用品信息'!E127="","-",'基础-办公用品信息'!E127)</f>
        <v>-</v>
      </c>
      <c r="F127" s="77">
        <f>IF('基础-办公用品信息'!F127="","-",'基础-办公用品信息'!F127)</f>
        <v>9.9</v>
      </c>
      <c r="G127" s="77">
        <f t="shared" si="10"/>
        <v>0</v>
      </c>
      <c r="H127" s="77">
        <f>SUMIFS(期初库存!G:G,期初库存!C:C,C127)+SUMIFS('采购录入（明细）'!I:I,'采购录入（明细）'!E:E,C127)-SUMIFS('领用录入（明细）'!I:I,'领用录入（明细）'!F:F,C127)</f>
        <v>0</v>
      </c>
      <c r="I127" s="78">
        <v>0</v>
      </c>
      <c r="J127" s="79" t="str">
        <f t="shared" si="8"/>
        <v>否</v>
      </c>
    </row>
    <row r="128" customHeight="1" spans="2:10">
      <c r="B128" s="74">
        <v>145</v>
      </c>
      <c r="C128" s="77" t="str">
        <f>IF('基础-办公用品信息'!C128="","-",'基础-办公用品信息'!C128)</f>
        <v>南孚2粒装5号2粒/个</v>
      </c>
      <c r="D128" s="77" t="str">
        <f>IF('基础-办公用品信息'!D139="","-",'基础-办公用品信息'!D139)</f>
        <v>个</v>
      </c>
      <c r="E128" s="77" t="str">
        <f>IF('基础-办公用品信息'!E128="","-",'基础-办公用品信息'!E128)</f>
        <v>-</v>
      </c>
      <c r="F128" s="77">
        <f>IF('基础-办公用品信息'!F128="","-",'基础-办公用品信息'!F128)</f>
        <v>5.7</v>
      </c>
      <c r="G128" s="77">
        <f t="shared" si="10"/>
        <v>0</v>
      </c>
      <c r="H128" s="77">
        <f>SUMIFS(期初库存!G:G,期初库存!C:C,C128)+SUMIFS('采购录入（明细）'!I:I,'采购录入（明细）'!E:E,C128)-SUMIFS('领用录入（明细）'!I:I,'领用录入（明细）'!F:F,C128)</f>
        <v>0</v>
      </c>
      <c r="I128" s="78">
        <v>0</v>
      </c>
      <c r="J128" s="79" t="str">
        <f t="shared" si="8"/>
        <v>否</v>
      </c>
    </row>
    <row r="129" customHeight="1" spans="2:10">
      <c r="B129" s="74">
        <v>146</v>
      </c>
      <c r="C129" s="77" t="str">
        <f>IF('基础-办公用品信息'!C129="","-",'基础-办公用品信息'!C129)</f>
        <v>激光笔技术部</v>
      </c>
      <c r="D129" s="77" t="str">
        <f>IF('基础-办公用品信息'!D140="","-",'基础-办公用品信息'!D140)</f>
        <v>桶</v>
      </c>
      <c r="E129" s="77" t="str">
        <f>IF('基础-办公用品信息'!E129="","-",'基础-办公用品信息'!E129)</f>
        <v>-</v>
      </c>
      <c r="F129" s="77">
        <f>IF('基础-办公用品信息'!F129="","-",'基础-办公用品信息'!F129)</f>
        <v>23.5</v>
      </c>
      <c r="G129" s="77">
        <f t="shared" si="10"/>
        <v>0</v>
      </c>
      <c r="H129" s="77">
        <f>SUMIFS(期初库存!G:G,期初库存!C:C,C129)+SUMIFS('采购录入（明细）'!I:I,'采购录入（明细）'!E:E,C129)-SUMIFS('领用录入（明细）'!I:I,'领用录入（明细）'!F:F,C129)</f>
        <v>0</v>
      </c>
      <c r="I129" s="78">
        <v>0</v>
      </c>
      <c r="J129" s="79" t="str">
        <f t="shared" si="8"/>
        <v>否</v>
      </c>
    </row>
    <row r="130" customHeight="1" spans="2:10">
      <c r="B130" s="74">
        <v>147</v>
      </c>
      <c r="C130" s="77" t="str">
        <f>IF('基础-办公用品信息'!C130="","-",'基础-办公用品信息'!C130)</f>
        <v>奥克斯除湿机铂悦府</v>
      </c>
      <c r="D130" s="77" t="str">
        <f>IF('基础-办公用品信息'!D141="","-",'基础-办公用品信息'!D141)</f>
        <v>桶</v>
      </c>
      <c r="E130" s="77" t="str">
        <f>IF('基础-办公用品信息'!E130="","-",'基础-办公用品信息'!E130)</f>
        <v>-</v>
      </c>
      <c r="F130" s="77">
        <f>IF('基础-办公用品信息'!F130="","-",'基础-办公用品信息'!F130)</f>
        <v>549</v>
      </c>
      <c r="G130" s="77">
        <f t="shared" si="10"/>
        <v>0</v>
      </c>
      <c r="H130" s="77">
        <f>SUMIFS(期初库存!G:G,期初库存!C:C,C130)+SUMIFS('采购录入（明细）'!I:I,'采购录入（明细）'!E:E,C130)-SUMIFS('领用录入（明细）'!I:I,'领用录入（明细）'!F:F,C130)</f>
        <v>0</v>
      </c>
      <c r="I130" s="78">
        <v>0</v>
      </c>
      <c r="J130" s="79" t="str">
        <f t="shared" si="8"/>
        <v>否</v>
      </c>
    </row>
    <row r="131" customHeight="1" spans="2:10">
      <c r="B131" s="74">
        <v>148</v>
      </c>
      <c r="C131" s="77" t="str">
        <f>IF('基础-办公用品信息'!C131="","-",'基础-办公用品信息'!C131)</f>
        <v>地毯胶</v>
      </c>
      <c r="D131" s="77" t="str">
        <f>IF('基础-办公用品信息'!D142="","-",'基础-办公用品信息'!D142)</f>
        <v>卷</v>
      </c>
      <c r="E131" s="77" t="str">
        <f>IF('基础-办公用品信息'!E131="","-",'基础-办公用品信息'!E131)</f>
        <v>-</v>
      </c>
      <c r="F131" s="77" t="str">
        <f>IF('基础-办公用品信息'!F131="","-",'基础-办公用品信息'!F131)</f>
        <v>-</v>
      </c>
      <c r="G131" s="77" t="str">
        <f t="shared" si="10"/>
        <v>-</v>
      </c>
      <c r="H131" s="77">
        <f>SUMIFS(期初库存!G:G,期初库存!C:C,C131)+SUMIFS('采购录入（明细）'!I:I,'采购录入（明细）'!E:E,C131)-SUMIFS('领用录入（明细）'!I:I,'领用录入（明细）'!F:F,C131)</f>
        <v>5</v>
      </c>
      <c r="I131" s="78">
        <v>2</v>
      </c>
      <c r="J131" s="79" t="str">
        <f t="shared" si="8"/>
        <v>否</v>
      </c>
    </row>
    <row r="132" customHeight="1" spans="2:10">
      <c r="B132" s="74">
        <v>151</v>
      </c>
      <c r="C132" s="77" t="str">
        <f>IF('基础-办公用品信息'!C132="","-",'基础-办公用品信息'!C132)</f>
        <v>报销单</v>
      </c>
      <c r="D132" s="77" t="str">
        <f>IF('基础-办公用品信息'!D145="","-",'基础-办公用品信息'!D145)</f>
        <v>瓶</v>
      </c>
      <c r="E132" s="77" t="str">
        <f>IF('基础-办公用品信息'!E132="","-",'基础-办公用品信息'!E132)</f>
        <v>-</v>
      </c>
      <c r="F132" s="77">
        <f>IF('基础-办公用品信息'!F132="","-",'基础-办公用品信息'!F132)</f>
        <v>1.2</v>
      </c>
      <c r="G132" s="77">
        <f t="shared" si="10"/>
        <v>234</v>
      </c>
      <c r="H132" s="77">
        <f>SUMIFS(期初库存!G:G,期初库存!C:C,C132)+SUMIFS('采购录入（明细）'!I:I,'采购录入（明细）'!E:E,C132)-SUMIFS('领用录入（明细）'!I:I,'领用录入（明细）'!F:F,C132)</f>
        <v>195</v>
      </c>
      <c r="I132" s="78">
        <v>50</v>
      </c>
      <c r="J132" s="79" t="str">
        <f t="shared" si="8"/>
        <v>否</v>
      </c>
    </row>
    <row r="133" customHeight="1" spans="2:10">
      <c r="B133" s="74">
        <v>152</v>
      </c>
      <c r="C133" s="77" t="str">
        <f>IF('基础-办公用品信息'!C133="","-",'基础-办公用品信息'!C133)</f>
        <v>差旅报销单</v>
      </c>
      <c r="D133" s="77" t="str">
        <f>IF('基础-办公用品信息'!D146="","-",'基础-办公用品信息'!D146)</f>
        <v>瓶</v>
      </c>
      <c r="E133" s="77" t="str">
        <f>IF('基础-办公用品信息'!E133="","-",'基础-办公用品信息'!E133)</f>
        <v>-</v>
      </c>
      <c r="F133" s="77">
        <f>IF('基础-办公用品信息'!F133="","-",'基础-办公用品信息'!F133)</f>
        <v>1.5</v>
      </c>
      <c r="G133" s="77">
        <f t="shared" si="10"/>
        <v>63</v>
      </c>
      <c r="H133" s="77">
        <f>SUMIFS(期初库存!G:G,期初库存!C:C,C133)+SUMIFS('采购录入（明细）'!I:I,'采购录入（明细）'!E:E,C133)-SUMIFS('领用录入（明细）'!I:I,'领用录入（明细）'!F:F,C133)</f>
        <v>42</v>
      </c>
      <c r="I133" s="78">
        <v>5</v>
      </c>
      <c r="J133" s="79" t="str">
        <f t="shared" si="8"/>
        <v>否</v>
      </c>
    </row>
    <row r="134" customHeight="1" spans="2:10">
      <c r="B134" s="74">
        <v>154</v>
      </c>
      <c r="C134" s="77" t="str">
        <f>IF('基础-办公用品信息'!C134="","-",'基础-办公用品信息'!C134)</f>
        <v>刀笔</v>
      </c>
      <c r="D134" s="77" t="str">
        <f>IF('基础-办公用品信息'!D147="","-",'基础-办公用品信息'!D147)</f>
        <v>个</v>
      </c>
      <c r="E134" s="77" t="str">
        <f>IF('基础-办公用品信息'!E134="","-",'基础-办公用品信息'!E134)</f>
        <v>-</v>
      </c>
      <c r="F134" s="77">
        <f>IF('基础-办公用品信息'!F134="","-",'基础-办公用品信息'!F134)</f>
        <v>0.32</v>
      </c>
      <c r="G134" s="77">
        <f t="shared" si="10"/>
        <v>13.44</v>
      </c>
      <c r="H134" s="77">
        <f>SUMIFS(期初库存!G:G,期初库存!C:C,C134)+SUMIFS('采购录入（明细）'!I:I,'采购录入（明细）'!E:E,C134)-SUMIFS('领用录入（明细）'!I:I,'领用录入（明细）'!F:F,C134)</f>
        <v>42</v>
      </c>
      <c r="I134" s="78">
        <v>5</v>
      </c>
      <c r="J134" s="79" t="str">
        <f t="shared" si="8"/>
        <v>否</v>
      </c>
    </row>
    <row r="135" customHeight="1" spans="2:10">
      <c r="B135" s="74">
        <v>156</v>
      </c>
      <c r="C135" s="77" t="str">
        <f>IF('基础-办公用品信息'!C135="","-",'基础-办公用品信息'!C135)</f>
        <v>方形单色印台得力红色</v>
      </c>
      <c r="D135" s="77" t="str">
        <f>IF('基础-办公用品信息'!D148="","-",'基础-办公用品信息'!D148)</f>
        <v>个</v>
      </c>
      <c r="E135" s="77" t="str">
        <f>IF('基础-办公用品信息'!E135="","-",'基础-办公用品信息'!E135)</f>
        <v>-</v>
      </c>
      <c r="F135" s="77">
        <f>IF('基础-办公用品信息'!F135="","-",'基础-办公用品信息'!F135)</f>
        <v>9</v>
      </c>
      <c r="G135" s="77">
        <f t="shared" si="10"/>
        <v>0</v>
      </c>
      <c r="H135" s="77">
        <f>SUMIFS(期初库存!G:G,期初库存!C:C,C135)+SUMIFS('采购录入（明细）'!I:I,'采购录入（明细）'!E:E,C135)-SUMIFS('领用录入（明细）'!I:I,'领用录入（明细）'!F:F,C135)</f>
        <v>0</v>
      </c>
      <c r="I135" s="78">
        <v>0</v>
      </c>
      <c r="J135" s="79" t="str">
        <f t="shared" ref="J135:J140" si="11">IF(I135&gt;H135,"采购","否")</f>
        <v>否</v>
      </c>
    </row>
    <row r="136" customHeight="1" spans="2:10">
      <c r="B136" s="74">
        <v>157</v>
      </c>
      <c r="C136" s="77" t="str">
        <f>IF('基础-办公用品信息'!C136="","-",'基础-办公用品信息'!C136)</f>
        <v>台笔</v>
      </c>
      <c r="D136" s="77" t="str">
        <f>IF('基础-办公用品信息'!D149="","-",'基础-办公用品信息'!D149)</f>
        <v>瓶</v>
      </c>
      <c r="E136" s="77" t="str">
        <f>IF('基础-办公用品信息'!E136="","-",'基础-办公用品信息'!E136)</f>
        <v>-</v>
      </c>
      <c r="F136" s="77" t="str">
        <f>IF('基础-办公用品信息'!F136="","-",'基础-办公用品信息'!F136)</f>
        <v>-</v>
      </c>
      <c r="G136" s="77" t="str">
        <f t="shared" si="10"/>
        <v>-</v>
      </c>
      <c r="H136" s="77">
        <f>SUMIFS(期初库存!G:G,期初库存!C:C,C136)+SUMIFS('采购录入（明细）'!I:I,'采购录入（明细）'!E:E,C136)-SUMIFS('领用录入（明细）'!I:I,'领用录入（明细）'!F:F,C136)</f>
        <v>3</v>
      </c>
      <c r="I136" s="78">
        <v>3</v>
      </c>
      <c r="J136" s="79" t="str">
        <f t="shared" si="11"/>
        <v>否</v>
      </c>
    </row>
    <row r="137" customHeight="1" spans="2:10">
      <c r="B137" s="74">
        <v>158</v>
      </c>
      <c r="C137" s="77" t="str">
        <f>IF('基础-办公用品信息'!C137="","-",'基础-办公用品信息'!C137)</f>
        <v>用款申请单</v>
      </c>
      <c r="D137" s="77" t="str">
        <f>IF('基础-办公用品信息'!D150="","-",'基础-办公用品信息'!D150)</f>
        <v>条</v>
      </c>
      <c r="E137" s="77" t="str">
        <f>IF('基础-办公用品信息'!E137="","-",'基础-办公用品信息'!E137)</f>
        <v>-</v>
      </c>
      <c r="F137" s="77" t="str">
        <f>IF('基础-办公用品信息'!F137="","-",'基础-办公用品信息'!F137)</f>
        <v>-</v>
      </c>
      <c r="G137" s="77" t="str">
        <f t="shared" si="10"/>
        <v>-</v>
      </c>
      <c r="H137" s="77">
        <f>SUMIFS(期初库存!G:G,期初库存!C:C,C137)+SUMIFS('采购录入（明细）'!I:I,'采购录入（明细）'!E:E,C137)-SUMIFS('领用录入（明细）'!I:I,'领用录入（明细）'!F:F,C137)</f>
        <v>1293</v>
      </c>
      <c r="I137" s="78">
        <v>5</v>
      </c>
      <c r="J137" s="79" t="str">
        <f t="shared" si="11"/>
        <v>否</v>
      </c>
    </row>
    <row r="138" customHeight="1" spans="2:10">
      <c r="B138" s="74">
        <v>159</v>
      </c>
      <c r="C138" s="77" t="str">
        <f>IF('基础-办公用品信息'!C138="","-",'基础-办公用品信息'!C138)</f>
        <v>笔记本</v>
      </c>
      <c r="D138" s="77" t="str">
        <f>IF('基础-办公用品信息'!D151="","-",'基础-办公用品信息'!D151)</f>
        <v>个</v>
      </c>
      <c r="E138" s="77" t="str">
        <f>IF('基础-办公用品信息'!E138="","-",'基础-办公用品信息'!E138)</f>
        <v>-</v>
      </c>
      <c r="F138" s="77" t="str">
        <f>IF('基础-办公用品信息'!F138="","-",'基础-办公用品信息'!F138)</f>
        <v>-</v>
      </c>
      <c r="G138" s="77" t="str">
        <f t="shared" si="10"/>
        <v>-</v>
      </c>
      <c r="H138" s="77">
        <f>SUMIFS(期初库存!G:G,期初库存!C:C,C138)+SUMIFS('采购录入（明细）'!I:I,'采购录入（明细）'!E:E,C138)-SUMIFS('领用录入（明细）'!I:I,'领用录入（明细）'!F:F,C138)</f>
        <v>3</v>
      </c>
      <c r="I138" s="78">
        <v>3</v>
      </c>
      <c r="J138" s="79" t="str">
        <f t="shared" si="11"/>
        <v>否</v>
      </c>
    </row>
    <row r="139" customHeight="1" spans="2:10">
      <c r="B139" s="74">
        <v>160</v>
      </c>
      <c r="C139" s="77" t="str">
        <f>IF('基础-办公用品信息'!C139="","-",'基础-办公用品信息'!C139)</f>
        <v>键盘</v>
      </c>
      <c r="D139" s="77" t="str">
        <f>IF('基础-办公用品信息'!D152="","-",'基础-办公用品信息'!D152)</f>
        <v>瓶</v>
      </c>
      <c r="E139" s="77" t="str">
        <f>IF('基础-办公用品信息'!E139="","-",'基础-办公用品信息'!E139)</f>
        <v>-</v>
      </c>
      <c r="F139" s="77" t="str">
        <f>IF('基础-办公用品信息'!F139="","-",'基础-办公用品信息'!F139)</f>
        <v>-</v>
      </c>
      <c r="G139" s="77" t="str">
        <f t="shared" si="10"/>
        <v>-</v>
      </c>
      <c r="H139" s="77">
        <f>SUMIFS(期初库存!G:G,期初库存!C:C,C139)+SUMIFS('采购录入（明细）'!I:I,'采购录入（明细）'!E:E,C139)-SUMIFS('领用录入（明细）'!I:I,'领用录入（明细）'!F:F,C139)</f>
        <v>2</v>
      </c>
      <c r="I139" s="78">
        <v>0</v>
      </c>
      <c r="J139" s="79" t="str">
        <f t="shared" si="11"/>
        <v>否</v>
      </c>
    </row>
    <row r="140" customHeight="1" spans="2:10">
      <c r="B140" s="74">
        <v>161</v>
      </c>
      <c r="C140" s="77" t="str">
        <f>IF('基础-办公用品信息'!C140="","-",'基础-办公用品信息'!C140)</f>
        <v>84消毒液</v>
      </c>
      <c r="D140" s="77" t="str">
        <f>IF('基础-办公用品信息'!D153="","-",'基础-办公用品信息'!D153)</f>
        <v>个</v>
      </c>
      <c r="E140" s="77" t="str">
        <f>IF('基础-办公用品信息'!E140="","-",'基础-办公用品信息'!E140)</f>
        <v>-</v>
      </c>
      <c r="F140" s="77" t="str">
        <f>IF('基础-办公用品信息'!F140="","-",'基础-办公用品信息'!F140)</f>
        <v>-</v>
      </c>
      <c r="G140" s="77" t="str">
        <f t="shared" si="10"/>
        <v>-</v>
      </c>
      <c r="H140" s="77">
        <f>SUMIFS(期初库存!G:G,期初库存!C:C,C140)+SUMIFS('采购录入（明细）'!I:I,'采购录入（明细）'!E:E,C140)-SUMIFS('领用录入（明细）'!I:I,'领用录入（明细）'!F:F,C140)</f>
        <v>1</v>
      </c>
      <c r="I140" s="78">
        <v>1</v>
      </c>
      <c r="J140" s="79" t="str">
        <f t="shared" si="11"/>
        <v>否</v>
      </c>
    </row>
    <row r="141" customHeight="1" spans="2:10">
      <c r="B141" s="74">
        <v>162</v>
      </c>
      <c r="C141" s="77" t="str">
        <f>IF('基础-办公用品信息'!C141="","-",'基础-办公用品信息'!C141)</f>
        <v>洗洁精</v>
      </c>
      <c r="D141" s="77" t="str">
        <f>IF('基础-办公用品信息'!D154="","-",'基础-办公用品信息'!D154)</f>
        <v>瓶</v>
      </c>
      <c r="E141" s="77" t="str">
        <f>IF('基础-办公用品信息'!E141="","-",'基础-办公用品信息'!E141)</f>
        <v>-</v>
      </c>
      <c r="F141" s="77" t="str">
        <f>IF('基础-办公用品信息'!F141="","-",'基础-办公用品信息'!F141)</f>
        <v>-</v>
      </c>
      <c r="G141" s="77" t="str">
        <f t="shared" si="10"/>
        <v>-</v>
      </c>
      <c r="H141" s="77">
        <f>SUMIFS(期初库存!G:G,期初库存!C:C,C141)+SUMIFS('采购录入（明细）'!I:I,'采购录入（明细）'!E:E,C141)-SUMIFS('领用录入（明细）'!I:I,'领用录入（明细）'!F:F,C141)</f>
        <v>4</v>
      </c>
      <c r="I141" s="78">
        <v>2</v>
      </c>
      <c r="J141" s="79" t="str">
        <f t="shared" ref="J141:J179" si="12">IF(I141&gt;H141,"采购","否")</f>
        <v>否</v>
      </c>
    </row>
    <row r="142" customHeight="1" spans="2:10">
      <c r="B142" s="74">
        <v>163</v>
      </c>
      <c r="C142" s="77" t="str">
        <f>IF('基础-办公用品信息'!C142="","-",'基础-办公用品信息'!C142)</f>
        <v>垃圾袋</v>
      </c>
      <c r="D142" s="77" t="str">
        <f>IF('基础-办公用品信息'!D155="","-",'基础-办公用品信息'!D155)</f>
        <v>本</v>
      </c>
      <c r="E142" s="77" t="str">
        <f>IF('基础-办公用品信息'!E142="","-",'基础-办公用品信息'!E142)</f>
        <v>-</v>
      </c>
      <c r="F142" s="77" t="str">
        <f>IF('基础-办公用品信息'!F142="","-",'基础-办公用品信息'!F142)</f>
        <v>-</v>
      </c>
      <c r="G142" s="77" t="str">
        <f t="shared" si="10"/>
        <v>-</v>
      </c>
      <c r="H142" s="77">
        <f>SUMIFS(期初库存!G:G,期初库存!C:C,C142)+SUMIFS('采购录入（明细）'!I:I,'采购录入（明细）'!E:E,C142)-SUMIFS('领用录入（明细）'!I:I,'领用录入（明细）'!F:F,C142)</f>
        <v>7</v>
      </c>
      <c r="I142" s="78">
        <v>1</v>
      </c>
      <c r="J142" s="79" t="str">
        <f t="shared" si="12"/>
        <v>否</v>
      </c>
    </row>
    <row r="143" customHeight="1" spans="2:10">
      <c r="B143" s="74">
        <v>164</v>
      </c>
      <c r="C143" s="77" t="str">
        <f>IF('基础-办公用品信息'!C143="","-",'基础-办公用品信息'!C143)</f>
        <v>白手套</v>
      </c>
      <c r="D143" s="77" t="str">
        <f>IF('基础-办公用品信息'!D156="","-",'基础-办公用品信息'!D156)</f>
        <v>双</v>
      </c>
      <c r="E143" s="77" t="str">
        <f>IF('基础-办公用品信息'!E143="","-",'基础-办公用品信息'!E143)</f>
        <v>-</v>
      </c>
      <c r="F143" s="77" t="str">
        <f>IF('基础-办公用品信息'!F143="","-",'基础-办公用品信息'!F143)</f>
        <v>-</v>
      </c>
      <c r="G143" s="77" t="str">
        <f t="shared" si="10"/>
        <v>-</v>
      </c>
      <c r="H143" s="77">
        <f>SUMIFS(期初库存!G:G,期初库存!C:C,C143)+SUMIFS('采购录入（明细）'!I:I,'采购录入（明细）'!E:E,C143)-SUMIFS('领用录入（明细）'!I:I,'领用录入（明细）'!F:F,C143)</f>
        <v>7</v>
      </c>
      <c r="I143" s="78">
        <v>1</v>
      </c>
      <c r="J143" s="79" t="str">
        <f t="shared" si="12"/>
        <v>否</v>
      </c>
    </row>
    <row r="144" customHeight="1" spans="2:10">
      <c r="B144" s="74">
        <v>165</v>
      </c>
      <c r="C144" s="77" t="str">
        <f>IF('基础-办公用品信息'!C144="","-",'基础-办公用品信息'!C144)</f>
        <v>喷洒消毒液</v>
      </c>
      <c r="D144" s="77" t="str">
        <f>IF('基础-办公用品信息'!D157="","-",'基础-办公用品信息'!D157)</f>
        <v>顶</v>
      </c>
      <c r="E144" s="77" t="str">
        <f>IF('基础-办公用品信息'!E144="","-",'基础-办公用品信息'!E144)</f>
        <v>-</v>
      </c>
      <c r="F144" s="77" t="str">
        <f>IF('基础-办公用品信息'!F144="","-",'基础-办公用品信息'!F144)</f>
        <v>-</v>
      </c>
      <c r="G144" s="77" t="str">
        <f t="shared" si="10"/>
        <v>-</v>
      </c>
      <c r="H144" s="77">
        <f>SUMIFS(期初库存!G:G,期初库存!C:C,C144)+SUMIFS('采购录入（明细）'!I:I,'采购录入（明细）'!E:E,C144)-SUMIFS('领用录入（明细）'!I:I,'领用录入（明细）'!F:F,C144)</f>
        <v>9</v>
      </c>
      <c r="I144" s="78">
        <v>1</v>
      </c>
      <c r="J144" s="79" t="str">
        <f t="shared" si="12"/>
        <v>否</v>
      </c>
    </row>
    <row r="145" customHeight="1" spans="2:10">
      <c r="B145" s="74">
        <v>166</v>
      </c>
      <c r="C145" s="77" t="str">
        <f>IF('基础-办公用品信息'!C145="","-",'基础-办公用品信息'!C145)</f>
        <v>消毒液L3</v>
      </c>
      <c r="D145" s="77" t="str">
        <f>IF('基础-办公用品信息'!D158="","-",'基础-办公用品信息'!D158)</f>
        <v>把</v>
      </c>
      <c r="E145" s="77" t="str">
        <f>IF('基础-办公用品信息'!E145="","-",'基础-办公用品信息'!E145)</f>
        <v>-</v>
      </c>
      <c r="F145" s="77" t="str">
        <f>IF('基础-办公用品信息'!F145="","-",'基础-办公用品信息'!F145)</f>
        <v>-</v>
      </c>
      <c r="G145" s="77" t="str">
        <f t="shared" si="10"/>
        <v>-</v>
      </c>
      <c r="H145" s="77">
        <f>SUMIFS(期初库存!G:G,期初库存!C:C,C145)+SUMIFS('采购录入（明细）'!I:I,'采购录入（明细）'!E:E,C145)-SUMIFS('领用录入（明细）'!I:I,'领用录入（明细）'!F:F,C145)</f>
        <v>15</v>
      </c>
      <c r="I145" s="78">
        <v>1</v>
      </c>
      <c r="J145" s="79" t="str">
        <f t="shared" si="12"/>
        <v>否</v>
      </c>
    </row>
    <row r="146" customHeight="1" spans="2:10">
      <c r="B146" s="74">
        <v>167</v>
      </c>
      <c r="C146" s="77" t="str">
        <f>IF('基础-办公用品信息'!C146="","-",'基础-办公用品信息'!C146)</f>
        <v>500消毒液</v>
      </c>
      <c r="D146" s="77" t="str">
        <f>IF('基础-办公用品信息'!D159="","-",'基础-办公用品信息'!D159)</f>
        <v>个</v>
      </c>
      <c r="E146" s="77" t="str">
        <f>IF('基础-办公用品信息'!E146="","-",'基础-办公用品信息'!E146)</f>
        <v>-</v>
      </c>
      <c r="F146" s="77" t="str">
        <f>IF('基础-办公用品信息'!F146="","-",'基础-办公用品信息'!F146)</f>
        <v>-</v>
      </c>
      <c r="G146" s="77" t="str">
        <f t="shared" si="10"/>
        <v>-</v>
      </c>
      <c r="H146" s="77">
        <f>SUMIFS(期初库存!G:G,期初库存!C:C,C146)+SUMIFS('采购录入（明细）'!I:I,'采购录入（明细）'!E:E,C146)-SUMIFS('领用录入（明细）'!I:I,'领用录入（明细）'!F:F,C146)</f>
        <v>2</v>
      </c>
      <c r="I146" s="78">
        <v>1</v>
      </c>
      <c r="J146" s="79" t="str">
        <f t="shared" si="12"/>
        <v>否</v>
      </c>
    </row>
    <row r="147" customHeight="1" spans="2:10">
      <c r="B147" s="74">
        <v>168</v>
      </c>
      <c r="C147" s="77" t="str">
        <f>IF('基础-办公用品信息'!C147="","-",'基础-办公用品信息'!C147)</f>
        <v>拖把</v>
      </c>
      <c r="D147" s="77" t="str">
        <f>IF('基础-办公用品信息'!D160="","-",'基础-办公用品信息'!D160)</f>
        <v>包</v>
      </c>
      <c r="E147" s="77" t="str">
        <f>IF('基础-办公用品信息'!E147="","-",'基础-办公用品信息'!E147)</f>
        <v>-</v>
      </c>
      <c r="F147" s="77" t="str">
        <f>IF('基础-办公用品信息'!F147="","-",'基础-办公用品信息'!F147)</f>
        <v>-</v>
      </c>
      <c r="G147" s="77" t="str">
        <f t="shared" si="10"/>
        <v>-</v>
      </c>
      <c r="H147" s="77">
        <f>SUMIFS(期初库存!G:G,期初库存!C:C,C147)+SUMIFS('采购录入（明细）'!I:I,'采购录入（明细）'!E:E,C147)-SUMIFS('领用录入（明细）'!I:I,'领用录入（明细）'!F:F,C147)</f>
        <v>0</v>
      </c>
      <c r="I147" s="78">
        <v>10</v>
      </c>
      <c r="J147" s="79" t="str">
        <f t="shared" si="12"/>
        <v>采购</v>
      </c>
    </row>
    <row r="148" customHeight="1" spans="2:10">
      <c r="B148" s="74">
        <v>169</v>
      </c>
      <c r="C148" s="77" t="str">
        <f>IF('基础-办公用品信息'!C148="","-",'基础-办公用品信息'!C148)</f>
        <v>玻璃刮刀</v>
      </c>
      <c r="D148" s="77" t="str">
        <f>IF('基础-办公用品信息'!D161="","-",'基础-办公用品信息'!D161)</f>
        <v>根</v>
      </c>
      <c r="E148" s="77" t="str">
        <f>IF('基础-办公用品信息'!E148="","-",'基础-办公用品信息'!E148)</f>
        <v>-</v>
      </c>
      <c r="F148" s="77" t="str">
        <f>IF('基础-办公用品信息'!F148="","-",'基础-办公用品信息'!F148)</f>
        <v>-</v>
      </c>
      <c r="G148" s="77" t="str">
        <f t="shared" si="10"/>
        <v>-</v>
      </c>
      <c r="H148" s="77">
        <f>SUMIFS(期初库存!G:G,期初库存!C:C,C148)+SUMIFS('采购录入（明细）'!I:I,'采购录入（明细）'!E:E,C148)-SUMIFS('领用录入（明细）'!I:I,'领用录入（明细）'!F:F,C148)</f>
        <v>1</v>
      </c>
      <c r="I148" s="78">
        <v>1</v>
      </c>
      <c r="J148" s="79" t="str">
        <f t="shared" si="12"/>
        <v>否</v>
      </c>
    </row>
    <row r="149" customHeight="1" spans="2:10">
      <c r="B149" s="74">
        <v>170</v>
      </c>
      <c r="C149" s="77" t="str">
        <f>IF('基础-办公用品信息'!C149="","-",'基础-办公用品信息'!C149)</f>
        <v>玻璃水</v>
      </c>
      <c r="D149" s="77" t="str">
        <f>IF('基础-办公用品信息'!D162="","-",'基础-办公用品信息'!D162)</f>
        <v>双</v>
      </c>
      <c r="E149" s="77" t="str">
        <f>IF('基础-办公用品信息'!E149="","-",'基础-办公用品信息'!E149)</f>
        <v>-</v>
      </c>
      <c r="F149" s="77" t="str">
        <f>IF('基础-办公用品信息'!F149="","-",'基础-办公用品信息'!F149)</f>
        <v>-</v>
      </c>
      <c r="G149" s="77" t="str">
        <f t="shared" si="10"/>
        <v>-</v>
      </c>
      <c r="H149" s="77">
        <f>SUMIFS(期初库存!G:G,期初库存!C:C,C149)+SUMIFS('采购录入（明细）'!I:I,'采购录入（明细）'!E:E,C149)-SUMIFS('领用录入（明细）'!I:I,'领用录入（明细）'!F:F,C149)</f>
        <v>4</v>
      </c>
      <c r="I149" s="78">
        <v>1</v>
      </c>
      <c r="J149" s="79" t="str">
        <f t="shared" si="12"/>
        <v>否</v>
      </c>
    </row>
    <row r="150" customHeight="1" spans="2:10">
      <c r="B150" s="74">
        <v>171</v>
      </c>
      <c r="C150" s="77" t="str">
        <f>IF('基础-办公用品信息'!C150="","-",'基础-办公用品信息'!C150)</f>
        <v>毛巾</v>
      </c>
      <c r="D150" s="77" t="str">
        <f>IF('基础-办公用品信息'!D163="","-",'基础-办公用品信息'!D163)</f>
        <v>卷</v>
      </c>
      <c r="E150" s="77" t="str">
        <f>IF('基础-办公用品信息'!E150="","-",'基础-办公用品信息'!E150)</f>
        <v>-</v>
      </c>
      <c r="F150" s="77" t="str">
        <f>IF('基础-办公用品信息'!F150="","-",'基础-办公用品信息'!F150)</f>
        <v>-</v>
      </c>
      <c r="G150" s="77" t="str">
        <f t="shared" si="10"/>
        <v>-</v>
      </c>
      <c r="H150" s="77">
        <f>SUMIFS(期初库存!G:G,期初库存!C:C,C150)+SUMIFS('采购录入（明细）'!I:I,'采购录入（明细）'!E:E,C150)-SUMIFS('领用录入（明细）'!I:I,'领用录入（明细）'!F:F,C150)</f>
        <v>37</v>
      </c>
      <c r="I150" s="78">
        <v>1</v>
      </c>
      <c r="J150" s="79" t="str">
        <f t="shared" si="12"/>
        <v>否</v>
      </c>
    </row>
    <row r="151" customHeight="1" spans="2:10">
      <c r="B151" s="74">
        <v>172</v>
      </c>
      <c r="C151" s="77" t="str">
        <f>IF('基础-办公用品信息'!C151="","-",'基础-办公用品信息'!C151)</f>
        <v>钉钉打卡机</v>
      </c>
      <c r="D151" s="77" t="str">
        <f>IF('基础-办公用品信息'!D164="","-",'基础-办公用品信息'!D164)</f>
        <v>卷</v>
      </c>
      <c r="E151" s="77" t="str">
        <f>IF('基础-办公用品信息'!E151="","-",'基础-办公用品信息'!E151)</f>
        <v>-</v>
      </c>
      <c r="F151" s="77" t="str">
        <f>IF('基础-办公用品信息'!F151="","-",'基础-办公用品信息'!F151)</f>
        <v>-</v>
      </c>
      <c r="G151" s="77" t="str">
        <f t="shared" si="10"/>
        <v>-</v>
      </c>
      <c r="H151" s="77">
        <f>SUMIFS(期初库存!G:G,期初库存!C:C,C151)+SUMIFS('采购录入（明细）'!I:I,'采购录入（明细）'!E:E,C151)-SUMIFS('领用录入（明细）'!I:I,'领用录入（明细）'!F:F,C151)</f>
        <v>4</v>
      </c>
      <c r="I151" s="78">
        <v>2</v>
      </c>
      <c r="J151" s="79" t="str">
        <f t="shared" si="12"/>
        <v>否</v>
      </c>
    </row>
    <row r="152" customHeight="1" spans="2:10">
      <c r="B152" s="74">
        <v>173</v>
      </c>
      <c r="C152" s="77" t="str">
        <f>IF('基础-办公用品信息'!C152="","-",'基础-办公用品信息'!C152)</f>
        <v>酒精消毒水</v>
      </c>
      <c r="D152" s="77" t="str">
        <f>IF('基础-办公用品信息'!D165="","-",'基础-办公用品信息'!D165)</f>
        <v>卷</v>
      </c>
      <c r="E152" s="77" t="str">
        <f>IF('基础-办公用品信息'!E152="","-",'基础-办公用品信息'!E152)</f>
        <v>-</v>
      </c>
      <c r="F152" s="77" t="str">
        <f>IF('基础-办公用品信息'!F152="","-",'基础-办公用品信息'!F152)</f>
        <v>-</v>
      </c>
      <c r="G152" s="77" t="str">
        <f t="shared" si="10"/>
        <v>-</v>
      </c>
      <c r="H152" s="77">
        <f>SUMIFS(期初库存!G:G,期初库存!C:C,C152)+SUMIFS('采购录入（明细）'!I:I,'采购录入（明细）'!E:E,C152)-SUMIFS('领用录入（明细）'!I:I,'领用录入（明细）'!F:F,C152)</f>
        <v>13</v>
      </c>
      <c r="I152" s="78">
        <v>1</v>
      </c>
      <c r="J152" s="79" t="str">
        <f t="shared" si="12"/>
        <v>否</v>
      </c>
    </row>
    <row r="153" customHeight="1" spans="2:10">
      <c r="B153" s="74">
        <v>174</v>
      </c>
      <c r="C153" s="77" t="str">
        <f>IF('基础-办公用品信息'!C153="","-",'基础-办公用品信息'!C153)</f>
        <v>马桶刷</v>
      </c>
      <c r="D153" s="77" t="str">
        <f>IF('基础-办公用品信息'!D166="","-",'基础-办公用品信息'!D166)</f>
        <v>瓶</v>
      </c>
      <c r="E153" s="77" t="str">
        <f>IF('基础-办公用品信息'!E153="","-",'基础-办公用品信息'!E153)</f>
        <v>-</v>
      </c>
      <c r="F153" s="77" t="str">
        <f>IF('基础-办公用品信息'!F153="","-",'基础-办公用品信息'!F153)</f>
        <v>-</v>
      </c>
      <c r="G153" s="77" t="str">
        <f t="shared" si="10"/>
        <v>-</v>
      </c>
      <c r="H153" s="77">
        <f>SUMIFS(期初库存!G:G,期初库存!C:C,C153)+SUMIFS('采购录入（明细）'!I:I,'采购录入（明细）'!E:E,C153)-SUMIFS('领用录入（明细）'!I:I,'领用录入（明细）'!F:F,C153)</f>
        <v>4</v>
      </c>
      <c r="I153" s="78">
        <v>1</v>
      </c>
      <c r="J153" s="79" t="str">
        <f t="shared" si="12"/>
        <v>否</v>
      </c>
    </row>
    <row r="154" customHeight="1" spans="2:10">
      <c r="B154" s="74">
        <v>175</v>
      </c>
      <c r="C154" s="77" t="str">
        <f>IF('基础-办公用品信息'!C154="","-",'基础-办公用品信息'!C154)</f>
        <v>洗手液</v>
      </c>
      <c r="D154" s="77" t="str">
        <f>IF('基础-办公用品信息'!D167="","-",'基础-办公用品信息'!D167)</f>
        <v>个</v>
      </c>
      <c r="E154" s="77" t="str">
        <f>IF('基础-办公用品信息'!E154="","-",'基础-办公用品信息'!E154)</f>
        <v>-</v>
      </c>
      <c r="F154" s="77" t="str">
        <f>IF('基础-办公用品信息'!F154="","-",'基础-办公用品信息'!F154)</f>
        <v>-</v>
      </c>
      <c r="G154" s="77" t="str">
        <f t="shared" si="10"/>
        <v>-</v>
      </c>
      <c r="H154" s="77">
        <f>SUMIFS(期初库存!G:G,期初库存!C:C,C154)+SUMIFS('采购录入（明细）'!I:I,'采购录入（明细）'!E:E,C154)-SUMIFS('领用录入（明细）'!I:I,'领用录入（明细）'!F:F,C154)</f>
        <v>2</v>
      </c>
      <c r="I154" s="78">
        <v>0</v>
      </c>
      <c r="J154" s="79" t="str">
        <f t="shared" si="12"/>
        <v>否</v>
      </c>
    </row>
    <row r="155" customHeight="1" spans="2:10">
      <c r="B155" s="74">
        <v>176</v>
      </c>
      <c r="C155" s="77" t="str">
        <f>IF('基础-办公用品信息'!C155="","-",'基础-办公用品信息'!C155)</f>
        <v>报销单</v>
      </c>
      <c r="D155" s="77" t="str">
        <f>IF('基础-办公用品信息'!D168="","-",'基础-办公用品信息'!D168)</f>
        <v>个</v>
      </c>
      <c r="E155" s="77" t="str">
        <f>IF('基础-办公用品信息'!E155="","-",'基础-办公用品信息'!E155)</f>
        <v>-</v>
      </c>
      <c r="F155" s="77" t="str">
        <f>IF('基础-办公用品信息'!F155="","-",'基础-办公用品信息'!F155)</f>
        <v>-</v>
      </c>
      <c r="G155" s="77" t="str">
        <f t="shared" ref="G155:G179" si="13">IFERROR(F155*H155,"-")</f>
        <v>-</v>
      </c>
      <c r="H155" s="77">
        <f>SUMIFS(期初库存!G:G,期初库存!C:C,C155)+SUMIFS('采购录入（明细）'!I:I,'采购录入（明细）'!E:E,C155)-SUMIFS('领用录入（明细）'!I:I,'领用录入（明细）'!F:F,C155)</f>
        <v>195</v>
      </c>
      <c r="I155" s="78">
        <v>1</v>
      </c>
      <c r="J155" s="79" t="str">
        <f t="shared" si="12"/>
        <v>否</v>
      </c>
    </row>
    <row r="156" customHeight="1" spans="2:10">
      <c r="B156" s="74">
        <v>177</v>
      </c>
      <c r="C156" s="77" t="str">
        <f>IF('基础-办公用品信息'!C156="","-",'基础-办公用品信息'!C156)</f>
        <v>手套</v>
      </c>
      <c r="D156" s="77" t="str">
        <f>IF('基础-办公用品信息'!D169="","-",'基础-办公用品信息'!D169)</f>
        <v>个</v>
      </c>
      <c r="E156" s="77" t="str">
        <f>IF('基础-办公用品信息'!E156="","-",'基础-办公用品信息'!E156)</f>
        <v>-</v>
      </c>
      <c r="F156" s="77" t="str">
        <f>IF('基础-办公用品信息'!F156="","-",'基础-办公用品信息'!F156)</f>
        <v>-</v>
      </c>
      <c r="G156" s="77" t="str">
        <f t="shared" si="13"/>
        <v>-</v>
      </c>
      <c r="H156" s="77">
        <f>SUMIFS(期初库存!G:G,期初库存!C:C,C156)+SUMIFS('采购录入（明细）'!I:I,'采购录入（明细）'!E:E,C156)-SUMIFS('领用录入（明细）'!I:I,'领用录入（明细）'!F:F,C156)</f>
        <v>0</v>
      </c>
      <c r="I156" s="78">
        <v>10</v>
      </c>
      <c r="J156" s="79" t="str">
        <f t="shared" si="12"/>
        <v>采购</v>
      </c>
    </row>
    <row r="157" customHeight="1" spans="2:10">
      <c r="B157" s="74">
        <v>178</v>
      </c>
      <c r="C157" s="77" t="str">
        <f>IF('基础-办公用品信息'!C157="","-",'基础-办公用品信息'!C157)</f>
        <v>安全帽</v>
      </c>
      <c r="D157" s="77" t="str">
        <f>IF('基础-办公用品信息'!D170="","-",'基础-办公用品信息'!D170)</f>
        <v>个</v>
      </c>
      <c r="E157" s="77" t="str">
        <f>IF('基础-办公用品信息'!E157="","-",'基础-办公用品信息'!E157)</f>
        <v>-</v>
      </c>
      <c r="F157" s="77" t="str">
        <f>IF('基础-办公用品信息'!F157="","-",'基础-办公用品信息'!F157)</f>
        <v>-</v>
      </c>
      <c r="G157" s="77" t="str">
        <f t="shared" si="13"/>
        <v>-</v>
      </c>
      <c r="H157" s="77">
        <f>SUMIFS(期初库存!G:G,期初库存!C:C,C157)+SUMIFS('采购录入（明细）'!I:I,'采购录入（明细）'!E:E,C157)-SUMIFS('领用录入（明细）'!I:I,'领用录入（明细）'!F:F,C157)</f>
        <v>70</v>
      </c>
      <c r="I157" s="78">
        <v>0</v>
      </c>
      <c r="J157" s="79" t="str">
        <f t="shared" si="12"/>
        <v>否</v>
      </c>
    </row>
    <row r="158" customHeight="1" spans="2:10">
      <c r="B158" s="74">
        <v>179</v>
      </c>
      <c r="C158" s="77" t="str">
        <f>IF('基础-办公用品信息'!C158="","-",'基础-办公用品信息'!C158)</f>
        <v>扫把</v>
      </c>
      <c r="D158" s="77" t="str">
        <f>IF('基础-办公用品信息'!D171="","-",'基础-办公用品信息'!D171)</f>
        <v>包</v>
      </c>
      <c r="E158" s="77" t="str">
        <f>IF('基础-办公用品信息'!E158="","-",'基础-办公用品信息'!E158)</f>
        <v>-</v>
      </c>
      <c r="F158" s="77" t="str">
        <f>IF('基础-办公用品信息'!F158="","-",'基础-办公用品信息'!F158)</f>
        <v>-</v>
      </c>
      <c r="G158" s="77" t="str">
        <f t="shared" si="13"/>
        <v>-</v>
      </c>
      <c r="H158" s="77">
        <f>SUMIFS(期初库存!G:G,期初库存!C:C,C158)+SUMIFS('采购录入（明细）'!I:I,'采购录入（明细）'!E:E,C158)-SUMIFS('领用录入（明细）'!I:I,'领用录入（明细）'!F:F,C158)</f>
        <v>0</v>
      </c>
      <c r="I158" s="78">
        <v>0</v>
      </c>
      <c r="J158" s="79" t="str">
        <f t="shared" si="12"/>
        <v>否</v>
      </c>
    </row>
    <row r="159" customHeight="1" spans="2:10">
      <c r="B159" s="74">
        <v>180</v>
      </c>
      <c r="C159" s="77" t="str">
        <f>IF('基础-办公用品信息'!C159="","-",'基础-办公用品信息'!C159)</f>
        <v>交换机</v>
      </c>
      <c r="D159" s="77" t="str">
        <f>IF('基础-办公用品信息'!D172="","-",'基础-办公用品信息'!D172)</f>
        <v>个</v>
      </c>
      <c r="E159" s="77" t="str">
        <f>IF('基础-办公用品信息'!E159="","-",'基础-办公用品信息'!E159)</f>
        <v>-</v>
      </c>
      <c r="F159" s="77" t="str">
        <f>IF('基础-办公用品信息'!F159="","-",'基础-办公用品信息'!F159)</f>
        <v>-</v>
      </c>
      <c r="G159" s="77" t="str">
        <f t="shared" si="13"/>
        <v>-</v>
      </c>
      <c r="H159" s="77">
        <f>SUMIFS(期初库存!G:G,期初库存!C:C,C159)+SUMIFS('采购录入（明细）'!I:I,'采购录入（明细）'!E:E,C159)-SUMIFS('领用录入（明细）'!I:I,'领用录入（明细）'!F:F,C159)</f>
        <v>0</v>
      </c>
      <c r="I159" s="78">
        <v>1</v>
      </c>
      <c r="J159" s="79" t="str">
        <f t="shared" si="12"/>
        <v>采购</v>
      </c>
    </row>
    <row r="160" customHeight="1" spans="2:10">
      <c r="B160" s="74">
        <v>181</v>
      </c>
      <c r="C160" s="77" t="str">
        <f>IF('基础-办公用品信息'!C160="","-",'基础-办公用品信息'!C160)</f>
        <v>狗粮</v>
      </c>
      <c r="D160" s="77" t="str">
        <f>IF('基础-办公用品信息'!D173="","-",'基础-办公用品信息'!D173)</f>
        <v>个</v>
      </c>
      <c r="E160" s="77" t="str">
        <f>IF('基础-办公用品信息'!E160="","-",'基础-办公用品信息'!E160)</f>
        <v>-</v>
      </c>
      <c r="F160" s="77" t="str">
        <f>IF('基础-办公用品信息'!F160="","-",'基础-办公用品信息'!F160)</f>
        <v>-</v>
      </c>
      <c r="G160" s="77" t="str">
        <f t="shared" si="13"/>
        <v>-</v>
      </c>
      <c r="H160" s="77">
        <f>SUMIFS(期初库存!G:G,期初库存!C:C,C160)+SUMIFS('采购录入（明细）'!I:I,'采购录入（明细）'!E:E,C160)-SUMIFS('领用录入（明细）'!I:I,'领用录入（明细）'!F:F,C160)</f>
        <v>1</v>
      </c>
      <c r="I160" s="78">
        <v>0</v>
      </c>
      <c r="J160" s="79" t="str">
        <f t="shared" si="12"/>
        <v>否</v>
      </c>
    </row>
    <row r="161" customHeight="1" spans="2:10">
      <c r="B161" s="74">
        <v>182</v>
      </c>
      <c r="C161" s="77" t="str">
        <f>IF('基础-办公用品信息'!C161="","-",'基础-办公用品信息'!C161)</f>
        <v>尘推杆</v>
      </c>
      <c r="D161" s="77" t="str">
        <f>IF('基础-办公用品信息'!D174="","-",'基础-办公用品信息'!D174)</f>
        <v>个</v>
      </c>
      <c r="E161" s="77" t="str">
        <f>IF('基础-办公用品信息'!E161="","-",'基础-办公用品信息'!E161)</f>
        <v>-</v>
      </c>
      <c r="F161" s="77" t="str">
        <f>IF('基础-办公用品信息'!F161="","-",'基础-办公用品信息'!F161)</f>
        <v>-</v>
      </c>
      <c r="G161" s="77" t="str">
        <f t="shared" si="13"/>
        <v>-</v>
      </c>
      <c r="H161" s="77">
        <f>SUMIFS(期初库存!G:G,期初库存!C:C,C161)+SUMIFS('采购录入（明细）'!I:I,'采购录入（明细）'!E:E,C161)-SUMIFS('领用录入（明细）'!I:I,'领用录入（明细）'!F:F,C161)</f>
        <v>9</v>
      </c>
      <c r="I161" s="78">
        <v>1</v>
      </c>
      <c r="J161" s="79" t="str">
        <f t="shared" si="12"/>
        <v>否</v>
      </c>
    </row>
    <row r="162" customHeight="1" spans="2:10">
      <c r="B162" s="74">
        <v>183</v>
      </c>
      <c r="C162" s="77" t="str">
        <f>IF('基础-办公用品信息'!C162="","-",'基础-办公用品信息'!C162)</f>
        <v>橡胶手套</v>
      </c>
      <c r="D162" s="77" t="str">
        <f>IF('基础-办公用品信息'!D175="","-",'基础-办公用品信息'!D175)</f>
        <v>个</v>
      </c>
      <c r="E162" s="77" t="str">
        <f>IF('基础-办公用品信息'!E162="","-",'基础-办公用品信息'!E162)</f>
        <v>-</v>
      </c>
      <c r="F162" s="77" t="str">
        <f>IF('基础-办公用品信息'!F162="","-",'基础-办公用品信息'!F162)</f>
        <v>-</v>
      </c>
      <c r="G162" s="77" t="str">
        <f t="shared" si="13"/>
        <v>-</v>
      </c>
      <c r="H162" s="77">
        <f>SUMIFS(期初库存!G:G,期初库存!C:C,C162)+SUMIFS('采购录入（明细）'!I:I,'采购录入（明细）'!E:E,C162)-SUMIFS('领用录入（明细）'!I:I,'领用录入（明细）'!F:F,C162)</f>
        <v>2</v>
      </c>
      <c r="I162" s="78">
        <v>1</v>
      </c>
      <c r="J162" s="79" t="str">
        <f t="shared" si="12"/>
        <v>否</v>
      </c>
    </row>
    <row r="163" customHeight="1" spans="2:10">
      <c r="B163" s="74">
        <v>184</v>
      </c>
      <c r="C163" s="77" t="str">
        <f>IF('基础-办公用品信息'!C163="","-",'基础-办公用品信息'!C163)</f>
        <v>透明胶带大卷</v>
      </c>
      <c r="D163" s="77" t="str">
        <f>IF('基础-办公用品信息'!D176="","-",'基础-办公用品信息'!D176)</f>
        <v>个</v>
      </c>
      <c r="E163" s="77" t="str">
        <f>IF('基础-办公用品信息'!E163="","-",'基础-办公用品信息'!E163)</f>
        <v>-</v>
      </c>
      <c r="F163" s="77" t="str">
        <f>IF('基础-办公用品信息'!F163="","-",'基础-办公用品信息'!F163)</f>
        <v>-</v>
      </c>
      <c r="G163" s="77" t="str">
        <f t="shared" si="13"/>
        <v>-</v>
      </c>
      <c r="H163" s="77">
        <f>SUMIFS(期初库存!G:G,期初库存!C:C,C163)+SUMIFS('采购录入（明细）'!I:I,'采购录入（明细）'!E:E,C163)-SUMIFS('领用录入（明细）'!I:I,'领用录入（明细）'!F:F,C163)</f>
        <v>10</v>
      </c>
      <c r="I163" s="78">
        <v>1</v>
      </c>
      <c r="J163" s="79" t="str">
        <f t="shared" si="12"/>
        <v>否</v>
      </c>
    </row>
    <row r="164" customHeight="1" spans="2:10">
      <c r="B164" s="74">
        <v>185</v>
      </c>
      <c r="C164" s="77" t="str">
        <f>IF('基础-办公用品信息'!C164="","-",'基础-办公用品信息'!C164)</f>
        <v>垃圾袋大</v>
      </c>
      <c r="D164" s="77" t="str">
        <f>IF('基础-办公用品信息'!D177="","-",'基础-办公用品信息'!D177)</f>
        <v>个</v>
      </c>
      <c r="E164" s="77" t="str">
        <f>IF('基础-办公用品信息'!E164="","-",'基础-办公用品信息'!E164)</f>
        <v>-</v>
      </c>
      <c r="F164" s="77" t="str">
        <f>IF('基础-办公用品信息'!F164="","-",'基础-办公用品信息'!F164)</f>
        <v>-</v>
      </c>
      <c r="G164" s="77" t="str">
        <f t="shared" si="13"/>
        <v>-</v>
      </c>
      <c r="H164" s="77">
        <f>SUMIFS(期初库存!G:G,期初库存!C:C,C164)+SUMIFS('采购录入（明细）'!I:I,'采购录入（明细）'!E:E,C164)-SUMIFS('领用录入（明细）'!I:I,'领用录入（明细）'!F:F,C164)</f>
        <v>73</v>
      </c>
      <c r="I164" s="78">
        <v>5</v>
      </c>
      <c r="J164" s="79" t="str">
        <f t="shared" si="12"/>
        <v>否</v>
      </c>
    </row>
    <row r="165" customHeight="1" spans="2:10">
      <c r="B165" s="74">
        <v>186</v>
      </c>
      <c r="C165" s="77" t="str">
        <f>IF('基础-办公用品信息'!C165="","-",'基础-办公用品信息'!C165)</f>
        <v>垃圾袋小</v>
      </c>
      <c r="D165" s="77" t="str">
        <f>IF('基础-办公用品信息'!D178="","-",'基础-办公用品信息'!D178)</f>
        <v>个</v>
      </c>
      <c r="E165" s="77" t="str">
        <f>IF('基础-办公用品信息'!E165="","-",'基础-办公用品信息'!E165)</f>
        <v>-</v>
      </c>
      <c r="F165" s="77" t="str">
        <f>IF('基础-办公用品信息'!F165="","-",'基础-办公用品信息'!F165)</f>
        <v>-</v>
      </c>
      <c r="G165" s="77" t="str">
        <f t="shared" si="13"/>
        <v>-</v>
      </c>
      <c r="H165" s="77">
        <f>SUMIFS(期初库存!G:G,期初库存!C:C,C165)+SUMIFS('采购录入（明细）'!I:I,'采购录入（明细）'!E:E,C165)-SUMIFS('领用录入（明细）'!I:I,'领用录入（明细）'!F:F,C165)</f>
        <v>159</v>
      </c>
      <c r="I165" s="78">
        <v>5</v>
      </c>
      <c r="J165" s="79" t="str">
        <f t="shared" si="12"/>
        <v>否</v>
      </c>
    </row>
    <row r="166" customHeight="1" spans="2:10">
      <c r="B166" s="74">
        <v>187</v>
      </c>
      <c r="C166" s="77" t="str">
        <f>IF('基础-办公用品信息'!C166="","-",'基础-办公用品信息'!C166)</f>
        <v>次氯酸消毒液</v>
      </c>
      <c r="D166" s="77" t="str">
        <f>IF('基础-办公用品信息'!D179="","-",'基础-办公用品信息'!D179)</f>
        <v>个</v>
      </c>
      <c r="E166" s="77" t="str">
        <f>IF('基础-办公用品信息'!E166="","-",'基础-办公用品信息'!E166)</f>
        <v>-</v>
      </c>
      <c r="F166" s="77" t="str">
        <f>IF('基础-办公用品信息'!F166="","-",'基础-办公用品信息'!F166)</f>
        <v>-</v>
      </c>
      <c r="G166" s="77" t="str">
        <f t="shared" si="13"/>
        <v>-</v>
      </c>
      <c r="H166" s="77">
        <f>SUMIFS(期初库存!G:G,期初库存!C:C,C166)+SUMIFS('采购录入（明细）'!I:I,'采购录入（明细）'!E:E,C166)-SUMIFS('领用录入（明细）'!I:I,'领用录入（明细）'!F:F,C166)</f>
        <v>0</v>
      </c>
      <c r="I166" s="78">
        <v>0</v>
      </c>
      <c r="J166" s="79" t="str">
        <f t="shared" si="12"/>
        <v>否</v>
      </c>
    </row>
    <row r="167" customHeight="1" spans="2:10">
      <c r="B167" s="74">
        <v>188</v>
      </c>
      <c r="C167" s="77" t="str">
        <f>IF('基础-办公用品信息'!C167="","-",'基础-办公用品信息'!C167)</f>
        <v>喷壶</v>
      </c>
      <c r="D167" s="77" t="str">
        <f>IF('基础-办公用品信息'!D180="","-",'基础-办公用品信息'!D180)</f>
        <v>个</v>
      </c>
      <c r="E167" s="77" t="str">
        <f>IF('基础-办公用品信息'!E167="","-",'基础-办公用品信息'!E167)</f>
        <v>-</v>
      </c>
      <c r="F167" s="77" t="str">
        <f>IF('基础-办公用品信息'!F167="","-",'基础-办公用品信息'!F167)</f>
        <v>-</v>
      </c>
      <c r="G167" s="77" t="str">
        <f t="shared" si="13"/>
        <v>-</v>
      </c>
      <c r="H167" s="77">
        <f>SUMIFS(期初库存!G:G,期初库存!C:C,C167)+SUMIFS('采购录入（明细）'!I:I,'采购录入（明细）'!E:E,C167)-SUMIFS('领用录入（明细）'!I:I,'领用录入（明细）'!F:F,C167)</f>
        <v>1</v>
      </c>
      <c r="I167" s="78">
        <v>1</v>
      </c>
      <c r="J167" s="79" t="str">
        <f t="shared" si="12"/>
        <v>否</v>
      </c>
    </row>
    <row r="168" customHeight="1" spans="2:10">
      <c r="B168" s="74">
        <v>189</v>
      </c>
      <c r="C168" s="77" t="str">
        <f>IF('基础-办公用品信息'!C168="","-",'基础-办公用品信息'!C168)</f>
        <v>马桶刷</v>
      </c>
      <c r="D168" s="77" t="str">
        <f>IF('基础-办公用品信息'!D181="","-",'基础-办公用品信息'!D181)</f>
        <v>个</v>
      </c>
      <c r="E168" s="77" t="str">
        <f>IF('基础-办公用品信息'!E168="","-",'基础-办公用品信息'!E168)</f>
        <v>-</v>
      </c>
      <c r="F168" s="77" t="str">
        <f>IF('基础-办公用品信息'!F168="","-",'基础-办公用品信息'!F168)</f>
        <v>-</v>
      </c>
      <c r="G168" s="77" t="str">
        <f t="shared" si="13"/>
        <v>-</v>
      </c>
      <c r="H168" s="77">
        <f>SUMIFS(期初库存!G:G,期初库存!C:C,C168)+SUMIFS('采购录入（明细）'!I:I,'采购录入（明细）'!E:E,C168)-SUMIFS('领用录入（明细）'!I:I,'领用录入（明细）'!F:F,C168)</f>
        <v>4</v>
      </c>
      <c r="I168" s="78">
        <v>1</v>
      </c>
      <c r="J168" s="79" t="str">
        <f t="shared" si="12"/>
        <v>否</v>
      </c>
    </row>
    <row r="169" customHeight="1" spans="2:10">
      <c r="B169" s="74">
        <v>190</v>
      </c>
      <c r="C169" s="77" t="str">
        <f>IF('基础-办公用品信息'!C169="","-",'基础-办公用品信息'!C169)</f>
        <v>无线网卡</v>
      </c>
      <c r="D169" s="77" t="str">
        <f>IF('基础-办公用品信息'!D182="","-",'基础-办公用品信息'!D182)</f>
        <v>个</v>
      </c>
      <c r="E169" s="77" t="str">
        <f>IF('基础-办公用品信息'!E169="","-",'基础-办公用品信息'!E169)</f>
        <v>-</v>
      </c>
      <c r="F169" s="77" t="str">
        <f>IF('基础-办公用品信息'!F169="","-",'基础-办公用品信息'!F169)</f>
        <v>-</v>
      </c>
      <c r="G169" s="77" t="str">
        <f t="shared" si="13"/>
        <v>-</v>
      </c>
      <c r="H169" s="77">
        <f>SUMIFS(期初库存!G:G,期初库存!C:C,C169)+SUMIFS('采购录入（明细）'!I:I,'采购录入（明细）'!E:E,C169)-SUMIFS('领用录入（明细）'!I:I,'领用录入（明细）'!F:F,C169)</f>
        <v>2</v>
      </c>
      <c r="I169" s="78">
        <v>1</v>
      </c>
      <c r="J169" s="79" t="str">
        <f t="shared" si="12"/>
        <v>否</v>
      </c>
    </row>
    <row r="170" customHeight="1" spans="2:10">
      <c r="B170" s="74">
        <v>191</v>
      </c>
      <c r="C170" s="77" t="str">
        <f>IF('基础-办公用品信息'!C170="","-",'基础-办公用品信息'!C170)</f>
        <v>院子灯泡</v>
      </c>
      <c r="D170" s="77" t="str">
        <f>IF('基础-办公用品信息'!D183="","-",'基础-办公用品信息'!D183)</f>
        <v>个</v>
      </c>
      <c r="E170" s="77" t="str">
        <f>IF('基础-办公用品信息'!E170="","-",'基础-办公用品信息'!E170)</f>
        <v>-</v>
      </c>
      <c r="F170" s="77">
        <f>IF('基础-办公用品信息'!F170="","-",'基础-办公用品信息'!F170)</f>
        <v>15</v>
      </c>
      <c r="G170" s="77">
        <f t="shared" si="13"/>
        <v>30</v>
      </c>
      <c r="H170" s="77">
        <f>SUMIFS(期初库存!G:G,期初库存!C:C,C170)+SUMIFS('采购录入（明细）'!I:I,'采购录入（明细）'!E:E,C170)-SUMIFS('领用录入（明细）'!I:I,'领用录入（明细）'!F:F,C170)</f>
        <v>2</v>
      </c>
      <c r="I170" s="78">
        <v>1</v>
      </c>
      <c r="J170" s="79" t="str">
        <f t="shared" si="12"/>
        <v>否</v>
      </c>
    </row>
    <row r="171" customHeight="1" spans="2:10">
      <c r="B171" s="74">
        <v>192</v>
      </c>
      <c r="C171" s="77" t="str">
        <f>IF('基础-办公用品信息'!C171="","-",'基础-办公用品信息'!C171)</f>
        <v>洗衣粉</v>
      </c>
      <c r="D171" s="77" t="str">
        <f>IF('基础-办公用品信息'!D184="","-",'基础-办公用品信息'!D184)</f>
        <v>个</v>
      </c>
      <c r="E171" s="77" t="str">
        <f>IF('基础-办公用品信息'!E171="","-",'基础-办公用品信息'!E171)</f>
        <v>-</v>
      </c>
      <c r="F171" s="77" t="str">
        <f>IF('基础-办公用品信息'!F171="","-",'基础-办公用品信息'!F171)</f>
        <v>-</v>
      </c>
      <c r="G171" s="77" t="str">
        <f t="shared" si="13"/>
        <v>-</v>
      </c>
      <c r="H171" s="77">
        <f>SUMIFS(期初库存!G:G,期初库存!C:C,C171)+SUMIFS('采购录入（明细）'!I:I,'采购录入（明细）'!E:E,C171)-SUMIFS('领用录入（明细）'!I:I,'领用录入（明细）'!F:F,C171)</f>
        <v>7</v>
      </c>
      <c r="I171" s="78">
        <v>1</v>
      </c>
      <c r="J171" s="79" t="str">
        <f t="shared" si="12"/>
        <v>否</v>
      </c>
    </row>
    <row r="172" customHeight="1" spans="2:10">
      <c r="B172" s="74">
        <v>193</v>
      </c>
      <c r="C172" s="77" t="str">
        <f>IF('基础-办公用品信息'!C172="","-",'基础-办公用品信息'!C172)</f>
        <v>海绵</v>
      </c>
      <c r="D172" s="77" t="str">
        <f>IF('基础-办公用品信息'!D185="","-",'基础-办公用品信息'!D185)</f>
        <v>个</v>
      </c>
      <c r="E172" s="77" t="str">
        <f>IF('基础-办公用品信息'!E172="","-",'基础-办公用品信息'!E172)</f>
        <v>-</v>
      </c>
      <c r="F172" s="77" t="str">
        <f>IF('基础-办公用品信息'!F172="","-",'基础-办公用品信息'!F172)</f>
        <v>-</v>
      </c>
      <c r="G172" s="77" t="str">
        <f t="shared" si="13"/>
        <v>-</v>
      </c>
      <c r="H172" s="77">
        <f>SUMIFS(期初库存!G:G,期初库存!C:C,C172)+SUMIFS('采购录入（明细）'!I:I,'采购录入（明细）'!E:E,C172)-SUMIFS('领用录入（明细）'!I:I,'领用录入（明细）'!F:F,C172)</f>
        <v>72</v>
      </c>
      <c r="I172" s="78">
        <v>1</v>
      </c>
      <c r="J172" s="79" t="str">
        <f t="shared" si="12"/>
        <v>否</v>
      </c>
    </row>
    <row r="173" customHeight="1" spans="2:10">
      <c r="B173" s="74">
        <v>194</v>
      </c>
      <c r="C173" s="77" t="str">
        <f>IF('基础-办公用品信息'!C173="","-",'基础-办公用品信息'!C173)</f>
        <v>304不锈钢餐盘（带盖）</v>
      </c>
      <c r="D173" s="77" t="str">
        <f>IF('基础-办公用品信息'!D186="","-",'基础-办公用品信息'!D186)</f>
        <v>个</v>
      </c>
      <c r="E173" s="77" t="str">
        <f>IF('基础-办公用品信息'!E173="","-",'基础-办公用品信息'!E173)</f>
        <v>-</v>
      </c>
      <c r="F173" s="77" t="str">
        <f>IF('基础-办公用品信息'!F173="","-",'基础-办公用品信息'!F173)</f>
        <v>-</v>
      </c>
      <c r="G173" s="77" t="str">
        <f t="shared" si="13"/>
        <v>-</v>
      </c>
      <c r="H173" s="77">
        <f>SUMIFS(期初库存!G:G,期初库存!C:C,C173)+SUMIFS('采购录入（明细）'!I:I,'采购录入（明细）'!E:E,C173)-SUMIFS('领用录入（明细）'!I:I,'领用录入（明细）'!F:F,C173)</f>
        <v>0</v>
      </c>
      <c r="I173" s="78">
        <v>0</v>
      </c>
      <c r="J173" s="79" t="str">
        <f t="shared" si="12"/>
        <v>否</v>
      </c>
    </row>
    <row r="174" customHeight="1" spans="2:10">
      <c r="B174" s="74">
        <v>195</v>
      </c>
      <c r="C174" s="77" t="str">
        <f>IF('基础-办公用品信息'!C174="","-",'基础-办公用品信息'!C174)</f>
        <v>304不锈钢餐盘）</v>
      </c>
      <c r="D174" s="77" t="str">
        <f>IF('基础-办公用品信息'!D187="","-",'基础-办公用品信息'!D187)</f>
        <v>个</v>
      </c>
      <c r="E174" s="77" t="str">
        <f>IF('基础-办公用品信息'!E174="","-",'基础-办公用品信息'!E174)</f>
        <v>-</v>
      </c>
      <c r="F174" s="77" t="str">
        <f>IF('基础-办公用品信息'!F174="","-",'基础-办公用品信息'!F174)</f>
        <v>-</v>
      </c>
      <c r="G174" s="77" t="str">
        <f t="shared" si="13"/>
        <v>-</v>
      </c>
      <c r="H174" s="77">
        <f>SUMIFS(期初库存!G:G,期初库存!C:C,C174)+SUMIFS('采购录入（明细）'!I:I,'采购录入（明细）'!E:E,C174)-SUMIFS('领用录入（明细）'!I:I,'领用录入（明细）'!F:F,C174)</f>
        <v>0</v>
      </c>
      <c r="I174" s="78">
        <v>0</v>
      </c>
      <c r="J174" s="79" t="str">
        <f t="shared" si="12"/>
        <v>否</v>
      </c>
    </row>
    <row r="175" customHeight="1" spans="2:10">
      <c r="B175" s="74">
        <v>196</v>
      </c>
      <c r="C175" s="77" t="str">
        <f>IF('基础-办公用品信息'!C175="","-",'基础-办公用品信息'!C175)</f>
        <v>调料罐</v>
      </c>
      <c r="D175" s="77" t="str">
        <f>IF('基础-办公用品信息'!D188="","-",'基础-办公用品信息'!D188)</f>
        <v>个</v>
      </c>
      <c r="E175" s="77" t="str">
        <f>IF('基础-办公用品信息'!E175="","-",'基础-办公用品信息'!E175)</f>
        <v>-</v>
      </c>
      <c r="F175" s="77" t="str">
        <f>IF('基础-办公用品信息'!F175="","-",'基础-办公用品信息'!F175)</f>
        <v>-</v>
      </c>
      <c r="G175" s="77" t="str">
        <f t="shared" si="13"/>
        <v>-</v>
      </c>
      <c r="H175" s="77">
        <f>SUMIFS(期初库存!G:G,期初库存!C:C,C175)+SUMIFS('采购录入（明细）'!I:I,'采购录入（明细）'!E:E,C175)-SUMIFS('领用录入（明细）'!I:I,'领用录入（明细）'!F:F,C175)</f>
        <v>0</v>
      </c>
      <c r="I175" s="78">
        <v>0</v>
      </c>
      <c r="J175" s="79" t="str">
        <f t="shared" ref="J175:J181" si="14">IF(I175&gt;H175,"采购","否")</f>
        <v>否</v>
      </c>
    </row>
    <row r="176" customHeight="1" spans="2:10">
      <c r="B176" s="74">
        <v>197</v>
      </c>
      <c r="C176" s="77" t="str">
        <f>IF('基础-办公用品信息'!C176="","-",'基础-办公用品信息'!C176)</f>
        <v>调料罐盖</v>
      </c>
      <c r="D176" s="77" t="str">
        <f>IF('基础-办公用品信息'!D189="","-",'基础-办公用品信息'!D189)</f>
        <v>个</v>
      </c>
      <c r="E176" s="77" t="str">
        <f>IF('基础-办公用品信息'!E176="","-",'基础-办公用品信息'!E176)</f>
        <v>-</v>
      </c>
      <c r="F176" s="77" t="str">
        <f>IF('基础-办公用品信息'!F176="","-",'基础-办公用品信息'!F176)</f>
        <v>-</v>
      </c>
      <c r="G176" s="77" t="str">
        <f t="shared" si="13"/>
        <v>-</v>
      </c>
      <c r="H176" s="77">
        <f>SUMIFS(期初库存!G:G,期初库存!C:C,C176)+SUMIFS('采购录入（明细）'!I:I,'采购录入（明细）'!E:E,C176)-SUMIFS('领用录入（明细）'!I:I,'领用录入（明细）'!F:F,C176)</f>
        <v>0</v>
      </c>
      <c r="I176" s="78">
        <v>0</v>
      </c>
      <c r="J176" s="79" t="str">
        <f t="shared" si="14"/>
        <v>否</v>
      </c>
    </row>
    <row r="177" customHeight="1" spans="2:10">
      <c r="B177" s="74">
        <v>198</v>
      </c>
      <c r="C177" s="77" t="str">
        <f>IF('基础-办公用品信息'!C177="","-",'基础-办公用品信息'!C177)</f>
        <v>304不锈钢油缸</v>
      </c>
      <c r="D177" s="77" t="str">
        <f>IF('基础-办公用品信息'!D190="","-",'基础-办公用品信息'!D190)</f>
        <v>个</v>
      </c>
      <c r="E177" s="77" t="str">
        <f>IF('基础-办公用品信息'!E177="","-",'基础-办公用品信息'!E177)</f>
        <v>-</v>
      </c>
      <c r="F177" s="77" t="str">
        <f>IF('基础-办公用品信息'!F177="","-",'基础-办公用品信息'!F177)</f>
        <v>-</v>
      </c>
      <c r="G177" s="77" t="str">
        <f t="shared" si="13"/>
        <v>-</v>
      </c>
      <c r="H177" s="77">
        <f>SUMIFS(期初库存!G:G,期初库存!C:C,C177)+SUMIFS('采购录入（明细）'!I:I,'采购录入（明细）'!E:E,C177)-SUMIFS('领用录入（明细）'!I:I,'领用录入（明细）'!F:F,C177)</f>
        <v>0</v>
      </c>
      <c r="I177" s="78">
        <v>0</v>
      </c>
      <c r="J177" s="79" t="str">
        <f t="shared" si="14"/>
        <v>否</v>
      </c>
    </row>
    <row r="178" customHeight="1" spans="2:10">
      <c r="B178" s="74">
        <v>199</v>
      </c>
      <c r="C178" s="77" t="str">
        <f>IF('基础-办公用品信息'!C178="","-",'基础-办公用品信息'!C178)</f>
        <v>304不锈钢大漏勺</v>
      </c>
      <c r="D178" s="77" t="str">
        <f>IF('基础-办公用品信息'!D191="","-",'基础-办公用品信息'!D191)</f>
        <v>个</v>
      </c>
      <c r="E178" s="77" t="str">
        <f>IF('基础-办公用品信息'!E178="","-",'基础-办公用品信息'!E178)</f>
        <v>-</v>
      </c>
      <c r="F178" s="77" t="str">
        <f>IF('基础-办公用品信息'!F178="","-",'基础-办公用品信息'!F178)</f>
        <v>-</v>
      </c>
      <c r="G178" s="77" t="str">
        <f t="shared" si="13"/>
        <v>-</v>
      </c>
      <c r="H178" s="77">
        <f>SUMIFS(期初库存!G:G,期初库存!C:C,C178)+SUMIFS('采购录入（明细）'!I:I,'采购录入（明细）'!E:E,C178)-SUMIFS('领用录入（明细）'!I:I,'领用录入（明细）'!F:F,C178)</f>
        <v>0</v>
      </c>
      <c r="I178" s="78">
        <v>0</v>
      </c>
      <c r="J178" s="79" t="str">
        <f t="shared" si="14"/>
        <v>否</v>
      </c>
    </row>
    <row r="179" customHeight="1" spans="2:10">
      <c r="B179" s="74">
        <v>200</v>
      </c>
      <c r="C179" s="77" t="str">
        <f>IF('基础-办公用品信息'!C179="","-",'基础-办公用品信息'!C179)</f>
        <v>304不锈钢沥油格</v>
      </c>
      <c r="D179" s="77" t="str">
        <f>IF('基础-办公用品信息'!D192="","-",'基础-办公用品信息'!D192)</f>
        <v>个</v>
      </c>
      <c r="E179" s="77" t="str">
        <f>IF('基础-办公用品信息'!E179="","-",'基础-办公用品信息'!E179)</f>
        <v>-</v>
      </c>
      <c r="F179" s="77" t="str">
        <f>IF('基础-办公用品信息'!F179="","-",'基础-办公用品信息'!F179)</f>
        <v>-</v>
      </c>
      <c r="G179" s="77" t="str">
        <f t="shared" si="13"/>
        <v>-</v>
      </c>
      <c r="H179" s="77">
        <f>SUMIFS(期初库存!G:G,期初库存!C:C,C179)+SUMIFS('采购录入（明细）'!I:I,'采购录入（明细）'!E:E,C179)-SUMIFS('领用录入（明细）'!I:I,'领用录入（明细）'!F:F,C179)</f>
        <v>0</v>
      </c>
      <c r="I179" s="78">
        <v>0</v>
      </c>
      <c r="J179" s="79" t="str">
        <f t="shared" si="14"/>
        <v>否</v>
      </c>
    </row>
    <row r="180" customHeight="1" spans="2:10">
      <c r="B180" s="74">
        <v>201</v>
      </c>
      <c r="C180" s="77" t="str">
        <f>IF('基础-办公用品信息'!C180="","-",'基础-办公用品信息'!C180)</f>
        <v>6两钢板汤勺</v>
      </c>
      <c r="D180" s="77" t="str">
        <f>IF('基础-办公用品信息'!D193="","-",'基础-办公用品信息'!D193)</f>
        <v>个</v>
      </c>
      <c r="E180" s="77" t="str">
        <f>IF('基础-办公用品信息'!E180="","-",'基础-办公用品信息'!E180)</f>
        <v>-</v>
      </c>
      <c r="F180" s="77" t="str">
        <f>IF('基础-办公用品信息'!F180="","-",'基础-办公用品信息'!F180)</f>
        <v>-</v>
      </c>
      <c r="G180" s="77" t="str">
        <f t="shared" ref="G180:G243" si="15">IFERROR(F180*H180,"-")</f>
        <v>-</v>
      </c>
      <c r="H180" s="77">
        <f>SUMIFS(期初库存!G:G,期初库存!C:C,C180)+SUMIFS('采购录入（明细）'!I:I,'采购录入（明细）'!E:E,C180)-SUMIFS('领用录入（明细）'!I:I,'领用录入（明细）'!F:F,C180)</f>
        <v>0</v>
      </c>
      <c r="I180" s="78">
        <v>0</v>
      </c>
      <c r="J180" s="79" t="str">
        <f t="shared" si="14"/>
        <v>否</v>
      </c>
    </row>
    <row r="181" customHeight="1" spans="2:10">
      <c r="B181" s="74">
        <v>202</v>
      </c>
      <c r="C181" s="77" t="str">
        <f>IF('基础-办公用品信息'!C181="","-",'基础-办公用品信息'!C181)</f>
        <v>锅盖</v>
      </c>
      <c r="D181" s="77" t="str">
        <f>IF('基础-办公用品信息'!D194="","-",'基础-办公用品信息'!D194)</f>
        <v>个</v>
      </c>
      <c r="E181" s="77" t="str">
        <f>IF('基础-办公用品信息'!E181="","-",'基础-办公用品信息'!E181)</f>
        <v>-</v>
      </c>
      <c r="F181" s="77" t="str">
        <f>IF('基础-办公用品信息'!F181="","-",'基础-办公用品信息'!F181)</f>
        <v>-</v>
      </c>
      <c r="G181" s="77" t="str">
        <f t="shared" si="15"/>
        <v>-</v>
      </c>
      <c r="H181" s="77">
        <f>SUMIFS(期初库存!G:G,期初库存!C:C,C181)+SUMIFS('采购录入（明细）'!I:I,'采购录入（明细）'!E:E,C181)-SUMIFS('领用录入（明细）'!I:I,'领用录入（明细）'!F:F,C181)</f>
        <v>0</v>
      </c>
      <c r="I181" s="78">
        <v>0</v>
      </c>
      <c r="J181" s="79" t="str">
        <f t="shared" si="14"/>
        <v>否</v>
      </c>
    </row>
    <row r="182" customHeight="1" spans="2:10">
      <c r="B182" s="74">
        <v>203</v>
      </c>
      <c r="C182" s="77" t="str">
        <f>IF('基础-办公用品信息'!C182="","-",'基础-办公用品信息'!C182)</f>
        <v>锅盖</v>
      </c>
      <c r="D182" s="77" t="str">
        <f>IF('基础-办公用品信息'!D195="","-",'基础-办公用品信息'!D195)</f>
        <v>个</v>
      </c>
      <c r="E182" s="77" t="str">
        <f>IF('基础-办公用品信息'!E182="","-",'基础-办公用品信息'!E182)</f>
        <v>-</v>
      </c>
      <c r="F182" s="77" t="str">
        <f>IF('基础-办公用品信息'!F182="","-",'基础-办公用品信息'!F182)</f>
        <v>-</v>
      </c>
      <c r="G182" s="77" t="str">
        <f t="shared" si="15"/>
        <v>-</v>
      </c>
      <c r="H182" s="77">
        <f>SUMIFS(期初库存!G:G,期初库存!C:C,C182)+SUMIFS('采购录入（明细）'!I:I,'采购录入（明细）'!E:E,C182)-SUMIFS('领用录入（明细）'!I:I,'领用录入（明细）'!F:F,C182)</f>
        <v>0</v>
      </c>
      <c r="I182" s="78">
        <v>0</v>
      </c>
      <c r="J182" s="79" t="str">
        <f t="shared" ref="J180:J243" si="16">IF(I182&gt;H182,"采购","否")</f>
        <v>否</v>
      </c>
    </row>
    <row r="183" customHeight="1" spans="2:10">
      <c r="B183" s="74">
        <v>204</v>
      </c>
      <c r="C183" s="77" t="str">
        <f>IF('基础-办公用品信息'!C183="","-",'基础-办公用品信息'!C183)</f>
        <v>剪刀</v>
      </c>
      <c r="D183" s="77" t="str">
        <f>IF('基础-办公用品信息'!D196="","-",'基础-办公用品信息'!D196)</f>
        <v>个</v>
      </c>
      <c r="E183" s="77" t="str">
        <f>IF('基础-办公用品信息'!E183="","-",'基础-办公用品信息'!E183)</f>
        <v>-</v>
      </c>
      <c r="F183" s="77" t="str">
        <f>IF('基础-办公用品信息'!F183="","-",'基础-办公用品信息'!F183)</f>
        <v>-</v>
      </c>
      <c r="G183" s="77" t="str">
        <f t="shared" si="15"/>
        <v>-</v>
      </c>
      <c r="H183" s="77">
        <f>SUMIFS(期初库存!G:G,期初库存!C:C,C183)+SUMIFS('采购录入（明细）'!I:I,'采购录入（明细）'!E:E,C183)-SUMIFS('领用录入（明细）'!I:I,'领用录入（明细）'!F:F,C183)</f>
        <v>23</v>
      </c>
      <c r="I183" s="78">
        <v>2</v>
      </c>
      <c r="J183" s="79" t="str">
        <f t="shared" si="16"/>
        <v>否</v>
      </c>
    </row>
    <row r="184" customHeight="1" spans="2:10">
      <c r="B184" s="74">
        <v>205</v>
      </c>
      <c r="C184" s="77" t="str">
        <f>IF('基础-办公用品信息'!C184="","-",'基础-办公用品信息'!C184)</f>
        <v>菜刀</v>
      </c>
      <c r="D184" s="77" t="str">
        <f>IF('基础-办公用品信息'!D197="","-",'基础-办公用品信息'!D197)</f>
        <v>个</v>
      </c>
      <c r="E184" s="77" t="str">
        <f>IF('基础-办公用品信息'!E184="","-",'基础-办公用品信息'!E184)</f>
        <v>-</v>
      </c>
      <c r="F184" s="77" t="str">
        <f>IF('基础-办公用品信息'!F184="","-",'基础-办公用品信息'!F184)</f>
        <v>-</v>
      </c>
      <c r="G184" s="77" t="str">
        <f t="shared" si="15"/>
        <v>-</v>
      </c>
      <c r="H184" s="77">
        <f>SUMIFS(期初库存!G:G,期初库存!C:C,C184)+SUMIFS('采购录入（明细）'!I:I,'采购录入（明细）'!E:E,C184)-SUMIFS('领用录入（明细）'!I:I,'领用录入（明细）'!F:F,C184)</f>
        <v>0</v>
      </c>
      <c r="I184" s="78">
        <v>0</v>
      </c>
      <c r="J184" s="79" t="str">
        <f t="shared" si="16"/>
        <v>否</v>
      </c>
    </row>
    <row r="185" customHeight="1" spans="2:10">
      <c r="B185" s="74">
        <v>206</v>
      </c>
      <c r="C185" s="77" t="str">
        <f>IF('基础-办公用品信息'!C185="","-",'基础-办公用品信息'!C185)</f>
        <v>高压锅排气阀</v>
      </c>
      <c r="D185" s="77" t="str">
        <f>IF('基础-办公用品信息'!D198="","-",'基础-办公用品信息'!D198)</f>
        <v>个</v>
      </c>
      <c r="E185" s="77" t="str">
        <f>IF('基础-办公用品信息'!E185="","-",'基础-办公用品信息'!E185)</f>
        <v>-</v>
      </c>
      <c r="F185" s="77" t="str">
        <f>IF('基础-办公用品信息'!F185="","-",'基础-办公用品信息'!F185)</f>
        <v>-</v>
      </c>
      <c r="G185" s="77" t="str">
        <f t="shared" si="15"/>
        <v>-</v>
      </c>
      <c r="H185" s="77">
        <f>SUMIFS(期初库存!G:G,期初库存!C:C,C185)+SUMIFS('采购录入（明细）'!I:I,'采购录入（明细）'!E:E,C185)-SUMIFS('领用录入（明细）'!I:I,'领用录入（明细）'!F:F,C185)</f>
        <v>0</v>
      </c>
      <c r="I185" s="78">
        <v>0</v>
      </c>
      <c r="J185" s="79" t="str">
        <f t="shared" si="16"/>
        <v>否</v>
      </c>
    </row>
    <row r="186" customHeight="1" spans="2:10">
      <c r="B186" s="74">
        <v>207</v>
      </c>
      <c r="C186" s="77" t="str">
        <f>IF('基础-办公用品信息'!C186="","-",'基础-办公用品信息'!C186)</f>
        <v>砍骨刀</v>
      </c>
      <c r="D186" s="77" t="str">
        <f>IF('基础-办公用品信息'!D199="","-",'基础-办公用品信息'!D199)</f>
        <v>个</v>
      </c>
      <c r="E186" s="77" t="str">
        <f>IF('基础-办公用品信息'!E186="","-",'基础-办公用品信息'!E186)</f>
        <v>-</v>
      </c>
      <c r="F186" s="77" t="str">
        <f>IF('基础-办公用品信息'!F186="","-",'基础-办公用品信息'!F186)</f>
        <v>-</v>
      </c>
      <c r="G186" s="77" t="str">
        <f t="shared" si="15"/>
        <v>-</v>
      </c>
      <c r="H186" s="77">
        <f>SUMIFS(期初库存!G:G,期初库存!C:C,C186)+SUMIFS('采购录入（明细）'!I:I,'采购录入（明细）'!E:E,C186)-SUMIFS('领用录入（明细）'!I:I,'领用录入（明细）'!F:F,C186)</f>
        <v>0</v>
      </c>
      <c r="I186" s="78">
        <v>0</v>
      </c>
      <c r="J186" s="79" t="str">
        <f t="shared" si="16"/>
        <v>否</v>
      </c>
    </row>
    <row r="187" customHeight="1" spans="2:10">
      <c r="B187" s="74">
        <v>208</v>
      </c>
      <c r="C187" s="77" t="str">
        <f>IF('基础-办公用品信息'!C187="","-",'基础-办公用品信息'!C187)</f>
        <v>高档汤勺</v>
      </c>
      <c r="D187" s="77" t="str">
        <f>IF('基础-办公用品信息'!D200="","-",'基础-办公用品信息'!D200)</f>
        <v>个</v>
      </c>
      <c r="E187" s="77" t="str">
        <f>IF('基础-办公用品信息'!E187="","-",'基础-办公用品信息'!E187)</f>
        <v>-</v>
      </c>
      <c r="F187" s="77" t="str">
        <f>IF('基础-办公用品信息'!F187="","-",'基础-办公用品信息'!F187)</f>
        <v>-</v>
      </c>
      <c r="G187" s="77" t="str">
        <f t="shared" si="15"/>
        <v>-</v>
      </c>
      <c r="H187" s="77">
        <f>SUMIFS(期初库存!G:G,期初库存!C:C,C187)+SUMIFS('采购录入（明细）'!I:I,'采购录入（明细）'!E:E,C187)-SUMIFS('领用录入（明细）'!I:I,'领用录入（明细）'!F:F,C187)</f>
        <v>0</v>
      </c>
      <c r="I187" s="78">
        <v>0</v>
      </c>
      <c r="J187" s="79" t="str">
        <f t="shared" si="16"/>
        <v>否</v>
      </c>
    </row>
    <row r="188" customHeight="1" spans="2:10">
      <c r="B188" s="74">
        <v>209</v>
      </c>
      <c r="C188" s="77" t="str">
        <f>IF('基础-办公用品信息'!C188="","-",'基础-办公用品信息'!C188)</f>
        <v>擀面杖</v>
      </c>
      <c r="D188" s="77" t="str">
        <f>IF('基础-办公用品信息'!D201="","-",'基础-办公用品信息'!D201)</f>
        <v>个</v>
      </c>
      <c r="E188" s="77" t="str">
        <f>IF('基础-办公用品信息'!E188="","-",'基础-办公用品信息'!E188)</f>
        <v>-</v>
      </c>
      <c r="F188" s="77" t="str">
        <f>IF('基础-办公用品信息'!F188="","-",'基础-办公用品信息'!F188)</f>
        <v>-</v>
      </c>
      <c r="G188" s="77" t="str">
        <f t="shared" si="15"/>
        <v>-</v>
      </c>
      <c r="H188" s="77">
        <f>SUMIFS(期初库存!G:G,期初库存!C:C,C188)+SUMIFS('采购录入（明细）'!I:I,'采购录入（明细）'!E:E,C188)-SUMIFS('领用录入（明细）'!I:I,'领用录入（明细）'!F:F,C188)</f>
        <v>0</v>
      </c>
      <c r="I188" s="78">
        <v>0</v>
      </c>
      <c r="J188" s="79" t="str">
        <f t="shared" si="16"/>
        <v>否</v>
      </c>
    </row>
    <row r="189" customHeight="1" spans="2:10">
      <c r="B189" s="74">
        <v>210</v>
      </c>
      <c r="C189" s="77" t="str">
        <f>IF('基础-办公用品信息'!C189="","-",'基础-办公用品信息'!C189)</f>
        <v>大号不锈钢网格篮</v>
      </c>
      <c r="D189" s="77" t="str">
        <f>IF('基础-办公用品信息'!D202="","-",'基础-办公用品信息'!D202)</f>
        <v>个</v>
      </c>
      <c r="E189" s="77" t="str">
        <f>IF('基础-办公用品信息'!E189="","-",'基础-办公用品信息'!E189)</f>
        <v>-</v>
      </c>
      <c r="F189" s="77" t="str">
        <f>IF('基础-办公用品信息'!F189="","-",'基础-办公用品信息'!F189)</f>
        <v>-</v>
      </c>
      <c r="G189" s="77" t="str">
        <f t="shared" si="15"/>
        <v>-</v>
      </c>
      <c r="H189" s="77">
        <f>SUMIFS(期初库存!G:G,期初库存!C:C,C189)+SUMIFS('采购录入（明细）'!I:I,'采购录入（明细）'!E:E,C189)-SUMIFS('领用录入（明细）'!I:I,'领用录入（明细）'!F:F,C189)</f>
        <v>0</v>
      </c>
      <c r="I189" s="78">
        <v>0</v>
      </c>
      <c r="J189" s="79" t="str">
        <f t="shared" si="16"/>
        <v>否</v>
      </c>
    </row>
    <row r="190" customHeight="1" spans="2:10">
      <c r="B190" s="74">
        <v>211</v>
      </c>
      <c r="C190" s="77" t="str">
        <f>IF('基础-办公用品信息'!C190="","-",'基础-办公用品信息'!C190)</f>
        <v>中号不锈钢网格篮</v>
      </c>
      <c r="D190" s="77" t="str">
        <f>IF('基础-办公用品信息'!D203="","-",'基础-办公用品信息'!D203)</f>
        <v>个</v>
      </c>
      <c r="E190" s="77" t="str">
        <f>IF('基础-办公用品信息'!E190="","-",'基础-办公用品信息'!E190)</f>
        <v>-</v>
      </c>
      <c r="F190" s="77" t="str">
        <f>IF('基础-办公用品信息'!F190="","-",'基础-办公用品信息'!F190)</f>
        <v>-</v>
      </c>
      <c r="G190" s="77" t="str">
        <f t="shared" si="15"/>
        <v>-</v>
      </c>
      <c r="H190" s="77">
        <f>SUMIFS(期初库存!G:G,期初库存!C:C,C190)+SUMIFS('采购录入（明细）'!I:I,'采购录入（明细）'!E:E,C190)-SUMIFS('领用录入（明细）'!I:I,'领用录入（明细）'!F:F,C190)</f>
        <v>0</v>
      </c>
      <c r="I190" s="78">
        <v>0</v>
      </c>
      <c r="J190" s="79" t="str">
        <f t="shared" si="16"/>
        <v>否</v>
      </c>
    </row>
    <row r="191" customHeight="1" spans="2:10">
      <c r="B191" s="74">
        <v>212</v>
      </c>
      <c r="C191" s="77" t="str">
        <f>IF('基础-办公用品信息'!C191="","-",'基础-办公用品信息'!C191)</f>
        <v>304不锈钢份数盒</v>
      </c>
      <c r="D191" s="77" t="str">
        <f>IF('基础-办公用品信息'!D204="","-",'基础-办公用品信息'!D204)</f>
        <v>个</v>
      </c>
      <c r="E191" s="77" t="str">
        <f>IF('基础-办公用品信息'!E191="","-",'基础-办公用品信息'!E191)</f>
        <v>-</v>
      </c>
      <c r="F191" s="77" t="str">
        <f>IF('基础-办公用品信息'!F191="","-",'基础-办公用品信息'!F191)</f>
        <v>-</v>
      </c>
      <c r="G191" s="77" t="str">
        <f t="shared" si="15"/>
        <v>-</v>
      </c>
      <c r="H191" s="77">
        <f>SUMIFS(期初库存!G:G,期初库存!C:C,C191)+SUMIFS('采购录入（明细）'!I:I,'采购录入（明细）'!E:E,C191)-SUMIFS('领用录入（明细）'!I:I,'领用录入（明细）'!F:F,C191)</f>
        <v>0</v>
      </c>
      <c r="I191" s="78">
        <v>0</v>
      </c>
      <c r="J191" s="79" t="str">
        <f t="shared" si="16"/>
        <v>否</v>
      </c>
    </row>
    <row r="192" customHeight="1" spans="2:10">
      <c r="B192" s="74">
        <v>213</v>
      </c>
      <c r="C192" s="77" t="str">
        <f>IF('基础-办公用品信息'!C192="","-",'基础-办公用品信息'!C192)</f>
        <v>304不锈钢份数盒盖</v>
      </c>
      <c r="D192" s="77" t="str">
        <f>IF('基础-办公用品信息'!D205="","-",'基础-办公用品信息'!D205)</f>
        <v>个</v>
      </c>
      <c r="E192" s="77" t="str">
        <f>IF('基础-办公用品信息'!E192="","-",'基础-办公用品信息'!E192)</f>
        <v>-</v>
      </c>
      <c r="F192" s="77" t="str">
        <f>IF('基础-办公用品信息'!F192="","-",'基础-办公用品信息'!F192)</f>
        <v>-</v>
      </c>
      <c r="G192" s="77" t="str">
        <f t="shared" si="15"/>
        <v>-</v>
      </c>
      <c r="H192" s="77">
        <f>SUMIFS(期初库存!G:G,期初库存!C:C,C192)+SUMIFS('采购录入（明细）'!I:I,'采购录入（明细）'!E:E,C192)-SUMIFS('领用录入（明细）'!I:I,'领用录入（明细）'!F:F,C192)</f>
        <v>0</v>
      </c>
      <c r="I192" s="78">
        <v>0</v>
      </c>
      <c r="J192" s="79" t="str">
        <f t="shared" si="16"/>
        <v>否</v>
      </c>
    </row>
    <row r="193" customHeight="1" spans="2:10">
      <c r="B193" s="74">
        <v>214</v>
      </c>
      <c r="C193" s="77" t="str">
        <f>IF('基础-办公用品信息'!C193="","-",'基础-办公用品信息'!C193)</f>
        <v>格来德烧水壶</v>
      </c>
      <c r="D193" s="77" t="str">
        <f>IF('基础-办公用品信息'!D206="","-",'基础-办公用品信息'!D206)</f>
        <v>个</v>
      </c>
      <c r="E193" s="77" t="str">
        <f>IF('基础-办公用品信息'!E193="","-",'基础-办公用品信息'!E193)</f>
        <v>-</v>
      </c>
      <c r="F193" s="77" t="str">
        <f>IF('基础-办公用品信息'!F193="","-",'基础-办公用品信息'!F193)</f>
        <v>-</v>
      </c>
      <c r="G193" s="77" t="str">
        <f t="shared" si="15"/>
        <v>-</v>
      </c>
      <c r="H193" s="77">
        <f>SUMIFS(期初库存!G:G,期初库存!C:C,C193)+SUMIFS('采购录入（明细）'!I:I,'采购录入（明细）'!E:E,C193)-SUMIFS('领用录入（明细）'!I:I,'领用录入（明细）'!F:F,C193)</f>
        <v>0</v>
      </c>
      <c r="I193" s="78">
        <v>0</v>
      </c>
      <c r="J193" s="79" t="str">
        <f t="shared" si="16"/>
        <v>否</v>
      </c>
    </row>
    <row r="194" customHeight="1" spans="2:10">
      <c r="B194" s="74">
        <v>215</v>
      </c>
      <c r="C194" s="77" t="str">
        <f>IF('基础-办公用品信息'!C194="","-",'基础-办公用品信息'!C194)</f>
        <v>304欧式保温壶</v>
      </c>
      <c r="D194" s="77" t="str">
        <f>IF('基础-办公用品信息'!D207="","-",'基础-办公用品信息'!D207)</f>
        <v>个</v>
      </c>
      <c r="E194" s="77" t="str">
        <f>IF('基础-办公用品信息'!E194="","-",'基础-办公用品信息'!E194)</f>
        <v>-</v>
      </c>
      <c r="F194" s="77" t="str">
        <f>IF('基础-办公用品信息'!F194="","-",'基础-办公用品信息'!F194)</f>
        <v>-</v>
      </c>
      <c r="G194" s="77" t="str">
        <f t="shared" si="15"/>
        <v>-</v>
      </c>
      <c r="H194" s="77">
        <f>SUMIFS(期初库存!G:G,期初库存!C:C,C194)+SUMIFS('采购录入（明细）'!I:I,'采购录入（明细）'!E:E,C194)-SUMIFS('领用录入（明细）'!I:I,'领用录入（明细）'!F:F,C194)</f>
        <v>0</v>
      </c>
      <c r="I194" s="78">
        <v>0</v>
      </c>
      <c r="J194" s="79" t="str">
        <f t="shared" si="16"/>
        <v>否</v>
      </c>
    </row>
    <row r="195" customHeight="1" spans="2:10">
      <c r="B195" s="74">
        <v>216</v>
      </c>
      <c r="C195" s="77" t="str">
        <f>IF('基础-办公用品信息'!C195="","-",'基础-办公用品信息'!C195)</f>
        <v>高压锅橡皮圈</v>
      </c>
      <c r="D195" s="77" t="str">
        <f>IF('基础-办公用品信息'!D208="","-",'基础-办公用品信息'!D208)</f>
        <v>个</v>
      </c>
      <c r="E195" s="77" t="str">
        <f>IF('基础-办公用品信息'!E195="","-",'基础-办公用品信息'!E195)</f>
        <v>-</v>
      </c>
      <c r="F195" s="77" t="str">
        <f>IF('基础-办公用品信息'!F195="","-",'基础-办公用品信息'!F195)</f>
        <v>-</v>
      </c>
      <c r="G195" s="77" t="str">
        <f t="shared" si="15"/>
        <v>-</v>
      </c>
      <c r="H195" s="77">
        <f>SUMIFS(期初库存!G:G,期初库存!C:C,C195)+SUMIFS('采购录入（明细）'!I:I,'采购录入（明细）'!E:E,C195)-SUMIFS('领用录入（明细）'!I:I,'领用录入（明细）'!F:F,C195)</f>
        <v>0</v>
      </c>
      <c r="I195" s="78">
        <v>0</v>
      </c>
      <c r="J195" s="79" t="str">
        <f t="shared" si="16"/>
        <v>否</v>
      </c>
    </row>
    <row r="196" customHeight="1" spans="2:10">
      <c r="B196" s="74">
        <v>217</v>
      </c>
      <c r="C196" s="77" t="str">
        <f>IF('基础-办公用品信息'!C196="","-",'基础-办公用品信息'!C196)</f>
        <v>高压锅橡皮圈</v>
      </c>
      <c r="D196" s="77" t="str">
        <f>IF('基础-办公用品信息'!D209="","-",'基础-办公用品信息'!D209)</f>
        <v>个</v>
      </c>
      <c r="E196" s="77" t="str">
        <f>IF('基础-办公用品信息'!E196="","-",'基础-办公用品信息'!E196)</f>
        <v>-</v>
      </c>
      <c r="F196" s="77" t="str">
        <f>IF('基础-办公用品信息'!F196="","-",'基础-办公用品信息'!F196)</f>
        <v>-</v>
      </c>
      <c r="G196" s="77" t="str">
        <f t="shared" si="15"/>
        <v>-</v>
      </c>
      <c r="H196" s="77">
        <f>SUMIFS(期初库存!G:G,期初库存!C:C,C196)+SUMIFS('采购录入（明细）'!I:I,'采购录入（明细）'!E:E,C196)-SUMIFS('领用录入（明细）'!I:I,'领用录入（明细）'!F:F,C196)</f>
        <v>0</v>
      </c>
      <c r="I196" s="78">
        <v>0</v>
      </c>
      <c r="J196" s="79" t="str">
        <f t="shared" si="16"/>
        <v>否</v>
      </c>
    </row>
    <row r="197" customHeight="1" spans="2:10">
      <c r="B197" s="74">
        <v>218</v>
      </c>
      <c r="C197" s="77" t="str">
        <f>IF('基础-办公用品信息'!C197="","-",'基础-办公用品信息'!C197)</f>
        <v>高压锅排气阀</v>
      </c>
      <c r="D197" s="77" t="str">
        <f>IF('基础-办公用品信息'!D210="","-",'基础-办公用品信息'!D210)</f>
        <v>个</v>
      </c>
      <c r="E197" s="77" t="str">
        <f>IF('基础-办公用品信息'!E197="","-",'基础-办公用品信息'!E197)</f>
        <v>-</v>
      </c>
      <c r="F197" s="77" t="str">
        <f>IF('基础-办公用品信息'!F197="","-",'基础-办公用品信息'!F197)</f>
        <v>-</v>
      </c>
      <c r="G197" s="77" t="str">
        <f t="shared" si="15"/>
        <v>-</v>
      </c>
      <c r="H197" s="77">
        <f>SUMIFS(期初库存!G:G,期初库存!C:C,C197)+SUMIFS('采购录入（明细）'!I:I,'采购录入（明细）'!E:E,C197)-SUMIFS('领用录入（明细）'!I:I,'领用录入（明细）'!F:F,C197)</f>
        <v>0</v>
      </c>
      <c r="I197" s="78">
        <v>0</v>
      </c>
      <c r="J197" s="79" t="str">
        <f t="shared" si="16"/>
        <v>否</v>
      </c>
    </row>
    <row r="198" customHeight="1" spans="2:10">
      <c r="B198" s="74">
        <v>219</v>
      </c>
      <c r="C198" s="77" t="str">
        <f>IF('基础-办公用品信息'!C198="","-",'基础-办公用品信息'!C198)</f>
        <v>不锈钢方形冲孔盘</v>
      </c>
      <c r="D198" s="77" t="str">
        <f>IF('基础-办公用品信息'!D211="","-",'基础-办公用品信息'!D211)</f>
        <v>个</v>
      </c>
      <c r="E198" s="77" t="str">
        <f>IF('基础-办公用品信息'!E198="","-",'基础-办公用品信息'!E198)</f>
        <v>-</v>
      </c>
      <c r="F198" s="77" t="str">
        <f>IF('基础-办公用品信息'!F198="","-",'基础-办公用品信息'!F198)</f>
        <v>-</v>
      </c>
      <c r="G198" s="77" t="str">
        <f t="shared" si="15"/>
        <v>-</v>
      </c>
      <c r="H198" s="77">
        <f>SUMIFS(期初库存!G:G,期初库存!C:C,C198)+SUMIFS('采购录入（明细）'!I:I,'采购录入（明细）'!E:E,C198)-SUMIFS('领用录入（明细）'!I:I,'领用录入（明细）'!F:F,C198)</f>
        <v>0</v>
      </c>
      <c r="I198" s="78">
        <v>0</v>
      </c>
      <c r="J198" s="79" t="str">
        <f t="shared" si="16"/>
        <v>否</v>
      </c>
    </row>
    <row r="199" customHeight="1" spans="2:10">
      <c r="B199" s="74">
        <v>220</v>
      </c>
      <c r="C199" s="77" t="str">
        <f>IF('基础-办公用品信息'!C199="","-",'基础-办公用品信息'!C199)</f>
        <v>白色塑料切菜板</v>
      </c>
      <c r="D199" s="77" t="str">
        <f>IF('基础-办公用品信息'!D212="","-",'基础-办公用品信息'!D212)</f>
        <v>个</v>
      </c>
      <c r="E199" s="77" t="str">
        <f>IF('基础-办公用品信息'!E199="","-",'基础-办公用品信息'!E199)</f>
        <v>-</v>
      </c>
      <c r="F199" s="77" t="str">
        <f>IF('基础-办公用品信息'!F199="","-",'基础-办公用品信息'!F199)</f>
        <v>-</v>
      </c>
      <c r="G199" s="77" t="str">
        <f t="shared" si="15"/>
        <v>-</v>
      </c>
      <c r="H199" s="77">
        <f>SUMIFS(期初库存!G:G,期初库存!C:C,C199)+SUMIFS('采购录入（明细）'!I:I,'采购录入（明细）'!E:E,C199)-SUMIFS('领用录入（明细）'!I:I,'领用录入（明细）'!F:F,C199)</f>
        <v>0</v>
      </c>
      <c r="I199" s="78">
        <v>0</v>
      </c>
      <c r="J199" s="79" t="str">
        <f t="shared" si="16"/>
        <v>否</v>
      </c>
    </row>
    <row r="200" customHeight="1" spans="2:10">
      <c r="B200" s="74">
        <v>221</v>
      </c>
      <c r="C200" s="77" t="str">
        <f>IF('基础-办公用品信息'!C200="","-",'基础-办公用品信息'!C200)</f>
        <v>不锈钢打水桶</v>
      </c>
      <c r="D200" s="77" t="str">
        <f>IF('基础-办公用品信息'!D213="","-",'基础-办公用品信息'!D213)</f>
        <v>个</v>
      </c>
      <c r="E200" s="77" t="str">
        <f>IF('基础-办公用品信息'!E200="","-",'基础-办公用品信息'!E200)</f>
        <v>-</v>
      </c>
      <c r="F200" s="77" t="str">
        <f>IF('基础-办公用品信息'!F200="","-",'基础-办公用品信息'!F200)</f>
        <v>-</v>
      </c>
      <c r="G200" s="77" t="str">
        <f t="shared" si="15"/>
        <v>-</v>
      </c>
      <c r="H200" s="77">
        <f>SUMIFS(期初库存!G:G,期初库存!C:C,C200)+SUMIFS('采购录入（明细）'!I:I,'采购录入（明细）'!E:E,C200)-SUMIFS('领用录入（明细）'!I:I,'领用录入（明细）'!F:F,C200)</f>
        <v>0</v>
      </c>
      <c r="I200" s="78">
        <v>0</v>
      </c>
      <c r="J200" s="79" t="str">
        <f t="shared" si="16"/>
        <v>否</v>
      </c>
    </row>
    <row r="201" customHeight="1" spans="2:10">
      <c r="B201" s="74">
        <v>222</v>
      </c>
      <c r="C201" s="77" t="str">
        <f>IF('基础-办公用品信息'!C201="","-",'基础-办公用品信息'!C201)</f>
        <v>白色圆桶</v>
      </c>
      <c r="D201" s="77" t="str">
        <f>IF('基础-办公用品信息'!D214="","-",'基础-办公用品信息'!D214)</f>
        <v>个</v>
      </c>
      <c r="E201" s="77" t="str">
        <f>IF('基础-办公用品信息'!E201="","-",'基础-办公用品信息'!E201)</f>
        <v>-</v>
      </c>
      <c r="F201" s="77" t="str">
        <f>IF('基础-办公用品信息'!F201="","-",'基础-办公用品信息'!F201)</f>
        <v>-</v>
      </c>
      <c r="G201" s="77" t="str">
        <f t="shared" si="15"/>
        <v>-</v>
      </c>
      <c r="H201" s="77">
        <f>SUMIFS(期初库存!G:G,期初库存!C:C,C201)+SUMIFS('采购录入（明细）'!I:I,'采购录入（明细）'!E:E,C201)-SUMIFS('领用录入（明细）'!I:I,'领用录入（明细）'!F:F,C201)</f>
        <v>0</v>
      </c>
      <c r="I201" s="78">
        <v>0</v>
      </c>
      <c r="J201" s="79" t="str">
        <f t="shared" si="16"/>
        <v>否</v>
      </c>
    </row>
    <row r="202" customHeight="1" spans="2:10">
      <c r="B202" s="74">
        <v>223</v>
      </c>
      <c r="C202" s="77" t="str">
        <f>IF('基础-办公用品信息'!C202="","-",'基础-办公用品信息'!C202)</f>
        <v>白色圆桶</v>
      </c>
      <c r="D202" s="77" t="str">
        <f>IF('基础-办公用品信息'!D215="","-",'基础-办公用品信息'!D215)</f>
        <v>个</v>
      </c>
      <c r="E202" s="77" t="str">
        <f>IF('基础-办公用品信息'!E202="","-",'基础-办公用品信息'!E202)</f>
        <v>-</v>
      </c>
      <c r="F202" s="77" t="str">
        <f>IF('基础-办公用品信息'!F202="","-",'基础-办公用品信息'!F202)</f>
        <v>-</v>
      </c>
      <c r="G202" s="77" t="str">
        <f t="shared" si="15"/>
        <v>-</v>
      </c>
      <c r="H202" s="77">
        <f>SUMIFS(期初库存!G:G,期初库存!C:C,C202)+SUMIFS('采购录入（明细）'!I:I,'采购录入（明细）'!E:E,C202)-SUMIFS('领用录入（明细）'!I:I,'领用录入（明细）'!F:F,C202)</f>
        <v>0</v>
      </c>
      <c r="I202" s="78">
        <v>0</v>
      </c>
      <c r="J202" s="79" t="str">
        <f t="shared" si="16"/>
        <v>否</v>
      </c>
    </row>
    <row r="203" customHeight="1" spans="2:10">
      <c r="B203" s="74">
        <v>224</v>
      </c>
      <c r="C203" s="77" t="str">
        <f>IF('基础-办公用品信息'!C203="","-",'基础-办公用品信息'!C203)</f>
        <v>地面刮水器</v>
      </c>
      <c r="D203" s="77" t="str">
        <f>IF('基础-办公用品信息'!D216="","-",'基础-办公用品信息'!D216)</f>
        <v>个</v>
      </c>
      <c r="E203" s="77" t="str">
        <f>IF('基础-办公用品信息'!E203="","-",'基础-办公用品信息'!E203)</f>
        <v>-</v>
      </c>
      <c r="F203" s="77" t="str">
        <f>IF('基础-办公用品信息'!F203="","-",'基础-办公用品信息'!F203)</f>
        <v>-</v>
      </c>
      <c r="G203" s="77" t="str">
        <f t="shared" si="15"/>
        <v>-</v>
      </c>
      <c r="H203" s="77">
        <f>SUMIFS(期初库存!G:G,期初库存!C:C,C203)+SUMIFS('采购录入（明细）'!I:I,'采购录入（明细）'!E:E,C203)-SUMIFS('领用录入（明细）'!I:I,'领用录入（明细）'!F:F,C203)</f>
        <v>2</v>
      </c>
      <c r="I203" s="78">
        <v>0</v>
      </c>
      <c r="J203" s="79" t="str">
        <f t="shared" si="16"/>
        <v>否</v>
      </c>
    </row>
    <row r="204" customHeight="1" spans="2:10">
      <c r="B204" s="74">
        <v>225</v>
      </c>
      <c r="C204" s="77" t="str">
        <f>IF('基础-办公用品信息'!C204="","-",'基础-办公用品信息'!C204)</f>
        <v>洗地刷</v>
      </c>
      <c r="D204" s="77" t="str">
        <f>IF('基础-办公用品信息'!D217="","-",'基础-办公用品信息'!D217)</f>
        <v>个</v>
      </c>
      <c r="E204" s="77" t="str">
        <f>IF('基础-办公用品信息'!E204="","-",'基础-办公用品信息'!E204)</f>
        <v>-</v>
      </c>
      <c r="F204" s="77" t="str">
        <f>IF('基础-办公用品信息'!F204="","-",'基础-办公用品信息'!F204)</f>
        <v>-</v>
      </c>
      <c r="G204" s="77" t="str">
        <f t="shared" si="15"/>
        <v>-</v>
      </c>
      <c r="H204" s="77">
        <f>SUMIFS(期初库存!G:G,期初库存!C:C,C204)+SUMIFS('采购录入（明细）'!I:I,'采购录入（明细）'!E:E,C204)-SUMIFS('领用录入（明细）'!I:I,'领用录入（明细）'!F:F,C204)</f>
        <v>0</v>
      </c>
      <c r="I204" s="78">
        <v>0</v>
      </c>
      <c r="J204" s="79" t="str">
        <f t="shared" si="16"/>
        <v>否</v>
      </c>
    </row>
    <row r="205" customHeight="1" spans="2:10">
      <c r="B205" s="74">
        <v>226</v>
      </c>
      <c r="C205" s="77" t="str">
        <f>IF('基础-办公用品信息'!C205="","-",'基础-办公用品信息'!C205)</f>
        <v>吸水拖把</v>
      </c>
      <c r="D205" s="77" t="str">
        <f>IF('基础-办公用品信息'!D218="","-",'基础-办公用品信息'!D218)</f>
        <v>个</v>
      </c>
      <c r="E205" s="77" t="str">
        <f>IF('基础-办公用品信息'!E205="","-",'基础-办公用品信息'!E205)</f>
        <v>-</v>
      </c>
      <c r="F205" s="77" t="str">
        <f>IF('基础-办公用品信息'!F205="","-",'基础-办公用品信息'!F205)</f>
        <v>-</v>
      </c>
      <c r="G205" s="77" t="str">
        <f t="shared" si="15"/>
        <v>-</v>
      </c>
      <c r="H205" s="77">
        <f>SUMIFS(期初库存!G:G,期初库存!C:C,C205)+SUMIFS('采购录入（明细）'!I:I,'采购录入（明细）'!E:E,C205)-SUMIFS('领用录入（明细）'!I:I,'领用录入（明细）'!F:F,C205)</f>
        <v>-2</v>
      </c>
      <c r="I205" s="78">
        <v>0</v>
      </c>
      <c r="J205" s="79" t="str">
        <f t="shared" si="16"/>
        <v>采购</v>
      </c>
    </row>
    <row r="206" customHeight="1" spans="2:10">
      <c r="B206" s="74">
        <v>227</v>
      </c>
      <c r="C206" s="77" t="str">
        <f>IF('基础-办公用品信息'!C206="","-",'基础-办公用品信息'!C206)</f>
        <v>40平拖把</v>
      </c>
      <c r="D206" s="77" t="str">
        <f>IF('基础-办公用品信息'!D219="","-",'基础-办公用品信息'!D219)</f>
        <v>个</v>
      </c>
      <c r="E206" s="77" t="str">
        <f>IF('基础-办公用品信息'!E206="","-",'基础-办公用品信息'!E206)</f>
        <v>-</v>
      </c>
      <c r="F206" s="77" t="str">
        <f>IF('基础-办公用品信息'!F206="","-",'基础-办公用品信息'!F206)</f>
        <v>-</v>
      </c>
      <c r="G206" s="77" t="str">
        <f t="shared" si="15"/>
        <v>-</v>
      </c>
      <c r="H206" s="77">
        <f>SUMIFS(期初库存!G:G,期初库存!C:C,C206)+SUMIFS('采购录入（明细）'!I:I,'采购录入（明细）'!E:E,C206)-SUMIFS('领用录入（明细）'!I:I,'领用录入（明细）'!F:F,C206)</f>
        <v>0</v>
      </c>
      <c r="I206" s="78">
        <v>0</v>
      </c>
      <c r="J206" s="79" t="str">
        <f t="shared" si="16"/>
        <v>否</v>
      </c>
    </row>
    <row r="207" customHeight="1" spans="2:10">
      <c r="B207" s="74">
        <v>228</v>
      </c>
      <c r="C207" s="77" t="str">
        <f>IF('基础-办公用品信息'!C207="","-",'基础-办公用品信息'!C207)</f>
        <v>15拖把</v>
      </c>
      <c r="D207" s="77" t="str">
        <f>IF('基础-办公用品信息'!D220="","-",'基础-办公用品信息'!D220)</f>
        <v>个</v>
      </c>
      <c r="E207" s="77" t="str">
        <f>IF('基础-办公用品信息'!E207="","-",'基础-办公用品信息'!E207)</f>
        <v>-</v>
      </c>
      <c r="F207" s="77" t="str">
        <f>IF('基础-办公用品信息'!F207="","-",'基础-办公用品信息'!F207)</f>
        <v>-</v>
      </c>
      <c r="G207" s="77" t="str">
        <f t="shared" si="15"/>
        <v>-</v>
      </c>
      <c r="H207" s="77">
        <f>SUMIFS(期初库存!G:G,期初库存!C:C,C207)+SUMIFS('采购录入（明细）'!I:I,'采购录入（明细）'!E:E,C207)-SUMIFS('领用录入（明细）'!I:I,'领用录入（明细）'!F:F,C207)</f>
        <v>0</v>
      </c>
      <c r="I207" s="78">
        <v>0</v>
      </c>
      <c r="J207" s="79" t="str">
        <f t="shared" si="16"/>
        <v>否</v>
      </c>
    </row>
    <row r="208" customHeight="1" spans="2:10">
      <c r="B208" s="74">
        <v>229</v>
      </c>
      <c r="C208" s="77" t="str">
        <f>IF('基础-办公用品信息'!C208="","-",'基础-办公用品信息'!C208)</f>
        <v>整理箱</v>
      </c>
      <c r="D208" s="77" t="str">
        <f>IF('基础-办公用品信息'!D221="","-",'基础-办公用品信息'!D221)</f>
        <v>个</v>
      </c>
      <c r="E208" s="77" t="str">
        <f>IF('基础-办公用品信息'!E208="","-",'基础-办公用品信息'!E208)</f>
        <v>-</v>
      </c>
      <c r="F208" s="77" t="str">
        <f>IF('基础-办公用品信息'!F208="","-",'基础-办公用品信息'!F208)</f>
        <v>-</v>
      </c>
      <c r="G208" s="77" t="str">
        <f t="shared" si="15"/>
        <v>-</v>
      </c>
      <c r="H208" s="77">
        <f>SUMIFS(期初库存!G:G,期初库存!C:C,C208)+SUMIFS('采购录入（明细）'!I:I,'采购录入（明细）'!E:E,C208)-SUMIFS('领用录入（明细）'!I:I,'领用录入（明细）'!F:F,C208)</f>
        <v>0</v>
      </c>
      <c r="I208" s="78">
        <v>0</v>
      </c>
      <c r="J208" s="79" t="str">
        <f t="shared" si="16"/>
        <v>否</v>
      </c>
    </row>
    <row r="209" customHeight="1" spans="2:10">
      <c r="B209" s="74">
        <v>230</v>
      </c>
      <c r="C209" s="77" t="str">
        <f>IF('基础-办公用品信息'!C209="","-",'基础-办公用品信息'!C209)</f>
        <v>整理箱</v>
      </c>
      <c r="D209" s="77" t="str">
        <f>IF('基础-办公用品信息'!D222="","-",'基础-办公用品信息'!D222)</f>
        <v>个</v>
      </c>
      <c r="E209" s="77" t="str">
        <f>IF('基础-办公用品信息'!E209="","-",'基础-办公用品信息'!E209)</f>
        <v>-</v>
      </c>
      <c r="F209" s="77" t="str">
        <f>IF('基础-办公用品信息'!F209="","-",'基础-办公用品信息'!F209)</f>
        <v>-</v>
      </c>
      <c r="G209" s="77" t="str">
        <f t="shared" si="15"/>
        <v>-</v>
      </c>
      <c r="H209" s="77">
        <f>SUMIFS(期初库存!G:G,期初库存!C:C,C209)+SUMIFS('采购录入（明细）'!I:I,'采购录入（明细）'!E:E,C209)-SUMIFS('领用录入（明细）'!I:I,'领用录入（明细）'!F:F,C209)</f>
        <v>0</v>
      </c>
      <c r="I209" s="78">
        <v>0</v>
      </c>
      <c r="J209" s="79" t="str">
        <f t="shared" si="16"/>
        <v>否</v>
      </c>
    </row>
    <row r="210" customHeight="1" spans="2:10">
      <c r="B210" s="74">
        <v>231</v>
      </c>
      <c r="C210" s="77" t="str">
        <f>IF('基础-办公用品信息'!C210="","-",'基础-办公用品信息'!C210)</f>
        <v>沥水圆箩</v>
      </c>
      <c r="D210" s="77" t="str">
        <f>IF('基础-办公用品信息'!D223="","-",'基础-办公用品信息'!D223)</f>
        <v>个</v>
      </c>
      <c r="E210" s="77" t="str">
        <f>IF('基础-办公用品信息'!E210="","-",'基础-办公用品信息'!E210)</f>
        <v>-</v>
      </c>
      <c r="F210" s="77" t="str">
        <f>IF('基础-办公用品信息'!F210="","-",'基础-办公用品信息'!F210)</f>
        <v>-</v>
      </c>
      <c r="G210" s="77" t="str">
        <f t="shared" si="15"/>
        <v>-</v>
      </c>
      <c r="H210" s="77">
        <f>SUMIFS(期初库存!G:G,期初库存!C:C,C210)+SUMIFS('采购录入（明细）'!I:I,'采购录入（明细）'!E:E,C210)-SUMIFS('领用录入（明细）'!I:I,'领用录入（明细）'!F:F,C210)</f>
        <v>0</v>
      </c>
      <c r="I210" s="78">
        <v>0</v>
      </c>
      <c r="J210" s="79" t="str">
        <f t="shared" si="16"/>
        <v>否</v>
      </c>
    </row>
    <row r="211" customHeight="1" spans="2:10">
      <c r="B211" s="74">
        <v>232</v>
      </c>
      <c r="C211" s="77" t="str">
        <f>IF('基础-办公用品信息'!C211="","-",'基础-办公用品信息'!C211)</f>
        <v>去油王</v>
      </c>
      <c r="D211" s="77" t="str">
        <f>IF('基础-办公用品信息'!D224="","-",'基础-办公用品信息'!D224)</f>
        <v>个</v>
      </c>
      <c r="E211" s="77" t="str">
        <f>IF('基础-办公用品信息'!E211="","-",'基础-办公用品信息'!E211)</f>
        <v>-</v>
      </c>
      <c r="F211" s="77" t="str">
        <f>IF('基础-办公用品信息'!F211="","-",'基础-办公用品信息'!F211)</f>
        <v>-</v>
      </c>
      <c r="G211" s="77" t="str">
        <f t="shared" si="15"/>
        <v>-</v>
      </c>
      <c r="H211" s="77">
        <f>SUMIFS(期初库存!G:G,期初库存!C:C,C211)+SUMIFS('采购录入（明细）'!I:I,'采购录入（明细）'!E:E,C211)-SUMIFS('领用录入（明细）'!I:I,'领用录入（明细）'!F:F,C211)</f>
        <v>0</v>
      </c>
      <c r="I211" s="78">
        <v>0</v>
      </c>
      <c r="J211" s="79" t="str">
        <f t="shared" si="16"/>
        <v>否</v>
      </c>
    </row>
    <row r="212" customHeight="1" spans="2:10">
      <c r="B212" s="74">
        <v>233</v>
      </c>
      <c r="C212" s="77" t="str">
        <f>IF('基础-办公用品信息'!C212="","-",'基础-办公用品信息'!C212)</f>
        <v>84消毒液</v>
      </c>
      <c r="D212" s="77" t="str">
        <f>IF('基础-办公用品信息'!D225="","-",'基础-办公用品信息'!D225)</f>
        <v>个</v>
      </c>
      <c r="E212" s="77" t="str">
        <f>IF('基础-办公用品信息'!E212="","-",'基础-办公用品信息'!E212)</f>
        <v>-</v>
      </c>
      <c r="F212" s="77" t="str">
        <f>IF('基础-办公用品信息'!F212="","-",'基础-办公用品信息'!F212)</f>
        <v>-</v>
      </c>
      <c r="G212" s="77" t="str">
        <f t="shared" si="15"/>
        <v>-</v>
      </c>
      <c r="H212" s="77">
        <f>SUMIFS(期初库存!G:G,期初库存!C:C,C212)+SUMIFS('采购录入（明细）'!I:I,'采购录入（明细）'!E:E,C212)-SUMIFS('领用录入（明细）'!I:I,'领用录入（明细）'!F:F,C212)</f>
        <v>1</v>
      </c>
      <c r="I212" s="78">
        <v>0</v>
      </c>
      <c r="J212" s="79" t="str">
        <f t="shared" si="16"/>
        <v>否</v>
      </c>
    </row>
    <row r="213" customHeight="1" spans="2:10">
      <c r="B213" s="74">
        <v>234</v>
      </c>
      <c r="C213" s="77" t="str">
        <f>IF('基础-办公用品信息'!C213="","-",'基础-办公用品信息'!C213)</f>
        <v>片碱</v>
      </c>
      <c r="D213" s="77" t="str">
        <f>IF('基础-办公用品信息'!D226="","-",'基础-办公用品信息'!D226)</f>
        <v>个</v>
      </c>
      <c r="E213" s="77" t="str">
        <f>IF('基础-办公用品信息'!E213="","-",'基础-办公用品信息'!E213)</f>
        <v>-</v>
      </c>
      <c r="F213" s="77" t="str">
        <f>IF('基础-办公用品信息'!F213="","-",'基础-办公用品信息'!F213)</f>
        <v>-</v>
      </c>
      <c r="G213" s="77" t="str">
        <f t="shared" si="15"/>
        <v>-</v>
      </c>
      <c r="H213" s="77">
        <f>SUMIFS(期初库存!G:G,期初库存!C:C,C213)+SUMIFS('采购录入（明细）'!I:I,'采购录入（明细）'!E:E,C213)-SUMIFS('领用录入（明细）'!I:I,'领用录入（明细）'!F:F,C213)</f>
        <v>0</v>
      </c>
      <c r="I213" s="78">
        <v>0</v>
      </c>
      <c r="J213" s="79" t="str">
        <f t="shared" si="16"/>
        <v>否</v>
      </c>
    </row>
    <row r="214" customHeight="1" spans="2:10">
      <c r="B214" s="74">
        <v>235</v>
      </c>
      <c r="C214" s="77" t="str">
        <f>IF('基础-办公用品信息'!C214="","-",'基础-办公用品信息'!C214)</f>
        <v>清洁精喷雾</v>
      </c>
      <c r="D214" s="77" t="str">
        <f>IF('基础-办公用品信息'!D227="","-",'基础-办公用品信息'!D227)</f>
        <v>个</v>
      </c>
      <c r="E214" s="77" t="str">
        <f>IF('基础-办公用品信息'!E214="","-",'基础-办公用品信息'!E214)</f>
        <v>-</v>
      </c>
      <c r="F214" s="77" t="str">
        <f>IF('基础-办公用品信息'!F214="","-",'基础-办公用品信息'!F214)</f>
        <v>-</v>
      </c>
      <c r="G214" s="77" t="str">
        <f t="shared" si="15"/>
        <v>-</v>
      </c>
      <c r="H214" s="77">
        <f>SUMIFS(期初库存!G:G,期初库存!C:C,C214)+SUMIFS('采购录入（明细）'!I:I,'采购录入（明细）'!E:E,C214)-SUMIFS('领用录入（明细）'!I:I,'领用录入（明细）'!F:F,C214)</f>
        <v>0</v>
      </c>
      <c r="I214" s="78">
        <v>0</v>
      </c>
      <c r="J214" s="79" t="str">
        <f t="shared" si="16"/>
        <v>否</v>
      </c>
    </row>
    <row r="215" customHeight="1" spans="2:10">
      <c r="B215" s="74">
        <v>236</v>
      </c>
      <c r="C215" s="77" t="str">
        <f>IF('基础-办公用品信息'!C215="","-",'基础-办公用品信息'!C215)</f>
        <v>白色陶瓷小汤勺</v>
      </c>
      <c r="D215" s="77" t="str">
        <f>IF('基础-办公用品信息'!D228="","-",'基础-办公用品信息'!D228)</f>
        <v>个</v>
      </c>
      <c r="E215" s="77" t="str">
        <f>IF('基础-办公用品信息'!E215="","-",'基础-办公用品信息'!E215)</f>
        <v>-</v>
      </c>
      <c r="F215" s="77" t="str">
        <f>IF('基础-办公用品信息'!F215="","-",'基础-办公用品信息'!F215)</f>
        <v>-</v>
      </c>
      <c r="G215" s="77" t="str">
        <f t="shared" si="15"/>
        <v>-</v>
      </c>
      <c r="H215" s="77">
        <f>SUMIFS(期初库存!G:G,期初库存!C:C,C215)+SUMIFS('采购录入（明细）'!I:I,'采购录入（明细）'!E:E,C215)-SUMIFS('领用录入（明细）'!I:I,'领用录入（明细）'!F:F,C215)</f>
        <v>0</v>
      </c>
      <c r="I215" s="78">
        <v>0</v>
      </c>
      <c r="J215" s="79" t="str">
        <f t="shared" si="16"/>
        <v>否</v>
      </c>
    </row>
    <row r="216" customHeight="1" spans="2:10">
      <c r="B216" s="74">
        <v>237</v>
      </c>
      <c r="C216" s="77" t="str">
        <f>IF('基础-办公用品信息'!C216="","-",'基础-办公用品信息'!C216)</f>
        <v>长手套</v>
      </c>
      <c r="D216" s="77" t="str">
        <f>IF('基础-办公用品信息'!D229="","-",'基础-办公用品信息'!D229)</f>
        <v>个</v>
      </c>
      <c r="E216" s="77" t="str">
        <f>IF('基础-办公用品信息'!E216="","-",'基础-办公用品信息'!E216)</f>
        <v>-</v>
      </c>
      <c r="F216" s="77" t="str">
        <f>IF('基础-办公用品信息'!F216="","-",'基础-办公用品信息'!F216)</f>
        <v>-</v>
      </c>
      <c r="G216" s="77" t="str">
        <f t="shared" si="15"/>
        <v>-</v>
      </c>
      <c r="H216" s="77">
        <f>SUMIFS(期初库存!G:G,期初库存!C:C,C216)+SUMIFS('采购录入（明细）'!I:I,'采购录入（明细）'!E:E,C216)-SUMIFS('领用录入（明细）'!I:I,'领用录入（明细）'!F:F,C216)</f>
        <v>0</v>
      </c>
      <c r="I216" s="78">
        <v>0</v>
      </c>
      <c r="J216" s="79" t="str">
        <f t="shared" si="16"/>
        <v>否</v>
      </c>
    </row>
    <row r="217" customHeight="1" spans="2:10">
      <c r="B217" s="74">
        <v>238</v>
      </c>
      <c r="C217" s="77" t="str">
        <f>IF('基础-办公用品信息'!C217="","-",'基础-办公用品信息'!C217)</f>
        <v>白色圆桶</v>
      </c>
      <c r="D217" s="77" t="str">
        <f>IF('基础-办公用品信息'!D230="","-",'基础-办公用品信息'!D230)</f>
        <v>台</v>
      </c>
      <c r="E217" s="77" t="str">
        <f>IF('基础-办公用品信息'!E217="","-",'基础-办公用品信息'!E217)</f>
        <v>-</v>
      </c>
      <c r="F217" s="77" t="str">
        <f>IF('基础-办公用品信息'!F217="","-",'基础-办公用品信息'!F217)</f>
        <v>-</v>
      </c>
      <c r="G217" s="77" t="str">
        <f t="shared" si="15"/>
        <v>-</v>
      </c>
      <c r="H217" s="77">
        <f>SUMIFS(期初库存!G:G,期初库存!C:C,C217)+SUMIFS('采购录入（明细）'!I:I,'采购录入（明细）'!E:E,C217)-SUMIFS('领用录入（明细）'!I:I,'领用录入（明细）'!F:F,C217)</f>
        <v>0</v>
      </c>
      <c r="I217" s="78">
        <v>0</v>
      </c>
      <c r="J217" s="79" t="str">
        <f t="shared" si="16"/>
        <v>否</v>
      </c>
    </row>
    <row r="218" customHeight="1" spans="2:10">
      <c r="B218" s="74">
        <v>239</v>
      </c>
      <c r="C218" s="77" t="str">
        <f>IF('基础-办公用品信息'!C218="","-",'基础-办公用品信息'!C218)</f>
        <v>垃圾袋</v>
      </c>
      <c r="D218" s="77" t="str">
        <f>IF('基础-办公用品信息'!D231="","-",'基础-办公用品信息'!D231)</f>
        <v>根</v>
      </c>
      <c r="E218" s="77" t="str">
        <f>IF('基础-办公用品信息'!E218="","-",'基础-办公用品信息'!E218)</f>
        <v>-</v>
      </c>
      <c r="F218" s="77" t="str">
        <f>IF('基础-办公用品信息'!F218="","-",'基础-办公用品信息'!F218)</f>
        <v>-</v>
      </c>
      <c r="G218" s="77" t="str">
        <f t="shared" si="15"/>
        <v>-</v>
      </c>
      <c r="H218" s="77">
        <f>SUMIFS(期初库存!G:G,期初库存!C:C,C218)+SUMIFS('采购录入（明细）'!I:I,'采购录入（明细）'!E:E,C218)-SUMIFS('领用录入（明细）'!I:I,'领用录入（明细）'!F:F,C218)</f>
        <v>7</v>
      </c>
      <c r="I218" s="78">
        <v>0</v>
      </c>
      <c r="J218" s="79" t="str">
        <f t="shared" si="16"/>
        <v>否</v>
      </c>
    </row>
    <row r="219" customHeight="1" spans="2:10">
      <c r="B219" s="74">
        <v>240</v>
      </c>
      <c r="C219" s="77" t="str">
        <f>IF('基础-办公用品信息'!C219="","-",'基础-办公用品信息'!C219)</f>
        <v>厨房不锈钢架、铁板烧铁板</v>
      </c>
      <c r="D219" s="77" t="str">
        <f>IF('基础-办公用品信息'!D232="","-",'基础-办公用品信息'!D232)</f>
        <v>个</v>
      </c>
      <c r="E219" s="77" t="str">
        <f>IF('基础-办公用品信息'!E219="","-",'基础-办公用品信息'!E219)</f>
        <v>-</v>
      </c>
      <c r="F219" s="77" t="str">
        <f>IF('基础-办公用品信息'!F219="","-",'基础-办公用品信息'!F219)</f>
        <v>-</v>
      </c>
      <c r="G219" s="77" t="str">
        <f t="shared" si="15"/>
        <v>-</v>
      </c>
      <c r="H219" s="77">
        <f>SUMIFS(期初库存!G:G,期初库存!C:C,C219)+SUMIFS('采购录入（明细）'!I:I,'采购录入（明细）'!E:E,C219)-SUMIFS('领用录入（明细）'!I:I,'领用录入（明细）'!F:F,C219)</f>
        <v>0</v>
      </c>
      <c r="I219" s="78">
        <v>0</v>
      </c>
      <c r="J219" s="79" t="str">
        <f t="shared" si="16"/>
        <v>否</v>
      </c>
    </row>
    <row r="220" customHeight="1" spans="2:10">
      <c r="B220" s="74">
        <v>241</v>
      </c>
      <c r="C220" s="77" t="str">
        <f>IF('基础-办公用品信息'!C220="","-",'基础-办公用品信息'!C220)</f>
        <v>高压水枪</v>
      </c>
      <c r="D220" s="77" t="str">
        <f>IF('基础-办公用品信息'!D233="","-",'基础-办公用品信息'!D233)</f>
        <v>个</v>
      </c>
      <c r="E220" s="77" t="str">
        <f>IF('基础-办公用品信息'!E220="","-",'基础-办公用品信息'!E220)</f>
        <v>-</v>
      </c>
      <c r="F220" s="77" t="str">
        <f>IF('基础-办公用品信息'!F220="","-",'基础-办公用品信息'!F220)</f>
        <v>-</v>
      </c>
      <c r="G220" s="77" t="str">
        <f t="shared" si="15"/>
        <v>-</v>
      </c>
      <c r="H220" s="77">
        <f>SUMIFS(期初库存!G:G,期初库存!C:C,C220)+SUMIFS('采购录入（明细）'!I:I,'采购录入（明细）'!E:E,C220)-SUMIFS('领用录入（明细）'!I:I,'领用录入（明细）'!F:F,C220)</f>
        <v>0</v>
      </c>
      <c r="I220" s="78">
        <v>0</v>
      </c>
      <c r="J220" s="79" t="str">
        <f t="shared" si="16"/>
        <v>否</v>
      </c>
    </row>
    <row r="221" customHeight="1" spans="2:10">
      <c r="B221" s="74">
        <v>242</v>
      </c>
      <c r="C221" s="77" t="str">
        <f>IF('基础-办公用品信息'!C221="","-",'基础-办公用品信息'!C221)</f>
        <v>塑料水管</v>
      </c>
      <c r="D221" s="77" t="str">
        <f>IF('基础-办公用品信息'!D234="","-",'基础-办公用品信息'!D234)</f>
        <v>瓶</v>
      </c>
      <c r="E221" s="77" t="str">
        <f>IF('基础-办公用品信息'!E221="","-",'基础-办公用品信息'!E221)</f>
        <v>-</v>
      </c>
      <c r="F221" s="77" t="str">
        <f>IF('基础-办公用品信息'!F221="","-",'基础-办公用品信息'!F221)</f>
        <v>-</v>
      </c>
      <c r="G221" s="77" t="str">
        <f t="shared" si="15"/>
        <v>-</v>
      </c>
      <c r="H221" s="77">
        <f>SUMIFS(期初库存!G:G,期初库存!C:C,C221)+SUMIFS('采购录入（明细）'!I:I,'采购录入（明细）'!E:E,C221)-SUMIFS('领用录入（明细）'!I:I,'领用录入（明细）'!F:F,C221)</f>
        <v>0</v>
      </c>
      <c r="I221" s="78">
        <v>0</v>
      </c>
      <c r="J221" s="79" t="str">
        <f t="shared" si="16"/>
        <v>否</v>
      </c>
    </row>
    <row r="222" customHeight="1" spans="2:10">
      <c r="B222" s="74">
        <v>243</v>
      </c>
      <c r="C222" s="77" t="str">
        <f>IF('基础-办公用品信息'!C222="","-",'基础-办公用品信息'!C222)</f>
        <v>地面刮水器</v>
      </c>
      <c r="D222" s="77" t="str">
        <f>IF('基础-办公用品信息'!D235="","-",'基础-办公用品信息'!D235)</f>
        <v>把</v>
      </c>
      <c r="E222" s="77" t="str">
        <f>IF('基础-办公用品信息'!E222="","-",'基础-办公用品信息'!E222)</f>
        <v>-</v>
      </c>
      <c r="F222" s="77" t="str">
        <f>IF('基础-办公用品信息'!F222="","-",'基础-办公用品信息'!F222)</f>
        <v>-</v>
      </c>
      <c r="G222" s="77" t="str">
        <f t="shared" si="15"/>
        <v>-</v>
      </c>
      <c r="H222" s="77">
        <f>SUMIFS(期初库存!G:G,期初库存!C:C,C222)+SUMIFS('采购录入（明细）'!I:I,'采购录入（明细）'!E:E,C222)-SUMIFS('领用录入（明细）'!I:I,'领用录入（明细）'!F:F,C222)</f>
        <v>2</v>
      </c>
      <c r="I222" s="78">
        <v>0</v>
      </c>
      <c r="J222" s="79" t="str">
        <f t="shared" si="16"/>
        <v>否</v>
      </c>
    </row>
    <row r="223" customHeight="1" spans="2:10">
      <c r="B223" s="74">
        <v>244</v>
      </c>
      <c r="C223" s="77" t="str">
        <f>IF('基础-办公用品信息'!C223="","-",'基础-办公用品信息'!C223)</f>
        <v>5公斤塑料带盖桶</v>
      </c>
      <c r="D223" s="77" t="str">
        <f>IF('基础-办公用品信息'!D236="","-",'基础-办公用品信息'!D236)</f>
        <v>把</v>
      </c>
      <c r="E223" s="77" t="str">
        <f>IF('基础-办公用品信息'!E223="","-",'基础-办公用品信息'!E223)</f>
        <v>-</v>
      </c>
      <c r="F223" s="77" t="str">
        <f>IF('基础-办公用品信息'!F223="","-",'基础-办公用品信息'!F223)</f>
        <v>-</v>
      </c>
      <c r="G223" s="77" t="str">
        <f t="shared" si="15"/>
        <v>-</v>
      </c>
      <c r="H223" s="77">
        <f>SUMIFS(期初库存!G:G,期初库存!C:C,C223)+SUMIFS('采购录入（明细）'!I:I,'采购录入（明细）'!E:E,C223)-SUMIFS('领用录入（明细）'!I:I,'领用录入（明细）'!F:F,C223)</f>
        <v>0</v>
      </c>
      <c r="I223" s="78">
        <v>0</v>
      </c>
      <c r="J223" s="79" t="str">
        <f t="shared" si="16"/>
        <v>否</v>
      </c>
    </row>
    <row r="224" customHeight="1" spans="2:10">
      <c r="B224" s="74">
        <v>245</v>
      </c>
      <c r="C224" s="77" t="str">
        <f>IF('基础-办公用品信息'!C224="","-",'基础-办公用品信息'!C224)</f>
        <v>洗衣刷</v>
      </c>
      <c r="D224" s="77" t="str">
        <f>IF('基础-办公用品信息'!D237="","-",'基础-办公用品信息'!D237)</f>
        <v>个 </v>
      </c>
      <c r="E224" s="77" t="str">
        <f>IF('基础-办公用品信息'!E224="","-",'基础-办公用品信息'!E224)</f>
        <v>-</v>
      </c>
      <c r="F224" s="77" t="str">
        <f>IF('基础-办公用品信息'!F224="","-",'基础-办公用品信息'!F224)</f>
        <v>-</v>
      </c>
      <c r="G224" s="77" t="str">
        <f t="shared" si="15"/>
        <v>-</v>
      </c>
      <c r="H224" s="77">
        <f>SUMIFS(期初库存!G:G,期初库存!C:C,C224)+SUMIFS('采购录入（明细）'!I:I,'采购录入（明细）'!E:E,C224)-SUMIFS('领用录入（明细）'!I:I,'领用录入（明细）'!F:F,C224)</f>
        <v>0</v>
      </c>
      <c r="I224" s="78">
        <v>0</v>
      </c>
      <c r="J224" s="79" t="str">
        <f t="shared" si="16"/>
        <v>否</v>
      </c>
    </row>
    <row r="225" customHeight="1" spans="2:10">
      <c r="B225" s="74">
        <v>246</v>
      </c>
      <c r="C225" s="77" t="str">
        <f>IF('基础-办公用品信息'!C225="","-",'基础-办公用品信息'!C225)</f>
        <v>四层不锈钢梯</v>
      </c>
      <c r="D225" s="77" t="str">
        <f>IF('基础-办公用品信息'!D238="","-",'基础-办公用品信息'!D238)</f>
        <v>个</v>
      </c>
      <c r="E225" s="77" t="str">
        <f>IF('基础-办公用品信息'!E225="","-",'基础-办公用品信息'!E225)</f>
        <v>-</v>
      </c>
      <c r="F225" s="77" t="str">
        <f>IF('基础-办公用品信息'!F225="","-",'基础-办公用品信息'!F225)</f>
        <v>-</v>
      </c>
      <c r="G225" s="77" t="str">
        <f t="shared" si="15"/>
        <v>-</v>
      </c>
      <c r="H225" s="77">
        <f>SUMIFS(期初库存!G:G,期初库存!C:C,C225)+SUMIFS('采购录入（明细）'!I:I,'采购录入（明细）'!E:E,C225)-SUMIFS('领用录入（明细）'!I:I,'领用录入（明细）'!F:F,C225)</f>
        <v>0</v>
      </c>
      <c r="I225" s="78">
        <v>0</v>
      </c>
      <c r="J225" s="79" t="str">
        <f t="shared" si="16"/>
        <v>否</v>
      </c>
    </row>
    <row r="226" customHeight="1" spans="2:10">
      <c r="B226" s="74">
        <v>247</v>
      </c>
      <c r="C226" s="77" t="str">
        <f>IF('基础-办公用品信息'!C226="","-",'基础-办公用品信息'!C226)</f>
        <v>好吸水拖把</v>
      </c>
      <c r="D226" s="77" t="str">
        <f>IF('基础-办公用品信息'!D239="","-",'基础-办公用品信息'!D239)</f>
        <v>双</v>
      </c>
      <c r="E226" s="77" t="str">
        <f>IF('基础-办公用品信息'!E226="","-",'基础-办公用品信息'!E226)</f>
        <v>-</v>
      </c>
      <c r="F226" s="77" t="str">
        <f>IF('基础-办公用品信息'!F226="","-",'基础-办公用品信息'!F226)</f>
        <v>-</v>
      </c>
      <c r="G226" s="77" t="str">
        <f t="shared" si="15"/>
        <v>-</v>
      </c>
      <c r="H226" s="77">
        <f>SUMIFS(期初库存!G:G,期初库存!C:C,C226)+SUMIFS('采购录入（明细）'!I:I,'采购录入（明细）'!E:E,C226)-SUMIFS('领用录入（明细）'!I:I,'领用录入（明细）'!F:F,C226)</f>
        <v>4</v>
      </c>
      <c r="I226" s="78">
        <v>0</v>
      </c>
      <c r="J226" s="79" t="str">
        <f t="shared" si="16"/>
        <v>否</v>
      </c>
    </row>
    <row r="227" customHeight="1" spans="2:10">
      <c r="B227" s="74">
        <v>248</v>
      </c>
      <c r="C227" s="77" t="str">
        <f>IF('基础-办公用品信息'!C227="","-",'基础-办公用品信息'!C227)</f>
        <v>多功能拖把桶</v>
      </c>
      <c r="D227" s="77" t="str">
        <f>IF('基础-办公用品信息'!D240="","-",'基础-办公用品信息'!D240)</f>
        <v>个</v>
      </c>
      <c r="E227" s="77" t="str">
        <f>IF('基础-办公用品信息'!E227="","-",'基础-办公用品信息'!E227)</f>
        <v>-</v>
      </c>
      <c r="F227" s="77" t="str">
        <f>IF('基础-办公用品信息'!F227="","-",'基础-办公用品信息'!F227)</f>
        <v>-</v>
      </c>
      <c r="G227" s="77" t="str">
        <f t="shared" si="15"/>
        <v>-</v>
      </c>
      <c r="H227" s="77">
        <f>SUMIFS(期初库存!G:G,期初库存!C:C,C227)+SUMIFS('采购录入（明细）'!I:I,'采购录入（明细）'!E:E,C227)-SUMIFS('领用录入（明细）'!I:I,'领用录入（明细）'!F:F,C227)</f>
        <v>0</v>
      </c>
      <c r="I227" s="78">
        <v>0</v>
      </c>
      <c r="J227" s="79" t="str">
        <f t="shared" si="16"/>
        <v>否</v>
      </c>
    </row>
    <row r="228" customHeight="1" spans="2:10">
      <c r="B228" s="74">
        <v>249</v>
      </c>
      <c r="C228" s="77" t="str">
        <f>IF('基础-办公用品信息'!C228="","-",'基础-办公用品信息'!C228)</f>
        <v>塑料凳</v>
      </c>
      <c r="D228" s="77" t="str">
        <f>IF('基础-办公用品信息'!D241="","-",'基础-办公用品信息'!D241)</f>
        <v>瓶</v>
      </c>
      <c r="E228" s="77" t="str">
        <f>IF('基础-办公用品信息'!E228="","-",'基础-办公用品信息'!E228)</f>
        <v>-</v>
      </c>
      <c r="F228" s="77" t="str">
        <f>IF('基础-办公用品信息'!F228="","-",'基础-办公用品信息'!F228)</f>
        <v>-</v>
      </c>
      <c r="G228" s="77" t="str">
        <f t="shared" si="15"/>
        <v>-</v>
      </c>
      <c r="H228" s="77">
        <f>SUMIFS(期初库存!G:G,期初库存!C:C,C228)+SUMIFS('采购录入（明细）'!I:I,'采购录入（明细）'!E:E,C228)-SUMIFS('领用录入（明细）'!I:I,'领用录入（明细）'!F:F,C228)</f>
        <v>0</v>
      </c>
      <c r="I228" s="78">
        <v>0</v>
      </c>
      <c r="J228" s="79" t="str">
        <f t="shared" si="16"/>
        <v>否</v>
      </c>
    </row>
    <row r="229" customHeight="1" spans="2:10">
      <c r="B229" s="74">
        <v>250</v>
      </c>
      <c r="C229" s="77" t="str">
        <f>IF('基础-办公用品信息'!C229="","-",'基础-办公用品信息'!C229)</f>
        <v>好吸水拖把</v>
      </c>
      <c r="D229" s="77" t="str">
        <f>IF('基础-办公用品信息'!D242="","-",'基础-办公用品信息'!D242)</f>
        <v>卷</v>
      </c>
      <c r="E229" s="77" t="str">
        <f>IF('基础-办公用品信息'!E229="","-",'基础-办公用品信息'!E229)</f>
        <v>-</v>
      </c>
      <c r="F229" s="77" t="str">
        <f>IF('基础-办公用品信息'!F229="","-",'基础-办公用品信息'!F229)</f>
        <v>-</v>
      </c>
      <c r="G229" s="77" t="str">
        <f t="shared" si="15"/>
        <v>-</v>
      </c>
      <c r="H229" s="77">
        <f>SUMIFS(期初库存!G:G,期初库存!C:C,C229)+SUMIFS('采购录入（明细）'!I:I,'采购录入（明细）'!E:E,C229)-SUMIFS('领用录入（明细）'!I:I,'领用录入（明细）'!F:F,C229)</f>
        <v>4</v>
      </c>
      <c r="I229" s="78">
        <v>0</v>
      </c>
      <c r="J229" s="79" t="str">
        <f t="shared" si="16"/>
        <v>否</v>
      </c>
    </row>
    <row r="230" customHeight="1" spans="2:10">
      <c r="B230" s="74">
        <v>251</v>
      </c>
      <c r="C230" s="77" t="str">
        <f>IF('基础-办公用品信息'!C230="","-",'基础-办公用品信息'!C230)</f>
        <v>挂式纸盒</v>
      </c>
      <c r="D230" s="77" t="str">
        <f>IF('基础-办公用品信息'!D243="","-",'基础-办公用品信息'!D243)</f>
        <v>个</v>
      </c>
      <c r="E230" s="77" t="str">
        <f>IF('基础-办公用品信息'!E230="","-",'基础-办公用品信息'!E230)</f>
        <v>-</v>
      </c>
      <c r="F230" s="77" t="str">
        <f>IF('基础-办公用品信息'!F230="","-",'基础-办公用品信息'!F230)</f>
        <v>-</v>
      </c>
      <c r="G230" s="77" t="str">
        <f t="shared" si="15"/>
        <v>-</v>
      </c>
      <c r="H230" s="77">
        <f>SUMIFS(期初库存!G:G,期初库存!C:C,C230)+SUMIFS('采购录入（明细）'!I:I,'采购录入（明细）'!E:E,C230)-SUMIFS('领用录入（明细）'!I:I,'领用录入（明细）'!F:F,C230)</f>
        <v>0</v>
      </c>
      <c r="I230" s="78">
        <v>0</v>
      </c>
      <c r="J230" s="79" t="str">
        <f t="shared" si="16"/>
        <v>否</v>
      </c>
    </row>
    <row r="231" customHeight="1" spans="2:10">
      <c r="B231" s="74">
        <v>252</v>
      </c>
      <c r="C231" s="77" t="str">
        <f>IF('基础-办公用品信息'!C231="","-",'基础-办公用品信息'!C231)</f>
        <v>挂式纸盒挂钩</v>
      </c>
      <c r="D231" s="77" t="str">
        <f>IF('基础-办公用品信息'!D244="","-",'基础-办公用品信息'!D244)</f>
        <v>-</v>
      </c>
      <c r="E231" s="77" t="str">
        <f>IF('基础-办公用品信息'!E231="","-",'基础-办公用品信息'!E231)</f>
        <v>-</v>
      </c>
      <c r="F231" s="77" t="str">
        <f>IF('基础-办公用品信息'!F231="","-",'基础-办公用品信息'!F231)</f>
        <v>-</v>
      </c>
      <c r="G231" s="77" t="str">
        <f t="shared" si="15"/>
        <v>-</v>
      </c>
      <c r="H231" s="77">
        <f>SUMIFS(期初库存!G:G,期初库存!C:C,C231)+SUMIFS('采购录入（明细）'!I:I,'采购录入（明细）'!E:E,C231)-SUMIFS('领用录入（明细）'!I:I,'领用录入（明细）'!F:F,C231)</f>
        <v>0</v>
      </c>
      <c r="I231" s="78">
        <v>0</v>
      </c>
      <c r="J231" s="79" t="str">
        <f t="shared" si="16"/>
        <v>否</v>
      </c>
    </row>
    <row r="232" customHeight="1" spans="2:10">
      <c r="B232" s="74">
        <v>253</v>
      </c>
      <c r="C232" s="77" t="str">
        <f>IF('基础-办公用品信息'!C232="","-",'基础-办公用品信息'!C232)</f>
        <v>纳米海绵</v>
      </c>
      <c r="D232" s="77" t="str">
        <f>IF('基础-办公用品信息'!D245="","-",'基础-办公用品信息'!D245)</f>
        <v>-</v>
      </c>
      <c r="E232" s="77" t="str">
        <f>IF('基础-办公用品信息'!E232="","-",'基础-办公用品信息'!E232)</f>
        <v>-</v>
      </c>
      <c r="F232" s="77" t="str">
        <f>IF('基础-办公用品信息'!F232="","-",'基础-办公用品信息'!F232)</f>
        <v>-</v>
      </c>
      <c r="G232" s="77" t="str">
        <f t="shared" si="15"/>
        <v>-</v>
      </c>
      <c r="H232" s="77">
        <f>SUMIFS(期初库存!G:G,期初库存!C:C,C232)+SUMIFS('采购录入（明细）'!I:I,'采购录入（明细）'!E:E,C232)-SUMIFS('领用录入（明细）'!I:I,'领用录入（明细）'!F:F,C232)</f>
        <v>0</v>
      </c>
      <c r="I232" s="78">
        <v>0</v>
      </c>
      <c r="J232" s="79" t="str">
        <f t="shared" si="16"/>
        <v>否</v>
      </c>
    </row>
    <row r="233" customHeight="1" spans="2:10">
      <c r="B233" s="74">
        <v>254</v>
      </c>
      <c r="C233" s="77" t="str">
        <f>IF('基础-办公用品信息'!C233="","-",'基础-办公用品信息'!C233)</f>
        <v>304不锈钢饭勺</v>
      </c>
      <c r="D233" s="77" t="str">
        <f>IF('基础-办公用品信息'!D246="","-",'基础-办公用品信息'!D246)</f>
        <v>-</v>
      </c>
      <c r="E233" s="77" t="str">
        <f>IF('基础-办公用品信息'!E233="","-",'基础-办公用品信息'!E233)</f>
        <v>-</v>
      </c>
      <c r="F233" s="77" t="str">
        <f>IF('基础-办公用品信息'!F233="","-",'基础-办公用品信息'!F233)</f>
        <v>-</v>
      </c>
      <c r="G233" s="77" t="str">
        <f t="shared" si="15"/>
        <v>-</v>
      </c>
      <c r="H233" s="77">
        <f>SUMIFS(期初库存!G:G,期初库存!C:C,C233)+SUMIFS('采购录入（明细）'!I:I,'采购录入（明细）'!E:E,C233)-SUMIFS('领用录入（明细）'!I:I,'领用录入（明细）'!F:F,C233)</f>
        <v>0</v>
      </c>
      <c r="I233" s="78">
        <v>0</v>
      </c>
      <c r="J233" s="79" t="str">
        <f t="shared" si="16"/>
        <v>否</v>
      </c>
    </row>
    <row r="234" customHeight="1" spans="2:10">
      <c r="B234" s="74">
        <v>255</v>
      </c>
      <c r="C234" s="77" t="str">
        <f>IF('基础-办公用品信息'!C234="","-",'基础-办公用品信息'!C234)</f>
        <v>抹布</v>
      </c>
      <c r="D234" s="77" t="str">
        <f>IF('基础-办公用品信息'!D247="","-",'基础-办公用品信息'!D247)</f>
        <v>-</v>
      </c>
      <c r="E234" s="77" t="str">
        <f>IF('基础-办公用品信息'!E234="","-",'基础-办公用品信息'!E234)</f>
        <v>-</v>
      </c>
      <c r="F234" s="77" t="str">
        <f>IF('基础-办公用品信息'!F234="","-",'基础-办公用品信息'!F234)</f>
        <v>-</v>
      </c>
      <c r="G234" s="77" t="str">
        <f t="shared" si="15"/>
        <v>-</v>
      </c>
      <c r="H234" s="77">
        <f>SUMIFS(期初库存!G:G,期初库存!C:C,C234)+SUMIFS('采购录入（明细）'!I:I,'采购录入（明细）'!E:E,C234)-SUMIFS('领用录入（明细）'!I:I,'领用录入（明细）'!F:F,C234)</f>
        <v>0</v>
      </c>
      <c r="I234" s="78">
        <v>0</v>
      </c>
      <c r="J234" s="79" t="str">
        <f t="shared" si="16"/>
        <v>否</v>
      </c>
    </row>
    <row r="235" customHeight="1" spans="2:10">
      <c r="B235" s="74">
        <v>256</v>
      </c>
      <c r="C235" s="77" t="str">
        <f>IF('基础-办公用品信息'!C235="","-",'基础-办公用品信息'!C235)</f>
        <v>久丽洗碗布</v>
      </c>
      <c r="D235" s="77" t="str">
        <f>IF('基础-办公用品信息'!D248="","-",'基础-办公用品信息'!D248)</f>
        <v>-</v>
      </c>
      <c r="E235" s="77" t="str">
        <f>IF('基础-办公用品信息'!E235="","-",'基础-办公用品信息'!E235)</f>
        <v>-</v>
      </c>
      <c r="F235" s="77" t="str">
        <f>IF('基础-办公用品信息'!F235="","-",'基础-办公用品信息'!F235)</f>
        <v>-</v>
      </c>
      <c r="G235" s="77" t="str">
        <f t="shared" si="15"/>
        <v>-</v>
      </c>
      <c r="H235" s="77">
        <f>SUMIFS(期初库存!G:G,期初库存!C:C,C235)+SUMIFS('采购录入（明细）'!I:I,'采购录入（明细）'!E:E,C235)-SUMIFS('领用录入（明细）'!I:I,'领用录入（明细）'!F:F,C235)</f>
        <v>0</v>
      </c>
      <c r="I235" s="78">
        <v>0</v>
      </c>
      <c r="J235" s="79" t="str">
        <f t="shared" si="16"/>
        <v>否</v>
      </c>
    </row>
    <row r="236" customHeight="1" spans="2:10">
      <c r="B236" s="74">
        <v>257</v>
      </c>
      <c r="C236" s="77" t="str">
        <f>IF('基础-办公用品信息'!C236="","-",'基础-办公用品信息'!C236)</f>
        <v>三角拖把</v>
      </c>
      <c r="D236" s="77" t="str">
        <f>IF('基础-办公用品信息'!D249="","-",'基础-办公用品信息'!D249)</f>
        <v>-</v>
      </c>
      <c r="E236" s="77" t="str">
        <f>IF('基础-办公用品信息'!E236="","-",'基础-办公用品信息'!E236)</f>
        <v>-</v>
      </c>
      <c r="F236" s="77" t="str">
        <f>IF('基础-办公用品信息'!F236="","-",'基础-办公用品信息'!F236)</f>
        <v>-</v>
      </c>
      <c r="G236" s="77" t="str">
        <f t="shared" si="15"/>
        <v>-</v>
      </c>
      <c r="H236" s="77">
        <f>SUMIFS(期初库存!G:G,期初库存!C:C,C236)+SUMIFS('采购录入（明细）'!I:I,'采购录入（明细）'!E:E,C236)-SUMIFS('领用录入（明细）'!I:I,'领用录入（明细）'!F:F,C236)</f>
        <v>0</v>
      </c>
      <c r="I236" s="78">
        <v>0</v>
      </c>
      <c r="J236" s="79" t="str">
        <f t="shared" si="16"/>
        <v>否</v>
      </c>
    </row>
    <row r="237" customHeight="1" spans="2:10">
      <c r="B237" s="74">
        <v>258</v>
      </c>
      <c r="C237" s="77" t="str">
        <f>IF('基础-办公用品信息'!C237="","-",'基础-办公用品信息'!C237)</f>
        <v>钢丝棉</v>
      </c>
      <c r="D237" s="77" t="str">
        <f>IF('基础-办公用品信息'!D250="","-",'基础-办公用品信息'!D250)</f>
        <v>-</v>
      </c>
      <c r="E237" s="77" t="str">
        <f>IF('基础-办公用品信息'!E237="","-",'基础-办公用品信息'!E237)</f>
        <v>-</v>
      </c>
      <c r="F237" s="77" t="str">
        <f>IF('基础-办公用品信息'!F237="","-",'基础-办公用品信息'!F237)</f>
        <v>-</v>
      </c>
      <c r="G237" s="77" t="str">
        <f t="shared" si="15"/>
        <v>-</v>
      </c>
      <c r="H237" s="77">
        <f>SUMIFS(期初库存!G:G,期初库存!C:C,C237)+SUMIFS('采购录入（明细）'!I:I,'采购录入（明细）'!E:E,C237)-SUMIFS('领用录入（明细）'!I:I,'领用录入（明细）'!F:F,C237)</f>
        <v>80</v>
      </c>
      <c r="I237" s="78">
        <v>0</v>
      </c>
      <c r="J237" s="79" t="str">
        <f t="shared" si="16"/>
        <v>否</v>
      </c>
    </row>
    <row r="238" customHeight="1" spans="2:10">
      <c r="B238" s="74">
        <v>259</v>
      </c>
      <c r="C238" s="77" t="str">
        <f>IF('基础-办公用品信息'!C238="","-",'基础-办公用品信息'!C238)</f>
        <v>线拖把</v>
      </c>
      <c r="D238" s="77" t="str">
        <f>IF('基础-办公用品信息'!D251="","-",'基础-办公用品信息'!D251)</f>
        <v>-</v>
      </c>
      <c r="E238" s="77" t="str">
        <f>IF('基础-办公用品信息'!E238="","-",'基础-办公用品信息'!E238)</f>
        <v>-</v>
      </c>
      <c r="F238" s="77" t="str">
        <f>IF('基础-办公用品信息'!F238="","-",'基础-办公用品信息'!F238)</f>
        <v>-</v>
      </c>
      <c r="G238" s="77" t="str">
        <f t="shared" si="15"/>
        <v>-</v>
      </c>
      <c r="H238" s="77">
        <f>SUMIFS(期初库存!G:G,期初库存!C:C,C238)+SUMIFS('采购录入（明细）'!I:I,'采购录入（明细）'!E:E,C238)-SUMIFS('领用录入（明细）'!I:I,'领用录入（明细）'!F:F,C238)</f>
        <v>2</v>
      </c>
      <c r="I238" s="78">
        <v>0</v>
      </c>
      <c r="J238" s="79" t="str">
        <f t="shared" si="16"/>
        <v>否</v>
      </c>
    </row>
    <row r="239" customHeight="1" spans="2:10">
      <c r="B239" s="74">
        <v>260</v>
      </c>
      <c r="C239" s="77" t="str">
        <f>IF('基础-办公用品信息'!C239="","-",'基础-办公用品信息'!C239)</f>
        <v>线手套</v>
      </c>
      <c r="D239" s="77" t="str">
        <f>IF('基础-办公用品信息'!D252="","-",'基础-办公用品信息'!D252)</f>
        <v>-</v>
      </c>
      <c r="E239" s="77" t="str">
        <f>IF('基础-办公用品信息'!E239="","-",'基础-办公用品信息'!E239)</f>
        <v>-</v>
      </c>
      <c r="F239" s="77" t="str">
        <f>IF('基础-办公用品信息'!F239="","-",'基础-办公用品信息'!F239)</f>
        <v>-</v>
      </c>
      <c r="G239" s="77" t="str">
        <f t="shared" si="15"/>
        <v>-</v>
      </c>
      <c r="H239" s="77">
        <f>SUMIFS(期初库存!G:G,期初库存!C:C,C239)+SUMIFS('采购录入（明细）'!I:I,'采购录入（明细）'!E:E,C239)-SUMIFS('领用录入（明细）'!I:I,'领用录入（明细）'!F:F,C239)</f>
        <v>36</v>
      </c>
      <c r="I239" s="78">
        <v>0</v>
      </c>
      <c r="J239" s="79" t="str">
        <f t="shared" si="16"/>
        <v>否</v>
      </c>
    </row>
    <row r="240" customHeight="1" spans="2:10">
      <c r="B240" s="74">
        <v>261</v>
      </c>
      <c r="C240" s="77" t="str">
        <f>IF('基础-办公用品信息'!C240="","-",'基础-办公用品信息'!C240)</f>
        <v>扫把套装</v>
      </c>
      <c r="D240" s="77" t="str">
        <f>IF('基础-办公用品信息'!D253="","-",'基础-办公用品信息'!D253)</f>
        <v>-</v>
      </c>
      <c r="E240" s="77" t="str">
        <f>IF('基础-办公用品信息'!E240="","-",'基础-办公用品信息'!E240)</f>
        <v>-</v>
      </c>
      <c r="F240" s="77" t="str">
        <f>IF('基础-办公用品信息'!F240="","-",'基础-办公用品信息'!F240)</f>
        <v>-</v>
      </c>
      <c r="G240" s="77" t="str">
        <f t="shared" si="15"/>
        <v>-</v>
      </c>
      <c r="H240" s="77">
        <f>SUMIFS(期初库存!G:G,期初库存!C:C,C240)+SUMIFS('采购录入（明细）'!I:I,'采购录入（明细）'!E:E,C240)-SUMIFS('领用录入（明细）'!I:I,'领用录入（明细）'!F:F,C240)</f>
        <v>2</v>
      </c>
      <c r="I240" s="78">
        <v>0</v>
      </c>
      <c r="J240" s="79" t="str">
        <f t="shared" si="16"/>
        <v>否</v>
      </c>
    </row>
    <row r="241" customHeight="1" spans="2:10">
      <c r="B241" s="74">
        <v>262</v>
      </c>
      <c r="C241" s="77" t="str">
        <f>IF('基础-办公用品信息'!C241="","-",'基础-办公用品信息'!C241)</f>
        <v>除胶剂</v>
      </c>
      <c r="D241" s="77" t="str">
        <f>IF('基础-办公用品信息'!D254="","-",'基础-办公用品信息'!D254)</f>
        <v>-</v>
      </c>
      <c r="E241" s="77" t="str">
        <f>IF('基础-办公用品信息'!E241="","-",'基础-办公用品信息'!E241)</f>
        <v>-</v>
      </c>
      <c r="F241" s="77" t="str">
        <f>IF('基础-办公用品信息'!F241="","-",'基础-办公用品信息'!F241)</f>
        <v>-</v>
      </c>
      <c r="G241" s="77" t="str">
        <f t="shared" si="15"/>
        <v>-</v>
      </c>
      <c r="H241" s="77">
        <f>SUMIFS(期初库存!G:G,期初库存!C:C,C241)+SUMIFS('采购录入（明细）'!I:I,'采购录入（明细）'!E:E,C241)-SUMIFS('领用录入（明细）'!I:I,'领用录入（明细）'!F:F,C241)</f>
        <v>4</v>
      </c>
      <c r="I241" s="78">
        <v>0</v>
      </c>
      <c r="J241" s="79" t="str">
        <f t="shared" si="16"/>
        <v>否</v>
      </c>
    </row>
    <row r="242" customHeight="1" spans="2:10">
      <c r="B242" s="74">
        <v>263</v>
      </c>
      <c r="C242" s="77" t="str">
        <f>IF('基础-办公用品信息'!C242="","-",'基础-办公用品信息'!C242)</f>
        <v>海绵胶</v>
      </c>
      <c r="D242" s="77" t="str">
        <f>IF('基础-办公用品信息'!D255="","-",'基础-办公用品信息'!D255)</f>
        <v>-</v>
      </c>
      <c r="E242" s="77" t="str">
        <f>IF('基础-办公用品信息'!E242="","-",'基础-办公用品信息'!E242)</f>
        <v>-</v>
      </c>
      <c r="F242" s="77" t="str">
        <f>IF('基础-办公用品信息'!F242="","-",'基础-办公用品信息'!F242)</f>
        <v>-</v>
      </c>
      <c r="G242" s="77" t="str">
        <f t="shared" si="15"/>
        <v>-</v>
      </c>
      <c r="H242" s="77">
        <f>SUMIFS(期初库存!G:G,期初库存!C:C,C242)+SUMIFS('采购录入（明细）'!I:I,'采购录入（明细）'!E:E,C242)-SUMIFS('领用录入（明细）'!I:I,'领用录入（明细）'!F:F,C242)</f>
        <v>1</v>
      </c>
      <c r="I242" s="78">
        <v>0</v>
      </c>
      <c r="J242" s="79" t="str">
        <f t="shared" si="16"/>
        <v>否</v>
      </c>
    </row>
    <row r="243" customHeight="1" spans="2:10">
      <c r="B243" s="74">
        <v>264</v>
      </c>
      <c r="C243" s="77" t="str">
        <f>IF('基础-办公用品信息'!C243="","-",'基础-办公用品信息'!C243)</f>
        <v>资料册60页</v>
      </c>
      <c r="D243" s="77" t="str">
        <f>IF('基础-办公用品信息'!D256="","-",'基础-办公用品信息'!D256)</f>
        <v>-</v>
      </c>
      <c r="E243" s="77" t="str">
        <f>IF('基础-办公用品信息'!E243="","-",'基础-办公用品信息'!E243)</f>
        <v>-</v>
      </c>
      <c r="F243" s="77" t="str">
        <f>IF('基础-办公用品信息'!F243="","-",'基础-办公用品信息'!F243)</f>
        <v>-</v>
      </c>
      <c r="G243" s="77" t="str">
        <f t="shared" si="15"/>
        <v>-</v>
      </c>
      <c r="H243" s="77">
        <f>SUMIFS(期初库存!G:G,期初库存!C:C,C243)+SUMIFS('采购录入（明细）'!I:I,'采购录入（明细）'!E:E,C243)-SUMIFS('领用录入（明细）'!I:I,'领用录入（明细）'!F:F,C243)</f>
        <v>9</v>
      </c>
      <c r="I243" s="78">
        <v>0</v>
      </c>
      <c r="J243" s="79" t="str">
        <f t="shared" si="16"/>
        <v>否</v>
      </c>
    </row>
    <row r="244" customHeight="1" spans="2:10">
      <c r="B244" s="74">
        <v>265</v>
      </c>
      <c r="C244" s="77" t="str">
        <f>IF('基础-办公用品信息'!C244="","-",'基础-办公用品信息'!C244)</f>
        <v>-</v>
      </c>
      <c r="D244" s="77" t="str">
        <f>IF('基础-办公用品信息'!D257="","-",'基础-办公用品信息'!D257)</f>
        <v>-</v>
      </c>
      <c r="E244" s="77" t="str">
        <f>IF('基础-办公用品信息'!E244="","-",'基础-办公用品信息'!E244)</f>
        <v>-</v>
      </c>
      <c r="F244" s="77" t="str">
        <f>IF('基础-办公用品信息'!F244="","-",'基础-办公用品信息'!F244)</f>
        <v>-</v>
      </c>
      <c r="G244" s="77" t="str">
        <f t="shared" ref="G244:G307" si="17">IFERROR(F244*H244,"-")</f>
        <v>-</v>
      </c>
      <c r="H244" s="77">
        <f>SUMIFS(期初库存!G:G,期初库存!C:C,C244)+SUMIFS('采购录入（明细）'!I:I,'采购录入（明细）'!E:E,C244)-SUMIFS('领用录入（明细）'!I:I,'领用录入（明细）'!F:F,C244)</f>
        <v>0</v>
      </c>
      <c r="I244" s="78">
        <v>0</v>
      </c>
      <c r="J244" s="79" t="str">
        <f t="shared" ref="J244:J307" si="18">IF(I244&gt;H244,"采购","否")</f>
        <v>否</v>
      </c>
    </row>
    <row r="245" customHeight="1" spans="2:10">
      <c r="B245" s="74">
        <v>266</v>
      </c>
      <c r="C245" s="77" t="str">
        <f>IF('基础-办公用品信息'!C245="","-",'基础-办公用品信息'!C245)</f>
        <v>-</v>
      </c>
      <c r="D245" s="77" t="str">
        <f>IF('基础-办公用品信息'!D258="","-",'基础-办公用品信息'!D258)</f>
        <v>-</v>
      </c>
      <c r="E245" s="77" t="str">
        <f>IF('基础-办公用品信息'!E245="","-",'基础-办公用品信息'!E245)</f>
        <v>-</v>
      </c>
      <c r="F245" s="77" t="str">
        <f>IF('基础-办公用品信息'!F245="","-",'基础-办公用品信息'!F245)</f>
        <v>-</v>
      </c>
      <c r="G245" s="77" t="str">
        <f t="shared" si="17"/>
        <v>-</v>
      </c>
      <c r="H245" s="77">
        <f>SUMIFS(期初库存!G:G,期初库存!C:C,C245)+SUMIFS('采购录入（明细）'!I:I,'采购录入（明细）'!E:E,C245)-SUMIFS('领用录入（明细）'!I:I,'领用录入（明细）'!F:F,C245)</f>
        <v>0</v>
      </c>
      <c r="I245" s="78">
        <v>0</v>
      </c>
      <c r="J245" s="79" t="str">
        <f t="shared" si="18"/>
        <v>否</v>
      </c>
    </row>
    <row r="246" customHeight="1" spans="2:10">
      <c r="B246" s="74">
        <v>267</v>
      </c>
      <c r="C246" s="77" t="str">
        <f>IF('基础-办公用品信息'!C246="","-",'基础-办公用品信息'!C246)</f>
        <v>-</v>
      </c>
      <c r="D246" s="77" t="str">
        <f>IF('基础-办公用品信息'!D259="","-",'基础-办公用品信息'!D259)</f>
        <v>-</v>
      </c>
      <c r="E246" s="77" t="str">
        <f>IF('基础-办公用品信息'!E246="","-",'基础-办公用品信息'!E246)</f>
        <v>-</v>
      </c>
      <c r="F246" s="77" t="str">
        <f>IF('基础-办公用品信息'!F246="","-",'基础-办公用品信息'!F246)</f>
        <v>-</v>
      </c>
      <c r="G246" s="77" t="str">
        <f t="shared" si="17"/>
        <v>-</v>
      </c>
      <c r="H246" s="77">
        <f>SUMIFS(期初库存!G:G,期初库存!C:C,C246)+SUMIFS('采购录入（明细）'!I:I,'采购录入（明细）'!E:E,C246)-SUMIFS('领用录入（明细）'!I:I,'领用录入（明细）'!F:F,C246)</f>
        <v>0</v>
      </c>
      <c r="I246" s="78">
        <v>0</v>
      </c>
      <c r="J246" s="79" t="str">
        <f t="shared" si="18"/>
        <v>否</v>
      </c>
    </row>
    <row r="247" customHeight="1" spans="2:10">
      <c r="B247" s="74">
        <v>268</v>
      </c>
      <c r="C247" s="77" t="str">
        <f>IF('基础-办公用品信息'!C247="","-",'基础-办公用品信息'!C247)</f>
        <v>-</v>
      </c>
      <c r="D247" s="77" t="str">
        <f>IF('基础-办公用品信息'!D260="","-",'基础-办公用品信息'!D260)</f>
        <v>-</v>
      </c>
      <c r="E247" s="77" t="str">
        <f>IF('基础-办公用品信息'!E247="","-",'基础-办公用品信息'!E247)</f>
        <v>-</v>
      </c>
      <c r="F247" s="77" t="str">
        <f>IF('基础-办公用品信息'!F247="","-",'基础-办公用品信息'!F247)</f>
        <v>-</v>
      </c>
      <c r="G247" s="77" t="str">
        <f t="shared" si="17"/>
        <v>-</v>
      </c>
      <c r="H247" s="77">
        <f>SUMIFS(期初库存!G:G,期初库存!C:C,C247)+SUMIFS('采购录入（明细）'!I:I,'采购录入（明细）'!E:E,C247)-SUMIFS('领用录入（明细）'!I:I,'领用录入（明细）'!F:F,C247)</f>
        <v>0</v>
      </c>
      <c r="I247" s="78">
        <v>0</v>
      </c>
      <c r="J247" s="79" t="str">
        <f t="shared" si="18"/>
        <v>否</v>
      </c>
    </row>
    <row r="248" customHeight="1" spans="2:10">
      <c r="B248" s="74">
        <v>269</v>
      </c>
      <c r="C248" s="77" t="str">
        <f>IF('基础-办公用品信息'!C248="","-",'基础-办公用品信息'!C248)</f>
        <v>-</v>
      </c>
      <c r="D248" s="77" t="str">
        <f>IF('基础-办公用品信息'!D261="","-",'基础-办公用品信息'!D261)</f>
        <v>-</v>
      </c>
      <c r="E248" s="77" t="str">
        <f>IF('基础-办公用品信息'!E248="","-",'基础-办公用品信息'!E248)</f>
        <v>-</v>
      </c>
      <c r="F248" s="77" t="str">
        <f>IF('基础-办公用品信息'!F248="","-",'基础-办公用品信息'!F248)</f>
        <v>-</v>
      </c>
      <c r="G248" s="77" t="str">
        <f t="shared" si="17"/>
        <v>-</v>
      </c>
      <c r="H248" s="77">
        <f>SUMIFS(期初库存!G:G,期初库存!C:C,C248)+SUMIFS('采购录入（明细）'!I:I,'采购录入（明细）'!E:E,C248)-SUMIFS('领用录入（明细）'!I:I,'领用录入（明细）'!F:F,C248)</f>
        <v>0</v>
      </c>
      <c r="I248" s="78">
        <v>0</v>
      </c>
      <c r="J248" s="79" t="str">
        <f t="shared" si="18"/>
        <v>否</v>
      </c>
    </row>
    <row r="249" customHeight="1" spans="2:10">
      <c r="B249" s="74">
        <v>270</v>
      </c>
      <c r="C249" s="77" t="str">
        <f>IF('基础-办公用品信息'!C249="","-",'基础-办公用品信息'!C249)</f>
        <v>-</v>
      </c>
      <c r="D249" s="77" t="str">
        <f>IF('基础-办公用品信息'!D262="","-",'基础-办公用品信息'!D262)</f>
        <v>-</v>
      </c>
      <c r="E249" s="77" t="str">
        <f>IF('基础-办公用品信息'!E249="","-",'基础-办公用品信息'!E249)</f>
        <v>-</v>
      </c>
      <c r="F249" s="77" t="str">
        <f>IF('基础-办公用品信息'!F249="","-",'基础-办公用品信息'!F249)</f>
        <v>-</v>
      </c>
      <c r="G249" s="77" t="str">
        <f t="shared" si="17"/>
        <v>-</v>
      </c>
      <c r="H249" s="77">
        <f>SUMIFS(期初库存!G:G,期初库存!C:C,C249)+SUMIFS('采购录入（明细）'!I:I,'采购录入（明细）'!E:E,C249)-SUMIFS('领用录入（明细）'!I:I,'领用录入（明细）'!F:F,C249)</f>
        <v>0</v>
      </c>
      <c r="I249" s="78">
        <v>0</v>
      </c>
      <c r="J249" s="79" t="str">
        <f t="shared" si="18"/>
        <v>否</v>
      </c>
    </row>
    <row r="250" customHeight="1" spans="2:10">
      <c r="B250" s="74">
        <v>271</v>
      </c>
      <c r="C250" s="77" t="str">
        <f>IF('基础-办公用品信息'!C250="","-",'基础-办公用品信息'!C250)</f>
        <v>-</v>
      </c>
      <c r="D250" s="77" t="str">
        <f>IF('基础-办公用品信息'!D263="","-",'基础-办公用品信息'!D263)</f>
        <v>-</v>
      </c>
      <c r="E250" s="77" t="str">
        <f>IF('基础-办公用品信息'!E250="","-",'基础-办公用品信息'!E250)</f>
        <v>-</v>
      </c>
      <c r="F250" s="77" t="str">
        <f>IF('基础-办公用品信息'!F250="","-",'基础-办公用品信息'!F250)</f>
        <v>-</v>
      </c>
      <c r="G250" s="77" t="str">
        <f t="shared" si="17"/>
        <v>-</v>
      </c>
      <c r="H250" s="77">
        <f>SUMIFS(期初库存!G:G,期初库存!C:C,C250)+SUMIFS('采购录入（明细）'!I:I,'采购录入（明细）'!E:E,C250)-SUMIFS('领用录入（明细）'!I:I,'领用录入（明细）'!F:F,C250)</f>
        <v>0</v>
      </c>
      <c r="I250" s="78">
        <v>0</v>
      </c>
      <c r="J250" s="79" t="str">
        <f t="shared" si="18"/>
        <v>否</v>
      </c>
    </row>
    <row r="251" customHeight="1" spans="2:10">
      <c r="B251" s="74">
        <v>272</v>
      </c>
      <c r="C251" s="77" t="str">
        <f>IF('基础-办公用品信息'!C251="","-",'基础-办公用品信息'!C251)</f>
        <v>-</v>
      </c>
      <c r="D251" s="77" t="str">
        <f>IF('基础-办公用品信息'!D264="","-",'基础-办公用品信息'!D264)</f>
        <v>-</v>
      </c>
      <c r="E251" s="77" t="str">
        <f>IF('基础-办公用品信息'!E251="","-",'基础-办公用品信息'!E251)</f>
        <v>-</v>
      </c>
      <c r="F251" s="77" t="str">
        <f>IF('基础-办公用品信息'!F251="","-",'基础-办公用品信息'!F251)</f>
        <v>-</v>
      </c>
      <c r="G251" s="77" t="str">
        <f t="shared" si="17"/>
        <v>-</v>
      </c>
      <c r="H251" s="77">
        <f>SUMIFS(期初库存!G:G,期初库存!C:C,C251)+SUMIFS('采购录入（明细）'!I:I,'采购录入（明细）'!E:E,C251)-SUMIFS('领用录入（明细）'!I:I,'领用录入（明细）'!F:F,C251)</f>
        <v>0</v>
      </c>
      <c r="I251" s="78">
        <v>0</v>
      </c>
      <c r="J251" s="79" t="str">
        <f t="shared" si="18"/>
        <v>否</v>
      </c>
    </row>
    <row r="252" customHeight="1" spans="2:10">
      <c r="B252" s="74">
        <v>273</v>
      </c>
      <c r="C252" s="77" t="str">
        <f>IF('基础-办公用品信息'!C252="","-",'基础-办公用品信息'!C252)</f>
        <v>-</v>
      </c>
      <c r="D252" s="77" t="str">
        <f>IF('基础-办公用品信息'!D265="","-",'基础-办公用品信息'!D265)</f>
        <v>-</v>
      </c>
      <c r="E252" s="77" t="str">
        <f>IF('基础-办公用品信息'!E252="","-",'基础-办公用品信息'!E252)</f>
        <v>-</v>
      </c>
      <c r="F252" s="77" t="str">
        <f>IF('基础-办公用品信息'!F252="","-",'基础-办公用品信息'!F252)</f>
        <v>-</v>
      </c>
      <c r="G252" s="77" t="str">
        <f t="shared" si="17"/>
        <v>-</v>
      </c>
      <c r="H252" s="77">
        <f>SUMIFS(期初库存!G:G,期初库存!C:C,C252)+SUMIFS('采购录入（明细）'!I:I,'采购录入（明细）'!E:E,C252)-SUMIFS('领用录入（明细）'!I:I,'领用录入（明细）'!F:F,C252)</f>
        <v>0</v>
      </c>
      <c r="I252" s="78">
        <v>0</v>
      </c>
      <c r="J252" s="79" t="str">
        <f t="shared" si="18"/>
        <v>否</v>
      </c>
    </row>
    <row r="253" customHeight="1" spans="2:10">
      <c r="B253" s="74">
        <v>274</v>
      </c>
      <c r="C253" s="77" t="str">
        <f>IF('基础-办公用品信息'!C253="","-",'基础-办公用品信息'!C253)</f>
        <v>-</v>
      </c>
      <c r="D253" s="77" t="str">
        <f>IF('基础-办公用品信息'!D266="","-",'基础-办公用品信息'!D266)</f>
        <v>-</v>
      </c>
      <c r="E253" s="77" t="str">
        <f>IF('基础-办公用品信息'!E253="","-",'基础-办公用品信息'!E253)</f>
        <v>-</v>
      </c>
      <c r="F253" s="77" t="str">
        <f>IF('基础-办公用品信息'!F253="","-",'基础-办公用品信息'!F253)</f>
        <v>-</v>
      </c>
      <c r="G253" s="77" t="str">
        <f t="shared" si="17"/>
        <v>-</v>
      </c>
      <c r="H253" s="77">
        <f>SUMIFS(期初库存!G:G,期初库存!C:C,C253)+SUMIFS('采购录入（明细）'!I:I,'采购录入（明细）'!E:E,C253)-SUMIFS('领用录入（明细）'!I:I,'领用录入（明细）'!F:F,C253)</f>
        <v>0</v>
      </c>
      <c r="I253" s="78"/>
      <c r="J253" s="79" t="str">
        <f t="shared" si="18"/>
        <v>否</v>
      </c>
    </row>
    <row r="254" customHeight="1" spans="2:10">
      <c r="B254" s="74">
        <v>275</v>
      </c>
      <c r="C254" s="77" t="str">
        <f>IF('基础-办公用品信息'!C254="","-",'基础-办公用品信息'!C254)</f>
        <v>-</v>
      </c>
      <c r="D254" s="77" t="str">
        <f>IF('基础-办公用品信息'!D267="","-",'基础-办公用品信息'!D267)</f>
        <v>-</v>
      </c>
      <c r="E254" s="77" t="str">
        <f>IF('基础-办公用品信息'!E254="","-",'基础-办公用品信息'!E254)</f>
        <v>-</v>
      </c>
      <c r="F254" s="77" t="str">
        <f>IF('基础-办公用品信息'!F254="","-",'基础-办公用品信息'!F254)</f>
        <v>-</v>
      </c>
      <c r="G254" s="77" t="str">
        <f t="shared" si="17"/>
        <v>-</v>
      </c>
      <c r="H254" s="77">
        <f>SUMIFS(期初库存!G:G,期初库存!C:C,C254)+SUMIFS('采购录入（明细）'!I:I,'采购录入（明细）'!E:E,C254)-SUMIFS('领用录入（明细）'!I:I,'领用录入（明细）'!F:F,C254)</f>
        <v>0</v>
      </c>
      <c r="I254" s="78"/>
      <c r="J254" s="79" t="str">
        <f t="shared" si="18"/>
        <v>否</v>
      </c>
    </row>
    <row r="255" customHeight="1" spans="2:10">
      <c r="B255" s="74">
        <v>276</v>
      </c>
      <c r="C255" s="77" t="str">
        <f>IF('基础-办公用品信息'!C255="","-",'基础-办公用品信息'!C255)</f>
        <v>-</v>
      </c>
      <c r="D255" s="77" t="str">
        <f>IF('基础-办公用品信息'!D268="","-",'基础-办公用品信息'!D268)</f>
        <v>-</v>
      </c>
      <c r="E255" s="77" t="str">
        <f>IF('基础-办公用品信息'!E255="","-",'基础-办公用品信息'!E255)</f>
        <v>-</v>
      </c>
      <c r="F255" s="77" t="str">
        <f>IF('基础-办公用品信息'!F255="","-",'基础-办公用品信息'!F255)</f>
        <v>-</v>
      </c>
      <c r="G255" s="77" t="str">
        <f t="shared" si="17"/>
        <v>-</v>
      </c>
      <c r="H255" s="77">
        <f>SUMIFS(期初库存!G:G,期初库存!C:C,C255)+SUMIFS('采购录入（明细）'!I:I,'采购录入（明细）'!E:E,C255)-SUMIFS('领用录入（明细）'!I:I,'领用录入（明细）'!F:F,C255)</f>
        <v>0</v>
      </c>
      <c r="I255" s="78"/>
      <c r="J255" s="79" t="str">
        <f t="shared" si="18"/>
        <v>否</v>
      </c>
    </row>
    <row r="256" customHeight="1" spans="2:10">
      <c r="B256" s="74">
        <v>277</v>
      </c>
      <c r="C256" s="77" t="str">
        <f>IF('基础-办公用品信息'!C256="","-",'基础-办公用品信息'!C256)</f>
        <v>-</v>
      </c>
      <c r="D256" s="77" t="str">
        <f>IF('基础-办公用品信息'!D269="","-",'基础-办公用品信息'!D269)</f>
        <v>-</v>
      </c>
      <c r="E256" s="77" t="str">
        <f>IF('基础-办公用品信息'!E256="","-",'基础-办公用品信息'!E256)</f>
        <v>-</v>
      </c>
      <c r="F256" s="77" t="str">
        <f>IF('基础-办公用品信息'!F256="","-",'基础-办公用品信息'!F256)</f>
        <v>-</v>
      </c>
      <c r="G256" s="77" t="str">
        <f t="shared" si="17"/>
        <v>-</v>
      </c>
      <c r="H256" s="77">
        <f>SUMIFS(期初库存!G:G,期初库存!C:C,C256)+SUMIFS('采购录入（明细）'!I:I,'采购录入（明细）'!E:E,C256)-SUMIFS('领用录入（明细）'!I:I,'领用录入（明细）'!F:F,C256)</f>
        <v>0</v>
      </c>
      <c r="I256" s="78"/>
      <c r="J256" s="79" t="str">
        <f t="shared" si="18"/>
        <v>否</v>
      </c>
    </row>
    <row r="257" customHeight="1" spans="2:10">
      <c r="B257" s="74">
        <v>278</v>
      </c>
      <c r="C257" s="77" t="str">
        <f>IF('基础-办公用品信息'!C257="","-",'基础-办公用品信息'!C257)</f>
        <v>-</v>
      </c>
      <c r="D257" s="77" t="str">
        <f>IF('基础-办公用品信息'!D270="","-",'基础-办公用品信息'!D270)</f>
        <v>-</v>
      </c>
      <c r="E257" s="77" t="str">
        <f>IF('基础-办公用品信息'!E257="","-",'基础-办公用品信息'!E257)</f>
        <v>-</v>
      </c>
      <c r="F257" s="77" t="str">
        <f>IF('基础-办公用品信息'!F257="","-",'基础-办公用品信息'!F257)</f>
        <v>-</v>
      </c>
      <c r="G257" s="77" t="str">
        <f t="shared" si="17"/>
        <v>-</v>
      </c>
      <c r="H257" s="77">
        <f>SUMIFS(期初库存!G:G,期初库存!C:C,C257)+SUMIFS('采购录入（明细）'!I:I,'采购录入（明细）'!E:E,C257)-SUMIFS('领用录入（明细）'!I:I,'领用录入（明细）'!F:F,C257)</f>
        <v>0</v>
      </c>
      <c r="I257" s="78"/>
      <c r="J257" s="79" t="str">
        <f t="shared" si="18"/>
        <v>否</v>
      </c>
    </row>
    <row r="258" customHeight="1" spans="2:10">
      <c r="B258" s="74">
        <v>279</v>
      </c>
      <c r="C258" s="77" t="str">
        <f>IF('基础-办公用品信息'!C258="","-",'基础-办公用品信息'!C258)</f>
        <v>-</v>
      </c>
      <c r="D258" s="77" t="str">
        <f>IF('基础-办公用品信息'!D271="","-",'基础-办公用品信息'!D271)</f>
        <v>-</v>
      </c>
      <c r="E258" s="77" t="str">
        <f>IF('基础-办公用品信息'!E258="","-",'基础-办公用品信息'!E258)</f>
        <v>-</v>
      </c>
      <c r="F258" s="77" t="str">
        <f>IF('基础-办公用品信息'!F258="","-",'基础-办公用品信息'!F258)</f>
        <v>-</v>
      </c>
      <c r="G258" s="77" t="str">
        <f t="shared" si="17"/>
        <v>-</v>
      </c>
      <c r="H258" s="77">
        <f>SUMIFS(期初库存!G:G,期初库存!C:C,C258)+SUMIFS('采购录入（明细）'!I:I,'采购录入（明细）'!E:E,C258)-SUMIFS('领用录入（明细）'!I:I,'领用录入（明细）'!F:F,C258)</f>
        <v>0</v>
      </c>
      <c r="I258" s="78"/>
      <c r="J258" s="79" t="str">
        <f t="shared" si="18"/>
        <v>否</v>
      </c>
    </row>
    <row r="259" customHeight="1" spans="2:10">
      <c r="B259" s="74">
        <v>280</v>
      </c>
      <c r="C259" s="77" t="str">
        <f>IF('基础-办公用品信息'!C259="","-",'基础-办公用品信息'!C259)</f>
        <v>-</v>
      </c>
      <c r="D259" s="77" t="str">
        <f>IF('基础-办公用品信息'!D272="","-",'基础-办公用品信息'!D272)</f>
        <v>-</v>
      </c>
      <c r="E259" s="77" t="str">
        <f>IF('基础-办公用品信息'!E259="","-",'基础-办公用品信息'!E259)</f>
        <v>-</v>
      </c>
      <c r="F259" s="77" t="str">
        <f>IF('基础-办公用品信息'!F259="","-",'基础-办公用品信息'!F259)</f>
        <v>-</v>
      </c>
      <c r="G259" s="77" t="str">
        <f t="shared" si="17"/>
        <v>-</v>
      </c>
      <c r="H259" s="77">
        <f>SUMIFS(期初库存!G:G,期初库存!C:C,C259)+SUMIFS('采购录入（明细）'!I:I,'采购录入（明细）'!E:E,C259)-SUMIFS('领用录入（明细）'!I:I,'领用录入（明细）'!F:F,C259)</f>
        <v>0</v>
      </c>
      <c r="I259" s="78"/>
      <c r="J259" s="79" t="str">
        <f t="shared" si="18"/>
        <v>否</v>
      </c>
    </row>
    <row r="260" customHeight="1" spans="2:10">
      <c r="B260" s="74">
        <v>281</v>
      </c>
      <c r="C260" s="77" t="str">
        <f>IF('基础-办公用品信息'!C260="","-",'基础-办公用品信息'!C260)</f>
        <v>-</v>
      </c>
      <c r="D260" s="77" t="str">
        <f>IF('基础-办公用品信息'!D273="","-",'基础-办公用品信息'!D273)</f>
        <v>-</v>
      </c>
      <c r="E260" s="77" t="str">
        <f>IF('基础-办公用品信息'!E260="","-",'基础-办公用品信息'!E260)</f>
        <v>-</v>
      </c>
      <c r="F260" s="77" t="str">
        <f>IF('基础-办公用品信息'!F260="","-",'基础-办公用品信息'!F260)</f>
        <v>-</v>
      </c>
      <c r="G260" s="77" t="str">
        <f t="shared" si="17"/>
        <v>-</v>
      </c>
      <c r="H260" s="77">
        <f>SUMIFS(期初库存!G:G,期初库存!C:C,C260)+SUMIFS('采购录入（明细）'!I:I,'采购录入（明细）'!E:E,C260)-SUMIFS('领用录入（明细）'!I:I,'领用录入（明细）'!F:F,C260)</f>
        <v>0</v>
      </c>
      <c r="I260" s="78"/>
      <c r="J260" s="79" t="str">
        <f t="shared" si="18"/>
        <v>否</v>
      </c>
    </row>
    <row r="261" customHeight="1" spans="2:10">
      <c r="B261" s="74">
        <v>282</v>
      </c>
      <c r="C261" s="77" t="str">
        <f>IF('基础-办公用品信息'!C261="","-",'基础-办公用品信息'!C261)</f>
        <v>-</v>
      </c>
      <c r="D261" s="77" t="str">
        <f>IF('基础-办公用品信息'!D274="","-",'基础-办公用品信息'!D274)</f>
        <v>-</v>
      </c>
      <c r="E261" s="77" t="str">
        <f>IF('基础-办公用品信息'!E261="","-",'基础-办公用品信息'!E261)</f>
        <v>-</v>
      </c>
      <c r="F261" s="77" t="str">
        <f>IF('基础-办公用品信息'!F261="","-",'基础-办公用品信息'!F261)</f>
        <v>-</v>
      </c>
      <c r="G261" s="77" t="str">
        <f t="shared" si="17"/>
        <v>-</v>
      </c>
      <c r="H261" s="77">
        <f>SUMIFS(期初库存!G:G,期初库存!C:C,C261)+SUMIFS('采购录入（明细）'!I:I,'采购录入（明细）'!E:E,C261)-SUMIFS('领用录入（明细）'!I:I,'领用录入（明细）'!F:F,C261)</f>
        <v>0</v>
      </c>
      <c r="I261" s="78"/>
      <c r="J261" s="79" t="str">
        <f t="shared" si="18"/>
        <v>否</v>
      </c>
    </row>
    <row r="262" customHeight="1" spans="2:10">
      <c r="B262" s="74">
        <v>283</v>
      </c>
      <c r="C262" s="77" t="str">
        <f>IF('基础-办公用品信息'!C262="","-",'基础-办公用品信息'!C262)</f>
        <v>-</v>
      </c>
      <c r="D262" s="77" t="str">
        <f>IF('基础-办公用品信息'!D275="","-",'基础-办公用品信息'!D275)</f>
        <v>-</v>
      </c>
      <c r="E262" s="77" t="str">
        <f>IF('基础-办公用品信息'!E262="","-",'基础-办公用品信息'!E262)</f>
        <v>-</v>
      </c>
      <c r="F262" s="77" t="str">
        <f>IF('基础-办公用品信息'!F262="","-",'基础-办公用品信息'!F262)</f>
        <v>-</v>
      </c>
      <c r="G262" s="77" t="str">
        <f t="shared" si="17"/>
        <v>-</v>
      </c>
      <c r="H262" s="77">
        <f>SUMIFS(期初库存!G:G,期初库存!C:C,C262)+SUMIFS('采购录入（明细）'!I:I,'采购录入（明细）'!E:E,C262)-SUMIFS('领用录入（明细）'!I:I,'领用录入（明细）'!F:F,C262)</f>
        <v>0</v>
      </c>
      <c r="I262" s="78"/>
      <c r="J262" s="79" t="str">
        <f t="shared" si="18"/>
        <v>否</v>
      </c>
    </row>
    <row r="263" customHeight="1" spans="2:10">
      <c r="B263" s="74">
        <v>284</v>
      </c>
      <c r="C263" s="77" t="str">
        <f>IF('基础-办公用品信息'!C263="","-",'基础-办公用品信息'!C263)</f>
        <v>-</v>
      </c>
      <c r="D263" s="77" t="str">
        <f>IF('基础-办公用品信息'!D276="","-",'基础-办公用品信息'!D276)</f>
        <v>-</v>
      </c>
      <c r="E263" s="77" t="str">
        <f>IF('基础-办公用品信息'!E263="","-",'基础-办公用品信息'!E263)</f>
        <v>-</v>
      </c>
      <c r="F263" s="77" t="str">
        <f>IF('基础-办公用品信息'!F263="","-",'基础-办公用品信息'!F263)</f>
        <v>-</v>
      </c>
      <c r="G263" s="77" t="str">
        <f t="shared" si="17"/>
        <v>-</v>
      </c>
      <c r="H263" s="77">
        <f>SUMIFS(期初库存!G:G,期初库存!C:C,C263)+SUMIFS('采购录入（明细）'!I:I,'采购录入（明细）'!E:E,C263)-SUMIFS('领用录入（明细）'!I:I,'领用录入（明细）'!F:F,C263)</f>
        <v>0</v>
      </c>
      <c r="I263" s="78"/>
      <c r="J263" s="79" t="str">
        <f t="shared" si="18"/>
        <v>否</v>
      </c>
    </row>
    <row r="264" customHeight="1" spans="2:10">
      <c r="B264" s="74">
        <v>285</v>
      </c>
      <c r="C264" s="77" t="str">
        <f>IF('基础-办公用品信息'!C264="","-",'基础-办公用品信息'!C264)</f>
        <v>-</v>
      </c>
      <c r="D264" s="77" t="str">
        <f>IF('基础-办公用品信息'!D277="","-",'基础-办公用品信息'!D277)</f>
        <v>-</v>
      </c>
      <c r="E264" s="77" t="str">
        <f>IF('基础-办公用品信息'!E264="","-",'基础-办公用品信息'!E264)</f>
        <v>-</v>
      </c>
      <c r="F264" s="77" t="str">
        <f>IF('基础-办公用品信息'!F264="","-",'基础-办公用品信息'!F264)</f>
        <v>-</v>
      </c>
      <c r="G264" s="77" t="str">
        <f t="shared" si="17"/>
        <v>-</v>
      </c>
      <c r="H264" s="77">
        <f>SUMIFS(期初库存!G:G,期初库存!C:C,C264)+SUMIFS('采购录入（明细）'!I:I,'采购录入（明细）'!E:E,C264)-SUMIFS('领用录入（明细）'!I:I,'领用录入（明细）'!F:F,C264)</f>
        <v>0</v>
      </c>
      <c r="I264" s="78"/>
      <c r="J264" s="79" t="str">
        <f t="shared" si="18"/>
        <v>否</v>
      </c>
    </row>
    <row r="265" customHeight="1" spans="2:10">
      <c r="B265" s="74">
        <v>286</v>
      </c>
      <c r="C265" s="77" t="str">
        <f>IF('基础-办公用品信息'!C265="","-",'基础-办公用品信息'!C265)</f>
        <v>-</v>
      </c>
      <c r="D265" s="77" t="str">
        <f>IF('基础-办公用品信息'!D278="","-",'基础-办公用品信息'!D278)</f>
        <v>-</v>
      </c>
      <c r="E265" s="77" t="str">
        <f>IF('基础-办公用品信息'!E265="","-",'基础-办公用品信息'!E265)</f>
        <v>-</v>
      </c>
      <c r="F265" s="77" t="str">
        <f>IF('基础-办公用品信息'!F265="","-",'基础-办公用品信息'!F265)</f>
        <v>-</v>
      </c>
      <c r="G265" s="77" t="str">
        <f t="shared" si="17"/>
        <v>-</v>
      </c>
      <c r="H265" s="77">
        <f>SUMIFS(期初库存!G:G,期初库存!C:C,C265)+SUMIFS('采购录入（明细）'!I:I,'采购录入（明细）'!E:E,C265)-SUMIFS('领用录入（明细）'!I:I,'领用录入（明细）'!F:F,C265)</f>
        <v>0</v>
      </c>
      <c r="I265" s="78"/>
      <c r="J265" s="79" t="str">
        <f t="shared" si="18"/>
        <v>否</v>
      </c>
    </row>
    <row r="266" customHeight="1" spans="2:10">
      <c r="B266" s="74">
        <v>287</v>
      </c>
      <c r="C266" s="77" t="str">
        <f>IF('基础-办公用品信息'!C266="","-",'基础-办公用品信息'!C266)</f>
        <v>-</v>
      </c>
      <c r="D266" s="77" t="str">
        <f>IF('基础-办公用品信息'!D279="","-",'基础-办公用品信息'!D279)</f>
        <v>-</v>
      </c>
      <c r="E266" s="77" t="str">
        <f>IF('基础-办公用品信息'!E266="","-",'基础-办公用品信息'!E266)</f>
        <v>-</v>
      </c>
      <c r="F266" s="77" t="str">
        <f>IF('基础-办公用品信息'!F266="","-",'基础-办公用品信息'!F266)</f>
        <v>-</v>
      </c>
      <c r="G266" s="77" t="str">
        <f t="shared" si="17"/>
        <v>-</v>
      </c>
      <c r="H266" s="77">
        <f>SUMIFS(期初库存!G:G,期初库存!C:C,C266)+SUMIFS('采购录入（明细）'!I:I,'采购录入（明细）'!E:E,C266)-SUMIFS('领用录入（明细）'!I:I,'领用录入（明细）'!F:F,C266)</f>
        <v>0</v>
      </c>
      <c r="I266" s="78"/>
      <c r="J266" s="79" t="str">
        <f t="shared" si="18"/>
        <v>否</v>
      </c>
    </row>
    <row r="267" customHeight="1" spans="2:10">
      <c r="B267" s="74">
        <v>288</v>
      </c>
      <c r="C267" s="77" t="str">
        <f>IF('基础-办公用品信息'!C267="","-",'基础-办公用品信息'!C267)</f>
        <v>-</v>
      </c>
      <c r="D267" s="77" t="str">
        <f>IF('基础-办公用品信息'!D280="","-",'基础-办公用品信息'!D280)</f>
        <v>-</v>
      </c>
      <c r="E267" s="77" t="str">
        <f>IF('基础-办公用品信息'!E267="","-",'基础-办公用品信息'!E267)</f>
        <v>-</v>
      </c>
      <c r="F267" s="77" t="str">
        <f>IF('基础-办公用品信息'!F267="","-",'基础-办公用品信息'!F267)</f>
        <v>-</v>
      </c>
      <c r="G267" s="77" t="str">
        <f t="shared" si="17"/>
        <v>-</v>
      </c>
      <c r="H267" s="77">
        <f>SUMIFS(期初库存!G:G,期初库存!C:C,C267)+SUMIFS('采购录入（明细）'!I:I,'采购录入（明细）'!E:E,C267)-SUMIFS('领用录入（明细）'!I:I,'领用录入（明细）'!F:F,C267)</f>
        <v>0</v>
      </c>
      <c r="I267" s="78"/>
      <c r="J267" s="79" t="str">
        <f t="shared" si="18"/>
        <v>否</v>
      </c>
    </row>
    <row r="268" customHeight="1" spans="2:10">
      <c r="B268" s="74">
        <v>289</v>
      </c>
      <c r="C268" s="77" t="str">
        <f>IF('基础-办公用品信息'!C268="","-",'基础-办公用品信息'!C268)</f>
        <v>-</v>
      </c>
      <c r="D268" s="77" t="str">
        <f>IF('基础-办公用品信息'!D281="","-",'基础-办公用品信息'!D281)</f>
        <v>-</v>
      </c>
      <c r="E268" s="77" t="str">
        <f>IF('基础-办公用品信息'!E268="","-",'基础-办公用品信息'!E268)</f>
        <v>-</v>
      </c>
      <c r="F268" s="77" t="str">
        <f>IF('基础-办公用品信息'!F268="","-",'基础-办公用品信息'!F268)</f>
        <v>-</v>
      </c>
      <c r="G268" s="77" t="str">
        <f t="shared" si="17"/>
        <v>-</v>
      </c>
      <c r="H268" s="77">
        <f>SUMIFS(期初库存!G:G,期初库存!C:C,C268)+SUMIFS('采购录入（明细）'!I:I,'采购录入（明细）'!E:E,C268)-SUMIFS('领用录入（明细）'!I:I,'领用录入（明细）'!F:F,C268)</f>
        <v>0</v>
      </c>
      <c r="I268" s="78"/>
      <c r="J268" s="79" t="str">
        <f t="shared" si="18"/>
        <v>否</v>
      </c>
    </row>
    <row r="269" customHeight="1" spans="2:10">
      <c r="B269" s="74">
        <v>290</v>
      </c>
      <c r="C269" s="77" t="str">
        <f>IF('基础-办公用品信息'!C269="","-",'基础-办公用品信息'!C269)</f>
        <v>-</v>
      </c>
      <c r="D269" s="77" t="str">
        <f>IF('基础-办公用品信息'!D282="","-",'基础-办公用品信息'!D282)</f>
        <v>-</v>
      </c>
      <c r="E269" s="77" t="str">
        <f>IF('基础-办公用品信息'!E269="","-",'基础-办公用品信息'!E269)</f>
        <v>-</v>
      </c>
      <c r="F269" s="77" t="str">
        <f>IF('基础-办公用品信息'!F269="","-",'基础-办公用品信息'!F269)</f>
        <v>-</v>
      </c>
      <c r="G269" s="77" t="str">
        <f t="shared" si="17"/>
        <v>-</v>
      </c>
      <c r="H269" s="77">
        <f>SUMIFS(期初库存!G:G,期初库存!C:C,C269)+SUMIFS('采购录入（明细）'!I:I,'采购录入（明细）'!E:E,C269)-SUMIFS('领用录入（明细）'!I:I,'领用录入（明细）'!F:F,C269)</f>
        <v>0</v>
      </c>
      <c r="I269" s="78"/>
      <c r="J269" s="79" t="str">
        <f t="shared" si="18"/>
        <v>否</v>
      </c>
    </row>
    <row r="270" customHeight="1" spans="2:10">
      <c r="B270" s="74">
        <v>291</v>
      </c>
      <c r="C270" s="77" t="str">
        <f>IF('基础-办公用品信息'!C270="","-",'基础-办公用品信息'!C270)</f>
        <v>-</v>
      </c>
      <c r="D270" s="77" t="str">
        <f>IF('基础-办公用品信息'!D283="","-",'基础-办公用品信息'!D283)</f>
        <v>-</v>
      </c>
      <c r="E270" s="77" t="str">
        <f>IF('基础-办公用品信息'!E270="","-",'基础-办公用品信息'!E270)</f>
        <v>-</v>
      </c>
      <c r="F270" s="77" t="str">
        <f>IF('基础-办公用品信息'!F270="","-",'基础-办公用品信息'!F270)</f>
        <v>-</v>
      </c>
      <c r="G270" s="77" t="str">
        <f t="shared" si="17"/>
        <v>-</v>
      </c>
      <c r="H270" s="77">
        <f>SUMIFS(期初库存!G:G,期初库存!C:C,C270)+SUMIFS('采购录入（明细）'!I:I,'采购录入（明细）'!E:E,C270)-SUMIFS('领用录入（明细）'!I:I,'领用录入（明细）'!F:F,C270)</f>
        <v>0</v>
      </c>
      <c r="I270" s="78"/>
      <c r="J270" s="79" t="str">
        <f t="shared" si="18"/>
        <v>否</v>
      </c>
    </row>
    <row r="271" customHeight="1" spans="2:10">
      <c r="B271" s="74">
        <v>292</v>
      </c>
      <c r="C271" s="77" t="str">
        <f>IF('基础-办公用品信息'!C271="","-",'基础-办公用品信息'!C271)</f>
        <v>-</v>
      </c>
      <c r="D271" s="77" t="str">
        <f>IF('基础-办公用品信息'!D284="","-",'基础-办公用品信息'!D284)</f>
        <v>-</v>
      </c>
      <c r="E271" s="77" t="str">
        <f>IF('基础-办公用品信息'!E271="","-",'基础-办公用品信息'!E271)</f>
        <v>-</v>
      </c>
      <c r="F271" s="77" t="str">
        <f>IF('基础-办公用品信息'!F271="","-",'基础-办公用品信息'!F271)</f>
        <v>-</v>
      </c>
      <c r="G271" s="77" t="str">
        <f t="shared" si="17"/>
        <v>-</v>
      </c>
      <c r="H271" s="77">
        <f>SUMIFS(期初库存!G:G,期初库存!C:C,C271)+SUMIFS('采购录入（明细）'!I:I,'采购录入（明细）'!E:E,C271)-SUMIFS('领用录入（明细）'!I:I,'领用录入（明细）'!F:F,C271)</f>
        <v>0</v>
      </c>
      <c r="I271" s="78"/>
      <c r="J271" s="79" t="str">
        <f t="shared" si="18"/>
        <v>否</v>
      </c>
    </row>
    <row r="272" customHeight="1" spans="2:10">
      <c r="B272" s="74">
        <v>293</v>
      </c>
      <c r="C272" s="77" t="str">
        <f>IF('基础-办公用品信息'!C272="","-",'基础-办公用品信息'!C272)</f>
        <v>-</v>
      </c>
      <c r="D272" s="77" t="str">
        <f>IF('基础-办公用品信息'!D285="","-",'基础-办公用品信息'!D285)</f>
        <v>-</v>
      </c>
      <c r="E272" s="77" t="str">
        <f>IF('基础-办公用品信息'!E272="","-",'基础-办公用品信息'!E272)</f>
        <v>-</v>
      </c>
      <c r="F272" s="77" t="str">
        <f>IF('基础-办公用品信息'!F272="","-",'基础-办公用品信息'!F272)</f>
        <v>-</v>
      </c>
      <c r="G272" s="77" t="str">
        <f t="shared" si="17"/>
        <v>-</v>
      </c>
      <c r="H272" s="77">
        <f>SUMIFS(期初库存!G:G,期初库存!C:C,C272)+SUMIFS('采购录入（明细）'!I:I,'采购录入（明细）'!E:E,C272)-SUMIFS('领用录入（明细）'!I:I,'领用录入（明细）'!F:F,C272)</f>
        <v>0</v>
      </c>
      <c r="I272" s="78"/>
      <c r="J272" s="79" t="str">
        <f t="shared" si="18"/>
        <v>否</v>
      </c>
    </row>
    <row r="273" customHeight="1" spans="2:10">
      <c r="B273" s="74">
        <v>294</v>
      </c>
      <c r="C273" s="77" t="str">
        <f>IF('基础-办公用品信息'!C273="","-",'基础-办公用品信息'!C273)</f>
        <v>-</v>
      </c>
      <c r="D273" s="77" t="str">
        <f>IF('基础-办公用品信息'!D286="","-",'基础-办公用品信息'!D286)</f>
        <v>-</v>
      </c>
      <c r="E273" s="77" t="str">
        <f>IF('基础-办公用品信息'!E273="","-",'基础-办公用品信息'!E273)</f>
        <v>-</v>
      </c>
      <c r="F273" s="77" t="str">
        <f>IF('基础-办公用品信息'!F273="","-",'基础-办公用品信息'!F273)</f>
        <v>-</v>
      </c>
      <c r="G273" s="77" t="str">
        <f t="shared" si="17"/>
        <v>-</v>
      </c>
      <c r="H273" s="77">
        <f>SUMIFS(期初库存!G:G,期初库存!C:C,C273)+SUMIFS('采购录入（明细）'!I:I,'采购录入（明细）'!E:E,C273)-SUMIFS('领用录入（明细）'!I:I,'领用录入（明细）'!F:F,C273)</f>
        <v>0</v>
      </c>
      <c r="I273" s="78"/>
      <c r="J273" s="79" t="str">
        <f t="shared" si="18"/>
        <v>否</v>
      </c>
    </row>
    <row r="274" customHeight="1" spans="2:10">
      <c r="B274" s="74">
        <v>295</v>
      </c>
      <c r="C274" s="77" t="str">
        <f>IF('基础-办公用品信息'!C274="","-",'基础-办公用品信息'!C274)</f>
        <v>-</v>
      </c>
      <c r="D274" s="77" t="str">
        <f>IF('基础-办公用品信息'!D287="","-",'基础-办公用品信息'!D287)</f>
        <v>-</v>
      </c>
      <c r="E274" s="77" t="str">
        <f>IF('基础-办公用品信息'!E274="","-",'基础-办公用品信息'!E274)</f>
        <v>-</v>
      </c>
      <c r="F274" s="77" t="str">
        <f>IF('基础-办公用品信息'!F274="","-",'基础-办公用品信息'!F274)</f>
        <v>-</v>
      </c>
      <c r="G274" s="77" t="str">
        <f t="shared" si="17"/>
        <v>-</v>
      </c>
      <c r="H274" s="77">
        <f>SUMIFS(期初库存!G:G,期初库存!C:C,C274)+SUMIFS('采购录入（明细）'!I:I,'采购录入（明细）'!E:E,C274)-SUMIFS('领用录入（明细）'!I:I,'领用录入（明细）'!F:F,C274)</f>
        <v>0</v>
      </c>
      <c r="I274" s="78"/>
      <c r="J274" s="79" t="str">
        <f t="shared" si="18"/>
        <v>否</v>
      </c>
    </row>
    <row r="275" customHeight="1" spans="2:10">
      <c r="B275" s="74">
        <v>296</v>
      </c>
      <c r="C275" s="77" t="str">
        <f>IF('基础-办公用品信息'!C275="","-",'基础-办公用品信息'!C275)</f>
        <v>-</v>
      </c>
      <c r="D275" s="77" t="str">
        <f>IF('基础-办公用品信息'!D288="","-",'基础-办公用品信息'!D288)</f>
        <v>-</v>
      </c>
      <c r="E275" s="77" t="str">
        <f>IF('基础-办公用品信息'!E275="","-",'基础-办公用品信息'!E275)</f>
        <v>-</v>
      </c>
      <c r="F275" s="77" t="str">
        <f>IF('基础-办公用品信息'!F275="","-",'基础-办公用品信息'!F275)</f>
        <v>-</v>
      </c>
      <c r="G275" s="77" t="str">
        <f t="shared" si="17"/>
        <v>-</v>
      </c>
      <c r="H275" s="77">
        <f>SUMIFS(期初库存!G:G,期初库存!C:C,C275)+SUMIFS('采购录入（明细）'!I:I,'采购录入（明细）'!E:E,C275)-SUMIFS('领用录入（明细）'!I:I,'领用录入（明细）'!F:F,C275)</f>
        <v>0</v>
      </c>
      <c r="I275" s="78"/>
      <c r="J275" s="79" t="str">
        <f t="shared" si="18"/>
        <v>否</v>
      </c>
    </row>
    <row r="276" customHeight="1" spans="2:10">
      <c r="B276" s="74">
        <v>297</v>
      </c>
      <c r="C276" s="77" t="str">
        <f>IF('基础-办公用品信息'!C276="","-",'基础-办公用品信息'!C276)</f>
        <v>-</v>
      </c>
      <c r="D276" s="77" t="str">
        <f>IF('基础-办公用品信息'!D289="","-",'基础-办公用品信息'!D289)</f>
        <v>-</v>
      </c>
      <c r="E276" s="77" t="str">
        <f>IF('基础-办公用品信息'!E276="","-",'基础-办公用品信息'!E276)</f>
        <v>-</v>
      </c>
      <c r="F276" s="77" t="str">
        <f>IF('基础-办公用品信息'!F276="","-",'基础-办公用品信息'!F276)</f>
        <v>-</v>
      </c>
      <c r="G276" s="77" t="str">
        <f t="shared" si="17"/>
        <v>-</v>
      </c>
      <c r="H276" s="77">
        <f>SUMIFS(期初库存!G:G,期初库存!C:C,C276)+SUMIFS('采购录入（明细）'!I:I,'采购录入（明细）'!E:E,C276)-SUMIFS('领用录入（明细）'!I:I,'领用录入（明细）'!F:F,C276)</f>
        <v>0</v>
      </c>
      <c r="I276" s="78"/>
      <c r="J276" s="79" t="str">
        <f t="shared" si="18"/>
        <v>否</v>
      </c>
    </row>
    <row r="277" customHeight="1" spans="2:10">
      <c r="B277" s="74">
        <v>298</v>
      </c>
      <c r="C277" s="77" t="str">
        <f>IF('基础-办公用品信息'!C277="","-",'基础-办公用品信息'!C277)</f>
        <v>-</v>
      </c>
      <c r="D277" s="77" t="str">
        <f>IF('基础-办公用品信息'!D290="","-",'基础-办公用品信息'!D290)</f>
        <v>-</v>
      </c>
      <c r="E277" s="77" t="str">
        <f>IF('基础-办公用品信息'!E277="","-",'基础-办公用品信息'!E277)</f>
        <v>-</v>
      </c>
      <c r="F277" s="77" t="str">
        <f>IF('基础-办公用品信息'!F277="","-",'基础-办公用品信息'!F277)</f>
        <v>-</v>
      </c>
      <c r="G277" s="77" t="str">
        <f t="shared" si="17"/>
        <v>-</v>
      </c>
      <c r="H277" s="77">
        <f>SUMIFS(期初库存!G:G,期初库存!C:C,C277)+SUMIFS('采购录入（明细）'!I:I,'采购录入（明细）'!E:E,C277)-SUMIFS('领用录入（明细）'!I:I,'领用录入（明细）'!F:F,C277)</f>
        <v>0</v>
      </c>
      <c r="I277" s="78"/>
      <c r="J277" s="79" t="str">
        <f t="shared" si="18"/>
        <v>否</v>
      </c>
    </row>
    <row r="278" customHeight="1" spans="2:10">
      <c r="B278" s="74">
        <v>299</v>
      </c>
      <c r="C278" s="77" t="str">
        <f>IF('基础-办公用品信息'!C278="","-",'基础-办公用品信息'!C278)</f>
        <v>-</v>
      </c>
      <c r="D278" s="77" t="str">
        <f>IF('基础-办公用品信息'!D291="","-",'基础-办公用品信息'!D291)</f>
        <v>-</v>
      </c>
      <c r="E278" s="77" t="str">
        <f>IF('基础-办公用品信息'!E278="","-",'基础-办公用品信息'!E278)</f>
        <v>-</v>
      </c>
      <c r="F278" s="77" t="str">
        <f>IF('基础-办公用品信息'!F278="","-",'基础-办公用品信息'!F278)</f>
        <v>-</v>
      </c>
      <c r="G278" s="77" t="str">
        <f t="shared" si="17"/>
        <v>-</v>
      </c>
      <c r="H278" s="77">
        <f>SUMIFS(期初库存!G:G,期初库存!C:C,C278)+SUMIFS('采购录入（明细）'!I:I,'采购录入（明细）'!E:E,C278)-SUMIFS('领用录入（明细）'!I:I,'领用录入（明细）'!F:F,C278)</f>
        <v>0</v>
      </c>
      <c r="I278" s="78"/>
      <c r="J278" s="79" t="str">
        <f t="shared" si="18"/>
        <v>否</v>
      </c>
    </row>
    <row r="279" customHeight="1" spans="2:10">
      <c r="B279" s="74">
        <v>300</v>
      </c>
      <c r="C279" s="77" t="str">
        <f>IF('基础-办公用品信息'!C279="","-",'基础-办公用品信息'!C279)</f>
        <v>-</v>
      </c>
      <c r="D279" s="77" t="str">
        <f>IF('基础-办公用品信息'!D292="","-",'基础-办公用品信息'!D292)</f>
        <v>-</v>
      </c>
      <c r="E279" s="77" t="str">
        <f>IF('基础-办公用品信息'!E279="","-",'基础-办公用品信息'!E279)</f>
        <v>-</v>
      </c>
      <c r="F279" s="77" t="str">
        <f>IF('基础-办公用品信息'!F279="","-",'基础-办公用品信息'!F279)</f>
        <v>-</v>
      </c>
      <c r="G279" s="77" t="str">
        <f t="shared" si="17"/>
        <v>-</v>
      </c>
      <c r="H279" s="77">
        <f>SUMIFS(期初库存!G:G,期初库存!C:C,C279)+SUMIFS('采购录入（明细）'!I:I,'采购录入（明细）'!E:E,C279)-SUMIFS('领用录入（明细）'!I:I,'领用录入（明细）'!F:F,C279)</f>
        <v>0</v>
      </c>
      <c r="I279" s="78"/>
      <c r="J279" s="79" t="str">
        <f t="shared" si="18"/>
        <v>否</v>
      </c>
    </row>
    <row r="280" customHeight="1" spans="2:10">
      <c r="B280" s="74">
        <v>301</v>
      </c>
      <c r="C280" s="77" t="str">
        <f>IF('基础-办公用品信息'!C280="","-",'基础-办公用品信息'!C280)</f>
        <v>-</v>
      </c>
      <c r="D280" s="77" t="str">
        <f>IF('基础-办公用品信息'!D293="","-",'基础-办公用品信息'!D293)</f>
        <v>-</v>
      </c>
      <c r="E280" s="77" t="str">
        <f>IF('基础-办公用品信息'!E280="","-",'基础-办公用品信息'!E280)</f>
        <v>-</v>
      </c>
      <c r="F280" s="77" t="str">
        <f>IF('基础-办公用品信息'!F280="","-",'基础-办公用品信息'!F280)</f>
        <v>-</v>
      </c>
      <c r="G280" s="77" t="str">
        <f t="shared" si="17"/>
        <v>-</v>
      </c>
      <c r="H280" s="77">
        <f>SUMIFS(期初库存!G:G,期初库存!C:C,C280)+SUMIFS('采购录入（明细）'!I:I,'采购录入（明细）'!E:E,C280)-SUMIFS('领用录入（明细）'!I:I,'领用录入（明细）'!F:F,C280)</f>
        <v>0</v>
      </c>
      <c r="I280" s="78"/>
      <c r="J280" s="79" t="str">
        <f t="shared" si="18"/>
        <v>否</v>
      </c>
    </row>
    <row r="281" customHeight="1" spans="2:10">
      <c r="B281" s="74">
        <v>302</v>
      </c>
      <c r="C281" s="77" t="str">
        <f>IF('基础-办公用品信息'!C281="","-",'基础-办公用品信息'!C281)</f>
        <v>-</v>
      </c>
      <c r="D281" s="77" t="str">
        <f>IF('基础-办公用品信息'!D294="","-",'基础-办公用品信息'!D294)</f>
        <v>-</v>
      </c>
      <c r="E281" s="77" t="str">
        <f>IF('基础-办公用品信息'!E281="","-",'基础-办公用品信息'!E281)</f>
        <v>-</v>
      </c>
      <c r="F281" s="77" t="str">
        <f>IF('基础-办公用品信息'!F281="","-",'基础-办公用品信息'!F281)</f>
        <v>-</v>
      </c>
      <c r="G281" s="77" t="str">
        <f t="shared" si="17"/>
        <v>-</v>
      </c>
      <c r="H281" s="77">
        <f>SUMIFS(期初库存!G:G,期初库存!C:C,C281)+SUMIFS('采购录入（明细）'!I:I,'采购录入（明细）'!E:E,C281)-SUMIFS('领用录入（明细）'!I:I,'领用录入（明细）'!F:F,C281)</f>
        <v>0</v>
      </c>
      <c r="I281" s="78"/>
      <c r="J281" s="79" t="str">
        <f t="shared" si="18"/>
        <v>否</v>
      </c>
    </row>
    <row r="282" customHeight="1" spans="2:10">
      <c r="B282" s="74">
        <v>303</v>
      </c>
      <c r="C282" s="77" t="str">
        <f>IF('基础-办公用品信息'!C282="","-",'基础-办公用品信息'!C282)</f>
        <v>-</v>
      </c>
      <c r="D282" s="77" t="str">
        <f>IF('基础-办公用品信息'!D295="","-",'基础-办公用品信息'!D295)</f>
        <v>-</v>
      </c>
      <c r="E282" s="77" t="str">
        <f>IF('基础-办公用品信息'!E282="","-",'基础-办公用品信息'!E282)</f>
        <v>-</v>
      </c>
      <c r="F282" s="77" t="str">
        <f>IF('基础-办公用品信息'!F282="","-",'基础-办公用品信息'!F282)</f>
        <v>-</v>
      </c>
      <c r="G282" s="77" t="str">
        <f t="shared" si="17"/>
        <v>-</v>
      </c>
      <c r="H282" s="77">
        <f>SUMIFS(期初库存!G:G,期初库存!C:C,C282)+SUMIFS('采购录入（明细）'!I:I,'采购录入（明细）'!E:E,C282)-SUMIFS('领用录入（明细）'!I:I,'领用录入（明细）'!F:F,C282)</f>
        <v>0</v>
      </c>
      <c r="I282" s="78"/>
      <c r="J282" s="79" t="str">
        <f t="shared" si="18"/>
        <v>否</v>
      </c>
    </row>
    <row r="283" customHeight="1" spans="2:10">
      <c r="B283" s="74">
        <v>304</v>
      </c>
      <c r="C283" s="77" t="str">
        <f>IF('基础-办公用品信息'!C283="","-",'基础-办公用品信息'!C283)</f>
        <v>-</v>
      </c>
      <c r="D283" s="77" t="str">
        <f>IF('基础-办公用品信息'!D296="","-",'基础-办公用品信息'!D296)</f>
        <v>-</v>
      </c>
      <c r="E283" s="77" t="str">
        <f>IF('基础-办公用品信息'!E283="","-",'基础-办公用品信息'!E283)</f>
        <v>-</v>
      </c>
      <c r="F283" s="77" t="str">
        <f>IF('基础-办公用品信息'!F283="","-",'基础-办公用品信息'!F283)</f>
        <v>-</v>
      </c>
      <c r="G283" s="77" t="str">
        <f t="shared" si="17"/>
        <v>-</v>
      </c>
      <c r="H283" s="77">
        <f>SUMIFS(期初库存!G:G,期初库存!C:C,C283)+SUMIFS('采购录入（明细）'!I:I,'采购录入（明细）'!E:E,C283)-SUMIFS('领用录入（明细）'!I:I,'领用录入（明细）'!F:F,C283)</f>
        <v>0</v>
      </c>
      <c r="I283" s="78"/>
      <c r="J283" s="79" t="str">
        <f t="shared" si="18"/>
        <v>否</v>
      </c>
    </row>
    <row r="284" customHeight="1" spans="2:10">
      <c r="B284" s="74">
        <v>305</v>
      </c>
      <c r="C284" s="77" t="str">
        <f>IF('基础-办公用品信息'!C284="","-",'基础-办公用品信息'!C284)</f>
        <v>-</v>
      </c>
      <c r="D284" s="77" t="str">
        <f>IF('基础-办公用品信息'!D297="","-",'基础-办公用品信息'!D297)</f>
        <v>-</v>
      </c>
      <c r="E284" s="77" t="str">
        <f>IF('基础-办公用品信息'!E284="","-",'基础-办公用品信息'!E284)</f>
        <v>-</v>
      </c>
      <c r="F284" s="77" t="str">
        <f>IF('基础-办公用品信息'!F284="","-",'基础-办公用品信息'!F284)</f>
        <v>-</v>
      </c>
      <c r="G284" s="77" t="str">
        <f t="shared" si="17"/>
        <v>-</v>
      </c>
      <c r="H284" s="77">
        <f>SUMIFS(期初库存!G:G,期初库存!C:C,C284)+SUMIFS('采购录入（明细）'!I:I,'采购录入（明细）'!E:E,C284)-SUMIFS('领用录入（明细）'!I:I,'领用录入（明细）'!F:F,C284)</f>
        <v>0</v>
      </c>
      <c r="I284" s="78"/>
      <c r="J284" s="79" t="str">
        <f t="shared" si="18"/>
        <v>否</v>
      </c>
    </row>
    <row r="285" customHeight="1" spans="2:10">
      <c r="B285" s="74">
        <v>306</v>
      </c>
      <c r="C285" s="77" t="str">
        <f>IF('基础-办公用品信息'!C285="","-",'基础-办公用品信息'!C285)</f>
        <v>-</v>
      </c>
      <c r="D285" s="77" t="str">
        <f>IF('基础-办公用品信息'!D298="","-",'基础-办公用品信息'!D298)</f>
        <v>-</v>
      </c>
      <c r="E285" s="77" t="str">
        <f>IF('基础-办公用品信息'!E285="","-",'基础-办公用品信息'!E285)</f>
        <v>-</v>
      </c>
      <c r="F285" s="77" t="str">
        <f>IF('基础-办公用品信息'!F285="","-",'基础-办公用品信息'!F285)</f>
        <v>-</v>
      </c>
      <c r="G285" s="77" t="str">
        <f t="shared" si="17"/>
        <v>-</v>
      </c>
      <c r="H285" s="77">
        <f>SUMIFS(期初库存!G:G,期初库存!C:C,C285)+SUMIFS('采购录入（明细）'!I:I,'采购录入（明细）'!E:E,C285)-SUMIFS('领用录入（明细）'!I:I,'领用录入（明细）'!F:F,C285)</f>
        <v>0</v>
      </c>
      <c r="J285" s="79" t="str">
        <f t="shared" si="18"/>
        <v>否</v>
      </c>
    </row>
    <row r="286" customHeight="1" spans="2:10">
      <c r="B286" s="74">
        <v>307</v>
      </c>
      <c r="C286" s="77" t="str">
        <f>IF('基础-办公用品信息'!C286="","-",'基础-办公用品信息'!C286)</f>
        <v>-</v>
      </c>
      <c r="D286" s="77" t="str">
        <f>IF('基础-办公用品信息'!D299="","-",'基础-办公用品信息'!D299)</f>
        <v>-</v>
      </c>
      <c r="E286" s="77" t="str">
        <f>IF('基础-办公用品信息'!E286="","-",'基础-办公用品信息'!E286)</f>
        <v>-</v>
      </c>
      <c r="F286" s="77" t="str">
        <f>IF('基础-办公用品信息'!F286="","-",'基础-办公用品信息'!F286)</f>
        <v>-</v>
      </c>
      <c r="G286" s="77" t="str">
        <f t="shared" si="17"/>
        <v>-</v>
      </c>
      <c r="H286" s="77">
        <f>SUMIFS(期初库存!G:G,期初库存!C:C,C286)+SUMIFS('采购录入（明细）'!I:I,'采购录入（明细）'!E:E,C286)-SUMIFS('领用录入（明细）'!I:I,'领用录入（明细）'!F:F,C286)</f>
        <v>0</v>
      </c>
      <c r="J286" s="79" t="str">
        <f t="shared" si="18"/>
        <v>否</v>
      </c>
    </row>
    <row r="287" customHeight="1" spans="2:10">
      <c r="B287" s="74">
        <v>308</v>
      </c>
      <c r="C287" s="77" t="str">
        <f>IF('基础-办公用品信息'!C287="","-",'基础-办公用品信息'!C287)</f>
        <v>-</v>
      </c>
      <c r="D287" s="77" t="str">
        <f>IF('基础-办公用品信息'!D300="","-",'基础-办公用品信息'!D300)</f>
        <v>-</v>
      </c>
      <c r="E287" s="77" t="str">
        <f>IF('基础-办公用品信息'!E287="","-",'基础-办公用品信息'!E287)</f>
        <v>-</v>
      </c>
      <c r="F287" s="77" t="str">
        <f>IF('基础-办公用品信息'!F287="","-",'基础-办公用品信息'!F287)</f>
        <v>-</v>
      </c>
      <c r="G287" s="77" t="str">
        <f t="shared" si="17"/>
        <v>-</v>
      </c>
      <c r="H287" s="77">
        <f>SUMIFS(期初库存!G:G,期初库存!C:C,C287)+SUMIFS('采购录入（明细）'!I:I,'采购录入（明细）'!E:E,C287)-SUMIFS('领用录入（明细）'!I:I,'领用录入（明细）'!F:F,C287)</f>
        <v>0</v>
      </c>
      <c r="J287" s="79" t="str">
        <f t="shared" si="18"/>
        <v>否</v>
      </c>
    </row>
    <row r="288" customHeight="1" spans="2:10">
      <c r="B288" s="74">
        <v>309</v>
      </c>
      <c r="C288" s="77" t="str">
        <f>IF('基础-办公用品信息'!C288="","-",'基础-办公用品信息'!C288)</f>
        <v>-</v>
      </c>
      <c r="D288" s="77" t="str">
        <f>IF('基础-办公用品信息'!D301="","-",'基础-办公用品信息'!D301)</f>
        <v>-</v>
      </c>
      <c r="E288" s="77" t="str">
        <f>IF('基础-办公用品信息'!E288="","-",'基础-办公用品信息'!E288)</f>
        <v>-</v>
      </c>
      <c r="F288" s="77" t="str">
        <f>IF('基础-办公用品信息'!F288="","-",'基础-办公用品信息'!F288)</f>
        <v>-</v>
      </c>
      <c r="G288" s="77" t="str">
        <f t="shared" si="17"/>
        <v>-</v>
      </c>
      <c r="H288" s="77">
        <f>SUMIFS(期初库存!G:G,期初库存!C:C,C288)+SUMIFS('采购录入（明细）'!I:I,'采购录入（明细）'!E:E,C288)-SUMIFS('领用录入（明细）'!I:I,'领用录入（明细）'!F:F,C288)</f>
        <v>0</v>
      </c>
      <c r="J288" s="79" t="str">
        <f t="shared" si="18"/>
        <v>否</v>
      </c>
    </row>
    <row r="289" customHeight="1" spans="2:10">
      <c r="B289" s="74">
        <v>310</v>
      </c>
      <c r="C289" s="77" t="str">
        <f>IF('基础-办公用品信息'!C289="","-",'基础-办公用品信息'!C289)</f>
        <v>-</v>
      </c>
      <c r="D289" s="77" t="str">
        <f>IF('基础-办公用品信息'!D302="","-",'基础-办公用品信息'!D302)</f>
        <v>-</v>
      </c>
      <c r="E289" s="77" t="str">
        <f>IF('基础-办公用品信息'!E289="","-",'基础-办公用品信息'!E289)</f>
        <v>-</v>
      </c>
      <c r="F289" s="77" t="str">
        <f>IF('基础-办公用品信息'!F289="","-",'基础-办公用品信息'!F289)</f>
        <v>-</v>
      </c>
      <c r="G289" s="77" t="str">
        <f t="shared" si="17"/>
        <v>-</v>
      </c>
      <c r="H289" s="77">
        <f>SUMIFS(期初库存!G:G,期初库存!C:C,C289)+SUMIFS('采购录入（明细）'!I:I,'采购录入（明细）'!E:E,C289)-SUMIFS('领用录入（明细）'!I:I,'领用录入（明细）'!F:F,C289)</f>
        <v>0</v>
      </c>
      <c r="J289" s="79" t="str">
        <f t="shared" si="18"/>
        <v>否</v>
      </c>
    </row>
    <row r="290" customHeight="1" spans="2:10">
      <c r="B290" s="74">
        <v>311</v>
      </c>
      <c r="C290" s="77" t="str">
        <f>IF('基础-办公用品信息'!C290="","-",'基础-办公用品信息'!C290)</f>
        <v>-</v>
      </c>
      <c r="D290" s="77" t="str">
        <f>IF('基础-办公用品信息'!D303="","-",'基础-办公用品信息'!D303)</f>
        <v>-</v>
      </c>
      <c r="E290" s="77" t="str">
        <f>IF('基础-办公用品信息'!E290="","-",'基础-办公用品信息'!E290)</f>
        <v>-</v>
      </c>
      <c r="F290" s="77" t="str">
        <f>IF('基础-办公用品信息'!F290="","-",'基础-办公用品信息'!F290)</f>
        <v>-</v>
      </c>
      <c r="G290" s="77" t="str">
        <f t="shared" si="17"/>
        <v>-</v>
      </c>
      <c r="H290" s="77">
        <f>SUMIFS(期初库存!G:G,期初库存!C:C,C290)+SUMIFS('采购录入（明细）'!I:I,'采购录入（明细）'!E:E,C290)-SUMIFS('领用录入（明细）'!I:I,'领用录入（明细）'!F:F,C290)</f>
        <v>0</v>
      </c>
      <c r="J290" s="79" t="str">
        <f t="shared" si="18"/>
        <v>否</v>
      </c>
    </row>
    <row r="291" customHeight="1" spans="2:10">
      <c r="B291" s="74">
        <v>312</v>
      </c>
      <c r="C291" s="77" t="str">
        <f>IF('基础-办公用品信息'!C291="","-",'基础-办公用品信息'!C291)</f>
        <v>-</v>
      </c>
      <c r="D291" s="77" t="str">
        <f>IF('基础-办公用品信息'!D304="","-",'基础-办公用品信息'!D304)</f>
        <v>-</v>
      </c>
      <c r="E291" s="77" t="str">
        <f>IF('基础-办公用品信息'!E291="","-",'基础-办公用品信息'!E291)</f>
        <v>-</v>
      </c>
      <c r="F291" s="77" t="str">
        <f>IF('基础-办公用品信息'!F291="","-",'基础-办公用品信息'!F291)</f>
        <v>-</v>
      </c>
      <c r="G291" s="77" t="str">
        <f t="shared" si="17"/>
        <v>-</v>
      </c>
      <c r="H291" s="77">
        <f>SUMIFS(期初库存!G:G,期初库存!C:C,C291)+SUMIFS('采购录入（明细）'!I:I,'采购录入（明细）'!E:E,C291)-SUMIFS('领用录入（明细）'!I:I,'领用录入（明细）'!F:F,C291)</f>
        <v>0</v>
      </c>
      <c r="J291" s="79" t="str">
        <f t="shared" si="18"/>
        <v>否</v>
      </c>
    </row>
    <row r="292" customHeight="1" spans="2:10">
      <c r="B292" s="74">
        <v>313</v>
      </c>
      <c r="C292" s="77" t="str">
        <f>IF('基础-办公用品信息'!C292="","-",'基础-办公用品信息'!C292)</f>
        <v>-</v>
      </c>
      <c r="D292" s="77" t="str">
        <f>IF('基础-办公用品信息'!D305="","-",'基础-办公用品信息'!D305)</f>
        <v>-</v>
      </c>
      <c r="E292" s="77" t="str">
        <f>IF('基础-办公用品信息'!E292="","-",'基础-办公用品信息'!E292)</f>
        <v>-</v>
      </c>
      <c r="F292" s="77" t="str">
        <f>IF('基础-办公用品信息'!F292="","-",'基础-办公用品信息'!F292)</f>
        <v>-</v>
      </c>
      <c r="G292" s="77" t="str">
        <f t="shared" si="17"/>
        <v>-</v>
      </c>
      <c r="H292" s="77">
        <f>SUMIFS(期初库存!G:G,期初库存!C:C,C292)+SUMIFS('采购录入（明细）'!I:I,'采购录入（明细）'!E:E,C292)-SUMIFS('领用录入（明细）'!I:I,'领用录入（明细）'!F:F,C292)</f>
        <v>0</v>
      </c>
      <c r="J292" s="79" t="str">
        <f t="shared" si="18"/>
        <v>否</v>
      </c>
    </row>
    <row r="293" customHeight="1" spans="2:10">
      <c r="B293" s="74">
        <v>314</v>
      </c>
      <c r="C293" s="77" t="str">
        <f>IF('基础-办公用品信息'!C293="","-",'基础-办公用品信息'!C293)</f>
        <v>-</v>
      </c>
      <c r="D293" s="77" t="str">
        <f>IF('基础-办公用品信息'!D306="","-",'基础-办公用品信息'!D306)</f>
        <v>-</v>
      </c>
      <c r="E293" s="77" t="str">
        <f>IF('基础-办公用品信息'!E293="","-",'基础-办公用品信息'!E293)</f>
        <v>-</v>
      </c>
      <c r="F293" s="77" t="str">
        <f>IF('基础-办公用品信息'!F293="","-",'基础-办公用品信息'!F293)</f>
        <v>-</v>
      </c>
      <c r="G293" s="77" t="str">
        <f t="shared" si="17"/>
        <v>-</v>
      </c>
      <c r="H293" s="77">
        <f>SUMIFS(期初库存!G:G,期初库存!C:C,C293)+SUMIFS('采购录入（明细）'!I:I,'采购录入（明细）'!E:E,C293)-SUMIFS('领用录入（明细）'!I:I,'领用录入（明细）'!F:F,C293)</f>
        <v>0</v>
      </c>
      <c r="J293" s="79" t="str">
        <f t="shared" si="18"/>
        <v>否</v>
      </c>
    </row>
    <row r="294" customHeight="1" spans="2:10">
      <c r="B294" s="74">
        <v>315</v>
      </c>
      <c r="C294" s="77" t="str">
        <f>IF('基础-办公用品信息'!C294="","-",'基础-办公用品信息'!C294)</f>
        <v>-</v>
      </c>
      <c r="D294" s="77" t="str">
        <f>IF('基础-办公用品信息'!D307="","-",'基础-办公用品信息'!D307)</f>
        <v>-</v>
      </c>
      <c r="E294" s="77" t="str">
        <f>IF('基础-办公用品信息'!E294="","-",'基础-办公用品信息'!E294)</f>
        <v>-</v>
      </c>
      <c r="F294" s="77" t="str">
        <f>IF('基础-办公用品信息'!F294="","-",'基础-办公用品信息'!F294)</f>
        <v>-</v>
      </c>
      <c r="G294" s="77" t="str">
        <f t="shared" si="17"/>
        <v>-</v>
      </c>
      <c r="H294" s="77">
        <f>SUMIFS(期初库存!G:G,期初库存!C:C,C294)+SUMIFS('采购录入（明细）'!I:I,'采购录入（明细）'!E:E,C294)-SUMIFS('领用录入（明细）'!I:I,'领用录入（明细）'!F:F,C294)</f>
        <v>0</v>
      </c>
      <c r="J294" s="79" t="str">
        <f t="shared" si="18"/>
        <v>否</v>
      </c>
    </row>
    <row r="295" customHeight="1" spans="2:10">
      <c r="B295" s="74">
        <v>316</v>
      </c>
      <c r="C295" s="77" t="str">
        <f>IF('基础-办公用品信息'!C295="","-",'基础-办公用品信息'!C295)</f>
        <v>-</v>
      </c>
      <c r="D295" s="77" t="str">
        <f>IF('基础-办公用品信息'!D308="","-",'基础-办公用品信息'!D308)</f>
        <v>-</v>
      </c>
      <c r="E295" s="77" t="str">
        <f>IF('基础-办公用品信息'!E295="","-",'基础-办公用品信息'!E295)</f>
        <v>-</v>
      </c>
      <c r="F295" s="77" t="str">
        <f>IF('基础-办公用品信息'!F295="","-",'基础-办公用品信息'!F295)</f>
        <v>-</v>
      </c>
      <c r="G295" s="77" t="str">
        <f t="shared" si="17"/>
        <v>-</v>
      </c>
      <c r="H295" s="77">
        <f>SUMIFS(期初库存!G:G,期初库存!C:C,C295)+SUMIFS('采购录入（明细）'!I:I,'采购录入（明细）'!E:E,C295)-SUMIFS('领用录入（明细）'!I:I,'领用录入（明细）'!F:F,C295)</f>
        <v>0</v>
      </c>
      <c r="J295" s="79" t="str">
        <f t="shared" si="18"/>
        <v>否</v>
      </c>
    </row>
    <row r="296" customHeight="1" spans="2:10">
      <c r="B296" s="74">
        <v>317</v>
      </c>
      <c r="C296" s="77" t="str">
        <f>IF('基础-办公用品信息'!C296="","-",'基础-办公用品信息'!C296)</f>
        <v>-</v>
      </c>
      <c r="D296" s="77" t="str">
        <f>IF('基础-办公用品信息'!D309="","-",'基础-办公用品信息'!D309)</f>
        <v>-</v>
      </c>
      <c r="E296" s="77" t="str">
        <f>IF('基础-办公用品信息'!E296="","-",'基础-办公用品信息'!E296)</f>
        <v>-</v>
      </c>
      <c r="F296" s="77" t="str">
        <f>IF('基础-办公用品信息'!F296="","-",'基础-办公用品信息'!F296)</f>
        <v>-</v>
      </c>
      <c r="G296" s="77" t="str">
        <f t="shared" si="17"/>
        <v>-</v>
      </c>
      <c r="H296" s="77">
        <f>SUMIFS(期初库存!G:G,期初库存!C:C,C296)+SUMIFS('采购录入（明细）'!I:I,'采购录入（明细）'!E:E,C296)-SUMIFS('领用录入（明细）'!I:I,'领用录入（明细）'!F:F,C296)</f>
        <v>0</v>
      </c>
      <c r="J296" s="79" t="str">
        <f t="shared" si="18"/>
        <v>否</v>
      </c>
    </row>
    <row r="297" customHeight="1" spans="2:10">
      <c r="B297" s="74">
        <v>318</v>
      </c>
      <c r="C297" s="77" t="str">
        <f>IF('基础-办公用品信息'!C297="","-",'基础-办公用品信息'!C297)</f>
        <v>-</v>
      </c>
      <c r="D297" s="77" t="str">
        <f>IF('基础-办公用品信息'!D310="","-",'基础-办公用品信息'!D310)</f>
        <v>-</v>
      </c>
      <c r="E297" s="77" t="str">
        <f>IF('基础-办公用品信息'!E297="","-",'基础-办公用品信息'!E297)</f>
        <v>-</v>
      </c>
      <c r="F297" s="77" t="str">
        <f>IF('基础-办公用品信息'!F297="","-",'基础-办公用品信息'!F297)</f>
        <v>-</v>
      </c>
      <c r="G297" s="77" t="str">
        <f t="shared" si="17"/>
        <v>-</v>
      </c>
      <c r="H297" s="77">
        <f>SUMIFS(期初库存!G:G,期初库存!C:C,C297)+SUMIFS('采购录入（明细）'!I:I,'采购录入（明细）'!E:E,C297)-SUMIFS('领用录入（明细）'!I:I,'领用录入（明细）'!F:F,C297)</f>
        <v>0</v>
      </c>
      <c r="J297" s="79" t="str">
        <f t="shared" si="18"/>
        <v>否</v>
      </c>
    </row>
    <row r="298" customHeight="1" spans="2:10">
      <c r="B298" s="74">
        <v>319</v>
      </c>
      <c r="C298" s="77" t="str">
        <f>IF('基础-办公用品信息'!C298="","-",'基础-办公用品信息'!C298)</f>
        <v>-</v>
      </c>
      <c r="D298" s="77" t="str">
        <f>IF('基础-办公用品信息'!D311="","-",'基础-办公用品信息'!D311)</f>
        <v>-</v>
      </c>
      <c r="E298" s="77" t="str">
        <f>IF('基础-办公用品信息'!E298="","-",'基础-办公用品信息'!E298)</f>
        <v>-</v>
      </c>
      <c r="F298" s="77" t="str">
        <f>IF('基础-办公用品信息'!F298="","-",'基础-办公用品信息'!F298)</f>
        <v>-</v>
      </c>
      <c r="G298" s="77" t="str">
        <f t="shared" si="17"/>
        <v>-</v>
      </c>
      <c r="H298" s="77">
        <f>SUMIFS(期初库存!G:G,期初库存!C:C,C298)+SUMIFS('采购录入（明细）'!I:I,'采购录入（明细）'!E:E,C298)-SUMIFS('领用录入（明细）'!I:I,'领用录入（明细）'!F:F,C298)</f>
        <v>0</v>
      </c>
      <c r="J298" s="79" t="str">
        <f t="shared" si="18"/>
        <v>否</v>
      </c>
    </row>
    <row r="299" customHeight="1" spans="2:10">
      <c r="B299" s="74">
        <v>320</v>
      </c>
      <c r="C299" s="77" t="str">
        <f>IF('基础-办公用品信息'!C299="","-",'基础-办公用品信息'!C299)</f>
        <v>-</v>
      </c>
      <c r="D299" s="77" t="str">
        <f>IF('基础-办公用品信息'!D312="","-",'基础-办公用品信息'!D312)</f>
        <v>-</v>
      </c>
      <c r="E299" s="77" t="str">
        <f>IF('基础-办公用品信息'!E299="","-",'基础-办公用品信息'!E299)</f>
        <v>-</v>
      </c>
      <c r="F299" s="77" t="str">
        <f>IF('基础-办公用品信息'!F299="","-",'基础-办公用品信息'!F299)</f>
        <v>-</v>
      </c>
      <c r="G299" s="77" t="str">
        <f t="shared" si="17"/>
        <v>-</v>
      </c>
      <c r="H299" s="77">
        <f>SUMIFS(期初库存!G:G,期初库存!C:C,C299)+SUMIFS('采购录入（明细）'!I:I,'采购录入（明细）'!E:E,C299)-SUMIFS('领用录入（明细）'!I:I,'领用录入（明细）'!F:F,C299)</f>
        <v>0</v>
      </c>
      <c r="J299" s="79" t="str">
        <f t="shared" si="18"/>
        <v>否</v>
      </c>
    </row>
    <row r="300" customHeight="1" spans="2:10">
      <c r="B300" s="74">
        <v>321</v>
      </c>
      <c r="C300" s="77" t="str">
        <f>IF('基础-办公用品信息'!C300="","-",'基础-办公用品信息'!C300)</f>
        <v>-</v>
      </c>
      <c r="D300" s="77" t="str">
        <f>IF('基础-办公用品信息'!D313="","-",'基础-办公用品信息'!D313)</f>
        <v>-</v>
      </c>
      <c r="E300" s="77" t="str">
        <f>IF('基础-办公用品信息'!E300="","-",'基础-办公用品信息'!E300)</f>
        <v>-</v>
      </c>
      <c r="F300" s="77" t="str">
        <f>IF('基础-办公用品信息'!F300="","-",'基础-办公用品信息'!F300)</f>
        <v>-</v>
      </c>
      <c r="G300" s="77" t="str">
        <f t="shared" si="17"/>
        <v>-</v>
      </c>
      <c r="H300" s="77">
        <f>SUMIFS(期初库存!G:G,期初库存!C:C,C300)+SUMIFS('采购录入（明细）'!I:I,'采购录入（明细）'!E:E,C300)-SUMIFS('领用录入（明细）'!I:I,'领用录入（明细）'!F:F,C300)</f>
        <v>0</v>
      </c>
      <c r="J300" s="79" t="str">
        <f t="shared" si="18"/>
        <v>否</v>
      </c>
    </row>
    <row r="301" customHeight="1" spans="2:10">
      <c r="B301" s="74">
        <v>322</v>
      </c>
      <c r="C301" s="77" t="str">
        <f>IF('基础-办公用品信息'!C301="","-",'基础-办公用品信息'!C301)</f>
        <v>-</v>
      </c>
      <c r="D301" s="77" t="str">
        <f>IF('基础-办公用品信息'!D314="","-",'基础-办公用品信息'!D314)</f>
        <v>-</v>
      </c>
      <c r="E301" s="77" t="str">
        <f>IF('基础-办公用品信息'!E301="","-",'基础-办公用品信息'!E301)</f>
        <v>-</v>
      </c>
      <c r="F301" s="77" t="str">
        <f>IF('基础-办公用品信息'!F301="","-",'基础-办公用品信息'!F301)</f>
        <v>-</v>
      </c>
      <c r="G301" s="77" t="str">
        <f t="shared" si="17"/>
        <v>-</v>
      </c>
      <c r="H301" s="77">
        <f>SUMIFS(期初库存!G:G,期初库存!C:C,C301)+SUMIFS('采购录入（明细）'!I:I,'采购录入（明细）'!E:E,C301)-SUMIFS('领用录入（明细）'!I:I,'领用录入（明细）'!F:F,C301)</f>
        <v>0</v>
      </c>
      <c r="J301" s="79" t="str">
        <f t="shared" si="18"/>
        <v>否</v>
      </c>
    </row>
    <row r="302" customHeight="1" spans="2:10">
      <c r="B302" s="74">
        <v>323</v>
      </c>
      <c r="C302" s="77" t="str">
        <f>IF('基础-办公用品信息'!C302="","-",'基础-办公用品信息'!C302)</f>
        <v>-</v>
      </c>
      <c r="D302" s="77" t="str">
        <f>IF('基础-办公用品信息'!D315="","-",'基础-办公用品信息'!D315)</f>
        <v>-</v>
      </c>
      <c r="E302" s="77" t="str">
        <f>IF('基础-办公用品信息'!E302="","-",'基础-办公用品信息'!E302)</f>
        <v>-</v>
      </c>
      <c r="F302" s="77" t="str">
        <f>IF('基础-办公用品信息'!F302="","-",'基础-办公用品信息'!F302)</f>
        <v>-</v>
      </c>
      <c r="G302" s="77" t="str">
        <f t="shared" si="17"/>
        <v>-</v>
      </c>
      <c r="H302" s="77">
        <f>SUMIFS(期初库存!G:G,期初库存!C:C,C302)+SUMIFS('采购录入（明细）'!I:I,'采购录入（明细）'!E:E,C302)-SUMIFS('领用录入（明细）'!I:I,'领用录入（明细）'!F:F,C302)</f>
        <v>0</v>
      </c>
      <c r="J302" s="79" t="str">
        <f t="shared" si="18"/>
        <v>否</v>
      </c>
    </row>
    <row r="303" customHeight="1" spans="2:10">
      <c r="B303" s="74">
        <v>324</v>
      </c>
      <c r="C303" s="77" t="str">
        <f>IF('基础-办公用品信息'!C303="","-",'基础-办公用品信息'!C303)</f>
        <v>-</v>
      </c>
      <c r="D303" s="77" t="str">
        <f>IF('基础-办公用品信息'!D316="","-",'基础-办公用品信息'!D316)</f>
        <v>-</v>
      </c>
      <c r="E303" s="77" t="str">
        <f>IF('基础-办公用品信息'!E303="","-",'基础-办公用品信息'!E303)</f>
        <v>-</v>
      </c>
      <c r="F303" s="77" t="str">
        <f>IF('基础-办公用品信息'!F303="","-",'基础-办公用品信息'!F303)</f>
        <v>-</v>
      </c>
      <c r="G303" s="77" t="str">
        <f t="shared" si="17"/>
        <v>-</v>
      </c>
      <c r="H303" s="77">
        <f>SUMIFS(期初库存!G:G,期初库存!C:C,C303)+SUMIFS('采购录入（明细）'!I:I,'采购录入（明细）'!E:E,C303)-SUMIFS('领用录入（明细）'!I:I,'领用录入（明细）'!F:F,C303)</f>
        <v>0</v>
      </c>
      <c r="J303" s="79" t="str">
        <f t="shared" si="18"/>
        <v>否</v>
      </c>
    </row>
    <row r="304" customHeight="1" spans="2:10">
      <c r="B304" s="74">
        <v>325</v>
      </c>
      <c r="C304" s="77" t="str">
        <f>IF('基础-办公用品信息'!C304="","-",'基础-办公用品信息'!C304)</f>
        <v>-</v>
      </c>
      <c r="D304" s="77" t="str">
        <f>IF('基础-办公用品信息'!D317="","-",'基础-办公用品信息'!D317)</f>
        <v>-</v>
      </c>
      <c r="E304" s="77" t="str">
        <f>IF('基础-办公用品信息'!E304="","-",'基础-办公用品信息'!E304)</f>
        <v>-</v>
      </c>
      <c r="F304" s="77" t="str">
        <f>IF('基础-办公用品信息'!F304="","-",'基础-办公用品信息'!F304)</f>
        <v>-</v>
      </c>
      <c r="G304" s="77" t="str">
        <f t="shared" si="17"/>
        <v>-</v>
      </c>
      <c r="H304" s="77">
        <f>SUMIFS(期初库存!G:G,期初库存!C:C,C304)+SUMIFS('采购录入（明细）'!I:I,'采购录入（明细）'!E:E,C304)-SUMIFS('领用录入（明细）'!I:I,'领用录入（明细）'!F:F,C304)</f>
        <v>0</v>
      </c>
      <c r="J304" s="79" t="str">
        <f t="shared" si="18"/>
        <v>否</v>
      </c>
    </row>
    <row r="305" customHeight="1" spans="2:10">
      <c r="B305" s="74">
        <v>326</v>
      </c>
      <c r="C305" s="77" t="str">
        <f>IF('基础-办公用品信息'!C305="","-",'基础-办公用品信息'!C305)</f>
        <v>-</v>
      </c>
      <c r="D305" s="77" t="str">
        <f>IF('基础-办公用品信息'!D318="","-",'基础-办公用品信息'!D318)</f>
        <v>-</v>
      </c>
      <c r="E305" s="77" t="str">
        <f>IF('基础-办公用品信息'!E305="","-",'基础-办公用品信息'!E305)</f>
        <v>-</v>
      </c>
      <c r="F305" s="77" t="str">
        <f>IF('基础-办公用品信息'!F305="","-",'基础-办公用品信息'!F305)</f>
        <v>-</v>
      </c>
      <c r="G305" s="77" t="str">
        <f t="shared" si="17"/>
        <v>-</v>
      </c>
      <c r="H305" s="77">
        <f>SUMIFS(期初库存!G:G,期初库存!C:C,C305)+SUMIFS('采购录入（明细）'!I:I,'采购录入（明细）'!E:E,C305)-SUMIFS('领用录入（明细）'!I:I,'领用录入（明细）'!F:F,C305)</f>
        <v>0</v>
      </c>
      <c r="J305" s="79" t="str">
        <f t="shared" si="18"/>
        <v>否</v>
      </c>
    </row>
    <row r="306" customHeight="1" spans="2:10">
      <c r="B306" s="74">
        <v>327</v>
      </c>
      <c r="C306" s="77" t="str">
        <f>IF('基础-办公用品信息'!C306="","-",'基础-办公用品信息'!C306)</f>
        <v>-</v>
      </c>
      <c r="D306" s="77" t="str">
        <f>IF('基础-办公用品信息'!D319="","-",'基础-办公用品信息'!D319)</f>
        <v>-</v>
      </c>
      <c r="E306" s="77" t="str">
        <f>IF('基础-办公用品信息'!E306="","-",'基础-办公用品信息'!E306)</f>
        <v>-</v>
      </c>
      <c r="F306" s="77" t="str">
        <f>IF('基础-办公用品信息'!F306="","-",'基础-办公用品信息'!F306)</f>
        <v>-</v>
      </c>
      <c r="G306" s="77" t="str">
        <f t="shared" si="17"/>
        <v>-</v>
      </c>
      <c r="H306" s="77">
        <f>SUMIFS(期初库存!G:G,期初库存!C:C,C306)+SUMIFS('采购录入（明细）'!I:I,'采购录入（明细）'!E:E,C306)-SUMIFS('领用录入（明细）'!I:I,'领用录入（明细）'!F:F,C306)</f>
        <v>0</v>
      </c>
      <c r="J306" s="79" t="str">
        <f t="shared" si="18"/>
        <v>否</v>
      </c>
    </row>
    <row r="307" customHeight="1" spans="2:10">
      <c r="B307" s="74">
        <v>328</v>
      </c>
      <c r="C307" s="77" t="str">
        <f>IF('基础-办公用品信息'!C307="","-",'基础-办公用品信息'!C307)</f>
        <v>-</v>
      </c>
      <c r="D307" s="77" t="str">
        <f>IF('基础-办公用品信息'!D320="","-",'基础-办公用品信息'!D320)</f>
        <v>-</v>
      </c>
      <c r="E307" s="77" t="str">
        <f>IF('基础-办公用品信息'!E307="","-",'基础-办公用品信息'!E307)</f>
        <v>-</v>
      </c>
      <c r="F307" s="77" t="str">
        <f>IF('基础-办公用品信息'!F307="","-",'基础-办公用品信息'!F307)</f>
        <v>-</v>
      </c>
      <c r="G307" s="77" t="str">
        <f t="shared" si="17"/>
        <v>-</v>
      </c>
      <c r="H307" s="77">
        <f>SUMIFS(期初库存!G:G,期初库存!C:C,C307)+SUMIFS('采购录入（明细）'!I:I,'采购录入（明细）'!E:E,C307)-SUMIFS('领用录入（明细）'!I:I,'领用录入（明细）'!F:F,C307)</f>
        <v>0</v>
      </c>
      <c r="J307" s="79" t="str">
        <f t="shared" si="18"/>
        <v>否</v>
      </c>
    </row>
    <row r="308" customHeight="1" spans="2:10">
      <c r="B308" s="74">
        <v>329</v>
      </c>
      <c r="C308" s="77" t="str">
        <f>IF('基础-办公用品信息'!C308="","-",'基础-办公用品信息'!C308)</f>
        <v>-</v>
      </c>
      <c r="D308" s="77" t="str">
        <f>IF('基础-办公用品信息'!D321="","-",'基础-办公用品信息'!D321)</f>
        <v>-</v>
      </c>
      <c r="E308" s="77" t="str">
        <f>IF('基础-办公用品信息'!E308="","-",'基础-办公用品信息'!E308)</f>
        <v>-</v>
      </c>
      <c r="F308" s="77" t="str">
        <f>IF('基础-办公用品信息'!F308="","-",'基础-办公用品信息'!F308)</f>
        <v>-</v>
      </c>
      <c r="G308" s="77" t="str">
        <f t="shared" ref="G308:G371" si="19">IFERROR(F308*H308,"-")</f>
        <v>-</v>
      </c>
      <c r="H308" s="77">
        <f>SUMIFS(期初库存!G:G,期初库存!C:C,C308)+SUMIFS('采购录入（明细）'!I:I,'采购录入（明细）'!E:E,C308)-SUMIFS('领用录入（明细）'!I:I,'领用录入（明细）'!F:F,C308)</f>
        <v>0</v>
      </c>
      <c r="J308" s="79" t="str">
        <f t="shared" ref="J308:J371" si="20">IF(I308&gt;H308,"采购","否")</f>
        <v>否</v>
      </c>
    </row>
    <row r="309" customHeight="1" spans="2:10">
      <c r="B309" s="74">
        <v>330</v>
      </c>
      <c r="C309" s="77" t="str">
        <f>IF('基础-办公用品信息'!C309="","-",'基础-办公用品信息'!C309)</f>
        <v>-</v>
      </c>
      <c r="D309" s="77" t="str">
        <f>IF('基础-办公用品信息'!D322="","-",'基础-办公用品信息'!D322)</f>
        <v>-</v>
      </c>
      <c r="E309" s="77" t="str">
        <f>IF('基础-办公用品信息'!E309="","-",'基础-办公用品信息'!E309)</f>
        <v>-</v>
      </c>
      <c r="F309" s="77" t="str">
        <f>IF('基础-办公用品信息'!F309="","-",'基础-办公用品信息'!F309)</f>
        <v>-</v>
      </c>
      <c r="G309" s="77" t="str">
        <f t="shared" si="19"/>
        <v>-</v>
      </c>
      <c r="H309" s="77">
        <f>SUMIFS(期初库存!G:G,期初库存!C:C,C309)+SUMIFS('采购录入（明细）'!I:I,'采购录入（明细）'!E:E,C309)-SUMIFS('领用录入（明细）'!I:I,'领用录入（明细）'!F:F,C309)</f>
        <v>0</v>
      </c>
      <c r="J309" s="79" t="str">
        <f t="shared" si="20"/>
        <v>否</v>
      </c>
    </row>
    <row r="310" customHeight="1" spans="2:10">
      <c r="B310" s="74">
        <v>331</v>
      </c>
      <c r="C310" s="77" t="str">
        <f>IF('基础-办公用品信息'!C310="","-",'基础-办公用品信息'!C310)</f>
        <v>-</v>
      </c>
      <c r="D310" s="77" t="str">
        <f>IF('基础-办公用品信息'!D323="","-",'基础-办公用品信息'!D323)</f>
        <v>-</v>
      </c>
      <c r="E310" s="77" t="str">
        <f>IF('基础-办公用品信息'!E310="","-",'基础-办公用品信息'!E310)</f>
        <v>-</v>
      </c>
      <c r="F310" s="77" t="str">
        <f>IF('基础-办公用品信息'!F310="","-",'基础-办公用品信息'!F310)</f>
        <v>-</v>
      </c>
      <c r="G310" s="77" t="str">
        <f t="shared" si="19"/>
        <v>-</v>
      </c>
      <c r="H310" s="77">
        <f>SUMIFS(期初库存!G:G,期初库存!C:C,C310)+SUMIFS('采购录入（明细）'!I:I,'采购录入（明细）'!E:E,C310)-SUMIFS('领用录入（明细）'!I:I,'领用录入（明细）'!F:F,C310)</f>
        <v>0</v>
      </c>
      <c r="J310" s="79" t="str">
        <f t="shared" si="20"/>
        <v>否</v>
      </c>
    </row>
    <row r="311" customHeight="1" spans="2:10">
      <c r="B311" s="74">
        <v>332</v>
      </c>
      <c r="C311" s="77" t="str">
        <f>IF('基础-办公用品信息'!C311="","-",'基础-办公用品信息'!C311)</f>
        <v>-</v>
      </c>
      <c r="D311" s="77" t="str">
        <f>IF('基础-办公用品信息'!D324="","-",'基础-办公用品信息'!D324)</f>
        <v>-</v>
      </c>
      <c r="E311" s="77" t="str">
        <f>IF('基础-办公用品信息'!E311="","-",'基础-办公用品信息'!E311)</f>
        <v>-</v>
      </c>
      <c r="F311" s="77" t="str">
        <f>IF('基础-办公用品信息'!F311="","-",'基础-办公用品信息'!F311)</f>
        <v>-</v>
      </c>
      <c r="G311" s="77" t="str">
        <f t="shared" si="19"/>
        <v>-</v>
      </c>
      <c r="H311" s="77">
        <f>SUMIFS(期初库存!G:G,期初库存!C:C,C311)+SUMIFS('采购录入（明细）'!I:I,'采购录入（明细）'!E:E,C311)-SUMIFS('领用录入（明细）'!I:I,'领用录入（明细）'!F:F,C311)</f>
        <v>0</v>
      </c>
      <c r="J311" s="79" t="str">
        <f t="shared" si="20"/>
        <v>否</v>
      </c>
    </row>
    <row r="312" customHeight="1" spans="2:10">
      <c r="B312" s="74">
        <v>333</v>
      </c>
      <c r="C312" s="77" t="str">
        <f>IF('基础-办公用品信息'!C312="","-",'基础-办公用品信息'!C312)</f>
        <v>-</v>
      </c>
      <c r="D312" s="77" t="str">
        <f>IF('基础-办公用品信息'!D325="","-",'基础-办公用品信息'!D325)</f>
        <v>-</v>
      </c>
      <c r="E312" s="77" t="str">
        <f>IF('基础-办公用品信息'!E312="","-",'基础-办公用品信息'!E312)</f>
        <v>-</v>
      </c>
      <c r="F312" s="77" t="str">
        <f>IF('基础-办公用品信息'!F312="","-",'基础-办公用品信息'!F312)</f>
        <v>-</v>
      </c>
      <c r="G312" s="77" t="str">
        <f t="shared" si="19"/>
        <v>-</v>
      </c>
      <c r="H312" s="77">
        <f>SUMIFS(期初库存!G:G,期初库存!C:C,C312)+SUMIFS('采购录入（明细）'!I:I,'采购录入（明细）'!E:E,C312)-SUMIFS('领用录入（明细）'!I:I,'领用录入（明细）'!F:F,C312)</f>
        <v>0</v>
      </c>
      <c r="J312" s="79" t="str">
        <f t="shared" si="20"/>
        <v>否</v>
      </c>
    </row>
    <row r="313" customHeight="1" spans="2:10">
      <c r="B313" s="74">
        <v>334</v>
      </c>
      <c r="C313" s="77" t="str">
        <f>IF('基础-办公用品信息'!C313="","-",'基础-办公用品信息'!C313)</f>
        <v>-</v>
      </c>
      <c r="D313" s="77" t="str">
        <f>IF('基础-办公用品信息'!D326="","-",'基础-办公用品信息'!D326)</f>
        <v>-</v>
      </c>
      <c r="E313" s="77" t="str">
        <f>IF('基础-办公用品信息'!E313="","-",'基础-办公用品信息'!E313)</f>
        <v>-</v>
      </c>
      <c r="F313" s="77" t="str">
        <f>IF('基础-办公用品信息'!F313="","-",'基础-办公用品信息'!F313)</f>
        <v>-</v>
      </c>
      <c r="G313" s="77" t="str">
        <f t="shared" si="19"/>
        <v>-</v>
      </c>
      <c r="H313" s="77">
        <f>SUMIFS(期初库存!G:G,期初库存!C:C,C313)+SUMIFS('采购录入（明细）'!I:I,'采购录入（明细）'!E:E,C313)-SUMIFS('领用录入（明细）'!I:I,'领用录入（明细）'!F:F,C313)</f>
        <v>0</v>
      </c>
      <c r="J313" s="79" t="str">
        <f t="shared" si="20"/>
        <v>否</v>
      </c>
    </row>
    <row r="314" customHeight="1" spans="2:10">
      <c r="B314" s="74">
        <v>335</v>
      </c>
      <c r="C314" s="77" t="str">
        <f>IF('基础-办公用品信息'!C314="","-",'基础-办公用品信息'!C314)</f>
        <v>-</v>
      </c>
      <c r="D314" s="77" t="str">
        <f>IF('基础-办公用品信息'!D327="","-",'基础-办公用品信息'!D327)</f>
        <v>-</v>
      </c>
      <c r="E314" s="77" t="str">
        <f>IF('基础-办公用品信息'!E314="","-",'基础-办公用品信息'!E314)</f>
        <v>-</v>
      </c>
      <c r="F314" s="77" t="str">
        <f>IF('基础-办公用品信息'!F314="","-",'基础-办公用品信息'!F314)</f>
        <v>-</v>
      </c>
      <c r="G314" s="77" t="str">
        <f t="shared" si="19"/>
        <v>-</v>
      </c>
      <c r="H314" s="77">
        <f>SUMIFS(期初库存!G:G,期初库存!C:C,C314)+SUMIFS('采购录入（明细）'!I:I,'采购录入（明细）'!E:E,C314)-SUMIFS('领用录入（明细）'!I:I,'领用录入（明细）'!F:F,C314)</f>
        <v>0</v>
      </c>
      <c r="J314" s="79" t="str">
        <f t="shared" si="20"/>
        <v>否</v>
      </c>
    </row>
    <row r="315" customHeight="1" spans="2:10">
      <c r="B315" s="74">
        <v>336</v>
      </c>
      <c r="C315" s="77" t="str">
        <f>IF('基础-办公用品信息'!C315="","-",'基础-办公用品信息'!C315)</f>
        <v>-</v>
      </c>
      <c r="D315" s="77" t="str">
        <f>IF('基础-办公用品信息'!D328="","-",'基础-办公用品信息'!D328)</f>
        <v>-</v>
      </c>
      <c r="E315" s="77" t="str">
        <f>IF('基础-办公用品信息'!E315="","-",'基础-办公用品信息'!E315)</f>
        <v>-</v>
      </c>
      <c r="F315" s="77" t="str">
        <f>IF('基础-办公用品信息'!F315="","-",'基础-办公用品信息'!F315)</f>
        <v>-</v>
      </c>
      <c r="G315" s="77" t="str">
        <f t="shared" si="19"/>
        <v>-</v>
      </c>
      <c r="H315" s="77">
        <f>SUMIFS(期初库存!G:G,期初库存!C:C,C315)+SUMIFS('采购录入（明细）'!I:I,'采购录入（明细）'!E:E,C315)-SUMIFS('领用录入（明细）'!I:I,'领用录入（明细）'!F:F,C315)</f>
        <v>0</v>
      </c>
      <c r="J315" s="79" t="str">
        <f t="shared" si="20"/>
        <v>否</v>
      </c>
    </row>
    <row r="316" customHeight="1" spans="2:10">
      <c r="B316" s="74">
        <v>337</v>
      </c>
      <c r="C316" s="77" t="str">
        <f>IF('基础-办公用品信息'!C316="","-",'基础-办公用品信息'!C316)</f>
        <v>-</v>
      </c>
      <c r="D316" s="77" t="str">
        <f>IF('基础-办公用品信息'!D329="","-",'基础-办公用品信息'!D329)</f>
        <v>-</v>
      </c>
      <c r="E316" s="77" t="str">
        <f>IF('基础-办公用品信息'!E316="","-",'基础-办公用品信息'!E316)</f>
        <v>-</v>
      </c>
      <c r="F316" s="77" t="str">
        <f>IF('基础-办公用品信息'!F316="","-",'基础-办公用品信息'!F316)</f>
        <v>-</v>
      </c>
      <c r="G316" s="77" t="str">
        <f t="shared" si="19"/>
        <v>-</v>
      </c>
      <c r="H316" s="77">
        <f>SUMIFS(期初库存!G:G,期初库存!C:C,C316)+SUMIFS('采购录入（明细）'!I:I,'采购录入（明细）'!E:E,C316)-SUMIFS('领用录入（明细）'!I:I,'领用录入（明细）'!F:F,C316)</f>
        <v>0</v>
      </c>
      <c r="J316" s="79" t="str">
        <f t="shared" si="20"/>
        <v>否</v>
      </c>
    </row>
    <row r="317" customHeight="1" spans="2:10">
      <c r="B317" s="74">
        <v>338</v>
      </c>
      <c r="C317" s="77" t="str">
        <f>IF('基础-办公用品信息'!C317="","-",'基础-办公用品信息'!C317)</f>
        <v>-</v>
      </c>
      <c r="D317" s="77" t="str">
        <f>IF('基础-办公用品信息'!D330="","-",'基础-办公用品信息'!D330)</f>
        <v>-</v>
      </c>
      <c r="E317" s="77" t="str">
        <f>IF('基础-办公用品信息'!E317="","-",'基础-办公用品信息'!E317)</f>
        <v>-</v>
      </c>
      <c r="F317" s="77" t="str">
        <f>IF('基础-办公用品信息'!F317="","-",'基础-办公用品信息'!F317)</f>
        <v>-</v>
      </c>
      <c r="G317" s="77" t="str">
        <f t="shared" si="19"/>
        <v>-</v>
      </c>
      <c r="H317" s="77">
        <f>SUMIFS(期初库存!G:G,期初库存!C:C,C317)+SUMIFS('采购录入（明细）'!I:I,'采购录入（明细）'!E:E,C317)-SUMIFS('领用录入（明细）'!I:I,'领用录入（明细）'!F:F,C317)</f>
        <v>0</v>
      </c>
      <c r="J317" s="79" t="str">
        <f t="shared" si="20"/>
        <v>否</v>
      </c>
    </row>
    <row r="318" customHeight="1" spans="2:10">
      <c r="B318" s="74">
        <v>339</v>
      </c>
      <c r="C318" s="77" t="str">
        <f>IF('基础-办公用品信息'!C318="","-",'基础-办公用品信息'!C318)</f>
        <v>-</v>
      </c>
      <c r="D318" s="77" t="str">
        <f>IF('基础-办公用品信息'!D331="","-",'基础-办公用品信息'!D331)</f>
        <v>-</v>
      </c>
      <c r="E318" s="77" t="str">
        <f>IF('基础-办公用品信息'!E318="","-",'基础-办公用品信息'!E318)</f>
        <v>-</v>
      </c>
      <c r="F318" s="77" t="str">
        <f>IF('基础-办公用品信息'!F318="","-",'基础-办公用品信息'!F318)</f>
        <v>-</v>
      </c>
      <c r="G318" s="77" t="str">
        <f t="shared" si="19"/>
        <v>-</v>
      </c>
      <c r="H318" s="77">
        <f>SUMIFS(期初库存!G:G,期初库存!C:C,C318)+SUMIFS('采购录入（明细）'!I:I,'采购录入（明细）'!E:E,C318)-SUMIFS('领用录入（明细）'!I:I,'领用录入（明细）'!F:F,C318)</f>
        <v>0</v>
      </c>
      <c r="J318" s="79" t="str">
        <f t="shared" si="20"/>
        <v>否</v>
      </c>
    </row>
    <row r="319" customHeight="1" spans="2:10">
      <c r="B319" s="74">
        <v>340</v>
      </c>
      <c r="C319" s="77" t="str">
        <f>IF('基础-办公用品信息'!C319="","-",'基础-办公用品信息'!C319)</f>
        <v>-</v>
      </c>
      <c r="D319" s="77" t="str">
        <f>IF('基础-办公用品信息'!D332="","-",'基础-办公用品信息'!D332)</f>
        <v>-</v>
      </c>
      <c r="E319" s="77" t="str">
        <f>IF('基础-办公用品信息'!E319="","-",'基础-办公用品信息'!E319)</f>
        <v>-</v>
      </c>
      <c r="F319" s="77" t="str">
        <f>IF('基础-办公用品信息'!F319="","-",'基础-办公用品信息'!F319)</f>
        <v>-</v>
      </c>
      <c r="G319" s="77" t="str">
        <f t="shared" si="19"/>
        <v>-</v>
      </c>
      <c r="H319" s="77">
        <f>SUMIFS(期初库存!G:G,期初库存!C:C,C319)+SUMIFS('采购录入（明细）'!I:I,'采购录入（明细）'!E:E,C319)-SUMIFS('领用录入（明细）'!I:I,'领用录入（明细）'!F:F,C319)</f>
        <v>0</v>
      </c>
      <c r="J319" s="79" t="str">
        <f t="shared" si="20"/>
        <v>否</v>
      </c>
    </row>
    <row r="320" customHeight="1" spans="2:10">
      <c r="B320" s="74">
        <v>341</v>
      </c>
      <c r="C320" s="77" t="str">
        <f>IF('基础-办公用品信息'!C320="","-",'基础-办公用品信息'!C320)</f>
        <v>-</v>
      </c>
      <c r="D320" s="77" t="str">
        <f>IF('基础-办公用品信息'!D333="","-",'基础-办公用品信息'!D333)</f>
        <v>-</v>
      </c>
      <c r="E320" s="77" t="str">
        <f>IF('基础-办公用品信息'!E320="","-",'基础-办公用品信息'!E320)</f>
        <v>-</v>
      </c>
      <c r="F320" s="77" t="str">
        <f>IF('基础-办公用品信息'!F320="","-",'基础-办公用品信息'!F320)</f>
        <v>-</v>
      </c>
      <c r="G320" s="77" t="str">
        <f t="shared" si="19"/>
        <v>-</v>
      </c>
      <c r="H320" s="77">
        <f>SUMIFS(期初库存!G:G,期初库存!C:C,C320)+SUMIFS('采购录入（明细）'!I:I,'采购录入（明细）'!E:E,C320)-SUMIFS('领用录入（明细）'!I:I,'领用录入（明细）'!F:F,C320)</f>
        <v>0</v>
      </c>
      <c r="J320" s="79" t="str">
        <f t="shared" si="20"/>
        <v>否</v>
      </c>
    </row>
    <row r="321" customHeight="1" spans="2:10">
      <c r="B321" s="74">
        <v>342</v>
      </c>
      <c r="C321" s="77" t="str">
        <f>IF('基础-办公用品信息'!C321="","-",'基础-办公用品信息'!C321)</f>
        <v>-</v>
      </c>
      <c r="D321" s="77" t="str">
        <f>IF('基础-办公用品信息'!D334="","-",'基础-办公用品信息'!D334)</f>
        <v>-</v>
      </c>
      <c r="E321" s="77" t="str">
        <f>IF('基础-办公用品信息'!E321="","-",'基础-办公用品信息'!E321)</f>
        <v>-</v>
      </c>
      <c r="F321" s="77" t="str">
        <f>IF('基础-办公用品信息'!F321="","-",'基础-办公用品信息'!F321)</f>
        <v>-</v>
      </c>
      <c r="G321" s="77" t="str">
        <f t="shared" si="19"/>
        <v>-</v>
      </c>
      <c r="H321" s="77">
        <f>SUMIFS(期初库存!G:G,期初库存!C:C,C321)+SUMIFS('采购录入（明细）'!I:I,'采购录入（明细）'!E:E,C321)-SUMIFS('领用录入（明细）'!I:I,'领用录入（明细）'!F:F,C321)</f>
        <v>0</v>
      </c>
      <c r="J321" s="79" t="str">
        <f t="shared" si="20"/>
        <v>否</v>
      </c>
    </row>
    <row r="322" customHeight="1" spans="2:10">
      <c r="B322" s="74">
        <v>343</v>
      </c>
      <c r="C322" s="77" t="str">
        <f>IF('基础-办公用品信息'!C322="","-",'基础-办公用品信息'!C322)</f>
        <v>-</v>
      </c>
      <c r="D322" s="77" t="str">
        <f>IF('基础-办公用品信息'!D335="","-",'基础-办公用品信息'!D335)</f>
        <v>-</v>
      </c>
      <c r="E322" s="77" t="str">
        <f>IF('基础-办公用品信息'!E322="","-",'基础-办公用品信息'!E322)</f>
        <v>-</v>
      </c>
      <c r="F322" s="77" t="str">
        <f>IF('基础-办公用品信息'!F322="","-",'基础-办公用品信息'!F322)</f>
        <v>-</v>
      </c>
      <c r="G322" s="77" t="str">
        <f t="shared" si="19"/>
        <v>-</v>
      </c>
      <c r="H322" s="77">
        <f>SUMIFS(期初库存!G:G,期初库存!C:C,C322)+SUMIFS('采购录入（明细）'!I:I,'采购录入（明细）'!E:E,C322)-SUMIFS('领用录入（明细）'!I:I,'领用录入（明细）'!F:F,C322)</f>
        <v>0</v>
      </c>
      <c r="J322" s="79" t="str">
        <f t="shared" si="20"/>
        <v>否</v>
      </c>
    </row>
    <row r="323" customHeight="1" spans="2:10">
      <c r="B323" s="74">
        <v>344</v>
      </c>
      <c r="C323" s="77" t="str">
        <f>IF('基础-办公用品信息'!C323="","-",'基础-办公用品信息'!C323)</f>
        <v>-</v>
      </c>
      <c r="D323" s="77" t="str">
        <f>IF('基础-办公用品信息'!D336="","-",'基础-办公用品信息'!D336)</f>
        <v>-</v>
      </c>
      <c r="E323" s="77" t="str">
        <f>IF('基础-办公用品信息'!E323="","-",'基础-办公用品信息'!E323)</f>
        <v>-</v>
      </c>
      <c r="F323" s="77" t="str">
        <f>IF('基础-办公用品信息'!F323="","-",'基础-办公用品信息'!F323)</f>
        <v>-</v>
      </c>
      <c r="G323" s="77" t="str">
        <f t="shared" si="19"/>
        <v>-</v>
      </c>
      <c r="H323" s="77">
        <f>SUMIFS(期初库存!G:G,期初库存!C:C,C323)+SUMIFS('采购录入（明细）'!I:I,'采购录入（明细）'!E:E,C323)-SUMIFS('领用录入（明细）'!I:I,'领用录入（明细）'!F:F,C323)</f>
        <v>0</v>
      </c>
      <c r="J323" s="79" t="str">
        <f t="shared" si="20"/>
        <v>否</v>
      </c>
    </row>
    <row r="324" customHeight="1" spans="2:10">
      <c r="B324" s="74">
        <v>345</v>
      </c>
      <c r="C324" s="77" t="str">
        <f>IF('基础-办公用品信息'!C324="","-",'基础-办公用品信息'!C324)</f>
        <v>-</v>
      </c>
      <c r="D324" s="77" t="str">
        <f>IF('基础-办公用品信息'!D337="","-",'基础-办公用品信息'!D337)</f>
        <v>-</v>
      </c>
      <c r="E324" s="77" t="str">
        <f>IF('基础-办公用品信息'!E324="","-",'基础-办公用品信息'!E324)</f>
        <v>-</v>
      </c>
      <c r="F324" s="77" t="str">
        <f>IF('基础-办公用品信息'!F324="","-",'基础-办公用品信息'!F324)</f>
        <v>-</v>
      </c>
      <c r="G324" s="77" t="str">
        <f t="shared" si="19"/>
        <v>-</v>
      </c>
      <c r="H324" s="77">
        <f>SUMIFS(期初库存!G:G,期初库存!C:C,C324)+SUMIFS('采购录入（明细）'!I:I,'采购录入（明细）'!E:E,C324)-SUMIFS('领用录入（明细）'!I:I,'领用录入（明细）'!F:F,C324)</f>
        <v>0</v>
      </c>
      <c r="J324" s="79" t="str">
        <f t="shared" si="20"/>
        <v>否</v>
      </c>
    </row>
    <row r="325" customHeight="1" spans="2:10">
      <c r="B325" s="74">
        <v>346</v>
      </c>
      <c r="C325" s="77" t="str">
        <f>IF('基础-办公用品信息'!C325="","-",'基础-办公用品信息'!C325)</f>
        <v>-</v>
      </c>
      <c r="D325" s="77" t="str">
        <f>IF('基础-办公用品信息'!D338="","-",'基础-办公用品信息'!D338)</f>
        <v>-</v>
      </c>
      <c r="E325" s="77" t="str">
        <f>IF('基础-办公用品信息'!E325="","-",'基础-办公用品信息'!E325)</f>
        <v>-</v>
      </c>
      <c r="F325" s="77" t="str">
        <f>IF('基础-办公用品信息'!F325="","-",'基础-办公用品信息'!F325)</f>
        <v>-</v>
      </c>
      <c r="G325" s="77" t="str">
        <f t="shared" si="19"/>
        <v>-</v>
      </c>
      <c r="H325" s="77">
        <f>SUMIFS(期初库存!G:G,期初库存!C:C,C325)+SUMIFS('采购录入（明细）'!I:I,'采购录入（明细）'!E:E,C325)-SUMIFS('领用录入（明细）'!I:I,'领用录入（明细）'!F:F,C325)</f>
        <v>0</v>
      </c>
      <c r="J325" s="79" t="str">
        <f t="shared" si="20"/>
        <v>否</v>
      </c>
    </row>
    <row r="326" customHeight="1" spans="2:10">
      <c r="B326" s="74">
        <v>347</v>
      </c>
      <c r="C326" s="77" t="str">
        <f>IF('基础-办公用品信息'!C326="","-",'基础-办公用品信息'!C326)</f>
        <v>-</v>
      </c>
      <c r="D326" s="77" t="str">
        <f>IF('基础-办公用品信息'!D339="","-",'基础-办公用品信息'!D339)</f>
        <v>-</v>
      </c>
      <c r="E326" s="77" t="str">
        <f>IF('基础-办公用品信息'!E326="","-",'基础-办公用品信息'!E326)</f>
        <v>-</v>
      </c>
      <c r="F326" s="77" t="str">
        <f>IF('基础-办公用品信息'!F326="","-",'基础-办公用品信息'!F326)</f>
        <v>-</v>
      </c>
      <c r="G326" s="77" t="str">
        <f t="shared" si="19"/>
        <v>-</v>
      </c>
      <c r="H326" s="77">
        <f>SUMIFS(期初库存!G:G,期初库存!C:C,C326)+SUMIFS('采购录入（明细）'!I:I,'采购录入（明细）'!E:E,C326)-SUMIFS('领用录入（明细）'!I:I,'领用录入（明细）'!F:F,C326)</f>
        <v>0</v>
      </c>
      <c r="J326" s="79" t="str">
        <f t="shared" si="20"/>
        <v>否</v>
      </c>
    </row>
    <row r="327" customHeight="1" spans="2:10">
      <c r="B327" s="74">
        <v>348</v>
      </c>
      <c r="C327" s="77" t="str">
        <f>IF('基础-办公用品信息'!C327="","-",'基础-办公用品信息'!C327)</f>
        <v>-</v>
      </c>
      <c r="D327" s="77" t="str">
        <f>IF('基础-办公用品信息'!D340="","-",'基础-办公用品信息'!D340)</f>
        <v>-</v>
      </c>
      <c r="E327" s="77" t="str">
        <f>IF('基础-办公用品信息'!E327="","-",'基础-办公用品信息'!E327)</f>
        <v>-</v>
      </c>
      <c r="F327" s="77" t="str">
        <f>IF('基础-办公用品信息'!F327="","-",'基础-办公用品信息'!F327)</f>
        <v>-</v>
      </c>
      <c r="G327" s="77" t="str">
        <f t="shared" si="19"/>
        <v>-</v>
      </c>
      <c r="H327" s="77">
        <f>SUMIFS(期初库存!G:G,期初库存!C:C,C327)+SUMIFS('采购录入（明细）'!I:I,'采购录入（明细）'!E:E,C327)-SUMIFS('领用录入（明细）'!I:I,'领用录入（明细）'!F:F,C327)</f>
        <v>0</v>
      </c>
      <c r="J327" s="79" t="str">
        <f t="shared" si="20"/>
        <v>否</v>
      </c>
    </row>
    <row r="328" customHeight="1" spans="2:10">
      <c r="B328" s="74">
        <v>349</v>
      </c>
      <c r="C328" s="77" t="str">
        <f>IF('基础-办公用品信息'!C328="","-",'基础-办公用品信息'!C328)</f>
        <v>-</v>
      </c>
      <c r="D328" s="77" t="str">
        <f>IF('基础-办公用品信息'!D341="","-",'基础-办公用品信息'!D341)</f>
        <v>-</v>
      </c>
      <c r="E328" s="77" t="str">
        <f>IF('基础-办公用品信息'!E328="","-",'基础-办公用品信息'!E328)</f>
        <v>-</v>
      </c>
      <c r="F328" s="77" t="str">
        <f>IF('基础-办公用品信息'!F328="","-",'基础-办公用品信息'!F328)</f>
        <v>-</v>
      </c>
      <c r="G328" s="77" t="str">
        <f t="shared" si="19"/>
        <v>-</v>
      </c>
      <c r="H328" s="77">
        <f>SUMIFS(期初库存!G:G,期初库存!C:C,C328)+SUMIFS('采购录入（明细）'!I:I,'采购录入（明细）'!E:E,C328)-SUMIFS('领用录入（明细）'!I:I,'领用录入（明细）'!F:F,C328)</f>
        <v>0</v>
      </c>
      <c r="J328" s="79" t="str">
        <f t="shared" si="20"/>
        <v>否</v>
      </c>
    </row>
    <row r="329" customHeight="1" spans="2:10">
      <c r="B329" s="74">
        <v>350</v>
      </c>
      <c r="C329" s="77" t="str">
        <f>IF('基础-办公用品信息'!C329="","-",'基础-办公用品信息'!C329)</f>
        <v>-</v>
      </c>
      <c r="D329" s="77" t="str">
        <f>IF('基础-办公用品信息'!D342="","-",'基础-办公用品信息'!D342)</f>
        <v>-</v>
      </c>
      <c r="E329" s="77" t="str">
        <f>IF('基础-办公用品信息'!E329="","-",'基础-办公用品信息'!E329)</f>
        <v>-</v>
      </c>
      <c r="F329" s="77" t="str">
        <f>IF('基础-办公用品信息'!F329="","-",'基础-办公用品信息'!F329)</f>
        <v>-</v>
      </c>
      <c r="G329" s="77" t="str">
        <f t="shared" si="19"/>
        <v>-</v>
      </c>
      <c r="H329" s="77">
        <f>SUMIFS(期初库存!G:G,期初库存!C:C,C329)+SUMIFS('采购录入（明细）'!I:I,'采购录入（明细）'!E:E,C329)-SUMIFS('领用录入（明细）'!I:I,'领用录入（明细）'!F:F,C329)</f>
        <v>0</v>
      </c>
      <c r="J329" s="79" t="str">
        <f t="shared" si="20"/>
        <v>否</v>
      </c>
    </row>
    <row r="330" customHeight="1" spans="2:10">
      <c r="B330" s="74">
        <v>351</v>
      </c>
      <c r="C330" s="77" t="str">
        <f>IF('基础-办公用品信息'!C330="","-",'基础-办公用品信息'!C330)</f>
        <v>-</v>
      </c>
      <c r="D330" s="77" t="str">
        <f>IF('基础-办公用品信息'!D343="","-",'基础-办公用品信息'!D343)</f>
        <v>-</v>
      </c>
      <c r="E330" s="77" t="str">
        <f>IF('基础-办公用品信息'!E330="","-",'基础-办公用品信息'!E330)</f>
        <v>-</v>
      </c>
      <c r="F330" s="77" t="str">
        <f>IF('基础-办公用品信息'!F330="","-",'基础-办公用品信息'!F330)</f>
        <v>-</v>
      </c>
      <c r="G330" s="77" t="str">
        <f t="shared" si="19"/>
        <v>-</v>
      </c>
      <c r="H330" s="77">
        <f>SUMIFS(期初库存!G:G,期初库存!C:C,C330)+SUMIFS('采购录入（明细）'!I:I,'采购录入（明细）'!E:E,C330)-SUMIFS('领用录入（明细）'!I:I,'领用录入（明细）'!F:F,C330)</f>
        <v>0</v>
      </c>
      <c r="J330" s="79" t="str">
        <f t="shared" si="20"/>
        <v>否</v>
      </c>
    </row>
    <row r="331" customHeight="1" spans="2:10">
      <c r="B331" s="74">
        <v>352</v>
      </c>
      <c r="C331" s="77" t="str">
        <f>IF('基础-办公用品信息'!C331="","-",'基础-办公用品信息'!C331)</f>
        <v>-</v>
      </c>
      <c r="D331" s="77" t="str">
        <f>IF('基础-办公用品信息'!D344="","-",'基础-办公用品信息'!D344)</f>
        <v>-</v>
      </c>
      <c r="E331" s="77" t="str">
        <f>IF('基础-办公用品信息'!E331="","-",'基础-办公用品信息'!E331)</f>
        <v>-</v>
      </c>
      <c r="F331" s="77" t="str">
        <f>IF('基础-办公用品信息'!F331="","-",'基础-办公用品信息'!F331)</f>
        <v>-</v>
      </c>
      <c r="G331" s="77" t="str">
        <f t="shared" si="19"/>
        <v>-</v>
      </c>
      <c r="H331" s="77">
        <f>SUMIFS(期初库存!G:G,期初库存!C:C,C331)+SUMIFS('采购录入（明细）'!I:I,'采购录入（明细）'!E:E,C331)-SUMIFS('领用录入（明细）'!I:I,'领用录入（明细）'!F:F,C331)</f>
        <v>0</v>
      </c>
      <c r="J331" s="79" t="str">
        <f t="shared" si="20"/>
        <v>否</v>
      </c>
    </row>
    <row r="332" customHeight="1" spans="2:10">
      <c r="B332" s="74">
        <v>353</v>
      </c>
      <c r="C332" s="77" t="str">
        <f>IF('基础-办公用品信息'!C332="","-",'基础-办公用品信息'!C332)</f>
        <v>-</v>
      </c>
      <c r="D332" s="77" t="str">
        <f>IF('基础-办公用品信息'!D345="","-",'基础-办公用品信息'!D345)</f>
        <v>-</v>
      </c>
      <c r="E332" s="77" t="str">
        <f>IF('基础-办公用品信息'!E332="","-",'基础-办公用品信息'!E332)</f>
        <v>-</v>
      </c>
      <c r="F332" s="77" t="str">
        <f>IF('基础-办公用品信息'!F332="","-",'基础-办公用品信息'!F332)</f>
        <v>-</v>
      </c>
      <c r="G332" s="77" t="str">
        <f t="shared" si="19"/>
        <v>-</v>
      </c>
      <c r="H332" s="77">
        <f>SUMIFS(期初库存!G:G,期初库存!C:C,C332)+SUMIFS('采购录入（明细）'!I:I,'采购录入（明细）'!E:E,C332)-SUMIFS('领用录入（明细）'!I:I,'领用录入（明细）'!F:F,C332)</f>
        <v>0</v>
      </c>
      <c r="J332" s="79" t="str">
        <f t="shared" si="20"/>
        <v>否</v>
      </c>
    </row>
    <row r="333" customHeight="1" spans="2:10">
      <c r="B333" s="74">
        <v>354</v>
      </c>
      <c r="C333" s="77" t="str">
        <f>IF('基础-办公用品信息'!C333="","-",'基础-办公用品信息'!C333)</f>
        <v>-</v>
      </c>
      <c r="D333" s="77" t="str">
        <f>IF('基础-办公用品信息'!D346="","-",'基础-办公用品信息'!D346)</f>
        <v>-</v>
      </c>
      <c r="E333" s="77" t="str">
        <f>IF('基础-办公用品信息'!E333="","-",'基础-办公用品信息'!E333)</f>
        <v>-</v>
      </c>
      <c r="F333" s="77" t="str">
        <f>IF('基础-办公用品信息'!F333="","-",'基础-办公用品信息'!F333)</f>
        <v>-</v>
      </c>
      <c r="G333" s="77" t="str">
        <f t="shared" si="19"/>
        <v>-</v>
      </c>
      <c r="H333" s="77">
        <f>SUMIFS(期初库存!G:G,期初库存!C:C,C333)+SUMIFS('采购录入（明细）'!I:I,'采购录入（明细）'!E:E,C333)-SUMIFS('领用录入（明细）'!I:I,'领用录入（明细）'!F:F,C333)</f>
        <v>0</v>
      </c>
      <c r="J333" s="79" t="str">
        <f t="shared" si="20"/>
        <v>否</v>
      </c>
    </row>
    <row r="334" customHeight="1" spans="2:10">
      <c r="B334" s="74">
        <v>355</v>
      </c>
      <c r="C334" s="77" t="str">
        <f>IF('基础-办公用品信息'!C334="","-",'基础-办公用品信息'!C334)</f>
        <v>-</v>
      </c>
      <c r="D334" s="77" t="str">
        <f>IF('基础-办公用品信息'!D347="","-",'基础-办公用品信息'!D347)</f>
        <v>-</v>
      </c>
      <c r="E334" s="77" t="str">
        <f>IF('基础-办公用品信息'!E334="","-",'基础-办公用品信息'!E334)</f>
        <v>-</v>
      </c>
      <c r="F334" s="77" t="str">
        <f>IF('基础-办公用品信息'!F334="","-",'基础-办公用品信息'!F334)</f>
        <v>-</v>
      </c>
      <c r="G334" s="77" t="str">
        <f t="shared" si="19"/>
        <v>-</v>
      </c>
      <c r="H334" s="77">
        <f>SUMIFS(期初库存!G:G,期初库存!C:C,C334)+SUMIFS('采购录入（明细）'!I:I,'采购录入（明细）'!E:E,C334)-SUMIFS('领用录入（明细）'!I:I,'领用录入（明细）'!F:F,C334)</f>
        <v>0</v>
      </c>
      <c r="J334" s="79" t="str">
        <f t="shared" si="20"/>
        <v>否</v>
      </c>
    </row>
    <row r="335" customHeight="1" spans="2:10">
      <c r="B335" s="74">
        <v>356</v>
      </c>
      <c r="C335" s="77" t="str">
        <f>IF('基础-办公用品信息'!C335="","-",'基础-办公用品信息'!C335)</f>
        <v>-</v>
      </c>
      <c r="D335" s="77" t="str">
        <f>IF('基础-办公用品信息'!D348="","-",'基础-办公用品信息'!D348)</f>
        <v>-</v>
      </c>
      <c r="E335" s="77" t="str">
        <f>IF('基础-办公用品信息'!E335="","-",'基础-办公用品信息'!E335)</f>
        <v>-</v>
      </c>
      <c r="F335" s="77" t="str">
        <f>IF('基础-办公用品信息'!F335="","-",'基础-办公用品信息'!F335)</f>
        <v>-</v>
      </c>
      <c r="G335" s="77" t="str">
        <f t="shared" si="19"/>
        <v>-</v>
      </c>
      <c r="H335" s="77">
        <f>SUMIFS(期初库存!G:G,期初库存!C:C,C335)+SUMIFS('采购录入（明细）'!I:I,'采购录入（明细）'!E:E,C335)-SUMIFS('领用录入（明细）'!I:I,'领用录入（明细）'!F:F,C335)</f>
        <v>0</v>
      </c>
      <c r="J335" s="79" t="str">
        <f t="shared" si="20"/>
        <v>否</v>
      </c>
    </row>
    <row r="336" customHeight="1" spans="2:10">
      <c r="B336" s="74">
        <v>357</v>
      </c>
      <c r="C336" s="77" t="str">
        <f>IF('基础-办公用品信息'!C336="","-",'基础-办公用品信息'!C336)</f>
        <v>-</v>
      </c>
      <c r="D336" s="77" t="str">
        <f>IF('基础-办公用品信息'!D349="","-",'基础-办公用品信息'!D349)</f>
        <v>-</v>
      </c>
      <c r="E336" s="77" t="str">
        <f>IF('基础-办公用品信息'!E336="","-",'基础-办公用品信息'!E336)</f>
        <v>-</v>
      </c>
      <c r="F336" s="77" t="str">
        <f>IF('基础-办公用品信息'!F336="","-",'基础-办公用品信息'!F336)</f>
        <v>-</v>
      </c>
      <c r="G336" s="77" t="str">
        <f t="shared" si="19"/>
        <v>-</v>
      </c>
      <c r="H336" s="77">
        <f>SUMIFS(期初库存!G:G,期初库存!C:C,C336)+SUMIFS('采购录入（明细）'!I:I,'采购录入（明细）'!E:E,C336)-SUMIFS('领用录入（明细）'!I:I,'领用录入（明细）'!F:F,C336)</f>
        <v>0</v>
      </c>
      <c r="J336" s="79" t="str">
        <f t="shared" si="20"/>
        <v>否</v>
      </c>
    </row>
    <row r="337" customHeight="1" spans="2:10">
      <c r="B337" s="74">
        <v>358</v>
      </c>
      <c r="C337" s="77" t="str">
        <f>IF('基础-办公用品信息'!C337="","-",'基础-办公用品信息'!C337)</f>
        <v>-</v>
      </c>
      <c r="D337" s="77" t="str">
        <f>IF('基础-办公用品信息'!D350="","-",'基础-办公用品信息'!D350)</f>
        <v>-</v>
      </c>
      <c r="E337" s="77" t="str">
        <f>IF('基础-办公用品信息'!E337="","-",'基础-办公用品信息'!E337)</f>
        <v>-</v>
      </c>
      <c r="F337" s="77" t="str">
        <f>IF('基础-办公用品信息'!F337="","-",'基础-办公用品信息'!F337)</f>
        <v>-</v>
      </c>
      <c r="G337" s="77" t="str">
        <f t="shared" si="19"/>
        <v>-</v>
      </c>
      <c r="H337" s="77">
        <f>SUMIFS(期初库存!G:G,期初库存!C:C,C337)+SUMIFS('采购录入（明细）'!I:I,'采购录入（明细）'!E:E,C337)-SUMIFS('领用录入（明细）'!I:I,'领用录入（明细）'!F:F,C337)</f>
        <v>0</v>
      </c>
      <c r="J337" s="79" t="str">
        <f t="shared" si="20"/>
        <v>否</v>
      </c>
    </row>
    <row r="338" customHeight="1" spans="2:10">
      <c r="B338" s="74">
        <v>359</v>
      </c>
      <c r="C338" s="77" t="str">
        <f>IF('基础-办公用品信息'!C338="","-",'基础-办公用品信息'!C338)</f>
        <v>-</v>
      </c>
      <c r="D338" s="77" t="str">
        <f>IF('基础-办公用品信息'!D351="","-",'基础-办公用品信息'!D351)</f>
        <v>-</v>
      </c>
      <c r="E338" s="77" t="str">
        <f>IF('基础-办公用品信息'!E338="","-",'基础-办公用品信息'!E338)</f>
        <v>-</v>
      </c>
      <c r="F338" s="77" t="str">
        <f>IF('基础-办公用品信息'!F338="","-",'基础-办公用品信息'!F338)</f>
        <v>-</v>
      </c>
      <c r="G338" s="77" t="str">
        <f t="shared" si="19"/>
        <v>-</v>
      </c>
      <c r="H338" s="77">
        <f>SUMIFS(期初库存!G:G,期初库存!C:C,C338)+SUMIFS('采购录入（明细）'!I:I,'采购录入（明细）'!E:E,C338)-SUMIFS('领用录入（明细）'!I:I,'领用录入（明细）'!F:F,C338)</f>
        <v>0</v>
      </c>
      <c r="J338" s="79" t="str">
        <f t="shared" si="20"/>
        <v>否</v>
      </c>
    </row>
    <row r="339" customHeight="1" spans="2:10">
      <c r="B339" s="74">
        <v>360</v>
      </c>
      <c r="C339" s="77" t="str">
        <f>IF('基础-办公用品信息'!C339="","-",'基础-办公用品信息'!C339)</f>
        <v>-</v>
      </c>
      <c r="D339" s="77" t="str">
        <f>IF('基础-办公用品信息'!D352="","-",'基础-办公用品信息'!D352)</f>
        <v>-</v>
      </c>
      <c r="E339" s="77" t="str">
        <f>IF('基础-办公用品信息'!E339="","-",'基础-办公用品信息'!E339)</f>
        <v>-</v>
      </c>
      <c r="F339" s="77" t="str">
        <f>IF('基础-办公用品信息'!F339="","-",'基础-办公用品信息'!F339)</f>
        <v>-</v>
      </c>
      <c r="G339" s="77" t="str">
        <f t="shared" si="19"/>
        <v>-</v>
      </c>
      <c r="H339" s="77">
        <f>SUMIFS(期初库存!G:G,期初库存!C:C,C339)+SUMIFS('采购录入（明细）'!I:I,'采购录入（明细）'!E:E,C339)-SUMIFS('领用录入（明细）'!I:I,'领用录入（明细）'!F:F,C339)</f>
        <v>0</v>
      </c>
      <c r="J339" s="79" t="str">
        <f t="shared" si="20"/>
        <v>否</v>
      </c>
    </row>
    <row r="340" customHeight="1" spans="2:10">
      <c r="B340" s="74">
        <v>361</v>
      </c>
      <c r="C340" s="77" t="str">
        <f>IF('基础-办公用品信息'!C340="","-",'基础-办公用品信息'!C340)</f>
        <v>-</v>
      </c>
      <c r="D340" s="77" t="str">
        <f>IF('基础-办公用品信息'!D353="","-",'基础-办公用品信息'!D353)</f>
        <v>-</v>
      </c>
      <c r="E340" s="77" t="str">
        <f>IF('基础-办公用品信息'!E340="","-",'基础-办公用品信息'!E340)</f>
        <v>-</v>
      </c>
      <c r="F340" s="77" t="str">
        <f>IF('基础-办公用品信息'!F340="","-",'基础-办公用品信息'!F340)</f>
        <v>-</v>
      </c>
      <c r="G340" s="77" t="str">
        <f t="shared" si="19"/>
        <v>-</v>
      </c>
      <c r="H340" s="77">
        <f>SUMIFS(期初库存!G:G,期初库存!C:C,C340)+SUMIFS('采购录入（明细）'!I:I,'采购录入（明细）'!E:E,C340)-SUMIFS('领用录入（明细）'!I:I,'领用录入（明细）'!F:F,C340)</f>
        <v>0</v>
      </c>
      <c r="J340" s="79" t="str">
        <f t="shared" si="20"/>
        <v>否</v>
      </c>
    </row>
    <row r="341" customHeight="1" spans="2:10">
      <c r="B341" s="74">
        <v>362</v>
      </c>
      <c r="C341" s="77" t="str">
        <f>IF('基础-办公用品信息'!C341="","-",'基础-办公用品信息'!C341)</f>
        <v>-</v>
      </c>
      <c r="D341" s="77" t="str">
        <f>IF('基础-办公用品信息'!D354="","-",'基础-办公用品信息'!D354)</f>
        <v>-</v>
      </c>
      <c r="E341" s="77" t="str">
        <f>IF('基础-办公用品信息'!E341="","-",'基础-办公用品信息'!E341)</f>
        <v>-</v>
      </c>
      <c r="F341" s="77" t="str">
        <f>IF('基础-办公用品信息'!F341="","-",'基础-办公用品信息'!F341)</f>
        <v>-</v>
      </c>
      <c r="G341" s="77" t="str">
        <f t="shared" si="19"/>
        <v>-</v>
      </c>
      <c r="H341" s="77">
        <f>SUMIFS(期初库存!G:G,期初库存!C:C,C341)+SUMIFS('采购录入（明细）'!I:I,'采购录入（明细）'!E:E,C341)-SUMIFS('领用录入（明细）'!I:I,'领用录入（明细）'!F:F,C341)</f>
        <v>0</v>
      </c>
      <c r="J341" s="79" t="str">
        <f t="shared" si="20"/>
        <v>否</v>
      </c>
    </row>
    <row r="342" customHeight="1" spans="2:10">
      <c r="B342" s="74">
        <v>363</v>
      </c>
      <c r="C342" s="77" t="str">
        <f>IF('基础-办公用品信息'!C342="","-",'基础-办公用品信息'!C342)</f>
        <v>-</v>
      </c>
      <c r="D342" s="77" t="str">
        <f>IF('基础-办公用品信息'!D355="","-",'基础-办公用品信息'!D355)</f>
        <v>-</v>
      </c>
      <c r="E342" s="77" t="str">
        <f>IF('基础-办公用品信息'!E342="","-",'基础-办公用品信息'!E342)</f>
        <v>-</v>
      </c>
      <c r="F342" s="77" t="str">
        <f>IF('基础-办公用品信息'!F342="","-",'基础-办公用品信息'!F342)</f>
        <v>-</v>
      </c>
      <c r="G342" s="77" t="str">
        <f t="shared" si="19"/>
        <v>-</v>
      </c>
      <c r="H342" s="77">
        <f>SUMIFS(期初库存!G:G,期初库存!C:C,C342)+SUMIFS('采购录入（明细）'!I:I,'采购录入（明细）'!E:E,C342)-SUMIFS('领用录入（明细）'!I:I,'领用录入（明细）'!F:F,C342)</f>
        <v>0</v>
      </c>
      <c r="J342" s="79" t="str">
        <f t="shared" si="20"/>
        <v>否</v>
      </c>
    </row>
    <row r="343" customHeight="1" spans="2:10">
      <c r="B343" s="74">
        <v>364</v>
      </c>
      <c r="C343" s="77" t="str">
        <f>IF('基础-办公用品信息'!C343="","-",'基础-办公用品信息'!C343)</f>
        <v>-</v>
      </c>
      <c r="D343" s="77" t="str">
        <f>IF('基础-办公用品信息'!D356="","-",'基础-办公用品信息'!D356)</f>
        <v>-</v>
      </c>
      <c r="E343" s="77" t="str">
        <f>IF('基础-办公用品信息'!E343="","-",'基础-办公用品信息'!E343)</f>
        <v>-</v>
      </c>
      <c r="F343" s="77" t="str">
        <f>IF('基础-办公用品信息'!F343="","-",'基础-办公用品信息'!F343)</f>
        <v>-</v>
      </c>
      <c r="G343" s="77" t="str">
        <f t="shared" si="19"/>
        <v>-</v>
      </c>
      <c r="H343" s="77">
        <f>SUMIFS(期初库存!G:G,期初库存!C:C,C343)+SUMIFS('采购录入（明细）'!I:I,'采购录入（明细）'!E:E,C343)-SUMIFS('领用录入（明细）'!I:I,'领用录入（明细）'!F:F,C343)</f>
        <v>0</v>
      </c>
      <c r="J343" s="79" t="str">
        <f t="shared" si="20"/>
        <v>否</v>
      </c>
    </row>
    <row r="344" customHeight="1" spans="2:10">
      <c r="B344" s="74">
        <v>365</v>
      </c>
      <c r="C344" s="77" t="str">
        <f>IF('基础-办公用品信息'!C344="","-",'基础-办公用品信息'!C344)</f>
        <v>-</v>
      </c>
      <c r="D344" s="77" t="str">
        <f>IF('基础-办公用品信息'!D357="","-",'基础-办公用品信息'!D357)</f>
        <v>-</v>
      </c>
      <c r="E344" s="77" t="str">
        <f>IF('基础-办公用品信息'!E344="","-",'基础-办公用品信息'!E344)</f>
        <v>-</v>
      </c>
      <c r="F344" s="77" t="str">
        <f>IF('基础-办公用品信息'!F344="","-",'基础-办公用品信息'!F344)</f>
        <v>-</v>
      </c>
      <c r="G344" s="77" t="str">
        <f t="shared" si="19"/>
        <v>-</v>
      </c>
      <c r="H344" s="77">
        <f>SUMIFS(期初库存!G:G,期初库存!C:C,C344)+SUMIFS('采购录入（明细）'!I:I,'采购录入（明细）'!E:E,C344)-SUMIFS('领用录入（明细）'!I:I,'领用录入（明细）'!F:F,C344)</f>
        <v>0</v>
      </c>
      <c r="J344" s="79" t="str">
        <f t="shared" si="20"/>
        <v>否</v>
      </c>
    </row>
    <row r="345" customHeight="1" spans="2:10">
      <c r="B345" s="74">
        <v>366</v>
      </c>
      <c r="C345" s="77" t="str">
        <f>IF('基础-办公用品信息'!C345="","-",'基础-办公用品信息'!C345)</f>
        <v>-</v>
      </c>
      <c r="D345" s="77" t="str">
        <f>IF('基础-办公用品信息'!D358="","-",'基础-办公用品信息'!D358)</f>
        <v>-</v>
      </c>
      <c r="E345" s="77" t="str">
        <f>IF('基础-办公用品信息'!E345="","-",'基础-办公用品信息'!E345)</f>
        <v>-</v>
      </c>
      <c r="F345" s="77" t="str">
        <f>IF('基础-办公用品信息'!F345="","-",'基础-办公用品信息'!F345)</f>
        <v>-</v>
      </c>
      <c r="G345" s="77" t="str">
        <f t="shared" si="19"/>
        <v>-</v>
      </c>
      <c r="H345" s="77">
        <f>SUMIFS(期初库存!G:G,期初库存!C:C,C345)+SUMIFS('采购录入（明细）'!I:I,'采购录入（明细）'!E:E,C345)-SUMIFS('领用录入（明细）'!I:I,'领用录入（明细）'!F:F,C345)</f>
        <v>0</v>
      </c>
      <c r="J345" s="79" t="str">
        <f t="shared" si="20"/>
        <v>否</v>
      </c>
    </row>
    <row r="346" customHeight="1" spans="2:10">
      <c r="B346" s="74">
        <v>367</v>
      </c>
      <c r="C346" s="77" t="str">
        <f>IF('基础-办公用品信息'!C346="","-",'基础-办公用品信息'!C346)</f>
        <v>-</v>
      </c>
      <c r="D346" s="77" t="str">
        <f>IF('基础-办公用品信息'!D359="","-",'基础-办公用品信息'!D359)</f>
        <v>-</v>
      </c>
      <c r="E346" s="77" t="str">
        <f>IF('基础-办公用品信息'!E346="","-",'基础-办公用品信息'!E346)</f>
        <v>-</v>
      </c>
      <c r="F346" s="77" t="str">
        <f>IF('基础-办公用品信息'!F346="","-",'基础-办公用品信息'!F346)</f>
        <v>-</v>
      </c>
      <c r="G346" s="77" t="str">
        <f t="shared" si="19"/>
        <v>-</v>
      </c>
      <c r="H346" s="77">
        <f>SUMIFS(期初库存!G:G,期初库存!C:C,C346)+SUMIFS('采购录入（明细）'!I:I,'采购录入（明细）'!E:E,C346)-SUMIFS('领用录入（明细）'!I:I,'领用录入（明细）'!F:F,C346)</f>
        <v>0</v>
      </c>
      <c r="J346" s="79" t="str">
        <f t="shared" si="20"/>
        <v>否</v>
      </c>
    </row>
    <row r="347" customHeight="1" spans="2:10">
      <c r="B347" s="74">
        <v>368</v>
      </c>
      <c r="C347" s="77" t="str">
        <f>IF('基础-办公用品信息'!C347="","-",'基础-办公用品信息'!C347)</f>
        <v>-</v>
      </c>
      <c r="D347" s="77" t="str">
        <f>IF('基础-办公用品信息'!D360="","-",'基础-办公用品信息'!D360)</f>
        <v>-</v>
      </c>
      <c r="E347" s="77" t="str">
        <f>IF('基础-办公用品信息'!E347="","-",'基础-办公用品信息'!E347)</f>
        <v>-</v>
      </c>
      <c r="F347" s="77" t="str">
        <f>IF('基础-办公用品信息'!F347="","-",'基础-办公用品信息'!F347)</f>
        <v>-</v>
      </c>
      <c r="G347" s="77" t="str">
        <f t="shared" si="19"/>
        <v>-</v>
      </c>
      <c r="H347" s="77">
        <f>SUMIFS(期初库存!G:G,期初库存!C:C,C347)+SUMIFS('采购录入（明细）'!I:I,'采购录入（明细）'!E:E,C347)-SUMIFS('领用录入（明细）'!I:I,'领用录入（明细）'!F:F,C347)</f>
        <v>0</v>
      </c>
      <c r="J347" s="79" t="str">
        <f t="shared" si="20"/>
        <v>否</v>
      </c>
    </row>
    <row r="348" customHeight="1" spans="2:10">
      <c r="B348" s="74">
        <v>369</v>
      </c>
      <c r="C348" s="77" t="str">
        <f>IF('基础-办公用品信息'!C348="","-",'基础-办公用品信息'!C348)</f>
        <v>-</v>
      </c>
      <c r="D348" s="77" t="str">
        <f>IF('基础-办公用品信息'!D361="","-",'基础-办公用品信息'!D361)</f>
        <v>-</v>
      </c>
      <c r="E348" s="77" t="str">
        <f>IF('基础-办公用品信息'!E348="","-",'基础-办公用品信息'!E348)</f>
        <v>-</v>
      </c>
      <c r="F348" s="77" t="str">
        <f>IF('基础-办公用品信息'!F348="","-",'基础-办公用品信息'!F348)</f>
        <v>-</v>
      </c>
      <c r="G348" s="77" t="str">
        <f t="shared" si="19"/>
        <v>-</v>
      </c>
      <c r="H348" s="77">
        <f>SUMIFS(期初库存!G:G,期初库存!C:C,C348)+SUMIFS('采购录入（明细）'!I:I,'采购录入（明细）'!E:E,C348)-SUMIFS('领用录入（明细）'!I:I,'领用录入（明细）'!F:F,C348)</f>
        <v>0</v>
      </c>
      <c r="J348" s="79" t="str">
        <f t="shared" si="20"/>
        <v>否</v>
      </c>
    </row>
    <row r="349" customHeight="1" spans="2:10">
      <c r="B349" s="74">
        <v>370</v>
      </c>
      <c r="C349" s="77" t="str">
        <f>IF('基础-办公用品信息'!C349="","-",'基础-办公用品信息'!C349)</f>
        <v>-</v>
      </c>
      <c r="D349" s="77" t="str">
        <f>IF('基础-办公用品信息'!D362="","-",'基础-办公用品信息'!D362)</f>
        <v>-</v>
      </c>
      <c r="E349" s="77" t="str">
        <f>IF('基础-办公用品信息'!E349="","-",'基础-办公用品信息'!E349)</f>
        <v>-</v>
      </c>
      <c r="F349" s="77" t="str">
        <f>IF('基础-办公用品信息'!F349="","-",'基础-办公用品信息'!F349)</f>
        <v>-</v>
      </c>
      <c r="G349" s="77" t="str">
        <f t="shared" si="19"/>
        <v>-</v>
      </c>
      <c r="H349" s="77">
        <f>SUMIFS(期初库存!G:G,期初库存!C:C,C349)+SUMIFS('采购录入（明细）'!I:I,'采购录入（明细）'!E:E,C349)-SUMIFS('领用录入（明细）'!I:I,'领用录入（明细）'!F:F,C349)</f>
        <v>0</v>
      </c>
      <c r="J349" s="79" t="str">
        <f t="shared" si="20"/>
        <v>否</v>
      </c>
    </row>
    <row r="350" customHeight="1" spans="2:10">
      <c r="B350" s="74">
        <v>371</v>
      </c>
      <c r="C350" s="77" t="str">
        <f>IF('基础-办公用品信息'!C350="","-",'基础-办公用品信息'!C350)</f>
        <v>-</v>
      </c>
      <c r="D350" s="77" t="str">
        <f>IF('基础-办公用品信息'!D363="","-",'基础-办公用品信息'!D363)</f>
        <v>-</v>
      </c>
      <c r="E350" s="77" t="str">
        <f>IF('基础-办公用品信息'!E350="","-",'基础-办公用品信息'!E350)</f>
        <v>-</v>
      </c>
      <c r="F350" s="77" t="str">
        <f>IF('基础-办公用品信息'!F350="","-",'基础-办公用品信息'!F350)</f>
        <v>-</v>
      </c>
      <c r="G350" s="77" t="str">
        <f t="shared" si="19"/>
        <v>-</v>
      </c>
      <c r="H350" s="77">
        <f>SUMIFS(期初库存!G:G,期初库存!C:C,C350)+SUMIFS('采购录入（明细）'!I:I,'采购录入（明细）'!E:E,C350)-SUMIFS('领用录入（明细）'!I:I,'领用录入（明细）'!F:F,C350)</f>
        <v>0</v>
      </c>
      <c r="J350" s="79" t="str">
        <f t="shared" si="20"/>
        <v>否</v>
      </c>
    </row>
    <row r="351" customHeight="1" spans="2:10">
      <c r="B351" s="74">
        <v>372</v>
      </c>
      <c r="C351" s="77" t="str">
        <f>IF('基础-办公用品信息'!C351="","-",'基础-办公用品信息'!C351)</f>
        <v>-</v>
      </c>
      <c r="D351" s="77" t="str">
        <f>IF('基础-办公用品信息'!D364="","-",'基础-办公用品信息'!D364)</f>
        <v>-</v>
      </c>
      <c r="E351" s="77" t="str">
        <f>IF('基础-办公用品信息'!E351="","-",'基础-办公用品信息'!E351)</f>
        <v>-</v>
      </c>
      <c r="F351" s="77" t="str">
        <f>IF('基础-办公用品信息'!F351="","-",'基础-办公用品信息'!F351)</f>
        <v>-</v>
      </c>
      <c r="G351" s="77" t="str">
        <f t="shared" si="19"/>
        <v>-</v>
      </c>
      <c r="H351" s="77">
        <f>SUMIFS(期初库存!G:G,期初库存!C:C,C351)+SUMIFS('采购录入（明细）'!I:I,'采购录入（明细）'!E:E,C351)-SUMIFS('领用录入（明细）'!I:I,'领用录入（明细）'!F:F,C351)</f>
        <v>0</v>
      </c>
      <c r="J351" s="79" t="str">
        <f t="shared" si="20"/>
        <v>否</v>
      </c>
    </row>
    <row r="352" customHeight="1" spans="2:10">
      <c r="B352" s="74">
        <v>373</v>
      </c>
      <c r="C352" s="77" t="str">
        <f>IF('基础-办公用品信息'!C352="","-",'基础-办公用品信息'!C352)</f>
        <v>-</v>
      </c>
      <c r="D352" s="77" t="str">
        <f>IF('基础-办公用品信息'!D365="","-",'基础-办公用品信息'!D365)</f>
        <v>-</v>
      </c>
      <c r="E352" s="77" t="str">
        <f>IF('基础-办公用品信息'!E352="","-",'基础-办公用品信息'!E352)</f>
        <v>-</v>
      </c>
      <c r="F352" s="77" t="str">
        <f>IF('基础-办公用品信息'!F352="","-",'基础-办公用品信息'!F352)</f>
        <v>-</v>
      </c>
      <c r="G352" s="77" t="str">
        <f t="shared" si="19"/>
        <v>-</v>
      </c>
      <c r="H352" s="77">
        <f>SUMIFS(期初库存!G:G,期初库存!C:C,C352)+SUMIFS('采购录入（明细）'!I:I,'采购录入（明细）'!E:E,C352)-SUMIFS('领用录入（明细）'!I:I,'领用录入（明细）'!F:F,C352)</f>
        <v>0</v>
      </c>
      <c r="J352" s="79" t="str">
        <f t="shared" si="20"/>
        <v>否</v>
      </c>
    </row>
    <row r="353" customHeight="1" spans="2:10">
      <c r="B353" s="74">
        <v>374</v>
      </c>
      <c r="C353" s="77" t="str">
        <f>IF('基础-办公用品信息'!C353="","-",'基础-办公用品信息'!C353)</f>
        <v>-</v>
      </c>
      <c r="D353" s="77" t="str">
        <f>IF('基础-办公用品信息'!D366="","-",'基础-办公用品信息'!D366)</f>
        <v>-</v>
      </c>
      <c r="E353" s="77" t="str">
        <f>IF('基础-办公用品信息'!E353="","-",'基础-办公用品信息'!E353)</f>
        <v>-</v>
      </c>
      <c r="F353" s="77" t="str">
        <f>IF('基础-办公用品信息'!F353="","-",'基础-办公用品信息'!F353)</f>
        <v>-</v>
      </c>
      <c r="G353" s="77" t="str">
        <f t="shared" si="19"/>
        <v>-</v>
      </c>
      <c r="H353" s="77">
        <f>SUMIFS(期初库存!G:G,期初库存!C:C,C353)+SUMIFS('采购录入（明细）'!I:I,'采购录入（明细）'!E:E,C353)-SUMIFS('领用录入（明细）'!I:I,'领用录入（明细）'!F:F,C353)</f>
        <v>0</v>
      </c>
      <c r="J353" s="79" t="str">
        <f t="shared" si="20"/>
        <v>否</v>
      </c>
    </row>
    <row r="354" customHeight="1" spans="2:10">
      <c r="B354" s="74">
        <v>375</v>
      </c>
      <c r="C354" s="77" t="str">
        <f>IF('基础-办公用品信息'!C354="","-",'基础-办公用品信息'!C354)</f>
        <v>-</v>
      </c>
      <c r="D354" s="77" t="str">
        <f>IF('基础-办公用品信息'!D367="","-",'基础-办公用品信息'!D367)</f>
        <v>-</v>
      </c>
      <c r="E354" s="77" t="str">
        <f>IF('基础-办公用品信息'!E354="","-",'基础-办公用品信息'!E354)</f>
        <v>-</v>
      </c>
      <c r="F354" s="77" t="str">
        <f>IF('基础-办公用品信息'!F354="","-",'基础-办公用品信息'!F354)</f>
        <v>-</v>
      </c>
      <c r="G354" s="77" t="str">
        <f t="shared" si="19"/>
        <v>-</v>
      </c>
      <c r="H354" s="77">
        <f>SUMIFS(期初库存!G:G,期初库存!C:C,C354)+SUMIFS('采购录入（明细）'!I:I,'采购录入（明细）'!E:E,C354)-SUMIFS('领用录入（明细）'!I:I,'领用录入（明细）'!F:F,C354)</f>
        <v>0</v>
      </c>
      <c r="J354" s="79" t="str">
        <f t="shared" si="20"/>
        <v>否</v>
      </c>
    </row>
    <row r="355" customHeight="1" spans="2:10">
      <c r="B355" s="74">
        <v>376</v>
      </c>
      <c r="C355" s="77" t="str">
        <f>IF('基础-办公用品信息'!C355="","-",'基础-办公用品信息'!C355)</f>
        <v>-</v>
      </c>
      <c r="D355" s="77" t="str">
        <f>IF('基础-办公用品信息'!D368="","-",'基础-办公用品信息'!D368)</f>
        <v>-</v>
      </c>
      <c r="E355" s="77" t="str">
        <f>IF('基础-办公用品信息'!E355="","-",'基础-办公用品信息'!E355)</f>
        <v>-</v>
      </c>
      <c r="F355" s="77" t="str">
        <f>IF('基础-办公用品信息'!F355="","-",'基础-办公用品信息'!F355)</f>
        <v>-</v>
      </c>
      <c r="G355" s="77" t="str">
        <f t="shared" si="19"/>
        <v>-</v>
      </c>
      <c r="H355" s="77">
        <f>SUMIFS(期初库存!G:G,期初库存!C:C,C355)+SUMIFS('采购录入（明细）'!I:I,'采购录入（明细）'!E:E,C355)-SUMIFS('领用录入（明细）'!I:I,'领用录入（明细）'!F:F,C355)</f>
        <v>0</v>
      </c>
      <c r="J355" s="79" t="str">
        <f t="shared" si="20"/>
        <v>否</v>
      </c>
    </row>
    <row r="356" customHeight="1" spans="2:10">
      <c r="B356" s="74">
        <v>377</v>
      </c>
      <c r="C356" s="77" t="str">
        <f>IF('基础-办公用品信息'!C356="","-",'基础-办公用品信息'!C356)</f>
        <v>-</v>
      </c>
      <c r="D356" s="77" t="str">
        <f>IF('基础-办公用品信息'!D369="","-",'基础-办公用品信息'!D369)</f>
        <v>-</v>
      </c>
      <c r="E356" s="77" t="str">
        <f>IF('基础-办公用品信息'!E356="","-",'基础-办公用品信息'!E356)</f>
        <v>-</v>
      </c>
      <c r="F356" s="77" t="str">
        <f>IF('基础-办公用品信息'!F356="","-",'基础-办公用品信息'!F356)</f>
        <v>-</v>
      </c>
      <c r="G356" s="77" t="str">
        <f t="shared" si="19"/>
        <v>-</v>
      </c>
      <c r="H356" s="77">
        <f>SUMIFS(期初库存!G:G,期初库存!C:C,C356)+SUMIFS('采购录入（明细）'!I:I,'采购录入（明细）'!E:E,C356)-SUMIFS('领用录入（明细）'!I:I,'领用录入（明细）'!F:F,C356)</f>
        <v>0</v>
      </c>
      <c r="J356" s="79" t="str">
        <f t="shared" si="20"/>
        <v>否</v>
      </c>
    </row>
    <row r="357" customHeight="1" spans="2:10">
      <c r="B357" s="74">
        <v>378</v>
      </c>
      <c r="C357" s="77" t="str">
        <f>IF('基础-办公用品信息'!C357="","-",'基础-办公用品信息'!C357)</f>
        <v>-</v>
      </c>
      <c r="D357" s="77" t="str">
        <f>IF('基础-办公用品信息'!D370="","-",'基础-办公用品信息'!D370)</f>
        <v>-</v>
      </c>
      <c r="E357" s="77" t="str">
        <f>IF('基础-办公用品信息'!E357="","-",'基础-办公用品信息'!E357)</f>
        <v>-</v>
      </c>
      <c r="F357" s="77" t="str">
        <f>IF('基础-办公用品信息'!F357="","-",'基础-办公用品信息'!F357)</f>
        <v>-</v>
      </c>
      <c r="G357" s="77" t="str">
        <f t="shared" si="19"/>
        <v>-</v>
      </c>
      <c r="H357" s="77">
        <f>SUMIFS(期初库存!G:G,期初库存!C:C,C357)+SUMIFS('采购录入（明细）'!I:I,'采购录入（明细）'!E:E,C357)-SUMIFS('领用录入（明细）'!I:I,'领用录入（明细）'!F:F,C357)</f>
        <v>0</v>
      </c>
      <c r="J357" s="79" t="str">
        <f t="shared" si="20"/>
        <v>否</v>
      </c>
    </row>
    <row r="358" customHeight="1" spans="2:10">
      <c r="B358" s="74">
        <v>379</v>
      </c>
      <c r="C358" s="77" t="str">
        <f>IF('基础-办公用品信息'!C358="","-",'基础-办公用品信息'!C358)</f>
        <v>-</v>
      </c>
      <c r="D358" s="77" t="str">
        <f>IF('基础-办公用品信息'!D371="","-",'基础-办公用品信息'!D371)</f>
        <v>-</v>
      </c>
      <c r="E358" s="77" t="str">
        <f>IF('基础-办公用品信息'!E358="","-",'基础-办公用品信息'!E358)</f>
        <v>-</v>
      </c>
      <c r="F358" s="77" t="str">
        <f>IF('基础-办公用品信息'!F358="","-",'基础-办公用品信息'!F358)</f>
        <v>-</v>
      </c>
      <c r="G358" s="77" t="str">
        <f t="shared" si="19"/>
        <v>-</v>
      </c>
      <c r="H358" s="77">
        <f>SUMIFS(期初库存!G:G,期初库存!C:C,C358)+SUMIFS('采购录入（明细）'!I:I,'采购录入（明细）'!E:E,C358)-SUMIFS('领用录入（明细）'!I:I,'领用录入（明细）'!F:F,C358)</f>
        <v>0</v>
      </c>
      <c r="J358" s="79" t="str">
        <f t="shared" si="20"/>
        <v>否</v>
      </c>
    </row>
    <row r="359" customHeight="1" spans="2:10">
      <c r="B359" s="74">
        <v>380</v>
      </c>
      <c r="C359" s="77" t="str">
        <f>IF('基础-办公用品信息'!C359="","-",'基础-办公用品信息'!C359)</f>
        <v>-</v>
      </c>
      <c r="D359" s="77" t="str">
        <f>IF('基础-办公用品信息'!D372="","-",'基础-办公用品信息'!D372)</f>
        <v>-</v>
      </c>
      <c r="E359" s="77" t="str">
        <f>IF('基础-办公用品信息'!E359="","-",'基础-办公用品信息'!E359)</f>
        <v>-</v>
      </c>
      <c r="F359" s="77" t="str">
        <f>IF('基础-办公用品信息'!F359="","-",'基础-办公用品信息'!F359)</f>
        <v>-</v>
      </c>
      <c r="G359" s="77" t="str">
        <f t="shared" si="19"/>
        <v>-</v>
      </c>
      <c r="H359" s="77">
        <f>SUMIFS(期初库存!G:G,期初库存!C:C,C359)+SUMIFS('采购录入（明细）'!I:I,'采购录入（明细）'!E:E,C359)-SUMIFS('领用录入（明细）'!I:I,'领用录入（明细）'!F:F,C359)</f>
        <v>0</v>
      </c>
      <c r="J359" s="79" t="str">
        <f t="shared" si="20"/>
        <v>否</v>
      </c>
    </row>
    <row r="360" customHeight="1" spans="2:10">
      <c r="B360" s="74">
        <v>381</v>
      </c>
      <c r="C360" s="77" t="str">
        <f>IF('基础-办公用品信息'!C360="","-",'基础-办公用品信息'!C360)</f>
        <v>-</v>
      </c>
      <c r="D360" s="77" t="str">
        <f>IF('基础-办公用品信息'!D373="","-",'基础-办公用品信息'!D373)</f>
        <v>-</v>
      </c>
      <c r="E360" s="77" t="str">
        <f>IF('基础-办公用品信息'!E360="","-",'基础-办公用品信息'!E360)</f>
        <v>-</v>
      </c>
      <c r="F360" s="77" t="str">
        <f>IF('基础-办公用品信息'!F360="","-",'基础-办公用品信息'!F360)</f>
        <v>-</v>
      </c>
      <c r="G360" s="77" t="str">
        <f t="shared" si="19"/>
        <v>-</v>
      </c>
      <c r="H360" s="77">
        <f>SUMIFS(期初库存!G:G,期初库存!C:C,C360)+SUMIFS('采购录入（明细）'!I:I,'采购录入（明细）'!E:E,C360)-SUMIFS('领用录入（明细）'!I:I,'领用录入（明细）'!F:F,C360)</f>
        <v>0</v>
      </c>
      <c r="J360" s="79" t="str">
        <f t="shared" si="20"/>
        <v>否</v>
      </c>
    </row>
    <row r="361" customHeight="1" spans="2:10">
      <c r="B361" s="74">
        <v>382</v>
      </c>
      <c r="C361" s="77" t="str">
        <f>IF('基础-办公用品信息'!C361="","-",'基础-办公用品信息'!C361)</f>
        <v>-</v>
      </c>
      <c r="D361" s="77" t="str">
        <f>IF('基础-办公用品信息'!D374="","-",'基础-办公用品信息'!D374)</f>
        <v>-</v>
      </c>
      <c r="E361" s="77" t="str">
        <f>IF('基础-办公用品信息'!E361="","-",'基础-办公用品信息'!E361)</f>
        <v>-</v>
      </c>
      <c r="F361" s="77" t="str">
        <f>IF('基础-办公用品信息'!F361="","-",'基础-办公用品信息'!F361)</f>
        <v>-</v>
      </c>
      <c r="G361" s="77" t="str">
        <f t="shared" si="19"/>
        <v>-</v>
      </c>
      <c r="H361" s="77">
        <f>SUMIFS(期初库存!G:G,期初库存!C:C,C361)+SUMIFS('采购录入（明细）'!I:I,'采购录入（明细）'!E:E,C361)-SUMIFS('领用录入（明细）'!I:I,'领用录入（明细）'!F:F,C361)</f>
        <v>0</v>
      </c>
      <c r="J361" s="79" t="str">
        <f t="shared" si="20"/>
        <v>否</v>
      </c>
    </row>
    <row r="362" customHeight="1" spans="2:10">
      <c r="B362" s="74">
        <v>383</v>
      </c>
      <c r="C362" s="77" t="str">
        <f>IF('基础-办公用品信息'!C362="","-",'基础-办公用品信息'!C362)</f>
        <v>-</v>
      </c>
      <c r="D362" s="77" t="str">
        <f>IF('基础-办公用品信息'!D375="","-",'基础-办公用品信息'!D375)</f>
        <v>-</v>
      </c>
      <c r="E362" s="77" t="str">
        <f>IF('基础-办公用品信息'!E362="","-",'基础-办公用品信息'!E362)</f>
        <v>-</v>
      </c>
      <c r="F362" s="77" t="str">
        <f>IF('基础-办公用品信息'!F362="","-",'基础-办公用品信息'!F362)</f>
        <v>-</v>
      </c>
      <c r="G362" s="77" t="str">
        <f t="shared" si="19"/>
        <v>-</v>
      </c>
      <c r="H362" s="77">
        <f>SUMIFS(期初库存!G:G,期初库存!C:C,C362)+SUMIFS('采购录入（明细）'!I:I,'采购录入（明细）'!E:E,C362)-SUMIFS('领用录入（明细）'!I:I,'领用录入（明细）'!F:F,C362)</f>
        <v>0</v>
      </c>
      <c r="J362" s="79" t="str">
        <f t="shared" si="20"/>
        <v>否</v>
      </c>
    </row>
    <row r="363" customHeight="1" spans="2:10">
      <c r="B363" s="74">
        <v>384</v>
      </c>
      <c r="C363" s="77" t="str">
        <f>IF('基础-办公用品信息'!C363="","-",'基础-办公用品信息'!C363)</f>
        <v>-</v>
      </c>
      <c r="D363" s="77" t="str">
        <f>IF('基础-办公用品信息'!D376="","-",'基础-办公用品信息'!D376)</f>
        <v>-</v>
      </c>
      <c r="E363" s="77" t="str">
        <f>IF('基础-办公用品信息'!E363="","-",'基础-办公用品信息'!E363)</f>
        <v>-</v>
      </c>
      <c r="F363" s="77" t="str">
        <f>IF('基础-办公用品信息'!F363="","-",'基础-办公用品信息'!F363)</f>
        <v>-</v>
      </c>
      <c r="G363" s="77" t="str">
        <f t="shared" si="19"/>
        <v>-</v>
      </c>
      <c r="H363" s="77">
        <f>SUMIFS(期初库存!G:G,期初库存!C:C,C363)+SUMIFS('采购录入（明细）'!I:I,'采购录入（明细）'!E:E,C363)-SUMIFS('领用录入（明细）'!I:I,'领用录入（明细）'!F:F,C363)</f>
        <v>0</v>
      </c>
      <c r="J363" s="79" t="str">
        <f t="shared" si="20"/>
        <v>否</v>
      </c>
    </row>
    <row r="364" customHeight="1" spans="2:10">
      <c r="B364" s="74">
        <v>385</v>
      </c>
      <c r="C364" s="77" t="str">
        <f>IF('基础-办公用品信息'!C364="","-",'基础-办公用品信息'!C364)</f>
        <v>-</v>
      </c>
      <c r="D364" s="77" t="str">
        <f>IF('基础-办公用品信息'!D377="","-",'基础-办公用品信息'!D377)</f>
        <v>-</v>
      </c>
      <c r="E364" s="77" t="str">
        <f>IF('基础-办公用品信息'!E364="","-",'基础-办公用品信息'!E364)</f>
        <v>-</v>
      </c>
      <c r="F364" s="77" t="str">
        <f>IF('基础-办公用品信息'!F364="","-",'基础-办公用品信息'!F364)</f>
        <v>-</v>
      </c>
      <c r="G364" s="77" t="str">
        <f t="shared" si="19"/>
        <v>-</v>
      </c>
      <c r="H364" s="77">
        <f>SUMIFS(期初库存!G:G,期初库存!C:C,C364)+SUMIFS('采购录入（明细）'!I:I,'采购录入（明细）'!E:E,C364)-SUMIFS('领用录入（明细）'!I:I,'领用录入（明细）'!F:F,C364)</f>
        <v>0</v>
      </c>
      <c r="J364" s="79" t="str">
        <f t="shared" si="20"/>
        <v>否</v>
      </c>
    </row>
    <row r="365" customHeight="1" spans="2:10">
      <c r="B365" s="74">
        <v>386</v>
      </c>
      <c r="C365" s="77" t="str">
        <f>IF('基础-办公用品信息'!C365="","-",'基础-办公用品信息'!C365)</f>
        <v>-</v>
      </c>
      <c r="D365" s="77" t="str">
        <f>IF('基础-办公用品信息'!D378="","-",'基础-办公用品信息'!D378)</f>
        <v>-</v>
      </c>
      <c r="E365" s="77" t="str">
        <f>IF('基础-办公用品信息'!E365="","-",'基础-办公用品信息'!E365)</f>
        <v>-</v>
      </c>
      <c r="F365" s="77" t="str">
        <f>IF('基础-办公用品信息'!F365="","-",'基础-办公用品信息'!F365)</f>
        <v>-</v>
      </c>
      <c r="G365" s="77" t="str">
        <f t="shared" si="19"/>
        <v>-</v>
      </c>
      <c r="H365" s="77">
        <f>SUMIFS(期初库存!G:G,期初库存!C:C,C365)+SUMIFS('采购录入（明细）'!I:I,'采购录入（明细）'!E:E,C365)-SUMIFS('领用录入（明细）'!I:I,'领用录入（明细）'!F:F,C365)</f>
        <v>0</v>
      </c>
      <c r="J365" s="79" t="str">
        <f t="shared" si="20"/>
        <v>否</v>
      </c>
    </row>
    <row r="366" customHeight="1" spans="2:10">
      <c r="B366" s="74">
        <v>387</v>
      </c>
      <c r="C366" s="77" t="str">
        <f>IF('基础-办公用品信息'!C366="","-",'基础-办公用品信息'!C366)</f>
        <v>-</v>
      </c>
      <c r="D366" s="77" t="str">
        <f>IF('基础-办公用品信息'!D379="","-",'基础-办公用品信息'!D379)</f>
        <v>-</v>
      </c>
      <c r="E366" s="77" t="str">
        <f>IF('基础-办公用品信息'!E366="","-",'基础-办公用品信息'!E366)</f>
        <v>-</v>
      </c>
      <c r="F366" s="77" t="str">
        <f>IF('基础-办公用品信息'!F366="","-",'基础-办公用品信息'!F366)</f>
        <v>-</v>
      </c>
      <c r="G366" s="77" t="str">
        <f t="shared" si="19"/>
        <v>-</v>
      </c>
      <c r="H366" s="77">
        <f>SUMIFS(期初库存!G:G,期初库存!C:C,C366)+SUMIFS('采购录入（明细）'!I:I,'采购录入（明细）'!E:E,C366)-SUMIFS('领用录入（明细）'!I:I,'领用录入（明细）'!F:F,C366)</f>
        <v>0</v>
      </c>
      <c r="J366" s="79" t="str">
        <f t="shared" si="20"/>
        <v>否</v>
      </c>
    </row>
    <row r="367" customHeight="1" spans="2:10">
      <c r="B367" s="74">
        <v>388</v>
      </c>
      <c r="C367" s="77" t="str">
        <f>IF('基础-办公用品信息'!C367="","-",'基础-办公用品信息'!C367)</f>
        <v>-</v>
      </c>
      <c r="D367" s="77" t="str">
        <f>IF('基础-办公用品信息'!D380="","-",'基础-办公用品信息'!D380)</f>
        <v>-</v>
      </c>
      <c r="E367" s="77" t="str">
        <f>IF('基础-办公用品信息'!E367="","-",'基础-办公用品信息'!E367)</f>
        <v>-</v>
      </c>
      <c r="F367" s="77" t="str">
        <f>IF('基础-办公用品信息'!F367="","-",'基础-办公用品信息'!F367)</f>
        <v>-</v>
      </c>
      <c r="G367" s="77" t="str">
        <f t="shared" si="19"/>
        <v>-</v>
      </c>
      <c r="H367" s="77">
        <f>SUMIFS(期初库存!G:G,期初库存!C:C,C367)+SUMIFS('采购录入（明细）'!I:I,'采购录入（明细）'!E:E,C367)-SUMIFS('领用录入（明细）'!I:I,'领用录入（明细）'!F:F,C367)</f>
        <v>0</v>
      </c>
      <c r="J367" s="79" t="str">
        <f t="shared" si="20"/>
        <v>否</v>
      </c>
    </row>
    <row r="368" customHeight="1" spans="2:10">
      <c r="B368" s="74">
        <v>389</v>
      </c>
      <c r="C368" s="77" t="str">
        <f>IF('基础-办公用品信息'!C368="","-",'基础-办公用品信息'!C368)</f>
        <v>-</v>
      </c>
      <c r="D368" s="77" t="str">
        <f>IF('基础-办公用品信息'!D381="","-",'基础-办公用品信息'!D381)</f>
        <v>-</v>
      </c>
      <c r="E368" s="77" t="str">
        <f>IF('基础-办公用品信息'!E368="","-",'基础-办公用品信息'!E368)</f>
        <v>-</v>
      </c>
      <c r="F368" s="77" t="str">
        <f>IF('基础-办公用品信息'!F368="","-",'基础-办公用品信息'!F368)</f>
        <v>-</v>
      </c>
      <c r="G368" s="77" t="str">
        <f t="shared" si="19"/>
        <v>-</v>
      </c>
      <c r="H368" s="77">
        <f>SUMIFS(期初库存!G:G,期初库存!C:C,C368)+SUMIFS('采购录入（明细）'!I:I,'采购录入（明细）'!E:E,C368)-SUMIFS('领用录入（明细）'!I:I,'领用录入（明细）'!F:F,C368)</f>
        <v>0</v>
      </c>
      <c r="J368" s="79" t="str">
        <f t="shared" si="20"/>
        <v>否</v>
      </c>
    </row>
    <row r="369" customHeight="1" spans="2:10">
      <c r="B369" s="74">
        <v>390</v>
      </c>
      <c r="C369" s="77" t="str">
        <f>IF('基础-办公用品信息'!C369="","-",'基础-办公用品信息'!C369)</f>
        <v>-</v>
      </c>
      <c r="D369" s="77" t="str">
        <f>IF('基础-办公用品信息'!D382="","-",'基础-办公用品信息'!D382)</f>
        <v>-</v>
      </c>
      <c r="E369" s="77" t="str">
        <f>IF('基础-办公用品信息'!E369="","-",'基础-办公用品信息'!E369)</f>
        <v>-</v>
      </c>
      <c r="F369" s="77" t="str">
        <f>IF('基础-办公用品信息'!F369="","-",'基础-办公用品信息'!F369)</f>
        <v>-</v>
      </c>
      <c r="G369" s="77" t="str">
        <f t="shared" si="19"/>
        <v>-</v>
      </c>
      <c r="H369" s="77">
        <f>SUMIFS(期初库存!G:G,期初库存!C:C,C369)+SUMIFS('采购录入（明细）'!I:I,'采购录入（明细）'!E:E,C369)-SUMIFS('领用录入（明细）'!I:I,'领用录入（明细）'!F:F,C369)</f>
        <v>0</v>
      </c>
      <c r="J369" s="79" t="str">
        <f t="shared" si="20"/>
        <v>否</v>
      </c>
    </row>
    <row r="370" customHeight="1" spans="2:10">
      <c r="B370" s="74">
        <v>391</v>
      </c>
      <c r="C370" s="77" t="str">
        <f>IF('基础-办公用品信息'!C370="","-",'基础-办公用品信息'!C370)</f>
        <v>-</v>
      </c>
      <c r="D370" s="77" t="str">
        <f>IF('基础-办公用品信息'!D383="","-",'基础-办公用品信息'!D383)</f>
        <v>-</v>
      </c>
      <c r="E370" s="77" t="str">
        <f>IF('基础-办公用品信息'!E370="","-",'基础-办公用品信息'!E370)</f>
        <v>-</v>
      </c>
      <c r="F370" s="77" t="str">
        <f>IF('基础-办公用品信息'!F370="","-",'基础-办公用品信息'!F370)</f>
        <v>-</v>
      </c>
      <c r="G370" s="77" t="str">
        <f t="shared" si="19"/>
        <v>-</v>
      </c>
      <c r="H370" s="77">
        <f>SUMIFS(期初库存!G:G,期初库存!C:C,C370)+SUMIFS('采购录入（明细）'!I:I,'采购录入（明细）'!E:E,C370)-SUMIFS('领用录入（明细）'!I:I,'领用录入（明细）'!F:F,C370)</f>
        <v>0</v>
      </c>
      <c r="J370" s="79" t="str">
        <f t="shared" si="20"/>
        <v>否</v>
      </c>
    </row>
    <row r="371" customHeight="1" spans="2:10">
      <c r="B371" s="74">
        <v>392</v>
      </c>
      <c r="C371" s="77" t="str">
        <f>IF('基础-办公用品信息'!C371="","-",'基础-办公用品信息'!C371)</f>
        <v>-</v>
      </c>
      <c r="D371" s="77" t="str">
        <f>IF('基础-办公用品信息'!D384="","-",'基础-办公用品信息'!D384)</f>
        <v>-</v>
      </c>
      <c r="E371" s="77" t="str">
        <f>IF('基础-办公用品信息'!E371="","-",'基础-办公用品信息'!E371)</f>
        <v>-</v>
      </c>
      <c r="F371" s="77" t="str">
        <f>IF('基础-办公用品信息'!F371="","-",'基础-办公用品信息'!F371)</f>
        <v>-</v>
      </c>
      <c r="G371" s="77" t="str">
        <f t="shared" si="19"/>
        <v>-</v>
      </c>
      <c r="H371" s="77">
        <f>SUMIFS(期初库存!G:G,期初库存!C:C,C371)+SUMIFS('采购录入（明细）'!I:I,'采购录入（明细）'!E:E,C371)-SUMIFS('领用录入（明细）'!I:I,'领用录入（明细）'!F:F,C371)</f>
        <v>0</v>
      </c>
      <c r="J371" s="79" t="str">
        <f t="shared" si="20"/>
        <v>否</v>
      </c>
    </row>
    <row r="372" customHeight="1" spans="2:10">
      <c r="B372" s="74">
        <v>393</v>
      </c>
      <c r="C372" s="77" t="str">
        <f>IF('基础-办公用品信息'!C372="","-",'基础-办公用品信息'!C372)</f>
        <v>-</v>
      </c>
      <c r="D372" s="77" t="str">
        <f>IF('基础-办公用品信息'!D385="","-",'基础-办公用品信息'!D385)</f>
        <v>-</v>
      </c>
      <c r="E372" s="77" t="str">
        <f>IF('基础-办公用品信息'!E372="","-",'基础-办公用品信息'!E372)</f>
        <v>-</v>
      </c>
      <c r="F372" s="77" t="str">
        <f>IF('基础-办公用品信息'!F372="","-",'基础-办公用品信息'!F372)</f>
        <v>-</v>
      </c>
      <c r="G372" s="77" t="str">
        <f t="shared" ref="G372:G435" si="21">IFERROR(F372*H372,"-")</f>
        <v>-</v>
      </c>
      <c r="H372" s="77">
        <f>SUMIFS(期初库存!G:G,期初库存!C:C,C372)+SUMIFS('采购录入（明细）'!I:I,'采购录入（明细）'!E:E,C372)-SUMIFS('领用录入（明细）'!I:I,'领用录入（明细）'!F:F,C372)</f>
        <v>0</v>
      </c>
      <c r="J372" s="79" t="str">
        <f t="shared" ref="J372:J435" si="22">IF(I372&gt;H372,"采购","否")</f>
        <v>否</v>
      </c>
    </row>
    <row r="373" customHeight="1" spans="2:10">
      <c r="B373" s="74">
        <v>394</v>
      </c>
      <c r="C373" s="77" t="str">
        <f>IF('基础-办公用品信息'!C373="","-",'基础-办公用品信息'!C373)</f>
        <v>-</v>
      </c>
      <c r="D373" s="77" t="str">
        <f>IF('基础-办公用品信息'!D386="","-",'基础-办公用品信息'!D386)</f>
        <v>-</v>
      </c>
      <c r="E373" s="77" t="str">
        <f>IF('基础-办公用品信息'!E373="","-",'基础-办公用品信息'!E373)</f>
        <v>-</v>
      </c>
      <c r="F373" s="77" t="str">
        <f>IF('基础-办公用品信息'!F373="","-",'基础-办公用品信息'!F373)</f>
        <v>-</v>
      </c>
      <c r="G373" s="77" t="str">
        <f t="shared" si="21"/>
        <v>-</v>
      </c>
      <c r="H373" s="77">
        <f>SUMIFS(期初库存!G:G,期初库存!C:C,C373)+SUMIFS('采购录入（明细）'!I:I,'采购录入（明细）'!E:E,C373)-SUMIFS('领用录入（明细）'!I:I,'领用录入（明细）'!F:F,C373)</f>
        <v>0</v>
      </c>
      <c r="J373" s="79" t="str">
        <f t="shared" si="22"/>
        <v>否</v>
      </c>
    </row>
    <row r="374" customHeight="1" spans="2:10">
      <c r="B374" s="74">
        <v>395</v>
      </c>
      <c r="C374" s="77" t="str">
        <f>IF('基础-办公用品信息'!C374="","-",'基础-办公用品信息'!C374)</f>
        <v>-</v>
      </c>
      <c r="D374" s="77" t="str">
        <f>IF('基础-办公用品信息'!D387="","-",'基础-办公用品信息'!D387)</f>
        <v>-</v>
      </c>
      <c r="E374" s="77" t="str">
        <f>IF('基础-办公用品信息'!E374="","-",'基础-办公用品信息'!E374)</f>
        <v>-</v>
      </c>
      <c r="F374" s="77" t="str">
        <f>IF('基础-办公用品信息'!F374="","-",'基础-办公用品信息'!F374)</f>
        <v>-</v>
      </c>
      <c r="G374" s="77" t="str">
        <f t="shared" si="21"/>
        <v>-</v>
      </c>
      <c r="H374" s="77">
        <f>SUMIFS(期初库存!G:G,期初库存!C:C,C374)+SUMIFS('采购录入（明细）'!I:I,'采购录入（明细）'!E:E,C374)-SUMIFS('领用录入（明细）'!I:I,'领用录入（明细）'!F:F,C374)</f>
        <v>0</v>
      </c>
      <c r="J374" s="79" t="str">
        <f t="shared" si="22"/>
        <v>否</v>
      </c>
    </row>
    <row r="375" customHeight="1" spans="2:10">
      <c r="B375" s="74">
        <v>396</v>
      </c>
      <c r="C375" s="77" t="str">
        <f>IF('基础-办公用品信息'!C375="","-",'基础-办公用品信息'!C375)</f>
        <v>-</v>
      </c>
      <c r="D375" s="77" t="str">
        <f>IF('基础-办公用品信息'!D388="","-",'基础-办公用品信息'!D388)</f>
        <v>-</v>
      </c>
      <c r="E375" s="77" t="str">
        <f>IF('基础-办公用品信息'!E375="","-",'基础-办公用品信息'!E375)</f>
        <v>-</v>
      </c>
      <c r="F375" s="77" t="str">
        <f>IF('基础-办公用品信息'!F375="","-",'基础-办公用品信息'!F375)</f>
        <v>-</v>
      </c>
      <c r="G375" s="77" t="str">
        <f t="shared" si="21"/>
        <v>-</v>
      </c>
      <c r="H375" s="77">
        <f>SUMIFS(期初库存!G:G,期初库存!C:C,C375)+SUMIFS('采购录入（明细）'!I:I,'采购录入（明细）'!E:E,C375)-SUMIFS('领用录入（明细）'!I:I,'领用录入（明细）'!F:F,C375)</f>
        <v>0</v>
      </c>
      <c r="J375" s="79" t="str">
        <f t="shared" si="22"/>
        <v>否</v>
      </c>
    </row>
    <row r="376" customHeight="1" spans="2:10">
      <c r="B376" s="74">
        <v>397</v>
      </c>
      <c r="C376" s="77" t="str">
        <f>IF('基础-办公用品信息'!C376="","-",'基础-办公用品信息'!C376)</f>
        <v>-</v>
      </c>
      <c r="D376" s="77" t="str">
        <f>IF('基础-办公用品信息'!D389="","-",'基础-办公用品信息'!D389)</f>
        <v>-</v>
      </c>
      <c r="E376" s="77" t="str">
        <f>IF('基础-办公用品信息'!E376="","-",'基础-办公用品信息'!E376)</f>
        <v>-</v>
      </c>
      <c r="F376" s="77" t="str">
        <f>IF('基础-办公用品信息'!F376="","-",'基础-办公用品信息'!F376)</f>
        <v>-</v>
      </c>
      <c r="G376" s="77" t="str">
        <f t="shared" si="21"/>
        <v>-</v>
      </c>
      <c r="H376" s="77">
        <f>SUMIFS(期初库存!G:G,期初库存!C:C,C376)+SUMIFS('采购录入（明细）'!I:I,'采购录入（明细）'!E:E,C376)-SUMIFS('领用录入（明细）'!I:I,'领用录入（明细）'!F:F,C376)</f>
        <v>0</v>
      </c>
      <c r="J376" s="79" t="str">
        <f t="shared" si="22"/>
        <v>否</v>
      </c>
    </row>
    <row r="377" customHeight="1" spans="2:10">
      <c r="B377" s="74">
        <v>398</v>
      </c>
      <c r="C377" s="77" t="str">
        <f>IF('基础-办公用品信息'!C377="","-",'基础-办公用品信息'!C377)</f>
        <v>-</v>
      </c>
      <c r="D377" s="77" t="str">
        <f>IF('基础-办公用品信息'!D390="","-",'基础-办公用品信息'!D390)</f>
        <v>-</v>
      </c>
      <c r="E377" s="77" t="str">
        <f>IF('基础-办公用品信息'!E377="","-",'基础-办公用品信息'!E377)</f>
        <v>-</v>
      </c>
      <c r="F377" s="77" t="str">
        <f>IF('基础-办公用品信息'!F377="","-",'基础-办公用品信息'!F377)</f>
        <v>-</v>
      </c>
      <c r="G377" s="77" t="str">
        <f t="shared" si="21"/>
        <v>-</v>
      </c>
      <c r="H377" s="77">
        <f>SUMIFS(期初库存!G:G,期初库存!C:C,C377)+SUMIFS('采购录入（明细）'!I:I,'采购录入（明细）'!E:E,C377)-SUMIFS('领用录入（明细）'!I:I,'领用录入（明细）'!F:F,C377)</f>
        <v>0</v>
      </c>
      <c r="J377" s="79" t="str">
        <f t="shared" si="22"/>
        <v>否</v>
      </c>
    </row>
    <row r="378" customHeight="1" spans="2:10">
      <c r="B378" s="74">
        <v>399</v>
      </c>
      <c r="C378" s="77" t="str">
        <f>IF('基础-办公用品信息'!C378="","-",'基础-办公用品信息'!C378)</f>
        <v>-</v>
      </c>
      <c r="D378" s="77" t="str">
        <f>IF('基础-办公用品信息'!D391="","-",'基础-办公用品信息'!D391)</f>
        <v>-</v>
      </c>
      <c r="E378" s="77" t="str">
        <f>IF('基础-办公用品信息'!E378="","-",'基础-办公用品信息'!E378)</f>
        <v>-</v>
      </c>
      <c r="F378" s="77" t="str">
        <f>IF('基础-办公用品信息'!F378="","-",'基础-办公用品信息'!F378)</f>
        <v>-</v>
      </c>
      <c r="G378" s="77" t="str">
        <f t="shared" si="21"/>
        <v>-</v>
      </c>
      <c r="H378" s="77">
        <f>SUMIFS(期初库存!G:G,期初库存!C:C,C378)+SUMIFS('采购录入（明细）'!I:I,'采购录入（明细）'!E:E,C378)-SUMIFS('领用录入（明细）'!I:I,'领用录入（明细）'!F:F,C378)</f>
        <v>0</v>
      </c>
      <c r="J378" s="79" t="str">
        <f t="shared" si="22"/>
        <v>否</v>
      </c>
    </row>
    <row r="379" customHeight="1" spans="2:10">
      <c r="B379" s="74">
        <v>400</v>
      </c>
      <c r="C379" s="77" t="str">
        <f>IF('基础-办公用品信息'!C379="","-",'基础-办公用品信息'!C379)</f>
        <v>-</v>
      </c>
      <c r="D379" s="77" t="str">
        <f>IF('基础-办公用品信息'!D392="","-",'基础-办公用品信息'!D392)</f>
        <v>-</v>
      </c>
      <c r="E379" s="77" t="str">
        <f>IF('基础-办公用品信息'!E379="","-",'基础-办公用品信息'!E379)</f>
        <v>-</v>
      </c>
      <c r="F379" s="77" t="str">
        <f>IF('基础-办公用品信息'!F379="","-",'基础-办公用品信息'!F379)</f>
        <v>-</v>
      </c>
      <c r="G379" s="77" t="str">
        <f t="shared" si="21"/>
        <v>-</v>
      </c>
      <c r="H379" s="77">
        <f>SUMIFS(期初库存!G:G,期初库存!C:C,C379)+SUMIFS('采购录入（明细）'!I:I,'采购录入（明细）'!E:E,C379)-SUMIFS('领用录入（明细）'!I:I,'领用录入（明细）'!F:F,C379)</f>
        <v>0</v>
      </c>
      <c r="J379" s="79" t="str">
        <f t="shared" si="22"/>
        <v>否</v>
      </c>
    </row>
    <row r="380" customHeight="1" spans="2:10">
      <c r="B380" s="74">
        <v>401</v>
      </c>
      <c r="C380" s="77" t="str">
        <f>IF('基础-办公用品信息'!C380="","-",'基础-办公用品信息'!C380)</f>
        <v>-</v>
      </c>
      <c r="D380" s="77" t="str">
        <f>IF('基础-办公用品信息'!D393="","-",'基础-办公用品信息'!D393)</f>
        <v>-</v>
      </c>
      <c r="E380" s="77" t="str">
        <f>IF('基础-办公用品信息'!E380="","-",'基础-办公用品信息'!E380)</f>
        <v>-</v>
      </c>
      <c r="F380" s="77" t="str">
        <f>IF('基础-办公用品信息'!F380="","-",'基础-办公用品信息'!F380)</f>
        <v>-</v>
      </c>
      <c r="G380" s="77" t="str">
        <f t="shared" si="21"/>
        <v>-</v>
      </c>
      <c r="H380" s="77">
        <f>SUMIFS(期初库存!G:G,期初库存!C:C,C380)+SUMIFS('采购录入（明细）'!I:I,'采购录入（明细）'!E:E,C380)-SUMIFS('领用录入（明细）'!I:I,'领用录入（明细）'!F:F,C380)</f>
        <v>0</v>
      </c>
      <c r="J380" s="79" t="str">
        <f t="shared" si="22"/>
        <v>否</v>
      </c>
    </row>
    <row r="381" customHeight="1" spans="2:10">
      <c r="B381" s="74">
        <v>402</v>
      </c>
      <c r="C381" s="77" t="str">
        <f>IF('基础-办公用品信息'!C381="","-",'基础-办公用品信息'!C381)</f>
        <v>-</v>
      </c>
      <c r="D381" s="77" t="str">
        <f>IF('基础-办公用品信息'!D394="","-",'基础-办公用品信息'!D394)</f>
        <v>-</v>
      </c>
      <c r="E381" s="77" t="str">
        <f>IF('基础-办公用品信息'!E381="","-",'基础-办公用品信息'!E381)</f>
        <v>-</v>
      </c>
      <c r="F381" s="77" t="str">
        <f>IF('基础-办公用品信息'!F381="","-",'基础-办公用品信息'!F381)</f>
        <v>-</v>
      </c>
      <c r="G381" s="77" t="str">
        <f t="shared" si="21"/>
        <v>-</v>
      </c>
      <c r="H381" s="77">
        <f>SUMIFS(期初库存!G:G,期初库存!C:C,C381)+SUMIFS('采购录入（明细）'!I:I,'采购录入（明细）'!E:E,C381)-SUMIFS('领用录入（明细）'!I:I,'领用录入（明细）'!F:F,C381)</f>
        <v>0</v>
      </c>
      <c r="J381" s="79" t="str">
        <f t="shared" si="22"/>
        <v>否</v>
      </c>
    </row>
    <row r="382" customHeight="1" spans="2:10">
      <c r="B382" s="74">
        <v>403</v>
      </c>
      <c r="C382" s="77" t="str">
        <f>IF('基础-办公用品信息'!C382="","-",'基础-办公用品信息'!C382)</f>
        <v>-</v>
      </c>
      <c r="D382" s="77" t="str">
        <f>IF('基础-办公用品信息'!D395="","-",'基础-办公用品信息'!D395)</f>
        <v>-</v>
      </c>
      <c r="E382" s="77" t="str">
        <f>IF('基础-办公用品信息'!E382="","-",'基础-办公用品信息'!E382)</f>
        <v>-</v>
      </c>
      <c r="F382" s="77" t="str">
        <f>IF('基础-办公用品信息'!F382="","-",'基础-办公用品信息'!F382)</f>
        <v>-</v>
      </c>
      <c r="G382" s="77" t="str">
        <f t="shared" si="21"/>
        <v>-</v>
      </c>
      <c r="H382" s="77">
        <f>SUMIFS(期初库存!G:G,期初库存!C:C,C382)+SUMIFS('采购录入（明细）'!I:I,'采购录入（明细）'!E:E,C382)-SUMIFS('领用录入（明细）'!I:I,'领用录入（明细）'!F:F,C382)</f>
        <v>0</v>
      </c>
      <c r="J382" s="79" t="str">
        <f t="shared" si="22"/>
        <v>否</v>
      </c>
    </row>
    <row r="383" customHeight="1" spans="2:10">
      <c r="B383" s="74">
        <v>404</v>
      </c>
      <c r="C383" s="77" t="str">
        <f>IF('基础-办公用品信息'!C383="","-",'基础-办公用品信息'!C383)</f>
        <v>-</v>
      </c>
      <c r="D383" s="77" t="str">
        <f>IF('基础-办公用品信息'!D396="","-",'基础-办公用品信息'!D396)</f>
        <v>-</v>
      </c>
      <c r="E383" s="77" t="str">
        <f>IF('基础-办公用品信息'!E383="","-",'基础-办公用品信息'!E383)</f>
        <v>-</v>
      </c>
      <c r="F383" s="77" t="str">
        <f>IF('基础-办公用品信息'!F383="","-",'基础-办公用品信息'!F383)</f>
        <v>-</v>
      </c>
      <c r="G383" s="77" t="str">
        <f t="shared" si="21"/>
        <v>-</v>
      </c>
      <c r="H383" s="77">
        <f>SUMIFS(期初库存!G:G,期初库存!C:C,C383)+SUMIFS('采购录入（明细）'!I:I,'采购录入（明细）'!E:E,C383)-SUMIFS('领用录入（明细）'!I:I,'领用录入（明细）'!F:F,C383)</f>
        <v>0</v>
      </c>
      <c r="J383" s="79" t="str">
        <f t="shared" si="22"/>
        <v>否</v>
      </c>
    </row>
    <row r="384" customHeight="1" spans="2:10">
      <c r="B384" s="74">
        <v>405</v>
      </c>
      <c r="C384" s="77" t="str">
        <f>IF('基础-办公用品信息'!C384="","-",'基础-办公用品信息'!C384)</f>
        <v>-</v>
      </c>
      <c r="D384" s="77" t="str">
        <f>IF('基础-办公用品信息'!D397="","-",'基础-办公用品信息'!D397)</f>
        <v>-</v>
      </c>
      <c r="E384" s="77" t="str">
        <f>IF('基础-办公用品信息'!E384="","-",'基础-办公用品信息'!E384)</f>
        <v>-</v>
      </c>
      <c r="F384" s="77" t="str">
        <f>IF('基础-办公用品信息'!F384="","-",'基础-办公用品信息'!F384)</f>
        <v>-</v>
      </c>
      <c r="G384" s="77" t="str">
        <f t="shared" si="21"/>
        <v>-</v>
      </c>
      <c r="H384" s="77">
        <f>SUMIFS(期初库存!G:G,期初库存!C:C,C384)+SUMIFS('采购录入（明细）'!I:I,'采购录入（明细）'!E:E,C384)-SUMIFS('领用录入（明细）'!I:I,'领用录入（明细）'!F:F,C384)</f>
        <v>0</v>
      </c>
      <c r="J384" s="79" t="str">
        <f t="shared" si="22"/>
        <v>否</v>
      </c>
    </row>
    <row r="385" customHeight="1" spans="2:10">
      <c r="B385" s="74">
        <v>406</v>
      </c>
      <c r="C385" s="77" t="str">
        <f>IF('基础-办公用品信息'!C385="","-",'基础-办公用品信息'!C385)</f>
        <v>-</v>
      </c>
      <c r="D385" s="77" t="str">
        <f>IF('基础-办公用品信息'!D398="","-",'基础-办公用品信息'!D398)</f>
        <v>-</v>
      </c>
      <c r="E385" s="77" t="str">
        <f>IF('基础-办公用品信息'!E385="","-",'基础-办公用品信息'!E385)</f>
        <v>-</v>
      </c>
      <c r="F385" s="77" t="str">
        <f>IF('基础-办公用品信息'!F385="","-",'基础-办公用品信息'!F385)</f>
        <v>-</v>
      </c>
      <c r="G385" s="77" t="str">
        <f t="shared" si="21"/>
        <v>-</v>
      </c>
      <c r="H385" s="77">
        <f>SUMIFS(期初库存!G:G,期初库存!C:C,C385)+SUMIFS('采购录入（明细）'!I:I,'采购录入（明细）'!E:E,C385)-SUMIFS('领用录入（明细）'!I:I,'领用录入（明细）'!F:F,C385)</f>
        <v>0</v>
      </c>
      <c r="J385" s="79" t="str">
        <f t="shared" si="22"/>
        <v>否</v>
      </c>
    </row>
    <row r="386" customHeight="1" spans="2:10">
      <c r="B386" s="74">
        <v>407</v>
      </c>
      <c r="C386" s="77" t="str">
        <f>IF('基础-办公用品信息'!C386="","-",'基础-办公用品信息'!C386)</f>
        <v>-</v>
      </c>
      <c r="D386" s="77" t="str">
        <f>IF('基础-办公用品信息'!D399="","-",'基础-办公用品信息'!D399)</f>
        <v>-</v>
      </c>
      <c r="E386" s="77" t="str">
        <f>IF('基础-办公用品信息'!E386="","-",'基础-办公用品信息'!E386)</f>
        <v>-</v>
      </c>
      <c r="F386" s="77" t="str">
        <f>IF('基础-办公用品信息'!F386="","-",'基础-办公用品信息'!F386)</f>
        <v>-</v>
      </c>
      <c r="G386" s="77" t="str">
        <f t="shared" si="21"/>
        <v>-</v>
      </c>
      <c r="H386" s="77">
        <f>SUMIFS(期初库存!G:G,期初库存!C:C,C386)+SUMIFS('采购录入（明细）'!I:I,'采购录入（明细）'!E:E,C386)-SUMIFS('领用录入（明细）'!I:I,'领用录入（明细）'!F:F,C386)</f>
        <v>0</v>
      </c>
      <c r="J386" s="79" t="str">
        <f t="shared" si="22"/>
        <v>否</v>
      </c>
    </row>
    <row r="387" customHeight="1" spans="2:10">
      <c r="B387" s="74">
        <v>408</v>
      </c>
      <c r="C387" s="77" t="str">
        <f>IF('基础-办公用品信息'!C387="","-",'基础-办公用品信息'!C387)</f>
        <v>-</v>
      </c>
      <c r="D387" s="77" t="str">
        <f>IF('基础-办公用品信息'!D400="","-",'基础-办公用品信息'!D400)</f>
        <v>-</v>
      </c>
      <c r="E387" s="77" t="str">
        <f>IF('基础-办公用品信息'!E387="","-",'基础-办公用品信息'!E387)</f>
        <v>-</v>
      </c>
      <c r="F387" s="77" t="str">
        <f>IF('基础-办公用品信息'!F387="","-",'基础-办公用品信息'!F387)</f>
        <v>-</v>
      </c>
      <c r="G387" s="77" t="str">
        <f t="shared" si="21"/>
        <v>-</v>
      </c>
      <c r="H387" s="77">
        <f>SUMIFS(期初库存!G:G,期初库存!C:C,C387)+SUMIFS('采购录入（明细）'!I:I,'采购录入（明细）'!E:E,C387)-SUMIFS('领用录入（明细）'!I:I,'领用录入（明细）'!F:F,C387)</f>
        <v>0</v>
      </c>
      <c r="J387" s="79" t="str">
        <f t="shared" si="22"/>
        <v>否</v>
      </c>
    </row>
    <row r="388" customHeight="1" spans="2:10">
      <c r="B388" s="74">
        <v>409</v>
      </c>
      <c r="C388" s="77" t="str">
        <f>IF('基础-办公用品信息'!C388="","-",'基础-办公用品信息'!C388)</f>
        <v>-</v>
      </c>
      <c r="D388" s="77" t="str">
        <f>IF('基础-办公用品信息'!D401="","-",'基础-办公用品信息'!D401)</f>
        <v>-</v>
      </c>
      <c r="E388" s="77" t="str">
        <f>IF('基础-办公用品信息'!E388="","-",'基础-办公用品信息'!E388)</f>
        <v>-</v>
      </c>
      <c r="F388" s="77" t="str">
        <f>IF('基础-办公用品信息'!F388="","-",'基础-办公用品信息'!F388)</f>
        <v>-</v>
      </c>
      <c r="G388" s="77" t="str">
        <f t="shared" si="21"/>
        <v>-</v>
      </c>
      <c r="H388" s="77">
        <f>SUMIFS(期初库存!G:G,期初库存!C:C,C388)+SUMIFS('采购录入（明细）'!I:I,'采购录入（明细）'!E:E,C388)-SUMIFS('领用录入（明细）'!I:I,'领用录入（明细）'!F:F,C388)</f>
        <v>0</v>
      </c>
      <c r="J388" s="79" t="str">
        <f t="shared" si="22"/>
        <v>否</v>
      </c>
    </row>
    <row r="389" customHeight="1" spans="2:10">
      <c r="B389" s="74">
        <v>410</v>
      </c>
      <c r="C389" s="77" t="str">
        <f>IF('基础-办公用品信息'!C389="","-",'基础-办公用品信息'!C389)</f>
        <v>-</v>
      </c>
      <c r="D389" s="77" t="str">
        <f>IF('基础-办公用品信息'!D402="","-",'基础-办公用品信息'!D402)</f>
        <v>-</v>
      </c>
      <c r="E389" s="77" t="str">
        <f>IF('基础-办公用品信息'!E389="","-",'基础-办公用品信息'!E389)</f>
        <v>-</v>
      </c>
      <c r="F389" s="77" t="str">
        <f>IF('基础-办公用品信息'!F389="","-",'基础-办公用品信息'!F389)</f>
        <v>-</v>
      </c>
      <c r="G389" s="77" t="str">
        <f t="shared" si="21"/>
        <v>-</v>
      </c>
      <c r="H389" s="77">
        <f>SUMIFS(期初库存!G:G,期初库存!C:C,C389)+SUMIFS('采购录入（明细）'!I:I,'采购录入（明细）'!E:E,C389)-SUMIFS('领用录入（明细）'!I:I,'领用录入（明细）'!F:F,C389)</f>
        <v>0</v>
      </c>
      <c r="J389" s="79" t="str">
        <f t="shared" si="22"/>
        <v>否</v>
      </c>
    </row>
    <row r="390" customHeight="1" spans="2:10">
      <c r="B390" s="74">
        <v>411</v>
      </c>
      <c r="C390" s="77" t="str">
        <f>IF('基础-办公用品信息'!C390="","-",'基础-办公用品信息'!C390)</f>
        <v>-</v>
      </c>
      <c r="D390" s="77" t="str">
        <f>IF('基础-办公用品信息'!D403="","-",'基础-办公用品信息'!D403)</f>
        <v>-</v>
      </c>
      <c r="E390" s="77" t="str">
        <f>IF('基础-办公用品信息'!E390="","-",'基础-办公用品信息'!E390)</f>
        <v>-</v>
      </c>
      <c r="F390" s="77" t="str">
        <f>IF('基础-办公用品信息'!F390="","-",'基础-办公用品信息'!F390)</f>
        <v>-</v>
      </c>
      <c r="G390" s="77" t="str">
        <f t="shared" si="21"/>
        <v>-</v>
      </c>
      <c r="H390" s="77">
        <f>SUMIFS(期初库存!G:G,期初库存!C:C,C390)+SUMIFS('采购录入（明细）'!I:I,'采购录入（明细）'!E:E,C390)-SUMIFS('领用录入（明细）'!I:I,'领用录入（明细）'!F:F,C390)</f>
        <v>0</v>
      </c>
      <c r="J390" s="79" t="str">
        <f t="shared" si="22"/>
        <v>否</v>
      </c>
    </row>
    <row r="391" customHeight="1" spans="2:10">
      <c r="B391" s="74">
        <v>412</v>
      </c>
      <c r="C391" s="77" t="str">
        <f>IF('基础-办公用品信息'!C391="","-",'基础-办公用品信息'!C391)</f>
        <v>-</v>
      </c>
      <c r="D391" s="77" t="str">
        <f>IF('基础-办公用品信息'!D404="","-",'基础-办公用品信息'!D404)</f>
        <v>-</v>
      </c>
      <c r="E391" s="77" t="str">
        <f>IF('基础-办公用品信息'!E391="","-",'基础-办公用品信息'!E391)</f>
        <v>-</v>
      </c>
      <c r="F391" s="77" t="str">
        <f>IF('基础-办公用品信息'!F391="","-",'基础-办公用品信息'!F391)</f>
        <v>-</v>
      </c>
      <c r="G391" s="77" t="str">
        <f t="shared" si="21"/>
        <v>-</v>
      </c>
      <c r="H391" s="77">
        <f>SUMIFS(期初库存!G:G,期初库存!C:C,C391)+SUMIFS('采购录入（明细）'!I:I,'采购录入（明细）'!E:E,C391)-SUMIFS('领用录入（明细）'!I:I,'领用录入（明细）'!F:F,C391)</f>
        <v>0</v>
      </c>
      <c r="J391" s="79" t="str">
        <f t="shared" si="22"/>
        <v>否</v>
      </c>
    </row>
    <row r="392" customHeight="1" spans="2:10">
      <c r="B392" s="74">
        <v>413</v>
      </c>
      <c r="C392" s="77" t="str">
        <f>IF('基础-办公用品信息'!C392="","-",'基础-办公用品信息'!C392)</f>
        <v>-</v>
      </c>
      <c r="D392" s="77" t="str">
        <f>IF('基础-办公用品信息'!D405="","-",'基础-办公用品信息'!D405)</f>
        <v>-</v>
      </c>
      <c r="E392" s="77" t="str">
        <f>IF('基础-办公用品信息'!E392="","-",'基础-办公用品信息'!E392)</f>
        <v>-</v>
      </c>
      <c r="F392" s="77" t="str">
        <f>IF('基础-办公用品信息'!F392="","-",'基础-办公用品信息'!F392)</f>
        <v>-</v>
      </c>
      <c r="G392" s="77" t="str">
        <f t="shared" si="21"/>
        <v>-</v>
      </c>
      <c r="H392" s="77">
        <f>SUMIFS(期初库存!G:G,期初库存!C:C,C392)+SUMIFS('采购录入（明细）'!I:I,'采购录入（明细）'!E:E,C392)-SUMIFS('领用录入（明细）'!I:I,'领用录入（明细）'!F:F,C392)</f>
        <v>0</v>
      </c>
      <c r="J392" s="79" t="str">
        <f t="shared" si="22"/>
        <v>否</v>
      </c>
    </row>
    <row r="393" customHeight="1" spans="2:10">
      <c r="B393" s="74">
        <v>414</v>
      </c>
      <c r="C393" s="77" t="str">
        <f>IF('基础-办公用品信息'!C393="","-",'基础-办公用品信息'!C393)</f>
        <v>-</v>
      </c>
      <c r="D393" s="77" t="str">
        <f>IF('基础-办公用品信息'!D406="","-",'基础-办公用品信息'!D406)</f>
        <v>-</v>
      </c>
      <c r="E393" s="77" t="str">
        <f>IF('基础-办公用品信息'!E393="","-",'基础-办公用品信息'!E393)</f>
        <v>-</v>
      </c>
      <c r="F393" s="77" t="str">
        <f>IF('基础-办公用品信息'!F393="","-",'基础-办公用品信息'!F393)</f>
        <v>-</v>
      </c>
      <c r="G393" s="77" t="str">
        <f t="shared" si="21"/>
        <v>-</v>
      </c>
      <c r="H393" s="77">
        <f>SUMIFS(期初库存!G:G,期初库存!C:C,C393)+SUMIFS('采购录入（明细）'!I:I,'采购录入（明细）'!E:E,C393)-SUMIFS('领用录入（明细）'!I:I,'领用录入（明细）'!F:F,C393)</f>
        <v>0</v>
      </c>
      <c r="J393" s="79" t="str">
        <f t="shared" si="22"/>
        <v>否</v>
      </c>
    </row>
    <row r="394" customHeight="1" spans="2:10">
      <c r="B394" s="74">
        <v>415</v>
      </c>
      <c r="C394" s="77" t="str">
        <f>IF('基础-办公用品信息'!C394="","-",'基础-办公用品信息'!C394)</f>
        <v>-</v>
      </c>
      <c r="D394" s="77" t="str">
        <f>IF('基础-办公用品信息'!D407="","-",'基础-办公用品信息'!D407)</f>
        <v>-</v>
      </c>
      <c r="E394" s="77" t="str">
        <f>IF('基础-办公用品信息'!E394="","-",'基础-办公用品信息'!E394)</f>
        <v>-</v>
      </c>
      <c r="F394" s="77" t="str">
        <f>IF('基础-办公用品信息'!F394="","-",'基础-办公用品信息'!F394)</f>
        <v>-</v>
      </c>
      <c r="G394" s="77" t="str">
        <f t="shared" si="21"/>
        <v>-</v>
      </c>
      <c r="H394" s="77">
        <f>SUMIFS(期初库存!G:G,期初库存!C:C,C394)+SUMIFS('采购录入（明细）'!I:I,'采购录入（明细）'!E:E,C394)-SUMIFS('领用录入（明细）'!I:I,'领用录入（明细）'!F:F,C394)</f>
        <v>0</v>
      </c>
      <c r="J394" s="79" t="str">
        <f t="shared" si="22"/>
        <v>否</v>
      </c>
    </row>
    <row r="395" customHeight="1" spans="2:10">
      <c r="B395" s="74">
        <v>416</v>
      </c>
      <c r="C395" s="77" t="str">
        <f>IF('基础-办公用品信息'!C395="","-",'基础-办公用品信息'!C395)</f>
        <v>-</v>
      </c>
      <c r="D395" s="77" t="str">
        <f>IF('基础-办公用品信息'!D408="","-",'基础-办公用品信息'!D408)</f>
        <v>-</v>
      </c>
      <c r="E395" s="77" t="str">
        <f>IF('基础-办公用品信息'!E395="","-",'基础-办公用品信息'!E395)</f>
        <v>-</v>
      </c>
      <c r="F395" s="77" t="str">
        <f>IF('基础-办公用品信息'!F395="","-",'基础-办公用品信息'!F395)</f>
        <v>-</v>
      </c>
      <c r="G395" s="77" t="str">
        <f t="shared" si="21"/>
        <v>-</v>
      </c>
      <c r="H395" s="77">
        <f>SUMIFS(期初库存!G:G,期初库存!C:C,C395)+SUMIFS('采购录入（明细）'!I:I,'采购录入（明细）'!E:E,C395)-SUMIFS('领用录入（明细）'!I:I,'领用录入（明细）'!F:F,C395)</f>
        <v>0</v>
      </c>
      <c r="J395" s="79" t="str">
        <f t="shared" si="22"/>
        <v>否</v>
      </c>
    </row>
    <row r="396" customHeight="1" spans="2:10">
      <c r="B396" s="74">
        <v>417</v>
      </c>
      <c r="C396" s="77" t="str">
        <f>IF('基础-办公用品信息'!C396="","-",'基础-办公用品信息'!C396)</f>
        <v>-</v>
      </c>
      <c r="D396" s="77" t="str">
        <f>IF('基础-办公用品信息'!D409="","-",'基础-办公用品信息'!D409)</f>
        <v>-</v>
      </c>
      <c r="E396" s="77" t="str">
        <f>IF('基础-办公用品信息'!E396="","-",'基础-办公用品信息'!E396)</f>
        <v>-</v>
      </c>
      <c r="F396" s="77" t="str">
        <f>IF('基础-办公用品信息'!F396="","-",'基础-办公用品信息'!F396)</f>
        <v>-</v>
      </c>
      <c r="G396" s="77" t="str">
        <f t="shared" si="21"/>
        <v>-</v>
      </c>
      <c r="H396" s="77">
        <f>SUMIFS(期初库存!G:G,期初库存!C:C,C396)+SUMIFS('采购录入（明细）'!I:I,'采购录入（明细）'!E:E,C396)-SUMIFS('领用录入（明细）'!I:I,'领用录入（明细）'!F:F,C396)</f>
        <v>0</v>
      </c>
      <c r="J396" s="79" t="str">
        <f t="shared" si="22"/>
        <v>否</v>
      </c>
    </row>
    <row r="397" customHeight="1" spans="2:10">
      <c r="B397" s="74">
        <v>418</v>
      </c>
      <c r="C397" s="77" t="str">
        <f>IF('基础-办公用品信息'!C397="","-",'基础-办公用品信息'!C397)</f>
        <v>-</v>
      </c>
      <c r="D397" s="77" t="str">
        <f>IF('基础-办公用品信息'!D410="","-",'基础-办公用品信息'!D410)</f>
        <v>-</v>
      </c>
      <c r="E397" s="77" t="str">
        <f>IF('基础-办公用品信息'!E397="","-",'基础-办公用品信息'!E397)</f>
        <v>-</v>
      </c>
      <c r="F397" s="77" t="str">
        <f>IF('基础-办公用品信息'!F397="","-",'基础-办公用品信息'!F397)</f>
        <v>-</v>
      </c>
      <c r="G397" s="77" t="str">
        <f t="shared" si="21"/>
        <v>-</v>
      </c>
      <c r="H397" s="77">
        <f>SUMIFS(期初库存!G:G,期初库存!C:C,C397)+SUMIFS('采购录入（明细）'!I:I,'采购录入（明细）'!E:E,C397)-SUMIFS('领用录入（明细）'!I:I,'领用录入（明细）'!F:F,C397)</f>
        <v>0</v>
      </c>
      <c r="J397" s="79" t="str">
        <f t="shared" si="22"/>
        <v>否</v>
      </c>
    </row>
    <row r="398" customHeight="1" spans="2:10">
      <c r="B398" s="74">
        <v>419</v>
      </c>
      <c r="C398" s="77" t="str">
        <f>IF('基础-办公用品信息'!C398="","-",'基础-办公用品信息'!C398)</f>
        <v>-</v>
      </c>
      <c r="D398" s="77" t="str">
        <f>IF('基础-办公用品信息'!D411="","-",'基础-办公用品信息'!D411)</f>
        <v>-</v>
      </c>
      <c r="E398" s="77" t="str">
        <f>IF('基础-办公用品信息'!E398="","-",'基础-办公用品信息'!E398)</f>
        <v>-</v>
      </c>
      <c r="F398" s="77" t="str">
        <f>IF('基础-办公用品信息'!F398="","-",'基础-办公用品信息'!F398)</f>
        <v>-</v>
      </c>
      <c r="G398" s="77" t="str">
        <f t="shared" si="21"/>
        <v>-</v>
      </c>
      <c r="H398" s="77">
        <f>SUMIFS(期初库存!G:G,期初库存!C:C,C398)+SUMIFS('采购录入（明细）'!I:I,'采购录入（明细）'!E:E,C398)-SUMIFS('领用录入（明细）'!I:I,'领用录入（明细）'!F:F,C398)</f>
        <v>0</v>
      </c>
      <c r="J398" s="79" t="str">
        <f t="shared" si="22"/>
        <v>否</v>
      </c>
    </row>
    <row r="399" customHeight="1" spans="2:10">
      <c r="B399" s="74">
        <v>420</v>
      </c>
      <c r="C399" s="77" t="str">
        <f>IF('基础-办公用品信息'!C399="","-",'基础-办公用品信息'!C399)</f>
        <v>-</v>
      </c>
      <c r="D399" s="77" t="str">
        <f>IF('基础-办公用品信息'!D412="","-",'基础-办公用品信息'!D412)</f>
        <v>-</v>
      </c>
      <c r="E399" s="77" t="str">
        <f>IF('基础-办公用品信息'!E399="","-",'基础-办公用品信息'!E399)</f>
        <v>-</v>
      </c>
      <c r="F399" s="77" t="str">
        <f>IF('基础-办公用品信息'!F399="","-",'基础-办公用品信息'!F399)</f>
        <v>-</v>
      </c>
      <c r="G399" s="77" t="str">
        <f t="shared" si="21"/>
        <v>-</v>
      </c>
      <c r="H399" s="77">
        <f>SUMIFS(期初库存!G:G,期初库存!C:C,C399)+SUMIFS('采购录入（明细）'!I:I,'采购录入（明细）'!E:E,C399)-SUMIFS('领用录入（明细）'!I:I,'领用录入（明细）'!F:F,C399)</f>
        <v>0</v>
      </c>
      <c r="J399" s="79" t="str">
        <f t="shared" si="22"/>
        <v>否</v>
      </c>
    </row>
    <row r="400" customHeight="1" spans="2:10">
      <c r="B400" s="74">
        <v>421</v>
      </c>
      <c r="C400" s="77" t="str">
        <f>IF('基础-办公用品信息'!C400="","-",'基础-办公用品信息'!C400)</f>
        <v>-</v>
      </c>
      <c r="D400" s="77" t="str">
        <f>IF('基础-办公用品信息'!D413="","-",'基础-办公用品信息'!D413)</f>
        <v>-</v>
      </c>
      <c r="E400" s="77" t="str">
        <f>IF('基础-办公用品信息'!E400="","-",'基础-办公用品信息'!E400)</f>
        <v>-</v>
      </c>
      <c r="F400" s="77" t="str">
        <f>IF('基础-办公用品信息'!F400="","-",'基础-办公用品信息'!F400)</f>
        <v>-</v>
      </c>
      <c r="G400" s="77" t="str">
        <f t="shared" si="21"/>
        <v>-</v>
      </c>
      <c r="H400" s="77">
        <f>SUMIFS(期初库存!G:G,期初库存!C:C,C400)+SUMIFS('采购录入（明细）'!I:I,'采购录入（明细）'!E:E,C400)-SUMIFS('领用录入（明细）'!I:I,'领用录入（明细）'!F:F,C400)</f>
        <v>0</v>
      </c>
      <c r="J400" s="79" t="str">
        <f t="shared" si="22"/>
        <v>否</v>
      </c>
    </row>
    <row r="401" customHeight="1" spans="2:10">
      <c r="B401" s="74">
        <v>422</v>
      </c>
      <c r="C401" s="77" t="str">
        <f>IF('基础-办公用品信息'!C401="","-",'基础-办公用品信息'!C401)</f>
        <v>-</v>
      </c>
      <c r="D401" s="77" t="str">
        <f>IF('基础-办公用品信息'!D414="","-",'基础-办公用品信息'!D414)</f>
        <v>-</v>
      </c>
      <c r="E401" s="77" t="str">
        <f>IF('基础-办公用品信息'!E401="","-",'基础-办公用品信息'!E401)</f>
        <v>-</v>
      </c>
      <c r="F401" s="77" t="str">
        <f>IF('基础-办公用品信息'!F401="","-",'基础-办公用品信息'!F401)</f>
        <v>-</v>
      </c>
      <c r="G401" s="77" t="str">
        <f t="shared" si="21"/>
        <v>-</v>
      </c>
      <c r="H401" s="77">
        <f>SUMIFS(期初库存!G:G,期初库存!C:C,C401)+SUMIFS('采购录入（明细）'!I:I,'采购录入（明细）'!E:E,C401)-SUMIFS('领用录入（明细）'!I:I,'领用录入（明细）'!F:F,C401)</f>
        <v>0</v>
      </c>
      <c r="J401" s="79" t="str">
        <f t="shared" si="22"/>
        <v>否</v>
      </c>
    </row>
    <row r="402" customHeight="1" spans="2:10">
      <c r="B402" s="74">
        <v>423</v>
      </c>
      <c r="C402" s="77" t="str">
        <f>IF('基础-办公用品信息'!C402="","-",'基础-办公用品信息'!C402)</f>
        <v>-</v>
      </c>
      <c r="D402" s="77" t="str">
        <f>IF('基础-办公用品信息'!D415="","-",'基础-办公用品信息'!D415)</f>
        <v>-</v>
      </c>
      <c r="E402" s="77" t="str">
        <f>IF('基础-办公用品信息'!E402="","-",'基础-办公用品信息'!E402)</f>
        <v>-</v>
      </c>
      <c r="F402" s="77" t="str">
        <f>IF('基础-办公用品信息'!F402="","-",'基础-办公用品信息'!F402)</f>
        <v>-</v>
      </c>
      <c r="G402" s="77" t="str">
        <f t="shared" si="21"/>
        <v>-</v>
      </c>
      <c r="H402" s="77">
        <f>SUMIFS(期初库存!G:G,期初库存!C:C,C402)+SUMIFS('采购录入（明细）'!I:I,'采购录入（明细）'!E:E,C402)-SUMIFS('领用录入（明细）'!I:I,'领用录入（明细）'!F:F,C402)</f>
        <v>0</v>
      </c>
      <c r="J402" s="79" t="str">
        <f t="shared" si="22"/>
        <v>否</v>
      </c>
    </row>
    <row r="403" customHeight="1" spans="2:10">
      <c r="B403" s="74">
        <v>424</v>
      </c>
      <c r="C403" s="77" t="str">
        <f>IF('基础-办公用品信息'!C403="","-",'基础-办公用品信息'!C403)</f>
        <v>-</v>
      </c>
      <c r="D403" s="77" t="str">
        <f>IF('基础-办公用品信息'!D416="","-",'基础-办公用品信息'!D416)</f>
        <v>-</v>
      </c>
      <c r="E403" s="77" t="str">
        <f>IF('基础-办公用品信息'!E403="","-",'基础-办公用品信息'!E403)</f>
        <v>-</v>
      </c>
      <c r="F403" s="77" t="str">
        <f>IF('基础-办公用品信息'!F403="","-",'基础-办公用品信息'!F403)</f>
        <v>-</v>
      </c>
      <c r="G403" s="77" t="str">
        <f t="shared" si="21"/>
        <v>-</v>
      </c>
      <c r="H403" s="77">
        <f>SUMIFS(期初库存!G:G,期初库存!C:C,C403)+SUMIFS('采购录入（明细）'!I:I,'采购录入（明细）'!E:E,C403)-SUMIFS('领用录入（明细）'!I:I,'领用录入（明细）'!F:F,C403)</f>
        <v>0</v>
      </c>
      <c r="J403" s="79" t="str">
        <f t="shared" si="22"/>
        <v>否</v>
      </c>
    </row>
    <row r="404" customHeight="1" spans="2:10">
      <c r="B404" s="74">
        <v>425</v>
      </c>
      <c r="C404" s="77" t="str">
        <f>IF('基础-办公用品信息'!C404="","-",'基础-办公用品信息'!C404)</f>
        <v>-</v>
      </c>
      <c r="D404" s="77" t="str">
        <f>IF('基础-办公用品信息'!D417="","-",'基础-办公用品信息'!D417)</f>
        <v>-</v>
      </c>
      <c r="E404" s="77" t="str">
        <f>IF('基础-办公用品信息'!E404="","-",'基础-办公用品信息'!E404)</f>
        <v>-</v>
      </c>
      <c r="F404" s="77" t="str">
        <f>IF('基础-办公用品信息'!F404="","-",'基础-办公用品信息'!F404)</f>
        <v>-</v>
      </c>
      <c r="G404" s="77" t="str">
        <f t="shared" si="21"/>
        <v>-</v>
      </c>
      <c r="H404" s="77">
        <f>SUMIFS(期初库存!G:G,期初库存!C:C,C404)+SUMIFS('采购录入（明细）'!I:I,'采购录入（明细）'!E:E,C404)-SUMIFS('领用录入（明细）'!I:I,'领用录入（明细）'!F:F,C404)</f>
        <v>0</v>
      </c>
      <c r="J404" s="79" t="str">
        <f t="shared" si="22"/>
        <v>否</v>
      </c>
    </row>
    <row r="405" customHeight="1" spans="2:10">
      <c r="B405" s="74">
        <v>426</v>
      </c>
      <c r="C405" s="77" t="str">
        <f>IF('基础-办公用品信息'!C405="","-",'基础-办公用品信息'!C405)</f>
        <v>-</v>
      </c>
      <c r="D405" s="77" t="str">
        <f>IF('基础-办公用品信息'!D418="","-",'基础-办公用品信息'!D418)</f>
        <v>-</v>
      </c>
      <c r="E405" s="77" t="str">
        <f>IF('基础-办公用品信息'!E405="","-",'基础-办公用品信息'!E405)</f>
        <v>-</v>
      </c>
      <c r="F405" s="77" t="str">
        <f>IF('基础-办公用品信息'!F405="","-",'基础-办公用品信息'!F405)</f>
        <v>-</v>
      </c>
      <c r="G405" s="77" t="str">
        <f t="shared" si="21"/>
        <v>-</v>
      </c>
      <c r="H405" s="77">
        <f>SUMIFS(期初库存!G:G,期初库存!C:C,C405)+SUMIFS('采购录入（明细）'!I:I,'采购录入（明细）'!E:E,C405)-SUMIFS('领用录入（明细）'!I:I,'领用录入（明细）'!F:F,C405)</f>
        <v>0</v>
      </c>
      <c r="J405" s="79" t="str">
        <f t="shared" si="22"/>
        <v>否</v>
      </c>
    </row>
    <row r="406" customHeight="1" spans="2:10">
      <c r="B406" s="74">
        <v>427</v>
      </c>
      <c r="C406" s="77" t="str">
        <f>IF('基础-办公用品信息'!C406="","-",'基础-办公用品信息'!C406)</f>
        <v>-</v>
      </c>
      <c r="D406" s="77" t="str">
        <f>IF('基础-办公用品信息'!D419="","-",'基础-办公用品信息'!D419)</f>
        <v>-</v>
      </c>
      <c r="E406" s="77" t="str">
        <f>IF('基础-办公用品信息'!E406="","-",'基础-办公用品信息'!E406)</f>
        <v>-</v>
      </c>
      <c r="F406" s="77" t="str">
        <f>IF('基础-办公用品信息'!F406="","-",'基础-办公用品信息'!F406)</f>
        <v>-</v>
      </c>
      <c r="G406" s="77" t="str">
        <f t="shared" si="21"/>
        <v>-</v>
      </c>
      <c r="H406" s="77">
        <f>SUMIFS(期初库存!G:G,期初库存!C:C,C406)+SUMIFS('采购录入（明细）'!I:I,'采购录入（明细）'!E:E,C406)-SUMIFS('领用录入（明细）'!I:I,'领用录入（明细）'!F:F,C406)</f>
        <v>0</v>
      </c>
      <c r="J406" s="79" t="str">
        <f t="shared" si="22"/>
        <v>否</v>
      </c>
    </row>
    <row r="407" customHeight="1" spans="2:10">
      <c r="B407" s="74">
        <v>428</v>
      </c>
      <c r="C407" s="77" t="str">
        <f>IF('基础-办公用品信息'!C407="","-",'基础-办公用品信息'!C407)</f>
        <v>-</v>
      </c>
      <c r="D407" s="77" t="str">
        <f>IF('基础-办公用品信息'!D420="","-",'基础-办公用品信息'!D420)</f>
        <v>-</v>
      </c>
      <c r="E407" s="77" t="str">
        <f>IF('基础-办公用品信息'!E407="","-",'基础-办公用品信息'!E407)</f>
        <v>-</v>
      </c>
      <c r="F407" s="77" t="str">
        <f>IF('基础-办公用品信息'!F407="","-",'基础-办公用品信息'!F407)</f>
        <v>-</v>
      </c>
      <c r="G407" s="77" t="str">
        <f t="shared" si="21"/>
        <v>-</v>
      </c>
      <c r="H407" s="77">
        <f>SUMIFS(期初库存!G:G,期初库存!C:C,C407)+SUMIFS('采购录入（明细）'!I:I,'采购录入（明细）'!E:E,C407)-SUMIFS('领用录入（明细）'!I:I,'领用录入（明细）'!F:F,C407)</f>
        <v>0</v>
      </c>
      <c r="J407" s="79" t="str">
        <f t="shared" si="22"/>
        <v>否</v>
      </c>
    </row>
    <row r="408" customHeight="1" spans="2:10">
      <c r="B408" s="74">
        <v>429</v>
      </c>
      <c r="C408" s="77" t="str">
        <f>IF('基础-办公用品信息'!C408="","-",'基础-办公用品信息'!C408)</f>
        <v>-</v>
      </c>
      <c r="D408" s="77" t="str">
        <f>IF('基础-办公用品信息'!D421="","-",'基础-办公用品信息'!D421)</f>
        <v>-</v>
      </c>
      <c r="E408" s="77" t="str">
        <f>IF('基础-办公用品信息'!E408="","-",'基础-办公用品信息'!E408)</f>
        <v>-</v>
      </c>
      <c r="F408" s="77" t="str">
        <f>IF('基础-办公用品信息'!F408="","-",'基础-办公用品信息'!F408)</f>
        <v>-</v>
      </c>
      <c r="G408" s="77" t="str">
        <f t="shared" si="21"/>
        <v>-</v>
      </c>
      <c r="H408" s="77">
        <f>SUMIFS(期初库存!G:G,期初库存!C:C,C408)+SUMIFS('采购录入（明细）'!I:I,'采购录入（明细）'!E:E,C408)-SUMIFS('领用录入（明细）'!I:I,'领用录入（明细）'!F:F,C408)</f>
        <v>0</v>
      </c>
      <c r="J408" s="79" t="str">
        <f t="shared" si="22"/>
        <v>否</v>
      </c>
    </row>
    <row r="409" customHeight="1" spans="2:10">
      <c r="B409" s="74">
        <v>430</v>
      </c>
      <c r="C409" s="77" t="str">
        <f>IF('基础-办公用品信息'!C409="","-",'基础-办公用品信息'!C409)</f>
        <v>-</v>
      </c>
      <c r="D409" s="77" t="str">
        <f>IF('基础-办公用品信息'!D422="","-",'基础-办公用品信息'!D422)</f>
        <v>-</v>
      </c>
      <c r="E409" s="77" t="str">
        <f>IF('基础-办公用品信息'!E409="","-",'基础-办公用品信息'!E409)</f>
        <v>-</v>
      </c>
      <c r="F409" s="77" t="str">
        <f>IF('基础-办公用品信息'!F409="","-",'基础-办公用品信息'!F409)</f>
        <v>-</v>
      </c>
      <c r="G409" s="77" t="str">
        <f t="shared" si="21"/>
        <v>-</v>
      </c>
      <c r="H409" s="77">
        <f>SUMIFS(期初库存!G:G,期初库存!C:C,C409)+SUMIFS('采购录入（明细）'!I:I,'采购录入（明细）'!E:E,C409)-SUMIFS('领用录入（明细）'!I:I,'领用录入（明细）'!F:F,C409)</f>
        <v>0</v>
      </c>
      <c r="J409" s="79" t="str">
        <f t="shared" si="22"/>
        <v>否</v>
      </c>
    </row>
    <row r="410" customHeight="1" spans="2:10">
      <c r="B410" s="74">
        <v>431</v>
      </c>
      <c r="C410" s="77" t="str">
        <f>IF('基础-办公用品信息'!C410="","-",'基础-办公用品信息'!C410)</f>
        <v>-</v>
      </c>
      <c r="D410" s="77" t="str">
        <f>IF('基础-办公用品信息'!D423="","-",'基础-办公用品信息'!D423)</f>
        <v>-</v>
      </c>
      <c r="E410" s="77" t="str">
        <f>IF('基础-办公用品信息'!E410="","-",'基础-办公用品信息'!E410)</f>
        <v>-</v>
      </c>
      <c r="F410" s="77" t="str">
        <f>IF('基础-办公用品信息'!F410="","-",'基础-办公用品信息'!F410)</f>
        <v>-</v>
      </c>
      <c r="G410" s="77" t="str">
        <f t="shared" si="21"/>
        <v>-</v>
      </c>
      <c r="H410" s="77">
        <f>SUMIFS(期初库存!G:G,期初库存!C:C,C410)+SUMIFS('采购录入（明细）'!I:I,'采购录入（明细）'!E:E,C410)-SUMIFS('领用录入（明细）'!I:I,'领用录入（明细）'!F:F,C410)</f>
        <v>0</v>
      </c>
      <c r="J410" s="79" t="str">
        <f t="shared" si="22"/>
        <v>否</v>
      </c>
    </row>
    <row r="411" customHeight="1" spans="2:10">
      <c r="B411" s="74">
        <v>432</v>
      </c>
      <c r="C411" s="77" t="str">
        <f>IF('基础-办公用品信息'!C411="","-",'基础-办公用品信息'!C411)</f>
        <v>-</v>
      </c>
      <c r="D411" s="77" t="str">
        <f>IF('基础-办公用品信息'!D424="","-",'基础-办公用品信息'!D424)</f>
        <v>-</v>
      </c>
      <c r="E411" s="77" t="str">
        <f>IF('基础-办公用品信息'!E411="","-",'基础-办公用品信息'!E411)</f>
        <v>-</v>
      </c>
      <c r="F411" s="77" t="str">
        <f>IF('基础-办公用品信息'!F411="","-",'基础-办公用品信息'!F411)</f>
        <v>-</v>
      </c>
      <c r="G411" s="77" t="str">
        <f t="shared" si="21"/>
        <v>-</v>
      </c>
      <c r="H411" s="77">
        <f>SUMIFS(期初库存!G:G,期初库存!C:C,C411)+SUMIFS('采购录入（明细）'!I:I,'采购录入（明细）'!E:E,C411)-SUMIFS('领用录入（明细）'!I:I,'领用录入（明细）'!F:F,C411)</f>
        <v>0</v>
      </c>
      <c r="J411" s="79" t="str">
        <f t="shared" si="22"/>
        <v>否</v>
      </c>
    </row>
    <row r="412" customHeight="1" spans="2:10">
      <c r="B412" s="74">
        <v>433</v>
      </c>
      <c r="C412" s="77" t="str">
        <f>IF('基础-办公用品信息'!C412="","-",'基础-办公用品信息'!C412)</f>
        <v>-</v>
      </c>
      <c r="D412" s="77" t="str">
        <f>IF('基础-办公用品信息'!D425="","-",'基础-办公用品信息'!D425)</f>
        <v>-</v>
      </c>
      <c r="E412" s="77" t="str">
        <f>IF('基础-办公用品信息'!E412="","-",'基础-办公用品信息'!E412)</f>
        <v>-</v>
      </c>
      <c r="F412" s="77" t="str">
        <f>IF('基础-办公用品信息'!F412="","-",'基础-办公用品信息'!F412)</f>
        <v>-</v>
      </c>
      <c r="G412" s="77" t="str">
        <f t="shared" si="21"/>
        <v>-</v>
      </c>
      <c r="H412" s="77">
        <f>SUMIFS(期初库存!G:G,期初库存!C:C,C412)+SUMIFS('采购录入（明细）'!I:I,'采购录入（明细）'!E:E,C412)-SUMIFS('领用录入（明细）'!I:I,'领用录入（明细）'!F:F,C412)</f>
        <v>0</v>
      </c>
      <c r="J412" s="79" t="str">
        <f t="shared" si="22"/>
        <v>否</v>
      </c>
    </row>
    <row r="413" customHeight="1" spans="2:10">
      <c r="B413" s="74">
        <v>434</v>
      </c>
      <c r="C413" s="77" t="str">
        <f>IF('基础-办公用品信息'!C413="","-",'基础-办公用品信息'!C413)</f>
        <v>-</v>
      </c>
      <c r="D413" s="77" t="str">
        <f>IF('基础-办公用品信息'!D426="","-",'基础-办公用品信息'!D426)</f>
        <v>-</v>
      </c>
      <c r="E413" s="77" t="str">
        <f>IF('基础-办公用品信息'!E413="","-",'基础-办公用品信息'!E413)</f>
        <v>-</v>
      </c>
      <c r="F413" s="77" t="str">
        <f>IF('基础-办公用品信息'!F413="","-",'基础-办公用品信息'!F413)</f>
        <v>-</v>
      </c>
      <c r="G413" s="77" t="str">
        <f t="shared" si="21"/>
        <v>-</v>
      </c>
      <c r="H413" s="77">
        <f>SUMIFS(期初库存!G:G,期初库存!C:C,C413)+SUMIFS('采购录入（明细）'!I:I,'采购录入（明细）'!E:E,C413)-SUMIFS('领用录入（明细）'!I:I,'领用录入（明细）'!F:F,C413)</f>
        <v>0</v>
      </c>
      <c r="J413" s="79" t="str">
        <f t="shared" si="22"/>
        <v>否</v>
      </c>
    </row>
    <row r="414" customHeight="1" spans="2:10">
      <c r="B414" s="74">
        <v>435</v>
      </c>
      <c r="C414" s="77" t="str">
        <f>IF('基础-办公用品信息'!C414="","-",'基础-办公用品信息'!C414)</f>
        <v>-</v>
      </c>
      <c r="D414" s="77" t="str">
        <f>IF('基础-办公用品信息'!D427="","-",'基础-办公用品信息'!D427)</f>
        <v>-</v>
      </c>
      <c r="E414" s="77" t="str">
        <f>IF('基础-办公用品信息'!E414="","-",'基础-办公用品信息'!E414)</f>
        <v>-</v>
      </c>
      <c r="F414" s="77" t="str">
        <f>IF('基础-办公用品信息'!F414="","-",'基础-办公用品信息'!F414)</f>
        <v>-</v>
      </c>
      <c r="G414" s="77" t="str">
        <f t="shared" si="21"/>
        <v>-</v>
      </c>
      <c r="H414" s="77">
        <f>SUMIFS(期初库存!G:G,期初库存!C:C,C414)+SUMIFS('采购录入（明细）'!I:I,'采购录入（明细）'!E:E,C414)-SUMIFS('领用录入（明细）'!I:I,'领用录入（明细）'!F:F,C414)</f>
        <v>0</v>
      </c>
      <c r="J414" s="79" t="str">
        <f t="shared" si="22"/>
        <v>否</v>
      </c>
    </row>
    <row r="415" customHeight="1" spans="2:10">
      <c r="B415" s="74">
        <v>436</v>
      </c>
      <c r="C415" s="77" t="str">
        <f>IF('基础-办公用品信息'!C415="","-",'基础-办公用品信息'!C415)</f>
        <v>-</v>
      </c>
      <c r="D415" s="77" t="str">
        <f>IF('基础-办公用品信息'!D428="","-",'基础-办公用品信息'!D428)</f>
        <v>-</v>
      </c>
      <c r="E415" s="77" t="str">
        <f>IF('基础-办公用品信息'!E415="","-",'基础-办公用品信息'!E415)</f>
        <v>-</v>
      </c>
      <c r="F415" s="77" t="str">
        <f>IF('基础-办公用品信息'!F415="","-",'基础-办公用品信息'!F415)</f>
        <v>-</v>
      </c>
      <c r="G415" s="77" t="str">
        <f t="shared" si="21"/>
        <v>-</v>
      </c>
      <c r="H415" s="77">
        <f>SUMIFS(期初库存!G:G,期初库存!C:C,C415)+SUMIFS('采购录入（明细）'!I:I,'采购录入（明细）'!E:E,C415)-SUMIFS('领用录入（明细）'!I:I,'领用录入（明细）'!F:F,C415)</f>
        <v>0</v>
      </c>
      <c r="J415" s="79" t="str">
        <f t="shared" si="22"/>
        <v>否</v>
      </c>
    </row>
    <row r="416" customHeight="1" spans="2:10">
      <c r="B416" s="74">
        <v>437</v>
      </c>
      <c r="C416" s="77" t="str">
        <f>IF('基础-办公用品信息'!C416="","-",'基础-办公用品信息'!C416)</f>
        <v>-</v>
      </c>
      <c r="D416" s="77" t="str">
        <f>IF('基础-办公用品信息'!D429="","-",'基础-办公用品信息'!D429)</f>
        <v>-</v>
      </c>
      <c r="E416" s="77" t="str">
        <f>IF('基础-办公用品信息'!E416="","-",'基础-办公用品信息'!E416)</f>
        <v>-</v>
      </c>
      <c r="F416" s="77" t="str">
        <f>IF('基础-办公用品信息'!F416="","-",'基础-办公用品信息'!F416)</f>
        <v>-</v>
      </c>
      <c r="G416" s="77" t="str">
        <f t="shared" si="21"/>
        <v>-</v>
      </c>
      <c r="H416" s="77">
        <f>SUMIFS(期初库存!G:G,期初库存!C:C,C416)+SUMIFS('采购录入（明细）'!I:I,'采购录入（明细）'!E:E,C416)-SUMIFS('领用录入（明细）'!I:I,'领用录入（明细）'!F:F,C416)</f>
        <v>0</v>
      </c>
      <c r="J416" s="79" t="str">
        <f t="shared" si="22"/>
        <v>否</v>
      </c>
    </row>
    <row r="417" customHeight="1" spans="2:10">
      <c r="B417" s="74">
        <v>438</v>
      </c>
      <c r="C417" s="77" t="str">
        <f>IF('基础-办公用品信息'!C417="","-",'基础-办公用品信息'!C417)</f>
        <v>-</v>
      </c>
      <c r="D417" s="77" t="str">
        <f>IF('基础-办公用品信息'!D430="","-",'基础-办公用品信息'!D430)</f>
        <v>-</v>
      </c>
      <c r="E417" s="77" t="str">
        <f>IF('基础-办公用品信息'!E417="","-",'基础-办公用品信息'!E417)</f>
        <v>-</v>
      </c>
      <c r="F417" s="77" t="str">
        <f>IF('基础-办公用品信息'!F417="","-",'基础-办公用品信息'!F417)</f>
        <v>-</v>
      </c>
      <c r="G417" s="77" t="str">
        <f t="shared" si="21"/>
        <v>-</v>
      </c>
      <c r="H417" s="77">
        <f>SUMIFS(期初库存!G:G,期初库存!C:C,C417)+SUMIFS('采购录入（明细）'!I:I,'采购录入（明细）'!E:E,C417)-SUMIFS('领用录入（明细）'!I:I,'领用录入（明细）'!F:F,C417)</f>
        <v>0</v>
      </c>
      <c r="J417" s="79" t="str">
        <f t="shared" si="22"/>
        <v>否</v>
      </c>
    </row>
    <row r="418" customHeight="1" spans="2:10">
      <c r="B418" s="74">
        <v>439</v>
      </c>
      <c r="C418" s="77" t="str">
        <f>IF('基础-办公用品信息'!C418="","-",'基础-办公用品信息'!C418)</f>
        <v>-</v>
      </c>
      <c r="D418" s="77" t="str">
        <f>IF('基础-办公用品信息'!D431="","-",'基础-办公用品信息'!D431)</f>
        <v>-</v>
      </c>
      <c r="E418" s="77" t="str">
        <f>IF('基础-办公用品信息'!E418="","-",'基础-办公用品信息'!E418)</f>
        <v>-</v>
      </c>
      <c r="F418" s="77" t="str">
        <f>IF('基础-办公用品信息'!F418="","-",'基础-办公用品信息'!F418)</f>
        <v>-</v>
      </c>
      <c r="G418" s="77" t="str">
        <f t="shared" si="21"/>
        <v>-</v>
      </c>
      <c r="H418" s="77">
        <f>SUMIFS(期初库存!G:G,期初库存!C:C,C418)+SUMIFS('采购录入（明细）'!I:I,'采购录入（明细）'!E:E,C418)-SUMIFS('领用录入（明细）'!I:I,'领用录入（明细）'!F:F,C418)</f>
        <v>0</v>
      </c>
      <c r="J418" s="79" t="str">
        <f t="shared" si="22"/>
        <v>否</v>
      </c>
    </row>
    <row r="419" customHeight="1" spans="2:10">
      <c r="B419" s="74">
        <v>440</v>
      </c>
      <c r="C419" s="77" t="str">
        <f>IF('基础-办公用品信息'!C419="","-",'基础-办公用品信息'!C419)</f>
        <v>-</v>
      </c>
      <c r="D419" s="77" t="str">
        <f>IF('基础-办公用品信息'!D432="","-",'基础-办公用品信息'!D432)</f>
        <v>-</v>
      </c>
      <c r="E419" s="77" t="str">
        <f>IF('基础-办公用品信息'!E419="","-",'基础-办公用品信息'!E419)</f>
        <v>-</v>
      </c>
      <c r="F419" s="77" t="str">
        <f>IF('基础-办公用品信息'!F419="","-",'基础-办公用品信息'!F419)</f>
        <v>-</v>
      </c>
      <c r="G419" s="77" t="str">
        <f t="shared" si="21"/>
        <v>-</v>
      </c>
      <c r="H419" s="77">
        <f>SUMIFS(期初库存!G:G,期初库存!C:C,C419)+SUMIFS('采购录入（明细）'!I:I,'采购录入（明细）'!E:E,C419)-SUMIFS('领用录入（明细）'!I:I,'领用录入（明细）'!F:F,C419)</f>
        <v>0</v>
      </c>
      <c r="J419" s="79" t="str">
        <f t="shared" si="22"/>
        <v>否</v>
      </c>
    </row>
    <row r="420" customHeight="1" spans="2:10">
      <c r="B420" s="74">
        <v>441</v>
      </c>
      <c r="C420" s="77" t="str">
        <f>IF('基础-办公用品信息'!C420="","-",'基础-办公用品信息'!C420)</f>
        <v>-</v>
      </c>
      <c r="D420" s="77" t="str">
        <f>IF('基础-办公用品信息'!D433="","-",'基础-办公用品信息'!D433)</f>
        <v>-</v>
      </c>
      <c r="E420" s="77" t="str">
        <f>IF('基础-办公用品信息'!E420="","-",'基础-办公用品信息'!E420)</f>
        <v>-</v>
      </c>
      <c r="F420" s="77" t="str">
        <f>IF('基础-办公用品信息'!F420="","-",'基础-办公用品信息'!F420)</f>
        <v>-</v>
      </c>
      <c r="G420" s="77" t="str">
        <f t="shared" si="21"/>
        <v>-</v>
      </c>
      <c r="H420" s="77">
        <f>SUMIFS(期初库存!G:G,期初库存!C:C,C420)+SUMIFS('采购录入（明细）'!I:I,'采购录入（明细）'!E:E,C420)-SUMIFS('领用录入（明细）'!I:I,'领用录入（明细）'!F:F,C420)</f>
        <v>0</v>
      </c>
      <c r="J420" s="79" t="str">
        <f t="shared" si="22"/>
        <v>否</v>
      </c>
    </row>
    <row r="421" customHeight="1" spans="2:10">
      <c r="B421" s="74">
        <v>442</v>
      </c>
      <c r="C421" s="77" t="str">
        <f>IF('基础-办公用品信息'!C421="","-",'基础-办公用品信息'!C421)</f>
        <v>-</v>
      </c>
      <c r="D421" s="77" t="str">
        <f>IF('基础-办公用品信息'!D434="","-",'基础-办公用品信息'!D434)</f>
        <v>-</v>
      </c>
      <c r="E421" s="77" t="str">
        <f>IF('基础-办公用品信息'!E421="","-",'基础-办公用品信息'!E421)</f>
        <v>-</v>
      </c>
      <c r="F421" s="77" t="str">
        <f>IF('基础-办公用品信息'!F421="","-",'基础-办公用品信息'!F421)</f>
        <v>-</v>
      </c>
      <c r="G421" s="77" t="str">
        <f t="shared" si="21"/>
        <v>-</v>
      </c>
      <c r="H421" s="77">
        <f>SUMIFS(期初库存!G:G,期初库存!C:C,C421)+SUMIFS('采购录入（明细）'!I:I,'采购录入（明细）'!E:E,C421)-SUMIFS('领用录入（明细）'!I:I,'领用录入（明细）'!F:F,C421)</f>
        <v>0</v>
      </c>
      <c r="J421" s="79" t="str">
        <f t="shared" si="22"/>
        <v>否</v>
      </c>
    </row>
    <row r="422" customHeight="1" spans="2:10">
      <c r="B422" s="74">
        <v>443</v>
      </c>
      <c r="C422" s="77" t="str">
        <f>IF('基础-办公用品信息'!C422="","-",'基础-办公用品信息'!C422)</f>
        <v>-</v>
      </c>
      <c r="D422" s="77" t="str">
        <f>IF('基础-办公用品信息'!D435="","-",'基础-办公用品信息'!D435)</f>
        <v>-</v>
      </c>
      <c r="E422" s="77" t="str">
        <f>IF('基础-办公用品信息'!E422="","-",'基础-办公用品信息'!E422)</f>
        <v>-</v>
      </c>
      <c r="F422" s="77" t="str">
        <f>IF('基础-办公用品信息'!F422="","-",'基础-办公用品信息'!F422)</f>
        <v>-</v>
      </c>
      <c r="G422" s="77" t="str">
        <f t="shared" si="21"/>
        <v>-</v>
      </c>
      <c r="H422" s="77">
        <f>SUMIFS(期初库存!G:G,期初库存!C:C,C422)+SUMIFS('采购录入（明细）'!I:I,'采购录入（明细）'!E:E,C422)-SUMIFS('领用录入（明细）'!I:I,'领用录入（明细）'!F:F,C422)</f>
        <v>0</v>
      </c>
      <c r="J422" s="79" t="str">
        <f t="shared" si="22"/>
        <v>否</v>
      </c>
    </row>
    <row r="423" customHeight="1" spans="2:10">
      <c r="B423" s="74">
        <v>444</v>
      </c>
      <c r="C423" s="77" t="str">
        <f>IF('基础-办公用品信息'!C423="","-",'基础-办公用品信息'!C423)</f>
        <v>-</v>
      </c>
      <c r="D423" s="77" t="str">
        <f>IF('基础-办公用品信息'!D436="","-",'基础-办公用品信息'!D436)</f>
        <v>-</v>
      </c>
      <c r="E423" s="77" t="str">
        <f>IF('基础-办公用品信息'!E423="","-",'基础-办公用品信息'!E423)</f>
        <v>-</v>
      </c>
      <c r="F423" s="77" t="str">
        <f>IF('基础-办公用品信息'!F423="","-",'基础-办公用品信息'!F423)</f>
        <v>-</v>
      </c>
      <c r="G423" s="77" t="str">
        <f t="shared" si="21"/>
        <v>-</v>
      </c>
      <c r="H423" s="77">
        <f>SUMIFS(期初库存!G:G,期初库存!C:C,C423)+SUMIFS('采购录入（明细）'!I:I,'采购录入（明细）'!E:E,C423)-SUMIFS('领用录入（明细）'!I:I,'领用录入（明细）'!F:F,C423)</f>
        <v>0</v>
      </c>
      <c r="J423" s="79" t="str">
        <f t="shared" si="22"/>
        <v>否</v>
      </c>
    </row>
    <row r="424" customHeight="1" spans="2:10">
      <c r="B424" s="74">
        <v>445</v>
      </c>
      <c r="C424" s="77" t="str">
        <f>IF('基础-办公用品信息'!C424="","-",'基础-办公用品信息'!C424)</f>
        <v>-</v>
      </c>
      <c r="D424" s="77" t="str">
        <f>IF('基础-办公用品信息'!D437="","-",'基础-办公用品信息'!D437)</f>
        <v>-</v>
      </c>
      <c r="E424" s="77" t="str">
        <f>IF('基础-办公用品信息'!E424="","-",'基础-办公用品信息'!E424)</f>
        <v>-</v>
      </c>
      <c r="F424" s="77" t="str">
        <f>IF('基础-办公用品信息'!F424="","-",'基础-办公用品信息'!F424)</f>
        <v>-</v>
      </c>
      <c r="G424" s="77" t="str">
        <f t="shared" si="21"/>
        <v>-</v>
      </c>
      <c r="H424" s="77">
        <f>SUMIFS(期初库存!G:G,期初库存!C:C,C424)+SUMIFS('采购录入（明细）'!I:I,'采购录入（明细）'!E:E,C424)-SUMIFS('领用录入（明细）'!I:I,'领用录入（明细）'!F:F,C424)</f>
        <v>0</v>
      </c>
      <c r="J424" s="79" t="str">
        <f t="shared" si="22"/>
        <v>否</v>
      </c>
    </row>
    <row r="425" customHeight="1" spans="2:10">
      <c r="B425" s="74">
        <v>446</v>
      </c>
      <c r="C425" s="77" t="str">
        <f>IF('基础-办公用品信息'!C425="","-",'基础-办公用品信息'!C425)</f>
        <v>-</v>
      </c>
      <c r="D425" s="77" t="str">
        <f>IF('基础-办公用品信息'!D438="","-",'基础-办公用品信息'!D438)</f>
        <v>-</v>
      </c>
      <c r="E425" s="77" t="str">
        <f>IF('基础-办公用品信息'!E425="","-",'基础-办公用品信息'!E425)</f>
        <v>-</v>
      </c>
      <c r="F425" s="77" t="str">
        <f>IF('基础-办公用品信息'!F425="","-",'基础-办公用品信息'!F425)</f>
        <v>-</v>
      </c>
      <c r="G425" s="77" t="str">
        <f t="shared" si="21"/>
        <v>-</v>
      </c>
      <c r="H425" s="77">
        <f>SUMIFS(期初库存!G:G,期初库存!C:C,C425)+SUMIFS('采购录入（明细）'!I:I,'采购录入（明细）'!E:E,C425)-SUMIFS('领用录入（明细）'!I:I,'领用录入（明细）'!F:F,C425)</f>
        <v>0</v>
      </c>
      <c r="J425" s="79" t="str">
        <f t="shared" si="22"/>
        <v>否</v>
      </c>
    </row>
    <row r="426" customHeight="1" spans="2:10">
      <c r="B426" s="74">
        <v>447</v>
      </c>
      <c r="C426" s="77" t="str">
        <f>IF('基础-办公用品信息'!C426="","-",'基础-办公用品信息'!C426)</f>
        <v>-</v>
      </c>
      <c r="D426" s="77" t="str">
        <f>IF('基础-办公用品信息'!D439="","-",'基础-办公用品信息'!D439)</f>
        <v>-</v>
      </c>
      <c r="E426" s="77" t="str">
        <f>IF('基础-办公用品信息'!E426="","-",'基础-办公用品信息'!E426)</f>
        <v>-</v>
      </c>
      <c r="F426" s="77" t="str">
        <f>IF('基础-办公用品信息'!F426="","-",'基础-办公用品信息'!F426)</f>
        <v>-</v>
      </c>
      <c r="G426" s="77" t="str">
        <f t="shared" si="21"/>
        <v>-</v>
      </c>
      <c r="H426" s="77">
        <f>SUMIFS(期初库存!G:G,期初库存!C:C,C426)+SUMIFS('采购录入（明细）'!I:I,'采购录入（明细）'!E:E,C426)-SUMIFS('领用录入（明细）'!I:I,'领用录入（明细）'!F:F,C426)</f>
        <v>0</v>
      </c>
      <c r="J426" s="79" t="str">
        <f t="shared" si="22"/>
        <v>否</v>
      </c>
    </row>
    <row r="427" customHeight="1" spans="2:10">
      <c r="B427" s="74">
        <v>448</v>
      </c>
      <c r="C427" s="77" t="str">
        <f>IF('基础-办公用品信息'!C427="","-",'基础-办公用品信息'!C427)</f>
        <v>-</v>
      </c>
      <c r="D427" s="77" t="str">
        <f>IF('基础-办公用品信息'!D440="","-",'基础-办公用品信息'!D440)</f>
        <v>-</v>
      </c>
      <c r="E427" s="77" t="str">
        <f>IF('基础-办公用品信息'!E427="","-",'基础-办公用品信息'!E427)</f>
        <v>-</v>
      </c>
      <c r="F427" s="77" t="str">
        <f>IF('基础-办公用品信息'!F427="","-",'基础-办公用品信息'!F427)</f>
        <v>-</v>
      </c>
      <c r="G427" s="77" t="str">
        <f t="shared" si="21"/>
        <v>-</v>
      </c>
      <c r="H427" s="77">
        <f>SUMIFS(期初库存!G:G,期初库存!C:C,C427)+SUMIFS('采购录入（明细）'!I:I,'采购录入（明细）'!E:E,C427)-SUMIFS('领用录入（明细）'!I:I,'领用录入（明细）'!F:F,C427)</f>
        <v>0</v>
      </c>
      <c r="J427" s="79" t="str">
        <f t="shared" si="22"/>
        <v>否</v>
      </c>
    </row>
    <row r="428" customHeight="1" spans="2:10">
      <c r="B428" s="74">
        <v>449</v>
      </c>
      <c r="C428" s="77" t="str">
        <f>IF('基础-办公用品信息'!C428="","-",'基础-办公用品信息'!C428)</f>
        <v>-</v>
      </c>
      <c r="D428" s="77" t="str">
        <f>IF('基础-办公用品信息'!D441="","-",'基础-办公用品信息'!D441)</f>
        <v>-</v>
      </c>
      <c r="E428" s="77" t="str">
        <f>IF('基础-办公用品信息'!E428="","-",'基础-办公用品信息'!E428)</f>
        <v>-</v>
      </c>
      <c r="F428" s="77" t="str">
        <f>IF('基础-办公用品信息'!F428="","-",'基础-办公用品信息'!F428)</f>
        <v>-</v>
      </c>
      <c r="G428" s="77" t="str">
        <f t="shared" si="21"/>
        <v>-</v>
      </c>
      <c r="H428" s="77">
        <f>SUMIFS(期初库存!G:G,期初库存!C:C,C428)+SUMIFS('采购录入（明细）'!I:I,'采购录入（明细）'!E:E,C428)-SUMIFS('领用录入（明细）'!I:I,'领用录入（明细）'!F:F,C428)</f>
        <v>0</v>
      </c>
      <c r="J428" s="79" t="str">
        <f t="shared" si="22"/>
        <v>否</v>
      </c>
    </row>
    <row r="429" customHeight="1" spans="2:10">
      <c r="B429" s="74">
        <v>450</v>
      </c>
      <c r="C429" s="77" t="str">
        <f>IF('基础-办公用品信息'!C429="","-",'基础-办公用品信息'!C429)</f>
        <v>-</v>
      </c>
      <c r="D429" s="77" t="str">
        <f>IF('基础-办公用品信息'!D442="","-",'基础-办公用品信息'!D442)</f>
        <v>-</v>
      </c>
      <c r="E429" s="77" t="str">
        <f>IF('基础-办公用品信息'!E429="","-",'基础-办公用品信息'!E429)</f>
        <v>-</v>
      </c>
      <c r="F429" s="77" t="str">
        <f>IF('基础-办公用品信息'!F429="","-",'基础-办公用品信息'!F429)</f>
        <v>-</v>
      </c>
      <c r="G429" s="77" t="str">
        <f t="shared" si="21"/>
        <v>-</v>
      </c>
      <c r="H429" s="77">
        <f>SUMIFS(期初库存!G:G,期初库存!C:C,C429)+SUMIFS('采购录入（明细）'!I:I,'采购录入（明细）'!E:E,C429)-SUMIFS('领用录入（明细）'!I:I,'领用录入（明细）'!F:F,C429)</f>
        <v>0</v>
      </c>
      <c r="J429" s="79" t="str">
        <f t="shared" si="22"/>
        <v>否</v>
      </c>
    </row>
    <row r="430" customHeight="1" spans="2:10">
      <c r="B430" s="74">
        <v>451</v>
      </c>
      <c r="C430" s="77" t="str">
        <f>IF('基础-办公用品信息'!C430="","-",'基础-办公用品信息'!C430)</f>
        <v>-</v>
      </c>
      <c r="D430" s="77" t="str">
        <f>IF('基础-办公用品信息'!D443="","-",'基础-办公用品信息'!D443)</f>
        <v>-</v>
      </c>
      <c r="E430" s="77" t="str">
        <f>IF('基础-办公用品信息'!E430="","-",'基础-办公用品信息'!E430)</f>
        <v>-</v>
      </c>
      <c r="F430" s="77" t="str">
        <f>IF('基础-办公用品信息'!F430="","-",'基础-办公用品信息'!F430)</f>
        <v>-</v>
      </c>
      <c r="G430" s="77" t="str">
        <f t="shared" si="21"/>
        <v>-</v>
      </c>
      <c r="H430" s="77">
        <f>SUMIFS(期初库存!G:G,期初库存!C:C,C430)+SUMIFS('采购录入（明细）'!I:I,'采购录入（明细）'!E:E,C430)-SUMIFS('领用录入（明细）'!I:I,'领用录入（明细）'!F:F,C430)</f>
        <v>0</v>
      </c>
      <c r="J430" s="79" t="str">
        <f t="shared" si="22"/>
        <v>否</v>
      </c>
    </row>
    <row r="431" customHeight="1" spans="2:10">
      <c r="B431" s="74">
        <v>452</v>
      </c>
      <c r="C431" s="77" t="str">
        <f>IF('基础-办公用品信息'!C431="","-",'基础-办公用品信息'!C431)</f>
        <v>-</v>
      </c>
      <c r="D431" s="77" t="str">
        <f>IF('基础-办公用品信息'!D444="","-",'基础-办公用品信息'!D444)</f>
        <v>-</v>
      </c>
      <c r="E431" s="77" t="str">
        <f>IF('基础-办公用品信息'!E431="","-",'基础-办公用品信息'!E431)</f>
        <v>-</v>
      </c>
      <c r="F431" s="77" t="str">
        <f>IF('基础-办公用品信息'!F431="","-",'基础-办公用品信息'!F431)</f>
        <v>-</v>
      </c>
      <c r="G431" s="77" t="str">
        <f t="shared" si="21"/>
        <v>-</v>
      </c>
      <c r="H431" s="77">
        <f>SUMIFS(期初库存!G:G,期初库存!C:C,C431)+SUMIFS('采购录入（明细）'!I:I,'采购录入（明细）'!E:E,C431)-SUMIFS('领用录入（明细）'!I:I,'领用录入（明细）'!F:F,C431)</f>
        <v>0</v>
      </c>
      <c r="J431" s="79" t="str">
        <f t="shared" si="22"/>
        <v>否</v>
      </c>
    </row>
    <row r="432" customHeight="1" spans="2:10">
      <c r="B432" s="74">
        <v>453</v>
      </c>
      <c r="C432" s="77" t="str">
        <f>IF('基础-办公用品信息'!C432="","-",'基础-办公用品信息'!C432)</f>
        <v>-</v>
      </c>
      <c r="D432" s="77" t="str">
        <f>IF('基础-办公用品信息'!D445="","-",'基础-办公用品信息'!D445)</f>
        <v>-</v>
      </c>
      <c r="E432" s="77" t="str">
        <f>IF('基础-办公用品信息'!E432="","-",'基础-办公用品信息'!E432)</f>
        <v>-</v>
      </c>
      <c r="F432" s="77" t="str">
        <f>IF('基础-办公用品信息'!F432="","-",'基础-办公用品信息'!F432)</f>
        <v>-</v>
      </c>
      <c r="G432" s="77" t="str">
        <f t="shared" si="21"/>
        <v>-</v>
      </c>
      <c r="H432" s="77">
        <f>SUMIFS(期初库存!G:G,期初库存!C:C,C432)+SUMIFS('采购录入（明细）'!I:I,'采购录入（明细）'!E:E,C432)-SUMIFS('领用录入（明细）'!I:I,'领用录入（明细）'!F:F,C432)</f>
        <v>0</v>
      </c>
      <c r="J432" s="79" t="str">
        <f t="shared" si="22"/>
        <v>否</v>
      </c>
    </row>
    <row r="433" customHeight="1" spans="2:10">
      <c r="B433" s="74">
        <v>454</v>
      </c>
      <c r="C433" s="77" t="str">
        <f>IF('基础-办公用品信息'!C433="","-",'基础-办公用品信息'!C433)</f>
        <v>-</v>
      </c>
      <c r="D433" s="77" t="str">
        <f>IF('基础-办公用品信息'!D446="","-",'基础-办公用品信息'!D446)</f>
        <v>-</v>
      </c>
      <c r="E433" s="77" t="str">
        <f>IF('基础-办公用品信息'!E433="","-",'基础-办公用品信息'!E433)</f>
        <v>-</v>
      </c>
      <c r="F433" s="77" t="str">
        <f>IF('基础-办公用品信息'!F433="","-",'基础-办公用品信息'!F433)</f>
        <v>-</v>
      </c>
      <c r="G433" s="77" t="str">
        <f t="shared" si="21"/>
        <v>-</v>
      </c>
      <c r="H433" s="77">
        <f>SUMIFS(期初库存!G:G,期初库存!C:C,C433)+SUMIFS('采购录入（明细）'!I:I,'采购录入（明细）'!E:E,C433)-SUMIFS('领用录入（明细）'!I:I,'领用录入（明细）'!F:F,C433)</f>
        <v>0</v>
      </c>
      <c r="J433" s="79" t="str">
        <f t="shared" si="22"/>
        <v>否</v>
      </c>
    </row>
    <row r="434" customHeight="1" spans="2:10">
      <c r="B434" s="74">
        <v>455</v>
      </c>
      <c r="C434" s="77" t="str">
        <f>IF('基础-办公用品信息'!C434="","-",'基础-办公用品信息'!C434)</f>
        <v>-</v>
      </c>
      <c r="D434" s="77" t="str">
        <f>IF('基础-办公用品信息'!D447="","-",'基础-办公用品信息'!D447)</f>
        <v>-</v>
      </c>
      <c r="E434" s="77" t="str">
        <f>IF('基础-办公用品信息'!E434="","-",'基础-办公用品信息'!E434)</f>
        <v>-</v>
      </c>
      <c r="F434" s="77" t="str">
        <f>IF('基础-办公用品信息'!F434="","-",'基础-办公用品信息'!F434)</f>
        <v>-</v>
      </c>
      <c r="G434" s="77" t="str">
        <f t="shared" si="21"/>
        <v>-</v>
      </c>
      <c r="H434" s="77">
        <f>SUMIFS(期初库存!G:G,期初库存!C:C,C434)+SUMIFS('采购录入（明细）'!I:I,'采购录入（明细）'!E:E,C434)-SUMIFS('领用录入（明细）'!I:I,'领用录入（明细）'!F:F,C434)</f>
        <v>0</v>
      </c>
      <c r="J434" s="79" t="str">
        <f t="shared" si="22"/>
        <v>否</v>
      </c>
    </row>
    <row r="435" customHeight="1" spans="2:10">
      <c r="B435" s="74">
        <v>456</v>
      </c>
      <c r="C435" s="77" t="str">
        <f>IF('基础-办公用品信息'!C435="","-",'基础-办公用品信息'!C435)</f>
        <v>-</v>
      </c>
      <c r="D435" s="77" t="str">
        <f>IF('基础-办公用品信息'!D448="","-",'基础-办公用品信息'!D448)</f>
        <v>-</v>
      </c>
      <c r="E435" s="77" t="str">
        <f>IF('基础-办公用品信息'!E435="","-",'基础-办公用品信息'!E435)</f>
        <v>-</v>
      </c>
      <c r="F435" s="77" t="str">
        <f>IF('基础-办公用品信息'!F435="","-",'基础-办公用品信息'!F435)</f>
        <v>-</v>
      </c>
      <c r="G435" s="77" t="str">
        <f t="shared" si="21"/>
        <v>-</v>
      </c>
      <c r="H435" s="77">
        <f>SUMIFS(期初库存!G:G,期初库存!C:C,C435)+SUMIFS('采购录入（明细）'!I:I,'采购录入（明细）'!E:E,C435)-SUMIFS('领用录入（明细）'!I:I,'领用录入（明细）'!F:F,C435)</f>
        <v>0</v>
      </c>
      <c r="J435" s="79" t="str">
        <f t="shared" si="22"/>
        <v>否</v>
      </c>
    </row>
    <row r="436" customHeight="1" spans="2:10">
      <c r="B436" s="74">
        <v>457</v>
      </c>
      <c r="C436" s="77" t="str">
        <f>IF('基础-办公用品信息'!C436="","-",'基础-办公用品信息'!C436)</f>
        <v>-</v>
      </c>
      <c r="D436" s="77" t="str">
        <f>IF('基础-办公用品信息'!D449="","-",'基础-办公用品信息'!D449)</f>
        <v>-</v>
      </c>
      <c r="E436" s="77" t="str">
        <f>IF('基础-办公用品信息'!E436="","-",'基础-办公用品信息'!E436)</f>
        <v>-</v>
      </c>
      <c r="F436" s="77" t="str">
        <f>IF('基础-办公用品信息'!F436="","-",'基础-办公用品信息'!F436)</f>
        <v>-</v>
      </c>
      <c r="G436" s="77" t="str">
        <f>IFERROR(F436*H436,"-")</f>
        <v>-</v>
      </c>
      <c r="H436" s="77">
        <f>SUMIFS(期初库存!G:G,期初库存!C:C,C436)+SUMIFS('采购录入（明细）'!I:I,'采购录入（明细）'!E:E,C436)-SUMIFS('领用录入（明细）'!I:I,'领用录入（明细）'!F:F,C436)</f>
        <v>0</v>
      </c>
      <c r="J436" s="79" t="str">
        <f>IF(I436&gt;H436,"采购","否")</f>
        <v>否</v>
      </c>
    </row>
    <row r="437" customHeight="1" spans="2:10">
      <c r="B437" s="74">
        <v>458</v>
      </c>
      <c r="C437" s="77" t="str">
        <f>IF('基础-办公用品信息'!C437="","-",'基础-办公用品信息'!C437)</f>
        <v>-</v>
      </c>
      <c r="D437" s="77" t="str">
        <f>IF('基础-办公用品信息'!D450="","-",'基础-办公用品信息'!D450)</f>
        <v>-</v>
      </c>
      <c r="E437" s="77" t="str">
        <f>IF('基础-办公用品信息'!E437="","-",'基础-办公用品信息'!E437)</f>
        <v>-</v>
      </c>
      <c r="F437" s="77" t="str">
        <f>IF('基础-办公用品信息'!F437="","-",'基础-办公用品信息'!F437)</f>
        <v>-</v>
      </c>
      <c r="G437" s="77" t="str">
        <f>IFERROR(F437*H437,"-")</f>
        <v>-</v>
      </c>
      <c r="H437" s="77">
        <f>SUMIFS(期初库存!G:G,期初库存!C:C,C437)+SUMIFS('采购录入（明细）'!I:I,'采购录入（明细）'!E:E,C437)-SUMIFS('领用录入（明细）'!I:I,'领用录入（明细）'!F:F,C437)</f>
        <v>0</v>
      </c>
      <c r="J437" s="79" t="str">
        <f>IF(I437&gt;H437,"采购","否")</f>
        <v>否</v>
      </c>
    </row>
    <row r="438" customHeight="1" spans="2:10">
      <c r="B438" s="74">
        <v>459</v>
      </c>
      <c r="C438" s="77" t="str">
        <f>IF('基础-办公用品信息'!C438="","-",'基础-办公用品信息'!C438)</f>
        <v>-</v>
      </c>
      <c r="D438" s="77" t="str">
        <f>IF('基础-办公用品信息'!D451="","-",'基础-办公用品信息'!D451)</f>
        <v>-</v>
      </c>
      <c r="E438" s="77" t="str">
        <f>IF('基础-办公用品信息'!E438="","-",'基础-办公用品信息'!E438)</f>
        <v>-</v>
      </c>
      <c r="F438" s="77" t="str">
        <f>IF('基础-办公用品信息'!F438="","-",'基础-办公用品信息'!F438)</f>
        <v>-</v>
      </c>
      <c r="G438" s="77" t="str">
        <f>IFERROR(F438*H438,"-")</f>
        <v>-</v>
      </c>
      <c r="H438" s="77">
        <f>SUMIFS(期初库存!G:G,期初库存!C:C,C438)+SUMIFS('采购录入（明细）'!I:I,'采购录入（明细）'!E:E,C438)-SUMIFS('领用录入（明细）'!I:I,'领用录入（明细）'!F:F,C438)</f>
        <v>0</v>
      </c>
      <c r="J438" s="79" t="str">
        <f>IF(I438&gt;H438,"采购","否")</f>
        <v>否</v>
      </c>
    </row>
  </sheetData>
  <mergeCells count="1">
    <mergeCell ref="B2:J2"/>
  </mergeCells>
  <conditionalFormatting sqref="J4:J438">
    <cfRule type="cellIs" dxfId="6" priority="1" operator="equal">
      <formula>"采购"</formula>
    </cfRule>
  </conditionalFormatting>
  <pageMargins left="0.699305555555556" right="0.699305555555556" top="0.75" bottom="0.75" header="0.3" footer="0.3"/>
  <pageSetup paperSize="9" scale="82" orientation="portrait"/>
  <headerFooter/>
  <colBreaks count="1" manualBreakCount="1">
    <brk id="10" max="1048575" man="1"/>
  </col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212"/>
  <sheetViews>
    <sheetView showGridLines="0" workbookViewId="0">
      <pane ySplit="3" topLeftCell="A4" activePane="bottomLeft" state="frozen"/>
      <selection/>
      <selection pane="bottomLeft" activeCell="A1" sqref="A1"/>
    </sheetView>
  </sheetViews>
  <sheetFormatPr defaultColWidth="9" defaultRowHeight="18.95" customHeight="1"/>
  <cols>
    <col min="1" max="1" width="1.56363636363636" style="42" customWidth="1"/>
    <col min="2" max="2" width="3.28181818181818" style="62" hidden="1" customWidth="1"/>
    <col min="3" max="3" width="9.14545454545454" style="44" customWidth="1"/>
    <col min="4" max="4" width="23.5636363636364" style="44" customWidth="1"/>
    <col min="5" max="5" width="14.4272727272727" style="44" customWidth="1"/>
    <col min="6" max="6" width="16.2818181818182" style="45" customWidth="1"/>
    <col min="7" max="7" width="14" style="45" customWidth="1"/>
    <col min="8" max="8" width="16.7090909090909" style="45" customWidth="1"/>
    <col min="9" max="9" width="14" style="44" customWidth="1"/>
    <col min="10" max="10" width="18.2818181818182" style="44" customWidth="1"/>
    <col min="11" max="11" width="11.8545454545455" style="46" customWidth="1"/>
    <col min="12" max="16380" width="9" style="46"/>
  </cols>
  <sheetData>
    <row r="1" s="42" customFormat="1" ht="21.95" customHeight="1" spans="2:11">
      <c r="B1" s="62"/>
      <c r="C1" s="44"/>
      <c r="D1" s="44"/>
      <c r="E1" s="44"/>
      <c r="F1" s="45"/>
      <c r="G1" s="45"/>
      <c r="H1" s="45"/>
      <c r="I1" s="44"/>
      <c r="J1" s="44"/>
      <c r="K1" s="63" t="s">
        <v>350</v>
      </c>
    </row>
    <row r="2" ht="27" customHeight="1" spans="2:11">
      <c r="B2" s="62" t="s">
        <v>381</v>
      </c>
      <c r="C2" s="48" t="str">
        <f ca="1">"当前紧急采购明细 ( 合计 "&amp;COUNT(H4:H203)&amp;"条 )"</f>
        <v>当前紧急采购明细 ( 合计 0条 )</v>
      </c>
      <c r="D2" s="48"/>
      <c r="E2" s="48"/>
      <c r="F2" s="64"/>
      <c r="G2" s="64"/>
      <c r="H2" s="64"/>
      <c r="I2" s="48"/>
      <c r="J2" s="48"/>
      <c r="K2" s="65">
        <f ca="1">SUM(H4:H1000)</f>
        <v>0</v>
      </c>
    </row>
    <row r="3" ht="21.95" customHeight="1" spans="2:11">
      <c r="B3" s="62" t="str">
        <f>IF(当前库存!J:J="采购",ROW(),"-")</f>
        <v>-</v>
      </c>
      <c r="C3" s="66" t="s">
        <v>3</v>
      </c>
      <c r="D3" s="66" t="s">
        <v>4</v>
      </c>
      <c r="E3" s="66" t="s">
        <v>5</v>
      </c>
      <c r="F3" s="66" t="s">
        <v>6</v>
      </c>
      <c r="G3" s="66" t="s">
        <v>7</v>
      </c>
      <c r="H3" s="66" t="s">
        <v>354</v>
      </c>
      <c r="I3" s="66" t="s">
        <v>391</v>
      </c>
      <c r="J3" s="66" t="s">
        <v>392</v>
      </c>
    </row>
    <row r="4" ht="21.95" customHeight="1" spans="2:11">
      <c r="B4" s="62" t="str">
        <f>IF(当前库存!J:J="采购",ROW(),"-")</f>
        <v>-</v>
      </c>
      <c r="C4" s="67">
        <f ca="1">IFERROR(INDEX(当前库存!$B:$J,SMALL($B:$B,ROW(A1)),MATCH(C$3,$C$3:$J$3,0)),"")</f>
        <v>168</v>
      </c>
      <c r="D4" s="68" t="str">
        <f ca="1">IFERROR(INDEX(当前库存!$B:$J,SMALL($B:$B,ROW(B1)),MATCH(D$3,$C$3:$J$3,0)),"")</f>
        <v>拖把</v>
      </c>
      <c r="E4" s="68" t="str">
        <f ca="1">IFERROR(INDEX(当前库存!$B:$J,SMALL($B:$B,ROW(C1)),MATCH(E$3,$C$3:$J$3,0)),"")</f>
        <v>包</v>
      </c>
      <c r="F4" s="68" t="str">
        <f ca="1">IFERROR(INDEX(当前库存!$B:$J,SMALL($B:$B,ROW(D1)),MATCH(F$3,$C$3:$J$3,0)),"")</f>
        <v>-</v>
      </c>
      <c r="G4" s="68" t="str">
        <f ca="1">IFERROR(INDEX(当前库存!$B:$J,SMALL($B:$B,ROW(E1)),MATCH(G$3,$C$3:$J$3,0)),"")</f>
        <v>-</v>
      </c>
      <c r="H4" s="68" t="str">
        <f ca="1">IFERROR(INDEX(当前库存!$B:$J,SMALL($B:$B,ROW(F1)),MATCH(H$3,$C$3:$J$3,0)),"")</f>
        <v>-</v>
      </c>
      <c r="I4" s="68">
        <f ca="1">IFERROR(INDEX(当前库存!$B:$J,SMALL($B:$B,ROW(G1)),MATCH(I$3,$C$3:$J$3,0)),"")</f>
        <v>0</v>
      </c>
      <c r="J4" s="68">
        <f ca="1">IFERROR(INDEX(当前库存!$B:$J,SMALL($B:$B,ROW(H1)),MATCH(J$3,$C$3:$J$3,0)),"")</f>
        <v>10</v>
      </c>
    </row>
    <row r="5" ht="21.95" customHeight="1" spans="2:11">
      <c r="B5" s="62" t="str">
        <f>IF(当前库存!J:J="采购",ROW(),"-")</f>
        <v>-</v>
      </c>
      <c r="C5" s="67">
        <f ca="1">IFERROR(INDEX(当前库存!$B:$J,SMALL($B:$B,ROW(A2)),MATCH(C$3,$C$3:$J$3,0)),"")</f>
        <v>177</v>
      </c>
      <c r="D5" s="68" t="str">
        <f ca="1">IFERROR(INDEX(当前库存!$B:$J,SMALL($B:$B,ROW(B2)),MATCH(D$3,$C$3:$J$3,0)),"")</f>
        <v>手套</v>
      </c>
      <c r="E5" s="68" t="str">
        <f ca="1">IFERROR(INDEX(当前库存!$B:$J,SMALL($B:$B,ROW(C2)),MATCH(E$3,$C$3:$J$3,0)),"")</f>
        <v>个</v>
      </c>
      <c r="F5" s="68" t="str">
        <f ca="1">IFERROR(INDEX(当前库存!$B:$J,SMALL($B:$B,ROW(D2)),MATCH(F$3,$C$3:$J$3,0)),"")</f>
        <v>-</v>
      </c>
      <c r="G5" s="68" t="str">
        <f ca="1">IFERROR(INDEX(当前库存!$B:$J,SMALL($B:$B,ROW(E2)),MATCH(G$3,$C$3:$J$3,0)),"")</f>
        <v>-</v>
      </c>
      <c r="H5" s="68" t="str">
        <f ca="1">IFERROR(INDEX(当前库存!$B:$J,SMALL($B:$B,ROW(F2)),MATCH(H$3,$C$3:$J$3,0)),"")</f>
        <v>-</v>
      </c>
      <c r="I5" s="68">
        <f ca="1">IFERROR(INDEX(当前库存!$B:$J,SMALL($B:$B,ROW(G2)),MATCH(I$3,$C$3:$J$3,0)),"")</f>
        <v>0</v>
      </c>
      <c r="J5" s="68">
        <f ca="1">IFERROR(INDEX(当前库存!$B:$J,SMALL($B:$B,ROW(H2)),MATCH(J$3,$C$3:$J$3,0)),"")</f>
        <v>10</v>
      </c>
    </row>
    <row r="6" ht="21.95" customHeight="1" spans="2:11">
      <c r="B6" s="62" t="str">
        <f>IF(当前库存!J:J="采购",ROW(),"-")</f>
        <v>-</v>
      </c>
      <c r="C6" s="67">
        <f ca="1">IFERROR(INDEX(当前库存!$B:$J,SMALL($B:$B,ROW(A3)),MATCH(C$3,$C$3:$J$3,0)),"")</f>
        <v>180</v>
      </c>
      <c r="D6" s="68" t="str">
        <f ca="1">IFERROR(INDEX(当前库存!$B:$J,SMALL($B:$B,ROW(B3)),MATCH(D$3,$C$3:$J$3,0)),"")</f>
        <v>交换机</v>
      </c>
      <c r="E6" s="68" t="str">
        <f ca="1">IFERROR(INDEX(当前库存!$B:$J,SMALL($B:$B,ROW(C3)),MATCH(E$3,$C$3:$J$3,0)),"")</f>
        <v>个</v>
      </c>
      <c r="F6" s="68" t="str">
        <f ca="1">IFERROR(INDEX(当前库存!$B:$J,SMALL($B:$B,ROW(D3)),MATCH(F$3,$C$3:$J$3,0)),"")</f>
        <v>-</v>
      </c>
      <c r="G6" s="68" t="str">
        <f ca="1">IFERROR(INDEX(当前库存!$B:$J,SMALL($B:$B,ROW(E3)),MATCH(G$3,$C$3:$J$3,0)),"")</f>
        <v>-</v>
      </c>
      <c r="H6" s="68" t="str">
        <f ca="1">IFERROR(INDEX(当前库存!$B:$J,SMALL($B:$B,ROW(F3)),MATCH(H$3,$C$3:$J$3,0)),"")</f>
        <v>-</v>
      </c>
      <c r="I6" s="68">
        <f ca="1">IFERROR(INDEX(当前库存!$B:$J,SMALL($B:$B,ROW(G3)),MATCH(I$3,$C$3:$J$3,0)),"")</f>
        <v>0</v>
      </c>
      <c r="J6" s="68">
        <f ca="1">IFERROR(INDEX(当前库存!$B:$J,SMALL($B:$B,ROW(H3)),MATCH(J$3,$C$3:$J$3,0)),"")</f>
        <v>1</v>
      </c>
    </row>
    <row r="7" ht="21.95" customHeight="1" spans="2:11">
      <c r="B7" s="62" t="str">
        <f>IF(当前库存!J:J="采购",ROW(),"-")</f>
        <v>-</v>
      </c>
      <c r="C7" s="67">
        <f ca="1">IFERROR(INDEX(当前库存!$B:$J,SMALL($B:$B,ROW(A4)),MATCH(C$3,$C$3:$J$3,0)),"")</f>
        <v>226</v>
      </c>
      <c r="D7" s="68" t="str">
        <f ca="1">IFERROR(INDEX(当前库存!$B:$J,SMALL($B:$B,ROW(B4)),MATCH(D$3,$C$3:$J$3,0)),"")</f>
        <v>吸水拖把</v>
      </c>
      <c r="E7" s="68" t="str">
        <f ca="1">IFERROR(INDEX(当前库存!$B:$J,SMALL($B:$B,ROW(C4)),MATCH(E$3,$C$3:$J$3,0)),"")</f>
        <v>个</v>
      </c>
      <c r="F7" s="68" t="str">
        <f ca="1">IFERROR(INDEX(当前库存!$B:$J,SMALL($B:$B,ROW(D4)),MATCH(F$3,$C$3:$J$3,0)),"")</f>
        <v>-</v>
      </c>
      <c r="G7" s="68" t="str">
        <f ca="1">IFERROR(INDEX(当前库存!$B:$J,SMALL($B:$B,ROW(E4)),MATCH(G$3,$C$3:$J$3,0)),"")</f>
        <v>-</v>
      </c>
      <c r="H7" s="68" t="str">
        <f ca="1">IFERROR(INDEX(当前库存!$B:$J,SMALL($B:$B,ROW(F4)),MATCH(H$3,$C$3:$J$3,0)),"")</f>
        <v>-</v>
      </c>
      <c r="I7" s="68">
        <f ca="1">IFERROR(INDEX(当前库存!$B:$J,SMALL($B:$B,ROW(G4)),MATCH(I$3,$C$3:$J$3,0)),"")</f>
        <v>-2</v>
      </c>
      <c r="J7" s="68">
        <f ca="1">IFERROR(INDEX(当前库存!$B:$J,SMALL($B:$B,ROW(H4)),MATCH(J$3,$C$3:$J$3,0)),"")</f>
        <v>0</v>
      </c>
    </row>
    <row r="8" ht="21.95" customHeight="1" spans="2:11">
      <c r="B8" s="62" t="str">
        <f>IF(当前库存!J:J="采购",ROW(),"-")</f>
        <v>-</v>
      </c>
      <c r="C8" s="67" t="str">
        <f ca="1">IFERROR(INDEX(当前库存!$B:$J,SMALL($B:$B,ROW(A5)),MATCH(C$3,$C$3:$J$3,0)),"")</f>
        <v/>
      </c>
      <c r="D8" s="68" t="str">
        <f ca="1">IFERROR(INDEX(当前库存!$B:$J,SMALL($B:$B,ROW(B5)),MATCH(D$3,$C$3:$J$3,0)),"")</f>
        <v/>
      </c>
      <c r="E8" s="68" t="str">
        <f ca="1">IFERROR(INDEX(当前库存!$B:$J,SMALL($B:$B,ROW(C5)),MATCH(E$3,$C$3:$J$3,0)),"")</f>
        <v/>
      </c>
      <c r="F8" s="68" t="str">
        <f ca="1">IFERROR(INDEX(当前库存!$B:$J,SMALL($B:$B,ROW(D5)),MATCH(F$3,$C$3:$J$3,0)),"")</f>
        <v/>
      </c>
      <c r="G8" s="68" t="str">
        <f ca="1">IFERROR(INDEX(当前库存!$B:$J,SMALL($B:$B,ROW(E5)),MATCH(G$3,$C$3:$J$3,0)),"")</f>
        <v/>
      </c>
      <c r="H8" s="68" t="str">
        <f ca="1">IFERROR(INDEX(当前库存!$B:$J,SMALL($B:$B,ROW(F5)),MATCH(H$3,$C$3:$J$3,0)),"")</f>
        <v/>
      </c>
      <c r="I8" s="68" t="str">
        <f ca="1">IFERROR(INDEX(当前库存!$B:$J,SMALL($B:$B,ROW(G5)),MATCH(I$3,$C$3:$J$3,0)),"")</f>
        <v/>
      </c>
      <c r="J8" s="68" t="str">
        <f ca="1">IFERROR(INDEX(当前库存!$B:$J,SMALL($B:$B,ROW(H5)),MATCH(J$3,$C$3:$J$3,0)),"")</f>
        <v/>
      </c>
    </row>
    <row r="9" ht="21.95" customHeight="1" spans="2:11">
      <c r="B9" s="62" t="str">
        <f>IF(当前库存!J:J="采购",ROW(),"-")</f>
        <v>-</v>
      </c>
      <c r="C9" s="67" t="str">
        <f ca="1">IFERROR(INDEX(当前库存!$B:$J,SMALL($B:$B,ROW(A6)),MATCH(C$3,$C$3:$J$3,0)),"")</f>
        <v/>
      </c>
      <c r="D9" s="68" t="str">
        <f ca="1">IFERROR(INDEX(当前库存!$B:$J,SMALL($B:$B,ROW(B6)),MATCH(D$3,$C$3:$J$3,0)),"")</f>
        <v/>
      </c>
      <c r="E9" s="68" t="str">
        <f ca="1">IFERROR(INDEX(当前库存!$B:$J,SMALL($B:$B,ROW(C6)),MATCH(E$3,$C$3:$J$3,0)),"")</f>
        <v/>
      </c>
      <c r="F9" s="68" t="str">
        <f ca="1">IFERROR(INDEX(当前库存!$B:$J,SMALL($B:$B,ROW(D6)),MATCH(F$3,$C$3:$J$3,0)),"")</f>
        <v/>
      </c>
      <c r="G9" s="68" t="str">
        <f ca="1">IFERROR(INDEX(当前库存!$B:$J,SMALL($B:$B,ROW(E6)),MATCH(G$3,$C$3:$J$3,0)),"")</f>
        <v/>
      </c>
      <c r="H9" s="68" t="str">
        <f ca="1">IFERROR(INDEX(当前库存!$B:$J,SMALL($B:$B,ROW(F6)),MATCH(H$3,$C$3:$J$3,0)),"")</f>
        <v/>
      </c>
      <c r="I9" s="68" t="str">
        <f ca="1">IFERROR(INDEX(当前库存!$B:$J,SMALL($B:$B,ROW(G6)),MATCH(I$3,$C$3:$J$3,0)),"")</f>
        <v/>
      </c>
      <c r="J9" s="68" t="str">
        <f ca="1">IFERROR(INDEX(当前库存!$B:$J,SMALL($B:$B,ROW(H6)),MATCH(J$3,$C$3:$J$3,0)),"")</f>
        <v/>
      </c>
    </row>
    <row r="10" ht="21.95" customHeight="1" spans="2:11">
      <c r="B10" s="62" t="str">
        <f>IF(当前库存!J:J="采购",ROW(),"-")</f>
        <v>-</v>
      </c>
      <c r="C10" s="67" t="str">
        <f ca="1">IFERROR(INDEX(当前库存!$B:$J,SMALL($B:$B,ROW(A7)),MATCH(C$3,$C$3:$J$3,0)),"")</f>
        <v/>
      </c>
      <c r="D10" s="68" t="str">
        <f ca="1">IFERROR(INDEX(当前库存!$B:$J,SMALL($B:$B,ROW(B7)),MATCH(D$3,$C$3:$J$3,0)),"")</f>
        <v/>
      </c>
      <c r="E10" s="68" t="str">
        <f ca="1">IFERROR(INDEX(当前库存!$B:$J,SMALL($B:$B,ROW(C7)),MATCH(E$3,$C$3:$J$3,0)),"")</f>
        <v/>
      </c>
      <c r="F10" s="68" t="str">
        <f ca="1">IFERROR(INDEX(当前库存!$B:$J,SMALL($B:$B,ROW(D7)),MATCH(F$3,$C$3:$J$3,0)),"")</f>
        <v/>
      </c>
      <c r="G10" s="68" t="str">
        <f ca="1">IFERROR(INDEX(当前库存!$B:$J,SMALL($B:$B,ROW(E7)),MATCH(G$3,$C$3:$J$3,0)),"")</f>
        <v/>
      </c>
      <c r="H10" s="68" t="str">
        <f ca="1">IFERROR(INDEX(当前库存!$B:$J,SMALL($B:$B,ROW(F7)),MATCH(H$3,$C$3:$J$3,0)),"")</f>
        <v/>
      </c>
      <c r="I10" s="68" t="str">
        <f ca="1">IFERROR(INDEX(当前库存!$B:$J,SMALL($B:$B,ROW(G7)),MATCH(I$3,$C$3:$J$3,0)),"")</f>
        <v/>
      </c>
      <c r="J10" s="68" t="str">
        <f ca="1">IFERROR(INDEX(当前库存!$B:$J,SMALL($B:$B,ROW(H7)),MATCH(J$3,$C$3:$J$3,0)),"")</f>
        <v/>
      </c>
    </row>
    <row r="11" ht="21.95" customHeight="1" spans="2:11">
      <c r="B11" s="62" t="str">
        <f>IF(当前库存!J:J="采购",ROW(),"-")</f>
        <v>-</v>
      </c>
      <c r="C11" s="67" t="str">
        <f ca="1">IFERROR(INDEX(当前库存!$B:$J,SMALL($B:$B,ROW(A8)),MATCH(C$3,$C$3:$J$3,0)),"")</f>
        <v/>
      </c>
      <c r="D11" s="68" t="str">
        <f ca="1">IFERROR(INDEX(当前库存!$B:$J,SMALL($B:$B,ROW(B8)),MATCH(D$3,$C$3:$J$3,0)),"")</f>
        <v/>
      </c>
      <c r="E11" s="68" t="str">
        <f ca="1">IFERROR(INDEX(当前库存!$B:$J,SMALL($B:$B,ROW(C8)),MATCH(E$3,$C$3:$J$3,0)),"")</f>
        <v/>
      </c>
      <c r="F11" s="68" t="str">
        <f ca="1">IFERROR(INDEX(当前库存!$B:$J,SMALL($B:$B,ROW(D9)),MATCH(F$3,$C$3:$J$3,0)),"")</f>
        <v/>
      </c>
      <c r="G11" s="68" t="str">
        <f ca="1">IFERROR(INDEX(当前库存!$B:$J,SMALL($B:$B,ROW(E9)),MATCH(G$3,$C$3:$J$3,0)),"")</f>
        <v/>
      </c>
      <c r="H11" s="68" t="str">
        <f ca="1">IFERROR(INDEX(当前库存!$B:$J,SMALL($B:$B,ROW(F9)),MATCH(H$3,$C$3:$J$3,0)),"")</f>
        <v/>
      </c>
      <c r="I11" s="68" t="str">
        <f ca="1">IFERROR(INDEX(当前库存!$B:$J,SMALL($B:$B,ROW(G8)),MATCH(I$3,$C$3:$J$3,0)),"")</f>
        <v/>
      </c>
      <c r="J11" s="68" t="str">
        <f ca="1">IFERROR(INDEX(当前库存!$B:$J,SMALL($B:$B,ROW(H8)),MATCH(J$3,$C$3:$J$3,0)),"")</f>
        <v/>
      </c>
    </row>
    <row r="12" ht="21.95" customHeight="1" spans="2:11">
      <c r="B12" s="62" t="str">
        <f>IF(当前库存!J:J="采购",ROW(),"-")</f>
        <v>-</v>
      </c>
      <c r="C12" s="67" t="str">
        <f ca="1">IFERROR(INDEX(当前库存!$B:$J,SMALL($B:$B,ROW(A9)),MATCH(C$3,$C$3:$J$3,0)),"")</f>
        <v/>
      </c>
      <c r="D12" s="68" t="str">
        <f ca="1">IFERROR(INDEX(当前库存!$B:$J,SMALL($B:$B,ROW(B9)),MATCH(D$3,$C$3:$J$3,0)),"")</f>
        <v/>
      </c>
      <c r="E12" s="68" t="str">
        <f ca="1">IFERROR(INDEX(当前库存!$B:$J,SMALL($B:$B,ROW(C9)),MATCH(E$3,$C$3:$J$3,0)),"")</f>
        <v/>
      </c>
      <c r="F12" s="68" t="str">
        <f ca="1">IFERROR(INDEX(当前库存!$B:$J,SMALL($B:$B,ROW(D10)),MATCH(F$3,$C$3:$J$3,0)),"")</f>
        <v/>
      </c>
      <c r="G12" s="68" t="str">
        <f ca="1">IFERROR(INDEX(当前库存!$B:$J,SMALL($B:$B,ROW(E10)),MATCH(G$3,$C$3:$J$3,0)),"")</f>
        <v/>
      </c>
      <c r="H12" s="68" t="str">
        <f ca="1">IFERROR(INDEX(当前库存!$B:$J,SMALL($B:$B,ROW(F10)),MATCH(H$3,$C$3:$J$3,0)),"")</f>
        <v/>
      </c>
      <c r="I12" s="68" t="str">
        <f ca="1">IFERROR(INDEX(当前库存!$B:$J,SMALL($B:$B,ROW(G9)),MATCH(I$3,$C$3:$J$3,0)),"")</f>
        <v/>
      </c>
      <c r="J12" s="68" t="str">
        <f ca="1">IFERROR(INDEX(当前库存!$B:$J,SMALL($B:$B,ROW(H9)),MATCH(J$3,$C$3:$J$3,0)),"")</f>
        <v/>
      </c>
    </row>
    <row r="13" ht="21.95" customHeight="1" spans="2:11">
      <c r="B13" s="62" t="str">
        <f>IF(当前库存!J:J="采购",ROW(),"-")</f>
        <v>-</v>
      </c>
      <c r="C13" s="67" t="str">
        <f ca="1">IFERROR(INDEX(当前库存!$B:$J,SMALL($B:$B,ROW(A10)),MATCH(C$3,$C$3:$J$3,0)),"")</f>
        <v/>
      </c>
      <c r="D13" s="68" t="str">
        <f ca="1">IFERROR(INDEX(当前库存!$B:$J,SMALL($B:$B,ROW(B10)),MATCH(D$3,$C$3:$J$3,0)),"")</f>
        <v/>
      </c>
      <c r="E13" s="68" t="str">
        <f ca="1">IFERROR(INDEX(当前库存!$B:$J,SMALL($B:$B,ROW(C10)),MATCH(E$3,$C$3:$J$3,0)),"")</f>
        <v/>
      </c>
      <c r="F13" s="68" t="str">
        <f ca="1">IFERROR(INDEX(当前库存!$B:$J,SMALL($B:$B,ROW(D11)),MATCH(F$3,$C$3:$J$3,0)),"")</f>
        <v/>
      </c>
      <c r="G13" s="68" t="str">
        <f ca="1">IFERROR(INDEX(当前库存!$B:$J,SMALL($B:$B,ROW(E11)),MATCH(G$3,$C$3:$J$3,0)),"")</f>
        <v/>
      </c>
      <c r="H13" s="68" t="str">
        <f ca="1">IFERROR(INDEX(当前库存!$B:$J,SMALL($B:$B,ROW(F11)),MATCH(H$3,$C$3:$J$3,0)),"")</f>
        <v/>
      </c>
      <c r="I13" s="68" t="str">
        <f ca="1">IFERROR(INDEX(当前库存!$B:$J,SMALL($B:$B,ROW(G10)),MATCH(I$3,$C$3:$J$3,0)),"")</f>
        <v/>
      </c>
      <c r="J13" s="68" t="str">
        <f ca="1">IFERROR(INDEX(当前库存!$B:$J,SMALL($B:$B,ROW(H10)),MATCH(J$3,$C$3:$J$3,0)),"")</f>
        <v/>
      </c>
    </row>
    <row r="14" ht="21.95" customHeight="1" spans="2:11">
      <c r="B14" s="62" t="str">
        <f>IF(当前库存!J:J="采购",ROW(),"-")</f>
        <v>-</v>
      </c>
      <c r="C14" s="67" t="str">
        <f ca="1">IFERROR(INDEX(当前库存!$B:$J,SMALL($B:$B,ROW(A11)),MATCH(C$3,$C$3:$J$3,0)),"")</f>
        <v/>
      </c>
      <c r="D14" s="68" t="str">
        <f ca="1">IFERROR(INDEX(当前库存!$B:$J,SMALL($B:$B,ROW(B11)),MATCH(D$3,$C$3:$J$3,0)),"")</f>
        <v/>
      </c>
      <c r="E14" s="68" t="str">
        <f ca="1">IFERROR(INDEX(当前库存!$B:$J,SMALL($B:$B,ROW(C11)),MATCH(E$3,$C$3:$J$3,0)),"")</f>
        <v/>
      </c>
      <c r="F14" s="68" t="str">
        <f ca="1">IFERROR(INDEX(当前库存!$B:$J,SMALL($B:$B,ROW(D12)),MATCH(F$3,$C$3:$J$3,0)),"")</f>
        <v/>
      </c>
      <c r="G14" s="68" t="str">
        <f ca="1">IFERROR(INDEX(当前库存!$B:$J,SMALL($B:$B,ROW(E12)),MATCH(G$3,$C$3:$J$3,0)),"")</f>
        <v/>
      </c>
      <c r="H14" s="68" t="str">
        <f ca="1">IFERROR(INDEX(当前库存!$B:$J,SMALL($B:$B,ROW(F12)),MATCH(H$3,$C$3:$J$3,0)),"")</f>
        <v/>
      </c>
      <c r="I14" s="68" t="str">
        <f ca="1">IFERROR(INDEX(当前库存!$B:$J,SMALL($B:$B,ROW(G11)),MATCH(I$3,$C$3:$J$3,0)),"")</f>
        <v/>
      </c>
      <c r="J14" s="68" t="str">
        <f ca="1">IFERROR(INDEX(当前库存!$B:$J,SMALL($B:$B,ROW(H11)),MATCH(J$3,$C$3:$J$3,0)),"")</f>
        <v/>
      </c>
    </row>
    <row r="15" ht="21.95" customHeight="1" spans="2:11">
      <c r="B15" s="62" t="str">
        <f>IF(当前库存!J:J="采购",ROW(),"-")</f>
        <v>-</v>
      </c>
      <c r="C15" s="67" t="str">
        <f ca="1">IFERROR(INDEX(当前库存!$B:$J,SMALL($B:$B,ROW(A12)),MATCH(C$3,$C$3:$J$3,0)),"")</f>
        <v/>
      </c>
      <c r="D15" s="68" t="str">
        <f ca="1">IFERROR(INDEX(当前库存!$B:$J,SMALL($B:$B,ROW(B12)),MATCH(D$3,$C$3:$J$3,0)),"")</f>
        <v/>
      </c>
      <c r="E15" s="68" t="str">
        <f ca="1">IFERROR(INDEX(当前库存!$B:$J,SMALL($B:$B,ROW(C12)),MATCH(E$3,$C$3:$J$3,0)),"")</f>
        <v/>
      </c>
      <c r="F15" s="68" t="str">
        <f ca="1">IFERROR(INDEX(当前库存!$B:$J,SMALL($B:$B,ROW(D13)),MATCH(F$3,$C$3:$J$3,0)),"")</f>
        <v/>
      </c>
      <c r="G15" s="68" t="str">
        <f ca="1">IFERROR(INDEX(当前库存!$B:$J,SMALL($B:$B,ROW(E13)),MATCH(G$3,$C$3:$J$3,0)),"")</f>
        <v/>
      </c>
      <c r="H15" s="68" t="str">
        <f ca="1">IFERROR(INDEX(当前库存!$B:$J,SMALL($B:$B,ROW(F13)),MATCH(H$3,$C$3:$J$3,0)),"")</f>
        <v/>
      </c>
      <c r="I15" s="68" t="str">
        <f ca="1">IFERROR(INDEX(当前库存!$B:$J,SMALL($B:$B,ROW(G12)),MATCH(I$3,$C$3:$J$3,0)),"")</f>
        <v/>
      </c>
      <c r="J15" s="68" t="str">
        <f ca="1">IFERROR(INDEX(当前库存!$B:$J,SMALL($B:$B,ROW(H12)),MATCH(J$3,$C$3:$J$3,0)),"")</f>
        <v/>
      </c>
    </row>
    <row r="16" ht="21.95" customHeight="1" spans="2:11">
      <c r="B16" s="62" t="str">
        <f>IF(当前库存!J:J="采购",ROW(),"-")</f>
        <v>-</v>
      </c>
      <c r="C16" s="67" t="str">
        <f ca="1">IFERROR(INDEX(当前库存!$B:$J,SMALL($B:$B,ROW(A13)),MATCH(C$3,$C$3:$J$3,0)),"")</f>
        <v/>
      </c>
      <c r="D16" s="68" t="str">
        <f ca="1">IFERROR(INDEX(当前库存!$B:$J,SMALL($B:$B,ROW(B13)),MATCH(D$3,$C$3:$J$3,0)),"")</f>
        <v/>
      </c>
      <c r="E16" s="68" t="str">
        <f ca="1">IFERROR(INDEX(当前库存!$B:$J,SMALL($B:$B,ROW(C13)),MATCH(E$3,$C$3:$J$3,0)),"")</f>
        <v/>
      </c>
      <c r="F16" s="68" t="str">
        <f ca="1">IFERROR(INDEX(当前库存!$B:$J,SMALL($B:$B,ROW(D14)),MATCH(F$3,$C$3:$J$3,0)),"")</f>
        <v/>
      </c>
      <c r="G16" s="68" t="str">
        <f ca="1">IFERROR(INDEX(当前库存!$B:$J,SMALL($B:$B,ROW(E14)),MATCH(G$3,$C$3:$J$3,0)),"")</f>
        <v/>
      </c>
      <c r="H16" s="68" t="str">
        <f ca="1">IFERROR(INDEX(当前库存!$B:$J,SMALL($B:$B,ROW(F14)),MATCH(H$3,$C$3:$J$3,0)),"")</f>
        <v/>
      </c>
      <c r="I16" s="68" t="str">
        <f ca="1">IFERROR(INDEX(当前库存!$B:$J,SMALL($B:$B,ROW(G13)),MATCH(I$3,$C$3:$J$3,0)),"")</f>
        <v/>
      </c>
      <c r="J16" s="68" t="str">
        <f ca="1">IFERROR(INDEX(当前库存!$B:$J,SMALL($B:$B,ROW(H13)),MATCH(J$3,$C$3:$J$3,0)),"")</f>
        <v/>
      </c>
    </row>
    <row r="17" ht="21.95" customHeight="1" spans="2:10">
      <c r="B17" s="62" t="str">
        <f>IF(当前库存!J:J="采购",ROW(),"-")</f>
        <v>-</v>
      </c>
      <c r="C17" s="67" t="str">
        <f ca="1">IFERROR(INDEX(当前库存!$B:$J,SMALL($B:$B,ROW(A14)),MATCH(C$3,$C$3:$J$3,0)),"")</f>
        <v/>
      </c>
      <c r="D17" s="68" t="str">
        <f ca="1">IFERROR(INDEX(当前库存!$B:$J,SMALL($B:$B,ROW(B14)),MATCH(D$3,$C$3:$J$3,0)),"")</f>
        <v/>
      </c>
      <c r="E17" s="68" t="str">
        <f ca="1">IFERROR(INDEX(当前库存!$B:$J,SMALL($B:$B,ROW(C14)),MATCH(E$3,$C$3:$J$3,0)),"")</f>
        <v/>
      </c>
      <c r="F17" s="68" t="str">
        <f ca="1">IFERROR(INDEX(当前库存!$B:$J,SMALL($B:$B,ROW(D15)),MATCH(F$3,$C$3:$J$3,0)),"")</f>
        <v/>
      </c>
      <c r="G17" s="68" t="str">
        <f ca="1">IFERROR(INDEX(当前库存!$B:$J,SMALL($B:$B,ROW(E15)),MATCH(G$3,$C$3:$J$3,0)),"")</f>
        <v/>
      </c>
      <c r="H17" s="68" t="str">
        <f ca="1">IFERROR(INDEX(当前库存!$B:$J,SMALL($B:$B,ROW(F15)),MATCH(H$3,$C$3:$J$3,0)),"")</f>
        <v/>
      </c>
      <c r="I17" s="68" t="str">
        <f ca="1">IFERROR(INDEX(当前库存!$B:$J,SMALL($B:$B,ROW(G14)),MATCH(I$3,$C$3:$J$3,0)),"")</f>
        <v/>
      </c>
      <c r="J17" s="68" t="str">
        <f ca="1">IFERROR(INDEX(当前库存!$B:$J,SMALL($B:$B,ROW(H14)),MATCH(J$3,$C$3:$J$3,0)),"")</f>
        <v/>
      </c>
    </row>
    <row r="18" ht="21.95" customHeight="1" spans="2:10">
      <c r="B18" s="62" t="str">
        <f>IF(当前库存!J:J="采购",ROW(),"-")</f>
        <v>-</v>
      </c>
      <c r="C18" s="67" t="str">
        <f ca="1">IFERROR(INDEX(当前库存!$B:$J,SMALL($B:$B,ROW(A15)),MATCH(C$3,$C$3:$J$3,0)),"")</f>
        <v/>
      </c>
      <c r="D18" s="68" t="str">
        <f ca="1">IFERROR(INDEX(当前库存!$B:$J,SMALL($B:$B,ROW(B15)),MATCH(D$3,$C$3:$J$3,0)),"")</f>
        <v/>
      </c>
      <c r="E18" s="68" t="str">
        <f ca="1">IFERROR(INDEX(当前库存!$B:$J,SMALL($B:$B,ROW(C15)),MATCH(E$3,$C$3:$J$3,0)),"")</f>
        <v/>
      </c>
      <c r="F18" s="68" t="str">
        <f ca="1">IFERROR(INDEX(当前库存!$B:$J,SMALL($B:$B,ROW(D16)),MATCH(F$3,$C$3:$J$3,0)),"")</f>
        <v/>
      </c>
      <c r="G18" s="68" t="str">
        <f ca="1">IFERROR(INDEX(当前库存!$B:$J,SMALL($B:$B,ROW(E16)),MATCH(G$3,$C$3:$J$3,0)),"")</f>
        <v/>
      </c>
      <c r="H18" s="68" t="str">
        <f ca="1">IFERROR(INDEX(当前库存!$B:$J,SMALL($B:$B,ROW(F16)),MATCH(H$3,$C$3:$J$3,0)),"")</f>
        <v/>
      </c>
      <c r="I18" s="68" t="str">
        <f ca="1">IFERROR(INDEX(当前库存!$B:$J,SMALL($B:$B,ROW(G15)),MATCH(I$3,$C$3:$J$3,0)),"")</f>
        <v/>
      </c>
      <c r="J18" s="68" t="str">
        <f ca="1">IFERROR(INDEX(当前库存!$B:$J,SMALL($B:$B,ROW(H15)),MATCH(J$3,$C$3:$J$3,0)),"")</f>
        <v/>
      </c>
    </row>
    <row r="19" ht="21.95" customHeight="1" spans="2:10">
      <c r="B19" s="62" t="str">
        <f>IF(当前库存!J:J="采购",ROW(),"-")</f>
        <v>-</v>
      </c>
      <c r="C19" s="67" t="str">
        <f ca="1">IFERROR(INDEX(当前库存!$B:$J,SMALL($B:$B,ROW(A16)),MATCH(C$3,$C$3:$J$3,0)),"")</f>
        <v/>
      </c>
      <c r="D19" s="68" t="str">
        <f ca="1">IFERROR(INDEX(当前库存!$B:$J,SMALL($B:$B,ROW(B16)),MATCH(D$3,$C$3:$J$3,0)),"")</f>
        <v/>
      </c>
      <c r="E19" s="68" t="str">
        <f ca="1">IFERROR(INDEX(当前库存!$B:$J,SMALL($B:$B,ROW(C16)),MATCH(E$3,$C$3:$J$3,0)),"")</f>
        <v/>
      </c>
      <c r="F19" s="68" t="str">
        <f ca="1">IFERROR(INDEX(当前库存!$B:$J,SMALL($B:$B,ROW(D17)),MATCH(F$3,$C$3:$J$3,0)),"")</f>
        <v/>
      </c>
      <c r="G19" s="68" t="str">
        <f ca="1">IFERROR(INDEX(当前库存!$B:$J,SMALL($B:$B,ROW(E17)),MATCH(G$3,$C$3:$J$3,0)),"")</f>
        <v/>
      </c>
      <c r="H19" s="68" t="str">
        <f ca="1">IFERROR(INDEX(当前库存!$B:$J,SMALL($B:$B,ROW(F17)),MATCH(H$3,$C$3:$J$3,0)),"")</f>
        <v/>
      </c>
      <c r="I19" s="68" t="str">
        <f ca="1">IFERROR(INDEX(当前库存!$B:$J,SMALL($B:$B,ROW(G16)),MATCH(I$3,$C$3:$J$3,0)),"")</f>
        <v/>
      </c>
      <c r="J19" s="68" t="str">
        <f ca="1">IFERROR(INDEX(当前库存!$B:$J,SMALL($B:$B,ROW(H16)),MATCH(J$3,$C$3:$J$3,0)),"")</f>
        <v/>
      </c>
    </row>
    <row r="20" ht="21.95" customHeight="1" spans="2:10">
      <c r="B20" s="62" t="str">
        <f>IF(当前库存!J:J="采购",ROW(),"-")</f>
        <v>-</v>
      </c>
      <c r="C20" s="67" t="str">
        <f ca="1">IFERROR(INDEX(当前库存!$B:$J,SMALL($B:$B,ROW(A17)),MATCH(C$3,$C$3:$J$3,0)),"")</f>
        <v/>
      </c>
      <c r="D20" s="68" t="str">
        <f ca="1">IFERROR(INDEX(当前库存!$B:$J,SMALL($B:$B,ROW(B17)),MATCH(D$3,$C$3:$J$3,0)),"")</f>
        <v/>
      </c>
      <c r="E20" s="68" t="str">
        <f ca="1">IFERROR(INDEX(当前库存!$B:$J,SMALL($B:$B,ROW(C17)),MATCH(E$3,$C$3:$J$3,0)),"")</f>
        <v/>
      </c>
      <c r="F20" s="68" t="str">
        <f ca="1">IFERROR(INDEX(当前库存!$B:$J,SMALL($B:$B,ROW(D18)),MATCH(F$3,$C$3:$J$3,0)),"")</f>
        <v/>
      </c>
      <c r="G20" s="68" t="str">
        <f ca="1">IFERROR(INDEX(当前库存!$B:$J,SMALL($B:$B,ROW(E18)),MATCH(G$3,$C$3:$J$3,0)),"")</f>
        <v/>
      </c>
      <c r="H20" s="68" t="str">
        <f ca="1">IFERROR(INDEX(当前库存!$B:$J,SMALL($B:$B,ROW(F18)),MATCH(H$3,$C$3:$J$3,0)),"")</f>
        <v/>
      </c>
      <c r="I20" s="68" t="str">
        <f ca="1">IFERROR(INDEX(当前库存!$B:$J,SMALL($B:$B,ROW(G17)),MATCH(I$3,$C$3:$J$3,0)),"")</f>
        <v/>
      </c>
      <c r="J20" s="68" t="str">
        <f ca="1">IFERROR(INDEX(当前库存!$B:$J,SMALL($B:$B,ROW(H17)),MATCH(J$3,$C$3:$J$3,0)),"")</f>
        <v/>
      </c>
    </row>
    <row r="21" ht="21.95" customHeight="1" spans="2:10">
      <c r="B21" s="62" t="str">
        <f>IF(当前库存!J:J="采购",ROW(),"-")</f>
        <v>-</v>
      </c>
      <c r="C21" s="67" t="str">
        <f ca="1">IFERROR(INDEX(当前库存!$B:$J,SMALL($B:$B,ROW(A18)),MATCH(C$3,$C$3:$J$3,0)),"")</f>
        <v/>
      </c>
      <c r="D21" s="68" t="str">
        <f ca="1">IFERROR(INDEX(当前库存!$B:$J,SMALL($B:$B,ROW(B18)),MATCH(D$3,$C$3:$J$3,0)),"")</f>
        <v/>
      </c>
      <c r="E21" s="68" t="str">
        <f ca="1">IFERROR(INDEX(当前库存!$B:$J,SMALL($B:$B,ROW(C18)),MATCH(E$3,$C$3:$J$3,0)),"")</f>
        <v/>
      </c>
      <c r="F21" s="68" t="str">
        <f ca="1">IFERROR(INDEX(当前库存!$B:$J,SMALL($B:$B,ROW(D19)),MATCH(F$3,$C$3:$J$3,0)),"")</f>
        <v/>
      </c>
      <c r="G21" s="68" t="str">
        <f ca="1">IFERROR(INDEX(当前库存!$B:$J,SMALL($B:$B,ROW(E19)),MATCH(G$3,$C$3:$J$3,0)),"")</f>
        <v/>
      </c>
      <c r="H21" s="68" t="str">
        <f ca="1">IFERROR(INDEX(当前库存!$B:$J,SMALL($B:$B,ROW(F19)),MATCH(H$3,$C$3:$J$3,0)),"")</f>
        <v/>
      </c>
      <c r="I21" s="68" t="str">
        <f ca="1">IFERROR(INDEX(当前库存!$B:$J,SMALL($B:$B,ROW(G18)),MATCH(I$3,$C$3:$J$3,0)),"")</f>
        <v/>
      </c>
      <c r="J21" s="68" t="str">
        <f ca="1">IFERROR(INDEX(当前库存!$B:$J,SMALL($B:$B,ROW(H18)),MATCH(J$3,$C$3:$J$3,0)),"")</f>
        <v/>
      </c>
    </row>
    <row r="22" ht="21.95" customHeight="1" spans="2:10">
      <c r="B22" s="62" t="str">
        <f>IF(当前库存!J:J="采购",ROW(),"-")</f>
        <v>-</v>
      </c>
      <c r="C22" s="67" t="str">
        <f ca="1">IFERROR(INDEX(当前库存!$B:$J,SMALL($B:$B,ROW(A19)),MATCH(C$3,$C$3:$J$3,0)),"")</f>
        <v/>
      </c>
      <c r="D22" s="68" t="str">
        <f ca="1">IFERROR(INDEX(当前库存!$B:$J,SMALL($B:$B,ROW(B19)),MATCH(D$3,$C$3:$J$3,0)),"")</f>
        <v/>
      </c>
      <c r="E22" s="68" t="str">
        <f ca="1">IFERROR(INDEX(当前库存!$B:$J,SMALL($B:$B,ROW(C19)),MATCH(E$3,$C$3:$J$3,0)),"")</f>
        <v/>
      </c>
      <c r="F22" s="68" t="str">
        <f ca="1">IFERROR(INDEX(当前库存!$B:$J,SMALL($B:$B,ROW(D20)),MATCH(F$3,$C$3:$J$3,0)),"")</f>
        <v/>
      </c>
      <c r="G22" s="68" t="str">
        <f ca="1">IFERROR(INDEX(当前库存!$B:$J,SMALL($B:$B,ROW(E20)),MATCH(G$3,$C$3:$J$3,0)),"")</f>
        <v/>
      </c>
      <c r="H22" s="68" t="str">
        <f ca="1">IFERROR(INDEX(当前库存!$B:$J,SMALL($B:$B,ROW(F20)),MATCH(H$3,$C$3:$J$3,0)),"")</f>
        <v/>
      </c>
      <c r="I22" s="68" t="str">
        <f ca="1">IFERROR(INDEX(当前库存!$B:$J,SMALL($B:$B,ROW(G19)),MATCH(I$3,$C$3:$J$3,0)),"")</f>
        <v/>
      </c>
      <c r="J22" s="68" t="str">
        <f ca="1">IFERROR(INDEX(当前库存!$B:$J,SMALL($B:$B,ROW(H19)),MATCH(J$3,$C$3:$J$3,0)),"")</f>
        <v/>
      </c>
    </row>
    <row r="23" ht="21.95" customHeight="1" spans="2:10">
      <c r="B23" s="62" t="str">
        <f>IF(当前库存!J:J="采购",ROW(),"-")</f>
        <v>-</v>
      </c>
      <c r="C23" s="67" t="str">
        <f ca="1">IFERROR(INDEX(当前库存!$B:$J,SMALL($B:$B,ROW(A20)),MATCH(C$3,$C$3:$J$3,0)),"")</f>
        <v/>
      </c>
      <c r="D23" s="68" t="str">
        <f ca="1">IFERROR(INDEX(当前库存!$B:$J,SMALL($B:$B,ROW(B20)),MATCH(D$3,$C$3:$J$3,0)),"")</f>
        <v/>
      </c>
      <c r="E23" s="68" t="str">
        <f ca="1">IFERROR(INDEX(当前库存!$B:$J,SMALL($B:$B,ROW(C20)),MATCH(E$3,$C$3:$J$3,0)),"")</f>
        <v/>
      </c>
      <c r="F23" s="68" t="str">
        <f ca="1">IFERROR(INDEX(当前库存!$B:$J,SMALL($B:$B,ROW(D21)),MATCH(F$3,$C$3:$J$3,0)),"")</f>
        <v/>
      </c>
      <c r="G23" s="68" t="str">
        <f ca="1">IFERROR(INDEX(当前库存!$B:$J,SMALL($B:$B,ROW(E21)),MATCH(G$3,$C$3:$J$3,0)),"")</f>
        <v/>
      </c>
      <c r="H23" s="68" t="str">
        <f ca="1">IFERROR(INDEX(当前库存!$B:$J,SMALL($B:$B,ROW(F21)),MATCH(H$3,$C$3:$J$3,0)),"")</f>
        <v/>
      </c>
      <c r="I23" s="68" t="str">
        <f ca="1">IFERROR(INDEX(当前库存!$B:$J,SMALL($B:$B,ROW(G20)),MATCH(I$3,$C$3:$J$3,0)),"")</f>
        <v/>
      </c>
      <c r="J23" s="68" t="str">
        <f ca="1">IFERROR(INDEX(当前库存!$B:$J,SMALL($B:$B,ROW(H20)),MATCH(J$3,$C$3:$J$3,0)),"")</f>
        <v/>
      </c>
    </row>
    <row r="24" ht="21.95" customHeight="1" spans="2:10">
      <c r="B24" s="62" t="str">
        <f>IF(当前库存!J:J="采购",ROW(),"-")</f>
        <v>-</v>
      </c>
      <c r="C24" s="67" t="str">
        <f ca="1">IFERROR(INDEX(当前库存!$B:$J,SMALL($B:$B,ROW(A21)),MATCH(C$3,$C$3:$J$3,0)),"")</f>
        <v/>
      </c>
      <c r="D24" s="68" t="str">
        <f ca="1">IFERROR(INDEX(当前库存!$B:$J,SMALL($B:$B,ROW(B21)),MATCH(D$3,$C$3:$J$3,0)),"")</f>
        <v/>
      </c>
      <c r="E24" s="68" t="str">
        <f ca="1">IFERROR(INDEX(当前库存!$B:$J,SMALL($B:$B,ROW(C21)),MATCH(E$3,$C$3:$J$3,0)),"")</f>
        <v/>
      </c>
      <c r="F24" s="68" t="str">
        <f ca="1">IFERROR(INDEX(当前库存!$B:$J,SMALL($B:$B,ROW(D22)),MATCH(F$3,$C$3:$J$3,0)),"")</f>
        <v/>
      </c>
      <c r="G24" s="68" t="str">
        <f ca="1">IFERROR(INDEX(当前库存!$B:$J,SMALL($B:$B,ROW(E22)),MATCH(G$3,$C$3:$J$3,0)),"")</f>
        <v/>
      </c>
      <c r="H24" s="68" t="str">
        <f ca="1">IFERROR(INDEX(当前库存!$B:$J,SMALL($B:$B,ROW(F22)),MATCH(H$3,$C$3:$J$3,0)),"")</f>
        <v/>
      </c>
      <c r="I24" s="68" t="str">
        <f ca="1">IFERROR(INDEX(当前库存!$B:$J,SMALL($B:$B,ROW(G21)),MATCH(I$3,$C$3:$J$3,0)),"")</f>
        <v/>
      </c>
      <c r="J24" s="68" t="str">
        <f ca="1">IFERROR(INDEX(当前库存!$B:$J,SMALL($B:$B,ROW(H21)),MATCH(J$3,$C$3:$J$3,0)),"")</f>
        <v/>
      </c>
    </row>
    <row r="25" ht="21.95" customHeight="1" spans="2:10">
      <c r="B25" s="62" t="str">
        <f>IF(当前库存!J:J="采购",ROW(),"-")</f>
        <v>-</v>
      </c>
      <c r="C25" s="67" t="str">
        <f ca="1">IFERROR(INDEX(当前库存!$B:$J,SMALL($B:$B,ROW(A22)),MATCH(C$3,$C$3:$J$3,0)),"")</f>
        <v/>
      </c>
      <c r="D25" s="68" t="str">
        <f ca="1">IFERROR(INDEX(当前库存!$B:$J,SMALL($B:$B,ROW(B22)),MATCH(D$3,$C$3:$J$3,0)),"")</f>
        <v/>
      </c>
      <c r="E25" s="68" t="str">
        <f ca="1">IFERROR(INDEX(当前库存!$B:$J,SMALL($B:$B,ROW(C22)),MATCH(E$3,$C$3:$J$3,0)),"")</f>
        <v/>
      </c>
      <c r="F25" s="68" t="str">
        <f ca="1">IFERROR(INDEX(当前库存!$B:$J,SMALL($B:$B,ROW(D23)),MATCH(F$3,$C$3:$J$3,0)),"")</f>
        <v/>
      </c>
      <c r="G25" s="68" t="str">
        <f ca="1">IFERROR(INDEX(当前库存!$B:$J,SMALL($B:$B,ROW(E23)),MATCH(G$3,$C$3:$J$3,0)),"")</f>
        <v/>
      </c>
      <c r="H25" s="68" t="str">
        <f ca="1">IFERROR(INDEX(当前库存!$B:$J,SMALL($B:$B,ROW(F23)),MATCH(H$3,$C$3:$J$3,0)),"")</f>
        <v/>
      </c>
      <c r="I25" s="68" t="str">
        <f ca="1">IFERROR(INDEX(当前库存!$B:$J,SMALL($B:$B,ROW(G22)),MATCH(I$3,$C$3:$J$3,0)),"")</f>
        <v/>
      </c>
      <c r="J25" s="68" t="str">
        <f ca="1">IFERROR(INDEX(当前库存!$B:$J,SMALL($B:$B,ROW(H22)),MATCH(J$3,$C$3:$J$3,0)),"")</f>
        <v/>
      </c>
    </row>
    <row r="26" ht="21.95" customHeight="1" spans="2:10">
      <c r="B26" s="62" t="str">
        <f>IF(当前库存!J:J="采购",ROW(),"-")</f>
        <v>-</v>
      </c>
      <c r="C26" s="67" t="str">
        <f ca="1">IFERROR(INDEX(当前库存!$B:$J,SMALL($B:$B,ROW(A23)),MATCH(C$3,$C$3:$J$3,0)),"")</f>
        <v/>
      </c>
      <c r="D26" s="68" t="str">
        <f ca="1">IFERROR(INDEX(当前库存!$B:$J,SMALL($B:$B,ROW(B23)),MATCH(D$3,$C$3:$J$3,0)),"")</f>
        <v/>
      </c>
      <c r="E26" s="68" t="str">
        <f ca="1">IFERROR(INDEX(当前库存!$B:$J,SMALL($B:$B,ROW(C23)),MATCH(E$3,$C$3:$J$3,0)),"")</f>
        <v/>
      </c>
      <c r="F26" s="68" t="str">
        <f ca="1">IFERROR(INDEX(当前库存!$B:$J,SMALL($B:$B,ROW(D24)),MATCH(F$3,$C$3:$J$3,0)),"")</f>
        <v/>
      </c>
      <c r="G26" s="68" t="str">
        <f ca="1">IFERROR(INDEX(当前库存!$B:$J,SMALL($B:$B,ROW(E24)),MATCH(G$3,$C$3:$J$3,0)),"")</f>
        <v/>
      </c>
      <c r="H26" s="68" t="str">
        <f ca="1">IFERROR(INDEX(当前库存!$B:$J,SMALL($B:$B,ROW(F24)),MATCH(H$3,$C$3:$J$3,0)),"")</f>
        <v/>
      </c>
      <c r="I26" s="68" t="str">
        <f ca="1">IFERROR(INDEX(当前库存!$B:$J,SMALL($B:$B,ROW(G23)),MATCH(I$3,$C$3:$J$3,0)),"")</f>
        <v/>
      </c>
      <c r="J26" s="68" t="str">
        <f ca="1">IFERROR(INDEX(当前库存!$B:$J,SMALL($B:$B,ROW(H23)),MATCH(J$3,$C$3:$J$3,0)),"")</f>
        <v/>
      </c>
    </row>
    <row r="27" ht="21.95" customHeight="1" spans="2:10">
      <c r="B27" s="62" t="str">
        <f>IF(当前库存!J:J="采购",ROW(),"-")</f>
        <v>-</v>
      </c>
      <c r="C27" s="67" t="str">
        <f ca="1">IFERROR(INDEX(当前库存!$B:$J,SMALL($B:$B,ROW(A24)),MATCH(C$3,$C$3:$J$3,0)),"")</f>
        <v/>
      </c>
      <c r="D27" s="68" t="str">
        <f ca="1">IFERROR(INDEX(当前库存!$B:$J,SMALL($B:$B,ROW(B24)),MATCH(D$3,$C$3:$J$3,0)),"")</f>
        <v/>
      </c>
      <c r="E27" s="68" t="str">
        <f ca="1">IFERROR(INDEX(当前库存!$B:$J,SMALL($B:$B,ROW(C24)),MATCH(E$3,$C$3:$J$3,0)),"")</f>
        <v/>
      </c>
      <c r="F27" s="68" t="str">
        <f ca="1">IFERROR(INDEX(当前库存!$B:$J,SMALL($B:$B,ROW(D25)),MATCH(F$3,$C$3:$J$3,0)),"")</f>
        <v/>
      </c>
      <c r="G27" s="68" t="str">
        <f ca="1">IFERROR(INDEX(当前库存!$B:$J,SMALL($B:$B,ROW(E25)),MATCH(G$3,$C$3:$J$3,0)),"")</f>
        <v/>
      </c>
      <c r="H27" s="68" t="str">
        <f ca="1">IFERROR(INDEX(当前库存!$B:$J,SMALL($B:$B,ROW(F25)),MATCH(H$3,$C$3:$J$3,0)),"")</f>
        <v/>
      </c>
      <c r="I27" s="68" t="str">
        <f ca="1">IFERROR(INDEX(当前库存!$B:$J,SMALL($B:$B,ROW(G24)),MATCH(I$3,$C$3:$J$3,0)),"")</f>
        <v/>
      </c>
      <c r="J27" s="68" t="str">
        <f ca="1">IFERROR(INDEX(当前库存!$B:$J,SMALL($B:$B,ROW(H24)),MATCH(J$3,$C$3:$J$3,0)),"")</f>
        <v/>
      </c>
    </row>
    <row r="28" ht="21.95" customHeight="1" spans="2:10">
      <c r="B28" s="62" t="str">
        <f>IF(当前库存!J:J="采购",ROW(),"-")</f>
        <v>-</v>
      </c>
      <c r="C28" s="67" t="str">
        <f ca="1">IFERROR(INDEX(当前库存!$B:$J,SMALL($B:$B,ROW(A25)),MATCH(C$3,$C$3:$J$3,0)),"")</f>
        <v/>
      </c>
      <c r="D28" s="68" t="str">
        <f ca="1">IFERROR(INDEX(当前库存!$B:$J,SMALL($B:$B,ROW(B25)),MATCH(D$3,$C$3:$J$3,0)),"")</f>
        <v/>
      </c>
      <c r="E28" s="68" t="str">
        <f ca="1">IFERROR(INDEX(当前库存!$B:$J,SMALL($B:$B,ROW(C25)),MATCH(E$3,$C$3:$J$3,0)),"")</f>
        <v/>
      </c>
      <c r="F28" s="68" t="str">
        <f ca="1">IFERROR(INDEX(当前库存!$B:$J,SMALL($B:$B,ROW(D26)),MATCH(F$3,$C$3:$J$3,0)),"")</f>
        <v/>
      </c>
      <c r="G28" s="68" t="str">
        <f ca="1">IFERROR(INDEX(当前库存!$B:$J,SMALL($B:$B,ROW(E26)),MATCH(G$3,$C$3:$J$3,0)),"")</f>
        <v/>
      </c>
      <c r="H28" s="68" t="str">
        <f ca="1">IFERROR(INDEX(当前库存!$B:$J,SMALL($B:$B,ROW(F26)),MATCH(H$3,$C$3:$J$3,0)),"")</f>
        <v/>
      </c>
      <c r="I28" s="68" t="str">
        <f ca="1">IFERROR(INDEX(当前库存!$B:$J,SMALL($B:$B,ROW(G25)),MATCH(I$3,$C$3:$J$3,0)),"")</f>
        <v/>
      </c>
      <c r="J28" s="68" t="str">
        <f ca="1">IFERROR(INDEX(当前库存!$B:$J,SMALL($B:$B,ROW(H25)),MATCH(J$3,$C$3:$J$3,0)),"")</f>
        <v/>
      </c>
    </row>
    <row r="29" ht="21.95" customHeight="1" spans="2:10">
      <c r="B29" s="62" t="str">
        <f>IF(当前库存!J:J="采购",ROW(),"-")</f>
        <v>-</v>
      </c>
      <c r="C29" s="67" t="str">
        <f ca="1">IFERROR(INDEX(当前库存!$B:$J,SMALL($B:$B,ROW(A26)),MATCH(C$3,$C$3:$J$3,0)),"")</f>
        <v/>
      </c>
      <c r="D29" s="68" t="str">
        <f ca="1">IFERROR(INDEX(当前库存!$B:$J,SMALL($B:$B,ROW(B26)),MATCH(D$3,$C$3:$J$3,0)),"")</f>
        <v/>
      </c>
      <c r="E29" s="68" t="str">
        <f ca="1">IFERROR(INDEX(当前库存!$B:$J,SMALL($B:$B,ROW(C26)),MATCH(E$3,$C$3:$J$3,0)),"")</f>
        <v/>
      </c>
      <c r="F29" s="68" t="str">
        <f ca="1">IFERROR(INDEX(当前库存!$B:$J,SMALL($B:$B,ROW(D27)),MATCH(F$3,$C$3:$J$3,0)),"")</f>
        <v/>
      </c>
      <c r="G29" s="68" t="str">
        <f ca="1">IFERROR(INDEX(当前库存!$B:$J,SMALL($B:$B,ROW(E27)),MATCH(G$3,$C$3:$J$3,0)),"")</f>
        <v/>
      </c>
      <c r="H29" s="68" t="str">
        <f ca="1">IFERROR(INDEX(当前库存!$B:$J,SMALL($B:$B,ROW(F27)),MATCH(H$3,$C$3:$J$3,0)),"")</f>
        <v/>
      </c>
      <c r="I29" s="68" t="str">
        <f ca="1">IFERROR(INDEX(当前库存!$B:$J,SMALL($B:$B,ROW(G26)),MATCH(I$3,$C$3:$J$3,0)),"")</f>
        <v/>
      </c>
      <c r="J29" s="68" t="str">
        <f ca="1">IFERROR(INDEX(当前库存!$B:$J,SMALL($B:$B,ROW(H26)),MATCH(J$3,$C$3:$J$3,0)),"")</f>
        <v/>
      </c>
    </row>
    <row r="30" ht="21.95" customHeight="1" spans="2:10">
      <c r="B30" s="62" t="str">
        <f>IF(当前库存!J:J="采购",ROW(),"-")</f>
        <v>-</v>
      </c>
      <c r="C30" s="67" t="str">
        <f ca="1">IFERROR(INDEX(当前库存!$B:$J,SMALL($B:$B,ROW(A27)),MATCH(C$3,$C$3:$J$3,0)),"")</f>
        <v/>
      </c>
      <c r="D30" s="68" t="str">
        <f ca="1">IFERROR(INDEX(当前库存!$B:$J,SMALL($B:$B,ROW(B27)),MATCH(D$3,$C$3:$J$3,0)),"")</f>
        <v/>
      </c>
      <c r="E30" s="68" t="str">
        <f ca="1">IFERROR(INDEX(当前库存!$B:$J,SMALL($B:$B,ROW(C27)),MATCH(E$3,$C$3:$J$3,0)),"")</f>
        <v/>
      </c>
      <c r="F30" s="68" t="str">
        <f ca="1">IFERROR(INDEX(当前库存!$B:$J,SMALL($B:$B,ROW(D28)),MATCH(F$3,$C$3:$J$3,0)),"")</f>
        <v/>
      </c>
      <c r="G30" s="68" t="str">
        <f ca="1">IFERROR(INDEX(当前库存!$B:$J,SMALL($B:$B,ROW(E28)),MATCH(G$3,$C$3:$J$3,0)),"")</f>
        <v/>
      </c>
      <c r="H30" s="68" t="str">
        <f ca="1">IFERROR(INDEX(当前库存!$B:$J,SMALL($B:$B,ROW(F28)),MATCH(H$3,$C$3:$J$3,0)),"")</f>
        <v/>
      </c>
      <c r="I30" s="68" t="str">
        <f ca="1">IFERROR(INDEX(当前库存!$B:$J,SMALL($B:$B,ROW(G27)),MATCH(I$3,$C$3:$J$3,0)),"")</f>
        <v/>
      </c>
      <c r="J30" s="68" t="str">
        <f ca="1">IFERROR(INDEX(当前库存!$B:$J,SMALL($B:$B,ROW(H27)),MATCH(J$3,$C$3:$J$3,0)),"")</f>
        <v/>
      </c>
    </row>
    <row r="31" ht="21.95" customHeight="1" spans="2:10">
      <c r="B31" s="62" t="str">
        <f>IF(当前库存!J:J="采购",ROW(),"-")</f>
        <v>-</v>
      </c>
      <c r="C31" s="67" t="str">
        <f ca="1">IFERROR(INDEX(当前库存!$B:$J,SMALL($B:$B,ROW(A28)),MATCH(C$3,$C$3:$J$3,0)),"")</f>
        <v/>
      </c>
      <c r="D31" s="68" t="str">
        <f ca="1">IFERROR(INDEX(当前库存!$B:$J,SMALL($B:$B,ROW(B28)),MATCH(D$3,$C$3:$J$3,0)),"")</f>
        <v/>
      </c>
      <c r="E31" s="68" t="str">
        <f ca="1">IFERROR(INDEX(当前库存!$B:$J,SMALL($B:$B,ROW(C28)),MATCH(E$3,$C$3:$J$3,0)),"")</f>
        <v/>
      </c>
      <c r="F31" s="68" t="str">
        <f ca="1">IFERROR(INDEX(当前库存!$B:$J,SMALL($B:$B,ROW(D29)),MATCH(F$3,$C$3:$J$3,0)),"")</f>
        <v/>
      </c>
      <c r="G31" s="68" t="str">
        <f ca="1">IFERROR(INDEX(当前库存!$B:$J,SMALL($B:$B,ROW(E29)),MATCH(G$3,$C$3:$J$3,0)),"")</f>
        <v/>
      </c>
      <c r="H31" s="68" t="str">
        <f ca="1">IFERROR(INDEX(当前库存!$B:$J,SMALL($B:$B,ROW(F29)),MATCH(H$3,$C$3:$J$3,0)),"")</f>
        <v/>
      </c>
      <c r="I31" s="68" t="str">
        <f ca="1">IFERROR(INDEX(当前库存!$B:$J,SMALL($B:$B,ROW(G28)),MATCH(I$3,$C$3:$J$3,0)),"")</f>
        <v/>
      </c>
      <c r="J31" s="68" t="str">
        <f ca="1">IFERROR(INDEX(当前库存!$B:$J,SMALL($B:$B,ROW(H28)),MATCH(J$3,$C$3:$J$3,0)),"")</f>
        <v/>
      </c>
    </row>
    <row r="32" ht="21.95" customHeight="1" spans="2:10">
      <c r="B32" s="62" t="str">
        <f>IF(当前库存!J:J="采购",ROW(),"-")</f>
        <v>-</v>
      </c>
      <c r="C32" s="67" t="str">
        <f ca="1">IFERROR(INDEX(当前库存!$B:$J,SMALL($B:$B,ROW(A29)),MATCH(C$3,$C$3:$J$3,0)),"")</f>
        <v/>
      </c>
      <c r="D32" s="68" t="str">
        <f ca="1">IFERROR(INDEX(当前库存!$B:$J,SMALL($B:$B,ROW(B29)),MATCH(D$3,$C$3:$J$3,0)),"")</f>
        <v/>
      </c>
      <c r="E32" s="68" t="str">
        <f ca="1">IFERROR(INDEX(当前库存!$B:$J,SMALL($B:$B,ROW(C29)),MATCH(E$3,$C$3:$J$3,0)),"")</f>
        <v/>
      </c>
      <c r="F32" s="68" t="str">
        <f ca="1">IFERROR(INDEX(当前库存!$B:$J,SMALL($B:$B,ROW(D30)),MATCH(F$3,$C$3:$J$3,0)),"")</f>
        <v/>
      </c>
      <c r="G32" s="68" t="str">
        <f ca="1">IFERROR(INDEX(当前库存!$B:$J,SMALL($B:$B,ROW(E30)),MATCH(G$3,$C$3:$J$3,0)),"")</f>
        <v/>
      </c>
      <c r="H32" s="68" t="str">
        <f ca="1">IFERROR(INDEX(当前库存!$B:$J,SMALL($B:$B,ROW(F30)),MATCH(H$3,$C$3:$J$3,0)),"")</f>
        <v/>
      </c>
      <c r="I32" s="68" t="str">
        <f ca="1">IFERROR(INDEX(当前库存!$B:$J,SMALL($B:$B,ROW(G29)),MATCH(I$3,$C$3:$J$3,0)),"")</f>
        <v/>
      </c>
      <c r="J32" s="68" t="str">
        <f ca="1">IFERROR(INDEX(当前库存!$B:$J,SMALL($B:$B,ROW(H29)),MATCH(J$3,$C$3:$J$3,0)),"")</f>
        <v/>
      </c>
    </row>
    <row r="33" ht="21.95" customHeight="1" spans="2:10">
      <c r="B33" s="62" t="str">
        <f>IF(当前库存!J:J="采购",ROW(),"-")</f>
        <v>-</v>
      </c>
      <c r="C33" s="67" t="str">
        <f ca="1">IFERROR(INDEX(当前库存!$B:$J,SMALL($B:$B,ROW(A30)),MATCH(C$3,$C$3:$J$3,0)),"")</f>
        <v/>
      </c>
      <c r="D33" s="68" t="str">
        <f ca="1">IFERROR(INDEX(当前库存!$B:$J,SMALL($B:$B,ROW(B30)),MATCH(D$3,$C$3:$J$3,0)),"")</f>
        <v/>
      </c>
      <c r="E33" s="68" t="str">
        <f ca="1">IFERROR(INDEX(当前库存!$B:$J,SMALL($B:$B,ROW(C30)),MATCH(E$3,$C$3:$J$3,0)),"")</f>
        <v/>
      </c>
      <c r="F33" s="68" t="str">
        <f ca="1">IFERROR(INDEX(当前库存!$B:$J,SMALL($B:$B,ROW(D31)),MATCH(F$3,$C$3:$J$3,0)),"")</f>
        <v/>
      </c>
      <c r="G33" s="68" t="str">
        <f ca="1">IFERROR(INDEX(当前库存!$B:$J,SMALL($B:$B,ROW(E31)),MATCH(G$3,$C$3:$J$3,0)),"")</f>
        <v/>
      </c>
      <c r="H33" s="68" t="str">
        <f ca="1">IFERROR(INDEX(当前库存!$B:$J,SMALL($B:$B,ROW(F31)),MATCH(H$3,$C$3:$J$3,0)),"")</f>
        <v/>
      </c>
      <c r="I33" s="68" t="str">
        <f ca="1">IFERROR(INDEX(当前库存!$B:$J,SMALL($B:$B,ROW(G30)),MATCH(I$3,$C$3:$J$3,0)),"")</f>
        <v/>
      </c>
      <c r="J33" s="68" t="str">
        <f ca="1">IFERROR(INDEX(当前库存!$B:$J,SMALL($B:$B,ROW(H30)),MATCH(J$3,$C$3:$J$3,0)),"")</f>
        <v/>
      </c>
    </row>
    <row r="34" ht="21.95" customHeight="1" spans="2:10">
      <c r="B34" s="62" t="str">
        <f>IF(当前库存!J:J="采购",ROW(),"-")</f>
        <v>-</v>
      </c>
      <c r="C34" s="67" t="str">
        <f ca="1">IFERROR(INDEX(当前库存!$B:$J,SMALL($B:$B,ROW(A31)),MATCH(C$3,$C$3:$J$3,0)),"")</f>
        <v/>
      </c>
      <c r="D34" s="68" t="str">
        <f ca="1">IFERROR(INDEX(当前库存!$B:$J,SMALL($B:$B,ROW(B31)),MATCH(D$3,$C$3:$J$3,0)),"")</f>
        <v/>
      </c>
      <c r="E34" s="68" t="str">
        <f ca="1">IFERROR(INDEX(当前库存!$B:$J,SMALL($B:$B,ROW(C31)),MATCH(E$3,$C$3:$J$3,0)),"")</f>
        <v/>
      </c>
      <c r="F34" s="68" t="str">
        <f ca="1">IFERROR(INDEX(当前库存!$B:$J,SMALL($B:$B,ROW(D32)),MATCH(F$3,$C$3:$J$3,0)),"")</f>
        <v/>
      </c>
      <c r="G34" s="68" t="str">
        <f ca="1">IFERROR(INDEX(当前库存!$B:$J,SMALL($B:$B,ROW(E32)),MATCH(G$3,$C$3:$J$3,0)),"")</f>
        <v/>
      </c>
      <c r="H34" s="68" t="str">
        <f ca="1">IFERROR(INDEX(当前库存!$B:$J,SMALL($B:$B,ROW(F32)),MATCH(H$3,$C$3:$J$3,0)),"")</f>
        <v/>
      </c>
      <c r="I34" s="68" t="str">
        <f ca="1">IFERROR(INDEX(当前库存!$B:$J,SMALL($B:$B,ROW(G31)),MATCH(I$3,$C$3:$J$3,0)),"")</f>
        <v/>
      </c>
      <c r="J34" s="68" t="str">
        <f ca="1">IFERROR(INDEX(当前库存!$B:$J,SMALL($B:$B,ROW(H31)),MATCH(J$3,$C$3:$J$3,0)),"")</f>
        <v/>
      </c>
    </row>
    <row r="35" ht="21.95" customHeight="1" spans="2:10">
      <c r="B35" s="62" t="str">
        <f>IF(当前库存!J:J="采购",ROW(),"-")</f>
        <v>-</v>
      </c>
      <c r="C35" s="67" t="str">
        <f ca="1">IFERROR(INDEX(当前库存!$B:$J,SMALL($B:$B,ROW(A32)),MATCH(C$3,$C$3:$J$3,0)),"")</f>
        <v/>
      </c>
      <c r="D35" s="68" t="str">
        <f ca="1">IFERROR(INDEX(当前库存!$B:$J,SMALL($B:$B,ROW(B32)),MATCH(D$3,$C$3:$J$3,0)),"")</f>
        <v/>
      </c>
      <c r="E35" s="68" t="str">
        <f ca="1">IFERROR(INDEX(当前库存!$B:$J,SMALL($B:$B,ROW(C32)),MATCH(E$3,$C$3:$J$3,0)),"")</f>
        <v/>
      </c>
      <c r="F35" s="68" t="str">
        <f ca="1">IFERROR(INDEX(当前库存!$B:$J,SMALL($B:$B,ROW(D33)),MATCH(F$3,$C$3:$J$3,0)),"")</f>
        <v/>
      </c>
      <c r="G35" s="68" t="str">
        <f ca="1">IFERROR(INDEX(当前库存!$B:$J,SMALL($B:$B,ROW(E33)),MATCH(G$3,$C$3:$J$3,0)),"")</f>
        <v/>
      </c>
      <c r="H35" s="68" t="str">
        <f ca="1">IFERROR(INDEX(当前库存!$B:$J,SMALL($B:$B,ROW(F33)),MATCH(H$3,$C$3:$J$3,0)),"")</f>
        <v/>
      </c>
      <c r="I35" s="68" t="str">
        <f ca="1">IFERROR(INDEX(当前库存!$B:$J,SMALL($B:$B,ROW(G32)),MATCH(I$3,$C$3:$J$3,0)),"")</f>
        <v/>
      </c>
      <c r="J35" s="68" t="str">
        <f ca="1">IFERROR(INDEX(当前库存!$B:$J,SMALL($B:$B,ROW(H32)),MATCH(J$3,$C$3:$J$3,0)),"")</f>
        <v/>
      </c>
    </row>
    <row r="36" ht="21.95" customHeight="1" spans="2:10">
      <c r="B36" s="62" t="str">
        <f>IF(当前库存!J:J="采购",ROW(),"-")</f>
        <v>-</v>
      </c>
      <c r="C36" s="67" t="str">
        <f ca="1">IFERROR(INDEX(当前库存!$B:$J,SMALL($B:$B,ROW(A33)),MATCH(C$3,$C$3:$J$3,0)),"")</f>
        <v/>
      </c>
      <c r="D36" s="68" t="str">
        <f ca="1">IFERROR(INDEX(当前库存!$B:$J,SMALL($B:$B,ROW(B33)),MATCH(D$3,$C$3:$J$3,0)),"")</f>
        <v/>
      </c>
      <c r="E36" s="68" t="str">
        <f ca="1">IFERROR(INDEX(当前库存!$B:$J,SMALL($B:$B,ROW(C33)),MATCH(E$3,$C$3:$J$3,0)),"")</f>
        <v/>
      </c>
      <c r="F36" s="68" t="str">
        <f ca="1">IFERROR(INDEX(当前库存!$B:$J,SMALL($B:$B,ROW(D34)),MATCH(F$3,$C$3:$J$3,0)),"")</f>
        <v/>
      </c>
      <c r="G36" s="68" t="str">
        <f ca="1">IFERROR(INDEX(当前库存!$B:$J,SMALL($B:$B,ROW(E34)),MATCH(G$3,$C$3:$J$3,0)),"")</f>
        <v/>
      </c>
      <c r="H36" s="68" t="str">
        <f ca="1">IFERROR(INDEX(当前库存!$B:$J,SMALL($B:$B,ROW(F34)),MATCH(H$3,$C$3:$J$3,0)),"")</f>
        <v/>
      </c>
      <c r="I36" s="68" t="str">
        <f ca="1">IFERROR(INDEX(当前库存!$B:$J,SMALL($B:$B,ROW(G33)),MATCH(I$3,$C$3:$J$3,0)),"")</f>
        <v/>
      </c>
      <c r="J36" s="68" t="str">
        <f ca="1">IFERROR(INDEX(当前库存!$B:$J,SMALL($B:$B,ROW(H33)),MATCH(J$3,$C$3:$J$3,0)),"")</f>
        <v/>
      </c>
    </row>
    <row r="37" ht="21.95" customHeight="1" spans="2:10">
      <c r="B37" s="62" t="str">
        <f>IF(当前库存!J:J="采购",ROW(),"-")</f>
        <v>-</v>
      </c>
      <c r="C37" s="67" t="str">
        <f ca="1">IFERROR(INDEX(当前库存!$B:$J,SMALL($B:$B,ROW(A34)),MATCH(C$3,$C$3:$J$3,0)),"")</f>
        <v/>
      </c>
      <c r="D37" s="68" t="str">
        <f ca="1">IFERROR(INDEX(当前库存!$B:$J,SMALL($B:$B,ROW(B34)),MATCH(D$3,$C$3:$J$3,0)),"")</f>
        <v/>
      </c>
      <c r="E37" s="68" t="str">
        <f ca="1">IFERROR(INDEX(当前库存!$B:$J,SMALL($B:$B,ROW(C34)),MATCH(E$3,$C$3:$J$3,0)),"")</f>
        <v/>
      </c>
      <c r="F37" s="68" t="str">
        <f ca="1">IFERROR(INDEX(当前库存!$B:$J,SMALL($B:$B,ROW(D35)),MATCH(F$3,$C$3:$J$3,0)),"")</f>
        <v/>
      </c>
      <c r="G37" s="68" t="str">
        <f ca="1">IFERROR(INDEX(当前库存!$B:$J,SMALL($B:$B,ROW(E35)),MATCH(G$3,$C$3:$J$3,0)),"")</f>
        <v/>
      </c>
      <c r="H37" s="68" t="str">
        <f ca="1">IFERROR(INDEX(当前库存!$B:$J,SMALL($B:$B,ROW(F35)),MATCH(H$3,$C$3:$J$3,0)),"")</f>
        <v/>
      </c>
      <c r="I37" s="68" t="str">
        <f ca="1">IFERROR(INDEX(当前库存!$B:$J,SMALL($B:$B,ROW(G34)),MATCH(I$3,$C$3:$J$3,0)),"")</f>
        <v/>
      </c>
      <c r="J37" s="68" t="str">
        <f ca="1">IFERROR(INDEX(当前库存!$B:$J,SMALL($B:$B,ROW(H34)),MATCH(J$3,$C$3:$J$3,0)),"")</f>
        <v/>
      </c>
    </row>
    <row r="38" ht="21.95" customHeight="1" spans="2:10">
      <c r="B38" s="62" t="str">
        <f>IF(当前库存!J:J="采购",ROW(),"-")</f>
        <v>-</v>
      </c>
      <c r="C38" s="67" t="str">
        <f ca="1">IFERROR(INDEX(当前库存!$B:$J,SMALL($B:$B,ROW(A35)),MATCH(C$3,$C$3:$J$3,0)),"")</f>
        <v/>
      </c>
      <c r="D38" s="68" t="str">
        <f ca="1">IFERROR(INDEX(当前库存!$B:$J,SMALL($B:$B,ROW(B35)),MATCH(D$3,$C$3:$J$3,0)),"")</f>
        <v/>
      </c>
      <c r="E38" s="68" t="str">
        <f ca="1">IFERROR(INDEX(当前库存!$B:$J,SMALL($B:$B,ROW(C35)),MATCH(E$3,$C$3:$J$3,0)),"")</f>
        <v/>
      </c>
      <c r="F38" s="68" t="str">
        <f ca="1">IFERROR(INDEX(当前库存!$B:$J,SMALL($B:$B,ROW(D36)),MATCH(F$3,$C$3:$J$3,0)),"")</f>
        <v/>
      </c>
      <c r="G38" s="68" t="str">
        <f ca="1">IFERROR(INDEX(当前库存!$B:$J,SMALL($B:$B,ROW(E36)),MATCH(G$3,$C$3:$J$3,0)),"")</f>
        <v/>
      </c>
      <c r="H38" s="68" t="str">
        <f ca="1">IFERROR(INDEX(当前库存!$B:$J,SMALL($B:$B,ROW(F36)),MATCH(H$3,$C$3:$J$3,0)),"")</f>
        <v/>
      </c>
      <c r="I38" s="68" t="str">
        <f ca="1">IFERROR(INDEX(当前库存!$B:$J,SMALL($B:$B,ROW(G35)),MATCH(I$3,$C$3:$J$3,0)),"")</f>
        <v/>
      </c>
      <c r="J38" s="68" t="str">
        <f ca="1">IFERROR(INDEX(当前库存!$B:$J,SMALL($B:$B,ROW(H35)),MATCH(J$3,$C$3:$J$3,0)),"")</f>
        <v/>
      </c>
    </row>
    <row r="39" ht="21.95" customHeight="1" spans="2:10">
      <c r="B39" s="62" t="str">
        <f>IF(当前库存!J:J="采购",ROW(),"-")</f>
        <v>-</v>
      </c>
      <c r="C39" s="67" t="str">
        <f ca="1">IFERROR(INDEX(当前库存!$B:$J,SMALL($B:$B,ROW(A36)),MATCH(C$3,$C$3:$J$3,0)),"")</f>
        <v/>
      </c>
      <c r="D39" s="68" t="str">
        <f ca="1">IFERROR(INDEX(当前库存!$B:$J,SMALL($B:$B,ROW(B36)),MATCH(D$3,$C$3:$J$3,0)),"")</f>
        <v/>
      </c>
      <c r="E39" s="68" t="str">
        <f ca="1">IFERROR(INDEX(当前库存!$B:$J,SMALL($B:$B,ROW(C36)),MATCH(E$3,$C$3:$J$3,0)),"")</f>
        <v/>
      </c>
      <c r="F39" s="68" t="str">
        <f ca="1">IFERROR(INDEX(当前库存!$B:$J,SMALL($B:$B,ROW(D37)),MATCH(F$3,$C$3:$J$3,0)),"")</f>
        <v/>
      </c>
      <c r="G39" s="68" t="str">
        <f ca="1">IFERROR(INDEX(当前库存!$B:$J,SMALL($B:$B,ROW(E37)),MATCH(G$3,$C$3:$J$3,0)),"")</f>
        <v/>
      </c>
      <c r="H39" s="68" t="str">
        <f ca="1">IFERROR(INDEX(当前库存!$B:$J,SMALL($B:$B,ROW(F37)),MATCH(H$3,$C$3:$J$3,0)),"")</f>
        <v/>
      </c>
      <c r="I39" s="68" t="str">
        <f ca="1">IFERROR(INDEX(当前库存!$B:$J,SMALL($B:$B,ROW(G36)),MATCH(I$3,$C$3:$J$3,0)),"")</f>
        <v/>
      </c>
      <c r="J39" s="68" t="str">
        <f ca="1">IFERROR(INDEX(当前库存!$B:$J,SMALL($B:$B,ROW(H36)),MATCH(J$3,$C$3:$J$3,0)),"")</f>
        <v/>
      </c>
    </row>
    <row r="40" ht="21.95" customHeight="1" spans="2:10">
      <c r="B40" s="62" t="str">
        <f>IF(当前库存!J:J="采购",ROW(),"-")</f>
        <v>-</v>
      </c>
      <c r="C40" s="67" t="str">
        <f ca="1">IFERROR(INDEX(当前库存!$B:$J,SMALL($B:$B,ROW(A37)),MATCH(C$3,$C$3:$J$3,0)),"")</f>
        <v/>
      </c>
      <c r="D40" s="68" t="str">
        <f ca="1">IFERROR(INDEX(当前库存!$B:$J,SMALL($B:$B,ROW(B37)),MATCH(D$3,$C$3:$J$3,0)),"")</f>
        <v/>
      </c>
      <c r="E40" s="68" t="str">
        <f ca="1">IFERROR(INDEX(当前库存!$B:$J,SMALL($B:$B,ROW(C37)),MATCH(E$3,$C$3:$J$3,0)),"")</f>
        <v/>
      </c>
      <c r="F40" s="68" t="str">
        <f ca="1">IFERROR(INDEX(当前库存!$B:$J,SMALL($B:$B,ROW(D38)),MATCH(F$3,$C$3:$J$3,0)),"")</f>
        <v/>
      </c>
      <c r="G40" s="68" t="str">
        <f ca="1">IFERROR(INDEX(当前库存!$B:$J,SMALL($B:$B,ROW(E38)),MATCH(G$3,$C$3:$J$3,0)),"")</f>
        <v/>
      </c>
      <c r="H40" s="68" t="str">
        <f ca="1">IFERROR(INDEX(当前库存!$B:$J,SMALL($B:$B,ROW(F38)),MATCH(H$3,$C$3:$J$3,0)),"")</f>
        <v/>
      </c>
      <c r="I40" s="68" t="str">
        <f ca="1">IFERROR(INDEX(当前库存!$B:$J,SMALL($B:$B,ROW(G37)),MATCH(I$3,$C$3:$J$3,0)),"")</f>
        <v/>
      </c>
      <c r="J40" s="68" t="str">
        <f ca="1">IFERROR(INDEX(当前库存!$B:$J,SMALL($B:$B,ROW(H37)),MATCH(J$3,$C$3:$J$3,0)),"")</f>
        <v/>
      </c>
    </row>
    <row r="41" ht="21.95" customHeight="1" spans="2:10">
      <c r="B41" s="62" t="str">
        <f>IF(当前库存!J:J="采购",ROW(),"-")</f>
        <v>-</v>
      </c>
      <c r="C41" s="67" t="str">
        <f ca="1">IFERROR(INDEX(当前库存!$B:$J,SMALL($B:$B,ROW(A38)),MATCH(C$3,$C$3:$J$3,0)),"")</f>
        <v/>
      </c>
      <c r="D41" s="68" t="str">
        <f ca="1">IFERROR(INDEX(当前库存!$B:$J,SMALL($B:$B,ROW(B38)),MATCH(D$3,$C$3:$J$3,0)),"")</f>
        <v/>
      </c>
      <c r="E41" s="68" t="str">
        <f ca="1">IFERROR(INDEX(当前库存!$B:$J,SMALL($B:$B,ROW(C38)),MATCH(E$3,$C$3:$J$3,0)),"")</f>
        <v/>
      </c>
      <c r="F41" s="68" t="str">
        <f ca="1">IFERROR(INDEX(当前库存!$B:$J,SMALL($B:$B,ROW(D39)),MATCH(F$3,$C$3:$J$3,0)),"")</f>
        <v/>
      </c>
      <c r="G41" s="68" t="str">
        <f ca="1">IFERROR(INDEX(当前库存!$B:$J,SMALL($B:$B,ROW(E39)),MATCH(G$3,$C$3:$J$3,0)),"")</f>
        <v/>
      </c>
      <c r="H41" s="68" t="str">
        <f ca="1">IFERROR(INDEX(当前库存!$B:$J,SMALL($B:$B,ROW(F39)),MATCH(H$3,$C$3:$J$3,0)),"")</f>
        <v/>
      </c>
      <c r="I41" s="68" t="str">
        <f ca="1">IFERROR(INDEX(当前库存!$B:$J,SMALL($B:$B,ROW(G38)),MATCH(I$3,$C$3:$J$3,0)),"")</f>
        <v/>
      </c>
      <c r="J41" s="68" t="str">
        <f ca="1">IFERROR(INDEX(当前库存!$B:$J,SMALL($B:$B,ROW(H38)),MATCH(J$3,$C$3:$J$3,0)),"")</f>
        <v/>
      </c>
    </row>
    <row r="42" ht="21.95" customHeight="1" spans="2:10">
      <c r="B42" s="62" t="str">
        <f>IF(当前库存!J:J="采购",ROW(),"-")</f>
        <v>-</v>
      </c>
      <c r="C42" s="67" t="str">
        <f ca="1">IFERROR(INDEX(当前库存!$B:$J,SMALL($B:$B,ROW(A39)),MATCH(C$3,$C$3:$J$3,0)),"")</f>
        <v/>
      </c>
      <c r="D42" s="68" t="str">
        <f ca="1">IFERROR(INDEX(当前库存!$B:$J,SMALL($B:$B,ROW(B39)),MATCH(D$3,$C$3:$J$3,0)),"")</f>
        <v/>
      </c>
      <c r="E42" s="68" t="str">
        <f ca="1">IFERROR(INDEX(当前库存!$B:$J,SMALL($B:$B,ROW(C39)),MATCH(E$3,$C$3:$J$3,0)),"")</f>
        <v/>
      </c>
      <c r="F42" s="68" t="str">
        <f ca="1">IFERROR(INDEX(当前库存!$B:$J,SMALL($B:$B,ROW(D40)),MATCH(F$3,$C$3:$J$3,0)),"")</f>
        <v/>
      </c>
      <c r="G42" s="68" t="str">
        <f ca="1">IFERROR(INDEX(当前库存!$B:$J,SMALL($B:$B,ROW(E40)),MATCH(G$3,$C$3:$J$3,0)),"")</f>
        <v/>
      </c>
      <c r="H42" s="68" t="str">
        <f ca="1">IFERROR(INDEX(当前库存!$B:$J,SMALL($B:$B,ROW(F40)),MATCH(H$3,$C$3:$J$3,0)),"")</f>
        <v/>
      </c>
      <c r="I42" s="68" t="str">
        <f ca="1">IFERROR(INDEX(当前库存!$B:$J,SMALL($B:$B,ROW(G39)),MATCH(I$3,$C$3:$J$3,0)),"")</f>
        <v/>
      </c>
      <c r="J42" s="68" t="str">
        <f ca="1">IFERROR(INDEX(当前库存!$B:$J,SMALL($B:$B,ROW(H39)),MATCH(J$3,$C$3:$J$3,0)),"")</f>
        <v/>
      </c>
    </row>
    <row r="43" ht="21.95" customHeight="1" spans="2:10">
      <c r="B43" s="62" t="str">
        <f>IF(当前库存!J:J="采购",ROW(),"-")</f>
        <v>-</v>
      </c>
      <c r="C43" s="67" t="str">
        <f ca="1">IFERROR(INDEX(当前库存!$B:$J,SMALL($B:$B,ROW(A40)),MATCH(C$3,$C$3:$J$3,0)),"")</f>
        <v/>
      </c>
      <c r="D43" s="68" t="str">
        <f ca="1">IFERROR(INDEX(当前库存!$B:$J,SMALL($B:$B,ROW(B40)),MATCH(D$3,$C$3:$J$3,0)),"")</f>
        <v/>
      </c>
      <c r="E43" s="68" t="str">
        <f ca="1">IFERROR(INDEX(当前库存!$B:$J,SMALL($B:$B,ROW(C40)),MATCH(E$3,$C$3:$J$3,0)),"")</f>
        <v/>
      </c>
      <c r="F43" s="68" t="str">
        <f ca="1">IFERROR(INDEX(当前库存!$B:$J,SMALL($B:$B,ROW(D41)),MATCH(F$3,$C$3:$J$3,0)),"")</f>
        <v/>
      </c>
      <c r="G43" s="68" t="str">
        <f ca="1">IFERROR(INDEX(当前库存!$B:$J,SMALL($B:$B,ROW(E41)),MATCH(G$3,$C$3:$J$3,0)),"")</f>
        <v/>
      </c>
      <c r="H43" s="68" t="str">
        <f ca="1">IFERROR(INDEX(当前库存!$B:$J,SMALL($B:$B,ROW(F41)),MATCH(H$3,$C$3:$J$3,0)),"")</f>
        <v/>
      </c>
      <c r="I43" s="68" t="str">
        <f ca="1">IFERROR(INDEX(当前库存!$B:$J,SMALL($B:$B,ROW(G40)),MATCH(I$3,$C$3:$J$3,0)),"")</f>
        <v/>
      </c>
      <c r="J43" s="68" t="str">
        <f ca="1">IFERROR(INDEX(当前库存!$B:$J,SMALL($B:$B,ROW(H40)),MATCH(J$3,$C$3:$J$3,0)),"")</f>
        <v/>
      </c>
    </row>
    <row r="44" ht="21.95" customHeight="1" spans="2:10">
      <c r="B44" s="62" t="str">
        <f>IF(当前库存!J:J="采购",ROW(),"-")</f>
        <v>-</v>
      </c>
      <c r="C44" s="67" t="str">
        <f ca="1">IFERROR(INDEX(当前库存!$B:$J,SMALL($B:$B,ROW(A41)),MATCH(C$3,$C$3:$J$3,0)),"")</f>
        <v/>
      </c>
      <c r="D44" s="68" t="str">
        <f ca="1">IFERROR(INDEX(当前库存!$B:$J,SMALL($B:$B,ROW(B41)),MATCH(D$3,$C$3:$J$3,0)),"")</f>
        <v/>
      </c>
      <c r="E44" s="68" t="str">
        <f ca="1">IFERROR(INDEX(当前库存!$B:$J,SMALL($B:$B,ROW(C41)),MATCH(E$3,$C$3:$J$3,0)),"")</f>
        <v/>
      </c>
      <c r="F44" s="68" t="str">
        <f ca="1">IFERROR(INDEX(当前库存!$B:$J,SMALL($B:$B,ROW(D42)),MATCH(F$3,$C$3:$J$3,0)),"")</f>
        <v/>
      </c>
      <c r="G44" s="68" t="str">
        <f ca="1">IFERROR(INDEX(当前库存!$B:$J,SMALL($B:$B,ROW(E42)),MATCH(G$3,$C$3:$J$3,0)),"")</f>
        <v/>
      </c>
      <c r="H44" s="68" t="str">
        <f ca="1">IFERROR(INDEX(当前库存!$B:$J,SMALL($B:$B,ROW(F42)),MATCH(H$3,$C$3:$J$3,0)),"")</f>
        <v/>
      </c>
      <c r="I44" s="68" t="str">
        <f ca="1">IFERROR(INDEX(当前库存!$B:$J,SMALL($B:$B,ROW(G41)),MATCH(I$3,$C$3:$J$3,0)),"")</f>
        <v/>
      </c>
      <c r="J44" s="68" t="str">
        <f ca="1">IFERROR(INDEX(当前库存!$B:$J,SMALL($B:$B,ROW(H41)),MATCH(J$3,$C$3:$J$3,0)),"")</f>
        <v/>
      </c>
    </row>
    <row r="45" ht="21.95" customHeight="1" spans="2:10">
      <c r="B45" s="62" t="str">
        <f>IF(当前库存!J:J="采购",ROW(),"-")</f>
        <v>-</v>
      </c>
      <c r="C45" s="67" t="str">
        <f ca="1">IFERROR(INDEX(当前库存!$B:$J,SMALL($B:$B,ROW(A42)),MATCH(C$3,$C$3:$J$3,0)),"")</f>
        <v/>
      </c>
      <c r="D45" s="68" t="str">
        <f ca="1">IFERROR(INDEX(当前库存!$B:$J,SMALL($B:$B,ROW(B42)),MATCH(D$3,$C$3:$J$3,0)),"")</f>
        <v/>
      </c>
      <c r="E45" s="68" t="str">
        <f ca="1">IFERROR(INDEX(当前库存!$B:$J,SMALL($B:$B,ROW(C42)),MATCH(E$3,$C$3:$J$3,0)),"")</f>
        <v/>
      </c>
      <c r="F45" s="68" t="str">
        <f ca="1">IFERROR(INDEX(当前库存!$B:$J,SMALL($B:$B,ROW(D43)),MATCH(F$3,$C$3:$J$3,0)),"")</f>
        <v/>
      </c>
      <c r="G45" s="68" t="str">
        <f ca="1">IFERROR(INDEX(当前库存!$B:$J,SMALL($B:$B,ROW(E43)),MATCH(G$3,$C$3:$J$3,0)),"")</f>
        <v/>
      </c>
      <c r="H45" s="68" t="str">
        <f ca="1">IFERROR(INDEX(当前库存!$B:$J,SMALL($B:$B,ROW(F43)),MATCH(H$3,$C$3:$J$3,0)),"")</f>
        <v/>
      </c>
      <c r="I45" s="68" t="str">
        <f ca="1">IFERROR(INDEX(当前库存!$B:$J,SMALL($B:$B,ROW(G42)),MATCH(I$3,$C$3:$J$3,0)),"")</f>
        <v/>
      </c>
      <c r="J45" s="68" t="str">
        <f ca="1">IFERROR(INDEX(当前库存!$B:$J,SMALL($B:$B,ROW(H42)),MATCH(J$3,$C$3:$J$3,0)),"")</f>
        <v/>
      </c>
    </row>
    <row r="46" ht="21.95" customHeight="1" spans="2:10">
      <c r="B46" s="62" t="str">
        <f>IF(当前库存!J:J="采购",ROW(),"-")</f>
        <v>-</v>
      </c>
      <c r="C46" s="67" t="str">
        <f ca="1">IFERROR(INDEX(当前库存!$B:$J,SMALL($B:$B,ROW(A43)),MATCH(C$3,$C$3:$J$3,0)),"")</f>
        <v/>
      </c>
      <c r="D46" s="68" t="str">
        <f ca="1">IFERROR(INDEX(当前库存!$B:$J,SMALL($B:$B,ROW(B43)),MATCH(D$3,$C$3:$J$3,0)),"")</f>
        <v/>
      </c>
      <c r="E46" s="68" t="str">
        <f ca="1">IFERROR(INDEX(当前库存!$B:$J,SMALL($B:$B,ROW(C43)),MATCH(E$3,$C$3:$J$3,0)),"")</f>
        <v/>
      </c>
      <c r="F46" s="68" t="str">
        <f ca="1">IFERROR(INDEX(当前库存!$B:$J,SMALL($B:$B,ROW(D44)),MATCH(F$3,$C$3:$J$3,0)),"")</f>
        <v/>
      </c>
      <c r="G46" s="68" t="str">
        <f ca="1">IFERROR(INDEX(当前库存!$B:$J,SMALL($B:$B,ROW(E44)),MATCH(G$3,$C$3:$J$3,0)),"")</f>
        <v/>
      </c>
      <c r="H46" s="68" t="str">
        <f ca="1">IFERROR(INDEX(当前库存!$B:$J,SMALL($B:$B,ROW(F44)),MATCH(H$3,$C$3:$J$3,0)),"")</f>
        <v/>
      </c>
      <c r="I46" s="68" t="str">
        <f ca="1">IFERROR(INDEX(当前库存!$B:$J,SMALL($B:$B,ROW(G43)),MATCH(I$3,$C$3:$J$3,0)),"")</f>
        <v/>
      </c>
      <c r="J46" s="68" t="str">
        <f ca="1">IFERROR(INDEX(当前库存!$B:$J,SMALL($B:$B,ROW(H43)),MATCH(J$3,$C$3:$J$3,0)),"")</f>
        <v/>
      </c>
    </row>
    <row r="47" ht="21.95" customHeight="1" spans="2:10">
      <c r="B47" s="62" t="str">
        <f>IF(当前库存!J:J="采购",ROW(),"-")</f>
        <v>-</v>
      </c>
      <c r="C47" s="67" t="str">
        <f ca="1">IFERROR(INDEX(当前库存!$B:$J,SMALL($B:$B,ROW(A44)),MATCH(C$3,$C$3:$J$3,0)),"")</f>
        <v/>
      </c>
      <c r="D47" s="68" t="str">
        <f ca="1">IFERROR(INDEX(当前库存!$B:$J,SMALL($B:$B,ROW(B44)),MATCH(D$3,$C$3:$J$3,0)),"")</f>
        <v/>
      </c>
      <c r="E47" s="68" t="str">
        <f ca="1">IFERROR(INDEX(当前库存!$B:$J,SMALL($B:$B,ROW(C44)),MATCH(E$3,$C$3:$J$3,0)),"")</f>
        <v/>
      </c>
      <c r="F47" s="68" t="str">
        <f ca="1">IFERROR(INDEX(当前库存!$B:$J,SMALL($B:$B,ROW(D45)),MATCH(F$3,$C$3:$J$3,0)),"")</f>
        <v/>
      </c>
      <c r="G47" s="68" t="str">
        <f ca="1">IFERROR(INDEX(当前库存!$B:$J,SMALL($B:$B,ROW(E45)),MATCH(G$3,$C$3:$J$3,0)),"")</f>
        <v/>
      </c>
      <c r="H47" s="68" t="str">
        <f ca="1">IFERROR(INDEX(当前库存!$B:$J,SMALL($B:$B,ROW(F45)),MATCH(H$3,$C$3:$J$3,0)),"")</f>
        <v/>
      </c>
      <c r="I47" s="68" t="str">
        <f ca="1">IFERROR(INDEX(当前库存!$B:$J,SMALL($B:$B,ROW(G44)),MATCH(I$3,$C$3:$J$3,0)),"")</f>
        <v/>
      </c>
      <c r="J47" s="68" t="str">
        <f ca="1">IFERROR(INDEX(当前库存!$B:$J,SMALL($B:$B,ROW(H44)),MATCH(J$3,$C$3:$J$3,0)),"")</f>
        <v/>
      </c>
    </row>
    <row r="48" ht="21.95" customHeight="1" spans="2:10">
      <c r="B48" s="62" t="str">
        <f>IF(当前库存!J:J="采购",ROW(),"-")</f>
        <v>-</v>
      </c>
      <c r="C48" s="67" t="str">
        <f ca="1">IFERROR(INDEX(当前库存!$B:$J,SMALL($B:$B,ROW(A45)),MATCH(C$3,$C$3:$J$3,0)),"")</f>
        <v/>
      </c>
      <c r="D48" s="68" t="str">
        <f ca="1">IFERROR(INDEX(当前库存!$B:$J,SMALL($B:$B,ROW(B45)),MATCH(D$3,$C$3:$J$3,0)),"")</f>
        <v/>
      </c>
      <c r="E48" s="68" t="str">
        <f ca="1">IFERROR(INDEX(当前库存!$B:$J,SMALL($B:$B,ROW(C45)),MATCH(E$3,$C$3:$J$3,0)),"")</f>
        <v/>
      </c>
      <c r="F48" s="68" t="str">
        <f ca="1">IFERROR(INDEX(当前库存!$B:$J,SMALL($B:$B,ROW(D46)),MATCH(F$3,$C$3:$J$3,0)),"")</f>
        <v/>
      </c>
      <c r="G48" s="68" t="str">
        <f ca="1">IFERROR(INDEX(当前库存!$B:$J,SMALL($B:$B,ROW(E46)),MATCH(G$3,$C$3:$J$3,0)),"")</f>
        <v/>
      </c>
      <c r="H48" s="68" t="str">
        <f ca="1">IFERROR(INDEX(当前库存!$B:$J,SMALL($B:$B,ROW(F46)),MATCH(H$3,$C$3:$J$3,0)),"")</f>
        <v/>
      </c>
      <c r="I48" s="68" t="str">
        <f ca="1">IFERROR(INDEX(当前库存!$B:$J,SMALL($B:$B,ROW(G45)),MATCH(I$3,$C$3:$J$3,0)),"")</f>
        <v/>
      </c>
      <c r="J48" s="68" t="str">
        <f ca="1">IFERROR(INDEX(当前库存!$B:$J,SMALL($B:$B,ROW(H45)),MATCH(J$3,$C$3:$J$3,0)),"")</f>
        <v/>
      </c>
    </row>
    <row r="49" ht="21.95" customHeight="1" spans="2:10">
      <c r="B49" s="62" t="str">
        <f>IF(当前库存!J:J="采购",ROW(),"-")</f>
        <v>-</v>
      </c>
      <c r="C49" s="67" t="str">
        <f ca="1">IFERROR(INDEX(当前库存!$B:$J,SMALL($B:$B,ROW(A46)),MATCH(C$3,$C$3:$J$3,0)),"")</f>
        <v/>
      </c>
      <c r="D49" s="68" t="str">
        <f ca="1">IFERROR(INDEX(当前库存!$B:$J,SMALL($B:$B,ROW(B46)),MATCH(D$3,$C$3:$J$3,0)),"")</f>
        <v/>
      </c>
      <c r="E49" s="68" t="str">
        <f ca="1">IFERROR(INDEX(当前库存!$B:$J,SMALL($B:$B,ROW(C46)),MATCH(E$3,$C$3:$J$3,0)),"")</f>
        <v/>
      </c>
      <c r="F49" s="68" t="str">
        <f ca="1">IFERROR(INDEX(当前库存!$B:$J,SMALL($B:$B,ROW(D47)),MATCH(F$3,$C$3:$J$3,0)),"")</f>
        <v/>
      </c>
      <c r="G49" s="68" t="str">
        <f ca="1">IFERROR(INDEX(当前库存!$B:$J,SMALL($B:$B,ROW(E47)),MATCH(G$3,$C$3:$J$3,0)),"")</f>
        <v/>
      </c>
      <c r="H49" s="68" t="str">
        <f ca="1">IFERROR(INDEX(当前库存!$B:$J,SMALL($B:$B,ROW(F47)),MATCH(H$3,$C$3:$J$3,0)),"")</f>
        <v/>
      </c>
      <c r="I49" s="68" t="str">
        <f ca="1">IFERROR(INDEX(当前库存!$B:$J,SMALL($B:$B,ROW(G46)),MATCH(I$3,$C$3:$J$3,0)),"")</f>
        <v/>
      </c>
      <c r="J49" s="68" t="str">
        <f ca="1">IFERROR(INDEX(当前库存!$B:$J,SMALL($B:$B,ROW(H46)),MATCH(J$3,$C$3:$J$3,0)),"")</f>
        <v/>
      </c>
    </row>
    <row r="50" ht="21.95" customHeight="1" spans="2:10">
      <c r="B50" s="62" t="str">
        <f>IF(当前库存!J:J="采购",ROW(),"-")</f>
        <v>-</v>
      </c>
      <c r="C50" s="67" t="str">
        <f ca="1">IFERROR(INDEX(当前库存!$B:$J,SMALL($B:$B,ROW(A47)),MATCH(C$3,$C$3:$J$3,0)),"")</f>
        <v/>
      </c>
      <c r="D50" s="68" t="str">
        <f ca="1">IFERROR(INDEX(当前库存!$B:$J,SMALL($B:$B,ROW(B47)),MATCH(D$3,$C$3:$J$3,0)),"")</f>
        <v/>
      </c>
      <c r="E50" s="68" t="str">
        <f ca="1">IFERROR(INDEX(当前库存!$B:$J,SMALL($B:$B,ROW(C47)),MATCH(E$3,$C$3:$J$3,0)),"")</f>
        <v/>
      </c>
      <c r="F50" s="68" t="str">
        <f ca="1">IFERROR(INDEX(当前库存!$B:$J,SMALL($B:$B,ROW(D48)),MATCH(F$3,$C$3:$J$3,0)),"")</f>
        <v/>
      </c>
      <c r="G50" s="68" t="str">
        <f ca="1">IFERROR(INDEX(当前库存!$B:$J,SMALL($B:$B,ROW(E48)),MATCH(G$3,$C$3:$J$3,0)),"")</f>
        <v/>
      </c>
      <c r="H50" s="68" t="str">
        <f ca="1">IFERROR(INDEX(当前库存!$B:$J,SMALL($B:$B,ROW(F48)),MATCH(H$3,$C$3:$J$3,0)),"")</f>
        <v/>
      </c>
      <c r="I50" s="68" t="str">
        <f ca="1">IFERROR(INDEX(当前库存!$B:$J,SMALL($B:$B,ROW(G47)),MATCH(I$3,$C$3:$J$3,0)),"")</f>
        <v/>
      </c>
      <c r="J50" s="68" t="str">
        <f ca="1">IFERROR(INDEX(当前库存!$B:$J,SMALL($B:$B,ROW(H47)),MATCH(J$3,$C$3:$J$3,0)),"")</f>
        <v/>
      </c>
    </row>
    <row r="51" ht="21.95" customHeight="1" spans="2:10">
      <c r="B51" s="62" t="str">
        <f>IF(当前库存!J:J="采购",ROW(),"-")</f>
        <v>-</v>
      </c>
      <c r="C51" s="67" t="str">
        <f ca="1">IFERROR(INDEX(当前库存!$B:$J,SMALL($B:$B,ROW(A48)),MATCH(C$3,$C$3:$J$3,0)),"")</f>
        <v/>
      </c>
      <c r="D51" s="68" t="str">
        <f ca="1">IFERROR(INDEX(当前库存!$B:$J,SMALL($B:$B,ROW(B48)),MATCH(D$3,$C$3:$J$3,0)),"")</f>
        <v/>
      </c>
      <c r="E51" s="68" t="str">
        <f ca="1">IFERROR(INDEX(当前库存!$B:$J,SMALL($B:$B,ROW(C48)),MATCH(E$3,$C$3:$J$3,0)),"")</f>
        <v/>
      </c>
      <c r="F51" s="68" t="str">
        <f ca="1">IFERROR(INDEX(当前库存!$B:$J,SMALL($B:$B,ROW(D49)),MATCH(F$3,$C$3:$J$3,0)),"")</f>
        <v/>
      </c>
      <c r="G51" s="68" t="str">
        <f ca="1">IFERROR(INDEX(当前库存!$B:$J,SMALL($B:$B,ROW(E49)),MATCH(G$3,$C$3:$J$3,0)),"")</f>
        <v/>
      </c>
      <c r="H51" s="68" t="str">
        <f ca="1">IFERROR(INDEX(当前库存!$B:$J,SMALL($B:$B,ROW(F49)),MATCH(H$3,$C$3:$J$3,0)),"")</f>
        <v/>
      </c>
      <c r="I51" s="68" t="str">
        <f ca="1">IFERROR(INDEX(当前库存!$B:$J,SMALL($B:$B,ROW(G48)),MATCH(I$3,$C$3:$J$3,0)),"")</f>
        <v/>
      </c>
      <c r="J51" s="68" t="str">
        <f ca="1">IFERROR(INDEX(当前库存!$B:$J,SMALL($B:$B,ROW(H48)),MATCH(J$3,$C$3:$J$3,0)),"")</f>
        <v/>
      </c>
    </row>
    <row r="52" ht="21.95" customHeight="1" spans="2:10">
      <c r="B52" s="62" t="str">
        <f>IF(当前库存!J:J="采购",ROW(),"-")</f>
        <v>-</v>
      </c>
      <c r="C52" s="67" t="str">
        <f ca="1">IFERROR(INDEX(当前库存!$B:$J,SMALL($B:$B,ROW(A49)),MATCH(C$3,$C$3:$J$3,0)),"")</f>
        <v/>
      </c>
      <c r="D52" s="68" t="str">
        <f ca="1">IFERROR(INDEX(当前库存!$B:$J,SMALL($B:$B,ROW(B49)),MATCH(D$3,$C$3:$J$3,0)),"")</f>
        <v/>
      </c>
      <c r="E52" s="68" t="str">
        <f ca="1">IFERROR(INDEX(当前库存!$B:$J,SMALL($B:$B,ROW(C49)),MATCH(E$3,$C$3:$J$3,0)),"")</f>
        <v/>
      </c>
      <c r="F52" s="68" t="str">
        <f ca="1">IFERROR(INDEX(当前库存!$B:$J,SMALL($B:$B,ROW(D50)),MATCH(F$3,$C$3:$J$3,0)),"")</f>
        <v/>
      </c>
      <c r="G52" s="68" t="str">
        <f ca="1">IFERROR(INDEX(当前库存!$B:$J,SMALL($B:$B,ROW(E50)),MATCH(G$3,$C$3:$J$3,0)),"")</f>
        <v/>
      </c>
      <c r="H52" s="68" t="str">
        <f ca="1">IFERROR(INDEX(当前库存!$B:$J,SMALL($B:$B,ROW(F50)),MATCH(H$3,$C$3:$J$3,0)),"")</f>
        <v/>
      </c>
      <c r="I52" s="68" t="str">
        <f ca="1">IFERROR(INDEX(当前库存!$B:$J,SMALL($B:$B,ROW(G49)),MATCH(I$3,$C$3:$J$3,0)),"")</f>
        <v/>
      </c>
      <c r="J52" s="68" t="str">
        <f ca="1">IFERROR(INDEX(当前库存!$B:$J,SMALL($B:$B,ROW(H49)),MATCH(J$3,$C$3:$J$3,0)),"")</f>
        <v/>
      </c>
    </row>
    <row r="53" ht="21.95" customHeight="1" spans="2:10">
      <c r="B53" s="62" t="str">
        <f>IF(当前库存!J:J="采购",ROW(),"-")</f>
        <v>-</v>
      </c>
      <c r="C53" s="67" t="str">
        <f ca="1">IFERROR(INDEX(当前库存!$B:$J,SMALL($B:$B,ROW(A50)),MATCH(C$3,$C$3:$J$3,0)),"")</f>
        <v/>
      </c>
      <c r="D53" s="68" t="str">
        <f ca="1">IFERROR(INDEX(当前库存!$B:$J,SMALL($B:$B,ROW(B50)),MATCH(D$3,$C$3:$J$3,0)),"")</f>
        <v/>
      </c>
      <c r="E53" s="68" t="str">
        <f ca="1">IFERROR(INDEX(当前库存!$B:$J,SMALL($B:$B,ROW(C50)),MATCH(E$3,$C$3:$J$3,0)),"")</f>
        <v/>
      </c>
      <c r="F53" s="68" t="str">
        <f ca="1">IFERROR(INDEX(当前库存!$B:$J,SMALL($B:$B,ROW(D51)),MATCH(F$3,$C$3:$J$3,0)),"")</f>
        <v/>
      </c>
      <c r="G53" s="68" t="str">
        <f ca="1">IFERROR(INDEX(当前库存!$B:$J,SMALL($B:$B,ROW(E51)),MATCH(G$3,$C$3:$J$3,0)),"")</f>
        <v/>
      </c>
      <c r="H53" s="68" t="str">
        <f ca="1">IFERROR(INDEX(当前库存!$B:$J,SMALL($B:$B,ROW(F51)),MATCH(H$3,$C$3:$J$3,0)),"")</f>
        <v/>
      </c>
      <c r="I53" s="68" t="str">
        <f ca="1">IFERROR(INDEX(当前库存!$B:$J,SMALL($B:$B,ROW(G50)),MATCH(I$3,$C$3:$J$3,0)),"")</f>
        <v/>
      </c>
      <c r="J53" s="68" t="str">
        <f ca="1">IFERROR(INDEX(当前库存!$B:$J,SMALL($B:$B,ROW(H50)),MATCH(J$3,$C$3:$J$3,0)),"")</f>
        <v/>
      </c>
    </row>
    <row r="54" ht="21.95" customHeight="1" spans="2:10">
      <c r="B54" s="62" t="str">
        <f>IF(当前库存!J:J="采购",ROW(),"-")</f>
        <v>-</v>
      </c>
      <c r="C54" s="67" t="str">
        <f ca="1">IFERROR(INDEX(当前库存!$B:$J,SMALL($B:$B,ROW(A51)),MATCH(C$3,$C$3:$J$3,0)),"")</f>
        <v/>
      </c>
      <c r="D54" s="68" t="str">
        <f ca="1">IFERROR(INDEX(当前库存!$B:$J,SMALL($B:$B,ROW(B51)),MATCH(D$3,$C$3:$J$3,0)),"")</f>
        <v/>
      </c>
      <c r="E54" s="68" t="str">
        <f ca="1">IFERROR(INDEX(当前库存!$B:$J,SMALL($B:$B,ROW(C51)),MATCH(E$3,$C$3:$J$3,0)),"")</f>
        <v/>
      </c>
      <c r="F54" s="68" t="str">
        <f ca="1">IFERROR(INDEX(当前库存!$B:$J,SMALL($B:$B,ROW(D52)),MATCH(F$3,$C$3:$J$3,0)),"")</f>
        <v/>
      </c>
      <c r="G54" s="68" t="str">
        <f ca="1">IFERROR(INDEX(当前库存!$B:$J,SMALL($B:$B,ROW(E52)),MATCH(G$3,$C$3:$J$3,0)),"")</f>
        <v/>
      </c>
      <c r="H54" s="68" t="str">
        <f ca="1">IFERROR(INDEX(当前库存!$B:$J,SMALL($B:$B,ROW(F52)),MATCH(H$3,$C$3:$J$3,0)),"")</f>
        <v/>
      </c>
      <c r="I54" s="68" t="str">
        <f ca="1">IFERROR(INDEX(当前库存!$B:$J,SMALL($B:$B,ROW(G51)),MATCH(I$3,$C$3:$J$3,0)),"")</f>
        <v/>
      </c>
      <c r="J54" s="68" t="str">
        <f ca="1">IFERROR(INDEX(当前库存!$B:$J,SMALL($B:$B,ROW(H51)),MATCH(J$3,$C$3:$J$3,0)),"")</f>
        <v/>
      </c>
    </row>
    <row r="55" ht="21.95" customHeight="1" spans="2:10">
      <c r="B55" s="62" t="str">
        <f>IF(当前库存!J:J="采购",ROW(),"-")</f>
        <v>-</v>
      </c>
      <c r="C55" s="67" t="str">
        <f ca="1">IFERROR(INDEX(当前库存!$B:$J,SMALL($B:$B,ROW(A52)),MATCH(C$3,$C$3:$J$3,0)),"")</f>
        <v/>
      </c>
      <c r="D55" s="68" t="str">
        <f ca="1">IFERROR(INDEX(当前库存!$B:$J,SMALL($B:$B,ROW(B52)),MATCH(D$3,$C$3:$J$3,0)),"")</f>
        <v/>
      </c>
      <c r="E55" s="68" t="str">
        <f ca="1">IFERROR(INDEX(当前库存!$B:$J,SMALL($B:$B,ROW(C52)),MATCH(E$3,$C$3:$J$3,0)),"")</f>
        <v/>
      </c>
      <c r="F55" s="68" t="str">
        <f ca="1">IFERROR(INDEX(当前库存!$B:$J,SMALL($B:$B,ROW(D53)),MATCH(F$3,$C$3:$J$3,0)),"")</f>
        <v/>
      </c>
      <c r="G55" s="68" t="str">
        <f ca="1">IFERROR(INDEX(当前库存!$B:$J,SMALL($B:$B,ROW(E53)),MATCH(G$3,$C$3:$J$3,0)),"")</f>
        <v/>
      </c>
      <c r="H55" s="68" t="str">
        <f ca="1">IFERROR(INDEX(当前库存!$B:$J,SMALL($B:$B,ROW(F53)),MATCH(H$3,$C$3:$J$3,0)),"")</f>
        <v/>
      </c>
      <c r="I55" s="68" t="str">
        <f ca="1">IFERROR(INDEX(当前库存!$B:$J,SMALL($B:$B,ROW(G52)),MATCH(I$3,$C$3:$J$3,0)),"")</f>
        <v/>
      </c>
      <c r="J55" s="68" t="str">
        <f ca="1">IFERROR(INDEX(当前库存!$B:$J,SMALL($B:$B,ROW(H52)),MATCH(J$3,$C$3:$J$3,0)),"")</f>
        <v/>
      </c>
    </row>
    <row r="56" ht="21.95" customHeight="1" spans="2:10">
      <c r="B56" s="62" t="str">
        <f>IF(当前库存!J:J="采购",ROW(),"-")</f>
        <v>-</v>
      </c>
      <c r="C56" s="67" t="str">
        <f ca="1">IFERROR(INDEX(当前库存!$B:$J,SMALL($B:$B,ROW(A53)),MATCH(C$3,$C$3:$J$3,0)),"")</f>
        <v/>
      </c>
      <c r="D56" s="68" t="str">
        <f ca="1">IFERROR(INDEX(当前库存!$B:$J,SMALL($B:$B,ROW(B53)),MATCH(D$3,$C$3:$J$3,0)),"")</f>
        <v/>
      </c>
      <c r="E56" s="68" t="str">
        <f ca="1">IFERROR(INDEX(当前库存!$B:$J,SMALL($B:$B,ROW(C53)),MATCH(E$3,$C$3:$J$3,0)),"")</f>
        <v/>
      </c>
      <c r="F56" s="68" t="str">
        <f ca="1">IFERROR(INDEX(当前库存!$B:$J,SMALL($B:$B,ROW(D54)),MATCH(F$3,$C$3:$J$3,0)),"")</f>
        <v/>
      </c>
      <c r="G56" s="68" t="str">
        <f ca="1">IFERROR(INDEX(当前库存!$B:$J,SMALL($B:$B,ROW(E54)),MATCH(G$3,$C$3:$J$3,0)),"")</f>
        <v/>
      </c>
      <c r="H56" s="68" t="str">
        <f ca="1">IFERROR(INDEX(当前库存!$B:$J,SMALL($B:$B,ROW(F54)),MATCH(H$3,$C$3:$J$3,0)),"")</f>
        <v/>
      </c>
      <c r="I56" s="68" t="str">
        <f ca="1">IFERROR(INDEX(当前库存!$B:$J,SMALL($B:$B,ROW(G53)),MATCH(I$3,$C$3:$J$3,0)),"")</f>
        <v/>
      </c>
      <c r="J56" s="68" t="str">
        <f ca="1">IFERROR(INDEX(当前库存!$B:$J,SMALL($B:$B,ROW(H53)),MATCH(J$3,$C$3:$J$3,0)),"")</f>
        <v/>
      </c>
    </row>
    <row r="57" ht="21.95" customHeight="1" spans="2:10">
      <c r="B57" s="62" t="str">
        <f>IF(当前库存!J:J="采购",ROW(),"-")</f>
        <v>-</v>
      </c>
      <c r="C57" s="67" t="str">
        <f ca="1">IFERROR(INDEX(当前库存!$B:$J,SMALL($B:$B,ROW(A54)),MATCH(C$3,$C$3:$J$3,0)),"")</f>
        <v/>
      </c>
      <c r="D57" s="68" t="str">
        <f ca="1">IFERROR(INDEX(当前库存!$B:$J,SMALL($B:$B,ROW(B54)),MATCH(D$3,$C$3:$J$3,0)),"")</f>
        <v/>
      </c>
      <c r="E57" s="68" t="str">
        <f ca="1">IFERROR(INDEX(当前库存!$B:$J,SMALL($B:$B,ROW(C54)),MATCH(E$3,$C$3:$J$3,0)),"")</f>
        <v/>
      </c>
      <c r="F57" s="68" t="str">
        <f ca="1">IFERROR(INDEX(当前库存!$B:$J,SMALL($B:$B,ROW(D55)),MATCH(F$3,$C$3:$J$3,0)),"")</f>
        <v/>
      </c>
      <c r="G57" s="68" t="str">
        <f ca="1">IFERROR(INDEX(当前库存!$B:$J,SMALL($B:$B,ROW(E55)),MATCH(G$3,$C$3:$J$3,0)),"")</f>
        <v/>
      </c>
      <c r="H57" s="68" t="str">
        <f ca="1">IFERROR(INDEX(当前库存!$B:$J,SMALL($B:$B,ROW(F55)),MATCH(H$3,$C$3:$J$3,0)),"")</f>
        <v/>
      </c>
      <c r="I57" s="68" t="str">
        <f ca="1">IFERROR(INDEX(当前库存!$B:$J,SMALL($B:$B,ROW(G54)),MATCH(I$3,$C$3:$J$3,0)),"")</f>
        <v/>
      </c>
      <c r="J57" s="68" t="str">
        <f ca="1">IFERROR(INDEX(当前库存!$B:$J,SMALL($B:$B,ROW(H54)),MATCH(J$3,$C$3:$J$3,0)),"")</f>
        <v/>
      </c>
    </row>
    <row r="58" ht="21.95" customHeight="1" spans="2:10">
      <c r="B58" s="62" t="str">
        <f>IF(当前库存!J:J="采购",ROW(),"-")</f>
        <v>-</v>
      </c>
      <c r="C58" s="67" t="str">
        <f ca="1">IFERROR(INDEX(当前库存!$B:$J,SMALL($B:$B,ROW(A55)),MATCH(C$3,$C$3:$J$3,0)),"")</f>
        <v/>
      </c>
      <c r="D58" s="68" t="str">
        <f ca="1">IFERROR(INDEX(当前库存!$B:$J,SMALL($B:$B,ROW(B55)),MATCH(D$3,$C$3:$J$3,0)),"")</f>
        <v/>
      </c>
      <c r="E58" s="68" t="str">
        <f ca="1">IFERROR(INDEX(当前库存!$B:$J,SMALL($B:$B,ROW(C55)),MATCH(E$3,$C$3:$J$3,0)),"")</f>
        <v/>
      </c>
      <c r="F58" s="68" t="str">
        <f ca="1">IFERROR(INDEX(当前库存!$B:$J,SMALL($B:$B,ROW(D56)),MATCH(F$3,$C$3:$J$3,0)),"")</f>
        <v/>
      </c>
      <c r="G58" s="68" t="str">
        <f ca="1">IFERROR(INDEX(当前库存!$B:$J,SMALL($B:$B,ROW(E56)),MATCH(G$3,$C$3:$J$3,0)),"")</f>
        <v/>
      </c>
      <c r="H58" s="68" t="str">
        <f ca="1">IFERROR(INDEX(当前库存!$B:$J,SMALL($B:$B,ROW(F56)),MATCH(H$3,$C$3:$J$3,0)),"")</f>
        <v/>
      </c>
      <c r="I58" s="68" t="str">
        <f ca="1">IFERROR(INDEX(当前库存!$B:$J,SMALL($B:$B,ROW(G55)),MATCH(I$3,$C$3:$J$3,0)),"")</f>
        <v/>
      </c>
      <c r="J58" s="68" t="str">
        <f ca="1">IFERROR(INDEX(当前库存!$B:$J,SMALL($B:$B,ROW(H55)),MATCH(J$3,$C$3:$J$3,0)),"")</f>
        <v/>
      </c>
    </row>
    <row r="59" ht="21.95" customHeight="1" spans="2:10">
      <c r="B59" s="62" t="str">
        <f>IF(当前库存!J:J="采购",ROW(),"-")</f>
        <v>-</v>
      </c>
      <c r="C59" s="67" t="str">
        <f ca="1">IFERROR(INDEX(当前库存!$B:$J,SMALL($B:$B,ROW(A56)),MATCH(C$3,$C$3:$J$3,0)),"")</f>
        <v/>
      </c>
      <c r="D59" s="68" t="str">
        <f ca="1">IFERROR(INDEX(当前库存!$B:$J,SMALL($B:$B,ROW(B56)),MATCH(D$3,$C$3:$J$3,0)),"")</f>
        <v/>
      </c>
      <c r="E59" s="68" t="str">
        <f ca="1">IFERROR(INDEX(当前库存!$B:$J,SMALL($B:$B,ROW(C56)),MATCH(E$3,$C$3:$J$3,0)),"")</f>
        <v/>
      </c>
      <c r="F59" s="68" t="str">
        <f ca="1">IFERROR(INDEX(当前库存!$B:$J,SMALL($B:$B,ROW(D57)),MATCH(F$3,$C$3:$J$3,0)),"")</f>
        <v/>
      </c>
      <c r="G59" s="68" t="str">
        <f ca="1">IFERROR(INDEX(当前库存!$B:$J,SMALL($B:$B,ROW(E57)),MATCH(G$3,$C$3:$J$3,0)),"")</f>
        <v/>
      </c>
      <c r="H59" s="68" t="str">
        <f ca="1">IFERROR(INDEX(当前库存!$B:$J,SMALL($B:$B,ROW(F57)),MATCH(H$3,$C$3:$J$3,0)),"")</f>
        <v/>
      </c>
      <c r="I59" s="68" t="str">
        <f ca="1">IFERROR(INDEX(当前库存!$B:$J,SMALL($B:$B,ROW(G56)),MATCH(I$3,$C$3:$J$3,0)),"")</f>
        <v/>
      </c>
      <c r="J59" s="68" t="str">
        <f ca="1">IFERROR(INDEX(当前库存!$B:$J,SMALL($B:$B,ROW(H56)),MATCH(J$3,$C$3:$J$3,0)),"")</f>
        <v/>
      </c>
    </row>
    <row r="60" ht="21.95" customHeight="1" spans="2:10">
      <c r="B60" s="62" t="str">
        <f>IF(当前库存!J:J="采购",ROW(),"-")</f>
        <v>-</v>
      </c>
      <c r="C60" s="67" t="str">
        <f ca="1">IFERROR(INDEX(当前库存!$B:$J,SMALL($B:$B,ROW(A57)),MATCH(C$3,$C$3:$J$3,0)),"")</f>
        <v/>
      </c>
      <c r="D60" s="68" t="str">
        <f ca="1">IFERROR(INDEX(当前库存!$B:$J,SMALL($B:$B,ROW(B57)),MATCH(D$3,$C$3:$J$3,0)),"")</f>
        <v/>
      </c>
      <c r="E60" s="68" t="str">
        <f ca="1">IFERROR(INDEX(当前库存!$B:$J,SMALL($B:$B,ROW(C57)),MATCH(E$3,$C$3:$J$3,0)),"")</f>
        <v/>
      </c>
      <c r="F60" s="68" t="str">
        <f ca="1">IFERROR(INDEX(当前库存!$B:$J,SMALL($B:$B,ROW(D58)),MATCH(F$3,$C$3:$J$3,0)),"")</f>
        <v/>
      </c>
      <c r="G60" s="68" t="str">
        <f ca="1">IFERROR(INDEX(当前库存!$B:$J,SMALL($B:$B,ROW(E58)),MATCH(G$3,$C$3:$J$3,0)),"")</f>
        <v/>
      </c>
      <c r="H60" s="68" t="str">
        <f ca="1">IFERROR(INDEX(当前库存!$B:$J,SMALL($B:$B,ROW(F58)),MATCH(H$3,$C$3:$J$3,0)),"")</f>
        <v/>
      </c>
      <c r="I60" s="68" t="str">
        <f ca="1">IFERROR(INDEX(当前库存!$B:$J,SMALL($B:$B,ROW(G57)),MATCH(I$3,$C$3:$J$3,0)),"")</f>
        <v/>
      </c>
      <c r="J60" s="68" t="str">
        <f ca="1">IFERROR(INDEX(当前库存!$B:$J,SMALL($B:$B,ROW(H57)),MATCH(J$3,$C$3:$J$3,0)),"")</f>
        <v/>
      </c>
    </row>
    <row r="61" ht="21.95" customHeight="1" spans="2:10">
      <c r="B61" s="62" t="str">
        <f>IF(当前库存!J:J="采购",ROW(),"-")</f>
        <v>-</v>
      </c>
      <c r="C61" s="67" t="str">
        <f ca="1">IFERROR(INDEX(当前库存!$B:$J,SMALL($B:$B,ROW(A58)),MATCH(C$3,$C$3:$J$3,0)),"")</f>
        <v/>
      </c>
      <c r="D61" s="68" t="str">
        <f ca="1">IFERROR(INDEX(当前库存!$B:$J,SMALL($B:$B,ROW(B58)),MATCH(D$3,$C$3:$J$3,0)),"")</f>
        <v/>
      </c>
      <c r="E61" s="68" t="str">
        <f ca="1">IFERROR(INDEX(当前库存!$B:$J,SMALL($B:$B,ROW(C58)),MATCH(E$3,$C$3:$J$3,0)),"")</f>
        <v/>
      </c>
      <c r="F61" s="68" t="str">
        <f ca="1">IFERROR(INDEX(当前库存!$B:$J,SMALL($B:$B,ROW(D59)),MATCH(F$3,$C$3:$J$3,0)),"")</f>
        <v/>
      </c>
      <c r="G61" s="68" t="str">
        <f ca="1">IFERROR(INDEX(当前库存!$B:$J,SMALL($B:$B,ROW(E59)),MATCH(G$3,$C$3:$J$3,0)),"")</f>
        <v/>
      </c>
      <c r="H61" s="68" t="str">
        <f ca="1">IFERROR(INDEX(当前库存!$B:$J,SMALL($B:$B,ROW(F59)),MATCH(H$3,$C$3:$J$3,0)),"")</f>
        <v/>
      </c>
      <c r="I61" s="68" t="str">
        <f ca="1">IFERROR(INDEX(当前库存!$B:$J,SMALL($B:$B,ROW(G58)),MATCH(I$3,$C$3:$J$3,0)),"")</f>
        <v/>
      </c>
      <c r="J61" s="68" t="str">
        <f ca="1">IFERROR(INDEX(当前库存!$B:$J,SMALL($B:$B,ROW(H58)),MATCH(J$3,$C$3:$J$3,0)),"")</f>
        <v/>
      </c>
    </row>
    <row r="62" ht="21.95" customHeight="1" spans="2:10">
      <c r="B62" s="62" t="str">
        <f>IF(当前库存!J:J="采购",ROW(),"-")</f>
        <v>-</v>
      </c>
      <c r="C62" s="67" t="str">
        <f ca="1">IFERROR(INDEX(当前库存!$B:$J,SMALL($B:$B,ROW(A59)),MATCH(C$3,$C$3:$J$3,0)),"")</f>
        <v/>
      </c>
      <c r="D62" s="68" t="str">
        <f ca="1">IFERROR(INDEX(当前库存!$B:$J,SMALL($B:$B,ROW(B59)),MATCH(D$3,$C$3:$J$3,0)),"")</f>
        <v/>
      </c>
      <c r="E62" s="68" t="str">
        <f ca="1">IFERROR(INDEX(当前库存!$B:$J,SMALL($B:$B,ROW(C59)),MATCH(E$3,$C$3:$J$3,0)),"")</f>
        <v/>
      </c>
      <c r="F62" s="68" t="str">
        <f ca="1">IFERROR(INDEX(当前库存!$B:$J,SMALL($B:$B,ROW(D60)),MATCH(F$3,$C$3:$J$3,0)),"")</f>
        <v/>
      </c>
      <c r="G62" s="68" t="str">
        <f ca="1">IFERROR(INDEX(当前库存!$B:$J,SMALL($B:$B,ROW(E60)),MATCH(G$3,$C$3:$J$3,0)),"")</f>
        <v/>
      </c>
      <c r="H62" s="68" t="str">
        <f ca="1">IFERROR(INDEX(当前库存!$B:$J,SMALL($B:$B,ROW(F60)),MATCH(H$3,$C$3:$J$3,0)),"")</f>
        <v/>
      </c>
      <c r="I62" s="68" t="str">
        <f ca="1">IFERROR(INDEX(当前库存!$B:$J,SMALL($B:$B,ROW(G59)),MATCH(I$3,$C$3:$J$3,0)),"")</f>
        <v/>
      </c>
      <c r="J62" s="68" t="str">
        <f ca="1">IFERROR(INDEX(当前库存!$B:$J,SMALL($B:$B,ROW(H59)),MATCH(J$3,$C$3:$J$3,0)),"")</f>
        <v/>
      </c>
    </row>
    <row r="63" ht="21.95" customHeight="1" spans="2:10">
      <c r="B63" s="62" t="str">
        <f>IF(当前库存!J:J="采购",ROW(),"-")</f>
        <v>-</v>
      </c>
      <c r="C63" s="67" t="str">
        <f ca="1">IFERROR(INDEX(当前库存!$B:$J,SMALL($B:$B,ROW(A60)),MATCH(C$3,$C$3:$J$3,0)),"")</f>
        <v/>
      </c>
      <c r="D63" s="68" t="str">
        <f ca="1">IFERROR(INDEX(当前库存!$B:$J,SMALL($B:$B,ROW(B60)),MATCH(D$3,$C$3:$J$3,0)),"")</f>
        <v/>
      </c>
      <c r="E63" s="68" t="str">
        <f ca="1">IFERROR(INDEX(当前库存!$B:$J,SMALL($B:$B,ROW(C60)),MATCH(E$3,$C$3:$J$3,0)),"")</f>
        <v/>
      </c>
      <c r="F63" s="68" t="str">
        <f ca="1">IFERROR(INDEX(当前库存!$B:$J,SMALL($B:$B,ROW(D61)),MATCH(F$3,$C$3:$J$3,0)),"")</f>
        <v/>
      </c>
      <c r="G63" s="68" t="str">
        <f ca="1">IFERROR(INDEX(当前库存!$B:$J,SMALL($B:$B,ROW(E61)),MATCH(G$3,$C$3:$J$3,0)),"")</f>
        <v/>
      </c>
      <c r="H63" s="68" t="str">
        <f ca="1">IFERROR(INDEX(当前库存!$B:$J,SMALL($B:$B,ROW(F61)),MATCH(H$3,$C$3:$J$3,0)),"")</f>
        <v/>
      </c>
      <c r="I63" s="68" t="str">
        <f ca="1">IFERROR(INDEX(当前库存!$B:$J,SMALL($B:$B,ROW(G60)),MATCH(I$3,$C$3:$J$3,0)),"")</f>
        <v/>
      </c>
      <c r="J63" s="68" t="str">
        <f ca="1">IFERROR(INDEX(当前库存!$B:$J,SMALL($B:$B,ROW(H60)),MATCH(J$3,$C$3:$J$3,0)),"")</f>
        <v/>
      </c>
    </row>
    <row r="64" ht="21.95" customHeight="1" spans="2:10">
      <c r="B64" s="62" t="str">
        <f>IF(当前库存!J:J="采购",ROW(),"-")</f>
        <v>-</v>
      </c>
      <c r="C64" s="67" t="str">
        <f ca="1">IFERROR(INDEX(当前库存!$B:$J,SMALL($B:$B,ROW(A61)),MATCH(C$3,$C$3:$J$3,0)),"")</f>
        <v/>
      </c>
      <c r="D64" s="68" t="str">
        <f ca="1">IFERROR(INDEX(当前库存!$B:$J,SMALL($B:$B,ROW(B61)),MATCH(D$3,$C$3:$J$3,0)),"")</f>
        <v/>
      </c>
      <c r="E64" s="68" t="str">
        <f ca="1">IFERROR(INDEX(当前库存!$B:$J,SMALL($B:$B,ROW(C61)),MATCH(E$3,$C$3:$J$3,0)),"")</f>
        <v/>
      </c>
      <c r="F64" s="68" t="str">
        <f ca="1">IFERROR(INDEX(当前库存!$B:$J,SMALL($B:$B,ROW(D62)),MATCH(F$3,$C$3:$J$3,0)),"")</f>
        <v/>
      </c>
      <c r="G64" s="68" t="str">
        <f ca="1">IFERROR(INDEX(当前库存!$B:$J,SMALL($B:$B,ROW(E62)),MATCH(G$3,$C$3:$J$3,0)),"")</f>
        <v/>
      </c>
      <c r="H64" s="68" t="str">
        <f ca="1">IFERROR(INDEX(当前库存!$B:$J,SMALL($B:$B,ROW(F62)),MATCH(H$3,$C$3:$J$3,0)),"")</f>
        <v/>
      </c>
      <c r="I64" s="68" t="str">
        <f ca="1">IFERROR(INDEX(当前库存!$B:$J,SMALL($B:$B,ROW(G61)),MATCH(I$3,$C$3:$J$3,0)),"")</f>
        <v/>
      </c>
      <c r="J64" s="68" t="str">
        <f ca="1">IFERROR(INDEX(当前库存!$B:$J,SMALL($B:$B,ROW(H61)),MATCH(J$3,$C$3:$J$3,0)),"")</f>
        <v/>
      </c>
    </row>
    <row r="65" ht="21.95" customHeight="1" spans="2:10">
      <c r="B65" s="62" t="str">
        <f>IF(当前库存!J:J="采购",ROW(),"-")</f>
        <v>-</v>
      </c>
      <c r="C65" s="67" t="str">
        <f ca="1">IFERROR(INDEX(当前库存!$B:$J,SMALL($B:$B,ROW(A62)),MATCH(C$3,$C$3:$J$3,0)),"")</f>
        <v/>
      </c>
      <c r="D65" s="68" t="str">
        <f ca="1">IFERROR(INDEX(当前库存!$B:$J,SMALL($B:$B,ROW(B62)),MATCH(D$3,$C$3:$J$3,0)),"")</f>
        <v/>
      </c>
      <c r="E65" s="68" t="str">
        <f ca="1">IFERROR(INDEX(当前库存!$B:$J,SMALL($B:$B,ROW(C62)),MATCH(E$3,$C$3:$J$3,0)),"")</f>
        <v/>
      </c>
      <c r="F65" s="68" t="str">
        <f ca="1">IFERROR(INDEX(当前库存!$B:$J,SMALL($B:$B,ROW(D63)),MATCH(F$3,$C$3:$J$3,0)),"")</f>
        <v/>
      </c>
      <c r="G65" s="68" t="str">
        <f ca="1">IFERROR(INDEX(当前库存!$B:$J,SMALL($B:$B,ROW(E63)),MATCH(G$3,$C$3:$J$3,0)),"")</f>
        <v/>
      </c>
      <c r="H65" s="68" t="str">
        <f ca="1">IFERROR(INDEX(当前库存!$B:$J,SMALL($B:$B,ROW(F63)),MATCH(H$3,$C$3:$J$3,0)),"")</f>
        <v/>
      </c>
      <c r="I65" s="68" t="str">
        <f ca="1">IFERROR(INDEX(当前库存!$B:$J,SMALL($B:$B,ROW(G62)),MATCH(I$3,$C$3:$J$3,0)),"")</f>
        <v/>
      </c>
      <c r="J65" s="68" t="str">
        <f ca="1">IFERROR(INDEX(当前库存!$B:$J,SMALL($B:$B,ROW(H62)),MATCH(J$3,$C$3:$J$3,0)),"")</f>
        <v/>
      </c>
    </row>
    <row r="66" ht="21.95" customHeight="1" spans="2:10">
      <c r="B66" s="62" t="str">
        <f>IF(当前库存!J:J="采购",ROW(),"-")</f>
        <v>-</v>
      </c>
      <c r="C66" s="67" t="str">
        <f ca="1">IFERROR(INDEX(当前库存!$B:$J,SMALL($B:$B,ROW(A63)),MATCH(C$3,$C$3:$J$3,0)),"")</f>
        <v/>
      </c>
      <c r="D66" s="68" t="str">
        <f ca="1">IFERROR(INDEX(当前库存!$B:$J,SMALL($B:$B,ROW(B63)),MATCH(D$3,$C$3:$J$3,0)),"")</f>
        <v/>
      </c>
      <c r="E66" s="68" t="str">
        <f ca="1">IFERROR(INDEX(当前库存!$B:$J,SMALL($B:$B,ROW(C63)),MATCH(E$3,$C$3:$J$3,0)),"")</f>
        <v/>
      </c>
      <c r="F66" s="68" t="str">
        <f ca="1">IFERROR(INDEX(当前库存!$B:$J,SMALL($B:$B,ROW(D64)),MATCH(F$3,$C$3:$J$3,0)),"")</f>
        <v/>
      </c>
      <c r="G66" s="68" t="str">
        <f ca="1">IFERROR(INDEX(当前库存!$B:$J,SMALL($B:$B,ROW(E64)),MATCH(G$3,$C$3:$J$3,0)),"")</f>
        <v/>
      </c>
      <c r="H66" s="68" t="str">
        <f ca="1">IFERROR(INDEX(当前库存!$B:$J,SMALL($B:$B,ROW(F64)),MATCH(H$3,$C$3:$J$3,0)),"")</f>
        <v/>
      </c>
      <c r="I66" s="68" t="str">
        <f ca="1">IFERROR(INDEX(当前库存!$B:$J,SMALL($B:$B,ROW(G63)),MATCH(I$3,$C$3:$J$3,0)),"")</f>
        <v/>
      </c>
      <c r="J66" s="68" t="str">
        <f ca="1">IFERROR(INDEX(当前库存!$B:$J,SMALL($B:$B,ROW(H63)),MATCH(J$3,$C$3:$J$3,0)),"")</f>
        <v/>
      </c>
    </row>
    <row r="67" ht="21.95" customHeight="1" spans="2:10">
      <c r="B67" s="62" t="str">
        <f>IF(当前库存!J:J="采购",ROW(),"-")</f>
        <v>-</v>
      </c>
      <c r="C67" s="67" t="str">
        <f ca="1">IFERROR(INDEX(当前库存!$B:$J,SMALL($B:$B,ROW(A64)),MATCH(C$3,$C$3:$J$3,0)),"")</f>
        <v/>
      </c>
      <c r="D67" s="68" t="str">
        <f ca="1">IFERROR(INDEX(当前库存!$B:$J,SMALL($B:$B,ROW(B64)),MATCH(D$3,$C$3:$J$3,0)),"")</f>
        <v/>
      </c>
      <c r="E67" s="68" t="str">
        <f ca="1">IFERROR(INDEX(当前库存!$B:$J,SMALL($B:$B,ROW(C64)),MATCH(E$3,$C$3:$J$3,0)),"")</f>
        <v/>
      </c>
      <c r="F67" s="68" t="str">
        <f ca="1">IFERROR(INDEX(当前库存!$B:$J,SMALL($B:$B,ROW(D65)),MATCH(F$3,$C$3:$J$3,0)),"")</f>
        <v/>
      </c>
      <c r="G67" s="68" t="str">
        <f ca="1">IFERROR(INDEX(当前库存!$B:$J,SMALL($B:$B,ROW(E65)),MATCH(G$3,$C$3:$J$3,0)),"")</f>
        <v/>
      </c>
      <c r="H67" s="68" t="str">
        <f ca="1">IFERROR(INDEX(当前库存!$B:$J,SMALL($B:$B,ROW(F65)),MATCH(H$3,$C$3:$J$3,0)),"")</f>
        <v/>
      </c>
      <c r="I67" s="68" t="str">
        <f ca="1">IFERROR(INDEX(当前库存!$B:$J,SMALL($B:$B,ROW(G64)),MATCH(I$3,$C$3:$J$3,0)),"")</f>
        <v/>
      </c>
      <c r="J67" s="68" t="str">
        <f ca="1">IFERROR(INDEX(当前库存!$B:$J,SMALL($B:$B,ROW(H64)),MATCH(J$3,$C$3:$J$3,0)),"")</f>
        <v/>
      </c>
    </row>
    <row r="68" ht="21.95" customHeight="1" spans="2:10">
      <c r="B68" s="62" t="str">
        <f>IF(当前库存!J:J="采购",ROW(),"-")</f>
        <v>-</v>
      </c>
      <c r="C68" s="67" t="str">
        <f ca="1">IFERROR(INDEX(当前库存!$B:$J,SMALL($B:$B,ROW(A65)),MATCH(C$3,$C$3:$J$3,0)),"")</f>
        <v/>
      </c>
      <c r="D68" s="68" t="str">
        <f ca="1">IFERROR(INDEX(当前库存!$B:$J,SMALL($B:$B,ROW(B65)),MATCH(D$3,$C$3:$J$3,0)),"")</f>
        <v/>
      </c>
      <c r="E68" s="68" t="str">
        <f ca="1">IFERROR(INDEX(当前库存!$B:$J,SMALL($B:$B,ROW(C65)),MATCH(E$3,$C$3:$J$3,0)),"")</f>
        <v/>
      </c>
      <c r="F68" s="68" t="str">
        <f ca="1">IFERROR(INDEX(当前库存!$B:$J,SMALL($B:$B,ROW(D66)),MATCH(F$3,$C$3:$J$3,0)),"")</f>
        <v/>
      </c>
      <c r="G68" s="68" t="str">
        <f ca="1">IFERROR(INDEX(当前库存!$B:$J,SMALL($B:$B,ROW(E66)),MATCH(G$3,$C$3:$J$3,0)),"")</f>
        <v/>
      </c>
      <c r="H68" s="68" t="str">
        <f ca="1">IFERROR(INDEX(当前库存!$B:$J,SMALL($B:$B,ROW(F66)),MATCH(H$3,$C$3:$J$3,0)),"")</f>
        <v/>
      </c>
      <c r="I68" s="68" t="str">
        <f ca="1">IFERROR(INDEX(当前库存!$B:$J,SMALL($B:$B,ROW(G65)),MATCH(I$3,$C$3:$J$3,0)),"")</f>
        <v/>
      </c>
      <c r="J68" s="68" t="str">
        <f ca="1">IFERROR(INDEX(当前库存!$B:$J,SMALL($B:$B,ROW(H65)),MATCH(J$3,$C$3:$J$3,0)),"")</f>
        <v/>
      </c>
    </row>
    <row r="69" ht="21.95" customHeight="1" spans="2:10">
      <c r="B69" s="62" t="str">
        <f>IF(当前库存!J:J="采购",ROW(),"-")</f>
        <v>-</v>
      </c>
      <c r="C69" s="67" t="str">
        <f ca="1">IFERROR(INDEX(当前库存!$B:$J,SMALL($B:$B,ROW(A66)),MATCH(C$3,$C$3:$J$3,0)),"")</f>
        <v/>
      </c>
      <c r="D69" s="68" t="str">
        <f ca="1">IFERROR(INDEX(当前库存!$B:$J,SMALL($B:$B,ROW(B66)),MATCH(D$3,$C$3:$J$3,0)),"")</f>
        <v/>
      </c>
      <c r="E69" s="68" t="str">
        <f ca="1">IFERROR(INDEX(当前库存!$B:$J,SMALL($B:$B,ROW(C66)),MATCH(E$3,$C$3:$J$3,0)),"")</f>
        <v/>
      </c>
      <c r="F69" s="68" t="str">
        <f ca="1">IFERROR(INDEX(当前库存!$B:$J,SMALL($B:$B,ROW(D67)),MATCH(F$3,$C$3:$J$3,0)),"")</f>
        <v/>
      </c>
      <c r="G69" s="68" t="str">
        <f ca="1">IFERROR(INDEX(当前库存!$B:$J,SMALL($B:$B,ROW(E67)),MATCH(G$3,$C$3:$J$3,0)),"")</f>
        <v/>
      </c>
      <c r="H69" s="68" t="str">
        <f ca="1">IFERROR(INDEX(当前库存!$B:$J,SMALL($B:$B,ROW(F67)),MATCH(H$3,$C$3:$J$3,0)),"")</f>
        <v/>
      </c>
      <c r="I69" s="68" t="str">
        <f ca="1">IFERROR(INDEX(当前库存!$B:$J,SMALL($B:$B,ROW(G66)),MATCH(I$3,$C$3:$J$3,0)),"")</f>
        <v/>
      </c>
      <c r="J69" s="68" t="str">
        <f ca="1">IFERROR(INDEX(当前库存!$B:$J,SMALL($B:$B,ROW(H66)),MATCH(J$3,$C$3:$J$3,0)),"")</f>
        <v/>
      </c>
    </row>
    <row r="70" ht="21.95" customHeight="1" spans="2:10">
      <c r="B70" s="62" t="str">
        <f>IF(当前库存!J:J="采购",ROW(),"-")</f>
        <v>-</v>
      </c>
      <c r="C70" s="67" t="str">
        <f ca="1">IFERROR(INDEX(当前库存!$B:$J,SMALL($B:$B,ROW(A67)),MATCH(C$3,$C$3:$J$3,0)),"")</f>
        <v/>
      </c>
      <c r="D70" s="68" t="str">
        <f ca="1">IFERROR(INDEX(当前库存!$B:$J,SMALL($B:$B,ROW(B67)),MATCH(D$3,$C$3:$J$3,0)),"")</f>
        <v/>
      </c>
      <c r="E70" s="68" t="str">
        <f ca="1">IFERROR(INDEX(当前库存!$B:$J,SMALL($B:$B,ROW(C67)),MATCH(E$3,$C$3:$J$3,0)),"")</f>
        <v/>
      </c>
      <c r="F70" s="68" t="str">
        <f ca="1">IFERROR(INDEX(当前库存!$B:$J,SMALL($B:$B,ROW(D68)),MATCH(F$3,$C$3:$J$3,0)),"")</f>
        <v/>
      </c>
      <c r="G70" s="68" t="str">
        <f ca="1">IFERROR(INDEX(当前库存!$B:$J,SMALL($B:$B,ROW(E68)),MATCH(G$3,$C$3:$J$3,0)),"")</f>
        <v/>
      </c>
      <c r="H70" s="68" t="str">
        <f ca="1">IFERROR(INDEX(当前库存!$B:$J,SMALL($B:$B,ROW(F68)),MATCH(H$3,$C$3:$J$3,0)),"")</f>
        <v/>
      </c>
      <c r="I70" s="68" t="str">
        <f ca="1">IFERROR(INDEX(当前库存!$B:$J,SMALL($B:$B,ROW(G67)),MATCH(I$3,$C$3:$J$3,0)),"")</f>
        <v/>
      </c>
      <c r="J70" s="68" t="str">
        <f ca="1">IFERROR(INDEX(当前库存!$B:$J,SMALL($B:$B,ROW(H67)),MATCH(J$3,$C$3:$J$3,0)),"")</f>
        <v/>
      </c>
    </row>
    <row r="71" ht="21.95" customHeight="1" spans="2:10">
      <c r="B71" s="62" t="str">
        <f>IF(当前库存!J:J="采购",ROW(),"-")</f>
        <v>-</v>
      </c>
      <c r="C71" s="67" t="str">
        <f ca="1">IFERROR(INDEX(当前库存!$B:$J,SMALL($B:$B,ROW(A68)),MATCH(C$3,$C$3:$J$3,0)),"")</f>
        <v/>
      </c>
      <c r="D71" s="68" t="str">
        <f ca="1">IFERROR(INDEX(当前库存!$B:$J,SMALL($B:$B,ROW(B68)),MATCH(D$3,$C$3:$J$3,0)),"")</f>
        <v/>
      </c>
      <c r="E71" s="68" t="str">
        <f ca="1">IFERROR(INDEX(当前库存!$B:$J,SMALL($B:$B,ROW(C68)),MATCH(E$3,$C$3:$J$3,0)),"")</f>
        <v/>
      </c>
      <c r="F71" s="68" t="str">
        <f ca="1">IFERROR(INDEX(当前库存!$B:$J,SMALL($B:$B,ROW(D69)),MATCH(F$3,$C$3:$J$3,0)),"")</f>
        <v/>
      </c>
      <c r="G71" s="68" t="str">
        <f ca="1">IFERROR(INDEX(当前库存!$B:$J,SMALL($B:$B,ROW(E69)),MATCH(G$3,$C$3:$J$3,0)),"")</f>
        <v/>
      </c>
      <c r="H71" s="68" t="str">
        <f ca="1">IFERROR(INDEX(当前库存!$B:$J,SMALL($B:$B,ROW(F69)),MATCH(H$3,$C$3:$J$3,0)),"")</f>
        <v/>
      </c>
      <c r="I71" s="68" t="str">
        <f ca="1">IFERROR(INDEX(当前库存!$B:$J,SMALL($B:$B,ROW(G68)),MATCH(I$3,$C$3:$J$3,0)),"")</f>
        <v/>
      </c>
      <c r="J71" s="68" t="str">
        <f ca="1">IFERROR(INDEX(当前库存!$B:$J,SMALL($B:$B,ROW(H68)),MATCH(J$3,$C$3:$J$3,0)),"")</f>
        <v/>
      </c>
    </row>
    <row r="72" ht="21.95" customHeight="1" spans="2:10">
      <c r="B72" s="62" t="str">
        <f>IF(当前库存!J:J="采购",ROW(),"-")</f>
        <v>-</v>
      </c>
      <c r="C72" s="67" t="str">
        <f ca="1">IFERROR(INDEX(当前库存!$B:$J,SMALL($B:$B,ROW(A69)),MATCH(C$3,$C$3:$J$3,0)),"")</f>
        <v/>
      </c>
      <c r="D72" s="68" t="str">
        <f ca="1">IFERROR(INDEX(当前库存!$B:$J,SMALL($B:$B,ROW(B69)),MATCH(D$3,$C$3:$J$3,0)),"")</f>
        <v/>
      </c>
      <c r="E72" s="68" t="str">
        <f ca="1">IFERROR(INDEX(当前库存!$B:$J,SMALL($B:$B,ROW(C69)),MATCH(E$3,$C$3:$J$3,0)),"")</f>
        <v/>
      </c>
      <c r="F72" s="68" t="str">
        <f ca="1">IFERROR(INDEX(当前库存!$B:$J,SMALL($B:$B,ROW(D70)),MATCH(F$3,$C$3:$J$3,0)),"")</f>
        <v/>
      </c>
      <c r="G72" s="68" t="str">
        <f ca="1">IFERROR(INDEX(当前库存!$B:$J,SMALL($B:$B,ROW(E70)),MATCH(G$3,$C$3:$J$3,0)),"")</f>
        <v/>
      </c>
      <c r="H72" s="68" t="str">
        <f ca="1">IFERROR(INDEX(当前库存!$B:$J,SMALL($B:$B,ROW(F70)),MATCH(H$3,$C$3:$J$3,0)),"")</f>
        <v/>
      </c>
      <c r="I72" s="68" t="str">
        <f ca="1">IFERROR(INDEX(当前库存!$B:$J,SMALL($B:$B,ROW(G69)),MATCH(I$3,$C$3:$J$3,0)),"")</f>
        <v/>
      </c>
      <c r="J72" s="68" t="str">
        <f ca="1">IFERROR(INDEX(当前库存!$B:$J,SMALL($B:$B,ROW(H69)),MATCH(J$3,$C$3:$J$3,0)),"")</f>
        <v/>
      </c>
    </row>
    <row r="73" ht="21.95" customHeight="1" spans="2:10">
      <c r="B73" s="62" t="str">
        <f>IF(当前库存!J:J="采购",ROW(),"-")</f>
        <v>-</v>
      </c>
      <c r="C73" s="67" t="str">
        <f ca="1">IFERROR(INDEX(当前库存!$B:$J,SMALL($B:$B,ROW(A70)),MATCH(C$3,$C$3:$J$3,0)),"")</f>
        <v/>
      </c>
      <c r="D73" s="68" t="str">
        <f ca="1">IFERROR(INDEX(当前库存!$B:$J,SMALL($B:$B,ROW(B70)),MATCH(D$3,$C$3:$J$3,0)),"")</f>
        <v/>
      </c>
      <c r="E73" s="68" t="str">
        <f ca="1">IFERROR(INDEX(当前库存!$B:$J,SMALL($B:$B,ROW(C70)),MATCH(E$3,$C$3:$J$3,0)),"")</f>
        <v/>
      </c>
      <c r="F73" s="68" t="str">
        <f ca="1">IFERROR(INDEX(当前库存!$B:$J,SMALL($B:$B,ROW(D71)),MATCH(F$3,$C$3:$J$3,0)),"")</f>
        <v/>
      </c>
      <c r="G73" s="68" t="str">
        <f ca="1">IFERROR(INDEX(当前库存!$B:$J,SMALL($B:$B,ROW(E71)),MATCH(G$3,$C$3:$J$3,0)),"")</f>
        <v/>
      </c>
      <c r="H73" s="68" t="str">
        <f ca="1">IFERROR(INDEX(当前库存!$B:$J,SMALL($B:$B,ROW(F71)),MATCH(H$3,$C$3:$J$3,0)),"")</f>
        <v/>
      </c>
      <c r="I73" s="68" t="str">
        <f ca="1">IFERROR(INDEX(当前库存!$B:$J,SMALL($B:$B,ROW(G70)),MATCH(I$3,$C$3:$J$3,0)),"")</f>
        <v/>
      </c>
      <c r="J73" s="68" t="str">
        <f ca="1">IFERROR(INDEX(当前库存!$B:$J,SMALL($B:$B,ROW(H70)),MATCH(J$3,$C$3:$J$3,0)),"")</f>
        <v/>
      </c>
    </row>
    <row r="74" ht="21.95" customHeight="1" spans="2:10">
      <c r="B74" s="62" t="str">
        <f>IF(当前库存!J:J="采购",ROW(),"-")</f>
        <v>-</v>
      </c>
      <c r="C74" s="67" t="str">
        <f ca="1">IFERROR(INDEX(当前库存!$B:$J,SMALL($B:$B,ROW(A71)),MATCH(C$3,$C$3:$J$3,0)),"")</f>
        <v/>
      </c>
      <c r="D74" s="68" t="str">
        <f ca="1">IFERROR(INDEX(当前库存!$B:$J,SMALL($B:$B,ROW(B71)),MATCH(D$3,$C$3:$J$3,0)),"")</f>
        <v/>
      </c>
      <c r="E74" s="68" t="str">
        <f ca="1">IFERROR(INDEX(当前库存!$B:$J,SMALL($B:$B,ROW(C71)),MATCH(E$3,$C$3:$J$3,0)),"")</f>
        <v/>
      </c>
      <c r="F74" s="68" t="str">
        <f ca="1">IFERROR(INDEX(当前库存!$B:$J,SMALL($B:$B,ROW(D72)),MATCH(F$3,$C$3:$J$3,0)),"")</f>
        <v/>
      </c>
      <c r="G74" s="68" t="str">
        <f ca="1">IFERROR(INDEX(当前库存!$B:$J,SMALL($B:$B,ROW(E72)),MATCH(G$3,$C$3:$J$3,0)),"")</f>
        <v/>
      </c>
      <c r="H74" s="68" t="str">
        <f ca="1">IFERROR(INDEX(当前库存!$B:$J,SMALL($B:$B,ROW(F72)),MATCH(H$3,$C$3:$J$3,0)),"")</f>
        <v/>
      </c>
      <c r="I74" s="68" t="str">
        <f ca="1">IFERROR(INDEX(当前库存!$B:$J,SMALL($B:$B,ROW(G71)),MATCH(I$3,$C$3:$J$3,0)),"")</f>
        <v/>
      </c>
      <c r="J74" s="68" t="str">
        <f ca="1">IFERROR(INDEX(当前库存!$B:$J,SMALL($B:$B,ROW(H71)),MATCH(J$3,$C$3:$J$3,0)),"")</f>
        <v/>
      </c>
    </row>
    <row r="75" ht="21.95" customHeight="1" spans="2:10">
      <c r="B75" s="62" t="str">
        <f>IF(当前库存!J:J="采购",ROW(),"-")</f>
        <v>-</v>
      </c>
      <c r="C75" s="67" t="str">
        <f ca="1">IFERROR(INDEX(当前库存!$B:$J,SMALL($B:$B,ROW(A72)),MATCH(C$3,$C$3:$J$3,0)),"")</f>
        <v/>
      </c>
      <c r="D75" s="68" t="str">
        <f ca="1">IFERROR(INDEX(当前库存!$B:$J,SMALL($B:$B,ROW(B72)),MATCH(D$3,$C$3:$J$3,0)),"")</f>
        <v/>
      </c>
      <c r="E75" s="68" t="str">
        <f ca="1">IFERROR(INDEX(当前库存!$B:$J,SMALL($B:$B,ROW(C72)),MATCH(E$3,$C$3:$J$3,0)),"")</f>
        <v/>
      </c>
      <c r="F75" s="68" t="str">
        <f ca="1">IFERROR(INDEX(当前库存!$B:$J,SMALL($B:$B,ROW(D73)),MATCH(F$3,$C$3:$J$3,0)),"")</f>
        <v/>
      </c>
      <c r="G75" s="68" t="str">
        <f ca="1">IFERROR(INDEX(当前库存!$B:$J,SMALL($B:$B,ROW(E73)),MATCH(G$3,$C$3:$J$3,0)),"")</f>
        <v/>
      </c>
      <c r="H75" s="68" t="str">
        <f ca="1">IFERROR(INDEX(当前库存!$B:$J,SMALL($B:$B,ROW(F73)),MATCH(H$3,$C$3:$J$3,0)),"")</f>
        <v/>
      </c>
      <c r="I75" s="68" t="str">
        <f ca="1">IFERROR(INDEX(当前库存!$B:$J,SMALL($B:$B,ROW(G72)),MATCH(I$3,$C$3:$J$3,0)),"")</f>
        <v/>
      </c>
      <c r="J75" s="68" t="str">
        <f ca="1">IFERROR(INDEX(当前库存!$B:$J,SMALL($B:$B,ROW(H72)),MATCH(J$3,$C$3:$J$3,0)),"")</f>
        <v/>
      </c>
    </row>
    <row r="76" ht="21.95" customHeight="1" spans="2:10">
      <c r="B76" s="62" t="str">
        <f>IF(当前库存!J:J="采购",ROW(),"-")</f>
        <v>-</v>
      </c>
      <c r="C76" s="67" t="str">
        <f ca="1">IFERROR(INDEX(当前库存!$B:$J,SMALL($B:$B,ROW(A73)),MATCH(C$3,$C$3:$J$3,0)),"")</f>
        <v/>
      </c>
      <c r="D76" s="68" t="str">
        <f ca="1">IFERROR(INDEX(当前库存!$B:$J,SMALL($B:$B,ROW(B73)),MATCH(D$3,$C$3:$J$3,0)),"")</f>
        <v/>
      </c>
      <c r="E76" s="68" t="str">
        <f ca="1">IFERROR(INDEX(当前库存!$B:$J,SMALL($B:$B,ROW(C73)),MATCH(E$3,$C$3:$J$3,0)),"")</f>
        <v/>
      </c>
      <c r="F76" s="68" t="str">
        <f ca="1">IFERROR(INDEX(当前库存!$B:$J,SMALL($B:$B,ROW(D74)),MATCH(F$3,$C$3:$J$3,0)),"")</f>
        <v/>
      </c>
      <c r="G76" s="68" t="str">
        <f ca="1">IFERROR(INDEX(当前库存!$B:$J,SMALL($B:$B,ROW(E74)),MATCH(G$3,$C$3:$J$3,0)),"")</f>
        <v/>
      </c>
      <c r="H76" s="68" t="str">
        <f ca="1">IFERROR(INDEX(当前库存!$B:$J,SMALL($B:$B,ROW(F74)),MATCH(H$3,$C$3:$J$3,0)),"")</f>
        <v/>
      </c>
      <c r="I76" s="68" t="str">
        <f ca="1">IFERROR(INDEX(当前库存!$B:$J,SMALL($B:$B,ROW(G73)),MATCH(I$3,$C$3:$J$3,0)),"")</f>
        <v/>
      </c>
      <c r="J76" s="68" t="str">
        <f ca="1">IFERROR(INDEX(当前库存!$B:$J,SMALL($B:$B,ROW(H73)),MATCH(J$3,$C$3:$J$3,0)),"")</f>
        <v/>
      </c>
    </row>
    <row r="77" ht="21.95" customHeight="1" spans="2:10">
      <c r="B77" s="62" t="str">
        <f>IF(当前库存!J:J="采购",ROW(),"-")</f>
        <v>-</v>
      </c>
      <c r="C77" s="67" t="str">
        <f ca="1">IFERROR(INDEX(当前库存!$B:$J,SMALL($B:$B,ROW(A74)),MATCH(C$3,$C$3:$J$3,0)),"")</f>
        <v/>
      </c>
      <c r="D77" s="68" t="str">
        <f ca="1">IFERROR(INDEX(当前库存!$B:$J,SMALL($B:$B,ROW(B74)),MATCH(D$3,$C$3:$J$3,0)),"")</f>
        <v/>
      </c>
      <c r="E77" s="68" t="str">
        <f ca="1">IFERROR(INDEX(当前库存!$B:$J,SMALL($B:$B,ROW(C74)),MATCH(E$3,$C$3:$J$3,0)),"")</f>
        <v/>
      </c>
      <c r="F77" s="68" t="str">
        <f ca="1">IFERROR(INDEX(当前库存!$B:$J,SMALL($B:$B,ROW(D75)),MATCH(F$3,$C$3:$J$3,0)),"")</f>
        <v/>
      </c>
      <c r="G77" s="68" t="str">
        <f ca="1">IFERROR(INDEX(当前库存!$B:$J,SMALL($B:$B,ROW(E75)),MATCH(G$3,$C$3:$J$3,0)),"")</f>
        <v/>
      </c>
      <c r="H77" s="68" t="str">
        <f ca="1">IFERROR(INDEX(当前库存!$B:$J,SMALL($B:$B,ROW(F75)),MATCH(H$3,$C$3:$J$3,0)),"")</f>
        <v/>
      </c>
      <c r="I77" s="68" t="str">
        <f ca="1">IFERROR(INDEX(当前库存!$B:$J,SMALL($B:$B,ROW(G74)),MATCH(I$3,$C$3:$J$3,0)),"")</f>
        <v/>
      </c>
      <c r="J77" s="68" t="str">
        <f ca="1">IFERROR(INDEX(当前库存!$B:$J,SMALL($B:$B,ROW(H74)),MATCH(J$3,$C$3:$J$3,0)),"")</f>
        <v/>
      </c>
    </row>
    <row r="78" ht="21.95" customHeight="1" spans="2:10">
      <c r="B78" s="62" t="str">
        <f>IF(当前库存!J:J="采购",ROW(),"-")</f>
        <v>-</v>
      </c>
      <c r="C78" s="67" t="str">
        <f ca="1">IFERROR(INDEX(当前库存!$B:$J,SMALL($B:$B,ROW(A75)),MATCH(C$3,$C$3:$J$3,0)),"")</f>
        <v/>
      </c>
      <c r="D78" s="68" t="str">
        <f ca="1">IFERROR(INDEX(当前库存!$B:$J,SMALL($B:$B,ROW(B75)),MATCH(D$3,$C$3:$J$3,0)),"")</f>
        <v/>
      </c>
      <c r="E78" s="68" t="str">
        <f ca="1">IFERROR(INDEX(当前库存!$B:$J,SMALL($B:$B,ROW(C75)),MATCH(E$3,$C$3:$J$3,0)),"")</f>
        <v/>
      </c>
      <c r="F78" s="68" t="str">
        <f ca="1">IFERROR(INDEX(当前库存!$B:$J,SMALL($B:$B,ROW(D76)),MATCH(F$3,$C$3:$J$3,0)),"")</f>
        <v/>
      </c>
      <c r="G78" s="68" t="str">
        <f ca="1">IFERROR(INDEX(当前库存!$B:$J,SMALL($B:$B,ROW(E76)),MATCH(G$3,$C$3:$J$3,0)),"")</f>
        <v/>
      </c>
      <c r="H78" s="68" t="str">
        <f ca="1">IFERROR(INDEX(当前库存!$B:$J,SMALL($B:$B,ROW(F76)),MATCH(H$3,$C$3:$J$3,0)),"")</f>
        <v/>
      </c>
      <c r="I78" s="68" t="str">
        <f ca="1">IFERROR(INDEX(当前库存!$B:$J,SMALL($B:$B,ROW(G75)),MATCH(I$3,$C$3:$J$3,0)),"")</f>
        <v/>
      </c>
      <c r="J78" s="68" t="str">
        <f ca="1">IFERROR(INDEX(当前库存!$B:$J,SMALL($B:$B,ROW(H75)),MATCH(J$3,$C$3:$J$3,0)),"")</f>
        <v/>
      </c>
    </row>
    <row r="79" ht="21.95" customHeight="1" spans="2:10">
      <c r="B79" s="62" t="str">
        <f>IF(当前库存!J:J="采购",ROW(),"-")</f>
        <v>-</v>
      </c>
      <c r="C79" s="67" t="str">
        <f ca="1">IFERROR(INDEX(当前库存!$B:$J,SMALL($B:$B,ROW(A76)),MATCH(C$3,$C$3:$J$3,0)),"")</f>
        <v/>
      </c>
      <c r="D79" s="68" t="str">
        <f ca="1">IFERROR(INDEX(当前库存!$B:$J,SMALL($B:$B,ROW(B76)),MATCH(D$3,$C$3:$J$3,0)),"")</f>
        <v/>
      </c>
      <c r="E79" s="68" t="str">
        <f ca="1">IFERROR(INDEX(当前库存!$B:$J,SMALL($B:$B,ROW(C76)),MATCH(E$3,$C$3:$J$3,0)),"")</f>
        <v/>
      </c>
      <c r="F79" s="68" t="str">
        <f ca="1">IFERROR(INDEX(当前库存!$B:$J,SMALL($B:$B,ROW(D77)),MATCH(F$3,$C$3:$J$3,0)),"")</f>
        <v/>
      </c>
      <c r="G79" s="68" t="str">
        <f ca="1">IFERROR(INDEX(当前库存!$B:$J,SMALL($B:$B,ROW(E77)),MATCH(G$3,$C$3:$J$3,0)),"")</f>
        <v/>
      </c>
      <c r="H79" s="68" t="str">
        <f ca="1">IFERROR(INDEX(当前库存!$B:$J,SMALL($B:$B,ROW(F77)),MATCH(H$3,$C$3:$J$3,0)),"")</f>
        <v/>
      </c>
      <c r="I79" s="68" t="str">
        <f ca="1">IFERROR(INDEX(当前库存!$B:$J,SMALL($B:$B,ROW(G76)),MATCH(I$3,$C$3:$J$3,0)),"")</f>
        <v/>
      </c>
      <c r="J79" s="68" t="str">
        <f ca="1">IFERROR(INDEX(当前库存!$B:$J,SMALL($B:$B,ROW(H76)),MATCH(J$3,$C$3:$J$3,0)),"")</f>
        <v/>
      </c>
    </row>
    <row r="80" ht="21.95" customHeight="1" spans="2:10">
      <c r="B80" s="62" t="str">
        <f>IF(当前库存!J:J="采购",ROW(),"-")</f>
        <v>-</v>
      </c>
      <c r="C80" s="67" t="str">
        <f ca="1">IFERROR(INDEX(当前库存!$B:$J,SMALL($B:$B,ROW(A77)),MATCH(C$3,$C$3:$J$3,0)),"")</f>
        <v/>
      </c>
      <c r="D80" s="68" t="str">
        <f ca="1">IFERROR(INDEX(当前库存!$B:$J,SMALL($B:$B,ROW(B77)),MATCH(D$3,$C$3:$J$3,0)),"")</f>
        <v/>
      </c>
      <c r="E80" s="68" t="str">
        <f ca="1">IFERROR(INDEX(当前库存!$B:$J,SMALL($B:$B,ROW(C77)),MATCH(E$3,$C$3:$J$3,0)),"")</f>
        <v/>
      </c>
      <c r="F80" s="68" t="str">
        <f ca="1">IFERROR(INDEX(当前库存!$B:$J,SMALL($B:$B,ROW(D78)),MATCH(F$3,$C$3:$J$3,0)),"")</f>
        <v/>
      </c>
      <c r="G80" s="68" t="str">
        <f ca="1">IFERROR(INDEX(当前库存!$B:$J,SMALL($B:$B,ROW(E78)),MATCH(G$3,$C$3:$J$3,0)),"")</f>
        <v/>
      </c>
      <c r="H80" s="68" t="str">
        <f ca="1">IFERROR(INDEX(当前库存!$B:$J,SMALL($B:$B,ROW(F78)),MATCH(H$3,$C$3:$J$3,0)),"")</f>
        <v/>
      </c>
      <c r="I80" s="68" t="str">
        <f ca="1">IFERROR(INDEX(当前库存!$B:$J,SMALL($B:$B,ROW(G77)),MATCH(I$3,$C$3:$J$3,0)),"")</f>
        <v/>
      </c>
      <c r="J80" s="68" t="str">
        <f ca="1">IFERROR(INDEX(当前库存!$B:$J,SMALL($B:$B,ROW(H77)),MATCH(J$3,$C$3:$J$3,0)),"")</f>
        <v/>
      </c>
    </row>
    <row r="81" ht="21.95" customHeight="1" spans="2:10">
      <c r="B81" s="62" t="str">
        <f>IF(当前库存!J:J="采购",ROW(),"-")</f>
        <v>-</v>
      </c>
      <c r="C81" s="67" t="str">
        <f ca="1">IFERROR(INDEX(当前库存!$B:$J,SMALL($B:$B,ROW(A78)),MATCH(C$3,$C$3:$J$3,0)),"")</f>
        <v/>
      </c>
      <c r="D81" s="68" t="str">
        <f ca="1">IFERROR(INDEX(当前库存!$B:$J,SMALL($B:$B,ROW(B78)),MATCH(D$3,$C$3:$J$3,0)),"")</f>
        <v/>
      </c>
      <c r="E81" s="68" t="str">
        <f ca="1">IFERROR(INDEX(当前库存!$B:$J,SMALL($B:$B,ROW(C78)),MATCH(E$3,$C$3:$J$3,0)),"")</f>
        <v/>
      </c>
      <c r="F81" s="68" t="str">
        <f ca="1">IFERROR(INDEX(当前库存!$B:$J,SMALL($B:$B,ROW(D79)),MATCH(F$3,$C$3:$J$3,0)),"")</f>
        <v/>
      </c>
      <c r="G81" s="68" t="str">
        <f ca="1">IFERROR(INDEX(当前库存!$B:$J,SMALL($B:$B,ROW(E79)),MATCH(G$3,$C$3:$J$3,0)),"")</f>
        <v/>
      </c>
      <c r="H81" s="68" t="str">
        <f ca="1">IFERROR(INDEX(当前库存!$B:$J,SMALL($B:$B,ROW(F79)),MATCH(H$3,$C$3:$J$3,0)),"")</f>
        <v/>
      </c>
      <c r="I81" s="68" t="str">
        <f ca="1">IFERROR(INDEX(当前库存!$B:$J,SMALL($B:$B,ROW(G78)),MATCH(I$3,$C$3:$J$3,0)),"")</f>
        <v/>
      </c>
      <c r="J81" s="68" t="str">
        <f ca="1">IFERROR(INDEX(当前库存!$B:$J,SMALL($B:$B,ROW(H78)),MATCH(J$3,$C$3:$J$3,0)),"")</f>
        <v/>
      </c>
    </row>
    <row r="82" ht="21.95" customHeight="1" spans="2:10">
      <c r="B82" s="62" t="str">
        <f>IF(当前库存!J:J="采购",ROW(),"-")</f>
        <v>-</v>
      </c>
      <c r="C82" s="67" t="str">
        <f ca="1">IFERROR(INDEX(当前库存!$B:$J,SMALL($B:$B,ROW(A79)),MATCH(C$3,$C$3:$J$3,0)),"")</f>
        <v/>
      </c>
      <c r="D82" s="68" t="str">
        <f ca="1">IFERROR(INDEX(当前库存!$B:$J,SMALL($B:$B,ROW(B79)),MATCH(D$3,$C$3:$J$3,0)),"")</f>
        <v/>
      </c>
      <c r="E82" s="68" t="str">
        <f ca="1">IFERROR(INDEX(当前库存!$B:$J,SMALL($B:$B,ROW(C79)),MATCH(E$3,$C$3:$J$3,0)),"")</f>
        <v/>
      </c>
      <c r="F82" s="68" t="str">
        <f ca="1">IFERROR(INDEX(当前库存!$B:$J,SMALL($B:$B,ROW(D80)),MATCH(F$3,$C$3:$J$3,0)),"")</f>
        <v/>
      </c>
      <c r="G82" s="68" t="str">
        <f ca="1">IFERROR(INDEX(当前库存!$B:$J,SMALL($B:$B,ROW(E80)),MATCH(G$3,$C$3:$J$3,0)),"")</f>
        <v/>
      </c>
      <c r="H82" s="68" t="str">
        <f ca="1">IFERROR(INDEX(当前库存!$B:$J,SMALL($B:$B,ROW(F80)),MATCH(H$3,$C$3:$J$3,0)),"")</f>
        <v/>
      </c>
      <c r="I82" s="68" t="str">
        <f ca="1">IFERROR(INDEX(当前库存!$B:$J,SMALL($B:$B,ROW(G79)),MATCH(I$3,$C$3:$J$3,0)),"")</f>
        <v/>
      </c>
      <c r="J82" s="68" t="str">
        <f ca="1">IFERROR(INDEX(当前库存!$B:$J,SMALL($B:$B,ROW(H79)),MATCH(J$3,$C$3:$J$3,0)),"")</f>
        <v/>
      </c>
    </row>
    <row r="83" ht="21.95" customHeight="1" spans="2:10">
      <c r="B83" s="62" t="str">
        <f>IF(当前库存!J:J="采购",ROW(),"-")</f>
        <v>-</v>
      </c>
      <c r="C83" s="67" t="str">
        <f ca="1">IFERROR(INDEX(当前库存!$B:$J,SMALL($B:$B,ROW(A80)),MATCH(C$3,$C$3:$J$3,0)),"")</f>
        <v/>
      </c>
      <c r="D83" s="68" t="str">
        <f ca="1">IFERROR(INDEX(当前库存!$B:$J,SMALL($B:$B,ROW(B80)),MATCH(D$3,$C$3:$J$3,0)),"")</f>
        <v/>
      </c>
      <c r="E83" s="68" t="str">
        <f ca="1">IFERROR(INDEX(当前库存!$B:$J,SMALL($B:$B,ROW(C80)),MATCH(E$3,$C$3:$J$3,0)),"")</f>
        <v/>
      </c>
      <c r="F83" s="68" t="str">
        <f ca="1">IFERROR(INDEX(当前库存!$B:$J,SMALL($B:$B,ROW(D81)),MATCH(F$3,$C$3:$J$3,0)),"")</f>
        <v/>
      </c>
      <c r="G83" s="68" t="str">
        <f ca="1">IFERROR(INDEX(当前库存!$B:$J,SMALL($B:$B,ROW(E81)),MATCH(G$3,$C$3:$J$3,0)),"")</f>
        <v/>
      </c>
      <c r="H83" s="68" t="str">
        <f ca="1">IFERROR(INDEX(当前库存!$B:$J,SMALL($B:$B,ROW(F81)),MATCH(H$3,$C$3:$J$3,0)),"")</f>
        <v/>
      </c>
      <c r="I83" s="68" t="str">
        <f ca="1">IFERROR(INDEX(当前库存!$B:$J,SMALL($B:$B,ROW(G80)),MATCH(I$3,$C$3:$J$3,0)),"")</f>
        <v/>
      </c>
      <c r="J83" s="68" t="str">
        <f ca="1">IFERROR(INDEX(当前库存!$B:$J,SMALL($B:$B,ROW(H80)),MATCH(J$3,$C$3:$J$3,0)),"")</f>
        <v/>
      </c>
    </row>
    <row r="84" ht="21.95" customHeight="1" spans="2:10">
      <c r="B84" s="62" t="str">
        <f>IF(当前库存!J:J="采购",ROW(),"-")</f>
        <v>-</v>
      </c>
      <c r="C84" s="67" t="str">
        <f ca="1">IFERROR(INDEX(当前库存!$B:$J,SMALL($B:$B,ROW(A81)),MATCH(C$3,$C$3:$J$3,0)),"")</f>
        <v/>
      </c>
      <c r="D84" s="68" t="str">
        <f ca="1">IFERROR(INDEX(当前库存!$B:$J,SMALL($B:$B,ROW(B81)),MATCH(D$3,$C$3:$J$3,0)),"")</f>
        <v/>
      </c>
      <c r="E84" s="68" t="str">
        <f ca="1">IFERROR(INDEX(当前库存!$B:$J,SMALL($B:$B,ROW(C81)),MATCH(E$3,$C$3:$J$3,0)),"")</f>
        <v/>
      </c>
      <c r="F84" s="68" t="str">
        <f ca="1">IFERROR(INDEX(当前库存!$B:$J,SMALL($B:$B,ROW(D82)),MATCH(F$3,$C$3:$J$3,0)),"")</f>
        <v/>
      </c>
      <c r="G84" s="68" t="str">
        <f ca="1">IFERROR(INDEX(当前库存!$B:$J,SMALL($B:$B,ROW(E82)),MATCH(G$3,$C$3:$J$3,0)),"")</f>
        <v/>
      </c>
      <c r="H84" s="68" t="str">
        <f ca="1">IFERROR(INDEX(当前库存!$B:$J,SMALL($B:$B,ROW(F82)),MATCH(H$3,$C$3:$J$3,0)),"")</f>
        <v/>
      </c>
      <c r="I84" s="68" t="str">
        <f ca="1">IFERROR(INDEX(当前库存!$B:$J,SMALL($B:$B,ROW(G81)),MATCH(I$3,$C$3:$J$3,0)),"")</f>
        <v/>
      </c>
      <c r="J84" s="68" t="str">
        <f ca="1">IFERROR(INDEX(当前库存!$B:$J,SMALL($B:$B,ROW(H81)),MATCH(J$3,$C$3:$J$3,0)),"")</f>
        <v/>
      </c>
    </row>
    <row r="85" ht="21.95" customHeight="1" spans="2:10">
      <c r="B85" s="62" t="str">
        <f>IF(当前库存!J:J="采购",ROW(),"-")</f>
        <v>-</v>
      </c>
      <c r="C85" s="67" t="str">
        <f ca="1">IFERROR(INDEX(当前库存!$B:$J,SMALL($B:$B,ROW(A82)),MATCH(C$3,$C$3:$J$3,0)),"")</f>
        <v/>
      </c>
      <c r="D85" s="68" t="str">
        <f ca="1">IFERROR(INDEX(当前库存!$B:$J,SMALL($B:$B,ROW(B82)),MATCH(D$3,$C$3:$J$3,0)),"")</f>
        <v/>
      </c>
      <c r="E85" s="68" t="str">
        <f ca="1">IFERROR(INDEX(当前库存!$B:$J,SMALL($B:$B,ROW(C82)),MATCH(E$3,$C$3:$J$3,0)),"")</f>
        <v/>
      </c>
      <c r="F85" s="68" t="str">
        <f ca="1">IFERROR(INDEX(当前库存!$B:$J,SMALL($B:$B,ROW(D83)),MATCH(F$3,$C$3:$J$3,0)),"")</f>
        <v/>
      </c>
      <c r="G85" s="68" t="str">
        <f ca="1">IFERROR(INDEX(当前库存!$B:$J,SMALL($B:$B,ROW(E83)),MATCH(G$3,$C$3:$J$3,0)),"")</f>
        <v/>
      </c>
      <c r="H85" s="68" t="str">
        <f ca="1">IFERROR(INDEX(当前库存!$B:$J,SMALL($B:$B,ROW(F83)),MATCH(H$3,$C$3:$J$3,0)),"")</f>
        <v/>
      </c>
      <c r="I85" s="68" t="str">
        <f ca="1">IFERROR(INDEX(当前库存!$B:$J,SMALL($B:$B,ROW(G82)),MATCH(I$3,$C$3:$J$3,0)),"")</f>
        <v/>
      </c>
      <c r="J85" s="68" t="str">
        <f ca="1">IFERROR(INDEX(当前库存!$B:$J,SMALL($B:$B,ROW(H82)),MATCH(J$3,$C$3:$J$3,0)),"")</f>
        <v/>
      </c>
    </row>
    <row r="86" ht="21.95" customHeight="1" spans="2:10">
      <c r="B86" s="62" t="str">
        <f>IF(当前库存!J:J="采购",ROW(),"-")</f>
        <v>-</v>
      </c>
      <c r="C86" s="67" t="str">
        <f ca="1">IFERROR(INDEX(当前库存!$B:$J,SMALL($B:$B,ROW(A83)),MATCH(C$3,$C$3:$J$3,0)),"")</f>
        <v/>
      </c>
      <c r="D86" s="68" t="str">
        <f ca="1">IFERROR(INDEX(当前库存!$B:$J,SMALL($B:$B,ROW(B83)),MATCH(D$3,$C$3:$J$3,0)),"")</f>
        <v/>
      </c>
      <c r="E86" s="68" t="str">
        <f ca="1">IFERROR(INDEX(当前库存!$B:$J,SMALL($B:$B,ROW(C83)),MATCH(E$3,$C$3:$J$3,0)),"")</f>
        <v/>
      </c>
      <c r="F86" s="68" t="str">
        <f ca="1">IFERROR(INDEX(当前库存!$B:$J,SMALL($B:$B,ROW(D84)),MATCH(F$3,$C$3:$J$3,0)),"")</f>
        <v/>
      </c>
      <c r="G86" s="68" t="str">
        <f ca="1">IFERROR(INDEX(当前库存!$B:$J,SMALL($B:$B,ROW(E84)),MATCH(G$3,$C$3:$J$3,0)),"")</f>
        <v/>
      </c>
      <c r="H86" s="68" t="str">
        <f ca="1">IFERROR(INDEX(当前库存!$B:$J,SMALL($B:$B,ROW(F84)),MATCH(H$3,$C$3:$J$3,0)),"")</f>
        <v/>
      </c>
      <c r="I86" s="68" t="str">
        <f ca="1">IFERROR(INDEX(当前库存!$B:$J,SMALL($B:$B,ROW(G83)),MATCH(I$3,$C$3:$J$3,0)),"")</f>
        <v/>
      </c>
      <c r="J86" s="68" t="str">
        <f ca="1">IFERROR(INDEX(当前库存!$B:$J,SMALL($B:$B,ROW(H83)),MATCH(J$3,$C$3:$J$3,0)),"")</f>
        <v/>
      </c>
    </row>
    <row r="87" ht="21.95" customHeight="1" spans="2:10">
      <c r="B87" s="62" t="str">
        <f>IF(当前库存!J:J="采购",ROW(),"-")</f>
        <v>-</v>
      </c>
      <c r="C87" s="67" t="str">
        <f ca="1">IFERROR(INDEX(当前库存!$B:$J,SMALL($B:$B,ROW(A84)),MATCH(C$3,$C$3:$J$3,0)),"")</f>
        <v/>
      </c>
      <c r="D87" s="68" t="str">
        <f ca="1">IFERROR(INDEX(当前库存!$B:$J,SMALL($B:$B,ROW(B84)),MATCH(D$3,$C$3:$J$3,0)),"")</f>
        <v/>
      </c>
      <c r="E87" s="68" t="str">
        <f ca="1">IFERROR(INDEX(当前库存!$B:$J,SMALL($B:$B,ROW(C84)),MATCH(E$3,$C$3:$J$3,0)),"")</f>
        <v/>
      </c>
      <c r="F87" s="68" t="str">
        <f ca="1">IFERROR(INDEX(当前库存!$B:$J,SMALL($B:$B,ROW(D85)),MATCH(F$3,$C$3:$J$3,0)),"")</f>
        <v/>
      </c>
      <c r="G87" s="68" t="str">
        <f ca="1">IFERROR(INDEX(当前库存!$B:$J,SMALL($B:$B,ROW(E85)),MATCH(G$3,$C$3:$J$3,0)),"")</f>
        <v/>
      </c>
      <c r="H87" s="68" t="str">
        <f ca="1">IFERROR(INDEX(当前库存!$B:$J,SMALL($B:$B,ROW(F85)),MATCH(H$3,$C$3:$J$3,0)),"")</f>
        <v/>
      </c>
      <c r="I87" s="68" t="str">
        <f ca="1">IFERROR(INDEX(当前库存!$B:$J,SMALL($B:$B,ROW(G84)),MATCH(I$3,$C$3:$J$3,0)),"")</f>
        <v/>
      </c>
      <c r="J87" s="68" t="str">
        <f ca="1">IFERROR(INDEX(当前库存!$B:$J,SMALL($B:$B,ROW(H84)),MATCH(J$3,$C$3:$J$3,0)),"")</f>
        <v/>
      </c>
    </row>
    <row r="88" ht="21.95" customHeight="1" spans="2:10">
      <c r="B88" s="62" t="str">
        <f>IF(当前库存!J:J="采购",ROW(),"-")</f>
        <v>-</v>
      </c>
      <c r="C88" s="67" t="str">
        <f ca="1">IFERROR(INDEX(当前库存!$B:$J,SMALL($B:$B,ROW(A85)),MATCH(C$3,$C$3:$J$3,0)),"")</f>
        <v/>
      </c>
      <c r="D88" s="68" t="str">
        <f ca="1">IFERROR(INDEX(当前库存!$B:$J,SMALL($B:$B,ROW(B85)),MATCH(D$3,$C$3:$J$3,0)),"")</f>
        <v/>
      </c>
      <c r="E88" s="68" t="str">
        <f ca="1">IFERROR(INDEX(当前库存!$B:$J,SMALL($B:$B,ROW(C85)),MATCH(E$3,$C$3:$J$3,0)),"")</f>
        <v/>
      </c>
      <c r="F88" s="68" t="str">
        <f ca="1">IFERROR(INDEX(当前库存!$B:$J,SMALL($B:$B,ROW(D86)),MATCH(F$3,$C$3:$J$3,0)),"")</f>
        <v/>
      </c>
      <c r="G88" s="68" t="str">
        <f ca="1">IFERROR(INDEX(当前库存!$B:$J,SMALL($B:$B,ROW(E86)),MATCH(G$3,$C$3:$J$3,0)),"")</f>
        <v/>
      </c>
      <c r="H88" s="68" t="str">
        <f ca="1">IFERROR(INDEX(当前库存!$B:$J,SMALL($B:$B,ROW(F86)),MATCH(H$3,$C$3:$J$3,0)),"")</f>
        <v/>
      </c>
      <c r="I88" s="68" t="str">
        <f ca="1">IFERROR(INDEX(当前库存!$B:$J,SMALL($B:$B,ROW(G85)),MATCH(I$3,$C$3:$J$3,0)),"")</f>
        <v/>
      </c>
      <c r="J88" s="68" t="str">
        <f ca="1">IFERROR(INDEX(当前库存!$B:$J,SMALL($B:$B,ROW(H85)),MATCH(J$3,$C$3:$J$3,0)),"")</f>
        <v/>
      </c>
    </row>
    <row r="89" ht="21.95" customHeight="1" spans="2:10">
      <c r="B89" s="62" t="str">
        <f>IF(当前库存!J:J="采购",ROW(),"-")</f>
        <v>-</v>
      </c>
      <c r="C89" s="67" t="str">
        <f ca="1">IFERROR(INDEX(当前库存!$B:$J,SMALL($B:$B,ROW(A86)),MATCH(C$3,$C$3:$J$3,0)),"")</f>
        <v/>
      </c>
      <c r="D89" s="68" t="str">
        <f ca="1">IFERROR(INDEX(当前库存!$B:$J,SMALL($B:$B,ROW(B86)),MATCH(D$3,$C$3:$J$3,0)),"")</f>
        <v/>
      </c>
      <c r="E89" s="68" t="str">
        <f ca="1">IFERROR(INDEX(当前库存!$B:$J,SMALL($B:$B,ROW(C86)),MATCH(E$3,$C$3:$J$3,0)),"")</f>
        <v/>
      </c>
      <c r="F89" s="68" t="str">
        <f ca="1">IFERROR(INDEX(当前库存!$B:$J,SMALL($B:$B,ROW(D87)),MATCH(F$3,$C$3:$J$3,0)),"")</f>
        <v/>
      </c>
      <c r="G89" s="68" t="str">
        <f ca="1">IFERROR(INDEX(当前库存!$B:$J,SMALL($B:$B,ROW(E87)),MATCH(G$3,$C$3:$J$3,0)),"")</f>
        <v/>
      </c>
      <c r="H89" s="68" t="str">
        <f ca="1">IFERROR(INDEX(当前库存!$B:$J,SMALL($B:$B,ROW(F87)),MATCH(H$3,$C$3:$J$3,0)),"")</f>
        <v/>
      </c>
      <c r="I89" s="68" t="str">
        <f ca="1">IFERROR(INDEX(当前库存!$B:$J,SMALL($B:$B,ROW(G86)),MATCH(I$3,$C$3:$J$3,0)),"")</f>
        <v/>
      </c>
      <c r="J89" s="68" t="str">
        <f ca="1">IFERROR(INDEX(当前库存!$B:$J,SMALL($B:$B,ROW(H86)),MATCH(J$3,$C$3:$J$3,0)),"")</f>
        <v/>
      </c>
    </row>
    <row r="90" ht="21.95" customHeight="1" spans="2:10">
      <c r="B90" s="62" t="str">
        <f>IF(当前库存!J:J="采购",ROW(),"-")</f>
        <v>-</v>
      </c>
      <c r="C90" s="67" t="str">
        <f ca="1">IFERROR(INDEX(当前库存!$B:$J,SMALL($B:$B,ROW(A87)),MATCH(C$3,$C$3:$J$3,0)),"")</f>
        <v/>
      </c>
      <c r="D90" s="68" t="str">
        <f ca="1">IFERROR(INDEX(当前库存!$B:$J,SMALL($B:$B,ROW(B87)),MATCH(D$3,$C$3:$J$3,0)),"")</f>
        <v/>
      </c>
      <c r="E90" s="68" t="str">
        <f ca="1">IFERROR(INDEX(当前库存!$B:$J,SMALL($B:$B,ROW(C87)),MATCH(E$3,$C$3:$J$3,0)),"")</f>
        <v/>
      </c>
      <c r="F90" s="68" t="str">
        <f ca="1">IFERROR(INDEX(当前库存!$B:$J,SMALL($B:$B,ROW(D88)),MATCH(F$3,$C$3:$J$3,0)),"")</f>
        <v/>
      </c>
      <c r="G90" s="68" t="str">
        <f ca="1">IFERROR(INDEX(当前库存!$B:$J,SMALL($B:$B,ROW(E88)),MATCH(G$3,$C$3:$J$3,0)),"")</f>
        <v/>
      </c>
      <c r="H90" s="68" t="str">
        <f ca="1">IFERROR(INDEX(当前库存!$B:$J,SMALL($B:$B,ROW(F88)),MATCH(H$3,$C$3:$J$3,0)),"")</f>
        <v/>
      </c>
      <c r="I90" s="68" t="str">
        <f ca="1">IFERROR(INDEX(当前库存!$B:$J,SMALL($B:$B,ROW(G87)),MATCH(I$3,$C$3:$J$3,0)),"")</f>
        <v/>
      </c>
      <c r="J90" s="68" t="str">
        <f ca="1">IFERROR(INDEX(当前库存!$B:$J,SMALL($B:$B,ROW(H87)),MATCH(J$3,$C$3:$J$3,0)),"")</f>
        <v/>
      </c>
    </row>
    <row r="91" ht="21.95" customHeight="1" spans="2:10">
      <c r="B91" s="62" t="str">
        <f>IF(当前库存!J:J="采购",ROW(),"-")</f>
        <v>-</v>
      </c>
      <c r="C91" s="67" t="str">
        <f ca="1">IFERROR(INDEX(当前库存!$B:$J,SMALL($B:$B,ROW(A88)),MATCH(C$3,$C$3:$J$3,0)),"")</f>
        <v/>
      </c>
      <c r="D91" s="68" t="str">
        <f ca="1">IFERROR(INDEX(当前库存!$B:$J,SMALL($B:$B,ROW(B88)),MATCH(D$3,$C$3:$J$3,0)),"")</f>
        <v/>
      </c>
      <c r="E91" s="68" t="str">
        <f ca="1">IFERROR(INDEX(当前库存!$B:$J,SMALL($B:$B,ROW(C88)),MATCH(E$3,$C$3:$J$3,0)),"")</f>
        <v/>
      </c>
      <c r="F91" s="68" t="str">
        <f ca="1">IFERROR(INDEX(当前库存!$B:$J,SMALL($B:$B,ROW(D89)),MATCH(F$3,$C$3:$J$3,0)),"")</f>
        <v/>
      </c>
      <c r="G91" s="68" t="str">
        <f ca="1">IFERROR(INDEX(当前库存!$B:$J,SMALL($B:$B,ROW(E89)),MATCH(G$3,$C$3:$J$3,0)),"")</f>
        <v/>
      </c>
      <c r="H91" s="68" t="str">
        <f ca="1">IFERROR(INDEX(当前库存!$B:$J,SMALL($B:$B,ROW(F89)),MATCH(H$3,$C$3:$J$3,0)),"")</f>
        <v/>
      </c>
      <c r="I91" s="68" t="str">
        <f ca="1">IFERROR(INDEX(当前库存!$B:$J,SMALL($B:$B,ROW(G88)),MATCH(I$3,$C$3:$J$3,0)),"")</f>
        <v/>
      </c>
      <c r="J91" s="68" t="str">
        <f ca="1">IFERROR(INDEX(当前库存!$B:$J,SMALL($B:$B,ROW(H88)),MATCH(J$3,$C$3:$J$3,0)),"")</f>
        <v/>
      </c>
    </row>
    <row r="92" ht="21.95" customHeight="1" spans="2:10">
      <c r="B92" s="62" t="str">
        <f>IF(当前库存!J:J="采购",ROW(),"-")</f>
        <v>-</v>
      </c>
      <c r="C92" s="67" t="str">
        <f ca="1">IFERROR(INDEX(当前库存!$B:$J,SMALL($B:$B,ROW(A89)),MATCH(C$3,$C$3:$J$3,0)),"")</f>
        <v/>
      </c>
      <c r="D92" s="68" t="str">
        <f ca="1">IFERROR(INDEX(当前库存!$B:$J,SMALL($B:$B,ROW(B89)),MATCH(D$3,$C$3:$J$3,0)),"")</f>
        <v/>
      </c>
      <c r="E92" s="68" t="str">
        <f ca="1">IFERROR(INDEX(当前库存!$B:$J,SMALL($B:$B,ROW(C89)),MATCH(E$3,$C$3:$J$3,0)),"")</f>
        <v/>
      </c>
      <c r="F92" s="68" t="str">
        <f ca="1">IFERROR(INDEX(当前库存!$B:$J,SMALL($B:$B,ROW(D90)),MATCH(F$3,$C$3:$J$3,0)),"")</f>
        <v/>
      </c>
      <c r="G92" s="68" t="str">
        <f ca="1">IFERROR(INDEX(当前库存!$B:$J,SMALL($B:$B,ROW(E90)),MATCH(G$3,$C$3:$J$3,0)),"")</f>
        <v/>
      </c>
      <c r="H92" s="68" t="str">
        <f ca="1">IFERROR(INDEX(当前库存!$B:$J,SMALL($B:$B,ROW(F90)),MATCH(H$3,$C$3:$J$3,0)),"")</f>
        <v/>
      </c>
      <c r="I92" s="68" t="str">
        <f ca="1">IFERROR(INDEX(当前库存!$B:$J,SMALL($B:$B,ROW(G89)),MATCH(I$3,$C$3:$J$3,0)),"")</f>
        <v/>
      </c>
      <c r="J92" s="68" t="str">
        <f ca="1">IFERROR(INDEX(当前库存!$B:$J,SMALL($B:$B,ROW(H89)),MATCH(J$3,$C$3:$J$3,0)),"")</f>
        <v/>
      </c>
    </row>
    <row r="93" ht="21.95" customHeight="1" spans="2:10">
      <c r="B93" s="62" t="str">
        <f>IF(当前库存!J:J="采购",ROW(),"-")</f>
        <v>-</v>
      </c>
      <c r="C93" s="67" t="str">
        <f ca="1">IFERROR(INDEX(当前库存!$B:$J,SMALL($B:$B,ROW(A90)),MATCH(C$3,$C$3:$J$3,0)),"")</f>
        <v/>
      </c>
      <c r="D93" s="68" t="str">
        <f ca="1">IFERROR(INDEX(当前库存!$B:$J,SMALL($B:$B,ROW(B90)),MATCH(D$3,$C$3:$J$3,0)),"")</f>
        <v/>
      </c>
      <c r="E93" s="68" t="str">
        <f ca="1">IFERROR(INDEX(当前库存!$B:$J,SMALL($B:$B,ROW(C90)),MATCH(E$3,$C$3:$J$3,0)),"")</f>
        <v/>
      </c>
      <c r="F93" s="68" t="str">
        <f ca="1">IFERROR(INDEX(当前库存!$B:$J,SMALL($B:$B,ROW(D91)),MATCH(F$3,$C$3:$J$3,0)),"")</f>
        <v/>
      </c>
      <c r="G93" s="68" t="str">
        <f ca="1">IFERROR(INDEX(当前库存!$B:$J,SMALL($B:$B,ROW(E91)),MATCH(G$3,$C$3:$J$3,0)),"")</f>
        <v/>
      </c>
      <c r="H93" s="68" t="str">
        <f ca="1">IFERROR(INDEX(当前库存!$B:$J,SMALL($B:$B,ROW(F91)),MATCH(H$3,$C$3:$J$3,0)),"")</f>
        <v/>
      </c>
      <c r="I93" s="68" t="str">
        <f ca="1">IFERROR(INDEX(当前库存!$B:$J,SMALL($B:$B,ROW(G90)),MATCH(I$3,$C$3:$J$3,0)),"")</f>
        <v/>
      </c>
      <c r="J93" s="68" t="str">
        <f ca="1">IFERROR(INDEX(当前库存!$B:$J,SMALL($B:$B,ROW(H90)),MATCH(J$3,$C$3:$J$3,0)),"")</f>
        <v/>
      </c>
    </row>
    <row r="94" ht="21.95" customHeight="1" spans="2:10">
      <c r="B94" s="62" t="str">
        <f>IF(当前库存!J:J="采购",ROW(),"-")</f>
        <v>-</v>
      </c>
      <c r="C94" s="67" t="str">
        <f ca="1">IFERROR(INDEX(当前库存!$B:$J,SMALL($B:$B,ROW(A91)),MATCH(C$3,$C$3:$J$3,0)),"")</f>
        <v/>
      </c>
      <c r="D94" s="68" t="str">
        <f ca="1">IFERROR(INDEX(当前库存!$B:$J,SMALL($B:$B,ROW(B91)),MATCH(D$3,$C$3:$J$3,0)),"")</f>
        <v/>
      </c>
      <c r="E94" s="68" t="str">
        <f ca="1">IFERROR(INDEX(当前库存!$B:$J,SMALL($B:$B,ROW(C91)),MATCH(E$3,$C$3:$J$3,0)),"")</f>
        <v/>
      </c>
      <c r="F94" s="68" t="str">
        <f ca="1">IFERROR(INDEX(当前库存!$B:$J,SMALL($B:$B,ROW(D92)),MATCH(F$3,$C$3:$J$3,0)),"")</f>
        <v/>
      </c>
      <c r="G94" s="68" t="str">
        <f ca="1">IFERROR(INDEX(当前库存!$B:$J,SMALL($B:$B,ROW(E92)),MATCH(G$3,$C$3:$J$3,0)),"")</f>
        <v/>
      </c>
      <c r="H94" s="68" t="str">
        <f ca="1">IFERROR(INDEX(当前库存!$B:$J,SMALL($B:$B,ROW(F92)),MATCH(H$3,$C$3:$J$3,0)),"")</f>
        <v/>
      </c>
      <c r="I94" s="68" t="str">
        <f ca="1">IFERROR(INDEX(当前库存!$B:$J,SMALL($B:$B,ROW(G91)),MATCH(I$3,$C$3:$J$3,0)),"")</f>
        <v/>
      </c>
      <c r="J94" s="68" t="str">
        <f ca="1">IFERROR(INDEX(当前库存!$B:$J,SMALL($B:$B,ROW(H91)),MATCH(J$3,$C$3:$J$3,0)),"")</f>
        <v/>
      </c>
    </row>
    <row r="95" ht="21.95" customHeight="1" spans="2:10">
      <c r="B95" s="62" t="str">
        <f>IF(当前库存!J:J="采购",ROW(),"-")</f>
        <v>-</v>
      </c>
      <c r="C95" s="67" t="str">
        <f ca="1">IFERROR(INDEX(当前库存!$B:$J,SMALL($B:$B,ROW(A92)),MATCH(C$3,$C$3:$J$3,0)),"")</f>
        <v/>
      </c>
      <c r="D95" s="68" t="str">
        <f ca="1">IFERROR(INDEX(当前库存!$B:$J,SMALL($B:$B,ROW(B92)),MATCH(D$3,$C$3:$J$3,0)),"")</f>
        <v/>
      </c>
      <c r="E95" s="68" t="str">
        <f ca="1">IFERROR(INDEX(当前库存!$B:$J,SMALL($B:$B,ROW(C92)),MATCH(E$3,$C$3:$J$3,0)),"")</f>
        <v/>
      </c>
      <c r="F95" s="68" t="str">
        <f ca="1">IFERROR(INDEX(当前库存!$B:$J,SMALL($B:$B,ROW(D93)),MATCH(F$3,$C$3:$J$3,0)),"")</f>
        <v/>
      </c>
      <c r="G95" s="68" t="str">
        <f ca="1">IFERROR(INDEX(当前库存!$B:$J,SMALL($B:$B,ROW(E93)),MATCH(G$3,$C$3:$J$3,0)),"")</f>
        <v/>
      </c>
      <c r="H95" s="68" t="str">
        <f ca="1">IFERROR(INDEX(当前库存!$B:$J,SMALL($B:$B,ROW(F93)),MATCH(H$3,$C$3:$J$3,0)),"")</f>
        <v/>
      </c>
      <c r="I95" s="68" t="str">
        <f ca="1">IFERROR(INDEX(当前库存!$B:$J,SMALL($B:$B,ROW(G92)),MATCH(I$3,$C$3:$J$3,0)),"")</f>
        <v/>
      </c>
      <c r="J95" s="68" t="str">
        <f ca="1">IFERROR(INDEX(当前库存!$B:$J,SMALL($B:$B,ROW(H92)),MATCH(J$3,$C$3:$J$3,0)),"")</f>
        <v/>
      </c>
    </row>
    <row r="96" ht="21.95" customHeight="1" spans="2:10">
      <c r="B96" s="62" t="str">
        <f>IF(当前库存!J:J="采购",ROW(),"-")</f>
        <v>-</v>
      </c>
      <c r="C96" s="67" t="str">
        <f ca="1">IFERROR(INDEX(当前库存!$B:$J,SMALL($B:$B,ROW(A93)),MATCH(C$3,$C$3:$J$3,0)),"")</f>
        <v/>
      </c>
      <c r="D96" s="68" t="str">
        <f ca="1">IFERROR(INDEX(当前库存!$B:$J,SMALL($B:$B,ROW(B93)),MATCH(D$3,$C$3:$J$3,0)),"")</f>
        <v/>
      </c>
      <c r="E96" s="68" t="str">
        <f ca="1">IFERROR(INDEX(当前库存!$B:$J,SMALL($B:$B,ROW(C93)),MATCH(E$3,$C$3:$J$3,0)),"")</f>
        <v/>
      </c>
      <c r="F96" s="68" t="str">
        <f ca="1">IFERROR(INDEX(当前库存!$B:$J,SMALL($B:$B,ROW(D94)),MATCH(F$3,$C$3:$J$3,0)),"")</f>
        <v/>
      </c>
      <c r="G96" s="68" t="str">
        <f ca="1">IFERROR(INDEX(当前库存!$B:$J,SMALL($B:$B,ROW(E94)),MATCH(G$3,$C$3:$J$3,0)),"")</f>
        <v/>
      </c>
      <c r="H96" s="68" t="str">
        <f ca="1">IFERROR(INDEX(当前库存!$B:$J,SMALL($B:$B,ROW(F94)),MATCH(H$3,$C$3:$J$3,0)),"")</f>
        <v/>
      </c>
      <c r="I96" s="68" t="str">
        <f ca="1">IFERROR(INDEX(当前库存!$B:$J,SMALL($B:$B,ROW(G93)),MATCH(I$3,$C$3:$J$3,0)),"")</f>
        <v/>
      </c>
      <c r="J96" s="68" t="str">
        <f ca="1">IFERROR(INDEX(当前库存!$B:$J,SMALL($B:$B,ROW(H93)),MATCH(J$3,$C$3:$J$3,0)),"")</f>
        <v/>
      </c>
    </row>
    <row r="97" ht="21.95" customHeight="1" spans="2:10">
      <c r="B97" s="62" t="str">
        <f>IF(当前库存!J:J="采购",ROW(),"-")</f>
        <v>-</v>
      </c>
      <c r="C97" s="67" t="str">
        <f ca="1">IFERROR(INDEX(当前库存!$B:$J,SMALL($B:$B,ROW(A94)),MATCH(C$3,$C$3:$J$3,0)),"")</f>
        <v/>
      </c>
      <c r="D97" s="68" t="str">
        <f ca="1">IFERROR(INDEX(当前库存!$B:$J,SMALL($B:$B,ROW(B94)),MATCH(D$3,$C$3:$J$3,0)),"")</f>
        <v/>
      </c>
      <c r="E97" s="68" t="str">
        <f ca="1">IFERROR(INDEX(当前库存!$B:$J,SMALL($B:$B,ROW(C94)),MATCH(E$3,$C$3:$J$3,0)),"")</f>
        <v/>
      </c>
      <c r="F97" s="68" t="str">
        <f ca="1">IFERROR(INDEX(当前库存!$B:$J,SMALL($B:$B,ROW(D95)),MATCH(F$3,$C$3:$J$3,0)),"")</f>
        <v/>
      </c>
      <c r="G97" s="68" t="str">
        <f ca="1">IFERROR(INDEX(当前库存!$B:$J,SMALL($B:$B,ROW(E95)),MATCH(G$3,$C$3:$J$3,0)),"")</f>
        <v/>
      </c>
      <c r="H97" s="68" t="str">
        <f ca="1">IFERROR(INDEX(当前库存!$B:$J,SMALL($B:$B,ROW(F95)),MATCH(H$3,$C$3:$J$3,0)),"")</f>
        <v/>
      </c>
      <c r="I97" s="68" t="str">
        <f ca="1">IFERROR(INDEX(当前库存!$B:$J,SMALL($B:$B,ROW(G94)),MATCH(I$3,$C$3:$J$3,0)),"")</f>
        <v/>
      </c>
      <c r="J97" s="68" t="str">
        <f ca="1">IFERROR(INDEX(当前库存!$B:$J,SMALL($B:$B,ROW(H94)),MATCH(J$3,$C$3:$J$3,0)),"")</f>
        <v/>
      </c>
    </row>
    <row r="98" ht="21.95" customHeight="1" spans="2:10">
      <c r="B98" s="62" t="str">
        <f>IF(当前库存!J:J="采购",ROW(),"-")</f>
        <v>-</v>
      </c>
      <c r="C98" s="67" t="str">
        <f ca="1">IFERROR(INDEX(当前库存!$B:$J,SMALL($B:$B,ROW(A95)),MATCH(C$3,$C$3:$J$3,0)),"")</f>
        <v/>
      </c>
      <c r="D98" s="68" t="str">
        <f ca="1">IFERROR(INDEX(当前库存!$B:$J,SMALL($B:$B,ROW(B95)),MATCH(D$3,$C$3:$J$3,0)),"")</f>
        <v/>
      </c>
      <c r="E98" s="68" t="str">
        <f ca="1">IFERROR(INDEX(当前库存!$B:$J,SMALL($B:$B,ROW(C95)),MATCH(E$3,$C$3:$J$3,0)),"")</f>
        <v/>
      </c>
      <c r="F98" s="68" t="str">
        <f ca="1">IFERROR(INDEX(当前库存!$B:$J,SMALL($B:$B,ROW(D96)),MATCH(F$3,$C$3:$J$3,0)),"")</f>
        <v/>
      </c>
      <c r="G98" s="68" t="str">
        <f ca="1">IFERROR(INDEX(当前库存!$B:$J,SMALL($B:$B,ROW(E96)),MATCH(G$3,$C$3:$J$3,0)),"")</f>
        <v/>
      </c>
      <c r="H98" s="68" t="str">
        <f ca="1">IFERROR(INDEX(当前库存!$B:$J,SMALL($B:$B,ROW(F96)),MATCH(H$3,$C$3:$J$3,0)),"")</f>
        <v/>
      </c>
      <c r="I98" s="68" t="str">
        <f ca="1">IFERROR(INDEX(当前库存!$B:$J,SMALL($B:$B,ROW(G95)),MATCH(I$3,$C$3:$J$3,0)),"")</f>
        <v/>
      </c>
      <c r="J98" s="68" t="str">
        <f ca="1">IFERROR(INDEX(当前库存!$B:$J,SMALL($B:$B,ROW(H95)),MATCH(J$3,$C$3:$J$3,0)),"")</f>
        <v/>
      </c>
    </row>
    <row r="99" ht="21.95" customHeight="1" spans="2:10">
      <c r="B99" s="62" t="str">
        <f>IF(当前库存!J:J="采购",ROW(),"-")</f>
        <v>-</v>
      </c>
      <c r="C99" s="67" t="str">
        <f ca="1">IFERROR(INDEX(当前库存!$B:$J,SMALL($B:$B,ROW(A96)),MATCH(C$3,$C$3:$J$3,0)),"")</f>
        <v/>
      </c>
      <c r="D99" s="68" t="str">
        <f ca="1">IFERROR(INDEX(当前库存!$B:$J,SMALL($B:$B,ROW(B96)),MATCH(D$3,$C$3:$J$3,0)),"")</f>
        <v/>
      </c>
      <c r="E99" s="68" t="str">
        <f ca="1">IFERROR(INDEX(当前库存!$B:$J,SMALL($B:$B,ROW(C96)),MATCH(E$3,$C$3:$J$3,0)),"")</f>
        <v/>
      </c>
      <c r="F99" s="68" t="str">
        <f ca="1">IFERROR(INDEX(当前库存!$B:$J,SMALL($B:$B,ROW(D97)),MATCH(F$3,$C$3:$J$3,0)),"")</f>
        <v/>
      </c>
      <c r="G99" s="68" t="str">
        <f ca="1">IFERROR(INDEX(当前库存!$B:$J,SMALL($B:$B,ROW(E97)),MATCH(G$3,$C$3:$J$3,0)),"")</f>
        <v/>
      </c>
      <c r="H99" s="68" t="str">
        <f ca="1">IFERROR(INDEX(当前库存!$B:$J,SMALL($B:$B,ROW(F97)),MATCH(H$3,$C$3:$J$3,0)),"")</f>
        <v/>
      </c>
      <c r="I99" s="68" t="str">
        <f ca="1">IFERROR(INDEX(当前库存!$B:$J,SMALL($B:$B,ROW(G96)),MATCH(I$3,$C$3:$J$3,0)),"")</f>
        <v/>
      </c>
      <c r="J99" s="68" t="str">
        <f ca="1">IFERROR(INDEX(当前库存!$B:$J,SMALL($B:$B,ROW(H96)),MATCH(J$3,$C$3:$J$3,0)),"")</f>
        <v/>
      </c>
    </row>
    <row r="100" ht="21.95" customHeight="1" spans="2:10">
      <c r="B100" s="62" t="str">
        <f>IF(当前库存!J:J="采购",ROW(),"-")</f>
        <v>-</v>
      </c>
      <c r="C100" s="67" t="str">
        <f ca="1">IFERROR(INDEX(当前库存!$B:$J,SMALL($B:$B,ROW(A97)),MATCH(C$3,$C$3:$J$3,0)),"")</f>
        <v/>
      </c>
      <c r="D100" s="68" t="str">
        <f ca="1">IFERROR(INDEX(当前库存!$B:$J,SMALL($B:$B,ROW(B97)),MATCH(D$3,$C$3:$J$3,0)),"")</f>
        <v/>
      </c>
      <c r="E100" s="68" t="str">
        <f ca="1">IFERROR(INDEX(当前库存!$B:$J,SMALL($B:$B,ROW(C97)),MATCH(E$3,$C$3:$J$3,0)),"")</f>
        <v/>
      </c>
      <c r="F100" s="68" t="str">
        <f ca="1">IFERROR(INDEX(当前库存!$B:$J,SMALL($B:$B,ROW(D98)),MATCH(F$3,$C$3:$J$3,0)),"")</f>
        <v/>
      </c>
      <c r="G100" s="68" t="str">
        <f ca="1">IFERROR(INDEX(当前库存!$B:$J,SMALL($B:$B,ROW(E98)),MATCH(G$3,$C$3:$J$3,0)),"")</f>
        <v/>
      </c>
      <c r="H100" s="68" t="str">
        <f ca="1">IFERROR(INDEX(当前库存!$B:$J,SMALL($B:$B,ROW(F98)),MATCH(H$3,$C$3:$J$3,0)),"")</f>
        <v/>
      </c>
      <c r="I100" s="68" t="str">
        <f ca="1">IFERROR(INDEX(当前库存!$B:$J,SMALL($B:$B,ROW(G97)),MATCH(I$3,$C$3:$J$3,0)),"")</f>
        <v/>
      </c>
      <c r="J100" s="68" t="str">
        <f ca="1">IFERROR(INDEX(当前库存!$B:$J,SMALL($B:$B,ROW(H97)),MATCH(J$3,$C$3:$J$3,0)),"")</f>
        <v/>
      </c>
    </row>
    <row r="101" ht="21.95" customHeight="1" spans="2:10">
      <c r="B101" s="62" t="str">
        <f>IF(当前库存!J:J="采购",ROW(),"-")</f>
        <v>-</v>
      </c>
      <c r="C101" s="67" t="str">
        <f ca="1">IFERROR(INDEX(当前库存!$B:$J,SMALL($B:$B,ROW(A98)),MATCH(C$3,$C$3:$J$3,0)),"")</f>
        <v/>
      </c>
      <c r="D101" s="68" t="str">
        <f ca="1">IFERROR(INDEX(当前库存!$B:$J,SMALL($B:$B,ROW(B98)),MATCH(D$3,$C$3:$J$3,0)),"")</f>
        <v/>
      </c>
      <c r="E101" s="68" t="str">
        <f ca="1">IFERROR(INDEX(当前库存!$B:$J,SMALL($B:$B,ROW(C98)),MATCH(E$3,$C$3:$J$3,0)),"")</f>
        <v/>
      </c>
      <c r="F101" s="68" t="str">
        <f ca="1">IFERROR(INDEX(当前库存!$B:$J,SMALL($B:$B,ROW(D99)),MATCH(F$3,$C$3:$J$3,0)),"")</f>
        <v/>
      </c>
      <c r="G101" s="68" t="str">
        <f ca="1">IFERROR(INDEX(当前库存!$B:$J,SMALL($B:$B,ROW(E99)),MATCH(G$3,$C$3:$J$3,0)),"")</f>
        <v/>
      </c>
      <c r="H101" s="68" t="str">
        <f ca="1">IFERROR(INDEX(当前库存!$B:$J,SMALL($B:$B,ROW(F99)),MATCH(H$3,$C$3:$J$3,0)),"")</f>
        <v/>
      </c>
      <c r="I101" s="68" t="str">
        <f ca="1">IFERROR(INDEX(当前库存!$B:$J,SMALL($B:$B,ROW(G98)),MATCH(I$3,$C$3:$J$3,0)),"")</f>
        <v/>
      </c>
      <c r="J101" s="68" t="str">
        <f ca="1">IFERROR(INDEX(当前库存!$B:$J,SMALL($B:$B,ROW(H98)),MATCH(J$3,$C$3:$J$3,0)),"")</f>
        <v/>
      </c>
    </row>
    <row r="102" ht="21.95" customHeight="1" spans="2:10">
      <c r="B102" s="62" t="str">
        <f>IF(当前库存!J:J="采购",ROW(),"-")</f>
        <v>-</v>
      </c>
      <c r="C102" s="67" t="str">
        <f ca="1">IFERROR(INDEX(当前库存!$B:$J,SMALL($B:$B,ROW(A99)),MATCH(C$3,$C$3:$J$3,0)),"")</f>
        <v/>
      </c>
      <c r="D102" s="68" t="str">
        <f ca="1">IFERROR(INDEX(当前库存!$B:$J,SMALL($B:$B,ROW(B99)),MATCH(D$3,$C$3:$J$3,0)),"")</f>
        <v/>
      </c>
      <c r="E102" s="68" t="str">
        <f ca="1">IFERROR(INDEX(当前库存!$B:$J,SMALL($B:$B,ROW(C99)),MATCH(E$3,$C$3:$J$3,0)),"")</f>
        <v/>
      </c>
      <c r="F102" s="68" t="str">
        <f ca="1">IFERROR(INDEX(当前库存!$B:$J,SMALL($B:$B,ROW(D100)),MATCH(F$3,$C$3:$J$3,0)),"")</f>
        <v/>
      </c>
      <c r="G102" s="68" t="str">
        <f ca="1">IFERROR(INDEX(当前库存!$B:$J,SMALL($B:$B,ROW(E100)),MATCH(G$3,$C$3:$J$3,0)),"")</f>
        <v/>
      </c>
      <c r="H102" s="68" t="str">
        <f ca="1">IFERROR(INDEX(当前库存!$B:$J,SMALL($B:$B,ROW(F100)),MATCH(H$3,$C$3:$J$3,0)),"")</f>
        <v/>
      </c>
      <c r="I102" s="68" t="str">
        <f ca="1">IFERROR(INDEX(当前库存!$B:$J,SMALL($B:$B,ROW(G99)),MATCH(I$3,$C$3:$J$3,0)),"")</f>
        <v/>
      </c>
      <c r="J102" s="68" t="str">
        <f ca="1">IFERROR(INDEX(当前库存!$B:$J,SMALL($B:$B,ROW(H99)),MATCH(J$3,$C$3:$J$3,0)),"")</f>
        <v/>
      </c>
    </row>
    <row r="103" ht="21.95" customHeight="1" spans="2:10">
      <c r="B103" s="62" t="str">
        <f>IF(当前库存!J:J="采购",ROW(),"-")</f>
        <v>-</v>
      </c>
      <c r="C103" s="67" t="str">
        <f ca="1">IFERROR(INDEX(当前库存!$B:$J,SMALL($B:$B,ROW(A100)),MATCH(C$3,$C$3:$J$3,0)),"")</f>
        <v/>
      </c>
      <c r="D103" s="68" t="str">
        <f ca="1">IFERROR(INDEX(当前库存!$B:$J,SMALL($B:$B,ROW(B100)),MATCH(D$3,$C$3:$J$3,0)),"")</f>
        <v/>
      </c>
      <c r="E103" s="68" t="str">
        <f ca="1">IFERROR(INDEX(当前库存!$B:$J,SMALL($B:$B,ROW(C100)),MATCH(E$3,$C$3:$J$3,0)),"")</f>
        <v/>
      </c>
      <c r="F103" s="68" t="str">
        <f ca="1">IFERROR(INDEX(当前库存!$B:$J,SMALL($B:$B,ROW(D101)),MATCH(F$3,$C$3:$J$3,0)),"")</f>
        <v/>
      </c>
      <c r="G103" s="68" t="str">
        <f ca="1">IFERROR(INDEX(当前库存!$B:$J,SMALL($B:$B,ROW(E101)),MATCH(G$3,$C$3:$J$3,0)),"")</f>
        <v/>
      </c>
      <c r="H103" s="68" t="str">
        <f ca="1">IFERROR(INDEX(当前库存!$B:$J,SMALL($B:$B,ROW(F101)),MATCH(H$3,$C$3:$J$3,0)),"")</f>
        <v/>
      </c>
      <c r="I103" s="68" t="str">
        <f ca="1">IFERROR(INDEX(当前库存!$B:$J,SMALL($B:$B,ROW(G100)),MATCH(I$3,$C$3:$J$3,0)),"")</f>
        <v/>
      </c>
      <c r="J103" s="68" t="str">
        <f ca="1">IFERROR(INDEX(当前库存!$B:$J,SMALL($B:$B,ROW(H100)),MATCH(J$3,$C$3:$J$3,0)),"")</f>
        <v/>
      </c>
    </row>
    <row r="104" ht="21.95" customHeight="1" spans="2:10">
      <c r="B104" s="62" t="str">
        <f>IF(当前库存!J:J="采购",ROW(),"-")</f>
        <v>-</v>
      </c>
      <c r="C104" s="67" t="str">
        <f ca="1">IFERROR(INDEX(当前库存!$B:$J,SMALL($B:$B,ROW(A101)),MATCH(C$3,$C$3:$J$3,0)),"")</f>
        <v/>
      </c>
      <c r="D104" s="68" t="str">
        <f ca="1">IFERROR(INDEX(当前库存!$B:$J,SMALL($B:$B,ROW(B101)),MATCH(D$3,$C$3:$J$3,0)),"")</f>
        <v/>
      </c>
      <c r="E104" s="68" t="str">
        <f ca="1">IFERROR(INDEX(当前库存!$B:$J,SMALL($B:$B,ROW(C101)),MATCH(E$3,$C$3:$J$3,0)),"")</f>
        <v/>
      </c>
      <c r="F104" s="68" t="str">
        <f ca="1">IFERROR(INDEX(当前库存!$B:$J,SMALL($B:$B,ROW(D102)),MATCH(F$3,$C$3:$J$3,0)),"")</f>
        <v/>
      </c>
      <c r="G104" s="68" t="str">
        <f ca="1">IFERROR(INDEX(当前库存!$B:$J,SMALL($B:$B,ROW(E102)),MATCH(G$3,$C$3:$J$3,0)),"")</f>
        <v/>
      </c>
      <c r="H104" s="68" t="str">
        <f ca="1">IFERROR(INDEX(当前库存!$B:$J,SMALL($B:$B,ROW(F102)),MATCH(H$3,$C$3:$J$3,0)),"")</f>
        <v/>
      </c>
      <c r="I104" s="68" t="str">
        <f ca="1">IFERROR(INDEX(当前库存!$B:$J,SMALL($B:$B,ROW(G101)),MATCH(I$3,$C$3:$J$3,0)),"")</f>
        <v/>
      </c>
      <c r="J104" s="68" t="str">
        <f ca="1">IFERROR(INDEX(当前库存!$B:$J,SMALL($B:$B,ROW(H101)),MATCH(J$3,$C$3:$J$3,0)),"")</f>
        <v/>
      </c>
    </row>
    <row r="105" ht="21.95" customHeight="1" spans="2:10">
      <c r="B105" s="62" t="str">
        <f>IF(当前库存!J:J="采购",ROW(),"-")</f>
        <v>-</v>
      </c>
      <c r="C105" s="67" t="str">
        <f ca="1">IFERROR(INDEX(当前库存!$B:$J,SMALL($B:$B,ROW(A102)),MATCH(C$3,$C$3:$J$3,0)),"")</f>
        <v/>
      </c>
      <c r="D105" s="68" t="str">
        <f ca="1">IFERROR(INDEX(当前库存!$B:$J,SMALL($B:$B,ROW(B102)),MATCH(D$3,$C$3:$J$3,0)),"")</f>
        <v/>
      </c>
      <c r="E105" s="68" t="str">
        <f ca="1">IFERROR(INDEX(当前库存!$B:$J,SMALL($B:$B,ROW(C102)),MATCH(E$3,$C$3:$J$3,0)),"")</f>
        <v/>
      </c>
      <c r="F105" s="68" t="str">
        <f ca="1">IFERROR(INDEX(当前库存!$B:$J,SMALL($B:$B,ROW(D103)),MATCH(F$3,$C$3:$J$3,0)),"")</f>
        <v/>
      </c>
      <c r="G105" s="68" t="str">
        <f ca="1">IFERROR(INDEX(当前库存!$B:$J,SMALL($B:$B,ROW(E103)),MATCH(G$3,$C$3:$J$3,0)),"")</f>
        <v/>
      </c>
      <c r="H105" s="68" t="str">
        <f ca="1">IFERROR(INDEX(当前库存!$B:$J,SMALL($B:$B,ROW(F103)),MATCH(H$3,$C$3:$J$3,0)),"")</f>
        <v/>
      </c>
      <c r="I105" s="68" t="str">
        <f ca="1">IFERROR(INDEX(当前库存!$B:$J,SMALL($B:$B,ROW(G102)),MATCH(I$3,$C$3:$J$3,0)),"")</f>
        <v/>
      </c>
      <c r="J105" s="68" t="str">
        <f ca="1">IFERROR(INDEX(当前库存!$B:$J,SMALL($B:$B,ROW(H102)),MATCH(J$3,$C$3:$J$3,0)),"")</f>
        <v/>
      </c>
    </row>
    <row r="106" ht="21.95" customHeight="1" spans="2:10">
      <c r="B106" s="62" t="str">
        <f>IF(当前库存!J:J="采购",ROW(),"-")</f>
        <v>-</v>
      </c>
      <c r="C106" s="67" t="str">
        <f ca="1">IFERROR(INDEX(当前库存!$B:$J,SMALL($B:$B,ROW(A103)),MATCH(C$3,$C$3:$J$3,0)),"")</f>
        <v/>
      </c>
      <c r="D106" s="68" t="str">
        <f ca="1">IFERROR(INDEX(当前库存!$B:$J,SMALL($B:$B,ROW(B103)),MATCH(D$3,$C$3:$J$3,0)),"")</f>
        <v/>
      </c>
      <c r="E106" s="68" t="str">
        <f ca="1">IFERROR(INDEX(当前库存!$B:$J,SMALL($B:$B,ROW(C103)),MATCH(E$3,$C$3:$J$3,0)),"")</f>
        <v/>
      </c>
      <c r="F106" s="68" t="str">
        <f ca="1">IFERROR(INDEX(当前库存!$B:$J,SMALL($B:$B,ROW(D104)),MATCH(F$3,$C$3:$J$3,0)),"")</f>
        <v/>
      </c>
      <c r="G106" s="68" t="str">
        <f ca="1">IFERROR(INDEX(当前库存!$B:$J,SMALL($B:$B,ROW(E104)),MATCH(G$3,$C$3:$J$3,0)),"")</f>
        <v/>
      </c>
      <c r="H106" s="68" t="str">
        <f ca="1">IFERROR(INDEX(当前库存!$B:$J,SMALL($B:$B,ROW(F104)),MATCH(H$3,$C$3:$J$3,0)),"")</f>
        <v/>
      </c>
      <c r="I106" s="68" t="str">
        <f ca="1">IFERROR(INDEX(当前库存!$B:$J,SMALL($B:$B,ROW(G103)),MATCH(I$3,$C$3:$J$3,0)),"")</f>
        <v/>
      </c>
      <c r="J106" s="68" t="str">
        <f ca="1">IFERROR(INDEX(当前库存!$B:$J,SMALL($B:$B,ROW(H103)),MATCH(J$3,$C$3:$J$3,0)),"")</f>
        <v/>
      </c>
    </row>
    <row r="107" ht="21.95" customHeight="1" spans="2:10">
      <c r="B107" s="62" t="str">
        <f>IF(当前库存!J:J="采购",ROW(),"-")</f>
        <v>-</v>
      </c>
      <c r="C107" s="67" t="str">
        <f ca="1">IFERROR(INDEX(当前库存!$B:$J,SMALL($B:$B,ROW(A104)),MATCH(C$3,$C$3:$J$3,0)),"")</f>
        <v/>
      </c>
      <c r="D107" s="68" t="str">
        <f ca="1">IFERROR(INDEX(当前库存!$B:$J,SMALL($B:$B,ROW(B104)),MATCH(D$3,$C$3:$J$3,0)),"")</f>
        <v/>
      </c>
      <c r="E107" s="68" t="str">
        <f ca="1">IFERROR(INDEX(当前库存!$B:$J,SMALL($B:$B,ROW(C104)),MATCH(E$3,$C$3:$J$3,0)),"")</f>
        <v/>
      </c>
      <c r="F107" s="68" t="str">
        <f ca="1">IFERROR(INDEX(当前库存!$B:$J,SMALL($B:$B,ROW(D105)),MATCH(F$3,$C$3:$J$3,0)),"")</f>
        <v/>
      </c>
      <c r="G107" s="68" t="str">
        <f ca="1">IFERROR(INDEX(当前库存!$B:$J,SMALL($B:$B,ROW(E105)),MATCH(G$3,$C$3:$J$3,0)),"")</f>
        <v/>
      </c>
      <c r="H107" s="68" t="str">
        <f ca="1">IFERROR(INDEX(当前库存!$B:$J,SMALL($B:$B,ROW(F105)),MATCH(H$3,$C$3:$J$3,0)),"")</f>
        <v/>
      </c>
      <c r="I107" s="68" t="str">
        <f ca="1">IFERROR(INDEX(当前库存!$B:$J,SMALL($B:$B,ROW(G104)),MATCH(I$3,$C$3:$J$3,0)),"")</f>
        <v/>
      </c>
      <c r="J107" s="68" t="str">
        <f ca="1">IFERROR(INDEX(当前库存!$B:$J,SMALL($B:$B,ROW(H104)),MATCH(J$3,$C$3:$J$3,0)),"")</f>
        <v/>
      </c>
    </row>
    <row r="108" ht="21.95" customHeight="1" spans="2:10">
      <c r="B108" s="62" t="str">
        <f>IF(当前库存!J:J="采购",ROW(),"-")</f>
        <v>-</v>
      </c>
      <c r="C108" s="67" t="str">
        <f ca="1">IFERROR(INDEX(当前库存!$B:$J,SMALL($B:$B,ROW(A105)),MATCH(C$3,$C$3:$J$3,0)),"")</f>
        <v/>
      </c>
      <c r="D108" s="68" t="str">
        <f ca="1">IFERROR(INDEX(当前库存!$B:$J,SMALL($B:$B,ROW(B105)),MATCH(D$3,$C$3:$J$3,0)),"")</f>
        <v/>
      </c>
      <c r="E108" s="68" t="str">
        <f ca="1">IFERROR(INDEX(当前库存!$B:$J,SMALL($B:$B,ROW(C105)),MATCH(E$3,$C$3:$J$3,0)),"")</f>
        <v/>
      </c>
      <c r="F108" s="68" t="str">
        <f ca="1">IFERROR(INDEX(当前库存!$B:$J,SMALL($B:$B,ROW(D106)),MATCH(F$3,$C$3:$J$3,0)),"")</f>
        <v/>
      </c>
      <c r="G108" s="68" t="str">
        <f ca="1">IFERROR(INDEX(当前库存!$B:$J,SMALL($B:$B,ROW(E106)),MATCH(G$3,$C$3:$J$3,0)),"")</f>
        <v/>
      </c>
      <c r="H108" s="68" t="str">
        <f ca="1">IFERROR(INDEX(当前库存!$B:$J,SMALL($B:$B,ROW(F106)),MATCH(H$3,$C$3:$J$3,0)),"")</f>
        <v/>
      </c>
      <c r="I108" s="68" t="str">
        <f ca="1">IFERROR(INDEX(当前库存!$B:$J,SMALL($B:$B,ROW(G105)),MATCH(I$3,$C$3:$J$3,0)),"")</f>
        <v/>
      </c>
      <c r="J108" s="68" t="str">
        <f ca="1">IFERROR(INDEX(当前库存!$B:$J,SMALL($B:$B,ROW(H105)),MATCH(J$3,$C$3:$J$3,0)),"")</f>
        <v/>
      </c>
    </row>
    <row r="109" ht="21.95" customHeight="1" spans="2:10">
      <c r="B109" s="62" t="str">
        <f>IF(当前库存!J:J="采购",ROW(),"-")</f>
        <v>-</v>
      </c>
      <c r="C109" s="67" t="str">
        <f ca="1">IFERROR(INDEX(当前库存!$B:$J,SMALL($B:$B,ROW(A106)),MATCH(C$3,$C$3:$J$3,0)),"")</f>
        <v/>
      </c>
      <c r="D109" s="68" t="str">
        <f ca="1">IFERROR(INDEX(当前库存!$B:$J,SMALL($B:$B,ROW(B106)),MATCH(D$3,$C$3:$J$3,0)),"")</f>
        <v/>
      </c>
      <c r="E109" s="68" t="str">
        <f ca="1">IFERROR(INDEX(当前库存!$B:$J,SMALL($B:$B,ROW(C106)),MATCH(E$3,$C$3:$J$3,0)),"")</f>
        <v/>
      </c>
      <c r="F109" s="68" t="str">
        <f ca="1">IFERROR(INDEX(当前库存!$B:$J,SMALL($B:$B,ROW(D107)),MATCH(F$3,$C$3:$J$3,0)),"")</f>
        <v/>
      </c>
      <c r="G109" s="68" t="str">
        <f ca="1">IFERROR(INDEX(当前库存!$B:$J,SMALL($B:$B,ROW(E107)),MATCH(G$3,$C$3:$J$3,0)),"")</f>
        <v/>
      </c>
      <c r="H109" s="68" t="str">
        <f ca="1">IFERROR(INDEX(当前库存!$B:$J,SMALL($B:$B,ROW(F107)),MATCH(H$3,$C$3:$J$3,0)),"")</f>
        <v/>
      </c>
      <c r="I109" s="68" t="str">
        <f ca="1">IFERROR(INDEX(当前库存!$B:$J,SMALL($B:$B,ROW(G106)),MATCH(I$3,$C$3:$J$3,0)),"")</f>
        <v/>
      </c>
      <c r="J109" s="68" t="str">
        <f ca="1">IFERROR(INDEX(当前库存!$B:$J,SMALL($B:$B,ROW(H106)),MATCH(J$3,$C$3:$J$3,0)),"")</f>
        <v/>
      </c>
    </row>
    <row r="110" ht="21.95" customHeight="1" spans="2:10">
      <c r="B110" s="62" t="str">
        <f>IF(当前库存!J:J="采购",ROW(),"-")</f>
        <v>-</v>
      </c>
      <c r="C110" s="67" t="str">
        <f ca="1">IFERROR(INDEX(当前库存!$B:$J,SMALL($B:$B,ROW(A107)),MATCH(C$3,$C$3:$J$3,0)),"")</f>
        <v/>
      </c>
      <c r="D110" s="68" t="str">
        <f ca="1">IFERROR(INDEX(当前库存!$B:$J,SMALL($B:$B,ROW(B107)),MATCH(D$3,$C$3:$J$3,0)),"")</f>
        <v/>
      </c>
      <c r="E110" s="68" t="str">
        <f ca="1">IFERROR(INDEX(当前库存!$B:$J,SMALL($B:$B,ROW(C107)),MATCH(E$3,$C$3:$J$3,0)),"")</f>
        <v/>
      </c>
      <c r="F110" s="68" t="str">
        <f ca="1">IFERROR(INDEX(当前库存!$B:$J,SMALL($B:$B,ROW(D108)),MATCH(F$3,$C$3:$J$3,0)),"")</f>
        <v/>
      </c>
      <c r="G110" s="68" t="str">
        <f ca="1">IFERROR(INDEX(当前库存!$B:$J,SMALL($B:$B,ROW(E108)),MATCH(G$3,$C$3:$J$3,0)),"")</f>
        <v/>
      </c>
      <c r="H110" s="68" t="str">
        <f ca="1">IFERROR(INDEX(当前库存!$B:$J,SMALL($B:$B,ROW(F108)),MATCH(H$3,$C$3:$J$3,0)),"")</f>
        <v/>
      </c>
      <c r="I110" s="68" t="str">
        <f ca="1">IFERROR(INDEX(当前库存!$B:$J,SMALL($B:$B,ROW(G107)),MATCH(I$3,$C$3:$J$3,0)),"")</f>
        <v/>
      </c>
      <c r="J110" s="68" t="str">
        <f ca="1">IFERROR(INDEX(当前库存!$B:$J,SMALL($B:$B,ROW(H107)),MATCH(J$3,$C$3:$J$3,0)),"")</f>
        <v/>
      </c>
    </row>
    <row r="111" ht="21.95" customHeight="1" spans="2:10">
      <c r="B111" s="62" t="str">
        <f>IF(当前库存!J:J="采购",ROW(),"-")</f>
        <v>-</v>
      </c>
      <c r="C111" s="67" t="str">
        <f ca="1">IFERROR(INDEX(当前库存!$B:$J,SMALL($B:$B,ROW(A108)),MATCH(C$3,$C$3:$J$3,0)),"")</f>
        <v/>
      </c>
      <c r="D111" s="68" t="str">
        <f ca="1">IFERROR(INDEX(当前库存!$B:$J,SMALL($B:$B,ROW(B108)),MATCH(D$3,$C$3:$J$3,0)),"")</f>
        <v/>
      </c>
      <c r="E111" s="68" t="str">
        <f ca="1">IFERROR(INDEX(当前库存!$B:$J,SMALL($B:$B,ROW(C108)),MATCH(E$3,$C$3:$J$3,0)),"")</f>
        <v/>
      </c>
      <c r="F111" s="68" t="str">
        <f ca="1">IFERROR(INDEX(当前库存!$B:$J,SMALL($B:$B,ROW(D109)),MATCH(F$3,$C$3:$J$3,0)),"")</f>
        <v/>
      </c>
      <c r="G111" s="68" t="str">
        <f ca="1">IFERROR(INDEX(当前库存!$B:$J,SMALL($B:$B,ROW(E109)),MATCH(G$3,$C$3:$J$3,0)),"")</f>
        <v/>
      </c>
      <c r="H111" s="68" t="str">
        <f ca="1">IFERROR(INDEX(当前库存!$B:$J,SMALL($B:$B,ROW(F109)),MATCH(H$3,$C$3:$J$3,0)),"")</f>
        <v/>
      </c>
      <c r="I111" s="68" t="str">
        <f ca="1">IFERROR(INDEX(当前库存!$B:$J,SMALL($B:$B,ROW(G108)),MATCH(I$3,$C$3:$J$3,0)),"")</f>
        <v/>
      </c>
      <c r="J111" s="68" t="str">
        <f ca="1">IFERROR(INDEX(当前库存!$B:$J,SMALL($B:$B,ROW(H108)),MATCH(J$3,$C$3:$J$3,0)),"")</f>
        <v/>
      </c>
    </row>
    <row r="112" ht="21.95" customHeight="1" spans="2:10">
      <c r="B112" s="62" t="str">
        <f>IF(当前库存!J:J="采购",ROW(),"-")</f>
        <v>-</v>
      </c>
      <c r="C112" s="67" t="str">
        <f ca="1">IFERROR(INDEX(当前库存!$B:$J,SMALL($B:$B,ROW(A109)),MATCH(C$3,$C$3:$J$3,0)),"")</f>
        <v/>
      </c>
      <c r="D112" s="68" t="str">
        <f ca="1">IFERROR(INDEX(当前库存!$B:$J,SMALL($B:$B,ROW(B109)),MATCH(D$3,$C$3:$J$3,0)),"")</f>
        <v/>
      </c>
      <c r="E112" s="68" t="str">
        <f ca="1">IFERROR(INDEX(当前库存!$B:$J,SMALL($B:$B,ROW(C109)),MATCH(E$3,$C$3:$J$3,0)),"")</f>
        <v/>
      </c>
      <c r="F112" s="68" t="str">
        <f ca="1">IFERROR(INDEX(当前库存!$B:$J,SMALL($B:$B,ROW(D110)),MATCH(F$3,$C$3:$J$3,0)),"")</f>
        <v/>
      </c>
      <c r="G112" s="68" t="str">
        <f ca="1">IFERROR(INDEX(当前库存!$B:$J,SMALL($B:$B,ROW(E110)),MATCH(G$3,$C$3:$J$3,0)),"")</f>
        <v/>
      </c>
      <c r="H112" s="68" t="str">
        <f ca="1">IFERROR(INDEX(当前库存!$B:$J,SMALL($B:$B,ROW(F110)),MATCH(H$3,$C$3:$J$3,0)),"")</f>
        <v/>
      </c>
      <c r="I112" s="68" t="str">
        <f ca="1">IFERROR(INDEX(当前库存!$B:$J,SMALL($B:$B,ROW(G109)),MATCH(I$3,$C$3:$J$3,0)),"")</f>
        <v/>
      </c>
      <c r="J112" s="68" t="str">
        <f ca="1">IFERROR(INDEX(当前库存!$B:$J,SMALL($B:$B,ROW(H109)),MATCH(J$3,$C$3:$J$3,0)),"")</f>
        <v/>
      </c>
    </row>
    <row r="113" ht="21.95" customHeight="1" spans="2:10">
      <c r="B113" s="62" t="str">
        <f>IF(当前库存!J:J="采购",ROW(),"-")</f>
        <v>-</v>
      </c>
      <c r="C113" s="67" t="str">
        <f ca="1">IFERROR(INDEX(当前库存!$B:$J,SMALL($B:$B,ROW(A110)),MATCH(C$3,$C$3:$J$3,0)),"")</f>
        <v/>
      </c>
      <c r="D113" s="68" t="str">
        <f ca="1">IFERROR(INDEX(当前库存!$B:$J,SMALL($B:$B,ROW(B110)),MATCH(D$3,$C$3:$J$3,0)),"")</f>
        <v/>
      </c>
      <c r="E113" s="68" t="str">
        <f ca="1">IFERROR(INDEX(当前库存!$B:$J,SMALL($B:$B,ROW(C110)),MATCH(E$3,$C$3:$J$3,0)),"")</f>
        <v/>
      </c>
      <c r="F113" s="68" t="str">
        <f ca="1">IFERROR(INDEX(当前库存!$B:$J,SMALL($B:$B,ROW(D111)),MATCH(F$3,$C$3:$J$3,0)),"")</f>
        <v/>
      </c>
      <c r="G113" s="68" t="str">
        <f ca="1">IFERROR(INDEX(当前库存!$B:$J,SMALL($B:$B,ROW(E111)),MATCH(G$3,$C$3:$J$3,0)),"")</f>
        <v/>
      </c>
      <c r="H113" s="68" t="str">
        <f ca="1">IFERROR(INDEX(当前库存!$B:$J,SMALL($B:$B,ROW(F111)),MATCH(H$3,$C$3:$J$3,0)),"")</f>
        <v/>
      </c>
      <c r="I113" s="68" t="str">
        <f ca="1">IFERROR(INDEX(当前库存!$B:$J,SMALL($B:$B,ROW(G110)),MATCH(I$3,$C$3:$J$3,0)),"")</f>
        <v/>
      </c>
      <c r="J113" s="68" t="str">
        <f ca="1">IFERROR(INDEX(当前库存!$B:$J,SMALL($B:$B,ROW(H110)),MATCH(J$3,$C$3:$J$3,0)),"")</f>
        <v/>
      </c>
    </row>
    <row r="114" ht="21.95" customHeight="1" spans="2:10">
      <c r="B114" s="62" t="str">
        <f>IF(当前库存!J:J="采购",ROW(),"-")</f>
        <v>-</v>
      </c>
      <c r="C114" s="67" t="str">
        <f ca="1">IFERROR(INDEX(当前库存!$B:$J,SMALL($B:$B,ROW(A111)),MATCH(C$3,$C$3:$J$3,0)),"")</f>
        <v/>
      </c>
      <c r="D114" s="68" t="str">
        <f ca="1">IFERROR(INDEX(当前库存!$B:$J,SMALL($B:$B,ROW(B111)),MATCH(D$3,$C$3:$J$3,0)),"")</f>
        <v/>
      </c>
      <c r="E114" s="68" t="str">
        <f ca="1">IFERROR(INDEX(当前库存!$B:$J,SMALL($B:$B,ROW(C111)),MATCH(E$3,$C$3:$J$3,0)),"")</f>
        <v/>
      </c>
      <c r="F114" s="68" t="str">
        <f ca="1">IFERROR(INDEX(当前库存!$B:$J,SMALL($B:$B,ROW(D112)),MATCH(F$3,$C$3:$J$3,0)),"")</f>
        <v/>
      </c>
      <c r="G114" s="68" t="str">
        <f ca="1">IFERROR(INDEX(当前库存!$B:$J,SMALL($B:$B,ROW(E112)),MATCH(G$3,$C$3:$J$3,0)),"")</f>
        <v/>
      </c>
      <c r="H114" s="68" t="str">
        <f ca="1">IFERROR(INDEX(当前库存!$B:$J,SMALL($B:$B,ROW(F112)),MATCH(H$3,$C$3:$J$3,0)),"")</f>
        <v/>
      </c>
      <c r="I114" s="68" t="str">
        <f ca="1">IFERROR(INDEX(当前库存!$B:$J,SMALL($B:$B,ROW(G111)),MATCH(I$3,$C$3:$J$3,0)),"")</f>
        <v/>
      </c>
      <c r="J114" s="68" t="str">
        <f ca="1">IFERROR(INDEX(当前库存!$B:$J,SMALL($B:$B,ROW(H111)),MATCH(J$3,$C$3:$J$3,0)),"")</f>
        <v/>
      </c>
    </row>
    <row r="115" ht="21.95" customHeight="1" spans="2:10">
      <c r="B115" s="62" t="str">
        <f>IF(当前库存!J:J="采购",ROW(),"-")</f>
        <v>-</v>
      </c>
      <c r="C115" s="67" t="str">
        <f ca="1">IFERROR(INDEX(当前库存!$B:$J,SMALL($B:$B,ROW(A112)),MATCH(C$3,$C$3:$J$3,0)),"")</f>
        <v/>
      </c>
      <c r="D115" s="68" t="str">
        <f ca="1">IFERROR(INDEX(当前库存!$B:$J,SMALL($B:$B,ROW(B112)),MATCH(D$3,$C$3:$J$3,0)),"")</f>
        <v/>
      </c>
      <c r="E115" s="68" t="str">
        <f ca="1">IFERROR(INDEX(当前库存!$B:$J,SMALL($B:$B,ROW(C112)),MATCH(E$3,$C$3:$J$3,0)),"")</f>
        <v/>
      </c>
      <c r="F115" s="68" t="str">
        <f ca="1">IFERROR(INDEX(当前库存!$B:$J,SMALL($B:$B,ROW(D113)),MATCH(F$3,$C$3:$J$3,0)),"")</f>
        <v/>
      </c>
      <c r="G115" s="68" t="str">
        <f ca="1">IFERROR(INDEX(当前库存!$B:$J,SMALL($B:$B,ROW(E113)),MATCH(G$3,$C$3:$J$3,0)),"")</f>
        <v/>
      </c>
      <c r="H115" s="68" t="str">
        <f ca="1">IFERROR(INDEX(当前库存!$B:$J,SMALL($B:$B,ROW(F113)),MATCH(H$3,$C$3:$J$3,0)),"")</f>
        <v/>
      </c>
      <c r="I115" s="68" t="str">
        <f ca="1">IFERROR(INDEX(当前库存!$B:$J,SMALL($B:$B,ROW(G112)),MATCH(I$3,$C$3:$J$3,0)),"")</f>
        <v/>
      </c>
      <c r="J115" s="68" t="str">
        <f ca="1">IFERROR(INDEX(当前库存!$B:$J,SMALL($B:$B,ROW(H112)),MATCH(J$3,$C$3:$J$3,0)),"")</f>
        <v/>
      </c>
    </row>
    <row r="116" ht="21.95" customHeight="1" spans="2:10">
      <c r="B116" s="62" t="str">
        <f>IF(当前库存!J:J="采购",ROW(),"-")</f>
        <v>-</v>
      </c>
      <c r="C116" s="67" t="str">
        <f ca="1">IFERROR(INDEX(当前库存!$B:$J,SMALL($B:$B,ROW(A113)),MATCH(C$3,$C$3:$J$3,0)),"")</f>
        <v/>
      </c>
      <c r="D116" s="68" t="str">
        <f ca="1">IFERROR(INDEX(当前库存!$B:$J,SMALL($B:$B,ROW(B113)),MATCH(D$3,$C$3:$J$3,0)),"")</f>
        <v/>
      </c>
      <c r="E116" s="68" t="str">
        <f ca="1">IFERROR(INDEX(当前库存!$B:$J,SMALL($B:$B,ROW(C113)),MATCH(E$3,$C$3:$J$3,0)),"")</f>
        <v/>
      </c>
      <c r="F116" s="68" t="str">
        <f ca="1">IFERROR(INDEX(当前库存!$B:$J,SMALL($B:$B,ROW(D114)),MATCH(F$3,$C$3:$J$3,0)),"")</f>
        <v/>
      </c>
      <c r="G116" s="68" t="str">
        <f ca="1">IFERROR(INDEX(当前库存!$B:$J,SMALL($B:$B,ROW(E114)),MATCH(G$3,$C$3:$J$3,0)),"")</f>
        <v/>
      </c>
      <c r="H116" s="68" t="str">
        <f ca="1">IFERROR(INDEX(当前库存!$B:$J,SMALL($B:$B,ROW(F114)),MATCH(H$3,$C$3:$J$3,0)),"")</f>
        <v/>
      </c>
      <c r="I116" s="68" t="str">
        <f ca="1">IFERROR(INDEX(当前库存!$B:$J,SMALL($B:$B,ROW(G113)),MATCH(I$3,$C$3:$J$3,0)),"")</f>
        <v/>
      </c>
      <c r="J116" s="68" t="str">
        <f ca="1">IFERROR(INDEX(当前库存!$B:$J,SMALL($B:$B,ROW(H113)),MATCH(J$3,$C$3:$J$3,0)),"")</f>
        <v/>
      </c>
    </row>
    <row r="117" ht="21.95" customHeight="1" spans="2:10">
      <c r="B117" s="62" t="str">
        <f>IF(当前库存!J:J="采购",ROW(),"-")</f>
        <v>-</v>
      </c>
      <c r="C117" s="67" t="str">
        <f ca="1">IFERROR(INDEX(当前库存!$B:$J,SMALL($B:$B,ROW(A114)),MATCH(C$3,$C$3:$J$3,0)),"")</f>
        <v/>
      </c>
      <c r="D117" s="68" t="str">
        <f ca="1">IFERROR(INDEX(当前库存!$B:$J,SMALL($B:$B,ROW(B114)),MATCH(D$3,$C$3:$J$3,0)),"")</f>
        <v/>
      </c>
      <c r="E117" s="68" t="str">
        <f ca="1">IFERROR(INDEX(当前库存!$B:$J,SMALL($B:$B,ROW(C114)),MATCH(E$3,$C$3:$J$3,0)),"")</f>
        <v/>
      </c>
      <c r="F117" s="68" t="str">
        <f ca="1">IFERROR(INDEX(当前库存!$B:$J,SMALL($B:$B,ROW(D115)),MATCH(F$3,$C$3:$J$3,0)),"")</f>
        <v/>
      </c>
      <c r="G117" s="68" t="str">
        <f ca="1">IFERROR(INDEX(当前库存!$B:$J,SMALL($B:$B,ROW(E115)),MATCH(G$3,$C$3:$J$3,0)),"")</f>
        <v/>
      </c>
      <c r="H117" s="68" t="str">
        <f ca="1">IFERROR(INDEX(当前库存!$B:$J,SMALL($B:$B,ROW(F115)),MATCH(H$3,$C$3:$J$3,0)),"")</f>
        <v/>
      </c>
      <c r="I117" s="68" t="str">
        <f ca="1">IFERROR(INDEX(当前库存!$B:$J,SMALL($B:$B,ROW(G114)),MATCH(I$3,$C$3:$J$3,0)),"")</f>
        <v/>
      </c>
      <c r="J117" s="68" t="str">
        <f ca="1">IFERROR(INDEX(当前库存!$B:$J,SMALL($B:$B,ROW(H114)),MATCH(J$3,$C$3:$J$3,0)),"")</f>
        <v/>
      </c>
    </row>
    <row r="118" ht="21.95" customHeight="1" spans="2:10">
      <c r="B118" s="62" t="str">
        <f>IF(当前库存!J:J="采购",ROW(),"-")</f>
        <v>-</v>
      </c>
      <c r="C118" s="67" t="str">
        <f ca="1">IFERROR(INDEX(当前库存!$B:$J,SMALL($B:$B,ROW(A115)),MATCH(C$3,$C$3:$J$3,0)),"")</f>
        <v/>
      </c>
      <c r="D118" s="68" t="str">
        <f ca="1">IFERROR(INDEX(当前库存!$B:$J,SMALL($B:$B,ROW(B115)),MATCH(D$3,$C$3:$J$3,0)),"")</f>
        <v/>
      </c>
      <c r="E118" s="68" t="str">
        <f ca="1">IFERROR(INDEX(当前库存!$B:$J,SMALL($B:$B,ROW(C115)),MATCH(E$3,$C$3:$J$3,0)),"")</f>
        <v/>
      </c>
      <c r="F118" s="68" t="str">
        <f ca="1">IFERROR(INDEX(当前库存!$B:$J,SMALL($B:$B,ROW(D116)),MATCH(F$3,$C$3:$J$3,0)),"")</f>
        <v/>
      </c>
      <c r="G118" s="68" t="str">
        <f ca="1">IFERROR(INDEX(当前库存!$B:$J,SMALL($B:$B,ROW(E116)),MATCH(G$3,$C$3:$J$3,0)),"")</f>
        <v/>
      </c>
      <c r="H118" s="68" t="str">
        <f ca="1">IFERROR(INDEX(当前库存!$B:$J,SMALL($B:$B,ROW(F116)),MATCH(H$3,$C$3:$J$3,0)),"")</f>
        <v/>
      </c>
      <c r="I118" s="68" t="str">
        <f ca="1">IFERROR(INDEX(当前库存!$B:$J,SMALL($B:$B,ROW(G115)),MATCH(I$3,$C$3:$J$3,0)),"")</f>
        <v/>
      </c>
      <c r="J118" s="68" t="str">
        <f ca="1">IFERROR(INDEX(当前库存!$B:$J,SMALL($B:$B,ROW(H115)),MATCH(J$3,$C$3:$J$3,0)),"")</f>
        <v/>
      </c>
    </row>
    <row r="119" ht="21.95" customHeight="1" spans="2:10">
      <c r="B119" s="62" t="str">
        <f>IF(当前库存!J:J="采购",ROW(),"-")</f>
        <v>-</v>
      </c>
      <c r="C119" s="67" t="str">
        <f ca="1">IFERROR(INDEX(当前库存!$B:$J,SMALL($B:$B,ROW(A116)),MATCH(C$3,$C$3:$J$3,0)),"")</f>
        <v/>
      </c>
      <c r="D119" s="68" t="str">
        <f ca="1">IFERROR(INDEX(当前库存!$B:$J,SMALL($B:$B,ROW(B116)),MATCH(D$3,$C$3:$J$3,0)),"")</f>
        <v/>
      </c>
      <c r="E119" s="68" t="str">
        <f ca="1">IFERROR(INDEX(当前库存!$B:$J,SMALL($B:$B,ROW(C116)),MATCH(E$3,$C$3:$J$3,0)),"")</f>
        <v/>
      </c>
      <c r="F119" s="68" t="str">
        <f ca="1">IFERROR(INDEX(当前库存!$B:$J,SMALL($B:$B,ROW(D117)),MATCH(F$3,$C$3:$J$3,0)),"")</f>
        <v/>
      </c>
      <c r="G119" s="68" t="str">
        <f ca="1">IFERROR(INDEX(当前库存!$B:$J,SMALL($B:$B,ROW(E117)),MATCH(G$3,$C$3:$J$3,0)),"")</f>
        <v/>
      </c>
      <c r="H119" s="68" t="str">
        <f ca="1">IFERROR(INDEX(当前库存!$B:$J,SMALL($B:$B,ROW(F117)),MATCH(H$3,$C$3:$J$3,0)),"")</f>
        <v/>
      </c>
      <c r="I119" s="68" t="str">
        <f ca="1">IFERROR(INDEX(当前库存!$B:$J,SMALL($B:$B,ROW(G116)),MATCH(I$3,$C$3:$J$3,0)),"")</f>
        <v/>
      </c>
      <c r="J119" s="68" t="str">
        <f ca="1">IFERROR(INDEX(当前库存!$B:$J,SMALL($B:$B,ROW(H116)),MATCH(J$3,$C$3:$J$3,0)),"")</f>
        <v/>
      </c>
    </row>
    <row r="120" ht="21.95" customHeight="1" spans="2:10">
      <c r="B120" s="62" t="str">
        <f>IF(当前库存!J:J="采购",ROW(),"-")</f>
        <v>-</v>
      </c>
      <c r="C120" s="67" t="str">
        <f ca="1">IFERROR(INDEX(当前库存!$B:$J,SMALL($B:$B,ROW(A117)),MATCH(C$3,$C$3:$J$3,0)),"")</f>
        <v/>
      </c>
      <c r="D120" s="68" t="str">
        <f ca="1">IFERROR(INDEX(当前库存!$B:$J,SMALL($B:$B,ROW(B117)),MATCH(D$3,$C$3:$J$3,0)),"")</f>
        <v/>
      </c>
      <c r="E120" s="68" t="str">
        <f ca="1">IFERROR(INDEX(当前库存!$B:$J,SMALL($B:$B,ROW(C117)),MATCH(E$3,$C$3:$J$3,0)),"")</f>
        <v/>
      </c>
      <c r="F120" s="68" t="str">
        <f ca="1">IFERROR(INDEX(当前库存!$B:$J,SMALL($B:$B,ROW(D118)),MATCH(F$3,$C$3:$J$3,0)),"")</f>
        <v/>
      </c>
      <c r="G120" s="68" t="str">
        <f ca="1">IFERROR(INDEX(当前库存!$B:$J,SMALL($B:$B,ROW(E118)),MATCH(G$3,$C$3:$J$3,0)),"")</f>
        <v/>
      </c>
      <c r="H120" s="68" t="str">
        <f ca="1">IFERROR(INDEX(当前库存!$B:$J,SMALL($B:$B,ROW(F118)),MATCH(H$3,$C$3:$J$3,0)),"")</f>
        <v/>
      </c>
      <c r="I120" s="68" t="str">
        <f ca="1">IFERROR(INDEX(当前库存!$B:$J,SMALL($B:$B,ROW(G117)),MATCH(I$3,$C$3:$J$3,0)),"")</f>
        <v/>
      </c>
      <c r="J120" s="68" t="str">
        <f ca="1">IFERROR(INDEX(当前库存!$B:$J,SMALL($B:$B,ROW(H117)),MATCH(J$3,$C$3:$J$3,0)),"")</f>
        <v/>
      </c>
    </row>
    <row r="121" ht="21.95" customHeight="1" spans="2:10">
      <c r="B121" s="62" t="str">
        <f>IF(当前库存!J:J="采购",ROW(),"-")</f>
        <v>-</v>
      </c>
      <c r="C121" s="67" t="str">
        <f ca="1">IFERROR(INDEX(当前库存!$B:$J,SMALL($B:$B,ROW(A118)),MATCH(C$3,$C$3:$J$3,0)),"")</f>
        <v/>
      </c>
      <c r="D121" s="68" t="str">
        <f ca="1">IFERROR(INDEX(当前库存!$B:$J,SMALL($B:$B,ROW(B118)),MATCH(D$3,$C$3:$J$3,0)),"")</f>
        <v/>
      </c>
      <c r="E121" s="68" t="str">
        <f ca="1">IFERROR(INDEX(当前库存!$B:$J,SMALL($B:$B,ROW(C118)),MATCH(E$3,$C$3:$J$3,0)),"")</f>
        <v/>
      </c>
      <c r="F121" s="68" t="str">
        <f ca="1">IFERROR(INDEX(当前库存!$B:$J,SMALL($B:$B,ROW(D119)),MATCH(F$3,$C$3:$J$3,0)),"")</f>
        <v/>
      </c>
      <c r="G121" s="68" t="str">
        <f ca="1">IFERROR(INDEX(当前库存!$B:$J,SMALL($B:$B,ROW(E119)),MATCH(G$3,$C$3:$J$3,0)),"")</f>
        <v/>
      </c>
      <c r="H121" s="68" t="str">
        <f ca="1">IFERROR(INDEX(当前库存!$B:$J,SMALL($B:$B,ROW(F119)),MATCH(H$3,$C$3:$J$3,0)),"")</f>
        <v/>
      </c>
      <c r="I121" s="68" t="str">
        <f ca="1">IFERROR(INDEX(当前库存!$B:$J,SMALL($B:$B,ROW(G118)),MATCH(I$3,$C$3:$J$3,0)),"")</f>
        <v/>
      </c>
      <c r="J121" s="68" t="str">
        <f ca="1">IFERROR(INDEX(当前库存!$B:$J,SMALL($B:$B,ROW(H118)),MATCH(J$3,$C$3:$J$3,0)),"")</f>
        <v/>
      </c>
    </row>
    <row r="122" ht="21.95" customHeight="1" spans="2:10">
      <c r="B122" s="62" t="str">
        <f>IF(当前库存!J:J="采购",ROW(),"-")</f>
        <v>-</v>
      </c>
      <c r="C122" s="67" t="str">
        <f ca="1">IFERROR(INDEX(当前库存!$B:$J,SMALL($B:$B,ROW(A119)),MATCH(C$3,$C$3:$J$3,0)),"")</f>
        <v/>
      </c>
      <c r="D122" s="68" t="str">
        <f ca="1">IFERROR(INDEX(当前库存!$B:$J,SMALL($B:$B,ROW(B119)),MATCH(D$3,$C$3:$J$3,0)),"")</f>
        <v/>
      </c>
      <c r="E122" s="68" t="str">
        <f ca="1">IFERROR(INDEX(当前库存!$B:$J,SMALL($B:$B,ROW(C119)),MATCH(E$3,$C$3:$J$3,0)),"")</f>
        <v/>
      </c>
      <c r="F122" s="68" t="str">
        <f ca="1">IFERROR(INDEX(当前库存!$B:$J,SMALL($B:$B,ROW(D120)),MATCH(F$3,$C$3:$J$3,0)),"")</f>
        <v/>
      </c>
      <c r="G122" s="68" t="str">
        <f ca="1">IFERROR(INDEX(当前库存!$B:$J,SMALL($B:$B,ROW(E120)),MATCH(G$3,$C$3:$J$3,0)),"")</f>
        <v/>
      </c>
      <c r="H122" s="68" t="str">
        <f ca="1">IFERROR(INDEX(当前库存!$B:$J,SMALL($B:$B,ROW(F120)),MATCH(H$3,$C$3:$J$3,0)),"")</f>
        <v/>
      </c>
      <c r="I122" s="68" t="str">
        <f ca="1">IFERROR(INDEX(当前库存!$B:$J,SMALL($B:$B,ROW(G119)),MATCH(I$3,$C$3:$J$3,0)),"")</f>
        <v/>
      </c>
      <c r="J122" s="68" t="str">
        <f ca="1">IFERROR(INDEX(当前库存!$B:$J,SMALL($B:$B,ROW(H119)),MATCH(J$3,$C$3:$J$3,0)),"")</f>
        <v/>
      </c>
    </row>
    <row r="123" ht="21.95" customHeight="1" spans="2:10">
      <c r="B123" s="62" t="str">
        <f>IF(当前库存!J:J="采购",ROW(),"-")</f>
        <v>-</v>
      </c>
      <c r="C123" s="67" t="str">
        <f ca="1">IFERROR(INDEX(当前库存!$B:$J,SMALL($B:$B,ROW(A120)),MATCH(C$3,$C$3:$J$3,0)),"")</f>
        <v/>
      </c>
      <c r="D123" s="68" t="str">
        <f ca="1">IFERROR(INDEX(当前库存!$B:$J,SMALL($B:$B,ROW(B120)),MATCH(D$3,$C$3:$J$3,0)),"")</f>
        <v/>
      </c>
      <c r="E123" s="68" t="str">
        <f ca="1">IFERROR(INDEX(当前库存!$B:$J,SMALL($B:$B,ROW(C120)),MATCH(E$3,$C$3:$J$3,0)),"")</f>
        <v/>
      </c>
      <c r="F123" s="68" t="str">
        <f ca="1">IFERROR(INDEX(当前库存!$B:$J,SMALL($B:$B,ROW(D121)),MATCH(F$3,$C$3:$J$3,0)),"")</f>
        <v/>
      </c>
      <c r="G123" s="68" t="str">
        <f ca="1">IFERROR(INDEX(当前库存!$B:$J,SMALL($B:$B,ROW(E121)),MATCH(G$3,$C$3:$J$3,0)),"")</f>
        <v/>
      </c>
      <c r="H123" s="68" t="str">
        <f ca="1">IFERROR(INDEX(当前库存!$B:$J,SMALL($B:$B,ROW(F121)),MATCH(H$3,$C$3:$J$3,0)),"")</f>
        <v/>
      </c>
      <c r="I123" s="68" t="str">
        <f ca="1">IFERROR(INDEX(当前库存!$B:$J,SMALL($B:$B,ROW(G120)),MATCH(I$3,$C$3:$J$3,0)),"")</f>
        <v/>
      </c>
      <c r="J123" s="68" t="str">
        <f ca="1">IFERROR(INDEX(当前库存!$B:$J,SMALL($B:$B,ROW(H120)),MATCH(J$3,$C$3:$J$3,0)),"")</f>
        <v/>
      </c>
    </row>
    <row r="124" ht="21.95" customHeight="1" spans="2:10">
      <c r="B124" s="62" t="str">
        <f>IF(当前库存!J:J="采购",ROW(),"-")</f>
        <v>-</v>
      </c>
      <c r="C124" s="67" t="str">
        <f ca="1">IFERROR(INDEX(当前库存!$B:$J,SMALL($B:$B,ROW(A121)),MATCH(C$3,$C$3:$J$3,0)),"")</f>
        <v/>
      </c>
      <c r="D124" s="68" t="str">
        <f ca="1">IFERROR(INDEX(当前库存!$B:$J,SMALL($B:$B,ROW(B121)),MATCH(D$3,$C$3:$J$3,0)),"")</f>
        <v/>
      </c>
      <c r="E124" s="68" t="str">
        <f ca="1">IFERROR(INDEX(当前库存!$B:$J,SMALL($B:$B,ROW(C121)),MATCH(E$3,$C$3:$J$3,0)),"")</f>
        <v/>
      </c>
      <c r="F124" s="68" t="str">
        <f ca="1">IFERROR(INDEX(当前库存!$B:$J,SMALL($B:$B,ROW(D122)),MATCH(F$3,$C$3:$J$3,0)),"")</f>
        <v/>
      </c>
      <c r="G124" s="68" t="str">
        <f ca="1">IFERROR(INDEX(当前库存!$B:$J,SMALL($B:$B,ROW(E122)),MATCH(G$3,$C$3:$J$3,0)),"")</f>
        <v/>
      </c>
      <c r="H124" s="68" t="str">
        <f ca="1">IFERROR(INDEX(当前库存!$B:$J,SMALL($B:$B,ROW(F122)),MATCH(H$3,$C$3:$J$3,0)),"")</f>
        <v/>
      </c>
      <c r="I124" s="68" t="str">
        <f ca="1">IFERROR(INDEX(当前库存!$B:$J,SMALL($B:$B,ROW(G121)),MATCH(I$3,$C$3:$J$3,0)),"")</f>
        <v/>
      </c>
      <c r="J124" s="68" t="str">
        <f ca="1">IFERROR(INDEX(当前库存!$B:$J,SMALL($B:$B,ROW(H121)),MATCH(J$3,$C$3:$J$3,0)),"")</f>
        <v/>
      </c>
    </row>
    <row r="125" ht="21.95" customHeight="1" spans="2:10">
      <c r="B125" s="62" t="str">
        <f>IF(当前库存!J:J="采购",ROW(),"-")</f>
        <v>-</v>
      </c>
      <c r="C125" s="67" t="str">
        <f ca="1">IFERROR(INDEX(当前库存!$B:$J,SMALL($B:$B,ROW(A122)),MATCH(C$3,$C$3:$J$3,0)),"")</f>
        <v/>
      </c>
      <c r="D125" s="68" t="str">
        <f ca="1">IFERROR(INDEX(当前库存!$B:$J,SMALL($B:$B,ROW(B122)),MATCH(D$3,$C$3:$J$3,0)),"")</f>
        <v/>
      </c>
      <c r="E125" s="68" t="str">
        <f ca="1">IFERROR(INDEX(当前库存!$B:$J,SMALL($B:$B,ROW(C122)),MATCH(E$3,$C$3:$J$3,0)),"")</f>
        <v/>
      </c>
      <c r="F125" s="68" t="str">
        <f ca="1">IFERROR(INDEX(当前库存!$B:$J,SMALL($B:$B,ROW(D123)),MATCH(F$3,$C$3:$J$3,0)),"")</f>
        <v/>
      </c>
      <c r="G125" s="68" t="str">
        <f ca="1">IFERROR(INDEX(当前库存!$B:$J,SMALL($B:$B,ROW(E123)),MATCH(G$3,$C$3:$J$3,0)),"")</f>
        <v/>
      </c>
      <c r="H125" s="68" t="str">
        <f ca="1">IFERROR(INDEX(当前库存!$B:$J,SMALL($B:$B,ROW(F123)),MATCH(H$3,$C$3:$J$3,0)),"")</f>
        <v/>
      </c>
      <c r="I125" s="68" t="str">
        <f ca="1">IFERROR(INDEX(当前库存!$B:$J,SMALL($B:$B,ROW(G122)),MATCH(I$3,$C$3:$J$3,0)),"")</f>
        <v/>
      </c>
      <c r="J125" s="68" t="str">
        <f ca="1">IFERROR(INDEX(当前库存!$B:$J,SMALL($B:$B,ROW(H122)),MATCH(J$3,$C$3:$J$3,0)),"")</f>
        <v/>
      </c>
    </row>
    <row r="126" ht="21.95" customHeight="1" spans="2:10">
      <c r="B126" s="62" t="str">
        <f>IF(当前库存!J:J="采购",ROW(),"-")</f>
        <v>-</v>
      </c>
      <c r="C126" s="67" t="str">
        <f ca="1">IFERROR(INDEX(当前库存!$B:$J,SMALL($B:$B,ROW(A123)),MATCH(C$3,$C$3:$J$3,0)),"")</f>
        <v/>
      </c>
      <c r="D126" s="68" t="str">
        <f ca="1">IFERROR(INDEX(当前库存!$B:$J,SMALL($B:$B,ROW(B123)),MATCH(D$3,$C$3:$J$3,0)),"")</f>
        <v/>
      </c>
      <c r="E126" s="68" t="str">
        <f ca="1">IFERROR(INDEX(当前库存!$B:$J,SMALL($B:$B,ROW(C123)),MATCH(E$3,$C$3:$J$3,0)),"")</f>
        <v/>
      </c>
      <c r="F126" s="68" t="str">
        <f ca="1">IFERROR(INDEX(当前库存!$B:$J,SMALL($B:$B,ROW(D124)),MATCH(F$3,$C$3:$J$3,0)),"")</f>
        <v/>
      </c>
      <c r="G126" s="68" t="str">
        <f ca="1">IFERROR(INDEX(当前库存!$B:$J,SMALL($B:$B,ROW(E124)),MATCH(G$3,$C$3:$J$3,0)),"")</f>
        <v/>
      </c>
      <c r="H126" s="68" t="str">
        <f ca="1">IFERROR(INDEX(当前库存!$B:$J,SMALL($B:$B,ROW(F124)),MATCH(H$3,$C$3:$J$3,0)),"")</f>
        <v/>
      </c>
      <c r="I126" s="68" t="str">
        <f ca="1">IFERROR(INDEX(当前库存!$B:$J,SMALL($B:$B,ROW(G123)),MATCH(I$3,$C$3:$J$3,0)),"")</f>
        <v/>
      </c>
      <c r="J126" s="68" t="str">
        <f ca="1">IFERROR(INDEX(当前库存!$B:$J,SMALL($B:$B,ROW(H123)),MATCH(J$3,$C$3:$J$3,0)),"")</f>
        <v/>
      </c>
    </row>
    <row r="127" ht="21.95" customHeight="1" spans="2:10">
      <c r="B127" s="62" t="str">
        <f>IF(当前库存!J:J="采购",ROW(),"-")</f>
        <v>-</v>
      </c>
      <c r="C127" s="67" t="str">
        <f ca="1">IFERROR(INDEX(当前库存!$B:$J,SMALL($B:$B,ROW(A124)),MATCH(C$3,$C$3:$J$3,0)),"")</f>
        <v/>
      </c>
      <c r="D127" s="68" t="str">
        <f ca="1">IFERROR(INDEX(当前库存!$B:$J,SMALL($B:$B,ROW(B124)),MATCH(D$3,$C$3:$J$3,0)),"")</f>
        <v/>
      </c>
      <c r="E127" s="68" t="str">
        <f ca="1">IFERROR(INDEX(当前库存!$B:$J,SMALL($B:$B,ROW(C124)),MATCH(E$3,$C$3:$J$3,0)),"")</f>
        <v/>
      </c>
      <c r="F127" s="68" t="str">
        <f ca="1">IFERROR(INDEX(当前库存!$B:$J,SMALL($B:$B,ROW(D125)),MATCH(F$3,$C$3:$J$3,0)),"")</f>
        <v/>
      </c>
      <c r="G127" s="68" t="str">
        <f ca="1">IFERROR(INDEX(当前库存!$B:$J,SMALL($B:$B,ROW(E125)),MATCH(G$3,$C$3:$J$3,0)),"")</f>
        <v/>
      </c>
      <c r="H127" s="68" t="str">
        <f ca="1">IFERROR(INDEX(当前库存!$B:$J,SMALL($B:$B,ROW(F125)),MATCH(H$3,$C$3:$J$3,0)),"")</f>
        <v/>
      </c>
      <c r="I127" s="68" t="str">
        <f ca="1">IFERROR(INDEX(当前库存!$B:$J,SMALL($B:$B,ROW(G124)),MATCH(I$3,$C$3:$J$3,0)),"")</f>
        <v/>
      </c>
      <c r="J127" s="68" t="str">
        <f ca="1">IFERROR(INDEX(当前库存!$B:$J,SMALL($B:$B,ROW(H124)),MATCH(J$3,$C$3:$J$3,0)),"")</f>
        <v/>
      </c>
    </row>
    <row r="128" ht="21.95" customHeight="1" spans="2:10">
      <c r="B128" s="62" t="str">
        <f>IF(当前库存!J:J="采购",ROW(),"-")</f>
        <v>-</v>
      </c>
      <c r="C128" s="67" t="str">
        <f ca="1">IFERROR(INDEX(当前库存!$B:$J,SMALL($B:$B,ROW(A125)),MATCH(C$3,$C$3:$J$3,0)),"")</f>
        <v/>
      </c>
      <c r="D128" s="68" t="str">
        <f ca="1">IFERROR(INDEX(当前库存!$B:$J,SMALL($B:$B,ROW(B125)),MATCH(D$3,$C$3:$J$3,0)),"")</f>
        <v/>
      </c>
      <c r="E128" s="68" t="str">
        <f ca="1">IFERROR(INDEX(当前库存!$B:$J,SMALL($B:$B,ROW(C125)),MATCH(E$3,$C$3:$J$3,0)),"")</f>
        <v/>
      </c>
      <c r="F128" s="68" t="str">
        <f ca="1">IFERROR(INDEX(当前库存!$B:$J,SMALL($B:$B,ROW(D126)),MATCH(F$3,$C$3:$J$3,0)),"")</f>
        <v/>
      </c>
      <c r="G128" s="68" t="str">
        <f ca="1">IFERROR(INDEX(当前库存!$B:$J,SMALL($B:$B,ROW(E126)),MATCH(G$3,$C$3:$J$3,0)),"")</f>
        <v/>
      </c>
      <c r="H128" s="68" t="str">
        <f ca="1">IFERROR(INDEX(当前库存!$B:$J,SMALL($B:$B,ROW(F126)),MATCH(H$3,$C$3:$J$3,0)),"")</f>
        <v/>
      </c>
      <c r="I128" s="68" t="str">
        <f ca="1">IFERROR(INDEX(当前库存!$B:$J,SMALL($B:$B,ROW(G125)),MATCH(I$3,$C$3:$J$3,0)),"")</f>
        <v/>
      </c>
      <c r="J128" s="68" t="str">
        <f ca="1">IFERROR(INDEX(当前库存!$B:$J,SMALL($B:$B,ROW(H125)),MATCH(J$3,$C$3:$J$3,0)),"")</f>
        <v/>
      </c>
    </row>
    <row r="129" ht="21.95" customHeight="1" spans="2:10">
      <c r="B129" s="62" t="str">
        <f>IF(当前库存!J:J="采购",ROW(),"-")</f>
        <v>-</v>
      </c>
      <c r="C129" s="67" t="str">
        <f ca="1">IFERROR(INDEX(当前库存!$B:$J,SMALL($B:$B,ROW(A126)),MATCH(C$3,$C$3:$J$3,0)),"")</f>
        <v/>
      </c>
      <c r="D129" s="68" t="str">
        <f ca="1">IFERROR(INDEX(当前库存!$B:$J,SMALL($B:$B,ROW(B126)),MATCH(D$3,$C$3:$J$3,0)),"")</f>
        <v/>
      </c>
      <c r="E129" s="68" t="str">
        <f ca="1">IFERROR(INDEX(当前库存!$B:$J,SMALL($B:$B,ROW(C126)),MATCH(E$3,$C$3:$J$3,0)),"")</f>
        <v/>
      </c>
      <c r="F129" s="68" t="str">
        <f ca="1">IFERROR(INDEX(当前库存!$B:$J,SMALL($B:$B,ROW(D127)),MATCH(F$3,$C$3:$J$3,0)),"")</f>
        <v/>
      </c>
      <c r="G129" s="68" t="str">
        <f ca="1">IFERROR(INDEX(当前库存!$B:$J,SMALL($B:$B,ROW(E127)),MATCH(G$3,$C$3:$J$3,0)),"")</f>
        <v/>
      </c>
      <c r="H129" s="68" t="str">
        <f ca="1">IFERROR(INDEX(当前库存!$B:$J,SMALL($B:$B,ROW(F127)),MATCH(H$3,$C$3:$J$3,0)),"")</f>
        <v/>
      </c>
      <c r="I129" s="68" t="str">
        <f ca="1">IFERROR(INDEX(当前库存!$B:$J,SMALL($B:$B,ROW(G126)),MATCH(I$3,$C$3:$J$3,0)),"")</f>
        <v/>
      </c>
      <c r="J129" s="68" t="str">
        <f ca="1">IFERROR(INDEX(当前库存!$B:$J,SMALL($B:$B,ROW(H126)),MATCH(J$3,$C$3:$J$3,0)),"")</f>
        <v/>
      </c>
    </row>
    <row r="130" ht="21.95" customHeight="1" spans="2:10">
      <c r="B130" s="62" t="str">
        <f>IF(当前库存!J:J="采购",ROW(),"-")</f>
        <v>-</v>
      </c>
      <c r="C130" s="67" t="str">
        <f ca="1">IFERROR(INDEX(当前库存!$B:$J,SMALL($B:$B,ROW(A127)),MATCH(C$3,$C$3:$J$3,0)),"")</f>
        <v/>
      </c>
      <c r="D130" s="68" t="str">
        <f ca="1">IFERROR(INDEX(当前库存!$B:$J,SMALL($B:$B,ROW(B127)),MATCH(D$3,$C$3:$J$3,0)),"")</f>
        <v/>
      </c>
      <c r="E130" s="68" t="str">
        <f ca="1">IFERROR(INDEX(当前库存!$B:$J,SMALL($B:$B,ROW(C127)),MATCH(E$3,$C$3:$J$3,0)),"")</f>
        <v/>
      </c>
      <c r="F130" s="68" t="str">
        <f ca="1">IFERROR(INDEX(当前库存!$B:$J,SMALL($B:$B,ROW(D128)),MATCH(F$3,$C$3:$J$3,0)),"")</f>
        <v/>
      </c>
      <c r="G130" s="68" t="str">
        <f ca="1">IFERROR(INDEX(当前库存!$B:$J,SMALL($B:$B,ROW(E128)),MATCH(G$3,$C$3:$J$3,0)),"")</f>
        <v/>
      </c>
      <c r="H130" s="68" t="str">
        <f ca="1">IFERROR(INDEX(当前库存!$B:$J,SMALL($B:$B,ROW(F128)),MATCH(H$3,$C$3:$J$3,0)),"")</f>
        <v/>
      </c>
      <c r="I130" s="68" t="str">
        <f ca="1">IFERROR(INDEX(当前库存!$B:$J,SMALL($B:$B,ROW(G127)),MATCH(I$3,$C$3:$J$3,0)),"")</f>
        <v/>
      </c>
      <c r="J130" s="68" t="str">
        <f ca="1">IFERROR(INDEX(当前库存!$B:$J,SMALL($B:$B,ROW(H127)),MATCH(J$3,$C$3:$J$3,0)),"")</f>
        <v/>
      </c>
    </row>
    <row r="131" ht="21.95" customHeight="1" spans="2:10">
      <c r="B131" s="62" t="str">
        <f>IF(当前库存!J:J="采购",ROW(),"-")</f>
        <v>-</v>
      </c>
      <c r="C131" s="67" t="str">
        <f ca="1">IFERROR(INDEX(当前库存!$B:$J,SMALL($B:$B,ROW(A128)),MATCH(C$3,$C$3:$J$3,0)),"")</f>
        <v/>
      </c>
      <c r="D131" s="68" t="str">
        <f ca="1">IFERROR(INDEX(当前库存!$B:$J,SMALL($B:$B,ROW(B128)),MATCH(D$3,$C$3:$J$3,0)),"")</f>
        <v/>
      </c>
      <c r="E131" s="68" t="str">
        <f ca="1">IFERROR(INDEX(当前库存!$B:$J,SMALL($B:$B,ROW(C128)),MATCH(E$3,$C$3:$J$3,0)),"")</f>
        <v/>
      </c>
      <c r="F131" s="68" t="str">
        <f ca="1">IFERROR(INDEX(当前库存!$B:$J,SMALL($B:$B,ROW(D129)),MATCH(F$3,$C$3:$J$3,0)),"")</f>
        <v/>
      </c>
      <c r="G131" s="68" t="str">
        <f ca="1">IFERROR(INDEX(当前库存!$B:$J,SMALL($B:$B,ROW(E129)),MATCH(G$3,$C$3:$J$3,0)),"")</f>
        <v/>
      </c>
      <c r="H131" s="68" t="str">
        <f ca="1">IFERROR(INDEX(当前库存!$B:$J,SMALL($B:$B,ROW(F129)),MATCH(H$3,$C$3:$J$3,0)),"")</f>
        <v/>
      </c>
      <c r="I131" s="68" t="str">
        <f ca="1">IFERROR(INDEX(当前库存!$B:$J,SMALL($B:$B,ROW(G128)),MATCH(I$3,$C$3:$J$3,0)),"")</f>
        <v/>
      </c>
      <c r="J131" s="68" t="str">
        <f ca="1">IFERROR(INDEX(当前库存!$B:$J,SMALL($B:$B,ROW(H128)),MATCH(J$3,$C$3:$J$3,0)),"")</f>
        <v/>
      </c>
    </row>
    <row r="132" ht="21.95" customHeight="1" spans="2:10">
      <c r="B132" s="62" t="str">
        <f>IF(当前库存!J:J="采购",ROW(),"-")</f>
        <v>-</v>
      </c>
      <c r="C132" s="67" t="str">
        <f ca="1">IFERROR(INDEX(当前库存!$B:$J,SMALL($B:$B,ROW(A129)),MATCH(C$3,$C$3:$J$3,0)),"")</f>
        <v/>
      </c>
      <c r="D132" s="68" t="str">
        <f ca="1">IFERROR(INDEX(当前库存!$B:$J,SMALL($B:$B,ROW(B129)),MATCH(D$3,$C$3:$J$3,0)),"")</f>
        <v/>
      </c>
      <c r="E132" s="68" t="str">
        <f ca="1">IFERROR(INDEX(当前库存!$B:$J,SMALL($B:$B,ROW(C129)),MATCH(E$3,$C$3:$J$3,0)),"")</f>
        <v/>
      </c>
      <c r="F132" s="68" t="str">
        <f ca="1">IFERROR(INDEX(当前库存!$B:$J,SMALL($B:$B,ROW(D130)),MATCH(F$3,$C$3:$J$3,0)),"")</f>
        <v/>
      </c>
      <c r="G132" s="68" t="str">
        <f ca="1">IFERROR(INDEX(当前库存!$B:$J,SMALL($B:$B,ROW(E130)),MATCH(G$3,$C$3:$J$3,0)),"")</f>
        <v/>
      </c>
      <c r="H132" s="68" t="str">
        <f ca="1">IFERROR(INDEX(当前库存!$B:$J,SMALL($B:$B,ROW(F130)),MATCH(H$3,$C$3:$J$3,0)),"")</f>
        <v/>
      </c>
      <c r="I132" s="68" t="str">
        <f ca="1">IFERROR(INDEX(当前库存!$B:$J,SMALL($B:$B,ROW(G129)),MATCH(I$3,$C$3:$J$3,0)),"")</f>
        <v/>
      </c>
      <c r="J132" s="68" t="str">
        <f ca="1">IFERROR(INDEX(当前库存!$B:$J,SMALL($B:$B,ROW(H129)),MATCH(J$3,$C$3:$J$3,0)),"")</f>
        <v/>
      </c>
    </row>
    <row r="133" ht="21.95" customHeight="1" spans="2:10">
      <c r="B133" s="62" t="str">
        <f>IF(当前库存!J:J="采购",ROW(),"-")</f>
        <v>-</v>
      </c>
      <c r="C133" s="67" t="str">
        <f ca="1">IFERROR(INDEX(当前库存!$B:$J,SMALL($B:$B,ROW(A130)),MATCH(C$3,$C$3:$J$3,0)),"")</f>
        <v/>
      </c>
      <c r="D133" s="68" t="str">
        <f ca="1">IFERROR(INDEX(当前库存!$B:$J,SMALL($B:$B,ROW(B130)),MATCH(D$3,$C$3:$J$3,0)),"")</f>
        <v/>
      </c>
      <c r="E133" s="68" t="str">
        <f ca="1">IFERROR(INDEX(当前库存!$B:$J,SMALL($B:$B,ROW(C130)),MATCH(E$3,$C$3:$J$3,0)),"")</f>
        <v/>
      </c>
      <c r="F133" s="68" t="str">
        <f ca="1">IFERROR(INDEX(当前库存!$B:$J,SMALL($B:$B,ROW(D131)),MATCH(F$3,$C$3:$J$3,0)),"")</f>
        <v/>
      </c>
      <c r="G133" s="68" t="str">
        <f ca="1">IFERROR(INDEX(当前库存!$B:$J,SMALL($B:$B,ROW(E131)),MATCH(G$3,$C$3:$J$3,0)),"")</f>
        <v/>
      </c>
      <c r="H133" s="68" t="str">
        <f ca="1">IFERROR(INDEX(当前库存!$B:$J,SMALL($B:$B,ROW(F131)),MATCH(H$3,$C$3:$J$3,0)),"")</f>
        <v/>
      </c>
      <c r="I133" s="68" t="str">
        <f ca="1">IFERROR(INDEX(当前库存!$B:$J,SMALL($B:$B,ROW(G130)),MATCH(I$3,$C$3:$J$3,0)),"")</f>
        <v/>
      </c>
      <c r="J133" s="68" t="str">
        <f ca="1">IFERROR(INDEX(当前库存!$B:$J,SMALL($B:$B,ROW(H130)),MATCH(J$3,$C$3:$J$3,0)),"")</f>
        <v/>
      </c>
    </row>
    <row r="134" ht="21.95" customHeight="1" spans="2:10">
      <c r="B134" s="62" t="str">
        <f>IF(当前库存!J:J="采购",ROW(),"-")</f>
        <v>-</v>
      </c>
      <c r="C134" s="67" t="str">
        <f ca="1">IFERROR(INDEX(当前库存!$B:$J,SMALL($B:$B,ROW(A131)),MATCH(C$3,$C$3:$J$3,0)),"")</f>
        <v/>
      </c>
      <c r="D134" s="68" t="str">
        <f ca="1">IFERROR(INDEX(当前库存!$B:$J,SMALL($B:$B,ROW(B131)),MATCH(D$3,$C$3:$J$3,0)),"")</f>
        <v/>
      </c>
      <c r="E134" s="68" t="str">
        <f ca="1">IFERROR(INDEX(当前库存!$B:$J,SMALL($B:$B,ROW(C131)),MATCH(E$3,$C$3:$J$3,0)),"")</f>
        <v/>
      </c>
      <c r="F134" s="68" t="str">
        <f ca="1">IFERROR(INDEX(当前库存!$B:$J,SMALL($B:$B,ROW(D132)),MATCH(F$3,$C$3:$J$3,0)),"")</f>
        <v/>
      </c>
      <c r="G134" s="68" t="str">
        <f ca="1">IFERROR(INDEX(当前库存!$B:$J,SMALL($B:$B,ROW(E132)),MATCH(G$3,$C$3:$J$3,0)),"")</f>
        <v/>
      </c>
      <c r="H134" s="68" t="str">
        <f ca="1">IFERROR(INDEX(当前库存!$B:$J,SMALL($B:$B,ROW(F132)),MATCH(H$3,$C$3:$J$3,0)),"")</f>
        <v/>
      </c>
      <c r="I134" s="68" t="str">
        <f ca="1">IFERROR(INDEX(当前库存!$B:$J,SMALL($B:$B,ROW(G131)),MATCH(I$3,$C$3:$J$3,0)),"")</f>
        <v/>
      </c>
      <c r="J134" s="68" t="str">
        <f ca="1">IFERROR(INDEX(当前库存!$B:$J,SMALL($B:$B,ROW(H131)),MATCH(J$3,$C$3:$J$3,0)),"")</f>
        <v/>
      </c>
    </row>
    <row r="135" ht="21.95" customHeight="1" spans="2:10">
      <c r="B135" s="62" t="str">
        <f>IF(当前库存!J:J="采购",ROW(),"-")</f>
        <v>-</v>
      </c>
      <c r="C135" s="67" t="str">
        <f ca="1">IFERROR(INDEX(当前库存!$B:$J,SMALL($B:$B,ROW(A132)),MATCH(C$3,$C$3:$J$3,0)),"")</f>
        <v/>
      </c>
      <c r="D135" s="68" t="str">
        <f ca="1">IFERROR(INDEX(当前库存!$B:$J,SMALL($B:$B,ROW(B132)),MATCH(D$3,$C$3:$J$3,0)),"")</f>
        <v/>
      </c>
      <c r="E135" s="68" t="str">
        <f ca="1">IFERROR(INDEX(当前库存!$B:$J,SMALL($B:$B,ROW(C132)),MATCH(E$3,$C$3:$J$3,0)),"")</f>
        <v/>
      </c>
      <c r="F135" s="68" t="str">
        <f ca="1">IFERROR(INDEX(当前库存!$B:$J,SMALL($B:$B,ROW(D133)),MATCH(F$3,$C$3:$J$3,0)),"")</f>
        <v/>
      </c>
      <c r="G135" s="68" t="str">
        <f ca="1">IFERROR(INDEX(当前库存!$B:$J,SMALL($B:$B,ROW(E133)),MATCH(G$3,$C$3:$J$3,0)),"")</f>
        <v/>
      </c>
      <c r="H135" s="68" t="str">
        <f ca="1">IFERROR(INDEX(当前库存!$B:$J,SMALL($B:$B,ROW(F133)),MATCH(H$3,$C$3:$J$3,0)),"")</f>
        <v/>
      </c>
      <c r="I135" s="68" t="str">
        <f ca="1">IFERROR(INDEX(当前库存!$B:$J,SMALL($B:$B,ROW(G132)),MATCH(I$3,$C$3:$J$3,0)),"")</f>
        <v/>
      </c>
      <c r="J135" s="68" t="str">
        <f ca="1">IFERROR(INDEX(当前库存!$B:$J,SMALL($B:$B,ROW(H132)),MATCH(J$3,$C$3:$J$3,0)),"")</f>
        <v/>
      </c>
    </row>
    <row r="136" ht="21.95" customHeight="1" spans="2:10">
      <c r="B136" s="62" t="str">
        <f>IF(当前库存!J:J="采购",ROW(),"-")</f>
        <v>-</v>
      </c>
      <c r="C136" s="67" t="str">
        <f ca="1">IFERROR(INDEX(当前库存!$B:$J,SMALL($B:$B,ROW(A133)),MATCH(C$3,$C$3:$J$3,0)),"")</f>
        <v/>
      </c>
      <c r="D136" s="68" t="str">
        <f ca="1">IFERROR(INDEX(当前库存!$B:$J,SMALL($B:$B,ROW(B133)),MATCH(D$3,$C$3:$J$3,0)),"")</f>
        <v/>
      </c>
      <c r="E136" s="68" t="str">
        <f ca="1">IFERROR(INDEX(当前库存!$B:$J,SMALL($B:$B,ROW(C133)),MATCH(E$3,$C$3:$J$3,0)),"")</f>
        <v/>
      </c>
      <c r="F136" s="68" t="str">
        <f ca="1">IFERROR(INDEX(当前库存!$B:$J,SMALL($B:$B,ROW(D134)),MATCH(F$3,$C$3:$J$3,0)),"")</f>
        <v/>
      </c>
      <c r="G136" s="68" t="str">
        <f ca="1">IFERROR(INDEX(当前库存!$B:$J,SMALL($B:$B,ROW(E134)),MATCH(G$3,$C$3:$J$3,0)),"")</f>
        <v/>
      </c>
      <c r="H136" s="68" t="str">
        <f ca="1">IFERROR(INDEX(当前库存!$B:$J,SMALL($B:$B,ROW(F134)),MATCH(H$3,$C$3:$J$3,0)),"")</f>
        <v/>
      </c>
      <c r="I136" s="68" t="str">
        <f ca="1">IFERROR(INDEX(当前库存!$B:$J,SMALL($B:$B,ROW(G133)),MATCH(I$3,$C$3:$J$3,0)),"")</f>
        <v/>
      </c>
      <c r="J136" s="68" t="str">
        <f ca="1">IFERROR(INDEX(当前库存!$B:$J,SMALL($B:$B,ROW(H133)),MATCH(J$3,$C$3:$J$3,0)),"")</f>
        <v/>
      </c>
    </row>
    <row r="137" ht="21.95" customHeight="1" spans="2:10">
      <c r="B137" s="62" t="str">
        <f>IF(当前库存!J:J="采购",ROW(),"-")</f>
        <v>-</v>
      </c>
      <c r="C137" s="67" t="str">
        <f ca="1">IFERROR(INDEX(当前库存!$B:$J,SMALL($B:$B,ROW(A134)),MATCH(C$3,$C$3:$J$3,0)),"")</f>
        <v/>
      </c>
      <c r="D137" s="68" t="str">
        <f ca="1">IFERROR(INDEX(当前库存!$B:$J,SMALL($B:$B,ROW(B134)),MATCH(D$3,$C$3:$J$3,0)),"")</f>
        <v/>
      </c>
      <c r="E137" s="68" t="str">
        <f ca="1">IFERROR(INDEX(当前库存!$B:$J,SMALL($B:$B,ROW(C134)),MATCH(E$3,$C$3:$J$3,0)),"")</f>
        <v/>
      </c>
      <c r="F137" s="68" t="str">
        <f ca="1">IFERROR(INDEX(当前库存!$B:$J,SMALL($B:$B,ROW(D135)),MATCH(F$3,$C$3:$J$3,0)),"")</f>
        <v/>
      </c>
      <c r="G137" s="68" t="str">
        <f ca="1">IFERROR(INDEX(当前库存!$B:$J,SMALL($B:$B,ROW(E135)),MATCH(G$3,$C$3:$J$3,0)),"")</f>
        <v/>
      </c>
      <c r="H137" s="68" t="str">
        <f ca="1">IFERROR(INDEX(当前库存!$B:$J,SMALL($B:$B,ROW(F135)),MATCH(H$3,$C$3:$J$3,0)),"")</f>
        <v/>
      </c>
      <c r="I137" s="68" t="str">
        <f ca="1">IFERROR(INDEX(当前库存!$B:$J,SMALL($B:$B,ROW(G134)),MATCH(I$3,$C$3:$J$3,0)),"")</f>
        <v/>
      </c>
      <c r="J137" s="68" t="str">
        <f ca="1">IFERROR(INDEX(当前库存!$B:$J,SMALL($B:$B,ROW(H134)),MATCH(J$3,$C$3:$J$3,0)),"")</f>
        <v/>
      </c>
    </row>
    <row r="138" ht="21.95" customHeight="1" spans="2:10">
      <c r="B138" s="62" t="str">
        <f>IF(当前库存!J:J="采购",ROW(),"-")</f>
        <v>-</v>
      </c>
      <c r="C138" s="67" t="str">
        <f ca="1">IFERROR(INDEX(当前库存!$B:$J,SMALL($B:$B,ROW(A135)),MATCH(C$3,$C$3:$J$3,0)),"")</f>
        <v/>
      </c>
      <c r="D138" s="68" t="str">
        <f ca="1">IFERROR(INDEX(当前库存!$B:$J,SMALL($B:$B,ROW(B135)),MATCH(D$3,$C$3:$J$3,0)),"")</f>
        <v/>
      </c>
      <c r="E138" s="68" t="str">
        <f ca="1">IFERROR(INDEX(当前库存!$B:$J,SMALL($B:$B,ROW(C135)),MATCH(E$3,$C$3:$J$3,0)),"")</f>
        <v/>
      </c>
      <c r="F138" s="68" t="str">
        <f ca="1">IFERROR(INDEX(当前库存!$B:$J,SMALL($B:$B,ROW(D136)),MATCH(F$3,$C$3:$J$3,0)),"")</f>
        <v/>
      </c>
      <c r="G138" s="68" t="str">
        <f ca="1">IFERROR(INDEX(当前库存!$B:$J,SMALL($B:$B,ROW(E136)),MATCH(G$3,$C$3:$J$3,0)),"")</f>
        <v/>
      </c>
      <c r="H138" s="68" t="str">
        <f ca="1">IFERROR(INDEX(当前库存!$B:$J,SMALL($B:$B,ROW(F136)),MATCH(H$3,$C$3:$J$3,0)),"")</f>
        <v/>
      </c>
      <c r="I138" s="68" t="str">
        <f ca="1">IFERROR(INDEX(当前库存!$B:$J,SMALL($B:$B,ROW(G135)),MATCH(I$3,$C$3:$J$3,0)),"")</f>
        <v/>
      </c>
      <c r="J138" s="68" t="str">
        <f ca="1">IFERROR(INDEX(当前库存!$B:$J,SMALL($B:$B,ROW(H135)),MATCH(J$3,$C$3:$J$3,0)),"")</f>
        <v/>
      </c>
    </row>
    <row r="139" ht="21.95" customHeight="1" spans="2:10">
      <c r="B139" s="62" t="str">
        <f>IF(当前库存!J:J="采购",ROW(),"-")</f>
        <v>-</v>
      </c>
      <c r="C139" s="67" t="str">
        <f ca="1">IFERROR(INDEX(当前库存!$B:$J,SMALL($B:$B,ROW(A136)),MATCH(C$3,$C$3:$J$3,0)),"")</f>
        <v/>
      </c>
      <c r="D139" s="68" t="str">
        <f ca="1">IFERROR(INDEX(当前库存!$B:$J,SMALL($B:$B,ROW(B136)),MATCH(D$3,$C$3:$J$3,0)),"")</f>
        <v/>
      </c>
      <c r="E139" s="68" t="str">
        <f ca="1">IFERROR(INDEX(当前库存!$B:$J,SMALL($B:$B,ROW(C136)),MATCH(E$3,$C$3:$J$3,0)),"")</f>
        <v/>
      </c>
      <c r="F139" s="68" t="str">
        <f ca="1">IFERROR(INDEX(当前库存!$B:$J,SMALL($B:$B,ROW(D137)),MATCH(F$3,$C$3:$J$3,0)),"")</f>
        <v/>
      </c>
      <c r="G139" s="68" t="str">
        <f ca="1">IFERROR(INDEX(当前库存!$B:$J,SMALL($B:$B,ROW(E137)),MATCH(G$3,$C$3:$J$3,0)),"")</f>
        <v/>
      </c>
      <c r="H139" s="68" t="str">
        <f ca="1">IFERROR(INDEX(当前库存!$B:$J,SMALL($B:$B,ROW(F137)),MATCH(H$3,$C$3:$J$3,0)),"")</f>
        <v/>
      </c>
      <c r="I139" s="68" t="str">
        <f ca="1">IFERROR(INDEX(当前库存!$B:$J,SMALL($B:$B,ROW(G136)),MATCH(I$3,$C$3:$J$3,0)),"")</f>
        <v/>
      </c>
      <c r="J139" s="68" t="str">
        <f ca="1">IFERROR(INDEX(当前库存!$B:$J,SMALL($B:$B,ROW(H136)),MATCH(J$3,$C$3:$J$3,0)),"")</f>
        <v/>
      </c>
    </row>
    <row r="140" ht="21.95" customHeight="1" spans="2:10">
      <c r="B140" s="62" t="str">
        <f>IF(当前库存!J:J="采购",ROW(),"-")</f>
        <v>-</v>
      </c>
      <c r="C140" s="67" t="str">
        <f ca="1">IFERROR(INDEX(当前库存!$B:$J,SMALL($B:$B,ROW(A137)),MATCH(C$3,$C$3:$J$3,0)),"")</f>
        <v/>
      </c>
      <c r="D140" s="68" t="str">
        <f ca="1">IFERROR(INDEX(当前库存!$B:$J,SMALL($B:$B,ROW(B137)),MATCH(D$3,$C$3:$J$3,0)),"")</f>
        <v/>
      </c>
      <c r="E140" s="68" t="str">
        <f ca="1">IFERROR(INDEX(当前库存!$B:$J,SMALL($B:$B,ROW(C137)),MATCH(E$3,$C$3:$J$3,0)),"")</f>
        <v/>
      </c>
      <c r="F140" s="68" t="str">
        <f ca="1">IFERROR(INDEX(当前库存!$B:$J,SMALL($B:$B,ROW(D138)),MATCH(F$3,$C$3:$J$3,0)),"")</f>
        <v/>
      </c>
      <c r="G140" s="68" t="str">
        <f ca="1">IFERROR(INDEX(当前库存!$B:$J,SMALL($B:$B,ROW(E138)),MATCH(G$3,$C$3:$J$3,0)),"")</f>
        <v/>
      </c>
      <c r="H140" s="68" t="str">
        <f ca="1">IFERROR(INDEX(当前库存!$B:$J,SMALL($B:$B,ROW(F138)),MATCH(H$3,$C$3:$J$3,0)),"")</f>
        <v/>
      </c>
      <c r="I140" s="68" t="str">
        <f ca="1">IFERROR(INDEX(当前库存!$B:$J,SMALL($B:$B,ROW(G137)),MATCH(I$3,$C$3:$J$3,0)),"")</f>
        <v/>
      </c>
      <c r="J140" s="68" t="str">
        <f ca="1">IFERROR(INDEX(当前库存!$B:$J,SMALL($B:$B,ROW(H137)),MATCH(J$3,$C$3:$J$3,0)),"")</f>
        <v/>
      </c>
    </row>
    <row r="141" ht="21.95" customHeight="1" spans="2:10">
      <c r="B141" s="62" t="str">
        <f>IF(当前库存!J:J="采购",ROW(),"-")</f>
        <v>-</v>
      </c>
      <c r="C141" s="67" t="str">
        <f ca="1">IFERROR(INDEX(当前库存!$B:$J,SMALL($B:$B,ROW(A138)),MATCH(C$3,$C$3:$J$3,0)),"")</f>
        <v/>
      </c>
      <c r="D141" s="68" t="str">
        <f ca="1">IFERROR(INDEX(当前库存!$B:$J,SMALL($B:$B,ROW(B138)),MATCH(D$3,$C$3:$J$3,0)),"")</f>
        <v/>
      </c>
      <c r="E141" s="68" t="str">
        <f ca="1">IFERROR(INDEX(当前库存!$B:$J,SMALL($B:$B,ROW(C138)),MATCH(E$3,$C$3:$J$3,0)),"")</f>
        <v/>
      </c>
      <c r="F141" s="68" t="str">
        <f ca="1">IFERROR(INDEX(当前库存!$B:$J,SMALL($B:$B,ROW(D139)),MATCH(F$3,$C$3:$J$3,0)),"")</f>
        <v/>
      </c>
      <c r="G141" s="68" t="str">
        <f ca="1">IFERROR(INDEX(当前库存!$B:$J,SMALL($B:$B,ROW(E139)),MATCH(G$3,$C$3:$J$3,0)),"")</f>
        <v/>
      </c>
      <c r="H141" s="68" t="str">
        <f ca="1">IFERROR(INDEX(当前库存!$B:$J,SMALL($B:$B,ROW(F139)),MATCH(H$3,$C$3:$J$3,0)),"")</f>
        <v/>
      </c>
      <c r="I141" s="68" t="str">
        <f ca="1">IFERROR(INDEX(当前库存!$B:$J,SMALL($B:$B,ROW(G138)),MATCH(I$3,$C$3:$J$3,0)),"")</f>
        <v/>
      </c>
      <c r="J141" s="68" t="str">
        <f ca="1">IFERROR(INDEX(当前库存!$B:$J,SMALL($B:$B,ROW(H138)),MATCH(J$3,$C$3:$J$3,0)),"")</f>
        <v/>
      </c>
    </row>
    <row r="142" ht="21.95" customHeight="1" spans="2:10">
      <c r="B142" s="62" t="str">
        <f>IF(当前库存!J:J="采购",ROW(),"-")</f>
        <v>-</v>
      </c>
      <c r="C142" s="67" t="str">
        <f ca="1">IFERROR(INDEX(当前库存!$B:$J,SMALL($B:$B,ROW(A139)),MATCH(C$3,$C$3:$J$3,0)),"")</f>
        <v/>
      </c>
      <c r="D142" s="68" t="str">
        <f ca="1">IFERROR(INDEX(当前库存!$B:$J,SMALL($B:$B,ROW(B139)),MATCH(D$3,$C$3:$J$3,0)),"")</f>
        <v/>
      </c>
      <c r="E142" s="68" t="str">
        <f ca="1">IFERROR(INDEX(当前库存!$B:$J,SMALL($B:$B,ROW(C139)),MATCH(E$3,$C$3:$J$3,0)),"")</f>
        <v/>
      </c>
      <c r="F142" s="68" t="str">
        <f ca="1">IFERROR(INDEX(当前库存!$B:$J,SMALL($B:$B,ROW(D140)),MATCH(F$3,$C$3:$J$3,0)),"")</f>
        <v/>
      </c>
      <c r="G142" s="68" t="str">
        <f ca="1">IFERROR(INDEX(当前库存!$B:$J,SMALL($B:$B,ROW(E140)),MATCH(G$3,$C$3:$J$3,0)),"")</f>
        <v/>
      </c>
      <c r="H142" s="68" t="str">
        <f ca="1">IFERROR(INDEX(当前库存!$B:$J,SMALL($B:$B,ROW(F140)),MATCH(H$3,$C$3:$J$3,0)),"")</f>
        <v/>
      </c>
      <c r="I142" s="68" t="str">
        <f ca="1">IFERROR(INDEX(当前库存!$B:$J,SMALL($B:$B,ROW(G139)),MATCH(I$3,$C$3:$J$3,0)),"")</f>
        <v/>
      </c>
      <c r="J142" s="68" t="str">
        <f ca="1">IFERROR(INDEX(当前库存!$B:$J,SMALL($B:$B,ROW(H139)),MATCH(J$3,$C$3:$J$3,0)),"")</f>
        <v/>
      </c>
    </row>
    <row r="143" ht="21.95" customHeight="1" spans="2:10">
      <c r="B143" s="62" t="str">
        <f>IF(当前库存!J:J="采购",ROW(),"-")</f>
        <v>-</v>
      </c>
      <c r="C143" s="67" t="str">
        <f ca="1">IFERROR(INDEX(当前库存!$B:$J,SMALL($B:$B,ROW(A140)),MATCH(C$3,$C$3:$J$3,0)),"")</f>
        <v/>
      </c>
      <c r="D143" s="68" t="str">
        <f ca="1">IFERROR(INDEX(当前库存!$B:$J,SMALL($B:$B,ROW(B140)),MATCH(D$3,$C$3:$J$3,0)),"")</f>
        <v/>
      </c>
      <c r="E143" s="68" t="str">
        <f ca="1">IFERROR(INDEX(当前库存!$B:$J,SMALL($B:$B,ROW(C140)),MATCH(E$3,$C$3:$J$3,0)),"")</f>
        <v/>
      </c>
      <c r="F143" s="68" t="str">
        <f ca="1">IFERROR(INDEX(当前库存!$B:$J,SMALL($B:$B,ROW(D141)),MATCH(F$3,$C$3:$J$3,0)),"")</f>
        <v/>
      </c>
      <c r="G143" s="68" t="str">
        <f ca="1">IFERROR(INDEX(当前库存!$B:$J,SMALL($B:$B,ROW(E141)),MATCH(G$3,$C$3:$J$3,0)),"")</f>
        <v/>
      </c>
      <c r="H143" s="68" t="str">
        <f ca="1">IFERROR(INDEX(当前库存!$B:$J,SMALL($B:$B,ROW(F141)),MATCH(H$3,$C$3:$J$3,0)),"")</f>
        <v/>
      </c>
      <c r="I143" s="68" t="str">
        <f ca="1">IFERROR(INDEX(当前库存!$B:$J,SMALL($B:$B,ROW(G140)),MATCH(I$3,$C$3:$J$3,0)),"")</f>
        <v/>
      </c>
      <c r="J143" s="68" t="str">
        <f ca="1">IFERROR(INDEX(当前库存!$B:$J,SMALL($B:$B,ROW(H140)),MATCH(J$3,$C$3:$J$3,0)),"")</f>
        <v/>
      </c>
    </row>
    <row r="144" ht="21.95" customHeight="1" spans="2:10">
      <c r="B144" s="62" t="str">
        <f>IF(当前库存!J:J="采购",ROW(),"-")</f>
        <v>-</v>
      </c>
      <c r="C144" s="67" t="str">
        <f ca="1">IFERROR(INDEX(当前库存!$B:$J,SMALL($B:$B,ROW(A141)),MATCH(C$3,$C$3:$J$3,0)),"")</f>
        <v/>
      </c>
      <c r="D144" s="68" t="str">
        <f ca="1">IFERROR(INDEX(当前库存!$B:$J,SMALL($B:$B,ROW(B141)),MATCH(D$3,$C$3:$J$3,0)),"")</f>
        <v/>
      </c>
      <c r="E144" s="68" t="str">
        <f ca="1">IFERROR(INDEX(当前库存!$B:$J,SMALL($B:$B,ROW(C141)),MATCH(E$3,$C$3:$J$3,0)),"")</f>
        <v/>
      </c>
      <c r="F144" s="68" t="str">
        <f ca="1">IFERROR(INDEX(当前库存!$B:$J,SMALL($B:$B,ROW(D142)),MATCH(F$3,$C$3:$J$3,0)),"")</f>
        <v/>
      </c>
      <c r="G144" s="68" t="str">
        <f ca="1">IFERROR(INDEX(当前库存!$B:$J,SMALL($B:$B,ROW(E142)),MATCH(G$3,$C$3:$J$3,0)),"")</f>
        <v/>
      </c>
      <c r="H144" s="68" t="str">
        <f ca="1">IFERROR(INDEX(当前库存!$B:$J,SMALL($B:$B,ROW(F142)),MATCH(H$3,$C$3:$J$3,0)),"")</f>
        <v/>
      </c>
      <c r="I144" s="68" t="str">
        <f ca="1">IFERROR(INDEX(当前库存!$B:$J,SMALL($B:$B,ROW(G141)),MATCH(I$3,$C$3:$J$3,0)),"")</f>
        <v/>
      </c>
      <c r="J144" s="68" t="str">
        <f ca="1">IFERROR(INDEX(当前库存!$B:$J,SMALL($B:$B,ROW(H141)),MATCH(J$3,$C$3:$J$3,0)),"")</f>
        <v/>
      </c>
    </row>
    <row r="145" ht="21.95" customHeight="1" spans="2:10">
      <c r="B145" s="62" t="str">
        <f>IF(当前库存!J:J="采购",ROW(),"-")</f>
        <v>-</v>
      </c>
      <c r="C145" s="67" t="str">
        <f ca="1">IFERROR(INDEX(当前库存!$B:$J,SMALL($B:$B,ROW(A142)),MATCH(C$3,$C$3:$J$3,0)),"")</f>
        <v/>
      </c>
      <c r="D145" s="68" t="str">
        <f ca="1">IFERROR(INDEX(当前库存!$B:$J,SMALL($B:$B,ROW(B142)),MATCH(D$3,$C$3:$J$3,0)),"")</f>
        <v/>
      </c>
      <c r="E145" s="68" t="str">
        <f ca="1">IFERROR(INDEX(当前库存!$B:$J,SMALL($B:$B,ROW(C142)),MATCH(E$3,$C$3:$J$3,0)),"")</f>
        <v/>
      </c>
      <c r="F145" s="68" t="str">
        <f ca="1">IFERROR(INDEX(当前库存!$B:$J,SMALL($B:$B,ROW(D143)),MATCH(F$3,$C$3:$J$3,0)),"")</f>
        <v/>
      </c>
      <c r="G145" s="68" t="str">
        <f ca="1">IFERROR(INDEX(当前库存!$B:$J,SMALL($B:$B,ROW(E143)),MATCH(G$3,$C$3:$J$3,0)),"")</f>
        <v/>
      </c>
      <c r="H145" s="68" t="str">
        <f ca="1">IFERROR(INDEX(当前库存!$B:$J,SMALL($B:$B,ROW(F143)),MATCH(H$3,$C$3:$J$3,0)),"")</f>
        <v/>
      </c>
      <c r="I145" s="68" t="str">
        <f ca="1">IFERROR(INDEX(当前库存!$B:$J,SMALL($B:$B,ROW(G142)),MATCH(I$3,$C$3:$J$3,0)),"")</f>
        <v/>
      </c>
      <c r="J145" s="68" t="str">
        <f ca="1">IFERROR(INDEX(当前库存!$B:$J,SMALL($B:$B,ROW(H142)),MATCH(J$3,$C$3:$J$3,0)),"")</f>
        <v/>
      </c>
    </row>
    <row r="146" ht="21.95" customHeight="1" spans="2:10">
      <c r="B146" s="62" t="str">
        <f>IF(当前库存!J:J="采购",ROW(),"-")</f>
        <v>-</v>
      </c>
      <c r="C146" s="67" t="str">
        <f ca="1">IFERROR(INDEX(当前库存!$B:$J,SMALL($B:$B,ROW(A143)),MATCH(C$3,$C$3:$J$3,0)),"")</f>
        <v/>
      </c>
      <c r="D146" s="68" t="str">
        <f ca="1">IFERROR(INDEX(当前库存!$B:$J,SMALL($B:$B,ROW(B143)),MATCH(D$3,$C$3:$J$3,0)),"")</f>
        <v/>
      </c>
      <c r="E146" s="68" t="str">
        <f ca="1">IFERROR(INDEX(当前库存!$B:$J,SMALL($B:$B,ROW(C143)),MATCH(E$3,$C$3:$J$3,0)),"")</f>
        <v/>
      </c>
      <c r="F146" s="68" t="str">
        <f ca="1">IFERROR(INDEX(当前库存!$B:$J,SMALL($B:$B,ROW(D144)),MATCH(F$3,$C$3:$J$3,0)),"")</f>
        <v/>
      </c>
      <c r="G146" s="68" t="str">
        <f ca="1">IFERROR(INDEX(当前库存!$B:$J,SMALL($B:$B,ROW(E144)),MATCH(G$3,$C$3:$J$3,0)),"")</f>
        <v/>
      </c>
      <c r="H146" s="68" t="str">
        <f ca="1">IFERROR(INDEX(当前库存!$B:$J,SMALL($B:$B,ROW(F144)),MATCH(H$3,$C$3:$J$3,0)),"")</f>
        <v/>
      </c>
      <c r="I146" s="68" t="str">
        <f ca="1">IFERROR(INDEX(当前库存!$B:$J,SMALL($B:$B,ROW(G143)),MATCH(I$3,$C$3:$J$3,0)),"")</f>
        <v/>
      </c>
      <c r="J146" s="68" t="str">
        <f ca="1">IFERROR(INDEX(当前库存!$B:$J,SMALL($B:$B,ROW(H143)),MATCH(J$3,$C$3:$J$3,0)),"")</f>
        <v/>
      </c>
    </row>
    <row r="147" ht="21.95" customHeight="1" spans="2:10">
      <c r="B147" s="62">
        <f>IF(当前库存!J:J="采购",ROW(),"-")</f>
        <v>147</v>
      </c>
      <c r="C147" s="67" t="str">
        <f ca="1">IFERROR(INDEX(当前库存!$B:$J,SMALL($B:$B,ROW(A144)),MATCH(C$3,$C$3:$J$3,0)),"")</f>
        <v/>
      </c>
      <c r="D147" s="68" t="str">
        <f ca="1">IFERROR(INDEX(当前库存!$B:$J,SMALL($B:$B,ROW(B144)),MATCH(D$3,$C$3:$J$3,0)),"")</f>
        <v/>
      </c>
      <c r="E147" s="68" t="str">
        <f ca="1">IFERROR(INDEX(当前库存!$B:$J,SMALL($B:$B,ROW(C144)),MATCH(E$3,$C$3:$J$3,0)),"")</f>
        <v/>
      </c>
      <c r="F147" s="68" t="str">
        <f ca="1">IFERROR(INDEX(当前库存!$B:$J,SMALL($B:$B,ROW(D145)),MATCH(F$3,$C$3:$J$3,0)),"")</f>
        <v/>
      </c>
      <c r="G147" s="68" t="str">
        <f ca="1">IFERROR(INDEX(当前库存!$B:$J,SMALL($B:$B,ROW(E145)),MATCH(G$3,$C$3:$J$3,0)),"")</f>
        <v/>
      </c>
      <c r="H147" s="68" t="str">
        <f ca="1">IFERROR(INDEX(当前库存!$B:$J,SMALL($B:$B,ROW(F145)),MATCH(H$3,$C$3:$J$3,0)),"")</f>
        <v/>
      </c>
      <c r="I147" s="68" t="str">
        <f ca="1">IFERROR(INDEX(当前库存!$B:$J,SMALL($B:$B,ROW(G144)),MATCH(I$3,$C$3:$J$3,0)),"")</f>
        <v/>
      </c>
      <c r="J147" s="68" t="str">
        <f ca="1">IFERROR(INDEX(当前库存!$B:$J,SMALL($B:$B,ROW(H144)),MATCH(J$3,$C$3:$J$3,0)),"")</f>
        <v/>
      </c>
    </row>
    <row r="148" ht="21.95" customHeight="1" spans="2:10">
      <c r="B148" s="62" t="str">
        <f>IF(当前库存!J:J="采购",ROW(),"-")</f>
        <v>-</v>
      </c>
      <c r="C148" s="67" t="str">
        <f ca="1">IFERROR(INDEX(当前库存!$B:$J,SMALL($B:$B,ROW(A145)),MATCH(C$3,$C$3:$J$3,0)),"")</f>
        <v/>
      </c>
      <c r="D148" s="68" t="str">
        <f ca="1">IFERROR(INDEX(当前库存!$B:$J,SMALL($B:$B,ROW(B145)),MATCH(D$3,$C$3:$J$3,0)),"")</f>
        <v/>
      </c>
      <c r="E148" s="68" t="str">
        <f ca="1">IFERROR(INDEX(当前库存!$B:$J,SMALL($B:$B,ROW(C145)),MATCH(E$3,$C$3:$J$3,0)),"")</f>
        <v/>
      </c>
      <c r="F148" s="68" t="str">
        <f ca="1">IFERROR(INDEX(当前库存!$B:$J,SMALL($B:$B,ROW(D146)),MATCH(F$3,$C$3:$J$3,0)),"")</f>
        <v/>
      </c>
      <c r="G148" s="68" t="str">
        <f ca="1">IFERROR(INDEX(当前库存!$B:$J,SMALL($B:$B,ROW(E146)),MATCH(G$3,$C$3:$J$3,0)),"")</f>
        <v/>
      </c>
      <c r="H148" s="68" t="str">
        <f ca="1">IFERROR(INDEX(当前库存!$B:$J,SMALL($B:$B,ROW(F146)),MATCH(H$3,$C$3:$J$3,0)),"")</f>
        <v/>
      </c>
      <c r="I148" s="68" t="str">
        <f ca="1">IFERROR(INDEX(当前库存!$B:$J,SMALL($B:$B,ROW(G145)),MATCH(I$3,$C$3:$J$3,0)),"")</f>
        <v/>
      </c>
      <c r="J148" s="68" t="str">
        <f ca="1">IFERROR(INDEX(当前库存!$B:$J,SMALL($B:$B,ROW(H145)),MATCH(J$3,$C$3:$J$3,0)),"")</f>
        <v/>
      </c>
    </row>
    <row r="149" ht="21.95" customHeight="1" spans="2:10">
      <c r="B149" s="62" t="str">
        <f>IF(当前库存!J:J="采购",ROW(),"-")</f>
        <v>-</v>
      </c>
      <c r="C149" s="67" t="str">
        <f ca="1">IFERROR(INDEX(当前库存!$B:$J,SMALL($B:$B,ROW(A146)),MATCH(C$3,$C$3:$J$3,0)),"")</f>
        <v/>
      </c>
      <c r="D149" s="68" t="str">
        <f ca="1">IFERROR(INDEX(当前库存!$B:$J,SMALL($B:$B,ROW(B146)),MATCH(D$3,$C$3:$J$3,0)),"")</f>
        <v/>
      </c>
      <c r="E149" s="68" t="str">
        <f ca="1">IFERROR(INDEX(当前库存!$B:$J,SMALL($B:$B,ROW(C146)),MATCH(E$3,$C$3:$J$3,0)),"")</f>
        <v/>
      </c>
      <c r="F149" s="68" t="str">
        <f ca="1">IFERROR(INDEX(当前库存!$B:$J,SMALL($B:$B,ROW(D147)),MATCH(F$3,$C$3:$J$3,0)),"")</f>
        <v/>
      </c>
      <c r="G149" s="68" t="str">
        <f ca="1">IFERROR(INDEX(当前库存!$B:$J,SMALL($B:$B,ROW(E147)),MATCH(G$3,$C$3:$J$3,0)),"")</f>
        <v/>
      </c>
      <c r="H149" s="68" t="str">
        <f ca="1">IFERROR(INDEX(当前库存!$B:$J,SMALL($B:$B,ROW(F147)),MATCH(H$3,$C$3:$J$3,0)),"")</f>
        <v/>
      </c>
      <c r="I149" s="68" t="str">
        <f ca="1">IFERROR(INDEX(当前库存!$B:$J,SMALL($B:$B,ROW(G146)),MATCH(I$3,$C$3:$J$3,0)),"")</f>
        <v/>
      </c>
      <c r="J149" s="68" t="str">
        <f ca="1">IFERROR(INDEX(当前库存!$B:$J,SMALL($B:$B,ROW(H146)),MATCH(J$3,$C$3:$J$3,0)),"")</f>
        <v/>
      </c>
    </row>
    <row r="150" ht="21.95" customHeight="1" spans="2:10">
      <c r="B150" s="62" t="str">
        <f>IF(当前库存!J:J="采购",ROW(),"-")</f>
        <v>-</v>
      </c>
      <c r="C150" s="67" t="str">
        <f ca="1">IFERROR(INDEX(当前库存!$B:$J,SMALL($B:$B,ROW(A147)),MATCH(C$3,$C$3:$J$3,0)),"")</f>
        <v/>
      </c>
      <c r="D150" s="68" t="str">
        <f ca="1">IFERROR(INDEX(当前库存!$B:$J,SMALL($B:$B,ROW(B147)),MATCH(D$3,$C$3:$J$3,0)),"")</f>
        <v/>
      </c>
      <c r="E150" s="68" t="str">
        <f ca="1">IFERROR(INDEX(当前库存!$B:$J,SMALL($B:$B,ROW(C147)),MATCH(E$3,$C$3:$J$3,0)),"")</f>
        <v/>
      </c>
      <c r="F150" s="68" t="str">
        <f ca="1">IFERROR(INDEX(当前库存!$B:$J,SMALL($B:$B,ROW(D148)),MATCH(F$3,$C$3:$J$3,0)),"")</f>
        <v/>
      </c>
      <c r="G150" s="68" t="str">
        <f ca="1">IFERROR(INDEX(当前库存!$B:$J,SMALL($B:$B,ROW(E148)),MATCH(G$3,$C$3:$J$3,0)),"")</f>
        <v/>
      </c>
      <c r="H150" s="68" t="str">
        <f ca="1">IFERROR(INDEX(当前库存!$B:$J,SMALL($B:$B,ROW(F148)),MATCH(H$3,$C$3:$J$3,0)),"")</f>
        <v/>
      </c>
      <c r="I150" s="68" t="str">
        <f ca="1">IFERROR(INDEX(当前库存!$B:$J,SMALL($B:$B,ROW(G147)),MATCH(I$3,$C$3:$J$3,0)),"")</f>
        <v/>
      </c>
      <c r="J150" s="68" t="str">
        <f ca="1">IFERROR(INDEX(当前库存!$B:$J,SMALL($B:$B,ROW(H147)),MATCH(J$3,$C$3:$J$3,0)),"")</f>
        <v/>
      </c>
    </row>
    <row r="151" ht="21.95" customHeight="1" spans="2:10">
      <c r="B151" s="62" t="str">
        <f>IF(当前库存!J:J="采购",ROW(),"-")</f>
        <v>-</v>
      </c>
      <c r="C151" s="67" t="str">
        <f ca="1">IFERROR(INDEX(当前库存!$B:$J,SMALL($B:$B,ROW(A148)),MATCH(C$3,$C$3:$J$3,0)),"")</f>
        <v/>
      </c>
      <c r="D151" s="68" t="str">
        <f ca="1">IFERROR(INDEX(当前库存!$B:$J,SMALL($B:$B,ROW(B148)),MATCH(D$3,$C$3:$J$3,0)),"")</f>
        <v/>
      </c>
      <c r="E151" s="68" t="str">
        <f ca="1">IFERROR(INDEX(当前库存!$B:$J,SMALL($B:$B,ROW(C148)),MATCH(E$3,$C$3:$J$3,0)),"")</f>
        <v/>
      </c>
      <c r="F151" s="68" t="str">
        <f ca="1">IFERROR(INDEX(当前库存!$B:$J,SMALL($B:$B,ROW(D149)),MATCH(F$3,$C$3:$J$3,0)),"")</f>
        <v/>
      </c>
      <c r="G151" s="68" t="str">
        <f ca="1">IFERROR(INDEX(当前库存!$B:$J,SMALL($B:$B,ROW(E149)),MATCH(G$3,$C$3:$J$3,0)),"")</f>
        <v/>
      </c>
      <c r="H151" s="68" t="str">
        <f ca="1">IFERROR(INDEX(当前库存!$B:$J,SMALL($B:$B,ROW(F149)),MATCH(H$3,$C$3:$J$3,0)),"")</f>
        <v/>
      </c>
      <c r="I151" s="68" t="str">
        <f ca="1">IFERROR(INDEX(当前库存!$B:$J,SMALL($B:$B,ROW(G148)),MATCH(I$3,$C$3:$J$3,0)),"")</f>
        <v/>
      </c>
      <c r="J151" s="68" t="str">
        <f ca="1">IFERROR(INDEX(当前库存!$B:$J,SMALL($B:$B,ROW(H148)),MATCH(J$3,$C$3:$J$3,0)),"")</f>
        <v/>
      </c>
    </row>
    <row r="152" ht="21.95" customHeight="1" spans="2:10">
      <c r="B152" s="62" t="str">
        <f>IF(当前库存!J:J="采购",ROW(),"-")</f>
        <v>-</v>
      </c>
      <c r="C152" s="67" t="str">
        <f ca="1">IFERROR(INDEX(当前库存!$B:$J,SMALL($B:$B,ROW(A149)),MATCH(C$3,$C$3:$J$3,0)),"")</f>
        <v/>
      </c>
      <c r="D152" s="68" t="str">
        <f ca="1">IFERROR(INDEX(当前库存!$B:$J,SMALL($B:$B,ROW(B149)),MATCH(D$3,$C$3:$J$3,0)),"")</f>
        <v/>
      </c>
      <c r="E152" s="68" t="str">
        <f ca="1">IFERROR(INDEX(当前库存!$B:$J,SMALL($B:$B,ROW(C149)),MATCH(E$3,$C$3:$J$3,0)),"")</f>
        <v/>
      </c>
      <c r="F152" s="68" t="str">
        <f ca="1">IFERROR(INDEX(当前库存!$B:$J,SMALL($B:$B,ROW(D150)),MATCH(F$3,$C$3:$J$3,0)),"")</f>
        <v/>
      </c>
      <c r="G152" s="68" t="str">
        <f ca="1">IFERROR(INDEX(当前库存!$B:$J,SMALL($B:$B,ROW(E150)),MATCH(G$3,$C$3:$J$3,0)),"")</f>
        <v/>
      </c>
      <c r="H152" s="68" t="str">
        <f ca="1">IFERROR(INDEX(当前库存!$B:$J,SMALL($B:$B,ROW(F150)),MATCH(H$3,$C$3:$J$3,0)),"")</f>
        <v/>
      </c>
      <c r="I152" s="68" t="str">
        <f ca="1">IFERROR(INDEX(当前库存!$B:$J,SMALL($B:$B,ROW(G149)),MATCH(I$3,$C$3:$J$3,0)),"")</f>
        <v/>
      </c>
      <c r="J152" s="68" t="str">
        <f ca="1">IFERROR(INDEX(当前库存!$B:$J,SMALL($B:$B,ROW(H149)),MATCH(J$3,$C$3:$J$3,0)),"")</f>
        <v/>
      </c>
    </row>
    <row r="153" ht="21.95" customHeight="1" spans="2:10">
      <c r="B153" s="62" t="str">
        <f>IF(当前库存!J:J="采购",ROW(),"-")</f>
        <v>-</v>
      </c>
      <c r="C153" s="67" t="str">
        <f ca="1">IFERROR(INDEX(当前库存!$B:$J,SMALL($B:$B,ROW(A150)),MATCH(C$3,$C$3:$J$3,0)),"")</f>
        <v/>
      </c>
      <c r="D153" s="68" t="str">
        <f ca="1">IFERROR(INDEX(当前库存!$B:$J,SMALL($B:$B,ROW(B150)),MATCH(D$3,$C$3:$J$3,0)),"")</f>
        <v/>
      </c>
      <c r="E153" s="68" t="str">
        <f ca="1">IFERROR(INDEX(当前库存!$B:$J,SMALL($B:$B,ROW(C150)),MATCH(E$3,$C$3:$J$3,0)),"")</f>
        <v/>
      </c>
      <c r="F153" s="68" t="str">
        <f ca="1">IFERROR(INDEX(当前库存!$B:$J,SMALL($B:$B,ROW(D151)),MATCH(F$3,$C$3:$J$3,0)),"")</f>
        <v/>
      </c>
      <c r="G153" s="68" t="str">
        <f ca="1">IFERROR(INDEX(当前库存!$B:$J,SMALL($B:$B,ROW(E151)),MATCH(G$3,$C$3:$J$3,0)),"")</f>
        <v/>
      </c>
      <c r="H153" s="68" t="str">
        <f ca="1">IFERROR(INDEX(当前库存!$B:$J,SMALL($B:$B,ROW(F151)),MATCH(H$3,$C$3:$J$3,0)),"")</f>
        <v/>
      </c>
      <c r="I153" s="68" t="str">
        <f ca="1">IFERROR(INDEX(当前库存!$B:$J,SMALL($B:$B,ROW(G150)),MATCH(I$3,$C$3:$J$3,0)),"")</f>
        <v/>
      </c>
      <c r="J153" s="68" t="str">
        <f ca="1">IFERROR(INDEX(当前库存!$B:$J,SMALL($B:$B,ROW(H150)),MATCH(J$3,$C$3:$J$3,0)),"")</f>
        <v/>
      </c>
    </row>
    <row r="154" ht="21.95" customHeight="1" spans="2:10">
      <c r="B154" s="62" t="str">
        <f>IF(当前库存!J:J="采购",ROW(),"-")</f>
        <v>-</v>
      </c>
      <c r="C154" s="67" t="str">
        <f ca="1">IFERROR(INDEX(当前库存!$B:$J,SMALL($B:$B,ROW(A151)),MATCH(C$3,$C$3:$J$3,0)),"")</f>
        <v/>
      </c>
      <c r="D154" s="68" t="str">
        <f ca="1">IFERROR(INDEX(当前库存!$B:$J,SMALL($B:$B,ROW(B151)),MATCH(D$3,$C$3:$J$3,0)),"")</f>
        <v/>
      </c>
      <c r="E154" s="68" t="str">
        <f ca="1">IFERROR(INDEX(当前库存!$B:$J,SMALL($B:$B,ROW(C151)),MATCH(E$3,$C$3:$J$3,0)),"")</f>
        <v/>
      </c>
      <c r="F154" s="68" t="str">
        <f ca="1">IFERROR(INDEX(当前库存!$B:$J,SMALL($B:$B,ROW(D152)),MATCH(F$3,$C$3:$J$3,0)),"")</f>
        <v/>
      </c>
      <c r="G154" s="68" t="str">
        <f ca="1">IFERROR(INDEX(当前库存!$B:$J,SMALL($B:$B,ROW(E152)),MATCH(G$3,$C$3:$J$3,0)),"")</f>
        <v/>
      </c>
      <c r="H154" s="68" t="str">
        <f ca="1">IFERROR(INDEX(当前库存!$B:$J,SMALL($B:$B,ROW(F152)),MATCH(H$3,$C$3:$J$3,0)),"")</f>
        <v/>
      </c>
      <c r="I154" s="68" t="str">
        <f ca="1">IFERROR(INDEX(当前库存!$B:$J,SMALL($B:$B,ROW(G151)),MATCH(I$3,$C$3:$J$3,0)),"")</f>
        <v/>
      </c>
      <c r="J154" s="68" t="str">
        <f ca="1">IFERROR(INDEX(当前库存!$B:$J,SMALL($B:$B,ROW(H151)),MATCH(J$3,$C$3:$J$3,0)),"")</f>
        <v/>
      </c>
    </row>
    <row r="155" ht="21.95" customHeight="1" spans="2:10">
      <c r="B155" s="62" t="str">
        <f>IF(当前库存!J:J="采购",ROW(),"-")</f>
        <v>-</v>
      </c>
      <c r="C155" s="67" t="str">
        <f ca="1">IFERROR(INDEX(当前库存!$B:$J,SMALL($B:$B,ROW(A152)),MATCH(C$3,$C$3:$J$3,0)),"")</f>
        <v/>
      </c>
      <c r="D155" s="68" t="str">
        <f ca="1">IFERROR(INDEX(当前库存!$B:$J,SMALL($B:$B,ROW(B152)),MATCH(D$3,$C$3:$J$3,0)),"")</f>
        <v/>
      </c>
      <c r="E155" s="68" t="str">
        <f ca="1">IFERROR(INDEX(当前库存!$B:$J,SMALL($B:$B,ROW(C152)),MATCH(E$3,$C$3:$J$3,0)),"")</f>
        <v/>
      </c>
      <c r="F155" s="68" t="str">
        <f ca="1">IFERROR(INDEX(当前库存!$B:$J,SMALL($B:$B,ROW(D153)),MATCH(F$3,$C$3:$J$3,0)),"")</f>
        <v/>
      </c>
      <c r="G155" s="68" t="str">
        <f ca="1">IFERROR(INDEX(当前库存!$B:$J,SMALL($B:$B,ROW(E153)),MATCH(G$3,$C$3:$J$3,0)),"")</f>
        <v/>
      </c>
      <c r="H155" s="68" t="str">
        <f ca="1">IFERROR(INDEX(当前库存!$B:$J,SMALL($B:$B,ROW(F153)),MATCH(H$3,$C$3:$J$3,0)),"")</f>
        <v/>
      </c>
      <c r="I155" s="68" t="str">
        <f ca="1">IFERROR(INDEX(当前库存!$B:$J,SMALL($B:$B,ROW(G152)),MATCH(I$3,$C$3:$J$3,0)),"")</f>
        <v/>
      </c>
      <c r="J155" s="68" t="str">
        <f ca="1">IFERROR(INDEX(当前库存!$B:$J,SMALL($B:$B,ROW(H152)),MATCH(J$3,$C$3:$J$3,0)),"")</f>
        <v/>
      </c>
    </row>
    <row r="156" ht="21.95" customHeight="1" spans="2:10">
      <c r="B156" s="62">
        <f>IF(当前库存!J:J="采购",ROW(),"-")</f>
        <v>156</v>
      </c>
      <c r="C156" s="67" t="str">
        <f ca="1">IFERROR(INDEX(当前库存!$B:$J,SMALL($B:$B,ROW(A153)),MATCH(C$3,$C$3:$J$3,0)),"")</f>
        <v/>
      </c>
      <c r="D156" s="68" t="str">
        <f ca="1">IFERROR(INDEX(当前库存!$B:$J,SMALL($B:$B,ROW(B153)),MATCH(D$3,$C$3:$J$3,0)),"")</f>
        <v/>
      </c>
      <c r="E156" s="68" t="str">
        <f ca="1">IFERROR(INDEX(当前库存!$B:$J,SMALL($B:$B,ROW(C153)),MATCH(E$3,$C$3:$J$3,0)),"")</f>
        <v/>
      </c>
      <c r="F156" s="68" t="str">
        <f ca="1">IFERROR(INDEX(当前库存!$B:$J,SMALL($B:$B,ROW(D154)),MATCH(F$3,$C$3:$J$3,0)),"")</f>
        <v/>
      </c>
      <c r="G156" s="68" t="str">
        <f ca="1">IFERROR(INDEX(当前库存!$B:$J,SMALL($B:$B,ROW(E154)),MATCH(G$3,$C$3:$J$3,0)),"")</f>
        <v/>
      </c>
      <c r="H156" s="68" t="str">
        <f ca="1">IFERROR(INDEX(当前库存!$B:$J,SMALL($B:$B,ROW(F154)),MATCH(H$3,$C$3:$J$3,0)),"")</f>
        <v/>
      </c>
      <c r="I156" s="68" t="str">
        <f ca="1">IFERROR(INDEX(当前库存!$B:$J,SMALL($B:$B,ROW(G153)),MATCH(I$3,$C$3:$J$3,0)),"")</f>
        <v/>
      </c>
      <c r="J156" s="68" t="str">
        <f ca="1">IFERROR(INDEX(当前库存!$B:$J,SMALL($B:$B,ROW(H153)),MATCH(J$3,$C$3:$J$3,0)),"")</f>
        <v/>
      </c>
    </row>
    <row r="157" ht="21.95" customHeight="1" spans="2:10">
      <c r="B157" s="62" t="str">
        <f>IF(当前库存!J:J="采购",ROW(),"-")</f>
        <v>-</v>
      </c>
      <c r="C157" s="67" t="str">
        <f ca="1">IFERROR(INDEX(当前库存!$B:$J,SMALL($B:$B,ROW(A154)),MATCH(C$3,$C$3:$J$3,0)),"")</f>
        <v/>
      </c>
      <c r="D157" s="68" t="str">
        <f ca="1">IFERROR(INDEX(当前库存!$B:$J,SMALL($B:$B,ROW(B154)),MATCH(D$3,$C$3:$J$3,0)),"")</f>
        <v/>
      </c>
      <c r="E157" s="68" t="str">
        <f ca="1">IFERROR(INDEX(当前库存!$B:$J,SMALL($B:$B,ROW(C154)),MATCH(E$3,$C$3:$J$3,0)),"")</f>
        <v/>
      </c>
      <c r="F157" s="68" t="str">
        <f ca="1">IFERROR(INDEX(当前库存!$B:$J,SMALL($B:$B,ROW(D155)),MATCH(F$3,$C$3:$J$3,0)),"")</f>
        <v/>
      </c>
      <c r="G157" s="68" t="str">
        <f ca="1">IFERROR(INDEX(当前库存!$B:$J,SMALL($B:$B,ROW(E155)),MATCH(G$3,$C$3:$J$3,0)),"")</f>
        <v/>
      </c>
      <c r="H157" s="68" t="str">
        <f ca="1">IFERROR(INDEX(当前库存!$B:$J,SMALL($B:$B,ROW(F155)),MATCH(H$3,$C$3:$J$3,0)),"")</f>
        <v/>
      </c>
      <c r="I157" s="68" t="str">
        <f ca="1">IFERROR(INDEX(当前库存!$B:$J,SMALL($B:$B,ROW(G154)),MATCH(I$3,$C$3:$J$3,0)),"")</f>
        <v/>
      </c>
      <c r="J157" s="68" t="str">
        <f ca="1">IFERROR(INDEX(当前库存!$B:$J,SMALL($B:$B,ROW(H154)),MATCH(J$3,$C$3:$J$3,0)),"")</f>
        <v/>
      </c>
    </row>
    <row r="158" ht="21.95" customHeight="1" spans="2:10">
      <c r="B158" s="62" t="str">
        <f>IF(当前库存!J:J="采购",ROW(),"-")</f>
        <v>-</v>
      </c>
      <c r="C158" s="67" t="str">
        <f ca="1">IFERROR(INDEX(当前库存!$B:$J,SMALL($B:$B,ROW(A155)),MATCH(C$3,$C$3:$J$3,0)),"")</f>
        <v/>
      </c>
      <c r="D158" s="68" t="str">
        <f ca="1">IFERROR(INDEX(当前库存!$B:$J,SMALL($B:$B,ROW(B155)),MATCH(D$3,$C$3:$J$3,0)),"")</f>
        <v/>
      </c>
      <c r="E158" s="68" t="str">
        <f ca="1">IFERROR(INDEX(当前库存!$B:$J,SMALL($B:$B,ROW(C155)),MATCH(E$3,$C$3:$J$3,0)),"")</f>
        <v/>
      </c>
      <c r="F158" s="68" t="str">
        <f ca="1">IFERROR(INDEX(当前库存!$B:$J,SMALL($B:$B,ROW(D156)),MATCH(F$3,$C$3:$J$3,0)),"")</f>
        <v/>
      </c>
      <c r="G158" s="68" t="str">
        <f ca="1">IFERROR(INDEX(当前库存!$B:$J,SMALL($B:$B,ROW(E156)),MATCH(G$3,$C$3:$J$3,0)),"")</f>
        <v/>
      </c>
      <c r="H158" s="68" t="str">
        <f ca="1">IFERROR(INDEX(当前库存!$B:$J,SMALL($B:$B,ROW(F156)),MATCH(H$3,$C$3:$J$3,0)),"")</f>
        <v/>
      </c>
      <c r="I158" s="68" t="str">
        <f ca="1">IFERROR(INDEX(当前库存!$B:$J,SMALL($B:$B,ROW(G155)),MATCH(I$3,$C$3:$J$3,0)),"")</f>
        <v/>
      </c>
      <c r="J158" s="68" t="str">
        <f ca="1">IFERROR(INDEX(当前库存!$B:$J,SMALL($B:$B,ROW(H155)),MATCH(J$3,$C$3:$J$3,0)),"")</f>
        <v/>
      </c>
    </row>
    <row r="159" ht="21.95" customHeight="1" spans="2:10">
      <c r="B159" s="62">
        <f>IF(当前库存!J:J="采购",ROW(),"-")</f>
        <v>159</v>
      </c>
      <c r="C159" s="67" t="str">
        <f ca="1">IFERROR(INDEX(当前库存!$B:$J,SMALL($B:$B,ROW(A156)),MATCH(C$3,$C$3:$J$3,0)),"")</f>
        <v/>
      </c>
      <c r="D159" s="68" t="str">
        <f ca="1">IFERROR(INDEX(当前库存!$B:$J,SMALL($B:$B,ROW(B156)),MATCH(D$3,$C$3:$J$3,0)),"")</f>
        <v/>
      </c>
      <c r="E159" s="68" t="str">
        <f ca="1">IFERROR(INDEX(当前库存!$B:$J,SMALL($B:$B,ROW(C156)),MATCH(E$3,$C$3:$J$3,0)),"")</f>
        <v/>
      </c>
      <c r="F159" s="68" t="str">
        <f ca="1">IFERROR(INDEX(当前库存!$B:$J,SMALL($B:$B,ROW(D157)),MATCH(F$3,$C$3:$J$3,0)),"")</f>
        <v/>
      </c>
      <c r="G159" s="68" t="str">
        <f ca="1">IFERROR(INDEX(当前库存!$B:$J,SMALL($B:$B,ROW(E157)),MATCH(G$3,$C$3:$J$3,0)),"")</f>
        <v/>
      </c>
      <c r="H159" s="68" t="str">
        <f ca="1">IFERROR(INDEX(当前库存!$B:$J,SMALL($B:$B,ROW(F157)),MATCH(H$3,$C$3:$J$3,0)),"")</f>
        <v/>
      </c>
      <c r="I159" s="68" t="str">
        <f ca="1">IFERROR(INDEX(当前库存!$B:$J,SMALL($B:$B,ROW(G156)),MATCH(I$3,$C$3:$J$3,0)),"")</f>
        <v/>
      </c>
      <c r="J159" s="68" t="str">
        <f ca="1">IFERROR(INDEX(当前库存!$B:$J,SMALL($B:$B,ROW(H156)),MATCH(J$3,$C$3:$J$3,0)),"")</f>
        <v/>
      </c>
    </row>
    <row r="160" ht="21.95" customHeight="1" spans="2:10">
      <c r="B160" s="62" t="str">
        <f>IF(当前库存!J:J="采购",ROW(),"-")</f>
        <v>-</v>
      </c>
      <c r="C160" s="67" t="str">
        <f ca="1">IFERROR(INDEX(当前库存!$B:$J,SMALL($B:$B,ROW(A157)),MATCH(C$3,$C$3:$J$3,0)),"")</f>
        <v/>
      </c>
      <c r="D160" s="68" t="str">
        <f ca="1">IFERROR(INDEX(当前库存!$B:$J,SMALL($B:$B,ROW(B157)),MATCH(D$3,$C$3:$J$3,0)),"")</f>
        <v/>
      </c>
      <c r="E160" s="68" t="str">
        <f ca="1">IFERROR(INDEX(当前库存!$B:$J,SMALL($B:$B,ROW(C157)),MATCH(E$3,$C$3:$J$3,0)),"")</f>
        <v/>
      </c>
      <c r="F160" s="68" t="str">
        <f ca="1">IFERROR(INDEX(当前库存!$B:$J,SMALL($B:$B,ROW(D158)),MATCH(F$3,$C$3:$J$3,0)),"")</f>
        <v/>
      </c>
      <c r="G160" s="68" t="str">
        <f ca="1">IFERROR(INDEX(当前库存!$B:$J,SMALL($B:$B,ROW(E158)),MATCH(G$3,$C$3:$J$3,0)),"")</f>
        <v/>
      </c>
      <c r="H160" s="68" t="str">
        <f ca="1">IFERROR(INDEX(当前库存!$B:$J,SMALL($B:$B,ROW(F158)),MATCH(H$3,$C$3:$J$3,0)),"")</f>
        <v/>
      </c>
      <c r="I160" s="68" t="str">
        <f ca="1">IFERROR(INDEX(当前库存!$B:$J,SMALL($B:$B,ROW(G157)),MATCH(I$3,$C$3:$J$3,0)),"")</f>
        <v/>
      </c>
      <c r="J160" s="68" t="str">
        <f ca="1">IFERROR(INDEX(当前库存!$B:$J,SMALL($B:$B,ROW(H157)),MATCH(J$3,$C$3:$J$3,0)),"")</f>
        <v/>
      </c>
    </row>
    <row r="161" ht="21.95" customHeight="1" spans="2:10">
      <c r="B161" s="62" t="str">
        <f>IF(当前库存!J:J="采购",ROW(),"-")</f>
        <v>-</v>
      </c>
      <c r="C161" s="67" t="str">
        <f ca="1">IFERROR(INDEX(当前库存!$B:$J,SMALL($B:$B,ROW(A158)),MATCH(C$3,$C$3:$J$3,0)),"")</f>
        <v/>
      </c>
      <c r="D161" s="68" t="str">
        <f ca="1">IFERROR(INDEX(当前库存!$B:$J,SMALL($B:$B,ROW(B158)),MATCH(D$3,$C$3:$J$3,0)),"")</f>
        <v/>
      </c>
      <c r="E161" s="68" t="str">
        <f ca="1">IFERROR(INDEX(当前库存!$B:$J,SMALL($B:$B,ROW(C158)),MATCH(E$3,$C$3:$J$3,0)),"")</f>
        <v/>
      </c>
      <c r="F161" s="68" t="str">
        <f ca="1">IFERROR(INDEX(当前库存!$B:$J,SMALL($B:$B,ROW(D159)),MATCH(F$3,$C$3:$J$3,0)),"")</f>
        <v/>
      </c>
      <c r="G161" s="68" t="str">
        <f ca="1">IFERROR(INDEX(当前库存!$B:$J,SMALL($B:$B,ROW(E159)),MATCH(G$3,$C$3:$J$3,0)),"")</f>
        <v/>
      </c>
      <c r="H161" s="68" t="str">
        <f ca="1">IFERROR(INDEX(当前库存!$B:$J,SMALL($B:$B,ROW(F159)),MATCH(H$3,$C$3:$J$3,0)),"")</f>
        <v/>
      </c>
      <c r="I161" s="68" t="str">
        <f ca="1">IFERROR(INDEX(当前库存!$B:$J,SMALL($B:$B,ROW(G158)),MATCH(I$3,$C$3:$J$3,0)),"")</f>
        <v/>
      </c>
      <c r="J161" s="68" t="str">
        <f ca="1">IFERROR(INDEX(当前库存!$B:$J,SMALL($B:$B,ROW(H158)),MATCH(J$3,$C$3:$J$3,0)),"")</f>
        <v/>
      </c>
    </row>
    <row r="162" ht="21.95" customHeight="1" spans="2:10">
      <c r="B162" s="62" t="str">
        <f>IF(当前库存!J:J="采购",ROW(),"-")</f>
        <v>-</v>
      </c>
      <c r="C162" s="67" t="str">
        <f ca="1">IFERROR(INDEX(当前库存!$B:$J,SMALL($B:$B,ROW(A159)),MATCH(C$3,$C$3:$J$3,0)),"")</f>
        <v/>
      </c>
      <c r="D162" s="68" t="str">
        <f ca="1">IFERROR(INDEX(当前库存!$B:$J,SMALL($B:$B,ROW(B159)),MATCH(D$3,$C$3:$J$3,0)),"")</f>
        <v/>
      </c>
      <c r="E162" s="68" t="str">
        <f ca="1">IFERROR(INDEX(当前库存!$B:$J,SMALL($B:$B,ROW(C159)),MATCH(E$3,$C$3:$J$3,0)),"")</f>
        <v/>
      </c>
      <c r="F162" s="68" t="str">
        <f ca="1">IFERROR(INDEX(当前库存!$B:$J,SMALL($B:$B,ROW(D160)),MATCH(F$3,$C$3:$J$3,0)),"")</f>
        <v/>
      </c>
      <c r="G162" s="68" t="str">
        <f ca="1">IFERROR(INDEX(当前库存!$B:$J,SMALL($B:$B,ROW(E160)),MATCH(G$3,$C$3:$J$3,0)),"")</f>
        <v/>
      </c>
      <c r="H162" s="68" t="str">
        <f ca="1">IFERROR(INDEX(当前库存!$B:$J,SMALL($B:$B,ROW(F160)),MATCH(H$3,$C$3:$J$3,0)),"")</f>
        <v/>
      </c>
      <c r="I162" s="68" t="str">
        <f ca="1">IFERROR(INDEX(当前库存!$B:$J,SMALL($B:$B,ROW(G159)),MATCH(I$3,$C$3:$J$3,0)),"")</f>
        <v/>
      </c>
      <c r="J162" s="68" t="str">
        <f ca="1">IFERROR(INDEX(当前库存!$B:$J,SMALL($B:$B,ROW(H159)),MATCH(J$3,$C$3:$J$3,0)),"")</f>
        <v/>
      </c>
    </row>
    <row r="163" ht="21.95" customHeight="1" spans="2:10">
      <c r="B163" s="62" t="str">
        <f>IF(当前库存!J:J="采购",ROW(),"-")</f>
        <v>-</v>
      </c>
      <c r="C163" s="67" t="str">
        <f ca="1">IFERROR(INDEX(当前库存!$B:$J,SMALL($B:$B,ROW(A160)),MATCH(C$3,$C$3:$J$3,0)),"")</f>
        <v/>
      </c>
      <c r="D163" s="68" t="str">
        <f ca="1">IFERROR(INDEX(当前库存!$B:$J,SMALL($B:$B,ROW(B160)),MATCH(D$3,$C$3:$J$3,0)),"")</f>
        <v/>
      </c>
      <c r="E163" s="68" t="str">
        <f ca="1">IFERROR(INDEX(当前库存!$B:$J,SMALL($B:$B,ROW(C160)),MATCH(E$3,$C$3:$J$3,0)),"")</f>
        <v/>
      </c>
      <c r="F163" s="68" t="str">
        <f ca="1">IFERROR(INDEX(当前库存!$B:$J,SMALL($B:$B,ROW(D161)),MATCH(F$3,$C$3:$J$3,0)),"")</f>
        <v/>
      </c>
      <c r="G163" s="68" t="str">
        <f ca="1">IFERROR(INDEX(当前库存!$B:$J,SMALL($B:$B,ROW(E161)),MATCH(G$3,$C$3:$J$3,0)),"")</f>
        <v/>
      </c>
      <c r="H163" s="68" t="str">
        <f ca="1">IFERROR(INDEX(当前库存!$B:$J,SMALL($B:$B,ROW(F161)),MATCH(H$3,$C$3:$J$3,0)),"")</f>
        <v/>
      </c>
      <c r="I163" s="68" t="str">
        <f ca="1">IFERROR(INDEX(当前库存!$B:$J,SMALL($B:$B,ROW(G160)),MATCH(I$3,$C$3:$J$3,0)),"")</f>
        <v/>
      </c>
      <c r="J163" s="68" t="str">
        <f ca="1">IFERROR(INDEX(当前库存!$B:$J,SMALL($B:$B,ROW(H160)),MATCH(J$3,$C$3:$J$3,0)),"")</f>
        <v/>
      </c>
    </row>
    <row r="164" ht="21.95" customHeight="1" spans="2:10">
      <c r="B164" s="62" t="str">
        <f>IF(当前库存!J:J="采购",ROW(),"-")</f>
        <v>-</v>
      </c>
      <c r="C164" s="67" t="str">
        <f ca="1">IFERROR(INDEX(当前库存!$B:$J,SMALL($B:$B,ROW(A161)),MATCH(C$3,$C$3:$J$3,0)),"")</f>
        <v/>
      </c>
      <c r="D164" s="68" t="str">
        <f ca="1">IFERROR(INDEX(当前库存!$B:$J,SMALL($B:$B,ROW(B161)),MATCH(D$3,$C$3:$J$3,0)),"")</f>
        <v/>
      </c>
      <c r="E164" s="68" t="str">
        <f ca="1">IFERROR(INDEX(当前库存!$B:$J,SMALL($B:$B,ROW(C161)),MATCH(E$3,$C$3:$J$3,0)),"")</f>
        <v/>
      </c>
      <c r="F164" s="68" t="str">
        <f ca="1">IFERROR(INDEX(当前库存!$B:$J,SMALL($B:$B,ROW(D162)),MATCH(F$3,$C$3:$J$3,0)),"")</f>
        <v/>
      </c>
      <c r="G164" s="68" t="str">
        <f ca="1">IFERROR(INDEX(当前库存!$B:$J,SMALL($B:$B,ROW(E162)),MATCH(G$3,$C$3:$J$3,0)),"")</f>
        <v/>
      </c>
      <c r="H164" s="68" t="str">
        <f ca="1">IFERROR(INDEX(当前库存!$B:$J,SMALL($B:$B,ROW(F162)),MATCH(H$3,$C$3:$J$3,0)),"")</f>
        <v/>
      </c>
      <c r="I164" s="68" t="str">
        <f ca="1">IFERROR(INDEX(当前库存!$B:$J,SMALL($B:$B,ROW(G161)),MATCH(I$3,$C$3:$J$3,0)),"")</f>
        <v/>
      </c>
      <c r="J164" s="68" t="str">
        <f ca="1">IFERROR(INDEX(当前库存!$B:$J,SMALL($B:$B,ROW(H161)),MATCH(J$3,$C$3:$J$3,0)),"")</f>
        <v/>
      </c>
    </row>
    <row r="165" ht="21.95" customHeight="1" spans="2:10">
      <c r="B165" s="62" t="str">
        <f>IF(当前库存!J:J="采购",ROW(),"-")</f>
        <v>-</v>
      </c>
      <c r="C165" s="67" t="str">
        <f ca="1">IFERROR(INDEX(当前库存!$B:$J,SMALL($B:$B,ROW(A162)),MATCH(C$3,$C$3:$J$3,0)),"")</f>
        <v/>
      </c>
      <c r="D165" s="68" t="str">
        <f ca="1">IFERROR(INDEX(当前库存!$B:$J,SMALL($B:$B,ROW(B162)),MATCH(D$3,$C$3:$J$3,0)),"")</f>
        <v/>
      </c>
      <c r="E165" s="68" t="str">
        <f ca="1">IFERROR(INDEX(当前库存!$B:$J,SMALL($B:$B,ROW(C162)),MATCH(E$3,$C$3:$J$3,0)),"")</f>
        <v/>
      </c>
      <c r="F165" s="68" t="str">
        <f ca="1">IFERROR(INDEX(当前库存!$B:$J,SMALL($B:$B,ROW(D163)),MATCH(F$3,$C$3:$J$3,0)),"")</f>
        <v/>
      </c>
      <c r="G165" s="68" t="str">
        <f ca="1">IFERROR(INDEX(当前库存!$B:$J,SMALL($B:$B,ROW(E163)),MATCH(G$3,$C$3:$J$3,0)),"")</f>
        <v/>
      </c>
      <c r="H165" s="68" t="str">
        <f ca="1">IFERROR(INDEX(当前库存!$B:$J,SMALL($B:$B,ROW(F163)),MATCH(H$3,$C$3:$J$3,0)),"")</f>
        <v/>
      </c>
      <c r="I165" s="68" t="str">
        <f ca="1">IFERROR(INDEX(当前库存!$B:$J,SMALL($B:$B,ROW(G162)),MATCH(I$3,$C$3:$J$3,0)),"")</f>
        <v/>
      </c>
      <c r="J165" s="68" t="str">
        <f ca="1">IFERROR(INDEX(当前库存!$B:$J,SMALL($B:$B,ROW(H162)),MATCH(J$3,$C$3:$J$3,0)),"")</f>
        <v/>
      </c>
    </row>
    <row r="166" ht="21.95" customHeight="1" spans="2:10">
      <c r="B166" s="62" t="str">
        <f>IF(当前库存!J:J="采购",ROW(),"-")</f>
        <v>-</v>
      </c>
      <c r="C166" s="67" t="str">
        <f ca="1">IFERROR(INDEX(当前库存!$B:$J,SMALL($B:$B,ROW(A163)),MATCH(C$3,$C$3:$J$3,0)),"")</f>
        <v/>
      </c>
      <c r="D166" s="68" t="str">
        <f ca="1">IFERROR(INDEX(当前库存!$B:$J,SMALL($B:$B,ROW(B163)),MATCH(D$3,$C$3:$J$3,0)),"")</f>
        <v/>
      </c>
      <c r="E166" s="68" t="str">
        <f ca="1">IFERROR(INDEX(当前库存!$B:$J,SMALL($B:$B,ROW(C163)),MATCH(E$3,$C$3:$J$3,0)),"")</f>
        <v/>
      </c>
      <c r="F166" s="68" t="str">
        <f ca="1">IFERROR(INDEX(当前库存!$B:$J,SMALL($B:$B,ROW(D164)),MATCH(F$3,$C$3:$J$3,0)),"")</f>
        <v/>
      </c>
      <c r="G166" s="68" t="str">
        <f ca="1">IFERROR(INDEX(当前库存!$B:$J,SMALL($B:$B,ROW(E164)),MATCH(G$3,$C$3:$J$3,0)),"")</f>
        <v/>
      </c>
      <c r="H166" s="68" t="str">
        <f ca="1">IFERROR(INDEX(当前库存!$B:$J,SMALL($B:$B,ROW(F164)),MATCH(H$3,$C$3:$J$3,0)),"")</f>
        <v/>
      </c>
      <c r="I166" s="68" t="str">
        <f ca="1">IFERROR(INDEX(当前库存!$B:$J,SMALL($B:$B,ROW(G163)),MATCH(I$3,$C$3:$J$3,0)),"")</f>
        <v/>
      </c>
      <c r="J166" s="68" t="str">
        <f ca="1">IFERROR(INDEX(当前库存!$B:$J,SMALL($B:$B,ROW(H163)),MATCH(J$3,$C$3:$J$3,0)),"")</f>
        <v/>
      </c>
    </row>
    <row r="167" ht="21.95" customHeight="1" spans="2:10">
      <c r="B167" s="62" t="str">
        <f>IF(当前库存!J:J="采购",ROW(),"-")</f>
        <v>-</v>
      </c>
      <c r="C167" s="67" t="str">
        <f ca="1">IFERROR(INDEX(当前库存!$B:$J,SMALL($B:$B,ROW(A164)),MATCH(C$3,$C$3:$J$3,0)),"")</f>
        <v/>
      </c>
      <c r="D167" s="68" t="str">
        <f ca="1">IFERROR(INDEX(当前库存!$B:$J,SMALL($B:$B,ROW(B164)),MATCH(D$3,$C$3:$J$3,0)),"")</f>
        <v/>
      </c>
      <c r="E167" s="68" t="str">
        <f ca="1">IFERROR(INDEX(当前库存!$B:$J,SMALL($B:$B,ROW(C164)),MATCH(E$3,$C$3:$J$3,0)),"")</f>
        <v/>
      </c>
      <c r="F167" s="68" t="str">
        <f ca="1">IFERROR(INDEX(当前库存!$B:$J,SMALL($B:$B,ROW(D165)),MATCH(F$3,$C$3:$J$3,0)),"")</f>
        <v/>
      </c>
      <c r="G167" s="68" t="str">
        <f ca="1">IFERROR(INDEX(当前库存!$B:$J,SMALL($B:$B,ROW(E165)),MATCH(G$3,$C$3:$J$3,0)),"")</f>
        <v/>
      </c>
      <c r="H167" s="68" t="str">
        <f ca="1">IFERROR(INDEX(当前库存!$B:$J,SMALL($B:$B,ROW(F165)),MATCH(H$3,$C$3:$J$3,0)),"")</f>
        <v/>
      </c>
      <c r="I167" s="68" t="str">
        <f ca="1">IFERROR(INDEX(当前库存!$B:$J,SMALL($B:$B,ROW(G164)),MATCH(I$3,$C$3:$J$3,0)),"")</f>
        <v/>
      </c>
      <c r="J167" s="68" t="str">
        <f ca="1">IFERROR(INDEX(当前库存!$B:$J,SMALL($B:$B,ROW(H164)),MATCH(J$3,$C$3:$J$3,0)),"")</f>
        <v/>
      </c>
    </row>
    <row r="168" ht="21.95" customHeight="1" spans="2:10">
      <c r="B168" s="62" t="str">
        <f>IF(当前库存!J:J="采购",ROW(),"-")</f>
        <v>-</v>
      </c>
      <c r="C168" s="67" t="str">
        <f ca="1">IFERROR(INDEX(当前库存!$B:$J,SMALL($B:$B,ROW(A165)),MATCH(C$3,$C$3:$J$3,0)),"")</f>
        <v/>
      </c>
      <c r="D168" s="68" t="str">
        <f ca="1">IFERROR(INDEX(当前库存!$B:$J,SMALL($B:$B,ROW(B165)),MATCH(D$3,$C$3:$J$3,0)),"")</f>
        <v/>
      </c>
      <c r="E168" s="68" t="str">
        <f ca="1">IFERROR(INDEX(当前库存!$B:$J,SMALL($B:$B,ROW(C165)),MATCH(E$3,$C$3:$J$3,0)),"")</f>
        <v/>
      </c>
      <c r="F168" s="68" t="str">
        <f ca="1">IFERROR(INDEX(当前库存!$B:$J,SMALL($B:$B,ROW(D166)),MATCH(F$3,$C$3:$J$3,0)),"")</f>
        <v/>
      </c>
      <c r="G168" s="68" t="str">
        <f ca="1">IFERROR(INDEX(当前库存!$B:$J,SMALL($B:$B,ROW(E166)),MATCH(G$3,$C$3:$J$3,0)),"")</f>
        <v/>
      </c>
      <c r="H168" s="68" t="str">
        <f ca="1">IFERROR(INDEX(当前库存!$B:$J,SMALL($B:$B,ROW(F166)),MATCH(H$3,$C$3:$J$3,0)),"")</f>
        <v/>
      </c>
      <c r="I168" s="68" t="str">
        <f ca="1">IFERROR(INDEX(当前库存!$B:$J,SMALL($B:$B,ROW(G165)),MATCH(I$3,$C$3:$J$3,0)),"")</f>
        <v/>
      </c>
      <c r="J168" s="68" t="str">
        <f ca="1">IFERROR(INDEX(当前库存!$B:$J,SMALL($B:$B,ROW(H165)),MATCH(J$3,$C$3:$J$3,0)),"")</f>
        <v/>
      </c>
    </row>
    <row r="169" ht="21.95" customHeight="1" spans="2:10">
      <c r="B169" s="62" t="str">
        <f>IF(当前库存!J:J="采购",ROW(),"-")</f>
        <v>-</v>
      </c>
      <c r="C169" s="67" t="str">
        <f ca="1">IFERROR(INDEX(当前库存!$B:$J,SMALL($B:$B,ROW(A166)),MATCH(C$3,$C$3:$J$3,0)),"")</f>
        <v/>
      </c>
      <c r="D169" s="68" t="str">
        <f ca="1">IFERROR(INDEX(当前库存!$B:$J,SMALL($B:$B,ROW(B166)),MATCH(D$3,$C$3:$J$3,0)),"")</f>
        <v/>
      </c>
      <c r="E169" s="68" t="str">
        <f ca="1">IFERROR(INDEX(当前库存!$B:$J,SMALL($B:$B,ROW(C166)),MATCH(E$3,$C$3:$J$3,0)),"")</f>
        <v/>
      </c>
      <c r="F169" s="68" t="str">
        <f ca="1">IFERROR(INDEX(当前库存!$B:$J,SMALL($B:$B,ROW(D167)),MATCH(F$3,$C$3:$J$3,0)),"")</f>
        <v/>
      </c>
      <c r="G169" s="68" t="str">
        <f ca="1">IFERROR(INDEX(当前库存!$B:$J,SMALL($B:$B,ROW(E167)),MATCH(G$3,$C$3:$J$3,0)),"")</f>
        <v/>
      </c>
      <c r="H169" s="68" t="str">
        <f ca="1">IFERROR(INDEX(当前库存!$B:$J,SMALL($B:$B,ROW(F167)),MATCH(H$3,$C$3:$J$3,0)),"")</f>
        <v/>
      </c>
      <c r="I169" s="68" t="str">
        <f ca="1">IFERROR(INDEX(当前库存!$B:$J,SMALL($B:$B,ROW(G166)),MATCH(I$3,$C$3:$J$3,0)),"")</f>
        <v/>
      </c>
      <c r="J169" s="68" t="str">
        <f ca="1">IFERROR(INDEX(当前库存!$B:$J,SMALL($B:$B,ROW(H166)),MATCH(J$3,$C$3:$J$3,0)),"")</f>
        <v/>
      </c>
    </row>
    <row r="170" ht="21.95" customHeight="1" spans="2:10">
      <c r="B170" s="62" t="str">
        <f>IF(当前库存!J:J="采购",ROW(),"-")</f>
        <v>-</v>
      </c>
      <c r="C170" s="67" t="str">
        <f ca="1">IFERROR(INDEX(当前库存!$B:$J,SMALL($B:$B,ROW(A167)),MATCH(C$3,$C$3:$J$3,0)),"")</f>
        <v/>
      </c>
      <c r="D170" s="68" t="str">
        <f ca="1">IFERROR(INDEX(当前库存!$B:$J,SMALL($B:$B,ROW(B167)),MATCH(D$3,$C$3:$J$3,0)),"")</f>
        <v/>
      </c>
      <c r="E170" s="68" t="str">
        <f ca="1">IFERROR(INDEX(当前库存!$B:$J,SMALL($B:$B,ROW(C167)),MATCH(E$3,$C$3:$J$3,0)),"")</f>
        <v/>
      </c>
      <c r="F170" s="68" t="str">
        <f ca="1">IFERROR(INDEX(当前库存!$B:$J,SMALL($B:$B,ROW(D168)),MATCH(F$3,$C$3:$J$3,0)),"")</f>
        <v/>
      </c>
      <c r="G170" s="68" t="str">
        <f ca="1">IFERROR(INDEX(当前库存!$B:$J,SMALL($B:$B,ROW(E168)),MATCH(G$3,$C$3:$J$3,0)),"")</f>
        <v/>
      </c>
      <c r="H170" s="68" t="str">
        <f ca="1">IFERROR(INDEX(当前库存!$B:$J,SMALL($B:$B,ROW(F168)),MATCH(H$3,$C$3:$J$3,0)),"")</f>
        <v/>
      </c>
      <c r="I170" s="68" t="str">
        <f ca="1">IFERROR(INDEX(当前库存!$B:$J,SMALL($B:$B,ROW(G167)),MATCH(I$3,$C$3:$J$3,0)),"")</f>
        <v/>
      </c>
      <c r="J170" s="68" t="str">
        <f ca="1">IFERROR(INDEX(当前库存!$B:$J,SMALL($B:$B,ROW(H167)),MATCH(J$3,$C$3:$J$3,0)),"")</f>
        <v/>
      </c>
    </row>
    <row r="171" ht="21.95" customHeight="1" spans="2:10">
      <c r="B171" s="62" t="str">
        <f>IF(当前库存!J:J="采购",ROW(),"-")</f>
        <v>-</v>
      </c>
      <c r="C171" s="67" t="str">
        <f ca="1">IFERROR(INDEX(当前库存!$B:$J,SMALL($B:$B,ROW(A168)),MATCH(C$3,$C$3:$J$3,0)),"")</f>
        <v/>
      </c>
      <c r="D171" s="68" t="str">
        <f ca="1">IFERROR(INDEX(当前库存!$B:$J,SMALL($B:$B,ROW(B168)),MATCH(D$3,$C$3:$J$3,0)),"")</f>
        <v/>
      </c>
      <c r="E171" s="68" t="str">
        <f ca="1">IFERROR(INDEX(当前库存!$B:$J,SMALL($B:$B,ROW(C168)),MATCH(E$3,$C$3:$J$3,0)),"")</f>
        <v/>
      </c>
      <c r="F171" s="68" t="str">
        <f ca="1">IFERROR(INDEX(当前库存!$B:$J,SMALL($B:$B,ROW(D169)),MATCH(F$3,$C$3:$J$3,0)),"")</f>
        <v/>
      </c>
      <c r="G171" s="68" t="str">
        <f ca="1">IFERROR(INDEX(当前库存!$B:$J,SMALL($B:$B,ROW(E169)),MATCH(G$3,$C$3:$J$3,0)),"")</f>
        <v/>
      </c>
      <c r="H171" s="68" t="str">
        <f ca="1">IFERROR(INDEX(当前库存!$B:$J,SMALL($B:$B,ROW(F169)),MATCH(H$3,$C$3:$J$3,0)),"")</f>
        <v/>
      </c>
      <c r="I171" s="68" t="str">
        <f ca="1">IFERROR(INDEX(当前库存!$B:$J,SMALL($B:$B,ROW(G168)),MATCH(I$3,$C$3:$J$3,0)),"")</f>
        <v/>
      </c>
      <c r="J171" s="68" t="str">
        <f ca="1">IFERROR(INDEX(当前库存!$B:$J,SMALL($B:$B,ROW(H168)),MATCH(J$3,$C$3:$J$3,0)),"")</f>
        <v/>
      </c>
    </row>
    <row r="172" ht="21.95" customHeight="1" spans="2:10">
      <c r="B172" s="62" t="str">
        <f>IF(当前库存!J:J="采购",ROW(),"-")</f>
        <v>-</v>
      </c>
      <c r="C172" s="67" t="str">
        <f ca="1">IFERROR(INDEX(当前库存!$B:$J,SMALL($B:$B,ROW(A169)),MATCH(C$3,$C$3:$J$3,0)),"")</f>
        <v/>
      </c>
      <c r="D172" s="68" t="str">
        <f ca="1">IFERROR(INDEX(当前库存!$B:$J,SMALL($B:$B,ROW(B169)),MATCH(D$3,$C$3:$J$3,0)),"")</f>
        <v/>
      </c>
      <c r="E172" s="68" t="str">
        <f ca="1">IFERROR(INDEX(当前库存!$B:$J,SMALL($B:$B,ROW(C169)),MATCH(E$3,$C$3:$J$3,0)),"")</f>
        <v/>
      </c>
      <c r="F172" s="68" t="str">
        <f ca="1">IFERROR(INDEX(当前库存!$B:$J,SMALL($B:$B,ROW(D170)),MATCH(F$3,$C$3:$J$3,0)),"")</f>
        <v/>
      </c>
      <c r="G172" s="68" t="str">
        <f ca="1">IFERROR(INDEX(当前库存!$B:$J,SMALL($B:$B,ROW(E170)),MATCH(G$3,$C$3:$J$3,0)),"")</f>
        <v/>
      </c>
      <c r="H172" s="68" t="str">
        <f ca="1">IFERROR(INDEX(当前库存!$B:$J,SMALL($B:$B,ROW(F170)),MATCH(H$3,$C$3:$J$3,0)),"")</f>
        <v/>
      </c>
      <c r="I172" s="68" t="str">
        <f ca="1">IFERROR(INDEX(当前库存!$B:$J,SMALL($B:$B,ROW(G169)),MATCH(I$3,$C$3:$J$3,0)),"")</f>
        <v/>
      </c>
      <c r="J172" s="68" t="str">
        <f ca="1">IFERROR(INDEX(当前库存!$B:$J,SMALL($B:$B,ROW(H169)),MATCH(J$3,$C$3:$J$3,0)),"")</f>
        <v/>
      </c>
    </row>
    <row r="173" ht="21.95" customHeight="1" spans="2:10">
      <c r="B173" s="62" t="str">
        <f>IF(当前库存!J:J="采购",ROW(),"-")</f>
        <v>-</v>
      </c>
      <c r="C173" s="67" t="str">
        <f ca="1">IFERROR(INDEX(当前库存!$B:$J,SMALL($B:$B,ROW(A170)),MATCH(C$3,$C$3:$J$3,0)),"")</f>
        <v/>
      </c>
      <c r="D173" s="68" t="str">
        <f ca="1">IFERROR(INDEX(当前库存!$B:$J,SMALL($B:$B,ROW(B170)),MATCH(D$3,$C$3:$J$3,0)),"")</f>
        <v/>
      </c>
      <c r="E173" s="68" t="str">
        <f ca="1">IFERROR(INDEX(当前库存!$B:$J,SMALL($B:$B,ROW(C170)),MATCH(E$3,$C$3:$J$3,0)),"")</f>
        <v/>
      </c>
      <c r="F173" s="68" t="str">
        <f ca="1">IFERROR(INDEX(当前库存!$B:$J,SMALL($B:$B,ROW(D171)),MATCH(F$3,$C$3:$J$3,0)),"")</f>
        <v/>
      </c>
      <c r="G173" s="68" t="str">
        <f ca="1">IFERROR(INDEX(当前库存!$B:$J,SMALL($B:$B,ROW(E171)),MATCH(G$3,$C$3:$J$3,0)),"")</f>
        <v/>
      </c>
      <c r="H173" s="68" t="str">
        <f ca="1">IFERROR(INDEX(当前库存!$B:$J,SMALL($B:$B,ROW(F171)),MATCH(H$3,$C$3:$J$3,0)),"")</f>
        <v/>
      </c>
      <c r="I173" s="68" t="str">
        <f ca="1">IFERROR(INDEX(当前库存!$B:$J,SMALL($B:$B,ROW(G170)),MATCH(I$3,$C$3:$J$3,0)),"")</f>
        <v/>
      </c>
      <c r="J173" s="68" t="str">
        <f ca="1">IFERROR(INDEX(当前库存!$B:$J,SMALL($B:$B,ROW(H170)),MATCH(J$3,$C$3:$J$3,0)),"")</f>
        <v/>
      </c>
    </row>
    <row r="174" ht="21.95" customHeight="1" spans="2:10">
      <c r="B174" s="62" t="str">
        <f>IF(当前库存!J:J="采购",ROW(),"-")</f>
        <v>-</v>
      </c>
      <c r="C174" s="67" t="str">
        <f ca="1">IFERROR(INDEX(当前库存!$B:$J,SMALL($B:$B,ROW(A171)),MATCH(C$3,$C$3:$J$3,0)),"")</f>
        <v/>
      </c>
      <c r="D174" s="68" t="str">
        <f ca="1">IFERROR(INDEX(当前库存!$B:$J,SMALL($B:$B,ROW(B171)),MATCH(D$3,$C$3:$J$3,0)),"")</f>
        <v/>
      </c>
      <c r="E174" s="68" t="str">
        <f ca="1">IFERROR(INDEX(当前库存!$B:$J,SMALL($B:$B,ROW(C171)),MATCH(E$3,$C$3:$J$3,0)),"")</f>
        <v/>
      </c>
      <c r="F174" s="68" t="str">
        <f ca="1">IFERROR(INDEX(当前库存!$B:$J,SMALL($B:$B,ROW(D172)),MATCH(F$3,$C$3:$J$3,0)),"")</f>
        <v/>
      </c>
      <c r="G174" s="68" t="str">
        <f ca="1">IFERROR(INDEX(当前库存!$B:$J,SMALL($B:$B,ROW(E172)),MATCH(G$3,$C$3:$J$3,0)),"")</f>
        <v/>
      </c>
      <c r="H174" s="68" t="str">
        <f ca="1">IFERROR(INDEX(当前库存!$B:$J,SMALL($B:$B,ROW(F172)),MATCH(H$3,$C$3:$J$3,0)),"")</f>
        <v/>
      </c>
      <c r="I174" s="68" t="str">
        <f ca="1">IFERROR(INDEX(当前库存!$B:$J,SMALL($B:$B,ROW(G171)),MATCH(I$3,$C$3:$J$3,0)),"")</f>
        <v/>
      </c>
      <c r="J174" s="68" t="str">
        <f ca="1">IFERROR(INDEX(当前库存!$B:$J,SMALL($B:$B,ROW(H171)),MATCH(J$3,$C$3:$J$3,0)),"")</f>
        <v/>
      </c>
    </row>
    <row r="175" ht="21.95" customHeight="1" spans="2:10">
      <c r="B175" s="62" t="str">
        <f>IF(当前库存!J:J="采购",ROW(),"-")</f>
        <v>-</v>
      </c>
      <c r="C175" s="67" t="str">
        <f ca="1">IFERROR(INDEX(当前库存!$B:$J,SMALL($B:$B,ROW(A172)),MATCH(C$3,$C$3:$J$3,0)),"")</f>
        <v/>
      </c>
      <c r="D175" s="68" t="str">
        <f ca="1">IFERROR(INDEX(当前库存!$B:$J,SMALL($B:$B,ROW(B172)),MATCH(D$3,$C$3:$J$3,0)),"")</f>
        <v/>
      </c>
      <c r="E175" s="68" t="str">
        <f ca="1">IFERROR(INDEX(当前库存!$B:$J,SMALL($B:$B,ROW(C172)),MATCH(E$3,$C$3:$J$3,0)),"")</f>
        <v/>
      </c>
      <c r="F175" s="68" t="str">
        <f ca="1">IFERROR(INDEX(当前库存!$B:$J,SMALL($B:$B,ROW(D173)),MATCH(F$3,$C$3:$J$3,0)),"")</f>
        <v/>
      </c>
      <c r="G175" s="68" t="str">
        <f ca="1">IFERROR(INDEX(当前库存!$B:$J,SMALL($B:$B,ROW(E173)),MATCH(G$3,$C$3:$J$3,0)),"")</f>
        <v/>
      </c>
      <c r="H175" s="68" t="str">
        <f ca="1">IFERROR(INDEX(当前库存!$B:$J,SMALL($B:$B,ROW(F173)),MATCH(H$3,$C$3:$J$3,0)),"")</f>
        <v/>
      </c>
      <c r="I175" s="68" t="str">
        <f ca="1">IFERROR(INDEX(当前库存!$B:$J,SMALL($B:$B,ROW(G172)),MATCH(I$3,$C$3:$J$3,0)),"")</f>
        <v/>
      </c>
      <c r="J175" s="68" t="str">
        <f ca="1">IFERROR(INDEX(当前库存!$B:$J,SMALL($B:$B,ROW(H172)),MATCH(J$3,$C$3:$J$3,0)),"")</f>
        <v/>
      </c>
    </row>
    <row r="176" ht="21.95" customHeight="1" spans="2:10">
      <c r="B176" s="62" t="str">
        <f>IF(当前库存!J:J="采购",ROW(),"-")</f>
        <v>-</v>
      </c>
      <c r="C176" s="67" t="str">
        <f ca="1">IFERROR(INDEX(当前库存!$B:$J,SMALL($B:$B,ROW(A173)),MATCH(C$3,$C$3:$J$3,0)),"")</f>
        <v/>
      </c>
      <c r="D176" s="68" t="str">
        <f ca="1">IFERROR(INDEX(当前库存!$B:$J,SMALL($B:$B,ROW(B173)),MATCH(D$3,$C$3:$J$3,0)),"")</f>
        <v/>
      </c>
      <c r="E176" s="68" t="str">
        <f ca="1">IFERROR(INDEX(当前库存!$B:$J,SMALL($B:$B,ROW(C173)),MATCH(E$3,$C$3:$J$3,0)),"")</f>
        <v/>
      </c>
      <c r="F176" s="68" t="str">
        <f ca="1">IFERROR(INDEX(当前库存!$B:$J,SMALL($B:$B,ROW(D174)),MATCH(F$3,$C$3:$J$3,0)),"")</f>
        <v/>
      </c>
      <c r="G176" s="68" t="str">
        <f ca="1">IFERROR(INDEX(当前库存!$B:$J,SMALL($B:$B,ROW(E174)),MATCH(G$3,$C$3:$J$3,0)),"")</f>
        <v/>
      </c>
      <c r="H176" s="68" t="str">
        <f ca="1">IFERROR(INDEX(当前库存!$B:$J,SMALL($B:$B,ROW(F174)),MATCH(H$3,$C$3:$J$3,0)),"")</f>
        <v/>
      </c>
      <c r="I176" s="68" t="str">
        <f ca="1">IFERROR(INDEX(当前库存!$B:$J,SMALL($B:$B,ROW(G173)),MATCH(I$3,$C$3:$J$3,0)),"")</f>
        <v/>
      </c>
      <c r="J176" s="68" t="str">
        <f ca="1">IFERROR(INDEX(当前库存!$B:$J,SMALL($B:$B,ROW(H173)),MATCH(J$3,$C$3:$J$3,0)),"")</f>
        <v/>
      </c>
    </row>
    <row r="177" ht="21.95" customHeight="1" spans="2:10">
      <c r="B177" s="62" t="str">
        <f>IF(当前库存!J:J="采购",ROW(),"-")</f>
        <v>-</v>
      </c>
      <c r="C177" s="67" t="str">
        <f ca="1">IFERROR(INDEX(当前库存!$B:$J,SMALL($B:$B,ROW(A174)),MATCH(C$3,$C$3:$J$3,0)),"")</f>
        <v/>
      </c>
      <c r="D177" s="68" t="str">
        <f ca="1">IFERROR(INDEX(当前库存!$B:$J,SMALL($B:$B,ROW(B174)),MATCH(D$3,$C$3:$J$3,0)),"")</f>
        <v/>
      </c>
      <c r="E177" s="68" t="str">
        <f ca="1">IFERROR(INDEX(当前库存!$B:$J,SMALL($B:$B,ROW(C174)),MATCH(E$3,$C$3:$J$3,0)),"")</f>
        <v/>
      </c>
      <c r="F177" s="68" t="str">
        <f ca="1">IFERROR(INDEX(当前库存!$B:$J,SMALL($B:$B,ROW(D175)),MATCH(F$3,$C$3:$J$3,0)),"")</f>
        <v/>
      </c>
      <c r="G177" s="68" t="str">
        <f ca="1">IFERROR(INDEX(当前库存!$B:$J,SMALL($B:$B,ROW(E175)),MATCH(G$3,$C$3:$J$3,0)),"")</f>
        <v/>
      </c>
      <c r="H177" s="68" t="str">
        <f ca="1">IFERROR(INDEX(当前库存!$B:$J,SMALL($B:$B,ROW(F175)),MATCH(H$3,$C$3:$J$3,0)),"")</f>
        <v/>
      </c>
      <c r="I177" s="68" t="str">
        <f ca="1">IFERROR(INDEX(当前库存!$B:$J,SMALL($B:$B,ROW(G174)),MATCH(I$3,$C$3:$J$3,0)),"")</f>
        <v/>
      </c>
      <c r="J177" s="68" t="str">
        <f ca="1">IFERROR(INDEX(当前库存!$B:$J,SMALL($B:$B,ROW(H174)),MATCH(J$3,$C$3:$J$3,0)),"")</f>
        <v/>
      </c>
    </row>
    <row r="178" ht="21.95" customHeight="1" spans="2:10">
      <c r="B178" s="62" t="str">
        <f>IF(当前库存!J:J="采购",ROW(),"-")</f>
        <v>-</v>
      </c>
      <c r="C178" s="67" t="str">
        <f ca="1">IFERROR(INDEX(当前库存!$B:$J,SMALL($B:$B,ROW(A175)),MATCH(C$3,$C$3:$J$3,0)),"")</f>
        <v/>
      </c>
      <c r="D178" s="68" t="str">
        <f ca="1">IFERROR(INDEX(当前库存!$B:$J,SMALL($B:$B,ROW(B175)),MATCH(D$3,$C$3:$J$3,0)),"")</f>
        <v/>
      </c>
      <c r="E178" s="68" t="str">
        <f ca="1">IFERROR(INDEX(当前库存!$B:$J,SMALL($B:$B,ROW(C175)),MATCH(E$3,$C$3:$J$3,0)),"")</f>
        <v/>
      </c>
      <c r="F178" s="68" t="str">
        <f ca="1">IFERROR(INDEX(当前库存!$B:$J,SMALL($B:$B,ROW(D176)),MATCH(F$3,$C$3:$J$3,0)),"")</f>
        <v/>
      </c>
      <c r="G178" s="68" t="str">
        <f ca="1">IFERROR(INDEX(当前库存!$B:$J,SMALL($B:$B,ROW(E176)),MATCH(G$3,$C$3:$J$3,0)),"")</f>
        <v/>
      </c>
      <c r="H178" s="68" t="str">
        <f ca="1">IFERROR(INDEX(当前库存!$B:$J,SMALL($B:$B,ROW(F176)),MATCH(H$3,$C$3:$J$3,0)),"")</f>
        <v/>
      </c>
      <c r="I178" s="68" t="str">
        <f ca="1">IFERROR(INDEX(当前库存!$B:$J,SMALL($B:$B,ROW(G175)),MATCH(I$3,$C$3:$J$3,0)),"")</f>
        <v/>
      </c>
      <c r="J178" s="68" t="str">
        <f ca="1">IFERROR(INDEX(当前库存!$B:$J,SMALL($B:$B,ROW(H175)),MATCH(J$3,$C$3:$J$3,0)),"")</f>
        <v/>
      </c>
    </row>
    <row r="179" ht="21.95" customHeight="1" spans="2:10">
      <c r="B179" s="62" t="str">
        <f>IF(当前库存!J:J="采购",ROW(),"-")</f>
        <v>-</v>
      </c>
      <c r="C179" s="67" t="str">
        <f ca="1">IFERROR(INDEX(当前库存!$B:$J,SMALL($B:$B,ROW(A176)),MATCH(C$3,$C$3:$J$3,0)),"")</f>
        <v/>
      </c>
      <c r="D179" s="68" t="str">
        <f ca="1">IFERROR(INDEX(当前库存!$B:$J,SMALL($B:$B,ROW(B176)),MATCH(D$3,$C$3:$J$3,0)),"")</f>
        <v/>
      </c>
      <c r="E179" s="68" t="str">
        <f ca="1">IFERROR(INDEX(当前库存!$B:$J,SMALL($B:$B,ROW(C176)),MATCH(E$3,$C$3:$J$3,0)),"")</f>
        <v/>
      </c>
      <c r="F179" s="68" t="str">
        <f ca="1">IFERROR(INDEX(当前库存!$B:$J,SMALL($B:$B,ROW(D177)),MATCH(F$3,$C$3:$J$3,0)),"")</f>
        <v/>
      </c>
      <c r="G179" s="68" t="str">
        <f ca="1">IFERROR(INDEX(当前库存!$B:$J,SMALL($B:$B,ROW(E177)),MATCH(G$3,$C$3:$J$3,0)),"")</f>
        <v/>
      </c>
      <c r="H179" s="68" t="str">
        <f ca="1">IFERROR(INDEX(当前库存!$B:$J,SMALL($B:$B,ROW(F177)),MATCH(H$3,$C$3:$J$3,0)),"")</f>
        <v/>
      </c>
      <c r="I179" s="68" t="str">
        <f ca="1">IFERROR(INDEX(当前库存!$B:$J,SMALL($B:$B,ROW(G176)),MATCH(I$3,$C$3:$J$3,0)),"")</f>
        <v/>
      </c>
      <c r="J179" s="68" t="str">
        <f ca="1">IFERROR(INDEX(当前库存!$B:$J,SMALL($B:$B,ROW(H176)),MATCH(J$3,$C$3:$J$3,0)),"")</f>
        <v/>
      </c>
    </row>
    <row r="180" ht="21.95" customHeight="1" spans="2:10">
      <c r="B180" s="62" t="str">
        <f>IF(当前库存!J:J="采购",ROW(),"-")</f>
        <v>-</v>
      </c>
      <c r="C180" s="67" t="str">
        <f ca="1">IFERROR(INDEX(当前库存!$B:$J,SMALL($B:$B,ROW(A177)),MATCH(C$3,$C$3:$J$3,0)),"")</f>
        <v/>
      </c>
      <c r="D180" s="68" t="str">
        <f ca="1">IFERROR(INDEX(当前库存!$B:$J,SMALL($B:$B,ROW(B177)),MATCH(D$3,$C$3:$J$3,0)),"")</f>
        <v/>
      </c>
      <c r="E180" s="68" t="str">
        <f ca="1">IFERROR(INDEX(当前库存!$B:$J,SMALL($B:$B,ROW(C177)),MATCH(E$3,$C$3:$J$3,0)),"")</f>
        <v/>
      </c>
      <c r="F180" s="68" t="str">
        <f ca="1">IFERROR(INDEX(当前库存!$B:$J,SMALL($B:$B,ROW(D178)),MATCH(F$3,$C$3:$J$3,0)),"")</f>
        <v/>
      </c>
      <c r="G180" s="68" t="str">
        <f ca="1">IFERROR(INDEX(当前库存!$B:$J,SMALL($B:$B,ROW(E178)),MATCH(G$3,$C$3:$J$3,0)),"")</f>
        <v/>
      </c>
      <c r="H180" s="68" t="str">
        <f ca="1">IFERROR(INDEX(当前库存!$B:$J,SMALL($B:$B,ROW(F178)),MATCH(H$3,$C$3:$J$3,0)),"")</f>
        <v/>
      </c>
      <c r="I180" s="68" t="str">
        <f ca="1">IFERROR(INDEX(当前库存!$B:$J,SMALL($B:$B,ROW(G177)),MATCH(I$3,$C$3:$J$3,0)),"")</f>
        <v/>
      </c>
      <c r="J180" s="68" t="str">
        <f ca="1">IFERROR(INDEX(当前库存!$B:$J,SMALL($B:$B,ROW(H177)),MATCH(J$3,$C$3:$J$3,0)),"")</f>
        <v/>
      </c>
    </row>
    <row r="181" ht="21.95" customHeight="1" spans="2:10">
      <c r="B181" s="62" t="str">
        <f>IF(当前库存!J:J="采购",ROW(),"-")</f>
        <v>-</v>
      </c>
      <c r="C181" s="67" t="str">
        <f ca="1">IFERROR(INDEX(当前库存!$B:$J,SMALL($B:$B,ROW(A178)),MATCH(C$3,$C$3:$J$3,0)),"")</f>
        <v/>
      </c>
      <c r="D181" s="68" t="str">
        <f ca="1">IFERROR(INDEX(当前库存!$B:$J,SMALL($B:$B,ROW(B178)),MATCH(D$3,$C$3:$J$3,0)),"")</f>
        <v/>
      </c>
      <c r="E181" s="68" t="str">
        <f ca="1">IFERROR(INDEX(当前库存!$B:$J,SMALL($B:$B,ROW(C178)),MATCH(E$3,$C$3:$J$3,0)),"")</f>
        <v/>
      </c>
      <c r="F181" s="68" t="str">
        <f ca="1">IFERROR(INDEX(当前库存!$B:$J,SMALL($B:$B,ROW(D179)),MATCH(F$3,$C$3:$J$3,0)),"")</f>
        <v/>
      </c>
      <c r="G181" s="68" t="str">
        <f ca="1">IFERROR(INDEX(当前库存!$B:$J,SMALL($B:$B,ROW(E179)),MATCH(G$3,$C$3:$J$3,0)),"")</f>
        <v/>
      </c>
      <c r="H181" s="68" t="str">
        <f ca="1">IFERROR(INDEX(当前库存!$B:$J,SMALL($B:$B,ROW(F179)),MATCH(H$3,$C$3:$J$3,0)),"")</f>
        <v/>
      </c>
      <c r="I181" s="68" t="str">
        <f ca="1">IFERROR(INDEX(当前库存!$B:$J,SMALL($B:$B,ROW(G178)),MATCH(I$3,$C$3:$J$3,0)),"")</f>
        <v/>
      </c>
      <c r="J181" s="68" t="str">
        <f ca="1">IFERROR(INDEX(当前库存!$B:$J,SMALL($B:$B,ROW(H178)),MATCH(J$3,$C$3:$J$3,0)),"")</f>
        <v/>
      </c>
    </row>
    <row r="182" ht="21.95" customHeight="1" spans="2:10">
      <c r="B182" s="62" t="str">
        <f>IF(当前库存!J:J="采购",ROW(),"-")</f>
        <v>-</v>
      </c>
      <c r="C182" s="67" t="str">
        <f ca="1">IFERROR(INDEX(当前库存!$B:$J,SMALL($B:$B,ROW(A179)),MATCH(C$3,$C$3:$J$3,0)),"")</f>
        <v/>
      </c>
      <c r="D182" s="68" t="str">
        <f ca="1">IFERROR(INDEX(当前库存!$B:$J,SMALL($B:$B,ROW(B179)),MATCH(D$3,$C$3:$J$3,0)),"")</f>
        <v/>
      </c>
      <c r="E182" s="68" t="str">
        <f ca="1">IFERROR(INDEX(当前库存!$B:$J,SMALL($B:$B,ROW(C179)),MATCH(E$3,$C$3:$J$3,0)),"")</f>
        <v/>
      </c>
      <c r="F182" s="68" t="str">
        <f ca="1">IFERROR(INDEX(当前库存!$B:$J,SMALL($B:$B,ROW(D180)),MATCH(F$3,$C$3:$J$3,0)),"")</f>
        <v/>
      </c>
      <c r="G182" s="68" t="str">
        <f ca="1">IFERROR(INDEX(当前库存!$B:$J,SMALL($B:$B,ROW(E180)),MATCH(G$3,$C$3:$J$3,0)),"")</f>
        <v/>
      </c>
      <c r="H182" s="68" t="str">
        <f ca="1">IFERROR(INDEX(当前库存!$B:$J,SMALL($B:$B,ROW(F180)),MATCH(H$3,$C$3:$J$3,0)),"")</f>
        <v/>
      </c>
      <c r="I182" s="68" t="str">
        <f ca="1">IFERROR(INDEX(当前库存!$B:$J,SMALL($B:$B,ROW(G179)),MATCH(I$3,$C$3:$J$3,0)),"")</f>
        <v/>
      </c>
      <c r="J182" s="68" t="str">
        <f ca="1">IFERROR(INDEX(当前库存!$B:$J,SMALL($B:$B,ROW(H179)),MATCH(J$3,$C$3:$J$3,0)),"")</f>
        <v/>
      </c>
    </row>
    <row r="183" ht="21.95" customHeight="1" spans="2:10">
      <c r="B183" s="62" t="str">
        <f>IF(当前库存!J:J="采购",ROW(),"-")</f>
        <v>-</v>
      </c>
      <c r="C183" s="67" t="str">
        <f ca="1">IFERROR(INDEX(当前库存!$B:$J,SMALL($B:$B,ROW(A180)),MATCH(C$3,$C$3:$J$3,0)),"")</f>
        <v/>
      </c>
      <c r="D183" s="68" t="str">
        <f ca="1">IFERROR(INDEX(当前库存!$B:$J,SMALL($B:$B,ROW(B180)),MATCH(D$3,$C$3:$J$3,0)),"")</f>
        <v/>
      </c>
      <c r="E183" s="68" t="str">
        <f ca="1">IFERROR(INDEX(当前库存!$B:$J,SMALL($B:$B,ROW(C180)),MATCH(E$3,$C$3:$J$3,0)),"")</f>
        <v/>
      </c>
      <c r="F183" s="68" t="str">
        <f ca="1">IFERROR(INDEX(当前库存!$B:$J,SMALL($B:$B,ROW(D181)),MATCH(F$3,$C$3:$J$3,0)),"")</f>
        <v/>
      </c>
      <c r="G183" s="68" t="str">
        <f ca="1">IFERROR(INDEX(当前库存!$B:$J,SMALL($B:$B,ROW(E181)),MATCH(G$3,$C$3:$J$3,0)),"")</f>
        <v/>
      </c>
      <c r="H183" s="68" t="str">
        <f ca="1">IFERROR(INDEX(当前库存!$B:$J,SMALL($B:$B,ROW(F181)),MATCH(H$3,$C$3:$J$3,0)),"")</f>
        <v/>
      </c>
      <c r="I183" s="68" t="str">
        <f ca="1">IFERROR(INDEX(当前库存!$B:$J,SMALL($B:$B,ROW(G180)),MATCH(I$3,$C$3:$J$3,0)),"")</f>
        <v/>
      </c>
      <c r="J183" s="68" t="str">
        <f ca="1">IFERROR(INDEX(当前库存!$B:$J,SMALL($B:$B,ROW(H180)),MATCH(J$3,$C$3:$J$3,0)),"")</f>
        <v/>
      </c>
    </row>
    <row r="184" ht="21.95" customHeight="1" spans="2:10">
      <c r="B184" s="62" t="str">
        <f>IF(当前库存!J:J="采购",ROW(),"-")</f>
        <v>-</v>
      </c>
      <c r="C184" s="67" t="str">
        <f ca="1">IFERROR(INDEX(当前库存!$B:$J,SMALL($B:$B,ROW(A181)),MATCH(C$3,$C$3:$J$3,0)),"")</f>
        <v/>
      </c>
      <c r="D184" s="68" t="str">
        <f ca="1">IFERROR(INDEX(当前库存!$B:$J,SMALL($B:$B,ROW(B181)),MATCH(D$3,$C$3:$J$3,0)),"")</f>
        <v/>
      </c>
      <c r="E184" s="68" t="str">
        <f ca="1">IFERROR(INDEX(当前库存!$B:$J,SMALL($B:$B,ROW(C181)),MATCH(E$3,$C$3:$J$3,0)),"")</f>
        <v/>
      </c>
      <c r="F184" s="68" t="str">
        <f ca="1">IFERROR(INDEX(当前库存!$B:$J,SMALL($B:$B,ROW(D182)),MATCH(F$3,$C$3:$J$3,0)),"")</f>
        <v/>
      </c>
      <c r="G184" s="68" t="str">
        <f ca="1">IFERROR(INDEX(当前库存!$B:$J,SMALL($B:$B,ROW(E182)),MATCH(G$3,$C$3:$J$3,0)),"")</f>
        <v/>
      </c>
      <c r="H184" s="68" t="str">
        <f ca="1">IFERROR(INDEX(当前库存!$B:$J,SMALL($B:$B,ROW(F182)),MATCH(H$3,$C$3:$J$3,0)),"")</f>
        <v/>
      </c>
      <c r="I184" s="68" t="str">
        <f ca="1">IFERROR(INDEX(当前库存!$B:$J,SMALL($B:$B,ROW(G181)),MATCH(I$3,$C$3:$J$3,0)),"")</f>
        <v/>
      </c>
      <c r="J184" s="68" t="str">
        <f ca="1">IFERROR(INDEX(当前库存!$B:$J,SMALL($B:$B,ROW(H181)),MATCH(J$3,$C$3:$J$3,0)),"")</f>
        <v/>
      </c>
    </row>
    <row r="185" ht="21.95" customHeight="1" spans="2:10">
      <c r="B185" s="62" t="str">
        <f>IF(当前库存!J:J="采购",ROW(),"-")</f>
        <v>-</v>
      </c>
      <c r="C185" s="67" t="str">
        <f ca="1">IFERROR(INDEX(当前库存!$B:$J,SMALL($B:$B,ROW(A182)),MATCH(C$3,$C$3:$J$3,0)),"")</f>
        <v/>
      </c>
      <c r="D185" s="68" t="str">
        <f ca="1">IFERROR(INDEX(当前库存!$B:$J,SMALL($B:$B,ROW(B182)),MATCH(D$3,$C$3:$J$3,0)),"")</f>
        <v/>
      </c>
      <c r="E185" s="68" t="str">
        <f ca="1">IFERROR(INDEX(当前库存!$B:$J,SMALL($B:$B,ROW(C182)),MATCH(E$3,$C$3:$J$3,0)),"")</f>
        <v/>
      </c>
      <c r="F185" s="68" t="str">
        <f ca="1">IFERROR(INDEX(当前库存!$B:$J,SMALL($B:$B,ROW(D183)),MATCH(F$3,$C$3:$J$3,0)),"")</f>
        <v/>
      </c>
      <c r="G185" s="68" t="str">
        <f ca="1">IFERROR(INDEX(当前库存!$B:$J,SMALL($B:$B,ROW(E183)),MATCH(G$3,$C$3:$J$3,0)),"")</f>
        <v/>
      </c>
      <c r="H185" s="68" t="str">
        <f ca="1">IFERROR(INDEX(当前库存!$B:$J,SMALL($B:$B,ROW(F183)),MATCH(H$3,$C$3:$J$3,0)),"")</f>
        <v/>
      </c>
      <c r="I185" s="68" t="str">
        <f ca="1">IFERROR(INDEX(当前库存!$B:$J,SMALL($B:$B,ROW(G182)),MATCH(I$3,$C$3:$J$3,0)),"")</f>
        <v/>
      </c>
      <c r="J185" s="68" t="str">
        <f ca="1">IFERROR(INDEX(当前库存!$B:$J,SMALL($B:$B,ROW(H182)),MATCH(J$3,$C$3:$J$3,0)),"")</f>
        <v/>
      </c>
    </row>
    <row r="186" ht="21.95" customHeight="1" spans="2:10">
      <c r="B186" s="62" t="str">
        <f>IF(当前库存!J:J="采购",ROW(),"-")</f>
        <v>-</v>
      </c>
      <c r="C186" s="67" t="str">
        <f ca="1">IFERROR(INDEX(当前库存!$B:$J,SMALL($B:$B,ROW(A183)),MATCH(C$3,$C$3:$J$3,0)),"")</f>
        <v/>
      </c>
      <c r="D186" s="68" t="str">
        <f ca="1">IFERROR(INDEX(当前库存!$B:$J,SMALL($B:$B,ROW(B183)),MATCH(D$3,$C$3:$J$3,0)),"")</f>
        <v/>
      </c>
      <c r="E186" s="68" t="str">
        <f ca="1">IFERROR(INDEX(当前库存!$B:$J,SMALL($B:$B,ROW(C183)),MATCH(E$3,$C$3:$J$3,0)),"")</f>
        <v/>
      </c>
      <c r="F186" s="68" t="str">
        <f ca="1">IFERROR(INDEX(当前库存!$B:$J,SMALL($B:$B,ROW(D184)),MATCH(F$3,$C$3:$J$3,0)),"")</f>
        <v/>
      </c>
      <c r="G186" s="68" t="str">
        <f ca="1">IFERROR(INDEX(当前库存!$B:$J,SMALL($B:$B,ROW(E184)),MATCH(G$3,$C$3:$J$3,0)),"")</f>
        <v/>
      </c>
      <c r="H186" s="68" t="str">
        <f ca="1">IFERROR(INDEX(当前库存!$B:$J,SMALL($B:$B,ROW(F184)),MATCH(H$3,$C$3:$J$3,0)),"")</f>
        <v/>
      </c>
      <c r="I186" s="68" t="str">
        <f ca="1">IFERROR(INDEX(当前库存!$B:$J,SMALL($B:$B,ROW(G183)),MATCH(I$3,$C$3:$J$3,0)),"")</f>
        <v/>
      </c>
      <c r="J186" s="68" t="str">
        <f ca="1">IFERROR(INDEX(当前库存!$B:$J,SMALL($B:$B,ROW(H183)),MATCH(J$3,$C$3:$J$3,0)),"")</f>
        <v/>
      </c>
    </row>
    <row r="187" ht="21.95" customHeight="1" spans="2:10">
      <c r="B187" s="62" t="str">
        <f>IF(当前库存!J:J="采购",ROW(),"-")</f>
        <v>-</v>
      </c>
      <c r="C187" s="67" t="str">
        <f ca="1">IFERROR(INDEX(当前库存!$B:$J,SMALL($B:$B,ROW(A184)),MATCH(C$3,$C$3:$J$3,0)),"")</f>
        <v/>
      </c>
      <c r="D187" s="68" t="str">
        <f ca="1">IFERROR(INDEX(当前库存!$B:$J,SMALL($B:$B,ROW(B184)),MATCH(D$3,$C$3:$J$3,0)),"")</f>
        <v/>
      </c>
      <c r="E187" s="68" t="str">
        <f ca="1">IFERROR(INDEX(当前库存!$B:$J,SMALL($B:$B,ROW(C184)),MATCH(E$3,$C$3:$J$3,0)),"")</f>
        <v/>
      </c>
      <c r="F187" s="68" t="str">
        <f ca="1">IFERROR(INDEX(当前库存!$B:$J,SMALL($B:$B,ROW(D185)),MATCH(F$3,$C$3:$J$3,0)),"")</f>
        <v/>
      </c>
      <c r="G187" s="68" t="str">
        <f ca="1">IFERROR(INDEX(当前库存!$B:$J,SMALL($B:$B,ROW(E185)),MATCH(G$3,$C$3:$J$3,0)),"")</f>
        <v/>
      </c>
      <c r="H187" s="68" t="str">
        <f ca="1">IFERROR(INDEX(当前库存!$B:$J,SMALL($B:$B,ROW(F185)),MATCH(H$3,$C$3:$J$3,0)),"")</f>
        <v/>
      </c>
      <c r="I187" s="68" t="str">
        <f ca="1">IFERROR(INDEX(当前库存!$B:$J,SMALL($B:$B,ROW(G184)),MATCH(I$3,$C$3:$J$3,0)),"")</f>
        <v/>
      </c>
      <c r="J187" s="68" t="str">
        <f ca="1">IFERROR(INDEX(当前库存!$B:$J,SMALL($B:$B,ROW(H184)),MATCH(J$3,$C$3:$J$3,0)),"")</f>
        <v/>
      </c>
    </row>
    <row r="188" ht="21.95" customHeight="1" spans="2:10">
      <c r="B188" s="62" t="str">
        <f>IF(当前库存!J:J="采购",ROW(),"-")</f>
        <v>-</v>
      </c>
      <c r="C188" s="67" t="str">
        <f ca="1">IFERROR(INDEX(当前库存!$B:$J,SMALL($B:$B,ROW(A185)),MATCH(C$3,$C$3:$J$3,0)),"")</f>
        <v/>
      </c>
      <c r="D188" s="68" t="str">
        <f ca="1">IFERROR(INDEX(当前库存!$B:$J,SMALL($B:$B,ROW(B185)),MATCH(D$3,$C$3:$J$3,0)),"")</f>
        <v/>
      </c>
      <c r="E188" s="68" t="str">
        <f ca="1">IFERROR(INDEX(当前库存!$B:$J,SMALL($B:$B,ROW(C185)),MATCH(E$3,$C$3:$J$3,0)),"")</f>
        <v/>
      </c>
      <c r="F188" s="68" t="str">
        <f ca="1">IFERROR(INDEX(当前库存!$B:$J,SMALL($B:$B,ROW(D186)),MATCH(F$3,$C$3:$J$3,0)),"")</f>
        <v/>
      </c>
      <c r="G188" s="68" t="str">
        <f ca="1">IFERROR(INDEX(当前库存!$B:$J,SMALL($B:$B,ROW(E186)),MATCH(G$3,$C$3:$J$3,0)),"")</f>
        <v/>
      </c>
      <c r="H188" s="68" t="str">
        <f ca="1">IFERROR(INDEX(当前库存!$B:$J,SMALL($B:$B,ROW(F186)),MATCH(H$3,$C$3:$J$3,0)),"")</f>
        <v/>
      </c>
      <c r="I188" s="68" t="str">
        <f ca="1">IFERROR(INDEX(当前库存!$B:$J,SMALL($B:$B,ROW(G185)),MATCH(I$3,$C$3:$J$3,0)),"")</f>
        <v/>
      </c>
      <c r="J188" s="68" t="str">
        <f ca="1">IFERROR(INDEX(当前库存!$B:$J,SMALL($B:$B,ROW(H185)),MATCH(J$3,$C$3:$J$3,0)),"")</f>
        <v/>
      </c>
    </row>
    <row r="189" ht="21.95" customHeight="1" spans="2:10">
      <c r="B189" s="62" t="str">
        <f>IF(当前库存!J:J="采购",ROW(),"-")</f>
        <v>-</v>
      </c>
      <c r="C189" s="67" t="str">
        <f ca="1">IFERROR(INDEX(当前库存!$B:$J,SMALL($B:$B,ROW(A186)),MATCH(C$3,$C$3:$J$3,0)),"")</f>
        <v/>
      </c>
      <c r="D189" s="68" t="str">
        <f ca="1">IFERROR(INDEX(当前库存!$B:$J,SMALL($B:$B,ROW(B186)),MATCH(D$3,$C$3:$J$3,0)),"")</f>
        <v/>
      </c>
      <c r="E189" s="68" t="str">
        <f ca="1">IFERROR(INDEX(当前库存!$B:$J,SMALL($B:$B,ROW(C186)),MATCH(E$3,$C$3:$J$3,0)),"")</f>
        <v/>
      </c>
      <c r="F189" s="68" t="str">
        <f ca="1">IFERROR(INDEX(当前库存!$B:$J,SMALL($B:$B,ROW(D187)),MATCH(F$3,$C$3:$J$3,0)),"")</f>
        <v/>
      </c>
      <c r="G189" s="68" t="str">
        <f ca="1">IFERROR(INDEX(当前库存!$B:$J,SMALL($B:$B,ROW(E187)),MATCH(G$3,$C$3:$J$3,0)),"")</f>
        <v/>
      </c>
      <c r="H189" s="68" t="str">
        <f ca="1">IFERROR(INDEX(当前库存!$B:$J,SMALL($B:$B,ROW(F187)),MATCH(H$3,$C$3:$J$3,0)),"")</f>
        <v/>
      </c>
      <c r="I189" s="68" t="str">
        <f ca="1">IFERROR(INDEX(当前库存!$B:$J,SMALL($B:$B,ROW(G186)),MATCH(I$3,$C$3:$J$3,0)),"")</f>
        <v/>
      </c>
      <c r="J189" s="68" t="str">
        <f ca="1">IFERROR(INDEX(当前库存!$B:$J,SMALL($B:$B,ROW(H186)),MATCH(J$3,$C$3:$J$3,0)),"")</f>
        <v/>
      </c>
    </row>
    <row r="190" ht="21.95" customHeight="1" spans="2:10">
      <c r="B190" s="62" t="str">
        <f>IF(当前库存!J:J="采购",ROW(),"-")</f>
        <v>-</v>
      </c>
      <c r="C190" s="67" t="str">
        <f ca="1">IFERROR(INDEX(当前库存!$B:$J,SMALL($B:$B,ROW(A187)),MATCH(C$3,$C$3:$J$3,0)),"")</f>
        <v/>
      </c>
      <c r="D190" s="68" t="str">
        <f ca="1">IFERROR(INDEX(当前库存!$B:$J,SMALL($B:$B,ROW(B187)),MATCH(D$3,$C$3:$J$3,0)),"")</f>
        <v/>
      </c>
      <c r="E190" s="68" t="str">
        <f ca="1">IFERROR(INDEX(当前库存!$B:$J,SMALL($B:$B,ROW(C187)),MATCH(E$3,$C$3:$J$3,0)),"")</f>
        <v/>
      </c>
      <c r="F190" s="68" t="str">
        <f ca="1">IFERROR(INDEX(当前库存!$B:$J,SMALL($B:$B,ROW(D188)),MATCH(F$3,$C$3:$J$3,0)),"")</f>
        <v/>
      </c>
      <c r="G190" s="68" t="str">
        <f ca="1">IFERROR(INDEX(当前库存!$B:$J,SMALL($B:$B,ROW(E188)),MATCH(G$3,$C$3:$J$3,0)),"")</f>
        <v/>
      </c>
      <c r="H190" s="68" t="str">
        <f ca="1">IFERROR(INDEX(当前库存!$B:$J,SMALL($B:$B,ROW(F188)),MATCH(H$3,$C$3:$J$3,0)),"")</f>
        <v/>
      </c>
      <c r="I190" s="68" t="str">
        <f ca="1">IFERROR(INDEX(当前库存!$B:$J,SMALL($B:$B,ROW(G187)),MATCH(I$3,$C$3:$J$3,0)),"")</f>
        <v/>
      </c>
      <c r="J190" s="68" t="str">
        <f ca="1">IFERROR(INDEX(当前库存!$B:$J,SMALL($B:$B,ROW(H187)),MATCH(J$3,$C$3:$J$3,0)),"")</f>
        <v/>
      </c>
    </row>
    <row r="191" ht="21.95" customHeight="1" spans="2:10">
      <c r="B191" s="62" t="str">
        <f>IF(当前库存!J:J="采购",ROW(),"-")</f>
        <v>-</v>
      </c>
      <c r="C191" s="67" t="str">
        <f ca="1">IFERROR(INDEX(当前库存!$B:$J,SMALL($B:$B,ROW(A188)),MATCH(C$3,$C$3:$J$3,0)),"")</f>
        <v/>
      </c>
      <c r="D191" s="68" t="str">
        <f ca="1">IFERROR(INDEX(当前库存!$B:$J,SMALL($B:$B,ROW(B188)),MATCH(D$3,$C$3:$J$3,0)),"")</f>
        <v/>
      </c>
      <c r="E191" s="68" t="str">
        <f ca="1">IFERROR(INDEX(当前库存!$B:$J,SMALL($B:$B,ROW(C188)),MATCH(E$3,$C$3:$J$3,0)),"")</f>
        <v/>
      </c>
      <c r="F191" s="68" t="str">
        <f ca="1">IFERROR(INDEX(当前库存!$B:$J,SMALL($B:$B,ROW(D189)),MATCH(F$3,$C$3:$J$3,0)),"")</f>
        <v/>
      </c>
      <c r="G191" s="68" t="str">
        <f ca="1">IFERROR(INDEX(当前库存!$B:$J,SMALL($B:$B,ROW(E189)),MATCH(G$3,$C$3:$J$3,0)),"")</f>
        <v/>
      </c>
      <c r="H191" s="68" t="str">
        <f ca="1">IFERROR(INDEX(当前库存!$B:$J,SMALL($B:$B,ROW(F189)),MATCH(H$3,$C$3:$J$3,0)),"")</f>
        <v/>
      </c>
      <c r="I191" s="68" t="str">
        <f ca="1">IFERROR(INDEX(当前库存!$B:$J,SMALL($B:$B,ROW(G188)),MATCH(I$3,$C$3:$J$3,0)),"")</f>
        <v/>
      </c>
      <c r="J191" s="68" t="str">
        <f ca="1">IFERROR(INDEX(当前库存!$B:$J,SMALL($B:$B,ROW(H188)),MATCH(J$3,$C$3:$J$3,0)),"")</f>
        <v/>
      </c>
    </row>
    <row r="192" ht="21.95" customHeight="1" spans="2:10">
      <c r="B192" s="62" t="str">
        <f>IF(当前库存!J:J="采购",ROW(),"-")</f>
        <v>-</v>
      </c>
      <c r="C192" s="67" t="str">
        <f ca="1">IFERROR(INDEX(当前库存!$B:$J,SMALL($B:$B,ROW(A189)),MATCH(C$3,$C$3:$J$3,0)),"")</f>
        <v/>
      </c>
      <c r="D192" s="68" t="str">
        <f ca="1">IFERROR(INDEX(当前库存!$B:$J,SMALL($B:$B,ROW(B189)),MATCH(D$3,$C$3:$J$3,0)),"")</f>
        <v/>
      </c>
      <c r="E192" s="68" t="str">
        <f ca="1">IFERROR(INDEX(当前库存!$B:$J,SMALL($B:$B,ROW(C189)),MATCH(E$3,$C$3:$J$3,0)),"")</f>
        <v/>
      </c>
      <c r="F192" s="68" t="str">
        <f ca="1">IFERROR(INDEX(当前库存!$B:$J,SMALL($B:$B,ROW(D190)),MATCH(F$3,$C$3:$J$3,0)),"")</f>
        <v/>
      </c>
      <c r="G192" s="68" t="str">
        <f ca="1">IFERROR(INDEX(当前库存!$B:$J,SMALL($B:$B,ROW(E190)),MATCH(G$3,$C$3:$J$3,0)),"")</f>
        <v/>
      </c>
      <c r="H192" s="68" t="str">
        <f ca="1">IFERROR(INDEX(当前库存!$B:$J,SMALL($B:$B,ROW(F190)),MATCH(H$3,$C$3:$J$3,0)),"")</f>
        <v/>
      </c>
      <c r="I192" s="68" t="str">
        <f ca="1">IFERROR(INDEX(当前库存!$B:$J,SMALL($B:$B,ROW(G189)),MATCH(I$3,$C$3:$J$3,0)),"")</f>
        <v/>
      </c>
      <c r="J192" s="68" t="str">
        <f ca="1">IFERROR(INDEX(当前库存!$B:$J,SMALL($B:$B,ROW(H189)),MATCH(J$3,$C$3:$J$3,0)),"")</f>
        <v/>
      </c>
    </row>
    <row r="193" ht="21.95" customHeight="1" spans="2:10">
      <c r="B193" s="62" t="str">
        <f>IF(当前库存!J:J="采购",ROW(),"-")</f>
        <v>-</v>
      </c>
      <c r="C193" s="67" t="str">
        <f ca="1">IFERROR(INDEX(当前库存!$B:$J,SMALL($B:$B,ROW(A190)),MATCH(C$3,$C$3:$J$3,0)),"")</f>
        <v/>
      </c>
      <c r="D193" s="68" t="str">
        <f ca="1">IFERROR(INDEX(当前库存!$B:$J,SMALL($B:$B,ROW(B190)),MATCH(D$3,$C$3:$J$3,0)),"")</f>
        <v/>
      </c>
      <c r="E193" s="68" t="str">
        <f ca="1">IFERROR(INDEX(当前库存!$B:$J,SMALL($B:$B,ROW(C190)),MATCH(E$3,$C$3:$J$3,0)),"")</f>
        <v/>
      </c>
      <c r="F193" s="68" t="str">
        <f ca="1">IFERROR(INDEX(当前库存!$B:$J,SMALL($B:$B,ROW(D191)),MATCH(F$3,$C$3:$J$3,0)),"")</f>
        <v/>
      </c>
      <c r="G193" s="68" t="str">
        <f ca="1">IFERROR(INDEX(当前库存!$B:$J,SMALL($B:$B,ROW(E191)),MATCH(G$3,$C$3:$J$3,0)),"")</f>
        <v/>
      </c>
      <c r="H193" s="68" t="str">
        <f ca="1">IFERROR(INDEX(当前库存!$B:$J,SMALL($B:$B,ROW(F191)),MATCH(H$3,$C$3:$J$3,0)),"")</f>
        <v/>
      </c>
      <c r="I193" s="68" t="str">
        <f ca="1">IFERROR(INDEX(当前库存!$B:$J,SMALL($B:$B,ROW(G190)),MATCH(I$3,$C$3:$J$3,0)),"")</f>
        <v/>
      </c>
      <c r="J193" s="68" t="str">
        <f ca="1">IFERROR(INDEX(当前库存!$B:$J,SMALL($B:$B,ROW(H190)),MATCH(J$3,$C$3:$J$3,0)),"")</f>
        <v/>
      </c>
    </row>
    <row r="194" ht="21.95" customHeight="1" spans="2:10">
      <c r="B194" s="62" t="str">
        <f>IF(当前库存!J:J="采购",ROW(),"-")</f>
        <v>-</v>
      </c>
      <c r="C194" s="67" t="str">
        <f ca="1">IFERROR(INDEX(当前库存!$B:$J,SMALL($B:$B,ROW(A191)),MATCH(C$3,$C$3:$J$3,0)),"")</f>
        <v/>
      </c>
      <c r="D194" s="68" t="str">
        <f ca="1">IFERROR(INDEX(当前库存!$B:$J,SMALL($B:$B,ROW(B191)),MATCH(D$3,$C$3:$J$3,0)),"")</f>
        <v/>
      </c>
      <c r="E194" s="68" t="str">
        <f ca="1">IFERROR(INDEX(当前库存!$B:$J,SMALL($B:$B,ROW(C191)),MATCH(E$3,$C$3:$J$3,0)),"")</f>
        <v/>
      </c>
      <c r="F194" s="68" t="str">
        <f ca="1">IFERROR(INDEX(当前库存!$B:$J,SMALL($B:$B,ROW(D192)),MATCH(F$3,$C$3:$J$3,0)),"")</f>
        <v/>
      </c>
      <c r="G194" s="68" t="str">
        <f ca="1">IFERROR(INDEX(当前库存!$B:$J,SMALL($B:$B,ROW(E192)),MATCH(G$3,$C$3:$J$3,0)),"")</f>
        <v/>
      </c>
      <c r="H194" s="68" t="str">
        <f ca="1">IFERROR(INDEX(当前库存!$B:$J,SMALL($B:$B,ROW(F192)),MATCH(H$3,$C$3:$J$3,0)),"")</f>
        <v/>
      </c>
      <c r="I194" s="68" t="str">
        <f ca="1">IFERROR(INDEX(当前库存!$B:$J,SMALL($B:$B,ROW(G191)),MATCH(I$3,$C$3:$J$3,0)),"")</f>
        <v/>
      </c>
      <c r="J194" s="68" t="str">
        <f ca="1">IFERROR(INDEX(当前库存!$B:$J,SMALL($B:$B,ROW(H191)),MATCH(J$3,$C$3:$J$3,0)),"")</f>
        <v/>
      </c>
    </row>
    <row r="195" ht="21.95" customHeight="1" spans="2:10">
      <c r="B195" s="62" t="str">
        <f>IF(当前库存!J:J="采购",ROW(),"-")</f>
        <v>-</v>
      </c>
      <c r="C195" s="67" t="str">
        <f ca="1">IFERROR(INDEX(当前库存!$B:$J,SMALL($B:$B,ROW(A192)),MATCH(C$3,$C$3:$J$3,0)),"")</f>
        <v/>
      </c>
      <c r="D195" s="68" t="str">
        <f ca="1">IFERROR(INDEX(当前库存!$B:$J,SMALL($B:$B,ROW(B192)),MATCH(D$3,$C$3:$J$3,0)),"")</f>
        <v/>
      </c>
      <c r="E195" s="68" t="str">
        <f ca="1">IFERROR(INDEX(当前库存!$B:$J,SMALL($B:$B,ROW(C192)),MATCH(E$3,$C$3:$J$3,0)),"")</f>
        <v/>
      </c>
      <c r="F195" s="68" t="str">
        <f ca="1">IFERROR(INDEX(当前库存!$B:$J,SMALL($B:$B,ROW(D193)),MATCH(F$3,$C$3:$J$3,0)),"")</f>
        <v/>
      </c>
      <c r="G195" s="68" t="str">
        <f ca="1">IFERROR(INDEX(当前库存!$B:$J,SMALL($B:$B,ROW(E193)),MATCH(G$3,$C$3:$J$3,0)),"")</f>
        <v/>
      </c>
      <c r="H195" s="68" t="str">
        <f ca="1">IFERROR(INDEX(当前库存!$B:$J,SMALL($B:$B,ROW(F193)),MATCH(H$3,$C$3:$J$3,0)),"")</f>
        <v/>
      </c>
      <c r="I195" s="68" t="str">
        <f ca="1">IFERROR(INDEX(当前库存!$B:$J,SMALL($B:$B,ROW(G192)),MATCH(I$3,$C$3:$J$3,0)),"")</f>
        <v/>
      </c>
      <c r="J195" s="68" t="str">
        <f ca="1">IFERROR(INDEX(当前库存!$B:$J,SMALL($B:$B,ROW(H192)),MATCH(J$3,$C$3:$J$3,0)),"")</f>
        <v/>
      </c>
    </row>
    <row r="196" ht="21.95" customHeight="1" spans="2:10">
      <c r="B196" s="62" t="str">
        <f>IF(当前库存!J:J="采购",ROW(),"-")</f>
        <v>-</v>
      </c>
      <c r="C196" s="67" t="str">
        <f ca="1">IFERROR(INDEX(当前库存!$B:$J,SMALL($B:$B,ROW(A193)),MATCH(C$3,$C$3:$J$3,0)),"")</f>
        <v/>
      </c>
      <c r="D196" s="68" t="str">
        <f ca="1">IFERROR(INDEX(当前库存!$B:$J,SMALL($B:$B,ROW(B193)),MATCH(D$3,$C$3:$J$3,0)),"")</f>
        <v/>
      </c>
      <c r="E196" s="68" t="str">
        <f ca="1">IFERROR(INDEX(当前库存!$B:$J,SMALL($B:$B,ROW(C193)),MATCH(E$3,$C$3:$J$3,0)),"")</f>
        <v/>
      </c>
      <c r="F196" s="68" t="str">
        <f ca="1">IFERROR(INDEX(当前库存!$B:$J,SMALL($B:$B,ROW(D194)),MATCH(F$3,$C$3:$J$3,0)),"")</f>
        <v/>
      </c>
      <c r="G196" s="68" t="str">
        <f ca="1">IFERROR(INDEX(当前库存!$B:$J,SMALL($B:$B,ROW(E194)),MATCH(G$3,$C$3:$J$3,0)),"")</f>
        <v/>
      </c>
      <c r="H196" s="68" t="str">
        <f ca="1">IFERROR(INDEX(当前库存!$B:$J,SMALL($B:$B,ROW(F194)),MATCH(H$3,$C$3:$J$3,0)),"")</f>
        <v/>
      </c>
      <c r="I196" s="68" t="str">
        <f ca="1">IFERROR(INDEX(当前库存!$B:$J,SMALL($B:$B,ROW(G193)),MATCH(I$3,$C$3:$J$3,0)),"")</f>
        <v/>
      </c>
      <c r="J196" s="68" t="str">
        <f ca="1">IFERROR(INDEX(当前库存!$B:$J,SMALL($B:$B,ROW(H193)),MATCH(J$3,$C$3:$J$3,0)),"")</f>
        <v/>
      </c>
    </row>
    <row r="197" ht="21.95" customHeight="1" spans="2:10">
      <c r="B197" s="62" t="str">
        <f>IF(当前库存!J:J="采购",ROW(),"-")</f>
        <v>-</v>
      </c>
      <c r="C197" s="67" t="str">
        <f ca="1">IFERROR(INDEX(当前库存!$B:$J,SMALL($B:$B,ROW(A194)),MATCH(C$3,$C$3:$J$3,0)),"")</f>
        <v/>
      </c>
      <c r="D197" s="68" t="str">
        <f ca="1">IFERROR(INDEX(当前库存!$B:$J,SMALL($B:$B,ROW(B194)),MATCH(D$3,$C$3:$J$3,0)),"")</f>
        <v/>
      </c>
      <c r="E197" s="68" t="str">
        <f ca="1">IFERROR(INDEX(当前库存!$B:$J,SMALL($B:$B,ROW(C194)),MATCH(E$3,$C$3:$J$3,0)),"")</f>
        <v/>
      </c>
      <c r="F197" s="68" t="str">
        <f ca="1">IFERROR(INDEX(当前库存!$B:$J,SMALL($B:$B,ROW(D195)),MATCH(F$3,$C$3:$J$3,0)),"")</f>
        <v/>
      </c>
      <c r="G197" s="68" t="str">
        <f ca="1">IFERROR(INDEX(当前库存!$B:$J,SMALL($B:$B,ROW(E195)),MATCH(G$3,$C$3:$J$3,0)),"")</f>
        <v/>
      </c>
      <c r="H197" s="68" t="str">
        <f ca="1">IFERROR(INDEX(当前库存!$B:$J,SMALL($B:$B,ROW(F195)),MATCH(H$3,$C$3:$J$3,0)),"")</f>
        <v/>
      </c>
      <c r="I197" s="68" t="str">
        <f ca="1">IFERROR(INDEX(当前库存!$B:$J,SMALL($B:$B,ROW(G194)),MATCH(I$3,$C$3:$J$3,0)),"")</f>
        <v/>
      </c>
      <c r="J197" s="68" t="str">
        <f ca="1">IFERROR(INDEX(当前库存!$B:$J,SMALL($B:$B,ROW(H194)),MATCH(J$3,$C$3:$J$3,0)),"")</f>
        <v/>
      </c>
    </row>
    <row r="198" ht="21.95" customHeight="1" spans="2:10">
      <c r="B198" s="62" t="str">
        <f>IF(当前库存!J:J="采购",ROW(),"-")</f>
        <v>-</v>
      </c>
      <c r="C198" s="67" t="str">
        <f ca="1">IFERROR(INDEX(当前库存!$B:$J,SMALL($B:$B,ROW(A195)),MATCH(C$3,$C$3:$J$3,0)),"")</f>
        <v/>
      </c>
      <c r="D198" s="68" t="str">
        <f ca="1">IFERROR(INDEX(当前库存!$B:$J,SMALL($B:$B,ROW(B195)),MATCH(D$3,$C$3:$J$3,0)),"")</f>
        <v/>
      </c>
      <c r="E198" s="68" t="str">
        <f ca="1">IFERROR(INDEX(当前库存!$B:$J,SMALL($B:$B,ROW(C195)),MATCH(E$3,$C$3:$J$3,0)),"")</f>
        <v/>
      </c>
      <c r="F198" s="68" t="str">
        <f ca="1">IFERROR(INDEX(当前库存!$B:$J,SMALL($B:$B,ROW(D196)),MATCH(F$3,$C$3:$J$3,0)),"")</f>
        <v/>
      </c>
      <c r="G198" s="68" t="str">
        <f ca="1">IFERROR(INDEX(当前库存!$B:$J,SMALL($B:$B,ROW(E196)),MATCH(G$3,$C$3:$J$3,0)),"")</f>
        <v/>
      </c>
      <c r="H198" s="68" t="str">
        <f ca="1">IFERROR(INDEX(当前库存!$B:$J,SMALL($B:$B,ROW(F196)),MATCH(H$3,$C$3:$J$3,0)),"")</f>
        <v/>
      </c>
      <c r="I198" s="68" t="str">
        <f ca="1">IFERROR(INDEX(当前库存!$B:$J,SMALL($B:$B,ROW(G195)),MATCH(I$3,$C$3:$J$3,0)),"")</f>
        <v/>
      </c>
      <c r="J198" s="68" t="str">
        <f ca="1">IFERROR(INDEX(当前库存!$B:$J,SMALL($B:$B,ROW(H195)),MATCH(J$3,$C$3:$J$3,0)),"")</f>
        <v/>
      </c>
    </row>
    <row r="199" ht="21.95" customHeight="1" spans="2:10">
      <c r="B199" s="62" t="str">
        <f>IF(当前库存!J:J="采购",ROW(),"-")</f>
        <v>-</v>
      </c>
      <c r="C199" s="67" t="str">
        <f ca="1">IFERROR(INDEX(当前库存!$B:$J,SMALL($B:$B,ROW(A196)),MATCH(C$3,$C$3:$J$3,0)),"")</f>
        <v/>
      </c>
      <c r="D199" s="68" t="str">
        <f ca="1">IFERROR(INDEX(当前库存!$B:$J,SMALL($B:$B,ROW(B196)),MATCH(D$3,$C$3:$J$3,0)),"")</f>
        <v/>
      </c>
      <c r="E199" s="68" t="str">
        <f ca="1">IFERROR(INDEX(当前库存!$B:$J,SMALL($B:$B,ROW(C196)),MATCH(E$3,$C$3:$J$3,0)),"")</f>
        <v/>
      </c>
      <c r="F199" s="68" t="str">
        <f ca="1">IFERROR(INDEX(当前库存!$B:$J,SMALL($B:$B,ROW(D197)),MATCH(F$3,$C$3:$J$3,0)),"")</f>
        <v/>
      </c>
      <c r="G199" s="68" t="str">
        <f ca="1">IFERROR(INDEX(当前库存!$B:$J,SMALL($B:$B,ROW(E197)),MATCH(G$3,$C$3:$J$3,0)),"")</f>
        <v/>
      </c>
      <c r="H199" s="68" t="str">
        <f ca="1">IFERROR(INDEX(当前库存!$B:$J,SMALL($B:$B,ROW(F197)),MATCH(H$3,$C$3:$J$3,0)),"")</f>
        <v/>
      </c>
      <c r="I199" s="68" t="str">
        <f ca="1">IFERROR(INDEX(当前库存!$B:$J,SMALL($B:$B,ROW(G196)),MATCH(I$3,$C$3:$J$3,0)),"")</f>
        <v/>
      </c>
      <c r="J199" s="68" t="str">
        <f ca="1">IFERROR(INDEX(当前库存!$B:$J,SMALL($B:$B,ROW(H196)),MATCH(J$3,$C$3:$J$3,0)),"")</f>
        <v/>
      </c>
    </row>
    <row r="200" ht="21.95" customHeight="1" spans="2:10">
      <c r="B200" s="62" t="str">
        <f>IF(当前库存!J:J="采购",ROW(),"-")</f>
        <v>-</v>
      </c>
      <c r="C200" s="67" t="str">
        <f ca="1">IFERROR(INDEX(当前库存!$B:$J,SMALL($B:$B,ROW(A197)),MATCH(C$3,$C$3:$J$3,0)),"")</f>
        <v/>
      </c>
      <c r="D200" s="68" t="str">
        <f ca="1">IFERROR(INDEX(当前库存!$B:$J,SMALL($B:$B,ROW(B197)),MATCH(D$3,$C$3:$J$3,0)),"")</f>
        <v/>
      </c>
      <c r="E200" s="68" t="str">
        <f ca="1">IFERROR(INDEX(当前库存!$B:$J,SMALL($B:$B,ROW(C197)),MATCH(E$3,$C$3:$J$3,0)),"")</f>
        <v/>
      </c>
      <c r="F200" s="68" t="str">
        <f ca="1">IFERROR(INDEX(当前库存!$B:$J,SMALL($B:$B,ROW(D198)),MATCH(F$3,$C$3:$J$3,0)),"")</f>
        <v/>
      </c>
      <c r="G200" s="68" t="str">
        <f ca="1">IFERROR(INDEX(当前库存!$B:$J,SMALL($B:$B,ROW(E198)),MATCH(G$3,$C$3:$J$3,0)),"")</f>
        <v/>
      </c>
      <c r="H200" s="68" t="str">
        <f ca="1">IFERROR(INDEX(当前库存!$B:$J,SMALL($B:$B,ROW(F198)),MATCH(H$3,$C$3:$J$3,0)),"")</f>
        <v/>
      </c>
      <c r="I200" s="68" t="str">
        <f ca="1">IFERROR(INDEX(当前库存!$B:$J,SMALL($B:$B,ROW(G197)),MATCH(I$3,$C$3:$J$3,0)),"")</f>
        <v/>
      </c>
      <c r="J200" s="68" t="str">
        <f ca="1">IFERROR(INDEX(当前库存!$B:$J,SMALL($B:$B,ROW(H197)),MATCH(J$3,$C$3:$J$3,0)),"")</f>
        <v/>
      </c>
    </row>
    <row r="201" ht="21.95" customHeight="1" spans="2:10">
      <c r="B201" s="62" t="str">
        <f>IF(当前库存!J:J="采购",ROW(),"-")</f>
        <v>-</v>
      </c>
      <c r="C201" s="67" t="str">
        <f ca="1">IFERROR(INDEX(当前库存!$B:$J,SMALL($B:$B,ROW(A198)),MATCH(C$3,$C$3:$J$3,0)),"")</f>
        <v/>
      </c>
      <c r="D201" s="68" t="str">
        <f ca="1">IFERROR(INDEX(当前库存!$B:$J,SMALL($B:$B,ROW(B198)),MATCH(D$3,$C$3:$J$3,0)),"")</f>
        <v/>
      </c>
      <c r="E201" s="68" t="str">
        <f ca="1">IFERROR(INDEX(当前库存!$B:$J,SMALL($B:$B,ROW(C198)),MATCH(E$3,$C$3:$J$3,0)),"")</f>
        <v/>
      </c>
      <c r="F201" s="68" t="str">
        <f ca="1">IFERROR(INDEX(当前库存!$B:$J,SMALL($B:$B,ROW(D199)),MATCH(F$3,$C$3:$J$3,0)),"")</f>
        <v/>
      </c>
      <c r="G201" s="68" t="str">
        <f ca="1">IFERROR(INDEX(当前库存!$B:$J,SMALL($B:$B,ROW(E199)),MATCH(G$3,$C$3:$J$3,0)),"")</f>
        <v/>
      </c>
      <c r="H201" s="68" t="str">
        <f ca="1">IFERROR(INDEX(当前库存!$B:$J,SMALL($B:$B,ROW(F199)),MATCH(H$3,$C$3:$J$3,0)),"")</f>
        <v/>
      </c>
      <c r="I201" s="68" t="str">
        <f ca="1">IFERROR(INDEX(当前库存!$B:$J,SMALL($B:$B,ROW(G198)),MATCH(I$3,$C$3:$J$3,0)),"")</f>
        <v/>
      </c>
      <c r="J201" s="68" t="str">
        <f ca="1">IFERROR(INDEX(当前库存!$B:$J,SMALL($B:$B,ROW(H198)),MATCH(J$3,$C$3:$J$3,0)),"")</f>
        <v/>
      </c>
    </row>
    <row r="202" ht="21.95" customHeight="1" spans="2:10">
      <c r="B202" s="62" t="str">
        <f>IF(当前库存!J:J="采购",ROW(),"-")</f>
        <v>-</v>
      </c>
      <c r="C202" s="67" t="str">
        <f ca="1">IFERROR(INDEX(当前库存!$B:$J,SMALL($B:$B,ROW(A199)),MATCH(C$3,$C$3:$J$3,0)),"")</f>
        <v/>
      </c>
      <c r="D202" s="68" t="str">
        <f ca="1">IFERROR(INDEX(当前库存!$B:$J,SMALL($B:$B,ROW(B199)),MATCH(D$3,$C$3:$J$3,0)),"")</f>
        <v/>
      </c>
      <c r="E202" s="68" t="str">
        <f ca="1">IFERROR(INDEX(当前库存!$B:$J,SMALL($B:$B,ROW(C199)),MATCH(E$3,$C$3:$J$3,0)),"")</f>
        <v/>
      </c>
      <c r="F202" s="68" t="str">
        <f ca="1">IFERROR(INDEX(当前库存!$B:$J,SMALL($B:$B,ROW(D200)),MATCH(F$3,$C$3:$J$3,0)),"")</f>
        <v/>
      </c>
      <c r="G202" s="68" t="str">
        <f ca="1">IFERROR(INDEX(当前库存!$B:$J,SMALL($B:$B,ROW(E200)),MATCH(G$3,$C$3:$J$3,0)),"")</f>
        <v/>
      </c>
      <c r="H202" s="68" t="str">
        <f ca="1">IFERROR(INDEX(当前库存!$B:$J,SMALL($B:$B,ROW(F200)),MATCH(H$3,$C$3:$J$3,0)),"")</f>
        <v/>
      </c>
      <c r="I202" s="68" t="str">
        <f ca="1">IFERROR(INDEX(当前库存!$B:$J,SMALL($B:$B,ROW(G199)),MATCH(I$3,$C$3:$J$3,0)),"")</f>
        <v/>
      </c>
      <c r="J202" s="68" t="str">
        <f ca="1">IFERROR(INDEX(当前库存!$B:$J,SMALL($B:$B,ROW(H199)),MATCH(J$3,$C$3:$J$3,0)),"")</f>
        <v/>
      </c>
    </row>
    <row r="203" ht="21.95" customHeight="1" spans="2:10">
      <c r="B203" s="62" t="str">
        <f>IF(当前库存!J:J="采购",ROW(),"-")</f>
        <v>-</v>
      </c>
      <c r="C203" s="67" t="str">
        <f ca="1">IFERROR(INDEX(当前库存!$B:$J,SMALL($B:$B,ROW(A200)),MATCH(C$3,$C$3:$J$3,0)),"")</f>
        <v/>
      </c>
      <c r="D203" s="68" t="str">
        <f ca="1">IFERROR(INDEX(当前库存!$B:$J,SMALL($B:$B,ROW(B200)),MATCH(D$3,$C$3:$J$3,0)),"")</f>
        <v/>
      </c>
      <c r="E203" s="68" t="str">
        <f ca="1">IFERROR(INDEX(当前库存!$B:$J,SMALL($B:$B,ROW(C200)),MATCH(E$3,$C$3:$J$3,0)),"")</f>
        <v/>
      </c>
      <c r="F203" s="68" t="str">
        <f ca="1">IFERROR(INDEX(当前库存!$B:$J,SMALL($B:$B,ROW(D201)),MATCH(F$3,$C$3:$J$3,0)),"")</f>
        <v/>
      </c>
      <c r="G203" s="68" t="str">
        <f ca="1">IFERROR(INDEX(当前库存!$B:$J,SMALL($B:$B,ROW(E201)),MATCH(G$3,$C$3:$J$3,0)),"")</f>
        <v/>
      </c>
      <c r="H203" s="68" t="str">
        <f ca="1">IFERROR(INDEX(当前库存!$B:$J,SMALL($B:$B,ROW(F201)),MATCH(H$3,$C$3:$J$3,0)),"")</f>
        <v/>
      </c>
      <c r="I203" s="68" t="str">
        <f ca="1">IFERROR(INDEX(当前库存!$B:$J,SMALL($B:$B,ROW(G200)),MATCH(I$3,$C$3:$J$3,0)),"")</f>
        <v/>
      </c>
      <c r="J203" s="68" t="str">
        <f ca="1">IFERROR(INDEX(当前库存!$B:$J,SMALL($B:$B,ROW(H200)),MATCH(J$3,$C$3:$J$3,0)),"")</f>
        <v/>
      </c>
    </row>
    <row r="204" customHeight="1" spans="2:10">
      <c r="B204" s="62" t="str">
        <f>IF(当前库存!J:J="采购",ROW(),"-")</f>
        <v>-</v>
      </c>
    </row>
    <row r="205" customHeight="1" spans="2:10">
      <c r="B205" s="62">
        <f>IF(当前库存!J:J="采购",ROW(),"-")</f>
        <v>205</v>
      </c>
    </row>
    <row r="206" customHeight="1" spans="2:10">
      <c r="B206" s="62" t="str">
        <f>IF(当前库存!J:J="采购",ROW(),"-")</f>
        <v>-</v>
      </c>
    </row>
    <row r="207" customHeight="1" spans="2:10">
      <c r="B207" s="62" t="str">
        <f>IF(当前库存!J:J="采购",ROW(),"-")</f>
        <v>-</v>
      </c>
    </row>
    <row r="208" customHeight="1" spans="2:10">
      <c r="B208" s="62" t="str">
        <f>IF(当前库存!J:J="采购",ROW(),"-")</f>
        <v>-</v>
      </c>
    </row>
    <row r="209" customHeight="1" spans="2:2">
      <c r="B209" s="62" t="str">
        <f>IF(当前库存!J:J="采购",ROW(),"-")</f>
        <v>-</v>
      </c>
    </row>
    <row r="210" customHeight="1" spans="2:2">
      <c r="B210" s="62" t="str">
        <f>IF(当前库存!J:J="采购",ROW(),"-")</f>
        <v>-</v>
      </c>
    </row>
    <row r="211" customHeight="1" spans="2:2">
      <c r="B211" s="62" t="str">
        <f>IF(当前库存!J:J="采购",ROW(),"-")</f>
        <v>-</v>
      </c>
    </row>
    <row r="212" customHeight="1" spans="2:2">
      <c r="B212" s="62" t="str">
        <f>IF(当前库存!J:J="采购",ROW(),"-")</f>
        <v>-</v>
      </c>
    </row>
  </sheetData>
  <sheetProtection sheet="1" objects="1"/>
  <mergeCells count="1">
    <mergeCell ref="C2:J2"/>
  </mergeCells>
  <conditionalFormatting sqref="C4:C203">
    <cfRule type="notContainsBlanks" dxfId="2" priority="8">
      <formula>LEN(TRIM(C4))&gt;0</formula>
    </cfRule>
    <cfRule type="notContainsBlanks" dxfId="3" priority="9">
      <formula>LEN(TRIM(C4))&gt;0</formula>
    </cfRule>
  </conditionalFormatting>
  <conditionalFormatting sqref="D4:J203">
    <cfRule type="notContainsBlanks" dxfId="1" priority="7">
      <formula>LEN(TRIM(D4))&gt;0</formula>
    </cfRule>
  </conditionalFormatting>
  <pageMargins left="0.699305555555556" right="0.699305555555556" top="0.75" bottom="0.75" header="0.3" footer="0.3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CC00"/>
  </sheetPr>
  <dimension ref="A1:L215"/>
  <sheetViews>
    <sheetView showGridLines="0" workbookViewId="0">
      <selection activeCell="E4" sqref="E4"/>
    </sheetView>
  </sheetViews>
  <sheetFormatPr defaultColWidth="9" defaultRowHeight="18.95" customHeight="1"/>
  <cols>
    <col min="1" max="1" width="1.56363636363636" style="43" customWidth="1"/>
    <col min="2" max="2" width="9.14545454545454" style="44" customWidth="1"/>
    <col min="3" max="3" width="23.5636363636364" style="44" customWidth="1"/>
    <col min="4" max="4" width="14.4272727272727" style="44" customWidth="1"/>
    <col min="5" max="5" width="16.2818181818182" style="45" customWidth="1"/>
    <col min="6" max="7" width="14" style="45" customWidth="1"/>
    <col min="8" max="8" width="16.7090909090909" style="45" customWidth="1"/>
    <col min="9" max="9" width="14" style="44" customWidth="1"/>
    <col min="10" max="11" width="11.8545454545455" style="43" customWidth="1"/>
    <col min="12" max="16384" width="9" style="46"/>
  </cols>
  <sheetData>
    <row r="1" ht="9" customHeight="1" spans="1:12">
      <c r="I1" s="47"/>
    </row>
    <row r="2" ht="24" customHeight="1" spans="1:12">
      <c r="B2" s="48" t="s">
        <v>394</v>
      </c>
      <c r="C2" s="48"/>
      <c r="D2" s="48"/>
      <c r="E2" s="48"/>
      <c r="F2" s="48"/>
      <c r="G2" s="48"/>
      <c r="H2" s="48"/>
      <c r="I2" s="47"/>
      <c r="J2" s="49" t="s">
        <v>376</v>
      </c>
      <c r="K2" s="49" t="s">
        <v>377</v>
      </c>
    </row>
    <row r="3" s="42" customFormat="1" ht="9" customHeight="1" spans="1:12">
      <c r="A3" s="43"/>
      <c r="B3" s="47"/>
      <c r="C3" s="47"/>
      <c r="D3" s="47"/>
      <c r="E3" s="50"/>
      <c r="F3" s="50"/>
      <c r="G3" s="50"/>
      <c r="H3" s="50"/>
      <c r="I3" s="47"/>
      <c r="J3" s="51"/>
      <c r="K3" s="51"/>
    </row>
    <row r="4" s="42" customFormat="1" ht="24" customHeight="1" spans="1:12">
      <c r="A4" s="43"/>
      <c r="B4" s="52" t="s">
        <v>385</v>
      </c>
      <c r="C4" s="53"/>
      <c r="D4" s="54"/>
      <c r="E4" s="55">
        <f>DATE(2022,10,7)</f>
        <v>44841</v>
      </c>
      <c r="F4" s="56" t="s">
        <v>380</v>
      </c>
      <c r="G4" s="56"/>
      <c r="H4" s="57">
        <f>DATE(2022,10,30)</f>
        <v>44864</v>
      </c>
      <c r="I4" s="47"/>
      <c r="J4" s="58">
        <f>SUM(F7:F2000)</f>
        <v>84</v>
      </c>
      <c r="K4" s="58">
        <f>SUM(H7:H2000)</f>
        <v>519.6</v>
      </c>
      <c r="L4" s="43"/>
    </row>
    <row r="5" s="42" customFormat="1" ht="9" customHeight="1" spans="1:12">
      <c r="A5" s="43"/>
      <c r="B5" s="47"/>
      <c r="C5" s="47"/>
      <c r="D5" s="47"/>
      <c r="E5" s="50"/>
      <c r="F5" s="50"/>
      <c r="G5" s="50"/>
      <c r="H5" s="50"/>
      <c r="I5" s="47"/>
      <c r="J5" s="43"/>
      <c r="K5" s="43"/>
    </row>
    <row r="6" customHeight="1" spans="1:12">
      <c r="B6" s="59" t="s">
        <v>3</v>
      </c>
      <c r="C6" s="59" t="s">
        <v>4</v>
      </c>
      <c r="D6" s="59" t="s">
        <v>5</v>
      </c>
      <c r="E6" s="59" t="s">
        <v>6</v>
      </c>
      <c r="F6" s="59" t="s">
        <v>349</v>
      </c>
      <c r="G6" s="59" t="s">
        <v>7</v>
      </c>
      <c r="H6" s="59" t="s">
        <v>350</v>
      </c>
      <c r="I6" s="46"/>
    </row>
    <row r="7" customHeight="1" spans="1:12">
      <c r="B7" s="59">
        <v>1</v>
      </c>
      <c r="C7" s="60" t="str">
        <f>IF('基础-办公用品信息'!C4="","-",'基础-办公用品信息'!C4)</f>
        <v>A3打印纸</v>
      </c>
      <c r="D7" s="60" t="str">
        <f>IF('基础-办公用品信息'!D4="","-",'基础-办公用品信息'!D4)</f>
        <v>包</v>
      </c>
      <c r="E7" s="60" t="str">
        <f>IF('基础-办公用品信息'!E4="","-",'基础-办公用品信息'!E4)</f>
        <v>-</v>
      </c>
      <c r="F7" s="60">
        <f>SUMIFS('采购录入（明细）'!$I:$I,'采购录入（明细）'!$E:$E,C7,'采购录入（明细）'!$C:$C,"&gt;="&amp;$E$4,'采购录入（明细）'!$C:$C,"&lt;="&amp;$H$4)</f>
        <v>0</v>
      </c>
      <c r="G7" s="60">
        <f>IFERROR(VLOOKUP(C7,'基础-办公用品信息'!$C:$G,4,0),"-")</f>
        <v>175</v>
      </c>
      <c r="H7" s="61">
        <f>SUMIFS('采购录入（明细）'!$J:$J,'采购录入（明细）'!$E:$E,C7,'采购录入（明细）'!$C:$C,"&gt;="&amp;$E$4,'采购录入（明细）'!$C:$C,"&lt;="&amp;$H$4)</f>
        <v>0</v>
      </c>
      <c r="I7" s="46"/>
    </row>
    <row r="8" customHeight="1" spans="1:12">
      <c r="B8" s="59">
        <v>2</v>
      </c>
      <c r="C8" s="60" t="str">
        <f>IF('基础-办公用品信息'!C5="","-",'基础-办公用品信息'!C5)</f>
        <v>A4打印纸</v>
      </c>
      <c r="D8" s="60" t="str">
        <f>IF('基础-办公用品信息'!D5="","-",'基础-办公用品信息'!D5)</f>
        <v>包</v>
      </c>
      <c r="E8" s="60" t="str">
        <f>IF('基础-办公用品信息'!E5="","-",'基础-办公用品信息'!E5)</f>
        <v>-</v>
      </c>
      <c r="F8" s="60">
        <f>SUMIFS('采购录入（明细）'!$I:$I,'采购录入（明细）'!$E:$E,C8,'采购录入（明细）'!$C:$C,"&gt;="&amp;$E$4,'采购录入（明细）'!$C:$C,"&lt;="&amp;$H$4)</f>
        <v>0</v>
      </c>
      <c r="G8" s="60">
        <f>IFERROR(VLOOKUP(C8,'基础-办公用品信息'!$C:$G,4,0),"-")</f>
        <v>175</v>
      </c>
      <c r="H8" s="61">
        <f>SUMIFS('采购录入（明细）'!$J:$J,'采购录入（明细）'!$E:$E,C8,'采购录入（明细）'!$C:$C,"&gt;="&amp;$E$4,'采购录入（明细）'!$C:$C,"&lt;="&amp;$H$4)</f>
        <v>0</v>
      </c>
      <c r="I8" s="46"/>
    </row>
    <row r="9" customHeight="1" spans="1:12">
      <c r="B9" s="59">
        <v>3</v>
      </c>
      <c r="C9" s="60" t="str">
        <f>IF('基础-办公用品信息'!C6="","-",'基础-办公用品信息'!C6)</f>
        <v>A4装订封面纸</v>
      </c>
      <c r="D9" s="60" t="str">
        <f>IF('基础-办公用品信息'!D6="","-",'基础-办公用品信息'!D6)</f>
        <v>包</v>
      </c>
      <c r="E9" s="60" t="str">
        <f>IF('基础-办公用品信息'!E6="","-",'基础-办公用品信息'!E6)</f>
        <v>-</v>
      </c>
      <c r="F9" s="60">
        <f>SUMIFS('采购录入（明细）'!$I:$I,'采购录入（明细）'!$E:$E,C9,'采购录入（明细）'!$C:$C,"&gt;="&amp;$E$4,'采购录入（明细）'!$C:$C,"&lt;="&amp;$H$4)</f>
        <v>0</v>
      </c>
      <c r="G9" s="60">
        <f>IFERROR(VLOOKUP(C9,'基础-办公用品信息'!$C:$G,4,0),"-")</f>
        <v>18</v>
      </c>
      <c r="H9" s="61">
        <f>SUMIFS('采购录入（明细）'!$J:$J,'采购录入（明细）'!$E:$E,C9,'采购录入（明细）'!$C:$C,"&gt;="&amp;$E$4,'采购录入（明细）'!$C:$C,"&lt;="&amp;$H$4)</f>
        <v>0</v>
      </c>
      <c r="I9" s="46"/>
    </row>
    <row r="10" customHeight="1" spans="1:12">
      <c r="B10" s="59">
        <v>4</v>
      </c>
      <c r="C10" s="60" t="str">
        <f>IF('基础-办公用品信息'!C7="","-",'基础-办公用品信息'!C7)</f>
        <v>A4复印纸蓝色</v>
      </c>
      <c r="D10" s="60" t="str">
        <f>IF('基础-办公用品信息'!D7="","-",'基础-办公用品信息'!D7)</f>
        <v>包</v>
      </c>
      <c r="E10" s="60" t="str">
        <f>IF('基础-办公用品信息'!E7="","-",'基础-办公用品信息'!E7)</f>
        <v>-</v>
      </c>
      <c r="F10" s="60">
        <f>SUMIFS('采购录入（明细）'!$I:$I,'采购录入（明细）'!$E:$E,C10,'采购录入（明细）'!$C:$C,"&gt;="&amp;$E$4,'采购录入（明细）'!$C:$C,"&lt;="&amp;$H$4)</f>
        <v>0</v>
      </c>
      <c r="G10" s="60">
        <f>IFERROR(VLOOKUP(C10,'基础-办公用品信息'!$C:$G,4,0),"-")</f>
        <v>0</v>
      </c>
      <c r="H10" s="61">
        <f>SUMIFS('采购录入（明细）'!$J:$J,'采购录入（明细）'!$E:$E,C10,'采购录入（明细）'!$C:$C,"&gt;="&amp;$E$4,'采购录入（明细）'!$C:$C,"&lt;="&amp;$H$4)</f>
        <v>0</v>
      </c>
      <c r="I10" s="46"/>
    </row>
    <row r="11" customHeight="1" spans="1:12">
      <c r="B11" s="59">
        <v>5</v>
      </c>
      <c r="C11" s="60" t="str">
        <f>IF('基础-办公用品信息'!C8="","-",'基础-办公用品信息'!C8)</f>
        <v>A4复印纸红色</v>
      </c>
      <c r="D11" s="60" t="str">
        <f>IF('基础-办公用品信息'!D8="","-",'基础-办公用品信息'!D8)</f>
        <v>包</v>
      </c>
      <c r="E11" s="60" t="str">
        <f>IF('基础-办公用品信息'!E8="","-",'基础-办公用品信息'!E8)</f>
        <v>-</v>
      </c>
      <c r="F11" s="60">
        <f>SUMIFS('采购录入（明细）'!$I:$I,'采购录入（明细）'!$E:$E,C11,'采购录入（明细）'!$C:$C,"&gt;="&amp;$E$4,'采购录入（明细）'!$C:$C,"&lt;="&amp;$H$4)</f>
        <v>0</v>
      </c>
      <c r="G11" s="60">
        <f>IFERROR(VLOOKUP(C11,'基础-办公用品信息'!$C:$G,4,0),"-")</f>
        <v>0</v>
      </c>
      <c r="H11" s="61">
        <f>SUMIFS('采购录入（明细）'!$J:$J,'采购录入（明细）'!$E:$E,C11,'采购录入（明细）'!$C:$C,"&gt;="&amp;$E$4,'采购录入（明细）'!$C:$C,"&lt;="&amp;$H$4)</f>
        <v>0</v>
      </c>
      <c r="I11" s="46"/>
    </row>
    <row r="12" customHeight="1" spans="1:12">
      <c r="B12" s="59">
        <v>6</v>
      </c>
      <c r="C12" s="60" t="str">
        <f>IF('基础-办公用品信息'!C9="","-",'基础-办公用品信息'!C9)</f>
        <v>A4白卡纸180克荷兰白卡</v>
      </c>
      <c r="D12" s="60" t="str">
        <f>IF('基础-办公用品信息'!D9="","-",'基础-办公用品信息'!D9)</f>
        <v>包</v>
      </c>
      <c r="E12" s="60" t="str">
        <f>IF('基础-办公用品信息'!E9="","-",'基础-办公用品信息'!E9)</f>
        <v>-</v>
      </c>
      <c r="F12" s="60">
        <f>SUMIFS('采购录入（明细）'!$I:$I,'采购录入（明细）'!$E:$E,C12,'采购录入（明细）'!$C:$C,"&gt;="&amp;$E$4,'采购录入（明细）'!$C:$C,"&lt;="&amp;$H$4)</f>
        <v>0</v>
      </c>
      <c r="G12" s="60">
        <f>IFERROR(VLOOKUP(C12,'基础-办公用品信息'!$C:$G,4,0),"-")</f>
        <v>0</v>
      </c>
      <c r="H12" s="61">
        <f>SUMIFS('采购录入（明细）'!$J:$J,'采购录入（明细）'!$E:$E,C12,'采购录入（明细）'!$C:$C,"&gt;="&amp;$E$4,'采购录入（明细）'!$C:$C,"&lt;="&amp;$H$4)</f>
        <v>0</v>
      </c>
      <c r="I12" s="46"/>
    </row>
    <row r="13" customHeight="1" spans="1:12">
      <c r="B13" s="59">
        <v>7</v>
      </c>
      <c r="C13" s="60" t="str">
        <f>IF('基础-办公用品信息'!C10="","-",'基础-办公用品信息'!C10)</f>
        <v>定制会议本牛皮A4</v>
      </c>
      <c r="D13" s="60" t="str">
        <f>IF('基础-办公用品信息'!D10="","-",'基础-办公用品信息'!D10)</f>
        <v>本</v>
      </c>
      <c r="E13" s="60" t="str">
        <f>IF('基础-办公用品信息'!E10="","-",'基础-办公用品信息'!E10)</f>
        <v>-</v>
      </c>
      <c r="F13" s="60">
        <f>SUMIFS('采购录入（明细）'!$I:$I,'采购录入（明细）'!$E:$E,C13,'采购录入（明细）'!$C:$C,"&gt;="&amp;$E$4,'采购录入（明细）'!$C:$C,"&lt;="&amp;$H$4)</f>
        <v>0</v>
      </c>
      <c r="G13" s="60">
        <f>IFERROR(VLOOKUP(C13,'基础-办公用品信息'!$C:$G,4,0),"-")</f>
        <v>0</v>
      </c>
      <c r="H13" s="61">
        <f>SUMIFS('采购录入（明细）'!$J:$J,'采购录入（明细）'!$E:$E,C13,'采购录入（明细）'!$C:$C,"&gt;="&amp;$E$4,'采购录入（明细）'!$C:$C,"&lt;="&amp;$H$4)</f>
        <v>0</v>
      </c>
      <c r="I13" s="46"/>
    </row>
    <row r="14" customHeight="1" spans="1:12">
      <c r="B14" s="59">
        <v>8</v>
      </c>
      <c r="C14" s="60" t="str">
        <f>IF('基础-办公用品信息'!C11="","-",'基础-办公用品信息'!C11)</f>
        <v>定制会议本活页B5</v>
      </c>
      <c r="D14" s="60" t="str">
        <f>IF('基础-办公用品信息'!D11="","-",'基础-办公用品信息'!D11)</f>
        <v>本</v>
      </c>
      <c r="E14" s="60" t="str">
        <f>IF('基础-办公用品信息'!E11="","-",'基础-办公用品信息'!E11)</f>
        <v>-</v>
      </c>
      <c r="F14" s="60">
        <f>SUMIFS('采购录入（明细）'!$I:$I,'采购录入（明细）'!$E:$E,C14,'采购录入（明细）'!$C:$C,"&gt;="&amp;$E$4,'采购录入（明细）'!$C:$C,"&lt;="&amp;$H$4)</f>
        <v>0</v>
      </c>
      <c r="G14" s="60">
        <f>IFERROR(VLOOKUP(C14,'基础-办公用品信息'!$C:$G,4,0),"-")</f>
        <v>0</v>
      </c>
      <c r="H14" s="61">
        <f>SUMIFS('采购录入（明细）'!$J:$J,'采购录入（明细）'!$E:$E,C14,'采购录入（明细）'!$C:$C,"&gt;="&amp;$E$4,'采购录入（明细）'!$C:$C,"&lt;="&amp;$H$4)</f>
        <v>0</v>
      </c>
      <c r="I14" s="46"/>
    </row>
    <row r="15" customHeight="1" spans="1:12">
      <c r="B15" s="59">
        <v>9</v>
      </c>
      <c r="C15" s="60" t="str">
        <f>IF('基础-办公用品信息'!C12="","-",'基础-办公用品信息'!C12)</f>
        <v>定制会议便签本牛皮书写夹板A4</v>
      </c>
      <c r="D15" s="60" t="str">
        <f>IF('基础-办公用品信息'!D12="","-",'基础-办公用品信息'!D12)</f>
        <v>本</v>
      </c>
      <c r="E15" s="60" t="str">
        <f>IF('基础-办公用品信息'!E12="","-",'基础-办公用品信息'!E12)</f>
        <v>-</v>
      </c>
      <c r="F15" s="60">
        <f>SUMIFS('采购录入（明细）'!$I:$I,'采购录入（明细）'!$E:$E,C15,'采购录入（明细）'!$C:$C,"&gt;="&amp;$E$4,'采购录入（明细）'!$C:$C,"&lt;="&amp;$H$4)</f>
        <v>0</v>
      </c>
      <c r="G15" s="60">
        <f>IFERROR(VLOOKUP(C15,'基础-办公用品信息'!$C:$G,4,0),"-")</f>
        <v>0</v>
      </c>
      <c r="H15" s="61">
        <f>SUMIFS('采购录入（明细）'!$J:$J,'采购录入（明细）'!$E:$E,C15,'采购录入（明细）'!$C:$C,"&gt;="&amp;$E$4,'采购录入（明细）'!$C:$C,"&lt;="&amp;$H$4)</f>
        <v>0</v>
      </c>
      <c r="I15" s="46"/>
    </row>
    <row r="16" customHeight="1" spans="1:12">
      <c r="B16" s="59">
        <v>10</v>
      </c>
      <c r="C16" s="60" t="str">
        <f>IF('基础-办公用品信息'!C13="","-",'基础-办公用品信息'!C13)</f>
        <v>会议记录本皮面黑色</v>
      </c>
      <c r="D16" s="60" t="str">
        <f>IF('基础-办公用品信息'!D13="","-",'基础-办公用品信息'!D13)</f>
        <v>本</v>
      </c>
      <c r="E16" s="60" t="str">
        <f>IF('基础-办公用品信息'!E13="","-",'基础-办公用品信息'!E13)</f>
        <v>-</v>
      </c>
      <c r="F16" s="60">
        <f>SUMIFS('采购录入（明细）'!$I:$I,'采购录入（明细）'!$E:$E,C16,'采购录入（明细）'!$C:$C,"&gt;="&amp;$E$4,'采购录入（明细）'!$C:$C,"&lt;="&amp;$H$4)</f>
        <v>0</v>
      </c>
      <c r="G16" s="60">
        <f>IFERROR(VLOOKUP(C16,'基础-办公用品信息'!$C:$G,4,0),"-")</f>
        <v>7.5</v>
      </c>
      <c r="H16" s="61">
        <f>SUMIFS('采购录入（明细）'!$J:$J,'采购录入（明细）'!$E:$E,C16,'采购录入（明细）'!$C:$C,"&gt;="&amp;$E$4,'采购录入（明细）'!$C:$C,"&lt;="&amp;$H$4)</f>
        <v>0</v>
      </c>
      <c r="I16" s="46"/>
    </row>
    <row r="17" customHeight="1" spans="2:9">
      <c r="B17" s="59">
        <v>11</v>
      </c>
      <c r="C17" s="60" t="str">
        <f>IF('基础-办公用品信息'!C14="","-",'基础-办公用品信息'!C14)</f>
        <v>office本32k</v>
      </c>
      <c r="D17" s="60" t="str">
        <f>IF('基础-办公用品信息'!D14="","-",'基础-办公用品信息'!D14)</f>
        <v>本</v>
      </c>
      <c r="E17" s="60" t="str">
        <f>IF('基础-办公用品信息'!E14="","-",'基础-办公用品信息'!E14)</f>
        <v>-</v>
      </c>
      <c r="F17" s="60">
        <f>SUMIFS('采购录入（明细）'!$I:$I,'采购录入（明细）'!$E:$E,C17,'采购录入（明细）'!$C:$C,"&gt;="&amp;$E$4,'采购录入（明细）'!$C:$C,"&lt;="&amp;$H$4)</f>
        <v>0</v>
      </c>
      <c r="G17" s="60">
        <f>IFERROR(VLOOKUP(C17,'基础-办公用品信息'!$C:$G,4,0),"-")</f>
        <v>0</v>
      </c>
      <c r="H17" s="61">
        <f>SUMIFS('采购录入（明细）'!$J:$J,'采购录入（明细）'!$E:$E,C17,'采购录入（明细）'!$C:$C,"&gt;="&amp;$E$4,'采购录入（明细）'!$C:$C,"&lt;="&amp;$H$4)</f>
        <v>0</v>
      </c>
      <c r="I17" s="46"/>
    </row>
    <row r="18" customHeight="1" spans="2:9">
      <c r="B18" s="59">
        <v>12</v>
      </c>
      <c r="C18" s="60" t="str">
        <f>IF('基础-办公用品信息'!C15="","-",'基础-办公用品信息'!C15)</f>
        <v>软面抄100</v>
      </c>
      <c r="D18" s="60" t="str">
        <f>IF('基础-办公用品信息'!D15="","-",'基础-办公用品信息'!D15)</f>
        <v>本</v>
      </c>
      <c r="E18" s="60" t="str">
        <f>IF('基础-办公用品信息'!E15="","-",'基础-办公用品信息'!E15)</f>
        <v>-</v>
      </c>
      <c r="F18" s="60">
        <f>SUMIFS('采购录入（明细）'!$I:$I,'采购录入（明细）'!$E:$E,C18,'采购录入（明细）'!$C:$C,"&gt;="&amp;$E$4,'采购录入（明细）'!$C:$C,"&lt;="&amp;$H$4)</f>
        <v>0</v>
      </c>
      <c r="G18" s="60">
        <f>IFERROR(VLOOKUP(C18,'基础-办公用品信息'!$C:$G,4,0),"-")</f>
        <v>1.5</v>
      </c>
      <c r="H18" s="61">
        <f>SUMIFS('采购录入（明细）'!$J:$J,'采购录入（明细）'!$E:$E,C18,'采购录入（明细）'!$C:$C,"&gt;="&amp;$E$4,'采购录入（明细）'!$C:$C,"&lt;="&amp;$H$4)</f>
        <v>0</v>
      </c>
      <c r="I18" s="46"/>
    </row>
    <row r="19" customHeight="1" spans="2:9">
      <c r="B19" s="59">
        <v>13</v>
      </c>
      <c r="C19" s="60" t="str">
        <f>IF('基础-办公用品信息'!C16="","-",'基础-办公用品信息'!C16)</f>
        <v>透明暗扣袋</v>
      </c>
      <c r="D19" s="60" t="str">
        <f>IF('基础-办公用品信息'!D16="","-",'基础-办公用品信息'!D16)</f>
        <v>个</v>
      </c>
      <c r="E19" s="60" t="str">
        <f>IF('基础-办公用品信息'!E16="","-",'基础-办公用品信息'!E16)</f>
        <v>-</v>
      </c>
      <c r="F19" s="60">
        <f>SUMIFS('采购录入（明细）'!$I:$I,'采购录入（明细）'!$E:$E,C19,'采购录入（明细）'!$C:$C,"&gt;="&amp;$E$4,'采购录入（明细）'!$C:$C,"&lt;="&amp;$H$4)</f>
        <v>0</v>
      </c>
      <c r="G19" s="60">
        <f>IFERROR(VLOOKUP(C19,'基础-办公用品信息'!$C:$G,4,0),"-")</f>
        <v>0</v>
      </c>
      <c r="H19" s="61">
        <f>SUMIFS('采购录入（明细）'!$J:$J,'采购录入（明细）'!$E:$E,C19,'采购录入（明细）'!$C:$C,"&gt;="&amp;$E$4,'采购录入（明细）'!$C:$C,"&lt;="&amp;$H$4)</f>
        <v>0</v>
      </c>
      <c r="I19" s="46"/>
    </row>
    <row r="20" customHeight="1" spans="2:9">
      <c r="B20" s="59">
        <v>14</v>
      </c>
      <c r="C20" s="60" t="str">
        <f>IF('基础-办公用品信息'!C17="","-",'基础-办公用品信息'!C17)</f>
        <v>挂快牢得力A4</v>
      </c>
      <c r="D20" s="60" t="str">
        <f>IF('基础-办公用品信息'!D17="","-",'基础-办公用品信息'!D17)</f>
        <v>张</v>
      </c>
      <c r="E20" s="60" t="str">
        <f>IF('基础-办公用品信息'!E17="","-",'基础-办公用品信息'!E17)</f>
        <v>-</v>
      </c>
      <c r="F20" s="60">
        <f>SUMIFS('采购录入（明细）'!$I:$I,'采购录入（明细）'!$E:$E,C20,'采购录入（明细）'!$C:$C,"&gt;="&amp;$E$4,'采购录入（明细）'!$C:$C,"&lt;="&amp;$H$4)</f>
        <v>0</v>
      </c>
      <c r="G20" s="60">
        <f>IFERROR(VLOOKUP(C20,'基础-办公用品信息'!$C:$G,4,0),"-")</f>
        <v>0</v>
      </c>
      <c r="H20" s="61">
        <f>SUMIFS('采购录入（明细）'!$J:$J,'采购录入（明细）'!$E:$E,C20,'采购录入（明细）'!$C:$C,"&gt;="&amp;$E$4,'采购录入（明细）'!$C:$C,"&lt;="&amp;$H$4)</f>
        <v>0</v>
      </c>
      <c r="I20" s="46"/>
    </row>
    <row r="21" customHeight="1" spans="2:9">
      <c r="B21" s="59">
        <v>15</v>
      </c>
      <c r="C21" s="60" t="str">
        <f>IF('基础-办公用品信息'!C18="","-",'基础-办公用品信息'!C18)</f>
        <v>资料册40页</v>
      </c>
      <c r="D21" s="60" t="str">
        <f>IF('基础-办公用品信息'!D18="","-",'基础-办公用品信息'!D18)</f>
        <v>本</v>
      </c>
      <c r="E21" s="60" t="str">
        <f>IF('基础-办公用品信息'!E18="","-",'基础-办公用品信息'!E18)</f>
        <v>-</v>
      </c>
      <c r="F21" s="60">
        <f>SUMIFS('采购录入（明细）'!$I:$I,'采购录入（明细）'!$E:$E,C21,'采购录入（明细）'!$C:$C,"&gt;="&amp;$E$4,'采购录入（明细）'!$C:$C,"&lt;="&amp;$H$4)</f>
        <v>0</v>
      </c>
      <c r="G21" s="60">
        <f>IFERROR(VLOOKUP(C21,'基础-办公用品信息'!$C:$G,4,0),"-")</f>
        <v>6.5</v>
      </c>
      <c r="H21" s="61">
        <f>SUMIFS('采购录入（明细）'!$J:$J,'采购录入（明细）'!$E:$E,C21,'采购录入（明细）'!$C:$C,"&gt;="&amp;$E$4,'采购录入（明细）'!$C:$C,"&lt;="&amp;$H$4)</f>
        <v>0</v>
      </c>
      <c r="I21" s="46"/>
    </row>
    <row r="22" customHeight="1" spans="2:9">
      <c r="B22" s="59">
        <v>16</v>
      </c>
      <c r="C22" s="60" t="str">
        <f>IF('基础-办公用品信息'!C19="","-",'基础-办公用品信息'!C19)</f>
        <v>档案袋牛皮纸（小）</v>
      </c>
      <c r="D22" s="60" t="str">
        <f>IF('基础-办公用品信息'!D19="","-",'基础-办公用品信息'!D19)</f>
        <v>只</v>
      </c>
      <c r="E22" s="60" t="str">
        <f>IF('基础-办公用品信息'!E19="","-",'基础-办公用品信息'!E19)</f>
        <v>-</v>
      </c>
      <c r="F22" s="60">
        <f>SUMIFS('采购录入（明细）'!$I:$I,'采购录入（明细）'!$E:$E,C22,'采购录入（明细）'!$C:$C,"&gt;="&amp;$E$4,'采购录入（明细）'!$C:$C,"&lt;="&amp;$H$4)</f>
        <v>0</v>
      </c>
      <c r="G22" s="60">
        <f>IFERROR(VLOOKUP(C22,'基础-办公用品信息'!$C:$G,4,0),"-")</f>
        <v>0</v>
      </c>
      <c r="H22" s="61">
        <f>SUMIFS('采购录入（明细）'!$J:$J,'采购录入（明细）'!$E:$E,C22,'采购录入（明细）'!$C:$C,"&gt;="&amp;$E$4,'采购录入（明细）'!$C:$C,"&lt;="&amp;$H$4)</f>
        <v>0</v>
      </c>
      <c r="I22" s="46"/>
    </row>
    <row r="23" customHeight="1" spans="2:9">
      <c r="B23" s="59">
        <v>17</v>
      </c>
      <c r="C23" s="60" t="str">
        <f>IF('基础-办公用品信息'!C20="","-",'基础-办公用品信息'!C20)</f>
        <v>档案盒牛皮纸</v>
      </c>
      <c r="D23" s="60" t="str">
        <f>IF('基础-办公用品信息'!D20="","-",'基础-办公用品信息'!D20)</f>
        <v>只</v>
      </c>
      <c r="E23" s="60" t="str">
        <f>IF('基础-办公用品信息'!E20="","-",'基础-办公用品信息'!E20)</f>
        <v>-</v>
      </c>
      <c r="F23" s="60">
        <f>SUMIFS('采购录入（明细）'!$I:$I,'采购录入（明细）'!$E:$E,C23,'采购录入（明细）'!$C:$C,"&gt;="&amp;$E$4,'采购录入（明细）'!$C:$C,"&lt;="&amp;$H$4)</f>
        <v>0</v>
      </c>
      <c r="G23" s="60">
        <f>IFERROR(VLOOKUP(C23,'基础-办公用品信息'!$C:$G,4,0),"-")</f>
        <v>0</v>
      </c>
      <c r="H23" s="61">
        <f>SUMIFS('采购录入（明细）'!$J:$J,'采购录入（明细）'!$E:$E,C23,'采购录入（明细）'!$C:$C,"&gt;="&amp;$E$4,'采购录入（明细）'!$C:$C,"&lt;="&amp;$H$4)</f>
        <v>0</v>
      </c>
      <c r="I23" s="46"/>
    </row>
    <row r="24" customHeight="1" spans="2:9">
      <c r="B24" s="59">
        <v>18</v>
      </c>
      <c r="C24" s="60" t="str">
        <f>IF('基础-办公用品信息'!C21="","-",'基础-办公用品信息'!C21)</f>
        <v>档案盒大塑料</v>
      </c>
      <c r="D24" s="60" t="str">
        <f>IF('基础-办公用品信息'!D21="","-",'基础-办公用品信息'!D21)</f>
        <v>只</v>
      </c>
      <c r="E24" s="60" t="str">
        <f>IF('基础-办公用品信息'!E21="","-",'基础-办公用品信息'!E21)</f>
        <v>-</v>
      </c>
      <c r="F24" s="60">
        <f>SUMIFS('采购录入（明细）'!$I:$I,'采购录入（明细）'!$E:$E,C24,'采购录入（明细）'!$C:$C,"&gt;="&amp;$E$4,'采购录入（明细）'!$C:$C,"&lt;="&amp;$H$4)</f>
        <v>0</v>
      </c>
      <c r="G24" s="60">
        <f>IFERROR(VLOOKUP(C24,'基础-办公用品信息'!$C:$G,4,0),"-")</f>
        <v>0</v>
      </c>
      <c r="H24" s="61">
        <f>SUMIFS('采购录入（明细）'!$J:$J,'采购录入（明细）'!$E:$E,C24,'采购录入（明细）'!$C:$C,"&gt;="&amp;$E$4,'采购录入（明细）'!$C:$C,"&lt;="&amp;$H$4)</f>
        <v>0</v>
      </c>
      <c r="I24" s="46"/>
    </row>
    <row r="25" customHeight="1" spans="2:9">
      <c r="B25" s="59">
        <v>19</v>
      </c>
      <c r="C25" s="60" t="str">
        <f>IF('基础-办公用品信息'!C22="","-",'基础-办公用品信息'!C22)</f>
        <v>档案盒小塑料</v>
      </c>
      <c r="D25" s="60" t="str">
        <f>IF('基础-办公用品信息'!D22="","-",'基础-办公用品信息'!D22)</f>
        <v>只</v>
      </c>
      <c r="E25" s="60" t="str">
        <f>IF('基础-办公用品信息'!E22="","-",'基础-办公用品信息'!E22)</f>
        <v>-</v>
      </c>
      <c r="F25" s="60">
        <f>SUMIFS('采购录入（明细）'!$I:$I,'采购录入（明细）'!$E:$E,C25,'采购录入（明细）'!$C:$C,"&gt;="&amp;$E$4,'采购录入（明细）'!$C:$C,"&lt;="&amp;$H$4)</f>
        <v>0</v>
      </c>
      <c r="G25" s="60">
        <f>IFERROR(VLOOKUP(C25,'基础-办公用品信息'!$C:$G,4,0),"-")</f>
        <v>0</v>
      </c>
      <c r="H25" s="61">
        <f>SUMIFS('采购录入（明细）'!$J:$J,'采购录入（明细）'!$E:$E,C25,'采购录入（明细）'!$C:$C,"&gt;="&amp;$E$4,'采购录入（明细）'!$C:$C,"&lt;="&amp;$H$4)</f>
        <v>0</v>
      </c>
      <c r="I25" s="46"/>
    </row>
    <row r="26" customHeight="1" spans="2:9">
      <c r="B26" s="59">
        <v>20</v>
      </c>
      <c r="C26" s="60" t="str">
        <f>IF('基础-办公用品信息'!C23="","-",'基础-办公用品信息'!C23)</f>
        <v>三角抽杆文件夹 </v>
      </c>
      <c r="D26" s="60" t="str">
        <f>IF('基础-办公用品信息'!D23="","-",'基础-办公用品信息'!D23)</f>
        <v>本</v>
      </c>
      <c r="E26" s="60" t="str">
        <f>IF('基础-办公用品信息'!E23="","-",'基础-办公用品信息'!E23)</f>
        <v>-</v>
      </c>
      <c r="F26" s="60">
        <f>SUMIFS('采购录入（明细）'!$I:$I,'采购录入（明细）'!$E:$E,C26,'采购录入（明细）'!$C:$C,"&gt;="&amp;$E$4,'采购录入（明细）'!$C:$C,"&lt;="&amp;$H$4)</f>
        <v>0</v>
      </c>
      <c r="G26" s="60">
        <f>IFERROR(VLOOKUP(C26,'基础-办公用品信息'!$C:$G,4,0),"-")</f>
        <v>0.55</v>
      </c>
      <c r="H26" s="61">
        <f>SUMIFS('采购录入（明细）'!$J:$J,'采购录入（明细）'!$E:$E,C26,'采购录入（明细）'!$C:$C,"&gt;="&amp;$E$4,'采购录入（明细）'!$C:$C,"&lt;="&amp;$H$4)</f>
        <v>0</v>
      </c>
      <c r="I26" s="46"/>
    </row>
    <row r="27" customHeight="1" spans="2:9">
      <c r="B27" s="59">
        <v>21</v>
      </c>
      <c r="C27" s="60" t="str">
        <f>IF('基础-办公用品信息'!C24="","-",'基础-办公用品信息'!C24)</f>
        <v>塑料文件架</v>
      </c>
      <c r="D27" s="60" t="str">
        <f>IF('基础-办公用品信息'!D24="","-",'基础-办公用品信息'!D24)</f>
        <v>只</v>
      </c>
      <c r="E27" s="60" t="str">
        <f>IF('基础-办公用品信息'!E24="","-",'基础-办公用品信息'!E24)</f>
        <v>-</v>
      </c>
      <c r="F27" s="60">
        <f>SUMIFS('采购录入（明细）'!$I:$I,'采购录入（明细）'!$E:$E,C27,'采购录入（明细）'!$C:$C,"&gt;="&amp;$E$4,'采购录入（明细）'!$C:$C,"&lt;="&amp;$H$4)</f>
        <v>0</v>
      </c>
      <c r="G27" s="60">
        <f>IFERROR(VLOOKUP(C27,'基础-办公用品信息'!$C:$G,4,0),"-")</f>
        <v>18</v>
      </c>
      <c r="H27" s="61">
        <f>SUMIFS('采购录入（明细）'!$J:$J,'采购录入（明细）'!$E:$E,C27,'采购录入（明细）'!$C:$C,"&gt;="&amp;$E$4,'采购录入（明细）'!$C:$C,"&lt;="&amp;$H$4)</f>
        <v>0</v>
      </c>
      <c r="I27" s="46"/>
    </row>
    <row r="28" customHeight="1" spans="2:9">
      <c r="B28" s="59">
        <v>22</v>
      </c>
      <c r="C28" s="60" t="str">
        <f>IF('基础-办公用品信息'!C25="","-",'基础-办公用品信息'!C25)</f>
        <v>文件夹，纸板夹</v>
      </c>
      <c r="D28" s="60" t="str">
        <f>IF('基础-办公用品信息'!D25="","-",'基础-办公用品信息'!D25)</f>
        <v>本</v>
      </c>
      <c r="E28" s="60" t="str">
        <f>IF('基础-办公用品信息'!E25="","-",'基础-办公用品信息'!E25)</f>
        <v>-</v>
      </c>
      <c r="F28" s="60">
        <f>SUMIFS('采购录入（明细）'!$I:$I,'采购录入（明细）'!$E:$E,C28,'采购录入（明细）'!$C:$C,"&gt;="&amp;$E$4,'采购录入（明细）'!$C:$C,"&lt;="&amp;$H$4)</f>
        <v>0</v>
      </c>
      <c r="G28" s="60">
        <f>IFERROR(VLOOKUP(C28,'基础-办公用品信息'!$C:$G,4,0),"-")</f>
        <v>5</v>
      </c>
      <c r="H28" s="61">
        <f>SUMIFS('采购录入（明细）'!$J:$J,'采购录入（明细）'!$E:$E,C28,'采购录入（明细）'!$C:$C,"&gt;="&amp;$E$4,'采购录入（明细）'!$C:$C,"&lt;="&amp;$H$4)</f>
        <v>0</v>
      </c>
      <c r="I28" s="46"/>
    </row>
    <row r="29" customHeight="1" spans="2:9">
      <c r="B29" s="59">
        <v>23</v>
      </c>
      <c r="C29" s="60" t="str">
        <f>IF('基础-办公用品信息'!C26="","-",'基础-办公用品信息'!C26)</f>
        <v>文件夹，塑料皮</v>
      </c>
      <c r="D29" s="60" t="str">
        <f>IF('基础-办公用品信息'!D26="","-",'基础-办公用品信息'!D26)</f>
        <v>本</v>
      </c>
      <c r="E29" s="60" t="str">
        <f>IF('基础-办公用品信息'!E26="","-",'基础-办公用品信息'!E26)</f>
        <v>-</v>
      </c>
      <c r="F29" s="60">
        <f>SUMIFS('采购录入（明细）'!$I:$I,'采购录入（明细）'!$E:$E,C29,'采购录入（明细）'!$C:$C,"&gt;="&amp;$E$4,'采购录入（明细）'!$C:$C,"&lt;="&amp;$H$4)</f>
        <v>0</v>
      </c>
      <c r="G29" s="60">
        <f>IFERROR(VLOOKUP(C29,'基础-办公用品信息'!$C:$G,4,0),"-")</f>
        <v>6.5</v>
      </c>
      <c r="H29" s="61">
        <f>SUMIFS('采购录入（明细）'!$J:$J,'采购录入（明细）'!$E:$E,C29,'采购录入（明细）'!$C:$C,"&gt;="&amp;$E$4,'采购录入（明细）'!$C:$C,"&lt;="&amp;$H$4)</f>
        <v>0</v>
      </c>
      <c r="I29" s="46"/>
    </row>
    <row r="30" customHeight="1" spans="2:9">
      <c r="B30" s="59">
        <v>24</v>
      </c>
      <c r="C30" s="60" t="str">
        <f>IF('基础-办公用品信息'!C27="","-",'基础-办公用品信息'!C27)</f>
        <v>网格拉链袋</v>
      </c>
      <c r="D30" s="60" t="str">
        <f>IF('基础-办公用品信息'!D27="","-",'基础-办公用品信息'!D27)</f>
        <v>只</v>
      </c>
      <c r="E30" s="60" t="str">
        <f>IF('基础-办公用品信息'!E27="","-",'基础-办公用品信息'!E27)</f>
        <v>-</v>
      </c>
      <c r="F30" s="60">
        <f>SUMIFS('采购录入（明细）'!$I:$I,'采购录入（明细）'!$E:$E,C30,'采购录入（明细）'!$C:$C,"&gt;="&amp;$E$4,'采购录入（明细）'!$C:$C,"&lt;="&amp;$H$4)</f>
        <v>0</v>
      </c>
      <c r="G30" s="60">
        <f>IFERROR(VLOOKUP(C30,'基础-办公用品信息'!$C:$G,4,0),"-")</f>
        <v>0</v>
      </c>
      <c r="H30" s="61">
        <f>SUMIFS('采购录入（明细）'!$J:$J,'采购录入（明细）'!$E:$E,C30,'采购录入（明细）'!$C:$C,"&gt;="&amp;$E$4,'采购录入（明细）'!$C:$C,"&lt;="&amp;$H$4)</f>
        <v>0</v>
      </c>
      <c r="I30" s="46"/>
    </row>
    <row r="31" customHeight="1" spans="2:9">
      <c r="B31" s="59">
        <v>25</v>
      </c>
      <c r="C31" s="60" t="str">
        <f>IF('基础-办公用品信息'!C28="","-",'基础-办公用品信息'!C28)</f>
        <v>书写夹板A5</v>
      </c>
      <c r="D31" s="60" t="str">
        <f>IF('基础-办公用品信息'!D28="","-",'基础-办公用品信息'!D28)</f>
        <v>只</v>
      </c>
      <c r="E31" s="60" t="str">
        <f>IF('基础-办公用品信息'!E28="","-",'基础-办公用品信息'!E28)</f>
        <v>-</v>
      </c>
      <c r="F31" s="60">
        <f>SUMIFS('采购录入（明细）'!$I:$I,'采购录入（明细）'!$E:$E,C31,'采购录入（明细）'!$C:$C,"&gt;="&amp;$E$4,'采购录入（明细）'!$C:$C,"&lt;="&amp;$H$4)</f>
        <v>0</v>
      </c>
      <c r="G31" s="60">
        <f>IFERROR(VLOOKUP(C31,'基础-办公用品信息'!$C:$G,4,0),"-")</f>
        <v>0</v>
      </c>
      <c r="H31" s="61">
        <f>SUMIFS('采购录入（明细）'!$J:$J,'采购录入（明细）'!$E:$E,C31,'采购录入（明细）'!$C:$C,"&gt;="&amp;$E$4,'采购录入（明细）'!$C:$C,"&lt;="&amp;$H$4)</f>
        <v>0</v>
      </c>
      <c r="I31" s="46"/>
    </row>
    <row r="32" customHeight="1" spans="2:9">
      <c r="B32" s="59">
        <v>26</v>
      </c>
      <c r="C32" s="60" t="str">
        <f>IF('基础-办公用品信息'!C29="","-",'基础-办公用品信息'!C29)</f>
        <v>铁书挡（小）</v>
      </c>
      <c r="D32" s="60" t="str">
        <f>IF('基础-办公用品信息'!D29="","-",'基础-办公用品信息'!D29)</f>
        <v>只</v>
      </c>
      <c r="E32" s="60" t="str">
        <f>IF('基础-办公用品信息'!E29="","-",'基础-办公用品信息'!E29)</f>
        <v>-</v>
      </c>
      <c r="F32" s="60">
        <f>SUMIFS('采购录入（明细）'!$I:$I,'采购录入（明细）'!$E:$E,C32,'采购录入（明细）'!$C:$C,"&gt;="&amp;$E$4,'采购录入（明细）'!$C:$C,"&lt;="&amp;$H$4)</f>
        <v>0</v>
      </c>
      <c r="G32" s="60">
        <f>IFERROR(VLOOKUP(C32,'基础-办公用品信息'!$C:$G,4,0),"-")</f>
        <v>0</v>
      </c>
      <c r="H32" s="61">
        <f>SUMIFS('采购录入（明细）'!$J:$J,'采购录入（明细）'!$E:$E,C32,'采购录入（明细）'!$C:$C,"&gt;="&amp;$E$4,'采购录入（明细）'!$C:$C,"&lt;="&amp;$H$4)</f>
        <v>0</v>
      </c>
      <c r="I32" s="46"/>
    </row>
    <row r="33" customHeight="1" spans="2:9">
      <c r="B33" s="59">
        <v>27</v>
      </c>
      <c r="C33" s="60" t="str">
        <f>IF('基础-办公用品信息'!C30="","-",'基础-办公用品信息'!C30)</f>
        <v>铁书挡（大）</v>
      </c>
      <c r="D33" s="60" t="str">
        <f>IF('基础-办公用品信息'!D30="","-",'基础-办公用品信息'!D30)</f>
        <v>只</v>
      </c>
      <c r="E33" s="60" t="str">
        <f>IF('基础-办公用品信息'!E30="","-",'基础-办公用品信息'!E30)</f>
        <v>-</v>
      </c>
      <c r="F33" s="60">
        <f>SUMIFS('采购录入（明细）'!$I:$I,'采购录入（明细）'!$E:$E,C33,'采购录入（明细）'!$C:$C,"&gt;="&amp;$E$4,'采购录入（明细）'!$C:$C,"&lt;="&amp;$H$4)</f>
        <v>0</v>
      </c>
      <c r="G33" s="60">
        <f>IFERROR(VLOOKUP(C33,'基础-办公用品信息'!$C:$G,4,0),"-")</f>
        <v>0</v>
      </c>
      <c r="H33" s="61">
        <f>SUMIFS('采购录入（明细）'!$J:$J,'采购录入（明细）'!$E:$E,C33,'采购录入（明细）'!$C:$C,"&gt;="&amp;$E$4,'采购录入（明细）'!$C:$C,"&lt;="&amp;$H$4)</f>
        <v>0</v>
      </c>
      <c r="I33" s="46"/>
    </row>
    <row r="34" customHeight="1" spans="2:9">
      <c r="B34" s="59">
        <v>28</v>
      </c>
      <c r="C34" s="60" t="str">
        <f>IF('基础-办公用品信息'!C31="","-",'基础-办公用品信息'!C31)</f>
        <v>水笔黑色</v>
      </c>
      <c r="D34" s="60" t="str">
        <f>IF('基础-办公用品信息'!D31="","-",'基础-办公用品信息'!D31)</f>
        <v>支</v>
      </c>
      <c r="E34" s="60" t="str">
        <f>IF('基础-办公用品信息'!E31="","-",'基础-办公用品信息'!E31)</f>
        <v>-</v>
      </c>
      <c r="F34" s="60">
        <f>SUMIFS('采购录入（明细）'!$I:$I,'采购录入（明细）'!$E:$E,C34,'采购录入（明细）'!$C:$C,"&gt;="&amp;$E$4,'采购录入（明细）'!$C:$C,"&lt;="&amp;$H$4)</f>
        <v>0</v>
      </c>
      <c r="G34" s="60">
        <f>IFERROR(VLOOKUP(C34,'基础-办公用品信息'!$C:$G,4,0),"-")</f>
        <v>1.3</v>
      </c>
      <c r="H34" s="61">
        <f>SUMIFS('采购录入（明细）'!$J:$J,'采购录入（明细）'!$E:$E,C34,'采购录入（明细）'!$C:$C,"&gt;="&amp;$E$4,'采购录入（明细）'!$C:$C,"&lt;="&amp;$H$4)</f>
        <v>0</v>
      </c>
      <c r="I34" s="46"/>
    </row>
    <row r="35" customHeight="1" spans="2:9">
      <c r="B35" s="59">
        <v>29</v>
      </c>
      <c r="C35" s="60" t="str">
        <f>IF('基础-办公用品信息'!C32="","-",'基础-办公用品信息'!C32)</f>
        <v>水笔红色</v>
      </c>
      <c r="D35" s="60" t="str">
        <f>IF('基础-办公用品信息'!D32="","-",'基础-办公用品信息'!D32)</f>
        <v>支</v>
      </c>
      <c r="E35" s="60" t="str">
        <f>IF('基础-办公用品信息'!E32="","-",'基础-办公用品信息'!E32)</f>
        <v>-</v>
      </c>
      <c r="F35" s="60">
        <f>SUMIFS('采购录入（明细）'!$I:$I,'采购录入（明细）'!$E:$E,C35,'采购录入（明细）'!$C:$C,"&gt;="&amp;$E$4,'采购录入（明细）'!$C:$C,"&lt;="&amp;$H$4)</f>
        <v>0</v>
      </c>
      <c r="G35" s="60">
        <f>IFERROR(VLOOKUP(C35,'基础-办公用品信息'!$C:$G,4,0),"-")</f>
        <v>1.3</v>
      </c>
      <c r="H35" s="61">
        <f>SUMIFS('采购录入（明细）'!$J:$J,'采购录入（明细）'!$E:$E,C35,'采购录入（明细）'!$C:$C,"&gt;="&amp;$E$4,'采购录入（明细）'!$C:$C,"&lt;="&amp;$H$4)</f>
        <v>0</v>
      </c>
      <c r="I35" s="46"/>
    </row>
    <row r="36" customHeight="1" spans="2:9">
      <c r="B36" s="59">
        <v>30</v>
      </c>
      <c r="C36" s="60" t="str">
        <f>IF('基础-办公用品信息'!C33="","-",'基础-办公用品信息'!C33)</f>
        <v>按压水笔黑色</v>
      </c>
      <c r="D36" s="60" t="str">
        <f>IF('基础-办公用品信息'!D33="","-",'基础-办公用品信息'!D33)</f>
        <v>支</v>
      </c>
      <c r="E36" s="60" t="str">
        <f>IF('基础-办公用品信息'!E33="","-",'基础-办公用品信息'!E33)</f>
        <v>-</v>
      </c>
      <c r="F36" s="60">
        <f>SUMIFS('采购录入（明细）'!$I:$I,'采购录入（明细）'!$E:$E,C36,'采购录入（明细）'!$C:$C,"&gt;="&amp;$E$4,'采购录入（明细）'!$C:$C,"&lt;="&amp;$H$4)</f>
        <v>0</v>
      </c>
      <c r="G36" s="60">
        <f>IFERROR(VLOOKUP(C36,'基础-办公用品信息'!$C:$G,4,0),"-")</f>
        <v>2</v>
      </c>
      <c r="H36" s="61">
        <f>SUMIFS('采购录入（明细）'!$J:$J,'采购录入（明细）'!$E:$E,C36,'采购录入（明细）'!$C:$C,"&gt;="&amp;$E$4,'采购录入（明细）'!$C:$C,"&lt;="&amp;$H$4)</f>
        <v>0</v>
      </c>
      <c r="I36" s="46"/>
    </row>
    <row r="37" customHeight="1" spans="2:9">
      <c r="B37" s="59">
        <v>31</v>
      </c>
      <c r="C37" s="60" t="str">
        <f>IF('基础-办公用品信息'!C34="","-",'基础-办公用品信息'!C34)</f>
        <v>笔芯</v>
      </c>
      <c r="D37" s="60" t="str">
        <f>IF('基础-办公用品信息'!D34="","-",'基础-办公用品信息'!D34)</f>
        <v>支</v>
      </c>
      <c r="E37" s="60" t="str">
        <f>IF('基础-办公用品信息'!E34="","-",'基础-办公用品信息'!E34)</f>
        <v>-</v>
      </c>
      <c r="F37" s="60">
        <f>SUMIFS('采购录入（明细）'!$I:$I,'采购录入（明细）'!$E:$E,C37,'采购录入（明细）'!$C:$C,"&gt;="&amp;$E$4,'采购录入（明细）'!$C:$C,"&lt;="&amp;$H$4)</f>
        <v>0</v>
      </c>
      <c r="G37" s="60">
        <f>IFERROR(VLOOKUP(C37,'基础-办公用品信息'!$C:$G,4,0),"-")</f>
        <v>0</v>
      </c>
      <c r="H37" s="61">
        <f>SUMIFS('采购录入（明细）'!$J:$J,'采购录入（明细）'!$E:$E,C37,'采购录入（明细）'!$C:$C,"&gt;="&amp;$E$4,'采购录入（明细）'!$C:$C,"&lt;="&amp;$H$4)</f>
        <v>0</v>
      </c>
      <c r="I37" s="46"/>
    </row>
    <row r="38" customHeight="1" spans="2:9">
      <c r="B38" s="59">
        <v>32</v>
      </c>
      <c r="C38" s="60" t="str">
        <f>IF('基础-办公用品信息'!C35="","-",'基础-办公用品信息'!C35)</f>
        <v>台笔</v>
      </c>
      <c r="D38" s="60" t="str">
        <f>IF('基础-办公用品信息'!D35="","-",'基础-办公用品信息'!D35)</f>
        <v>支</v>
      </c>
      <c r="E38" s="60" t="str">
        <f>IF('基础-办公用品信息'!E35="","-",'基础-办公用品信息'!E35)</f>
        <v>-</v>
      </c>
      <c r="F38" s="60">
        <f>SUMIFS('采购录入（明细）'!$I:$I,'采购录入（明细）'!$E:$E,C38,'采购录入（明细）'!$C:$C,"&gt;="&amp;$E$4,'采购录入（明细）'!$C:$C,"&lt;="&amp;$H$4)</f>
        <v>0</v>
      </c>
      <c r="G38" s="60">
        <f>IFERROR(VLOOKUP(C38,'基础-办公用品信息'!$C:$G,4,0),"-")</f>
        <v>0</v>
      </c>
      <c r="H38" s="61">
        <f>SUMIFS('采购录入（明细）'!$J:$J,'采购录入（明细）'!$E:$E,C38,'采购录入（明细）'!$C:$C,"&gt;="&amp;$E$4,'采购录入（明细）'!$C:$C,"&lt;="&amp;$H$4)</f>
        <v>0</v>
      </c>
      <c r="I38" s="46"/>
    </row>
    <row r="39" customHeight="1" spans="2:9">
      <c r="B39" s="59">
        <v>33</v>
      </c>
      <c r="C39" s="60" t="str">
        <f>IF('基础-办公用品信息'!C36="","-",'基础-办公用品信息'!C36)</f>
        <v>记号笔黑色</v>
      </c>
      <c r="D39" s="60" t="str">
        <f>IF('基础-办公用品信息'!D36="","-",'基础-办公用品信息'!D36)</f>
        <v>支</v>
      </c>
      <c r="E39" s="60" t="str">
        <f>IF('基础-办公用品信息'!E36="","-",'基础-办公用品信息'!E36)</f>
        <v>-</v>
      </c>
      <c r="F39" s="60">
        <f>SUMIFS('采购录入（明细）'!$I:$I,'采购录入（明细）'!$E:$E,C39,'采购录入（明细）'!$C:$C,"&gt;="&amp;$E$4,'采购录入（明细）'!$C:$C,"&lt;="&amp;$H$4)</f>
        <v>0</v>
      </c>
      <c r="G39" s="60">
        <f>IFERROR(VLOOKUP(C39,'基础-办公用品信息'!$C:$G,4,0),"-")</f>
        <v>0.5</v>
      </c>
      <c r="H39" s="61">
        <f>SUMIFS('采购录入（明细）'!$J:$J,'采购录入（明细）'!$E:$E,C39,'采购录入（明细）'!$C:$C,"&gt;="&amp;$E$4,'采购录入（明细）'!$C:$C,"&lt;="&amp;$H$4)</f>
        <v>0</v>
      </c>
      <c r="I39" s="46"/>
    </row>
    <row r="40" customHeight="1" spans="2:9">
      <c r="B40" s="59">
        <v>34</v>
      </c>
      <c r="C40" s="60" t="str">
        <f>IF('基础-办公用品信息'!C37="","-",'基础-办公用品信息'!C37)</f>
        <v>记号笔红色</v>
      </c>
      <c r="D40" s="60" t="str">
        <f>IF('基础-办公用品信息'!D37="","-",'基础-办公用品信息'!D37)</f>
        <v>支</v>
      </c>
      <c r="E40" s="60" t="str">
        <f>IF('基础-办公用品信息'!E37="","-",'基础-办公用品信息'!E37)</f>
        <v>-</v>
      </c>
      <c r="F40" s="60">
        <f>SUMIFS('采购录入（明细）'!$I:$I,'采购录入（明细）'!$E:$E,C40,'采购录入（明细）'!$C:$C,"&gt;="&amp;$E$4,'采购录入（明细）'!$C:$C,"&lt;="&amp;$H$4)</f>
        <v>0</v>
      </c>
      <c r="G40" s="60">
        <f>IFERROR(VLOOKUP(C40,'基础-办公用品信息'!$C:$G,4,0),"-")</f>
        <v>0.5</v>
      </c>
      <c r="H40" s="61">
        <f>SUMIFS('采购录入（明细）'!$J:$J,'采购录入（明细）'!$E:$E,C40,'采购录入（明细）'!$C:$C,"&gt;="&amp;$E$4,'采购录入（明细）'!$C:$C,"&lt;="&amp;$H$4)</f>
        <v>0</v>
      </c>
      <c r="I40" s="46"/>
    </row>
    <row r="41" customHeight="1" spans="2:9">
      <c r="B41" s="59">
        <v>35</v>
      </c>
      <c r="C41" s="60" t="str">
        <f>IF('基础-办公用品信息'!C38="","-",'基础-办公用品信息'!C38)</f>
        <v>扑克</v>
      </c>
      <c r="D41" s="60" t="str">
        <f>IF('基础-办公用品信息'!D38="","-",'基础-办公用品信息'!D38)</f>
        <v>盒</v>
      </c>
      <c r="E41" s="60" t="str">
        <f>IF('基础-办公用品信息'!E38="","-",'基础-办公用品信息'!E38)</f>
        <v>-</v>
      </c>
      <c r="F41" s="60">
        <f>SUMIFS('采购录入（明细）'!$I:$I,'采购录入（明细）'!$E:$E,C41,'采购录入（明细）'!$C:$C,"&gt;="&amp;$E$4,'采购录入（明细）'!$C:$C,"&lt;="&amp;$H$4)</f>
        <v>0</v>
      </c>
      <c r="G41" s="60">
        <f>IFERROR(VLOOKUP(C41,'基础-办公用品信息'!$C:$G,4,0),"-")</f>
        <v>1.4</v>
      </c>
      <c r="H41" s="61">
        <f>SUMIFS('采购录入（明细）'!$J:$J,'采购录入（明细）'!$E:$E,C41,'采购录入（明细）'!$C:$C,"&gt;="&amp;$E$4,'采购录入（明细）'!$C:$C,"&lt;="&amp;$H$4)</f>
        <v>0</v>
      </c>
      <c r="I41" s="46"/>
    </row>
    <row r="42" customHeight="1" spans="2:9">
      <c r="B42" s="59">
        <v>36</v>
      </c>
      <c r="C42" s="60" t="str">
        <f>IF('基础-办公用品信息'!C39="","-",'基础-办公用品信息'!C39)</f>
        <v>圆珠笔蓝色</v>
      </c>
      <c r="D42" s="60" t="str">
        <f>IF('基础-办公用品信息'!D39="","-",'基础-办公用品信息'!D39)</f>
        <v>支</v>
      </c>
      <c r="E42" s="60" t="str">
        <f>IF('基础-办公用品信息'!E39="","-",'基础-办公用品信息'!E39)</f>
        <v>-</v>
      </c>
      <c r="F42" s="60">
        <f>SUMIFS('采购录入（明细）'!$I:$I,'采购录入（明细）'!$E:$E,C42,'采购录入（明细）'!$C:$C,"&gt;="&amp;$E$4,'采购录入（明细）'!$C:$C,"&lt;="&amp;$H$4)</f>
        <v>0</v>
      </c>
      <c r="G42" s="60">
        <f>IFERROR(VLOOKUP(C42,'基础-办公用品信息'!$C:$G,4,0),"-")</f>
        <v>0</v>
      </c>
      <c r="H42" s="61">
        <f>SUMIFS('采购录入（明细）'!$J:$J,'采购录入（明细）'!$E:$E,C42,'采购录入（明细）'!$C:$C,"&gt;="&amp;$E$4,'采购录入（明细）'!$C:$C,"&lt;="&amp;$H$4)</f>
        <v>0</v>
      </c>
      <c r="I42" s="46"/>
    </row>
    <row r="43" customHeight="1" spans="2:9">
      <c r="B43" s="59">
        <v>37</v>
      </c>
      <c r="C43" s="60" t="str">
        <f>IF('基础-办公用品信息'!C40="","-",'基础-办公用品信息'!C40)</f>
        <v>铅笔</v>
      </c>
      <c r="D43" s="60" t="str">
        <f>IF('基础-办公用品信息'!D40="","-",'基础-办公用品信息'!D40)</f>
        <v>支</v>
      </c>
      <c r="E43" s="60" t="str">
        <f>IF('基础-办公用品信息'!E40="","-",'基础-办公用品信息'!E40)</f>
        <v>-</v>
      </c>
      <c r="F43" s="60">
        <f>SUMIFS('采购录入（明细）'!$I:$I,'采购录入（明细）'!$E:$E,C43,'采购录入（明细）'!$C:$C,"&gt;="&amp;$E$4,'采购录入（明细）'!$C:$C,"&lt;="&amp;$H$4)</f>
        <v>0</v>
      </c>
      <c r="G43" s="60" t="str">
        <f>IFERROR(VLOOKUP(C43,'基础-办公用品信息'!$C:$G,4,0),"-")</f>
        <v>7元/盒</v>
      </c>
      <c r="H43" s="61">
        <f>SUMIFS('采购录入（明细）'!$J:$J,'采购录入（明细）'!$E:$E,C43,'采购录入（明细）'!$C:$C,"&gt;="&amp;$E$4,'采购录入（明细）'!$C:$C,"&lt;="&amp;$H$4)</f>
        <v>0</v>
      </c>
      <c r="I43" s="46"/>
    </row>
    <row r="44" customHeight="1" spans="2:9">
      <c r="B44" s="59">
        <v>38</v>
      </c>
      <c r="C44" s="60" t="str">
        <f>IF('基础-办公用品信息'!C41="","-",'基础-办公用品信息'!C41)</f>
        <v>卷笔机</v>
      </c>
      <c r="D44" s="60" t="str">
        <f>IF('基础-办公用品信息'!D41="","-",'基础-办公用品信息'!D41)</f>
        <v>个</v>
      </c>
      <c r="E44" s="60" t="str">
        <f>IF('基础-办公用品信息'!E41="","-",'基础-办公用品信息'!E41)</f>
        <v>-</v>
      </c>
      <c r="F44" s="60">
        <f>SUMIFS('采购录入（明细）'!$I:$I,'采购录入（明细）'!$E:$E,C44,'采购录入（明细）'!$C:$C,"&gt;="&amp;$E$4,'采购录入（明细）'!$C:$C,"&lt;="&amp;$H$4)</f>
        <v>0</v>
      </c>
      <c r="G44" s="60">
        <f>IFERROR(VLOOKUP(C44,'基础-办公用品信息'!$C:$G,4,0),"-")</f>
        <v>16</v>
      </c>
      <c r="H44" s="61">
        <f>SUMIFS('采购录入（明细）'!$J:$J,'采购录入（明细）'!$E:$E,C44,'采购录入（明细）'!$C:$C,"&gt;="&amp;$E$4,'采购录入（明细）'!$C:$C,"&lt;="&amp;$H$4)</f>
        <v>0</v>
      </c>
      <c r="I44" s="46"/>
    </row>
    <row r="45" customHeight="1" spans="2:9">
      <c r="B45" s="59">
        <v>39</v>
      </c>
      <c r="C45" s="60" t="str">
        <f>IF('基础-办公用品信息'!C42="","-",'基础-办公用品信息'!C42)</f>
        <v>卷笔刀</v>
      </c>
      <c r="D45" s="60" t="str">
        <f>IF('基础-办公用品信息'!D42="","-",'基础-办公用品信息'!D42)</f>
        <v>个</v>
      </c>
      <c r="E45" s="60" t="str">
        <f>IF('基础-办公用品信息'!E42="","-",'基础-办公用品信息'!E42)</f>
        <v>-</v>
      </c>
      <c r="F45" s="60">
        <f>SUMIFS('采购录入（明细）'!$I:$I,'采购录入（明细）'!$E:$E,C45,'采购录入（明细）'!$C:$C,"&gt;="&amp;$E$4,'采购录入（明细）'!$C:$C,"&lt;="&amp;$H$4)</f>
        <v>0</v>
      </c>
      <c r="G45" s="60">
        <f>IFERROR(VLOOKUP(C45,'基础-办公用品信息'!$C:$G,4,0),"-")</f>
        <v>0.8</v>
      </c>
      <c r="H45" s="61">
        <f>SUMIFS('采购录入（明细）'!$J:$J,'采购录入（明细）'!$E:$E,C45,'采购录入（明细）'!$C:$C,"&gt;="&amp;$E$4,'采购录入（明细）'!$C:$C,"&lt;="&amp;$H$4)</f>
        <v>0</v>
      </c>
      <c r="I45" s="46"/>
    </row>
    <row r="46" customHeight="1" spans="2:9">
      <c r="B46" s="59">
        <v>40</v>
      </c>
      <c r="C46" s="60" t="str">
        <f>IF('基础-办公用品信息'!C43="","-",'基础-办公用品信息'!C43)</f>
        <v>橡皮</v>
      </c>
      <c r="D46" s="60" t="str">
        <f>IF('基础-办公用品信息'!D43="","-",'基础-办公用品信息'!D43)</f>
        <v>个</v>
      </c>
      <c r="E46" s="60" t="str">
        <f>IF('基础-办公用品信息'!E43="","-",'基础-办公用品信息'!E43)</f>
        <v>-</v>
      </c>
      <c r="F46" s="60">
        <f>SUMIFS('采购录入（明细）'!$I:$I,'采购录入（明细）'!$E:$E,C46,'采购录入（明细）'!$C:$C,"&gt;="&amp;$E$4,'采购录入（明细）'!$C:$C,"&lt;="&amp;$H$4)</f>
        <v>0</v>
      </c>
      <c r="G46" s="60">
        <f>IFERROR(VLOOKUP(C46,'基础-办公用品信息'!$C:$G,4,0),"-")</f>
        <v>0</v>
      </c>
      <c r="H46" s="61">
        <f>SUMIFS('采购录入（明细）'!$J:$J,'采购录入（明细）'!$E:$E,C46,'采购录入（明细）'!$C:$C,"&gt;="&amp;$E$4,'采购录入（明细）'!$C:$C,"&lt;="&amp;$H$4)</f>
        <v>0</v>
      </c>
      <c r="I46" s="46"/>
    </row>
    <row r="47" customHeight="1" spans="2:9">
      <c r="B47" s="59">
        <v>41</v>
      </c>
      <c r="C47" s="60" t="str">
        <f>IF('基础-办公用品信息'!C44="","-",'基础-办公用品信息'!C44)</f>
        <v>美工刀</v>
      </c>
      <c r="D47" s="60" t="str">
        <f>IF('基础-办公用品信息'!D44="","-",'基础-办公用品信息'!D44)</f>
        <v>把</v>
      </c>
      <c r="E47" s="60" t="str">
        <f>IF('基础-办公用品信息'!E44="","-",'基础-办公用品信息'!E44)</f>
        <v>-</v>
      </c>
      <c r="F47" s="60">
        <f>SUMIFS('采购录入（明细）'!$I:$I,'采购录入（明细）'!$E:$E,C47,'采购录入（明细）'!$C:$C,"&gt;="&amp;$E$4,'采购录入（明细）'!$C:$C,"&lt;="&amp;$H$4)</f>
        <v>0</v>
      </c>
      <c r="G47" s="60">
        <f>IFERROR(VLOOKUP(C47,'基础-办公用品信息'!$C:$G,4,0),"-")</f>
        <v>0</v>
      </c>
      <c r="H47" s="61">
        <f>SUMIFS('采购录入（明细）'!$J:$J,'采购录入（明细）'!$E:$E,C47,'采购录入（明细）'!$C:$C,"&gt;="&amp;$E$4,'采购录入（明细）'!$C:$C,"&lt;="&amp;$H$4)</f>
        <v>0</v>
      </c>
      <c r="I47" s="46"/>
    </row>
    <row r="48" customHeight="1" spans="2:9">
      <c r="B48" s="59">
        <v>42</v>
      </c>
      <c r="C48" s="60" t="str">
        <f>IF('基础-办公用品信息'!C45="","-",'基础-办公用品信息'!C45)</f>
        <v>剪刀</v>
      </c>
      <c r="D48" s="60" t="str">
        <f>IF('基础-办公用品信息'!D45="","-",'基础-办公用品信息'!D45)</f>
        <v>把</v>
      </c>
      <c r="E48" s="60" t="str">
        <f>IF('基础-办公用品信息'!E45="","-",'基础-办公用品信息'!E45)</f>
        <v>-</v>
      </c>
      <c r="F48" s="60">
        <f>SUMIFS('采购录入（明细）'!$I:$I,'采购录入（明细）'!$E:$E,C48,'采购录入（明细）'!$C:$C,"&gt;="&amp;$E$4,'采购录入（明细）'!$C:$C,"&lt;="&amp;$H$4)</f>
        <v>0</v>
      </c>
      <c r="G48" s="60">
        <f>IFERROR(VLOOKUP(C48,'基础-办公用品信息'!$C:$G,4,0),"-")</f>
        <v>3.5</v>
      </c>
      <c r="H48" s="61">
        <f>SUMIFS('采购录入（明细）'!$J:$J,'采购录入（明细）'!$E:$E,C48,'采购录入（明细）'!$C:$C,"&gt;="&amp;$E$4,'采购录入（明细）'!$C:$C,"&lt;="&amp;$H$4)</f>
        <v>0</v>
      </c>
      <c r="I48" s="46"/>
    </row>
    <row r="49" customHeight="1" spans="2:9">
      <c r="B49" s="59">
        <v>43</v>
      </c>
      <c r="C49" s="60" t="str">
        <f>IF('基础-办公用品信息'!C46="","-",'基础-办公用品信息'!C46)</f>
        <v>起钉器</v>
      </c>
      <c r="D49" s="60" t="str">
        <f>IF('基础-办公用品信息'!D46="","-",'基础-办公用品信息'!D46)</f>
        <v>个</v>
      </c>
      <c r="E49" s="60" t="str">
        <f>IF('基础-办公用品信息'!E46="","-",'基础-办公用品信息'!E46)</f>
        <v>-</v>
      </c>
      <c r="F49" s="60">
        <f>SUMIFS('采购录入（明细）'!$I:$I,'采购录入（明细）'!$E:$E,C49,'采购录入（明细）'!$C:$C,"&gt;="&amp;$E$4,'采购录入（明细）'!$C:$C,"&lt;="&amp;$H$4)</f>
        <v>0</v>
      </c>
      <c r="G49" s="60">
        <f>IFERROR(VLOOKUP(C49,'基础-办公用品信息'!$C:$G,4,0),"-")</f>
        <v>2</v>
      </c>
      <c r="H49" s="61">
        <f>SUMIFS('采购录入（明细）'!$J:$J,'采购录入（明细）'!$E:$E,C49,'采购录入（明细）'!$C:$C,"&gt;="&amp;$E$4,'采购录入（明细）'!$C:$C,"&lt;="&amp;$H$4)</f>
        <v>0</v>
      </c>
      <c r="I49" s="46"/>
    </row>
    <row r="50" customHeight="1" spans="2:9">
      <c r="B50" s="59">
        <v>44</v>
      </c>
      <c r="C50" s="60" t="str">
        <f>IF('基础-办公用品信息'!C47="","-",'基础-办公用品信息'!C47)</f>
        <v>订书机</v>
      </c>
      <c r="D50" s="60" t="str">
        <f>IF('基础-办公用品信息'!D47="","-",'基础-办公用品信息'!D47)</f>
        <v>个</v>
      </c>
      <c r="E50" s="60" t="str">
        <f>IF('基础-办公用品信息'!E47="","-",'基础-办公用品信息'!E47)</f>
        <v>-</v>
      </c>
      <c r="F50" s="60">
        <f>SUMIFS('采购录入（明细）'!$I:$I,'采购录入（明细）'!$E:$E,C50,'采购录入（明细）'!$C:$C,"&gt;="&amp;$E$4,'采购录入（明细）'!$C:$C,"&lt;="&amp;$H$4)</f>
        <v>0</v>
      </c>
      <c r="G50" s="60">
        <f>IFERROR(VLOOKUP(C50,'基础-办公用品信息'!$C:$G,4,0),"-")</f>
        <v>7</v>
      </c>
      <c r="H50" s="61">
        <f>SUMIFS('采购录入（明细）'!$J:$J,'采购录入（明细）'!$E:$E,C50,'采购录入（明细）'!$C:$C,"&gt;="&amp;$E$4,'采购录入（明细）'!$C:$C,"&lt;="&amp;$H$4)</f>
        <v>0</v>
      </c>
      <c r="I50" s="46"/>
    </row>
    <row r="51" customHeight="1" spans="2:9">
      <c r="B51" s="59">
        <v>45</v>
      </c>
      <c r="C51" s="60" t="str">
        <f>IF('基础-办公用品信息'!C48="","-",'基础-办公用品信息'!C48)</f>
        <v>订书钉</v>
      </c>
      <c r="D51" s="60" t="str">
        <f>IF('基础-办公用品信息'!D48="","-",'基础-办公用品信息'!D48)</f>
        <v>盒</v>
      </c>
      <c r="E51" s="60" t="str">
        <f>IF('基础-办公用品信息'!E48="","-",'基础-办公用品信息'!E48)</f>
        <v>-</v>
      </c>
      <c r="F51" s="60">
        <f>SUMIFS('采购录入（明细）'!$I:$I,'采购录入（明细）'!$E:$E,C51,'采购录入（明细）'!$C:$C,"&gt;="&amp;$E$4,'采购录入（明细）'!$C:$C,"&lt;="&amp;$H$4)</f>
        <v>0</v>
      </c>
      <c r="G51" s="60">
        <f>IFERROR(VLOOKUP(C51,'基础-办公用品信息'!$C:$G,4,0),"-")</f>
        <v>0.7</v>
      </c>
      <c r="H51" s="61">
        <f>SUMIFS('采购录入（明细）'!$J:$J,'采购录入（明细）'!$E:$E,C51,'采购录入（明细）'!$C:$C,"&gt;="&amp;$E$4,'采购录入（明细）'!$C:$C,"&lt;="&amp;$H$4)</f>
        <v>0</v>
      </c>
      <c r="I51" s="46"/>
    </row>
    <row r="52" customHeight="1" spans="2:9">
      <c r="B52" s="59">
        <v>46</v>
      </c>
      <c r="C52" s="60" t="str">
        <f>IF('基础-办公用品信息'!C49="","-",'基础-办公用品信息'!C49)</f>
        <v>回形针</v>
      </c>
      <c r="D52" s="60" t="str">
        <f>IF('基础-办公用品信息'!D49="","-",'基础-办公用品信息'!D49)</f>
        <v>盒</v>
      </c>
      <c r="E52" s="60" t="str">
        <f>IF('基础-办公用品信息'!E49="","-",'基础-办公用品信息'!E49)</f>
        <v>-</v>
      </c>
      <c r="F52" s="60">
        <f>SUMIFS('采购录入（明细）'!$I:$I,'采购录入（明细）'!$E:$E,C52,'采购录入（明细）'!$C:$C,"&gt;="&amp;$E$4,'采购录入（明细）'!$C:$C,"&lt;="&amp;$H$4)</f>
        <v>0</v>
      </c>
      <c r="G52" s="60">
        <f>IFERROR(VLOOKUP(C52,'基础-办公用品信息'!$C:$G,4,0),"-")</f>
        <v>0.7</v>
      </c>
      <c r="H52" s="61">
        <f>SUMIFS('采购录入（明细）'!$J:$J,'采购录入（明细）'!$E:$E,C52,'采购录入（明细）'!$C:$C,"&gt;="&amp;$E$4,'采购录入（明细）'!$C:$C,"&lt;="&amp;$H$4)</f>
        <v>0</v>
      </c>
      <c r="I52" s="46"/>
    </row>
    <row r="53" customHeight="1" spans="2:9">
      <c r="B53" s="59">
        <v>47</v>
      </c>
      <c r="C53" s="60" t="str">
        <f>IF('基础-办公用品信息'!C50="","-",'基础-办公用品信息'!C50)</f>
        <v>计算器</v>
      </c>
      <c r="D53" s="60" t="str">
        <f>IF('基础-办公用品信息'!D50="","-",'基础-办公用品信息'!D50)</f>
        <v>个</v>
      </c>
      <c r="E53" s="60" t="str">
        <f>IF('基础-办公用品信息'!E50="","-",'基础-办公用品信息'!E50)</f>
        <v>-</v>
      </c>
      <c r="F53" s="60">
        <f>SUMIFS('采购录入（明细）'!$I:$I,'采购录入（明细）'!$E:$E,C53,'采购录入（明细）'!$C:$C,"&gt;="&amp;$E$4,'采购录入（明细）'!$C:$C,"&lt;="&amp;$H$4)</f>
        <v>0</v>
      </c>
      <c r="G53" s="60">
        <f>IFERROR(VLOOKUP(C53,'基础-办公用品信息'!$C:$G,4,0),"-")</f>
        <v>13</v>
      </c>
      <c r="H53" s="61">
        <f>SUMIFS('采购录入（明细）'!$J:$J,'采购录入（明细）'!$E:$E,C53,'采购录入（明细）'!$C:$C,"&gt;="&amp;$E$4,'采购录入（明细）'!$C:$C,"&lt;="&amp;$H$4)</f>
        <v>0</v>
      </c>
      <c r="I53" s="46"/>
    </row>
    <row r="54" customHeight="1" spans="2:9">
      <c r="B54" s="59">
        <v>48</v>
      </c>
      <c r="C54" s="60" t="str">
        <f>IF('基础-办公用品信息'!C51="","-",'基础-办公用品信息'!C51)</f>
        <v>笔筒圆形</v>
      </c>
      <c r="D54" s="60" t="str">
        <f>IF('基础-办公用品信息'!D51="","-",'基础-办公用品信息'!D51)</f>
        <v>个</v>
      </c>
      <c r="E54" s="60" t="str">
        <f>IF('基础-办公用品信息'!E51="","-",'基础-办公用品信息'!E51)</f>
        <v>-</v>
      </c>
      <c r="F54" s="60">
        <f>SUMIFS('采购录入（明细）'!$I:$I,'采购录入（明细）'!$E:$E,C54,'采购录入（明细）'!$C:$C,"&gt;="&amp;$E$4,'采购录入（明细）'!$C:$C,"&lt;="&amp;$H$4)</f>
        <v>0</v>
      </c>
      <c r="G54" s="60">
        <f>IFERROR(VLOOKUP(C54,'基础-办公用品信息'!$C:$G,4,0),"-")</f>
        <v>4</v>
      </c>
      <c r="H54" s="61">
        <f>SUMIFS('采购录入（明细）'!$J:$J,'采购录入（明细）'!$E:$E,C54,'采购录入（明细）'!$C:$C,"&gt;="&amp;$E$4,'采购录入（明细）'!$C:$C,"&lt;="&amp;$H$4)</f>
        <v>0</v>
      </c>
      <c r="I54" s="46"/>
    </row>
    <row r="55" customHeight="1" spans="2:9">
      <c r="B55" s="59">
        <v>49</v>
      </c>
      <c r="C55" s="60" t="str">
        <f>IF('基础-办公用品信息'!C52="","-",'基础-办公用品信息'!C52)</f>
        <v>笔筒方形</v>
      </c>
      <c r="D55" s="60" t="str">
        <f>IF('基础-办公用品信息'!D52="","-",'基础-办公用品信息'!D52)</f>
        <v>个</v>
      </c>
      <c r="E55" s="60" t="str">
        <f>IF('基础-办公用品信息'!E52="","-",'基础-办公用品信息'!E52)</f>
        <v>-</v>
      </c>
      <c r="F55" s="60">
        <f>SUMIFS('采购录入（明细）'!$I:$I,'采购录入（明细）'!$E:$E,C55,'采购录入（明细）'!$C:$C,"&gt;="&amp;$E$4,'采购录入（明细）'!$C:$C,"&lt;="&amp;$H$4)</f>
        <v>0</v>
      </c>
      <c r="G55" s="60">
        <f>IFERROR(VLOOKUP(C55,'基础-办公用品信息'!$C:$G,4,0),"-")</f>
        <v>4</v>
      </c>
      <c r="H55" s="61">
        <f>SUMIFS('采购录入（明细）'!$J:$J,'采购录入（明细）'!$E:$E,C55,'采购录入（明细）'!$C:$C,"&gt;="&amp;$E$4,'采购录入（明细）'!$C:$C,"&lt;="&amp;$H$4)</f>
        <v>0</v>
      </c>
      <c r="I55" s="46"/>
    </row>
    <row r="56" customHeight="1" spans="2:9">
      <c r="B56" s="59">
        <v>50</v>
      </c>
      <c r="C56" s="60" t="str">
        <f>IF('基础-办公用品信息'!C53="","-",'基础-办公用品信息'!C53)</f>
        <v>液体胶水</v>
      </c>
      <c r="D56" s="60" t="str">
        <f>IF('基础-办公用品信息'!D53="","-",'基础-办公用品信息'!D53)</f>
        <v>支</v>
      </c>
      <c r="E56" s="60" t="str">
        <f>IF('基础-办公用品信息'!E53="","-",'基础-办公用品信息'!E53)</f>
        <v>-</v>
      </c>
      <c r="F56" s="60">
        <f>SUMIFS('采购录入（明细）'!$I:$I,'采购录入（明细）'!$E:$E,C56,'采购录入（明细）'!$C:$C,"&gt;="&amp;$E$4,'采购录入（明细）'!$C:$C,"&lt;="&amp;$H$4)</f>
        <v>0</v>
      </c>
      <c r="G56" s="60">
        <f>IFERROR(VLOOKUP(C56,'基础-办公用品信息'!$C:$G,4,0),"-")</f>
        <v>1</v>
      </c>
      <c r="H56" s="61">
        <f>SUMIFS('采购录入（明细）'!$J:$J,'采购录入（明细）'!$E:$E,C56,'采购录入（明细）'!$C:$C,"&gt;="&amp;$E$4,'采购录入（明细）'!$C:$C,"&lt;="&amp;$H$4)</f>
        <v>0</v>
      </c>
      <c r="I56" s="46"/>
    </row>
    <row r="57" customHeight="1" spans="2:9">
      <c r="B57" s="59">
        <v>51</v>
      </c>
      <c r="C57" s="60" t="str">
        <f>IF('基础-办公用品信息'!C54="","-",'基础-办公用品信息'!C54)</f>
        <v>固体胶水</v>
      </c>
      <c r="D57" s="60" t="str">
        <f>IF('基础-办公用品信息'!D54="","-",'基础-办公用品信息'!D54)</f>
        <v>支</v>
      </c>
      <c r="E57" s="60" t="str">
        <f>IF('基础-办公用品信息'!E54="","-",'基础-办公用品信息'!E54)</f>
        <v>-</v>
      </c>
      <c r="F57" s="60">
        <f>SUMIFS('采购录入（明细）'!$I:$I,'采购录入（明细）'!$E:$E,C57,'采购录入（明细）'!$C:$C,"&gt;="&amp;$E$4,'采购录入（明细）'!$C:$C,"&lt;="&amp;$H$4)</f>
        <v>0</v>
      </c>
      <c r="G57" s="60">
        <f>IFERROR(VLOOKUP(C57,'基础-办公用品信息'!$C:$G,4,0),"-")</f>
        <v>1</v>
      </c>
      <c r="H57" s="61">
        <f>SUMIFS('采购录入（明细）'!$J:$J,'采购录入（明细）'!$E:$E,C57,'采购录入（明细）'!$C:$C,"&gt;="&amp;$E$4,'采购录入（明细）'!$C:$C,"&lt;="&amp;$H$4)</f>
        <v>0</v>
      </c>
      <c r="I57" s="46"/>
    </row>
    <row r="58" customHeight="1" spans="2:9">
      <c r="B58" s="59">
        <v>52</v>
      </c>
      <c r="C58" s="60" t="str">
        <f>IF('基础-办公用品信息'!C55="","-",'基础-办公用品信息'!C55)</f>
        <v>三棱尺</v>
      </c>
      <c r="D58" s="60" t="str">
        <f>IF('基础-办公用品信息'!D55="","-",'基础-办公用品信息'!D55)</f>
        <v>把</v>
      </c>
      <c r="E58" s="60" t="str">
        <f>IF('基础-办公用品信息'!E55="","-",'基础-办公用品信息'!E55)</f>
        <v>-</v>
      </c>
      <c r="F58" s="60">
        <f>SUMIFS('采购录入（明细）'!$I:$I,'采购录入（明细）'!$E:$E,C58,'采购录入（明细）'!$C:$C,"&gt;="&amp;$E$4,'采购录入（明细）'!$C:$C,"&lt;="&amp;$H$4)</f>
        <v>0</v>
      </c>
      <c r="G58" s="60">
        <f>IFERROR(VLOOKUP(C58,'基础-办公用品信息'!$C:$G,4,0),"-")</f>
        <v>0</v>
      </c>
      <c r="H58" s="61">
        <f>SUMIFS('采购录入（明细）'!$J:$J,'采购录入（明细）'!$E:$E,C58,'采购录入（明细）'!$C:$C,"&gt;="&amp;$E$4,'采购录入（明细）'!$C:$C,"&lt;="&amp;$H$4)</f>
        <v>0</v>
      </c>
      <c r="I58" s="46"/>
    </row>
    <row r="59" customHeight="1" spans="2:9">
      <c r="B59" s="59">
        <v>53</v>
      </c>
      <c r="C59" s="60" t="str">
        <f>IF('基础-办公用品信息'!C56="","-",'基础-办公用品信息'!C56)</f>
        <v>透明直尺40cm</v>
      </c>
      <c r="D59" s="60" t="str">
        <f>IF('基础-办公用品信息'!D56="","-",'基础-办公用品信息'!D56)</f>
        <v>把</v>
      </c>
      <c r="E59" s="60" t="str">
        <f>IF('基础-办公用品信息'!E56="","-",'基础-办公用品信息'!E56)</f>
        <v>-</v>
      </c>
      <c r="F59" s="60">
        <f>SUMIFS('采购录入（明细）'!$I:$I,'采购录入（明细）'!$E:$E,C59,'采购录入（明细）'!$C:$C,"&gt;="&amp;$E$4,'采购录入（明细）'!$C:$C,"&lt;="&amp;$H$4)</f>
        <v>0</v>
      </c>
      <c r="G59" s="60">
        <f>IFERROR(VLOOKUP(C59,'基础-办公用品信息'!$C:$G,4,0),"-")</f>
        <v>0</v>
      </c>
      <c r="H59" s="61">
        <f>SUMIFS('采购录入（明细）'!$J:$J,'采购录入（明细）'!$E:$E,C59,'采购录入（明细）'!$C:$C,"&gt;="&amp;$E$4,'采购录入（明细）'!$C:$C,"&lt;="&amp;$H$4)</f>
        <v>0</v>
      </c>
      <c r="I59" s="46"/>
    </row>
    <row r="60" customHeight="1" spans="2:9">
      <c r="B60" s="59">
        <v>54</v>
      </c>
      <c r="C60" s="60" t="str">
        <f>IF('基础-办公用品信息'!C57="","-",'基础-办公用品信息'!C57)</f>
        <v>卷尺10m</v>
      </c>
      <c r="D60" s="60" t="str">
        <f>IF('基础-办公用品信息'!D57="","-",'基础-办公用品信息'!D57)</f>
        <v>个</v>
      </c>
      <c r="E60" s="60" t="str">
        <f>IF('基础-办公用品信息'!E57="","-",'基础-办公用品信息'!E57)</f>
        <v>-</v>
      </c>
      <c r="F60" s="60">
        <f>SUMIFS('采购录入（明细）'!$I:$I,'采购录入（明细）'!$E:$E,C60,'采购录入（明细）'!$C:$C,"&gt;="&amp;$E$4,'采购录入（明细）'!$C:$C,"&lt;="&amp;$H$4)</f>
        <v>0</v>
      </c>
      <c r="G60" s="60">
        <f>IFERROR(VLOOKUP(C60,'基础-办公用品信息'!$C:$G,4,0),"-")</f>
        <v>0</v>
      </c>
      <c r="H60" s="61">
        <f>SUMIFS('采购录入（明细）'!$J:$J,'采购录入（明细）'!$E:$E,C60,'采购录入（明细）'!$C:$C,"&gt;="&amp;$E$4,'采购录入（明细）'!$C:$C,"&lt;="&amp;$H$4)</f>
        <v>0</v>
      </c>
      <c r="I60" s="46"/>
    </row>
    <row r="61" customHeight="1" spans="2:9">
      <c r="B61" s="59">
        <v>55</v>
      </c>
      <c r="C61" s="60" t="str">
        <f>IF('基础-办公用品信息'!C58="","-",'基础-办公用品信息'!C58)</f>
        <v>卷尺5m</v>
      </c>
      <c r="D61" s="60" t="str">
        <f>IF('基础-办公用品信息'!D58="","-",'基础-办公用品信息'!D58)</f>
        <v>个</v>
      </c>
      <c r="E61" s="60" t="str">
        <f>IF('基础-办公用品信息'!E58="","-",'基础-办公用品信息'!E58)</f>
        <v>-</v>
      </c>
      <c r="F61" s="60">
        <f>SUMIFS('采购录入（明细）'!$I:$I,'采购录入（明细）'!$E:$E,C61,'采购录入（明细）'!$C:$C,"&gt;="&amp;$E$4,'采购录入（明细）'!$C:$C,"&lt;="&amp;$H$4)</f>
        <v>0</v>
      </c>
      <c r="G61" s="60">
        <f>IFERROR(VLOOKUP(C61,'基础-办公用品信息'!$C:$G,4,0),"-")</f>
        <v>9</v>
      </c>
      <c r="H61" s="61">
        <f>SUMIFS('采购录入（明细）'!$J:$J,'采购录入（明细）'!$E:$E,C61,'采购录入（明细）'!$C:$C,"&gt;="&amp;$E$4,'采购录入（明细）'!$C:$C,"&lt;="&amp;$H$4)</f>
        <v>0</v>
      </c>
      <c r="I61" s="46"/>
    </row>
    <row r="62" customHeight="1" spans="2:9">
      <c r="B62" s="59">
        <v>56</v>
      </c>
      <c r="C62" s="60" t="str">
        <f>IF('基础-办公用品信息'!C59="","-",'基础-办公用品信息'!C59)</f>
        <v>卷尺2m</v>
      </c>
      <c r="D62" s="60" t="str">
        <f>IF('基础-办公用品信息'!D59="","-",'基础-办公用品信息'!D59)</f>
        <v>个</v>
      </c>
      <c r="E62" s="60" t="str">
        <f>IF('基础-办公用品信息'!E59="","-",'基础-办公用品信息'!E59)</f>
        <v>-</v>
      </c>
      <c r="F62" s="60">
        <f>SUMIFS('采购录入（明细）'!$I:$I,'采购录入（明细）'!$E:$E,C62,'采购录入（明细）'!$C:$C,"&gt;="&amp;$E$4,'采购录入（明细）'!$C:$C,"&lt;="&amp;$H$4)</f>
        <v>0</v>
      </c>
      <c r="G62" s="60">
        <f>IFERROR(VLOOKUP(C62,'基础-办公用品信息'!$C:$G,4,0),"-")</f>
        <v>0</v>
      </c>
      <c r="H62" s="61">
        <f>SUMIFS('采购录入（明细）'!$J:$J,'采购录入（明细）'!$E:$E,C62,'采购录入（明细）'!$C:$C,"&gt;="&amp;$E$4,'采购录入（明细）'!$C:$C,"&lt;="&amp;$H$4)</f>
        <v>0</v>
      </c>
      <c r="I62" s="46"/>
    </row>
    <row r="63" customHeight="1" spans="2:9">
      <c r="B63" s="59">
        <v>57</v>
      </c>
      <c r="C63" s="60" t="str">
        <f>IF('基础-办公用品信息'!C60="","-",'基础-办公用品信息'!C60)</f>
        <v>电池南孚5号</v>
      </c>
      <c r="D63" s="60" t="str">
        <f>IF('基础-办公用品信息'!D60="","-",'基础-办公用品信息'!D60)</f>
        <v>节</v>
      </c>
      <c r="E63" s="60" t="str">
        <f>IF('基础-办公用品信息'!E60="","-",'基础-办公用品信息'!E60)</f>
        <v>-</v>
      </c>
      <c r="F63" s="60">
        <f>SUMIFS('采购录入（明细）'!$I:$I,'采购录入（明细）'!$E:$E,C63,'采购录入（明细）'!$C:$C,"&gt;="&amp;$E$4,'采购录入（明细）'!$C:$C,"&lt;="&amp;$H$4)</f>
        <v>0</v>
      </c>
      <c r="G63" s="60">
        <f>IFERROR(VLOOKUP(C63,'基础-办公用品信息'!$C:$G,4,0),"-")</f>
        <v>2.1</v>
      </c>
      <c r="H63" s="61">
        <f>SUMIFS('采购录入（明细）'!$J:$J,'采购录入（明细）'!$E:$E,C63,'采购录入（明细）'!$C:$C,"&gt;="&amp;$E$4,'采购录入（明细）'!$C:$C,"&lt;="&amp;$H$4)</f>
        <v>0</v>
      </c>
      <c r="I63" s="46"/>
    </row>
    <row r="64" customHeight="1" spans="2:9">
      <c r="B64" s="59">
        <v>58</v>
      </c>
      <c r="C64" s="60" t="str">
        <f>IF('基础-办公用品信息'!C61="","-",'基础-办公用品信息'!C61)</f>
        <v>电池双鹿7号</v>
      </c>
      <c r="D64" s="60" t="str">
        <f>IF('基础-办公用品信息'!D61="","-",'基础-办公用品信息'!D61)</f>
        <v>节</v>
      </c>
      <c r="E64" s="60" t="str">
        <f>IF('基础-办公用品信息'!E61="","-",'基础-办公用品信息'!E61)</f>
        <v>-</v>
      </c>
      <c r="F64" s="60">
        <f>SUMIFS('采购录入（明细）'!$I:$I,'采购录入（明细）'!$E:$E,C64,'采购录入（明细）'!$C:$C,"&gt;="&amp;$E$4,'采购录入（明细）'!$C:$C,"&lt;="&amp;$H$4)</f>
        <v>0</v>
      </c>
      <c r="G64" s="60">
        <f>IFERROR(VLOOKUP(C64,'基础-办公用品信息'!$C:$G,4,0),"-")</f>
        <v>0</v>
      </c>
      <c r="H64" s="61">
        <f>SUMIFS('采购录入（明细）'!$J:$J,'采购录入（明细）'!$E:$E,C64,'采购录入（明细）'!$C:$C,"&gt;="&amp;$E$4,'采购录入（明细）'!$C:$C,"&lt;="&amp;$H$4)</f>
        <v>0</v>
      </c>
      <c r="I64" s="46"/>
    </row>
    <row r="65" customHeight="1" spans="2:9">
      <c r="B65" s="59">
        <v>59</v>
      </c>
      <c r="C65" s="60" t="str">
        <f>IF('基础-办公用品信息'!C62="","-",'基础-办公用品信息'!C62)</f>
        <v>电池南孚23A</v>
      </c>
      <c r="D65" s="60" t="str">
        <f>IF('基础-办公用品信息'!D62="","-",'基础-办公用品信息'!D62)</f>
        <v>节</v>
      </c>
      <c r="E65" s="60" t="str">
        <f>IF('基础-办公用品信息'!E62="","-",'基础-办公用品信息'!E62)</f>
        <v>-</v>
      </c>
      <c r="F65" s="60">
        <f>SUMIFS('采购录入（明细）'!$I:$I,'采购录入（明细）'!$E:$E,C65,'采购录入（明细）'!$C:$C,"&gt;="&amp;$E$4,'采购录入（明细）'!$C:$C,"&lt;="&amp;$H$4)</f>
        <v>0</v>
      </c>
      <c r="G65" s="60">
        <f>IFERROR(VLOOKUP(C65,'基础-办公用品信息'!$C:$G,4,0),"-")</f>
        <v>0</v>
      </c>
      <c r="H65" s="61">
        <f>SUMIFS('采购录入（明细）'!$J:$J,'采购录入（明细）'!$E:$E,C65,'采购录入（明细）'!$C:$C,"&gt;="&amp;$E$4,'采购录入（明细）'!$C:$C,"&lt;="&amp;$H$4)</f>
        <v>0</v>
      </c>
      <c r="I65" s="46"/>
    </row>
    <row r="66" customHeight="1" spans="2:9">
      <c r="B66" s="59">
        <v>60</v>
      </c>
      <c r="C66" s="60" t="str">
        <f>IF('基础-办公用品信息'!C63="","-",'基础-办公用品信息'!C63)</f>
        <v>电池南孚27A</v>
      </c>
      <c r="D66" s="60" t="str">
        <f>IF('基础-办公用品信息'!D63="","-",'基础-办公用品信息'!D63)</f>
        <v>节</v>
      </c>
      <c r="E66" s="60" t="str">
        <f>IF('基础-办公用品信息'!E63="","-",'基础-办公用品信息'!E63)</f>
        <v>-</v>
      </c>
      <c r="F66" s="60">
        <f>SUMIFS('采购录入（明细）'!$I:$I,'采购录入（明细）'!$E:$E,C66,'采购录入（明细）'!$C:$C,"&gt;="&amp;$E$4,'采购录入（明细）'!$C:$C,"&lt;="&amp;$H$4)</f>
        <v>0</v>
      </c>
      <c r="G66" s="60">
        <f>IFERROR(VLOOKUP(C66,'基础-办公用品信息'!$C:$G,4,0),"-")</f>
        <v>0</v>
      </c>
      <c r="H66" s="61">
        <f>SUMIFS('采购录入（明细）'!$J:$J,'采购录入（明细）'!$E:$E,C66,'采购录入（明细）'!$C:$C,"&gt;="&amp;$E$4,'采购录入（明细）'!$C:$C,"&lt;="&amp;$H$4)</f>
        <v>0</v>
      </c>
      <c r="I66" s="46"/>
    </row>
    <row r="67" customHeight="1" spans="2:9">
      <c r="B67" s="59">
        <v>61</v>
      </c>
      <c r="C67" s="60" t="str">
        <f>IF('基础-办公用品信息'!C64="","-",'基础-办公用品信息'!C64)</f>
        <v>彩色长尾票夹5851</v>
      </c>
      <c r="D67" s="60" t="str">
        <f>IF('基础-办公用品信息'!D64="","-",'基础-办公用品信息'!D64)</f>
        <v>盒</v>
      </c>
      <c r="E67" s="60" t="str">
        <f>IF('基础-办公用品信息'!E64="","-",'基础-办公用品信息'!E64)</f>
        <v>-</v>
      </c>
      <c r="F67" s="60">
        <f>SUMIFS('采购录入（明细）'!$I:$I,'采购录入（明细）'!$E:$E,C67,'采购录入（明细）'!$C:$C,"&gt;="&amp;$E$4,'采购录入（明细）'!$C:$C,"&lt;="&amp;$H$4)</f>
        <v>0</v>
      </c>
      <c r="G67" s="60">
        <f>IFERROR(VLOOKUP(C67,'基础-办公用品信息'!$C:$G,4,0),"-")</f>
        <v>11</v>
      </c>
      <c r="H67" s="61">
        <f>SUMIFS('采购录入（明细）'!$J:$J,'采购录入（明细）'!$E:$E,C67,'采购录入（明细）'!$C:$C,"&gt;="&amp;$E$4,'采购录入（明细）'!$C:$C,"&lt;="&amp;$H$4)</f>
        <v>0</v>
      </c>
      <c r="I67" s="46"/>
    </row>
    <row r="68" customHeight="1" spans="2:9">
      <c r="B68" s="59">
        <v>62</v>
      </c>
      <c r="C68" s="60" t="str">
        <f>IF('基础-办公用品信息'!C65="","-",'基础-办公用品信息'!C65)</f>
        <v>彩色长尾票5852</v>
      </c>
      <c r="D68" s="60" t="str">
        <f>IF('基础-办公用品信息'!D65="","-",'基础-办公用品信息'!D65)</f>
        <v>盒</v>
      </c>
      <c r="E68" s="60" t="str">
        <f>IF('基础-办公用品信息'!E65="","-",'基础-办公用品信息'!E65)</f>
        <v>-</v>
      </c>
      <c r="F68" s="60">
        <f>SUMIFS('采购录入（明细）'!$I:$I,'采购录入（明细）'!$E:$E,C68,'采购录入（明细）'!$C:$C,"&gt;="&amp;$E$4,'采购录入（明细）'!$C:$C,"&lt;="&amp;$H$4)</f>
        <v>0</v>
      </c>
      <c r="G68" s="60">
        <f>IFERROR(VLOOKUP(C68,'基础-办公用品信息'!$C:$G,4,0),"-")</f>
        <v>15</v>
      </c>
      <c r="H68" s="61">
        <f>SUMIFS('采购录入（明细）'!$J:$J,'采购录入（明细）'!$E:$E,C68,'采购录入（明细）'!$C:$C,"&gt;="&amp;$E$4,'采购录入（明细）'!$C:$C,"&lt;="&amp;$H$4)</f>
        <v>0</v>
      </c>
      <c r="I68" s="46"/>
    </row>
    <row r="69" customHeight="1" spans="2:9">
      <c r="B69" s="59">
        <v>63</v>
      </c>
      <c r="C69" s="60" t="str">
        <f>IF('基础-办公用品信息'!C66="","-",'基础-办公用品信息'!C66)</f>
        <v>彩色长尾票夹5854</v>
      </c>
      <c r="D69" s="60" t="str">
        <f>IF('基础-办公用品信息'!D66="","-",'基础-办公用品信息'!D66)</f>
        <v>盒</v>
      </c>
      <c r="E69" s="60" t="str">
        <f>IF('基础-办公用品信息'!E66="","-",'基础-办公用品信息'!E66)</f>
        <v>-</v>
      </c>
      <c r="F69" s="60">
        <f>SUMIFS('采购录入（明细）'!$I:$I,'采购录入（明细）'!$E:$E,C69,'采购录入（明细）'!$C:$C,"&gt;="&amp;$E$4,'采购录入（明细）'!$C:$C,"&lt;="&amp;$H$4)</f>
        <v>0</v>
      </c>
      <c r="G69" s="60">
        <f>IFERROR(VLOOKUP(C69,'基础-办公用品信息'!$C:$G,4,0),"-")</f>
        <v>13</v>
      </c>
      <c r="H69" s="61">
        <f>SUMIFS('采购录入（明细）'!$J:$J,'采购录入（明细）'!$E:$E,C69,'采购录入（明细）'!$C:$C,"&gt;="&amp;$E$4,'采购录入（明细）'!$C:$C,"&lt;="&amp;$H$4)</f>
        <v>0</v>
      </c>
      <c r="I69" s="46"/>
    </row>
    <row r="70" customHeight="1" spans="2:9">
      <c r="B70" s="59">
        <v>64</v>
      </c>
      <c r="C70" s="60" t="str">
        <f>IF('基础-办公用品信息'!C67="","-",'基础-办公用品信息'!C67)</f>
        <v>彩色长尾票夹5855</v>
      </c>
      <c r="D70" s="60" t="str">
        <f>IF('基础-办公用品信息'!D67="","-",'基础-办公用品信息'!D67)</f>
        <v>盒</v>
      </c>
      <c r="E70" s="60" t="str">
        <f>IF('基础-办公用品信息'!E67="","-",'基础-办公用品信息'!E67)</f>
        <v>-</v>
      </c>
      <c r="F70" s="60">
        <f>SUMIFS('采购录入（明细）'!$I:$I,'采购录入（明细）'!$E:$E,C70,'采购录入（明细）'!$C:$C,"&gt;="&amp;$E$4,'采购录入（明细）'!$C:$C,"&lt;="&amp;$H$4)</f>
        <v>0</v>
      </c>
      <c r="G70" s="60">
        <f>IFERROR(VLOOKUP(C70,'基础-办公用品信息'!$C:$G,4,0),"-")</f>
        <v>7</v>
      </c>
      <c r="H70" s="61">
        <f>SUMIFS('采购录入（明细）'!$J:$J,'采购录入（明细）'!$E:$E,C70,'采购录入（明细）'!$C:$C,"&gt;="&amp;$E$4,'采购录入（明细）'!$C:$C,"&lt;="&amp;$H$4)</f>
        <v>0</v>
      </c>
      <c r="I70" s="46"/>
    </row>
    <row r="71" customHeight="1" spans="2:9">
      <c r="B71" s="59">
        <v>65</v>
      </c>
      <c r="C71" s="60" t="str">
        <f>IF('基础-办公用品信息'!C68="","-",'基础-办公用品信息'!C68)</f>
        <v>彩色长尾票夹5856</v>
      </c>
      <c r="D71" s="60" t="str">
        <f>IF('基础-办公用品信息'!D68="","-",'基础-办公用品信息'!D68)</f>
        <v>盒</v>
      </c>
      <c r="E71" s="60" t="str">
        <f>IF('基础-办公用品信息'!E68="","-",'基础-办公用品信息'!E68)</f>
        <v>-</v>
      </c>
      <c r="F71" s="60">
        <f>SUMIFS('采购录入（明细）'!$I:$I,'采购录入（明细）'!$E:$E,C71,'采购录入（明细）'!$C:$C,"&gt;="&amp;$E$4,'采购录入（明细）'!$C:$C,"&lt;="&amp;$H$4)</f>
        <v>0</v>
      </c>
      <c r="G71" s="60">
        <f>IFERROR(VLOOKUP(C71,'基础-办公用品信息'!$C:$G,4,0),"-")</f>
        <v>8</v>
      </c>
      <c r="H71" s="61">
        <f>SUMIFS('采购录入（明细）'!$J:$J,'采购录入（明细）'!$E:$E,C71,'采购录入（明细）'!$C:$C,"&gt;="&amp;$E$4,'采购录入（明细）'!$C:$C,"&lt;="&amp;$H$4)</f>
        <v>0</v>
      </c>
      <c r="I71" s="46"/>
    </row>
    <row r="72" customHeight="1" spans="2:9">
      <c r="B72" s="59">
        <v>66</v>
      </c>
      <c r="C72" s="60" t="str">
        <f>IF('基础-办公用品信息'!C69="","-",'基础-办公用品信息'!C69)</f>
        <v>插座1.8m</v>
      </c>
      <c r="D72" s="60" t="str">
        <f>IF('基础-办公用品信息'!D69="","-",'基础-办公用品信息'!D69)</f>
        <v>个</v>
      </c>
      <c r="E72" s="60" t="str">
        <f>IF('基础-办公用品信息'!E69="","-",'基础-办公用品信息'!E69)</f>
        <v>-</v>
      </c>
      <c r="F72" s="60">
        <f>SUMIFS('采购录入（明细）'!$I:$I,'采购录入（明细）'!$E:$E,C72,'采购录入（明细）'!$C:$C,"&gt;="&amp;$E$4,'采购录入（明细）'!$C:$C,"&lt;="&amp;$H$4)</f>
        <v>0</v>
      </c>
      <c r="G72" s="60">
        <f>IFERROR(VLOOKUP(C72,'基础-办公用品信息'!$C:$G,4,0),"-")</f>
        <v>26</v>
      </c>
      <c r="H72" s="61">
        <f>SUMIFS('采购录入（明细）'!$J:$J,'采购录入（明细）'!$E:$E,C72,'采购录入（明细）'!$C:$C,"&gt;="&amp;$E$4,'采购录入（明细）'!$C:$C,"&lt;="&amp;$H$4)</f>
        <v>0</v>
      </c>
      <c r="I72" s="46"/>
    </row>
    <row r="73" customHeight="1" spans="2:9">
      <c r="B73" s="59">
        <v>67</v>
      </c>
      <c r="C73" s="60" t="str">
        <f>IF('基础-办公用品信息'!C70="","-",'基础-办公用品信息'!C70)</f>
        <v>插座3m</v>
      </c>
      <c r="D73" s="60" t="str">
        <f>IF('基础-办公用品信息'!D70="","-",'基础-办公用品信息'!D70)</f>
        <v>个</v>
      </c>
      <c r="E73" s="60" t="str">
        <f>IF('基础-办公用品信息'!E70="","-",'基础-办公用品信息'!E70)</f>
        <v>-</v>
      </c>
      <c r="F73" s="60">
        <f>SUMIFS('采购录入（明细）'!$I:$I,'采购录入（明细）'!$E:$E,C73,'采购录入（明细）'!$C:$C,"&gt;="&amp;$E$4,'采购录入（明细）'!$C:$C,"&lt;="&amp;$H$4)</f>
        <v>0</v>
      </c>
      <c r="G73" s="60">
        <f>IFERROR(VLOOKUP(C73,'基础-办公用品信息'!$C:$G,4,0),"-")</f>
        <v>59</v>
      </c>
      <c r="H73" s="61">
        <f>SUMIFS('采购录入（明细）'!$J:$J,'采购录入（明细）'!$E:$E,C73,'采购录入（明细）'!$C:$C,"&gt;="&amp;$E$4,'采购录入（明细）'!$C:$C,"&lt;="&amp;$H$4)</f>
        <v>0</v>
      </c>
      <c r="I73" s="46"/>
    </row>
    <row r="74" customHeight="1" spans="2:9">
      <c r="B74" s="59">
        <v>68</v>
      </c>
      <c r="C74" s="60" t="str">
        <f>IF('基础-办公用品信息'!C71="","-",'基础-办公用品信息'!C71)</f>
        <v>无线插头</v>
      </c>
      <c r="D74" s="60" t="str">
        <f>IF('基础-办公用品信息'!D71="","-",'基础-办公用品信息'!D71)</f>
        <v>个</v>
      </c>
      <c r="E74" s="60" t="str">
        <f>IF('基础-办公用品信息'!E71="","-",'基础-办公用品信息'!E71)</f>
        <v>-</v>
      </c>
      <c r="F74" s="60">
        <f>SUMIFS('采购录入（明细）'!$I:$I,'采购录入（明细）'!$E:$E,C74,'采购录入（明细）'!$C:$C,"&gt;="&amp;$E$4,'采购录入（明细）'!$C:$C,"&lt;="&amp;$H$4)</f>
        <v>0</v>
      </c>
      <c r="G74" s="60">
        <f>IFERROR(VLOOKUP(C74,'基础-办公用品信息'!$C:$G,4,0),"-")</f>
        <v>0</v>
      </c>
      <c r="H74" s="61">
        <f>SUMIFS('采购录入（明细）'!$J:$J,'采购录入（明细）'!$E:$E,C74,'采购录入（明细）'!$C:$C,"&gt;="&amp;$E$4,'采购录入（明细）'!$C:$C,"&lt;="&amp;$H$4)</f>
        <v>0</v>
      </c>
      <c r="I74" s="46"/>
    </row>
    <row r="75" customHeight="1" spans="2:9">
      <c r="B75" s="59">
        <v>69</v>
      </c>
      <c r="C75" s="60" t="str">
        <f>IF('基础-办公用品信息'!C72="","-",'基础-办公用品信息'!C72)</f>
        <v>印台红色</v>
      </c>
      <c r="D75" s="60" t="str">
        <f>IF('基础-办公用品信息'!D72="","-",'基础-办公用品信息'!D72)</f>
        <v>只</v>
      </c>
      <c r="E75" s="60" t="str">
        <f>IF('基础-办公用品信息'!E72="","-",'基础-办公用品信息'!E72)</f>
        <v>-</v>
      </c>
      <c r="F75" s="60">
        <f>SUMIFS('采购录入（明细）'!$I:$I,'采购录入（明细）'!$E:$E,C75,'采购录入（明细）'!$C:$C,"&gt;="&amp;$E$4,'采购录入（明细）'!$C:$C,"&lt;="&amp;$H$4)</f>
        <v>0</v>
      </c>
      <c r="G75" s="60">
        <f>IFERROR(VLOOKUP(C75,'基础-办公用品信息'!$C:$G,4,0),"-")</f>
        <v>0</v>
      </c>
      <c r="H75" s="61">
        <f>SUMIFS('采购录入（明细）'!$J:$J,'采购录入（明细）'!$E:$E,C75,'采购录入（明细）'!$C:$C,"&gt;="&amp;$E$4,'采购录入（明细）'!$C:$C,"&lt;="&amp;$H$4)</f>
        <v>0</v>
      </c>
      <c r="I75" s="46"/>
    </row>
    <row r="76" customHeight="1" spans="2:9">
      <c r="B76" s="59">
        <v>70</v>
      </c>
      <c r="C76" s="60" t="str">
        <f>IF('基础-办公用品信息'!C73="","-",'基础-办公用品信息'!C73)</f>
        <v>印台蓝色</v>
      </c>
      <c r="D76" s="60" t="str">
        <f>IF('基础-办公用品信息'!D73="","-",'基础-办公用品信息'!D73)</f>
        <v>只</v>
      </c>
      <c r="E76" s="60" t="str">
        <f>IF('基础-办公用品信息'!E73="","-",'基础-办公用品信息'!E73)</f>
        <v>-</v>
      </c>
      <c r="F76" s="60">
        <f>SUMIFS('采购录入（明细）'!$I:$I,'采购录入（明细）'!$E:$E,C76,'采购录入（明细）'!$C:$C,"&gt;="&amp;$E$4,'采购录入（明细）'!$C:$C,"&lt;="&amp;$H$4)</f>
        <v>0</v>
      </c>
      <c r="G76" s="60">
        <f>IFERROR(VLOOKUP(C76,'基础-办公用品信息'!$C:$G,4,0),"-")</f>
        <v>0</v>
      </c>
      <c r="H76" s="61">
        <f>SUMIFS('采购录入（明细）'!$J:$J,'采购录入（明细）'!$E:$E,C76,'采购录入（明细）'!$C:$C,"&gt;="&amp;$E$4,'采购录入（明细）'!$C:$C,"&lt;="&amp;$H$4)</f>
        <v>0</v>
      </c>
      <c r="I76" s="46"/>
    </row>
    <row r="77" customHeight="1" spans="2:9">
      <c r="B77" s="59">
        <v>71</v>
      </c>
      <c r="C77" s="60" t="str">
        <f>IF('基础-办公用品信息'!C74="","-",'基础-办公用品信息'!C74)</f>
        <v>透明胶带小卷</v>
      </c>
      <c r="D77" s="60" t="str">
        <f>IF('基础-办公用品信息'!D74="","-",'基础-办公用品信息'!D74)</f>
        <v>卷</v>
      </c>
      <c r="E77" s="60" t="str">
        <f>IF('基础-办公用品信息'!E74="","-",'基础-办公用品信息'!E74)</f>
        <v>-</v>
      </c>
      <c r="F77" s="60">
        <f>SUMIFS('采购录入（明细）'!$I:$I,'采购录入（明细）'!$E:$E,C77,'采购录入（明细）'!$C:$C,"&gt;="&amp;$E$4,'采购录入（明细）'!$C:$C,"&lt;="&amp;$H$4)</f>
        <v>0</v>
      </c>
      <c r="G77" s="60">
        <f>IFERROR(VLOOKUP(C77,'基础-办公用品信息'!$C:$G,4,0),"-")</f>
        <v>5</v>
      </c>
      <c r="H77" s="61">
        <f>SUMIFS('采购录入（明细）'!$J:$J,'采购录入（明细）'!$E:$E,C77,'采购录入（明细）'!$C:$C,"&gt;="&amp;$E$4,'采购录入（明细）'!$C:$C,"&lt;="&amp;$H$4)</f>
        <v>0</v>
      </c>
      <c r="I77" s="46"/>
    </row>
    <row r="78" customHeight="1" spans="2:9">
      <c r="B78" s="59">
        <v>72</v>
      </c>
      <c r="C78" s="60" t="str">
        <f>IF('基础-办公用品信息'!C75="","-",'基础-办公用品信息'!C75)</f>
        <v>封箱胶带</v>
      </c>
      <c r="D78" s="60" t="str">
        <f>IF('基础-办公用品信息'!D75="","-",'基础-办公用品信息'!D75)</f>
        <v>筒</v>
      </c>
      <c r="E78" s="60" t="str">
        <f>IF('基础-办公用品信息'!E75="","-",'基础-办公用品信息'!E75)</f>
        <v>-</v>
      </c>
      <c r="F78" s="60">
        <f>SUMIFS('采购录入（明细）'!$I:$I,'采购录入（明细）'!$E:$E,C78,'采购录入（明细）'!$C:$C,"&gt;="&amp;$E$4,'采购录入（明细）'!$C:$C,"&lt;="&amp;$H$4)</f>
        <v>0</v>
      </c>
      <c r="G78" s="60">
        <f>IFERROR(VLOOKUP(C78,'基础-办公用品信息'!$C:$G,4,0),"-")</f>
        <v>7</v>
      </c>
      <c r="H78" s="61">
        <f>SUMIFS('采购录入（明细）'!$J:$J,'采购录入（明细）'!$E:$E,C78,'采购录入（明细）'!$C:$C,"&gt;="&amp;$E$4,'采购录入（明细）'!$C:$C,"&lt;="&amp;$H$4)</f>
        <v>0</v>
      </c>
      <c r="I78" s="46"/>
    </row>
    <row r="79" customHeight="1" spans="2:9">
      <c r="B79" s="59">
        <v>73</v>
      </c>
      <c r="C79" s="60" t="str">
        <f>IF('基础-办公用品信息'!C76="","-",'基础-办公用品信息'!C76)</f>
        <v>双面胶带宽</v>
      </c>
      <c r="D79" s="60" t="str">
        <f>IF('基础-办公用品信息'!D76="","-",'基础-办公用品信息'!D76)</f>
        <v>卷</v>
      </c>
      <c r="E79" s="60" t="str">
        <f>IF('基础-办公用品信息'!E76="","-",'基础-办公用品信息'!E76)</f>
        <v>-</v>
      </c>
      <c r="F79" s="60">
        <f>SUMIFS('采购录入（明细）'!$I:$I,'采购录入（明细）'!$E:$E,C79,'采购录入（明细）'!$C:$C,"&gt;="&amp;$E$4,'采购录入（明细）'!$C:$C,"&lt;="&amp;$H$4)</f>
        <v>0</v>
      </c>
      <c r="G79" s="60">
        <f>IFERROR(VLOOKUP(C79,'基础-办公用品信息'!$C:$G,4,0),"-")</f>
        <v>20</v>
      </c>
      <c r="H79" s="61">
        <f>SUMIFS('采购录入（明细）'!$J:$J,'采购录入（明细）'!$E:$E,C79,'采购录入（明细）'!$C:$C,"&gt;="&amp;$E$4,'采购录入（明细）'!$C:$C,"&lt;="&amp;$H$4)</f>
        <v>0</v>
      </c>
      <c r="I79" s="46"/>
    </row>
    <row r="80" customHeight="1" spans="2:9">
      <c r="B80" s="59">
        <v>74</v>
      </c>
      <c r="C80" s="60" t="str">
        <f>IF('基础-办公用品信息'!C77="","-",'基础-办公用品信息'!C77)</f>
        <v>泡沫胶带</v>
      </c>
      <c r="D80" s="60" t="str">
        <f>IF('基础-办公用品信息'!D77="","-",'基础-办公用品信息'!D77)</f>
        <v>卷</v>
      </c>
      <c r="E80" s="60" t="str">
        <f>IF('基础-办公用品信息'!E77="","-",'基础-办公用品信息'!E77)</f>
        <v>-</v>
      </c>
      <c r="F80" s="60">
        <f>SUMIFS('采购录入（明细）'!$I:$I,'采购录入（明细）'!$E:$E,C80,'采购录入（明细）'!$C:$C,"&gt;="&amp;$E$4,'采购录入（明细）'!$C:$C,"&lt;="&amp;$H$4)</f>
        <v>0</v>
      </c>
      <c r="G80" s="60">
        <f>IFERROR(VLOOKUP(C80,'基础-办公用品信息'!$C:$G,4,0),"-")</f>
        <v>0</v>
      </c>
      <c r="H80" s="61">
        <f>SUMIFS('采购录入（明细）'!$J:$J,'采购录入（明细）'!$E:$E,C80,'采购录入（明细）'!$C:$C,"&gt;="&amp;$E$4,'采购录入（明细）'!$C:$C,"&lt;="&amp;$H$4)</f>
        <v>0</v>
      </c>
      <c r="I80" s="46"/>
    </row>
    <row r="81" customHeight="1" spans="2:9">
      <c r="B81" s="59">
        <v>75</v>
      </c>
      <c r="C81" s="60" t="str">
        <f>IF('基础-办公用品信息'!C78="","-",'基础-办公用品信息'!C78)</f>
        <v>便利贴76*76mm</v>
      </c>
      <c r="D81" s="60" t="str">
        <f>IF('基础-办公用品信息'!D78="","-",'基础-办公用品信息'!D78)</f>
        <v>包</v>
      </c>
      <c r="E81" s="60" t="str">
        <f>IF('基础-办公用品信息'!E78="","-",'基础-办公用品信息'!E78)</f>
        <v>-</v>
      </c>
      <c r="F81" s="60">
        <f>SUMIFS('采购录入（明细）'!$I:$I,'采购录入（明细）'!$E:$E,C81,'采购录入（明细）'!$C:$C,"&gt;="&amp;$E$4,'采购录入（明细）'!$C:$C,"&lt;="&amp;$H$4)</f>
        <v>0</v>
      </c>
      <c r="G81" s="60">
        <f>IFERROR(VLOOKUP(C81,'基础-办公用品信息'!$C:$G,4,0),"-")</f>
        <v>2</v>
      </c>
      <c r="H81" s="61">
        <f>SUMIFS('采购录入（明细）'!$J:$J,'采购录入（明细）'!$E:$E,C81,'采购录入（明细）'!$C:$C,"&gt;="&amp;$E$4,'采购录入（明细）'!$C:$C,"&lt;="&amp;$H$4)</f>
        <v>0</v>
      </c>
      <c r="I81" s="46"/>
    </row>
    <row r="82" customHeight="1" spans="2:9">
      <c r="B82" s="59">
        <v>76</v>
      </c>
      <c r="C82" s="60" t="str">
        <f>IF('基础-办公用品信息'!C79="","-",'基础-办公用品信息'!C79)</f>
        <v>自粘性标签（大）</v>
      </c>
      <c r="D82" s="60" t="str">
        <f>IF('基础-办公用品信息'!D79="","-",'基础-办公用品信息'!D79)</f>
        <v>本</v>
      </c>
      <c r="E82" s="60" t="str">
        <f>IF('基础-办公用品信息'!E79="","-",'基础-办公用品信息'!E79)</f>
        <v>-</v>
      </c>
      <c r="F82" s="60">
        <f>SUMIFS('采购录入（明细）'!$I:$I,'采购录入（明细）'!$E:$E,C82,'采购录入（明细）'!$C:$C,"&gt;="&amp;$E$4,'采购录入（明细）'!$C:$C,"&lt;="&amp;$H$4)</f>
        <v>0</v>
      </c>
      <c r="G82" s="60">
        <f>IFERROR(VLOOKUP(C82,'基础-办公用品信息'!$C:$G,4,0),"-")</f>
        <v>0</v>
      </c>
      <c r="H82" s="61">
        <f>SUMIFS('采购录入（明细）'!$J:$J,'采购录入（明细）'!$E:$E,C82,'采购录入（明细）'!$C:$C,"&gt;="&amp;$E$4,'采购录入（明细）'!$C:$C,"&lt;="&amp;$H$4)</f>
        <v>0</v>
      </c>
      <c r="I82" s="46"/>
    </row>
    <row r="83" customHeight="1" spans="2:9">
      <c r="B83" s="59">
        <v>77</v>
      </c>
      <c r="C83" s="60" t="str">
        <f>IF('基础-办公用品信息'!C80="","-",'基础-办公用品信息'!C80)</f>
        <v>便利贴四色76*19mm</v>
      </c>
      <c r="D83" s="60" t="str">
        <f>IF('基础-办公用品信息'!D80="","-",'基础-办公用品信息'!D80)</f>
        <v>包</v>
      </c>
      <c r="E83" s="60" t="str">
        <f>IF('基础-办公用品信息'!E80="","-",'基础-办公用品信息'!E80)</f>
        <v>-</v>
      </c>
      <c r="F83" s="60">
        <f>SUMIFS('采购录入（明细）'!$I:$I,'采购录入（明细）'!$E:$E,C83,'采购录入（明细）'!$C:$C,"&gt;="&amp;$E$4,'采购录入（明细）'!$C:$C,"&lt;="&amp;$H$4)</f>
        <v>0</v>
      </c>
      <c r="G83" s="60">
        <f>IFERROR(VLOOKUP(C83,'基础-办公用品信息'!$C:$G,4,0),"-")</f>
        <v>0</v>
      </c>
      <c r="H83" s="61">
        <f>SUMIFS('采购录入（明细）'!$J:$J,'采购录入（明细）'!$E:$E,C83,'采购录入（明细）'!$C:$C,"&gt;="&amp;$E$4,'采购录入（明细）'!$C:$C,"&lt;="&amp;$H$4)</f>
        <v>0</v>
      </c>
      <c r="I83" s="46"/>
    </row>
    <row r="84" customHeight="1" spans="2:9">
      <c r="B84" s="59">
        <v>78</v>
      </c>
      <c r="C84" s="60" t="str">
        <f>IF('基础-办公用品信息'!C81="","-",'基础-办公用品信息'!C81)</f>
        <v>便利贴76*51mm</v>
      </c>
      <c r="D84" s="60" t="str">
        <f>IF('基础-办公用品信息'!D81="","-",'基础-办公用品信息'!D81)</f>
        <v>包</v>
      </c>
      <c r="E84" s="60" t="str">
        <f>IF('基础-办公用品信息'!E81="","-",'基础-办公用品信息'!E81)</f>
        <v>-</v>
      </c>
      <c r="F84" s="60">
        <f>SUMIFS('采购录入（明细）'!$I:$I,'采购录入（明细）'!$E:$E,C84,'采购录入（明细）'!$C:$C,"&gt;="&amp;$E$4,'采购录入（明细）'!$C:$C,"&lt;="&amp;$H$4)</f>
        <v>0</v>
      </c>
      <c r="G84" s="60">
        <f>IFERROR(VLOOKUP(C84,'基础-办公用品信息'!$C:$G,4,0),"-")</f>
        <v>0</v>
      </c>
      <c r="H84" s="61">
        <f>SUMIFS('采购录入（明细）'!$J:$J,'采购录入（明细）'!$E:$E,C84,'采购录入（明细）'!$C:$C,"&gt;="&amp;$E$4,'采购录入（明细）'!$C:$C,"&lt;="&amp;$H$4)</f>
        <v>0</v>
      </c>
      <c r="I84" s="46"/>
    </row>
    <row r="85" customHeight="1" spans="2:9">
      <c r="B85" s="59">
        <v>79</v>
      </c>
      <c r="C85" s="60" t="str">
        <f>IF('基础-办公用品信息'!C82="","-",'基础-办公用品信息'!C82)</f>
        <v>自粘性标签（小）</v>
      </c>
      <c r="D85" s="60" t="str">
        <f>IF('基础-办公用品信息'!D82="","-",'基础-办公用品信息'!D82)</f>
        <v>包</v>
      </c>
      <c r="E85" s="60" t="str">
        <f>IF('基础-办公用品信息'!E82="","-",'基础-办公用品信息'!E82)</f>
        <v>-</v>
      </c>
      <c r="F85" s="60">
        <f>SUMIFS('采购录入（明细）'!$I:$I,'采购录入（明细）'!$E:$E,C85,'采购录入（明细）'!$C:$C,"&gt;="&amp;$E$4,'采购录入（明细）'!$C:$C,"&lt;="&amp;$H$4)</f>
        <v>0</v>
      </c>
      <c r="G85" s="60">
        <f>IFERROR(VLOOKUP(C85,'基础-办公用品信息'!$C:$G,4,0),"-")</f>
        <v>0</v>
      </c>
      <c r="H85" s="61">
        <f>SUMIFS('采购录入（明细）'!$J:$J,'采购录入（明细）'!$E:$E,C85,'采购录入（明细）'!$C:$C,"&gt;="&amp;$E$4,'采购录入（明细）'!$C:$C,"&lt;="&amp;$H$4)</f>
        <v>0</v>
      </c>
      <c r="I85" s="46"/>
    </row>
    <row r="86" customHeight="1" spans="2:9">
      <c r="B86" s="59">
        <v>80</v>
      </c>
      <c r="C86" s="60" t="str">
        <f>IF('基础-办公用品信息'!C83="","-",'基础-办公用品信息'!C83)</f>
        <v>用款申请单</v>
      </c>
      <c r="D86" s="60" t="str">
        <f>IF('基础-办公用品信息'!D83="","-",'基础-办公用品信息'!D83)</f>
        <v>本</v>
      </c>
      <c r="E86" s="60" t="str">
        <f>IF('基础-办公用品信息'!E83="","-",'基础-办公用品信息'!E83)</f>
        <v>-</v>
      </c>
      <c r="F86" s="60">
        <f>SUMIFS('采购录入（明细）'!$I:$I,'采购录入（明细）'!$E:$E,C86,'采购录入（明细）'!$C:$C,"&gt;="&amp;$E$4,'采购录入（明细）'!$C:$C,"&lt;="&amp;$H$4)</f>
        <v>0</v>
      </c>
      <c r="G86" s="60">
        <f>IFERROR(VLOOKUP(C86,'基础-办公用品信息'!$C:$G,4,0),"-")</f>
        <v>0</v>
      </c>
      <c r="H86" s="61">
        <f>SUMIFS('采购录入（明细）'!$J:$J,'采购录入（明细）'!$E:$E,C86,'采购录入（明细）'!$C:$C,"&gt;="&amp;$E$4,'采购录入（明细）'!$C:$C,"&lt;="&amp;$H$4)</f>
        <v>0</v>
      </c>
      <c r="I86" s="46"/>
    </row>
    <row r="87" customHeight="1" spans="2:9">
      <c r="B87" s="59">
        <v>81</v>
      </c>
      <c r="C87" s="60" t="str">
        <f>IF('基础-办公用品信息'!C84="","-",'基础-办公用品信息'!C84)</f>
        <v>收据三联</v>
      </c>
      <c r="D87" s="60" t="str">
        <f>IF('基础-办公用品信息'!D84="","-",'基础-办公用品信息'!D84)</f>
        <v>本</v>
      </c>
      <c r="E87" s="60" t="str">
        <f>IF('基础-办公用品信息'!E84="","-",'基础-办公用品信息'!E84)</f>
        <v>-</v>
      </c>
      <c r="F87" s="60">
        <f>SUMIFS('采购录入（明细）'!$I:$I,'采购录入（明细）'!$E:$E,C87,'采购录入（明细）'!$C:$C,"&gt;="&amp;$E$4,'采购录入（明细）'!$C:$C,"&lt;="&amp;$H$4)</f>
        <v>0</v>
      </c>
      <c r="G87" s="60">
        <f>IFERROR(VLOOKUP(C87,'基础-办公用品信息'!$C:$G,4,0),"-")</f>
        <v>1.5</v>
      </c>
      <c r="H87" s="61">
        <f>SUMIFS('采购录入（明细）'!$J:$J,'采购录入（明细）'!$E:$E,C87,'采购录入（明细）'!$C:$C,"&gt;="&amp;$E$4,'采购录入（明细）'!$C:$C,"&lt;="&amp;$H$4)</f>
        <v>0</v>
      </c>
      <c r="I87" s="46"/>
    </row>
    <row r="88" customHeight="1" spans="2:9">
      <c r="B88" s="59">
        <v>82</v>
      </c>
      <c r="C88" s="60" t="str">
        <f>IF('基础-办公用品信息'!C85="","-",'基础-办公用品信息'!C85)</f>
        <v>入库单两联</v>
      </c>
      <c r="D88" s="60" t="str">
        <f>IF('基础-办公用品信息'!D85="","-",'基础-办公用品信息'!D85)</f>
        <v>本</v>
      </c>
      <c r="E88" s="60" t="str">
        <f>IF('基础-办公用品信息'!E85="","-",'基础-办公用品信息'!E85)</f>
        <v>-</v>
      </c>
      <c r="F88" s="60">
        <f>SUMIFS('采购录入（明细）'!$I:$I,'采购录入（明细）'!$E:$E,C88,'采购录入（明细）'!$C:$C,"&gt;="&amp;$E$4,'采购录入（明细）'!$C:$C,"&lt;="&amp;$H$4)</f>
        <v>0</v>
      </c>
      <c r="G88" s="60">
        <f>IFERROR(VLOOKUP(C88,'基础-办公用品信息'!$C:$G,4,0),"-")</f>
        <v>0</v>
      </c>
      <c r="H88" s="61">
        <f>SUMIFS('采购录入（明细）'!$J:$J,'采购录入（明细）'!$E:$E,C88,'采购录入（明细）'!$C:$C,"&gt;="&amp;$E$4,'采购录入（明细）'!$C:$C,"&lt;="&amp;$H$4)</f>
        <v>0</v>
      </c>
      <c r="I88" s="46"/>
    </row>
    <row r="89" customHeight="1" spans="2:9">
      <c r="B89" s="59">
        <v>83</v>
      </c>
      <c r="C89" s="60" t="str">
        <f>IF('基础-办公用品信息'!C86="","-",'基础-办公用品信息'!C86)</f>
        <v>出库单三联</v>
      </c>
      <c r="D89" s="60" t="str">
        <f>IF('基础-办公用品信息'!D86="","-",'基础-办公用品信息'!D86)</f>
        <v>本</v>
      </c>
      <c r="E89" s="60" t="str">
        <f>IF('基础-办公用品信息'!E86="","-",'基础-办公用品信息'!E86)</f>
        <v>-</v>
      </c>
      <c r="F89" s="60">
        <f>SUMIFS('采购录入（明细）'!$I:$I,'采购录入（明细）'!$E:$E,C89,'采购录入（明细）'!$C:$C,"&gt;="&amp;$E$4,'采购录入（明细）'!$C:$C,"&lt;="&amp;$H$4)</f>
        <v>0</v>
      </c>
      <c r="G89" s="60">
        <f>IFERROR(VLOOKUP(C89,'基础-办公用品信息'!$C:$G,4,0),"-")</f>
        <v>0</v>
      </c>
      <c r="H89" s="61">
        <f>SUMIFS('采购录入（明细）'!$J:$J,'采购录入（明细）'!$E:$E,C89,'采购录入（明细）'!$C:$C,"&gt;="&amp;$E$4,'采购录入（明细）'!$C:$C,"&lt;="&amp;$H$4)</f>
        <v>0</v>
      </c>
      <c r="I89" s="46"/>
    </row>
    <row r="90" customHeight="1" spans="2:9">
      <c r="B90" s="59">
        <v>84</v>
      </c>
      <c r="C90" s="60" t="str">
        <f>IF('基础-办公用品信息'!C87="","-",'基础-办公用品信息'!C87)</f>
        <v>单据凭证</v>
      </c>
      <c r="D90" s="60" t="str">
        <f>IF('基础-办公用品信息'!D87="","-",'基础-办公用品信息'!D87)</f>
        <v>本</v>
      </c>
      <c r="E90" s="60" t="str">
        <f>IF('基础-办公用品信息'!E87="","-",'基础-办公用品信息'!E87)</f>
        <v>-</v>
      </c>
      <c r="F90" s="60">
        <f>SUMIFS('采购录入（明细）'!$I:$I,'采购录入（明细）'!$E:$E,C90,'采购录入（明细）'!$C:$C,"&gt;="&amp;$E$4,'采购录入（明细）'!$C:$C,"&lt;="&amp;$H$4)</f>
        <v>0</v>
      </c>
      <c r="G90" s="60">
        <f>IFERROR(VLOOKUP(C90,'基础-办公用品信息'!$C:$G,4,0),"-")</f>
        <v>0</v>
      </c>
      <c r="H90" s="61">
        <f>SUMIFS('采购录入（明细）'!$J:$J,'采购录入（明细）'!$E:$E,C90,'采购录入（明细）'!$C:$C,"&gt;="&amp;$E$4,'采购录入（明细）'!$C:$C,"&lt;="&amp;$H$4)</f>
        <v>0</v>
      </c>
      <c r="I90" s="46"/>
    </row>
    <row r="91" customHeight="1" spans="2:9">
      <c r="B91" s="59">
        <v>85</v>
      </c>
      <c r="C91" s="60" t="str">
        <f>IF('基础-办公用品信息'!C88="","-",'基础-办公用品信息'!C88)</f>
        <v>罚款单</v>
      </c>
      <c r="D91" s="60" t="str">
        <f>IF('基础-办公用品信息'!D88="","-",'基础-办公用品信息'!D88)</f>
        <v>本</v>
      </c>
      <c r="E91" s="60" t="str">
        <f>IF('基础-办公用品信息'!E88="","-",'基础-办公用品信息'!E88)</f>
        <v>-</v>
      </c>
      <c r="F91" s="60">
        <f>SUMIFS('采购录入（明细）'!$I:$I,'采购录入（明细）'!$E:$E,C91,'采购录入（明细）'!$C:$C,"&gt;="&amp;$E$4,'采购录入（明细）'!$C:$C,"&lt;="&amp;$H$4)</f>
        <v>0</v>
      </c>
      <c r="G91" s="60">
        <f>IFERROR(VLOOKUP(C91,'基础-办公用品信息'!$C:$G,4,0),"-")</f>
        <v>0</v>
      </c>
      <c r="H91" s="61">
        <f>SUMIFS('采购录入（明细）'!$J:$J,'采购录入（明细）'!$E:$E,C91,'采购录入（明细）'!$C:$C,"&gt;="&amp;$E$4,'采购录入（明细）'!$C:$C,"&lt;="&amp;$H$4)</f>
        <v>0</v>
      </c>
      <c r="I91" s="46"/>
    </row>
    <row r="92" customHeight="1" spans="2:9">
      <c r="B92" s="59">
        <v>86</v>
      </c>
      <c r="C92" s="60" t="str">
        <f>IF('基础-办公用品信息'!C89="","-",'基础-办公用品信息'!C89)</f>
        <v>定制信笺本A5</v>
      </c>
      <c r="D92" s="60" t="str">
        <f>IF('基础-办公用品信息'!D89="","-",'基础-办公用品信息'!D89)</f>
        <v>本</v>
      </c>
      <c r="E92" s="60" t="str">
        <f>IF('基础-办公用品信息'!E89="","-",'基础-办公用品信息'!E89)</f>
        <v>-</v>
      </c>
      <c r="F92" s="60">
        <f>SUMIFS('采购录入（明细）'!$I:$I,'采购录入（明细）'!$E:$E,C92,'采购录入（明细）'!$C:$C,"&gt;="&amp;$E$4,'采购录入（明细）'!$C:$C,"&lt;="&amp;$H$4)</f>
        <v>0</v>
      </c>
      <c r="G92" s="60">
        <f>IFERROR(VLOOKUP(C92,'基础-办公用品信息'!$C:$G,4,0),"-")</f>
        <v>0</v>
      </c>
      <c r="H92" s="61">
        <f>SUMIFS('采购录入（明细）'!$J:$J,'采购录入（明细）'!$E:$E,C92,'采购录入（明细）'!$C:$C,"&gt;="&amp;$E$4,'采购录入（明细）'!$C:$C,"&lt;="&amp;$H$4)</f>
        <v>0</v>
      </c>
      <c r="I92" s="46"/>
    </row>
    <row r="93" customHeight="1" spans="2:9">
      <c r="B93" s="59">
        <v>87</v>
      </c>
      <c r="C93" s="60" t="str">
        <f>IF('基础-办公用品信息'!C90="","-",'基础-办公用品信息'!C90)</f>
        <v>定制信笺本A4</v>
      </c>
      <c r="D93" s="60" t="str">
        <f>IF('基础-办公用品信息'!D90="","-",'基础-办公用品信息'!D90)</f>
        <v>本</v>
      </c>
      <c r="E93" s="60" t="str">
        <f>IF('基础-办公用品信息'!E90="","-",'基础-办公用品信息'!E90)</f>
        <v>-</v>
      </c>
      <c r="F93" s="60">
        <f>SUMIFS('采购录入（明细）'!$I:$I,'采购录入（明细）'!$E:$E,C93,'采购录入（明细）'!$C:$C,"&gt;="&amp;$E$4,'采购录入（明细）'!$C:$C,"&lt;="&amp;$H$4)</f>
        <v>0</v>
      </c>
      <c r="G93" s="60">
        <f>IFERROR(VLOOKUP(C93,'基础-办公用品信息'!$C:$G,4,0),"-")</f>
        <v>0</v>
      </c>
      <c r="H93" s="61">
        <f>SUMIFS('采购录入（明细）'!$J:$J,'采购录入（明细）'!$E:$E,C93,'采购录入（明细）'!$C:$C,"&gt;="&amp;$E$4,'采购录入（明细）'!$C:$C,"&lt;="&amp;$H$4)</f>
        <v>0</v>
      </c>
      <c r="I93" s="46"/>
    </row>
    <row r="94" customHeight="1" spans="2:9">
      <c r="B94" s="59">
        <v>88</v>
      </c>
      <c r="C94" s="60" t="str">
        <f>IF('基础-办公用品信息'!C91="","-",'基础-办公用品信息'!C91)</f>
        <v>工作牌</v>
      </c>
      <c r="D94" s="60" t="str">
        <f>IF('基础-办公用品信息'!D91="","-",'基础-办公用品信息'!D91)</f>
        <v>个</v>
      </c>
      <c r="E94" s="60" t="str">
        <f>IF('基础-办公用品信息'!E91="","-",'基础-办公用品信息'!E91)</f>
        <v>-</v>
      </c>
      <c r="F94" s="60">
        <f>SUMIFS('采购录入（明细）'!$I:$I,'采购录入（明细）'!$E:$E,C94,'采购录入（明细）'!$C:$C,"&gt;="&amp;$E$4,'采购录入（明细）'!$C:$C,"&lt;="&amp;$H$4)</f>
        <v>0</v>
      </c>
      <c r="G94" s="60">
        <f>IFERROR(VLOOKUP(C94,'基础-办公用品信息'!$C:$G,4,0),"-")</f>
        <v>0</v>
      </c>
      <c r="H94" s="61">
        <f>SUMIFS('采购录入（明细）'!$J:$J,'采购录入（明细）'!$E:$E,C94,'采购录入（明细）'!$C:$C,"&gt;="&amp;$E$4,'采购录入（明细）'!$C:$C,"&lt;="&amp;$H$4)</f>
        <v>0</v>
      </c>
      <c r="I94" s="46"/>
    </row>
    <row r="95" customHeight="1" spans="2:9">
      <c r="B95" s="59">
        <v>89</v>
      </c>
      <c r="C95" s="60" t="str">
        <f>IF('基础-办公用品信息'!C92="","-",'基础-办公用品信息'!C92)</f>
        <v>透明口罩</v>
      </c>
      <c r="D95" s="60" t="str">
        <f>IF('基础-办公用品信息'!D92="","-",'基础-办公用品信息'!D92)</f>
        <v>个</v>
      </c>
      <c r="E95" s="60" t="str">
        <f>IF('基础-办公用品信息'!E92="","-",'基础-办公用品信息'!E92)</f>
        <v>-</v>
      </c>
      <c r="F95" s="60">
        <f>SUMIFS('采购录入（明细）'!$I:$I,'采购录入（明细）'!$E:$E,C95,'采购录入（明细）'!$C:$C,"&gt;="&amp;$E$4,'采购录入（明细）'!$C:$C,"&lt;="&amp;$H$4)</f>
        <v>0</v>
      </c>
      <c r="G95" s="60">
        <f>IFERROR(VLOOKUP(C95,'基础-办公用品信息'!$C:$G,4,0),"-")</f>
        <v>0</v>
      </c>
      <c r="H95" s="61">
        <f>SUMIFS('采购录入（明细）'!$J:$J,'采购录入（明细）'!$E:$E,C95,'采购录入（明细）'!$C:$C,"&gt;="&amp;$E$4,'采购录入（明细）'!$C:$C,"&lt;="&amp;$H$4)</f>
        <v>0</v>
      </c>
      <c r="I95" s="46"/>
    </row>
    <row r="96" customHeight="1" spans="2:9">
      <c r="B96" s="59">
        <v>90</v>
      </c>
      <c r="C96" s="60" t="str">
        <f>IF('基础-办公用品信息'!C93="","-",'基础-办公用品信息'!C93)</f>
        <v>蓝色口罩</v>
      </c>
      <c r="D96" s="60" t="str">
        <f>IF('基础-办公用品信息'!D93="","-",'基础-办公用品信息'!D93)</f>
        <v>包</v>
      </c>
      <c r="E96" s="60" t="str">
        <f>IF('基础-办公用品信息'!E93="","-",'基础-办公用品信息'!E93)</f>
        <v>-</v>
      </c>
      <c r="F96" s="60">
        <f>SUMIFS('采购录入（明细）'!$I:$I,'采购录入（明细）'!$E:$E,C96,'采购录入（明细）'!$C:$C,"&gt;="&amp;$E$4,'采购录入（明细）'!$C:$C,"&lt;="&amp;$H$4)</f>
        <v>0</v>
      </c>
      <c r="G96" s="60">
        <f>IFERROR(VLOOKUP(C96,'基础-办公用品信息'!$C:$G,4,0),"-")</f>
        <v>0.3</v>
      </c>
      <c r="H96" s="61">
        <f>SUMIFS('采购录入（明细）'!$J:$J,'采购录入（明细）'!$E:$E,C96,'采购录入（明细）'!$C:$C,"&gt;="&amp;$E$4,'采购录入（明细）'!$C:$C,"&lt;="&amp;$H$4)</f>
        <v>0</v>
      </c>
      <c r="I96" s="46"/>
    </row>
    <row r="97" customHeight="1" spans="2:9">
      <c r="B97" s="59">
        <v>91</v>
      </c>
      <c r="C97" s="60" t="str">
        <f>IF('基础-办公用品信息'!C94="","-",'基础-办公用品信息'!C94)</f>
        <v>一次性纸杯50个/筒</v>
      </c>
      <c r="D97" s="60" t="str">
        <f>IF('基础-办公用品信息'!D94="","-",'基础-办公用品信息'!D94)</f>
        <v>筒</v>
      </c>
      <c r="E97" s="60" t="str">
        <f>IF('基础-办公用品信息'!E94="","-",'基础-办公用品信息'!E94)</f>
        <v>-</v>
      </c>
      <c r="F97" s="60">
        <f>SUMIFS('采购录入（明细）'!$I:$I,'采购录入（明细）'!$E:$E,C97,'采购录入（明细）'!$C:$C,"&gt;="&amp;$E$4,'采购录入（明细）'!$C:$C,"&lt;="&amp;$H$4)</f>
        <v>0</v>
      </c>
      <c r="G97" s="60">
        <f>IFERROR(VLOOKUP(C97,'基础-办公用品信息'!$C:$G,4,0),"-")</f>
        <v>0.2</v>
      </c>
      <c r="H97" s="61">
        <f>SUMIFS('采购录入（明细）'!$J:$J,'采购录入（明细）'!$E:$E,C97,'采购录入（明细）'!$C:$C,"&gt;="&amp;$E$4,'采购录入（明细）'!$C:$C,"&lt;="&amp;$H$4)</f>
        <v>0</v>
      </c>
      <c r="I97" s="46"/>
    </row>
    <row r="98" customHeight="1" spans="2:9">
      <c r="B98" s="59">
        <v>92</v>
      </c>
      <c r="C98" s="60" t="str">
        <f>IF('基础-办公用品信息'!C95="","-",'基础-办公用品信息'!C95)</f>
        <v>黑色口罩</v>
      </c>
      <c r="D98" s="60" t="str">
        <f>IF('基础-办公用品信息'!D95="","-",'基础-办公用品信息'!D95)</f>
        <v>盒</v>
      </c>
      <c r="E98" s="60" t="str">
        <f>IF('基础-办公用品信息'!E95="","-",'基础-办公用品信息'!E95)</f>
        <v>-</v>
      </c>
      <c r="F98" s="60">
        <f>SUMIFS('采购录入（明细）'!$I:$I,'采购录入（明细）'!$E:$E,C98,'采购录入（明细）'!$C:$C,"&gt;="&amp;$E$4,'采购录入（明细）'!$C:$C,"&lt;="&amp;$H$4)</f>
        <v>0</v>
      </c>
      <c r="G98" s="60">
        <f>IFERROR(VLOOKUP(C98,'基础-办公用品信息'!$C:$G,4,0),"-")</f>
        <v>0</v>
      </c>
      <c r="H98" s="61">
        <f>SUMIFS('采购录入（明细）'!$J:$J,'采购录入（明细）'!$E:$E,C98,'采购录入（明细）'!$C:$C,"&gt;="&amp;$E$4,'采购录入（明细）'!$C:$C,"&lt;="&amp;$H$4)</f>
        <v>0</v>
      </c>
      <c r="I98" s="46"/>
    </row>
    <row r="99" customHeight="1" spans="2:9">
      <c r="B99" s="59">
        <v>93</v>
      </c>
      <c r="C99" s="60" t="str">
        <f>IF('基础-办公用品信息'!C96="","-",'基础-办公用品信息'!C96)</f>
        <v>有线鼠标</v>
      </c>
      <c r="D99" s="60" t="str">
        <f>IF('基础-办公用品信息'!D96="","-",'基础-办公用品信息'!D96)</f>
        <v>个</v>
      </c>
      <c r="E99" s="60" t="str">
        <f>IF('基础-办公用品信息'!E96="","-",'基础-办公用品信息'!E96)</f>
        <v>-</v>
      </c>
      <c r="F99" s="60">
        <f>SUMIFS('采购录入（明细）'!$I:$I,'采购录入（明细）'!$E:$E,C99,'采购录入（明细）'!$C:$C,"&gt;="&amp;$E$4,'采购录入（明细）'!$C:$C,"&lt;="&amp;$H$4)</f>
        <v>0</v>
      </c>
      <c r="G99" s="60">
        <f>IFERROR(VLOOKUP(C99,'基础-办公用品信息'!$C:$G,4,0),"-")</f>
        <v>30</v>
      </c>
      <c r="H99" s="61">
        <f>SUMIFS('采购录入（明细）'!$J:$J,'采购录入（明细）'!$E:$E,C99,'采购录入（明细）'!$C:$C,"&gt;="&amp;$E$4,'采购录入（明细）'!$C:$C,"&lt;="&amp;$H$4)</f>
        <v>0</v>
      </c>
      <c r="I99" s="46"/>
    </row>
    <row r="100" customHeight="1" spans="2:9">
      <c r="B100" s="59">
        <v>94</v>
      </c>
      <c r="C100" s="60" t="str">
        <f>IF('基础-办公用品信息'!C97="","-",'基础-办公用品信息'!C97)</f>
        <v>键盘</v>
      </c>
      <c r="D100" s="60" t="str">
        <f>IF('基础-办公用品信息'!D97="","-",'基础-办公用品信息'!D97)</f>
        <v>个</v>
      </c>
      <c r="E100" s="60" t="str">
        <f>IF('基础-办公用品信息'!E97="","-",'基础-办公用品信息'!E97)</f>
        <v>-</v>
      </c>
      <c r="F100" s="60">
        <f>SUMIFS('采购录入（明细）'!$I:$I,'采购录入（明细）'!$E:$E,C100,'采购录入（明细）'!$C:$C,"&gt;="&amp;$E$4,'采购录入（明细）'!$C:$C,"&lt;="&amp;$H$4)</f>
        <v>0</v>
      </c>
      <c r="G100" s="60">
        <f>IFERROR(VLOOKUP(C100,'基础-办公用品信息'!$C:$G,4,0),"-")</f>
        <v>0</v>
      </c>
      <c r="H100" s="61">
        <f>SUMIFS('采购录入（明细）'!$J:$J,'采购录入（明细）'!$E:$E,C100,'采购录入（明细）'!$C:$C,"&gt;="&amp;$E$4,'采购录入（明细）'!$C:$C,"&lt;="&amp;$H$4)</f>
        <v>0</v>
      </c>
      <c r="I100" s="46"/>
    </row>
    <row r="101" customHeight="1" spans="2:9">
      <c r="B101" s="59">
        <v>95</v>
      </c>
      <c r="C101" s="60" t="str">
        <f>IF('基础-办公用品信息'!C98="","-",'基础-办公用品信息'!C98)</f>
        <v>无线接收器水星</v>
      </c>
      <c r="D101" s="60" t="str">
        <f>IF('基础-办公用品信息'!D98="","-",'基础-办公用品信息'!D98)</f>
        <v>个</v>
      </c>
      <c r="E101" s="60" t="str">
        <f>IF('基础-办公用品信息'!E98="","-",'基础-办公用品信息'!E98)</f>
        <v>-</v>
      </c>
      <c r="F101" s="60">
        <f>SUMIFS('采购录入（明细）'!$I:$I,'采购录入（明细）'!$E:$E,C101,'采购录入（明细）'!$C:$C,"&gt;="&amp;$E$4,'采购录入（明细）'!$C:$C,"&lt;="&amp;$H$4)</f>
        <v>0</v>
      </c>
      <c r="G101" s="60">
        <f>IFERROR(VLOOKUP(C101,'基础-办公用品信息'!$C:$G,4,0),"-")</f>
        <v>0</v>
      </c>
      <c r="H101" s="61">
        <f>SUMIFS('采购录入（明细）'!$J:$J,'采购录入（明细）'!$E:$E,C101,'采购录入（明细）'!$C:$C,"&gt;="&amp;$E$4,'采购录入（明细）'!$C:$C,"&lt;="&amp;$H$4)</f>
        <v>0</v>
      </c>
      <c r="I101" s="46"/>
    </row>
    <row r="102" customHeight="1" spans="2:9">
      <c r="B102" s="59">
        <v>96</v>
      </c>
      <c r="C102" s="60" t="str">
        <f>IF('基础-办公用品信息'!C99="","-",'基础-办公用品信息'!C99)</f>
        <v>无线接收器TP-Link</v>
      </c>
      <c r="D102" s="60" t="str">
        <f>IF('基础-办公用品信息'!D99="","-",'基础-办公用品信息'!D99)</f>
        <v>个</v>
      </c>
      <c r="E102" s="60" t="str">
        <f>IF('基础-办公用品信息'!E99="","-",'基础-办公用品信息'!E99)</f>
        <v>-</v>
      </c>
      <c r="F102" s="60">
        <f>SUMIFS('采购录入（明细）'!$I:$I,'采购录入（明细）'!$E:$E,C102,'采购录入（明细）'!$C:$C,"&gt;="&amp;$E$4,'采购录入（明细）'!$C:$C,"&lt;="&amp;$H$4)</f>
        <v>0</v>
      </c>
      <c r="G102" s="60">
        <f>IFERROR(VLOOKUP(C102,'基础-办公用品信息'!$C:$G,4,0),"-")</f>
        <v>0</v>
      </c>
      <c r="H102" s="61">
        <f>SUMIFS('采购录入（明细）'!$J:$J,'采购录入（明细）'!$E:$E,C102,'采购录入（明细）'!$C:$C,"&gt;="&amp;$E$4,'采购录入（明细）'!$C:$C,"&lt;="&amp;$H$4)</f>
        <v>0</v>
      </c>
      <c r="I102" s="46"/>
    </row>
    <row r="103" customHeight="1" spans="2:9">
      <c r="B103" s="59">
        <v>97</v>
      </c>
      <c r="C103" s="60" t="str">
        <f>IF('基础-办公用品信息'!C100="","-",'基础-办公用品信息'!C100)</f>
        <v>红外体温计倍尔康</v>
      </c>
      <c r="D103" s="60" t="str">
        <f>IF('基础-办公用品信息'!D100="","-",'基础-办公用品信息'!D100)</f>
        <v>个</v>
      </c>
      <c r="E103" s="60" t="str">
        <f>IF('基础-办公用品信息'!E100="","-",'基础-办公用品信息'!E100)</f>
        <v>-</v>
      </c>
      <c r="F103" s="60">
        <f>SUMIFS('采购录入（明细）'!$I:$I,'采购录入（明细）'!$E:$E,C103,'采购录入（明细）'!$C:$C,"&gt;="&amp;$E$4,'采购录入（明细）'!$C:$C,"&lt;="&amp;$H$4)</f>
        <v>0</v>
      </c>
      <c r="G103" s="60">
        <f>IFERROR(VLOOKUP(C103,'基础-办公用品信息'!$C:$G,4,0),"-")</f>
        <v>0</v>
      </c>
      <c r="H103" s="61">
        <f>SUMIFS('采购录入（明细）'!$J:$J,'采购录入（明细）'!$E:$E,C103,'采购录入（明细）'!$C:$C,"&gt;="&amp;$E$4,'采购录入（明细）'!$C:$C,"&lt;="&amp;$H$4)</f>
        <v>0</v>
      </c>
      <c r="I103" s="46"/>
    </row>
    <row r="104" customHeight="1" spans="2:9">
      <c r="B104" s="59">
        <v>98</v>
      </c>
      <c r="C104" s="60" t="str">
        <f>IF('基础-办公用品信息'!C101="","-",'基础-办公用品信息'!C101)</f>
        <v>硬盘绿联2.5英寸</v>
      </c>
      <c r="D104" s="60" t="str">
        <f>IF('基础-办公用品信息'!D101="","-",'基础-办公用品信息'!D101)</f>
        <v>个</v>
      </c>
      <c r="E104" s="60" t="str">
        <f>IF('基础-办公用品信息'!E101="","-",'基础-办公用品信息'!E101)</f>
        <v>-</v>
      </c>
      <c r="F104" s="60">
        <f>SUMIFS('采购录入（明细）'!$I:$I,'采购录入（明细）'!$E:$E,C104,'采购录入（明细）'!$C:$C,"&gt;="&amp;$E$4,'采购录入（明细）'!$C:$C,"&lt;="&amp;$H$4)</f>
        <v>0</v>
      </c>
      <c r="G104" s="60">
        <f>IFERROR(VLOOKUP(C104,'基础-办公用品信息'!$C:$G,4,0),"-")</f>
        <v>0</v>
      </c>
      <c r="H104" s="61">
        <f>SUMIFS('采购录入（明细）'!$J:$J,'采购录入（明细）'!$E:$E,C104,'采购录入（明细）'!$C:$C,"&gt;="&amp;$E$4,'采购录入（明细）'!$C:$C,"&lt;="&amp;$H$4)</f>
        <v>0</v>
      </c>
      <c r="I104" s="46"/>
    </row>
    <row r="105" customHeight="1" spans="2:9">
      <c r="B105" s="59">
        <v>99</v>
      </c>
      <c r="C105" s="60" t="str">
        <f>IF('基础-办公用品信息'!C102="","-",'基础-办公用品信息'!C102)</f>
        <v>PPT翻页笔诺为</v>
      </c>
      <c r="D105" s="60" t="str">
        <f>IF('基础-办公用品信息'!D102="","-",'基础-办公用品信息'!D102)</f>
        <v>支</v>
      </c>
      <c r="E105" s="60" t="str">
        <f>IF('基础-办公用品信息'!E102="","-",'基础-办公用品信息'!E102)</f>
        <v>-</v>
      </c>
      <c r="F105" s="60">
        <f>SUMIFS('采购录入（明细）'!$I:$I,'采购录入（明细）'!$E:$E,C105,'采购录入（明细）'!$C:$C,"&gt;="&amp;$E$4,'采购录入（明细）'!$C:$C,"&lt;="&amp;$H$4)</f>
        <v>0</v>
      </c>
      <c r="G105" s="60">
        <f>IFERROR(VLOOKUP(C105,'基础-办公用品信息'!$C:$G,4,0),"-")</f>
        <v>0</v>
      </c>
      <c r="H105" s="61">
        <f>SUMIFS('采购录入（明细）'!$J:$J,'采购录入（明细）'!$E:$E,C105,'采购录入（明细）'!$C:$C,"&gt;="&amp;$E$4,'采购录入（明细）'!$C:$C,"&lt;="&amp;$H$4)</f>
        <v>0</v>
      </c>
      <c r="I105" s="46"/>
    </row>
    <row r="106" customHeight="1" spans="2:9">
      <c r="B106" s="59">
        <v>100</v>
      </c>
      <c r="C106" s="60" t="str">
        <f>IF('基础-办公用品信息'!C103="","-",'基础-办公用品信息'!C103)</f>
        <v>光盘700MB，CD-R 52X</v>
      </c>
      <c r="D106" s="60" t="str">
        <f>IF('基础-办公用品信息'!D103="","-",'基础-办公用品信息'!D103)</f>
        <v>个</v>
      </c>
      <c r="E106" s="60" t="str">
        <f>IF('基础-办公用品信息'!E103="","-",'基础-办公用品信息'!E103)</f>
        <v>-</v>
      </c>
      <c r="F106" s="60">
        <f>SUMIFS('采购录入（明细）'!$I:$I,'采购录入（明细）'!$E:$E,C106,'采购录入（明细）'!$C:$C,"&gt;="&amp;$E$4,'采购录入（明细）'!$C:$C,"&lt;="&amp;$H$4)</f>
        <v>0</v>
      </c>
      <c r="G106" s="60">
        <f>IFERROR(VLOOKUP(C106,'基础-办公用品信息'!$C:$G,4,0),"-")</f>
        <v>0</v>
      </c>
      <c r="H106" s="61">
        <f>SUMIFS('采购录入（明细）'!$J:$J,'采购录入（明细）'!$E:$E,C106,'采购录入（明细）'!$C:$C,"&gt;="&amp;$E$4,'采购录入（明细）'!$C:$C,"&lt;="&amp;$H$4)</f>
        <v>0</v>
      </c>
      <c r="I106" s="46"/>
    </row>
    <row r="107" customHeight="1" spans="2:9">
      <c r="B107" s="59">
        <v>101</v>
      </c>
      <c r="C107" s="60" t="str">
        <f>IF('基础-办公用品信息'!C104="","-",'基础-办公用品信息'!C104)</f>
        <v>光盘4.7GB 120mm</v>
      </c>
      <c r="D107" s="60" t="str">
        <f>IF('基础-办公用品信息'!D104="","-",'基础-办公用品信息'!D104)</f>
        <v>个</v>
      </c>
      <c r="E107" s="60" t="str">
        <f>IF('基础-办公用品信息'!E104="","-",'基础-办公用品信息'!E104)</f>
        <v>-</v>
      </c>
      <c r="F107" s="60">
        <f>SUMIFS('采购录入（明细）'!$I:$I,'采购录入（明细）'!$E:$E,C107,'采购录入（明细）'!$C:$C,"&gt;="&amp;$E$4,'采购录入（明细）'!$C:$C,"&lt;="&amp;$H$4)</f>
        <v>0</v>
      </c>
      <c r="G107" s="60">
        <f>IFERROR(VLOOKUP(C107,'基础-办公用品信息'!$C:$G,4,0),"-")</f>
        <v>0</v>
      </c>
      <c r="H107" s="61">
        <f>SUMIFS('采购录入（明细）'!$J:$J,'采购录入（明细）'!$E:$E,C107,'采购录入（明细）'!$C:$C,"&gt;="&amp;$E$4,'采购录入（明细）'!$C:$C,"&lt;="&amp;$H$4)</f>
        <v>0</v>
      </c>
      <c r="I107" s="46"/>
    </row>
    <row r="108" customHeight="1" spans="2:9">
      <c r="B108" s="59">
        <v>102</v>
      </c>
      <c r="C108" s="60" t="str">
        <f>IF('基础-办公用品信息'!C105="","-",'基础-办公用品信息'!C105)</f>
        <v>光盘壳</v>
      </c>
      <c r="D108" s="60" t="str">
        <f>IF('基础-办公用品信息'!D105="","-",'基础-办公用品信息'!D105)</f>
        <v>个</v>
      </c>
      <c r="E108" s="60" t="str">
        <f>IF('基础-办公用品信息'!E105="","-",'基础-办公用品信息'!E105)</f>
        <v>-</v>
      </c>
      <c r="F108" s="60">
        <f>SUMIFS('采购录入（明细）'!$I:$I,'采购录入（明细）'!$E:$E,C108,'采购录入（明细）'!$C:$C,"&gt;="&amp;$E$4,'采购录入（明细）'!$C:$C,"&lt;="&amp;$H$4)</f>
        <v>0</v>
      </c>
      <c r="G108" s="60">
        <f>IFERROR(VLOOKUP(C108,'基础-办公用品信息'!$C:$G,4,0),"-")</f>
        <v>0</v>
      </c>
      <c r="H108" s="61">
        <f>SUMIFS('采购录入（明细）'!$J:$J,'采购录入（明细）'!$E:$E,C108,'采购录入（明细）'!$C:$C,"&gt;="&amp;$E$4,'采购录入（明细）'!$C:$C,"&lt;="&amp;$H$4)</f>
        <v>0</v>
      </c>
      <c r="I108" s="46"/>
    </row>
    <row r="109" customHeight="1" spans="2:9">
      <c r="B109" s="59">
        <v>103</v>
      </c>
      <c r="C109" s="60" t="str">
        <f>IF('基础-办公用品信息'!C106="","-",'基础-办公用品信息'!C106)</f>
        <v>台裙夹</v>
      </c>
      <c r="D109" s="60" t="str">
        <f>IF('基础-办公用品信息'!D106="","-",'基础-办公用品信息'!D106)</f>
        <v>个</v>
      </c>
      <c r="E109" s="60" t="str">
        <f>IF('基础-办公用品信息'!E106="","-",'基础-办公用品信息'!E106)</f>
        <v>-</v>
      </c>
      <c r="F109" s="60">
        <f>SUMIFS('采购录入（明细）'!$I:$I,'采购录入（明细）'!$E:$E,C109,'采购录入（明细）'!$C:$C,"&gt;="&amp;$E$4,'采购录入（明细）'!$C:$C,"&lt;="&amp;$H$4)</f>
        <v>0</v>
      </c>
      <c r="G109" s="60">
        <f>IFERROR(VLOOKUP(C109,'基础-办公用品信息'!$C:$G,4,0),"-")</f>
        <v>0.85</v>
      </c>
      <c r="H109" s="61">
        <f>SUMIFS('采购录入（明细）'!$J:$J,'采购录入（明细）'!$E:$E,C109,'采购录入（明细）'!$C:$C,"&gt;="&amp;$E$4,'采购录入（明细）'!$C:$C,"&lt;="&amp;$H$4)</f>
        <v>0</v>
      </c>
      <c r="I109" s="46"/>
    </row>
    <row r="110" customHeight="1" spans="2:9">
      <c r="B110" s="59">
        <v>104</v>
      </c>
      <c r="C110" s="60" t="str">
        <f>IF('基础-办公用品信息'!C107="","-",'基础-办公用品信息'!C107)</f>
        <v>果盘</v>
      </c>
      <c r="D110" s="60" t="str">
        <f>IF('基础-办公用品信息'!D107="","-",'基础-办公用品信息'!D107)</f>
        <v>个</v>
      </c>
      <c r="E110" s="60" t="str">
        <f>IF('基础-办公用品信息'!E107="","-",'基础-办公用品信息'!E107)</f>
        <v>-</v>
      </c>
      <c r="F110" s="60">
        <f>SUMIFS('采购录入（明细）'!$I:$I,'采购录入（明细）'!$E:$E,C110,'采购录入（明细）'!$C:$C,"&gt;="&amp;$E$4,'采购录入（明细）'!$C:$C,"&lt;="&amp;$H$4)</f>
        <v>0</v>
      </c>
      <c r="G110" s="60">
        <f>IFERROR(VLOOKUP(C110,'基础-办公用品信息'!$C:$G,4,0),"-")</f>
        <v>0</v>
      </c>
      <c r="H110" s="61">
        <f>SUMIFS('采购录入（明细）'!$J:$J,'采购录入（明细）'!$E:$E,C110,'采购录入（明细）'!$C:$C,"&gt;="&amp;$E$4,'采购录入（明细）'!$C:$C,"&lt;="&amp;$H$4)</f>
        <v>0</v>
      </c>
      <c r="I110" s="46"/>
    </row>
    <row r="111" customHeight="1" spans="2:9">
      <c r="B111" s="59">
        <v>105</v>
      </c>
      <c r="C111" s="60" t="str">
        <f>IF('基础-办公用品信息'!C108="","-",'基础-办公用品信息'!C108)</f>
        <v>电蚊器</v>
      </c>
      <c r="D111" s="60" t="str">
        <f>IF('基础-办公用品信息'!D108="","-",'基础-办公用品信息'!D108)</f>
        <v>个</v>
      </c>
      <c r="E111" s="60" t="str">
        <f>IF('基础-办公用品信息'!E108="","-",'基础-办公用品信息'!E108)</f>
        <v>-</v>
      </c>
      <c r="F111" s="60">
        <f>SUMIFS('采购录入（明细）'!$I:$I,'采购录入（明细）'!$E:$E,C111,'采购录入（明细）'!$C:$C,"&gt;="&amp;$E$4,'采购录入（明细）'!$C:$C,"&lt;="&amp;$H$4)</f>
        <v>0</v>
      </c>
      <c r="G111" s="60">
        <f>IFERROR(VLOOKUP(C111,'基础-办公用品信息'!$C:$G,4,0),"-")</f>
        <v>0</v>
      </c>
      <c r="H111" s="61">
        <f>SUMIFS('采购录入（明细）'!$J:$J,'采购录入（明细）'!$E:$E,C111,'采购录入（明细）'!$C:$C,"&gt;="&amp;$E$4,'采购录入（明细）'!$C:$C,"&lt;="&amp;$H$4)</f>
        <v>0</v>
      </c>
      <c r="I111" s="46"/>
    </row>
    <row r="112" customHeight="1" spans="2:9">
      <c r="B112" s="59">
        <v>106</v>
      </c>
      <c r="C112" s="60" t="str">
        <f>IF('基础-办公用品信息'!C109="","-",'基础-办公用品信息'!C109)</f>
        <v>电蚊液</v>
      </c>
      <c r="D112" s="60" t="str">
        <f>IF('基础-办公用品信息'!D109="","-",'基础-办公用品信息'!D109)</f>
        <v>瓶</v>
      </c>
      <c r="E112" s="60" t="str">
        <f>IF('基础-办公用品信息'!E109="","-",'基础-办公用品信息'!E109)</f>
        <v>-</v>
      </c>
      <c r="F112" s="60">
        <f>SUMIFS('采购录入（明细）'!$I:$I,'采购录入（明细）'!$E:$E,C112,'采购录入（明细）'!$C:$C,"&gt;="&amp;$E$4,'采购录入（明细）'!$C:$C,"&lt;="&amp;$H$4)</f>
        <v>0</v>
      </c>
      <c r="G112" s="60">
        <f>IFERROR(VLOOKUP(C112,'基础-办公用品信息'!$C:$G,4,0),"-")</f>
        <v>0</v>
      </c>
      <c r="H112" s="61">
        <f>SUMIFS('采购录入（明细）'!$J:$J,'采购录入（明细）'!$E:$E,C112,'采购录入（明细）'!$C:$C,"&gt;="&amp;$E$4,'采购录入（明细）'!$C:$C,"&lt;="&amp;$H$4)</f>
        <v>0</v>
      </c>
      <c r="I112" s="46"/>
    </row>
    <row r="113" customHeight="1" spans="2:9">
      <c r="B113" s="59">
        <v>107</v>
      </c>
      <c r="C113" s="60" t="str">
        <f>IF('基础-办公用品信息'!C110="","-",'基础-办公用品信息'!C110)</f>
        <v>会议杯有盖</v>
      </c>
      <c r="D113" s="60" t="str">
        <f>IF('基础-办公用品信息'!D110="","-",'基础-办公用品信息'!D110)</f>
        <v>个</v>
      </c>
      <c r="E113" s="60" t="str">
        <f>IF('基础-办公用品信息'!E110="","-",'基础-办公用品信息'!E110)</f>
        <v>-</v>
      </c>
      <c r="F113" s="60">
        <f>SUMIFS('采购录入（明细）'!$I:$I,'采购录入（明细）'!$E:$E,C113,'采购录入（明细）'!$C:$C,"&gt;="&amp;$E$4,'采购录入（明细）'!$C:$C,"&lt;="&amp;$H$4)</f>
        <v>0</v>
      </c>
      <c r="G113" s="60">
        <f>IFERROR(VLOOKUP(C113,'基础-办公用品信息'!$C:$G,4,0),"-")</f>
        <v>0</v>
      </c>
      <c r="H113" s="61">
        <f>SUMIFS('采购录入（明细）'!$J:$J,'采购录入（明细）'!$E:$E,C113,'采购录入（明细）'!$C:$C,"&gt;="&amp;$E$4,'采购录入（明细）'!$C:$C,"&lt;="&amp;$H$4)</f>
        <v>0</v>
      </c>
      <c r="I113" s="46"/>
    </row>
    <row r="114" customHeight="1" spans="2:9">
      <c r="B114" s="59">
        <v>108</v>
      </c>
      <c r="C114" s="60" t="str">
        <f>IF('基础-办公用品信息'!C111="","-",'基础-办公用品信息'!C111)</f>
        <v>卷纸</v>
      </c>
      <c r="D114" s="60" t="str">
        <f>IF('基础-办公用品信息'!D111="","-",'基础-办公用品信息'!D111)</f>
        <v>提</v>
      </c>
      <c r="E114" s="60" t="str">
        <f>IF('基础-办公用品信息'!E111="","-",'基础-办公用品信息'!E111)</f>
        <v>-</v>
      </c>
      <c r="F114" s="60">
        <f>SUMIFS('采购录入（明细）'!$I:$I,'采购录入（明细）'!$E:$E,C114,'采购录入（明细）'!$C:$C,"&gt;="&amp;$E$4,'采购录入（明细）'!$C:$C,"&lt;="&amp;$H$4)</f>
        <v>12</v>
      </c>
      <c r="G114" s="60">
        <f>IFERROR(VLOOKUP(C114,'基础-办公用品信息'!$C:$G,4,0),"-")</f>
        <v>11.5</v>
      </c>
      <c r="H114" s="61">
        <f>SUMIFS('采购录入（明细）'!$J:$J,'采购录入（明细）'!$E:$E,C114,'采购录入（明细）'!$C:$C,"&gt;="&amp;$E$4,'采购录入（明细）'!$C:$C,"&lt;="&amp;$H$4)</f>
        <v>138</v>
      </c>
      <c r="I114" s="46"/>
    </row>
    <row r="115" customHeight="1" spans="2:9">
      <c r="B115" s="59">
        <v>109</v>
      </c>
      <c r="C115" s="60" t="str">
        <f>IF('基础-办公用品信息'!C112="","-",'基础-办公用品信息'!C112)</f>
        <v>抽纸盒</v>
      </c>
      <c r="D115" s="60" t="str">
        <f>IF('基础-办公用品信息'!D112="","-",'基础-办公用品信息'!D112)</f>
        <v>盒</v>
      </c>
      <c r="E115" s="60" t="str">
        <f>IF('基础-办公用品信息'!E112="","-",'基础-办公用品信息'!E112)</f>
        <v>-</v>
      </c>
      <c r="F115" s="60">
        <f>SUMIFS('采购录入（明细）'!$I:$I,'采购录入（明细）'!$E:$E,C115,'采购录入（明细）'!$C:$C,"&gt;="&amp;$E$4,'采购录入（明细）'!$C:$C,"&lt;="&amp;$H$4)</f>
        <v>72</v>
      </c>
      <c r="G115" s="60">
        <f>IFERROR(VLOOKUP(C115,'基础-办公用品信息'!$C:$G,4,0),"-")</f>
        <v>5.3</v>
      </c>
      <c r="H115" s="61">
        <f>SUMIFS('采购录入（明细）'!$J:$J,'采购录入（明细）'!$E:$E,C115,'采购录入（明细）'!$C:$C,"&gt;="&amp;$E$4,'采购录入（明细）'!$C:$C,"&lt;="&amp;$H$4)</f>
        <v>381.6</v>
      </c>
      <c r="I115" s="46"/>
    </row>
    <row r="116" customHeight="1" spans="2:9">
      <c r="B116" s="59">
        <v>110</v>
      </c>
      <c r="C116" s="60" t="str">
        <f>IF('基础-办公用品信息'!C113="","-",'基础-办公用品信息'!C113)</f>
        <v>抽纸巾</v>
      </c>
      <c r="D116" s="60" t="str">
        <f>IF('基础-办公用品信息'!D113="","-",'基础-办公用品信息'!D113)</f>
        <v>包</v>
      </c>
      <c r="E116" s="60" t="str">
        <f>IF('基础-办公用品信息'!E113="","-",'基础-办公用品信息'!E113)</f>
        <v>-</v>
      </c>
      <c r="F116" s="60">
        <f>SUMIFS('采购录入（明细）'!$I:$I,'采购录入（明细）'!$E:$E,C116,'采购录入（明细）'!$C:$C,"&gt;="&amp;$E$4,'采购录入（明细）'!$C:$C,"&lt;="&amp;$H$4)</f>
        <v>0</v>
      </c>
      <c r="G116" s="60">
        <f>IFERROR(VLOOKUP(C116,'基础-办公用品信息'!$C:$G,4,0),"-")</f>
        <v>2.5</v>
      </c>
      <c r="H116" s="61">
        <f>SUMIFS('采购录入（明细）'!$J:$J,'采购录入（明细）'!$E:$E,C116,'采购录入（明细）'!$C:$C,"&gt;="&amp;$E$4,'采购录入（明细）'!$C:$C,"&lt;="&amp;$H$4)</f>
        <v>0</v>
      </c>
      <c r="I116" s="46"/>
    </row>
    <row r="117" customHeight="1" spans="2:9">
      <c r="B117" s="59">
        <v>111</v>
      </c>
      <c r="C117" s="60" t="str">
        <f>IF('基础-办公用品信息'!C114="","-",'基础-办公用品信息'!C114)</f>
        <v>网线3米</v>
      </c>
      <c r="D117" s="60" t="str">
        <f>IF('基础-办公用品信息'!D114="","-",'基础-办公用品信息'!D114)</f>
        <v>条</v>
      </c>
      <c r="E117" s="60" t="str">
        <f>IF('基础-办公用品信息'!E114="","-",'基础-办公用品信息'!E114)</f>
        <v>-</v>
      </c>
      <c r="F117" s="60">
        <f>SUMIFS('采购录入（明细）'!$I:$I,'采购录入（明细）'!$E:$E,C117,'采购录入（明细）'!$C:$C,"&gt;="&amp;$E$4,'采购录入（明细）'!$C:$C,"&lt;="&amp;$H$4)</f>
        <v>0</v>
      </c>
      <c r="G117" s="60">
        <f>IFERROR(VLOOKUP(C117,'基础-办公用品信息'!$C:$G,4,0),"-")</f>
        <v>0</v>
      </c>
      <c r="H117" s="61">
        <f>SUMIFS('采购录入（明细）'!$J:$J,'采购录入（明细）'!$E:$E,C117,'采购录入（明细）'!$C:$C,"&gt;="&amp;$E$4,'采购录入（明细）'!$C:$C,"&lt;="&amp;$H$4)</f>
        <v>0</v>
      </c>
      <c r="I117" s="46"/>
    </row>
    <row r="118" customHeight="1" spans="2:9">
      <c r="B118" s="59">
        <v>112</v>
      </c>
      <c r="C118" s="60" t="str">
        <f>IF('基础-办公用品信息'!C115="","-",'基础-办公用品信息'!C115)</f>
        <v>网线2米</v>
      </c>
      <c r="D118" s="60" t="str">
        <f>IF('基础-办公用品信息'!D115="","-",'基础-办公用品信息'!D115)</f>
        <v>条</v>
      </c>
      <c r="E118" s="60" t="str">
        <f>IF('基础-办公用品信息'!E115="","-",'基础-办公用品信息'!E115)</f>
        <v>-</v>
      </c>
      <c r="F118" s="60">
        <f>SUMIFS('采购录入（明细）'!$I:$I,'采购录入（明细）'!$E:$E,C118,'采购录入（明细）'!$C:$C,"&gt;="&amp;$E$4,'采购录入（明细）'!$C:$C,"&lt;="&amp;$H$4)</f>
        <v>0</v>
      </c>
      <c r="G118" s="60">
        <f>IFERROR(VLOOKUP(C118,'基础-办公用品信息'!$C:$G,4,0),"-")</f>
        <v>0</v>
      </c>
      <c r="H118" s="61">
        <f>SUMIFS('采购录入（明细）'!$J:$J,'采购录入（明细）'!$E:$E,C118,'采购录入（明细）'!$C:$C,"&gt;="&amp;$E$4,'采购录入（明细）'!$C:$C,"&lt;="&amp;$H$4)</f>
        <v>0</v>
      </c>
      <c r="I118" s="46"/>
    </row>
    <row r="119" customHeight="1" spans="2:9">
      <c r="B119" s="59">
        <v>113</v>
      </c>
      <c r="C119" s="60" t="str">
        <f>IF('基础-办公用品信息'!C116="","-",'基础-办公用品信息'!C116)</f>
        <v>网线1.5米</v>
      </c>
      <c r="D119" s="60" t="str">
        <f>IF('基础-办公用品信息'!D116="","-",'基础-办公用品信息'!D116)</f>
        <v>条</v>
      </c>
      <c r="E119" s="60" t="str">
        <f>IF('基础-办公用品信息'!E116="","-",'基础-办公用品信息'!E116)</f>
        <v>-</v>
      </c>
      <c r="F119" s="60">
        <f>SUMIFS('采购录入（明细）'!$I:$I,'采购录入（明细）'!$E:$E,C119,'采购录入（明细）'!$C:$C,"&gt;="&amp;$E$4,'采购录入（明细）'!$C:$C,"&lt;="&amp;$H$4)</f>
        <v>0</v>
      </c>
      <c r="G119" s="60">
        <f>IFERROR(VLOOKUP(C119,'基础-办公用品信息'!$C:$G,4,0),"-")</f>
        <v>0</v>
      </c>
      <c r="H119" s="61">
        <f>SUMIFS('采购录入（明细）'!$J:$J,'采购录入（明细）'!$E:$E,C119,'采购录入（明细）'!$C:$C,"&gt;="&amp;$E$4,'采购录入（明细）'!$C:$C,"&lt;="&amp;$H$4)</f>
        <v>0</v>
      </c>
      <c r="I119" s="46"/>
    </row>
    <row r="120" customHeight="1" spans="2:9">
      <c r="B120" s="59">
        <v>114</v>
      </c>
      <c r="C120" s="60" t="str">
        <f>IF('基础-办公用品信息'!C117="","-",'基础-办公用品信息'!C117)</f>
        <v>老鼠板</v>
      </c>
      <c r="D120" s="60" t="str">
        <f>IF('基础-办公用品信息'!D117="","-",'基础-办公用品信息'!D117)</f>
        <v>个</v>
      </c>
      <c r="E120" s="60" t="str">
        <f>IF('基础-办公用品信息'!E117="","-",'基础-办公用品信息'!E117)</f>
        <v>-</v>
      </c>
      <c r="F120" s="60">
        <f>SUMIFS('采购录入（明细）'!$I:$I,'采购录入（明细）'!$E:$E,C120,'采购录入（明细）'!$C:$C,"&gt;="&amp;$E$4,'采购录入（明细）'!$C:$C,"&lt;="&amp;$H$4)</f>
        <v>0</v>
      </c>
      <c r="G120" s="60">
        <f>IFERROR(VLOOKUP(C120,'基础-办公用品信息'!$C:$G,4,0),"-")</f>
        <v>2.5</v>
      </c>
      <c r="H120" s="61">
        <f>SUMIFS('采购录入（明细）'!$J:$J,'采购录入（明细）'!$E:$E,C120,'采购录入（明细）'!$C:$C,"&gt;="&amp;$E$4,'采购录入（明细）'!$C:$C,"&lt;="&amp;$H$4)</f>
        <v>0</v>
      </c>
      <c r="I120" s="46"/>
    </row>
    <row r="121" customHeight="1" spans="2:9">
      <c r="B121" s="59">
        <v>115</v>
      </c>
      <c r="C121" s="60" t="str">
        <f>IF('基础-办公用品信息'!C118="","-",'基础-办公用品信息'!C118)</f>
        <v>板刷</v>
      </c>
      <c r="D121" s="60" t="str">
        <f>IF('基础-办公用品信息'!D118="","-",'基础-办公用品信息'!D118)</f>
        <v>个</v>
      </c>
      <c r="E121" s="60" t="str">
        <f>IF('基础-办公用品信息'!E118="","-",'基础-办公用品信息'!E118)</f>
        <v>-</v>
      </c>
      <c r="F121" s="60">
        <f>SUMIFS('采购录入（明细）'!$I:$I,'采购录入（明细）'!$E:$E,C121,'采购录入（明细）'!$C:$C,"&gt;="&amp;$E$4,'采购录入（明细）'!$C:$C,"&lt;="&amp;$H$4)</f>
        <v>0</v>
      </c>
      <c r="G121" s="60">
        <f>IFERROR(VLOOKUP(C121,'基础-办公用品信息'!$C:$G,4,0),"-")</f>
        <v>2</v>
      </c>
      <c r="H121" s="61">
        <f>SUMIFS('采购录入（明细）'!$J:$J,'采购录入（明细）'!$E:$E,C121,'采购录入（明细）'!$C:$C,"&gt;="&amp;$E$4,'采购录入（明细）'!$C:$C,"&lt;="&amp;$H$4)</f>
        <v>0</v>
      </c>
      <c r="I121" s="46"/>
    </row>
    <row r="122" customHeight="1" spans="2:9">
      <c r="B122" s="59">
        <v>116</v>
      </c>
      <c r="C122" s="60" t="str">
        <f>IF('基础-办公用品信息'!C119="","-",'基础-办公用品信息'!C119)</f>
        <v>话梅糖</v>
      </c>
      <c r="D122" s="60" t="str">
        <f>IF('基础-办公用品信息'!D119="","-",'基础-办公用品信息'!D119)</f>
        <v>包</v>
      </c>
      <c r="E122" s="60" t="str">
        <f>IF('基础-办公用品信息'!E119="","-",'基础-办公用品信息'!E119)</f>
        <v>-</v>
      </c>
      <c r="F122" s="60">
        <f>SUMIFS('采购录入（明细）'!$I:$I,'采购录入（明细）'!$E:$E,C122,'采购录入（明细）'!$C:$C,"&gt;="&amp;$E$4,'采购录入（明细）'!$C:$C,"&lt;="&amp;$H$4)</f>
        <v>0</v>
      </c>
      <c r="G122" s="60">
        <f>IFERROR(VLOOKUP(C122,'基础-办公用品信息'!$C:$G,4,0),"-")</f>
        <v>5.9</v>
      </c>
      <c r="H122" s="61">
        <f>SUMIFS('采购录入（明细）'!$J:$J,'采购录入（明细）'!$E:$E,C122,'采购录入（明细）'!$C:$C,"&gt;="&amp;$E$4,'采购录入（明细）'!$C:$C,"&lt;="&amp;$H$4)</f>
        <v>0</v>
      </c>
      <c r="I122" s="46"/>
    </row>
    <row r="123" customHeight="1" spans="2:9">
      <c r="B123" s="59">
        <v>117</v>
      </c>
      <c r="C123" s="60" t="str">
        <f>IF('基础-办公用品信息'!C120="","-",'基础-办公用品信息'!C120)</f>
        <v>打包扣</v>
      </c>
      <c r="D123" s="60" t="str">
        <f>IF('基础-办公用品信息'!D120="","-",'基础-办公用品信息'!D120)</f>
        <v>斤</v>
      </c>
      <c r="E123" s="60" t="str">
        <f>IF('基础-办公用品信息'!E120="","-",'基础-办公用品信息'!E120)</f>
        <v>-</v>
      </c>
      <c r="F123" s="60">
        <f>SUMIFS('采购录入（明细）'!$I:$I,'采购录入（明细）'!$E:$E,C123,'采购录入（明细）'!$C:$C,"&gt;="&amp;$E$4,'采购录入（明细）'!$C:$C,"&lt;="&amp;$H$4)</f>
        <v>0</v>
      </c>
      <c r="G123" s="60">
        <f>IFERROR(VLOOKUP(C123,'基础-办公用品信息'!$C:$G,4,0),"-")</f>
        <v>3.3</v>
      </c>
      <c r="H123" s="61">
        <f>SUMIFS('采购录入（明细）'!$J:$J,'采购录入（明细）'!$E:$E,C123,'采购录入（明细）'!$C:$C,"&gt;="&amp;$E$4,'采购录入（明细）'!$C:$C,"&lt;="&amp;$H$4)</f>
        <v>0</v>
      </c>
      <c r="I123" s="46"/>
    </row>
    <row r="124" customHeight="1" spans="2:9">
      <c r="B124" s="59">
        <v>118</v>
      </c>
      <c r="C124" s="60" t="str">
        <f>IF('基础-办公用品信息'!C121="","-",'基础-办公用品信息'!C121)</f>
        <v>手推车</v>
      </c>
      <c r="D124" s="60" t="str">
        <f>IF('基础-办公用品信息'!D121="","-",'基础-办公用品信息'!D121)</f>
        <v>辆</v>
      </c>
      <c r="E124" s="60" t="str">
        <f>IF('基础-办公用品信息'!E121="","-",'基础-办公用品信息'!E121)</f>
        <v>-</v>
      </c>
      <c r="F124" s="60">
        <f>SUMIFS('采购录入（明细）'!$I:$I,'采购录入（明细）'!$E:$E,C124,'采购录入（明细）'!$C:$C,"&gt;="&amp;$E$4,'采购录入（明细）'!$C:$C,"&lt;="&amp;$H$4)</f>
        <v>0</v>
      </c>
      <c r="G124" s="60">
        <f>IFERROR(VLOOKUP(C124,'基础-办公用品信息'!$C:$G,4,0),"-")</f>
        <v>280</v>
      </c>
      <c r="H124" s="61">
        <f>SUMIFS('采购录入（明细）'!$J:$J,'采购录入（明细）'!$E:$E,C124,'采购录入（明细）'!$C:$C,"&gt;="&amp;$E$4,'采购录入（明细）'!$C:$C,"&lt;="&amp;$H$4)</f>
        <v>0</v>
      </c>
      <c r="I124" s="46"/>
    </row>
    <row r="125" customHeight="1" spans="2:9">
      <c r="B125" s="59">
        <v>119</v>
      </c>
      <c r="C125" s="60" t="str">
        <f>IF('基础-办公用品信息'!C122="","-",'基础-办公用品信息'!C122)</f>
        <v>修改液</v>
      </c>
      <c r="D125" s="60" t="str">
        <f>IF('基础-办公用品信息'!D122="","-",'基础-办公用品信息'!D122)</f>
        <v>个</v>
      </c>
      <c r="E125" s="60" t="str">
        <f>IF('基础-办公用品信息'!E122="","-",'基础-办公用品信息'!E122)</f>
        <v>-</v>
      </c>
      <c r="F125" s="60">
        <f>SUMIFS('采购录入（明细）'!$I:$I,'采购录入（明细）'!$E:$E,C125,'采购录入（明细）'!$C:$C,"&gt;="&amp;$E$4,'采购录入（明细）'!$C:$C,"&lt;="&amp;$H$4)</f>
        <v>0</v>
      </c>
      <c r="G125" s="60">
        <f>IFERROR(VLOOKUP(C125,'基础-办公用品信息'!$C:$G,4,0),"-")</f>
        <v>3.5</v>
      </c>
      <c r="H125" s="61">
        <f>SUMIFS('采购录入（明细）'!$J:$J,'采购录入（明细）'!$E:$E,C125,'采购录入（明细）'!$C:$C,"&gt;="&amp;$E$4,'采购录入（明细）'!$C:$C,"&lt;="&amp;$H$4)</f>
        <v>0</v>
      </c>
      <c r="I125" s="46"/>
    </row>
    <row r="126" customHeight="1" spans="2:9">
      <c r="B126" s="59">
        <v>120</v>
      </c>
      <c r="C126" s="60" t="str">
        <f>IF('基础-办公用品信息'!C123="","-",'基础-办公用品信息'!C123)</f>
        <v>龙虎人丹</v>
      </c>
      <c r="D126" s="60" t="str">
        <f>IF('基础-办公用品信息'!D123="","-",'基础-办公用品信息'!D123)</f>
        <v>瓶</v>
      </c>
      <c r="E126" s="60" t="str">
        <f>IF('基础-办公用品信息'!E123="","-",'基础-办公用品信息'!E123)</f>
        <v>-</v>
      </c>
      <c r="F126" s="60">
        <f>SUMIFS('采购录入（明细）'!$I:$I,'采购录入（明细）'!$E:$E,C126,'采购录入（明细）'!$C:$C,"&gt;="&amp;$E$4,'采购录入（明细）'!$C:$C,"&lt;="&amp;$H$4)</f>
        <v>0</v>
      </c>
      <c r="G126" s="60">
        <f>IFERROR(VLOOKUP(C126,'基础-办公用品信息'!$C:$G,4,0),"-")</f>
        <v>10</v>
      </c>
      <c r="H126" s="61">
        <f>SUMIFS('采购录入（明细）'!$J:$J,'采购录入（明细）'!$E:$E,C126,'采购录入（明细）'!$C:$C,"&gt;="&amp;$E$4,'采购录入（明细）'!$C:$C,"&lt;="&amp;$H$4)</f>
        <v>0</v>
      </c>
      <c r="I126" s="46"/>
    </row>
    <row r="127" customHeight="1" spans="2:9">
      <c r="B127" s="59">
        <v>121</v>
      </c>
      <c r="C127" s="60" t="str">
        <f>IF('基础-办公用品信息'!C124="","-",'基础-办公用品信息'!C124)</f>
        <v>无线鼠标 </v>
      </c>
      <c r="D127" s="60" t="str">
        <f>IF('基础-办公用品信息'!D124="","-",'基础-办公用品信息'!D124)</f>
        <v>个</v>
      </c>
      <c r="E127" s="60" t="str">
        <f>IF('基础-办公用品信息'!E124="","-",'基础-办公用品信息'!E124)</f>
        <v>-</v>
      </c>
      <c r="F127" s="60">
        <f>SUMIFS('采购录入（明细）'!$I:$I,'采购录入（明细）'!$E:$E,C127,'采购录入（明细）'!$C:$C,"&gt;="&amp;$E$4,'采购录入（明细）'!$C:$C,"&lt;="&amp;$H$4)</f>
        <v>0</v>
      </c>
      <c r="G127" s="60">
        <f>IFERROR(VLOOKUP(C127,'基础-办公用品信息'!$C:$G,4,0),"-")</f>
        <v>75</v>
      </c>
      <c r="H127" s="61">
        <f>SUMIFS('采购录入（明细）'!$J:$J,'采购录入（明细）'!$E:$E,C127,'采购录入（明细）'!$C:$C,"&gt;="&amp;$E$4,'采购录入（明细）'!$C:$C,"&lt;="&amp;$H$4)</f>
        <v>0</v>
      </c>
      <c r="I127" s="46"/>
    </row>
    <row r="128" customHeight="1" spans="2:9">
      <c r="B128" s="59">
        <v>122</v>
      </c>
      <c r="C128" s="60" t="str">
        <f>IF('基础-办公用品信息'!C125="","-",'基础-办公用品信息'!C125)</f>
        <v>插座5m</v>
      </c>
      <c r="D128" s="60" t="str">
        <f>IF('基础-办公用品信息'!D125="","-",'基础-办公用品信息'!D125)</f>
        <v>个</v>
      </c>
      <c r="E128" s="60" t="str">
        <f>IF('基础-办公用品信息'!E125="","-",'基础-办公用品信息'!E125)</f>
        <v>-</v>
      </c>
      <c r="F128" s="60">
        <f>SUMIFS('采购录入（明细）'!$I:$I,'采购录入（明细）'!$E:$E,C128,'采购录入（明细）'!$C:$C,"&gt;="&amp;$E$4,'采购录入（明细）'!$C:$C,"&lt;="&amp;$H$4)</f>
        <v>0</v>
      </c>
      <c r="G128" s="60">
        <f>IFERROR(VLOOKUP(C128,'基础-办公用品信息'!$C:$G,4,0),"-")</f>
        <v>56</v>
      </c>
      <c r="H128" s="61">
        <f>SUMIFS('采购录入（明细）'!$J:$J,'采购录入（明细）'!$E:$E,C128,'采购录入（明细）'!$C:$C,"&gt;="&amp;$E$4,'采购录入（明细）'!$C:$C,"&lt;="&amp;$H$4)</f>
        <v>0</v>
      </c>
      <c r="I128" s="46"/>
    </row>
    <row r="129" customHeight="1" spans="2:9">
      <c r="B129" s="59">
        <v>123</v>
      </c>
      <c r="C129" s="60" t="str">
        <f>IF('基础-办公用品信息'!C126="","-",'基础-办公用品信息'!C126)</f>
        <v>南孚4粒装简卡5号4粒/个</v>
      </c>
      <c r="D129" s="60" t="str">
        <f>IF('基础-办公用品信息'!D126="","-",'基础-办公用品信息'!D126)</f>
        <v>个</v>
      </c>
      <c r="E129" s="60" t="str">
        <f>IF('基础-办公用品信息'!E126="","-",'基础-办公用品信息'!E126)</f>
        <v>-</v>
      </c>
      <c r="F129" s="60">
        <f>SUMIFS('采购录入（明细）'!$I:$I,'采购录入（明细）'!$E:$E,C129,'采购录入（明细）'!$C:$C,"&gt;="&amp;$E$4,'采购录入（明细）'!$C:$C,"&lt;="&amp;$H$4)</f>
        <v>0</v>
      </c>
      <c r="G129" s="60">
        <f>IFERROR(VLOOKUP(C129,'基础-办公用品信息'!$C:$G,4,0),"-")</f>
        <v>11.8</v>
      </c>
      <c r="H129" s="61">
        <f>SUMIFS('采购录入（明细）'!$J:$J,'采购录入（明细）'!$E:$E,C129,'采购录入（明细）'!$C:$C,"&gt;="&amp;$E$4,'采购录入（明细）'!$C:$C,"&lt;="&amp;$H$4)</f>
        <v>0</v>
      </c>
      <c r="I129" s="46"/>
    </row>
    <row r="130" customHeight="1" spans="2:9">
      <c r="B130" s="59">
        <v>124</v>
      </c>
      <c r="C130" s="60" t="str">
        <f>IF('基础-办公用品信息'!C127="","-",'基础-办公用品信息'!C127)</f>
        <v>南孚4粒装挂卡5号4粒/个</v>
      </c>
      <c r="D130" s="60" t="str">
        <f>IF('基础-办公用品信息'!D127="","-",'基础-办公用品信息'!D127)</f>
        <v>个</v>
      </c>
      <c r="E130" s="60" t="str">
        <f>IF('基础-办公用品信息'!E127="","-",'基础-办公用品信息'!E127)</f>
        <v>-</v>
      </c>
      <c r="F130" s="60">
        <f>SUMIFS('采购录入（明细）'!$I:$I,'采购录入（明细）'!$E:$E,C130,'采购录入（明细）'!$C:$C,"&gt;="&amp;$E$4,'采购录入（明细）'!$C:$C,"&lt;="&amp;$H$4)</f>
        <v>0</v>
      </c>
      <c r="G130" s="60">
        <f>IFERROR(VLOOKUP(C130,'基础-办公用品信息'!$C:$G,4,0),"-")</f>
        <v>9.9</v>
      </c>
      <c r="H130" s="61">
        <f>SUMIFS('采购录入（明细）'!$J:$J,'采购录入（明细）'!$E:$E,C130,'采购录入（明细）'!$C:$C,"&gt;="&amp;$E$4,'采购录入（明细）'!$C:$C,"&lt;="&amp;$H$4)</f>
        <v>0</v>
      </c>
      <c r="I130" s="46"/>
    </row>
    <row r="131" customHeight="1" spans="2:9">
      <c r="B131" s="59">
        <v>125</v>
      </c>
      <c r="C131" s="60" t="str">
        <f>IF('基础-办公用品信息'!C128="","-",'基础-办公用品信息'!C128)</f>
        <v>南孚2粒装5号2粒/个</v>
      </c>
      <c r="D131" s="60" t="str">
        <f>IF('基础-办公用品信息'!D128="","-",'基础-办公用品信息'!D128)</f>
        <v>个</v>
      </c>
      <c r="E131" s="60" t="str">
        <f>IF('基础-办公用品信息'!E128="","-",'基础-办公用品信息'!E128)</f>
        <v>-</v>
      </c>
      <c r="F131" s="60">
        <f>SUMIFS('采购录入（明细）'!$I:$I,'采购录入（明细）'!$E:$E,C131,'采购录入（明细）'!$C:$C,"&gt;="&amp;$E$4,'采购录入（明细）'!$C:$C,"&lt;="&amp;$H$4)</f>
        <v>0</v>
      </c>
      <c r="G131" s="60">
        <f>IFERROR(VLOOKUP(C131,'基础-办公用品信息'!$C:$G,4,0),"-")</f>
        <v>5.7</v>
      </c>
      <c r="H131" s="61">
        <f>SUMIFS('采购录入（明细）'!$J:$J,'采购录入（明细）'!$E:$E,C131,'采购录入（明细）'!$C:$C,"&gt;="&amp;$E$4,'采购录入（明细）'!$C:$C,"&lt;="&amp;$H$4)</f>
        <v>0</v>
      </c>
      <c r="I131" s="46"/>
    </row>
    <row r="132" customHeight="1" spans="2:9">
      <c r="B132" s="59">
        <v>126</v>
      </c>
      <c r="C132" s="60" t="str">
        <f>IF('基础-办公用品信息'!C129="","-",'基础-办公用品信息'!C129)</f>
        <v>激光笔技术部</v>
      </c>
      <c r="D132" s="60" t="str">
        <f>IF('基础-办公用品信息'!D129="","-",'基础-办公用品信息'!D129)</f>
        <v>支</v>
      </c>
      <c r="E132" s="60" t="str">
        <f>IF('基础-办公用品信息'!E129="","-",'基础-办公用品信息'!E129)</f>
        <v>-</v>
      </c>
      <c r="F132" s="60">
        <f>SUMIFS('采购录入（明细）'!$I:$I,'采购录入（明细）'!$E:$E,C132,'采购录入（明细）'!$C:$C,"&gt;="&amp;$E$4,'采购录入（明细）'!$C:$C,"&lt;="&amp;$H$4)</f>
        <v>0</v>
      </c>
      <c r="G132" s="60">
        <f>IFERROR(VLOOKUP(C132,'基础-办公用品信息'!$C:$G,4,0),"-")</f>
        <v>23.5</v>
      </c>
      <c r="H132" s="61">
        <f>SUMIFS('采购录入（明细）'!$J:$J,'采购录入（明细）'!$E:$E,C132,'采购录入（明细）'!$C:$C,"&gt;="&amp;$E$4,'采购录入（明细）'!$C:$C,"&lt;="&amp;$H$4)</f>
        <v>0</v>
      </c>
      <c r="I132" s="46"/>
    </row>
    <row r="133" customHeight="1" spans="2:9">
      <c r="B133" s="59">
        <v>127</v>
      </c>
      <c r="C133" s="60" t="str">
        <f>IF('基础-办公用品信息'!C130="","-",'基础-办公用品信息'!C130)</f>
        <v>奥克斯除湿机铂悦府</v>
      </c>
      <c r="D133" s="60" t="str">
        <f>IF('基础-办公用品信息'!D130="","-",'基础-办公用品信息'!D130)</f>
        <v>台</v>
      </c>
      <c r="E133" s="60" t="str">
        <f>IF('基础-办公用品信息'!E130="","-",'基础-办公用品信息'!E130)</f>
        <v>-</v>
      </c>
      <c r="F133" s="60">
        <f>SUMIFS('采购录入（明细）'!$I:$I,'采购录入（明细）'!$E:$E,C133,'采购录入（明细）'!$C:$C,"&gt;="&amp;$E$4,'采购录入（明细）'!$C:$C,"&lt;="&amp;$H$4)</f>
        <v>0</v>
      </c>
      <c r="G133" s="60">
        <f>IFERROR(VLOOKUP(C133,'基础-办公用品信息'!$C:$G,4,0),"-")</f>
        <v>549</v>
      </c>
      <c r="H133" s="61">
        <f>SUMIFS('采购录入（明细）'!$J:$J,'采购录入（明细）'!$E:$E,C133,'采购录入（明细）'!$C:$C,"&gt;="&amp;$E$4,'采购录入（明细）'!$C:$C,"&lt;="&amp;$H$4)</f>
        <v>0</v>
      </c>
      <c r="I133" s="46"/>
    </row>
    <row r="134" customHeight="1" spans="2:9">
      <c r="B134" s="59">
        <v>128</v>
      </c>
      <c r="C134" s="60" t="str">
        <f>IF('基础-办公用品信息'!C131="","-",'基础-办公用品信息'!C131)</f>
        <v>地毯胶</v>
      </c>
      <c r="D134" s="60" t="str">
        <f>IF('基础-办公用品信息'!D131="","-",'基础-办公用品信息'!D131)</f>
        <v>个</v>
      </c>
      <c r="E134" s="60" t="str">
        <f>IF('基础-办公用品信息'!E131="","-",'基础-办公用品信息'!E131)</f>
        <v>-</v>
      </c>
      <c r="F134" s="60">
        <f>SUMIFS('采购录入（明细）'!$I:$I,'采购录入（明细）'!$E:$E,C134,'采购录入（明细）'!$C:$C,"&gt;="&amp;$E$4,'采购录入（明细）'!$C:$C,"&lt;="&amp;$H$4)</f>
        <v>0</v>
      </c>
      <c r="G134" s="60">
        <f>IFERROR(VLOOKUP(C134,'基础-办公用品信息'!$C:$G,4,0),"-")</f>
        <v>0</v>
      </c>
      <c r="H134" s="61">
        <f>SUMIFS('采购录入（明细）'!$J:$J,'采购录入（明细）'!$E:$E,C134,'采购录入（明细）'!$C:$C,"&gt;="&amp;$E$4,'采购录入（明细）'!$C:$C,"&lt;="&amp;$H$4)</f>
        <v>0</v>
      </c>
      <c r="I134" s="46"/>
    </row>
    <row r="135" customHeight="1" spans="2:9">
      <c r="B135" s="59">
        <v>129</v>
      </c>
      <c r="C135" s="60" t="str">
        <f>IF('基础-办公用品信息'!C132="","-",'基础-办公用品信息'!C132)</f>
        <v>报销单</v>
      </c>
      <c r="D135" s="60" t="str">
        <f>IF('基础-办公用品信息'!D132="","-",'基础-办公用品信息'!D132)</f>
        <v>本</v>
      </c>
      <c r="E135" s="60" t="str">
        <f>IF('基础-办公用品信息'!E132="","-",'基础-办公用品信息'!E132)</f>
        <v>-</v>
      </c>
      <c r="F135" s="60">
        <f>SUMIFS('采购录入（明细）'!$I:$I,'采购录入（明细）'!$E:$E,C135,'采购录入（明细）'!$C:$C,"&gt;="&amp;$E$4,'采购录入（明细）'!$C:$C,"&lt;="&amp;$H$4)</f>
        <v>0</v>
      </c>
      <c r="G135" s="60">
        <f>IFERROR(VLOOKUP(C135,'基础-办公用品信息'!$C:$G,4,0),"-")</f>
        <v>1.2</v>
      </c>
      <c r="H135" s="61">
        <f>SUMIFS('采购录入（明细）'!$J:$J,'采购录入（明细）'!$E:$E,C135,'采购录入（明细）'!$C:$C,"&gt;="&amp;$E$4,'采购录入（明细）'!$C:$C,"&lt;="&amp;$H$4)</f>
        <v>0</v>
      </c>
      <c r="I135" s="46"/>
    </row>
    <row r="136" customHeight="1" spans="2:9">
      <c r="B136" s="59">
        <v>130</v>
      </c>
      <c r="C136" s="60" t="str">
        <f>IF('基础-办公用品信息'!C133="","-",'基础-办公用品信息'!C133)</f>
        <v>差旅报销单</v>
      </c>
      <c r="D136" s="60" t="str">
        <f>IF('基础-办公用品信息'!D133="","-",'基础-办公用品信息'!D133)</f>
        <v>本</v>
      </c>
      <c r="E136" s="60" t="str">
        <f>IF('基础-办公用品信息'!E133="","-",'基础-办公用品信息'!E133)</f>
        <v>-</v>
      </c>
      <c r="F136" s="60">
        <f>SUMIFS('采购录入（明细）'!$I:$I,'采购录入（明细）'!$E:$E,C136,'采购录入（明细）'!$C:$C,"&gt;="&amp;$E$4,'采购录入（明细）'!$C:$C,"&lt;="&amp;$H$4)</f>
        <v>0</v>
      </c>
      <c r="G136" s="60">
        <f>IFERROR(VLOOKUP(C136,'基础-办公用品信息'!$C:$G,4,0),"-")</f>
        <v>1.5</v>
      </c>
      <c r="H136" s="61">
        <f>SUMIFS('采购录入（明细）'!$J:$J,'采购录入（明细）'!$E:$E,C136,'采购录入（明细）'!$C:$C,"&gt;="&amp;$E$4,'采购录入（明细）'!$C:$C,"&lt;="&amp;$H$4)</f>
        <v>0</v>
      </c>
      <c r="I136" s="46"/>
    </row>
    <row r="137" customHeight="1" spans="2:9">
      <c r="B137" s="59">
        <v>131</v>
      </c>
      <c r="C137" s="60" t="str">
        <f>IF('基础-办公用品信息'!C134="","-",'基础-办公用品信息'!C134)</f>
        <v>刀笔</v>
      </c>
      <c r="D137" s="60" t="str">
        <f>IF('基础-办公用品信息'!D134="","-",'基础-办公用品信息'!D134)</f>
        <v>支</v>
      </c>
      <c r="E137" s="60" t="str">
        <f>IF('基础-办公用品信息'!E134="","-",'基础-办公用品信息'!E134)</f>
        <v>-</v>
      </c>
      <c r="F137" s="60">
        <f>SUMIFS('采购录入（明细）'!$I:$I,'采购录入（明细）'!$E:$E,C137,'采购录入（明细）'!$C:$C,"&gt;="&amp;$E$4,'采购录入（明细）'!$C:$C,"&lt;="&amp;$H$4)</f>
        <v>0</v>
      </c>
      <c r="G137" s="60">
        <f>IFERROR(VLOOKUP(C137,'基础-办公用品信息'!$C:$G,4,0),"-")</f>
        <v>0.32</v>
      </c>
      <c r="H137" s="61">
        <f>SUMIFS('采购录入（明细）'!$J:$J,'采购录入（明细）'!$E:$E,C137,'采购录入（明细）'!$C:$C,"&gt;="&amp;$E$4,'采购录入（明细）'!$C:$C,"&lt;="&amp;$H$4)</f>
        <v>0</v>
      </c>
      <c r="I137" s="46"/>
    </row>
    <row r="138" customHeight="1" spans="2:9">
      <c r="B138" s="59">
        <v>132</v>
      </c>
      <c r="C138" s="60" t="str">
        <f>IF('基础-办公用品信息'!C135="","-",'基础-办公用品信息'!C135)</f>
        <v>方形单色印台得力红色</v>
      </c>
      <c r="D138" s="60" t="str">
        <f>IF('基础-办公用品信息'!D135="","-",'基础-办公用品信息'!D135)</f>
        <v>个</v>
      </c>
      <c r="E138" s="60" t="str">
        <f>IF('基础-办公用品信息'!E135="","-",'基础-办公用品信息'!E135)</f>
        <v>-</v>
      </c>
      <c r="F138" s="60">
        <f>SUMIFS('采购录入（明细）'!$I:$I,'采购录入（明细）'!$E:$E,C138,'采购录入（明细）'!$C:$C,"&gt;="&amp;$E$4,'采购录入（明细）'!$C:$C,"&lt;="&amp;$H$4)</f>
        <v>0</v>
      </c>
      <c r="G138" s="60">
        <f>IFERROR(VLOOKUP(C138,'基础-办公用品信息'!$C:$G,4,0),"-")</f>
        <v>9</v>
      </c>
      <c r="H138" s="61">
        <f>SUMIFS('采购录入（明细）'!$J:$J,'采购录入（明细）'!$E:$E,C138,'采购录入（明细）'!$C:$C,"&gt;="&amp;$E$4,'采购录入（明细）'!$C:$C,"&lt;="&amp;$H$4)</f>
        <v>0</v>
      </c>
      <c r="I138" s="46"/>
    </row>
    <row r="139" customHeight="1" spans="2:9">
      <c r="B139" s="59">
        <v>133</v>
      </c>
      <c r="C139" s="60" t="str">
        <f>IF('基础-办公用品信息'!C136="","-",'基础-办公用品信息'!C136)</f>
        <v>台笔</v>
      </c>
      <c r="D139" s="60" t="str">
        <f>IF('基础-办公用品信息'!D136="","-",'基础-办公用品信息'!D136)</f>
        <v>个</v>
      </c>
      <c r="E139" s="60" t="str">
        <f>IF('基础-办公用品信息'!E136="","-",'基础-办公用品信息'!E136)</f>
        <v>-</v>
      </c>
      <c r="F139" s="60">
        <f>SUMIFS('采购录入（明细）'!$I:$I,'采购录入（明细）'!$E:$E,C139,'采购录入（明细）'!$C:$C,"&gt;="&amp;$E$4,'采购录入（明细）'!$C:$C,"&lt;="&amp;$H$4)</f>
        <v>0</v>
      </c>
      <c r="G139" s="60">
        <f>IFERROR(VLOOKUP(C139,'基础-办公用品信息'!$C:$G,4,0),"-")</f>
        <v>0</v>
      </c>
      <c r="H139" s="61">
        <f>SUMIFS('采购录入（明细）'!$J:$J,'采购录入（明细）'!$E:$E,C139,'采购录入（明细）'!$C:$C,"&gt;="&amp;$E$4,'采购录入（明细）'!$C:$C,"&lt;="&amp;$H$4)</f>
        <v>0</v>
      </c>
      <c r="I139" s="46"/>
    </row>
    <row r="140" customHeight="1" spans="2:9">
      <c r="B140" s="59">
        <v>134</v>
      </c>
      <c r="C140" s="60" t="str">
        <f>IF('基础-办公用品信息'!C137="","-",'基础-办公用品信息'!C137)</f>
        <v>用款申请单</v>
      </c>
      <c r="D140" s="60" t="str">
        <f>IF('基础-办公用品信息'!D137="","-",'基础-办公用品信息'!D137)</f>
        <v>个</v>
      </c>
      <c r="E140" s="60" t="str">
        <f>IF('基础-办公用品信息'!E137="","-",'基础-办公用品信息'!E137)</f>
        <v>-</v>
      </c>
      <c r="F140" s="60">
        <f>SUMIFS('采购录入（明细）'!$I:$I,'采购录入（明细）'!$E:$E,C140,'采购录入（明细）'!$C:$C,"&gt;="&amp;$E$4,'采购录入（明细）'!$C:$C,"&lt;="&amp;$H$4)</f>
        <v>0</v>
      </c>
      <c r="G140" s="60">
        <f>IFERROR(VLOOKUP(C140,'基础-办公用品信息'!$C:$G,4,0),"-")</f>
        <v>0</v>
      </c>
      <c r="H140" s="61">
        <f>SUMIFS('采购录入（明细）'!$J:$J,'采购录入（明细）'!$E:$E,C140,'采购录入（明细）'!$C:$C,"&gt;="&amp;$E$4,'采购录入（明细）'!$C:$C,"&lt;="&amp;$H$4)</f>
        <v>0</v>
      </c>
      <c r="I140" s="46"/>
    </row>
    <row r="141" customHeight="1" spans="2:9">
      <c r="B141" s="59">
        <v>135</v>
      </c>
      <c r="C141" s="60" t="str">
        <f>IF('基础-办公用品信息'!C138="","-",'基础-办公用品信息'!C138)</f>
        <v>笔记本</v>
      </c>
      <c r="D141" s="60" t="str">
        <f>IF('基础-办公用品信息'!D138="","-",'基础-办公用品信息'!D138)</f>
        <v>个</v>
      </c>
      <c r="E141" s="60" t="str">
        <f>IF('基础-办公用品信息'!E138="","-",'基础-办公用品信息'!E138)</f>
        <v>-</v>
      </c>
      <c r="F141" s="60">
        <f>SUMIFS('采购录入（明细）'!$I:$I,'采购录入（明细）'!$E:$E,C141,'采购录入（明细）'!$C:$C,"&gt;="&amp;$E$4,'采购录入（明细）'!$C:$C,"&lt;="&amp;$H$4)</f>
        <v>0</v>
      </c>
      <c r="G141" s="60">
        <f>IFERROR(VLOOKUP(C141,'基础-办公用品信息'!$C:$G,4,0),"-")</f>
        <v>0</v>
      </c>
      <c r="H141" s="61">
        <f>SUMIFS('采购录入（明细）'!$J:$J,'采购录入（明细）'!$E:$E,C141,'采购录入（明细）'!$C:$C,"&gt;="&amp;$E$4,'采购录入（明细）'!$C:$C,"&lt;="&amp;$H$4)</f>
        <v>0</v>
      </c>
      <c r="I141" s="46"/>
    </row>
    <row r="142" customHeight="1" spans="2:9">
      <c r="B142" s="59">
        <v>136</v>
      </c>
      <c r="C142" s="60" t="str">
        <f>IF('基础-办公用品信息'!C139="","-",'基础-办公用品信息'!C139)</f>
        <v>键盘</v>
      </c>
      <c r="D142" s="60" t="str">
        <f>IF('基础-办公用品信息'!D139="","-",'基础-办公用品信息'!D139)</f>
        <v>个</v>
      </c>
      <c r="E142" s="60" t="str">
        <f>IF('基础-办公用品信息'!E139="","-",'基础-办公用品信息'!E139)</f>
        <v>-</v>
      </c>
      <c r="F142" s="60">
        <f>SUMIFS('采购录入（明细）'!$I:$I,'采购录入（明细）'!$E:$E,C142,'采购录入（明细）'!$C:$C,"&gt;="&amp;$E$4,'采购录入（明细）'!$C:$C,"&lt;="&amp;$H$4)</f>
        <v>0</v>
      </c>
      <c r="G142" s="60">
        <f>IFERROR(VLOOKUP(C142,'基础-办公用品信息'!$C:$G,4,0),"-")</f>
        <v>0</v>
      </c>
      <c r="H142" s="61">
        <f>SUMIFS('采购录入（明细）'!$J:$J,'采购录入（明细）'!$E:$E,C142,'采购录入（明细）'!$C:$C,"&gt;="&amp;$E$4,'采购录入（明细）'!$C:$C,"&lt;="&amp;$H$4)</f>
        <v>0</v>
      </c>
      <c r="I142" s="46"/>
    </row>
    <row r="143" customHeight="1" spans="2:9">
      <c r="B143" s="59">
        <v>137</v>
      </c>
      <c r="C143" s="60" t="str">
        <f>IF('基础-办公用品信息'!C140="","-",'基础-办公用品信息'!C140)</f>
        <v>84消毒液</v>
      </c>
      <c r="D143" s="60" t="str">
        <f>IF('基础-办公用品信息'!D140="","-",'基础-办公用品信息'!D140)</f>
        <v>桶</v>
      </c>
      <c r="E143" s="60" t="str">
        <f>IF('基础-办公用品信息'!E140="","-",'基础-办公用品信息'!E140)</f>
        <v>-</v>
      </c>
      <c r="F143" s="60">
        <f>SUMIFS('采购录入（明细）'!$I:$I,'采购录入（明细）'!$E:$E,C143,'采购录入（明细）'!$C:$C,"&gt;="&amp;$E$4,'采购录入（明细）'!$C:$C,"&lt;="&amp;$H$4)</f>
        <v>0</v>
      </c>
      <c r="G143" s="60">
        <f>IFERROR(VLOOKUP(C143,'基础-办公用品信息'!$C:$G,4,0),"-")</f>
        <v>0</v>
      </c>
      <c r="H143" s="61">
        <f>SUMIFS('采购录入（明细）'!$J:$J,'采购录入（明细）'!$E:$E,C143,'采购录入（明细）'!$C:$C,"&gt;="&amp;$E$4,'采购录入（明细）'!$C:$C,"&lt;="&amp;$H$4)</f>
        <v>0</v>
      </c>
      <c r="I143" s="46"/>
    </row>
    <row r="144" customHeight="1" spans="2:9">
      <c r="B144" s="59">
        <v>138</v>
      </c>
      <c r="C144" s="60" t="str">
        <f>IF('基础-办公用品信息'!C141="","-",'基础-办公用品信息'!C141)</f>
        <v>洗洁精</v>
      </c>
      <c r="D144" s="60" t="str">
        <f>IF('基础-办公用品信息'!D141="","-",'基础-办公用品信息'!D141)</f>
        <v>桶</v>
      </c>
      <c r="E144" s="60" t="str">
        <f>IF('基础-办公用品信息'!E141="","-",'基础-办公用品信息'!E141)</f>
        <v>-</v>
      </c>
      <c r="F144" s="60">
        <f>SUMIFS('采购录入（明细）'!$I:$I,'采购录入（明细）'!$E:$E,C144,'采购录入（明细）'!$C:$C,"&gt;="&amp;$E$4,'采购录入（明细）'!$C:$C,"&lt;="&amp;$H$4)</f>
        <v>0</v>
      </c>
      <c r="G144" s="60">
        <f>IFERROR(VLOOKUP(C144,'基础-办公用品信息'!$C:$G,4,0),"-")</f>
        <v>0</v>
      </c>
      <c r="H144" s="61">
        <f>SUMIFS('采购录入（明细）'!$J:$J,'采购录入（明细）'!$E:$E,C144,'采购录入（明细）'!$C:$C,"&gt;="&amp;$E$4,'采购录入（明细）'!$C:$C,"&lt;="&amp;$H$4)</f>
        <v>0</v>
      </c>
      <c r="I144" s="46"/>
    </row>
    <row r="145" customHeight="1" spans="2:9">
      <c r="B145" s="59">
        <v>139</v>
      </c>
      <c r="C145" s="60" t="str">
        <f>IF('基础-办公用品信息'!C142="","-",'基础-办公用品信息'!C142)</f>
        <v>垃圾袋</v>
      </c>
      <c r="D145" s="60" t="str">
        <f>IF('基础-办公用品信息'!D142="","-",'基础-办公用品信息'!D142)</f>
        <v>卷</v>
      </c>
      <c r="E145" s="60" t="str">
        <f>IF('基础-办公用品信息'!E142="","-",'基础-办公用品信息'!E142)</f>
        <v>-</v>
      </c>
      <c r="F145" s="60">
        <f>SUMIFS('采购录入（明细）'!$I:$I,'采购录入（明细）'!$E:$E,C145,'采购录入（明细）'!$C:$C,"&gt;="&amp;$E$4,'采购录入（明细）'!$C:$C,"&lt;="&amp;$H$4)</f>
        <v>0</v>
      </c>
      <c r="G145" s="60">
        <f>IFERROR(VLOOKUP(C145,'基础-办公用品信息'!$C:$G,4,0),"-")</f>
        <v>0</v>
      </c>
      <c r="H145" s="61">
        <f>SUMIFS('采购录入（明细）'!$J:$J,'采购录入（明细）'!$E:$E,C145,'采购录入（明细）'!$C:$C,"&gt;="&amp;$E$4,'采购录入（明细）'!$C:$C,"&lt;="&amp;$H$4)</f>
        <v>0</v>
      </c>
      <c r="I145" s="46"/>
    </row>
    <row r="146" customHeight="1" spans="2:9">
      <c r="B146" s="59">
        <v>140</v>
      </c>
      <c r="C146" s="60" t="str">
        <f>IF('基础-办公用品信息'!C143="","-",'基础-办公用品信息'!C143)</f>
        <v>白手套</v>
      </c>
      <c r="D146" s="60" t="str">
        <f>IF('基础-办公用品信息'!D143="","-",'基础-办公用品信息'!D143)</f>
        <v>打</v>
      </c>
      <c r="E146" s="60" t="str">
        <f>IF('基础-办公用品信息'!E143="","-",'基础-办公用品信息'!E143)</f>
        <v>-</v>
      </c>
      <c r="F146" s="60">
        <f>SUMIFS('采购录入（明细）'!$I:$I,'采购录入（明细）'!$E:$E,C146,'采购录入（明细）'!$C:$C,"&gt;="&amp;$E$4,'采购录入（明细）'!$C:$C,"&lt;="&amp;$H$4)</f>
        <v>0</v>
      </c>
      <c r="G146" s="60">
        <f>IFERROR(VLOOKUP(C146,'基础-办公用品信息'!$C:$G,4,0),"-")</f>
        <v>0</v>
      </c>
      <c r="H146" s="61">
        <f>SUMIFS('采购录入（明细）'!$J:$J,'采购录入（明细）'!$E:$E,C146,'采购录入（明细）'!$C:$C,"&gt;="&amp;$E$4,'采购录入（明细）'!$C:$C,"&lt;="&amp;$H$4)</f>
        <v>0</v>
      </c>
      <c r="I146" s="46"/>
    </row>
    <row r="147" customHeight="1" spans="2:9">
      <c r="B147" s="59">
        <v>141</v>
      </c>
      <c r="C147" s="60" t="str">
        <f>IF('基础-办公用品信息'!C144="","-",'基础-办公用品信息'!C144)</f>
        <v>喷洒消毒液</v>
      </c>
      <c r="D147" s="60" t="str">
        <f>IF('基础-办公用品信息'!D144="","-",'基础-办公用品信息'!D144)</f>
        <v>瓶</v>
      </c>
      <c r="E147" s="60" t="str">
        <f>IF('基础-办公用品信息'!E144="","-",'基础-办公用品信息'!E144)</f>
        <v>-</v>
      </c>
      <c r="F147" s="60">
        <f>SUMIFS('采购录入（明细）'!$I:$I,'采购录入（明细）'!$E:$E,C147,'采购录入（明细）'!$C:$C,"&gt;="&amp;$E$4,'采购录入（明细）'!$C:$C,"&lt;="&amp;$H$4)</f>
        <v>0</v>
      </c>
      <c r="G147" s="60">
        <f>IFERROR(VLOOKUP(C147,'基础-办公用品信息'!$C:$G,4,0),"-")</f>
        <v>0</v>
      </c>
      <c r="H147" s="61">
        <f>SUMIFS('采购录入（明细）'!$J:$J,'采购录入（明细）'!$E:$E,C147,'采购录入（明细）'!$C:$C,"&gt;="&amp;$E$4,'采购录入（明细）'!$C:$C,"&lt;="&amp;$H$4)</f>
        <v>0</v>
      </c>
      <c r="I147" s="46"/>
    </row>
    <row r="148" customHeight="1" spans="2:9">
      <c r="B148" s="59">
        <v>142</v>
      </c>
      <c r="C148" s="60" t="str">
        <f>IF('基础-办公用品信息'!C145="","-",'基础-办公用品信息'!C145)</f>
        <v>消毒液L3</v>
      </c>
      <c r="D148" s="60" t="str">
        <f>IF('基础-办公用品信息'!D145="","-",'基础-办公用品信息'!D145)</f>
        <v>瓶</v>
      </c>
      <c r="E148" s="60" t="str">
        <f>IF('基础-办公用品信息'!E145="","-",'基础-办公用品信息'!E145)</f>
        <v>-</v>
      </c>
      <c r="F148" s="60">
        <f>SUMIFS('采购录入（明细）'!$I:$I,'采购录入（明细）'!$E:$E,C148,'采购录入（明细）'!$C:$C,"&gt;="&amp;$E$4,'采购录入（明细）'!$C:$C,"&lt;="&amp;$H$4)</f>
        <v>0</v>
      </c>
      <c r="G148" s="60">
        <f>IFERROR(VLOOKUP(C148,'基础-办公用品信息'!$C:$G,4,0),"-")</f>
        <v>0</v>
      </c>
      <c r="H148" s="61">
        <f>SUMIFS('采购录入（明细）'!$J:$J,'采购录入（明细）'!$E:$E,C148,'采购录入（明细）'!$C:$C,"&gt;="&amp;$E$4,'采购录入（明细）'!$C:$C,"&lt;="&amp;$H$4)</f>
        <v>0</v>
      </c>
      <c r="I148" s="46"/>
    </row>
    <row r="149" customHeight="1" spans="2:9">
      <c r="B149" s="59">
        <v>143</v>
      </c>
      <c r="C149" s="60" t="str">
        <f>IF('基础-办公用品信息'!C146="","-",'基础-办公用品信息'!C146)</f>
        <v>500消毒液</v>
      </c>
      <c r="D149" s="60" t="str">
        <f>IF('基础-办公用品信息'!D146="","-",'基础-办公用品信息'!D146)</f>
        <v>瓶</v>
      </c>
      <c r="E149" s="60" t="str">
        <f>IF('基础-办公用品信息'!E146="","-",'基础-办公用品信息'!E146)</f>
        <v>-</v>
      </c>
      <c r="F149" s="60">
        <f>SUMIFS('采购录入（明细）'!$I:$I,'采购录入（明细）'!$E:$E,C149,'采购录入（明细）'!$C:$C,"&gt;="&amp;$E$4,'采购录入（明细）'!$C:$C,"&lt;="&amp;$H$4)</f>
        <v>0</v>
      </c>
      <c r="G149" s="60">
        <f>IFERROR(VLOOKUP(C149,'基础-办公用品信息'!$C:$G,4,0),"-")</f>
        <v>0</v>
      </c>
      <c r="H149" s="61">
        <f>SUMIFS('采购录入（明细）'!$J:$J,'采购录入（明细）'!$E:$E,C149,'采购录入（明细）'!$C:$C,"&gt;="&amp;$E$4,'采购录入（明细）'!$C:$C,"&lt;="&amp;$H$4)</f>
        <v>0</v>
      </c>
      <c r="I149" s="46"/>
    </row>
    <row r="150" customHeight="1" spans="2:9">
      <c r="B150" s="59">
        <v>144</v>
      </c>
      <c r="C150" s="60" t="e">
        <f>IF('基础-办公用品信息'!#REF!="","-",'基础-办公用品信息'!#REF!)</f>
        <v>#REF!</v>
      </c>
      <c r="D150" s="60" t="e">
        <f>IF('基础-办公用品信息'!#REF!="","-",'基础-办公用品信息'!#REF!)</f>
        <v>#REF!</v>
      </c>
      <c r="E150" s="60" t="e">
        <f>IF('基础-办公用品信息'!#REF!="","-",'基础-办公用品信息'!#REF!)</f>
        <v>#REF!</v>
      </c>
      <c r="F150" s="60">
        <f>SUMIFS('采购录入（明细）'!$I:$I,'采购录入（明细）'!$E:$E,C150,'采购录入（明细）'!$C:$C,"&gt;="&amp;$E$4,'采购录入（明细）'!$C:$C,"&lt;="&amp;$H$4)</f>
        <v>0</v>
      </c>
      <c r="G150" s="60" t="str">
        <f>IFERROR(VLOOKUP(C150,'基础-办公用品信息'!$C:$G,4,0),"-")</f>
        <v>-</v>
      </c>
      <c r="H150" s="61">
        <f>SUMIFS('采购录入（明细）'!$J:$J,'采购录入（明细）'!$E:$E,C150,'采购录入（明细）'!$C:$C,"&gt;="&amp;$E$4,'采购录入（明细）'!$C:$C,"&lt;="&amp;$H$4)</f>
        <v>0</v>
      </c>
      <c r="I150" s="46"/>
    </row>
    <row r="151" customHeight="1" spans="2:9">
      <c r="B151" s="59">
        <v>145</v>
      </c>
      <c r="C151" s="60" t="str">
        <f>IF('基础-办公用品信息'!C147="","-",'基础-办公用品信息'!C147)</f>
        <v>拖把</v>
      </c>
      <c r="D151" s="60" t="str">
        <f>IF('基础-办公用品信息'!D147="","-",'基础-办公用品信息'!D147)</f>
        <v>个</v>
      </c>
      <c r="E151" s="60" t="str">
        <f>IF('基础-办公用品信息'!E147="","-",'基础-办公用品信息'!E147)</f>
        <v>-</v>
      </c>
      <c r="F151" s="60">
        <f>SUMIFS('采购录入（明细）'!$I:$I,'采购录入（明细）'!$E:$E,C151,'采购录入（明细）'!$C:$C,"&gt;="&amp;$E$4,'采购录入（明细）'!$C:$C,"&lt;="&amp;$H$4)</f>
        <v>0</v>
      </c>
      <c r="G151" s="60">
        <f>IFERROR(VLOOKUP(C151,'基础-办公用品信息'!$C:$G,4,0),"-")</f>
        <v>0</v>
      </c>
      <c r="H151" s="61">
        <f>SUMIFS('采购录入（明细）'!$J:$J,'采购录入（明细）'!$E:$E,C151,'采购录入（明细）'!$C:$C,"&gt;="&amp;$E$4,'采购录入（明细）'!$C:$C,"&lt;="&amp;$H$4)</f>
        <v>0</v>
      </c>
      <c r="I151" s="46"/>
    </row>
    <row r="152" customHeight="1" spans="2:9">
      <c r="B152" s="59">
        <v>146</v>
      </c>
      <c r="C152" s="60" t="str">
        <f>IF('基础-办公用品信息'!C148="","-",'基础-办公用品信息'!C148)</f>
        <v>玻璃刮刀</v>
      </c>
      <c r="D152" s="60" t="str">
        <f>IF('基础-办公用品信息'!D148="","-",'基础-办公用品信息'!D148)</f>
        <v>个</v>
      </c>
      <c r="E152" s="60" t="str">
        <f>IF('基础-办公用品信息'!E148="","-",'基础-办公用品信息'!E148)</f>
        <v>-</v>
      </c>
      <c r="F152" s="60">
        <f>SUMIFS('采购录入（明细）'!$I:$I,'采购录入（明细）'!$E:$E,C152,'采购录入（明细）'!$C:$C,"&gt;="&amp;$E$4,'采购录入（明细）'!$C:$C,"&lt;="&amp;$H$4)</f>
        <v>0</v>
      </c>
      <c r="G152" s="60">
        <f>IFERROR(VLOOKUP(C152,'基础-办公用品信息'!$C:$G,4,0),"-")</f>
        <v>0</v>
      </c>
      <c r="H152" s="61">
        <f>SUMIFS('采购录入（明细）'!$J:$J,'采购录入（明细）'!$E:$E,C152,'采购录入（明细）'!$C:$C,"&gt;="&amp;$E$4,'采购录入（明细）'!$C:$C,"&lt;="&amp;$H$4)</f>
        <v>0</v>
      </c>
      <c r="I152" s="46"/>
    </row>
    <row r="153" customHeight="1" spans="2:9">
      <c r="B153" s="59">
        <v>147</v>
      </c>
      <c r="C153" s="60" t="str">
        <f>IF('基础-办公用品信息'!C149="","-",'基础-办公用品信息'!C149)</f>
        <v>玻璃水</v>
      </c>
      <c r="D153" s="60" t="str">
        <f>IF('基础-办公用品信息'!D149="","-",'基础-办公用品信息'!D149)</f>
        <v>瓶</v>
      </c>
      <c r="E153" s="60" t="str">
        <f>IF('基础-办公用品信息'!E149="","-",'基础-办公用品信息'!E149)</f>
        <v>-</v>
      </c>
      <c r="F153" s="60">
        <f>SUMIFS('采购录入（明细）'!$I:$I,'采购录入（明细）'!$E:$E,C153,'采购录入（明细）'!$C:$C,"&gt;="&amp;$E$4,'采购录入（明细）'!$C:$C,"&lt;="&amp;$H$4)</f>
        <v>0</v>
      </c>
      <c r="G153" s="60">
        <f>IFERROR(VLOOKUP(C153,'基础-办公用品信息'!$C:$G,4,0),"-")</f>
        <v>0</v>
      </c>
      <c r="H153" s="61">
        <f>SUMIFS('采购录入（明细）'!$J:$J,'采购录入（明细）'!$E:$E,C153,'采购录入（明细）'!$C:$C,"&gt;="&amp;$E$4,'采购录入（明细）'!$C:$C,"&lt;="&amp;$H$4)</f>
        <v>0</v>
      </c>
      <c r="I153" s="46"/>
    </row>
    <row r="154" customHeight="1" spans="2:9">
      <c r="B154" s="59">
        <v>148</v>
      </c>
      <c r="C154" s="60" t="str">
        <f>IF('基础-办公用品信息'!C150="","-",'基础-办公用品信息'!C150)</f>
        <v>毛巾</v>
      </c>
      <c r="D154" s="60" t="str">
        <f>IF('基础-办公用品信息'!D150="","-",'基础-办公用品信息'!D150)</f>
        <v>条</v>
      </c>
      <c r="E154" s="60" t="str">
        <f>IF('基础-办公用品信息'!E150="","-",'基础-办公用品信息'!E150)</f>
        <v>-</v>
      </c>
      <c r="F154" s="60">
        <f>SUMIFS('采购录入（明细）'!$I:$I,'采购录入（明细）'!$E:$E,C154,'采购录入（明细）'!$C:$C,"&gt;="&amp;$E$4,'采购录入（明细）'!$C:$C,"&lt;="&amp;$H$4)</f>
        <v>0</v>
      </c>
      <c r="G154" s="60">
        <f>IFERROR(VLOOKUP(C154,'基础-办公用品信息'!$C:$G,4,0),"-")</f>
        <v>0</v>
      </c>
      <c r="H154" s="61">
        <f>SUMIFS('采购录入（明细）'!$J:$J,'采购录入（明细）'!$E:$E,C154,'采购录入（明细）'!$C:$C,"&gt;="&amp;$E$4,'采购录入（明细）'!$C:$C,"&lt;="&amp;$H$4)</f>
        <v>0</v>
      </c>
      <c r="I154" s="46"/>
    </row>
    <row r="155" customHeight="1" spans="2:9">
      <c r="B155" s="59">
        <v>149</v>
      </c>
      <c r="C155" s="60" t="str">
        <f>IF('基础-办公用品信息'!C151="","-",'基础-办公用品信息'!C151)</f>
        <v>钉钉打卡机</v>
      </c>
      <c r="D155" s="60" t="str">
        <f>IF('基础-办公用品信息'!D151="","-",'基础-办公用品信息'!D151)</f>
        <v>个</v>
      </c>
      <c r="E155" s="60" t="str">
        <f>IF('基础-办公用品信息'!E151="","-",'基础-办公用品信息'!E151)</f>
        <v>-</v>
      </c>
      <c r="F155" s="60">
        <f>SUMIFS('采购录入（明细）'!$I:$I,'采购录入（明细）'!$E:$E,C155,'采购录入（明细）'!$C:$C,"&gt;="&amp;$E$4,'采购录入（明细）'!$C:$C,"&lt;="&amp;$H$4)</f>
        <v>0</v>
      </c>
      <c r="G155" s="60">
        <f>IFERROR(VLOOKUP(C155,'基础-办公用品信息'!$C:$G,4,0),"-")</f>
        <v>0</v>
      </c>
      <c r="H155" s="61">
        <f>SUMIFS('采购录入（明细）'!$J:$J,'采购录入（明细）'!$E:$E,C155,'采购录入（明细）'!$C:$C,"&gt;="&amp;$E$4,'采购录入（明细）'!$C:$C,"&lt;="&amp;$H$4)</f>
        <v>0</v>
      </c>
      <c r="I155" s="46"/>
    </row>
    <row r="156" customHeight="1" spans="2:9">
      <c r="B156" s="59">
        <v>150</v>
      </c>
      <c r="C156" s="60" t="str">
        <f>IF('基础-办公用品信息'!C152="","-",'基础-办公用品信息'!C152)</f>
        <v>酒精消毒水</v>
      </c>
      <c r="D156" s="60" t="str">
        <f>IF('基础-办公用品信息'!D152="","-",'基础-办公用品信息'!D152)</f>
        <v>瓶</v>
      </c>
      <c r="E156" s="60" t="str">
        <f>IF('基础-办公用品信息'!E152="","-",'基础-办公用品信息'!E152)</f>
        <v>-</v>
      </c>
      <c r="F156" s="60">
        <f>SUMIFS('采购录入（明细）'!$I:$I,'采购录入（明细）'!$E:$E,C156,'采购录入（明细）'!$C:$C,"&gt;="&amp;$E$4,'采购录入（明细）'!$C:$C,"&lt;="&amp;$H$4)</f>
        <v>0</v>
      </c>
      <c r="G156" s="60">
        <f>IFERROR(VLOOKUP(C156,'基础-办公用品信息'!$C:$G,4,0),"-")</f>
        <v>0</v>
      </c>
      <c r="H156" s="61">
        <f>SUMIFS('采购录入（明细）'!$J:$J,'采购录入（明细）'!$E:$E,C156,'采购录入（明细）'!$C:$C,"&gt;="&amp;$E$4,'采购录入（明细）'!$C:$C,"&lt;="&amp;$H$4)</f>
        <v>0</v>
      </c>
      <c r="I156" s="46"/>
    </row>
    <row r="157" customHeight="1" spans="2:9">
      <c r="B157" s="59">
        <v>151</v>
      </c>
      <c r="C157" s="60" t="str">
        <f>IF('基础-办公用品信息'!C153="","-",'基础-办公用品信息'!C153)</f>
        <v>马桶刷</v>
      </c>
      <c r="D157" s="60" t="str">
        <f>IF('基础-办公用品信息'!D153="","-",'基础-办公用品信息'!D153)</f>
        <v>个</v>
      </c>
      <c r="E157" s="60" t="str">
        <f>IF('基础-办公用品信息'!E153="","-",'基础-办公用品信息'!E153)</f>
        <v>-</v>
      </c>
      <c r="F157" s="60">
        <f>SUMIFS('采购录入（明细）'!$I:$I,'采购录入（明细）'!$E:$E,C157,'采购录入（明细）'!$C:$C,"&gt;="&amp;$E$4,'采购录入（明细）'!$C:$C,"&lt;="&amp;$H$4)</f>
        <v>0</v>
      </c>
      <c r="G157" s="60">
        <f>IFERROR(VLOOKUP(C157,'基础-办公用品信息'!$C:$G,4,0),"-")</f>
        <v>0</v>
      </c>
      <c r="H157" s="61">
        <f>SUMIFS('采购录入（明细）'!$J:$J,'采购录入（明细）'!$E:$E,C157,'采购录入（明细）'!$C:$C,"&gt;="&amp;$E$4,'采购录入（明细）'!$C:$C,"&lt;="&amp;$H$4)</f>
        <v>0</v>
      </c>
      <c r="I157" s="46"/>
    </row>
    <row r="158" customHeight="1" spans="2:9">
      <c r="B158" s="59">
        <v>152</v>
      </c>
      <c r="C158" s="60" t="str">
        <f>IF('基础-办公用品信息'!C154="","-",'基础-办公用品信息'!C154)</f>
        <v>洗手液</v>
      </c>
      <c r="D158" s="60" t="str">
        <f>IF('基础-办公用品信息'!D154="","-",'基础-办公用品信息'!D154)</f>
        <v>瓶</v>
      </c>
      <c r="E158" s="60" t="str">
        <f>IF('基础-办公用品信息'!E154="","-",'基础-办公用品信息'!E154)</f>
        <v>-</v>
      </c>
      <c r="F158" s="60">
        <f>SUMIFS('采购录入（明细）'!$I:$I,'采购录入（明细）'!$E:$E,C158,'采购录入（明细）'!$C:$C,"&gt;="&amp;$E$4,'采购录入（明细）'!$C:$C,"&lt;="&amp;$H$4)</f>
        <v>0</v>
      </c>
      <c r="G158" s="60">
        <f>IFERROR(VLOOKUP(C158,'基础-办公用品信息'!$C:$G,4,0),"-")</f>
        <v>0</v>
      </c>
      <c r="H158" s="61">
        <f>SUMIFS('采购录入（明细）'!$J:$J,'采购录入（明细）'!$E:$E,C158,'采购录入（明细）'!$C:$C,"&gt;="&amp;$E$4,'采购录入（明细）'!$C:$C,"&lt;="&amp;$H$4)</f>
        <v>0</v>
      </c>
      <c r="I158" s="46"/>
    </row>
    <row r="159" customHeight="1" spans="2:9">
      <c r="B159" s="59">
        <v>153</v>
      </c>
      <c r="C159" s="60" t="str">
        <f>IF('基础-办公用品信息'!C155="","-",'基础-办公用品信息'!C155)</f>
        <v>报销单</v>
      </c>
      <c r="D159" s="60" t="str">
        <f>IF('基础-办公用品信息'!D155="","-",'基础-办公用品信息'!D155)</f>
        <v>本</v>
      </c>
      <c r="E159" s="60" t="str">
        <f>IF('基础-办公用品信息'!E155="","-",'基础-办公用品信息'!E155)</f>
        <v>-</v>
      </c>
      <c r="F159" s="60">
        <f>SUMIFS('采购录入（明细）'!$I:$I,'采购录入（明细）'!$E:$E,C159,'采购录入（明细）'!$C:$C,"&gt;="&amp;$E$4,'采购录入（明细）'!$C:$C,"&lt;="&amp;$H$4)</f>
        <v>0</v>
      </c>
      <c r="G159" s="60">
        <f>IFERROR(VLOOKUP(C159,'基础-办公用品信息'!$C:$G,4,0),"-")</f>
        <v>1.2</v>
      </c>
      <c r="H159" s="61">
        <f>SUMIFS('采购录入（明细）'!$J:$J,'采购录入（明细）'!$E:$E,C159,'采购录入（明细）'!$C:$C,"&gt;="&amp;$E$4,'采购录入（明细）'!$C:$C,"&lt;="&amp;$H$4)</f>
        <v>0</v>
      </c>
      <c r="I159" s="46"/>
    </row>
    <row r="160" customHeight="1" spans="2:9">
      <c r="B160" s="59">
        <v>154</v>
      </c>
      <c r="C160" s="60" t="str">
        <f>IF('基础-办公用品信息'!C156="","-",'基础-办公用品信息'!C156)</f>
        <v>手套</v>
      </c>
      <c r="D160" s="60" t="str">
        <f>IF('基础-办公用品信息'!D156="","-",'基础-办公用品信息'!D156)</f>
        <v>双</v>
      </c>
      <c r="E160" s="60" t="str">
        <f>IF('基础-办公用品信息'!E156="","-",'基础-办公用品信息'!E156)</f>
        <v>-</v>
      </c>
      <c r="F160" s="60">
        <f>SUMIFS('采购录入（明细）'!$I:$I,'采购录入（明细）'!$E:$E,C160,'采购录入（明细）'!$C:$C,"&gt;="&amp;$E$4,'采购录入（明细）'!$C:$C,"&lt;="&amp;$H$4)</f>
        <v>0</v>
      </c>
      <c r="G160" s="60">
        <f>IFERROR(VLOOKUP(C160,'基础-办公用品信息'!$C:$G,4,0),"-")</f>
        <v>0</v>
      </c>
      <c r="H160" s="61">
        <f>SUMIFS('采购录入（明细）'!$J:$J,'采购录入（明细）'!$E:$E,C160,'采购录入（明细）'!$C:$C,"&gt;="&amp;$E$4,'采购录入（明细）'!$C:$C,"&lt;="&amp;$H$4)</f>
        <v>0</v>
      </c>
      <c r="I160" s="46"/>
    </row>
    <row r="161" customHeight="1" spans="2:9">
      <c r="B161" s="59">
        <v>155</v>
      </c>
      <c r="C161" s="60" t="str">
        <f>IF('基础-办公用品信息'!C157="","-",'基础-办公用品信息'!C157)</f>
        <v>安全帽</v>
      </c>
      <c r="D161" s="60" t="str">
        <f>IF('基础-办公用品信息'!D157="","-",'基础-办公用品信息'!D157)</f>
        <v>顶</v>
      </c>
      <c r="E161" s="60" t="str">
        <f>IF('基础-办公用品信息'!E157="","-",'基础-办公用品信息'!E157)</f>
        <v>-</v>
      </c>
      <c r="F161" s="60">
        <f>SUMIFS('采购录入（明细）'!$I:$I,'采购录入（明细）'!$E:$E,C161,'采购录入（明细）'!$C:$C,"&gt;="&amp;$E$4,'采购录入（明细）'!$C:$C,"&lt;="&amp;$H$4)</f>
        <v>0</v>
      </c>
      <c r="G161" s="60">
        <f>IFERROR(VLOOKUP(C161,'基础-办公用品信息'!$C:$G,4,0),"-")</f>
        <v>0</v>
      </c>
      <c r="H161" s="61">
        <f>SUMIFS('采购录入（明细）'!$J:$J,'采购录入（明细）'!$E:$E,C161,'采购录入（明细）'!$C:$C,"&gt;="&amp;$E$4,'采购录入（明细）'!$C:$C,"&lt;="&amp;$H$4)</f>
        <v>0</v>
      </c>
      <c r="I161" s="46"/>
    </row>
    <row r="162" customHeight="1" spans="2:9">
      <c r="B162" s="59">
        <v>156</v>
      </c>
      <c r="C162" s="60" t="str">
        <f>IF('基础-办公用品信息'!C158="","-",'基础-办公用品信息'!C158)</f>
        <v>扫把</v>
      </c>
      <c r="D162" s="60" t="str">
        <f>IF('基础-办公用品信息'!D158="","-",'基础-办公用品信息'!D158)</f>
        <v>把</v>
      </c>
      <c r="E162" s="60" t="str">
        <f>IF('基础-办公用品信息'!E158="","-",'基础-办公用品信息'!E158)</f>
        <v>-</v>
      </c>
      <c r="F162" s="60">
        <f>SUMIFS('采购录入（明细）'!$I:$I,'采购录入（明细）'!$E:$E,C162,'采购录入（明细）'!$C:$C,"&gt;="&amp;$E$4,'采购录入（明细）'!$C:$C,"&lt;="&amp;$H$4)</f>
        <v>0</v>
      </c>
      <c r="G162" s="60">
        <f>IFERROR(VLOOKUP(C162,'基础-办公用品信息'!$C:$G,4,0),"-")</f>
        <v>0</v>
      </c>
      <c r="H162" s="61">
        <f>SUMIFS('采购录入（明细）'!$J:$J,'采购录入（明细）'!$E:$E,C162,'采购录入（明细）'!$C:$C,"&gt;="&amp;$E$4,'采购录入（明细）'!$C:$C,"&lt;="&amp;$H$4)</f>
        <v>0</v>
      </c>
      <c r="I162" s="46"/>
    </row>
    <row r="163" customHeight="1" spans="2:9">
      <c r="B163" s="59">
        <v>157</v>
      </c>
      <c r="C163" s="60" t="str">
        <f>IF('基础-办公用品信息'!C159="","-",'基础-办公用品信息'!C159)</f>
        <v>交换机</v>
      </c>
      <c r="D163" s="60" t="str">
        <f>IF('基础-办公用品信息'!D159="","-",'基础-办公用品信息'!D159)</f>
        <v>个</v>
      </c>
      <c r="E163" s="60" t="str">
        <f>IF('基础-办公用品信息'!E159="","-",'基础-办公用品信息'!E159)</f>
        <v>-</v>
      </c>
      <c r="F163" s="60">
        <f>SUMIFS('采购录入（明细）'!$I:$I,'采购录入（明细）'!$E:$E,C163,'采购录入（明细）'!$C:$C,"&gt;="&amp;$E$4,'采购录入（明细）'!$C:$C,"&lt;="&amp;$H$4)</f>
        <v>0</v>
      </c>
      <c r="G163" s="60">
        <f>IFERROR(VLOOKUP(C163,'基础-办公用品信息'!$C:$G,4,0),"-")</f>
        <v>0</v>
      </c>
      <c r="H163" s="61">
        <f>SUMIFS('采购录入（明细）'!$J:$J,'采购录入（明细）'!$E:$E,C163,'采购录入（明细）'!$C:$C,"&gt;="&amp;$E$4,'采购录入（明细）'!$C:$C,"&lt;="&amp;$H$4)</f>
        <v>0</v>
      </c>
      <c r="I163" s="46"/>
    </row>
    <row r="164" customHeight="1" spans="2:9">
      <c r="B164" s="59">
        <v>158</v>
      </c>
      <c r="C164" s="60" t="str">
        <f>IF('基础-办公用品信息'!C160="","-",'基础-办公用品信息'!C160)</f>
        <v>狗粮</v>
      </c>
      <c r="D164" s="60" t="str">
        <f>IF('基础-办公用品信息'!D160="","-",'基础-办公用品信息'!D160)</f>
        <v>包</v>
      </c>
      <c r="E164" s="60" t="str">
        <f>IF('基础-办公用品信息'!E160="","-",'基础-办公用品信息'!E160)</f>
        <v>-</v>
      </c>
      <c r="F164" s="60">
        <f>SUMIFS('采购录入（明细）'!$I:$I,'采购录入（明细）'!$E:$E,C164,'采购录入（明细）'!$C:$C,"&gt;="&amp;$E$4,'采购录入（明细）'!$C:$C,"&lt;="&amp;$H$4)</f>
        <v>0</v>
      </c>
      <c r="G164" s="60">
        <f>IFERROR(VLOOKUP(C164,'基础-办公用品信息'!$C:$G,4,0),"-")</f>
        <v>0</v>
      </c>
      <c r="H164" s="61">
        <f>SUMIFS('采购录入（明细）'!$J:$J,'采购录入（明细）'!$E:$E,C164,'采购录入（明细）'!$C:$C,"&gt;="&amp;$E$4,'采购录入（明细）'!$C:$C,"&lt;="&amp;$H$4)</f>
        <v>0</v>
      </c>
      <c r="I164" s="46"/>
    </row>
    <row r="165" customHeight="1" spans="2:9">
      <c r="B165" s="59">
        <v>159</v>
      </c>
      <c r="C165" s="60" t="str">
        <f>IF('基础-办公用品信息'!C161="","-",'基础-办公用品信息'!C161)</f>
        <v>尘推杆</v>
      </c>
      <c r="D165" s="60" t="str">
        <f>IF('基础-办公用品信息'!D161="","-",'基础-办公用品信息'!D161)</f>
        <v>根</v>
      </c>
      <c r="E165" s="60" t="str">
        <f>IF('基础-办公用品信息'!E161="","-",'基础-办公用品信息'!E161)</f>
        <v>-</v>
      </c>
      <c r="F165" s="60">
        <f>SUMIFS('采购录入（明细）'!$I:$I,'采购录入（明细）'!$E:$E,C165,'采购录入（明细）'!$C:$C,"&gt;="&amp;$E$4,'采购录入（明细）'!$C:$C,"&lt;="&amp;$H$4)</f>
        <v>0</v>
      </c>
      <c r="G165" s="60">
        <f>IFERROR(VLOOKUP(C165,'基础-办公用品信息'!$C:$G,4,0),"-")</f>
        <v>0</v>
      </c>
      <c r="H165" s="61">
        <f>SUMIFS('采购录入（明细）'!$J:$J,'采购录入（明细）'!$E:$E,C165,'采购录入（明细）'!$C:$C,"&gt;="&amp;$E$4,'采购录入（明细）'!$C:$C,"&lt;="&amp;$H$4)</f>
        <v>0</v>
      </c>
      <c r="I165" s="46"/>
    </row>
    <row r="166" customHeight="1" spans="2:9">
      <c r="B166" s="59">
        <v>160</v>
      </c>
      <c r="C166" s="60" t="str">
        <f>IF('基础-办公用品信息'!C162="","-",'基础-办公用品信息'!C162)</f>
        <v>橡胶手套</v>
      </c>
      <c r="D166" s="60" t="str">
        <f>IF('基础-办公用品信息'!D162="","-",'基础-办公用品信息'!D162)</f>
        <v>双</v>
      </c>
      <c r="E166" s="60" t="str">
        <f>IF('基础-办公用品信息'!E162="","-",'基础-办公用品信息'!E162)</f>
        <v>-</v>
      </c>
      <c r="F166" s="60">
        <f>SUMIFS('采购录入（明细）'!$I:$I,'采购录入（明细）'!$E:$E,C166,'采购录入（明细）'!$C:$C,"&gt;="&amp;$E$4,'采购录入（明细）'!$C:$C,"&lt;="&amp;$H$4)</f>
        <v>0</v>
      </c>
      <c r="G166" s="60">
        <f>IFERROR(VLOOKUP(C166,'基础-办公用品信息'!$C:$G,4,0),"-")</f>
        <v>0</v>
      </c>
      <c r="H166" s="61">
        <f>SUMIFS('采购录入（明细）'!$J:$J,'采购录入（明细）'!$E:$E,C166,'采购录入（明细）'!$C:$C,"&gt;="&amp;$E$4,'采购录入（明细）'!$C:$C,"&lt;="&amp;$H$4)</f>
        <v>0</v>
      </c>
      <c r="I166" s="46"/>
    </row>
    <row r="167" customHeight="1" spans="2:9">
      <c r="B167" s="59">
        <v>161</v>
      </c>
      <c r="C167" s="60" t="str">
        <f>IF('基础-办公用品信息'!C163="","-",'基础-办公用品信息'!C163)</f>
        <v>透明胶带大卷</v>
      </c>
      <c r="D167" s="60" t="str">
        <f>IF('基础-办公用品信息'!D163="","-",'基础-办公用品信息'!D163)</f>
        <v>卷</v>
      </c>
      <c r="E167" s="60" t="str">
        <f>IF('基础-办公用品信息'!E163="","-",'基础-办公用品信息'!E163)</f>
        <v>-</v>
      </c>
      <c r="F167" s="60">
        <f>SUMIFS('采购录入（明细）'!$I:$I,'采购录入（明细）'!$E:$E,C167,'采购录入（明细）'!$C:$C,"&gt;="&amp;$E$4,'采购录入（明细）'!$C:$C,"&lt;="&amp;$H$4)</f>
        <v>0</v>
      </c>
      <c r="G167" s="60">
        <f>IFERROR(VLOOKUP(C167,'基础-办公用品信息'!$C:$G,4,0),"-")</f>
        <v>0</v>
      </c>
      <c r="H167" s="61">
        <f>SUMIFS('采购录入（明细）'!$J:$J,'采购录入（明细）'!$E:$E,C167,'采购录入（明细）'!$C:$C,"&gt;="&amp;$E$4,'采购录入（明细）'!$C:$C,"&lt;="&amp;$H$4)</f>
        <v>0</v>
      </c>
      <c r="I167" s="46"/>
    </row>
    <row r="168" customHeight="1" spans="2:9">
      <c r="B168" s="59">
        <v>162</v>
      </c>
      <c r="C168" s="60" t="str">
        <f>IF('基础-办公用品信息'!C164="","-",'基础-办公用品信息'!C164)</f>
        <v>垃圾袋大</v>
      </c>
      <c r="D168" s="60" t="str">
        <f>IF('基础-办公用品信息'!D164="","-",'基础-办公用品信息'!D164)</f>
        <v>卷</v>
      </c>
      <c r="E168" s="60" t="str">
        <f>IF('基础-办公用品信息'!E164="","-",'基础-办公用品信息'!E164)</f>
        <v>-</v>
      </c>
      <c r="F168" s="60">
        <f>SUMIFS('采购录入（明细）'!$I:$I,'采购录入（明细）'!$E:$E,C168,'采购录入（明细）'!$C:$C,"&gt;="&amp;$E$4,'采购录入（明细）'!$C:$C,"&lt;="&amp;$H$4)</f>
        <v>0</v>
      </c>
      <c r="G168" s="60">
        <f>IFERROR(VLOOKUP(C168,'基础-办公用品信息'!$C:$G,4,0),"-")</f>
        <v>0</v>
      </c>
      <c r="H168" s="61">
        <f>SUMIFS('采购录入（明细）'!$J:$J,'采购录入（明细）'!$E:$E,C168,'采购录入（明细）'!$C:$C,"&gt;="&amp;$E$4,'采购录入（明细）'!$C:$C,"&lt;="&amp;$H$4)</f>
        <v>0</v>
      </c>
      <c r="I168" s="46"/>
    </row>
    <row r="169" customHeight="1" spans="2:9">
      <c r="B169" s="59">
        <v>163</v>
      </c>
      <c r="C169" s="60" t="str">
        <f>IF('基础-办公用品信息'!C165="","-",'基础-办公用品信息'!C165)</f>
        <v>垃圾袋小</v>
      </c>
      <c r="D169" s="60" t="str">
        <f>IF('基础-办公用品信息'!D165="","-",'基础-办公用品信息'!D165)</f>
        <v>卷</v>
      </c>
      <c r="E169" s="60" t="str">
        <f>IF('基础-办公用品信息'!E165="","-",'基础-办公用品信息'!E165)</f>
        <v>-</v>
      </c>
      <c r="F169" s="60">
        <f>SUMIFS('采购录入（明细）'!$I:$I,'采购录入（明细）'!$E:$E,C169,'采购录入（明细）'!$C:$C,"&gt;="&amp;$E$4,'采购录入（明细）'!$C:$C,"&lt;="&amp;$H$4)</f>
        <v>0</v>
      </c>
      <c r="G169" s="60">
        <f>IFERROR(VLOOKUP(C169,'基础-办公用品信息'!$C:$G,4,0),"-")</f>
        <v>0</v>
      </c>
      <c r="H169" s="61">
        <f>SUMIFS('采购录入（明细）'!$J:$J,'采购录入（明细）'!$E:$E,C169,'采购录入（明细）'!$C:$C,"&gt;="&amp;$E$4,'采购录入（明细）'!$C:$C,"&lt;="&amp;$H$4)</f>
        <v>0</v>
      </c>
      <c r="I169" s="46"/>
    </row>
    <row r="170" customHeight="1" spans="2:9">
      <c r="B170" s="59">
        <v>164</v>
      </c>
      <c r="C170" s="60" t="str">
        <f>IF('基础-办公用品信息'!C166="","-",'基础-办公用品信息'!C166)</f>
        <v>次氯酸消毒液</v>
      </c>
      <c r="D170" s="60" t="str">
        <f>IF('基础-办公用品信息'!D166="","-",'基础-办公用品信息'!D166)</f>
        <v>瓶</v>
      </c>
      <c r="E170" s="60" t="str">
        <f>IF('基础-办公用品信息'!E166="","-",'基础-办公用品信息'!E166)</f>
        <v>-</v>
      </c>
      <c r="F170" s="60">
        <f>SUMIFS('采购录入（明细）'!$I:$I,'采购录入（明细）'!$E:$E,C170,'采购录入（明细）'!$C:$C,"&gt;="&amp;$E$4,'采购录入（明细）'!$C:$C,"&lt;="&amp;$H$4)</f>
        <v>0</v>
      </c>
      <c r="G170" s="60">
        <f>IFERROR(VLOOKUP(C170,'基础-办公用品信息'!$C:$G,4,0),"-")</f>
        <v>0</v>
      </c>
      <c r="H170" s="61">
        <f>SUMIFS('采购录入（明细）'!$J:$J,'采购录入（明细）'!$E:$E,C170,'采购录入（明细）'!$C:$C,"&gt;="&amp;$E$4,'采购录入（明细）'!$C:$C,"&lt;="&amp;$H$4)</f>
        <v>0</v>
      </c>
      <c r="I170" s="46"/>
    </row>
    <row r="171" customHeight="1" spans="2:9">
      <c r="B171" s="59">
        <v>165</v>
      </c>
      <c r="C171" s="60" t="str">
        <f>IF('基础-办公用品信息'!C167="","-",'基础-办公用品信息'!C167)</f>
        <v>喷壶</v>
      </c>
      <c r="D171" s="60" t="str">
        <f>IF('基础-办公用品信息'!D167="","-",'基础-办公用品信息'!D167)</f>
        <v>个</v>
      </c>
      <c r="E171" s="60" t="str">
        <f>IF('基础-办公用品信息'!E167="","-",'基础-办公用品信息'!E167)</f>
        <v>-</v>
      </c>
      <c r="F171" s="60">
        <f>SUMIFS('采购录入（明细）'!$I:$I,'采购录入（明细）'!$E:$E,C171,'采购录入（明细）'!$C:$C,"&gt;="&amp;$E$4,'采购录入（明细）'!$C:$C,"&lt;="&amp;$H$4)</f>
        <v>0</v>
      </c>
      <c r="G171" s="60">
        <f>IFERROR(VLOOKUP(C171,'基础-办公用品信息'!$C:$G,4,0),"-")</f>
        <v>0</v>
      </c>
      <c r="H171" s="61">
        <f>SUMIFS('采购录入（明细）'!$J:$J,'采购录入（明细）'!$E:$E,C171,'采购录入（明细）'!$C:$C,"&gt;="&amp;$E$4,'采购录入（明细）'!$C:$C,"&lt;="&amp;$H$4)</f>
        <v>0</v>
      </c>
      <c r="I171" s="46"/>
    </row>
    <row r="172" customHeight="1" spans="2:9">
      <c r="B172" s="59">
        <v>166</v>
      </c>
      <c r="C172" s="60" t="str">
        <f>IF('基础-办公用品信息'!C168="","-",'基础-办公用品信息'!C168)</f>
        <v>马桶刷</v>
      </c>
      <c r="D172" s="60" t="str">
        <f>IF('基础-办公用品信息'!D168="","-",'基础-办公用品信息'!D168)</f>
        <v>个</v>
      </c>
      <c r="E172" s="60" t="str">
        <f>IF('基础-办公用品信息'!E168="","-",'基础-办公用品信息'!E168)</f>
        <v>-</v>
      </c>
      <c r="F172" s="60">
        <f>SUMIFS('采购录入（明细）'!$I:$I,'采购录入（明细）'!$E:$E,C172,'采购录入（明细）'!$C:$C,"&gt;="&amp;$E$4,'采购录入（明细）'!$C:$C,"&lt;="&amp;$H$4)</f>
        <v>0</v>
      </c>
      <c r="G172" s="60">
        <f>IFERROR(VLOOKUP(C172,'基础-办公用品信息'!$C:$G,4,0),"-")</f>
        <v>0</v>
      </c>
      <c r="H172" s="61">
        <f>SUMIFS('采购录入（明细）'!$J:$J,'采购录入（明细）'!$E:$E,C172,'采购录入（明细）'!$C:$C,"&gt;="&amp;$E$4,'采购录入（明细）'!$C:$C,"&lt;="&amp;$H$4)</f>
        <v>0</v>
      </c>
      <c r="I172" s="46"/>
    </row>
    <row r="173" customHeight="1" spans="2:9">
      <c r="B173" s="59">
        <v>167</v>
      </c>
      <c r="C173" s="60" t="str">
        <f>IF('基础-办公用品信息'!C169="","-",'基础-办公用品信息'!C169)</f>
        <v>无线网卡</v>
      </c>
      <c r="D173" s="60" t="str">
        <f>IF('基础-办公用品信息'!D169="","-",'基础-办公用品信息'!D169)</f>
        <v>个</v>
      </c>
      <c r="E173" s="60" t="str">
        <f>IF('基础-办公用品信息'!E169="","-",'基础-办公用品信息'!E169)</f>
        <v>-</v>
      </c>
      <c r="F173" s="60">
        <f>SUMIFS('采购录入（明细）'!$I:$I,'采购录入（明细）'!$E:$E,C173,'采购录入（明细）'!$C:$C,"&gt;="&amp;$E$4,'采购录入（明细）'!$C:$C,"&lt;="&amp;$H$4)</f>
        <v>0</v>
      </c>
      <c r="G173" s="60">
        <f>IFERROR(VLOOKUP(C173,'基础-办公用品信息'!$C:$G,4,0),"-")</f>
        <v>0</v>
      </c>
      <c r="H173" s="61">
        <f>SUMIFS('采购录入（明细）'!$J:$J,'采购录入（明细）'!$E:$E,C173,'采购录入（明细）'!$C:$C,"&gt;="&amp;$E$4,'采购录入（明细）'!$C:$C,"&lt;="&amp;$H$4)</f>
        <v>0</v>
      </c>
      <c r="I173" s="46"/>
    </row>
    <row r="174" customHeight="1" spans="2:9">
      <c r="B174" s="59">
        <v>168</v>
      </c>
      <c r="C174" s="60" t="str">
        <f>IF('基础-办公用品信息'!C170="","-",'基础-办公用品信息'!C170)</f>
        <v>院子灯泡</v>
      </c>
      <c r="D174" s="60" t="str">
        <f>IF('基础-办公用品信息'!D170="","-",'基础-办公用品信息'!D170)</f>
        <v>个</v>
      </c>
      <c r="E174" s="60" t="str">
        <f>IF('基础-办公用品信息'!E170="","-",'基础-办公用品信息'!E170)</f>
        <v>-</v>
      </c>
      <c r="F174" s="60">
        <f>SUMIFS('采购录入（明细）'!$I:$I,'采购录入（明细）'!$E:$E,C174,'采购录入（明细）'!$C:$C,"&gt;="&amp;$E$4,'采购录入（明细）'!$C:$C,"&lt;="&amp;$H$4)</f>
        <v>0</v>
      </c>
      <c r="G174" s="60">
        <f>IFERROR(VLOOKUP(C174,'基础-办公用品信息'!$C:$G,4,0),"-")</f>
        <v>15</v>
      </c>
      <c r="H174" s="61">
        <f>SUMIFS('采购录入（明细）'!$J:$J,'采购录入（明细）'!$E:$E,C174,'采购录入（明细）'!$C:$C,"&gt;="&amp;$E$4,'采购录入（明细）'!$C:$C,"&lt;="&amp;$H$4)</f>
        <v>0</v>
      </c>
      <c r="I174" s="46"/>
    </row>
    <row r="175" customHeight="1" spans="2:9">
      <c r="B175" s="59">
        <v>169</v>
      </c>
      <c r="C175" s="60" t="str">
        <f>IF('基础-办公用品信息'!C171="","-",'基础-办公用品信息'!C171)</f>
        <v>洗衣粉</v>
      </c>
      <c r="D175" s="60" t="str">
        <f>IF('基础-办公用品信息'!D171="","-",'基础-办公用品信息'!D171)</f>
        <v>包</v>
      </c>
      <c r="E175" s="60" t="str">
        <f>IF('基础-办公用品信息'!E171="","-",'基础-办公用品信息'!E171)</f>
        <v>-</v>
      </c>
      <c r="F175" s="60">
        <f>SUMIFS('采购录入（明细）'!$I:$I,'采购录入（明细）'!$E:$E,C175,'采购录入（明细）'!$C:$C,"&gt;="&amp;$E$4,'采购录入（明细）'!$C:$C,"&lt;="&amp;$H$4)</f>
        <v>0</v>
      </c>
      <c r="G175" s="60">
        <f>IFERROR(VLOOKUP(C175,'基础-办公用品信息'!$C:$G,4,0),"-")</f>
        <v>0</v>
      </c>
      <c r="H175" s="61">
        <f>SUMIFS('采购录入（明细）'!$J:$J,'采购录入（明细）'!$E:$E,C175,'采购录入（明细）'!$C:$C,"&gt;="&amp;$E$4,'采购录入（明细）'!$C:$C,"&lt;="&amp;$H$4)</f>
        <v>0</v>
      </c>
      <c r="I175" s="46"/>
    </row>
    <row r="176" customHeight="1" spans="2:9">
      <c r="B176" s="59">
        <v>170</v>
      </c>
      <c r="C176" s="60" t="str">
        <f>IF('基础-办公用品信息'!C172="","-",'基础-办公用品信息'!C172)</f>
        <v>海绵</v>
      </c>
      <c r="D176" s="60" t="str">
        <f>IF('基础-办公用品信息'!D172="","-",'基础-办公用品信息'!D172)</f>
        <v>个</v>
      </c>
      <c r="E176" s="60" t="str">
        <f>IF('基础-办公用品信息'!E172="","-",'基础-办公用品信息'!E172)</f>
        <v>-</v>
      </c>
      <c r="F176" s="60">
        <f>SUMIFS('采购录入（明细）'!$I:$I,'采购录入（明细）'!$E:$E,C176,'采购录入（明细）'!$C:$C,"&gt;="&amp;$E$4,'采购录入（明细）'!$C:$C,"&lt;="&amp;$H$4)</f>
        <v>0</v>
      </c>
      <c r="G176" s="60">
        <f>IFERROR(VLOOKUP(C176,'基础-办公用品信息'!$C:$G,4,0),"-")</f>
        <v>0</v>
      </c>
      <c r="H176" s="61">
        <f>SUMIFS('采购录入（明细）'!$J:$J,'采购录入（明细）'!$E:$E,C176,'采购录入（明细）'!$C:$C,"&gt;="&amp;$E$4,'采购录入（明细）'!$C:$C,"&lt;="&amp;$H$4)</f>
        <v>0</v>
      </c>
      <c r="I176" s="46"/>
    </row>
    <row r="177" customHeight="1" spans="2:9">
      <c r="B177" s="59">
        <v>171</v>
      </c>
      <c r="C177" s="60" t="str">
        <f>IF('基础-办公用品信息'!C173="","-",'基础-办公用品信息'!C173)</f>
        <v>304不锈钢餐盘（带盖）</v>
      </c>
      <c r="D177" s="60" t="str">
        <f>IF('基础-办公用品信息'!D173="","-",'基础-办公用品信息'!D173)</f>
        <v>个</v>
      </c>
      <c r="E177" s="60" t="str">
        <f>IF('基础-办公用品信息'!E173="","-",'基础-办公用品信息'!E173)</f>
        <v>-</v>
      </c>
      <c r="F177" s="60">
        <f>SUMIFS('采购录入（明细）'!$I:$I,'采购录入（明细）'!$E:$E,C177,'采购录入（明细）'!$C:$C,"&gt;="&amp;$E$4,'采购录入（明细）'!$C:$C,"&lt;="&amp;$H$4)</f>
        <v>0</v>
      </c>
      <c r="G177" s="60">
        <f>IFERROR(VLOOKUP(C177,'基础-办公用品信息'!$C:$G,4,0),"-")</f>
        <v>0</v>
      </c>
      <c r="H177" s="61">
        <f>SUMIFS('采购录入（明细）'!$J:$J,'采购录入（明细）'!$E:$E,C177,'采购录入（明细）'!$C:$C,"&gt;="&amp;$E$4,'采购录入（明细）'!$C:$C,"&lt;="&amp;$H$4)</f>
        <v>0</v>
      </c>
      <c r="I177" s="46"/>
    </row>
    <row r="178" customHeight="1" spans="2:9">
      <c r="B178" s="59">
        <v>172</v>
      </c>
      <c r="C178" s="60" t="str">
        <f>IF('基础-办公用品信息'!C174="","-",'基础-办公用品信息'!C174)</f>
        <v>304不锈钢餐盘）</v>
      </c>
      <c r="D178" s="60" t="str">
        <f>IF('基础-办公用品信息'!D174="","-",'基础-办公用品信息'!D174)</f>
        <v>个</v>
      </c>
      <c r="E178" s="60" t="str">
        <f>IF('基础-办公用品信息'!E174="","-",'基础-办公用品信息'!E174)</f>
        <v>-</v>
      </c>
      <c r="F178" s="60">
        <f>SUMIFS('采购录入（明细）'!$I:$I,'采购录入（明细）'!$E:$E,C178,'采购录入（明细）'!$C:$C,"&gt;="&amp;$E$4,'采购录入（明细）'!$C:$C,"&lt;="&amp;$H$4)</f>
        <v>0</v>
      </c>
      <c r="G178" s="60">
        <f>IFERROR(VLOOKUP(C178,'基础-办公用品信息'!$C:$G,4,0),"-")</f>
        <v>0</v>
      </c>
      <c r="H178" s="61">
        <f>SUMIFS('采购录入（明细）'!$J:$J,'采购录入（明细）'!$E:$E,C178,'采购录入（明细）'!$C:$C,"&gt;="&amp;$E$4,'采购录入（明细）'!$C:$C,"&lt;="&amp;$H$4)</f>
        <v>0</v>
      </c>
      <c r="I178" s="46"/>
    </row>
    <row r="179" customHeight="1" spans="2:9">
      <c r="B179" s="59">
        <v>173</v>
      </c>
      <c r="C179" s="60" t="str">
        <f>IF('基础-办公用品信息'!C175="","-",'基础-办公用品信息'!C175)</f>
        <v>调料罐</v>
      </c>
      <c r="D179" s="60" t="str">
        <f>IF('基础-办公用品信息'!D175="","-",'基础-办公用品信息'!D175)</f>
        <v>个</v>
      </c>
      <c r="E179" s="60" t="str">
        <f>IF('基础-办公用品信息'!E175="","-",'基础-办公用品信息'!E175)</f>
        <v>-</v>
      </c>
      <c r="F179" s="60">
        <f>SUMIFS('采购录入（明细）'!$I:$I,'采购录入（明细）'!$E:$E,C179,'采购录入（明细）'!$C:$C,"&gt;="&amp;$E$4,'采购录入（明细）'!$C:$C,"&lt;="&amp;$H$4)</f>
        <v>0</v>
      </c>
      <c r="G179" s="60">
        <f>IFERROR(VLOOKUP(C179,'基础-办公用品信息'!$C:$G,4,0),"-")</f>
        <v>0</v>
      </c>
      <c r="H179" s="61">
        <f>SUMIFS('采购录入（明细）'!$J:$J,'采购录入（明细）'!$E:$E,C179,'采购录入（明细）'!$C:$C,"&gt;="&amp;$E$4,'采购录入（明细）'!$C:$C,"&lt;="&amp;$H$4)</f>
        <v>0</v>
      </c>
      <c r="I179" s="46"/>
    </row>
    <row r="180" customHeight="1" spans="2:9">
      <c r="B180" s="59">
        <v>174</v>
      </c>
      <c r="C180" s="60" t="str">
        <f>IF('基础-办公用品信息'!C176="","-",'基础-办公用品信息'!C176)</f>
        <v>调料罐盖</v>
      </c>
      <c r="D180" s="60" t="str">
        <f>IF('基础-办公用品信息'!D176="","-",'基础-办公用品信息'!D176)</f>
        <v>个</v>
      </c>
      <c r="E180" s="60" t="str">
        <f>IF('基础-办公用品信息'!E176="","-",'基础-办公用品信息'!E176)</f>
        <v>-</v>
      </c>
      <c r="F180" s="60">
        <f>SUMIFS('采购录入（明细）'!$I:$I,'采购录入（明细）'!$E:$E,C180,'采购录入（明细）'!$C:$C,"&gt;="&amp;$E$4,'采购录入（明细）'!$C:$C,"&lt;="&amp;$H$4)</f>
        <v>0</v>
      </c>
      <c r="G180" s="60">
        <f>IFERROR(VLOOKUP(C180,'基础-办公用品信息'!$C:$G,4,0),"-")</f>
        <v>0</v>
      </c>
      <c r="H180" s="61">
        <f>SUMIFS('采购录入（明细）'!$J:$J,'采购录入（明细）'!$E:$E,C180,'采购录入（明细）'!$C:$C,"&gt;="&amp;$E$4,'采购录入（明细）'!$C:$C,"&lt;="&amp;$H$4)</f>
        <v>0</v>
      </c>
      <c r="I180" s="46"/>
    </row>
    <row r="181" customHeight="1" spans="2:9">
      <c r="B181" s="59">
        <v>175</v>
      </c>
      <c r="C181" s="60" t="str">
        <f>IF('基础-办公用品信息'!C177="","-",'基础-办公用品信息'!C177)</f>
        <v>304不锈钢油缸</v>
      </c>
      <c r="D181" s="60" t="str">
        <f>IF('基础-办公用品信息'!D177="","-",'基础-办公用品信息'!D177)</f>
        <v>个</v>
      </c>
      <c r="E181" s="60" t="str">
        <f>IF('基础-办公用品信息'!E177="","-",'基础-办公用品信息'!E177)</f>
        <v>-</v>
      </c>
      <c r="F181" s="60">
        <f>SUMIFS('采购录入（明细）'!$I:$I,'采购录入（明细）'!$E:$E,C181,'采购录入（明细）'!$C:$C,"&gt;="&amp;$E$4,'采购录入（明细）'!$C:$C,"&lt;="&amp;$H$4)</f>
        <v>0</v>
      </c>
      <c r="G181" s="60">
        <f>IFERROR(VLOOKUP(C181,'基础-办公用品信息'!$C:$G,4,0),"-")</f>
        <v>0</v>
      </c>
      <c r="H181" s="61">
        <f>SUMIFS('采购录入（明细）'!$J:$J,'采购录入（明细）'!$E:$E,C181,'采购录入（明细）'!$C:$C,"&gt;="&amp;$E$4,'采购录入（明细）'!$C:$C,"&lt;="&amp;$H$4)</f>
        <v>0</v>
      </c>
      <c r="I181" s="46"/>
    </row>
    <row r="182" customHeight="1" spans="2:9">
      <c r="B182" s="59">
        <v>176</v>
      </c>
      <c r="C182" s="60" t="str">
        <f>IF('基础-办公用品信息'!C178="","-",'基础-办公用品信息'!C178)</f>
        <v>304不锈钢大漏勺</v>
      </c>
      <c r="D182" s="60" t="str">
        <f>IF('基础-办公用品信息'!D178="","-",'基础-办公用品信息'!D178)</f>
        <v>个</v>
      </c>
      <c r="E182" s="60" t="str">
        <f>IF('基础-办公用品信息'!E178="","-",'基础-办公用品信息'!E178)</f>
        <v>-</v>
      </c>
      <c r="F182" s="60">
        <f>SUMIFS('采购录入（明细）'!$I:$I,'采购录入（明细）'!$E:$E,C182,'采购录入（明细）'!$C:$C,"&gt;="&amp;$E$4,'采购录入（明细）'!$C:$C,"&lt;="&amp;$H$4)</f>
        <v>0</v>
      </c>
      <c r="G182" s="60">
        <f>IFERROR(VLOOKUP(C182,'基础-办公用品信息'!$C:$G,4,0),"-")</f>
        <v>0</v>
      </c>
      <c r="H182" s="61">
        <f>SUMIFS('采购录入（明细）'!$J:$J,'采购录入（明细）'!$E:$E,C182,'采购录入（明细）'!$C:$C,"&gt;="&amp;$E$4,'采购录入（明细）'!$C:$C,"&lt;="&amp;$H$4)</f>
        <v>0</v>
      </c>
      <c r="I182" s="46"/>
    </row>
    <row r="183" customHeight="1" spans="2:9">
      <c r="B183" s="59">
        <v>177</v>
      </c>
      <c r="C183" s="60" t="str">
        <f>IF('基础-办公用品信息'!C179="","-",'基础-办公用品信息'!C179)</f>
        <v>304不锈钢沥油格</v>
      </c>
      <c r="D183" s="60" t="str">
        <f>IF('基础-办公用品信息'!D179="","-",'基础-办公用品信息'!D179)</f>
        <v>个</v>
      </c>
      <c r="E183" s="60" t="str">
        <f>IF('基础-办公用品信息'!E179="","-",'基础-办公用品信息'!E179)</f>
        <v>-</v>
      </c>
      <c r="F183" s="60">
        <f>SUMIFS('采购录入（明细）'!$I:$I,'采购录入（明细）'!$E:$E,C183,'采购录入（明细）'!$C:$C,"&gt;="&amp;$E$4,'采购录入（明细）'!$C:$C,"&lt;="&amp;$H$4)</f>
        <v>0</v>
      </c>
      <c r="G183" s="60">
        <f>IFERROR(VLOOKUP(C183,'基础-办公用品信息'!$C:$G,4,0),"-")</f>
        <v>0</v>
      </c>
      <c r="H183" s="61">
        <f>SUMIFS('采购录入（明细）'!$J:$J,'采购录入（明细）'!$E:$E,C183,'采购录入（明细）'!$C:$C,"&gt;="&amp;$E$4,'采购录入（明细）'!$C:$C,"&lt;="&amp;$H$4)</f>
        <v>0</v>
      </c>
      <c r="I183" s="46"/>
    </row>
    <row r="184" customHeight="1" spans="2:9">
      <c r="B184" s="59">
        <v>178</v>
      </c>
      <c r="C184" s="60" t="str">
        <f>IF('基础-办公用品信息'!C180="","-",'基础-办公用品信息'!C180)</f>
        <v>6两钢板汤勺</v>
      </c>
      <c r="D184" s="60" t="str">
        <f>IF('基础-办公用品信息'!D180="","-",'基础-办公用品信息'!D180)</f>
        <v>个</v>
      </c>
      <c r="E184" s="60" t="str">
        <f>IF('基础-办公用品信息'!E180="","-",'基础-办公用品信息'!E180)</f>
        <v>-</v>
      </c>
      <c r="F184" s="60">
        <f>SUMIFS('采购录入（明细）'!$I:$I,'采购录入（明细）'!$E:$E,C184,'采购录入（明细）'!$C:$C,"&gt;="&amp;$E$4,'采购录入（明细）'!$C:$C,"&lt;="&amp;$H$4)</f>
        <v>0</v>
      </c>
      <c r="G184" s="60">
        <f>IFERROR(VLOOKUP(C184,'基础-办公用品信息'!$C:$G,4,0),"-")</f>
        <v>0</v>
      </c>
      <c r="H184" s="61">
        <f>SUMIFS('采购录入（明细）'!$J:$J,'采购录入（明细）'!$E:$E,C184,'采购录入（明细）'!$C:$C,"&gt;="&amp;$E$4,'采购录入（明细）'!$C:$C,"&lt;="&amp;$H$4)</f>
        <v>0</v>
      </c>
      <c r="I184" s="46"/>
    </row>
    <row r="185" customHeight="1" spans="2:9">
      <c r="B185" s="59">
        <v>179</v>
      </c>
      <c r="C185" s="60" t="str">
        <f>IF('基础-办公用品信息'!C181="","-",'基础-办公用品信息'!C181)</f>
        <v>锅盖</v>
      </c>
      <c r="D185" s="60" t="str">
        <f>IF('基础-办公用品信息'!D181="","-",'基础-办公用品信息'!D181)</f>
        <v>个</v>
      </c>
      <c r="E185" s="60" t="str">
        <f>IF('基础-办公用品信息'!E181="","-",'基础-办公用品信息'!E181)</f>
        <v>-</v>
      </c>
      <c r="F185" s="60">
        <f>SUMIFS('采购录入（明细）'!$I:$I,'采购录入（明细）'!$E:$E,C185,'采购录入（明细）'!$C:$C,"&gt;="&amp;$E$4,'采购录入（明细）'!$C:$C,"&lt;="&amp;$H$4)</f>
        <v>0</v>
      </c>
      <c r="G185" s="60">
        <f>IFERROR(VLOOKUP(C185,'基础-办公用品信息'!$C:$G,4,0),"-")</f>
        <v>0</v>
      </c>
      <c r="H185" s="61">
        <f>SUMIFS('采购录入（明细）'!$J:$J,'采购录入（明细）'!$E:$E,C185,'采购录入（明细）'!$C:$C,"&gt;="&amp;$E$4,'采购录入（明细）'!$C:$C,"&lt;="&amp;$H$4)</f>
        <v>0</v>
      </c>
      <c r="I185" s="46"/>
    </row>
    <row r="186" customHeight="1" spans="2:9">
      <c r="B186" s="59">
        <v>180</v>
      </c>
      <c r="C186" s="60" t="str">
        <f>IF('基础-办公用品信息'!C182="","-",'基础-办公用品信息'!C182)</f>
        <v>锅盖</v>
      </c>
      <c r="D186" s="60" t="str">
        <f>IF('基础-办公用品信息'!D182="","-",'基础-办公用品信息'!D182)</f>
        <v>个</v>
      </c>
      <c r="E186" s="60" t="str">
        <f>IF('基础-办公用品信息'!E182="","-",'基础-办公用品信息'!E182)</f>
        <v>-</v>
      </c>
      <c r="F186" s="60">
        <f>SUMIFS('采购录入（明细）'!$I:$I,'采购录入（明细）'!$E:$E,C186,'采购录入（明细）'!$C:$C,"&gt;="&amp;$E$4,'采购录入（明细）'!$C:$C,"&lt;="&amp;$H$4)</f>
        <v>0</v>
      </c>
      <c r="G186" s="60">
        <f>IFERROR(VLOOKUP(C186,'基础-办公用品信息'!$C:$G,4,0),"-")</f>
        <v>0</v>
      </c>
      <c r="H186" s="61">
        <f>SUMIFS('采购录入（明细）'!$J:$J,'采购录入（明细）'!$E:$E,C186,'采购录入（明细）'!$C:$C,"&gt;="&amp;$E$4,'采购录入（明细）'!$C:$C,"&lt;="&amp;$H$4)</f>
        <v>0</v>
      </c>
      <c r="I186" s="46"/>
    </row>
    <row r="187" customHeight="1" spans="2:9">
      <c r="B187" s="59">
        <v>181</v>
      </c>
      <c r="C187" s="60" t="str">
        <f>IF('基础-办公用品信息'!C183="","-",'基础-办公用品信息'!C183)</f>
        <v>剪刀</v>
      </c>
      <c r="D187" s="60" t="str">
        <f>IF('基础-办公用品信息'!D183="","-",'基础-办公用品信息'!D183)</f>
        <v>个</v>
      </c>
      <c r="E187" s="60" t="str">
        <f>IF('基础-办公用品信息'!E183="","-",'基础-办公用品信息'!E183)</f>
        <v>-</v>
      </c>
      <c r="F187" s="60">
        <f>SUMIFS('采购录入（明细）'!$I:$I,'采购录入（明细）'!$E:$E,C187,'采购录入（明细）'!$C:$C,"&gt;="&amp;$E$4,'采购录入（明细）'!$C:$C,"&lt;="&amp;$H$4)</f>
        <v>0</v>
      </c>
      <c r="G187" s="60">
        <f>IFERROR(VLOOKUP(C187,'基础-办公用品信息'!$C:$G,4,0),"-")</f>
        <v>3.5</v>
      </c>
      <c r="H187" s="61">
        <f>SUMIFS('采购录入（明细）'!$J:$J,'采购录入（明细）'!$E:$E,C187,'采购录入（明细）'!$C:$C,"&gt;="&amp;$E$4,'采购录入（明细）'!$C:$C,"&lt;="&amp;$H$4)</f>
        <v>0</v>
      </c>
      <c r="I187" s="46"/>
    </row>
    <row r="188" customHeight="1" spans="2:9">
      <c r="B188" s="59">
        <v>182</v>
      </c>
      <c r="C188" s="60" t="str">
        <f>IF('基础-办公用品信息'!C184="","-",'基础-办公用品信息'!C184)</f>
        <v>菜刀</v>
      </c>
      <c r="D188" s="60" t="str">
        <f>IF('基础-办公用品信息'!D184="","-",'基础-办公用品信息'!D184)</f>
        <v>个</v>
      </c>
      <c r="E188" s="60" t="str">
        <f>IF('基础-办公用品信息'!E184="","-",'基础-办公用品信息'!E184)</f>
        <v>-</v>
      </c>
      <c r="F188" s="60">
        <f>SUMIFS('采购录入（明细）'!$I:$I,'采购录入（明细）'!$E:$E,C188,'采购录入（明细）'!$C:$C,"&gt;="&amp;$E$4,'采购录入（明细）'!$C:$C,"&lt;="&amp;$H$4)</f>
        <v>0</v>
      </c>
      <c r="G188" s="60">
        <f>IFERROR(VLOOKUP(C188,'基础-办公用品信息'!$C:$G,4,0),"-")</f>
        <v>0</v>
      </c>
      <c r="H188" s="61">
        <f>SUMIFS('采购录入（明细）'!$J:$J,'采购录入（明细）'!$E:$E,C188,'采购录入（明细）'!$C:$C,"&gt;="&amp;$E$4,'采购录入（明细）'!$C:$C,"&lt;="&amp;$H$4)</f>
        <v>0</v>
      </c>
      <c r="I188" s="46"/>
    </row>
    <row r="189" customHeight="1" spans="2:9">
      <c r="B189" s="59">
        <v>183</v>
      </c>
      <c r="C189" s="60" t="str">
        <f>IF('基础-办公用品信息'!C185="","-",'基础-办公用品信息'!C185)</f>
        <v>高压锅排气阀</v>
      </c>
      <c r="D189" s="60" t="str">
        <f>IF('基础-办公用品信息'!D185="","-",'基础-办公用品信息'!D185)</f>
        <v>个</v>
      </c>
      <c r="E189" s="60" t="str">
        <f>IF('基础-办公用品信息'!E185="","-",'基础-办公用品信息'!E185)</f>
        <v>-</v>
      </c>
      <c r="F189" s="60">
        <f>SUMIFS('采购录入（明细）'!$I:$I,'采购录入（明细）'!$E:$E,C189,'采购录入（明细）'!$C:$C,"&gt;="&amp;$E$4,'采购录入（明细）'!$C:$C,"&lt;="&amp;$H$4)</f>
        <v>0</v>
      </c>
      <c r="G189" s="60">
        <f>IFERROR(VLOOKUP(C189,'基础-办公用品信息'!$C:$G,4,0),"-")</f>
        <v>0</v>
      </c>
      <c r="H189" s="61">
        <f>SUMIFS('采购录入（明细）'!$J:$J,'采购录入（明细）'!$E:$E,C189,'采购录入（明细）'!$C:$C,"&gt;="&amp;$E$4,'采购录入（明细）'!$C:$C,"&lt;="&amp;$H$4)</f>
        <v>0</v>
      </c>
      <c r="I189" s="46"/>
    </row>
    <row r="190" customHeight="1" spans="2:9">
      <c r="B190" s="59">
        <v>184</v>
      </c>
      <c r="C190" s="60" t="str">
        <f>IF('基础-办公用品信息'!C186="","-",'基础-办公用品信息'!C186)</f>
        <v>砍骨刀</v>
      </c>
      <c r="D190" s="60" t="str">
        <f>IF('基础-办公用品信息'!D186="","-",'基础-办公用品信息'!D186)</f>
        <v>个</v>
      </c>
      <c r="E190" s="60" t="str">
        <f>IF('基础-办公用品信息'!E186="","-",'基础-办公用品信息'!E186)</f>
        <v>-</v>
      </c>
      <c r="F190" s="60">
        <f>SUMIFS('采购录入（明细）'!$I:$I,'采购录入（明细）'!$E:$E,C190,'采购录入（明细）'!$C:$C,"&gt;="&amp;$E$4,'采购录入（明细）'!$C:$C,"&lt;="&amp;$H$4)</f>
        <v>0</v>
      </c>
      <c r="G190" s="60">
        <f>IFERROR(VLOOKUP(C190,'基础-办公用品信息'!$C:$G,4,0),"-")</f>
        <v>0</v>
      </c>
      <c r="H190" s="61">
        <f>SUMIFS('采购录入（明细）'!$J:$J,'采购录入（明细）'!$E:$E,C190,'采购录入（明细）'!$C:$C,"&gt;="&amp;$E$4,'采购录入（明细）'!$C:$C,"&lt;="&amp;$H$4)</f>
        <v>0</v>
      </c>
      <c r="I190" s="46"/>
    </row>
    <row r="191" customHeight="1" spans="2:9">
      <c r="B191" s="59">
        <v>185</v>
      </c>
      <c r="C191" s="60" t="str">
        <f>IF('基础-办公用品信息'!C187="","-",'基础-办公用品信息'!C187)</f>
        <v>高档汤勺</v>
      </c>
      <c r="D191" s="60" t="str">
        <f>IF('基础-办公用品信息'!D187="","-",'基础-办公用品信息'!D187)</f>
        <v>个</v>
      </c>
      <c r="E191" s="60" t="str">
        <f>IF('基础-办公用品信息'!E187="","-",'基础-办公用品信息'!E187)</f>
        <v>-</v>
      </c>
      <c r="F191" s="60">
        <f>SUMIFS('采购录入（明细）'!$I:$I,'采购录入（明细）'!$E:$E,C191,'采购录入（明细）'!$C:$C,"&gt;="&amp;$E$4,'采购录入（明细）'!$C:$C,"&lt;="&amp;$H$4)</f>
        <v>0</v>
      </c>
      <c r="G191" s="60">
        <f>IFERROR(VLOOKUP(C191,'基础-办公用品信息'!$C:$G,4,0),"-")</f>
        <v>0</v>
      </c>
      <c r="H191" s="61">
        <f>SUMIFS('采购录入（明细）'!$J:$J,'采购录入（明细）'!$E:$E,C191,'采购录入（明细）'!$C:$C,"&gt;="&amp;$E$4,'采购录入（明细）'!$C:$C,"&lt;="&amp;$H$4)</f>
        <v>0</v>
      </c>
      <c r="I191" s="46"/>
    </row>
    <row r="192" customHeight="1" spans="2:9">
      <c r="B192" s="59">
        <v>186</v>
      </c>
      <c r="C192" s="60" t="str">
        <f>IF('基础-办公用品信息'!C188="","-",'基础-办公用品信息'!C188)</f>
        <v>擀面杖</v>
      </c>
      <c r="D192" s="60" t="str">
        <f>IF('基础-办公用品信息'!D188="","-",'基础-办公用品信息'!D188)</f>
        <v>个</v>
      </c>
      <c r="E192" s="60" t="str">
        <f>IF('基础-办公用品信息'!E188="","-",'基础-办公用品信息'!E188)</f>
        <v>-</v>
      </c>
      <c r="F192" s="60">
        <f>SUMIFS('采购录入（明细）'!$I:$I,'采购录入（明细）'!$E:$E,C192,'采购录入（明细）'!$C:$C,"&gt;="&amp;$E$4,'采购录入（明细）'!$C:$C,"&lt;="&amp;$H$4)</f>
        <v>0</v>
      </c>
      <c r="G192" s="60">
        <f>IFERROR(VLOOKUP(C192,'基础-办公用品信息'!$C:$G,4,0),"-")</f>
        <v>0</v>
      </c>
      <c r="H192" s="61">
        <f>SUMIFS('采购录入（明细）'!$J:$J,'采购录入（明细）'!$E:$E,C192,'采购录入（明细）'!$C:$C,"&gt;="&amp;$E$4,'采购录入（明细）'!$C:$C,"&lt;="&amp;$H$4)</f>
        <v>0</v>
      </c>
      <c r="I192" s="46"/>
    </row>
    <row r="193" customHeight="1" spans="2:9">
      <c r="B193" s="59">
        <v>187</v>
      </c>
      <c r="C193" s="60" t="str">
        <f>IF('基础-办公用品信息'!C189="","-",'基础-办公用品信息'!C189)</f>
        <v>大号不锈钢网格篮</v>
      </c>
      <c r="D193" s="60" t="str">
        <f>IF('基础-办公用品信息'!D189="","-",'基础-办公用品信息'!D189)</f>
        <v>个</v>
      </c>
      <c r="E193" s="60" t="str">
        <f>IF('基础-办公用品信息'!E189="","-",'基础-办公用品信息'!E189)</f>
        <v>-</v>
      </c>
      <c r="F193" s="60">
        <f>SUMIFS('采购录入（明细）'!$I:$I,'采购录入（明细）'!$E:$E,C193,'采购录入（明细）'!$C:$C,"&gt;="&amp;$E$4,'采购录入（明细）'!$C:$C,"&lt;="&amp;$H$4)</f>
        <v>0</v>
      </c>
      <c r="G193" s="60">
        <f>IFERROR(VLOOKUP(C193,'基础-办公用品信息'!$C:$G,4,0),"-")</f>
        <v>0</v>
      </c>
      <c r="H193" s="61">
        <f>SUMIFS('采购录入（明细）'!$J:$J,'采购录入（明细）'!$E:$E,C193,'采购录入（明细）'!$C:$C,"&gt;="&amp;$E$4,'采购录入（明细）'!$C:$C,"&lt;="&amp;$H$4)</f>
        <v>0</v>
      </c>
      <c r="I193" s="46"/>
    </row>
    <row r="194" customHeight="1" spans="2:9">
      <c r="B194" s="59">
        <v>188</v>
      </c>
      <c r="C194" s="60" t="str">
        <f>IF('基础-办公用品信息'!C190="","-",'基础-办公用品信息'!C190)</f>
        <v>中号不锈钢网格篮</v>
      </c>
      <c r="D194" s="60" t="str">
        <f>IF('基础-办公用品信息'!D190="","-",'基础-办公用品信息'!D190)</f>
        <v>个</v>
      </c>
      <c r="E194" s="60" t="str">
        <f>IF('基础-办公用品信息'!E190="","-",'基础-办公用品信息'!E190)</f>
        <v>-</v>
      </c>
      <c r="F194" s="60">
        <f>SUMIFS('采购录入（明细）'!$I:$I,'采购录入（明细）'!$E:$E,C194,'采购录入（明细）'!$C:$C,"&gt;="&amp;$E$4,'采购录入（明细）'!$C:$C,"&lt;="&amp;$H$4)</f>
        <v>0</v>
      </c>
      <c r="G194" s="60">
        <f>IFERROR(VLOOKUP(C194,'基础-办公用品信息'!$C:$G,4,0),"-")</f>
        <v>0</v>
      </c>
      <c r="H194" s="61">
        <f>SUMIFS('采购录入（明细）'!$J:$J,'采购录入（明细）'!$E:$E,C194,'采购录入（明细）'!$C:$C,"&gt;="&amp;$E$4,'采购录入（明细）'!$C:$C,"&lt;="&amp;$H$4)</f>
        <v>0</v>
      </c>
      <c r="I194" s="46"/>
    </row>
    <row r="195" customHeight="1" spans="2:9">
      <c r="B195" s="59">
        <v>189</v>
      </c>
      <c r="C195" s="60" t="str">
        <f>IF('基础-办公用品信息'!C191="","-",'基础-办公用品信息'!C191)</f>
        <v>304不锈钢份数盒</v>
      </c>
      <c r="D195" s="60" t="str">
        <f>IF('基础-办公用品信息'!D191="","-",'基础-办公用品信息'!D191)</f>
        <v>个</v>
      </c>
      <c r="E195" s="60" t="str">
        <f>IF('基础-办公用品信息'!E191="","-",'基础-办公用品信息'!E191)</f>
        <v>-</v>
      </c>
      <c r="F195" s="60">
        <f>SUMIFS('采购录入（明细）'!$I:$I,'采购录入（明细）'!$E:$E,C195,'采购录入（明细）'!$C:$C,"&gt;="&amp;$E$4,'采购录入（明细）'!$C:$C,"&lt;="&amp;$H$4)</f>
        <v>0</v>
      </c>
      <c r="G195" s="60">
        <f>IFERROR(VLOOKUP(C195,'基础-办公用品信息'!$C:$G,4,0),"-")</f>
        <v>0</v>
      </c>
      <c r="H195" s="61">
        <f>SUMIFS('采购录入（明细）'!$J:$J,'采购录入（明细）'!$E:$E,C195,'采购录入（明细）'!$C:$C,"&gt;="&amp;$E$4,'采购录入（明细）'!$C:$C,"&lt;="&amp;$H$4)</f>
        <v>0</v>
      </c>
      <c r="I195" s="46"/>
    </row>
    <row r="196" customHeight="1" spans="2:9">
      <c r="B196" s="59">
        <v>190</v>
      </c>
      <c r="C196" s="60" t="str">
        <f>IF('基础-办公用品信息'!C192="","-",'基础-办公用品信息'!C192)</f>
        <v>304不锈钢份数盒盖</v>
      </c>
      <c r="D196" s="60" t="str">
        <f>IF('基础-办公用品信息'!D192="","-",'基础-办公用品信息'!D192)</f>
        <v>个</v>
      </c>
      <c r="E196" s="60" t="str">
        <f>IF('基础-办公用品信息'!E192="","-",'基础-办公用品信息'!E192)</f>
        <v>-</v>
      </c>
      <c r="F196" s="60">
        <f>SUMIFS('采购录入（明细）'!$I:$I,'采购录入（明细）'!$E:$E,C196,'采购录入（明细）'!$C:$C,"&gt;="&amp;$E$4,'采购录入（明细）'!$C:$C,"&lt;="&amp;$H$4)</f>
        <v>0</v>
      </c>
      <c r="G196" s="60">
        <f>IFERROR(VLOOKUP(C196,'基础-办公用品信息'!$C:$G,4,0),"-")</f>
        <v>0</v>
      </c>
      <c r="H196" s="61">
        <f>SUMIFS('采购录入（明细）'!$J:$J,'采购录入（明细）'!$E:$E,C196,'采购录入（明细）'!$C:$C,"&gt;="&amp;$E$4,'采购录入（明细）'!$C:$C,"&lt;="&amp;$H$4)</f>
        <v>0</v>
      </c>
      <c r="I196" s="46"/>
    </row>
    <row r="197" customHeight="1" spans="2:9">
      <c r="B197" s="59">
        <v>191</v>
      </c>
      <c r="C197" s="60" t="str">
        <f>IF('基础-办公用品信息'!C193="","-",'基础-办公用品信息'!C193)</f>
        <v>格来德烧水壶</v>
      </c>
      <c r="D197" s="60" t="str">
        <f>IF('基础-办公用品信息'!D193="","-",'基础-办公用品信息'!D193)</f>
        <v>个</v>
      </c>
      <c r="E197" s="60" t="str">
        <f>IF('基础-办公用品信息'!E193="","-",'基础-办公用品信息'!E193)</f>
        <v>-</v>
      </c>
      <c r="F197" s="60">
        <f>SUMIFS('采购录入（明细）'!$I:$I,'采购录入（明细）'!$E:$E,C197,'采购录入（明细）'!$C:$C,"&gt;="&amp;$E$4,'采购录入（明细）'!$C:$C,"&lt;="&amp;$H$4)</f>
        <v>0</v>
      </c>
      <c r="G197" s="60">
        <f>IFERROR(VLOOKUP(C197,'基础-办公用品信息'!$C:$G,4,0),"-")</f>
        <v>0</v>
      </c>
      <c r="H197" s="61">
        <f>SUMIFS('采购录入（明细）'!$J:$J,'采购录入（明细）'!$E:$E,C197,'采购录入（明细）'!$C:$C,"&gt;="&amp;$E$4,'采购录入（明细）'!$C:$C,"&lt;="&amp;$H$4)</f>
        <v>0</v>
      </c>
      <c r="I197" s="46"/>
    </row>
    <row r="198" customHeight="1" spans="2:9">
      <c r="B198" s="59">
        <v>192</v>
      </c>
      <c r="C198" s="60" t="str">
        <f>IF('基础-办公用品信息'!C194="","-",'基础-办公用品信息'!C194)</f>
        <v>304欧式保温壶</v>
      </c>
      <c r="D198" s="60" t="str">
        <f>IF('基础-办公用品信息'!D194="","-",'基础-办公用品信息'!D194)</f>
        <v>个</v>
      </c>
      <c r="E198" s="60" t="str">
        <f>IF('基础-办公用品信息'!E194="","-",'基础-办公用品信息'!E194)</f>
        <v>-</v>
      </c>
      <c r="F198" s="60">
        <f>SUMIFS('采购录入（明细）'!$I:$I,'采购录入（明细）'!$E:$E,C198,'采购录入（明细）'!$C:$C,"&gt;="&amp;$E$4,'采购录入（明细）'!$C:$C,"&lt;="&amp;$H$4)</f>
        <v>0</v>
      </c>
      <c r="G198" s="60">
        <f>IFERROR(VLOOKUP(C198,'基础-办公用品信息'!$C:$G,4,0),"-")</f>
        <v>0</v>
      </c>
      <c r="H198" s="61">
        <f>SUMIFS('采购录入（明细）'!$J:$J,'采购录入（明细）'!$E:$E,C198,'采购录入（明细）'!$C:$C,"&gt;="&amp;$E$4,'采购录入（明细）'!$C:$C,"&lt;="&amp;$H$4)</f>
        <v>0</v>
      </c>
      <c r="I198" s="46"/>
    </row>
    <row r="199" customHeight="1" spans="2:9">
      <c r="B199" s="59">
        <v>193</v>
      </c>
      <c r="C199" s="60" t="str">
        <f>IF('基础-办公用品信息'!C195="","-",'基础-办公用品信息'!C195)</f>
        <v>高压锅橡皮圈</v>
      </c>
      <c r="D199" s="60" t="str">
        <f>IF('基础-办公用品信息'!D195="","-",'基础-办公用品信息'!D195)</f>
        <v>个</v>
      </c>
      <c r="E199" s="60" t="str">
        <f>IF('基础-办公用品信息'!E195="","-",'基础-办公用品信息'!E195)</f>
        <v>-</v>
      </c>
      <c r="F199" s="60">
        <f>SUMIFS('采购录入（明细）'!$I:$I,'采购录入（明细）'!$E:$E,C199,'采购录入（明细）'!$C:$C,"&gt;="&amp;$E$4,'采购录入（明细）'!$C:$C,"&lt;="&amp;$H$4)</f>
        <v>0</v>
      </c>
      <c r="G199" s="60">
        <f>IFERROR(VLOOKUP(C199,'基础-办公用品信息'!$C:$G,4,0),"-")</f>
        <v>0</v>
      </c>
      <c r="H199" s="61">
        <f>SUMIFS('采购录入（明细）'!$J:$J,'采购录入（明细）'!$E:$E,C199,'采购录入（明细）'!$C:$C,"&gt;="&amp;$E$4,'采购录入（明细）'!$C:$C,"&lt;="&amp;$H$4)</f>
        <v>0</v>
      </c>
      <c r="I199" s="46"/>
    </row>
    <row r="200" customHeight="1" spans="2:9">
      <c r="B200" s="59">
        <v>194</v>
      </c>
      <c r="C200" s="60" t="str">
        <f>IF('基础-办公用品信息'!C196="","-",'基础-办公用品信息'!C196)</f>
        <v>高压锅橡皮圈</v>
      </c>
      <c r="D200" s="60" t="str">
        <f>IF('基础-办公用品信息'!D196="","-",'基础-办公用品信息'!D196)</f>
        <v>个</v>
      </c>
      <c r="E200" s="60" t="str">
        <f>IF('基础-办公用品信息'!E196="","-",'基础-办公用品信息'!E196)</f>
        <v>-</v>
      </c>
      <c r="F200" s="60">
        <f>SUMIFS('采购录入（明细）'!$I:$I,'采购录入（明细）'!$E:$E,C200,'采购录入（明细）'!$C:$C,"&gt;="&amp;$E$4,'采购录入（明细）'!$C:$C,"&lt;="&amp;$H$4)</f>
        <v>0</v>
      </c>
      <c r="G200" s="60">
        <f>IFERROR(VLOOKUP(C200,'基础-办公用品信息'!$C:$G,4,0),"-")</f>
        <v>0</v>
      </c>
      <c r="H200" s="61">
        <f>SUMIFS('采购录入（明细）'!$J:$J,'采购录入（明细）'!$E:$E,C200,'采购录入（明细）'!$C:$C,"&gt;="&amp;$E$4,'采购录入（明细）'!$C:$C,"&lt;="&amp;$H$4)</f>
        <v>0</v>
      </c>
      <c r="I200" s="46"/>
    </row>
    <row r="201" customHeight="1" spans="2:9">
      <c r="B201" s="59">
        <v>195</v>
      </c>
      <c r="C201" s="60" t="str">
        <f>IF('基础-办公用品信息'!C197="","-",'基础-办公用品信息'!C197)</f>
        <v>高压锅排气阀</v>
      </c>
      <c r="D201" s="60" t="str">
        <f>IF('基础-办公用品信息'!D197="","-",'基础-办公用品信息'!D197)</f>
        <v>个</v>
      </c>
      <c r="E201" s="60" t="str">
        <f>IF('基础-办公用品信息'!E197="","-",'基础-办公用品信息'!E197)</f>
        <v>-</v>
      </c>
      <c r="F201" s="60">
        <f>SUMIFS('采购录入（明细）'!$I:$I,'采购录入（明细）'!$E:$E,C201,'采购录入（明细）'!$C:$C,"&gt;="&amp;$E$4,'采购录入（明细）'!$C:$C,"&lt;="&amp;$H$4)</f>
        <v>0</v>
      </c>
      <c r="G201" s="60">
        <f>IFERROR(VLOOKUP(C201,'基础-办公用品信息'!$C:$G,4,0),"-")</f>
        <v>0</v>
      </c>
      <c r="H201" s="61">
        <f>SUMIFS('采购录入（明细）'!$J:$J,'采购录入（明细）'!$E:$E,C201,'采购录入（明细）'!$C:$C,"&gt;="&amp;$E$4,'采购录入（明细）'!$C:$C,"&lt;="&amp;$H$4)</f>
        <v>0</v>
      </c>
      <c r="I201" s="46"/>
    </row>
    <row r="202" customHeight="1" spans="2:9">
      <c r="B202" s="59">
        <v>196</v>
      </c>
      <c r="C202" s="60" t="str">
        <f>IF('基础-办公用品信息'!C198="","-",'基础-办公用品信息'!C198)</f>
        <v>不锈钢方形冲孔盘</v>
      </c>
      <c r="D202" s="60" t="str">
        <f>IF('基础-办公用品信息'!D198="","-",'基础-办公用品信息'!D198)</f>
        <v>个</v>
      </c>
      <c r="E202" s="60" t="str">
        <f>IF('基础-办公用品信息'!E174="","-",'基础-办公用品信息'!E174)</f>
        <v>-</v>
      </c>
      <c r="F202" s="60">
        <f>SUMIFS('采购录入（明细）'!$I:$I,'采购录入（明细）'!$E:$E,C202,'采购录入（明细）'!$C:$C,"&gt;="&amp;$E$4,'采购录入（明细）'!$C:$C,"&lt;="&amp;$H$4)</f>
        <v>0</v>
      </c>
      <c r="G202" s="60">
        <f>IFERROR(VLOOKUP(C202,'基础-办公用品信息'!$C:$G,4,0),"-")</f>
        <v>0</v>
      </c>
      <c r="H202" s="61">
        <f>SUMIFS('采购录入（明细）'!$J:$J,'采购录入（明细）'!$E:$E,C202,'采购录入（明细）'!$C:$C,"&gt;="&amp;$E$4,'采购录入（明细）'!$C:$C,"&lt;="&amp;$H$4)</f>
        <v>0</v>
      </c>
      <c r="I202" s="46"/>
    </row>
    <row r="203" customHeight="1" spans="2:9">
      <c r="B203" s="59">
        <v>197</v>
      </c>
      <c r="C203" s="60" t="str">
        <f>IF('基础-办公用品信息'!C199="","-",'基础-办公用品信息'!C199)</f>
        <v>白色塑料切菜板</v>
      </c>
      <c r="D203" s="60" t="str">
        <f>IF('基础-办公用品信息'!D175="","-",'基础-办公用品信息'!D175)</f>
        <v>个</v>
      </c>
      <c r="E203" s="60" t="str">
        <f>IF('基础-办公用品信息'!E175="","-",'基础-办公用品信息'!E175)</f>
        <v>-</v>
      </c>
      <c r="F203" s="60">
        <f>SUMIFS('采购录入（明细）'!$I:$I,'采购录入（明细）'!$E:$E,C203,'采购录入（明细）'!$C:$C,"&gt;="&amp;$E$4,'采购录入（明细）'!$C:$C,"&lt;="&amp;$H$4)</f>
        <v>0</v>
      </c>
      <c r="G203" s="60">
        <f>IFERROR(VLOOKUP(C203,'基础-办公用品信息'!$C:$G,4,0),"-")</f>
        <v>0</v>
      </c>
      <c r="H203" s="61">
        <f>SUMIFS('采购录入（明细）'!$J:$J,'采购录入（明细）'!$E:$E,C203,'采购录入（明细）'!$C:$C,"&gt;="&amp;$E$4,'采购录入（明细）'!$C:$C,"&lt;="&amp;$H$4)</f>
        <v>0</v>
      </c>
      <c r="I203" s="46"/>
    </row>
    <row r="204" customHeight="1" spans="2:9">
      <c r="B204" s="59">
        <v>198</v>
      </c>
      <c r="C204" s="60" t="str">
        <f>IF('基础-办公用品信息'!C200="","-",'基础-办公用品信息'!C200)</f>
        <v>不锈钢打水桶</v>
      </c>
      <c r="D204" s="60" t="str">
        <f>IF('基础-办公用品信息'!D176="","-",'基础-办公用品信息'!D176)</f>
        <v>个</v>
      </c>
      <c r="E204" s="60" t="str">
        <f>IF('基础-办公用品信息'!E176="","-",'基础-办公用品信息'!E176)</f>
        <v>-</v>
      </c>
      <c r="F204" s="60">
        <f>SUMIFS('采购录入（明细）'!$I:$I,'采购录入（明细）'!$E:$E,C204,'采购录入（明细）'!$C:$C,"&gt;="&amp;$E$4,'采购录入（明细）'!$C:$C,"&lt;="&amp;$H$4)</f>
        <v>0</v>
      </c>
      <c r="G204" s="60">
        <f>IFERROR(VLOOKUP(C204,'基础-办公用品信息'!$C:$G,4,0),"-")</f>
        <v>0</v>
      </c>
      <c r="H204" s="61">
        <f>SUMIFS('采购录入（明细）'!$J:$J,'采购录入（明细）'!$E:$E,C204,'采购录入（明细）'!$C:$C,"&gt;="&amp;$E$4,'采购录入（明细）'!$C:$C,"&lt;="&amp;$H$4)</f>
        <v>0</v>
      </c>
      <c r="I204" s="46"/>
    </row>
    <row r="205" customHeight="1" spans="2:9">
      <c r="B205" s="59">
        <v>199</v>
      </c>
      <c r="C205" s="60" t="str">
        <f>IF('基础-办公用品信息'!C201="","-",'基础-办公用品信息'!C201)</f>
        <v>白色圆桶</v>
      </c>
      <c r="D205" s="60" t="str">
        <f>IF('基础-办公用品信息'!D177="","-",'基础-办公用品信息'!D177)</f>
        <v>个</v>
      </c>
      <c r="E205" s="60" t="str">
        <f>IF('基础-办公用品信息'!E177="","-",'基础-办公用品信息'!E177)</f>
        <v>-</v>
      </c>
      <c r="F205" s="60">
        <f>SUMIFS('采购录入（明细）'!$I:$I,'采购录入（明细）'!$E:$E,C205,'采购录入（明细）'!$C:$C,"&gt;="&amp;$E$4,'采购录入（明细）'!$C:$C,"&lt;="&amp;$H$4)</f>
        <v>0</v>
      </c>
      <c r="G205" s="60">
        <f>IFERROR(VLOOKUP(C205,'基础-办公用品信息'!$C:$G,4,0),"-")</f>
        <v>0</v>
      </c>
      <c r="H205" s="61">
        <f>SUMIFS('采购录入（明细）'!$J:$J,'采购录入（明细）'!$E:$E,C205,'采购录入（明细）'!$C:$C,"&gt;="&amp;$E$4,'采购录入（明细）'!$C:$C,"&lt;="&amp;$H$4)</f>
        <v>0</v>
      </c>
      <c r="I205" s="46"/>
    </row>
    <row r="206" customHeight="1" spans="2:9">
      <c r="B206" s="59">
        <v>200</v>
      </c>
      <c r="C206" s="60" t="str">
        <f>IF('基础-办公用品信息'!C202="","-",'基础-办公用品信息'!C202)</f>
        <v>白色圆桶</v>
      </c>
      <c r="D206" s="60" t="str">
        <f>IF('基础-办公用品信息'!D178="","-",'基础-办公用品信息'!D178)</f>
        <v>个</v>
      </c>
      <c r="E206" s="60" t="str">
        <f>IF('基础-办公用品信息'!E178="","-",'基础-办公用品信息'!E178)</f>
        <v>-</v>
      </c>
      <c r="F206" s="60">
        <f>SUMIFS('采购录入（明细）'!$I:$I,'采购录入（明细）'!$E:$E,C206,'采购录入（明细）'!$C:$C,"&gt;="&amp;$E$4,'采购录入（明细）'!$C:$C,"&lt;="&amp;$H$4)</f>
        <v>0</v>
      </c>
      <c r="G206" s="60">
        <f>IFERROR(VLOOKUP(C206,'基础-办公用品信息'!$C:$G,4,0),"-")</f>
        <v>0</v>
      </c>
      <c r="H206" s="61">
        <f>SUMIFS('采购录入（明细）'!$J:$J,'采购录入（明细）'!$E:$E,C206,'采购录入（明细）'!$C:$C,"&gt;="&amp;$E$4,'采购录入（明细）'!$C:$C,"&lt;="&amp;$H$4)</f>
        <v>0</v>
      </c>
      <c r="I206" s="46"/>
    </row>
    <row r="207" customHeight="1" spans="2:9">
      <c r="C207" s="60" t="str">
        <f>IF('基础-办公用品信息'!C203="","-",'基础-办公用品信息'!C203)</f>
        <v>地面刮水器</v>
      </c>
      <c r="F207" s="60">
        <f>SUMIFS('采购录入（明细）'!$I:$I,'采购录入（明细）'!$E:$E,C207,'采购录入（明细）'!$C:$C,"&gt;="&amp;$E$4,'采购录入（明细）'!$C:$C,"&lt;="&amp;$H$4)</f>
        <v>0</v>
      </c>
    </row>
    <row r="208" customHeight="1" spans="2:9">
      <c r="F208" s="60">
        <f>SUMIFS('采购录入（明细）'!$I:$I,'采购录入（明细）'!$E:$E,C208,'采购录入（明细）'!$C:$C,"&gt;="&amp;$E$4,'采购录入（明细）'!$C:$C,"&lt;="&amp;$H$4)</f>
        <v>0</v>
      </c>
    </row>
    <row r="209" customHeight="1" spans="6:6">
      <c r="F209" s="60">
        <f>SUMIFS('采购录入（明细）'!$I:$I,'采购录入（明细）'!$E:$E,C209,'采购录入（明细）'!$C:$C,"&gt;="&amp;$E$4,'采购录入（明细）'!$C:$C,"&lt;="&amp;$H$4)</f>
        <v>0</v>
      </c>
    </row>
    <row r="210" customHeight="1" spans="6:6">
      <c r="F210" s="60">
        <f>SUMIFS('采购录入（明细）'!$I:$I,'采购录入（明细）'!$E:$E,C210,'采购录入（明细）'!$C:$C,"&gt;="&amp;$E$4,'采购录入（明细）'!$C:$C,"&lt;="&amp;$H$4)</f>
        <v>0</v>
      </c>
    </row>
    <row r="211" customHeight="1" spans="6:6">
      <c r="F211" s="60">
        <f>SUMIFS('采购录入（明细）'!$I:$I,'采购录入（明细）'!$E:$E,C211,'采购录入（明细）'!$C:$C,"&gt;="&amp;$E$4,'采购录入（明细）'!$C:$C,"&lt;="&amp;$H$4)</f>
        <v>0</v>
      </c>
    </row>
    <row r="212" customHeight="1" spans="6:6">
      <c r="F212" s="60">
        <f>SUMIFS('采购录入（明细）'!$I:$I,'采购录入（明细）'!$E:$E,C212,'采购录入（明细）'!$C:$C,"&gt;="&amp;$E$4,'采购录入（明细）'!$C:$C,"&lt;="&amp;$H$4)</f>
        <v>0</v>
      </c>
    </row>
    <row r="213" customHeight="1" spans="6:6">
      <c r="F213" s="60">
        <f>SUMIFS('采购录入（明细）'!$I:$I,'采购录入（明细）'!$E:$E,C213,'采购录入（明细）'!$C:$C,"&gt;="&amp;$E$4,'采购录入（明细）'!$C:$C,"&lt;="&amp;$H$4)</f>
        <v>0</v>
      </c>
    </row>
    <row r="214" customHeight="1" spans="6:6">
      <c r="F214" s="60">
        <f>SUMIFS('采购录入（明细）'!$I:$I,'采购录入（明细）'!$E:$E,C214,'采购录入（明细）'!$C:$C,"&gt;="&amp;$E$4,'采购录入（明细）'!$C:$C,"&lt;="&amp;$H$4)</f>
        <v>0</v>
      </c>
    </row>
    <row r="215" customHeight="1" spans="6:6">
      <c r="F215" s="60">
        <f>SUMIFS('采购录入（明细）'!$I:$I,'采购录入（明细）'!$E:$E,C215,'采购录入（明细）'!$C:$C,"&gt;="&amp;$E$4,'采购录入（明细）'!$C:$C,"&lt;="&amp;$H$4)</f>
        <v>0</v>
      </c>
    </row>
  </sheetData>
  <mergeCells count="3">
    <mergeCell ref="B2:H2"/>
    <mergeCell ref="B4:C4"/>
    <mergeCell ref="F4:G4"/>
  </mergeCells>
  <dataValidations count="2">
    <dataValidation type="date" operator="greaterThan" allowBlank="1" showInputMessage="1" showErrorMessage="1" sqref="E4">
      <formula1>5397</formula1>
    </dataValidation>
    <dataValidation type="whole" operator="greaterThan" allowBlank="1" showInputMessage="1" showErrorMessage="1" sqref="H4">
      <formula1>E4</formula1>
    </dataValidation>
  </dataValidations>
  <pageMargins left="0.699305555555556" right="0.699305555555556" top="0.75" bottom="0.75" header="0.3" footer="0.3"/>
  <pageSetup paperSize="9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0"/>
  <sheetViews>
    <sheetView showGridLines="0" zoomScale="60" zoomScaleNormal="60" workbookViewId="0">
      <selection activeCell="A1" sqref="A1"/>
    </sheetView>
  </sheetViews>
  <sheetFormatPr defaultColWidth="9" defaultRowHeight="14"/>
  <cols>
    <col min="1" max="1" width="3.85454545454545" style="9" customWidth="1"/>
    <col min="2" max="2" width="4.14545454545455" style="9" customWidth="1"/>
    <col min="3" max="5" width="10.4272727272727" style="9" customWidth="1"/>
    <col min="6" max="6" width="12.8545454545455" style="9" customWidth="1"/>
    <col min="7" max="8" width="10.4272727272727" style="9" customWidth="1"/>
    <col min="9" max="9" width="6.14545454545455" style="9" customWidth="1"/>
    <col min="10" max="14" width="10.4272727272727" style="9" customWidth="1"/>
    <col min="15" max="15" width="6.14545454545455" style="9" customWidth="1"/>
    <col min="16" max="18" width="12.8545454545455" style="9" customWidth="1"/>
    <col min="19" max="20" width="10.4272727272727" style="9" customWidth="1"/>
    <col min="21" max="21" width="5.28181818181818" style="9" customWidth="1"/>
    <col min="22" max="23" width="10.4272727272727" style="9" customWidth="1"/>
    <col min="24" max="16384" width="9" style="9"/>
  </cols>
  <sheetData>
    <row r="1" ht="32.1" customHeight="1" spans="1:23">
      <c r="A1" s="10"/>
      <c r="B1" s="10"/>
      <c r="C1" s="10"/>
      <c r="D1" s="10"/>
      <c r="E1" s="10"/>
      <c r="F1" s="10"/>
      <c r="G1" s="11"/>
      <c r="H1" s="11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2"/>
    </row>
    <row r="2" ht="27.5" spans="1:23">
      <c r="A2" s="10"/>
      <c r="B2" s="10"/>
      <c r="C2" s="13" t="s">
        <v>395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0"/>
      <c r="V2" s="10"/>
      <c r="W2" s="12"/>
    </row>
    <row r="3" ht="27.5" spans="1:23">
      <c r="A3" s="10"/>
      <c r="B3" s="10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0"/>
      <c r="V3" s="10"/>
      <c r="W3" s="12"/>
    </row>
    <row r="4" ht="48" customHeight="1" spans="1:23">
      <c r="A4" s="10"/>
      <c r="B4" s="10"/>
      <c r="C4" s="10"/>
      <c r="D4" s="10"/>
      <c r="E4" s="10"/>
      <c r="F4" s="10"/>
      <c r="G4" s="11"/>
      <c r="H4" s="11"/>
      <c r="I4" s="10"/>
      <c r="J4" s="10"/>
      <c r="K4" s="10"/>
      <c r="L4" s="10"/>
      <c r="M4" s="10"/>
      <c r="N4" s="10"/>
      <c r="O4" s="10"/>
      <c r="P4" s="14"/>
      <c r="Q4" s="14"/>
      <c r="R4" s="14"/>
      <c r="S4" s="10"/>
      <c r="T4" s="10"/>
      <c r="U4" s="10"/>
      <c r="V4" s="10"/>
      <c r="W4" s="12"/>
    </row>
    <row r="5" ht="28.25" spans="1:23">
      <c r="A5" s="10"/>
      <c r="B5" s="10"/>
      <c r="C5" s="15"/>
      <c r="D5" s="16" t="s">
        <v>396</v>
      </c>
      <c r="E5" s="17"/>
      <c r="F5" s="17"/>
      <c r="G5" s="17"/>
      <c r="H5" s="17"/>
      <c r="I5" s="11"/>
      <c r="J5" s="16" t="s">
        <v>397</v>
      </c>
      <c r="K5" s="18"/>
      <c r="L5" s="18"/>
      <c r="M5" s="17"/>
      <c r="N5" s="17"/>
      <c r="O5" s="10"/>
      <c r="P5" s="16" t="s">
        <v>398</v>
      </c>
      <c r="Q5" s="18"/>
      <c r="R5" s="18"/>
      <c r="S5" s="17"/>
      <c r="T5" s="17"/>
      <c r="U5" s="10"/>
      <c r="V5" s="10"/>
      <c r="W5" s="12"/>
    </row>
    <row r="6" ht="27.5" spans="1:23">
      <c r="A6" s="10"/>
      <c r="B6" s="10"/>
      <c r="C6" s="19"/>
      <c r="D6" s="16"/>
      <c r="E6" s="17"/>
      <c r="F6" s="17"/>
      <c r="G6" s="20" t="s">
        <v>399</v>
      </c>
      <c r="H6" s="21">
        <f ca="1">TODAY()-E11</f>
        <v>2944</v>
      </c>
      <c r="I6" s="11"/>
      <c r="J6" s="16"/>
      <c r="K6" s="18"/>
      <c r="L6" s="18"/>
      <c r="M6" s="20" t="s">
        <v>399</v>
      </c>
      <c r="N6" s="21">
        <f ca="1">TODAY()-K11</f>
        <v>2822</v>
      </c>
      <c r="O6" s="10"/>
      <c r="P6" s="16"/>
      <c r="Q6" s="18"/>
      <c r="R6" s="18"/>
      <c r="S6" s="20" t="s">
        <v>399</v>
      </c>
      <c r="T6" s="21">
        <f ca="1">TODAY()-Q11</f>
        <v>2761</v>
      </c>
      <c r="U6" s="10"/>
      <c r="V6" s="10"/>
      <c r="W6" s="12"/>
    </row>
    <row r="7" ht="27.5" spans="1:23">
      <c r="A7" s="10"/>
      <c r="B7" s="10"/>
      <c r="C7" s="19"/>
      <c r="D7" s="16"/>
      <c r="E7" s="22"/>
      <c r="F7" s="22"/>
      <c r="G7" s="23"/>
      <c r="H7" s="24"/>
      <c r="I7" s="11"/>
      <c r="J7" s="16"/>
      <c r="K7" s="25"/>
      <c r="L7" s="25"/>
      <c r="M7" s="23"/>
      <c r="N7" s="24"/>
      <c r="O7" s="10"/>
      <c r="P7" s="16"/>
      <c r="Q7" s="25"/>
      <c r="R7" s="25"/>
      <c r="S7" s="23"/>
      <c r="T7" s="24"/>
      <c r="U7" s="10"/>
      <c r="V7" s="10"/>
      <c r="W7" s="12"/>
    </row>
    <row r="8" ht="27.5" spans="1:23">
      <c r="A8" s="10"/>
      <c r="B8" s="10"/>
      <c r="C8" s="19"/>
      <c r="D8" s="16"/>
      <c r="E8" s="26" t="s">
        <v>400</v>
      </c>
      <c r="F8" s="26"/>
      <c r="G8" s="20" t="s">
        <v>401</v>
      </c>
      <c r="H8" s="27">
        <f ca="1">(TODAY()-E11)/7</f>
        <v>420.571428571429</v>
      </c>
      <c r="I8" s="11"/>
      <c r="J8" s="16"/>
      <c r="K8" s="26" t="s">
        <v>402</v>
      </c>
      <c r="L8" s="26"/>
      <c r="M8" s="20" t="s">
        <v>401</v>
      </c>
      <c r="N8" s="27">
        <f ca="1">(TODAY()-K11)/7</f>
        <v>403.142857142857</v>
      </c>
      <c r="O8" s="10"/>
      <c r="P8" s="16"/>
      <c r="Q8" s="26" t="s">
        <v>402</v>
      </c>
      <c r="R8" s="26"/>
      <c r="S8" s="20" t="s">
        <v>401</v>
      </c>
      <c r="T8" s="27">
        <f ca="1">(TODAY()-Q11)/7</f>
        <v>394.428571428571</v>
      </c>
      <c r="U8" s="10"/>
      <c r="V8" s="10"/>
      <c r="W8" s="12"/>
    </row>
    <row r="9" ht="27.5" spans="1:23">
      <c r="A9" s="10"/>
      <c r="B9" s="10"/>
      <c r="C9" s="19"/>
      <c r="D9" s="16"/>
      <c r="E9" s="22"/>
      <c r="F9" s="22"/>
      <c r="G9" s="23"/>
      <c r="H9" s="24"/>
      <c r="I9" s="11"/>
      <c r="J9" s="16"/>
      <c r="K9" s="25"/>
      <c r="L9" s="25"/>
      <c r="M9" s="23"/>
      <c r="N9" s="24"/>
      <c r="O9" s="10"/>
      <c r="P9" s="16"/>
      <c r="Q9" s="25"/>
      <c r="R9" s="25"/>
      <c r="S9" s="23"/>
      <c r="T9" s="24"/>
      <c r="U9" s="10"/>
      <c r="V9" s="10"/>
      <c r="W9" s="12"/>
    </row>
    <row r="10" ht="27.5" spans="1:23">
      <c r="A10" s="10"/>
      <c r="B10" s="10"/>
      <c r="C10" s="19"/>
      <c r="D10" s="16"/>
      <c r="E10" s="28"/>
      <c r="F10" s="28"/>
      <c r="G10" s="20" t="s">
        <v>403</v>
      </c>
      <c r="H10" s="27">
        <f ca="1">(TODAY()-E11)/30.43</f>
        <v>96.7466316135393</v>
      </c>
      <c r="I10" s="11"/>
      <c r="J10" s="16"/>
      <c r="K10" s="25"/>
      <c r="L10" s="25"/>
      <c r="M10" s="20" t="s">
        <v>403</v>
      </c>
      <c r="N10" s="27">
        <f ca="1">(TODAY()-K11)/30.43</f>
        <v>92.7374301675978</v>
      </c>
      <c r="O10" s="10"/>
      <c r="P10" s="16"/>
      <c r="Q10" s="25"/>
      <c r="R10" s="25"/>
      <c r="S10" s="20" t="s">
        <v>403</v>
      </c>
      <c r="T10" s="27">
        <f ca="1">(TODAY()-Q11)/30.43</f>
        <v>90.732829444627</v>
      </c>
      <c r="U10" s="10"/>
      <c r="V10" s="10"/>
      <c r="W10" s="12"/>
    </row>
    <row r="11" ht="27.5" spans="1:23">
      <c r="A11" s="10"/>
      <c r="B11" s="10"/>
      <c r="C11" s="19"/>
      <c r="D11" s="16"/>
      <c r="E11" s="29">
        <v>43207</v>
      </c>
      <c r="F11" s="30"/>
      <c r="G11" s="31"/>
      <c r="H11" s="32"/>
      <c r="I11" s="11"/>
      <c r="J11" s="16"/>
      <c r="K11" s="29">
        <v>43329</v>
      </c>
      <c r="L11" s="30"/>
      <c r="M11" s="31"/>
      <c r="N11" s="32"/>
      <c r="O11" s="10"/>
      <c r="P11" s="16"/>
      <c r="Q11" s="29">
        <v>43390</v>
      </c>
      <c r="R11" s="30"/>
      <c r="S11" s="31"/>
      <c r="T11" s="32"/>
      <c r="U11" s="10"/>
      <c r="V11" s="10"/>
      <c r="W11" s="12"/>
    </row>
    <row r="12" ht="27.5" spans="1:23">
      <c r="A12" s="10"/>
      <c r="B12" s="10"/>
      <c r="C12" s="19"/>
      <c r="D12" s="16"/>
      <c r="E12" s="22"/>
      <c r="F12" s="22"/>
      <c r="G12" s="20" t="s">
        <v>404</v>
      </c>
      <c r="H12" s="27">
        <f ca="1">(TODAY()-E11)/365.25</f>
        <v>8.06023271731691</v>
      </c>
      <c r="I12" s="11"/>
      <c r="J12" s="16"/>
      <c r="K12" s="25"/>
      <c r="L12" s="25"/>
      <c r="M12" s="20" t="s">
        <v>404</v>
      </c>
      <c r="N12" s="27">
        <f ca="1">(TODAY()-K11)/365.25</f>
        <v>7.72621492128679</v>
      </c>
      <c r="O12" s="10"/>
      <c r="P12" s="16"/>
      <c r="Q12" s="25"/>
      <c r="R12" s="25"/>
      <c r="S12" s="20" t="s">
        <v>404</v>
      </c>
      <c r="T12" s="27">
        <f ca="1">(TODAY()-Q11)/365.25</f>
        <v>7.55920602327173</v>
      </c>
      <c r="U12" s="10"/>
      <c r="V12" s="10"/>
      <c r="W12" s="12"/>
    </row>
    <row r="13" ht="28.25" spans="1:23">
      <c r="A13" s="10"/>
      <c r="B13" s="10"/>
      <c r="C13" s="33"/>
      <c r="D13" s="16"/>
      <c r="E13" s="34"/>
      <c r="F13" s="34"/>
      <c r="G13" s="34"/>
      <c r="H13" s="34"/>
      <c r="I13" s="11"/>
      <c r="J13" s="16"/>
      <c r="K13" s="35"/>
      <c r="L13" s="35"/>
      <c r="M13" s="34"/>
      <c r="N13" s="34"/>
      <c r="O13" s="10"/>
      <c r="P13" s="16"/>
      <c r="Q13" s="35"/>
      <c r="R13" s="35"/>
      <c r="S13" s="34"/>
      <c r="T13" s="34"/>
      <c r="U13" s="10"/>
      <c r="V13" s="10"/>
      <c r="W13" s="12"/>
    </row>
    <row r="14" ht="17.1" customHeight="1" spans="1:23">
      <c r="A14" s="10"/>
      <c r="B14" s="10"/>
      <c r="C14" s="36"/>
      <c r="D14" s="3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2"/>
    </row>
    <row r="15" ht="17.1" customHeight="1" spans="1:23">
      <c r="A15" s="10"/>
      <c r="B15" s="10"/>
      <c r="C15" s="36"/>
      <c r="D15" s="3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2"/>
    </row>
    <row r="16" ht="17.1" customHeight="1" spans="1:2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2"/>
    </row>
    <row r="17" ht="28.25" spans="1:23">
      <c r="A17" s="10"/>
      <c r="B17" s="10"/>
      <c r="C17" s="14"/>
      <c r="D17" s="14"/>
      <c r="E17" s="14"/>
      <c r="F17" s="14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2"/>
    </row>
    <row r="18" ht="28.25" spans="1:23">
      <c r="A18" s="10"/>
      <c r="B18" s="10"/>
      <c r="C18" s="38" t="s">
        <v>405</v>
      </c>
      <c r="D18" s="16" t="s">
        <v>406</v>
      </c>
      <c r="E18" s="18"/>
      <c r="F18" s="18"/>
      <c r="G18" s="17"/>
      <c r="H18" s="17"/>
      <c r="I18" s="11"/>
      <c r="J18" s="16" t="s">
        <v>397</v>
      </c>
      <c r="K18" s="18"/>
      <c r="L18" s="18"/>
      <c r="M18" s="17"/>
      <c r="N18" s="17"/>
      <c r="O18" s="10"/>
      <c r="P18" s="16" t="s">
        <v>398</v>
      </c>
      <c r="Q18" s="18"/>
      <c r="R18" s="18"/>
      <c r="S18" s="17"/>
      <c r="T18" s="17"/>
      <c r="U18" s="10"/>
      <c r="V18" s="10"/>
      <c r="W18" s="12"/>
    </row>
    <row r="19" ht="27.5" spans="1:23">
      <c r="A19" s="10"/>
      <c r="B19" s="10"/>
      <c r="C19" s="39"/>
      <c r="D19" s="16"/>
      <c r="E19" s="18"/>
      <c r="F19" s="18"/>
      <c r="G19" s="20" t="s">
        <v>399</v>
      </c>
      <c r="H19" s="21">
        <f ca="1">E24-TODAY()</f>
        <v>-2535</v>
      </c>
      <c r="I19" s="11"/>
      <c r="J19" s="16"/>
      <c r="K19" s="18"/>
      <c r="L19" s="18"/>
      <c r="M19" s="20" t="s">
        <v>399</v>
      </c>
      <c r="N19" s="21">
        <f ca="1">K24-TODAY()</f>
        <v>-2505</v>
      </c>
      <c r="O19" s="10"/>
      <c r="P19" s="16"/>
      <c r="Q19" s="18"/>
      <c r="R19" s="18"/>
      <c r="S19" s="20" t="s">
        <v>399</v>
      </c>
      <c r="T19" s="21">
        <f ca="1">Q24-TODAY()</f>
        <v>-2474</v>
      </c>
      <c r="U19" s="10"/>
      <c r="V19" s="10"/>
      <c r="W19" s="12"/>
    </row>
    <row r="20" ht="27.5" spans="1:23">
      <c r="A20" s="10"/>
      <c r="B20" s="10"/>
      <c r="C20" s="39"/>
      <c r="D20" s="16"/>
      <c r="E20" s="25"/>
      <c r="F20" s="25"/>
      <c r="G20" s="23"/>
      <c r="H20" s="24"/>
      <c r="I20" s="11"/>
      <c r="J20" s="16"/>
      <c r="K20" s="25"/>
      <c r="L20" s="25"/>
      <c r="M20" s="23"/>
      <c r="N20" s="24"/>
      <c r="O20" s="10"/>
      <c r="P20" s="16"/>
      <c r="Q20" s="25"/>
      <c r="R20" s="25"/>
      <c r="S20" s="23"/>
      <c r="T20" s="24"/>
      <c r="U20" s="10"/>
      <c r="V20" s="10"/>
      <c r="W20" s="12"/>
    </row>
    <row r="21" ht="27.5" spans="1:23">
      <c r="A21" s="10"/>
      <c r="B21" s="10"/>
      <c r="C21" s="39"/>
      <c r="D21" s="16"/>
      <c r="E21" s="26" t="s">
        <v>407</v>
      </c>
      <c r="F21" s="26"/>
      <c r="G21" s="20" t="s">
        <v>401</v>
      </c>
      <c r="H21" s="27">
        <f ca="1">(E24-TODAY())/7</f>
        <v>-362.142857142857</v>
      </c>
      <c r="I21" s="11"/>
      <c r="J21" s="16"/>
      <c r="K21" s="26" t="s">
        <v>408</v>
      </c>
      <c r="L21" s="26"/>
      <c r="M21" s="20" t="s">
        <v>401</v>
      </c>
      <c r="N21" s="27">
        <f ca="1">(K24-TODAY())/7</f>
        <v>-357.857142857143</v>
      </c>
      <c r="O21" s="10"/>
      <c r="P21" s="16"/>
      <c r="Q21" s="26" t="s">
        <v>408</v>
      </c>
      <c r="R21" s="26"/>
      <c r="S21" s="20" t="s">
        <v>401</v>
      </c>
      <c r="T21" s="27">
        <f ca="1">(Q24-TODAY())/7</f>
        <v>-353.428571428571</v>
      </c>
      <c r="U21" s="10"/>
      <c r="V21" s="10"/>
      <c r="W21" s="12"/>
    </row>
    <row r="22" ht="27.5" spans="1:23">
      <c r="A22" s="10"/>
      <c r="B22" s="10"/>
      <c r="C22" s="39"/>
      <c r="D22" s="16"/>
      <c r="E22" s="25"/>
      <c r="F22" s="25"/>
      <c r="G22" s="23"/>
      <c r="H22" s="24"/>
      <c r="I22" s="11"/>
      <c r="J22" s="16"/>
      <c r="K22" s="25"/>
      <c r="L22" s="25"/>
      <c r="M22" s="23"/>
      <c r="N22" s="24"/>
      <c r="O22" s="10"/>
      <c r="P22" s="16"/>
      <c r="Q22" s="25"/>
      <c r="R22" s="25"/>
      <c r="S22" s="23"/>
      <c r="T22" s="24"/>
      <c r="U22" s="10"/>
      <c r="V22" s="10"/>
      <c r="W22" s="12"/>
    </row>
    <row r="23" ht="27.5" spans="1:23">
      <c r="A23" s="10"/>
      <c r="B23" s="10"/>
      <c r="C23" s="39"/>
      <c r="D23" s="16"/>
      <c r="E23" s="25"/>
      <c r="F23" s="25"/>
      <c r="G23" s="20" t="s">
        <v>403</v>
      </c>
      <c r="H23" s="27">
        <f ca="1">(E24-TODAY())/30.43</f>
        <v>-83.305948077555</v>
      </c>
      <c r="I23" s="11"/>
      <c r="J23" s="16"/>
      <c r="K23" s="25"/>
      <c r="L23" s="25"/>
      <c r="M23" s="20" t="s">
        <v>403</v>
      </c>
      <c r="N23" s="27">
        <f ca="1">(K24-TODAY())/30.43</f>
        <v>-82.3200788695366</v>
      </c>
      <c r="O23" s="10"/>
      <c r="P23" s="16"/>
      <c r="Q23" s="25"/>
      <c r="R23" s="25"/>
      <c r="S23" s="20" t="s">
        <v>403</v>
      </c>
      <c r="T23" s="27">
        <f ca="1">(Q24-TODAY())/30.43</f>
        <v>-81.3013473545843</v>
      </c>
      <c r="U23" s="10"/>
      <c r="V23" s="10"/>
      <c r="W23" s="12"/>
    </row>
    <row r="24" ht="27.5" spans="1:23">
      <c r="A24" s="10"/>
      <c r="B24" s="10"/>
      <c r="C24" s="39"/>
      <c r="D24" s="16"/>
      <c r="E24" s="29">
        <v>43616</v>
      </c>
      <c r="F24" s="30"/>
      <c r="G24" s="31"/>
      <c r="H24" s="32"/>
      <c r="I24" s="11"/>
      <c r="J24" s="16"/>
      <c r="K24" s="29">
        <v>43646</v>
      </c>
      <c r="L24" s="30"/>
      <c r="M24" s="31"/>
      <c r="N24" s="32"/>
      <c r="O24" s="10"/>
      <c r="P24" s="16"/>
      <c r="Q24" s="29">
        <v>43677</v>
      </c>
      <c r="R24" s="30"/>
      <c r="S24" s="31"/>
      <c r="T24" s="32"/>
      <c r="U24" s="10"/>
      <c r="V24" s="10"/>
      <c r="W24" s="12"/>
    </row>
    <row r="25" ht="27.5" spans="1:23">
      <c r="A25" s="10"/>
      <c r="B25" s="10"/>
      <c r="C25" s="39"/>
      <c r="D25" s="16"/>
      <c r="E25" s="25"/>
      <c r="F25" s="25"/>
      <c r="G25" s="20" t="s">
        <v>404</v>
      </c>
      <c r="H25" s="27">
        <f ca="1">(E24-TODAY())/365.25</f>
        <v>-6.94045174537988</v>
      </c>
      <c r="I25" s="11"/>
      <c r="J25" s="16"/>
      <c r="K25" s="25"/>
      <c r="L25" s="25"/>
      <c r="M25" s="20" t="s">
        <v>404</v>
      </c>
      <c r="N25" s="27">
        <f ca="1">(K24-TODAY())/365.25</f>
        <v>-6.85831622176591</v>
      </c>
      <c r="O25" s="10"/>
      <c r="P25" s="16"/>
      <c r="Q25" s="25"/>
      <c r="R25" s="25"/>
      <c r="S25" s="20" t="s">
        <v>404</v>
      </c>
      <c r="T25" s="27">
        <f ca="1">(Q24-TODAY())/365.25</f>
        <v>-6.77344284736482</v>
      </c>
      <c r="U25" s="10"/>
      <c r="V25" s="10"/>
      <c r="W25" s="12"/>
    </row>
    <row r="26" ht="28.25" spans="1:23">
      <c r="A26" s="10"/>
      <c r="B26" s="10"/>
      <c r="C26" s="40"/>
      <c r="D26" s="16"/>
      <c r="E26" s="35"/>
      <c r="F26" s="35"/>
      <c r="G26" s="34"/>
      <c r="H26" s="34"/>
      <c r="I26" s="11"/>
      <c r="J26" s="16"/>
      <c r="K26" s="35"/>
      <c r="L26" s="35"/>
      <c r="M26" s="34"/>
      <c r="N26" s="34"/>
      <c r="O26" s="10"/>
      <c r="P26" s="16"/>
      <c r="Q26" s="35"/>
      <c r="R26" s="35"/>
      <c r="S26" s="34"/>
      <c r="T26" s="34"/>
      <c r="U26" s="10"/>
      <c r="V26" s="10"/>
      <c r="W26" s="12"/>
    </row>
    <row r="27" ht="28.25" spans="1:2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2"/>
    </row>
    <row r="28" ht="27.5" spans="1:2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2"/>
    </row>
    <row r="29" ht="27.5" spans="1:2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2"/>
    </row>
    <row r="30" ht="27.5" spans="1:2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2"/>
    </row>
    <row r="31" ht="27.5" spans="1:2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2"/>
    </row>
    <row r="32" ht="25.5" spans="1:23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ht="25.5" spans="1:23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ht="25.5" spans="1:23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ht="25.5" spans="1:23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ht="25.5" spans="1:23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ht="25.5" spans="1:23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 ht="25.5" spans="1:23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ht="25.5" spans="1:23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</row>
    <row r="40" ht="25.5" spans="1:23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ht="25.5" spans="1:23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ht="25.5" spans="1:23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ht="25.5" spans="1:2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</row>
    <row r="44" ht="25.5" spans="1:23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ht="25.5" spans="1:23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</row>
    <row r="46" ht="25.5" spans="1:23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</row>
    <row r="47" ht="25.5" spans="1:23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</row>
    <row r="48" ht="25.5" spans="1:23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</row>
    <row r="49" ht="25.5" spans="1:23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</row>
    <row r="50" ht="25.5" spans="1:23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</row>
  </sheetData>
  <mergeCells count="21">
    <mergeCell ref="E8:F8"/>
    <mergeCell ref="K8:L8"/>
    <mergeCell ref="Q8:R8"/>
    <mergeCell ref="E11:F11"/>
    <mergeCell ref="K11:L11"/>
    <mergeCell ref="Q11:R11"/>
    <mergeCell ref="E21:F21"/>
    <mergeCell ref="K21:L21"/>
    <mergeCell ref="Q21:R21"/>
    <mergeCell ref="E24:F24"/>
    <mergeCell ref="K24:L24"/>
    <mergeCell ref="Q24:R24"/>
    <mergeCell ref="C5:C13"/>
    <mergeCell ref="C18:C26"/>
    <mergeCell ref="D5:D13"/>
    <mergeCell ref="D18:D26"/>
    <mergeCell ref="J5:J13"/>
    <mergeCell ref="J18:J26"/>
    <mergeCell ref="P5:P13"/>
    <mergeCell ref="P18:P26"/>
    <mergeCell ref="C2:T3"/>
  </mergeCells>
  <pageMargins left="0.75" right="0.75" top="1" bottom="1" header="0.511805555555556" footer="0.511805555555556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30" customHeight="1"/>
  <cols>
    <col min="1" max="1" width="9.28181818181818"/>
  </cols>
  <sheetData>
    <row r="1" customHeight="1" spans="1:11">
      <c r="A1" s="2"/>
      <c r="B1" s="3"/>
      <c r="C1" s="3"/>
      <c r="D1" s="3"/>
      <c r="E1" s="3"/>
      <c r="F1" s="3"/>
      <c r="G1" s="3"/>
      <c r="H1" s="3"/>
      <c r="I1" s="3"/>
      <c r="J1" s="3"/>
    </row>
    <row r="2" customHeight="1" spans="1:11">
      <c r="A2" s="4">
        <v>1</v>
      </c>
      <c r="B2" s="5" t="s">
        <v>409</v>
      </c>
    </row>
    <row r="3" customHeight="1" spans="1:11">
      <c r="A3" s="6"/>
      <c r="B3" s="7" t="s">
        <v>410</v>
      </c>
      <c r="C3" s="7"/>
      <c r="D3" s="7"/>
      <c r="E3" s="7"/>
      <c r="F3" s="7"/>
      <c r="G3" s="7"/>
      <c r="H3" s="7"/>
      <c r="I3" s="7"/>
      <c r="J3" s="7"/>
      <c r="K3" s="8"/>
    </row>
    <row r="4" customHeight="1" spans="1:11">
      <c r="A4" s="6"/>
      <c r="B4" s="7" t="s">
        <v>411</v>
      </c>
      <c r="C4" s="7"/>
      <c r="D4" s="7"/>
      <c r="E4" s="7"/>
      <c r="F4" s="7"/>
      <c r="G4" s="7"/>
      <c r="H4" s="7"/>
      <c r="I4" s="7"/>
      <c r="J4" s="7"/>
      <c r="K4" s="8"/>
    </row>
    <row r="5" customHeight="1" spans="1:11">
      <c r="A5" s="6"/>
      <c r="B5" s="7" t="s">
        <v>412</v>
      </c>
      <c r="C5" s="7"/>
      <c r="D5" s="7"/>
      <c r="E5" s="7"/>
      <c r="F5" s="7"/>
      <c r="G5" s="7"/>
      <c r="H5" s="7"/>
      <c r="I5" s="7"/>
      <c r="J5" s="7"/>
      <c r="K5" s="8"/>
    </row>
    <row r="6" customHeight="1" spans="1:11">
      <c r="A6" s="4">
        <v>2</v>
      </c>
      <c r="B6" s="5" t="s">
        <v>413</v>
      </c>
    </row>
    <row r="7" customHeight="1" spans="1:11">
      <c r="A7" s="7"/>
      <c r="B7" s="7" t="s">
        <v>414</v>
      </c>
      <c r="C7" s="7"/>
      <c r="D7" s="7"/>
      <c r="E7" s="7"/>
      <c r="F7" s="7"/>
      <c r="G7" s="7"/>
      <c r="H7" s="7"/>
      <c r="I7" s="7"/>
    </row>
    <row r="8" customHeight="1" spans="1:11">
      <c r="A8" s="7"/>
      <c r="B8" s="7" t="s">
        <v>415</v>
      </c>
      <c r="C8" s="7"/>
      <c r="D8" s="7"/>
      <c r="E8" s="7"/>
      <c r="F8" s="7"/>
      <c r="G8" s="7"/>
      <c r="H8" s="7"/>
      <c r="I8" s="7"/>
    </row>
    <row r="9" customHeight="1" spans="1:11">
      <c r="A9" s="7"/>
      <c r="B9" s="7" t="s">
        <v>416</v>
      </c>
      <c r="C9" s="7"/>
      <c r="D9" s="7"/>
      <c r="E9" s="7"/>
      <c r="F9" s="7"/>
      <c r="G9" s="7"/>
      <c r="H9" s="7"/>
      <c r="I9" s="7"/>
    </row>
    <row r="10" customHeight="1" spans="1:11">
      <c r="A10" s="7"/>
      <c r="B10" s="7" t="s">
        <v>417</v>
      </c>
      <c r="C10" s="7"/>
      <c r="D10" s="7"/>
      <c r="E10" s="7"/>
      <c r="F10" s="7"/>
      <c r="G10" s="7"/>
      <c r="H10" s="7"/>
      <c r="I10" s="7"/>
    </row>
    <row r="11" customHeight="1" spans="1:11">
      <c r="A11" s="7"/>
      <c r="B11" s="7"/>
      <c r="C11" s="7"/>
      <c r="D11" s="7"/>
      <c r="E11" s="7"/>
      <c r="F11" s="7"/>
      <c r="G11" s="7"/>
      <c r="H11" s="7"/>
      <c r="I11" s="7"/>
    </row>
  </sheetData>
  <sheetProtection selectLockedCells="1" selectUnlockedCells="1"/>
  <pageMargins left="0.75" right="0.75" top="1" bottom="1" header="0.511805555555556" footer="0.511805555555556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"/>
  <sheetViews>
    <sheetView workbookViewId="0">
      <selection activeCell="F36" sqref="F36"/>
    </sheetView>
  </sheetViews>
  <sheetFormatPr defaultColWidth="9" defaultRowHeight="14" outlineLevelRow="2" outlineLevelCol="1"/>
  <cols>
    <col min="2" max="2" width="55.8545454545455" customWidth="1"/>
  </cols>
  <sheetData>
    <row r="3" ht="42" customHeight="1" spans="2:2">
      <c r="B3" s="1" t="s">
        <v>418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5" master="" otherUserPermission="visible"/>
  <rangeList sheetStid="4" master="" otherUserPermission="visible"/>
  <rangeList sheetStid="5" master="" otherUserPermission="visible"/>
  <rangeList sheetStid="7" master="" otherUserPermission="visible"/>
  <rangeList sheetStid="6" master="" otherUserPermission="visible"/>
  <rangeList sheetStid="14" master="" otherUserPermission="visible"/>
  <rangeList sheetStid="13" master="" otherUserPermission="visible"/>
  <rangeList sheetStid="12" master="" otherUserPermission="visible"/>
  <rangeList sheetStid="9" master="" otherUserPermission="visible"/>
  <rangeList sheetStid="8" master="" otherUserPermission="visible"/>
  <rangeList sheetStid="10" master="" otherUserPermission="visible"/>
  <rangeList sheetStid="11" master="" otherUserPermission="visible"/>
  <rangeList sheetStid="16" master="" otherUserPermission="visible"/>
  <rangeList sheetStid="18" master="" otherUserPermission="visible"/>
  <rangeList sheetStid="17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主页 </vt:lpstr>
      <vt:lpstr>基础-办公用品信息</vt:lpstr>
      <vt:lpstr>基础-领用人及部门</vt:lpstr>
      <vt:lpstr>采购录入（明细）</vt:lpstr>
      <vt:lpstr>领用录入（明细）</vt:lpstr>
      <vt:lpstr>部门领取汇总</vt:lpstr>
      <vt:lpstr>个人领取明细</vt:lpstr>
      <vt:lpstr>领用汇总查询</vt:lpstr>
      <vt:lpstr>期初库存</vt:lpstr>
      <vt:lpstr>当前库存</vt:lpstr>
      <vt:lpstr>紧急采购明细</vt:lpstr>
      <vt:lpstr>采购数量和金额汇总查询</vt:lpstr>
      <vt:lpstr>事件计时</vt:lpstr>
      <vt:lpstr>帮助中心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一只猫</cp:lastModifiedBy>
  <dcterms:created xsi:type="dcterms:W3CDTF">2017-10-10T02:07:00Z</dcterms:created>
  <dcterms:modified xsi:type="dcterms:W3CDTF">2026-05-09T06:19:37Z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A538C97B05F94172A258C9B263BB9A8E_13</vt:lpwstr>
  </property>
  <property fmtid="{D5CDD505-2E9C-101B-9397-08002B2CF9AE}" pid="4" name="CalculationRule">
    <vt:i4>0</vt:i4>
  </property>
</Properties>
</file>